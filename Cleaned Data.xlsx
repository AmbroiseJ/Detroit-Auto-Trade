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mbro\Downloads\"/>
    </mc:Choice>
  </mc:AlternateContent>
  <xr:revisionPtr revIDLastSave="0" documentId="8_{A43283B0-5D5B-4F28-A253-0DB73514DA95}" xr6:coauthVersionLast="47" xr6:coauthVersionMax="47" xr10:uidLastSave="{00000000-0000-0000-0000-000000000000}"/>
  <bookViews>
    <workbookView xWindow="-110" yWindow="-110" windowWidth="25820" windowHeight="15500" activeTab="4" xr2:uid="{0302E777-F901-AF4A-A596-2354453057BA}"/>
  </bookViews>
  <sheets>
    <sheet name="METADATA" sheetId="6" r:id="rId1"/>
    <sheet name="DIM_COUNTRY" sheetId="5" r:id="rId2"/>
    <sheet name="DIM_PRODUCTS" sheetId="4" r:id="rId3"/>
    <sheet name="DIM_TIME" sheetId="3" r:id="rId4"/>
    <sheet name="FACT_IMPORTS" sheetId="2" r:id="rId5"/>
  </sheets>
  <definedNames>
    <definedName name="ExternalData_1" localSheetId="4" hidden="1">FACT_IMPORTS!$A$1:$G$14275</definedName>
    <definedName name="ExternalData_2" localSheetId="3" hidden="1">DIM_TIME!$A$1:$F$35</definedName>
    <definedName name="ExternalData_3" localSheetId="2" hidden="1">DIM_PRODUCTS!$A$1:$D$73</definedName>
    <definedName name="ExternalData_4" localSheetId="1" hidden="1">DIM_COUNTRY!$A$1:$C$9</definedName>
    <definedName name="ExternalData_5" localSheetId="0" hidden="1">METADATA!$A$1:$B$35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 a="1"/>
  <c r="I2" i="2" s="1"/>
  <c r="I3" i="2" a="1"/>
  <c r="I3" i="2" s="1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41" i="2" a="1"/>
  <c r="I41" i="2" s="1"/>
  <c r="I42" i="2" a="1"/>
  <c r="I42" i="2" s="1"/>
  <c r="I43" i="2" a="1"/>
  <c r="I43" i="2" s="1"/>
  <c r="I44" i="2" a="1"/>
  <c r="I44" i="2" s="1"/>
  <c r="I45" i="2" a="1"/>
  <c r="I45" i="2" s="1"/>
  <c r="I46" i="2" a="1"/>
  <c r="I46" i="2" s="1"/>
  <c r="I47" i="2" a="1"/>
  <c r="I47" i="2" s="1"/>
  <c r="I48" i="2" a="1"/>
  <c r="I48" i="2" s="1"/>
  <c r="I49" i="2" a="1"/>
  <c r="I49" i="2" s="1"/>
  <c r="I50" i="2" a="1"/>
  <c r="I50" i="2" s="1"/>
  <c r="I51" i="2" a="1"/>
  <c r="I51" i="2" s="1"/>
  <c r="I52" i="2" a="1"/>
  <c r="I52" i="2" s="1"/>
  <c r="I53" i="2" a="1"/>
  <c r="I53" i="2" s="1"/>
  <c r="I54" i="2" a="1"/>
  <c r="I54" i="2" s="1"/>
  <c r="I55" i="2" a="1"/>
  <c r="I55" i="2" s="1"/>
  <c r="I56" i="2" a="1"/>
  <c r="I56" i="2" s="1"/>
  <c r="I57" i="2" a="1"/>
  <c r="I57" i="2" s="1"/>
  <c r="I58" i="2" a="1"/>
  <c r="I58" i="2" s="1"/>
  <c r="I59" i="2" a="1"/>
  <c r="I59" i="2" s="1"/>
  <c r="I60" i="2" a="1"/>
  <c r="I60" i="2" s="1"/>
  <c r="I61" i="2" a="1"/>
  <c r="I61" i="2" s="1"/>
  <c r="I62" i="2" a="1"/>
  <c r="I62" i="2" s="1"/>
  <c r="I63" i="2" a="1"/>
  <c r="I63" i="2" s="1"/>
  <c r="I64" i="2" a="1"/>
  <c r="I64" i="2" s="1"/>
  <c r="I65" i="2" a="1"/>
  <c r="I65" i="2" s="1"/>
  <c r="I66" i="2" a="1"/>
  <c r="I66" i="2" s="1"/>
  <c r="I67" i="2" a="1"/>
  <c r="I67" i="2" s="1"/>
  <c r="I68" i="2" a="1"/>
  <c r="I68" i="2" s="1"/>
  <c r="I69" i="2" a="1"/>
  <c r="I69" i="2" s="1"/>
  <c r="I70" i="2" a="1"/>
  <c r="I70" i="2" s="1"/>
  <c r="I71" i="2" a="1"/>
  <c r="I71" i="2" s="1"/>
  <c r="I72" i="2" a="1"/>
  <c r="I72" i="2" s="1"/>
  <c r="I73" i="2" a="1"/>
  <c r="I73" i="2" s="1"/>
  <c r="I74" i="2" a="1"/>
  <c r="I74" i="2" s="1"/>
  <c r="I75" i="2" a="1"/>
  <c r="I75" i="2" s="1"/>
  <c r="I76" i="2" a="1"/>
  <c r="I76" i="2" s="1"/>
  <c r="I77" i="2" a="1"/>
  <c r="I77" i="2" s="1"/>
  <c r="I78" i="2" a="1"/>
  <c r="I78" i="2" s="1"/>
  <c r="I79" i="2" a="1"/>
  <c r="I79" i="2" s="1"/>
  <c r="I80" i="2" a="1"/>
  <c r="I80" i="2" s="1"/>
  <c r="I81" i="2" a="1"/>
  <c r="I81" i="2" s="1"/>
  <c r="I82" i="2" a="1"/>
  <c r="I82" i="2" s="1"/>
  <c r="I83" i="2" a="1"/>
  <c r="I83" i="2" s="1"/>
  <c r="I84" i="2" a="1"/>
  <c r="I84" i="2" s="1"/>
  <c r="I85" i="2" a="1"/>
  <c r="I85" i="2" s="1"/>
  <c r="I86" i="2" a="1"/>
  <c r="I86" i="2" s="1"/>
  <c r="I87" i="2" a="1"/>
  <c r="I87" i="2" s="1"/>
  <c r="I88" i="2" a="1"/>
  <c r="I88" i="2" s="1"/>
  <c r="I89" i="2" a="1"/>
  <c r="I89" i="2" s="1"/>
  <c r="I90" i="2" a="1"/>
  <c r="I90" i="2" s="1"/>
  <c r="I91" i="2" a="1"/>
  <c r="I91" i="2" s="1"/>
  <c r="I92" i="2" a="1"/>
  <c r="I92" i="2" s="1"/>
  <c r="I93" i="2" a="1"/>
  <c r="I93" i="2" s="1"/>
  <c r="I94" i="2" a="1"/>
  <c r="I94" i="2" s="1"/>
  <c r="I95" i="2" a="1"/>
  <c r="I95" i="2" s="1"/>
  <c r="I96" i="2" a="1"/>
  <c r="I96" i="2" s="1"/>
  <c r="I97" i="2" a="1"/>
  <c r="I97" i="2" s="1"/>
  <c r="I98" i="2" a="1"/>
  <c r="I98" i="2" s="1"/>
  <c r="I99" i="2" a="1"/>
  <c r="I99" i="2" s="1"/>
  <c r="I100" i="2" a="1"/>
  <c r="I100" i="2" s="1"/>
  <c r="I101" i="2" a="1"/>
  <c r="I101" i="2" s="1"/>
  <c r="I102" i="2" a="1"/>
  <c r="I102" i="2" s="1"/>
  <c r="I103" i="2" a="1"/>
  <c r="I103" i="2" s="1"/>
  <c r="I104" i="2" a="1"/>
  <c r="I104" i="2" s="1"/>
  <c r="I105" i="2" a="1"/>
  <c r="I105" i="2" s="1"/>
  <c r="I106" i="2" a="1"/>
  <c r="I106" i="2" s="1"/>
  <c r="I107" i="2" a="1"/>
  <c r="I107" i="2" s="1"/>
  <c r="I108" i="2" a="1"/>
  <c r="I108" i="2" s="1"/>
  <c r="I109" i="2" a="1"/>
  <c r="I109" i="2" s="1"/>
  <c r="I110" i="2" a="1"/>
  <c r="I110" i="2" s="1"/>
  <c r="I111" i="2" a="1"/>
  <c r="I111" i="2" s="1"/>
  <c r="I112" i="2" a="1"/>
  <c r="I112" i="2" s="1"/>
  <c r="I113" i="2" a="1"/>
  <c r="I113" i="2" s="1"/>
  <c r="I114" i="2" a="1"/>
  <c r="I114" i="2" s="1"/>
  <c r="I115" i="2" a="1"/>
  <c r="I115" i="2" s="1"/>
  <c r="I116" i="2" a="1"/>
  <c r="I116" i="2" s="1"/>
  <c r="I117" i="2" a="1"/>
  <c r="I117" i="2" s="1"/>
  <c r="I118" i="2" a="1"/>
  <c r="I118" i="2" s="1"/>
  <c r="I119" i="2" a="1"/>
  <c r="I119" i="2" s="1"/>
  <c r="I120" i="2" a="1"/>
  <c r="I120" i="2" s="1"/>
  <c r="I121" i="2" a="1"/>
  <c r="I121" i="2" s="1"/>
  <c r="I122" i="2" a="1"/>
  <c r="I122" i="2" s="1"/>
  <c r="I123" i="2" a="1"/>
  <c r="I123" i="2" s="1"/>
  <c r="I124" i="2" a="1"/>
  <c r="I124" i="2" s="1"/>
  <c r="I125" i="2" a="1"/>
  <c r="I125" i="2" s="1"/>
  <c r="I126" i="2" a="1"/>
  <c r="I126" i="2" s="1"/>
  <c r="I127" i="2" a="1"/>
  <c r="I127" i="2" s="1"/>
  <c r="I128" i="2" a="1"/>
  <c r="I128" i="2" s="1"/>
  <c r="I129" i="2" a="1"/>
  <c r="I129" i="2" s="1"/>
  <c r="I130" i="2" a="1"/>
  <c r="I130" i="2" s="1"/>
  <c r="I131" i="2" a="1"/>
  <c r="I131" i="2" s="1"/>
  <c r="I132" i="2" a="1"/>
  <c r="I132" i="2" s="1"/>
  <c r="I133" i="2" a="1"/>
  <c r="I133" i="2" s="1"/>
  <c r="I134" i="2" a="1"/>
  <c r="I134" i="2" s="1"/>
  <c r="I135" i="2" a="1"/>
  <c r="I135" i="2" s="1"/>
  <c r="I136" i="2" a="1"/>
  <c r="I136" i="2" s="1"/>
  <c r="I137" i="2" a="1"/>
  <c r="I137" i="2" s="1"/>
  <c r="I138" i="2" a="1"/>
  <c r="I138" i="2" s="1"/>
  <c r="I139" i="2" a="1"/>
  <c r="I139" i="2" s="1"/>
  <c r="I140" i="2" a="1"/>
  <c r="I140" i="2" s="1"/>
  <c r="I141" i="2" a="1"/>
  <c r="I141" i="2" s="1"/>
  <c r="I142" i="2" a="1"/>
  <c r="I142" i="2" s="1"/>
  <c r="I143" i="2" a="1"/>
  <c r="I143" i="2" s="1"/>
  <c r="I144" i="2" a="1"/>
  <c r="I144" i="2" s="1"/>
  <c r="I145" i="2" a="1"/>
  <c r="I145" i="2" s="1"/>
  <c r="I146" i="2" a="1"/>
  <c r="I146" i="2" s="1"/>
  <c r="I147" i="2" a="1"/>
  <c r="I147" i="2" s="1"/>
  <c r="I148" i="2" a="1"/>
  <c r="I148" i="2" s="1"/>
  <c r="I149" i="2" a="1"/>
  <c r="I149" i="2" s="1"/>
  <c r="I150" i="2" a="1"/>
  <c r="I150" i="2" s="1"/>
  <c r="I151" i="2" a="1"/>
  <c r="I151" i="2" s="1"/>
  <c r="I152" i="2" a="1"/>
  <c r="I152" i="2" s="1"/>
  <c r="I153" i="2" a="1"/>
  <c r="I153" i="2" s="1"/>
  <c r="I154" i="2" a="1"/>
  <c r="I154" i="2" s="1"/>
  <c r="I155" i="2" a="1"/>
  <c r="I155" i="2" s="1"/>
  <c r="I156" i="2" a="1"/>
  <c r="I156" i="2" s="1"/>
  <c r="I157" i="2" a="1"/>
  <c r="I157" i="2" s="1"/>
  <c r="I158" i="2" a="1"/>
  <c r="I158" i="2" s="1"/>
  <c r="I159" i="2" a="1"/>
  <c r="I159" i="2" s="1"/>
  <c r="I160" i="2" a="1"/>
  <c r="I160" i="2" s="1"/>
  <c r="I161" i="2" a="1"/>
  <c r="I161" i="2" s="1"/>
  <c r="I162" i="2" a="1"/>
  <c r="I162" i="2" s="1"/>
  <c r="I163" i="2" a="1"/>
  <c r="I163" i="2" s="1"/>
  <c r="I164" i="2" a="1"/>
  <c r="I164" i="2" s="1"/>
  <c r="I165" i="2" a="1"/>
  <c r="I165" i="2" s="1"/>
  <c r="I166" i="2" a="1"/>
  <c r="I166" i="2" s="1"/>
  <c r="I167" i="2" a="1"/>
  <c r="I167" i="2" s="1"/>
  <c r="I168" i="2" a="1"/>
  <c r="I168" i="2" s="1"/>
  <c r="I169" i="2" a="1"/>
  <c r="I169" i="2" s="1"/>
  <c r="I170" i="2" a="1"/>
  <c r="I170" i="2" s="1"/>
  <c r="I171" i="2" a="1"/>
  <c r="I171" i="2" s="1"/>
  <c r="I172" i="2" a="1"/>
  <c r="I172" i="2" s="1"/>
  <c r="I173" i="2" a="1"/>
  <c r="I173" i="2" s="1"/>
  <c r="I174" i="2" a="1"/>
  <c r="I174" i="2" s="1"/>
  <c r="I175" i="2" a="1"/>
  <c r="I175" i="2" s="1"/>
  <c r="I176" i="2" a="1"/>
  <c r="I176" i="2" s="1"/>
  <c r="I177" i="2" a="1"/>
  <c r="I177" i="2" s="1"/>
  <c r="I178" i="2" a="1"/>
  <c r="I178" i="2" s="1"/>
  <c r="I179" i="2" a="1"/>
  <c r="I179" i="2" s="1"/>
  <c r="I180" i="2" a="1"/>
  <c r="I180" i="2" s="1"/>
  <c r="I181" i="2" a="1"/>
  <c r="I181" i="2" s="1"/>
  <c r="I182" i="2" a="1"/>
  <c r="I182" i="2" s="1"/>
  <c r="I183" i="2" a="1"/>
  <c r="I183" i="2" s="1"/>
  <c r="I184" i="2" a="1"/>
  <c r="I184" i="2" s="1"/>
  <c r="I185" i="2" a="1"/>
  <c r="I185" i="2" s="1"/>
  <c r="I186" i="2" a="1"/>
  <c r="I186" i="2" s="1"/>
  <c r="I187" i="2" a="1"/>
  <c r="I187" i="2" s="1"/>
  <c r="I188" i="2" a="1"/>
  <c r="I188" i="2" s="1"/>
  <c r="I189" i="2" a="1"/>
  <c r="I189" i="2" s="1"/>
  <c r="I190" i="2" a="1"/>
  <c r="I190" i="2" s="1"/>
  <c r="I191" i="2" a="1"/>
  <c r="I191" i="2" s="1"/>
  <c r="I192" i="2" a="1"/>
  <c r="I192" i="2" s="1"/>
  <c r="I193" i="2" a="1"/>
  <c r="I193" i="2" s="1"/>
  <c r="I194" i="2" a="1"/>
  <c r="I194" i="2" s="1"/>
  <c r="I195" i="2" a="1"/>
  <c r="I195" i="2" s="1"/>
  <c r="I196" i="2" a="1"/>
  <c r="I196" i="2" s="1"/>
  <c r="I197" i="2" a="1"/>
  <c r="I197" i="2" s="1"/>
  <c r="I198" i="2" a="1"/>
  <c r="I198" i="2" s="1"/>
  <c r="I199" i="2" a="1"/>
  <c r="I199" i="2" s="1"/>
  <c r="I200" i="2" a="1"/>
  <c r="I200" i="2" s="1"/>
  <c r="I201" i="2" a="1"/>
  <c r="I201" i="2" s="1"/>
  <c r="I202" i="2" a="1"/>
  <c r="I202" i="2" s="1"/>
  <c r="I203" i="2" a="1"/>
  <c r="I203" i="2" s="1"/>
  <c r="I204" i="2" a="1"/>
  <c r="I204" i="2" s="1"/>
  <c r="I205" i="2" a="1"/>
  <c r="I205" i="2" s="1"/>
  <c r="I206" i="2" a="1"/>
  <c r="I206" i="2" s="1"/>
  <c r="I207" i="2" a="1"/>
  <c r="I207" i="2" s="1"/>
  <c r="I208" i="2" a="1"/>
  <c r="I208" i="2" s="1"/>
  <c r="I209" i="2" a="1"/>
  <c r="I209" i="2" s="1"/>
  <c r="I210" i="2" a="1"/>
  <c r="I210" i="2" s="1"/>
  <c r="I211" i="2" a="1"/>
  <c r="I211" i="2" s="1"/>
  <c r="I212" i="2" a="1"/>
  <c r="I212" i="2" s="1"/>
  <c r="I213" i="2" a="1"/>
  <c r="I213" i="2" s="1"/>
  <c r="I214" i="2" a="1"/>
  <c r="I214" i="2" s="1"/>
  <c r="I215" i="2" a="1"/>
  <c r="I215" i="2" s="1"/>
  <c r="I216" i="2" a="1"/>
  <c r="I216" i="2" s="1"/>
  <c r="I217" i="2" a="1"/>
  <c r="I217" i="2" s="1"/>
  <c r="I218" i="2" a="1"/>
  <c r="I218" i="2" s="1"/>
  <c r="I219" i="2" a="1"/>
  <c r="I219" i="2" s="1"/>
  <c r="I220" i="2" a="1"/>
  <c r="I220" i="2" s="1"/>
  <c r="I221" i="2" a="1"/>
  <c r="I221" i="2" s="1"/>
  <c r="I222" i="2" a="1"/>
  <c r="I222" i="2" s="1"/>
  <c r="I223" i="2" a="1"/>
  <c r="I223" i="2" s="1"/>
  <c r="I224" i="2" a="1"/>
  <c r="I224" i="2" s="1"/>
  <c r="I225" i="2" a="1"/>
  <c r="I225" i="2" s="1"/>
  <c r="I226" i="2" a="1"/>
  <c r="I226" i="2" s="1"/>
  <c r="I227" i="2" a="1"/>
  <c r="I227" i="2" s="1"/>
  <c r="I228" i="2" a="1"/>
  <c r="I228" i="2" s="1"/>
  <c r="I229" i="2" a="1"/>
  <c r="I229" i="2" s="1"/>
  <c r="I230" i="2" a="1"/>
  <c r="I230" i="2" s="1"/>
  <c r="I231" i="2" a="1"/>
  <c r="I231" i="2" s="1"/>
  <c r="I232" i="2" a="1"/>
  <c r="I232" i="2" s="1"/>
  <c r="I233" i="2" a="1"/>
  <c r="I233" i="2" s="1"/>
  <c r="I234" i="2" a="1"/>
  <c r="I234" i="2" s="1"/>
  <c r="I235" i="2" a="1"/>
  <c r="I235" i="2" s="1"/>
  <c r="I236" i="2" a="1"/>
  <c r="I236" i="2" s="1"/>
  <c r="I237" i="2" a="1"/>
  <c r="I237" i="2" s="1"/>
  <c r="I238" i="2" a="1"/>
  <c r="I238" i="2" s="1"/>
  <c r="I239" i="2" a="1"/>
  <c r="I239" i="2" s="1"/>
  <c r="I240" i="2" a="1"/>
  <c r="I240" i="2" s="1"/>
  <c r="I241" i="2" a="1"/>
  <c r="I241" i="2" s="1"/>
  <c r="I242" i="2" a="1"/>
  <c r="I242" i="2" s="1"/>
  <c r="I243" i="2" a="1"/>
  <c r="I243" i="2" s="1"/>
  <c r="I244" i="2" a="1"/>
  <c r="I244" i="2" s="1"/>
  <c r="I245" i="2" a="1"/>
  <c r="I245" i="2" s="1"/>
  <c r="I246" i="2" a="1"/>
  <c r="I246" i="2" s="1"/>
  <c r="I247" i="2" a="1"/>
  <c r="I247" i="2" s="1"/>
  <c r="I248" i="2" a="1"/>
  <c r="I248" i="2" s="1"/>
  <c r="I249" i="2" a="1"/>
  <c r="I249" i="2" s="1"/>
  <c r="I250" i="2" a="1"/>
  <c r="I250" i="2" s="1"/>
  <c r="I251" i="2" a="1"/>
  <c r="I251" i="2" s="1"/>
  <c r="I252" i="2" a="1"/>
  <c r="I252" i="2" s="1"/>
  <c r="I253" i="2" a="1"/>
  <c r="I253" i="2" s="1"/>
  <c r="I254" i="2" a="1"/>
  <c r="I254" i="2" s="1"/>
  <c r="I255" i="2" a="1"/>
  <c r="I255" i="2" s="1"/>
  <c r="I256" i="2" a="1"/>
  <c r="I256" i="2" s="1"/>
  <c r="I257" i="2" a="1"/>
  <c r="I257" i="2" s="1"/>
  <c r="I258" i="2" a="1"/>
  <c r="I258" i="2" s="1"/>
  <c r="I259" i="2" a="1"/>
  <c r="I259" i="2" s="1"/>
  <c r="I260" i="2" a="1"/>
  <c r="I260" i="2" s="1"/>
  <c r="I261" i="2" a="1"/>
  <c r="I261" i="2" s="1"/>
  <c r="I262" i="2" a="1"/>
  <c r="I262" i="2" s="1"/>
  <c r="I263" i="2" a="1"/>
  <c r="I263" i="2" s="1"/>
  <c r="I264" i="2" a="1"/>
  <c r="I264" i="2" s="1"/>
  <c r="I265" i="2" a="1"/>
  <c r="I265" i="2" s="1"/>
  <c r="I266" i="2" a="1"/>
  <c r="I266" i="2" s="1"/>
  <c r="I267" i="2" a="1"/>
  <c r="I267" i="2" s="1"/>
  <c r="I268" i="2" a="1"/>
  <c r="I268" i="2" s="1"/>
  <c r="I269" i="2" a="1"/>
  <c r="I269" i="2" s="1"/>
  <c r="I270" i="2" a="1"/>
  <c r="I270" i="2" s="1"/>
  <c r="I271" i="2" a="1"/>
  <c r="I271" i="2" s="1"/>
  <c r="I272" i="2" a="1"/>
  <c r="I272" i="2" s="1"/>
  <c r="I273" i="2" a="1"/>
  <c r="I273" i="2" s="1"/>
  <c r="I274" i="2" a="1"/>
  <c r="I274" i="2" s="1"/>
  <c r="I275" i="2" a="1"/>
  <c r="I275" i="2" s="1"/>
  <c r="I276" i="2" a="1"/>
  <c r="I276" i="2" s="1"/>
  <c r="I277" i="2" a="1"/>
  <c r="I277" i="2" s="1"/>
  <c r="I278" i="2" a="1"/>
  <c r="I278" i="2" s="1"/>
  <c r="I279" i="2" a="1"/>
  <c r="I279" i="2" s="1"/>
  <c r="I280" i="2" a="1"/>
  <c r="I280" i="2" s="1"/>
  <c r="I281" i="2" a="1"/>
  <c r="I281" i="2" s="1"/>
  <c r="I282" i="2" a="1"/>
  <c r="I282" i="2" s="1"/>
  <c r="I283" i="2" a="1"/>
  <c r="I283" i="2" s="1"/>
  <c r="I284" i="2" a="1"/>
  <c r="I284" i="2" s="1"/>
  <c r="I285" i="2" a="1"/>
  <c r="I285" i="2" s="1"/>
  <c r="I286" i="2" a="1"/>
  <c r="I286" i="2" s="1"/>
  <c r="I287" i="2" a="1"/>
  <c r="I287" i="2" s="1"/>
  <c r="I288" i="2" a="1"/>
  <c r="I288" i="2" s="1"/>
  <c r="I289" i="2" a="1"/>
  <c r="I289" i="2" s="1"/>
  <c r="I290" i="2" a="1"/>
  <c r="I290" i="2" s="1"/>
  <c r="I291" i="2" a="1"/>
  <c r="I291" i="2" s="1"/>
  <c r="I292" i="2" a="1"/>
  <c r="I292" i="2" s="1"/>
  <c r="I293" i="2" a="1"/>
  <c r="I293" i="2" s="1"/>
  <c r="I294" i="2" a="1"/>
  <c r="I294" i="2" s="1"/>
  <c r="I295" i="2" a="1"/>
  <c r="I295" i="2" s="1"/>
  <c r="I296" i="2" a="1"/>
  <c r="I296" i="2" s="1"/>
  <c r="I297" i="2" a="1"/>
  <c r="I297" i="2" s="1"/>
  <c r="I298" i="2" a="1"/>
  <c r="I298" i="2" s="1"/>
  <c r="I299" i="2" a="1"/>
  <c r="I299" i="2" s="1"/>
  <c r="I300" i="2" a="1"/>
  <c r="I300" i="2" s="1"/>
  <c r="I301" i="2" a="1"/>
  <c r="I301" i="2" s="1"/>
  <c r="I302" i="2" a="1"/>
  <c r="I302" i="2" s="1"/>
  <c r="I303" i="2" a="1"/>
  <c r="I303" i="2" s="1"/>
  <c r="I304" i="2" a="1"/>
  <c r="I304" i="2" s="1"/>
  <c r="I305" i="2" a="1"/>
  <c r="I305" i="2" s="1"/>
  <c r="I306" i="2" a="1"/>
  <c r="I306" i="2" s="1"/>
  <c r="I307" i="2" a="1"/>
  <c r="I307" i="2" s="1"/>
  <c r="I308" i="2" a="1"/>
  <c r="I308" i="2" s="1"/>
  <c r="I309" i="2" a="1"/>
  <c r="I309" i="2" s="1"/>
  <c r="I310" i="2" a="1"/>
  <c r="I310" i="2" s="1"/>
  <c r="I311" i="2" a="1"/>
  <c r="I311" i="2" s="1"/>
  <c r="I312" i="2" a="1"/>
  <c r="I312" i="2" s="1"/>
  <c r="I313" i="2" a="1"/>
  <c r="I313" i="2" s="1"/>
  <c r="I314" i="2" a="1"/>
  <c r="I314" i="2" s="1"/>
  <c r="I315" i="2" a="1"/>
  <c r="I315" i="2" s="1"/>
  <c r="I316" i="2" a="1"/>
  <c r="I316" i="2" s="1"/>
  <c r="I317" i="2" a="1"/>
  <c r="I317" i="2" s="1"/>
  <c r="I318" i="2" a="1"/>
  <c r="I318" i="2" s="1"/>
  <c r="I319" i="2" a="1"/>
  <c r="I319" i="2" s="1"/>
  <c r="I320" i="2" a="1"/>
  <c r="I320" i="2" s="1"/>
  <c r="I321" i="2" a="1"/>
  <c r="I321" i="2" s="1"/>
  <c r="I322" i="2" a="1"/>
  <c r="I322" i="2" s="1"/>
  <c r="I323" i="2" a="1"/>
  <c r="I323" i="2" s="1"/>
  <c r="I324" i="2" a="1"/>
  <c r="I324" i="2" s="1"/>
  <c r="I325" i="2" a="1"/>
  <c r="I325" i="2" s="1"/>
  <c r="I326" i="2" a="1"/>
  <c r="I326" i="2" s="1"/>
  <c r="I327" i="2" a="1"/>
  <c r="I327" i="2" s="1"/>
  <c r="I328" i="2" a="1"/>
  <c r="I328" i="2" s="1"/>
  <c r="I329" i="2" a="1"/>
  <c r="I329" i="2" s="1"/>
  <c r="I330" i="2" a="1"/>
  <c r="I330" i="2" s="1"/>
  <c r="I331" i="2" a="1"/>
  <c r="I331" i="2" s="1"/>
  <c r="I332" i="2" a="1"/>
  <c r="I332" i="2" s="1"/>
  <c r="I333" i="2" a="1"/>
  <c r="I333" i="2" s="1"/>
  <c r="I334" i="2" a="1"/>
  <c r="I334" i="2" s="1"/>
  <c r="I335" i="2" a="1"/>
  <c r="I335" i="2" s="1"/>
  <c r="I336" i="2" a="1"/>
  <c r="I336" i="2" s="1"/>
  <c r="I337" i="2" a="1"/>
  <c r="I337" i="2" s="1"/>
  <c r="I338" i="2" a="1"/>
  <c r="I338" i="2" s="1"/>
  <c r="I339" i="2" a="1"/>
  <c r="I339" i="2" s="1"/>
  <c r="I340" i="2" a="1"/>
  <c r="I340" i="2" s="1"/>
  <c r="I341" i="2" a="1"/>
  <c r="I341" i="2" s="1"/>
  <c r="I342" i="2" a="1"/>
  <c r="I342" i="2" s="1"/>
  <c r="I343" i="2" a="1"/>
  <c r="I343" i="2" s="1"/>
  <c r="I344" i="2" a="1"/>
  <c r="I344" i="2" s="1"/>
  <c r="I345" i="2" a="1"/>
  <c r="I345" i="2" s="1"/>
  <c r="I346" i="2" a="1"/>
  <c r="I346" i="2" s="1"/>
  <c r="I347" i="2" a="1"/>
  <c r="I347" i="2" s="1"/>
  <c r="I348" i="2" a="1"/>
  <c r="I348" i="2" s="1"/>
  <c r="I349" i="2" a="1"/>
  <c r="I349" i="2" s="1"/>
  <c r="I350" i="2" a="1"/>
  <c r="I350" i="2" s="1"/>
  <c r="I351" i="2" a="1"/>
  <c r="I351" i="2" s="1"/>
  <c r="I352" i="2" a="1"/>
  <c r="I352" i="2" s="1"/>
  <c r="I353" i="2" a="1"/>
  <c r="I353" i="2" s="1"/>
  <c r="I354" i="2" a="1"/>
  <c r="I354" i="2" s="1"/>
  <c r="I355" i="2" a="1"/>
  <c r="I355" i="2" s="1"/>
  <c r="I356" i="2" a="1"/>
  <c r="I356" i="2" s="1"/>
  <c r="I357" i="2" a="1"/>
  <c r="I357" i="2" s="1"/>
  <c r="I358" i="2" a="1"/>
  <c r="I358" i="2" s="1"/>
  <c r="I359" i="2" a="1"/>
  <c r="I359" i="2" s="1"/>
  <c r="I360" i="2" a="1"/>
  <c r="I360" i="2" s="1"/>
  <c r="I361" i="2" a="1"/>
  <c r="I361" i="2" s="1"/>
  <c r="I362" i="2" a="1"/>
  <c r="I362" i="2" s="1"/>
  <c r="I363" i="2" a="1"/>
  <c r="I363" i="2" s="1"/>
  <c r="I364" i="2" a="1"/>
  <c r="I364" i="2" s="1"/>
  <c r="I365" i="2" a="1"/>
  <c r="I365" i="2" s="1"/>
  <c r="I366" i="2" a="1"/>
  <c r="I366" i="2" s="1"/>
  <c r="I367" i="2" a="1"/>
  <c r="I367" i="2" s="1"/>
  <c r="I368" i="2" a="1"/>
  <c r="I368" i="2" s="1"/>
  <c r="I369" i="2" a="1"/>
  <c r="I369" i="2" s="1"/>
  <c r="I370" i="2" a="1"/>
  <c r="I370" i="2" s="1"/>
  <c r="I371" i="2" a="1"/>
  <c r="I371" i="2" s="1"/>
  <c r="I372" i="2" a="1"/>
  <c r="I372" i="2" s="1"/>
  <c r="I373" i="2" a="1"/>
  <c r="I373" i="2" s="1"/>
  <c r="I374" i="2" a="1"/>
  <c r="I374" i="2" s="1"/>
  <c r="I375" i="2" a="1"/>
  <c r="I375" i="2" s="1"/>
  <c r="I376" i="2" a="1"/>
  <c r="I376" i="2" s="1"/>
  <c r="I377" i="2" a="1"/>
  <c r="I377" i="2" s="1"/>
  <c r="I378" i="2" a="1"/>
  <c r="I378" i="2" s="1"/>
  <c r="I379" i="2" a="1"/>
  <c r="I379" i="2" s="1"/>
  <c r="I380" i="2" a="1"/>
  <c r="I380" i="2" s="1"/>
  <c r="I381" i="2" a="1"/>
  <c r="I381" i="2" s="1"/>
  <c r="I382" i="2" a="1"/>
  <c r="I382" i="2" s="1"/>
  <c r="I383" i="2" a="1"/>
  <c r="I383" i="2" s="1"/>
  <c r="I384" i="2" a="1"/>
  <c r="I384" i="2" s="1"/>
  <c r="I385" i="2" a="1"/>
  <c r="I385" i="2" s="1"/>
  <c r="I386" i="2" a="1"/>
  <c r="I386" i="2" s="1"/>
  <c r="I387" i="2" a="1"/>
  <c r="I387" i="2" s="1"/>
  <c r="I388" i="2" a="1"/>
  <c r="I388" i="2" s="1"/>
  <c r="I389" i="2" a="1"/>
  <c r="I389" i="2" s="1"/>
  <c r="I390" i="2" a="1"/>
  <c r="I390" i="2" s="1"/>
  <c r="I391" i="2" a="1"/>
  <c r="I391" i="2" s="1"/>
  <c r="I392" i="2" a="1"/>
  <c r="I392" i="2" s="1"/>
  <c r="I393" i="2" a="1"/>
  <c r="I393" i="2" s="1"/>
  <c r="I394" i="2" a="1"/>
  <c r="I394" i="2" s="1"/>
  <c r="I395" i="2" a="1"/>
  <c r="I395" i="2" s="1"/>
  <c r="I396" i="2" a="1"/>
  <c r="I396" i="2" s="1"/>
  <c r="I397" i="2" a="1"/>
  <c r="I397" i="2" s="1"/>
  <c r="I398" i="2" a="1"/>
  <c r="I398" i="2" s="1"/>
  <c r="I399" i="2" a="1"/>
  <c r="I399" i="2" s="1"/>
  <c r="I400" i="2" a="1"/>
  <c r="I400" i="2" s="1"/>
  <c r="I401" i="2" a="1"/>
  <c r="I401" i="2" s="1"/>
  <c r="I402" i="2" a="1"/>
  <c r="I402" i="2" s="1"/>
  <c r="I403" i="2" a="1"/>
  <c r="I403" i="2" s="1"/>
  <c r="I404" i="2" a="1"/>
  <c r="I404" i="2" s="1"/>
  <c r="I405" i="2" a="1"/>
  <c r="I405" i="2" s="1"/>
  <c r="I406" i="2" a="1"/>
  <c r="I406" i="2" s="1"/>
  <c r="I407" i="2" a="1"/>
  <c r="I407" i="2" s="1"/>
  <c r="I408" i="2" a="1"/>
  <c r="I408" i="2" s="1"/>
  <c r="I409" i="2" a="1"/>
  <c r="I409" i="2" s="1"/>
  <c r="I410" i="2" a="1"/>
  <c r="I410" i="2" s="1"/>
  <c r="I411" i="2" a="1"/>
  <c r="I411" i="2" s="1"/>
  <c r="I412" i="2" a="1"/>
  <c r="I412" i="2" s="1"/>
  <c r="I413" i="2" a="1"/>
  <c r="I413" i="2" s="1"/>
  <c r="I414" i="2" a="1"/>
  <c r="I414" i="2" s="1"/>
  <c r="I415" i="2" a="1"/>
  <c r="I415" i="2" s="1"/>
  <c r="I416" i="2" a="1"/>
  <c r="I416" i="2" s="1"/>
  <c r="I417" i="2" a="1"/>
  <c r="I417" i="2" s="1"/>
  <c r="I418" i="2" a="1"/>
  <c r="I418" i="2" s="1"/>
  <c r="I419" i="2" a="1"/>
  <c r="I419" i="2" s="1"/>
  <c r="I420" i="2" a="1"/>
  <c r="I420" i="2" s="1"/>
  <c r="I421" i="2" a="1"/>
  <c r="I421" i="2" s="1"/>
  <c r="I422" i="2" a="1"/>
  <c r="I422" i="2" s="1"/>
  <c r="I423" i="2" a="1"/>
  <c r="I423" i="2" s="1"/>
  <c r="I424" i="2" a="1"/>
  <c r="I424" i="2" s="1"/>
  <c r="I425" i="2" a="1"/>
  <c r="I425" i="2" s="1"/>
  <c r="I426" i="2" a="1"/>
  <c r="I426" i="2" s="1"/>
  <c r="I427" i="2" a="1"/>
  <c r="I427" i="2" s="1"/>
  <c r="I428" i="2" a="1"/>
  <c r="I428" i="2" s="1"/>
  <c r="I429" i="2" a="1"/>
  <c r="I429" i="2" s="1"/>
  <c r="I430" i="2" a="1"/>
  <c r="I430" i="2" s="1"/>
  <c r="I431" i="2" a="1"/>
  <c r="I431" i="2" s="1"/>
  <c r="I432" i="2" a="1"/>
  <c r="I432" i="2" s="1"/>
  <c r="I433" i="2" a="1"/>
  <c r="I433" i="2" s="1"/>
  <c r="I434" i="2" a="1"/>
  <c r="I434" i="2" s="1"/>
  <c r="I435" i="2" a="1"/>
  <c r="I435" i="2" s="1"/>
  <c r="I436" i="2" a="1"/>
  <c r="I436" i="2" s="1"/>
  <c r="I437" i="2" a="1"/>
  <c r="I437" i="2" s="1"/>
  <c r="I438" i="2" a="1"/>
  <c r="I438" i="2" s="1"/>
  <c r="I439" i="2" a="1"/>
  <c r="I439" i="2" s="1"/>
  <c r="I440" i="2" a="1"/>
  <c r="I440" i="2" s="1"/>
  <c r="I441" i="2" a="1"/>
  <c r="I441" i="2" s="1"/>
  <c r="I442" i="2" a="1"/>
  <c r="I442" i="2" s="1"/>
  <c r="I443" i="2" a="1"/>
  <c r="I443" i="2" s="1"/>
  <c r="I444" i="2" a="1"/>
  <c r="I444" i="2" s="1"/>
  <c r="I445" i="2" a="1"/>
  <c r="I445" i="2" s="1"/>
  <c r="I446" i="2" a="1"/>
  <c r="I446" i="2" s="1"/>
  <c r="I447" i="2" a="1"/>
  <c r="I447" i="2" s="1"/>
  <c r="I448" i="2" a="1"/>
  <c r="I448" i="2" s="1"/>
  <c r="I449" i="2" a="1"/>
  <c r="I449" i="2" s="1"/>
  <c r="I450" i="2" a="1"/>
  <c r="I450" i="2" s="1"/>
  <c r="I451" i="2" a="1"/>
  <c r="I451" i="2" s="1"/>
  <c r="I452" i="2" a="1"/>
  <c r="I452" i="2" s="1"/>
  <c r="I453" i="2" a="1"/>
  <c r="I453" i="2" s="1"/>
  <c r="I454" i="2" a="1"/>
  <c r="I454" i="2" s="1"/>
  <c r="I455" i="2" a="1"/>
  <c r="I455" i="2" s="1"/>
  <c r="I456" i="2" a="1"/>
  <c r="I456" i="2" s="1"/>
  <c r="I457" i="2" a="1"/>
  <c r="I457" i="2" s="1"/>
  <c r="I458" i="2" a="1"/>
  <c r="I458" i="2" s="1"/>
  <c r="I459" i="2" a="1"/>
  <c r="I459" i="2" s="1"/>
  <c r="I460" i="2" a="1"/>
  <c r="I460" i="2" s="1"/>
  <c r="I461" i="2" a="1"/>
  <c r="I461" i="2" s="1"/>
  <c r="I462" i="2" a="1"/>
  <c r="I462" i="2" s="1"/>
  <c r="I463" i="2" a="1"/>
  <c r="I463" i="2" s="1"/>
  <c r="I464" i="2" a="1"/>
  <c r="I464" i="2" s="1"/>
  <c r="I465" i="2" a="1"/>
  <c r="I465" i="2" s="1"/>
  <c r="I466" i="2" a="1"/>
  <c r="I466" i="2" s="1"/>
  <c r="I467" i="2" a="1"/>
  <c r="I467" i="2" s="1"/>
  <c r="I468" i="2" a="1"/>
  <c r="I468" i="2" s="1"/>
  <c r="I469" i="2" a="1"/>
  <c r="I469" i="2" s="1"/>
  <c r="I470" i="2" a="1"/>
  <c r="I470" i="2" s="1"/>
  <c r="I471" i="2" a="1"/>
  <c r="I471" i="2" s="1"/>
  <c r="I472" i="2" a="1"/>
  <c r="I472" i="2" s="1"/>
  <c r="I473" i="2" a="1"/>
  <c r="I473" i="2" s="1"/>
  <c r="I474" i="2" a="1"/>
  <c r="I474" i="2" s="1"/>
  <c r="I475" i="2" a="1"/>
  <c r="I475" i="2" s="1"/>
  <c r="I476" i="2" a="1"/>
  <c r="I476" i="2" s="1"/>
  <c r="I477" i="2" a="1"/>
  <c r="I477" i="2" s="1"/>
  <c r="I478" i="2" a="1"/>
  <c r="I478" i="2" s="1"/>
  <c r="I479" i="2" a="1"/>
  <c r="I479" i="2" s="1"/>
  <c r="I480" i="2" a="1"/>
  <c r="I480" i="2" s="1"/>
  <c r="I481" i="2" a="1"/>
  <c r="I481" i="2" s="1"/>
  <c r="I482" i="2" a="1"/>
  <c r="I482" i="2" s="1"/>
  <c r="I483" i="2" a="1"/>
  <c r="I483" i="2" s="1"/>
  <c r="I484" i="2" a="1"/>
  <c r="I484" i="2" s="1"/>
  <c r="I485" i="2" a="1"/>
  <c r="I485" i="2" s="1"/>
  <c r="I486" i="2" a="1"/>
  <c r="I486" i="2" s="1"/>
  <c r="I487" i="2" a="1"/>
  <c r="I487" i="2" s="1"/>
  <c r="I488" i="2" a="1"/>
  <c r="I488" i="2" s="1"/>
  <c r="I489" i="2" a="1"/>
  <c r="I489" i="2" s="1"/>
  <c r="I490" i="2" a="1"/>
  <c r="I490" i="2" s="1"/>
  <c r="I491" i="2" a="1"/>
  <c r="I491" i="2" s="1"/>
  <c r="I492" i="2" a="1"/>
  <c r="I492" i="2" s="1"/>
  <c r="I493" i="2" a="1"/>
  <c r="I493" i="2" s="1"/>
  <c r="I494" i="2" a="1"/>
  <c r="I494" i="2" s="1"/>
  <c r="I495" i="2" a="1"/>
  <c r="I495" i="2" s="1"/>
  <c r="I496" i="2" a="1"/>
  <c r="I496" i="2" s="1"/>
  <c r="I497" i="2" a="1"/>
  <c r="I497" i="2" s="1"/>
  <c r="I498" i="2" a="1"/>
  <c r="I498" i="2" s="1"/>
  <c r="I499" i="2" a="1"/>
  <c r="I499" i="2" s="1"/>
  <c r="I500" i="2" a="1"/>
  <c r="I500" i="2" s="1"/>
  <c r="I501" i="2" a="1"/>
  <c r="I501" i="2" s="1"/>
  <c r="I502" i="2" a="1"/>
  <c r="I502" i="2" s="1"/>
  <c r="I503" i="2" a="1"/>
  <c r="I503" i="2" s="1"/>
  <c r="I504" i="2" a="1"/>
  <c r="I504" i="2" s="1"/>
  <c r="I505" i="2" a="1"/>
  <c r="I505" i="2" s="1"/>
  <c r="I506" i="2" a="1"/>
  <c r="I506" i="2" s="1"/>
  <c r="I507" i="2" a="1"/>
  <c r="I507" i="2" s="1"/>
  <c r="I508" i="2" a="1"/>
  <c r="I508" i="2" s="1"/>
  <c r="I509" i="2" a="1"/>
  <c r="I509" i="2" s="1"/>
  <c r="I510" i="2" a="1"/>
  <c r="I510" i="2" s="1"/>
  <c r="I511" i="2" a="1"/>
  <c r="I511" i="2" s="1"/>
  <c r="I512" i="2" a="1"/>
  <c r="I512" i="2" s="1"/>
  <c r="I513" i="2" a="1"/>
  <c r="I513" i="2" s="1"/>
  <c r="I514" i="2" a="1"/>
  <c r="I514" i="2" s="1"/>
  <c r="I515" i="2" a="1"/>
  <c r="I515" i="2" s="1"/>
  <c r="I516" i="2" a="1"/>
  <c r="I516" i="2" s="1"/>
  <c r="I517" i="2" a="1"/>
  <c r="I517" i="2" s="1"/>
  <c r="I518" i="2" a="1"/>
  <c r="I518" i="2" s="1"/>
  <c r="I519" i="2" a="1"/>
  <c r="I519" i="2" s="1"/>
  <c r="I520" i="2" a="1"/>
  <c r="I520" i="2" s="1"/>
  <c r="I521" i="2" a="1"/>
  <c r="I521" i="2" s="1"/>
  <c r="I522" i="2" a="1"/>
  <c r="I522" i="2" s="1"/>
  <c r="I523" i="2" a="1"/>
  <c r="I523" i="2" s="1"/>
  <c r="I524" i="2" a="1"/>
  <c r="I524" i="2" s="1"/>
  <c r="I525" i="2" a="1"/>
  <c r="I525" i="2" s="1"/>
  <c r="I526" i="2" a="1"/>
  <c r="I526" i="2" s="1"/>
  <c r="I527" i="2" a="1"/>
  <c r="I527" i="2" s="1"/>
  <c r="I528" i="2" a="1"/>
  <c r="I528" i="2" s="1"/>
  <c r="I529" i="2" a="1"/>
  <c r="I529" i="2" s="1"/>
  <c r="I530" i="2" a="1"/>
  <c r="I530" i="2" s="1"/>
  <c r="I531" i="2" a="1"/>
  <c r="I531" i="2" s="1"/>
  <c r="I532" i="2" a="1"/>
  <c r="I532" i="2" s="1"/>
  <c r="I533" i="2" a="1"/>
  <c r="I533" i="2" s="1"/>
  <c r="I534" i="2" a="1"/>
  <c r="I534" i="2" s="1"/>
  <c r="I535" i="2" a="1"/>
  <c r="I535" i="2" s="1"/>
  <c r="I536" i="2" a="1"/>
  <c r="I536" i="2" s="1"/>
  <c r="I537" i="2" a="1"/>
  <c r="I537" i="2" s="1"/>
  <c r="I538" i="2" a="1"/>
  <c r="I538" i="2" s="1"/>
  <c r="I539" i="2" a="1"/>
  <c r="I539" i="2" s="1"/>
  <c r="I540" i="2" a="1"/>
  <c r="I540" i="2" s="1"/>
  <c r="I541" i="2" a="1"/>
  <c r="I541" i="2" s="1"/>
  <c r="I542" i="2" a="1"/>
  <c r="I542" i="2" s="1"/>
  <c r="I543" i="2" a="1"/>
  <c r="I543" i="2" s="1"/>
  <c r="I544" i="2" a="1"/>
  <c r="I544" i="2" s="1"/>
  <c r="I545" i="2" a="1"/>
  <c r="I545" i="2" s="1"/>
  <c r="I546" i="2" a="1"/>
  <c r="I546" i="2" s="1"/>
  <c r="I547" i="2" a="1"/>
  <c r="I547" i="2" s="1"/>
  <c r="I548" i="2" a="1"/>
  <c r="I548" i="2" s="1"/>
  <c r="I549" i="2" a="1"/>
  <c r="I549" i="2" s="1"/>
  <c r="I550" i="2" a="1"/>
  <c r="I550" i="2" s="1"/>
  <c r="I551" i="2" a="1"/>
  <c r="I551" i="2" s="1"/>
  <c r="I552" i="2" a="1"/>
  <c r="I552" i="2" s="1"/>
  <c r="I553" i="2" a="1"/>
  <c r="I553" i="2" s="1"/>
  <c r="I554" i="2" a="1"/>
  <c r="I554" i="2" s="1"/>
  <c r="I555" i="2" a="1"/>
  <c r="I555" i="2" s="1"/>
  <c r="I556" i="2" a="1"/>
  <c r="I556" i="2" s="1"/>
  <c r="I557" i="2" a="1"/>
  <c r="I557" i="2" s="1"/>
  <c r="I558" i="2" a="1"/>
  <c r="I558" i="2" s="1"/>
  <c r="I559" i="2" a="1"/>
  <c r="I559" i="2" s="1"/>
  <c r="I560" i="2" a="1"/>
  <c r="I560" i="2" s="1"/>
  <c r="I561" i="2" a="1"/>
  <c r="I561" i="2" s="1"/>
  <c r="I562" i="2" a="1"/>
  <c r="I562" i="2" s="1"/>
  <c r="I563" i="2" a="1"/>
  <c r="I563" i="2" s="1"/>
  <c r="I564" i="2" a="1"/>
  <c r="I564" i="2" s="1"/>
  <c r="I565" i="2" a="1"/>
  <c r="I565" i="2" s="1"/>
  <c r="I566" i="2" a="1"/>
  <c r="I566" i="2" s="1"/>
  <c r="I567" i="2" a="1"/>
  <c r="I567" i="2" s="1"/>
  <c r="I568" i="2" a="1"/>
  <c r="I568" i="2" s="1"/>
  <c r="I569" i="2" a="1"/>
  <c r="I569" i="2" s="1"/>
  <c r="I570" i="2" a="1"/>
  <c r="I570" i="2" s="1"/>
  <c r="I571" i="2" a="1"/>
  <c r="I571" i="2" s="1"/>
  <c r="I572" i="2" a="1"/>
  <c r="I572" i="2" s="1"/>
  <c r="I573" i="2" a="1"/>
  <c r="I573" i="2" s="1"/>
  <c r="I574" i="2" a="1"/>
  <c r="I574" i="2" s="1"/>
  <c r="I575" i="2" a="1"/>
  <c r="I575" i="2" s="1"/>
  <c r="I576" i="2" a="1"/>
  <c r="I576" i="2" s="1"/>
  <c r="I577" i="2" a="1"/>
  <c r="I577" i="2" s="1"/>
  <c r="I578" i="2" a="1"/>
  <c r="I578" i="2" s="1"/>
  <c r="I579" i="2" a="1"/>
  <c r="I579" i="2" s="1"/>
  <c r="I580" i="2" a="1"/>
  <c r="I580" i="2" s="1"/>
  <c r="I581" i="2" a="1"/>
  <c r="I581" i="2" s="1"/>
  <c r="I582" i="2" a="1"/>
  <c r="I582" i="2" s="1"/>
  <c r="I583" i="2" a="1"/>
  <c r="I583" i="2" s="1"/>
  <c r="I584" i="2" a="1"/>
  <c r="I584" i="2" s="1"/>
  <c r="I585" i="2" a="1"/>
  <c r="I585" i="2" s="1"/>
  <c r="I586" i="2" a="1"/>
  <c r="I586" i="2" s="1"/>
  <c r="I587" i="2" a="1"/>
  <c r="I587" i="2" s="1"/>
  <c r="I588" i="2" a="1"/>
  <c r="I588" i="2" s="1"/>
  <c r="I589" i="2" a="1"/>
  <c r="I589" i="2" s="1"/>
  <c r="I590" i="2" a="1"/>
  <c r="I590" i="2" s="1"/>
  <c r="I591" i="2" a="1"/>
  <c r="I591" i="2" s="1"/>
  <c r="I592" i="2" a="1"/>
  <c r="I592" i="2" s="1"/>
  <c r="I593" i="2" a="1"/>
  <c r="I593" i="2" s="1"/>
  <c r="I594" i="2" a="1"/>
  <c r="I594" i="2" s="1"/>
  <c r="I595" i="2" a="1"/>
  <c r="I595" i="2" s="1"/>
  <c r="I596" i="2" a="1"/>
  <c r="I596" i="2" s="1"/>
  <c r="I597" i="2" a="1"/>
  <c r="I597" i="2" s="1"/>
  <c r="I598" i="2" a="1"/>
  <c r="I598" i="2" s="1"/>
  <c r="I599" i="2" a="1"/>
  <c r="I599" i="2" s="1"/>
  <c r="I600" i="2" a="1"/>
  <c r="I600" i="2" s="1"/>
  <c r="I601" i="2" a="1"/>
  <c r="I601" i="2" s="1"/>
  <c r="I602" i="2" a="1"/>
  <c r="I602" i="2" s="1"/>
  <c r="I603" i="2" a="1"/>
  <c r="I603" i="2" s="1"/>
  <c r="I604" i="2" a="1"/>
  <c r="I604" i="2" s="1"/>
  <c r="I605" i="2" a="1"/>
  <c r="I605" i="2" s="1"/>
  <c r="I606" i="2" a="1"/>
  <c r="I606" i="2" s="1"/>
  <c r="I607" i="2" a="1"/>
  <c r="I607" i="2" s="1"/>
  <c r="I608" i="2" a="1"/>
  <c r="I608" i="2" s="1"/>
  <c r="I609" i="2" a="1"/>
  <c r="I609" i="2" s="1"/>
  <c r="I610" i="2" a="1"/>
  <c r="I610" i="2" s="1"/>
  <c r="I611" i="2" a="1"/>
  <c r="I611" i="2" s="1"/>
  <c r="I612" i="2" a="1"/>
  <c r="I612" i="2" s="1"/>
  <c r="I613" i="2" a="1"/>
  <c r="I613" i="2" s="1"/>
  <c r="I614" i="2" a="1"/>
  <c r="I614" i="2" s="1"/>
  <c r="I615" i="2" a="1"/>
  <c r="I615" i="2" s="1"/>
  <c r="I616" i="2" a="1"/>
  <c r="I616" i="2" s="1"/>
  <c r="I617" i="2" a="1"/>
  <c r="I617" i="2" s="1"/>
  <c r="I618" i="2" a="1"/>
  <c r="I618" i="2" s="1"/>
  <c r="I619" i="2" a="1"/>
  <c r="I619" i="2" s="1"/>
  <c r="I620" i="2" a="1"/>
  <c r="I620" i="2" s="1"/>
  <c r="I621" i="2" a="1"/>
  <c r="I621" i="2" s="1"/>
  <c r="I622" i="2" a="1"/>
  <c r="I622" i="2" s="1"/>
  <c r="I623" i="2" a="1"/>
  <c r="I623" i="2" s="1"/>
  <c r="I624" i="2" a="1"/>
  <c r="I624" i="2" s="1"/>
  <c r="I625" i="2" a="1"/>
  <c r="I625" i="2" s="1"/>
  <c r="I626" i="2" a="1"/>
  <c r="I626" i="2" s="1"/>
  <c r="I627" i="2" a="1"/>
  <c r="I627" i="2" s="1"/>
  <c r="I628" i="2" a="1"/>
  <c r="I628" i="2" s="1"/>
  <c r="I629" i="2" a="1"/>
  <c r="I629" i="2" s="1"/>
  <c r="I630" i="2" a="1"/>
  <c r="I630" i="2" s="1"/>
  <c r="I631" i="2" a="1"/>
  <c r="I631" i="2" s="1"/>
  <c r="I632" i="2" a="1"/>
  <c r="I632" i="2" s="1"/>
  <c r="I633" i="2" a="1"/>
  <c r="I633" i="2" s="1"/>
  <c r="I634" i="2" a="1"/>
  <c r="I634" i="2" s="1"/>
  <c r="I635" i="2" a="1"/>
  <c r="I635" i="2" s="1"/>
  <c r="I636" i="2" a="1"/>
  <c r="I636" i="2" s="1"/>
  <c r="I637" i="2" a="1"/>
  <c r="I637" i="2" s="1"/>
  <c r="I638" i="2" a="1"/>
  <c r="I638" i="2" s="1"/>
  <c r="I639" i="2" a="1"/>
  <c r="I639" i="2" s="1"/>
  <c r="I640" i="2" a="1"/>
  <c r="I640" i="2" s="1"/>
  <c r="I641" i="2" a="1"/>
  <c r="I641" i="2" s="1"/>
  <c r="I642" i="2" a="1"/>
  <c r="I642" i="2" s="1"/>
  <c r="I643" i="2" a="1"/>
  <c r="I643" i="2" s="1"/>
  <c r="I644" i="2" a="1"/>
  <c r="I644" i="2" s="1"/>
  <c r="I645" i="2" a="1"/>
  <c r="I645" i="2" s="1"/>
  <c r="I646" i="2" a="1"/>
  <c r="I646" i="2" s="1"/>
  <c r="I647" i="2" a="1"/>
  <c r="I647" i="2" s="1"/>
  <c r="I648" i="2" a="1"/>
  <c r="I648" i="2" s="1"/>
  <c r="I649" i="2" a="1"/>
  <c r="I649" i="2" s="1"/>
  <c r="I650" i="2" a="1"/>
  <c r="I650" i="2" s="1"/>
  <c r="I651" i="2" a="1"/>
  <c r="I651" i="2" s="1"/>
  <c r="I652" i="2" a="1"/>
  <c r="I652" i="2" s="1"/>
  <c r="I653" i="2" a="1"/>
  <c r="I653" i="2" s="1"/>
  <c r="I654" i="2" a="1"/>
  <c r="I654" i="2" s="1"/>
  <c r="I655" i="2" a="1"/>
  <c r="I655" i="2" s="1"/>
  <c r="I656" i="2" a="1"/>
  <c r="I656" i="2" s="1"/>
  <c r="I657" i="2" a="1"/>
  <c r="I657" i="2" s="1"/>
  <c r="I658" i="2" a="1"/>
  <c r="I658" i="2" s="1"/>
  <c r="I659" i="2" a="1"/>
  <c r="I659" i="2" s="1"/>
  <c r="I660" i="2" a="1"/>
  <c r="I660" i="2" s="1"/>
  <c r="I661" i="2" a="1"/>
  <c r="I661" i="2" s="1"/>
  <c r="I662" i="2" a="1"/>
  <c r="I662" i="2" s="1"/>
  <c r="I663" i="2" a="1"/>
  <c r="I663" i="2" s="1"/>
  <c r="I664" i="2" a="1"/>
  <c r="I664" i="2" s="1"/>
  <c r="I665" i="2" a="1"/>
  <c r="I665" i="2" s="1"/>
  <c r="I666" i="2" a="1"/>
  <c r="I666" i="2" s="1"/>
  <c r="I667" i="2" a="1"/>
  <c r="I667" i="2" s="1"/>
  <c r="I668" i="2" a="1"/>
  <c r="I668" i="2" s="1"/>
  <c r="I669" i="2" a="1"/>
  <c r="I669" i="2" s="1"/>
  <c r="I670" i="2" a="1"/>
  <c r="I670" i="2" s="1"/>
  <c r="I671" i="2" a="1"/>
  <c r="I671" i="2" s="1"/>
  <c r="I672" i="2" a="1"/>
  <c r="I672" i="2" s="1"/>
  <c r="I673" i="2" a="1"/>
  <c r="I673" i="2" s="1"/>
  <c r="I674" i="2" a="1"/>
  <c r="I674" i="2" s="1"/>
  <c r="I675" i="2" a="1"/>
  <c r="I675" i="2" s="1"/>
  <c r="I676" i="2" a="1"/>
  <c r="I676" i="2" s="1"/>
  <c r="I677" i="2" a="1"/>
  <c r="I677" i="2" s="1"/>
  <c r="I678" i="2" a="1"/>
  <c r="I678" i="2" s="1"/>
  <c r="I679" i="2" a="1"/>
  <c r="I679" i="2" s="1"/>
  <c r="I680" i="2" a="1"/>
  <c r="I680" i="2" s="1"/>
  <c r="I681" i="2" a="1"/>
  <c r="I681" i="2" s="1"/>
  <c r="I682" i="2" a="1"/>
  <c r="I682" i="2" s="1"/>
  <c r="I683" i="2" a="1"/>
  <c r="I683" i="2" s="1"/>
  <c r="I684" i="2" a="1"/>
  <c r="I684" i="2" s="1"/>
  <c r="I685" i="2" a="1"/>
  <c r="I685" i="2" s="1"/>
  <c r="I686" i="2" a="1"/>
  <c r="I686" i="2" s="1"/>
  <c r="I687" i="2" a="1"/>
  <c r="I687" i="2" s="1"/>
  <c r="I688" i="2" a="1"/>
  <c r="I688" i="2" s="1"/>
  <c r="I689" i="2" a="1"/>
  <c r="I689" i="2" s="1"/>
  <c r="I690" i="2" a="1"/>
  <c r="I690" i="2" s="1"/>
  <c r="I691" i="2" a="1"/>
  <c r="I691" i="2" s="1"/>
  <c r="I692" i="2" a="1"/>
  <c r="I692" i="2" s="1"/>
  <c r="I693" i="2" a="1"/>
  <c r="I693" i="2" s="1"/>
  <c r="I694" i="2" a="1"/>
  <c r="I694" i="2" s="1"/>
  <c r="I695" i="2" a="1"/>
  <c r="I695" i="2" s="1"/>
  <c r="I696" i="2" a="1"/>
  <c r="I696" i="2" s="1"/>
  <c r="I697" i="2" a="1"/>
  <c r="I697" i="2" s="1"/>
  <c r="I698" i="2" a="1"/>
  <c r="I698" i="2" s="1"/>
  <c r="I699" i="2" a="1"/>
  <c r="I699" i="2" s="1"/>
  <c r="I700" i="2" a="1"/>
  <c r="I700" i="2" s="1"/>
  <c r="I701" i="2" a="1"/>
  <c r="I701" i="2" s="1"/>
  <c r="I702" i="2" a="1"/>
  <c r="I702" i="2" s="1"/>
  <c r="I703" i="2" a="1"/>
  <c r="I703" i="2" s="1"/>
  <c r="I704" i="2" a="1"/>
  <c r="I704" i="2" s="1"/>
  <c r="I705" i="2" a="1"/>
  <c r="I705" i="2" s="1"/>
  <c r="I706" i="2" a="1"/>
  <c r="I706" i="2" s="1"/>
  <c r="I707" i="2" a="1"/>
  <c r="I707" i="2" s="1"/>
  <c r="I708" i="2" a="1"/>
  <c r="I708" i="2" s="1"/>
  <c r="I709" i="2" a="1"/>
  <c r="I709" i="2" s="1"/>
  <c r="I710" i="2" a="1"/>
  <c r="I710" i="2" s="1"/>
  <c r="I711" i="2" a="1"/>
  <c r="I711" i="2" s="1"/>
  <c r="I712" i="2" a="1"/>
  <c r="I712" i="2" s="1"/>
  <c r="I713" i="2" a="1"/>
  <c r="I713" i="2" s="1"/>
  <c r="I714" i="2" a="1"/>
  <c r="I714" i="2" s="1"/>
  <c r="I715" i="2" a="1"/>
  <c r="I715" i="2" s="1"/>
  <c r="I716" i="2" a="1"/>
  <c r="I716" i="2" s="1"/>
  <c r="I717" i="2" a="1"/>
  <c r="I717" i="2" s="1"/>
  <c r="I718" i="2" a="1"/>
  <c r="I718" i="2" s="1"/>
  <c r="I719" i="2" a="1"/>
  <c r="I719" i="2" s="1"/>
  <c r="I720" i="2" a="1"/>
  <c r="I720" i="2" s="1"/>
  <c r="I721" i="2" a="1"/>
  <c r="I721" i="2" s="1"/>
  <c r="I722" i="2" a="1"/>
  <c r="I722" i="2" s="1"/>
  <c r="I723" i="2" a="1"/>
  <c r="I723" i="2" s="1"/>
  <c r="I724" i="2" a="1"/>
  <c r="I724" i="2" s="1"/>
  <c r="I725" i="2" a="1"/>
  <c r="I725" i="2" s="1"/>
  <c r="I726" i="2" a="1"/>
  <c r="I726" i="2" s="1"/>
  <c r="I727" i="2" a="1"/>
  <c r="I727" i="2" s="1"/>
  <c r="I728" i="2" a="1"/>
  <c r="I728" i="2" s="1"/>
  <c r="I729" i="2" a="1"/>
  <c r="I729" i="2" s="1"/>
  <c r="I730" i="2" a="1"/>
  <c r="I730" i="2" s="1"/>
  <c r="I731" i="2" a="1"/>
  <c r="I731" i="2" s="1"/>
  <c r="I732" i="2" a="1"/>
  <c r="I732" i="2" s="1"/>
  <c r="I733" i="2" a="1"/>
  <c r="I733" i="2" s="1"/>
  <c r="I734" i="2" a="1"/>
  <c r="I734" i="2" s="1"/>
  <c r="I735" i="2" a="1"/>
  <c r="I735" i="2" s="1"/>
  <c r="I736" i="2" a="1"/>
  <c r="I736" i="2" s="1"/>
  <c r="I737" i="2" a="1"/>
  <c r="I737" i="2" s="1"/>
  <c r="I738" i="2" a="1"/>
  <c r="I738" i="2" s="1"/>
  <c r="I739" i="2" a="1"/>
  <c r="I739" i="2" s="1"/>
  <c r="I740" i="2" a="1"/>
  <c r="I740" i="2" s="1"/>
  <c r="I741" i="2" a="1"/>
  <c r="I741" i="2" s="1"/>
  <c r="I742" i="2" a="1"/>
  <c r="I742" i="2" s="1"/>
  <c r="I743" i="2" a="1"/>
  <c r="I743" i="2" s="1"/>
  <c r="I744" i="2" a="1"/>
  <c r="I744" i="2" s="1"/>
  <c r="I745" i="2" a="1"/>
  <c r="I745" i="2" s="1"/>
  <c r="I746" i="2" a="1"/>
  <c r="I746" i="2" s="1"/>
  <c r="I747" i="2" a="1"/>
  <c r="I747" i="2" s="1"/>
  <c r="I748" i="2" a="1"/>
  <c r="I748" i="2" s="1"/>
  <c r="I749" i="2" a="1"/>
  <c r="I749" i="2" s="1"/>
  <c r="I750" i="2" a="1"/>
  <c r="I750" i="2" s="1"/>
  <c r="I751" i="2" a="1"/>
  <c r="I751" i="2" s="1"/>
  <c r="I752" i="2" a="1"/>
  <c r="I752" i="2" s="1"/>
  <c r="I753" i="2" a="1"/>
  <c r="I753" i="2" s="1"/>
  <c r="I754" i="2" a="1"/>
  <c r="I754" i="2" s="1"/>
  <c r="I755" i="2" a="1"/>
  <c r="I755" i="2" s="1"/>
  <c r="I756" i="2" a="1"/>
  <c r="I756" i="2" s="1"/>
  <c r="I757" i="2" a="1"/>
  <c r="I757" i="2" s="1"/>
  <c r="I758" i="2" a="1"/>
  <c r="I758" i="2" s="1"/>
  <c r="I759" i="2" a="1"/>
  <c r="I759" i="2" s="1"/>
  <c r="I760" i="2" a="1"/>
  <c r="I760" i="2" s="1"/>
  <c r="I761" i="2" a="1"/>
  <c r="I761" i="2" s="1"/>
  <c r="I762" i="2" a="1"/>
  <c r="I762" i="2" s="1"/>
  <c r="I763" i="2" a="1"/>
  <c r="I763" i="2" s="1"/>
  <c r="I764" i="2" a="1"/>
  <c r="I764" i="2" s="1"/>
  <c r="I765" i="2" a="1"/>
  <c r="I765" i="2" s="1"/>
  <c r="I766" i="2" a="1"/>
  <c r="I766" i="2" s="1"/>
  <c r="I767" i="2" a="1"/>
  <c r="I767" i="2" s="1"/>
  <c r="I768" i="2" a="1"/>
  <c r="I768" i="2" s="1"/>
  <c r="I769" i="2" a="1"/>
  <c r="I769" i="2" s="1"/>
  <c r="I770" i="2" a="1"/>
  <c r="I770" i="2" s="1"/>
  <c r="I771" i="2" a="1"/>
  <c r="I771" i="2" s="1"/>
  <c r="I772" i="2" a="1"/>
  <c r="I772" i="2" s="1"/>
  <c r="I773" i="2" a="1"/>
  <c r="I773" i="2" s="1"/>
  <c r="I774" i="2" a="1"/>
  <c r="I774" i="2" s="1"/>
  <c r="I775" i="2" a="1"/>
  <c r="I775" i="2" s="1"/>
  <c r="I776" i="2" a="1"/>
  <c r="I776" i="2" s="1"/>
  <c r="I777" i="2" a="1"/>
  <c r="I777" i="2" s="1"/>
  <c r="I778" i="2" a="1"/>
  <c r="I778" i="2" s="1"/>
  <c r="I779" i="2" a="1"/>
  <c r="I779" i="2" s="1"/>
  <c r="I780" i="2" a="1"/>
  <c r="I780" i="2" s="1"/>
  <c r="I781" i="2" a="1"/>
  <c r="I781" i="2" s="1"/>
  <c r="I782" i="2" a="1"/>
  <c r="I782" i="2" s="1"/>
  <c r="I783" i="2" a="1"/>
  <c r="I783" i="2" s="1"/>
  <c r="I784" i="2" a="1"/>
  <c r="I784" i="2" s="1"/>
  <c r="I785" i="2" a="1"/>
  <c r="I785" i="2" s="1"/>
  <c r="I786" i="2" a="1"/>
  <c r="I786" i="2" s="1"/>
  <c r="I787" i="2" a="1"/>
  <c r="I787" i="2" s="1"/>
  <c r="I788" i="2" a="1"/>
  <c r="I788" i="2" s="1"/>
  <c r="I789" i="2" a="1"/>
  <c r="I789" i="2" s="1"/>
  <c r="I790" i="2" a="1"/>
  <c r="I790" i="2" s="1"/>
  <c r="I791" i="2" a="1"/>
  <c r="I791" i="2" s="1"/>
  <c r="I792" i="2" a="1"/>
  <c r="I792" i="2" s="1"/>
  <c r="I793" i="2" a="1"/>
  <c r="I793" i="2" s="1"/>
  <c r="I794" i="2" a="1"/>
  <c r="I794" i="2" s="1"/>
  <c r="I795" i="2" a="1"/>
  <c r="I795" i="2" s="1"/>
  <c r="I796" i="2" a="1"/>
  <c r="I796" i="2" s="1"/>
  <c r="I797" i="2" a="1"/>
  <c r="I797" i="2" s="1"/>
  <c r="I798" i="2" a="1"/>
  <c r="I798" i="2" s="1"/>
  <c r="I799" i="2" a="1"/>
  <c r="I799" i="2" s="1"/>
  <c r="I800" i="2" a="1"/>
  <c r="I800" i="2" s="1"/>
  <c r="I801" i="2" a="1"/>
  <c r="I801" i="2" s="1"/>
  <c r="I802" i="2" a="1"/>
  <c r="I802" i="2" s="1"/>
  <c r="I803" i="2" a="1"/>
  <c r="I803" i="2" s="1"/>
  <c r="I804" i="2" a="1"/>
  <c r="I804" i="2" s="1"/>
  <c r="I805" i="2" a="1"/>
  <c r="I805" i="2" s="1"/>
  <c r="I806" i="2" a="1"/>
  <c r="I806" i="2" s="1"/>
  <c r="I807" i="2" a="1"/>
  <c r="I807" i="2" s="1"/>
  <c r="I808" i="2" a="1"/>
  <c r="I808" i="2" s="1"/>
  <c r="I809" i="2" a="1"/>
  <c r="I809" i="2" s="1"/>
  <c r="I810" i="2" a="1"/>
  <c r="I810" i="2" s="1"/>
  <c r="I811" i="2" a="1"/>
  <c r="I811" i="2" s="1"/>
  <c r="I812" i="2" a="1"/>
  <c r="I812" i="2" s="1"/>
  <c r="I813" i="2" a="1"/>
  <c r="I813" i="2" s="1"/>
  <c r="I814" i="2" a="1"/>
  <c r="I814" i="2" s="1"/>
  <c r="I815" i="2" a="1"/>
  <c r="I815" i="2" s="1"/>
  <c r="I816" i="2" a="1"/>
  <c r="I816" i="2" s="1"/>
  <c r="I817" i="2" a="1"/>
  <c r="I817" i="2" s="1"/>
  <c r="I818" i="2" a="1"/>
  <c r="I818" i="2" s="1"/>
  <c r="I819" i="2" a="1"/>
  <c r="I819" i="2" s="1"/>
  <c r="I820" i="2" a="1"/>
  <c r="I820" i="2" s="1"/>
  <c r="I821" i="2" a="1"/>
  <c r="I821" i="2" s="1"/>
  <c r="I822" i="2" a="1"/>
  <c r="I822" i="2" s="1"/>
  <c r="I823" i="2" a="1"/>
  <c r="I823" i="2" s="1"/>
  <c r="I824" i="2" a="1"/>
  <c r="I824" i="2" s="1"/>
  <c r="I825" i="2" a="1"/>
  <c r="I825" i="2" s="1"/>
  <c r="I826" i="2" a="1"/>
  <c r="I826" i="2" s="1"/>
  <c r="I827" i="2" a="1"/>
  <c r="I827" i="2" s="1"/>
  <c r="I828" i="2" a="1"/>
  <c r="I828" i="2" s="1"/>
  <c r="I829" i="2" a="1"/>
  <c r="I829" i="2" s="1"/>
  <c r="I830" i="2" a="1"/>
  <c r="I830" i="2" s="1"/>
  <c r="I831" i="2" a="1"/>
  <c r="I831" i="2" s="1"/>
  <c r="I832" i="2" a="1"/>
  <c r="I832" i="2" s="1"/>
  <c r="I833" i="2" a="1"/>
  <c r="I833" i="2" s="1"/>
  <c r="I834" i="2" a="1"/>
  <c r="I834" i="2" s="1"/>
  <c r="I835" i="2" a="1"/>
  <c r="I835" i="2" s="1"/>
  <c r="I836" i="2" a="1"/>
  <c r="I836" i="2" s="1"/>
  <c r="I837" i="2" a="1"/>
  <c r="I837" i="2" s="1"/>
  <c r="I838" i="2" a="1"/>
  <c r="I838" i="2" s="1"/>
  <c r="I839" i="2" a="1"/>
  <c r="I839" i="2" s="1"/>
  <c r="I840" i="2" a="1"/>
  <c r="I840" i="2" s="1"/>
  <c r="I841" i="2" a="1"/>
  <c r="I841" i="2" s="1"/>
  <c r="I842" i="2" a="1"/>
  <c r="I842" i="2" s="1"/>
  <c r="I843" i="2" a="1"/>
  <c r="I843" i="2" s="1"/>
  <c r="I844" i="2" a="1"/>
  <c r="I844" i="2" s="1"/>
  <c r="I845" i="2" a="1"/>
  <c r="I845" i="2" s="1"/>
  <c r="I846" i="2" a="1"/>
  <c r="I846" i="2" s="1"/>
  <c r="I847" i="2" a="1"/>
  <c r="I847" i="2" s="1"/>
  <c r="I848" i="2" a="1"/>
  <c r="I848" i="2" s="1"/>
  <c r="I849" i="2" a="1"/>
  <c r="I849" i="2" s="1"/>
  <c r="I850" i="2" a="1"/>
  <c r="I850" i="2" s="1"/>
  <c r="I851" i="2" a="1"/>
  <c r="I851" i="2" s="1"/>
  <c r="I852" i="2" a="1"/>
  <c r="I852" i="2" s="1"/>
  <c r="I853" i="2" a="1"/>
  <c r="I853" i="2" s="1"/>
  <c r="I854" i="2" a="1"/>
  <c r="I854" i="2" s="1"/>
  <c r="I855" i="2" a="1"/>
  <c r="I855" i="2" s="1"/>
  <c r="I856" i="2" a="1"/>
  <c r="I856" i="2" s="1"/>
  <c r="I857" i="2" a="1"/>
  <c r="I857" i="2" s="1"/>
  <c r="I858" i="2" a="1"/>
  <c r="I858" i="2" s="1"/>
  <c r="I859" i="2" a="1"/>
  <c r="I859" i="2" s="1"/>
  <c r="I860" i="2" a="1"/>
  <c r="I860" i="2" s="1"/>
  <c r="I861" i="2" a="1"/>
  <c r="I861" i="2" s="1"/>
  <c r="I862" i="2" a="1"/>
  <c r="I862" i="2" s="1"/>
  <c r="I863" i="2" a="1"/>
  <c r="I863" i="2" s="1"/>
  <c r="I864" i="2" a="1"/>
  <c r="I864" i="2" s="1"/>
  <c r="I865" i="2" a="1"/>
  <c r="I865" i="2" s="1"/>
  <c r="I866" i="2" a="1"/>
  <c r="I866" i="2" s="1"/>
  <c r="I867" i="2" a="1"/>
  <c r="I867" i="2" s="1"/>
  <c r="I868" i="2" a="1"/>
  <c r="I868" i="2" s="1"/>
  <c r="I869" i="2" a="1"/>
  <c r="I869" i="2" s="1"/>
  <c r="I870" i="2" a="1"/>
  <c r="I870" i="2" s="1"/>
  <c r="I871" i="2" a="1"/>
  <c r="I871" i="2" s="1"/>
  <c r="I872" i="2" a="1"/>
  <c r="I872" i="2" s="1"/>
  <c r="I873" i="2" a="1"/>
  <c r="I873" i="2" s="1"/>
  <c r="I874" i="2" a="1"/>
  <c r="I874" i="2" s="1"/>
  <c r="I875" i="2" a="1"/>
  <c r="I875" i="2" s="1"/>
  <c r="I876" i="2" a="1"/>
  <c r="I876" i="2" s="1"/>
  <c r="I877" i="2" a="1"/>
  <c r="I877" i="2" s="1"/>
  <c r="I878" i="2" a="1"/>
  <c r="I878" i="2" s="1"/>
  <c r="I879" i="2" a="1"/>
  <c r="I879" i="2" s="1"/>
  <c r="I880" i="2" a="1"/>
  <c r="I880" i="2" s="1"/>
  <c r="I881" i="2" a="1"/>
  <c r="I881" i="2" s="1"/>
  <c r="I882" i="2" a="1"/>
  <c r="I882" i="2" s="1"/>
  <c r="I883" i="2" a="1"/>
  <c r="I883" i="2" s="1"/>
  <c r="I884" i="2" a="1"/>
  <c r="I884" i="2" s="1"/>
  <c r="I885" i="2" a="1"/>
  <c r="I885" i="2" s="1"/>
  <c r="I886" i="2" a="1"/>
  <c r="I886" i="2" s="1"/>
  <c r="I887" i="2" a="1"/>
  <c r="I887" i="2" s="1"/>
  <c r="I888" i="2" a="1"/>
  <c r="I888" i="2" s="1"/>
  <c r="I889" i="2" a="1"/>
  <c r="I889" i="2" s="1"/>
  <c r="I890" i="2" a="1"/>
  <c r="I890" i="2" s="1"/>
  <c r="I891" i="2" a="1"/>
  <c r="I891" i="2" s="1"/>
  <c r="I892" i="2" a="1"/>
  <c r="I892" i="2" s="1"/>
  <c r="I893" i="2" a="1"/>
  <c r="I893" i="2" s="1"/>
  <c r="I894" i="2" a="1"/>
  <c r="I894" i="2" s="1"/>
  <c r="I895" i="2" a="1"/>
  <c r="I895" i="2" s="1"/>
  <c r="I896" i="2" a="1"/>
  <c r="I896" i="2" s="1"/>
  <c r="I897" i="2" a="1"/>
  <c r="I897" i="2" s="1"/>
  <c r="I898" i="2" a="1"/>
  <c r="I898" i="2" s="1"/>
  <c r="I899" i="2" a="1"/>
  <c r="I899" i="2" s="1"/>
  <c r="I900" i="2" a="1"/>
  <c r="I900" i="2" s="1"/>
  <c r="I901" i="2" a="1"/>
  <c r="I901" i="2" s="1"/>
  <c r="I902" i="2" a="1"/>
  <c r="I902" i="2" s="1"/>
  <c r="I903" i="2" a="1"/>
  <c r="I903" i="2" s="1"/>
  <c r="I904" i="2" a="1"/>
  <c r="I904" i="2" s="1"/>
  <c r="I905" i="2" a="1"/>
  <c r="I905" i="2" s="1"/>
  <c r="I906" i="2" a="1"/>
  <c r="I906" i="2" s="1"/>
  <c r="I907" i="2" a="1"/>
  <c r="I907" i="2" s="1"/>
  <c r="I908" i="2" a="1"/>
  <c r="I908" i="2" s="1"/>
  <c r="I909" i="2" a="1"/>
  <c r="I909" i="2" s="1"/>
  <c r="I910" i="2" a="1"/>
  <c r="I910" i="2" s="1"/>
  <c r="I911" i="2" a="1"/>
  <c r="I911" i="2" s="1"/>
  <c r="I912" i="2" a="1"/>
  <c r="I912" i="2" s="1"/>
  <c r="I913" i="2" a="1"/>
  <c r="I913" i="2" s="1"/>
  <c r="I914" i="2" a="1"/>
  <c r="I914" i="2" s="1"/>
  <c r="I915" i="2" a="1"/>
  <c r="I915" i="2" s="1"/>
  <c r="I916" i="2" a="1"/>
  <c r="I916" i="2" s="1"/>
  <c r="I917" i="2" a="1"/>
  <c r="I917" i="2" s="1"/>
  <c r="I918" i="2" a="1"/>
  <c r="I918" i="2" s="1"/>
  <c r="I919" i="2" a="1"/>
  <c r="I919" i="2" s="1"/>
  <c r="I920" i="2" a="1"/>
  <c r="I920" i="2" s="1"/>
  <c r="I921" i="2" a="1"/>
  <c r="I921" i="2" s="1"/>
  <c r="I922" i="2" a="1"/>
  <c r="I922" i="2" s="1"/>
  <c r="I923" i="2" a="1"/>
  <c r="I923" i="2" s="1"/>
  <c r="I924" i="2" a="1"/>
  <c r="I924" i="2" s="1"/>
  <c r="I925" i="2" a="1"/>
  <c r="I925" i="2" s="1"/>
  <c r="I926" i="2" a="1"/>
  <c r="I926" i="2" s="1"/>
  <c r="I927" i="2" a="1"/>
  <c r="I927" i="2" s="1"/>
  <c r="I928" i="2" a="1"/>
  <c r="I928" i="2" s="1"/>
  <c r="I929" i="2" a="1"/>
  <c r="I929" i="2" s="1"/>
  <c r="I930" i="2" a="1"/>
  <c r="I930" i="2" s="1"/>
  <c r="I931" i="2" a="1"/>
  <c r="I931" i="2" s="1"/>
  <c r="I932" i="2" a="1"/>
  <c r="I932" i="2" s="1"/>
  <c r="I933" i="2" a="1"/>
  <c r="I933" i="2" s="1"/>
  <c r="I934" i="2" a="1"/>
  <c r="I934" i="2" s="1"/>
  <c r="I935" i="2" a="1"/>
  <c r="I935" i="2" s="1"/>
  <c r="I936" i="2" a="1"/>
  <c r="I936" i="2" s="1"/>
  <c r="I937" i="2" a="1"/>
  <c r="I937" i="2" s="1"/>
  <c r="I938" i="2" a="1"/>
  <c r="I938" i="2" s="1"/>
  <c r="I939" i="2" a="1"/>
  <c r="I939" i="2" s="1"/>
  <c r="I940" i="2" a="1"/>
  <c r="I940" i="2" s="1"/>
  <c r="I941" i="2" a="1"/>
  <c r="I941" i="2" s="1"/>
  <c r="I942" i="2" a="1"/>
  <c r="I942" i="2" s="1"/>
  <c r="I943" i="2" a="1"/>
  <c r="I943" i="2" s="1"/>
  <c r="I944" i="2" a="1"/>
  <c r="I944" i="2" s="1"/>
  <c r="I945" i="2" a="1"/>
  <c r="I945" i="2" s="1"/>
  <c r="I946" i="2" a="1"/>
  <c r="I946" i="2" s="1"/>
  <c r="I947" i="2" a="1"/>
  <c r="I947" i="2" s="1"/>
  <c r="I948" i="2" a="1"/>
  <c r="I948" i="2" s="1"/>
  <c r="I949" i="2" a="1"/>
  <c r="I949" i="2" s="1"/>
  <c r="I950" i="2" a="1"/>
  <c r="I950" i="2" s="1"/>
  <c r="I951" i="2" a="1"/>
  <c r="I951" i="2" s="1"/>
  <c r="I952" i="2" a="1"/>
  <c r="I952" i="2" s="1"/>
  <c r="I953" i="2" a="1"/>
  <c r="I953" i="2" s="1"/>
  <c r="I954" i="2" a="1"/>
  <c r="I954" i="2" s="1"/>
  <c r="I955" i="2" a="1"/>
  <c r="I955" i="2" s="1"/>
  <c r="I956" i="2" a="1"/>
  <c r="I956" i="2" s="1"/>
  <c r="I957" i="2" a="1"/>
  <c r="I957" i="2" s="1"/>
  <c r="I958" i="2" a="1"/>
  <c r="I958" i="2" s="1"/>
  <c r="I959" i="2" a="1"/>
  <c r="I959" i="2" s="1"/>
  <c r="I960" i="2" a="1"/>
  <c r="I960" i="2" s="1"/>
  <c r="I961" i="2" a="1"/>
  <c r="I961" i="2" s="1"/>
  <c r="I962" i="2" a="1"/>
  <c r="I962" i="2" s="1"/>
  <c r="I963" i="2" a="1"/>
  <c r="I963" i="2" s="1"/>
  <c r="I964" i="2" a="1"/>
  <c r="I964" i="2" s="1"/>
  <c r="I965" i="2" a="1"/>
  <c r="I965" i="2" s="1"/>
  <c r="I966" i="2" a="1"/>
  <c r="I966" i="2" s="1"/>
  <c r="I967" i="2" a="1"/>
  <c r="I967" i="2" s="1"/>
  <c r="I968" i="2" a="1"/>
  <c r="I968" i="2" s="1"/>
  <c r="I969" i="2" a="1"/>
  <c r="I969" i="2" s="1"/>
  <c r="I970" i="2" a="1"/>
  <c r="I970" i="2" s="1"/>
  <c r="I971" i="2" a="1"/>
  <c r="I971" i="2" s="1"/>
  <c r="I972" i="2" a="1"/>
  <c r="I972" i="2" s="1"/>
  <c r="I973" i="2" a="1"/>
  <c r="I973" i="2" s="1"/>
  <c r="I974" i="2" a="1"/>
  <c r="I974" i="2" s="1"/>
  <c r="I975" i="2" a="1"/>
  <c r="I975" i="2" s="1"/>
  <c r="I976" i="2" a="1"/>
  <c r="I976" i="2" s="1"/>
  <c r="I977" i="2" a="1"/>
  <c r="I977" i="2" s="1"/>
  <c r="I978" i="2" a="1"/>
  <c r="I978" i="2" s="1"/>
  <c r="I979" i="2" a="1"/>
  <c r="I979" i="2" s="1"/>
  <c r="I980" i="2" a="1"/>
  <c r="I980" i="2" s="1"/>
  <c r="I981" i="2" a="1"/>
  <c r="I981" i="2" s="1"/>
  <c r="I982" i="2" a="1"/>
  <c r="I982" i="2" s="1"/>
  <c r="I983" i="2" a="1"/>
  <c r="I983" i="2" s="1"/>
  <c r="I984" i="2" a="1"/>
  <c r="I984" i="2" s="1"/>
  <c r="I985" i="2" a="1"/>
  <c r="I985" i="2" s="1"/>
  <c r="I986" i="2" a="1"/>
  <c r="I986" i="2" s="1"/>
  <c r="I987" i="2" a="1"/>
  <c r="I987" i="2" s="1"/>
  <c r="I988" i="2" a="1"/>
  <c r="I988" i="2" s="1"/>
  <c r="I989" i="2" a="1"/>
  <c r="I989" i="2" s="1"/>
  <c r="I990" i="2" a="1"/>
  <c r="I990" i="2" s="1"/>
  <c r="I991" i="2" a="1"/>
  <c r="I991" i="2" s="1"/>
  <c r="I992" i="2" a="1"/>
  <c r="I992" i="2" s="1"/>
  <c r="I993" i="2" a="1"/>
  <c r="I993" i="2" s="1"/>
  <c r="I994" i="2" a="1"/>
  <c r="I994" i="2" s="1"/>
  <c r="I995" i="2" a="1"/>
  <c r="I995" i="2" s="1"/>
  <c r="I996" i="2" a="1"/>
  <c r="I996" i="2" s="1"/>
  <c r="I997" i="2" a="1"/>
  <c r="I997" i="2" s="1"/>
  <c r="I998" i="2" a="1"/>
  <c r="I998" i="2" s="1"/>
  <c r="I999" i="2" a="1"/>
  <c r="I999" i="2" s="1"/>
  <c r="I1000" i="2" a="1"/>
  <c r="I1000" i="2" s="1"/>
  <c r="I1001" i="2" a="1"/>
  <c r="I1001" i="2" s="1"/>
  <c r="I1002" i="2" a="1"/>
  <c r="I1002" i="2" s="1"/>
  <c r="I1003" i="2" a="1"/>
  <c r="I1003" i="2" s="1"/>
  <c r="I1004" i="2" a="1"/>
  <c r="I1004" i="2" s="1"/>
  <c r="I1005" i="2" a="1"/>
  <c r="I1005" i="2" s="1"/>
  <c r="I1006" i="2" a="1"/>
  <c r="I1006" i="2" s="1"/>
  <c r="I1007" i="2" a="1"/>
  <c r="I1007" i="2" s="1"/>
  <c r="I1008" i="2" a="1"/>
  <c r="I1008" i="2" s="1"/>
  <c r="I1009" i="2" a="1"/>
  <c r="I1009" i="2" s="1"/>
  <c r="I1010" i="2" a="1"/>
  <c r="I1010" i="2" s="1"/>
  <c r="I1011" i="2" a="1"/>
  <c r="I1011" i="2" s="1"/>
  <c r="I1012" i="2" a="1"/>
  <c r="I1012" i="2" s="1"/>
  <c r="I1013" i="2" a="1"/>
  <c r="I1013" i="2" s="1"/>
  <c r="I1014" i="2" a="1"/>
  <c r="I1014" i="2" s="1"/>
  <c r="I1015" i="2" a="1"/>
  <c r="I1015" i="2" s="1"/>
  <c r="I1016" i="2" a="1"/>
  <c r="I1016" i="2" s="1"/>
  <c r="I1017" i="2" a="1"/>
  <c r="I1017" i="2" s="1"/>
  <c r="I1018" i="2" a="1"/>
  <c r="I1018" i="2" s="1"/>
  <c r="I1019" i="2" a="1"/>
  <c r="I1019" i="2" s="1"/>
  <c r="I1020" i="2" a="1"/>
  <c r="I1020" i="2" s="1"/>
  <c r="I1021" i="2" a="1"/>
  <c r="I1021" i="2" s="1"/>
  <c r="I1022" i="2" a="1"/>
  <c r="I1022" i="2" s="1"/>
  <c r="I1023" i="2" a="1"/>
  <c r="I1023" i="2" s="1"/>
  <c r="I1024" i="2" a="1"/>
  <c r="I1024" i="2" s="1"/>
  <c r="I1025" i="2" a="1"/>
  <c r="I1025" i="2" s="1"/>
  <c r="I1026" i="2" a="1"/>
  <c r="I1026" i="2" s="1"/>
  <c r="I1027" i="2" a="1"/>
  <c r="I1027" i="2" s="1"/>
  <c r="I1028" i="2" a="1"/>
  <c r="I1028" i="2" s="1"/>
  <c r="I1029" i="2" a="1"/>
  <c r="I1029" i="2" s="1"/>
  <c r="I1030" i="2" a="1"/>
  <c r="I1030" i="2" s="1"/>
  <c r="I1031" i="2" a="1"/>
  <c r="I1031" i="2" s="1"/>
  <c r="I1032" i="2" a="1"/>
  <c r="I1032" i="2" s="1"/>
  <c r="I1033" i="2" a="1"/>
  <c r="I1033" i="2" s="1"/>
  <c r="I1034" i="2" a="1"/>
  <c r="I1034" i="2" s="1"/>
  <c r="I1035" i="2" a="1"/>
  <c r="I1035" i="2" s="1"/>
  <c r="I1036" i="2" a="1"/>
  <c r="I1036" i="2" s="1"/>
  <c r="I1037" i="2" a="1"/>
  <c r="I1037" i="2" s="1"/>
  <c r="I1038" i="2" a="1"/>
  <c r="I1038" i="2" s="1"/>
  <c r="I1039" i="2" a="1"/>
  <c r="I1039" i="2" s="1"/>
  <c r="I1040" i="2" a="1"/>
  <c r="I1040" i="2" s="1"/>
  <c r="I1041" i="2" a="1"/>
  <c r="I1041" i="2" s="1"/>
  <c r="I1042" i="2" a="1"/>
  <c r="I1042" i="2" s="1"/>
  <c r="I1043" i="2" a="1"/>
  <c r="I1043" i="2" s="1"/>
  <c r="I1044" i="2" a="1"/>
  <c r="I1044" i="2" s="1"/>
  <c r="I1045" i="2" a="1"/>
  <c r="I1045" i="2" s="1"/>
  <c r="I1046" i="2" a="1"/>
  <c r="I1046" i="2" s="1"/>
  <c r="I1047" i="2" a="1"/>
  <c r="I1047" i="2" s="1"/>
  <c r="I1048" i="2" a="1"/>
  <c r="I1048" i="2" s="1"/>
  <c r="I1049" i="2" a="1"/>
  <c r="I1049" i="2" s="1"/>
  <c r="I1050" i="2" a="1"/>
  <c r="I1050" i="2" s="1"/>
  <c r="I1051" i="2" a="1"/>
  <c r="I1051" i="2" s="1"/>
  <c r="I1052" i="2" a="1"/>
  <c r="I1052" i="2" s="1"/>
  <c r="I1053" i="2" a="1"/>
  <c r="I1053" i="2" s="1"/>
  <c r="I1054" i="2" a="1"/>
  <c r="I1054" i="2" s="1"/>
  <c r="I1055" i="2" a="1"/>
  <c r="I1055" i="2" s="1"/>
  <c r="I1056" i="2" a="1"/>
  <c r="I1056" i="2" s="1"/>
  <c r="I1057" i="2" a="1"/>
  <c r="I1057" i="2" s="1"/>
  <c r="I1058" i="2" a="1"/>
  <c r="I1058" i="2" s="1"/>
  <c r="I1059" i="2" a="1"/>
  <c r="I1059" i="2" s="1"/>
  <c r="I1060" i="2" a="1"/>
  <c r="I1060" i="2" s="1"/>
  <c r="I1061" i="2" a="1"/>
  <c r="I1061" i="2" s="1"/>
  <c r="I1062" i="2" a="1"/>
  <c r="I1062" i="2" s="1"/>
  <c r="I1063" i="2" a="1"/>
  <c r="I1063" i="2" s="1"/>
  <c r="I1064" i="2" a="1"/>
  <c r="I1064" i="2" s="1"/>
  <c r="I1065" i="2" a="1"/>
  <c r="I1065" i="2" s="1"/>
  <c r="I1066" i="2" a="1"/>
  <c r="I1066" i="2" s="1"/>
  <c r="I1067" i="2" a="1"/>
  <c r="I1067" i="2" s="1"/>
  <c r="I1068" i="2" a="1"/>
  <c r="I1068" i="2" s="1"/>
  <c r="I1069" i="2" a="1"/>
  <c r="I1069" i="2" s="1"/>
  <c r="I1070" i="2" a="1"/>
  <c r="I1070" i="2" s="1"/>
  <c r="I1071" i="2" a="1"/>
  <c r="I1071" i="2" s="1"/>
  <c r="I1072" i="2" a="1"/>
  <c r="I1072" i="2" s="1"/>
  <c r="I1073" i="2" a="1"/>
  <c r="I1073" i="2" s="1"/>
  <c r="I1074" i="2" a="1"/>
  <c r="I1074" i="2" s="1"/>
  <c r="I1075" i="2" a="1"/>
  <c r="I1075" i="2" s="1"/>
  <c r="I1076" i="2" a="1"/>
  <c r="I1076" i="2" s="1"/>
  <c r="I1077" i="2" a="1"/>
  <c r="I1077" i="2" s="1"/>
  <c r="I1078" i="2" a="1"/>
  <c r="I1078" i="2" s="1"/>
  <c r="I1079" i="2" a="1"/>
  <c r="I1079" i="2" s="1"/>
  <c r="I1080" i="2" a="1"/>
  <c r="I1080" i="2" s="1"/>
  <c r="I1081" i="2" a="1"/>
  <c r="I1081" i="2" s="1"/>
  <c r="I1082" i="2" a="1"/>
  <c r="I1082" i="2" s="1"/>
  <c r="I1083" i="2" a="1"/>
  <c r="I1083" i="2" s="1"/>
  <c r="I1084" i="2" a="1"/>
  <c r="I1084" i="2" s="1"/>
  <c r="I1085" i="2" a="1"/>
  <c r="I1085" i="2" s="1"/>
  <c r="I1086" i="2" a="1"/>
  <c r="I1086" i="2" s="1"/>
  <c r="I1087" i="2" a="1"/>
  <c r="I1087" i="2" s="1"/>
  <c r="I1088" i="2" a="1"/>
  <c r="I1088" i="2" s="1"/>
  <c r="I1089" i="2" a="1"/>
  <c r="I1089" i="2" s="1"/>
  <c r="I1090" i="2" a="1"/>
  <c r="I1090" i="2" s="1"/>
  <c r="I1091" i="2" a="1"/>
  <c r="I1091" i="2" s="1"/>
  <c r="I1092" i="2" a="1"/>
  <c r="I1092" i="2" s="1"/>
  <c r="I1093" i="2" a="1"/>
  <c r="I1093" i="2" s="1"/>
  <c r="I1094" i="2" a="1"/>
  <c r="I1094" i="2" s="1"/>
  <c r="I1095" i="2" a="1"/>
  <c r="I1095" i="2" s="1"/>
  <c r="I1096" i="2" a="1"/>
  <c r="I1096" i="2" s="1"/>
  <c r="I1097" i="2" a="1"/>
  <c r="I1097" i="2" s="1"/>
  <c r="I1098" i="2" a="1"/>
  <c r="I1098" i="2" s="1"/>
  <c r="I1099" i="2" a="1"/>
  <c r="I1099" i="2" s="1"/>
  <c r="I1100" i="2" a="1"/>
  <c r="I1100" i="2" s="1"/>
  <c r="I1101" i="2" a="1"/>
  <c r="I1101" i="2" s="1"/>
  <c r="I1102" i="2" a="1"/>
  <c r="I1102" i="2" s="1"/>
  <c r="I1103" i="2" a="1"/>
  <c r="I1103" i="2" s="1"/>
  <c r="I1104" i="2" a="1"/>
  <c r="I1104" i="2" s="1"/>
  <c r="I1105" i="2" a="1"/>
  <c r="I1105" i="2" s="1"/>
  <c r="I1106" i="2" a="1"/>
  <c r="I1106" i="2" s="1"/>
  <c r="I1107" i="2" a="1"/>
  <c r="I1107" i="2" s="1"/>
  <c r="I1108" i="2" a="1"/>
  <c r="I1108" i="2" s="1"/>
  <c r="I1109" i="2" a="1"/>
  <c r="I1109" i="2" s="1"/>
  <c r="I1110" i="2" a="1"/>
  <c r="I1110" i="2" s="1"/>
  <c r="I1111" i="2" a="1"/>
  <c r="I1111" i="2" s="1"/>
  <c r="I1112" i="2" a="1"/>
  <c r="I1112" i="2" s="1"/>
  <c r="I1113" i="2" a="1"/>
  <c r="I1113" i="2" s="1"/>
  <c r="I1114" i="2" a="1"/>
  <c r="I1114" i="2" s="1"/>
  <c r="I1115" i="2" a="1"/>
  <c r="I1115" i="2" s="1"/>
  <c r="I1116" i="2" a="1"/>
  <c r="I1116" i="2" s="1"/>
  <c r="I1117" i="2" a="1"/>
  <c r="I1117" i="2" s="1"/>
  <c r="I1118" i="2" a="1"/>
  <c r="I1118" i="2" s="1"/>
  <c r="I1119" i="2" a="1"/>
  <c r="I1119" i="2" s="1"/>
  <c r="I1120" i="2" a="1"/>
  <c r="I1120" i="2" s="1"/>
  <c r="I1121" i="2" a="1"/>
  <c r="I1121" i="2" s="1"/>
  <c r="I1122" i="2" a="1"/>
  <c r="I1122" i="2" s="1"/>
  <c r="I1123" i="2" a="1"/>
  <c r="I1123" i="2" s="1"/>
  <c r="I1124" i="2" a="1"/>
  <c r="I1124" i="2" s="1"/>
  <c r="I1125" i="2" a="1"/>
  <c r="I1125" i="2" s="1"/>
  <c r="I1126" i="2" a="1"/>
  <c r="I1126" i="2" s="1"/>
  <c r="I1127" i="2" a="1"/>
  <c r="I1127" i="2" s="1"/>
  <c r="I1128" i="2" a="1"/>
  <c r="I1128" i="2" s="1"/>
  <c r="I1129" i="2" a="1"/>
  <c r="I1129" i="2" s="1"/>
  <c r="I1130" i="2" a="1"/>
  <c r="I1130" i="2" s="1"/>
  <c r="I1131" i="2" a="1"/>
  <c r="I1131" i="2" s="1"/>
  <c r="I1132" i="2" a="1"/>
  <c r="I1132" i="2" s="1"/>
  <c r="I1133" i="2" a="1"/>
  <c r="I1133" i="2" s="1"/>
  <c r="I1134" i="2" a="1"/>
  <c r="I1134" i="2" s="1"/>
  <c r="I1135" i="2" a="1"/>
  <c r="I1135" i="2" s="1"/>
  <c r="I1136" i="2" a="1"/>
  <c r="I1136" i="2" s="1"/>
  <c r="I1137" i="2" a="1"/>
  <c r="I1137" i="2" s="1"/>
  <c r="I1138" i="2" a="1"/>
  <c r="I1138" i="2" s="1"/>
  <c r="I1139" i="2" a="1"/>
  <c r="I1139" i="2" s="1"/>
  <c r="I1140" i="2" a="1"/>
  <c r="I1140" i="2" s="1"/>
  <c r="I1141" i="2" a="1"/>
  <c r="I1141" i="2" s="1"/>
  <c r="I1142" i="2" a="1"/>
  <c r="I1142" i="2" s="1"/>
  <c r="I1143" i="2" a="1"/>
  <c r="I1143" i="2" s="1"/>
  <c r="I1144" i="2" a="1"/>
  <c r="I1144" i="2" s="1"/>
  <c r="I1145" i="2" a="1"/>
  <c r="I1145" i="2" s="1"/>
  <c r="I1146" i="2" a="1"/>
  <c r="I1146" i="2" s="1"/>
  <c r="I1147" i="2" a="1"/>
  <c r="I1147" i="2" s="1"/>
  <c r="I1148" i="2" a="1"/>
  <c r="I1148" i="2" s="1"/>
  <c r="I1149" i="2" a="1"/>
  <c r="I1149" i="2" s="1"/>
  <c r="I1150" i="2" a="1"/>
  <c r="I1150" i="2" s="1"/>
  <c r="I1151" i="2" a="1"/>
  <c r="I1151" i="2" s="1"/>
  <c r="I1152" i="2" a="1"/>
  <c r="I1152" i="2" s="1"/>
  <c r="I1153" i="2" a="1"/>
  <c r="I1153" i="2" s="1"/>
  <c r="I1154" i="2" a="1"/>
  <c r="I1154" i="2" s="1"/>
  <c r="I1155" i="2" a="1"/>
  <c r="I1155" i="2" s="1"/>
  <c r="I1156" i="2" a="1"/>
  <c r="I1156" i="2" s="1"/>
  <c r="I1157" i="2" a="1"/>
  <c r="I1157" i="2" s="1"/>
  <c r="I1158" i="2" a="1"/>
  <c r="I1158" i="2" s="1"/>
  <c r="I1159" i="2" a="1"/>
  <c r="I1159" i="2" s="1"/>
  <c r="I1160" i="2" a="1"/>
  <c r="I1160" i="2" s="1"/>
  <c r="I1161" i="2" a="1"/>
  <c r="I1161" i="2" s="1"/>
  <c r="I1162" i="2" a="1"/>
  <c r="I1162" i="2" s="1"/>
  <c r="I1163" i="2" a="1"/>
  <c r="I1163" i="2" s="1"/>
  <c r="I1164" i="2" a="1"/>
  <c r="I1164" i="2" s="1"/>
  <c r="I1165" i="2" a="1"/>
  <c r="I1165" i="2" s="1"/>
  <c r="I1166" i="2" a="1"/>
  <c r="I1166" i="2" s="1"/>
  <c r="I1167" i="2" a="1"/>
  <c r="I1167" i="2" s="1"/>
  <c r="I1168" i="2" a="1"/>
  <c r="I1168" i="2" s="1"/>
  <c r="I1169" i="2" a="1"/>
  <c r="I1169" i="2" s="1"/>
  <c r="I1170" i="2" a="1"/>
  <c r="I1170" i="2" s="1"/>
  <c r="I1171" i="2" a="1"/>
  <c r="I1171" i="2" s="1"/>
  <c r="I1172" i="2" a="1"/>
  <c r="I1172" i="2" s="1"/>
  <c r="I1173" i="2" a="1"/>
  <c r="I1173" i="2" s="1"/>
  <c r="I1174" i="2" a="1"/>
  <c r="I1174" i="2" s="1"/>
  <c r="I1175" i="2" a="1"/>
  <c r="I1175" i="2" s="1"/>
  <c r="I1176" i="2" a="1"/>
  <c r="I1176" i="2" s="1"/>
  <c r="I1177" i="2" a="1"/>
  <c r="I1177" i="2" s="1"/>
  <c r="I1178" i="2" a="1"/>
  <c r="I1178" i="2" s="1"/>
  <c r="I1179" i="2" a="1"/>
  <c r="I1179" i="2" s="1"/>
  <c r="I1180" i="2" a="1"/>
  <c r="I1180" i="2" s="1"/>
  <c r="I1181" i="2" a="1"/>
  <c r="I1181" i="2" s="1"/>
  <c r="I1182" i="2" a="1"/>
  <c r="I1182" i="2" s="1"/>
  <c r="I1183" i="2" a="1"/>
  <c r="I1183" i="2" s="1"/>
  <c r="I1184" i="2" a="1"/>
  <c r="I1184" i="2" s="1"/>
  <c r="I1185" i="2" a="1"/>
  <c r="I1185" i="2" s="1"/>
  <c r="I1186" i="2" a="1"/>
  <c r="I1186" i="2" s="1"/>
  <c r="I1187" i="2" a="1"/>
  <c r="I1187" i="2" s="1"/>
  <c r="I1188" i="2" a="1"/>
  <c r="I1188" i="2" s="1"/>
  <c r="I1189" i="2" a="1"/>
  <c r="I1189" i="2" s="1"/>
  <c r="I1190" i="2" a="1"/>
  <c r="I1190" i="2" s="1"/>
  <c r="I1191" i="2" a="1"/>
  <c r="I1191" i="2" s="1"/>
  <c r="I1192" i="2" a="1"/>
  <c r="I1192" i="2" s="1"/>
  <c r="I1193" i="2" a="1"/>
  <c r="I1193" i="2" s="1"/>
  <c r="I1194" i="2" a="1"/>
  <c r="I1194" i="2" s="1"/>
  <c r="I1195" i="2" a="1"/>
  <c r="I1195" i="2" s="1"/>
  <c r="I1196" i="2" a="1"/>
  <c r="I1196" i="2" s="1"/>
  <c r="I1197" i="2" a="1"/>
  <c r="I1197" i="2" s="1"/>
  <c r="I1198" i="2" a="1"/>
  <c r="I1198" i="2" s="1"/>
  <c r="I1199" i="2" a="1"/>
  <c r="I1199" i="2" s="1"/>
  <c r="I1200" i="2" a="1"/>
  <c r="I1200" i="2" s="1"/>
  <c r="I1201" i="2" a="1"/>
  <c r="I1201" i="2" s="1"/>
  <c r="I1202" i="2" a="1"/>
  <c r="I1202" i="2" s="1"/>
  <c r="I1203" i="2" a="1"/>
  <c r="I1203" i="2" s="1"/>
  <c r="I1204" i="2" a="1"/>
  <c r="I1204" i="2" s="1"/>
  <c r="I1205" i="2" a="1"/>
  <c r="I1205" i="2" s="1"/>
  <c r="I1206" i="2" a="1"/>
  <c r="I1206" i="2" s="1"/>
  <c r="I1207" i="2" a="1"/>
  <c r="I1207" i="2" s="1"/>
  <c r="I1208" i="2" a="1"/>
  <c r="I1208" i="2" s="1"/>
  <c r="I1209" i="2" a="1"/>
  <c r="I1209" i="2" s="1"/>
  <c r="I1210" i="2" a="1"/>
  <c r="I1210" i="2" s="1"/>
  <c r="I1211" i="2" a="1"/>
  <c r="I1211" i="2" s="1"/>
  <c r="I1212" i="2" a="1"/>
  <c r="I1212" i="2" s="1"/>
  <c r="I1213" i="2" a="1"/>
  <c r="I1213" i="2" s="1"/>
  <c r="I1214" i="2" a="1"/>
  <c r="I1214" i="2" s="1"/>
  <c r="I1215" i="2" a="1"/>
  <c r="I1215" i="2" s="1"/>
  <c r="I1216" i="2" a="1"/>
  <c r="I1216" i="2" s="1"/>
  <c r="I1217" i="2" a="1"/>
  <c r="I1217" i="2" s="1"/>
  <c r="I1218" i="2" a="1"/>
  <c r="I1218" i="2" s="1"/>
  <c r="I1219" i="2" a="1"/>
  <c r="I1219" i="2" s="1"/>
  <c r="I1220" i="2" a="1"/>
  <c r="I1220" i="2" s="1"/>
  <c r="I1221" i="2" a="1"/>
  <c r="I1221" i="2" s="1"/>
  <c r="I1222" i="2" a="1"/>
  <c r="I1222" i="2" s="1"/>
  <c r="I1223" i="2" a="1"/>
  <c r="I1223" i="2" s="1"/>
  <c r="I1224" i="2" a="1"/>
  <c r="I1224" i="2" s="1"/>
  <c r="I1225" i="2" a="1"/>
  <c r="I1225" i="2" s="1"/>
  <c r="I1226" i="2" a="1"/>
  <c r="I1226" i="2" s="1"/>
  <c r="I1227" i="2" a="1"/>
  <c r="I1227" i="2" s="1"/>
  <c r="I1228" i="2" a="1"/>
  <c r="I1228" i="2" s="1"/>
  <c r="I1229" i="2" a="1"/>
  <c r="I1229" i="2" s="1"/>
  <c r="I1230" i="2" a="1"/>
  <c r="I1230" i="2" s="1"/>
  <c r="I1231" i="2" a="1"/>
  <c r="I1231" i="2" s="1"/>
  <c r="I1232" i="2" a="1"/>
  <c r="I1232" i="2" s="1"/>
  <c r="I1233" i="2" a="1"/>
  <c r="I1233" i="2" s="1"/>
  <c r="I1234" i="2" a="1"/>
  <c r="I1234" i="2" s="1"/>
  <c r="I1235" i="2" a="1"/>
  <c r="I1235" i="2" s="1"/>
  <c r="I1236" i="2" a="1"/>
  <c r="I1236" i="2" s="1"/>
  <c r="I1237" i="2" a="1"/>
  <c r="I1237" i="2" s="1"/>
  <c r="I1238" i="2" a="1"/>
  <c r="I1238" i="2" s="1"/>
  <c r="I1239" i="2" a="1"/>
  <c r="I1239" i="2" s="1"/>
  <c r="I1240" i="2" a="1"/>
  <c r="I1240" i="2" s="1"/>
  <c r="I1241" i="2" a="1"/>
  <c r="I1241" i="2" s="1"/>
  <c r="I1242" i="2" a="1"/>
  <c r="I1242" i="2" s="1"/>
  <c r="I1243" i="2" a="1"/>
  <c r="I1243" i="2" s="1"/>
  <c r="I1244" i="2" a="1"/>
  <c r="I1244" i="2" s="1"/>
  <c r="I1245" i="2" a="1"/>
  <c r="I1245" i="2" s="1"/>
  <c r="I1246" i="2" a="1"/>
  <c r="I1246" i="2" s="1"/>
  <c r="I1247" i="2" a="1"/>
  <c r="I1247" i="2" s="1"/>
  <c r="I1248" i="2" a="1"/>
  <c r="I1248" i="2" s="1"/>
  <c r="I1249" i="2" a="1"/>
  <c r="I1249" i="2" s="1"/>
  <c r="I1250" i="2" a="1"/>
  <c r="I1250" i="2" s="1"/>
  <c r="I1251" i="2" a="1"/>
  <c r="I1251" i="2" s="1"/>
  <c r="I1252" i="2" a="1"/>
  <c r="I1252" i="2" s="1"/>
  <c r="I1253" i="2" a="1"/>
  <c r="I1253" i="2" s="1"/>
  <c r="I1254" i="2" a="1"/>
  <c r="I1254" i="2" s="1"/>
  <c r="I1255" i="2" a="1"/>
  <c r="I1255" i="2" s="1"/>
  <c r="I1256" i="2" a="1"/>
  <c r="I1256" i="2" s="1"/>
  <c r="I1257" i="2" a="1"/>
  <c r="I1257" i="2" s="1"/>
  <c r="I1258" i="2" a="1"/>
  <c r="I1258" i="2" s="1"/>
  <c r="I1259" i="2" a="1"/>
  <c r="I1259" i="2" s="1"/>
  <c r="I1260" i="2" a="1"/>
  <c r="I1260" i="2" s="1"/>
  <c r="I1261" i="2" a="1"/>
  <c r="I1261" i="2" s="1"/>
  <c r="I1262" i="2" a="1"/>
  <c r="I1262" i="2" s="1"/>
  <c r="I1263" i="2" a="1"/>
  <c r="I1263" i="2" s="1"/>
  <c r="I1264" i="2" a="1"/>
  <c r="I1264" i="2" s="1"/>
  <c r="I1265" i="2" a="1"/>
  <c r="I1265" i="2" s="1"/>
  <c r="I1266" i="2" a="1"/>
  <c r="I1266" i="2" s="1"/>
  <c r="I1267" i="2" a="1"/>
  <c r="I1267" i="2" s="1"/>
  <c r="I1268" i="2" a="1"/>
  <c r="I1268" i="2" s="1"/>
  <c r="I1269" i="2" a="1"/>
  <c r="I1269" i="2" s="1"/>
  <c r="I1270" i="2" a="1"/>
  <c r="I1270" i="2" s="1"/>
  <c r="I1271" i="2" a="1"/>
  <c r="I1271" i="2" s="1"/>
  <c r="I1272" i="2" a="1"/>
  <c r="I1272" i="2" s="1"/>
  <c r="I1273" i="2" a="1"/>
  <c r="I1273" i="2" s="1"/>
  <c r="I1274" i="2" a="1"/>
  <c r="I1274" i="2" s="1"/>
  <c r="I1275" i="2" a="1"/>
  <c r="I1275" i="2" s="1"/>
  <c r="I1276" i="2" a="1"/>
  <c r="I1276" i="2" s="1"/>
  <c r="I1277" i="2" a="1"/>
  <c r="I1277" i="2" s="1"/>
  <c r="I1278" i="2" a="1"/>
  <c r="I1278" i="2" s="1"/>
  <c r="I1279" i="2" a="1"/>
  <c r="I1279" i="2" s="1"/>
  <c r="I1280" i="2" a="1"/>
  <c r="I1280" i="2" s="1"/>
  <c r="I1281" i="2" a="1"/>
  <c r="I1281" i="2" s="1"/>
  <c r="I1282" i="2" a="1"/>
  <c r="I1282" i="2" s="1"/>
  <c r="I1283" i="2" a="1"/>
  <c r="I1283" i="2" s="1"/>
  <c r="I1284" i="2" a="1"/>
  <c r="I1284" i="2" s="1"/>
  <c r="I1285" i="2" a="1"/>
  <c r="I1285" i="2" s="1"/>
  <c r="I1286" i="2" a="1"/>
  <c r="I1286" i="2" s="1"/>
  <c r="I1287" i="2" a="1"/>
  <c r="I1287" i="2" s="1"/>
  <c r="I1288" i="2" a="1"/>
  <c r="I1288" i="2" s="1"/>
  <c r="I1289" i="2" a="1"/>
  <c r="I1289" i="2" s="1"/>
  <c r="I1290" i="2" a="1"/>
  <c r="I1290" i="2" s="1"/>
  <c r="I1291" i="2" a="1"/>
  <c r="I1291" i="2" s="1"/>
  <c r="I1292" i="2" a="1"/>
  <c r="I1292" i="2" s="1"/>
  <c r="I1293" i="2" a="1"/>
  <c r="I1293" i="2" s="1"/>
  <c r="I1294" i="2" a="1"/>
  <c r="I1294" i="2" s="1"/>
  <c r="I1295" i="2" a="1"/>
  <c r="I1295" i="2" s="1"/>
  <c r="I1296" i="2" a="1"/>
  <c r="I1296" i="2" s="1"/>
  <c r="I1297" i="2" a="1"/>
  <c r="I1297" i="2" s="1"/>
  <c r="I1298" i="2" a="1"/>
  <c r="I1298" i="2" s="1"/>
  <c r="I1299" i="2" a="1"/>
  <c r="I1299" i="2" s="1"/>
  <c r="I1300" i="2" a="1"/>
  <c r="I1300" i="2" s="1"/>
  <c r="I1301" i="2" a="1"/>
  <c r="I1301" i="2" s="1"/>
  <c r="I1302" i="2" a="1"/>
  <c r="I1302" i="2" s="1"/>
  <c r="I1303" i="2" a="1"/>
  <c r="I1303" i="2" s="1"/>
  <c r="I1304" i="2" a="1"/>
  <c r="I1304" i="2" s="1"/>
  <c r="I1305" i="2" a="1"/>
  <c r="I1305" i="2" s="1"/>
  <c r="I1306" i="2" a="1"/>
  <c r="I1306" i="2" s="1"/>
  <c r="I1307" i="2" a="1"/>
  <c r="I1307" i="2" s="1"/>
  <c r="I1308" i="2" a="1"/>
  <c r="I1308" i="2" s="1"/>
  <c r="I1309" i="2" a="1"/>
  <c r="I1309" i="2" s="1"/>
  <c r="I1310" i="2" a="1"/>
  <c r="I1310" i="2" s="1"/>
  <c r="I1311" i="2" a="1"/>
  <c r="I1311" i="2" s="1"/>
  <c r="I1312" i="2" a="1"/>
  <c r="I1312" i="2" s="1"/>
  <c r="I1313" i="2" a="1"/>
  <c r="I1313" i="2" s="1"/>
  <c r="I1314" i="2" a="1"/>
  <c r="I1314" i="2" s="1"/>
  <c r="I1315" i="2" a="1"/>
  <c r="I1315" i="2" s="1"/>
  <c r="I1316" i="2" a="1"/>
  <c r="I1316" i="2" s="1"/>
  <c r="I1317" i="2" a="1"/>
  <c r="I1317" i="2" s="1"/>
  <c r="I1318" i="2" a="1"/>
  <c r="I1318" i="2" s="1"/>
  <c r="I1319" i="2" a="1"/>
  <c r="I1319" i="2" s="1"/>
  <c r="I1320" i="2" a="1"/>
  <c r="I1320" i="2" s="1"/>
  <c r="I1321" i="2" a="1"/>
  <c r="I1321" i="2" s="1"/>
  <c r="I1322" i="2" a="1"/>
  <c r="I1322" i="2" s="1"/>
  <c r="I1323" i="2" a="1"/>
  <c r="I1323" i="2" s="1"/>
  <c r="I1324" i="2" a="1"/>
  <c r="I1324" i="2" s="1"/>
  <c r="I1325" i="2" a="1"/>
  <c r="I1325" i="2" s="1"/>
  <c r="I1326" i="2" a="1"/>
  <c r="I1326" i="2" s="1"/>
  <c r="I1327" i="2" a="1"/>
  <c r="I1327" i="2" s="1"/>
  <c r="I1328" i="2" a="1"/>
  <c r="I1328" i="2" s="1"/>
  <c r="I1329" i="2" a="1"/>
  <c r="I1329" i="2" s="1"/>
  <c r="I1330" i="2" a="1"/>
  <c r="I1330" i="2" s="1"/>
  <c r="I1331" i="2" a="1"/>
  <c r="I1331" i="2" s="1"/>
  <c r="I1332" i="2" a="1"/>
  <c r="I1332" i="2" s="1"/>
  <c r="I1333" i="2" a="1"/>
  <c r="I1333" i="2" s="1"/>
  <c r="I1334" i="2" a="1"/>
  <c r="I1334" i="2" s="1"/>
  <c r="I1335" i="2" a="1"/>
  <c r="I1335" i="2" s="1"/>
  <c r="I1336" i="2" a="1"/>
  <c r="I1336" i="2" s="1"/>
  <c r="I1337" i="2" a="1"/>
  <c r="I1337" i="2" s="1"/>
  <c r="I1338" i="2" a="1"/>
  <c r="I1338" i="2" s="1"/>
  <c r="I1339" i="2" a="1"/>
  <c r="I1339" i="2" s="1"/>
  <c r="I1340" i="2" a="1"/>
  <c r="I1340" i="2" s="1"/>
  <c r="I1341" i="2" a="1"/>
  <c r="I1341" i="2" s="1"/>
  <c r="I1342" i="2" a="1"/>
  <c r="I1342" i="2" s="1"/>
  <c r="I1343" i="2" a="1"/>
  <c r="I1343" i="2" s="1"/>
  <c r="I1344" i="2" a="1"/>
  <c r="I1344" i="2" s="1"/>
  <c r="I1345" i="2" a="1"/>
  <c r="I1345" i="2" s="1"/>
  <c r="I1346" i="2" a="1"/>
  <c r="I1346" i="2" s="1"/>
  <c r="I1347" i="2" a="1"/>
  <c r="I1347" i="2" s="1"/>
  <c r="I1348" i="2" a="1"/>
  <c r="I1348" i="2" s="1"/>
  <c r="I1349" i="2" a="1"/>
  <c r="I1349" i="2" s="1"/>
  <c r="I1350" i="2" a="1"/>
  <c r="I1350" i="2" s="1"/>
  <c r="I1351" i="2" a="1"/>
  <c r="I1351" i="2" s="1"/>
  <c r="I1352" i="2" a="1"/>
  <c r="I1352" i="2" s="1"/>
  <c r="I1353" i="2" a="1"/>
  <c r="I1353" i="2" s="1"/>
  <c r="I1354" i="2" a="1"/>
  <c r="I1354" i="2" s="1"/>
  <c r="I1355" i="2" a="1"/>
  <c r="I1355" i="2" s="1"/>
  <c r="I1356" i="2" a="1"/>
  <c r="I1356" i="2" s="1"/>
  <c r="I1357" i="2" a="1"/>
  <c r="I1357" i="2" s="1"/>
  <c r="I1358" i="2" a="1"/>
  <c r="I1358" i="2" s="1"/>
  <c r="I1359" i="2" a="1"/>
  <c r="I1359" i="2" s="1"/>
  <c r="I1360" i="2" a="1"/>
  <c r="I1360" i="2" s="1"/>
  <c r="I1361" i="2" a="1"/>
  <c r="I1361" i="2" s="1"/>
  <c r="I1362" i="2" a="1"/>
  <c r="I1362" i="2" s="1"/>
  <c r="I1363" i="2" a="1"/>
  <c r="I1363" i="2" s="1"/>
  <c r="I1364" i="2" a="1"/>
  <c r="I1364" i="2" s="1"/>
  <c r="I1365" i="2" a="1"/>
  <c r="I1365" i="2" s="1"/>
  <c r="I1366" i="2" a="1"/>
  <c r="I1366" i="2" s="1"/>
  <c r="I1367" i="2" a="1"/>
  <c r="I1367" i="2" s="1"/>
  <c r="I1368" i="2" a="1"/>
  <c r="I1368" i="2" s="1"/>
  <c r="I1369" i="2" a="1"/>
  <c r="I1369" i="2" s="1"/>
  <c r="I1370" i="2" a="1"/>
  <c r="I1370" i="2" s="1"/>
  <c r="I1371" i="2" a="1"/>
  <c r="I1371" i="2" s="1"/>
  <c r="I1372" i="2" a="1"/>
  <c r="I1372" i="2" s="1"/>
  <c r="I1373" i="2" a="1"/>
  <c r="I1373" i="2" s="1"/>
  <c r="I1374" i="2" a="1"/>
  <c r="I1374" i="2" s="1"/>
  <c r="I1375" i="2" a="1"/>
  <c r="I1375" i="2" s="1"/>
  <c r="I1376" i="2" a="1"/>
  <c r="I1376" i="2" s="1"/>
  <c r="I1377" i="2" a="1"/>
  <c r="I1377" i="2" s="1"/>
  <c r="I1378" i="2" a="1"/>
  <c r="I1378" i="2" s="1"/>
  <c r="I1379" i="2" a="1"/>
  <c r="I1379" i="2" s="1"/>
  <c r="I1380" i="2" a="1"/>
  <c r="I1380" i="2" s="1"/>
  <c r="I1381" i="2" a="1"/>
  <c r="I1381" i="2" s="1"/>
  <c r="I1382" i="2" a="1"/>
  <c r="I1382" i="2" s="1"/>
  <c r="I1383" i="2" a="1"/>
  <c r="I1383" i="2" s="1"/>
  <c r="I1384" i="2" a="1"/>
  <c r="I1384" i="2" s="1"/>
  <c r="I1385" i="2" a="1"/>
  <c r="I1385" i="2" s="1"/>
  <c r="I1386" i="2" a="1"/>
  <c r="I1386" i="2" s="1"/>
  <c r="I1387" i="2" a="1"/>
  <c r="I1387" i="2" s="1"/>
  <c r="I1388" i="2" a="1"/>
  <c r="I1388" i="2" s="1"/>
  <c r="I1389" i="2" a="1"/>
  <c r="I1389" i="2" s="1"/>
  <c r="I1390" i="2" a="1"/>
  <c r="I1390" i="2" s="1"/>
  <c r="I1391" i="2" a="1"/>
  <c r="I1391" i="2" s="1"/>
  <c r="I1392" i="2" a="1"/>
  <c r="I1392" i="2" s="1"/>
  <c r="I1393" i="2" a="1"/>
  <c r="I1393" i="2" s="1"/>
  <c r="I1394" i="2" a="1"/>
  <c r="I1394" i="2" s="1"/>
  <c r="I1395" i="2" a="1"/>
  <c r="I1395" i="2" s="1"/>
  <c r="I1396" i="2" a="1"/>
  <c r="I1396" i="2" s="1"/>
  <c r="I1397" i="2" a="1"/>
  <c r="I1397" i="2" s="1"/>
  <c r="I1398" i="2" a="1"/>
  <c r="I1398" i="2" s="1"/>
  <c r="I1399" i="2" a="1"/>
  <c r="I1399" i="2" s="1"/>
  <c r="I1400" i="2" a="1"/>
  <c r="I1400" i="2" s="1"/>
  <c r="I1401" i="2" a="1"/>
  <c r="I1401" i="2" s="1"/>
  <c r="I1402" i="2" a="1"/>
  <c r="I1402" i="2" s="1"/>
  <c r="I1403" i="2" a="1"/>
  <c r="I1403" i="2" s="1"/>
  <c r="I1404" i="2" a="1"/>
  <c r="I1404" i="2" s="1"/>
  <c r="I1405" i="2" a="1"/>
  <c r="I1405" i="2" s="1"/>
  <c r="I1406" i="2" a="1"/>
  <c r="I1406" i="2" s="1"/>
  <c r="I1407" i="2" a="1"/>
  <c r="I1407" i="2" s="1"/>
  <c r="I1408" i="2" a="1"/>
  <c r="I1408" i="2" s="1"/>
  <c r="I1409" i="2" a="1"/>
  <c r="I1409" i="2" s="1"/>
  <c r="I1410" i="2" a="1"/>
  <c r="I1410" i="2" s="1"/>
  <c r="I1411" i="2" a="1"/>
  <c r="I1411" i="2" s="1"/>
  <c r="I1412" i="2" a="1"/>
  <c r="I1412" i="2" s="1"/>
  <c r="I1413" i="2" a="1"/>
  <c r="I1413" i="2" s="1"/>
  <c r="I1414" i="2" a="1"/>
  <c r="I1414" i="2" s="1"/>
  <c r="I1415" i="2" a="1"/>
  <c r="I1415" i="2" s="1"/>
  <c r="I1416" i="2" a="1"/>
  <c r="I1416" i="2" s="1"/>
  <c r="I1417" i="2" a="1"/>
  <c r="I1417" i="2" s="1"/>
  <c r="I1418" i="2" a="1"/>
  <c r="I1418" i="2" s="1"/>
  <c r="I1419" i="2" a="1"/>
  <c r="I1419" i="2" s="1"/>
  <c r="I1420" i="2" a="1"/>
  <c r="I1420" i="2" s="1"/>
  <c r="I1421" i="2" a="1"/>
  <c r="I1421" i="2" s="1"/>
  <c r="I1422" i="2" a="1"/>
  <c r="I1422" i="2" s="1"/>
  <c r="I1423" i="2" a="1"/>
  <c r="I1423" i="2" s="1"/>
  <c r="I1424" i="2" a="1"/>
  <c r="I1424" i="2" s="1"/>
  <c r="I1425" i="2" a="1"/>
  <c r="I1425" i="2" s="1"/>
  <c r="I1426" i="2" a="1"/>
  <c r="I1426" i="2" s="1"/>
  <c r="I1427" i="2" a="1"/>
  <c r="I1427" i="2" s="1"/>
  <c r="I1428" i="2" a="1"/>
  <c r="I1428" i="2" s="1"/>
  <c r="I1429" i="2" a="1"/>
  <c r="I1429" i="2" s="1"/>
  <c r="I1430" i="2" a="1"/>
  <c r="I1430" i="2" s="1"/>
  <c r="I1431" i="2" a="1"/>
  <c r="I1431" i="2" s="1"/>
  <c r="I1432" i="2" a="1"/>
  <c r="I1432" i="2" s="1"/>
  <c r="I1433" i="2" a="1"/>
  <c r="I1433" i="2" s="1"/>
  <c r="I1434" i="2" a="1"/>
  <c r="I1434" i="2" s="1"/>
  <c r="I1435" i="2" a="1"/>
  <c r="I1435" i="2" s="1"/>
  <c r="I1436" i="2" a="1"/>
  <c r="I1436" i="2" s="1"/>
  <c r="I1437" i="2" a="1"/>
  <c r="I1437" i="2" s="1"/>
  <c r="I1438" i="2" a="1"/>
  <c r="I1438" i="2" s="1"/>
  <c r="I1439" i="2" a="1"/>
  <c r="I1439" i="2" s="1"/>
  <c r="I1440" i="2" a="1"/>
  <c r="I1440" i="2" s="1"/>
  <c r="I1441" i="2" a="1"/>
  <c r="I1441" i="2" s="1"/>
  <c r="I1442" i="2" a="1"/>
  <c r="I1442" i="2" s="1"/>
  <c r="I1443" i="2" a="1"/>
  <c r="I1443" i="2" s="1"/>
  <c r="I1444" i="2" a="1"/>
  <c r="I1444" i="2" s="1"/>
  <c r="I1445" i="2" a="1"/>
  <c r="I1445" i="2" s="1"/>
  <c r="I1446" i="2" a="1"/>
  <c r="I1446" i="2" s="1"/>
  <c r="I1447" i="2" a="1"/>
  <c r="I1447" i="2" s="1"/>
  <c r="I1448" i="2" a="1"/>
  <c r="I1448" i="2" s="1"/>
  <c r="I1449" i="2" a="1"/>
  <c r="I1449" i="2" s="1"/>
  <c r="I1450" i="2" a="1"/>
  <c r="I1450" i="2" s="1"/>
  <c r="I1451" i="2" a="1"/>
  <c r="I1451" i="2" s="1"/>
  <c r="I1452" i="2" a="1"/>
  <c r="I1452" i="2" s="1"/>
  <c r="I1453" i="2" a="1"/>
  <c r="I1453" i="2" s="1"/>
  <c r="I1454" i="2" a="1"/>
  <c r="I1454" i="2" s="1"/>
  <c r="I1455" i="2" a="1"/>
  <c r="I1455" i="2" s="1"/>
  <c r="I1456" i="2" a="1"/>
  <c r="I1456" i="2" s="1"/>
  <c r="I1457" i="2" a="1"/>
  <c r="I1457" i="2" s="1"/>
  <c r="I1458" i="2" a="1"/>
  <c r="I1458" i="2" s="1"/>
  <c r="I1459" i="2" a="1"/>
  <c r="I1459" i="2" s="1"/>
  <c r="I1460" i="2" a="1"/>
  <c r="I1460" i="2" s="1"/>
  <c r="I1461" i="2" a="1"/>
  <c r="I1461" i="2" s="1"/>
  <c r="I1462" i="2" a="1"/>
  <c r="I1462" i="2" s="1"/>
  <c r="I1463" i="2" a="1"/>
  <c r="I1463" i="2" s="1"/>
  <c r="I1464" i="2" a="1"/>
  <c r="I1464" i="2" s="1"/>
  <c r="I1465" i="2" a="1"/>
  <c r="I1465" i="2" s="1"/>
  <c r="I1466" i="2" a="1"/>
  <c r="I1466" i="2" s="1"/>
  <c r="I1467" i="2" a="1"/>
  <c r="I1467" i="2" s="1"/>
  <c r="I1468" i="2" a="1"/>
  <c r="I1468" i="2" s="1"/>
  <c r="I1469" i="2" a="1"/>
  <c r="I1469" i="2" s="1"/>
  <c r="I1470" i="2" a="1"/>
  <c r="I1470" i="2" s="1"/>
  <c r="I1471" i="2" a="1"/>
  <c r="I1471" i="2" s="1"/>
  <c r="I1472" i="2" a="1"/>
  <c r="I1472" i="2" s="1"/>
  <c r="I1473" i="2" a="1"/>
  <c r="I1473" i="2" s="1"/>
  <c r="I1474" i="2" a="1"/>
  <c r="I1474" i="2" s="1"/>
  <c r="I1475" i="2" a="1"/>
  <c r="I1475" i="2" s="1"/>
  <c r="I1476" i="2" a="1"/>
  <c r="I1476" i="2" s="1"/>
  <c r="I1477" i="2" a="1"/>
  <c r="I1477" i="2" s="1"/>
  <c r="I1478" i="2" a="1"/>
  <c r="I1478" i="2" s="1"/>
  <c r="I1479" i="2" a="1"/>
  <c r="I1479" i="2" s="1"/>
  <c r="I1480" i="2" a="1"/>
  <c r="I1480" i="2" s="1"/>
  <c r="I1481" i="2" a="1"/>
  <c r="I1481" i="2" s="1"/>
  <c r="I1482" i="2" a="1"/>
  <c r="I1482" i="2" s="1"/>
  <c r="I1483" i="2" a="1"/>
  <c r="I1483" i="2" s="1"/>
  <c r="I1484" i="2" a="1"/>
  <c r="I1484" i="2" s="1"/>
  <c r="I1485" i="2" a="1"/>
  <c r="I1485" i="2" s="1"/>
  <c r="I1486" i="2" a="1"/>
  <c r="I1486" i="2" s="1"/>
  <c r="I1487" i="2" a="1"/>
  <c r="I1487" i="2" s="1"/>
  <c r="I1488" i="2" a="1"/>
  <c r="I1488" i="2" s="1"/>
  <c r="I1489" i="2" a="1"/>
  <c r="I1489" i="2" s="1"/>
  <c r="I1490" i="2" a="1"/>
  <c r="I1490" i="2" s="1"/>
  <c r="I1491" i="2" a="1"/>
  <c r="I1491" i="2" s="1"/>
  <c r="I1492" i="2" a="1"/>
  <c r="I1492" i="2" s="1"/>
  <c r="I1493" i="2" a="1"/>
  <c r="I1493" i="2" s="1"/>
  <c r="I1494" i="2" a="1"/>
  <c r="I1494" i="2" s="1"/>
  <c r="I1495" i="2" a="1"/>
  <c r="I1495" i="2" s="1"/>
  <c r="I1496" i="2" a="1"/>
  <c r="I1496" i="2" s="1"/>
  <c r="I1497" i="2" a="1"/>
  <c r="I1497" i="2" s="1"/>
  <c r="I1498" i="2" a="1"/>
  <c r="I1498" i="2" s="1"/>
  <c r="I1499" i="2" a="1"/>
  <c r="I1499" i="2" s="1"/>
  <c r="I1500" i="2" a="1"/>
  <c r="I1500" i="2" s="1"/>
  <c r="I1501" i="2" a="1"/>
  <c r="I1501" i="2" s="1"/>
  <c r="I1502" i="2" a="1"/>
  <c r="I1502" i="2" s="1"/>
  <c r="I1503" i="2" a="1"/>
  <c r="I1503" i="2" s="1"/>
  <c r="I1504" i="2" a="1"/>
  <c r="I1504" i="2" s="1"/>
  <c r="I1505" i="2" a="1"/>
  <c r="I1505" i="2" s="1"/>
  <c r="I1506" i="2" a="1"/>
  <c r="I1506" i="2" s="1"/>
  <c r="I1507" i="2" a="1"/>
  <c r="I1507" i="2" s="1"/>
  <c r="I1508" i="2" a="1"/>
  <c r="I1508" i="2" s="1"/>
  <c r="I1509" i="2" a="1"/>
  <c r="I1509" i="2" s="1"/>
  <c r="I1510" i="2" a="1"/>
  <c r="I1510" i="2" s="1"/>
  <c r="I1511" i="2" a="1"/>
  <c r="I1511" i="2" s="1"/>
  <c r="I1512" i="2" a="1"/>
  <c r="I1512" i="2" s="1"/>
  <c r="I1513" i="2" a="1"/>
  <c r="I1513" i="2" s="1"/>
  <c r="I1514" i="2" a="1"/>
  <c r="I1514" i="2" s="1"/>
  <c r="I1515" i="2" a="1"/>
  <c r="I1515" i="2" s="1"/>
  <c r="I1516" i="2" a="1"/>
  <c r="I1516" i="2" s="1"/>
  <c r="I1517" i="2" a="1"/>
  <c r="I1517" i="2" s="1"/>
  <c r="I1518" i="2" a="1"/>
  <c r="I1518" i="2" s="1"/>
  <c r="I1519" i="2" a="1"/>
  <c r="I1519" i="2" s="1"/>
  <c r="I1520" i="2" a="1"/>
  <c r="I1520" i="2" s="1"/>
  <c r="I1521" i="2" a="1"/>
  <c r="I1521" i="2" s="1"/>
  <c r="I1522" i="2" a="1"/>
  <c r="I1522" i="2" s="1"/>
  <c r="I1523" i="2" a="1"/>
  <c r="I1523" i="2" s="1"/>
  <c r="I1524" i="2" a="1"/>
  <c r="I1524" i="2" s="1"/>
  <c r="I1525" i="2" a="1"/>
  <c r="I1525" i="2" s="1"/>
  <c r="I1526" i="2" a="1"/>
  <c r="I1526" i="2" s="1"/>
  <c r="I1527" i="2" a="1"/>
  <c r="I1527" i="2" s="1"/>
  <c r="I1528" i="2" a="1"/>
  <c r="I1528" i="2" s="1"/>
  <c r="I1529" i="2" a="1"/>
  <c r="I1529" i="2" s="1"/>
  <c r="I1530" i="2" a="1"/>
  <c r="I1530" i="2" s="1"/>
  <c r="I1531" i="2" a="1"/>
  <c r="I1531" i="2" s="1"/>
  <c r="I1532" i="2" a="1"/>
  <c r="I1532" i="2" s="1"/>
  <c r="I1533" i="2" a="1"/>
  <c r="I1533" i="2" s="1"/>
  <c r="I1534" i="2" a="1"/>
  <c r="I1534" i="2" s="1"/>
  <c r="I1535" i="2" a="1"/>
  <c r="I1535" i="2" s="1"/>
  <c r="I1536" i="2" a="1"/>
  <c r="I1536" i="2" s="1"/>
  <c r="I1537" i="2" a="1"/>
  <c r="I1537" i="2" s="1"/>
  <c r="I1538" i="2" a="1"/>
  <c r="I1538" i="2" s="1"/>
  <c r="I1539" i="2" a="1"/>
  <c r="I1539" i="2" s="1"/>
  <c r="I1540" i="2" a="1"/>
  <c r="I1540" i="2" s="1"/>
  <c r="I1541" i="2" a="1"/>
  <c r="I1541" i="2" s="1"/>
  <c r="I1542" i="2" a="1"/>
  <c r="I1542" i="2" s="1"/>
  <c r="I1543" i="2" a="1"/>
  <c r="I1543" i="2" s="1"/>
  <c r="I1544" i="2" a="1"/>
  <c r="I1544" i="2" s="1"/>
  <c r="I1545" i="2" a="1"/>
  <c r="I1545" i="2" s="1"/>
  <c r="I1546" i="2" a="1"/>
  <c r="I1546" i="2" s="1"/>
  <c r="I1547" i="2" a="1"/>
  <c r="I1547" i="2" s="1"/>
  <c r="I1548" i="2" a="1"/>
  <c r="I1548" i="2" s="1"/>
  <c r="I1549" i="2" a="1"/>
  <c r="I1549" i="2" s="1"/>
  <c r="I1550" i="2" a="1"/>
  <c r="I1550" i="2" s="1"/>
  <c r="I1551" i="2" a="1"/>
  <c r="I1551" i="2" s="1"/>
  <c r="I1552" i="2" a="1"/>
  <c r="I1552" i="2" s="1"/>
  <c r="I1553" i="2" a="1"/>
  <c r="I1553" i="2" s="1"/>
  <c r="I1554" i="2" a="1"/>
  <c r="I1554" i="2" s="1"/>
  <c r="I1555" i="2" a="1"/>
  <c r="I1555" i="2" s="1"/>
  <c r="I1556" i="2" a="1"/>
  <c r="I1556" i="2" s="1"/>
  <c r="I1557" i="2" a="1"/>
  <c r="I1557" i="2" s="1"/>
  <c r="I1558" i="2" a="1"/>
  <c r="I1558" i="2" s="1"/>
  <c r="I1559" i="2" a="1"/>
  <c r="I1559" i="2" s="1"/>
  <c r="I1560" i="2" a="1"/>
  <c r="I1560" i="2" s="1"/>
  <c r="I1561" i="2" a="1"/>
  <c r="I1561" i="2" s="1"/>
  <c r="I1562" i="2" a="1"/>
  <c r="I1562" i="2" s="1"/>
  <c r="I1563" i="2" a="1"/>
  <c r="I1563" i="2" s="1"/>
  <c r="I1564" i="2" a="1"/>
  <c r="I1564" i="2" s="1"/>
  <c r="I1565" i="2" a="1"/>
  <c r="I1565" i="2" s="1"/>
  <c r="I1566" i="2" a="1"/>
  <c r="I1566" i="2" s="1"/>
  <c r="I1567" i="2" a="1"/>
  <c r="I1567" i="2" s="1"/>
  <c r="I1568" i="2" a="1"/>
  <c r="I1568" i="2" s="1"/>
  <c r="I1569" i="2" a="1"/>
  <c r="I1569" i="2" s="1"/>
  <c r="I1570" i="2" a="1"/>
  <c r="I1570" i="2" s="1"/>
  <c r="I1571" i="2" a="1"/>
  <c r="I1571" i="2" s="1"/>
  <c r="I1572" i="2" a="1"/>
  <c r="I1572" i="2" s="1"/>
  <c r="I1573" i="2" a="1"/>
  <c r="I1573" i="2" s="1"/>
  <c r="I1574" i="2" a="1"/>
  <c r="I1574" i="2" s="1"/>
  <c r="I1575" i="2" a="1"/>
  <c r="I1575" i="2" s="1"/>
  <c r="I1576" i="2" a="1"/>
  <c r="I1576" i="2" s="1"/>
  <c r="I1577" i="2" a="1"/>
  <c r="I1577" i="2" s="1"/>
  <c r="I1578" i="2" a="1"/>
  <c r="I1578" i="2" s="1"/>
  <c r="I1579" i="2" a="1"/>
  <c r="I1579" i="2" s="1"/>
  <c r="I1580" i="2" a="1"/>
  <c r="I1580" i="2" s="1"/>
  <c r="I1581" i="2" a="1"/>
  <c r="I1581" i="2" s="1"/>
  <c r="I1582" i="2" a="1"/>
  <c r="I1582" i="2" s="1"/>
  <c r="I1583" i="2" a="1"/>
  <c r="I1583" i="2" s="1"/>
  <c r="I1584" i="2" a="1"/>
  <c r="I1584" i="2" s="1"/>
  <c r="I1585" i="2" a="1"/>
  <c r="I1585" i="2" s="1"/>
  <c r="I1586" i="2" a="1"/>
  <c r="I1586" i="2" s="1"/>
  <c r="I1587" i="2" a="1"/>
  <c r="I1587" i="2" s="1"/>
  <c r="I1588" i="2" a="1"/>
  <c r="I1588" i="2" s="1"/>
  <c r="I1589" i="2" a="1"/>
  <c r="I1589" i="2" s="1"/>
  <c r="I1590" i="2" a="1"/>
  <c r="I1590" i="2" s="1"/>
  <c r="I1591" i="2" a="1"/>
  <c r="I1591" i="2" s="1"/>
  <c r="I1592" i="2" a="1"/>
  <c r="I1592" i="2" s="1"/>
  <c r="I1593" i="2" a="1"/>
  <c r="I1593" i="2" s="1"/>
  <c r="I1594" i="2" a="1"/>
  <c r="I1594" i="2" s="1"/>
  <c r="I1595" i="2" a="1"/>
  <c r="I1595" i="2" s="1"/>
  <c r="I1596" i="2" a="1"/>
  <c r="I1596" i="2" s="1"/>
  <c r="I1597" i="2" a="1"/>
  <c r="I1597" i="2" s="1"/>
  <c r="I1598" i="2" a="1"/>
  <c r="I1598" i="2" s="1"/>
  <c r="I1599" i="2" a="1"/>
  <c r="I1599" i="2" s="1"/>
  <c r="I1600" i="2" a="1"/>
  <c r="I1600" i="2" s="1"/>
  <c r="I1601" i="2" a="1"/>
  <c r="I1601" i="2" s="1"/>
  <c r="I1602" i="2" a="1"/>
  <c r="I1602" i="2" s="1"/>
  <c r="I1603" i="2" a="1"/>
  <c r="I1603" i="2" s="1"/>
  <c r="I1604" i="2" a="1"/>
  <c r="I1604" i="2" s="1"/>
  <c r="I1605" i="2" a="1"/>
  <c r="I1605" i="2" s="1"/>
  <c r="I1606" i="2" a="1"/>
  <c r="I1606" i="2" s="1"/>
  <c r="I1607" i="2" a="1"/>
  <c r="I1607" i="2" s="1"/>
  <c r="I1608" i="2" a="1"/>
  <c r="I1608" i="2" s="1"/>
  <c r="I1609" i="2" a="1"/>
  <c r="I1609" i="2" s="1"/>
  <c r="I1610" i="2" a="1"/>
  <c r="I1610" i="2" s="1"/>
  <c r="I1611" i="2" a="1"/>
  <c r="I1611" i="2" s="1"/>
  <c r="I1612" i="2" a="1"/>
  <c r="I1612" i="2" s="1"/>
  <c r="I1613" i="2" a="1"/>
  <c r="I1613" i="2" s="1"/>
  <c r="I1614" i="2" a="1"/>
  <c r="I1614" i="2" s="1"/>
  <c r="I1615" i="2" a="1"/>
  <c r="I1615" i="2" s="1"/>
  <c r="I1616" i="2" a="1"/>
  <c r="I1616" i="2" s="1"/>
  <c r="I1617" i="2" a="1"/>
  <c r="I1617" i="2" s="1"/>
  <c r="I1618" i="2" a="1"/>
  <c r="I1618" i="2" s="1"/>
  <c r="I1619" i="2" a="1"/>
  <c r="I1619" i="2" s="1"/>
  <c r="I1620" i="2" a="1"/>
  <c r="I1620" i="2" s="1"/>
  <c r="I1621" i="2" a="1"/>
  <c r="I1621" i="2" s="1"/>
  <c r="I1622" i="2" a="1"/>
  <c r="I1622" i="2" s="1"/>
  <c r="I1623" i="2" a="1"/>
  <c r="I1623" i="2" s="1"/>
  <c r="I1624" i="2" a="1"/>
  <c r="I1624" i="2" s="1"/>
  <c r="I1625" i="2" a="1"/>
  <c r="I1625" i="2" s="1"/>
  <c r="I1626" i="2" a="1"/>
  <c r="I1626" i="2" s="1"/>
  <c r="I1627" i="2" a="1"/>
  <c r="I1627" i="2" s="1"/>
  <c r="I1628" i="2" a="1"/>
  <c r="I1628" i="2" s="1"/>
  <c r="I1629" i="2" a="1"/>
  <c r="I1629" i="2" s="1"/>
  <c r="I1630" i="2" a="1"/>
  <c r="I1630" i="2" s="1"/>
  <c r="I1631" i="2" a="1"/>
  <c r="I1631" i="2" s="1"/>
  <c r="I1632" i="2" a="1"/>
  <c r="I1632" i="2" s="1"/>
  <c r="I1633" i="2" a="1"/>
  <c r="I1633" i="2" s="1"/>
  <c r="I1634" i="2" a="1"/>
  <c r="I1634" i="2" s="1"/>
  <c r="I1635" i="2" a="1"/>
  <c r="I1635" i="2" s="1"/>
  <c r="I1636" i="2" a="1"/>
  <c r="I1636" i="2" s="1"/>
  <c r="I1637" i="2" a="1"/>
  <c r="I1637" i="2" s="1"/>
  <c r="I1638" i="2" a="1"/>
  <c r="I1638" i="2" s="1"/>
  <c r="I1639" i="2" a="1"/>
  <c r="I1639" i="2" s="1"/>
  <c r="I1640" i="2" a="1"/>
  <c r="I1640" i="2" s="1"/>
  <c r="I1641" i="2" a="1"/>
  <c r="I1641" i="2" s="1"/>
  <c r="I1642" i="2" a="1"/>
  <c r="I1642" i="2" s="1"/>
  <c r="I1643" i="2" a="1"/>
  <c r="I1643" i="2" s="1"/>
  <c r="I1644" i="2" a="1"/>
  <c r="I1644" i="2" s="1"/>
  <c r="I1645" i="2" a="1"/>
  <c r="I1645" i="2" s="1"/>
  <c r="I1646" i="2" a="1"/>
  <c r="I1646" i="2" s="1"/>
  <c r="I1647" i="2" a="1"/>
  <c r="I1647" i="2" s="1"/>
  <c r="I1648" i="2" a="1"/>
  <c r="I1648" i="2" s="1"/>
  <c r="I1649" i="2" a="1"/>
  <c r="I1649" i="2" s="1"/>
  <c r="I1650" i="2" a="1"/>
  <c r="I1650" i="2" s="1"/>
  <c r="I1651" i="2" a="1"/>
  <c r="I1651" i="2" s="1"/>
  <c r="I1652" i="2" a="1"/>
  <c r="I1652" i="2" s="1"/>
  <c r="I1653" i="2" a="1"/>
  <c r="I1653" i="2" s="1"/>
  <c r="I1654" i="2" a="1"/>
  <c r="I1654" i="2" s="1"/>
  <c r="I1655" i="2" a="1"/>
  <c r="I1655" i="2" s="1"/>
  <c r="I1656" i="2" a="1"/>
  <c r="I1656" i="2" s="1"/>
  <c r="I1657" i="2" a="1"/>
  <c r="I1657" i="2" s="1"/>
  <c r="I1658" i="2" a="1"/>
  <c r="I1658" i="2" s="1"/>
  <c r="I1659" i="2" a="1"/>
  <c r="I1659" i="2" s="1"/>
  <c r="I1660" i="2" a="1"/>
  <c r="I1660" i="2" s="1"/>
  <c r="I1661" i="2" a="1"/>
  <c r="I1661" i="2" s="1"/>
  <c r="I1662" i="2" a="1"/>
  <c r="I1662" i="2" s="1"/>
  <c r="I1663" i="2" a="1"/>
  <c r="I1663" i="2" s="1"/>
  <c r="I1664" i="2" a="1"/>
  <c r="I1664" i="2" s="1"/>
  <c r="I1665" i="2" a="1"/>
  <c r="I1665" i="2" s="1"/>
  <c r="I1666" i="2" a="1"/>
  <c r="I1666" i="2" s="1"/>
  <c r="I1667" i="2" a="1"/>
  <c r="I1667" i="2" s="1"/>
  <c r="I1668" i="2" a="1"/>
  <c r="I1668" i="2" s="1"/>
  <c r="I1669" i="2" a="1"/>
  <c r="I1669" i="2" s="1"/>
  <c r="I1670" i="2" a="1"/>
  <c r="I1670" i="2" s="1"/>
  <c r="I1671" i="2" a="1"/>
  <c r="I1671" i="2" s="1"/>
  <c r="I1672" i="2" a="1"/>
  <c r="I1672" i="2" s="1"/>
  <c r="I1673" i="2" a="1"/>
  <c r="I1673" i="2" s="1"/>
  <c r="I1674" i="2" a="1"/>
  <c r="I1674" i="2" s="1"/>
  <c r="I1675" i="2" a="1"/>
  <c r="I1675" i="2" s="1"/>
  <c r="I1676" i="2" a="1"/>
  <c r="I1676" i="2" s="1"/>
  <c r="I1677" i="2" a="1"/>
  <c r="I1677" i="2" s="1"/>
  <c r="I1678" i="2" a="1"/>
  <c r="I1678" i="2" s="1"/>
  <c r="I1679" i="2" a="1"/>
  <c r="I1679" i="2" s="1"/>
  <c r="I1680" i="2" a="1"/>
  <c r="I1680" i="2" s="1"/>
  <c r="I1681" i="2" a="1"/>
  <c r="I1681" i="2" s="1"/>
  <c r="I1682" i="2" a="1"/>
  <c r="I1682" i="2" s="1"/>
  <c r="I1683" i="2" a="1"/>
  <c r="I1683" i="2" s="1"/>
  <c r="I1684" i="2" a="1"/>
  <c r="I1684" i="2" s="1"/>
  <c r="I1685" i="2" a="1"/>
  <c r="I1685" i="2" s="1"/>
  <c r="I1686" i="2" a="1"/>
  <c r="I1686" i="2" s="1"/>
  <c r="I1687" i="2" a="1"/>
  <c r="I1687" i="2" s="1"/>
  <c r="I1688" i="2" a="1"/>
  <c r="I1688" i="2" s="1"/>
  <c r="I1689" i="2" a="1"/>
  <c r="I1689" i="2" s="1"/>
  <c r="I1690" i="2" a="1"/>
  <c r="I1690" i="2" s="1"/>
  <c r="I1691" i="2" a="1"/>
  <c r="I1691" i="2" s="1"/>
  <c r="I1692" i="2" a="1"/>
  <c r="I1692" i="2" s="1"/>
  <c r="I1693" i="2" a="1"/>
  <c r="I1693" i="2" s="1"/>
  <c r="I1694" i="2" a="1"/>
  <c r="I1694" i="2" s="1"/>
  <c r="I1695" i="2" a="1"/>
  <c r="I1695" i="2" s="1"/>
  <c r="I1696" i="2" a="1"/>
  <c r="I1696" i="2" s="1"/>
  <c r="I1697" i="2" a="1"/>
  <c r="I1697" i="2" s="1"/>
  <c r="I1698" i="2" a="1"/>
  <c r="I1698" i="2" s="1"/>
  <c r="I1699" i="2" a="1"/>
  <c r="I1699" i="2" s="1"/>
  <c r="I1700" i="2" a="1"/>
  <c r="I1700" i="2" s="1"/>
  <c r="I1701" i="2" a="1"/>
  <c r="I1701" i="2" s="1"/>
  <c r="I1702" i="2" a="1"/>
  <c r="I1702" i="2" s="1"/>
  <c r="I1703" i="2" a="1"/>
  <c r="I1703" i="2" s="1"/>
  <c r="I1704" i="2" a="1"/>
  <c r="I1704" i="2" s="1"/>
  <c r="I1705" i="2" a="1"/>
  <c r="I1705" i="2" s="1"/>
  <c r="I1706" i="2" a="1"/>
  <c r="I1706" i="2" s="1"/>
  <c r="I1707" i="2" a="1"/>
  <c r="I1707" i="2" s="1"/>
  <c r="I1708" i="2" a="1"/>
  <c r="I1708" i="2" s="1"/>
  <c r="I1709" i="2" a="1"/>
  <c r="I1709" i="2" s="1"/>
  <c r="I1710" i="2" a="1"/>
  <c r="I1710" i="2" s="1"/>
  <c r="I1711" i="2" a="1"/>
  <c r="I1711" i="2" s="1"/>
  <c r="I1712" i="2" a="1"/>
  <c r="I1712" i="2" s="1"/>
  <c r="I1713" i="2" a="1"/>
  <c r="I1713" i="2" s="1"/>
  <c r="I1714" i="2" a="1"/>
  <c r="I1714" i="2" s="1"/>
  <c r="I1715" i="2" a="1"/>
  <c r="I1715" i="2" s="1"/>
  <c r="I1716" i="2" a="1"/>
  <c r="I1716" i="2" s="1"/>
  <c r="I1717" i="2" a="1"/>
  <c r="I1717" i="2" s="1"/>
  <c r="I1718" i="2" a="1"/>
  <c r="I1718" i="2" s="1"/>
  <c r="I1719" i="2" a="1"/>
  <c r="I1719" i="2" s="1"/>
  <c r="I1720" i="2" a="1"/>
  <c r="I1720" i="2" s="1"/>
  <c r="I1721" i="2" a="1"/>
  <c r="I1721" i="2" s="1"/>
  <c r="I1722" i="2" a="1"/>
  <c r="I1722" i="2" s="1"/>
  <c r="I1723" i="2" a="1"/>
  <c r="I1723" i="2" s="1"/>
  <c r="I1724" i="2" a="1"/>
  <c r="I1724" i="2" s="1"/>
  <c r="I1725" i="2" a="1"/>
  <c r="I1725" i="2" s="1"/>
  <c r="I1726" i="2" a="1"/>
  <c r="I1726" i="2" s="1"/>
  <c r="I1727" i="2" a="1"/>
  <c r="I1727" i="2" s="1"/>
  <c r="I1728" i="2" a="1"/>
  <c r="I1728" i="2" s="1"/>
  <c r="I1729" i="2" a="1"/>
  <c r="I1729" i="2" s="1"/>
  <c r="I1730" i="2" a="1"/>
  <c r="I1730" i="2" s="1"/>
  <c r="I1731" i="2" a="1"/>
  <c r="I1731" i="2" s="1"/>
  <c r="I1732" i="2" a="1"/>
  <c r="I1732" i="2" s="1"/>
  <c r="I1733" i="2" a="1"/>
  <c r="I1733" i="2" s="1"/>
  <c r="I1734" i="2" a="1"/>
  <c r="I1734" i="2" s="1"/>
  <c r="I1735" i="2" a="1"/>
  <c r="I1735" i="2" s="1"/>
  <c r="I1736" i="2" a="1"/>
  <c r="I1736" i="2" s="1"/>
  <c r="I1737" i="2" a="1"/>
  <c r="I1737" i="2" s="1"/>
  <c r="I1738" i="2" a="1"/>
  <c r="I1738" i="2" s="1"/>
  <c r="I1739" i="2" a="1"/>
  <c r="I1739" i="2" s="1"/>
  <c r="I1740" i="2" a="1"/>
  <c r="I1740" i="2" s="1"/>
  <c r="I1741" i="2" a="1"/>
  <c r="I1741" i="2" s="1"/>
  <c r="I1742" i="2" a="1"/>
  <c r="I1742" i="2" s="1"/>
  <c r="I1743" i="2" a="1"/>
  <c r="I1743" i="2" s="1"/>
  <c r="I1744" i="2" a="1"/>
  <c r="I1744" i="2" s="1"/>
  <c r="I1745" i="2" a="1"/>
  <c r="I1745" i="2" s="1"/>
  <c r="I1746" i="2" a="1"/>
  <c r="I1746" i="2" s="1"/>
  <c r="I1747" i="2" a="1"/>
  <c r="I1747" i="2" s="1"/>
  <c r="I1748" i="2" a="1"/>
  <c r="I1748" i="2" s="1"/>
  <c r="I1749" i="2" a="1"/>
  <c r="I1749" i="2" s="1"/>
  <c r="I1750" i="2" a="1"/>
  <c r="I1750" i="2" s="1"/>
  <c r="I1751" i="2" a="1"/>
  <c r="I1751" i="2" s="1"/>
  <c r="I1752" i="2" a="1"/>
  <c r="I1752" i="2" s="1"/>
  <c r="I1753" i="2" a="1"/>
  <c r="I1753" i="2" s="1"/>
  <c r="I1754" i="2" a="1"/>
  <c r="I1754" i="2" s="1"/>
  <c r="I1755" i="2" a="1"/>
  <c r="I1755" i="2" s="1"/>
  <c r="I1756" i="2" a="1"/>
  <c r="I1756" i="2" s="1"/>
  <c r="I1757" i="2" a="1"/>
  <c r="I1757" i="2" s="1"/>
  <c r="I1758" i="2" a="1"/>
  <c r="I1758" i="2" s="1"/>
  <c r="I1759" i="2" a="1"/>
  <c r="I1759" i="2" s="1"/>
  <c r="I1760" i="2" a="1"/>
  <c r="I1760" i="2" s="1"/>
  <c r="I1761" i="2" a="1"/>
  <c r="I1761" i="2" s="1"/>
  <c r="I1762" i="2" a="1"/>
  <c r="I1762" i="2" s="1"/>
  <c r="I1763" i="2" a="1"/>
  <c r="I1763" i="2" s="1"/>
  <c r="I1764" i="2" a="1"/>
  <c r="I1764" i="2" s="1"/>
  <c r="I1765" i="2" a="1"/>
  <c r="I1765" i="2" s="1"/>
  <c r="I1766" i="2" a="1"/>
  <c r="I1766" i="2" s="1"/>
  <c r="I1767" i="2" a="1"/>
  <c r="I1767" i="2" s="1"/>
  <c r="I1768" i="2" a="1"/>
  <c r="I1768" i="2" s="1"/>
  <c r="I1769" i="2" a="1"/>
  <c r="I1769" i="2" s="1"/>
  <c r="I1770" i="2" a="1"/>
  <c r="I1770" i="2" s="1"/>
  <c r="I1771" i="2" a="1"/>
  <c r="I1771" i="2" s="1"/>
  <c r="I1772" i="2" a="1"/>
  <c r="I1772" i="2" s="1"/>
  <c r="I1773" i="2" a="1"/>
  <c r="I1773" i="2" s="1"/>
  <c r="I1774" i="2" a="1"/>
  <c r="I1774" i="2" s="1"/>
  <c r="I1775" i="2" a="1"/>
  <c r="I1775" i="2" s="1"/>
  <c r="I1776" i="2" a="1"/>
  <c r="I1776" i="2" s="1"/>
  <c r="I1777" i="2" a="1"/>
  <c r="I1777" i="2" s="1"/>
  <c r="I1778" i="2" a="1"/>
  <c r="I1778" i="2" s="1"/>
  <c r="I1779" i="2" a="1"/>
  <c r="I1779" i="2" s="1"/>
  <c r="I1780" i="2" a="1"/>
  <c r="I1780" i="2" s="1"/>
  <c r="I1781" i="2" a="1"/>
  <c r="I1781" i="2" s="1"/>
  <c r="I1782" i="2" a="1"/>
  <c r="I1782" i="2" s="1"/>
  <c r="I1783" i="2" a="1"/>
  <c r="I1783" i="2" s="1"/>
  <c r="I1784" i="2" a="1"/>
  <c r="I1784" i="2" s="1"/>
  <c r="I1785" i="2" a="1"/>
  <c r="I1785" i="2" s="1"/>
  <c r="I1786" i="2" a="1"/>
  <c r="I1786" i="2" s="1"/>
  <c r="I1787" i="2" a="1"/>
  <c r="I1787" i="2" s="1"/>
  <c r="I1788" i="2" a="1"/>
  <c r="I1788" i="2" s="1"/>
  <c r="I1789" i="2" a="1"/>
  <c r="I1789" i="2" s="1"/>
  <c r="I1790" i="2" a="1"/>
  <c r="I1790" i="2" s="1"/>
  <c r="I1791" i="2" a="1"/>
  <c r="I1791" i="2" s="1"/>
  <c r="I1792" i="2" a="1"/>
  <c r="I1792" i="2" s="1"/>
  <c r="I1793" i="2" a="1"/>
  <c r="I1793" i="2" s="1"/>
  <c r="I1794" i="2" a="1"/>
  <c r="I1794" i="2" s="1"/>
  <c r="I1795" i="2" a="1"/>
  <c r="I1795" i="2" s="1"/>
  <c r="I1796" i="2" a="1"/>
  <c r="I1796" i="2" s="1"/>
  <c r="I1797" i="2" a="1"/>
  <c r="I1797" i="2" s="1"/>
  <c r="I1798" i="2" a="1"/>
  <c r="I1798" i="2" s="1"/>
  <c r="I1799" i="2" a="1"/>
  <c r="I1799" i="2" s="1"/>
  <c r="I1800" i="2" a="1"/>
  <c r="I1800" i="2" s="1"/>
  <c r="I1801" i="2" a="1"/>
  <c r="I1801" i="2" s="1"/>
  <c r="I1802" i="2" a="1"/>
  <c r="I1802" i="2" s="1"/>
  <c r="I1803" i="2" a="1"/>
  <c r="I1803" i="2" s="1"/>
  <c r="I1804" i="2" a="1"/>
  <c r="I1804" i="2" s="1"/>
  <c r="I1805" i="2" a="1"/>
  <c r="I1805" i="2" s="1"/>
  <c r="I1806" i="2" a="1"/>
  <c r="I1806" i="2" s="1"/>
  <c r="I1807" i="2" a="1"/>
  <c r="I1807" i="2" s="1"/>
  <c r="I1808" i="2" a="1"/>
  <c r="I1808" i="2" s="1"/>
  <c r="I1809" i="2" a="1"/>
  <c r="I1809" i="2" s="1"/>
  <c r="I1810" i="2" a="1"/>
  <c r="I1810" i="2" s="1"/>
  <c r="I1811" i="2" a="1"/>
  <c r="I1811" i="2" s="1"/>
  <c r="I1812" i="2" a="1"/>
  <c r="I1812" i="2" s="1"/>
  <c r="I1813" i="2" a="1"/>
  <c r="I1813" i="2" s="1"/>
  <c r="I1814" i="2" a="1"/>
  <c r="I1814" i="2" s="1"/>
  <c r="I1815" i="2" a="1"/>
  <c r="I1815" i="2" s="1"/>
  <c r="I1816" i="2" a="1"/>
  <c r="I1816" i="2" s="1"/>
  <c r="I1817" i="2" a="1"/>
  <c r="I1817" i="2" s="1"/>
  <c r="I1818" i="2" a="1"/>
  <c r="I1818" i="2" s="1"/>
  <c r="I1819" i="2" a="1"/>
  <c r="I1819" i="2" s="1"/>
  <c r="I1820" i="2" a="1"/>
  <c r="I1820" i="2" s="1"/>
  <c r="I1821" i="2" a="1"/>
  <c r="I1821" i="2" s="1"/>
  <c r="I1822" i="2" a="1"/>
  <c r="I1822" i="2" s="1"/>
  <c r="I1823" i="2" a="1"/>
  <c r="I1823" i="2" s="1"/>
  <c r="I1824" i="2" a="1"/>
  <c r="I1824" i="2" s="1"/>
  <c r="I1825" i="2" a="1"/>
  <c r="I1825" i="2" s="1"/>
  <c r="I1826" i="2" a="1"/>
  <c r="I1826" i="2" s="1"/>
  <c r="I1827" i="2" a="1"/>
  <c r="I1827" i="2" s="1"/>
  <c r="I1828" i="2" a="1"/>
  <c r="I1828" i="2" s="1"/>
  <c r="I1829" i="2" a="1"/>
  <c r="I1829" i="2" s="1"/>
  <c r="I1830" i="2" a="1"/>
  <c r="I1830" i="2" s="1"/>
  <c r="I1831" i="2" a="1"/>
  <c r="I1831" i="2" s="1"/>
  <c r="I1832" i="2" a="1"/>
  <c r="I1832" i="2" s="1"/>
  <c r="I1833" i="2" a="1"/>
  <c r="I1833" i="2" s="1"/>
  <c r="I1834" i="2" a="1"/>
  <c r="I1834" i="2" s="1"/>
  <c r="I1835" i="2" a="1"/>
  <c r="I1835" i="2" s="1"/>
  <c r="I1836" i="2" a="1"/>
  <c r="I1836" i="2" s="1"/>
  <c r="I1837" i="2" a="1"/>
  <c r="I1837" i="2" s="1"/>
  <c r="I1838" i="2" a="1"/>
  <c r="I1838" i="2" s="1"/>
  <c r="I1839" i="2" a="1"/>
  <c r="I1839" i="2" s="1"/>
  <c r="I1840" i="2" a="1"/>
  <c r="I1840" i="2" s="1"/>
  <c r="I1841" i="2" a="1"/>
  <c r="I1841" i="2" s="1"/>
  <c r="I1842" i="2" a="1"/>
  <c r="I1842" i="2" s="1"/>
  <c r="I1843" i="2" a="1"/>
  <c r="I1843" i="2" s="1"/>
  <c r="I1844" i="2" a="1"/>
  <c r="I1844" i="2" s="1"/>
  <c r="I1845" i="2" a="1"/>
  <c r="I1845" i="2" s="1"/>
  <c r="I1846" i="2" a="1"/>
  <c r="I1846" i="2" s="1"/>
  <c r="I1847" i="2" a="1"/>
  <c r="I1847" i="2" s="1"/>
  <c r="I1848" i="2" a="1"/>
  <c r="I1848" i="2" s="1"/>
  <c r="I1849" i="2" a="1"/>
  <c r="I1849" i="2" s="1"/>
  <c r="I1850" i="2" a="1"/>
  <c r="I1850" i="2" s="1"/>
  <c r="I1851" i="2" a="1"/>
  <c r="I1851" i="2" s="1"/>
  <c r="I1852" i="2" a="1"/>
  <c r="I1852" i="2" s="1"/>
  <c r="I1853" i="2" a="1"/>
  <c r="I1853" i="2" s="1"/>
  <c r="I1854" i="2" a="1"/>
  <c r="I1854" i="2" s="1"/>
  <c r="I1855" i="2" a="1"/>
  <c r="I1855" i="2" s="1"/>
  <c r="I1856" i="2" a="1"/>
  <c r="I1856" i="2" s="1"/>
  <c r="I1857" i="2" a="1"/>
  <c r="I1857" i="2" s="1"/>
  <c r="I1858" i="2" a="1"/>
  <c r="I1858" i="2" s="1"/>
  <c r="I1859" i="2" a="1"/>
  <c r="I1859" i="2" s="1"/>
  <c r="I1860" i="2" a="1"/>
  <c r="I1860" i="2" s="1"/>
  <c r="I1861" i="2" a="1"/>
  <c r="I1861" i="2" s="1"/>
  <c r="I1862" i="2" a="1"/>
  <c r="I1862" i="2" s="1"/>
  <c r="I1863" i="2" a="1"/>
  <c r="I1863" i="2" s="1"/>
  <c r="I1864" i="2" a="1"/>
  <c r="I1864" i="2" s="1"/>
  <c r="I1865" i="2" a="1"/>
  <c r="I1865" i="2" s="1"/>
  <c r="I1866" i="2" a="1"/>
  <c r="I1866" i="2" s="1"/>
  <c r="I1867" i="2" a="1"/>
  <c r="I1867" i="2" s="1"/>
  <c r="I1868" i="2" a="1"/>
  <c r="I1868" i="2" s="1"/>
  <c r="I1869" i="2" a="1"/>
  <c r="I1869" i="2" s="1"/>
  <c r="I1870" i="2" a="1"/>
  <c r="I1870" i="2" s="1"/>
  <c r="I1871" i="2" a="1"/>
  <c r="I1871" i="2" s="1"/>
  <c r="I1872" i="2" a="1"/>
  <c r="I1872" i="2" s="1"/>
  <c r="I1873" i="2" a="1"/>
  <c r="I1873" i="2" s="1"/>
  <c r="I1874" i="2" a="1"/>
  <c r="I1874" i="2" s="1"/>
  <c r="I1875" i="2" a="1"/>
  <c r="I1875" i="2" s="1"/>
  <c r="I1876" i="2" a="1"/>
  <c r="I1876" i="2" s="1"/>
  <c r="I1877" i="2" a="1"/>
  <c r="I1877" i="2" s="1"/>
  <c r="I1878" i="2" a="1"/>
  <c r="I1878" i="2" s="1"/>
  <c r="I1879" i="2" a="1"/>
  <c r="I1879" i="2" s="1"/>
  <c r="I1880" i="2" a="1"/>
  <c r="I1880" i="2" s="1"/>
  <c r="I1881" i="2" a="1"/>
  <c r="I1881" i="2" s="1"/>
  <c r="I1882" i="2" a="1"/>
  <c r="I1882" i="2" s="1"/>
  <c r="I1883" i="2" a="1"/>
  <c r="I1883" i="2" s="1"/>
  <c r="I1884" i="2" a="1"/>
  <c r="I1884" i="2" s="1"/>
  <c r="I1885" i="2" a="1"/>
  <c r="I1885" i="2" s="1"/>
  <c r="I1886" i="2" a="1"/>
  <c r="I1886" i="2" s="1"/>
  <c r="I1887" i="2" a="1"/>
  <c r="I1887" i="2" s="1"/>
  <c r="I1888" i="2" a="1"/>
  <c r="I1888" i="2" s="1"/>
  <c r="I1889" i="2" a="1"/>
  <c r="I1889" i="2" s="1"/>
  <c r="I1890" i="2" a="1"/>
  <c r="I1890" i="2" s="1"/>
  <c r="I1891" i="2" a="1"/>
  <c r="I1891" i="2" s="1"/>
  <c r="I1892" i="2" a="1"/>
  <c r="I1892" i="2" s="1"/>
  <c r="I1893" i="2" a="1"/>
  <c r="I1893" i="2" s="1"/>
  <c r="I1894" i="2" a="1"/>
  <c r="I1894" i="2" s="1"/>
  <c r="I1895" i="2" a="1"/>
  <c r="I1895" i="2" s="1"/>
  <c r="I1896" i="2" a="1"/>
  <c r="I1896" i="2" s="1"/>
  <c r="I1897" i="2" a="1"/>
  <c r="I1897" i="2" s="1"/>
  <c r="I1898" i="2" a="1"/>
  <c r="I1898" i="2" s="1"/>
  <c r="I1899" i="2" a="1"/>
  <c r="I1899" i="2" s="1"/>
  <c r="I1900" i="2" a="1"/>
  <c r="I1900" i="2" s="1"/>
  <c r="I1901" i="2" a="1"/>
  <c r="I1901" i="2" s="1"/>
  <c r="I1902" i="2" a="1"/>
  <c r="I1902" i="2" s="1"/>
  <c r="I1903" i="2" a="1"/>
  <c r="I1903" i="2" s="1"/>
  <c r="I1904" i="2" a="1"/>
  <c r="I1904" i="2" s="1"/>
  <c r="I1905" i="2" a="1"/>
  <c r="I1905" i="2" s="1"/>
  <c r="I1906" i="2" a="1"/>
  <c r="I1906" i="2" s="1"/>
  <c r="I1907" i="2" a="1"/>
  <c r="I1907" i="2" s="1"/>
  <c r="I1908" i="2" a="1"/>
  <c r="I1908" i="2" s="1"/>
  <c r="I1909" i="2" a="1"/>
  <c r="I1909" i="2" s="1"/>
  <c r="I1910" i="2" a="1"/>
  <c r="I1910" i="2" s="1"/>
  <c r="I1911" i="2" a="1"/>
  <c r="I1911" i="2" s="1"/>
  <c r="I1912" i="2" a="1"/>
  <c r="I1912" i="2" s="1"/>
  <c r="I1913" i="2" a="1"/>
  <c r="I1913" i="2" s="1"/>
  <c r="I1914" i="2" a="1"/>
  <c r="I1914" i="2" s="1"/>
  <c r="I1915" i="2" a="1"/>
  <c r="I1915" i="2" s="1"/>
  <c r="I1916" i="2" a="1"/>
  <c r="I1916" i="2" s="1"/>
  <c r="I1917" i="2" a="1"/>
  <c r="I1917" i="2" s="1"/>
  <c r="I1918" i="2" a="1"/>
  <c r="I1918" i="2" s="1"/>
  <c r="I1919" i="2" a="1"/>
  <c r="I1919" i="2" s="1"/>
  <c r="I1920" i="2" a="1"/>
  <c r="I1920" i="2" s="1"/>
  <c r="I1921" i="2" a="1"/>
  <c r="I1921" i="2" s="1"/>
  <c r="I1922" i="2" a="1"/>
  <c r="I1922" i="2" s="1"/>
  <c r="I1923" i="2" a="1"/>
  <c r="I1923" i="2" s="1"/>
  <c r="I1924" i="2" a="1"/>
  <c r="I1924" i="2" s="1"/>
  <c r="I1925" i="2" a="1"/>
  <c r="I1925" i="2" s="1"/>
  <c r="I1926" i="2" a="1"/>
  <c r="I1926" i="2" s="1"/>
  <c r="I1927" i="2" a="1"/>
  <c r="I1927" i="2" s="1"/>
  <c r="I1928" i="2" a="1"/>
  <c r="I1928" i="2" s="1"/>
  <c r="I1929" i="2" a="1"/>
  <c r="I1929" i="2" s="1"/>
  <c r="I1930" i="2" a="1"/>
  <c r="I1930" i="2" s="1"/>
  <c r="I1931" i="2" a="1"/>
  <c r="I1931" i="2" s="1"/>
  <c r="I1932" i="2" a="1"/>
  <c r="I1932" i="2" s="1"/>
  <c r="I1933" i="2" a="1"/>
  <c r="I1933" i="2" s="1"/>
  <c r="I1934" i="2" a="1"/>
  <c r="I1934" i="2" s="1"/>
  <c r="I1935" i="2" a="1"/>
  <c r="I1935" i="2" s="1"/>
  <c r="I1936" i="2" a="1"/>
  <c r="I1936" i="2" s="1"/>
  <c r="I1937" i="2" a="1"/>
  <c r="I1937" i="2" s="1"/>
  <c r="I1938" i="2" a="1"/>
  <c r="I1938" i="2" s="1"/>
  <c r="I1939" i="2" a="1"/>
  <c r="I1939" i="2" s="1"/>
  <c r="I1940" i="2" a="1"/>
  <c r="I1940" i="2" s="1"/>
  <c r="I1941" i="2" a="1"/>
  <c r="I1941" i="2" s="1"/>
  <c r="I1942" i="2" a="1"/>
  <c r="I1942" i="2" s="1"/>
  <c r="I1943" i="2" a="1"/>
  <c r="I1943" i="2" s="1"/>
  <c r="I1944" i="2" a="1"/>
  <c r="I1944" i="2" s="1"/>
  <c r="I1945" i="2" a="1"/>
  <c r="I1945" i="2" s="1"/>
  <c r="I1946" i="2" a="1"/>
  <c r="I1946" i="2" s="1"/>
  <c r="I1947" i="2" a="1"/>
  <c r="I1947" i="2" s="1"/>
  <c r="I1948" i="2" a="1"/>
  <c r="I1948" i="2" s="1"/>
  <c r="I1949" i="2" a="1"/>
  <c r="I1949" i="2" s="1"/>
  <c r="I1950" i="2" a="1"/>
  <c r="I1950" i="2" s="1"/>
  <c r="I1951" i="2" a="1"/>
  <c r="I1951" i="2" s="1"/>
  <c r="I1952" i="2" a="1"/>
  <c r="I1952" i="2" s="1"/>
  <c r="I1953" i="2" a="1"/>
  <c r="I1953" i="2" s="1"/>
  <c r="I1954" i="2" a="1"/>
  <c r="I1954" i="2" s="1"/>
  <c r="I1955" i="2" a="1"/>
  <c r="I1955" i="2" s="1"/>
  <c r="I1956" i="2" a="1"/>
  <c r="I1956" i="2" s="1"/>
  <c r="I1957" i="2" a="1"/>
  <c r="I1957" i="2" s="1"/>
  <c r="I1958" i="2" a="1"/>
  <c r="I1958" i="2" s="1"/>
  <c r="I1959" i="2" a="1"/>
  <c r="I1959" i="2" s="1"/>
  <c r="I1960" i="2" a="1"/>
  <c r="I1960" i="2" s="1"/>
  <c r="I1961" i="2" a="1"/>
  <c r="I1961" i="2" s="1"/>
  <c r="I1962" i="2" a="1"/>
  <c r="I1962" i="2" s="1"/>
  <c r="I1963" i="2" a="1"/>
  <c r="I1963" i="2" s="1"/>
  <c r="I1964" i="2" a="1"/>
  <c r="I1964" i="2" s="1"/>
  <c r="I1965" i="2" a="1"/>
  <c r="I1965" i="2" s="1"/>
  <c r="I1966" i="2" a="1"/>
  <c r="I1966" i="2" s="1"/>
  <c r="I1967" i="2" a="1"/>
  <c r="I1967" i="2" s="1"/>
  <c r="I1968" i="2" a="1"/>
  <c r="I1968" i="2" s="1"/>
  <c r="I1969" i="2" a="1"/>
  <c r="I1969" i="2" s="1"/>
  <c r="I1970" i="2" a="1"/>
  <c r="I1970" i="2" s="1"/>
  <c r="I1971" i="2" a="1"/>
  <c r="I1971" i="2" s="1"/>
  <c r="I1972" i="2" a="1"/>
  <c r="I1972" i="2" s="1"/>
  <c r="I1973" i="2" a="1"/>
  <c r="I1973" i="2" s="1"/>
  <c r="I1974" i="2" a="1"/>
  <c r="I1974" i="2" s="1"/>
  <c r="I1975" i="2" a="1"/>
  <c r="I1975" i="2" s="1"/>
  <c r="I1976" i="2" a="1"/>
  <c r="I1976" i="2" s="1"/>
  <c r="I1977" i="2" a="1"/>
  <c r="I1977" i="2" s="1"/>
  <c r="I1978" i="2" a="1"/>
  <c r="I1978" i="2" s="1"/>
  <c r="I1979" i="2" a="1"/>
  <c r="I1979" i="2" s="1"/>
  <c r="I1980" i="2" a="1"/>
  <c r="I1980" i="2" s="1"/>
  <c r="I1981" i="2" a="1"/>
  <c r="I1981" i="2" s="1"/>
  <c r="I1982" i="2" a="1"/>
  <c r="I1982" i="2" s="1"/>
  <c r="I1983" i="2" a="1"/>
  <c r="I1983" i="2" s="1"/>
  <c r="I1984" i="2" a="1"/>
  <c r="I1984" i="2" s="1"/>
  <c r="I1985" i="2" a="1"/>
  <c r="I1985" i="2" s="1"/>
  <c r="I1986" i="2" a="1"/>
  <c r="I1986" i="2" s="1"/>
  <c r="I1987" i="2" a="1"/>
  <c r="I1987" i="2" s="1"/>
  <c r="I1988" i="2" a="1"/>
  <c r="I1988" i="2" s="1"/>
  <c r="I1989" i="2" a="1"/>
  <c r="I1989" i="2" s="1"/>
  <c r="I1990" i="2" a="1"/>
  <c r="I1990" i="2" s="1"/>
  <c r="I1991" i="2" a="1"/>
  <c r="I1991" i="2" s="1"/>
  <c r="I1992" i="2" a="1"/>
  <c r="I1992" i="2" s="1"/>
  <c r="I1993" i="2" a="1"/>
  <c r="I1993" i="2" s="1"/>
  <c r="I1994" i="2" a="1"/>
  <c r="I1994" i="2" s="1"/>
  <c r="I1995" i="2" a="1"/>
  <c r="I1995" i="2" s="1"/>
  <c r="I1996" i="2" a="1"/>
  <c r="I1996" i="2" s="1"/>
  <c r="I1997" i="2" a="1"/>
  <c r="I1997" i="2" s="1"/>
  <c r="I1998" i="2" a="1"/>
  <c r="I1998" i="2" s="1"/>
  <c r="I1999" i="2" a="1"/>
  <c r="I1999" i="2" s="1"/>
  <c r="I2000" i="2" a="1"/>
  <c r="I2000" i="2" s="1"/>
  <c r="I2001" i="2" a="1"/>
  <c r="I2001" i="2" s="1"/>
  <c r="I2002" i="2" a="1"/>
  <c r="I2002" i="2" s="1"/>
  <c r="I2003" i="2" a="1"/>
  <c r="I2003" i="2" s="1"/>
  <c r="I2004" i="2" a="1"/>
  <c r="I2004" i="2" s="1"/>
  <c r="I2005" i="2" a="1"/>
  <c r="I2005" i="2" s="1"/>
  <c r="I2006" i="2" a="1"/>
  <c r="I2006" i="2" s="1"/>
  <c r="I2007" i="2" a="1"/>
  <c r="I2007" i="2" s="1"/>
  <c r="I2008" i="2" a="1"/>
  <c r="I2008" i="2" s="1"/>
  <c r="I2009" i="2" a="1"/>
  <c r="I2009" i="2" s="1"/>
  <c r="I2010" i="2" a="1"/>
  <c r="I2010" i="2" s="1"/>
  <c r="I2011" i="2" a="1"/>
  <c r="I2011" i="2" s="1"/>
  <c r="I2012" i="2" a="1"/>
  <c r="I2012" i="2" s="1"/>
  <c r="I2013" i="2" a="1"/>
  <c r="I2013" i="2" s="1"/>
  <c r="I2014" i="2" a="1"/>
  <c r="I2014" i="2" s="1"/>
  <c r="I2015" i="2" a="1"/>
  <c r="I2015" i="2" s="1"/>
  <c r="I2016" i="2" a="1"/>
  <c r="I2016" i="2" s="1"/>
  <c r="I2017" i="2" a="1"/>
  <c r="I2017" i="2" s="1"/>
  <c r="I2018" i="2" a="1"/>
  <c r="I2018" i="2" s="1"/>
  <c r="I2019" i="2" a="1"/>
  <c r="I2019" i="2" s="1"/>
  <c r="I2020" i="2" a="1"/>
  <c r="I2020" i="2" s="1"/>
  <c r="I2021" i="2" a="1"/>
  <c r="I2021" i="2" s="1"/>
  <c r="I2022" i="2" a="1"/>
  <c r="I2022" i="2" s="1"/>
  <c r="I2023" i="2" a="1"/>
  <c r="I2023" i="2" s="1"/>
  <c r="I2024" i="2" a="1"/>
  <c r="I2024" i="2" s="1"/>
  <c r="I2025" i="2" a="1"/>
  <c r="I2025" i="2" s="1"/>
  <c r="I2026" i="2" a="1"/>
  <c r="I2026" i="2" s="1"/>
  <c r="I2027" i="2" a="1"/>
  <c r="I2027" i="2" s="1"/>
  <c r="I2028" i="2" a="1"/>
  <c r="I2028" i="2" s="1"/>
  <c r="I2029" i="2" a="1"/>
  <c r="I2029" i="2" s="1"/>
  <c r="I2030" i="2" a="1"/>
  <c r="I2030" i="2" s="1"/>
  <c r="I2031" i="2" a="1"/>
  <c r="I2031" i="2" s="1"/>
  <c r="I2032" i="2" a="1"/>
  <c r="I2032" i="2" s="1"/>
  <c r="I2033" i="2" a="1"/>
  <c r="I2033" i="2" s="1"/>
  <c r="I2034" i="2" a="1"/>
  <c r="I2034" i="2" s="1"/>
  <c r="I2035" i="2" a="1"/>
  <c r="I2035" i="2" s="1"/>
  <c r="I2036" i="2" a="1"/>
  <c r="I2036" i="2" s="1"/>
  <c r="I2037" i="2" a="1"/>
  <c r="I2037" i="2" s="1"/>
  <c r="I2038" i="2" a="1"/>
  <c r="I2038" i="2" s="1"/>
  <c r="I2039" i="2" a="1"/>
  <c r="I2039" i="2" s="1"/>
  <c r="I2040" i="2" a="1"/>
  <c r="I2040" i="2" s="1"/>
  <c r="I2041" i="2" a="1"/>
  <c r="I2041" i="2" s="1"/>
  <c r="I2042" i="2" a="1"/>
  <c r="I2042" i="2" s="1"/>
  <c r="I2043" i="2" a="1"/>
  <c r="I2043" i="2" s="1"/>
  <c r="I2044" i="2" a="1"/>
  <c r="I2044" i="2" s="1"/>
  <c r="I2045" i="2" a="1"/>
  <c r="I2045" i="2" s="1"/>
  <c r="I2046" i="2" a="1"/>
  <c r="I2046" i="2" s="1"/>
  <c r="I2047" i="2" a="1"/>
  <c r="I2047" i="2" s="1"/>
  <c r="I2048" i="2" a="1"/>
  <c r="I2048" i="2" s="1"/>
  <c r="I2049" i="2" a="1"/>
  <c r="I2049" i="2" s="1"/>
  <c r="I2050" i="2" a="1"/>
  <c r="I2050" i="2" s="1"/>
  <c r="I2051" i="2" a="1"/>
  <c r="I2051" i="2" s="1"/>
  <c r="I2052" i="2" a="1"/>
  <c r="I2052" i="2" s="1"/>
  <c r="I2053" i="2" a="1"/>
  <c r="I2053" i="2" s="1"/>
  <c r="I2054" i="2" a="1"/>
  <c r="I2054" i="2" s="1"/>
  <c r="I2055" i="2" a="1"/>
  <c r="I2055" i="2" s="1"/>
  <c r="I2056" i="2" a="1"/>
  <c r="I2056" i="2" s="1"/>
  <c r="I2057" i="2" a="1"/>
  <c r="I2057" i="2" s="1"/>
  <c r="I2058" i="2" a="1"/>
  <c r="I2058" i="2" s="1"/>
  <c r="I2059" i="2" a="1"/>
  <c r="I2059" i="2" s="1"/>
  <c r="I2060" i="2" a="1"/>
  <c r="I2060" i="2" s="1"/>
  <c r="I2061" i="2" a="1"/>
  <c r="I2061" i="2" s="1"/>
  <c r="I2062" i="2" a="1"/>
  <c r="I2062" i="2" s="1"/>
  <c r="I2063" i="2" a="1"/>
  <c r="I2063" i="2" s="1"/>
  <c r="I2064" i="2" a="1"/>
  <c r="I2064" i="2" s="1"/>
  <c r="I2065" i="2" a="1"/>
  <c r="I2065" i="2" s="1"/>
  <c r="I2066" i="2" a="1"/>
  <c r="I2066" i="2" s="1"/>
  <c r="I2067" i="2" a="1"/>
  <c r="I2067" i="2" s="1"/>
  <c r="I2068" i="2" a="1"/>
  <c r="I2068" i="2" s="1"/>
  <c r="I2069" i="2" a="1"/>
  <c r="I2069" i="2" s="1"/>
  <c r="I2070" i="2" a="1"/>
  <c r="I2070" i="2" s="1"/>
  <c r="I2071" i="2" a="1"/>
  <c r="I2071" i="2" s="1"/>
  <c r="I2072" i="2" a="1"/>
  <c r="I2072" i="2" s="1"/>
  <c r="I2073" i="2" a="1"/>
  <c r="I2073" i="2" s="1"/>
  <c r="I2074" i="2" a="1"/>
  <c r="I2074" i="2" s="1"/>
  <c r="I2075" i="2" a="1"/>
  <c r="I2075" i="2" s="1"/>
  <c r="I2076" i="2" a="1"/>
  <c r="I2076" i="2" s="1"/>
  <c r="I2077" i="2" a="1"/>
  <c r="I2077" i="2" s="1"/>
  <c r="I2078" i="2" a="1"/>
  <c r="I2078" i="2" s="1"/>
  <c r="I2079" i="2" a="1"/>
  <c r="I2079" i="2" s="1"/>
  <c r="I2080" i="2" a="1"/>
  <c r="I2080" i="2" s="1"/>
  <c r="I2081" i="2" a="1"/>
  <c r="I2081" i="2" s="1"/>
  <c r="I2082" i="2" a="1"/>
  <c r="I2082" i="2" s="1"/>
  <c r="I2083" i="2" a="1"/>
  <c r="I2083" i="2" s="1"/>
  <c r="I2084" i="2" a="1"/>
  <c r="I2084" i="2" s="1"/>
  <c r="I2085" i="2" a="1"/>
  <c r="I2085" i="2" s="1"/>
  <c r="I2086" i="2" a="1"/>
  <c r="I2086" i="2" s="1"/>
  <c r="I2087" i="2" a="1"/>
  <c r="I2087" i="2" s="1"/>
  <c r="I2088" i="2" a="1"/>
  <c r="I2088" i="2" s="1"/>
  <c r="I2089" i="2" a="1"/>
  <c r="I2089" i="2" s="1"/>
  <c r="I2090" i="2" a="1"/>
  <c r="I2090" i="2" s="1"/>
  <c r="I2091" i="2" a="1"/>
  <c r="I2091" i="2" s="1"/>
  <c r="I2092" i="2" a="1"/>
  <c r="I2092" i="2" s="1"/>
  <c r="I2093" i="2" a="1"/>
  <c r="I2093" i="2" s="1"/>
  <c r="I2094" i="2" a="1"/>
  <c r="I2094" i="2" s="1"/>
  <c r="I2095" i="2" a="1"/>
  <c r="I2095" i="2" s="1"/>
  <c r="I2096" i="2" a="1"/>
  <c r="I2096" i="2" s="1"/>
  <c r="I2097" i="2" a="1"/>
  <c r="I2097" i="2" s="1"/>
  <c r="I2098" i="2" a="1"/>
  <c r="I2098" i="2" s="1"/>
  <c r="I2099" i="2" a="1"/>
  <c r="I2099" i="2" s="1"/>
  <c r="I2100" i="2" a="1"/>
  <c r="I2100" i="2" s="1"/>
  <c r="I2101" i="2" a="1"/>
  <c r="I2101" i="2" s="1"/>
  <c r="I2102" i="2" a="1"/>
  <c r="I2102" i="2" s="1"/>
  <c r="I2103" i="2" a="1"/>
  <c r="I2103" i="2" s="1"/>
  <c r="I2104" i="2" a="1"/>
  <c r="I2104" i="2" s="1"/>
  <c r="I2105" i="2" a="1"/>
  <c r="I2105" i="2" s="1"/>
  <c r="I2106" i="2" a="1"/>
  <c r="I2106" i="2" s="1"/>
  <c r="I2107" i="2" a="1"/>
  <c r="I2107" i="2" s="1"/>
  <c r="I2108" i="2" a="1"/>
  <c r="I2108" i="2" s="1"/>
  <c r="I2109" i="2" a="1"/>
  <c r="I2109" i="2" s="1"/>
  <c r="I2110" i="2" a="1"/>
  <c r="I2110" i="2" s="1"/>
  <c r="I2111" i="2" a="1"/>
  <c r="I2111" i="2" s="1"/>
  <c r="I2112" i="2" a="1"/>
  <c r="I2112" i="2" s="1"/>
  <c r="I2113" i="2" a="1"/>
  <c r="I2113" i="2" s="1"/>
  <c r="I2114" i="2" a="1"/>
  <c r="I2114" i="2" s="1"/>
  <c r="I2115" i="2" a="1"/>
  <c r="I2115" i="2" s="1"/>
  <c r="I2116" i="2" a="1"/>
  <c r="I2116" i="2" s="1"/>
  <c r="I2117" i="2" a="1"/>
  <c r="I2117" i="2" s="1"/>
  <c r="I2118" i="2" a="1"/>
  <c r="I2118" i="2" s="1"/>
  <c r="I2119" i="2" a="1"/>
  <c r="I2119" i="2" s="1"/>
  <c r="I2120" i="2" a="1"/>
  <c r="I2120" i="2" s="1"/>
  <c r="I2121" i="2" a="1"/>
  <c r="I2121" i="2" s="1"/>
  <c r="I2122" i="2" a="1"/>
  <c r="I2122" i="2" s="1"/>
  <c r="I2123" i="2" a="1"/>
  <c r="I2123" i="2" s="1"/>
  <c r="I2124" i="2" a="1"/>
  <c r="I2124" i="2" s="1"/>
  <c r="I2125" i="2" a="1"/>
  <c r="I2125" i="2" s="1"/>
  <c r="I2126" i="2" a="1"/>
  <c r="I2126" i="2" s="1"/>
  <c r="I2127" i="2" a="1"/>
  <c r="I2127" i="2" s="1"/>
  <c r="I2128" i="2" a="1"/>
  <c r="I2128" i="2" s="1"/>
  <c r="I2129" i="2" a="1"/>
  <c r="I2129" i="2" s="1"/>
  <c r="I2130" i="2" a="1"/>
  <c r="I2130" i="2" s="1"/>
  <c r="I2131" i="2" a="1"/>
  <c r="I2131" i="2" s="1"/>
  <c r="I2132" i="2" a="1"/>
  <c r="I2132" i="2" s="1"/>
  <c r="I2133" i="2" a="1"/>
  <c r="I2133" i="2" s="1"/>
  <c r="I2134" i="2" a="1"/>
  <c r="I2134" i="2" s="1"/>
  <c r="I2135" i="2" a="1"/>
  <c r="I2135" i="2" s="1"/>
  <c r="I2136" i="2" a="1"/>
  <c r="I2136" i="2" s="1"/>
  <c r="I2137" i="2" a="1"/>
  <c r="I2137" i="2" s="1"/>
  <c r="I2138" i="2" a="1"/>
  <c r="I2138" i="2" s="1"/>
  <c r="I2139" i="2" a="1"/>
  <c r="I2139" i="2" s="1"/>
  <c r="I2140" i="2" a="1"/>
  <c r="I2140" i="2" s="1"/>
  <c r="I2141" i="2" a="1"/>
  <c r="I2141" i="2" s="1"/>
  <c r="I2142" i="2" a="1"/>
  <c r="I2142" i="2" s="1"/>
  <c r="I2143" i="2" a="1"/>
  <c r="I2143" i="2" s="1"/>
  <c r="I2144" i="2" a="1"/>
  <c r="I2144" i="2" s="1"/>
  <c r="I2145" i="2" a="1"/>
  <c r="I2145" i="2" s="1"/>
  <c r="I2146" i="2" a="1"/>
  <c r="I2146" i="2" s="1"/>
  <c r="I2147" i="2" a="1"/>
  <c r="I2147" i="2" s="1"/>
  <c r="I2148" i="2" a="1"/>
  <c r="I2148" i="2" s="1"/>
  <c r="I2149" i="2" a="1"/>
  <c r="I2149" i="2" s="1"/>
  <c r="I2150" i="2" a="1"/>
  <c r="I2150" i="2" s="1"/>
  <c r="I2151" i="2" a="1"/>
  <c r="I2151" i="2" s="1"/>
  <c r="I2152" i="2" a="1"/>
  <c r="I2152" i="2" s="1"/>
  <c r="I2153" i="2" a="1"/>
  <c r="I2153" i="2" s="1"/>
  <c r="I2154" i="2" a="1"/>
  <c r="I2154" i="2" s="1"/>
  <c r="I2155" i="2" a="1"/>
  <c r="I2155" i="2" s="1"/>
  <c r="I2156" i="2" a="1"/>
  <c r="I2156" i="2" s="1"/>
  <c r="I2157" i="2" a="1"/>
  <c r="I2157" i="2" s="1"/>
  <c r="I2158" i="2" a="1"/>
  <c r="I2158" i="2" s="1"/>
  <c r="I2159" i="2" a="1"/>
  <c r="I2159" i="2" s="1"/>
  <c r="I2160" i="2" a="1"/>
  <c r="I2160" i="2" s="1"/>
  <c r="I2161" i="2" a="1"/>
  <c r="I2161" i="2" s="1"/>
  <c r="I2162" i="2" a="1"/>
  <c r="I2162" i="2" s="1"/>
  <c r="I2163" i="2" a="1"/>
  <c r="I2163" i="2" s="1"/>
  <c r="I2164" i="2" a="1"/>
  <c r="I2164" i="2" s="1"/>
  <c r="I2165" i="2" a="1"/>
  <c r="I2165" i="2" s="1"/>
  <c r="I2166" i="2" a="1"/>
  <c r="I2166" i="2" s="1"/>
  <c r="I2167" i="2" a="1"/>
  <c r="I2167" i="2" s="1"/>
  <c r="I2168" i="2" a="1"/>
  <c r="I2168" i="2" s="1"/>
  <c r="I2169" i="2" a="1"/>
  <c r="I2169" i="2" s="1"/>
  <c r="I2170" i="2" a="1"/>
  <c r="I2170" i="2" s="1"/>
  <c r="I2171" i="2" a="1"/>
  <c r="I2171" i="2" s="1"/>
  <c r="I2172" i="2" a="1"/>
  <c r="I2172" i="2" s="1"/>
  <c r="I2173" i="2" a="1"/>
  <c r="I2173" i="2" s="1"/>
  <c r="I2174" i="2" a="1"/>
  <c r="I2174" i="2" s="1"/>
  <c r="I2175" i="2" a="1"/>
  <c r="I2175" i="2" s="1"/>
  <c r="I2176" i="2" a="1"/>
  <c r="I2176" i="2" s="1"/>
  <c r="I2177" i="2" a="1"/>
  <c r="I2177" i="2" s="1"/>
  <c r="I2178" i="2" a="1"/>
  <c r="I2178" i="2" s="1"/>
  <c r="I2179" i="2" a="1"/>
  <c r="I2179" i="2" s="1"/>
  <c r="I2180" i="2" a="1"/>
  <c r="I2180" i="2" s="1"/>
  <c r="I2181" i="2" a="1"/>
  <c r="I2181" i="2" s="1"/>
  <c r="I2182" i="2" a="1"/>
  <c r="I2182" i="2" s="1"/>
  <c r="I2183" i="2" a="1"/>
  <c r="I2183" i="2" s="1"/>
  <c r="I2184" i="2" a="1"/>
  <c r="I2184" i="2" s="1"/>
  <c r="I2185" i="2" a="1"/>
  <c r="I2185" i="2" s="1"/>
  <c r="I2186" i="2" a="1"/>
  <c r="I2186" i="2" s="1"/>
  <c r="I2187" i="2" a="1"/>
  <c r="I2187" i="2" s="1"/>
  <c r="I2188" i="2" a="1"/>
  <c r="I2188" i="2" s="1"/>
  <c r="I2189" i="2" a="1"/>
  <c r="I2189" i="2" s="1"/>
  <c r="I2190" i="2" a="1"/>
  <c r="I2190" i="2" s="1"/>
  <c r="I2191" i="2" a="1"/>
  <c r="I2191" i="2" s="1"/>
  <c r="I2192" i="2" a="1"/>
  <c r="I2192" i="2" s="1"/>
  <c r="I2193" i="2" a="1"/>
  <c r="I2193" i="2" s="1"/>
  <c r="I2194" i="2" a="1"/>
  <c r="I2194" i="2" s="1"/>
  <c r="I2195" i="2" a="1"/>
  <c r="I2195" i="2" s="1"/>
  <c r="I2196" i="2" a="1"/>
  <c r="I2196" i="2" s="1"/>
  <c r="I2197" i="2" a="1"/>
  <c r="I2197" i="2" s="1"/>
  <c r="I2198" i="2" a="1"/>
  <c r="I2198" i="2" s="1"/>
  <c r="I2199" i="2" a="1"/>
  <c r="I2199" i="2" s="1"/>
  <c r="I2200" i="2" a="1"/>
  <c r="I2200" i="2" s="1"/>
  <c r="I2201" i="2" a="1"/>
  <c r="I2201" i="2" s="1"/>
  <c r="I2202" i="2" a="1"/>
  <c r="I2202" i="2" s="1"/>
  <c r="I2203" i="2" a="1"/>
  <c r="I2203" i="2" s="1"/>
  <c r="I2204" i="2" a="1"/>
  <c r="I2204" i="2" s="1"/>
  <c r="I2205" i="2" a="1"/>
  <c r="I2205" i="2" s="1"/>
  <c r="I2206" i="2" a="1"/>
  <c r="I2206" i="2" s="1"/>
  <c r="I2207" i="2" a="1"/>
  <c r="I2207" i="2" s="1"/>
  <c r="I2208" i="2" a="1"/>
  <c r="I2208" i="2" s="1"/>
  <c r="I2209" i="2" a="1"/>
  <c r="I2209" i="2" s="1"/>
  <c r="I2210" i="2" a="1"/>
  <c r="I2210" i="2" s="1"/>
  <c r="I2211" i="2" a="1"/>
  <c r="I2211" i="2" s="1"/>
  <c r="I2212" i="2" a="1"/>
  <c r="I2212" i="2" s="1"/>
  <c r="I2213" i="2" a="1"/>
  <c r="I2213" i="2" s="1"/>
  <c r="I2214" i="2" a="1"/>
  <c r="I2214" i="2" s="1"/>
  <c r="I2215" i="2" a="1"/>
  <c r="I2215" i="2" s="1"/>
  <c r="I2216" i="2" a="1"/>
  <c r="I2216" i="2" s="1"/>
  <c r="I2217" i="2" a="1"/>
  <c r="I2217" i="2" s="1"/>
  <c r="I2218" i="2" a="1"/>
  <c r="I2218" i="2" s="1"/>
  <c r="I2219" i="2" a="1"/>
  <c r="I2219" i="2" s="1"/>
  <c r="I2220" i="2" a="1"/>
  <c r="I2220" i="2" s="1"/>
  <c r="I2221" i="2" a="1"/>
  <c r="I2221" i="2" s="1"/>
  <c r="I2222" i="2" a="1"/>
  <c r="I2222" i="2" s="1"/>
  <c r="I2223" i="2" a="1"/>
  <c r="I2223" i="2" s="1"/>
  <c r="I2224" i="2" a="1"/>
  <c r="I2224" i="2" s="1"/>
  <c r="I2225" i="2" a="1"/>
  <c r="I2225" i="2" s="1"/>
  <c r="I2226" i="2" a="1"/>
  <c r="I2226" i="2" s="1"/>
  <c r="I2227" i="2" a="1"/>
  <c r="I2227" i="2" s="1"/>
  <c r="I2228" i="2" a="1"/>
  <c r="I2228" i="2" s="1"/>
  <c r="I2229" i="2" a="1"/>
  <c r="I2229" i="2" s="1"/>
  <c r="I2230" i="2" a="1"/>
  <c r="I2230" i="2" s="1"/>
  <c r="I2231" i="2" a="1"/>
  <c r="I2231" i="2" s="1"/>
  <c r="I2232" i="2" a="1"/>
  <c r="I2232" i="2" s="1"/>
  <c r="I2233" i="2" a="1"/>
  <c r="I2233" i="2" s="1"/>
  <c r="I2234" i="2" a="1"/>
  <c r="I2234" i="2" s="1"/>
  <c r="I2235" i="2" a="1"/>
  <c r="I2235" i="2" s="1"/>
  <c r="I2236" i="2" a="1"/>
  <c r="I2236" i="2" s="1"/>
  <c r="I2237" i="2" a="1"/>
  <c r="I2237" i="2" s="1"/>
  <c r="I2238" i="2" a="1"/>
  <c r="I2238" i="2" s="1"/>
  <c r="I2239" i="2" a="1"/>
  <c r="I2239" i="2" s="1"/>
  <c r="I2240" i="2" a="1"/>
  <c r="I2240" i="2" s="1"/>
  <c r="I2241" i="2" a="1"/>
  <c r="I2241" i="2" s="1"/>
  <c r="I2242" i="2" a="1"/>
  <c r="I2242" i="2" s="1"/>
  <c r="I2243" i="2" a="1"/>
  <c r="I2243" i="2" s="1"/>
  <c r="I2244" i="2" a="1"/>
  <c r="I2244" i="2" s="1"/>
  <c r="I2245" i="2" a="1"/>
  <c r="I2245" i="2" s="1"/>
  <c r="I2246" i="2" a="1"/>
  <c r="I2246" i="2" s="1"/>
  <c r="I2247" i="2" a="1"/>
  <c r="I2247" i="2" s="1"/>
  <c r="I2248" i="2" a="1"/>
  <c r="I2248" i="2" s="1"/>
  <c r="I2249" i="2" a="1"/>
  <c r="I2249" i="2" s="1"/>
  <c r="I2250" i="2" a="1"/>
  <c r="I2250" i="2" s="1"/>
  <c r="I2251" i="2" a="1"/>
  <c r="I2251" i="2" s="1"/>
  <c r="I2252" i="2" a="1"/>
  <c r="I2252" i="2" s="1"/>
  <c r="I2253" i="2" a="1"/>
  <c r="I2253" i="2" s="1"/>
  <c r="I2254" i="2" a="1"/>
  <c r="I2254" i="2" s="1"/>
  <c r="I2255" i="2" a="1"/>
  <c r="I2255" i="2" s="1"/>
  <c r="I2256" i="2" a="1"/>
  <c r="I2256" i="2" s="1"/>
  <c r="I2257" i="2" a="1"/>
  <c r="I2257" i="2" s="1"/>
  <c r="I2258" i="2" a="1"/>
  <c r="I2258" i="2" s="1"/>
  <c r="I2259" i="2" a="1"/>
  <c r="I2259" i="2" s="1"/>
  <c r="I2260" i="2" a="1"/>
  <c r="I2260" i="2" s="1"/>
  <c r="I2261" i="2" a="1"/>
  <c r="I2261" i="2" s="1"/>
  <c r="I2262" i="2" a="1"/>
  <c r="I2262" i="2" s="1"/>
  <c r="I2263" i="2" a="1"/>
  <c r="I2263" i="2" s="1"/>
  <c r="I2264" i="2" a="1"/>
  <c r="I2264" i="2" s="1"/>
  <c r="I2265" i="2" a="1"/>
  <c r="I2265" i="2" s="1"/>
  <c r="I2266" i="2" a="1"/>
  <c r="I2266" i="2" s="1"/>
  <c r="I2267" i="2" a="1"/>
  <c r="I2267" i="2" s="1"/>
  <c r="I2268" i="2" a="1"/>
  <c r="I2268" i="2" s="1"/>
  <c r="I2269" i="2" a="1"/>
  <c r="I2269" i="2" s="1"/>
  <c r="I2270" i="2" a="1"/>
  <c r="I2270" i="2" s="1"/>
  <c r="I2271" i="2" a="1"/>
  <c r="I2271" i="2" s="1"/>
  <c r="I2272" i="2" a="1"/>
  <c r="I2272" i="2" s="1"/>
  <c r="I2273" i="2" a="1"/>
  <c r="I2273" i="2" s="1"/>
  <c r="I2274" i="2" a="1"/>
  <c r="I2274" i="2" s="1"/>
  <c r="I2275" i="2" a="1"/>
  <c r="I2275" i="2" s="1"/>
  <c r="I2276" i="2" a="1"/>
  <c r="I2276" i="2" s="1"/>
  <c r="I2277" i="2" a="1"/>
  <c r="I2277" i="2" s="1"/>
  <c r="I2278" i="2" a="1"/>
  <c r="I2278" i="2" s="1"/>
  <c r="I2279" i="2" a="1"/>
  <c r="I2279" i="2" s="1"/>
  <c r="I2280" i="2" a="1"/>
  <c r="I2280" i="2" s="1"/>
  <c r="I2281" i="2" a="1"/>
  <c r="I2281" i="2" s="1"/>
  <c r="I2282" i="2" a="1"/>
  <c r="I2282" i="2" s="1"/>
  <c r="I2283" i="2" a="1"/>
  <c r="I2283" i="2" s="1"/>
  <c r="I2284" i="2" a="1"/>
  <c r="I2284" i="2" s="1"/>
  <c r="I2285" i="2" a="1"/>
  <c r="I2285" i="2" s="1"/>
  <c r="I2286" i="2" a="1"/>
  <c r="I2286" i="2" s="1"/>
  <c r="I2287" i="2" a="1"/>
  <c r="I2287" i="2" s="1"/>
  <c r="I2288" i="2" a="1"/>
  <c r="I2288" i="2" s="1"/>
  <c r="I2289" i="2" a="1"/>
  <c r="I2289" i="2" s="1"/>
  <c r="I2290" i="2" a="1"/>
  <c r="I2290" i="2" s="1"/>
  <c r="I2291" i="2" a="1"/>
  <c r="I2291" i="2" s="1"/>
  <c r="I2292" i="2" a="1"/>
  <c r="I2292" i="2" s="1"/>
  <c r="I2293" i="2" a="1"/>
  <c r="I2293" i="2" s="1"/>
  <c r="I2294" i="2" a="1"/>
  <c r="I2294" i="2" s="1"/>
  <c r="I2295" i="2" a="1"/>
  <c r="I2295" i="2" s="1"/>
  <c r="I2296" i="2" a="1"/>
  <c r="I2296" i="2" s="1"/>
  <c r="I2297" i="2" a="1"/>
  <c r="I2297" i="2" s="1"/>
  <c r="I2298" i="2" a="1"/>
  <c r="I2298" i="2" s="1"/>
  <c r="I2299" i="2" a="1"/>
  <c r="I2299" i="2" s="1"/>
  <c r="I2300" i="2" a="1"/>
  <c r="I2300" i="2" s="1"/>
  <c r="I2301" i="2" a="1"/>
  <c r="I2301" i="2" s="1"/>
  <c r="I2302" i="2" a="1"/>
  <c r="I2302" i="2" s="1"/>
  <c r="I2303" i="2" a="1"/>
  <c r="I2303" i="2" s="1"/>
  <c r="I2304" i="2" a="1"/>
  <c r="I2304" i="2" s="1"/>
  <c r="I2305" i="2" a="1"/>
  <c r="I2305" i="2" s="1"/>
  <c r="I2306" i="2" a="1"/>
  <c r="I2306" i="2" s="1"/>
  <c r="I2307" i="2" a="1"/>
  <c r="I2307" i="2" s="1"/>
  <c r="I2308" i="2" a="1"/>
  <c r="I2308" i="2" s="1"/>
  <c r="I2309" i="2" a="1"/>
  <c r="I2309" i="2" s="1"/>
  <c r="I2310" i="2" a="1"/>
  <c r="I2310" i="2" s="1"/>
  <c r="I2311" i="2" a="1"/>
  <c r="I2311" i="2" s="1"/>
  <c r="I2312" i="2" a="1"/>
  <c r="I2312" i="2" s="1"/>
  <c r="I2313" i="2" a="1"/>
  <c r="I2313" i="2" s="1"/>
  <c r="I2314" i="2" a="1"/>
  <c r="I2314" i="2" s="1"/>
  <c r="I2315" i="2" a="1"/>
  <c r="I2315" i="2" s="1"/>
  <c r="I2316" i="2" a="1"/>
  <c r="I2316" i="2" s="1"/>
  <c r="I2317" i="2" a="1"/>
  <c r="I2317" i="2" s="1"/>
  <c r="I2318" i="2" a="1"/>
  <c r="I2318" i="2" s="1"/>
  <c r="I2319" i="2" a="1"/>
  <c r="I2319" i="2" s="1"/>
  <c r="I2320" i="2" a="1"/>
  <c r="I2320" i="2" s="1"/>
  <c r="I2321" i="2" a="1"/>
  <c r="I2321" i="2" s="1"/>
  <c r="I2322" i="2" a="1"/>
  <c r="I2322" i="2" s="1"/>
  <c r="I2323" i="2" a="1"/>
  <c r="I2323" i="2" s="1"/>
  <c r="I2324" i="2" a="1"/>
  <c r="I2324" i="2" s="1"/>
  <c r="I2325" i="2" a="1"/>
  <c r="I2325" i="2" s="1"/>
  <c r="I2326" i="2" a="1"/>
  <c r="I2326" i="2" s="1"/>
  <c r="I2327" i="2" a="1"/>
  <c r="I2327" i="2" s="1"/>
  <c r="I2328" i="2" a="1"/>
  <c r="I2328" i="2" s="1"/>
  <c r="I2329" i="2" a="1"/>
  <c r="I2329" i="2" s="1"/>
  <c r="I2330" i="2" a="1"/>
  <c r="I2330" i="2" s="1"/>
  <c r="I2331" i="2" a="1"/>
  <c r="I2331" i="2" s="1"/>
  <c r="I2332" i="2" a="1"/>
  <c r="I2332" i="2" s="1"/>
  <c r="I2333" i="2" a="1"/>
  <c r="I2333" i="2" s="1"/>
  <c r="I2334" i="2" a="1"/>
  <c r="I2334" i="2" s="1"/>
  <c r="I2335" i="2" a="1"/>
  <c r="I2335" i="2" s="1"/>
  <c r="I2336" i="2" a="1"/>
  <c r="I2336" i="2" s="1"/>
  <c r="I2337" i="2" a="1"/>
  <c r="I2337" i="2" s="1"/>
  <c r="I2338" i="2" a="1"/>
  <c r="I2338" i="2" s="1"/>
  <c r="I2339" i="2" a="1"/>
  <c r="I2339" i="2" s="1"/>
  <c r="I2340" i="2" a="1"/>
  <c r="I2340" i="2" s="1"/>
  <c r="I2341" i="2" a="1"/>
  <c r="I2341" i="2" s="1"/>
  <c r="I2342" i="2" a="1"/>
  <c r="I2342" i="2" s="1"/>
  <c r="I2343" i="2" a="1"/>
  <c r="I2343" i="2" s="1"/>
  <c r="I2344" i="2" a="1"/>
  <c r="I2344" i="2" s="1"/>
  <c r="I2345" i="2" a="1"/>
  <c r="I2345" i="2" s="1"/>
  <c r="I2346" i="2" a="1"/>
  <c r="I2346" i="2" s="1"/>
  <c r="I2347" i="2" a="1"/>
  <c r="I2347" i="2" s="1"/>
  <c r="I2348" i="2" a="1"/>
  <c r="I2348" i="2" s="1"/>
  <c r="I2349" i="2" a="1"/>
  <c r="I2349" i="2" s="1"/>
  <c r="I2350" i="2" a="1"/>
  <c r="I2350" i="2" s="1"/>
  <c r="I2351" i="2" a="1"/>
  <c r="I2351" i="2" s="1"/>
  <c r="I2352" i="2" a="1"/>
  <c r="I2352" i="2" s="1"/>
  <c r="I2353" i="2" a="1"/>
  <c r="I2353" i="2" s="1"/>
  <c r="I2354" i="2" a="1"/>
  <c r="I2354" i="2" s="1"/>
  <c r="I2355" i="2" a="1"/>
  <c r="I2355" i="2" s="1"/>
  <c r="I2356" i="2" a="1"/>
  <c r="I2356" i="2" s="1"/>
  <c r="I2357" i="2" a="1"/>
  <c r="I2357" i="2" s="1"/>
  <c r="I2358" i="2" a="1"/>
  <c r="I2358" i="2" s="1"/>
  <c r="I2359" i="2" a="1"/>
  <c r="I2359" i="2" s="1"/>
  <c r="I2360" i="2" a="1"/>
  <c r="I2360" i="2" s="1"/>
  <c r="I2361" i="2" a="1"/>
  <c r="I2361" i="2" s="1"/>
  <c r="I2362" i="2" a="1"/>
  <c r="I2362" i="2" s="1"/>
  <c r="I2363" i="2" a="1"/>
  <c r="I2363" i="2" s="1"/>
  <c r="I2364" i="2" a="1"/>
  <c r="I2364" i="2" s="1"/>
  <c r="I2365" i="2" a="1"/>
  <c r="I2365" i="2" s="1"/>
  <c r="I2366" i="2" a="1"/>
  <c r="I2366" i="2" s="1"/>
  <c r="I2367" i="2" a="1"/>
  <c r="I2367" i="2" s="1"/>
  <c r="I2368" i="2" a="1"/>
  <c r="I2368" i="2" s="1"/>
  <c r="I2369" i="2" a="1"/>
  <c r="I2369" i="2" s="1"/>
  <c r="I2370" i="2" a="1"/>
  <c r="I2370" i="2" s="1"/>
  <c r="I2371" i="2" a="1"/>
  <c r="I2371" i="2" s="1"/>
  <c r="I2372" i="2" a="1"/>
  <c r="I2372" i="2" s="1"/>
  <c r="I2373" i="2" a="1"/>
  <c r="I2373" i="2" s="1"/>
  <c r="I2374" i="2" a="1"/>
  <c r="I2374" i="2" s="1"/>
  <c r="I2375" i="2" a="1"/>
  <c r="I2375" i="2" s="1"/>
  <c r="I2376" i="2" a="1"/>
  <c r="I2376" i="2" s="1"/>
  <c r="I2377" i="2" a="1"/>
  <c r="I2377" i="2" s="1"/>
  <c r="I2378" i="2" a="1"/>
  <c r="I2378" i="2" s="1"/>
  <c r="I2379" i="2" a="1"/>
  <c r="I2379" i="2" s="1"/>
  <c r="I2380" i="2" a="1"/>
  <c r="I2380" i="2" s="1"/>
  <c r="I2381" i="2" a="1"/>
  <c r="I2381" i="2" s="1"/>
  <c r="I2382" i="2" a="1"/>
  <c r="I2382" i="2" s="1"/>
  <c r="I2383" i="2" a="1"/>
  <c r="I2383" i="2" s="1"/>
  <c r="I2384" i="2" a="1"/>
  <c r="I2384" i="2" s="1"/>
  <c r="I2385" i="2" a="1"/>
  <c r="I2385" i="2" s="1"/>
  <c r="I2386" i="2" a="1"/>
  <c r="I2386" i="2" s="1"/>
  <c r="I2387" i="2" a="1"/>
  <c r="I2387" i="2" s="1"/>
  <c r="I2388" i="2" a="1"/>
  <c r="I2388" i="2" s="1"/>
  <c r="I2389" i="2" a="1"/>
  <c r="I2389" i="2" s="1"/>
  <c r="I2390" i="2" a="1"/>
  <c r="I2390" i="2" s="1"/>
  <c r="I2391" i="2" a="1"/>
  <c r="I2391" i="2" s="1"/>
  <c r="I2392" i="2" a="1"/>
  <c r="I2392" i="2" s="1"/>
  <c r="I2393" i="2" a="1"/>
  <c r="I2393" i="2" s="1"/>
  <c r="I2394" i="2" a="1"/>
  <c r="I2394" i="2" s="1"/>
  <c r="I2395" i="2" a="1"/>
  <c r="I2395" i="2" s="1"/>
  <c r="I2396" i="2" a="1"/>
  <c r="I2396" i="2" s="1"/>
  <c r="I2397" i="2" a="1"/>
  <c r="I2397" i="2" s="1"/>
  <c r="I2398" i="2" a="1"/>
  <c r="I2398" i="2" s="1"/>
  <c r="I2399" i="2" a="1"/>
  <c r="I2399" i="2" s="1"/>
  <c r="I2400" i="2" a="1"/>
  <c r="I2400" i="2" s="1"/>
  <c r="I2401" i="2" a="1"/>
  <c r="I2401" i="2" s="1"/>
  <c r="I2402" i="2" a="1"/>
  <c r="I2402" i="2" s="1"/>
  <c r="I2403" i="2" a="1"/>
  <c r="I2403" i="2" s="1"/>
  <c r="I2404" i="2" a="1"/>
  <c r="I2404" i="2" s="1"/>
  <c r="I2405" i="2" a="1"/>
  <c r="I2405" i="2" s="1"/>
  <c r="I2406" i="2" a="1"/>
  <c r="I2406" i="2" s="1"/>
  <c r="I2407" i="2" a="1"/>
  <c r="I2407" i="2" s="1"/>
  <c r="I2408" i="2" a="1"/>
  <c r="I2408" i="2" s="1"/>
  <c r="I2409" i="2" a="1"/>
  <c r="I2409" i="2" s="1"/>
  <c r="I2410" i="2" a="1"/>
  <c r="I2410" i="2" s="1"/>
  <c r="I2411" i="2" a="1"/>
  <c r="I2411" i="2" s="1"/>
  <c r="I2412" i="2" a="1"/>
  <c r="I2412" i="2" s="1"/>
  <c r="I2413" i="2" a="1"/>
  <c r="I2413" i="2" s="1"/>
  <c r="I2414" i="2" a="1"/>
  <c r="I2414" i="2" s="1"/>
  <c r="I2415" i="2" a="1"/>
  <c r="I2415" i="2" s="1"/>
  <c r="I2416" i="2" a="1"/>
  <c r="I2416" i="2" s="1"/>
  <c r="I2417" i="2" a="1"/>
  <c r="I2417" i="2" s="1"/>
  <c r="I2418" i="2" a="1"/>
  <c r="I2418" i="2" s="1"/>
  <c r="I2419" i="2" a="1"/>
  <c r="I2419" i="2" s="1"/>
  <c r="I2420" i="2" a="1"/>
  <c r="I2420" i="2" s="1"/>
  <c r="I2421" i="2" a="1"/>
  <c r="I2421" i="2" s="1"/>
  <c r="I2422" i="2" a="1"/>
  <c r="I2422" i="2" s="1"/>
  <c r="I2423" i="2" a="1"/>
  <c r="I2423" i="2" s="1"/>
  <c r="I2424" i="2" a="1"/>
  <c r="I2424" i="2" s="1"/>
  <c r="I2425" i="2" a="1"/>
  <c r="I2425" i="2" s="1"/>
  <c r="I2426" i="2" a="1"/>
  <c r="I2426" i="2" s="1"/>
  <c r="I2427" i="2" a="1"/>
  <c r="I2427" i="2" s="1"/>
  <c r="I2428" i="2" a="1"/>
  <c r="I2428" i="2" s="1"/>
  <c r="I2429" i="2" a="1"/>
  <c r="I2429" i="2" s="1"/>
  <c r="I2430" i="2" a="1"/>
  <c r="I2430" i="2" s="1"/>
  <c r="I2431" i="2" a="1"/>
  <c r="I2431" i="2" s="1"/>
  <c r="I2432" i="2" a="1"/>
  <c r="I2432" i="2" s="1"/>
  <c r="I2433" i="2" a="1"/>
  <c r="I2433" i="2" s="1"/>
  <c r="I2434" i="2" a="1"/>
  <c r="I2434" i="2" s="1"/>
  <c r="I2435" i="2" a="1"/>
  <c r="I2435" i="2" s="1"/>
  <c r="I2436" i="2" a="1"/>
  <c r="I2436" i="2" s="1"/>
  <c r="I2437" i="2" a="1"/>
  <c r="I2437" i="2" s="1"/>
  <c r="I2438" i="2" a="1"/>
  <c r="I2438" i="2" s="1"/>
  <c r="I2439" i="2" a="1"/>
  <c r="I2439" i="2" s="1"/>
  <c r="I2440" i="2" a="1"/>
  <c r="I2440" i="2" s="1"/>
  <c r="I2441" i="2" a="1"/>
  <c r="I2441" i="2" s="1"/>
  <c r="I2442" i="2" a="1"/>
  <c r="I2442" i="2" s="1"/>
  <c r="I2443" i="2" a="1"/>
  <c r="I2443" i="2" s="1"/>
  <c r="I2444" i="2" a="1"/>
  <c r="I2444" i="2" s="1"/>
  <c r="I2445" i="2" a="1"/>
  <c r="I2445" i="2" s="1"/>
  <c r="I2446" i="2" a="1"/>
  <c r="I2446" i="2" s="1"/>
  <c r="I2447" i="2" a="1"/>
  <c r="I2447" i="2" s="1"/>
  <c r="I2448" i="2" a="1"/>
  <c r="I2448" i="2" s="1"/>
  <c r="I2449" i="2" a="1"/>
  <c r="I2449" i="2" s="1"/>
  <c r="I2450" i="2" a="1"/>
  <c r="I2450" i="2" s="1"/>
  <c r="I2451" i="2" a="1"/>
  <c r="I2451" i="2" s="1"/>
  <c r="I2452" i="2" a="1"/>
  <c r="I2452" i="2" s="1"/>
  <c r="I2453" i="2" a="1"/>
  <c r="I2453" i="2" s="1"/>
  <c r="I2454" i="2" a="1"/>
  <c r="I2454" i="2" s="1"/>
  <c r="I2455" i="2" a="1"/>
  <c r="I2455" i="2" s="1"/>
  <c r="I2456" i="2" a="1"/>
  <c r="I2456" i="2" s="1"/>
  <c r="I2457" i="2" a="1"/>
  <c r="I2457" i="2" s="1"/>
  <c r="I2458" i="2" a="1"/>
  <c r="I2458" i="2" s="1"/>
  <c r="I2459" i="2" a="1"/>
  <c r="I2459" i="2" s="1"/>
  <c r="I2460" i="2" a="1"/>
  <c r="I2460" i="2" s="1"/>
  <c r="I2461" i="2" a="1"/>
  <c r="I2461" i="2" s="1"/>
  <c r="I2462" i="2" a="1"/>
  <c r="I2462" i="2" s="1"/>
  <c r="I2463" i="2" a="1"/>
  <c r="I2463" i="2" s="1"/>
  <c r="I2464" i="2" a="1"/>
  <c r="I2464" i="2" s="1"/>
  <c r="I2465" i="2" a="1"/>
  <c r="I2465" i="2" s="1"/>
  <c r="I2466" i="2" a="1"/>
  <c r="I2466" i="2" s="1"/>
  <c r="I2467" i="2" a="1"/>
  <c r="I2467" i="2" s="1"/>
  <c r="I2468" i="2" a="1"/>
  <c r="I2468" i="2" s="1"/>
  <c r="I2469" i="2" a="1"/>
  <c r="I2469" i="2" s="1"/>
  <c r="I2470" i="2" a="1"/>
  <c r="I2470" i="2" s="1"/>
  <c r="I2471" i="2" a="1"/>
  <c r="I2471" i="2" s="1"/>
  <c r="I2472" i="2" a="1"/>
  <c r="I2472" i="2" s="1"/>
  <c r="I2473" i="2" a="1"/>
  <c r="I2473" i="2" s="1"/>
  <c r="I2474" i="2" a="1"/>
  <c r="I2474" i="2" s="1"/>
  <c r="I2475" i="2" a="1"/>
  <c r="I2475" i="2" s="1"/>
  <c r="I2476" i="2" a="1"/>
  <c r="I2476" i="2" s="1"/>
  <c r="I2477" i="2" a="1"/>
  <c r="I2477" i="2" s="1"/>
  <c r="I2478" i="2" a="1"/>
  <c r="I2478" i="2" s="1"/>
  <c r="I2479" i="2" a="1"/>
  <c r="I2479" i="2" s="1"/>
  <c r="I2480" i="2" a="1"/>
  <c r="I2480" i="2" s="1"/>
  <c r="I2481" i="2" a="1"/>
  <c r="I2481" i="2" s="1"/>
  <c r="I2482" i="2" a="1"/>
  <c r="I2482" i="2" s="1"/>
  <c r="I2483" i="2" a="1"/>
  <c r="I2483" i="2" s="1"/>
  <c r="I2484" i="2" a="1"/>
  <c r="I2484" i="2" s="1"/>
  <c r="I2485" i="2" a="1"/>
  <c r="I2485" i="2" s="1"/>
  <c r="I2486" i="2" a="1"/>
  <c r="I2486" i="2" s="1"/>
  <c r="I2487" i="2" a="1"/>
  <c r="I2487" i="2" s="1"/>
  <c r="I2488" i="2" a="1"/>
  <c r="I2488" i="2" s="1"/>
  <c r="I2489" i="2" a="1"/>
  <c r="I2489" i="2" s="1"/>
  <c r="I2490" i="2" a="1"/>
  <c r="I2490" i="2" s="1"/>
  <c r="I2491" i="2" a="1"/>
  <c r="I2491" i="2" s="1"/>
  <c r="I2492" i="2" a="1"/>
  <c r="I2492" i="2" s="1"/>
  <c r="I2493" i="2" a="1"/>
  <c r="I2493" i="2" s="1"/>
  <c r="I2494" i="2" a="1"/>
  <c r="I2494" i="2" s="1"/>
  <c r="I2495" i="2" a="1"/>
  <c r="I2495" i="2" s="1"/>
  <c r="I2496" i="2" a="1"/>
  <c r="I2496" i="2" s="1"/>
  <c r="I2497" i="2" a="1"/>
  <c r="I2497" i="2" s="1"/>
  <c r="I2498" i="2" a="1"/>
  <c r="I2498" i="2" s="1"/>
  <c r="I2499" i="2" a="1"/>
  <c r="I2499" i="2" s="1"/>
  <c r="I2500" i="2" a="1"/>
  <c r="I2500" i="2" s="1"/>
  <c r="I2501" i="2" a="1"/>
  <c r="I2501" i="2" s="1"/>
  <c r="I2502" i="2" a="1"/>
  <c r="I2502" i="2" s="1"/>
  <c r="I2503" i="2" a="1"/>
  <c r="I2503" i="2" s="1"/>
  <c r="I2504" i="2" a="1"/>
  <c r="I2504" i="2" s="1"/>
  <c r="I2505" i="2" a="1"/>
  <c r="I2505" i="2" s="1"/>
  <c r="I2506" i="2" a="1"/>
  <c r="I2506" i="2" s="1"/>
  <c r="I2507" i="2" a="1"/>
  <c r="I2507" i="2" s="1"/>
  <c r="I2508" i="2" a="1"/>
  <c r="I2508" i="2" s="1"/>
  <c r="I2509" i="2" a="1"/>
  <c r="I2509" i="2" s="1"/>
  <c r="I2510" i="2" a="1"/>
  <c r="I2510" i="2" s="1"/>
  <c r="I2511" i="2" a="1"/>
  <c r="I2511" i="2" s="1"/>
  <c r="I2512" i="2" a="1"/>
  <c r="I2512" i="2" s="1"/>
  <c r="I2513" i="2" a="1"/>
  <c r="I2513" i="2" s="1"/>
  <c r="I2514" i="2" a="1"/>
  <c r="I2514" i="2" s="1"/>
  <c r="I2515" i="2" a="1"/>
  <c r="I2515" i="2" s="1"/>
  <c r="I2516" i="2" a="1"/>
  <c r="I2516" i="2" s="1"/>
  <c r="I2517" i="2" a="1"/>
  <c r="I2517" i="2" s="1"/>
  <c r="I2518" i="2" a="1"/>
  <c r="I2518" i="2" s="1"/>
  <c r="I2519" i="2" a="1"/>
  <c r="I2519" i="2" s="1"/>
  <c r="I2520" i="2" a="1"/>
  <c r="I2520" i="2" s="1"/>
  <c r="I2521" i="2" a="1"/>
  <c r="I2521" i="2" s="1"/>
  <c r="I2522" i="2" a="1"/>
  <c r="I2522" i="2" s="1"/>
  <c r="I2523" i="2" a="1"/>
  <c r="I2523" i="2" s="1"/>
  <c r="I2524" i="2" a="1"/>
  <c r="I2524" i="2" s="1"/>
  <c r="I2525" i="2" a="1"/>
  <c r="I2525" i="2" s="1"/>
  <c r="I2526" i="2" a="1"/>
  <c r="I2526" i="2" s="1"/>
  <c r="I2527" i="2" a="1"/>
  <c r="I2527" i="2" s="1"/>
  <c r="I2528" i="2" a="1"/>
  <c r="I2528" i="2" s="1"/>
  <c r="I2529" i="2" a="1"/>
  <c r="I2529" i="2" s="1"/>
  <c r="I2530" i="2" a="1"/>
  <c r="I2530" i="2" s="1"/>
  <c r="I2531" i="2" a="1"/>
  <c r="I2531" i="2" s="1"/>
  <c r="I2532" i="2" a="1"/>
  <c r="I2532" i="2" s="1"/>
  <c r="I2533" i="2" a="1"/>
  <c r="I2533" i="2" s="1"/>
  <c r="I2534" i="2" a="1"/>
  <c r="I2534" i="2" s="1"/>
  <c r="I2535" i="2" a="1"/>
  <c r="I2535" i="2" s="1"/>
  <c r="I2536" i="2" a="1"/>
  <c r="I2536" i="2" s="1"/>
  <c r="I2537" i="2" a="1"/>
  <c r="I2537" i="2" s="1"/>
  <c r="I2538" i="2" a="1"/>
  <c r="I2538" i="2" s="1"/>
  <c r="I2539" i="2" a="1"/>
  <c r="I2539" i="2" s="1"/>
  <c r="I2540" i="2" a="1"/>
  <c r="I2540" i="2" s="1"/>
  <c r="I2541" i="2" a="1"/>
  <c r="I2541" i="2" s="1"/>
  <c r="I2542" i="2" a="1"/>
  <c r="I2542" i="2" s="1"/>
  <c r="I2543" i="2" a="1"/>
  <c r="I2543" i="2" s="1"/>
  <c r="I2544" i="2" a="1"/>
  <c r="I2544" i="2" s="1"/>
  <c r="I2545" i="2" a="1"/>
  <c r="I2545" i="2" s="1"/>
  <c r="I2546" i="2" a="1"/>
  <c r="I2546" i="2" s="1"/>
  <c r="I2547" i="2" a="1"/>
  <c r="I2547" i="2" s="1"/>
  <c r="I2548" i="2" a="1"/>
  <c r="I2548" i="2" s="1"/>
  <c r="I2549" i="2" a="1"/>
  <c r="I2549" i="2" s="1"/>
  <c r="I2550" i="2" a="1"/>
  <c r="I2550" i="2" s="1"/>
  <c r="I2551" i="2" a="1"/>
  <c r="I2551" i="2" s="1"/>
  <c r="I2552" i="2" a="1"/>
  <c r="I2552" i="2" s="1"/>
  <c r="I2553" i="2" a="1"/>
  <c r="I2553" i="2" s="1"/>
  <c r="I2554" i="2" a="1"/>
  <c r="I2554" i="2" s="1"/>
  <c r="I2555" i="2" a="1"/>
  <c r="I2555" i="2" s="1"/>
  <c r="I2556" i="2" a="1"/>
  <c r="I2556" i="2" s="1"/>
  <c r="I2557" i="2" a="1"/>
  <c r="I2557" i="2" s="1"/>
  <c r="I2558" i="2" a="1"/>
  <c r="I2558" i="2" s="1"/>
  <c r="I2559" i="2" a="1"/>
  <c r="I2559" i="2" s="1"/>
  <c r="I2560" i="2" a="1"/>
  <c r="I2560" i="2" s="1"/>
  <c r="I2561" i="2" a="1"/>
  <c r="I2561" i="2" s="1"/>
  <c r="I2562" i="2" a="1"/>
  <c r="I2562" i="2" s="1"/>
  <c r="I2563" i="2" a="1"/>
  <c r="I2563" i="2" s="1"/>
  <c r="I2564" i="2" a="1"/>
  <c r="I2564" i="2" s="1"/>
  <c r="I2565" i="2" a="1"/>
  <c r="I2565" i="2" s="1"/>
  <c r="I2566" i="2" a="1"/>
  <c r="I2566" i="2" s="1"/>
  <c r="I2567" i="2" a="1"/>
  <c r="I2567" i="2" s="1"/>
  <c r="I2568" i="2" a="1"/>
  <c r="I2568" i="2" s="1"/>
  <c r="I2569" i="2" a="1"/>
  <c r="I2569" i="2" s="1"/>
  <c r="I2570" i="2" a="1"/>
  <c r="I2570" i="2" s="1"/>
  <c r="I2571" i="2" a="1"/>
  <c r="I2571" i="2" s="1"/>
  <c r="I2572" i="2" a="1"/>
  <c r="I2572" i="2" s="1"/>
  <c r="I2573" i="2" a="1"/>
  <c r="I2573" i="2" s="1"/>
  <c r="I2574" i="2" a="1"/>
  <c r="I2574" i="2" s="1"/>
  <c r="I2575" i="2" a="1"/>
  <c r="I2575" i="2" s="1"/>
  <c r="I2576" i="2" a="1"/>
  <c r="I2576" i="2" s="1"/>
  <c r="I2577" i="2" a="1"/>
  <c r="I2577" i="2" s="1"/>
  <c r="I2578" i="2" a="1"/>
  <c r="I2578" i="2" s="1"/>
  <c r="I2579" i="2" a="1"/>
  <c r="I2579" i="2" s="1"/>
  <c r="I2580" i="2" a="1"/>
  <c r="I2580" i="2" s="1"/>
  <c r="I2581" i="2" a="1"/>
  <c r="I2581" i="2" s="1"/>
  <c r="I2582" i="2" a="1"/>
  <c r="I2582" i="2" s="1"/>
  <c r="I2583" i="2" a="1"/>
  <c r="I2583" i="2" s="1"/>
  <c r="I2584" i="2" a="1"/>
  <c r="I2584" i="2" s="1"/>
  <c r="I2585" i="2" a="1"/>
  <c r="I2585" i="2" s="1"/>
  <c r="I2586" i="2" a="1"/>
  <c r="I2586" i="2" s="1"/>
  <c r="I2587" i="2" a="1"/>
  <c r="I2587" i="2" s="1"/>
  <c r="I2588" i="2" a="1"/>
  <c r="I2588" i="2" s="1"/>
  <c r="I2589" i="2" a="1"/>
  <c r="I2589" i="2" s="1"/>
  <c r="I2590" i="2" a="1"/>
  <c r="I2590" i="2" s="1"/>
  <c r="I2591" i="2" a="1"/>
  <c r="I2591" i="2" s="1"/>
  <c r="I2592" i="2" a="1"/>
  <c r="I2592" i="2" s="1"/>
  <c r="I2593" i="2" a="1"/>
  <c r="I2593" i="2" s="1"/>
  <c r="I2594" i="2" a="1"/>
  <c r="I2594" i="2" s="1"/>
  <c r="I2595" i="2" a="1"/>
  <c r="I2595" i="2" s="1"/>
  <c r="I2596" i="2" a="1"/>
  <c r="I2596" i="2" s="1"/>
  <c r="I2597" i="2" a="1"/>
  <c r="I2597" i="2" s="1"/>
  <c r="I2598" i="2" a="1"/>
  <c r="I2598" i="2" s="1"/>
  <c r="I2599" i="2" a="1"/>
  <c r="I2599" i="2" s="1"/>
  <c r="I2600" i="2" a="1"/>
  <c r="I2600" i="2" s="1"/>
  <c r="I2601" i="2" a="1"/>
  <c r="I2601" i="2" s="1"/>
  <c r="I2602" i="2" a="1"/>
  <c r="I2602" i="2" s="1"/>
  <c r="I2603" i="2" a="1"/>
  <c r="I2603" i="2" s="1"/>
  <c r="I2604" i="2" a="1"/>
  <c r="I2604" i="2" s="1"/>
  <c r="I2605" i="2" a="1"/>
  <c r="I2605" i="2" s="1"/>
  <c r="I2606" i="2" a="1"/>
  <c r="I2606" i="2" s="1"/>
  <c r="I2607" i="2" a="1"/>
  <c r="I2607" i="2" s="1"/>
  <c r="I2608" i="2" a="1"/>
  <c r="I2608" i="2" s="1"/>
  <c r="I2609" i="2" a="1"/>
  <c r="I2609" i="2" s="1"/>
  <c r="I2610" i="2" a="1"/>
  <c r="I2610" i="2" s="1"/>
  <c r="I2611" i="2" a="1"/>
  <c r="I2611" i="2" s="1"/>
  <c r="I2612" i="2" a="1"/>
  <c r="I2612" i="2" s="1"/>
  <c r="I2613" i="2" a="1"/>
  <c r="I2613" i="2" s="1"/>
  <c r="I2614" i="2" a="1"/>
  <c r="I2614" i="2" s="1"/>
  <c r="I2615" i="2" a="1"/>
  <c r="I2615" i="2" s="1"/>
  <c r="I2616" i="2" a="1"/>
  <c r="I2616" i="2" s="1"/>
  <c r="I2617" i="2" a="1"/>
  <c r="I2617" i="2" s="1"/>
  <c r="I2618" i="2" a="1"/>
  <c r="I2618" i="2" s="1"/>
  <c r="I2619" i="2" a="1"/>
  <c r="I2619" i="2" s="1"/>
  <c r="I2620" i="2" a="1"/>
  <c r="I2620" i="2" s="1"/>
  <c r="I2621" i="2" a="1"/>
  <c r="I2621" i="2" s="1"/>
  <c r="I2622" i="2" a="1"/>
  <c r="I2622" i="2" s="1"/>
  <c r="I2623" i="2" a="1"/>
  <c r="I2623" i="2" s="1"/>
  <c r="I2624" i="2" a="1"/>
  <c r="I2624" i="2" s="1"/>
  <c r="I2625" i="2" a="1"/>
  <c r="I2625" i="2" s="1"/>
  <c r="I2626" i="2" a="1"/>
  <c r="I2626" i="2" s="1"/>
  <c r="I2627" i="2" a="1"/>
  <c r="I2627" i="2" s="1"/>
  <c r="I2628" i="2" a="1"/>
  <c r="I2628" i="2" s="1"/>
  <c r="I2629" i="2" a="1"/>
  <c r="I2629" i="2" s="1"/>
  <c r="I2630" i="2" a="1"/>
  <c r="I2630" i="2" s="1"/>
  <c r="I2631" i="2" a="1"/>
  <c r="I2631" i="2" s="1"/>
  <c r="I2632" i="2" a="1"/>
  <c r="I2632" i="2" s="1"/>
  <c r="I2633" i="2" a="1"/>
  <c r="I2633" i="2" s="1"/>
  <c r="I2634" i="2" a="1"/>
  <c r="I2634" i="2" s="1"/>
  <c r="I2635" i="2" a="1"/>
  <c r="I2635" i="2" s="1"/>
  <c r="I2636" i="2" a="1"/>
  <c r="I2636" i="2" s="1"/>
  <c r="I2637" i="2" a="1"/>
  <c r="I2637" i="2" s="1"/>
  <c r="I2638" i="2" a="1"/>
  <c r="I2638" i="2" s="1"/>
  <c r="I2639" i="2" a="1"/>
  <c r="I2639" i="2" s="1"/>
  <c r="I2640" i="2" a="1"/>
  <c r="I2640" i="2" s="1"/>
  <c r="I2641" i="2" a="1"/>
  <c r="I2641" i="2" s="1"/>
  <c r="I2642" i="2" a="1"/>
  <c r="I2642" i="2" s="1"/>
  <c r="I2643" i="2" a="1"/>
  <c r="I2643" i="2" s="1"/>
  <c r="I2644" i="2" a="1"/>
  <c r="I2644" i="2" s="1"/>
  <c r="I2645" i="2" a="1"/>
  <c r="I2645" i="2" s="1"/>
  <c r="I2646" i="2" a="1"/>
  <c r="I2646" i="2" s="1"/>
  <c r="I2647" i="2" a="1"/>
  <c r="I2647" i="2" s="1"/>
  <c r="I2648" i="2" a="1"/>
  <c r="I2648" i="2" s="1"/>
  <c r="I2649" i="2" a="1"/>
  <c r="I2649" i="2" s="1"/>
  <c r="I2650" i="2" a="1"/>
  <c r="I2650" i="2" s="1"/>
  <c r="I2651" i="2" a="1"/>
  <c r="I2651" i="2" s="1"/>
  <c r="I2652" i="2" a="1"/>
  <c r="I2652" i="2" s="1"/>
  <c r="I2653" i="2" a="1"/>
  <c r="I2653" i="2" s="1"/>
  <c r="I2654" i="2" a="1"/>
  <c r="I2654" i="2" s="1"/>
  <c r="I2655" i="2" a="1"/>
  <c r="I2655" i="2" s="1"/>
  <c r="I2656" i="2" a="1"/>
  <c r="I2656" i="2" s="1"/>
  <c r="I2657" i="2" a="1"/>
  <c r="I2657" i="2" s="1"/>
  <c r="I2658" i="2" a="1"/>
  <c r="I2658" i="2" s="1"/>
  <c r="I2659" i="2" a="1"/>
  <c r="I2659" i="2" s="1"/>
  <c r="I2660" i="2" a="1"/>
  <c r="I2660" i="2" s="1"/>
  <c r="I2661" i="2" a="1"/>
  <c r="I2661" i="2" s="1"/>
  <c r="I2662" i="2" a="1"/>
  <c r="I2662" i="2" s="1"/>
  <c r="I2663" i="2" a="1"/>
  <c r="I2663" i="2" s="1"/>
  <c r="I2664" i="2" a="1"/>
  <c r="I2664" i="2" s="1"/>
  <c r="I2665" i="2" a="1"/>
  <c r="I2665" i="2" s="1"/>
  <c r="I2666" i="2" a="1"/>
  <c r="I2666" i="2" s="1"/>
  <c r="I2667" i="2" a="1"/>
  <c r="I2667" i="2" s="1"/>
  <c r="I2668" i="2" a="1"/>
  <c r="I2668" i="2" s="1"/>
  <c r="I2669" i="2" a="1"/>
  <c r="I2669" i="2" s="1"/>
  <c r="I2670" i="2" a="1"/>
  <c r="I2670" i="2" s="1"/>
  <c r="I2671" i="2" a="1"/>
  <c r="I2671" i="2" s="1"/>
  <c r="I2672" i="2" a="1"/>
  <c r="I2672" i="2" s="1"/>
  <c r="I2673" i="2" a="1"/>
  <c r="I2673" i="2" s="1"/>
  <c r="I2674" i="2" a="1"/>
  <c r="I2674" i="2" s="1"/>
  <c r="I2675" i="2" a="1"/>
  <c r="I2675" i="2" s="1"/>
  <c r="I2676" i="2" a="1"/>
  <c r="I2676" i="2" s="1"/>
  <c r="I2677" i="2" a="1"/>
  <c r="I2677" i="2" s="1"/>
  <c r="I2678" i="2" a="1"/>
  <c r="I2678" i="2" s="1"/>
  <c r="I2679" i="2" a="1"/>
  <c r="I2679" i="2" s="1"/>
  <c r="I2680" i="2" a="1"/>
  <c r="I2680" i="2" s="1"/>
  <c r="I2681" i="2" a="1"/>
  <c r="I2681" i="2" s="1"/>
  <c r="I2682" i="2" a="1"/>
  <c r="I2682" i="2" s="1"/>
  <c r="I2683" i="2" a="1"/>
  <c r="I2683" i="2" s="1"/>
  <c r="I2684" i="2" a="1"/>
  <c r="I2684" i="2" s="1"/>
  <c r="I2685" i="2" a="1"/>
  <c r="I2685" i="2" s="1"/>
  <c r="I2686" i="2" a="1"/>
  <c r="I2686" i="2" s="1"/>
  <c r="I2687" i="2" a="1"/>
  <c r="I2687" i="2" s="1"/>
  <c r="I2688" i="2" a="1"/>
  <c r="I2688" i="2" s="1"/>
  <c r="I2689" i="2" a="1"/>
  <c r="I2689" i="2" s="1"/>
  <c r="I2690" i="2" a="1"/>
  <c r="I2690" i="2" s="1"/>
  <c r="I2691" i="2" a="1"/>
  <c r="I2691" i="2" s="1"/>
  <c r="I2692" i="2" a="1"/>
  <c r="I2692" i="2" s="1"/>
  <c r="I2693" i="2" a="1"/>
  <c r="I2693" i="2" s="1"/>
  <c r="I2694" i="2" a="1"/>
  <c r="I2694" i="2" s="1"/>
  <c r="I2695" i="2" a="1"/>
  <c r="I2695" i="2" s="1"/>
  <c r="I2696" i="2" a="1"/>
  <c r="I2696" i="2" s="1"/>
  <c r="I2697" i="2" a="1"/>
  <c r="I2697" i="2" s="1"/>
  <c r="I2698" i="2" a="1"/>
  <c r="I2698" i="2" s="1"/>
  <c r="I2699" i="2" a="1"/>
  <c r="I2699" i="2" s="1"/>
  <c r="I2700" i="2" a="1"/>
  <c r="I2700" i="2" s="1"/>
  <c r="I2701" i="2" a="1"/>
  <c r="I2701" i="2" s="1"/>
  <c r="I2702" i="2" a="1"/>
  <c r="I2702" i="2" s="1"/>
  <c r="I2703" i="2" a="1"/>
  <c r="I2703" i="2" s="1"/>
  <c r="I2704" i="2" a="1"/>
  <c r="I2704" i="2" s="1"/>
  <c r="I2705" i="2" a="1"/>
  <c r="I2705" i="2" s="1"/>
  <c r="I2706" i="2" a="1"/>
  <c r="I2706" i="2" s="1"/>
  <c r="I2707" i="2" a="1"/>
  <c r="I2707" i="2" s="1"/>
  <c r="I2708" i="2" a="1"/>
  <c r="I2708" i="2" s="1"/>
  <c r="I2709" i="2" a="1"/>
  <c r="I2709" i="2" s="1"/>
  <c r="I2710" i="2" a="1"/>
  <c r="I2710" i="2" s="1"/>
  <c r="I2711" i="2" a="1"/>
  <c r="I2711" i="2" s="1"/>
  <c r="I2712" i="2" a="1"/>
  <c r="I2712" i="2" s="1"/>
  <c r="I2713" i="2" a="1"/>
  <c r="I2713" i="2" s="1"/>
  <c r="I2714" i="2" a="1"/>
  <c r="I2714" i="2" s="1"/>
  <c r="I2715" i="2" a="1"/>
  <c r="I2715" i="2" s="1"/>
  <c r="I2716" i="2" a="1"/>
  <c r="I2716" i="2" s="1"/>
  <c r="I2717" i="2" a="1"/>
  <c r="I2717" i="2" s="1"/>
  <c r="I2718" i="2" a="1"/>
  <c r="I2718" i="2" s="1"/>
  <c r="I2719" i="2" a="1"/>
  <c r="I2719" i="2" s="1"/>
  <c r="I2720" i="2" a="1"/>
  <c r="I2720" i="2" s="1"/>
  <c r="I2721" i="2" a="1"/>
  <c r="I2721" i="2" s="1"/>
  <c r="I2722" i="2" a="1"/>
  <c r="I2722" i="2" s="1"/>
  <c r="I2723" i="2" a="1"/>
  <c r="I2723" i="2" s="1"/>
  <c r="I2724" i="2" a="1"/>
  <c r="I2724" i="2" s="1"/>
  <c r="I2725" i="2" a="1"/>
  <c r="I2725" i="2" s="1"/>
  <c r="I2726" i="2" a="1"/>
  <c r="I2726" i="2" s="1"/>
  <c r="I2727" i="2" a="1"/>
  <c r="I2727" i="2" s="1"/>
  <c r="I2728" i="2" a="1"/>
  <c r="I2728" i="2" s="1"/>
  <c r="I2729" i="2" a="1"/>
  <c r="I2729" i="2" s="1"/>
  <c r="I2730" i="2" a="1"/>
  <c r="I2730" i="2" s="1"/>
  <c r="I2731" i="2" a="1"/>
  <c r="I2731" i="2" s="1"/>
  <c r="I2732" i="2" a="1"/>
  <c r="I2732" i="2" s="1"/>
  <c r="I2733" i="2" a="1"/>
  <c r="I2733" i="2" s="1"/>
  <c r="I2734" i="2" a="1"/>
  <c r="I2734" i="2" s="1"/>
  <c r="I2735" i="2" a="1"/>
  <c r="I2735" i="2" s="1"/>
  <c r="I2736" i="2" a="1"/>
  <c r="I2736" i="2" s="1"/>
  <c r="I2737" i="2" a="1"/>
  <c r="I2737" i="2" s="1"/>
  <c r="I2738" i="2" a="1"/>
  <c r="I2738" i="2" s="1"/>
  <c r="I2739" i="2" a="1"/>
  <c r="I2739" i="2" s="1"/>
  <c r="I2740" i="2" a="1"/>
  <c r="I2740" i="2" s="1"/>
  <c r="I2741" i="2" a="1"/>
  <c r="I2741" i="2" s="1"/>
  <c r="I2742" i="2" a="1"/>
  <c r="I2742" i="2" s="1"/>
  <c r="I2743" i="2" a="1"/>
  <c r="I2743" i="2" s="1"/>
  <c r="I2744" i="2" a="1"/>
  <c r="I2744" i="2" s="1"/>
  <c r="I2745" i="2" a="1"/>
  <c r="I2745" i="2" s="1"/>
  <c r="I2746" i="2" a="1"/>
  <c r="I2746" i="2" s="1"/>
  <c r="I2747" i="2" a="1"/>
  <c r="I2747" i="2" s="1"/>
  <c r="I2748" i="2" a="1"/>
  <c r="I2748" i="2" s="1"/>
  <c r="I2749" i="2" a="1"/>
  <c r="I2749" i="2" s="1"/>
  <c r="I2750" i="2" a="1"/>
  <c r="I2750" i="2" s="1"/>
  <c r="I2751" i="2" a="1"/>
  <c r="I2751" i="2" s="1"/>
  <c r="I2752" i="2" a="1"/>
  <c r="I2752" i="2" s="1"/>
  <c r="I2753" i="2" a="1"/>
  <c r="I2753" i="2" s="1"/>
  <c r="I2754" i="2" a="1"/>
  <c r="I2754" i="2" s="1"/>
  <c r="I2755" i="2" a="1"/>
  <c r="I2755" i="2" s="1"/>
  <c r="I2756" i="2" a="1"/>
  <c r="I2756" i="2" s="1"/>
  <c r="I2757" i="2" a="1"/>
  <c r="I2757" i="2" s="1"/>
  <c r="I2758" i="2" a="1"/>
  <c r="I2758" i="2" s="1"/>
  <c r="I2759" i="2" a="1"/>
  <c r="I2759" i="2" s="1"/>
  <c r="I2760" i="2" a="1"/>
  <c r="I2760" i="2" s="1"/>
  <c r="I2761" i="2" a="1"/>
  <c r="I2761" i="2" s="1"/>
  <c r="I2762" i="2" a="1"/>
  <c r="I2762" i="2" s="1"/>
  <c r="I2763" i="2" a="1"/>
  <c r="I2763" i="2" s="1"/>
  <c r="I2764" i="2" a="1"/>
  <c r="I2764" i="2" s="1"/>
  <c r="I2765" i="2" a="1"/>
  <c r="I2765" i="2" s="1"/>
  <c r="I2766" i="2" a="1"/>
  <c r="I2766" i="2" s="1"/>
  <c r="I2767" i="2" a="1"/>
  <c r="I2767" i="2" s="1"/>
  <c r="I2768" i="2" a="1"/>
  <c r="I2768" i="2" s="1"/>
  <c r="I2769" i="2" a="1"/>
  <c r="I2769" i="2" s="1"/>
  <c r="I2770" i="2" a="1"/>
  <c r="I2770" i="2" s="1"/>
  <c r="I2771" i="2" a="1"/>
  <c r="I2771" i="2" s="1"/>
  <c r="I2772" i="2" a="1"/>
  <c r="I2772" i="2" s="1"/>
  <c r="I2773" i="2" a="1"/>
  <c r="I2773" i="2" s="1"/>
  <c r="I2774" i="2" a="1"/>
  <c r="I2774" i="2" s="1"/>
  <c r="I2775" i="2" a="1"/>
  <c r="I2775" i="2" s="1"/>
  <c r="I2776" i="2" a="1"/>
  <c r="I2776" i="2" s="1"/>
  <c r="I2777" i="2" a="1"/>
  <c r="I2777" i="2" s="1"/>
  <c r="I2778" i="2" a="1"/>
  <c r="I2778" i="2" s="1"/>
  <c r="I2779" i="2" a="1"/>
  <c r="I2779" i="2" s="1"/>
  <c r="I2780" i="2" a="1"/>
  <c r="I2780" i="2" s="1"/>
  <c r="I2781" i="2" a="1"/>
  <c r="I2781" i="2" s="1"/>
  <c r="I2782" i="2" a="1"/>
  <c r="I2782" i="2" s="1"/>
  <c r="I2783" i="2" a="1"/>
  <c r="I2783" i="2" s="1"/>
  <c r="I2784" i="2" a="1"/>
  <c r="I2784" i="2" s="1"/>
  <c r="I2785" i="2" a="1"/>
  <c r="I2785" i="2" s="1"/>
  <c r="I2786" i="2" a="1"/>
  <c r="I2786" i="2" s="1"/>
  <c r="I2787" i="2" a="1"/>
  <c r="I2787" i="2" s="1"/>
  <c r="I2788" i="2" a="1"/>
  <c r="I2788" i="2" s="1"/>
  <c r="I2789" i="2" a="1"/>
  <c r="I2789" i="2" s="1"/>
  <c r="I2790" i="2" a="1"/>
  <c r="I2790" i="2" s="1"/>
  <c r="I2791" i="2" a="1"/>
  <c r="I2791" i="2" s="1"/>
  <c r="I2792" i="2" a="1"/>
  <c r="I2792" i="2" s="1"/>
  <c r="I2793" i="2" a="1"/>
  <c r="I2793" i="2" s="1"/>
  <c r="I2794" i="2" a="1"/>
  <c r="I2794" i="2" s="1"/>
  <c r="I2795" i="2" a="1"/>
  <c r="I2795" i="2" s="1"/>
  <c r="I2796" i="2" a="1"/>
  <c r="I2796" i="2" s="1"/>
  <c r="I2797" i="2" a="1"/>
  <c r="I2797" i="2" s="1"/>
  <c r="I2798" i="2" a="1"/>
  <c r="I2798" i="2" s="1"/>
  <c r="I2799" i="2" a="1"/>
  <c r="I2799" i="2" s="1"/>
  <c r="I2800" i="2" a="1"/>
  <c r="I2800" i="2" s="1"/>
  <c r="I2801" i="2" a="1"/>
  <c r="I2801" i="2" s="1"/>
  <c r="I2802" i="2" a="1"/>
  <c r="I2802" i="2" s="1"/>
  <c r="I2803" i="2" a="1"/>
  <c r="I2803" i="2" s="1"/>
  <c r="I2804" i="2" a="1"/>
  <c r="I2804" i="2" s="1"/>
  <c r="I2805" i="2" a="1"/>
  <c r="I2805" i="2" s="1"/>
  <c r="I2806" i="2" a="1"/>
  <c r="I2806" i="2" s="1"/>
  <c r="I2807" i="2" a="1"/>
  <c r="I2807" i="2" s="1"/>
  <c r="I2808" i="2" a="1"/>
  <c r="I2808" i="2" s="1"/>
  <c r="I2809" i="2" a="1"/>
  <c r="I2809" i="2" s="1"/>
  <c r="I2810" i="2" a="1"/>
  <c r="I2810" i="2" s="1"/>
  <c r="I2811" i="2" a="1"/>
  <c r="I2811" i="2" s="1"/>
  <c r="I2812" i="2" a="1"/>
  <c r="I2812" i="2" s="1"/>
  <c r="I2813" i="2" a="1"/>
  <c r="I2813" i="2" s="1"/>
  <c r="I2814" i="2" a="1"/>
  <c r="I2814" i="2" s="1"/>
  <c r="I2815" i="2" a="1"/>
  <c r="I2815" i="2" s="1"/>
  <c r="I2816" i="2" a="1"/>
  <c r="I2816" i="2" s="1"/>
  <c r="I2817" i="2" a="1"/>
  <c r="I2817" i="2" s="1"/>
  <c r="I2818" i="2" a="1"/>
  <c r="I2818" i="2" s="1"/>
  <c r="I2819" i="2" a="1"/>
  <c r="I2819" i="2" s="1"/>
  <c r="I2820" i="2" a="1"/>
  <c r="I2820" i="2" s="1"/>
  <c r="I2821" i="2" a="1"/>
  <c r="I2821" i="2" s="1"/>
  <c r="I2822" i="2" a="1"/>
  <c r="I2822" i="2" s="1"/>
  <c r="I2823" i="2" a="1"/>
  <c r="I2823" i="2" s="1"/>
  <c r="I2824" i="2" a="1"/>
  <c r="I2824" i="2" s="1"/>
  <c r="I2825" i="2" a="1"/>
  <c r="I2825" i="2" s="1"/>
  <c r="I2826" i="2" a="1"/>
  <c r="I2826" i="2" s="1"/>
  <c r="I2827" i="2" a="1"/>
  <c r="I2827" i="2" s="1"/>
  <c r="I2828" i="2" a="1"/>
  <c r="I2828" i="2" s="1"/>
  <c r="I2829" i="2" a="1"/>
  <c r="I2829" i="2" s="1"/>
  <c r="I2830" i="2" a="1"/>
  <c r="I2830" i="2" s="1"/>
  <c r="I2831" i="2" a="1"/>
  <c r="I2831" i="2" s="1"/>
  <c r="I2832" i="2" a="1"/>
  <c r="I2832" i="2" s="1"/>
  <c r="I2833" i="2" a="1"/>
  <c r="I2833" i="2" s="1"/>
  <c r="I2834" i="2" a="1"/>
  <c r="I2834" i="2" s="1"/>
  <c r="I2835" i="2" a="1"/>
  <c r="I2835" i="2" s="1"/>
  <c r="I2836" i="2" a="1"/>
  <c r="I2836" i="2" s="1"/>
  <c r="I2837" i="2" a="1"/>
  <c r="I2837" i="2" s="1"/>
  <c r="I2838" i="2" a="1"/>
  <c r="I2838" i="2" s="1"/>
  <c r="I2839" i="2" a="1"/>
  <c r="I2839" i="2" s="1"/>
  <c r="I2840" i="2" a="1"/>
  <c r="I2840" i="2" s="1"/>
  <c r="I2841" i="2" a="1"/>
  <c r="I2841" i="2" s="1"/>
  <c r="I2842" i="2" a="1"/>
  <c r="I2842" i="2" s="1"/>
  <c r="I2843" i="2" a="1"/>
  <c r="I2843" i="2" s="1"/>
  <c r="I2844" i="2" a="1"/>
  <c r="I2844" i="2" s="1"/>
  <c r="I2845" i="2" a="1"/>
  <c r="I2845" i="2" s="1"/>
  <c r="I2846" i="2" a="1"/>
  <c r="I2846" i="2" s="1"/>
  <c r="I2847" i="2" a="1"/>
  <c r="I2847" i="2" s="1"/>
  <c r="I2848" i="2" a="1"/>
  <c r="I2848" i="2" s="1"/>
  <c r="I2849" i="2" a="1"/>
  <c r="I2849" i="2" s="1"/>
  <c r="I2850" i="2" a="1"/>
  <c r="I2850" i="2" s="1"/>
  <c r="I2851" i="2" a="1"/>
  <c r="I2851" i="2" s="1"/>
  <c r="I2852" i="2" a="1"/>
  <c r="I2852" i="2" s="1"/>
  <c r="I2853" i="2" a="1"/>
  <c r="I2853" i="2" s="1"/>
  <c r="I2854" i="2" a="1"/>
  <c r="I2854" i="2" s="1"/>
  <c r="I2855" i="2" a="1"/>
  <c r="I2855" i="2" s="1"/>
  <c r="I2856" i="2" a="1"/>
  <c r="I2856" i="2" s="1"/>
  <c r="I2857" i="2" a="1"/>
  <c r="I2857" i="2" s="1"/>
  <c r="I2858" i="2" a="1"/>
  <c r="I2858" i="2" s="1"/>
  <c r="I2859" i="2" a="1"/>
  <c r="I2859" i="2" s="1"/>
  <c r="I2860" i="2" a="1"/>
  <c r="I2860" i="2" s="1"/>
  <c r="I2861" i="2" a="1"/>
  <c r="I2861" i="2" s="1"/>
  <c r="I2862" i="2" a="1"/>
  <c r="I2862" i="2" s="1"/>
  <c r="I2863" i="2" a="1"/>
  <c r="I2863" i="2" s="1"/>
  <c r="I2864" i="2" a="1"/>
  <c r="I2864" i="2" s="1"/>
  <c r="I2865" i="2" a="1"/>
  <c r="I2865" i="2" s="1"/>
  <c r="I2866" i="2" a="1"/>
  <c r="I2866" i="2" s="1"/>
  <c r="I2867" i="2" a="1"/>
  <c r="I2867" i="2" s="1"/>
  <c r="I2868" i="2" a="1"/>
  <c r="I2868" i="2" s="1"/>
  <c r="I2869" i="2" a="1"/>
  <c r="I2869" i="2" s="1"/>
  <c r="I2870" i="2" a="1"/>
  <c r="I2870" i="2" s="1"/>
  <c r="I2871" i="2" a="1"/>
  <c r="I2871" i="2" s="1"/>
  <c r="I2872" i="2" a="1"/>
  <c r="I2872" i="2" s="1"/>
  <c r="I2873" i="2" a="1"/>
  <c r="I2873" i="2" s="1"/>
  <c r="I2874" i="2" a="1"/>
  <c r="I2874" i="2" s="1"/>
  <c r="I2875" i="2" a="1"/>
  <c r="I2875" i="2" s="1"/>
  <c r="I2876" i="2" a="1"/>
  <c r="I2876" i="2" s="1"/>
  <c r="I2877" i="2" a="1"/>
  <c r="I2877" i="2" s="1"/>
  <c r="I2878" i="2" a="1"/>
  <c r="I2878" i="2" s="1"/>
  <c r="I2879" i="2" a="1"/>
  <c r="I2879" i="2" s="1"/>
  <c r="I2880" i="2" a="1"/>
  <c r="I2880" i="2" s="1"/>
  <c r="I2881" i="2" a="1"/>
  <c r="I2881" i="2" s="1"/>
  <c r="I2882" i="2" a="1"/>
  <c r="I2882" i="2" s="1"/>
  <c r="I2883" i="2" a="1"/>
  <c r="I2883" i="2" s="1"/>
  <c r="I2884" i="2" a="1"/>
  <c r="I2884" i="2" s="1"/>
  <c r="I2885" i="2" a="1"/>
  <c r="I2885" i="2" s="1"/>
  <c r="I2886" i="2" a="1"/>
  <c r="I2886" i="2" s="1"/>
  <c r="I2887" i="2" a="1"/>
  <c r="I2887" i="2" s="1"/>
  <c r="I2888" i="2" a="1"/>
  <c r="I2888" i="2" s="1"/>
  <c r="I2889" i="2" a="1"/>
  <c r="I2889" i="2" s="1"/>
  <c r="I2890" i="2" a="1"/>
  <c r="I2890" i="2" s="1"/>
  <c r="I2891" i="2" a="1"/>
  <c r="I2891" i="2" s="1"/>
  <c r="I2892" i="2" a="1"/>
  <c r="I2892" i="2" s="1"/>
  <c r="I2893" i="2" a="1"/>
  <c r="I2893" i="2" s="1"/>
  <c r="I2894" i="2" a="1"/>
  <c r="I2894" i="2" s="1"/>
  <c r="I2895" i="2" a="1"/>
  <c r="I2895" i="2" s="1"/>
  <c r="I2896" i="2" a="1"/>
  <c r="I2896" i="2" s="1"/>
  <c r="I2897" i="2" a="1"/>
  <c r="I2897" i="2" s="1"/>
  <c r="I2898" i="2" a="1"/>
  <c r="I2898" i="2" s="1"/>
  <c r="I2899" i="2" a="1"/>
  <c r="I2899" i="2" s="1"/>
  <c r="I2900" i="2" a="1"/>
  <c r="I2900" i="2" s="1"/>
  <c r="I2901" i="2" a="1"/>
  <c r="I2901" i="2" s="1"/>
  <c r="I2902" i="2" a="1"/>
  <c r="I2902" i="2" s="1"/>
  <c r="I2903" i="2" a="1"/>
  <c r="I2903" i="2" s="1"/>
  <c r="I2904" i="2" a="1"/>
  <c r="I2904" i="2" s="1"/>
  <c r="I2905" i="2" a="1"/>
  <c r="I2905" i="2" s="1"/>
  <c r="I2906" i="2" a="1"/>
  <c r="I2906" i="2" s="1"/>
  <c r="I2907" i="2" a="1"/>
  <c r="I2907" i="2" s="1"/>
  <c r="I2908" i="2" a="1"/>
  <c r="I2908" i="2" s="1"/>
  <c r="I2909" i="2" a="1"/>
  <c r="I2909" i="2" s="1"/>
  <c r="I2910" i="2" a="1"/>
  <c r="I2910" i="2" s="1"/>
  <c r="I2911" i="2" a="1"/>
  <c r="I2911" i="2" s="1"/>
  <c r="I2912" i="2" a="1"/>
  <c r="I2912" i="2" s="1"/>
  <c r="I2913" i="2" a="1"/>
  <c r="I2913" i="2" s="1"/>
  <c r="I2914" i="2" a="1"/>
  <c r="I2914" i="2" s="1"/>
  <c r="I2915" i="2" a="1"/>
  <c r="I2915" i="2" s="1"/>
  <c r="I2916" i="2" a="1"/>
  <c r="I2916" i="2" s="1"/>
  <c r="I2917" i="2" a="1"/>
  <c r="I2917" i="2" s="1"/>
  <c r="I2918" i="2" a="1"/>
  <c r="I2918" i="2" s="1"/>
  <c r="I2919" i="2" a="1"/>
  <c r="I2919" i="2" s="1"/>
  <c r="I2920" i="2" a="1"/>
  <c r="I2920" i="2" s="1"/>
  <c r="I2921" i="2" a="1"/>
  <c r="I2921" i="2" s="1"/>
  <c r="I2922" i="2" a="1"/>
  <c r="I2922" i="2" s="1"/>
  <c r="I2923" i="2" a="1"/>
  <c r="I2923" i="2" s="1"/>
  <c r="I2924" i="2" a="1"/>
  <c r="I2924" i="2" s="1"/>
  <c r="I2925" i="2" a="1"/>
  <c r="I2925" i="2" s="1"/>
  <c r="I2926" i="2" a="1"/>
  <c r="I2926" i="2" s="1"/>
  <c r="I2927" i="2" a="1"/>
  <c r="I2927" i="2" s="1"/>
  <c r="I2928" i="2" a="1"/>
  <c r="I2928" i="2" s="1"/>
  <c r="I2929" i="2" a="1"/>
  <c r="I2929" i="2" s="1"/>
  <c r="I2930" i="2" a="1"/>
  <c r="I2930" i="2" s="1"/>
  <c r="I2931" i="2" a="1"/>
  <c r="I2931" i="2" s="1"/>
  <c r="I2932" i="2" a="1"/>
  <c r="I2932" i="2" s="1"/>
  <c r="I2933" i="2" a="1"/>
  <c r="I2933" i="2" s="1"/>
  <c r="I2934" i="2" a="1"/>
  <c r="I2934" i="2" s="1"/>
  <c r="I2935" i="2" a="1"/>
  <c r="I2935" i="2" s="1"/>
  <c r="I2936" i="2" a="1"/>
  <c r="I2936" i="2" s="1"/>
  <c r="I2937" i="2" a="1"/>
  <c r="I2937" i="2" s="1"/>
  <c r="I2938" i="2" a="1"/>
  <c r="I2938" i="2" s="1"/>
  <c r="I2939" i="2" a="1"/>
  <c r="I2939" i="2" s="1"/>
  <c r="I2940" i="2" a="1"/>
  <c r="I2940" i="2" s="1"/>
  <c r="I2941" i="2" a="1"/>
  <c r="I2941" i="2" s="1"/>
  <c r="I2942" i="2" a="1"/>
  <c r="I2942" i="2" s="1"/>
  <c r="I2943" i="2" a="1"/>
  <c r="I2943" i="2" s="1"/>
  <c r="I2944" i="2" a="1"/>
  <c r="I2944" i="2" s="1"/>
  <c r="I2945" i="2" a="1"/>
  <c r="I2945" i="2" s="1"/>
  <c r="I2946" i="2" a="1"/>
  <c r="I2946" i="2" s="1"/>
  <c r="I2947" i="2" a="1"/>
  <c r="I2947" i="2" s="1"/>
  <c r="I2948" i="2" a="1"/>
  <c r="I2948" i="2" s="1"/>
  <c r="I2949" i="2" a="1"/>
  <c r="I2949" i="2" s="1"/>
  <c r="I2950" i="2" a="1"/>
  <c r="I2950" i="2" s="1"/>
  <c r="I2951" i="2" a="1"/>
  <c r="I2951" i="2" s="1"/>
  <c r="I2952" i="2" a="1"/>
  <c r="I2952" i="2" s="1"/>
  <c r="I2953" i="2" a="1"/>
  <c r="I2953" i="2" s="1"/>
  <c r="I2954" i="2" a="1"/>
  <c r="I2954" i="2" s="1"/>
  <c r="I2955" i="2" a="1"/>
  <c r="I2955" i="2" s="1"/>
  <c r="I2956" i="2" a="1"/>
  <c r="I2956" i="2" s="1"/>
  <c r="I2957" i="2" a="1"/>
  <c r="I2957" i="2" s="1"/>
  <c r="I2958" i="2" a="1"/>
  <c r="I2958" i="2" s="1"/>
  <c r="I2959" i="2" a="1"/>
  <c r="I2959" i="2" s="1"/>
  <c r="I2960" i="2" a="1"/>
  <c r="I2960" i="2" s="1"/>
  <c r="I2961" i="2" a="1"/>
  <c r="I2961" i="2" s="1"/>
  <c r="I2962" i="2" a="1"/>
  <c r="I2962" i="2" s="1"/>
  <c r="I2963" i="2" a="1"/>
  <c r="I2963" i="2" s="1"/>
  <c r="I2964" i="2" a="1"/>
  <c r="I2964" i="2" s="1"/>
  <c r="I2965" i="2" a="1"/>
  <c r="I2965" i="2" s="1"/>
  <c r="I2966" i="2" a="1"/>
  <c r="I2966" i="2" s="1"/>
  <c r="I2967" i="2" a="1"/>
  <c r="I2967" i="2" s="1"/>
  <c r="I2968" i="2" a="1"/>
  <c r="I2968" i="2" s="1"/>
  <c r="I2969" i="2" a="1"/>
  <c r="I2969" i="2" s="1"/>
  <c r="I2970" i="2" a="1"/>
  <c r="I2970" i="2" s="1"/>
  <c r="I2971" i="2" a="1"/>
  <c r="I2971" i="2" s="1"/>
  <c r="I2972" i="2" a="1"/>
  <c r="I2972" i="2" s="1"/>
  <c r="I2973" i="2" a="1"/>
  <c r="I2973" i="2" s="1"/>
  <c r="I2974" i="2" a="1"/>
  <c r="I2974" i="2" s="1"/>
  <c r="I2975" i="2" a="1"/>
  <c r="I2975" i="2" s="1"/>
  <c r="I2976" i="2" a="1"/>
  <c r="I2976" i="2" s="1"/>
  <c r="I2977" i="2" a="1"/>
  <c r="I2977" i="2" s="1"/>
  <c r="I2978" i="2" a="1"/>
  <c r="I2978" i="2" s="1"/>
  <c r="I2979" i="2" a="1"/>
  <c r="I2979" i="2" s="1"/>
  <c r="I2980" i="2" a="1"/>
  <c r="I2980" i="2" s="1"/>
  <c r="I2981" i="2" a="1"/>
  <c r="I2981" i="2" s="1"/>
  <c r="I2982" i="2" a="1"/>
  <c r="I2982" i="2" s="1"/>
  <c r="I2983" i="2" a="1"/>
  <c r="I2983" i="2" s="1"/>
  <c r="I2984" i="2" a="1"/>
  <c r="I2984" i="2" s="1"/>
  <c r="I2985" i="2" a="1"/>
  <c r="I2985" i="2" s="1"/>
  <c r="I2986" i="2" a="1"/>
  <c r="I2986" i="2" s="1"/>
  <c r="I2987" i="2" a="1"/>
  <c r="I2987" i="2" s="1"/>
  <c r="I2988" i="2" a="1"/>
  <c r="I2988" i="2" s="1"/>
  <c r="I2989" i="2" a="1"/>
  <c r="I2989" i="2" s="1"/>
  <c r="I2990" i="2" a="1"/>
  <c r="I2990" i="2" s="1"/>
  <c r="I2991" i="2" a="1"/>
  <c r="I2991" i="2" s="1"/>
  <c r="I2992" i="2" a="1"/>
  <c r="I2992" i="2" s="1"/>
  <c r="I2993" i="2" a="1"/>
  <c r="I2993" i="2" s="1"/>
  <c r="I2994" i="2" a="1"/>
  <c r="I2994" i="2" s="1"/>
  <c r="I2995" i="2" a="1"/>
  <c r="I2995" i="2" s="1"/>
  <c r="I2996" i="2" a="1"/>
  <c r="I2996" i="2" s="1"/>
  <c r="I2997" i="2" a="1"/>
  <c r="I2997" i="2" s="1"/>
  <c r="I2998" i="2" a="1"/>
  <c r="I2998" i="2" s="1"/>
  <c r="I2999" i="2" a="1"/>
  <c r="I2999" i="2" s="1"/>
  <c r="I3000" i="2" a="1"/>
  <c r="I3000" i="2" s="1"/>
  <c r="I3001" i="2" a="1"/>
  <c r="I3001" i="2" s="1"/>
  <c r="I3002" i="2" a="1"/>
  <c r="I3002" i="2" s="1"/>
  <c r="I3003" i="2" a="1"/>
  <c r="I3003" i="2" s="1"/>
  <c r="I3004" i="2" a="1"/>
  <c r="I3004" i="2" s="1"/>
  <c r="I3005" i="2" a="1"/>
  <c r="I3005" i="2" s="1"/>
  <c r="I3006" i="2" a="1"/>
  <c r="I3006" i="2" s="1"/>
  <c r="I3007" i="2" a="1"/>
  <c r="I3007" i="2" s="1"/>
  <c r="I3008" i="2" a="1"/>
  <c r="I3008" i="2" s="1"/>
  <c r="I3009" i="2" a="1"/>
  <c r="I3009" i="2" s="1"/>
  <c r="I3010" i="2" a="1"/>
  <c r="I3010" i="2" s="1"/>
  <c r="I3011" i="2" a="1"/>
  <c r="I3011" i="2" s="1"/>
  <c r="I3012" i="2" a="1"/>
  <c r="I3012" i="2" s="1"/>
  <c r="I3013" i="2" a="1"/>
  <c r="I3013" i="2" s="1"/>
  <c r="I3014" i="2" a="1"/>
  <c r="I3014" i="2" s="1"/>
  <c r="I3015" i="2" a="1"/>
  <c r="I3015" i="2" s="1"/>
  <c r="I3016" i="2" a="1"/>
  <c r="I3016" i="2" s="1"/>
  <c r="I3017" i="2" a="1"/>
  <c r="I3017" i="2" s="1"/>
  <c r="I3018" i="2" a="1"/>
  <c r="I3018" i="2" s="1"/>
  <c r="I3019" i="2" a="1"/>
  <c r="I3019" i="2" s="1"/>
  <c r="I3020" i="2" a="1"/>
  <c r="I3020" i="2" s="1"/>
  <c r="I3021" i="2" a="1"/>
  <c r="I3021" i="2" s="1"/>
  <c r="I3022" i="2" a="1"/>
  <c r="I3022" i="2" s="1"/>
  <c r="I3023" i="2" a="1"/>
  <c r="I3023" i="2" s="1"/>
  <c r="I3024" i="2" a="1"/>
  <c r="I3024" i="2" s="1"/>
  <c r="I3025" i="2" a="1"/>
  <c r="I3025" i="2" s="1"/>
  <c r="I3026" i="2" a="1"/>
  <c r="I3026" i="2" s="1"/>
  <c r="I3027" i="2" a="1"/>
  <c r="I3027" i="2" s="1"/>
  <c r="I3028" i="2" a="1"/>
  <c r="I3028" i="2" s="1"/>
  <c r="I3029" i="2" a="1"/>
  <c r="I3029" i="2" s="1"/>
  <c r="I3030" i="2" a="1"/>
  <c r="I3030" i="2" s="1"/>
  <c r="I3031" i="2" a="1"/>
  <c r="I3031" i="2" s="1"/>
  <c r="I3032" i="2" a="1"/>
  <c r="I3032" i="2" s="1"/>
  <c r="I3033" i="2" a="1"/>
  <c r="I3033" i="2" s="1"/>
  <c r="I3034" i="2" a="1"/>
  <c r="I3034" i="2" s="1"/>
  <c r="I3035" i="2" a="1"/>
  <c r="I3035" i="2" s="1"/>
  <c r="I3036" i="2" a="1"/>
  <c r="I3036" i="2" s="1"/>
  <c r="I3037" i="2" a="1"/>
  <c r="I3037" i="2" s="1"/>
  <c r="I3038" i="2" a="1"/>
  <c r="I3038" i="2" s="1"/>
  <c r="I3039" i="2" a="1"/>
  <c r="I3039" i="2" s="1"/>
  <c r="I3040" i="2" a="1"/>
  <c r="I3040" i="2" s="1"/>
  <c r="I3041" i="2" a="1"/>
  <c r="I3041" i="2" s="1"/>
  <c r="I3042" i="2" a="1"/>
  <c r="I3042" i="2" s="1"/>
  <c r="I3043" i="2" a="1"/>
  <c r="I3043" i="2" s="1"/>
  <c r="I3044" i="2" a="1"/>
  <c r="I3044" i="2" s="1"/>
  <c r="I3045" i="2" a="1"/>
  <c r="I3045" i="2" s="1"/>
  <c r="I3046" i="2" a="1"/>
  <c r="I3046" i="2" s="1"/>
  <c r="I3047" i="2" a="1"/>
  <c r="I3047" i="2" s="1"/>
  <c r="I3048" i="2" a="1"/>
  <c r="I3048" i="2" s="1"/>
  <c r="I3049" i="2" a="1"/>
  <c r="I3049" i="2" s="1"/>
  <c r="I3050" i="2" a="1"/>
  <c r="I3050" i="2" s="1"/>
  <c r="I3051" i="2" a="1"/>
  <c r="I3051" i="2" s="1"/>
  <c r="I3052" i="2" a="1"/>
  <c r="I3052" i="2" s="1"/>
  <c r="I3053" i="2" a="1"/>
  <c r="I3053" i="2" s="1"/>
  <c r="I3054" i="2" a="1"/>
  <c r="I3054" i="2" s="1"/>
  <c r="I3055" i="2" a="1"/>
  <c r="I3055" i="2" s="1"/>
  <c r="I3056" i="2" a="1"/>
  <c r="I3056" i="2" s="1"/>
  <c r="I3057" i="2" a="1"/>
  <c r="I3057" i="2" s="1"/>
  <c r="I3058" i="2" a="1"/>
  <c r="I3058" i="2" s="1"/>
  <c r="I3059" i="2" a="1"/>
  <c r="I3059" i="2" s="1"/>
  <c r="I3060" i="2" a="1"/>
  <c r="I3060" i="2" s="1"/>
  <c r="I3061" i="2" a="1"/>
  <c r="I3061" i="2" s="1"/>
  <c r="I3062" i="2" a="1"/>
  <c r="I3062" i="2" s="1"/>
  <c r="I3063" i="2" a="1"/>
  <c r="I3063" i="2" s="1"/>
  <c r="I3064" i="2" a="1"/>
  <c r="I3064" i="2" s="1"/>
  <c r="I3065" i="2" a="1"/>
  <c r="I3065" i="2" s="1"/>
  <c r="I3066" i="2" a="1"/>
  <c r="I3066" i="2" s="1"/>
  <c r="I3067" i="2" a="1"/>
  <c r="I3067" i="2" s="1"/>
  <c r="I3068" i="2" a="1"/>
  <c r="I3068" i="2" s="1"/>
  <c r="I3069" i="2" a="1"/>
  <c r="I3069" i="2" s="1"/>
  <c r="I3070" i="2" a="1"/>
  <c r="I3070" i="2" s="1"/>
  <c r="I3071" i="2" a="1"/>
  <c r="I3071" i="2" s="1"/>
  <c r="I3072" i="2" a="1"/>
  <c r="I3072" i="2" s="1"/>
  <c r="I3073" i="2" a="1"/>
  <c r="I3073" i="2" s="1"/>
  <c r="I3074" i="2" a="1"/>
  <c r="I3074" i="2" s="1"/>
  <c r="I3075" i="2" a="1"/>
  <c r="I3075" i="2" s="1"/>
  <c r="I3076" i="2" a="1"/>
  <c r="I3076" i="2" s="1"/>
  <c r="I3077" i="2" a="1"/>
  <c r="I3077" i="2" s="1"/>
  <c r="I3078" i="2" a="1"/>
  <c r="I3078" i="2" s="1"/>
  <c r="I3079" i="2" a="1"/>
  <c r="I3079" i="2" s="1"/>
  <c r="I3080" i="2" a="1"/>
  <c r="I3080" i="2" s="1"/>
  <c r="I3081" i="2" a="1"/>
  <c r="I3081" i="2" s="1"/>
  <c r="I3082" i="2" a="1"/>
  <c r="I3082" i="2" s="1"/>
  <c r="I3083" i="2" a="1"/>
  <c r="I3083" i="2" s="1"/>
  <c r="I3084" i="2" a="1"/>
  <c r="I3084" i="2" s="1"/>
  <c r="I3085" i="2" a="1"/>
  <c r="I3085" i="2" s="1"/>
  <c r="I3086" i="2" a="1"/>
  <c r="I3086" i="2" s="1"/>
  <c r="I3087" i="2" a="1"/>
  <c r="I3087" i="2" s="1"/>
  <c r="I3088" i="2" a="1"/>
  <c r="I3088" i="2" s="1"/>
  <c r="I3089" i="2" a="1"/>
  <c r="I3089" i="2" s="1"/>
  <c r="I3090" i="2" a="1"/>
  <c r="I3090" i="2" s="1"/>
  <c r="I3091" i="2" a="1"/>
  <c r="I3091" i="2" s="1"/>
  <c r="I3092" i="2" a="1"/>
  <c r="I3092" i="2" s="1"/>
  <c r="I3093" i="2" a="1"/>
  <c r="I3093" i="2" s="1"/>
  <c r="I3094" i="2" a="1"/>
  <c r="I3094" i="2" s="1"/>
  <c r="I3095" i="2" a="1"/>
  <c r="I3095" i="2" s="1"/>
  <c r="I3096" i="2" a="1"/>
  <c r="I3096" i="2" s="1"/>
  <c r="I3097" i="2" a="1"/>
  <c r="I3097" i="2" s="1"/>
  <c r="I3098" i="2" a="1"/>
  <c r="I3098" i="2" s="1"/>
  <c r="I3099" i="2" a="1"/>
  <c r="I3099" i="2" s="1"/>
  <c r="I3100" i="2" a="1"/>
  <c r="I3100" i="2" s="1"/>
  <c r="I3101" i="2" a="1"/>
  <c r="I3101" i="2" s="1"/>
  <c r="I3102" i="2" a="1"/>
  <c r="I3102" i="2" s="1"/>
  <c r="I3103" i="2" a="1"/>
  <c r="I3103" i="2" s="1"/>
  <c r="I3104" i="2" a="1"/>
  <c r="I3104" i="2" s="1"/>
  <c r="I3105" i="2" a="1"/>
  <c r="I3105" i="2" s="1"/>
  <c r="I3106" i="2" a="1"/>
  <c r="I3106" i="2" s="1"/>
  <c r="I3107" i="2" a="1"/>
  <c r="I3107" i="2" s="1"/>
  <c r="I3108" i="2" a="1"/>
  <c r="I3108" i="2" s="1"/>
  <c r="I3109" i="2" a="1"/>
  <c r="I3109" i="2" s="1"/>
  <c r="I3110" i="2" a="1"/>
  <c r="I3110" i="2" s="1"/>
  <c r="I3111" i="2" a="1"/>
  <c r="I3111" i="2" s="1"/>
  <c r="I3112" i="2" a="1"/>
  <c r="I3112" i="2" s="1"/>
  <c r="I3113" i="2" a="1"/>
  <c r="I3113" i="2" s="1"/>
  <c r="I3114" i="2" a="1"/>
  <c r="I3114" i="2" s="1"/>
  <c r="I3115" i="2" a="1"/>
  <c r="I3115" i="2" s="1"/>
  <c r="I3116" i="2" a="1"/>
  <c r="I3116" i="2" s="1"/>
  <c r="I3117" i="2" a="1"/>
  <c r="I3117" i="2" s="1"/>
  <c r="I3118" i="2" a="1"/>
  <c r="I3118" i="2" s="1"/>
  <c r="I3119" i="2" a="1"/>
  <c r="I3119" i="2" s="1"/>
  <c r="I3120" i="2" a="1"/>
  <c r="I3120" i="2" s="1"/>
  <c r="I3121" i="2" a="1"/>
  <c r="I3121" i="2" s="1"/>
  <c r="I3122" i="2" a="1"/>
  <c r="I3122" i="2" s="1"/>
  <c r="I3123" i="2" a="1"/>
  <c r="I3123" i="2" s="1"/>
  <c r="I3124" i="2" a="1"/>
  <c r="I3124" i="2" s="1"/>
  <c r="I3125" i="2" a="1"/>
  <c r="I3125" i="2" s="1"/>
  <c r="I3126" i="2" a="1"/>
  <c r="I3126" i="2" s="1"/>
  <c r="I3127" i="2" a="1"/>
  <c r="I3127" i="2" s="1"/>
  <c r="I3128" i="2" a="1"/>
  <c r="I3128" i="2" s="1"/>
  <c r="I3129" i="2" a="1"/>
  <c r="I3129" i="2" s="1"/>
  <c r="I3130" i="2" a="1"/>
  <c r="I3130" i="2" s="1"/>
  <c r="I3131" i="2" a="1"/>
  <c r="I3131" i="2" s="1"/>
  <c r="I3132" i="2" a="1"/>
  <c r="I3132" i="2" s="1"/>
  <c r="I3133" i="2" a="1"/>
  <c r="I3133" i="2" s="1"/>
  <c r="I3134" i="2" a="1"/>
  <c r="I3134" i="2" s="1"/>
  <c r="I3135" i="2" a="1"/>
  <c r="I3135" i="2" s="1"/>
  <c r="I3136" i="2" a="1"/>
  <c r="I3136" i="2" s="1"/>
  <c r="I3137" i="2" a="1"/>
  <c r="I3137" i="2" s="1"/>
  <c r="I3138" i="2" a="1"/>
  <c r="I3138" i="2" s="1"/>
  <c r="I3139" i="2" a="1"/>
  <c r="I3139" i="2" s="1"/>
  <c r="I3140" i="2" a="1"/>
  <c r="I3140" i="2" s="1"/>
  <c r="I3141" i="2" a="1"/>
  <c r="I3141" i="2" s="1"/>
  <c r="I3142" i="2" a="1"/>
  <c r="I3142" i="2" s="1"/>
  <c r="I3143" i="2" a="1"/>
  <c r="I3143" i="2" s="1"/>
  <c r="I3144" i="2" a="1"/>
  <c r="I3144" i="2" s="1"/>
  <c r="I3145" i="2" a="1"/>
  <c r="I3145" i="2" s="1"/>
  <c r="I3146" i="2" a="1"/>
  <c r="I3146" i="2" s="1"/>
  <c r="I3147" i="2" a="1"/>
  <c r="I3147" i="2" s="1"/>
  <c r="I3148" i="2" a="1"/>
  <c r="I3148" i="2" s="1"/>
  <c r="I3149" i="2" a="1"/>
  <c r="I3149" i="2" s="1"/>
  <c r="I3150" i="2" a="1"/>
  <c r="I3150" i="2" s="1"/>
  <c r="I3151" i="2" a="1"/>
  <c r="I3151" i="2" s="1"/>
  <c r="I3152" i="2" a="1"/>
  <c r="I3152" i="2" s="1"/>
  <c r="I3153" i="2" a="1"/>
  <c r="I3153" i="2" s="1"/>
  <c r="I3154" i="2" a="1"/>
  <c r="I3154" i="2" s="1"/>
  <c r="I3155" i="2" a="1"/>
  <c r="I3155" i="2" s="1"/>
  <c r="I3156" i="2" a="1"/>
  <c r="I3156" i="2" s="1"/>
  <c r="I3157" i="2" a="1"/>
  <c r="I3157" i="2" s="1"/>
  <c r="I3158" i="2" a="1"/>
  <c r="I3158" i="2" s="1"/>
  <c r="I3159" i="2" a="1"/>
  <c r="I3159" i="2" s="1"/>
  <c r="I3160" i="2" a="1"/>
  <c r="I3160" i="2" s="1"/>
  <c r="I3161" i="2" a="1"/>
  <c r="I3161" i="2" s="1"/>
  <c r="I3162" i="2" a="1"/>
  <c r="I3162" i="2" s="1"/>
  <c r="I3163" i="2" a="1"/>
  <c r="I3163" i="2" s="1"/>
  <c r="I3164" i="2" a="1"/>
  <c r="I3164" i="2" s="1"/>
  <c r="I3165" i="2" a="1"/>
  <c r="I3165" i="2" s="1"/>
  <c r="I3166" i="2" a="1"/>
  <c r="I3166" i="2" s="1"/>
  <c r="I3167" i="2" a="1"/>
  <c r="I3167" i="2" s="1"/>
  <c r="I3168" i="2" a="1"/>
  <c r="I3168" i="2" s="1"/>
  <c r="I3169" i="2" a="1"/>
  <c r="I3169" i="2" s="1"/>
  <c r="I3170" i="2" a="1"/>
  <c r="I3170" i="2" s="1"/>
  <c r="I3171" i="2" a="1"/>
  <c r="I3171" i="2" s="1"/>
  <c r="I3172" i="2" a="1"/>
  <c r="I3172" i="2" s="1"/>
  <c r="I3173" i="2" a="1"/>
  <c r="I3173" i="2" s="1"/>
  <c r="I3174" i="2" a="1"/>
  <c r="I3174" i="2" s="1"/>
  <c r="I3175" i="2" a="1"/>
  <c r="I3175" i="2" s="1"/>
  <c r="I3176" i="2" a="1"/>
  <c r="I3176" i="2" s="1"/>
  <c r="I3177" i="2" a="1"/>
  <c r="I3177" i="2" s="1"/>
  <c r="I3178" i="2" a="1"/>
  <c r="I3178" i="2" s="1"/>
  <c r="I3179" i="2" a="1"/>
  <c r="I3179" i="2" s="1"/>
  <c r="I3180" i="2" a="1"/>
  <c r="I3180" i="2" s="1"/>
  <c r="I3181" i="2" a="1"/>
  <c r="I3181" i="2" s="1"/>
  <c r="I3182" i="2" a="1"/>
  <c r="I3182" i="2" s="1"/>
  <c r="I3183" i="2" a="1"/>
  <c r="I3183" i="2" s="1"/>
  <c r="I3184" i="2" a="1"/>
  <c r="I3184" i="2" s="1"/>
  <c r="I3185" i="2" a="1"/>
  <c r="I3185" i="2" s="1"/>
  <c r="I3186" i="2" a="1"/>
  <c r="I3186" i="2" s="1"/>
  <c r="I3187" i="2" a="1"/>
  <c r="I3187" i="2" s="1"/>
  <c r="I3188" i="2" a="1"/>
  <c r="I3188" i="2" s="1"/>
  <c r="I3189" i="2" a="1"/>
  <c r="I3189" i="2" s="1"/>
  <c r="I3190" i="2" a="1"/>
  <c r="I3190" i="2" s="1"/>
  <c r="I3191" i="2" a="1"/>
  <c r="I3191" i="2" s="1"/>
  <c r="I3192" i="2" a="1"/>
  <c r="I3192" i="2" s="1"/>
  <c r="I3193" i="2" a="1"/>
  <c r="I3193" i="2" s="1"/>
  <c r="I3194" i="2" a="1"/>
  <c r="I3194" i="2" s="1"/>
  <c r="I3195" i="2" a="1"/>
  <c r="I3195" i="2" s="1"/>
  <c r="I3196" i="2" a="1"/>
  <c r="I3196" i="2" s="1"/>
  <c r="I3197" i="2" a="1"/>
  <c r="I3197" i="2" s="1"/>
  <c r="I3198" i="2" a="1"/>
  <c r="I3198" i="2" s="1"/>
  <c r="I3199" i="2" a="1"/>
  <c r="I3199" i="2" s="1"/>
  <c r="I3200" i="2" a="1"/>
  <c r="I3200" i="2" s="1"/>
  <c r="I3201" i="2" a="1"/>
  <c r="I3201" i="2" s="1"/>
  <c r="I3202" i="2" a="1"/>
  <c r="I3202" i="2" s="1"/>
  <c r="I3203" i="2" a="1"/>
  <c r="I3203" i="2" s="1"/>
  <c r="I3204" i="2" a="1"/>
  <c r="I3204" i="2" s="1"/>
  <c r="I3205" i="2" a="1"/>
  <c r="I3205" i="2" s="1"/>
  <c r="I3206" i="2" a="1"/>
  <c r="I3206" i="2" s="1"/>
  <c r="I3207" i="2" a="1"/>
  <c r="I3207" i="2" s="1"/>
  <c r="I3208" i="2" a="1"/>
  <c r="I3208" i="2" s="1"/>
  <c r="I3209" i="2" a="1"/>
  <c r="I3209" i="2" s="1"/>
  <c r="I3210" i="2" a="1"/>
  <c r="I3210" i="2" s="1"/>
  <c r="I3211" i="2" a="1"/>
  <c r="I3211" i="2" s="1"/>
  <c r="I3212" i="2" a="1"/>
  <c r="I3212" i="2" s="1"/>
  <c r="I3213" i="2" a="1"/>
  <c r="I3213" i="2" s="1"/>
  <c r="I3214" i="2" a="1"/>
  <c r="I3214" i="2" s="1"/>
  <c r="I3215" i="2" a="1"/>
  <c r="I3215" i="2" s="1"/>
  <c r="I3216" i="2" a="1"/>
  <c r="I3216" i="2" s="1"/>
  <c r="I3217" i="2" a="1"/>
  <c r="I3217" i="2" s="1"/>
  <c r="I3218" i="2" a="1"/>
  <c r="I3218" i="2" s="1"/>
  <c r="I3219" i="2" a="1"/>
  <c r="I3219" i="2" s="1"/>
  <c r="I3220" i="2" a="1"/>
  <c r="I3220" i="2" s="1"/>
  <c r="I3221" i="2" a="1"/>
  <c r="I3221" i="2" s="1"/>
  <c r="I3222" i="2" a="1"/>
  <c r="I3222" i="2" s="1"/>
  <c r="I3223" i="2" a="1"/>
  <c r="I3223" i="2" s="1"/>
  <c r="I3224" i="2" a="1"/>
  <c r="I3224" i="2" s="1"/>
  <c r="I3225" i="2" a="1"/>
  <c r="I3225" i="2" s="1"/>
  <c r="I3226" i="2" a="1"/>
  <c r="I3226" i="2" s="1"/>
  <c r="I3227" i="2" a="1"/>
  <c r="I3227" i="2" s="1"/>
  <c r="I3228" i="2" a="1"/>
  <c r="I3228" i="2" s="1"/>
  <c r="I3229" i="2" a="1"/>
  <c r="I3229" i="2" s="1"/>
  <c r="I3230" i="2" a="1"/>
  <c r="I3230" i="2" s="1"/>
  <c r="I3231" i="2" a="1"/>
  <c r="I3231" i="2" s="1"/>
  <c r="I3232" i="2" a="1"/>
  <c r="I3232" i="2" s="1"/>
  <c r="I3233" i="2" a="1"/>
  <c r="I3233" i="2" s="1"/>
  <c r="I3234" i="2" a="1"/>
  <c r="I3234" i="2" s="1"/>
  <c r="I3235" i="2" a="1"/>
  <c r="I3235" i="2" s="1"/>
  <c r="I3236" i="2" a="1"/>
  <c r="I3236" i="2" s="1"/>
  <c r="I3237" i="2" a="1"/>
  <c r="I3237" i="2" s="1"/>
  <c r="I3238" i="2" a="1"/>
  <c r="I3238" i="2" s="1"/>
  <c r="I3239" i="2" a="1"/>
  <c r="I3239" i="2" s="1"/>
  <c r="I3240" i="2" a="1"/>
  <c r="I3240" i="2" s="1"/>
  <c r="I3241" i="2" a="1"/>
  <c r="I3241" i="2" s="1"/>
  <c r="I3242" i="2" a="1"/>
  <c r="I3242" i="2" s="1"/>
  <c r="I3243" i="2" a="1"/>
  <c r="I3243" i="2" s="1"/>
  <c r="I3244" i="2" a="1"/>
  <c r="I3244" i="2" s="1"/>
  <c r="I3245" i="2" a="1"/>
  <c r="I3245" i="2" s="1"/>
  <c r="I3246" i="2" a="1"/>
  <c r="I3246" i="2" s="1"/>
  <c r="I3247" i="2" a="1"/>
  <c r="I3247" i="2" s="1"/>
  <c r="I3248" i="2" a="1"/>
  <c r="I3248" i="2" s="1"/>
  <c r="I3249" i="2" a="1"/>
  <c r="I3249" i="2" s="1"/>
  <c r="I3250" i="2" a="1"/>
  <c r="I3250" i="2" s="1"/>
  <c r="I3251" i="2" a="1"/>
  <c r="I3251" i="2" s="1"/>
  <c r="I3252" i="2" a="1"/>
  <c r="I3252" i="2" s="1"/>
  <c r="I3253" i="2" a="1"/>
  <c r="I3253" i="2" s="1"/>
  <c r="I3254" i="2" a="1"/>
  <c r="I3254" i="2" s="1"/>
  <c r="I3255" i="2" a="1"/>
  <c r="I3255" i="2" s="1"/>
  <c r="I3256" i="2" a="1"/>
  <c r="I3256" i="2" s="1"/>
  <c r="I3257" i="2" a="1"/>
  <c r="I3257" i="2" s="1"/>
  <c r="I3258" i="2" a="1"/>
  <c r="I3258" i="2" s="1"/>
  <c r="I3259" i="2" a="1"/>
  <c r="I3259" i="2" s="1"/>
  <c r="I3260" i="2" a="1"/>
  <c r="I3260" i="2" s="1"/>
  <c r="I3261" i="2" a="1"/>
  <c r="I3261" i="2" s="1"/>
  <c r="I3262" i="2" a="1"/>
  <c r="I3262" i="2" s="1"/>
  <c r="I3263" i="2" a="1"/>
  <c r="I3263" i="2" s="1"/>
  <c r="I3264" i="2" a="1"/>
  <c r="I3264" i="2" s="1"/>
  <c r="I3265" i="2" a="1"/>
  <c r="I3265" i="2" s="1"/>
  <c r="I3266" i="2" a="1"/>
  <c r="I3266" i="2" s="1"/>
  <c r="I3267" i="2" a="1"/>
  <c r="I3267" i="2" s="1"/>
  <c r="I3268" i="2" a="1"/>
  <c r="I3268" i="2" s="1"/>
  <c r="I3269" i="2" a="1"/>
  <c r="I3269" i="2" s="1"/>
  <c r="I3270" i="2" a="1"/>
  <c r="I3270" i="2" s="1"/>
  <c r="I3271" i="2" a="1"/>
  <c r="I3271" i="2" s="1"/>
  <c r="I3272" i="2" a="1"/>
  <c r="I3272" i="2" s="1"/>
  <c r="I3273" i="2" a="1"/>
  <c r="I3273" i="2" s="1"/>
  <c r="I3274" i="2" a="1"/>
  <c r="I3274" i="2" s="1"/>
  <c r="I3275" i="2" a="1"/>
  <c r="I3275" i="2" s="1"/>
  <c r="I3276" i="2" a="1"/>
  <c r="I3276" i="2" s="1"/>
  <c r="I3277" i="2" a="1"/>
  <c r="I3277" i="2" s="1"/>
  <c r="I3278" i="2" a="1"/>
  <c r="I3278" i="2" s="1"/>
  <c r="I3279" i="2" a="1"/>
  <c r="I3279" i="2" s="1"/>
  <c r="I3280" i="2" a="1"/>
  <c r="I3280" i="2" s="1"/>
  <c r="I3281" i="2" a="1"/>
  <c r="I3281" i="2" s="1"/>
  <c r="I3282" i="2" a="1"/>
  <c r="I3282" i="2" s="1"/>
  <c r="I3283" i="2" a="1"/>
  <c r="I3283" i="2" s="1"/>
  <c r="I3284" i="2" a="1"/>
  <c r="I3284" i="2" s="1"/>
  <c r="I3285" i="2" a="1"/>
  <c r="I3285" i="2" s="1"/>
  <c r="I3286" i="2" a="1"/>
  <c r="I3286" i="2" s="1"/>
  <c r="I3287" i="2" a="1"/>
  <c r="I3287" i="2" s="1"/>
  <c r="I3288" i="2" a="1"/>
  <c r="I3288" i="2" s="1"/>
  <c r="I3289" i="2" a="1"/>
  <c r="I3289" i="2" s="1"/>
  <c r="I3290" i="2" a="1"/>
  <c r="I3290" i="2" s="1"/>
  <c r="I3291" i="2" a="1"/>
  <c r="I3291" i="2" s="1"/>
  <c r="I3292" i="2" a="1"/>
  <c r="I3292" i="2" s="1"/>
  <c r="I3293" i="2" a="1"/>
  <c r="I3293" i="2" s="1"/>
  <c r="I3294" i="2" a="1"/>
  <c r="I3294" i="2" s="1"/>
  <c r="I3295" i="2" a="1"/>
  <c r="I3295" i="2" s="1"/>
  <c r="I3296" i="2" a="1"/>
  <c r="I3296" i="2" s="1"/>
  <c r="I3297" i="2" a="1"/>
  <c r="I3297" i="2" s="1"/>
  <c r="I3298" i="2" a="1"/>
  <c r="I3298" i="2" s="1"/>
  <c r="I3299" i="2" a="1"/>
  <c r="I3299" i="2" s="1"/>
  <c r="I3300" i="2" a="1"/>
  <c r="I3300" i="2" s="1"/>
  <c r="I3301" i="2" a="1"/>
  <c r="I3301" i="2" s="1"/>
  <c r="I3302" i="2" a="1"/>
  <c r="I3302" i="2" s="1"/>
  <c r="I3303" i="2" a="1"/>
  <c r="I3303" i="2" s="1"/>
  <c r="I3304" i="2" a="1"/>
  <c r="I3304" i="2" s="1"/>
  <c r="I3305" i="2" a="1"/>
  <c r="I3305" i="2" s="1"/>
  <c r="I3306" i="2" a="1"/>
  <c r="I3306" i="2" s="1"/>
  <c r="I3307" i="2" a="1"/>
  <c r="I3307" i="2" s="1"/>
  <c r="I3308" i="2" a="1"/>
  <c r="I3308" i="2" s="1"/>
  <c r="I3309" i="2" a="1"/>
  <c r="I3309" i="2" s="1"/>
  <c r="I3310" i="2" a="1"/>
  <c r="I3310" i="2" s="1"/>
  <c r="I3311" i="2" a="1"/>
  <c r="I3311" i="2" s="1"/>
  <c r="I3312" i="2" a="1"/>
  <c r="I3312" i="2" s="1"/>
  <c r="I3313" i="2" a="1"/>
  <c r="I3313" i="2" s="1"/>
  <c r="I3314" i="2" a="1"/>
  <c r="I3314" i="2" s="1"/>
  <c r="I3315" i="2" a="1"/>
  <c r="I3315" i="2" s="1"/>
  <c r="I3316" i="2" a="1"/>
  <c r="I3316" i="2" s="1"/>
  <c r="I3317" i="2" a="1"/>
  <c r="I3317" i="2" s="1"/>
  <c r="I3318" i="2" a="1"/>
  <c r="I3318" i="2" s="1"/>
  <c r="I3319" i="2" a="1"/>
  <c r="I3319" i="2" s="1"/>
  <c r="I3320" i="2" a="1"/>
  <c r="I3320" i="2" s="1"/>
  <c r="I3321" i="2" a="1"/>
  <c r="I3321" i="2" s="1"/>
  <c r="I3322" i="2" a="1"/>
  <c r="I3322" i="2" s="1"/>
  <c r="I3323" i="2" a="1"/>
  <c r="I3323" i="2" s="1"/>
  <c r="I3324" i="2" a="1"/>
  <c r="I3324" i="2" s="1"/>
  <c r="I3325" i="2" a="1"/>
  <c r="I3325" i="2" s="1"/>
  <c r="I3326" i="2" a="1"/>
  <c r="I3326" i="2" s="1"/>
  <c r="I3327" i="2" a="1"/>
  <c r="I3327" i="2" s="1"/>
  <c r="I3328" i="2" a="1"/>
  <c r="I3328" i="2" s="1"/>
  <c r="I3329" i="2" a="1"/>
  <c r="I3329" i="2" s="1"/>
  <c r="I3330" i="2" a="1"/>
  <c r="I3330" i="2" s="1"/>
  <c r="I3331" i="2" a="1"/>
  <c r="I3331" i="2" s="1"/>
  <c r="I3332" i="2" a="1"/>
  <c r="I3332" i="2" s="1"/>
  <c r="I3333" i="2" a="1"/>
  <c r="I3333" i="2" s="1"/>
  <c r="I3334" i="2" a="1"/>
  <c r="I3334" i="2" s="1"/>
  <c r="I3335" i="2" a="1"/>
  <c r="I3335" i="2" s="1"/>
  <c r="I3336" i="2" a="1"/>
  <c r="I3336" i="2" s="1"/>
  <c r="I3337" i="2" a="1"/>
  <c r="I3337" i="2" s="1"/>
  <c r="I3338" i="2" a="1"/>
  <c r="I3338" i="2" s="1"/>
  <c r="I3339" i="2" a="1"/>
  <c r="I3339" i="2" s="1"/>
  <c r="I3340" i="2" a="1"/>
  <c r="I3340" i="2" s="1"/>
  <c r="I3341" i="2" a="1"/>
  <c r="I3341" i="2" s="1"/>
  <c r="I3342" i="2" a="1"/>
  <c r="I3342" i="2" s="1"/>
  <c r="I3343" i="2" a="1"/>
  <c r="I3343" i="2" s="1"/>
  <c r="I3344" i="2" a="1"/>
  <c r="I3344" i="2" s="1"/>
  <c r="I3345" i="2" a="1"/>
  <c r="I3345" i="2" s="1"/>
  <c r="I3346" i="2" a="1"/>
  <c r="I3346" i="2" s="1"/>
  <c r="I3347" i="2" a="1"/>
  <c r="I3347" i="2" s="1"/>
  <c r="I3348" i="2" a="1"/>
  <c r="I3348" i="2" s="1"/>
  <c r="I3349" i="2" a="1"/>
  <c r="I3349" i="2" s="1"/>
  <c r="I3350" i="2" a="1"/>
  <c r="I3350" i="2" s="1"/>
  <c r="I3351" i="2" a="1"/>
  <c r="I3351" i="2" s="1"/>
  <c r="I3352" i="2" a="1"/>
  <c r="I3352" i="2" s="1"/>
  <c r="I3353" i="2" a="1"/>
  <c r="I3353" i="2" s="1"/>
  <c r="I3354" i="2" a="1"/>
  <c r="I3354" i="2" s="1"/>
  <c r="I3355" i="2" a="1"/>
  <c r="I3355" i="2" s="1"/>
  <c r="I3356" i="2" a="1"/>
  <c r="I3356" i="2" s="1"/>
  <c r="I3357" i="2" a="1"/>
  <c r="I3357" i="2" s="1"/>
  <c r="I3358" i="2" a="1"/>
  <c r="I3358" i="2" s="1"/>
  <c r="I3359" i="2" a="1"/>
  <c r="I3359" i="2" s="1"/>
  <c r="I3360" i="2" a="1"/>
  <c r="I3360" i="2" s="1"/>
  <c r="I3361" i="2" a="1"/>
  <c r="I3361" i="2" s="1"/>
  <c r="I3362" i="2" a="1"/>
  <c r="I3362" i="2" s="1"/>
  <c r="I3363" i="2" a="1"/>
  <c r="I3363" i="2" s="1"/>
  <c r="I3364" i="2" a="1"/>
  <c r="I3364" i="2" s="1"/>
  <c r="I3365" i="2" a="1"/>
  <c r="I3365" i="2" s="1"/>
  <c r="I3366" i="2" a="1"/>
  <c r="I3366" i="2" s="1"/>
  <c r="I3367" i="2" a="1"/>
  <c r="I3367" i="2" s="1"/>
  <c r="I3368" i="2" a="1"/>
  <c r="I3368" i="2" s="1"/>
  <c r="I3369" i="2" a="1"/>
  <c r="I3369" i="2" s="1"/>
  <c r="I3370" i="2" a="1"/>
  <c r="I3370" i="2" s="1"/>
  <c r="I3371" i="2" a="1"/>
  <c r="I3371" i="2" s="1"/>
  <c r="I3372" i="2" a="1"/>
  <c r="I3372" i="2" s="1"/>
  <c r="I3373" i="2" a="1"/>
  <c r="I3373" i="2" s="1"/>
  <c r="I3374" i="2" a="1"/>
  <c r="I3374" i="2" s="1"/>
  <c r="I3375" i="2" a="1"/>
  <c r="I3375" i="2" s="1"/>
  <c r="I3376" i="2" a="1"/>
  <c r="I3376" i="2" s="1"/>
  <c r="I3377" i="2" a="1"/>
  <c r="I3377" i="2" s="1"/>
  <c r="I3378" i="2" a="1"/>
  <c r="I3378" i="2" s="1"/>
  <c r="I3379" i="2" a="1"/>
  <c r="I3379" i="2" s="1"/>
  <c r="I3380" i="2" a="1"/>
  <c r="I3380" i="2" s="1"/>
  <c r="I3381" i="2" a="1"/>
  <c r="I3381" i="2" s="1"/>
  <c r="I3382" i="2" a="1"/>
  <c r="I3382" i="2" s="1"/>
  <c r="I3383" i="2" a="1"/>
  <c r="I3383" i="2" s="1"/>
  <c r="I3384" i="2" a="1"/>
  <c r="I3384" i="2" s="1"/>
  <c r="I3385" i="2" a="1"/>
  <c r="I3385" i="2" s="1"/>
  <c r="I3386" i="2" a="1"/>
  <c r="I3386" i="2" s="1"/>
  <c r="I3387" i="2" a="1"/>
  <c r="I3387" i="2" s="1"/>
  <c r="I3388" i="2" a="1"/>
  <c r="I3388" i="2" s="1"/>
  <c r="I3389" i="2" a="1"/>
  <c r="I3389" i="2" s="1"/>
  <c r="I3390" i="2" a="1"/>
  <c r="I3390" i="2" s="1"/>
  <c r="I3391" i="2" a="1"/>
  <c r="I3391" i="2" s="1"/>
  <c r="I3392" i="2" a="1"/>
  <c r="I3392" i="2" s="1"/>
  <c r="I3393" i="2" a="1"/>
  <c r="I3393" i="2" s="1"/>
  <c r="I3394" i="2" a="1"/>
  <c r="I3394" i="2" s="1"/>
  <c r="I3395" i="2" a="1"/>
  <c r="I3395" i="2" s="1"/>
  <c r="I3396" i="2" a="1"/>
  <c r="I3396" i="2" s="1"/>
  <c r="I3397" i="2" a="1"/>
  <c r="I3397" i="2" s="1"/>
  <c r="I3398" i="2" a="1"/>
  <c r="I3398" i="2" s="1"/>
  <c r="I3399" i="2" a="1"/>
  <c r="I3399" i="2" s="1"/>
  <c r="I3400" i="2" a="1"/>
  <c r="I3400" i="2" s="1"/>
  <c r="I3401" i="2" a="1"/>
  <c r="I3401" i="2" s="1"/>
  <c r="I3402" i="2" a="1"/>
  <c r="I3402" i="2" s="1"/>
  <c r="I3403" i="2" a="1"/>
  <c r="I3403" i="2" s="1"/>
  <c r="I3404" i="2" a="1"/>
  <c r="I3404" i="2" s="1"/>
  <c r="I3405" i="2" a="1"/>
  <c r="I3405" i="2" s="1"/>
  <c r="I3406" i="2" a="1"/>
  <c r="I3406" i="2" s="1"/>
  <c r="I3407" i="2" a="1"/>
  <c r="I3407" i="2" s="1"/>
  <c r="I3408" i="2" a="1"/>
  <c r="I3408" i="2" s="1"/>
  <c r="I3409" i="2" a="1"/>
  <c r="I3409" i="2" s="1"/>
  <c r="I3410" i="2" a="1"/>
  <c r="I3410" i="2" s="1"/>
  <c r="I3411" i="2" a="1"/>
  <c r="I3411" i="2" s="1"/>
  <c r="I3412" i="2" a="1"/>
  <c r="I3412" i="2" s="1"/>
  <c r="I3413" i="2" a="1"/>
  <c r="I3413" i="2" s="1"/>
  <c r="I3414" i="2" a="1"/>
  <c r="I3414" i="2" s="1"/>
  <c r="I3415" i="2" a="1"/>
  <c r="I3415" i="2" s="1"/>
  <c r="I3416" i="2" a="1"/>
  <c r="I3416" i="2" s="1"/>
  <c r="I3417" i="2" a="1"/>
  <c r="I3417" i="2" s="1"/>
  <c r="I3418" i="2" a="1"/>
  <c r="I3418" i="2" s="1"/>
  <c r="I3419" i="2" a="1"/>
  <c r="I3419" i="2" s="1"/>
  <c r="I3420" i="2" a="1"/>
  <c r="I3420" i="2" s="1"/>
  <c r="I3421" i="2" a="1"/>
  <c r="I3421" i="2" s="1"/>
  <c r="I3422" i="2" a="1"/>
  <c r="I3422" i="2" s="1"/>
  <c r="I3423" i="2" a="1"/>
  <c r="I3423" i="2" s="1"/>
  <c r="I3424" i="2" a="1"/>
  <c r="I3424" i="2" s="1"/>
  <c r="I3425" i="2" a="1"/>
  <c r="I3425" i="2" s="1"/>
  <c r="I3426" i="2" a="1"/>
  <c r="I3426" i="2" s="1"/>
  <c r="I3427" i="2" a="1"/>
  <c r="I3427" i="2" s="1"/>
  <c r="I3428" i="2" a="1"/>
  <c r="I3428" i="2" s="1"/>
  <c r="I3429" i="2" a="1"/>
  <c r="I3429" i="2" s="1"/>
  <c r="I3430" i="2" a="1"/>
  <c r="I3430" i="2" s="1"/>
  <c r="I3431" i="2" a="1"/>
  <c r="I3431" i="2" s="1"/>
  <c r="I3432" i="2" a="1"/>
  <c r="I3432" i="2" s="1"/>
  <c r="I3433" i="2" a="1"/>
  <c r="I3433" i="2" s="1"/>
  <c r="I3434" i="2" a="1"/>
  <c r="I3434" i="2" s="1"/>
  <c r="I3435" i="2" a="1"/>
  <c r="I3435" i="2" s="1"/>
  <c r="I3436" i="2" a="1"/>
  <c r="I3436" i="2" s="1"/>
  <c r="I3437" i="2" a="1"/>
  <c r="I3437" i="2" s="1"/>
  <c r="I3438" i="2" a="1"/>
  <c r="I3438" i="2" s="1"/>
  <c r="I3439" i="2" a="1"/>
  <c r="I3439" i="2" s="1"/>
  <c r="I3440" i="2" a="1"/>
  <c r="I3440" i="2" s="1"/>
  <c r="I3441" i="2" a="1"/>
  <c r="I3441" i="2" s="1"/>
  <c r="I3442" i="2" a="1"/>
  <c r="I3442" i="2" s="1"/>
  <c r="I3443" i="2" a="1"/>
  <c r="I3443" i="2" s="1"/>
  <c r="I3444" i="2" a="1"/>
  <c r="I3444" i="2" s="1"/>
  <c r="I3445" i="2" a="1"/>
  <c r="I3445" i="2" s="1"/>
  <c r="I3446" i="2" a="1"/>
  <c r="I3446" i="2" s="1"/>
  <c r="I3447" i="2" a="1"/>
  <c r="I3447" i="2" s="1"/>
  <c r="I3448" i="2" a="1"/>
  <c r="I3448" i="2" s="1"/>
  <c r="I3449" i="2" a="1"/>
  <c r="I3449" i="2" s="1"/>
  <c r="I3450" i="2" a="1"/>
  <c r="I3450" i="2" s="1"/>
  <c r="I3451" i="2" a="1"/>
  <c r="I3451" i="2" s="1"/>
  <c r="I3452" i="2" a="1"/>
  <c r="I3452" i="2" s="1"/>
  <c r="I3453" i="2" a="1"/>
  <c r="I3453" i="2" s="1"/>
  <c r="I3454" i="2" a="1"/>
  <c r="I3454" i="2" s="1"/>
  <c r="I3455" i="2" a="1"/>
  <c r="I3455" i="2" s="1"/>
  <c r="I3456" i="2" a="1"/>
  <c r="I3456" i="2" s="1"/>
  <c r="I3457" i="2" a="1"/>
  <c r="I3457" i="2" s="1"/>
  <c r="I3458" i="2" a="1"/>
  <c r="I3458" i="2" s="1"/>
  <c r="I3459" i="2" a="1"/>
  <c r="I3459" i="2" s="1"/>
  <c r="I3460" i="2" a="1"/>
  <c r="I3460" i="2" s="1"/>
  <c r="I3461" i="2" a="1"/>
  <c r="I3461" i="2" s="1"/>
  <c r="I3462" i="2" a="1"/>
  <c r="I3462" i="2" s="1"/>
  <c r="I3463" i="2" a="1"/>
  <c r="I3463" i="2" s="1"/>
  <c r="I3464" i="2" a="1"/>
  <c r="I3464" i="2" s="1"/>
  <c r="I3465" i="2" a="1"/>
  <c r="I3465" i="2" s="1"/>
  <c r="I3466" i="2" a="1"/>
  <c r="I3466" i="2" s="1"/>
  <c r="I3467" i="2" a="1"/>
  <c r="I3467" i="2" s="1"/>
  <c r="I3468" i="2" a="1"/>
  <c r="I3468" i="2" s="1"/>
  <c r="I3469" i="2" a="1"/>
  <c r="I3469" i="2" s="1"/>
  <c r="I3470" i="2" a="1"/>
  <c r="I3470" i="2" s="1"/>
  <c r="I3471" i="2" a="1"/>
  <c r="I3471" i="2" s="1"/>
  <c r="I3472" i="2" a="1"/>
  <c r="I3472" i="2" s="1"/>
  <c r="I3473" i="2" a="1"/>
  <c r="I3473" i="2" s="1"/>
  <c r="I3474" i="2" a="1"/>
  <c r="I3474" i="2" s="1"/>
  <c r="I3475" i="2" a="1"/>
  <c r="I3475" i="2" s="1"/>
  <c r="I3476" i="2" a="1"/>
  <c r="I3476" i="2" s="1"/>
  <c r="I3477" i="2" a="1"/>
  <c r="I3477" i="2" s="1"/>
  <c r="I3478" i="2" a="1"/>
  <c r="I3478" i="2" s="1"/>
  <c r="I3479" i="2" a="1"/>
  <c r="I3479" i="2" s="1"/>
  <c r="I3480" i="2" a="1"/>
  <c r="I3480" i="2" s="1"/>
  <c r="I3481" i="2" a="1"/>
  <c r="I3481" i="2" s="1"/>
  <c r="I3482" i="2" a="1"/>
  <c r="I3482" i="2" s="1"/>
  <c r="I3483" i="2" a="1"/>
  <c r="I3483" i="2" s="1"/>
  <c r="I3484" i="2" a="1"/>
  <c r="I3484" i="2" s="1"/>
  <c r="I3485" i="2" a="1"/>
  <c r="I3485" i="2" s="1"/>
  <c r="I3486" i="2" a="1"/>
  <c r="I3486" i="2" s="1"/>
  <c r="I3487" i="2" a="1"/>
  <c r="I3487" i="2" s="1"/>
  <c r="I3488" i="2" a="1"/>
  <c r="I3488" i="2" s="1"/>
  <c r="I3489" i="2" a="1"/>
  <c r="I3489" i="2" s="1"/>
  <c r="I3490" i="2" a="1"/>
  <c r="I3490" i="2" s="1"/>
  <c r="I3491" i="2" a="1"/>
  <c r="I3491" i="2" s="1"/>
  <c r="I3492" i="2" a="1"/>
  <c r="I3492" i="2" s="1"/>
  <c r="I3493" i="2" a="1"/>
  <c r="I3493" i="2" s="1"/>
  <c r="I3494" i="2" a="1"/>
  <c r="I3494" i="2" s="1"/>
  <c r="I3495" i="2" a="1"/>
  <c r="I3495" i="2" s="1"/>
  <c r="I3496" i="2" a="1"/>
  <c r="I3496" i="2" s="1"/>
  <c r="I3497" i="2" a="1"/>
  <c r="I3497" i="2" s="1"/>
  <c r="I3498" i="2" a="1"/>
  <c r="I3498" i="2" s="1"/>
  <c r="I3499" i="2" a="1"/>
  <c r="I3499" i="2" s="1"/>
  <c r="I3500" i="2" a="1"/>
  <c r="I3500" i="2" s="1"/>
  <c r="I3501" i="2" a="1"/>
  <c r="I3501" i="2" s="1"/>
  <c r="I3502" i="2" a="1"/>
  <c r="I3502" i="2" s="1"/>
  <c r="I3503" i="2" a="1"/>
  <c r="I3503" i="2" s="1"/>
  <c r="I3504" i="2" a="1"/>
  <c r="I3504" i="2" s="1"/>
  <c r="I3505" i="2" a="1"/>
  <c r="I3505" i="2" s="1"/>
  <c r="I3506" i="2" a="1"/>
  <c r="I3506" i="2" s="1"/>
  <c r="I3507" i="2" a="1"/>
  <c r="I3507" i="2" s="1"/>
  <c r="I3508" i="2" a="1"/>
  <c r="I3508" i="2" s="1"/>
  <c r="I3509" i="2" a="1"/>
  <c r="I3509" i="2" s="1"/>
  <c r="I3510" i="2" a="1"/>
  <c r="I3510" i="2" s="1"/>
  <c r="I3511" i="2" a="1"/>
  <c r="I3511" i="2" s="1"/>
  <c r="I3512" i="2" a="1"/>
  <c r="I3512" i="2" s="1"/>
  <c r="I3513" i="2" a="1"/>
  <c r="I3513" i="2" s="1"/>
  <c r="I3514" i="2" a="1"/>
  <c r="I3514" i="2" s="1"/>
  <c r="I3515" i="2" a="1"/>
  <c r="I3515" i="2" s="1"/>
  <c r="I3516" i="2" a="1"/>
  <c r="I3516" i="2" s="1"/>
  <c r="I3517" i="2" a="1"/>
  <c r="I3517" i="2" s="1"/>
  <c r="I3518" i="2" a="1"/>
  <c r="I3518" i="2" s="1"/>
  <c r="I3519" i="2" a="1"/>
  <c r="I3519" i="2" s="1"/>
  <c r="I3520" i="2" a="1"/>
  <c r="I3520" i="2" s="1"/>
  <c r="I3521" i="2" a="1"/>
  <c r="I3521" i="2" s="1"/>
  <c r="I3522" i="2" a="1"/>
  <c r="I3522" i="2" s="1"/>
  <c r="I3523" i="2" a="1"/>
  <c r="I3523" i="2" s="1"/>
  <c r="I3524" i="2" a="1"/>
  <c r="I3524" i="2" s="1"/>
  <c r="I3525" i="2" a="1"/>
  <c r="I3525" i="2" s="1"/>
  <c r="I3526" i="2" a="1"/>
  <c r="I3526" i="2" s="1"/>
  <c r="I3527" i="2" a="1"/>
  <c r="I3527" i="2" s="1"/>
  <c r="I3528" i="2" a="1"/>
  <c r="I3528" i="2" s="1"/>
  <c r="I3529" i="2" a="1"/>
  <c r="I3529" i="2" s="1"/>
  <c r="I3530" i="2" a="1"/>
  <c r="I3530" i="2" s="1"/>
  <c r="I3531" i="2" a="1"/>
  <c r="I3531" i="2" s="1"/>
  <c r="I3532" i="2" a="1"/>
  <c r="I3532" i="2" s="1"/>
  <c r="I3533" i="2" a="1"/>
  <c r="I3533" i="2" s="1"/>
  <c r="I3534" i="2" a="1"/>
  <c r="I3534" i="2" s="1"/>
  <c r="I3535" i="2" a="1"/>
  <c r="I3535" i="2" s="1"/>
  <c r="I3536" i="2" a="1"/>
  <c r="I3536" i="2" s="1"/>
  <c r="I3537" i="2" a="1"/>
  <c r="I3537" i="2" s="1"/>
  <c r="I3538" i="2" a="1"/>
  <c r="I3538" i="2" s="1"/>
  <c r="I3539" i="2" a="1"/>
  <c r="I3539" i="2" s="1"/>
  <c r="I3540" i="2" a="1"/>
  <c r="I3540" i="2" s="1"/>
  <c r="I3541" i="2" a="1"/>
  <c r="I3541" i="2" s="1"/>
  <c r="I3542" i="2" a="1"/>
  <c r="I3542" i="2" s="1"/>
  <c r="I3543" i="2" a="1"/>
  <c r="I3543" i="2" s="1"/>
  <c r="I3544" i="2" a="1"/>
  <c r="I3544" i="2" s="1"/>
  <c r="I3545" i="2" a="1"/>
  <c r="I3545" i="2" s="1"/>
  <c r="I3546" i="2" a="1"/>
  <c r="I3546" i="2" s="1"/>
  <c r="I3547" i="2" a="1"/>
  <c r="I3547" i="2" s="1"/>
  <c r="I3548" i="2" a="1"/>
  <c r="I3548" i="2" s="1"/>
  <c r="I3549" i="2" a="1"/>
  <c r="I3549" i="2" s="1"/>
  <c r="I3550" i="2" a="1"/>
  <c r="I3550" i="2" s="1"/>
  <c r="I3551" i="2" a="1"/>
  <c r="I3551" i="2" s="1"/>
  <c r="I3552" i="2" a="1"/>
  <c r="I3552" i="2" s="1"/>
  <c r="I3553" i="2" a="1"/>
  <c r="I3553" i="2" s="1"/>
  <c r="I3554" i="2" a="1"/>
  <c r="I3554" i="2" s="1"/>
  <c r="I3555" i="2" a="1"/>
  <c r="I3555" i="2" s="1"/>
  <c r="I3556" i="2" a="1"/>
  <c r="I3556" i="2" s="1"/>
  <c r="I3557" i="2" a="1"/>
  <c r="I3557" i="2" s="1"/>
  <c r="I3558" i="2" a="1"/>
  <c r="I3558" i="2" s="1"/>
  <c r="I3559" i="2" a="1"/>
  <c r="I3559" i="2" s="1"/>
  <c r="I3560" i="2" a="1"/>
  <c r="I3560" i="2" s="1"/>
  <c r="I3561" i="2" a="1"/>
  <c r="I3561" i="2" s="1"/>
  <c r="I3562" i="2" a="1"/>
  <c r="I3562" i="2" s="1"/>
  <c r="I3563" i="2" a="1"/>
  <c r="I3563" i="2" s="1"/>
  <c r="I3564" i="2" a="1"/>
  <c r="I3564" i="2" s="1"/>
  <c r="I3565" i="2" a="1"/>
  <c r="I3565" i="2" s="1"/>
  <c r="I3566" i="2" a="1"/>
  <c r="I3566" i="2" s="1"/>
  <c r="I3567" i="2" a="1"/>
  <c r="I3567" i="2" s="1"/>
  <c r="I3568" i="2" a="1"/>
  <c r="I3568" i="2" s="1"/>
  <c r="I3569" i="2" a="1"/>
  <c r="I3569" i="2" s="1"/>
  <c r="I3570" i="2" a="1"/>
  <c r="I3570" i="2" s="1"/>
  <c r="I3571" i="2" a="1"/>
  <c r="I3571" i="2" s="1"/>
  <c r="I3572" i="2" a="1"/>
  <c r="I3572" i="2" s="1"/>
  <c r="I3573" i="2" a="1"/>
  <c r="I3573" i="2" s="1"/>
  <c r="I3574" i="2" a="1"/>
  <c r="I3574" i="2" s="1"/>
  <c r="I3575" i="2" a="1"/>
  <c r="I3575" i="2" s="1"/>
  <c r="I3576" i="2" a="1"/>
  <c r="I3576" i="2" s="1"/>
  <c r="I3577" i="2" a="1"/>
  <c r="I3577" i="2" s="1"/>
  <c r="I3578" i="2" a="1"/>
  <c r="I3578" i="2" s="1"/>
  <c r="I3579" i="2" a="1"/>
  <c r="I3579" i="2" s="1"/>
  <c r="I3580" i="2" a="1"/>
  <c r="I3580" i="2" s="1"/>
  <c r="I3581" i="2" a="1"/>
  <c r="I3581" i="2" s="1"/>
  <c r="I3582" i="2" a="1"/>
  <c r="I3582" i="2" s="1"/>
  <c r="I3583" i="2" a="1"/>
  <c r="I3583" i="2" s="1"/>
  <c r="I3584" i="2" a="1"/>
  <c r="I3584" i="2" s="1"/>
  <c r="I3585" i="2" a="1"/>
  <c r="I3585" i="2" s="1"/>
  <c r="I3586" i="2" a="1"/>
  <c r="I3586" i="2" s="1"/>
  <c r="I3587" i="2" a="1"/>
  <c r="I3587" i="2" s="1"/>
  <c r="I3588" i="2" a="1"/>
  <c r="I3588" i="2" s="1"/>
  <c r="I3589" i="2" a="1"/>
  <c r="I3589" i="2" s="1"/>
  <c r="I3590" i="2" a="1"/>
  <c r="I3590" i="2" s="1"/>
  <c r="I3591" i="2" a="1"/>
  <c r="I3591" i="2" s="1"/>
  <c r="I3592" i="2" a="1"/>
  <c r="I3592" i="2" s="1"/>
  <c r="I3593" i="2" a="1"/>
  <c r="I3593" i="2" s="1"/>
  <c r="I3594" i="2" a="1"/>
  <c r="I3594" i="2" s="1"/>
  <c r="I3595" i="2" a="1"/>
  <c r="I3595" i="2" s="1"/>
  <c r="I3596" i="2" a="1"/>
  <c r="I3596" i="2" s="1"/>
  <c r="I3597" i="2" a="1"/>
  <c r="I3597" i="2" s="1"/>
  <c r="I3598" i="2" a="1"/>
  <c r="I3598" i="2" s="1"/>
  <c r="I3599" i="2" a="1"/>
  <c r="I3599" i="2" s="1"/>
  <c r="I3600" i="2" a="1"/>
  <c r="I3600" i="2" s="1"/>
  <c r="I3601" i="2" a="1"/>
  <c r="I3601" i="2" s="1"/>
  <c r="I3602" i="2" a="1"/>
  <c r="I3602" i="2" s="1"/>
  <c r="I3603" i="2" a="1"/>
  <c r="I3603" i="2" s="1"/>
  <c r="I3604" i="2" a="1"/>
  <c r="I3604" i="2" s="1"/>
  <c r="I3605" i="2" a="1"/>
  <c r="I3605" i="2" s="1"/>
  <c r="I3606" i="2" a="1"/>
  <c r="I3606" i="2" s="1"/>
  <c r="I3607" i="2" a="1"/>
  <c r="I3607" i="2" s="1"/>
  <c r="I3608" i="2" a="1"/>
  <c r="I3608" i="2" s="1"/>
  <c r="I3609" i="2" a="1"/>
  <c r="I3609" i="2" s="1"/>
  <c r="I3610" i="2" a="1"/>
  <c r="I3610" i="2" s="1"/>
  <c r="I3611" i="2" a="1"/>
  <c r="I3611" i="2" s="1"/>
  <c r="I3612" i="2" a="1"/>
  <c r="I3612" i="2" s="1"/>
  <c r="I3613" i="2" a="1"/>
  <c r="I3613" i="2" s="1"/>
  <c r="I3614" i="2" a="1"/>
  <c r="I3614" i="2" s="1"/>
  <c r="I3615" i="2" a="1"/>
  <c r="I3615" i="2" s="1"/>
  <c r="I3616" i="2" a="1"/>
  <c r="I3616" i="2" s="1"/>
  <c r="I3617" i="2" a="1"/>
  <c r="I3617" i="2" s="1"/>
  <c r="I3618" i="2" a="1"/>
  <c r="I3618" i="2" s="1"/>
  <c r="I3619" i="2" a="1"/>
  <c r="I3619" i="2" s="1"/>
  <c r="I3620" i="2" a="1"/>
  <c r="I3620" i="2" s="1"/>
  <c r="I3621" i="2" a="1"/>
  <c r="I3621" i="2" s="1"/>
  <c r="I3622" i="2" a="1"/>
  <c r="I3622" i="2" s="1"/>
  <c r="I3623" i="2" a="1"/>
  <c r="I3623" i="2" s="1"/>
  <c r="I3624" i="2" a="1"/>
  <c r="I3624" i="2" s="1"/>
  <c r="I3625" i="2" a="1"/>
  <c r="I3625" i="2" s="1"/>
  <c r="I3626" i="2" a="1"/>
  <c r="I3626" i="2" s="1"/>
  <c r="I3627" i="2" a="1"/>
  <c r="I3627" i="2" s="1"/>
  <c r="I3628" i="2" a="1"/>
  <c r="I3628" i="2" s="1"/>
  <c r="I3629" i="2" a="1"/>
  <c r="I3629" i="2" s="1"/>
  <c r="I3630" i="2" a="1"/>
  <c r="I3630" i="2" s="1"/>
  <c r="I3631" i="2" a="1"/>
  <c r="I3631" i="2" s="1"/>
  <c r="I3632" i="2" a="1"/>
  <c r="I3632" i="2" s="1"/>
  <c r="I3633" i="2" a="1"/>
  <c r="I3633" i="2" s="1"/>
  <c r="I3634" i="2" a="1"/>
  <c r="I3634" i="2" s="1"/>
  <c r="I3635" i="2" a="1"/>
  <c r="I3635" i="2" s="1"/>
  <c r="I3636" i="2" a="1"/>
  <c r="I3636" i="2" s="1"/>
  <c r="I3637" i="2" a="1"/>
  <c r="I3637" i="2" s="1"/>
  <c r="I3638" i="2" a="1"/>
  <c r="I3638" i="2" s="1"/>
  <c r="I3639" i="2" a="1"/>
  <c r="I3639" i="2" s="1"/>
  <c r="I3640" i="2" a="1"/>
  <c r="I3640" i="2" s="1"/>
  <c r="I3641" i="2" a="1"/>
  <c r="I3641" i="2" s="1"/>
  <c r="I3642" i="2" a="1"/>
  <c r="I3642" i="2" s="1"/>
  <c r="I3643" i="2" a="1"/>
  <c r="I3643" i="2" s="1"/>
  <c r="I3644" i="2" a="1"/>
  <c r="I3644" i="2" s="1"/>
  <c r="I3645" i="2" a="1"/>
  <c r="I3645" i="2" s="1"/>
  <c r="I3646" i="2" a="1"/>
  <c r="I3646" i="2" s="1"/>
  <c r="I3647" i="2" a="1"/>
  <c r="I3647" i="2" s="1"/>
  <c r="I3648" i="2" a="1"/>
  <c r="I3648" i="2" s="1"/>
  <c r="I3649" i="2" a="1"/>
  <c r="I3649" i="2" s="1"/>
  <c r="I3650" i="2" a="1"/>
  <c r="I3650" i="2" s="1"/>
  <c r="I3651" i="2" a="1"/>
  <c r="I3651" i="2" s="1"/>
  <c r="I3652" i="2" a="1"/>
  <c r="I3652" i="2" s="1"/>
  <c r="I3653" i="2" a="1"/>
  <c r="I3653" i="2" s="1"/>
  <c r="I3654" i="2" a="1"/>
  <c r="I3654" i="2" s="1"/>
  <c r="I3655" i="2" a="1"/>
  <c r="I3655" i="2" s="1"/>
  <c r="I3656" i="2" a="1"/>
  <c r="I3656" i="2" s="1"/>
  <c r="I3657" i="2" a="1"/>
  <c r="I3657" i="2" s="1"/>
  <c r="I3658" i="2" a="1"/>
  <c r="I3658" i="2" s="1"/>
  <c r="I3659" i="2" a="1"/>
  <c r="I3659" i="2" s="1"/>
  <c r="I3660" i="2" a="1"/>
  <c r="I3660" i="2" s="1"/>
  <c r="I3661" i="2" a="1"/>
  <c r="I3661" i="2" s="1"/>
  <c r="I3662" i="2" a="1"/>
  <c r="I3662" i="2" s="1"/>
  <c r="I3663" i="2" a="1"/>
  <c r="I3663" i="2" s="1"/>
  <c r="I3664" i="2" a="1"/>
  <c r="I3664" i="2" s="1"/>
  <c r="I3665" i="2" a="1"/>
  <c r="I3665" i="2" s="1"/>
  <c r="I3666" i="2" a="1"/>
  <c r="I3666" i="2" s="1"/>
  <c r="I3667" i="2" a="1"/>
  <c r="I3667" i="2" s="1"/>
  <c r="I3668" i="2" a="1"/>
  <c r="I3668" i="2" s="1"/>
  <c r="I3669" i="2" a="1"/>
  <c r="I3669" i="2" s="1"/>
  <c r="I3670" i="2" a="1"/>
  <c r="I3670" i="2" s="1"/>
  <c r="I3671" i="2" a="1"/>
  <c r="I3671" i="2" s="1"/>
  <c r="I3672" i="2" a="1"/>
  <c r="I3672" i="2" s="1"/>
  <c r="I3673" i="2" a="1"/>
  <c r="I3673" i="2" s="1"/>
  <c r="I3674" i="2" a="1"/>
  <c r="I3674" i="2" s="1"/>
  <c r="I3675" i="2" a="1"/>
  <c r="I3675" i="2" s="1"/>
  <c r="I3676" i="2" a="1"/>
  <c r="I3676" i="2" s="1"/>
  <c r="I3677" i="2" a="1"/>
  <c r="I3677" i="2" s="1"/>
  <c r="I3678" i="2" a="1"/>
  <c r="I3678" i="2" s="1"/>
  <c r="I3679" i="2" a="1"/>
  <c r="I3679" i="2" s="1"/>
  <c r="I3680" i="2" a="1"/>
  <c r="I3680" i="2" s="1"/>
  <c r="I3681" i="2" a="1"/>
  <c r="I3681" i="2" s="1"/>
  <c r="I3682" i="2" a="1"/>
  <c r="I3682" i="2" s="1"/>
  <c r="I3683" i="2" a="1"/>
  <c r="I3683" i="2" s="1"/>
  <c r="I3684" i="2" a="1"/>
  <c r="I3684" i="2" s="1"/>
  <c r="I3685" i="2" a="1"/>
  <c r="I3685" i="2" s="1"/>
  <c r="I3686" i="2" a="1"/>
  <c r="I3686" i="2" s="1"/>
  <c r="I3687" i="2" a="1"/>
  <c r="I3687" i="2" s="1"/>
  <c r="I3688" i="2" a="1"/>
  <c r="I3688" i="2" s="1"/>
  <c r="I3689" i="2" a="1"/>
  <c r="I3689" i="2" s="1"/>
  <c r="I3690" i="2" a="1"/>
  <c r="I3690" i="2" s="1"/>
  <c r="I3691" i="2" a="1"/>
  <c r="I3691" i="2" s="1"/>
  <c r="I3692" i="2" a="1"/>
  <c r="I3692" i="2" s="1"/>
  <c r="I3693" i="2" a="1"/>
  <c r="I3693" i="2" s="1"/>
  <c r="I3694" i="2" a="1"/>
  <c r="I3694" i="2" s="1"/>
  <c r="I3695" i="2" a="1"/>
  <c r="I3695" i="2" s="1"/>
  <c r="I3696" i="2" a="1"/>
  <c r="I3696" i="2" s="1"/>
  <c r="I3697" i="2" a="1"/>
  <c r="I3697" i="2" s="1"/>
  <c r="I3698" i="2" a="1"/>
  <c r="I3698" i="2" s="1"/>
  <c r="I3699" i="2" a="1"/>
  <c r="I3699" i="2" s="1"/>
  <c r="I3700" i="2" a="1"/>
  <c r="I3700" i="2" s="1"/>
  <c r="I3701" i="2" a="1"/>
  <c r="I3701" i="2" s="1"/>
  <c r="I3702" i="2" a="1"/>
  <c r="I3702" i="2" s="1"/>
  <c r="I3703" i="2" a="1"/>
  <c r="I3703" i="2" s="1"/>
  <c r="I3704" i="2" a="1"/>
  <c r="I3704" i="2" s="1"/>
  <c r="I3705" i="2" a="1"/>
  <c r="I3705" i="2" s="1"/>
  <c r="I3706" i="2" a="1"/>
  <c r="I3706" i="2" s="1"/>
  <c r="I3707" i="2" a="1"/>
  <c r="I3707" i="2" s="1"/>
  <c r="I3708" i="2" a="1"/>
  <c r="I3708" i="2" s="1"/>
  <c r="I3709" i="2" a="1"/>
  <c r="I3709" i="2" s="1"/>
  <c r="I3710" i="2" a="1"/>
  <c r="I3710" i="2" s="1"/>
  <c r="I3711" i="2" a="1"/>
  <c r="I3711" i="2" s="1"/>
  <c r="I3712" i="2" a="1"/>
  <c r="I3712" i="2" s="1"/>
  <c r="I3713" i="2" a="1"/>
  <c r="I3713" i="2" s="1"/>
  <c r="I3714" i="2" a="1"/>
  <c r="I3714" i="2" s="1"/>
  <c r="I3715" i="2" a="1"/>
  <c r="I3715" i="2" s="1"/>
  <c r="I3716" i="2" a="1"/>
  <c r="I3716" i="2" s="1"/>
  <c r="I3717" i="2" a="1"/>
  <c r="I3717" i="2" s="1"/>
  <c r="I3718" i="2" a="1"/>
  <c r="I3718" i="2" s="1"/>
  <c r="I3719" i="2" a="1"/>
  <c r="I3719" i="2" s="1"/>
  <c r="I3720" i="2" a="1"/>
  <c r="I3720" i="2" s="1"/>
  <c r="I3721" i="2" a="1"/>
  <c r="I3721" i="2" s="1"/>
  <c r="I3722" i="2" a="1"/>
  <c r="I3722" i="2" s="1"/>
  <c r="I3723" i="2" a="1"/>
  <c r="I3723" i="2" s="1"/>
  <c r="I3724" i="2" a="1"/>
  <c r="I3724" i="2" s="1"/>
  <c r="I3725" i="2" a="1"/>
  <c r="I3725" i="2" s="1"/>
  <c r="I3726" i="2" a="1"/>
  <c r="I3726" i="2" s="1"/>
  <c r="I3727" i="2" a="1"/>
  <c r="I3727" i="2" s="1"/>
  <c r="I3728" i="2" a="1"/>
  <c r="I3728" i="2" s="1"/>
  <c r="I3729" i="2" a="1"/>
  <c r="I3729" i="2" s="1"/>
  <c r="I3730" i="2" a="1"/>
  <c r="I3730" i="2" s="1"/>
  <c r="I3731" i="2" a="1"/>
  <c r="I3731" i="2" s="1"/>
  <c r="I3732" i="2" a="1"/>
  <c r="I3732" i="2" s="1"/>
  <c r="I3733" i="2" a="1"/>
  <c r="I3733" i="2" s="1"/>
  <c r="I3734" i="2" a="1"/>
  <c r="I3734" i="2" s="1"/>
  <c r="I3735" i="2" a="1"/>
  <c r="I3735" i="2" s="1"/>
  <c r="I3736" i="2" a="1"/>
  <c r="I3736" i="2" s="1"/>
  <c r="I3737" i="2" a="1"/>
  <c r="I3737" i="2" s="1"/>
  <c r="I3738" i="2" a="1"/>
  <c r="I3738" i="2" s="1"/>
  <c r="I3739" i="2" a="1"/>
  <c r="I3739" i="2" s="1"/>
  <c r="I3740" i="2" a="1"/>
  <c r="I3740" i="2" s="1"/>
  <c r="I3741" i="2" a="1"/>
  <c r="I3741" i="2" s="1"/>
  <c r="I3742" i="2" a="1"/>
  <c r="I3742" i="2" s="1"/>
  <c r="I3743" i="2" a="1"/>
  <c r="I3743" i="2" s="1"/>
  <c r="I3744" i="2" a="1"/>
  <c r="I3744" i="2" s="1"/>
  <c r="I3745" i="2" a="1"/>
  <c r="I3745" i="2" s="1"/>
  <c r="I3746" i="2" a="1"/>
  <c r="I3746" i="2" s="1"/>
  <c r="I3747" i="2" a="1"/>
  <c r="I3747" i="2" s="1"/>
  <c r="I3748" i="2" a="1"/>
  <c r="I3748" i="2" s="1"/>
  <c r="I3749" i="2" a="1"/>
  <c r="I3749" i="2" s="1"/>
  <c r="I3750" i="2" a="1"/>
  <c r="I3750" i="2" s="1"/>
  <c r="I3751" i="2" a="1"/>
  <c r="I3751" i="2" s="1"/>
  <c r="I3752" i="2" a="1"/>
  <c r="I3752" i="2" s="1"/>
  <c r="I3753" i="2" a="1"/>
  <c r="I3753" i="2" s="1"/>
  <c r="I3754" i="2" a="1"/>
  <c r="I3754" i="2" s="1"/>
  <c r="I3755" i="2" a="1"/>
  <c r="I3755" i="2" s="1"/>
  <c r="I3756" i="2" a="1"/>
  <c r="I3756" i="2" s="1"/>
  <c r="I3757" i="2" a="1"/>
  <c r="I3757" i="2" s="1"/>
  <c r="I3758" i="2" a="1"/>
  <c r="I3758" i="2" s="1"/>
  <c r="I3759" i="2" a="1"/>
  <c r="I3759" i="2" s="1"/>
  <c r="I3760" i="2" a="1"/>
  <c r="I3760" i="2" s="1"/>
  <c r="I3761" i="2" a="1"/>
  <c r="I3761" i="2" s="1"/>
  <c r="I3762" i="2" a="1"/>
  <c r="I3762" i="2" s="1"/>
  <c r="I3763" i="2" a="1"/>
  <c r="I3763" i="2" s="1"/>
  <c r="I3764" i="2" a="1"/>
  <c r="I3764" i="2" s="1"/>
  <c r="I3765" i="2" a="1"/>
  <c r="I3765" i="2" s="1"/>
  <c r="I3766" i="2" a="1"/>
  <c r="I3766" i="2" s="1"/>
  <c r="I3767" i="2" a="1"/>
  <c r="I3767" i="2" s="1"/>
  <c r="I3768" i="2" a="1"/>
  <c r="I3768" i="2" s="1"/>
  <c r="I3769" i="2" a="1"/>
  <c r="I3769" i="2" s="1"/>
  <c r="I3770" i="2" a="1"/>
  <c r="I3770" i="2" s="1"/>
  <c r="I3771" i="2" a="1"/>
  <c r="I3771" i="2" s="1"/>
  <c r="I3772" i="2" a="1"/>
  <c r="I3772" i="2" s="1"/>
  <c r="I3773" i="2" a="1"/>
  <c r="I3773" i="2" s="1"/>
  <c r="I3774" i="2" a="1"/>
  <c r="I3774" i="2" s="1"/>
  <c r="I3775" i="2" a="1"/>
  <c r="I3775" i="2" s="1"/>
  <c r="I3776" i="2" a="1"/>
  <c r="I3776" i="2" s="1"/>
  <c r="I3777" i="2" a="1"/>
  <c r="I3777" i="2" s="1"/>
  <c r="I3778" i="2" a="1"/>
  <c r="I3778" i="2" s="1"/>
  <c r="I3779" i="2" a="1"/>
  <c r="I3779" i="2" s="1"/>
  <c r="I3780" i="2" a="1"/>
  <c r="I3780" i="2" s="1"/>
  <c r="I3781" i="2" a="1"/>
  <c r="I3781" i="2" s="1"/>
  <c r="I3782" i="2" a="1"/>
  <c r="I3782" i="2" s="1"/>
  <c r="I3783" i="2" a="1"/>
  <c r="I3783" i="2" s="1"/>
  <c r="I3784" i="2" a="1"/>
  <c r="I3784" i="2" s="1"/>
  <c r="I3785" i="2" a="1"/>
  <c r="I3785" i="2" s="1"/>
  <c r="I3786" i="2" a="1"/>
  <c r="I3786" i="2" s="1"/>
  <c r="I3787" i="2" a="1"/>
  <c r="I3787" i="2" s="1"/>
  <c r="I3788" i="2" a="1"/>
  <c r="I3788" i="2" s="1"/>
  <c r="I3789" i="2" a="1"/>
  <c r="I3789" i="2" s="1"/>
  <c r="I3790" i="2" a="1"/>
  <c r="I3790" i="2" s="1"/>
  <c r="I3791" i="2" a="1"/>
  <c r="I3791" i="2" s="1"/>
  <c r="I3792" i="2" a="1"/>
  <c r="I3792" i="2" s="1"/>
  <c r="I3793" i="2" a="1"/>
  <c r="I3793" i="2" s="1"/>
  <c r="I3794" i="2" a="1"/>
  <c r="I3794" i="2" s="1"/>
  <c r="I3795" i="2" a="1"/>
  <c r="I3795" i="2" s="1"/>
  <c r="I3796" i="2" a="1"/>
  <c r="I3796" i="2" s="1"/>
  <c r="I3797" i="2" a="1"/>
  <c r="I3797" i="2" s="1"/>
  <c r="I3798" i="2" a="1"/>
  <c r="I3798" i="2" s="1"/>
  <c r="I3799" i="2" a="1"/>
  <c r="I3799" i="2" s="1"/>
  <c r="I3800" i="2" a="1"/>
  <c r="I3800" i="2" s="1"/>
  <c r="I3801" i="2" a="1"/>
  <c r="I3801" i="2" s="1"/>
  <c r="I3802" i="2" a="1"/>
  <c r="I3802" i="2" s="1"/>
  <c r="I3803" i="2" a="1"/>
  <c r="I3803" i="2" s="1"/>
  <c r="I3804" i="2" a="1"/>
  <c r="I3804" i="2" s="1"/>
  <c r="I3805" i="2" a="1"/>
  <c r="I3805" i="2" s="1"/>
  <c r="I3806" i="2" a="1"/>
  <c r="I3806" i="2" s="1"/>
  <c r="I3807" i="2" a="1"/>
  <c r="I3807" i="2" s="1"/>
  <c r="I3808" i="2" a="1"/>
  <c r="I3808" i="2" s="1"/>
  <c r="I3809" i="2" a="1"/>
  <c r="I3809" i="2" s="1"/>
  <c r="I3810" i="2" a="1"/>
  <c r="I3810" i="2" s="1"/>
  <c r="I3811" i="2" a="1"/>
  <c r="I3811" i="2" s="1"/>
  <c r="I3812" i="2" a="1"/>
  <c r="I3812" i="2" s="1"/>
  <c r="I3813" i="2" a="1"/>
  <c r="I3813" i="2" s="1"/>
  <c r="I3814" i="2" a="1"/>
  <c r="I3814" i="2" s="1"/>
  <c r="I3815" i="2" a="1"/>
  <c r="I3815" i="2" s="1"/>
  <c r="I3816" i="2" a="1"/>
  <c r="I3816" i="2" s="1"/>
  <c r="I3817" i="2" a="1"/>
  <c r="I3817" i="2" s="1"/>
  <c r="I3818" i="2" a="1"/>
  <c r="I3818" i="2" s="1"/>
  <c r="I3819" i="2" a="1"/>
  <c r="I3819" i="2" s="1"/>
  <c r="I3820" i="2" a="1"/>
  <c r="I3820" i="2" s="1"/>
  <c r="I3821" i="2" a="1"/>
  <c r="I3821" i="2" s="1"/>
  <c r="I3822" i="2" a="1"/>
  <c r="I3822" i="2" s="1"/>
  <c r="I3823" i="2" a="1"/>
  <c r="I3823" i="2" s="1"/>
  <c r="I3824" i="2" a="1"/>
  <c r="I3824" i="2" s="1"/>
  <c r="I3825" i="2" a="1"/>
  <c r="I3825" i="2" s="1"/>
  <c r="I3826" i="2" a="1"/>
  <c r="I3826" i="2" s="1"/>
  <c r="I3827" i="2" a="1"/>
  <c r="I3827" i="2" s="1"/>
  <c r="I3828" i="2" a="1"/>
  <c r="I3828" i="2" s="1"/>
  <c r="I3829" i="2" a="1"/>
  <c r="I3829" i="2" s="1"/>
  <c r="I3830" i="2" a="1"/>
  <c r="I3830" i="2" s="1"/>
  <c r="I3831" i="2" a="1"/>
  <c r="I3831" i="2" s="1"/>
  <c r="I3832" i="2" a="1"/>
  <c r="I3832" i="2" s="1"/>
  <c r="I3833" i="2" a="1"/>
  <c r="I3833" i="2" s="1"/>
  <c r="I3834" i="2" a="1"/>
  <c r="I3834" i="2" s="1"/>
  <c r="I3835" i="2" a="1"/>
  <c r="I3835" i="2" s="1"/>
  <c r="I3836" i="2" a="1"/>
  <c r="I3836" i="2" s="1"/>
  <c r="I3837" i="2" a="1"/>
  <c r="I3837" i="2" s="1"/>
  <c r="I3838" i="2" a="1"/>
  <c r="I3838" i="2" s="1"/>
  <c r="I3839" i="2" a="1"/>
  <c r="I3839" i="2" s="1"/>
  <c r="I3840" i="2" a="1"/>
  <c r="I3840" i="2" s="1"/>
  <c r="I3841" i="2" a="1"/>
  <c r="I3841" i="2" s="1"/>
  <c r="I3842" i="2" a="1"/>
  <c r="I3842" i="2" s="1"/>
  <c r="I3843" i="2" a="1"/>
  <c r="I3843" i="2" s="1"/>
  <c r="I3844" i="2" a="1"/>
  <c r="I3844" i="2" s="1"/>
  <c r="I3845" i="2" a="1"/>
  <c r="I3845" i="2" s="1"/>
  <c r="I3846" i="2" a="1"/>
  <c r="I3846" i="2" s="1"/>
  <c r="I3847" i="2" a="1"/>
  <c r="I3847" i="2" s="1"/>
  <c r="I3848" i="2" a="1"/>
  <c r="I3848" i="2" s="1"/>
  <c r="I3849" i="2" a="1"/>
  <c r="I3849" i="2" s="1"/>
  <c r="I3850" i="2" a="1"/>
  <c r="I3850" i="2" s="1"/>
  <c r="I3851" i="2" a="1"/>
  <c r="I3851" i="2" s="1"/>
  <c r="I3852" i="2" a="1"/>
  <c r="I3852" i="2" s="1"/>
  <c r="I3853" i="2" a="1"/>
  <c r="I3853" i="2" s="1"/>
  <c r="I3854" i="2" a="1"/>
  <c r="I3854" i="2" s="1"/>
  <c r="I3855" i="2" a="1"/>
  <c r="I3855" i="2" s="1"/>
  <c r="I3856" i="2" a="1"/>
  <c r="I3856" i="2" s="1"/>
  <c r="I3857" i="2" a="1"/>
  <c r="I3857" i="2" s="1"/>
  <c r="I3858" i="2" a="1"/>
  <c r="I3858" i="2" s="1"/>
  <c r="I3859" i="2" a="1"/>
  <c r="I3859" i="2" s="1"/>
  <c r="I3860" i="2" a="1"/>
  <c r="I3860" i="2" s="1"/>
  <c r="I3861" i="2" a="1"/>
  <c r="I3861" i="2" s="1"/>
  <c r="I3862" i="2" a="1"/>
  <c r="I3862" i="2" s="1"/>
  <c r="I3863" i="2" a="1"/>
  <c r="I3863" i="2" s="1"/>
  <c r="I3864" i="2" a="1"/>
  <c r="I3864" i="2" s="1"/>
  <c r="I3865" i="2" a="1"/>
  <c r="I3865" i="2" s="1"/>
  <c r="I3866" i="2" a="1"/>
  <c r="I3866" i="2" s="1"/>
  <c r="I3867" i="2" a="1"/>
  <c r="I3867" i="2" s="1"/>
  <c r="I3868" i="2" a="1"/>
  <c r="I3868" i="2" s="1"/>
  <c r="I3869" i="2" a="1"/>
  <c r="I3869" i="2" s="1"/>
  <c r="I3870" i="2" a="1"/>
  <c r="I3870" i="2" s="1"/>
  <c r="I3871" i="2" a="1"/>
  <c r="I3871" i="2" s="1"/>
  <c r="I3872" i="2" a="1"/>
  <c r="I3872" i="2" s="1"/>
  <c r="I3873" i="2" a="1"/>
  <c r="I3873" i="2" s="1"/>
  <c r="I3874" i="2" a="1"/>
  <c r="I3874" i="2" s="1"/>
  <c r="I3875" i="2" a="1"/>
  <c r="I3875" i="2" s="1"/>
  <c r="I3876" i="2" a="1"/>
  <c r="I3876" i="2" s="1"/>
  <c r="I3877" i="2" a="1"/>
  <c r="I3877" i="2" s="1"/>
  <c r="I3878" i="2" a="1"/>
  <c r="I3878" i="2" s="1"/>
  <c r="I3879" i="2" a="1"/>
  <c r="I3879" i="2" s="1"/>
  <c r="I3880" i="2" a="1"/>
  <c r="I3880" i="2" s="1"/>
  <c r="I3881" i="2" a="1"/>
  <c r="I3881" i="2" s="1"/>
  <c r="I3882" i="2" a="1"/>
  <c r="I3882" i="2" s="1"/>
  <c r="I3883" i="2" a="1"/>
  <c r="I3883" i="2" s="1"/>
  <c r="I3884" i="2" a="1"/>
  <c r="I3884" i="2" s="1"/>
  <c r="I3885" i="2" a="1"/>
  <c r="I3885" i="2" s="1"/>
  <c r="I3886" i="2" a="1"/>
  <c r="I3886" i="2" s="1"/>
  <c r="I3887" i="2" a="1"/>
  <c r="I3887" i="2" s="1"/>
  <c r="I3888" i="2" a="1"/>
  <c r="I3888" i="2" s="1"/>
  <c r="I3889" i="2" a="1"/>
  <c r="I3889" i="2" s="1"/>
  <c r="I3890" i="2" a="1"/>
  <c r="I3890" i="2" s="1"/>
  <c r="I3891" i="2" a="1"/>
  <c r="I3891" i="2" s="1"/>
  <c r="I3892" i="2" a="1"/>
  <c r="I3892" i="2" s="1"/>
  <c r="I3893" i="2" a="1"/>
  <c r="I3893" i="2" s="1"/>
  <c r="I3894" i="2" a="1"/>
  <c r="I3894" i="2" s="1"/>
  <c r="I3895" i="2" a="1"/>
  <c r="I3895" i="2" s="1"/>
  <c r="I3896" i="2" a="1"/>
  <c r="I3896" i="2" s="1"/>
  <c r="I3897" i="2" a="1"/>
  <c r="I3897" i="2" s="1"/>
  <c r="I3898" i="2" a="1"/>
  <c r="I3898" i="2" s="1"/>
  <c r="I3899" i="2" a="1"/>
  <c r="I3899" i="2" s="1"/>
  <c r="I3900" i="2" a="1"/>
  <c r="I3900" i="2" s="1"/>
  <c r="I3901" i="2" a="1"/>
  <c r="I3901" i="2" s="1"/>
  <c r="I3902" i="2" a="1"/>
  <c r="I3902" i="2" s="1"/>
  <c r="I3903" i="2" a="1"/>
  <c r="I3903" i="2" s="1"/>
  <c r="I3904" i="2" a="1"/>
  <c r="I3904" i="2" s="1"/>
  <c r="I3905" i="2" a="1"/>
  <c r="I3905" i="2" s="1"/>
  <c r="I3906" i="2" a="1"/>
  <c r="I3906" i="2" s="1"/>
  <c r="I3907" i="2" a="1"/>
  <c r="I3907" i="2" s="1"/>
  <c r="I3908" i="2" a="1"/>
  <c r="I3908" i="2" s="1"/>
  <c r="I3909" i="2" a="1"/>
  <c r="I3909" i="2" s="1"/>
  <c r="I3910" i="2" a="1"/>
  <c r="I3910" i="2" s="1"/>
  <c r="I3911" i="2" a="1"/>
  <c r="I3911" i="2" s="1"/>
  <c r="I3912" i="2" a="1"/>
  <c r="I3912" i="2" s="1"/>
  <c r="I3913" i="2" a="1"/>
  <c r="I3913" i="2" s="1"/>
  <c r="I3914" i="2" a="1"/>
  <c r="I3914" i="2" s="1"/>
  <c r="I3915" i="2" a="1"/>
  <c r="I3915" i="2" s="1"/>
  <c r="I3916" i="2" a="1"/>
  <c r="I3916" i="2" s="1"/>
  <c r="I3917" i="2" a="1"/>
  <c r="I3917" i="2" s="1"/>
  <c r="I3918" i="2" a="1"/>
  <c r="I3918" i="2" s="1"/>
  <c r="I3919" i="2" a="1"/>
  <c r="I3919" i="2" s="1"/>
  <c r="I3920" i="2" a="1"/>
  <c r="I3920" i="2" s="1"/>
  <c r="I3921" i="2" a="1"/>
  <c r="I3921" i="2" s="1"/>
  <c r="I3922" i="2" a="1"/>
  <c r="I3922" i="2" s="1"/>
  <c r="I3923" i="2" a="1"/>
  <c r="I3923" i="2" s="1"/>
  <c r="I3924" i="2" a="1"/>
  <c r="I3924" i="2" s="1"/>
  <c r="I3925" i="2" a="1"/>
  <c r="I3925" i="2" s="1"/>
  <c r="I3926" i="2" a="1"/>
  <c r="I3926" i="2" s="1"/>
  <c r="I3927" i="2" a="1"/>
  <c r="I3927" i="2" s="1"/>
  <c r="I3928" i="2" a="1"/>
  <c r="I3928" i="2" s="1"/>
  <c r="I3929" i="2" a="1"/>
  <c r="I3929" i="2" s="1"/>
  <c r="I3930" i="2" a="1"/>
  <c r="I3930" i="2" s="1"/>
  <c r="I3931" i="2" a="1"/>
  <c r="I3931" i="2" s="1"/>
  <c r="I3932" i="2" a="1"/>
  <c r="I3932" i="2" s="1"/>
  <c r="I3933" i="2" a="1"/>
  <c r="I3933" i="2" s="1"/>
  <c r="I3934" i="2" a="1"/>
  <c r="I3934" i="2" s="1"/>
  <c r="I3935" i="2" a="1"/>
  <c r="I3935" i="2" s="1"/>
  <c r="I3936" i="2" a="1"/>
  <c r="I3936" i="2" s="1"/>
  <c r="I3937" i="2" a="1"/>
  <c r="I3937" i="2" s="1"/>
  <c r="I3938" i="2" a="1"/>
  <c r="I3938" i="2" s="1"/>
  <c r="I3939" i="2" a="1"/>
  <c r="I3939" i="2" s="1"/>
  <c r="I3940" i="2" a="1"/>
  <c r="I3940" i="2" s="1"/>
  <c r="I3941" i="2" a="1"/>
  <c r="I3941" i="2" s="1"/>
  <c r="I3942" i="2" a="1"/>
  <c r="I3942" i="2" s="1"/>
  <c r="I3943" i="2" a="1"/>
  <c r="I3943" i="2" s="1"/>
  <c r="I3944" i="2" a="1"/>
  <c r="I3944" i="2" s="1"/>
  <c r="I3945" i="2" a="1"/>
  <c r="I3945" i="2" s="1"/>
  <c r="I3946" i="2" a="1"/>
  <c r="I3946" i="2" s="1"/>
  <c r="I3947" i="2" a="1"/>
  <c r="I3947" i="2" s="1"/>
  <c r="I3948" i="2" a="1"/>
  <c r="I3948" i="2" s="1"/>
  <c r="I3949" i="2" a="1"/>
  <c r="I3949" i="2" s="1"/>
  <c r="I3950" i="2" a="1"/>
  <c r="I3950" i="2" s="1"/>
  <c r="I3951" i="2" a="1"/>
  <c r="I3951" i="2" s="1"/>
  <c r="I3952" i="2" a="1"/>
  <c r="I3952" i="2" s="1"/>
  <c r="I3953" i="2" a="1"/>
  <c r="I3953" i="2" s="1"/>
  <c r="I3954" i="2" a="1"/>
  <c r="I3954" i="2" s="1"/>
  <c r="I3955" i="2" a="1"/>
  <c r="I3955" i="2" s="1"/>
  <c r="I3956" i="2" a="1"/>
  <c r="I3956" i="2" s="1"/>
  <c r="I3957" i="2" a="1"/>
  <c r="I3957" i="2" s="1"/>
  <c r="I3958" i="2" a="1"/>
  <c r="I3958" i="2" s="1"/>
  <c r="I3959" i="2" a="1"/>
  <c r="I3959" i="2" s="1"/>
  <c r="I3960" i="2" a="1"/>
  <c r="I3960" i="2" s="1"/>
  <c r="I3961" i="2" a="1"/>
  <c r="I3961" i="2" s="1"/>
  <c r="I3962" i="2" a="1"/>
  <c r="I3962" i="2" s="1"/>
  <c r="I3963" i="2" a="1"/>
  <c r="I3963" i="2" s="1"/>
  <c r="I3964" i="2" a="1"/>
  <c r="I3964" i="2" s="1"/>
  <c r="I3965" i="2" a="1"/>
  <c r="I3965" i="2" s="1"/>
  <c r="I3966" i="2" a="1"/>
  <c r="I3966" i="2" s="1"/>
  <c r="I3967" i="2" a="1"/>
  <c r="I3967" i="2" s="1"/>
  <c r="I3968" i="2" a="1"/>
  <c r="I3968" i="2" s="1"/>
  <c r="I3969" i="2" a="1"/>
  <c r="I3969" i="2" s="1"/>
  <c r="I3970" i="2" a="1"/>
  <c r="I3970" i="2" s="1"/>
  <c r="I3971" i="2" a="1"/>
  <c r="I3971" i="2" s="1"/>
  <c r="I3972" i="2" a="1"/>
  <c r="I3972" i="2" s="1"/>
  <c r="I3973" i="2" a="1"/>
  <c r="I3973" i="2" s="1"/>
  <c r="I3974" i="2" a="1"/>
  <c r="I3974" i="2" s="1"/>
  <c r="I3975" i="2" a="1"/>
  <c r="I3975" i="2" s="1"/>
  <c r="I3976" i="2" a="1"/>
  <c r="I3976" i="2" s="1"/>
  <c r="I3977" i="2" a="1"/>
  <c r="I3977" i="2" s="1"/>
  <c r="I3978" i="2" a="1"/>
  <c r="I3978" i="2" s="1"/>
  <c r="I3979" i="2" a="1"/>
  <c r="I3979" i="2" s="1"/>
  <c r="I3980" i="2" a="1"/>
  <c r="I3980" i="2" s="1"/>
  <c r="I3981" i="2" a="1"/>
  <c r="I3981" i="2" s="1"/>
  <c r="I3982" i="2" a="1"/>
  <c r="I3982" i="2" s="1"/>
  <c r="I3983" i="2" a="1"/>
  <c r="I3983" i="2" s="1"/>
  <c r="I3984" i="2" a="1"/>
  <c r="I3984" i="2" s="1"/>
  <c r="I3985" i="2" a="1"/>
  <c r="I3985" i="2" s="1"/>
  <c r="I3986" i="2" a="1"/>
  <c r="I3986" i="2" s="1"/>
  <c r="I3987" i="2" a="1"/>
  <c r="I3987" i="2" s="1"/>
  <c r="I3988" i="2" a="1"/>
  <c r="I3988" i="2" s="1"/>
  <c r="I3989" i="2" a="1"/>
  <c r="I3989" i="2" s="1"/>
  <c r="I3990" i="2" a="1"/>
  <c r="I3990" i="2" s="1"/>
  <c r="I3991" i="2" a="1"/>
  <c r="I3991" i="2" s="1"/>
  <c r="I3992" i="2" a="1"/>
  <c r="I3992" i="2" s="1"/>
  <c r="I3993" i="2" a="1"/>
  <c r="I3993" i="2" s="1"/>
  <c r="I3994" i="2" a="1"/>
  <c r="I3994" i="2" s="1"/>
  <c r="I3995" i="2" a="1"/>
  <c r="I3995" i="2" s="1"/>
  <c r="I3996" i="2" a="1"/>
  <c r="I3996" i="2" s="1"/>
  <c r="I3997" i="2" a="1"/>
  <c r="I3997" i="2" s="1"/>
  <c r="I3998" i="2" a="1"/>
  <c r="I3998" i="2" s="1"/>
  <c r="I3999" i="2" a="1"/>
  <c r="I3999" i="2" s="1"/>
  <c r="I4000" i="2" a="1"/>
  <c r="I4000" i="2" s="1"/>
  <c r="I4001" i="2" a="1"/>
  <c r="I4001" i="2" s="1"/>
  <c r="I4002" i="2" a="1"/>
  <c r="I4002" i="2" s="1"/>
  <c r="I4003" i="2" a="1"/>
  <c r="I4003" i="2" s="1"/>
  <c r="I4004" i="2" a="1"/>
  <c r="I4004" i="2" s="1"/>
  <c r="I4005" i="2" a="1"/>
  <c r="I4005" i="2" s="1"/>
  <c r="I4006" i="2" a="1"/>
  <c r="I4006" i="2" s="1"/>
  <c r="I4007" i="2" a="1"/>
  <c r="I4007" i="2" s="1"/>
  <c r="I4008" i="2" a="1"/>
  <c r="I4008" i="2" s="1"/>
  <c r="I4009" i="2" a="1"/>
  <c r="I4009" i="2" s="1"/>
  <c r="I4010" i="2" a="1"/>
  <c r="I4010" i="2" s="1"/>
  <c r="I4011" i="2" a="1"/>
  <c r="I4011" i="2" s="1"/>
  <c r="I4012" i="2" a="1"/>
  <c r="I4012" i="2" s="1"/>
  <c r="I4013" i="2" a="1"/>
  <c r="I4013" i="2" s="1"/>
  <c r="I4014" i="2" a="1"/>
  <c r="I4014" i="2" s="1"/>
  <c r="I4015" i="2" a="1"/>
  <c r="I4015" i="2" s="1"/>
  <c r="I4016" i="2" a="1"/>
  <c r="I4016" i="2" s="1"/>
  <c r="I4017" i="2" a="1"/>
  <c r="I4017" i="2" s="1"/>
  <c r="I4018" i="2" a="1"/>
  <c r="I4018" i="2" s="1"/>
  <c r="I4019" i="2" a="1"/>
  <c r="I4019" i="2" s="1"/>
  <c r="I4020" i="2" a="1"/>
  <c r="I4020" i="2" s="1"/>
  <c r="I4021" i="2" a="1"/>
  <c r="I4021" i="2" s="1"/>
  <c r="I4022" i="2" a="1"/>
  <c r="I4022" i="2" s="1"/>
  <c r="I4023" i="2" a="1"/>
  <c r="I4023" i="2" s="1"/>
  <c r="I4024" i="2" a="1"/>
  <c r="I4024" i="2" s="1"/>
  <c r="I4025" i="2" a="1"/>
  <c r="I4025" i="2" s="1"/>
  <c r="I4026" i="2" a="1"/>
  <c r="I4026" i="2" s="1"/>
  <c r="I4027" i="2" a="1"/>
  <c r="I4027" i="2" s="1"/>
  <c r="I4028" i="2" a="1"/>
  <c r="I4028" i="2" s="1"/>
  <c r="I4029" i="2" a="1"/>
  <c r="I4029" i="2" s="1"/>
  <c r="I4030" i="2" a="1"/>
  <c r="I4030" i="2" s="1"/>
  <c r="I4031" i="2" a="1"/>
  <c r="I4031" i="2" s="1"/>
  <c r="I4032" i="2" a="1"/>
  <c r="I4032" i="2" s="1"/>
  <c r="I4033" i="2" a="1"/>
  <c r="I4033" i="2" s="1"/>
  <c r="I4034" i="2" a="1"/>
  <c r="I4034" i="2" s="1"/>
  <c r="I4035" i="2" a="1"/>
  <c r="I4035" i="2" s="1"/>
  <c r="I4036" i="2" a="1"/>
  <c r="I4036" i="2" s="1"/>
  <c r="I4037" i="2" a="1"/>
  <c r="I4037" i="2" s="1"/>
  <c r="I4038" i="2" a="1"/>
  <c r="I4038" i="2" s="1"/>
  <c r="I4039" i="2" a="1"/>
  <c r="I4039" i="2" s="1"/>
  <c r="I4040" i="2" a="1"/>
  <c r="I4040" i="2" s="1"/>
  <c r="I4041" i="2" a="1"/>
  <c r="I4041" i="2" s="1"/>
  <c r="I4042" i="2" a="1"/>
  <c r="I4042" i="2" s="1"/>
  <c r="I4043" i="2" a="1"/>
  <c r="I4043" i="2" s="1"/>
  <c r="I4044" i="2" a="1"/>
  <c r="I4044" i="2" s="1"/>
  <c r="I4045" i="2" a="1"/>
  <c r="I4045" i="2" s="1"/>
  <c r="I4046" i="2" a="1"/>
  <c r="I4046" i="2" s="1"/>
  <c r="I4047" i="2" a="1"/>
  <c r="I4047" i="2" s="1"/>
  <c r="I4048" i="2" a="1"/>
  <c r="I4048" i="2" s="1"/>
  <c r="I4049" i="2" a="1"/>
  <c r="I4049" i="2" s="1"/>
  <c r="I4050" i="2" a="1"/>
  <c r="I4050" i="2" s="1"/>
  <c r="I4051" i="2" a="1"/>
  <c r="I4051" i="2" s="1"/>
  <c r="I4052" i="2" a="1"/>
  <c r="I4052" i="2" s="1"/>
  <c r="I4053" i="2" a="1"/>
  <c r="I4053" i="2" s="1"/>
  <c r="I4054" i="2" a="1"/>
  <c r="I4054" i="2" s="1"/>
  <c r="I4055" i="2" a="1"/>
  <c r="I4055" i="2" s="1"/>
  <c r="I4056" i="2" a="1"/>
  <c r="I4056" i="2" s="1"/>
  <c r="I4057" i="2" a="1"/>
  <c r="I4057" i="2" s="1"/>
  <c r="I4058" i="2" a="1"/>
  <c r="I4058" i="2" s="1"/>
  <c r="I4059" i="2" a="1"/>
  <c r="I4059" i="2" s="1"/>
  <c r="I4060" i="2" a="1"/>
  <c r="I4060" i="2" s="1"/>
  <c r="I4061" i="2" a="1"/>
  <c r="I4061" i="2" s="1"/>
  <c r="I4062" i="2" a="1"/>
  <c r="I4062" i="2" s="1"/>
  <c r="I4063" i="2" a="1"/>
  <c r="I4063" i="2" s="1"/>
  <c r="I4064" i="2" a="1"/>
  <c r="I4064" i="2" s="1"/>
  <c r="I4065" i="2" a="1"/>
  <c r="I4065" i="2" s="1"/>
  <c r="I4066" i="2" a="1"/>
  <c r="I4066" i="2" s="1"/>
  <c r="I4067" i="2" a="1"/>
  <c r="I4067" i="2" s="1"/>
  <c r="I4068" i="2" a="1"/>
  <c r="I4068" i="2" s="1"/>
  <c r="I4069" i="2" a="1"/>
  <c r="I4069" i="2" s="1"/>
  <c r="I4070" i="2" a="1"/>
  <c r="I4070" i="2" s="1"/>
  <c r="I4071" i="2" a="1"/>
  <c r="I4071" i="2" s="1"/>
  <c r="I4072" i="2" a="1"/>
  <c r="I4072" i="2" s="1"/>
  <c r="I4073" i="2" a="1"/>
  <c r="I4073" i="2" s="1"/>
  <c r="I4074" i="2" a="1"/>
  <c r="I4074" i="2" s="1"/>
  <c r="I4075" i="2" a="1"/>
  <c r="I4075" i="2" s="1"/>
  <c r="I4076" i="2" a="1"/>
  <c r="I4076" i="2" s="1"/>
  <c r="I4077" i="2" a="1"/>
  <c r="I4077" i="2" s="1"/>
  <c r="I4078" i="2" a="1"/>
  <c r="I4078" i="2" s="1"/>
  <c r="I4079" i="2" a="1"/>
  <c r="I4079" i="2" s="1"/>
  <c r="I4080" i="2" a="1"/>
  <c r="I4080" i="2" s="1"/>
  <c r="I4081" i="2" a="1"/>
  <c r="I4081" i="2" s="1"/>
  <c r="I4082" i="2" a="1"/>
  <c r="I4082" i="2" s="1"/>
  <c r="I4083" i="2" a="1"/>
  <c r="I4083" i="2" s="1"/>
  <c r="I4084" i="2" a="1"/>
  <c r="I4084" i="2" s="1"/>
  <c r="I4085" i="2" a="1"/>
  <c r="I4085" i="2" s="1"/>
  <c r="I4086" i="2" a="1"/>
  <c r="I4086" i="2" s="1"/>
  <c r="I4087" i="2" a="1"/>
  <c r="I4087" i="2" s="1"/>
  <c r="I4088" i="2" a="1"/>
  <c r="I4088" i="2" s="1"/>
  <c r="I4089" i="2" a="1"/>
  <c r="I4089" i="2" s="1"/>
  <c r="I4090" i="2" a="1"/>
  <c r="I4090" i="2" s="1"/>
  <c r="I4091" i="2" a="1"/>
  <c r="I4091" i="2" s="1"/>
  <c r="I4092" i="2" a="1"/>
  <c r="I4092" i="2" s="1"/>
  <c r="I4093" i="2" a="1"/>
  <c r="I4093" i="2" s="1"/>
  <c r="I4094" i="2" a="1"/>
  <c r="I4094" i="2" s="1"/>
  <c r="I4095" i="2" a="1"/>
  <c r="I4095" i="2" s="1"/>
  <c r="I4096" i="2" a="1"/>
  <c r="I4096" i="2" s="1"/>
  <c r="I4097" i="2" a="1"/>
  <c r="I4097" i="2" s="1"/>
  <c r="I4098" i="2" a="1"/>
  <c r="I4098" i="2" s="1"/>
  <c r="I4099" i="2" a="1"/>
  <c r="I4099" i="2" s="1"/>
  <c r="I4100" i="2" a="1"/>
  <c r="I4100" i="2" s="1"/>
  <c r="I4101" i="2" a="1"/>
  <c r="I4101" i="2" s="1"/>
  <c r="I4102" i="2" a="1"/>
  <c r="I4102" i="2" s="1"/>
  <c r="I4103" i="2" a="1"/>
  <c r="I4103" i="2" s="1"/>
  <c r="I4104" i="2" a="1"/>
  <c r="I4104" i="2" s="1"/>
  <c r="I4105" i="2" a="1"/>
  <c r="I4105" i="2" s="1"/>
  <c r="I4106" i="2" a="1"/>
  <c r="I4106" i="2" s="1"/>
  <c r="I4107" i="2" a="1"/>
  <c r="I4107" i="2" s="1"/>
  <c r="I4108" i="2" a="1"/>
  <c r="I4108" i="2" s="1"/>
  <c r="I4109" i="2" a="1"/>
  <c r="I4109" i="2" s="1"/>
  <c r="I4110" i="2" a="1"/>
  <c r="I4110" i="2" s="1"/>
  <c r="I4111" i="2" a="1"/>
  <c r="I4111" i="2" s="1"/>
  <c r="I4112" i="2" a="1"/>
  <c r="I4112" i="2" s="1"/>
  <c r="I4113" i="2" a="1"/>
  <c r="I4113" i="2" s="1"/>
  <c r="I4114" i="2" a="1"/>
  <c r="I4114" i="2" s="1"/>
  <c r="I4115" i="2" a="1"/>
  <c r="I4115" i="2" s="1"/>
  <c r="I4116" i="2" a="1"/>
  <c r="I4116" i="2" s="1"/>
  <c r="I4117" i="2" a="1"/>
  <c r="I4117" i="2" s="1"/>
  <c r="I4118" i="2" a="1"/>
  <c r="I4118" i="2" s="1"/>
  <c r="I4119" i="2" a="1"/>
  <c r="I4119" i="2" s="1"/>
  <c r="I4120" i="2" a="1"/>
  <c r="I4120" i="2" s="1"/>
  <c r="I4121" i="2" a="1"/>
  <c r="I4121" i="2" s="1"/>
  <c r="I4122" i="2" a="1"/>
  <c r="I4122" i="2" s="1"/>
  <c r="I4123" i="2" a="1"/>
  <c r="I4123" i="2" s="1"/>
  <c r="I4124" i="2" a="1"/>
  <c r="I4124" i="2" s="1"/>
  <c r="I4125" i="2" a="1"/>
  <c r="I4125" i="2" s="1"/>
  <c r="I4126" i="2" a="1"/>
  <c r="I4126" i="2" s="1"/>
  <c r="I4127" i="2" a="1"/>
  <c r="I4127" i="2" s="1"/>
  <c r="I4128" i="2" a="1"/>
  <c r="I4128" i="2" s="1"/>
  <c r="I4129" i="2" a="1"/>
  <c r="I4129" i="2" s="1"/>
  <c r="I4130" i="2" a="1"/>
  <c r="I4130" i="2" s="1"/>
  <c r="I4131" i="2" a="1"/>
  <c r="I4131" i="2" s="1"/>
  <c r="I4132" i="2" a="1"/>
  <c r="I4132" i="2" s="1"/>
  <c r="I4133" i="2" a="1"/>
  <c r="I4133" i="2" s="1"/>
  <c r="I4134" i="2" a="1"/>
  <c r="I4134" i="2" s="1"/>
  <c r="I4135" i="2" a="1"/>
  <c r="I4135" i="2" s="1"/>
  <c r="I4136" i="2" a="1"/>
  <c r="I4136" i="2" s="1"/>
  <c r="I4137" i="2" a="1"/>
  <c r="I4137" i="2" s="1"/>
  <c r="I4138" i="2" a="1"/>
  <c r="I4138" i="2" s="1"/>
  <c r="I4139" i="2" a="1"/>
  <c r="I4139" i="2" s="1"/>
  <c r="I4140" i="2" a="1"/>
  <c r="I4140" i="2" s="1"/>
  <c r="I4141" i="2" a="1"/>
  <c r="I4141" i="2" s="1"/>
  <c r="I4142" i="2" a="1"/>
  <c r="I4142" i="2" s="1"/>
  <c r="I4143" i="2" a="1"/>
  <c r="I4143" i="2" s="1"/>
  <c r="I4144" i="2" a="1"/>
  <c r="I4144" i="2" s="1"/>
  <c r="I4145" i="2" a="1"/>
  <c r="I4145" i="2" s="1"/>
  <c r="I4146" i="2" a="1"/>
  <c r="I4146" i="2" s="1"/>
  <c r="I4147" i="2" a="1"/>
  <c r="I4147" i="2" s="1"/>
  <c r="I4148" i="2" a="1"/>
  <c r="I4148" i="2" s="1"/>
  <c r="I4149" i="2" a="1"/>
  <c r="I4149" i="2" s="1"/>
  <c r="I4150" i="2" a="1"/>
  <c r="I4150" i="2" s="1"/>
  <c r="I4151" i="2" a="1"/>
  <c r="I4151" i="2" s="1"/>
  <c r="I4152" i="2" a="1"/>
  <c r="I4152" i="2" s="1"/>
  <c r="I4153" i="2" a="1"/>
  <c r="I4153" i="2" s="1"/>
  <c r="I4154" i="2" a="1"/>
  <c r="I4154" i="2" s="1"/>
  <c r="I4155" i="2" a="1"/>
  <c r="I4155" i="2" s="1"/>
  <c r="I4156" i="2" a="1"/>
  <c r="I4156" i="2" s="1"/>
  <c r="I4157" i="2" a="1"/>
  <c r="I4157" i="2" s="1"/>
  <c r="I4158" i="2" a="1"/>
  <c r="I4158" i="2" s="1"/>
  <c r="I4159" i="2" a="1"/>
  <c r="I4159" i="2" s="1"/>
  <c r="I4160" i="2" a="1"/>
  <c r="I4160" i="2" s="1"/>
  <c r="I4161" i="2" a="1"/>
  <c r="I4161" i="2" s="1"/>
  <c r="I4162" i="2" a="1"/>
  <c r="I4162" i="2" s="1"/>
  <c r="I4163" i="2" a="1"/>
  <c r="I4163" i="2" s="1"/>
  <c r="I4164" i="2" a="1"/>
  <c r="I4164" i="2" s="1"/>
  <c r="I4165" i="2" a="1"/>
  <c r="I4165" i="2" s="1"/>
  <c r="I4166" i="2" a="1"/>
  <c r="I4166" i="2" s="1"/>
  <c r="I4167" i="2" a="1"/>
  <c r="I4167" i="2" s="1"/>
  <c r="I4168" i="2" a="1"/>
  <c r="I4168" i="2" s="1"/>
  <c r="I4169" i="2" a="1"/>
  <c r="I4169" i="2" s="1"/>
  <c r="I4170" i="2" a="1"/>
  <c r="I4170" i="2" s="1"/>
  <c r="I4171" i="2" a="1"/>
  <c r="I4171" i="2" s="1"/>
  <c r="I4172" i="2" a="1"/>
  <c r="I4172" i="2" s="1"/>
  <c r="I4173" i="2" a="1"/>
  <c r="I4173" i="2" s="1"/>
  <c r="I4174" i="2" a="1"/>
  <c r="I4174" i="2" s="1"/>
  <c r="I4175" i="2" a="1"/>
  <c r="I4175" i="2" s="1"/>
  <c r="I4176" i="2" a="1"/>
  <c r="I4176" i="2" s="1"/>
  <c r="I4177" i="2" a="1"/>
  <c r="I4177" i="2" s="1"/>
  <c r="I4178" i="2" a="1"/>
  <c r="I4178" i="2" s="1"/>
  <c r="I4179" i="2" a="1"/>
  <c r="I4179" i="2" s="1"/>
  <c r="I4180" i="2" a="1"/>
  <c r="I4180" i="2" s="1"/>
  <c r="I4181" i="2" a="1"/>
  <c r="I4181" i="2" s="1"/>
  <c r="I4182" i="2" a="1"/>
  <c r="I4182" i="2" s="1"/>
  <c r="I4183" i="2" a="1"/>
  <c r="I4183" i="2" s="1"/>
  <c r="I4184" i="2" a="1"/>
  <c r="I4184" i="2" s="1"/>
  <c r="I4185" i="2" a="1"/>
  <c r="I4185" i="2" s="1"/>
  <c r="I4186" i="2" a="1"/>
  <c r="I4186" i="2" s="1"/>
  <c r="I4187" i="2" a="1"/>
  <c r="I4187" i="2" s="1"/>
  <c r="I4188" i="2" a="1"/>
  <c r="I4188" i="2" s="1"/>
  <c r="I4189" i="2" a="1"/>
  <c r="I4189" i="2" s="1"/>
  <c r="I4190" i="2" a="1"/>
  <c r="I4190" i="2" s="1"/>
  <c r="I4191" i="2" a="1"/>
  <c r="I4191" i="2" s="1"/>
  <c r="I4192" i="2" a="1"/>
  <c r="I4192" i="2" s="1"/>
  <c r="I4193" i="2" a="1"/>
  <c r="I4193" i="2" s="1"/>
  <c r="I4194" i="2" a="1"/>
  <c r="I4194" i="2" s="1"/>
  <c r="I4195" i="2" a="1"/>
  <c r="I4195" i="2" s="1"/>
  <c r="I4196" i="2" a="1"/>
  <c r="I4196" i="2" s="1"/>
  <c r="I4197" i="2" a="1"/>
  <c r="I4197" i="2" s="1"/>
  <c r="I4198" i="2" a="1"/>
  <c r="I4198" i="2" s="1"/>
  <c r="I4199" i="2" a="1"/>
  <c r="I4199" i="2" s="1"/>
  <c r="I4200" i="2" a="1"/>
  <c r="I4200" i="2" s="1"/>
  <c r="I4201" i="2" a="1"/>
  <c r="I4201" i="2" s="1"/>
  <c r="I4202" i="2" a="1"/>
  <c r="I4202" i="2" s="1"/>
  <c r="I4203" i="2" a="1"/>
  <c r="I4203" i="2" s="1"/>
  <c r="I4204" i="2" a="1"/>
  <c r="I4204" i="2" s="1"/>
  <c r="I4205" i="2" a="1"/>
  <c r="I4205" i="2" s="1"/>
  <c r="I4206" i="2" a="1"/>
  <c r="I4206" i="2" s="1"/>
  <c r="I4207" i="2" a="1"/>
  <c r="I4207" i="2" s="1"/>
  <c r="I4208" i="2" a="1"/>
  <c r="I4208" i="2" s="1"/>
  <c r="I4209" i="2" a="1"/>
  <c r="I4209" i="2" s="1"/>
  <c r="I4210" i="2" a="1"/>
  <c r="I4210" i="2" s="1"/>
  <c r="I4211" i="2" a="1"/>
  <c r="I4211" i="2" s="1"/>
  <c r="I4212" i="2" a="1"/>
  <c r="I4212" i="2" s="1"/>
  <c r="I4213" i="2" a="1"/>
  <c r="I4213" i="2" s="1"/>
  <c r="I4214" i="2" a="1"/>
  <c r="I4214" i="2" s="1"/>
  <c r="I4215" i="2" a="1"/>
  <c r="I4215" i="2" s="1"/>
  <c r="I4216" i="2" a="1"/>
  <c r="I4216" i="2" s="1"/>
  <c r="I4217" i="2" a="1"/>
  <c r="I4217" i="2" s="1"/>
  <c r="I4218" i="2" a="1"/>
  <c r="I4218" i="2" s="1"/>
  <c r="I4219" i="2" a="1"/>
  <c r="I4219" i="2" s="1"/>
  <c r="I4220" i="2" a="1"/>
  <c r="I4220" i="2" s="1"/>
  <c r="I4221" i="2" a="1"/>
  <c r="I4221" i="2" s="1"/>
  <c r="I4222" i="2" a="1"/>
  <c r="I4222" i="2" s="1"/>
  <c r="I4223" i="2" a="1"/>
  <c r="I4223" i="2" s="1"/>
  <c r="I4224" i="2" a="1"/>
  <c r="I4224" i="2" s="1"/>
  <c r="I4225" i="2" a="1"/>
  <c r="I4225" i="2" s="1"/>
  <c r="I4226" i="2" a="1"/>
  <c r="I4226" i="2" s="1"/>
  <c r="I4227" i="2" a="1"/>
  <c r="I4227" i="2" s="1"/>
  <c r="I4228" i="2" a="1"/>
  <c r="I4228" i="2" s="1"/>
  <c r="I4229" i="2" a="1"/>
  <c r="I4229" i="2" s="1"/>
  <c r="I4230" i="2" a="1"/>
  <c r="I4230" i="2" s="1"/>
  <c r="I4231" i="2" a="1"/>
  <c r="I4231" i="2" s="1"/>
  <c r="I4232" i="2" a="1"/>
  <c r="I4232" i="2" s="1"/>
  <c r="I4233" i="2" a="1"/>
  <c r="I4233" i="2" s="1"/>
  <c r="I4234" i="2" a="1"/>
  <c r="I4234" i="2" s="1"/>
  <c r="I4235" i="2" a="1"/>
  <c r="I4235" i="2" s="1"/>
  <c r="I4236" i="2" a="1"/>
  <c r="I4236" i="2" s="1"/>
  <c r="I4237" i="2" a="1"/>
  <c r="I4237" i="2" s="1"/>
  <c r="I4238" i="2" a="1"/>
  <c r="I4238" i="2" s="1"/>
  <c r="I4239" i="2" a="1"/>
  <c r="I4239" i="2" s="1"/>
  <c r="I4240" i="2" a="1"/>
  <c r="I4240" i="2" s="1"/>
  <c r="I4241" i="2" a="1"/>
  <c r="I4241" i="2" s="1"/>
  <c r="I4242" i="2" a="1"/>
  <c r="I4242" i="2" s="1"/>
  <c r="I4243" i="2" a="1"/>
  <c r="I4243" i="2" s="1"/>
  <c r="I4244" i="2" a="1"/>
  <c r="I4244" i="2" s="1"/>
  <c r="I4245" i="2" a="1"/>
  <c r="I4245" i="2" s="1"/>
  <c r="I4246" i="2" a="1"/>
  <c r="I4246" i="2" s="1"/>
  <c r="I4247" i="2" a="1"/>
  <c r="I4247" i="2" s="1"/>
  <c r="I4248" i="2" a="1"/>
  <c r="I4248" i="2" s="1"/>
  <c r="I4249" i="2" a="1"/>
  <c r="I4249" i="2" s="1"/>
  <c r="I4250" i="2" a="1"/>
  <c r="I4250" i="2" s="1"/>
  <c r="I4251" i="2" a="1"/>
  <c r="I4251" i="2" s="1"/>
  <c r="I4252" i="2" a="1"/>
  <c r="I4252" i="2" s="1"/>
  <c r="I4253" i="2" a="1"/>
  <c r="I4253" i="2" s="1"/>
  <c r="I4254" i="2" a="1"/>
  <c r="I4254" i="2" s="1"/>
  <c r="I4255" i="2" a="1"/>
  <c r="I4255" i="2" s="1"/>
  <c r="I4256" i="2" a="1"/>
  <c r="I4256" i="2" s="1"/>
  <c r="I4257" i="2" a="1"/>
  <c r="I4257" i="2" s="1"/>
  <c r="I4258" i="2" a="1"/>
  <c r="I4258" i="2" s="1"/>
  <c r="I4259" i="2" a="1"/>
  <c r="I4259" i="2" s="1"/>
  <c r="I4260" i="2" a="1"/>
  <c r="I4260" i="2" s="1"/>
  <c r="I4261" i="2" a="1"/>
  <c r="I4261" i="2" s="1"/>
  <c r="I4262" i="2" a="1"/>
  <c r="I4262" i="2" s="1"/>
  <c r="I4263" i="2" a="1"/>
  <c r="I4263" i="2" s="1"/>
  <c r="I4264" i="2" a="1"/>
  <c r="I4264" i="2" s="1"/>
  <c r="I4265" i="2" a="1"/>
  <c r="I4265" i="2" s="1"/>
  <c r="I4266" i="2" a="1"/>
  <c r="I4266" i="2" s="1"/>
  <c r="I4267" i="2" a="1"/>
  <c r="I4267" i="2" s="1"/>
  <c r="I4268" i="2" a="1"/>
  <c r="I4268" i="2" s="1"/>
  <c r="I4269" i="2" a="1"/>
  <c r="I4269" i="2" s="1"/>
  <c r="I4270" i="2" a="1"/>
  <c r="I4270" i="2" s="1"/>
  <c r="I4271" i="2" a="1"/>
  <c r="I4271" i="2" s="1"/>
  <c r="I4272" i="2" a="1"/>
  <c r="I4272" i="2" s="1"/>
  <c r="I4273" i="2" a="1"/>
  <c r="I4273" i="2" s="1"/>
  <c r="I4274" i="2" a="1"/>
  <c r="I4274" i="2" s="1"/>
  <c r="I4275" i="2" a="1"/>
  <c r="I4275" i="2" s="1"/>
  <c r="I4276" i="2" a="1"/>
  <c r="I4276" i="2" s="1"/>
  <c r="I4277" i="2" a="1"/>
  <c r="I4277" i="2" s="1"/>
  <c r="I4278" i="2" a="1"/>
  <c r="I4278" i="2" s="1"/>
  <c r="I4279" i="2" a="1"/>
  <c r="I4279" i="2" s="1"/>
  <c r="I4280" i="2" a="1"/>
  <c r="I4280" i="2" s="1"/>
  <c r="I4281" i="2" a="1"/>
  <c r="I4281" i="2" s="1"/>
  <c r="I4282" i="2" a="1"/>
  <c r="I4282" i="2" s="1"/>
  <c r="I4283" i="2" a="1"/>
  <c r="I4283" i="2" s="1"/>
  <c r="I4284" i="2" a="1"/>
  <c r="I4284" i="2" s="1"/>
  <c r="I4285" i="2" a="1"/>
  <c r="I4285" i="2" s="1"/>
  <c r="I4286" i="2" a="1"/>
  <c r="I4286" i="2" s="1"/>
  <c r="I4287" i="2" a="1"/>
  <c r="I4287" i="2" s="1"/>
  <c r="I4288" i="2" a="1"/>
  <c r="I4288" i="2" s="1"/>
  <c r="I4289" i="2" a="1"/>
  <c r="I4289" i="2" s="1"/>
  <c r="I4290" i="2" a="1"/>
  <c r="I4290" i="2" s="1"/>
  <c r="I4291" i="2" a="1"/>
  <c r="I4291" i="2" s="1"/>
  <c r="I4292" i="2" a="1"/>
  <c r="I4292" i="2" s="1"/>
  <c r="I4293" i="2" a="1"/>
  <c r="I4293" i="2" s="1"/>
  <c r="I4294" i="2" a="1"/>
  <c r="I4294" i="2" s="1"/>
  <c r="I4295" i="2" a="1"/>
  <c r="I4295" i="2" s="1"/>
  <c r="I4296" i="2" a="1"/>
  <c r="I4296" i="2" s="1"/>
  <c r="I4297" i="2" a="1"/>
  <c r="I4297" i="2" s="1"/>
  <c r="I4298" i="2" a="1"/>
  <c r="I4298" i="2" s="1"/>
  <c r="I4299" i="2" a="1"/>
  <c r="I4299" i="2" s="1"/>
  <c r="I4300" i="2" a="1"/>
  <c r="I4300" i="2" s="1"/>
  <c r="I4301" i="2" a="1"/>
  <c r="I4301" i="2" s="1"/>
  <c r="I4302" i="2" a="1"/>
  <c r="I4302" i="2" s="1"/>
  <c r="I4303" i="2" a="1"/>
  <c r="I4303" i="2" s="1"/>
  <c r="I4304" i="2" a="1"/>
  <c r="I4304" i="2" s="1"/>
  <c r="I4305" i="2" a="1"/>
  <c r="I4305" i="2" s="1"/>
  <c r="I4306" i="2" a="1"/>
  <c r="I4306" i="2" s="1"/>
  <c r="I4307" i="2" a="1"/>
  <c r="I4307" i="2" s="1"/>
  <c r="I4308" i="2" a="1"/>
  <c r="I4308" i="2" s="1"/>
  <c r="I4309" i="2" a="1"/>
  <c r="I4309" i="2" s="1"/>
  <c r="I4310" i="2" a="1"/>
  <c r="I4310" i="2" s="1"/>
  <c r="I4311" i="2" a="1"/>
  <c r="I4311" i="2" s="1"/>
  <c r="I4312" i="2" a="1"/>
  <c r="I4312" i="2" s="1"/>
  <c r="I4313" i="2" a="1"/>
  <c r="I4313" i="2" s="1"/>
  <c r="I4314" i="2" a="1"/>
  <c r="I4314" i="2" s="1"/>
  <c r="I4315" i="2" a="1"/>
  <c r="I4315" i="2" s="1"/>
  <c r="I4316" i="2" a="1"/>
  <c r="I4316" i="2" s="1"/>
  <c r="I4317" i="2" a="1"/>
  <c r="I4317" i="2" s="1"/>
  <c r="I4318" i="2" a="1"/>
  <c r="I4318" i="2" s="1"/>
  <c r="I4319" i="2" a="1"/>
  <c r="I4319" i="2" s="1"/>
  <c r="I4320" i="2" a="1"/>
  <c r="I4320" i="2" s="1"/>
  <c r="I4321" i="2" a="1"/>
  <c r="I4321" i="2" s="1"/>
  <c r="I4322" i="2" a="1"/>
  <c r="I4322" i="2" s="1"/>
  <c r="I4323" i="2" a="1"/>
  <c r="I4323" i="2" s="1"/>
  <c r="I4324" i="2" a="1"/>
  <c r="I4324" i="2" s="1"/>
  <c r="I4325" i="2" a="1"/>
  <c r="I4325" i="2" s="1"/>
  <c r="I4326" i="2" a="1"/>
  <c r="I4326" i="2" s="1"/>
  <c r="I4327" i="2" a="1"/>
  <c r="I4327" i="2" s="1"/>
  <c r="I4328" i="2" a="1"/>
  <c r="I4328" i="2" s="1"/>
  <c r="I4329" i="2" a="1"/>
  <c r="I4329" i="2" s="1"/>
  <c r="I4330" i="2" a="1"/>
  <c r="I4330" i="2" s="1"/>
  <c r="I4331" i="2" a="1"/>
  <c r="I4331" i="2" s="1"/>
  <c r="I4332" i="2" a="1"/>
  <c r="I4332" i="2" s="1"/>
  <c r="I4333" i="2" a="1"/>
  <c r="I4333" i="2" s="1"/>
  <c r="I4334" i="2" a="1"/>
  <c r="I4334" i="2" s="1"/>
  <c r="I4335" i="2" a="1"/>
  <c r="I4335" i="2" s="1"/>
  <c r="I4336" i="2" a="1"/>
  <c r="I4336" i="2" s="1"/>
  <c r="I4337" i="2" a="1"/>
  <c r="I4337" i="2" s="1"/>
  <c r="I4338" i="2" a="1"/>
  <c r="I4338" i="2" s="1"/>
  <c r="I4339" i="2" a="1"/>
  <c r="I4339" i="2" s="1"/>
  <c r="I4340" i="2" a="1"/>
  <c r="I4340" i="2" s="1"/>
  <c r="I4341" i="2" a="1"/>
  <c r="I4341" i="2" s="1"/>
  <c r="I4342" i="2" a="1"/>
  <c r="I4342" i="2" s="1"/>
  <c r="I4343" i="2" a="1"/>
  <c r="I4343" i="2" s="1"/>
  <c r="I4344" i="2" a="1"/>
  <c r="I4344" i="2" s="1"/>
  <c r="I4345" i="2" a="1"/>
  <c r="I4345" i="2" s="1"/>
  <c r="I4346" i="2" a="1"/>
  <c r="I4346" i="2" s="1"/>
  <c r="I4347" i="2" a="1"/>
  <c r="I4347" i="2" s="1"/>
  <c r="I4348" i="2" a="1"/>
  <c r="I4348" i="2" s="1"/>
  <c r="I4349" i="2" a="1"/>
  <c r="I4349" i="2" s="1"/>
  <c r="I4350" i="2" a="1"/>
  <c r="I4350" i="2" s="1"/>
  <c r="I4351" i="2" a="1"/>
  <c r="I4351" i="2" s="1"/>
  <c r="I4352" i="2" a="1"/>
  <c r="I4352" i="2" s="1"/>
  <c r="I4353" i="2" a="1"/>
  <c r="I4353" i="2" s="1"/>
  <c r="I4354" i="2" a="1"/>
  <c r="I4354" i="2" s="1"/>
  <c r="I4355" i="2" a="1"/>
  <c r="I4355" i="2" s="1"/>
  <c r="I4356" i="2" a="1"/>
  <c r="I4356" i="2" s="1"/>
  <c r="I4357" i="2" a="1"/>
  <c r="I4357" i="2" s="1"/>
  <c r="I4358" i="2" a="1"/>
  <c r="I4358" i="2" s="1"/>
  <c r="I4359" i="2" a="1"/>
  <c r="I4359" i="2" s="1"/>
  <c r="I4360" i="2" a="1"/>
  <c r="I4360" i="2" s="1"/>
  <c r="I4361" i="2" a="1"/>
  <c r="I4361" i="2" s="1"/>
  <c r="I4362" i="2" a="1"/>
  <c r="I4362" i="2" s="1"/>
  <c r="I4363" i="2" a="1"/>
  <c r="I4363" i="2" s="1"/>
  <c r="I4364" i="2" a="1"/>
  <c r="I4364" i="2" s="1"/>
  <c r="I4365" i="2" a="1"/>
  <c r="I4365" i="2" s="1"/>
  <c r="I4366" i="2" a="1"/>
  <c r="I4366" i="2" s="1"/>
  <c r="I4367" i="2" a="1"/>
  <c r="I4367" i="2" s="1"/>
  <c r="I4368" i="2" a="1"/>
  <c r="I4368" i="2" s="1"/>
  <c r="I4369" i="2" a="1"/>
  <c r="I4369" i="2" s="1"/>
  <c r="I4370" i="2" a="1"/>
  <c r="I4370" i="2" s="1"/>
  <c r="I4371" i="2" a="1"/>
  <c r="I4371" i="2" s="1"/>
  <c r="I4372" i="2" a="1"/>
  <c r="I4372" i="2" s="1"/>
  <c r="I4373" i="2" a="1"/>
  <c r="I4373" i="2" s="1"/>
  <c r="I4374" i="2" a="1"/>
  <c r="I4374" i="2" s="1"/>
  <c r="I4375" i="2" a="1"/>
  <c r="I4375" i="2" s="1"/>
  <c r="I4376" i="2" a="1"/>
  <c r="I4376" i="2" s="1"/>
  <c r="I4377" i="2" a="1"/>
  <c r="I4377" i="2" s="1"/>
  <c r="I4378" i="2" a="1"/>
  <c r="I4378" i="2" s="1"/>
  <c r="I4379" i="2" a="1"/>
  <c r="I4379" i="2" s="1"/>
  <c r="I4380" i="2" a="1"/>
  <c r="I4380" i="2" s="1"/>
  <c r="I4381" i="2" a="1"/>
  <c r="I4381" i="2" s="1"/>
  <c r="I4382" i="2" a="1"/>
  <c r="I4382" i="2" s="1"/>
  <c r="I4383" i="2" a="1"/>
  <c r="I4383" i="2" s="1"/>
  <c r="I4384" i="2" a="1"/>
  <c r="I4384" i="2" s="1"/>
  <c r="I4385" i="2" a="1"/>
  <c r="I4385" i="2" s="1"/>
  <c r="I4386" i="2" a="1"/>
  <c r="I4386" i="2" s="1"/>
  <c r="I4387" i="2" a="1"/>
  <c r="I4387" i="2" s="1"/>
  <c r="I4388" i="2" a="1"/>
  <c r="I4388" i="2" s="1"/>
  <c r="I4389" i="2" a="1"/>
  <c r="I4389" i="2" s="1"/>
  <c r="I4390" i="2" a="1"/>
  <c r="I4390" i="2" s="1"/>
  <c r="I4391" i="2" a="1"/>
  <c r="I4391" i="2" s="1"/>
  <c r="I4392" i="2" a="1"/>
  <c r="I4392" i="2" s="1"/>
  <c r="I4393" i="2" a="1"/>
  <c r="I4393" i="2" s="1"/>
  <c r="I4394" i="2" a="1"/>
  <c r="I4394" i="2" s="1"/>
  <c r="I4395" i="2" a="1"/>
  <c r="I4395" i="2" s="1"/>
  <c r="I4396" i="2" a="1"/>
  <c r="I4396" i="2" s="1"/>
  <c r="I4397" i="2" a="1"/>
  <c r="I4397" i="2" s="1"/>
  <c r="I4398" i="2" a="1"/>
  <c r="I4398" i="2" s="1"/>
  <c r="I4399" i="2" a="1"/>
  <c r="I4399" i="2" s="1"/>
  <c r="I4400" i="2" a="1"/>
  <c r="I4400" i="2" s="1"/>
  <c r="I4401" i="2" a="1"/>
  <c r="I4401" i="2" s="1"/>
  <c r="I4402" i="2" a="1"/>
  <c r="I4402" i="2" s="1"/>
  <c r="I4403" i="2" a="1"/>
  <c r="I4403" i="2" s="1"/>
  <c r="I4404" i="2" a="1"/>
  <c r="I4404" i="2" s="1"/>
  <c r="I4405" i="2" a="1"/>
  <c r="I4405" i="2" s="1"/>
  <c r="I4406" i="2" a="1"/>
  <c r="I4406" i="2" s="1"/>
  <c r="I4407" i="2" a="1"/>
  <c r="I4407" i="2" s="1"/>
  <c r="I4408" i="2" a="1"/>
  <c r="I4408" i="2" s="1"/>
  <c r="I4409" i="2" a="1"/>
  <c r="I4409" i="2" s="1"/>
  <c r="I4410" i="2" a="1"/>
  <c r="I4410" i="2" s="1"/>
  <c r="I4411" i="2" a="1"/>
  <c r="I4411" i="2" s="1"/>
  <c r="I4412" i="2" a="1"/>
  <c r="I4412" i="2" s="1"/>
  <c r="I4413" i="2" a="1"/>
  <c r="I4413" i="2" s="1"/>
  <c r="I4414" i="2" a="1"/>
  <c r="I4414" i="2" s="1"/>
  <c r="I4415" i="2" a="1"/>
  <c r="I4415" i="2" s="1"/>
  <c r="I4416" i="2" a="1"/>
  <c r="I4416" i="2" s="1"/>
  <c r="I4417" i="2" a="1"/>
  <c r="I4417" i="2" s="1"/>
  <c r="I4418" i="2" a="1"/>
  <c r="I4418" i="2" s="1"/>
  <c r="I4419" i="2" a="1"/>
  <c r="I4419" i="2" s="1"/>
  <c r="I4420" i="2" a="1"/>
  <c r="I4420" i="2" s="1"/>
  <c r="I4421" i="2" a="1"/>
  <c r="I4421" i="2" s="1"/>
  <c r="I4422" i="2" a="1"/>
  <c r="I4422" i="2" s="1"/>
  <c r="I4423" i="2" a="1"/>
  <c r="I4423" i="2" s="1"/>
  <c r="I4424" i="2" a="1"/>
  <c r="I4424" i="2" s="1"/>
  <c r="I4425" i="2" a="1"/>
  <c r="I4425" i="2" s="1"/>
  <c r="I4426" i="2" a="1"/>
  <c r="I4426" i="2" s="1"/>
  <c r="I4427" i="2" a="1"/>
  <c r="I4427" i="2" s="1"/>
  <c r="I4428" i="2" a="1"/>
  <c r="I4428" i="2" s="1"/>
  <c r="I4429" i="2" a="1"/>
  <c r="I4429" i="2" s="1"/>
  <c r="I4430" i="2" a="1"/>
  <c r="I4430" i="2" s="1"/>
  <c r="I4431" i="2" a="1"/>
  <c r="I4431" i="2" s="1"/>
  <c r="I4432" i="2" a="1"/>
  <c r="I4432" i="2" s="1"/>
  <c r="I4433" i="2" a="1"/>
  <c r="I4433" i="2" s="1"/>
  <c r="I4434" i="2" a="1"/>
  <c r="I4434" i="2" s="1"/>
  <c r="I4435" i="2" a="1"/>
  <c r="I4435" i="2" s="1"/>
  <c r="I4436" i="2" a="1"/>
  <c r="I4436" i="2" s="1"/>
  <c r="I4437" i="2" a="1"/>
  <c r="I4437" i="2" s="1"/>
  <c r="I4438" i="2" a="1"/>
  <c r="I4438" i="2" s="1"/>
  <c r="I4439" i="2" a="1"/>
  <c r="I4439" i="2" s="1"/>
  <c r="I4440" i="2" a="1"/>
  <c r="I4440" i="2" s="1"/>
  <c r="I4441" i="2" a="1"/>
  <c r="I4441" i="2" s="1"/>
  <c r="I4442" i="2" a="1"/>
  <c r="I4442" i="2" s="1"/>
  <c r="I4443" i="2" a="1"/>
  <c r="I4443" i="2" s="1"/>
  <c r="I4444" i="2" a="1"/>
  <c r="I4444" i="2" s="1"/>
  <c r="I4445" i="2" a="1"/>
  <c r="I4445" i="2" s="1"/>
  <c r="I4446" i="2" a="1"/>
  <c r="I4446" i="2" s="1"/>
  <c r="I4447" i="2" a="1"/>
  <c r="I4447" i="2" s="1"/>
  <c r="I4448" i="2" a="1"/>
  <c r="I4448" i="2" s="1"/>
  <c r="I4449" i="2" a="1"/>
  <c r="I4449" i="2" s="1"/>
  <c r="I4450" i="2" a="1"/>
  <c r="I4450" i="2" s="1"/>
  <c r="I4451" i="2" a="1"/>
  <c r="I4451" i="2" s="1"/>
  <c r="I4452" i="2" a="1"/>
  <c r="I4452" i="2" s="1"/>
  <c r="I4453" i="2" a="1"/>
  <c r="I4453" i="2" s="1"/>
  <c r="I4454" i="2" a="1"/>
  <c r="I4454" i="2" s="1"/>
  <c r="I4455" i="2" a="1"/>
  <c r="I4455" i="2" s="1"/>
  <c r="I4456" i="2" a="1"/>
  <c r="I4456" i="2" s="1"/>
  <c r="I4457" i="2" a="1"/>
  <c r="I4457" i="2" s="1"/>
  <c r="I4458" i="2" a="1"/>
  <c r="I4458" i="2" s="1"/>
  <c r="I4459" i="2" a="1"/>
  <c r="I4459" i="2" s="1"/>
  <c r="I4460" i="2" a="1"/>
  <c r="I4460" i="2" s="1"/>
  <c r="I4461" i="2" a="1"/>
  <c r="I4461" i="2" s="1"/>
  <c r="I4462" i="2" a="1"/>
  <c r="I4462" i="2" s="1"/>
  <c r="I4463" i="2" a="1"/>
  <c r="I4463" i="2" s="1"/>
  <c r="I4464" i="2" a="1"/>
  <c r="I4464" i="2" s="1"/>
  <c r="I4465" i="2" a="1"/>
  <c r="I4465" i="2" s="1"/>
  <c r="I4466" i="2" a="1"/>
  <c r="I4466" i="2" s="1"/>
  <c r="I4467" i="2" a="1"/>
  <c r="I4467" i="2" s="1"/>
  <c r="I4468" i="2" a="1"/>
  <c r="I4468" i="2" s="1"/>
  <c r="I4469" i="2" a="1"/>
  <c r="I4469" i="2" s="1"/>
  <c r="I4470" i="2" a="1"/>
  <c r="I4470" i="2" s="1"/>
  <c r="I4471" i="2" a="1"/>
  <c r="I4471" i="2" s="1"/>
  <c r="I4472" i="2" a="1"/>
  <c r="I4472" i="2" s="1"/>
  <c r="I4473" i="2" a="1"/>
  <c r="I4473" i="2" s="1"/>
  <c r="I4474" i="2" a="1"/>
  <c r="I4474" i="2" s="1"/>
  <c r="I4475" i="2" a="1"/>
  <c r="I4475" i="2" s="1"/>
  <c r="I4476" i="2" a="1"/>
  <c r="I4476" i="2" s="1"/>
  <c r="I4477" i="2" a="1"/>
  <c r="I4477" i="2" s="1"/>
  <c r="I4478" i="2" a="1"/>
  <c r="I4478" i="2" s="1"/>
  <c r="I4479" i="2" a="1"/>
  <c r="I4479" i="2" s="1"/>
  <c r="I4480" i="2" a="1"/>
  <c r="I4480" i="2" s="1"/>
  <c r="I4481" i="2" a="1"/>
  <c r="I4481" i="2" s="1"/>
  <c r="I4482" i="2" a="1"/>
  <c r="I4482" i="2" s="1"/>
  <c r="I4483" i="2" a="1"/>
  <c r="I4483" i="2" s="1"/>
  <c r="I4484" i="2" a="1"/>
  <c r="I4484" i="2" s="1"/>
  <c r="I4485" i="2" a="1"/>
  <c r="I4485" i="2" s="1"/>
  <c r="I4486" i="2" a="1"/>
  <c r="I4486" i="2" s="1"/>
  <c r="I4487" i="2" a="1"/>
  <c r="I4487" i="2" s="1"/>
  <c r="I4488" i="2" a="1"/>
  <c r="I4488" i="2" s="1"/>
  <c r="I4489" i="2" a="1"/>
  <c r="I4489" i="2" s="1"/>
  <c r="I4490" i="2" a="1"/>
  <c r="I4490" i="2" s="1"/>
  <c r="I4491" i="2" a="1"/>
  <c r="I4491" i="2" s="1"/>
  <c r="I4492" i="2" a="1"/>
  <c r="I4492" i="2" s="1"/>
  <c r="I4493" i="2" a="1"/>
  <c r="I4493" i="2" s="1"/>
  <c r="I4494" i="2" a="1"/>
  <c r="I4494" i="2" s="1"/>
  <c r="I4495" i="2" a="1"/>
  <c r="I4495" i="2" s="1"/>
  <c r="I4496" i="2" a="1"/>
  <c r="I4496" i="2" s="1"/>
  <c r="I4497" i="2" a="1"/>
  <c r="I4497" i="2" s="1"/>
  <c r="I4498" i="2" a="1"/>
  <c r="I4498" i="2" s="1"/>
  <c r="I4499" i="2" a="1"/>
  <c r="I4499" i="2" s="1"/>
  <c r="I4500" i="2" a="1"/>
  <c r="I4500" i="2" s="1"/>
  <c r="I4501" i="2" a="1"/>
  <c r="I4501" i="2" s="1"/>
  <c r="I4502" i="2" a="1"/>
  <c r="I4502" i="2" s="1"/>
  <c r="I4503" i="2" a="1"/>
  <c r="I4503" i="2" s="1"/>
  <c r="I4504" i="2" a="1"/>
  <c r="I4504" i="2" s="1"/>
  <c r="I4505" i="2" a="1"/>
  <c r="I4505" i="2" s="1"/>
  <c r="I4506" i="2" a="1"/>
  <c r="I4506" i="2" s="1"/>
  <c r="I4507" i="2" a="1"/>
  <c r="I4507" i="2" s="1"/>
  <c r="I4508" i="2" a="1"/>
  <c r="I4508" i="2" s="1"/>
  <c r="I4509" i="2" a="1"/>
  <c r="I4509" i="2" s="1"/>
  <c r="I4510" i="2" a="1"/>
  <c r="I4510" i="2" s="1"/>
  <c r="I4511" i="2" a="1"/>
  <c r="I4511" i="2" s="1"/>
  <c r="I4512" i="2" a="1"/>
  <c r="I4512" i="2" s="1"/>
  <c r="I4513" i="2" a="1"/>
  <c r="I4513" i="2" s="1"/>
  <c r="I4514" i="2" a="1"/>
  <c r="I4514" i="2" s="1"/>
  <c r="I4515" i="2" a="1"/>
  <c r="I4515" i="2" s="1"/>
  <c r="I4516" i="2" a="1"/>
  <c r="I4516" i="2" s="1"/>
  <c r="I4517" i="2" a="1"/>
  <c r="I4517" i="2" s="1"/>
  <c r="I4518" i="2" a="1"/>
  <c r="I4518" i="2" s="1"/>
  <c r="I4519" i="2" a="1"/>
  <c r="I4519" i="2" s="1"/>
  <c r="I4520" i="2" a="1"/>
  <c r="I4520" i="2" s="1"/>
  <c r="I4521" i="2" a="1"/>
  <c r="I4521" i="2" s="1"/>
  <c r="I4522" i="2" a="1"/>
  <c r="I4522" i="2" s="1"/>
  <c r="I4523" i="2" a="1"/>
  <c r="I4523" i="2" s="1"/>
  <c r="I4524" i="2" a="1"/>
  <c r="I4524" i="2" s="1"/>
  <c r="I4525" i="2" a="1"/>
  <c r="I4525" i="2" s="1"/>
  <c r="I4526" i="2" a="1"/>
  <c r="I4526" i="2" s="1"/>
  <c r="I4527" i="2" a="1"/>
  <c r="I4527" i="2" s="1"/>
  <c r="I4528" i="2" a="1"/>
  <c r="I4528" i="2" s="1"/>
  <c r="I4529" i="2" a="1"/>
  <c r="I4529" i="2" s="1"/>
  <c r="I4530" i="2" a="1"/>
  <c r="I4530" i="2" s="1"/>
  <c r="I4531" i="2" a="1"/>
  <c r="I4531" i="2" s="1"/>
  <c r="I4532" i="2" a="1"/>
  <c r="I4532" i="2" s="1"/>
  <c r="I4533" i="2" a="1"/>
  <c r="I4533" i="2" s="1"/>
  <c r="I4534" i="2" a="1"/>
  <c r="I4534" i="2" s="1"/>
  <c r="I4535" i="2" a="1"/>
  <c r="I4535" i="2" s="1"/>
  <c r="I4536" i="2" a="1"/>
  <c r="I4536" i="2" s="1"/>
  <c r="I4537" i="2" a="1"/>
  <c r="I4537" i="2" s="1"/>
  <c r="I4538" i="2" a="1"/>
  <c r="I4538" i="2" s="1"/>
  <c r="I4539" i="2" a="1"/>
  <c r="I4539" i="2" s="1"/>
  <c r="I4540" i="2" a="1"/>
  <c r="I4540" i="2" s="1"/>
  <c r="I4541" i="2" a="1"/>
  <c r="I4541" i="2" s="1"/>
  <c r="I4542" i="2" a="1"/>
  <c r="I4542" i="2" s="1"/>
  <c r="I4543" i="2" a="1"/>
  <c r="I4543" i="2" s="1"/>
  <c r="I4544" i="2" a="1"/>
  <c r="I4544" i="2" s="1"/>
  <c r="I4545" i="2" a="1"/>
  <c r="I4545" i="2" s="1"/>
  <c r="I4546" i="2" a="1"/>
  <c r="I4546" i="2" s="1"/>
  <c r="I4547" i="2" a="1"/>
  <c r="I4547" i="2" s="1"/>
  <c r="I4548" i="2" a="1"/>
  <c r="I4548" i="2" s="1"/>
  <c r="I4549" i="2" a="1"/>
  <c r="I4549" i="2" s="1"/>
  <c r="I4550" i="2" a="1"/>
  <c r="I4550" i="2" s="1"/>
  <c r="I4551" i="2" a="1"/>
  <c r="I4551" i="2" s="1"/>
  <c r="I4552" i="2" a="1"/>
  <c r="I4552" i="2" s="1"/>
  <c r="I4553" i="2" a="1"/>
  <c r="I4553" i="2" s="1"/>
  <c r="I4554" i="2" a="1"/>
  <c r="I4554" i="2" s="1"/>
  <c r="I4555" i="2" a="1"/>
  <c r="I4555" i="2" s="1"/>
  <c r="I4556" i="2" a="1"/>
  <c r="I4556" i="2" s="1"/>
  <c r="I4557" i="2" a="1"/>
  <c r="I4557" i="2" s="1"/>
  <c r="I4558" i="2" a="1"/>
  <c r="I4558" i="2" s="1"/>
  <c r="I4559" i="2" a="1"/>
  <c r="I4559" i="2" s="1"/>
  <c r="I4560" i="2" a="1"/>
  <c r="I4560" i="2" s="1"/>
  <c r="I4561" i="2" a="1"/>
  <c r="I4561" i="2" s="1"/>
  <c r="I4562" i="2" a="1"/>
  <c r="I4562" i="2" s="1"/>
  <c r="I4563" i="2" a="1"/>
  <c r="I4563" i="2" s="1"/>
  <c r="I4564" i="2" a="1"/>
  <c r="I4564" i="2" s="1"/>
  <c r="I4565" i="2" a="1"/>
  <c r="I4565" i="2" s="1"/>
  <c r="I4566" i="2" a="1"/>
  <c r="I4566" i="2" s="1"/>
  <c r="I4567" i="2" a="1"/>
  <c r="I4567" i="2" s="1"/>
  <c r="I4568" i="2" a="1"/>
  <c r="I4568" i="2" s="1"/>
  <c r="I4569" i="2" a="1"/>
  <c r="I4569" i="2" s="1"/>
  <c r="I4570" i="2" a="1"/>
  <c r="I4570" i="2" s="1"/>
  <c r="I4571" i="2" a="1"/>
  <c r="I4571" i="2" s="1"/>
  <c r="I4572" i="2" a="1"/>
  <c r="I4572" i="2" s="1"/>
  <c r="I4573" i="2" a="1"/>
  <c r="I4573" i="2" s="1"/>
  <c r="I4574" i="2" a="1"/>
  <c r="I4574" i="2" s="1"/>
  <c r="I4575" i="2" a="1"/>
  <c r="I4575" i="2" s="1"/>
  <c r="I4576" i="2" a="1"/>
  <c r="I4576" i="2" s="1"/>
  <c r="I4577" i="2" a="1"/>
  <c r="I4577" i="2" s="1"/>
  <c r="I4578" i="2" a="1"/>
  <c r="I4578" i="2" s="1"/>
  <c r="I4579" i="2" a="1"/>
  <c r="I4579" i="2" s="1"/>
  <c r="I4580" i="2" a="1"/>
  <c r="I4580" i="2" s="1"/>
  <c r="I4581" i="2" a="1"/>
  <c r="I4581" i="2" s="1"/>
  <c r="I4582" i="2" a="1"/>
  <c r="I4582" i="2" s="1"/>
  <c r="I4583" i="2" a="1"/>
  <c r="I4583" i="2" s="1"/>
  <c r="I4584" i="2" a="1"/>
  <c r="I4584" i="2" s="1"/>
  <c r="I4585" i="2" a="1"/>
  <c r="I4585" i="2" s="1"/>
  <c r="I4586" i="2" a="1"/>
  <c r="I4586" i="2" s="1"/>
  <c r="I4587" i="2" a="1"/>
  <c r="I4587" i="2" s="1"/>
  <c r="I4588" i="2" a="1"/>
  <c r="I4588" i="2" s="1"/>
  <c r="I4589" i="2" a="1"/>
  <c r="I4589" i="2" s="1"/>
  <c r="I4590" i="2" a="1"/>
  <c r="I4590" i="2" s="1"/>
  <c r="I4591" i="2" a="1"/>
  <c r="I4591" i="2" s="1"/>
  <c r="I4592" i="2" a="1"/>
  <c r="I4592" i="2" s="1"/>
  <c r="I4593" i="2" a="1"/>
  <c r="I4593" i="2" s="1"/>
  <c r="I4594" i="2" a="1"/>
  <c r="I4594" i="2" s="1"/>
  <c r="I4595" i="2" a="1"/>
  <c r="I4595" i="2" s="1"/>
  <c r="I4596" i="2" a="1"/>
  <c r="I4596" i="2" s="1"/>
  <c r="I4597" i="2" a="1"/>
  <c r="I4597" i="2" s="1"/>
  <c r="I4598" i="2" a="1"/>
  <c r="I4598" i="2" s="1"/>
  <c r="I4599" i="2" a="1"/>
  <c r="I4599" i="2" s="1"/>
  <c r="I4600" i="2" a="1"/>
  <c r="I4600" i="2" s="1"/>
  <c r="I4601" i="2" a="1"/>
  <c r="I4601" i="2" s="1"/>
  <c r="I4602" i="2" a="1"/>
  <c r="I4602" i="2" s="1"/>
  <c r="I4603" i="2" a="1"/>
  <c r="I4603" i="2" s="1"/>
  <c r="I4604" i="2" a="1"/>
  <c r="I4604" i="2" s="1"/>
  <c r="I4605" i="2" a="1"/>
  <c r="I4605" i="2" s="1"/>
  <c r="I4606" i="2" a="1"/>
  <c r="I4606" i="2" s="1"/>
  <c r="I4607" i="2" a="1"/>
  <c r="I4607" i="2" s="1"/>
  <c r="I4608" i="2" a="1"/>
  <c r="I4608" i="2" s="1"/>
  <c r="I4609" i="2" a="1"/>
  <c r="I4609" i="2" s="1"/>
  <c r="I4610" i="2" a="1"/>
  <c r="I4610" i="2" s="1"/>
  <c r="I4611" i="2" a="1"/>
  <c r="I4611" i="2" s="1"/>
  <c r="I4612" i="2" a="1"/>
  <c r="I4612" i="2" s="1"/>
  <c r="I4613" i="2" a="1"/>
  <c r="I4613" i="2" s="1"/>
  <c r="I4614" i="2" a="1"/>
  <c r="I4614" i="2" s="1"/>
  <c r="I4615" i="2" a="1"/>
  <c r="I4615" i="2" s="1"/>
  <c r="I4616" i="2" a="1"/>
  <c r="I4616" i="2" s="1"/>
  <c r="I4617" i="2" a="1"/>
  <c r="I4617" i="2" s="1"/>
  <c r="I4618" i="2" a="1"/>
  <c r="I4618" i="2" s="1"/>
  <c r="I4619" i="2" a="1"/>
  <c r="I4619" i="2" s="1"/>
  <c r="I4620" i="2" a="1"/>
  <c r="I4620" i="2" s="1"/>
  <c r="I4621" i="2" a="1"/>
  <c r="I4621" i="2" s="1"/>
  <c r="I4622" i="2" a="1"/>
  <c r="I4622" i="2" s="1"/>
  <c r="I4623" i="2" a="1"/>
  <c r="I4623" i="2" s="1"/>
  <c r="I4624" i="2" a="1"/>
  <c r="I4624" i="2" s="1"/>
  <c r="I4625" i="2" a="1"/>
  <c r="I4625" i="2" s="1"/>
  <c r="I4626" i="2" a="1"/>
  <c r="I4626" i="2" s="1"/>
  <c r="I4627" i="2" a="1"/>
  <c r="I4627" i="2" s="1"/>
  <c r="I4628" i="2" a="1"/>
  <c r="I4628" i="2" s="1"/>
  <c r="I4629" i="2" a="1"/>
  <c r="I4629" i="2" s="1"/>
  <c r="I4630" i="2" a="1"/>
  <c r="I4630" i="2" s="1"/>
  <c r="I4631" i="2" a="1"/>
  <c r="I4631" i="2" s="1"/>
  <c r="I4632" i="2" a="1"/>
  <c r="I4632" i="2" s="1"/>
  <c r="I4633" i="2" a="1"/>
  <c r="I4633" i="2" s="1"/>
  <c r="I4634" i="2" a="1"/>
  <c r="I4634" i="2" s="1"/>
  <c r="I4635" i="2" a="1"/>
  <c r="I4635" i="2" s="1"/>
  <c r="I4636" i="2" a="1"/>
  <c r="I4636" i="2" s="1"/>
  <c r="I4637" i="2" a="1"/>
  <c r="I4637" i="2" s="1"/>
  <c r="I4638" i="2" a="1"/>
  <c r="I4638" i="2" s="1"/>
  <c r="I4639" i="2" a="1"/>
  <c r="I4639" i="2" s="1"/>
  <c r="I4640" i="2" a="1"/>
  <c r="I4640" i="2" s="1"/>
  <c r="I4641" i="2" a="1"/>
  <c r="I4641" i="2" s="1"/>
  <c r="I4642" i="2" a="1"/>
  <c r="I4642" i="2" s="1"/>
  <c r="I4643" i="2" a="1"/>
  <c r="I4643" i="2" s="1"/>
  <c r="I4644" i="2" a="1"/>
  <c r="I4644" i="2" s="1"/>
  <c r="I4645" i="2" a="1"/>
  <c r="I4645" i="2" s="1"/>
  <c r="I4646" i="2" a="1"/>
  <c r="I4646" i="2" s="1"/>
  <c r="I4647" i="2" a="1"/>
  <c r="I4647" i="2" s="1"/>
  <c r="I4648" i="2" a="1"/>
  <c r="I4648" i="2" s="1"/>
  <c r="I4649" i="2" a="1"/>
  <c r="I4649" i="2" s="1"/>
  <c r="I4650" i="2" a="1"/>
  <c r="I4650" i="2" s="1"/>
  <c r="I4651" i="2" a="1"/>
  <c r="I4651" i="2" s="1"/>
  <c r="I4652" i="2" a="1"/>
  <c r="I4652" i="2" s="1"/>
  <c r="I4653" i="2" a="1"/>
  <c r="I4653" i="2" s="1"/>
  <c r="I4654" i="2" a="1"/>
  <c r="I4654" i="2" s="1"/>
  <c r="I4655" i="2" a="1"/>
  <c r="I4655" i="2" s="1"/>
  <c r="I4656" i="2" a="1"/>
  <c r="I4656" i="2" s="1"/>
  <c r="I4657" i="2" a="1"/>
  <c r="I4657" i="2" s="1"/>
  <c r="I4658" i="2" a="1"/>
  <c r="I4658" i="2" s="1"/>
  <c r="I4659" i="2" a="1"/>
  <c r="I4659" i="2" s="1"/>
  <c r="I4660" i="2" a="1"/>
  <c r="I4660" i="2" s="1"/>
  <c r="I4661" i="2" a="1"/>
  <c r="I4661" i="2" s="1"/>
  <c r="I4662" i="2" a="1"/>
  <c r="I4662" i="2" s="1"/>
  <c r="I4663" i="2" a="1"/>
  <c r="I4663" i="2" s="1"/>
  <c r="I4664" i="2" a="1"/>
  <c r="I4664" i="2" s="1"/>
  <c r="I4665" i="2" a="1"/>
  <c r="I4665" i="2" s="1"/>
  <c r="I4666" i="2" a="1"/>
  <c r="I4666" i="2" s="1"/>
  <c r="I4667" i="2" a="1"/>
  <c r="I4667" i="2" s="1"/>
  <c r="I4668" i="2" a="1"/>
  <c r="I4668" i="2" s="1"/>
  <c r="I4669" i="2" a="1"/>
  <c r="I4669" i="2" s="1"/>
  <c r="I4670" i="2" a="1"/>
  <c r="I4670" i="2" s="1"/>
  <c r="I4671" i="2" a="1"/>
  <c r="I4671" i="2" s="1"/>
  <c r="I4672" i="2" a="1"/>
  <c r="I4672" i="2" s="1"/>
  <c r="I4673" i="2" a="1"/>
  <c r="I4673" i="2" s="1"/>
  <c r="I4674" i="2" a="1"/>
  <c r="I4674" i="2" s="1"/>
  <c r="I4675" i="2" a="1"/>
  <c r="I4675" i="2" s="1"/>
  <c r="I4676" i="2" a="1"/>
  <c r="I4676" i="2" s="1"/>
  <c r="I4677" i="2" a="1"/>
  <c r="I4677" i="2" s="1"/>
  <c r="I4678" i="2" a="1"/>
  <c r="I4678" i="2" s="1"/>
  <c r="I4679" i="2" a="1"/>
  <c r="I4679" i="2" s="1"/>
  <c r="I4680" i="2" a="1"/>
  <c r="I4680" i="2" s="1"/>
  <c r="I4681" i="2" a="1"/>
  <c r="I4681" i="2" s="1"/>
  <c r="I4682" i="2" a="1"/>
  <c r="I4682" i="2" s="1"/>
  <c r="I4683" i="2" a="1"/>
  <c r="I4683" i="2" s="1"/>
  <c r="I4684" i="2" a="1"/>
  <c r="I4684" i="2" s="1"/>
  <c r="I4685" i="2" a="1"/>
  <c r="I4685" i="2" s="1"/>
  <c r="I4686" i="2" a="1"/>
  <c r="I4686" i="2" s="1"/>
  <c r="I4687" i="2" a="1"/>
  <c r="I4687" i="2" s="1"/>
  <c r="I4688" i="2" a="1"/>
  <c r="I4688" i="2" s="1"/>
  <c r="I4689" i="2" a="1"/>
  <c r="I4689" i="2" s="1"/>
  <c r="I4690" i="2" a="1"/>
  <c r="I4690" i="2" s="1"/>
  <c r="I4691" i="2" a="1"/>
  <c r="I4691" i="2" s="1"/>
  <c r="I4692" i="2" a="1"/>
  <c r="I4692" i="2" s="1"/>
  <c r="I4693" i="2" a="1"/>
  <c r="I4693" i="2" s="1"/>
  <c r="I4694" i="2" a="1"/>
  <c r="I4694" i="2" s="1"/>
  <c r="I4695" i="2" a="1"/>
  <c r="I4695" i="2" s="1"/>
  <c r="I4696" i="2" a="1"/>
  <c r="I4696" i="2" s="1"/>
  <c r="I4697" i="2" a="1"/>
  <c r="I4697" i="2" s="1"/>
  <c r="I4698" i="2" a="1"/>
  <c r="I4698" i="2" s="1"/>
  <c r="I4699" i="2" a="1"/>
  <c r="I4699" i="2" s="1"/>
  <c r="I4700" i="2" a="1"/>
  <c r="I4700" i="2" s="1"/>
  <c r="I4701" i="2" a="1"/>
  <c r="I4701" i="2" s="1"/>
  <c r="I4702" i="2" a="1"/>
  <c r="I4702" i="2" s="1"/>
  <c r="I4703" i="2" a="1"/>
  <c r="I4703" i="2" s="1"/>
  <c r="I4704" i="2" a="1"/>
  <c r="I4704" i="2" s="1"/>
  <c r="I4705" i="2" a="1"/>
  <c r="I4705" i="2" s="1"/>
  <c r="I4706" i="2" a="1"/>
  <c r="I4706" i="2" s="1"/>
  <c r="I4707" i="2" a="1"/>
  <c r="I4707" i="2" s="1"/>
  <c r="I4708" i="2" a="1"/>
  <c r="I4708" i="2" s="1"/>
  <c r="I4709" i="2" a="1"/>
  <c r="I4709" i="2" s="1"/>
  <c r="I4710" i="2" a="1"/>
  <c r="I4710" i="2" s="1"/>
  <c r="I4711" i="2" a="1"/>
  <c r="I4711" i="2" s="1"/>
  <c r="I4712" i="2" a="1"/>
  <c r="I4712" i="2" s="1"/>
  <c r="I4713" i="2" a="1"/>
  <c r="I4713" i="2" s="1"/>
  <c r="I4714" i="2" a="1"/>
  <c r="I4714" i="2" s="1"/>
  <c r="I4715" i="2" a="1"/>
  <c r="I4715" i="2" s="1"/>
  <c r="I4716" i="2" a="1"/>
  <c r="I4716" i="2" s="1"/>
  <c r="I4717" i="2" a="1"/>
  <c r="I4717" i="2" s="1"/>
  <c r="I4718" i="2" a="1"/>
  <c r="I4718" i="2" s="1"/>
  <c r="I4719" i="2" a="1"/>
  <c r="I4719" i="2" s="1"/>
  <c r="I4720" i="2" a="1"/>
  <c r="I4720" i="2" s="1"/>
  <c r="I4721" i="2" a="1"/>
  <c r="I4721" i="2" s="1"/>
  <c r="I4722" i="2" a="1"/>
  <c r="I4722" i="2" s="1"/>
  <c r="I4723" i="2" a="1"/>
  <c r="I4723" i="2" s="1"/>
  <c r="I4724" i="2" a="1"/>
  <c r="I4724" i="2" s="1"/>
  <c r="I4725" i="2" a="1"/>
  <c r="I4725" i="2" s="1"/>
  <c r="I4726" i="2" a="1"/>
  <c r="I4726" i="2" s="1"/>
  <c r="I4727" i="2" a="1"/>
  <c r="I4727" i="2" s="1"/>
  <c r="I4728" i="2" a="1"/>
  <c r="I4728" i="2" s="1"/>
  <c r="I4729" i="2" a="1"/>
  <c r="I4729" i="2" s="1"/>
  <c r="I4730" i="2" a="1"/>
  <c r="I4730" i="2" s="1"/>
  <c r="I4731" i="2" a="1"/>
  <c r="I4731" i="2" s="1"/>
  <c r="I4732" i="2" a="1"/>
  <c r="I4732" i="2" s="1"/>
  <c r="I4733" i="2" a="1"/>
  <c r="I4733" i="2" s="1"/>
  <c r="I4734" i="2" a="1"/>
  <c r="I4734" i="2" s="1"/>
  <c r="I4735" i="2" a="1"/>
  <c r="I4735" i="2" s="1"/>
  <c r="I4736" i="2" a="1"/>
  <c r="I4736" i="2" s="1"/>
  <c r="I4737" i="2" a="1"/>
  <c r="I4737" i="2" s="1"/>
  <c r="I4738" i="2" a="1"/>
  <c r="I4738" i="2" s="1"/>
  <c r="I4739" i="2" a="1"/>
  <c r="I4739" i="2" s="1"/>
  <c r="I4740" i="2" a="1"/>
  <c r="I4740" i="2" s="1"/>
  <c r="I4741" i="2" a="1"/>
  <c r="I4741" i="2" s="1"/>
  <c r="I4742" i="2" a="1"/>
  <c r="I4742" i="2" s="1"/>
  <c r="I4743" i="2" a="1"/>
  <c r="I4743" i="2" s="1"/>
  <c r="I4744" i="2" a="1"/>
  <c r="I4744" i="2" s="1"/>
  <c r="I4745" i="2" a="1"/>
  <c r="I4745" i="2" s="1"/>
  <c r="I4746" i="2" a="1"/>
  <c r="I4746" i="2" s="1"/>
  <c r="I4747" i="2" a="1"/>
  <c r="I4747" i="2" s="1"/>
  <c r="I4748" i="2" a="1"/>
  <c r="I4748" i="2" s="1"/>
  <c r="I4749" i="2" a="1"/>
  <c r="I4749" i="2" s="1"/>
  <c r="I4750" i="2" a="1"/>
  <c r="I4750" i="2" s="1"/>
  <c r="I4751" i="2" a="1"/>
  <c r="I4751" i="2" s="1"/>
  <c r="I4752" i="2" a="1"/>
  <c r="I4752" i="2" s="1"/>
  <c r="I4753" i="2" a="1"/>
  <c r="I4753" i="2" s="1"/>
  <c r="I4754" i="2" a="1"/>
  <c r="I4754" i="2" s="1"/>
  <c r="I4755" i="2" a="1"/>
  <c r="I4755" i="2" s="1"/>
  <c r="I4756" i="2" a="1"/>
  <c r="I4756" i="2" s="1"/>
  <c r="I4757" i="2" a="1"/>
  <c r="I4757" i="2" s="1"/>
  <c r="I4758" i="2" a="1"/>
  <c r="I4758" i="2" s="1"/>
  <c r="I4759" i="2" a="1"/>
  <c r="I4759" i="2" s="1"/>
  <c r="I4760" i="2" a="1"/>
  <c r="I4760" i="2" s="1"/>
  <c r="I4761" i="2" a="1"/>
  <c r="I4761" i="2" s="1"/>
  <c r="I4762" i="2" a="1"/>
  <c r="I4762" i="2" s="1"/>
  <c r="I4763" i="2" a="1"/>
  <c r="I4763" i="2" s="1"/>
  <c r="I4764" i="2" a="1"/>
  <c r="I4764" i="2" s="1"/>
  <c r="I4765" i="2" a="1"/>
  <c r="I4765" i="2" s="1"/>
  <c r="I4766" i="2" a="1"/>
  <c r="I4766" i="2" s="1"/>
  <c r="I4767" i="2" a="1"/>
  <c r="I4767" i="2" s="1"/>
  <c r="I4768" i="2" a="1"/>
  <c r="I4768" i="2" s="1"/>
  <c r="I4769" i="2" a="1"/>
  <c r="I4769" i="2" s="1"/>
  <c r="I4770" i="2" a="1"/>
  <c r="I4770" i="2" s="1"/>
  <c r="I4771" i="2" a="1"/>
  <c r="I4771" i="2" s="1"/>
  <c r="I4772" i="2" a="1"/>
  <c r="I4772" i="2" s="1"/>
  <c r="I4773" i="2" a="1"/>
  <c r="I4773" i="2" s="1"/>
  <c r="I4774" i="2" a="1"/>
  <c r="I4774" i="2" s="1"/>
  <c r="I4775" i="2" a="1"/>
  <c r="I4775" i="2" s="1"/>
  <c r="I4776" i="2" a="1"/>
  <c r="I4776" i="2" s="1"/>
  <c r="I4777" i="2" a="1"/>
  <c r="I4777" i="2" s="1"/>
  <c r="I4778" i="2" a="1"/>
  <c r="I4778" i="2" s="1"/>
  <c r="I4779" i="2" a="1"/>
  <c r="I4779" i="2" s="1"/>
  <c r="I4780" i="2" a="1"/>
  <c r="I4780" i="2" s="1"/>
  <c r="I4781" i="2" a="1"/>
  <c r="I4781" i="2" s="1"/>
  <c r="I4782" i="2" a="1"/>
  <c r="I4782" i="2" s="1"/>
  <c r="I4783" i="2" a="1"/>
  <c r="I4783" i="2" s="1"/>
  <c r="I4784" i="2" a="1"/>
  <c r="I4784" i="2" s="1"/>
  <c r="I4785" i="2" a="1"/>
  <c r="I4785" i="2" s="1"/>
  <c r="I4786" i="2" a="1"/>
  <c r="I4786" i="2" s="1"/>
  <c r="I4787" i="2" a="1"/>
  <c r="I4787" i="2" s="1"/>
  <c r="I4788" i="2" a="1"/>
  <c r="I4788" i="2" s="1"/>
  <c r="I4789" i="2" a="1"/>
  <c r="I4789" i="2" s="1"/>
  <c r="I4790" i="2" a="1"/>
  <c r="I4790" i="2" s="1"/>
  <c r="I4791" i="2" a="1"/>
  <c r="I4791" i="2" s="1"/>
  <c r="I4792" i="2" a="1"/>
  <c r="I4792" i="2" s="1"/>
  <c r="I4793" i="2" a="1"/>
  <c r="I4793" i="2" s="1"/>
  <c r="I4794" i="2" a="1"/>
  <c r="I4794" i="2" s="1"/>
  <c r="I4795" i="2" a="1"/>
  <c r="I4795" i="2" s="1"/>
  <c r="I4796" i="2" a="1"/>
  <c r="I4796" i="2" s="1"/>
  <c r="I4797" i="2" a="1"/>
  <c r="I4797" i="2" s="1"/>
  <c r="I4798" i="2" a="1"/>
  <c r="I4798" i="2" s="1"/>
  <c r="I4799" i="2" a="1"/>
  <c r="I4799" i="2" s="1"/>
  <c r="I4800" i="2" a="1"/>
  <c r="I4800" i="2" s="1"/>
  <c r="I4801" i="2" a="1"/>
  <c r="I4801" i="2" s="1"/>
  <c r="I4802" i="2" a="1"/>
  <c r="I4802" i="2" s="1"/>
  <c r="I4803" i="2" a="1"/>
  <c r="I4803" i="2" s="1"/>
  <c r="I4804" i="2" a="1"/>
  <c r="I4804" i="2" s="1"/>
  <c r="I4805" i="2" a="1"/>
  <c r="I4805" i="2" s="1"/>
  <c r="I4806" i="2" a="1"/>
  <c r="I4806" i="2" s="1"/>
  <c r="I4807" i="2" a="1"/>
  <c r="I4807" i="2" s="1"/>
  <c r="I4808" i="2" a="1"/>
  <c r="I4808" i="2" s="1"/>
  <c r="I4809" i="2" a="1"/>
  <c r="I4809" i="2" s="1"/>
  <c r="I4810" i="2" a="1"/>
  <c r="I4810" i="2" s="1"/>
  <c r="I4811" i="2" a="1"/>
  <c r="I4811" i="2" s="1"/>
  <c r="I4812" i="2" a="1"/>
  <c r="I4812" i="2" s="1"/>
  <c r="I4813" i="2" a="1"/>
  <c r="I4813" i="2" s="1"/>
  <c r="I4814" i="2" a="1"/>
  <c r="I4814" i="2" s="1"/>
  <c r="I4815" i="2" a="1"/>
  <c r="I4815" i="2" s="1"/>
  <c r="I4816" i="2" a="1"/>
  <c r="I4816" i="2" s="1"/>
  <c r="I4817" i="2" a="1"/>
  <c r="I4817" i="2" s="1"/>
  <c r="I4818" i="2" a="1"/>
  <c r="I4818" i="2" s="1"/>
  <c r="I4819" i="2" a="1"/>
  <c r="I4819" i="2" s="1"/>
  <c r="I4820" i="2" a="1"/>
  <c r="I4820" i="2" s="1"/>
  <c r="I4821" i="2" a="1"/>
  <c r="I4821" i="2" s="1"/>
  <c r="I4822" i="2" a="1"/>
  <c r="I4822" i="2" s="1"/>
  <c r="I4823" i="2" a="1"/>
  <c r="I4823" i="2" s="1"/>
  <c r="I4824" i="2" a="1"/>
  <c r="I4824" i="2" s="1"/>
  <c r="I4825" i="2" a="1"/>
  <c r="I4825" i="2" s="1"/>
  <c r="I4826" i="2" a="1"/>
  <c r="I4826" i="2" s="1"/>
  <c r="I4827" i="2" a="1"/>
  <c r="I4827" i="2" s="1"/>
  <c r="I4828" i="2" a="1"/>
  <c r="I4828" i="2" s="1"/>
  <c r="I4829" i="2" a="1"/>
  <c r="I4829" i="2" s="1"/>
  <c r="I4830" i="2" a="1"/>
  <c r="I4830" i="2" s="1"/>
  <c r="I4831" i="2" a="1"/>
  <c r="I4831" i="2" s="1"/>
  <c r="I4832" i="2" a="1"/>
  <c r="I4832" i="2" s="1"/>
  <c r="I4833" i="2" a="1"/>
  <c r="I4833" i="2" s="1"/>
  <c r="I4834" i="2" a="1"/>
  <c r="I4834" i="2" s="1"/>
  <c r="I4835" i="2" a="1"/>
  <c r="I4835" i="2" s="1"/>
  <c r="I4836" i="2" a="1"/>
  <c r="I4836" i="2" s="1"/>
  <c r="I4837" i="2" a="1"/>
  <c r="I4837" i="2" s="1"/>
  <c r="I4838" i="2" a="1"/>
  <c r="I4838" i="2" s="1"/>
  <c r="I4839" i="2" a="1"/>
  <c r="I4839" i="2" s="1"/>
  <c r="I4840" i="2" a="1"/>
  <c r="I4840" i="2" s="1"/>
  <c r="I4841" i="2" a="1"/>
  <c r="I4841" i="2" s="1"/>
  <c r="I4842" i="2" a="1"/>
  <c r="I4842" i="2" s="1"/>
  <c r="I4843" i="2" a="1"/>
  <c r="I4843" i="2" s="1"/>
  <c r="I4844" i="2" a="1"/>
  <c r="I4844" i="2" s="1"/>
  <c r="I4845" i="2" a="1"/>
  <c r="I4845" i="2" s="1"/>
  <c r="I4846" i="2" a="1"/>
  <c r="I4846" i="2" s="1"/>
  <c r="I4847" i="2" a="1"/>
  <c r="I4847" i="2" s="1"/>
  <c r="I4848" i="2" a="1"/>
  <c r="I4848" i="2" s="1"/>
  <c r="I4849" i="2" a="1"/>
  <c r="I4849" i="2" s="1"/>
  <c r="I4850" i="2" a="1"/>
  <c r="I4850" i="2" s="1"/>
  <c r="I4851" i="2" a="1"/>
  <c r="I4851" i="2" s="1"/>
  <c r="I4852" i="2" a="1"/>
  <c r="I4852" i="2" s="1"/>
  <c r="I4853" i="2" a="1"/>
  <c r="I4853" i="2" s="1"/>
  <c r="I4854" i="2" a="1"/>
  <c r="I4854" i="2" s="1"/>
  <c r="I4855" i="2" a="1"/>
  <c r="I4855" i="2" s="1"/>
  <c r="I4856" i="2" a="1"/>
  <c r="I4856" i="2" s="1"/>
  <c r="I4857" i="2" a="1"/>
  <c r="I4857" i="2" s="1"/>
  <c r="I4858" i="2" a="1"/>
  <c r="I4858" i="2" s="1"/>
  <c r="I4859" i="2" a="1"/>
  <c r="I4859" i="2" s="1"/>
  <c r="I4860" i="2" a="1"/>
  <c r="I4860" i="2" s="1"/>
  <c r="I4861" i="2" a="1"/>
  <c r="I4861" i="2" s="1"/>
  <c r="I4862" i="2" a="1"/>
  <c r="I4862" i="2" s="1"/>
  <c r="I4863" i="2" a="1"/>
  <c r="I4863" i="2" s="1"/>
  <c r="I4864" i="2" a="1"/>
  <c r="I4864" i="2" s="1"/>
  <c r="I4865" i="2" a="1"/>
  <c r="I4865" i="2" s="1"/>
  <c r="I4866" i="2" a="1"/>
  <c r="I4866" i="2" s="1"/>
  <c r="I4867" i="2" a="1"/>
  <c r="I4867" i="2" s="1"/>
  <c r="I4868" i="2" a="1"/>
  <c r="I4868" i="2" s="1"/>
  <c r="I4869" i="2" a="1"/>
  <c r="I4869" i="2" s="1"/>
  <c r="I4870" i="2" a="1"/>
  <c r="I4870" i="2" s="1"/>
  <c r="I4871" i="2" a="1"/>
  <c r="I4871" i="2" s="1"/>
  <c r="I4872" i="2" a="1"/>
  <c r="I4872" i="2" s="1"/>
  <c r="I4873" i="2" a="1"/>
  <c r="I4873" i="2" s="1"/>
  <c r="I4874" i="2" a="1"/>
  <c r="I4874" i="2" s="1"/>
  <c r="I4875" i="2" a="1"/>
  <c r="I4875" i="2" s="1"/>
  <c r="I4876" i="2" a="1"/>
  <c r="I4876" i="2" s="1"/>
  <c r="I4877" i="2" a="1"/>
  <c r="I4877" i="2" s="1"/>
  <c r="I4878" i="2" a="1"/>
  <c r="I4878" i="2" s="1"/>
  <c r="I4879" i="2" a="1"/>
  <c r="I4879" i="2" s="1"/>
  <c r="I4880" i="2" a="1"/>
  <c r="I4880" i="2" s="1"/>
  <c r="I4881" i="2" a="1"/>
  <c r="I4881" i="2" s="1"/>
  <c r="I4882" i="2" a="1"/>
  <c r="I4882" i="2" s="1"/>
  <c r="I4883" i="2" a="1"/>
  <c r="I4883" i="2" s="1"/>
  <c r="I4884" i="2" a="1"/>
  <c r="I4884" i="2" s="1"/>
  <c r="I4885" i="2" a="1"/>
  <c r="I4885" i="2" s="1"/>
  <c r="I4886" i="2" a="1"/>
  <c r="I4886" i="2" s="1"/>
  <c r="I4887" i="2" a="1"/>
  <c r="I4887" i="2" s="1"/>
  <c r="I4888" i="2" a="1"/>
  <c r="I4888" i="2" s="1"/>
  <c r="I4889" i="2" a="1"/>
  <c r="I4889" i="2" s="1"/>
  <c r="I4890" i="2" a="1"/>
  <c r="I4890" i="2" s="1"/>
  <c r="I4891" i="2" a="1"/>
  <c r="I4891" i="2" s="1"/>
  <c r="I4892" i="2" a="1"/>
  <c r="I4892" i="2" s="1"/>
  <c r="I4893" i="2" a="1"/>
  <c r="I4893" i="2" s="1"/>
  <c r="I4894" i="2" a="1"/>
  <c r="I4894" i="2" s="1"/>
  <c r="I4895" i="2" a="1"/>
  <c r="I4895" i="2" s="1"/>
  <c r="I4896" i="2" a="1"/>
  <c r="I4896" i="2" s="1"/>
  <c r="I4897" i="2" a="1"/>
  <c r="I4897" i="2" s="1"/>
  <c r="I4898" i="2" a="1"/>
  <c r="I4898" i="2" s="1"/>
  <c r="I4899" i="2" a="1"/>
  <c r="I4899" i="2" s="1"/>
  <c r="I4900" i="2" a="1"/>
  <c r="I4900" i="2" s="1"/>
  <c r="I4901" i="2" a="1"/>
  <c r="I4901" i="2" s="1"/>
  <c r="I4902" i="2" a="1"/>
  <c r="I4902" i="2" s="1"/>
  <c r="I4903" i="2" a="1"/>
  <c r="I4903" i="2" s="1"/>
  <c r="I4904" i="2" a="1"/>
  <c r="I4904" i="2" s="1"/>
  <c r="I4905" i="2" a="1"/>
  <c r="I4905" i="2" s="1"/>
  <c r="I4906" i="2" a="1"/>
  <c r="I4906" i="2" s="1"/>
  <c r="I4907" i="2" a="1"/>
  <c r="I4907" i="2" s="1"/>
  <c r="I4908" i="2" a="1"/>
  <c r="I4908" i="2" s="1"/>
  <c r="I4909" i="2" a="1"/>
  <c r="I4909" i="2" s="1"/>
  <c r="I4910" i="2" a="1"/>
  <c r="I4910" i="2" s="1"/>
  <c r="I4911" i="2" a="1"/>
  <c r="I4911" i="2" s="1"/>
  <c r="I4912" i="2" a="1"/>
  <c r="I4912" i="2" s="1"/>
  <c r="I4913" i="2" a="1"/>
  <c r="I4913" i="2" s="1"/>
  <c r="I4914" i="2" a="1"/>
  <c r="I4914" i="2" s="1"/>
  <c r="I4915" i="2" a="1"/>
  <c r="I4915" i="2" s="1"/>
  <c r="I4916" i="2" a="1"/>
  <c r="I4916" i="2" s="1"/>
  <c r="I4917" i="2" a="1"/>
  <c r="I4917" i="2" s="1"/>
  <c r="I4918" i="2" a="1"/>
  <c r="I4918" i="2" s="1"/>
  <c r="I4919" i="2" a="1"/>
  <c r="I4919" i="2" s="1"/>
  <c r="I4920" i="2" a="1"/>
  <c r="I4920" i="2" s="1"/>
  <c r="I4921" i="2" a="1"/>
  <c r="I4921" i="2" s="1"/>
  <c r="I4922" i="2" a="1"/>
  <c r="I4922" i="2" s="1"/>
  <c r="I4923" i="2" a="1"/>
  <c r="I4923" i="2" s="1"/>
  <c r="I4924" i="2" a="1"/>
  <c r="I4924" i="2" s="1"/>
  <c r="I4925" i="2" a="1"/>
  <c r="I4925" i="2" s="1"/>
  <c r="I4926" i="2" a="1"/>
  <c r="I4926" i="2" s="1"/>
  <c r="I4927" i="2" a="1"/>
  <c r="I4927" i="2" s="1"/>
  <c r="I4928" i="2" a="1"/>
  <c r="I4928" i="2" s="1"/>
  <c r="I4929" i="2" a="1"/>
  <c r="I4929" i="2" s="1"/>
  <c r="I4930" i="2" a="1"/>
  <c r="I4930" i="2" s="1"/>
  <c r="I4931" i="2" a="1"/>
  <c r="I4931" i="2" s="1"/>
  <c r="I4932" i="2" a="1"/>
  <c r="I4932" i="2" s="1"/>
  <c r="I4933" i="2" a="1"/>
  <c r="I4933" i="2" s="1"/>
  <c r="I4934" i="2" a="1"/>
  <c r="I4934" i="2" s="1"/>
  <c r="I4935" i="2" a="1"/>
  <c r="I4935" i="2" s="1"/>
  <c r="I4936" i="2" a="1"/>
  <c r="I4936" i="2" s="1"/>
  <c r="I4937" i="2" a="1"/>
  <c r="I4937" i="2" s="1"/>
  <c r="I4938" i="2" a="1"/>
  <c r="I4938" i="2" s="1"/>
  <c r="I4939" i="2" a="1"/>
  <c r="I4939" i="2" s="1"/>
  <c r="I4940" i="2" a="1"/>
  <c r="I4940" i="2" s="1"/>
  <c r="I4941" i="2" a="1"/>
  <c r="I4941" i="2" s="1"/>
  <c r="I4942" i="2" a="1"/>
  <c r="I4942" i="2" s="1"/>
  <c r="I4943" i="2" a="1"/>
  <c r="I4943" i="2" s="1"/>
  <c r="I4944" i="2" a="1"/>
  <c r="I4944" i="2" s="1"/>
  <c r="I4945" i="2" a="1"/>
  <c r="I4945" i="2" s="1"/>
  <c r="I4946" i="2" a="1"/>
  <c r="I4946" i="2" s="1"/>
  <c r="I4947" i="2" a="1"/>
  <c r="I4947" i="2" s="1"/>
  <c r="I4948" i="2" a="1"/>
  <c r="I4948" i="2" s="1"/>
  <c r="I4949" i="2" a="1"/>
  <c r="I4949" i="2" s="1"/>
  <c r="I4950" i="2" a="1"/>
  <c r="I4950" i="2" s="1"/>
  <c r="I4951" i="2" a="1"/>
  <c r="I4951" i="2" s="1"/>
  <c r="I4952" i="2" a="1"/>
  <c r="I4952" i="2" s="1"/>
  <c r="I4953" i="2" a="1"/>
  <c r="I4953" i="2" s="1"/>
  <c r="I4954" i="2" a="1"/>
  <c r="I4954" i="2" s="1"/>
  <c r="I4955" i="2" a="1"/>
  <c r="I4955" i="2" s="1"/>
  <c r="I4956" i="2" a="1"/>
  <c r="I4956" i="2" s="1"/>
  <c r="I4957" i="2" a="1"/>
  <c r="I4957" i="2" s="1"/>
  <c r="I4958" i="2" a="1"/>
  <c r="I4958" i="2" s="1"/>
  <c r="I4959" i="2" a="1"/>
  <c r="I4959" i="2" s="1"/>
  <c r="I4960" i="2" a="1"/>
  <c r="I4960" i="2" s="1"/>
  <c r="I4961" i="2" a="1"/>
  <c r="I4961" i="2" s="1"/>
  <c r="I4962" i="2" a="1"/>
  <c r="I4962" i="2" s="1"/>
  <c r="I4963" i="2" a="1"/>
  <c r="I4963" i="2" s="1"/>
  <c r="I4964" i="2" a="1"/>
  <c r="I4964" i="2" s="1"/>
  <c r="I4965" i="2" a="1"/>
  <c r="I4965" i="2" s="1"/>
  <c r="I4966" i="2" a="1"/>
  <c r="I4966" i="2" s="1"/>
  <c r="I4967" i="2" a="1"/>
  <c r="I4967" i="2" s="1"/>
  <c r="I4968" i="2" a="1"/>
  <c r="I4968" i="2" s="1"/>
  <c r="I4969" i="2" a="1"/>
  <c r="I4969" i="2" s="1"/>
  <c r="I4970" i="2" a="1"/>
  <c r="I4970" i="2" s="1"/>
  <c r="I4971" i="2" a="1"/>
  <c r="I4971" i="2" s="1"/>
  <c r="I4972" i="2" a="1"/>
  <c r="I4972" i="2" s="1"/>
  <c r="I4973" i="2" a="1"/>
  <c r="I4973" i="2" s="1"/>
  <c r="I4974" i="2" a="1"/>
  <c r="I4974" i="2" s="1"/>
  <c r="I4975" i="2" a="1"/>
  <c r="I4975" i="2" s="1"/>
  <c r="I4976" i="2" a="1"/>
  <c r="I4976" i="2" s="1"/>
  <c r="I4977" i="2" a="1"/>
  <c r="I4977" i="2" s="1"/>
  <c r="I4978" i="2" a="1"/>
  <c r="I4978" i="2" s="1"/>
  <c r="I4979" i="2" a="1"/>
  <c r="I4979" i="2" s="1"/>
  <c r="I4980" i="2" a="1"/>
  <c r="I4980" i="2" s="1"/>
  <c r="I4981" i="2" a="1"/>
  <c r="I4981" i="2" s="1"/>
  <c r="I4982" i="2" a="1"/>
  <c r="I4982" i="2" s="1"/>
  <c r="I4983" i="2" a="1"/>
  <c r="I4983" i="2" s="1"/>
  <c r="I4984" i="2" a="1"/>
  <c r="I4984" i="2" s="1"/>
  <c r="I4985" i="2" a="1"/>
  <c r="I4985" i="2" s="1"/>
  <c r="I4986" i="2" a="1"/>
  <c r="I4986" i="2" s="1"/>
  <c r="I4987" i="2" a="1"/>
  <c r="I4987" i="2" s="1"/>
  <c r="I4988" i="2" a="1"/>
  <c r="I4988" i="2" s="1"/>
  <c r="I4989" i="2" a="1"/>
  <c r="I4989" i="2" s="1"/>
  <c r="I4990" i="2" a="1"/>
  <c r="I4990" i="2" s="1"/>
  <c r="I4991" i="2" a="1"/>
  <c r="I4991" i="2" s="1"/>
  <c r="I4992" i="2" a="1"/>
  <c r="I4992" i="2" s="1"/>
  <c r="I4993" i="2" a="1"/>
  <c r="I4993" i="2" s="1"/>
  <c r="I4994" i="2" a="1"/>
  <c r="I4994" i="2" s="1"/>
  <c r="I4995" i="2" a="1"/>
  <c r="I4995" i="2" s="1"/>
  <c r="I4996" i="2" a="1"/>
  <c r="I4996" i="2" s="1"/>
  <c r="I4997" i="2" a="1"/>
  <c r="I4997" i="2" s="1"/>
  <c r="I4998" i="2" a="1"/>
  <c r="I4998" i="2" s="1"/>
  <c r="I4999" i="2" a="1"/>
  <c r="I4999" i="2" s="1"/>
  <c r="I5000" i="2" a="1"/>
  <c r="I5000" i="2" s="1"/>
  <c r="I5001" i="2" a="1"/>
  <c r="I5001" i="2" s="1"/>
  <c r="I5002" i="2" a="1"/>
  <c r="I5002" i="2" s="1"/>
  <c r="I5003" i="2" a="1"/>
  <c r="I5003" i="2" s="1"/>
  <c r="I5004" i="2" a="1"/>
  <c r="I5004" i="2" s="1"/>
  <c r="I5005" i="2" a="1"/>
  <c r="I5005" i="2" s="1"/>
  <c r="I5006" i="2" a="1"/>
  <c r="I5006" i="2" s="1"/>
  <c r="I5007" i="2" a="1"/>
  <c r="I5007" i="2" s="1"/>
  <c r="I5008" i="2" a="1"/>
  <c r="I5008" i="2" s="1"/>
  <c r="I5009" i="2" a="1"/>
  <c r="I5009" i="2" s="1"/>
  <c r="I5010" i="2" a="1"/>
  <c r="I5010" i="2" s="1"/>
  <c r="I5011" i="2" a="1"/>
  <c r="I5011" i="2" s="1"/>
  <c r="I5012" i="2" a="1"/>
  <c r="I5012" i="2" s="1"/>
  <c r="I5013" i="2" a="1"/>
  <c r="I5013" i="2" s="1"/>
  <c r="I5014" i="2" a="1"/>
  <c r="I5014" i="2" s="1"/>
  <c r="I5015" i="2" a="1"/>
  <c r="I5015" i="2" s="1"/>
  <c r="I5016" i="2" a="1"/>
  <c r="I5016" i="2" s="1"/>
  <c r="I5017" i="2" a="1"/>
  <c r="I5017" i="2" s="1"/>
  <c r="I5018" i="2" a="1"/>
  <c r="I5018" i="2" s="1"/>
  <c r="I5019" i="2" a="1"/>
  <c r="I5019" i="2" s="1"/>
  <c r="I5020" i="2" a="1"/>
  <c r="I5020" i="2" s="1"/>
  <c r="I5021" i="2" a="1"/>
  <c r="I5021" i="2" s="1"/>
  <c r="I5022" i="2" a="1"/>
  <c r="I5022" i="2" s="1"/>
  <c r="I5023" i="2" a="1"/>
  <c r="I5023" i="2" s="1"/>
  <c r="I5024" i="2" a="1"/>
  <c r="I5024" i="2" s="1"/>
  <c r="I5025" i="2" a="1"/>
  <c r="I5025" i="2" s="1"/>
  <c r="I5026" i="2" a="1"/>
  <c r="I5026" i="2" s="1"/>
  <c r="I5027" i="2" a="1"/>
  <c r="I5027" i="2" s="1"/>
  <c r="I5028" i="2" a="1"/>
  <c r="I5028" i="2" s="1"/>
  <c r="I5029" i="2" a="1"/>
  <c r="I5029" i="2" s="1"/>
  <c r="I5030" i="2" a="1"/>
  <c r="I5030" i="2" s="1"/>
  <c r="I5031" i="2" a="1"/>
  <c r="I5031" i="2" s="1"/>
  <c r="I5032" i="2" a="1"/>
  <c r="I5032" i="2" s="1"/>
  <c r="I5033" i="2" a="1"/>
  <c r="I5033" i="2" s="1"/>
  <c r="I5034" i="2" a="1"/>
  <c r="I5034" i="2" s="1"/>
  <c r="I5035" i="2" a="1"/>
  <c r="I5035" i="2" s="1"/>
  <c r="I5036" i="2" a="1"/>
  <c r="I5036" i="2" s="1"/>
  <c r="I5037" i="2" a="1"/>
  <c r="I5037" i="2" s="1"/>
  <c r="I5038" i="2" a="1"/>
  <c r="I5038" i="2" s="1"/>
  <c r="I5039" i="2" a="1"/>
  <c r="I5039" i="2" s="1"/>
  <c r="I5040" i="2" a="1"/>
  <c r="I5040" i="2" s="1"/>
  <c r="I5041" i="2" a="1"/>
  <c r="I5041" i="2" s="1"/>
  <c r="I5042" i="2" a="1"/>
  <c r="I5042" i="2" s="1"/>
  <c r="I5043" i="2" a="1"/>
  <c r="I5043" i="2" s="1"/>
  <c r="I5044" i="2" a="1"/>
  <c r="I5044" i="2" s="1"/>
  <c r="I5045" i="2" a="1"/>
  <c r="I5045" i="2" s="1"/>
  <c r="I5046" i="2" a="1"/>
  <c r="I5046" i="2" s="1"/>
  <c r="I5047" i="2" a="1"/>
  <c r="I5047" i="2" s="1"/>
  <c r="I5048" i="2" a="1"/>
  <c r="I5048" i="2" s="1"/>
  <c r="I5049" i="2" a="1"/>
  <c r="I5049" i="2" s="1"/>
  <c r="I5050" i="2" a="1"/>
  <c r="I5050" i="2" s="1"/>
  <c r="I5051" i="2" a="1"/>
  <c r="I5051" i="2" s="1"/>
  <c r="I5052" i="2" a="1"/>
  <c r="I5052" i="2" s="1"/>
  <c r="I5053" i="2" a="1"/>
  <c r="I5053" i="2" s="1"/>
  <c r="I5054" i="2" a="1"/>
  <c r="I5054" i="2" s="1"/>
  <c r="I5055" i="2" a="1"/>
  <c r="I5055" i="2" s="1"/>
  <c r="I5056" i="2" a="1"/>
  <c r="I5056" i="2" s="1"/>
  <c r="I5057" i="2" a="1"/>
  <c r="I5057" i="2" s="1"/>
  <c r="I5058" i="2" a="1"/>
  <c r="I5058" i="2" s="1"/>
  <c r="I5059" i="2" a="1"/>
  <c r="I5059" i="2" s="1"/>
  <c r="I5060" i="2" a="1"/>
  <c r="I5060" i="2" s="1"/>
  <c r="I5061" i="2" a="1"/>
  <c r="I5061" i="2" s="1"/>
  <c r="I5062" i="2" a="1"/>
  <c r="I5062" i="2" s="1"/>
  <c r="I5063" i="2" a="1"/>
  <c r="I5063" i="2" s="1"/>
  <c r="I5064" i="2" a="1"/>
  <c r="I5064" i="2" s="1"/>
  <c r="I5065" i="2" a="1"/>
  <c r="I5065" i="2" s="1"/>
  <c r="I5066" i="2" a="1"/>
  <c r="I5066" i="2" s="1"/>
  <c r="I5067" i="2" a="1"/>
  <c r="I5067" i="2" s="1"/>
  <c r="I5068" i="2" a="1"/>
  <c r="I5068" i="2" s="1"/>
  <c r="I5069" i="2" a="1"/>
  <c r="I5069" i="2" s="1"/>
  <c r="I5070" i="2" a="1"/>
  <c r="I5070" i="2" s="1"/>
  <c r="I5071" i="2" a="1"/>
  <c r="I5071" i="2" s="1"/>
  <c r="I5072" i="2" a="1"/>
  <c r="I5072" i="2" s="1"/>
  <c r="I5073" i="2" a="1"/>
  <c r="I5073" i="2" s="1"/>
  <c r="I5074" i="2" a="1"/>
  <c r="I5074" i="2" s="1"/>
  <c r="I5075" i="2" a="1"/>
  <c r="I5075" i="2" s="1"/>
  <c r="I5076" i="2" a="1"/>
  <c r="I5076" i="2" s="1"/>
  <c r="I5077" i="2" a="1"/>
  <c r="I5077" i="2" s="1"/>
  <c r="I5078" i="2" a="1"/>
  <c r="I5078" i="2" s="1"/>
  <c r="I5079" i="2" a="1"/>
  <c r="I5079" i="2" s="1"/>
  <c r="I5080" i="2" a="1"/>
  <c r="I5080" i="2" s="1"/>
  <c r="I5081" i="2" a="1"/>
  <c r="I5081" i="2" s="1"/>
  <c r="I5082" i="2" a="1"/>
  <c r="I5082" i="2" s="1"/>
  <c r="I5083" i="2" a="1"/>
  <c r="I5083" i="2" s="1"/>
  <c r="I5084" i="2" a="1"/>
  <c r="I5084" i="2" s="1"/>
  <c r="I5085" i="2" a="1"/>
  <c r="I5085" i="2" s="1"/>
  <c r="I5086" i="2" a="1"/>
  <c r="I5086" i="2" s="1"/>
  <c r="I5087" i="2" a="1"/>
  <c r="I5087" i="2" s="1"/>
  <c r="I5088" i="2" a="1"/>
  <c r="I5088" i="2" s="1"/>
  <c r="I5089" i="2" a="1"/>
  <c r="I5089" i="2" s="1"/>
  <c r="I5090" i="2" a="1"/>
  <c r="I5090" i="2" s="1"/>
  <c r="I5091" i="2" a="1"/>
  <c r="I5091" i="2" s="1"/>
  <c r="I5092" i="2" a="1"/>
  <c r="I5092" i="2" s="1"/>
  <c r="I5093" i="2" a="1"/>
  <c r="I5093" i="2" s="1"/>
  <c r="I5094" i="2" a="1"/>
  <c r="I5094" i="2" s="1"/>
  <c r="I5095" i="2" a="1"/>
  <c r="I5095" i="2" s="1"/>
  <c r="I5096" i="2" a="1"/>
  <c r="I5096" i="2" s="1"/>
  <c r="I5097" i="2" a="1"/>
  <c r="I5097" i="2" s="1"/>
  <c r="I5098" i="2" a="1"/>
  <c r="I5098" i="2" s="1"/>
  <c r="I5099" i="2" a="1"/>
  <c r="I5099" i="2" s="1"/>
  <c r="I5100" i="2" a="1"/>
  <c r="I5100" i="2" s="1"/>
  <c r="I5101" i="2" a="1"/>
  <c r="I5101" i="2" s="1"/>
  <c r="I5102" i="2" a="1"/>
  <c r="I5102" i="2" s="1"/>
  <c r="I5103" i="2" a="1"/>
  <c r="I5103" i="2" s="1"/>
  <c r="I5104" i="2" a="1"/>
  <c r="I5104" i="2" s="1"/>
  <c r="I5105" i="2" a="1"/>
  <c r="I5105" i="2" s="1"/>
  <c r="I5106" i="2" a="1"/>
  <c r="I5106" i="2" s="1"/>
  <c r="I5107" i="2" a="1"/>
  <c r="I5107" i="2" s="1"/>
  <c r="I5108" i="2" a="1"/>
  <c r="I5108" i="2" s="1"/>
  <c r="I5109" i="2" a="1"/>
  <c r="I5109" i="2" s="1"/>
  <c r="I5110" i="2" a="1"/>
  <c r="I5110" i="2" s="1"/>
  <c r="I5111" i="2" a="1"/>
  <c r="I5111" i="2" s="1"/>
  <c r="I5112" i="2" a="1"/>
  <c r="I5112" i="2" s="1"/>
  <c r="I5113" i="2" a="1"/>
  <c r="I5113" i="2" s="1"/>
  <c r="I5114" i="2" a="1"/>
  <c r="I5114" i="2" s="1"/>
  <c r="I5115" i="2" a="1"/>
  <c r="I5115" i="2" s="1"/>
  <c r="I5116" i="2" a="1"/>
  <c r="I5116" i="2" s="1"/>
  <c r="I5117" i="2" a="1"/>
  <c r="I5117" i="2" s="1"/>
  <c r="I5118" i="2" a="1"/>
  <c r="I5118" i="2" s="1"/>
  <c r="I5119" i="2" a="1"/>
  <c r="I5119" i="2" s="1"/>
  <c r="I5120" i="2" a="1"/>
  <c r="I5120" i="2" s="1"/>
  <c r="I5121" i="2" a="1"/>
  <c r="I5121" i="2" s="1"/>
  <c r="I5122" i="2" a="1"/>
  <c r="I5122" i="2" s="1"/>
  <c r="I5123" i="2" a="1"/>
  <c r="I5123" i="2" s="1"/>
  <c r="I5124" i="2" a="1"/>
  <c r="I5124" i="2" s="1"/>
  <c r="I5125" i="2" a="1"/>
  <c r="I5125" i="2" s="1"/>
  <c r="I5126" i="2" a="1"/>
  <c r="I5126" i="2" s="1"/>
  <c r="I5127" i="2" a="1"/>
  <c r="I5127" i="2" s="1"/>
  <c r="I5128" i="2" a="1"/>
  <c r="I5128" i="2" s="1"/>
  <c r="I5129" i="2" a="1"/>
  <c r="I5129" i="2" s="1"/>
  <c r="I5130" i="2" a="1"/>
  <c r="I5130" i="2" s="1"/>
  <c r="I5131" i="2" a="1"/>
  <c r="I5131" i="2" s="1"/>
  <c r="I5132" i="2" a="1"/>
  <c r="I5132" i="2" s="1"/>
  <c r="I5133" i="2" a="1"/>
  <c r="I5133" i="2" s="1"/>
  <c r="I5134" i="2" a="1"/>
  <c r="I5134" i="2" s="1"/>
  <c r="I5135" i="2" a="1"/>
  <c r="I5135" i="2" s="1"/>
  <c r="I5136" i="2" a="1"/>
  <c r="I5136" i="2" s="1"/>
  <c r="I5137" i="2" a="1"/>
  <c r="I5137" i="2" s="1"/>
  <c r="I5138" i="2" a="1"/>
  <c r="I5138" i="2" s="1"/>
  <c r="I5139" i="2" a="1"/>
  <c r="I5139" i="2" s="1"/>
  <c r="I5140" i="2" a="1"/>
  <c r="I5140" i="2" s="1"/>
  <c r="I5141" i="2" a="1"/>
  <c r="I5141" i="2" s="1"/>
  <c r="I5142" i="2" a="1"/>
  <c r="I5142" i="2" s="1"/>
  <c r="I5143" i="2" a="1"/>
  <c r="I5143" i="2" s="1"/>
  <c r="I5144" i="2" a="1"/>
  <c r="I5144" i="2" s="1"/>
  <c r="I5145" i="2" a="1"/>
  <c r="I5145" i="2" s="1"/>
  <c r="I5146" i="2" a="1"/>
  <c r="I5146" i="2" s="1"/>
  <c r="I5147" i="2" a="1"/>
  <c r="I5147" i="2" s="1"/>
  <c r="I5148" i="2" a="1"/>
  <c r="I5148" i="2" s="1"/>
  <c r="I5149" i="2" a="1"/>
  <c r="I5149" i="2" s="1"/>
  <c r="I5150" i="2" a="1"/>
  <c r="I5150" i="2" s="1"/>
  <c r="I5151" i="2" a="1"/>
  <c r="I5151" i="2" s="1"/>
  <c r="I5152" i="2" a="1"/>
  <c r="I5152" i="2" s="1"/>
  <c r="I5153" i="2" a="1"/>
  <c r="I5153" i="2" s="1"/>
  <c r="I5154" i="2" a="1"/>
  <c r="I5154" i="2" s="1"/>
  <c r="I5155" i="2" a="1"/>
  <c r="I5155" i="2" s="1"/>
  <c r="I5156" i="2" a="1"/>
  <c r="I5156" i="2" s="1"/>
  <c r="I5157" i="2" a="1"/>
  <c r="I5157" i="2" s="1"/>
  <c r="I5158" i="2" a="1"/>
  <c r="I5158" i="2" s="1"/>
  <c r="I5159" i="2" a="1"/>
  <c r="I5159" i="2" s="1"/>
  <c r="I5160" i="2" a="1"/>
  <c r="I5160" i="2" s="1"/>
  <c r="I5161" i="2" a="1"/>
  <c r="I5161" i="2" s="1"/>
  <c r="I5162" i="2" a="1"/>
  <c r="I5162" i="2" s="1"/>
  <c r="I5163" i="2" a="1"/>
  <c r="I5163" i="2" s="1"/>
  <c r="I5164" i="2" a="1"/>
  <c r="I5164" i="2" s="1"/>
  <c r="I5165" i="2" a="1"/>
  <c r="I5165" i="2" s="1"/>
  <c r="I5166" i="2" a="1"/>
  <c r="I5166" i="2" s="1"/>
  <c r="I5167" i="2" a="1"/>
  <c r="I5167" i="2" s="1"/>
  <c r="I5168" i="2" a="1"/>
  <c r="I5168" i="2" s="1"/>
  <c r="I5169" i="2" a="1"/>
  <c r="I5169" i="2" s="1"/>
  <c r="I5170" i="2" a="1"/>
  <c r="I5170" i="2" s="1"/>
  <c r="I5171" i="2" a="1"/>
  <c r="I5171" i="2" s="1"/>
  <c r="I5172" i="2" a="1"/>
  <c r="I5172" i="2" s="1"/>
  <c r="I5173" i="2" a="1"/>
  <c r="I5173" i="2" s="1"/>
  <c r="I5174" i="2" a="1"/>
  <c r="I5174" i="2" s="1"/>
  <c r="I5175" i="2" a="1"/>
  <c r="I5175" i="2" s="1"/>
  <c r="I5176" i="2" a="1"/>
  <c r="I5176" i="2" s="1"/>
  <c r="I5177" i="2" a="1"/>
  <c r="I5177" i="2" s="1"/>
  <c r="I5178" i="2" a="1"/>
  <c r="I5178" i="2" s="1"/>
  <c r="I5179" i="2" a="1"/>
  <c r="I5179" i="2" s="1"/>
  <c r="I5180" i="2" a="1"/>
  <c r="I5180" i="2" s="1"/>
  <c r="I5181" i="2" a="1"/>
  <c r="I5181" i="2" s="1"/>
  <c r="I5182" i="2" a="1"/>
  <c r="I5182" i="2" s="1"/>
  <c r="I5183" i="2" a="1"/>
  <c r="I5183" i="2" s="1"/>
  <c r="I5184" i="2" a="1"/>
  <c r="I5184" i="2" s="1"/>
  <c r="I5185" i="2" a="1"/>
  <c r="I5185" i="2" s="1"/>
  <c r="I5186" i="2" a="1"/>
  <c r="I5186" i="2" s="1"/>
  <c r="I5187" i="2" a="1"/>
  <c r="I5187" i="2" s="1"/>
  <c r="I5188" i="2" a="1"/>
  <c r="I5188" i="2" s="1"/>
  <c r="I5189" i="2" a="1"/>
  <c r="I5189" i="2" s="1"/>
  <c r="I5190" i="2" a="1"/>
  <c r="I5190" i="2" s="1"/>
  <c r="I5191" i="2" a="1"/>
  <c r="I5191" i="2" s="1"/>
  <c r="I5192" i="2" a="1"/>
  <c r="I5192" i="2" s="1"/>
  <c r="I5193" i="2" a="1"/>
  <c r="I5193" i="2" s="1"/>
  <c r="I5194" i="2" a="1"/>
  <c r="I5194" i="2" s="1"/>
  <c r="I5195" i="2" a="1"/>
  <c r="I5195" i="2" s="1"/>
  <c r="I5196" i="2" a="1"/>
  <c r="I5196" i="2" s="1"/>
  <c r="I5197" i="2" a="1"/>
  <c r="I5197" i="2" s="1"/>
  <c r="I5198" i="2" a="1"/>
  <c r="I5198" i="2" s="1"/>
  <c r="I5199" i="2" a="1"/>
  <c r="I5199" i="2" s="1"/>
  <c r="I5200" i="2" a="1"/>
  <c r="I5200" i="2" s="1"/>
  <c r="I5201" i="2" a="1"/>
  <c r="I5201" i="2" s="1"/>
  <c r="I5202" i="2" a="1"/>
  <c r="I5202" i="2" s="1"/>
  <c r="I5203" i="2" a="1"/>
  <c r="I5203" i="2" s="1"/>
  <c r="I5204" i="2" a="1"/>
  <c r="I5204" i="2" s="1"/>
  <c r="I5205" i="2" a="1"/>
  <c r="I5205" i="2" s="1"/>
  <c r="I5206" i="2" a="1"/>
  <c r="I5206" i="2" s="1"/>
  <c r="I5207" i="2" a="1"/>
  <c r="I5207" i="2" s="1"/>
  <c r="I5208" i="2" a="1"/>
  <c r="I5208" i="2" s="1"/>
  <c r="I5209" i="2" a="1"/>
  <c r="I5209" i="2" s="1"/>
  <c r="I5210" i="2" a="1"/>
  <c r="I5210" i="2" s="1"/>
  <c r="I5211" i="2" a="1"/>
  <c r="I5211" i="2" s="1"/>
  <c r="I5212" i="2" a="1"/>
  <c r="I5212" i="2" s="1"/>
  <c r="I5213" i="2" a="1"/>
  <c r="I5213" i="2" s="1"/>
  <c r="I5214" i="2" a="1"/>
  <c r="I5214" i="2" s="1"/>
  <c r="I5215" i="2" a="1"/>
  <c r="I5215" i="2" s="1"/>
  <c r="I5216" i="2" a="1"/>
  <c r="I5216" i="2" s="1"/>
  <c r="I5217" i="2" a="1"/>
  <c r="I5217" i="2" s="1"/>
  <c r="I5218" i="2" a="1"/>
  <c r="I5218" i="2" s="1"/>
  <c r="I5219" i="2" a="1"/>
  <c r="I5219" i="2" s="1"/>
  <c r="I5220" i="2" a="1"/>
  <c r="I5220" i="2" s="1"/>
  <c r="I5221" i="2" a="1"/>
  <c r="I5221" i="2" s="1"/>
  <c r="I5222" i="2" a="1"/>
  <c r="I5222" i="2" s="1"/>
  <c r="I5223" i="2" a="1"/>
  <c r="I5223" i="2" s="1"/>
  <c r="I5224" i="2" a="1"/>
  <c r="I5224" i="2" s="1"/>
  <c r="I5225" i="2" a="1"/>
  <c r="I5225" i="2" s="1"/>
  <c r="I5226" i="2" a="1"/>
  <c r="I5226" i="2" s="1"/>
  <c r="I5227" i="2" a="1"/>
  <c r="I5227" i="2" s="1"/>
  <c r="I5228" i="2" a="1"/>
  <c r="I5228" i="2" s="1"/>
  <c r="I5229" i="2" a="1"/>
  <c r="I5229" i="2" s="1"/>
  <c r="I5230" i="2" a="1"/>
  <c r="I5230" i="2" s="1"/>
  <c r="I5231" i="2" a="1"/>
  <c r="I5231" i="2" s="1"/>
  <c r="I5232" i="2" a="1"/>
  <c r="I5232" i="2" s="1"/>
  <c r="I5233" i="2" a="1"/>
  <c r="I5233" i="2" s="1"/>
  <c r="I5234" i="2" a="1"/>
  <c r="I5234" i="2" s="1"/>
  <c r="I5235" i="2" a="1"/>
  <c r="I5235" i="2" s="1"/>
  <c r="I5236" i="2" a="1"/>
  <c r="I5236" i="2" s="1"/>
  <c r="I5237" i="2" a="1"/>
  <c r="I5237" i="2" s="1"/>
  <c r="I5238" i="2" a="1"/>
  <c r="I5238" i="2" s="1"/>
  <c r="I5239" i="2" a="1"/>
  <c r="I5239" i="2" s="1"/>
  <c r="I5240" i="2" a="1"/>
  <c r="I5240" i="2" s="1"/>
  <c r="I5241" i="2" a="1"/>
  <c r="I5241" i="2" s="1"/>
  <c r="I5242" i="2" a="1"/>
  <c r="I5242" i="2" s="1"/>
  <c r="I5243" i="2" a="1"/>
  <c r="I5243" i="2" s="1"/>
  <c r="I5244" i="2" a="1"/>
  <c r="I5244" i="2" s="1"/>
  <c r="I5245" i="2" a="1"/>
  <c r="I5245" i="2" s="1"/>
  <c r="I5246" i="2" a="1"/>
  <c r="I5246" i="2" s="1"/>
  <c r="I5247" i="2" a="1"/>
  <c r="I5247" i="2" s="1"/>
  <c r="I5248" i="2" a="1"/>
  <c r="I5248" i="2" s="1"/>
  <c r="I5249" i="2" a="1"/>
  <c r="I5249" i="2" s="1"/>
  <c r="I5250" i="2" a="1"/>
  <c r="I5250" i="2" s="1"/>
  <c r="I5251" i="2" a="1"/>
  <c r="I5251" i="2" s="1"/>
  <c r="I5252" i="2" a="1"/>
  <c r="I5252" i="2" s="1"/>
  <c r="I5253" i="2" a="1"/>
  <c r="I5253" i="2" s="1"/>
  <c r="I5254" i="2" a="1"/>
  <c r="I5254" i="2" s="1"/>
  <c r="I5255" i="2" a="1"/>
  <c r="I5255" i="2" s="1"/>
  <c r="I5256" i="2" a="1"/>
  <c r="I5256" i="2" s="1"/>
  <c r="I5257" i="2" a="1"/>
  <c r="I5257" i="2" s="1"/>
  <c r="I5258" i="2" a="1"/>
  <c r="I5258" i="2" s="1"/>
  <c r="I5259" i="2" a="1"/>
  <c r="I5259" i="2" s="1"/>
  <c r="I5260" i="2" a="1"/>
  <c r="I5260" i="2" s="1"/>
  <c r="I5261" i="2" a="1"/>
  <c r="I5261" i="2" s="1"/>
  <c r="I5262" i="2" a="1"/>
  <c r="I5262" i="2" s="1"/>
  <c r="I5263" i="2" a="1"/>
  <c r="I5263" i="2" s="1"/>
  <c r="I5264" i="2" a="1"/>
  <c r="I5264" i="2" s="1"/>
  <c r="I5265" i="2" a="1"/>
  <c r="I5265" i="2" s="1"/>
  <c r="I5266" i="2" a="1"/>
  <c r="I5266" i="2" s="1"/>
  <c r="I5267" i="2" a="1"/>
  <c r="I5267" i="2" s="1"/>
  <c r="I5268" i="2" a="1"/>
  <c r="I5268" i="2" s="1"/>
  <c r="I5269" i="2" a="1"/>
  <c r="I5269" i="2" s="1"/>
  <c r="I5270" i="2" a="1"/>
  <c r="I5270" i="2" s="1"/>
  <c r="I5271" i="2" a="1"/>
  <c r="I5271" i="2" s="1"/>
  <c r="I5272" i="2" a="1"/>
  <c r="I5272" i="2" s="1"/>
  <c r="I5273" i="2" a="1"/>
  <c r="I5273" i="2" s="1"/>
  <c r="I5274" i="2" a="1"/>
  <c r="I5274" i="2" s="1"/>
  <c r="I5275" i="2" a="1"/>
  <c r="I5275" i="2" s="1"/>
  <c r="I5276" i="2" a="1"/>
  <c r="I5276" i="2" s="1"/>
  <c r="I5277" i="2" a="1"/>
  <c r="I5277" i="2" s="1"/>
  <c r="I5278" i="2" a="1"/>
  <c r="I5278" i="2" s="1"/>
  <c r="I5279" i="2" a="1"/>
  <c r="I5279" i="2" s="1"/>
  <c r="I5280" i="2" a="1"/>
  <c r="I5280" i="2" s="1"/>
  <c r="I5281" i="2" a="1"/>
  <c r="I5281" i="2" s="1"/>
  <c r="I5282" i="2" a="1"/>
  <c r="I5282" i="2" s="1"/>
  <c r="I5283" i="2" a="1"/>
  <c r="I5283" i="2" s="1"/>
  <c r="I5284" i="2" a="1"/>
  <c r="I5284" i="2" s="1"/>
  <c r="I5285" i="2" a="1"/>
  <c r="I5285" i="2" s="1"/>
  <c r="I5286" i="2" a="1"/>
  <c r="I5286" i="2" s="1"/>
  <c r="I5287" i="2" a="1"/>
  <c r="I5287" i="2" s="1"/>
  <c r="I5288" i="2" a="1"/>
  <c r="I5288" i="2" s="1"/>
  <c r="I5289" i="2" a="1"/>
  <c r="I5289" i="2" s="1"/>
  <c r="I5290" i="2" a="1"/>
  <c r="I5290" i="2" s="1"/>
  <c r="I5291" i="2" a="1"/>
  <c r="I5291" i="2" s="1"/>
  <c r="I5292" i="2" a="1"/>
  <c r="I5292" i="2" s="1"/>
  <c r="I5293" i="2" a="1"/>
  <c r="I5293" i="2" s="1"/>
  <c r="I5294" i="2" a="1"/>
  <c r="I5294" i="2" s="1"/>
  <c r="I5295" i="2" a="1"/>
  <c r="I5295" i="2" s="1"/>
  <c r="I5296" i="2" a="1"/>
  <c r="I5296" i="2" s="1"/>
  <c r="I5297" i="2" a="1"/>
  <c r="I5297" i="2" s="1"/>
  <c r="I5298" i="2" a="1"/>
  <c r="I5298" i="2" s="1"/>
  <c r="I5299" i="2" a="1"/>
  <c r="I5299" i="2" s="1"/>
  <c r="I5300" i="2" a="1"/>
  <c r="I5300" i="2" s="1"/>
  <c r="I5301" i="2" a="1"/>
  <c r="I5301" i="2" s="1"/>
  <c r="I5302" i="2" a="1"/>
  <c r="I5302" i="2" s="1"/>
  <c r="I5303" i="2" a="1"/>
  <c r="I5303" i="2" s="1"/>
  <c r="I5304" i="2" a="1"/>
  <c r="I5304" i="2" s="1"/>
  <c r="I5305" i="2" a="1"/>
  <c r="I5305" i="2" s="1"/>
  <c r="I5306" i="2" a="1"/>
  <c r="I5306" i="2" s="1"/>
  <c r="I5307" i="2" a="1"/>
  <c r="I5307" i="2" s="1"/>
  <c r="I5308" i="2" a="1"/>
  <c r="I5308" i="2" s="1"/>
  <c r="I5309" i="2" a="1"/>
  <c r="I5309" i="2" s="1"/>
  <c r="I5310" i="2" a="1"/>
  <c r="I5310" i="2" s="1"/>
  <c r="I5311" i="2" a="1"/>
  <c r="I5311" i="2" s="1"/>
  <c r="I5312" i="2" a="1"/>
  <c r="I5312" i="2" s="1"/>
  <c r="I5313" i="2" a="1"/>
  <c r="I5313" i="2" s="1"/>
  <c r="I5314" i="2" a="1"/>
  <c r="I5314" i="2" s="1"/>
  <c r="I5315" i="2" a="1"/>
  <c r="I5315" i="2" s="1"/>
  <c r="I5316" i="2" a="1"/>
  <c r="I5316" i="2" s="1"/>
  <c r="I5317" i="2" a="1"/>
  <c r="I5317" i="2" s="1"/>
  <c r="I5318" i="2" a="1"/>
  <c r="I5318" i="2" s="1"/>
  <c r="I5319" i="2" a="1"/>
  <c r="I5319" i="2" s="1"/>
  <c r="I5320" i="2" a="1"/>
  <c r="I5320" i="2" s="1"/>
  <c r="I5321" i="2" a="1"/>
  <c r="I5321" i="2" s="1"/>
  <c r="I5322" i="2" a="1"/>
  <c r="I5322" i="2" s="1"/>
  <c r="I5323" i="2" a="1"/>
  <c r="I5323" i="2" s="1"/>
  <c r="I5324" i="2" a="1"/>
  <c r="I5324" i="2" s="1"/>
  <c r="I5325" i="2" a="1"/>
  <c r="I5325" i="2" s="1"/>
  <c r="I5326" i="2" a="1"/>
  <c r="I5326" i="2" s="1"/>
  <c r="I5327" i="2" a="1"/>
  <c r="I5327" i="2" s="1"/>
  <c r="I5328" i="2" a="1"/>
  <c r="I5328" i="2" s="1"/>
  <c r="I5329" i="2" a="1"/>
  <c r="I5329" i="2" s="1"/>
  <c r="I5330" i="2" a="1"/>
  <c r="I5330" i="2" s="1"/>
  <c r="I5331" i="2" a="1"/>
  <c r="I5331" i="2" s="1"/>
  <c r="I5332" i="2" a="1"/>
  <c r="I5332" i="2" s="1"/>
  <c r="I5333" i="2" a="1"/>
  <c r="I5333" i="2" s="1"/>
  <c r="I5334" i="2" a="1"/>
  <c r="I5334" i="2" s="1"/>
  <c r="I5335" i="2" a="1"/>
  <c r="I5335" i="2" s="1"/>
  <c r="I5336" i="2" a="1"/>
  <c r="I5336" i="2" s="1"/>
  <c r="I5337" i="2" a="1"/>
  <c r="I5337" i="2" s="1"/>
  <c r="I5338" i="2" a="1"/>
  <c r="I5338" i="2" s="1"/>
  <c r="I5339" i="2" a="1"/>
  <c r="I5339" i="2" s="1"/>
  <c r="I5340" i="2" a="1"/>
  <c r="I5340" i="2" s="1"/>
  <c r="I5341" i="2" a="1"/>
  <c r="I5341" i="2" s="1"/>
  <c r="I5342" i="2" a="1"/>
  <c r="I5342" i="2" s="1"/>
  <c r="I5343" i="2" a="1"/>
  <c r="I5343" i="2" s="1"/>
  <c r="I5344" i="2" a="1"/>
  <c r="I5344" i="2" s="1"/>
  <c r="I5345" i="2" a="1"/>
  <c r="I5345" i="2" s="1"/>
  <c r="I5346" i="2" a="1"/>
  <c r="I5346" i="2" s="1"/>
  <c r="I5347" i="2" a="1"/>
  <c r="I5347" i="2" s="1"/>
  <c r="I5348" i="2" a="1"/>
  <c r="I5348" i="2" s="1"/>
  <c r="I5349" i="2" a="1"/>
  <c r="I5349" i="2" s="1"/>
  <c r="I5350" i="2" a="1"/>
  <c r="I5350" i="2" s="1"/>
  <c r="I5351" i="2" a="1"/>
  <c r="I5351" i="2" s="1"/>
  <c r="I5352" i="2" a="1"/>
  <c r="I5352" i="2" s="1"/>
  <c r="I5353" i="2" a="1"/>
  <c r="I5353" i="2" s="1"/>
  <c r="I5354" i="2" a="1"/>
  <c r="I5354" i="2" s="1"/>
  <c r="I5355" i="2" a="1"/>
  <c r="I5355" i="2" s="1"/>
  <c r="I5356" i="2" a="1"/>
  <c r="I5356" i="2" s="1"/>
  <c r="I5357" i="2" a="1"/>
  <c r="I5357" i="2" s="1"/>
  <c r="I5358" i="2" a="1"/>
  <c r="I5358" i="2" s="1"/>
  <c r="I5359" i="2" a="1"/>
  <c r="I5359" i="2" s="1"/>
  <c r="I5360" i="2" a="1"/>
  <c r="I5360" i="2" s="1"/>
  <c r="I5361" i="2" a="1"/>
  <c r="I5361" i="2" s="1"/>
  <c r="I5362" i="2" a="1"/>
  <c r="I5362" i="2" s="1"/>
  <c r="I5363" i="2" a="1"/>
  <c r="I5363" i="2" s="1"/>
  <c r="I5364" i="2" a="1"/>
  <c r="I5364" i="2" s="1"/>
  <c r="I5365" i="2" a="1"/>
  <c r="I5365" i="2" s="1"/>
  <c r="I5366" i="2" a="1"/>
  <c r="I5366" i="2" s="1"/>
  <c r="I5367" i="2" a="1"/>
  <c r="I5367" i="2" s="1"/>
  <c r="I5368" i="2" a="1"/>
  <c r="I5368" i="2" s="1"/>
  <c r="I5369" i="2" a="1"/>
  <c r="I5369" i="2" s="1"/>
  <c r="I5370" i="2" a="1"/>
  <c r="I5370" i="2" s="1"/>
  <c r="I5371" i="2" a="1"/>
  <c r="I5371" i="2" s="1"/>
  <c r="I5372" i="2" a="1"/>
  <c r="I5372" i="2" s="1"/>
  <c r="I5373" i="2" a="1"/>
  <c r="I5373" i="2" s="1"/>
  <c r="I5374" i="2" a="1"/>
  <c r="I5374" i="2" s="1"/>
  <c r="I5375" i="2" a="1"/>
  <c r="I5375" i="2" s="1"/>
  <c r="I5376" i="2" a="1"/>
  <c r="I5376" i="2" s="1"/>
  <c r="I5377" i="2" a="1"/>
  <c r="I5377" i="2" s="1"/>
  <c r="I5378" i="2" a="1"/>
  <c r="I5378" i="2" s="1"/>
  <c r="I5379" i="2" a="1"/>
  <c r="I5379" i="2" s="1"/>
  <c r="I5380" i="2" a="1"/>
  <c r="I5380" i="2" s="1"/>
  <c r="I5381" i="2" a="1"/>
  <c r="I5381" i="2" s="1"/>
  <c r="I5382" i="2" a="1"/>
  <c r="I5382" i="2" s="1"/>
  <c r="I5383" i="2" a="1"/>
  <c r="I5383" i="2" s="1"/>
  <c r="I5384" i="2" a="1"/>
  <c r="I5384" i="2" s="1"/>
  <c r="I5385" i="2" a="1"/>
  <c r="I5385" i="2" s="1"/>
  <c r="I5386" i="2" a="1"/>
  <c r="I5386" i="2" s="1"/>
  <c r="I5387" i="2" a="1"/>
  <c r="I5387" i="2" s="1"/>
  <c r="I5388" i="2" a="1"/>
  <c r="I5388" i="2" s="1"/>
  <c r="I5389" i="2" a="1"/>
  <c r="I5389" i="2" s="1"/>
  <c r="I5390" i="2" a="1"/>
  <c r="I5390" i="2" s="1"/>
  <c r="I5391" i="2" a="1"/>
  <c r="I5391" i="2" s="1"/>
  <c r="I5392" i="2" a="1"/>
  <c r="I5392" i="2" s="1"/>
  <c r="I5393" i="2" a="1"/>
  <c r="I5393" i="2" s="1"/>
  <c r="I5394" i="2" a="1"/>
  <c r="I5394" i="2" s="1"/>
  <c r="I5395" i="2" a="1"/>
  <c r="I5395" i="2" s="1"/>
  <c r="I5396" i="2" a="1"/>
  <c r="I5396" i="2" s="1"/>
  <c r="I5397" i="2" a="1"/>
  <c r="I5397" i="2" s="1"/>
  <c r="I5398" i="2" a="1"/>
  <c r="I5398" i="2" s="1"/>
  <c r="I5399" i="2" a="1"/>
  <c r="I5399" i="2" s="1"/>
  <c r="I5400" i="2" a="1"/>
  <c r="I5400" i="2" s="1"/>
  <c r="I5401" i="2" a="1"/>
  <c r="I5401" i="2" s="1"/>
  <c r="I5402" i="2" a="1"/>
  <c r="I5402" i="2" s="1"/>
  <c r="I5403" i="2" a="1"/>
  <c r="I5403" i="2" s="1"/>
  <c r="I5404" i="2" a="1"/>
  <c r="I5404" i="2" s="1"/>
  <c r="I5405" i="2" a="1"/>
  <c r="I5405" i="2" s="1"/>
  <c r="I5406" i="2" a="1"/>
  <c r="I5406" i="2" s="1"/>
  <c r="I5407" i="2" a="1"/>
  <c r="I5407" i="2" s="1"/>
  <c r="I5408" i="2" a="1"/>
  <c r="I5408" i="2" s="1"/>
  <c r="I5409" i="2" a="1"/>
  <c r="I5409" i="2" s="1"/>
  <c r="I5410" i="2" a="1"/>
  <c r="I5410" i="2" s="1"/>
  <c r="I5411" i="2" a="1"/>
  <c r="I5411" i="2" s="1"/>
  <c r="I5412" i="2" a="1"/>
  <c r="I5412" i="2" s="1"/>
  <c r="I5413" i="2" a="1"/>
  <c r="I5413" i="2" s="1"/>
  <c r="I5414" i="2" a="1"/>
  <c r="I5414" i="2" s="1"/>
  <c r="I5415" i="2" a="1"/>
  <c r="I5415" i="2" s="1"/>
  <c r="I5416" i="2" a="1"/>
  <c r="I5416" i="2" s="1"/>
  <c r="I5417" i="2" a="1"/>
  <c r="I5417" i="2" s="1"/>
  <c r="I5418" i="2" a="1"/>
  <c r="I5418" i="2" s="1"/>
  <c r="I5419" i="2" a="1"/>
  <c r="I5419" i="2" s="1"/>
  <c r="I5420" i="2" a="1"/>
  <c r="I5420" i="2" s="1"/>
  <c r="I5421" i="2" a="1"/>
  <c r="I5421" i="2" s="1"/>
  <c r="I5422" i="2" a="1"/>
  <c r="I5422" i="2" s="1"/>
  <c r="I5423" i="2" a="1"/>
  <c r="I5423" i="2" s="1"/>
  <c r="I5424" i="2" a="1"/>
  <c r="I5424" i="2" s="1"/>
  <c r="I5425" i="2" a="1"/>
  <c r="I5425" i="2" s="1"/>
  <c r="I5426" i="2" a="1"/>
  <c r="I5426" i="2" s="1"/>
  <c r="I5427" i="2" a="1"/>
  <c r="I5427" i="2" s="1"/>
  <c r="I5428" i="2" a="1"/>
  <c r="I5428" i="2" s="1"/>
  <c r="I5429" i="2" a="1"/>
  <c r="I5429" i="2" s="1"/>
  <c r="I5430" i="2" a="1"/>
  <c r="I5430" i="2" s="1"/>
  <c r="I5431" i="2" a="1"/>
  <c r="I5431" i="2" s="1"/>
  <c r="I5432" i="2" a="1"/>
  <c r="I5432" i="2" s="1"/>
  <c r="I5433" i="2" a="1"/>
  <c r="I5433" i="2" s="1"/>
  <c r="I5434" i="2" a="1"/>
  <c r="I5434" i="2" s="1"/>
  <c r="I5435" i="2" a="1"/>
  <c r="I5435" i="2" s="1"/>
  <c r="I5436" i="2" a="1"/>
  <c r="I5436" i="2" s="1"/>
  <c r="I5437" i="2" a="1"/>
  <c r="I5437" i="2" s="1"/>
  <c r="I5438" i="2" a="1"/>
  <c r="I5438" i="2" s="1"/>
  <c r="I5439" i="2" a="1"/>
  <c r="I5439" i="2" s="1"/>
  <c r="I5440" i="2" a="1"/>
  <c r="I5440" i="2" s="1"/>
  <c r="I5441" i="2" a="1"/>
  <c r="I5441" i="2" s="1"/>
  <c r="I5442" i="2" a="1"/>
  <c r="I5442" i="2" s="1"/>
  <c r="I5443" i="2" a="1"/>
  <c r="I5443" i="2" s="1"/>
  <c r="I5444" i="2" a="1"/>
  <c r="I5444" i="2" s="1"/>
  <c r="I5445" i="2" a="1"/>
  <c r="I5445" i="2" s="1"/>
  <c r="I5446" i="2" a="1"/>
  <c r="I5446" i="2" s="1"/>
  <c r="I5447" i="2" a="1"/>
  <c r="I5447" i="2" s="1"/>
  <c r="I5448" i="2" a="1"/>
  <c r="I5448" i="2" s="1"/>
  <c r="I5449" i="2" a="1"/>
  <c r="I5449" i="2" s="1"/>
  <c r="I5450" i="2" a="1"/>
  <c r="I5450" i="2" s="1"/>
  <c r="I5451" i="2" a="1"/>
  <c r="I5451" i="2" s="1"/>
  <c r="I5452" i="2" a="1"/>
  <c r="I5452" i="2" s="1"/>
  <c r="I5453" i="2" a="1"/>
  <c r="I5453" i="2" s="1"/>
  <c r="I5454" i="2" a="1"/>
  <c r="I5454" i="2" s="1"/>
  <c r="I5455" i="2" a="1"/>
  <c r="I5455" i="2" s="1"/>
  <c r="I5456" i="2" a="1"/>
  <c r="I5456" i="2" s="1"/>
  <c r="I5457" i="2" a="1"/>
  <c r="I5457" i="2" s="1"/>
  <c r="I5458" i="2" a="1"/>
  <c r="I5458" i="2" s="1"/>
  <c r="I5459" i="2" a="1"/>
  <c r="I5459" i="2" s="1"/>
  <c r="I5460" i="2" a="1"/>
  <c r="I5460" i="2" s="1"/>
  <c r="I5461" i="2" a="1"/>
  <c r="I5461" i="2" s="1"/>
  <c r="I5462" i="2" a="1"/>
  <c r="I5462" i="2" s="1"/>
  <c r="I5463" i="2" a="1"/>
  <c r="I5463" i="2" s="1"/>
  <c r="I5464" i="2" a="1"/>
  <c r="I5464" i="2" s="1"/>
  <c r="I5465" i="2" a="1"/>
  <c r="I5465" i="2" s="1"/>
  <c r="I5466" i="2" a="1"/>
  <c r="I5466" i="2" s="1"/>
  <c r="I5467" i="2" a="1"/>
  <c r="I5467" i="2" s="1"/>
  <c r="I5468" i="2" a="1"/>
  <c r="I5468" i="2" s="1"/>
  <c r="I5469" i="2" a="1"/>
  <c r="I5469" i="2" s="1"/>
  <c r="I5470" i="2" a="1"/>
  <c r="I5470" i="2" s="1"/>
  <c r="I5471" i="2" a="1"/>
  <c r="I5471" i="2" s="1"/>
  <c r="I5472" i="2" a="1"/>
  <c r="I5472" i="2" s="1"/>
  <c r="I5473" i="2" a="1"/>
  <c r="I5473" i="2" s="1"/>
  <c r="I5474" i="2" a="1"/>
  <c r="I5474" i="2" s="1"/>
  <c r="I5475" i="2" a="1"/>
  <c r="I5475" i="2" s="1"/>
  <c r="I5476" i="2" a="1"/>
  <c r="I5476" i="2" s="1"/>
  <c r="I5477" i="2" a="1"/>
  <c r="I5477" i="2" s="1"/>
  <c r="I5478" i="2" a="1"/>
  <c r="I5478" i="2" s="1"/>
  <c r="I5479" i="2" a="1"/>
  <c r="I5479" i="2" s="1"/>
  <c r="I5480" i="2" a="1"/>
  <c r="I5480" i="2" s="1"/>
  <c r="I5481" i="2" a="1"/>
  <c r="I5481" i="2" s="1"/>
  <c r="I5482" i="2" a="1"/>
  <c r="I5482" i="2" s="1"/>
  <c r="I5483" i="2" a="1"/>
  <c r="I5483" i="2" s="1"/>
  <c r="I5484" i="2" a="1"/>
  <c r="I5484" i="2" s="1"/>
  <c r="I5485" i="2" a="1"/>
  <c r="I5485" i="2" s="1"/>
  <c r="I5486" i="2" a="1"/>
  <c r="I5486" i="2" s="1"/>
  <c r="I5487" i="2" a="1"/>
  <c r="I5487" i="2" s="1"/>
  <c r="I5488" i="2" a="1"/>
  <c r="I5488" i="2" s="1"/>
  <c r="I5489" i="2" a="1"/>
  <c r="I5489" i="2" s="1"/>
  <c r="I5490" i="2" a="1"/>
  <c r="I5490" i="2" s="1"/>
  <c r="I5491" i="2" a="1"/>
  <c r="I5491" i="2" s="1"/>
  <c r="I5492" i="2" a="1"/>
  <c r="I5492" i="2" s="1"/>
  <c r="I5493" i="2" a="1"/>
  <c r="I5493" i="2" s="1"/>
  <c r="I5494" i="2" a="1"/>
  <c r="I5494" i="2" s="1"/>
  <c r="I5495" i="2" a="1"/>
  <c r="I5495" i="2" s="1"/>
  <c r="I5496" i="2" a="1"/>
  <c r="I5496" i="2" s="1"/>
  <c r="I5497" i="2" a="1"/>
  <c r="I5497" i="2" s="1"/>
  <c r="I5498" i="2" a="1"/>
  <c r="I5498" i="2" s="1"/>
  <c r="I5499" i="2" a="1"/>
  <c r="I5499" i="2" s="1"/>
  <c r="I5500" i="2" a="1"/>
  <c r="I5500" i="2" s="1"/>
  <c r="I5501" i="2" a="1"/>
  <c r="I5501" i="2" s="1"/>
  <c r="I5502" i="2" a="1"/>
  <c r="I5502" i="2" s="1"/>
  <c r="I5503" i="2" a="1"/>
  <c r="I5503" i="2" s="1"/>
  <c r="I5504" i="2" a="1"/>
  <c r="I5504" i="2" s="1"/>
  <c r="I5505" i="2" a="1"/>
  <c r="I5505" i="2" s="1"/>
  <c r="I5506" i="2" a="1"/>
  <c r="I5506" i="2" s="1"/>
  <c r="I5507" i="2" a="1"/>
  <c r="I5507" i="2" s="1"/>
  <c r="I5508" i="2" a="1"/>
  <c r="I5508" i="2" s="1"/>
  <c r="I5509" i="2" a="1"/>
  <c r="I5509" i="2" s="1"/>
  <c r="I5510" i="2" a="1"/>
  <c r="I5510" i="2" s="1"/>
  <c r="I5511" i="2" a="1"/>
  <c r="I5511" i="2" s="1"/>
  <c r="I5512" i="2" a="1"/>
  <c r="I5512" i="2" s="1"/>
  <c r="I5513" i="2" a="1"/>
  <c r="I5513" i="2" s="1"/>
  <c r="I5514" i="2" a="1"/>
  <c r="I5514" i="2" s="1"/>
  <c r="I5515" i="2" a="1"/>
  <c r="I5515" i="2" s="1"/>
  <c r="I5516" i="2" a="1"/>
  <c r="I5516" i="2" s="1"/>
  <c r="I5517" i="2" a="1"/>
  <c r="I5517" i="2" s="1"/>
  <c r="I5518" i="2" a="1"/>
  <c r="I5518" i="2" s="1"/>
  <c r="I5519" i="2" a="1"/>
  <c r="I5519" i="2" s="1"/>
  <c r="I5520" i="2" a="1"/>
  <c r="I5520" i="2" s="1"/>
  <c r="I5521" i="2" a="1"/>
  <c r="I5521" i="2" s="1"/>
  <c r="I5522" i="2" a="1"/>
  <c r="I5522" i="2" s="1"/>
  <c r="I5523" i="2" a="1"/>
  <c r="I5523" i="2" s="1"/>
  <c r="I5524" i="2" a="1"/>
  <c r="I5524" i="2" s="1"/>
  <c r="I5525" i="2" a="1"/>
  <c r="I5525" i="2" s="1"/>
  <c r="I5526" i="2" a="1"/>
  <c r="I5526" i="2" s="1"/>
  <c r="I5527" i="2" a="1"/>
  <c r="I5527" i="2" s="1"/>
  <c r="I5528" i="2" a="1"/>
  <c r="I5528" i="2" s="1"/>
  <c r="I5529" i="2" a="1"/>
  <c r="I5529" i="2" s="1"/>
  <c r="I5530" i="2" a="1"/>
  <c r="I5530" i="2" s="1"/>
  <c r="I5531" i="2" a="1"/>
  <c r="I5531" i="2" s="1"/>
  <c r="I5532" i="2" a="1"/>
  <c r="I5532" i="2" s="1"/>
  <c r="I5533" i="2" a="1"/>
  <c r="I5533" i="2" s="1"/>
  <c r="I5534" i="2" a="1"/>
  <c r="I5534" i="2" s="1"/>
  <c r="I5535" i="2" a="1"/>
  <c r="I5535" i="2" s="1"/>
  <c r="I5536" i="2" a="1"/>
  <c r="I5536" i="2" s="1"/>
  <c r="I5537" i="2" a="1"/>
  <c r="I5537" i="2" s="1"/>
  <c r="I5538" i="2" a="1"/>
  <c r="I5538" i="2" s="1"/>
  <c r="I5539" i="2" a="1"/>
  <c r="I5539" i="2" s="1"/>
  <c r="I5540" i="2" a="1"/>
  <c r="I5540" i="2" s="1"/>
  <c r="I5541" i="2" a="1"/>
  <c r="I5541" i="2" s="1"/>
  <c r="I5542" i="2" a="1"/>
  <c r="I5542" i="2" s="1"/>
  <c r="I5543" i="2" a="1"/>
  <c r="I5543" i="2" s="1"/>
  <c r="I5544" i="2" a="1"/>
  <c r="I5544" i="2" s="1"/>
  <c r="I5545" i="2" a="1"/>
  <c r="I5545" i="2" s="1"/>
  <c r="I5546" i="2" a="1"/>
  <c r="I5546" i="2" s="1"/>
  <c r="I5547" i="2" a="1"/>
  <c r="I5547" i="2" s="1"/>
  <c r="I5548" i="2" a="1"/>
  <c r="I5548" i="2" s="1"/>
  <c r="I5549" i="2" a="1"/>
  <c r="I5549" i="2" s="1"/>
  <c r="I5550" i="2" a="1"/>
  <c r="I5550" i="2" s="1"/>
  <c r="I5551" i="2" a="1"/>
  <c r="I5551" i="2" s="1"/>
  <c r="I5552" i="2" a="1"/>
  <c r="I5552" i="2" s="1"/>
  <c r="I5553" i="2" a="1"/>
  <c r="I5553" i="2" s="1"/>
  <c r="I5554" i="2" a="1"/>
  <c r="I5554" i="2" s="1"/>
  <c r="I5555" i="2" a="1"/>
  <c r="I5555" i="2" s="1"/>
  <c r="I5556" i="2" a="1"/>
  <c r="I5556" i="2" s="1"/>
  <c r="I5557" i="2" a="1"/>
  <c r="I5557" i="2" s="1"/>
  <c r="I5558" i="2" a="1"/>
  <c r="I5558" i="2" s="1"/>
  <c r="I5559" i="2" a="1"/>
  <c r="I5559" i="2" s="1"/>
  <c r="I5560" i="2" a="1"/>
  <c r="I5560" i="2" s="1"/>
  <c r="I5561" i="2" a="1"/>
  <c r="I5561" i="2" s="1"/>
  <c r="I5562" i="2" a="1"/>
  <c r="I5562" i="2" s="1"/>
  <c r="I5563" i="2" a="1"/>
  <c r="I5563" i="2" s="1"/>
  <c r="I5564" i="2" a="1"/>
  <c r="I5564" i="2" s="1"/>
  <c r="I5565" i="2" a="1"/>
  <c r="I5565" i="2" s="1"/>
  <c r="I5566" i="2" a="1"/>
  <c r="I5566" i="2" s="1"/>
  <c r="I5567" i="2" a="1"/>
  <c r="I5567" i="2" s="1"/>
  <c r="I5568" i="2" a="1"/>
  <c r="I5568" i="2" s="1"/>
  <c r="I5569" i="2" a="1"/>
  <c r="I5569" i="2" s="1"/>
  <c r="I5570" i="2" a="1"/>
  <c r="I5570" i="2" s="1"/>
  <c r="I5571" i="2" a="1"/>
  <c r="I5571" i="2" s="1"/>
  <c r="I5572" i="2" a="1"/>
  <c r="I5572" i="2" s="1"/>
  <c r="I5573" i="2" a="1"/>
  <c r="I5573" i="2" s="1"/>
  <c r="I5574" i="2" a="1"/>
  <c r="I5574" i="2" s="1"/>
  <c r="I5575" i="2" a="1"/>
  <c r="I5575" i="2" s="1"/>
  <c r="I5576" i="2" a="1"/>
  <c r="I5576" i="2" s="1"/>
  <c r="I5577" i="2" a="1"/>
  <c r="I5577" i="2" s="1"/>
  <c r="I5578" i="2" a="1"/>
  <c r="I5578" i="2" s="1"/>
  <c r="I5579" i="2" a="1"/>
  <c r="I5579" i="2" s="1"/>
  <c r="I5580" i="2" a="1"/>
  <c r="I5580" i="2" s="1"/>
  <c r="I5581" i="2" a="1"/>
  <c r="I5581" i="2" s="1"/>
  <c r="I5582" i="2" a="1"/>
  <c r="I5582" i="2" s="1"/>
  <c r="I5583" i="2" a="1"/>
  <c r="I5583" i="2" s="1"/>
  <c r="I5584" i="2" a="1"/>
  <c r="I5584" i="2" s="1"/>
  <c r="I5585" i="2" a="1"/>
  <c r="I5585" i="2" s="1"/>
  <c r="I5586" i="2" a="1"/>
  <c r="I5586" i="2" s="1"/>
  <c r="I5587" i="2" a="1"/>
  <c r="I5587" i="2" s="1"/>
  <c r="I5588" i="2" a="1"/>
  <c r="I5588" i="2" s="1"/>
  <c r="I5589" i="2" a="1"/>
  <c r="I5589" i="2" s="1"/>
  <c r="I5590" i="2" a="1"/>
  <c r="I5590" i="2" s="1"/>
  <c r="I5591" i="2" a="1"/>
  <c r="I5591" i="2" s="1"/>
  <c r="I5592" i="2" a="1"/>
  <c r="I5592" i="2" s="1"/>
  <c r="I5593" i="2" a="1"/>
  <c r="I5593" i="2" s="1"/>
  <c r="I5594" i="2" a="1"/>
  <c r="I5594" i="2" s="1"/>
  <c r="I5595" i="2" a="1"/>
  <c r="I5595" i="2" s="1"/>
  <c r="I5596" i="2" a="1"/>
  <c r="I5596" i="2" s="1"/>
  <c r="I5597" i="2" a="1"/>
  <c r="I5597" i="2" s="1"/>
  <c r="I5598" i="2" a="1"/>
  <c r="I5598" i="2" s="1"/>
  <c r="I5599" i="2" a="1"/>
  <c r="I5599" i="2" s="1"/>
  <c r="I5600" i="2" a="1"/>
  <c r="I5600" i="2" s="1"/>
  <c r="I5601" i="2" a="1"/>
  <c r="I5601" i="2" s="1"/>
  <c r="I5602" i="2" a="1"/>
  <c r="I5602" i="2" s="1"/>
  <c r="I5603" i="2" a="1"/>
  <c r="I5603" i="2" s="1"/>
  <c r="I5604" i="2" a="1"/>
  <c r="I5604" i="2" s="1"/>
  <c r="I5605" i="2" a="1"/>
  <c r="I5605" i="2" s="1"/>
  <c r="I5606" i="2" a="1"/>
  <c r="I5606" i="2" s="1"/>
  <c r="I5607" i="2" a="1"/>
  <c r="I5607" i="2" s="1"/>
  <c r="I5608" i="2" a="1"/>
  <c r="I5608" i="2" s="1"/>
  <c r="I5609" i="2" a="1"/>
  <c r="I5609" i="2" s="1"/>
  <c r="I5610" i="2" a="1"/>
  <c r="I5610" i="2" s="1"/>
  <c r="I5611" i="2" a="1"/>
  <c r="I5611" i="2" s="1"/>
  <c r="I5612" i="2" a="1"/>
  <c r="I5612" i="2" s="1"/>
  <c r="I5613" i="2" a="1"/>
  <c r="I5613" i="2" s="1"/>
  <c r="I5614" i="2" a="1"/>
  <c r="I5614" i="2" s="1"/>
  <c r="I5615" i="2" a="1"/>
  <c r="I5615" i="2" s="1"/>
  <c r="I5616" i="2" a="1"/>
  <c r="I5616" i="2" s="1"/>
  <c r="I5617" i="2" a="1"/>
  <c r="I5617" i="2" s="1"/>
  <c r="I5618" i="2" a="1"/>
  <c r="I5618" i="2" s="1"/>
  <c r="I5619" i="2" a="1"/>
  <c r="I5619" i="2" s="1"/>
  <c r="I5620" i="2" a="1"/>
  <c r="I5620" i="2" s="1"/>
  <c r="I5621" i="2" a="1"/>
  <c r="I5621" i="2" s="1"/>
  <c r="I5622" i="2" a="1"/>
  <c r="I5622" i="2" s="1"/>
  <c r="I5623" i="2" a="1"/>
  <c r="I5623" i="2" s="1"/>
  <c r="I5624" i="2" a="1"/>
  <c r="I5624" i="2" s="1"/>
  <c r="I5625" i="2" a="1"/>
  <c r="I5625" i="2" s="1"/>
  <c r="I5626" i="2" a="1"/>
  <c r="I5626" i="2" s="1"/>
  <c r="I5627" i="2" a="1"/>
  <c r="I5627" i="2" s="1"/>
  <c r="I5628" i="2" a="1"/>
  <c r="I5628" i="2" s="1"/>
  <c r="I5629" i="2" a="1"/>
  <c r="I5629" i="2" s="1"/>
  <c r="I5630" i="2" a="1"/>
  <c r="I5630" i="2" s="1"/>
  <c r="I5631" i="2" a="1"/>
  <c r="I5631" i="2" s="1"/>
  <c r="I5632" i="2" a="1"/>
  <c r="I5632" i="2" s="1"/>
  <c r="I5633" i="2" a="1"/>
  <c r="I5633" i="2" s="1"/>
  <c r="I5634" i="2" a="1"/>
  <c r="I5634" i="2" s="1"/>
  <c r="I5635" i="2" a="1"/>
  <c r="I5635" i="2" s="1"/>
  <c r="I5636" i="2" a="1"/>
  <c r="I5636" i="2" s="1"/>
  <c r="I5637" i="2" a="1"/>
  <c r="I5637" i="2" s="1"/>
  <c r="I5638" i="2" a="1"/>
  <c r="I5638" i="2" s="1"/>
  <c r="I5639" i="2" a="1"/>
  <c r="I5639" i="2" s="1"/>
  <c r="I5640" i="2" a="1"/>
  <c r="I5640" i="2" s="1"/>
  <c r="I5641" i="2" a="1"/>
  <c r="I5641" i="2" s="1"/>
  <c r="I5642" i="2" a="1"/>
  <c r="I5642" i="2" s="1"/>
  <c r="I5643" i="2" a="1"/>
  <c r="I5643" i="2" s="1"/>
  <c r="I5644" i="2" a="1"/>
  <c r="I5644" i="2" s="1"/>
  <c r="I5645" i="2" a="1"/>
  <c r="I5645" i="2" s="1"/>
  <c r="I5646" i="2" a="1"/>
  <c r="I5646" i="2" s="1"/>
  <c r="I5647" i="2" a="1"/>
  <c r="I5647" i="2" s="1"/>
  <c r="I5648" i="2" a="1"/>
  <c r="I5648" i="2" s="1"/>
  <c r="I5649" i="2" a="1"/>
  <c r="I5649" i="2" s="1"/>
  <c r="I5650" i="2" a="1"/>
  <c r="I5650" i="2" s="1"/>
  <c r="I5651" i="2" a="1"/>
  <c r="I5651" i="2" s="1"/>
  <c r="I5652" i="2" a="1"/>
  <c r="I5652" i="2" s="1"/>
  <c r="I5653" i="2" a="1"/>
  <c r="I5653" i="2" s="1"/>
  <c r="I5654" i="2" a="1"/>
  <c r="I5654" i="2" s="1"/>
  <c r="I5655" i="2" a="1"/>
  <c r="I5655" i="2" s="1"/>
  <c r="I5656" i="2" a="1"/>
  <c r="I5656" i="2" s="1"/>
  <c r="I5657" i="2" a="1"/>
  <c r="I5657" i="2" s="1"/>
  <c r="I5658" i="2" a="1"/>
  <c r="I5658" i="2" s="1"/>
  <c r="I5659" i="2" a="1"/>
  <c r="I5659" i="2" s="1"/>
  <c r="I5660" i="2" a="1"/>
  <c r="I5660" i="2" s="1"/>
  <c r="I5661" i="2" a="1"/>
  <c r="I5661" i="2" s="1"/>
  <c r="I5662" i="2" a="1"/>
  <c r="I5662" i="2" s="1"/>
  <c r="I5663" i="2" a="1"/>
  <c r="I5663" i="2" s="1"/>
  <c r="I5664" i="2" a="1"/>
  <c r="I5664" i="2" s="1"/>
  <c r="I5665" i="2" a="1"/>
  <c r="I5665" i="2" s="1"/>
  <c r="I5666" i="2" a="1"/>
  <c r="I5666" i="2" s="1"/>
  <c r="I5667" i="2" a="1"/>
  <c r="I5667" i="2" s="1"/>
  <c r="I5668" i="2" a="1"/>
  <c r="I5668" i="2" s="1"/>
  <c r="I5669" i="2" a="1"/>
  <c r="I5669" i="2" s="1"/>
  <c r="I5670" i="2" a="1"/>
  <c r="I5670" i="2" s="1"/>
  <c r="I5671" i="2" a="1"/>
  <c r="I5671" i="2" s="1"/>
  <c r="I5672" i="2" a="1"/>
  <c r="I5672" i="2" s="1"/>
  <c r="I5673" i="2" a="1"/>
  <c r="I5673" i="2" s="1"/>
  <c r="I5674" i="2" a="1"/>
  <c r="I5674" i="2" s="1"/>
  <c r="I5675" i="2" a="1"/>
  <c r="I5675" i="2" s="1"/>
  <c r="I5676" i="2" a="1"/>
  <c r="I5676" i="2" s="1"/>
  <c r="I5677" i="2" a="1"/>
  <c r="I5677" i="2" s="1"/>
  <c r="I5678" i="2" a="1"/>
  <c r="I5678" i="2" s="1"/>
  <c r="I5679" i="2" a="1"/>
  <c r="I5679" i="2" s="1"/>
  <c r="I5680" i="2" a="1"/>
  <c r="I5680" i="2" s="1"/>
  <c r="I5681" i="2" a="1"/>
  <c r="I5681" i="2" s="1"/>
  <c r="I5682" i="2" a="1"/>
  <c r="I5682" i="2" s="1"/>
  <c r="I5683" i="2" a="1"/>
  <c r="I5683" i="2" s="1"/>
  <c r="I5684" i="2" a="1"/>
  <c r="I5684" i="2" s="1"/>
  <c r="I5685" i="2" a="1"/>
  <c r="I5685" i="2" s="1"/>
  <c r="I5686" i="2" a="1"/>
  <c r="I5686" i="2" s="1"/>
  <c r="I5687" i="2" a="1"/>
  <c r="I5687" i="2" s="1"/>
  <c r="I5688" i="2" a="1"/>
  <c r="I5688" i="2" s="1"/>
  <c r="I5689" i="2" a="1"/>
  <c r="I5689" i="2" s="1"/>
  <c r="I5690" i="2" a="1"/>
  <c r="I5690" i="2" s="1"/>
  <c r="I5691" i="2" a="1"/>
  <c r="I5691" i="2" s="1"/>
  <c r="I5692" i="2" a="1"/>
  <c r="I5692" i="2" s="1"/>
  <c r="I5693" i="2" a="1"/>
  <c r="I5693" i="2" s="1"/>
  <c r="I5694" i="2" a="1"/>
  <c r="I5694" i="2" s="1"/>
  <c r="I5695" i="2" a="1"/>
  <c r="I5695" i="2" s="1"/>
  <c r="I5696" i="2" a="1"/>
  <c r="I5696" i="2" s="1"/>
  <c r="I5697" i="2" a="1"/>
  <c r="I5697" i="2" s="1"/>
  <c r="I5698" i="2" a="1"/>
  <c r="I5698" i="2" s="1"/>
  <c r="I5699" i="2" a="1"/>
  <c r="I5699" i="2" s="1"/>
  <c r="I5700" i="2" a="1"/>
  <c r="I5700" i="2" s="1"/>
  <c r="I5701" i="2" a="1"/>
  <c r="I5701" i="2" s="1"/>
  <c r="I5702" i="2" a="1"/>
  <c r="I5702" i="2" s="1"/>
  <c r="I5703" i="2" a="1"/>
  <c r="I5703" i="2" s="1"/>
  <c r="I5704" i="2" a="1"/>
  <c r="I5704" i="2" s="1"/>
  <c r="I5705" i="2" a="1"/>
  <c r="I5705" i="2" s="1"/>
  <c r="I5706" i="2" a="1"/>
  <c r="I5706" i="2" s="1"/>
  <c r="I5707" i="2" a="1"/>
  <c r="I5707" i="2" s="1"/>
  <c r="I5708" i="2" a="1"/>
  <c r="I5708" i="2" s="1"/>
  <c r="I5709" i="2" a="1"/>
  <c r="I5709" i="2" s="1"/>
  <c r="I5710" i="2" a="1"/>
  <c r="I5710" i="2" s="1"/>
  <c r="I5711" i="2" a="1"/>
  <c r="I5711" i="2" s="1"/>
  <c r="I5712" i="2" a="1"/>
  <c r="I5712" i="2" s="1"/>
  <c r="I5713" i="2" a="1"/>
  <c r="I5713" i="2" s="1"/>
  <c r="I5714" i="2" a="1"/>
  <c r="I5714" i="2" s="1"/>
  <c r="I5715" i="2" a="1"/>
  <c r="I5715" i="2" s="1"/>
  <c r="I5716" i="2" a="1"/>
  <c r="I5716" i="2" s="1"/>
  <c r="I5717" i="2" a="1"/>
  <c r="I5717" i="2" s="1"/>
  <c r="I5718" i="2" a="1"/>
  <c r="I5718" i="2" s="1"/>
  <c r="I5719" i="2" a="1"/>
  <c r="I5719" i="2" s="1"/>
  <c r="I5720" i="2" a="1"/>
  <c r="I5720" i="2" s="1"/>
  <c r="I5721" i="2" a="1"/>
  <c r="I5721" i="2" s="1"/>
  <c r="I5722" i="2" a="1"/>
  <c r="I5722" i="2" s="1"/>
  <c r="I5723" i="2" a="1"/>
  <c r="I5723" i="2" s="1"/>
  <c r="I5724" i="2" a="1"/>
  <c r="I5724" i="2" s="1"/>
  <c r="I5725" i="2" a="1"/>
  <c r="I5725" i="2" s="1"/>
  <c r="I5726" i="2" a="1"/>
  <c r="I5726" i="2" s="1"/>
  <c r="I5727" i="2" a="1"/>
  <c r="I5727" i="2" s="1"/>
  <c r="I5728" i="2" a="1"/>
  <c r="I5728" i="2" s="1"/>
  <c r="I5729" i="2" a="1"/>
  <c r="I5729" i="2" s="1"/>
  <c r="I5730" i="2" a="1"/>
  <c r="I5730" i="2" s="1"/>
  <c r="I5731" i="2" a="1"/>
  <c r="I5731" i="2" s="1"/>
  <c r="I5732" i="2" a="1"/>
  <c r="I5732" i="2" s="1"/>
  <c r="I5733" i="2" a="1"/>
  <c r="I5733" i="2" s="1"/>
  <c r="I5734" i="2" a="1"/>
  <c r="I5734" i="2" s="1"/>
  <c r="I5735" i="2" a="1"/>
  <c r="I5735" i="2" s="1"/>
  <c r="I5736" i="2" a="1"/>
  <c r="I5736" i="2" s="1"/>
  <c r="I5737" i="2" a="1"/>
  <c r="I5737" i="2" s="1"/>
  <c r="I5738" i="2" a="1"/>
  <c r="I5738" i="2" s="1"/>
  <c r="I5739" i="2" a="1"/>
  <c r="I5739" i="2" s="1"/>
  <c r="I5740" i="2" a="1"/>
  <c r="I5740" i="2" s="1"/>
  <c r="I5741" i="2" a="1"/>
  <c r="I5741" i="2" s="1"/>
  <c r="I5742" i="2" a="1"/>
  <c r="I5742" i="2" s="1"/>
  <c r="I5743" i="2" a="1"/>
  <c r="I5743" i="2" s="1"/>
  <c r="I5744" i="2" a="1"/>
  <c r="I5744" i="2" s="1"/>
  <c r="I5745" i="2" a="1"/>
  <c r="I5745" i="2" s="1"/>
  <c r="I5746" i="2" a="1"/>
  <c r="I5746" i="2" s="1"/>
  <c r="I5747" i="2" a="1"/>
  <c r="I5747" i="2" s="1"/>
  <c r="I5748" i="2" a="1"/>
  <c r="I5748" i="2" s="1"/>
  <c r="I5749" i="2" a="1"/>
  <c r="I5749" i="2" s="1"/>
  <c r="I5750" i="2" a="1"/>
  <c r="I5750" i="2" s="1"/>
  <c r="I5751" i="2" a="1"/>
  <c r="I5751" i="2" s="1"/>
  <c r="I5752" i="2" a="1"/>
  <c r="I5752" i="2" s="1"/>
  <c r="I5753" i="2" a="1"/>
  <c r="I5753" i="2" s="1"/>
  <c r="I5754" i="2" a="1"/>
  <c r="I5754" i="2" s="1"/>
  <c r="I5755" i="2" a="1"/>
  <c r="I5755" i="2" s="1"/>
  <c r="I5756" i="2" a="1"/>
  <c r="I5756" i="2" s="1"/>
  <c r="I5757" i="2" a="1"/>
  <c r="I5757" i="2" s="1"/>
  <c r="I5758" i="2" a="1"/>
  <c r="I5758" i="2" s="1"/>
  <c r="I5759" i="2" a="1"/>
  <c r="I5759" i="2" s="1"/>
  <c r="I5760" i="2" a="1"/>
  <c r="I5760" i="2" s="1"/>
  <c r="I5761" i="2" a="1"/>
  <c r="I5761" i="2" s="1"/>
  <c r="I5762" i="2" a="1"/>
  <c r="I5762" i="2" s="1"/>
  <c r="I5763" i="2" a="1"/>
  <c r="I5763" i="2" s="1"/>
  <c r="I5764" i="2" a="1"/>
  <c r="I5764" i="2" s="1"/>
  <c r="I5765" i="2" a="1"/>
  <c r="I5765" i="2" s="1"/>
  <c r="I5766" i="2" a="1"/>
  <c r="I5766" i="2" s="1"/>
  <c r="I5767" i="2" a="1"/>
  <c r="I5767" i="2" s="1"/>
  <c r="I5768" i="2" a="1"/>
  <c r="I5768" i="2" s="1"/>
  <c r="I5769" i="2" a="1"/>
  <c r="I5769" i="2" s="1"/>
  <c r="I5770" i="2" a="1"/>
  <c r="I5770" i="2" s="1"/>
  <c r="I5771" i="2" a="1"/>
  <c r="I5771" i="2" s="1"/>
  <c r="I5772" i="2" a="1"/>
  <c r="I5772" i="2" s="1"/>
  <c r="I5773" i="2" a="1"/>
  <c r="I5773" i="2" s="1"/>
  <c r="I5774" i="2" a="1"/>
  <c r="I5774" i="2" s="1"/>
  <c r="I5775" i="2" a="1"/>
  <c r="I5775" i="2" s="1"/>
  <c r="I5776" i="2" a="1"/>
  <c r="I5776" i="2" s="1"/>
  <c r="I5777" i="2" a="1"/>
  <c r="I5777" i="2" s="1"/>
  <c r="I5778" i="2" a="1"/>
  <c r="I5778" i="2" s="1"/>
  <c r="I5779" i="2" a="1"/>
  <c r="I5779" i="2" s="1"/>
  <c r="I5780" i="2" a="1"/>
  <c r="I5780" i="2" s="1"/>
  <c r="I5781" i="2" a="1"/>
  <c r="I5781" i="2" s="1"/>
  <c r="I5782" i="2" a="1"/>
  <c r="I5782" i="2" s="1"/>
  <c r="I5783" i="2" a="1"/>
  <c r="I5783" i="2" s="1"/>
  <c r="I5784" i="2" a="1"/>
  <c r="I5784" i="2" s="1"/>
  <c r="I5785" i="2" a="1"/>
  <c r="I5785" i="2" s="1"/>
  <c r="I5786" i="2" a="1"/>
  <c r="I5786" i="2" s="1"/>
  <c r="I5787" i="2" a="1"/>
  <c r="I5787" i="2" s="1"/>
  <c r="I5788" i="2" a="1"/>
  <c r="I5788" i="2" s="1"/>
  <c r="I5789" i="2" a="1"/>
  <c r="I5789" i="2" s="1"/>
  <c r="I5790" i="2" a="1"/>
  <c r="I5790" i="2" s="1"/>
  <c r="I5791" i="2" a="1"/>
  <c r="I5791" i="2" s="1"/>
  <c r="I5792" i="2" a="1"/>
  <c r="I5792" i="2" s="1"/>
  <c r="I5793" i="2" a="1"/>
  <c r="I5793" i="2" s="1"/>
  <c r="I5794" i="2" a="1"/>
  <c r="I5794" i="2" s="1"/>
  <c r="I5795" i="2" a="1"/>
  <c r="I5795" i="2" s="1"/>
  <c r="I5796" i="2" a="1"/>
  <c r="I5796" i="2" s="1"/>
  <c r="I5797" i="2" a="1"/>
  <c r="I5797" i="2" s="1"/>
  <c r="I5798" i="2" a="1"/>
  <c r="I5798" i="2" s="1"/>
  <c r="I5799" i="2" a="1"/>
  <c r="I5799" i="2" s="1"/>
  <c r="I5800" i="2" a="1"/>
  <c r="I5800" i="2" s="1"/>
  <c r="I5801" i="2" a="1"/>
  <c r="I5801" i="2" s="1"/>
  <c r="I5802" i="2" a="1"/>
  <c r="I5802" i="2" s="1"/>
  <c r="I5803" i="2" a="1"/>
  <c r="I5803" i="2" s="1"/>
  <c r="I5804" i="2" a="1"/>
  <c r="I5804" i="2" s="1"/>
  <c r="I5805" i="2" a="1"/>
  <c r="I5805" i="2" s="1"/>
  <c r="I5806" i="2" a="1"/>
  <c r="I5806" i="2" s="1"/>
  <c r="I5807" i="2" a="1"/>
  <c r="I5807" i="2" s="1"/>
  <c r="I5808" i="2" a="1"/>
  <c r="I5808" i="2" s="1"/>
  <c r="I5809" i="2" a="1"/>
  <c r="I5809" i="2" s="1"/>
  <c r="I5810" i="2" a="1"/>
  <c r="I5810" i="2" s="1"/>
  <c r="I5811" i="2" a="1"/>
  <c r="I5811" i="2" s="1"/>
  <c r="I5812" i="2" a="1"/>
  <c r="I5812" i="2" s="1"/>
  <c r="I5813" i="2" a="1"/>
  <c r="I5813" i="2" s="1"/>
  <c r="I5814" i="2" a="1"/>
  <c r="I5814" i="2" s="1"/>
  <c r="I5815" i="2" a="1"/>
  <c r="I5815" i="2" s="1"/>
  <c r="I5816" i="2" a="1"/>
  <c r="I5816" i="2" s="1"/>
  <c r="I5817" i="2" a="1"/>
  <c r="I5817" i="2" s="1"/>
  <c r="I5818" i="2" a="1"/>
  <c r="I5818" i="2" s="1"/>
  <c r="I5819" i="2" a="1"/>
  <c r="I5819" i="2" s="1"/>
  <c r="I5820" i="2" a="1"/>
  <c r="I5820" i="2" s="1"/>
  <c r="I5821" i="2" a="1"/>
  <c r="I5821" i="2" s="1"/>
  <c r="I5822" i="2" a="1"/>
  <c r="I5822" i="2" s="1"/>
  <c r="I5823" i="2" a="1"/>
  <c r="I5823" i="2" s="1"/>
  <c r="I5824" i="2" a="1"/>
  <c r="I5824" i="2" s="1"/>
  <c r="I5825" i="2" a="1"/>
  <c r="I5825" i="2" s="1"/>
  <c r="I5826" i="2" a="1"/>
  <c r="I5826" i="2" s="1"/>
  <c r="I5827" i="2" a="1"/>
  <c r="I5827" i="2" s="1"/>
  <c r="I5828" i="2" a="1"/>
  <c r="I5828" i="2" s="1"/>
  <c r="I5829" i="2" a="1"/>
  <c r="I5829" i="2" s="1"/>
  <c r="I5830" i="2" a="1"/>
  <c r="I5830" i="2" s="1"/>
  <c r="I5831" i="2" a="1"/>
  <c r="I5831" i="2" s="1"/>
  <c r="I5832" i="2" a="1"/>
  <c r="I5832" i="2" s="1"/>
  <c r="I5833" i="2" a="1"/>
  <c r="I5833" i="2" s="1"/>
  <c r="I5834" i="2" a="1"/>
  <c r="I5834" i="2" s="1"/>
  <c r="I5835" i="2" a="1"/>
  <c r="I5835" i="2" s="1"/>
  <c r="I5836" i="2" a="1"/>
  <c r="I5836" i="2" s="1"/>
  <c r="I5837" i="2" a="1"/>
  <c r="I5837" i="2" s="1"/>
  <c r="I5838" i="2" a="1"/>
  <c r="I5838" i="2" s="1"/>
  <c r="I5839" i="2" a="1"/>
  <c r="I5839" i="2" s="1"/>
  <c r="I5840" i="2" a="1"/>
  <c r="I5840" i="2" s="1"/>
  <c r="I5841" i="2" a="1"/>
  <c r="I5841" i="2" s="1"/>
  <c r="I5842" i="2" a="1"/>
  <c r="I5842" i="2" s="1"/>
  <c r="I5843" i="2" a="1"/>
  <c r="I5843" i="2" s="1"/>
  <c r="I5844" i="2" a="1"/>
  <c r="I5844" i="2" s="1"/>
  <c r="I5845" i="2" a="1"/>
  <c r="I5845" i="2" s="1"/>
  <c r="I5846" i="2" a="1"/>
  <c r="I5846" i="2" s="1"/>
  <c r="I5847" i="2" a="1"/>
  <c r="I5847" i="2" s="1"/>
  <c r="I5848" i="2" a="1"/>
  <c r="I5848" i="2" s="1"/>
  <c r="I5849" i="2" a="1"/>
  <c r="I5849" i="2" s="1"/>
  <c r="I5850" i="2" a="1"/>
  <c r="I5850" i="2" s="1"/>
  <c r="I5851" i="2" a="1"/>
  <c r="I5851" i="2" s="1"/>
  <c r="I5852" i="2" a="1"/>
  <c r="I5852" i="2" s="1"/>
  <c r="I5853" i="2" a="1"/>
  <c r="I5853" i="2" s="1"/>
  <c r="I5854" i="2" a="1"/>
  <c r="I5854" i="2" s="1"/>
  <c r="I5855" i="2" a="1"/>
  <c r="I5855" i="2" s="1"/>
  <c r="I5856" i="2" a="1"/>
  <c r="I5856" i="2" s="1"/>
  <c r="I5857" i="2" a="1"/>
  <c r="I5857" i="2" s="1"/>
  <c r="I5858" i="2" a="1"/>
  <c r="I5858" i="2" s="1"/>
  <c r="I5859" i="2" a="1"/>
  <c r="I5859" i="2" s="1"/>
  <c r="I5860" i="2" a="1"/>
  <c r="I5860" i="2" s="1"/>
  <c r="I5861" i="2" a="1"/>
  <c r="I5861" i="2" s="1"/>
  <c r="I5862" i="2" a="1"/>
  <c r="I5862" i="2" s="1"/>
  <c r="I5863" i="2" a="1"/>
  <c r="I5863" i="2" s="1"/>
  <c r="I5864" i="2" a="1"/>
  <c r="I5864" i="2" s="1"/>
  <c r="I5865" i="2" a="1"/>
  <c r="I5865" i="2" s="1"/>
  <c r="I5866" i="2" a="1"/>
  <c r="I5866" i="2" s="1"/>
  <c r="I5867" i="2" a="1"/>
  <c r="I5867" i="2" s="1"/>
  <c r="I5868" i="2" a="1"/>
  <c r="I5868" i="2" s="1"/>
  <c r="I5869" i="2" a="1"/>
  <c r="I5869" i="2" s="1"/>
  <c r="I5870" i="2" a="1"/>
  <c r="I5870" i="2" s="1"/>
  <c r="I5871" i="2" a="1"/>
  <c r="I5871" i="2" s="1"/>
  <c r="I5872" i="2" a="1"/>
  <c r="I5872" i="2" s="1"/>
  <c r="I5873" i="2" a="1"/>
  <c r="I5873" i="2" s="1"/>
  <c r="I5874" i="2" a="1"/>
  <c r="I5874" i="2" s="1"/>
  <c r="I5875" i="2" a="1"/>
  <c r="I5875" i="2" s="1"/>
  <c r="I5876" i="2" a="1"/>
  <c r="I5876" i="2" s="1"/>
  <c r="I5877" i="2" a="1"/>
  <c r="I5877" i="2" s="1"/>
  <c r="I5878" i="2" a="1"/>
  <c r="I5878" i="2" s="1"/>
  <c r="I5879" i="2" a="1"/>
  <c r="I5879" i="2" s="1"/>
  <c r="I5880" i="2" a="1"/>
  <c r="I5880" i="2" s="1"/>
  <c r="I5881" i="2" a="1"/>
  <c r="I5881" i="2" s="1"/>
  <c r="I5882" i="2" a="1"/>
  <c r="I5882" i="2" s="1"/>
  <c r="I5883" i="2" a="1"/>
  <c r="I5883" i="2" s="1"/>
  <c r="I5884" i="2" a="1"/>
  <c r="I5884" i="2" s="1"/>
  <c r="I5885" i="2" a="1"/>
  <c r="I5885" i="2" s="1"/>
  <c r="I5886" i="2" a="1"/>
  <c r="I5886" i="2" s="1"/>
  <c r="I5887" i="2" a="1"/>
  <c r="I5887" i="2" s="1"/>
  <c r="I5888" i="2" a="1"/>
  <c r="I5888" i="2" s="1"/>
  <c r="I5889" i="2" a="1"/>
  <c r="I5889" i="2" s="1"/>
  <c r="I5890" i="2" a="1"/>
  <c r="I5890" i="2" s="1"/>
  <c r="I5891" i="2" a="1"/>
  <c r="I5891" i="2" s="1"/>
  <c r="I5892" i="2" a="1"/>
  <c r="I5892" i="2" s="1"/>
  <c r="I5893" i="2" a="1"/>
  <c r="I5893" i="2" s="1"/>
  <c r="I5894" i="2" a="1"/>
  <c r="I5894" i="2" s="1"/>
  <c r="I5895" i="2" a="1"/>
  <c r="I5895" i="2" s="1"/>
  <c r="I5896" i="2" a="1"/>
  <c r="I5896" i="2" s="1"/>
  <c r="I5897" i="2" a="1"/>
  <c r="I5897" i="2" s="1"/>
  <c r="I5898" i="2" a="1"/>
  <c r="I5898" i="2" s="1"/>
  <c r="I5899" i="2" a="1"/>
  <c r="I5899" i="2" s="1"/>
  <c r="I5900" i="2" a="1"/>
  <c r="I5900" i="2" s="1"/>
  <c r="I5901" i="2" a="1"/>
  <c r="I5901" i="2" s="1"/>
  <c r="I5902" i="2" a="1"/>
  <c r="I5902" i="2" s="1"/>
  <c r="I5903" i="2" a="1"/>
  <c r="I5903" i="2" s="1"/>
  <c r="I5904" i="2" a="1"/>
  <c r="I5904" i="2" s="1"/>
  <c r="I5905" i="2" a="1"/>
  <c r="I5905" i="2" s="1"/>
  <c r="I5906" i="2" a="1"/>
  <c r="I5906" i="2" s="1"/>
  <c r="I5907" i="2" a="1"/>
  <c r="I5907" i="2" s="1"/>
  <c r="I5908" i="2" a="1"/>
  <c r="I5908" i="2" s="1"/>
  <c r="I5909" i="2" a="1"/>
  <c r="I5909" i="2" s="1"/>
  <c r="I5910" i="2" a="1"/>
  <c r="I5910" i="2" s="1"/>
  <c r="I5911" i="2" a="1"/>
  <c r="I5911" i="2" s="1"/>
  <c r="I5912" i="2" a="1"/>
  <c r="I5912" i="2" s="1"/>
  <c r="I5913" i="2" a="1"/>
  <c r="I5913" i="2" s="1"/>
  <c r="I5914" i="2" a="1"/>
  <c r="I5914" i="2" s="1"/>
  <c r="I5915" i="2" a="1"/>
  <c r="I5915" i="2" s="1"/>
  <c r="I5916" i="2" a="1"/>
  <c r="I5916" i="2" s="1"/>
  <c r="I5917" i="2" a="1"/>
  <c r="I5917" i="2" s="1"/>
  <c r="I5918" i="2" a="1"/>
  <c r="I5918" i="2" s="1"/>
  <c r="I5919" i="2" a="1"/>
  <c r="I5919" i="2" s="1"/>
  <c r="I5920" i="2" a="1"/>
  <c r="I5920" i="2" s="1"/>
  <c r="I5921" i="2" a="1"/>
  <c r="I5921" i="2" s="1"/>
  <c r="I5922" i="2" a="1"/>
  <c r="I5922" i="2" s="1"/>
  <c r="I5923" i="2" a="1"/>
  <c r="I5923" i="2" s="1"/>
  <c r="I5924" i="2" a="1"/>
  <c r="I5924" i="2" s="1"/>
  <c r="I5925" i="2" a="1"/>
  <c r="I5925" i="2" s="1"/>
  <c r="I5926" i="2" a="1"/>
  <c r="I5926" i="2" s="1"/>
  <c r="I5927" i="2" a="1"/>
  <c r="I5927" i="2" s="1"/>
  <c r="I5928" i="2" a="1"/>
  <c r="I5928" i="2" s="1"/>
  <c r="I5929" i="2" a="1"/>
  <c r="I5929" i="2" s="1"/>
  <c r="I5930" i="2" a="1"/>
  <c r="I5930" i="2" s="1"/>
  <c r="I5931" i="2" a="1"/>
  <c r="I5931" i="2" s="1"/>
  <c r="I5932" i="2" a="1"/>
  <c r="I5932" i="2" s="1"/>
  <c r="I5933" i="2" a="1"/>
  <c r="I5933" i="2" s="1"/>
  <c r="I5934" i="2" a="1"/>
  <c r="I5934" i="2" s="1"/>
  <c r="I5935" i="2" a="1"/>
  <c r="I5935" i="2" s="1"/>
  <c r="I5936" i="2" a="1"/>
  <c r="I5936" i="2" s="1"/>
  <c r="I5937" i="2" a="1"/>
  <c r="I5937" i="2" s="1"/>
  <c r="I5938" i="2" a="1"/>
  <c r="I5938" i="2" s="1"/>
  <c r="I5939" i="2" a="1"/>
  <c r="I5939" i="2" s="1"/>
  <c r="I5940" i="2" a="1"/>
  <c r="I5940" i="2" s="1"/>
  <c r="I5941" i="2" a="1"/>
  <c r="I5941" i="2" s="1"/>
  <c r="I5942" i="2" a="1"/>
  <c r="I5942" i="2" s="1"/>
  <c r="I5943" i="2" a="1"/>
  <c r="I5943" i="2" s="1"/>
  <c r="I5944" i="2" a="1"/>
  <c r="I5944" i="2" s="1"/>
  <c r="I5945" i="2" a="1"/>
  <c r="I5945" i="2" s="1"/>
  <c r="I5946" i="2" a="1"/>
  <c r="I5946" i="2" s="1"/>
  <c r="I5947" i="2" a="1"/>
  <c r="I5947" i="2" s="1"/>
  <c r="I5948" i="2" a="1"/>
  <c r="I5948" i="2" s="1"/>
  <c r="I5949" i="2" a="1"/>
  <c r="I5949" i="2" s="1"/>
  <c r="I5950" i="2" a="1"/>
  <c r="I5950" i="2" s="1"/>
  <c r="I5951" i="2" a="1"/>
  <c r="I5951" i="2" s="1"/>
  <c r="I5952" i="2" a="1"/>
  <c r="I5952" i="2" s="1"/>
  <c r="I5953" i="2" a="1"/>
  <c r="I5953" i="2" s="1"/>
  <c r="I5954" i="2" a="1"/>
  <c r="I5954" i="2" s="1"/>
  <c r="I5955" i="2" a="1"/>
  <c r="I5955" i="2" s="1"/>
  <c r="I5956" i="2" a="1"/>
  <c r="I5956" i="2" s="1"/>
  <c r="I5957" i="2" a="1"/>
  <c r="I5957" i="2" s="1"/>
  <c r="I5958" i="2" a="1"/>
  <c r="I5958" i="2" s="1"/>
  <c r="I5959" i="2" a="1"/>
  <c r="I5959" i="2" s="1"/>
  <c r="I5960" i="2" a="1"/>
  <c r="I5960" i="2" s="1"/>
  <c r="I5961" i="2" a="1"/>
  <c r="I5961" i="2" s="1"/>
  <c r="I5962" i="2" a="1"/>
  <c r="I5962" i="2" s="1"/>
  <c r="I5963" i="2" a="1"/>
  <c r="I5963" i="2" s="1"/>
  <c r="I5964" i="2" a="1"/>
  <c r="I5964" i="2" s="1"/>
  <c r="I5965" i="2" a="1"/>
  <c r="I5965" i="2" s="1"/>
  <c r="I5966" i="2" a="1"/>
  <c r="I5966" i="2" s="1"/>
  <c r="I5967" i="2" a="1"/>
  <c r="I5967" i="2" s="1"/>
  <c r="I5968" i="2" a="1"/>
  <c r="I5968" i="2" s="1"/>
  <c r="I5969" i="2" a="1"/>
  <c r="I5969" i="2" s="1"/>
  <c r="I5970" i="2" a="1"/>
  <c r="I5970" i="2" s="1"/>
  <c r="I5971" i="2" a="1"/>
  <c r="I5971" i="2" s="1"/>
  <c r="I5972" i="2" a="1"/>
  <c r="I5972" i="2" s="1"/>
  <c r="I5973" i="2" a="1"/>
  <c r="I5973" i="2" s="1"/>
  <c r="I5974" i="2" a="1"/>
  <c r="I5974" i="2" s="1"/>
  <c r="I5975" i="2" a="1"/>
  <c r="I5975" i="2" s="1"/>
  <c r="I5976" i="2" a="1"/>
  <c r="I5976" i="2" s="1"/>
  <c r="I5977" i="2" a="1"/>
  <c r="I5977" i="2" s="1"/>
  <c r="I5978" i="2" a="1"/>
  <c r="I5978" i="2" s="1"/>
  <c r="I5979" i="2" a="1"/>
  <c r="I5979" i="2" s="1"/>
  <c r="I5980" i="2" a="1"/>
  <c r="I5980" i="2" s="1"/>
  <c r="I5981" i="2" a="1"/>
  <c r="I5981" i="2" s="1"/>
  <c r="I5982" i="2" a="1"/>
  <c r="I5982" i="2" s="1"/>
  <c r="I5983" i="2" a="1"/>
  <c r="I5983" i="2" s="1"/>
  <c r="I5984" i="2" a="1"/>
  <c r="I5984" i="2" s="1"/>
  <c r="I5985" i="2" a="1"/>
  <c r="I5985" i="2" s="1"/>
  <c r="I5986" i="2" a="1"/>
  <c r="I5986" i="2" s="1"/>
  <c r="I5987" i="2" a="1"/>
  <c r="I5987" i="2" s="1"/>
  <c r="I5988" i="2" a="1"/>
  <c r="I5988" i="2" s="1"/>
  <c r="I5989" i="2" a="1"/>
  <c r="I5989" i="2" s="1"/>
  <c r="I5990" i="2" a="1"/>
  <c r="I5990" i="2" s="1"/>
  <c r="I5991" i="2" a="1"/>
  <c r="I5991" i="2" s="1"/>
  <c r="I5992" i="2" a="1"/>
  <c r="I5992" i="2" s="1"/>
  <c r="I5993" i="2" a="1"/>
  <c r="I5993" i="2" s="1"/>
  <c r="I5994" i="2" a="1"/>
  <c r="I5994" i="2" s="1"/>
  <c r="I5995" i="2" a="1"/>
  <c r="I5995" i="2" s="1"/>
  <c r="I5996" i="2" a="1"/>
  <c r="I5996" i="2" s="1"/>
  <c r="I5997" i="2" a="1"/>
  <c r="I5997" i="2" s="1"/>
  <c r="I5998" i="2" a="1"/>
  <c r="I5998" i="2" s="1"/>
  <c r="I5999" i="2" a="1"/>
  <c r="I5999" i="2" s="1"/>
  <c r="I6000" i="2" a="1"/>
  <c r="I6000" i="2" s="1"/>
  <c r="I6001" i="2" a="1"/>
  <c r="I6001" i="2" s="1"/>
  <c r="I6002" i="2" a="1"/>
  <c r="I6002" i="2" s="1"/>
  <c r="I6003" i="2" a="1"/>
  <c r="I6003" i="2" s="1"/>
  <c r="I6004" i="2" a="1"/>
  <c r="I6004" i="2" s="1"/>
  <c r="I6005" i="2" a="1"/>
  <c r="I6005" i="2" s="1"/>
  <c r="I6006" i="2" a="1"/>
  <c r="I6006" i="2" s="1"/>
  <c r="I6007" i="2" a="1"/>
  <c r="I6007" i="2" s="1"/>
  <c r="I6008" i="2" a="1"/>
  <c r="I6008" i="2" s="1"/>
  <c r="I6009" i="2" a="1"/>
  <c r="I6009" i="2" s="1"/>
  <c r="I6010" i="2" a="1"/>
  <c r="I6010" i="2" s="1"/>
  <c r="I6011" i="2" a="1"/>
  <c r="I6011" i="2" s="1"/>
  <c r="I6012" i="2" a="1"/>
  <c r="I6012" i="2" s="1"/>
  <c r="I6013" i="2" a="1"/>
  <c r="I6013" i="2" s="1"/>
  <c r="I6014" i="2" a="1"/>
  <c r="I6014" i="2" s="1"/>
  <c r="I6015" i="2" a="1"/>
  <c r="I6015" i="2" s="1"/>
  <c r="I6016" i="2" a="1"/>
  <c r="I6016" i="2" s="1"/>
  <c r="I6017" i="2" a="1"/>
  <c r="I6017" i="2" s="1"/>
  <c r="I6018" i="2" a="1"/>
  <c r="I6018" i="2" s="1"/>
  <c r="I6019" i="2" a="1"/>
  <c r="I6019" i="2" s="1"/>
  <c r="I6020" i="2" a="1"/>
  <c r="I6020" i="2" s="1"/>
  <c r="I6021" i="2" a="1"/>
  <c r="I6021" i="2" s="1"/>
  <c r="I6022" i="2" a="1"/>
  <c r="I6022" i="2" s="1"/>
  <c r="I6023" i="2" a="1"/>
  <c r="I6023" i="2" s="1"/>
  <c r="I6024" i="2" a="1"/>
  <c r="I6024" i="2" s="1"/>
  <c r="I6025" i="2" a="1"/>
  <c r="I6025" i="2" s="1"/>
  <c r="I6026" i="2" a="1"/>
  <c r="I6026" i="2" s="1"/>
  <c r="I6027" i="2" a="1"/>
  <c r="I6027" i="2" s="1"/>
  <c r="I6028" i="2" a="1"/>
  <c r="I6028" i="2" s="1"/>
  <c r="I6029" i="2" a="1"/>
  <c r="I6029" i="2" s="1"/>
  <c r="I6030" i="2" a="1"/>
  <c r="I6030" i="2" s="1"/>
  <c r="I6031" i="2" a="1"/>
  <c r="I6031" i="2" s="1"/>
  <c r="I6032" i="2" a="1"/>
  <c r="I6032" i="2" s="1"/>
  <c r="I6033" i="2" a="1"/>
  <c r="I6033" i="2" s="1"/>
  <c r="I6034" i="2" a="1"/>
  <c r="I6034" i="2" s="1"/>
  <c r="I6035" i="2" a="1"/>
  <c r="I6035" i="2" s="1"/>
  <c r="I6036" i="2" a="1"/>
  <c r="I6036" i="2" s="1"/>
  <c r="I6037" i="2" a="1"/>
  <c r="I6037" i="2" s="1"/>
  <c r="I6038" i="2" a="1"/>
  <c r="I6038" i="2" s="1"/>
  <c r="I6039" i="2" a="1"/>
  <c r="I6039" i="2" s="1"/>
  <c r="I6040" i="2" a="1"/>
  <c r="I6040" i="2" s="1"/>
  <c r="I6041" i="2" a="1"/>
  <c r="I6041" i="2" s="1"/>
  <c r="I6042" i="2" a="1"/>
  <c r="I6042" i="2" s="1"/>
  <c r="I6043" i="2" a="1"/>
  <c r="I6043" i="2" s="1"/>
  <c r="I6044" i="2" a="1"/>
  <c r="I6044" i="2" s="1"/>
  <c r="I6045" i="2" a="1"/>
  <c r="I6045" i="2" s="1"/>
  <c r="I6046" i="2" a="1"/>
  <c r="I6046" i="2" s="1"/>
  <c r="I6047" i="2" a="1"/>
  <c r="I6047" i="2" s="1"/>
  <c r="I6048" i="2" a="1"/>
  <c r="I6048" i="2" s="1"/>
  <c r="I6049" i="2" a="1"/>
  <c r="I6049" i="2" s="1"/>
  <c r="I6050" i="2" a="1"/>
  <c r="I6050" i="2" s="1"/>
  <c r="I6051" i="2" a="1"/>
  <c r="I6051" i="2" s="1"/>
  <c r="I6052" i="2" a="1"/>
  <c r="I6052" i="2" s="1"/>
  <c r="I6053" i="2" a="1"/>
  <c r="I6053" i="2" s="1"/>
  <c r="I6054" i="2" a="1"/>
  <c r="I6054" i="2" s="1"/>
  <c r="I6055" i="2" a="1"/>
  <c r="I6055" i="2" s="1"/>
  <c r="I6056" i="2" a="1"/>
  <c r="I6056" i="2" s="1"/>
  <c r="I6057" i="2" a="1"/>
  <c r="I6057" i="2" s="1"/>
  <c r="I6058" i="2" a="1"/>
  <c r="I6058" i="2" s="1"/>
  <c r="I6059" i="2" a="1"/>
  <c r="I6059" i="2" s="1"/>
  <c r="I6060" i="2" a="1"/>
  <c r="I6060" i="2" s="1"/>
  <c r="I6061" i="2" a="1"/>
  <c r="I6061" i="2" s="1"/>
  <c r="I6062" i="2" a="1"/>
  <c r="I6062" i="2" s="1"/>
  <c r="I6063" i="2" a="1"/>
  <c r="I6063" i="2" s="1"/>
  <c r="I6064" i="2" a="1"/>
  <c r="I6064" i="2" s="1"/>
  <c r="I6065" i="2" a="1"/>
  <c r="I6065" i="2" s="1"/>
  <c r="I6066" i="2" a="1"/>
  <c r="I6066" i="2" s="1"/>
  <c r="I6067" i="2" a="1"/>
  <c r="I6067" i="2" s="1"/>
  <c r="I6068" i="2" a="1"/>
  <c r="I6068" i="2" s="1"/>
  <c r="I6069" i="2" a="1"/>
  <c r="I6069" i="2" s="1"/>
  <c r="I6070" i="2" a="1"/>
  <c r="I6070" i="2" s="1"/>
  <c r="I6071" i="2" a="1"/>
  <c r="I6071" i="2" s="1"/>
  <c r="I6072" i="2" a="1"/>
  <c r="I6072" i="2" s="1"/>
  <c r="I6073" i="2" a="1"/>
  <c r="I6073" i="2" s="1"/>
  <c r="I6074" i="2" a="1"/>
  <c r="I6074" i="2" s="1"/>
  <c r="I6075" i="2" a="1"/>
  <c r="I6075" i="2" s="1"/>
  <c r="I6076" i="2" a="1"/>
  <c r="I6076" i="2" s="1"/>
  <c r="I6077" i="2" a="1"/>
  <c r="I6077" i="2" s="1"/>
  <c r="I6078" i="2" a="1"/>
  <c r="I6078" i="2" s="1"/>
  <c r="I6079" i="2" a="1"/>
  <c r="I6079" i="2" s="1"/>
  <c r="I6080" i="2" a="1"/>
  <c r="I6080" i="2" s="1"/>
  <c r="I6081" i="2" a="1"/>
  <c r="I6081" i="2" s="1"/>
  <c r="I6082" i="2" a="1"/>
  <c r="I6082" i="2" s="1"/>
  <c r="I6083" i="2" a="1"/>
  <c r="I6083" i="2" s="1"/>
  <c r="I6084" i="2" a="1"/>
  <c r="I6084" i="2" s="1"/>
  <c r="I6085" i="2" a="1"/>
  <c r="I6085" i="2" s="1"/>
  <c r="I6086" i="2" a="1"/>
  <c r="I6086" i="2" s="1"/>
  <c r="I6087" i="2" a="1"/>
  <c r="I6087" i="2" s="1"/>
  <c r="I6088" i="2" a="1"/>
  <c r="I6088" i="2" s="1"/>
  <c r="I6089" i="2" a="1"/>
  <c r="I6089" i="2" s="1"/>
  <c r="I6090" i="2" a="1"/>
  <c r="I6090" i="2" s="1"/>
  <c r="I6091" i="2" a="1"/>
  <c r="I6091" i="2" s="1"/>
  <c r="I6092" i="2" a="1"/>
  <c r="I6092" i="2" s="1"/>
  <c r="I6093" i="2" a="1"/>
  <c r="I6093" i="2" s="1"/>
  <c r="I6094" i="2" a="1"/>
  <c r="I6094" i="2" s="1"/>
  <c r="I6095" i="2" a="1"/>
  <c r="I6095" i="2" s="1"/>
  <c r="I6096" i="2" a="1"/>
  <c r="I6096" i="2" s="1"/>
  <c r="I6097" i="2" a="1"/>
  <c r="I6097" i="2" s="1"/>
  <c r="I6098" i="2" a="1"/>
  <c r="I6098" i="2" s="1"/>
  <c r="I6099" i="2" a="1"/>
  <c r="I6099" i="2" s="1"/>
  <c r="I6100" i="2" a="1"/>
  <c r="I6100" i="2" s="1"/>
  <c r="I6101" i="2" a="1"/>
  <c r="I6101" i="2" s="1"/>
  <c r="I6102" i="2" a="1"/>
  <c r="I6102" i="2" s="1"/>
  <c r="I6103" i="2" a="1"/>
  <c r="I6103" i="2" s="1"/>
  <c r="I6104" i="2" a="1"/>
  <c r="I6104" i="2" s="1"/>
  <c r="I6105" i="2" a="1"/>
  <c r="I6105" i="2" s="1"/>
  <c r="I6106" i="2" a="1"/>
  <c r="I6106" i="2" s="1"/>
  <c r="I6107" i="2" a="1"/>
  <c r="I6107" i="2" s="1"/>
  <c r="I6108" i="2" a="1"/>
  <c r="I6108" i="2" s="1"/>
  <c r="I6109" i="2" a="1"/>
  <c r="I6109" i="2" s="1"/>
  <c r="I6110" i="2" a="1"/>
  <c r="I6110" i="2" s="1"/>
  <c r="I6111" i="2" a="1"/>
  <c r="I6111" i="2" s="1"/>
  <c r="I6112" i="2" a="1"/>
  <c r="I6112" i="2" s="1"/>
  <c r="I6113" i="2" a="1"/>
  <c r="I6113" i="2" s="1"/>
  <c r="I6114" i="2" a="1"/>
  <c r="I6114" i="2" s="1"/>
  <c r="I6115" i="2" a="1"/>
  <c r="I6115" i="2" s="1"/>
  <c r="I6116" i="2" a="1"/>
  <c r="I6116" i="2" s="1"/>
  <c r="I6117" i="2" a="1"/>
  <c r="I6117" i="2" s="1"/>
  <c r="I6118" i="2" a="1"/>
  <c r="I6118" i="2" s="1"/>
  <c r="I6119" i="2" a="1"/>
  <c r="I6119" i="2" s="1"/>
  <c r="I6120" i="2" a="1"/>
  <c r="I6120" i="2" s="1"/>
  <c r="I6121" i="2" a="1"/>
  <c r="I6121" i="2" s="1"/>
  <c r="I6122" i="2" a="1"/>
  <c r="I6122" i="2" s="1"/>
  <c r="I6123" i="2" a="1"/>
  <c r="I6123" i="2" s="1"/>
  <c r="I6124" i="2" a="1"/>
  <c r="I6124" i="2" s="1"/>
  <c r="I6125" i="2" a="1"/>
  <c r="I6125" i="2" s="1"/>
  <c r="I6126" i="2" a="1"/>
  <c r="I6126" i="2" s="1"/>
  <c r="I6127" i="2" a="1"/>
  <c r="I6127" i="2" s="1"/>
  <c r="I6128" i="2" a="1"/>
  <c r="I6128" i="2" s="1"/>
  <c r="I6129" i="2" a="1"/>
  <c r="I6129" i="2" s="1"/>
  <c r="I6130" i="2" a="1"/>
  <c r="I6130" i="2" s="1"/>
  <c r="I6131" i="2" a="1"/>
  <c r="I6131" i="2" s="1"/>
  <c r="I6132" i="2" a="1"/>
  <c r="I6132" i="2" s="1"/>
  <c r="I6133" i="2" a="1"/>
  <c r="I6133" i="2" s="1"/>
  <c r="I6134" i="2" a="1"/>
  <c r="I6134" i="2" s="1"/>
  <c r="I6135" i="2" a="1"/>
  <c r="I6135" i="2" s="1"/>
  <c r="I6136" i="2" a="1"/>
  <c r="I6136" i="2" s="1"/>
  <c r="I6137" i="2" a="1"/>
  <c r="I6137" i="2" s="1"/>
  <c r="I6138" i="2" a="1"/>
  <c r="I6138" i="2" s="1"/>
  <c r="I6139" i="2" a="1"/>
  <c r="I6139" i="2" s="1"/>
  <c r="I6140" i="2" a="1"/>
  <c r="I6140" i="2" s="1"/>
  <c r="I6141" i="2" a="1"/>
  <c r="I6141" i="2" s="1"/>
  <c r="I6142" i="2" a="1"/>
  <c r="I6142" i="2" s="1"/>
  <c r="I6143" i="2" a="1"/>
  <c r="I6143" i="2" s="1"/>
  <c r="I6144" i="2" a="1"/>
  <c r="I6144" i="2" s="1"/>
  <c r="I6145" i="2" a="1"/>
  <c r="I6145" i="2" s="1"/>
  <c r="I6146" i="2" a="1"/>
  <c r="I6146" i="2" s="1"/>
  <c r="I6147" i="2" a="1"/>
  <c r="I6147" i="2" s="1"/>
  <c r="I6148" i="2" a="1"/>
  <c r="I6148" i="2" s="1"/>
  <c r="I6149" i="2" a="1"/>
  <c r="I6149" i="2" s="1"/>
  <c r="I6150" i="2" a="1"/>
  <c r="I6150" i="2" s="1"/>
  <c r="I6151" i="2" a="1"/>
  <c r="I6151" i="2" s="1"/>
  <c r="I6152" i="2" a="1"/>
  <c r="I6152" i="2" s="1"/>
  <c r="I6153" i="2" a="1"/>
  <c r="I6153" i="2" s="1"/>
  <c r="I6154" i="2" a="1"/>
  <c r="I6154" i="2" s="1"/>
  <c r="I6155" i="2" a="1"/>
  <c r="I6155" i="2" s="1"/>
  <c r="I6156" i="2" a="1"/>
  <c r="I6156" i="2" s="1"/>
  <c r="I6157" i="2" a="1"/>
  <c r="I6157" i="2" s="1"/>
  <c r="I6158" i="2" a="1"/>
  <c r="I6158" i="2" s="1"/>
  <c r="I6159" i="2" a="1"/>
  <c r="I6159" i="2" s="1"/>
  <c r="I6160" i="2" a="1"/>
  <c r="I6160" i="2" s="1"/>
  <c r="I6161" i="2" a="1"/>
  <c r="I6161" i="2" s="1"/>
  <c r="I6162" i="2" a="1"/>
  <c r="I6162" i="2" s="1"/>
  <c r="I6163" i="2" a="1"/>
  <c r="I6163" i="2" s="1"/>
  <c r="I6164" i="2" a="1"/>
  <c r="I6164" i="2" s="1"/>
  <c r="I6165" i="2" a="1"/>
  <c r="I6165" i="2" s="1"/>
  <c r="I6166" i="2" a="1"/>
  <c r="I6166" i="2" s="1"/>
  <c r="I6167" i="2" a="1"/>
  <c r="I6167" i="2" s="1"/>
  <c r="I6168" i="2" a="1"/>
  <c r="I6168" i="2" s="1"/>
  <c r="I6169" i="2" a="1"/>
  <c r="I6169" i="2" s="1"/>
  <c r="I6170" i="2" a="1"/>
  <c r="I6170" i="2" s="1"/>
  <c r="I6171" i="2" a="1"/>
  <c r="I6171" i="2" s="1"/>
  <c r="I6172" i="2" a="1"/>
  <c r="I6172" i="2" s="1"/>
  <c r="I6173" i="2" a="1"/>
  <c r="I6173" i="2" s="1"/>
  <c r="I6174" i="2" a="1"/>
  <c r="I6174" i="2" s="1"/>
  <c r="I6175" i="2" a="1"/>
  <c r="I6175" i="2" s="1"/>
  <c r="I6176" i="2" a="1"/>
  <c r="I6176" i="2" s="1"/>
  <c r="I6177" i="2" a="1"/>
  <c r="I6177" i="2" s="1"/>
  <c r="I6178" i="2" a="1"/>
  <c r="I6178" i="2" s="1"/>
  <c r="I6179" i="2" a="1"/>
  <c r="I6179" i="2" s="1"/>
  <c r="I6180" i="2" a="1"/>
  <c r="I6180" i="2" s="1"/>
  <c r="I6181" i="2" a="1"/>
  <c r="I6181" i="2" s="1"/>
  <c r="I6182" i="2" a="1"/>
  <c r="I6182" i="2" s="1"/>
  <c r="I6183" i="2" a="1"/>
  <c r="I6183" i="2" s="1"/>
  <c r="I6184" i="2" a="1"/>
  <c r="I6184" i="2" s="1"/>
  <c r="I6185" i="2" a="1"/>
  <c r="I6185" i="2" s="1"/>
  <c r="I6186" i="2" a="1"/>
  <c r="I6186" i="2" s="1"/>
  <c r="I6187" i="2" a="1"/>
  <c r="I6187" i="2" s="1"/>
  <c r="I6188" i="2" a="1"/>
  <c r="I6188" i="2" s="1"/>
  <c r="I6189" i="2" a="1"/>
  <c r="I6189" i="2" s="1"/>
  <c r="I6190" i="2" a="1"/>
  <c r="I6190" i="2" s="1"/>
  <c r="I6191" i="2" a="1"/>
  <c r="I6191" i="2" s="1"/>
  <c r="I6192" i="2" a="1"/>
  <c r="I6192" i="2" s="1"/>
  <c r="I6193" i="2" a="1"/>
  <c r="I6193" i="2" s="1"/>
  <c r="I6194" i="2" a="1"/>
  <c r="I6194" i="2" s="1"/>
  <c r="I6195" i="2" a="1"/>
  <c r="I6195" i="2" s="1"/>
  <c r="I6196" i="2" a="1"/>
  <c r="I6196" i="2" s="1"/>
  <c r="I6197" i="2" a="1"/>
  <c r="I6197" i="2" s="1"/>
  <c r="I6198" i="2" a="1"/>
  <c r="I6198" i="2" s="1"/>
  <c r="I6199" i="2" a="1"/>
  <c r="I6199" i="2" s="1"/>
  <c r="I6200" i="2" a="1"/>
  <c r="I6200" i="2" s="1"/>
  <c r="I6201" i="2" a="1"/>
  <c r="I6201" i="2" s="1"/>
  <c r="I6202" i="2" a="1"/>
  <c r="I6202" i="2" s="1"/>
  <c r="I6203" i="2" a="1"/>
  <c r="I6203" i="2" s="1"/>
  <c r="I6204" i="2" a="1"/>
  <c r="I6204" i="2" s="1"/>
  <c r="I6205" i="2" a="1"/>
  <c r="I6205" i="2" s="1"/>
  <c r="I6206" i="2" a="1"/>
  <c r="I6206" i="2" s="1"/>
  <c r="I6207" i="2" a="1"/>
  <c r="I6207" i="2" s="1"/>
  <c r="I6208" i="2" a="1"/>
  <c r="I6208" i="2" s="1"/>
  <c r="I6209" i="2" a="1"/>
  <c r="I6209" i="2" s="1"/>
  <c r="I6210" i="2" a="1"/>
  <c r="I6210" i="2" s="1"/>
  <c r="I6211" i="2" a="1"/>
  <c r="I6211" i="2" s="1"/>
  <c r="I6212" i="2" a="1"/>
  <c r="I6212" i="2" s="1"/>
  <c r="I6213" i="2" a="1"/>
  <c r="I6213" i="2" s="1"/>
  <c r="I6214" i="2" a="1"/>
  <c r="I6214" i="2" s="1"/>
  <c r="I6215" i="2" a="1"/>
  <c r="I6215" i="2" s="1"/>
  <c r="I6216" i="2" a="1"/>
  <c r="I6216" i="2" s="1"/>
  <c r="I6217" i="2" a="1"/>
  <c r="I6217" i="2" s="1"/>
  <c r="I6218" i="2" a="1"/>
  <c r="I6218" i="2" s="1"/>
  <c r="I6219" i="2" a="1"/>
  <c r="I6219" i="2" s="1"/>
  <c r="I6220" i="2" a="1"/>
  <c r="I6220" i="2" s="1"/>
  <c r="I6221" i="2" a="1"/>
  <c r="I6221" i="2" s="1"/>
  <c r="I6222" i="2" a="1"/>
  <c r="I6222" i="2" s="1"/>
  <c r="I6223" i="2" a="1"/>
  <c r="I6223" i="2" s="1"/>
  <c r="I6224" i="2" a="1"/>
  <c r="I6224" i="2" s="1"/>
  <c r="I6225" i="2" a="1"/>
  <c r="I6225" i="2" s="1"/>
  <c r="I6226" i="2" a="1"/>
  <c r="I6226" i="2" s="1"/>
  <c r="I6227" i="2" a="1"/>
  <c r="I6227" i="2" s="1"/>
  <c r="I6228" i="2" a="1"/>
  <c r="I6228" i="2" s="1"/>
  <c r="I6229" i="2" a="1"/>
  <c r="I6229" i="2" s="1"/>
  <c r="I6230" i="2" a="1"/>
  <c r="I6230" i="2" s="1"/>
  <c r="I6231" i="2" a="1"/>
  <c r="I6231" i="2" s="1"/>
  <c r="I6232" i="2" a="1"/>
  <c r="I6232" i="2" s="1"/>
  <c r="I6233" i="2" a="1"/>
  <c r="I6233" i="2" s="1"/>
  <c r="I6234" i="2" a="1"/>
  <c r="I6234" i="2" s="1"/>
  <c r="I6235" i="2" a="1"/>
  <c r="I6235" i="2" s="1"/>
  <c r="I6236" i="2" a="1"/>
  <c r="I6236" i="2" s="1"/>
  <c r="I6237" i="2" a="1"/>
  <c r="I6237" i="2" s="1"/>
  <c r="I6238" i="2" a="1"/>
  <c r="I6238" i="2" s="1"/>
  <c r="I6239" i="2" a="1"/>
  <c r="I6239" i="2" s="1"/>
  <c r="I6240" i="2" a="1"/>
  <c r="I6240" i="2" s="1"/>
  <c r="I6241" i="2" a="1"/>
  <c r="I6241" i="2" s="1"/>
  <c r="I6242" i="2" a="1"/>
  <c r="I6242" i="2" s="1"/>
  <c r="I6243" i="2" a="1"/>
  <c r="I6243" i="2" s="1"/>
  <c r="I6244" i="2" a="1"/>
  <c r="I6244" i="2" s="1"/>
  <c r="I6245" i="2" a="1"/>
  <c r="I6245" i="2" s="1"/>
  <c r="I6246" i="2" a="1"/>
  <c r="I6246" i="2" s="1"/>
  <c r="I6247" i="2" a="1"/>
  <c r="I6247" i="2" s="1"/>
  <c r="I6248" i="2" a="1"/>
  <c r="I6248" i="2" s="1"/>
  <c r="I6249" i="2" a="1"/>
  <c r="I6249" i="2" s="1"/>
  <c r="I6250" i="2" a="1"/>
  <c r="I6250" i="2" s="1"/>
  <c r="I6251" i="2" a="1"/>
  <c r="I6251" i="2" s="1"/>
  <c r="I6252" i="2" a="1"/>
  <c r="I6252" i="2" s="1"/>
  <c r="I6253" i="2" a="1"/>
  <c r="I6253" i="2" s="1"/>
  <c r="I6254" i="2" a="1"/>
  <c r="I6254" i="2" s="1"/>
  <c r="I6255" i="2" a="1"/>
  <c r="I6255" i="2" s="1"/>
  <c r="I6256" i="2" a="1"/>
  <c r="I6256" i="2" s="1"/>
  <c r="I6257" i="2" a="1"/>
  <c r="I6257" i="2" s="1"/>
  <c r="I6258" i="2" a="1"/>
  <c r="I6258" i="2" s="1"/>
  <c r="I6259" i="2" a="1"/>
  <c r="I6259" i="2" s="1"/>
  <c r="I6260" i="2" a="1"/>
  <c r="I6260" i="2" s="1"/>
  <c r="I6261" i="2" a="1"/>
  <c r="I6261" i="2" s="1"/>
  <c r="I6262" i="2" a="1"/>
  <c r="I6262" i="2" s="1"/>
  <c r="I6263" i="2" a="1"/>
  <c r="I6263" i="2" s="1"/>
  <c r="I6264" i="2" a="1"/>
  <c r="I6264" i="2" s="1"/>
  <c r="I6265" i="2" a="1"/>
  <c r="I6265" i="2" s="1"/>
  <c r="I6266" i="2" a="1"/>
  <c r="I6266" i="2" s="1"/>
  <c r="I6267" i="2" a="1"/>
  <c r="I6267" i="2" s="1"/>
  <c r="I6268" i="2" a="1"/>
  <c r="I6268" i="2" s="1"/>
  <c r="I6269" i="2" a="1"/>
  <c r="I6269" i="2" s="1"/>
  <c r="I6270" i="2" a="1"/>
  <c r="I6270" i="2" s="1"/>
  <c r="I6271" i="2" a="1"/>
  <c r="I6271" i="2" s="1"/>
  <c r="I6272" i="2" a="1"/>
  <c r="I6272" i="2" s="1"/>
  <c r="I6273" i="2" a="1"/>
  <c r="I6273" i="2" s="1"/>
  <c r="I6274" i="2" a="1"/>
  <c r="I6274" i="2" s="1"/>
  <c r="I6275" i="2" a="1"/>
  <c r="I6275" i="2" s="1"/>
  <c r="I6276" i="2" a="1"/>
  <c r="I6276" i="2" s="1"/>
  <c r="I6277" i="2" a="1"/>
  <c r="I6277" i="2" s="1"/>
  <c r="I6278" i="2" a="1"/>
  <c r="I6278" i="2" s="1"/>
  <c r="I6279" i="2" a="1"/>
  <c r="I6279" i="2" s="1"/>
  <c r="I6280" i="2" a="1"/>
  <c r="I6280" i="2" s="1"/>
  <c r="I6281" i="2" a="1"/>
  <c r="I6281" i="2" s="1"/>
  <c r="I6282" i="2" a="1"/>
  <c r="I6282" i="2" s="1"/>
  <c r="I6283" i="2" a="1"/>
  <c r="I6283" i="2" s="1"/>
  <c r="I6284" i="2" a="1"/>
  <c r="I6284" i="2" s="1"/>
  <c r="I6285" i="2" a="1"/>
  <c r="I6285" i="2" s="1"/>
  <c r="I6286" i="2" a="1"/>
  <c r="I6286" i="2" s="1"/>
  <c r="I6287" i="2" a="1"/>
  <c r="I6287" i="2" s="1"/>
  <c r="I6288" i="2" a="1"/>
  <c r="I6288" i="2" s="1"/>
  <c r="I6289" i="2" a="1"/>
  <c r="I6289" i="2" s="1"/>
  <c r="I6290" i="2" a="1"/>
  <c r="I6290" i="2" s="1"/>
  <c r="I6291" i="2" a="1"/>
  <c r="I6291" i="2" s="1"/>
  <c r="I6292" i="2" a="1"/>
  <c r="I6292" i="2" s="1"/>
  <c r="I6293" i="2" a="1"/>
  <c r="I6293" i="2" s="1"/>
  <c r="I6294" i="2" a="1"/>
  <c r="I6294" i="2" s="1"/>
  <c r="I6295" i="2" a="1"/>
  <c r="I6295" i="2" s="1"/>
  <c r="I6296" i="2" a="1"/>
  <c r="I6296" i="2" s="1"/>
  <c r="I6297" i="2" a="1"/>
  <c r="I6297" i="2" s="1"/>
  <c r="I6298" i="2" a="1"/>
  <c r="I6298" i="2" s="1"/>
  <c r="I6299" i="2" a="1"/>
  <c r="I6299" i="2" s="1"/>
  <c r="I6300" i="2" a="1"/>
  <c r="I6300" i="2" s="1"/>
  <c r="I6301" i="2" a="1"/>
  <c r="I6301" i="2" s="1"/>
  <c r="I6302" i="2" a="1"/>
  <c r="I6302" i="2" s="1"/>
  <c r="I6303" i="2" a="1"/>
  <c r="I6303" i="2" s="1"/>
  <c r="I6304" i="2" a="1"/>
  <c r="I6304" i="2" s="1"/>
  <c r="I6305" i="2" a="1"/>
  <c r="I6305" i="2" s="1"/>
  <c r="I6306" i="2" a="1"/>
  <c r="I6306" i="2" s="1"/>
  <c r="I6307" i="2" a="1"/>
  <c r="I6307" i="2" s="1"/>
  <c r="I6308" i="2" a="1"/>
  <c r="I6308" i="2" s="1"/>
  <c r="I6309" i="2" a="1"/>
  <c r="I6309" i="2" s="1"/>
  <c r="I6310" i="2" a="1"/>
  <c r="I6310" i="2" s="1"/>
  <c r="I6311" i="2" a="1"/>
  <c r="I6311" i="2" s="1"/>
  <c r="I6312" i="2" a="1"/>
  <c r="I6312" i="2" s="1"/>
  <c r="I6313" i="2" a="1"/>
  <c r="I6313" i="2" s="1"/>
  <c r="I6314" i="2" a="1"/>
  <c r="I6314" i="2" s="1"/>
  <c r="I6315" i="2" a="1"/>
  <c r="I6315" i="2" s="1"/>
  <c r="I6316" i="2" a="1"/>
  <c r="I6316" i="2" s="1"/>
  <c r="I6317" i="2" a="1"/>
  <c r="I6317" i="2" s="1"/>
  <c r="I6318" i="2" a="1"/>
  <c r="I6318" i="2" s="1"/>
  <c r="I6319" i="2" a="1"/>
  <c r="I6319" i="2" s="1"/>
  <c r="I6320" i="2" a="1"/>
  <c r="I6320" i="2" s="1"/>
  <c r="I6321" i="2" a="1"/>
  <c r="I6321" i="2" s="1"/>
  <c r="I6322" i="2" a="1"/>
  <c r="I6322" i="2" s="1"/>
  <c r="I6323" i="2" a="1"/>
  <c r="I6323" i="2" s="1"/>
  <c r="I6324" i="2" a="1"/>
  <c r="I6324" i="2" s="1"/>
  <c r="I6325" i="2" a="1"/>
  <c r="I6325" i="2" s="1"/>
  <c r="I6326" i="2" a="1"/>
  <c r="I6326" i="2" s="1"/>
  <c r="I6327" i="2" a="1"/>
  <c r="I6327" i="2" s="1"/>
  <c r="I6328" i="2" a="1"/>
  <c r="I6328" i="2" s="1"/>
  <c r="I6329" i="2" a="1"/>
  <c r="I6329" i="2" s="1"/>
  <c r="I6330" i="2" a="1"/>
  <c r="I6330" i="2" s="1"/>
  <c r="I6331" i="2" a="1"/>
  <c r="I6331" i="2" s="1"/>
  <c r="I6332" i="2" a="1"/>
  <c r="I6332" i="2" s="1"/>
  <c r="I6333" i="2" a="1"/>
  <c r="I6333" i="2" s="1"/>
  <c r="I6334" i="2" a="1"/>
  <c r="I6334" i="2" s="1"/>
  <c r="I6335" i="2" a="1"/>
  <c r="I6335" i="2" s="1"/>
  <c r="I6336" i="2" a="1"/>
  <c r="I6336" i="2" s="1"/>
  <c r="I6337" i="2" a="1"/>
  <c r="I6337" i="2" s="1"/>
  <c r="I6338" i="2" a="1"/>
  <c r="I6338" i="2" s="1"/>
  <c r="I6339" i="2" a="1"/>
  <c r="I6339" i="2" s="1"/>
  <c r="I6340" i="2" a="1"/>
  <c r="I6340" i="2" s="1"/>
  <c r="I6341" i="2" a="1"/>
  <c r="I6341" i="2" s="1"/>
  <c r="I6342" i="2" a="1"/>
  <c r="I6342" i="2" s="1"/>
  <c r="I6343" i="2" a="1"/>
  <c r="I6343" i="2" s="1"/>
  <c r="I6344" i="2" a="1"/>
  <c r="I6344" i="2" s="1"/>
  <c r="I6345" i="2" a="1"/>
  <c r="I6345" i="2" s="1"/>
  <c r="I6346" i="2" a="1"/>
  <c r="I6346" i="2" s="1"/>
  <c r="I6347" i="2" a="1"/>
  <c r="I6347" i="2" s="1"/>
  <c r="I6348" i="2" a="1"/>
  <c r="I6348" i="2" s="1"/>
  <c r="I6349" i="2" a="1"/>
  <c r="I6349" i="2" s="1"/>
  <c r="I6350" i="2" a="1"/>
  <c r="I6350" i="2" s="1"/>
  <c r="I6351" i="2" a="1"/>
  <c r="I6351" i="2" s="1"/>
  <c r="I6352" i="2" a="1"/>
  <c r="I6352" i="2" s="1"/>
  <c r="I6353" i="2" a="1"/>
  <c r="I6353" i="2" s="1"/>
  <c r="I6354" i="2" a="1"/>
  <c r="I6354" i="2" s="1"/>
  <c r="I6355" i="2" a="1"/>
  <c r="I6355" i="2" s="1"/>
  <c r="I6356" i="2" a="1"/>
  <c r="I6356" i="2" s="1"/>
  <c r="I6357" i="2" a="1"/>
  <c r="I6357" i="2" s="1"/>
  <c r="I6358" i="2" a="1"/>
  <c r="I6358" i="2" s="1"/>
  <c r="I6359" i="2" a="1"/>
  <c r="I6359" i="2" s="1"/>
  <c r="I6360" i="2" a="1"/>
  <c r="I6360" i="2" s="1"/>
  <c r="I6361" i="2" a="1"/>
  <c r="I6361" i="2" s="1"/>
  <c r="I6362" i="2" a="1"/>
  <c r="I6362" i="2" s="1"/>
  <c r="I6363" i="2" a="1"/>
  <c r="I6363" i="2" s="1"/>
  <c r="I6364" i="2" a="1"/>
  <c r="I6364" i="2" s="1"/>
  <c r="I6365" i="2" a="1"/>
  <c r="I6365" i="2" s="1"/>
  <c r="I6366" i="2" a="1"/>
  <c r="I6366" i="2" s="1"/>
  <c r="I6367" i="2" a="1"/>
  <c r="I6367" i="2" s="1"/>
  <c r="I6368" i="2" a="1"/>
  <c r="I6368" i="2" s="1"/>
  <c r="I6369" i="2" a="1"/>
  <c r="I6369" i="2" s="1"/>
  <c r="I6370" i="2" a="1"/>
  <c r="I6370" i="2" s="1"/>
  <c r="I6371" i="2" a="1"/>
  <c r="I6371" i="2" s="1"/>
  <c r="I6372" i="2" a="1"/>
  <c r="I6372" i="2" s="1"/>
  <c r="I6373" i="2" a="1"/>
  <c r="I6373" i="2" s="1"/>
  <c r="I6374" i="2" a="1"/>
  <c r="I6374" i="2" s="1"/>
  <c r="I6375" i="2" a="1"/>
  <c r="I6375" i="2" s="1"/>
  <c r="I6376" i="2" a="1"/>
  <c r="I6376" i="2" s="1"/>
  <c r="I6377" i="2" a="1"/>
  <c r="I6377" i="2" s="1"/>
  <c r="I6378" i="2" a="1"/>
  <c r="I6378" i="2" s="1"/>
  <c r="I6379" i="2" a="1"/>
  <c r="I6379" i="2" s="1"/>
  <c r="I6380" i="2" a="1"/>
  <c r="I6380" i="2" s="1"/>
  <c r="I6381" i="2" a="1"/>
  <c r="I6381" i="2" s="1"/>
  <c r="I6382" i="2" a="1"/>
  <c r="I6382" i="2" s="1"/>
  <c r="I6383" i="2" a="1"/>
  <c r="I6383" i="2" s="1"/>
  <c r="I6384" i="2" a="1"/>
  <c r="I6384" i="2" s="1"/>
  <c r="I6385" i="2" a="1"/>
  <c r="I6385" i="2" s="1"/>
  <c r="I6386" i="2" a="1"/>
  <c r="I6386" i="2" s="1"/>
  <c r="I6387" i="2" a="1"/>
  <c r="I6387" i="2" s="1"/>
  <c r="I6388" i="2" a="1"/>
  <c r="I6388" i="2" s="1"/>
  <c r="I6389" i="2" a="1"/>
  <c r="I6389" i="2" s="1"/>
  <c r="I6390" i="2" a="1"/>
  <c r="I6390" i="2" s="1"/>
  <c r="I6391" i="2" a="1"/>
  <c r="I6391" i="2" s="1"/>
  <c r="I6392" i="2" a="1"/>
  <c r="I6392" i="2" s="1"/>
  <c r="I6393" i="2" a="1"/>
  <c r="I6393" i="2" s="1"/>
  <c r="I6394" i="2" a="1"/>
  <c r="I6394" i="2" s="1"/>
  <c r="I6395" i="2" a="1"/>
  <c r="I6395" i="2" s="1"/>
  <c r="I6396" i="2" a="1"/>
  <c r="I6396" i="2" s="1"/>
  <c r="I6397" i="2" a="1"/>
  <c r="I6397" i="2" s="1"/>
  <c r="I6398" i="2" a="1"/>
  <c r="I6398" i="2" s="1"/>
  <c r="I6399" i="2" a="1"/>
  <c r="I6399" i="2" s="1"/>
  <c r="I6400" i="2" a="1"/>
  <c r="I6400" i="2" s="1"/>
  <c r="I6401" i="2" a="1"/>
  <c r="I6401" i="2" s="1"/>
  <c r="I6402" i="2" a="1"/>
  <c r="I6402" i="2" s="1"/>
  <c r="I6403" i="2" a="1"/>
  <c r="I6403" i="2" s="1"/>
  <c r="I6404" i="2" a="1"/>
  <c r="I6404" i="2" s="1"/>
  <c r="I6405" i="2" a="1"/>
  <c r="I6405" i="2" s="1"/>
  <c r="I6406" i="2" a="1"/>
  <c r="I6406" i="2" s="1"/>
  <c r="I6407" i="2" a="1"/>
  <c r="I6407" i="2" s="1"/>
  <c r="I6408" i="2" a="1"/>
  <c r="I6408" i="2" s="1"/>
  <c r="I6409" i="2" a="1"/>
  <c r="I6409" i="2" s="1"/>
  <c r="I6410" i="2" a="1"/>
  <c r="I6410" i="2" s="1"/>
  <c r="I6411" i="2" a="1"/>
  <c r="I6411" i="2" s="1"/>
  <c r="I6412" i="2" a="1"/>
  <c r="I6412" i="2" s="1"/>
  <c r="I6413" i="2" a="1"/>
  <c r="I6413" i="2" s="1"/>
  <c r="I6414" i="2" a="1"/>
  <c r="I6414" i="2" s="1"/>
  <c r="I6415" i="2" a="1"/>
  <c r="I6415" i="2" s="1"/>
  <c r="I6416" i="2" a="1"/>
  <c r="I6416" i="2" s="1"/>
  <c r="I6417" i="2" a="1"/>
  <c r="I6417" i="2" s="1"/>
  <c r="I6418" i="2" a="1"/>
  <c r="I6418" i="2" s="1"/>
  <c r="I6419" i="2" a="1"/>
  <c r="I6419" i="2" s="1"/>
  <c r="I6420" i="2" a="1"/>
  <c r="I6420" i="2" s="1"/>
  <c r="I6421" i="2" a="1"/>
  <c r="I6421" i="2" s="1"/>
  <c r="I6422" i="2" a="1"/>
  <c r="I6422" i="2" s="1"/>
  <c r="I6423" i="2" a="1"/>
  <c r="I6423" i="2" s="1"/>
  <c r="I6424" i="2" a="1"/>
  <c r="I6424" i="2" s="1"/>
  <c r="I6425" i="2" a="1"/>
  <c r="I6425" i="2" s="1"/>
  <c r="I6426" i="2" a="1"/>
  <c r="I6426" i="2" s="1"/>
  <c r="I6427" i="2" a="1"/>
  <c r="I6427" i="2" s="1"/>
  <c r="I6428" i="2" a="1"/>
  <c r="I6428" i="2" s="1"/>
  <c r="I6429" i="2" a="1"/>
  <c r="I6429" i="2" s="1"/>
  <c r="I6430" i="2" a="1"/>
  <c r="I6430" i="2" s="1"/>
  <c r="I6431" i="2" a="1"/>
  <c r="I6431" i="2" s="1"/>
  <c r="I6432" i="2" a="1"/>
  <c r="I6432" i="2" s="1"/>
  <c r="I6433" i="2" a="1"/>
  <c r="I6433" i="2" s="1"/>
  <c r="I6434" i="2" a="1"/>
  <c r="I6434" i="2" s="1"/>
  <c r="I6435" i="2" a="1"/>
  <c r="I6435" i="2" s="1"/>
  <c r="I6436" i="2" a="1"/>
  <c r="I6436" i="2" s="1"/>
  <c r="I6437" i="2" a="1"/>
  <c r="I6437" i="2" s="1"/>
  <c r="I6438" i="2" a="1"/>
  <c r="I6438" i="2" s="1"/>
  <c r="I6439" i="2" a="1"/>
  <c r="I6439" i="2" s="1"/>
  <c r="I6440" i="2" a="1"/>
  <c r="I6440" i="2" s="1"/>
  <c r="I6441" i="2" a="1"/>
  <c r="I6441" i="2" s="1"/>
  <c r="I6442" i="2" a="1"/>
  <c r="I6442" i="2" s="1"/>
  <c r="I6443" i="2" a="1"/>
  <c r="I6443" i="2" s="1"/>
  <c r="I6444" i="2" a="1"/>
  <c r="I6444" i="2" s="1"/>
  <c r="I6445" i="2" a="1"/>
  <c r="I6445" i="2" s="1"/>
  <c r="I6446" i="2" a="1"/>
  <c r="I6446" i="2" s="1"/>
  <c r="I6447" i="2" a="1"/>
  <c r="I6447" i="2" s="1"/>
  <c r="I6448" i="2" a="1"/>
  <c r="I6448" i="2" s="1"/>
  <c r="I6449" i="2" a="1"/>
  <c r="I6449" i="2" s="1"/>
  <c r="I6450" i="2" a="1"/>
  <c r="I6450" i="2" s="1"/>
  <c r="I6451" i="2" a="1"/>
  <c r="I6451" i="2" s="1"/>
  <c r="I6452" i="2" a="1"/>
  <c r="I6452" i="2" s="1"/>
  <c r="I6453" i="2" a="1"/>
  <c r="I6453" i="2" s="1"/>
  <c r="I6454" i="2" a="1"/>
  <c r="I6454" i="2" s="1"/>
  <c r="I6455" i="2" a="1"/>
  <c r="I6455" i="2" s="1"/>
  <c r="I6456" i="2" a="1"/>
  <c r="I6456" i="2" s="1"/>
  <c r="I6457" i="2" a="1"/>
  <c r="I6457" i="2" s="1"/>
  <c r="I6458" i="2" a="1"/>
  <c r="I6458" i="2" s="1"/>
  <c r="I6459" i="2" a="1"/>
  <c r="I6459" i="2" s="1"/>
  <c r="I6460" i="2" a="1"/>
  <c r="I6460" i="2" s="1"/>
  <c r="I6461" i="2" a="1"/>
  <c r="I6461" i="2" s="1"/>
  <c r="I6462" i="2" a="1"/>
  <c r="I6462" i="2" s="1"/>
  <c r="I6463" i="2" a="1"/>
  <c r="I6463" i="2" s="1"/>
  <c r="I6464" i="2" a="1"/>
  <c r="I6464" i="2" s="1"/>
  <c r="I6465" i="2" a="1"/>
  <c r="I6465" i="2" s="1"/>
  <c r="I6466" i="2" a="1"/>
  <c r="I6466" i="2" s="1"/>
  <c r="I6467" i="2" a="1"/>
  <c r="I6467" i="2" s="1"/>
  <c r="I6468" i="2" a="1"/>
  <c r="I6468" i="2" s="1"/>
  <c r="I6469" i="2" a="1"/>
  <c r="I6469" i="2" s="1"/>
  <c r="I6470" i="2" a="1"/>
  <c r="I6470" i="2" s="1"/>
  <c r="I6471" i="2" a="1"/>
  <c r="I6471" i="2" s="1"/>
  <c r="I6472" i="2" a="1"/>
  <c r="I6472" i="2" s="1"/>
  <c r="I6473" i="2" a="1"/>
  <c r="I6473" i="2" s="1"/>
  <c r="I6474" i="2" a="1"/>
  <c r="I6474" i="2" s="1"/>
  <c r="I6475" i="2" a="1"/>
  <c r="I6475" i="2" s="1"/>
  <c r="I6476" i="2" a="1"/>
  <c r="I6476" i="2" s="1"/>
  <c r="I6477" i="2" a="1"/>
  <c r="I6477" i="2" s="1"/>
  <c r="I6478" i="2" a="1"/>
  <c r="I6478" i="2" s="1"/>
  <c r="I6479" i="2" a="1"/>
  <c r="I6479" i="2" s="1"/>
  <c r="I6480" i="2" a="1"/>
  <c r="I6480" i="2" s="1"/>
  <c r="I6481" i="2" a="1"/>
  <c r="I6481" i="2" s="1"/>
  <c r="I6482" i="2" a="1"/>
  <c r="I6482" i="2" s="1"/>
  <c r="I6483" i="2" a="1"/>
  <c r="I6483" i="2" s="1"/>
  <c r="I6484" i="2" a="1"/>
  <c r="I6484" i="2" s="1"/>
  <c r="I6485" i="2" a="1"/>
  <c r="I6485" i="2" s="1"/>
  <c r="I6486" i="2" a="1"/>
  <c r="I6486" i="2" s="1"/>
  <c r="I6487" i="2" a="1"/>
  <c r="I6487" i="2" s="1"/>
  <c r="I6488" i="2" a="1"/>
  <c r="I6488" i="2" s="1"/>
  <c r="I6489" i="2" a="1"/>
  <c r="I6489" i="2" s="1"/>
  <c r="I6490" i="2" a="1"/>
  <c r="I6490" i="2" s="1"/>
  <c r="I6491" i="2" a="1"/>
  <c r="I6491" i="2" s="1"/>
  <c r="I6492" i="2" a="1"/>
  <c r="I6492" i="2" s="1"/>
  <c r="I6493" i="2" a="1"/>
  <c r="I6493" i="2" s="1"/>
  <c r="I6494" i="2" a="1"/>
  <c r="I6494" i="2" s="1"/>
  <c r="I6495" i="2" a="1"/>
  <c r="I6495" i="2" s="1"/>
  <c r="I6496" i="2" a="1"/>
  <c r="I6496" i="2" s="1"/>
  <c r="I6497" i="2" a="1"/>
  <c r="I6497" i="2" s="1"/>
  <c r="I6498" i="2" a="1"/>
  <c r="I6498" i="2" s="1"/>
  <c r="I6499" i="2" a="1"/>
  <c r="I6499" i="2" s="1"/>
  <c r="I6500" i="2" a="1"/>
  <c r="I6500" i="2" s="1"/>
  <c r="I6501" i="2" a="1"/>
  <c r="I6501" i="2" s="1"/>
  <c r="I6502" i="2" a="1"/>
  <c r="I6502" i="2" s="1"/>
  <c r="I6503" i="2" a="1"/>
  <c r="I6503" i="2" s="1"/>
  <c r="I6504" i="2" a="1"/>
  <c r="I6504" i="2" s="1"/>
  <c r="I6505" i="2" a="1"/>
  <c r="I6505" i="2" s="1"/>
  <c r="I6506" i="2" a="1"/>
  <c r="I6506" i="2" s="1"/>
  <c r="I6507" i="2" a="1"/>
  <c r="I6507" i="2" s="1"/>
  <c r="I6508" i="2" a="1"/>
  <c r="I6508" i="2" s="1"/>
  <c r="I6509" i="2" a="1"/>
  <c r="I6509" i="2" s="1"/>
  <c r="I6510" i="2" a="1"/>
  <c r="I6510" i="2" s="1"/>
  <c r="I6511" i="2" a="1"/>
  <c r="I6511" i="2" s="1"/>
  <c r="I6512" i="2" a="1"/>
  <c r="I6512" i="2" s="1"/>
  <c r="I6513" i="2" a="1"/>
  <c r="I6513" i="2" s="1"/>
  <c r="I6514" i="2" a="1"/>
  <c r="I6514" i="2" s="1"/>
  <c r="I6515" i="2" a="1"/>
  <c r="I6515" i="2" s="1"/>
  <c r="I6516" i="2" a="1"/>
  <c r="I6516" i="2" s="1"/>
  <c r="I6517" i="2" a="1"/>
  <c r="I6517" i="2" s="1"/>
  <c r="I6518" i="2" a="1"/>
  <c r="I6518" i="2" s="1"/>
  <c r="I6519" i="2" a="1"/>
  <c r="I6519" i="2" s="1"/>
  <c r="I6520" i="2" a="1"/>
  <c r="I6520" i="2" s="1"/>
  <c r="I6521" i="2" a="1"/>
  <c r="I6521" i="2" s="1"/>
  <c r="I6522" i="2" a="1"/>
  <c r="I6522" i="2" s="1"/>
  <c r="I6523" i="2" a="1"/>
  <c r="I6523" i="2" s="1"/>
  <c r="I6524" i="2" a="1"/>
  <c r="I6524" i="2" s="1"/>
  <c r="I6525" i="2" a="1"/>
  <c r="I6525" i="2" s="1"/>
  <c r="I6526" i="2" a="1"/>
  <c r="I6526" i="2" s="1"/>
  <c r="I6527" i="2" a="1"/>
  <c r="I6527" i="2" s="1"/>
  <c r="I6528" i="2" a="1"/>
  <c r="I6528" i="2" s="1"/>
  <c r="I6529" i="2" a="1"/>
  <c r="I6529" i="2" s="1"/>
  <c r="I6530" i="2" a="1"/>
  <c r="I6530" i="2" s="1"/>
  <c r="I6531" i="2" a="1"/>
  <c r="I6531" i="2" s="1"/>
  <c r="I6532" i="2" a="1"/>
  <c r="I6532" i="2" s="1"/>
  <c r="I6533" i="2" a="1"/>
  <c r="I6533" i="2" s="1"/>
  <c r="I6534" i="2" a="1"/>
  <c r="I6534" i="2" s="1"/>
  <c r="I6535" i="2" a="1"/>
  <c r="I6535" i="2" s="1"/>
  <c r="I6536" i="2" a="1"/>
  <c r="I6536" i="2" s="1"/>
  <c r="I6537" i="2" a="1"/>
  <c r="I6537" i="2" s="1"/>
  <c r="I6538" i="2" a="1"/>
  <c r="I6538" i="2" s="1"/>
  <c r="I6539" i="2" a="1"/>
  <c r="I6539" i="2" s="1"/>
  <c r="I6540" i="2" a="1"/>
  <c r="I6540" i="2" s="1"/>
  <c r="I6541" i="2" a="1"/>
  <c r="I6541" i="2" s="1"/>
  <c r="I6542" i="2" a="1"/>
  <c r="I6542" i="2" s="1"/>
  <c r="I6543" i="2" a="1"/>
  <c r="I6543" i="2" s="1"/>
  <c r="I6544" i="2" a="1"/>
  <c r="I6544" i="2" s="1"/>
  <c r="I6545" i="2" a="1"/>
  <c r="I6545" i="2" s="1"/>
  <c r="I6546" i="2" a="1"/>
  <c r="I6546" i="2" s="1"/>
  <c r="I6547" i="2" a="1"/>
  <c r="I6547" i="2" s="1"/>
  <c r="I6548" i="2" a="1"/>
  <c r="I6548" i="2" s="1"/>
  <c r="I6549" i="2" a="1"/>
  <c r="I6549" i="2" s="1"/>
  <c r="I6550" i="2" a="1"/>
  <c r="I6550" i="2" s="1"/>
  <c r="I6551" i="2" a="1"/>
  <c r="I6551" i="2" s="1"/>
  <c r="I6552" i="2" a="1"/>
  <c r="I6552" i="2" s="1"/>
  <c r="I6553" i="2" a="1"/>
  <c r="I6553" i="2" s="1"/>
  <c r="I6554" i="2" a="1"/>
  <c r="I6554" i="2" s="1"/>
  <c r="I6555" i="2" a="1"/>
  <c r="I6555" i="2" s="1"/>
  <c r="I6556" i="2" a="1"/>
  <c r="I6556" i="2" s="1"/>
  <c r="I6557" i="2" a="1"/>
  <c r="I6557" i="2" s="1"/>
  <c r="I6558" i="2" a="1"/>
  <c r="I6558" i="2" s="1"/>
  <c r="I6559" i="2" a="1"/>
  <c r="I6559" i="2" s="1"/>
  <c r="I6560" i="2" a="1"/>
  <c r="I6560" i="2" s="1"/>
  <c r="I6561" i="2" a="1"/>
  <c r="I6561" i="2" s="1"/>
  <c r="I6562" i="2" a="1"/>
  <c r="I6562" i="2" s="1"/>
  <c r="I6563" i="2" a="1"/>
  <c r="I6563" i="2" s="1"/>
  <c r="I6564" i="2" a="1"/>
  <c r="I6564" i="2" s="1"/>
  <c r="I6565" i="2" a="1"/>
  <c r="I6565" i="2" s="1"/>
  <c r="I6566" i="2" a="1"/>
  <c r="I6566" i="2" s="1"/>
  <c r="I6567" i="2" a="1"/>
  <c r="I6567" i="2" s="1"/>
  <c r="I6568" i="2" a="1"/>
  <c r="I6568" i="2" s="1"/>
  <c r="I6569" i="2" a="1"/>
  <c r="I6569" i="2" s="1"/>
  <c r="I6570" i="2" a="1"/>
  <c r="I6570" i="2" s="1"/>
  <c r="I6571" i="2" a="1"/>
  <c r="I6571" i="2" s="1"/>
  <c r="I6572" i="2" a="1"/>
  <c r="I6572" i="2" s="1"/>
  <c r="I6573" i="2" a="1"/>
  <c r="I6573" i="2" s="1"/>
  <c r="I6574" i="2" a="1"/>
  <c r="I6574" i="2" s="1"/>
  <c r="I6575" i="2" a="1"/>
  <c r="I6575" i="2" s="1"/>
  <c r="I6576" i="2" a="1"/>
  <c r="I6576" i="2" s="1"/>
  <c r="I6577" i="2" a="1"/>
  <c r="I6577" i="2" s="1"/>
  <c r="I6578" i="2" a="1"/>
  <c r="I6578" i="2" s="1"/>
  <c r="I6579" i="2" a="1"/>
  <c r="I6579" i="2" s="1"/>
  <c r="I6580" i="2" a="1"/>
  <c r="I6580" i="2" s="1"/>
  <c r="I6581" i="2" a="1"/>
  <c r="I6581" i="2" s="1"/>
  <c r="I6582" i="2" a="1"/>
  <c r="I6582" i="2" s="1"/>
  <c r="I6583" i="2" a="1"/>
  <c r="I6583" i="2" s="1"/>
  <c r="I6584" i="2" a="1"/>
  <c r="I6584" i="2" s="1"/>
  <c r="I6585" i="2" a="1"/>
  <c r="I6585" i="2" s="1"/>
  <c r="I6586" i="2" a="1"/>
  <c r="I6586" i="2" s="1"/>
  <c r="I6587" i="2" a="1"/>
  <c r="I6587" i="2" s="1"/>
  <c r="I6588" i="2" a="1"/>
  <c r="I6588" i="2" s="1"/>
  <c r="I6589" i="2" a="1"/>
  <c r="I6589" i="2" s="1"/>
  <c r="I6590" i="2" a="1"/>
  <c r="I6590" i="2" s="1"/>
  <c r="I6591" i="2" a="1"/>
  <c r="I6591" i="2" s="1"/>
  <c r="I6592" i="2" a="1"/>
  <c r="I6592" i="2" s="1"/>
  <c r="I6593" i="2" a="1"/>
  <c r="I6593" i="2" s="1"/>
  <c r="I6594" i="2" a="1"/>
  <c r="I6594" i="2" s="1"/>
  <c r="I6595" i="2" a="1"/>
  <c r="I6595" i="2" s="1"/>
  <c r="I6596" i="2" a="1"/>
  <c r="I6596" i="2" s="1"/>
  <c r="I6597" i="2" a="1"/>
  <c r="I6597" i="2" s="1"/>
  <c r="I6598" i="2" a="1"/>
  <c r="I6598" i="2" s="1"/>
  <c r="I6599" i="2" a="1"/>
  <c r="I6599" i="2" s="1"/>
  <c r="I6600" i="2" a="1"/>
  <c r="I6600" i="2" s="1"/>
  <c r="I6601" i="2" a="1"/>
  <c r="I6601" i="2" s="1"/>
  <c r="I6602" i="2" a="1"/>
  <c r="I6602" i="2" s="1"/>
  <c r="I6603" i="2" a="1"/>
  <c r="I6603" i="2" s="1"/>
  <c r="I6604" i="2" a="1"/>
  <c r="I6604" i="2" s="1"/>
  <c r="I6605" i="2" a="1"/>
  <c r="I6605" i="2" s="1"/>
  <c r="I6606" i="2" a="1"/>
  <c r="I6606" i="2" s="1"/>
  <c r="I6607" i="2" a="1"/>
  <c r="I6607" i="2" s="1"/>
  <c r="I6608" i="2" a="1"/>
  <c r="I6608" i="2" s="1"/>
  <c r="I6609" i="2" a="1"/>
  <c r="I6609" i="2" s="1"/>
  <c r="I6610" i="2" a="1"/>
  <c r="I6610" i="2" s="1"/>
  <c r="I6611" i="2" a="1"/>
  <c r="I6611" i="2" s="1"/>
  <c r="I6612" i="2" a="1"/>
  <c r="I6612" i="2" s="1"/>
  <c r="I6613" i="2" a="1"/>
  <c r="I6613" i="2" s="1"/>
  <c r="I6614" i="2" a="1"/>
  <c r="I6614" i="2" s="1"/>
  <c r="I6615" i="2" a="1"/>
  <c r="I6615" i="2" s="1"/>
  <c r="I6616" i="2" a="1"/>
  <c r="I6616" i="2" s="1"/>
  <c r="I6617" i="2" a="1"/>
  <c r="I6617" i="2" s="1"/>
  <c r="I6618" i="2" a="1"/>
  <c r="I6618" i="2" s="1"/>
  <c r="I6619" i="2" a="1"/>
  <c r="I6619" i="2" s="1"/>
  <c r="I6620" i="2" a="1"/>
  <c r="I6620" i="2" s="1"/>
  <c r="I6621" i="2" a="1"/>
  <c r="I6621" i="2" s="1"/>
  <c r="I6622" i="2" a="1"/>
  <c r="I6622" i="2" s="1"/>
  <c r="I6623" i="2" a="1"/>
  <c r="I6623" i="2" s="1"/>
  <c r="I6624" i="2" a="1"/>
  <c r="I6624" i="2" s="1"/>
  <c r="I6625" i="2" a="1"/>
  <c r="I6625" i="2" s="1"/>
  <c r="I6626" i="2" a="1"/>
  <c r="I6626" i="2" s="1"/>
  <c r="I6627" i="2" a="1"/>
  <c r="I6627" i="2" s="1"/>
  <c r="I6628" i="2" a="1"/>
  <c r="I6628" i="2" s="1"/>
  <c r="I6629" i="2" a="1"/>
  <c r="I6629" i="2" s="1"/>
  <c r="I6630" i="2" a="1"/>
  <c r="I6630" i="2" s="1"/>
  <c r="I6631" i="2" a="1"/>
  <c r="I6631" i="2" s="1"/>
  <c r="I6632" i="2" a="1"/>
  <c r="I6632" i="2" s="1"/>
  <c r="I6633" i="2" a="1"/>
  <c r="I6633" i="2" s="1"/>
  <c r="I6634" i="2" a="1"/>
  <c r="I6634" i="2" s="1"/>
  <c r="I6635" i="2" a="1"/>
  <c r="I6635" i="2" s="1"/>
  <c r="I6636" i="2" a="1"/>
  <c r="I6636" i="2" s="1"/>
  <c r="I6637" i="2" a="1"/>
  <c r="I6637" i="2" s="1"/>
  <c r="I6638" i="2" a="1"/>
  <c r="I6638" i="2" s="1"/>
  <c r="I6639" i="2" a="1"/>
  <c r="I6639" i="2" s="1"/>
  <c r="I6640" i="2" a="1"/>
  <c r="I6640" i="2" s="1"/>
  <c r="I6641" i="2" a="1"/>
  <c r="I6641" i="2" s="1"/>
  <c r="I6642" i="2" a="1"/>
  <c r="I6642" i="2" s="1"/>
  <c r="I6643" i="2" a="1"/>
  <c r="I6643" i="2" s="1"/>
  <c r="I6644" i="2" a="1"/>
  <c r="I6644" i="2" s="1"/>
  <c r="I6645" i="2" a="1"/>
  <c r="I6645" i="2" s="1"/>
  <c r="I6646" i="2" a="1"/>
  <c r="I6646" i="2" s="1"/>
  <c r="I6647" i="2" a="1"/>
  <c r="I6647" i="2" s="1"/>
  <c r="I6648" i="2" a="1"/>
  <c r="I6648" i="2" s="1"/>
  <c r="I6649" i="2" a="1"/>
  <c r="I6649" i="2" s="1"/>
  <c r="I6650" i="2" a="1"/>
  <c r="I6650" i="2" s="1"/>
  <c r="I6651" i="2" a="1"/>
  <c r="I6651" i="2" s="1"/>
  <c r="I6652" i="2" a="1"/>
  <c r="I6652" i="2" s="1"/>
  <c r="I6653" i="2" a="1"/>
  <c r="I6653" i="2" s="1"/>
  <c r="I6654" i="2" a="1"/>
  <c r="I6654" i="2" s="1"/>
  <c r="I6655" i="2" a="1"/>
  <c r="I6655" i="2" s="1"/>
  <c r="I6656" i="2" a="1"/>
  <c r="I6656" i="2" s="1"/>
  <c r="I6657" i="2" a="1"/>
  <c r="I6657" i="2" s="1"/>
  <c r="I6658" i="2" a="1"/>
  <c r="I6658" i="2" s="1"/>
  <c r="I6659" i="2" a="1"/>
  <c r="I6659" i="2" s="1"/>
  <c r="I6660" i="2" a="1"/>
  <c r="I6660" i="2" s="1"/>
  <c r="I6661" i="2" a="1"/>
  <c r="I6661" i="2" s="1"/>
  <c r="I6662" i="2" a="1"/>
  <c r="I6662" i="2" s="1"/>
  <c r="I6663" i="2" a="1"/>
  <c r="I6663" i="2" s="1"/>
  <c r="I6664" i="2" a="1"/>
  <c r="I6664" i="2" s="1"/>
  <c r="I6665" i="2" a="1"/>
  <c r="I6665" i="2" s="1"/>
  <c r="I6666" i="2" a="1"/>
  <c r="I6666" i="2" s="1"/>
  <c r="I6667" i="2" a="1"/>
  <c r="I6667" i="2" s="1"/>
  <c r="I6668" i="2" a="1"/>
  <c r="I6668" i="2" s="1"/>
  <c r="I6669" i="2" a="1"/>
  <c r="I6669" i="2" s="1"/>
  <c r="I6670" i="2" a="1"/>
  <c r="I6670" i="2" s="1"/>
  <c r="I6671" i="2" a="1"/>
  <c r="I6671" i="2" s="1"/>
  <c r="I6672" i="2" a="1"/>
  <c r="I6672" i="2" s="1"/>
  <c r="I6673" i="2" a="1"/>
  <c r="I6673" i="2" s="1"/>
  <c r="I6674" i="2" a="1"/>
  <c r="I6674" i="2" s="1"/>
  <c r="I6675" i="2" a="1"/>
  <c r="I6675" i="2" s="1"/>
  <c r="I6676" i="2" a="1"/>
  <c r="I6676" i="2" s="1"/>
  <c r="I6677" i="2" a="1"/>
  <c r="I6677" i="2" s="1"/>
  <c r="I6678" i="2" a="1"/>
  <c r="I6678" i="2" s="1"/>
  <c r="I6679" i="2" a="1"/>
  <c r="I6679" i="2" s="1"/>
  <c r="I6680" i="2" a="1"/>
  <c r="I6680" i="2" s="1"/>
  <c r="I6681" i="2" a="1"/>
  <c r="I6681" i="2" s="1"/>
  <c r="I6682" i="2" a="1"/>
  <c r="I6682" i="2" s="1"/>
  <c r="I6683" i="2" a="1"/>
  <c r="I6683" i="2" s="1"/>
  <c r="I6684" i="2" a="1"/>
  <c r="I6684" i="2" s="1"/>
  <c r="I6685" i="2" a="1"/>
  <c r="I6685" i="2" s="1"/>
  <c r="I6686" i="2" a="1"/>
  <c r="I6686" i="2" s="1"/>
  <c r="I6687" i="2" a="1"/>
  <c r="I6687" i="2" s="1"/>
  <c r="I6688" i="2" a="1"/>
  <c r="I6688" i="2" s="1"/>
  <c r="I6689" i="2" a="1"/>
  <c r="I6689" i="2" s="1"/>
  <c r="I6690" i="2" a="1"/>
  <c r="I6690" i="2" s="1"/>
  <c r="I6691" i="2" a="1"/>
  <c r="I6691" i="2" s="1"/>
  <c r="I6692" i="2" a="1"/>
  <c r="I6692" i="2" s="1"/>
  <c r="I6693" i="2" a="1"/>
  <c r="I6693" i="2" s="1"/>
  <c r="I6694" i="2" a="1"/>
  <c r="I6694" i="2" s="1"/>
  <c r="I6695" i="2" a="1"/>
  <c r="I6695" i="2" s="1"/>
  <c r="I6696" i="2" a="1"/>
  <c r="I6696" i="2" s="1"/>
  <c r="I6697" i="2" a="1"/>
  <c r="I6697" i="2" s="1"/>
  <c r="I6698" i="2" a="1"/>
  <c r="I6698" i="2" s="1"/>
  <c r="I6699" i="2" a="1"/>
  <c r="I6699" i="2" s="1"/>
  <c r="I6700" i="2" a="1"/>
  <c r="I6700" i="2" s="1"/>
  <c r="I6701" i="2" a="1"/>
  <c r="I6701" i="2" s="1"/>
  <c r="I6702" i="2" a="1"/>
  <c r="I6702" i="2" s="1"/>
  <c r="I6703" i="2" a="1"/>
  <c r="I6703" i="2" s="1"/>
  <c r="I6704" i="2" a="1"/>
  <c r="I6704" i="2" s="1"/>
  <c r="I6705" i="2" a="1"/>
  <c r="I6705" i="2" s="1"/>
  <c r="I6706" i="2" a="1"/>
  <c r="I6706" i="2" s="1"/>
  <c r="I6707" i="2" a="1"/>
  <c r="I6707" i="2" s="1"/>
  <c r="I6708" i="2" a="1"/>
  <c r="I6708" i="2" s="1"/>
  <c r="I6709" i="2" a="1"/>
  <c r="I6709" i="2" s="1"/>
  <c r="I6710" i="2" a="1"/>
  <c r="I6710" i="2" s="1"/>
  <c r="I6711" i="2" a="1"/>
  <c r="I6711" i="2" s="1"/>
  <c r="I6712" i="2" a="1"/>
  <c r="I6712" i="2" s="1"/>
  <c r="I6713" i="2" a="1"/>
  <c r="I6713" i="2" s="1"/>
  <c r="I6714" i="2" a="1"/>
  <c r="I6714" i="2" s="1"/>
  <c r="I6715" i="2" a="1"/>
  <c r="I6715" i="2" s="1"/>
  <c r="I6716" i="2" a="1"/>
  <c r="I6716" i="2" s="1"/>
  <c r="I6717" i="2" a="1"/>
  <c r="I6717" i="2" s="1"/>
  <c r="I6718" i="2" a="1"/>
  <c r="I6718" i="2" s="1"/>
  <c r="I6719" i="2" a="1"/>
  <c r="I6719" i="2" s="1"/>
  <c r="I6720" i="2" a="1"/>
  <c r="I6720" i="2" s="1"/>
  <c r="I6721" i="2" a="1"/>
  <c r="I6721" i="2" s="1"/>
  <c r="I6722" i="2" a="1"/>
  <c r="I6722" i="2" s="1"/>
  <c r="I6723" i="2" a="1"/>
  <c r="I6723" i="2" s="1"/>
  <c r="I6724" i="2" a="1"/>
  <c r="I6724" i="2" s="1"/>
  <c r="I6725" i="2" a="1"/>
  <c r="I6725" i="2" s="1"/>
  <c r="I6726" i="2" a="1"/>
  <c r="I6726" i="2" s="1"/>
  <c r="I6727" i="2" a="1"/>
  <c r="I6727" i="2" s="1"/>
  <c r="I6728" i="2" a="1"/>
  <c r="I6728" i="2" s="1"/>
  <c r="I6729" i="2" a="1"/>
  <c r="I6729" i="2" s="1"/>
  <c r="I6730" i="2" a="1"/>
  <c r="I6730" i="2" s="1"/>
  <c r="I6731" i="2" a="1"/>
  <c r="I6731" i="2" s="1"/>
  <c r="I6732" i="2" a="1"/>
  <c r="I6732" i="2" s="1"/>
  <c r="I6733" i="2" a="1"/>
  <c r="I6733" i="2" s="1"/>
  <c r="I6734" i="2" a="1"/>
  <c r="I6734" i="2" s="1"/>
  <c r="I6735" i="2" a="1"/>
  <c r="I6735" i="2" s="1"/>
  <c r="I6736" i="2" a="1"/>
  <c r="I6736" i="2" s="1"/>
  <c r="I6737" i="2" a="1"/>
  <c r="I6737" i="2" s="1"/>
  <c r="I6738" i="2" a="1"/>
  <c r="I6738" i="2" s="1"/>
  <c r="I6739" i="2" a="1"/>
  <c r="I6739" i="2" s="1"/>
  <c r="I6740" i="2" a="1"/>
  <c r="I6740" i="2" s="1"/>
  <c r="I6741" i="2" a="1"/>
  <c r="I6741" i="2" s="1"/>
  <c r="I6742" i="2" a="1"/>
  <c r="I6742" i="2" s="1"/>
  <c r="I6743" i="2" a="1"/>
  <c r="I6743" i="2" s="1"/>
  <c r="I6744" i="2" a="1"/>
  <c r="I6744" i="2" s="1"/>
  <c r="I6745" i="2" a="1"/>
  <c r="I6745" i="2" s="1"/>
  <c r="I6746" i="2" a="1"/>
  <c r="I6746" i="2" s="1"/>
  <c r="I6747" i="2" a="1"/>
  <c r="I6747" i="2" s="1"/>
  <c r="I6748" i="2" a="1"/>
  <c r="I6748" i="2" s="1"/>
  <c r="I6749" i="2" a="1"/>
  <c r="I6749" i="2" s="1"/>
  <c r="I6750" i="2" a="1"/>
  <c r="I6750" i="2" s="1"/>
  <c r="I6751" i="2" a="1"/>
  <c r="I6751" i="2" s="1"/>
  <c r="I6752" i="2" a="1"/>
  <c r="I6752" i="2" s="1"/>
  <c r="I6753" i="2" a="1"/>
  <c r="I6753" i="2" s="1"/>
  <c r="I6754" i="2" a="1"/>
  <c r="I6754" i="2" s="1"/>
  <c r="I6755" i="2" a="1"/>
  <c r="I6755" i="2" s="1"/>
  <c r="I6756" i="2" a="1"/>
  <c r="I6756" i="2" s="1"/>
  <c r="I6757" i="2" a="1"/>
  <c r="I6757" i="2" s="1"/>
  <c r="I6758" i="2" a="1"/>
  <c r="I6758" i="2" s="1"/>
  <c r="I6759" i="2" a="1"/>
  <c r="I6759" i="2" s="1"/>
  <c r="I6760" i="2" a="1"/>
  <c r="I6760" i="2" s="1"/>
  <c r="I6761" i="2" a="1"/>
  <c r="I6761" i="2" s="1"/>
  <c r="I6762" i="2" a="1"/>
  <c r="I6762" i="2" s="1"/>
  <c r="I6763" i="2" a="1"/>
  <c r="I6763" i="2" s="1"/>
  <c r="I6764" i="2" a="1"/>
  <c r="I6764" i="2" s="1"/>
  <c r="I6765" i="2" a="1"/>
  <c r="I6765" i="2" s="1"/>
  <c r="I6766" i="2" a="1"/>
  <c r="I6766" i="2" s="1"/>
  <c r="I6767" i="2" a="1"/>
  <c r="I6767" i="2" s="1"/>
  <c r="I6768" i="2" a="1"/>
  <c r="I6768" i="2" s="1"/>
  <c r="I6769" i="2" a="1"/>
  <c r="I6769" i="2" s="1"/>
  <c r="I6770" i="2" a="1"/>
  <c r="I6770" i="2" s="1"/>
  <c r="I6771" i="2" a="1"/>
  <c r="I6771" i="2" s="1"/>
  <c r="I6772" i="2" a="1"/>
  <c r="I6772" i="2" s="1"/>
  <c r="I6773" i="2" a="1"/>
  <c r="I6773" i="2" s="1"/>
  <c r="I6774" i="2" a="1"/>
  <c r="I6774" i="2" s="1"/>
  <c r="I6775" i="2" a="1"/>
  <c r="I6775" i="2" s="1"/>
  <c r="I6776" i="2" a="1"/>
  <c r="I6776" i="2" s="1"/>
  <c r="I6777" i="2" a="1"/>
  <c r="I6777" i="2" s="1"/>
  <c r="I6778" i="2" a="1"/>
  <c r="I6778" i="2" s="1"/>
  <c r="I6779" i="2" a="1"/>
  <c r="I6779" i="2" s="1"/>
  <c r="I6780" i="2" a="1"/>
  <c r="I6780" i="2" s="1"/>
  <c r="I6781" i="2" a="1"/>
  <c r="I6781" i="2" s="1"/>
  <c r="I6782" i="2" a="1"/>
  <c r="I6782" i="2" s="1"/>
  <c r="I6783" i="2" a="1"/>
  <c r="I6783" i="2" s="1"/>
  <c r="I6784" i="2" a="1"/>
  <c r="I6784" i="2" s="1"/>
  <c r="I6785" i="2" a="1"/>
  <c r="I6785" i="2" s="1"/>
  <c r="I6786" i="2" a="1"/>
  <c r="I6786" i="2" s="1"/>
  <c r="I6787" i="2" a="1"/>
  <c r="I6787" i="2" s="1"/>
  <c r="I6788" i="2" a="1"/>
  <c r="I6788" i="2" s="1"/>
  <c r="I6789" i="2" a="1"/>
  <c r="I6789" i="2" s="1"/>
  <c r="I6790" i="2" a="1"/>
  <c r="I6790" i="2" s="1"/>
  <c r="I6791" i="2" a="1"/>
  <c r="I6791" i="2" s="1"/>
  <c r="I6792" i="2" a="1"/>
  <c r="I6792" i="2" s="1"/>
  <c r="I6793" i="2" a="1"/>
  <c r="I6793" i="2" s="1"/>
  <c r="I6794" i="2" a="1"/>
  <c r="I6794" i="2" s="1"/>
  <c r="I6795" i="2" a="1"/>
  <c r="I6795" i="2" s="1"/>
  <c r="I6796" i="2" a="1"/>
  <c r="I6796" i="2" s="1"/>
  <c r="I6797" i="2" a="1"/>
  <c r="I6797" i="2" s="1"/>
  <c r="I6798" i="2" a="1"/>
  <c r="I6798" i="2" s="1"/>
  <c r="I6799" i="2" a="1"/>
  <c r="I6799" i="2" s="1"/>
  <c r="I6800" i="2" a="1"/>
  <c r="I6800" i="2" s="1"/>
  <c r="I6801" i="2" a="1"/>
  <c r="I6801" i="2" s="1"/>
  <c r="I6802" i="2" a="1"/>
  <c r="I6802" i="2" s="1"/>
  <c r="I6803" i="2" a="1"/>
  <c r="I6803" i="2" s="1"/>
  <c r="I6804" i="2" a="1"/>
  <c r="I6804" i="2" s="1"/>
  <c r="I6805" i="2" a="1"/>
  <c r="I6805" i="2" s="1"/>
  <c r="I6806" i="2" a="1"/>
  <c r="I6806" i="2" s="1"/>
  <c r="I6807" i="2" a="1"/>
  <c r="I6807" i="2" s="1"/>
  <c r="I6808" i="2" a="1"/>
  <c r="I6808" i="2" s="1"/>
  <c r="I6809" i="2" a="1"/>
  <c r="I6809" i="2" s="1"/>
  <c r="I6810" i="2" a="1"/>
  <c r="I6810" i="2" s="1"/>
  <c r="I6811" i="2" a="1"/>
  <c r="I6811" i="2" s="1"/>
  <c r="I6812" i="2" a="1"/>
  <c r="I6812" i="2" s="1"/>
  <c r="I6813" i="2" a="1"/>
  <c r="I6813" i="2" s="1"/>
  <c r="I6814" i="2" a="1"/>
  <c r="I6814" i="2" s="1"/>
  <c r="I6815" i="2" a="1"/>
  <c r="I6815" i="2" s="1"/>
  <c r="I6816" i="2" a="1"/>
  <c r="I6816" i="2" s="1"/>
  <c r="I6817" i="2" a="1"/>
  <c r="I6817" i="2" s="1"/>
  <c r="I6818" i="2" a="1"/>
  <c r="I6818" i="2" s="1"/>
  <c r="I6819" i="2" a="1"/>
  <c r="I6819" i="2" s="1"/>
  <c r="I6820" i="2" a="1"/>
  <c r="I6820" i="2" s="1"/>
  <c r="I6821" i="2" a="1"/>
  <c r="I6821" i="2" s="1"/>
  <c r="I6822" i="2" a="1"/>
  <c r="I6822" i="2" s="1"/>
  <c r="I6823" i="2" a="1"/>
  <c r="I6823" i="2" s="1"/>
  <c r="I6824" i="2" a="1"/>
  <c r="I6824" i="2" s="1"/>
  <c r="I6825" i="2" a="1"/>
  <c r="I6825" i="2" s="1"/>
  <c r="I6826" i="2" a="1"/>
  <c r="I6826" i="2" s="1"/>
  <c r="I6827" i="2" a="1"/>
  <c r="I6827" i="2" s="1"/>
  <c r="I6828" i="2" a="1"/>
  <c r="I6828" i="2" s="1"/>
  <c r="I6829" i="2" a="1"/>
  <c r="I6829" i="2" s="1"/>
  <c r="I6830" i="2" a="1"/>
  <c r="I6830" i="2" s="1"/>
  <c r="I6831" i="2" a="1"/>
  <c r="I6831" i="2" s="1"/>
  <c r="I6832" i="2" a="1"/>
  <c r="I6832" i="2" s="1"/>
  <c r="I6833" i="2" a="1"/>
  <c r="I6833" i="2" s="1"/>
  <c r="I6834" i="2" a="1"/>
  <c r="I6834" i="2" s="1"/>
  <c r="I6835" i="2" a="1"/>
  <c r="I6835" i="2" s="1"/>
  <c r="I6836" i="2" a="1"/>
  <c r="I6836" i="2" s="1"/>
  <c r="I6837" i="2" a="1"/>
  <c r="I6837" i="2" s="1"/>
  <c r="I6838" i="2" a="1"/>
  <c r="I6838" i="2" s="1"/>
  <c r="I6839" i="2" a="1"/>
  <c r="I6839" i="2" s="1"/>
  <c r="I6840" i="2" a="1"/>
  <c r="I6840" i="2" s="1"/>
  <c r="I6841" i="2" a="1"/>
  <c r="I6841" i="2" s="1"/>
  <c r="I6842" i="2" a="1"/>
  <c r="I6842" i="2" s="1"/>
  <c r="I6843" i="2" a="1"/>
  <c r="I6843" i="2" s="1"/>
  <c r="I6844" i="2" a="1"/>
  <c r="I6844" i="2" s="1"/>
  <c r="I6845" i="2" a="1"/>
  <c r="I6845" i="2" s="1"/>
  <c r="I6846" i="2" a="1"/>
  <c r="I6846" i="2" s="1"/>
  <c r="I6847" i="2" a="1"/>
  <c r="I6847" i="2" s="1"/>
  <c r="I6848" i="2" a="1"/>
  <c r="I6848" i="2" s="1"/>
  <c r="I6849" i="2" a="1"/>
  <c r="I6849" i="2" s="1"/>
  <c r="I6850" i="2" a="1"/>
  <c r="I6850" i="2" s="1"/>
  <c r="I6851" i="2" a="1"/>
  <c r="I6851" i="2" s="1"/>
  <c r="I6852" i="2" a="1"/>
  <c r="I6852" i="2" s="1"/>
  <c r="I6853" i="2" a="1"/>
  <c r="I6853" i="2" s="1"/>
  <c r="I6854" i="2" a="1"/>
  <c r="I6854" i="2" s="1"/>
  <c r="I6855" i="2" a="1"/>
  <c r="I6855" i="2" s="1"/>
  <c r="I6856" i="2" a="1"/>
  <c r="I6856" i="2" s="1"/>
  <c r="I6857" i="2" a="1"/>
  <c r="I6857" i="2" s="1"/>
  <c r="I6858" i="2" a="1"/>
  <c r="I6858" i="2" s="1"/>
  <c r="I6859" i="2" a="1"/>
  <c r="I6859" i="2" s="1"/>
  <c r="I6860" i="2" a="1"/>
  <c r="I6860" i="2" s="1"/>
  <c r="I6861" i="2" a="1"/>
  <c r="I6861" i="2" s="1"/>
  <c r="I6862" i="2" a="1"/>
  <c r="I6862" i="2" s="1"/>
  <c r="I6863" i="2" a="1"/>
  <c r="I6863" i="2" s="1"/>
  <c r="I6864" i="2" a="1"/>
  <c r="I6864" i="2" s="1"/>
  <c r="I6865" i="2" a="1"/>
  <c r="I6865" i="2" s="1"/>
  <c r="I6866" i="2" a="1"/>
  <c r="I6866" i="2" s="1"/>
  <c r="I6867" i="2" a="1"/>
  <c r="I6867" i="2" s="1"/>
  <c r="I6868" i="2" a="1"/>
  <c r="I6868" i="2" s="1"/>
  <c r="I6869" i="2" a="1"/>
  <c r="I6869" i="2" s="1"/>
  <c r="I6870" i="2" a="1"/>
  <c r="I6870" i="2" s="1"/>
  <c r="I6871" i="2" a="1"/>
  <c r="I6871" i="2" s="1"/>
  <c r="I6872" i="2" a="1"/>
  <c r="I6872" i="2" s="1"/>
  <c r="I6873" i="2" a="1"/>
  <c r="I6873" i="2" s="1"/>
  <c r="I6874" i="2" a="1"/>
  <c r="I6874" i="2" s="1"/>
  <c r="I6875" i="2" a="1"/>
  <c r="I6875" i="2" s="1"/>
  <c r="I6876" i="2" a="1"/>
  <c r="I6876" i="2" s="1"/>
  <c r="I6877" i="2" a="1"/>
  <c r="I6877" i="2" s="1"/>
  <c r="I6878" i="2" a="1"/>
  <c r="I6878" i="2" s="1"/>
  <c r="I6879" i="2" a="1"/>
  <c r="I6879" i="2" s="1"/>
  <c r="I6880" i="2" a="1"/>
  <c r="I6880" i="2" s="1"/>
  <c r="I6881" i="2" a="1"/>
  <c r="I6881" i="2" s="1"/>
  <c r="I6882" i="2" a="1"/>
  <c r="I6882" i="2" s="1"/>
  <c r="I6883" i="2" a="1"/>
  <c r="I6883" i="2" s="1"/>
  <c r="I6884" i="2" a="1"/>
  <c r="I6884" i="2" s="1"/>
  <c r="I6885" i="2" a="1"/>
  <c r="I6885" i="2" s="1"/>
  <c r="I6886" i="2" a="1"/>
  <c r="I6886" i="2" s="1"/>
  <c r="I6887" i="2" a="1"/>
  <c r="I6887" i="2" s="1"/>
  <c r="I6888" i="2" a="1"/>
  <c r="I6888" i="2" s="1"/>
  <c r="I6889" i="2" a="1"/>
  <c r="I6889" i="2" s="1"/>
  <c r="I6890" i="2" a="1"/>
  <c r="I6890" i="2" s="1"/>
  <c r="I6891" i="2" a="1"/>
  <c r="I6891" i="2" s="1"/>
  <c r="I6892" i="2" a="1"/>
  <c r="I6892" i="2" s="1"/>
  <c r="I6893" i="2" a="1"/>
  <c r="I6893" i="2" s="1"/>
  <c r="I6894" i="2" a="1"/>
  <c r="I6894" i="2" s="1"/>
  <c r="I6895" i="2" a="1"/>
  <c r="I6895" i="2" s="1"/>
  <c r="I6896" i="2" a="1"/>
  <c r="I6896" i="2" s="1"/>
  <c r="I6897" i="2" a="1"/>
  <c r="I6897" i="2" s="1"/>
  <c r="I6898" i="2" a="1"/>
  <c r="I6898" i="2" s="1"/>
  <c r="I6899" i="2" a="1"/>
  <c r="I6899" i="2" s="1"/>
  <c r="I6900" i="2" a="1"/>
  <c r="I6900" i="2" s="1"/>
  <c r="I6901" i="2" a="1"/>
  <c r="I6901" i="2" s="1"/>
  <c r="I6902" i="2" a="1"/>
  <c r="I6902" i="2" s="1"/>
  <c r="I6903" i="2" a="1"/>
  <c r="I6903" i="2" s="1"/>
  <c r="I6904" i="2" a="1"/>
  <c r="I6904" i="2" s="1"/>
  <c r="I6905" i="2" a="1"/>
  <c r="I6905" i="2" s="1"/>
  <c r="I6906" i="2" a="1"/>
  <c r="I6906" i="2" s="1"/>
  <c r="I6907" i="2" a="1"/>
  <c r="I6907" i="2" s="1"/>
  <c r="I6908" i="2" a="1"/>
  <c r="I6908" i="2" s="1"/>
  <c r="I6909" i="2" a="1"/>
  <c r="I6909" i="2" s="1"/>
  <c r="I6910" i="2" a="1"/>
  <c r="I6910" i="2" s="1"/>
  <c r="I6911" i="2" a="1"/>
  <c r="I6911" i="2" s="1"/>
  <c r="I6912" i="2" a="1"/>
  <c r="I6912" i="2" s="1"/>
  <c r="I6913" i="2" a="1"/>
  <c r="I6913" i="2" s="1"/>
  <c r="I6914" i="2" a="1"/>
  <c r="I6914" i="2" s="1"/>
  <c r="I6915" i="2" a="1"/>
  <c r="I6915" i="2" s="1"/>
  <c r="I6916" i="2" a="1"/>
  <c r="I6916" i="2" s="1"/>
  <c r="I6917" i="2" a="1"/>
  <c r="I6917" i="2" s="1"/>
  <c r="I6918" i="2" a="1"/>
  <c r="I6918" i="2" s="1"/>
  <c r="I6919" i="2" a="1"/>
  <c r="I6919" i="2" s="1"/>
  <c r="I6920" i="2" a="1"/>
  <c r="I6920" i="2" s="1"/>
  <c r="I6921" i="2" a="1"/>
  <c r="I6921" i="2" s="1"/>
  <c r="I6922" i="2" a="1"/>
  <c r="I6922" i="2" s="1"/>
  <c r="I6923" i="2" a="1"/>
  <c r="I6923" i="2" s="1"/>
  <c r="I6924" i="2" a="1"/>
  <c r="I6924" i="2" s="1"/>
  <c r="I6925" i="2" a="1"/>
  <c r="I6925" i="2" s="1"/>
  <c r="I6926" i="2" a="1"/>
  <c r="I6926" i="2" s="1"/>
  <c r="I6927" i="2" a="1"/>
  <c r="I6927" i="2" s="1"/>
  <c r="I6928" i="2" a="1"/>
  <c r="I6928" i="2" s="1"/>
  <c r="I6929" i="2" a="1"/>
  <c r="I6929" i="2" s="1"/>
  <c r="I6930" i="2" a="1"/>
  <c r="I6930" i="2" s="1"/>
  <c r="I6931" i="2" a="1"/>
  <c r="I6931" i="2" s="1"/>
  <c r="I6932" i="2" a="1"/>
  <c r="I6932" i="2" s="1"/>
  <c r="I6933" i="2" a="1"/>
  <c r="I6933" i="2" s="1"/>
  <c r="I6934" i="2" a="1"/>
  <c r="I6934" i="2" s="1"/>
  <c r="I6935" i="2" a="1"/>
  <c r="I6935" i="2" s="1"/>
  <c r="I6936" i="2" a="1"/>
  <c r="I6936" i="2" s="1"/>
  <c r="I6937" i="2" a="1"/>
  <c r="I6937" i="2" s="1"/>
  <c r="I6938" i="2" a="1"/>
  <c r="I6938" i="2" s="1"/>
  <c r="I6939" i="2" a="1"/>
  <c r="I6939" i="2" s="1"/>
  <c r="I6940" i="2" a="1"/>
  <c r="I6940" i="2" s="1"/>
  <c r="I6941" i="2" a="1"/>
  <c r="I6941" i="2" s="1"/>
  <c r="I6942" i="2" a="1"/>
  <c r="I6942" i="2" s="1"/>
  <c r="I6943" i="2" a="1"/>
  <c r="I6943" i="2" s="1"/>
  <c r="I6944" i="2" a="1"/>
  <c r="I6944" i="2" s="1"/>
  <c r="I6945" i="2" a="1"/>
  <c r="I6945" i="2" s="1"/>
  <c r="I6946" i="2" a="1"/>
  <c r="I6946" i="2" s="1"/>
  <c r="I6947" i="2" a="1"/>
  <c r="I6947" i="2" s="1"/>
  <c r="I6948" i="2" a="1"/>
  <c r="I6948" i="2" s="1"/>
  <c r="I6949" i="2" a="1"/>
  <c r="I6949" i="2" s="1"/>
  <c r="I6950" i="2" a="1"/>
  <c r="I6950" i="2" s="1"/>
  <c r="I6951" i="2" a="1"/>
  <c r="I6951" i="2" s="1"/>
  <c r="I6952" i="2" a="1"/>
  <c r="I6952" i="2" s="1"/>
  <c r="I6953" i="2" a="1"/>
  <c r="I6953" i="2" s="1"/>
  <c r="I6954" i="2" a="1"/>
  <c r="I6954" i="2" s="1"/>
  <c r="I6955" i="2" a="1"/>
  <c r="I6955" i="2" s="1"/>
  <c r="I6956" i="2" a="1"/>
  <c r="I6956" i="2" s="1"/>
  <c r="I6957" i="2" a="1"/>
  <c r="I6957" i="2" s="1"/>
  <c r="I6958" i="2" a="1"/>
  <c r="I6958" i="2" s="1"/>
  <c r="I6959" i="2" a="1"/>
  <c r="I6959" i="2" s="1"/>
  <c r="I6960" i="2" a="1"/>
  <c r="I6960" i="2" s="1"/>
  <c r="I6961" i="2" a="1"/>
  <c r="I6961" i="2" s="1"/>
  <c r="I6962" i="2" a="1"/>
  <c r="I6962" i="2" s="1"/>
  <c r="I6963" i="2" a="1"/>
  <c r="I6963" i="2" s="1"/>
  <c r="I6964" i="2" a="1"/>
  <c r="I6964" i="2" s="1"/>
  <c r="I6965" i="2" a="1"/>
  <c r="I6965" i="2" s="1"/>
  <c r="I6966" i="2" a="1"/>
  <c r="I6966" i="2" s="1"/>
  <c r="I6967" i="2" a="1"/>
  <c r="I6967" i="2" s="1"/>
  <c r="I6968" i="2" a="1"/>
  <c r="I6968" i="2" s="1"/>
  <c r="I6969" i="2" a="1"/>
  <c r="I6969" i="2" s="1"/>
  <c r="I6970" i="2" a="1"/>
  <c r="I6970" i="2" s="1"/>
  <c r="I6971" i="2" a="1"/>
  <c r="I6971" i="2" s="1"/>
  <c r="I6972" i="2" a="1"/>
  <c r="I6972" i="2" s="1"/>
  <c r="I6973" i="2" a="1"/>
  <c r="I6973" i="2" s="1"/>
  <c r="I6974" i="2" a="1"/>
  <c r="I6974" i="2" s="1"/>
  <c r="I6975" i="2" a="1"/>
  <c r="I6975" i="2" s="1"/>
  <c r="I6976" i="2" a="1"/>
  <c r="I6976" i="2" s="1"/>
  <c r="I6977" i="2" a="1"/>
  <c r="I6977" i="2" s="1"/>
  <c r="I6978" i="2" a="1"/>
  <c r="I6978" i="2" s="1"/>
  <c r="I6979" i="2" a="1"/>
  <c r="I6979" i="2" s="1"/>
  <c r="I6980" i="2" a="1"/>
  <c r="I6980" i="2" s="1"/>
  <c r="I6981" i="2" a="1"/>
  <c r="I6981" i="2" s="1"/>
  <c r="I6982" i="2" a="1"/>
  <c r="I6982" i="2" s="1"/>
  <c r="I6983" i="2" a="1"/>
  <c r="I6983" i="2" s="1"/>
  <c r="I6984" i="2" a="1"/>
  <c r="I6984" i="2" s="1"/>
  <c r="I6985" i="2" a="1"/>
  <c r="I6985" i="2" s="1"/>
  <c r="I6986" i="2" a="1"/>
  <c r="I6986" i="2" s="1"/>
  <c r="I6987" i="2" a="1"/>
  <c r="I6987" i="2" s="1"/>
  <c r="I6988" i="2" a="1"/>
  <c r="I6988" i="2" s="1"/>
  <c r="I6989" i="2" a="1"/>
  <c r="I6989" i="2" s="1"/>
  <c r="I6990" i="2" a="1"/>
  <c r="I6990" i="2" s="1"/>
  <c r="I6991" i="2" a="1"/>
  <c r="I6991" i="2" s="1"/>
  <c r="I6992" i="2" a="1"/>
  <c r="I6992" i="2" s="1"/>
  <c r="I6993" i="2" a="1"/>
  <c r="I6993" i="2" s="1"/>
  <c r="I6994" i="2" a="1"/>
  <c r="I6994" i="2" s="1"/>
  <c r="I6995" i="2" a="1"/>
  <c r="I6995" i="2" s="1"/>
  <c r="I6996" i="2" a="1"/>
  <c r="I6996" i="2" s="1"/>
  <c r="I6997" i="2" a="1"/>
  <c r="I6997" i="2" s="1"/>
  <c r="I6998" i="2" a="1"/>
  <c r="I6998" i="2" s="1"/>
  <c r="I6999" i="2" a="1"/>
  <c r="I6999" i="2" s="1"/>
  <c r="I7000" i="2" a="1"/>
  <c r="I7000" i="2" s="1"/>
  <c r="I7001" i="2" a="1"/>
  <c r="I7001" i="2" s="1"/>
  <c r="I7002" i="2" a="1"/>
  <c r="I7002" i="2" s="1"/>
  <c r="I7003" i="2" a="1"/>
  <c r="I7003" i="2" s="1"/>
  <c r="I7004" i="2" a="1"/>
  <c r="I7004" i="2" s="1"/>
  <c r="I7005" i="2" a="1"/>
  <c r="I7005" i="2" s="1"/>
  <c r="I7006" i="2" a="1"/>
  <c r="I7006" i="2" s="1"/>
  <c r="I7007" i="2" a="1"/>
  <c r="I7007" i="2" s="1"/>
  <c r="I7008" i="2" a="1"/>
  <c r="I7008" i="2" s="1"/>
  <c r="I7009" i="2" a="1"/>
  <c r="I7009" i="2" s="1"/>
  <c r="I7010" i="2" a="1"/>
  <c r="I7010" i="2" s="1"/>
  <c r="I7011" i="2" a="1"/>
  <c r="I7011" i="2" s="1"/>
  <c r="I7012" i="2" a="1"/>
  <c r="I7012" i="2" s="1"/>
  <c r="I7013" i="2" a="1"/>
  <c r="I7013" i="2" s="1"/>
  <c r="I7014" i="2" a="1"/>
  <c r="I7014" i="2" s="1"/>
  <c r="I7015" i="2" a="1"/>
  <c r="I7015" i="2" s="1"/>
  <c r="I7016" i="2" a="1"/>
  <c r="I7016" i="2" s="1"/>
  <c r="I7017" i="2" a="1"/>
  <c r="I7017" i="2" s="1"/>
  <c r="I7018" i="2" a="1"/>
  <c r="I7018" i="2" s="1"/>
  <c r="I7019" i="2" a="1"/>
  <c r="I7019" i="2" s="1"/>
  <c r="I7020" i="2" a="1"/>
  <c r="I7020" i="2" s="1"/>
  <c r="I7021" i="2" a="1"/>
  <c r="I7021" i="2" s="1"/>
  <c r="I7022" i="2" a="1"/>
  <c r="I7022" i="2" s="1"/>
  <c r="I7023" i="2" a="1"/>
  <c r="I7023" i="2" s="1"/>
  <c r="I7024" i="2" a="1"/>
  <c r="I7024" i="2" s="1"/>
  <c r="I7025" i="2" a="1"/>
  <c r="I7025" i="2" s="1"/>
  <c r="I7026" i="2" a="1"/>
  <c r="I7026" i="2" s="1"/>
  <c r="I7027" i="2" a="1"/>
  <c r="I7027" i="2" s="1"/>
  <c r="I7028" i="2" a="1"/>
  <c r="I7028" i="2" s="1"/>
  <c r="I7029" i="2" a="1"/>
  <c r="I7029" i="2" s="1"/>
  <c r="I7030" i="2" a="1"/>
  <c r="I7030" i="2" s="1"/>
  <c r="I7031" i="2" a="1"/>
  <c r="I7031" i="2" s="1"/>
  <c r="I7032" i="2" a="1"/>
  <c r="I7032" i="2" s="1"/>
  <c r="I7033" i="2" a="1"/>
  <c r="I7033" i="2" s="1"/>
  <c r="I7034" i="2" a="1"/>
  <c r="I7034" i="2" s="1"/>
  <c r="I7035" i="2" a="1"/>
  <c r="I7035" i="2" s="1"/>
  <c r="I7036" i="2" a="1"/>
  <c r="I7036" i="2" s="1"/>
  <c r="I7037" i="2" a="1"/>
  <c r="I7037" i="2" s="1"/>
  <c r="I7038" i="2" a="1"/>
  <c r="I7038" i="2" s="1"/>
  <c r="I7039" i="2" a="1"/>
  <c r="I7039" i="2" s="1"/>
  <c r="I7040" i="2" a="1"/>
  <c r="I7040" i="2" s="1"/>
  <c r="I7041" i="2" a="1"/>
  <c r="I7041" i="2" s="1"/>
  <c r="I7042" i="2" a="1"/>
  <c r="I7042" i="2" s="1"/>
  <c r="I7043" i="2" a="1"/>
  <c r="I7043" i="2" s="1"/>
  <c r="I7044" i="2" a="1"/>
  <c r="I7044" i="2" s="1"/>
  <c r="I7045" i="2" a="1"/>
  <c r="I7045" i="2" s="1"/>
  <c r="I7046" i="2" a="1"/>
  <c r="I7046" i="2" s="1"/>
  <c r="I7047" i="2" a="1"/>
  <c r="I7047" i="2" s="1"/>
  <c r="I7048" i="2" a="1"/>
  <c r="I7048" i="2" s="1"/>
  <c r="I7049" i="2" a="1"/>
  <c r="I7049" i="2" s="1"/>
  <c r="I7050" i="2" a="1"/>
  <c r="I7050" i="2" s="1"/>
  <c r="I7051" i="2" a="1"/>
  <c r="I7051" i="2" s="1"/>
  <c r="I7052" i="2" a="1"/>
  <c r="I7052" i="2" s="1"/>
  <c r="I7053" i="2" a="1"/>
  <c r="I7053" i="2" s="1"/>
  <c r="I7054" i="2" a="1"/>
  <c r="I7054" i="2" s="1"/>
  <c r="I7055" i="2" a="1"/>
  <c r="I7055" i="2" s="1"/>
  <c r="I7056" i="2" a="1"/>
  <c r="I7056" i="2" s="1"/>
  <c r="I7057" i="2" a="1"/>
  <c r="I7057" i="2" s="1"/>
  <c r="I7058" i="2" a="1"/>
  <c r="I7058" i="2" s="1"/>
  <c r="I7059" i="2" a="1"/>
  <c r="I7059" i="2" s="1"/>
  <c r="I7060" i="2" a="1"/>
  <c r="I7060" i="2" s="1"/>
  <c r="I7061" i="2" a="1"/>
  <c r="I7061" i="2" s="1"/>
  <c r="I7062" i="2" a="1"/>
  <c r="I7062" i="2" s="1"/>
  <c r="I7063" i="2" a="1"/>
  <c r="I7063" i="2" s="1"/>
  <c r="I7064" i="2" a="1"/>
  <c r="I7064" i="2" s="1"/>
  <c r="I7065" i="2" a="1"/>
  <c r="I7065" i="2" s="1"/>
  <c r="I7066" i="2" a="1"/>
  <c r="I7066" i="2" s="1"/>
  <c r="I7067" i="2" a="1"/>
  <c r="I7067" i="2" s="1"/>
  <c r="I7068" i="2" a="1"/>
  <c r="I7068" i="2" s="1"/>
  <c r="I7069" i="2" a="1"/>
  <c r="I7069" i="2" s="1"/>
  <c r="I7070" i="2" a="1"/>
  <c r="I7070" i="2" s="1"/>
  <c r="I7071" i="2" a="1"/>
  <c r="I7071" i="2" s="1"/>
  <c r="I7072" i="2" a="1"/>
  <c r="I7072" i="2" s="1"/>
  <c r="I7073" i="2" a="1"/>
  <c r="I7073" i="2" s="1"/>
  <c r="I7074" i="2" a="1"/>
  <c r="I7074" i="2" s="1"/>
  <c r="I7075" i="2" a="1"/>
  <c r="I7075" i="2" s="1"/>
  <c r="I7076" i="2" a="1"/>
  <c r="I7076" i="2" s="1"/>
  <c r="I7077" i="2" a="1"/>
  <c r="I7077" i="2" s="1"/>
  <c r="I7078" i="2" a="1"/>
  <c r="I7078" i="2" s="1"/>
  <c r="I7079" i="2" a="1"/>
  <c r="I7079" i="2" s="1"/>
  <c r="I7080" i="2" a="1"/>
  <c r="I7080" i="2" s="1"/>
  <c r="I7081" i="2" a="1"/>
  <c r="I7081" i="2" s="1"/>
  <c r="I7082" i="2" a="1"/>
  <c r="I7082" i="2" s="1"/>
  <c r="I7083" i="2" a="1"/>
  <c r="I7083" i="2" s="1"/>
  <c r="I7084" i="2" a="1"/>
  <c r="I7084" i="2" s="1"/>
  <c r="I7085" i="2" a="1"/>
  <c r="I7085" i="2" s="1"/>
  <c r="I7086" i="2" a="1"/>
  <c r="I7086" i="2" s="1"/>
  <c r="I7087" i="2" a="1"/>
  <c r="I7087" i="2" s="1"/>
  <c r="I7088" i="2" a="1"/>
  <c r="I7088" i="2" s="1"/>
  <c r="I7089" i="2" a="1"/>
  <c r="I7089" i="2" s="1"/>
  <c r="I7090" i="2" a="1"/>
  <c r="I7090" i="2" s="1"/>
  <c r="I7091" i="2" a="1"/>
  <c r="I7091" i="2" s="1"/>
  <c r="I7092" i="2" a="1"/>
  <c r="I7092" i="2" s="1"/>
  <c r="I7093" i="2" a="1"/>
  <c r="I7093" i="2" s="1"/>
  <c r="I7094" i="2" a="1"/>
  <c r="I7094" i="2" s="1"/>
  <c r="I7095" i="2" a="1"/>
  <c r="I7095" i="2" s="1"/>
  <c r="I7096" i="2" a="1"/>
  <c r="I7096" i="2" s="1"/>
  <c r="I7097" i="2" a="1"/>
  <c r="I7097" i="2" s="1"/>
  <c r="I7098" i="2" a="1"/>
  <c r="I7098" i="2" s="1"/>
  <c r="I7099" i="2" a="1"/>
  <c r="I7099" i="2" s="1"/>
  <c r="I7100" i="2" a="1"/>
  <c r="I7100" i="2" s="1"/>
  <c r="I7101" i="2" a="1"/>
  <c r="I7101" i="2" s="1"/>
  <c r="I7102" i="2" a="1"/>
  <c r="I7102" i="2" s="1"/>
  <c r="I7103" i="2" a="1"/>
  <c r="I7103" i="2" s="1"/>
  <c r="I7104" i="2" a="1"/>
  <c r="I7104" i="2" s="1"/>
  <c r="I7105" i="2" a="1"/>
  <c r="I7105" i="2" s="1"/>
  <c r="I7106" i="2" a="1"/>
  <c r="I7106" i="2" s="1"/>
  <c r="I7107" i="2" a="1"/>
  <c r="I7107" i="2" s="1"/>
  <c r="I7108" i="2" a="1"/>
  <c r="I7108" i="2" s="1"/>
  <c r="I7109" i="2" a="1"/>
  <c r="I7109" i="2" s="1"/>
  <c r="I7110" i="2" a="1"/>
  <c r="I7110" i="2" s="1"/>
  <c r="I7111" i="2" a="1"/>
  <c r="I7111" i="2" s="1"/>
  <c r="I7112" i="2" a="1"/>
  <c r="I7112" i="2" s="1"/>
  <c r="I7113" i="2" a="1"/>
  <c r="I7113" i="2" s="1"/>
  <c r="I7114" i="2" a="1"/>
  <c r="I7114" i="2" s="1"/>
  <c r="I7115" i="2" a="1"/>
  <c r="I7115" i="2" s="1"/>
  <c r="I7116" i="2" a="1"/>
  <c r="I7116" i="2" s="1"/>
  <c r="I7117" i="2" a="1"/>
  <c r="I7117" i="2" s="1"/>
  <c r="I7118" i="2" a="1"/>
  <c r="I7118" i="2" s="1"/>
  <c r="I7119" i="2" a="1"/>
  <c r="I7119" i="2" s="1"/>
  <c r="I7120" i="2" a="1"/>
  <c r="I7120" i="2" s="1"/>
  <c r="I7121" i="2" a="1"/>
  <c r="I7121" i="2" s="1"/>
  <c r="I7122" i="2" a="1"/>
  <c r="I7122" i="2" s="1"/>
  <c r="I7123" i="2" a="1"/>
  <c r="I7123" i="2" s="1"/>
  <c r="I7124" i="2" a="1"/>
  <c r="I7124" i="2" s="1"/>
  <c r="I7125" i="2" a="1"/>
  <c r="I7125" i="2" s="1"/>
  <c r="I7126" i="2" a="1"/>
  <c r="I7126" i="2" s="1"/>
  <c r="I7127" i="2" a="1"/>
  <c r="I7127" i="2" s="1"/>
  <c r="I7128" i="2" a="1"/>
  <c r="I7128" i="2" s="1"/>
  <c r="I7129" i="2" a="1"/>
  <c r="I7129" i="2" s="1"/>
  <c r="I7130" i="2" a="1"/>
  <c r="I7130" i="2" s="1"/>
  <c r="I7131" i="2" a="1"/>
  <c r="I7131" i="2" s="1"/>
  <c r="I7132" i="2" a="1"/>
  <c r="I7132" i="2" s="1"/>
  <c r="I7133" i="2" a="1"/>
  <c r="I7133" i="2" s="1"/>
  <c r="I7134" i="2" a="1"/>
  <c r="I7134" i="2" s="1"/>
  <c r="I7135" i="2" a="1"/>
  <c r="I7135" i="2" s="1"/>
  <c r="I7136" i="2" a="1"/>
  <c r="I7136" i="2" s="1"/>
  <c r="I7137" i="2" a="1"/>
  <c r="I7137" i="2" s="1"/>
  <c r="I7138" i="2" a="1"/>
  <c r="I7138" i="2" s="1"/>
  <c r="I7139" i="2" a="1"/>
  <c r="I7139" i="2" s="1"/>
  <c r="I7140" i="2" a="1"/>
  <c r="I7140" i="2" s="1"/>
  <c r="I7141" i="2" a="1"/>
  <c r="I7141" i="2" s="1"/>
  <c r="I7142" i="2" a="1"/>
  <c r="I7142" i="2" s="1"/>
  <c r="I7143" i="2" a="1"/>
  <c r="I7143" i="2" s="1"/>
  <c r="I7144" i="2" a="1"/>
  <c r="I7144" i="2" s="1"/>
  <c r="I7145" i="2" a="1"/>
  <c r="I7145" i="2" s="1"/>
  <c r="I7146" i="2" a="1"/>
  <c r="I7146" i="2" s="1"/>
  <c r="I7147" i="2" a="1"/>
  <c r="I7147" i="2" s="1"/>
  <c r="I7148" i="2" a="1"/>
  <c r="I7148" i="2" s="1"/>
  <c r="I7149" i="2" a="1"/>
  <c r="I7149" i="2" s="1"/>
  <c r="I7150" i="2" a="1"/>
  <c r="I7150" i="2" s="1"/>
  <c r="I7151" i="2" a="1"/>
  <c r="I7151" i="2" s="1"/>
  <c r="I7152" i="2" a="1"/>
  <c r="I7152" i="2" s="1"/>
  <c r="I7153" i="2" a="1"/>
  <c r="I7153" i="2" s="1"/>
  <c r="I7154" i="2" a="1"/>
  <c r="I7154" i="2" s="1"/>
  <c r="I7155" i="2" a="1"/>
  <c r="I7155" i="2" s="1"/>
  <c r="I7156" i="2" a="1"/>
  <c r="I7156" i="2" s="1"/>
  <c r="I7157" i="2" a="1"/>
  <c r="I7157" i="2" s="1"/>
  <c r="I7158" i="2" a="1"/>
  <c r="I7158" i="2" s="1"/>
  <c r="I7159" i="2" a="1"/>
  <c r="I7159" i="2" s="1"/>
  <c r="I7160" i="2" a="1"/>
  <c r="I7160" i="2" s="1"/>
  <c r="I7161" i="2" a="1"/>
  <c r="I7161" i="2" s="1"/>
  <c r="I7162" i="2" a="1"/>
  <c r="I7162" i="2" s="1"/>
  <c r="I7163" i="2" a="1"/>
  <c r="I7163" i="2" s="1"/>
  <c r="I7164" i="2" a="1"/>
  <c r="I7164" i="2" s="1"/>
  <c r="I7165" i="2" a="1"/>
  <c r="I7165" i="2" s="1"/>
  <c r="I7166" i="2" a="1"/>
  <c r="I7166" i="2" s="1"/>
  <c r="I7167" i="2" a="1"/>
  <c r="I7167" i="2" s="1"/>
  <c r="I7168" i="2" a="1"/>
  <c r="I7168" i="2" s="1"/>
  <c r="I7169" i="2" a="1"/>
  <c r="I7169" i="2" s="1"/>
  <c r="I7170" i="2" a="1"/>
  <c r="I7170" i="2" s="1"/>
  <c r="I7171" i="2" a="1"/>
  <c r="I7171" i="2" s="1"/>
  <c r="I7172" i="2" a="1"/>
  <c r="I7172" i="2" s="1"/>
  <c r="I7173" i="2" a="1"/>
  <c r="I7173" i="2" s="1"/>
  <c r="I7174" i="2" a="1"/>
  <c r="I7174" i="2" s="1"/>
  <c r="I7175" i="2" a="1"/>
  <c r="I7175" i="2" s="1"/>
  <c r="I7176" i="2" a="1"/>
  <c r="I7176" i="2" s="1"/>
  <c r="I7177" i="2" a="1"/>
  <c r="I7177" i="2" s="1"/>
  <c r="I7178" i="2" a="1"/>
  <c r="I7178" i="2" s="1"/>
  <c r="I7179" i="2" a="1"/>
  <c r="I7179" i="2" s="1"/>
  <c r="I7180" i="2" a="1"/>
  <c r="I7180" i="2" s="1"/>
  <c r="I7181" i="2" a="1"/>
  <c r="I7181" i="2" s="1"/>
  <c r="I7182" i="2" a="1"/>
  <c r="I7182" i="2" s="1"/>
  <c r="I7183" i="2" a="1"/>
  <c r="I7183" i="2" s="1"/>
  <c r="I7184" i="2" a="1"/>
  <c r="I7184" i="2" s="1"/>
  <c r="I7185" i="2" a="1"/>
  <c r="I7185" i="2" s="1"/>
  <c r="I7186" i="2" a="1"/>
  <c r="I7186" i="2" s="1"/>
  <c r="I7187" i="2" a="1"/>
  <c r="I7187" i="2" s="1"/>
  <c r="I7188" i="2" a="1"/>
  <c r="I7188" i="2" s="1"/>
  <c r="I7189" i="2" a="1"/>
  <c r="I7189" i="2" s="1"/>
  <c r="I7190" i="2" a="1"/>
  <c r="I7190" i="2" s="1"/>
  <c r="I7191" i="2" a="1"/>
  <c r="I7191" i="2" s="1"/>
  <c r="I7192" i="2" a="1"/>
  <c r="I7192" i="2" s="1"/>
  <c r="I7193" i="2" a="1"/>
  <c r="I7193" i="2" s="1"/>
  <c r="I7194" i="2" a="1"/>
  <c r="I7194" i="2" s="1"/>
  <c r="I7195" i="2" a="1"/>
  <c r="I7195" i="2" s="1"/>
  <c r="I7196" i="2" a="1"/>
  <c r="I7196" i="2" s="1"/>
  <c r="I7197" i="2" a="1"/>
  <c r="I7197" i="2" s="1"/>
  <c r="I7198" i="2" a="1"/>
  <c r="I7198" i="2" s="1"/>
  <c r="I7199" i="2" a="1"/>
  <c r="I7199" i="2" s="1"/>
  <c r="I7200" i="2" a="1"/>
  <c r="I7200" i="2" s="1"/>
  <c r="I7201" i="2" a="1"/>
  <c r="I7201" i="2" s="1"/>
  <c r="I7202" i="2" a="1"/>
  <c r="I7202" i="2" s="1"/>
  <c r="I7203" i="2" a="1"/>
  <c r="I7203" i="2" s="1"/>
  <c r="I7204" i="2" a="1"/>
  <c r="I7204" i="2" s="1"/>
  <c r="I7205" i="2" a="1"/>
  <c r="I7205" i="2" s="1"/>
  <c r="I7206" i="2" a="1"/>
  <c r="I7206" i="2" s="1"/>
  <c r="I7207" i="2" a="1"/>
  <c r="I7207" i="2" s="1"/>
  <c r="I7208" i="2" a="1"/>
  <c r="I7208" i="2" s="1"/>
  <c r="I7209" i="2" a="1"/>
  <c r="I7209" i="2" s="1"/>
  <c r="I7210" i="2" a="1"/>
  <c r="I7210" i="2" s="1"/>
  <c r="I7211" i="2" a="1"/>
  <c r="I7211" i="2" s="1"/>
  <c r="I7212" i="2" a="1"/>
  <c r="I7212" i="2" s="1"/>
  <c r="I7213" i="2" a="1"/>
  <c r="I7213" i="2" s="1"/>
  <c r="I7214" i="2" a="1"/>
  <c r="I7214" i="2" s="1"/>
  <c r="I7215" i="2" a="1"/>
  <c r="I7215" i="2" s="1"/>
  <c r="I7216" i="2" a="1"/>
  <c r="I7216" i="2" s="1"/>
  <c r="I7217" i="2" a="1"/>
  <c r="I7217" i="2" s="1"/>
  <c r="I7218" i="2" a="1"/>
  <c r="I7218" i="2" s="1"/>
  <c r="I7219" i="2" a="1"/>
  <c r="I7219" i="2" s="1"/>
  <c r="I7220" i="2" a="1"/>
  <c r="I7220" i="2" s="1"/>
  <c r="I7221" i="2" a="1"/>
  <c r="I7221" i="2" s="1"/>
  <c r="I7222" i="2" a="1"/>
  <c r="I7222" i="2" s="1"/>
  <c r="I7223" i="2" a="1"/>
  <c r="I7223" i="2" s="1"/>
  <c r="I7224" i="2" a="1"/>
  <c r="I7224" i="2" s="1"/>
  <c r="I7225" i="2" a="1"/>
  <c r="I7225" i="2" s="1"/>
  <c r="I7226" i="2" a="1"/>
  <c r="I7226" i="2" s="1"/>
  <c r="I7227" i="2" a="1"/>
  <c r="I7227" i="2" s="1"/>
  <c r="I7228" i="2" a="1"/>
  <c r="I7228" i="2" s="1"/>
  <c r="I7229" i="2" a="1"/>
  <c r="I7229" i="2" s="1"/>
  <c r="I7230" i="2" a="1"/>
  <c r="I7230" i="2" s="1"/>
  <c r="I7231" i="2" a="1"/>
  <c r="I7231" i="2" s="1"/>
  <c r="I7232" i="2" a="1"/>
  <c r="I7232" i="2" s="1"/>
  <c r="I7233" i="2" a="1"/>
  <c r="I7233" i="2" s="1"/>
  <c r="I7234" i="2" a="1"/>
  <c r="I7234" i="2" s="1"/>
  <c r="I7235" i="2" a="1"/>
  <c r="I7235" i="2" s="1"/>
  <c r="I7236" i="2" a="1"/>
  <c r="I7236" i="2" s="1"/>
  <c r="I7237" i="2" a="1"/>
  <c r="I7237" i="2" s="1"/>
  <c r="I7238" i="2" a="1"/>
  <c r="I7238" i="2" s="1"/>
  <c r="I7239" i="2" a="1"/>
  <c r="I7239" i="2" s="1"/>
  <c r="I7240" i="2" a="1"/>
  <c r="I7240" i="2" s="1"/>
  <c r="I7241" i="2" a="1"/>
  <c r="I7241" i="2" s="1"/>
  <c r="I7242" i="2" a="1"/>
  <c r="I7242" i="2" s="1"/>
  <c r="I7243" i="2" a="1"/>
  <c r="I7243" i="2" s="1"/>
  <c r="I7244" i="2" a="1"/>
  <c r="I7244" i="2" s="1"/>
  <c r="I7245" i="2" a="1"/>
  <c r="I7245" i="2" s="1"/>
  <c r="I7246" i="2" a="1"/>
  <c r="I7246" i="2" s="1"/>
  <c r="I7247" i="2" a="1"/>
  <c r="I7247" i="2" s="1"/>
  <c r="I7248" i="2" a="1"/>
  <c r="I7248" i="2" s="1"/>
  <c r="I7249" i="2" a="1"/>
  <c r="I7249" i="2" s="1"/>
  <c r="I7250" i="2" a="1"/>
  <c r="I7250" i="2" s="1"/>
  <c r="I7251" i="2" a="1"/>
  <c r="I7251" i="2" s="1"/>
  <c r="I7252" i="2" a="1"/>
  <c r="I7252" i="2" s="1"/>
  <c r="I7253" i="2" a="1"/>
  <c r="I7253" i="2" s="1"/>
  <c r="I7254" i="2" a="1"/>
  <c r="I7254" i="2" s="1"/>
  <c r="I7255" i="2" a="1"/>
  <c r="I7255" i="2" s="1"/>
  <c r="I7256" i="2" a="1"/>
  <c r="I7256" i="2" s="1"/>
  <c r="I7257" i="2" a="1"/>
  <c r="I7257" i="2" s="1"/>
  <c r="I7258" i="2" a="1"/>
  <c r="I7258" i="2" s="1"/>
  <c r="I7259" i="2" a="1"/>
  <c r="I7259" i="2" s="1"/>
  <c r="I7260" i="2" a="1"/>
  <c r="I7260" i="2" s="1"/>
  <c r="I7261" i="2" a="1"/>
  <c r="I7261" i="2" s="1"/>
  <c r="I7262" i="2" a="1"/>
  <c r="I7262" i="2" s="1"/>
  <c r="I7263" i="2" a="1"/>
  <c r="I7263" i="2" s="1"/>
  <c r="I7264" i="2" a="1"/>
  <c r="I7264" i="2" s="1"/>
  <c r="I7265" i="2" a="1"/>
  <c r="I7265" i="2" s="1"/>
  <c r="I7266" i="2" a="1"/>
  <c r="I7266" i="2" s="1"/>
  <c r="I7267" i="2" a="1"/>
  <c r="I7267" i="2" s="1"/>
  <c r="I7268" i="2" a="1"/>
  <c r="I7268" i="2" s="1"/>
  <c r="I7269" i="2" a="1"/>
  <c r="I7269" i="2" s="1"/>
  <c r="I7270" i="2" a="1"/>
  <c r="I7270" i="2" s="1"/>
  <c r="I7271" i="2" a="1"/>
  <c r="I7271" i="2" s="1"/>
  <c r="I7272" i="2" a="1"/>
  <c r="I7272" i="2" s="1"/>
  <c r="I7273" i="2" a="1"/>
  <c r="I7273" i="2" s="1"/>
  <c r="I7274" i="2" a="1"/>
  <c r="I7274" i="2" s="1"/>
  <c r="I7275" i="2" a="1"/>
  <c r="I7275" i="2" s="1"/>
  <c r="I7276" i="2" a="1"/>
  <c r="I7276" i="2" s="1"/>
  <c r="I7277" i="2" a="1"/>
  <c r="I7277" i="2" s="1"/>
  <c r="I7278" i="2" a="1"/>
  <c r="I7278" i="2" s="1"/>
  <c r="I7279" i="2" a="1"/>
  <c r="I7279" i="2" s="1"/>
  <c r="I7280" i="2" a="1"/>
  <c r="I7280" i="2" s="1"/>
  <c r="I7281" i="2" a="1"/>
  <c r="I7281" i="2" s="1"/>
  <c r="I7282" i="2" a="1"/>
  <c r="I7282" i="2" s="1"/>
  <c r="I7283" i="2" a="1"/>
  <c r="I7283" i="2" s="1"/>
  <c r="I7284" i="2" a="1"/>
  <c r="I7284" i="2" s="1"/>
  <c r="I7285" i="2" a="1"/>
  <c r="I7285" i="2" s="1"/>
  <c r="I7286" i="2" a="1"/>
  <c r="I7286" i="2" s="1"/>
  <c r="I7287" i="2" a="1"/>
  <c r="I7287" i="2" s="1"/>
  <c r="I7288" i="2" a="1"/>
  <c r="I7288" i="2" s="1"/>
  <c r="I7289" i="2" a="1"/>
  <c r="I7289" i="2" s="1"/>
  <c r="I7290" i="2" a="1"/>
  <c r="I7290" i="2" s="1"/>
  <c r="I7291" i="2" a="1"/>
  <c r="I7291" i="2" s="1"/>
  <c r="I7292" i="2" a="1"/>
  <c r="I7292" i="2" s="1"/>
  <c r="I7293" i="2" a="1"/>
  <c r="I7293" i="2" s="1"/>
  <c r="I7294" i="2" a="1"/>
  <c r="I7294" i="2" s="1"/>
  <c r="I7295" i="2" a="1"/>
  <c r="I7295" i="2" s="1"/>
  <c r="I7296" i="2" a="1"/>
  <c r="I7296" i="2" s="1"/>
  <c r="I7297" i="2" a="1"/>
  <c r="I7297" i="2" s="1"/>
  <c r="I7298" i="2" a="1"/>
  <c r="I7298" i="2" s="1"/>
  <c r="I7299" i="2" a="1"/>
  <c r="I7299" i="2" s="1"/>
  <c r="I7300" i="2" a="1"/>
  <c r="I7300" i="2" s="1"/>
  <c r="I7301" i="2" a="1"/>
  <c r="I7301" i="2" s="1"/>
  <c r="I7302" i="2" a="1"/>
  <c r="I7302" i="2" s="1"/>
  <c r="I7303" i="2" a="1"/>
  <c r="I7303" i="2" s="1"/>
  <c r="I7304" i="2" a="1"/>
  <c r="I7304" i="2" s="1"/>
  <c r="I7305" i="2" a="1"/>
  <c r="I7305" i="2" s="1"/>
  <c r="I7306" i="2" a="1"/>
  <c r="I7306" i="2" s="1"/>
  <c r="I7307" i="2" a="1"/>
  <c r="I7307" i="2" s="1"/>
  <c r="I7308" i="2" a="1"/>
  <c r="I7308" i="2" s="1"/>
  <c r="I7309" i="2" a="1"/>
  <c r="I7309" i="2" s="1"/>
  <c r="I7310" i="2" a="1"/>
  <c r="I7310" i="2" s="1"/>
  <c r="I7311" i="2" a="1"/>
  <c r="I7311" i="2" s="1"/>
  <c r="I7312" i="2" a="1"/>
  <c r="I7312" i="2" s="1"/>
  <c r="I7313" i="2" a="1"/>
  <c r="I7313" i="2" s="1"/>
  <c r="I7314" i="2" a="1"/>
  <c r="I7314" i="2" s="1"/>
  <c r="I7315" i="2" a="1"/>
  <c r="I7315" i="2" s="1"/>
  <c r="I7316" i="2" a="1"/>
  <c r="I7316" i="2" s="1"/>
  <c r="I7317" i="2" a="1"/>
  <c r="I7317" i="2" s="1"/>
  <c r="I7318" i="2" a="1"/>
  <c r="I7318" i="2" s="1"/>
  <c r="I7319" i="2" a="1"/>
  <c r="I7319" i="2" s="1"/>
  <c r="I7320" i="2" a="1"/>
  <c r="I7320" i="2" s="1"/>
  <c r="I7321" i="2" a="1"/>
  <c r="I7321" i="2" s="1"/>
  <c r="I7322" i="2" a="1"/>
  <c r="I7322" i="2" s="1"/>
  <c r="I7323" i="2" a="1"/>
  <c r="I7323" i="2" s="1"/>
  <c r="I7324" i="2" a="1"/>
  <c r="I7324" i="2" s="1"/>
  <c r="I7325" i="2" a="1"/>
  <c r="I7325" i="2" s="1"/>
  <c r="I7326" i="2" a="1"/>
  <c r="I7326" i="2" s="1"/>
  <c r="I7327" i="2" a="1"/>
  <c r="I7327" i="2" s="1"/>
  <c r="I7328" i="2" a="1"/>
  <c r="I7328" i="2" s="1"/>
  <c r="I7329" i="2" a="1"/>
  <c r="I7329" i="2" s="1"/>
  <c r="I7330" i="2" a="1"/>
  <c r="I7330" i="2" s="1"/>
  <c r="I7331" i="2" a="1"/>
  <c r="I7331" i="2" s="1"/>
  <c r="I7332" i="2" a="1"/>
  <c r="I7332" i="2" s="1"/>
  <c r="I7333" i="2" a="1"/>
  <c r="I7333" i="2" s="1"/>
  <c r="I7334" i="2" a="1"/>
  <c r="I7334" i="2" s="1"/>
  <c r="I7335" i="2" a="1"/>
  <c r="I7335" i="2" s="1"/>
  <c r="I7336" i="2" a="1"/>
  <c r="I7336" i="2" s="1"/>
  <c r="I7337" i="2" a="1"/>
  <c r="I7337" i="2" s="1"/>
  <c r="I7338" i="2" a="1"/>
  <c r="I7338" i="2" s="1"/>
  <c r="I7339" i="2" a="1"/>
  <c r="I7339" i="2" s="1"/>
  <c r="I7340" i="2" a="1"/>
  <c r="I7340" i="2" s="1"/>
  <c r="I7341" i="2" a="1"/>
  <c r="I7341" i="2" s="1"/>
  <c r="I7342" i="2" a="1"/>
  <c r="I7342" i="2" s="1"/>
  <c r="I7343" i="2" a="1"/>
  <c r="I7343" i="2" s="1"/>
  <c r="I7344" i="2" a="1"/>
  <c r="I7344" i="2" s="1"/>
  <c r="I7345" i="2" a="1"/>
  <c r="I7345" i="2" s="1"/>
  <c r="I7346" i="2" a="1"/>
  <c r="I7346" i="2" s="1"/>
  <c r="I7347" i="2" a="1"/>
  <c r="I7347" i="2" s="1"/>
  <c r="I7348" i="2" a="1"/>
  <c r="I7348" i="2" s="1"/>
  <c r="I7349" i="2" a="1"/>
  <c r="I7349" i="2" s="1"/>
  <c r="I7350" i="2" a="1"/>
  <c r="I7350" i="2" s="1"/>
  <c r="I7351" i="2" a="1"/>
  <c r="I7351" i="2" s="1"/>
  <c r="I7352" i="2" a="1"/>
  <c r="I7352" i="2" s="1"/>
  <c r="I7353" i="2" a="1"/>
  <c r="I7353" i="2" s="1"/>
  <c r="I7354" i="2" a="1"/>
  <c r="I7354" i="2" s="1"/>
  <c r="I7355" i="2" a="1"/>
  <c r="I7355" i="2" s="1"/>
  <c r="I7356" i="2" a="1"/>
  <c r="I7356" i="2" s="1"/>
  <c r="I7357" i="2" a="1"/>
  <c r="I7357" i="2" s="1"/>
  <c r="I7358" i="2" a="1"/>
  <c r="I7358" i="2" s="1"/>
  <c r="I7359" i="2" a="1"/>
  <c r="I7359" i="2" s="1"/>
  <c r="I7360" i="2" a="1"/>
  <c r="I7360" i="2" s="1"/>
  <c r="I7361" i="2" a="1"/>
  <c r="I7361" i="2" s="1"/>
  <c r="I7362" i="2" a="1"/>
  <c r="I7362" i="2" s="1"/>
  <c r="I7363" i="2" a="1"/>
  <c r="I7363" i="2" s="1"/>
  <c r="I7364" i="2" a="1"/>
  <c r="I7364" i="2" s="1"/>
  <c r="I7365" i="2" a="1"/>
  <c r="I7365" i="2" s="1"/>
  <c r="I7366" i="2" a="1"/>
  <c r="I7366" i="2" s="1"/>
  <c r="I7367" i="2" a="1"/>
  <c r="I7367" i="2" s="1"/>
  <c r="I7368" i="2" a="1"/>
  <c r="I7368" i="2" s="1"/>
  <c r="I7369" i="2" a="1"/>
  <c r="I7369" i="2" s="1"/>
  <c r="I7370" i="2" a="1"/>
  <c r="I7370" i="2" s="1"/>
  <c r="I7371" i="2" a="1"/>
  <c r="I7371" i="2" s="1"/>
  <c r="I7372" i="2" a="1"/>
  <c r="I7372" i="2" s="1"/>
  <c r="I7373" i="2" a="1"/>
  <c r="I7373" i="2" s="1"/>
  <c r="I7374" i="2" a="1"/>
  <c r="I7374" i="2" s="1"/>
  <c r="I7375" i="2" a="1"/>
  <c r="I7375" i="2" s="1"/>
  <c r="I7376" i="2" a="1"/>
  <c r="I7376" i="2" s="1"/>
  <c r="I7377" i="2" a="1"/>
  <c r="I7377" i="2" s="1"/>
  <c r="I7378" i="2" a="1"/>
  <c r="I7378" i="2" s="1"/>
  <c r="I7379" i="2" a="1"/>
  <c r="I7379" i="2" s="1"/>
  <c r="I7380" i="2" a="1"/>
  <c r="I7380" i="2" s="1"/>
  <c r="I7381" i="2" a="1"/>
  <c r="I7381" i="2" s="1"/>
  <c r="I7382" i="2" a="1"/>
  <c r="I7382" i="2" s="1"/>
  <c r="I7383" i="2" a="1"/>
  <c r="I7383" i="2" s="1"/>
  <c r="I7384" i="2" a="1"/>
  <c r="I7384" i="2" s="1"/>
  <c r="I7385" i="2" a="1"/>
  <c r="I7385" i="2" s="1"/>
  <c r="I7386" i="2" a="1"/>
  <c r="I7386" i="2" s="1"/>
  <c r="I7387" i="2" a="1"/>
  <c r="I7387" i="2" s="1"/>
  <c r="I7388" i="2" a="1"/>
  <c r="I7388" i="2" s="1"/>
  <c r="I7389" i="2" a="1"/>
  <c r="I7389" i="2" s="1"/>
  <c r="I7390" i="2" a="1"/>
  <c r="I7390" i="2" s="1"/>
  <c r="I7391" i="2" a="1"/>
  <c r="I7391" i="2" s="1"/>
  <c r="I7392" i="2" a="1"/>
  <c r="I7392" i="2" s="1"/>
  <c r="I7393" i="2" a="1"/>
  <c r="I7393" i="2" s="1"/>
  <c r="I7394" i="2" a="1"/>
  <c r="I7394" i="2" s="1"/>
  <c r="I7395" i="2" a="1"/>
  <c r="I7395" i="2" s="1"/>
  <c r="I7396" i="2" a="1"/>
  <c r="I7396" i="2" s="1"/>
  <c r="I7397" i="2" a="1"/>
  <c r="I7397" i="2" s="1"/>
  <c r="I7398" i="2" a="1"/>
  <c r="I7398" i="2" s="1"/>
  <c r="I7399" i="2" a="1"/>
  <c r="I7399" i="2" s="1"/>
  <c r="I7400" i="2" a="1"/>
  <c r="I7400" i="2" s="1"/>
  <c r="I7401" i="2" a="1"/>
  <c r="I7401" i="2" s="1"/>
  <c r="I7402" i="2" a="1"/>
  <c r="I7402" i="2" s="1"/>
  <c r="I7403" i="2" a="1"/>
  <c r="I7403" i="2" s="1"/>
  <c r="I7404" i="2" a="1"/>
  <c r="I7404" i="2" s="1"/>
  <c r="I7405" i="2" a="1"/>
  <c r="I7405" i="2" s="1"/>
  <c r="I7406" i="2" a="1"/>
  <c r="I7406" i="2" s="1"/>
  <c r="I7407" i="2" a="1"/>
  <c r="I7407" i="2" s="1"/>
  <c r="I7408" i="2" a="1"/>
  <c r="I7408" i="2" s="1"/>
  <c r="I7409" i="2" a="1"/>
  <c r="I7409" i="2" s="1"/>
  <c r="I7410" i="2" a="1"/>
  <c r="I7410" i="2" s="1"/>
  <c r="I7411" i="2" a="1"/>
  <c r="I7411" i="2" s="1"/>
  <c r="I7412" i="2" a="1"/>
  <c r="I7412" i="2" s="1"/>
  <c r="I7413" i="2" a="1"/>
  <c r="I7413" i="2" s="1"/>
  <c r="I7414" i="2" a="1"/>
  <c r="I7414" i="2" s="1"/>
  <c r="I7415" i="2" a="1"/>
  <c r="I7415" i="2" s="1"/>
  <c r="I7416" i="2" a="1"/>
  <c r="I7416" i="2" s="1"/>
  <c r="I7417" i="2" a="1"/>
  <c r="I7417" i="2" s="1"/>
  <c r="I7418" i="2" a="1"/>
  <c r="I7418" i="2" s="1"/>
  <c r="I7419" i="2" a="1"/>
  <c r="I7419" i="2" s="1"/>
  <c r="I7420" i="2" a="1"/>
  <c r="I7420" i="2" s="1"/>
  <c r="I7421" i="2" a="1"/>
  <c r="I7421" i="2" s="1"/>
  <c r="I7422" i="2" a="1"/>
  <c r="I7422" i="2" s="1"/>
  <c r="I7423" i="2" a="1"/>
  <c r="I7423" i="2" s="1"/>
  <c r="I7424" i="2" a="1"/>
  <c r="I7424" i="2" s="1"/>
  <c r="I7425" i="2" a="1"/>
  <c r="I7425" i="2" s="1"/>
  <c r="I7426" i="2" a="1"/>
  <c r="I7426" i="2" s="1"/>
  <c r="I7427" i="2" a="1"/>
  <c r="I7427" i="2" s="1"/>
  <c r="I7428" i="2" a="1"/>
  <c r="I7428" i="2" s="1"/>
  <c r="I7429" i="2" a="1"/>
  <c r="I7429" i="2" s="1"/>
  <c r="I7430" i="2" a="1"/>
  <c r="I7430" i="2" s="1"/>
  <c r="I7431" i="2" a="1"/>
  <c r="I7431" i="2" s="1"/>
  <c r="I7432" i="2" a="1"/>
  <c r="I7432" i="2" s="1"/>
  <c r="I7433" i="2" a="1"/>
  <c r="I7433" i="2" s="1"/>
  <c r="I7434" i="2" a="1"/>
  <c r="I7434" i="2" s="1"/>
  <c r="I7435" i="2" a="1"/>
  <c r="I7435" i="2" s="1"/>
  <c r="I7436" i="2" a="1"/>
  <c r="I7436" i="2" s="1"/>
  <c r="I7437" i="2" a="1"/>
  <c r="I7437" i="2" s="1"/>
  <c r="I7438" i="2" a="1"/>
  <c r="I7438" i="2" s="1"/>
  <c r="I7439" i="2" a="1"/>
  <c r="I7439" i="2" s="1"/>
  <c r="I7440" i="2" a="1"/>
  <c r="I7440" i="2" s="1"/>
  <c r="I7441" i="2" a="1"/>
  <c r="I7441" i="2" s="1"/>
  <c r="I7442" i="2" a="1"/>
  <c r="I7442" i="2" s="1"/>
  <c r="I7443" i="2" a="1"/>
  <c r="I7443" i="2" s="1"/>
  <c r="I7444" i="2" a="1"/>
  <c r="I7444" i="2" s="1"/>
  <c r="I7445" i="2" a="1"/>
  <c r="I7445" i="2" s="1"/>
  <c r="I7446" i="2" a="1"/>
  <c r="I7446" i="2" s="1"/>
  <c r="I7447" i="2" a="1"/>
  <c r="I7447" i="2" s="1"/>
  <c r="I7448" i="2" a="1"/>
  <c r="I7448" i="2" s="1"/>
  <c r="I7449" i="2" a="1"/>
  <c r="I7449" i="2" s="1"/>
  <c r="I7450" i="2" a="1"/>
  <c r="I7450" i="2" s="1"/>
  <c r="I7451" i="2" a="1"/>
  <c r="I7451" i="2" s="1"/>
  <c r="I7452" i="2" a="1"/>
  <c r="I7452" i="2" s="1"/>
  <c r="I7453" i="2" a="1"/>
  <c r="I7453" i="2" s="1"/>
  <c r="I7454" i="2" a="1"/>
  <c r="I7454" i="2" s="1"/>
  <c r="I7455" i="2" a="1"/>
  <c r="I7455" i="2" s="1"/>
  <c r="I7456" i="2" a="1"/>
  <c r="I7456" i="2" s="1"/>
  <c r="I7457" i="2" a="1"/>
  <c r="I7457" i="2" s="1"/>
  <c r="I7458" i="2" a="1"/>
  <c r="I7458" i="2" s="1"/>
  <c r="I7459" i="2" a="1"/>
  <c r="I7459" i="2" s="1"/>
  <c r="I7460" i="2" a="1"/>
  <c r="I7460" i="2" s="1"/>
  <c r="I7461" i="2" a="1"/>
  <c r="I7461" i="2" s="1"/>
  <c r="I7462" i="2" a="1"/>
  <c r="I7462" i="2" s="1"/>
  <c r="I7463" i="2" a="1"/>
  <c r="I7463" i="2" s="1"/>
  <c r="I7464" i="2" a="1"/>
  <c r="I7464" i="2" s="1"/>
  <c r="I7465" i="2" a="1"/>
  <c r="I7465" i="2" s="1"/>
  <c r="I7466" i="2" a="1"/>
  <c r="I7466" i="2" s="1"/>
  <c r="I7467" i="2" a="1"/>
  <c r="I7467" i="2" s="1"/>
  <c r="I7468" i="2" a="1"/>
  <c r="I7468" i="2" s="1"/>
  <c r="I7469" i="2" a="1"/>
  <c r="I7469" i="2" s="1"/>
  <c r="I7470" i="2" a="1"/>
  <c r="I7470" i="2" s="1"/>
  <c r="I7471" i="2" a="1"/>
  <c r="I7471" i="2" s="1"/>
  <c r="I7472" i="2" a="1"/>
  <c r="I7472" i="2" s="1"/>
  <c r="I7473" i="2" a="1"/>
  <c r="I7473" i="2" s="1"/>
  <c r="I7474" i="2" a="1"/>
  <c r="I7474" i="2" s="1"/>
  <c r="I7475" i="2" a="1"/>
  <c r="I7475" i="2" s="1"/>
  <c r="I7476" i="2" a="1"/>
  <c r="I7476" i="2" s="1"/>
  <c r="I7477" i="2" a="1"/>
  <c r="I7477" i="2" s="1"/>
  <c r="I7478" i="2" a="1"/>
  <c r="I7478" i="2" s="1"/>
  <c r="I7479" i="2" a="1"/>
  <c r="I7479" i="2" s="1"/>
  <c r="I7480" i="2" a="1"/>
  <c r="I7480" i="2" s="1"/>
  <c r="I7481" i="2" a="1"/>
  <c r="I7481" i="2" s="1"/>
  <c r="I7482" i="2" a="1"/>
  <c r="I7482" i="2" s="1"/>
  <c r="I7483" i="2" a="1"/>
  <c r="I7483" i="2" s="1"/>
  <c r="I7484" i="2" a="1"/>
  <c r="I7484" i="2" s="1"/>
  <c r="I7485" i="2" a="1"/>
  <c r="I7485" i="2" s="1"/>
  <c r="I7486" i="2" a="1"/>
  <c r="I7486" i="2" s="1"/>
  <c r="I7487" i="2" a="1"/>
  <c r="I7487" i="2" s="1"/>
  <c r="I7488" i="2" a="1"/>
  <c r="I7488" i="2" s="1"/>
  <c r="I7489" i="2" a="1"/>
  <c r="I7489" i="2" s="1"/>
  <c r="I7490" i="2" a="1"/>
  <c r="I7490" i="2" s="1"/>
  <c r="I7491" i="2" a="1"/>
  <c r="I7491" i="2" s="1"/>
  <c r="I7492" i="2" a="1"/>
  <c r="I7492" i="2" s="1"/>
  <c r="I7493" i="2" a="1"/>
  <c r="I7493" i="2" s="1"/>
  <c r="I7494" i="2" a="1"/>
  <c r="I7494" i="2" s="1"/>
  <c r="I7495" i="2" a="1"/>
  <c r="I7495" i="2" s="1"/>
  <c r="I7496" i="2" a="1"/>
  <c r="I7496" i="2" s="1"/>
  <c r="I7497" i="2" a="1"/>
  <c r="I7497" i="2" s="1"/>
  <c r="I7498" i="2" a="1"/>
  <c r="I7498" i="2" s="1"/>
  <c r="I7499" i="2" a="1"/>
  <c r="I7499" i="2" s="1"/>
  <c r="I7500" i="2" a="1"/>
  <c r="I7500" i="2" s="1"/>
  <c r="I7501" i="2" a="1"/>
  <c r="I7501" i="2" s="1"/>
  <c r="I7502" i="2" a="1"/>
  <c r="I7502" i="2" s="1"/>
  <c r="I7503" i="2" a="1"/>
  <c r="I7503" i="2" s="1"/>
  <c r="I7504" i="2" a="1"/>
  <c r="I7504" i="2" s="1"/>
  <c r="I7505" i="2" a="1"/>
  <c r="I7505" i="2" s="1"/>
  <c r="I7506" i="2" a="1"/>
  <c r="I7506" i="2" s="1"/>
  <c r="I7507" i="2" a="1"/>
  <c r="I7507" i="2" s="1"/>
  <c r="I7508" i="2" a="1"/>
  <c r="I7508" i="2" s="1"/>
  <c r="I7509" i="2" a="1"/>
  <c r="I7509" i="2" s="1"/>
  <c r="I7510" i="2" a="1"/>
  <c r="I7510" i="2" s="1"/>
  <c r="I7511" i="2" a="1"/>
  <c r="I7511" i="2" s="1"/>
  <c r="I7512" i="2" a="1"/>
  <c r="I7512" i="2" s="1"/>
  <c r="I7513" i="2" a="1"/>
  <c r="I7513" i="2" s="1"/>
  <c r="I7514" i="2" a="1"/>
  <c r="I7514" i="2" s="1"/>
  <c r="I7515" i="2" a="1"/>
  <c r="I7515" i="2" s="1"/>
  <c r="I7516" i="2" a="1"/>
  <c r="I7516" i="2" s="1"/>
  <c r="I7517" i="2" a="1"/>
  <c r="I7517" i="2" s="1"/>
  <c r="I7518" i="2" a="1"/>
  <c r="I7518" i="2" s="1"/>
  <c r="I7519" i="2" a="1"/>
  <c r="I7519" i="2" s="1"/>
  <c r="I7520" i="2" a="1"/>
  <c r="I7520" i="2" s="1"/>
  <c r="I7521" i="2" a="1"/>
  <c r="I7521" i="2" s="1"/>
  <c r="I7522" i="2" a="1"/>
  <c r="I7522" i="2" s="1"/>
  <c r="I7523" i="2" a="1"/>
  <c r="I7523" i="2" s="1"/>
  <c r="I7524" i="2" a="1"/>
  <c r="I7524" i="2" s="1"/>
  <c r="I7525" i="2" a="1"/>
  <c r="I7525" i="2" s="1"/>
  <c r="I7526" i="2" a="1"/>
  <c r="I7526" i="2" s="1"/>
  <c r="I7527" i="2" a="1"/>
  <c r="I7527" i="2" s="1"/>
  <c r="I7528" i="2" a="1"/>
  <c r="I7528" i="2" s="1"/>
  <c r="I7529" i="2" a="1"/>
  <c r="I7529" i="2" s="1"/>
  <c r="I7530" i="2" a="1"/>
  <c r="I7530" i="2" s="1"/>
  <c r="I7531" i="2" a="1"/>
  <c r="I7531" i="2" s="1"/>
  <c r="I7532" i="2" a="1"/>
  <c r="I7532" i="2" s="1"/>
  <c r="I7533" i="2" a="1"/>
  <c r="I7533" i="2" s="1"/>
  <c r="I7534" i="2" a="1"/>
  <c r="I7534" i="2" s="1"/>
  <c r="I7535" i="2" a="1"/>
  <c r="I7535" i="2" s="1"/>
  <c r="I7536" i="2" a="1"/>
  <c r="I7536" i="2" s="1"/>
  <c r="I7537" i="2" a="1"/>
  <c r="I7537" i="2" s="1"/>
  <c r="I7538" i="2" a="1"/>
  <c r="I7538" i="2" s="1"/>
  <c r="I7539" i="2" a="1"/>
  <c r="I7539" i="2" s="1"/>
  <c r="I7540" i="2" a="1"/>
  <c r="I7540" i="2" s="1"/>
  <c r="I7541" i="2" a="1"/>
  <c r="I7541" i="2" s="1"/>
  <c r="I7542" i="2" a="1"/>
  <c r="I7542" i="2" s="1"/>
  <c r="I7543" i="2" a="1"/>
  <c r="I7543" i="2" s="1"/>
  <c r="I7544" i="2" a="1"/>
  <c r="I7544" i="2" s="1"/>
  <c r="I7545" i="2" a="1"/>
  <c r="I7545" i="2" s="1"/>
  <c r="I7546" i="2" a="1"/>
  <c r="I7546" i="2" s="1"/>
  <c r="I7547" i="2" a="1"/>
  <c r="I7547" i="2" s="1"/>
  <c r="I7548" i="2" a="1"/>
  <c r="I7548" i="2" s="1"/>
  <c r="I7549" i="2" a="1"/>
  <c r="I7549" i="2" s="1"/>
  <c r="I7550" i="2" a="1"/>
  <c r="I7550" i="2" s="1"/>
  <c r="I7551" i="2" a="1"/>
  <c r="I7551" i="2" s="1"/>
  <c r="I7552" i="2" a="1"/>
  <c r="I7552" i="2" s="1"/>
  <c r="I7553" i="2" a="1"/>
  <c r="I7553" i="2" s="1"/>
  <c r="I7554" i="2" a="1"/>
  <c r="I7554" i="2" s="1"/>
  <c r="I7555" i="2" a="1"/>
  <c r="I7555" i="2" s="1"/>
  <c r="I7556" i="2" a="1"/>
  <c r="I7556" i="2" s="1"/>
  <c r="I7557" i="2" a="1"/>
  <c r="I7557" i="2" s="1"/>
  <c r="I7558" i="2" a="1"/>
  <c r="I7558" i="2" s="1"/>
  <c r="I7559" i="2" a="1"/>
  <c r="I7559" i="2" s="1"/>
  <c r="I7560" i="2" a="1"/>
  <c r="I7560" i="2" s="1"/>
  <c r="I7561" i="2" a="1"/>
  <c r="I7561" i="2" s="1"/>
  <c r="I7562" i="2" a="1"/>
  <c r="I7562" i="2" s="1"/>
  <c r="I7563" i="2" a="1"/>
  <c r="I7563" i="2" s="1"/>
  <c r="I7564" i="2" a="1"/>
  <c r="I7564" i="2" s="1"/>
  <c r="I7565" i="2" a="1"/>
  <c r="I7565" i="2" s="1"/>
  <c r="I7566" i="2" a="1"/>
  <c r="I7566" i="2" s="1"/>
  <c r="I7567" i="2" a="1"/>
  <c r="I7567" i="2" s="1"/>
  <c r="I7568" i="2" a="1"/>
  <c r="I7568" i="2" s="1"/>
  <c r="I7569" i="2" a="1"/>
  <c r="I7569" i="2" s="1"/>
  <c r="I7570" i="2" a="1"/>
  <c r="I7570" i="2" s="1"/>
  <c r="I7571" i="2" a="1"/>
  <c r="I7571" i="2" s="1"/>
  <c r="I7572" i="2" a="1"/>
  <c r="I7572" i="2" s="1"/>
  <c r="I7573" i="2" a="1"/>
  <c r="I7573" i="2" s="1"/>
  <c r="I7574" i="2" a="1"/>
  <c r="I7574" i="2" s="1"/>
  <c r="I7575" i="2" a="1"/>
  <c r="I7575" i="2" s="1"/>
  <c r="I7576" i="2" a="1"/>
  <c r="I7576" i="2" s="1"/>
  <c r="I7577" i="2" a="1"/>
  <c r="I7577" i="2" s="1"/>
  <c r="I7578" i="2" a="1"/>
  <c r="I7578" i="2" s="1"/>
  <c r="I7579" i="2" a="1"/>
  <c r="I7579" i="2" s="1"/>
  <c r="I7580" i="2" a="1"/>
  <c r="I7580" i="2" s="1"/>
  <c r="I7581" i="2" a="1"/>
  <c r="I7581" i="2" s="1"/>
  <c r="I7582" i="2" a="1"/>
  <c r="I7582" i="2" s="1"/>
  <c r="I7583" i="2" a="1"/>
  <c r="I7583" i="2" s="1"/>
  <c r="I7584" i="2" a="1"/>
  <c r="I7584" i="2" s="1"/>
  <c r="I7585" i="2" a="1"/>
  <c r="I7585" i="2" s="1"/>
  <c r="I7586" i="2" a="1"/>
  <c r="I7586" i="2" s="1"/>
  <c r="I7587" i="2" a="1"/>
  <c r="I7587" i="2" s="1"/>
  <c r="I7588" i="2" a="1"/>
  <c r="I7588" i="2" s="1"/>
  <c r="I7589" i="2" a="1"/>
  <c r="I7589" i="2" s="1"/>
  <c r="I7590" i="2" a="1"/>
  <c r="I7590" i="2" s="1"/>
  <c r="I7591" i="2" a="1"/>
  <c r="I7591" i="2" s="1"/>
  <c r="I7592" i="2" a="1"/>
  <c r="I7592" i="2" s="1"/>
  <c r="I7593" i="2" a="1"/>
  <c r="I7593" i="2" s="1"/>
  <c r="I7594" i="2" a="1"/>
  <c r="I7594" i="2" s="1"/>
  <c r="I7595" i="2" a="1"/>
  <c r="I7595" i="2" s="1"/>
  <c r="I7596" i="2" a="1"/>
  <c r="I7596" i="2" s="1"/>
  <c r="I7597" i="2" a="1"/>
  <c r="I7597" i="2" s="1"/>
  <c r="I7598" i="2" a="1"/>
  <c r="I7598" i="2" s="1"/>
  <c r="I7599" i="2" a="1"/>
  <c r="I7599" i="2" s="1"/>
  <c r="I7600" i="2" a="1"/>
  <c r="I7600" i="2" s="1"/>
  <c r="I7601" i="2" a="1"/>
  <c r="I7601" i="2" s="1"/>
  <c r="I7602" i="2" a="1"/>
  <c r="I7602" i="2" s="1"/>
  <c r="I7603" i="2" a="1"/>
  <c r="I7603" i="2" s="1"/>
  <c r="I7604" i="2" a="1"/>
  <c r="I7604" i="2" s="1"/>
  <c r="I7605" i="2" a="1"/>
  <c r="I7605" i="2" s="1"/>
  <c r="I7606" i="2" a="1"/>
  <c r="I7606" i="2" s="1"/>
  <c r="I7607" i="2" a="1"/>
  <c r="I7607" i="2" s="1"/>
  <c r="I7608" i="2" a="1"/>
  <c r="I7608" i="2" s="1"/>
  <c r="I7609" i="2" a="1"/>
  <c r="I7609" i="2" s="1"/>
  <c r="I7610" i="2" a="1"/>
  <c r="I7610" i="2" s="1"/>
  <c r="I7611" i="2" a="1"/>
  <c r="I7611" i="2" s="1"/>
  <c r="I7612" i="2" a="1"/>
  <c r="I7612" i="2" s="1"/>
  <c r="I7613" i="2" a="1"/>
  <c r="I7613" i="2" s="1"/>
  <c r="I7614" i="2" a="1"/>
  <c r="I7614" i="2" s="1"/>
  <c r="I7615" i="2" a="1"/>
  <c r="I7615" i="2" s="1"/>
  <c r="I7616" i="2" a="1"/>
  <c r="I7616" i="2" s="1"/>
  <c r="I7617" i="2" a="1"/>
  <c r="I7617" i="2" s="1"/>
  <c r="I7618" i="2" a="1"/>
  <c r="I7618" i="2" s="1"/>
  <c r="I7619" i="2" a="1"/>
  <c r="I7619" i="2" s="1"/>
  <c r="I7620" i="2" a="1"/>
  <c r="I7620" i="2" s="1"/>
  <c r="I7621" i="2" a="1"/>
  <c r="I7621" i="2" s="1"/>
  <c r="I7622" i="2" a="1"/>
  <c r="I7622" i="2" s="1"/>
  <c r="I7623" i="2" a="1"/>
  <c r="I7623" i="2" s="1"/>
  <c r="I7624" i="2" a="1"/>
  <c r="I7624" i="2" s="1"/>
  <c r="I7625" i="2" a="1"/>
  <c r="I7625" i="2" s="1"/>
  <c r="I7626" i="2" a="1"/>
  <c r="I7626" i="2" s="1"/>
  <c r="I7627" i="2" a="1"/>
  <c r="I7627" i="2" s="1"/>
  <c r="I7628" i="2" a="1"/>
  <c r="I7628" i="2" s="1"/>
  <c r="I7629" i="2" a="1"/>
  <c r="I7629" i="2" s="1"/>
  <c r="I7630" i="2" a="1"/>
  <c r="I7630" i="2" s="1"/>
  <c r="I7631" i="2" a="1"/>
  <c r="I7631" i="2" s="1"/>
  <c r="I7632" i="2" a="1"/>
  <c r="I7632" i="2" s="1"/>
  <c r="I7633" i="2" a="1"/>
  <c r="I7633" i="2" s="1"/>
  <c r="I7634" i="2" a="1"/>
  <c r="I7634" i="2" s="1"/>
  <c r="I7635" i="2" a="1"/>
  <c r="I7635" i="2" s="1"/>
  <c r="I7636" i="2" a="1"/>
  <c r="I7636" i="2" s="1"/>
  <c r="I7637" i="2" a="1"/>
  <c r="I7637" i="2" s="1"/>
  <c r="I7638" i="2" a="1"/>
  <c r="I7638" i="2" s="1"/>
  <c r="I7639" i="2" a="1"/>
  <c r="I7639" i="2" s="1"/>
  <c r="I7640" i="2" a="1"/>
  <c r="I7640" i="2" s="1"/>
  <c r="I7641" i="2" a="1"/>
  <c r="I7641" i="2" s="1"/>
  <c r="I7642" i="2" a="1"/>
  <c r="I7642" i="2" s="1"/>
  <c r="I7643" i="2" a="1"/>
  <c r="I7643" i="2" s="1"/>
  <c r="I7644" i="2" a="1"/>
  <c r="I7644" i="2" s="1"/>
  <c r="I7645" i="2" a="1"/>
  <c r="I7645" i="2" s="1"/>
  <c r="I7646" i="2" a="1"/>
  <c r="I7646" i="2" s="1"/>
  <c r="I7647" i="2" a="1"/>
  <c r="I7647" i="2" s="1"/>
  <c r="I7648" i="2" a="1"/>
  <c r="I7648" i="2" s="1"/>
  <c r="I7649" i="2" a="1"/>
  <c r="I7649" i="2" s="1"/>
  <c r="I7650" i="2" a="1"/>
  <c r="I7650" i="2" s="1"/>
  <c r="I7651" i="2" a="1"/>
  <c r="I7651" i="2" s="1"/>
  <c r="I7652" i="2" a="1"/>
  <c r="I7652" i="2" s="1"/>
  <c r="I7653" i="2" a="1"/>
  <c r="I7653" i="2" s="1"/>
  <c r="I7654" i="2" a="1"/>
  <c r="I7654" i="2" s="1"/>
  <c r="I7655" i="2" a="1"/>
  <c r="I7655" i="2" s="1"/>
  <c r="I7656" i="2" a="1"/>
  <c r="I7656" i="2" s="1"/>
  <c r="I7657" i="2" a="1"/>
  <c r="I7657" i="2" s="1"/>
  <c r="I7658" i="2" a="1"/>
  <c r="I7658" i="2" s="1"/>
  <c r="I7659" i="2" a="1"/>
  <c r="I7659" i="2" s="1"/>
  <c r="I7660" i="2" a="1"/>
  <c r="I7660" i="2" s="1"/>
  <c r="I7661" i="2" a="1"/>
  <c r="I7661" i="2" s="1"/>
  <c r="I7662" i="2" a="1"/>
  <c r="I7662" i="2" s="1"/>
  <c r="I7663" i="2" a="1"/>
  <c r="I7663" i="2" s="1"/>
  <c r="I7664" i="2" a="1"/>
  <c r="I7664" i="2" s="1"/>
  <c r="I7665" i="2" a="1"/>
  <c r="I7665" i="2" s="1"/>
  <c r="I7666" i="2" a="1"/>
  <c r="I7666" i="2" s="1"/>
  <c r="I7667" i="2" a="1"/>
  <c r="I7667" i="2" s="1"/>
  <c r="I7668" i="2" a="1"/>
  <c r="I7668" i="2" s="1"/>
  <c r="I7669" i="2" a="1"/>
  <c r="I7669" i="2" s="1"/>
  <c r="I7670" i="2" a="1"/>
  <c r="I7670" i="2" s="1"/>
  <c r="I7671" i="2" a="1"/>
  <c r="I7671" i="2" s="1"/>
  <c r="I7672" i="2" a="1"/>
  <c r="I7672" i="2" s="1"/>
  <c r="I7673" i="2" a="1"/>
  <c r="I7673" i="2" s="1"/>
  <c r="I7674" i="2" a="1"/>
  <c r="I7674" i="2" s="1"/>
  <c r="I7675" i="2" a="1"/>
  <c r="I7675" i="2" s="1"/>
  <c r="I7676" i="2" a="1"/>
  <c r="I7676" i="2" s="1"/>
  <c r="I7677" i="2" a="1"/>
  <c r="I7677" i="2" s="1"/>
  <c r="I7678" i="2" a="1"/>
  <c r="I7678" i="2" s="1"/>
  <c r="I7679" i="2" a="1"/>
  <c r="I7679" i="2" s="1"/>
  <c r="I7680" i="2" a="1"/>
  <c r="I7680" i="2" s="1"/>
  <c r="I7681" i="2" a="1"/>
  <c r="I7681" i="2" s="1"/>
  <c r="I7682" i="2" a="1"/>
  <c r="I7682" i="2" s="1"/>
  <c r="I7683" i="2" a="1"/>
  <c r="I7683" i="2" s="1"/>
  <c r="I7684" i="2" a="1"/>
  <c r="I7684" i="2" s="1"/>
  <c r="I7685" i="2" a="1"/>
  <c r="I7685" i="2" s="1"/>
  <c r="I7686" i="2" a="1"/>
  <c r="I7686" i="2" s="1"/>
  <c r="I7687" i="2" a="1"/>
  <c r="I7687" i="2" s="1"/>
  <c r="I7688" i="2" a="1"/>
  <c r="I7688" i="2" s="1"/>
  <c r="I7689" i="2" a="1"/>
  <c r="I7689" i="2" s="1"/>
  <c r="I7690" i="2" a="1"/>
  <c r="I7690" i="2" s="1"/>
  <c r="I7691" i="2" a="1"/>
  <c r="I7691" i="2" s="1"/>
  <c r="I7692" i="2" a="1"/>
  <c r="I7692" i="2" s="1"/>
  <c r="I7693" i="2" a="1"/>
  <c r="I7693" i="2" s="1"/>
  <c r="I7694" i="2" a="1"/>
  <c r="I7694" i="2" s="1"/>
  <c r="I7695" i="2" a="1"/>
  <c r="I7695" i="2" s="1"/>
  <c r="I7696" i="2" a="1"/>
  <c r="I7696" i="2" s="1"/>
  <c r="I7697" i="2" a="1"/>
  <c r="I7697" i="2" s="1"/>
  <c r="I7698" i="2" a="1"/>
  <c r="I7698" i="2" s="1"/>
  <c r="I7699" i="2" a="1"/>
  <c r="I7699" i="2" s="1"/>
  <c r="I7700" i="2" a="1"/>
  <c r="I7700" i="2" s="1"/>
  <c r="I7701" i="2" a="1"/>
  <c r="I7701" i="2" s="1"/>
  <c r="I7702" i="2" a="1"/>
  <c r="I7702" i="2" s="1"/>
  <c r="I7703" i="2" a="1"/>
  <c r="I7703" i="2" s="1"/>
  <c r="I7704" i="2" a="1"/>
  <c r="I7704" i="2" s="1"/>
  <c r="I7705" i="2" a="1"/>
  <c r="I7705" i="2" s="1"/>
  <c r="I7706" i="2" a="1"/>
  <c r="I7706" i="2" s="1"/>
  <c r="I7707" i="2" a="1"/>
  <c r="I7707" i="2" s="1"/>
  <c r="I7708" i="2" a="1"/>
  <c r="I7708" i="2" s="1"/>
  <c r="I7709" i="2" a="1"/>
  <c r="I7709" i="2" s="1"/>
  <c r="I7710" i="2" a="1"/>
  <c r="I7710" i="2" s="1"/>
  <c r="I7711" i="2" a="1"/>
  <c r="I7711" i="2" s="1"/>
  <c r="I7712" i="2" a="1"/>
  <c r="I7712" i="2" s="1"/>
  <c r="I7713" i="2" a="1"/>
  <c r="I7713" i="2" s="1"/>
  <c r="I7714" i="2" a="1"/>
  <c r="I7714" i="2" s="1"/>
  <c r="I7715" i="2" a="1"/>
  <c r="I7715" i="2" s="1"/>
  <c r="I7716" i="2" a="1"/>
  <c r="I7716" i="2" s="1"/>
  <c r="I7717" i="2" a="1"/>
  <c r="I7717" i="2" s="1"/>
  <c r="I7718" i="2" a="1"/>
  <c r="I7718" i="2" s="1"/>
  <c r="I7719" i="2" a="1"/>
  <c r="I7719" i="2" s="1"/>
  <c r="I7720" i="2" a="1"/>
  <c r="I7720" i="2" s="1"/>
  <c r="I7721" i="2" a="1"/>
  <c r="I7721" i="2" s="1"/>
  <c r="I7722" i="2" a="1"/>
  <c r="I7722" i="2" s="1"/>
  <c r="I7723" i="2" a="1"/>
  <c r="I7723" i="2" s="1"/>
  <c r="I7724" i="2" a="1"/>
  <c r="I7724" i="2" s="1"/>
  <c r="I7725" i="2" a="1"/>
  <c r="I7725" i="2" s="1"/>
  <c r="I7726" i="2" a="1"/>
  <c r="I7726" i="2" s="1"/>
  <c r="I7727" i="2" a="1"/>
  <c r="I7727" i="2" s="1"/>
  <c r="I7728" i="2" a="1"/>
  <c r="I7728" i="2" s="1"/>
  <c r="I7729" i="2" a="1"/>
  <c r="I7729" i="2" s="1"/>
  <c r="I7730" i="2" a="1"/>
  <c r="I7730" i="2" s="1"/>
  <c r="I7731" i="2" a="1"/>
  <c r="I7731" i="2" s="1"/>
  <c r="I7732" i="2" a="1"/>
  <c r="I7732" i="2" s="1"/>
  <c r="I7733" i="2" a="1"/>
  <c r="I7733" i="2" s="1"/>
  <c r="I7734" i="2" a="1"/>
  <c r="I7734" i="2" s="1"/>
  <c r="I7735" i="2" a="1"/>
  <c r="I7735" i="2" s="1"/>
  <c r="I7736" i="2" a="1"/>
  <c r="I7736" i="2" s="1"/>
  <c r="I7737" i="2" a="1"/>
  <c r="I7737" i="2" s="1"/>
  <c r="I7738" i="2" a="1"/>
  <c r="I7738" i="2" s="1"/>
  <c r="I7739" i="2" a="1"/>
  <c r="I7739" i="2" s="1"/>
  <c r="I7740" i="2" a="1"/>
  <c r="I7740" i="2" s="1"/>
  <c r="I7741" i="2" a="1"/>
  <c r="I7741" i="2" s="1"/>
  <c r="I7742" i="2" a="1"/>
  <c r="I7742" i="2" s="1"/>
  <c r="I7743" i="2" a="1"/>
  <c r="I7743" i="2" s="1"/>
  <c r="I7744" i="2" a="1"/>
  <c r="I7744" i="2" s="1"/>
  <c r="I7745" i="2" a="1"/>
  <c r="I7745" i="2" s="1"/>
  <c r="I7746" i="2" a="1"/>
  <c r="I7746" i="2" s="1"/>
  <c r="I7747" i="2" a="1"/>
  <c r="I7747" i="2" s="1"/>
  <c r="I7748" i="2" a="1"/>
  <c r="I7748" i="2" s="1"/>
  <c r="I7749" i="2" a="1"/>
  <c r="I7749" i="2" s="1"/>
  <c r="I7750" i="2" a="1"/>
  <c r="I7750" i="2" s="1"/>
  <c r="I7751" i="2" a="1"/>
  <c r="I7751" i="2" s="1"/>
  <c r="I7752" i="2" a="1"/>
  <c r="I7752" i="2" s="1"/>
  <c r="I7753" i="2" a="1"/>
  <c r="I7753" i="2" s="1"/>
  <c r="I7754" i="2" a="1"/>
  <c r="I7754" i="2" s="1"/>
  <c r="I7755" i="2" a="1"/>
  <c r="I7755" i="2" s="1"/>
  <c r="I7756" i="2" a="1"/>
  <c r="I7756" i="2" s="1"/>
  <c r="I7757" i="2" a="1"/>
  <c r="I7757" i="2" s="1"/>
  <c r="I7758" i="2" a="1"/>
  <c r="I7758" i="2" s="1"/>
  <c r="I7759" i="2" a="1"/>
  <c r="I7759" i="2" s="1"/>
  <c r="I7760" i="2" a="1"/>
  <c r="I7760" i="2" s="1"/>
  <c r="I7761" i="2" a="1"/>
  <c r="I7761" i="2" s="1"/>
  <c r="I7762" i="2" a="1"/>
  <c r="I7762" i="2" s="1"/>
  <c r="I7763" i="2" a="1"/>
  <c r="I7763" i="2" s="1"/>
  <c r="I7764" i="2" a="1"/>
  <c r="I7764" i="2" s="1"/>
  <c r="I7765" i="2" a="1"/>
  <c r="I7765" i="2" s="1"/>
  <c r="I7766" i="2" a="1"/>
  <c r="I7766" i="2" s="1"/>
  <c r="I7767" i="2" a="1"/>
  <c r="I7767" i="2" s="1"/>
  <c r="I7768" i="2" a="1"/>
  <c r="I7768" i="2" s="1"/>
  <c r="I7769" i="2" a="1"/>
  <c r="I7769" i="2" s="1"/>
  <c r="I7770" i="2" a="1"/>
  <c r="I7770" i="2" s="1"/>
  <c r="I7771" i="2" a="1"/>
  <c r="I7771" i="2" s="1"/>
  <c r="I7772" i="2" a="1"/>
  <c r="I7772" i="2" s="1"/>
  <c r="I7773" i="2" a="1"/>
  <c r="I7773" i="2" s="1"/>
  <c r="I7774" i="2" a="1"/>
  <c r="I7774" i="2" s="1"/>
  <c r="I7775" i="2" a="1"/>
  <c r="I7775" i="2" s="1"/>
  <c r="I7776" i="2" a="1"/>
  <c r="I7776" i="2" s="1"/>
  <c r="I7777" i="2" a="1"/>
  <c r="I7777" i="2" s="1"/>
  <c r="I7778" i="2" a="1"/>
  <c r="I7778" i="2" s="1"/>
  <c r="I7779" i="2" a="1"/>
  <c r="I7779" i="2" s="1"/>
  <c r="I7780" i="2" a="1"/>
  <c r="I7780" i="2" s="1"/>
  <c r="I7781" i="2" a="1"/>
  <c r="I7781" i="2" s="1"/>
  <c r="I7782" i="2" a="1"/>
  <c r="I7782" i="2" s="1"/>
  <c r="I7783" i="2" a="1"/>
  <c r="I7783" i="2" s="1"/>
  <c r="I7784" i="2" a="1"/>
  <c r="I7784" i="2" s="1"/>
  <c r="I7785" i="2" a="1"/>
  <c r="I7785" i="2" s="1"/>
  <c r="I7786" i="2" a="1"/>
  <c r="I7786" i="2" s="1"/>
  <c r="I7787" i="2" a="1"/>
  <c r="I7787" i="2" s="1"/>
  <c r="I7788" i="2" a="1"/>
  <c r="I7788" i="2" s="1"/>
  <c r="I7789" i="2" a="1"/>
  <c r="I7789" i="2" s="1"/>
  <c r="I7790" i="2" a="1"/>
  <c r="I7790" i="2" s="1"/>
  <c r="I7791" i="2" a="1"/>
  <c r="I7791" i="2" s="1"/>
  <c r="I7792" i="2" a="1"/>
  <c r="I7792" i="2" s="1"/>
  <c r="I7793" i="2" a="1"/>
  <c r="I7793" i="2" s="1"/>
  <c r="I7794" i="2" a="1"/>
  <c r="I7794" i="2" s="1"/>
  <c r="I7795" i="2" a="1"/>
  <c r="I7795" i="2" s="1"/>
  <c r="I7796" i="2" a="1"/>
  <c r="I7796" i="2" s="1"/>
  <c r="I7797" i="2" a="1"/>
  <c r="I7797" i="2" s="1"/>
  <c r="I7798" i="2" a="1"/>
  <c r="I7798" i="2" s="1"/>
  <c r="I7799" i="2" a="1"/>
  <c r="I7799" i="2" s="1"/>
  <c r="I7800" i="2" a="1"/>
  <c r="I7800" i="2" s="1"/>
  <c r="I7801" i="2" a="1"/>
  <c r="I7801" i="2" s="1"/>
  <c r="I7802" i="2" a="1"/>
  <c r="I7802" i="2" s="1"/>
  <c r="I7803" i="2" a="1"/>
  <c r="I7803" i="2" s="1"/>
  <c r="I7804" i="2" a="1"/>
  <c r="I7804" i="2" s="1"/>
  <c r="I7805" i="2" a="1"/>
  <c r="I7805" i="2" s="1"/>
  <c r="I7806" i="2" a="1"/>
  <c r="I7806" i="2" s="1"/>
  <c r="I7807" i="2" a="1"/>
  <c r="I7807" i="2" s="1"/>
  <c r="I7808" i="2" a="1"/>
  <c r="I7808" i="2" s="1"/>
  <c r="I7809" i="2" a="1"/>
  <c r="I7809" i="2" s="1"/>
  <c r="I7810" i="2" a="1"/>
  <c r="I7810" i="2" s="1"/>
  <c r="I7811" i="2" a="1"/>
  <c r="I7811" i="2" s="1"/>
  <c r="I7812" i="2" a="1"/>
  <c r="I7812" i="2" s="1"/>
  <c r="I7813" i="2" a="1"/>
  <c r="I7813" i="2" s="1"/>
  <c r="I7814" i="2" a="1"/>
  <c r="I7814" i="2" s="1"/>
  <c r="I7815" i="2" a="1"/>
  <c r="I7815" i="2" s="1"/>
  <c r="I7816" i="2" a="1"/>
  <c r="I7816" i="2" s="1"/>
  <c r="I7817" i="2" a="1"/>
  <c r="I7817" i="2" s="1"/>
  <c r="I7818" i="2" a="1"/>
  <c r="I7818" i="2" s="1"/>
  <c r="I7819" i="2" a="1"/>
  <c r="I7819" i="2" s="1"/>
  <c r="I7820" i="2" a="1"/>
  <c r="I7820" i="2" s="1"/>
  <c r="I7821" i="2" a="1"/>
  <c r="I7821" i="2" s="1"/>
  <c r="I7822" i="2" a="1"/>
  <c r="I7822" i="2" s="1"/>
  <c r="I7823" i="2" a="1"/>
  <c r="I7823" i="2" s="1"/>
  <c r="I7824" i="2" a="1"/>
  <c r="I7824" i="2" s="1"/>
  <c r="I7825" i="2" a="1"/>
  <c r="I7825" i="2" s="1"/>
  <c r="I7826" i="2" a="1"/>
  <c r="I7826" i="2" s="1"/>
  <c r="I7827" i="2" a="1"/>
  <c r="I7827" i="2" s="1"/>
  <c r="I7828" i="2" a="1"/>
  <c r="I7828" i="2" s="1"/>
  <c r="I7829" i="2" a="1"/>
  <c r="I7829" i="2" s="1"/>
  <c r="I7830" i="2" a="1"/>
  <c r="I7830" i="2" s="1"/>
  <c r="I7831" i="2" a="1"/>
  <c r="I7831" i="2" s="1"/>
  <c r="I7832" i="2" a="1"/>
  <c r="I7832" i="2" s="1"/>
  <c r="I7833" i="2" a="1"/>
  <c r="I7833" i="2" s="1"/>
  <c r="I7834" i="2" a="1"/>
  <c r="I7834" i="2" s="1"/>
  <c r="I7835" i="2" a="1"/>
  <c r="I7835" i="2" s="1"/>
  <c r="I7836" i="2" a="1"/>
  <c r="I7836" i="2" s="1"/>
  <c r="I7837" i="2" a="1"/>
  <c r="I7837" i="2" s="1"/>
  <c r="I7838" i="2" a="1"/>
  <c r="I7838" i="2" s="1"/>
  <c r="I7839" i="2" a="1"/>
  <c r="I7839" i="2" s="1"/>
  <c r="I7840" i="2" a="1"/>
  <c r="I7840" i="2" s="1"/>
  <c r="I7841" i="2" a="1"/>
  <c r="I7841" i="2" s="1"/>
  <c r="I7842" i="2" a="1"/>
  <c r="I7842" i="2" s="1"/>
  <c r="I7843" i="2" a="1"/>
  <c r="I7843" i="2" s="1"/>
  <c r="I7844" i="2" a="1"/>
  <c r="I7844" i="2" s="1"/>
  <c r="I7845" i="2" a="1"/>
  <c r="I7845" i="2" s="1"/>
  <c r="I7846" i="2" a="1"/>
  <c r="I7846" i="2" s="1"/>
  <c r="I7847" i="2" a="1"/>
  <c r="I7847" i="2" s="1"/>
  <c r="I7848" i="2" a="1"/>
  <c r="I7848" i="2" s="1"/>
  <c r="I7849" i="2" a="1"/>
  <c r="I7849" i="2" s="1"/>
  <c r="I7850" i="2" a="1"/>
  <c r="I7850" i="2" s="1"/>
  <c r="I7851" i="2" a="1"/>
  <c r="I7851" i="2" s="1"/>
  <c r="I7852" i="2" a="1"/>
  <c r="I7852" i="2" s="1"/>
  <c r="I7853" i="2" a="1"/>
  <c r="I7853" i="2" s="1"/>
  <c r="I7854" i="2" a="1"/>
  <c r="I7854" i="2" s="1"/>
  <c r="I7855" i="2" a="1"/>
  <c r="I7855" i="2" s="1"/>
  <c r="I7856" i="2" a="1"/>
  <c r="I7856" i="2" s="1"/>
  <c r="I7857" i="2" a="1"/>
  <c r="I7857" i="2" s="1"/>
  <c r="I7858" i="2" a="1"/>
  <c r="I7858" i="2" s="1"/>
  <c r="I7859" i="2" a="1"/>
  <c r="I7859" i="2" s="1"/>
  <c r="I7860" i="2" a="1"/>
  <c r="I7860" i="2" s="1"/>
  <c r="I7861" i="2" a="1"/>
  <c r="I7861" i="2" s="1"/>
  <c r="I7862" i="2" a="1"/>
  <c r="I7862" i="2" s="1"/>
  <c r="I7863" i="2" a="1"/>
  <c r="I7863" i="2" s="1"/>
  <c r="I7864" i="2" a="1"/>
  <c r="I7864" i="2" s="1"/>
  <c r="I7865" i="2" a="1"/>
  <c r="I7865" i="2" s="1"/>
  <c r="I7866" i="2" a="1"/>
  <c r="I7866" i="2" s="1"/>
  <c r="I7867" i="2" a="1"/>
  <c r="I7867" i="2" s="1"/>
  <c r="I7868" i="2" a="1"/>
  <c r="I7868" i="2" s="1"/>
  <c r="I7869" i="2" a="1"/>
  <c r="I7869" i="2" s="1"/>
  <c r="I7870" i="2" a="1"/>
  <c r="I7870" i="2" s="1"/>
  <c r="I7871" i="2" a="1"/>
  <c r="I7871" i="2" s="1"/>
  <c r="I7872" i="2" a="1"/>
  <c r="I7872" i="2" s="1"/>
  <c r="I7873" i="2" a="1"/>
  <c r="I7873" i="2" s="1"/>
  <c r="I7874" i="2" a="1"/>
  <c r="I7874" i="2" s="1"/>
  <c r="I7875" i="2" a="1"/>
  <c r="I7875" i="2" s="1"/>
  <c r="I7876" i="2" a="1"/>
  <c r="I7876" i="2" s="1"/>
  <c r="I7877" i="2" a="1"/>
  <c r="I7877" i="2" s="1"/>
  <c r="I7878" i="2" a="1"/>
  <c r="I7878" i="2" s="1"/>
  <c r="I7879" i="2" a="1"/>
  <c r="I7879" i="2" s="1"/>
  <c r="I7880" i="2" a="1"/>
  <c r="I7880" i="2" s="1"/>
  <c r="I7881" i="2" a="1"/>
  <c r="I7881" i="2" s="1"/>
  <c r="I7882" i="2" a="1"/>
  <c r="I7882" i="2" s="1"/>
  <c r="I7883" i="2" a="1"/>
  <c r="I7883" i="2" s="1"/>
  <c r="I7884" i="2" a="1"/>
  <c r="I7884" i="2" s="1"/>
  <c r="I7885" i="2" a="1"/>
  <c r="I7885" i="2" s="1"/>
  <c r="I7886" i="2" a="1"/>
  <c r="I7886" i="2" s="1"/>
  <c r="I7887" i="2" a="1"/>
  <c r="I7887" i="2" s="1"/>
  <c r="I7888" i="2" a="1"/>
  <c r="I7888" i="2" s="1"/>
  <c r="I7889" i="2" a="1"/>
  <c r="I7889" i="2" s="1"/>
  <c r="I7890" i="2" a="1"/>
  <c r="I7890" i="2" s="1"/>
  <c r="I7891" i="2" a="1"/>
  <c r="I7891" i="2" s="1"/>
  <c r="I7892" i="2" a="1"/>
  <c r="I7892" i="2" s="1"/>
  <c r="I7893" i="2" a="1"/>
  <c r="I7893" i="2" s="1"/>
  <c r="I7894" i="2" a="1"/>
  <c r="I7894" i="2" s="1"/>
  <c r="I7895" i="2" a="1"/>
  <c r="I7895" i="2" s="1"/>
  <c r="I7896" i="2" a="1"/>
  <c r="I7896" i="2" s="1"/>
  <c r="I7897" i="2" a="1"/>
  <c r="I7897" i="2" s="1"/>
  <c r="I7898" i="2" a="1"/>
  <c r="I7898" i="2" s="1"/>
  <c r="I7899" i="2" a="1"/>
  <c r="I7899" i="2" s="1"/>
  <c r="I7900" i="2" a="1"/>
  <c r="I7900" i="2" s="1"/>
  <c r="I7901" i="2" a="1"/>
  <c r="I7901" i="2" s="1"/>
  <c r="I7902" i="2" a="1"/>
  <c r="I7902" i="2" s="1"/>
  <c r="I7903" i="2" a="1"/>
  <c r="I7903" i="2" s="1"/>
  <c r="I7904" i="2" a="1"/>
  <c r="I7904" i="2" s="1"/>
  <c r="I7905" i="2" a="1"/>
  <c r="I7905" i="2" s="1"/>
  <c r="I7906" i="2" a="1"/>
  <c r="I7906" i="2" s="1"/>
  <c r="I7907" i="2" a="1"/>
  <c r="I7907" i="2" s="1"/>
  <c r="I7908" i="2" a="1"/>
  <c r="I7908" i="2" s="1"/>
  <c r="I7909" i="2" a="1"/>
  <c r="I7909" i="2" s="1"/>
  <c r="I7910" i="2" a="1"/>
  <c r="I7910" i="2" s="1"/>
  <c r="I7911" i="2" a="1"/>
  <c r="I7911" i="2" s="1"/>
  <c r="I7912" i="2" a="1"/>
  <c r="I7912" i="2" s="1"/>
  <c r="I7913" i="2" a="1"/>
  <c r="I7913" i="2" s="1"/>
  <c r="I7914" i="2" a="1"/>
  <c r="I7914" i="2" s="1"/>
  <c r="I7915" i="2" a="1"/>
  <c r="I7915" i="2" s="1"/>
  <c r="I7916" i="2" a="1"/>
  <c r="I7916" i="2" s="1"/>
  <c r="I7917" i="2" a="1"/>
  <c r="I7917" i="2" s="1"/>
  <c r="I7918" i="2" a="1"/>
  <c r="I7918" i="2" s="1"/>
  <c r="I7919" i="2" a="1"/>
  <c r="I7919" i="2" s="1"/>
  <c r="I7920" i="2" a="1"/>
  <c r="I7920" i="2" s="1"/>
  <c r="I7921" i="2" a="1"/>
  <c r="I7921" i="2" s="1"/>
  <c r="I7922" i="2" a="1"/>
  <c r="I7922" i="2" s="1"/>
  <c r="I7923" i="2" a="1"/>
  <c r="I7923" i="2" s="1"/>
  <c r="I7924" i="2" a="1"/>
  <c r="I7924" i="2" s="1"/>
  <c r="I7925" i="2" a="1"/>
  <c r="I7925" i="2" s="1"/>
  <c r="I7926" i="2" a="1"/>
  <c r="I7926" i="2" s="1"/>
  <c r="I7927" i="2" a="1"/>
  <c r="I7927" i="2" s="1"/>
  <c r="I7928" i="2" a="1"/>
  <c r="I7928" i="2" s="1"/>
  <c r="I7929" i="2" a="1"/>
  <c r="I7929" i="2" s="1"/>
  <c r="I7930" i="2" a="1"/>
  <c r="I7930" i="2" s="1"/>
  <c r="I7931" i="2" a="1"/>
  <c r="I7931" i="2" s="1"/>
  <c r="I7932" i="2" a="1"/>
  <c r="I7932" i="2" s="1"/>
  <c r="I7933" i="2" a="1"/>
  <c r="I7933" i="2" s="1"/>
  <c r="I7934" i="2" a="1"/>
  <c r="I7934" i="2" s="1"/>
  <c r="I7935" i="2" a="1"/>
  <c r="I7935" i="2" s="1"/>
  <c r="I7936" i="2" a="1"/>
  <c r="I7936" i="2" s="1"/>
  <c r="I7937" i="2" a="1"/>
  <c r="I7937" i="2" s="1"/>
  <c r="I7938" i="2" a="1"/>
  <c r="I7938" i="2" s="1"/>
  <c r="I7939" i="2" a="1"/>
  <c r="I7939" i="2" s="1"/>
  <c r="I7940" i="2" a="1"/>
  <c r="I7940" i="2" s="1"/>
  <c r="I7941" i="2" a="1"/>
  <c r="I7941" i="2" s="1"/>
  <c r="I7942" i="2" a="1"/>
  <c r="I7942" i="2" s="1"/>
  <c r="I7943" i="2" a="1"/>
  <c r="I7943" i="2" s="1"/>
  <c r="I7944" i="2" a="1"/>
  <c r="I7944" i="2" s="1"/>
  <c r="I7945" i="2" a="1"/>
  <c r="I7945" i="2" s="1"/>
  <c r="I7946" i="2" a="1"/>
  <c r="I7946" i="2" s="1"/>
  <c r="I7947" i="2" a="1"/>
  <c r="I7947" i="2" s="1"/>
  <c r="I7948" i="2" a="1"/>
  <c r="I7948" i="2" s="1"/>
  <c r="I7949" i="2" a="1"/>
  <c r="I7949" i="2" s="1"/>
  <c r="I7950" i="2" a="1"/>
  <c r="I7950" i="2" s="1"/>
  <c r="I7951" i="2" a="1"/>
  <c r="I7951" i="2" s="1"/>
  <c r="I7952" i="2" a="1"/>
  <c r="I7952" i="2" s="1"/>
  <c r="I7953" i="2" a="1"/>
  <c r="I7953" i="2" s="1"/>
  <c r="I7954" i="2" a="1"/>
  <c r="I7954" i="2" s="1"/>
  <c r="I7955" i="2" a="1"/>
  <c r="I7955" i="2" s="1"/>
  <c r="I7956" i="2" a="1"/>
  <c r="I7956" i="2" s="1"/>
  <c r="I7957" i="2" a="1"/>
  <c r="I7957" i="2" s="1"/>
  <c r="I7958" i="2" a="1"/>
  <c r="I7958" i="2" s="1"/>
  <c r="I7959" i="2" a="1"/>
  <c r="I7959" i="2" s="1"/>
  <c r="I7960" i="2" a="1"/>
  <c r="I7960" i="2" s="1"/>
  <c r="I7961" i="2" a="1"/>
  <c r="I7961" i="2" s="1"/>
  <c r="I7962" i="2" a="1"/>
  <c r="I7962" i="2" s="1"/>
  <c r="I7963" i="2" a="1"/>
  <c r="I7963" i="2" s="1"/>
  <c r="I7964" i="2" a="1"/>
  <c r="I7964" i="2" s="1"/>
  <c r="I7965" i="2" a="1"/>
  <c r="I7965" i="2" s="1"/>
  <c r="I7966" i="2" a="1"/>
  <c r="I7966" i="2" s="1"/>
  <c r="I7967" i="2" a="1"/>
  <c r="I7967" i="2" s="1"/>
  <c r="I7968" i="2" a="1"/>
  <c r="I7968" i="2" s="1"/>
  <c r="I7969" i="2" a="1"/>
  <c r="I7969" i="2" s="1"/>
  <c r="I7970" i="2" a="1"/>
  <c r="I7970" i="2" s="1"/>
  <c r="I7971" i="2" a="1"/>
  <c r="I7971" i="2" s="1"/>
  <c r="I7972" i="2" a="1"/>
  <c r="I7972" i="2" s="1"/>
  <c r="I7973" i="2" a="1"/>
  <c r="I7973" i="2" s="1"/>
  <c r="I7974" i="2" a="1"/>
  <c r="I7974" i="2" s="1"/>
  <c r="I7975" i="2" a="1"/>
  <c r="I7975" i="2" s="1"/>
  <c r="I7976" i="2" a="1"/>
  <c r="I7976" i="2" s="1"/>
  <c r="I7977" i="2" a="1"/>
  <c r="I7977" i="2" s="1"/>
  <c r="I7978" i="2" a="1"/>
  <c r="I7978" i="2" s="1"/>
  <c r="I7979" i="2" a="1"/>
  <c r="I7979" i="2" s="1"/>
  <c r="I7980" i="2" a="1"/>
  <c r="I7980" i="2" s="1"/>
  <c r="I7981" i="2" a="1"/>
  <c r="I7981" i="2" s="1"/>
  <c r="I7982" i="2" a="1"/>
  <c r="I7982" i="2" s="1"/>
  <c r="I7983" i="2" a="1"/>
  <c r="I7983" i="2" s="1"/>
  <c r="I7984" i="2" a="1"/>
  <c r="I7984" i="2" s="1"/>
  <c r="I7985" i="2" a="1"/>
  <c r="I7985" i="2" s="1"/>
  <c r="I7986" i="2" a="1"/>
  <c r="I7986" i="2" s="1"/>
  <c r="I7987" i="2" a="1"/>
  <c r="I7987" i="2" s="1"/>
  <c r="I7988" i="2" a="1"/>
  <c r="I7988" i="2" s="1"/>
  <c r="I7989" i="2" a="1"/>
  <c r="I7989" i="2" s="1"/>
  <c r="I7990" i="2" a="1"/>
  <c r="I7990" i="2" s="1"/>
  <c r="I7991" i="2" a="1"/>
  <c r="I7991" i="2" s="1"/>
  <c r="I7992" i="2" a="1"/>
  <c r="I7992" i="2" s="1"/>
  <c r="I7993" i="2" a="1"/>
  <c r="I7993" i="2" s="1"/>
  <c r="I7994" i="2" a="1"/>
  <c r="I7994" i="2" s="1"/>
  <c r="I7995" i="2" a="1"/>
  <c r="I7995" i="2" s="1"/>
  <c r="I7996" i="2" a="1"/>
  <c r="I7996" i="2" s="1"/>
  <c r="I7997" i="2" a="1"/>
  <c r="I7997" i="2" s="1"/>
  <c r="I7998" i="2" a="1"/>
  <c r="I7998" i="2" s="1"/>
  <c r="I7999" i="2" a="1"/>
  <c r="I7999" i="2" s="1"/>
  <c r="I8000" i="2" a="1"/>
  <c r="I8000" i="2" s="1"/>
  <c r="I8001" i="2" a="1"/>
  <c r="I8001" i="2" s="1"/>
  <c r="I8002" i="2" a="1"/>
  <c r="I8002" i="2" s="1"/>
  <c r="I8003" i="2" a="1"/>
  <c r="I8003" i="2" s="1"/>
  <c r="I8004" i="2" a="1"/>
  <c r="I8004" i="2" s="1"/>
  <c r="I8005" i="2" a="1"/>
  <c r="I8005" i="2" s="1"/>
  <c r="I8006" i="2" a="1"/>
  <c r="I8006" i="2" s="1"/>
  <c r="I8007" i="2" a="1"/>
  <c r="I8007" i="2" s="1"/>
  <c r="I8008" i="2" a="1"/>
  <c r="I8008" i="2" s="1"/>
  <c r="I8009" i="2" a="1"/>
  <c r="I8009" i="2" s="1"/>
  <c r="I8010" i="2" a="1"/>
  <c r="I8010" i="2" s="1"/>
  <c r="I8011" i="2" a="1"/>
  <c r="I8011" i="2" s="1"/>
  <c r="I8012" i="2" a="1"/>
  <c r="I8012" i="2" s="1"/>
  <c r="I8013" i="2" a="1"/>
  <c r="I8013" i="2" s="1"/>
  <c r="I8014" i="2" a="1"/>
  <c r="I8014" i="2" s="1"/>
  <c r="I8015" i="2" a="1"/>
  <c r="I8015" i="2" s="1"/>
  <c r="I8016" i="2" a="1"/>
  <c r="I8016" i="2" s="1"/>
  <c r="I8017" i="2" a="1"/>
  <c r="I8017" i="2" s="1"/>
  <c r="I8018" i="2" a="1"/>
  <c r="I8018" i="2" s="1"/>
  <c r="I8019" i="2" a="1"/>
  <c r="I8019" i="2" s="1"/>
  <c r="I8020" i="2" a="1"/>
  <c r="I8020" i="2" s="1"/>
  <c r="I8021" i="2" a="1"/>
  <c r="I8021" i="2" s="1"/>
  <c r="I8022" i="2" a="1"/>
  <c r="I8022" i="2" s="1"/>
  <c r="I8023" i="2" a="1"/>
  <c r="I8023" i="2" s="1"/>
  <c r="I8024" i="2" a="1"/>
  <c r="I8024" i="2" s="1"/>
  <c r="I8025" i="2" a="1"/>
  <c r="I8025" i="2" s="1"/>
  <c r="I8026" i="2" a="1"/>
  <c r="I8026" i="2" s="1"/>
  <c r="I8027" i="2" a="1"/>
  <c r="I8027" i="2" s="1"/>
  <c r="I8028" i="2" a="1"/>
  <c r="I8028" i="2" s="1"/>
  <c r="I8029" i="2" a="1"/>
  <c r="I8029" i="2" s="1"/>
  <c r="I8030" i="2" a="1"/>
  <c r="I8030" i="2" s="1"/>
  <c r="I8031" i="2" a="1"/>
  <c r="I8031" i="2" s="1"/>
  <c r="I8032" i="2" a="1"/>
  <c r="I8032" i="2" s="1"/>
  <c r="I8033" i="2" a="1"/>
  <c r="I8033" i="2" s="1"/>
  <c r="I8034" i="2" a="1"/>
  <c r="I8034" i="2" s="1"/>
  <c r="I8035" i="2" a="1"/>
  <c r="I8035" i="2" s="1"/>
  <c r="I8036" i="2" a="1"/>
  <c r="I8036" i="2" s="1"/>
  <c r="I8037" i="2" a="1"/>
  <c r="I8037" i="2" s="1"/>
  <c r="I8038" i="2" a="1"/>
  <c r="I8038" i="2" s="1"/>
  <c r="I8039" i="2" a="1"/>
  <c r="I8039" i="2" s="1"/>
  <c r="I8040" i="2" a="1"/>
  <c r="I8040" i="2" s="1"/>
  <c r="I8041" i="2" a="1"/>
  <c r="I8041" i="2" s="1"/>
  <c r="I8042" i="2" a="1"/>
  <c r="I8042" i="2" s="1"/>
  <c r="I8043" i="2" a="1"/>
  <c r="I8043" i="2" s="1"/>
  <c r="I8044" i="2" a="1"/>
  <c r="I8044" i="2" s="1"/>
  <c r="I8045" i="2" a="1"/>
  <c r="I8045" i="2" s="1"/>
  <c r="I8046" i="2" a="1"/>
  <c r="I8046" i="2" s="1"/>
  <c r="I8047" i="2" a="1"/>
  <c r="I8047" i="2" s="1"/>
  <c r="I8048" i="2" a="1"/>
  <c r="I8048" i="2" s="1"/>
  <c r="I8049" i="2" a="1"/>
  <c r="I8049" i="2" s="1"/>
  <c r="I8050" i="2" a="1"/>
  <c r="I8050" i="2" s="1"/>
  <c r="I8051" i="2" a="1"/>
  <c r="I8051" i="2" s="1"/>
  <c r="I8052" i="2" a="1"/>
  <c r="I8052" i="2" s="1"/>
  <c r="I8053" i="2" a="1"/>
  <c r="I8053" i="2" s="1"/>
  <c r="I8054" i="2" a="1"/>
  <c r="I8054" i="2" s="1"/>
  <c r="I8055" i="2" a="1"/>
  <c r="I8055" i="2" s="1"/>
  <c r="I8056" i="2" a="1"/>
  <c r="I8056" i="2" s="1"/>
  <c r="I8057" i="2" a="1"/>
  <c r="I8057" i="2" s="1"/>
  <c r="I8058" i="2" a="1"/>
  <c r="I8058" i="2" s="1"/>
  <c r="I8059" i="2" a="1"/>
  <c r="I8059" i="2" s="1"/>
  <c r="I8060" i="2" a="1"/>
  <c r="I8060" i="2" s="1"/>
  <c r="I8061" i="2" a="1"/>
  <c r="I8061" i="2" s="1"/>
  <c r="I8062" i="2" a="1"/>
  <c r="I8062" i="2" s="1"/>
  <c r="I8063" i="2" a="1"/>
  <c r="I8063" i="2" s="1"/>
  <c r="I8064" i="2" a="1"/>
  <c r="I8064" i="2" s="1"/>
  <c r="I8065" i="2" a="1"/>
  <c r="I8065" i="2" s="1"/>
  <c r="I8066" i="2" a="1"/>
  <c r="I8066" i="2" s="1"/>
  <c r="I8067" i="2" a="1"/>
  <c r="I8067" i="2" s="1"/>
  <c r="I8068" i="2" a="1"/>
  <c r="I8068" i="2" s="1"/>
  <c r="I8069" i="2" a="1"/>
  <c r="I8069" i="2" s="1"/>
  <c r="I8070" i="2" a="1"/>
  <c r="I8070" i="2" s="1"/>
  <c r="I8071" i="2" a="1"/>
  <c r="I8071" i="2" s="1"/>
  <c r="I8072" i="2" a="1"/>
  <c r="I8072" i="2" s="1"/>
  <c r="I8073" i="2" a="1"/>
  <c r="I8073" i="2" s="1"/>
  <c r="I8074" i="2" a="1"/>
  <c r="I8074" i="2" s="1"/>
  <c r="I8075" i="2" a="1"/>
  <c r="I8075" i="2" s="1"/>
  <c r="I8076" i="2" a="1"/>
  <c r="I8076" i="2" s="1"/>
  <c r="I8077" i="2" a="1"/>
  <c r="I8077" i="2" s="1"/>
  <c r="I8078" i="2" a="1"/>
  <c r="I8078" i="2" s="1"/>
  <c r="I8079" i="2" a="1"/>
  <c r="I8079" i="2" s="1"/>
  <c r="I8080" i="2" a="1"/>
  <c r="I8080" i="2" s="1"/>
  <c r="I8081" i="2" a="1"/>
  <c r="I8081" i="2" s="1"/>
  <c r="I8082" i="2" a="1"/>
  <c r="I8082" i="2" s="1"/>
  <c r="I8083" i="2" a="1"/>
  <c r="I8083" i="2" s="1"/>
  <c r="I8084" i="2" a="1"/>
  <c r="I8084" i="2" s="1"/>
  <c r="I8085" i="2" a="1"/>
  <c r="I8085" i="2" s="1"/>
  <c r="I8086" i="2" a="1"/>
  <c r="I8086" i="2" s="1"/>
  <c r="I8087" i="2" a="1"/>
  <c r="I8087" i="2" s="1"/>
  <c r="I8088" i="2" a="1"/>
  <c r="I8088" i="2" s="1"/>
  <c r="I8089" i="2" a="1"/>
  <c r="I8089" i="2" s="1"/>
  <c r="I8090" i="2" a="1"/>
  <c r="I8090" i="2" s="1"/>
  <c r="I8091" i="2" a="1"/>
  <c r="I8091" i="2" s="1"/>
  <c r="I8092" i="2" a="1"/>
  <c r="I8092" i="2" s="1"/>
  <c r="I8093" i="2" a="1"/>
  <c r="I8093" i="2" s="1"/>
  <c r="I8094" i="2" a="1"/>
  <c r="I8094" i="2" s="1"/>
  <c r="I8095" i="2" a="1"/>
  <c r="I8095" i="2" s="1"/>
  <c r="I8096" i="2" a="1"/>
  <c r="I8096" i="2" s="1"/>
  <c r="I8097" i="2" a="1"/>
  <c r="I8097" i="2" s="1"/>
  <c r="I8098" i="2" a="1"/>
  <c r="I8098" i="2" s="1"/>
  <c r="I8099" i="2" a="1"/>
  <c r="I8099" i="2" s="1"/>
  <c r="I8100" i="2" a="1"/>
  <c r="I8100" i="2" s="1"/>
  <c r="I8101" i="2" a="1"/>
  <c r="I8101" i="2" s="1"/>
  <c r="I8102" i="2" a="1"/>
  <c r="I8102" i="2" s="1"/>
  <c r="I8103" i="2" a="1"/>
  <c r="I8103" i="2" s="1"/>
  <c r="I8104" i="2" a="1"/>
  <c r="I8104" i="2" s="1"/>
  <c r="I8105" i="2" a="1"/>
  <c r="I8105" i="2" s="1"/>
  <c r="I8106" i="2" a="1"/>
  <c r="I8106" i="2" s="1"/>
  <c r="I8107" i="2" a="1"/>
  <c r="I8107" i="2" s="1"/>
  <c r="I8108" i="2" a="1"/>
  <c r="I8108" i="2" s="1"/>
  <c r="I8109" i="2" a="1"/>
  <c r="I8109" i="2" s="1"/>
  <c r="I8110" i="2" a="1"/>
  <c r="I8110" i="2" s="1"/>
  <c r="I8111" i="2" a="1"/>
  <c r="I8111" i="2" s="1"/>
  <c r="I8112" i="2" a="1"/>
  <c r="I8112" i="2" s="1"/>
  <c r="I8113" i="2" a="1"/>
  <c r="I8113" i="2" s="1"/>
  <c r="I8114" i="2" a="1"/>
  <c r="I8114" i="2" s="1"/>
  <c r="I8115" i="2" a="1"/>
  <c r="I8115" i="2" s="1"/>
  <c r="I8116" i="2" a="1"/>
  <c r="I8116" i="2" s="1"/>
  <c r="I8117" i="2" a="1"/>
  <c r="I8117" i="2" s="1"/>
  <c r="I8118" i="2" a="1"/>
  <c r="I8118" i="2" s="1"/>
  <c r="I8119" i="2" a="1"/>
  <c r="I8119" i="2" s="1"/>
  <c r="I8120" i="2" a="1"/>
  <c r="I8120" i="2" s="1"/>
  <c r="I8121" i="2" a="1"/>
  <c r="I8121" i="2" s="1"/>
  <c r="I8122" i="2" a="1"/>
  <c r="I8122" i="2" s="1"/>
  <c r="I8123" i="2" a="1"/>
  <c r="I8123" i="2" s="1"/>
  <c r="I8124" i="2" a="1"/>
  <c r="I8124" i="2" s="1"/>
  <c r="I8125" i="2" a="1"/>
  <c r="I8125" i="2" s="1"/>
  <c r="I8126" i="2" a="1"/>
  <c r="I8126" i="2" s="1"/>
  <c r="I8127" i="2" a="1"/>
  <c r="I8127" i="2" s="1"/>
  <c r="I8128" i="2" a="1"/>
  <c r="I8128" i="2" s="1"/>
  <c r="I8129" i="2" a="1"/>
  <c r="I8129" i="2" s="1"/>
  <c r="I8130" i="2" a="1"/>
  <c r="I8130" i="2" s="1"/>
  <c r="I8131" i="2" a="1"/>
  <c r="I8131" i="2" s="1"/>
  <c r="I8132" i="2" a="1"/>
  <c r="I8132" i="2" s="1"/>
  <c r="I8133" i="2" a="1"/>
  <c r="I8133" i="2" s="1"/>
  <c r="I8134" i="2" a="1"/>
  <c r="I8134" i="2" s="1"/>
  <c r="I8135" i="2" a="1"/>
  <c r="I8135" i="2" s="1"/>
  <c r="I8136" i="2" a="1"/>
  <c r="I8136" i="2" s="1"/>
  <c r="I8137" i="2" a="1"/>
  <c r="I8137" i="2" s="1"/>
  <c r="I8138" i="2" a="1"/>
  <c r="I8138" i="2" s="1"/>
  <c r="I8139" i="2" a="1"/>
  <c r="I8139" i="2" s="1"/>
  <c r="I8140" i="2" a="1"/>
  <c r="I8140" i="2" s="1"/>
  <c r="I8141" i="2" a="1"/>
  <c r="I8141" i="2" s="1"/>
  <c r="I8142" i="2" a="1"/>
  <c r="I8142" i="2" s="1"/>
  <c r="I8143" i="2" a="1"/>
  <c r="I8143" i="2" s="1"/>
  <c r="I8144" i="2" a="1"/>
  <c r="I8144" i="2" s="1"/>
  <c r="I8145" i="2" a="1"/>
  <c r="I8145" i="2" s="1"/>
  <c r="I8146" i="2" a="1"/>
  <c r="I8146" i="2" s="1"/>
  <c r="I8147" i="2" a="1"/>
  <c r="I8147" i="2" s="1"/>
  <c r="I8148" i="2" a="1"/>
  <c r="I8148" i="2" s="1"/>
  <c r="I8149" i="2" a="1"/>
  <c r="I8149" i="2" s="1"/>
  <c r="I8150" i="2" a="1"/>
  <c r="I8150" i="2" s="1"/>
  <c r="I8151" i="2" a="1"/>
  <c r="I8151" i="2" s="1"/>
  <c r="I8152" i="2" a="1"/>
  <c r="I8152" i="2" s="1"/>
  <c r="I8153" i="2" a="1"/>
  <c r="I8153" i="2" s="1"/>
  <c r="I8154" i="2" a="1"/>
  <c r="I8154" i="2" s="1"/>
  <c r="I8155" i="2" a="1"/>
  <c r="I8155" i="2" s="1"/>
  <c r="I8156" i="2" a="1"/>
  <c r="I8156" i="2" s="1"/>
  <c r="I8157" i="2" a="1"/>
  <c r="I8157" i="2" s="1"/>
  <c r="I8158" i="2" a="1"/>
  <c r="I8158" i="2" s="1"/>
  <c r="I8159" i="2" a="1"/>
  <c r="I8159" i="2" s="1"/>
  <c r="I8160" i="2" a="1"/>
  <c r="I8160" i="2" s="1"/>
  <c r="I8161" i="2" a="1"/>
  <c r="I8161" i="2" s="1"/>
  <c r="I8162" i="2" a="1"/>
  <c r="I8162" i="2" s="1"/>
  <c r="I8163" i="2" a="1"/>
  <c r="I8163" i="2" s="1"/>
  <c r="I8164" i="2" a="1"/>
  <c r="I8164" i="2" s="1"/>
  <c r="I8165" i="2" a="1"/>
  <c r="I8165" i="2" s="1"/>
  <c r="I8166" i="2" a="1"/>
  <c r="I8166" i="2" s="1"/>
  <c r="I8167" i="2" a="1"/>
  <c r="I8167" i="2" s="1"/>
  <c r="I8168" i="2" a="1"/>
  <c r="I8168" i="2" s="1"/>
  <c r="I8169" i="2" a="1"/>
  <c r="I8169" i="2" s="1"/>
  <c r="I8170" i="2" a="1"/>
  <c r="I8170" i="2" s="1"/>
  <c r="I8171" i="2" a="1"/>
  <c r="I8171" i="2" s="1"/>
  <c r="I8172" i="2" a="1"/>
  <c r="I8172" i="2" s="1"/>
  <c r="I8173" i="2" a="1"/>
  <c r="I8173" i="2" s="1"/>
  <c r="I8174" i="2" a="1"/>
  <c r="I8174" i="2" s="1"/>
  <c r="I8175" i="2" a="1"/>
  <c r="I8175" i="2" s="1"/>
  <c r="I8176" i="2" a="1"/>
  <c r="I8176" i="2" s="1"/>
  <c r="I8177" i="2" a="1"/>
  <c r="I8177" i="2" s="1"/>
  <c r="I8178" i="2" a="1"/>
  <c r="I8178" i="2" s="1"/>
  <c r="I8179" i="2" a="1"/>
  <c r="I8179" i="2" s="1"/>
  <c r="I8180" i="2" a="1"/>
  <c r="I8180" i="2" s="1"/>
  <c r="I8181" i="2" a="1"/>
  <c r="I8181" i="2" s="1"/>
  <c r="I8182" i="2" a="1"/>
  <c r="I8182" i="2" s="1"/>
  <c r="I8183" i="2" a="1"/>
  <c r="I8183" i="2" s="1"/>
  <c r="I8184" i="2" a="1"/>
  <c r="I8184" i="2" s="1"/>
  <c r="I8185" i="2" a="1"/>
  <c r="I8185" i="2" s="1"/>
  <c r="I8186" i="2" a="1"/>
  <c r="I8186" i="2" s="1"/>
  <c r="I8187" i="2" a="1"/>
  <c r="I8187" i="2" s="1"/>
  <c r="I8188" i="2" a="1"/>
  <c r="I8188" i="2" s="1"/>
  <c r="I8189" i="2" a="1"/>
  <c r="I8189" i="2" s="1"/>
  <c r="I8190" i="2" a="1"/>
  <c r="I8190" i="2" s="1"/>
  <c r="I8191" i="2" a="1"/>
  <c r="I8191" i="2" s="1"/>
  <c r="I8192" i="2" a="1"/>
  <c r="I8192" i="2" s="1"/>
  <c r="I8193" i="2" a="1"/>
  <c r="I8193" i="2" s="1"/>
  <c r="I8194" i="2" a="1"/>
  <c r="I8194" i="2" s="1"/>
  <c r="I8195" i="2" a="1"/>
  <c r="I8195" i="2" s="1"/>
  <c r="I8196" i="2" a="1"/>
  <c r="I8196" i="2" s="1"/>
  <c r="I8197" i="2" a="1"/>
  <c r="I8197" i="2" s="1"/>
  <c r="I8198" i="2" a="1"/>
  <c r="I8198" i="2" s="1"/>
  <c r="I8199" i="2" a="1"/>
  <c r="I8199" i="2" s="1"/>
  <c r="I8200" i="2" a="1"/>
  <c r="I8200" i="2" s="1"/>
  <c r="I8201" i="2" a="1"/>
  <c r="I8201" i="2" s="1"/>
  <c r="I8202" i="2" a="1"/>
  <c r="I8202" i="2" s="1"/>
  <c r="I8203" i="2" a="1"/>
  <c r="I8203" i="2" s="1"/>
  <c r="I8204" i="2" a="1"/>
  <c r="I8204" i="2" s="1"/>
  <c r="I8205" i="2" a="1"/>
  <c r="I8205" i="2" s="1"/>
  <c r="I8206" i="2" a="1"/>
  <c r="I8206" i="2" s="1"/>
  <c r="I8207" i="2" a="1"/>
  <c r="I8207" i="2" s="1"/>
  <c r="I8208" i="2" a="1"/>
  <c r="I8208" i="2" s="1"/>
  <c r="I8209" i="2" a="1"/>
  <c r="I8209" i="2" s="1"/>
  <c r="I8210" i="2" a="1"/>
  <c r="I8210" i="2" s="1"/>
  <c r="I8211" i="2" a="1"/>
  <c r="I8211" i="2" s="1"/>
  <c r="I8212" i="2" a="1"/>
  <c r="I8212" i="2" s="1"/>
  <c r="I8213" i="2" a="1"/>
  <c r="I8213" i="2" s="1"/>
  <c r="I8214" i="2" a="1"/>
  <c r="I8214" i="2" s="1"/>
  <c r="I8215" i="2" a="1"/>
  <c r="I8215" i="2" s="1"/>
  <c r="I8216" i="2" a="1"/>
  <c r="I8216" i="2" s="1"/>
  <c r="I8217" i="2" a="1"/>
  <c r="I8217" i="2" s="1"/>
  <c r="I8218" i="2" a="1"/>
  <c r="I8218" i="2" s="1"/>
  <c r="I8219" i="2" a="1"/>
  <c r="I8219" i="2" s="1"/>
  <c r="I8220" i="2" a="1"/>
  <c r="I8220" i="2" s="1"/>
  <c r="I8221" i="2" a="1"/>
  <c r="I8221" i="2" s="1"/>
  <c r="I8222" i="2" a="1"/>
  <c r="I8222" i="2" s="1"/>
  <c r="I8223" i="2" a="1"/>
  <c r="I8223" i="2" s="1"/>
  <c r="I8224" i="2" a="1"/>
  <c r="I8224" i="2" s="1"/>
  <c r="I8225" i="2" a="1"/>
  <c r="I8225" i="2" s="1"/>
  <c r="I8226" i="2" a="1"/>
  <c r="I8226" i="2" s="1"/>
  <c r="I8227" i="2" a="1"/>
  <c r="I8227" i="2" s="1"/>
  <c r="I8228" i="2" a="1"/>
  <c r="I8228" i="2" s="1"/>
  <c r="I8229" i="2" a="1"/>
  <c r="I8229" i="2" s="1"/>
  <c r="I8230" i="2" a="1"/>
  <c r="I8230" i="2" s="1"/>
  <c r="I8231" i="2" a="1"/>
  <c r="I8231" i="2" s="1"/>
  <c r="I8232" i="2" a="1"/>
  <c r="I8232" i="2" s="1"/>
  <c r="I8233" i="2" a="1"/>
  <c r="I8233" i="2" s="1"/>
  <c r="I8234" i="2" a="1"/>
  <c r="I8234" i="2" s="1"/>
  <c r="I8235" i="2" a="1"/>
  <c r="I8235" i="2" s="1"/>
  <c r="I8236" i="2" a="1"/>
  <c r="I8236" i="2" s="1"/>
  <c r="I8237" i="2" a="1"/>
  <c r="I8237" i="2" s="1"/>
  <c r="I8238" i="2" a="1"/>
  <c r="I8238" i="2" s="1"/>
  <c r="I8239" i="2" a="1"/>
  <c r="I8239" i="2" s="1"/>
  <c r="I8240" i="2" a="1"/>
  <c r="I8240" i="2" s="1"/>
  <c r="I8241" i="2" a="1"/>
  <c r="I8241" i="2" s="1"/>
  <c r="I8242" i="2" a="1"/>
  <c r="I8242" i="2" s="1"/>
  <c r="I8243" i="2" a="1"/>
  <c r="I8243" i="2" s="1"/>
  <c r="I8244" i="2" a="1"/>
  <c r="I8244" i="2" s="1"/>
  <c r="I8245" i="2" a="1"/>
  <c r="I8245" i="2" s="1"/>
  <c r="I8246" i="2" a="1"/>
  <c r="I8246" i="2" s="1"/>
  <c r="I8247" i="2" a="1"/>
  <c r="I8247" i="2" s="1"/>
  <c r="I8248" i="2" a="1"/>
  <c r="I8248" i="2" s="1"/>
  <c r="I8249" i="2" a="1"/>
  <c r="I8249" i="2" s="1"/>
  <c r="I8250" i="2" a="1"/>
  <c r="I8250" i="2" s="1"/>
  <c r="I8251" i="2" a="1"/>
  <c r="I8251" i="2" s="1"/>
  <c r="I8252" i="2" a="1"/>
  <c r="I8252" i="2" s="1"/>
  <c r="I8253" i="2" a="1"/>
  <c r="I8253" i="2" s="1"/>
  <c r="I8254" i="2" a="1"/>
  <c r="I8254" i="2" s="1"/>
  <c r="I8255" i="2" a="1"/>
  <c r="I8255" i="2" s="1"/>
  <c r="I8256" i="2" a="1"/>
  <c r="I8256" i="2" s="1"/>
  <c r="I8257" i="2" a="1"/>
  <c r="I8257" i="2" s="1"/>
  <c r="I8258" i="2" a="1"/>
  <c r="I8258" i="2" s="1"/>
  <c r="I8259" i="2" a="1"/>
  <c r="I8259" i="2" s="1"/>
  <c r="I8260" i="2" a="1"/>
  <c r="I8260" i="2" s="1"/>
  <c r="I8261" i="2" a="1"/>
  <c r="I8261" i="2" s="1"/>
  <c r="I8262" i="2" a="1"/>
  <c r="I8262" i="2" s="1"/>
  <c r="I8263" i="2" a="1"/>
  <c r="I8263" i="2" s="1"/>
  <c r="I8264" i="2" a="1"/>
  <c r="I8264" i="2" s="1"/>
  <c r="I8265" i="2" a="1"/>
  <c r="I8265" i="2" s="1"/>
  <c r="I8266" i="2" a="1"/>
  <c r="I8266" i="2" s="1"/>
  <c r="I8267" i="2" a="1"/>
  <c r="I8267" i="2" s="1"/>
  <c r="I8268" i="2" a="1"/>
  <c r="I8268" i="2" s="1"/>
  <c r="I8269" i="2" a="1"/>
  <c r="I8269" i="2" s="1"/>
  <c r="I8270" i="2" a="1"/>
  <c r="I8270" i="2" s="1"/>
  <c r="I8271" i="2" a="1"/>
  <c r="I8271" i="2" s="1"/>
  <c r="I8272" i="2" a="1"/>
  <c r="I8272" i="2" s="1"/>
  <c r="I8273" i="2" a="1"/>
  <c r="I8273" i="2" s="1"/>
  <c r="I8274" i="2" a="1"/>
  <c r="I8274" i="2" s="1"/>
  <c r="I8275" i="2" a="1"/>
  <c r="I8275" i="2" s="1"/>
  <c r="I8276" i="2" a="1"/>
  <c r="I8276" i="2" s="1"/>
  <c r="I8277" i="2" a="1"/>
  <c r="I8277" i="2" s="1"/>
  <c r="I8278" i="2" a="1"/>
  <c r="I8278" i="2" s="1"/>
  <c r="I8279" i="2" a="1"/>
  <c r="I8279" i="2" s="1"/>
  <c r="I8280" i="2" a="1"/>
  <c r="I8280" i="2" s="1"/>
  <c r="I8281" i="2" a="1"/>
  <c r="I8281" i="2" s="1"/>
  <c r="I8282" i="2" a="1"/>
  <c r="I8282" i="2" s="1"/>
  <c r="I8283" i="2" a="1"/>
  <c r="I8283" i="2" s="1"/>
  <c r="I8284" i="2" a="1"/>
  <c r="I8284" i="2" s="1"/>
  <c r="I8285" i="2" a="1"/>
  <c r="I8285" i="2" s="1"/>
  <c r="I8286" i="2" a="1"/>
  <c r="I8286" i="2" s="1"/>
  <c r="I8287" i="2" a="1"/>
  <c r="I8287" i="2" s="1"/>
  <c r="I8288" i="2" a="1"/>
  <c r="I8288" i="2" s="1"/>
  <c r="I8289" i="2" a="1"/>
  <c r="I8289" i="2" s="1"/>
  <c r="I8290" i="2" a="1"/>
  <c r="I8290" i="2" s="1"/>
  <c r="I8291" i="2" a="1"/>
  <c r="I8291" i="2" s="1"/>
  <c r="I8292" i="2" a="1"/>
  <c r="I8292" i="2" s="1"/>
  <c r="I8293" i="2" a="1"/>
  <c r="I8293" i="2" s="1"/>
  <c r="I8294" i="2" a="1"/>
  <c r="I8294" i="2" s="1"/>
  <c r="I8295" i="2" a="1"/>
  <c r="I8295" i="2" s="1"/>
  <c r="I8296" i="2" a="1"/>
  <c r="I8296" i="2" s="1"/>
  <c r="I8297" i="2" a="1"/>
  <c r="I8297" i="2" s="1"/>
  <c r="I8298" i="2" a="1"/>
  <c r="I8298" i="2" s="1"/>
  <c r="I8299" i="2" a="1"/>
  <c r="I8299" i="2" s="1"/>
  <c r="I8300" i="2" a="1"/>
  <c r="I8300" i="2" s="1"/>
  <c r="I8301" i="2" a="1"/>
  <c r="I8301" i="2" s="1"/>
  <c r="I8302" i="2" a="1"/>
  <c r="I8302" i="2" s="1"/>
  <c r="I8303" i="2" a="1"/>
  <c r="I8303" i="2" s="1"/>
  <c r="I8304" i="2" a="1"/>
  <c r="I8304" i="2" s="1"/>
  <c r="I8305" i="2" a="1"/>
  <c r="I8305" i="2" s="1"/>
  <c r="I8306" i="2" a="1"/>
  <c r="I8306" i="2" s="1"/>
  <c r="I8307" i="2" a="1"/>
  <c r="I8307" i="2" s="1"/>
  <c r="I8308" i="2" a="1"/>
  <c r="I8308" i="2" s="1"/>
  <c r="I8309" i="2" a="1"/>
  <c r="I8309" i="2" s="1"/>
  <c r="I8310" i="2" a="1"/>
  <c r="I8310" i="2" s="1"/>
  <c r="I8311" i="2" a="1"/>
  <c r="I8311" i="2" s="1"/>
  <c r="I8312" i="2" a="1"/>
  <c r="I8312" i="2" s="1"/>
  <c r="I8313" i="2" a="1"/>
  <c r="I8313" i="2" s="1"/>
  <c r="I8314" i="2" a="1"/>
  <c r="I8314" i="2" s="1"/>
  <c r="I8315" i="2" a="1"/>
  <c r="I8315" i="2" s="1"/>
  <c r="I8316" i="2" a="1"/>
  <c r="I8316" i="2" s="1"/>
  <c r="I8317" i="2" a="1"/>
  <c r="I8317" i="2" s="1"/>
  <c r="I8318" i="2" a="1"/>
  <c r="I8318" i="2" s="1"/>
  <c r="I8319" i="2" a="1"/>
  <c r="I8319" i="2" s="1"/>
  <c r="I8320" i="2" a="1"/>
  <c r="I8320" i="2" s="1"/>
  <c r="I8321" i="2" a="1"/>
  <c r="I8321" i="2" s="1"/>
  <c r="I8322" i="2" a="1"/>
  <c r="I8322" i="2" s="1"/>
  <c r="I8323" i="2" a="1"/>
  <c r="I8323" i="2" s="1"/>
  <c r="I8324" i="2" a="1"/>
  <c r="I8324" i="2" s="1"/>
  <c r="I8325" i="2" a="1"/>
  <c r="I8325" i="2" s="1"/>
  <c r="I8326" i="2" a="1"/>
  <c r="I8326" i="2" s="1"/>
  <c r="I8327" i="2" a="1"/>
  <c r="I8327" i="2" s="1"/>
  <c r="I8328" i="2" a="1"/>
  <c r="I8328" i="2" s="1"/>
  <c r="I8329" i="2" a="1"/>
  <c r="I8329" i="2" s="1"/>
  <c r="I8330" i="2" a="1"/>
  <c r="I8330" i="2" s="1"/>
  <c r="I8331" i="2" a="1"/>
  <c r="I8331" i="2" s="1"/>
  <c r="I8332" i="2" a="1"/>
  <c r="I8332" i="2" s="1"/>
  <c r="I8333" i="2" a="1"/>
  <c r="I8333" i="2" s="1"/>
  <c r="I8334" i="2" a="1"/>
  <c r="I8334" i="2" s="1"/>
  <c r="I8335" i="2" a="1"/>
  <c r="I8335" i="2" s="1"/>
  <c r="I8336" i="2" a="1"/>
  <c r="I8336" i="2" s="1"/>
  <c r="I8337" i="2" a="1"/>
  <c r="I8337" i="2" s="1"/>
  <c r="I8338" i="2" a="1"/>
  <c r="I8338" i="2" s="1"/>
  <c r="I8339" i="2" a="1"/>
  <c r="I8339" i="2" s="1"/>
  <c r="I8340" i="2" a="1"/>
  <c r="I8340" i="2" s="1"/>
  <c r="I8341" i="2" a="1"/>
  <c r="I8341" i="2" s="1"/>
  <c r="I8342" i="2" a="1"/>
  <c r="I8342" i="2" s="1"/>
  <c r="I8343" i="2" a="1"/>
  <c r="I8343" i="2" s="1"/>
  <c r="I8344" i="2" a="1"/>
  <c r="I8344" i="2" s="1"/>
  <c r="I8345" i="2" a="1"/>
  <c r="I8345" i="2" s="1"/>
  <c r="I8346" i="2" a="1"/>
  <c r="I8346" i="2" s="1"/>
  <c r="I8347" i="2" a="1"/>
  <c r="I8347" i="2" s="1"/>
  <c r="I8348" i="2" a="1"/>
  <c r="I8348" i="2" s="1"/>
  <c r="I8349" i="2" a="1"/>
  <c r="I8349" i="2" s="1"/>
  <c r="I8350" i="2" a="1"/>
  <c r="I8350" i="2" s="1"/>
  <c r="I8351" i="2" a="1"/>
  <c r="I8351" i="2" s="1"/>
  <c r="I8352" i="2" a="1"/>
  <c r="I8352" i="2" s="1"/>
  <c r="I8353" i="2" a="1"/>
  <c r="I8353" i="2" s="1"/>
  <c r="I8354" i="2" a="1"/>
  <c r="I8354" i="2" s="1"/>
  <c r="I8355" i="2" a="1"/>
  <c r="I8355" i="2" s="1"/>
  <c r="I8356" i="2" a="1"/>
  <c r="I8356" i="2" s="1"/>
  <c r="I8357" i="2" a="1"/>
  <c r="I8357" i="2" s="1"/>
  <c r="I8358" i="2" a="1"/>
  <c r="I8358" i="2" s="1"/>
  <c r="I8359" i="2" a="1"/>
  <c r="I8359" i="2" s="1"/>
  <c r="I8360" i="2" a="1"/>
  <c r="I8360" i="2" s="1"/>
  <c r="I8361" i="2" a="1"/>
  <c r="I8361" i="2" s="1"/>
  <c r="I8362" i="2" a="1"/>
  <c r="I8362" i="2" s="1"/>
  <c r="I8363" i="2" a="1"/>
  <c r="I8363" i="2" s="1"/>
  <c r="I8364" i="2" a="1"/>
  <c r="I8364" i="2" s="1"/>
  <c r="I8365" i="2" a="1"/>
  <c r="I8365" i="2" s="1"/>
  <c r="I8366" i="2" a="1"/>
  <c r="I8366" i="2" s="1"/>
  <c r="I8367" i="2" a="1"/>
  <c r="I8367" i="2" s="1"/>
  <c r="I8368" i="2" a="1"/>
  <c r="I8368" i="2" s="1"/>
  <c r="I8369" i="2" a="1"/>
  <c r="I8369" i="2" s="1"/>
  <c r="I8370" i="2" a="1"/>
  <c r="I8370" i="2" s="1"/>
  <c r="I8371" i="2" a="1"/>
  <c r="I8371" i="2" s="1"/>
  <c r="I8372" i="2" a="1"/>
  <c r="I8372" i="2" s="1"/>
  <c r="I8373" i="2" a="1"/>
  <c r="I8373" i="2" s="1"/>
  <c r="I8374" i="2" a="1"/>
  <c r="I8374" i="2" s="1"/>
  <c r="I8375" i="2" a="1"/>
  <c r="I8375" i="2" s="1"/>
  <c r="I8376" i="2" a="1"/>
  <c r="I8376" i="2" s="1"/>
  <c r="I8377" i="2" a="1"/>
  <c r="I8377" i="2" s="1"/>
  <c r="I8378" i="2" a="1"/>
  <c r="I8378" i="2" s="1"/>
  <c r="I8379" i="2" a="1"/>
  <c r="I8379" i="2" s="1"/>
  <c r="I8380" i="2" a="1"/>
  <c r="I8380" i="2" s="1"/>
  <c r="I8381" i="2" a="1"/>
  <c r="I8381" i="2" s="1"/>
  <c r="I8382" i="2" a="1"/>
  <c r="I8382" i="2" s="1"/>
  <c r="I8383" i="2" a="1"/>
  <c r="I8383" i="2" s="1"/>
  <c r="I8384" i="2" a="1"/>
  <c r="I8384" i="2" s="1"/>
  <c r="I8385" i="2" a="1"/>
  <c r="I8385" i="2" s="1"/>
  <c r="I8386" i="2" a="1"/>
  <c r="I8386" i="2" s="1"/>
  <c r="I8387" i="2" a="1"/>
  <c r="I8387" i="2" s="1"/>
  <c r="I8388" i="2" a="1"/>
  <c r="I8388" i="2" s="1"/>
  <c r="I8389" i="2" a="1"/>
  <c r="I8389" i="2" s="1"/>
  <c r="I8390" i="2" a="1"/>
  <c r="I8390" i="2" s="1"/>
  <c r="I8391" i="2" a="1"/>
  <c r="I8391" i="2" s="1"/>
  <c r="I8392" i="2" a="1"/>
  <c r="I8392" i="2" s="1"/>
  <c r="I8393" i="2" a="1"/>
  <c r="I8393" i="2" s="1"/>
  <c r="I8394" i="2" a="1"/>
  <c r="I8394" i="2" s="1"/>
  <c r="I8395" i="2" a="1"/>
  <c r="I8395" i="2" s="1"/>
  <c r="I8396" i="2" a="1"/>
  <c r="I8396" i="2" s="1"/>
  <c r="I8397" i="2" a="1"/>
  <c r="I8397" i="2" s="1"/>
  <c r="I8398" i="2" a="1"/>
  <c r="I8398" i="2" s="1"/>
  <c r="I8399" i="2" a="1"/>
  <c r="I8399" i="2" s="1"/>
  <c r="I8400" i="2" a="1"/>
  <c r="I8400" i="2" s="1"/>
  <c r="I8401" i="2" a="1"/>
  <c r="I8401" i="2" s="1"/>
  <c r="I8402" i="2" a="1"/>
  <c r="I8402" i="2" s="1"/>
  <c r="I8403" i="2" a="1"/>
  <c r="I8403" i="2" s="1"/>
  <c r="I8404" i="2" a="1"/>
  <c r="I8404" i="2" s="1"/>
  <c r="I8405" i="2" a="1"/>
  <c r="I8405" i="2" s="1"/>
  <c r="I8406" i="2" a="1"/>
  <c r="I8406" i="2" s="1"/>
  <c r="I8407" i="2" a="1"/>
  <c r="I8407" i="2" s="1"/>
  <c r="I8408" i="2" a="1"/>
  <c r="I8408" i="2" s="1"/>
  <c r="I8409" i="2" a="1"/>
  <c r="I8409" i="2" s="1"/>
  <c r="I8410" i="2" a="1"/>
  <c r="I8410" i="2" s="1"/>
  <c r="I8411" i="2" a="1"/>
  <c r="I8411" i="2" s="1"/>
  <c r="I8412" i="2" a="1"/>
  <c r="I8412" i="2" s="1"/>
  <c r="I8413" i="2" a="1"/>
  <c r="I8413" i="2" s="1"/>
  <c r="I8414" i="2" a="1"/>
  <c r="I8414" i="2" s="1"/>
  <c r="I8415" i="2" a="1"/>
  <c r="I8415" i="2" s="1"/>
  <c r="I8416" i="2" a="1"/>
  <c r="I8416" i="2" s="1"/>
  <c r="I8417" i="2" a="1"/>
  <c r="I8417" i="2" s="1"/>
  <c r="I8418" i="2" a="1"/>
  <c r="I8418" i="2" s="1"/>
  <c r="I8419" i="2" a="1"/>
  <c r="I8419" i="2" s="1"/>
  <c r="I8420" i="2" a="1"/>
  <c r="I8420" i="2" s="1"/>
  <c r="I8421" i="2" a="1"/>
  <c r="I8421" i="2" s="1"/>
  <c r="I8422" i="2" a="1"/>
  <c r="I8422" i="2" s="1"/>
  <c r="I8423" i="2" a="1"/>
  <c r="I8423" i="2" s="1"/>
  <c r="I8424" i="2" a="1"/>
  <c r="I8424" i="2" s="1"/>
  <c r="I8425" i="2" a="1"/>
  <c r="I8425" i="2" s="1"/>
  <c r="I8426" i="2" a="1"/>
  <c r="I8426" i="2" s="1"/>
  <c r="I8427" i="2" a="1"/>
  <c r="I8427" i="2" s="1"/>
  <c r="I8428" i="2" a="1"/>
  <c r="I8428" i="2" s="1"/>
  <c r="I8429" i="2" a="1"/>
  <c r="I8429" i="2" s="1"/>
  <c r="I8430" i="2" a="1"/>
  <c r="I8430" i="2" s="1"/>
  <c r="I8431" i="2" a="1"/>
  <c r="I8431" i="2" s="1"/>
  <c r="I8432" i="2" a="1"/>
  <c r="I8432" i="2" s="1"/>
  <c r="I8433" i="2" a="1"/>
  <c r="I8433" i="2" s="1"/>
  <c r="I8434" i="2" a="1"/>
  <c r="I8434" i="2" s="1"/>
  <c r="I8435" i="2" a="1"/>
  <c r="I8435" i="2" s="1"/>
  <c r="I8436" i="2" a="1"/>
  <c r="I8436" i="2" s="1"/>
  <c r="I8437" i="2" a="1"/>
  <c r="I8437" i="2" s="1"/>
  <c r="I8438" i="2" a="1"/>
  <c r="I8438" i="2" s="1"/>
  <c r="I8439" i="2" a="1"/>
  <c r="I8439" i="2" s="1"/>
  <c r="I8440" i="2" a="1"/>
  <c r="I8440" i="2" s="1"/>
  <c r="I8441" i="2" a="1"/>
  <c r="I8441" i="2" s="1"/>
  <c r="I8442" i="2" a="1"/>
  <c r="I8442" i="2" s="1"/>
  <c r="I8443" i="2" a="1"/>
  <c r="I8443" i="2" s="1"/>
  <c r="I8444" i="2" a="1"/>
  <c r="I8444" i="2" s="1"/>
  <c r="I8445" i="2" a="1"/>
  <c r="I8445" i="2" s="1"/>
  <c r="I8446" i="2" a="1"/>
  <c r="I8446" i="2" s="1"/>
  <c r="I8447" i="2" a="1"/>
  <c r="I8447" i="2" s="1"/>
  <c r="I8448" i="2" a="1"/>
  <c r="I8448" i="2" s="1"/>
  <c r="I8449" i="2" a="1"/>
  <c r="I8449" i="2" s="1"/>
  <c r="I8450" i="2" a="1"/>
  <c r="I8450" i="2" s="1"/>
  <c r="I8451" i="2" a="1"/>
  <c r="I8451" i="2" s="1"/>
  <c r="I8452" i="2" a="1"/>
  <c r="I8452" i="2" s="1"/>
  <c r="I8453" i="2" a="1"/>
  <c r="I8453" i="2" s="1"/>
  <c r="I8454" i="2" a="1"/>
  <c r="I8454" i="2" s="1"/>
  <c r="I8455" i="2" a="1"/>
  <c r="I8455" i="2" s="1"/>
  <c r="I8456" i="2" a="1"/>
  <c r="I8456" i="2" s="1"/>
  <c r="I8457" i="2" a="1"/>
  <c r="I8457" i="2" s="1"/>
  <c r="I8458" i="2" a="1"/>
  <c r="I8458" i="2" s="1"/>
  <c r="I8459" i="2" a="1"/>
  <c r="I8459" i="2" s="1"/>
  <c r="I8460" i="2" a="1"/>
  <c r="I8460" i="2" s="1"/>
  <c r="I8461" i="2" a="1"/>
  <c r="I8461" i="2" s="1"/>
  <c r="I8462" i="2" a="1"/>
  <c r="I8462" i="2" s="1"/>
  <c r="I8463" i="2" a="1"/>
  <c r="I8463" i="2" s="1"/>
  <c r="I8464" i="2" a="1"/>
  <c r="I8464" i="2" s="1"/>
  <c r="I8465" i="2" a="1"/>
  <c r="I8465" i="2" s="1"/>
  <c r="I8466" i="2" a="1"/>
  <c r="I8466" i="2" s="1"/>
  <c r="I8467" i="2" a="1"/>
  <c r="I8467" i="2" s="1"/>
  <c r="I8468" i="2" a="1"/>
  <c r="I8468" i="2" s="1"/>
  <c r="I8469" i="2" a="1"/>
  <c r="I8469" i="2" s="1"/>
  <c r="I8470" i="2" a="1"/>
  <c r="I8470" i="2" s="1"/>
  <c r="I8471" i="2" a="1"/>
  <c r="I8471" i="2" s="1"/>
  <c r="I8472" i="2" a="1"/>
  <c r="I8472" i="2" s="1"/>
  <c r="I8473" i="2" a="1"/>
  <c r="I8473" i="2" s="1"/>
  <c r="I8474" i="2" a="1"/>
  <c r="I8474" i="2" s="1"/>
  <c r="I8475" i="2" a="1"/>
  <c r="I8475" i="2" s="1"/>
  <c r="I8476" i="2" a="1"/>
  <c r="I8476" i="2" s="1"/>
  <c r="I8477" i="2" a="1"/>
  <c r="I8477" i="2" s="1"/>
  <c r="I8478" i="2" a="1"/>
  <c r="I8478" i="2" s="1"/>
  <c r="I8479" i="2" a="1"/>
  <c r="I8479" i="2" s="1"/>
  <c r="I8480" i="2" a="1"/>
  <c r="I8480" i="2" s="1"/>
  <c r="I8481" i="2" a="1"/>
  <c r="I8481" i="2" s="1"/>
  <c r="I8482" i="2" a="1"/>
  <c r="I8482" i="2" s="1"/>
  <c r="I8483" i="2" a="1"/>
  <c r="I8483" i="2" s="1"/>
  <c r="I8484" i="2" a="1"/>
  <c r="I8484" i="2" s="1"/>
  <c r="I8485" i="2" a="1"/>
  <c r="I8485" i="2" s="1"/>
  <c r="I8486" i="2" a="1"/>
  <c r="I8486" i="2" s="1"/>
  <c r="I8487" i="2" a="1"/>
  <c r="I8487" i="2" s="1"/>
  <c r="I8488" i="2" a="1"/>
  <c r="I8488" i="2" s="1"/>
  <c r="I8489" i="2" a="1"/>
  <c r="I8489" i="2" s="1"/>
  <c r="I8490" i="2" a="1"/>
  <c r="I8490" i="2" s="1"/>
  <c r="I8491" i="2" a="1"/>
  <c r="I8491" i="2" s="1"/>
  <c r="I8492" i="2" a="1"/>
  <c r="I8492" i="2" s="1"/>
  <c r="I8493" i="2" a="1"/>
  <c r="I8493" i="2" s="1"/>
  <c r="I8494" i="2" a="1"/>
  <c r="I8494" i="2" s="1"/>
  <c r="I8495" i="2" a="1"/>
  <c r="I8495" i="2" s="1"/>
  <c r="I8496" i="2" a="1"/>
  <c r="I8496" i="2" s="1"/>
  <c r="I8497" i="2" a="1"/>
  <c r="I8497" i="2" s="1"/>
  <c r="I8498" i="2" a="1"/>
  <c r="I8498" i="2" s="1"/>
  <c r="I8499" i="2" a="1"/>
  <c r="I8499" i="2" s="1"/>
  <c r="I8500" i="2" a="1"/>
  <c r="I8500" i="2" s="1"/>
  <c r="I8501" i="2" a="1"/>
  <c r="I8501" i="2" s="1"/>
  <c r="I8502" i="2" a="1"/>
  <c r="I8502" i="2" s="1"/>
  <c r="I8503" i="2" a="1"/>
  <c r="I8503" i="2" s="1"/>
  <c r="I8504" i="2" a="1"/>
  <c r="I8504" i="2" s="1"/>
  <c r="I8505" i="2" a="1"/>
  <c r="I8505" i="2" s="1"/>
  <c r="I8506" i="2" a="1"/>
  <c r="I8506" i="2" s="1"/>
  <c r="I8507" i="2" a="1"/>
  <c r="I8507" i="2" s="1"/>
  <c r="I8508" i="2" a="1"/>
  <c r="I8508" i="2" s="1"/>
  <c r="I8509" i="2" a="1"/>
  <c r="I8509" i="2" s="1"/>
  <c r="I8510" i="2" a="1"/>
  <c r="I8510" i="2" s="1"/>
  <c r="I8511" i="2" a="1"/>
  <c r="I8511" i="2" s="1"/>
  <c r="I8512" i="2" a="1"/>
  <c r="I8512" i="2" s="1"/>
  <c r="I8513" i="2" a="1"/>
  <c r="I8513" i="2" s="1"/>
  <c r="I8514" i="2" a="1"/>
  <c r="I8514" i="2" s="1"/>
  <c r="I8515" i="2" a="1"/>
  <c r="I8515" i="2" s="1"/>
  <c r="I8516" i="2" a="1"/>
  <c r="I8516" i="2" s="1"/>
  <c r="I8517" i="2" a="1"/>
  <c r="I8517" i="2" s="1"/>
  <c r="I8518" i="2" a="1"/>
  <c r="I8518" i="2" s="1"/>
  <c r="I8519" i="2" a="1"/>
  <c r="I8519" i="2" s="1"/>
  <c r="I8520" i="2" a="1"/>
  <c r="I8520" i="2" s="1"/>
  <c r="I8521" i="2" a="1"/>
  <c r="I8521" i="2" s="1"/>
  <c r="I8522" i="2" a="1"/>
  <c r="I8522" i="2" s="1"/>
  <c r="I8523" i="2" a="1"/>
  <c r="I8523" i="2" s="1"/>
  <c r="I8524" i="2" a="1"/>
  <c r="I8524" i="2" s="1"/>
  <c r="I8525" i="2" a="1"/>
  <c r="I8525" i="2" s="1"/>
  <c r="I8526" i="2" a="1"/>
  <c r="I8526" i="2" s="1"/>
  <c r="I8527" i="2" a="1"/>
  <c r="I8527" i="2" s="1"/>
  <c r="I8528" i="2" a="1"/>
  <c r="I8528" i="2" s="1"/>
  <c r="I8529" i="2" a="1"/>
  <c r="I8529" i="2" s="1"/>
  <c r="I8530" i="2" a="1"/>
  <c r="I8530" i="2" s="1"/>
  <c r="I8531" i="2" a="1"/>
  <c r="I8531" i="2" s="1"/>
  <c r="I8532" i="2" a="1"/>
  <c r="I8532" i="2" s="1"/>
  <c r="I8533" i="2" a="1"/>
  <c r="I8533" i="2" s="1"/>
  <c r="I8534" i="2" a="1"/>
  <c r="I8534" i="2" s="1"/>
  <c r="I8535" i="2" a="1"/>
  <c r="I8535" i="2" s="1"/>
  <c r="I8536" i="2" a="1"/>
  <c r="I8536" i="2" s="1"/>
  <c r="I8537" i="2" a="1"/>
  <c r="I8537" i="2" s="1"/>
  <c r="I8538" i="2" a="1"/>
  <c r="I8538" i="2" s="1"/>
  <c r="I8539" i="2" a="1"/>
  <c r="I8539" i="2" s="1"/>
  <c r="I8540" i="2" a="1"/>
  <c r="I8540" i="2" s="1"/>
  <c r="I8541" i="2" a="1"/>
  <c r="I8541" i="2" s="1"/>
  <c r="I8542" i="2" a="1"/>
  <c r="I8542" i="2" s="1"/>
  <c r="I8543" i="2" a="1"/>
  <c r="I8543" i="2" s="1"/>
  <c r="I8544" i="2" a="1"/>
  <c r="I8544" i="2" s="1"/>
  <c r="I8545" i="2" a="1"/>
  <c r="I8545" i="2" s="1"/>
  <c r="I8546" i="2" a="1"/>
  <c r="I8546" i="2" s="1"/>
  <c r="I8547" i="2" a="1"/>
  <c r="I8547" i="2" s="1"/>
  <c r="I8548" i="2" a="1"/>
  <c r="I8548" i="2" s="1"/>
  <c r="I8549" i="2" a="1"/>
  <c r="I8549" i="2" s="1"/>
  <c r="I8550" i="2" a="1"/>
  <c r="I8550" i="2" s="1"/>
  <c r="I8551" i="2" a="1"/>
  <c r="I8551" i="2" s="1"/>
  <c r="I8552" i="2" a="1"/>
  <c r="I8552" i="2" s="1"/>
  <c r="I8553" i="2" a="1"/>
  <c r="I8553" i="2" s="1"/>
  <c r="I8554" i="2" a="1"/>
  <c r="I8554" i="2" s="1"/>
  <c r="I8555" i="2" a="1"/>
  <c r="I8555" i="2" s="1"/>
  <c r="I8556" i="2" a="1"/>
  <c r="I8556" i="2" s="1"/>
  <c r="I8557" i="2" a="1"/>
  <c r="I8557" i="2" s="1"/>
  <c r="I8558" i="2" a="1"/>
  <c r="I8558" i="2" s="1"/>
  <c r="I8559" i="2" a="1"/>
  <c r="I8559" i="2" s="1"/>
  <c r="I8560" i="2" a="1"/>
  <c r="I8560" i="2" s="1"/>
  <c r="I8561" i="2" a="1"/>
  <c r="I8561" i="2" s="1"/>
  <c r="I8562" i="2" a="1"/>
  <c r="I8562" i="2" s="1"/>
  <c r="I8563" i="2" a="1"/>
  <c r="I8563" i="2" s="1"/>
  <c r="I8564" i="2" a="1"/>
  <c r="I8564" i="2" s="1"/>
  <c r="I8565" i="2" a="1"/>
  <c r="I8565" i="2" s="1"/>
  <c r="I8566" i="2" a="1"/>
  <c r="I8566" i="2" s="1"/>
  <c r="I8567" i="2" a="1"/>
  <c r="I8567" i="2" s="1"/>
  <c r="I8568" i="2" a="1"/>
  <c r="I8568" i="2" s="1"/>
  <c r="I8569" i="2" a="1"/>
  <c r="I8569" i="2" s="1"/>
  <c r="I8570" i="2" a="1"/>
  <c r="I8570" i="2" s="1"/>
  <c r="I8571" i="2" a="1"/>
  <c r="I8571" i="2" s="1"/>
  <c r="I8572" i="2" a="1"/>
  <c r="I8572" i="2" s="1"/>
  <c r="I8573" i="2" a="1"/>
  <c r="I8573" i="2" s="1"/>
  <c r="I8574" i="2" a="1"/>
  <c r="I8574" i="2" s="1"/>
  <c r="I8575" i="2" a="1"/>
  <c r="I8575" i="2" s="1"/>
  <c r="I8576" i="2" a="1"/>
  <c r="I8576" i="2" s="1"/>
  <c r="I8577" i="2" a="1"/>
  <c r="I8577" i="2" s="1"/>
  <c r="I8578" i="2" a="1"/>
  <c r="I8578" i="2" s="1"/>
  <c r="I8579" i="2" a="1"/>
  <c r="I8579" i="2" s="1"/>
  <c r="I8580" i="2" a="1"/>
  <c r="I8580" i="2" s="1"/>
  <c r="I8581" i="2" a="1"/>
  <c r="I8581" i="2" s="1"/>
  <c r="I8582" i="2" a="1"/>
  <c r="I8582" i="2" s="1"/>
  <c r="I8583" i="2" a="1"/>
  <c r="I8583" i="2" s="1"/>
  <c r="I8584" i="2" a="1"/>
  <c r="I8584" i="2" s="1"/>
  <c r="I8585" i="2" a="1"/>
  <c r="I8585" i="2" s="1"/>
  <c r="I8586" i="2" a="1"/>
  <c r="I8586" i="2" s="1"/>
  <c r="I8587" i="2" a="1"/>
  <c r="I8587" i="2" s="1"/>
  <c r="I8588" i="2" a="1"/>
  <c r="I8588" i="2" s="1"/>
  <c r="I8589" i="2" a="1"/>
  <c r="I8589" i="2" s="1"/>
  <c r="I8590" i="2" a="1"/>
  <c r="I8590" i="2" s="1"/>
  <c r="I8591" i="2" a="1"/>
  <c r="I8591" i="2" s="1"/>
  <c r="I8592" i="2" a="1"/>
  <c r="I8592" i="2" s="1"/>
  <c r="I8593" i="2" a="1"/>
  <c r="I8593" i="2" s="1"/>
  <c r="I8594" i="2" a="1"/>
  <c r="I8594" i="2" s="1"/>
  <c r="I8595" i="2" a="1"/>
  <c r="I8595" i="2" s="1"/>
  <c r="I8596" i="2" a="1"/>
  <c r="I8596" i="2" s="1"/>
  <c r="I8597" i="2" a="1"/>
  <c r="I8597" i="2" s="1"/>
  <c r="I8598" i="2" a="1"/>
  <c r="I8598" i="2" s="1"/>
  <c r="I8599" i="2" a="1"/>
  <c r="I8599" i="2" s="1"/>
  <c r="I8600" i="2" a="1"/>
  <c r="I8600" i="2" s="1"/>
  <c r="I8601" i="2" a="1"/>
  <c r="I8601" i="2" s="1"/>
  <c r="I8602" i="2" a="1"/>
  <c r="I8602" i="2" s="1"/>
  <c r="I8603" i="2" a="1"/>
  <c r="I8603" i="2" s="1"/>
  <c r="I8604" i="2" a="1"/>
  <c r="I8604" i="2" s="1"/>
  <c r="I8605" i="2" a="1"/>
  <c r="I8605" i="2" s="1"/>
  <c r="I8606" i="2" a="1"/>
  <c r="I8606" i="2" s="1"/>
  <c r="I8607" i="2" a="1"/>
  <c r="I8607" i="2" s="1"/>
  <c r="I8608" i="2" a="1"/>
  <c r="I8608" i="2" s="1"/>
  <c r="I8609" i="2" a="1"/>
  <c r="I8609" i="2" s="1"/>
  <c r="I8610" i="2" a="1"/>
  <c r="I8610" i="2" s="1"/>
  <c r="I8611" i="2" a="1"/>
  <c r="I8611" i="2" s="1"/>
  <c r="I8612" i="2" a="1"/>
  <c r="I8612" i="2" s="1"/>
  <c r="I8613" i="2" a="1"/>
  <c r="I8613" i="2" s="1"/>
  <c r="I8614" i="2" a="1"/>
  <c r="I8614" i="2" s="1"/>
  <c r="I8615" i="2" a="1"/>
  <c r="I8615" i="2" s="1"/>
  <c r="I8616" i="2" a="1"/>
  <c r="I8616" i="2" s="1"/>
  <c r="I8617" i="2" a="1"/>
  <c r="I8617" i="2" s="1"/>
  <c r="I8618" i="2" a="1"/>
  <c r="I8618" i="2" s="1"/>
  <c r="I8619" i="2" a="1"/>
  <c r="I8619" i="2" s="1"/>
  <c r="I8620" i="2" a="1"/>
  <c r="I8620" i="2" s="1"/>
  <c r="I8621" i="2" a="1"/>
  <c r="I8621" i="2" s="1"/>
  <c r="I8622" i="2" a="1"/>
  <c r="I8622" i="2" s="1"/>
  <c r="I8623" i="2" a="1"/>
  <c r="I8623" i="2" s="1"/>
  <c r="I8624" i="2" a="1"/>
  <c r="I8624" i="2" s="1"/>
  <c r="I8625" i="2" a="1"/>
  <c r="I8625" i="2" s="1"/>
  <c r="I8626" i="2" a="1"/>
  <c r="I8626" i="2" s="1"/>
  <c r="I8627" i="2" a="1"/>
  <c r="I8627" i="2" s="1"/>
  <c r="I8628" i="2" a="1"/>
  <c r="I8628" i="2" s="1"/>
  <c r="I8629" i="2" a="1"/>
  <c r="I8629" i="2" s="1"/>
  <c r="I8630" i="2" a="1"/>
  <c r="I8630" i="2" s="1"/>
  <c r="I8631" i="2" a="1"/>
  <c r="I8631" i="2" s="1"/>
  <c r="I8632" i="2" a="1"/>
  <c r="I8632" i="2" s="1"/>
  <c r="I8633" i="2" a="1"/>
  <c r="I8633" i="2" s="1"/>
  <c r="I8634" i="2" a="1"/>
  <c r="I8634" i="2" s="1"/>
  <c r="I8635" i="2" a="1"/>
  <c r="I8635" i="2" s="1"/>
  <c r="I8636" i="2" a="1"/>
  <c r="I8636" i="2" s="1"/>
  <c r="I8637" i="2" a="1"/>
  <c r="I8637" i="2" s="1"/>
  <c r="I8638" i="2" a="1"/>
  <c r="I8638" i="2" s="1"/>
  <c r="I8639" i="2" a="1"/>
  <c r="I8639" i="2" s="1"/>
  <c r="I8640" i="2" a="1"/>
  <c r="I8640" i="2" s="1"/>
  <c r="I8641" i="2" a="1"/>
  <c r="I8641" i="2" s="1"/>
  <c r="I8642" i="2" a="1"/>
  <c r="I8642" i="2" s="1"/>
  <c r="I8643" i="2" a="1"/>
  <c r="I8643" i="2" s="1"/>
  <c r="I8644" i="2" a="1"/>
  <c r="I8644" i="2" s="1"/>
  <c r="I8645" i="2" a="1"/>
  <c r="I8645" i="2" s="1"/>
  <c r="I8646" i="2" a="1"/>
  <c r="I8646" i="2" s="1"/>
  <c r="I8647" i="2" a="1"/>
  <c r="I8647" i="2" s="1"/>
  <c r="I8648" i="2" a="1"/>
  <c r="I8648" i="2" s="1"/>
  <c r="I8649" i="2" a="1"/>
  <c r="I8649" i="2" s="1"/>
  <c r="I8650" i="2" a="1"/>
  <c r="I8650" i="2" s="1"/>
  <c r="I8651" i="2" a="1"/>
  <c r="I8651" i="2" s="1"/>
  <c r="I8652" i="2" a="1"/>
  <c r="I8652" i="2" s="1"/>
  <c r="I8653" i="2" a="1"/>
  <c r="I8653" i="2" s="1"/>
  <c r="I8654" i="2" a="1"/>
  <c r="I8654" i="2" s="1"/>
  <c r="I8655" i="2" a="1"/>
  <c r="I8655" i="2" s="1"/>
  <c r="I8656" i="2" a="1"/>
  <c r="I8656" i="2" s="1"/>
  <c r="I8657" i="2" a="1"/>
  <c r="I8657" i="2" s="1"/>
  <c r="I8658" i="2" a="1"/>
  <c r="I8658" i="2" s="1"/>
  <c r="I8659" i="2" a="1"/>
  <c r="I8659" i="2" s="1"/>
  <c r="I8660" i="2" a="1"/>
  <c r="I8660" i="2" s="1"/>
  <c r="I8661" i="2" a="1"/>
  <c r="I8661" i="2" s="1"/>
  <c r="I8662" i="2" a="1"/>
  <c r="I8662" i="2" s="1"/>
  <c r="I8663" i="2" a="1"/>
  <c r="I8663" i="2" s="1"/>
  <c r="I8664" i="2" a="1"/>
  <c r="I8664" i="2" s="1"/>
  <c r="I8665" i="2" a="1"/>
  <c r="I8665" i="2" s="1"/>
  <c r="I8666" i="2" a="1"/>
  <c r="I8666" i="2" s="1"/>
  <c r="I8667" i="2" a="1"/>
  <c r="I8667" i="2" s="1"/>
  <c r="I8668" i="2" a="1"/>
  <c r="I8668" i="2" s="1"/>
  <c r="I8669" i="2" a="1"/>
  <c r="I8669" i="2" s="1"/>
  <c r="I8670" i="2" a="1"/>
  <c r="I8670" i="2" s="1"/>
  <c r="I8671" i="2" a="1"/>
  <c r="I8671" i="2" s="1"/>
  <c r="I8672" i="2" a="1"/>
  <c r="I8672" i="2" s="1"/>
  <c r="I8673" i="2" a="1"/>
  <c r="I8673" i="2" s="1"/>
  <c r="I8674" i="2" a="1"/>
  <c r="I8674" i="2" s="1"/>
  <c r="I8675" i="2" a="1"/>
  <c r="I8675" i="2" s="1"/>
  <c r="I8676" i="2" a="1"/>
  <c r="I8676" i="2" s="1"/>
  <c r="I8677" i="2" a="1"/>
  <c r="I8677" i="2" s="1"/>
  <c r="I8678" i="2" a="1"/>
  <c r="I8678" i="2" s="1"/>
  <c r="I8679" i="2" a="1"/>
  <c r="I8679" i="2" s="1"/>
  <c r="I8680" i="2" a="1"/>
  <c r="I8680" i="2" s="1"/>
  <c r="I8681" i="2" a="1"/>
  <c r="I8681" i="2" s="1"/>
  <c r="I8682" i="2" a="1"/>
  <c r="I8682" i="2" s="1"/>
  <c r="I8683" i="2" a="1"/>
  <c r="I8683" i="2" s="1"/>
  <c r="I8684" i="2" a="1"/>
  <c r="I8684" i="2" s="1"/>
  <c r="I8685" i="2" a="1"/>
  <c r="I8685" i="2" s="1"/>
  <c r="I8686" i="2" a="1"/>
  <c r="I8686" i="2" s="1"/>
  <c r="I8687" i="2" a="1"/>
  <c r="I8687" i="2" s="1"/>
  <c r="I8688" i="2" a="1"/>
  <c r="I8688" i="2" s="1"/>
  <c r="I8689" i="2" a="1"/>
  <c r="I8689" i="2" s="1"/>
  <c r="I8690" i="2" a="1"/>
  <c r="I8690" i="2" s="1"/>
  <c r="I8691" i="2" a="1"/>
  <c r="I8691" i="2" s="1"/>
  <c r="I8692" i="2" a="1"/>
  <c r="I8692" i="2" s="1"/>
  <c r="I8693" i="2" a="1"/>
  <c r="I8693" i="2" s="1"/>
  <c r="I8694" i="2" a="1"/>
  <c r="I8694" i="2" s="1"/>
  <c r="I8695" i="2" a="1"/>
  <c r="I8695" i="2" s="1"/>
  <c r="I8696" i="2" a="1"/>
  <c r="I8696" i="2" s="1"/>
  <c r="I8697" i="2" a="1"/>
  <c r="I8697" i="2" s="1"/>
  <c r="I8698" i="2" a="1"/>
  <c r="I8698" i="2" s="1"/>
  <c r="I8699" i="2" a="1"/>
  <c r="I8699" i="2" s="1"/>
  <c r="I8700" i="2" a="1"/>
  <c r="I8700" i="2" s="1"/>
  <c r="I8701" i="2" a="1"/>
  <c r="I8701" i="2" s="1"/>
  <c r="I8702" i="2" a="1"/>
  <c r="I8702" i="2" s="1"/>
  <c r="I8703" i="2" a="1"/>
  <c r="I8703" i="2" s="1"/>
  <c r="I8704" i="2" a="1"/>
  <c r="I8704" i="2" s="1"/>
  <c r="I8705" i="2" a="1"/>
  <c r="I8705" i="2" s="1"/>
  <c r="I8706" i="2" a="1"/>
  <c r="I8706" i="2" s="1"/>
  <c r="I8707" i="2" a="1"/>
  <c r="I8707" i="2" s="1"/>
  <c r="I8708" i="2" a="1"/>
  <c r="I8708" i="2" s="1"/>
  <c r="I8709" i="2" a="1"/>
  <c r="I8709" i="2" s="1"/>
  <c r="I8710" i="2" a="1"/>
  <c r="I8710" i="2" s="1"/>
  <c r="I8711" i="2" a="1"/>
  <c r="I8711" i="2" s="1"/>
  <c r="I8712" i="2" a="1"/>
  <c r="I8712" i="2" s="1"/>
  <c r="I8713" i="2" a="1"/>
  <c r="I8713" i="2" s="1"/>
  <c r="I8714" i="2" a="1"/>
  <c r="I8714" i="2" s="1"/>
  <c r="I8715" i="2" a="1"/>
  <c r="I8715" i="2" s="1"/>
  <c r="I8716" i="2" a="1"/>
  <c r="I8716" i="2" s="1"/>
  <c r="I8717" i="2" a="1"/>
  <c r="I8717" i="2" s="1"/>
  <c r="I8718" i="2" a="1"/>
  <c r="I8718" i="2" s="1"/>
  <c r="I8719" i="2" a="1"/>
  <c r="I8719" i="2" s="1"/>
  <c r="I8720" i="2" a="1"/>
  <c r="I8720" i="2" s="1"/>
  <c r="I8721" i="2" a="1"/>
  <c r="I8721" i="2" s="1"/>
  <c r="I8722" i="2" a="1"/>
  <c r="I8722" i="2" s="1"/>
  <c r="I8723" i="2" a="1"/>
  <c r="I8723" i="2" s="1"/>
  <c r="I8724" i="2" a="1"/>
  <c r="I8724" i="2" s="1"/>
  <c r="I8725" i="2" a="1"/>
  <c r="I8725" i="2" s="1"/>
  <c r="I8726" i="2" a="1"/>
  <c r="I8726" i="2" s="1"/>
  <c r="I8727" i="2" a="1"/>
  <c r="I8727" i="2" s="1"/>
  <c r="I8728" i="2" a="1"/>
  <c r="I8728" i="2" s="1"/>
  <c r="I8729" i="2" a="1"/>
  <c r="I8729" i="2" s="1"/>
  <c r="I8730" i="2" a="1"/>
  <c r="I8730" i="2" s="1"/>
  <c r="I8731" i="2" a="1"/>
  <c r="I8731" i="2" s="1"/>
  <c r="I8732" i="2" a="1"/>
  <c r="I8732" i="2" s="1"/>
  <c r="I8733" i="2" a="1"/>
  <c r="I8733" i="2" s="1"/>
  <c r="I8734" i="2" a="1"/>
  <c r="I8734" i="2" s="1"/>
  <c r="I8735" i="2" a="1"/>
  <c r="I8735" i="2" s="1"/>
  <c r="I8736" i="2" a="1"/>
  <c r="I8736" i="2" s="1"/>
  <c r="I8737" i="2" a="1"/>
  <c r="I8737" i="2" s="1"/>
  <c r="I8738" i="2" a="1"/>
  <c r="I8738" i="2" s="1"/>
  <c r="I8739" i="2" a="1"/>
  <c r="I8739" i="2" s="1"/>
  <c r="I8740" i="2" a="1"/>
  <c r="I8740" i="2" s="1"/>
  <c r="I8741" i="2" a="1"/>
  <c r="I8741" i="2" s="1"/>
  <c r="I8742" i="2" a="1"/>
  <c r="I8742" i="2" s="1"/>
  <c r="I8743" i="2" a="1"/>
  <c r="I8743" i="2" s="1"/>
  <c r="I8744" i="2" a="1"/>
  <c r="I8744" i="2" s="1"/>
  <c r="I8745" i="2" a="1"/>
  <c r="I8745" i="2" s="1"/>
  <c r="I8746" i="2" a="1"/>
  <c r="I8746" i="2" s="1"/>
  <c r="I8747" i="2" a="1"/>
  <c r="I8747" i="2" s="1"/>
  <c r="I8748" i="2" a="1"/>
  <c r="I8748" i="2" s="1"/>
  <c r="I8749" i="2" a="1"/>
  <c r="I8749" i="2" s="1"/>
  <c r="I8750" i="2" a="1"/>
  <c r="I8750" i="2" s="1"/>
  <c r="I8751" i="2" a="1"/>
  <c r="I8751" i="2" s="1"/>
  <c r="I8752" i="2" a="1"/>
  <c r="I8752" i="2" s="1"/>
  <c r="I8753" i="2" a="1"/>
  <c r="I8753" i="2" s="1"/>
  <c r="I8754" i="2" a="1"/>
  <c r="I8754" i="2" s="1"/>
  <c r="I8755" i="2" a="1"/>
  <c r="I8755" i="2" s="1"/>
  <c r="I8756" i="2" a="1"/>
  <c r="I8756" i="2" s="1"/>
  <c r="I8757" i="2" a="1"/>
  <c r="I8757" i="2" s="1"/>
  <c r="I8758" i="2" a="1"/>
  <c r="I8758" i="2" s="1"/>
  <c r="I8759" i="2" a="1"/>
  <c r="I8759" i="2" s="1"/>
  <c r="I8760" i="2" a="1"/>
  <c r="I8760" i="2" s="1"/>
  <c r="I8761" i="2" a="1"/>
  <c r="I8761" i="2" s="1"/>
  <c r="I8762" i="2" a="1"/>
  <c r="I8762" i="2" s="1"/>
  <c r="I8763" i="2" a="1"/>
  <c r="I8763" i="2" s="1"/>
  <c r="I8764" i="2" a="1"/>
  <c r="I8764" i="2" s="1"/>
  <c r="I8765" i="2" a="1"/>
  <c r="I8765" i="2" s="1"/>
  <c r="I8766" i="2" a="1"/>
  <c r="I8766" i="2" s="1"/>
  <c r="I8767" i="2" a="1"/>
  <c r="I8767" i="2" s="1"/>
  <c r="I8768" i="2" a="1"/>
  <c r="I8768" i="2" s="1"/>
  <c r="I8769" i="2" a="1"/>
  <c r="I8769" i="2" s="1"/>
  <c r="I8770" i="2" a="1"/>
  <c r="I8770" i="2" s="1"/>
  <c r="I8771" i="2" a="1"/>
  <c r="I8771" i="2" s="1"/>
  <c r="I8772" i="2" a="1"/>
  <c r="I8772" i="2" s="1"/>
  <c r="I8773" i="2" a="1"/>
  <c r="I8773" i="2" s="1"/>
  <c r="I8774" i="2" a="1"/>
  <c r="I8774" i="2" s="1"/>
  <c r="I8775" i="2" a="1"/>
  <c r="I8775" i="2" s="1"/>
  <c r="I8776" i="2" a="1"/>
  <c r="I8776" i="2" s="1"/>
  <c r="I8777" i="2" a="1"/>
  <c r="I8777" i="2" s="1"/>
  <c r="I8778" i="2" a="1"/>
  <c r="I8778" i="2" s="1"/>
  <c r="I8779" i="2" a="1"/>
  <c r="I8779" i="2" s="1"/>
  <c r="I8780" i="2" a="1"/>
  <c r="I8780" i="2" s="1"/>
  <c r="I8781" i="2" a="1"/>
  <c r="I8781" i="2" s="1"/>
  <c r="I8782" i="2" a="1"/>
  <c r="I8782" i="2" s="1"/>
  <c r="I8783" i="2" a="1"/>
  <c r="I8783" i="2" s="1"/>
  <c r="I8784" i="2" a="1"/>
  <c r="I8784" i="2" s="1"/>
  <c r="I8785" i="2" a="1"/>
  <c r="I8785" i="2" s="1"/>
  <c r="I8786" i="2" a="1"/>
  <c r="I8786" i="2" s="1"/>
  <c r="I8787" i="2" a="1"/>
  <c r="I8787" i="2" s="1"/>
  <c r="I8788" i="2" a="1"/>
  <c r="I8788" i="2" s="1"/>
  <c r="I8789" i="2" a="1"/>
  <c r="I8789" i="2" s="1"/>
  <c r="I8790" i="2" a="1"/>
  <c r="I8790" i="2" s="1"/>
  <c r="I8791" i="2" a="1"/>
  <c r="I8791" i="2" s="1"/>
  <c r="I8792" i="2" a="1"/>
  <c r="I8792" i="2" s="1"/>
  <c r="I8793" i="2" a="1"/>
  <c r="I8793" i="2" s="1"/>
  <c r="I8794" i="2" a="1"/>
  <c r="I8794" i="2" s="1"/>
  <c r="I8795" i="2" a="1"/>
  <c r="I8795" i="2" s="1"/>
  <c r="I8796" i="2" a="1"/>
  <c r="I8796" i="2" s="1"/>
  <c r="I8797" i="2" a="1"/>
  <c r="I8797" i="2" s="1"/>
  <c r="I8798" i="2" a="1"/>
  <c r="I8798" i="2" s="1"/>
  <c r="I8799" i="2" a="1"/>
  <c r="I8799" i="2" s="1"/>
  <c r="I8800" i="2" a="1"/>
  <c r="I8800" i="2" s="1"/>
  <c r="I8801" i="2" a="1"/>
  <c r="I8801" i="2" s="1"/>
  <c r="I8802" i="2" a="1"/>
  <c r="I8802" i="2" s="1"/>
  <c r="I8803" i="2" a="1"/>
  <c r="I8803" i="2" s="1"/>
  <c r="I8804" i="2" a="1"/>
  <c r="I8804" i="2" s="1"/>
  <c r="I8805" i="2" a="1"/>
  <c r="I8805" i="2" s="1"/>
  <c r="I8806" i="2" a="1"/>
  <c r="I8806" i="2" s="1"/>
  <c r="I8807" i="2" a="1"/>
  <c r="I8807" i="2" s="1"/>
  <c r="I8808" i="2" a="1"/>
  <c r="I8808" i="2" s="1"/>
  <c r="I8809" i="2" a="1"/>
  <c r="I8809" i="2" s="1"/>
  <c r="I8810" i="2" a="1"/>
  <c r="I8810" i="2" s="1"/>
  <c r="I8811" i="2" a="1"/>
  <c r="I8811" i="2" s="1"/>
  <c r="I8812" i="2" a="1"/>
  <c r="I8812" i="2" s="1"/>
  <c r="I8813" i="2" a="1"/>
  <c r="I8813" i="2" s="1"/>
  <c r="I8814" i="2" a="1"/>
  <c r="I8814" i="2" s="1"/>
  <c r="I8815" i="2" a="1"/>
  <c r="I8815" i="2" s="1"/>
  <c r="I8816" i="2" a="1"/>
  <c r="I8816" i="2" s="1"/>
  <c r="I8817" i="2" a="1"/>
  <c r="I8817" i="2" s="1"/>
  <c r="I8818" i="2" a="1"/>
  <c r="I8818" i="2" s="1"/>
  <c r="I8819" i="2" a="1"/>
  <c r="I8819" i="2" s="1"/>
  <c r="I8820" i="2" a="1"/>
  <c r="I8820" i="2" s="1"/>
  <c r="I8821" i="2" a="1"/>
  <c r="I8821" i="2" s="1"/>
  <c r="I8822" i="2" a="1"/>
  <c r="I8822" i="2" s="1"/>
  <c r="I8823" i="2" a="1"/>
  <c r="I8823" i="2" s="1"/>
  <c r="I8824" i="2" a="1"/>
  <c r="I8824" i="2" s="1"/>
  <c r="I8825" i="2" a="1"/>
  <c r="I8825" i="2" s="1"/>
  <c r="I8826" i="2" a="1"/>
  <c r="I8826" i="2" s="1"/>
  <c r="I8827" i="2" a="1"/>
  <c r="I8827" i="2" s="1"/>
  <c r="I8828" i="2" a="1"/>
  <c r="I8828" i="2" s="1"/>
  <c r="I8829" i="2" a="1"/>
  <c r="I8829" i="2" s="1"/>
  <c r="I8830" i="2" a="1"/>
  <c r="I8830" i="2" s="1"/>
  <c r="I8831" i="2" a="1"/>
  <c r="I8831" i="2" s="1"/>
  <c r="I8832" i="2" a="1"/>
  <c r="I8832" i="2" s="1"/>
  <c r="I8833" i="2" a="1"/>
  <c r="I8833" i="2" s="1"/>
  <c r="I8834" i="2" a="1"/>
  <c r="I8834" i="2" s="1"/>
  <c r="I8835" i="2" a="1"/>
  <c r="I8835" i="2" s="1"/>
  <c r="I8836" i="2" a="1"/>
  <c r="I8836" i="2" s="1"/>
  <c r="I8837" i="2" a="1"/>
  <c r="I8837" i="2" s="1"/>
  <c r="I8838" i="2" a="1"/>
  <c r="I8838" i="2" s="1"/>
  <c r="I8839" i="2" a="1"/>
  <c r="I8839" i="2" s="1"/>
  <c r="I8840" i="2" a="1"/>
  <c r="I8840" i="2" s="1"/>
  <c r="I8841" i="2" a="1"/>
  <c r="I8841" i="2" s="1"/>
  <c r="I8842" i="2" a="1"/>
  <c r="I8842" i="2" s="1"/>
  <c r="I8843" i="2" a="1"/>
  <c r="I8843" i="2" s="1"/>
  <c r="I8844" i="2" a="1"/>
  <c r="I8844" i="2" s="1"/>
  <c r="I8845" i="2" a="1"/>
  <c r="I8845" i="2" s="1"/>
  <c r="I8846" i="2" a="1"/>
  <c r="I8846" i="2" s="1"/>
  <c r="I8847" i="2" a="1"/>
  <c r="I8847" i="2" s="1"/>
  <c r="I8848" i="2" a="1"/>
  <c r="I8848" i="2" s="1"/>
  <c r="I8849" i="2" a="1"/>
  <c r="I8849" i="2" s="1"/>
  <c r="I8850" i="2" a="1"/>
  <c r="I8850" i="2" s="1"/>
  <c r="I8851" i="2" a="1"/>
  <c r="I8851" i="2" s="1"/>
  <c r="I8852" i="2" a="1"/>
  <c r="I8852" i="2" s="1"/>
  <c r="I8853" i="2" a="1"/>
  <c r="I8853" i="2" s="1"/>
  <c r="I8854" i="2" a="1"/>
  <c r="I8854" i="2" s="1"/>
  <c r="I8855" i="2" a="1"/>
  <c r="I8855" i="2" s="1"/>
  <c r="I8856" i="2" a="1"/>
  <c r="I8856" i="2" s="1"/>
  <c r="I8857" i="2" a="1"/>
  <c r="I8857" i="2" s="1"/>
  <c r="I8858" i="2" a="1"/>
  <c r="I8858" i="2" s="1"/>
  <c r="I8859" i="2" a="1"/>
  <c r="I8859" i="2" s="1"/>
  <c r="I8860" i="2" a="1"/>
  <c r="I8860" i="2" s="1"/>
  <c r="I8861" i="2" a="1"/>
  <c r="I8861" i="2" s="1"/>
  <c r="I8862" i="2" a="1"/>
  <c r="I8862" i="2" s="1"/>
  <c r="I8863" i="2" a="1"/>
  <c r="I8863" i="2" s="1"/>
  <c r="I8864" i="2" a="1"/>
  <c r="I8864" i="2" s="1"/>
  <c r="I8865" i="2" a="1"/>
  <c r="I8865" i="2" s="1"/>
  <c r="I8866" i="2" a="1"/>
  <c r="I8866" i="2" s="1"/>
  <c r="I8867" i="2" a="1"/>
  <c r="I8867" i="2" s="1"/>
  <c r="I8868" i="2" a="1"/>
  <c r="I8868" i="2" s="1"/>
  <c r="I8869" i="2" a="1"/>
  <c r="I8869" i="2" s="1"/>
  <c r="I8870" i="2" a="1"/>
  <c r="I8870" i="2" s="1"/>
  <c r="I8871" i="2" a="1"/>
  <c r="I8871" i="2" s="1"/>
  <c r="I8872" i="2" a="1"/>
  <c r="I8872" i="2" s="1"/>
  <c r="I8873" i="2" a="1"/>
  <c r="I8873" i="2" s="1"/>
  <c r="I8874" i="2" a="1"/>
  <c r="I8874" i="2" s="1"/>
  <c r="I8875" i="2" a="1"/>
  <c r="I8875" i="2" s="1"/>
  <c r="I8876" i="2" a="1"/>
  <c r="I8876" i="2" s="1"/>
  <c r="I8877" i="2" a="1"/>
  <c r="I8877" i="2" s="1"/>
  <c r="I8878" i="2" a="1"/>
  <c r="I8878" i="2" s="1"/>
  <c r="I8879" i="2" a="1"/>
  <c r="I8879" i="2" s="1"/>
  <c r="I8880" i="2" a="1"/>
  <c r="I8880" i="2" s="1"/>
  <c r="I8881" i="2" a="1"/>
  <c r="I8881" i="2" s="1"/>
  <c r="I8882" i="2" a="1"/>
  <c r="I8882" i="2" s="1"/>
  <c r="I8883" i="2" a="1"/>
  <c r="I8883" i="2" s="1"/>
  <c r="I8884" i="2" a="1"/>
  <c r="I8884" i="2" s="1"/>
  <c r="I8885" i="2" a="1"/>
  <c r="I8885" i="2" s="1"/>
  <c r="I8886" i="2" a="1"/>
  <c r="I8886" i="2" s="1"/>
  <c r="I8887" i="2" a="1"/>
  <c r="I8887" i="2" s="1"/>
  <c r="I8888" i="2" a="1"/>
  <c r="I8888" i="2" s="1"/>
  <c r="I8889" i="2" a="1"/>
  <c r="I8889" i="2" s="1"/>
  <c r="I8890" i="2" a="1"/>
  <c r="I8890" i="2" s="1"/>
  <c r="I8891" i="2" a="1"/>
  <c r="I8891" i="2" s="1"/>
  <c r="I8892" i="2" a="1"/>
  <c r="I8892" i="2" s="1"/>
  <c r="I8893" i="2" a="1"/>
  <c r="I8893" i="2" s="1"/>
  <c r="I8894" i="2" a="1"/>
  <c r="I8894" i="2" s="1"/>
  <c r="I8895" i="2" a="1"/>
  <c r="I8895" i="2" s="1"/>
  <c r="I8896" i="2" a="1"/>
  <c r="I8896" i="2" s="1"/>
  <c r="I8897" i="2" a="1"/>
  <c r="I8897" i="2" s="1"/>
  <c r="I8898" i="2" a="1"/>
  <c r="I8898" i="2" s="1"/>
  <c r="I8899" i="2" a="1"/>
  <c r="I8899" i="2" s="1"/>
  <c r="I8900" i="2" a="1"/>
  <c r="I8900" i="2" s="1"/>
  <c r="I8901" i="2" a="1"/>
  <c r="I8901" i="2" s="1"/>
  <c r="I8902" i="2" a="1"/>
  <c r="I8902" i="2" s="1"/>
  <c r="I8903" i="2" a="1"/>
  <c r="I8903" i="2" s="1"/>
  <c r="I8904" i="2" a="1"/>
  <c r="I8904" i="2" s="1"/>
  <c r="I8905" i="2" a="1"/>
  <c r="I8905" i="2" s="1"/>
  <c r="I8906" i="2" a="1"/>
  <c r="I8906" i="2" s="1"/>
  <c r="I8907" i="2" a="1"/>
  <c r="I8907" i="2" s="1"/>
  <c r="I8908" i="2" a="1"/>
  <c r="I8908" i="2" s="1"/>
  <c r="I8909" i="2" a="1"/>
  <c r="I8909" i="2" s="1"/>
  <c r="I8910" i="2" a="1"/>
  <c r="I8910" i="2" s="1"/>
  <c r="I8911" i="2" a="1"/>
  <c r="I8911" i="2" s="1"/>
  <c r="I8912" i="2" a="1"/>
  <c r="I8912" i="2" s="1"/>
  <c r="I8913" i="2" a="1"/>
  <c r="I8913" i="2" s="1"/>
  <c r="I8914" i="2" a="1"/>
  <c r="I8914" i="2" s="1"/>
  <c r="I8915" i="2" a="1"/>
  <c r="I8915" i="2" s="1"/>
  <c r="I8916" i="2" a="1"/>
  <c r="I8916" i="2" s="1"/>
  <c r="I8917" i="2" a="1"/>
  <c r="I8917" i="2" s="1"/>
  <c r="I8918" i="2" a="1"/>
  <c r="I8918" i="2" s="1"/>
  <c r="I8919" i="2" a="1"/>
  <c r="I8919" i="2" s="1"/>
  <c r="I8920" i="2" a="1"/>
  <c r="I8920" i="2" s="1"/>
  <c r="I8921" i="2" a="1"/>
  <c r="I8921" i="2" s="1"/>
  <c r="I8922" i="2" a="1"/>
  <c r="I8922" i="2" s="1"/>
  <c r="I8923" i="2" a="1"/>
  <c r="I8923" i="2" s="1"/>
  <c r="I8924" i="2" a="1"/>
  <c r="I8924" i="2" s="1"/>
  <c r="I8925" i="2" a="1"/>
  <c r="I8925" i="2" s="1"/>
  <c r="I8926" i="2" a="1"/>
  <c r="I8926" i="2" s="1"/>
  <c r="I8927" i="2" a="1"/>
  <c r="I8927" i="2" s="1"/>
  <c r="I8928" i="2" a="1"/>
  <c r="I8928" i="2" s="1"/>
  <c r="I8929" i="2" a="1"/>
  <c r="I8929" i="2" s="1"/>
  <c r="I8930" i="2" a="1"/>
  <c r="I8930" i="2" s="1"/>
  <c r="I8931" i="2" a="1"/>
  <c r="I8931" i="2" s="1"/>
  <c r="I8932" i="2" a="1"/>
  <c r="I8932" i="2" s="1"/>
  <c r="I8933" i="2" a="1"/>
  <c r="I8933" i="2" s="1"/>
  <c r="I8934" i="2" a="1"/>
  <c r="I8934" i="2" s="1"/>
  <c r="I8935" i="2" a="1"/>
  <c r="I8935" i="2" s="1"/>
  <c r="I8936" i="2" a="1"/>
  <c r="I8936" i="2" s="1"/>
  <c r="I8937" i="2" a="1"/>
  <c r="I8937" i="2" s="1"/>
  <c r="I8938" i="2" a="1"/>
  <c r="I8938" i="2" s="1"/>
  <c r="I8939" i="2" a="1"/>
  <c r="I8939" i="2" s="1"/>
  <c r="I8940" i="2" a="1"/>
  <c r="I8940" i="2" s="1"/>
  <c r="I8941" i="2" a="1"/>
  <c r="I8941" i="2" s="1"/>
  <c r="I8942" i="2" a="1"/>
  <c r="I8942" i="2" s="1"/>
  <c r="I8943" i="2" a="1"/>
  <c r="I8943" i="2" s="1"/>
  <c r="I8944" i="2" a="1"/>
  <c r="I8944" i="2" s="1"/>
  <c r="I8945" i="2" a="1"/>
  <c r="I8945" i="2" s="1"/>
  <c r="I8946" i="2" a="1"/>
  <c r="I8946" i="2" s="1"/>
  <c r="I8947" i="2" a="1"/>
  <c r="I8947" i="2" s="1"/>
  <c r="I8948" i="2" a="1"/>
  <c r="I8948" i="2" s="1"/>
  <c r="I8949" i="2" a="1"/>
  <c r="I8949" i="2" s="1"/>
  <c r="I8950" i="2" a="1"/>
  <c r="I8950" i="2" s="1"/>
  <c r="I8951" i="2" a="1"/>
  <c r="I8951" i="2" s="1"/>
  <c r="I8952" i="2" a="1"/>
  <c r="I8952" i="2" s="1"/>
  <c r="I8953" i="2" a="1"/>
  <c r="I8953" i="2" s="1"/>
  <c r="I8954" i="2" a="1"/>
  <c r="I8954" i="2" s="1"/>
  <c r="I8955" i="2" a="1"/>
  <c r="I8955" i="2" s="1"/>
  <c r="I8956" i="2" a="1"/>
  <c r="I8956" i="2" s="1"/>
  <c r="I8957" i="2" a="1"/>
  <c r="I8957" i="2" s="1"/>
  <c r="I8958" i="2" a="1"/>
  <c r="I8958" i="2" s="1"/>
  <c r="I8959" i="2" a="1"/>
  <c r="I8959" i="2" s="1"/>
  <c r="I8960" i="2" a="1"/>
  <c r="I8960" i="2" s="1"/>
  <c r="I8961" i="2" a="1"/>
  <c r="I8961" i="2" s="1"/>
  <c r="I8962" i="2" a="1"/>
  <c r="I8962" i="2" s="1"/>
  <c r="I8963" i="2" a="1"/>
  <c r="I8963" i="2" s="1"/>
  <c r="I8964" i="2" a="1"/>
  <c r="I8964" i="2" s="1"/>
  <c r="I8965" i="2" a="1"/>
  <c r="I8965" i="2" s="1"/>
  <c r="I8966" i="2" a="1"/>
  <c r="I8966" i="2" s="1"/>
  <c r="I8967" i="2" a="1"/>
  <c r="I8967" i="2" s="1"/>
  <c r="I8968" i="2" a="1"/>
  <c r="I8968" i="2" s="1"/>
  <c r="I8969" i="2" a="1"/>
  <c r="I8969" i="2" s="1"/>
  <c r="I8970" i="2" a="1"/>
  <c r="I8970" i="2" s="1"/>
  <c r="I8971" i="2" a="1"/>
  <c r="I8971" i="2" s="1"/>
  <c r="I8972" i="2" a="1"/>
  <c r="I8972" i="2" s="1"/>
  <c r="I8973" i="2" a="1"/>
  <c r="I8973" i="2" s="1"/>
  <c r="I8974" i="2" a="1"/>
  <c r="I8974" i="2" s="1"/>
  <c r="I8975" i="2" a="1"/>
  <c r="I8975" i="2" s="1"/>
  <c r="I8976" i="2" a="1"/>
  <c r="I8976" i="2" s="1"/>
  <c r="I8977" i="2" a="1"/>
  <c r="I8977" i="2" s="1"/>
  <c r="I8978" i="2" a="1"/>
  <c r="I8978" i="2" s="1"/>
  <c r="I8979" i="2" a="1"/>
  <c r="I8979" i="2" s="1"/>
  <c r="I8980" i="2" a="1"/>
  <c r="I8980" i="2" s="1"/>
  <c r="I8981" i="2" a="1"/>
  <c r="I8981" i="2" s="1"/>
  <c r="I8982" i="2" a="1"/>
  <c r="I8982" i="2" s="1"/>
  <c r="I8983" i="2" a="1"/>
  <c r="I8983" i="2" s="1"/>
  <c r="I8984" i="2" a="1"/>
  <c r="I8984" i="2" s="1"/>
  <c r="I8985" i="2" a="1"/>
  <c r="I8985" i="2" s="1"/>
  <c r="I8986" i="2" a="1"/>
  <c r="I8986" i="2" s="1"/>
  <c r="I8987" i="2" a="1"/>
  <c r="I8987" i="2" s="1"/>
  <c r="I8988" i="2" a="1"/>
  <c r="I8988" i="2" s="1"/>
  <c r="I8989" i="2" a="1"/>
  <c r="I8989" i="2" s="1"/>
  <c r="I8990" i="2" a="1"/>
  <c r="I8990" i="2" s="1"/>
  <c r="I8991" i="2" a="1"/>
  <c r="I8991" i="2" s="1"/>
  <c r="I8992" i="2" a="1"/>
  <c r="I8992" i="2" s="1"/>
  <c r="I8993" i="2" a="1"/>
  <c r="I8993" i="2" s="1"/>
  <c r="I8994" i="2" a="1"/>
  <c r="I8994" i="2" s="1"/>
  <c r="I8995" i="2" a="1"/>
  <c r="I8995" i="2" s="1"/>
  <c r="I8996" i="2" a="1"/>
  <c r="I8996" i="2" s="1"/>
  <c r="I8997" i="2" a="1"/>
  <c r="I8997" i="2" s="1"/>
  <c r="I8998" i="2" a="1"/>
  <c r="I8998" i="2" s="1"/>
  <c r="I8999" i="2" a="1"/>
  <c r="I8999" i="2" s="1"/>
  <c r="I9000" i="2" a="1"/>
  <c r="I9000" i="2" s="1"/>
  <c r="I9001" i="2" a="1"/>
  <c r="I9001" i="2" s="1"/>
  <c r="I9002" i="2" a="1"/>
  <c r="I9002" i="2" s="1"/>
  <c r="I9003" i="2" a="1"/>
  <c r="I9003" i="2" s="1"/>
  <c r="I9004" i="2" a="1"/>
  <c r="I9004" i="2" s="1"/>
  <c r="I9005" i="2" a="1"/>
  <c r="I9005" i="2" s="1"/>
  <c r="I9006" i="2" a="1"/>
  <c r="I9006" i="2" s="1"/>
  <c r="I9007" i="2" a="1"/>
  <c r="I9007" i="2" s="1"/>
  <c r="I9008" i="2" a="1"/>
  <c r="I9008" i="2" s="1"/>
  <c r="I9009" i="2" a="1"/>
  <c r="I9009" i="2" s="1"/>
  <c r="I9010" i="2" a="1"/>
  <c r="I9010" i="2" s="1"/>
  <c r="I9011" i="2" a="1"/>
  <c r="I9011" i="2" s="1"/>
  <c r="I9012" i="2" a="1"/>
  <c r="I9012" i="2" s="1"/>
  <c r="I9013" i="2" a="1"/>
  <c r="I9013" i="2" s="1"/>
  <c r="I9014" i="2" a="1"/>
  <c r="I9014" i="2" s="1"/>
  <c r="I9015" i="2" a="1"/>
  <c r="I9015" i="2" s="1"/>
  <c r="I9016" i="2" a="1"/>
  <c r="I9016" i="2" s="1"/>
  <c r="I9017" i="2" a="1"/>
  <c r="I9017" i="2" s="1"/>
  <c r="I9018" i="2" a="1"/>
  <c r="I9018" i="2" s="1"/>
  <c r="I9019" i="2" a="1"/>
  <c r="I9019" i="2" s="1"/>
  <c r="I9020" i="2" a="1"/>
  <c r="I9020" i="2" s="1"/>
  <c r="I9021" i="2" a="1"/>
  <c r="I9021" i="2" s="1"/>
  <c r="I9022" i="2" a="1"/>
  <c r="I9022" i="2" s="1"/>
  <c r="I9023" i="2" a="1"/>
  <c r="I9023" i="2" s="1"/>
  <c r="I9024" i="2" a="1"/>
  <c r="I9024" i="2" s="1"/>
  <c r="I9025" i="2" a="1"/>
  <c r="I9025" i="2" s="1"/>
  <c r="I9026" i="2" a="1"/>
  <c r="I9026" i="2" s="1"/>
  <c r="I9027" i="2" a="1"/>
  <c r="I9027" i="2" s="1"/>
  <c r="I9028" i="2" a="1"/>
  <c r="I9028" i="2" s="1"/>
  <c r="I9029" i="2" a="1"/>
  <c r="I9029" i="2" s="1"/>
  <c r="I9030" i="2" a="1"/>
  <c r="I9030" i="2" s="1"/>
  <c r="I9031" i="2" a="1"/>
  <c r="I9031" i="2" s="1"/>
  <c r="I9032" i="2" a="1"/>
  <c r="I9032" i="2" s="1"/>
  <c r="I9033" i="2" a="1"/>
  <c r="I9033" i="2" s="1"/>
  <c r="I9034" i="2" a="1"/>
  <c r="I9034" i="2" s="1"/>
  <c r="I9035" i="2" a="1"/>
  <c r="I9035" i="2" s="1"/>
  <c r="I9036" i="2" a="1"/>
  <c r="I9036" i="2" s="1"/>
  <c r="I9037" i="2" a="1"/>
  <c r="I9037" i="2" s="1"/>
  <c r="I9038" i="2" a="1"/>
  <c r="I9038" i="2" s="1"/>
  <c r="I9039" i="2" a="1"/>
  <c r="I9039" i="2" s="1"/>
  <c r="I9040" i="2" a="1"/>
  <c r="I9040" i="2" s="1"/>
  <c r="I9041" i="2" a="1"/>
  <c r="I9041" i="2" s="1"/>
  <c r="I9042" i="2" a="1"/>
  <c r="I9042" i="2" s="1"/>
  <c r="I9043" i="2" a="1"/>
  <c r="I9043" i="2" s="1"/>
  <c r="I9044" i="2" a="1"/>
  <c r="I9044" i="2" s="1"/>
  <c r="I9045" i="2" a="1"/>
  <c r="I9045" i="2" s="1"/>
  <c r="I9046" i="2" a="1"/>
  <c r="I9046" i="2" s="1"/>
  <c r="I9047" i="2" a="1"/>
  <c r="I9047" i="2" s="1"/>
  <c r="I9048" i="2" a="1"/>
  <c r="I9048" i="2" s="1"/>
  <c r="I9049" i="2" a="1"/>
  <c r="I9049" i="2" s="1"/>
  <c r="I9050" i="2" a="1"/>
  <c r="I9050" i="2" s="1"/>
  <c r="I9051" i="2" a="1"/>
  <c r="I9051" i="2" s="1"/>
  <c r="I9052" i="2" a="1"/>
  <c r="I9052" i="2" s="1"/>
  <c r="I9053" i="2" a="1"/>
  <c r="I9053" i="2" s="1"/>
  <c r="I9054" i="2" a="1"/>
  <c r="I9054" i="2" s="1"/>
  <c r="I9055" i="2" a="1"/>
  <c r="I9055" i="2" s="1"/>
  <c r="I9056" i="2" a="1"/>
  <c r="I9056" i="2" s="1"/>
  <c r="I9057" i="2" a="1"/>
  <c r="I9057" i="2" s="1"/>
  <c r="I9058" i="2" a="1"/>
  <c r="I9058" i="2" s="1"/>
  <c r="I9059" i="2" a="1"/>
  <c r="I9059" i="2" s="1"/>
  <c r="I9060" i="2" a="1"/>
  <c r="I9060" i="2" s="1"/>
  <c r="I9061" i="2" a="1"/>
  <c r="I9061" i="2" s="1"/>
  <c r="I9062" i="2" a="1"/>
  <c r="I9062" i="2" s="1"/>
  <c r="I9063" i="2" a="1"/>
  <c r="I9063" i="2" s="1"/>
  <c r="I9064" i="2" a="1"/>
  <c r="I9064" i="2" s="1"/>
  <c r="I9065" i="2" a="1"/>
  <c r="I9065" i="2" s="1"/>
  <c r="I9066" i="2" a="1"/>
  <c r="I9066" i="2" s="1"/>
  <c r="I9067" i="2" a="1"/>
  <c r="I9067" i="2" s="1"/>
  <c r="I9068" i="2" a="1"/>
  <c r="I9068" i="2" s="1"/>
  <c r="I9069" i="2" a="1"/>
  <c r="I9069" i="2" s="1"/>
  <c r="I9070" i="2" a="1"/>
  <c r="I9070" i="2" s="1"/>
  <c r="I9071" i="2" a="1"/>
  <c r="I9071" i="2" s="1"/>
  <c r="I9072" i="2" a="1"/>
  <c r="I9072" i="2" s="1"/>
  <c r="I9073" i="2" a="1"/>
  <c r="I9073" i="2" s="1"/>
  <c r="I9074" i="2" a="1"/>
  <c r="I9074" i="2" s="1"/>
  <c r="I9075" i="2" a="1"/>
  <c r="I9075" i="2" s="1"/>
  <c r="I9076" i="2" a="1"/>
  <c r="I9076" i="2" s="1"/>
  <c r="I9077" i="2" a="1"/>
  <c r="I9077" i="2" s="1"/>
  <c r="I9078" i="2" a="1"/>
  <c r="I9078" i="2" s="1"/>
  <c r="I9079" i="2" a="1"/>
  <c r="I9079" i="2" s="1"/>
  <c r="I9080" i="2" a="1"/>
  <c r="I9080" i="2" s="1"/>
  <c r="I9081" i="2" a="1"/>
  <c r="I9081" i="2" s="1"/>
  <c r="I9082" i="2" a="1"/>
  <c r="I9082" i="2" s="1"/>
  <c r="I9083" i="2" a="1"/>
  <c r="I9083" i="2" s="1"/>
  <c r="I9084" i="2" a="1"/>
  <c r="I9084" i="2" s="1"/>
  <c r="I9085" i="2" a="1"/>
  <c r="I9085" i="2" s="1"/>
  <c r="I9086" i="2" a="1"/>
  <c r="I9086" i="2" s="1"/>
  <c r="I9087" i="2" a="1"/>
  <c r="I9087" i="2" s="1"/>
  <c r="I9088" i="2" a="1"/>
  <c r="I9088" i="2" s="1"/>
  <c r="I9089" i="2" a="1"/>
  <c r="I9089" i="2" s="1"/>
  <c r="I9090" i="2" a="1"/>
  <c r="I9090" i="2" s="1"/>
  <c r="I9091" i="2" a="1"/>
  <c r="I9091" i="2" s="1"/>
  <c r="I9092" i="2" a="1"/>
  <c r="I9092" i="2" s="1"/>
  <c r="I9093" i="2" a="1"/>
  <c r="I9093" i="2" s="1"/>
  <c r="I9094" i="2" a="1"/>
  <c r="I9094" i="2" s="1"/>
  <c r="I9095" i="2" a="1"/>
  <c r="I9095" i="2" s="1"/>
  <c r="I9096" i="2" a="1"/>
  <c r="I9096" i="2" s="1"/>
  <c r="I9097" i="2" a="1"/>
  <c r="I9097" i="2" s="1"/>
  <c r="I9098" i="2" a="1"/>
  <c r="I9098" i="2" s="1"/>
  <c r="I9099" i="2" a="1"/>
  <c r="I9099" i="2" s="1"/>
  <c r="I9100" i="2" a="1"/>
  <c r="I9100" i="2" s="1"/>
  <c r="I9101" i="2" a="1"/>
  <c r="I9101" i="2" s="1"/>
  <c r="I9102" i="2" a="1"/>
  <c r="I9102" i="2" s="1"/>
  <c r="I9103" i="2" a="1"/>
  <c r="I9103" i="2" s="1"/>
  <c r="I9104" i="2" a="1"/>
  <c r="I9104" i="2" s="1"/>
  <c r="I9105" i="2" a="1"/>
  <c r="I9105" i="2" s="1"/>
  <c r="I9106" i="2" a="1"/>
  <c r="I9106" i="2" s="1"/>
  <c r="I9107" i="2" a="1"/>
  <c r="I9107" i="2" s="1"/>
  <c r="I9108" i="2" a="1"/>
  <c r="I9108" i="2" s="1"/>
  <c r="I9109" i="2" a="1"/>
  <c r="I9109" i="2" s="1"/>
  <c r="I9110" i="2" a="1"/>
  <c r="I9110" i="2" s="1"/>
  <c r="I9111" i="2" a="1"/>
  <c r="I9111" i="2" s="1"/>
  <c r="I9112" i="2" a="1"/>
  <c r="I9112" i="2" s="1"/>
  <c r="I9113" i="2" a="1"/>
  <c r="I9113" i="2" s="1"/>
  <c r="I9114" i="2" a="1"/>
  <c r="I9114" i="2" s="1"/>
  <c r="I9115" i="2" a="1"/>
  <c r="I9115" i="2" s="1"/>
  <c r="I9116" i="2" a="1"/>
  <c r="I9116" i="2" s="1"/>
  <c r="I9117" i="2" a="1"/>
  <c r="I9117" i="2" s="1"/>
  <c r="I9118" i="2" a="1"/>
  <c r="I9118" i="2" s="1"/>
  <c r="I9119" i="2" a="1"/>
  <c r="I9119" i="2" s="1"/>
  <c r="I9120" i="2" a="1"/>
  <c r="I9120" i="2" s="1"/>
  <c r="I9121" i="2" a="1"/>
  <c r="I9121" i="2" s="1"/>
  <c r="I9122" i="2" a="1"/>
  <c r="I9122" i="2" s="1"/>
  <c r="I9123" i="2" a="1"/>
  <c r="I9123" i="2" s="1"/>
  <c r="I9124" i="2" a="1"/>
  <c r="I9124" i="2" s="1"/>
  <c r="I9125" i="2" a="1"/>
  <c r="I9125" i="2" s="1"/>
  <c r="I9126" i="2" a="1"/>
  <c r="I9126" i="2" s="1"/>
  <c r="I9127" i="2" a="1"/>
  <c r="I9127" i="2" s="1"/>
  <c r="I9128" i="2" a="1"/>
  <c r="I9128" i="2" s="1"/>
  <c r="I9129" i="2" a="1"/>
  <c r="I9129" i="2" s="1"/>
  <c r="I9130" i="2" a="1"/>
  <c r="I9130" i="2" s="1"/>
  <c r="I9131" i="2" a="1"/>
  <c r="I9131" i="2" s="1"/>
  <c r="I9132" i="2" a="1"/>
  <c r="I9132" i="2" s="1"/>
  <c r="I9133" i="2" a="1"/>
  <c r="I9133" i="2" s="1"/>
  <c r="I9134" i="2" a="1"/>
  <c r="I9134" i="2" s="1"/>
  <c r="I9135" i="2" a="1"/>
  <c r="I9135" i="2" s="1"/>
  <c r="I9136" i="2" a="1"/>
  <c r="I9136" i="2" s="1"/>
  <c r="I9137" i="2" a="1"/>
  <c r="I9137" i="2" s="1"/>
  <c r="I9138" i="2" a="1"/>
  <c r="I9138" i="2" s="1"/>
  <c r="I9139" i="2" a="1"/>
  <c r="I9139" i="2" s="1"/>
  <c r="I9140" i="2" a="1"/>
  <c r="I9140" i="2" s="1"/>
  <c r="I9141" i="2" a="1"/>
  <c r="I9141" i="2" s="1"/>
  <c r="I9142" i="2" a="1"/>
  <c r="I9142" i="2" s="1"/>
  <c r="I9143" i="2" a="1"/>
  <c r="I9143" i="2" s="1"/>
  <c r="I9144" i="2" a="1"/>
  <c r="I9144" i="2" s="1"/>
  <c r="I9145" i="2" a="1"/>
  <c r="I9145" i="2" s="1"/>
  <c r="I9146" i="2" a="1"/>
  <c r="I9146" i="2" s="1"/>
  <c r="I9147" i="2" a="1"/>
  <c r="I9147" i="2" s="1"/>
  <c r="I9148" i="2" a="1"/>
  <c r="I9148" i="2" s="1"/>
  <c r="I9149" i="2" a="1"/>
  <c r="I9149" i="2" s="1"/>
  <c r="I9150" i="2" a="1"/>
  <c r="I9150" i="2" s="1"/>
  <c r="I9151" i="2" a="1"/>
  <c r="I9151" i="2" s="1"/>
  <c r="I9152" i="2" a="1"/>
  <c r="I9152" i="2" s="1"/>
  <c r="I9153" i="2" a="1"/>
  <c r="I9153" i="2" s="1"/>
  <c r="I9154" i="2" a="1"/>
  <c r="I9154" i="2" s="1"/>
  <c r="I9155" i="2" a="1"/>
  <c r="I9155" i="2" s="1"/>
  <c r="I9156" i="2" a="1"/>
  <c r="I9156" i="2" s="1"/>
  <c r="I9157" i="2" a="1"/>
  <c r="I9157" i="2" s="1"/>
  <c r="I9158" i="2" a="1"/>
  <c r="I9158" i="2" s="1"/>
  <c r="I9159" i="2" a="1"/>
  <c r="I9159" i="2" s="1"/>
  <c r="I9160" i="2" a="1"/>
  <c r="I9160" i="2" s="1"/>
  <c r="I9161" i="2" a="1"/>
  <c r="I9161" i="2" s="1"/>
  <c r="I9162" i="2" a="1"/>
  <c r="I9162" i="2" s="1"/>
  <c r="I9163" i="2" a="1"/>
  <c r="I9163" i="2" s="1"/>
  <c r="I9164" i="2" a="1"/>
  <c r="I9164" i="2" s="1"/>
  <c r="I9165" i="2" a="1"/>
  <c r="I9165" i="2" s="1"/>
  <c r="I9166" i="2" a="1"/>
  <c r="I9166" i="2" s="1"/>
  <c r="I9167" i="2" a="1"/>
  <c r="I9167" i="2" s="1"/>
  <c r="I9168" i="2" a="1"/>
  <c r="I9168" i="2" s="1"/>
  <c r="I9169" i="2" a="1"/>
  <c r="I9169" i="2" s="1"/>
  <c r="I9170" i="2" a="1"/>
  <c r="I9170" i="2" s="1"/>
  <c r="I9171" i="2" a="1"/>
  <c r="I9171" i="2" s="1"/>
  <c r="I9172" i="2" a="1"/>
  <c r="I9172" i="2" s="1"/>
  <c r="I9173" i="2" a="1"/>
  <c r="I9173" i="2" s="1"/>
  <c r="I9174" i="2" a="1"/>
  <c r="I9174" i="2" s="1"/>
  <c r="I9175" i="2" a="1"/>
  <c r="I9175" i="2" s="1"/>
  <c r="I9176" i="2" a="1"/>
  <c r="I9176" i="2" s="1"/>
  <c r="I9177" i="2" a="1"/>
  <c r="I9177" i="2" s="1"/>
  <c r="I9178" i="2" a="1"/>
  <c r="I9178" i="2" s="1"/>
  <c r="I9179" i="2" a="1"/>
  <c r="I9179" i="2" s="1"/>
  <c r="I9180" i="2" a="1"/>
  <c r="I9180" i="2" s="1"/>
  <c r="I9181" i="2" a="1"/>
  <c r="I9181" i="2" s="1"/>
  <c r="I9182" i="2" a="1"/>
  <c r="I9182" i="2" s="1"/>
  <c r="I9183" i="2" a="1"/>
  <c r="I9183" i="2" s="1"/>
  <c r="I9184" i="2" a="1"/>
  <c r="I9184" i="2" s="1"/>
  <c r="I9185" i="2" a="1"/>
  <c r="I9185" i="2" s="1"/>
  <c r="I9186" i="2" a="1"/>
  <c r="I9186" i="2" s="1"/>
  <c r="I9187" i="2" a="1"/>
  <c r="I9187" i="2" s="1"/>
  <c r="I9188" i="2" a="1"/>
  <c r="I9188" i="2" s="1"/>
  <c r="I9189" i="2" a="1"/>
  <c r="I9189" i="2" s="1"/>
  <c r="I9190" i="2" a="1"/>
  <c r="I9190" i="2" s="1"/>
  <c r="I9191" i="2" a="1"/>
  <c r="I9191" i="2" s="1"/>
  <c r="I9192" i="2" a="1"/>
  <c r="I9192" i="2" s="1"/>
  <c r="I9193" i="2" a="1"/>
  <c r="I9193" i="2" s="1"/>
  <c r="I9194" i="2" a="1"/>
  <c r="I9194" i="2" s="1"/>
  <c r="I9195" i="2" a="1"/>
  <c r="I9195" i="2" s="1"/>
  <c r="I9196" i="2" a="1"/>
  <c r="I9196" i="2" s="1"/>
  <c r="I9197" i="2" a="1"/>
  <c r="I9197" i="2" s="1"/>
  <c r="I9198" i="2" a="1"/>
  <c r="I9198" i="2" s="1"/>
  <c r="I9199" i="2" a="1"/>
  <c r="I9199" i="2" s="1"/>
  <c r="I9200" i="2" a="1"/>
  <c r="I9200" i="2" s="1"/>
  <c r="I9201" i="2" a="1"/>
  <c r="I9201" i="2" s="1"/>
  <c r="I9202" i="2" a="1"/>
  <c r="I9202" i="2" s="1"/>
  <c r="I9203" i="2" a="1"/>
  <c r="I9203" i="2" s="1"/>
  <c r="I9204" i="2" a="1"/>
  <c r="I9204" i="2" s="1"/>
  <c r="I9205" i="2" a="1"/>
  <c r="I9205" i="2" s="1"/>
  <c r="I9206" i="2" a="1"/>
  <c r="I9206" i="2" s="1"/>
  <c r="I9207" i="2" a="1"/>
  <c r="I9207" i="2" s="1"/>
  <c r="I9208" i="2" a="1"/>
  <c r="I9208" i="2" s="1"/>
  <c r="I9209" i="2" a="1"/>
  <c r="I9209" i="2" s="1"/>
  <c r="I9210" i="2" a="1"/>
  <c r="I9210" i="2" s="1"/>
  <c r="I9211" i="2" a="1"/>
  <c r="I9211" i="2" s="1"/>
  <c r="I9212" i="2" a="1"/>
  <c r="I9212" i="2" s="1"/>
  <c r="I9213" i="2" a="1"/>
  <c r="I9213" i="2" s="1"/>
  <c r="I9214" i="2" a="1"/>
  <c r="I9214" i="2" s="1"/>
  <c r="I9215" i="2" a="1"/>
  <c r="I9215" i="2" s="1"/>
  <c r="I9216" i="2" a="1"/>
  <c r="I9216" i="2" s="1"/>
  <c r="I9217" i="2" a="1"/>
  <c r="I9217" i="2" s="1"/>
  <c r="I9218" i="2" a="1"/>
  <c r="I9218" i="2" s="1"/>
  <c r="I9219" i="2" a="1"/>
  <c r="I9219" i="2" s="1"/>
  <c r="I9220" i="2" a="1"/>
  <c r="I9220" i="2" s="1"/>
  <c r="I9221" i="2" a="1"/>
  <c r="I9221" i="2" s="1"/>
  <c r="I9222" i="2" a="1"/>
  <c r="I9222" i="2" s="1"/>
  <c r="I9223" i="2" a="1"/>
  <c r="I9223" i="2" s="1"/>
  <c r="I9224" i="2" a="1"/>
  <c r="I9224" i="2" s="1"/>
  <c r="I9225" i="2" a="1"/>
  <c r="I9225" i="2" s="1"/>
  <c r="I9226" i="2" a="1"/>
  <c r="I9226" i="2" s="1"/>
  <c r="I9227" i="2" a="1"/>
  <c r="I9227" i="2" s="1"/>
  <c r="I9228" i="2" a="1"/>
  <c r="I9228" i="2" s="1"/>
  <c r="I9229" i="2" a="1"/>
  <c r="I9229" i="2" s="1"/>
  <c r="I9230" i="2" a="1"/>
  <c r="I9230" i="2" s="1"/>
  <c r="I9231" i="2" a="1"/>
  <c r="I9231" i="2" s="1"/>
  <c r="I9232" i="2" a="1"/>
  <c r="I9232" i="2" s="1"/>
  <c r="I9233" i="2" a="1"/>
  <c r="I9233" i="2" s="1"/>
  <c r="I9234" i="2" a="1"/>
  <c r="I9234" i="2" s="1"/>
  <c r="I9235" i="2" a="1"/>
  <c r="I9235" i="2" s="1"/>
  <c r="I9236" i="2" a="1"/>
  <c r="I9236" i="2" s="1"/>
  <c r="I9237" i="2" a="1"/>
  <c r="I9237" i="2" s="1"/>
  <c r="I9238" i="2" a="1"/>
  <c r="I9238" i="2" s="1"/>
  <c r="I9239" i="2" a="1"/>
  <c r="I9239" i="2" s="1"/>
  <c r="I9240" i="2" a="1"/>
  <c r="I9240" i="2" s="1"/>
  <c r="I9241" i="2" a="1"/>
  <c r="I9241" i="2" s="1"/>
  <c r="I9242" i="2" a="1"/>
  <c r="I9242" i="2" s="1"/>
  <c r="I9243" i="2" a="1"/>
  <c r="I9243" i="2" s="1"/>
  <c r="I9244" i="2" a="1"/>
  <c r="I9244" i="2" s="1"/>
  <c r="I9245" i="2" a="1"/>
  <c r="I9245" i="2" s="1"/>
  <c r="I9246" i="2" a="1"/>
  <c r="I9246" i="2" s="1"/>
  <c r="I9247" i="2" a="1"/>
  <c r="I9247" i="2" s="1"/>
  <c r="I9248" i="2" a="1"/>
  <c r="I9248" i="2" s="1"/>
  <c r="I9249" i="2" a="1"/>
  <c r="I9249" i="2" s="1"/>
  <c r="I9250" i="2" a="1"/>
  <c r="I9250" i="2" s="1"/>
  <c r="I9251" i="2" a="1"/>
  <c r="I9251" i="2" s="1"/>
  <c r="I9252" i="2" a="1"/>
  <c r="I9252" i="2" s="1"/>
  <c r="I9253" i="2" a="1"/>
  <c r="I9253" i="2" s="1"/>
  <c r="I9254" i="2" a="1"/>
  <c r="I9254" i="2" s="1"/>
  <c r="I9255" i="2" a="1"/>
  <c r="I9255" i="2" s="1"/>
  <c r="I9256" i="2" a="1"/>
  <c r="I9256" i="2" s="1"/>
  <c r="I9257" i="2" a="1"/>
  <c r="I9257" i="2" s="1"/>
  <c r="I9258" i="2" a="1"/>
  <c r="I9258" i="2" s="1"/>
  <c r="I9259" i="2" a="1"/>
  <c r="I9259" i="2" s="1"/>
  <c r="I9260" i="2" a="1"/>
  <c r="I9260" i="2" s="1"/>
  <c r="I9261" i="2" a="1"/>
  <c r="I9261" i="2" s="1"/>
  <c r="I9262" i="2" a="1"/>
  <c r="I9262" i="2" s="1"/>
  <c r="I9263" i="2" a="1"/>
  <c r="I9263" i="2" s="1"/>
  <c r="I9264" i="2" a="1"/>
  <c r="I9264" i="2" s="1"/>
  <c r="I9265" i="2" a="1"/>
  <c r="I9265" i="2" s="1"/>
  <c r="I9266" i="2" a="1"/>
  <c r="I9266" i="2" s="1"/>
  <c r="I9267" i="2" a="1"/>
  <c r="I9267" i="2" s="1"/>
  <c r="I9268" i="2" a="1"/>
  <c r="I9268" i="2" s="1"/>
  <c r="I9269" i="2" a="1"/>
  <c r="I9269" i="2" s="1"/>
  <c r="I9270" i="2" a="1"/>
  <c r="I9270" i="2" s="1"/>
  <c r="I9271" i="2" a="1"/>
  <c r="I9271" i="2" s="1"/>
  <c r="I9272" i="2" a="1"/>
  <c r="I9272" i="2" s="1"/>
  <c r="I9273" i="2" a="1"/>
  <c r="I9273" i="2" s="1"/>
  <c r="I9274" i="2" a="1"/>
  <c r="I9274" i="2" s="1"/>
  <c r="I9275" i="2" a="1"/>
  <c r="I9275" i="2" s="1"/>
  <c r="I9276" i="2" a="1"/>
  <c r="I9276" i="2" s="1"/>
  <c r="I9277" i="2" a="1"/>
  <c r="I9277" i="2" s="1"/>
  <c r="I9278" i="2" a="1"/>
  <c r="I9278" i="2" s="1"/>
  <c r="I9279" i="2" a="1"/>
  <c r="I9279" i="2" s="1"/>
  <c r="I9280" i="2" a="1"/>
  <c r="I9280" i="2" s="1"/>
  <c r="I9281" i="2" a="1"/>
  <c r="I9281" i="2" s="1"/>
  <c r="I9282" i="2" a="1"/>
  <c r="I9282" i="2" s="1"/>
  <c r="I9283" i="2" a="1"/>
  <c r="I9283" i="2" s="1"/>
  <c r="I9284" i="2" a="1"/>
  <c r="I9284" i="2" s="1"/>
  <c r="I9285" i="2" a="1"/>
  <c r="I9285" i="2" s="1"/>
  <c r="I9286" i="2" a="1"/>
  <c r="I9286" i="2" s="1"/>
  <c r="I9287" i="2" a="1"/>
  <c r="I9287" i="2" s="1"/>
  <c r="I9288" i="2" a="1"/>
  <c r="I9288" i="2" s="1"/>
  <c r="I9289" i="2" a="1"/>
  <c r="I9289" i="2" s="1"/>
  <c r="I9290" i="2" a="1"/>
  <c r="I9290" i="2" s="1"/>
  <c r="I9291" i="2" a="1"/>
  <c r="I9291" i="2" s="1"/>
  <c r="I9292" i="2" a="1"/>
  <c r="I9292" i="2" s="1"/>
  <c r="I9293" i="2" a="1"/>
  <c r="I9293" i="2" s="1"/>
  <c r="I9294" i="2" a="1"/>
  <c r="I9294" i="2" s="1"/>
  <c r="I9295" i="2" a="1"/>
  <c r="I9295" i="2" s="1"/>
  <c r="I9296" i="2" a="1"/>
  <c r="I9296" i="2" s="1"/>
  <c r="I9297" i="2" a="1"/>
  <c r="I9297" i="2" s="1"/>
  <c r="I9298" i="2" a="1"/>
  <c r="I9298" i="2" s="1"/>
  <c r="I9299" i="2" a="1"/>
  <c r="I9299" i="2" s="1"/>
  <c r="I9300" i="2" a="1"/>
  <c r="I9300" i="2" s="1"/>
  <c r="I9301" i="2" a="1"/>
  <c r="I9301" i="2" s="1"/>
  <c r="I9302" i="2" a="1"/>
  <c r="I9302" i="2" s="1"/>
  <c r="I9303" i="2" a="1"/>
  <c r="I9303" i="2" s="1"/>
  <c r="I9304" i="2" a="1"/>
  <c r="I9304" i="2" s="1"/>
  <c r="I9305" i="2" a="1"/>
  <c r="I9305" i="2" s="1"/>
  <c r="I9306" i="2" a="1"/>
  <c r="I9306" i="2" s="1"/>
  <c r="I9307" i="2" a="1"/>
  <c r="I9307" i="2" s="1"/>
  <c r="I9308" i="2" a="1"/>
  <c r="I9308" i="2" s="1"/>
  <c r="I9309" i="2" a="1"/>
  <c r="I9309" i="2" s="1"/>
  <c r="I9310" i="2" a="1"/>
  <c r="I9310" i="2" s="1"/>
  <c r="I9311" i="2" a="1"/>
  <c r="I9311" i="2" s="1"/>
  <c r="I9312" i="2" a="1"/>
  <c r="I9312" i="2" s="1"/>
  <c r="I9313" i="2" a="1"/>
  <c r="I9313" i="2" s="1"/>
  <c r="I9314" i="2" a="1"/>
  <c r="I9314" i="2" s="1"/>
  <c r="I9315" i="2" a="1"/>
  <c r="I9315" i="2" s="1"/>
  <c r="I9316" i="2" a="1"/>
  <c r="I9316" i="2" s="1"/>
  <c r="I9317" i="2" a="1"/>
  <c r="I9317" i="2" s="1"/>
  <c r="I9318" i="2" a="1"/>
  <c r="I9318" i="2" s="1"/>
  <c r="I9319" i="2" a="1"/>
  <c r="I9319" i="2" s="1"/>
  <c r="I9320" i="2" a="1"/>
  <c r="I9320" i="2" s="1"/>
  <c r="I9321" i="2" a="1"/>
  <c r="I9321" i="2" s="1"/>
  <c r="I9322" i="2" a="1"/>
  <c r="I9322" i="2" s="1"/>
  <c r="I9323" i="2" a="1"/>
  <c r="I9323" i="2" s="1"/>
  <c r="I9324" i="2" a="1"/>
  <c r="I9324" i="2" s="1"/>
  <c r="I9325" i="2" a="1"/>
  <c r="I9325" i="2" s="1"/>
  <c r="I9326" i="2" a="1"/>
  <c r="I9326" i="2" s="1"/>
  <c r="I9327" i="2" a="1"/>
  <c r="I9327" i="2" s="1"/>
  <c r="I9328" i="2" a="1"/>
  <c r="I9328" i="2" s="1"/>
  <c r="I9329" i="2" a="1"/>
  <c r="I9329" i="2" s="1"/>
  <c r="I9330" i="2" a="1"/>
  <c r="I9330" i="2" s="1"/>
  <c r="I9331" i="2" a="1"/>
  <c r="I9331" i="2" s="1"/>
  <c r="I9332" i="2" a="1"/>
  <c r="I9332" i="2" s="1"/>
  <c r="I9333" i="2" a="1"/>
  <c r="I9333" i="2" s="1"/>
  <c r="I9334" i="2" a="1"/>
  <c r="I9334" i="2" s="1"/>
  <c r="I9335" i="2" a="1"/>
  <c r="I9335" i="2" s="1"/>
  <c r="I9336" i="2" a="1"/>
  <c r="I9336" i="2" s="1"/>
  <c r="I9337" i="2" a="1"/>
  <c r="I9337" i="2" s="1"/>
  <c r="I9338" i="2" a="1"/>
  <c r="I9338" i="2" s="1"/>
  <c r="I9339" i="2" a="1"/>
  <c r="I9339" i="2" s="1"/>
  <c r="I9340" i="2" a="1"/>
  <c r="I9340" i="2" s="1"/>
  <c r="I9341" i="2" a="1"/>
  <c r="I9341" i="2" s="1"/>
  <c r="I9342" i="2" a="1"/>
  <c r="I9342" i="2" s="1"/>
  <c r="I9343" i="2" a="1"/>
  <c r="I9343" i="2" s="1"/>
  <c r="I9344" i="2" a="1"/>
  <c r="I9344" i="2" s="1"/>
  <c r="I9345" i="2" a="1"/>
  <c r="I9345" i="2" s="1"/>
  <c r="I9346" i="2" a="1"/>
  <c r="I9346" i="2" s="1"/>
  <c r="I9347" i="2" a="1"/>
  <c r="I9347" i="2" s="1"/>
  <c r="I9348" i="2" a="1"/>
  <c r="I9348" i="2" s="1"/>
  <c r="I9349" i="2" a="1"/>
  <c r="I9349" i="2" s="1"/>
  <c r="I9350" i="2" a="1"/>
  <c r="I9350" i="2" s="1"/>
  <c r="I9351" i="2" a="1"/>
  <c r="I9351" i="2" s="1"/>
  <c r="I9352" i="2" a="1"/>
  <c r="I9352" i="2" s="1"/>
  <c r="I9353" i="2" a="1"/>
  <c r="I9353" i="2" s="1"/>
  <c r="I9354" i="2" a="1"/>
  <c r="I9354" i="2" s="1"/>
  <c r="I9355" i="2" a="1"/>
  <c r="I9355" i="2" s="1"/>
  <c r="I9356" i="2" a="1"/>
  <c r="I9356" i="2" s="1"/>
  <c r="I9357" i="2" a="1"/>
  <c r="I9357" i="2" s="1"/>
  <c r="I9358" i="2" a="1"/>
  <c r="I9358" i="2" s="1"/>
  <c r="I9359" i="2" a="1"/>
  <c r="I9359" i="2" s="1"/>
  <c r="I9360" i="2" a="1"/>
  <c r="I9360" i="2" s="1"/>
  <c r="I9361" i="2" a="1"/>
  <c r="I9361" i="2" s="1"/>
  <c r="I9362" i="2" a="1"/>
  <c r="I9362" i="2" s="1"/>
  <c r="I9363" i="2" a="1"/>
  <c r="I9363" i="2" s="1"/>
  <c r="I9364" i="2" a="1"/>
  <c r="I9364" i="2" s="1"/>
  <c r="I9365" i="2" a="1"/>
  <c r="I9365" i="2" s="1"/>
  <c r="I9366" i="2" a="1"/>
  <c r="I9366" i="2" s="1"/>
  <c r="I9367" i="2" a="1"/>
  <c r="I9367" i="2" s="1"/>
  <c r="I9368" i="2" a="1"/>
  <c r="I9368" i="2" s="1"/>
  <c r="I9369" i="2" a="1"/>
  <c r="I9369" i="2" s="1"/>
  <c r="I9370" i="2" a="1"/>
  <c r="I9370" i="2" s="1"/>
  <c r="I9371" i="2" a="1"/>
  <c r="I9371" i="2" s="1"/>
  <c r="I9372" i="2" a="1"/>
  <c r="I9372" i="2" s="1"/>
  <c r="I9373" i="2" a="1"/>
  <c r="I9373" i="2" s="1"/>
  <c r="I9374" i="2" a="1"/>
  <c r="I9374" i="2" s="1"/>
  <c r="I9375" i="2" a="1"/>
  <c r="I9375" i="2" s="1"/>
  <c r="I9376" i="2" a="1"/>
  <c r="I9376" i="2" s="1"/>
  <c r="I9377" i="2" a="1"/>
  <c r="I9377" i="2" s="1"/>
  <c r="I9378" i="2" a="1"/>
  <c r="I9378" i="2" s="1"/>
  <c r="I9379" i="2" a="1"/>
  <c r="I9379" i="2" s="1"/>
  <c r="I9380" i="2" a="1"/>
  <c r="I9380" i="2" s="1"/>
  <c r="I9381" i="2" a="1"/>
  <c r="I9381" i="2" s="1"/>
  <c r="I9382" i="2" a="1"/>
  <c r="I9382" i="2" s="1"/>
  <c r="I9383" i="2" a="1"/>
  <c r="I9383" i="2" s="1"/>
  <c r="I9384" i="2" a="1"/>
  <c r="I9384" i="2" s="1"/>
  <c r="I9385" i="2" a="1"/>
  <c r="I9385" i="2" s="1"/>
  <c r="I9386" i="2" a="1"/>
  <c r="I9386" i="2" s="1"/>
  <c r="I9387" i="2" a="1"/>
  <c r="I9387" i="2" s="1"/>
  <c r="I9388" i="2" a="1"/>
  <c r="I9388" i="2" s="1"/>
  <c r="I9389" i="2" a="1"/>
  <c r="I9389" i="2" s="1"/>
  <c r="I9390" i="2" a="1"/>
  <c r="I9390" i="2" s="1"/>
  <c r="I9391" i="2" a="1"/>
  <c r="I9391" i="2" s="1"/>
  <c r="I9392" i="2" a="1"/>
  <c r="I9392" i="2" s="1"/>
  <c r="I9393" i="2" a="1"/>
  <c r="I9393" i="2" s="1"/>
  <c r="I9394" i="2" a="1"/>
  <c r="I9394" i="2" s="1"/>
  <c r="I9395" i="2" a="1"/>
  <c r="I9395" i="2" s="1"/>
  <c r="I9396" i="2" a="1"/>
  <c r="I9396" i="2" s="1"/>
  <c r="I9397" i="2" a="1"/>
  <c r="I9397" i="2" s="1"/>
  <c r="I9398" i="2" a="1"/>
  <c r="I9398" i="2" s="1"/>
  <c r="I9399" i="2" a="1"/>
  <c r="I9399" i="2" s="1"/>
  <c r="I9400" i="2" a="1"/>
  <c r="I9400" i="2" s="1"/>
  <c r="I9401" i="2" a="1"/>
  <c r="I9401" i="2" s="1"/>
  <c r="I9402" i="2" a="1"/>
  <c r="I9402" i="2" s="1"/>
  <c r="I9403" i="2" a="1"/>
  <c r="I9403" i="2" s="1"/>
  <c r="I9404" i="2" a="1"/>
  <c r="I9404" i="2" s="1"/>
  <c r="I9405" i="2" a="1"/>
  <c r="I9405" i="2" s="1"/>
  <c r="I9406" i="2" a="1"/>
  <c r="I9406" i="2" s="1"/>
  <c r="I9407" i="2" a="1"/>
  <c r="I9407" i="2" s="1"/>
  <c r="I9408" i="2" a="1"/>
  <c r="I9408" i="2" s="1"/>
  <c r="I9409" i="2" a="1"/>
  <c r="I9409" i="2" s="1"/>
  <c r="I9410" i="2" a="1"/>
  <c r="I9410" i="2" s="1"/>
  <c r="I9411" i="2" a="1"/>
  <c r="I9411" i="2" s="1"/>
  <c r="I9412" i="2" a="1"/>
  <c r="I9412" i="2" s="1"/>
  <c r="I9413" i="2" a="1"/>
  <c r="I9413" i="2" s="1"/>
  <c r="I9414" i="2" a="1"/>
  <c r="I9414" i="2" s="1"/>
  <c r="I9415" i="2" a="1"/>
  <c r="I9415" i="2" s="1"/>
  <c r="I9416" i="2" a="1"/>
  <c r="I9416" i="2" s="1"/>
  <c r="I9417" i="2" a="1"/>
  <c r="I9417" i="2" s="1"/>
  <c r="I9418" i="2" a="1"/>
  <c r="I9418" i="2" s="1"/>
  <c r="I9419" i="2" a="1"/>
  <c r="I9419" i="2" s="1"/>
  <c r="I9420" i="2" a="1"/>
  <c r="I9420" i="2" s="1"/>
  <c r="I9421" i="2" a="1"/>
  <c r="I9421" i="2" s="1"/>
  <c r="I9422" i="2" a="1"/>
  <c r="I9422" i="2" s="1"/>
  <c r="I9423" i="2" a="1"/>
  <c r="I9423" i="2" s="1"/>
  <c r="I9424" i="2" a="1"/>
  <c r="I9424" i="2" s="1"/>
  <c r="I9425" i="2" a="1"/>
  <c r="I9425" i="2" s="1"/>
  <c r="I9426" i="2" a="1"/>
  <c r="I9426" i="2" s="1"/>
  <c r="I9427" i="2" a="1"/>
  <c r="I9427" i="2" s="1"/>
  <c r="I9428" i="2" a="1"/>
  <c r="I9428" i="2" s="1"/>
  <c r="I9429" i="2" a="1"/>
  <c r="I9429" i="2" s="1"/>
  <c r="I9430" i="2" a="1"/>
  <c r="I9430" i="2" s="1"/>
  <c r="I9431" i="2" a="1"/>
  <c r="I9431" i="2" s="1"/>
  <c r="I9432" i="2" a="1"/>
  <c r="I9432" i="2" s="1"/>
  <c r="I9433" i="2" a="1"/>
  <c r="I9433" i="2" s="1"/>
  <c r="I9434" i="2" a="1"/>
  <c r="I9434" i="2" s="1"/>
  <c r="I9435" i="2" a="1"/>
  <c r="I9435" i="2" s="1"/>
  <c r="I9436" i="2" a="1"/>
  <c r="I9436" i="2" s="1"/>
  <c r="I9437" i="2" a="1"/>
  <c r="I9437" i="2" s="1"/>
  <c r="I9438" i="2" a="1"/>
  <c r="I9438" i="2" s="1"/>
  <c r="I9439" i="2" a="1"/>
  <c r="I9439" i="2" s="1"/>
  <c r="I9440" i="2" a="1"/>
  <c r="I9440" i="2" s="1"/>
  <c r="I9441" i="2" a="1"/>
  <c r="I9441" i="2" s="1"/>
  <c r="I9442" i="2" a="1"/>
  <c r="I9442" i="2" s="1"/>
  <c r="I9443" i="2" a="1"/>
  <c r="I9443" i="2" s="1"/>
  <c r="I9444" i="2" a="1"/>
  <c r="I9444" i="2" s="1"/>
  <c r="I9445" i="2" a="1"/>
  <c r="I9445" i="2" s="1"/>
  <c r="I9446" i="2" a="1"/>
  <c r="I9446" i="2" s="1"/>
  <c r="I9447" i="2" a="1"/>
  <c r="I9447" i="2" s="1"/>
  <c r="I9448" i="2" a="1"/>
  <c r="I9448" i="2" s="1"/>
  <c r="I9449" i="2" a="1"/>
  <c r="I9449" i="2" s="1"/>
  <c r="I9450" i="2" a="1"/>
  <c r="I9450" i="2" s="1"/>
  <c r="I9451" i="2" a="1"/>
  <c r="I9451" i="2" s="1"/>
  <c r="I9452" i="2" a="1"/>
  <c r="I9452" i="2" s="1"/>
  <c r="I9453" i="2" a="1"/>
  <c r="I9453" i="2" s="1"/>
  <c r="I9454" i="2" a="1"/>
  <c r="I9454" i="2" s="1"/>
  <c r="I9455" i="2" a="1"/>
  <c r="I9455" i="2" s="1"/>
  <c r="I9456" i="2" a="1"/>
  <c r="I9456" i="2" s="1"/>
  <c r="I9457" i="2" a="1"/>
  <c r="I9457" i="2" s="1"/>
  <c r="I9458" i="2" a="1"/>
  <c r="I9458" i="2" s="1"/>
  <c r="I9459" i="2" a="1"/>
  <c r="I9459" i="2" s="1"/>
  <c r="I9460" i="2" a="1"/>
  <c r="I9460" i="2" s="1"/>
  <c r="I9461" i="2" a="1"/>
  <c r="I9461" i="2" s="1"/>
  <c r="I9462" i="2" a="1"/>
  <c r="I9462" i="2" s="1"/>
  <c r="I9463" i="2" a="1"/>
  <c r="I9463" i="2" s="1"/>
  <c r="I9464" i="2" a="1"/>
  <c r="I9464" i="2" s="1"/>
  <c r="I9465" i="2" a="1"/>
  <c r="I9465" i="2" s="1"/>
  <c r="I9466" i="2" a="1"/>
  <c r="I9466" i="2" s="1"/>
  <c r="I9467" i="2" a="1"/>
  <c r="I9467" i="2" s="1"/>
  <c r="I9468" i="2" a="1"/>
  <c r="I9468" i="2" s="1"/>
  <c r="I9469" i="2" a="1"/>
  <c r="I9469" i="2" s="1"/>
  <c r="I9470" i="2" a="1"/>
  <c r="I9470" i="2" s="1"/>
  <c r="I9471" i="2" a="1"/>
  <c r="I9471" i="2" s="1"/>
  <c r="I9472" i="2" a="1"/>
  <c r="I9472" i="2" s="1"/>
  <c r="I9473" i="2" a="1"/>
  <c r="I9473" i="2" s="1"/>
  <c r="I9474" i="2" a="1"/>
  <c r="I9474" i="2" s="1"/>
  <c r="I9475" i="2" a="1"/>
  <c r="I9475" i="2" s="1"/>
  <c r="I9476" i="2" a="1"/>
  <c r="I9476" i="2" s="1"/>
  <c r="I9477" i="2" a="1"/>
  <c r="I9477" i="2" s="1"/>
  <c r="I9478" i="2" a="1"/>
  <c r="I9478" i="2" s="1"/>
  <c r="I9479" i="2" a="1"/>
  <c r="I9479" i="2" s="1"/>
  <c r="I9480" i="2" a="1"/>
  <c r="I9480" i="2" s="1"/>
  <c r="I9481" i="2" a="1"/>
  <c r="I9481" i="2" s="1"/>
  <c r="I9482" i="2" a="1"/>
  <c r="I9482" i="2" s="1"/>
  <c r="I9483" i="2" a="1"/>
  <c r="I9483" i="2" s="1"/>
  <c r="I9484" i="2" a="1"/>
  <c r="I9484" i="2" s="1"/>
  <c r="I9485" i="2" a="1"/>
  <c r="I9485" i="2" s="1"/>
  <c r="I9486" i="2" a="1"/>
  <c r="I9486" i="2" s="1"/>
  <c r="I9487" i="2" a="1"/>
  <c r="I9487" i="2" s="1"/>
  <c r="I9488" i="2" a="1"/>
  <c r="I9488" i="2" s="1"/>
  <c r="I9489" i="2" a="1"/>
  <c r="I9489" i="2" s="1"/>
  <c r="I9490" i="2" a="1"/>
  <c r="I9490" i="2" s="1"/>
  <c r="I9491" i="2" a="1"/>
  <c r="I9491" i="2" s="1"/>
  <c r="I9492" i="2" a="1"/>
  <c r="I9492" i="2" s="1"/>
  <c r="I9493" i="2" a="1"/>
  <c r="I9493" i="2" s="1"/>
  <c r="I9494" i="2" a="1"/>
  <c r="I9494" i="2" s="1"/>
  <c r="I9495" i="2" a="1"/>
  <c r="I9495" i="2" s="1"/>
  <c r="I9496" i="2" a="1"/>
  <c r="I9496" i="2" s="1"/>
  <c r="I9497" i="2" a="1"/>
  <c r="I9497" i="2" s="1"/>
  <c r="I9498" i="2" a="1"/>
  <c r="I9498" i="2" s="1"/>
  <c r="I9499" i="2" a="1"/>
  <c r="I9499" i="2" s="1"/>
  <c r="I9500" i="2" a="1"/>
  <c r="I9500" i="2" s="1"/>
  <c r="I9501" i="2" a="1"/>
  <c r="I9501" i="2" s="1"/>
  <c r="I9502" i="2" a="1"/>
  <c r="I9502" i="2" s="1"/>
  <c r="I9503" i="2" a="1"/>
  <c r="I9503" i="2" s="1"/>
  <c r="I9504" i="2" a="1"/>
  <c r="I9504" i="2" s="1"/>
  <c r="I9505" i="2" a="1"/>
  <c r="I9505" i="2" s="1"/>
  <c r="I9506" i="2" a="1"/>
  <c r="I9506" i="2" s="1"/>
  <c r="I9507" i="2" a="1"/>
  <c r="I9507" i="2" s="1"/>
  <c r="I9508" i="2" a="1"/>
  <c r="I9508" i="2" s="1"/>
  <c r="I9509" i="2" a="1"/>
  <c r="I9509" i="2" s="1"/>
  <c r="I9510" i="2" a="1"/>
  <c r="I9510" i="2" s="1"/>
  <c r="I9511" i="2" a="1"/>
  <c r="I9511" i="2" s="1"/>
  <c r="I9512" i="2" a="1"/>
  <c r="I9512" i="2" s="1"/>
  <c r="I9513" i="2" a="1"/>
  <c r="I9513" i="2" s="1"/>
  <c r="I9514" i="2" a="1"/>
  <c r="I9514" i="2" s="1"/>
  <c r="I9515" i="2" a="1"/>
  <c r="I9515" i="2" s="1"/>
  <c r="I9516" i="2" a="1"/>
  <c r="I9516" i="2" s="1"/>
  <c r="I9517" i="2" a="1"/>
  <c r="I9517" i="2" s="1"/>
  <c r="I9518" i="2" a="1"/>
  <c r="I9518" i="2" s="1"/>
  <c r="I9519" i="2" a="1"/>
  <c r="I9519" i="2" s="1"/>
  <c r="I9520" i="2" a="1"/>
  <c r="I9520" i="2" s="1"/>
  <c r="I9521" i="2" a="1"/>
  <c r="I9521" i="2" s="1"/>
  <c r="I9522" i="2" a="1"/>
  <c r="I9522" i="2" s="1"/>
  <c r="I9523" i="2" a="1"/>
  <c r="I9523" i="2" s="1"/>
  <c r="I9524" i="2" a="1"/>
  <c r="I9524" i="2" s="1"/>
  <c r="I9525" i="2" a="1"/>
  <c r="I9525" i="2" s="1"/>
  <c r="I9526" i="2" a="1"/>
  <c r="I9526" i="2" s="1"/>
  <c r="I9527" i="2" a="1"/>
  <c r="I9527" i="2" s="1"/>
  <c r="I9528" i="2" a="1"/>
  <c r="I9528" i="2" s="1"/>
  <c r="I9529" i="2" a="1"/>
  <c r="I9529" i="2" s="1"/>
  <c r="I9530" i="2" a="1"/>
  <c r="I9530" i="2" s="1"/>
  <c r="I9531" i="2" a="1"/>
  <c r="I9531" i="2" s="1"/>
  <c r="I9532" i="2" a="1"/>
  <c r="I9532" i="2" s="1"/>
  <c r="I9533" i="2" a="1"/>
  <c r="I9533" i="2" s="1"/>
  <c r="I9534" i="2" a="1"/>
  <c r="I9534" i="2" s="1"/>
  <c r="I9535" i="2" a="1"/>
  <c r="I9535" i="2" s="1"/>
  <c r="I9536" i="2" a="1"/>
  <c r="I9536" i="2" s="1"/>
  <c r="I9537" i="2" a="1"/>
  <c r="I9537" i="2" s="1"/>
  <c r="I9538" i="2" a="1"/>
  <c r="I9538" i="2" s="1"/>
  <c r="I9539" i="2" a="1"/>
  <c r="I9539" i="2" s="1"/>
  <c r="I9540" i="2" a="1"/>
  <c r="I9540" i="2" s="1"/>
  <c r="I9541" i="2" a="1"/>
  <c r="I9541" i="2" s="1"/>
  <c r="I9542" i="2" a="1"/>
  <c r="I9542" i="2" s="1"/>
  <c r="I9543" i="2" a="1"/>
  <c r="I9543" i="2" s="1"/>
  <c r="I9544" i="2" a="1"/>
  <c r="I9544" i="2" s="1"/>
  <c r="I9545" i="2" a="1"/>
  <c r="I9545" i="2" s="1"/>
  <c r="I9546" i="2" a="1"/>
  <c r="I9546" i="2" s="1"/>
  <c r="I9547" i="2" a="1"/>
  <c r="I9547" i="2" s="1"/>
  <c r="I9548" i="2" a="1"/>
  <c r="I9548" i="2" s="1"/>
  <c r="I9549" i="2" a="1"/>
  <c r="I9549" i="2" s="1"/>
  <c r="I9550" i="2" a="1"/>
  <c r="I9550" i="2" s="1"/>
  <c r="I9551" i="2" a="1"/>
  <c r="I9551" i="2" s="1"/>
  <c r="I9552" i="2" a="1"/>
  <c r="I9552" i="2" s="1"/>
  <c r="I9553" i="2" a="1"/>
  <c r="I9553" i="2" s="1"/>
  <c r="I9554" i="2" a="1"/>
  <c r="I9554" i="2" s="1"/>
  <c r="I9555" i="2" a="1"/>
  <c r="I9555" i="2" s="1"/>
  <c r="I9556" i="2" a="1"/>
  <c r="I9556" i="2" s="1"/>
  <c r="I9557" i="2" a="1"/>
  <c r="I9557" i="2" s="1"/>
  <c r="I9558" i="2" a="1"/>
  <c r="I9558" i="2" s="1"/>
  <c r="I9559" i="2" a="1"/>
  <c r="I9559" i="2" s="1"/>
  <c r="I9560" i="2" a="1"/>
  <c r="I9560" i="2" s="1"/>
  <c r="I9561" i="2" a="1"/>
  <c r="I9561" i="2" s="1"/>
  <c r="I9562" i="2" a="1"/>
  <c r="I9562" i="2" s="1"/>
  <c r="I9563" i="2" a="1"/>
  <c r="I9563" i="2" s="1"/>
  <c r="I9564" i="2" a="1"/>
  <c r="I9564" i="2" s="1"/>
  <c r="I9565" i="2" a="1"/>
  <c r="I9565" i="2" s="1"/>
  <c r="I9566" i="2" a="1"/>
  <c r="I9566" i="2" s="1"/>
  <c r="I9567" i="2" a="1"/>
  <c r="I9567" i="2" s="1"/>
  <c r="I9568" i="2" a="1"/>
  <c r="I9568" i="2" s="1"/>
  <c r="I9569" i="2" a="1"/>
  <c r="I9569" i="2" s="1"/>
  <c r="I9570" i="2" a="1"/>
  <c r="I9570" i="2" s="1"/>
  <c r="I9571" i="2" a="1"/>
  <c r="I9571" i="2" s="1"/>
  <c r="I9572" i="2" a="1"/>
  <c r="I9572" i="2" s="1"/>
  <c r="I9573" i="2" a="1"/>
  <c r="I9573" i="2" s="1"/>
  <c r="I9574" i="2" a="1"/>
  <c r="I9574" i="2" s="1"/>
  <c r="I9575" i="2" a="1"/>
  <c r="I9575" i="2" s="1"/>
  <c r="I9576" i="2" a="1"/>
  <c r="I9576" i="2" s="1"/>
  <c r="I9577" i="2" a="1"/>
  <c r="I9577" i="2" s="1"/>
  <c r="I9578" i="2" a="1"/>
  <c r="I9578" i="2" s="1"/>
  <c r="I9579" i="2" a="1"/>
  <c r="I9579" i="2" s="1"/>
  <c r="I9580" i="2" a="1"/>
  <c r="I9580" i="2" s="1"/>
  <c r="I9581" i="2" a="1"/>
  <c r="I9581" i="2" s="1"/>
  <c r="I9582" i="2" a="1"/>
  <c r="I9582" i="2" s="1"/>
  <c r="I9583" i="2" a="1"/>
  <c r="I9583" i="2" s="1"/>
  <c r="I9584" i="2" a="1"/>
  <c r="I9584" i="2" s="1"/>
  <c r="I9585" i="2" a="1"/>
  <c r="I9585" i="2" s="1"/>
  <c r="I9586" i="2" a="1"/>
  <c r="I9586" i="2" s="1"/>
  <c r="I9587" i="2" a="1"/>
  <c r="I9587" i="2" s="1"/>
  <c r="I9588" i="2" a="1"/>
  <c r="I9588" i="2" s="1"/>
  <c r="I9589" i="2" a="1"/>
  <c r="I9589" i="2" s="1"/>
  <c r="I9590" i="2" a="1"/>
  <c r="I9590" i="2" s="1"/>
  <c r="I9591" i="2" a="1"/>
  <c r="I9591" i="2" s="1"/>
  <c r="I9592" i="2" a="1"/>
  <c r="I9592" i="2" s="1"/>
  <c r="I9593" i="2" a="1"/>
  <c r="I9593" i="2" s="1"/>
  <c r="I9594" i="2" a="1"/>
  <c r="I9594" i="2" s="1"/>
  <c r="I9595" i="2" a="1"/>
  <c r="I9595" i="2" s="1"/>
  <c r="I9596" i="2" a="1"/>
  <c r="I9596" i="2" s="1"/>
  <c r="I9597" i="2" a="1"/>
  <c r="I9597" i="2" s="1"/>
  <c r="I9598" i="2" a="1"/>
  <c r="I9598" i="2" s="1"/>
  <c r="I9599" i="2" a="1"/>
  <c r="I9599" i="2" s="1"/>
  <c r="I9600" i="2" a="1"/>
  <c r="I9600" i="2" s="1"/>
  <c r="I9601" i="2" a="1"/>
  <c r="I9601" i="2" s="1"/>
  <c r="I9602" i="2" a="1"/>
  <c r="I9602" i="2" s="1"/>
  <c r="I9603" i="2" a="1"/>
  <c r="I9603" i="2" s="1"/>
  <c r="I9604" i="2" a="1"/>
  <c r="I9604" i="2" s="1"/>
  <c r="I9605" i="2" a="1"/>
  <c r="I9605" i="2" s="1"/>
  <c r="I9606" i="2" a="1"/>
  <c r="I9606" i="2" s="1"/>
  <c r="I9607" i="2" a="1"/>
  <c r="I9607" i="2" s="1"/>
  <c r="I9608" i="2" a="1"/>
  <c r="I9608" i="2" s="1"/>
  <c r="I9609" i="2" a="1"/>
  <c r="I9609" i="2" s="1"/>
  <c r="I9610" i="2" a="1"/>
  <c r="I9610" i="2" s="1"/>
  <c r="I9611" i="2" a="1"/>
  <c r="I9611" i="2" s="1"/>
  <c r="I9612" i="2" a="1"/>
  <c r="I9612" i="2" s="1"/>
  <c r="I9613" i="2" a="1"/>
  <c r="I9613" i="2" s="1"/>
  <c r="I9614" i="2" a="1"/>
  <c r="I9614" i="2" s="1"/>
  <c r="I9615" i="2" a="1"/>
  <c r="I9615" i="2" s="1"/>
  <c r="I9616" i="2" a="1"/>
  <c r="I9616" i="2" s="1"/>
  <c r="I9617" i="2" a="1"/>
  <c r="I9617" i="2" s="1"/>
  <c r="I9618" i="2" a="1"/>
  <c r="I9618" i="2" s="1"/>
  <c r="I9619" i="2" a="1"/>
  <c r="I9619" i="2" s="1"/>
  <c r="I9620" i="2" a="1"/>
  <c r="I9620" i="2" s="1"/>
  <c r="I9621" i="2" a="1"/>
  <c r="I9621" i="2" s="1"/>
  <c r="I9622" i="2" a="1"/>
  <c r="I9622" i="2" s="1"/>
  <c r="I9623" i="2" a="1"/>
  <c r="I9623" i="2" s="1"/>
  <c r="I9624" i="2" a="1"/>
  <c r="I9624" i="2" s="1"/>
  <c r="I9625" i="2" a="1"/>
  <c r="I9625" i="2" s="1"/>
  <c r="I9626" i="2" a="1"/>
  <c r="I9626" i="2" s="1"/>
  <c r="I9627" i="2" a="1"/>
  <c r="I9627" i="2" s="1"/>
  <c r="I9628" i="2" a="1"/>
  <c r="I9628" i="2" s="1"/>
  <c r="I9629" i="2" a="1"/>
  <c r="I9629" i="2" s="1"/>
  <c r="I9630" i="2" a="1"/>
  <c r="I9630" i="2" s="1"/>
  <c r="I9631" i="2" a="1"/>
  <c r="I9631" i="2" s="1"/>
  <c r="I9632" i="2" a="1"/>
  <c r="I9632" i="2" s="1"/>
  <c r="I9633" i="2" a="1"/>
  <c r="I9633" i="2" s="1"/>
  <c r="I9634" i="2" a="1"/>
  <c r="I9634" i="2" s="1"/>
  <c r="I9635" i="2" a="1"/>
  <c r="I9635" i="2" s="1"/>
  <c r="I9636" i="2" a="1"/>
  <c r="I9636" i="2" s="1"/>
  <c r="I9637" i="2" a="1"/>
  <c r="I9637" i="2" s="1"/>
  <c r="I9638" i="2" a="1"/>
  <c r="I9638" i="2" s="1"/>
  <c r="I9639" i="2" a="1"/>
  <c r="I9639" i="2" s="1"/>
  <c r="I9640" i="2" a="1"/>
  <c r="I9640" i="2" s="1"/>
  <c r="I9641" i="2" a="1"/>
  <c r="I9641" i="2" s="1"/>
  <c r="I9642" i="2" a="1"/>
  <c r="I9642" i="2" s="1"/>
  <c r="I9643" i="2" a="1"/>
  <c r="I9643" i="2" s="1"/>
  <c r="I9644" i="2" a="1"/>
  <c r="I9644" i="2" s="1"/>
  <c r="I9645" i="2" a="1"/>
  <c r="I9645" i="2" s="1"/>
  <c r="I9646" i="2" a="1"/>
  <c r="I9646" i="2" s="1"/>
  <c r="I9647" i="2" a="1"/>
  <c r="I9647" i="2" s="1"/>
  <c r="I9648" i="2" a="1"/>
  <c r="I9648" i="2" s="1"/>
  <c r="I9649" i="2" a="1"/>
  <c r="I9649" i="2" s="1"/>
  <c r="I9650" i="2" a="1"/>
  <c r="I9650" i="2" s="1"/>
  <c r="I9651" i="2" a="1"/>
  <c r="I9651" i="2" s="1"/>
  <c r="I9652" i="2" a="1"/>
  <c r="I9652" i="2" s="1"/>
  <c r="I9653" i="2" a="1"/>
  <c r="I9653" i="2" s="1"/>
  <c r="I9654" i="2" a="1"/>
  <c r="I9654" i="2" s="1"/>
  <c r="I9655" i="2" a="1"/>
  <c r="I9655" i="2" s="1"/>
  <c r="I9656" i="2" a="1"/>
  <c r="I9656" i="2" s="1"/>
  <c r="I9657" i="2" a="1"/>
  <c r="I9657" i="2" s="1"/>
  <c r="I9658" i="2" a="1"/>
  <c r="I9658" i="2" s="1"/>
  <c r="I9659" i="2" a="1"/>
  <c r="I9659" i="2" s="1"/>
  <c r="I9660" i="2" a="1"/>
  <c r="I9660" i="2" s="1"/>
  <c r="I9661" i="2" a="1"/>
  <c r="I9661" i="2" s="1"/>
  <c r="I9662" i="2" a="1"/>
  <c r="I9662" i="2" s="1"/>
  <c r="I9663" i="2" a="1"/>
  <c r="I9663" i="2" s="1"/>
  <c r="I9664" i="2" a="1"/>
  <c r="I9664" i="2" s="1"/>
  <c r="I9665" i="2" a="1"/>
  <c r="I9665" i="2" s="1"/>
  <c r="I9666" i="2" a="1"/>
  <c r="I9666" i="2" s="1"/>
  <c r="I9667" i="2" a="1"/>
  <c r="I9667" i="2" s="1"/>
  <c r="I9668" i="2" a="1"/>
  <c r="I9668" i="2" s="1"/>
  <c r="I9669" i="2" a="1"/>
  <c r="I9669" i="2" s="1"/>
  <c r="I9670" i="2" a="1"/>
  <c r="I9670" i="2" s="1"/>
  <c r="I9671" i="2" a="1"/>
  <c r="I9671" i="2" s="1"/>
  <c r="I9672" i="2" a="1"/>
  <c r="I9672" i="2" s="1"/>
  <c r="I9673" i="2" a="1"/>
  <c r="I9673" i="2" s="1"/>
  <c r="I9674" i="2" a="1"/>
  <c r="I9674" i="2" s="1"/>
  <c r="I9675" i="2" a="1"/>
  <c r="I9675" i="2" s="1"/>
  <c r="I9676" i="2" a="1"/>
  <c r="I9676" i="2" s="1"/>
  <c r="I9677" i="2" a="1"/>
  <c r="I9677" i="2" s="1"/>
  <c r="I9678" i="2" a="1"/>
  <c r="I9678" i="2" s="1"/>
  <c r="I9679" i="2" a="1"/>
  <c r="I9679" i="2" s="1"/>
  <c r="I9680" i="2" a="1"/>
  <c r="I9680" i="2" s="1"/>
  <c r="I9681" i="2" a="1"/>
  <c r="I9681" i="2" s="1"/>
  <c r="I9682" i="2" a="1"/>
  <c r="I9682" i="2" s="1"/>
  <c r="I9683" i="2" a="1"/>
  <c r="I9683" i="2" s="1"/>
  <c r="I9684" i="2" a="1"/>
  <c r="I9684" i="2" s="1"/>
  <c r="I9685" i="2" a="1"/>
  <c r="I9685" i="2" s="1"/>
  <c r="I9686" i="2" a="1"/>
  <c r="I9686" i="2" s="1"/>
  <c r="I9687" i="2" a="1"/>
  <c r="I9687" i="2" s="1"/>
  <c r="I9688" i="2" a="1"/>
  <c r="I9688" i="2" s="1"/>
  <c r="I9689" i="2" a="1"/>
  <c r="I9689" i="2" s="1"/>
  <c r="I9690" i="2" a="1"/>
  <c r="I9690" i="2" s="1"/>
  <c r="I9691" i="2" a="1"/>
  <c r="I9691" i="2" s="1"/>
  <c r="I9692" i="2" a="1"/>
  <c r="I9692" i="2" s="1"/>
  <c r="I9693" i="2" a="1"/>
  <c r="I9693" i="2" s="1"/>
  <c r="I9694" i="2" a="1"/>
  <c r="I9694" i="2" s="1"/>
  <c r="I9695" i="2" a="1"/>
  <c r="I9695" i="2" s="1"/>
  <c r="I9696" i="2" a="1"/>
  <c r="I9696" i="2" s="1"/>
  <c r="I9697" i="2" a="1"/>
  <c r="I9697" i="2" s="1"/>
  <c r="I9698" i="2" a="1"/>
  <c r="I9698" i="2" s="1"/>
  <c r="I9699" i="2" a="1"/>
  <c r="I9699" i="2" s="1"/>
  <c r="I9700" i="2" a="1"/>
  <c r="I9700" i="2" s="1"/>
  <c r="I9701" i="2" a="1"/>
  <c r="I9701" i="2" s="1"/>
  <c r="I9702" i="2" a="1"/>
  <c r="I9702" i="2" s="1"/>
  <c r="I9703" i="2" a="1"/>
  <c r="I9703" i="2" s="1"/>
  <c r="I9704" i="2" a="1"/>
  <c r="I9704" i="2" s="1"/>
  <c r="I9705" i="2" a="1"/>
  <c r="I9705" i="2" s="1"/>
  <c r="I9706" i="2" a="1"/>
  <c r="I9706" i="2" s="1"/>
  <c r="I9707" i="2" a="1"/>
  <c r="I9707" i="2" s="1"/>
  <c r="I9708" i="2" a="1"/>
  <c r="I9708" i="2" s="1"/>
  <c r="I9709" i="2" a="1"/>
  <c r="I9709" i="2" s="1"/>
  <c r="I9710" i="2" a="1"/>
  <c r="I9710" i="2" s="1"/>
  <c r="I9711" i="2" a="1"/>
  <c r="I9711" i="2" s="1"/>
  <c r="I9712" i="2" a="1"/>
  <c r="I9712" i="2" s="1"/>
  <c r="I9713" i="2" a="1"/>
  <c r="I9713" i="2" s="1"/>
  <c r="I9714" i="2" a="1"/>
  <c r="I9714" i="2" s="1"/>
  <c r="I9715" i="2" a="1"/>
  <c r="I9715" i="2" s="1"/>
  <c r="I9716" i="2" a="1"/>
  <c r="I9716" i="2" s="1"/>
  <c r="I9717" i="2" a="1"/>
  <c r="I9717" i="2" s="1"/>
  <c r="I9718" i="2" a="1"/>
  <c r="I9718" i="2" s="1"/>
  <c r="I9719" i="2" a="1"/>
  <c r="I9719" i="2" s="1"/>
  <c r="I9720" i="2" a="1"/>
  <c r="I9720" i="2" s="1"/>
  <c r="I9721" i="2" a="1"/>
  <c r="I9721" i="2" s="1"/>
  <c r="I9722" i="2" a="1"/>
  <c r="I9722" i="2" s="1"/>
  <c r="I9723" i="2" a="1"/>
  <c r="I9723" i="2" s="1"/>
  <c r="I9724" i="2" a="1"/>
  <c r="I9724" i="2" s="1"/>
  <c r="I9725" i="2" a="1"/>
  <c r="I9725" i="2" s="1"/>
  <c r="I9726" i="2" a="1"/>
  <c r="I9726" i="2" s="1"/>
  <c r="I9727" i="2" a="1"/>
  <c r="I9727" i="2" s="1"/>
  <c r="I9728" i="2" a="1"/>
  <c r="I9728" i="2" s="1"/>
  <c r="I9729" i="2" a="1"/>
  <c r="I9729" i="2" s="1"/>
  <c r="I9730" i="2" a="1"/>
  <c r="I9730" i="2" s="1"/>
  <c r="I9731" i="2" a="1"/>
  <c r="I9731" i="2" s="1"/>
  <c r="I9732" i="2" a="1"/>
  <c r="I9732" i="2" s="1"/>
  <c r="I9733" i="2" a="1"/>
  <c r="I9733" i="2" s="1"/>
  <c r="I9734" i="2" a="1"/>
  <c r="I9734" i="2" s="1"/>
  <c r="I9735" i="2" a="1"/>
  <c r="I9735" i="2" s="1"/>
  <c r="I9736" i="2" a="1"/>
  <c r="I9736" i="2" s="1"/>
  <c r="I9737" i="2" a="1"/>
  <c r="I9737" i="2" s="1"/>
  <c r="I9738" i="2" a="1"/>
  <c r="I9738" i="2" s="1"/>
  <c r="I9739" i="2" a="1"/>
  <c r="I9739" i="2" s="1"/>
  <c r="I9740" i="2" a="1"/>
  <c r="I9740" i="2" s="1"/>
  <c r="I9741" i="2" a="1"/>
  <c r="I9741" i="2" s="1"/>
  <c r="I9742" i="2" a="1"/>
  <c r="I9742" i="2" s="1"/>
  <c r="I9743" i="2" a="1"/>
  <c r="I9743" i="2" s="1"/>
  <c r="I9744" i="2" a="1"/>
  <c r="I9744" i="2" s="1"/>
  <c r="I9745" i="2" a="1"/>
  <c r="I9745" i="2" s="1"/>
  <c r="I9746" i="2" a="1"/>
  <c r="I9746" i="2" s="1"/>
  <c r="I9747" i="2" a="1"/>
  <c r="I9747" i="2" s="1"/>
  <c r="I9748" i="2" a="1"/>
  <c r="I9748" i="2" s="1"/>
  <c r="I9749" i="2" a="1"/>
  <c r="I9749" i="2" s="1"/>
  <c r="I9750" i="2" a="1"/>
  <c r="I9750" i="2" s="1"/>
  <c r="I9751" i="2" a="1"/>
  <c r="I9751" i="2" s="1"/>
  <c r="I9752" i="2" a="1"/>
  <c r="I9752" i="2" s="1"/>
  <c r="I9753" i="2" a="1"/>
  <c r="I9753" i="2" s="1"/>
  <c r="I9754" i="2" a="1"/>
  <c r="I9754" i="2" s="1"/>
  <c r="I9755" i="2" a="1"/>
  <c r="I9755" i="2" s="1"/>
  <c r="I9756" i="2" a="1"/>
  <c r="I9756" i="2" s="1"/>
  <c r="I9757" i="2" a="1"/>
  <c r="I9757" i="2" s="1"/>
  <c r="I9758" i="2" a="1"/>
  <c r="I9758" i="2" s="1"/>
  <c r="I9759" i="2" a="1"/>
  <c r="I9759" i="2" s="1"/>
  <c r="I9760" i="2" a="1"/>
  <c r="I9760" i="2" s="1"/>
  <c r="I9761" i="2" a="1"/>
  <c r="I9761" i="2" s="1"/>
  <c r="I9762" i="2" a="1"/>
  <c r="I9762" i="2" s="1"/>
  <c r="I9763" i="2" a="1"/>
  <c r="I9763" i="2" s="1"/>
  <c r="I9764" i="2" a="1"/>
  <c r="I9764" i="2" s="1"/>
  <c r="I9765" i="2" a="1"/>
  <c r="I9765" i="2" s="1"/>
  <c r="I9766" i="2" a="1"/>
  <c r="I9766" i="2" s="1"/>
  <c r="I9767" i="2" a="1"/>
  <c r="I9767" i="2" s="1"/>
  <c r="I9768" i="2" a="1"/>
  <c r="I9768" i="2" s="1"/>
  <c r="I9769" i="2" a="1"/>
  <c r="I9769" i="2" s="1"/>
  <c r="I9770" i="2" a="1"/>
  <c r="I9770" i="2" s="1"/>
  <c r="I9771" i="2" a="1"/>
  <c r="I9771" i="2" s="1"/>
  <c r="I9772" i="2" a="1"/>
  <c r="I9772" i="2" s="1"/>
  <c r="I9773" i="2" a="1"/>
  <c r="I9773" i="2" s="1"/>
  <c r="I9774" i="2" a="1"/>
  <c r="I9774" i="2" s="1"/>
  <c r="I9775" i="2" a="1"/>
  <c r="I9775" i="2" s="1"/>
  <c r="I9776" i="2" a="1"/>
  <c r="I9776" i="2" s="1"/>
  <c r="I9777" i="2" a="1"/>
  <c r="I9777" i="2" s="1"/>
  <c r="I9778" i="2" a="1"/>
  <c r="I9778" i="2" s="1"/>
  <c r="I9779" i="2" a="1"/>
  <c r="I9779" i="2" s="1"/>
  <c r="I9780" i="2" a="1"/>
  <c r="I9780" i="2" s="1"/>
  <c r="I9781" i="2" a="1"/>
  <c r="I9781" i="2" s="1"/>
  <c r="I9782" i="2" a="1"/>
  <c r="I9782" i="2" s="1"/>
  <c r="I9783" i="2" a="1"/>
  <c r="I9783" i="2" s="1"/>
  <c r="I9784" i="2" a="1"/>
  <c r="I9784" i="2" s="1"/>
  <c r="I9785" i="2" a="1"/>
  <c r="I9785" i="2" s="1"/>
  <c r="I9786" i="2" a="1"/>
  <c r="I9786" i="2" s="1"/>
  <c r="I9787" i="2" a="1"/>
  <c r="I9787" i="2" s="1"/>
  <c r="I9788" i="2" a="1"/>
  <c r="I9788" i="2" s="1"/>
  <c r="I9789" i="2" a="1"/>
  <c r="I9789" i="2" s="1"/>
  <c r="I9790" i="2" a="1"/>
  <c r="I9790" i="2" s="1"/>
  <c r="I9791" i="2" a="1"/>
  <c r="I9791" i="2" s="1"/>
  <c r="I9792" i="2" a="1"/>
  <c r="I9792" i="2" s="1"/>
  <c r="I9793" i="2" a="1"/>
  <c r="I9793" i="2" s="1"/>
  <c r="I9794" i="2" a="1"/>
  <c r="I9794" i="2" s="1"/>
  <c r="I9795" i="2" a="1"/>
  <c r="I9795" i="2" s="1"/>
  <c r="I9796" i="2" a="1"/>
  <c r="I9796" i="2" s="1"/>
  <c r="I9797" i="2" a="1"/>
  <c r="I9797" i="2" s="1"/>
  <c r="I9798" i="2" a="1"/>
  <c r="I9798" i="2" s="1"/>
  <c r="I9799" i="2" a="1"/>
  <c r="I9799" i="2" s="1"/>
  <c r="I9800" i="2" a="1"/>
  <c r="I9800" i="2" s="1"/>
  <c r="I9801" i="2" a="1"/>
  <c r="I9801" i="2" s="1"/>
  <c r="I9802" i="2" a="1"/>
  <c r="I9802" i="2" s="1"/>
  <c r="I9803" i="2" a="1"/>
  <c r="I9803" i="2" s="1"/>
  <c r="I9804" i="2" a="1"/>
  <c r="I9804" i="2" s="1"/>
  <c r="I9805" i="2" a="1"/>
  <c r="I9805" i="2" s="1"/>
  <c r="I9806" i="2" a="1"/>
  <c r="I9806" i="2" s="1"/>
  <c r="I9807" i="2" a="1"/>
  <c r="I9807" i="2" s="1"/>
  <c r="I9808" i="2" a="1"/>
  <c r="I9808" i="2" s="1"/>
  <c r="I9809" i="2" a="1"/>
  <c r="I9809" i="2" s="1"/>
  <c r="I9810" i="2" a="1"/>
  <c r="I9810" i="2" s="1"/>
  <c r="I9811" i="2" a="1"/>
  <c r="I9811" i="2" s="1"/>
  <c r="I9812" i="2" a="1"/>
  <c r="I9812" i="2" s="1"/>
  <c r="I9813" i="2" a="1"/>
  <c r="I9813" i="2" s="1"/>
  <c r="I9814" i="2" a="1"/>
  <c r="I9814" i="2" s="1"/>
  <c r="I9815" i="2" a="1"/>
  <c r="I9815" i="2" s="1"/>
  <c r="I9816" i="2" a="1"/>
  <c r="I9816" i="2" s="1"/>
  <c r="I9817" i="2" a="1"/>
  <c r="I9817" i="2" s="1"/>
  <c r="I9818" i="2" a="1"/>
  <c r="I9818" i="2" s="1"/>
  <c r="I9819" i="2" a="1"/>
  <c r="I9819" i="2" s="1"/>
  <c r="I9820" i="2" a="1"/>
  <c r="I9820" i="2" s="1"/>
  <c r="I9821" i="2" a="1"/>
  <c r="I9821" i="2" s="1"/>
  <c r="I9822" i="2" a="1"/>
  <c r="I9822" i="2" s="1"/>
  <c r="I9823" i="2" a="1"/>
  <c r="I9823" i="2" s="1"/>
  <c r="I9824" i="2" a="1"/>
  <c r="I9824" i="2" s="1"/>
  <c r="I9825" i="2" a="1"/>
  <c r="I9825" i="2" s="1"/>
  <c r="I9826" i="2" a="1"/>
  <c r="I9826" i="2" s="1"/>
  <c r="I9827" i="2" a="1"/>
  <c r="I9827" i="2" s="1"/>
  <c r="I9828" i="2" a="1"/>
  <c r="I9828" i="2" s="1"/>
  <c r="I9829" i="2" a="1"/>
  <c r="I9829" i="2" s="1"/>
  <c r="I9830" i="2" a="1"/>
  <c r="I9830" i="2" s="1"/>
  <c r="I9831" i="2" a="1"/>
  <c r="I9831" i="2" s="1"/>
  <c r="I9832" i="2" a="1"/>
  <c r="I9832" i="2" s="1"/>
  <c r="I9833" i="2" a="1"/>
  <c r="I9833" i="2" s="1"/>
  <c r="I9834" i="2" a="1"/>
  <c r="I9834" i="2" s="1"/>
  <c r="I9835" i="2" a="1"/>
  <c r="I9835" i="2" s="1"/>
  <c r="I9836" i="2" a="1"/>
  <c r="I9836" i="2" s="1"/>
  <c r="I9837" i="2" a="1"/>
  <c r="I9837" i="2" s="1"/>
  <c r="I9838" i="2" a="1"/>
  <c r="I9838" i="2" s="1"/>
  <c r="I9839" i="2" a="1"/>
  <c r="I9839" i="2" s="1"/>
  <c r="I9840" i="2" a="1"/>
  <c r="I9840" i="2" s="1"/>
  <c r="I9841" i="2" a="1"/>
  <c r="I9841" i="2" s="1"/>
  <c r="I9842" i="2" a="1"/>
  <c r="I9842" i="2" s="1"/>
  <c r="I9843" i="2" a="1"/>
  <c r="I9843" i="2" s="1"/>
  <c r="I9844" i="2" a="1"/>
  <c r="I9844" i="2" s="1"/>
  <c r="I9845" i="2" a="1"/>
  <c r="I9845" i="2" s="1"/>
  <c r="I9846" i="2" a="1"/>
  <c r="I9846" i="2" s="1"/>
  <c r="I9847" i="2" a="1"/>
  <c r="I9847" i="2" s="1"/>
  <c r="I9848" i="2" a="1"/>
  <c r="I9848" i="2" s="1"/>
  <c r="I9849" i="2" a="1"/>
  <c r="I9849" i="2" s="1"/>
  <c r="I9850" i="2" a="1"/>
  <c r="I9850" i="2" s="1"/>
  <c r="I9851" i="2" a="1"/>
  <c r="I9851" i="2" s="1"/>
  <c r="I9852" i="2" a="1"/>
  <c r="I9852" i="2" s="1"/>
  <c r="I9853" i="2" a="1"/>
  <c r="I9853" i="2" s="1"/>
  <c r="I9854" i="2" a="1"/>
  <c r="I9854" i="2" s="1"/>
  <c r="I9855" i="2" a="1"/>
  <c r="I9855" i="2" s="1"/>
  <c r="I9856" i="2" a="1"/>
  <c r="I9856" i="2" s="1"/>
  <c r="I9857" i="2" a="1"/>
  <c r="I9857" i="2" s="1"/>
  <c r="I9858" i="2" a="1"/>
  <c r="I9858" i="2" s="1"/>
  <c r="I9859" i="2" a="1"/>
  <c r="I9859" i="2" s="1"/>
  <c r="I9860" i="2" a="1"/>
  <c r="I9860" i="2" s="1"/>
  <c r="I9861" i="2" a="1"/>
  <c r="I9861" i="2" s="1"/>
  <c r="I9862" i="2" a="1"/>
  <c r="I9862" i="2" s="1"/>
  <c r="I9863" i="2" a="1"/>
  <c r="I9863" i="2" s="1"/>
  <c r="I9864" i="2" a="1"/>
  <c r="I9864" i="2" s="1"/>
  <c r="I9865" i="2" a="1"/>
  <c r="I9865" i="2" s="1"/>
  <c r="I9866" i="2" a="1"/>
  <c r="I9866" i="2" s="1"/>
  <c r="I9867" i="2" a="1"/>
  <c r="I9867" i="2" s="1"/>
  <c r="I9868" i="2" a="1"/>
  <c r="I9868" i="2" s="1"/>
  <c r="I9869" i="2" a="1"/>
  <c r="I9869" i="2" s="1"/>
  <c r="I9870" i="2" a="1"/>
  <c r="I9870" i="2" s="1"/>
  <c r="I9871" i="2" a="1"/>
  <c r="I9871" i="2" s="1"/>
  <c r="I9872" i="2" a="1"/>
  <c r="I9872" i="2" s="1"/>
  <c r="I9873" i="2" a="1"/>
  <c r="I9873" i="2" s="1"/>
  <c r="I9874" i="2" a="1"/>
  <c r="I9874" i="2" s="1"/>
  <c r="I9875" i="2" a="1"/>
  <c r="I9875" i="2" s="1"/>
  <c r="I9876" i="2" a="1"/>
  <c r="I9876" i="2" s="1"/>
  <c r="I9877" i="2" a="1"/>
  <c r="I9877" i="2" s="1"/>
  <c r="I9878" i="2" a="1"/>
  <c r="I9878" i="2" s="1"/>
  <c r="I9879" i="2" a="1"/>
  <c r="I9879" i="2" s="1"/>
  <c r="I9880" i="2" a="1"/>
  <c r="I9880" i="2" s="1"/>
  <c r="I9881" i="2" a="1"/>
  <c r="I9881" i="2" s="1"/>
  <c r="I9882" i="2" a="1"/>
  <c r="I9882" i="2" s="1"/>
  <c r="I9883" i="2" a="1"/>
  <c r="I9883" i="2" s="1"/>
  <c r="I9884" i="2" a="1"/>
  <c r="I9884" i="2" s="1"/>
  <c r="I9885" i="2" a="1"/>
  <c r="I9885" i="2" s="1"/>
  <c r="I9886" i="2" a="1"/>
  <c r="I9886" i="2" s="1"/>
  <c r="I9887" i="2" a="1"/>
  <c r="I9887" i="2" s="1"/>
  <c r="I9888" i="2" a="1"/>
  <c r="I9888" i="2" s="1"/>
  <c r="I9889" i="2" a="1"/>
  <c r="I9889" i="2" s="1"/>
  <c r="I9890" i="2" a="1"/>
  <c r="I9890" i="2" s="1"/>
  <c r="I9891" i="2" a="1"/>
  <c r="I9891" i="2" s="1"/>
  <c r="I9892" i="2" a="1"/>
  <c r="I9892" i="2" s="1"/>
  <c r="I9893" i="2" a="1"/>
  <c r="I9893" i="2" s="1"/>
  <c r="I9894" i="2" a="1"/>
  <c r="I9894" i="2" s="1"/>
  <c r="I9895" i="2" a="1"/>
  <c r="I9895" i="2" s="1"/>
  <c r="I9896" i="2" a="1"/>
  <c r="I9896" i="2" s="1"/>
  <c r="I9897" i="2" a="1"/>
  <c r="I9897" i="2" s="1"/>
  <c r="I9898" i="2" a="1"/>
  <c r="I9898" i="2" s="1"/>
  <c r="I9899" i="2" a="1"/>
  <c r="I9899" i="2" s="1"/>
  <c r="I9900" i="2" a="1"/>
  <c r="I9900" i="2" s="1"/>
  <c r="I9901" i="2" a="1"/>
  <c r="I9901" i="2" s="1"/>
  <c r="I9902" i="2" a="1"/>
  <c r="I9902" i="2" s="1"/>
  <c r="I9903" i="2" a="1"/>
  <c r="I9903" i="2" s="1"/>
  <c r="I9904" i="2" a="1"/>
  <c r="I9904" i="2" s="1"/>
  <c r="I9905" i="2" a="1"/>
  <c r="I9905" i="2" s="1"/>
  <c r="I9906" i="2" a="1"/>
  <c r="I9906" i="2" s="1"/>
  <c r="I9907" i="2" a="1"/>
  <c r="I9907" i="2" s="1"/>
  <c r="I9908" i="2" a="1"/>
  <c r="I9908" i="2" s="1"/>
  <c r="I9909" i="2" a="1"/>
  <c r="I9909" i="2" s="1"/>
  <c r="I9910" i="2" a="1"/>
  <c r="I9910" i="2" s="1"/>
  <c r="I9911" i="2" a="1"/>
  <c r="I9911" i="2" s="1"/>
  <c r="I9912" i="2" a="1"/>
  <c r="I9912" i="2" s="1"/>
  <c r="I9913" i="2" a="1"/>
  <c r="I9913" i="2" s="1"/>
  <c r="I9914" i="2" a="1"/>
  <c r="I9914" i="2" s="1"/>
  <c r="I9915" i="2" a="1"/>
  <c r="I9915" i="2" s="1"/>
  <c r="I9916" i="2" a="1"/>
  <c r="I9916" i="2" s="1"/>
  <c r="I9917" i="2" a="1"/>
  <c r="I9917" i="2" s="1"/>
  <c r="I9918" i="2" a="1"/>
  <c r="I9918" i="2" s="1"/>
  <c r="I9919" i="2" a="1"/>
  <c r="I9919" i="2" s="1"/>
  <c r="I9920" i="2" a="1"/>
  <c r="I9920" i="2" s="1"/>
  <c r="I9921" i="2" a="1"/>
  <c r="I9921" i="2" s="1"/>
  <c r="I9922" i="2" a="1"/>
  <c r="I9922" i="2" s="1"/>
  <c r="I9923" i="2" a="1"/>
  <c r="I9923" i="2" s="1"/>
  <c r="I9924" i="2" a="1"/>
  <c r="I9924" i="2" s="1"/>
  <c r="I9925" i="2" a="1"/>
  <c r="I9925" i="2" s="1"/>
  <c r="I9926" i="2" a="1"/>
  <c r="I9926" i="2" s="1"/>
  <c r="I9927" i="2" a="1"/>
  <c r="I9927" i="2" s="1"/>
  <c r="I9928" i="2" a="1"/>
  <c r="I9928" i="2" s="1"/>
  <c r="I9929" i="2" a="1"/>
  <c r="I9929" i="2" s="1"/>
  <c r="I9930" i="2" a="1"/>
  <c r="I9930" i="2" s="1"/>
  <c r="I9931" i="2" a="1"/>
  <c r="I9931" i="2" s="1"/>
  <c r="I9932" i="2" a="1"/>
  <c r="I9932" i="2" s="1"/>
  <c r="I9933" i="2" a="1"/>
  <c r="I9933" i="2" s="1"/>
  <c r="I9934" i="2" a="1"/>
  <c r="I9934" i="2" s="1"/>
  <c r="I9935" i="2" a="1"/>
  <c r="I9935" i="2" s="1"/>
  <c r="I9936" i="2" a="1"/>
  <c r="I9936" i="2" s="1"/>
  <c r="I9937" i="2" a="1"/>
  <c r="I9937" i="2" s="1"/>
  <c r="I9938" i="2" a="1"/>
  <c r="I9938" i="2" s="1"/>
  <c r="I9939" i="2" a="1"/>
  <c r="I9939" i="2" s="1"/>
  <c r="I9940" i="2" a="1"/>
  <c r="I9940" i="2" s="1"/>
  <c r="I9941" i="2" a="1"/>
  <c r="I9941" i="2" s="1"/>
  <c r="I9942" i="2" a="1"/>
  <c r="I9942" i="2" s="1"/>
  <c r="I9943" i="2" a="1"/>
  <c r="I9943" i="2" s="1"/>
  <c r="I9944" i="2" a="1"/>
  <c r="I9944" i="2" s="1"/>
  <c r="I9945" i="2" a="1"/>
  <c r="I9945" i="2" s="1"/>
  <c r="I9946" i="2" a="1"/>
  <c r="I9946" i="2" s="1"/>
  <c r="I9947" i="2" a="1"/>
  <c r="I9947" i="2" s="1"/>
  <c r="I9948" i="2" a="1"/>
  <c r="I9948" i="2" s="1"/>
  <c r="I9949" i="2" a="1"/>
  <c r="I9949" i="2" s="1"/>
  <c r="I9950" i="2" a="1"/>
  <c r="I9950" i="2" s="1"/>
  <c r="I9951" i="2" a="1"/>
  <c r="I9951" i="2" s="1"/>
  <c r="I9952" i="2" a="1"/>
  <c r="I9952" i="2" s="1"/>
  <c r="I9953" i="2" a="1"/>
  <c r="I9953" i="2" s="1"/>
  <c r="I9954" i="2" a="1"/>
  <c r="I9954" i="2" s="1"/>
  <c r="I9955" i="2" a="1"/>
  <c r="I9955" i="2" s="1"/>
  <c r="I9956" i="2" a="1"/>
  <c r="I9956" i="2" s="1"/>
  <c r="I9957" i="2" a="1"/>
  <c r="I9957" i="2" s="1"/>
  <c r="I9958" i="2" a="1"/>
  <c r="I9958" i="2" s="1"/>
  <c r="I9959" i="2" a="1"/>
  <c r="I9959" i="2" s="1"/>
  <c r="I9960" i="2" a="1"/>
  <c r="I9960" i="2" s="1"/>
  <c r="I9961" i="2" a="1"/>
  <c r="I9961" i="2" s="1"/>
  <c r="I9962" i="2" a="1"/>
  <c r="I9962" i="2" s="1"/>
  <c r="I9963" i="2" a="1"/>
  <c r="I9963" i="2" s="1"/>
  <c r="I9964" i="2" a="1"/>
  <c r="I9964" i="2" s="1"/>
  <c r="I9965" i="2" a="1"/>
  <c r="I9965" i="2" s="1"/>
  <c r="I9966" i="2" a="1"/>
  <c r="I9966" i="2" s="1"/>
  <c r="I9967" i="2" a="1"/>
  <c r="I9967" i="2" s="1"/>
  <c r="I9968" i="2" a="1"/>
  <c r="I9968" i="2" s="1"/>
  <c r="I9969" i="2" a="1"/>
  <c r="I9969" i="2" s="1"/>
  <c r="I9970" i="2" a="1"/>
  <c r="I9970" i="2" s="1"/>
  <c r="I9971" i="2" a="1"/>
  <c r="I9971" i="2" s="1"/>
  <c r="I9972" i="2" a="1"/>
  <c r="I9972" i="2" s="1"/>
  <c r="I9973" i="2" a="1"/>
  <c r="I9973" i="2" s="1"/>
  <c r="I9974" i="2" a="1"/>
  <c r="I9974" i="2" s="1"/>
  <c r="I9975" i="2" a="1"/>
  <c r="I9975" i="2" s="1"/>
  <c r="I9976" i="2" a="1"/>
  <c r="I9976" i="2" s="1"/>
  <c r="I9977" i="2" a="1"/>
  <c r="I9977" i="2" s="1"/>
  <c r="I9978" i="2" a="1"/>
  <c r="I9978" i="2" s="1"/>
  <c r="I9979" i="2" a="1"/>
  <c r="I9979" i="2" s="1"/>
  <c r="I9980" i="2" a="1"/>
  <c r="I9980" i="2" s="1"/>
  <c r="I9981" i="2" a="1"/>
  <c r="I9981" i="2" s="1"/>
  <c r="I9982" i="2" a="1"/>
  <c r="I9982" i="2" s="1"/>
  <c r="I9983" i="2" a="1"/>
  <c r="I9983" i="2" s="1"/>
  <c r="I9984" i="2" a="1"/>
  <c r="I9984" i="2" s="1"/>
  <c r="I9985" i="2" a="1"/>
  <c r="I9985" i="2" s="1"/>
  <c r="I9986" i="2" a="1"/>
  <c r="I9986" i="2" s="1"/>
  <c r="I9987" i="2" a="1"/>
  <c r="I9987" i="2" s="1"/>
  <c r="I9988" i="2" a="1"/>
  <c r="I9988" i="2" s="1"/>
  <c r="I9989" i="2" a="1"/>
  <c r="I9989" i="2" s="1"/>
  <c r="I9990" i="2" a="1"/>
  <c r="I9990" i="2" s="1"/>
  <c r="I9991" i="2" a="1"/>
  <c r="I9991" i="2" s="1"/>
  <c r="I9992" i="2" a="1"/>
  <c r="I9992" i="2" s="1"/>
  <c r="I9993" i="2" a="1"/>
  <c r="I9993" i="2" s="1"/>
  <c r="I9994" i="2" a="1"/>
  <c r="I9994" i="2" s="1"/>
  <c r="I9995" i="2" a="1"/>
  <c r="I9995" i="2" s="1"/>
  <c r="I9996" i="2" a="1"/>
  <c r="I9996" i="2" s="1"/>
  <c r="I9997" i="2" a="1"/>
  <c r="I9997" i="2" s="1"/>
  <c r="I9998" i="2" a="1"/>
  <c r="I9998" i="2" s="1"/>
  <c r="I9999" i="2" a="1"/>
  <c r="I9999" i="2" s="1"/>
  <c r="I10000" i="2" a="1"/>
  <c r="I10000" i="2" s="1"/>
  <c r="I10001" i="2" a="1"/>
  <c r="I10001" i="2" s="1"/>
  <c r="I10002" i="2" a="1"/>
  <c r="I10002" i="2" s="1"/>
  <c r="I10003" i="2" a="1"/>
  <c r="I10003" i="2" s="1"/>
  <c r="I10004" i="2" a="1"/>
  <c r="I10004" i="2" s="1"/>
  <c r="I10005" i="2" a="1"/>
  <c r="I10005" i="2" s="1"/>
  <c r="I10006" i="2" a="1"/>
  <c r="I10006" i="2" s="1"/>
  <c r="I10007" i="2" a="1"/>
  <c r="I10007" i="2" s="1"/>
  <c r="I10008" i="2" a="1"/>
  <c r="I10008" i="2" s="1"/>
  <c r="I10009" i="2" a="1"/>
  <c r="I10009" i="2" s="1"/>
  <c r="I10010" i="2" a="1"/>
  <c r="I10010" i="2" s="1"/>
  <c r="I10011" i="2" a="1"/>
  <c r="I10011" i="2" s="1"/>
  <c r="I10012" i="2" a="1"/>
  <c r="I10012" i="2" s="1"/>
  <c r="I10013" i="2" a="1"/>
  <c r="I10013" i="2" s="1"/>
  <c r="I10014" i="2" a="1"/>
  <c r="I10014" i="2" s="1"/>
  <c r="I10015" i="2" a="1"/>
  <c r="I10015" i="2" s="1"/>
  <c r="I10016" i="2" a="1"/>
  <c r="I10016" i="2" s="1"/>
  <c r="I10017" i="2" a="1"/>
  <c r="I10017" i="2" s="1"/>
  <c r="I10018" i="2" a="1"/>
  <c r="I10018" i="2" s="1"/>
  <c r="I10019" i="2" a="1"/>
  <c r="I10019" i="2" s="1"/>
  <c r="I10020" i="2" a="1"/>
  <c r="I10020" i="2" s="1"/>
  <c r="I10021" i="2" a="1"/>
  <c r="I10021" i="2" s="1"/>
  <c r="I10022" i="2" a="1"/>
  <c r="I10022" i="2" s="1"/>
  <c r="I10023" i="2" a="1"/>
  <c r="I10023" i="2" s="1"/>
  <c r="I10024" i="2" a="1"/>
  <c r="I10024" i="2" s="1"/>
  <c r="I10025" i="2" a="1"/>
  <c r="I10025" i="2" s="1"/>
  <c r="I10026" i="2" a="1"/>
  <c r="I10026" i="2" s="1"/>
  <c r="I10027" i="2" a="1"/>
  <c r="I10027" i="2" s="1"/>
  <c r="I10028" i="2" a="1"/>
  <c r="I10028" i="2" s="1"/>
  <c r="I10029" i="2" a="1"/>
  <c r="I10029" i="2" s="1"/>
  <c r="I10030" i="2" a="1"/>
  <c r="I10030" i="2" s="1"/>
  <c r="I10031" i="2" a="1"/>
  <c r="I10031" i="2" s="1"/>
  <c r="I10032" i="2" a="1"/>
  <c r="I10032" i="2" s="1"/>
  <c r="I10033" i="2" a="1"/>
  <c r="I10033" i="2" s="1"/>
  <c r="I10034" i="2" a="1"/>
  <c r="I10034" i="2" s="1"/>
  <c r="I10035" i="2" a="1"/>
  <c r="I10035" i="2" s="1"/>
  <c r="I10036" i="2" a="1"/>
  <c r="I10036" i="2" s="1"/>
  <c r="I10037" i="2" a="1"/>
  <c r="I10037" i="2" s="1"/>
  <c r="I10038" i="2" a="1"/>
  <c r="I10038" i="2" s="1"/>
  <c r="I10039" i="2" a="1"/>
  <c r="I10039" i="2" s="1"/>
  <c r="I10040" i="2" a="1"/>
  <c r="I10040" i="2" s="1"/>
  <c r="I10041" i="2" a="1"/>
  <c r="I10041" i="2" s="1"/>
  <c r="I10042" i="2" a="1"/>
  <c r="I10042" i="2" s="1"/>
  <c r="I10043" i="2" a="1"/>
  <c r="I10043" i="2" s="1"/>
  <c r="I10044" i="2" a="1"/>
  <c r="I10044" i="2" s="1"/>
  <c r="I10045" i="2" a="1"/>
  <c r="I10045" i="2" s="1"/>
  <c r="I10046" i="2" a="1"/>
  <c r="I10046" i="2" s="1"/>
  <c r="I10047" i="2" a="1"/>
  <c r="I10047" i="2" s="1"/>
  <c r="I10048" i="2" a="1"/>
  <c r="I10048" i="2" s="1"/>
  <c r="I10049" i="2" a="1"/>
  <c r="I10049" i="2" s="1"/>
  <c r="I10050" i="2" a="1"/>
  <c r="I10050" i="2" s="1"/>
  <c r="I10051" i="2" a="1"/>
  <c r="I10051" i="2" s="1"/>
  <c r="I10052" i="2" a="1"/>
  <c r="I10052" i="2" s="1"/>
  <c r="I10053" i="2" a="1"/>
  <c r="I10053" i="2" s="1"/>
  <c r="I10054" i="2" a="1"/>
  <c r="I10054" i="2" s="1"/>
  <c r="I10055" i="2" a="1"/>
  <c r="I10055" i="2" s="1"/>
  <c r="I10056" i="2" a="1"/>
  <c r="I10056" i="2" s="1"/>
  <c r="I10057" i="2" a="1"/>
  <c r="I10057" i="2" s="1"/>
  <c r="I10058" i="2" a="1"/>
  <c r="I10058" i="2" s="1"/>
  <c r="I10059" i="2" a="1"/>
  <c r="I10059" i="2" s="1"/>
  <c r="I10060" i="2" a="1"/>
  <c r="I10060" i="2" s="1"/>
  <c r="I10061" i="2" a="1"/>
  <c r="I10061" i="2" s="1"/>
  <c r="I10062" i="2" a="1"/>
  <c r="I10062" i="2" s="1"/>
  <c r="I10063" i="2" a="1"/>
  <c r="I10063" i="2" s="1"/>
  <c r="I10064" i="2" a="1"/>
  <c r="I10064" i="2" s="1"/>
  <c r="I10065" i="2" a="1"/>
  <c r="I10065" i="2" s="1"/>
  <c r="I10066" i="2" a="1"/>
  <c r="I10066" i="2" s="1"/>
  <c r="I10067" i="2" a="1"/>
  <c r="I10067" i="2" s="1"/>
  <c r="I10068" i="2" a="1"/>
  <c r="I10068" i="2" s="1"/>
  <c r="I10069" i="2" a="1"/>
  <c r="I10069" i="2" s="1"/>
  <c r="I10070" i="2" a="1"/>
  <c r="I10070" i="2" s="1"/>
  <c r="I10071" i="2" a="1"/>
  <c r="I10071" i="2" s="1"/>
  <c r="I10072" i="2" a="1"/>
  <c r="I10072" i="2" s="1"/>
  <c r="I10073" i="2" a="1"/>
  <c r="I10073" i="2" s="1"/>
  <c r="I10074" i="2" a="1"/>
  <c r="I10074" i="2" s="1"/>
  <c r="I10075" i="2" a="1"/>
  <c r="I10075" i="2" s="1"/>
  <c r="I10076" i="2" a="1"/>
  <c r="I10076" i="2" s="1"/>
  <c r="I10077" i="2" a="1"/>
  <c r="I10077" i="2" s="1"/>
  <c r="I10078" i="2" a="1"/>
  <c r="I10078" i="2" s="1"/>
  <c r="I10079" i="2" a="1"/>
  <c r="I10079" i="2" s="1"/>
  <c r="I10080" i="2" a="1"/>
  <c r="I10080" i="2" s="1"/>
  <c r="I10081" i="2" a="1"/>
  <c r="I10081" i="2" s="1"/>
  <c r="I10082" i="2" a="1"/>
  <c r="I10082" i="2" s="1"/>
  <c r="I10083" i="2" a="1"/>
  <c r="I10083" i="2" s="1"/>
  <c r="I10084" i="2" a="1"/>
  <c r="I10084" i="2" s="1"/>
  <c r="I10085" i="2" a="1"/>
  <c r="I10085" i="2" s="1"/>
  <c r="I10086" i="2" a="1"/>
  <c r="I10086" i="2" s="1"/>
  <c r="I10087" i="2" a="1"/>
  <c r="I10087" i="2" s="1"/>
  <c r="I10088" i="2" a="1"/>
  <c r="I10088" i="2" s="1"/>
  <c r="I10089" i="2" a="1"/>
  <c r="I10089" i="2" s="1"/>
  <c r="I10090" i="2" a="1"/>
  <c r="I10090" i="2" s="1"/>
  <c r="I10091" i="2" a="1"/>
  <c r="I10091" i="2" s="1"/>
  <c r="I10092" i="2" a="1"/>
  <c r="I10092" i="2" s="1"/>
  <c r="I10093" i="2" a="1"/>
  <c r="I10093" i="2" s="1"/>
  <c r="I10094" i="2" a="1"/>
  <c r="I10094" i="2" s="1"/>
  <c r="I10095" i="2" a="1"/>
  <c r="I10095" i="2" s="1"/>
  <c r="I10096" i="2" a="1"/>
  <c r="I10096" i="2" s="1"/>
  <c r="I10097" i="2" a="1"/>
  <c r="I10097" i="2" s="1"/>
  <c r="I10098" i="2" a="1"/>
  <c r="I10098" i="2" s="1"/>
  <c r="I10099" i="2" a="1"/>
  <c r="I10099" i="2" s="1"/>
  <c r="I10100" i="2" a="1"/>
  <c r="I10100" i="2" s="1"/>
  <c r="I10101" i="2" a="1"/>
  <c r="I10101" i="2" s="1"/>
  <c r="I10102" i="2" a="1"/>
  <c r="I10102" i="2" s="1"/>
  <c r="I10103" i="2" a="1"/>
  <c r="I10103" i="2" s="1"/>
  <c r="I10104" i="2" a="1"/>
  <c r="I10104" i="2" s="1"/>
  <c r="I10105" i="2" a="1"/>
  <c r="I10105" i="2" s="1"/>
  <c r="I10106" i="2" a="1"/>
  <c r="I10106" i="2" s="1"/>
  <c r="I10107" i="2" a="1"/>
  <c r="I10107" i="2" s="1"/>
  <c r="I10108" i="2" a="1"/>
  <c r="I10108" i="2" s="1"/>
  <c r="I10109" i="2" a="1"/>
  <c r="I10109" i="2" s="1"/>
  <c r="I10110" i="2" a="1"/>
  <c r="I10110" i="2" s="1"/>
  <c r="I10111" i="2" a="1"/>
  <c r="I10111" i="2" s="1"/>
  <c r="I10112" i="2" a="1"/>
  <c r="I10112" i="2" s="1"/>
  <c r="I10113" i="2" a="1"/>
  <c r="I10113" i="2" s="1"/>
  <c r="I10114" i="2" a="1"/>
  <c r="I10114" i="2" s="1"/>
  <c r="I10115" i="2" a="1"/>
  <c r="I10115" i="2" s="1"/>
  <c r="I10116" i="2" a="1"/>
  <c r="I10116" i="2" s="1"/>
  <c r="I10117" i="2" a="1"/>
  <c r="I10117" i="2" s="1"/>
  <c r="I10118" i="2" a="1"/>
  <c r="I10118" i="2" s="1"/>
  <c r="I10119" i="2" a="1"/>
  <c r="I10119" i="2" s="1"/>
  <c r="I10120" i="2" a="1"/>
  <c r="I10120" i="2" s="1"/>
  <c r="I10121" i="2" a="1"/>
  <c r="I10121" i="2" s="1"/>
  <c r="I10122" i="2" a="1"/>
  <c r="I10122" i="2" s="1"/>
  <c r="I10123" i="2" a="1"/>
  <c r="I10123" i="2" s="1"/>
  <c r="I10124" i="2" a="1"/>
  <c r="I10124" i="2" s="1"/>
  <c r="I10125" i="2" a="1"/>
  <c r="I10125" i="2" s="1"/>
  <c r="I10126" i="2" a="1"/>
  <c r="I10126" i="2" s="1"/>
  <c r="I10127" i="2" a="1"/>
  <c r="I10127" i="2" s="1"/>
  <c r="I10128" i="2" a="1"/>
  <c r="I10128" i="2" s="1"/>
  <c r="I10129" i="2" a="1"/>
  <c r="I10129" i="2" s="1"/>
  <c r="I10130" i="2" a="1"/>
  <c r="I10130" i="2" s="1"/>
  <c r="I10131" i="2" a="1"/>
  <c r="I10131" i="2" s="1"/>
  <c r="I10132" i="2" a="1"/>
  <c r="I10132" i="2" s="1"/>
  <c r="I10133" i="2" a="1"/>
  <c r="I10133" i="2" s="1"/>
  <c r="I10134" i="2" a="1"/>
  <c r="I10134" i="2" s="1"/>
  <c r="I10135" i="2" a="1"/>
  <c r="I10135" i="2" s="1"/>
  <c r="I10136" i="2" a="1"/>
  <c r="I10136" i="2" s="1"/>
  <c r="I10137" i="2" a="1"/>
  <c r="I10137" i="2" s="1"/>
  <c r="I10138" i="2" a="1"/>
  <c r="I10138" i="2" s="1"/>
  <c r="I10139" i="2" a="1"/>
  <c r="I10139" i="2" s="1"/>
  <c r="I10140" i="2" a="1"/>
  <c r="I10140" i="2" s="1"/>
  <c r="I10141" i="2" a="1"/>
  <c r="I10141" i="2" s="1"/>
  <c r="I10142" i="2" a="1"/>
  <c r="I10142" i="2" s="1"/>
  <c r="I10143" i="2" a="1"/>
  <c r="I10143" i="2" s="1"/>
  <c r="I10144" i="2" a="1"/>
  <c r="I10144" i="2" s="1"/>
  <c r="I10145" i="2" a="1"/>
  <c r="I10145" i="2" s="1"/>
  <c r="I10146" i="2" a="1"/>
  <c r="I10146" i="2" s="1"/>
  <c r="I10147" i="2" a="1"/>
  <c r="I10147" i="2" s="1"/>
  <c r="I10148" i="2" a="1"/>
  <c r="I10148" i="2" s="1"/>
  <c r="I10149" i="2" a="1"/>
  <c r="I10149" i="2" s="1"/>
  <c r="I10150" i="2" a="1"/>
  <c r="I10150" i="2" s="1"/>
  <c r="I10151" i="2" a="1"/>
  <c r="I10151" i="2" s="1"/>
  <c r="I10152" i="2" a="1"/>
  <c r="I10152" i="2" s="1"/>
  <c r="I10153" i="2" a="1"/>
  <c r="I10153" i="2" s="1"/>
  <c r="I10154" i="2" a="1"/>
  <c r="I10154" i="2" s="1"/>
  <c r="I10155" i="2" a="1"/>
  <c r="I10155" i="2" s="1"/>
  <c r="I10156" i="2" a="1"/>
  <c r="I10156" i="2" s="1"/>
  <c r="I10157" i="2" a="1"/>
  <c r="I10157" i="2" s="1"/>
  <c r="I10158" i="2" a="1"/>
  <c r="I10158" i="2" s="1"/>
  <c r="I10159" i="2" a="1"/>
  <c r="I10159" i="2" s="1"/>
  <c r="I10160" i="2" a="1"/>
  <c r="I10160" i="2" s="1"/>
  <c r="I10161" i="2" a="1"/>
  <c r="I10161" i="2" s="1"/>
  <c r="I10162" i="2" a="1"/>
  <c r="I10162" i="2" s="1"/>
  <c r="I10163" i="2" a="1"/>
  <c r="I10163" i="2" s="1"/>
  <c r="I10164" i="2" a="1"/>
  <c r="I10164" i="2" s="1"/>
  <c r="I10165" i="2" a="1"/>
  <c r="I10165" i="2" s="1"/>
  <c r="I10166" i="2" a="1"/>
  <c r="I10166" i="2" s="1"/>
  <c r="I10167" i="2" a="1"/>
  <c r="I10167" i="2" s="1"/>
  <c r="I10168" i="2" a="1"/>
  <c r="I10168" i="2" s="1"/>
  <c r="I10169" i="2" a="1"/>
  <c r="I10169" i="2" s="1"/>
  <c r="I10170" i="2" a="1"/>
  <c r="I10170" i="2" s="1"/>
  <c r="I10171" i="2" a="1"/>
  <c r="I10171" i="2" s="1"/>
  <c r="I10172" i="2" a="1"/>
  <c r="I10172" i="2" s="1"/>
  <c r="I10173" i="2" a="1"/>
  <c r="I10173" i="2" s="1"/>
  <c r="I10174" i="2" a="1"/>
  <c r="I10174" i="2" s="1"/>
  <c r="I10175" i="2" a="1"/>
  <c r="I10175" i="2" s="1"/>
  <c r="I10176" i="2" a="1"/>
  <c r="I10176" i="2" s="1"/>
  <c r="I10177" i="2" a="1"/>
  <c r="I10177" i="2" s="1"/>
  <c r="I10178" i="2" a="1"/>
  <c r="I10178" i="2" s="1"/>
  <c r="I10179" i="2" a="1"/>
  <c r="I10179" i="2" s="1"/>
  <c r="I10180" i="2" a="1"/>
  <c r="I10180" i="2" s="1"/>
  <c r="I10181" i="2" a="1"/>
  <c r="I10181" i="2" s="1"/>
  <c r="I10182" i="2" a="1"/>
  <c r="I10182" i="2" s="1"/>
  <c r="I10183" i="2" a="1"/>
  <c r="I10183" i="2" s="1"/>
  <c r="I10184" i="2" a="1"/>
  <c r="I10184" i="2" s="1"/>
  <c r="I10185" i="2" a="1"/>
  <c r="I10185" i="2" s="1"/>
  <c r="I10186" i="2" a="1"/>
  <c r="I10186" i="2" s="1"/>
  <c r="I10187" i="2" a="1"/>
  <c r="I10187" i="2" s="1"/>
  <c r="I10188" i="2" a="1"/>
  <c r="I10188" i="2" s="1"/>
  <c r="I10189" i="2" a="1"/>
  <c r="I10189" i="2" s="1"/>
  <c r="I10190" i="2" a="1"/>
  <c r="I10190" i="2" s="1"/>
  <c r="I10191" i="2" a="1"/>
  <c r="I10191" i="2" s="1"/>
  <c r="I10192" i="2" a="1"/>
  <c r="I10192" i="2" s="1"/>
  <c r="I10193" i="2" a="1"/>
  <c r="I10193" i="2" s="1"/>
  <c r="I10194" i="2" a="1"/>
  <c r="I10194" i="2" s="1"/>
  <c r="I10195" i="2" a="1"/>
  <c r="I10195" i="2" s="1"/>
  <c r="I10196" i="2" a="1"/>
  <c r="I10196" i="2" s="1"/>
  <c r="I10197" i="2" a="1"/>
  <c r="I10197" i="2" s="1"/>
  <c r="I10198" i="2" a="1"/>
  <c r="I10198" i="2" s="1"/>
  <c r="I10199" i="2" a="1"/>
  <c r="I10199" i="2" s="1"/>
  <c r="I10200" i="2" a="1"/>
  <c r="I10200" i="2" s="1"/>
  <c r="I10201" i="2" a="1"/>
  <c r="I10201" i="2" s="1"/>
  <c r="I10202" i="2" a="1"/>
  <c r="I10202" i="2" s="1"/>
  <c r="I10203" i="2" a="1"/>
  <c r="I10203" i="2" s="1"/>
  <c r="I10204" i="2" a="1"/>
  <c r="I10204" i="2" s="1"/>
  <c r="I10205" i="2" a="1"/>
  <c r="I10205" i="2" s="1"/>
  <c r="I10206" i="2" a="1"/>
  <c r="I10206" i="2" s="1"/>
  <c r="I10207" i="2" a="1"/>
  <c r="I10207" i="2" s="1"/>
  <c r="I10208" i="2" a="1"/>
  <c r="I10208" i="2" s="1"/>
  <c r="I10209" i="2" a="1"/>
  <c r="I10209" i="2" s="1"/>
  <c r="I10210" i="2" a="1"/>
  <c r="I10210" i="2" s="1"/>
  <c r="I10211" i="2" a="1"/>
  <c r="I10211" i="2" s="1"/>
  <c r="I10212" i="2" a="1"/>
  <c r="I10212" i="2" s="1"/>
  <c r="I10213" i="2" a="1"/>
  <c r="I10213" i="2" s="1"/>
  <c r="I10214" i="2" a="1"/>
  <c r="I10214" i="2" s="1"/>
  <c r="I10215" i="2" a="1"/>
  <c r="I10215" i="2" s="1"/>
  <c r="I10216" i="2" a="1"/>
  <c r="I10216" i="2" s="1"/>
  <c r="I10217" i="2" a="1"/>
  <c r="I10217" i="2" s="1"/>
  <c r="I10218" i="2" a="1"/>
  <c r="I10218" i="2" s="1"/>
  <c r="I10219" i="2" a="1"/>
  <c r="I10219" i="2" s="1"/>
  <c r="I10220" i="2" a="1"/>
  <c r="I10220" i="2" s="1"/>
  <c r="I10221" i="2" a="1"/>
  <c r="I10221" i="2" s="1"/>
  <c r="I10222" i="2" a="1"/>
  <c r="I10222" i="2" s="1"/>
  <c r="I10223" i="2" a="1"/>
  <c r="I10223" i="2" s="1"/>
  <c r="I10224" i="2" a="1"/>
  <c r="I10224" i="2" s="1"/>
  <c r="I10225" i="2" a="1"/>
  <c r="I10225" i="2" s="1"/>
  <c r="I10226" i="2" a="1"/>
  <c r="I10226" i="2" s="1"/>
  <c r="I10227" i="2" a="1"/>
  <c r="I10227" i="2" s="1"/>
  <c r="I10228" i="2" a="1"/>
  <c r="I10228" i="2" s="1"/>
  <c r="I10229" i="2" a="1"/>
  <c r="I10229" i="2" s="1"/>
  <c r="I10230" i="2" a="1"/>
  <c r="I10230" i="2" s="1"/>
  <c r="I10231" i="2" a="1"/>
  <c r="I10231" i="2" s="1"/>
  <c r="I10232" i="2" a="1"/>
  <c r="I10232" i="2" s="1"/>
  <c r="I10233" i="2" a="1"/>
  <c r="I10233" i="2" s="1"/>
  <c r="I10234" i="2" a="1"/>
  <c r="I10234" i="2" s="1"/>
  <c r="I10235" i="2" a="1"/>
  <c r="I10235" i="2" s="1"/>
  <c r="I10236" i="2" a="1"/>
  <c r="I10236" i="2" s="1"/>
  <c r="I10237" i="2" a="1"/>
  <c r="I10237" i="2" s="1"/>
  <c r="I10238" i="2" a="1"/>
  <c r="I10238" i="2" s="1"/>
  <c r="I10239" i="2" a="1"/>
  <c r="I10239" i="2" s="1"/>
  <c r="I10240" i="2" a="1"/>
  <c r="I10240" i="2" s="1"/>
  <c r="I10241" i="2" a="1"/>
  <c r="I10241" i="2" s="1"/>
  <c r="I10242" i="2" a="1"/>
  <c r="I10242" i="2" s="1"/>
  <c r="I10243" i="2" a="1"/>
  <c r="I10243" i="2" s="1"/>
  <c r="I10244" i="2" a="1"/>
  <c r="I10244" i="2" s="1"/>
  <c r="I10245" i="2" a="1"/>
  <c r="I10245" i="2" s="1"/>
  <c r="I10246" i="2" a="1"/>
  <c r="I10246" i="2" s="1"/>
  <c r="I10247" i="2" a="1"/>
  <c r="I10247" i="2" s="1"/>
  <c r="I10248" i="2" a="1"/>
  <c r="I10248" i="2" s="1"/>
  <c r="I10249" i="2" a="1"/>
  <c r="I10249" i="2" s="1"/>
  <c r="I10250" i="2" a="1"/>
  <c r="I10250" i="2" s="1"/>
  <c r="I10251" i="2" a="1"/>
  <c r="I10251" i="2" s="1"/>
  <c r="I10252" i="2" a="1"/>
  <c r="I10252" i="2" s="1"/>
  <c r="I10253" i="2" a="1"/>
  <c r="I10253" i="2" s="1"/>
  <c r="I10254" i="2" a="1"/>
  <c r="I10254" i="2" s="1"/>
  <c r="I10255" i="2" a="1"/>
  <c r="I10255" i="2" s="1"/>
  <c r="I10256" i="2" a="1"/>
  <c r="I10256" i="2" s="1"/>
  <c r="I10257" i="2" a="1"/>
  <c r="I10257" i="2" s="1"/>
  <c r="I10258" i="2" a="1"/>
  <c r="I10258" i="2" s="1"/>
  <c r="I10259" i="2" a="1"/>
  <c r="I10259" i="2" s="1"/>
  <c r="I10260" i="2" a="1"/>
  <c r="I10260" i="2" s="1"/>
  <c r="I10261" i="2" a="1"/>
  <c r="I10261" i="2" s="1"/>
  <c r="I10262" i="2" a="1"/>
  <c r="I10262" i="2" s="1"/>
  <c r="I10263" i="2" a="1"/>
  <c r="I10263" i="2" s="1"/>
  <c r="I10264" i="2" a="1"/>
  <c r="I10264" i="2" s="1"/>
  <c r="I10265" i="2" a="1"/>
  <c r="I10265" i="2" s="1"/>
  <c r="I10266" i="2" a="1"/>
  <c r="I10266" i="2" s="1"/>
  <c r="I10267" i="2" a="1"/>
  <c r="I10267" i="2" s="1"/>
  <c r="I10268" i="2" a="1"/>
  <c r="I10268" i="2" s="1"/>
  <c r="I10269" i="2" a="1"/>
  <c r="I10269" i="2" s="1"/>
  <c r="I10270" i="2" a="1"/>
  <c r="I10270" i="2" s="1"/>
  <c r="I10271" i="2" a="1"/>
  <c r="I10271" i="2" s="1"/>
  <c r="I10272" i="2" a="1"/>
  <c r="I10272" i="2" s="1"/>
  <c r="I10273" i="2" a="1"/>
  <c r="I10273" i="2" s="1"/>
  <c r="I10274" i="2" a="1"/>
  <c r="I10274" i="2" s="1"/>
  <c r="I10275" i="2" a="1"/>
  <c r="I10275" i="2" s="1"/>
  <c r="I10276" i="2" a="1"/>
  <c r="I10276" i="2" s="1"/>
  <c r="I10277" i="2" a="1"/>
  <c r="I10277" i="2" s="1"/>
  <c r="I10278" i="2" a="1"/>
  <c r="I10278" i="2" s="1"/>
  <c r="I10279" i="2" a="1"/>
  <c r="I10279" i="2" s="1"/>
  <c r="I10280" i="2" a="1"/>
  <c r="I10280" i="2" s="1"/>
  <c r="I10281" i="2" a="1"/>
  <c r="I10281" i="2" s="1"/>
  <c r="I10282" i="2" a="1"/>
  <c r="I10282" i="2" s="1"/>
  <c r="I10283" i="2" a="1"/>
  <c r="I10283" i="2" s="1"/>
  <c r="I10284" i="2" a="1"/>
  <c r="I10284" i="2" s="1"/>
  <c r="I10285" i="2" a="1"/>
  <c r="I10285" i="2" s="1"/>
  <c r="I10286" i="2" a="1"/>
  <c r="I10286" i="2" s="1"/>
  <c r="I10287" i="2" a="1"/>
  <c r="I10287" i="2" s="1"/>
  <c r="I10288" i="2" a="1"/>
  <c r="I10288" i="2" s="1"/>
  <c r="I10289" i="2" a="1"/>
  <c r="I10289" i="2" s="1"/>
  <c r="I10290" i="2" a="1"/>
  <c r="I10290" i="2" s="1"/>
  <c r="I10291" i="2" a="1"/>
  <c r="I10291" i="2" s="1"/>
  <c r="I10292" i="2" a="1"/>
  <c r="I10292" i="2" s="1"/>
  <c r="I10293" i="2" a="1"/>
  <c r="I10293" i="2" s="1"/>
  <c r="I10294" i="2" a="1"/>
  <c r="I10294" i="2" s="1"/>
  <c r="I10295" i="2" a="1"/>
  <c r="I10295" i="2" s="1"/>
  <c r="I10296" i="2" a="1"/>
  <c r="I10296" i="2" s="1"/>
  <c r="I10297" i="2" a="1"/>
  <c r="I10297" i="2" s="1"/>
  <c r="I10298" i="2" a="1"/>
  <c r="I10298" i="2" s="1"/>
  <c r="I10299" i="2" a="1"/>
  <c r="I10299" i="2" s="1"/>
  <c r="I10300" i="2" a="1"/>
  <c r="I10300" i="2" s="1"/>
  <c r="I10301" i="2" a="1"/>
  <c r="I10301" i="2" s="1"/>
  <c r="I10302" i="2" a="1"/>
  <c r="I10302" i="2" s="1"/>
  <c r="I10303" i="2" a="1"/>
  <c r="I10303" i="2" s="1"/>
  <c r="I10304" i="2" a="1"/>
  <c r="I10304" i="2" s="1"/>
  <c r="I10305" i="2" a="1"/>
  <c r="I10305" i="2" s="1"/>
  <c r="I10306" i="2" a="1"/>
  <c r="I10306" i="2" s="1"/>
  <c r="I10307" i="2" a="1"/>
  <c r="I10307" i="2" s="1"/>
  <c r="I10308" i="2" a="1"/>
  <c r="I10308" i="2" s="1"/>
  <c r="I10309" i="2" a="1"/>
  <c r="I10309" i="2" s="1"/>
  <c r="I10310" i="2" a="1"/>
  <c r="I10310" i="2" s="1"/>
  <c r="I10311" i="2" a="1"/>
  <c r="I10311" i="2" s="1"/>
  <c r="I10312" i="2" a="1"/>
  <c r="I10312" i="2" s="1"/>
  <c r="I10313" i="2" a="1"/>
  <c r="I10313" i="2" s="1"/>
  <c r="I10314" i="2" a="1"/>
  <c r="I10314" i="2" s="1"/>
  <c r="I10315" i="2" a="1"/>
  <c r="I10315" i="2" s="1"/>
  <c r="I10316" i="2" a="1"/>
  <c r="I10316" i="2" s="1"/>
  <c r="I10317" i="2" a="1"/>
  <c r="I10317" i="2" s="1"/>
  <c r="I10318" i="2" a="1"/>
  <c r="I10318" i="2" s="1"/>
  <c r="I10319" i="2" a="1"/>
  <c r="I10319" i="2" s="1"/>
  <c r="I10320" i="2" a="1"/>
  <c r="I10320" i="2" s="1"/>
  <c r="I10321" i="2" a="1"/>
  <c r="I10321" i="2" s="1"/>
  <c r="I10322" i="2" a="1"/>
  <c r="I10322" i="2" s="1"/>
  <c r="I10323" i="2" a="1"/>
  <c r="I10323" i="2" s="1"/>
  <c r="I10324" i="2" a="1"/>
  <c r="I10324" i="2" s="1"/>
  <c r="I10325" i="2" a="1"/>
  <c r="I10325" i="2" s="1"/>
  <c r="I10326" i="2" a="1"/>
  <c r="I10326" i="2" s="1"/>
  <c r="I10327" i="2" a="1"/>
  <c r="I10327" i="2" s="1"/>
  <c r="I10328" i="2" a="1"/>
  <c r="I10328" i="2" s="1"/>
  <c r="I10329" i="2" a="1"/>
  <c r="I10329" i="2" s="1"/>
  <c r="I10330" i="2" a="1"/>
  <c r="I10330" i="2" s="1"/>
  <c r="I10331" i="2" a="1"/>
  <c r="I10331" i="2" s="1"/>
  <c r="I10332" i="2" a="1"/>
  <c r="I10332" i="2" s="1"/>
  <c r="I10333" i="2" a="1"/>
  <c r="I10333" i="2" s="1"/>
  <c r="I10334" i="2" a="1"/>
  <c r="I10334" i="2" s="1"/>
  <c r="I10335" i="2" a="1"/>
  <c r="I10335" i="2" s="1"/>
  <c r="I10336" i="2" a="1"/>
  <c r="I10336" i="2" s="1"/>
  <c r="I10337" i="2" a="1"/>
  <c r="I10337" i="2" s="1"/>
  <c r="I10338" i="2" a="1"/>
  <c r="I10338" i="2" s="1"/>
  <c r="I10339" i="2" a="1"/>
  <c r="I10339" i="2" s="1"/>
  <c r="I10340" i="2" a="1"/>
  <c r="I10340" i="2" s="1"/>
  <c r="I10341" i="2" a="1"/>
  <c r="I10341" i="2" s="1"/>
  <c r="I10342" i="2" a="1"/>
  <c r="I10342" i="2" s="1"/>
  <c r="I10343" i="2" a="1"/>
  <c r="I10343" i="2" s="1"/>
  <c r="I10344" i="2" a="1"/>
  <c r="I10344" i="2" s="1"/>
  <c r="I10345" i="2" a="1"/>
  <c r="I10345" i="2" s="1"/>
  <c r="I10346" i="2" a="1"/>
  <c r="I10346" i="2" s="1"/>
  <c r="I10347" i="2" a="1"/>
  <c r="I10347" i="2" s="1"/>
  <c r="I10348" i="2" a="1"/>
  <c r="I10348" i="2" s="1"/>
  <c r="I10349" i="2" a="1"/>
  <c r="I10349" i="2" s="1"/>
  <c r="I10350" i="2" a="1"/>
  <c r="I10350" i="2" s="1"/>
  <c r="I10351" i="2" a="1"/>
  <c r="I10351" i="2" s="1"/>
  <c r="I10352" i="2" a="1"/>
  <c r="I10352" i="2" s="1"/>
  <c r="I10353" i="2" a="1"/>
  <c r="I10353" i="2" s="1"/>
  <c r="I10354" i="2" a="1"/>
  <c r="I10354" i="2" s="1"/>
  <c r="I10355" i="2" a="1"/>
  <c r="I10355" i="2" s="1"/>
  <c r="I10356" i="2" a="1"/>
  <c r="I10356" i="2" s="1"/>
  <c r="I10357" i="2" a="1"/>
  <c r="I10357" i="2" s="1"/>
  <c r="I10358" i="2" a="1"/>
  <c r="I10358" i="2" s="1"/>
  <c r="I10359" i="2" a="1"/>
  <c r="I10359" i="2" s="1"/>
  <c r="I10360" i="2" a="1"/>
  <c r="I10360" i="2" s="1"/>
  <c r="I10361" i="2" a="1"/>
  <c r="I10361" i="2" s="1"/>
  <c r="I10362" i="2" a="1"/>
  <c r="I10362" i="2" s="1"/>
  <c r="I10363" i="2" a="1"/>
  <c r="I10363" i="2" s="1"/>
  <c r="I10364" i="2" a="1"/>
  <c r="I10364" i="2" s="1"/>
  <c r="I10365" i="2" a="1"/>
  <c r="I10365" i="2" s="1"/>
  <c r="I10366" i="2" a="1"/>
  <c r="I10366" i="2" s="1"/>
  <c r="I10367" i="2" a="1"/>
  <c r="I10367" i="2" s="1"/>
  <c r="I10368" i="2" a="1"/>
  <c r="I10368" i="2" s="1"/>
  <c r="I10369" i="2" a="1"/>
  <c r="I10369" i="2" s="1"/>
  <c r="I10370" i="2" a="1"/>
  <c r="I10370" i="2" s="1"/>
  <c r="I10371" i="2" a="1"/>
  <c r="I10371" i="2" s="1"/>
  <c r="I10372" i="2" a="1"/>
  <c r="I10372" i="2" s="1"/>
  <c r="I10373" i="2" a="1"/>
  <c r="I10373" i="2" s="1"/>
  <c r="I10374" i="2" a="1"/>
  <c r="I10374" i="2" s="1"/>
  <c r="I10375" i="2" a="1"/>
  <c r="I10375" i="2" s="1"/>
  <c r="I10376" i="2" a="1"/>
  <c r="I10376" i="2" s="1"/>
  <c r="I10377" i="2" a="1"/>
  <c r="I10377" i="2" s="1"/>
  <c r="I10378" i="2" a="1"/>
  <c r="I10378" i="2" s="1"/>
  <c r="I10379" i="2" a="1"/>
  <c r="I10379" i="2" s="1"/>
  <c r="I10380" i="2" a="1"/>
  <c r="I10380" i="2" s="1"/>
  <c r="I10381" i="2" a="1"/>
  <c r="I10381" i="2" s="1"/>
  <c r="I10382" i="2" a="1"/>
  <c r="I10382" i="2" s="1"/>
  <c r="I10383" i="2" a="1"/>
  <c r="I10383" i="2" s="1"/>
  <c r="I10384" i="2" a="1"/>
  <c r="I10384" i="2" s="1"/>
  <c r="I10385" i="2" a="1"/>
  <c r="I10385" i="2" s="1"/>
  <c r="I10386" i="2" a="1"/>
  <c r="I10386" i="2" s="1"/>
  <c r="I10387" i="2" a="1"/>
  <c r="I10387" i="2" s="1"/>
  <c r="I10388" i="2" a="1"/>
  <c r="I10388" i="2" s="1"/>
  <c r="I10389" i="2" a="1"/>
  <c r="I10389" i="2" s="1"/>
  <c r="I10390" i="2" a="1"/>
  <c r="I10390" i="2" s="1"/>
  <c r="I10391" i="2" a="1"/>
  <c r="I10391" i="2" s="1"/>
  <c r="I10392" i="2" a="1"/>
  <c r="I10392" i="2" s="1"/>
  <c r="I10393" i="2" a="1"/>
  <c r="I10393" i="2" s="1"/>
  <c r="I10394" i="2" a="1"/>
  <c r="I10394" i="2" s="1"/>
  <c r="I10395" i="2" a="1"/>
  <c r="I10395" i="2" s="1"/>
  <c r="I10396" i="2" a="1"/>
  <c r="I10396" i="2" s="1"/>
  <c r="I10397" i="2" a="1"/>
  <c r="I10397" i="2" s="1"/>
  <c r="I10398" i="2" a="1"/>
  <c r="I10398" i="2" s="1"/>
  <c r="I10399" i="2" a="1"/>
  <c r="I10399" i="2" s="1"/>
  <c r="I10400" i="2" a="1"/>
  <c r="I10400" i="2" s="1"/>
  <c r="I10401" i="2" a="1"/>
  <c r="I10401" i="2" s="1"/>
  <c r="I10402" i="2" a="1"/>
  <c r="I10402" i="2" s="1"/>
  <c r="I10403" i="2" a="1"/>
  <c r="I10403" i="2" s="1"/>
  <c r="I10404" i="2" a="1"/>
  <c r="I10404" i="2" s="1"/>
  <c r="I10405" i="2" a="1"/>
  <c r="I10405" i="2" s="1"/>
  <c r="I10406" i="2" a="1"/>
  <c r="I10406" i="2" s="1"/>
  <c r="I10407" i="2" a="1"/>
  <c r="I10407" i="2" s="1"/>
  <c r="I10408" i="2" a="1"/>
  <c r="I10408" i="2" s="1"/>
  <c r="I10409" i="2" a="1"/>
  <c r="I10409" i="2" s="1"/>
  <c r="I10410" i="2" a="1"/>
  <c r="I10410" i="2" s="1"/>
  <c r="I10411" i="2" a="1"/>
  <c r="I10411" i="2" s="1"/>
  <c r="I10412" i="2" a="1"/>
  <c r="I10412" i="2" s="1"/>
  <c r="I10413" i="2" a="1"/>
  <c r="I10413" i="2" s="1"/>
  <c r="I10414" i="2" a="1"/>
  <c r="I10414" i="2" s="1"/>
  <c r="I10415" i="2" a="1"/>
  <c r="I10415" i="2" s="1"/>
  <c r="I10416" i="2" a="1"/>
  <c r="I10416" i="2" s="1"/>
  <c r="I10417" i="2" a="1"/>
  <c r="I10417" i="2" s="1"/>
  <c r="I10418" i="2" a="1"/>
  <c r="I10418" i="2" s="1"/>
  <c r="I10419" i="2" a="1"/>
  <c r="I10419" i="2" s="1"/>
  <c r="I10420" i="2" a="1"/>
  <c r="I10420" i="2" s="1"/>
  <c r="I10421" i="2" a="1"/>
  <c r="I10421" i="2" s="1"/>
  <c r="I10422" i="2" a="1"/>
  <c r="I10422" i="2" s="1"/>
  <c r="I10423" i="2" a="1"/>
  <c r="I10423" i="2" s="1"/>
  <c r="I10424" i="2" a="1"/>
  <c r="I10424" i="2" s="1"/>
  <c r="I10425" i="2" a="1"/>
  <c r="I10425" i="2" s="1"/>
  <c r="I10426" i="2" a="1"/>
  <c r="I10426" i="2" s="1"/>
  <c r="I10427" i="2" a="1"/>
  <c r="I10427" i="2" s="1"/>
  <c r="I10428" i="2" a="1"/>
  <c r="I10428" i="2" s="1"/>
  <c r="I10429" i="2" a="1"/>
  <c r="I10429" i="2" s="1"/>
  <c r="I10430" i="2" a="1"/>
  <c r="I10430" i="2" s="1"/>
  <c r="I10431" i="2" a="1"/>
  <c r="I10431" i="2" s="1"/>
  <c r="I10432" i="2" a="1"/>
  <c r="I10432" i="2" s="1"/>
  <c r="I10433" i="2" a="1"/>
  <c r="I10433" i="2" s="1"/>
  <c r="I10434" i="2" a="1"/>
  <c r="I10434" i="2" s="1"/>
  <c r="I10435" i="2" a="1"/>
  <c r="I10435" i="2" s="1"/>
  <c r="I10436" i="2" a="1"/>
  <c r="I10436" i="2" s="1"/>
  <c r="I10437" i="2" a="1"/>
  <c r="I10437" i="2" s="1"/>
  <c r="I10438" i="2" a="1"/>
  <c r="I10438" i="2" s="1"/>
  <c r="I10439" i="2" a="1"/>
  <c r="I10439" i="2" s="1"/>
  <c r="I10440" i="2" a="1"/>
  <c r="I10440" i="2" s="1"/>
  <c r="I10441" i="2" a="1"/>
  <c r="I10441" i="2" s="1"/>
  <c r="I10442" i="2" a="1"/>
  <c r="I10442" i="2" s="1"/>
  <c r="I10443" i="2" a="1"/>
  <c r="I10443" i="2" s="1"/>
  <c r="I10444" i="2" a="1"/>
  <c r="I10444" i="2" s="1"/>
  <c r="I10445" i="2" a="1"/>
  <c r="I10445" i="2" s="1"/>
  <c r="I10446" i="2" a="1"/>
  <c r="I10446" i="2" s="1"/>
  <c r="I10447" i="2" a="1"/>
  <c r="I10447" i="2" s="1"/>
  <c r="I10448" i="2" a="1"/>
  <c r="I10448" i="2" s="1"/>
  <c r="I10449" i="2" a="1"/>
  <c r="I10449" i="2" s="1"/>
  <c r="I10450" i="2" a="1"/>
  <c r="I10450" i="2" s="1"/>
  <c r="I10451" i="2" a="1"/>
  <c r="I10451" i="2" s="1"/>
  <c r="I10452" i="2" a="1"/>
  <c r="I10452" i="2" s="1"/>
  <c r="I10453" i="2" a="1"/>
  <c r="I10453" i="2" s="1"/>
  <c r="I10454" i="2" a="1"/>
  <c r="I10454" i="2" s="1"/>
  <c r="I10455" i="2" a="1"/>
  <c r="I10455" i="2" s="1"/>
  <c r="I10456" i="2" a="1"/>
  <c r="I10456" i="2" s="1"/>
  <c r="I10457" i="2" a="1"/>
  <c r="I10457" i="2" s="1"/>
  <c r="I10458" i="2" a="1"/>
  <c r="I10458" i="2" s="1"/>
  <c r="I10459" i="2" a="1"/>
  <c r="I10459" i="2" s="1"/>
  <c r="I10460" i="2" a="1"/>
  <c r="I10460" i="2" s="1"/>
  <c r="I10461" i="2" a="1"/>
  <c r="I10461" i="2" s="1"/>
  <c r="I10462" i="2" a="1"/>
  <c r="I10462" i="2" s="1"/>
  <c r="I10463" i="2" a="1"/>
  <c r="I10463" i="2" s="1"/>
  <c r="I10464" i="2" a="1"/>
  <c r="I10464" i="2" s="1"/>
  <c r="I10465" i="2" a="1"/>
  <c r="I10465" i="2" s="1"/>
  <c r="I10466" i="2" a="1"/>
  <c r="I10466" i="2" s="1"/>
  <c r="I10467" i="2" a="1"/>
  <c r="I10467" i="2" s="1"/>
  <c r="I10468" i="2" a="1"/>
  <c r="I10468" i="2" s="1"/>
  <c r="I10469" i="2" a="1"/>
  <c r="I10469" i="2" s="1"/>
  <c r="I10470" i="2" a="1"/>
  <c r="I10470" i="2" s="1"/>
  <c r="I10471" i="2" a="1"/>
  <c r="I10471" i="2" s="1"/>
  <c r="I10472" i="2" a="1"/>
  <c r="I10472" i="2" s="1"/>
  <c r="I10473" i="2" a="1"/>
  <c r="I10473" i="2" s="1"/>
  <c r="I10474" i="2" a="1"/>
  <c r="I10474" i="2" s="1"/>
  <c r="I10475" i="2" a="1"/>
  <c r="I10475" i="2" s="1"/>
  <c r="I10476" i="2" a="1"/>
  <c r="I10476" i="2" s="1"/>
  <c r="I10477" i="2" a="1"/>
  <c r="I10477" i="2" s="1"/>
  <c r="I10478" i="2" a="1"/>
  <c r="I10478" i="2" s="1"/>
  <c r="I10479" i="2" a="1"/>
  <c r="I10479" i="2" s="1"/>
  <c r="I10480" i="2" a="1"/>
  <c r="I10480" i="2" s="1"/>
  <c r="I10481" i="2" a="1"/>
  <c r="I10481" i="2" s="1"/>
  <c r="I10482" i="2" a="1"/>
  <c r="I10482" i="2" s="1"/>
  <c r="I10483" i="2" a="1"/>
  <c r="I10483" i="2" s="1"/>
  <c r="I10484" i="2" a="1"/>
  <c r="I10484" i="2" s="1"/>
  <c r="I10485" i="2" a="1"/>
  <c r="I10485" i="2" s="1"/>
  <c r="I10486" i="2" a="1"/>
  <c r="I10486" i="2" s="1"/>
  <c r="I10487" i="2" a="1"/>
  <c r="I10487" i="2" s="1"/>
  <c r="I10488" i="2" a="1"/>
  <c r="I10488" i="2" s="1"/>
  <c r="I10489" i="2" a="1"/>
  <c r="I10489" i="2" s="1"/>
  <c r="I10490" i="2" a="1"/>
  <c r="I10490" i="2" s="1"/>
  <c r="I10491" i="2" a="1"/>
  <c r="I10491" i="2" s="1"/>
  <c r="I10492" i="2" a="1"/>
  <c r="I10492" i="2" s="1"/>
  <c r="I10493" i="2" a="1"/>
  <c r="I10493" i="2" s="1"/>
  <c r="I10494" i="2" a="1"/>
  <c r="I10494" i="2" s="1"/>
  <c r="I10495" i="2" a="1"/>
  <c r="I10495" i="2" s="1"/>
  <c r="I10496" i="2" a="1"/>
  <c r="I10496" i="2" s="1"/>
  <c r="I10497" i="2" a="1"/>
  <c r="I10497" i="2" s="1"/>
  <c r="I10498" i="2" a="1"/>
  <c r="I10498" i="2" s="1"/>
  <c r="I10499" i="2" a="1"/>
  <c r="I10499" i="2" s="1"/>
  <c r="I10500" i="2" a="1"/>
  <c r="I10500" i="2" s="1"/>
  <c r="I10501" i="2" a="1"/>
  <c r="I10501" i="2" s="1"/>
  <c r="I10502" i="2" a="1"/>
  <c r="I10502" i="2" s="1"/>
  <c r="I10503" i="2" a="1"/>
  <c r="I10503" i="2" s="1"/>
  <c r="I10504" i="2" a="1"/>
  <c r="I10504" i="2" s="1"/>
  <c r="I10505" i="2" a="1"/>
  <c r="I10505" i="2" s="1"/>
  <c r="I10506" i="2" a="1"/>
  <c r="I10506" i="2" s="1"/>
  <c r="I10507" i="2" a="1"/>
  <c r="I10507" i="2" s="1"/>
  <c r="I10508" i="2" a="1"/>
  <c r="I10508" i="2" s="1"/>
  <c r="I10509" i="2" a="1"/>
  <c r="I10509" i="2" s="1"/>
  <c r="I10510" i="2" a="1"/>
  <c r="I10510" i="2" s="1"/>
  <c r="I10511" i="2" a="1"/>
  <c r="I10511" i="2" s="1"/>
  <c r="I10512" i="2" a="1"/>
  <c r="I10512" i="2" s="1"/>
  <c r="I10513" i="2" a="1"/>
  <c r="I10513" i="2" s="1"/>
  <c r="I10514" i="2" a="1"/>
  <c r="I10514" i="2" s="1"/>
  <c r="I10515" i="2" a="1"/>
  <c r="I10515" i="2" s="1"/>
  <c r="I10516" i="2" a="1"/>
  <c r="I10516" i="2" s="1"/>
  <c r="I10517" i="2" a="1"/>
  <c r="I10517" i="2" s="1"/>
  <c r="I10518" i="2" a="1"/>
  <c r="I10518" i="2" s="1"/>
  <c r="I10519" i="2" a="1"/>
  <c r="I10519" i="2" s="1"/>
  <c r="I10520" i="2" a="1"/>
  <c r="I10520" i="2" s="1"/>
  <c r="I10521" i="2" a="1"/>
  <c r="I10521" i="2" s="1"/>
  <c r="I10522" i="2" a="1"/>
  <c r="I10522" i="2" s="1"/>
  <c r="I10523" i="2" a="1"/>
  <c r="I10523" i="2" s="1"/>
  <c r="I10524" i="2" a="1"/>
  <c r="I10524" i="2" s="1"/>
  <c r="I10525" i="2" a="1"/>
  <c r="I10525" i="2" s="1"/>
  <c r="I10526" i="2" a="1"/>
  <c r="I10526" i="2" s="1"/>
  <c r="I10527" i="2" a="1"/>
  <c r="I10527" i="2" s="1"/>
  <c r="I10528" i="2" a="1"/>
  <c r="I10528" i="2" s="1"/>
  <c r="I10529" i="2" a="1"/>
  <c r="I10529" i="2" s="1"/>
  <c r="I10530" i="2" a="1"/>
  <c r="I10530" i="2" s="1"/>
  <c r="I10531" i="2" a="1"/>
  <c r="I10531" i="2" s="1"/>
  <c r="I10532" i="2" a="1"/>
  <c r="I10532" i="2" s="1"/>
  <c r="I10533" i="2" a="1"/>
  <c r="I10533" i="2" s="1"/>
  <c r="I10534" i="2" a="1"/>
  <c r="I10534" i="2" s="1"/>
  <c r="I10535" i="2" a="1"/>
  <c r="I10535" i="2" s="1"/>
  <c r="I10536" i="2" a="1"/>
  <c r="I10536" i="2" s="1"/>
  <c r="I10537" i="2" a="1"/>
  <c r="I10537" i="2" s="1"/>
  <c r="I10538" i="2" a="1"/>
  <c r="I10538" i="2" s="1"/>
  <c r="I10539" i="2" a="1"/>
  <c r="I10539" i="2" s="1"/>
  <c r="I10540" i="2" a="1"/>
  <c r="I10540" i="2" s="1"/>
  <c r="I10541" i="2" a="1"/>
  <c r="I10541" i="2" s="1"/>
  <c r="I10542" i="2" a="1"/>
  <c r="I10542" i="2" s="1"/>
  <c r="I10543" i="2" a="1"/>
  <c r="I10543" i="2" s="1"/>
  <c r="I10544" i="2" a="1"/>
  <c r="I10544" i="2" s="1"/>
  <c r="I10545" i="2" a="1"/>
  <c r="I10545" i="2" s="1"/>
  <c r="I10546" i="2" a="1"/>
  <c r="I10546" i="2" s="1"/>
  <c r="I10547" i="2" a="1"/>
  <c r="I10547" i="2" s="1"/>
  <c r="I10548" i="2" a="1"/>
  <c r="I10548" i="2" s="1"/>
  <c r="I10549" i="2" a="1"/>
  <c r="I10549" i="2" s="1"/>
  <c r="I10550" i="2" a="1"/>
  <c r="I10550" i="2" s="1"/>
  <c r="I10551" i="2" a="1"/>
  <c r="I10551" i="2" s="1"/>
  <c r="I10552" i="2" a="1"/>
  <c r="I10552" i="2" s="1"/>
  <c r="I10553" i="2" a="1"/>
  <c r="I10553" i="2" s="1"/>
  <c r="I10554" i="2" a="1"/>
  <c r="I10554" i="2" s="1"/>
  <c r="I10555" i="2" a="1"/>
  <c r="I10555" i="2" s="1"/>
  <c r="I10556" i="2" a="1"/>
  <c r="I10556" i="2" s="1"/>
  <c r="I10557" i="2" a="1"/>
  <c r="I10557" i="2" s="1"/>
  <c r="I10558" i="2" a="1"/>
  <c r="I10558" i="2" s="1"/>
  <c r="I10559" i="2" a="1"/>
  <c r="I10559" i="2" s="1"/>
  <c r="I10560" i="2" a="1"/>
  <c r="I10560" i="2" s="1"/>
  <c r="I10561" i="2" a="1"/>
  <c r="I10561" i="2" s="1"/>
  <c r="I10562" i="2" a="1"/>
  <c r="I10562" i="2" s="1"/>
  <c r="I10563" i="2" a="1"/>
  <c r="I10563" i="2" s="1"/>
  <c r="I10564" i="2" a="1"/>
  <c r="I10564" i="2" s="1"/>
  <c r="I10565" i="2" a="1"/>
  <c r="I10565" i="2" s="1"/>
  <c r="I10566" i="2" a="1"/>
  <c r="I10566" i="2" s="1"/>
  <c r="I10567" i="2" a="1"/>
  <c r="I10567" i="2" s="1"/>
  <c r="I10568" i="2" a="1"/>
  <c r="I10568" i="2" s="1"/>
  <c r="I10569" i="2" a="1"/>
  <c r="I10569" i="2" s="1"/>
  <c r="I10570" i="2" a="1"/>
  <c r="I10570" i="2" s="1"/>
  <c r="I10571" i="2" a="1"/>
  <c r="I10571" i="2" s="1"/>
  <c r="I10572" i="2" a="1"/>
  <c r="I10572" i="2" s="1"/>
  <c r="I10573" i="2" a="1"/>
  <c r="I10573" i="2" s="1"/>
  <c r="I10574" i="2" a="1"/>
  <c r="I10574" i="2" s="1"/>
  <c r="I10575" i="2" a="1"/>
  <c r="I10575" i="2" s="1"/>
  <c r="I10576" i="2" a="1"/>
  <c r="I10576" i="2" s="1"/>
  <c r="I10577" i="2" a="1"/>
  <c r="I10577" i="2" s="1"/>
  <c r="I10578" i="2" a="1"/>
  <c r="I10578" i="2" s="1"/>
  <c r="I10579" i="2" a="1"/>
  <c r="I10579" i="2" s="1"/>
  <c r="I10580" i="2" a="1"/>
  <c r="I10580" i="2" s="1"/>
  <c r="I10581" i="2" a="1"/>
  <c r="I10581" i="2" s="1"/>
  <c r="I10582" i="2" a="1"/>
  <c r="I10582" i="2" s="1"/>
  <c r="I10583" i="2" a="1"/>
  <c r="I10583" i="2" s="1"/>
  <c r="I10584" i="2" a="1"/>
  <c r="I10584" i="2" s="1"/>
  <c r="I10585" i="2" a="1"/>
  <c r="I10585" i="2" s="1"/>
  <c r="I10586" i="2" a="1"/>
  <c r="I10586" i="2" s="1"/>
  <c r="I10587" i="2" a="1"/>
  <c r="I10587" i="2" s="1"/>
  <c r="I10588" i="2" a="1"/>
  <c r="I10588" i="2" s="1"/>
  <c r="I10589" i="2" a="1"/>
  <c r="I10589" i="2" s="1"/>
  <c r="I10590" i="2" a="1"/>
  <c r="I10590" i="2" s="1"/>
  <c r="I10591" i="2" a="1"/>
  <c r="I10591" i="2" s="1"/>
  <c r="I10592" i="2" a="1"/>
  <c r="I10592" i="2" s="1"/>
  <c r="I10593" i="2" a="1"/>
  <c r="I10593" i="2" s="1"/>
  <c r="I10594" i="2" a="1"/>
  <c r="I10594" i="2" s="1"/>
  <c r="I10595" i="2" a="1"/>
  <c r="I10595" i="2" s="1"/>
  <c r="I10596" i="2" a="1"/>
  <c r="I10596" i="2" s="1"/>
  <c r="I10597" i="2" a="1"/>
  <c r="I10597" i="2" s="1"/>
  <c r="I10598" i="2" a="1"/>
  <c r="I10598" i="2" s="1"/>
  <c r="I10599" i="2" a="1"/>
  <c r="I10599" i="2" s="1"/>
  <c r="I10600" i="2" a="1"/>
  <c r="I10600" i="2" s="1"/>
  <c r="I10601" i="2" a="1"/>
  <c r="I10601" i="2" s="1"/>
  <c r="I10602" i="2" a="1"/>
  <c r="I10602" i="2" s="1"/>
  <c r="I10603" i="2" a="1"/>
  <c r="I10603" i="2" s="1"/>
  <c r="I10604" i="2" a="1"/>
  <c r="I10604" i="2" s="1"/>
  <c r="I10605" i="2" a="1"/>
  <c r="I10605" i="2" s="1"/>
  <c r="I10606" i="2" a="1"/>
  <c r="I10606" i="2" s="1"/>
  <c r="I10607" i="2" a="1"/>
  <c r="I10607" i="2" s="1"/>
  <c r="I10608" i="2" a="1"/>
  <c r="I10608" i="2" s="1"/>
  <c r="I10609" i="2" a="1"/>
  <c r="I10609" i="2" s="1"/>
  <c r="I10610" i="2" a="1"/>
  <c r="I10610" i="2" s="1"/>
  <c r="I10611" i="2" a="1"/>
  <c r="I10611" i="2" s="1"/>
  <c r="I10612" i="2" a="1"/>
  <c r="I10612" i="2" s="1"/>
  <c r="I10613" i="2" a="1"/>
  <c r="I10613" i="2" s="1"/>
  <c r="I10614" i="2" a="1"/>
  <c r="I10614" i="2" s="1"/>
  <c r="I10615" i="2" a="1"/>
  <c r="I10615" i="2" s="1"/>
  <c r="I10616" i="2" a="1"/>
  <c r="I10616" i="2" s="1"/>
  <c r="I10617" i="2" a="1"/>
  <c r="I10617" i="2" s="1"/>
  <c r="I10618" i="2" a="1"/>
  <c r="I10618" i="2" s="1"/>
  <c r="I10619" i="2" a="1"/>
  <c r="I10619" i="2" s="1"/>
  <c r="I10620" i="2" a="1"/>
  <c r="I10620" i="2" s="1"/>
  <c r="I10621" i="2" a="1"/>
  <c r="I10621" i="2" s="1"/>
  <c r="I10622" i="2" a="1"/>
  <c r="I10622" i="2" s="1"/>
  <c r="I10623" i="2" a="1"/>
  <c r="I10623" i="2" s="1"/>
  <c r="I10624" i="2" a="1"/>
  <c r="I10624" i="2" s="1"/>
  <c r="I10625" i="2" a="1"/>
  <c r="I10625" i="2" s="1"/>
  <c r="I10626" i="2" a="1"/>
  <c r="I10626" i="2" s="1"/>
  <c r="I10627" i="2" a="1"/>
  <c r="I10627" i="2" s="1"/>
  <c r="I10628" i="2" a="1"/>
  <c r="I10628" i="2" s="1"/>
  <c r="I10629" i="2" a="1"/>
  <c r="I10629" i="2" s="1"/>
  <c r="I10630" i="2" a="1"/>
  <c r="I10630" i="2" s="1"/>
  <c r="I10631" i="2" a="1"/>
  <c r="I10631" i="2" s="1"/>
  <c r="I10632" i="2" a="1"/>
  <c r="I10632" i="2" s="1"/>
  <c r="I10633" i="2" a="1"/>
  <c r="I10633" i="2" s="1"/>
  <c r="I10634" i="2" a="1"/>
  <c r="I10634" i="2" s="1"/>
  <c r="I10635" i="2" a="1"/>
  <c r="I10635" i="2" s="1"/>
  <c r="I10636" i="2" a="1"/>
  <c r="I10636" i="2" s="1"/>
  <c r="I10637" i="2" a="1"/>
  <c r="I10637" i="2" s="1"/>
  <c r="I10638" i="2" a="1"/>
  <c r="I10638" i="2" s="1"/>
  <c r="I10639" i="2" a="1"/>
  <c r="I10639" i="2" s="1"/>
  <c r="I10640" i="2" a="1"/>
  <c r="I10640" i="2" s="1"/>
  <c r="I10641" i="2" a="1"/>
  <c r="I10641" i="2" s="1"/>
  <c r="I10642" i="2" a="1"/>
  <c r="I10642" i="2" s="1"/>
  <c r="I10643" i="2" a="1"/>
  <c r="I10643" i="2" s="1"/>
  <c r="I10644" i="2" a="1"/>
  <c r="I10644" i="2" s="1"/>
  <c r="I10645" i="2" a="1"/>
  <c r="I10645" i="2" s="1"/>
  <c r="I10646" i="2" a="1"/>
  <c r="I10646" i="2" s="1"/>
  <c r="I10647" i="2" a="1"/>
  <c r="I10647" i="2" s="1"/>
  <c r="I10648" i="2" a="1"/>
  <c r="I10648" i="2" s="1"/>
  <c r="I10649" i="2" a="1"/>
  <c r="I10649" i="2" s="1"/>
  <c r="I10650" i="2" a="1"/>
  <c r="I10650" i="2" s="1"/>
  <c r="I10651" i="2" a="1"/>
  <c r="I10651" i="2" s="1"/>
  <c r="I10652" i="2" a="1"/>
  <c r="I10652" i="2" s="1"/>
  <c r="I10653" i="2" a="1"/>
  <c r="I10653" i="2" s="1"/>
  <c r="I10654" i="2" a="1"/>
  <c r="I10654" i="2" s="1"/>
  <c r="I10655" i="2" a="1"/>
  <c r="I10655" i="2" s="1"/>
  <c r="I10656" i="2" a="1"/>
  <c r="I10656" i="2" s="1"/>
  <c r="I10657" i="2" a="1"/>
  <c r="I10657" i="2" s="1"/>
  <c r="I10658" i="2" a="1"/>
  <c r="I10658" i="2" s="1"/>
  <c r="I10659" i="2" a="1"/>
  <c r="I10659" i="2" s="1"/>
  <c r="I10660" i="2" a="1"/>
  <c r="I10660" i="2" s="1"/>
  <c r="I10661" i="2" a="1"/>
  <c r="I10661" i="2" s="1"/>
  <c r="I10662" i="2" a="1"/>
  <c r="I10662" i="2" s="1"/>
  <c r="I10663" i="2" a="1"/>
  <c r="I10663" i="2" s="1"/>
  <c r="I10664" i="2" a="1"/>
  <c r="I10664" i="2" s="1"/>
  <c r="I10665" i="2" a="1"/>
  <c r="I10665" i="2" s="1"/>
  <c r="I10666" i="2" a="1"/>
  <c r="I10666" i="2" s="1"/>
  <c r="I10667" i="2" a="1"/>
  <c r="I10667" i="2" s="1"/>
  <c r="I10668" i="2" a="1"/>
  <c r="I10668" i="2" s="1"/>
  <c r="I10669" i="2" a="1"/>
  <c r="I10669" i="2" s="1"/>
  <c r="I10670" i="2" a="1"/>
  <c r="I10670" i="2" s="1"/>
  <c r="I10671" i="2" a="1"/>
  <c r="I10671" i="2" s="1"/>
  <c r="I10672" i="2" a="1"/>
  <c r="I10672" i="2" s="1"/>
  <c r="I10673" i="2" a="1"/>
  <c r="I10673" i="2" s="1"/>
  <c r="I10674" i="2" a="1"/>
  <c r="I10674" i="2" s="1"/>
  <c r="I10675" i="2" a="1"/>
  <c r="I10675" i="2" s="1"/>
  <c r="I10676" i="2" a="1"/>
  <c r="I10676" i="2" s="1"/>
  <c r="I10677" i="2" a="1"/>
  <c r="I10677" i="2" s="1"/>
  <c r="I10678" i="2" a="1"/>
  <c r="I10678" i="2" s="1"/>
  <c r="I10679" i="2" a="1"/>
  <c r="I10679" i="2" s="1"/>
  <c r="I10680" i="2" a="1"/>
  <c r="I10680" i="2" s="1"/>
  <c r="I10681" i="2" a="1"/>
  <c r="I10681" i="2" s="1"/>
  <c r="I10682" i="2" a="1"/>
  <c r="I10682" i="2" s="1"/>
  <c r="I10683" i="2" a="1"/>
  <c r="I10683" i="2" s="1"/>
  <c r="I10684" i="2" a="1"/>
  <c r="I10684" i="2" s="1"/>
  <c r="I10685" i="2" a="1"/>
  <c r="I10685" i="2" s="1"/>
  <c r="I10686" i="2" a="1"/>
  <c r="I10686" i="2" s="1"/>
  <c r="I10687" i="2" a="1"/>
  <c r="I10687" i="2" s="1"/>
  <c r="I10688" i="2" a="1"/>
  <c r="I10688" i="2" s="1"/>
  <c r="I10689" i="2" a="1"/>
  <c r="I10689" i="2" s="1"/>
  <c r="I10690" i="2" a="1"/>
  <c r="I10690" i="2" s="1"/>
  <c r="I10691" i="2" a="1"/>
  <c r="I10691" i="2" s="1"/>
  <c r="I10692" i="2" a="1"/>
  <c r="I10692" i="2" s="1"/>
  <c r="I10693" i="2" a="1"/>
  <c r="I10693" i="2" s="1"/>
  <c r="I10694" i="2" a="1"/>
  <c r="I10694" i="2" s="1"/>
  <c r="I10695" i="2" a="1"/>
  <c r="I10695" i="2" s="1"/>
  <c r="I10696" i="2" a="1"/>
  <c r="I10696" i="2" s="1"/>
  <c r="I10697" i="2" a="1"/>
  <c r="I10697" i="2" s="1"/>
  <c r="I10698" i="2" a="1"/>
  <c r="I10698" i="2" s="1"/>
  <c r="I10699" i="2" a="1"/>
  <c r="I10699" i="2" s="1"/>
  <c r="I10700" i="2" a="1"/>
  <c r="I10700" i="2" s="1"/>
  <c r="I10701" i="2" a="1"/>
  <c r="I10701" i="2" s="1"/>
  <c r="I10702" i="2" a="1"/>
  <c r="I10702" i="2" s="1"/>
  <c r="I10703" i="2" a="1"/>
  <c r="I10703" i="2" s="1"/>
  <c r="I10704" i="2" a="1"/>
  <c r="I10704" i="2" s="1"/>
  <c r="I10705" i="2" a="1"/>
  <c r="I10705" i="2" s="1"/>
  <c r="I10706" i="2" a="1"/>
  <c r="I10706" i="2" s="1"/>
  <c r="I10707" i="2" a="1"/>
  <c r="I10707" i="2" s="1"/>
  <c r="I10708" i="2" a="1"/>
  <c r="I10708" i="2" s="1"/>
  <c r="I10709" i="2" a="1"/>
  <c r="I10709" i="2" s="1"/>
  <c r="I10710" i="2" a="1"/>
  <c r="I10710" i="2" s="1"/>
  <c r="I10711" i="2" a="1"/>
  <c r="I10711" i="2" s="1"/>
  <c r="I10712" i="2" a="1"/>
  <c r="I10712" i="2" s="1"/>
  <c r="I10713" i="2" a="1"/>
  <c r="I10713" i="2" s="1"/>
  <c r="I10714" i="2" a="1"/>
  <c r="I10714" i="2" s="1"/>
  <c r="I10715" i="2" a="1"/>
  <c r="I10715" i="2" s="1"/>
  <c r="I10716" i="2" a="1"/>
  <c r="I10716" i="2" s="1"/>
  <c r="I10717" i="2" a="1"/>
  <c r="I10717" i="2" s="1"/>
  <c r="I10718" i="2" a="1"/>
  <c r="I10718" i="2" s="1"/>
  <c r="I10719" i="2" a="1"/>
  <c r="I10719" i="2" s="1"/>
  <c r="I10720" i="2" a="1"/>
  <c r="I10720" i="2" s="1"/>
  <c r="I10721" i="2" a="1"/>
  <c r="I10721" i="2" s="1"/>
  <c r="I10722" i="2" a="1"/>
  <c r="I10722" i="2" s="1"/>
  <c r="I10723" i="2" a="1"/>
  <c r="I10723" i="2" s="1"/>
  <c r="I10724" i="2" a="1"/>
  <c r="I10724" i="2" s="1"/>
  <c r="I10725" i="2" a="1"/>
  <c r="I10725" i="2" s="1"/>
  <c r="I10726" i="2" a="1"/>
  <c r="I10726" i="2" s="1"/>
  <c r="I10727" i="2" a="1"/>
  <c r="I10727" i="2" s="1"/>
  <c r="I10728" i="2" a="1"/>
  <c r="I10728" i="2" s="1"/>
  <c r="I10729" i="2" a="1"/>
  <c r="I10729" i="2" s="1"/>
  <c r="I10730" i="2" a="1"/>
  <c r="I10730" i="2" s="1"/>
  <c r="I10731" i="2" a="1"/>
  <c r="I10731" i="2" s="1"/>
  <c r="I10732" i="2" a="1"/>
  <c r="I10732" i="2" s="1"/>
  <c r="I10733" i="2" a="1"/>
  <c r="I10733" i="2" s="1"/>
  <c r="I10734" i="2" a="1"/>
  <c r="I10734" i="2" s="1"/>
  <c r="I10735" i="2" a="1"/>
  <c r="I10735" i="2" s="1"/>
  <c r="I10736" i="2" a="1"/>
  <c r="I10736" i="2" s="1"/>
  <c r="I10737" i="2" a="1"/>
  <c r="I10737" i="2" s="1"/>
  <c r="I10738" i="2" a="1"/>
  <c r="I10738" i="2" s="1"/>
  <c r="I10739" i="2" a="1"/>
  <c r="I10739" i="2" s="1"/>
  <c r="I10740" i="2" a="1"/>
  <c r="I10740" i="2" s="1"/>
  <c r="I10741" i="2" a="1"/>
  <c r="I10741" i="2" s="1"/>
  <c r="I10742" i="2" a="1"/>
  <c r="I10742" i="2" s="1"/>
  <c r="I10743" i="2" a="1"/>
  <c r="I10743" i="2" s="1"/>
  <c r="I10744" i="2" a="1"/>
  <c r="I10744" i="2" s="1"/>
  <c r="I10745" i="2" a="1"/>
  <c r="I10745" i="2" s="1"/>
  <c r="I10746" i="2" a="1"/>
  <c r="I10746" i="2" s="1"/>
  <c r="I10747" i="2" a="1"/>
  <c r="I10747" i="2" s="1"/>
  <c r="I10748" i="2" a="1"/>
  <c r="I10748" i="2" s="1"/>
  <c r="I10749" i="2" a="1"/>
  <c r="I10749" i="2" s="1"/>
  <c r="I10750" i="2" a="1"/>
  <c r="I10750" i="2" s="1"/>
  <c r="I10751" i="2" a="1"/>
  <c r="I10751" i="2" s="1"/>
  <c r="I10752" i="2" a="1"/>
  <c r="I10752" i="2" s="1"/>
  <c r="I10753" i="2" a="1"/>
  <c r="I10753" i="2" s="1"/>
  <c r="I10754" i="2" a="1"/>
  <c r="I10754" i="2" s="1"/>
  <c r="I10755" i="2" a="1"/>
  <c r="I10755" i="2" s="1"/>
  <c r="I10756" i="2" a="1"/>
  <c r="I10756" i="2" s="1"/>
  <c r="I10757" i="2" a="1"/>
  <c r="I10757" i="2" s="1"/>
  <c r="I10758" i="2" a="1"/>
  <c r="I10758" i="2" s="1"/>
  <c r="I10759" i="2" a="1"/>
  <c r="I10759" i="2" s="1"/>
  <c r="I10760" i="2" a="1"/>
  <c r="I10760" i="2" s="1"/>
  <c r="I10761" i="2" a="1"/>
  <c r="I10761" i="2" s="1"/>
  <c r="I10762" i="2" a="1"/>
  <c r="I10762" i="2" s="1"/>
  <c r="I10763" i="2" a="1"/>
  <c r="I10763" i="2" s="1"/>
  <c r="I10764" i="2" a="1"/>
  <c r="I10764" i="2" s="1"/>
  <c r="I10765" i="2" a="1"/>
  <c r="I10765" i="2" s="1"/>
  <c r="I10766" i="2" a="1"/>
  <c r="I10766" i="2" s="1"/>
  <c r="I10767" i="2" a="1"/>
  <c r="I10767" i="2" s="1"/>
  <c r="I10768" i="2" a="1"/>
  <c r="I10768" i="2" s="1"/>
  <c r="I10769" i="2" a="1"/>
  <c r="I10769" i="2" s="1"/>
  <c r="I10770" i="2" a="1"/>
  <c r="I10770" i="2" s="1"/>
  <c r="I10771" i="2" a="1"/>
  <c r="I10771" i="2" s="1"/>
  <c r="I10772" i="2" a="1"/>
  <c r="I10772" i="2" s="1"/>
  <c r="I10773" i="2" a="1"/>
  <c r="I10773" i="2" s="1"/>
  <c r="I10774" i="2" a="1"/>
  <c r="I10774" i="2" s="1"/>
  <c r="I10775" i="2" a="1"/>
  <c r="I10775" i="2" s="1"/>
  <c r="I10776" i="2" a="1"/>
  <c r="I10776" i="2" s="1"/>
  <c r="I10777" i="2" a="1"/>
  <c r="I10777" i="2" s="1"/>
  <c r="I10778" i="2" a="1"/>
  <c r="I10778" i="2" s="1"/>
  <c r="I10779" i="2" a="1"/>
  <c r="I10779" i="2" s="1"/>
  <c r="I10780" i="2" a="1"/>
  <c r="I10780" i="2" s="1"/>
  <c r="I10781" i="2" a="1"/>
  <c r="I10781" i="2" s="1"/>
  <c r="I10782" i="2" a="1"/>
  <c r="I10782" i="2" s="1"/>
  <c r="I10783" i="2" a="1"/>
  <c r="I10783" i="2" s="1"/>
  <c r="I10784" i="2" a="1"/>
  <c r="I10784" i="2" s="1"/>
  <c r="I10785" i="2" a="1"/>
  <c r="I10785" i="2" s="1"/>
  <c r="I10786" i="2" a="1"/>
  <c r="I10786" i="2" s="1"/>
  <c r="I10787" i="2" a="1"/>
  <c r="I10787" i="2" s="1"/>
  <c r="I10788" i="2" a="1"/>
  <c r="I10788" i="2" s="1"/>
  <c r="I10789" i="2" a="1"/>
  <c r="I10789" i="2" s="1"/>
  <c r="I10790" i="2" a="1"/>
  <c r="I10790" i="2" s="1"/>
  <c r="I10791" i="2" a="1"/>
  <c r="I10791" i="2" s="1"/>
  <c r="I10792" i="2" a="1"/>
  <c r="I10792" i="2" s="1"/>
  <c r="I10793" i="2" a="1"/>
  <c r="I10793" i="2" s="1"/>
  <c r="I10794" i="2" a="1"/>
  <c r="I10794" i="2" s="1"/>
  <c r="I10795" i="2" a="1"/>
  <c r="I10795" i="2" s="1"/>
  <c r="I10796" i="2" a="1"/>
  <c r="I10796" i="2" s="1"/>
  <c r="I10797" i="2" a="1"/>
  <c r="I10797" i="2" s="1"/>
  <c r="I10798" i="2" a="1"/>
  <c r="I10798" i="2" s="1"/>
  <c r="I10799" i="2" a="1"/>
  <c r="I10799" i="2" s="1"/>
  <c r="I10800" i="2" a="1"/>
  <c r="I10800" i="2" s="1"/>
  <c r="I10801" i="2" a="1"/>
  <c r="I10801" i="2" s="1"/>
  <c r="I10802" i="2" a="1"/>
  <c r="I10802" i="2" s="1"/>
  <c r="I10803" i="2" a="1"/>
  <c r="I10803" i="2" s="1"/>
  <c r="I10804" i="2" a="1"/>
  <c r="I10804" i="2" s="1"/>
  <c r="I10805" i="2" a="1"/>
  <c r="I10805" i="2" s="1"/>
  <c r="I10806" i="2" a="1"/>
  <c r="I10806" i="2" s="1"/>
  <c r="I10807" i="2" a="1"/>
  <c r="I10807" i="2" s="1"/>
  <c r="I10808" i="2" a="1"/>
  <c r="I10808" i="2" s="1"/>
  <c r="I10809" i="2" a="1"/>
  <c r="I10809" i="2" s="1"/>
  <c r="I10810" i="2" a="1"/>
  <c r="I10810" i="2" s="1"/>
  <c r="I10811" i="2" a="1"/>
  <c r="I10811" i="2" s="1"/>
  <c r="I10812" i="2" a="1"/>
  <c r="I10812" i="2" s="1"/>
  <c r="I10813" i="2" a="1"/>
  <c r="I10813" i="2" s="1"/>
  <c r="I10814" i="2" a="1"/>
  <c r="I10814" i="2" s="1"/>
  <c r="I10815" i="2" a="1"/>
  <c r="I10815" i="2" s="1"/>
  <c r="I10816" i="2" a="1"/>
  <c r="I10816" i="2" s="1"/>
  <c r="I10817" i="2" a="1"/>
  <c r="I10817" i="2" s="1"/>
  <c r="I10818" i="2" a="1"/>
  <c r="I10818" i="2" s="1"/>
  <c r="I10819" i="2" a="1"/>
  <c r="I10819" i="2" s="1"/>
  <c r="I10820" i="2" a="1"/>
  <c r="I10820" i="2" s="1"/>
  <c r="I10821" i="2" a="1"/>
  <c r="I10821" i="2" s="1"/>
  <c r="I10822" i="2" a="1"/>
  <c r="I10822" i="2" s="1"/>
  <c r="I10823" i="2" a="1"/>
  <c r="I10823" i="2" s="1"/>
  <c r="I10824" i="2" a="1"/>
  <c r="I10824" i="2" s="1"/>
  <c r="I10825" i="2" a="1"/>
  <c r="I10825" i="2" s="1"/>
  <c r="I10826" i="2" a="1"/>
  <c r="I10826" i="2" s="1"/>
  <c r="I10827" i="2" a="1"/>
  <c r="I10827" i="2" s="1"/>
  <c r="I10828" i="2" a="1"/>
  <c r="I10828" i="2" s="1"/>
  <c r="I10829" i="2" a="1"/>
  <c r="I10829" i="2" s="1"/>
  <c r="I10830" i="2" a="1"/>
  <c r="I10830" i="2" s="1"/>
  <c r="I10831" i="2" a="1"/>
  <c r="I10831" i="2" s="1"/>
  <c r="I10832" i="2" a="1"/>
  <c r="I10832" i="2" s="1"/>
  <c r="I10833" i="2" a="1"/>
  <c r="I10833" i="2" s="1"/>
  <c r="I10834" i="2" a="1"/>
  <c r="I10834" i="2" s="1"/>
  <c r="I10835" i="2" a="1"/>
  <c r="I10835" i="2" s="1"/>
  <c r="I10836" i="2" a="1"/>
  <c r="I10836" i="2" s="1"/>
  <c r="I10837" i="2" a="1"/>
  <c r="I10837" i="2" s="1"/>
  <c r="I10838" i="2" a="1"/>
  <c r="I10838" i="2" s="1"/>
  <c r="I10839" i="2" a="1"/>
  <c r="I10839" i="2" s="1"/>
  <c r="I10840" i="2" a="1"/>
  <c r="I10840" i="2" s="1"/>
  <c r="I10841" i="2" a="1"/>
  <c r="I10841" i="2" s="1"/>
  <c r="I10842" i="2" a="1"/>
  <c r="I10842" i="2" s="1"/>
  <c r="I10843" i="2" a="1"/>
  <c r="I10843" i="2" s="1"/>
  <c r="I10844" i="2" a="1"/>
  <c r="I10844" i="2" s="1"/>
  <c r="I10845" i="2" a="1"/>
  <c r="I10845" i="2" s="1"/>
  <c r="I10846" i="2" a="1"/>
  <c r="I10846" i="2" s="1"/>
  <c r="I10847" i="2" a="1"/>
  <c r="I10847" i="2" s="1"/>
  <c r="I10848" i="2" a="1"/>
  <c r="I10848" i="2" s="1"/>
  <c r="I10849" i="2" a="1"/>
  <c r="I10849" i="2" s="1"/>
  <c r="I10850" i="2" a="1"/>
  <c r="I10850" i="2" s="1"/>
  <c r="I10851" i="2" a="1"/>
  <c r="I10851" i="2" s="1"/>
  <c r="I10852" i="2" a="1"/>
  <c r="I10852" i="2" s="1"/>
  <c r="I10853" i="2" a="1"/>
  <c r="I10853" i="2" s="1"/>
  <c r="I10854" i="2" a="1"/>
  <c r="I10854" i="2" s="1"/>
  <c r="I10855" i="2" a="1"/>
  <c r="I10855" i="2" s="1"/>
  <c r="I10856" i="2" a="1"/>
  <c r="I10856" i="2" s="1"/>
  <c r="I10857" i="2" a="1"/>
  <c r="I10857" i="2" s="1"/>
  <c r="I10858" i="2" a="1"/>
  <c r="I10858" i="2" s="1"/>
  <c r="I10859" i="2" a="1"/>
  <c r="I10859" i="2" s="1"/>
  <c r="I10860" i="2" a="1"/>
  <c r="I10860" i="2" s="1"/>
  <c r="I10861" i="2" a="1"/>
  <c r="I10861" i="2" s="1"/>
  <c r="I10862" i="2" a="1"/>
  <c r="I10862" i="2" s="1"/>
  <c r="I10863" i="2" a="1"/>
  <c r="I10863" i="2" s="1"/>
  <c r="I10864" i="2" a="1"/>
  <c r="I10864" i="2" s="1"/>
  <c r="I10865" i="2" a="1"/>
  <c r="I10865" i="2" s="1"/>
  <c r="I10866" i="2" a="1"/>
  <c r="I10866" i="2" s="1"/>
  <c r="I10867" i="2" a="1"/>
  <c r="I10867" i="2" s="1"/>
  <c r="I10868" i="2" a="1"/>
  <c r="I10868" i="2" s="1"/>
  <c r="I10869" i="2" a="1"/>
  <c r="I10869" i="2" s="1"/>
  <c r="I10870" i="2" a="1"/>
  <c r="I10870" i="2" s="1"/>
  <c r="I10871" i="2" a="1"/>
  <c r="I10871" i="2" s="1"/>
  <c r="I10872" i="2" a="1"/>
  <c r="I10872" i="2" s="1"/>
  <c r="I10873" i="2" a="1"/>
  <c r="I10873" i="2" s="1"/>
  <c r="I10874" i="2" a="1"/>
  <c r="I10874" i="2" s="1"/>
  <c r="I10875" i="2" a="1"/>
  <c r="I10875" i="2" s="1"/>
  <c r="I10876" i="2" a="1"/>
  <c r="I10876" i="2" s="1"/>
  <c r="I10877" i="2" a="1"/>
  <c r="I10877" i="2" s="1"/>
  <c r="I10878" i="2" a="1"/>
  <c r="I10878" i="2" s="1"/>
  <c r="I10879" i="2" a="1"/>
  <c r="I10879" i="2" s="1"/>
  <c r="I10880" i="2" a="1"/>
  <c r="I10880" i="2" s="1"/>
  <c r="I10881" i="2" a="1"/>
  <c r="I10881" i="2" s="1"/>
  <c r="I10882" i="2" a="1"/>
  <c r="I10882" i="2" s="1"/>
  <c r="I10883" i="2" a="1"/>
  <c r="I10883" i="2" s="1"/>
  <c r="I10884" i="2" a="1"/>
  <c r="I10884" i="2" s="1"/>
  <c r="I10885" i="2" a="1"/>
  <c r="I10885" i="2" s="1"/>
  <c r="I10886" i="2" a="1"/>
  <c r="I10886" i="2" s="1"/>
  <c r="I10887" i="2" a="1"/>
  <c r="I10887" i="2" s="1"/>
  <c r="I10888" i="2" a="1"/>
  <c r="I10888" i="2" s="1"/>
  <c r="I10889" i="2" a="1"/>
  <c r="I10889" i="2" s="1"/>
  <c r="I10890" i="2" a="1"/>
  <c r="I10890" i="2" s="1"/>
  <c r="I10891" i="2" a="1"/>
  <c r="I10891" i="2" s="1"/>
  <c r="I10892" i="2" a="1"/>
  <c r="I10892" i="2" s="1"/>
  <c r="I10893" i="2" a="1"/>
  <c r="I10893" i="2" s="1"/>
  <c r="I10894" i="2" a="1"/>
  <c r="I10894" i="2" s="1"/>
  <c r="I10895" i="2" a="1"/>
  <c r="I10895" i="2" s="1"/>
  <c r="I10896" i="2" a="1"/>
  <c r="I10896" i="2" s="1"/>
  <c r="I10897" i="2" a="1"/>
  <c r="I10897" i="2" s="1"/>
  <c r="I10898" i="2" a="1"/>
  <c r="I10898" i="2" s="1"/>
  <c r="I10899" i="2" a="1"/>
  <c r="I10899" i="2" s="1"/>
  <c r="I10900" i="2" a="1"/>
  <c r="I10900" i="2" s="1"/>
  <c r="I10901" i="2" a="1"/>
  <c r="I10901" i="2" s="1"/>
  <c r="I10902" i="2" a="1"/>
  <c r="I10902" i="2" s="1"/>
  <c r="I10903" i="2" a="1"/>
  <c r="I10903" i="2" s="1"/>
  <c r="I10904" i="2" a="1"/>
  <c r="I10904" i="2" s="1"/>
  <c r="I10905" i="2" a="1"/>
  <c r="I10905" i="2" s="1"/>
  <c r="I10906" i="2" a="1"/>
  <c r="I10906" i="2" s="1"/>
  <c r="I10907" i="2" a="1"/>
  <c r="I10907" i="2" s="1"/>
  <c r="I10908" i="2" a="1"/>
  <c r="I10908" i="2" s="1"/>
  <c r="I10909" i="2" a="1"/>
  <c r="I10909" i="2" s="1"/>
  <c r="I10910" i="2" a="1"/>
  <c r="I10910" i="2" s="1"/>
  <c r="I10911" i="2" a="1"/>
  <c r="I10911" i="2" s="1"/>
  <c r="I10912" i="2" a="1"/>
  <c r="I10912" i="2" s="1"/>
  <c r="I10913" i="2" a="1"/>
  <c r="I10913" i="2" s="1"/>
  <c r="I10914" i="2" a="1"/>
  <c r="I10914" i="2" s="1"/>
  <c r="I10915" i="2" a="1"/>
  <c r="I10915" i="2" s="1"/>
  <c r="I10916" i="2" a="1"/>
  <c r="I10916" i="2" s="1"/>
  <c r="I10917" i="2" a="1"/>
  <c r="I10917" i="2" s="1"/>
  <c r="I10918" i="2" a="1"/>
  <c r="I10918" i="2" s="1"/>
  <c r="I10919" i="2" a="1"/>
  <c r="I10919" i="2" s="1"/>
  <c r="I10920" i="2" a="1"/>
  <c r="I10920" i="2" s="1"/>
  <c r="I10921" i="2" a="1"/>
  <c r="I10921" i="2" s="1"/>
  <c r="I10922" i="2" a="1"/>
  <c r="I10922" i="2" s="1"/>
  <c r="I10923" i="2" a="1"/>
  <c r="I10923" i="2" s="1"/>
  <c r="I10924" i="2" a="1"/>
  <c r="I10924" i="2" s="1"/>
  <c r="I10925" i="2" a="1"/>
  <c r="I10925" i="2" s="1"/>
  <c r="I10926" i="2" a="1"/>
  <c r="I10926" i="2" s="1"/>
  <c r="I10927" i="2" a="1"/>
  <c r="I10927" i="2" s="1"/>
  <c r="I10928" i="2" a="1"/>
  <c r="I10928" i="2" s="1"/>
  <c r="I10929" i="2" a="1"/>
  <c r="I10929" i="2" s="1"/>
  <c r="I10930" i="2" a="1"/>
  <c r="I10930" i="2" s="1"/>
  <c r="I10931" i="2" a="1"/>
  <c r="I10931" i="2" s="1"/>
  <c r="I10932" i="2" a="1"/>
  <c r="I10932" i="2" s="1"/>
  <c r="I10933" i="2" a="1"/>
  <c r="I10933" i="2" s="1"/>
  <c r="I10934" i="2" a="1"/>
  <c r="I10934" i="2" s="1"/>
  <c r="I10935" i="2" a="1"/>
  <c r="I10935" i="2" s="1"/>
  <c r="I10936" i="2" a="1"/>
  <c r="I10936" i="2" s="1"/>
  <c r="I10937" i="2" a="1"/>
  <c r="I10937" i="2" s="1"/>
  <c r="I10938" i="2" a="1"/>
  <c r="I10938" i="2" s="1"/>
  <c r="I10939" i="2" a="1"/>
  <c r="I10939" i="2" s="1"/>
  <c r="I10940" i="2" a="1"/>
  <c r="I10940" i="2" s="1"/>
  <c r="I10941" i="2" a="1"/>
  <c r="I10941" i="2" s="1"/>
  <c r="I10942" i="2" a="1"/>
  <c r="I10942" i="2" s="1"/>
  <c r="I10943" i="2" a="1"/>
  <c r="I10943" i="2" s="1"/>
  <c r="I10944" i="2" a="1"/>
  <c r="I10944" i="2" s="1"/>
  <c r="I10945" i="2" a="1"/>
  <c r="I10945" i="2" s="1"/>
  <c r="I10946" i="2" a="1"/>
  <c r="I10946" i="2" s="1"/>
  <c r="I10947" i="2" a="1"/>
  <c r="I10947" i="2" s="1"/>
  <c r="I10948" i="2" a="1"/>
  <c r="I10948" i="2" s="1"/>
  <c r="I10949" i="2" a="1"/>
  <c r="I10949" i="2" s="1"/>
  <c r="I10950" i="2" a="1"/>
  <c r="I10950" i="2" s="1"/>
  <c r="I10951" i="2" a="1"/>
  <c r="I10951" i="2" s="1"/>
  <c r="I10952" i="2" a="1"/>
  <c r="I10952" i="2" s="1"/>
  <c r="I10953" i="2" a="1"/>
  <c r="I10953" i="2" s="1"/>
  <c r="I10954" i="2" a="1"/>
  <c r="I10954" i="2" s="1"/>
  <c r="I10955" i="2" a="1"/>
  <c r="I10955" i="2" s="1"/>
  <c r="I10956" i="2" a="1"/>
  <c r="I10956" i="2" s="1"/>
  <c r="I10957" i="2" a="1"/>
  <c r="I10957" i="2" s="1"/>
  <c r="I10958" i="2" a="1"/>
  <c r="I10958" i="2" s="1"/>
  <c r="I10959" i="2" a="1"/>
  <c r="I10959" i="2" s="1"/>
  <c r="I10960" i="2" a="1"/>
  <c r="I10960" i="2" s="1"/>
  <c r="I10961" i="2" a="1"/>
  <c r="I10961" i="2" s="1"/>
  <c r="I10962" i="2" a="1"/>
  <c r="I10962" i="2" s="1"/>
  <c r="I10963" i="2" a="1"/>
  <c r="I10963" i="2" s="1"/>
  <c r="I10964" i="2" a="1"/>
  <c r="I10964" i="2" s="1"/>
  <c r="I10965" i="2" a="1"/>
  <c r="I10965" i="2" s="1"/>
  <c r="I10966" i="2" a="1"/>
  <c r="I10966" i="2" s="1"/>
  <c r="I10967" i="2" a="1"/>
  <c r="I10967" i="2" s="1"/>
  <c r="I10968" i="2" a="1"/>
  <c r="I10968" i="2" s="1"/>
  <c r="I10969" i="2" a="1"/>
  <c r="I10969" i="2" s="1"/>
  <c r="I10970" i="2" a="1"/>
  <c r="I10970" i="2" s="1"/>
  <c r="I10971" i="2" a="1"/>
  <c r="I10971" i="2" s="1"/>
  <c r="I10972" i="2" a="1"/>
  <c r="I10972" i="2" s="1"/>
  <c r="I10973" i="2" a="1"/>
  <c r="I10973" i="2" s="1"/>
  <c r="I10974" i="2" a="1"/>
  <c r="I10974" i="2" s="1"/>
  <c r="I10975" i="2" a="1"/>
  <c r="I10975" i="2" s="1"/>
  <c r="I10976" i="2" a="1"/>
  <c r="I10976" i="2" s="1"/>
  <c r="I10977" i="2" a="1"/>
  <c r="I10977" i="2" s="1"/>
  <c r="I10978" i="2" a="1"/>
  <c r="I10978" i="2" s="1"/>
  <c r="I10979" i="2" a="1"/>
  <c r="I10979" i="2" s="1"/>
  <c r="I10980" i="2" a="1"/>
  <c r="I10980" i="2" s="1"/>
  <c r="I10981" i="2" a="1"/>
  <c r="I10981" i="2" s="1"/>
  <c r="I10982" i="2" a="1"/>
  <c r="I10982" i="2" s="1"/>
  <c r="I10983" i="2" a="1"/>
  <c r="I10983" i="2" s="1"/>
  <c r="I10984" i="2" a="1"/>
  <c r="I10984" i="2" s="1"/>
  <c r="I10985" i="2" a="1"/>
  <c r="I10985" i="2" s="1"/>
  <c r="I10986" i="2" a="1"/>
  <c r="I10986" i="2" s="1"/>
  <c r="I10987" i="2" a="1"/>
  <c r="I10987" i="2" s="1"/>
  <c r="I10988" i="2" a="1"/>
  <c r="I10988" i="2" s="1"/>
  <c r="I10989" i="2" a="1"/>
  <c r="I10989" i="2" s="1"/>
  <c r="I10990" i="2" a="1"/>
  <c r="I10990" i="2" s="1"/>
  <c r="I10991" i="2" a="1"/>
  <c r="I10991" i="2" s="1"/>
  <c r="I10992" i="2" a="1"/>
  <c r="I10992" i="2" s="1"/>
  <c r="I10993" i="2" a="1"/>
  <c r="I10993" i="2" s="1"/>
  <c r="I10994" i="2" a="1"/>
  <c r="I10994" i="2" s="1"/>
  <c r="I10995" i="2" a="1"/>
  <c r="I10995" i="2" s="1"/>
  <c r="I10996" i="2" a="1"/>
  <c r="I10996" i="2" s="1"/>
  <c r="I10997" i="2" a="1"/>
  <c r="I10997" i="2" s="1"/>
  <c r="I10998" i="2" a="1"/>
  <c r="I10998" i="2" s="1"/>
  <c r="I10999" i="2" a="1"/>
  <c r="I10999" i="2" s="1"/>
  <c r="I11000" i="2" a="1"/>
  <c r="I11000" i="2" s="1"/>
  <c r="I11001" i="2" a="1"/>
  <c r="I11001" i="2" s="1"/>
  <c r="I11002" i="2" a="1"/>
  <c r="I11002" i="2" s="1"/>
  <c r="I11003" i="2" a="1"/>
  <c r="I11003" i="2" s="1"/>
  <c r="I11004" i="2" a="1"/>
  <c r="I11004" i="2" s="1"/>
  <c r="I11005" i="2" a="1"/>
  <c r="I11005" i="2" s="1"/>
  <c r="I11006" i="2" a="1"/>
  <c r="I11006" i="2" s="1"/>
  <c r="I11007" i="2" a="1"/>
  <c r="I11007" i="2" s="1"/>
  <c r="I11008" i="2" a="1"/>
  <c r="I11008" i="2" s="1"/>
  <c r="I11009" i="2" a="1"/>
  <c r="I11009" i="2" s="1"/>
  <c r="I11010" i="2" a="1"/>
  <c r="I11010" i="2" s="1"/>
  <c r="I11011" i="2" a="1"/>
  <c r="I11011" i="2" s="1"/>
  <c r="I11012" i="2" a="1"/>
  <c r="I11012" i="2" s="1"/>
  <c r="I11013" i="2" a="1"/>
  <c r="I11013" i="2" s="1"/>
  <c r="I11014" i="2" a="1"/>
  <c r="I11014" i="2" s="1"/>
  <c r="I11015" i="2" a="1"/>
  <c r="I11015" i="2" s="1"/>
  <c r="I11016" i="2" a="1"/>
  <c r="I11016" i="2" s="1"/>
  <c r="I11017" i="2" a="1"/>
  <c r="I11017" i="2" s="1"/>
  <c r="I11018" i="2" a="1"/>
  <c r="I11018" i="2" s="1"/>
  <c r="I11019" i="2" a="1"/>
  <c r="I11019" i="2" s="1"/>
  <c r="I11020" i="2" a="1"/>
  <c r="I11020" i="2" s="1"/>
  <c r="I11021" i="2" a="1"/>
  <c r="I11021" i="2" s="1"/>
  <c r="I11022" i="2" a="1"/>
  <c r="I11022" i="2" s="1"/>
  <c r="I11023" i="2" a="1"/>
  <c r="I11023" i="2" s="1"/>
  <c r="I11024" i="2" a="1"/>
  <c r="I11024" i="2" s="1"/>
  <c r="I11025" i="2" a="1"/>
  <c r="I11025" i="2" s="1"/>
  <c r="I11026" i="2" a="1"/>
  <c r="I11026" i="2" s="1"/>
  <c r="I11027" i="2" a="1"/>
  <c r="I11027" i="2" s="1"/>
  <c r="I11028" i="2" a="1"/>
  <c r="I11028" i="2" s="1"/>
  <c r="I11029" i="2" a="1"/>
  <c r="I11029" i="2" s="1"/>
  <c r="I11030" i="2" a="1"/>
  <c r="I11030" i="2" s="1"/>
  <c r="I11031" i="2" a="1"/>
  <c r="I11031" i="2" s="1"/>
  <c r="I11032" i="2" a="1"/>
  <c r="I11032" i="2" s="1"/>
  <c r="I11033" i="2" a="1"/>
  <c r="I11033" i="2" s="1"/>
  <c r="I11034" i="2" a="1"/>
  <c r="I11034" i="2" s="1"/>
  <c r="I11035" i="2" a="1"/>
  <c r="I11035" i="2" s="1"/>
  <c r="I11036" i="2" a="1"/>
  <c r="I11036" i="2" s="1"/>
  <c r="I11037" i="2" a="1"/>
  <c r="I11037" i="2" s="1"/>
  <c r="I11038" i="2" a="1"/>
  <c r="I11038" i="2" s="1"/>
  <c r="I11039" i="2" a="1"/>
  <c r="I11039" i="2" s="1"/>
  <c r="I11040" i="2" a="1"/>
  <c r="I11040" i="2" s="1"/>
  <c r="I11041" i="2" a="1"/>
  <c r="I11041" i="2" s="1"/>
  <c r="I11042" i="2" a="1"/>
  <c r="I11042" i="2" s="1"/>
  <c r="I11043" i="2" a="1"/>
  <c r="I11043" i="2" s="1"/>
  <c r="I11044" i="2" a="1"/>
  <c r="I11044" i="2" s="1"/>
  <c r="I11045" i="2" a="1"/>
  <c r="I11045" i="2" s="1"/>
  <c r="I11046" i="2" a="1"/>
  <c r="I11046" i="2" s="1"/>
  <c r="I11047" i="2" a="1"/>
  <c r="I11047" i="2" s="1"/>
  <c r="I11048" i="2" a="1"/>
  <c r="I11048" i="2" s="1"/>
  <c r="I11049" i="2" a="1"/>
  <c r="I11049" i="2" s="1"/>
  <c r="I11050" i="2" a="1"/>
  <c r="I11050" i="2" s="1"/>
  <c r="I11051" i="2" a="1"/>
  <c r="I11051" i="2" s="1"/>
  <c r="I11052" i="2" a="1"/>
  <c r="I11052" i="2" s="1"/>
  <c r="I11053" i="2" a="1"/>
  <c r="I11053" i="2" s="1"/>
  <c r="I11054" i="2" a="1"/>
  <c r="I11054" i="2" s="1"/>
  <c r="I11055" i="2" a="1"/>
  <c r="I11055" i="2" s="1"/>
  <c r="I11056" i="2" a="1"/>
  <c r="I11056" i="2" s="1"/>
  <c r="I11057" i="2" a="1"/>
  <c r="I11057" i="2" s="1"/>
  <c r="I11058" i="2" a="1"/>
  <c r="I11058" i="2" s="1"/>
  <c r="I11059" i="2" a="1"/>
  <c r="I11059" i="2" s="1"/>
  <c r="I11060" i="2" a="1"/>
  <c r="I11060" i="2" s="1"/>
  <c r="I11061" i="2" a="1"/>
  <c r="I11061" i="2" s="1"/>
  <c r="I11062" i="2" a="1"/>
  <c r="I11062" i="2" s="1"/>
  <c r="I11063" i="2" a="1"/>
  <c r="I11063" i="2" s="1"/>
  <c r="I11064" i="2" a="1"/>
  <c r="I11064" i="2" s="1"/>
  <c r="I11065" i="2" a="1"/>
  <c r="I11065" i="2" s="1"/>
  <c r="I11066" i="2" a="1"/>
  <c r="I11066" i="2" s="1"/>
  <c r="I11067" i="2" a="1"/>
  <c r="I11067" i="2" s="1"/>
  <c r="I11068" i="2" a="1"/>
  <c r="I11068" i="2" s="1"/>
  <c r="I11069" i="2" a="1"/>
  <c r="I11069" i="2" s="1"/>
  <c r="I11070" i="2" a="1"/>
  <c r="I11070" i="2" s="1"/>
  <c r="I11071" i="2" a="1"/>
  <c r="I11071" i="2" s="1"/>
  <c r="I11072" i="2" a="1"/>
  <c r="I11072" i="2" s="1"/>
  <c r="I11073" i="2" a="1"/>
  <c r="I11073" i="2" s="1"/>
  <c r="I11074" i="2" a="1"/>
  <c r="I11074" i="2" s="1"/>
  <c r="I11075" i="2" a="1"/>
  <c r="I11075" i="2" s="1"/>
  <c r="I11076" i="2" a="1"/>
  <c r="I11076" i="2" s="1"/>
  <c r="I11077" i="2" a="1"/>
  <c r="I11077" i="2" s="1"/>
  <c r="I11078" i="2" a="1"/>
  <c r="I11078" i="2" s="1"/>
  <c r="I11079" i="2" a="1"/>
  <c r="I11079" i="2" s="1"/>
  <c r="I11080" i="2" a="1"/>
  <c r="I11080" i="2" s="1"/>
  <c r="I11081" i="2" a="1"/>
  <c r="I11081" i="2" s="1"/>
  <c r="I11082" i="2" a="1"/>
  <c r="I11082" i="2" s="1"/>
  <c r="I11083" i="2" a="1"/>
  <c r="I11083" i="2" s="1"/>
  <c r="I11084" i="2" a="1"/>
  <c r="I11084" i="2" s="1"/>
  <c r="I11085" i="2" a="1"/>
  <c r="I11085" i="2" s="1"/>
  <c r="I11086" i="2" a="1"/>
  <c r="I11086" i="2" s="1"/>
  <c r="I11087" i="2" a="1"/>
  <c r="I11087" i="2" s="1"/>
  <c r="I11088" i="2" a="1"/>
  <c r="I11088" i="2" s="1"/>
  <c r="I11089" i="2" a="1"/>
  <c r="I11089" i="2" s="1"/>
  <c r="I11090" i="2" a="1"/>
  <c r="I11090" i="2" s="1"/>
  <c r="I11091" i="2" a="1"/>
  <c r="I11091" i="2" s="1"/>
  <c r="I11092" i="2" a="1"/>
  <c r="I11092" i="2" s="1"/>
  <c r="I11093" i="2" a="1"/>
  <c r="I11093" i="2" s="1"/>
  <c r="I11094" i="2" a="1"/>
  <c r="I11094" i="2" s="1"/>
  <c r="I11095" i="2" a="1"/>
  <c r="I11095" i="2" s="1"/>
  <c r="I11096" i="2" a="1"/>
  <c r="I11096" i="2" s="1"/>
  <c r="I11097" i="2" a="1"/>
  <c r="I11097" i="2" s="1"/>
  <c r="I11098" i="2" a="1"/>
  <c r="I11098" i="2" s="1"/>
  <c r="I11099" i="2" a="1"/>
  <c r="I11099" i="2" s="1"/>
  <c r="I11100" i="2" a="1"/>
  <c r="I11100" i="2" s="1"/>
  <c r="I11101" i="2" a="1"/>
  <c r="I11101" i="2" s="1"/>
  <c r="I11102" i="2" a="1"/>
  <c r="I11102" i="2" s="1"/>
  <c r="I11103" i="2" a="1"/>
  <c r="I11103" i="2" s="1"/>
  <c r="I11104" i="2" a="1"/>
  <c r="I11104" i="2" s="1"/>
  <c r="I11105" i="2" a="1"/>
  <c r="I11105" i="2" s="1"/>
  <c r="I11106" i="2" a="1"/>
  <c r="I11106" i="2" s="1"/>
  <c r="I11107" i="2" a="1"/>
  <c r="I11107" i="2" s="1"/>
  <c r="I11108" i="2" a="1"/>
  <c r="I11108" i="2" s="1"/>
  <c r="I11109" i="2" a="1"/>
  <c r="I11109" i="2" s="1"/>
  <c r="I11110" i="2" a="1"/>
  <c r="I11110" i="2" s="1"/>
  <c r="I11111" i="2" a="1"/>
  <c r="I11111" i="2" s="1"/>
  <c r="I11112" i="2" a="1"/>
  <c r="I11112" i="2" s="1"/>
  <c r="I11113" i="2" a="1"/>
  <c r="I11113" i="2" s="1"/>
  <c r="I11114" i="2" a="1"/>
  <c r="I11114" i="2" s="1"/>
  <c r="I11115" i="2" a="1"/>
  <c r="I11115" i="2" s="1"/>
  <c r="I11116" i="2" a="1"/>
  <c r="I11116" i="2" s="1"/>
  <c r="I11117" i="2" a="1"/>
  <c r="I11117" i="2" s="1"/>
  <c r="I11118" i="2" a="1"/>
  <c r="I11118" i="2" s="1"/>
  <c r="I11119" i="2" a="1"/>
  <c r="I11119" i="2" s="1"/>
  <c r="I11120" i="2" a="1"/>
  <c r="I11120" i="2" s="1"/>
  <c r="I11121" i="2" a="1"/>
  <c r="I11121" i="2" s="1"/>
  <c r="I11122" i="2" a="1"/>
  <c r="I11122" i="2" s="1"/>
  <c r="I11123" i="2" a="1"/>
  <c r="I11123" i="2" s="1"/>
  <c r="I11124" i="2" a="1"/>
  <c r="I11124" i="2" s="1"/>
  <c r="I11125" i="2" a="1"/>
  <c r="I11125" i="2" s="1"/>
  <c r="I11126" i="2" a="1"/>
  <c r="I11126" i="2" s="1"/>
  <c r="I11127" i="2" a="1"/>
  <c r="I11127" i="2" s="1"/>
  <c r="I11128" i="2" a="1"/>
  <c r="I11128" i="2" s="1"/>
  <c r="I11129" i="2" a="1"/>
  <c r="I11129" i="2" s="1"/>
  <c r="I11130" i="2" a="1"/>
  <c r="I11130" i="2" s="1"/>
  <c r="I11131" i="2" a="1"/>
  <c r="I11131" i="2" s="1"/>
  <c r="I11132" i="2" a="1"/>
  <c r="I11132" i="2" s="1"/>
  <c r="I11133" i="2" a="1"/>
  <c r="I11133" i="2" s="1"/>
  <c r="I11134" i="2" a="1"/>
  <c r="I11134" i="2" s="1"/>
  <c r="I11135" i="2" a="1"/>
  <c r="I11135" i="2" s="1"/>
  <c r="I11136" i="2" a="1"/>
  <c r="I11136" i="2" s="1"/>
  <c r="I11137" i="2" a="1"/>
  <c r="I11137" i="2" s="1"/>
  <c r="I11138" i="2" a="1"/>
  <c r="I11138" i="2" s="1"/>
  <c r="I11139" i="2" a="1"/>
  <c r="I11139" i="2" s="1"/>
  <c r="I11140" i="2" a="1"/>
  <c r="I11140" i="2" s="1"/>
  <c r="I11141" i="2" a="1"/>
  <c r="I11141" i="2" s="1"/>
  <c r="I11142" i="2" a="1"/>
  <c r="I11142" i="2" s="1"/>
  <c r="I11143" i="2" a="1"/>
  <c r="I11143" i="2" s="1"/>
  <c r="I11144" i="2" a="1"/>
  <c r="I11144" i="2" s="1"/>
  <c r="I11145" i="2" a="1"/>
  <c r="I11145" i="2" s="1"/>
  <c r="I11146" i="2" a="1"/>
  <c r="I11146" i="2" s="1"/>
  <c r="I11147" i="2" a="1"/>
  <c r="I11147" i="2" s="1"/>
  <c r="I11148" i="2" a="1"/>
  <c r="I11148" i="2" s="1"/>
  <c r="I11149" i="2" a="1"/>
  <c r="I11149" i="2" s="1"/>
  <c r="I11150" i="2" a="1"/>
  <c r="I11150" i="2" s="1"/>
  <c r="I11151" i="2" a="1"/>
  <c r="I11151" i="2" s="1"/>
  <c r="I11152" i="2" a="1"/>
  <c r="I11152" i="2" s="1"/>
  <c r="I11153" i="2" a="1"/>
  <c r="I11153" i="2" s="1"/>
  <c r="I11154" i="2" a="1"/>
  <c r="I11154" i="2" s="1"/>
  <c r="I11155" i="2" a="1"/>
  <c r="I11155" i="2" s="1"/>
  <c r="I11156" i="2" a="1"/>
  <c r="I11156" i="2" s="1"/>
  <c r="I11157" i="2" a="1"/>
  <c r="I11157" i="2" s="1"/>
  <c r="I11158" i="2" a="1"/>
  <c r="I11158" i="2" s="1"/>
  <c r="I11159" i="2" a="1"/>
  <c r="I11159" i="2" s="1"/>
  <c r="I11160" i="2" a="1"/>
  <c r="I11160" i="2" s="1"/>
  <c r="I11161" i="2" a="1"/>
  <c r="I11161" i="2" s="1"/>
  <c r="I11162" i="2" a="1"/>
  <c r="I11162" i="2" s="1"/>
  <c r="I11163" i="2" a="1"/>
  <c r="I11163" i="2" s="1"/>
  <c r="I11164" i="2" a="1"/>
  <c r="I11164" i="2" s="1"/>
  <c r="I11165" i="2" a="1"/>
  <c r="I11165" i="2" s="1"/>
  <c r="I11166" i="2" a="1"/>
  <c r="I11166" i="2" s="1"/>
  <c r="I11167" i="2" a="1"/>
  <c r="I11167" i="2" s="1"/>
  <c r="I11168" i="2" a="1"/>
  <c r="I11168" i="2" s="1"/>
  <c r="I11169" i="2" a="1"/>
  <c r="I11169" i="2" s="1"/>
  <c r="I11170" i="2" a="1"/>
  <c r="I11170" i="2" s="1"/>
  <c r="I11171" i="2" a="1"/>
  <c r="I11171" i="2" s="1"/>
  <c r="I11172" i="2" a="1"/>
  <c r="I11172" i="2" s="1"/>
  <c r="I11173" i="2" a="1"/>
  <c r="I11173" i="2" s="1"/>
  <c r="I11174" i="2" a="1"/>
  <c r="I11174" i="2" s="1"/>
  <c r="I11175" i="2" a="1"/>
  <c r="I11175" i="2" s="1"/>
  <c r="I11176" i="2" a="1"/>
  <c r="I11176" i="2" s="1"/>
  <c r="I11177" i="2" a="1"/>
  <c r="I11177" i="2" s="1"/>
  <c r="I11178" i="2" a="1"/>
  <c r="I11178" i="2" s="1"/>
  <c r="I11179" i="2" a="1"/>
  <c r="I11179" i="2" s="1"/>
  <c r="I11180" i="2" a="1"/>
  <c r="I11180" i="2" s="1"/>
  <c r="I11181" i="2" a="1"/>
  <c r="I11181" i="2" s="1"/>
  <c r="I11182" i="2" a="1"/>
  <c r="I11182" i="2" s="1"/>
  <c r="I11183" i="2" a="1"/>
  <c r="I11183" i="2" s="1"/>
  <c r="I11184" i="2" a="1"/>
  <c r="I11184" i="2" s="1"/>
  <c r="I11185" i="2" a="1"/>
  <c r="I11185" i="2" s="1"/>
  <c r="I11186" i="2" a="1"/>
  <c r="I11186" i="2" s="1"/>
  <c r="I11187" i="2" a="1"/>
  <c r="I11187" i="2" s="1"/>
  <c r="I11188" i="2" a="1"/>
  <c r="I11188" i="2" s="1"/>
  <c r="I11189" i="2" a="1"/>
  <c r="I11189" i="2" s="1"/>
  <c r="I11190" i="2" a="1"/>
  <c r="I11190" i="2" s="1"/>
  <c r="I11191" i="2" a="1"/>
  <c r="I11191" i="2" s="1"/>
  <c r="I11192" i="2" a="1"/>
  <c r="I11192" i="2" s="1"/>
  <c r="I11193" i="2" a="1"/>
  <c r="I11193" i="2" s="1"/>
  <c r="I11194" i="2" a="1"/>
  <c r="I11194" i="2" s="1"/>
  <c r="I11195" i="2" a="1"/>
  <c r="I11195" i="2" s="1"/>
  <c r="I11196" i="2" a="1"/>
  <c r="I11196" i="2" s="1"/>
  <c r="I11197" i="2" a="1"/>
  <c r="I11197" i="2" s="1"/>
  <c r="I11198" i="2" a="1"/>
  <c r="I11198" i="2" s="1"/>
  <c r="I11199" i="2" a="1"/>
  <c r="I11199" i="2" s="1"/>
  <c r="I11200" i="2" a="1"/>
  <c r="I11200" i="2" s="1"/>
  <c r="I11201" i="2" a="1"/>
  <c r="I11201" i="2" s="1"/>
  <c r="I11202" i="2" a="1"/>
  <c r="I11202" i="2" s="1"/>
  <c r="I11203" i="2" a="1"/>
  <c r="I11203" i="2" s="1"/>
  <c r="I11204" i="2" a="1"/>
  <c r="I11204" i="2" s="1"/>
  <c r="I11205" i="2" a="1"/>
  <c r="I11205" i="2" s="1"/>
  <c r="I11206" i="2" a="1"/>
  <c r="I11206" i="2" s="1"/>
  <c r="I11207" i="2" a="1"/>
  <c r="I11207" i="2" s="1"/>
  <c r="I11208" i="2" a="1"/>
  <c r="I11208" i="2" s="1"/>
  <c r="I11209" i="2" a="1"/>
  <c r="I11209" i="2" s="1"/>
  <c r="I11210" i="2" a="1"/>
  <c r="I11210" i="2" s="1"/>
  <c r="I11211" i="2" a="1"/>
  <c r="I11211" i="2" s="1"/>
  <c r="I11212" i="2" a="1"/>
  <c r="I11212" i="2" s="1"/>
  <c r="I11213" i="2" a="1"/>
  <c r="I11213" i="2" s="1"/>
  <c r="I11214" i="2" a="1"/>
  <c r="I11214" i="2" s="1"/>
  <c r="I11215" i="2" a="1"/>
  <c r="I11215" i="2" s="1"/>
  <c r="I11216" i="2" a="1"/>
  <c r="I11216" i="2" s="1"/>
  <c r="I11217" i="2" a="1"/>
  <c r="I11217" i="2" s="1"/>
  <c r="I11218" i="2" a="1"/>
  <c r="I11218" i="2" s="1"/>
  <c r="I11219" i="2" a="1"/>
  <c r="I11219" i="2" s="1"/>
  <c r="I11220" i="2" a="1"/>
  <c r="I11220" i="2" s="1"/>
  <c r="I11221" i="2" a="1"/>
  <c r="I11221" i="2" s="1"/>
  <c r="I11222" i="2" a="1"/>
  <c r="I11222" i="2" s="1"/>
  <c r="I11223" i="2" a="1"/>
  <c r="I11223" i="2" s="1"/>
  <c r="I11224" i="2" a="1"/>
  <c r="I11224" i="2" s="1"/>
  <c r="I11225" i="2" a="1"/>
  <c r="I11225" i="2" s="1"/>
  <c r="I11226" i="2" a="1"/>
  <c r="I11226" i="2" s="1"/>
  <c r="I11227" i="2" a="1"/>
  <c r="I11227" i="2" s="1"/>
  <c r="I11228" i="2" a="1"/>
  <c r="I11228" i="2" s="1"/>
  <c r="I11229" i="2" a="1"/>
  <c r="I11229" i="2" s="1"/>
  <c r="I11230" i="2" a="1"/>
  <c r="I11230" i="2" s="1"/>
  <c r="I11231" i="2" a="1"/>
  <c r="I11231" i="2" s="1"/>
  <c r="I11232" i="2" a="1"/>
  <c r="I11232" i="2" s="1"/>
  <c r="I11233" i="2" a="1"/>
  <c r="I11233" i="2" s="1"/>
  <c r="I11234" i="2" a="1"/>
  <c r="I11234" i="2" s="1"/>
  <c r="I11235" i="2" a="1"/>
  <c r="I11235" i="2" s="1"/>
  <c r="I11236" i="2" a="1"/>
  <c r="I11236" i="2" s="1"/>
  <c r="I11237" i="2" a="1"/>
  <c r="I11237" i="2" s="1"/>
  <c r="I11238" i="2" a="1"/>
  <c r="I11238" i="2" s="1"/>
  <c r="I11239" i="2" a="1"/>
  <c r="I11239" i="2" s="1"/>
  <c r="I11240" i="2" a="1"/>
  <c r="I11240" i="2" s="1"/>
  <c r="I11241" i="2" a="1"/>
  <c r="I11241" i="2" s="1"/>
  <c r="I11242" i="2" a="1"/>
  <c r="I11242" i="2" s="1"/>
  <c r="I11243" i="2" a="1"/>
  <c r="I11243" i="2" s="1"/>
  <c r="I11244" i="2" a="1"/>
  <c r="I11244" i="2" s="1"/>
  <c r="I11245" i="2" a="1"/>
  <c r="I11245" i="2" s="1"/>
  <c r="I11246" i="2" a="1"/>
  <c r="I11246" i="2" s="1"/>
  <c r="I11247" i="2" a="1"/>
  <c r="I11247" i="2" s="1"/>
  <c r="I11248" i="2" a="1"/>
  <c r="I11248" i="2" s="1"/>
  <c r="I11249" i="2" a="1"/>
  <c r="I11249" i="2" s="1"/>
  <c r="I11250" i="2" a="1"/>
  <c r="I11250" i="2" s="1"/>
  <c r="I11251" i="2" a="1"/>
  <c r="I11251" i="2" s="1"/>
  <c r="I11252" i="2" a="1"/>
  <c r="I11252" i="2" s="1"/>
  <c r="I11253" i="2" a="1"/>
  <c r="I11253" i="2" s="1"/>
  <c r="I11254" i="2" a="1"/>
  <c r="I11254" i="2" s="1"/>
  <c r="I11255" i="2" a="1"/>
  <c r="I11255" i="2" s="1"/>
  <c r="I11256" i="2" a="1"/>
  <c r="I11256" i="2" s="1"/>
  <c r="I11257" i="2" a="1"/>
  <c r="I11257" i="2" s="1"/>
  <c r="I11258" i="2" a="1"/>
  <c r="I11258" i="2" s="1"/>
  <c r="I11259" i="2" a="1"/>
  <c r="I11259" i="2" s="1"/>
  <c r="I11260" i="2" a="1"/>
  <c r="I11260" i="2" s="1"/>
  <c r="I11261" i="2" a="1"/>
  <c r="I11261" i="2" s="1"/>
  <c r="I11262" i="2" a="1"/>
  <c r="I11262" i="2" s="1"/>
  <c r="I11263" i="2" a="1"/>
  <c r="I11263" i="2" s="1"/>
  <c r="I11264" i="2" a="1"/>
  <c r="I11264" i="2" s="1"/>
  <c r="I11265" i="2" a="1"/>
  <c r="I11265" i="2" s="1"/>
  <c r="I11266" i="2" a="1"/>
  <c r="I11266" i="2" s="1"/>
  <c r="I11267" i="2" a="1"/>
  <c r="I11267" i="2" s="1"/>
  <c r="I11268" i="2" a="1"/>
  <c r="I11268" i="2" s="1"/>
  <c r="I11269" i="2" a="1"/>
  <c r="I11269" i="2" s="1"/>
  <c r="I11270" i="2" a="1"/>
  <c r="I11270" i="2" s="1"/>
  <c r="I11271" i="2" a="1"/>
  <c r="I11271" i="2" s="1"/>
  <c r="I11272" i="2" a="1"/>
  <c r="I11272" i="2" s="1"/>
  <c r="I11273" i="2" a="1"/>
  <c r="I11273" i="2" s="1"/>
  <c r="I11274" i="2" a="1"/>
  <c r="I11274" i="2" s="1"/>
  <c r="I11275" i="2" a="1"/>
  <c r="I11275" i="2" s="1"/>
  <c r="I11276" i="2" a="1"/>
  <c r="I11276" i="2" s="1"/>
  <c r="I11277" i="2" a="1"/>
  <c r="I11277" i="2" s="1"/>
  <c r="I11278" i="2" a="1"/>
  <c r="I11278" i="2" s="1"/>
  <c r="I11279" i="2" a="1"/>
  <c r="I11279" i="2" s="1"/>
  <c r="I11280" i="2" a="1"/>
  <c r="I11280" i="2" s="1"/>
  <c r="I11281" i="2" a="1"/>
  <c r="I11281" i="2" s="1"/>
  <c r="I11282" i="2" a="1"/>
  <c r="I11282" i="2" s="1"/>
  <c r="I11283" i="2" a="1"/>
  <c r="I11283" i="2" s="1"/>
  <c r="I11284" i="2" a="1"/>
  <c r="I11284" i="2" s="1"/>
  <c r="I11285" i="2" a="1"/>
  <c r="I11285" i="2" s="1"/>
  <c r="I11286" i="2" a="1"/>
  <c r="I11286" i="2" s="1"/>
  <c r="I11287" i="2" a="1"/>
  <c r="I11287" i="2" s="1"/>
  <c r="I11288" i="2" a="1"/>
  <c r="I11288" i="2" s="1"/>
  <c r="I11289" i="2" a="1"/>
  <c r="I11289" i="2" s="1"/>
  <c r="I11290" i="2" a="1"/>
  <c r="I11290" i="2" s="1"/>
  <c r="I11291" i="2" a="1"/>
  <c r="I11291" i="2" s="1"/>
  <c r="I11292" i="2" a="1"/>
  <c r="I11292" i="2" s="1"/>
  <c r="I11293" i="2" a="1"/>
  <c r="I11293" i="2" s="1"/>
  <c r="I11294" i="2" a="1"/>
  <c r="I11294" i="2" s="1"/>
  <c r="I11295" i="2" a="1"/>
  <c r="I11295" i="2" s="1"/>
  <c r="I11296" i="2" a="1"/>
  <c r="I11296" i="2" s="1"/>
  <c r="I11297" i="2" a="1"/>
  <c r="I11297" i="2" s="1"/>
  <c r="I11298" i="2" a="1"/>
  <c r="I11298" i="2" s="1"/>
  <c r="I11299" i="2" a="1"/>
  <c r="I11299" i="2" s="1"/>
  <c r="I11300" i="2" a="1"/>
  <c r="I11300" i="2" s="1"/>
  <c r="I11301" i="2" a="1"/>
  <c r="I11301" i="2" s="1"/>
  <c r="I11302" i="2" a="1"/>
  <c r="I11302" i="2" s="1"/>
  <c r="I11303" i="2" a="1"/>
  <c r="I11303" i="2" s="1"/>
  <c r="I11304" i="2" a="1"/>
  <c r="I11304" i="2" s="1"/>
  <c r="I11305" i="2" a="1"/>
  <c r="I11305" i="2" s="1"/>
  <c r="I11306" i="2" a="1"/>
  <c r="I11306" i="2" s="1"/>
  <c r="I11307" i="2" a="1"/>
  <c r="I11307" i="2" s="1"/>
  <c r="I11308" i="2" a="1"/>
  <c r="I11308" i="2" s="1"/>
  <c r="I11309" i="2" a="1"/>
  <c r="I11309" i="2" s="1"/>
  <c r="I11310" i="2" a="1"/>
  <c r="I11310" i="2" s="1"/>
  <c r="I11311" i="2" a="1"/>
  <c r="I11311" i="2" s="1"/>
  <c r="I11312" i="2" a="1"/>
  <c r="I11312" i="2" s="1"/>
  <c r="I11313" i="2" a="1"/>
  <c r="I11313" i="2" s="1"/>
  <c r="I11314" i="2" a="1"/>
  <c r="I11314" i="2" s="1"/>
  <c r="I11315" i="2" a="1"/>
  <c r="I11315" i="2" s="1"/>
  <c r="I11316" i="2" a="1"/>
  <c r="I11316" i="2" s="1"/>
  <c r="I11317" i="2" a="1"/>
  <c r="I11317" i="2" s="1"/>
  <c r="I11318" i="2" a="1"/>
  <c r="I11318" i="2" s="1"/>
  <c r="I11319" i="2" a="1"/>
  <c r="I11319" i="2" s="1"/>
  <c r="I11320" i="2" a="1"/>
  <c r="I11320" i="2" s="1"/>
  <c r="I11321" i="2" a="1"/>
  <c r="I11321" i="2" s="1"/>
  <c r="I11322" i="2" a="1"/>
  <c r="I11322" i="2" s="1"/>
  <c r="I11323" i="2" a="1"/>
  <c r="I11323" i="2" s="1"/>
  <c r="I11324" i="2" a="1"/>
  <c r="I11324" i="2" s="1"/>
  <c r="I11325" i="2" a="1"/>
  <c r="I11325" i="2" s="1"/>
  <c r="I11326" i="2" a="1"/>
  <c r="I11326" i="2" s="1"/>
  <c r="I11327" i="2" a="1"/>
  <c r="I11327" i="2" s="1"/>
  <c r="I11328" i="2" a="1"/>
  <c r="I11328" i="2" s="1"/>
  <c r="I11329" i="2" a="1"/>
  <c r="I11329" i="2" s="1"/>
  <c r="I11330" i="2" a="1"/>
  <c r="I11330" i="2" s="1"/>
  <c r="I11331" i="2" a="1"/>
  <c r="I11331" i="2" s="1"/>
  <c r="I11332" i="2" a="1"/>
  <c r="I11332" i="2" s="1"/>
  <c r="I11333" i="2" a="1"/>
  <c r="I11333" i="2" s="1"/>
  <c r="I11334" i="2" a="1"/>
  <c r="I11334" i="2" s="1"/>
  <c r="I11335" i="2" a="1"/>
  <c r="I11335" i="2" s="1"/>
  <c r="I11336" i="2" a="1"/>
  <c r="I11336" i="2" s="1"/>
  <c r="I11337" i="2" a="1"/>
  <c r="I11337" i="2" s="1"/>
  <c r="I11338" i="2" a="1"/>
  <c r="I11338" i="2" s="1"/>
  <c r="I11339" i="2" a="1"/>
  <c r="I11339" i="2" s="1"/>
  <c r="I11340" i="2" a="1"/>
  <c r="I11340" i="2" s="1"/>
  <c r="I11341" i="2" a="1"/>
  <c r="I11341" i="2" s="1"/>
  <c r="I11342" i="2" a="1"/>
  <c r="I11342" i="2" s="1"/>
  <c r="I11343" i="2" a="1"/>
  <c r="I11343" i="2" s="1"/>
  <c r="I11344" i="2" a="1"/>
  <c r="I11344" i="2" s="1"/>
  <c r="I11345" i="2" a="1"/>
  <c r="I11345" i="2" s="1"/>
  <c r="I11346" i="2" a="1"/>
  <c r="I11346" i="2" s="1"/>
  <c r="I11347" i="2" a="1"/>
  <c r="I11347" i="2" s="1"/>
  <c r="I11348" i="2" a="1"/>
  <c r="I11348" i="2" s="1"/>
  <c r="I11349" i="2" a="1"/>
  <c r="I11349" i="2" s="1"/>
  <c r="I11350" i="2" a="1"/>
  <c r="I11350" i="2" s="1"/>
  <c r="I11351" i="2" a="1"/>
  <c r="I11351" i="2" s="1"/>
  <c r="I11352" i="2" a="1"/>
  <c r="I11352" i="2" s="1"/>
  <c r="I11353" i="2" a="1"/>
  <c r="I11353" i="2" s="1"/>
  <c r="I11354" i="2" a="1"/>
  <c r="I11354" i="2" s="1"/>
  <c r="I11355" i="2" a="1"/>
  <c r="I11355" i="2" s="1"/>
  <c r="I11356" i="2" a="1"/>
  <c r="I11356" i="2" s="1"/>
  <c r="I11357" i="2" a="1"/>
  <c r="I11357" i="2" s="1"/>
  <c r="I11358" i="2" a="1"/>
  <c r="I11358" i="2" s="1"/>
  <c r="I11359" i="2" a="1"/>
  <c r="I11359" i="2" s="1"/>
  <c r="I11360" i="2" a="1"/>
  <c r="I11360" i="2" s="1"/>
  <c r="I11361" i="2" a="1"/>
  <c r="I11361" i="2" s="1"/>
  <c r="I11362" i="2" a="1"/>
  <c r="I11362" i="2" s="1"/>
  <c r="I11363" i="2" a="1"/>
  <c r="I11363" i="2" s="1"/>
  <c r="I11364" i="2" a="1"/>
  <c r="I11364" i="2" s="1"/>
  <c r="I11365" i="2" a="1"/>
  <c r="I11365" i="2" s="1"/>
  <c r="I11366" i="2" a="1"/>
  <c r="I11366" i="2" s="1"/>
  <c r="I11367" i="2" a="1"/>
  <c r="I11367" i="2" s="1"/>
  <c r="I11368" i="2" a="1"/>
  <c r="I11368" i="2" s="1"/>
  <c r="I11369" i="2" a="1"/>
  <c r="I11369" i="2" s="1"/>
  <c r="I11370" i="2" a="1"/>
  <c r="I11370" i="2" s="1"/>
  <c r="I11371" i="2" a="1"/>
  <c r="I11371" i="2" s="1"/>
  <c r="I11372" i="2" a="1"/>
  <c r="I11372" i="2" s="1"/>
  <c r="I11373" i="2" a="1"/>
  <c r="I11373" i="2" s="1"/>
  <c r="I11374" i="2" a="1"/>
  <c r="I11374" i="2" s="1"/>
  <c r="I11375" i="2" a="1"/>
  <c r="I11375" i="2" s="1"/>
  <c r="I11376" i="2" a="1"/>
  <c r="I11376" i="2" s="1"/>
  <c r="I11377" i="2" a="1"/>
  <c r="I11377" i="2" s="1"/>
  <c r="I11378" i="2" a="1"/>
  <c r="I11378" i="2" s="1"/>
  <c r="I11379" i="2" a="1"/>
  <c r="I11379" i="2" s="1"/>
  <c r="I11380" i="2" a="1"/>
  <c r="I11380" i="2" s="1"/>
  <c r="I11381" i="2" a="1"/>
  <c r="I11381" i="2" s="1"/>
  <c r="I11382" i="2" a="1"/>
  <c r="I11382" i="2" s="1"/>
  <c r="I11383" i="2" a="1"/>
  <c r="I11383" i="2" s="1"/>
  <c r="I11384" i="2" a="1"/>
  <c r="I11384" i="2" s="1"/>
  <c r="I11385" i="2" a="1"/>
  <c r="I11385" i="2" s="1"/>
  <c r="I11386" i="2" a="1"/>
  <c r="I11386" i="2" s="1"/>
  <c r="I11387" i="2" a="1"/>
  <c r="I11387" i="2" s="1"/>
  <c r="I11388" i="2" a="1"/>
  <c r="I11388" i="2" s="1"/>
  <c r="I11389" i="2" a="1"/>
  <c r="I11389" i="2" s="1"/>
  <c r="I11390" i="2" a="1"/>
  <c r="I11390" i="2" s="1"/>
  <c r="I11391" i="2" a="1"/>
  <c r="I11391" i="2" s="1"/>
  <c r="I11392" i="2" a="1"/>
  <c r="I11392" i="2" s="1"/>
  <c r="I11393" i="2" a="1"/>
  <c r="I11393" i="2" s="1"/>
  <c r="I11394" i="2" a="1"/>
  <c r="I11394" i="2" s="1"/>
  <c r="I11395" i="2" a="1"/>
  <c r="I11395" i="2" s="1"/>
  <c r="I11396" i="2" a="1"/>
  <c r="I11396" i="2" s="1"/>
  <c r="I11397" i="2" a="1"/>
  <c r="I11397" i="2" s="1"/>
  <c r="I11398" i="2" a="1"/>
  <c r="I11398" i="2" s="1"/>
  <c r="I11399" i="2" a="1"/>
  <c r="I11399" i="2" s="1"/>
  <c r="I11400" i="2" a="1"/>
  <c r="I11400" i="2" s="1"/>
  <c r="I11401" i="2" a="1"/>
  <c r="I11401" i="2" s="1"/>
  <c r="I11402" i="2" a="1"/>
  <c r="I11402" i="2" s="1"/>
  <c r="I11403" i="2" a="1"/>
  <c r="I11403" i="2" s="1"/>
  <c r="I11404" i="2" a="1"/>
  <c r="I11404" i="2" s="1"/>
  <c r="I11405" i="2" a="1"/>
  <c r="I11405" i="2" s="1"/>
  <c r="I11406" i="2" a="1"/>
  <c r="I11406" i="2" s="1"/>
  <c r="I11407" i="2" a="1"/>
  <c r="I11407" i="2" s="1"/>
  <c r="I11408" i="2" a="1"/>
  <c r="I11408" i="2" s="1"/>
  <c r="I11409" i="2" a="1"/>
  <c r="I11409" i="2" s="1"/>
  <c r="I11410" i="2" a="1"/>
  <c r="I11410" i="2" s="1"/>
  <c r="I11411" i="2" a="1"/>
  <c r="I11411" i="2" s="1"/>
  <c r="I11412" i="2" a="1"/>
  <c r="I11412" i="2" s="1"/>
  <c r="I11413" i="2" a="1"/>
  <c r="I11413" i="2" s="1"/>
  <c r="I11414" i="2" a="1"/>
  <c r="I11414" i="2" s="1"/>
  <c r="I11415" i="2" a="1"/>
  <c r="I11415" i="2" s="1"/>
  <c r="I11416" i="2" a="1"/>
  <c r="I11416" i="2" s="1"/>
  <c r="I11417" i="2" a="1"/>
  <c r="I11417" i="2" s="1"/>
  <c r="I11418" i="2" a="1"/>
  <c r="I11418" i="2" s="1"/>
  <c r="I11419" i="2" a="1"/>
  <c r="I11419" i="2" s="1"/>
  <c r="I11420" i="2" a="1"/>
  <c r="I11420" i="2" s="1"/>
  <c r="I11421" i="2" a="1"/>
  <c r="I11421" i="2" s="1"/>
  <c r="I11422" i="2" a="1"/>
  <c r="I11422" i="2" s="1"/>
  <c r="I11423" i="2" a="1"/>
  <c r="I11423" i="2" s="1"/>
  <c r="I11424" i="2" a="1"/>
  <c r="I11424" i="2" s="1"/>
  <c r="I11425" i="2" a="1"/>
  <c r="I11425" i="2" s="1"/>
  <c r="I11426" i="2" a="1"/>
  <c r="I11426" i="2" s="1"/>
  <c r="I11427" i="2" a="1"/>
  <c r="I11427" i="2" s="1"/>
  <c r="I11428" i="2" a="1"/>
  <c r="I11428" i="2" s="1"/>
  <c r="I11429" i="2" a="1"/>
  <c r="I11429" i="2" s="1"/>
  <c r="I11430" i="2" a="1"/>
  <c r="I11430" i="2" s="1"/>
  <c r="I11431" i="2" a="1"/>
  <c r="I11431" i="2" s="1"/>
  <c r="I11432" i="2" a="1"/>
  <c r="I11432" i="2" s="1"/>
  <c r="I11433" i="2" a="1"/>
  <c r="I11433" i="2" s="1"/>
  <c r="I11434" i="2" a="1"/>
  <c r="I11434" i="2" s="1"/>
  <c r="I11435" i="2" a="1"/>
  <c r="I11435" i="2" s="1"/>
  <c r="I11436" i="2" a="1"/>
  <c r="I11436" i="2" s="1"/>
  <c r="I11437" i="2" a="1"/>
  <c r="I11437" i="2" s="1"/>
  <c r="I11438" i="2" a="1"/>
  <c r="I11438" i="2" s="1"/>
  <c r="I11439" i="2" a="1"/>
  <c r="I11439" i="2" s="1"/>
  <c r="I11440" i="2" a="1"/>
  <c r="I11440" i="2" s="1"/>
  <c r="I11441" i="2" a="1"/>
  <c r="I11441" i="2" s="1"/>
  <c r="I11442" i="2" a="1"/>
  <c r="I11442" i="2" s="1"/>
  <c r="I11443" i="2" a="1"/>
  <c r="I11443" i="2" s="1"/>
  <c r="I11444" i="2" a="1"/>
  <c r="I11444" i="2" s="1"/>
  <c r="I11445" i="2" a="1"/>
  <c r="I11445" i="2" s="1"/>
  <c r="I11446" i="2" a="1"/>
  <c r="I11446" i="2" s="1"/>
  <c r="I11447" i="2" a="1"/>
  <c r="I11447" i="2" s="1"/>
  <c r="I11448" i="2" a="1"/>
  <c r="I11448" i="2" s="1"/>
  <c r="I11449" i="2" a="1"/>
  <c r="I11449" i="2" s="1"/>
  <c r="I11450" i="2" a="1"/>
  <c r="I11450" i="2" s="1"/>
  <c r="I11451" i="2" a="1"/>
  <c r="I11451" i="2" s="1"/>
  <c r="I11452" i="2" a="1"/>
  <c r="I11452" i="2" s="1"/>
  <c r="I11453" i="2" a="1"/>
  <c r="I11453" i="2" s="1"/>
  <c r="I11454" i="2" a="1"/>
  <c r="I11454" i="2" s="1"/>
  <c r="I11455" i="2" a="1"/>
  <c r="I11455" i="2" s="1"/>
  <c r="I11456" i="2" a="1"/>
  <c r="I11456" i="2" s="1"/>
  <c r="I11457" i="2" a="1"/>
  <c r="I11457" i="2" s="1"/>
  <c r="I11458" i="2" a="1"/>
  <c r="I11458" i="2" s="1"/>
  <c r="I11459" i="2" a="1"/>
  <c r="I11459" i="2" s="1"/>
  <c r="I11460" i="2" a="1"/>
  <c r="I11460" i="2" s="1"/>
  <c r="I11461" i="2" a="1"/>
  <c r="I11461" i="2" s="1"/>
  <c r="I11462" i="2" a="1"/>
  <c r="I11462" i="2" s="1"/>
  <c r="I11463" i="2" a="1"/>
  <c r="I11463" i="2" s="1"/>
  <c r="I11464" i="2" a="1"/>
  <c r="I11464" i="2" s="1"/>
  <c r="I11465" i="2" a="1"/>
  <c r="I11465" i="2" s="1"/>
  <c r="I11466" i="2" a="1"/>
  <c r="I11466" i="2" s="1"/>
  <c r="I11467" i="2" a="1"/>
  <c r="I11467" i="2" s="1"/>
  <c r="I11468" i="2" a="1"/>
  <c r="I11468" i="2" s="1"/>
  <c r="I11469" i="2" a="1"/>
  <c r="I11469" i="2" s="1"/>
  <c r="I11470" i="2" a="1"/>
  <c r="I11470" i="2" s="1"/>
  <c r="I11471" i="2" a="1"/>
  <c r="I11471" i="2" s="1"/>
  <c r="I11472" i="2" a="1"/>
  <c r="I11472" i="2" s="1"/>
  <c r="I11473" i="2" a="1"/>
  <c r="I11473" i="2" s="1"/>
  <c r="I11474" i="2" a="1"/>
  <c r="I11474" i="2" s="1"/>
  <c r="I11475" i="2" a="1"/>
  <c r="I11475" i="2" s="1"/>
  <c r="I11476" i="2" a="1"/>
  <c r="I11476" i="2" s="1"/>
  <c r="I11477" i="2" a="1"/>
  <c r="I11477" i="2" s="1"/>
  <c r="I11478" i="2" a="1"/>
  <c r="I11478" i="2" s="1"/>
  <c r="I11479" i="2" a="1"/>
  <c r="I11479" i="2" s="1"/>
  <c r="I11480" i="2" a="1"/>
  <c r="I11480" i="2" s="1"/>
  <c r="I11481" i="2" a="1"/>
  <c r="I11481" i="2" s="1"/>
  <c r="I11482" i="2" a="1"/>
  <c r="I11482" i="2" s="1"/>
  <c r="I11483" i="2" a="1"/>
  <c r="I11483" i="2" s="1"/>
  <c r="I11484" i="2" a="1"/>
  <c r="I11484" i="2" s="1"/>
  <c r="I11485" i="2" a="1"/>
  <c r="I11485" i="2" s="1"/>
  <c r="I11486" i="2" a="1"/>
  <c r="I11486" i="2" s="1"/>
  <c r="I11487" i="2" a="1"/>
  <c r="I11487" i="2" s="1"/>
  <c r="I11488" i="2" a="1"/>
  <c r="I11488" i="2" s="1"/>
  <c r="I11489" i="2" a="1"/>
  <c r="I11489" i="2" s="1"/>
  <c r="I11490" i="2" a="1"/>
  <c r="I11490" i="2" s="1"/>
  <c r="I11491" i="2" a="1"/>
  <c r="I11491" i="2" s="1"/>
  <c r="I11492" i="2" a="1"/>
  <c r="I11492" i="2" s="1"/>
  <c r="I11493" i="2" a="1"/>
  <c r="I11493" i="2" s="1"/>
  <c r="I11494" i="2" a="1"/>
  <c r="I11494" i="2" s="1"/>
  <c r="I11495" i="2" a="1"/>
  <c r="I11495" i="2" s="1"/>
  <c r="I11496" i="2" a="1"/>
  <c r="I11496" i="2" s="1"/>
  <c r="I11497" i="2" a="1"/>
  <c r="I11497" i="2" s="1"/>
  <c r="I11498" i="2" a="1"/>
  <c r="I11498" i="2" s="1"/>
  <c r="I11499" i="2" a="1"/>
  <c r="I11499" i="2" s="1"/>
  <c r="I11500" i="2" a="1"/>
  <c r="I11500" i="2" s="1"/>
  <c r="I11501" i="2" a="1"/>
  <c r="I11501" i="2" s="1"/>
  <c r="I11502" i="2" a="1"/>
  <c r="I11502" i="2" s="1"/>
  <c r="I11503" i="2" a="1"/>
  <c r="I11503" i="2" s="1"/>
  <c r="I11504" i="2" a="1"/>
  <c r="I11504" i="2" s="1"/>
  <c r="I11505" i="2" a="1"/>
  <c r="I11505" i="2" s="1"/>
  <c r="I11506" i="2" a="1"/>
  <c r="I11506" i="2" s="1"/>
  <c r="I11507" i="2" a="1"/>
  <c r="I11507" i="2" s="1"/>
  <c r="I11508" i="2" a="1"/>
  <c r="I11508" i="2" s="1"/>
  <c r="I11509" i="2" a="1"/>
  <c r="I11509" i="2" s="1"/>
  <c r="I11510" i="2" a="1"/>
  <c r="I11510" i="2" s="1"/>
  <c r="I11511" i="2" a="1"/>
  <c r="I11511" i="2" s="1"/>
  <c r="I11512" i="2" a="1"/>
  <c r="I11512" i="2" s="1"/>
  <c r="I11513" i="2" a="1"/>
  <c r="I11513" i="2" s="1"/>
  <c r="I11514" i="2" a="1"/>
  <c r="I11514" i="2" s="1"/>
  <c r="I11515" i="2" a="1"/>
  <c r="I11515" i="2" s="1"/>
  <c r="I11516" i="2" a="1"/>
  <c r="I11516" i="2" s="1"/>
  <c r="I11517" i="2" a="1"/>
  <c r="I11517" i="2" s="1"/>
  <c r="I11518" i="2" a="1"/>
  <c r="I11518" i="2" s="1"/>
  <c r="I11519" i="2" a="1"/>
  <c r="I11519" i="2" s="1"/>
  <c r="I11520" i="2" a="1"/>
  <c r="I11520" i="2" s="1"/>
  <c r="I11521" i="2" a="1"/>
  <c r="I11521" i="2" s="1"/>
  <c r="I11522" i="2" a="1"/>
  <c r="I11522" i="2" s="1"/>
  <c r="I11523" i="2" a="1"/>
  <c r="I11523" i="2" s="1"/>
  <c r="I11524" i="2" a="1"/>
  <c r="I11524" i="2" s="1"/>
  <c r="I11525" i="2" a="1"/>
  <c r="I11525" i="2" s="1"/>
  <c r="I11526" i="2" a="1"/>
  <c r="I11526" i="2" s="1"/>
  <c r="I11527" i="2" a="1"/>
  <c r="I11527" i="2" s="1"/>
  <c r="I11528" i="2" a="1"/>
  <c r="I11528" i="2" s="1"/>
  <c r="I11529" i="2" a="1"/>
  <c r="I11529" i="2" s="1"/>
  <c r="I11530" i="2" a="1"/>
  <c r="I11530" i="2" s="1"/>
  <c r="I11531" i="2" a="1"/>
  <c r="I11531" i="2" s="1"/>
  <c r="I11532" i="2" a="1"/>
  <c r="I11532" i="2" s="1"/>
  <c r="I11533" i="2" a="1"/>
  <c r="I11533" i="2" s="1"/>
  <c r="I11534" i="2" a="1"/>
  <c r="I11534" i="2" s="1"/>
  <c r="I11535" i="2" a="1"/>
  <c r="I11535" i="2" s="1"/>
  <c r="I11536" i="2" a="1"/>
  <c r="I11536" i="2" s="1"/>
  <c r="I11537" i="2" a="1"/>
  <c r="I11537" i="2" s="1"/>
  <c r="I11538" i="2" a="1"/>
  <c r="I11538" i="2" s="1"/>
  <c r="I11539" i="2" a="1"/>
  <c r="I11539" i="2" s="1"/>
  <c r="I11540" i="2" a="1"/>
  <c r="I11540" i="2" s="1"/>
  <c r="I11541" i="2" a="1"/>
  <c r="I11541" i="2" s="1"/>
  <c r="I11542" i="2" a="1"/>
  <c r="I11542" i="2" s="1"/>
  <c r="I11543" i="2" a="1"/>
  <c r="I11543" i="2" s="1"/>
  <c r="I11544" i="2" a="1"/>
  <c r="I11544" i="2" s="1"/>
  <c r="I11545" i="2" a="1"/>
  <c r="I11545" i="2" s="1"/>
  <c r="I11546" i="2" a="1"/>
  <c r="I11546" i="2" s="1"/>
  <c r="I11547" i="2" a="1"/>
  <c r="I11547" i="2" s="1"/>
  <c r="I11548" i="2" a="1"/>
  <c r="I11548" i="2" s="1"/>
  <c r="I11549" i="2" a="1"/>
  <c r="I11549" i="2" s="1"/>
  <c r="I11550" i="2" a="1"/>
  <c r="I11550" i="2" s="1"/>
  <c r="I11551" i="2" a="1"/>
  <c r="I11551" i="2" s="1"/>
  <c r="I11552" i="2" a="1"/>
  <c r="I11552" i="2" s="1"/>
  <c r="I11553" i="2" a="1"/>
  <c r="I11553" i="2" s="1"/>
  <c r="I11554" i="2" a="1"/>
  <c r="I11554" i="2" s="1"/>
  <c r="I11555" i="2" a="1"/>
  <c r="I11555" i="2" s="1"/>
  <c r="I11556" i="2" a="1"/>
  <c r="I11556" i="2" s="1"/>
  <c r="I11557" i="2" a="1"/>
  <c r="I11557" i="2" s="1"/>
  <c r="I11558" i="2" a="1"/>
  <c r="I11558" i="2" s="1"/>
  <c r="I11559" i="2" a="1"/>
  <c r="I11559" i="2" s="1"/>
  <c r="I11560" i="2" a="1"/>
  <c r="I11560" i="2" s="1"/>
  <c r="I11561" i="2" a="1"/>
  <c r="I11561" i="2" s="1"/>
  <c r="I11562" i="2" a="1"/>
  <c r="I11562" i="2" s="1"/>
  <c r="I11563" i="2" a="1"/>
  <c r="I11563" i="2" s="1"/>
  <c r="I11564" i="2" a="1"/>
  <c r="I11564" i="2" s="1"/>
  <c r="I11565" i="2" a="1"/>
  <c r="I11565" i="2" s="1"/>
  <c r="I11566" i="2" a="1"/>
  <c r="I11566" i="2" s="1"/>
  <c r="I11567" i="2" a="1"/>
  <c r="I11567" i="2" s="1"/>
  <c r="I11568" i="2" a="1"/>
  <c r="I11568" i="2" s="1"/>
  <c r="I11569" i="2" a="1"/>
  <c r="I11569" i="2" s="1"/>
  <c r="I11570" i="2" a="1"/>
  <c r="I11570" i="2" s="1"/>
  <c r="I11571" i="2" a="1"/>
  <c r="I11571" i="2" s="1"/>
  <c r="I11572" i="2" a="1"/>
  <c r="I11572" i="2" s="1"/>
  <c r="I11573" i="2" a="1"/>
  <c r="I11573" i="2" s="1"/>
  <c r="I11574" i="2" a="1"/>
  <c r="I11574" i="2" s="1"/>
  <c r="I11575" i="2" a="1"/>
  <c r="I11575" i="2" s="1"/>
  <c r="I11576" i="2" a="1"/>
  <c r="I11576" i="2" s="1"/>
  <c r="I11577" i="2" a="1"/>
  <c r="I11577" i="2" s="1"/>
  <c r="I11578" i="2" a="1"/>
  <c r="I11578" i="2" s="1"/>
  <c r="I11579" i="2" a="1"/>
  <c r="I11579" i="2" s="1"/>
  <c r="I11580" i="2" a="1"/>
  <c r="I11580" i="2" s="1"/>
  <c r="I11581" i="2" a="1"/>
  <c r="I11581" i="2" s="1"/>
  <c r="I11582" i="2" a="1"/>
  <c r="I11582" i="2" s="1"/>
  <c r="I11583" i="2" a="1"/>
  <c r="I11583" i="2" s="1"/>
  <c r="I11584" i="2" a="1"/>
  <c r="I11584" i="2" s="1"/>
  <c r="I11585" i="2" a="1"/>
  <c r="I11585" i="2" s="1"/>
  <c r="I11586" i="2" a="1"/>
  <c r="I11586" i="2" s="1"/>
  <c r="I11587" i="2" a="1"/>
  <c r="I11587" i="2" s="1"/>
  <c r="I11588" i="2" a="1"/>
  <c r="I11588" i="2" s="1"/>
  <c r="I11589" i="2" a="1"/>
  <c r="I11589" i="2" s="1"/>
  <c r="I11590" i="2" a="1"/>
  <c r="I11590" i="2" s="1"/>
  <c r="I11591" i="2" a="1"/>
  <c r="I11591" i="2" s="1"/>
  <c r="I11592" i="2" a="1"/>
  <c r="I11592" i="2" s="1"/>
  <c r="I11593" i="2" a="1"/>
  <c r="I11593" i="2" s="1"/>
  <c r="I11594" i="2" a="1"/>
  <c r="I11594" i="2" s="1"/>
  <c r="I11595" i="2" a="1"/>
  <c r="I11595" i="2" s="1"/>
  <c r="I11596" i="2" a="1"/>
  <c r="I11596" i="2" s="1"/>
  <c r="I11597" i="2" a="1"/>
  <c r="I11597" i="2" s="1"/>
  <c r="I11598" i="2" a="1"/>
  <c r="I11598" i="2" s="1"/>
  <c r="I11599" i="2" a="1"/>
  <c r="I11599" i="2" s="1"/>
  <c r="I11600" i="2" a="1"/>
  <c r="I11600" i="2" s="1"/>
  <c r="I11601" i="2" a="1"/>
  <c r="I11601" i="2" s="1"/>
  <c r="I11602" i="2" a="1"/>
  <c r="I11602" i="2" s="1"/>
  <c r="I11603" i="2" a="1"/>
  <c r="I11603" i="2" s="1"/>
  <c r="I11604" i="2" a="1"/>
  <c r="I11604" i="2" s="1"/>
  <c r="I11605" i="2" a="1"/>
  <c r="I11605" i="2" s="1"/>
  <c r="I11606" i="2" a="1"/>
  <c r="I11606" i="2" s="1"/>
  <c r="I11607" i="2" a="1"/>
  <c r="I11607" i="2" s="1"/>
  <c r="I11608" i="2" a="1"/>
  <c r="I11608" i="2" s="1"/>
  <c r="I11609" i="2" a="1"/>
  <c r="I11609" i="2" s="1"/>
  <c r="I11610" i="2" a="1"/>
  <c r="I11610" i="2" s="1"/>
  <c r="I11611" i="2" a="1"/>
  <c r="I11611" i="2" s="1"/>
  <c r="I11612" i="2" a="1"/>
  <c r="I11612" i="2" s="1"/>
  <c r="I11613" i="2" a="1"/>
  <c r="I11613" i="2" s="1"/>
  <c r="I11614" i="2" a="1"/>
  <c r="I11614" i="2" s="1"/>
  <c r="I11615" i="2" a="1"/>
  <c r="I11615" i="2" s="1"/>
  <c r="I11616" i="2" a="1"/>
  <c r="I11616" i="2" s="1"/>
  <c r="I11617" i="2" a="1"/>
  <c r="I11617" i="2" s="1"/>
  <c r="I11618" i="2" a="1"/>
  <c r="I11618" i="2" s="1"/>
  <c r="I11619" i="2" a="1"/>
  <c r="I11619" i="2" s="1"/>
  <c r="I11620" i="2" a="1"/>
  <c r="I11620" i="2" s="1"/>
  <c r="I11621" i="2" a="1"/>
  <c r="I11621" i="2" s="1"/>
  <c r="I11622" i="2" a="1"/>
  <c r="I11622" i="2" s="1"/>
  <c r="I11623" i="2" a="1"/>
  <c r="I11623" i="2" s="1"/>
  <c r="I11624" i="2" a="1"/>
  <c r="I11624" i="2" s="1"/>
  <c r="I11625" i="2" a="1"/>
  <c r="I11625" i="2" s="1"/>
  <c r="I11626" i="2" a="1"/>
  <c r="I11626" i="2" s="1"/>
  <c r="I11627" i="2" a="1"/>
  <c r="I11627" i="2" s="1"/>
  <c r="I11628" i="2" a="1"/>
  <c r="I11628" i="2" s="1"/>
  <c r="I11629" i="2" a="1"/>
  <c r="I11629" i="2" s="1"/>
  <c r="I11630" i="2" a="1"/>
  <c r="I11630" i="2" s="1"/>
  <c r="I11631" i="2" a="1"/>
  <c r="I11631" i="2" s="1"/>
  <c r="I11632" i="2" a="1"/>
  <c r="I11632" i="2" s="1"/>
  <c r="I11633" i="2" a="1"/>
  <c r="I11633" i="2" s="1"/>
  <c r="I11634" i="2" a="1"/>
  <c r="I11634" i="2" s="1"/>
  <c r="I11635" i="2" a="1"/>
  <c r="I11635" i="2" s="1"/>
  <c r="I11636" i="2" a="1"/>
  <c r="I11636" i="2" s="1"/>
  <c r="I11637" i="2" a="1"/>
  <c r="I11637" i="2" s="1"/>
  <c r="I11638" i="2" a="1"/>
  <c r="I11638" i="2" s="1"/>
  <c r="I11639" i="2" a="1"/>
  <c r="I11639" i="2" s="1"/>
  <c r="I11640" i="2" a="1"/>
  <c r="I11640" i="2" s="1"/>
  <c r="I11641" i="2" a="1"/>
  <c r="I11641" i="2" s="1"/>
  <c r="I11642" i="2" a="1"/>
  <c r="I11642" i="2" s="1"/>
  <c r="I11643" i="2" a="1"/>
  <c r="I11643" i="2" s="1"/>
  <c r="I11644" i="2" a="1"/>
  <c r="I11644" i="2" s="1"/>
  <c r="I11645" i="2" a="1"/>
  <c r="I11645" i="2" s="1"/>
  <c r="I11646" i="2" a="1"/>
  <c r="I11646" i="2" s="1"/>
  <c r="I11647" i="2" a="1"/>
  <c r="I11647" i="2" s="1"/>
  <c r="I11648" i="2" a="1"/>
  <c r="I11648" i="2" s="1"/>
  <c r="I11649" i="2" a="1"/>
  <c r="I11649" i="2" s="1"/>
  <c r="I11650" i="2" a="1"/>
  <c r="I11650" i="2" s="1"/>
  <c r="I11651" i="2" a="1"/>
  <c r="I11651" i="2" s="1"/>
  <c r="I11652" i="2" a="1"/>
  <c r="I11652" i="2" s="1"/>
  <c r="I11653" i="2" a="1"/>
  <c r="I11653" i="2" s="1"/>
  <c r="I11654" i="2" a="1"/>
  <c r="I11654" i="2" s="1"/>
  <c r="I11655" i="2" a="1"/>
  <c r="I11655" i="2" s="1"/>
  <c r="I11656" i="2" a="1"/>
  <c r="I11656" i="2" s="1"/>
  <c r="I11657" i="2" a="1"/>
  <c r="I11657" i="2" s="1"/>
  <c r="I11658" i="2" a="1"/>
  <c r="I11658" i="2" s="1"/>
  <c r="I11659" i="2" a="1"/>
  <c r="I11659" i="2" s="1"/>
  <c r="I11660" i="2" a="1"/>
  <c r="I11660" i="2" s="1"/>
  <c r="I11661" i="2" a="1"/>
  <c r="I11661" i="2" s="1"/>
  <c r="I11662" i="2" a="1"/>
  <c r="I11662" i="2" s="1"/>
  <c r="I11663" i="2" a="1"/>
  <c r="I11663" i="2" s="1"/>
  <c r="I11664" i="2" a="1"/>
  <c r="I11664" i="2" s="1"/>
  <c r="I11665" i="2" a="1"/>
  <c r="I11665" i="2" s="1"/>
  <c r="I11666" i="2" a="1"/>
  <c r="I11666" i="2" s="1"/>
  <c r="I11667" i="2" a="1"/>
  <c r="I11667" i="2" s="1"/>
  <c r="I11668" i="2" a="1"/>
  <c r="I11668" i="2" s="1"/>
  <c r="I11669" i="2" a="1"/>
  <c r="I11669" i="2" s="1"/>
  <c r="I11670" i="2" a="1"/>
  <c r="I11670" i="2" s="1"/>
  <c r="I11671" i="2" a="1"/>
  <c r="I11671" i="2" s="1"/>
  <c r="I11672" i="2" a="1"/>
  <c r="I11672" i="2" s="1"/>
  <c r="I11673" i="2" a="1"/>
  <c r="I11673" i="2" s="1"/>
  <c r="I11674" i="2" a="1"/>
  <c r="I11674" i="2" s="1"/>
  <c r="I11675" i="2" a="1"/>
  <c r="I11675" i="2" s="1"/>
  <c r="I11676" i="2" a="1"/>
  <c r="I11676" i="2" s="1"/>
  <c r="I11677" i="2" a="1"/>
  <c r="I11677" i="2" s="1"/>
  <c r="I11678" i="2" a="1"/>
  <c r="I11678" i="2" s="1"/>
  <c r="I11679" i="2" a="1"/>
  <c r="I11679" i="2" s="1"/>
  <c r="I11680" i="2" a="1"/>
  <c r="I11680" i="2" s="1"/>
  <c r="I11681" i="2" a="1"/>
  <c r="I11681" i="2" s="1"/>
  <c r="I11682" i="2" a="1"/>
  <c r="I11682" i="2" s="1"/>
  <c r="I11683" i="2" a="1"/>
  <c r="I11683" i="2" s="1"/>
  <c r="I11684" i="2" a="1"/>
  <c r="I11684" i="2" s="1"/>
  <c r="I11685" i="2" a="1"/>
  <c r="I11685" i="2" s="1"/>
  <c r="I11686" i="2" a="1"/>
  <c r="I11686" i="2" s="1"/>
  <c r="I11687" i="2" a="1"/>
  <c r="I11687" i="2" s="1"/>
  <c r="I11688" i="2" a="1"/>
  <c r="I11688" i="2" s="1"/>
  <c r="I11689" i="2" a="1"/>
  <c r="I11689" i="2" s="1"/>
  <c r="I11690" i="2" a="1"/>
  <c r="I11690" i="2" s="1"/>
  <c r="I11691" i="2" a="1"/>
  <c r="I11691" i="2" s="1"/>
  <c r="I11692" i="2" a="1"/>
  <c r="I11692" i="2" s="1"/>
  <c r="I11693" i="2" a="1"/>
  <c r="I11693" i="2" s="1"/>
  <c r="I11694" i="2" a="1"/>
  <c r="I11694" i="2" s="1"/>
  <c r="I11695" i="2" a="1"/>
  <c r="I11695" i="2" s="1"/>
  <c r="I11696" i="2" a="1"/>
  <c r="I11696" i="2" s="1"/>
  <c r="I11697" i="2" a="1"/>
  <c r="I11697" i="2" s="1"/>
  <c r="I11698" i="2" a="1"/>
  <c r="I11698" i="2" s="1"/>
  <c r="I11699" i="2" a="1"/>
  <c r="I11699" i="2" s="1"/>
  <c r="I11700" i="2" a="1"/>
  <c r="I11700" i="2" s="1"/>
  <c r="I11701" i="2" a="1"/>
  <c r="I11701" i="2" s="1"/>
  <c r="I11702" i="2" a="1"/>
  <c r="I11702" i="2" s="1"/>
  <c r="I11703" i="2" a="1"/>
  <c r="I11703" i="2" s="1"/>
  <c r="I11704" i="2" a="1"/>
  <c r="I11704" i="2" s="1"/>
  <c r="I11705" i="2" a="1"/>
  <c r="I11705" i="2" s="1"/>
  <c r="I11706" i="2" a="1"/>
  <c r="I11706" i="2" s="1"/>
  <c r="I11707" i="2" a="1"/>
  <c r="I11707" i="2" s="1"/>
  <c r="I11708" i="2" a="1"/>
  <c r="I11708" i="2" s="1"/>
  <c r="I11709" i="2" a="1"/>
  <c r="I11709" i="2" s="1"/>
  <c r="I11710" i="2" a="1"/>
  <c r="I11710" i="2" s="1"/>
  <c r="I11711" i="2" a="1"/>
  <c r="I11711" i="2" s="1"/>
  <c r="I11712" i="2" a="1"/>
  <c r="I11712" i="2" s="1"/>
  <c r="I11713" i="2" a="1"/>
  <c r="I11713" i="2" s="1"/>
  <c r="I11714" i="2" a="1"/>
  <c r="I11714" i="2" s="1"/>
  <c r="I11715" i="2" a="1"/>
  <c r="I11715" i="2" s="1"/>
  <c r="I11716" i="2" a="1"/>
  <c r="I11716" i="2" s="1"/>
  <c r="I11717" i="2" a="1"/>
  <c r="I11717" i="2" s="1"/>
  <c r="I11718" i="2" a="1"/>
  <c r="I11718" i="2" s="1"/>
  <c r="I11719" i="2" a="1"/>
  <c r="I11719" i="2" s="1"/>
  <c r="I11720" i="2" a="1"/>
  <c r="I11720" i="2" s="1"/>
  <c r="I11721" i="2" a="1"/>
  <c r="I11721" i="2" s="1"/>
  <c r="I11722" i="2" a="1"/>
  <c r="I11722" i="2" s="1"/>
  <c r="I11723" i="2" a="1"/>
  <c r="I11723" i="2" s="1"/>
  <c r="I11724" i="2" a="1"/>
  <c r="I11724" i="2" s="1"/>
  <c r="I11725" i="2" a="1"/>
  <c r="I11725" i="2" s="1"/>
  <c r="I11726" i="2" a="1"/>
  <c r="I11726" i="2" s="1"/>
  <c r="I11727" i="2" a="1"/>
  <c r="I11727" i="2" s="1"/>
  <c r="I11728" i="2" a="1"/>
  <c r="I11728" i="2" s="1"/>
  <c r="I11729" i="2" a="1"/>
  <c r="I11729" i="2" s="1"/>
  <c r="I11730" i="2" a="1"/>
  <c r="I11730" i="2" s="1"/>
  <c r="I11731" i="2" a="1"/>
  <c r="I11731" i="2" s="1"/>
  <c r="I11732" i="2" a="1"/>
  <c r="I11732" i="2" s="1"/>
  <c r="I11733" i="2" a="1"/>
  <c r="I11733" i="2" s="1"/>
  <c r="I11734" i="2" a="1"/>
  <c r="I11734" i="2" s="1"/>
  <c r="I11735" i="2" a="1"/>
  <c r="I11735" i="2" s="1"/>
  <c r="I11736" i="2" a="1"/>
  <c r="I11736" i="2" s="1"/>
  <c r="I11737" i="2" a="1"/>
  <c r="I11737" i="2" s="1"/>
  <c r="I11738" i="2" a="1"/>
  <c r="I11738" i="2" s="1"/>
  <c r="I11739" i="2" a="1"/>
  <c r="I11739" i="2" s="1"/>
  <c r="I11740" i="2" a="1"/>
  <c r="I11740" i="2" s="1"/>
  <c r="I11741" i="2" a="1"/>
  <c r="I11741" i="2" s="1"/>
  <c r="I11742" i="2" a="1"/>
  <c r="I11742" i="2" s="1"/>
  <c r="I11743" i="2" a="1"/>
  <c r="I11743" i="2" s="1"/>
  <c r="I11744" i="2" a="1"/>
  <c r="I11744" i="2" s="1"/>
  <c r="I11745" i="2" a="1"/>
  <c r="I11745" i="2" s="1"/>
  <c r="I11746" i="2" a="1"/>
  <c r="I11746" i="2" s="1"/>
  <c r="I11747" i="2" a="1"/>
  <c r="I11747" i="2" s="1"/>
  <c r="I11748" i="2" a="1"/>
  <c r="I11748" i="2" s="1"/>
  <c r="I11749" i="2" a="1"/>
  <c r="I11749" i="2" s="1"/>
  <c r="I11750" i="2" a="1"/>
  <c r="I11750" i="2" s="1"/>
  <c r="I11751" i="2" a="1"/>
  <c r="I11751" i="2" s="1"/>
  <c r="I11752" i="2" a="1"/>
  <c r="I11752" i="2" s="1"/>
  <c r="I11753" i="2" a="1"/>
  <c r="I11753" i="2" s="1"/>
  <c r="I11754" i="2" a="1"/>
  <c r="I11754" i="2" s="1"/>
  <c r="I11755" i="2" a="1"/>
  <c r="I11755" i="2" s="1"/>
  <c r="I11756" i="2" a="1"/>
  <c r="I11756" i="2" s="1"/>
  <c r="I11757" i="2" a="1"/>
  <c r="I11757" i="2" s="1"/>
  <c r="I11758" i="2" a="1"/>
  <c r="I11758" i="2" s="1"/>
  <c r="I11759" i="2" a="1"/>
  <c r="I11759" i="2" s="1"/>
  <c r="I11760" i="2" a="1"/>
  <c r="I11760" i="2" s="1"/>
  <c r="I11761" i="2" a="1"/>
  <c r="I11761" i="2" s="1"/>
  <c r="I11762" i="2" a="1"/>
  <c r="I11762" i="2" s="1"/>
  <c r="I11763" i="2" a="1"/>
  <c r="I11763" i="2" s="1"/>
  <c r="I11764" i="2" a="1"/>
  <c r="I11764" i="2" s="1"/>
  <c r="I11765" i="2" a="1"/>
  <c r="I11765" i="2" s="1"/>
  <c r="I11766" i="2" a="1"/>
  <c r="I11766" i="2" s="1"/>
  <c r="I11767" i="2" a="1"/>
  <c r="I11767" i="2" s="1"/>
  <c r="I11768" i="2" a="1"/>
  <c r="I11768" i="2" s="1"/>
  <c r="I11769" i="2" a="1"/>
  <c r="I11769" i="2" s="1"/>
  <c r="I11770" i="2" a="1"/>
  <c r="I11770" i="2" s="1"/>
  <c r="I11771" i="2" a="1"/>
  <c r="I11771" i="2" s="1"/>
  <c r="I11772" i="2" a="1"/>
  <c r="I11772" i="2" s="1"/>
  <c r="I11773" i="2" a="1"/>
  <c r="I11773" i="2" s="1"/>
  <c r="I11774" i="2" a="1"/>
  <c r="I11774" i="2" s="1"/>
  <c r="I11775" i="2" a="1"/>
  <c r="I11775" i="2" s="1"/>
  <c r="I11776" i="2" a="1"/>
  <c r="I11776" i="2" s="1"/>
  <c r="I11777" i="2" a="1"/>
  <c r="I11777" i="2" s="1"/>
  <c r="I11778" i="2" a="1"/>
  <c r="I11778" i="2" s="1"/>
  <c r="I11779" i="2" a="1"/>
  <c r="I11779" i="2" s="1"/>
  <c r="I11780" i="2" a="1"/>
  <c r="I11780" i="2" s="1"/>
  <c r="I11781" i="2" a="1"/>
  <c r="I11781" i="2" s="1"/>
  <c r="I11782" i="2" a="1"/>
  <c r="I11782" i="2" s="1"/>
  <c r="I11783" i="2" a="1"/>
  <c r="I11783" i="2" s="1"/>
  <c r="I11784" i="2" a="1"/>
  <c r="I11784" i="2" s="1"/>
  <c r="I11785" i="2" a="1"/>
  <c r="I11785" i="2" s="1"/>
  <c r="I11786" i="2" a="1"/>
  <c r="I11786" i="2" s="1"/>
  <c r="I11787" i="2" a="1"/>
  <c r="I11787" i="2" s="1"/>
  <c r="I11788" i="2" a="1"/>
  <c r="I11788" i="2" s="1"/>
  <c r="I11789" i="2" a="1"/>
  <c r="I11789" i="2" s="1"/>
  <c r="I11790" i="2" a="1"/>
  <c r="I11790" i="2" s="1"/>
  <c r="I11791" i="2" a="1"/>
  <c r="I11791" i="2" s="1"/>
  <c r="I11792" i="2" a="1"/>
  <c r="I11792" i="2" s="1"/>
  <c r="I11793" i="2" a="1"/>
  <c r="I11793" i="2" s="1"/>
  <c r="I11794" i="2" a="1"/>
  <c r="I11794" i="2" s="1"/>
  <c r="I11795" i="2" a="1"/>
  <c r="I11795" i="2" s="1"/>
  <c r="I11796" i="2" a="1"/>
  <c r="I11796" i="2" s="1"/>
  <c r="I11797" i="2" a="1"/>
  <c r="I11797" i="2" s="1"/>
  <c r="I11798" i="2" a="1"/>
  <c r="I11798" i="2" s="1"/>
  <c r="I11799" i="2" a="1"/>
  <c r="I11799" i="2" s="1"/>
  <c r="I11800" i="2" a="1"/>
  <c r="I11800" i="2" s="1"/>
  <c r="I11801" i="2" a="1"/>
  <c r="I11801" i="2" s="1"/>
  <c r="I11802" i="2" a="1"/>
  <c r="I11802" i="2" s="1"/>
  <c r="I11803" i="2" a="1"/>
  <c r="I11803" i="2" s="1"/>
  <c r="I11804" i="2" a="1"/>
  <c r="I11804" i="2" s="1"/>
  <c r="I11805" i="2" a="1"/>
  <c r="I11805" i="2" s="1"/>
  <c r="I11806" i="2" a="1"/>
  <c r="I11806" i="2" s="1"/>
  <c r="I11807" i="2" a="1"/>
  <c r="I11807" i="2" s="1"/>
  <c r="I11808" i="2" a="1"/>
  <c r="I11808" i="2" s="1"/>
  <c r="I11809" i="2" a="1"/>
  <c r="I11809" i="2" s="1"/>
  <c r="I11810" i="2" a="1"/>
  <c r="I11810" i="2" s="1"/>
  <c r="I11811" i="2" a="1"/>
  <c r="I11811" i="2" s="1"/>
  <c r="I11812" i="2" a="1"/>
  <c r="I11812" i="2" s="1"/>
  <c r="I11813" i="2" a="1"/>
  <c r="I11813" i="2" s="1"/>
  <c r="I11814" i="2" a="1"/>
  <c r="I11814" i="2" s="1"/>
  <c r="I11815" i="2" a="1"/>
  <c r="I11815" i="2" s="1"/>
  <c r="I11816" i="2" a="1"/>
  <c r="I11816" i="2" s="1"/>
  <c r="I11817" i="2" a="1"/>
  <c r="I11817" i="2" s="1"/>
  <c r="I11818" i="2" a="1"/>
  <c r="I11818" i="2" s="1"/>
  <c r="I11819" i="2" a="1"/>
  <c r="I11819" i="2" s="1"/>
  <c r="I11820" i="2" a="1"/>
  <c r="I11820" i="2" s="1"/>
  <c r="I11821" i="2" a="1"/>
  <c r="I11821" i="2" s="1"/>
  <c r="I11822" i="2" a="1"/>
  <c r="I11822" i="2" s="1"/>
  <c r="I11823" i="2" a="1"/>
  <c r="I11823" i="2" s="1"/>
  <c r="I11824" i="2" a="1"/>
  <c r="I11824" i="2" s="1"/>
  <c r="I11825" i="2" a="1"/>
  <c r="I11825" i="2" s="1"/>
  <c r="I11826" i="2" a="1"/>
  <c r="I11826" i="2" s="1"/>
  <c r="I11827" i="2" a="1"/>
  <c r="I11827" i="2" s="1"/>
  <c r="I11828" i="2" a="1"/>
  <c r="I11828" i="2" s="1"/>
  <c r="I11829" i="2" a="1"/>
  <c r="I11829" i="2" s="1"/>
  <c r="I11830" i="2" a="1"/>
  <c r="I11830" i="2" s="1"/>
  <c r="I11831" i="2" a="1"/>
  <c r="I11831" i="2" s="1"/>
  <c r="I11832" i="2" a="1"/>
  <c r="I11832" i="2" s="1"/>
  <c r="I11833" i="2" a="1"/>
  <c r="I11833" i="2" s="1"/>
  <c r="I11834" i="2" a="1"/>
  <c r="I11834" i="2" s="1"/>
  <c r="I11835" i="2" a="1"/>
  <c r="I11835" i="2" s="1"/>
  <c r="I11836" i="2" a="1"/>
  <c r="I11836" i="2" s="1"/>
  <c r="I11837" i="2" a="1"/>
  <c r="I11837" i="2" s="1"/>
  <c r="I11838" i="2" a="1"/>
  <c r="I11838" i="2" s="1"/>
  <c r="I11839" i="2" a="1"/>
  <c r="I11839" i="2" s="1"/>
  <c r="I11840" i="2" a="1"/>
  <c r="I11840" i="2" s="1"/>
  <c r="I11841" i="2" a="1"/>
  <c r="I11841" i="2" s="1"/>
  <c r="I11842" i="2" a="1"/>
  <c r="I11842" i="2" s="1"/>
  <c r="I11843" i="2" a="1"/>
  <c r="I11843" i="2" s="1"/>
  <c r="I11844" i="2" a="1"/>
  <c r="I11844" i="2" s="1"/>
  <c r="I11845" i="2" a="1"/>
  <c r="I11845" i="2" s="1"/>
  <c r="I11846" i="2" a="1"/>
  <c r="I11846" i="2" s="1"/>
  <c r="I11847" i="2" a="1"/>
  <c r="I11847" i="2" s="1"/>
  <c r="I11848" i="2" a="1"/>
  <c r="I11848" i="2" s="1"/>
  <c r="I11849" i="2" a="1"/>
  <c r="I11849" i="2" s="1"/>
  <c r="I11850" i="2" a="1"/>
  <c r="I11850" i="2" s="1"/>
  <c r="I11851" i="2" a="1"/>
  <c r="I11851" i="2" s="1"/>
  <c r="I11852" i="2" a="1"/>
  <c r="I11852" i="2" s="1"/>
  <c r="I11853" i="2" a="1"/>
  <c r="I11853" i="2" s="1"/>
  <c r="I11854" i="2" a="1"/>
  <c r="I11854" i="2" s="1"/>
  <c r="I11855" i="2" a="1"/>
  <c r="I11855" i="2" s="1"/>
  <c r="I11856" i="2" a="1"/>
  <c r="I11856" i="2" s="1"/>
  <c r="I11857" i="2" a="1"/>
  <c r="I11857" i="2" s="1"/>
  <c r="I11858" i="2" a="1"/>
  <c r="I11858" i="2" s="1"/>
  <c r="I11859" i="2" a="1"/>
  <c r="I11859" i="2" s="1"/>
  <c r="I11860" i="2" a="1"/>
  <c r="I11860" i="2" s="1"/>
  <c r="I11861" i="2" a="1"/>
  <c r="I11861" i="2" s="1"/>
  <c r="I11862" i="2" a="1"/>
  <c r="I11862" i="2" s="1"/>
  <c r="I11863" i="2" a="1"/>
  <c r="I11863" i="2" s="1"/>
  <c r="I11864" i="2" a="1"/>
  <c r="I11864" i="2" s="1"/>
  <c r="I11865" i="2" a="1"/>
  <c r="I11865" i="2" s="1"/>
  <c r="I11866" i="2" a="1"/>
  <c r="I11866" i="2" s="1"/>
  <c r="I11867" i="2" a="1"/>
  <c r="I11867" i="2" s="1"/>
  <c r="I11868" i="2" a="1"/>
  <c r="I11868" i="2" s="1"/>
  <c r="I11869" i="2" a="1"/>
  <c r="I11869" i="2" s="1"/>
  <c r="I11870" i="2" a="1"/>
  <c r="I11870" i="2" s="1"/>
  <c r="I11871" i="2" a="1"/>
  <c r="I11871" i="2" s="1"/>
  <c r="I11872" i="2" a="1"/>
  <c r="I11872" i="2" s="1"/>
  <c r="I11873" i="2" a="1"/>
  <c r="I11873" i="2" s="1"/>
  <c r="I11874" i="2" a="1"/>
  <c r="I11874" i="2" s="1"/>
  <c r="I11875" i="2" a="1"/>
  <c r="I11875" i="2" s="1"/>
  <c r="I11876" i="2" a="1"/>
  <c r="I11876" i="2" s="1"/>
  <c r="I11877" i="2" a="1"/>
  <c r="I11877" i="2" s="1"/>
  <c r="I11878" i="2" a="1"/>
  <c r="I11878" i="2" s="1"/>
  <c r="I11879" i="2" a="1"/>
  <c r="I11879" i="2" s="1"/>
  <c r="I11880" i="2" a="1"/>
  <c r="I11880" i="2" s="1"/>
  <c r="I11881" i="2" a="1"/>
  <c r="I11881" i="2" s="1"/>
  <c r="I11882" i="2" a="1"/>
  <c r="I11882" i="2" s="1"/>
  <c r="I11883" i="2" a="1"/>
  <c r="I11883" i="2" s="1"/>
  <c r="I11884" i="2" a="1"/>
  <c r="I11884" i="2" s="1"/>
  <c r="I11885" i="2" a="1"/>
  <c r="I11885" i="2" s="1"/>
  <c r="I11886" i="2" a="1"/>
  <c r="I11886" i="2" s="1"/>
  <c r="I11887" i="2" a="1"/>
  <c r="I11887" i="2" s="1"/>
  <c r="I11888" i="2" a="1"/>
  <c r="I11888" i="2" s="1"/>
  <c r="I11889" i="2" a="1"/>
  <c r="I11889" i="2" s="1"/>
  <c r="I11890" i="2" a="1"/>
  <c r="I11890" i="2" s="1"/>
  <c r="I11891" i="2" a="1"/>
  <c r="I11891" i="2" s="1"/>
  <c r="I11892" i="2" a="1"/>
  <c r="I11892" i="2" s="1"/>
  <c r="I11893" i="2" a="1"/>
  <c r="I11893" i="2" s="1"/>
  <c r="I11894" i="2" a="1"/>
  <c r="I11894" i="2" s="1"/>
  <c r="I11895" i="2" a="1"/>
  <c r="I11895" i="2" s="1"/>
  <c r="I11896" i="2" a="1"/>
  <c r="I11896" i="2" s="1"/>
  <c r="I11897" i="2" a="1"/>
  <c r="I11897" i="2" s="1"/>
  <c r="I11898" i="2" a="1"/>
  <c r="I11898" i="2" s="1"/>
  <c r="I11899" i="2" a="1"/>
  <c r="I11899" i="2" s="1"/>
  <c r="I11900" i="2" a="1"/>
  <c r="I11900" i="2" s="1"/>
  <c r="I11901" i="2" a="1"/>
  <c r="I11901" i="2" s="1"/>
  <c r="I11902" i="2" a="1"/>
  <c r="I11902" i="2" s="1"/>
  <c r="I11903" i="2" a="1"/>
  <c r="I11903" i="2" s="1"/>
  <c r="I11904" i="2" a="1"/>
  <c r="I11904" i="2" s="1"/>
  <c r="I11905" i="2" a="1"/>
  <c r="I11905" i="2" s="1"/>
  <c r="I11906" i="2" a="1"/>
  <c r="I11906" i="2" s="1"/>
  <c r="I11907" i="2" a="1"/>
  <c r="I11907" i="2" s="1"/>
  <c r="I11908" i="2" a="1"/>
  <c r="I11908" i="2" s="1"/>
  <c r="I11909" i="2" a="1"/>
  <c r="I11909" i="2" s="1"/>
  <c r="I11910" i="2" a="1"/>
  <c r="I11910" i="2" s="1"/>
  <c r="I11911" i="2" a="1"/>
  <c r="I11911" i="2" s="1"/>
  <c r="I11912" i="2" a="1"/>
  <c r="I11912" i="2" s="1"/>
  <c r="I11913" i="2" a="1"/>
  <c r="I11913" i="2" s="1"/>
  <c r="I11914" i="2" a="1"/>
  <c r="I11914" i="2" s="1"/>
  <c r="I11915" i="2" a="1"/>
  <c r="I11915" i="2" s="1"/>
  <c r="I11916" i="2" a="1"/>
  <c r="I11916" i="2" s="1"/>
  <c r="I11917" i="2" a="1"/>
  <c r="I11917" i="2" s="1"/>
  <c r="I11918" i="2" a="1"/>
  <c r="I11918" i="2" s="1"/>
  <c r="I11919" i="2" a="1"/>
  <c r="I11919" i="2" s="1"/>
  <c r="I11920" i="2" a="1"/>
  <c r="I11920" i="2" s="1"/>
  <c r="I11921" i="2" a="1"/>
  <c r="I11921" i="2" s="1"/>
  <c r="I11922" i="2" a="1"/>
  <c r="I11922" i="2" s="1"/>
  <c r="I11923" i="2" a="1"/>
  <c r="I11923" i="2" s="1"/>
  <c r="I11924" i="2" a="1"/>
  <c r="I11924" i="2" s="1"/>
  <c r="I11925" i="2" a="1"/>
  <c r="I11925" i="2" s="1"/>
  <c r="I11926" i="2" a="1"/>
  <c r="I11926" i="2" s="1"/>
  <c r="I11927" i="2" a="1"/>
  <c r="I11927" i="2" s="1"/>
  <c r="I11928" i="2" a="1"/>
  <c r="I11928" i="2" s="1"/>
  <c r="I11929" i="2" a="1"/>
  <c r="I11929" i="2" s="1"/>
  <c r="I11930" i="2" a="1"/>
  <c r="I11930" i="2" s="1"/>
  <c r="I11931" i="2" a="1"/>
  <c r="I11931" i="2" s="1"/>
  <c r="I11932" i="2" a="1"/>
  <c r="I11932" i="2" s="1"/>
  <c r="I11933" i="2" a="1"/>
  <c r="I11933" i="2" s="1"/>
  <c r="I11934" i="2" a="1"/>
  <c r="I11934" i="2" s="1"/>
  <c r="I11935" i="2" a="1"/>
  <c r="I11935" i="2" s="1"/>
  <c r="I11936" i="2" a="1"/>
  <c r="I11936" i="2" s="1"/>
  <c r="I11937" i="2" a="1"/>
  <c r="I11937" i="2" s="1"/>
  <c r="I11938" i="2" a="1"/>
  <c r="I11938" i="2" s="1"/>
  <c r="I11939" i="2" a="1"/>
  <c r="I11939" i="2" s="1"/>
  <c r="I11940" i="2" a="1"/>
  <c r="I11940" i="2" s="1"/>
  <c r="I11941" i="2" a="1"/>
  <c r="I11941" i="2" s="1"/>
  <c r="I11942" i="2" a="1"/>
  <c r="I11942" i="2" s="1"/>
  <c r="I11943" i="2" a="1"/>
  <c r="I11943" i="2" s="1"/>
  <c r="I11944" i="2" a="1"/>
  <c r="I11944" i="2" s="1"/>
  <c r="I11945" i="2" a="1"/>
  <c r="I11945" i="2" s="1"/>
  <c r="I11946" i="2" a="1"/>
  <c r="I11946" i="2" s="1"/>
  <c r="I11947" i="2" a="1"/>
  <c r="I11947" i="2" s="1"/>
  <c r="I11948" i="2" a="1"/>
  <c r="I11948" i="2" s="1"/>
  <c r="I11949" i="2" a="1"/>
  <c r="I11949" i="2" s="1"/>
  <c r="I11950" i="2" a="1"/>
  <c r="I11950" i="2" s="1"/>
  <c r="I11951" i="2" a="1"/>
  <c r="I11951" i="2" s="1"/>
  <c r="I11952" i="2" a="1"/>
  <c r="I11952" i="2" s="1"/>
  <c r="I11953" i="2" a="1"/>
  <c r="I11953" i="2" s="1"/>
  <c r="I11954" i="2" a="1"/>
  <c r="I11954" i="2" s="1"/>
  <c r="I11955" i="2" a="1"/>
  <c r="I11955" i="2" s="1"/>
  <c r="I11956" i="2" a="1"/>
  <c r="I11956" i="2" s="1"/>
  <c r="I11957" i="2" a="1"/>
  <c r="I11957" i="2" s="1"/>
  <c r="I11958" i="2" a="1"/>
  <c r="I11958" i="2" s="1"/>
  <c r="I11959" i="2" a="1"/>
  <c r="I11959" i="2" s="1"/>
  <c r="I11960" i="2" a="1"/>
  <c r="I11960" i="2" s="1"/>
  <c r="I11961" i="2" a="1"/>
  <c r="I11961" i="2" s="1"/>
  <c r="I11962" i="2" a="1"/>
  <c r="I11962" i="2" s="1"/>
  <c r="I11963" i="2" a="1"/>
  <c r="I11963" i="2" s="1"/>
  <c r="I11964" i="2" a="1"/>
  <c r="I11964" i="2" s="1"/>
  <c r="I11965" i="2" a="1"/>
  <c r="I11965" i="2" s="1"/>
  <c r="I11966" i="2" a="1"/>
  <c r="I11966" i="2" s="1"/>
  <c r="I11967" i="2" a="1"/>
  <c r="I11967" i="2" s="1"/>
  <c r="I11968" i="2" a="1"/>
  <c r="I11968" i="2" s="1"/>
  <c r="I11969" i="2" a="1"/>
  <c r="I11969" i="2" s="1"/>
  <c r="I11970" i="2" a="1"/>
  <c r="I11970" i="2" s="1"/>
  <c r="I11971" i="2" a="1"/>
  <c r="I11971" i="2" s="1"/>
  <c r="I11972" i="2" a="1"/>
  <c r="I11972" i="2" s="1"/>
  <c r="I11973" i="2" a="1"/>
  <c r="I11973" i="2" s="1"/>
  <c r="I11974" i="2" a="1"/>
  <c r="I11974" i="2" s="1"/>
  <c r="I11975" i="2" a="1"/>
  <c r="I11975" i="2" s="1"/>
  <c r="I11976" i="2" a="1"/>
  <c r="I11976" i="2" s="1"/>
  <c r="I11977" i="2" a="1"/>
  <c r="I11977" i="2" s="1"/>
  <c r="I11978" i="2" a="1"/>
  <c r="I11978" i="2" s="1"/>
  <c r="I11979" i="2" a="1"/>
  <c r="I11979" i="2" s="1"/>
  <c r="I11980" i="2" a="1"/>
  <c r="I11980" i="2" s="1"/>
  <c r="I11981" i="2" a="1"/>
  <c r="I11981" i="2" s="1"/>
  <c r="I11982" i="2" a="1"/>
  <c r="I11982" i="2" s="1"/>
  <c r="I11983" i="2" a="1"/>
  <c r="I11983" i="2" s="1"/>
  <c r="I11984" i="2" a="1"/>
  <c r="I11984" i="2" s="1"/>
  <c r="I11985" i="2" a="1"/>
  <c r="I11985" i="2" s="1"/>
  <c r="I11986" i="2" a="1"/>
  <c r="I11986" i="2" s="1"/>
  <c r="I11987" i="2" a="1"/>
  <c r="I11987" i="2" s="1"/>
  <c r="I11988" i="2" a="1"/>
  <c r="I11988" i="2" s="1"/>
  <c r="I11989" i="2" a="1"/>
  <c r="I11989" i="2" s="1"/>
  <c r="I11990" i="2" a="1"/>
  <c r="I11990" i="2" s="1"/>
  <c r="I11991" i="2" a="1"/>
  <c r="I11991" i="2" s="1"/>
  <c r="I11992" i="2" a="1"/>
  <c r="I11992" i="2" s="1"/>
  <c r="I11993" i="2" a="1"/>
  <c r="I11993" i="2" s="1"/>
  <c r="I11994" i="2" a="1"/>
  <c r="I11994" i="2" s="1"/>
  <c r="I11995" i="2" a="1"/>
  <c r="I11995" i="2" s="1"/>
  <c r="I11996" i="2" a="1"/>
  <c r="I11996" i="2" s="1"/>
  <c r="I11997" i="2" a="1"/>
  <c r="I11997" i="2" s="1"/>
  <c r="I11998" i="2" a="1"/>
  <c r="I11998" i="2" s="1"/>
  <c r="I11999" i="2" a="1"/>
  <c r="I11999" i="2" s="1"/>
  <c r="I12000" i="2" a="1"/>
  <c r="I12000" i="2" s="1"/>
  <c r="I12001" i="2" a="1"/>
  <c r="I12001" i="2" s="1"/>
  <c r="I12002" i="2" a="1"/>
  <c r="I12002" i="2" s="1"/>
  <c r="I12003" i="2" a="1"/>
  <c r="I12003" i="2" s="1"/>
  <c r="I12004" i="2" a="1"/>
  <c r="I12004" i="2" s="1"/>
  <c r="I12005" i="2" a="1"/>
  <c r="I12005" i="2" s="1"/>
  <c r="I12006" i="2" a="1"/>
  <c r="I12006" i="2" s="1"/>
  <c r="I12007" i="2" a="1"/>
  <c r="I12007" i="2" s="1"/>
  <c r="I12008" i="2" a="1"/>
  <c r="I12008" i="2" s="1"/>
  <c r="I12009" i="2" a="1"/>
  <c r="I12009" i="2" s="1"/>
  <c r="I12010" i="2" a="1"/>
  <c r="I12010" i="2" s="1"/>
  <c r="I12011" i="2" a="1"/>
  <c r="I12011" i="2" s="1"/>
  <c r="I12012" i="2" a="1"/>
  <c r="I12012" i="2" s="1"/>
  <c r="I12013" i="2" a="1"/>
  <c r="I12013" i="2" s="1"/>
  <c r="I12014" i="2" a="1"/>
  <c r="I12014" i="2" s="1"/>
  <c r="I12015" i="2" a="1"/>
  <c r="I12015" i="2" s="1"/>
  <c r="I12016" i="2" a="1"/>
  <c r="I12016" i="2" s="1"/>
  <c r="I12017" i="2" a="1"/>
  <c r="I12017" i="2" s="1"/>
  <c r="I12018" i="2" a="1"/>
  <c r="I12018" i="2" s="1"/>
  <c r="I12019" i="2" a="1"/>
  <c r="I12019" i="2" s="1"/>
  <c r="I12020" i="2" a="1"/>
  <c r="I12020" i="2" s="1"/>
  <c r="I12021" i="2" a="1"/>
  <c r="I12021" i="2" s="1"/>
  <c r="I12022" i="2" a="1"/>
  <c r="I12022" i="2" s="1"/>
  <c r="I12023" i="2" a="1"/>
  <c r="I12023" i="2" s="1"/>
  <c r="I12024" i="2" a="1"/>
  <c r="I12024" i="2" s="1"/>
  <c r="I12025" i="2" a="1"/>
  <c r="I12025" i="2" s="1"/>
  <c r="I12026" i="2" a="1"/>
  <c r="I12026" i="2" s="1"/>
  <c r="I12027" i="2" a="1"/>
  <c r="I12027" i="2" s="1"/>
  <c r="I12028" i="2" a="1"/>
  <c r="I12028" i="2" s="1"/>
  <c r="I12029" i="2" a="1"/>
  <c r="I12029" i="2" s="1"/>
  <c r="I12030" i="2" a="1"/>
  <c r="I12030" i="2" s="1"/>
  <c r="I12031" i="2" a="1"/>
  <c r="I12031" i="2" s="1"/>
  <c r="I12032" i="2" a="1"/>
  <c r="I12032" i="2" s="1"/>
  <c r="I12033" i="2" a="1"/>
  <c r="I12033" i="2" s="1"/>
  <c r="I12034" i="2" a="1"/>
  <c r="I12034" i="2" s="1"/>
  <c r="I12035" i="2" a="1"/>
  <c r="I12035" i="2" s="1"/>
  <c r="I12036" i="2" a="1"/>
  <c r="I12036" i="2" s="1"/>
  <c r="I12037" i="2" a="1"/>
  <c r="I12037" i="2" s="1"/>
  <c r="I12038" i="2" a="1"/>
  <c r="I12038" i="2" s="1"/>
  <c r="I12039" i="2" a="1"/>
  <c r="I12039" i="2" s="1"/>
  <c r="I12040" i="2" a="1"/>
  <c r="I12040" i="2" s="1"/>
  <c r="I12041" i="2" a="1"/>
  <c r="I12041" i="2" s="1"/>
  <c r="I12042" i="2" a="1"/>
  <c r="I12042" i="2" s="1"/>
  <c r="I12043" i="2" a="1"/>
  <c r="I12043" i="2" s="1"/>
  <c r="I12044" i="2" a="1"/>
  <c r="I12044" i="2" s="1"/>
  <c r="I12045" i="2" a="1"/>
  <c r="I12045" i="2" s="1"/>
  <c r="I12046" i="2" a="1"/>
  <c r="I12046" i="2" s="1"/>
  <c r="I12047" i="2" a="1"/>
  <c r="I12047" i="2" s="1"/>
  <c r="I12048" i="2" a="1"/>
  <c r="I12048" i="2" s="1"/>
  <c r="I12049" i="2" a="1"/>
  <c r="I12049" i="2" s="1"/>
  <c r="I12050" i="2" a="1"/>
  <c r="I12050" i="2" s="1"/>
  <c r="I12051" i="2" a="1"/>
  <c r="I12051" i="2" s="1"/>
  <c r="I12052" i="2" a="1"/>
  <c r="I12052" i="2" s="1"/>
  <c r="I12053" i="2" a="1"/>
  <c r="I12053" i="2" s="1"/>
  <c r="I12054" i="2" a="1"/>
  <c r="I12054" i="2" s="1"/>
  <c r="I12055" i="2" a="1"/>
  <c r="I12055" i="2" s="1"/>
  <c r="I12056" i="2" a="1"/>
  <c r="I12056" i="2" s="1"/>
  <c r="I12057" i="2" a="1"/>
  <c r="I12057" i="2" s="1"/>
  <c r="I12058" i="2" a="1"/>
  <c r="I12058" i="2" s="1"/>
  <c r="I12059" i="2" a="1"/>
  <c r="I12059" i="2" s="1"/>
  <c r="I12060" i="2" a="1"/>
  <c r="I12060" i="2" s="1"/>
  <c r="I12061" i="2" a="1"/>
  <c r="I12061" i="2" s="1"/>
  <c r="I12062" i="2" a="1"/>
  <c r="I12062" i="2" s="1"/>
  <c r="I12063" i="2" a="1"/>
  <c r="I12063" i="2" s="1"/>
  <c r="I12064" i="2" a="1"/>
  <c r="I12064" i="2" s="1"/>
  <c r="I12065" i="2" a="1"/>
  <c r="I12065" i="2" s="1"/>
  <c r="I12066" i="2" a="1"/>
  <c r="I12066" i="2" s="1"/>
  <c r="I12067" i="2" a="1"/>
  <c r="I12067" i="2" s="1"/>
  <c r="I12068" i="2" a="1"/>
  <c r="I12068" i="2" s="1"/>
  <c r="I12069" i="2" a="1"/>
  <c r="I12069" i="2" s="1"/>
  <c r="I12070" i="2" a="1"/>
  <c r="I12070" i="2" s="1"/>
  <c r="I12071" i="2" a="1"/>
  <c r="I12071" i="2" s="1"/>
  <c r="I12072" i="2" a="1"/>
  <c r="I12072" i="2" s="1"/>
  <c r="I12073" i="2" a="1"/>
  <c r="I12073" i="2" s="1"/>
  <c r="I12074" i="2" a="1"/>
  <c r="I12074" i="2" s="1"/>
  <c r="I12075" i="2" a="1"/>
  <c r="I12075" i="2" s="1"/>
  <c r="I12076" i="2" a="1"/>
  <c r="I12076" i="2" s="1"/>
  <c r="I12077" i="2" a="1"/>
  <c r="I12077" i="2" s="1"/>
  <c r="I12078" i="2" a="1"/>
  <c r="I12078" i="2" s="1"/>
  <c r="I12079" i="2" a="1"/>
  <c r="I12079" i="2" s="1"/>
  <c r="I12080" i="2" a="1"/>
  <c r="I12080" i="2" s="1"/>
  <c r="I12081" i="2" a="1"/>
  <c r="I12081" i="2" s="1"/>
  <c r="I12082" i="2" a="1"/>
  <c r="I12082" i="2" s="1"/>
  <c r="I12083" i="2" a="1"/>
  <c r="I12083" i="2" s="1"/>
  <c r="I12084" i="2" a="1"/>
  <c r="I12084" i="2" s="1"/>
  <c r="I12085" i="2" a="1"/>
  <c r="I12085" i="2" s="1"/>
  <c r="I12086" i="2" a="1"/>
  <c r="I12086" i="2" s="1"/>
  <c r="I12087" i="2" a="1"/>
  <c r="I12087" i="2" s="1"/>
  <c r="I12088" i="2" a="1"/>
  <c r="I12088" i="2" s="1"/>
  <c r="I12089" i="2" a="1"/>
  <c r="I12089" i="2" s="1"/>
  <c r="I12090" i="2" a="1"/>
  <c r="I12090" i="2" s="1"/>
  <c r="I12091" i="2" a="1"/>
  <c r="I12091" i="2" s="1"/>
  <c r="I12092" i="2" a="1"/>
  <c r="I12092" i="2" s="1"/>
  <c r="I12093" i="2" a="1"/>
  <c r="I12093" i="2" s="1"/>
  <c r="I12094" i="2" a="1"/>
  <c r="I12094" i="2" s="1"/>
  <c r="I12095" i="2" a="1"/>
  <c r="I12095" i="2" s="1"/>
  <c r="I12096" i="2" a="1"/>
  <c r="I12096" i="2" s="1"/>
  <c r="I12097" i="2" a="1"/>
  <c r="I12097" i="2" s="1"/>
  <c r="I12098" i="2" a="1"/>
  <c r="I12098" i="2" s="1"/>
  <c r="I12099" i="2" a="1"/>
  <c r="I12099" i="2" s="1"/>
  <c r="I12100" i="2" a="1"/>
  <c r="I12100" i="2" s="1"/>
  <c r="I12101" i="2" a="1"/>
  <c r="I12101" i="2" s="1"/>
  <c r="I12102" i="2" a="1"/>
  <c r="I12102" i="2" s="1"/>
  <c r="I12103" i="2" a="1"/>
  <c r="I12103" i="2" s="1"/>
  <c r="I12104" i="2" a="1"/>
  <c r="I12104" i="2" s="1"/>
  <c r="I12105" i="2" a="1"/>
  <c r="I12105" i="2" s="1"/>
  <c r="I12106" i="2" a="1"/>
  <c r="I12106" i="2" s="1"/>
  <c r="I12107" i="2" a="1"/>
  <c r="I12107" i="2" s="1"/>
  <c r="I12108" i="2" a="1"/>
  <c r="I12108" i="2" s="1"/>
  <c r="I12109" i="2" a="1"/>
  <c r="I12109" i="2" s="1"/>
  <c r="I12110" i="2" a="1"/>
  <c r="I12110" i="2" s="1"/>
  <c r="I12111" i="2" a="1"/>
  <c r="I12111" i="2" s="1"/>
  <c r="I12112" i="2" a="1"/>
  <c r="I12112" i="2" s="1"/>
  <c r="I12113" i="2" a="1"/>
  <c r="I12113" i="2" s="1"/>
  <c r="I12114" i="2" a="1"/>
  <c r="I12114" i="2" s="1"/>
  <c r="I12115" i="2" a="1"/>
  <c r="I12115" i="2" s="1"/>
  <c r="I12116" i="2" a="1"/>
  <c r="I12116" i="2" s="1"/>
  <c r="I12117" i="2" a="1"/>
  <c r="I12117" i="2" s="1"/>
  <c r="I12118" i="2" a="1"/>
  <c r="I12118" i="2" s="1"/>
  <c r="I12119" i="2" a="1"/>
  <c r="I12119" i="2" s="1"/>
  <c r="I12120" i="2" a="1"/>
  <c r="I12120" i="2" s="1"/>
  <c r="I12121" i="2" a="1"/>
  <c r="I12121" i="2" s="1"/>
  <c r="I12122" i="2" a="1"/>
  <c r="I12122" i="2" s="1"/>
  <c r="I12123" i="2" a="1"/>
  <c r="I12123" i="2" s="1"/>
  <c r="I12124" i="2" a="1"/>
  <c r="I12124" i="2" s="1"/>
  <c r="I12125" i="2" a="1"/>
  <c r="I12125" i="2" s="1"/>
  <c r="I12126" i="2" a="1"/>
  <c r="I12126" i="2" s="1"/>
  <c r="I12127" i="2" a="1"/>
  <c r="I12127" i="2" s="1"/>
  <c r="I12128" i="2" a="1"/>
  <c r="I12128" i="2" s="1"/>
  <c r="I12129" i="2" a="1"/>
  <c r="I12129" i="2" s="1"/>
  <c r="I12130" i="2" a="1"/>
  <c r="I12130" i="2" s="1"/>
  <c r="I12131" i="2" a="1"/>
  <c r="I12131" i="2" s="1"/>
  <c r="I12132" i="2" a="1"/>
  <c r="I12132" i="2" s="1"/>
  <c r="I12133" i="2" a="1"/>
  <c r="I12133" i="2" s="1"/>
  <c r="I12134" i="2" a="1"/>
  <c r="I12134" i="2" s="1"/>
  <c r="I12135" i="2" a="1"/>
  <c r="I12135" i="2" s="1"/>
  <c r="I12136" i="2" a="1"/>
  <c r="I12136" i="2" s="1"/>
  <c r="I12137" i="2" a="1"/>
  <c r="I12137" i="2" s="1"/>
  <c r="I12138" i="2" a="1"/>
  <c r="I12138" i="2" s="1"/>
  <c r="I12139" i="2" a="1"/>
  <c r="I12139" i="2" s="1"/>
  <c r="I12140" i="2" a="1"/>
  <c r="I12140" i="2" s="1"/>
  <c r="I12141" i="2" a="1"/>
  <c r="I12141" i="2" s="1"/>
  <c r="I12142" i="2" a="1"/>
  <c r="I12142" i="2" s="1"/>
  <c r="I12143" i="2" a="1"/>
  <c r="I12143" i="2" s="1"/>
  <c r="I12144" i="2" a="1"/>
  <c r="I12144" i="2" s="1"/>
  <c r="I12145" i="2" a="1"/>
  <c r="I12145" i="2" s="1"/>
  <c r="I12146" i="2" a="1"/>
  <c r="I12146" i="2" s="1"/>
  <c r="I12147" i="2" a="1"/>
  <c r="I12147" i="2" s="1"/>
  <c r="I12148" i="2" a="1"/>
  <c r="I12148" i="2" s="1"/>
  <c r="I12149" i="2" a="1"/>
  <c r="I12149" i="2" s="1"/>
  <c r="I12150" i="2" a="1"/>
  <c r="I12150" i="2" s="1"/>
  <c r="I12151" i="2" a="1"/>
  <c r="I12151" i="2" s="1"/>
  <c r="I12152" i="2" a="1"/>
  <c r="I12152" i="2" s="1"/>
  <c r="I12153" i="2" a="1"/>
  <c r="I12153" i="2" s="1"/>
  <c r="I12154" i="2" a="1"/>
  <c r="I12154" i="2" s="1"/>
  <c r="I12155" i="2" a="1"/>
  <c r="I12155" i="2" s="1"/>
  <c r="I12156" i="2" a="1"/>
  <c r="I12156" i="2" s="1"/>
  <c r="I12157" i="2" a="1"/>
  <c r="I12157" i="2" s="1"/>
  <c r="I12158" i="2" a="1"/>
  <c r="I12158" i="2" s="1"/>
  <c r="I12159" i="2" a="1"/>
  <c r="I12159" i="2" s="1"/>
  <c r="I12160" i="2" a="1"/>
  <c r="I12160" i="2" s="1"/>
  <c r="I12161" i="2" a="1"/>
  <c r="I12161" i="2" s="1"/>
  <c r="I12162" i="2" a="1"/>
  <c r="I12162" i="2" s="1"/>
  <c r="I12163" i="2" a="1"/>
  <c r="I12163" i="2" s="1"/>
  <c r="I12164" i="2" a="1"/>
  <c r="I12164" i="2" s="1"/>
  <c r="I12165" i="2" a="1"/>
  <c r="I12165" i="2" s="1"/>
  <c r="I12166" i="2" a="1"/>
  <c r="I12166" i="2" s="1"/>
  <c r="I12167" i="2" a="1"/>
  <c r="I12167" i="2" s="1"/>
  <c r="I12168" i="2" a="1"/>
  <c r="I12168" i="2" s="1"/>
  <c r="I12169" i="2" a="1"/>
  <c r="I12169" i="2" s="1"/>
  <c r="I12170" i="2" a="1"/>
  <c r="I12170" i="2" s="1"/>
  <c r="I12171" i="2" a="1"/>
  <c r="I12171" i="2" s="1"/>
  <c r="I12172" i="2" a="1"/>
  <c r="I12172" i="2" s="1"/>
  <c r="I12173" i="2" a="1"/>
  <c r="I12173" i="2" s="1"/>
  <c r="I12174" i="2" a="1"/>
  <c r="I12174" i="2" s="1"/>
  <c r="I12175" i="2" a="1"/>
  <c r="I12175" i="2" s="1"/>
  <c r="I12176" i="2" a="1"/>
  <c r="I12176" i="2" s="1"/>
  <c r="I12177" i="2" a="1"/>
  <c r="I12177" i="2" s="1"/>
  <c r="I12178" i="2" a="1"/>
  <c r="I12178" i="2" s="1"/>
  <c r="I12179" i="2" a="1"/>
  <c r="I12179" i="2" s="1"/>
  <c r="I12180" i="2" a="1"/>
  <c r="I12180" i="2" s="1"/>
  <c r="I12181" i="2" a="1"/>
  <c r="I12181" i="2" s="1"/>
  <c r="I12182" i="2" a="1"/>
  <c r="I12182" i="2" s="1"/>
  <c r="I12183" i="2" a="1"/>
  <c r="I12183" i="2" s="1"/>
  <c r="I12184" i="2" a="1"/>
  <c r="I12184" i="2" s="1"/>
  <c r="I12185" i="2" a="1"/>
  <c r="I12185" i="2" s="1"/>
  <c r="I12186" i="2" a="1"/>
  <c r="I12186" i="2" s="1"/>
  <c r="I12187" i="2" a="1"/>
  <c r="I12187" i="2" s="1"/>
  <c r="I12188" i="2" a="1"/>
  <c r="I12188" i="2" s="1"/>
  <c r="I12189" i="2" a="1"/>
  <c r="I12189" i="2" s="1"/>
  <c r="I12190" i="2" a="1"/>
  <c r="I12190" i="2" s="1"/>
  <c r="I12191" i="2" a="1"/>
  <c r="I12191" i="2" s="1"/>
  <c r="I12192" i="2" a="1"/>
  <c r="I12192" i="2" s="1"/>
  <c r="I12193" i="2" a="1"/>
  <c r="I12193" i="2" s="1"/>
  <c r="I12194" i="2" a="1"/>
  <c r="I12194" i="2" s="1"/>
  <c r="I12195" i="2" a="1"/>
  <c r="I12195" i="2" s="1"/>
  <c r="I12196" i="2" a="1"/>
  <c r="I12196" i="2" s="1"/>
  <c r="I12197" i="2" a="1"/>
  <c r="I12197" i="2" s="1"/>
  <c r="I12198" i="2" a="1"/>
  <c r="I12198" i="2" s="1"/>
  <c r="I12199" i="2" a="1"/>
  <c r="I12199" i="2" s="1"/>
  <c r="I12200" i="2" a="1"/>
  <c r="I12200" i="2" s="1"/>
  <c r="I12201" i="2" a="1"/>
  <c r="I12201" i="2" s="1"/>
  <c r="I12202" i="2" a="1"/>
  <c r="I12202" i="2" s="1"/>
  <c r="I12203" i="2" a="1"/>
  <c r="I12203" i="2" s="1"/>
  <c r="I12204" i="2" a="1"/>
  <c r="I12204" i="2" s="1"/>
  <c r="I12205" i="2" a="1"/>
  <c r="I12205" i="2" s="1"/>
  <c r="I12206" i="2" a="1"/>
  <c r="I12206" i="2" s="1"/>
  <c r="I12207" i="2" a="1"/>
  <c r="I12207" i="2" s="1"/>
  <c r="I12208" i="2" a="1"/>
  <c r="I12208" i="2" s="1"/>
  <c r="I12209" i="2" a="1"/>
  <c r="I12209" i="2" s="1"/>
  <c r="I12210" i="2" a="1"/>
  <c r="I12210" i="2" s="1"/>
  <c r="I12211" i="2" a="1"/>
  <c r="I12211" i="2" s="1"/>
  <c r="I12212" i="2" a="1"/>
  <c r="I12212" i="2" s="1"/>
  <c r="I12213" i="2" a="1"/>
  <c r="I12213" i="2" s="1"/>
  <c r="I12214" i="2" a="1"/>
  <c r="I12214" i="2" s="1"/>
  <c r="I12215" i="2" a="1"/>
  <c r="I12215" i="2" s="1"/>
  <c r="I12216" i="2" a="1"/>
  <c r="I12216" i="2" s="1"/>
  <c r="I12217" i="2" a="1"/>
  <c r="I12217" i="2" s="1"/>
  <c r="I12218" i="2" a="1"/>
  <c r="I12218" i="2" s="1"/>
  <c r="I12219" i="2" a="1"/>
  <c r="I12219" i="2" s="1"/>
  <c r="I12220" i="2" a="1"/>
  <c r="I12220" i="2" s="1"/>
  <c r="I12221" i="2" a="1"/>
  <c r="I12221" i="2" s="1"/>
  <c r="I12222" i="2" a="1"/>
  <c r="I12222" i="2" s="1"/>
  <c r="I12223" i="2" a="1"/>
  <c r="I12223" i="2" s="1"/>
  <c r="I12224" i="2" a="1"/>
  <c r="I12224" i="2" s="1"/>
  <c r="I12225" i="2" a="1"/>
  <c r="I12225" i="2" s="1"/>
  <c r="I12226" i="2" a="1"/>
  <c r="I12226" i="2" s="1"/>
  <c r="I12227" i="2" a="1"/>
  <c r="I12227" i="2" s="1"/>
  <c r="I12228" i="2" a="1"/>
  <c r="I12228" i="2" s="1"/>
  <c r="I12229" i="2" a="1"/>
  <c r="I12229" i="2" s="1"/>
  <c r="I12230" i="2" a="1"/>
  <c r="I12230" i="2" s="1"/>
  <c r="I12231" i="2" a="1"/>
  <c r="I12231" i="2" s="1"/>
  <c r="I12232" i="2" a="1"/>
  <c r="I12232" i="2" s="1"/>
  <c r="I12233" i="2" a="1"/>
  <c r="I12233" i="2" s="1"/>
  <c r="I12234" i="2" a="1"/>
  <c r="I12234" i="2" s="1"/>
  <c r="I12235" i="2" a="1"/>
  <c r="I12235" i="2" s="1"/>
  <c r="I12236" i="2" a="1"/>
  <c r="I12236" i="2" s="1"/>
  <c r="I12237" i="2" a="1"/>
  <c r="I12237" i="2" s="1"/>
  <c r="I12238" i="2" a="1"/>
  <c r="I12238" i="2" s="1"/>
  <c r="I12239" i="2" a="1"/>
  <c r="I12239" i="2" s="1"/>
  <c r="I12240" i="2" a="1"/>
  <c r="I12240" i="2" s="1"/>
  <c r="I12241" i="2" a="1"/>
  <c r="I12241" i="2" s="1"/>
  <c r="I12242" i="2" a="1"/>
  <c r="I12242" i="2" s="1"/>
  <c r="I12243" i="2" a="1"/>
  <c r="I12243" i="2" s="1"/>
  <c r="I12244" i="2" a="1"/>
  <c r="I12244" i="2" s="1"/>
  <c r="I12245" i="2" a="1"/>
  <c r="I12245" i="2" s="1"/>
  <c r="I12246" i="2" a="1"/>
  <c r="I12246" i="2" s="1"/>
  <c r="I12247" i="2" a="1"/>
  <c r="I12247" i="2" s="1"/>
  <c r="I12248" i="2" a="1"/>
  <c r="I12248" i="2" s="1"/>
  <c r="I12249" i="2" a="1"/>
  <c r="I12249" i="2" s="1"/>
  <c r="I12250" i="2" a="1"/>
  <c r="I12250" i="2" s="1"/>
  <c r="I12251" i="2" a="1"/>
  <c r="I12251" i="2" s="1"/>
  <c r="I12252" i="2" a="1"/>
  <c r="I12252" i="2" s="1"/>
  <c r="I12253" i="2" a="1"/>
  <c r="I12253" i="2" s="1"/>
  <c r="I12254" i="2" a="1"/>
  <c r="I12254" i="2" s="1"/>
  <c r="I12255" i="2" a="1"/>
  <c r="I12255" i="2" s="1"/>
  <c r="I12256" i="2" a="1"/>
  <c r="I12256" i="2" s="1"/>
  <c r="I12257" i="2" a="1"/>
  <c r="I12257" i="2" s="1"/>
  <c r="I12258" i="2" a="1"/>
  <c r="I12258" i="2" s="1"/>
  <c r="I12259" i="2" a="1"/>
  <c r="I12259" i="2" s="1"/>
  <c r="I12260" i="2" a="1"/>
  <c r="I12260" i="2" s="1"/>
  <c r="I12261" i="2" a="1"/>
  <c r="I12261" i="2" s="1"/>
  <c r="I12262" i="2" a="1"/>
  <c r="I12262" i="2" s="1"/>
  <c r="I12263" i="2" a="1"/>
  <c r="I12263" i="2" s="1"/>
  <c r="I12264" i="2" a="1"/>
  <c r="I12264" i="2" s="1"/>
  <c r="I12265" i="2" a="1"/>
  <c r="I12265" i="2" s="1"/>
  <c r="I12266" i="2" a="1"/>
  <c r="I12266" i="2" s="1"/>
  <c r="I12267" i="2" a="1"/>
  <c r="I12267" i="2" s="1"/>
  <c r="I12268" i="2" a="1"/>
  <c r="I12268" i="2" s="1"/>
  <c r="I12269" i="2" a="1"/>
  <c r="I12269" i="2" s="1"/>
  <c r="I12270" i="2" a="1"/>
  <c r="I12270" i="2" s="1"/>
  <c r="I12271" i="2" a="1"/>
  <c r="I12271" i="2" s="1"/>
  <c r="I12272" i="2" a="1"/>
  <c r="I12272" i="2" s="1"/>
  <c r="I12273" i="2" a="1"/>
  <c r="I12273" i="2" s="1"/>
  <c r="I12274" i="2" a="1"/>
  <c r="I12274" i="2" s="1"/>
  <c r="I12275" i="2" a="1"/>
  <c r="I12275" i="2" s="1"/>
  <c r="I12276" i="2" a="1"/>
  <c r="I12276" i="2" s="1"/>
  <c r="I12277" i="2" a="1"/>
  <c r="I12277" i="2" s="1"/>
  <c r="I12278" i="2" a="1"/>
  <c r="I12278" i="2" s="1"/>
  <c r="I12279" i="2" a="1"/>
  <c r="I12279" i="2" s="1"/>
  <c r="I12280" i="2" a="1"/>
  <c r="I12280" i="2" s="1"/>
  <c r="I12281" i="2" a="1"/>
  <c r="I12281" i="2" s="1"/>
  <c r="I12282" i="2" a="1"/>
  <c r="I12282" i="2" s="1"/>
  <c r="I12283" i="2" a="1"/>
  <c r="I12283" i="2" s="1"/>
  <c r="I12284" i="2" a="1"/>
  <c r="I12284" i="2" s="1"/>
  <c r="I12285" i="2" a="1"/>
  <c r="I12285" i="2" s="1"/>
  <c r="I12286" i="2" a="1"/>
  <c r="I12286" i="2" s="1"/>
  <c r="I12287" i="2" a="1"/>
  <c r="I12287" i="2" s="1"/>
  <c r="I12288" i="2" a="1"/>
  <c r="I12288" i="2" s="1"/>
  <c r="I12289" i="2" a="1"/>
  <c r="I12289" i="2" s="1"/>
  <c r="I12290" i="2" a="1"/>
  <c r="I12290" i="2" s="1"/>
  <c r="I12291" i="2" a="1"/>
  <c r="I12291" i="2" s="1"/>
  <c r="I12292" i="2" a="1"/>
  <c r="I12292" i="2" s="1"/>
  <c r="I12293" i="2" a="1"/>
  <c r="I12293" i="2" s="1"/>
  <c r="I12294" i="2" a="1"/>
  <c r="I12294" i="2" s="1"/>
  <c r="I12295" i="2" a="1"/>
  <c r="I12295" i="2" s="1"/>
  <c r="I12296" i="2" a="1"/>
  <c r="I12296" i="2" s="1"/>
  <c r="I12297" i="2" a="1"/>
  <c r="I12297" i="2" s="1"/>
  <c r="I12298" i="2" a="1"/>
  <c r="I12298" i="2" s="1"/>
  <c r="I12299" i="2" a="1"/>
  <c r="I12299" i="2" s="1"/>
  <c r="I12300" i="2" a="1"/>
  <c r="I12300" i="2" s="1"/>
  <c r="I12301" i="2" a="1"/>
  <c r="I12301" i="2" s="1"/>
  <c r="I12302" i="2" a="1"/>
  <c r="I12302" i="2" s="1"/>
  <c r="I12303" i="2" a="1"/>
  <c r="I12303" i="2" s="1"/>
  <c r="I12304" i="2" a="1"/>
  <c r="I12304" i="2" s="1"/>
  <c r="I12305" i="2" a="1"/>
  <c r="I12305" i="2" s="1"/>
  <c r="I12306" i="2" a="1"/>
  <c r="I12306" i="2" s="1"/>
  <c r="I12307" i="2" a="1"/>
  <c r="I12307" i="2" s="1"/>
  <c r="I12308" i="2" a="1"/>
  <c r="I12308" i="2" s="1"/>
  <c r="I12309" i="2" a="1"/>
  <c r="I12309" i="2" s="1"/>
  <c r="I12310" i="2" a="1"/>
  <c r="I12310" i="2" s="1"/>
  <c r="I12311" i="2" a="1"/>
  <c r="I12311" i="2" s="1"/>
  <c r="I12312" i="2" a="1"/>
  <c r="I12312" i="2" s="1"/>
  <c r="I12313" i="2" a="1"/>
  <c r="I12313" i="2" s="1"/>
  <c r="I12314" i="2" a="1"/>
  <c r="I12314" i="2" s="1"/>
  <c r="I12315" i="2" a="1"/>
  <c r="I12315" i="2" s="1"/>
  <c r="I12316" i="2" a="1"/>
  <c r="I12316" i="2" s="1"/>
  <c r="I12317" i="2" a="1"/>
  <c r="I12317" i="2" s="1"/>
  <c r="I12318" i="2" a="1"/>
  <c r="I12318" i="2" s="1"/>
  <c r="I12319" i="2" a="1"/>
  <c r="I12319" i="2" s="1"/>
  <c r="I12320" i="2" a="1"/>
  <c r="I12320" i="2" s="1"/>
  <c r="I12321" i="2" a="1"/>
  <c r="I12321" i="2" s="1"/>
  <c r="I12322" i="2" a="1"/>
  <c r="I12322" i="2" s="1"/>
  <c r="I12323" i="2" a="1"/>
  <c r="I12323" i="2" s="1"/>
  <c r="I12324" i="2" a="1"/>
  <c r="I12324" i="2" s="1"/>
  <c r="I12325" i="2" a="1"/>
  <c r="I12325" i="2" s="1"/>
  <c r="I12326" i="2" a="1"/>
  <c r="I12326" i="2" s="1"/>
  <c r="I12327" i="2" a="1"/>
  <c r="I12327" i="2" s="1"/>
  <c r="I12328" i="2" a="1"/>
  <c r="I12328" i="2" s="1"/>
  <c r="I12329" i="2" a="1"/>
  <c r="I12329" i="2" s="1"/>
  <c r="I12330" i="2" a="1"/>
  <c r="I12330" i="2" s="1"/>
  <c r="I12331" i="2" a="1"/>
  <c r="I12331" i="2" s="1"/>
  <c r="I12332" i="2" a="1"/>
  <c r="I12332" i="2" s="1"/>
  <c r="I12333" i="2" a="1"/>
  <c r="I12333" i="2" s="1"/>
  <c r="I12334" i="2" a="1"/>
  <c r="I12334" i="2" s="1"/>
  <c r="I12335" i="2" a="1"/>
  <c r="I12335" i="2" s="1"/>
  <c r="I12336" i="2" a="1"/>
  <c r="I12336" i="2" s="1"/>
  <c r="I12337" i="2" a="1"/>
  <c r="I12337" i="2" s="1"/>
  <c r="I12338" i="2" a="1"/>
  <c r="I12338" i="2" s="1"/>
  <c r="I12339" i="2" a="1"/>
  <c r="I12339" i="2" s="1"/>
  <c r="I12340" i="2" a="1"/>
  <c r="I12340" i="2" s="1"/>
  <c r="I12341" i="2" a="1"/>
  <c r="I12341" i="2" s="1"/>
  <c r="I12342" i="2" a="1"/>
  <c r="I12342" i="2" s="1"/>
  <c r="I12343" i="2" a="1"/>
  <c r="I12343" i="2" s="1"/>
  <c r="I12344" i="2" a="1"/>
  <c r="I12344" i="2" s="1"/>
  <c r="I12345" i="2" a="1"/>
  <c r="I12345" i="2" s="1"/>
  <c r="I12346" i="2" a="1"/>
  <c r="I12346" i="2" s="1"/>
  <c r="I12347" i="2" a="1"/>
  <c r="I12347" i="2" s="1"/>
  <c r="I12348" i="2" a="1"/>
  <c r="I12348" i="2" s="1"/>
  <c r="I12349" i="2" a="1"/>
  <c r="I12349" i="2" s="1"/>
  <c r="I12350" i="2" a="1"/>
  <c r="I12350" i="2" s="1"/>
  <c r="I12351" i="2" a="1"/>
  <c r="I12351" i="2" s="1"/>
  <c r="I12352" i="2" a="1"/>
  <c r="I12352" i="2" s="1"/>
  <c r="I12353" i="2" a="1"/>
  <c r="I12353" i="2" s="1"/>
  <c r="I12354" i="2" a="1"/>
  <c r="I12354" i="2" s="1"/>
  <c r="I12355" i="2" a="1"/>
  <c r="I12355" i="2" s="1"/>
  <c r="I12356" i="2" a="1"/>
  <c r="I12356" i="2" s="1"/>
  <c r="I12357" i="2" a="1"/>
  <c r="I12357" i="2" s="1"/>
  <c r="I12358" i="2" a="1"/>
  <c r="I12358" i="2" s="1"/>
  <c r="I12359" i="2" a="1"/>
  <c r="I12359" i="2" s="1"/>
  <c r="I12360" i="2" a="1"/>
  <c r="I12360" i="2" s="1"/>
  <c r="I12361" i="2" a="1"/>
  <c r="I12361" i="2" s="1"/>
  <c r="I12362" i="2" a="1"/>
  <c r="I12362" i="2" s="1"/>
  <c r="I12363" i="2" a="1"/>
  <c r="I12363" i="2" s="1"/>
  <c r="I12364" i="2" a="1"/>
  <c r="I12364" i="2" s="1"/>
  <c r="I12365" i="2" a="1"/>
  <c r="I12365" i="2" s="1"/>
  <c r="I12366" i="2" a="1"/>
  <c r="I12366" i="2" s="1"/>
  <c r="I12367" i="2" a="1"/>
  <c r="I12367" i="2" s="1"/>
  <c r="I12368" i="2" a="1"/>
  <c r="I12368" i="2" s="1"/>
  <c r="I12369" i="2" a="1"/>
  <c r="I12369" i="2" s="1"/>
  <c r="I12370" i="2" a="1"/>
  <c r="I12370" i="2" s="1"/>
  <c r="I12371" i="2" a="1"/>
  <c r="I12371" i="2" s="1"/>
  <c r="I12372" i="2" a="1"/>
  <c r="I12372" i="2" s="1"/>
  <c r="I12373" i="2" a="1"/>
  <c r="I12373" i="2" s="1"/>
  <c r="I12374" i="2" a="1"/>
  <c r="I12374" i="2" s="1"/>
  <c r="I12375" i="2" a="1"/>
  <c r="I12375" i="2" s="1"/>
  <c r="I12376" i="2" a="1"/>
  <c r="I12376" i="2" s="1"/>
  <c r="I12377" i="2" a="1"/>
  <c r="I12377" i="2" s="1"/>
  <c r="I12378" i="2" a="1"/>
  <c r="I12378" i="2" s="1"/>
  <c r="I12379" i="2" a="1"/>
  <c r="I12379" i="2" s="1"/>
  <c r="I12380" i="2" a="1"/>
  <c r="I12380" i="2" s="1"/>
  <c r="I12381" i="2" a="1"/>
  <c r="I12381" i="2" s="1"/>
  <c r="I12382" i="2" a="1"/>
  <c r="I12382" i="2" s="1"/>
  <c r="I12383" i="2" a="1"/>
  <c r="I12383" i="2" s="1"/>
  <c r="I12384" i="2" a="1"/>
  <c r="I12384" i="2" s="1"/>
  <c r="I12385" i="2" a="1"/>
  <c r="I12385" i="2" s="1"/>
  <c r="I12386" i="2" a="1"/>
  <c r="I12386" i="2" s="1"/>
  <c r="I12387" i="2" a="1"/>
  <c r="I12387" i="2" s="1"/>
  <c r="I12388" i="2" a="1"/>
  <c r="I12388" i="2" s="1"/>
  <c r="I12389" i="2" a="1"/>
  <c r="I12389" i="2" s="1"/>
  <c r="I12390" i="2" a="1"/>
  <c r="I12390" i="2" s="1"/>
  <c r="I12391" i="2" a="1"/>
  <c r="I12391" i="2" s="1"/>
  <c r="I12392" i="2" a="1"/>
  <c r="I12392" i="2" s="1"/>
  <c r="I12393" i="2" a="1"/>
  <c r="I12393" i="2" s="1"/>
  <c r="I12394" i="2" a="1"/>
  <c r="I12394" i="2" s="1"/>
  <c r="I12395" i="2" a="1"/>
  <c r="I12395" i="2" s="1"/>
  <c r="I12396" i="2" a="1"/>
  <c r="I12396" i="2" s="1"/>
  <c r="I12397" i="2" a="1"/>
  <c r="I12397" i="2" s="1"/>
  <c r="I12398" i="2" a="1"/>
  <c r="I12398" i="2" s="1"/>
  <c r="I12399" i="2" a="1"/>
  <c r="I12399" i="2" s="1"/>
  <c r="I12400" i="2" a="1"/>
  <c r="I12400" i="2" s="1"/>
  <c r="I12401" i="2" a="1"/>
  <c r="I12401" i="2" s="1"/>
  <c r="I12402" i="2" a="1"/>
  <c r="I12402" i="2" s="1"/>
  <c r="I12403" i="2" a="1"/>
  <c r="I12403" i="2" s="1"/>
  <c r="I12404" i="2" a="1"/>
  <c r="I12404" i="2" s="1"/>
  <c r="I12405" i="2" a="1"/>
  <c r="I12405" i="2" s="1"/>
  <c r="I12406" i="2" a="1"/>
  <c r="I12406" i="2" s="1"/>
  <c r="I12407" i="2" a="1"/>
  <c r="I12407" i="2" s="1"/>
  <c r="I12408" i="2" a="1"/>
  <c r="I12408" i="2" s="1"/>
  <c r="I12409" i="2" a="1"/>
  <c r="I12409" i="2" s="1"/>
  <c r="I12410" i="2" a="1"/>
  <c r="I12410" i="2" s="1"/>
  <c r="I12411" i="2" a="1"/>
  <c r="I12411" i="2" s="1"/>
  <c r="I12412" i="2" a="1"/>
  <c r="I12412" i="2" s="1"/>
  <c r="I12413" i="2" a="1"/>
  <c r="I12413" i="2" s="1"/>
  <c r="I12414" i="2" a="1"/>
  <c r="I12414" i="2" s="1"/>
  <c r="I12415" i="2" a="1"/>
  <c r="I12415" i="2" s="1"/>
  <c r="I12416" i="2" a="1"/>
  <c r="I12416" i="2" s="1"/>
  <c r="I12417" i="2" a="1"/>
  <c r="I12417" i="2" s="1"/>
  <c r="I12418" i="2" a="1"/>
  <c r="I12418" i="2" s="1"/>
  <c r="I12419" i="2" a="1"/>
  <c r="I12419" i="2" s="1"/>
  <c r="I12420" i="2" a="1"/>
  <c r="I12420" i="2" s="1"/>
  <c r="I12421" i="2" a="1"/>
  <c r="I12421" i="2" s="1"/>
  <c r="I12422" i="2" a="1"/>
  <c r="I12422" i="2" s="1"/>
  <c r="I12423" i="2" a="1"/>
  <c r="I12423" i="2" s="1"/>
  <c r="I12424" i="2" a="1"/>
  <c r="I12424" i="2" s="1"/>
  <c r="I12425" i="2" a="1"/>
  <c r="I12425" i="2" s="1"/>
  <c r="I12426" i="2" a="1"/>
  <c r="I12426" i="2" s="1"/>
  <c r="I12427" i="2" a="1"/>
  <c r="I12427" i="2" s="1"/>
  <c r="I12428" i="2" a="1"/>
  <c r="I12428" i="2" s="1"/>
  <c r="I12429" i="2" a="1"/>
  <c r="I12429" i="2" s="1"/>
  <c r="I12430" i="2" a="1"/>
  <c r="I12430" i="2" s="1"/>
  <c r="I12431" i="2" a="1"/>
  <c r="I12431" i="2" s="1"/>
  <c r="I12432" i="2" a="1"/>
  <c r="I12432" i="2" s="1"/>
  <c r="I12433" i="2" a="1"/>
  <c r="I12433" i="2" s="1"/>
  <c r="I12434" i="2" a="1"/>
  <c r="I12434" i="2" s="1"/>
  <c r="I12435" i="2" a="1"/>
  <c r="I12435" i="2" s="1"/>
  <c r="I12436" i="2" a="1"/>
  <c r="I12436" i="2" s="1"/>
  <c r="I12437" i="2" a="1"/>
  <c r="I12437" i="2" s="1"/>
  <c r="I12438" i="2" a="1"/>
  <c r="I12438" i="2" s="1"/>
  <c r="I12439" i="2" a="1"/>
  <c r="I12439" i="2" s="1"/>
  <c r="I12440" i="2" a="1"/>
  <c r="I12440" i="2" s="1"/>
  <c r="I12441" i="2" a="1"/>
  <c r="I12441" i="2" s="1"/>
  <c r="I12442" i="2" a="1"/>
  <c r="I12442" i="2" s="1"/>
  <c r="I12443" i="2" a="1"/>
  <c r="I12443" i="2" s="1"/>
  <c r="I12444" i="2" a="1"/>
  <c r="I12444" i="2" s="1"/>
  <c r="I12445" i="2" a="1"/>
  <c r="I12445" i="2" s="1"/>
  <c r="I12446" i="2" a="1"/>
  <c r="I12446" i="2" s="1"/>
  <c r="I12447" i="2" a="1"/>
  <c r="I12447" i="2" s="1"/>
  <c r="I12448" i="2" a="1"/>
  <c r="I12448" i="2" s="1"/>
  <c r="I12449" i="2" a="1"/>
  <c r="I12449" i="2" s="1"/>
  <c r="I12450" i="2" a="1"/>
  <c r="I12450" i="2" s="1"/>
  <c r="I12451" i="2" a="1"/>
  <c r="I12451" i="2" s="1"/>
  <c r="I12452" i="2" a="1"/>
  <c r="I12452" i="2" s="1"/>
  <c r="I12453" i="2" a="1"/>
  <c r="I12453" i="2" s="1"/>
  <c r="I12454" i="2" a="1"/>
  <c r="I12454" i="2" s="1"/>
  <c r="I12455" i="2" a="1"/>
  <c r="I12455" i="2" s="1"/>
  <c r="I12456" i="2" a="1"/>
  <c r="I12456" i="2" s="1"/>
  <c r="I12457" i="2" a="1"/>
  <c r="I12457" i="2" s="1"/>
  <c r="I12458" i="2" a="1"/>
  <c r="I12458" i="2" s="1"/>
  <c r="I12459" i="2" a="1"/>
  <c r="I12459" i="2" s="1"/>
  <c r="I12460" i="2" a="1"/>
  <c r="I12460" i="2" s="1"/>
  <c r="I12461" i="2" a="1"/>
  <c r="I12461" i="2" s="1"/>
  <c r="I12462" i="2" a="1"/>
  <c r="I12462" i="2" s="1"/>
  <c r="I12463" i="2" a="1"/>
  <c r="I12463" i="2" s="1"/>
  <c r="I12464" i="2" a="1"/>
  <c r="I12464" i="2" s="1"/>
  <c r="I12465" i="2" a="1"/>
  <c r="I12465" i="2" s="1"/>
  <c r="I12466" i="2" a="1"/>
  <c r="I12466" i="2" s="1"/>
  <c r="I12467" i="2" a="1"/>
  <c r="I12467" i="2" s="1"/>
  <c r="I12468" i="2" a="1"/>
  <c r="I12468" i="2" s="1"/>
  <c r="I12469" i="2" a="1"/>
  <c r="I12469" i="2" s="1"/>
  <c r="I12470" i="2" a="1"/>
  <c r="I12470" i="2" s="1"/>
  <c r="I12471" i="2" a="1"/>
  <c r="I12471" i="2" s="1"/>
  <c r="I12472" i="2" a="1"/>
  <c r="I12472" i="2" s="1"/>
  <c r="I12473" i="2" a="1"/>
  <c r="I12473" i="2" s="1"/>
  <c r="I12474" i="2" a="1"/>
  <c r="I12474" i="2" s="1"/>
  <c r="I12475" i="2" a="1"/>
  <c r="I12475" i="2" s="1"/>
  <c r="I12476" i="2" a="1"/>
  <c r="I12476" i="2" s="1"/>
  <c r="I12477" i="2" a="1"/>
  <c r="I12477" i="2" s="1"/>
  <c r="I12478" i="2" a="1"/>
  <c r="I12478" i="2" s="1"/>
  <c r="I12479" i="2" a="1"/>
  <c r="I12479" i="2" s="1"/>
  <c r="I12480" i="2" a="1"/>
  <c r="I12480" i="2" s="1"/>
  <c r="I12481" i="2" a="1"/>
  <c r="I12481" i="2" s="1"/>
  <c r="I12482" i="2" a="1"/>
  <c r="I12482" i="2" s="1"/>
  <c r="I12483" i="2" a="1"/>
  <c r="I12483" i="2" s="1"/>
  <c r="I12484" i="2" a="1"/>
  <c r="I12484" i="2" s="1"/>
  <c r="I12485" i="2" a="1"/>
  <c r="I12485" i="2" s="1"/>
  <c r="I12486" i="2" a="1"/>
  <c r="I12486" i="2" s="1"/>
  <c r="I12487" i="2" a="1"/>
  <c r="I12487" i="2" s="1"/>
  <c r="I12488" i="2" a="1"/>
  <c r="I12488" i="2" s="1"/>
  <c r="I12489" i="2" a="1"/>
  <c r="I12489" i="2" s="1"/>
  <c r="I12490" i="2" a="1"/>
  <c r="I12490" i="2" s="1"/>
  <c r="I12491" i="2" a="1"/>
  <c r="I12491" i="2" s="1"/>
  <c r="I12492" i="2" a="1"/>
  <c r="I12492" i="2" s="1"/>
  <c r="I12493" i="2" a="1"/>
  <c r="I12493" i="2" s="1"/>
  <c r="I12494" i="2" a="1"/>
  <c r="I12494" i="2" s="1"/>
  <c r="I12495" i="2" a="1"/>
  <c r="I12495" i="2" s="1"/>
  <c r="I12496" i="2" a="1"/>
  <c r="I12496" i="2" s="1"/>
  <c r="I12497" i="2" a="1"/>
  <c r="I12497" i="2" s="1"/>
  <c r="I12498" i="2" a="1"/>
  <c r="I12498" i="2" s="1"/>
  <c r="I12499" i="2" a="1"/>
  <c r="I12499" i="2" s="1"/>
  <c r="I12500" i="2" a="1"/>
  <c r="I12500" i="2" s="1"/>
  <c r="I12501" i="2" a="1"/>
  <c r="I12501" i="2" s="1"/>
  <c r="I12502" i="2" a="1"/>
  <c r="I12502" i="2" s="1"/>
  <c r="I12503" i="2" a="1"/>
  <c r="I12503" i="2" s="1"/>
  <c r="I12504" i="2" a="1"/>
  <c r="I12504" i="2" s="1"/>
  <c r="I12505" i="2" a="1"/>
  <c r="I12505" i="2" s="1"/>
  <c r="I12506" i="2" a="1"/>
  <c r="I12506" i="2" s="1"/>
  <c r="I12507" i="2" a="1"/>
  <c r="I12507" i="2" s="1"/>
  <c r="I12508" i="2" a="1"/>
  <c r="I12508" i="2" s="1"/>
  <c r="I12509" i="2" a="1"/>
  <c r="I12509" i="2" s="1"/>
  <c r="I12510" i="2" a="1"/>
  <c r="I12510" i="2" s="1"/>
  <c r="I12511" i="2" a="1"/>
  <c r="I12511" i="2" s="1"/>
  <c r="I12512" i="2" a="1"/>
  <c r="I12512" i="2" s="1"/>
  <c r="I12513" i="2" a="1"/>
  <c r="I12513" i="2" s="1"/>
  <c r="I12514" i="2" a="1"/>
  <c r="I12514" i="2" s="1"/>
  <c r="I12515" i="2" a="1"/>
  <c r="I12515" i="2" s="1"/>
  <c r="I12516" i="2" a="1"/>
  <c r="I12516" i="2" s="1"/>
  <c r="I12517" i="2" a="1"/>
  <c r="I12517" i="2" s="1"/>
  <c r="I12518" i="2" a="1"/>
  <c r="I12518" i="2" s="1"/>
  <c r="I12519" i="2" a="1"/>
  <c r="I12519" i="2" s="1"/>
  <c r="I12520" i="2" a="1"/>
  <c r="I12520" i="2" s="1"/>
  <c r="I12521" i="2" a="1"/>
  <c r="I12521" i="2" s="1"/>
  <c r="I12522" i="2" a="1"/>
  <c r="I12522" i="2" s="1"/>
  <c r="I12523" i="2" a="1"/>
  <c r="I12523" i="2" s="1"/>
  <c r="I12524" i="2" a="1"/>
  <c r="I12524" i="2" s="1"/>
  <c r="I12525" i="2" a="1"/>
  <c r="I12525" i="2" s="1"/>
  <c r="I12526" i="2" a="1"/>
  <c r="I12526" i="2" s="1"/>
  <c r="I12527" i="2" a="1"/>
  <c r="I12527" i="2" s="1"/>
  <c r="I12528" i="2" a="1"/>
  <c r="I12528" i="2" s="1"/>
  <c r="I12529" i="2" a="1"/>
  <c r="I12529" i="2" s="1"/>
  <c r="I12530" i="2" a="1"/>
  <c r="I12530" i="2" s="1"/>
  <c r="I12531" i="2" a="1"/>
  <c r="I12531" i="2" s="1"/>
  <c r="I12532" i="2" a="1"/>
  <c r="I12532" i="2" s="1"/>
  <c r="I12533" i="2" a="1"/>
  <c r="I12533" i="2" s="1"/>
  <c r="I12534" i="2" a="1"/>
  <c r="I12534" i="2" s="1"/>
  <c r="I12535" i="2" a="1"/>
  <c r="I12535" i="2" s="1"/>
  <c r="I12536" i="2" a="1"/>
  <c r="I12536" i="2" s="1"/>
  <c r="I12537" i="2" a="1"/>
  <c r="I12537" i="2" s="1"/>
  <c r="I12538" i="2" a="1"/>
  <c r="I12538" i="2" s="1"/>
  <c r="I12539" i="2" a="1"/>
  <c r="I12539" i="2" s="1"/>
  <c r="I12540" i="2" a="1"/>
  <c r="I12540" i="2" s="1"/>
  <c r="I12541" i="2" a="1"/>
  <c r="I12541" i="2" s="1"/>
  <c r="I12542" i="2" a="1"/>
  <c r="I12542" i="2" s="1"/>
  <c r="I12543" i="2" a="1"/>
  <c r="I12543" i="2" s="1"/>
  <c r="I12544" i="2" a="1"/>
  <c r="I12544" i="2" s="1"/>
  <c r="I12545" i="2" a="1"/>
  <c r="I12545" i="2" s="1"/>
  <c r="I12546" i="2" a="1"/>
  <c r="I12546" i="2" s="1"/>
  <c r="I12547" i="2" a="1"/>
  <c r="I12547" i="2" s="1"/>
  <c r="I12548" i="2" a="1"/>
  <c r="I12548" i="2" s="1"/>
  <c r="I12549" i="2" a="1"/>
  <c r="I12549" i="2" s="1"/>
  <c r="I12550" i="2" a="1"/>
  <c r="I12550" i="2" s="1"/>
  <c r="I12551" i="2" a="1"/>
  <c r="I12551" i="2" s="1"/>
  <c r="I12552" i="2" a="1"/>
  <c r="I12552" i="2" s="1"/>
  <c r="I12553" i="2" a="1"/>
  <c r="I12553" i="2" s="1"/>
  <c r="I12554" i="2" a="1"/>
  <c r="I12554" i="2" s="1"/>
  <c r="I12555" i="2" a="1"/>
  <c r="I12555" i="2" s="1"/>
  <c r="I12556" i="2" a="1"/>
  <c r="I12556" i="2" s="1"/>
  <c r="I12557" i="2" a="1"/>
  <c r="I12557" i="2" s="1"/>
  <c r="I12558" i="2" a="1"/>
  <c r="I12558" i="2" s="1"/>
  <c r="I12559" i="2" a="1"/>
  <c r="I12559" i="2" s="1"/>
  <c r="I12560" i="2" a="1"/>
  <c r="I12560" i="2" s="1"/>
  <c r="I12561" i="2" a="1"/>
  <c r="I12561" i="2" s="1"/>
  <c r="I12562" i="2" a="1"/>
  <c r="I12562" i="2" s="1"/>
  <c r="I12563" i="2" a="1"/>
  <c r="I12563" i="2" s="1"/>
  <c r="I12564" i="2" a="1"/>
  <c r="I12564" i="2" s="1"/>
  <c r="I12565" i="2" a="1"/>
  <c r="I12565" i="2" s="1"/>
  <c r="I12566" i="2" a="1"/>
  <c r="I12566" i="2" s="1"/>
  <c r="I12567" i="2" a="1"/>
  <c r="I12567" i="2" s="1"/>
  <c r="I12568" i="2" a="1"/>
  <c r="I12568" i="2" s="1"/>
  <c r="I12569" i="2" a="1"/>
  <c r="I12569" i="2" s="1"/>
  <c r="I12570" i="2" a="1"/>
  <c r="I12570" i="2" s="1"/>
  <c r="I12571" i="2" a="1"/>
  <c r="I12571" i="2" s="1"/>
  <c r="I12572" i="2" a="1"/>
  <c r="I12572" i="2" s="1"/>
  <c r="I12573" i="2" a="1"/>
  <c r="I12573" i="2" s="1"/>
  <c r="I12574" i="2" a="1"/>
  <c r="I12574" i="2" s="1"/>
  <c r="I12575" i="2" a="1"/>
  <c r="I12575" i="2" s="1"/>
  <c r="I12576" i="2" a="1"/>
  <c r="I12576" i="2" s="1"/>
  <c r="I12577" i="2" a="1"/>
  <c r="I12577" i="2" s="1"/>
  <c r="I12578" i="2" a="1"/>
  <c r="I12578" i="2" s="1"/>
  <c r="I12579" i="2" a="1"/>
  <c r="I12579" i="2" s="1"/>
  <c r="I12580" i="2" a="1"/>
  <c r="I12580" i="2" s="1"/>
  <c r="I12581" i="2" a="1"/>
  <c r="I12581" i="2" s="1"/>
  <c r="I12582" i="2" a="1"/>
  <c r="I12582" i="2" s="1"/>
  <c r="I12583" i="2" a="1"/>
  <c r="I12583" i="2" s="1"/>
  <c r="I12584" i="2" a="1"/>
  <c r="I12584" i="2" s="1"/>
  <c r="I12585" i="2" a="1"/>
  <c r="I12585" i="2" s="1"/>
  <c r="I12586" i="2" a="1"/>
  <c r="I12586" i="2" s="1"/>
  <c r="I12587" i="2" a="1"/>
  <c r="I12587" i="2" s="1"/>
  <c r="I12588" i="2" a="1"/>
  <c r="I12588" i="2" s="1"/>
  <c r="I12589" i="2" a="1"/>
  <c r="I12589" i="2" s="1"/>
  <c r="I12590" i="2" a="1"/>
  <c r="I12590" i="2" s="1"/>
  <c r="I12591" i="2" a="1"/>
  <c r="I12591" i="2" s="1"/>
  <c r="I12592" i="2" a="1"/>
  <c r="I12592" i="2" s="1"/>
  <c r="I12593" i="2" a="1"/>
  <c r="I12593" i="2" s="1"/>
  <c r="I12594" i="2" a="1"/>
  <c r="I12594" i="2" s="1"/>
  <c r="I12595" i="2" a="1"/>
  <c r="I12595" i="2" s="1"/>
  <c r="I12596" i="2" a="1"/>
  <c r="I12596" i="2" s="1"/>
  <c r="I12597" i="2" a="1"/>
  <c r="I12597" i="2" s="1"/>
  <c r="I12598" i="2" a="1"/>
  <c r="I12598" i="2" s="1"/>
  <c r="I12599" i="2" a="1"/>
  <c r="I12599" i="2" s="1"/>
  <c r="I12600" i="2" a="1"/>
  <c r="I12600" i="2" s="1"/>
  <c r="I12601" i="2" a="1"/>
  <c r="I12601" i="2" s="1"/>
  <c r="I12602" i="2" a="1"/>
  <c r="I12602" i="2" s="1"/>
  <c r="I12603" i="2" a="1"/>
  <c r="I12603" i="2" s="1"/>
  <c r="I12604" i="2" a="1"/>
  <c r="I12604" i="2" s="1"/>
  <c r="I12605" i="2" a="1"/>
  <c r="I12605" i="2" s="1"/>
  <c r="I12606" i="2" a="1"/>
  <c r="I12606" i="2" s="1"/>
  <c r="I12607" i="2" a="1"/>
  <c r="I12607" i="2" s="1"/>
  <c r="I12608" i="2" a="1"/>
  <c r="I12608" i="2" s="1"/>
  <c r="I12609" i="2" a="1"/>
  <c r="I12609" i="2" s="1"/>
  <c r="I12610" i="2" a="1"/>
  <c r="I12610" i="2" s="1"/>
  <c r="I12611" i="2" a="1"/>
  <c r="I12611" i="2" s="1"/>
  <c r="I12612" i="2" a="1"/>
  <c r="I12612" i="2" s="1"/>
  <c r="I12613" i="2" a="1"/>
  <c r="I12613" i="2" s="1"/>
  <c r="I12614" i="2" a="1"/>
  <c r="I12614" i="2" s="1"/>
  <c r="I12615" i="2" a="1"/>
  <c r="I12615" i="2" s="1"/>
  <c r="I12616" i="2" a="1"/>
  <c r="I12616" i="2" s="1"/>
  <c r="I12617" i="2" a="1"/>
  <c r="I12617" i="2" s="1"/>
  <c r="I12618" i="2" a="1"/>
  <c r="I12618" i="2" s="1"/>
  <c r="I12619" i="2" a="1"/>
  <c r="I12619" i="2" s="1"/>
  <c r="I12620" i="2" a="1"/>
  <c r="I12620" i="2" s="1"/>
  <c r="I12621" i="2" a="1"/>
  <c r="I12621" i="2" s="1"/>
  <c r="I12622" i="2" a="1"/>
  <c r="I12622" i="2" s="1"/>
  <c r="I12623" i="2" a="1"/>
  <c r="I12623" i="2" s="1"/>
  <c r="I12624" i="2" a="1"/>
  <c r="I12624" i="2" s="1"/>
  <c r="I12625" i="2" a="1"/>
  <c r="I12625" i="2" s="1"/>
  <c r="I12626" i="2" a="1"/>
  <c r="I12626" i="2" s="1"/>
  <c r="I12627" i="2" a="1"/>
  <c r="I12627" i="2" s="1"/>
  <c r="I12628" i="2" a="1"/>
  <c r="I12628" i="2" s="1"/>
  <c r="I12629" i="2" a="1"/>
  <c r="I12629" i="2" s="1"/>
  <c r="I12630" i="2" a="1"/>
  <c r="I12630" i="2" s="1"/>
  <c r="I12631" i="2" a="1"/>
  <c r="I12631" i="2" s="1"/>
  <c r="I12632" i="2" a="1"/>
  <c r="I12632" i="2" s="1"/>
  <c r="I12633" i="2" a="1"/>
  <c r="I12633" i="2" s="1"/>
  <c r="I12634" i="2" a="1"/>
  <c r="I12634" i="2" s="1"/>
  <c r="I12635" i="2" a="1"/>
  <c r="I12635" i="2" s="1"/>
  <c r="I12636" i="2" a="1"/>
  <c r="I12636" i="2" s="1"/>
  <c r="I12637" i="2" a="1"/>
  <c r="I12637" i="2" s="1"/>
  <c r="I12638" i="2" a="1"/>
  <c r="I12638" i="2" s="1"/>
  <c r="I12639" i="2" a="1"/>
  <c r="I12639" i="2" s="1"/>
  <c r="I12640" i="2" a="1"/>
  <c r="I12640" i="2" s="1"/>
  <c r="I12641" i="2" a="1"/>
  <c r="I12641" i="2" s="1"/>
  <c r="I12642" i="2" a="1"/>
  <c r="I12642" i="2" s="1"/>
  <c r="I12643" i="2" a="1"/>
  <c r="I12643" i="2" s="1"/>
  <c r="I12644" i="2" a="1"/>
  <c r="I12644" i="2" s="1"/>
  <c r="I12645" i="2" a="1"/>
  <c r="I12645" i="2" s="1"/>
  <c r="I12646" i="2" a="1"/>
  <c r="I12646" i="2" s="1"/>
  <c r="I12647" i="2" a="1"/>
  <c r="I12647" i="2" s="1"/>
  <c r="I12648" i="2" a="1"/>
  <c r="I12648" i="2" s="1"/>
  <c r="I12649" i="2" a="1"/>
  <c r="I12649" i="2" s="1"/>
  <c r="I12650" i="2" a="1"/>
  <c r="I12650" i="2" s="1"/>
  <c r="I12651" i="2" a="1"/>
  <c r="I12651" i="2" s="1"/>
  <c r="I12652" i="2" a="1"/>
  <c r="I12652" i="2" s="1"/>
  <c r="I12653" i="2" a="1"/>
  <c r="I12653" i="2" s="1"/>
  <c r="I12654" i="2" a="1"/>
  <c r="I12654" i="2" s="1"/>
  <c r="I12655" i="2" a="1"/>
  <c r="I12655" i="2" s="1"/>
  <c r="I12656" i="2" a="1"/>
  <c r="I12656" i="2" s="1"/>
  <c r="I12657" i="2" a="1"/>
  <c r="I12657" i="2" s="1"/>
  <c r="I12658" i="2" a="1"/>
  <c r="I12658" i="2" s="1"/>
  <c r="I12659" i="2" a="1"/>
  <c r="I12659" i="2" s="1"/>
  <c r="I12660" i="2" a="1"/>
  <c r="I12660" i="2" s="1"/>
  <c r="I12661" i="2" a="1"/>
  <c r="I12661" i="2" s="1"/>
  <c r="I12662" i="2" a="1"/>
  <c r="I12662" i="2" s="1"/>
  <c r="I12663" i="2" a="1"/>
  <c r="I12663" i="2" s="1"/>
  <c r="I12664" i="2" a="1"/>
  <c r="I12664" i="2" s="1"/>
  <c r="I12665" i="2" a="1"/>
  <c r="I12665" i="2" s="1"/>
  <c r="I12666" i="2" a="1"/>
  <c r="I12666" i="2" s="1"/>
  <c r="I12667" i="2" a="1"/>
  <c r="I12667" i="2" s="1"/>
  <c r="I12668" i="2" a="1"/>
  <c r="I12668" i="2" s="1"/>
  <c r="I12669" i="2" a="1"/>
  <c r="I12669" i="2" s="1"/>
  <c r="I12670" i="2" a="1"/>
  <c r="I12670" i="2" s="1"/>
  <c r="I12671" i="2" a="1"/>
  <c r="I12671" i="2" s="1"/>
  <c r="I12672" i="2" a="1"/>
  <c r="I12672" i="2" s="1"/>
  <c r="I12673" i="2" a="1"/>
  <c r="I12673" i="2" s="1"/>
  <c r="I12674" i="2" a="1"/>
  <c r="I12674" i="2" s="1"/>
  <c r="I12675" i="2" a="1"/>
  <c r="I12675" i="2" s="1"/>
  <c r="I12676" i="2" a="1"/>
  <c r="I12676" i="2" s="1"/>
  <c r="I12677" i="2" a="1"/>
  <c r="I12677" i="2" s="1"/>
  <c r="I12678" i="2" a="1"/>
  <c r="I12678" i="2" s="1"/>
  <c r="I12679" i="2" a="1"/>
  <c r="I12679" i="2" s="1"/>
  <c r="I12680" i="2" a="1"/>
  <c r="I12680" i="2" s="1"/>
  <c r="I12681" i="2" a="1"/>
  <c r="I12681" i="2" s="1"/>
  <c r="I12682" i="2" a="1"/>
  <c r="I12682" i="2" s="1"/>
  <c r="I12683" i="2" a="1"/>
  <c r="I12683" i="2" s="1"/>
  <c r="I12684" i="2" a="1"/>
  <c r="I12684" i="2" s="1"/>
  <c r="I12685" i="2" a="1"/>
  <c r="I12685" i="2" s="1"/>
  <c r="I12686" i="2" a="1"/>
  <c r="I12686" i="2" s="1"/>
  <c r="I12687" i="2" a="1"/>
  <c r="I12687" i="2" s="1"/>
  <c r="I12688" i="2" a="1"/>
  <c r="I12688" i="2" s="1"/>
  <c r="I12689" i="2" a="1"/>
  <c r="I12689" i="2" s="1"/>
  <c r="I12690" i="2" a="1"/>
  <c r="I12690" i="2" s="1"/>
  <c r="I12691" i="2" a="1"/>
  <c r="I12691" i="2" s="1"/>
  <c r="I12692" i="2" a="1"/>
  <c r="I12692" i="2" s="1"/>
  <c r="I12693" i="2" a="1"/>
  <c r="I12693" i="2" s="1"/>
  <c r="I12694" i="2" a="1"/>
  <c r="I12694" i="2" s="1"/>
  <c r="I12695" i="2" a="1"/>
  <c r="I12695" i="2" s="1"/>
  <c r="I12696" i="2" a="1"/>
  <c r="I12696" i="2" s="1"/>
  <c r="I12697" i="2" a="1"/>
  <c r="I12697" i="2" s="1"/>
  <c r="I12698" i="2" a="1"/>
  <c r="I12698" i="2" s="1"/>
  <c r="I12699" i="2" a="1"/>
  <c r="I12699" i="2" s="1"/>
  <c r="I12700" i="2" a="1"/>
  <c r="I12700" i="2" s="1"/>
  <c r="I12701" i="2" a="1"/>
  <c r="I12701" i="2" s="1"/>
  <c r="I12702" i="2" a="1"/>
  <c r="I12702" i="2" s="1"/>
  <c r="I12703" i="2" a="1"/>
  <c r="I12703" i="2" s="1"/>
  <c r="I12704" i="2" a="1"/>
  <c r="I12704" i="2" s="1"/>
  <c r="I12705" i="2" a="1"/>
  <c r="I12705" i="2" s="1"/>
  <c r="I12706" i="2" a="1"/>
  <c r="I12706" i="2" s="1"/>
  <c r="I12707" i="2" a="1"/>
  <c r="I12707" i="2" s="1"/>
  <c r="I12708" i="2" a="1"/>
  <c r="I12708" i="2" s="1"/>
  <c r="I12709" i="2" a="1"/>
  <c r="I12709" i="2" s="1"/>
  <c r="I12710" i="2" a="1"/>
  <c r="I12710" i="2" s="1"/>
  <c r="I12711" i="2" a="1"/>
  <c r="I12711" i="2" s="1"/>
  <c r="I12712" i="2" a="1"/>
  <c r="I12712" i="2" s="1"/>
  <c r="I12713" i="2" a="1"/>
  <c r="I12713" i="2" s="1"/>
  <c r="I12714" i="2" a="1"/>
  <c r="I12714" i="2" s="1"/>
  <c r="I12715" i="2" a="1"/>
  <c r="I12715" i="2" s="1"/>
  <c r="I12716" i="2" a="1"/>
  <c r="I12716" i="2" s="1"/>
  <c r="I12717" i="2" a="1"/>
  <c r="I12717" i="2" s="1"/>
  <c r="I12718" i="2" a="1"/>
  <c r="I12718" i="2" s="1"/>
  <c r="I12719" i="2" a="1"/>
  <c r="I12719" i="2" s="1"/>
  <c r="I12720" i="2" a="1"/>
  <c r="I12720" i="2" s="1"/>
  <c r="I12721" i="2" a="1"/>
  <c r="I12721" i="2" s="1"/>
  <c r="I12722" i="2" a="1"/>
  <c r="I12722" i="2" s="1"/>
  <c r="I12723" i="2" a="1"/>
  <c r="I12723" i="2" s="1"/>
  <c r="I12724" i="2" a="1"/>
  <c r="I12724" i="2" s="1"/>
  <c r="I12725" i="2" a="1"/>
  <c r="I12725" i="2" s="1"/>
  <c r="I12726" i="2" a="1"/>
  <c r="I12726" i="2" s="1"/>
  <c r="I12727" i="2" a="1"/>
  <c r="I12727" i="2" s="1"/>
  <c r="I12728" i="2" a="1"/>
  <c r="I12728" i="2" s="1"/>
  <c r="I12729" i="2" a="1"/>
  <c r="I12729" i="2" s="1"/>
  <c r="I12730" i="2" a="1"/>
  <c r="I12730" i="2" s="1"/>
  <c r="I12731" i="2" a="1"/>
  <c r="I12731" i="2" s="1"/>
  <c r="I12732" i="2" a="1"/>
  <c r="I12732" i="2" s="1"/>
  <c r="I12733" i="2" a="1"/>
  <c r="I12733" i="2" s="1"/>
  <c r="I12734" i="2" a="1"/>
  <c r="I12734" i="2" s="1"/>
  <c r="I12735" i="2" a="1"/>
  <c r="I12735" i="2" s="1"/>
  <c r="I12736" i="2" a="1"/>
  <c r="I12736" i="2" s="1"/>
  <c r="I12737" i="2" a="1"/>
  <c r="I12737" i="2" s="1"/>
  <c r="I12738" i="2" a="1"/>
  <c r="I12738" i="2" s="1"/>
  <c r="I12739" i="2" a="1"/>
  <c r="I12739" i="2" s="1"/>
  <c r="I12740" i="2" a="1"/>
  <c r="I12740" i="2" s="1"/>
  <c r="I12741" i="2" a="1"/>
  <c r="I12741" i="2" s="1"/>
  <c r="I12742" i="2" a="1"/>
  <c r="I12742" i="2" s="1"/>
  <c r="I12743" i="2" a="1"/>
  <c r="I12743" i="2" s="1"/>
  <c r="I12744" i="2" a="1"/>
  <c r="I12744" i="2" s="1"/>
  <c r="I12745" i="2" a="1"/>
  <c r="I12745" i="2" s="1"/>
  <c r="I12746" i="2" a="1"/>
  <c r="I12746" i="2" s="1"/>
  <c r="I12747" i="2" a="1"/>
  <c r="I12747" i="2" s="1"/>
  <c r="I12748" i="2" a="1"/>
  <c r="I12748" i="2" s="1"/>
  <c r="I12749" i="2" a="1"/>
  <c r="I12749" i="2" s="1"/>
  <c r="I12750" i="2" a="1"/>
  <c r="I12750" i="2" s="1"/>
  <c r="I12751" i="2" a="1"/>
  <c r="I12751" i="2" s="1"/>
  <c r="I12752" i="2" a="1"/>
  <c r="I12752" i="2" s="1"/>
  <c r="I12753" i="2" a="1"/>
  <c r="I12753" i="2" s="1"/>
  <c r="I12754" i="2" a="1"/>
  <c r="I12754" i="2" s="1"/>
  <c r="I12755" i="2" a="1"/>
  <c r="I12755" i="2" s="1"/>
  <c r="I12756" i="2" a="1"/>
  <c r="I12756" i="2" s="1"/>
  <c r="I12757" i="2" a="1"/>
  <c r="I12757" i="2" s="1"/>
  <c r="I12758" i="2" a="1"/>
  <c r="I12758" i="2" s="1"/>
  <c r="I12759" i="2" a="1"/>
  <c r="I12759" i="2" s="1"/>
  <c r="I12760" i="2" a="1"/>
  <c r="I12760" i="2" s="1"/>
  <c r="I12761" i="2" a="1"/>
  <c r="I12761" i="2" s="1"/>
  <c r="I12762" i="2" a="1"/>
  <c r="I12762" i="2" s="1"/>
  <c r="I12763" i="2" a="1"/>
  <c r="I12763" i="2" s="1"/>
  <c r="I12764" i="2" a="1"/>
  <c r="I12764" i="2" s="1"/>
  <c r="I12765" i="2" a="1"/>
  <c r="I12765" i="2" s="1"/>
  <c r="I12766" i="2" a="1"/>
  <c r="I12766" i="2" s="1"/>
  <c r="I12767" i="2" a="1"/>
  <c r="I12767" i="2" s="1"/>
  <c r="I12768" i="2" a="1"/>
  <c r="I12768" i="2" s="1"/>
  <c r="I12769" i="2" a="1"/>
  <c r="I12769" i="2" s="1"/>
  <c r="I12770" i="2" a="1"/>
  <c r="I12770" i="2" s="1"/>
  <c r="I12771" i="2" a="1"/>
  <c r="I12771" i="2" s="1"/>
  <c r="I12772" i="2" a="1"/>
  <c r="I12772" i="2" s="1"/>
  <c r="I12773" i="2" a="1"/>
  <c r="I12773" i="2" s="1"/>
  <c r="I12774" i="2" a="1"/>
  <c r="I12774" i="2" s="1"/>
  <c r="I12775" i="2" a="1"/>
  <c r="I12775" i="2" s="1"/>
  <c r="I12776" i="2" a="1"/>
  <c r="I12776" i="2" s="1"/>
  <c r="I12777" i="2" a="1"/>
  <c r="I12777" i="2" s="1"/>
  <c r="I12778" i="2" a="1"/>
  <c r="I12778" i="2" s="1"/>
  <c r="I12779" i="2" a="1"/>
  <c r="I12779" i="2" s="1"/>
  <c r="I12780" i="2" a="1"/>
  <c r="I12780" i="2" s="1"/>
  <c r="I12781" i="2" a="1"/>
  <c r="I12781" i="2" s="1"/>
  <c r="I12782" i="2" a="1"/>
  <c r="I12782" i="2" s="1"/>
  <c r="I12783" i="2" a="1"/>
  <c r="I12783" i="2" s="1"/>
  <c r="I12784" i="2" a="1"/>
  <c r="I12784" i="2" s="1"/>
  <c r="I12785" i="2" a="1"/>
  <c r="I12785" i="2" s="1"/>
  <c r="I12786" i="2" a="1"/>
  <c r="I12786" i="2" s="1"/>
  <c r="I12787" i="2" a="1"/>
  <c r="I12787" i="2" s="1"/>
  <c r="I12788" i="2" a="1"/>
  <c r="I12788" i="2" s="1"/>
  <c r="I12789" i="2" a="1"/>
  <c r="I12789" i="2" s="1"/>
  <c r="I12790" i="2" a="1"/>
  <c r="I12790" i="2" s="1"/>
  <c r="I12791" i="2" a="1"/>
  <c r="I12791" i="2" s="1"/>
  <c r="I12792" i="2" a="1"/>
  <c r="I12792" i="2" s="1"/>
  <c r="I12793" i="2" a="1"/>
  <c r="I12793" i="2" s="1"/>
  <c r="I12794" i="2" a="1"/>
  <c r="I12794" i="2" s="1"/>
  <c r="I12795" i="2" a="1"/>
  <c r="I12795" i="2" s="1"/>
  <c r="I12796" i="2" a="1"/>
  <c r="I12796" i="2" s="1"/>
  <c r="I12797" i="2" a="1"/>
  <c r="I12797" i="2" s="1"/>
  <c r="I12798" i="2" a="1"/>
  <c r="I12798" i="2" s="1"/>
  <c r="I12799" i="2" a="1"/>
  <c r="I12799" i="2" s="1"/>
  <c r="I12800" i="2" a="1"/>
  <c r="I12800" i="2" s="1"/>
  <c r="I12801" i="2" a="1"/>
  <c r="I12801" i="2" s="1"/>
  <c r="I12802" i="2" a="1"/>
  <c r="I12802" i="2" s="1"/>
  <c r="I12803" i="2" a="1"/>
  <c r="I12803" i="2" s="1"/>
  <c r="I12804" i="2" a="1"/>
  <c r="I12804" i="2" s="1"/>
  <c r="I12805" i="2" a="1"/>
  <c r="I12805" i="2" s="1"/>
  <c r="I12806" i="2" a="1"/>
  <c r="I12806" i="2" s="1"/>
  <c r="I12807" i="2" a="1"/>
  <c r="I12807" i="2" s="1"/>
  <c r="I12808" i="2" a="1"/>
  <c r="I12808" i="2" s="1"/>
  <c r="I12809" i="2" a="1"/>
  <c r="I12809" i="2" s="1"/>
  <c r="I12810" i="2" a="1"/>
  <c r="I12810" i="2" s="1"/>
  <c r="I12811" i="2" a="1"/>
  <c r="I12811" i="2" s="1"/>
  <c r="I12812" i="2" a="1"/>
  <c r="I12812" i="2" s="1"/>
  <c r="I12813" i="2" a="1"/>
  <c r="I12813" i="2" s="1"/>
  <c r="I12814" i="2" a="1"/>
  <c r="I12814" i="2" s="1"/>
  <c r="I12815" i="2" a="1"/>
  <c r="I12815" i="2" s="1"/>
  <c r="I12816" i="2" a="1"/>
  <c r="I12816" i="2" s="1"/>
  <c r="I12817" i="2" a="1"/>
  <c r="I12817" i="2" s="1"/>
  <c r="I12818" i="2" a="1"/>
  <c r="I12818" i="2" s="1"/>
  <c r="I12819" i="2" a="1"/>
  <c r="I12819" i="2" s="1"/>
  <c r="I12820" i="2" a="1"/>
  <c r="I12820" i="2" s="1"/>
  <c r="I12821" i="2" a="1"/>
  <c r="I12821" i="2" s="1"/>
  <c r="I12822" i="2" a="1"/>
  <c r="I12822" i="2" s="1"/>
  <c r="I12823" i="2" a="1"/>
  <c r="I12823" i="2" s="1"/>
  <c r="I12824" i="2" a="1"/>
  <c r="I12824" i="2" s="1"/>
  <c r="I12825" i="2" a="1"/>
  <c r="I12825" i="2" s="1"/>
  <c r="I12826" i="2" a="1"/>
  <c r="I12826" i="2" s="1"/>
  <c r="I12827" i="2" a="1"/>
  <c r="I12827" i="2" s="1"/>
  <c r="I12828" i="2" a="1"/>
  <c r="I12828" i="2" s="1"/>
  <c r="I12829" i="2" a="1"/>
  <c r="I12829" i="2" s="1"/>
  <c r="I12830" i="2" a="1"/>
  <c r="I12830" i="2" s="1"/>
  <c r="I12831" i="2" a="1"/>
  <c r="I12831" i="2" s="1"/>
  <c r="I12832" i="2" a="1"/>
  <c r="I12832" i="2" s="1"/>
  <c r="I12833" i="2" a="1"/>
  <c r="I12833" i="2" s="1"/>
  <c r="I12834" i="2" a="1"/>
  <c r="I12834" i="2" s="1"/>
  <c r="I12835" i="2" a="1"/>
  <c r="I12835" i="2" s="1"/>
  <c r="I12836" i="2" a="1"/>
  <c r="I12836" i="2" s="1"/>
  <c r="I12837" i="2" a="1"/>
  <c r="I12837" i="2" s="1"/>
  <c r="I12838" i="2" a="1"/>
  <c r="I12838" i="2" s="1"/>
  <c r="I12839" i="2" a="1"/>
  <c r="I12839" i="2" s="1"/>
  <c r="I12840" i="2" a="1"/>
  <c r="I12840" i="2" s="1"/>
  <c r="I12841" i="2" a="1"/>
  <c r="I12841" i="2" s="1"/>
  <c r="I12842" i="2" a="1"/>
  <c r="I12842" i="2" s="1"/>
  <c r="I12843" i="2" a="1"/>
  <c r="I12843" i="2" s="1"/>
  <c r="I12844" i="2" a="1"/>
  <c r="I12844" i="2" s="1"/>
  <c r="I12845" i="2" a="1"/>
  <c r="I12845" i="2" s="1"/>
  <c r="I12846" i="2" a="1"/>
  <c r="I12846" i="2" s="1"/>
  <c r="I12847" i="2" a="1"/>
  <c r="I12847" i="2" s="1"/>
  <c r="I12848" i="2" a="1"/>
  <c r="I12848" i="2" s="1"/>
  <c r="I12849" i="2" a="1"/>
  <c r="I12849" i="2" s="1"/>
  <c r="I12850" i="2" a="1"/>
  <c r="I12850" i="2" s="1"/>
  <c r="I12851" i="2" a="1"/>
  <c r="I12851" i="2" s="1"/>
  <c r="I12852" i="2" a="1"/>
  <c r="I12852" i="2" s="1"/>
  <c r="I12853" i="2" a="1"/>
  <c r="I12853" i="2" s="1"/>
  <c r="I12854" i="2" a="1"/>
  <c r="I12854" i="2" s="1"/>
  <c r="I12855" i="2" a="1"/>
  <c r="I12855" i="2" s="1"/>
  <c r="I12856" i="2" a="1"/>
  <c r="I12856" i="2" s="1"/>
  <c r="I12857" i="2" a="1"/>
  <c r="I12857" i="2" s="1"/>
  <c r="I12858" i="2" a="1"/>
  <c r="I12858" i="2" s="1"/>
  <c r="I12859" i="2" a="1"/>
  <c r="I12859" i="2" s="1"/>
  <c r="I12860" i="2" a="1"/>
  <c r="I12860" i="2" s="1"/>
  <c r="I12861" i="2" a="1"/>
  <c r="I12861" i="2" s="1"/>
  <c r="I12862" i="2" a="1"/>
  <c r="I12862" i="2" s="1"/>
  <c r="I12863" i="2" a="1"/>
  <c r="I12863" i="2" s="1"/>
  <c r="I12864" i="2" a="1"/>
  <c r="I12864" i="2" s="1"/>
  <c r="I12865" i="2" a="1"/>
  <c r="I12865" i="2" s="1"/>
  <c r="I12866" i="2" a="1"/>
  <c r="I12866" i="2" s="1"/>
  <c r="I12867" i="2" a="1"/>
  <c r="I12867" i="2" s="1"/>
  <c r="I12868" i="2" a="1"/>
  <c r="I12868" i="2" s="1"/>
  <c r="I12869" i="2" a="1"/>
  <c r="I12869" i="2" s="1"/>
  <c r="I12870" i="2" a="1"/>
  <c r="I12870" i="2" s="1"/>
  <c r="I12871" i="2" a="1"/>
  <c r="I12871" i="2" s="1"/>
  <c r="I12872" i="2" a="1"/>
  <c r="I12872" i="2" s="1"/>
  <c r="I12873" i="2" a="1"/>
  <c r="I12873" i="2" s="1"/>
  <c r="I12874" i="2" a="1"/>
  <c r="I12874" i="2" s="1"/>
  <c r="I12875" i="2" a="1"/>
  <c r="I12875" i="2" s="1"/>
  <c r="I12876" i="2" a="1"/>
  <c r="I12876" i="2" s="1"/>
  <c r="I12877" i="2" a="1"/>
  <c r="I12877" i="2" s="1"/>
  <c r="I12878" i="2" a="1"/>
  <c r="I12878" i="2" s="1"/>
  <c r="I12879" i="2" a="1"/>
  <c r="I12879" i="2" s="1"/>
  <c r="I12880" i="2" a="1"/>
  <c r="I12880" i="2" s="1"/>
  <c r="I12881" i="2" a="1"/>
  <c r="I12881" i="2" s="1"/>
  <c r="I12882" i="2" a="1"/>
  <c r="I12882" i="2" s="1"/>
  <c r="I12883" i="2" a="1"/>
  <c r="I12883" i="2" s="1"/>
  <c r="I12884" i="2" a="1"/>
  <c r="I12884" i="2" s="1"/>
  <c r="I12885" i="2" a="1"/>
  <c r="I12885" i="2" s="1"/>
  <c r="I12886" i="2" a="1"/>
  <c r="I12886" i="2" s="1"/>
  <c r="I12887" i="2" a="1"/>
  <c r="I12887" i="2" s="1"/>
  <c r="I12888" i="2" a="1"/>
  <c r="I12888" i="2" s="1"/>
  <c r="I12889" i="2" a="1"/>
  <c r="I12889" i="2" s="1"/>
  <c r="I12890" i="2" a="1"/>
  <c r="I12890" i="2" s="1"/>
  <c r="I12891" i="2" a="1"/>
  <c r="I12891" i="2" s="1"/>
  <c r="I12892" i="2" a="1"/>
  <c r="I12892" i="2" s="1"/>
  <c r="I12893" i="2" a="1"/>
  <c r="I12893" i="2" s="1"/>
  <c r="I12894" i="2" a="1"/>
  <c r="I12894" i="2" s="1"/>
  <c r="I12895" i="2" a="1"/>
  <c r="I12895" i="2" s="1"/>
  <c r="I12896" i="2" a="1"/>
  <c r="I12896" i="2" s="1"/>
  <c r="I12897" i="2" a="1"/>
  <c r="I12897" i="2" s="1"/>
  <c r="I12898" i="2" a="1"/>
  <c r="I12898" i="2" s="1"/>
  <c r="I12899" i="2" a="1"/>
  <c r="I12899" i="2" s="1"/>
  <c r="I12900" i="2" a="1"/>
  <c r="I12900" i="2" s="1"/>
  <c r="I12901" i="2" a="1"/>
  <c r="I12901" i="2" s="1"/>
  <c r="I12902" i="2" a="1"/>
  <c r="I12902" i="2" s="1"/>
  <c r="I12903" i="2" a="1"/>
  <c r="I12903" i="2" s="1"/>
  <c r="I12904" i="2" a="1"/>
  <c r="I12904" i="2" s="1"/>
  <c r="I12905" i="2" a="1"/>
  <c r="I12905" i="2" s="1"/>
  <c r="I12906" i="2" a="1"/>
  <c r="I12906" i="2" s="1"/>
  <c r="I12907" i="2" a="1"/>
  <c r="I12907" i="2" s="1"/>
  <c r="I12908" i="2" a="1"/>
  <c r="I12908" i="2" s="1"/>
  <c r="I12909" i="2" a="1"/>
  <c r="I12909" i="2" s="1"/>
  <c r="I12910" i="2" a="1"/>
  <c r="I12910" i="2" s="1"/>
  <c r="I12911" i="2" a="1"/>
  <c r="I12911" i="2" s="1"/>
  <c r="I12912" i="2" a="1"/>
  <c r="I12912" i="2" s="1"/>
  <c r="I12913" i="2" a="1"/>
  <c r="I12913" i="2" s="1"/>
  <c r="I12914" i="2" a="1"/>
  <c r="I12914" i="2" s="1"/>
  <c r="I12915" i="2" a="1"/>
  <c r="I12915" i="2" s="1"/>
  <c r="I12916" i="2" a="1"/>
  <c r="I12916" i="2" s="1"/>
  <c r="I12917" i="2" a="1"/>
  <c r="I12917" i="2" s="1"/>
  <c r="I12918" i="2" a="1"/>
  <c r="I12918" i="2" s="1"/>
  <c r="I12919" i="2" a="1"/>
  <c r="I12919" i="2" s="1"/>
  <c r="I12920" i="2" a="1"/>
  <c r="I12920" i="2" s="1"/>
  <c r="I12921" i="2" a="1"/>
  <c r="I12921" i="2" s="1"/>
  <c r="I12922" i="2" a="1"/>
  <c r="I12922" i="2" s="1"/>
  <c r="I12923" i="2" a="1"/>
  <c r="I12923" i="2" s="1"/>
  <c r="I12924" i="2" a="1"/>
  <c r="I12924" i="2" s="1"/>
  <c r="I12925" i="2" a="1"/>
  <c r="I12925" i="2" s="1"/>
  <c r="I12926" i="2" a="1"/>
  <c r="I12926" i="2" s="1"/>
  <c r="I12927" i="2" a="1"/>
  <c r="I12927" i="2" s="1"/>
  <c r="I12928" i="2" a="1"/>
  <c r="I12928" i="2" s="1"/>
  <c r="I12929" i="2" a="1"/>
  <c r="I12929" i="2" s="1"/>
  <c r="I12930" i="2" a="1"/>
  <c r="I12930" i="2" s="1"/>
  <c r="I12931" i="2" a="1"/>
  <c r="I12931" i="2" s="1"/>
  <c r="I12932" i="2" a="1"/>
  <c r="I12932" i="2" s="1"/>
  <c r="I12933" i="2" a="1"/>
  <c r="I12933" i="2" s="1"/>
  <c r="I12934" i="2" a="1"/>
  <c r="I12934" i="2" s="1"/>
  <c r="I12935" i="2" a="1"/>
  <c r="I12935" i="2" s="1"/>
  <c r="I12936" i="2" a="1"/>
  <c r="I12936" i="2" s="1"/>
  <c r="I12937" i="2" a="1"/>
  <c r="I12937" i="2" s="1"/>
  <c r="I12938" i="2" a="1"/>
  <c r="I12938" i="2" s="1"/>
  <c r="I12939" i="2" a="1"/>
  <c r="I12939" i="2" s="1"/>
  <c r="I12940" i="2" a="1"/>
  <c r="I12940" i="2" s="1"/>
  <c r="I12941" i="2" a="1"/>
  <c r="I12941" i="2" s="1"/>
  <c r="I12942" i="2" a="1"/>
  <c r="I12942" i="2" s="1"/>
  <c r="I12943" i="2" a="1"/>
  <c r="I12943" i="2" s="1"/>
  <c r="I12944" i="2" a="1"/>
  <c r="I12944" i="2" s="1"/>
  <c r="I12945" i="2" a="1"/>
  <c r="I12945" i="2" s="1"/>
  <c r="I12946" i="2" a="1"/>
  <c r="I12946" i="2" s="1"/>
  <c r="I12947" i="2" a="1"/>
  <c r="I12947" i="2" s="1"/>
  <c r="I12948" i="2" a="1"/>
  <c r="I12948" i="2" s="1"/>
  <c r="I12949" i="2" a="1"/>
  <c r="I12949" i="2" s="1"/>
  <c r="I12950" i="2" a="1"/>
  <c r="I12950" i="2" s="1"/>
  <c r="I12951" i="2" a="1"/>
  <c r="I12951" i="2" s="1"/>
  <c r="I12952" i="2" a="1"/>
  <c r="I12952" i="2" s="1"/>
  <c r="I12953" i="2" a="1"/>
  <c r="I12953" i="2" s="1"/>
  <c r="I12954" i="2" a="1"/>
  <c r="I12954" i="2" s="1"/>
  <c r="I12955" i="2" a="1"/>
  <c r="I12955" i="2" s="1"/>
  <c r="I12956" i="2" a="1"/>
  <c r="I12956" i="2" s="1"/>
  <c r="I12957" i="2" a="1"/>
  <c r="I12957" i="2" s="1"/>
  <c r="I12958" i="2" a="1"/>
  <c r="I12958" i="2" s="1"/>
  <c r="I12959" i="2" a="1"/>
  <c r="I12959" i="2" s="1"/>
  <c r="I12960" i="2" a="1"/>
  <c r="I12960" i="2" s="1"/>
  <c r="I12961" i="2" a="1"/>
  <c r="I12961" i="2" s="1"/>
  <c r="I12962" i="2" a="1"/>
  <c r="I12962" i="2" s="1"/>
  <c r="I12963" i="2" a="1"/>
  <c r="I12963" i="2" s="1"/>
  <c r="I12964" i="2" a="1"/>
  <c r="I12964" i="2" s="1"/>
  <c r="I12965" i="2" a="1"/>
  <c r="I12965" i="2" s="1"/>
  <c r="I12966" i="2" a="1"/>
  <c r="I12966" i="2" s="1"/>
  <c r="I12967" i="2" a="1"/>
  <c r="I12967" i="2" s="1"/>
  <c r="I12968" i="2" a="1"/>
  <c r="I12968" i="2" s="1"/>
  <c r="I12969" i="2" a="1"/>
  <c r="I12969" i="2" s="1"/>
  <c r="I12970" i="2" a="1"/>
  <c r="I12970" i="2" s="1"/>
  <c r="I12971" i="2" a="1"/>
  <c r="I12971" i="2" s="1"/>
  <c r="I12972" i="2" a="1"/>
  <c r="I12972" i="2" s="1"/>
  <c r="I12973" i="2" a="1"/>
  <c r="I12973" i="2" s="1"/>
  <c r="I12974" i="2" a="1"/>
  <c r="I12974" i="2" s="1"/>
  <c r="I12975" i="2" a="1"/>
  <c r="I12975" i="2" s="1"/>
  <c r="I12976" i="2" a="1"/>
  <c r="I12976" i="2" s="1"/>
  <c r="I12977" i="2" a="1"/>
  <c r="I12977" i="2" s="1"/>
  <c r="I12978" i="2" a="1"/>
  <c r="I12978" i="2" s="1"/>
  <c r="I12979" i="2" a="1"/>
  <c r="I12979" i="2" s="1"/>
  <c r="I12980" i="2" a="1"/>
  <c r="I12980" i="2" s="1"/>
  <c r="I12981" i="2" a="1"/>
  <c r="I12981" i="2" s="1"/>
  <c r="I12982" i="2" a="1"/>
  <c r="I12982" i="2" s="1"/>
  <c r="I12983" i="2" a="1"/>
  <c r="I12983" i="2" s="1"/>
  <c r="I12984" i="2" a="1"/>
  <c r="I12984" i="2" s="1"/>
  <c r="I12985" i="2" a="1"/>
  <c r="I12985" i="2" s="1"/>
  <c r="I12986" i="2" a="1"/>
  <c r="I12986" i="2" s="1"/>
  <c r="I12987" i="2" a="1"/>
  <c r="I12987" i="2" s="1"/>
  <c r="I12988" i="2" a="1"/>
  <c r="I12988" i="2" s="1"/>
  <c r="I12989" i="2" a="1"/>
  <c r="I12989" i="2" s="1"/>
  <c r="I12990" i="2" a="1"/>
  <c r="I12990" i="2" s="1"/>
  <c r="I12991" i="2" a="1"/>
  <c r="I12991" i="2" s="1"/>
  <c r="I12992" i="2" a="1"/>
  <c r="I12992" i="2" s="1"/>
  <c r="I12993" i="2" a="1"/>
  <c r="I12993" i="2" s="1"/>
  <c r="I12994" i="2" a="1"/>
  <c r="I12994" i="2" s="1"/>
  <c r="I12995" i="2" a="1"/>
  <c r="I12995" i="2" s="1"/>
  <c r="I12996" i="2" a="1"/>
  <c r="I12996" i="2" s="1"/>
  <c r="I12997" i="2" a="1"/>
  <c r="I12997" i="2" s="1"/>
  <c r="I12998" i="2" a="1"/>
  <c r="I12998" i="2" s="1"/>
  <c r="I12999" i="2" a="1"/>
  <c r="I12999" i="2" s="1"/>
  <c r="I13000" i="2" a="1"/>
  <c r="I13000" i="2" s="1"/>
  <c r="I13001" i="2" a="1"/>
  <c r="I13001" i="2" s="1"/>
  <c r="I13002" i="2" a="1"/>
  <c r="I13002" i="2" s="1"/>
  <c r="I13003" i="2" a="1"/>
  <c r="I13003" i="2" s="1"/>
  <c r="I13004" i="2" a="1"/>
  <c r="I13004" i="2" s="1"/>
  <c r="I13005" i="2" a="1"/>
  <c r="I13005" i="2" s="1"/>
  <c r="I13006" i="2" a="1"/>
  <c r="I13006" i="2" s="1"/>
  <c r="I13007" i="2" a="1"/>
  <c r="I13007" i="2" s="1"/>
  <c r="I13008" i="2" a="1"/>
  <c r="I13008" i="2" s="1"/>
  <c r="I13009" i="2" a="1"/>
  <c r="I13009" i="2" s="1"/>
  <c r="I13010" i="2" a="1"/>
  <c r="I13010" i="2" s="1"/>
  <c r="I13011" i="2" a="1"/>
  <c r="I13011" i="2" s="1"/>
  <c r="I13012" i="2" a="1"/>
  <c r="I13012" i="2" s="1"/>
  <c r="I13013" i="2" a="1"/>
  <c r="I13013" i="2" s="1"/>
  <c r="I13014" i="2" a="1"/>
  <c r="I13014" i="2" s="1"/>
  <c r="I13015" i="2" a="1"/>
  <c r="I13015" i="2" s="1"/>
  <c r="I13016" i="2" a="1"/>
  <c r="I13016" i="2" s="1"/>
  <c r="I13017" i="2" a="1"/>
  <c r="I13017" i="2" s="1"/>
  <c r="I13018" i="2" a="1"/>
  <c r="I13018" i="2" s="1"/>
  <c r="I13019" i="2" a="1"/>
  <c r="I13019" i="2" s="1"/>
  <c r="I13020" i="2" a="1"/>
  <c r="I13020" i="2" s="1"/>
  <c r="I13021" i="2" a="1"/>
  <c r="I13021" i="2" s="1"/>
  <c r="I13022" i="2" a="1"/>
  <c r="I13022" i="2" s="1"/>
  <c r="I13023" i="2" a="1"/>
  <c r="I13023" i="2" s="1"/>
  <c r="I13024" i="2" a="1"/>
  <c r="I13024" i="2" s="1"/>
  <c r="I13025" i="2" a="1"/>
  <c r="I13025" i="2" s="1"/>
  <c r="I13026" i="2" a="1"/>
  <c r="I13026" i="2" s="1"/>
  <c r="I13027" i="2" a="1"/>
  <c r="I13027" i="2" s="1"/>
  <c r="I13028" i="2" a="1"/>
  <c r="I13028" i="2" s="1"/>
  <c r="I13029" i="2" a="1"/>
  <c r="I13029" i="2" s="1"/>
  <c r="I13030" i="2" a="1"/>
  <c r="I13030" i="2" s="1"/>
  <c r="I13031" i="2" a="1"/>
  <c r="I13031" i="2" s="1"/>
  <c r="I13032" i="2" a="1"/>
  <c r="I13032" i="2" s="1"/>
  <c r="I13033" i="2" a="1"/>
  <c r="I13033" i="2" s="1"/>
  <c r="I13034" i="2" a="1"/>
  <c r="I13034" i="2" s="1"/>
  <c r="I13035" i="2" a="1"/>
  <c r="I13035" i="2" s="1"/>
  <c r="I13036" i="2" a="1"/>
  <c r="I13036" i="2" s="1"/>
  <c r="I13037" i="2" a="1"/>
  <c r="I13037" i="2" s="1"/>
  <c r="I13038" i="2" a="1"/>
  <c r="I13038" i="2" s="1"/>
  <c r="I13039" i="2" a="1"/>
  <c r="I13039" i="2" s="1"/>
  <c r="I13040" i="2" a="1"/>
  <c r="I13040" i="2" s="1"/>
  <c r="I13041" i="2" a="1"/>
  <c r="I13041" i="2" s="1"/>
  <c r="I13042" i="2" a="1"/>
  <c r="I13042" i="2" s="1"/>
  <c r="I13043" i="2" a="1"/>
  <c r="I13043" i="2" s="1"/>
  <c r="I13044" i="2" a="1"/>
  <c r="I13044" i="2" s="1"/>
  <c r="I13045" i="2" a="1"/>
  <c r="I13045" i="2" s="1"/>
  <c r="I13046" i="2" a="1"/>
  <c r="I13046" i="2" s="1"/>
  <c r="I13047" i="2" a="1"/>
  <c r="I13047" i="2" s="1"/>
  <c r="I13048" i="2" a="1"/>
  <c r="I13048" i="2" s="1"/>
  <c r="I13049" i="2" a="1"/>
  <c r="I13049" i="2" s="1"/>
  <c r="I13050" i="2" a="1"/>
  <c r="I13050" i="2" s="1"/>
  <c r="I13051" i="2" a="1"/>
  <c r="I13051" i="2" s="1"/>
  <c r="I13052" i="2" a="1"/>
  <c r="I13052" i="2" s="1"/>
  <c r="I13053" i="2" a="1"/>
  <c r="I13053" i="2" s="1"/>
  <c r="I13054" i="2" a="1"/>
  <c r="I13054" i="2" s="1"/>
  <c r="I13055" i="2" a="1"/>
  <c r="I13055" i="2" s="1"/>
  <c r="I13056" i="2" a="1"/>
  <c r="I13056" i="2" s="1"/>
  <c r="I13057" i="2" a="1"/>
  <c r="I13057" i="2" s="1"/>
  <c r="I13058" i="2" a="1"/>
  <c r="I13058" i="2" s="1"/>
  <c r="I13059" i="2" a="1"/>
  <c r="I13059" i="2" s="1"/>
  <c r="I13060" i="2" a="1"/>
  <c r="I13060" i="2" s="1"/>
  <c r="I13061" i="2" a="1"/>
  <c r="I13061" i="2" s="1"/>
  <c r="I13062" i="2" a="1"/>
  <c r="I13062" i="2" s="1"/>
  <c r="I13063" i="2" a="1"/>
  <c r="I13063" i="2" s="1"/>
  <c r="I13064" i="2" a="1"/>
  <c r="I13064" i="2" s="1"/>
  <c r="I13065" i="2" a="1"/>
  <c r="I13065" i="2" s="1"/>
  <c r="I13066" i="2" a="1"/>
  <c r="I13066" i="2" s="1"/>
  <c r="I13067" i="2" a="1"/>
  <c r="I13067" i="2" s="1"/>
  <c r="I13068" i="2" a="1"/>
  <c r="I13068" i="2" s="1"/>
  <c r="I13069" i="2" a="1"/>
  <c r="I13069" i="2" s="1"/>
  <c r="I13070" i="2" a="1"/>
  <c r="I13070" i="2" s="1"/>
  <c r="I13071" i="2" a="1"/>
  <c r="I13071" i="2" s="1"/>
  <c r="I13072" i="2" a="1"/>
  <c r="I13072" i="2" s="1"/>
  <c r="I13073" i="2" a="1"/>
  <c r="I13073" i="2" s="1"/>
  <c r="I13074" i="2" a="1"/>
  <c r="I13074" i="2" s="1"/>
  <c r="I13075" i="2" a="1"/>
  <c r="I13075" i="2" s="1"/>
  <c r="I13076" i="2" a="1"/>
  <c r="I13076" i="2" s="1"/>
  <c r="I13077" i="2" a="1"/>
  <c r="I13077" i="2" s="1"/>
  <c r="I13078" i="2" a="1"/>
  <c r="I13078" i="2" s="1"/>
  <c r="I13079" i="2" a="1"/>
  <c r="I13079" i="2" s="1"/>
  <c r="I13080" i="2" a="1"/>
  <c r="I13080" i="2" s="1"/>
  <c r="I13081" i="2" a="1"/>
  <c r="I13081" i="2" s="1"/>
  <c r="I13082" i="2" a="1"/>
  <c r="I13082" i="2" s="1"/>
  <c r="I13083" i="2" a="1"/>
  <c r="I13083" i="2" s="1"/>
  <c r="I13084" i="2" a="1"/>
  <c r="I13084" i="2" s="1"/>
  <c r="I13085" i="2" a="1"/>
  <c r="I13085" i="2" s="1"/>
  <c r="I13086" i="2" a="1"/>
  <c r="I13086" i="2" s="1"/>
  <c r="I13087" i="2" a="1"/>
  <c r="I13087" i="2" s="1"/>
  <c r="I13088" i="2" a="1"/>
  <c r="I13088" i="2" s="1"/>
  <c r="I13089" i="2" a="1"/>
  <c r="I13089" i="2" s="1"/>
  <c r="I13090" i="2" a="1"/>
  <c r="I13090" i="2" s="1"/>
  <c r="I13091" i="2" a="1"/>
  <c r="I13091" i="2" s="1"/>
  <c r="I13092" i="2" a="1"/>
  <c r="I13092" i="2" s="1"/>
  <c r="I13093" i="2" a="1"/>
  <c r="I13093" i="2" s="1"/>
  <c r="I13094" i="2" a="1"/>
  <c r="I13094" i="2" s="1"/>
  <c r="I13095" i="2" a="1"/>
  <c r="I13095" i="2" s="1"/>
  <c r="I13096" i="2" a="1"/>
  <c r="I13096" i="2" s="1"/>
  <c r="I13097" i="2" a="1"/>
  <c r="I13097" i="2" s="1"/>
  <c r="I13098" i="2" a="1"/>
  <c r="I13098" i="2" s="1"/>
  <c r="I13099" i="2" a="1"/>
  <c r="I13099" i="2" s="1"/>
  <c r="I13100" i="2" a="1"/>
  <c r="I13100" i="2" s="1"/>
  <c r="I13101" i="2" a="1"/>
  <c r="I13101" i="2" s="1"/>
  <c r="I13102" i="2" a="1"/>
  <c r="I13102" i="2" s="1"/>
  <c r="I13103" i="2" a="1"/>
  <c r="I13103" i="2" s="1"/>
  <c r="I13104" i="2" a="1"/>
  <c r="I13104" i="2" s="1"/>
  <c r="I13105" i="2" a="1"/>
  <c r="I13105" i="2" s="1"/>
  <c r="I13106" i="2" a="1"/>
  <c r="I13106" i="2" s="1"/>
  <c r="I13107" i="2" a="1"/>
  <c r="I13107" i="2" s="1"/>
  <c r="I13108" i="2" a="1"/>
  <c r="I13108" i="2" s="1"/>
  <c r="I13109" i="2" a="1"/>
  <c r="I13109" i="2" s="1"/>
  <c r="I13110" i="2" a="1"/>
  <c r="I13110" i="2" s="1"/>
  <c r="I13111" i="2" a="1"/>
  <c r="I13111" i="2" s="1"/>
  <c r="I13112" i="2" a="1"/>
  <c r="I13112" i="2" s="1"/>
  <c r="I13113" i="2" a="1"/>
  <c r="I13113" i="2" s="1"/>
  <c r="I13114" i="2" a="1"/>
  <c r="I13114" i="2" s="1"/>
  <c r="I13115" i="2" a="1"/>
  <c r="I13115" i="2" s="1"/>
  <c r="I13116" i="2" a="1"/>
  <c r="I13116" i="2" s="1"/>
  <c r="I13117" i="2" a="1"/>
  <c r="I13117" i="2" s="1"/>
  <c r="I13118" i="2" a="1"/>
  <c r="I13118" i="2" s="1"/>
  <c r="I13119" i="2" a="1"/>
  <c r="I13119" i="2" s="1"/>
  <c r="I13120" i="2" a="1"/>
  <c r="I13120" i="2" s="1"/>
  <c r="I13121" i="2" a="1"/>
  <c r="I13121" i="2" s="1"/>
  <c r="I13122" i="2" a="1"/>
  <c r="I13122" i="2" s="1"/>
  <c r="I13123" i="2" a="1"/>
  <c r="I13123" i="2" s="1"/>
  <c r="I13124" i="2" a="1"/>
  <c r="I13124" i="2" s="1"/>
  <c r="I13125" i="2" a="1"/>
  <c r="I13125" i="2" s="1"/>
  <c r="I13126" i="2" a="1"/>
  <c r="I13126" i="2" s="1"/>
  <c r="I13127" i="2" a="1"/>
  <c r="I13127" i="2" s="1"/>
  <c r="I13128" i="2" a="1"/>
  <c r="I13128" i="2" s="1"/>
  <c r="I13129" i="2" a="1"/>
  <c r="I13129" i="2" s="1"/>
  <c r="I13130" i="2" a="1"/>
  <c r="I13130" i="2" s="1"/>
  <c r="I13131" i="2" a="1"/>
  <c r="I13131" i="2" s="1"/>
  <c r="I13132" i="2" a="1"/>
  <c r="I13132" i="2" s="1"/>
  <c r="I13133" i="2" a="1"/>
  <c r="I13133" i="2" s="1"/>
  <c r="I13134" i="2" a="1"/>
  <c r="I13134" i="2" s="1"/>
  <c r="I13135" i="2" a="1"/>
  <c r="I13135" i="2" s="1"/>
  <c r="I13136" i="2" a="1"/>
  <c r="I13136" i="2" s="1"/>
  <c r="I13137" i="2" a="1"/>
  <c r="I13137" i="2" s="1"/>
  <c r="I13138" i="2" a="1"/>
  <c r="I13138" i="2" s="1"/>
  <c r="I13139" i="2" a="1"/>
  <c r="I13139" i="2" s="1"/>
  <c r="I13140" i="2" a="1"/>
  <c r="I13140" i="2" s="1"/>
  <c r="I13141" i="2" a="1"/>
  <c r="I13141" i="2" s="1"/>
  <c r="I13142" i="2" a="1"/>
  <c r="I13142" i="2" s="1"/>
  <c r="I13143" i="2" a="1"/>
  <c r="I13143" i="2" s="1"/>
  <c r="I13144" i="2" a="1"/>
  <c r="I13144" i="2" s="1"/>
  <c r="I13145" i="2" a="1"/>
  <c r="I13145" i="2" s="1"/>
  <c r="I13146" i="2" a="1"/>
  <c r="I13146" i="2" s="1"/>
  <c r="I13147" i="2" a="1"/>
  <c r="I13147" i="2" s="1"/>
  <c r="I13148" i="2" a="1"/>
  <c r="I13148" i="2" s="1"/>
  <c r="I13149" i="2" a="1"/>
  <c r="I13149" i="2" s="1"/>
  <c r="I13150" i="2" a="1"/>
  <c r="I13150" i="2" s="1"/>
  <c r="I13151" i="2" a="1"/>
  <c r="I13151" i="2" s="1"/>
  <c r="I13152" i="2" a="1"/>
  <c r="I13152" i="2" s="1"/>
  <c r="I13153" i="2" a="1"/>
  <c r="I13153" i="2" s="1"/>
  <c r="I13154" i="2" a="1"/>
  <c r="I13154" i="2" s="1"/>
  <c r="I13155" i="2" a="1"/>
  <c r="I13155" i="2" s="1"/>
  <c r="I13156" i="2" a="1"/>
  <c r="I13156" i="2" s="1"/>
  <c r="I13157" i="2" a="1"/>
  <c r="I13157" i="2" s="1"/>
  <c r="I13158" i="2" a="1"/>
  <c r="I13158" i="2" s="1"/>
  <c r="I13159" i="2" a="1"/>
  <c r="I13159" i="2" s="1"/>
  <c r="I13160" i="2" a="1"/>
  <c r="I13160" i="2" s="1"/>
  <c r="I13161" i="2" a="1"/>
  <c r="I13161" i="2" s="1"/>
  <c r="I13162" i="2" a="1"/>
  <c r="I13162" i="2" s="1"/>
  <c r="I13163" i="2" a="1"/>
  <c r="I13163" i="2" s="1"/>
  <c r="I13164" i="2" a="1"/>
  <c r="I13164" i="2" s="1"/>
  <c r="I13165" i="2" a="1"/>
  <c r="I13165" i="2" s="1"/>
  <c r="I13166" i="2" a="1"/>
  <c r="I13166" i="2" s="1"/>
  <c r="I13167" i="2" a="1"/>
  <c r="I13167" i="2" s="1"/>
  <c r="I13168" i="2" a="1"/>
  <c r="I13168" i="2" s="1"/>
  <c r="I13169" i="2" a="1"/>
  <c r="I13169" i="2" s="1"/>
  <c r="I13170" i="2" a="1"/>
  <c r="I13170" i="2" s="1"/>
  <c r="I13171" i="2" a="1"/>
  <c r="I13171" i="2" s="1"/>
  <c r="I13172" i="2" a="1"/>
  <c r="I13172" i="2" s="1"/>
  <c r="I13173" i="2" a="1"/>
  <c r="I13173" i="2" s="1"/>
  <c r="I13174" i="2" a="1"/>
  <c r="I13174" i="2" s="1"/>
  <c r="I13175" i="2" a="1"/>
  <c r="I13175" i="2" s="1"/>
  <c r="I13176" i="2" a="1"/>
  <c r="I13176" i="2" s="1"/>
  <c r="I13177" i="2" a="1"/>
  <c r="I13177" i="2" s="1"/>
  <c r="I13178" i="2" a="1"/>
  <c r="I13178" i="2" s="1"/>
  <c r="I13179" i="2" a="1"/>
  <c r="I13179" i="2" s="1"/>
  <c r="I13180" i="2" a="1"/>
  <c r="I13180" i="2" s="1"/>
  <c r="I13181" i="2" a="1"/>
  <c r="I13181" i="2" s="1"/>
  <c r="I13182" i="2" a="1"/>
  <c r="I13182" i="2" s="1"/>
  <c r="I13183" i="2" a="1"/>
  <c r="I13183" i="2" s="1"/>
  <c r="I13184" i="2" a="1"/>
  <c r="I13184" i="2" s="1"/>
  <c r="I13185" i="2" a="1"/>
  <c r="I13185" i="2" s="1"/>
  <c r="I13186" i="2" a="1"/>
  <c r="I13186" i="2" s="1"/>
  <c r="I13187" i="2" a="1"/>
  <c r="I13187" i="2" s="1"/>
  <c r="I13188" i="2" a="1"/>
  <c r="I13188" i="2" s="1"/>
  <c r="I13189" i="2" a="1"/>
  <c r="I13189" i="2" s="1"/>
  <c r="I13190" i="2" a="1"/>
  <c r="I13190" i="2" s="1"/>
  <c r="I13191" i="2" a="1"/>
  <c r="I13191" i="2" s="1"/>
  <c r="I13192" i="2" a="1"/>
  <c r="I13192" i="2" s="1"/>
  <c r="I13193" i="2" a="1"/>
  <c r="I13193" i="2" s="1"/>
  <c r="I13194" i="2" a="1"/>
  <c r="I13194" i="2" s="1"/>
  <c r="I13195" i="2" a="1"/>
  <c r="I13195" i="2" s="1"/>
  <c r="I13196" i="2" a="1"/>
  <c r="I13196" i="2" s="1"/>
  <c r="I13197" i="2" a="1"/>
  <c r="I13197" i="2" s="1"/>
  <c r="I13198" i="2" a="1"/>
  <c r="I13198" i="2" s="1"/>
  <c r="I13199" i="2" a="1"/>
  <c r="I13199" i="2" s="1"/>
  <c r="I13200" i="2" a="1"/>
  <c r="I13200" i="2" s="1"/>
  <c r="I13201" i="2" a="1"/>
  <c r="I13201" i="2" s="1"/>
  <c r="I13202" i="2" a="1"/>
  <c r="I13202" i="2" s="1"/>
  <c r="I13203" i="2" a="1"/>
  <c r="I13203" i="2" s="1"/>
  <c r="I13204" i="2" a="1"/>
  <c r="I13204" i="2" s="1"/>
  <c r="I13205" i="2" a="1"/>
  <c r="I13205" i="2" s="1"/>
  <c r="I13206" i="2" a="1"/>
  <c r="I13206" i="2" s="1"/>
  <c r="I13207" i="2" a="1"/>
  <c r="I13207" i="2" s="1"/>
  <c r="I13208" i="2" a="1"/>
  <c r="I13208" i="2" s="1"/>
  <c r="I13209" i="2" a="1"/>
  <c r="I13209" i="2" s="1"/>
  <c r="I13210" i="2" a="1"/>
  <c r="I13210" i="2" s="1"/>
  <c r="I13211" i="2" a="1"/>
  <c r="I13211" i="2" s="1"/>
  <c r="I13212" i="2" a="1"/>
  <c r="I13212" i="2" s="1"/>
  <c r="I13213" i="2" a="1"/>
  <c r="I13213" i="2" s="1"/>
  <c r="I13214" i="2" a="1"/>
  <c r="I13214" i="2" s="1"/>
  <c r="I13215" i="2" a="1"/>
  <c r="I13215" i="2" s="1"/>
  <c r="I13216" i="2" a="1"/>
  <c r="I13216" i="2" s="1"/>
  <c r="I13217" i="2" a="1"/>
  <c r="I13217" i="2" s="1"/>
  <c r="I13218" i="2" a="1"/>
  <c r="I13218" i="2" s="1"/>
  <c r="I13219" i="2" a="1"/>
  <c r="I13219" i="2" s="1"/>
  <c r="I13220" i="2" a="1"/>
  <c r="I13220" i="2" s="1"/>
  <c r="I13221" i="2" a="1"/>
  <c r="I13221" i="2" s="1"/>
  <c r="I13222" i="2" a="1"/>
  <c r="I13222" i="2" s="1"/>
  <c r="I13223" i="2" a="1"/>
  <c r="I13223" i="2" s="1"/>
  <c r="I13224" i="2" a="1"/>
  <c r="I13224" i="2" s="1"/>
  <c r="I13225" i="2" a="1"/>
  <c r="I13225" i="2" s="1"/>
  <c r="I13226" i="2" a="1"/>
  <c r="I13226" i="2" s="1"/>
  <c r="I13227" i="2" a="1"/>
  <c r="I13227" i="2" s="1"/>
  <c r="I13228" i="2" a="1"/>
  <c r="I13228" i="2" s="1"/>
  <c r="I13229" i="2" a="1"/>
  <c r="I13229" i="2" s="1"/>
  <c r="I13230" i="2" a="1"/>
  <c r="I13230" i="2" s="1"/>
  <c r="I13231" i="2" a="1"/>
  <c r="I13231" i="2" s="1"/>
  <c r="I13232" i="2" a="1"/>
  <c r="I13232" i="2" s="1"/>
  <c r="I13233" i="2" a="1"/>
  <c r="I13233" i="2" s="1"/>
  <c r="I13234" i="2" a="1"/>
  <c r="I13234" i="2" s="1"/>
  <c r="I13235" i="2" a="1"/>
  <c r="I13235" i="2" s="1"/>
  <c r="I13236" i="2" a="1"/>
  <c r="I13236" i="2" s="1"/>
  <c r="I13237" i="2" a="1"/>
  <c r="I13237" i="2" s="1"/>
  <c r="I13238" i="2" a="1"/>
  <c r="I13238" i="2" s="1"/>
  <c r="I13239" i="2" a="1"/>
  <c r="I13239" i="2" s="1"/>
  <c r="I13240" i="2" a="1"/>
  <c r="I13240" i="2" s="1"/>
  <c r="I13241" i="2" a="1"/>
  <c r="I13241" i="2" s="1"/>
  <c r="I13242" i="2" a="1"/>
  <c r="I13242" i="2" s="1"/>
  <c r="I13243" i="2" a="1"/>
  <c r="I13243" i="2" s="1"/>
  <c r="I13244" i="2" a="1"/>
  <c r="I13244" i="2" s="1"/>
  <c r="I13245" i="2" a="1"/>
  <c r="I13245" i="2" s="1"/>
  <c r="I13246" i="2" a="1"/>
  <c r="I13246" i="2" s="1"/>
  <c r="I13247" i="2" a="1"/>
  <c r="I13247" i="2" s="1"/>
  <c r="I13248" i="2" a="1"/>
  <c r="I13248" i="2" s="1"/>
  <c r="I13249" i="2" a="1"/>
  <c r="I13249" i="2" s="1"/>
  <c r="I13250" i="2" a="1"/>
  <c r="I13250" i="2" s="1"/>
  <c r="I13251" i="2" a="1"/>
  <c r="I13251" i="2" s="1"/>
  <c r="I13252" i="2" a="1"/>
  <c r="I13252" i="2" s="1"/>
  <c r="I13253" i="2" a="1"/>
  <c r="I13253" i="2" s="1"/>
  <c r="I13254" i="2" a="1"/>
  <c r="I13254" i="2" s="1"/>
  <c r="I13255" i="2" a="1"/>
  <c r="I13255" i="2" s="1"/>
  <c r="I13256" i="2" a="1"/>
  <c r="I13256" i="2" s="1"/>
  <c r="I13257" i="2" a="1"/>
  <c r="I13257" i="2" s="1"/>
  <c r="I13258" i="2" a="1"/>
  <c r="I13258" i="2" s="1"/>
  <c r="I13259" i="2" a="1"/>
  <c r="I13259" i="2" s="1"/>
  <c r="I13260" i="2" a="1"/>
  <c r="I13260" i="2" s="1"/>
  <c r="I13261" i="2" a="1"/>
  <c r="I13261" i="2" s="1"/>
  <c r="I13262" i="2" a="1"/>
  <c r="I13262" i="2" s="1"/>
  <c r="I13263" i="2" a="1"/>
  <c r="I13263" i="2" s="1"/>
  <c r="I13264" i="2" a="1"/>
  <c r="I13264" i="2" s="1"/>
  <c r="I13265" i="2" a="1"/>
  <c r="I13265" i="2" s="1"/>
  <c r="I13266" i="2" a="1"/>
  <c r="I13266" i="2" s="1"/>
  <c r="I13267" i="2" a="1"/>
  <c r="I13267" i="2" s="1"/>
  <c r="I13268" i="2" a="1"/>
  <c r="I13268" i="2" s="1"/>
  <c r="I13269" i="2" a="1"/>
  <c r="I13269" i="2" s="1"/>
  <c r="I13270" i="2" a="1"/>
  <c r="I13270" i="2" s="1"/>
  <c r="I13271" i="2" a="1"/>
  <c r="I13271" i="2" s="1"/>
  <c r="I13272" i="2" a="1"/>
  <c r="I13272" i="2" s="1"/>
  <c r="I13273" i="2" a="1"/>
  <c r="I13273" i="2" s="1"/>
  <c r="I13274" i="2" a="1"/>
  <c r="I13274" i="2" s="1"/>
  <c r="I13275" i="2" a="1"/>
  <c r="I13275" i="2" s="1"/>
  <c r="I13276" i="2" a="1"/>
  <c r="I13276" i="2" s="1"/>
  <c r="I13277" i="2" a="1"/>
  <c r="I13277" i="2" s="1"/>
  <c r="I13278" i="2" a="1"/>
  <c r="I13278" i="2" s="1"/>
  <c r="I13279" i="2" a="1"/>
  <c r="I13279" i="2" s="1"/>
  <c r="I13280" i="2" a="1"/>
  <c r="I13280" i="2" s="1"/>
  <c r="I13281" i="2" a="1"/>
  <c r="I13281" i="2" s="1"/>
  <c r="I13282" i="2" a="1"/>
  <c r="I13282" i="2" s="1"/>
  <c r="I13283" i="2" a="1"/>
  <c r="I13283" i="2" s="1"/>
  <c r="I13284" i="2" a="1"/>
  <c r="I13284" i="2" s="1"/>
  <c r="I13285" i="2" a="1"/>
  <c r="I13285" i="2" s="1"/>
  <c r="I13286" i="2" a="1"/>
  <c r="I13286" i="2" s="1"/>
  <c r="I13287" i="2" a="1"/>
  <c r="I13287" i="2" s="1"/>
  <c r="I13288" i="2" a="1"/>
  <c r="I13288" i="2" s="1"/>
  <c r="I13289" i="2" a="1"/>
  <c r="I13289" i="2" s="1"/>
  <c r="I13290" i="2" a="1"/>
  <c r="I13290" i="2" s="1"/>
  <c r="I13291" i="2" a="1"/>
  <c r="I13291" i="2" s="1"/>
  <c r="I13292" i="2" a="1"/>
  <c r="I13292" i="2" s="1"/>
  <c r="I13293" i="2" a="1"/>
  <c r="I13293" i="2" s="1"/>
  <c r="I13294" i="2" a="1"/>
  <c r="I13294" i="2" s="1"/>
  <c r="I13295" i="2" a="1"/>
  <c r="I13295" i="2" s="1"/>
  <c r="I13296" i="2" a="1"/>
  <c r="I13296" i="2" s="1"/>
  <c r="I13297" i="2" a="1"/>
  <c r="I13297" i="2" s="1"/>
  <c r="I13298" i="2" a="1"/>
  <c r="I13298" i="2" s="1"/>
  <c r="I13299" i="2" a="1"/>
  <c r="I13299" i="2" s="1"/>
  <c r="I13300" i="2" a="1"/>
  <c r="I13300" i="2" s="1"/>
  <c r="I13301" i="2" a="1"/>
  <c r="I13301" i="2" s="1"/>
  <c r="I13302" i="2" a="1"/>
  <c r="I13302" i="2" s="1"/>
  <c r="I13303" i="2" a="1"/>
  <c r="I13303" i="2" s="1"/>
  <c r="I13304" i="2" a="1"/>
  <c r="I13304" i="2" s="1"/>
  <c r="I13305" i="2" a="1"/>
  <c r="I13305" i="2" s="1"/>
  <c r="I13306" i="2" a="1"/>
  <c r="I13306" i="2" s="1"/>
  <c r="I13307" i="2" a="1"/>
  <c r="I13307" i="2" s="1"/>
  <c r="I13308" i="2" a="1"/>
  <c r="I13308" i="2" s="1"/>
  <c r="I13309" i="2" a="1"/>
  <c r="I13309" i="2" s="1"/>
  <c r="I13310" i="2" a="1"/>
  <c r="I13310" i="2" s="1"/>
  <c r="I13311" i="2" a="1"/>
  <c r="I13311" i="2" s="1"/>
  <c r="I13312" i="2" a="1"/>
  <c r="I13312" i="2" s="1"/>
  <c r="I13313" i="2" a="1"/>
  <c r="I13313" i="2" s="1"/>
  <c r="I13314" i="2" a="1"/>
  <c r="I13314" i="2" s="1"/>
  <c r="I13315" i="2" a="1"/>
  <c r="I13315" i="2" s="1"/>
  <c r="I13316" i="2" a="1"/>
  <c r="I13316" i="2" s="1"/>
  <c r="I13317" i="2" a="1"/>
  <c r="I13317" i="2" s="1"/>
  <c r="I13318" i="2" a="1"/>
  <c r="I13318" i="2" s="1"/>
  <c r="I13319" i="2" a="1"/>
  <c r="I13319" i="2" s="1"/>
  <c r="I13320" i="2" a="1"/>
  <c r="I13320" i="2" s="1"/>
  <c r="I13321" i="2" a="1"/>
  <c r="I13321" i="2" s="1"/>
  <c r="I13322" i="2" a="1"/>
  <c r="I13322" i="2" s="1"/>
  <c r="I13323" i="2" a="1"/>
  <c r="I13323" i="2" s="1"/>
  <c r="I13324" i="2" a="1"/>
  <c r="I13324" i="2" s="1"/>
  <c r="I13325" i="2" a="1"/>
  <c r="I13325" i="2" s="1"/>
  <c r="I13326" i="2" a="1"/>
  <c r="I13326" i="2" s="1"/>
  <c r="I13327" i="2" a="1"/>
  <c r="I13327" i="2" s="1"/>
  <c r="I13328" i="2" a="1"/>
  <c r="I13328" i="2" s="1"/>
  <c r="I13329" i="2" a="1"/>
  <c r="I13329" i="2" s="1"/>
  <c r="I13330" i="2" a="1"/>
  <c r="I13330" i="2" s="1"/>
  <c r="I13331" i="2" a="1"/>
  <c r="I13331" i="2" s="1"/>
  <c r="I13332" i="2" a="1"/>
  <c r="I13332" i="2" s="1"/>
  <c r="I13333" i="2" a="1"/>
  <c r="I13333" i="2" s="1"/>
  <c r="I13334" i="2" a="1"/>
  <c r="I13334" i="2" s="1"/>
  <c r="I13335" i="2" a="1"/>
  <c r="I13335" i="2" s="1"/>
  <c r="I13336" i="2" a="1"/>
  <c r="I13336" i="2" s="1"/>
  <c r="I13337" i="2" a="1"/>
  <c r="I13337" i="2" s="1"/>
  <c r="I13338" i="2" a="1"/>
  <c r="I13338" i="2" s="1"/>
  <c r="I13339" i="2" a="1"/>
  <c r="I13339" i="2" s="1"/>
  <c r="I13340" i="2" a="1"/>
  <c r="I13340" i="2" s="1"/>
  <c r="I13341" i="2" a="1"/>
  <c r="I13341" i="2" s="1"/>
  <c r="I13342" i="2" a="1"/>
  <c r="I13342" i="2" s="1"/>
  <c r="I13343" i="2" a="1"/>
  <c r="I13343" i="2" s="1"/>
  <c r="I13344" i="2" a="1"/>
  <c r="I13344" i="2" s="1"/>
  <c r="I13345" i="2" a="1"/>
  <c r="I13345" i="2" s="1"/>
  <c r="I13346" i="2" a="1"/>
  <c r="I13346" i="2" s="1"/>
  <c r="I13347" i="2" a="1"/>
  <c r="I13347" i="2" s="1"/>
  <c r="I13348" i="2" a="1"/>
  <c r="I13348" i="2" s="1"/>
  <c r="I13349" i="2" a="1"/>
  <c r="I13349" i="2" s="1"/>
  <c r="I13350" i="2" a="1"/>
  <c r="I13350" i="2" s="1"/>
  <c r="I13351" i="2" a="1"/>
  <c r="I13351" i="2" s="1"/>
  <c r="I13352" i="2" a="1"/>
  <c r="I13352" i="2" s="1"/>
  <c r="I13353" i="2" a="1"/>
  <c r="I13353" i="2" s="1"/>
  <c r="I13354" i="2" a="1"/>
  <c r="I13354" i="2" s="1"/>
  <c r="I13355" i="2" a="1"/>
  <c r="I13355" i="2" s="1"/>
  <c r="I13356" i="2" a="1"/>
  <c r="I13356" i="2" s="1"/>
  <c r="I13357" i="2" a="1"/>
  <c r="I13357" i="2" s="1"/>
  <c r="I13358" i="2" a="1"/>
  <c r="I13358" i="2" s="1"/>
  <c r="I13359" i="2" a="1"/>
  <c r="I13359" i="2" s="1"/>
  <c r="I13360" i="2" a="1"/>
  <c r="I13360" i="2" s="1"/>
  <c r="I13361" i="2" a="1"/>
  <c r="I13361" i="2" s="1"/>
  <c r="I13362" i="2" a="1"/>
  <c r="I13362" i="2" s="1"/>
  <c r="I13363" i="2" a="1"/>
  <c r="I13363" i="2" s="1"/>
  <c r="I13364" i="2" a="1"/>
  <c r="I13364" i="2" s="1"/>
  <c r="I13365" i="2" a="1"/>
  <c r="I13365" i="2" s="1"/>
  <c r="I13366" i="2" a="1"/>
  <c r="I13366" i="2" s="1"/>
  <c r="I13367" i="2" a="1"/>
  <c r="I13367" i="2" s="1"/>
  <c r="I13368" i="2" a="1"/>
  <c r="I13368" i="2" s="1"/>
  <c r="I13369" i="2" a="1"/>
  <c r="I13369" i="2" s="1"/>
  <c r="I13370" i="2" a="1"/>
  <c r="I13370" i="2" s="1"/>
  <c r="I13371" i="2" a="1"/>
  <c r="I13371" i="2" s="1"/>
  <c r="I13372" i="2" a="1"/>
  <c r="I13372" i="2" s="1"/>
  <c r="I13373" i="2" a="1"/>
  <c r="I13373" i="2" s="1"/>
  <c r="I13374" i="2" a="1"/>
  <c r="I13374" i="2" s="1"/>
  <c r="I13375" i="2" a="1"/>
  <c r="I13375" i="2" s="1"/>
  <c r="I13376" i="2" a="1"/>
  <c r="I13376" i="2" s="1"/>
  <c r="I13377" i="2" a="1"/>
  <c r="I13377" i="2" s="1"/>
  <c r="I13378" i="2" a="1"/>
  <c r="I13378" i="2" s="1"/>
  <c r="I13379" i="2" a="1"/>
  <c r="I13379" i="2" s="1"/>
  <c r="I13380" i="2" a="1"/>
  <c r="I13380" i="2" s="1"/>
  <c r="I13381" i="2" a="1"/>
  <c r="I13381" i="2" s="1"/>
  <c r="I13382" i="2" a="1"/>
  <c r="I13382" i="2" s="1"/>
  <c r="I13383" i="2" a="1"/>
  <c r="I13383" i="2" s="1"/>
  <c r="I13384" i="2" a="1"/>
  <c r="I13384" i="2" s="1"/>
  <c r="I13385" i="2" a="1"/>
  <c r="I13385" i="2" s="1"/>
  <c r="I13386" i="2" a="1"/>
  <c r="I13386" i="2" s="1"/>
  <c r="I13387" i="2" a="1"/>
  <c r="I13387" i="2" s="1"/>
  <c r="I13388" i="2" a="1"/>
  <c r="I13388" i="2" s="1"/>
  <c r="I13389" i="2" a="1"/>
  <c r="I13389" i="2" s="1"/>
  <c r="I13390" i="2" a="1"/>
  <c r="I13390" i="2" s="1"/>
  <c r="I13391" i="2" a="1"/>
  <c r="I13391" i="2" s="1"/>
  <c r="I13392" i="2" a="1"/>
  <c r="I13392" i="2" s="1"/>
  <c r="I13393" i="2" a="1"/>
  <c r="I13393" i="2" s="1"/>
  <c r="I13394" i="2" a="1"/>
  <c r="I13394" i="2" s="1"/>
  <c r="I13395" i="2" a="1"/>
  <c r="I13395" i="2" s="1"/>
  <c r="I13396" i="2" a="1"/>
  <c r="I13396" i="2" s="1"/>
  <c r="I13397" i="2" a="1"/>
  <c r="I13397" i="2" s="1"/>
  <c r="I13398" i="2" a="1"/>
  <c r="I13398" i="2" s="1"/>
  <c r="I13399" i="2" a="1"/>
  <c r="I13399" i="2" s="1"/>
  <c r="I13400" i="2" a="1"/>
  <c r="I13400" i="2" s="1"/>
  <c r="I13401" i="2" a="1"/>
  <c r="I13401" i="2" s="1"/>
  <c r="I13402" i="2" a="1"/>
  <c r="I13402" i="2" s="1"/>
  <c r="I13403" i="2" a="1"/>
  <c r="I13403" i="2" s="1"/>
  <c r="I13404" i="2" a="1"/>
  <c r="I13404" i="2" s="1"/>
  <c r="I13405" i="2" a="1"/>
  <c r="I13405" i="2" s="1"/>
  <c r="I13406" i="2" a="1"/>
  <c r="I13406" i="2" s="1"/>
  <c r="I13407" i="2" a="1"/>
  <c r="I13407" i="2" s="1"/>
  <c r="I13408" i="2" a="1"/>
  <c r="I13408" i="2" s="1"/>
  <c r="I13409" i="2" a="1"/>
  <c r="I13409" i="2" s="1"/>
  <c r="I13410" i="2" a="1"/>
  <c r="I13410" i="2" s="1"/>
  <c r="I13411" i="2" a="1"/>
  <c r="I13411" i="2" s="1"/>
  <c r="I13412" i="2" a="1"/>
  <c r="I13412" i="2" s="1"/>
  <c r="I13413" i="2" a="1"/>
  <c r="I13413" i="2" s="1"/>
  <c r="I13414" i="2" a="1"/>
  <c r="I13414" i="2" s="1"/>
  <c r="I13415" i="2" a="1"/>
  <c r="I13415" i="2" s="1"/>
  <c r="I13416" i="2" a="1"/>
  <c r="I13416" i="2" s="1"/>
  <c r="I13417" i="2" a="1"/>
  <c r="I13417" i="2" s="1"/>
  <c r="I13418" i="2" a="1"/>
  <c r="I13418" i="2" s="1"/>
  <c r="I13419" i="2" a="1"/>
  <c r="I13419" i="2" s="1"/>
  <c r="I13420" i="2" a="1"/>
  <c r="I13420" i="2" s="1"/>
  <c r="I13421" i="2" a="1"/>
  <c r="I13421" i="2" s="1"/>
  <c r="I13422" i="2" a="1"/>
  <c r="I13422" i="2" s="1"/>
  <c r="I13423" i="2" a="1"/>
  <c r="I13423" i="2" s="1"/>
  <c r="I13424" i="2" a="1"/>
  <c r="I13424" i="2" s="1"/>
  <c r="I13425" i="2" a="1"/>
  <c r="I13425" i="2" s="1"/>
  <c r="I13426" i="2" a="1"/>
  <c r="I13426" i="2" s="1"/>
  <c r="I13427" i="2" a="1"/>
  <c r="I13427" i="2" s="1"/>
  <c r="I13428" i="2" a="1"/>
  <c r="I13428" i="2" s="1"/>
  <c r="I13429" i="2" a="1"/>
  <c r="I13429" i="2" s="1"/>
  <c r="I13430" i="2" a="1"/>
  <c r="I13430" i="2" s="1"/>
  <c r="I13431" i="2" a="1"/>
  <c r="I13431" i="2" s="1"/>
  <c r="I13432" i="2" a="1"/>
  <c r="I13432" i="2" s="1"/>
  <c r="I13433" i="2" a="1"/>
  <c r="I13433" i="2" s="1"/>
  <c r="I13434" i="2" a="1"/>
  <c r="I13434" i="2" s="1"/>
  <c r="I13435" i="2" a="1"/>
  <c r="I13435" i="2" s="1"/>
  <c r="I13436" i="2" a="1"/>
  <c r="I13436" i="2" s="1"/>
  <c r="I13437" i="2" a="1"/>
  <c r="I13437" i="2" s="1"/>
  <c r="I13438" i="2" a="1"/>
  <c r="I13438" i="2" s="1"/>
  <c r="I13439" i="2" a="1"/>
  <c r="I13439" i="2" s="1"/>
  <c r="I13440" i="2" a="1"/>
  <c r="I13440" i="2" s="1"/>
  <c r="I13441" i="2" a="1"/>
  <c r="I13441" i="2" s="1"/>
  <c r="I13442" i="2" a="1"/>
  <c r="I13442" i="2" s="1"/>
  <c r="I13443" i="2" a="1"/>
  <c r="I13443" i="2" s="1"/>
  <c r="I13444" i="2" a="1"/>
  <c r="I13444" i="2" s="1"/>
  <c r="I13445" i="2" a="1"/>
  <c r="I13445" i="2" s="1"/>
  <c r="I13446" i="2" a="1"/>
  <c r="I13446" i="2" s="1"/>
  <c r="I13447" i="2" a="1"/>
  <c r="I13447" i="2" s="1"/>
  <c r="I13448" i="2" a="1"/>
  <c r="I13448" i="2" s="1"/>
  <c r="I13449" i="2" a="1"/>
  <c r="I13449" i="2" s="1"/>
  <c r="I13450" i="2" a="1"/>
  <c r="I13450" i="2" s="1"/>
  <c r="I13451" i="2" a="1"/>
  <c r="I13451" i="2" s="1"/>
  <c r="I13452" i="2" a="1"/>
  <c r="I13452" i="2" s="1"/>
  <c r="I13453" i="2" a="1"/>
  <c r="I13453" i="2" s="1"/>
  <c r="I13454" i="2" a="1"/>
  <c r="I13454" i="2" s="1"/>
  <c r="I13455" i="2" a="1"/>
  <c r="I13455" i="2" s="1"/>
  <c r="I13456" i="2" a="1"/>
  <c r="I13456" i="2" s="1"/>
  <c r="I13457" i="2" a="1"/>
  <c r="I13457" i="2" s="1"/>
  <c r="I13458" i="2" a="1"/>
  <c r="I13458" i="2" s="1"/>
  <c r="I13459" i="2" a="1"/>
  <c r="I13459" i="2" s="1"/>
  <c r="I13460" i="2" a="1"/>
  <c r="I13460" i="2" s="1"/>
  <c r="I13461" i="2" a="1"/>
  <c r="I13461" i="2" s="1"/>
  <c r="I13462" i="2" a="1"/>
  <c r="I13462" i="2" s="1"/>
  <c r="I13463" i="2" a="1"/>
  <c r="I13463" i="2" s="1"/>
  <c r="I13464" i="2" a="1"/>
  <c r="I13464" i="2" s="1"/>
  <c r="I13465" i="2" a="1"/>
  <c r="I13465" i="2" s="1"/>
  <c r="I13466" i="2" a="1"/>
  <c r="I13466" i="2" s="1"/>
  <c r="I13467" i="2" a="1"/>
  <c r="I13467" i="2" s="1"/>
  <c r="I13468" i="2" a="1"/>
  <c r="I13468" i="2" s="1"/>
  <c r="I13469" i="2" a="1"/>
  <c r="I13469" i="2" s="1"/>
  <c r="I13470" i="2" a="1"/>
  <c r="I13470" i="2" s="1"/>
  <c r="I13471" i="2" a="1"/>
  <c r="I13471" i="2" s="1"/>
  <c r="I13472" i="2" a="1"/>
  <c r="I13472" i="2" s="1"/>
  <c r="I13473" i="2" a="1"/>
  <c r="I13473" i="2" s="1"/>
  <c r="I13474" i="2" a="1"/>
  <c r="I13474" i="2" s="1"/>
  <c r="I13475" i="2" a="1"/>
  <c r="I13475" i="2" s="1"/>
  <c r="I13476" i="2" a="1"/>
  <c r="I13476" i="2" s="1"/>
  <c r="I13477" i="2" a="1"/>
  <c r="I13477" i="2" s="1"/>
  <c r="I13478" i="2" a="1"/>
  <c r="I13478" i="2" s="1"/>
  <c r="I13479" i="2" a="1"/>
  <c r="I13479" i="2" s="1"/>
  <c r="I13480" i="2" a="1"/>
  <c r="I13480" i="2" s="1"/>
  <c r="I13481" i="2" a="1"/>
  <c r="I13481" i="2" s="1"/>
  <c r="I13482" i="2" a="1"/>
  <c r="I13482" i="2" s="1"/>
  <c r="I13483" i="2" a="1"/>
  <c r="I13483" i="2" s="1"/>
  <c r="I13484" i="2" a="1"/>
  <c r="I13484" i="2" s="1"/>
  <c r="I13485" i="2" a="1"/>
  <c r="I13485" i="2" s="1"/>
  <c r="I13486" i="2" a="1"/>
  <c r="I13486" i="2" s="1"/>
  <c r="I13487" i="2" a="1"/>
  <c r="I13487" i="2" s="1"/>
  <c r="I13488" i="2" a="1"/>
  <c r="I13488" i="2" s="1"/>
  <c r="I13489" i="2" a="1"/>
  <c r="I13489" i="2" s="1"/>
  <c r="I13490" i="2" a="1"/>
  <c r="I13490" i="2" s="1"/>
  <c r="I13491" i="2" a="1"/>
  <c r="I13491" i="2" s="1"/>
  <c r="I13492" i="2" a="1"/>
  <c r="I13492" i="2" s="1"/>
  <c r="I13493" i="2" a="1"/>
  <c r="I13493" i="2" s="1"/>
  <c r="I13494" i="2" a="1"/>
  <c r="I13494" i="2" s="1"/>
  <c r="I13495" i="2" a="1"/>
  <c r="I13495" i="2" s="1"/>
  <c r="I13496" i="2" a="1"/>
  <c r="I13496" i="2" s="1"/>
  <c r="I13497" i="2" a="1"/>
  <c r="I13497" i="2" s="1"/>
  <c r="I13498" i="2" a="1"/>
  <c r="I13498" i="2" s="1"/>
  <c r="I13499" i="2" a="1"/>
  <c r="I13499" i="2" s="1"/>
  <c r="I13500" i="2" a="1"/>
  <c r="I13500" i="2" s="1"/>
  <c r="I13501" i="2" a="1"/>
  <c r="I13501" i="2" s="1"/>
  <c r="I13502" i="2" a="1"/>
  <c r="I13502" i="2" s="1"/>
  <c r="I13503" i="2" a="1"/>
  <c r="I13503" i="2" s="1"/>
  <c r="I13504" i="2" a="1"/>
  <c r="I13504" i="2" s="1"/>
  <c r="I13505" i="2" a="1"/>
  <c r="I13505" i="2" s="1"/>
  <c r="I13506" i="2" a="1"/>
  <c r="I13506" i="2" s="1"/>
  <c r="I13507" i="2" a="1"/>
  <c r="I13507" i="2" s="1"/>
  <c r="I13508" i="2" a="1"/>
  <c r="I13508" i="2" s="1"/>
  <c r="I13509" i="2" a="1"/>
  <c r="I13509" i="2" s="1"/>
  <c r="I13510" i="2" a="1"/>
  <c r="I13510" i="2" s="1"/>
  <c r="I13511" i="2" a="1"/>
  <c r="I13511" i="2" s="1"/>
  <c r="I13512" i="2" a="1"/>
  <c r="I13512" i="2" s="1"/>
  <c r="I13513" i="2" a="1"/>
  <c r="I13513" i="2" s="1"/>
  <c r="I13514" i="2" a="1"/>
  <c r="I13514" i="2" s="1"/>
  <c r="I13515" i="2" a="1"/>
  <c r="I13515" i="2" s="1"/>
  <c r="I13516" i="2" a="1"/>
  <c r="I13516" i="2" s="1"/>
  <c r="I13517" i="2" a="1"/>
  <c r="I13517" i="2" s="1"/>
  <c r="I13518" i="2" a="1"/>
  <c r="I13518" i="2" s="1"/>
  <c r="I13519" i="2" a="1"/>
  <c r="I13519" i="2" s="1"/>
  <c r="I13520" i="2" a="1"/>
  <c r="I13520" i="2" s="1"/>
  <c r="I13521" i="2" a="1"/>
  <c r="I13521" i="2" s="1"/>
  <c r="I13522" i="2" a="1"/>
  <c r="I13522" i="2" s="1"/>
  <c r="I13523" i="2" a="1"/>
  <c r="I13523" i="2" s="1"/>
  <c r="I13524" i="2" a="1"/>
  <c r="I13524" i="2" s="1"/>
  <c r="I13525" i="2" a="1"/>
  <c r="I13525" i="2" s="1"/>
  <c r="I13526" i="2" a="1"/>
  <c r="I13526" i="2" s="1"/>
  <c r="I13527" i="2" a="1"/>
  <c r="I13527" i="2" s="1"/>
  <c r="I13528" i="2" a="1"/>
  <c r="I13528" i="2" s="1"/>
  <c r="I13529" i="2" a="1"/>
  <c r="I13529" i="2" s="1"/>
  <c r="I13530" i="2" a="1"/>
  <c r="I13530" i="2" s="1"/>
  <c r="I13531" i="2" a="1"/>
  <c r="I13531" i="2" s="1"/>
  <c r="I13532" i="2" a="1"/>
  <c r="I13532" i="2" s="1"/>
  <c r="I13533" i="2" a="1"/>
  <c r="I13533" i="2" s="1"/>
  <c r="I13534" i="2" a="1"/>
  <c r="I13534" i="2" s="1"/>
  <c r="I13535" i="2" a="1"/>
  <c r="I13535" i="2" s="1"/>
  <c r="I13536" i="2" a="1"/>
  <c r="I13536" i="2" s="1"/>
  <c r="I13537" i="2" a="1"/>
  <c r="I13537" i="2" s="1"/>
  <c r="I13538" i="2" a="1"/>
  <c r="I13538" i="2" s="1"/>
  <c r="I13539" i="2" a="1"/>
  <c r="I13539" i="2" s="1"/>
  <c r="I13540" i="2" a="1"/>
  <c r="I13540" i="2" s="1"/>
  <c r="I13541" i="2" a="1"/>
  <c r="I13541" i="2" s="1"/>
  <c r="I13542" i="2" a="1"/>
  <c r="I13542" i="2" s="1"/>
  <c r="I13543" i="2" a="1"/>
  <c r="I13543" i="2" s="1"/>
  <c r="I13544" i="2" a="1"/>
  <c r="I13544" i="2" s="1"/>
  <c r="I13545" i="2" a="1"/>
  <c r="I13545" i="2" s="1"/>
  <c r="I13546" i="2" a="1"/>
  <c r="I13546" i="2" s="1"/>
  <c r="I13547" i="2" a="1"/>
  <c r="I13547" i="2" s="1"/>
  <c r="I13548" i="2" a="1"/>
  <c r="I13548" i="2" s="1"/>
  <c r="I13549" i="2" a="1"/>
  <c r="I13549" i="2" s="1"/>
  <c r="I13550" i="2" a="1"/>
  <c r="I13550" i="2" s="1"/>
  <c r="I13551" i="2" a="1"/>
  <c r="I13551" i="2" s="1"/>
  <c r="I13552" i="2" a="1"/>
  <c r="I13552" i="2" s="1"/>
  <c r="I13553" i="2" a="1"/>
  <c r="I13553" i="2" s="1"/>
  <c r="I13554" i="2" a="1"/>
  <c r="I13554" i="2" s="1"/>
  <c r="I13555" i="2" a="1"/>
  <c r="I13555" i="2" s="1"/>
  <c r="I13556" i="2" a="1"/>
  <c r="I13556" i="2" s="1"/>
  <c r="I13557" i="2" a="1"/>
  <c r="I13557" i="2" s="1"/>
  <c r="I13558" i="2" a="1"/>
  <c r="I13558" i="2" s="1"/>
  <c r="I13559" i="2" a="1"/>
  <c r="I13559" i="2" s="1"/>
  <c r="I13560" i="2" a="1"/>
  <c r="I13560" i="2" s="1"/>
  <c r="I13561" i="2" a="1"/>
  <c r="I13561" i="2" s="1"/>
  <c r="I13562" i="2" a="1"/>
  <c r="I13562" i="2" s="1"/>
  <c r="I13563" i="2" a="1"/>
  <c r="I13563" i="2" s="1"/>
  <c r="I13564" i="2" a="1"/>
  <c r="I13564" i="2" s="1"/>
  <c r="I13565" i="2" a="1"/>
  <c r="I13565" i="2" s="1"/>
  <c r="I13566" i="2" a="1"/>
  <c r="I13566" i="2" s="1"/>
  <c r="I13567" i="2" a="1"/>
  <c r="I13567" i="2" s="1"/>
  <c r="I13568" i="2" a="1"/>
  <c r="I13568" i="2" s="1"/>
  <c r="I13569" i="2" a="1"/>
  <c r="I13569" i="2" s="1"/>
  <c r="I13570" i="2" a="1"/>
  <c r="I13570" i="2" s="1"/>
  <c r="I13571" i="2" a="1"/>
  <c r="I13571" i="2" s="1"/>
  <c r="I13572" i="2" a="1"/>
  <c r="I13572" i="2" s="1"/>
  <c r="I13573" i="2" a="1"/>
  <c r="I13573" i="2" s="1"/>
  <c r="I13574" i="2" a="1"/>
  <c r="I13574" i="2" s="1"/>
  <c r="I13575" i="2" a="1"/>
  <c r="I13575" i="2" s="1"/>
  <c r="I13576" i="2" a="1"/>
  <c r="I13576" i="2" s="1"/>
  <c r="I13577" i="2" a="1"/>
  <c r="I13577" i="2" s="1"/>
  <c r="I13578" i="2" a="1"/>
  <c r="I13578" i="2" s="1"/>
  <c r="I13579" i="2" a="1"/>
  <c r="I13579" i="2" s="1"/>
  <c r="I13580" i="2" a="1"/>
  <c r="I13580" i="2" s="1"/>
  <c r="I13581" i="2" a="1"/>
  <c r="I13581" i="2" s="1"/>
  <c r="I13582" i="2" a="1"/>
  <c r="I13582" i="2" s="1"/>
  <c r="I13583" i="2" a="1"/>
  <c r="I13583" i="2" s="1"/>
  <c r="I13584" i="2" a="1"/>
  <c r="I13584" i="2" s="1"/>
  <c r="I13585" i="2" a="1"/>
  <c r="I13585" i="2" s="1"/>
  <c r="I13586" i="2" a="1"/>
  <c r="I13586" i="2" s="1"/>
  <c r="I13587" i="2" a="1"/>
  <c r="I13587" i="2" s="1"/>
  <c r="I13588" i="2" a="1"/>
  <c r="I13588" i="2" s="1"/>
  <c r="I13589" i="2" a="1"/>
  <c r="I13589" i="2" s="1"/>
  <c r="I13590" i="2" a="1"/>
  <c r="I13590" i="2" s="1"/>
  <c r="I13591" i="2" a="1"/>
  <c r="I13591" i="2" s="1"/>
  <c r="I13592" i="2" a="1"/>
  <c r="I13592" i="2" s="1"/>
  <c r="I13593" i="2" a="1"/>
  <c r="I13593" i="2" s="1"/>
  <c r="I13594" i="2" a="1"/>
  <c r="I13594" i="2" s="1"/>
  <c r="I13595" i="2" a="1"/>
  <c r="I13595" i="2" s="1"/>
  <c r="I13596" i="2" a="1"/>
  <c r="I13596" i="2" s="1"/>
  <c r="I13597" i="2" a="1"/>
  <c r="I13597" i="2" s="1"/>
  <c r="I13598" i="2" a="1"/>
  <c r="I13598" i="2" s="1"/>
  <c r="I13599" i="2" a="1"/>
  <c r="I13599" i="2" s="1"/>
  <c r="I13600" i="2" a="1"/>
  <c r="I13600" i="2" s="1"/>
  <c r="I13601" i="2" a="1"/>
  <c r="I13601" i="2" s="1"/>
  <c r="I13602" i="2" a="1"/>
  <c r="I13602" i="2" s="1"/>
  <c r="I13603" i="2" a="1"/>
  <c r="I13603" i="2" s="1"/>
  <c r="I13604" i="2" a="1"/>
  <c r="I13604" i="2" s="1"/>
  <c r="I13605" i="2" a="1"/>
  <c r="I13605" i="2" s="1"/>
  <c r="I13606" i="2" a="1"/>
  <c r="I13606" i="2" s="1"/>
  <c r="I13607" i="2" a="1"/>
  <c r="I13607" i="2" s="1"/>
  <c r="I13608" i="2" a="1"/>
  <c r="I13608" i="2" s="1"/>
  <c r="I13609" i="2" a="1"/>
  <c r="I13609" i="2" s="1"/>
  <c r="I13610" i="2" a="1"/>
  <c r="I13610" i="2" s="1"/>
  <c r="I13611" i="2" a="1"/>
  <c r="I13611" i="2" s="1"/>
  <c r="I13612" i="2" a="1"/>
  <c r="I13612" i="2" s="1"/>
  <c r="I13613" i="2" a="1"/>
  <c r="I13613" i="2" s="1"/>
  <c r="I13614" i="2" a="1"/>
  <c r="I13614" i="2" s="1"/>
  <c r="I13615" i="2" a="1"/>
  <c r="I13615" i="2" s="1"/>
  <c r="I13616" i="2" a="1"/>
  <c r="I13616" i="2" s="1"/>
  <c r="I13617" i="2" a="1"/>
  <c r="I13617" i="2" s="1"/>
  <c r="I13618" i="2" a="1"/>
  <c r="I13618" i="2" s="1"/>
  <c r="I13619" i="2" a="1"/>
  <c r="I13619" i="2" s="1"/>
  <c r="I13620" i="2" a="1"/>
  <c r="I13620" i="2" s="1"/>
  <c r="I13621" i="2" a="1"/>
  <c r="I13621" i="2" s="1"/>
  <c r="I13622" i="2" a="1"/>
  <c r="I13622" i="2" s="1"/>
  <c r="I13623" i="2" a="1"/>
  <c r="I13623" i="2" s="1"/>
  <c r="I13624" i="2" a="1"/>
  <c r="I13624" i="2" s="1"/>
  <c r="I13625" i="2" a="1"/>
  <c r="I13625" i="2" s="1"/>
  <c r="I13626" i="2" a="1"/>
  <c r="I13626" i="2" s="1"/>
  <c r="I13627" i="2" a="1"/>
  <c r="I13627" i="2" s="1"/>
  <c r="I13628" i="2" a="1"/>
  <c r="I13628" i="2" s="1"/>
  <c r="I13629" i="2" a="1"/>
  <c r="I13629" i="2" s="1"/>
  <c r="I13630" i="2" a="1"/>
  <c r="I13630" i="2" s="1"/>
  <c r="I13631" i="2" a="1"/>
  <c r="I13631" i="2" s="1"/>
  <c r="I13632" i="2" a="1"/>
  <c r="I13632" i="2" s="1"/>
  <c r="I13633" i="2" a="1"/>
  <c r="I13633" i="2" s="1"/>
  <c r="I13634" i="2" a="1"/>
  <c r="I13634" i="2" s="1"/>
  <c r="I13635" i="2" a="1"/>
  <c r="I13635" i="2" s="1"/>
  <c r="I13636" i="2" a="1"/>
  <c r="I13636" i="2" s="1"/>
  <c r="I13637" i="2" a="1"/>
  <c r="I13637" i="2" s="1"/>
  <c r="I13638" i="2" a="1"/>
  <c r="I13638" i="2" s="1"/>
  <c r="I13639" i="2" a="1"/>
  <c r="I13639" i="2" s="1"/>
  <c r="I13640" i="2" a="1"/>
  <c r="I13640" i="2" s="1"/>
  <c r="I13641" i="2" a="1"/>
  <c r="I13641" i="2" s="1"/>
  <c r="I13642" i="2" a="1"/>
  <c r="I13642" i="2" s="1"/>
  <c r="I13643" i="2" a="1"/>
  <c r="I13643" i="2" s="1"/>
  <c r="I13644" i="2" a="1"/>
  <c r="I13644" i="2" s="1"/>
  <c r="I13645" i="2" a="1"/>
  <c r="I13645" i="2" s="1"/>
  <c r="I13646" i="2" a="1"/>
  <c r="I13646" i="2" s="1"/>
  <c r="I13647" i="2" a="1"/>
  <c r="I13647" i="2" s="1"/>
  <c r="I13648" i="2" a="1"/>
  <c r="I13648" i="2" s="1"/>
  <c r="I13649" i="2" a="1"/>
  <c r="I13649" i="2" s="1"/>
  <c r="I13650" i="2" a="1"/>
  <c r="I13650" i="2" s="1"/>
  <c r="I13651" i="2" a="1"/>
  <c r="I13651" i="2" s="1"/>
  <c r="I13652" i="2" a="1"/>
  <c r="I13652" i="2" s="1"/>
  <c r="I13653" i="2" a="1"/>
  <c r="I13653" i="2" s="1"/>
  <c r="I13654" i="2" a="1"/>
  <c r="I13654" i="2" s="1"/>
  <c r="I13655" i="2" a="1"/>
  <c r="I13655" i="2" s="1"/>
  <c r="I13656" i="2" a="1"/>
  <c r="I13656" i="2" s="1"/>
  <c r="I13657" i="2" a="1"/>
  <c r="I13657" i="2" s="1"/>
  <c r="I13658" i="2" a="1"/>
  <c r="I13658" i="2" s="1"/>
  <c r="I13659" i="2" a="1"/>
  <c r="I13659" i="2" s="1"/>
  <c r="I13660" i="2" a="1"/>
  <c r="I13660" i="2" s="1"/>
  <c r="I13661" i="2" a="1"/>
  <c r="I13661" i="2" s="1"/>
  <c r="I13662" i="2" a="1"/>
  <c r="I13662" i="2" s="1"/>
  <c r="I13663" i="2" a="1"/>
  <c r="I13663" i="2" s="1"/>
  <c r="I13664" i="2" a="1"/>
  <c r="I13664" i="2" s="1"/>
  <c r="I13665" i="2" a="1"/>
  <c r="I13665" i="2" s="1"/>
  <c r="I13666" i="2" a="1"/>
  <c r="I13666" i="2" s="1"/>
  <c r="I13667" i="2" a="1"/>
  <c r="I13667" i="2" s="1"/>
  <c r="I13668" i="2" a="1"/>
  <c r="I13668" i="2" s="1"/>
  <c r="I13669" i="2" a="1"/>
  <c r="I13669" i="2" s="1"/>
  <c r="I13670" i="2" a="1"/>
  <c r="I13670" i="2" s="1"/>
  <c r="I13671" i="2" a="1"/>
  <c r="I13671" i="2" s="1"/>
  <c r="I13672" i="2" a="1"/>
  <c r="I13672" i="2" s="1"/>
  <c r="I13673" i="2" a="1"/>
  <c r="I13673" i="2" s="1"/>
  <c r="I13674" i="2" a="1"/>
  <c r="I13674" i="2" s="1"/>
  <c r="I13675" i="2" a="1"/>
  <c r="I13675" i="2" s="1"/>
  <c r="I13676" i="2" a="1"/>
  <c r="I13676" i="2" s="1"/>
  <c r="I13677" i="2" a="1"/>
  <c r="I13677" i="2" s="1"/>
  <c r="I13678" i="2" a="1"/>
  <c r="I13678" i="2" s="1"/>
  <c r="I13679" i="2" a="1"/>
  <c r="I13679" i="2" s="1"/>
  <c r="I13680" i="2" a="1"/>
  <c r="I13680" i="2" s="1"/>
  <c r="I13681" i="2" a="1"/>
  <c r="I13681" i="2" s="1"/>
  <c r="I13682" i="2" a="1"/>
  <c r="I13682" i="2" s="1"/>
  <c r="I13683" i="2" a="1"/>
  <c r="I13683" i="2" s="1"/>
  <c r="I13684" i="2" a="1"/>
  <c r="I13684" i="2" s="1"/>
  <c r="I13685" i="2" a="1"/>
  <c r="I13685" i="2" s="1"/>
  <c r="I13686" i="2" a="1"/>
  <c r="I13686" i="2" s="1"/>
  <c r="I13687" i="2" a="1"/>
  <c r="I13687" i="2" s="1"/>
  <c r="I13688" i="2" a="1"/>
  <c r="I13688" i="2" s="1"/>
  <c r="I13689" i="2" a="1"/>
  <c r="I13689" i="2" s="1"/>
  <c r="I13690" i="2" a="1"/>
  <c r="I13690" i="2" s="1"/>
  <c r="I13691" i="2" a="1"/>
  <c r="I13691" i="2" s="1"/>
  <c r="I13692" i="2" a="1"/>
  <c r="I13692" i="2" s="1"/>
  <c r="I13693" i="2" a="1"/>
  <c r="I13693" i="2" s="1"/>
  <c r="I13694" i="2" a="1"/>
  <c r="I13694" i="2" s="1"/>
  <c r="I13695" i="2" a="1"/>
  <c r="I13695" i="2" s="1"/>
  <c r="I13696" i="2" a="1"/>
  <c r="I13696" i="2" s="1"/>
  <c r="I13697" i="2" a="1"/>
  <c r="I13697" i="2" s="1"/>
  <c r="I13698" i="2" a="1"/>
  <c r="I13698" i="2" s="1"/>
  <c r="I13699" i="2" a="1"/>
  <c r="I13699" i="2" s="1"/>
  <c r="I13700" i="2" a="1"/>
  <c r="I13700" i="2" s="1"/>
  <c r="I13701" i="2" a="1"/>
  <c r="I13701" i="2" s="1"/>
  <c r="I13702" i="2" a="1"/>
  <c r="I13702" i="2" s="1"/>
  <c r="I13703" i="2" a="1"/>
  <c r="I13703" i="2" s="1"/>
  <c r="I13704" i="2" a="1"/>
  <c r="I13704" i="2" s="1"/>
  <c r="I13705" i="2" a="1"/>
  <c r="I13705" i="2" s="1"/>
  <c r="I13706" i="2" a="1"/>
  <c r="I13706" i="2" s="1"/>
  <c r="I13707" i="2" a="1"/>
  <c r="I13707" i="2" s="1"/>
  <c r="I13708" i="2" a="1"/>
  <c r="I13708" i="2" s="1"/>
  <c r="I13709" i="2" a="1"/>
  <c r="I13709" i="2" s="1"/>
  <c r="I13710" i="2" a="1"/>
  <c r="I13710" i="2" s="1"/>
  <c r="I13711" i="2" a="1"/>
  <c r="I13711" i="2" s="1"/>
  <c r="I13712" i="2" a="1"/>
  <c r="I13712" i="2" s="1"/>
  <c r="I13713" i="2" a="1"/>
  <c r="I13713" i="2" s="1"/>
  <c r="I13714" i="2" a="1"/>
  <c r="I13714" i="2" s="1"/>
  <c r="I13715" i="2" a="1"/>
  <c r="I13715" i="2" s="1"/>
  <c r="I13716" i="2" a="1"/>
  <c r="I13716" i="2" s="1"/>
  <c r="I13717" i="2" a="1"/>
  <c r="I13717" i="2" s="1"/>
  <c r="I13718" i="2" a="1"/>
  <c r="I13718" i="2" s="1"/>
  <c r="I13719" i="2" a="1"/>
  <c r="I13719" i="2" s="1"/>
  <c r="I13720" i="2" a="1"/>
  <c r="I13720" i="2" s="1"/>
  <c r="I13721" i="2" a="1"/>
  <c r="I13721" i="2" s="1"/>
  <c r="I13722" i="2" a="1"/>
  <c r="I13722" i="2" s="1"/>
  <c r="I13723" i="2" a="1"/>
  <c r="I13723" i="2" s="1"/>
  <c r="I13724" i="2" a="1"/>
  <c r="I13724" i="2" s="1"/>
  <c r="I13725" i="2" a="1"/>
  <c r="I13725" i="2" s="1"/>
  <c r="I13726" i="2" a="1"/>
  <c r="I13726" i="2" s="1"/>
  <c r="I13727" i="2" a="1"/>
  <c r="I13727" i="2" s="1"/>
  <c r="I13728" i="2" a="1"/>
  <c r="I13728" i="2" s="1"/>
  <c r="I13729" i="2" a="1"/>
  <c r="I13729" i="2" s="1"/>
  <c r="I13730" i="2" a="1"/>
  <c r="I13730" i="2" s="1"/>
  <c r="I13731" i="2" a="1"/>
  <c r="I13731" i="2" s="1"/>
  <c r="I13732" i="2" a="1"/>
  <c r="I13732" i="2" s="1"/>
  <c r="I13733" i="2" a="1"/>
  <c r="I13733" i="2" s="1"/>
  <c r="I13734" i="2" a="1"/>
  <c r="I13734" i="2" s="1"/>
  <c r="I13735" i="2" a="1"/>
  <c r="I13735" i="2" s="1"/>
  <c r="I13736" i="2" a="1"/>
  <c r="I13736" i="2" s="1"/>
  <c r="I13737" i="2" a="1"/>
  <c r="I13737" i="2" s="1"/>
  <c r="I13738" i="2" a="1"/>
  <c r="I13738" i="2" s="1"/>
  <c r="I13739" i="2" a="1"/>
  <c r="I13739" i="2" s="1"/>
  <c r="I13740" i="2" a="1"/>
  <c r="I13740" i="2" s="1"/>
  <c r="I13741" i="2" a="1"/>
  <c r="I13741" i="2" s="1"/>
  <c r="I13742" i="2" a="1"/>
  <c r="I13742" i="2" s="1"/>
  <c r="I13743" i="2" a="1"/>
  <c r="I13743" i="2" s="1"/>
  <c r="I13744" i="2" a="1"/>
  <c r="I13744" i="2" s="1"/>
  <c r="I13745" i="2" a="1"/>
  <c r="I13745" i="2" s="1"/>
  <c r="I13746" i="2" a="1"/>
  <c r="I13746" i="2" s="1"/>
  <c r="I13747" i="2" a="1"/>
  <c r="I13747" i="2" s="1"/>
  <c r="I13748" i="2" a="1"/>
  <c r="I13748" i="2" s="1"/>
  <c r="I13749" i="2" a="1"/>
  <c r="I13749" i="2" s="1"/>
  <c r="I13750" i="2" a="1"/>
  <c r="I13750" i="2" s="1"/>
  <c r="I13751" i="2" a="1"/>
  <c r="I13751" i="2" s="1"/>
  <c r="I13752" i="2" a="1"/>
  <c r="I13752" i="2" s="1"/>
  <c r="I13753" i="2" a="1"/>
  <c r="I13753" i="2" s="1"/>
  <c r="I13754" i="2" a="1"/>
  <c r="I13754" i="2" s="1"/>
  <c r="I13755" i="2" a="1"/>
  <c r="I13755" i="2" s="1"/>
  <c r="I13756" i="2" a="1"/>
  <c r="I13756" i="2" s="1"/>
  <c r="I13757" i="2" a="1"/>
  <c r="I13757" i="2" s="1"/>
  <c r="I13758" i="2" a="1"/>
  <c r="I13758" i="2" s="1"/>
  <c r="I13759" i="2" a="1"/>
  <c r="I13759" i="2" s="1"/>
  <c r="I13760" i="2" a="1"/>
  <c r="I13760" i="2" s="1"/>
  <c r="I13761" i="2" a="1"/>
  <c r="I13761" i="2" s="1"/>
  <c r="I13762" i="2" a="1"/>
  <c r="I13762" i="2" s="1"/>
  <c r="I13763" i="2" a="1"/>
  <c r="I13763" i="2" s="1"/>
  <c r="I13764" i="2" a="1"/>
  <c r="I13764" i="2" s="1"/>
  <c r="I13765" i="2" a="1"/>
  <c r="I13765" i="2" s="1"/>
  <c r="I13766" i="2" a="1"/>
  <c r="I13766" i="2" s="1"/>
  <c r="I13767" i="2" a="1"/>
  <c r="I13767" i="2" s="1"/>
  <c r="I13768" i="2" a="1"/>
  <c r="I13768" i="2" s="1"/>
  <c r="I13769" i="2" a="1"/>
  <c r="I13769" i="2" s="1"/>
  <c r="I13770" i="2" a="1"/>
  <c r="I13770" i="2" s="1"/>
  <c r="I13771" i="2" a="1"/>
  <c r="I13771" i="2" s="1"/>
  <c r="I13772" i="2" a="1"/>
  <c r="I13772" i="2" s="1"/>
  <c r="I13773" i="2" a="1"/>
  <c r="I13773" i="2" s="1"/>
  <c r="I13774" i="2" a="1"/>
  <c r="I13774" i="2" s="1"/>
  <c r="I13775" i="2" a="1"/>
  <c r="I13775" i="2" s="1"/>
  <c r="I13776" i="2" a="1"/>
  <c r="I13776" i="2" s="1"/>
  <c r="I13777" i="2" a="1"/>
  <c r="I13777" i="2" s="1"/>
  <c r="I13778" i="2" a="1"/>
  <c r="I13778" i="2" s="1"/>
  <c r="I13779" i="2" a="1"/>
  <c r="I13779" i="2" s="1"/>
  <c r="I13780" i="2" a="1"/>
  <c r="I13780" i="2" s="1"/>
  <c r="I13781" i="2" a="1"/>
  <c r="I13781" i="2" s="1"/>
  <c r="I13782" i="2" a="1"/>
  <c r="I13782" i="2" s="1"/>
  <c r="I13783" i="2" a="1"/>
  <c r="I13783" i="2" s="1"/>
  <c r="I13784" i="2" a="1"/>
  <c r="I13784" i="2" s="1"/>
  <c r="I13785" i="2" a="1"/>
  <c r="I13785" i="2" s="1"/>
  <c r="I13786" i="2" a="1"/>
  <c r="I13786" i="2" s="1"/>
  <c r="I13787" i="2" a="1"/>
  <c r="I13787" i="2" s="1"/>
  <c r="I13788" i="2" a="1"/>
  <c r="I13788" i="2" s="1"/>
  <c r="I13789" i="2" a="1"/>
  <c r="I13789" i="2" s="1"/>
  <c r="I13790" i="2" a="1"/>
  <c r="I13790" i="2" s="1"/>
  <c r="I13791" i="2" a="1"/>
  <c r="I13791" i="2" s="1"/>
  <c r="I13792" i="2" a="1"/>
  <c r="I13792" i="2" s="1"/>
  <c r="I13793" i="2" a="1"/>
  <c r="I13793" i="2" s="1"/>
  <c r="I13794" i="2" a="1"/>
  <c r="I13794" i="2" s="1"/>
  <c r="I13795" i="2" a="1"/>
  <c r="I13795" i="2" s="1"/>
  <c r="I13796" i="2" a="1"/>
  <c r="I13796" i="2" s="1"/>
  <c r="I13797" i="2" a="1"/>
  <c r="I13797" i="2" s="1"/>
  <c r="I13798" i="2" a="1"/>
  <c r="I13798" i="2" s="1"/>
  <c r="I13799" i="2" a="1"/>
  <c r="I13799" i="2" s="1"/>
  <c r="I13800" i="2" a="1"/>
  <c r="I13800" i="2" s="1"/>
  <c r="I13801" i="2" a="1"/>
  <c r="I13801" i="2" s="1"/>
  <c r="I13802" i="2" a="1"/>
  <c r="I13802" i="2" s="1"/>
  <c r="I13803" i="2" a="1"/>
  <c r="I13803" i="2" s="1"/>
  <c r="I13804" i="2" a="1"/>
  <c r="I13804" i="2" s="1"/>
  <c r="I13805" i="2" a="1"/>
  <c r="I13805" i="2" s="1"/>
  <c r="I13806" i="2" a="1"/>
  <c r="I13806" i="2" s="1"/>
  <c r="I13807" i="2" a="1"/>
  <c r="I13807" i="2" s="1"/>
  <c r="I13808" i="2" a="1"/>
  <c r="I13808" i="2" s="1"/>
  <c r="I13809" i="2" a="1"/>
  <c r="I13809" i="2" s="1"/>
  <c r="I13810" i="2" a="1"/>
  <c r="I13810" i="2" s="1"/>
  <c r="I13811" i="2" a="1"/>
  <c r="I13811" i="2" s="1"/>
  <c r="I13812" i="2" a="1"/>
  <c r="I13812" i="2" s="1"/>
  <c r="I13813" i="2" a="1"/>
  <c r="I13813" i="2" s="1"/>
  <c r="I13814" i="2" a="1"/>
  <c r="I13814" i="2" s="1"/>
  <c r="I13815" i="2" a="1"/>
  <c r="I13815" i="2" s="1"/>
  <c r="I13816" i="2" a="1"/>
  <c r="I13816" i="2" s="1"/>
  <c r="I13817" i="2" a="1"/>
  <c r="I13817" i="2" s="1"/>
  <c r="I13818" i="2" a="1"/>
  <c r="I13818" i="2" s="1"/>
  <c r="I13819" i="2" a="1"/>
  <c r="I13819" i="2" s="1"/>
  <c r="I13820" i="2" a="1"/>
  <c r="I13820" i="2" s="1"/>
  <c r="I13821" i="2" a="1"/>
  <c r="I13821" i="2" s="1"/>
  <c r="I13822" i="2" a="1"/>
  <c r="I13822" i="2" s="1"/>
  <c r="I13823" i="2" a="1"/>
  <c r="I13823" i="2" s="1"/>
  <c r="I13824" i="2" a="1"/>
  <c r="I13824" i="2" s="1"/>
  <c r="I13825" i="2" a="1"/>
  <c r="I13825" i="2" s="1"/>
  <c r="I13826" i="2" a="1"/>
  <c r="I13826" i="2" s="1"/>
  <c r="I13827" i="2" a="1"/>
  <c r="I13827" i="2" s="1"/>
  <c r="I13828" i="2" a="1"/>
  <c r="I13828" i="2" s="1"/>
  <c r="I13829" i="2" a="1"/>
  <c r="I13829" i="2" s="1"/>
  <c r="I13830" i="2" a="1"/>
  <c r="I13830" i="2" s="1"/>
  <c r="I13831" i="2" a="1"/>
  <c r="I13831" i="2" s="1"/>
  <c r="I13832" i="2" a="1"/>
  <c r="I13832" i="2" s="1"/>
  <c r="I13833" i="2" a="1"/>
  <c r="I13833" i="2" s="1"/>
  <c r="I13834" i="2" a="1"/>
  <c r="I13834" i="2" s="1"/>
  <c r="I13835" i="2" a="1"/>
  <c r="I13835" i="2" s="1"/>
  <c r="I13836" i="2" a="1"/>
  <c r="I13836" i="2" s="1"/>
  <c r="I13837" i="2" a="1"/>
  <c r="I13837" i="2" s="1"/>
  <c r="I13838" i="2" a="1"/>
  <c r="I13838" i="2" s="1"/>
  <c r="I13839" i="2" a="1"/>
  <c r="I13839" i="2" s="1"/>
  <c r="I13840" i="2" a="1"/>
  <c r="I13840" i="2" s="1"/>
  <c r="I13841" i="2" a="1"/>
  <c r="I13841" i="2" s="1"/>
  <c r="I13842" i="2" a="1"/>
  <c r="I13842" i="2" s="1"/>
  <c r="I13843" i="2" a="1"/>
  <c r="I13843" i="2" s="1"/>
  <c r="I13844" i="2" a="1"/>
  <c r="I13844" i="2" s="1"/>
  <c r="I13845" i="2" a="1"/>
  <c r="I13845" i="2" s="1"/>
  <c r="I13846" i="2" a="1"/>
  <c r="I13846" i="2" s="1"/>
  <c r="I13847" i="2" a="1"/>
  <c r="I13847" i="2" s="1"/>
  <c r="I13848" i="2" a="1"/>
  <c r="I13848" i="2" s="1"/>
  <c r="I13849" i="2" a="1"/>
  <c r="I13849" i="2" s="1"/>
  <c r="I13850" i="2" a="1"/>
  <c r="I13850" i="2" s="1"/>
  <c r="I13851" i="2" a="1"/>
  <c r="I13851" i="2" s="1"/>
  <c r="I13852" i="2" a="1"/>
  <c r="I13852" i="2" s="1"/>
  <c r="I13853" i="2" a="1"/>
  <c r="I13853" i="2" s="1"/>
  <c r="I13854" i="2" a="1"/>
  <c r="I13854" i="2" s="1"/>
  <c r="I13855" i="2" a="1"/>
  <c r="I13855" i="2" s="1"/>
  <c r="I13856" i="2" a="1"/>
  <c r="I13856" i="2" s="1"/>
  <c r="I13857" i="2" a="1"/>
  <c r="I13857" i="2" s="1"/>
  <c r="I13858" i="2" a="1"/>
  <c r="I13858" i="2" s="1"/>
  <c r="I13859" i="2" a="1"/>
  <c r="I13859" i="2" s="1"/>
  <c r="I13860" i="2" a="1"/>
  <c r="I13860" i="2" s="1"/>
  <c r="I13861" i="2" a="1"/>
  <c r="I13861" i="2" s="1"/>
  <c r="I13862" i="2" a="1"/>
  <c r="I13862" i="2" s="1"/>
  <c r="I13863" i="2" a="1"/>
  <c r="I13863" i="2" s="1"/>
  <c r="I13864" i="2" a="1"/>
  <c r="I13864" i="2" s="1"/>
  <c r="I13865" i="2" a="1"/>
  <c r="I13865" i="2" s="1"/>
  <c r="I13866" i="2" a="1"/>
  <c r="I13866" i="2" s="1"/>
  <c r="I13867" i="2" a="1"/>
  <c r="I13867" i="2" s="1"/>
  <c r="I13868" i="2" a="1"/>
  <c r="I13868" i="2" s="1"/>
  <c r="I13869" i="2" a="1"/>
  <c r="I13869" i="2" s="1"/>
  <c r="I13870" i="2" a="1"/>
  <c r="I13870" i="2" s="1"/>
  <c r="I13871" i="2" a="1"/>
  <c r="I13871" i="2" s="1"/>
  <c r="I13872" i="2" a="1"/>
  <c r="I13872" i="2" s="1"/>
  <c r="I13873" i="2" a="1"/>
  <c r="I13873" i="2" s="1"/>
  <c r="I13874" i="2" a="1"/>
  <c r="I13874" i="2" s="1"/>
  <c r="I13875" i="2" a="1"/>
  <c r="I13875" i="2" s="1"/>
  <c r="I13876" i="2" a="1"/>
  <c r="I13876" i="2" s="1"/>
  <c r="I13877" i="2" a="1"/>
  <c r="I13877" i="2" s="1"/>
  <c r="I13878" i="2" a="1"/>
  <c r="I13878" i="2" s="1"/>
  <c r="I13879" i="2" a="1"/>
  <c r="I13879" i="2" s="1"/>
  <c r="I13880" i="2" a="1"/>
  <c r="I13880" i="2" s="1"/>
  <c r="I13881" i="2" a="1"/>
  <c r="I13881" i="2" s="1"/>
  <c r="I13882" i="2" a="1"/>
  <c r="I13882" i="2" s="1"/>
  <c r="I13883" i="2" a="1"/>
  <c r="I13883" i="2" s="1"/>
  <c r="I13884" i="2" a="1"/>
  <c r="I13884" i="2" s="1"/>
  <c r="I13885" i="2" a="1"/>
  <c r="I13885" i="2" s="1"/>
  <c r="I13886" i="2" a="1"/>
  <c r="I13886" i="2" s="1"/>
  <c r="I13887" i="2" a="1"/>
  <c r="I13887" i="2" s="1"/>
  <c r="I13888" i="2" a="1"/>
  <c r="I13888" i="2" s="1"/>
  <c r="I13889" i="2" a="1"/>
  <c r="I13889" i="2" s="1"/>
  <c r="I13890" i="2" a="1"/>
  <c r="I13890" i="2" s="1"/>
  <c r="I13891" i="2" a="1"/>
  <c r="I13891" i="2" s="1"/>
  <c r="I13892" i="2" a="1"/>
  <c r="I13892" i="2" s="1"/>
  <c r="I13893" i="2" a="1"/>
  <c r="I13893" i="2" s="1"/>
  <c r="I13894" i="2" a="1"/>
  <c r="I13894" i="2" s="1"/>
  <c r="I13895" i="2" a="1"/>
  <c r="I13895" i="2" s="1"/>
  <c r="I13896" i="2" a="1"/>
  <c r="I13896" i="2" s="1"/>
  <c r="I13897" i="2" a="1"/>
  <c r="I13897" i="2" s="1"/>
  <c r="I13898" i="2" a="1"/>
  <c r="I13898" i="2" s="1"/>
  <c r="I13899" i="2" a="1"/>
  <c r="I13899" i="2" s="1"/>
  <c r="I13900" i="2" a="1"/>
  <c r="I13900" i="2" s="1"/>
  <c r="I13901" i="2" a="1"/>
  <c r="I13901" i="2" s="1"/>
  <c r="I13902" i="2" a="1"/>
  <c r="I13902" i="2" s="1"/>
  <c r="I13903" i="2" a="1"/>
  <c r="I13903" i="2" s="1"/>
  <c r="I13904" i="2" a="1"/>
  <c r="I13904" i="2" s="1"/>
  <c r="I13905" i="2" a="1"/>
  <c r="I13905" i="2" s="1"/>
  <c r="I13906" i="2" a="1"/>
  <c r="I13906" i="2" s="1"/>
  <c r="I13907" i="2" a="1"/>
  <c r="I13907" i="2" s="1"/>
  <c r="I13908" i="2" a="1"/>
  <c r="I13908" i="2" s="1"/>
  <c r="I13909" i="2" a="1"/>
  <c r="I13909" i="2" s="1"/>
  <c r="I13910" i="2" a="1"/>
  <c r="I13910" i="2" s="1"/>
  <c r="I13911" i="2" a="1"/>
  <c r="I13911" i="2" s="1"/>
  <c r="I13912" i="2" a="1"/>
  <c r="I13912" i="2" s="1"/>
  <c r="I13913" i="2" a="1"/>
  <c r="I13913" i="2" s="1"/>
  <c r="I13914" i="2" a="1"/>
  <c r="I13914" i="2" s="1"/>
  <c r="I13915" i="2" a="1"/>
  <c r="I13915" i="2" s="1"/>
  <c r="I13916" i="2" a="1"/>
  <c r="I13916" i="2" s="1"/>
  <c r="I13917" i="2" a="1"/>
  <c r="I13917" i="2" s="1"/>
  <c r="I13918" i="2" a="1"/>
  <c r="I13918" i="2" s="1"/>
  <c r="I13919" i="2" a="1"/>
  <c r="I13919" i="2" s="1"/>
  <c r="I13920" i="2" a="1"/>
  <c r="I13920" i="2" s="1"/>
  <c r="I13921" i="2" a="1"/>
  <c r="I13921" i="2" s="1"/>
  <c r="I13922" i="2" a="1"/>
  <c r="I13922" i="2" s="1"/>
  <c r="I13923" i="2" a="1"/>
  <c r="I13923" i="2" s="1"/>
  <c r="I13924" i="2" a="1"/>
  <c r="I13924" i="2" s="1"/>
  <c r="I13925" i="2" a="1"/>
  <c r="I13925" i="2" s="1"/>
  <c r="I13926" i="2" a="1"/>
  <c r="I13926" i="2" s="1"/>
  <c r="I13927" i="2" a="1"/>
  <c r="I13927" i="2" s="1"/>
  <c r="I13928" i="2" a="1"/>
  <c r="I13928" i="2" s="1"/>
  <c r="I13929" i="2" a="1"/>
  <c r="I13929" i="2" s="1"/>
  <c r="I13930" i="2" a="1"/>
  <c r="I13930" i="2" s="1"/>
  <c r="I13931" i="2" a="1"/>
  <c r="I13931" i="2" s="1"/>
  <c r="I13932" i="2" a="1"/>
  <c r="I13932" i="2" s="1"/>
  <c r="I13933" i="2" a="1"/>
  <c r="I13933" i="2" s="1"/>
  <c r="I13934" i="2" a="1"/>
  <c r="I13934" i="2" s="1"/>
  <c r="I13935" i="2" a="1"/>
  <c r="I13935" i="2" s="1"/>
  <c r="I13936" i="2" a="1"/>
  <c r="I13936" i="2" s="1"/>
  <c r="I13937" i="2" a="1"/>
  <c r="I13937" i="2" s="1"/>
  <c r="I13938" i="2" a="1"/>
  <c r="I13938" i="2" s="1"/>
  <c r="I13939" i="2" a="1"/>
  <c r="I13939" i="2" s="1"/>
  <c r="I13940" i="2" a="1"/>
  <c r="I13940" i="2" s="1"/>
  <c r="I13941" i="2" a="1"/>
  <c r="I13941" i="2" s="1"/>
  <c r="I13942" i="2" a="1"/>
  <c r="I13942" i="2" s="1"/>
  <c r="I13943" i="2" a="1"/>
  <c r="I13943" i="2" s="1"/>
  <c r="I13944" i="2" a="1"/>
  <c r="I13944" i="2" s="1"/>
  <c r="I13945" i="2" a="1"/>
  <c r="I13945" i="2" s="1"/>
  <c r="I13946" i="2" a="1"/>
  <c r="I13946" i="2" s="1"/>
  <c r="I13947" i="2" a="1"/>
  <c r="I13947" i="2" s="1"/>
  <c r="I13948" i="2" a="1"/>
  <c r="I13948" i="2" s="1"/>
  <c r="I13949" i="2" a="1"/>
  <c r="I13949" i="2" s="1"/>
  <c r="I13950" i="2" a="1"/>
  <c r="I13950" i="2" s="1"/>
  <c r="I13951" i="2" a="1"/>
  <c r="I13951" i="2" s="1"/>
  <c r="I13952" i="2" a="1"/>
  <c r="I13952" i="2" s="1"/>
  <c r="I13953" i="2" a="1"/>
  <c r="I13953" i="2" s="1"/>
  <c r="I13954" i="2" a="1"/>
  <c r="I13954" i="2" s="1"/>
  <c r="I13955" i="2" a="1"/>
  <c r="I13955" i="2" s="1"/>
  <c r="I13956" i="2" a="1"/>
  <c r="I13956" i="2" s="1"/>
  <c r="I13957" i="2" a="1"/>
  <c r="I13957" i="2" s="1"/>
  <c r="I13958" i="2" a="1"/>
  <c r="I13958" i="2" s="1"/>
  <c r="I13959" i="2" a="1"/>
  <c r="I13959" i="2" s="1"/>
  <c r="I13960" i="2" a="1"/>
  <c r="I13960" i="2" s="1"/>
  <c r="I13961" i="2" a="1"/>
  <c r="I13961" i="2" s="1"/>
  <c r="I13962" i="2" a="1"/>
  <c r="I13962" i="2" s="1"/>
  <c r="I13963" i="2" a="1"/>
  <c r="I13963" i="2" s="1"/>
  <c r="I13964" i="2" a="1"/>
  <c r="I13964" i="2" s="1"/>
  <c r="I13965" i="2" a="1"/>
  <c r="I13965" i="2" s="1"/>
  <c r="I13966" i="2" a="1"/>
  <c r="I13966" i="2" s="1"/>
  <c r="I13967" i="2" a="1"/>
  <c r="I13967" i="2" s="1"/>
  <c r="I13968" i="2" a="1"/>
  <c r="I13968" i="2" s="1"/>
  <c r="I13969" i="2" a="1"/>
  <c r="I13969" i="2" s="1"/>
  <c r="I13970" i="2" a="1"/>
  <c r="I13970" i="2" s="1"/>
  <c r="I13971" i="2" a="1"/>
  <c r="I13971" i="2" s="1"/>
  <c r="I13972" i="2" a="1"/>
  <c r="I13972" i="2" s="1"/>
  <c r="I13973" i="2" a="1"/>
  <c r="I13973" i="2" s="1"/>
  <c r="I13974" i="2" a="1"/>
  <c r="I13974" i="2" s="1"/>
  <c r="I13975" i="2" a="1"/>
  <c r="I13975" i="2" s="1"/>
  <c r="I13976" i="2" a="1"/>
  <c r="I13976" i="2" s="1"/>
  <c r="I13977" i="2" a="1"/>
  <c r="I13977" i="2" s="1"/>
  <c r="I13978" i="2" a="1"/>
  <c r="I13978" i="2" s="1"/>
  <c r="I13979" i="2" a="1"/>
  <c r="I13979" i="2" s="1"/>
  <c r="I13980" i="2" a="1"/>
  <c r="I13980" i="2" s="1"/>
  <c r="I13981" i="2" a="1"/>
  <c r="I13981" i="2" s="1"/>
  <c r="I13982" i="2" a="1"/>
  <c r="I13982" i="2" s="1"/>
  <c r="I13983" i="2" a="1"/>
  <c r="I13983" i="2" s="1"/>
  <c r="I13984" i="2" a="1"/>
  <c r="I13984" i="2" s="1"/>
  <c r="I13985" i="2" a="1"/>
  <c r="I13985" i="2" s="1"/>
  <c r="I13986" i="2" a="1"/>
  <c r="I13986" i="2" s="1"/>
  <c r="I13987" i="2" a="1"/>
  <c r="I13987" i="2" s="1"/>
  <c r="I13988" i="2" a="1"/>
  <c r="I13988" i="2" s="1"/>
  <c r="I13989" i="2" a="1"/>
  <c r="I13989" i="2" s="1"/>
  <c r="I13990" i="2" a="1"/>
  <c r="I13990" i="2" s="1"/>
  <c r="I13991" i="2" a="1"/>
  <c r="I13991" i="2" s="1"/>
  <c r="I13992" i="2" a="1"/>
  <c r="I13992" i="2" s="1"/>
  <c r="I13993" i="2" a="1"/>
  <c r="I13993" i="2" s="1"/>
  <c r="I13994" i="2" a="1"/>
  <c r="I13994" i="2" s="1"/>
  <c r="I13995" i="2" a="1"/>
  <c r="I13995" i="2" s="1"/>
  <c r="I13996" i="2" a="1"/>
  <c r="I13996" i="2" s="1"/>
  <c r="I13997" i="2" a="1"/>
  <c r="I13997" i="2" s="1"/>
  <c r="I13998" i="2" a="1"/>
  <c r="I13998" i="2" s="1"/>
  <c r="I13999" i="2" a="1"/>
  <c r="I13999" i="2" s="1"/>
  <c r="I14000" i="2" a="1"/>
  <c r="I14000" i="2" s="1"/>
  <c r="I14001" i="2" a="1"/>
  <c r="I14001" i="2" s="1"/>
  <c r="I14002" i="2" a="1"/>
  <c r="I14002" i="2" s="1"/>
  <c r="I14003" i="2" a="1"/>
  <c r="I14003" i="2" s="1"/>
  <c r="I14004" i="2" a="1"/>
  <c r="I14004" i="2" s="1"/>
  <c r="I14005" i="2" a="1"/>
  <c r="I14005" i="2" s="1"/>
  <c r="I14006" i="2" a="1"/>
  <c r="I14006" i="2" s="1"/>
  <c r="I14007" i="2" a="1"/>
  <c r="I14007" i="2" s="1"/>
  <c r="I14008" i="2" a="1"/>
  <c r="I14008" i="2" s="1"/>
  <c r="I14009" i="2" a="1"/>
  <c r="I14009" i="2" s="1"/>
  <c r="I14010" i="2" a="1"/>
  <c r="I14010" i="2" s="1"/>
  <c r="I14011" i="2" a="1"/>
  <c r="I14011" i="2" s="1"/>
  <c r="I14012" i="2" a="1"/>
  <c r="I14012" i="2" s="1"/>
  <c r="I14013" i="2" a="1"/>
  <c r="I14013" i="2" s="1"/>
  <c r="I14014" i="2" a="1"/>
  <c r="I14014" i="2" s="1"/>
  <c r="I14015" i="2" a="1"/>
  <c r="I14015" i="2" s="1"/>
  <c r="I14016" i="2" a="1"/>
  <c r="I14016" i="2" s="1"/>
  <c r="I14017" i="2" a="1"/>
  <c r="I14017" i="2" s="1"/>
  <c r="I14018" i="2" a="1"/>
  <c r="I14018" i="2" s="1"/>
  <c r="I14019" i="2" a="1"/>
  <c r="I14019" i="2" s="1"/>
  <c r="I14020" i="2" a="1"/>
  <c r="I14020" i="2" s="1"/>
  <c r="I14021" i="2" a="1"/>
  <c r="I14021" i="2" s="1"/>
  <c r="I14022" i="2" a="1"/>
  <c r="I14022" i="2" s="1"/>
  <c r="I14023" i="2" a="1"/>
  <c r="I14023" i="2" s="1"/>
  <c r="I14024" i="2" a="1"/>
  <c r="I14024" i="2" s="1"/>
  <c r="I14025" i="2" a="1"/>
  <c r="I14025" i="2" s="1"/>
  <c r="I14026" i="2" a="1"/>
  <c r="I14026" i="2" s="1"/>
  <c r="I14027" i="2" a="1"/>
  <c r="I14027" i="2" s="1"/>
  <c r="I14028" i="2" a="1"/>
  <c r="I14028" i="2" s="1"/>
  <c r="I14029" i="2" a="1"/>
  <c r="I14029" i="2" s="1"/>
  <c r="I14030" i="2" a="1"/>
  <c r="I14030" i="2" s="1"/>
  <c r="I14031" i="2" a="1"/>
  <c r="I14031" i="2" s="1"/>
  <c r="I14032" i="2" a="1"/>
  <c r="I14032" i="2" s="1"/>
  <c r="I14033" i="2" a="1"/>
  <c r="I14033" i="2" s="1"/>
  <c r="I14034" i="2" a="1"/>
  <c r="I14034" i="2" s="1"/>
  <c r="I14035" i="2" a="1"/>
  <c r="I14035" i="2" s="1"/>
  <c r="I14036" i="2" a="1"/>
  <c r="I14036" i="2" s="1"/>
  <c r="I14037" i="2" a="1"/>
  <c r="I14037" i="2" s="1"/>
  <c r="I14038" i="2" a="1"/>
  <c r="I14038" i="2" s="1"/>
  <c r="I14039" i="2" a="1"/>
  <c r="I14039" i="2" s="1"/>
  <c r="I14040" i="2" a="1"/>
  <c r="I14040" i="2" s="1"/>
  <c r="I14041" i="2" a="1"/>
  <c r="I14041" i="2" s="1"/>
  <c r="I14042" i="2" a="1"/>
  <c r="I14042" i="2" s="1"/>
  <c r="I14043" i="2" a="1"/>
  <c r="I14043" i="2" s="1"/>
  <c r="I14044" i="2" a="1"/>
  <c r="I14044" i="2" s="1"/>
  <c r="I14045" i="2" a="1"/>
  <c r="I14045" i="2" s="1"/>
  <c r="I14046" i="2" a="1"/>
  <c r="I14046" i="2" s="1"/>
  <c r="I14047" i="2" a="1"/>
  <c r="I14047" i="2" s="1"/>
  <c r="I14048" i="2" a="1"/>
  <c r="I14048" i="2" s="1"/>
  <c r="I14049" i="2" a="1"/>
  <c r="I14049" i="2" s="1"/>
  <c r="I14050" i="2" a="1"/>
  <c r="I14050" i="2" s="1"/>
  <c r="I14051" i="2" a="1"/>
  <c r="I14051" i="2" s="1"/>
  <c r="I14052" i="2" a="1"/>
  <c r="I14052" i="2" s="1"/>
  <c r="I14053" i="2" a="1"/>
  <c r="I14053" i="2" s="1"/>
  <c r="I14054" i="2" a="1"/>
  <c r="I14054" i="2" s="1"/>
  <c r="I14055" i="2" a="1"/>
  <c r="I14055" i="2" s="1"/>
  <c r="I14056" i="2" a="1"/>
  <c r="I14056" i="2" s="1"/>
  <c r="I14057" i="2" a="1"/>
  <c r="I14057" i="2" s="1"/>
  <c r="I14058" i="2" a="1"/>
  <c r="I14058" i="2" s="1"/>
  <c r="I14059" i="2" a="1"/>
  <c r="I14059" i="2" s="1"/>
  <c r="I14060" i="2" a="1"/>
  <c r="I14060" i="2" s="1"/>
  <c r="I14061" i="2" a="1"/>
  <c r="I14061" i="2" s="1"/>
  <c r="I14062" i="2" a="1"/>
  <c r="I14062" i="2" s="1"/>
  <c r="I14063" i="2" a="1"/>
  <c r="I14063" i="2" s="1"/>
  <c r="I14064" i="2" a="1"/>
  <c r="I14064" i="2" s="1"/>
  <c r="I14065" i="2" a="1"/>
  <c r="I14065" i="2" s="1"/>
  <c r="I14066" i="2" a="1"/>
  <c r="I14066" i="2" s="1"/>
  <c r="I14067" i="2" a="1"/>
  <c r="I14067" i="2" s="1"/>
  <c r="I14068" i="2" a="1"/>
  <c r="I14068" i="2" s="1"/>
  <c r="I14069" i="2" a="1"/>
  <c r="I14069" i="2" s="1"/>
  <c r="I14070" i="2" a="1"/>
  <c r="I14070" i="2" s="1"/>
  <c r="I14071" i="2" a="1"/>
  <c r="I14071" i="2" s="1"/>
  <c r="I14072" i="2" a="1"/>
  <c r="I14072" i="2" s="1"/>
  <c r="I14073" i="2" a="1"/>
  <c r="I14073" i="2" s="1"/>
  <c r="I14074" i="2" a="1"/>
  <c r="I14074" i="2" s="1"/>
  <c r="I14075" i="2" a="1"/>
  <c r="I14075" i="2" s="1"/>
  <c r="I14076" i="2" a="1"/>
  <c r="I14076" i="2" s="1"/>
  <c r="I14077" i="2" a="1"/>
  <c r="I14077" i="2" s="1"/>
  <c r="I14078" i="2" a="1"/>
  <c r="I14078" i="2" s="1"/>
  <c r="I14079" i="2" a="1"/>
  <c r="I14079" i="2" s="1"/>
  <c r="I14080" i="2" a="1"/>
  <c r="I14080" i="2" s="1"/>
  <c r="I14081" i="2" a="1"/>
  <c r="I14081" i="2" s="1"/>
  <c r="I14082" i="2" a="1"/>
  <c r="I14082" i="2" s="1"/>
  <c r="I14083" i="2" a="1"/>
  <c r="I14083" i="2" s="1"/>
  <c r="I14084" i="2" a="1"/>
  <c r="I14084" i="2" s="1"/>
  <c r="I14085" i="2" a="1"/>
  <c r="I14085" i="2" s="1"/>
  <c r="I14086" i="2" a="1"/>
  <c r="I14086" i="2" s="1"/>
  <c r="I14087" i="2" a="1"/>
  <c r="I14087" i="2" s="1"/>
  <c r="I14088" i="2" a="1"/>
  <c r="I14088" i="2" s="1"/>
  <c r="I14089" i="2" a="1"/>
  <c r="I14089" i="2" s="1"/>
  <c r="I14090" i="2" a="1"/>
  <c r="I14090" i="2" s="1"/>
  <c r="I14091" i="2" a="1"/>
  <c r="I14091" i="2" s="1"/>
  <c r="I14092" i="2" a="1"/>
  <c r="I14092" i="2" s="1"/>
  <c r="I14093" i="2" a="1"/>
  <c r="I14093" i="2" s="1"/>
  <c r="I14094" i="2" a="1"/>
  <c r="I14094" i="2" s="1"/>
  <c r="I14095" i="2" a="1"/>
  <c r="I14095" i="2" s="1"/>
  <c r="I14096" i="2" a="1"/>
  <c r="I14096" i="2" s="1"/>
  <c r="I14097" i="2" a="1"/>
  <c r="I14097" i="2" s="1"/>
  <c r="I14098" i="2" a="1"/>
  <c r="I14098" i="2" s="1"/>
  <c r="I14099" i="2" a="1"/>
  <c r="I14099" i="2" s="1"/>
  <c r="I14100" i="2" a="1"/>
  <c r="I14100" i="2" s="1"/>
  <c r="I14101" i="2" a="1"/>
  <c r="I14101" i="2" s="1"/>
  <c r="I14102" i="2" a="1"/>
  <c r="I14102" i="2" s="1"/>
  <c r="I14103" i="2" a="1"/>
  <c r="I14103" i="2" s="1"/>
  <c r="I14104" i="2" a="1"/>
  <c r="I14104" i="2" s="1"/>
  <c r="I14105" i="2" a="1"/>
  <c r="I14105" i="2" s="1"/>
  <c r="I14106" i="2" a="1"/>
  <c r="I14106" i="2" s="1"/>
  <c r="I14107" i="2" a="1"/>
  <c r="I14107" i="2" s="1"/>
  <c r="I14108" i="2" a="1"/>
  <c r="I14108" i="2" s="1"/>
  <c r="I14109" i="2" a="1"/>
  <c r="I14109" i="2" s="1"/>
  <c r="I14110" i="2" a="1"/>
  <c r="I14110" i="2" s="1"/>
  <c r="I14111" i="2" a="1"/>
  <c r="I14111" i="2" s="1"/>
  <c r="I14112" i="2" a="1"/>
  <c r="I14112" i="2" s="1"/>
  <c r="I14113" i="2" a="1"/>
  <c r="I14113" i="2" s="1"/>
  <c r="I14114" i="2" a="1"/>
  <c r="I14114" i="2" s="1"/>
  <c r="I14115" i="2" a="1"/>
  <c r="I14115" i="2" s="1"/>
  <c r="I14116" i="2" a="1"/>
  <c r="I14116" i="2" s="1"/>
  <c r="I14117" i="2" a="1"/>
  <c r="I14117" i="2" s="1"/>
  <c r="I14118" i="2" a="1"/>
  <c r="I14118" i="2" s="1"/>
  <c r="I14119" i="2" a="1"/>
  <c r="I14119" i="2" s="1"/>
  <c r="I14120" i="2" a="1"/>
  <c r="I14120" i="2" s="1"/>
  <c r="I14121" i="2" a="1"/>
  <c r="I14121" i="2" s="1"/>
  <c r="I14122" i="2" a="1"/>
  <c r="I14122" i="2" s="1"/>
  <c r="I14123" i="2" a="1"/>
  <c r="I14123" i="2" s="1"/>
  <c r="I14124" i="2" a="1"/>
  <c r="I14124" i="2" s="1"/>
  <c r="I14125" i="2" a="1"/>
  <c r="I14125" i="2" s="1"/>
  <c r="I14126" i="2" a="1"/>
  <c r="I14126" i="2" s="1"/>
  <c r="I14127" i="2" a="1"/>
  <c r="I14127" i="2" s="1"/>
  <c r="I14128" i="2" a="1"/>
  <c r="I14128" i="2" s="1"/>
  <c r="I14129" i="2" a="1"/>
  <c r="I14129" i="2" s="1"/>
  <c r="I14130" i="2" a="1"/>
  <c r="I14130" i="2" s="1"/>
  <c r="I14131" i="2" a="1"/>
  <c r="I14131" i="2" s="1"/>
  <c r="I14132" i="2" a="1"/>
  <c r="I14132" i="2" s="1"/>
  <c r="I14133" i="2" a="1"/>
  <c r="I14133" i="2" s="1"/>
  <c r="I14134" i="2" a="1"/>
  <c r="I14134" i="2" s="1"/>
  <c r="I14135" i="2" a="1"/>
  <c r="I14135" i="2" s="1"/>
  <c r="I14136" i="2" a="1"/>
  <c r="I14136" i="2" s="1"/>
  <c r="I14137" i="2" a="1"/>
  <c r="I14137" i="2" s="1"/>
  <c r="I14138" i="2" a="1"/>
  <c r="I14138" i="2" s="1"/>
  <c r="I14139" i="2" a="1"/>
  <c r="I14139" i="2" s="1"/>
  <c r="I14140" i="2" a="1"/>
  <c r="I14140" i="2" s="1"/>
  <c r="I14141" i="2" a="1"/>
  <c r="I14141" i="2" s="1"/>
  <c r="I14142" i="2" a="1"/>
  <c r="I14142" i="2" s="1"/>
  <c r="I14143" i="2" a="1"/>
  <c r="I14143" i="2" s="1"/>
  <c r="I14144" i="2" a="1"/>
  <c r="I14144" i="2" s="1"/>
  <c r="I14145" i="2" a="1"/>
  <c r="I14145" i="2" s="1"/>
  <c r="I14146" i="2" a="1"/>
  <c r="I14146" i="2" s="1"/>
  <c r="I14147" i="2" a="1"/>
  <c r="I14147" i="2" s="1"/>
  <c r="I14148" i="2" a="1"/>
  <c r="I14148" i="2" s="1"/>
  <c r="I14149" i="2" a="1"/>
  <c r="I14149" i="2" s="1"/>
  <c r="I14150" i="2" a="1"/>
  <c r="I14150" i="2" s="1"/>
  <c r="I14151" i="2" a="1"/>
  <c r="I14151" i="2" s="1"/>
  <c r="I14152" i="2" a="1"/>
  <c r="I14152" i="2" s="1"/>
  <c r="I14153" i="2" a="1"/>
  <c r="I14153" i="2" s="1"/>
  <c r="I14154" i="2" a="1"/>
  <c r="I14154" i="2" s="1"/>
  <c r="I14155" i="2" a="1"/>
  <c r="I14155" i="2" s="1"/>
  <c r="I14156" i="2" a="1"/>
  <c r="I14156" i="2" s="1"/>
  <c r="I14157" i="2" a="1"/>
  <c r="I14157" i="2" s="1"/>
  <c r="I14158" i="2" a="1"/>
  <c r="I14158" i="2" s="1"/>
  <c r="I14159" i="2" a="1"/>
  <c r="I14159" i="2" s="1"/>
  <c r="I14160" i="2" a="1"/>
  <c r="I14160" i="2" s="1"/>
  <c r="I14161" i="2" a="1"/>
  <c r="I14161" i="2" s="1"/>
  <c r="I14162" i="2" a="1"/>
  <c r="I14162" i="2" s="1"/>
  <c r="I14163" i="2" a="1"/>
  <c r="I14163" i="2" s="1"/>
  <c r="I14164" i="2" a="1"/>
  <c r="I14164" i="2" s="1"/>
  <c r="I14165" i="2" a="1"/>
  <c r="I14165" i="2" s="1"/>
  <c r="I14166" i="2" a="1"/>
  <c r="I14166" i="2" s="1"/>
  <c r="I14167" i="2" a="1"/>
  <c r="I14167" i="2" s="1"/>
  <c r="I14168" i="2" a="1"/>
  <c r="I14168" i="2" s="1"/>
  <c r="I14169" i="2" a="1"/>
  <c r="I14169" i="2" s="1"/>
  <c r="I14170" i="2" a="1"/>
  <c r="I14170" i="2" s="1"/>
  <c r="I14171" i="2" a="1"/>
  <c r="I14171" i="2" s="1"/>
  <c r="I14172" i="2" a="1"/>
  <c r="I14172" i="2" s="1"/>
  <c r="I14173" i="2" a="1"/>
  <c r="I14173" i="2" s="1"/>
  <c r="I14174" i="2" a="1"/>
  <c r="I14174" i="2" s="1"/>
  <c r="I14175" i="2" a="1"/>
  <c r="I14175" i="2" s="1"/>
  <c r="I14176" i="2" a="1"/>
  <c r="I14176" i="2" s="1"/>
  <c r="I14177" i="2" a="1"/>
  <c r="I14177" i="2" s="1"/>
  <c r="I14178" i="2" a="1"/>
  <c r="I14178" i="2" s="1"/>
  <c r="I14179" i="2" a="1"/>
  <c r="I14179" i="2" s="1"/>
  <c r="I14180" i="2" a="1"/>
  <c r="I14180" i="2" s="1"/>
  <c r="I14181" i="2" a="1"/>
  <c r="I14181" i="2" s="1"/>
  <c r="I14182" i="2" a="1"/>
  <c r="I14182" i="2" s="1"/>
  <c r="I14183" i="2" a="1"/>
  <c r="I14183" i="2" s="1"/>
  <c r="I14184" i="2" a="1"/>
  <c r="I14184" i="2" s="1"/>
  <c r="I14185" i="2" a="1"/>
  <c r="I14185" i="2" s="1"/>
  <c r="I14186" i="2" a="1"/>
  <c r="I14186" i="2" s="1"/>
  <c r="I14187" i="2" a="1"/>
  <c r="I14187" i="2" s="1"/>
  <c r="I14188" i="2" a="1"/>
  <c r="I14188" i="2" s="1"/>
  <c r="I14189" i="2" a="1"/>
  <c r="I14189" i="2" s="1"/>
  <c r="I14190" i="2" a="1"/>
  <c r="I14190" i="2" s="1"/>
  <c r="I14191" i="2" a="1"/>
  <c r="I14191" i="2" s="1"/>
  <c r="I14192" i="2" a="1"/>
  <c r="I14192" i="2" s="1"/>
  <c r="I14193" i="2" a="1"/>
  <c r="I14193" i="2" s="1"/>
  <c r="I14194" i="2" a="1"/>
  <c r="I14194" i="2" s="1"/>
  <c r="I14195" i="2" a="1"/>
  <c r="I14195" i="2" s="1"/>
  <c r="I14196" i="2" a="1"/>
  <c r="I14196" i="2" s="1"/>
  <c r="I14197" i="2" a="1"/>
  <c r="I14197" i="2" s="1"/>
  <c r="I14198" i="2" a="1"/>
  <c r="I14198" i="2" s="1"/>
  <c r="I14199" i="2" a="1"/>
  <c r="I14199" i="2" s="1"/>
  <c r="I14200" i="2" a="1"/>
  <c r="I14200" i="2" s="1"/>
  <c r="I14201" i="2" a="1"/>
  <c r="I14201" i="2" s="1"/>
  <c r="I14202" i="2" a="1"/>
  <c r="I14202" i="2" s="1"/>
  <c r="I14203" i="2" a="1"/>
  <c r="I14203" i="2" s="1"/>
  <c r="I14204" i="2" a="1"/>
  <c r="I14204" i="2" s="1"/>
  <c r="I14205" i="2" a="1"/>
  <c r="I14205" i="2" s="1"/>
  <c r="I14206" i="2" a="1"/>
  <c r="I14206" i="2" s="1"/>
  <c r="I14207" i="2" a="1"/>
  <c r="I14207" i="2" s="1"/>
  <c r="I14208" i="2" a="1"/>
  <c r="I14208" i="2" s="1"/>
  <c r="I14209" i="2" a="1"/>
  <c r="I14209" i="2" s="1"/>
  <c r="I14210" i="2" a="1"/>
  <c r="I14210" i="2" s="1"/>
  <c r="I14211" i="2" a="1"/>
  <c r="I14211" i="2" s="1"/>
  <c r="I14212" i="2" a="1"/>
  <c r="I14212" i="2" s="1"/>
  <c r="I14213" i="2" a="1"/>
  <c r="I14213" i="2" s="1"/>
  <c r="I14214" i="2" a="1"/>
  <c r="I14214" i="2" s="1"/>
  <c r="I14215" i="2" a="1"/>
  <c r="I14215" i="2" s="1"/>
  <c r="I14216" i="2" a="1"/>
  <c r="I14216" i="2" s="1"/>
  <c r="I14217" i="2" a="1"/>
  <c r="I14217" i="2" s="1"/>
  <c r="I14218" i="2" a="1"/>
  <c r="I14218" i="2" s="1"/>
  <c r="I14219" i="2" a="1"/>
  <c r="I14219" i="2" s="1"/>
  <c r="I14220" i="2" a="1"/>
  <c r="I14220" i="2" s="1"/>
  <c r="I14221" i="2" a="1"/>
  <c r="I14221" i="2" s="1"/>
  <c r="I14222" i="2" a="1"/>
  <c r="I14222" i="2" s="1"/>
  <c r="I14223" i="2" a="1"/>
  <c r="I14223" i="2" s="1"/>
  <c r="I14224" i="2" a="1"/>
  <c r="I14224" i="2" s="1"/>
  <c r="I14225" i="2" a="1"/>
  <c r="I14225" i="2" s="1"/>
  <c r="I14226" i="2" a="1"/>
  <c r="I14226" i="2" s="1"/>
  <c r="I14227" i="2" a="1"/>
  <c r="I14227" i="2" s="1"/>
  <c r="I14228" i="2" a="1"/>
  <c r="I14228" i="2" s="1"/>
  <c r="I14229" i="2" a="1"/>
  <c r="I14229" i="2" s="1"/>
  <c r="I14230" i="2" a="1"/>
  <c r="I14230" i="2" s="1"/>
  <c r="I14231" i="2" a="1"/>
  <c r="I14231" i="2" s="1"/>
  <c r="I14232" i="2" a="1"/>
  <c r="I14232" i="2" s="1"/>
  <c r="I14233" i="2" a="1"/>
  <c r="I14233" i="2" s="1"/>
  <c r="I14234" i="2" a="1"/>
  <c r="I14234" i="2" s="1"/>
  <c r="I14235" i="2" a="1"/>
  <c r="I14235" i="2" s="1"/>
  <c r="I14236" i="2" a="1"/>
  <c r="I14236" i="2" s="1"/>
  <c r="I14237" i="2" a="1"/>
  <c r="I14237" i="2" s="1"/>
  <c r="I14238" i="2" a="1"/>
  <c r="I14238" i="2" s="1"/>
  <c r="I14239" i="2" a="1"/>
  <c r="I14239" i="2" s="1"/>
  <c r="I14240" i="2" a="1"/>
  <c r="I14240" i="2" s="1"/>
  <c r="I14241" i="2" a="1"/>
  <c r="I14241" i="2" s="1"/>
  <c r="I14242" i="2" a="1"/>
  <c r="I14242" i="2" s="1"/>
  <c r="I14243" i="2" a="1"/>
  <c r="I14243" i="2" s="1"/>
  <c r="I14244" i="2" a="1"/>
  <c r="I14244" i="2" s="1"/>
  <c r="I14245" i="2" a="1"/>
  <c r="I14245" i="2" s="1"/>
  <c r="I14246" i="2" a="1"/>
  <c r="I14246" i="2" s="1"/>
  <c r="I14247" i="2" a="1"/>
  <c r="I14247" i="2" s="1"/>
  <c r="I14248" i="2" a="1"/>
  <c r="I14248" i="2" s="1"/>
  <c r="I14249" i="2" a="1"/>
  <c r="I14249" i="2" s="1"/>
  <c r="I14250" i="2" a="1"/>
  <c r="I14250" i="2" s="1"/>
  <c r="I14251" i="2" a="1"/>
  <c r="I14251" i="2" s="1"/>
  <c r="I14252" i="2" a="1"/>
  <c r="I14252" i="2" s="1"/>
  <c r="I14253" i="2" a="1"/>
  <c r="I14253" i="2" s="1"/>
  <c r="I14254" i="2" a="1"/>
  <c r="I14254" i="2" s="1"/>
  <c r="I14255" i="2" a="1"/>
  <c r="I14255" i="2" s="1"/>
  <c r="I14256" i="2" a="1"/>
  <c r="I14256" i="2" s="1"/>
  <c r="I14257" i="2" a="1"/>
  <c r="I14257" i="2" s="1"/>
  <c r="I14258" i="2" a="1"/>
  <c r="I14258" i="2" s="1"/>
  <c r="I14259" i="2" a="1"/>
  <c r="I14259" i="2" s="1"/>
  <c r="I14260" i="2" a="1"/>
  <c r="I14260" i="2" s="1"/>
  <c r="I14261" i="2" a="1"/>
  <c r="I14261" i="2" s="1"/>
  <c r="I14262" i="2" a="1"/>
  <c r="I14262" i="2" s="1"/>
  <c r="I14263" i="2" a="1"/>
  <c r="I14263" i="2" s="1"/>
  <c r="I14264" i="2" a="1"/>
  <c r="I14264" i="2" s="1"/>
  <c r="I14265" i="2" a="1"/>
  <c r="I14265" i="2" s="1"/>
  <c r="I14266" i="2" a="1"/>
  <c r="I14266" i="2" s="1"/>
  <c r="I14267" i="2" a="1"/>
  <c r="I14267" i="2" s="1"/>
  <c r="I14268" i="2" a="1"/>
  <c r="I14268" i="2" s="1"/>
  <c r="I14269" i="2" a="1"/>
  <c r="I14269" i="2" s="1"/>
  <c r="I14270" i="2" a="1"/>
  <c r="I14270" i="2" s="1"/>
  <c r="I14271" i="2" a="1"/>
  <c r="I14271" i="2" s="1"/>
  <c r="I14272" i="2" a="1"/>
  <c r="I14272" i="2" s="1"/>
  <c r="I14273" i="2" a="1"/>
  <c r="I14273" i="2" s="1"/>
  <c r="I14274" i="2" a="1"/>
  <c r="I14274" i="2" s="1"/>
  <c r="I14275" i="2" a="1"/>
  <c r="I14275" i="2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H10561" i="2"/>
  <c r="H10562" i="2"/>
  <c r="H10563" i="2"/>
  <c r="H10564" i="2"/>
  <c r="H10565" i="2"/>
  <c r="H10566" i="2"/>
  <c r="H10567" i="2"/>
  <c r="H10568" i="2"/>
  <c r="H10569" i="2"/>
  <c r="H10570" i="2"/>
  <c r="H10571" i="2"/>
  <c r="H10572" i="2"/>
  <c r="H10573" i="2"/>
  <c r="H10574" i="2"/>
  <c r="H10575" i="2"/>
  <c r="H10576" i="2"/>
  <c r="H10577" i="2"/>
  <c r="H10578" i="2"/>
  <c r="H10579" i="2"/>
  <c r="H10580" i="2"/>
  <c r="H10581" i="2"/>
  <c r="H10582" i="2"/>
  <c r="H10583" i="2"/>
  <c r="H10584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6" i="2"/>
  <c r="H10597" i="2"/>
  <c r="H10598" i="2"/>
  <c r="H10599" i="2"/>
  <c r="H10600" i="2"/>
  <c r="H10601" i="2"/>
  <c r="H10602" i="2"/>
  <c r="H10603" i="2"/>
  <c r="H10604" i="2"/>
  <c r="H10605" i="2"/>
  <c r="H10606" i="2"/>
  <c r="H10607" i="2"/>
  <c r="H10608" i="2"/>
  <c r="H10609" i="2"/>
  <c r="H10610" i="2"/>
  <c r="H10611" i="2"/>
  <c r="H10612" i="2"/>
  <c r="H10613" i="2"/>
  <c r="H10614" i="2"/>
  <c r="H10615" i="2"/>
  <c r="H10616" i="2"/>
  <c r="H10617" i="2"/>
  <c r="H10618" i="2"/>
  <c r="H10619" i="2"/>
  <c r="H10620" i="2"/>
  <c r="H10621" i="2"/>
  <c r="H10622" i="2"/>
  <c r="H10623" i="2"/>
  <c r="H10624" i="2"/>
  <c r="H10625" i="2"/>
  <c r="H10626" i="2"/>
  <c r="H10627" i="2"/>
  <c r="H10628" i="2"/>
  <c r="H10629" i="2"/>
  <c r="H10630" i="2"/>
  <c r="H10631" i="2"/>
  <c r="H10632" i="2"/>
  <c r="H10633" i="2"/>
  <c r="H10634" i="2"/>
  <c r="H10635" i="2"/>
  <c r="H10636" i="2"/>
  <c r="H10637" i="2"/>
  <c r="H10638" i="2"/>
  <c r="H10639" i="2"/>
  <c r="H10640" i="2"/>
  <c r="H10641" i="2"/>
  <c r="H10642" i="2"/>
  <c r="H10643" i="2"/>
  <c r="H10644" i="2"/>
  <c r="H10645" i="2"/>
  <c r="H10646" i="2"/>
  <c r="H10647" i="2"/>
  <c r="H10648" i="2"/>
  <c r="H10649" i="2"/>
  <c r="H10650" i="2"/>
  <c r="H10651" i="2"/>
  <c r="H10652" i="2"/>
  <c r="H10653" i="2"/>
  <c r="H10654" i="2"/>
  <c r="H10655" i="2"/>
  <c r="H10656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8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0" i="2"/>
  <c r="H10681" i="2"/>
  <c r="H10682" i="2"/>
  <c r="H10683" i="2"/>
  <c r="H10684" i="2"/>
  <c r="H10685" i="2"/>
  <c r="H10686" i="2"/>
  <c r="H10687" i="2"/>
  <c r="H10688" i="2"/>
  <c r="H10689" i="2"/>
  <c r="H10690" i="2"/>
  <c r="H10691" i="2"/>
  <c r="H10692" i="2"/>
  <c r="H10693" i="2"/>
  <c r="H10694" i="2"/>
  <c r="H10695" i="2"/>
  <c r="H10696" i="2"/>
  <c r="H10697" i="2"/>
  <c r="H10698" i="2"/>
  <c r="H10699" i="2"/>
  <c r="H10700" i="2"/>
  <c r="H10701" i="2"/>
  <c r="H10702" i="2"/>
  <c r="H10703" i="2"/>
  <c r="H10704" i="2"/>
  <c r="H10705" i="2"/>
  <c r="H10706" i="2"/>
  <c r="H10707" i="2"/>
  <c r="H10708" i="2"/>
  <c r="H10709" i="2"/>
  <c r="H10710" i="2"/>
  <c r="H10711" i="2"/>
  <c r="H10712" i="2"/>
  <c r="H10713" i="2"/>
  <c r="H10714" i="2"/>
  <c r="H10715" i="2"/>
  <c r="H10716" i="2"/>
  <c r="H10717" i="2"/>
  <c r="H10718" i="2"/>
  <c r="H10719" i="2"/>
  <c r="H10720" i="2"/>
  <c r="H10721" i="2"/>
  <c r="H10722" i="2"/>
  <c r="H10723" i="2"/>
  <c r="H10724" i="2"/>
  <c r="H10725" i="2"/>
  <c r="H10726" i="2"/>
  <c r="H10727" i="2"/>
  <c r="H10728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0" i="2"/>
  <c r="H10741" i="2"/>
  <c r="H10742" i="2"/>
  <c r="H10743" i="2"/>
  <c r="H10744" i="2"/>
  <c r="H10745" i="2"/>
  <c r="H10746" i="2"/>
  <c r="H10747" i="2"/>
  <c r="H10748" i="2"/>
  <c r="H10749" i="2"/>
  <c r="H10750" i="2"/>
  <c r="H10751" i="2"/>
  <c r="H10752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0764" i="2"/>
  <c r="H10765" i="2"/>
  <c r="H10766" i="2"/>
  <c r="H10767" i="2"/>
  <c r="H10768" i="2"/>
  <c r="H10769" i="2"/>
  <c r="H10770" i="2"/>
  <c r="H10771" i="2"/>
  <c r="H10772" i="2"/>
  <c r="H10773" i="2"/>
  <c r="H10774" i="2"/>
  <c r="H10775" i="2"/>
  <c r="H10776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8" i="2"/>
  <c r="H10789" i="2"/>
  <c r="H10790" i="2"/>
  <c r="H10791" i="2"/>
  <c r="H10792" i="2"/>
  <c r="H10793" i="2"/>
  <c r="H10794" i="2"/>
  <c r="H10795" i="2"/>
  <c r="H10796" i="2"/>
  <c r="H10797" i="2"/>
  <c r="H10798" i="2"/>
  <c r="H10799" i="2"/>
  <c r="H10800" i="2"/>
  <c r="H10801" i="2"/>
  <c r="H10802" i="2"/>
  <c r="H10803" i="2"/>
  <c r="H10804" i="2"/>
  <c r="H10805" i="2"/>
  <c r="H10806" i="2"/>
  <c r="H10807" i="2"/>
  <c r="H10808" i="2"/>
  <c r="H10809" i="2"/>
  <c r="H10810" i="2"/>
  <c r="H10811" i="2"/>
  <c r="H10812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4" i="2"/>
  <c r="H10825" i="2"/>
  <c r="H10826" i="2"/>
  <c r="H10827" i="2"/>
  <c r="H10828" i="2"/>
  <c r="H10829" i="2"/>
  <c r="H10830" i="2"/>
  <c r="H10831" i="2"/>
  <c r="H10832" i="2"/>
  <c r="H10833" i="2"/>
  <c r="H10834" i="2"/>
  <c r="H10835" i="2"/>
  <c r="H10836" i="2"/>
  <c r="H10837" i="2"/>
  <c r="H10838" i="2"/>
  <c r="H10839" i="2"/>
  <c r="H10840" i="2"/>
  <c r="H10841" i="2"/>
  <c r="H10842" i="2"/>
  <c r="H10843" i="2"/>
  <c r="H10844" i="2"/>
  <c r="H10845" i="2"/>
  <c r="H10846" i="2"/>
  <c r="H10847" i="2"/>
  <c r="H10848" i="2"/>
  <c r="H10849" i="2"/>
  <c r="H10850" i="2"/>
  <c r="H10851" i="2"/>
  <c r="H10852" i="2"/>
  <c r="H10853" i="2"/>
  <c r="H10854" i="2"/>
  <c r="H10855" i="2"/>
  <c r="H10856" i="2"/>
  <c r="H10857" i="2"/>
  <c r="H10858" i="2"/>
  <c r="H10859" i="2"/>
  <c r="H10860" i="2"/>
  <c r="H10861" i="2"/>
  <c r="H10862" i="2"/>
  <c r="H10863" i="2"/>
  <c r="H10864" i="2"/>
  <c r="H10865" i="2"/>
  <c r="H10866" i="2"/>
  <c r="H10867" i="2"/>
  <c r="H10868" i="2"/>
  <c r="H10869" i="2"/>
  <c r="H10870" i="2"/>
  <c r="H10871" i="2"/>
  <c r="H10872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4" i="2"/>
  <c r="H10885" i="2"/>
  <c r="H10886" i="2"/>
  <c r="H10887" i="2"/>
  <c r="H10888" i="2"/>
  <c r="H10889" i="2"/>
  <c r="H10890" i="2"/>
  <c r="H10891" i="2"/>
  <c r="H10892" i="2"/>
  <c r="H10893" i="2"/>
  <c r="H10894" i="2"/>
  <c r="H10895" i="2"/>
  <c r="H10896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8" i="2"/>
  <c r="H10909" i="2"/>
  <c r="H10910" i="2"/>
  <c r="H10911" i="2"/>
  <c r="H10912" i="2"/>
  <c r="H10913" i="2"/>
  <c r="H10914" i="2"/>
  <c r="H10915" i="2"/>
  <c r="H10916" i="2"/>
  <c r="H10917" i="2"/>
  <c r="H10918" i="2"/>
  <c r="H10919" i="2"/>
  <c r="H10920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2" i="2"/>
  <c r="H10933" i="2"/>
  <c r="H10934" i="2"/>
  <c r="H10935" i="2"/>
  <c r="H10936" i="2"/>
  <c r="H10937" i="2"/>
  <c r="H10938" i="2"/>
  <c r="H10939" i="2"/>
  <c r="H10940" i="2"/>
  <c r="H10941" i="2"/>
  <c r="H10942" i="2"/>
  <c r="H10943" i="2"/>
  <c r="H10944" i="2"/>
  <c r="H10945" i="2"/>
  <c r="H10946" i="2"/>
  <c r="H10947" i="2"/>
  <c r="H10948" i="2"/>
  <c r="H10949" i="2"/>
  <c r="H10950" i="2"/>
  <c r="H10951" i="2"/>
  <c r="H10952" i="2"/>
  <c r="H10953" i="2"/>
  <c r="H10954" i="2"/>
  <c r="H10955" i="2"/>
  <c r="H10956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8" i="2"/>
  <c r="H10969" i="2"/>
  <c r="H10970" i="2"/>
  <c r="H10971" i="2"/>
  <c r="H10972" i="2"/>
  <c r="H10973" i="2"/>
  <c r="H10974" i="2"/>
  <c r="H10975" i="2"/>
  <c r="H10976" i="2"/>
  <c r="H10977" i="2"/>
  <c r="H10978" i="2"/>
  <c r="H10979" i="2"/>
  <c r="H10980" i="2"/>
  <c r="H10981" i="2"/>
  <c r="H10982" i="2"/>
  <c r="H10983" i="2"/>
  <c r="H10984" i="2"/>
  <c r="H10985" i="2"/>
  <c r="H10986" i="2"/>
  <c r="H10987" i="2"/>
  <c r="H10988" i="2"/>
  <c r="H10989" i="2"/>
  <c r="H10990" i="2"/>
  <c r="H10991" i="2"/>
  <c r="H10992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4" i="2"/>
  <c r="H11005" i="2"/>
  <c r="H11006" i="2"/>
  <c r="H11007" i="2"/>
  <c r="H11008" i="2"/>
  <c r="H11009" i="2"/>
  <c r="H11010" i="2"/>
  <c r="H11011" i="2"/>
  <c r="H11012" i="2"/>
  <c r="H11013" i="2"/>
  <c r="H11014" i="2"/>
  <c r="H11015" i="2"/>
  <c r="H11016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8" i="2"/>
  <c r="H11029" i="2"/>
  <c r="H11030" i="2"/>
  <c r="H11031" i="2"/>
  <c r="H11032" i="2"/>
  <c r="H11033" i="2"/>
  <c r="H11034" i="2"/>
  <c r="H11035" i="2"/>
  <c r="H11036" i="2"/>
  <c r="H11037" i="2"/>
  <c r="H11038" i="2"/>
  <c r="H11039" i="2"/>
  <c r="H11040" i="2"/>
  <c r="H11041" i="2"/>
  <c r="H11042" i="2"/>
  <c r="H11043" i="2"/>
  <c r="H11044" i="2"/>
  <c r="H11045" i="2"/>
  <c r="H11046" i="2"/>
  <c r="H11047" i="2"/>
  <c r="H11048" i="2"/>
  <c r="H11049" i="2"/>
  <c r="H11050" i="2"/>
  <c r="H11051" i="2"/>
  <c r="H11052" i="2"/>
  <c r="H11053" i="2"/>
  <c r="H11054" i="2"/>
  <c r="H11055" i="2"/>
  <c r="H11056" i="2"/>
  <c r="H11057" i="2"/>
  <c r="H11058" i="2"/>
  <c r="H11059" i="2"/>
  <c r="H11060" i="2"/>
  <c r="H11061" i="2"/>
  <c r="H11062" i="2"/>
  <c r="H11063" i="2"/>
  <c r="H11064" i="2"/>
  <c r="H11065" i="2"/>
  <c r="H11066" i="2"/>
  <c r="H11067" i="2"/>
  <c r="H11068" i="2"/>
  <c r="H11069" i="2"/>
  <c r="H11070" i="2"/>
  <c r="H11071" i="2"/>
  <c r="H11072" i="2"/>
  <c r="H11073" i="2"/>
  <c r="H11074" i="2"/>
  <c r="H11075" i="2"/>
  <c r="H11076" i="2"/>
  <c r="H11077" i="2"/>
  <c r="H11078" i="2"/>
  <c r="H11079" i="2"/>
  <c r="H11080" i="2"/>
  <c r="H11081" i="2"/>
  <c r="H11082" i="2"/>
  <c r="H11083" i="2"/>
  <c r="H11084" i="2"/>
  <c r="H11085" i="2"/>
  <c r="H11086" i="2"/>
  <c r="H11087" i="2"/>
  <c r="H11088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0" i="2"/>
  <c r="H11101" i="2"/>
  <c r="H11102" i="2"/>
  <c r="H11103" i="2"/>
  <c r="H11104" i="2"/>
  <c r="H11105" i="2"/>
  <c r="H11106" i="2"/>
  <c r="H11107" i="2"/>
  <c r="H11108" i="2"/>
  <c r="H11109" i="2"/>
  <c r="H11110" i="2"/>
  <c r="H11111" i="2"/>
  <c r="H11112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4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6" i="2"/>
  <c r="H11137" i="2"/>
  <c r="H11138" i="2"/>
  <c r="H11139" i="2"/>
  <c r="H11140" i="2"/>
  <c r="H11141" i="2"/>
  <c r="H11142" i="2"/>
  <c r="H11143" i="2"/>
  <c r="H11144" i="2"/>
  <c r="H11145" i="2"/>
  <c r="H11146" i="2"/>
  <c r="H11147" i="2"/>
  <c r="H11148" i="2"/>
  <c r="H11149" i="2"/>
  <c r="H11150" i="2"/>
  <c r="H11151" i="2"/>
  <c r="H11152" i="2"/>
  <c r="H11153" i="2"/>
  <c r="H11154" i="2"/>
  <c r="H11155" i="2"/>
  <c r="H11156" i="2"/>
  <c r="H11157" i="2"/>
  <c r="H11158" i="2"/>
  <c r="H11159" i="2"/>
  <c r="H11160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2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4" i="2"/>
  <c r="H11185" i="2"/>
  <c r="H11186" i="2"/>
  <c r="H11187" i="2"/>
  <c r="H11188" i="2"/>
  <c r="H11189" i="2"/>
  <c r="H11190" i="2"/>
  <c r="H11191" i="2"/>
  <c r="H11192" i="2"/>
  <c r="H11193" i="2"/>
  <c r="H11194" i="2"/>
  <c r="H11195" i="2"/>
  <c r="H11196" i="2"/>
  <c r="H11197" i="2"/>
  <c r="H11198" i="2"/>
  <c r="H11199" i="2"/>
  <c r="H11200" i="2"/>
  <c r="H11201" i="2"/>
  <c r="H11202" i="2"/>
  <c r="H11203" i="2"/>
  <c r="H11204" i="2"/>
  <c r="H11205" i="2"/>
  <c r="H11206" i="2"/>
  <c r="H11207" i="2"/>
  <c r="H11208" i="2"/>
  <c r="H11209" i="2"/>
  <c r="H11210" i="2"/>
  <c r="H11211" i="2"/>
  <c r="H11212" i="2"/>
  <c r="H11213" i="2"/>
  <c r="H11214" i="2"/>
  <c r="H11215" i="2"/>
  <c r="H11216" i="2"/>
  <c r="H11217" i="2"/>
  <c r="H11218" i="2"/>
  <c r="H11219" i="2"/>
  <c r="H11220" i="2"/>
  <c r="H11221" i="2"/>
  <c r="H11222" i="2"/>
  <c r="H11223" i="2"/>
  <c r="H11224" i="2"/>
  <c r="H11225" i="2"/>
  <c r="H11226" i="2"/>
  <c r="H11227" i="2"/>
  <c r="H11228" i="2"/>
  <c r="H11229" i="2"/>
  <c r="H11230" i="2"/>
  <c r="H11231" i="2"/>
  <c r="H11232" i="2"/>
  <c r="H11233" i="2"/>
  <c r="H11234" i="2"/>
  <c r="H11235" i="2"/>
  <c r="H11236" i="2"/>
  <c r="H11237" i="2"/>
  <c r="H11238" i="2"/>
  <c r="H11239" i="2"/>
  <c r="H11240" i="2"/>
  <c r="H11241" i="2"/>
  <c r="H11242" i="2"/>
  <c r="H11243" i="2"/>
  <c r="H11244" i="2"/>
  <c r="H11245" i="2"/>
  <c r="H11246" i="2"/>
  <c r="H11247" i="2"/>
  <c r="H11248" i="2"/>
  <c r="H11249" i="2"/>
  <c r="H11250" i="2"/>
  <c r="H11251" i="2"/>
  <c r="H11252" i="2"/>
  <c r="H11253" i="2"/>
  <c r="H11254" i="2"/>
  <c r="H11255" i="2"/>
  <c r="H11256" i="2"/>
  <c r="H11257" i="2"/>
  <c r="H11258" i="2"/>
  <c r="H11259" i="2"/>
  <c r="H11260" i="2"/>
  <c r="H11261" i="2"/>
  <c r="H11262" i="2"/>
  <c r="H11263" i="2"/>
  <c r="H11264" i="2"/>
  <c r="H11265" i="2"/>
  <c r="H11266" i="2"/>
  <c r="H11267" i="2"/>
  <c r="H11268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11280" i="2"/>
  <c r="H11281" i="2"/>
  <c r="H11282" i="2"/>
  <c r="H11283" i="2"/>
  <c r="H11284" i="2"/>
  <c r="H11285" i="2"/>
  <c r="H11286" i="2"/>
  <c r="H11287" i="2"/>
  <c r="H11288" i="2"/>
  <c r="H11289" i="2"/>
  <c r="H11290" i="2"/>
  <c r="H11291" i="2"/>
  <c r="H11292" i="2"/>
  <c r="H11293" i="2"/>
  <c r="H11294" i="2"/>
  <c r="H11295" i="2"/>
  <c r="H11296" i="2"/>
  <c r="H11297" i="2"/>
  <c r="H11298" i="2"/>
  <c r="H11299" i="2"/>
  <c r="H11300" i="2"/>
  <c r="H11301" i="2"/>
  <c r="H11302" i="2"/>
  <c r="H11303" i="2"/>
  <c r="H11304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6" i="2"/>
  <c r="H11317" i="2"/>
  <c r="H11318" i="2"/>
  <c r="H11319" i="2"/>
  <c r="H11320" i="2"/>
  <c r="H11321" i="2"/>
  <c r="H11322" i="2"/>
  <c r="H11323" i="2"/>
  <c r="H11324" i="2"/>
  <c r="H11325" i="2"/>
  <c r="H11326" i="2"/>
  <c r="H11327" i="2"/>
  <c r="H11328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0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2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4" i="2"/>
  <c r="H11365" i="2"/>
  <c r="H11366" i="2"/>
  <c r="H11367" i="2"/>
  <c r="H11368" i="2"/>
  <c r="H11369" i="2"/>
  <c r="H11370" i="2"/>
  <c r="H11371" i="2"/>
  <c r="H11372" i="2"/>
  <c r="H11373" i="2"/>
  <c r="H11374" i="2"/>
  <c r="H11375" i="2"/>
  <c r="H11376" i="2"/>
  <c r="H11377" i="2"/>
  <c r="H11378" i="2"/>
  <c r="H11379" i="2"/>
  <c r="H11380" i="2"/>
  <c r="H11381" i="2"/>
  <c r="H11382" i="2"/>
  <c r="H11383" i="2"/>
  <c r="H11384" i="2"/>
  <c r="H11385" i="2"/>
  <c r="H11386" i="2"/>
  <c r="H11387" i="2"/>
  <c r="H11388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1400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2" i="2"/>
  <c r="H11413" i="2"/>
  <c r="H11414" i="2"/>
  <c r="H11415" i="2"/>
  <c r="H11416" i="2"/>
  <c r="H11417" i="2"/>
  <c r="H11418" i="2"/>
  <c r="H11419" i="2"/>
  <c r="H11420" i="2"/>
  <c r="H11421" i="2"/>
  <c r="H11422" i="2"/>
  <c r="H11423" i="2"/>
  <c r="H11424" i="2"/>
  <c r="H11425" i="2"/>
  <c r="H11426" i="2"/>
  <c r="H11427" i="2"/>
  <c r="H11428" i="2"/>
  <c r="H11429" i="2"/>
  <c r="H11430" i="2"/>
  <c r="H11431" i="2"/>
  <c r="H11432" i="2"/>
  <c r="H11433" i="2"/>
  <c r="H11434" i="2"/>
  <c r="H11435" i="2"/>
  <c r="H11436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8" i="2"/>
  <c r="H11449" i="2"/>
  <c r="H11450" i="2"/>
  <c r="H11451" i="2"/>
  <c r="H11452" i="2"/>
  <c r="H11453" i="2"/>
  <c r="H11454" i="2"/>
  <c r="H11455" i="2"/>
  <c r="H11456" i="2"/>
  <c r="H11457" i="2"/>
  <c r="H11458" i="2"/>
  <c r="H11459" i="2"/>
  <c r="H11460" i="2"/>
  <c r="H11461" i="2"/>
  <c r="H11462" i="2"/>
  <c r="H11463" i="2"/>
  <c r="H11464" i="2"/>
  <c r="H11465" i="2"/>
  <c r="H11466" i="2"/>
  <c r="H11467" i="2"/>
  <c r="H11468" i="2"/>
  <c r="H11469" i="2"/>
  <c r="H11470" i="2"/>
  <c r="H11471" i="2"/>
  <c r="H11472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4" i="2"/>
  <c r="H11485" i="2"/>
  <c r="H11486" i="2"/>
  <c r="H11487" i="2"/>
  <c r="H11488" i="2"/>
  <c r="H11489" i="2"/>
  <c r="H11490" i="2"/>
  <c r="H11491" i="2"/>
  <c r="H11492" i="2"/>
  <c r="H11493" i="2"/>
  <c r="H11494" i="2"/>
  <c r="H11495" i="2"/>
  <c r="H11496" i="2"/>
  <c r="H11497" i="2"/>
  <c r="H11498" i="2"/>
  <c r="H11499" i="2"/>
  <c r="H11500" i="2"/>
  <c r="H11501" i="2"/>
  <c r="H11502" i="2"/>
  <c r="H11503" i="2"/>
  <c r="H11504" i="2"/>
  <c r="H11505" i="2"/>
  <c r="H11506" i="2"/>
  <c r="H11507" i="2"/>
  <c r="H11508" i="2"/>
  <c r="H11509" i="2"/>
  <c r="H11510" i="2"/>
  <c r="H11511" i="2"/>
  <c r="H11512" i="2"/>
  <c r="H11513" i="2"/>
  <c r="H11514" i="2"/>
  <c r="H11515" i="2"/>
  <c r="H11516" i="2"/>
  <c r="H11517" i="2"/>
  <c r="H11518" i="2"/>
  <c r="H11519" i="2"/>
  <c r="H11520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2" i="2"/>
  <c r="H11533" i="2"/>
  <c r="H11534" i="2"/>
  <c r="H11535" i="2"/>
  <c r="H11536" i="2"/>
  <c r="H11537" i="2"/>
  <c r="H11538" i="2"/>
  <c r="H11539" i="2"/>
  <c r="H11540" i="2"/>
  <c r="H11541" i="2"/>
  <c r="H11542" i="2"/>
  <c r="H11543" i="2"/>
  <c r="H11544" i="2"/>
  <c r="H11545" i="2"/>
  <c r="H11546" i="2"/>
  <c r="H11547" i="2"/>
  <c r="H11548" i="2"/>
  <c r="H11549" i="2"/>
  <c r="H11550" i="2"/>
  <c r="H11551" i="2"/>
  <c r="H11552" i="2"/>
  <c r="H11553" i="2"/>
  <c r="H11554" i="2"/>
  <c r="H11555" i="2"/>
  <c r="H11556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11568" i="2"/>
  <c r="H11569" i="2"/>
  <c r="H11570" i="2"/>
  <c r="H11571" i="2"/>
  <c r="H11572" i="2"/>
  <c r="H11573" i="2"/>
  <c r="H11574" i="2"/>
  <c r="H11575" i="2"/>
  <c r="H11576" i="2"/>
  <c r="H11577" i="2"/>
  <c r="H11578" i="2"/>
  <c r="H11579" i="2"/>
  <c r="H11580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2" i="2"/>
  <c r="H11593" i="2"/>
  <c r="H11594" i="2"/>
  <c r="H11595" i="2"/>
  <c r="H11596" i="2"/>
  <c r="H11597" i="2"/>
  <c r="H11598" i="2"/>
  <c r="H11599" i="2"/>
  <c r="H11600" i="2"/>
  <c r="H11601" i="2"/>
  <c r="H11602" i="2"/>
  <c r="H11603" i="2"/>
  <c r="H11604" i="2"/>
  <c r="H11605" i="2"/>
  <c r="H11606" i="2"/>
  <c r="H11607" i="2"/>
  <c r="H11608" i="2"/>
  <c r="H11609" i="2"/>
  <c r="H11610" i="2"/>
  <c r="H11611" i="2"/>
  <c r="H11612" i="2"/>
  <c r="H11613" i="2"/>
  <c r="H11614" i="2"/>
  <c r="H11615" i="2"/>
  <c r="H11616" i="2"/>
  <c r="H11617" i="2"/>
  <c r="H11618" i="2"/>
  <c r="H11619" i="2"/>
  <c r="H11620" i="2"/>
  <c r="H11621" i="2"/>
  <c r="H11622" i="2"/>
  <c r="H11623" i="2"/>
  <c r="H11624" i="2"/>
  <c r="H11625" i="2"/>
  <c r="H11626" i="2"/>
  <c r="H11627" i="2"/>
  <c r="H11628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0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2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4" i="2"/>
  <c r="H11665" i="2"/>
  <c r="H11666" i="2"/>
  <c r="H11667" i="2"/>
  <c r="H11668" i="2"/>
  <c r="H11669" i="2"/>
  <c r="H11670" i="2"/>
  <c r="H11671" i="2"/>
  <c r="H11672" i="2"/>
  <c r="H11673" i="2"/>
  <c r="H11674" i="2"/>
  <c r="H11675" i="2"/>
  <c r="H11676" i="2"/>
  <c r="H11677" i="2"/>
  <c r="H11678" i="2"/>
  <c r="H11679" i="2"/>
  <c r="H11680" i="2"/>
  <c r="H11681" i="2"/>
  <c r="H11682" i="2"/>
  <c r="H11683" i="2"/>
  <c r="H11684" i="2"/>
  <c r="H11685" i="2"/>
  <c r="H11686" i="2"/>
  <c r="H11687" i="2"/>
  <c r="H11688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0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2" i="2"/>
  <c r="H11713" i="2"/>
  <c r="H11714" i="2"/>
  <c r="H11715" i="2"/>
  <c r="H11716" i="2"/>
  <c r="H11717" i="2"/>
  <c r="H11718" i="2"/>
  <c r="H11719" i="2"/>
  <c r="H11720" i="2"/>
  <c r="H11721" i="2"/>
  <c r="H11722" i="2"/>
  <c r="H11723" i="2"/>
  <c r="H11724" i="2"/>
  <c r="H11725" i="2"/>
  <c r="H11726" i="2"/>
  <c r="H11727" i="2"/>
  <c r="H11728" i="2"/>
  <c r="H11729" i="2"/>
  <c r="H11730" i="2"/>
  <c r="H11731" i="2"/>
  <c r="H11732" i="2"/>
  <c r="H11733" i="2"/>
  <c r="H11734" i="2"/>
  <c r="H11735" i="2"/>
  <c r="H11736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8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0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2" i="2"/>
  <c r="H11773" i="2"/>
  <c r="H11774" i="2"/>
  <c r="H11775" i="2"/>
  <c r="H11776" i="2"/>
  <c r="H11777" i="2"/>
  <c r="H11778" i="2"/>
  <c r="H11779" i="2"/>
  <c r="H11780" i="2"/>
  <c r="H11781" i="2"/>
  <c r="H11782" i="2"/>
  <c r="H11783" i="2"/>
  <c r="H11784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6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1808" i="2"/>
  <c r="H11809" i="2"/>
  <c r="H11810" i="2"/>
  <c r="H11811" i="2"/>
  <c r="H11812" i="2"/>
  <c r="H11813" i="2"/>
  <c r="H11814" i="2"/>
  <c r="H11815" i="2"/>
  <c r="H11816" i="2"/>
  <c r="H11817" i="2"/>
  <c r="H11818" i="2"/>
  <c r="H11819" i="2"/>
  <c r="H11820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2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4" i="2"/>
  <c r="H11845" i="2"/>
  <c r="H11846" i="2"/>
  <c r="H11847" i="2"/>
  <c r="H11848" i="2"/>
  <c r="H11849" i="2"/>
  <c r="H11850" i="2"/>
  <c r="H11851" i="2"/>
  <c r="H11852" i="2"/>
  <c r="H11853" i="2"/>
  <c r="H11854" i="2"/>
  <c r="H11855" i="2"/>
  <c r="H11856" i="2"/>
  <c r="H11857" i="2"/>
  <c r="H11858" i="2"/>
  <c r="H11859" i="2"/>
  <c r="H11860" i="2"/>
  <c r="H11861" i="2"/>
  <c r="H11862" i="2"/>
  <c r="H11863" i="2"/>
  <c r="H11864" i="2"/>
  <c r="H11865" i="2"/>
  <c r="H11866" i="2"/>
  <c r="H11867" i="2"/>
  <c r="H11868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0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2" i="2"/>
  <c r="H11893" i="2"/>
  <c r="H11894" i="2"/>
  <c r="H11895" i="2"/>
  <c r="H11896" i="2"/>
  <c r="H11897" i="2"/>
  <c r="H11898" i="2"/>
  <c r="H11899" i="2"/>
  <c r="H11900" i="2"/>
  <c r="H11901" i="2"/>
  <c r="H11902" i="2"/>
  <c r="H11903" i="2"/>
  <c r="H11904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6" i="2"/>
  <c r="H11917" i="2"/>
  <c r="H11918" i="2"/>
  <c r="H11919" i="2"/>
  <c r="H11920" i="2"/>
  <c r="H11921" i="2"/>
  <c r="H11922" i="2"/>
  <c r="H11923" i="2"/>
  <c r="H11924" i="2"/>
  <c r="H11925" i="2"/>
  <c r="H11926" i="2"/>
  <c r="H11927" i="2"/>
  <c r="H11928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0" i="2"/>
  <c r="H11941" i="2"/>
  <c r="H11942" i="2"/>
  <c r="H11943" i="2"/>
  <c r="H11944" i="2"/>
  <c r="H11945" i="2"/>
  <c r="H11946" i="2"/>
  <c r="H11947" i="2"/>
  <c r="H11948" i="2"/>
  <c r="H11949" i="2"/>
  <c r="H11950" i="2"/>
  <c r="H11951" i="2"/>
  <c r="H11952" i="2"/>
  <c r="H11953" i="2"/>
  <c r="H11954" i="2"/>
  <c r="H11955" i="2"/>
  <c r="H11956" i="2"/>
  <c r="H11957" i="2"/>
  <c r="H11958" i="2"/>
  <c r="H11959" i="2"/>
  <c r="H11960" i="2"/>
  <c r="H11961" i="2"/>
  <c r="H11962" i="2"/>
  <c r="H11963" i="2"/>
  <c r="H11964" i="2"/>
  <c r="H11965" i="2"/>
  <c r="H11966" i="2"/>
  <c r="H11967" i="2"/>
  <c r="H11968" i="2"/>
  <c r="H11969" i="2"/>
  <c r="H11970" i="2"/>
  <c r="H11971" i="2"/>
  <c r="H11972" i="2"/>
  <c r="H11973" i="2"/>
  <c r="H11974" i="2"/>
  <c r="H11975" i="2"/>
  <c r="H11976" i="2"/>
  <c r="H11977" i="2"/>
  <c r="H11978" i="2"/>
  <c r="H11979" i="2"/>
  <c r="H11980" i="2"/>
  <c r="H11981" i="2"/>
  <c r="H11982" i="2"/>
  <c r="H11983" i="2"/>
  <c r="H11984" i="2"/>
  <c r="H11985" i="2"/>
  <c r="H11986" i="2"/>
  <c r="H11987" i="2"/>
  <c r="H11988" i="2"/>
  <c r="H11989" i="2"/>
  <c r="H11990" i="2"/>
  <c r="H11991" i="2"/>
  <c r="H11992" i="2"/>
  <c r="H11993" i="2"/>
  <c r="H11994" i="2"/>
  <c r="H11995" i="2"/>
  <c r="H11996" i="2"/>
  <c r="H11997" i="2"/>
  <c r="H11998" i="2"/>
  <c r="H11999" i="2"/>
  <c r="H12000" i="2"/>
  <c r="H12001" i="2"/>
  <c r="H12002" i="2"/>
  <c r="H12003" i="2"/>
  <c r="H12004" i="2"/>
  <c r="H12005" i="2"/>
  <c r="H12006" i="2"/>
  <c r="H12007" i="2"/>
  <c r="H12008" i="2"/>
  <c r="H12009" i="2"/>
  <c r="H12010" i="2"/>
  <c r="H12011" i="2"/>
  <c r="H12012" i="2"/>
  <c r="H12013" i="2"/>
  <c r="H12014" i="2"/>
  <c r="H12015" i="2"/>
  <c r="H12016" i="2"/>
  <c r="H12017" i="2"/>
  <c r="H12018" i="2"/>
  <c r="H12019" i="2"/>
  <c r="H12020" i="2"/>
  <c r="H12021" i="2"/>
  <c r="H12022" i="2"/>
  <c r="H12023" i="2"/>
  <c r="H12024" i="2"/>
  <c r="H12025" i="2"/>
  <c r="H12026" i="2"/>
  <c r="H12027" i="2"/>
  <c r="H12028" i="2"/>
  <c r="H12029" i="2"/>
  <c r="H12030" i="2"/>
  <c r="H12031" i="2"/>
  <c r="H12032" i="2"/>
  <c r="H12033" i="2"/>
  <c r="H12034" i="2"/>
  <c r="H12035" i="2"/>
  <c r="H12036" i="2"/>
  <c r="H12037" i="2"/>
  <c r="H12038" i="2"/>
  <c r="H12039" i="2"/>
  <c r="H12040" i="2"/>
  <c r="H12041" i="2"/>
  <c r="H12042" i="2"/>
  <c r="H12043" i="2"/>
  <c r="H12044" i="2"/>
  <c r="H12045" i="2"/>
  <c r="H12046" i="2"/>
  <c r="H12047" i="2"/>
  <c r="H12048" i="2"/>
  <c r="H12049" i="2"/>
  <c r="H12050" i="2"/>
  <c r="H12051" i="2"/>
  <c r="H12052" i="2"/>
  <c r="H12053" i="2"/>
  <c r="H12054" i="2"/>
  <c r="H12055" i="2"/>
  <c r="H12056" i="2"/>
  <c r="H12057" i="2"/>
  <c r="H12058" i="2"/>
  <c r="H12059" i="2"/>
  <c r="H12060" i="2"/>
  <c r="H12061" i="2"/>
  <c r="H12062" i="2"/>
  <c r="H12063" i="2"/>
  <c r="H12064" i="2"/>
  <c r="H12065" i="2"/>
  <c r="H12066" i="2"/>
  <c r="H12067" i="2"/>
  <c r="H12068" i="2"/>
  <c r="H12069" i="2"/>
  <c r="H12070" i="2"/>
  <c r="H12071" i="2"/>
  <c r="H12072" i="2"/>
  <c r="H12073" i="2"/>
  <c r="H12074" i="2"/>
  <c r="H12075" i="2"/>
  <c r="H12076" i="2"/>
  <c r="H12077" i="2"/>
  <c r="H12078" i="2"/>
  <c r="H12079" i="2"/>
  <c r="H12080" i="2"/>
  <c r="H12081" i="2"/>
  <c r="H12082" i="2"/>
  <c r="H12083" i="2"/>
  <c r="H12084" i="2"/>
  <c r="H12085" i="2"/>
  <c r="H12086" i="2"/>
  <c r="H12087" i="2"/>
  <c r="H12088" i="2"/>
  <c r="H12089" i="2"/>
  <c r="H12090" i="2"/>
  <c r="H12091" i="2"/>
  <c r="H12092" i="2"/>
  <c r="H12093" i="2"/>
  <c r="H12094" i="2"/>
  <c r="H12095" i="2"/>
  <c r="H12096" i="2"/>
  <c r="H12097" i="2"/>
  <c r="H12098" i="2"/>
  <c r="H12099" i="2"/>
  <c r="H12100" i="2"/>
  <c r="H12101" i="2"/>
  <c r="H12102" i="2"/>
  <c r="H12103" i="2"/>
  <c r="H12104" i="2"/>
  <c r="H12105" i="2"/>
  <c r="H12106" i="2"/>
  <c r="H12107" i="2"/>
  <c r="H12108" i="2"/>
  <c r="H12109" i="2"/>
  <c r="H12110" i="2"/>
  <c r="H12111" i="2"/>
  <c r="H12112" i="2"/>
  <c r="H12113" i="2"/>
  <c r="H12114" i="2"/>
  <c r="H12115" i="2"/>
  <c r="H12116" i="2"/>
  <c r="H12117" i="2"/>
  <c r="H12118" i="2"/>
  <c r="H12119" i="2"/>
  <c r="H12120" i="2"/>
  <c r="H12121" i="2"/>
  <c r="H12122" i="2"/>
  <c r="H12123" i="2"/>
  <c r="H12124" i="2"/>
  <c r="H12125" i="2"/>
  <c r="H12126" i="2"/>
  <c r="H12127" i="2"/>
  <c r="H12128" i="2"/>
  <c r="H12129" i="2"/>
  <c r="H12130" i="2"/>
  <c r="H12131" i="2"/>
  <c r="H12132" i="2"/>
  <c r="H12133" i="2"/>
  <c r="H12134" i="2"/>
  <c r="H12135" i="2"/>
  <c r="H12136" i="2"/>
  <c r="H12137" i="2"/>
  <c r="H12138" i="2"/>
  <c r="H12139" i="2"/>
  <c r="H12140" i="2"/>
  <c r="H12141" i="2"/>
  <c r="H12142" i="2"/>
  <c r="H12143" i="2"/>
  <c r="H12144" i="2"/>
  <c r="H12145" i="2"/>
  <c r="H12146" i="2"/>
  <c r="H12147" i="2"/>
  <c r="H12148" i="2"/>
  <c r="H12149" i="2"/>
  <c r="H12150" i="2"/>
  <c r="H12151" i="2"/>
  <c r="H12152" i="2"/>
  <c r="H12153" i="2"/>
  <c r="H12154" i="2"/>
  <c r="H12155" i="2"/>
  <c r="H12156" i="2"/>
  <c r="H12157" i="2"/>
  <c r="H12158" i="2"/>
  <c r="H12159" i="2"/>
  <c r="H12160" i="2"/>
  <c r="H12161" i="2"/>
  <c r="H12162" i="2"/>
  <c r="H12163" i="2"/>
  <c r="H12164" i="2"/>
  <c r="H12165" i="2"/>
  <c r="H12166" i="2"/>
  <c r="H12167" i="2"/>
  <c r="H12168" i="2"/>
  <c r="H12169" i="2"/>
  <c r="H12170" i="2"/>
  <c r="H12171" i="2"/>
  <c r="H12172" i="2"/>
  <c r="H12173" i="2"/>
  <c r="H12174" i="2"/>
  <c r="H12175" i="2"/>
  <c r="H12176" i="2"/>
  <c r="H12177" i="2"/>
  <c r="H12178" i="2"/>
  <c r="H12179" i="2"/>
  <c r="H12180" i="2"/>
  <c r="H12181" i="2"/>
  <c r="H12182" i="2"/>
  <c r="H12183" i="2"/>
  <c r="H12184" i="2"/>
  <c r="H12185" i="2"/>
  <c r="H12186" i="2"/>
  <c r="H12187" i="2"/>
  <c r="H12188" i="2"/>
  <c r="H12189" i="2"/>
  <c r="H12190" i="2"/>
  <c r="H12191" i="2"/>
  <c r="H12192" i="2"/>
  <c r="H12193" i="2"/>
  <c r="H12194" i="2"/>
  <c r="H12195" i="2"/>
  <c r="H12196" i="2"/>
  <c r="H12197" i="2"/>
  <c r="H12198" i="2"/>
  <c r="H12199" i="2"/>
  <c r="H12200" i="2"/>
  <c r="H12201" i="2"/>
  <c r="H12202" i="2"/>
  <c r="H12203" i="2"/>
  <c r="H12204" i="2"/>
  <c r="H12205" i="2"/>
  <c r="H12206" i="2"/>
  <c r="H12207" i="2"/>
  <c r="H12208" i="2"/>
  <c r="H12209" i="2"/>
  <c r="H12210" i="2"/>
  <c r="H12211" i="2"/>
  <c r="H12212" i="2"/>
  <c r="H12213" i="2"/>
  <c r="H12214" i="2"/>
  <c r="H12215" i="2"/>
  <c r="H12216" i="2"/>
  <c r="H12217" i="2"/>
  <c r="H12218" i="2"/>
  <c r="H12219" i="2"/>
  <c r="H12220" i="2"/>
  <c r="H12221" i="2"/>
  <c r="H12222" i="2"/>
  <c r="H12223" i="2"/>
  <c r="H12224" i="2"/>
  <c r="H12225" i="2"/>
  <c r="H12226" i="2"/>
  <c r="H12227" i="2"/>
  <c r="H12228" i="2"/>
  <c r="H12229" i="2"/>
  <c r="H12230" i="2"/>
  <c r="H12231" i="2"/>
  <c r="H12232" i="2"/>
  <c r="H12233" i="2"/>
  <c r="H12234" i="2"/>
  <c r="H12235" i="2"/>
  <c r="H12236" i="2"/>
  <c r="H12237" i="2"/>
  <c r="H12238" i="2"/>
  <c r="H12239" i="2"/>
  <c r="H12240" i="2"/>
  <c r="H12241" i="2"/>
  <c r="H12242" i="2"/>
  <c r="H12243" i="2"/>
  <c r="H12244" i="2"/>
  <c r="H12245" i="2"/>
  <c r="H12246" i="2"/>
  <c r="H12247" i="2"/>
  <c r="H12248" i="2"/>
  <c r="H12249" i="2"/>
  <c r="H12250" i="2"/>
  <c r="H12251" i="2"/>
  <c r="H12252" i="2"/>
  <c r="H12253" i="2"/>
  <c r="H12254" i="2"/>
  <c r="H12255" i="2"/>
  <c r="H12256" i="2"/>
  <c r="H12257" i="2"/>
  <c r="H12258" i="2"/>
  <c r="H12259" i="2"/>
  <c r="H12260" i="2"/>
  <c r="H12261" i="2"/>
  <c r="H12262" i="2"/>
  <c r="H12263" i="2"/>
  <c r="H12264" i="2"/>
  <c r="H12265" i="2"/>
  <c r="H12266" i="2"/>
  <c r="H12267" i="2"/>
  <c r="H12268" i="2"/>
  <c r="H12269" i="2"/>
  <c r="H12270" i="2"/>
  <c r="H12271" i="2"/>
  <c r="H12272" i="2"/>
  <c r="H12273" i="2"/>
  <c r="H12274" i="2"/>
  <c r="H12275" i="2"/>
  <c r="H12276" i="2"/>
  <c r="H12277" i="2"/>
  <c r="H12278" i="2"/>
  <c r="H12279" i="2"/>
  <c r="H12280" i="2"/>
  <c r="H12281" i="2"/>
  <c r="H12282" i="2"/>
  <c r="H12283" i="2"/>
  <c r="H12284" i="2"/>
  <c r="H12285" i="2"/>
  <c r="H12286" i="2"/>
  <c r="H12287" i="2"/>
  <c r="H12288" i="2"/>
  <c r="H12289" i="2"/>
  <c r="H12290" i="2"/>
  <c r="H12291" i="2"/>
  <c r="H12292" i="2"/>
  <c r="H12293" i="2"/>
  <c r="H12294" i="2"/>
  <c r="H12295" i="2"/>
  <c r="H12296" i="2"/>
  <c r="H12297" i="2"/>
  <c r="H12298" i="2"/>
  <c r="H12299" i="2"/>
  <c r="H12300" i="2"/>
  <c r="H12301" i="2"/>
  <c r="H12302" i="2"/>
  <c r="H12303" i="2"/>
  <c r="H12304" i="2"/>
  <c r="H12305" i="2"/>
  <c r="H12306" i="2"/>
  <c r="H12307" i="2"/>
  <c r="H12308" i="2"/>
  <c r="H12309" i="2"/>
  <c r="H12310" i="2"/>
  <c r="H12311" i="2"/>
  <c r="H12312" i="2"/>
  <c r="H12313" i="2"/>
  <c r="H12314" i="2"/>
  <c r="H12315" i="2"/>
  <c r="H12316" i="2"/>
  <c r="H12317" i="2"/>
  <c r="H12318" i="2"/>
  <c r="H12319" i="2"/>
  <c r="H12320" i="2"/>
  <c r="H12321" i="2"/>
  <c r="H12322" i="2"/>
  <c r="H12323" i="2"/>
  <c r="H12324" i="2"/>
  <c r="H12325" i="2"/>
  <c r="H12326" i="2"/>
  <c r="H12327" i="2"/>
  <c r="H12328" i="2"/>
  <c r="H12329" i="2"/>
  <c r="H12330" i="2"/>
  <c r="H12331" i="2"/>
  <c r="H12332" i="2"/>
  <c r="H12333" i="2"/>
  <c r="H12334" i="2"/>
  <c r="H12335" i="2"/>
  <c r="H12336" i="2"/>
  <c r="H12337" i="2"/>
  <c r="H12338" i="2"/>
  <c r="H12339" i="2"/>
  <c r="H12340" i="2"/>
  <c r="H12341" i="2"/>
  <c r="H12342" i="2"/>
  <c r="H12343" i="2"/>
  <c r="H12344" i="2"/>
  <c r="H12345" i="2"/>
  <c r="H12346" i="2"/>
  <c r="H12347" i="2"/>
  <c r="H12348" i="2"/>
  <c r="H12349" i="2"/>
  <c r="H12350" i="2"/>
  <c r="H12351" i="2"/>
  <c r="H12352" i="2"/>
  <c r="H12353" i="2"/>
  <c r="H12354" i="2"/>
  <c r="H12355" i="2"/>
  <c r="H12356" i="2"/>
  <c r="H12357" i="2"/>
  <c r="H12358" i="2"/>
  <c r="H12359" i="2"/>
  <c r="H12360" i="2"/>
  <c r="H12361" i="2"/>
  <c r="H12362" i="2"/>
  <c r="H12363" i="2"/>
  <c r="H12364" i="2"/>
  <c r="H12365" i="2"/>
  <c r="H12366" i="2"/>
  <c r="H12367" i="2"/>
  <c r="H12368" i="2"/>
  <c r="H12369" i="2"/>
  <c r="H12370" i="2"/>
  <c r="H12371" i="2"/>
  <c r="H12372" i="2"/>
  <c r="H12373" i="2"/>
  <c r="H12374" i="2"/>
  <c r="H12375" i="2"/>
  <c r="H12376" i="2"/>
  <c r="H12377" i="2"/>
  <c r="H12378" i="2"/>
  <c r="H12379" i="2"/>
  <c r="H12380" i="2"/>
  <c r="H12381" i="2"/>
  <c r="H12382" i="2"/>
  <c r="H12383" i="2"/>
  <c r="H12384" i="2"/>
  <c r="H12385" i="2"/>
  <c r="H12386" i="2"/>
  <c r="H12387" i="2"/>
  <c r="H12388" i="2"/>
  <c r="H12389" i="2"/>
  <c r="H12390" i="2"/>
  <c r="H12391" i="2"/>
  <c r="H12392" i="2"/>
  <c r="H12393" i="2"/>
  <c r="H12394" i="2"/>
  <c r="H12395" i="2"/>
  <c r="H12396" i="2"/>
  <c r="H12397" i="2"/>
  <c r="H12398" i="2"/>
  <c r="H12399" i="2"/>
  <c r="H12400" i="2"/>
  <c r="H12401" i="2"/>
  <c r="H12402" i="2"/>
  <c r="H12403" i="2"/>
  <c r="H12404" i="2"/>
  <c r="H12405" i="2"/>
  <c r="H12406" i="2"/>
  <c r="H12407" i="2"/>
  <c r="H12408" i="2"/>
  <c r="H12409" i="2"/>
  <c r="H12410" i="2"/>
  <c r="H12411" i="2"/>
  <c r="H12412" i="2"/>
  <c r="H12413" i="2"/>
  <c r="H12414" i="2"/>
  <c r="H12415" i="2"/>
  <c r="H12416" i="2"/>
  <c r="H12417" i="2"/>
  <c r="H12418" i="2"/>
  <c r="H12419" i="2"/>
  <c r="H12420" i="2"/>
  <c r="H12421" i="2"/>
  <c r="H12422" i="2"/>
  <c r="H12423" i="2"/>
  <c r="H12424" i="2"/>
  <c r="H12425" i="2"/>
  <c r="H12426" i="2"/>
  <c r="H12427" i="2"/>
  <c r="H12428" i="2"/>
  <c r="H12429" i="2"/>
  <c r="H12430" i="2"/>
  <c r="H12431" i="2"/>
  <c r="H12432" i="2"/>
  <c r="H12433" i="2"/>
  <c r="H12434" i="2"/>
  <c r="H12435" i="2"/>
  <c r="H12436" i="2"/>
  <c r="H12437" i="2"/>
  <c r="H12438" i="2"/>
  <c r="H12439" i="2"/>
  <c r="H12440" i="2"/>
  <c r="H12441" i="2"/>
  <c r="H12442" i="2"/>
  <c r="H12443" i="2"/>
  <c r="H12444" i="2"/>
  <c r="H12445" i="2"/>
  <c r="H12446" i="2"/>
  <c r="H12447" i="2"/>
  <c r="H12448" i="2"/>
  <c r="H12449" i="2"/>
  <c r="H12450" i="2"/>
  <c r="H12451" i="2"/>
  <c r="H12452" i="2"/>
  <c r="H12453" i="2"/>
  <c r="H12454" i="2"/>
  <c r="H12455" i="2"/>
  <c r="H12456" i="2"/>
  <c r="H12457" i="2"/>
  <c r="H12458" i="2"/>
  <c r="H12459" i="2"/>
  <c r="H12460" i="2"/>
  <c r="H12461" i="2"/>
  <c r="H12462" i="2"/>
  <c r="H12463" i="2"/>
  <c r="H12464" i="2"/>
  <c r="H12465" i="2"/>
  <c r="H12466" i="2"/>
  <c r="H12467" i="2"/>
  <c r="H12468" i="2"/>
  <c r="H12469" i="2"/>
  <c r="H12470" i="2"/>
  <c r="H12471" i="2"/>
  <c r="H12472" i="2"/>
  <c r="H12473" i="2"/>
  <c r="H12474" i="2"/>
  <c r="H12475" i="2"/>
  <c r="H12476" i="2"/>
  <c r="H12477" i="2"/>
  <c r="H12478" i="2"/>
  <c r="H12479" i="2"/>
  <c r="H12480" i="2"/>
  <c r="H12481" i="2"/>
  <c r="H12482" i="2"/>
  <c r="H12483" i="2"/>
  <c r="H12484" i="2"/>
  <c r="H12485" i="2"/>
  <c r="H12486" i="2"/>
  <c r="H12487" i="2"/>
  <c r="H12488" i="2"/>
  <c r="H12489" i="2"/>
  <c r="H12490" i="2"/>
  <c r="H12491" i="2"/>
  <c r="H12492" i="2"/>
  <c r="H12493" i="2"/>
  <c r="H12494" i="2"/>
  <c r="H12495" i="2"/>
  <c r="H12496" i="2"/>
  <c r="H12497" i="2"/>
  <c r="H12498" i="2"/>
  <c r="H12499" i="2"/>
  <c r="H12500" i="2"/>
  <c r="H12501" i="2"/>
  <c r="H12502" i="2"/>
  <c r="H12503" i="2"/>
  <c r="H12504" i="2"/>
  <c r="H12505" i="2"/>
  <c r="H12506" i="2"/>
  <c r="H12507" i="2"/>
  <c r="H12508" i="2"/>
  <c r="H12509" i="2"/>
  <c r="H12510" i="2"/>
  <c r="H12511" i="2"/>
  <c r="H12512" i="2"/>
  <c r="H12513" i="2"/>
  <c r="H12514" i="2"/>
  <c r="H12515" i="2"/>
  <c r="H12516" i="2"/>
  <c r="H12517" i="2"/>
  <c r="H12518" i="2"/>
  <c r="H12519" i="2"/>
  <c r="H12520" i="2"/>
  <c r="H12521" i="2"/>
  <c r="H12522" i="2"/>
  <c r="H12523" i="2"/>
  <c r="H12524" i="2"/>
  <c r="H12525" i="2"/>
  <c r="H12526" i="2"/>
  <c r="H12527" i="2"/>
  <c r="H12528" i="2"/>
  <c r="H12529" i="2"/>
  <c r="H12530" i="2"/>
  <c r="H12531" i="2"/>
  <c r="H12532" i="2"/>
  <c r="H12533" i="2"/>
  <c r="H12534" i="2"/>
  <c r="H12535" i="2"/>
  <c r="H12536" i="2"/>
  <c r="H12537" i="2"/>
  <c r="H12538" i="2"/>
  <c r="H12539" i="2"/>
  <c r="H12540" i="2"/>
  <c r="H12541" i="2"/>
  <c r="H12542" i="2"/>
  <c r="H12543" i="2"/>
  <c r="H12544" i="2"/>
  <c r="H12545" i="2"/>
  <c r="H12546" i="2"/>
  <c r="H12547" i="2"/>
  <c r="H12548" i="2"/>
  <c r="H12549" i="2"/>
  <c r="H12550" i="2"/>
  <c r="H12551" i="2"/>
  <c r="H12552" i="2"/>
  <c r="H12553" i="2"/>
  <c r="H12554" i="2"/>
  <c r="H12555" i="2"/>
  <c r="H12556" i="2"/>
  <c r="H12557" i="2"/>
  <c r="H12558" i="2"/>
  <c r="H12559" i="2"/>
  <c r="H12560" i="2"/>
  <c r="H12561" i="2"/>
  <c r="H12562" i="2"/>
  <c r="H12563" i="2"/>
  <c r="H12564" i="2"/>
  <c r="H12565" i="2"/>
  <c r="H12566" i="2"/>
  <c r="H12567" i="2"/>
  <c r="H12568" i="2"/>
  <c r="H12569" i="2"/>
  <c r="H12570" i="2"/>
  <c r="H12571" i="2"/>
  <c r="H12572" i="2"/>
  <c r="H12573" i="2"/>
  <c r="H12574" i="2"/>
  <c r="H12575" i="2"/>
  <c r="H12576" i="2"/>
  <c r="H12577" i="2"/>
  <c r="H12578" i="2"/>
  <c r="H12579" i="2"/>
  <c r="H12580" i="2"/>
  <c r="H12581" i="2"/>
  <c r="H12582" i="2"/>
  <c r="H12583" i="2"/>
  <c r="H12584" i="2"/>
  <c r="H12585" i="2"/>
  <c r="H12586" i="2"/>
  <c r="H12587" i="2"/>
  <c r="H12588" i="2"/>
  <c r="H12589" i="2"/>
  <c r="H12590" i="2"/>
  <c r="H12591" i="2"/>
  <c r="H12592" i="2"/>
  <c r="H12593" i="2"/>
  <c r="H12594" i="2"/>
  <c r="H12595" i="2"/>
  <c r="H12596" i="2"/>
  <c r="H12597" i="2"/>
  <c r="H12598" i="2"/>
  <c r="H12599" i="2"/>
  <c r="H12600" i="2"/>
  <c r="H12601" i="2"/>
  <c r="H12602" i="2"/>
  <c r="H12603" i="2"/>
  <c r="H12604" i="2"/>
  <c r="H12605" i="2"/>
  <c r="H12606" i="2"/>
  <c r="H12607" i="2"/>
  <c r="H12608" i="2"/>
  <c r="H12609" i="2"/>
  <c r="H12610" i="2"/>
  <c r="H12611" i="2"/>
  <c r="H12612" i="2"/>
  <c r="H12613" i="2"/>
  <c r="H12614" i="2"/>
  <c r="H12615" i="2"/>
  <c r="H12616" i="2"/>
  <c r="H12617" i="2"/>
  <c r="H12618" i="2"/>
  <c r="H12619" i="2"/>
  <c r="H12620" i="2"/>
  <c r="H12621" i="2"/>
  <c r="H12622" i="2"/>
  <c r="H12623" i="2"/>
  <c r="H12624" i="2"/>
  <c r="H12625" i="2"/>
  <c r="H12626" i="2"/>
  <c r="H12627" i="2"/>
  <c r="H12628" i="2"/>
  <c r="H12629" i="2"/>
  <c r="H12630" i="2"/>
  <c r="H12631" i="2"/>
  <c r="H12632" i="2"/>
  <c r="H12633" i="2"/>
  <c r="H12634" i="2"/>
  <c r="H12635" i="2"/>
  <c r="H12636" i="2"/>
  <c r="H12637" i="2"/>
  <c r="H12638" i="2"/>
  <c r="H12639" i="2"/>
  <c r="H12640" i="2"/>
  <c r="H12641" i="2"/>
  <c r="H12642" i="2"/>
  <c r="H12643" i="2"/>
  <c r="H12644" i="2"/>
  <c r="H12645" i="2"/>
  <c r="H12646" i="2"/>
  <c r="H12647" i="2"/>
  <c r="H12648" i="2"/>
  <c r="H12649" i="2"/>
  <c r="H12650" i="2"/>
  <c r="H12651" i="2"/>
  <c r="H12652" i="2"/>
  <c r="H12653" i="2"/>
  <c r="H12654" i="2"/>
  <c r="H12655" i="2"/>
  <c r="H12656" i="2"/>
  <c r="H12657" i="2"/>
  <c r="H12658" i="2"/>
  <c r="H12659" i="2"/>
  <c r="H12660" i="2"/>
  <c r="H12661" i="2"/>
  <c r="H12662" i="2"/>
  <c r="H12663" i="2"/>
  <c r="H12664" i="2"/>
  <c r="H12665" i="2"/>
  <c r="H12666" i="2"/>
  <c r="H12667" i="2"/>
  <c r="H12668" i="2"/>
  <c r="H12669" i="2"/>
  <c r="H12670" i="2"/>
  <c r="H12671" i="2"/>
  <c r="H12672" i="2"/>
  <c r="H12673" i="2"/>
  <c r="H12674" i="2"/>
  <c r="H12675" i="2"/>
  <c r="H12676" i="2"/>
  <c r="H12677" i="2"/>
  <c r="H12678" i="2"/>
  <c r="H12679" i="2"/>
  <c r="H12680" i="2"/>
  <c r="H12681" i="2"/>
  <c r="H12682" i="2"/>
  <c r="H12683" i="2"/>
  <c r="H12684" i="2"/>
  <c r="H12685" i="2"/>
  <c r="H12686" i="2"/>
  <c r="H12687" i="2"/>
  <c r="H12688" i="2"/>
  <c r="H12689" i="2"/>
  <c r="H12690" i="2"/>
  <c r="H12691" i="2"/>
  <c r="H12692" i="2"/>
  <c r="H12693" i="2"/>
  <c r="H12694" i="2"/>
  <c r="H12695" i="2"/>
  <c r="H12696" i="2"/>
  <c r="H12697" i="2"/>
  <c r="H12698" i="2"/>
  <c r="H12699" i="2"/>
  <c r="H12700" i="2"/>
  <c r="H12701" i="2"/>
  <c r="H12702" i="2"/>
  <c r="H12703" i="2"/>
  <c r="H12704" i="2"/>
  <c r="H12705" i="2"/>
  <c r="H12706" i="2"/>
  <c r="H12707" i="2"/>
  <c r="H12708" i="2"/>
  <c r="H12709" i="2"/>
  <c r="H12710" i="2"/>
  <c r="H12711" i="2"/>
  <c r="H12712" i="2"/>
  <c r="H12713" i="2"/>
  <c r="H12714" i="2"/>
  <c r="H12715" i="2"/>
  <c r="H12716" i="2"/>
  <c r="H12717" i="2"/>
  <c r="H12718" i="2"/>
  <c r="H12719" i="2"/>
  <c r="H12720" i="2"/>
  <c r="H12721" i="2"/>
  <c r="H12722" i="2"/>
  <c r="H12723" i="2"/>
  <c r="H12724" i="2"/>
  <c r="H12725" i="2"/>
  <c r="H12726" i="2"/>
  <c r="H12727" i="2"/>
  <c r="H12728" i="2"/>
  <c r="H12729" i="2"/>
  <c r="H12730" i="2"/>
  <c r="H12731" i="2"/>
  <c r="H12732" i="2"/>
  <c r="H12733" i="2"/>
  <c r="H12734" i="2"/>
  <c r="H12735" i="2"/>
  <c r="H12736" i="2"/>
  <c r="H12737" i="2"/>
  <c r="H12738" i="2"/>
  <c r="H12739" i="2"/>
  <c r="H12740" i="2"/>
  <c r="H12741" i="2"/>
  <c r="H12742" i="2"/>
  <c r="H12743" i="2"/>
  <c r="H12744" i="2"/>
  <c r="H12745" i="2"/>
  <c r="H12746" i="2"/>
  <c r="H12747" i="2"/>
  <c r="H12748" i="2"/>
  <c r="H12749" i="2"/>
  <c r="H12750" i="2"/>
  <c r="H12751" i="2"/>
  <c r="H12752" i="2"/>
  <c r="H12753" i="2"/>
  <c r="H12754" i="2"/>
  <c r="H12755" i="2"/>
  <c r="H12756" i="2"/>
  <c r="H12757" i="2"/>
  <c r="H12758" i="2"/>
  <c r="H12759" i="2"/>
  <c r="H12760" i="2"/>
  <c r="H12761" i="2"/>
  <c r="H12762" i="2"/>
  <c r="H12763" i="2"/>
  <c r="H12764" i="2"/>
  <c r="H12765" i="2"/>
  <c r="H12766" i="2"/>
  <c r="H12767" i="2"/>
  <c r="H12768" i="2"/>
  <c r="H12769" i="2"/>
  <c r="H12770" i="2"/>
  <c r="H12771" i="2"/>
  <c r="H12772" i="2"/>
  <c r="H12773" i="2"/>
  <c r="H12774" i="2"/>
  <c r="H12775" i="2"/>
  <c r="H12776" i="2"/>
  <c r="H12777" i="2"/>
  <c r="H12778" i="2"/>
  <c r="H12779" i="2"/>
  <c r="H12780" i="2"/>
  <c r="H12781" i="2"/>
  <c r="H12782" i="2"/>
  <c r="H12783" i="2"/>
  <c r="H12784" i="2"/>
  <c r="H12785" i="2"/>
  <c r="H12786" i="2"/>
  <c r="H12787" i="2"/>
  <c r="H12788" i="2"/>
  <c r="H12789" i="2"/>
  <c r="H12790" i="2"/>
  <c r="H12791" i="2"/>
  <c r="H12792" i="2"/>
  <c r="H12793" i="2"/>
  <c r="H12794" i="2"/>
  <c r="H12795" i="2"/>
  <c r="H12796" i="2"/>
  <c r="H12797" i="2"/>
  <c r="H12798" i="2"/>
  <c r="H12799" i="2"/>
  <c r="H12800" i="2"/>
  <c r="H12801" i="2"/>
  <c r="H12802" i="2"/>
  <c r="H12803" i="2"/>
  <c r="H12804" i="2"/>
  <c r="H12805" i="2"/>
  <c r="H12806" i="2"/>
  <c r="H12807" i="2"/>
  <c r="H12808" i="2"/>
  <c r="H12809" i="2"/>
  <c r="H12810" i="2"/>
  <c r="H12811" i="2"/>
  <c r="H12812" i="2"/>
  <c r="H12813" i="2"/>
  <c r="H12814" i="2"/>
  <c r="H12815" i="2"/>
  <c r="H12816" i="2"/>
  <c r="H12817" i="2"/>
  <c r="H12818" i="2"/>
  <c r="H12819" i="2"/>
  <c r="H12820" i="2"/>
  <c r="H12821" i="2"/>
  <c r="H12822" i="2"/>
  <c r="H12823" i="2"/>
  <c r="H12824" i="2"/>
  <c r="H12825" i="2"/>
  <c r="H12826" i="2"/>
  <c r="H12827" i="2"/>
  <c r="H12828" i="2"/>
  <c r="H12829" i="2"/>
  <c r="H12830" i="2"/>
  <c r="H12831" i="2"/>
  <c r="H12832" i="2"/>
  <c r="H12833" i="2"/>
  <c r="H12834" i="2"/>
  <c r="H12835" i="2"/>
  <c r="H12836" i="2"/>
  <c r="H12837" i="2"/>
  <c r="H12838" i="2"/>
  <c r="H12839" i="2"/>
  <c r="H12840" i="2"/>
  <c r="H12841" i="2"/>
  <c r="H12842" i="2"/>
  <c r="H12843" i="2"/>
  <c r="H12844" i="2"/>
  <c r="H12845" i="2"/>
  <c r="H12846" i="2"/>
  <c r="H12847" i="2"/>
  <c r="H12848" i="2"/>
  <c r="H12849" i="2"/>
  <c r="H12850" i="2"/>
  <c r="H12851" i="2"/>
  <c r="H12852" i="2"/>
  <c r="H12853" i="2"/>
  <c r="H12854" i="2"/>
  <c r="H12855" i="2"/>
  <c r="H12856" i="2"/>
  <c r="H12857" i="2"/>
  <c r="H12858" i="2"/>
  <c r="H12859" i="2"/>
  <c r="H12860" i="2"/>
  <c r="H12861" i="2"/>
  <c r="H12862" i="2"/>
  <c r="H12863" i="2"/>
  <c r="H12864" i="2"/>
  <c r="H12865" i="2"/>
  <c r="H12866" i="2"/>
  <c r="H12867" i="2"/>
  <c r="H12868" i="2"/>
  <c r="H12869" i="2"/>
  <c r="H12870" i="2"/>
  <c r="H12871" i="2"/>
  <c r="H12872" i="2"/>
  <c r="H12873" i="2"/>
  <c r="H12874" i="2"/>
  <c r="H12875" i="2"/>
  <c r="H12876" i="2"/>
  <c r="H12877" i="2"/>
  <c r="H12878" i="2"/>
  <c r="H12879" i="2"/>
  <c r="H12880" i="2"/>
  <c r="H12881" i="2"/>
  <c r="H12882" i="2"/>
  <c r="H12883" i="2"/>
  <c r="H12884" i="2"/>
  <c r="H12885" i="2"/>
  <c r="H12886" i="2"/>
  <c r="H12887" i="2"/>
  <c r="H12888" i="2"/>
  <c r="H12889" i="2"/>
  <c r="H12890" i="2"/>
  <c r="H12891" i="2"/>
  <c r="H12892" i="2"/>
  <c r="H12893" i="2"/>
  <c r="H12894" i="2"/>
  <c r="H12895" i="2"/>
  <c r="H12896" i="2"/>
  <c r="H12897" i="2"/>
  <c r="H12898" i="2"/>
  <c r="H12899" i="2"/>
  <c r="H12900" i="2"/>
  <c r="H12901" i="2"/>
  <c r="H12902" i="2"/>
  <c r="H12903" i="2"/>
  <c r="H12904" i="2"/>
  <c r="H12905" i="2"/>
  <c r="H12906" i="2"/>
  <c r="H12907" i="2"/>
  <c r="H12908" i="2"/>
  <c r="H12909" i="2"/>
  <c r="H12910" i="2"/>
  <c r="H12911" i="2"/>
  <c r="H12912" i="2"/>
  <c r="H12913" i="2"/>
  <c r="H12914" i="2"/>
  <c r="H12915" i="2"/>
  <c r="H12916" i="2"/>
  <c r="H12917" i="2"/>
  <c r="H12918" i="2"/>
  <c r="H12919" i="2"/>
  <c r="H12920" i="2"/>
  <c r="H12921" i="2"/>
  <c r="H12922" i="2"/>
  <c r="H12923" i="2"/>
  <c r="H12924" i="2"/>
  <c r="H12925" i="2"/>
  <c r="H12926" i="2"/>
  <c r="H12927" i="2"/>
  <c r="H12928" i="2"/>
  <c r="H12929" i="2"/>
  <c r="H12930" i="2"/>
  <c r="H12931" i="2"/>
  <c r="H12932" i="2"/>
  <c r="H12933" i="2"/>
  <c r="H12934" i="2"/>
  <c r="H12935" i="2"/>
  <c r="H12936" i="2"/>
  <c r="H12937" i="2"/>
  <c r="H12938" i="2"/>
  <c r="H12939" i="2"/>
  <c r="H12940" i="2"/>
  <c r="H12941" i="2"/>
  <c r="H12942" i="2"/>
  <c r="H12943" i="2"/>
  <c r="H12944" i="2"/>
  <c r="H12945" i="2"/>
  <c r="H12946" i="2"/>
  <c r="H12947" i="2"/>
  <c r="H12948" i="2"/>
  <c r="H12949" i="2"/>
  <c r="H12950" i="2"/>
  <c r="H12951" i="2"/>
  <c r="H12952" i="2"/>
  <c r="H12953" i="2"/>
  <c r="H12954" i="2"/>
  <c r="H12955" i="2"/>
  <c r="H12956" i="2"/>
  <c r="H12957" i="2"/>
  <c r="H12958" i="2"/>
  <c r="H12959" i="2"/>
  <c r="H12960" i="2"/>
  <c r="H12961" i="2"/>
  <c r="H12962" i="2"/>
  <c r="H12963" i="2"/>
  <c r="H12964" i="2"/>
  <c r="H12965" i="2"/>
  <c r="H12966" i="2"/>
  <c r="H12967" i="2"/>
  <c r="H12968" i="2"/>
  <c r="H12969" i="2"/>
  <c r="H12970" i="2"/>
  <c r="H12971" i="2"/>
  <c r="H12972" i="2"/>
  <c r="H12973" i="2"/>
  <c r="H12974" i="2"/>
  <c r="H12975" i="2"/>
  <c r="H12976" i="2"/>
  <c r="H12977" i="2"/>
  <c r="H12978" i="2"/>
  <c r="H12979" i="2"/>
  <c r="H12980" i="2"/>
  <c r="H12981" i="2"/>
  <c r="H12982" i="2"/>
  <c r="H12983" i="2"/>
  <c r="H12984" i="2"/>
  <c r="H12985" i="2"/>
  <c r="H12986" i="2"/>
  <c r="H12987" i="2"/>
  <c r="H12988" i="2"/>
  <c r="H12989" i="2"/>
  <c r="H12990" i="2"/>
  <c r="H12991" i="2"/>
  <c r="H12992" i="2"/>
  <c r="H12993" i="2"/>
  <c r="H12994" i="2"/>
  <c r="H12995" i="2"/>
  <c r="H12996" i="2"/>
  <c r="H12997" i="2"/>
  <c r="H12998" i="2"/>
  <c r="H12999" i="2"/>
  <c r="H13000" i="2"/>
  <c r="H13001" i="2"/>
  <c r="H13002" i="2"/>
  <c r="H13003" i="2"/>
  <c r="H13004" i="2"/>
  <c r="H13005" i="2"/>
  <c r="H13006" i="2"/>
  <c r="H13007" i="2"/>
  <c r="H13008" i="2"/>
  <c r="H13009" i="2"/>
  <c r="H13010" i="2"/>
  <c r="H13011" i="2"/>
  <c r="H13012" i="2"/>
  <c r="H13013" i="2"/>
  <c r="H13014" i="2"/>
  <c r="H13015" i="2"/>
  <c r="H13016" i="2"/>
  <c r="H13017" i="2"/>
  <c r="H13018" i="2"/>
  <c r="H13019" i="2"/>
  <c r="H13020" i="2"/>
  <c r="H13021" i="2"/>
  <c r="H13022" i="2"/>
  <c r="H13023" i="2"/>
  <c r="H13024" i="2"/>
  <c r="H13025" i="2"/>
  <c r="H13026" i="2"/>
  <c r="H13027" i="2"/>
  <c r="H13028" i="2"/>
  <c r="H13029" i="2"/>
  <c r="H13030" i="2"/>
  <c r="H13031" i="2"/>
  <c r="H13032" i="2"/>
  <c r="H13033" i="2"/>
  <c r="H13034" i="2"/>
  <c r="H13035" i="2"/>
  <c r="H13036" i="2"/>
  <c r="H13037" i="2"/>
  <c r="H13038" i="2"/>
  <c r="H13039" i="2"/>
  <c r="H13040" i="2"/>
  <c r="H13041" i="2"/>
  <c r="H13042" i="2"/>
  <c r="H13043" i="2"/>
  <c r="H13044" i="2"/>
  <c r="H13045" i="2"/>
  <c r="H13046" i="2"/>
  <c r="H13047" i="2"/>
  <c r="H13048" i="2"/>
  <c r="H13049" i="2"/>
  <c r="H13050" i="2"/>
  <c r="H13051" i="2"/>
  <c r="H13052" i="2"/>
  <c r="H13053" i="2"/>
  <c r="H13054" i="2"/>
  <c r="H13055" i="2"/>
  <c r="H13056" i="2"/>
  <c r="H13057" i="2"/>
  <c r="H13058" i="2"/>
  <c r="H13059" i="2"/>
  <c r="H13060" i="2"/>
  <c r="H13061" i="2"/>
  <c r="H13062" i="2"/>
  <c r="H13063" i="2"/>
  <c r="H13064" i="2"/>
  <c r="H13065" i="2"/>
  <c r="H13066" i="2"/>
  <c r="H13067" i="2"/>
  <c r="H13068" i="2"/>
  <c r="H13069" i="2"/>
  <c r="H13070" i="2"/>
  <c r="H13071" i="2"/>
  <c r="H13072" i="2"/>
  <c r="H13073" i="2"/>
  <c r="H13074" i="2"/>
  <c r="H13075" i="2"/>
  <c r="H13076" i="2"/>
  <c r="H13077" i="2"/>
  <c r="H13078" i="2"/>
  <c r="H13079" i="2"/>
  <c r="H13080" i="2"/>
  <c r="H13081" i="2"/>
  <c r="H13082" i="2"/>
  <c r="H13083" i="2"/>
  <c r="H13084" i="2"/>
  <c r="H13085" i="2"/>
  <c r="H13086" i="2"/>
  <c r="H13087" i="2"/>
  <c r="H13088" i="2"/>
  <c r="H13089" i="2"/>
  <c r="H13090" i="2"/>
  <c r="H13091" i="2"/>
  <c r="H13092" i="2"/>
  <c r="H13093" i="2"/>
  <c r="H13094" i="2"/>
  <c r="H13095" i="2"/>
  <c r="H13096" i="2"/>
  <c r="H13097" i="2"/>
  <c r="H13098" i="2"/>
  <c r="H13099" i="2"/>
  <c r="H13100" i="2"/>
  <c r="H13101" i="2"/>
  <c r="H13102" i="2"/>
  <c r="H13103" i="2"/>
  <c r="H13104" i="2"/>
  <c r="H13105" i="2"/>
  <c r="H13106" i="2"/>
  <c r="H13107" i="2"/>
  <c r="H13108" i="2"/>
  <c r="H13109" i="2"/>
  <c r="H13110" i="2"/>
  <c r="H13111" i="2"/>
  <c r="H13112" i="2"/>
  <c r="H13113" i="2"/>
  <c r="H13114" i="2"/>
  <c r="H13115" i="2"/>
  <c r="H13116" i="2"/>
  <c r="H13117" i="2"/>
  <c r="H13118" i="2"/>
  <c r="H13119" i="2"/>
  <c r="H13120" i="2"/>
  <c r="H13121" i="2"/>
  <c r="H13122" i="2"/>
  <c r="H13123" i="2"/>
  <c r="H13124" i="2"/>
  <c r="H13125" i="2"/>
  <c r="H13126" i="2"/>
  <c r="H13127" i="2"/>
  <c r="H13128" i="2"/>
  <c r="H13129" i="2"/>
  <c r="H13130" i="2"/>
  <c r="H13131" i="2"/>
  <c r="H13132" i="2"/>
  <c r="H13133" i="2"/>
  <c r="H13134" i="2"/>
  <c r="H13135" i="2"/>
  <c r="H13136" i="2"/>
  <c r="H13137" i="2"/>
  <c r="H13138" i="2"/>
  <c r="H13139" i="2"/>
  <c r="H13140" i="2"/>
  <c r="H13141" i="2"/>
  <c r="H13142" i="2"/>
  <c r="H13143" i="2"/>
  <c r="H13144" i="2"/>
  <c r="H13145" i="2"/>
  <c r="H13146" i="2"/>
  <c r="H13147" i="2"/>
  <c r="H13148" i="2"/>
  <c r="H13149" i="2"/>
  <c r="H13150" i="2"/>
  <c r="H13151" i="2"/>
  <c r="H13152" i="2"/>
  <c r="H13153" i="2"/>
  <c r="H13154" i="2"/>
  <c r="H13155" i="2"/>
  <c r="H13156" i="2"/>
  <c r="H13157" i="2"/>
  <c r="H13158" i="2"/>
  <c r="H13159" i="2"/>
  <c r="H13160" i="2"/>
  <c r="H13161" i="2"/>
  <c r="H13162" i="2"/>
  <c r="H13163" i="2"/>
  <c r="H13164" i="2"/>
  <c r="H13165" i="2"/>
  <c r="H13166" i="2"/>
  <c r="H13167" i="2"/>
  <c r="H13168" i="2"/>
  <c r="H13169" i="2"/>
  <c r="H13170" i="2"/>
  <c r="H13171" i="2"/>
  <c r="H13172" i="2"/>
  <c r="H13173" i="2"/>
  <c r="H13174" i="2"/>
  <c r="H13175" i="2"/>
  <c r="H13176" i="2"/>
  <c r="H13177" i="2"/>
  <c r="H13178" i="2"/>
  <c r="H13179" i="2"/>
  <c r="H13180" i="2"/>
  <c r="H13181" i="2"/>
  <c r="H13182" i="2"/>
  <c r="H13183" i="2"/>
  <c r="H13184" i="2"/>
  <c r="H13185" i="2"/>
  <c r="H13186" i="2"/>
  <c r="H13187" i="2"/>
  <c r="H13188" i="2"/>
  <c r="H13189" i="2"/>
  <c r="H13190" i="2"/>
  <c r="H13191" i="2"/>
  <c r="H13192" i="2"/>
  <c r="H13193" i="2"/>
  <c r="H13194" i="2"/>
  <c r="H13195" i="2"/>
  <c r="H13196" i="2"/>
  <c r="H13197" i="2"/>
  <c r="H13198" i="2"/>
  <c r="H13199" i="2"/>
  <c r="H13200" i="2"/>
  <c r="H13201" i="2"/>
  <c r="H13202" i="2"/>
  <c r="H13203" i="2"/>
  <c r="H13204" i="2"/>
  <c r="H13205" i="2"/>
  <c r="H13206" i="2"/>
  <c r="H13207" i="2"/>
  <c r="H13208" i="2"/>
  <c r="H13209" i="2"/>
  <c r="H13210" i="2"/>
  <c r="H13211" i="2"/>
  <c r="H13212" i="2"/>
  <c r="H13213" i="2"/>
  <c r="H13214" i="2"/>
  <c r="H13215" i="2"/>
  <c r="H13216" i="2"/>
  <c r="H13217" i="2"/>
  <c r="H13218" i="2"/>
  <c r="H13219" i="2"/>
  <c r="H13220" i="2"/>
  <c r="H13221" i="2"/>
  <c r="H13222" i="2"/>
  <c r="H13223" i="2"/>
  <c r="H13224" i="2"/>
  <c r="H13225" i="2"/>
  <c r="H13226" i="2"/>
  <c r="H13227" i="2"/>
  <c r="H13228" i="2"/>
  <c r="H13229" i="2"/>
  <c r="H13230" i="2"/>
  <c r="H13231" i="2"/>
  <c r="H13232" i="2"/>
  <c r="H13233" i="2"/>
  <c r="H13234" i="2"/>
  <c r="H13235" i="2"/>
  <c r="H13236" i="2"/>
  <c r="H13237" i="2"/>
  <c r="H13238" i="2"/>
  <c r="H13239" i="2"/>
  <c r="H13240" i="2"/>
  <c r="H13241" i="2"/>
  <c r="H13242" i="2"/>
  <c r="H13243" i="2"/>
  <c r="H13244" i="2"/>
  <c r="H13245" i="2"/>
  <c r="H13246" i="2"/>
  <c r="H13247" i="2"/>
  <c r="H13248" i="2"/>
  <c r="H13249" i="2"/>
  <c r="H13250" i="2"/>
  <c r="H13251" i="2"/>
  <c r="H13252" i="2"/>
  <c r="H13253" i="2"/>
  <c r="H13254" i="2"/>
  <c r="H13255" i="2"/>
  <c r="H13256" i="2"/>
  <c r="H13257" i="2"/>
  <c r="H13258" i="2"/>
  <c r="H13259" i="2"/>
  <c r="H13260" i="2"/>
  <c r="H13261" i="2"/>
  <c r="H13262" i="2"/>
  <c r="H13263" i="2"/>
  <c r="H13264" i="2"/>
  <c r="H13265" i="2"/>
  <c r="H13266" i="2"/>
  <c r="H13267" i="2"/>
  <c r="H13268" i="2"/>
  <c r="H13269" i="2"/>
  <c r="H13270" i="2"/>
  <c r="H13271" i="2"/>
  <c r="H13272" i="2"/>
  <c r="H13273" i="2"/>
  <c r="H13274" i="2"/>
  <c r="H13275" i="2"/>
  <c r="H13276" i="2"/>
  <c r="H13277" i="2"/>
  <c r="H13278" i="2"/>
  <c r="H13279" i="2"/>
  <c r="H13280" i="2"/>
  <c r="H13281" i="2"/>
  <c r="H13282" i="2"/>
  <c r="H13283" i="2"/>
  <c r="H13284" i="2"/>
  <c r="H13285" i="2"/>
  <c r="H13286" i="2"/>
  <c r="H13287" i="2"/>
  <c r="H13288" i="2"/>
  <c r="H13289" i="2"/>
  <c r="H13290" i="2"/>
  <c r="H13291" i="2"/>
  <c r="H13292" i="2"/>
  <c r="H13293" i="2"/>
  <c r="H13294" i="2"/>
  <c r="H13295" i="2"/>
  <c r="H13296" i="2"/>
  <c r="H13297" i="2"/>
  <c r="H13298" i="2"/>
  <c r="H13299" i="2"/>
  <c r="H13300" i="2"/>
  <c r="H13301" i="2"/>
  <c r="H13302" i="2"/>
  <c r="H13303" i="2"/>
  <c r="H13304" i="2"/>
  <c r="H13305" i="2"/>
  <c r="H13306" i="2"/>
  <c r="H13307" i="2"/>
  <c r="H13308" i="2"/>
  <c r="H13309" i="2"/>
  <c r="H13310" i="2"/>
  <c r="H13311" i="2"/>
  <c r="H13312" i="2"/>
  <c r="H13313" i="2"/>
  <c r="H13314" i="2"/>
  <c r="H13315" i="2"/>
  <c r="H13316" i="2"/>
  <c r="H13317" i="2"/>
  <c r="H13318" i="2"/>
  <c r="H13319" i="2"/>
  <c r="H13320" i="2"/>
  <c r="H13321" i="2"/>
  <c r="H13322" i="2"/>
  <c r="H13323" i="2"/>
  <c r="H13324" i="2"/>
  <c r="H13325" i="2"/>
  <c r="H13326" i="2"/>
  <c r="H13327" i="2"/>
  <c r="H13328" i="2"/>
  <c r="H13329" i="2"/>
  <c r="H13330" i="2"/>
  <c r="H13331" i="2"/>
  <c r="H13332" i="2"/>
  <c r="H13333" i="2"/>
  <c r="H13334" i="2"/>
  <c r="H13335" i="2"/>
  <c r="H13336" i="2"/>
  <c r="H13337" i="2"/>
  <c r="H13338" i="2"/>
  <c r="H13339" i="2"/>
  <c r="H13340" i="2"/>
  <c r="H13341" i="2"/>
  <c r="H13342" i="2"/>
  <c r="H13343" i="2"/>
  <c r="H13344" i="2"/>
  <c r="H13345" i="2"/>
  <c r="H13346" i="2"/>
  <c r="H13347" i="2"/>
  <c r="H13348" i="2"/>
  <c r="H13349" i="2"/>
  <c r="H13350" i="2"/>
  <c r="H13351" i="2"/>
  <c r="H13352" i="2"/>
  <c r="H13353" i="2"/>
  <c r="H13354" i="2"/>
  <c r="H13355" i="2"/>
  <c r="H13356" i="2"/>
  <c r="H13357" i="2"/>
  <c r="H13358" i="2"/>
  <c r="H13359" i="2"/>
  <c r="H13360" i="2"/>
  <c r="H13361" i="2"/>
  <c r="H13362" i="2"/>
  <c r="H13363" i="2"/>
  <c r="H13364" i="2"/>
  <c r="H13365" i="2"/>
  <c r="H13366" i="2"/>
  <c r="H13367" i="2"/>
  <c r="H13368" i="2"/>
  <c r="H13369" i="2"/>
  <c r="H13370" i="2"/>
  <c r="H13371" i="2"/>
  <c r="H13372" i="2"/>
  <c r="H13373" i="2"/>
  <c r="H13374" i="2"/>
  <c r="H13375" i="2"/>
  <c r="H13376" i="2"/>
  <c r="H13377" i="2"/>
  <c r="H13378" i="2"/>
  <c r="H13379" i="2"/>
  <c r="H13380" i="2"/>
  <c r="H13381" i="2"/>
  <c r="H13382" i="2"/>
  <c r="H13383" i="2"/>
  <c r="H13384" i="2"/>
  <c r="H13385" i="2"/>
  <c r="H13386" i="2"/>
  <c r="H13387" i="2"/>
  <c r="H13388" i="2"/>
  <c r="H13389" i="2"/>
  <c r="H13390" i="2"/>
  <c r="H13391" i="2"/>
  <c r="H13392" i="2"/>
  <c r="H13393" i="2"/>
  <c r="H13394" i="2"/>
  <c r="H13395" i="2"/>
  <c r="H13396" i="2"/>
  <c r="H13397" i="2"/>
  <c r="H13398" i="2"/>
  <c r="H13399" i="2"/>
  <c r="H13400" i="2"/>
  <c r="H13401" i="2"/>
  <c r="H13402" i="2"/>
  <c r="H13403" i="2"/>
  <c r="H13404" i="2"/>
  <c r="H13405" i="2"/>
  <c r="H13406" i="2"/>
  <c r="H13407" i="2"/>
  <c r="H13408" i="2"/>
  <c r="H13409" i="2"/>
  <c r="H13410" i="2"/>
  <c r="H13411" i="2"/>
  <c r="H13412" i="2"/>
  <c r="H13413" i="2"/>
  <c r="H13414" i="2"/>
  <c r="H13415" i="2"/>
  <c r="H13416" i="2"/>
  <c r="H13417" i="2"/>
  <c r="H13418" i="2"/>
  <c r="H13419" i="2"/>
  <c r="H13420" i="2"/>
  <c r="H13421" i="2"/>
  <c r="H13422" i="2"/>
  <c r="H13423" i="2"/>
  <c r="H13424" i="2"/>
  <c r="H13425" i="2"/>
  <c r="H13426" i="2"/>
  <c r="H13427" i="2"/>
  <c r="H13428" i="2"/>
  <c r="H13429" i="2"/>
  <c r="H13430" i="2"/>
  <c r="H13431" i="2"/>
  <c r="H13432" i="2"/>
  <c r="H13433" i="2"/>
  <c r="H13434" i="2"/>
  <c r="H13435" i="2"/>
  <c r="H13436" i="2"/>
  <c r="H13437" i="2"/>
  <c r="H13438" i="2"/>
  <c r="H13439" i="2"/>
  <c r="H13440" i="2"/>
  <c r="H13441" i="2"/>
  <c r="H13442" i="2"/>
  <c r="H13443" i="2"/>
  <c r="H13444" i="2"/>
  <c r="H13445" i="2"/>
  <c r="H13446" i="2"/>
  <c r="H13447" i="2"/>
  <c r="H13448" i="2"/>
  <c r="H13449" i="2"/>
  <c r="H13450" i="2"/>
  <c r="H13451" i="2"/>
  <c r="H13452" i="2"/>
  <c r="H13453" i="2"/>
  <c r="H13454" i="2"/>
  <c r="H13455" i="2"/>
  <c r="H13456" i="2"/>
  <c r="H13457" i="2"/>
  <c r="H13458" i="2"/>
  <c r="H13459" i="2"/>
  <c r="H13460" i="2"/>
  <c r="H13461" i="2"/>
  <c r="H13462" i="2"/>
  <c r="H13463" i="2"/>
  <c r="H13464" i="2"/>
  <c r="H13465" i="2"/>
  <c r="H13466" i="2"/>
  <c r="H13467" i="2"/>
  <c r="H13468" i="2"/>
  <c r="H13469" i="2"/>
  <c r="H13470" i="2"/>
  <c r="H13471" i="2"/>
  <c r="H13472" i="2"/>
  <c r="H13473" i="2"/>
  <c r="H13474" i="2"/>
  <c r="H13475" i="2"/>
  <c r="H13476" i="2"/>
  <c r="H13477" i="2"/>
  <c r="H13478" i="2"/>
  <c r="H13479" i="2"/>
  <c r="H13480" i="2"/>
  <c r="H13481" i="2"/>
  <c r="H13482" i="2"/>
  <c r="H13483" i="2"/>
  <c r="H13484" i="2"/>
  <c r="H13485" i="2"/>
  <c r="H13486" i="2"/>
  <c r="H13487" i="2"/>
  <c r="H13488" i="2"/>
  <c r="H13489" i="2"/>
  <c r="H13490" i="2"/>
  <c r="H13491" i="2"/>
  <c r="H13492" i="2"/>
  <c r="H13493" i="2"/>
  <c r="H13494" i="2"/>
  <c r="H13495" i="2"/>
  <c r="H13496" i="2"/>
  <c r="H13497" i="2"/>
  <c r="H13498" i="2"/>
  <c r="H13499" i="2"/>
  <c r="H13500" i="2"/>
  <c r="H13501" i="2"/>
  <c r="H13502" i="2"/>
  <c r="H13503" i="2"/>
  <c r="H13504" i="2"/>
  <c r="H13505" i="2"/>
  <c r="H13506" i="2"/>
  <c r="H13507" i="2"/>
  <c r="H13508" i="2"/>
  <c r="H13509" i="2"/>
  <c r="H13510" i="2"/>
  <c r="H13511" i="2"/>
  <c r="H13512" i="2"/>
  <c r="H13513" i="2"/>
  <c r="H13514" i="2"/>
  <c r="H13515" i="2"/>
  <c r="H13516" i="2"/>
  <c r="H13517" i="2"/>
  <c r="H13518" i="2"/>
  <c r="H13519" i="2"/>
  <c r="H13520" i="2"/>
  <c r="H13521" i="2"/>
  <c r="H13522" i="2"/>
  <c r="H13523" i="2"/>
  <c r="H13524" i="2"/>
  <c r="H13525" i="2"/>
  <c r="H13526" i="2"/>
  <c r="H13527" i="2"/>
  <c r="H13528" i="2"/>
  <c r="H13529" i="2"/>
  <c r="H13530" i="2"/>
  <c r="H13531" i="2"/>
  <c r="H13532" i="2"/>
  <c r="H13533" i="2"/>
  <c r="H13534" i="2"/>
  <c r="H13535" i="2"/>
  <c r="H13536" i="2"/>
  <c r="H13537" i="2"/>
  <c r="H13538" i="2"/>
  <c r="H13539" i="2"/>
  <c r="H13540" i="2"/>
  <c r="H13541" i="2"/>
  <c r="H13542" i="2"/>
  <c r="H13543" i="2"/>
  <c r="H13544" i="2"/>
  <c r="H13545" i="2"/>
  <c r="H13546" i="2"/>
  <c r="H13547" i="2"/>
  <c r="H13548" i="2"/>
  <c r="H13549" i="2"/>
  <c r="H13550" i="2"/>
  <c r="H13551" i="2"/>
  <c r="H13552" i="2"/>
  <c r="H13553" i="2"/>
  <c r="H13554" i="2"/>
  <c r="H13555" i="2"/>
  <c r="H13556" i="2"/>
  <c r="H13557" i="2"/>
  <c r="H13558" i="2"/>
  <c r="H13559" i="2"/>
  <c r="H13560" i="2"/>
  <c r="H13561" i="2"/>
  <c r="H13562" i="2"/>
  <c r="H13563" i="2"/>
  <c r="H13564" i="2"/>
  <c r="H13565" i="2"/>
  <c r="H13566" i="2"/>
  <c r="H13567" i="2"/>
  <c r="H13568" i="2"/>
  <c r="H13569" i="2"/>
  <c r="H13570" i="2"/>
  <c r="H13571" i="2"/>
  <c r="H13572" i="2"/>
  <c r="H13573" i="2"/>
  <c r="H13574" i="2"/>
  <c r="H13575" i="2"/>
  <c r="H13576" i="2"/>
  <c r="H13577" i="2"/>
  <c r="H13578" i="2"/>
  <c r="H13579" i="2"/>
  <c r="H13580" i="2"/>
  <c r="H13581" i="2"/>
  <c r="H13582" i="2"/>
  <c r="H13583" i="2"/>
  <c r="H13584" i="2"/>
  <c r="H13585" i="2"/>
  <c r="H13586" i="2"/>
  <c r="H13587" i="2"/>
  <c r="H13588" i="2"/>
  <c r="H13589" i="2"/>
  <c r="H13590" i="2"/>
  <c r="H13591" i="2"/>
  <c r="H13592" i="2"/>
  <c r="H13593" i="2"/>
  <c r="H13594" i="2"/>
  <c r="H13595" i="2"/>
  <c r="H13596" i="2"/>
  <c r="H13597" i="2"/>
  <c r="H13598" i="2"/>
  <c r="H13599" i="2"/>
  <c r="H13600" i="2"/>
  <c r="H13601" i="2"/>
  <c r="H13602" i="2"/>
  <c r="H13603" i="2"/>
  <c r="H13604" i="2"/>
  <c r="H13605" i="2"/>
  <c r="H13606" i="2"/>
  <c r="H13607" i="2"/>
  <c r="H13608" i="2"/>
  <c r="H13609" i="2"/>
  <c r="H13610" i="2"/>
  <c r="H13611" i="2"/>
  <c r="H13612" i="2"/>
  <c r="H13613" i="2"/>
  <c r="H13614" i="2"/>
  <c r="H13615" i="2"/>
  <c r="H13616" i="2"/>
  <c r="H13617" i="2"/>
  <c r="H13618" i="2"/>
  <c r="H13619" i="2"/>
  <c r="H13620" i="2"/>
  <c r="H13621" i="2"/>
  <c r="H13622" i="2"/>
  <c r="H13623" i="2"/>
  <c r="H13624" i="2"/>
  <c r="H13625" i="2"/>
  <c r="H13626" i="2"/>
  <c r="H13627" i="2"/>
  <c r="H13628" i="2"/>
  <c r="H13629" i="2"/>
  <c r="H13630" i="2"/>
  <c r="H13631" i="2"/>
  <c r="H13632" i="2"/>
  <c r="H13633" i="2"/>
  <c r="H13634" i="2"/>
  <c r="H13635" i="2"/>
  <c r="H13636" i="2"/>
  <c r="H13637" i="2"/>
  <c r="H13638" i="2"/>
  <c r="H13639" i="2"/>
  <c r="H13640" i="2"/>
  <c r="H13641" i="2"/>
  <c r="H13642" i="2"/>
  <c r="H13643" i="2"/>
  <c r="H13644" i="2"/>
  <c r="H13645" i="2"/>
  <c r="H13646" i="2"/>
  <c r="H13647" i="2"/>
  <c r="H13648" i="2"/>
  <c r="H13649" i="2"/>
  <c r="H13650" i="2"/>
  <c r="H13651" i="2"/>
  <c r="H13652" i="2"/>
  <c r="H13653" i="2"/>
  <c r="H13654" i="2"/>
  <c r="H13655" i="2"/>
  <c r="H13656" i="2"/>
  <c r="H13657" i="2"/>
  <c r="H13658" i="2"/>
  <c r="H13659" i="2"/>
  <c r="H13660" i="2"/>
  <c r="H13661" i="2"/>
  <c r="H13662" i="2"/>
  <c r="H13663" i="2"/>
  <c r="H13664" i="2"/>
  <c r="H13665" i="2"/>
  <c r="H13666" i="2"/>
  <c r="H13667" i="2"/>
  <c r="H13668" i="2"/>
  <c r="H13669" i="2"/>
  <c r="H13670" i="2"/>
  <c r="H13671" i="2"/>
  <c r="H13672" i="2"/>
  <c r="H13673" i="2"/>
  <c r="H13674" i="2"/>
  <c r="H13675" i="2"/>
  <c r="H13676" i="2"/>
  <c r="H13677" i="2"/>
  <c r="H13678" i="2"/>
  <c r="H13679" i="2"/>
  <c r="H13680" i="2"/>
  <c r="H13681" i="2"/>
  <c r="H13682" i="2"/>
  <c r="H13683" i="2"/>
  <c r="H13684" i="2"/>
  <c r="H13685" i="2"/>
  <c r="H13686" i="2"/>
  <c r="H13687" i="2"/>
  <c r="H13688" i="2"/>
  <c r="H13689" i="2"/>
  <c r="H13690" i="2"/>
  <c r="H13691" i="2"/>
  <c r="H13692" i="2"/>
  <c r="H13693" i="2"/>
  <c r="H13694" i="2"/>
  <c r="H13695" i="2"/>
  <c r="H13696" i="2"/>
  <c r="H13697" i="2"/>
  <c r="H13698" i="2"/>
  <c r="H13699" i="2"/>
  <c r="H13700" i="2"/>
  <c r="H13701" i="2"/>
  <c r="H13702" i="2"/>
  <c r="H13703" i="2"/>
  <c r="H13704" i="2"/>
  <c r="H13705" i="2"/>
  <c r="H13706" i="2"/>
  <c r="H13707" i="2"/>
  <c r="H13708" i="2"/>
  <c r="H13709" i="2"/>
  <c r="H13710" i="2"/>
  <c r="H13711" i="2"/>
  <c r="H13712" i="2"/>
  <c r="H13713" i="2"/>
  <c r="H13714" i="2"/>
  <c r="H13715" i="2"/>
  <c r="H13716" i="2"/>
  <c r="H13717" i="2"/>
  <c r="H13718" i="2"/>
  <c r="H13719" i="2"/>
  <c r="H13720" i="2"/>
  <c r="H13721" i="2"/>
  <c r="H13722" i="2"/>
  <c r="H13723" i="2"/>
  <c r="H13724" i="2"/>
  <c r="H13725" i="2"/>
  <c r="H13726" i="2"/>
  <c r="H13727" i="2"/>
  <c r="H13728" i="2"/>
  <c r="H13729" i="2"/>
  <c r="H13730" i="2"/>
  <c r="H13731" i="2"/>
  <c r="H13732" i="2"/>
  <c r="H13733" i="2"/>
  <c r="H13734" i="2"/>
  <c r="H13735" i="2"/>
  <c r="H13736" i="2"/>
  <c r="H13737" i="2"/>
  <c r="H13738" i="2"/>
  <c r="H13739" i="2"/>
  <c r="H13740" i="2"/>
  <c r="H13741" i="2"/>
  <c r="H13742" i="2"/>
  <c r="H13743" i="2"/>
  <c r="H13744" i="2"/>
  <c r="H13745" i="2"/>
  <c r="H13746" i="2"/>
  <c r="H13747" i="2"/>
  <c r="H13748" i="2"/>
  <c r="H13749" i="2"/>
  <c r="H13750" i="2"/>
  <c r="H13751" i="2"/>
  <c r="H13752" i="2"/>
  <c r="H13753" i="2"/>
  <c r="H13754" i="2"/>
  <c r="H13755" i="2"/>
  <c r="H13756" i="2"/>
  <c r="H13757" i="2"/>
  <c r="H13758" i="2"/>
  <c r="H13759" i="2"/>
  <c r="H13760" i="2"/>
  <c r="H13761" i="2"/>
  <c r="H13762" i="2"/>
  <c r="H13763" i="2"/>
  <c r="H13764" i="2"/>
  <c r="H13765" i="2"/>
  <c r="H13766" i="2"/>
  <c r="H13767" i="2"/>
  <c r="H13768" i="2"/>
  <c r="H13769" i="2"/>
  <c r="H13770" i="2"/>
  <c r="H13771" i="2"/>
  <c r="H13772" i="2"/>
  <c r="H13773" i="2"/>
  <c r="H13774" i="2"/>
  <c r="H13775" i="2"/>
  <c r="H13776" i="2"/>
  <c r="H13777" i="2"/>
  <c r="H13778" i="2"/>
  <c r="H13779" i="2"/>
  <c r="H13780" i="2"/>
  <c r="H13781" i="2"/>
  <c r="H13782" i="2"/>
  <c r="H13783" i="2"/>
  <c r="H13784" i="2"/>
  <c r="H13785" i="2"/>
  <c r="H13786" i="2"/>
  <c r="H13787" i="2"/>
  <c r="H13788" i="2"/>
  <c r="H13789" i="2"/>
  <c r="H13790" i="2"/>
  <c r="H13791" i="2"/>
  <c r="H13792" i="2"/>
  <c r="H13793" i="2"/>
  <c r="H13794" i="2"/>
  <c r="H13795" i="2"/>
  <c r="H13796" i="2"/>
  <c r="H13797" i="2"/>
  <c r="H13798" i="2"/>
  <c r="H13799" i="2"/>
  <c r="H13800" i="2"/>
  <c r="H13801" i="2"/>
  <c r="H13802" i="2"/>
  <c r="H13803" i="2"/>
  <c r="H13804" i="2"/>
  <c r="H13805" i="2"/>
  <c r="H13806" i="2"/>
  <c r="H13807" i="2"/>
  <c r="H13808" i="2"/>
  <c r="H13809" i="2"/>
  <c r="H13810" i="2"/>
  <c r="H13811" i="2"/>
  <c r="H13812" i="2"/>
  <c r="H13813" i="2"/>
  <c r="H13814" i="2"/>
  <c r="H13815" i="2"/>
  <c r="H13816" i="2"/>
  <c r="H13817" i="2"/>
  <c r="H13818" i="2"/>
  <c r="H13819" i="2"/>
  <c r="H13820" i="2"/>
  <c r="H13821" i="2"/>
  <c r="H13822" i="2"/>
  <c r="H13823" i="2"/>
  <c r="H13824" i="2"/>
  <c r="H13825" i="2"/>
  <c r="H13826" i="2"/>
  <c r="H13827" i="2"/>
  <c r="H13828" i="2"/>
  <c r="H13829" i="2"/>
  <c r="H13830" i="2"/>
  <c r="H13831" i="2"/>
  <c r="H13832" i="2"/>
  <c r="H13833" i="2"/>
  <c r="H13834" i="2"/>
  <c r="H13835" i="2"/>
  <c r="H13836" i="2"/>
  <c r="H13837" i="2"/>
  <c r="H13838" i="2"/>
  <c r="H13839" i="2"/>
  <c r="H13840" i="2"/>
  <c r="H13841" i="2"/>
  <c r="H13842" i="2"/>
  <c r="H13843" i="2"/>
  <c r="H13844" i="2"/>
  <c r="H13845" i="2"/>
  <c r="H13846" i="2"/>
  <c r="H13847" i="2"/>
  <c r="H13848" i="2"/>
  <c r="H13849" i="2"/>
  <c r="H13850" i="2"/>
  <c r="H13851" i="2"/>
  <c r="H13852" i="2"/>
  <c r="H13853" i="2"/>
  <c r="H13854" i="2"/>
  <c r="H13855" i="2"/>
  <c r="H13856" i="2"/>
  <c r="H13857" i="2"/>
  <c r="H13858" i="2"/>
  <c r="H13859" i="2"/>
  <c r="H13860" i="2"/>
  <c r="H13861" i="2"/>
  <c r="H13862" i="2"/>
  <c r="H13863" i="2"/>
  <c r="H13864" i="2"/>
  <c r="H13865" i="2"/>
  <c r="H13866" i="2"/>
  <c r="H13867" i="2"/>
  <c r="H13868" i="2"/>
  <c r="H13869" i="2"/>
  <c r="H13870" i="2"/>
  <c r="H13871" i="2"/>
  <c r="H13872" i="2"/>
  <c r="H13873" i="2"/>
  <c r="H13874" i="2"/>
  <c r="H13875" i="2"/>
  <c r="H13876" i="2"/>
  <c r="H13877" i="2"/>
  <c r="H13878" i="2"/>
  <c r="H13879" i="2"/>
  <c r="H13880" i="2"/>
  <c r="H13881" i="2"/>
  <c r="H13882" i="2"/>
  <c r="H13883" i="2"/>
  <c r="H13884" i="2"/>
  <c r="H13885" i="2"/>
  <c r="H13886" i="2"/>
  <c r="H13887" i="2"/>
  <c r="H13888" i="2"/>
  <c r="H13889" i="2"/>
  <c r="H13890" i="2"/>
  <c r="H13891" i="2"/>
  <c r="H13892" i="2"/>
  <c r="H13893" i="2"/>
  <c r="H13894" i="2"/>
  <c r="H13895" i="2"/>
  <c r="H13896" i="2"/>
  <c r="H13897" i="2"/>
  <c r="H13898" i="2"/>
  <c r="H13899" i="2"/>
  <c r="H13900" i="2"/>
  <c r="H13901" i="2"/>
  <c r="H13902" i="2"/>
  <c r="H13903" i="2"/>
  <c r="H13904" i="2"/>
  <c r="H13905" i="2"/>
  <c r="H13906" i="2"/>
  <c r="H13907" i="2"/>
  <c r="H13908" i="2"/>
  <c r="H13909" i="2"/>
  <c r="H13910" i="2"/>
  <c r="H13911" i="2"/>
  <c r="H13912" i="2"/>
  <c r="H13913" i="2"/>
  <c r="H13914" i="2"/>
  <c r="H13915" i="2"/>
  <c r="H13916" i="2"/>
  <c r="H13917" i="2"/>
  <c r="H13918" i="2"/>
  <c r="H13919" i="2"/>
  <c r="H13920" i="2"/>
  <c r="H13921" i="2"/>
  <c r="H13922" i="2"/>
  <c r="H13923" i="2"/>
  <c r="H13924" i="2"/>
  <c r="H13925" i="2"/>
  <c r="H13926" i="2"/>
  <c r="H13927" i="2"/>
  <c r="H13928" i="2"/>
  <c r="H13929" i="2"/>
  <c r="H13930" i="2"/>
  <c r="H13931" i="2"/>
  <c r="H13932" i="2"/>
  <c r="H13933" i="2"/>
  <c r="H13934" i="2"/>
  <c r="H13935" i="2"/>
  <c r="H13936" i="2"/>
  <c r="H13937" i="2"/>
  <c r="H13938" i="2"/>
  <c r="H13939" i="2"/>
  <c r="H13940" i="2"/>
  <c r="H13941" i="2"/>
  <c r="H13942" i="2"/>
  <c r="H13943" i="2"/>
  <c r="H13944" i="2"/>
  <c r="H13945" i="2"/>
  <c r="H13946" i="2"/>
  <c r="H13947" i="2"/>
  <c r="H13948" i="2"/>
  <c r="H13949" i="2"/>
  <c r="H13950" i="2"/>
  <c r="H13951" i="2"/>
  <c r="H13952" i="2"/>
  <c r="H13953" i="2"/>
  <c r="H13954" i="2"/>
  <c r="H13955" i="2"/>
  <c r="H13956" i="2"/>
  <c r="H13957" i="2"/>
  <c r="H13958" i="2"/>
  <c r="H13959" i="2"/>
  <c r="H13960" i="2"/>
  <c r="H13961" i="2"/>
  <c r="H13962" i="2"/>
  <c r="H13963" i="2"/>
  <c r="H13964" i="2"/>
  <c r="H13965" i="2"/>
  <c r="H13966" i="2"/>
  <c r="H13967" i="2"/>
  <c r="H13968" i="2"/>
  <c r="H13969" i="2"/>
  <c r="H13970" i="2"/>
  <c r="H13971" i="2"/>
  <c r="H13972" i="2"/>
  <c r="H13973" i="2"/>
  <c r="H13974" i="2"/>
  <c r="H13975" i="2"/>
  <c r="H13976" i="2"/>
  <c r="H13977" i="2"/>
  <c r="H13978" i="2"/>
  <c r="H13979" i="2"/>
  <c r="H13980" i="2"/>
  <c r="H13981" i="2"/>
  <c r="H13982" i="2"/>
  <c r="H13983" i="2"/>
  <c r="H13984" i="2"/>
  <c r="H13985" i="2"/>
  <c r="H13986" i="2"/>
  <c r="H13987" i="2"/>
  <c r="H13988" i="2"/>
  <c r="H13989" i="2"/>
  <c r="H13990" i="2"/>
  <c r="H13991" i="2"/>
  <c r="H13992" i="2"/>
  <c r="H13993" i="2"/>
  <c r="H13994" i="2"/>
  <c r="H13995" i="2"/>
  <c r="H13996" i="2"/>
  <c r="H13997" i="2"/>
  <c r="H13998" i="2"/>
  <c r="H13999" i="2"/>
  <c r="H14000" i="2"/>
  <c r="H14001" i="2"/>
  <c r="H14002" i="2"/>
  <c r="H14003" i="2"/>
  <c r="H14004" i="2"/>
  <c r="H14005" i="2"/>
  <c r="H14006" i="2"/>
  <c r="H14007" i="2"/>
  <c r="H14008" i="2"/>
  <c r="H14009" i="2"/>
  <c r="H14010" i="2"/>
  <c r="H14011" i="2"/>
  <c r="H14012" i="2"/>
  <c r="H14013" i="2"/>
  <c r="H14014" i="2"/>
  <c r="H14015" i="2"/>
  <c r="H14016" i="2"/>
  <c r="H14017" i="2"/>
  <c r="H14018" i="2"/>
  <c r="H14019" i="2"/>
  <c r="H14020" i="2"/>
  <c r="H14021" i="2"/>
  <c r="H14022" i="2"/>
  <c r="H14023" i="2"/>
  <c r="H14024" i="2"/>
  <c r="H14025" i="2"/>
  <c r="H14026" i="2"/>
  <c r="H14027" i="2"/>
  <c r="H14028" i="2"/>
  <c r="H14029" i="2"/>
  <c r="H14030" i="2"/>
  <c r="H14031" i="2"/>
  <c r="H14032" i="2"/>
  <c r="H14033" i="2"/>
  <c r="H14034" i="2"/>
  <c r="H14035" i="2"/>
  <c r="H14036" i="2"/>
  <c r="H14037" i="2"/>
  <c r="H14038" i="2"/>
  <c r="H14039" i="2"/>
  <c r="H14040" i="2"/>
  <c r="H14041" i="2"/>
  <c r="H14042" i="2"/>
  <c r="H14043" i="2"/>
  <c r="H14044" i="2"/>
  <c r="H14045" i="2"/>
  <c r="H14046" i="2"/>
  <c r="H14047" i="2"/>
  <c r="H14048" i="2"/>
  <c r="H14049" i="2"/>
  <c r="H14050" i="2"/>
  <c r="H14051" i="2"/>
  <c r="H14052" i="2"/>
  <c r="H14053" i="2"/>
  <c r="H14054" i="2"/>
  <c r="H14055" i="2"/>
  <c r="H14056" i="2"/>
  <c r="H14057" i="2"/>
  <c r="H14058" i="2"/>
  <c r="H14059" i="2"/>
  <c r="H14060" i="2"/>
  <c r="H14061" i="2"/>
  <c r="H14062" i="2"/>
  <c r="H14063" i="2"/>
  <c r="H14064" i="2"/>
  <c r="H14065" i="2"/>
  <c r="H14066" i="2"/>
  <c r="H14067" i="2"/>
  <c r="H14068" i="2"/>
  <c r="H14069" i="2"/>
  <c r="H14070" i="2"/>
  <c r="H14071" i="2"/>
  <c r="H14072" i="2"/>
  <c r="H14073" i="2"/>
  <c r="H14074" i="2"/>
  <c r="H14075" i="2"/>
  <c r="H14076" i="2"/>
  <c r="H14077" i="2"/>
  <c r="H14078" i="2"/>
  <c r="H14079" i="2"/>
  <c r="H14080" i="2"/>
  <c r="H14081" i="2"/>
  <c r="H14082" i="2"/>
  <c r="H14083" i="2"/>
  <c r="H14084" i="2"/>
  <c r="H14085" i="2"/>
  <c r="H14086" i="2"/>
  <c r="H14087" i="2"/>
  <c r="H14088" i="2"/>
  <c r="H14089" i="2"/>
  <c r="H14090" i="2"/>
  <c r="H14091" i="2"/>
  <c r="H14092" i="2"/>
  <c r="H14093" i="2"/>
  <c r="H14094" i="2"/>
  <c r="H14095" i="2"/>
  <c r="H14096" i="2"/>
  <c r="H14097" i="2"/>
  <c r="H14098" i="2"/>
  <c r="H14099" i="2"/>
  <c r="H14100" i="2"/>
  <c r="H14101" i="2"/>
  <c r="H14102" i="2"/>
  <c r="H14103" i="2"/>
  <c r="H14104" i="2"/>
  <c r="H14105" i="2"/>
  <c r="H14106" i="2"/>
  <c r="H14107" i="2"/>
  <c r="H14108" i="2"/>
  <c r="H14109" i="2"/>
  <c r="H14110" i="2"/>
  <c r="H14111" i="2"/>
  <c r="H14112" i="2"/>
  <c r="H14113" i="2"/>
  <c r="H14114" i="2"/>
  <c r="H14115" i="2"/>
  <c r="H14116" i="2"/>
  <c r="H14117" i="2"/>
  <c r="H14118" i="2"/>
  <c r="H14119" i="2"/>
  <c r="H14120" i="2"/>
  <c r="H14121" i="2"/>
  <c r="H14122" i="2"/>
  <c r="H14123" i="2"/>
  <c r="H14124" i="2"/>
  <c r="H14125" i="2"/>
  <c r="H14126" i="2"/>
  <c r="H14127" i="2"/>
  <c r="H14128" i="2"/>
  <c r="H14129" i="2"/>
  <c r="H14130" i="2"/>
  <c r="H14131" i="2"/>
  <c r="H14132" i="2"/>
  <c r="H14133" i="2"/>
  <c r="H14134" i="2"/>
  <c r="H14135" i="2"/>
  <c r="H14136" i="2"/>
  <c r="H14137" i="2"/>
  <c r="H14138" i="2"/>
  <c r="H14139" i="2"/>
  <c r="H14140" i="2"/>
  <c r="H14141" i="2"/>
  <c r="H14142" i="2"/>
  <c r="H14143" i="2"/>
  <c r="H14144" i="2"/>
  <c r="H14145" i="2"/>
  <c r="H14146" i="2"/>
  <c r="H14147" i="2"/>
  <c r="H14148" i="2"/>
  <c r="H14149" i="2"/>
  <c r="H14150" i="2"/>
  <c r="H14151" i="2"/>
  <c r="H14152" i="2"/>
  <c r="H14153" i="2"/>
  <c r="H14154" i="2"/>
  <c r="H14155" i="2"/>
  <c r="H14156" i="2"/>
  <c r="H14157" i="2"/>
  <c r="H14158" i="2"/>
  <c r="H14159" i="2"/>
  <c r="H14160" i="2"/>
  <c r="H14161" i="2"/>
  <c r="H14162" i="2"/>
  <c r="H14163" i="2"/>
  <c r="H14164" i="2"/>
  <c r="H14165" i="2"/>
  <c r="H14166" i="2"/>
  <c r="H14167" i="2"/>
  <c r="H14168" i="2"/>
  <c r="H14169" i="2"/>
  <c r="H14170" i="2"/>
  <c r="H14171" i="2"/>
  <c r="H14172" i="2"/>
  <c r="H14173" i="2"/>
  <c r="H14174" i="2"/>
  <c r="H14175" i="2"/>
  <c r="H14176" i="2"/>
  <c r="H14177" i="2"/>
  <c r="H14178" i="2"/>
  <c r="H14179" i="2"/>
  <c r="H14180" i="2"/>
  <c r="H14181" i="2"/>
  <c r="H14182" i="2"/>
  <c r="H14183" i="2"/>
  <c r="H14184" i="2"/>
  <c r="H14185" i="2"/>
  <c r="H14186" i="2"/>
  <c r="H14187" i="2"/>
  <c r="H14188" i="2"/>
  <c r="H14189" i="2"/>
  <c r="H14190" i="2"/>
  <c r="H14191" i="2"/>
  <c r="H14192" i="2"/>
  <c r="H14193" i="2"/>
  <c r="H14194" i="2"/>
  <c r="H14195" i="2"/>
  <c r="H14196" i="2"/>
  <c r="H14197" i="2"/>
  <c r="H14198" i="2"/>
  <c r="H14199" i="2"/>
  <c r="H14200" i="2"/>
  <c r="H14201" i="2"/>
  <c r="H14202" i="2"/>
  <c r="H14203" i="2"/>
  <c r="H14204" i="2"/>
  <c r="H14205" i="2"/>
  <c r="H14206" i="2"/>
  <c r="H14207" i="2"/>
  <c r="H14208" i="2"/>
  <c r="H14209" i="2"/>
  <c r="H14210" i="2"/>
  <c r="H14211" i="2"/>
  <c r="H14212" i="2"/>
  <c r="H14213" i="2"/>
  <c r="H14214" i="2"/>
  <c r="H14215" i="2"/>
  <c r="H14216" i="2"/>
  <c r="H14217" i="2"/>
  <c r="H14218" i="2"/>
  <c r="H14219" i="2"/>
  <c r="H14220" i="2"/>
  <c r="H14221" i="2"/>
  <c r="H14222" i="2"/>
  <c r="H14223" i="2"/>
  <c r="H14224" i="2"/>
  <c r="H14225" i="2"/>
  <c r="H14226" i="2"/>
  <c r="H14227" i="2"/>
  <c r="H14228" i="2"/>
  <c r="H14229" i="2"/>
  <c r="H14230" i="2"/>
  <c r="H14231" i="2"/>
  <c r="H14232" i="2"/>
  <c r="H14233" i="2"/>
  <c r="H14234" i="2"/>
  <c r="H14235" i="2"/>
  <c r="H14236" i="2"/>
  <c r="H14237" i="2"/>
  <c r="H14238" i="2"/>
  <c r="H14239" i="2"/>
  <c r="H14240" i="2"/>
  <c r="H14241" i="2"/>
  <c r="H14242" i="2"/>
  <c r="H14243" i="2"/>
  <c r="H14244" i="2"/>
  <c r="H14245" i="2"/>
  <c r="H14246" i="2"/>
  <c r="H14247" i="2"/>
  <c r="H14248" i="2"/>
  <c r="H14249" i="2"/>
  <c r="H14250" i="2"/>
  <c r="H14251" i="2"/>
  <c r="H14252" i="2"/>
  <c r="H14253" i="2"/>
  <c r="H14254" i="2"/>
  <c r="H14255" i="2"/>
  <c r="H14256" i="2"/>
  <c r="H14257" i="2"/>
  <c r="H14258" i="2"/>
  <c r="H14259" i="2"/>
  <c r="H14260" i="2"/>
  <c r="H14261" i="2"/>
  <c r="H14262" i="2"/>
  <c r="H14263" i="2"/>
  <c r="H14264" i="2"/>
  <c r="H14265" i="2"/>
  <c r="H14266" i="2"/>
  <c r="H14267" i="2"/>
  <c r="H14268" i="2"/>
  <c r="H14269" i="2"/>
  <c r="H14270" i="2"/>
  <c r="H14271" i="2"/>
  <c r="H14272" i="2"/>
  <c r="H14273" i="2"/>
  <c r="H14274" i="2"/>
  <c r="H1427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18D4AE-04A5-3040-9532-86220627A37C}" keepAlive="1" name="Query - DIM_COUNTRY" description="Connection to the 'DIM_COUNTRY' query in the workbook." type="5" refreshedVersion="8" background="1" saveData="1">
    <dbPr connection="Provider=Microsoft.Mashup.OleDb.1;Data Source=$Workbook$;Location=DIM_COUNTRY;Extended Properties=&quot;&quot;" command="SELECT * FROM [DIM_COUNTRY]"/>
  </connection>
  <connection id="2" xr16:uid="{18C43D9A-1CF9-BD4C-8BE1-3C8DF399EA63}" keepAlive="1" name="Query - DIM_COUNTRY (2)" description="Connection to the 'DIM_COUNTRY (2)' query in the workbook." type="5" refreshedVersion="8" background="1" saveData="1">
    <dbPr connection="Provider=Microsoft.Mashup.OleDb.1;Data Source=$Workbook$;Location=&quot;DIM_COUNTRY (2)&quot;;Extended Properties=&quot;&quot;" command="SELECT * FROM [DIM_COUNTRY (2)]"/>
  </connection>
  <connection id="3" xr16:uid="{FCB3A587-3369-4549-822D-D50140C1ABF8}" keepAlive="1" name="Query - DIM_PRODUCTS" description="Connection to the 'DIM_PRODUCTS' query in the workbook." type="5" refreshedVersion="8" background="1" saveData="1">
    <dbPr connection="Provider=Microsoft.Mashup.OleDb.1;Data Source=$Workbook$;Location=DIM_PRODUCTS;Extended Properties=&quot;&quot;" command="SELECT * FROM [DIM_PRODUCTS]"/>
  </connection>
  <connection id="4" xr16:uid="{AB4AF709-7449-AD41-81AF-6B4C3C0582E9}" keepAlive="1" name="Query - DIM_PRODUCTS (2)" description="Connection to the 'DIM_PRODUCTS (2)' query in the workbook." type="5" refreshedVersion="8" background="1" saveData="1">
    <dbPr connection="Provider=Microsoft.Mashup.OleDb.1;Data Source=$Workbook$;Location=&quot;DIM_PRODUCTS (2)&quot;;Extended Properties=&quot;&quot;" command="SELECT * FROM [DIM_PRODUCTS (2)]"/>
  </connection>
  <connection id="5" xr16:uid="{0913006E-8EDB-BC4F-83F3-DC0B4CDBABBA}" keepAlive="1" name="Query - DIM_TIME" description="Connection to the 'DIM_TIME' query in the workbook." type="5" refreshedVersion="8" background="1" saveData="1">
    <dbPr connection="Provider=Microsoft.Mashup.OleDb.1;Data Source=$Workbook$;Location=DIM_TIME;Extended Properties=&quot;&quot;" command="SELECT * FROM [DIM_TIME]"/>
  </connection>
  <connection id="6" xr16:uid="{24ED0707-AFFC-574E-967E-5BAC37F182D8}" keepAlive="1" name="Query - FACT_IMPORTS" description="Connection to the 'FACT_IMPORTS' query in the workbook." type="5" refreshedVersion="8" background="1" saveData="1">
    <dbPr connection="Provider=Microsoft.Mashup.OleDb.1;Data Source=$Workbook$;Location=FACT_IMPORTS;Extended Properties=&quot;&quot;" command="SELECT * FROM [FACT_IMPORTS]"/>
  </connection>
  <connection id="7" xr16:uid="{E38F10B9-7FCA-854A-B5C6-52F3E29D93EB}" keepAlive="1" name="Query - FACT_IMPORTS (2)" description="Connection to the 'FACT_IMPORTS (2)' query in the workbook." type="5" refreshedVersion="8" background="1" saveData="1">
    <dbPr connection="Provider=Microsoft.Mashup.OleDb.1;Data Source=$Workbook$;Location=&quot;FACT_IMPORTS (2)&quot;;Extended Properties=&quot;&quot;" command="SELECT * FROM [FACT_IMPORTS (2)]"/>
  </connection>
  <connection id="8" xr16:uid="{EE0641BD-4993-8541-91C8-EDA406A937CB}" keepAlive="1" name="Query - METADATA" description="Connection to the 'METADATA' query in the workbook." type="5" refreshedVersion="8" background="1" saveData="1">
    <dbPr connection="Provider=Microsoft.Mashup.OleDb.1;Data Source=$Workbook$;Location=METADATA;Extended Properties=&quot;&quot;" command="SELECT * FROM [META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<sst xmlns="http://schemas.openxmlformats.org/spreadsheetml/2006/main" count="28906" uniqueCount="185">
  <si>
    <t>Column1</t>
  </si>
  <si>
    <t>Column2</t>
  </si>
  <si>
    <t>Download Date</t>
  </si>
  <si>
    <t>Step 1: Trade Flow and Classification System</t>
  </si>
  <si>
    <t>Trade Flow</t>
  </si>
  <si>
    <t>General Imports</t>
  </si>
  <si>
    <t>Classification System</t>
  </si>
  <si>
    <t>HTS Items</t>
  </si>
  <si>
    <t>Step 2: Data and Years</t>
  </si>
  <si>
    <t>Data To Report</t>
  </si>
  <si>
    <t>General Customs Value, General First Unit of Quantity, General Import Charges</t>
  </si>
  <si>
    <t>Data Format</t>
  </si>
  <si>
    <t>1</t>
  </si>
  <si>
    <t>Select Type</t>
  </si>
  <si>
    <t>Specific Date Range</t>
  </si>
  <si>
    <t>Start Date</t>
  </si>
  <si>
    <t>01/2023</t>
  </si>
  <si>
    <t>End Date</t>
  </si>
  <si>
    <t>10/2025</t>
  </si>
  <si>
    <t>Timeframe Aggregation</t>
  </si>
  <si>
    <t>Monthly</t>
  </si>
  <si>
    <t>Step 3: Countries</t>
  </si>
  <si>
    <t>Select Individual Countries</t>
  </si>
  <si>
    <t>Country List</t>
  </si>
  <si>
    <t>Canada, China, Germany, Japan, Mexico, South Korea, Taiwan</t>
  </si>
  <si>
    <t>Country Aggregation</t>
  </si>
  <si>
    <t>Break Out Countries</t>
  </si>
  <si>
    <t>Step 4: Commodities</t>
  </si>
  <si>
    <t>Select Individual Commodities</t>
  </si>
  <si>
    <t>Commodity List</t>
  </si>
  <si>
    <t>870892, 401140, 700711, 850134, 840733, 851190, 848310, 841520, 840731, 851240, 830230, 700721, 854231, 840734, 851230, 870710, 840790, 854239, 870894, 850790, 851290, 854430, 842132, 870810, 851140, 870840, 870870, 850131, 850132, 854233, 840991, 851120, 870600, 401110, 401190, 851220, 851150, 840999, 850152, 854290, 850153, 870899, 700910, 870895, 870821, 870880, 840890, 851110, 870822, 854232, 840732, 840820, 870829, 870790, 392630, 850161, 850760, 841330, 850440, 851180, 870893, 870891, 850710, 732010, 870850, 851130, 940120, 401120, 848220, 870830, 848210, 850133</t>
  </si>
  <si>
    <t>Commodity Aggregation Level</t>
  </si>
  <si>
    <t>6</t>
  </si>
  <si>
    <t>Commodity Aggregation</t>
  </si>
  <si>
    <t>Break Out Commodities</t>
  </si>
  <si>
    <t>Description Display</t>
  </si>
  <si>
    <t>YES</t>
  </si>
  <si>
    <t>Step 5: Programs</t>
  </si>
  <si>
    <t>Use All Programs</t>
  </si>
  <si>
    <t>Import Program Aggregation</t>
  </si>
  <si>
    <t>Aggregate CSC</t>
  </si>
  <si>
    <t>Step 6: Rate Provision Codes</t>
  </si>
  <si>
    <t>Use All Provision Codes</t>
  </si>
  <si>
    <t>Provision Code Aggregation</t>
  </si>
  <si>
    <t>Aggregate RPCODE</t>
  </si>
  <si>
    <t>Step 7: Districts</t>
  </si>
  <si>
    <t>Select Individual Districts</t>
  </si>
  <si>
    <t>District List</t>
  </si>
  <si>
    <t>38</t>
  </si>
  <si>
    <t>District Aggregation</t>
  </si>
  <si>
    <t>Break Out District</t>
  </si>
  <si>
    <t>Step 8: Report Layout</t>
  </si>
  <si>
    <t>Column Order</t>
  </si>
  <si>
    <t>COUNTRY, HTS6 &amp; DESCRIPTION, DISTRICT</t>
  </si>
  <si>
    <t>Column Sort Order</t>
  </si>
  <si>
    <t>Countries</t>
  </si>
  <si>
    <t>Column3</t>
  </si>
  <si>
    <t>country_code</t>
  </si>
  <si>
    <t>country_name</t>
  </si>
  <si>
    <t>trading_bloc</t>
  </si>
  <si>
    <t>CA</t>
  </si>
  <si>
    <t>Canada</t>
  </si>
  <si>
    <t>USMCA</t>
  </si>
  <si>
    <t>MX</t>
  </si>
  <si>
    <t>Mexico</t>
  </si>
  <si>
    <t>CN</t>
  </si>
  <si>
    <t>China</t>
  </si>
  <si>
    <t>DE</t>
  </si>
  <si>
    <t>Germany</t>
  </si>
  <si>
    <t>Major_Non-USMCA_Non-China</t>
  </si>
  <si>
    <t>JP</t>
  </si>
  <si>
    <t>Japan</t>
  </si>
  <si>
    <t>KR</t>
  </si>
  <si>
    <t>South Korea</t>
  </si>
  <si>
    <t>TW</t>
  </si>
  <si>
    <t>Taiwan</t>
  </si>
  <si>
    <t>hts_6</t>
  </si>
  <si>
    <t>hts_4</t>
  </si>
  <si>
    <t>description</t>
  </si>
  <si>
    <t>Diesel/semi-diesel engines for vehicles</t>
  </si>
  <si>
    <t>Engine/ICE</t>
  </si>
  <si>
    <t>Diesel/semi-diesel engines other</t>
  </si>
  <si>
    <t>Gas engines for vehicles ‚â§50cc</t>
  </si>
  <si>
    <t>Gas engines for vehicles 50-250cc</t>
  </si>
  <si>
    <t>Gas engines for vehicles 250-1000cc</t>
  </si>
  <si>
    <t>Gas engines for vehicles &gt;1000cc</t>
  </si>
  <si>
    <t>Spark-ignition engines other</t>
  </si>
  <si>
    <t>Spark-ignition engine parts</t>
  </si>
  <si>
    <t>Diesel engine parts other</t>
  </si>
  <si>
    <t>Fuel/lubricating/cooling pumps</t>
  </si>
  <si>
    <t>DC motors/generators up to 750W</t>
  </si>
  <si>
    <t>Electrical/EV</t>
  </si>
  <si>
    <t>DC motors/generators 750W-75KW</t>
  </si>
  <si>
    <t>DC motors/generators 75-375KW</t>
  </si>
  <si>
    <t>DC motors/generators over 375KW</t>
  </si>
  <si>
    <t>AC motors 750W-75KW multi-phase</t>
  </si>
  <si>
    <t>AC motors over 75KW multi-phase</t>
  </si>
  <si>
    <t>AC generators up to 75 KVA</t>
  </si>
  <si>
    <t>Static converters/ADP power supplies</t>
  </si>
  <si>
    <t>Lead-acid starter batteries</t>
  </si>
  <si>
    <t>Lithium-ion batteries</t>
  </si>
  <si>
    <t>Battery parts &amp; separators</t>
  </si>
  <si>
    <t>Processors &amp; controllers (ICs)</t>
  </si>
  <si>
    <t>Semiconductors</t>
  </si>
  <si>
    <t>Memory chips (ICs)</t>
  </si>
  <si>
    <t>Amplifiers (ICs)</t>
  </si>
  <si>
    <t>Integrated circuits other</t>
  </si>
  <si>
    <t>IC &amp; microassembly parts</t>
  </si>
  <si>
    <t>Drive axles with differential</t>
  </si>
  <si>
    <t>Drivetrain</t>
  </si>
  <si>
    <t>Gear boxes</t>
  </si>
  <si>
    <t>Clutches &amp; parts</t>
  </si>
  <si>
    <t>Ball bearings</t>
  </si>
  <si>
    <t>Tapered roller bearings</t>
  </si>
  <si>
    <t>Transmission shafts &amp; cranks</t>
  </si>
  <si>
    <t>Brakes &amp; servo-brakes parts</t>
  </si>
  <si>
    <t>Brakes/Suspension</t>
  </si>
  <si>
    <t>Suspension shock absorbers</t>
  </si>
  <si>
    <t>Leaf springs iron/steel</t>
  </si>
  <si>
    <t>Steering wheels columns &amp; boxes</t>
  </si>
  <si>
    <t>Chassis with engines</t>
  </si>
  <si>
    <t>Body/Structural</t>
  </si>
  <si>
    <t>Car bodies &amp; cabs</t>
  </si>
  <si>
    <t>Vehicle bodies (trucks buses etc.)</t>
  </si>
  <si>
    <t>Bumpers &amp; parts</t>
  </si>
  <si>
    <t>Safety seat belts</t>
  </si>
  <si>
    <t>Windshields &amp; vehicle windows</t>
  </si>
  <si>
    <t>Body parts &amp; accessories other</t>
  </si>
  <si>
    <t>Tempered safety glass for vehicles</t>
  </si>
  <si>
    <t>Laminated safety glass for vehicles</t>
  </si>
  <si>
    <t>Rear-view mirrors</t>
  </si>
  <si>
    <t>Vehicle seats</t>
  </si>
  <si>
    <t>Metal fittings for vehicles</t>
  </si>
  <si>
    <t>Plastic fittings for furniture/vehicles</t>
  </si>
  <si>
    <t>Car tires (incl. station wagons)</t>
  </si>
  <si>
    <t>Tires</t>
  </si>
  <si>
    <t>Bus/truck tires</t>
  </si>
  <si>
    <t>Motorcycle tires</t>
  </si>
  <si>
    <t>Pneumatic rubber tires other</t>
  </si>
  <si>
    <t>Road wheels &amp; parts</t>
  </si>
  <si>
    <t>Spark plugs</t>
  </si>
  <si>
    <t>Ignition/Starting</t>
  </si>
  <si>
    <t>Ignition magnetos &amp; magnetic flywheels</t>
  </si>
  <si>
    <t>Distributors &amp; ignition coils</t>
  </si>
  <si>
    <t>Starter motors &amp; starter-generators</t>
  </si>
  <si>
    <t>IC engine generators other</t>
  </si>
  <si>
    <t>Ignition/starting equipment other</t>
  </si>
  <si>
    <t>Ignition/starting equipment parts</t>
  </si>
  <si>
    <t>Vehicle lighting/signaling equipment</t>
  </si>
  <si>
    <t>Lighting/Wiring</t>
  </si>
  <si>
    <t>Vehicle sound signaling equipment</t>
  </si>
  <si>
    <t>Wipers defrosters &amp; demisters</t>
  </si>
  <si>
    <t>Lighting/wiper equipment parts</t>
  </si>
  <si>
    <t>Insulated wiring sets for vehicles</t>
  </si>
  <si>
    <t>Radiators</t>
  </si>
  <si>
    <t>Thermal/Exhaust</t>
  </si>
  <si>
    <t>Mufflers &amp; exhaust pipes</t>
  </si>
  <si>
    <t>Automotive air conditioners</t>
  </si>
  <si>
    <t>Catalytic converters &amp; particulate filters</t>
  </si>
  <si>
    <t>Airbags &amp; inflator systems</t>
  </si>
  <si>
    <t>Vehicle parts &amp; accessories other</t>
  </si>
  <si>
    <t>year_month</t>
  </si>
  <si>
    <t>year</t>
  </si>
  <si>
    <t>month</t>
  </si>
  <si>
    <t>tariff_period</t>
  </si>
  <si>
    <t>post_reciprocal</t>
  </si>
  <si>
    <t>post_232_autoparts</t>
  </si>
  <si>
    <t>Section 301 China</t>
  </si>
  <si>
    <t>Reciprocal + 232 Autos</t>
  </si>
  <si>
    <t>Reciprocal + 232 Auto Parts</t>
  </si>
  <si>
    <t>Full Reciprocal</t>
  </si>
  <si>
    <t>district</t>
  </si>
  <si>
    <t>General Customs Value</t>
  </si>
  <si>
    <t>General Import Charges</t>
  </si>
  <si>
    <t>Category</t>
  </si>
  <si>
    <t>Bloc</t>
  </si>
  <si>
    <t>Detroit, MI</t>
  </si>
  <si>
    <t>General_First_Unit_of_Quantity</t>
  </si>
  <si>
    <t>category_10</t>
  </si>
  <si>
    <t>category_5</t>
  </si>
  <si>
    <t>Propulsion</t>
  </si>
  <si>
    <t>Electronics &amp; Control</t>
  </si>
  <si>
    <t>Drivetrain &amp; Suspension</t>
  </si>
  <si>
    <t>Body &amp; Interior</t>
  </si>
  <si>
    <t>Wheels &amp; Tires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</si>
</sst>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1" xfId="0" applyFont="1" applyBorder="1"/>
    <xf numFmtId="0" fontId="1" fillId="0" borderId="0" xfId="1"/>
    <xf numFmtId="0" fontId="3" fillId="0" borderId="2" xfId="1" applyFont="1" applyBorder="1" applyAlignment="1">
      <alignment horizontal="center" vertical="top"/>
    </xf>
  </cellXfs>
  <cellStyles count="2">
    <cellStyle name="Normal" xfId="0" builtinId="0"/>
    <cellStyle name="Normal 2" xfId="1" xr:uid="{DC546598-9185-47D5-9C98-73124817EB82}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164" formatCode="m/d/yy"/>
    </dxf>
    <dxf>
      <numFmt numFmtId="164" formatCode="m/d/yy"/>
    </dxf>
    <dxf>
      <numFmt numFmtId="0" formatCode="General"/>
    </dxf>
    <dxf>
      <numFmt numFmtId="0" formatCode="General"/>
    </dxf>
    <dxf>
      <numFmt numFmtId="164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40ACCDD8-841A-C144-A19B-F092067415B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B1131D15-B9B9-3140-B46B-0EBAE0C9F93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1D5BBDD-4FB6-4A46-810A-0A76954CB657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hts_6" tableColumnId="1"/>
      <queryTableField id="2" name="hts_4" tableColumnId="2"/>
      <queryTableField id="3" name="description" tableColumnId="3"/>
      <queryTableField id="4" name="category" tableColumnId="4"/>
      <queryTableField id="5" dataBound="0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B712EBC-B4D5-C24D-AEA9-9E81E26690B9}" autoFormatId="16" applyNumberFormats="0" applyBorderFormats="0" applyFontFormats="0" applyPatternFormats="0" applyAlignmentFormats="0" applyWidthHeightFormats="0">
  <queryTableRefresh nextId="7">
    <queryTableFields count="6">
      <queryTableField id="1" name="year_month" tableColumnId="1"/>
      <queryTableField id="2" name="year" tableColumnId="2"/>
      <queryTableField id="3" name="month" tableColumnId="3"/>
      <queryTableField id="4" name="tariff_period" tableColumnId="4"/>
      <queryTableField id="5" name="post_reciprocal" tableColumnId="5"/>
      <queryTableField id="6" name="post_232_autoparts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53F764A-A5CF-414B-A8CE-2299D5A7DCA3}" autoFormatId="16" applyNumberFormats="0" applyBorderFormats="0" applyFontFormats="0" applyPatternFormats="0" applyAlignmentFormats="0" applyWidthHeightFormats="0">
  <queryTableRefresh nextId="14" unboundColumnsRight="2">
    <queryTableFields count="9">
      <queryTableField id="1" name="country_name" tableColumnId="1"/>
      <queryTableField id="2" name="year_month" tableColumnId="2"/>
      <queryTableField id="3" name="hts_6" tableColumnId="3"/>
      <queryTableField id="4" name="district" tableColumnId="4"/>
      <queryTableField id="5" name="General Customs Value" tableColumnId="5"/>
      <queryTableField id="6" name="General First Unit of Quantity" tableColumnId="6"/>
      <queryTableField id="7" name="General Import Charges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303ACE-AAFF-634B-B496-F0D4D90DE6A1}" name="METADATA" displayName="METADATA" ref="A1:B35" tableType="queryTable" totalsRowShown="0">
  <autoFilter ref="A1:B35" xr:uid="{69303ACE-AAFF-634B-B496-F0D4D90DE6A1}"/>
  <tableColumns count="2">
    <tableColumn id="1" xr3:uid="{27C92F45-410F-FB46-96FE-CEAB2D5AAA70}" uniqueName="1" name="Column1" queryTableFieldId="1" dataDxfId="13"/>
    <tableColumn id="2" xr3:uid="{687D1613-5097-4742-B0DF-2519BE95121F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A37DDA-C4D8-7D4F-B9A0-EBE357C8C90A}" name="DIM_COUNTRY" displayName="DIM_COUNTRY" ref="A1:C9" tableType="queryTable" totalsRowShown="0">
  <autoFilter ref="A1:C9" xr:uid="{75A37DDA-C4D8-7D4F-B9A0-EBE357C8C90A}"/>
  <tableColumns count="3">
    <tableColumn id="1" xr3:uid="{1CCCD825-ED70-A94D-9FC0-521A841B1CC8}" uniqueName="1" name="Column1" queryTableFieldId="1" dataDxfId="12"/>
    <tableColumn id="2" xr3:uid="{FCB169BE-8FB4-CD48-88B0-FE4CA1E0C151}" uniqueName="2" name="Column2" queryTableFieldId="2" dataDxfId="11"/>
    <tableColumn id="3" xr3:uid="{AE30B948-80BC-4841-A60B-ED9E57A3947F}" uniqueName="3" name="Column3" queryTableFieldId="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CE97E0-316E-EF43-92C6-78C81BFC8515}" name="DIM_PRODUCTS" displayName="DIM_PRODUCTS" ref="A1:E73" tableType="queryTable" totalsRowShown="0">
  <autoFilter ref="A1:E73" xr:uid="{9ACE97E0-316E-EF43-92C6-78C81BFC8515}"/>
  <tableColumns count="5">
    <tableColumn id="1" xr3:uid="{DB502732-43C1-2D43-96C9-BE8D793EDAA0}" uniqueName="1" name="hts_6" queryTableFieldId="1"/>
    <tableColumn id="2" xr3:uid="{785BFEDF-6278-7649-BDB9-8A6FDF1A4997}" uniqueName="2" name="hts_4" queryTableFieldId="2"/>
    <tableColumn id="3" xr3:uid="{FBCBF5E1-1050-F144-AF4C-EA57A36FD542}" uniqueName="3" name="description" queryTableFieldId="3" dataDxfId="9"/>
    <tableColumn id="4" xr3:uid="{FCC5DD61-A08A-094F-9C89-BCF91C2FCEAA}" uniqueName="4" name="category_10" queryTableFieldId="4" dataDxfId="8"/>
    <tableColumn id="5" xr3:uid="{077CECE8-08CF-45D9-9B92-6FF277756DBA}" uniqueName="5" name="category_5" queryTableFieldId="5" dataCellStyle="Normal 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C1166-31BF-4D43-AED8-D8F262AA05D1}" name="DIM_TIME" displayName="DIM_TIME" ref="A1:F35" tableType="queryTable" totalsRowShown="0">
  <autoFilter ref="A1:F35" xr:uid="{B7AC1166-31BF-4D43-AED8-D8F262AA05D1}"/>
  <tableColumns count="6">
    <tableColumn id="1" xr3:uid="{CFE432C4-0C96-B549-AD2E-6952647728EF}" uniqueName="1" name="year_month" queryTableFieldId="1" dataDxfId="7"/>
    <tableColumn id="2" xr3:uid="{79D34313-793F-EF4D-AAC0-3D1E6B3D70CD}" uniqueName="2" name="year" queryTableFieldId="2"/>
    <tableColumn id="3" xr3:uid="{6F500314-B69D-D645-B618-F95E8B6B8A26}" uniqueName="3" name="month" queryTableFieldId="3"/>
    <tableColumn id="4" xr3:uid="{3423EECB-5132-F74C-A0A3-6FAD6AEF94D4}" uniqueName="4" name="tariff_period" queryTableFieldId="4" dataDxfId="6"/>
    <tableColumn id="5" xr3:uid="{9996DEBA-085F-AC45-A77A-5FCA8DA0420E}" uniqueName="5" name="post_reciprocal" queryTableFieldId="5"/>
    <tableColumn id="6" xr3:uid="{BDBFF76F-5C7D-6049-8306-E4D91CABCC22}" uniqueName="6" name="post_232_autoparts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117255-2499-3C41-B9EB-62239FED43F1}" name="FACT_IMPORTS" displayName="FACT_IMPORTS" ref="A1:I14276" tableType="queryTable" totalsRowCount="1">
  <autoFilter ref="A1:I14275" xr:uid="{47117255-2499-3C41-B9EB-62239FED43F1}"/>
  <tableColumns count="9">
    <tableColumn id="1" xr3:uid="{0F1BD9B7-9B7A-9F49-A58C-C70DE665677E}" uniqueName="1" name="country_name" queryTableFieldId="1" dataDxfId="5"/>
    <tableColumn id="2" xr3:uid="{D202747A-B8B8-6E48-A2EE-FC88D8F80F4A}" uniqueName="2" name="year_month" queryTableFieldId="2" dataDxfId="4" totalsRowDxfId="3"/>
    <tableColumn id="3" xr3:uid="{C233473C-E1A4-014F-BEA8-B1F8F522A6BE}" uniqueName="3" name="hts_6" queryTableFieldId="3"/>
    <tableColumn id="4" xr3:uid="{C4996570-ACB3-704A-B13E-D403F6AF1EE2}" uniqueName="4" name="district" queryTableFieldId="4" dataDxfId="2"/>
    <tableColumn id="5" xr3:uid="{E11A2DF7-53A7-3040-8AE8-FA1D4596FB05}" uniqueName="5" name="General Customs Value" queryTableFieldId="5"/>
    <tableColumn id="6" xr3:uid="{410ADBAB-4FF3-064F-9EB8-01807F29871D}" uniqueName="6" name="General_First_Unit_of_Quantity" queryTableFieldId="6"/>
    <tableColumn id="7" xr3:uid="{4F0F74DE-1B50-F347-AC42-CAD6E1E16D79}" uniqueName="7" name="General Import Charges" queryTableFieldId="7"/>
    <tableColumn id="8" xr3:uid="{C5E54666-BD82-4640-B03E-5A04C2B00FB0}" uniqueName="8" name="Category" queryTableFieldId="8" dataDxfId="1">
      <calculatedColumnFormula>_xlfn.XLOOKUP(FACT_IMPORTS[[#This Row],[hts_6]],DIM_PRODUCTS[hts_6],DIM_PRODUCTS[hts_4],,,)</calculatedColumnFormula>
    </tableColumn>
    <tableColumn id="9" xr3:uid="{09FE0F0B-BF4D-B94F-87EC-3629DC9F318F}" uniqueName="9" name="Bloc" queryTableFieldId="9" dataDxfId="0">
      <calculatedColumnFormula array="1">_xlfn.XLOOKUP(FACT_IMPORTS[[#This Row],[country_name]],DIM_COUNTRY[[#All],[Column2]],DIM_COUNTRY[[#All],[Column3]],,,)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4CD9-529A-B84A-80C1-05DD1B5C9BD1}">
  <dimension ref="A1:B35"/>
  <sheetViews>
    <sheetView workbookViewId="0">
      <selection activeCell="B19" sqref="B19"/>
    </sheetView>
  </sheetViews>
  <sheetFormatPr defaultColWidth="11" defaultRowHeight="16" x14ac:dyDescent="0.4"/>
  <cols>
    <col min="1" max="1" width="37.5" bestFit="1" customWidth="1"/>
    <col min="2" max="2" width="80.582031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46046.556783587963</v>
      </c>
    </row>
    <row r="3" spans="1:2" x14ac:dyDescent="0.4">
      <c r="A3" t="s">
        <v>3</v>
      </c>
    </row>
    <row r="4" spans="1:2" x14ac:dyDescent="0.4">
      <c r="A4" t="s">
        <v>4</v>
      </c>
      <c r="B4" t="s">
        <v>5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</row>
    <row r="7" spans="1:2" x14ac:dyDescent="0.4">
      <c r="A7" t="s">
        <v>9</v>
      </c>
      <c r="B7" t="s">
        <v>10</v>
      </c>
    </row>
    <row r="8" spans="1:2" x14ac:dyDescent="0.4">
      <c r="A8" t="s">
        <v>11</v>
      </c>
      <c r="B8" t="s">
        <v>12</v>
      </c>
    </row>
    <row r="9" spans="1:2" x14ac:dyDescent="0.4">
      <c r="A9" t="s">
        <v>13</v>
      </c>
      <c r="B9" t="s">
        <v>14</v>
      </c>
    </row>
    <row r="10" spans="1:2" x14ac:dyDescent="0.4">
      <c r="A10" t="s">
        <v>15</v>
      </c>
      <c r="B10" t="s">
        <v>16</v>
      </c>
    </row>
    <row r="11" spans="1:2" x14ac:dyDescent="0.4">
      <c r="A11" t="s">
        <v>17</v>
      </c>
      <c r="B11" t="s">
        <v>18</v>
      </c>
    </row>
    <row r="12" spans="1:2" x14ac:dyDescent="0.4">
      <c r="A12" t="s">
        <v>19</v>
      </c>
      <c r="B12" t="s">
        <v>20</v>
      </c>
    </row>
    <row r="13" spans="1:2" x14ac:dyDescent="0.4">
      <c r="A13" t="s">
        <v>21</v>
      </c>
    </row>
    <row r="14" spans="1:2" x14ac:dyDescent="0.4">
      <c r="A14" t="s">
        <v>13</v>
      </c>
      <c r="B14" t="s">
        <v>22</v>
      </c>
    </row>
    <row r="15" spans="1:2" x14ac:dyDescent="0.4">
      <c r="A15" t="s">
        <v>23</v>
      </c>
      <c r="B15" t="s">
        <v>24</v>
      </c>
    </row>
    <row r="16" spans="1:2" x14ac:dyDescent="0.4">
      <c r="A16" t="s">
        <v>25</v>
      </c>
      <c r="B16" t="s">
        <v>26</v>
      </c>
    </row>
    <row r="17" spans="1:2" x14ac:dyDescent="0.4">
      <c r="A17" t="s">
        <v>27</v>
      </c>
    </row>
    <row r="18" spans="1:2" x14ac:dyDescent="0.4">
      <c r="A18" t="s">
        <v>13</v>
      </c>
      <c r="B18" t="s">
        <v>28</v>
      </c>
    </row>
    <row r="19" spans="1:2" x14ac:dyDescent="0.4">
      <c r="A19" t="s">
        <v>29</v>
      </c>
      <c r="B19" t="s">
        <v>30</v>
      </c>
    </row>
    <row r="20" spans="1:2" x14ac:dyDescent="0.4">
      <c r="A20" t="s">
        <v>31</v>
      </c>
      <c r="B20" t="s">
        <v>32</v>
      </c>
    </row>
    <row r="21" spans="1:2" x14ac:dyDescent="0.4">
      <c r="A21" t="s">
        <v>33</v>
      </c>
      <c r="B21" t="s">
        <v>34</v>
      </c>
    </row>
    <row r="22" spans="1:2" x14ac:dyDescent="0.4">
      <c r="A22" t="s">
        <v>35</v>
      </c>
      <c r="B22" t="s">
        <v>36</v>
      </c>
    </row>
    <row r="23" spans="1:2" x14ac:dyDescent="0.4">
      <c r="A23" t="s">
        <v>37</v>
      </c>
    </row>
    <row r="24" spans="1:2" x14ac:dyDescent="0.4">
      <c r="A24" t="s">
        <v>13</v>
      </c>
      <c r="B24" t="s">
        <v>38</v>
      </c>
    </row>
    <row r="25" spans="1:2" x14ac:dyDescent="0.4">
      <c r="A25" t="s">
        <v>39</v>
      </c>
      <c r="B25" t="s">
        <v>40</v>
      </c>
    </row>
    <row r="26" spans="1:2" x14ac:dyDescent="0.4">
      <c r="A26" t="s">
        <v>41</v>
      </c>
    </row>
    <row r="27" spans="1:2" x14ac:dyDescent="0.4">
      <c r="A27" t="s">
        <v>13</v>
      </c>
      <c r="B27" t="s">
        <v>42</v>
      </c>
    </row>
    <row r="28" spans="1:2" x14ac:dyDescent="0.4">
      <c r="A28" t="s">
        <v>43</v>
      </c>
      <c r="B28" t="s">
        <v>44</v>
      </c>
    </row>
    <row r="29" spans="1:2" x14ac:dyDescent="0.4">
      <c r="A29" t="s">
        <v>45</v>
      </c>
    </row>
    <row r="30" spans="1:2" x14ac:dyDescent="0.4">
      <c r="A30" t="s">
        <v>13</v>
      </c>
      <c r="B30" t="s">
        <v>46</v>
      </c>
    </row>
    <row r="31" spans="1:2" x14ac:dyDescent="0.4">
      <c r="A31" t="s">
        <v>47</v>
      </c>
      <c r="B31" t="s">
        <v>48</v>
      </c>
    </row>
    <row r="32" spans="1:2" x14ac:dyDescent="0.4">
      <c r="A32" t="s">
        <v>49</v>
      </c>
      <c r="B32" t="s">
        <v>50</v>
      </c>
    </row>
    <row r="33" spans="1:2" x14ac:dyDescent="0.4">
      <c r="A33" t="s">
        <v>51</v>
      </c>
    </row>
    <row r="34" spans="1:2" x14ac:dyDescent="0.4">
      <c r="A34" t="s">
        <v>52</v>
      </c>
      <c r="B34" t="s">
        <v>53</v>
      </c>
    </row>
    <row r="35" spans="1:2" x14ac:dyDescent="0.4">
      <c r="A35" t="s">
        <v>54</v>
      </c>
      <c r="B35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5B6D-1F66-FC49-821A-5370689152C5}">
  <dimension ref="A1:C9"/>
  <sheetViews>
    <sheetView workbookViewId="0"/>
  </sheetViews>
  <sheetFormatPr defaultColWidth="11" defaultRowHeight="16" x14ac:dyDescent="0.4"/>
  <cols>
    <col min="1" max="1" width="12.08203125" bestFit="1" customWidth="1"/>
    <col min="2" max="2" width="12.58203125" bestFit="1" customWidth="1"/>
    <col min="3" max="3" width="26.83203125" bestFit="1" customWidth="1"/>
  </cols>
  <sheetData>
    <row r="1" spans="1:3" x14ac:dyDescent="0.4">
      <c r="A1" t="s">
        <v>0</v>
      </c>
      <c r="B1" t="s">
        <v>1</v>
      </c>
      <c r="C1" t="s">
        <v>56</v>
      </c>
    </row>
    <row r="2" spans="1:3" x14ac:dyDescent="0.4">
      <c r="A2" t="s">
        <v>57</v>
      </c>
      <c r="B2" t="s">
        <v>58</v>
      </c>
      <c r="C2" t="s">
        <v>59</v>
      </c>
    </row>
    <row r="3" spans="1:3" x14ac:dyDescent="0.4">
      <c r="A3" t="s">
        <v>60</v>
      </c>
      <c r="B3" t="s">
        <v>61</v>
      </c>
      <c r="C3" t="s">
        <v>62</v>
      </c>
    </row>
    <row r="4" spans="1:3" x14ac:dyDescent="0.4">
      <c r="A4" t="s">
        <v>63</v>
      </c>
      <c r="B4" t="s">
        <v>64</v>
      </c>
      <c r="C4" t="s">
        <v>62</v>
      </c>
    </row>
    <row r="5" spans="1:3" x14ac:dyDescent="0.4">
      <c r="A5" t="s">
        <v>65</v>
      </c>
      <c r="B5" t="s">
        <v>66</v>
      </c>
      <c r="C5" t="s">
        <v>66</v>
      </c>
    </row>
    <row r="6" spans="1:3" x14ac:dyDescent="0.4">
      <c r="A6" t="s">
        <v>67</v>
      </c>
      <c r="B6" t="s">
        <v>68</v>
      </c>
      <c r="C6" t="s">
        <v>69</v>
      </c>
    </row>
    <row r="7" spans="1:3" x14ac:dyDescent="0.4">
      <c r="A7" t="s">
        <v>70</v>
      </c>
      <c r="B7" t="s">
        <v>71</v>
      </c>
      <c r="C7" t="s">
        <v>69</v>
      </c>
    </row>
    <row r="8" spans="1:3" x14ac:dyDescent="0.4">
      <c r="A8" t="s">
        <v>72</v>
      </c>
      <c r="B8" t="s">
        <v>73</v>
      </c>
      <c r="C8" t="s">
        <v>69</v>
      </c>
    </row>
    <row r="9" spans="1:3" x14ac:dyDescent="0.4">
      <c r="A9" t="s">
        <v>74</v>
      </c>
      <c r="B9" t="s">
        <v>75</v>
      </c>
      <c r="C9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F26C-1092-AA44-8BC6-34B395F13948}">
  <dimension ref="A1:E73"/>
  <sheetViews>
    <sheetView workbookViewId="0">
      <selection activeCell="A2" sqref="A2"/>
    </sheetView>
  </sheetViews>
  <sheetFormatPr defaultColWidth="11" defaultRowHeight="16" x14ac:dyDescent="0.4"/>
  <cols>
    <col min="1" max="2" width="8.08203125" bestFit="1" customWidth="1"/>
    <col min="3" max="3" width="34.08203125" bestFit="1" customWidth="1"/>
    <col min="4" max="4" width="16.58203125" bestFit="1" customWidth="1"/>
    <col min="5" max="5" width="22.75" customWidth="1"/>
  </cols>
  <sheetData>
    <row r="1" spans="1:5" x14ac:dyDescent="0.4">
      <c r="A1" s="5" t="s">
        <v>76</v>
      </c>
      <c r="B1" s="5" t="s">
        <v>77</v>
      </c>
      <c r="C1" s="5" t="s">
        <v>78</v>
      </c>
      <c r="D1" s="5" t="s">
        <v>178</v>
      </c>
      <c r="E1" s="5" t="s">
        <v>179</v>
      </c>
    </row>
    <row r="2" spans="1:5" x14ac:dyDescent="0.4">
      <c r="A2" s="4">
        <v>840820</v>
      </c>
      <c r="B2" s="4">
        <v>8408</v>
      </c>
      <c r="C2" s="4" t="s">
        <v>79</v>
      </c>
      <c r="D2" s="4" t="s">
        <v>80</v>
      </c>
      <c r="E2" s="4" t="s">
        <v>180</v>
      </c>
    </row>
    <row r="3" spans="1:5" x14ac:dyDescent="0.4">
      <c r="A3" s="4">
        <v>840890</v>
      </c>
      <c r="B3" s="4">
        <v>8408</v>
      </c>
      <c r="C3" s="4" t="s">
        <v>81</v>
      </c>
      <c r="D3" s="4" t="s">
        <v>80</v>
      </c>
      <c r="E3" s="4" t="s">
        <v>180</v>
      </c>
    </row>
    <row r="4" spans="1:5" x14ac:dyDescent="0.4">
      <c r="A4" s="4">
        <v>840731</v>
      </c>
      <c r="B4" s="4">
        <v>8407</v>
      </c>
      <c r="C4" s="4" t="s">
        <v>82</v>
      </c>
      <c r="D4" s="4" t="s">
        <v>80</v>
      </c>
      <c r="E4" s="4" t="s">
        <v>180</v>
      </c>
    </row>
    <row r="5" spans="1:5" x14ac:dyDescent="0.4">
      <c r="A5" s="4">
        <v>840732</v>
      </c>
      <c r="B5" s="4">
        <v>8407</v>
      </c>
      <c r="C5" s="4" t="s">
        <v>83</v>
      </c>
      <c r="D5" s="4" t="s">
        <v>80</v>
      </c>
      <c r="E5" s="4" t="s">
        <v>180</v>
      </c>
    </row>
    <row r="6" spans="1:5" x14ac:dyDescent="0.4">
      <c r="A6" s="4">
        <v>840733</v>
      </c>
      <c r="B6" s="4">
        <v>8407</v>
      </c>
      <c r="C6" s="4" t="s">
        <v>84</v>
      </c>
      <c r="D6" s="4" t="s">
        <v>80</v>
      </c>
      <c r="E6" s="4" t="s">
        <v>180</v>
      </c>
    </row>
    <row r="7" spans="1:5" x14ac:dyDescent="0.4">
      <c r="A7" s="4">
        <v>840734</v>
      </c>
      <c r="B7" s="4">
        <v>8407</v>
      </c>
      <c r="C7" s="4" t="s">
        <v>85</v>
      </c>
      <c r="D7" s="4" t="s">
        <v>80</v>
      </c>
      <c r="E7" s="4" t="s">
        <v>180</v>
      </c>
    </row>
    <row r="8" spans="1:5" x14ac:dyDescent="0.4">
      <c r="A8" s="4">
        <v>840790</v>
      </c>
      <c r="B8" s="4">
        <v>8407</v>
      </c>
      <c r="C8" s="4" t="s">
        <v>86</v>
      </c>
      <c r="D8" s="4" t="s">
        <v>80</v>
      </c>
      <c r="E8" s="4" t="s">
        <v>180</v>
      </c>
    </row>
    <row r="9" spans="1:5" x14ac:dyDescent="0.4">
      <c r="A9" s="4">
        <v>840991</v>
      </c>
      <c r="B9" s="4">
        <v>8409</v>
      </c>
      <c r="C9" s="4" t="s">
        <v>87</v>
      </c>
      <c r="D9" s="4" t="s">
        <v>80</v>
      </c>
      <c r="E9" s="4" t="s">
        <v>180</v>
      </c>
    </row>
    <row r="10" spans="1:5" x14ac:dyDescent="0.4">
      <c r="A10" s="4">
        <v>840999</v>
      </c>
      <c r="B10" s="4">
        <v>8409</v>
      </c>
      <c r="C10" s="4" t="s">
        <v>88</v>
      </c>
      <c r="D10" s="4" t="s">
        <v>80</v>
      </c>
      <c r="E10" s="4" t="s">
        <v>180</v>
      </c>
    </row>
    <row r="11" spans="1:5" x14ac:dyDescent="0.4">
      <c r="A11" s="4">
        <v>841330</v>
      </c>
      <c r="B11" s="4">
        <v>8413</v>
      </c>
      <c r="C11" s="4" t="s">
        <v>89</v>
      </c>
      <c r="D11" s="4" t="s">
        <v>80</v>
      </c>
      <c r="E11" s="4" t="s">
        <v>180</v>
      </c>
    </row>
    <row r="12" spans="1:5" x14ac:dyDescent="0.4">
      <c r="A12" s="4">
        <v>850131</v>
      </c>
      <c r="B12" s="4">
        <v>8501</v>
      </c>
      <c r="C12" s="4" t="s">
        <v>90</v>
      </c>
      <c r="D12" s="4" t="s">
        <v>91</v>
      </c>
      <c r="E12" s="4" t="s">
        <v>180</v>
      </c>
    </row>
    <row r="13" spans="1:5" x14ac:dyDescent="0.4">
      <c r="A13" s="4">
        <v>850132</v>
      </c>
      <c r="B13" s="4">
        <v>8501</v>
      </c>
      <c r="C13" s="4" t="s">
        <v>92</v>
      </c>
      <c r="D13" s="4" t="s">
        <v>91</v>
      </c>
      <c r="E13" s="4" t="s">
        <v>180</v>
      </c>
    </row>
    <row r="14" spans="1:5" x14ac:dyDescent="0.4">
      <c r="A14" s="4">
        <v>850133</v>
      </c>
      <c r="B14" s="4">
        <v>8501</v>
      </c>
      <c r="C14" s="4" t="s">
        <v>93</v>
      </c>
      <c r="D14" s="4" t="s">
        <v>91</v>
      </c>
      <c r="E14" s="4" t="s">
        <v>180</v>
      </c>
    </row>
    <row r="15" spans="1:5" x14ac:dyDescent="0.4">
      <c r="A15" s="4">
        <v>850134</v>
      </c>
      <c r="B15" s="4">
        <v>8501</v>
      </c>
      <c r="C15" s="4" t="s">
        <v>94</v>
      </c>
      <c r="D15" s="4" t="s">
        <v>91</v>
      </c>
      <c r="E15" s="4" t="s">
        <v>180</v>
      </c>
    </row>
    <row r="16" spans="1:5" x14ac:dyDescent="0.4">
      <c r="A16" s="4">
        <v>850152</v>
      </c>
      <c r="B16" s="4">
        <v>8501</v>
      </c>
      <c r="C16" s="4" t="s">
        <v>95</v>
      </c>
      <c r="D16" s="4" t="s">
        <v>91</v>
      </c>
      <c r="E16" s="4" t="s">
        <v>180</v>
      </c>
    </row>
    <row r="17" spans="1:5" x14ac:dyDescent="0.4">
      <c r="A17" s="4">
        <v>850153</v>
      </c>
      <c r="B17" s="4">
        <v>8501</v>
      </c>
      <c r="C17" s="4" t="s">
        <v>96</v>
      </c>
      <c r="D17" s="4" t="s">
        <v>91</v>
      </c>
      <c r="E17" s="4" t="s">
        <v>180</v>
      </c>
    </row>
    <row r="18" spans="1:5" x14ac:dyDescent="0.4">
      <c r="A18" s="4">
        <v>850161</v>
      </c>
      <c r="B18" s="4">
        <v>8501</v>
      </c>
      <c r="C18" s="4" t="s">
        <v>97</v>
      </c>
      <c r="D18" s="4" t="s">
        <v>91</v>
      </c>
      <c r="E18" s="4" t="s">
        <v>180</v>
      </c>
    </row>
    <row r="19" spans="1:5" x14ac:dyDescent="0.4">
      <c r="A19" s="4">
        <v>850440</v>
      </c>
      <c r="B19" s="4">
        <v>8504</v>
      </c>
      <c r="C19" s="4" t="s">
        <v>98</v>
      </c>
      <c r="D19" s="4" t="s">
        <v>91</v>
      </c>
      <c r="E19" s="4" t="s">
        <v>180</v>
      </c>
    </row>
    <row r="20" spans="1:5" x14ac:dyDescent="0.4">
      <c r="A20" s="4">
        <v>850710</v>
      </c>
      <c r="B20" s="4">
        <v>8507</v>
      </c>
      <c r="C20" s="4" t="s">
        <v>99</v>
      </c>
      <c r="D20" s="4" t="s">
        <v>91</v>
      </c>
      <c r="E20" s="4" t="s">
        <v>180</v>
      </c>
    </row>
    <row r="21" spans="1:5" x14ac:dyDescent="0.4">
      <c r="A21" s="4">
        <v>850760</v>
      </c>
      <c r="B21" s="4">
        <v>8507</v>
      </c>
      <c r="C21" s="4" t="s">
        <v>100</v>
      </c>
      <c r="D21" s="4" t="s">
        <v>91</v>
      </c>
      <c r="E21" s="4" t="s">
        <v>180</v>
      </c>
    </row>
    <row r="22" spans="1:5" x14ac:dyDescent="0.4">
      <c r="A22" s="4">
        <v>850790</v>
      </c>
      <c r="B22" s="4">
        <v>8507</v>
      </c>
      <c r="C22" s="4" t="s">
        <v>101</v>
      </c>
      <c r="D22" s="4" t="s">
        <v>91</v>
      </c>
      <c r="E22" s="4" t="s">
        <v>180</v>
      </c>
    </row>
    <row r="23" spans="1:5" x14ac:dyDescent="0.4">
      <c r="A23" s="4">
        <v>854231</v>
      </c>
      <c r="B23" s="4">
        <v>8542</v>
      </c>
      <c r="C23" s="4" t="s">
        <v>102</v>
      </c>
      <c r="D23" s="4" t="s">
        <v>103</v>
      </c>
      <c r="E23" s="4" t="s">
        <v>181</v>
      </c>
    </row>
    <row r="24" spans="1:5" x14ac:dyDescent="0.4">
      <c r="A24" s="4">
        <v>854232</v>
      </c>
      <c r="B24" s="4">
        <v>8542</v>
      </c>
      <c r="C24" s="4" t="s">
        <v>104</v>
      </c>
      <c r="D24" s="4" t="s">
        <v>103</v>
      </c>
      <c r="E24" s="4" t="s">
        <v>181</v>
      </c>
    </row>
    <row r="25" spans="1:5" x14ac:dyDescent="0.4">
      <c r="A25" s="4">
        <v>854233</v>
      </c>
      <c r="B25" s="4">
        <v>8542</v>
      </c>
      <c r="C25" s="4" t="s">
        <v>105</v>
      </c>
      <c r="D25" s="4" t="s">
        <v>103</v>
      </c>
      <c r="E25" s="4" t="s">
        <v>181</v>
      </c>
    </row>
    <row r="26" spans="1:5" x14ac:dyDescent="0.4">
      <c r="A26" s="4">
        <v>854239</v>
      </c>
      <c r="B26" s="4">
        <v>8542</v>
      </c>
      <c r="C26" s="4" t="s">
        <v>106</v>
      </c>
      <c r="D26" s="4" t="s">
        <v>103</v>
      </c>
      <c r="E26" s="4" t="s">
        <v>181</v>
      </c>
    </row>
    <row r="27" spans="1:5" x14ac:dyDescent="0.4">
      <c r="A27" s="4">
        <v>854290</v>
      </c>
      <c r="B27" s="4">
        <v>8542</v>
      </c>
      <c r="C27" s="4" t="s">
        <v>107</v>
      </c>
      <c r="D27" s="4" t="s">
        <v>103</v>
      </c>
      <c r="E27" s="4" t="s">
        <v>181</v>
      </c>
    </row>
    <row r="28" spans="1:5" x14ac:dyDescent="0.4">
      <c r="A28" s="4">
        <v>870850</v>
      </c>
      <c r="B28" s="4">
        <v>8708</v>
      </c>
      <c r="C28" s="4" t="s">
        <v>108</v>
      </c>
      <c r="D28" s="4" t="s">
        <v>109</v>
      </c>
      <c r="E28" s="4" t="s">
        <v>182</v>
      </c>
    </row>
    <row r="29" spans="1:5" x14ac:dyDescent="0.4">
      <c r="A29" s="4">
        <v>870840</v>
      </c>
      <c r="B29" s="4">
        <v>8708</v>
      </c>
      <c r="C29" s="4" t="s">
        <v>110</v>
      </c>
      <c r="D29" s="4" t="s">
        <v>109</v>
      </c>
      <c r="E29" s="4" t="s">
        <v>182</v>
      </c>
    </row>
    <row r="30" spans="1:5" x14ac:dyDescent="0.4">
      <c r="A30" s="4">
        <v>870893</v>
      </c>
      <c r="B30" s="4">
        <v>8708</v>
      </c>
      <c r="C30" s="4" t="s">
        <v>111</v>
      </c>
      <c r="D30" s="4" t="s">
        <v>109</v>
      </c>
      <c r="E30" s="4" t="s">
        <v>182</v>
      </c>
    </row>
    <row r="31" spans="1:5" x14ac:dyDescent="0.4">
      <c r="A31" s="4">
        <v>848210</v>
      </c>
      <c r="B31" s="4">
        <v>8482</v>
      </c>
      <c r="C31" s="4" t="s">
        <v>112</v>
      </c>
      <c r="D31" s="4" t="s">
        <v>109</v>
      </c>
      <c r="E31" s="4" t="s">
        <v>182</v>
      </c>
    </row>
    <row r="32" spans="1:5" x14ac:dyDescent="0.4">
      <c r="A32" s="4">
        <v>848220</v>
      </c>
      <c r="B32" s="4">
        <v>8482</v>
      </c>
      <c r="C32" s="4" t="s">
        <v>113</v>
      </c>
      <c r="D32" s="4" t="s">
        <v>109</v>
      </c>
      <c r="E32" s="4" t="s">
        <v>182</v>
      </c>
    </row>
    <row r="33" spans="1:5" x14ac:dyDescent="0.4">
      <c r="A33" s="4">
        <v>848310</v>
      </c>
      <c r="B33" s="4">
        <v>8483</v>
      </c>
      <c r="C33" s="4" t="s">
        <v>114</v>
      </c>
      <c r="D33" s="4" t="s">
        <v>109</v>
      </c>
      <c r="E33" s="4" t="s">
        <v>182</v>
      </c>
    </row>
    <row r="34" spans="1:5" x14ac:dyDescent="0.4">
      <c r="A34" s="4">
        <v>870830</v>
      </c>
      <c r="B34" s="4">
        <v>8708</v>
      </c>
      <c r="C34" s="4" t="s">
        <v>115</v>
      </c>
      <c r="D34" s="4" t="s">
        <v>116</v>
      </c>
      <c r="E34" s="4" t="s">
        <v>182</v>
      </c>
    </row>
    <row r="35" spans="1:5" x14ac:dyDescent="0.4">
      <c r="A35" s="4">
        <v>870880</v>
      </c>
      <c r="B35" s="4">
        <v>8708</v>
      </c>
      <c r="C35" s="4" t="s">
        <v>117</v>
      </c>
      <c r="D35" s="4" t="s">
        <v>116</v>
      </c>
      <c r="E35" s="4" t="s">
        <v>182</v>
      </c>
    </row>
    <row r="36" spans="1:5" x14ac:dyDescent="0.4">
      <c r="A36" s="4">
        <v>732010</v>
      </c>
      <c r="B36" s="4">
        <v>7320</v>
      </c>
      <c r="C36" s="4" t="s">
        <v>118</v>
      </c>
      <c r="D36" s="4" t="s">
        <v>116</v>
      </c>
      <c r="E36" s="4" t="s">
        <v>182</v>
      </c>
    </row>
    <row r="37" spans="1:5" x14ac:dyDescent="0.4">
      <c r="A37" s="4">
        <v>870894</v>
      </c>
      <c r="B37" s="4">
        <v>8708</v>
      </c>
      <c r="C37" s="4" t="s">
        <v>119</v>
      </c>
      <c r="D37" s="4" t="s">
        <v>116</v>
      </c>
      <c r="E37" s="4" t="s">
        <v>182</v>
      </c>
    </row>
    <row r="38" spans="1:5" x14ac:dyDescent="0.4">
      <c r="A38" s="4">
        <v>870600</v>
      </c>
      <c r="B38" s="4">
        <v>8706</v>
      </c>
      <c r="C38" s="4" t="s">
        <v>120</v>
      </c>
      <c r="D38" s="4" t="s">
        <v>121</v>
      </c>
      <c r="E38" s="4" t="s">
        <v>183</v>
      </c>
    </row>
    <row r="39" spans="1:5" x14ac:dyDescent="0.4">
      <c r="A39" s="4">
        <v>870710</v>
      </c>
      <c r="B39" s="4">
        <v>8707</v>
      </c>
      <c r="C39" s="4" t="s">
        <v>122</v>
      </c>
      <c r="D39" s="4" t="s">
        <v>121</v>
      </c>
      <c r="E39" s="4" t="s">
        <v>183</v>
      </c>
    </row>
    <row r="40" spans="1:5" x14ac:dyDescent="0.4">
      <c r="A40" s="4">
        <v>870790</v>
      </c>
      <c r="B40" s="4">
        <v>8707</v>
      </c>
      <c r="C40" s="4" t="s">
        <v>123</v>
      </c>
      <c r="D40" s="4" t="s">
        <v>121</v>
      </c>
      <c r="E40" s="4" t="s">
        <v>183</v>
      </c>
    </row>
    <row r="41" spans="1:5" x14ac:dyDescent="0.4">
      <c r="A41" s="4">
        <v>870810</v>
      </c>
      <c r="B41" s="4">
        <v>8708</v>
      </c>
      <c r="C41" s="4" t="s">
        <v>124</v>
      </c>
      <c r="D41" s="4" t="s">
        <v>121</v>
      </c>
      <c r="E41" s="4" t="s">
        <v>183</v>
      </c>
    </row>
    <row r="42" spans="1:5" x14ac:dyDescent="0.4">
      <c r="A42" s="4">
        <v>870821</v>
      </c>
      <c r="B42" s="4">
        <v>8708</v>
      </c>
      <c r="C42" s="4" t="s">
        <v>125</v>
      </c>
      <c r="D42" s="4" t="s">
        <v>121</v>
      </c>
      <c r="E42" s="4" t="s">
        <v>183</v>
      </c>
    </row>
    <row r="43" spans="1:5" x14ac:dyDescent="0.4">
      <c r="A43" s="4">
        <v>870822</v>
      </c>
      <c r="B43" s="4">
        <v>8708</v>
      </c>
      <c r="C43" s="4" t="s">
        <v>126</v>
      </c>
      <c r="D43" s="4" t="s">
        <v>121</v>
      </c>
      <c r="E43" s="4" t="s">
        <v>183</v>
      </c>
    </row>
    <row r="44" spans="1:5" x14ac:dyDescent="0.4">
      <c r="A44" s="4">
        <v>870829</v>
      </c>
      <c r="B44" s="4">
        <v>8708</v>
      </c>
      <c r="C44" s="4" t="s">
        <v>127</v>
      </c>
      <c r="D44" s="4" t="s">
        <v>121</v>
      </c>
      <c r="E44" s="4" t="s">
        <v>183</v>
      </c>
    </row>
    <row r="45" spans="1:5" x14ac:dyDescent="0.4">
      <c r="A45" s="4">
        <v>700711</v>
      </c>
      <c r="B45" s="4">
        <v>7007</v>
      </c>
      <c r="C45" s="4" t="s">
        <v>128</v>
      </c>
      <c r="D45" s="4" t="s">
        <v>121</v>
      </c>
      <c r="E45" s="4" t="s">
        <v>183</v>
      </c>
    </row>
    <row r="46" spans="1:5" x14ac:dyDescent="0.4">
      <c r="A46" s="4">
        <v>700721</v>
      </c>
      <c r="B46" s="4">
        <v>7007</v>
      </c>
      <c r="C46" s="4" t="s">
        <v>129</v>
      </c>
      <c r="D46" s="4" t="s">
        <v>121</v>
      </c>
      <c r="E46" s="4" t="s">
        <v>183</v>
      </c>
    </row>
    <row r="47" spans="1:5" x14ac:dyDescent="0.4">
      <c r="A47" s="4">
        <v>700910</v>
      </c>
      <c r="B47" s="4">
        <v>7009</v>
      </c>
      <c r="C47" s="4" t="s">
        <v>130</v>
      </c>
      <c r="D47" s="4" t="s">
        <v>121</v>
      </c>
      <c r="E47" s="4" t="s">
        <v>183</v>
      </c>
    </row>
    <row r="48" spans="1:5" x14ac:dyDescent="0.4">
      <c r="A48" s="4">
        <v>940120</v>
      </c>
      <c r="B48" s="4">
        <v>9401</v>
      </c>
      <c r="C48" s="4" t="s">
        <v>131</v>
      </c>
      <c r="D48" s="4" t="s">
        <v>121</v>
      </c>
      <c r="E48" s="4" t="s">
        <v>183</v>
      </c>
    </row>
    <row r="49" spans="1:5" x14ac:dyDescent="0.4">
      <c r="A49" s="4">
        <v>830230</v>
      </c>
      <c r="B49" s="4">
        <v>8302</v>
      </c>
      <c r="C49" s="4" t="s">
        <v>132</v>
      </c>
      <c r="D49" s="4" t="s">
        <v>121</v>
      </c>
      <c r="E49" s="4" t="s">
        <v>183</v>
      </c>
    </row>
    <row r="50" spans="1:5" x14ac:dyDescent="0.4">
      <c r="A50" s="4">
        <v>392630</v>
      </c>
      <c r="B50" s="4">
        <v>3926</v>
      </c>
      <c r="C50" s="4" t="s">
        <v>133</v>
      </c>
      <c r="D50" s="4" t="s">
        <v>121</v>
      </c>
      <c r="E50" s="4" t="s">
        <v>183</v>
      </c>
    </row>
    <row r="51" spans="1:5" x14ac:dyDescent="0.4">
      <c r="A51" s="4">
        <v>401110</v>
      </c>
      <c r="B51" s="4">
        <v>4011</v>
      </c>
      <c r="C51" s="4" t="s">
        <v>134</v>
      </c>
      <c r="D51" s="4" t="s">
        <v>135</v>
      </c>
      <c r="E51" s="4" t="s">
        <v>184</v>
      </c>
    </row>
    <row r="52" spans="1:5" x14ac:dyDescent="0.4">
      <c r="A52" s="4">
        <v>401120</v>
      </c>
      <c r="B52" s="4">
        <v>4011</v>
      </c>
      <c r="C52" s="4" t="s">
        <v>136</v>
      </c>
      <c r="D52" s="4" t="s">
        <v>135</v>
      </c>
      <c r="E52" s="4" t="s">
        <v>184</v>
      </c>
    </row>
    <row r="53" spans="1:5" x14ac:dyDescent="0.4">
      <c r="A53" s="4">
        <v>401140</v>
      </c>
      <c r="B53" s="4">
        <v>4011</v>
      </c>
      <c r="C53" s="4" t="s">
        <v>137</v>
      </c>
      <c r="D53" s="4" t="s">
        <v>135</v>
      </c>
      <c r="E53" s="4" t="s">
        <v>184</v>
      </c>
    </row>
    <row r="54" spans="1:5" x14ac:dyDescent="0.4">
      <c r="A54" s="4">
        <v>401190</v>
      </c>
      <c r="B54" s="4">
        <v>4011</v>
      </c>
      <c r="C54" s="4" t="s">
        <v>138</v>
      </c>
      <c r="D54" s="4" t="s">
        <v>135</v>
      </c>
      <c r="E54" s="4" t="s">
        <v>184</v>
      </c>
    </row>
    <row r="55" spans="1:5" x14ac:dyDescent="0.4">
      <c r="A55" s="4">
        <v>870870</v>
      </c>
      <c r="B55" s="4">
        <v>8708</v>
      </c>
      <c r="C55" s="4" t="s">
        <v>139</v>
      </c>
      <c r="D55" s="4" t="s">
        <v>135</v>
      </c>
      <c r="E55" s="4" t="s">
        <v>184</v>
      </c>
    </row>
    <row r="56" spans="1:5" x14ac:dyDescent="0.4">
      <c r="A56" s="4">
        <v>851110</v>
      </c>
      <c r="B56" s="4">
        <v>8511</v>
      </c>
      <c r="C56" s="4" t="s">
        <v>140</v>
      </c>
      <c r="D56" s="4" t="s">
        <v>141</v>
      </c>
      <c r="E56" s="4" t="s">
        <v>181</v>
      </c>
    </row>
    <row r="57" spans="1:5" x14ac:dyDescent="0.4">
      <c r="A57" s="4">
        <v>851120</v>
      </c>
      <c r="B57" s="4">
        <v>8511</v>
      </c>
      <c r="C57" s="4" t="s">
        <v>142</v>
      </c>
      <c r="D57" s="4" t="s">
        <v>141</v>
      </c>
      <c r="E57" s="4" t="s">
        <v>181</v>
      </c>
    </row>
    <row r="58" spans="1:5" x14ac:dyDescent="0.4">
      <c r="A58" s="4">
        <v>851130</v>
      </c>
      <c r="B58" s="4">
        <v>8511</v>
      </c>
      <c r="C58" s="4" t="s">
        <v>143</v>
      </c>
      <c r="D58" s="4" t="s">
        <v>141</v>
      </c>
      <c r="E58" s="4" t="s">
        <v>181</v>
      </c>
    </row>
    <row r="59" spans="1:5" x14ac:dyDescent="0.4">
      <c r="A59" s="4">
        <v>851140</v>
      </c>
      <c r="B59" s="4">
        <v>8511</v>
      </c>
      <c r="C59" s="4" t="s">
        <v>144</v>
      </c>
      <c r="D59" s="4" t="s">
        <v>141</v>
      </c>
      <c r="E59" s="4" t="s">
        <v>181</v>
      </c>
    </row>
    <row r="60" spans="1:5" x14ac:dyDescent="0.4">
      <c r="A60" s="4">
        <v>851150</v>
      </c>
      <c r="B60" s="4">
        <v>8511</v>
      </c>
      <c r="C60" s="4" t="s">
        <v>145</v>
      </c>
      <c r="D60" s="4" t="s">
        <v>141</v>
      </c>
      <c r="E60" s="4" t="s">
        <v>181</v>
      </c>
    </row>
    <row r="61" spans="1:5" x14ac:dyDescent="0.4">
      <c r="A61" s="4">
        <v>851180</v>
      </c>
      <c r="B61" s="4">
        <v>8511</v>
      </c>
      <c r="C61" s="4" t="s">
        <v>146</v>
      </c>
      <c r="D61" s="4" t="s">
        <v>141</v>
      </c>
      <c r="E61" s="4" t="s">
        <v>181</v>
      </c>
    </row>
    <row r="62" spans="1:5" x14ac:dyDescent="0.4">
      <c r="A62" s="4">
        <v>851190</v>
      </c>
      <c r="B62" s="4">
        <v>8511</v>
      </c>
      <c r="C62" s="4" t="s">
        <v>147</v>
      </c>
      <c r="D62" s="4" t="s">
        <v>141</v>
      </c>
      <c r="E62" s="4" t="s">
        <v>181</v>
      </c>
    </row>
    <row r="63" spans="1:5" x14ac:dyDescent="0.4">
      <c r="A63" s="4">
        <v>851220</v>
      </c>
      <c r="B63" s="4">
        <v>8512</v>
      </c>
      <c r="C63" s="4" t="s">
        <v>148</v>
      </c>
      <c r="D63" s="4" t="s">
        <v>149</v>
      </c>
      <c r="E63" s="4" t="s">
        <v>181</v>
      </c>
    </row>
    <row r="64" spans="1:5" x14ac:dyDescent="0.4">
      <c r="A64" s="4">
        <v>851230</v>
      </c>
      <c r="B64" s="4">
        <v>8512</v>
      </c>
      <c r="C64" s="4" t="s">
        <v>150</v>
      </c>
      <c r="D64" s="4" t="s">
        <v>149</v>
      </c>
      <c r="E64" s="4" t="s">
        <v>181</v>
      </c>
    </row>
    <row r="65" spans="1:5" x14ac:dyDescent="0.4">
      <c r="A65" s="4">
        <v>851240</v>
      </c>
      <c r="B65" s="4">
        <v>8512</v>
      </c>
      <c r="C65" s="4" t="s">
        <v>151</v>
      </c>
      <c r="D65" s="4" t="s">
        <v>149</v>
      </c>
      <c r="E65" s="4" t="s">
        <v>181</v>
      </c>
    </row>
    <row r="66" spans="1:5" x14ac:dyDescent="0.4">
      <c r="A66" s="4">
        <v>851290</v>
      </c>
      <c r="B66" s="4">
        <v>8512</v>
      </c>
      <c r="C66" s="4" t="s">
        <v>152</v>
      </c>
      <c r="D66" s="4" t="s">
        <v>149</v>
      </c>
      <c r="E66" s="4" t="s">
        <v>181</v>
      </c>
    </row>
    <row r="67" spans="1:5" x14ac:dyDescent="0.4">
      <c r="A67" s="4">
        <v>854430</v>
      </c>
      <c r="B67" s="4">
        <v>8544</v>
      </c>
      <c r="C67" s="4" t="s">
        <v>153</v>
      </c>
      <c r="D67" s="4" t="s">
        <v>149</v>
      </c>
      <c r="E67" s="4" t="s">
        <v>181</v>
      </c>
    </row>
    <row r="68" spans="1:5" x14ac:dyDescent="0.4">
      <c r="A68" s="4">
        <v>870891</v>
      </c>
      <c r="B68" s="4">
        <v>8708</v>
      </c>
      <c r="C68" s="4" t="s">
        <v>154</v>
      </c>
      <c r="D68" s="4" t="s">
        <v>155</v>
      </c>
      <c r="E68" s="4" t="s">
        <v>180</v>
      </c>
    </row>
    <row r="69" spans="1:5" x14ac:dyDescent="0.4">
      <c r="A69" s="4">
        <v>870892</v>
      </c>
      <c r="B69" s="4">
        <v>8708</v>
      </c>
      <c r="C69" s="4" t="s">
        <v>156</v>
      </c>
      <c r="D69" s="4" t="s">
        <v>155</v>
      </c>
      <c r="E69" s="4" t="s">
        <v>180</v>
      </c>
    </row>
    <row r="70" spans="1:5" x14ac:dyDescent="0.4">
      <c r="A70" s="4">
        <v>841520</v>
      </c>
      <c r="B70" s="4">
        <v>8415</v>
      </c>
      <c r="C70" s="4" t="s">
        <v>157</v>
      </c>
      <c r="D70" s="4" t="s">
        <v>155</v>
      </c>
      <c r="E70" s="4" t="s">
        <v>180</v>
      </c>
    </row>
    <row r="71" spans="1:5" x14ac:dyDescent="0.4">
      <c r="A71" s="4">
        <v>842132</v>
      </c>
      <c r="B71" s="4">
        <v>8421</v>
      </c>
      <c r="C71" s="4" t="s">
        <v>158</v>
      </c>
      <c r="D71" s="4" t="s">
        <v>155</v>
      </c>
      <c r="E71" s="4" t="s">
        <v>180</v>
      </c>
    </row>
    <row r="72" spans="1:5" x14ac:dyDescent="0.4">
      <c r="A72" s="4">
        <v>870895</v>
      </c>
      <c r="B72" s="4">
        <v>8708</v>
      </c>
      <c r="C72" s="4" t="s">
        <v>159</v>
      </c>
      <c r="D72" s="4" t="s">
        <v>121</v>
      </c>
      <c r="E72" s="4" t="s">
        <v>183</v>
      </c>
    </row>
    <row r="73" spans="1:5" x14ac:dyDescent="0.4">
      <c r="A73" s="4">
        <v>870899</v>
      </c>
      <c r="B73" s="4">
        <v>8708</v>
      </c>
      <c r="C73" s="4" t="s">
        <v>160</v>
      </c>
      <c r="D73" s="4" t="s">
        <v>121</v>
      </c>
      <c r="E73" s="4" t="s">
        <v>183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0B77-7EBF-0B42-83D6-1EA7B7879AAF}">
  <dimension ref="A1:F35"/>
  <sheetViews>
    <sheetView workbookViewId="0"/>
  </sheetViews>
  <sheetFormatPr defaultColWidth="11" defaultRowHeight="16" x14ac:dyDescent="0.4"/>
  <cols>
    <col min="1" max="1" width="13.33203125" bestFit="1" customWidth="1"/>
    <col min="2" max="2" width="7.08203125" bestFit="1" customWidth="1"/>
    <col min="3" max="3" width="9" bestFit="1" customWidth="1"/>
    <col min="4" max="4" width="23.5" bestFit="1" customWidth="1"/>
    <col min="5" max="5" width="16.5" bestFit="1" customWidth="1"/>
    <col min="6" max="6" width="20.08203125" bestFit="1" customWidth="1"/>
  </cols>
  <sheetData>
    <row r="1" spans="1:6" x14ac:dyDescent="0.4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</row>
    <row r="2" spans="1:6" x14ac:dyDescent="0.4">
      <c r="A2" s="1">
        <v>44927</v>
      </c>
      <c r="B2">
        <v>2023</v>
      </c>
      <c r="C2">
        <v>1</v>
      </c>
      <c r="D2" t="s">
        <v>167</v>
      </c>
      <c r="E2">
        <v>0</v>
      </c>
      <c r="F2">
        <v>0</v>
      </c>
    </row>
    <row r="3" spans="1:6" x14ac:dyDescent="0.4">
      <c r="A3" s="1">
        <v>44958</v>
      </c>
      <c r="B3">
        <v>2023</v>
      </c>
      <c r="C3">
        <v>2</v>
      </c>
      <c r="D3" t="s">
        <v>167</v>
      </c>
      <c r="E3">
        <v>0</v>
      </c>
      <c r="F3">
        <v>0</v>
      </c>
    </row>
    <row r="4" spans="1:6" x14ac:dyDescent="0.4">
      <c r="A4" s="1">
        <v>44986</v>
      </c>
      <c r="B4">
        <v>2023</v>
      </c>
      <c r="C4">
        <v>3</v>
      </c>
      <c r="D4" t="s">
        <v>167</v>
      </c>
      <c r="E4">
        <v>0</v>
      </c>
      <c r="F4">
        <v>0</v>
      </c>
    </row>
    <row r="5" spans="1:6" x14ac:dyDescent="0.4">
      <c r="A5" s="1">
        <v>45017</v>
      </c>
      <c r="B5">
        <v>2023</v>
      </c>
      <c r="C5">
        <v>4</v>
      </c>
      <c r="D5" t="s">
        <v>167</v>
      </c>
      <c r="E5">
        <v>0</v>
      </c>
      <c r="F5">
        <v>0</v>
      </c>
    </row>
    <row r="6" spans="1:6" x14ac:dyDescent="0.4">
      <c r="A6" s="1">
        <v>45047</v>
      </c>
      <c r="B6">
        <v>2023</v>
      </c>
      <c r="C6">
        <v>5</v>
      </c>
      <c r="D6" t="s">
        <v>167</v>
      </c>
      <c r="E6">
        <v>0</v>
      </c>
      <c r="F6">
        <v>0</v>
      </c>
    </row>
    <row r="7" spans="1:6" x14ac:dyDescent="0.4">
      <c r="A7" s="1">
        <v>45078</v>
      </c>
      <c r="B7">
        <v>2023</v>
      </c>
      <c r="C7">
        <v>6</v>
      </c>
      <c r="D7" t="s">
        <v>167</v>
      </c>
      <c r="E7">
        <v>0</v>
      </c>
      <c r="F7">
        <v>0</v>
      </c>
    </row>
    <row r="8" spans="1:6" x14ac:dyDescent="0.4">
      <c r="A8" s="1">
        <v>45108</v>
      </c>
      <c r="B8">
        <v>2023</v>
      </c>
      <c r="C8">
        <v>7</v>
      </c>
      <c r="D8" t="s">
        <v>167</v>
      </c>
      <c r="E8">
        <v>0</v>
      </c>
      <c r="F8">
        <v>0</v>
      </c>
    </row>
    <row r="9" spans="1:6" x14ac:dyDescent="0.4">
      <c r="A9" s="1">
        <v>45139</v>
      </c>
      <c r="B9">
        <v>2023</v>
      </c>
      <c r="C9">
        <v>8</v>
      </c>
      <c r="D9" t="s">
        <v>167</v>
      </c>
      <c r="E9">
        <v>0</v>
      </c>
      <c r="F9">
        <v>0</v>
      </c>
    </row>
    <row r="10" spans="1:6" x14ac:dyDescent="0.4">
      <c r="A10" s="1">
        <v>45170</v>
      </c>
      <c r="B10">
        <v>2023</v>
      </c>
      <c r="C10">
        <v>9</v>
      </c>
      <c r="D10" t="s">
        <v>167</v>
      </c>
      <c r="E10">
        <v>0</v>
      </c>
      <c r="F10">
        <v>0</v>
      </c>
    </row>
    <row r="11" spans="1:6" x14ac:dyDescent="0.4">
      <c r="A11" s="1">
        <v>45200</v>
      </c>
      <c r="B11">
        <v>2023</v>
      </c>
      <c r="C11">
        <v>10</v>
      </c>
      <c r="D11" t="s">
        <v>167</v>
      </c>
      <c r="E11">
        <v>0</v>
      </c>
      <c r="F11">
        <v>0</v>
      </c>
    </row>
    <row r="12" spans="1:6" x14ac:dyDescent="0.4">
      <c r="A12" s="1">
        <v>45231</v>
      </c>
      <c r="B12">
        <v>2023</v>
      </c>
      <c r="C12">
        <v>11</v>
      </c>
      <c r="D12" t="s">
        <v>167</v>
      </c>
      <c r="E12">
        <v>0</v>
      </c>
      <c r="F12">
        <v>0</v>
      </c>
    </row>
    <row r="13" spans="1:6" x14ac:dyDescent="0.4">
      <c r="A13" s="1">
        <v>45261</v>
      </c>
      <c r="B13">
        <v>2023</v>
      </c>
      <c r="C13">
        <v>12</v>
      </c>
      <c r="D13" t="s">
        <v>167</v>
      </c>
      <c r="E13">
        <v>0</v>
      </c>
      <c r="F13">
        <v>0</v>
      </c>
    </row>
    <row r="14" spans="1:6" x14ac:dyDescent="0.4">
      <c r="A14" s="1">
        <v>45292</v>
      </c>
      <c r="B14">
        <v>2024</v>
      </c>
      <c r="C14">
        <v>1</v>
      </c>
      <c r="D14" t="s">
        <v>167</v>
      </c>
      <c r="E14">
        <v>0</v>
      </c>
      <c r="F14">
        <v>0</v>
      </c>
    </row>
    <row r="15" spans="1:6" x14ac:dyDescent="0.4">
      <c r="A15" s="1">
        <v>45323</v>
      </c>
      <c r="B15">
        <v>2024</v>
      </c>
      <c r="C15">
        <v>2</v>
      </c>
      <c r="D15" t="s">
        <v>167</v>
      </c>
      <c r="E15">
        <v>0</v>
      </c>
      <c r="F15">
        <v>0</v>
      </c>
    </row>
    <row r="16" spans="1:6" x14ac:dyDescent="0.4">
      <c r="A16" s="1">
        <v>45352</v>
      </c>
      <c r="B16">
        <v>2024</v>
      </c>
      <c r="C16">
        <v>3</v>
      </c>
      <c r="D16" t="s">
        <v>167</v>
      </c>
      <c r="E16">
        <v>0</v>
      </c>
      <c r="F16">
        <v>0</v>
      </c>
    </row>
    <row r="17" spans="1:6" x14ac:dyDescent="0.4">
      <c r="A17" s="1">
        <v>45383</v>
      </c>
      <c r="B17">
        <v>2024</v>
      </c>
      <c r="C17">
        <v>4</v>
      </c>
      <c r="D17" t="s">
        <v>167</v>
      </c>
      <c r="E17">
        <v>0</v>
      </c>
      <c r="F17">
        <v>0</v>
      </c>
    </row>
    <row r="18" spans="1:6" x14ac:dyDescent="0.4">
      <c r="A18" s="1">
        <v>45413</v>
      </c>
      <c r="B18">
        <v>2024</v>
      </c>
      <c r="C18">
        <v>5</v>
      </c>
      <c r="D18" t="s">
        <v>167</v>
      </c>
      <c r="E18">
        <v>0</v>
      </c>
      <c r="F18">
        <v>0</v>
      </c>
    </row>
    <row r="19" spans="1:6" x14ac:dyDescent="0.4">
      <c r="A19" s="1">
        <v>45444</v>
      </c>
      <c r="B19">
        <v>2024</v>
      </c>
      <c r="C19">
        <v>6</v>
      </c>
      <c r="D19" t="s">
        <v>167</v>
      </c>
      <c r="E19">
        <v>0</v>
      </c>
      <c r="F19">
        <v>0</v>
      </c>
    </row>
    <row r="20" spans="1:6" x14ac:dyDescent="0.4">
      <c r="A20" s="1">
        <v>45474</v>
      </c>
      <c r="B20">
        <v>2024</v>
      </c>
      <c r="C20">
        <v>7</v>
      </c>
      <c r="D20" t="s">
        <v>167</v>
      </c>
      <c r="E20">
        <v>0</v>
      </c>
      <c r="F20">
        <v>0</v>
      </c>
    </row>
    <row r="21" spans="1:6" x14ac:dyDescent="0.4">
      <c r="A21" s="1">
        <v>45505</v>
      </c>
      <c r="B21">
        <v>2024</v>
      </c>
      <c r="C21">
        <v>8</v>
      </c>
      <c r="D21" t="s">
        <v>167</v>
      </c>
      <c r="E21">
        <v>0</v>
      </c>
      <c r="F21">
        <v>0</v>
      </c>
    </row>
    <row r="22" spans="1:6" x14ac:dyDescent="0.4">
      <c r="A22" s="1">
        <v>45536</v>
      </c>
      <c r="B22">
        <v>2024</v>
      </c>
      <c r="C22">
        <v>9</v>
      </c>
      <c r="D22" t="s">
        <v>167</v>
      </c>
      <c r="E22">
        <v>0</v>
      </c>
      <c r="F22">
        <v>0</v>
      </c>
    </row>
    <row r="23" spans="1:6" x14ac:dyDescent="0.4">
      <c r="A23" s="1">
        <v>45566</v>
      </c>
      <c r="B23">
        <v>2024</v>
      </c>
      <c r="C23">
        <v>10</v>
      </c>
      <c r="D23" t="s">
        <v>167</v>
      </c>
      <c r="E23">
        <v>0</v>
      </c>
      <c r="F23">
        <v>0</v>
      </c>
    </row>
    <row r="24" spans="1:6" x14ac:dyDescent="0.4">
      <c r="A24" s="1">
        <v>45597</v>
      </c>
      <c r="B24">
        <v>2024</v>
      </c>
      <c r="C24">
        <v>11</v>
      </c>
      <c r="D24" t="s">
        <v>167</v>
      </c>
      <c r="E24">
        <v>0</v>
      </c>
      <c r="F24">
        <v>0</v>
      </c>
    </row>
    <row r="25" spans="1:6" x14ac:dyDescent="0.4">
      <c r="A25" s="1">
        <v>45627</v>
      </c>
      <c r="B25">
        <v>2024</v>
      </c>
      <c r="C25">
        <v>12</v>
      </c>
      <c r="D25" t="s">
        <v>167</v>
      </c>
      <c r="E25">
        <v>0</v>
      </c>
      <c r="F25">
        <v>0</v>
      </c>
    </row>
    <row r="26" spans="1:6" x14ac:dyDescent="0.4">
      <c r="A26" s="1">
        <v>45658</v>
      </c>
      <c r="B26">
        <v>2025</v>
      </c>
      <c r="C26">
        <v>1</v>
      </c>
      <c r="D26" t="s">
        <v>167</v>
      </c>
      <c r="E26">
        <v>0</v>
      </c>
      <c r="F26">
        <v>0</v>
      </c>
    </row>
    <row r="27" spans="1:6" x14ac:dyDescent="0.4">
      <c r="A27" s="1">
        <v>45689</v>
      </c>
      <c r="B27">
        <v>2025</v>
      </c>
      <c r="C27">
        <v>2</v>
      </c>
      <c r="D27" t="s">
        <v>167</v>
      </c>
      <c r="E27">
        <v>0</v>
      </c>
      <c r="F27">
        <v>0</v>
      </c>
    </row>
    <row r="28" spans="1:6" x14ac:dyDescent="0.4">
      <c r="A28" s="1">
        <v>45717</v>
      </c>
      <c r="B28">
        <v>2025</v>
      </c>
      <c r="C28">
        <v>3</v>
      </c>
      <c r="D28" t="s">
        <v>167</v>
      </c>
      <c r="E28">
        <v>0</v>
      </c>
      <c r="F28">
        <v>0</v>
      </c>
    </row>
    <row r="29" spans="1:6" x14ac:dyDescent="0.4">
      <c r="A29" s="1">
        <v>45748</v>
      </c>
      <c r="B29">
        <v>2025</v>
      </c>
      <c r="C29">
        <v>4</v>
      </c>
      <c r="D29" t="s">
        <v>168</v>
      </c>
      <c r="E29">
        <v>1</v>
      </c>
      <c r="F29">
        <v>0</v>
      </c>
    </row>
    <row r="30" spans="1:6" x14ac:dyDescent="0.4">
      <c r="A30" s="1">
        <v>45778</v>
      </c>
      <c r="B30">
        <v>2025</v>
      </c>
      <c r="C30">
        <v>5</v>
      </c>
      <c r="D30" t="s">
        <v>169</v>
      </c>
      <c r="E30">
        <v>1</v>
      </c>
      <c r="F30">
        <v>1</v>
      </c>
    </row>
    <row r="31" spans="1:6" x14ac:dyDescent="0.4">
      <c r="A31" s="1">
        <v>45809</v>
      </c>
      <c r="B31">
        <v>2025</v>
      </c>
      <c r="C31">
        <v>6</v>
      </c>
      <c r="D31" t="s">
        <v>169</v>
      </c>
      <c r="E31">
        <v>1</v>
      </c>
      <c r="F31">
        <v>1</v>
      </c>
    </row>
    <row r="32" spans="1:6" x14ac:dyDescent="0.4">
      <c r="A32" s="1">
        <v>45839</v>
      </c>
      <c r="B32">
        <v>2025</v>
      </c>
      <c r="C32">
        <v>7</v>
      </c>
      <c r="D32" t="s">
        <v>169</v>
      </c>
      <c r="E32">
        <v>1</v>
      </c>
      <c r="F32">
        <v>1</v>
      </c>
    </row>
    <row r="33" spans="1:6" x14ac:dyDescent="0.4">
      <c r="A33" s="1">
        <v>45870</v>
      </c>
      <c r="B33">
        <v>2025</v>
      </c>
      <c r="C33">
        <v>8</v>
      </c>
      <c r="D33" t="s">
        <v>170</v>
      </c>
      <c r="E33">
        <v>1</v>
      </c>
      <c r="F33">
        <v>1</v>
      </c>
    </row>
    <row r="34" spans="1:6" x14ac:dyDescent="0.4">
      <c r="A34" s="1">
        <v>45901</v>
      </c>
      <c r="B34">
        <v>2025</v>
      </c>
      <c r="C34">
        <v>9</v>
      </c>
      <c r="D34" t="s">
        <v>170</v>
      </c>
      <c r="E34">
        <v>1</v>
      </c>
      <c r="F34">
        <v>1</v>
      </c>
    </row>
    <row r="35" spans="1:6" x14ac:dyDescent="0.4">
      <c r="A35" s="1">
        <v>45931</v>
      </c>
      <c r="B35">
        <v>2025</v>
      </c>
      <c r="C35">
        <v>10</v>
      </c>
      <c r="D35" t="s">
        <v>170</v>
      </c>
      <c r="E35">
        <v>1</v>
      </c>
      <c r="F35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57D5-0705-9F4D-B560-6F1584FC47F5}">
  <dimension ref="A1:M14277"/>
  <sheetViews>
    <sheetView tabSelected="1" topLeftCell="A2" zoomScale="66" workbookViewId="0">
      <selection activeCell="D2544" sqref="D2544"/>
    </sheetView>
  </sheetViews>
  <sheetFormatPr defaultColWidth="11" defaultRowHeight="16" x14ac:dyDescent="0.4"/>
  <cols>
    <col min="1" max="1" width="15.33203125" bestFit="1" customWidth="1"/>
    <col min="2" max="2" width="13.33203125" bestFit="1" customWidth="1"/>
    <col min="3" max="3" width="8.08203125" bestFit="1" customWidth="1"/>
    <col min="4" max="4" width="9.83203125" bestFit="1" customWidth="1"/>
    <col min="5" max="5" width="23.33203125" bestFit="1" customWidth="1"/>
    <col min="6" max="6" width="27.58203125" bestFit="1" customWidth="1"/>
  </cols>
  <sheetData>
    <row r="1" spans="1:9" x14ac:dyDescent="0.4">
      <c r="A1" t="s">
        <v>58</v>
      </c>
      <c r="B1" t="s">
        <v>161</v>
      </c>
      <c r="C1" t="s">
        <v>76</v>
      </c>
      <c r="D1" t="s">
        <v>171</v>
      </c>
      <c r="E1" t="s">
        <v>172</v>
      </c>
      <c r="F1" t="s">
        <v>177</v>
      </c>
      <c r="G1" t="s">
        <v>173</v>
      </c>
      <c r="H1" t="s">
        <v>174</v>
      </c>
      <c r="I1" t="s">
        <v>175</v>
      </c>
    </row>
    <row r="2" spans="1:9" x14ac:dyDescent="0.4">
      <c r="A2" t="s">
        <v>61</v>
      </c>
      <c r="B2" s="1">
        <v>44927</v>
      </c>
      <c r="C2">
        <v>392630</v>
      </c>
      <c r="D2" t="s">
        <v>176</v>
      </c>
      <c r="E2">
        <v>3992750</v>
      </c>
      <c r="F2">
        <v>338753</v>
      </c>
      <c r="G2">
        <v>143033</v>
      </c>
      <c r="H2">
        <f>_xlfn.XLOOKUP(FACT_IMPORTS[[#This Row],[hts_6]],DIM_PRODUCTS[hts_6],DIM_PRODUCTS[hts_4],,,)</f>
        <v>3926</v>
      </c>
      <c r="I2" t="str" cm="1">
        <f t="array" ref="I2">_xlfn.XLOOKUP(FACT_IMPORTS[[#This Row],[country_name]],DIM_COUNTRY[[#All],[Column2]],DIM_COUNTRY[[#All],[Column3]],,,)</f>
        <v>USMCA</v>
      </c>
    </row>
    <row r="3" spans="1:9" x14ac:dyDescent="0.4">
      <c r="A3" t="s">
        <v>61</v>
      </c>
      <c r="B3" s="1">
        <v>44927</v>
      </c>
      <c r="C3">
        <v>401110</v>
      </c>
      <c r="D3" t="s">
        <v>176</v>
      </c>
      <c r="E3">
        <v>39533808</v>
      </c>
      <c r="F3">
        <v>577958</v>
      </c>
      <c r="G3">
        <v>231778</v>
      </c>
      <c r="H3">
        <f>_xlfn.XLOOKUP(FACT_IMPORTS[[#This Row],[hts_6]],DIM_PRODUCTS[hts_6],DIM_PRODUCTS[hts_4],,,)</f>
        <v>4011</v>
      </c>
      <c r="I3" t="str" cm="1">
        <f t="array" ref="I3">_xlfn.XLOOKUP(FACT_IMPORTS[[#This Row],[country_name]],DIM_COUNTRY[[#All],[Column2]],DIM_COUNTRY[[#All],[Column3]],,,)</f>
        <v>USMCA</v>
      </c>
    </row>
    <row r="4" spans="1:9" x14ac:dyDescent="0.4">
      <c r="A4" t="s">
        <v>61</v>
      </c>
      <c r="B4" s="1">
        <v>44927</v>
      </c>
      <c r="C4">
        <v>401120</v>
      </c>
      <c r="D4" t="s">
        <v>176</v>
      </c>
      <c r="E4">
        <v>45230730</v>
      </c>
      <c r="F4">
        <v>344901</v>
      </c>
      <c r="G4">
        <v>233004</v>
      </c>
      <c r="H4">
        <f>_xlfn.XLOOKUP(FACT_IMPORTS[[#This Row],[hts_6]],DIM_PRODUCTS[hts_6],DIM_PRODUCTS[hts_4],,,)</f>
        <v>4011</v>
      </c>
      <c r="I4" t="str" cm="1">
        <f t="array" ref="I4">_xlfn.XLOOKUP(FACT_IMPORTS[[#This Row],[country_name]],DIM_COUNTRY[[#All],[Column2]],DIM_COUNTRY[[#All],[Column3]],,,)</f>
        <v>USMCA</v>
      </c>
    </row>
    <row r="5" spans="1:9" x14ac:dyDescent="0.4">
      <c r="A5" t="s">
        <v>61</v>
      </c>
      <c r="B5" s="1">
        <v>44927</v>
      </c>
      <c r="C5">
        <v>401140</v>
      </c>
      <c r="D5" t="s">
        <v>176</v>
      </c>
      <c r="E5">
        <v>1266</v>
      </c>
      <c r="F5">
        <v>24</v>
      </c>
      <c r="G5">
        <v>6</v>
      </c>
      <c r="H5">
        <f>_xlfn.XLOOKUP(FACT_IMPORTS[[#This Row],[hts_6]],DIM_PRODUCTS[hts_6],DIM_PRODUCTS[hts_4],,,)</f>
        <v>4011</v>
      </c>
      <c r="I5" t="str" cm="1">
        <f t="array" ref="I5">_xlfn.XLOOKUP(FACT_IMPORTS[[#This Row],[country_name]],DIM_COUNTRY[[#All],[Column2]],DIM_COUNTRY[[#All],[Column3]],,,)</f>
        <v>USMCA</v>
      </c>
    </row>
    <row r="6" spans="1:9" x14ac:dyDescent="0.4">
      <c r="A6" t="s">
        <v>61</v>
      </c>
      <c r="B6" s="1">
        <v>44927</v>
      </c>
      <c r="C6">
        <v>401190</v>
      </c>
      <c r="D6" t="s">
        <v>176</v>
      </c>
      <c r="E6">
        <v>410009</v>
      </c>
      <c r="F6">
        <v>545</v>
      </c>
      <c r="G6">
        <v>1084</v>
      </c>
      <c r="H6">
        <f>_xlfn.XLOOKUP(FACT_IMPORTS[[#This Row],[hts_6]],DIM_PRODUCTS[hts_6],DIM_PRODUCTS[hts_4],,,)</f>
        <v>4011</v>
      </c>
      <c r="I6" t="str" cm="1">
        <f t="array" ref="I6">_xlfn.XLOOKUP(FACT_IMPORTS[[#This Row],[country_name]],DIM_COUNTRY[[#All],[Column2]],DIM_COUNTRY[[#All],[Column3]],,,)</f>
        <v>USMCA</v>
      </c>
    </row>
    <row r="7" spans="1:9" x14ac:dyDescent="0.4">
      <c r="A7" t="s">
        <v>61</v>
      </c>
      <c r="B7" s="1">
        <v>44927</v>
      </c>
      <c r="C7">
        <v>700711</v>
      </c>
      <c r="D7" t="s">
        <v>176</v>
      </c>
      <c r="E7">
        <v>1008467</v>
      </c>
      <c r="F7">
        <v>1988</v>
      </c>
      <c r="G7">
        <v>4695</v>
      </c>
      <c r="H7">
        <f>_xlfn.XLOOKUP(FACT_IMPORTS[[#This Row],[hts_6]],DIM_PRODUCTS[hts_6],DIM_PRODUCTS[hts_4],,,)</f>
        <v>7007</v>
      </c>
      <c r="I7" t="str" cm="1">
        <f t="array" ref="I7">_xlfn.XLOOKUP(FACT_IMPORTS[[#This Row],[country_name]],DIM_COUNTRY[[#All],[Column2]],DIM_COUNTRY[[#All],[Column3]],,,)</f>
        <v>USMCA</v>
      </c>
    </row>
    <row r="8" spans="1:9" x14ac:dyDescent="0.4">
      <c r="A8" t="s">
        <v>61</v>
      </c>
      <c r="B8" s="1">
        <v>44927</v>
      </c>
      <c r="C8">
        <v>700721</v>
      </c>
      <c r="D8" t="s">
        <v>176</v>
      </c>
      <c r="E8">
        <v>18426</v>
      </c>
      <c r="F8">
        <v>215</v>
      </c>
      <c r="G8">
        <v>650</v>
      </c>
      <c r="H8">
        <f>_xlfn.XLOOKUP(FACT_IMPORTS[[#This Row],[hts_6]],DIM_PRODUCTS[hts_6],DIM_PRODUCTS[hts_4],,,)</f>
        <v>7007</v>
      </c>
      <c r="I8" t="str" cm="1">
        <f t="array" ref="I8">_xlfn.XLOOKUP(FACT_IMPORTS[[#This Row],[country_name]],DIM_COUNTRY[[#All],[Column2]],DIM_COUNTRY[[#All],[Column3]],,,)</f>
        <v>USMCA</v>
      </c>
    </row>
    <row r="9" spans="1:9" x14ac:dyDescent="0.4">
      <c r="A9" t="s">
        <v>61</v>
      </c>
      <c r="B9" s="1">
        <v>44927</v>
      </c>
      <c r="C9">
        <v>700910</v>
      </c>
      <c r="D9" t="s">
        <v>176</v>
      </c>
      <c r="E9">
        <v>139807</v>
      </c>
      <c r="F9">
        <v>3990</v>
      </c>
      <c r="G9">
        <v>962</v>
      </c>
      <c r="H9">
        <f>_xlfn.XLOOKUP(FACT_IMPORTS[[#This Row],[hts_6]],DIM_PRODUCTS[hts_6],DIM_PRODUCTS[hts_4],,,)</f>
        <v>7009</v>
      </c>
      <c r="I9" t="str" cm="1">
        <f t="array" ref="I9">_xlfn.XLOOKUP(FACT_IMPORTS[[#This Row],[country_name]],DIM_COUNTRY[[#All],[Column2]],DIM_COUNTRY[[#All],[Column3]],,,)</f>
        <v>USMCA</v>
      </c>
    </row>
    <row r="10" spans="1:9" x14ac:dyDescent="0.4">
      <c r="A10" t="s">
        <v>61</v>
      </c>
      <c r="B10" s="1">
        <v>44927</v>
      </c>
      <c r="C10">
        <v>732010</v>
      </c>
      <c r="D10" t="s">
        <v>176</v>
      </c>
      <c r="E10">
        <v>3926771</v>
      </c>
      <c r="F10">
        <v>1234971</v>
      </c>
      <c r="G10">
        <v>24253</v>
      </c>
      <c r="H10">
        <f>_xlfn.XLOOKUP(FACT_IMPORTS[[#This Row],[hts_6]],DIM_PRODUCTS[hts_6],DIM_PRODUCTS[hts_4],,,)</f>
        <v>7320</v>
      </c>
      <c r="I10" t="str" cm="1">
        <f t="array" ref="I10">_xlfn.XLOOKUP(FACT_IMPORTS[[#This Row],[country_name]],DIM_COUNTRY[[#All],[Column2]],DIM_COUNTRY[[#All],[Column3]],,,)</f>
        <v>USMCA</v>
      </c>
    </row>
    <row r="11" spans="1:9" x14ac:dyDescent="0.4">
      <c r="A11" t="s">
        <v>61</v>
      </c>
      <c r="B11" s="1">
        <v>44927</v>
      </c>
      <c r="C11">
        <v>830230</v>
      </c>
      <c r="D11" t="s">
        <v>176</v>
      </c>
      <c r="E11">
        <v>36437419</v>
      </c>
      <c r="F11">
        <v>7128576</v>
      </c>
      <c r="G11">
        <v>1019192</v>
      </c>
      <c r="H11">
        <f>_xlfn.XLOOKUP(FACT_IMPORTS[[#This Row],[hts_6]],DIM_PRODUCTS[hts_6],DIM_PRODUCTS[hts_4],,,)</f>
        <v>8302</v>
      </c>
      <c r="I11" t="str" cm="1">
        <f t="array" ref="I11">_xlfn.XLOOKUP(FACT_IMPORTS[[#This Row],[country_name]],DIM_COUNTRY[[#All],[Column2]],DIM_COUNTRY[[#All],[Column3]],,,)</f>
        <v>USMCA</v>
      </c>
    </row>
    <row r="12" spans="1:9" x14ac:dyDescent="0.4">
      <c r="A12" t="s">
        <v>61</v>
      </c>
      <c r="B12" s="1">
        <v>44927</v>
      </c>
      <c r="C12">
        <v>840731</v>
      </c>
      <c r="D12" t="s">
        <v>176</v>
      </c>
      <c r="E12">
        <v>66020</v>
      </c>
      <c r="F12">
        <v>6</v>
      </c>
      <c r="G12">
        <v>500</v>
      </c>
      <c r="H12">
        <f>_xlfn.XLOOKUP(FACT_IMPORTS[[#This Row],[hts_6]],DIM_PRODUCTS[hts_6],DIM_PRODUCTS[hts_4],,,)</f>
        <v>8407</v>
      </c>
      <c r="I12" t="str" cm="1">
        <f t="array" ref="I12">_xlfn.XLOOKUP(FACT_IMPORTS[[#This Row],[country_name]],DIM_COUNTRY[[#All],[Column2]],DIM_COUNTRY[[#All],[Column3]],,,)</f>
        <v>USMCA</v>
      </c>
    </row>
    <row r="13" spans="1:9" x14ac:dyDescent="0.4">
      <c r="A13" t="s">
        <v>61</v>
      </c>
      <c r="B13" s="1">
        <v>44927</v>
      </c>
      <c r="C13">
        <v>840733</v>
      </c>
      <c r="D13" t="s">
        <v>176</v>
      </c>
      <c r="E13">
        <v>3421</v>
      </c>
      <c r="F13">
        <v>1</v>
      </c>
      <c r="G13">
        <v>35</v>
      </c>
      <c r="H13">
        <f>_xlfn.XLOOKUP(FACT_IMPORTS[[#This Row],[hts_6]],DIM_PRODUCTS[hts_6],DIM_PRODUCTS[hts_4],,,)</f>
        <v>8407</v>
      </c>
      <c r="I13" t="str" cm="1">
        <f t="array" ref="I13">_xlfn.XLOOKUP(FACT_IMPORTS[[#This Row],[country_name]],DIM_COUNTRY[[#All],[Column2]],DIM_COUNTRY[[#All],[Column3]],,,)</f>
        <v>USMCA</v>
      </c>
    </row>
    <row r="14" spans="1:9" x14ac:dyDescent="0.4">
      <c r="A14" t="s">
        <v>61</v>
      </c>
      <c r="B14" s="1">
        <v>44927</v>
      </c>
      <c r="C14">
        <v>840734</v>
      </c>
      <c r="D14" t="s">
        <v>176</v>
      </c>
      <c r="E14">
        <v>197453280</v>
      </c>
      <c r="F14">
        <v>61915</v>
      </c>
      <c r="G14">
        <v>232501</v>
      </c>
      <c r="H14">
        <f>_xlfn.XLOOKUP(FACT_IMPORTS[[#This Row],[hts_6]],DIM_PRODUCTS[hts_6],DIM_PRODUCTS[hts_4],,,)</f>
        <v>8407</v>
      </c>
      <c r="I14" t="str" cm="1">
        <f t="array" ref="I14">_xlfn.XLOOKUP(FACT_IMPORTS[[#This Row],[country_name]],DIM_COUNTRY[[#All],[Column2]],DIM_COUNTRY[[#All],[Column3]],,,)</f>
        <v>USMCA</v>
      </c>
    </row>
    <row r="15" spans="1:9" x14ac:dyDescent="0.4">
      <c r="A15" t="s">
        <v>61</v>
      </c>
      <c r="B15" s="1">
        <v>44927</v>
      </c>
      <c r="C15">
        <v>840790</v>
      </c>
      <c r="D15" t="s">
        <v>176</v>
      </c>
      <c r="E15">
        <v>4642845</v>
      </c>
      <c r="F15">
        <v>2438</v>
      </c>
      <c r="G15">
        <v>1950</v>
      </c>
      <c r="H15">
        <f>_xlfn.XLOOKUP(FACT_IMPORTS[[#This Row],[hts_6]],DIM_PRODUCTS[hts_6],DIM_PRODUCTS[hts_4],,,)</f>
        <v>8407</v>
      </c>
      <c r="I15" t="str" cm="1">
        <f t="array" ref="I15">_xlfn.XLOOKUP(FACT_IMPORTS[[#This Row],[country_name]],DIM_COUNTRY[[#All],[Column2]],DIM_COUNTRY[[#All],[Column3]],,,)</f>
        <v>USMCA</v>
      </c>
    </row>
    <row r="16" spans="1:9" x14ac:dyDescent="0.4">
      <c r="A16" t="s">
        <v>61</v>
      </c>
      <c r="B16" s="1">
        <v>44927</v>
      </c>
      <c r="C16">
        <v>840820</v>
      </c>
      <c r="D16" t="s">
        <v>176</v>
      </c>
      <c r="E16">
        <v>493729</v>
      </c>
      <c r="F16">
        <v>91</v>
      </c>
      <c r="G16">
        <v>1622</v>
      </c>
      <c r="H16">
        <f>_xlfn.XLOOKUP(FACT_IMPORTS[[#This Row],[hts_6]],DIM_PRODUCTS[hts_6],DIM_PRODUCTS[hts_4],,,)</f>
        <v>8408</v>
      </c>
      <c r="I16" t="str" cm="1">
        <f t="array" ref="I16">_xlfn.XLOOKUP(FACT_IMPORTS[[#This Row],[country_name]],DIM_COUNTRY[[#All],[Column2]],DIM_COUNTRY[[#All],[Column3]],,,)</f>
        <v>USMCA</v>
      </c>
    </row>
    <row r="17" spans="1:9" x14ac:dyDescent="0.4">
      <c r="A17" t="s">
        <v>61</v>
      </c>
      <c r="B17" s="1">
        <v>44927</v>
      </c>
      <c r="C17">
        <v>840890</v>
      </c>
      <c r="D17" t="s">
        <v>176</v>
      </c>
      <c r="E17">
        <v>119671</v>
      </c>
      <c r="F17">
        <v>17</v>
      </c>
      <c r="G17">
        <v>205</v>
      </c>
      <c r="H17">
        <f>_xlfn.XLOOKUP(FACT_IMPORTS[[#This Row],[hts_6]],DIM_PRODUCTS[hts_6],DIM_PRODUCTS[hts_4],,,)</f>
        <v>8408</v>
      </c>
      <c r="I17" t="str" cm="1">
        <f t="array" ref="I17">_xlfn.XLOOKUP(FACT_IMPORTS[[#This Row],[country_name]],DIM_COUNTRY[[#All],[Column2]],DIM_COUNTRY[[#All],[Column3]],,,)</f>
        <v>USMCA</v>
      </c>
    </row>
    <row r="18" spans="1:9" x14ac:dyDescent="0.4">
      <c r="A18" t="s">
        <v>61</v>
      </c>
      <c r="B18" s="1">
        <v>44927</v>
      </c>
      <c r="C18">
        <v>840991</v>
      </c>
      <c r="D18" t="s">
        <v>176</v>
      </c>
      <c r="E18">
        <v>44365068</v>
      </c>
      <c r="F18">
        <v>3995584</v>
      </c>
      <c r="G18">
        <v>311144</v>
      </c>
      <c r="H18">
        <f>_xlfn.XLOOKUP(FACT_IMPORTS[[#This Row],[hts_6]],DIM_PRODUCTS[hts_6],DIM_PRODUCTS[hts_4],,,)</f>
        <v>8409</v>
      </c>
      <c r="I18" t="str" cm="1">
        <f t="array" ref="I18">_xlfn.XLOOKUP(FACT_IMPORTS[[#This Row],[country_name]],DIM_COUNTRY[[#All],[Column2]],DIM_COUNTRY[[#All],[Column3]],,,)</f>
        <v>USMCA</v>
      </c>
    </row>
    <row r="19" spans="1:9" x14ac:dyDescent="0.4">
      <c r="A19" t="s">
        <v>61</v>
      </c>
      <c r="B19" s="1">
        <v>44927</v>
      </c>
      <c r="C19">
        <v>840999</v>
      </c>
      <c r="D19" t="s">
        <v>176</v>
      </c>
      <c r="E19">
        <v>14441294</v>
      </c>
      <c r="F19">
        <v>1366355</v>
      </c>
      <c r="G19">
        <v>110456</v>
      </c>
      <c r="H19">
        <f>_xlfn.XLOOKUP(FACT_IMPORTS[[#This Row],[hts_6]],DIM_PRODUCTS[hts_6],DIM_PRODUCTS[hts_4],,,)</f>
        <v>8409</v>
      </c>
      <c r="I19" t="str" cm="1">
        <f t="array" ref="I19">_xlfn.XLOOKUP(FACT_IMPORTS[[#This Row],[country_name]],DIM_COUNTRY[[#All],[Column2]],DIM_COUNTRY[[#All],[Column3]],,,)</f>
        <v>USMCA</v>
      </c>
    </row>
    <row r="20" spans="1:9" x14ac:dyDescent="0.4">
      <c r="A20" t="s">
        <v>61</v>
      </c>
      <c r="B20" s="1">
        <v>44927</v>
      </c>
      <c r="C20">
        <v>841330</v>
      </c>
      <c r="D20" t="s">
        <v>176</v>
      </c>
      <c r="E20">
        <v>10513056</v>
      </c>
      <c r="F20">
        <v>239658</v>
      </c>
      <c r="G20">
        <v>43538</v>
      </c>
      <c r="H20">
        <f>_xlfn.XLOOKUP(FACT_IMPORTS[[#This Row],[hts_6]],DIM_PRODUCTS[hts_6],DIM_PRODUCTS[hts_4],,,)</f>
        <v>8413</v>
      </c>
      <c r="I20" t="str" cm="1">
        <f t="array" ref="I20">_xlfn.XLOOKUP(FACT_IMPORTS[[#This Row],[country_name]],DIM_COUNTRY[[#All],[Column2]],DIM_COUNTRY[[#All],[Column3]],,,)</f>
        <v>USMCA</v>
      </c>
    </row>
    <row r="21" spans="1:9" x14ac:dyDescent="0.4">
      <c r="A21" t="s">
        <v>61</v>
      </c>
      <c r="B21" s="1">
        <v>44927</v>
      </c>
      <c r="C21">
        <v>841520</v>
      </c>
      <c r="D21" t="s">
        <v>176</v>
      </c>
      <c r="E21">
        <v>4452796</v>
      </c>
      <c r="F21">
        <v>25459</v>
      </c>
      <c r="G21">
        <v>38677</v>
      </c>
      <c r="H21">
        <f>_xlfn.XLOOKUP(FACT_IMPORTS[[#This Row],[hts_6]],DIM_PRODUCTS[hts_6],DIM_PRODUCTS[hts_4],,,)</f>
        <v>8415</v>
      </c>
      <c r="I21" t="str" cm="1">
        <f t="array" ref="I21">_xlfn.XLOOKUP(FACT_IMPORTS[[#This Row],[country_name]],DIM_COUNTRY[[#All],[Column2]],DIM_COUNTRY[[#All],[Column3]],,,)</f>
        <v>USMCA</v>
      </c>
    </row>
    <row r="22" spans="1:9" x14ac:dyDescent="0.4">
      <c r="A22" t="s">
        <v>61</v>
      </c>
      <c r="B22" s="1">
        <v>44927</v>
      </c>
      <c r="C22">
        <v>842132</v>
      </c>
      <c r="D22" t="s">
        <v>176</v>
      </c>
      <c r="E22">
        <v>6577071</v>
      </c>
      <c r="F22">
        <v>30963</v>
      </c>
      <c r="G22">
        <v>21530</v>
      </c>
      <c r="H22">
        <f>_xlfn.XLOOKUP(FACT_IMPORTS[[#This Row],[hts_6]],DIM_PRODUCTS[hts_6],DIM_PRODUCTS[hts_4],,,)</f>
        <v>8421</v>
      </c>
      <c r="I22" t="str" cm="1">
        <f t="array" ref="I22">_xlfn.XLOOKUP(FACT_IMPORTS[[#This Row],[country_name]],DIM_COUNTRY[[#All],[Column2]],DIM_COUNTRY[[#All],[Column3]],,,)</f>
        <v>USMCA</v>
      </c>
    </row>
    <row r="23" spans="1:9" x14ac:dyDescent="0.4">
      <c r="A23" t="s">
        <v>61</v>
      </c>
      <c r="B23" s="1">
        <v>44927</v>
      </c>
      <c r="C23">
        <v>848210</v>
      </c>
      <c r="D23" t="s">
        <v>176</v>
      </c>
      <c r="E23">
        <v>3358669</v>
      </c>
      <c r="F23">
        <v>918101</v>
      </c>
      <c r="G23">
        <v>30985</v>
      </c>
      <c r="H23">
        <f>_xlfn.XLOOKUP(FACT_IMPORTS[[#This Row],[hts_6]],DIM_PRODUCTS[hts_6],DIM_PRODUCTS[hts_4],,,)</f>
        <v>8482</v>
      </c>
      <c r="I23" t="str" cm="1">
        <f t="array" ref="I23">_xlfn.XLOOKUP(FACT_IMPORTS[[#This Row],[country_name]],DIM_COUNTRY[[#All],[Column2]],DIM_COUNTRY[[#All],[Column3]],,,)</f>
        <v>USMCA</v>
      </c>
    </row>
    <row r="24" spans="1:9" x14ac:dyDescent="0.4">
      <c r="A24" t="s">
        <v>61</v>
      </c>
      <c r="B24" s="1">
        <v>44927</v>
      </c>
      <c r="C24">
        <v>848220</v>
      </c>
      <c r="D24" t="s">
        <v>176</v>
      </c>
      <c r="E24">
        <v>163243</v>
      </c>
      <c r="F24">
        <v>2544</v>
      </c>
      <c r="G24">
        <v>3124</v>
      </c>
      <c r="H24">
        <f>_xlfn.XLOOKUP(FACT_IMPORTS[[#This Row],[hts_6]],DIM_PRODUCTS[hts_6],DIM_PRODUCTS[hts_4],,,)</f>
        <v>8482</v>
      </c>
      <c r="I24" t="str" cm="1">
        <f t="array" ref="I24">_xlfn.XLOOKUP(FACT_IMPORTS[[#This Row],[country_name]],DIM_COUNTRY[[#All],[Column2]],DIM_COUNTRY[[#All],[Column3]],,,)</f>
        <v>USMCA</v>
      </c>
    </row>
    <row r="25" spans="1:9" x14ac:dyDescent="0.4">
      <c r="A25" t="s">
        <v>61</v>
      </c>
      <c r="B25" s="1">
        <v>44927</v>
      </c>
      <c r="C25">
        <v>848310</v>
      </c>
      <c r="D25" t="s">
        <v>176</v>
      </c>
      <c r="E25">
        <v>17230303</v>
      </c>
      <c r="F25">
        <v>492166</v>
      </c>
      <c r="G25">
        <v>234220</v>
      </c>
      <c r="H25">
        <f>_xlfn.XLOOKUP(FACT_IMPORTS[[#This Row],[hts_6]],DIM_PRODUCTS[hts_6],DIM_PRODUCTS[hts_4],,,)</f>
        <v>8483</v>
      </c>
      <c r="I25" t="str" cm="1">
        <f t="array" ref="I25">_xlfn.XLOOKUP(FACT_IMPORTS[[#This Row],[country_name]],DIM_COUNTRY[[#All],[Column2]],DIM_COUNTRY[[#All],[Column3]],,,)</f>
        <v>USMCA</v>
      </c>
    </row>
    <row r="26" spans="1:9" x14ac:dyDescent="0.4">
      <c r="A26" t="s">
        <v>61</v>
      </c>
      <c r="B26" s="1">
        <v>44927</v>
      </c>
      <c r="C26">
        <v>850131</v>
      </c>
      <c r="D26" t="s">
        <v>176</v>
      </c>
      <c r="E26">
        <v>2511387</v>
      </c>
      <c r="F26">
        <v>32942</v>
      </c>
      <c r="G26">
        <v>23510</v>
      </c>
      <c r="H26">
        <f>_xlfn.XLOOKUP(FACT_IMPORTS[[#This Row],[hts_6]],DIM_PRODUCTS[hts_6],DIM_PRODUCTS[hts_4],,,)</f>
        <v>8501</v>
      </c>
      <c r="I26" t="str" cm="1">
        <f t="array" ref="I26">_xlfn.XLOOKUP(FACT_IMPORTS[[#This Row],[country_name]],DIM_COUNTRY[[#All],[Column2]],DIM_COUNTRY[[#All],[Column3]],,,)</f>
        <v>USMCA</v>
      </c>
    </row>
    <row r="27" spans="1:9" x14ac:dyDescent="0.4">
      <c r="A27" t="s">
        <v>61</v>
      </c>
      <c r="B27" s="1">
        <v>44927</v>
      </c>
      <c r="C27">
        <v>850132</v>
      </c>
      <c r="D27" t="s">
        <v>176</v>
      </c>
      <c r="E27">
        <v>274575</v>
      </c>
      <c r="F27">
        <v>35</v>
      </c>
      <c r="G27">
        <v>1211</v>
      </c>
      <c r="H27">
        <f>_xlfn.XLOOKUP(FACT_IMPORTS[[#This Row],[hts_6]],DIM_PRODUCTS[hts_6],DIM_PRODUCTS[hts_4],,,)</f>
        <v>8501</v>
      </c>
      <c r="I27" t="str" cm="1">
        <f t="array" ref="I27">_xlfn.XLOOKUP(FACT_IMPORTS[[#This Row],[country_name]],DIM_COUNTRY[[#All],[Column2]],DIM_COUNTRY[[#All],[Column3]],,,)</f>
        <v>USMCA</v>
      </c>
    </row>
    <row r="28" spans="1:9" x14ac:dyDescent="0.4">
      <c r="A28" t="s">
        <v>61</v>
      </c>
      <c r="B28" s="1">
        <v>44927</v>
      </c>
      <c r="C28">
        <v>850133</v>
      </c>
      <c r="D28" t="s">
        <v>176</v>
      </c>
      <c r="E28">
        <v>0</v>
      </c>
      <c r="F28">
        <v>0</v>
      </c>
      <c r="G28">
        <v>0</v>
      </c>
      <c r="H28">
        <f>_xlfn.XLOOKUP(FACT_IMPORTS[[#This Row],[hts_6]],DIM_PRODUCTS[hts_6],DIM_PRODUCTS[hts_4],,,)</f>
        <v>8501</v>
      </c>
      <c r="I28" t="str" cm="1">
        <f t="array" ref="I28">_xlfn.XLOOKUP(FACT_IMPORTS[[#This Row],[country_name]],DIM_COUNTRY[[#All],[Column2]],DIM_COUNTRY[[#All],[Column3]],,,)</f>
        <v>USMCA</v>
      </c>
    </row>
    <row r="29" spans="1:9" x14ac:dyDescent="0.4">
      <c r="A29" t="s">
        <v>61</v>
      </c>
      <c r="B29" s="1">
        <v>44927</v>
      </c>
      <c r="C29">
        <v>850134</v>
      </c>
      <c r="D29" t="s">
        <v>176</v>
      </c>
      <c r="E29">
        <v>0</v>
      </c>
      <c r="F29">
        <v>0</v>
      </c>
      <c r="G29">
        <v>0</v>
      </c>
      <c r="H29">
        <f>_xlfn.XLOOKUP(FACT_IMPORTS[[#This Row],[hts_6]],DIM_PRODUCTS[hts_6],DIM_PRODUCTS[hts_4],,,)</f>
        <v>8501</v>
      </c>
      <c r="I29" t="str" cm="1">
        <f t="array" ref="I29">_xlfn.XLOOKUP(FACT_IMPORTS[[#This Row],[country_name]],DIM_COUNTRY[[#All],[Column2]],DIM_COUNTRY[[#All],[Column3]],,,)</f>
        <v>USMCA</v>
      </c>
    </row>
    <row r="30" spans="1:9" x14ac:dyDescent="0.4">
      <c r="A30" t="s">
        <v>61</v>
      </c>
      <c r="B30" s="1">
        <v>44927</v>
      </c>
      <c r="C30">
        <v>850152</v>
      </c>
      <c r="D30" t="s">
        <v>176</v>
      </c>
      <c r="E30">
        <v>1038834</v>
      </c>
      <c r="F30">
        <v>335</v>
      </c>
      <c r="G30">
        <v>14595</v>
      </c>
      <c r="H30">
        <f>_xlfn.XLOOKUP(FACT_IMPORTS[[#This Row],[hts_6]],DIM_PRODUCTS[hts_6],DIM_PRODUCTS[hts_4],,,)</f>
        <v>8501</v>
      </c>
      <c r="I30" t="str" cm="1">
        <f t="array" ref="I30">_xlfn.XLOOKUP(FACT_IMPORTS[[#This Row],[country_name]],DIM_COUNTRY[[#All],[Column2]],DIM_COUNTRY[[#All],[Column3]],,,)</f>
        <v>USMCA</v>
      </c>
    </row>
    <row r="31" spans="1:9" x14ac:dyDescent="0.4">
      <c r="A31" t="s">
        <v>61</v>
      </c>
      <c r="B31" s="1">
        <v>44927</v>
      </c>
      <c r="C31">
        <v>850153</v>
      </c>
      <c r="D31" t="s">
        <v>176</v>
      </c>
      <c r="E31">
        <v>742420</v>
      </c>
      <c r="F31">
        <v>92</v>
      </c>
      <c r="G31">
        <v>832</v>
      </c>
      <c r="H31">
        <f>_xlfn.XLOOKUP(FACT_IMPORTS[[#This Row],[hts_6]],DIM_PRODUCTS[hts_6],DIM_PRODUCTS[hts_4],,,)</f>
        <v>8501</v>
      </c>
      <c r="I31" t="str" cm="1">
        <f t="array" ref="I31">_xlfn.XLOOKUP(FACT_IMPORTS[[#This Row],[country_name]],DIM_COUNTRY[[#All],[Column2]],DIM_COUNTRY[[#All],[Column3]],,,)</f>
        <v>USMCA</v>
      </c>
    </row>
    <row r="32" spans="1:9" x14ac:dyDescent="0.4">
      <c r="A32" t="s">
        <v>61</v>
      </c>
      <c r="B32" s="1">
        <v>44927</v>
      </c>
      <c r="C32">
        <v>850161</v>
      </c>
      <c r="D32" t="s">
        <v>176</v>
      </c>
      <c r="E32">
        <v>334682</v>
      </c>
      <c r="F32">
        <v>17</v>
      </c>
      <c r="G32">
        <v>416</v>
      </c>
      <c r="H32">
        <f>_xlfn.XLOOKUP(FACT_IMPORTS[[#This Row],[hts_6]],DIM_PRODUCTS[hts_6],DIM_PRODUCTS[hts_4],,,)</f>
        <v>8501</v>
      </c>
      <c r="I32" t="str" cm="1">
        <f t="array" ref="I32">_xlfn.XLOOKUP(FACT_IMPORTS[[#This Row],[country_name]],DIM_COUNTRY[[#All],[Column2]],DIM_COUNTRY[[#All],[Column3]],,,)</f>
        <v>USMCA</v>
      </c>
    </row>
    <row r="33" spans="1:9" x14ac:dyDescent="0.4">
      <c r="A33" t="s">
        <v>61</v>
      </c>
      <c r="B33" s="1">
        <v>44927</v>
      </c>
      <c r="C33">
        <v>850440</v>
      </c>
      <c r="D33" t="s">
        <v>176</v>
      </c>
      <c r="E33">
        <v>4612121</v>
      </c>
      <c r="F33">
        <v>45541</v>
      </c>
      <c r="G33">
        <v>68294</v>
      </c>
      <c r="H33">
        <f>_xlfn.XLOOKUP(FACT_IMPORTS[[#This Row],[hts_6]],DIM_PRODUCTS[hts_6],DIM_PRODUCTS[hts_4],,,)</f>
        <v>8504</v>
      </c>
      <c r="I33" t="str" cm="1">
        <f t="array" ref="I33">_xlfn.XLOOKUP(FACT_IMPORTS[[#This Row],[country_name]],DIM_COUNTRY[[#All],[Column2]],DIM_COUNTRY[[#All],[Column3]],,,)</f>
        <v>USMCA</v>
      </c>
    </row>
    <row r="34" spans="1:9" x14ac:dyDescent="0.4">
      <c r="A34" t="s">
        <v>61</v>
      </c>
      <c r="B34" s="1">
        <v>44927</v>
      </c>
      <c r="C34">
        <v>850710</v>
      </c>
      <c r="D34" t="s">
        <v>176</v>
      </c>
      <c r="E34">
        <v>785979</v>
      </c>
      <c r="F34">
        <v>1332</v>
      </c>
      <c r="G34">
        <v>35925</v>
      </c>
      <c r="H34">
        <f>_xlfn.XLOOKUP(FACT_IMPORTS[[#This Row],[hts_6]],DIM_PRODUCTS[hts_6],DIM_PRODUCTS[hts_4],,,)</f>
        <v>8507</v>
      </c>
      <c r="I34" t="str" cm="1">
        <f t="array" ref="I34">_xlfn.XLOOKUP(FACT_IMPORTS[[#This Row],[country_name]],DIM_COUNTRY[[#All],[Column2]],DIM_COUNTRY[[#All],[Column3]],,,)</f>
        <v>USMCA</v>
      </c>
    </row>
    <row r="35" spans="1:9" x14ac:dyDescent="0.4">
      <c r="A35" t="s">
        <v>61</v>
      </c>
      <c r="B35" s="1">
        <v>44927</v>
      </c>
      <c r="C35">
        <v>850760</v>
      </c>
      <c r="D35" t="s">
        <v>176</v>
      </c>
      <c r="E35">
        <v>3948605</v>
      </c>
      <c r="F35">
        <v>405</v>
      </c>
      <c r="G35">
        <v>6750</v>
      </c>
      <c r="H35">
        <f>_xlfn.XLOOKUP(FACT_IMPORTS[[#This Row],[hts_6]],DIM_PRODUCTS[hts_6],DIM_PRODUCTS[hts_4],,,)</f>
        <v>8507</v>
      </c>
      <c r="I35" t="str" cm="1">
        <f t="array" ref="I35">_xlfn.XLOOKUP(FACT_IMPORTS[[#This Row],[country_name]],DIM_COUNTRY[[#All],[Column2]],DIM_COUNTRY[[#All],[Column3]],,,)</f>
        <v>USMCA</v>
      </c>
    </row>
    <row r="36" spans="1:9" x14ac:dyDescent="0.4">
      <c r="A36" t="s">
        <v>61</v>
      </c>
      <c r="B36" s="1">
        <v>44927</v>
      </c>
      <c r="C36">
        <v>850790</v>
      </c>
      <c r="D36" t="s">
        <v>176</v>
      </c>
      <c r="E36">
        <v>53514</v>
      </c>
      <c r="F36">
        <v>1320</v>
      </c>
      <c r="G36">
        <v>2745</v>
      </c>
      <c r="H36">
        <f>_xlfn.XLOOKUP(FACT_IMPORTS[[#This Row],[hts_6]],DIM_PRODUCTS[hts_6],DIM_PRODUCTS[hts_4],,,)</f>
        <v>8507</v>
      </c>
      <c r="I36" t="str" cm="1">
        <f t="array" ref="I36">_xlfn.XLOOKUP(FACT_IMPORTS[[#This Row],[country_name]],DIM_COUNTRY[[#All],[Column2]],DIM_COUNTRY[[#All],[Column3]],,,)</f>
        <v>USMCA</v>
      </c>
    </row>
    <row r="37" spans="1:9" x14ac:dyDescent="0.4">
      <c r="A37" t="s">
        <v>61</v>
      </c>
      <c r="B37" s="1">
        <v>44927</v>
      </c>
      <c r="C37">
        <v>851110</v>
      </c>
      <c r="D37" t="s">
        <v>176</v>
      </c>
      <c r="E37">
        <v>0</v>
      </c>
      <c r="F37">
        <v>0</v>
      </c>
      <c r="G37">
        <v>0</v>
      </c>
      <c r="H37">
        <f>_xlfn.XLOOKUP(FACT_IMPORTS[[#This Row],[hts_6]],DIM_PRODUCTS[hts_6],DIM_PRODUCTS[hts_4],,,)</f>
        <v>8511</v>
      </c>
      <c r="I37" t="str" cm="1">
        <f t="array" ref="I37">_xlfn.XLOOKUP(FACT_IMPORTS[[#This Row],[country_name]],DIM_COUNTRY[[#All],[Column2]],DIM_COUNTRY[[#All],[Column3]],,,)</f>
        <v>USMCA</v>
      </c>
    </row>
    <row r="38" spans="1:9" x14ac:dyDescent="0.4">
      <c r="A38" t="s">
        <v>61</v>
      </c>
      <c r="B38" s="1">
        <v>44927</v>
      </c>
      <c r="C38">
        <v>851120</v>
      </c>
      <c r="D38" t="s">
        <v>176</v>
      </c>
      <c r="E38">
        <v>7500</v>
      </c>
      <c r="F38">
        <v>2</v>
      </c>
      <c r="G38">
        <v>2</v>
      </c>
      <c r="H38">
        <f>_xlfn.XLOOKUP(FACT_IMPORTS[[#This Row],[hts_6]],DIM_PRODUCTS[hts_6],DIM_PRODUCTS[hts_4],,,)</f>
        <v>8511</v>
      </c>
      <c r="I38" t="str" cm="1">
        <f t="array" ref="I38">_xlfn.XLOOKUP(FACT_IMPORTS[[#This Row],[country_name]],DIM_COUNTRY[[#All],[Column2]],DIM_COUNTRY[[#All],[Column3]],,,)</f>
        <v>USMCA</v>
      </c>
    </row>
    <row r="39" spans="1:9" x14ac:dyDescent="0.4">
      <c r="A39" t="s">
        <v>61</v>
      </c>
      <c r="B39" s="1">
        <v>44927</v>
      </c>
      <c r="C39">
        <v>851130</v>
      </c>
      <c r="D39" t="s">
        <v>176</v>
      </c>
      <c r="E39">
        <v>16364</v>
      </c>
      <c r="F39">
        <v>5550</v>
      </c>
      <c r="G39">
        <v>90</v>
      </c>
      <c r="H39">
        <f>_xlfn.XLOOKUP(FACT_IMPORTS[[#This Row],[hts_6]],DIM_PRODUCTS[hts_6],DIM_PRODUCTS[hts_4],,,)</f>
        <v>8511</v>
      </c>
      <c r="I39" t="str" cm="1">
        <f t="array" ref="I39">_xlfn.XLOOKUP(FACT_IMPORTS[[#This Row],[country_name]],DIM_COUNTRY[[#All],[Column2]],DIM_COUNTRY[[#All],[Column3]],,,)</f>
        <v>USMCA</v>
      </c>
    </row>
    <row r="40" spans="1:9" x14ac:dyDescent="0.4">
      <c r="A40" t="s">
        <v>61</v>
      </c>
      <c r="B40" s="1">
        <v>44927</v>
      </c>
      <c r="C40">
        <v>851140</v>
      </c>
      <c r="D40" t="s">
        <v>176</v>
      </c>
      <c r="E40">
        <v>486905</v>
      </c>
      <c r="F40">
        <v>11101</v>
      </c>
      <c r="G40">
        <v>2360</v>
      </c>
      <c r="H40">
        <f>_xlfn.XLOOKUP(FACT_IMPORTS[[#This Row],[hts_6]],DIM_PRODUCTS[hts_6],DIM_PRODUCTS[hts_4],,,)</f>
        <v>8511</v>
      </c>
      <c r="I40" t="str" cm="1">
        <f t="array" ref="I40">_xlfn.XLOOKUP(FACT_IMPORTS[[#This Row],[country_name]],DIM_COUNTRY[[#All],[Column2]],DIM_COUNTRY[[#All],[Column3]],,,)</f>
        <v>USMCA</v>
      </c>
    </row>
    <row r="41" spans="1:9" x14ac:dyDescent="0.4">
      <c r="A41" t="s">
        <v>61</v>
      </c>
      <c r="B41" s="1">
        <v>44927</v>
      </c>
      <c r="C41">
        <v>851150</v>
      </c>
      <c r="D41" t="s">
        <v>176</v>
      </c>
      <c r="E41">
        <v>485588</v>
      </c>
      <c r="F41">
        <v>7161</v>
      </c>
      <c r="G41">
        <v>3027</v>
      </c>
      <c r="H41">
        <f>_xlfn.XLOOKUP(FACT_IMPORTS[[#This Row],[hts_6]],DIM_PRODUCTS[hts_6],DIM_PRODUCTS[hts_4],,,)</f>
        <v>8511</v>
      </c>
      <c r="I41" t="str" cm="1">
        <f t="array" ref="I41">_xlfn.XLOOKUP(FACT_IMPORTS[[#This Row],[country_name]],DIM_COUNTRY[[#All],[Column2]],DIM_COUNTRY[[#All],[Column3]],,,)</f>
        <v>USMCA</v>
      </c>
    </row>
    <row r="42" spans="1:9" x14ac:dyDescent="0.4">
      <c r="A42" t="s">
        <v>61</v>
      </c>
      <c r="B42" s="1">
        <v>44927</v>
      </c>
      <c r="C42">
        <v>851180</v>
      </c>
      <c r="D42" t="s">
        <v>176</v>
      </c>
      <c r="E42">
        <v>7150</v>
      </c>
      <c r="F42">
        <v>1</v>
      </c>
      <c r="G42">
        <v>1500</v>
      </c>
      <c r="H42">
        <f>_xlfn.XLOOKUP(FACT_IMPORTS[[#This Row],[hts_6]],DIM_PRODUCTS[hts_6],DIM_PRODUCTS[hts_4],,,)</f>
        <v>8511</v>
      </c>
      <c r="I42" t="str" cm="1">
        <f t="array" ref="I42">_xlfn.XLOOKUP(FACT_IMPORTS[[#This Row],[country_name]],DIM_COUNTRY[[#All],[Column2]],DIM_COUNTRY[[#All],[Column3]],,,)</f>
        <v>USMCA</v>
      </c>
    </row>
    <row r="43" spans="1:9" x14ac:dyDescent="0.4">
      <c r="A43" t="s">
        <v>61</v>
      </c>
      <c r="B43" s="1">
        <v>44927</v>
      </c>
      <c r="C43">
        <v>851190</v>
      </c>
      <c r="D43" t="s">
        <v>176</v>
      </c>
      <c r="E43">
        <v>493776</v>
      </c>
      <c r="F43">
        <v>5113</v>
      </c>
      <c r="G43">
        <v>7049</v>
      </c>
      <c r="H43">
        <f>_xlfn.XLOOKUP(FACT_IMPORTS[[#This Row],[hts_6]],DIM_PRODUCTS[hts_6],DIM_PRODUCTS[hts_4],,,)</f>
        <v>8511</v>
      </c>
      <c r="I43" t="str" cm="1">
        <f t="array" ref="I43">_xlfn.XLOOKUP(FACT_IMPORTS[[#This Row],[country_name]],DIM_COUNTRY[[#All],[Column2]],DIM_COUNTRY[[#All],[Column3]],,,)</f>
        <v>USMCA</v>
      </c>
    </row>
    <row r="44" spans="1:9" x14ac:dyDescent="0.4">
      <c r="A44" t="s">
        <v>61</v>
      </c>
      <c r="B44" s="1">
        <v>44927</v>
      </c>
      <c r="C44">
        <v>851220</v>
      </c>
      <c r="D44" t="s">
        <v>176</v>
      </c>
      <c r="E44">
        <v>21346106</v>
      </c>
      <c r="F44">
        <v>344126</v>
      </c>
      <c r="G44">
        <v>79316</v>
      </c>
      <c r="H44">
        <f>_xlfn.XLOOKUP(FACT_IMPORTS[[#This Row],[hts_6]],DIM_PRODUCTS[hts_6],DIM_PRODUCTS[hts_4],,,)</f>
        <v>8512</v>
      </c>
      <c r="I44" t="str" cm="1">
        <f t="array" ref="I44">_xlfn.XLOOKUP(FACT_IMPORTS[[#This Row],[country_name]],DIM_COUNTRY[[#All],[Column2]],DIM_COUNTRY[[#All],[Column3]],,,)</f>
        <v>USMCA</v>
      </c>
    </row>
    <row r="45" spans="1:9" x14ac:dyDescent="0.4">
      <c r="A45" t="s">
        <v>61</v>
      </c>
      <c r="B45" s="1">
        <v>44927</v>
      </c>
      <c r="C45">
        <v>851230</v>
      </c>
      <c r="D45" t="s">
        <v>176</v>
      </c>
      <c r="E45">
        <v>35587</v>
      </c>
      <c r="F45">
        <v>2020</v>
      </c>
      <c r="G45">
        <v>416</v>
      </c>
      <c r="H45">
        <f>_xlfn.XLOOKUP(FACT_IMPORTS[[#This Row],[hts_6]],DIM_PRODUCTS[hts_6],DIM_PRODUCTS[hts_4],,,)</f>
        <v>8512</v>
      </c>
      <c r="I45" t="str" cm="1">
        <f t="array" ref="I45">_xlfn.XLOOKUP(FACT_IMPORTS[[#This Row],[country_name]],DIM_COUNTRY[[#All],[Column2]],DIM_COUNTRY[[#All],[Column3]],,,)</f>
        <v>USMCA</v>
      </c>
    </row>
    <row r="46" spans="1:9" x14ac:dyDescent="0.4">
      <c r="A46" t="s">
        <v>61</v>
      </c>
      <c r="B46" s="1">
        <v>44927</v>
      </c>
      <c r="C46">
        <v>851240</v>
      </c>
      <c r="D46" t="s">
        <v>176</v>
      </c>
      <c r="E46">
        <v>0</v>
      </c>
      <c r="F46">
        <v>0</v>
      </c>
      <c r="G46">
        <v>0</v>
      </c>
      <c r="H46">
        <f>_xlfn.XLOOKUP(FACT_IMPORTS[[#This Row],[hts_6]],DIM_PRODUCTS[hts_6],DIM_PRODUCTS[hts_4],,,)</f>
        <v>8512</v>
      </c>
      <c r="I46" t="str" cm="1">
        <f t="array" ref="I46">_xlfn.XLOOKUP(FACT_IMPORTS[[#This Row],[country_name]],DIM_COUNTRY[[#All],[Column2]],DIM_COUNTRY[[#All],[Column3]],,,)</f>
        <v>USMCA</v>
      </c>
    </row>
    <row r="47" spans="1:9" x14ac:dyDescent="0.4">
      <c r="A47" t="s">
        <v>61</v>
      </c>
      <c r="B47" s="1">
        <v>44927</v>
      </c>
      <c r="C47">
        <v>851290</v>
      </c>
      <c r="D47" t="s">
        <v>176</v>
      </c>
      <c r="E47">
        <v>2469415</v>
      </c>
      <c r="F47">
        <v>53897</v>
      </c>
      <c r="G47">
        <v>26870</v>
      </c>
      <c r="H47">
        <f>_xlfn.XLOOKUP(FACT_IMPORTS[[#This Row],[hts_6]],DIM_PRODUCTS[hts_6],DIM_PRODUCTS[hts_4],,,)</f>
        <v>8512</v>
      </c>
      <c r="I47" t="str" cm="1">
        <f t="array" ref="I47">_xlfn.XLOOKUP(FACT_IMPORTS[[#This Row],[country_name]],DIM_COUNTRY[[#All],[Column2]],DIM_COUNTRY[[#All],[Column3]],,,)</f>
        <v>USMCA</v>
      </c>
    </row>
    <row r="48" spans="1:9" x14ac:dyDescent="0.4">
      <c r="A48" t="s">
        <v>61</v>
      </c>
      <c r="B48" s="1">
        <v>44927</v>
      </c>
      <c r="C48">
        <v>854231</v>
      </c>
      <c r="D48" t="s">
        <v>176</v>
      </c>
      <c r="E48">
        <v>30687</v>
      </c>
      <c r="F48">
        <v>894</v>
      </c>
      <c r="G48">
        <v>976</v>
      </c>
      <c r="H48">
        <f>_xlfn.XLOOKUP(FACT_IMPORTS[[#This Row],[hts_6]],DIM_PRODUCTS[hts_6],DIM_PRODUCTS[hts_4],,,)</f>
        <v>8542</v>
      </c>
      <c r="I48" t="str" cm="1">
        <f t="array" ref="I48">_xlfn.XLOOKUP(FACT_IMPORTS[[#This Row],[country_name]],DIM_COUNTRY[[#All],[Column2]],DIM_COUNTRY[[#All],[Column3]],,,)</f>
        <v>USMCA</v>
      </c>
    </row>
    <row r="49" spans="1:9" x14ac:dyDescent="0.4">
      <c r="A49" t="s">
        <v>61</v>
      </c>
      <c r="B49" s="1">
        <v>44927</v>
      </c>
      <c r="C49">
        <v>854232</v>
      </c>
      <c r="D49" t="s">
        <v>176</v>
      </c>
      <c r="E49">
        <v>2766</v>
      </c>
      <c r="F49">
        <v>3800</v>
      </c>
      <c r="G49">
        <v>69</v>
      </c>
      <c r="H49">
        <f>_xlfn.XLOOKUP(FACT_IMPORTS[[#This Row],[hts_6]],DIM_PRODUCTS[hts_6],DIM_PRODUCTS[hts_4],,,)</f>
        <v>8542</v>
      </c>
      <c r="I49" t="str" cm="1">
        <f t="array" ref="I49">_xlfn.XLOOKUP(FACT_IMPORTS[[#This Row],[country_name]],DIM_COUNTRY[[#All],[Column2]],DIM_COUNTRY[[#All],[Column3]],,,)</f>
        <v>USMCA</v>
      </c>
    </row>
    <row r="50" spans="1:9" x14ac:dyDescent="0.4">
      <c r="A50" t="s">
        <v>61</v>
      </c>
      <c r="B50" s="1">
        <v>44927</v>
      </c>
      <c r="C50">
        <v>854233</v>
      </c>
      <c r="D50" t="s">
        <v>176</v>
      </c>
      <c r="E50">
        <v>10457</v>
      </c>
      <c r="F50">
        <v>75</v>
      </c>
      <c r="G50">
        <v>107</v>
      </c>
      <c r="H50">
        <f>_xlfn.XLOOKUP(FACT_IMPORTS[[#This Row],[hts_6]],DIM_PRODUCTS[hts_6],DIM_PRODUCTS[hts_4],,,)</f>
        <v>8542</v>
      </c>
      <c r="I50" t="str" cm="1">
        <f t="array" ref="I50">_xlfn.XLOOKUP(FACT_IMPORTS[[#This Row],[country_name]],DIM_COUNTRY[[#All],[Column2]],DIM_COUNTRY[[#All],[Column3]],,,)</f>
        <v>USMCA</v>
      </c>
    </row>
    <row r="51" spans="1:9" x14ac:dyDescent="0.4">
      <c r="A51" t="s">
        <v>61</v>
      </c>
      <c r="B51" s="1">
        <v>44927</v>
      </c>
      <c r="C51">
        <v>854239</v>
      </c>
      <c r="D51" t="s">
        <v>176</v>
      </c>
      <c r="E51">
        <v>16047</v>
      </c>
      <c r="F51">
        <v>9</v>
      </c>
      <c r="G51">
        <v>52</v>
      </c>
      <c r="H51">
        <f>_xlfn.XLOOKUP(FACT_IMPORTS[[#This Row],[hts_6]],DIM_PRODUCTS[hts_6],DIM_PRODUCTS[hts_4],,,)</f>
        <v>8542</v>
      </c>
      <c r="I51" t="str" cm="1">
        <f t="array" ref="I51">_xlfn.XLOOKUP(FACT_IMPORTS[[#This Row],[country_name]],DIM_COUNTRY[[#All],[Column2]],DIM_COUNTRY[[#All],[Column3]],,,)</f>
        <v>USMCA</v>
      </c>
    </row>
    <row r="52" spans="1:9" x14ac:dyDescent="0.4">
      <c r="A52" t="s">
        <v>61</v>
      </c>
      <c r="B52" s="1">
        <v>44927</v>
      </c>
      <c r="C52">
        <v>854290</v>
      </c>
      <c r="D52" t="s">
        <v>176</v>
      </c>
      <c r="E52">
        <v>97530</v>
      </c>
      <c r="F52">
        <v>3017</v>
      </c>
      <c r="G52">
        <v>2000</v>
      </c>
      <c r="H52">
        <f>_xlfn.XLOOKUP(FACT_IMPORTS[[#This Row],[hts_6]],DIM_PRODUCTS[hts_6],DIM_PRODUCTS[hts_4],,,)</f>
        <v>8542</v>
      </c>
      <c r="I52" t="str" cm="1">
        <f t="array" ref="I52">_xlfn.XLOOKUP(FACT_IMPORTS[[#This Row],[country_name]],DIM_COUNTRY[[#All],[Column2]],DIM_COUNTRY[[#All],[Column3]],,,)</f>
        <v>USMCA</v>
      </c>
    </row>
    <row r="53" spans="1:9" x14ac:dyDescent="0.4">
      <c r="A53" t="s">
        <v>61</v>
      </c>
      <c r="B53" s="1">
        <v>44927</v>
      </c>
      <c r="C53">
        <v>854430</v>
      </c>
      <c r="D53" t="s">
        <v>176</v>
      </c>
      <c r="E53">
        <v>1172353</v>
      </c>
      <c r="F53">
        <v>34839</v>
      </c>
      <c r="G53">
        <v>9939</v>
      </c>
      <c r="H53">
        <f>_xlfn.XLOOKUP(FACT_IMPORTS[[#This Row],[hts_6]],DIM_PRODUCTS[hts_6],DIM_PRODUCTS[hts_4],,,)</f>
        <v>8544</v>
      </c>
      <c r="I53" t="str" cm="1">
        <f t="array" ref="I53">_xlfn.XLOOKUP(FACT_IMPORTS[[#This Row],[country_name]],DIM_COUNTRY[[#All],[Column2]],DIM_COUNTRY[[#All],[Column3]],,,)</f>
        <v>USMCA</v>
      </c>
    </row>
    <row r="54" spans="1:9" x14ac:dyDescent="0.4">
      <c r="A54" t="s">
        <v>61</v>
      </c>
      <c r="B54" s="1">
        <v>44927</v>
      </c>
      <c r="C54">
        <v>870710</v>
      </c>
      <c r="D54" t="s">
        <v>176</v>
      </c>
      <c r="E54">
        <v>5388</v>
      </c>
      <c r="F54">
        <v>1</v>
      </c>
      <c r="G54">
        <v>66</v>
      </c>
      <c r="H54">
        <f>_xlfn.XLOOKUP(FACT_IMPORTS[[#This Row],[hts_6]],DIM_PRODUCTS[hts_6],DIM_PRODUCTS[hts_4],,,)</f>
        <v>8707</v>
      </c>
      <c r="I54" t="str" cm="1">
        <f t="array" ref="I54">_xlfn.XLOOKUP(FACT_IMPORTS[[#This Row],[country_name]],DIM_COUNTRY[[#All],[Column2]],DIM_COUNTRY[[#All],[Column3]],,,)</f>
        <v>USMCA</v>
      </c>
    </row>
    <row r="55" spans="1:9" x14ac:dyDescent="0.4">
      <c r="A55" t="s">
        <v>61</v>
      </c>
      <c r="B55" s="1">
        <v>44927</v>
      </c>
      <c r="C55">
        <v>870790</v>
      </c>
      <c r="D55" t="s">
        <v>176</v>
      </c>
      <c r="E55">
        <v>3306174</v>
      </c>
      <c r="F55">
        <v>212</v>
      </c>
      <c r="G55">
        <v>17869</v>
      </c>
      <c r="H55">
        <f>_xlfn.XLOOKUP(FACT_IMPORTS[[#This Row],[hts_6]],DIM_PRODUCTS[hts_6],DIM_PRODUCTS[hts_4],,,)</f>
        <v>8707</v>
      </c>
      <c r="I55" t="str" cm="1">
        <f t="array" ref="I55">_xlfn.XLOOKUP(FACT_IMPORTS[[#This Row],[country_name]],DIM_COUNTRY[[#All],[Column2]],DIM_COUNTRY[[#All],[Column3]],,,)</f>
        <v>USMCA</v>
      </c>
    </row>
    <row r="56" spans="1:9" x14ac:dyDescent="0.4">
      <c r="A56" t="s">
        <v>61</v>
      </c>
      <c r="B56" s="1">
        <v>44927</v>
      </c>
      <c r="C56">
        <v>870810</v>
      </c>
      <c r="D56" t="s">
        <v>176</v>
      </c>
      <c r="E56">
        <v>25476199</v>
      </c>
      <c r="F56">
        <v>1219955</v>
      </c>
      <c r="G56">
        <v>451798</v>
      </c>
      <c r="H56">
        <f>_xlfn.XLOOKUP(FACT_IMPORTS[[#This Row],[hts_6]],DIM_PRODUCTS[hts_6],DIM_PRODUCTS[hts_4],,,)</f>
        <v>8708</v>
      </c>
      <c r="I56" t="str" cm="1">
        <f t="array" ref="I56">_xlfn.XLOOKUP(FACT_IMPORTS[[#This Row],[country_name]],DIM_COUNTRY[[#All],[Column2]],DIM_COUNTRY[[#All],[Column3]],,,)</f>
        <v>USMCA</v>
      </c>
    </row>
    <row r="57" spans="1:9" x14ac:dyDescent="0.4">
      <c r="A57" t="s">
        <v>61</v>
      </c>
      <c r="B57" s="1">
        <v>44927</v>
      </c>
      <c r="C57">
        <v>870821</v>
      </c>
      <c r="D57" t="s">
        <v>176</v>
      </c>
      <c r="E57">
        <v>112375</v>
      </c>
      <c r="F57">
        <v>3639</v>
      </c>
      <c r="G57">
        <v>1558</v>
      </c>
      <c r="H57">
        <f>_xlfn.XLOOKUP(FACT_IMPORTS[[#This Row],[hts_6]],DIM_PRODUCTS[hts_6],DIM_PRODUCTS[hts_4],,,)</f>
        <v>8708</v>
      </c>
      <c r="I57" t="str" cm="1">
        <f t="array" ref="I57">_xlfn.XLOOKUP(FACT_IMPORTS[[#This Row],[country_name]],DIM_COUNTRY[[#All],[Column2]],DIM_COUNTRY[[#All],[Column3]],,,)</f>
        <v>USMCA</v>
      </c>
    </row>
    <row r="58" spans="1:9" x14ac:dyDescent="0.4">
      <c r="A58" t="s">
        <v>61</v>
      </c>
      <c r="B58" s="1">
        <v>44927</v>
      </c>
      <c r="C58">
        <v>870822</v>
      </c>
      <c r="D58" t="s">
        <v>176</v>
      </c>
      <c r="E58">
        <v>4498559</v>
      </c>
      <c r="F58">
        <v>89622</v>
      </c>
      <c r="G58">
        <v>75355</v>
      </c>
      <c r="H58">
        <f>_xlfn.XLOOKUP(FACT_IMPORTS[[#This Row],[hts_6]],DIM_PRODUCTS[hts_6],DIM_PRODUCTS[hts_4],,,)</f>
        <v>8708</v>
      </c>
      <c r="I58" t="str" cm="1">
        <f t="array" ref="I58">_xlfn.XLOOKUP(FACT_IMPORTS[[#This Row],[country_name]],DIM_COUNTRY[[#All],[Column2]],DIM_COUNTRY[[#All],[Column3]],,,)</f>
        <v>USMCA</v>
      </c>
    </row>
    <row r="59" spans="1:9" x14ac:dyDescent="0.4">
      <c r="A59" t="s">
        <v>61</v>
      </c>
      <c r="B59" s="1">
        <v>44927</v>
      </c>
      <c r="C59">
        <v>870829</v>
      </c>
      <c r="D59" t="s">
        <v>176</v>
      </c>
      <c r="E59">
        <v>362957213</v>
      </c>
      <c r="F59">
        <v>51326505</v>
      </c>
      <c r="G59">
        <v>6736454</v>
      </c>
      <c r="H59">
        <f>_xlfn.XLOOKUP(FACT_IMPORTS[[#This Row],[hts_6]],DIM_PRODUCTS[hts_6],DIM_PRODUCTS[hts_4],,,)</f>
        <v>8708</v>
      </c>
      <c r="I59" t="str" cm="1">
        <f t="array" ref="I59">_xlfn.XLOOKUP(FACT_IMPORTS[[#This Row],[country_name]],DIM_COUNTRY[[#All],[Column2]],DIM_COUNTRY[[#All],[Column3]],,,)</f>
        <v>USMCA</v>
      </c>
    </row>
    <row r="60" spans="1:9" x14ac:dyDescent="0.4">
      <c r="A60" t="s">
        <v>61</v>
      </c>
      <c r="B60" s="1">
        <v>44927</v>
      </c>
      <c r="C60">
        <v>870830</v>
      </c>
      <c r="D60" t="s">
        <v>176</v>
      </c>
      <c r="E60">
        <v>14469978</v>
      </c>
      <c r="F60">
        <v>4357110</v>
      </c>
      <c r="G60">
        <v>171560</v>
      </c>
      <c r="H60">
        <f>_xlfn.XLOOKUP(FACT_IMPORTS[[#This Row],[hts_6]],DIM_PRODUCTS[hts_6],DIM_PRODUCTS[hts_4],,,)</f>
        <v>8708</v>
      </c>
      <c r="I60" t="str" cm="1">
        <f t="array" ref="I60">_xlfn.XLOOKUP(FACT_IMPORTS[[#This Row],[country_name]],DIM_COUNTRY[[#All],[Column2]],DIM_COUNTRY[[#All],[Column3]],,,)</f>
        <v>USMCA</v>
      </c>
    </row>
    <row r="61" spans="1:9" x14ac:dyDescent="0.4">
      <c r="A61" t="s">
        <v>61</v>
      </c>
      <c r="B61" s="1">
        <v>44927</v>
      </c>
      <c r="C61">
        <v>870840</v>
      </c>
      <c r="D61" t="s">
        <v>176</v>
      </c>
      <c r="E61">
        <v>91978179</v>
      </c>
      <c r="F61">
        <v>4270448</v>
      </c>
      <c r="G61">
        <v>604434</v>
      </c>
      <c r="H61">
        <f>_xlfn.XLOOKUP(FACT_IMPORTS[[#This Row],[hts_6]],DIM_PRODUCTS[hts_6],DIM_PRODUCTS[hts_4],,,)</f>
        <v>8708</v>
      </c>
      <c r="I61" t="str" cm="1">
        <f t="array" ref="I61">_xlfn.XLOOKUP(FACT_IMPORTS[[#This Row],[country_name]],DIM_COUNTRY[[#All],[Column2]],DIM_COUNTRY[[#All],[Column3]],,,)</f>
        <v>USMCA</v>
      </c>
    </row>
    <row r="62" spans="1:9" x14ac:dyDescent="0.4">
      <c r="A62" t="s">
        <v>61</v>
      </c>
      <c r="B62" s="1">
        <v>44927</v>
      </c>
      <c r="C62">
        <v>870850</v>
      </c>
      <c r="D62" t="s">
        <v>176</v>
      </c>
      <c r="E62">
        <v>37364996</v>
      </c>
      <c r="F62">
        <v>1770570</v>
      </c>
      <c r="G62">
        <v>227299</v>
      </c>
      <c r="H62">
        <f>_xlfn.XLOOKUP(FACT_IMPORTS[[#This Row],[hts_6]],DIM_PRODUCTS[hts_6],DIM_PRODUCTS[hts_4],,,)</f>
        <v>8708</v>
      </c>
      <c r="I62" t="str" cm="1">
        <f t="array" ref="I62">_xlfn.XLOOKUP(FACT_IMPORTS[[#This Row],[country_name]],DIM_COUNTRY[[#All],[Column2]],DIM_COUNTRY[[#All],[Column3]],,,)</f>
        <v>USMCA</v>
      </c>
    </row>
    <row r="63" spans="1:9" x14ac:dyDescent="0.4">
      <c r="A63" t="s">
        <v>61</v>
      </c>
      <c r="B63" s="1">
        <v>44927</v>
      </c>
      <c r="C63">
        <v>870870</v>
      </c>
      <c r="D63" t="s">
        <v>176</v>
      </c>
      <c r="E63">
        <v>9804862</v>
      </c>
      <c r="F63">
        <v>7688153</v>
      </c>
      <c r="G63">
        <v>144722</v>
      </c>
      <c r="H63">
        <f>_xlfn.XLOOKUP(FACT_IMPORTS[[#This Row],[hts_6]],DIM_PRODUCTS[hts_6],DIM_PRODUCTS[hts_4],,,)</f>
        <v>8708</v>
      </c>
      <c r="I63" t="str" cm="1">
        <f t="array" ref="I63">_xlfn.XLOOKUP(FACT_IMPORTS[[#This Row],[country_name]],DIM_COUNTRY[[#All],[Column2]],DIM_COUNTRY[[#All],[Column3]],,,)</f>
        <v>USMCA</v>
      </c>
    </row>
    <row r="64" spans="1:9" x14ac:dyDescent="0.4">
      <c r="A64" t="s">
        <v>61</v>
      </c>
      <c r="B64" s="1">
        <v>44927</v>
      </c>
      <c r="C64">
        <v>870880</v>
      </c>
      <c r="D64" t="s">
        <v>176</v>
      </c>
      <c r="E64">
        <v>52704965</v>
      </c>
      <c r="F64">
        <v>2906769</v>
      </c>
      <c r="G64">
        <v>1004361</v>
      </c>
      <c r="H64">
        <f>_xlfn.XLOOKUP(FACT_IMPORTS[[#This Row],[hts_6]],DIM_PRODUCTS[hts_6],DIM_PRODUCTS[hts_4],,,)</f>
        <v>8708</v>
      </c>
      <c r="I64" t="str" cm="1">
        <f t="array" ref="I64">_xlfn.XLOOKUP(FACT_IMPORTS[[#This Row],[country_name]],DIM_COUNTRY[[#All],[Column2]],DIM_COUNTRY[[#All],[Column3]],,,)</f>
        <v>USMCA</v>
      </c>
    </row>
    <row r="65" spans="1:9" x14ac:dyDescent="0.4">
      <c r="A65" t="s">
        <v>61</v>
      </c>
      <c r="B65" s="1">
        <v>44927</v>
      </c>
      <c r="C65">
        <v>870891</v>
      </c>
      <c r="D65" t="s">
        <v>176</v>
      </c>
      <c r="E65">
        <v>8294500</v>
      </c>
      <c r="F65">
        <v>295298</v>
      </c>
      <c r="G65">
        <v>114891</v>
      </c>
      <c r="H65">
        <f>_xlfn.XLOOKUP(FACT_IMPORTS[[#This Row],[hts_6]],DIM_PRODUCTS[hts_6],DIM_PRODUCTS[hts_4],,,)</f>
        <v>8708</v>
      </c>
      <c r="I65" t="str" cm="1">
        <f t="array" ref="I65">_xlfn.XLOOKUP(FACT_IMPORTS[[#This Row],[country_name]],DIM_COUNTRY[[#All],[Column2]],DIM_COUNTRY[[#All],[Column3]],,,)</f>
        <v>USMCA</v>
      </c>
    </row>
    <row r="66" spans="1:9" x14ac:dyDescent="0.4">
      <c r="A66" t="s">
        <v>61</v>
      </c>
      <c r="B66" s="1">
        <v>44927</v>
      </c>
      <c r="C66">
        <v>870892</v>
      </c>
      <c r="D66" t="s">
        <v>176</v>
      </c>
      <c r="E66">
        <v>22178530</v>
      </c>
      <c r="F66">
        <v>1558304</v>
      </c>
      <c r="G66">
        <v>450127</v>
      </c>
      <c r="H66">
        <f>_xlfn.XLOOKUP(FACT_IMPORTS[[#This Row],[hts_6]],DIM_PRODUCTS[hts_6],DIM_PRODUCTS[hts_4],,,)</f>
        <v>8708</v>
      </c>
      <c r="I66" t="str" cm="1">
        <f t="array" ref="I66">_xlfn.XLOOKUP(FACT_IMPORTS[[#This Row],[country_name]],DIM_COUNTRY[[#All],[Column2]],DIM_COUNTRY[[#All],[Column3]],,,)</f>
        <v>USMCA</v>
      </c>
    </row>
    <row r="67" spans="1:9" x14ac:dyDescent="0.4">
      <c r="A67" t="s">
        <v>61</v>
      </c>
      <c r="B67" s="1">
        <v>44927</v>
      </c>
      <c r="C67">
        <v>870893</v>
      </c>
      <c r="D67" t="s">
        <v>176</v>
      </c>
      <c r="E67">
        <v>46884167</v>
      </c>
      <c r="F67">
        <v>1461594</v>
      </c>
      <c r="G67">
        <v>129799</v>
      </c>
      <c r="H67">
        <f>_xlfn.XLOOKUP(FACT_IMPORTS[[#This Row],[hts_6]],DIM_PRODUCTS[hts_6],DIM_PRODUCTS[hts_4],,,)</f>
        <v>8708</v>
      </c>
      <c r="I67" t="str" cm="1">
        <f t="array" ref="I67">_xlfn.XLOOKUP(FACT_IMPORTS[[#This Row],[country_name]],DIM_COUNTRY[[#All],[Column2]],DIM_COUNTRY[[#All],[Column3]],,,)</f>
        <v>USMCA</v>
      </c>
    </row>
    <row r="68" spans="1:9" x14ac:dyDescent="0.4">
      <c r="A68" t="s">
        <v>61</v>
      </c>
      <c r="B68" s="1">
        <v>44927</v>
      </c>
      <c r="C68">
        <v>870894</v>
      </c>
      <c r="D68" t="s">
        <v>176</v>
      </c>
      <c r="E68">
        <v>9418221</v>
      </c>
      <c r="F68">
        <v>1817135</v>
      </c>
      <c r="G68">
        <v>93130</v>
      </c>
      <c r="H68">
        <f>_xlfn.XLOOKUP(FACT_IMPORTS[[#This Row],[hts_6]],DIM_PRODUCTS[hts_6],DIM_PRODUCTS[hts_4],,,)</f>
        <v>8708</v>
      </c>
      <c r="I68" t="str" cm="1">
        <f t="array" ref="I68">_xlfn.XLOOKUP(FACT_IMPORTS[[#This Row],[country_name]],DIM_COUNTRY[[#All],[Column2]],DIM_COUNTRY[[#All],[Column3]],,,)</f>
        <v>USMCA</v>
      </c>
    </row>
    <row r="69" spans="1:9" x14ac:dyDescent="0.4">
      <c r="A69" t="s">
        <v>61</v>
      </c>
      <c r="B69" s="1">
        <v>44927</v>
      </c>
      <c r="C69">
        <v>870895</v>
      </c>
      <c r="D69" t="s">
        <v>176</v>
      </c>
      <c r="E69">
        <v>2627438</v>
      </c>
      <c r="F69">
        <v>1752786</v>
      </c>
      <c r="G69">
        <v>12871</v>
      </c>
      <c r="H69">
        <f>_xlfn.XLOOKUP(FACT_IMPORTS[[#This Row],[hts_6]],DIM_PRODUCTS[hts_6],DIM_PRODUCTS[hts_4],,,)</f>
        <v>8708</v>
      </c>
      <c r="I69" t="str" cm="1">
        <f t="array" ref="I69">_xlfn.XLOOKUP(FACT_IMPORTS[[#This Row],[country_name]],DIM_COUNTRY[[#All],[Column2]],DIM_COUNTRY[[#All],[Column3]],,,)</f>
        <v>USMCA</v>
      </c>
    </row>
    <row r="70" spans="1:9" x14ac:dyDescent="0.4">
      <c r="A70" t="s">
        <v>61</v>
      </c>
      <c r="B70" s="1">
        <v>44927</v>
      </c>
      <c r="C70">
        <v>870899</v>
      </c>
      <c r="D70" t="s">
        <v>176</v>
      </c>
      <c r="E70">
        <v>181313222</v>
      </c>
      <c r="F70">
        <v>16603402</v>
      </c>
      <c r="G70">
        <v>2259423</v>
      </c>
      <c r="H70">
        <f>_xlfn.XLOOKUP(FACT_IMPORTS[[#This Row],[hts_6]],DIM_PRODUCTS[hts_6],DIM_PRODUCTS[hts_4],,,)</f>
        <v>8708</v>
      </c>
      <c r="I70" t="str" cm="1">
        <f t="array" ref="I70">_xlfn.XLOOKUP(FACT_IMPORTS[[#This Row],[country_name]],DIM_COUNTRY[[#All],[Column2]],DIM_COUNTRY[[#All],[Column3]],,,)</f>
        <v>USMCA</v>
      </c>
    </row>
    <row r="71" spans="1:9" x14ac:dyDescent="0.4">
      <c r="A71" t="s">
        <v>61</v>
      </c>
      <c r="B71" s="1">
        <v>44927</v>
      </c>
      <c r="C71">
        <v>940120</v>
      </c>
      <c r="D71" t="s">
        <v>176</v>
      </c>
      <c r="E71">
        <v>952046</v>
      </c>
      <c r="F71">
        <v>72964</v>
      </c>
      <c r="G71">
        <v>14494</v>
      </c>
      <c r="H71">
        <f>_xlfn.XLOOKUP(FACT_IMPORTS[[#This Row],[hts_6]],DIM_PRODUCTS[hts_6],DIM_PRODUCTS[hts_4],,,)</f>
        <v>9401</v>
      </c>
      <c r="I71" t="str" cm="1">
        <f t="array" ref="I71">_xlfn.XLOOKUP(FACT_IMPORTS[[#This Row],[country_name]],DIM_COUNTRY[[#All],[Column2]],DIM_COUNTRY[[#All],[Column3]],,,)</f>
        <v>USMCA</v>
      </c>
    </row>
    <row r="72" spans="1:9" x14ac:dyDescent="0.4">
      <c r="A72" t="s">
        <v>61</v>
      </c>
      <c r="B72" s="1">
        <v>44958</v>
      </c>
      <c r="C72">
        <v>392630</v>
      </c>
      <c r="D72" t="s">
        <v>176</v>
      </c>
      <c r="E72">
        <v>3600925</v>
      </c>
      <c r="F72">
        <v>318438</v>
      </c>
      <c r="G72">
        <v>160214</v>
      </c>
      <c r="H72">
        <f>_xlfn.XLOOKUP(FACT_IMPORTS[[#This Row],[hts_6]],DIM_PRODUCTS[hts_6],DIM_PRODUCTS[hts_4],,,)</f>
        <v>3926</v>
      </c>
      <c r="I72" t="str" cm="1">
        <f t="array" ref="I72">_xlfn.XLOOKUP(FACT_IMPORTS[[#This Row],[country_name]],DIM_COUNTRY[[#All],[Column2]],DIM_COUNTRY[[#All],[Column3]],,,)</f>
        <v>USMCA</v>
      </c>
    </row>
    <row r="73" spans="1:9" x14ac:dyDescent="0.4">
      <c r="A73" t="s">
        <v>61</v>
      </c>
      <c r="B73" s="1">
        <v>44958</v>
      </c>
      <c r="C73">
        <v>401110</v>
      </c>
      <c r="D73" t="s">
        <v>176</v>
      </c>
      <c r="E73">
        <v>48041851</v>
      </c>
      <c r="F73">
        <v>670127</v>
      </c>
      <c r="G73">
        <v>296495</v>
      </c>
      <c r="H73">
        <f>_xlfn.XLOOKUP(FACT_IMPORTS[[#This Row],[hts_6]],DIM_PRODUCTS[hts_6],DIM_PRODUCTS[hts_4],,,)</f>
        <v>4011</v>
      </c>
      <c r="I73" t="str" cm="1">
        <f t="array" ref="I73">_xlfn.XLOOKUP(FACT_IMPORTS[[#This Row],[country_name]],DIM_COUNTRY[[#All],[Column2]],DIM_COUNTRY[[#All],[Column3]],,,)</f>
        <v>USMCA</v>
      </c>
    </row>
    <row r="74" spans="1:9" x14ac:dyDescent="0.4">
      <c r="A74" t="s">
        <v>61</v>
      </c>
      <c r="B74" s="1">
        <v>44958</v>
      </c>
      <c r="C74">
        <v>401120</v>
      </c>
      <c r="D74" t="s">
        <v>176</v>
      </c>
      <c r="E74">
        <v>43229267</v>
      </c>
      <c r="F74">
        <v>296386</v>
      </c>
      <c r="G74">
        <v>296225</v>
      </c>
      <c r="H74">
        <f>_xlfn.XLOOKUP(FACT_IMPORTS[[#This Row],[hts_6]],DIM_PRODUCTS[hts_6],DIM_PRODUCTS[hts_4],,,)</f>
        <v>4011</v>
      </c>
      <c r="I74" t="str" cm="1">
        <f t="array" ref="I74">_xlfn.XLOOKUP(FACT_IMPORTS[[#This Row],[country_name]],DIM_COUNTRY[[#All],[Column2]],DIM_COUNTRY[[#All],[Column3]],,,)</f>
        <v>USMCA</v>
      </c>
    </row>
    <row r="75" spans="1:9" x14ac:dyDescent="0.4">
      <c r="A75" t="s">
        <v>61</v>
      </c>
      <c r="B75" s="1">
        <v>44958</v>
      </c>
      <c r="C75">
        <v>401140</v>
      </c>
      <c r="D75" t="s">
        <v>176</v>
      </c>
      <c r="E75">
        <v>0</v>
      </c>
      <c r="F75">
        <v>0</v>
      </c>
      <c r="G75">
        <v>0</v>
      </c>
      <c r="H75">
        <f>_xlfn.XLOOKUP(FACT_IMPORTS[[#This Row],[hts_6]],DIM_PRODUCTS[hts_6],DIM_PRODUCTS[hts_4],,,)</f>
        <v>4011</v>
      </c>
      <c r="I75" t="str" cm="1">
        <f t="array" ref="I75">_xlfn.XLOOKUP(FACT_IMPORTS[[#This Row],[country_name]],DIM_COUNTRY[[#All],[Column2]],DIM_COUNTRY[[#All],[Column3]],,,)</f>
        <v>USMCA</v>
      </c>
    </row>
    <row r="76" spans="1:9" x14ac:dyDescent="0.4">
      <c r="A76" t="s">
        <v>61</v>
      </c>
      <c r="B76" s="1">
        <v>44958</v>
      </c>
      <c r="C76">
        <v>401190</v>
      </c>
      <c r="D76" t="s">
        <v>176</v>
      </c>
      <c r="E76">
        <v>3929</v>
      </c>
      <c r="F76">
        <v>26</v>
      </c>
      <c r="G76">
        <v>268</v>
      </c>
      <c r="H76">
        <f>_xlfn.XLOOKUP(FACT_IMPORTS[[#This Row],[hts_6]],DIM_PRODUCTS[hts_6],DIM_PRODUCTS[hts_4],,,)</f>
        <v>4011</v>
      </c>
      <c r="I76" t="str" cm="1">
        <f t="array" ref="I76">_xlfn.XLOOKUP(FACT_IMPORTS[[#This Row],[country_name]],DIM_COUNTRY[[#All],[Column2]],DIM_COUNTRY[[#All],[Column3]],,,)</f>
        <v>USMCA</v>
      </c>
    </row>
    <row r="77" spans="1:9" x14ac:dyDescent="0.4">
      <c r="A77" t="s">
        <v>61</v>
      </c>
      <c r="B77" s="1">
        <v>44958</v>
      </c>
      <c r="C77">
        <v>700711</v>
      </c>
      <c r="D77" t="s">
        <v>176</v>
      </c>
      <c r="E77">
        <v>840368</v>
      </c>
      <c r="F77">
        <v>914</v>
      </c>
      <c r="G77">
        <v>4284</v>
      </c>
      <c r="H77">
        <f>_xlfn.XLOOKUP(FACT_IMPORTS[[#This Row],[hts_6]],DIM_PRODUCTS[hts_6],DIM_PRODUCTS[hts_4],,,)</f>
        <v>7007</v>
      </c>
      <c r="I77" t="str" cm="1">
        <f t="array" ref="I77">_xlfn.XLOOKUP(FACT_IMPORTS[[#This Row],[country_name]],DIM_COUNTRY[[#All],[Column2]],DIM_COUNTRY[[#All],[Column3]],,,)</f>
        <v>USMCA</v>
      </c>
    </row>
    <row r="78" spans="1:9" x14ac:dyDescent="0.4">
      <c r="A78" t="s">
        <v>61</v>
      </c>
      <c r="B78" s="1">
        <v>44958</v>
      </c>
      <c r="C78">
        <v>700721</v>
      </c>
      <c r="D78" t="s">
        <v>176</v>
      </c>
      <c r="E78">
        <v>41772</v>
      </c>
      <c r="F78">
        <v>61</v>
      </c>
      <c r="G78">
        <v>108</v>
      </c>
      <c r="H78">
        <f>_xlfn.XLOOKUP(FACT_IMPORTS[[#This Row],[hts_6]],DIM_PRODUCTS[hts_6],DIM_PRODUCTS[hts_4],,,)</f>
        <v>7007</v>
      </c>
      <c r="I78" t="str" cm="1">
        <f t="array" ref="I78">_xlfn.XLOOKUP(FACT_IMPORTS[[#This Row],[country_name]],DIM_COUNTRY[[#All],[Column2]],DIM_COUNTRY[[#All],[Column3]],,,)</f>
        <v>USMCA</v>
      </c>
    </row>
    <row r="79" spans="1:9" x14ac:dyDescent="0.4">
      <c r="A79" t="s">
        <v>61</v>
      </c>
      <c r="B79" s="1">
        <v>44958</v>
      </c>
      <c r="C79">
        <v>700910</v>
      </c>
      <c r="D79" t="s">
        <v>176</v>
      </c>
      <c r="E79">
        <v>265814</v>
      </c>
      <c r="F79">
        <v>5898</v>
      </c>
      <c r="G79">
        <v>1390</v>
      </c>
      <c r="H79">
        <f>_xlfn.XLOOKUP(FACT_IMPORTS[[#This Row],[hts_6]],DIM_PRODUCTS[hts_6],DIM_PRODUCTS[hts_4],,,)</f>
        <v>7009</v>
      </c>
      <c r="I79" t="str" cm="1">
        <f t="array" ref="I79">_xlfn.XLOOKUP(FACT_IMPORTS[[#This Row],[country_name]],DIM_COUNTRY[[#All],[Column2]],DIM_COUNTRY[[#All],[Column3]],,,)</f>
        <v>USMCA</v>
      </c>
    </row>
    <row r="80" spans="1:9" x14ac:dyDescent="0.4">
      <c r="A80" t="s">
        <v>61</v>
      </c>
      <c r="B80" s="1">
        <v>44958</v>
      </c>
      <c r="C80">
        <v>732010</v>
      </c>
      <c r="D80" t="s">
        <v>176</v>
      </c>
      <c r="E80">
        <v>4133187</v>
      </c>
      <c r="F80">
        <v>1245985</v>
      </c>
      <c r="G80">
        <v>28038</v>
      </c>
      <c r="H80">
        <f>_xlfn.XLOOKUP(FACT_IMPORTS[[#This Row],[hts_6]],DIM_PRODUCTS[hts_6],DIM_PRODUCTS[hts_4],,,)</f>
        <v>7320</v>
      </c>
      <c r="I80" t="str" cm="1">
        <f t="array" ref="I80">_xlfn.XLOOKUP(FACT_IMPORTS[[#This Row],[country_name]],DIM_COUNTRY[[#All],[Column2]],DIM_COUNTRY[[#All],[Column3]],,,)</f>
        <v>USMCA</v>
      </c>
    </row>
    <row r="81" spans="1:9" x14ac:dyDescent="0.4">
      <c r="A81" t="s">
        <v>61</v>
      </c>
      <c r="B81" s="1">
        <v>44958</v>
      </c>
      <c r="C81">
        <v>830230</v>
      </c>
      <c r="D81" t="s">
        <v>176</v>
      </c>
      <c r="E81">
        <v>34567835</v>
      </c>
      <c r="F81">
        <v>6775984</v>
      </c>
      <c r="G81">
        <v>1124053</v>
      </c>
      <c r="H81">
        <f>_xlfn.XLOOKUP(FACT_IMPORTS[[#This Row],[hts_6]],DIM_PRODUCTS[hts_6],DIM_PRODUCTS[hts_4],,,)</f>
        <v>8302</v>
      </c>
      <c r="I81" t="str" cm="1">
        <f t="array" ref="I81">_xlfn.XLOOKUP(FACT_IMPORTS[[#This Row],[country_name]],DIM_COUNTRY[[#All],[Column2]],DIM_COUNTRY[[#All],[Column3]],,,)</f>
        <v>USMCA</v>
      </c>
    </row>
    <row r="82" spans="1:9" x14ac:dyDescent="0.4">
      <c r="A82" t="s">
        <v>61</v>
      </c>
      <c r="B82" s="1">
        <v>44958</v>
      </c>
      <c r="C82">
        <v>840731</v>
      </c>
      <c r="D82" t="s">
        <v>176</v>
      </c>
      <c r="E82">
        <v>103189</v>
      </c>
      <c r="F82">
        <v>12</v>
      </c>
      <c r="G82">
        <v>699</v>
      </c>
      <c r="H82">
        <f>_xlfn.XLOOKUP(FACT_IMPORTS[[#This Row],[hts_6]],DIM_PRODUCTS[hts_6],DIM_PRODUCTS[hts_4],,,)</f>
        <v>8407</v>
      </c>
      <c r="I82" t="str" cm="1">
        <f t="array" ref="I82">_xlfn.XLOOKUP(FACT_IMPORTS[[#This Row],[country_name]],DIM_COUNTRY[[#All],[Column2]],DIM_COUNTRY[[#All],[Column3]],,,)</f>
        <v>USMCA</v>
      </c>
    </row>
    <row r="83" spans="1:9" x14ac:dyDescent="0.4">
      <c r="A83" t="s">
        <v>61</v>
      </c>
      <c r="B83" s="1">
        <v>44958</v>
      </c>
      <c r="C83">
        <v>840733</v>
      </c>
      <c r="D83" t="s">
        <v>176</v>
      </c>
      <c r="E83">
        <v>0</v>
      </c>
      <c r="F83">
        <v>0</v>
      </c>
      <c r="G83">
        <v>0</v>
      </c>
      <c r="H83">
        <f>_xlfn.XLOOKUP(FACT_IMPORTS[[#This Row],[hts_6]],DIM_PRODUCTS[hts_6],DIM_PRODUCTS[hts_4],,,)</f>
        <v>8407</v>
      </c>
      <c r="I83" t="str" cm="1">
        <f t="array" ref="I83">_xlfn.XLOOKUP(FACT_IMPORTS[[#This Row],[country_name]],DIM_COUNTRY[[#All],[Column2]],DIM_COUNTRY[[#All],[Column3]],,,)</f>
        <v>USMCA</v>
      </c>
    </row>
    <row r="84" spans="1:9" x14ac:dyDescent="0.4">
      <c r="A84" t="s">
        <v>61</v>
      </c>
      <c r="B84" s="1">
        <v>44958</v>
      </c>
      <c r="C84">
        <v>840734</v>
      </c>
      <c r="D84" t="s">
        <v>176</v>
      </c>
      <c r="E84">
        <v>205813446</v>
      </c>
      <c r="F84">
        <v>65450</v>
      </c>
      <c r="G84">
        <v>234700</v>
      </c>
      <c r="H84">
        <f>_xlfn.XLOOKUP(FACT_IMPORTS[[#This Row],[hts_6]],DIM_PRODUCTS[hts_6],DIM_PRODUCTS[hts_4],,,)</f>
        <v>8407</v>
      </c>
      <c r="I84" t="str" cm="1">
        <f t="array" ref="I84">_xlfn.XLOOKUP(FACT_IMPORTS[[#This Row],[country_name]],DIM_COUNTRY[[#All],[Column2]],DIM_COUNTRY[[#All],[Column3]],,,)</f>
        <v>USMCA</v>
      </c>
    </row>
    <row r="85" spans="1:9" x14ac:dyDescent="0.4">
      <c r="A85" t="s">
        <v>61</v>
      </c>
      <c r="B85" s="1">
        <v>44958</v>
      </c>
      <c r="C85">
        <v>840790</v>
      </c>
      <c r="D85" t="s">
        <v>176</v>
      </c>
      <c r="E85">
        <v>5384086</v>
      </c>
      <c r="F85">
        <v>2150</v>
      </c>
      <c r="G85">
        <v>2300</v>
      </c>
      <c r="H85">
        <f>_xlfn.XLOOKUP(FACT_IMPORTS[[#This Row],[hts_6]],DIM_PRODUCTS[hts_6],DIM_PRODUCTS[hts_4],,,)</f>
        <v>8407</v>
      </c>
      <c r="I85" t="str" cm="1">
        <f t="array" ref="I85">_xlfn.XLOOKUP(FACT_IMPORTS[[#This Row],[country_name]],DIM_COUNTRY[[#All],[Column2]],DIM_COUNTRY[[#All],[Column3]],,,)</f>
        <v>USMCA</v>
      </c>
    </row>
    <row r="86" spans="1:9" x14ac:dyDescent="0.4">
      <c r="A86" t="s">
        <v>61</v>
      </c>
      <c r="B86" s="1">
        <v>44958</v>
      </c>
      <c r="C86">
        <v>840820</v>
      </c>
      <c r="D86" t="s">
        <v>176</v>
      </c>
      <c r="E86">
        <v>690746</v>
      </c>
      <c r="F86">
        <v>97</v>
      </c>
      <c r="G86">
        <v>5998</v>
      </c>
      <c r="H86">
        <f>_xlfn.XLOOKUP(FACT_IMPORTS[[#This Row],[hts_6]],DIM_PRODUCTS[hts_6],DIM_PRODUCTS[hts_4],,,)</f>
        <v>8408</v>
      </c>
      <c r="I86" t="str" cm="1">
        <f t="array" ref="I86">_xlfn.XLOOKUP(FACT_IMPORTS[[#This Row],[country_name]],DIM_COUNTRY[[#All],[Column2]],DIM_COUNTRY[[#All],[Column3]],,,)</f>
        <v>USMCA</v>
      </c>
    </row>
    <row r="87" spans="1:9" x14ac:dyDescent="0.4">
      <c r="A87" t="s">
        <v>61</v>
      </c>
      <c r="B87" s="1">
        <v>44958</v>
      </c>
      <c r="C87">
        <v>840890</v>
      </c>
      <c r="D87" t="s">
        <v>176</v>
      </c>
      <c r="E87">
        <v>178348</v>
      </c>
      <c r="F87">
        <v>21</v>
      </c>
      <c r="G87">
        <v>701</v>
      </c>
      <c r="H87">
        <f>_xlfn.XLOOKUP(FACT_IMPORTS[[#This Row],[hts_6]],DIM_PRODUCTS[hts_6],DIM_PRODUCTS[hts_4],,,)</f>
        <v>8408</v>
      </c>
      <c r="I87" t="str" cm="1">
        <f t="array" ref="I87">_xlfn.XLOOKUP(FACT_IMPORTS[[#This Row],[country_name]],DIM_COUNTRY[[#All],[Column2]],DIM_COUNTRY[[#All],[Column3]],,,)</f>
        <v>USMCA</v>
      </c>
    </row>
    <row r="88" spans="1:9" x14ac:dyDescent="0.4">
      <c r="A88" t="s">
        <v>61</v>
      </c>
      <c r="B88" s="1">
        <v>44958</v>
      </c>
      <c r="C88">
        <v>840991</v>
      </c>
      <c r="D88" t="s">
        <v>176</v>
      </c>
      <c r="E88">
        <v>39216146</v>
      </c>
      <c r="F88">
        <v>3754606</v>
      </c>
      <c r="G88">
        <v>224857</v>
      </c>
      <c r="H88">
        <f>_xlfn.XLOOKUP(FACT_IMPORTS[[#This Row],[hts_6]],DIM_PRODUCTS[hts_6],DIM_PRODUCTS[hts_4],,,)</f>
        <v>8409</v>
      </c>
      <c r="I88" t="str" cm="1">
        <f t="array" ref="I88">_xlfn.XLOOKUP(FACT_IMPORTS[[#This Row],[country_name]],DIM_COUNTRY[[#All],[Column2]],DIM_COUNTRY[[#All],[Column3]],,,)</f>
        <v>USMCA</v>
      </c>
    </row>
    <row r="89" spans="1:9" x14ac:dyDescent="0.4">
      <c r="A89" t="s">
        <v>61</v>
      </c>
      <c r="B89" s="1">
        <v>44958</v>
      </c>
      <c r="C89">
        <v>840999</v>
      </c>
      <c r="D89" t="s">
        <v>176</v>
      </c>
      <c r="E89">
        <v>18501075</v>
      </c>
      <c r="F89">
        <v>1289545</v>
      </c>
      <c r="G89">
        <v>131407</v>
      </c>
      <c r="H89">
        <f>_xlfn.XLOOKUP(FACT_IMPORTS[[#This Row],[hts_6]],DIM_PRODUCTS[hts_6],DIM_PRODUCTS[hts_4],,,)</f>
        <v>8409</v>
      </c>
      <c r="I89" t="str" cm="1">
        <f t="array" ref="I89">_xlfn.XLOOKUP(FACT_IMPORTS[[#This Row],[country_name]],DIM_COUNTRY[[#All],[Column2]],DIM_COUNTRY[[#All],[Column3]],,,)</f>
        <v>USMCA</v>
      </c>
    </row>
    <row r="90" spans="1:9" x14ac:dyDescent="0.4">
      <c r="A90" t="s">
        <v>61</v>
      </c>
      <c r="B90" s="1">
        <v>44958</v>
      </c>
      <c r="C90">
        <v>841330</v>
      </c>
      <c r="D90" t="s">
        <v>176</v>
      </c>
      <c r="E90">
        <v>10566497</v>
      </c>
      <c r="F90">
        <v>238799</v>
      </c>
      <c r="G90">
        <v>39982</v>
      </c>
      <c r="H90">
        <f>_xlfn.XLOOKUP(FACT_IMPORTS[[#This Row],[hts_6]],DIM_PRODUCTS[hts_6],DIM_PRODUCTS[hts_4],,,)</f>
        <v>8413</v>
      </c>
      <c r="I90" t="str" cm="1">
        <f t="array" ref="I90">_xlfn.XLOOKUP(FACT_IMPORTS[[#This Row],[country_name]],DIM_COUNTRY[[#All],[Column2]],DIM_COUNTRY[[#All],[Column3]],,,)</f>
        <v>USMCA</v>
      </c>
    </row>
    <row r="91" spans="1:9" x14ac:dyDescent="0.4">
      <c r="A91" t="s">
        <v>61</v>
      </c>
      <c r="B91" s="1">
        <v>44958</v>
      </c>
      <c r="C91">
        <v>841520</v>
      </c>
      <c r="D91" t="s">
        <v>176</v>
      </c>
      <c r="E91">
        <v>3442725</v>
      </c>
      <c r="F91">
        <v>22706</v>
      </c>
      <c r="G91">
        <v>35030</v>
      </c>
      <c r="H91">
        <f>_xlfn.XLOOKUP(FACT_IMPORTS[[#This Row],[hts_6]],DIM_PRODUCTS[hts_6],DIM_PRODUCTS[hts_4],,,)</f>
        <v>8415</v>
      </c>
      <c r="I91" t="str" cm="1">
        <f t="array" ref="I91">_xlfn.XLOOKUP(FACT_IMPORTS[[#This Row],[country_name]],DIM_COUNTRY[[#All],[Column2]],DIM_COUNTRY[[#All],[Column3]],,,)</f>
        <v>USMCA</v>
      </c>
    </row>
    <row r="92" spans="1:9" x14ac:dyDescent="0.4">
      <c r="A92" t="s">
        <v>61</v>
      </c>
      <c r="B92" s="1">
        <v>44958</v>
      </c>
      <c r="C92">
        <v>842132</v>
      </c>
      <c r="D92" t="s">
        <v>176</v>
      </c>
      <c r="E92">
        <v>6497025</v>
      </c>
      <c r="F92">
        <v>61461</v>
      </c>
      <c r="G92">
        <v>26133</v>
      </c>
      <c r="H92">
        <f>_xlfn.XLOOKUP(FACT_IMPORTS[[#This Row],[hts_6]],DIM_PRODUCTS[hts_6],DIM_PRODUCTS[hts_4],,,)</f>
        <v>8421</v>
      </c>
      <c r="I92" t="str" cm="1">
        <f t="array" ref="I92">_xlfn.XLOOKUP(FACT_IMPORTS[[#This Row],[country_name]],DIM_COUNTRY[[#All],[Column2]],DIM_COUNTRY[[#All],[Column3]],,,)</f>
        <v>USMCA</v>
      </c>
    </row>
    <row r="93" spans="1:9" x14ac:dyDescent="0.4">
      <c r="A93" t="s">
        <v>61</v>
      </c>
      <c r="B93" s="1">
        <v>44958</v>
      </c>
      <c r="C93">
        <v>848210</v>
      </c>
      <c r="D93" t="s">
        <v>176</v>
      </c>
      <c r="E93">
        <v>4475109</v>
      </c>
      <c r="F93">
        <v>1097853</v>
      </c>
      <c r="G93">
        <v>57908</v>
      </c>
      <c r="H93">
        <f>_xlfn.XLOOKUP(FACT_IMPORTS[[#This Row],[hts_6]],DIM_PRODUCTS[hts_6],DIM_PRODUCTS[hts_4],,,)</f>
        <v>8482</v>
      </c>
      <c r="I93" t="str" cm="1">
        <f t="array" ref="I93">_xlfn.XLOOKUP(FACT_IMPORTS[[#This Row],[country_name]],DIM_COUNTRY[[#All],[Column2]],DIM_COUNTRY[[#All],[Column3]],,,)</f>
        <v>USMCA</v>
      </c>
    </row>
    <row r="94" spans="1:9" x14ac:dyDescent="0.4">
      <c r="A94" t="s">
        <v>61</v>
      </c>
      <c r="B94" s="1">
        <v>44958</v>
      </c>
      <c r="C94">
        <v>848220</v>
      </c>
      <c r="D94" t="s">
        <v>176</v>
      </c>
      <c r="E94">
        <v>83853</v>
      </c>
      <c r="F94">
        <v>1431</v>
      </c>
      <c r="G94">
        <v>1719</v>
      </c>
      <c r="H94">
        <f>_xlfn.XLOOKUP(FACT_IMPORTS[[#This Row],[hts_6]],DIM_PRODUCTS[hts_6],DIM_PRODUCTS[hts_4],,,)</f>
        <v>8482</v>
      </c>
      <c r="I94" t="str" cm="1">
        <f t="array" ref="I94">_xlfn.XLOOKUP(FACT_IMPORTS[[#This Row],[country_name]],DIM_COUNTRY[[#All],[Column2]],DIM_COUNTRY[[#All],[Column3]],,,)</f>
        <v>USMCA</v>
      </c>
    </row>
    <row r="95" spans="1:9" x14ac:dyDescent="0.4">
      <c r="A95" t="s">
        <v>61</v>
      </c>
      <c r="B95" s="1">
        <v>44958</v>
      </c>
      <c r="C95">
        <v>848310</v>
      </c>
      <c r="D95" t="s">
        <v>176</v>
      </c>
      <c r="E95">
        <v>15734892</v>
      </c>
      <c r="F95">
        <v>510445</v>
      </c>
      <c r="G95">
        <v>315250</v>
      </c>
      <c r="H95">
        <f>_xlfn.XLOOKUP(FACT_IMPORTS[[#This Row],[hts_6]],DIM_PRODUCTS[hts_6],DIM_PRODUCTS[hts_4],,,)</f>
        <v>8483</v>
      </c>
      <c r="I95" t="str" cm="1">
        <f t="array" ref="I95">_xlfn.XLOOKUP(FACT_IMPORTS[[#This Row],[country_name]],DIM_COUNTRY[[#All],[Column2]],DIM_COUNTRY[[#All],[Column3]],,,)</f>
        <v>USMCA</v>
      </c>
    </row>
    <row r="96" spans="1:9" x14ac:dyDescent="0.4">
      <c r="A96" t="s">
        <v>61</v>
      </c>
      <c r="B96" s="1">
        <v>44958</v>
      </c>
      <c r="C96">
        <v>850131</v>
      </c>
      <c r="D96" t="s">
        <v>176</v>
      </c>
      <c r="E96">
        <v>3911120</v>
      </c>
      <c r="F96">
        <v>78533</v>
      </c>
      <c r="G96">
        <v>30089</v>
      </c>
      <c r="H96">
        <f>_xlfn.XLOOKUP(FACT_IMPORTS[[#This Row],[hts_6]],DIM_PRODUCTS[hts_6],DIM_PRODUCTS[hts_4],,,)</f>
        <v>8501</v>
      </c>
      <c r="I96" t="str" cm="1">
        <f t="array" ref="I96">_xlfn.XLOOKUP(FACT_IMPORTS[[#This Row],[country_name]],DIM_COUNTRY[[#All],[Column2]],DIM_COUNTRY[[#All],[Column3]],,,)</f>
        <v>USMCA</v>
      </c>
    </row>
    <row r="97" spans="1:9" x14ac:dyDescent="0.4">
      <c r="A97" t="s">
        <v>61</v>
      </c>
      <c r="B97" s="1">
        <v>44958</v>
      </c>
      <c r="C97">
        <v>850132</v>
      </c>
      <c r="D97" t="s">
        <v>176</v>
      </c>
      <c r="E97">
        <v>100983</v>
      </c>
      <c r="F97">
        <v>25</v>
      </c>
      <c r="G97">
        <v>922</v>
      </c>
      <c r="H97">
        <f>_xlfn.XLOOKUP(FACT_IMPORTS[[#This Row],[hts_6]],DIM_PRODUCTS[hts_6],DIM_PRODUCTS[hts_4],,,)</f>
        <v>8501</v>
      </c>
      <c r="I97" t="str" cm="1">
        <f t="array" ref="I97">_xlfn.XLOOKUP(FACT_IMPORTS[[#This Row],[country_name]],DIM_COUNTRY[[#All],[Column2]],DIM_COUNTRY[[#All],[Column3]],,,)</f>
        <v>USMCA</v>
      </c>
    </row>
    <row r="98" spans="1:9" x14ac:dyDescent="0.4">
      <c r="A98" t="s">
        <v>61</v>
      </c>
      <c r="B98" s="1">
        <v>44958</v>
      </c>
      <c r="C98">
        <v>850133</v>
      </c>
      <c r="D98" t="s">
        <v>176</v>
      </c>
      <c r="E98">
        <v>33862</v>
      </c>
      <c r="F98">
        <v>3</v>
      </c>
      <c r="G98">
        <v>350</v>
      </c>
      <c r="H98">
        <f>_xlfn.XLOOKUP(FACT_IMPORTS[[#This Row],[hts_6]],DIM_PRODUCTS[hts_6],DIM_PRODUCTS[hts_4],,,)</f>
        <v>8501</v>
      </c>
      <c r="I98" t="str" cm="1">
        <f t="array" ref="I98">_xlfn.XLOOKUP(FACT_IMPORTS[[#This Row],[country_name]],DIM_COUNTRY[[#All],[Column2]],DIM_COUNTRY[[#All],[Column3]],,,)</f>
        <v>USMCA</v>
      </c>
    </row>
    <row r="99" spans="1:9" x14ac:dyDescent="0.4">
      <c r="A99" t="s">
        <v>61</v>
      </c>
      <c r="B99" s="1">
        <v>44958</v>
      </c>
      <c r="C99">
        <v>850134</v>
      </c>
      <c r="D99" t="s">
        <v>176</v>
      </c>
      <c r="E99">
        <v>6173</v>
      </c>
      <c r="F99">
        <v>1</v>
      </c>
      <c r="G99">
        <v>350</v>
      </c>
      <c r="H99">
        <f>_xlfn.XLOOKUP(FACT_IMPORTS[[#This Row],[hts_6]],DIM_PRODUCTS[hts_6],DIM_PRODUCTS[hts_4],,,)</f>
        <v>8501</v>
      </c>
      <c r="I99" t="str" cm="1">
        <f t="array" ref="I99">_xlfn.XLOOKUP(FACT_IMPORTS[[#This Row],[country_name]],DIM_COUNTRY[[#All],[Column2]],DIM_COUNTRY[[#All],[Column3]],,,)</f>
        <v>USMCA</v>
      </c>
    </row>
    <row r="100" spans="1:9" x14ac:dyDescent="0.4">
      <c r="A100" t="s">
        <v>61</v>
      </c>
      <c r="B100" s="1">
        <v>44958</v>
      </c>
      <c r="C100">
        <v>850152</v>
      </c>
      <c r="D100" t="s">
        <v>176</v>
      </c>
      <c r="E100">
        <v>1055978</v>
      </c>
      <c r="F100">
        <v>401</v>
      </c>
      <c r="G100">
        <v>9517</v>
      </c>
      <c r="H100">
        <f>_xlfn.XLOOKUP(FACT_IMPORTS[[#This Row],[hts_6]],DIM_PRODUCTS[hts_6],DIM_PRODUCTS[hts_4],,,)</f>
        <v>8501</v>
      </c>
      <c r="I100" t="str" cm="1">
        <f t="array" ref="I100">_xlfn.XLOOKUP(FACT_IMPORTS[[#This Row],[country_name]],DIM_COUNTRY[[#All],[Column2]],DIM_COUNTRY[[#All],[Column3]],,,)</f>
        <v>USMCA</v>
      </c>
    </row>
    <row r="101" spans="1:9" x14ac:dyDescent="0.4">
      <c r="A101" t="s">
        <v>61</v>
      </c>
      <c r="B101" s="1">
        <v>44958</v>
      </c>
      <c r="C101">
        <v>850153</v>
      </c>
      <c r="D101" t="s">
        <v>176</v>
      </c>
      <c r="E101">
        <v>545648</v>
      </c>
      <c r="F101">
        <v>48</v>
      </c>
      <c r="G101">
        <v>1930</v>
      </c>
      <c r="H101">
        <f>_xlfn.XLOOKUP(FACT_IMPORTS[[#This Row],[hts_6]],DIM_PRODUCTS[hts_6],DIM_PRODUCTS[hts_4],,,)</f>
        <v>8501</v>
      </c>
      <c r="I101" t="str" cm="1">
        <f t="array" ref="I101">_xlfn.XLOOKUP(FACT_IMPORTS[[#This Row],[country_name]],DIM_COUNTRY[[#All],[Column2]],DIM_COUNTRY[[#All],[Column3]],,,)</f>
        <v>USMCA</v>
      </c>
    </row>
    <row r="102" spans="1:9" x14ac:dyDescent="0.4">
      <c r="A102" t="s">
        <v>61</v>
      </c>
      <c r="B102" s="1">
        <v>44958</v>
      </c>
      <c r="C102">
        <v>850161</v>
      </c>
      <c r="D102" t="s">
        <v>176</v>
      </c>
      <c r="E102">
        <v>44057</v>
      </c>
      <c r="F102">
        <v>13</v>
      </c>
      <c r="G102">
        <v>92</v>
      </c>
      <c r="H102">
        <f>_xlfn.XLOOKUP(FACT_IMPORTS[[#This Row],[hts_6]],DIM_PRODUCTS[hts_6],DIM_PRODUCTS[hts_4],,,)</f>
        <v>8501</v>
      </c>
      <c r="I102" t="str" cm="1">
        <f t="array" ref="I102">_xlfn.XLOOKUP(FACT_IMPORTS[[#This Row],[country_name]],DIM_COUNTRY[[#All],[Column2]],DIM_COUNTRY[[#All],[Column3]],,,)</f>
        <v>USMCA</v>
      </c>
    </row>
    <row r="103" spans="1:9" x14ac:dyDescent="0.4">
      <c r="A103" t="s">
        <v>61</v>
      </c>
      <c r="B103" s="1">
        <v>44958</v>
      </c>
      <c r="C103">
        <v>850440</v>
      </c>
      <c r="D103" t="s">
        <v>176</v>
      </c>
      <c r="E103">
        <v>4637932</v>
      </c>
      <c r="F103">
        <v>5670</v>
      </c>
      <c r="G103">
        <v>43807</v>
      </c>
      <c r="H103">
        <f>_xlfn.XLOOKUP(FACT_IMPORTS[[#This Row],[hts_6]],DIM_PRODUCTS[hts_6],DIM_PRODUCTS[hts_4],,,)</f>
        <v>8504</v>
      </c>
      <c r="I103" t="str" cm="1">
        <f t="array" ref="I103">_xlfn.XLOOKUP(FACT_IMPORTS[[#This Row],[country_name]],DIM_COUNTRY[[#All],[Column2]],DIM_COUNTRY[[#All],[Column3]],,,)</f>
        <v>USMCA</v>
      </c>
    </row>
    <row r="104" spans="1:9" x14ac:dyDescent="0.4">
      <c r="A104" t="s">
        <v>61</v>
      </c>
      <c r="B104" s="1">
        <v>44958</v>
      </c>
      <c r="C104">
        <v>850710</v>
      </c>
      <c r="D104" t="s">
        <v>176</v>
      </c>
      <c r="E104">
        <v>614848</v>
      </c>
      <c r="F104">
        <v>757</v>
      </c>
      <c r="G104">
        <v>32786</v>
      </c>
      <c r="H104">
        <f>_xlfn.XLOOKUP(FACT_IMPORTS[[#This Row],[hts_6]],DIM_PRODUCTS[hts_6],DIM_PRODUCTS[hts_4],,,)</f>
        <v>8507</v>
      </c>
      <c r="I104" t="str" cm="1">
        <f t="array" ref="I104">_xlfn.XLOOKUP(FACT_IMPORTS[[#This Row],[country_name]],DIM_COUNTRY[[#All],[Column2]],DIM_COUNTRY[[#All],[Column3]],,,)</f>
        <v>USMCA</v>
      </c>
    </row>
    <row r="105" spans="1:9" x14ac:dyDescent="0.4">
      <c r="A105" t="s">
        <v>61</v>
      </c>
      <c r="B105" s="1">
        <v>44958</v>
      </c>
      <c r="C105">
        <v>850760</v>
      </c>
      <c r="D105" t="s">
        <v>176</v>
      </c>
      <c r="E105">
        <v>2361191</v>
      </c>
      <c r="F105">
        <v>484</v>
      </c>
      <c r="G105">
        <v>5069</v>
      </c>
      <c r="H105">
        <f>_xlfn.XLOOKUP(FACT_IMPORTS[[#This Row],[hts_6]],DIM_PRODUCTS[hts_6],DIM_PRODUCTS[hts_4],,,)</f>
        <v>8507</v>
      </c>
      <c r="I105" t="str" cm="1">
        <f t="array" ref="I105">_xlfn.XLOOKUP(FACT_IMPORTS[[#This Row],[country_name]],DIM_COUNTRY[[#All],[Column2]],DIM_COUNTRY[[#All],[Column3]],,,)</f>
        <v>USMCA</v>
      </c>
    </row>
    <row r="106" spans="1:9" x14ac:dyDescent="0.4">
      <c r="A106" t="s">
        <v>61</v>
      </c>
      <c r="B106" s="1">
        <v>44958</v>
      </c>
      <c r="C106">
        <v>850790</v>
      </c>
      <c r="D106" t="s">
        <v>176</v>
      </c>
      <c r="E106">
        <v>0</v>
      </c>
      <c r="F106">
        <v>0</v>
      </c>
      <c r="G106">
        <v>0</v>
      </c>
      <c r="H106">
        <f>_xlfn.XLOOKUP(FACT_IMPORTS[[#This Row],[hts_6]],DIM_PRODUCTS[hts_6],DIM_PRODUCTS[hts_4],,,)</f>
        <v>8507</v>
      </c>
      <c r="I106" t="str" cm="1">
        <f t="array" ref="I106">_xlfn.XLOOKUP(FACT_IMPORTS[[#This Row],[country_name]],DIM_COUNTRY[[#All],[Column2]],DIM_COUNTRY[[#All],[Column3]],,,)</f>
        <v>USMCA</v>
      </c>
    </row>
    <row r="107" spans="1:9" x14ac:dyDescent="0.4">
      <c r="A107" t="s">
        <v>61</v>
      </c>
      <c r="B107" s="1">
        <v>44958</v>
      </c>
      <c r="C107">
        <v>851110</v>
      </c>
      <c r="D107" t="s">
        <v>176</v>
      </c>
      <c r="E107">
        <v>8448</v>
      </c>
      <c r="F107">
        <v>1</v>
      </c>
      <c r="G107">
        <v>17</v>
      </c>
      <c r="H107">
        <f>_xlfn.XLOOKUP(FACT_IMPORTS[[#This Row],[hts_6]],DIM_PRODUCTS[hts_6],DIM_PRODUCTS[hts_4],,,)</f>
        <v>8511</v>
      </c>
      <c r="I107" t="str" cm="1">
        <f t="array" ref="I107">_xlfn.XLOOKUP(FACT_IMPORTS[[#This Row],[country_name]],DIM_COUNTRY[[#All],[Column2]],DIM_COUNTRY[[#All],[Column3]],,,)</f>
        <v>USMCA</v>
      </c>
    </row>
    <row r="108" spans="1:9" x14ac:dyDescent="0.4">
      <c r="A108" t="s">
        <v>61</v>
      </c>
      <c r="B108" s="1">
        <v>44958</v>
      </c>
      <c r="C108">
        <v>851120</v>
      </c>
      <c r="D108" t="s">
        <v>176</v>
      </c>
      <c r="E108">
        <v>5500</v>
      </c>
      <c r="F108">
        <v>11</v>
      </c>
      <c r="G108">
        <v>171</v>
      </c>
      <c r="H108">
        <f>_xlfn.XLOOKUP(FACT_IMPORTS[[#This Row],[hts_6]],DIM_PRODUCTS[hts_6],DIM_PRODUCTS[hts_4],,,)</f>
        <v>8511</v>
      </c>
      <c r="I108" t="str" cm="1">
        <f t="array" ref="I108">_xlfn.XLOOKUP(FACT_IMPORTS[[#This Row],[country_name]],DIM_COUNTRY[[#All],[Column2]],DIM_COUNTRY[[#All],[Column3]],,,)</f>
        <v>USMCA</v>
      </c>
    </row>
    <row r="109" spans="1:9" x14ac:dyDescent="0.4">
      <c r="A109" t="s">
        <v>61</v>
      </c>
      <c r="B109" s="1">
        <v>44958</v>
      </c>
      <c r="C109">
        <v>851130</v>
      </c>
      <c r="D109" t="s">
        <v>176</v>
      </c>
      <c r="E109">
        <v>18308</v>
      </c>
      <c r="F109">
        <v>270</v>
      </c>
      <c r="G109">
        <v>40</v>
      </c>
      <c r="H109">
        <f>_xlfn.XLOOKUP(FACT_IMPORTS[[#This Row],[hts_6]],DIM_PRODUCTS[hts_6],DIM_PRODUCTS[hts_4],,,)</f>
        <v>8511</v>
      </c>
      <c r="I109" t="str" cm="1">
        <f t="array" ref="I109">_xlfn.XLOOKUP(FACT_IMPORTS[[#This Row],[country_name]],DIM_COUNTRY[[#All],[Column2]],DIM_COUNTRY[[#All],[Column3]],,,)</f>
        <v>USMCA</v>
      </c>
    </row>
    <row r="110" spans="1:9" x14ac:dyDescent="0.4">
      <c r="A110" t="s">
        <v>61</v>
      </c>
      <c r="B110" s="1">
        <v>44958</v>
      </c>
      <c r="C110">
        <v>851140</v>
      </c>
      <c r="D110" t="s">
        <v>176</v>
      </c>
      <c r="E110">
        <v>539039</v>
      </c>
      <c r="F110">
        <v>16549</v>
      </c>
      <c r="G110">
        <v>3431</v>
      </c>
      <c r="H110">
        <f>_xlfn.XLOOKUP(FACT_IMPORTS[[#This Row],[hts_6]],DIM_PRODUCTS[hts_6],DIM_PRODUCTS[hts_4],,,)</f>
        <v>8511</v>
      </c>
      <c r="I110" t="str" cm="1">
        <f t="array" ref="I110">_xlfn.XLOOKUP(FACT_IMPORTS[[#This Row],[country_name]],DIM_COUNTRY[[#All],[Column2]],DIM_COUNTRY[[#All],[Column3]],,,)</f>
        <v>USMCA</v>
      </c>
    </row>
    <row r="111" spans="1:9" x14ac:dyDescent="0.4">
      <c r="A111" t="s">
        <v>61</v>
      </c>
      <c r="B111" s="1">
        <v>44958</v>
      </c>
      <c r="C111">
        <v>851150</v>
      </c>
      <c r="D111" t="s">
        <v>176</v>
      </c>
      <c r="E111">
        <v>468837</v>
      </c>
      <c r="F111">
        <v>5436</v>
      </c>
      <c r="G111">
        <v>2476</v>
      </c>
      <c r="H111">
        <f>_xlfn.XLOOKUP(FACT_IMPORTS[[#This Row],[hts_6]],DIM_PRODUCTS[hts_6],DIM_PRODUCTS[hts_4],,,)</f>
        <v>8511</v>
      </c>
      <c r="I111" t="str" cm="1">
        <f t="array" ref="I111">_xlfn.XLOOKUP(FACT_IMPORTS[[#This Row],[country_name]],DIM_COUNTRY[[#All],[Column2]],DIM_COUNTRY[[#All],[Column3]],,,)</f>
        <v>USMCA</v>
      </c>
    </row>
    <row r="112" spans="1:9" x14ac:dyDescent="0.4">
      <c r="A112" t="s">
        <v>61</v>
      </c>
      <c r="B112" s="1">
        <v>44958</v>
      </c>
      <c r="C112">
        <v>851180</v>
      </c>
      <c r="D112" t="s">
        <v>176</v>
      </c>
      <c r="E112">
        <v>0</v>
      </c>
      <c r="F112">
        <v>0</v>
      </c>
      <c r="G112">
        <v>0</v>
      </c>
      <c r="H112">
        <f>_xlfn.XLOOKUP(FACT_IMPORTS[[#This Row],[hts_6]],DIM_PRODUCTS[hts_6],DIM_PRODUCTS[hts_4],,,)</f>
        <v>8511</v>
      </c>
      <c r="I112" t="str" cm="1">
        <f t="array" ref="I112">_xlfn.XLOOKUP(FACT_IMPORTS[[#This Row],[country_name]],DIM_COUNTRY[[#All],[Column2]],DIM_COUNTRY[[#All],[Column3]],,,)</f>
        <v>USMCA</v>
      </c>
    </row>
    <row r="113" spans="1:9" x14ac:dyDescent="0.4">
      <c r="A113" t="s">
        <v>61</v>
      </c>
      <c r="B113" s="1">
        <v>44958</v>
      </c>
      <c r="C113">
        <v>851190</v>
      </c>
      <c r="D113" t="s">
        <v>176</v>
      </c>
      <c r="E113">
        <v>536460</v>
      </c>
      <c r="F113">
        <v>7021</v>
      </c>
      <c r="G113">
        <v>13787</v>
      </c>
      <c r="H113">
        <f>_xlfn.XLOOKUP(FACT_IMPORTS[[#This Row],[hts_6]],DIM_PRODUCTS[hts_6],DIM_PRODUCTS[hts_4],,,)</f>
        <v>8511</v>
      </c>
      <c r="I113" t="str" cm="1">
        <f t="array" ref="I113">_xlfn.XLOOKUP(FACT_IMPORTS[[#This Row],[country_name]],DIM_COUNTRY[[#All],[Column2]],DIM_COUNTRY[[#All],[Column3]],,,)</f>
        <v>USMCA</v>
      </c>
    </row>
    <row r="114" spans="1:9" x14ac:dyDescent="0.4">
      <c r="A114" t="s">
        <v>61</v>
      </c>
      <c r="B114" s="1">
        <v>44958</v>
      </c>
      <c r="C114">
        <v>851220</v>
      </c>
      <c r="D114" t="s">
        <v>176</v>
      </c>
      <c r="E114">
        <v>21841146</v>
      </c>
      <c r="F114">
        <v>378678</v>
      </c>
      <c r="G114">
        <v>81416</v>
      </c>
      <c r="H114">
        <f>_xlfn.XLOOKUP(FACT_IMPORTS[[#This Row],[hts_6]],DIM_PRODUCTS[hts_6],DIM_PRODUCTS[hts_4],,,)</f>
        <v>8512</v>
      </c>
      <c r="I114" t="str" cm="1">
        <f t="array" ref="I114">_xlfn.XLOOKUP(FACT_IMPORTS[[#This Row],[country_name]],DIM_COUNTRY[[#All],[Column2]],DIM_COUNTRY[[#All],[Column3]],,,)</f>
        <v>USMCA</v>
      </c>
    </row>
    <row r="115" spans="1:9" x14ac:dyDescent="0.4">
      <c r="A115" t="s">
        <v>61</v>
      </c>
      <c r="B115" s="1">
        <v>44958</v>
      </c>
      <c r="C115">
        <v>851230</v>
      </c>
      <c r="D115" t="s">
        <v>176</v>
      </c>
      <c r="E115">
        <v>56706</v>
      </c>
      <c r="F115">
        <v>2731</v>
      </c>
      <c r="G115">
        <v>501</v>
      </c>
      <c r="H115">
        <f>_xlfn.XLOOKUP(FACT_IMPORTS[[#This Row],[hts_6]],DIM_PRODUCTS[hts_6],DIM_PRODUCTS[hts_4],,,)</f>
        <v>8512</v>
      </c>
      <c r="I115" t="str" cm="1">
        <f t="array" ref="I115">_xlfn.XLOOKUP(FACT_IMPORTS[[#This Row],[country_name]],DIM_COUNTRY[[#All],[Column2]],DIM_COUNTRY[[#All],[Column3]],,,)</f>
        <v>USMCA</v>
      </c>
    </row>
    <row r="116" spans="1:9" x14ac:dyDescent="0.4">
      <c r="A116" t="s">
        <v>61</v>
      </c>
      <c r="B116" s="1">
        <v>44958</v>
      </c>
      <c r="C116">
        <v>851240</v>
      </c>
      <c r="D116" t="s">
        <v>176</v>
      </c>
      <c r="E116">
        <v>0</v>
      </c>
      <c r="F116">
        <v>0</v>
      </c>
      <c r="G116">
        <v>0</v>
      </c>
      <c r="H116">
        <f>_xlfn.XLOOKUP(FACT_IMPORTS[[#This Row],[hts_6]],DIM_PRODUCTS[hts_6],DIM_PRODUCTS[hts_4],,,)</f>
        <v>8512</v>
      </c>
      <c r="I116" t="str" cm="1">
        <f t="array" ref="I116">_xlfn.XLOOKUP(FACT_IMPORTS[[#This Row],[country_name]],DIM_COUNTRY[[#All],[Column2]],DIM_COUNTRY[[#All],[Column3]],,,)</f>
        <v>USMCA</v>
      </c>
    </row>
    <row r="117" spans="1:9" x14ac:dyDescent="0.4">
      <c r="A117" t="s">
        <v>61</v>
      </c>
      <c r="B117" s="1">
        <v>44958</v>
      </c>
      <c r="C117">
        <v>851290</v>
      </c>
      <c r="D117" t="s">
        <v>176</v>
      </c>
      <c r="E117">
        <v>1894141</v>
      </c>
      <c r="F117">
        <v>45857</v>
      </c>
      <c r="G117">
        <v>8985</v>
      </c>
      <c r="H117">
        <f>_xlfn.XLOOKUP(FACT_IMPORTS[[#This Row],[hts_6]],DIM_PRODUCTS[hts_6],DIM_PRODUCTS[hts_4],,,)</f>
        <v>8512</v>
      </c>
      <c r="I117" t="str" cm="1">
        <f t="array" ref="I117">_xlfn.XLOOKUP(FACT_IMPORTS[[#This Row],[country_name]],DIM_COUNTRY[[#All],[Column2]],DIM_COUNTRY[[#All],[Column3]],,,)</f>
        <v>USMCA</v>
      </c>
    </row>
    <row r="118" spans="1:9" x14ac:dyDescent="0.4">
      <c r="A118" t="s">
        <v>61</v>
      </c>
      <c r="B118" s="1">
        <v>44958</v>
      </c>
      <c r="C118">
        <v>854231</v>
      </c>
      <c r="D118" t="s">
        <v>176</v>
      </c>
      <c r="E118">
        <v>21957</v>
      </c>
      <c r="F118">
        <v>342</v>
      </c>
      <c r="G118">
        <v>921</v>
      </c>
      <c r="H118">
        <f>_xlfn.XLOOKUP(FACT_IMPORTS[[#This Row],[hts_6]],DIM_PRODUCTS[hts_6],DIM_PRODUCTS[hts_4],,,)</f>
        <v>8542</v>
      </c>
      <c r="I118" t="str" cm="1">
        <f t="array" ref="I118">_xlfn.XLOOKUP(FACT_IMPORTS[[#This Row],[country_name]],DIM_COUNTRY[[#All],[Column2]],DIM_COUNTRY[[#All],[Column3]],,,)</f>
        <v>USMCA</v>
      </c>
    </row>
    <row r="119" spans="1:9" x14ac:dyDescent="0.4">
      <c r="A119" t="s">
        <v>61</v>
      </c>
      <c r="B119" s="1">
        <v>44958</v>
      </c>
      <c r="C119">
        <v>854232</v>
      </c>
      <c r="D119" t="s">
        <v>176</v>
      </c>
      <c r="E119">
        <v>92668</v>
      </c>
      <c r="F119">
        <v>7269</v>
      </c>
      <c r="G119">
        <v>475</v>
      </c>
      <c r="H119">
        <f>_xlfn.XLOOKUP(FACT_IMPORTS[[#This Row],[hts_6]],DIM_PRODUCTS[hts_6],DIM_PRODUCTS[hts_4],,,)</f>
        <v>8542</v>
      </c>
      <c r="I119" t="str" cm="1">
        <f t="array" ref="I119">_xlfn.XLOOKUP(FACT_IMPORTS[[#This Row],[country_name]],DIM_COUNTRY[[#All],[Column2]],DIM_COUNTRY[[#All],[Column3]],,,)</f>
        <v>USMCA</v>
      </c>
    </row>
    <row r="120" spans="1:9" x14ac:dyDescent="0.4">
      <c r="A120" t="s">
        <v>61</v>
      </c>
      <c r="B120" s="1">
        <v>44958</v>
      </c>
      <c r="C120">
        <v>854233</v>
      </c>
      <c r="D120" t="s">
        <v>176</v>
      </c>
      <c r="E120">
        <v>6900</v>
      </c>
      <c r="F120">
        <v>26</v>
      </c>
      <c r="G120">
        <v>210</v>
      </c>
      <c r="H120">
        <f>_xlfn.XLOOKUP(FACT_IMPORTS[[#This Row],[hts_6]],DIM_PRODUCTS[hts_6],DIM_PRODUCTS[hts_4],,,)</f>
        <v>8542</v>
      </c>
      <c r="I120" t="str" cm="1">
        <f t="array" ref="I120">_xlfn.XLOOKUP(FACT_IMPORTS[[#This Row],[country_name]],DIM_COUNTRY[[#All],[Column2]],DIM_COUNTRY[[#All],[Column3]],,,)</f>
        <v>USMCA</v>
      </c>
    </row>
    <row r="121" spans="1:9" x14ac:dyDescent="0.4">
      <c r="A121" t="s">
        <v>61</v>
      </c>
      <c r="B121" s="1">
        <v>44958</v>
      </c>
      <c r="C121">
        <v>854239</v>
      </c>
      <c r="D121" t="s">
        <v>176</v>
      </c>
      <c r="E121">
        <v>7203</v>
      </c>
      <c r="F121">
        <v>50</v>
      </c>
      <c r="G121">
        <v>74</v>
      </c>
      <c r="H121">
        <f>_xlfn.XLOOKUP(FACT_IMPORTS[[#This Row],[hts_6]],DIM_PRODUCTS[hts_6],DIM_PRODUCTS[hts_4],,,)</f>
        <v>8542</v>
      </c>
      <c r="I121" t="str" cm="1">
        <f t="array" ref="I121">_xlfn.XLOOKUP(FACT_IMPORTS[[#This Row],[country_name]],DIM_COUNTRY[[#All],[Column2]],DIM_COUNTRY[[#All],[Column3]],,,)</f>
        <v>USMCA</v>
      </c>
    </row>
    <row r="122" spans="1:9" x14ac:dyDescent="0.4">
      <c r="A122" t="s">
        <v>61</v>
      </c>
      <c r="B122" s="1">
        <v>44958</v>
      </c>
      <c r="C122">
        <v>854290</v>
      </c>
      <c r="D122" t="s">
        <v>176</v>
      </c>
      <c r="E122">
        <v>215460</v>
      </c>
      <c r="F122">
        <v>14</v>
      </c>
      <c r="G122">
        <v>1</v>
      </c>
      <c r="H122">
        <f>_xlfn.XLOOKUP(FACT_IMPORTS[[#This Row],[hts_6]],DIM_PRODUCTS[hts_6],DIM_PRODUCTS[hts_4],,,)</f>
        <v>8542</v>
      </c>
      <c r="I122" t="str" cm="1">
        <f t="array" ref="I122">_xlfn.XLOOKUP(FACT_IMPORTS[[#This Row],[country_name]],DIM_COUNTRY[[#All],[Column2]],DIM_COUNTRY[[#All],[Column3]],,,)</f>
        <v>USMCA</v>
      </c>
    </row>
    <row r="123" spans="1:9" x14ac:dyDescent="0.4">
      <c r="A123" t="s">
        <v>61</v>
      </c>
      <c r="B123" s="1">
        <v>44958</v>
      </c>
      <c r="C123">
        <v>854430</v>
      </c>
      <c r="D123" t="s">
        <v>176</v>
      </c>
      <c r="E123">
        <v>1156135</v>
      </c>
      <c r="F123">
        <v>49021</v>
      </c>
      <c r="G123">
        <v>7363</v>
      </c>
      <c r="H123">
        <f>_xlfn.XLOOKUP(FACT_IMPORTS[[#This Row],[hts_6]],DIM_PRODUCTS[hts_6],DIM_PRODUCTS[hts_4],,,)</f>
        <v>8544</v>
      </c>
      <c r="I123" t="str" cm="1">
        <f t="array" ref="I123">_xlfn.XLOOKUP(FACT_IMPORTS[[#This Row],[country_name]],DIM_COUNTRY[[#All],[Column2]],DIM_COUNTRY[[#All],[Column3]],,,)</f>
        <v>USMCA</v>
      </c>
    </row>
    <row r="124" spans="1:9" x14ac:dyDescent="0.4">
      <c r="A124" t="s">
        <v>61</v>
      </c>
      <c r="B124" s="1">
        <v>44958</v>
      </c>
      <c r="C124">
        <v>870710</v>
      </c>
      <c r="D124" t="s">
        <v>176</v>
      </c>
      <c r="E124">
        <v>81964</v>
      </c>
      <c r="F124">
        <v>2</v>
      </c>
      <c r="G124">
        <v>1200</v>
      </c>
      <c r="H124">
        <f>_xlfn.XLOOKUP(FACT_IMPORTS[[#This Row],[hts_6]],DIM_PRODUCTS[hts_6],DIM_PRODUCTS[hts_4],,,)</f>
        <v>8707</v>
      </c>
      <c r="I124" t="str" cm="1">
        <f t="array" ref="I124">_xlfn.XLOOKUP(FACT_IMPORTS[[#This Row],[country_name]],DIM_COUNTRY[[#All],[Column2]],DIM_COUNTRY[[#All],[Column3]],,,)</f>
        <v>USMCA</v>
      </c>
    </row>
    <row r="125" spans="1:9" x14ac:dyDescent="0.4">
      <c r="A125" t="s">
        <v>61</v>
      </c>
      <c r="B125" s="1">
        <v>44958</v>
      </c>
      <c r="C125">
        <v>870790</v>
      </c>
      <c r="D125" t="s">
        <v>176</v>
      </c>
      <c r="E125">
        <v>3274663</v>
      </c>
      <c r="F125">
        <v>214</v>
      </c>
      <c r="G125">
        <v>95313</v>
      </c>
      <c r="H125">
        <f>_xlfn.XLOOKUP(FACT_IMPORTS[[#This Row],[hts_6]],DIM_PRODUCTS[hts_6],DIM_PRODUCTS[hts_4],,,)</f>
        <v>8707</v>
      </c>
      <c r="I125" t="str" cm="1">
        <f t="array" ref="I125">_xlfn.XLOOKUP(FACT_IMPORTS[[#This Row],[country_name]],DIM_COUNTRY[[#All],[Column2]],DIM_COUNTRY[[#All],[Column3]],,,)</f>
        <v>USMCA</v>
      </c>
    </row>
    <row r="126" spans="1:9" x14ac:dyDescent="0.4">
      <c r="A126" t="s">
        <v>61</v>
      </c>
      <c r="B126" s="1">
        <v>44958</v>
      </c>
      <c r="C126">
        <v>870810</v>
      </c>
      <c r="D126" t="s">
        <v>176</v>
      </c>
      <c r="E126">
        <v>22385600</v>
      </c>
      <c r="F126">
        <v>1065129</v>
      </c>
      <c r="G126">
        <v>419647</v>
      </c>
      <c r="H126">
        <f>_xlfn.XLOOKUP(FACT_IMPORTS[[#This Row],[hts_6]],DIM_PRODUCTS[hts_6],DIM_PRODUCTS[hts_4],,,)</f>
        <v>8708</v>
      </c>
      <c r="I126" t="str" cm="1">
        <f t="array" ref="I126">_xlfn.XLOOKUP(FACT_IMPORTS[[#This Row],[country_name]],DIM_COUNTRY[[#All],[Column2]],DIM_COUNTRY[[#All],[Column3]],,,)</f>
        <v>USMCA</v>
      </c>
    </row>
    <row r="127" spans="1:9" x14ac:dyDescent="0.4">
      <c r="A127" t="s">
        <v>61</v>
      </c>
      <c r="B127" s="1">
        <v>44958</v>
      </c>
      <c r="C127">
        <v>870821</v>
      </c>
      <c r="D127" t="s">
        <v>176</v>
      </c>
      <c r="E127">
        <v>145937</v>
      </c>
      <c r="F127">
        <v>9405</v>
      </c>
      <c r="G127">
        <v>2184</v>
      </c>
      <c r="H127">
        <f>_xlfn.XLOOKUP(FACT_IMPORTS[[#This Row],[hts_6]],DIM_PRODUCTS[hts_6],DIM_PRODUCTS[hts_4],,,)</f>
        <v>8708</v>
      </c>
      <c r="I127" t="str" cm="1">
        <f t="array" ref="I127">_xlfn.XLOOKUP(FACT_IMPORTS[[#This Row],[country_name]],DIM_COUNTRY[[#All],[Column2]],DIM_COUNTRY[[#All],[Column3]],,,)</f>
        <v>USMCA</v>
      </c>
    </row>
    <row r="128" spans="1:9" x14ac:dyDescent="0.4">
      <c r="A128" t="s">
        <v>61</v>
      </c>
      <c r="B128" s="1">
        <v>44958</v>
      </c>
      <c r="C128">
        <v>870822</v>
      </c>
      <c r="D128" t="s">
        <v>176</v>
      </c>
      <c r="E128">
        <v>3863922</v>
      </c>
      <c r="F128">
        <v>77074</v>
      </c>
      <c r="G128">
        <v>73162</v>
      </c>
      <c r="H128">
        <f>_xlfn.XLOOKUP(FACT_IMPORTS[[#This Row],[hts_6]],DIM_PRODUCTS[hts_6],DIM_PRODUCTS[hts_4],,,)</f>
        <v>8708</v>
      </c>
      <c r="I128" t="str" cm="1">
        <f t="array" ref="I128">_xlfn.XLOOKUP(FACT_IMPORTS[[#This Row],[country_name]],DIM_COUNTRY[[#All],[Column2]],DIM_COUNTRY[[#All],[Column3]],,,)</f>
        <v>USMCA</v>
      </c>
    </row>
    <row r="129" spans="1:9" x14ac:dyDescent="0.4">
      <c r="A129" t="s">
        <v>61</v>
      </c>
      <c r="B129" s="1">
        <v>44958</v>
      </c>
      <c r="C129">
        <v>870829</v>
      </c>
      <c r="D129" t="s">
        <v>176</v>
      </c>
      <c r="E129">
        <v>347148803</v>
      </c>
      <c r="F129">
        <v>52810691</v>
      </c>
      <c r="G129">
        <v>6905223</v>
      </c>
      <c r="H129">
        <f>_xlfn.XLOOKUP(FACT_IMPORTS[[#This Row],[hts_6]],DIM_PRODUCTS[hts_6],DIM_PRODUCTS[hts_4],,,)</f>
        <v>8708</v>
      </c>
      <c r="I129" t="str" cm="1">
        <f t="array" ref="I129">_xlfn.XLOOKUP(FACT_IMPORTS[[#This Row],[country_name]],DIM_COUNTRY[[#All],[Column2]],DIM_COUNTRY[[#All],[Column3]],,,)</f>
        <v>USMCA</v>
      </c>
    </row>
    <row r="130" spans="1:9" x14ac:dyDescent="0.4">
      <c r="A130" t="s">
        <v>61</v>
      </c>
      <c r="B130" s="1">
        <v>44958</v>
      </c>
      <c r="C130">
        <v>870830</v>
      </c>
      <c r="D130" t="s">
        <v>176</v>
      </c>
      <c r="E130">
        <v>14239928</v>
      </c>
      <c r="F130">
        <v>5435201</v>
      </c>
      <c r="G130">
        <v>194578</v>
      </c>
      <c r="H130">
        <f>_xlfn.XLOOKUP(FACT_IMPORTS[[#This Row],[hts_6]],DIM_PRODUCTS[hts_6],DIM_PRODUCTS[hts_4],,,)</f>
        <v>8708</v>
      </c>
      <c r="I130" t="str" cm="1">
        <f t="array" ref="I130">_xlfn.XLOOKUP(FACT_IMPORTS[[#This Row],[country_name]],DIM_COUNTRY[[#All],[Column2]],DIM_COUNTRY[[#All],[Column3]],,,)</f>
        <v>USMCA</v>
      </c>
    </row>
    <row r="131" spans="1:9" x14ac:dyDescent="0.4">
      <c r="A131" t="s">
        <v>61</v>
      </c>
      <c r="B131" s="1">
        <v>44958</v>
      </c>
      <c r="C131">
        <v>870840</v>
      </c>
      <c r="D131" t="s">
        <v>176</v>
      </c>
      <c r="E131">
        <v>80865206</v>
      </c>
      <c r="F131">
        <v>4145605</v>
      </c>
      <c r="G131">
        <v>513158</v>
      </c>
      <c r="H131">
        <f>_xlfn.XLOOKUP(FACT_IMPORTS[[#This Row],[hts_6]],DIM_PRODUCTS[hts_6],DIM_PRODUCTS[hts_4],,,)</f>
        <v>8708</v>
      </c>
      <c r="I131" t="str" cm="1">
        <f t="array" ref="I131">_xlfn.XLOOKUP(FACT_IMPORTS[[#This Row],[country_name]],DIM_COUNTRY[[#All],[Column2]],DIM_COUNTRY[[#All],[Column3]],,,)</f>
        <v>USMCA</v>
      </c>
    </row>
    <row r="132" spans="1:9" x14ac:dyDescent="0.4">
      <c r="A132" t="s">
        <v>61</v>
      </c>
      <c r="B132" s="1">
        <v>44958</v>
      </c>
      <c r="C132">
        <v>870850</v>
      </c>
      <c r="D132" t="s">
        <v>176</v>
      </c>
      <c r="E132">
        <v>34711145</v>
      </c>
      <c r="F132">
        <v>1709954</v>
      </c>
      <c r="G132">
        <v>184786</v>
      </c>
      <c r="H132">
        <f>_xlfn.XLOOKUP(FACT_IMPORTS[[#This Row],[hts_6]],DIM_PRODUCTS[hts_6],DIM_PRODUCTS[hts_4],,,)</f>
        <v>8708</v>
      </c>
      <c r="I132" t="str" cm="1">
        <f t="array" ref="I132">_xlfn.XLOOKUP(FACT_IMPORTS[[#This Row],[country_name]],DIM_COUNTRY[[#All],[Column2]],DIM_COUNTRY[[#All],[Column3]],,,)</f>
        <v>USMCA</v>
      </c>
    </row>
    <row r="133" spans="1:9" x14ac:dyDescent="0.4">
      <c r="A133" t="s">
        <v>61</v>
      </c>
      <c r="B133" s="1">
        <v>44958</v>
      </c>
      <c r="C133">
        <v>870870</v>
      </c>
      <c r="D133" t="s">
        <v>176</v>
      </c>
      <c r="E133">
        <v>8021779</v>
      </c>
      <c r="F133">
        <v>7898709</v>
      </c>
      <c r="G133">
        <v>136976</v>
      </c>
      <c r="H133">
        <f>_xlfn.XLOOKUP(FACT_IMPORTS[[#This Row],[hts_6]],DIM_PRODUCTS[hts_6],DIM_PRODUCTS[hts_4],,,)</f>
        <v>8708</v>
      </c>
      <c r="I133" t="str" cm="1">
        <f t="array" ref="I133">_xlfn.XLOOKUP(FACT_IMPORTS[[#This Row],[country_name]],DIM_COUNTRY[[#All],[Column2]],DIM_COUNTRY[[#All],[Column3]],,,)</f>
        <v>USMCA</v>
      </c>
    </row>
    <row r="134" spans="1:9" x14ac:dyDescent="0.4">
      <c r="A134" t="s">
        <v>61</v>
      </c>
      <c r="B134" s="1">
        <v>44958</v>
      </c>
      <c r="C134">
        <v>870880</v>
      </c>
      <c r="D134" t="s">
        <v>176</v>
      </c>
      <c r="E134">
        <v>51747188</v>
      </c>
      <c r="F134">
        <v>2863844</v>
      </c>
      <c r="G134">
        <v>965233</v>
      </c>
      <c r="H134">
        <f>_xlfn.XLOOKUP(FACT_IMPORTS[[#This Row],[hts_6]],DIM_PRODUCTS[hts_6],DIM_PRODUCTS[hts_4],,,)</f>
        <v>8708</v>
      </c>
      <c r="I134" t="str" cm="1">
        <f t="array" ref="I134">_xlfn.XLOOKUP(FACT_IMPORTS[[#This Row],[country_name]],DIM_COUNTRY[[#All],[Column2]],DIM_COUNTRY[[#All],[Column3]],,,)</f>
        <v>USMCA</v>
      </c>
    </row>
    <row r="135" spans="1:9" x14ac:dyDescent="0.4">
      <c r="A135" t="s">
        <v>61</v>
      </c>
      <c r="B135" s="1">
        <v>44958</v>
      </c>
      <c r="C135">
        <v>870891</v>
      </c>
      <c r="D135" t="s">
        <v>176</v>
      </c>
      <c r="E135">
        <v>7922118</v>
      </c>
      <c r="F135">
        <v>273792</v>
      </c>
      <c r="G135">
        <v>95014</v>
      </c>
      <c r="H135">
        <f>_xlfn.XLOOKUP(FACT_IMPORTS[[#This Row],[hts_6]],DIM_PRODUCTS[hts_6],DIM_PRODUCTS[hts_4],,,)</f>
        <v>8708</v>
      </c>
      <c r="I135" t="str" cm="1">
        <f t="array" ref="I135">_xlfn.XLOOKUP(FACT_IMPORTS[[#This Row],[country_name]],DIM_COUNTRY[[#All],[Column2]],DIM_COUNTRY[[#All],[Column3]],,,)</f>
        <v>USMCA</v>
      </c>
    </row>
    <row r="136" spans="1:9" x14ac:dyDescent="0.4">
      <c r="A136" t="s">
        <v>61</v>
      </c>
      <c r="B136" s="1">
        <v>44958</v>
      </c>
      <c r="C136">
        <v>870892</v>
      </c>
      <c r="D136" t="s">
        <v>176</v>
      </c>
      <c r="E136">
        <v>19990243</v>
      </c>
      <c r="F136">
        <v>1413938</v>
      </c>
      <c r="G136">
        <v>421316</v>
      </c>
      <c r="H136">
        <f>_xlfn.XLOOKUP(FACT_IMPORTS[[#This Row],[hts_6]],DIM_PRODUCTS[hts_6],DIM_PRODUCTS[hts_4],,,)</f>
        <v>8708</v>
      </c>
      <c r="I136" t="str" cm="1">
        <f t="array" ref="I136">_xlfn.XLOOKUP(FACT_IMPORTS[[#This Row],[country_name]],DIM_COUNTRY[[#All],[Column2]],DIM_COUNTRY[[#All],[Column3]],,,)</f>
        <v>USMCA</v>
      </c>
    </row>
    <row r="137" spans="1:9" x14ac:dyDescent="0.4">
      <c r="A137" t="s">
        <v>61</v>
      </c>
      <c r="B137" s="1">
        <v>44958</v>
      </c>
      <c r="C137">
        <v>870893</v>
      </c>
      <c r="D137" t="s">
        <v>176</v>
      </c>
      <c r="E137">
        <v>42798451</v>
      </c>
      <c r="F137">
        <v>1265512</v>
      </c>
      <c r="G137">
        <v>123693</v>
      </c>
      <c r="H137">
        <f>_xlfn.XLOOKUP(FACT_IMPORTS[[#This Row],[hts_6]],DIM_PRODUCTS[hts_6],DIM_PRODUCTS[hts_4],,,)</f>
        <v>8708</v>
      </c>
      <c r="I137" t="str" cm="1">
        <f t="array" ref="I137">_xlfn.XLOOKUP(FACT_IMPORTS[[#This Row],[country_name]],DIM_COUNTRY[[#All],[Column2]],DIM_COUNTRY[[#All],[Column3]],,,)</f>
        <v>USMCA</v>
      </c>
    </row>
    <row r="138" spans="1:9" x14ac:dyDescent="0.4">
      <c r="A138" t="s">
        <v>61</v>
      </c>
      <c r="B138" s="1">
        <v>44958</v>
      </c>
      <c r="C138">
        <v>870894</v>
      </c>
      <c r="D138" t="s">
        <v>176</v>
      </c>
      <c r="E138">
        <v>9160471</v>
      </c>
      <c r="F138">
        <v>2186245</v>
      </c>
      <c r="G138">
        <v>111238</v>
      </c>
      <c r="H138">
        <f>_xlfn.XLOOKUP(FACT_IMPORTS[[#This Row],[hts_6]],DIM_PRODUCTS[hts_6],DIM_PRODUCTS[hts_4],,,)</f>
        <v>8708</v>
      </c>
      <c r="I138" t="str" cm="1">
        <f t="array" ref="I138">_xlfn.XLOOKUP(FACT_IMPORTS[[#This Row],[country_name]],DIM_COUNTRY[[#All],[Column2]],DIM_COUNTRY[[#All],[Column3]],,,)</f>
        <v>USMCA</v>
      </c>
    </row>
    <row r="139" spans="1:9" x14ac:dyDescent="0.4">
      <c r="A139" t="s">
        <v>61</v>
      </c>
      <c r="B139" s="1">
        <v>44958</v>
      </c>
      <c r="C139">
        <v>870895</v>
      </c>
      <c r="D139" t="s">
        <v>176</v>
      </c>
      <c r="E139">
        <v>1944251</v>
      </c>
      <c r="F139">
        <v>1523218</v>
      </c>
      <c r="G139">
        <v>15181</v>
      </c>
      <c r="H139">
        <f>_xlfn.XLOOKUP(FACT_IMPORTS[[#This Row],[hts_6]],DIM_PRODUCTS[hts_6],DIM_PRODUCTS[hts_4],,,)</f>
        <v>8708</v>
      </c>
      <c r="I139" t="str" cm="1">
        <f t="array" ref="I139">_xlfn.XLOOKUP(FACT_IMPORTS[[#This Row],[country_name]],DIM_COUNTRY[[#All],[Column2]],DIM_COUNTRY[[#All],[Column3]],,,)</f>
        <v>USMCA</v>
      </c>
    </row>
    <row r="140" spans="1:9" x14ac:dyDescent="0.4">
      <c r="A140" t="s">
        <v>61</v>
      </c>
      <c r="B140" s="1">
        <v>44958</v>
      </c>
      <c r="C140">
        <v>870899</v>
      </c>
      <c r="D140" t="s">
        <v>176</v>
      </c>
      <c r="E140">
        <v>181730799</v>
      </c>
      <c r="F140">
        <v>16363798</v>
      </c>
      <c r="G140">
        <v>2229083</v>
      </c>
      <c r="H140">
        <f>_xlfn.XLOOKUP(FACT_IMPORTS[[#This Row],[hts_6]],DIM_PRODUCTS[hts_6],DIM_PRODUCTS[hts_4],,,)</f>
        <v>8708</v>
      </c>
      <c r="I140" t="str" cm="1">
        <f t="array" ref="I140">_xlfn.XLOOKUP(FACT_IMPORTS[[#This Row],[country_name]],DIM_COUNTRY[[#All],[Column2]],DIM_COUNTRY[[#All],[Column3]],,,)</f>
        <v>USMCA</v>
      </c>
    </row>
    <row r="141" spans="1:9" x14ac:dyDescent="0.4">
      <c r="A141" t="s">
        <v>61</v>
      </c>
      <c r="B141" s="1">
        <v>44958</v>
      </c>
      <c r="C141">
        <v>940120</v>
      </c>
      <c r="D141" t="s">
        <v>176</v>
      </c>
      <c r="E141">
        <v>856312</v>
      </c>
      <c r="F141">
        <v>13728</v>
      </c>
      <c r="G141">
        <v>8720</v>
      </c>
      <c r="H141">
        <f>_xlfn.XLOOKUP(FACT_IMPORTS[[#This Row],[hts_6]],DIM_PRODUCTS[hts_6],DIM_PRODUCTS[hts_4],,,)</f>
        <v>9401</v>
      </c>
      <c r="I141" t="str" cm="1">
        <f t="array" ref="I141">_xlfn.XLOOKUP(FACT_IMPORTS[[#This Row],[country_name]],DIM_COUNTRY[[#All],[Column2]],DIM_COUNTRY[[#All],[Column3]],,,)</f>
        <v>USMCA</v>
      </c>
    </row>
    <row r="142" spans="1:9" x14ac:dyDescent="0.4">
      <c r="A142" t="s">
        <v>61</v>
      </c>
      <c r="B142" s="1">
        <v>44986</v>
      </c>
      <c r="C142">
        <v>392630</v>
      </c>
      <c r="D142" t="s">
        <v>176</v>
      </c>
      <c r="E142">
        <v>4106294</v>
      </c>
      <c r="F142">
        <v>397467</v>
      </c>
      <c r="G142">
        <v>185399</v>
      </c>
      <c r="H142">
        <f>_xlfn.XLOOKUP(FACT_IMPORTS[[#This Row],[hts_6]],DIM_PRODUCTS[hts_6],DIM_PRODUCTS[hts_4],,,)</f>
        <v>3926</v>
      </c>
      <c r="I142" t="str" cm="1">
        <f t="array" ref="I142">_xlfn.XLOOKUP(FACT_IMPORTS[[#This Row],[country_name]],DIM_COUNTRY[[#All],[Column2]],DIM_COUNTRY[[#All],[Column3]],,,)</f>
        <v>USMCA</v>
      </c>
    </row>
    <row r="143" spans="1:9" x14ac:dyDescent="0.4">
      <c r="A143" t="s">
        <v>61</v>
      </c>
      <c r="B143" s="1">
        <v>44986</v>
      </c>
      <c r="C143">
        <v>401110</v>
      </c>
      <c r="D143" t="s">
        <v>176</v>
      </c>
      <c r="E143">
        <v>52548565</v>
      </c>
      <c r="F143">
        <v>777928</v>
      </c>
      <c r="G143">
        <v>341535</v>
      </c>
      <c r="H143">
        <f>_xlfn.XLOOKUP(FACT_IMPORTS[[#This Row],[hts_6]],DIM_PRODUCTS[hts_6],DIM_PRODUCTS[hts_4],,,)</f>
        <v>4011</v>
      </c>
      <c r="I143" t="str" cm="1">
        <f t="array" ref="I143">_xlfn.XLOOKUP(FACT_IMPORTS[[#This Row],[country_name]],DIM_COUNTRY[[#All],[Column2]],DIM_COUNTRY[[#All],[Column3]],,,)</f>
        <v>USMCA</v>
      </c>
    </row>
    <row r="144" spans="1:9" x14ac:dyDescent="0.4">
      <c r="A144" t="s">
        <v>61</v>
      </c>
      <c r="B144" s="1">
        <v>44986</v>
      </c>
      <c r="C144">
        <v>401120</v>
      </c>
      <c r="D144" t="s">
        <v>176</v>
      </c>
      <c r="E144">
        <v>49395474</v>
      </c>
      <c r="F144">
        <v>341505</v>
      </c>
      <c r="G144">
        <v>264353</v>
      </c>
      <c r="H144">
        <f>_xlfn.XLOOKUP(FACT_IMPORTS[[#This Row],[hts_6]],DIM_PRODUCTS[hts_6],DIM_PRODUCTS[hts_4],,,)</f>
        <v>4011</v>
      </c>
      <c r="I144" t="str" cm="1">
        <f t="array" ref="I144">_xlfn.XLOOKUP(FACT_IMPORTS[[#This Row],[country_name]],DIM_COUNTRY[[#All],[Column2]],DIM_COUNTRY[[#All],[Column3]],,,)</f>
        <v>USMCA</v>
      </c>
    </row>
    <row r="145" spans="1:9" x14ac:dyDescent="0.4">
      <c r="A145" t="s">
        <v>61</v>
      </c>
      <c r="B145" s="1">
        <v>44986</v>
      </c>
      <c r="C145">
        <v>401140</v>
      </c>
      <c r="D145" t="s">
        <v>176</v>
      </c>
      <c r="E145">
        <v>0</v>
      </c>
      <c r="F145">
        <v>0</v>
      </c>
      <c r="G145">
        <v>0</v>
      </c>
      <c r="H145">
        <f>_xlfn.XLOOKUP(FACT_IMPORTS[[#This Row],[hts_6]],DIM_PRODUCTS[hts_6],DIM_PRODUCTS[hts_4],,,)</f>
        <v>4011</v>
      </c>
      <c r="I145" t="str" cm="1">
        <f t="array" ref="I145">_xlfn.XLOOKUP(FACT_IMPORTS[[#This Row],[country_name]],DIM_COUNTRY[[#All],[Column2]],DIM_COUNTRY[[#All],[Column3]],,,)</f>
        <v>USMCA</v>
      </c>
    </row>
    <row r="146" spans="1:9" x14ac:dyDescent="0.4">
      <c r="A146" t="s">
        <v>61</v>
      </c>
      <c r="B146" s="1">
        <v>44986</v>
      </c>
      <c r="C146">
        <v>401190</v>
      </c>
      <c r="D146" t="s">
        <v>176</v>
      </c>
      <c r="E146">
        <v>28637</v>
      </c>
      <c r="F146">
        <v>83</v>
      </c>
      <c r="G146">
        <v>247</v>
      </c>
      <c r="H146">
        <f>_xlfn.XLOOKUP(FACT_IMPORTS[[#This Row],[hts_6]],DIM_PRODUCTS[hts_6],DIM_PRODUCTS[hts_4],,,)</f>
        <v>4011</v>
      </c>
      <c r="I146" t="str" cm="1">
        <f t="array" ref="I146">_xlfn.XLOOKUP(FACT_IMPORTS[[#This Row],[country_name]],DIM_COUNTRY[[#All],[Column2]],DIM_COUNTRY[[#All],[Column3]],,,)</f>
        <v>USMCA</v>
      </c>
    </row>
    <row r="147" spans="1:9" x14ac:dyDescent="0.4">
      <c r="A147" t="s">
        <v>61</v>
      </c>
      <c r="B147" s="1">
        <v>44986</v>
      </c>
      <c r="C147">
        <v>700711</v>
      </c>
      <c r="D147" t="s">
        <v>176</v>
      </c>
      <c r="E147">
        <v>1096565</v>
      </c>
      <c r="F147">
        <v>2191</v>
      </c>
      <c r="G147">
        <v>5382</v>
      </c>
      <c r="H147">
        <f>_xlfn.XLOOKUP(FACT_IMPORTS[[#This Row],[hts_6]],DIM_PRODUCTS[hts_6],DIM_PRODUCTS[hts_4],,,)</f>
        <v>7007</v>
      </c>
      <c r="I147" t="str" cm="1">
        <f t="array" ref="I147">_xlfn.XLOOKUP(FACT_IMPORTS[[#This Row],[country_name]],DIM_COUNTRY[[#All],[Column2]],DIM_COUNTRY[[#All],[Column3]],,,)</f>
        <v>USMCA</v>
      </c>
    </row>
    <row r="148" spans="1:9" x14ac:dyDescent="0.4">
      <c r="A148" t="s">
        <v>61</v>
      </c>
      <c r="B148" s="1">
        <v>44986</v>
      </c>
      <c r="C148">
        <v>700721</v>
      </c>
      <c r="D148" t="s">
        <v>176</v>
      </c>
      <c r="E148">
        <v>49366</v>
      </c>
      <c r="F148">
        <v>97</v>
      </c>
      <c r="G148">
        <v>1616</v>
      </c>
      <c r="H148">
        <f>_xlfn.XLOOKUP(FACT_IMPORTS[[#This Row],[hts_6]],DIM_PRODUCTS[hts_6],DIM_PRODUCTS[hts_4],,,)</f>
        <v>7007</v>
      </c>
      <c r="I148" t="str" cm="1">
        <f t="array" ref="I148">_xlfn.XLOOKUP(FACT_IMPORTS[[#This Row],[country_name]],DIM_COUNTRY[[#All],[Column2]],DIM_COUNTRY[[#All],[Column3]],,,)</f>
        <v>USMCA</v>
      </c>
    </row>
    <row r="149" spans="1:9" x14ac:dyDescent="0.4">
      <c r="A149" t="s">
        <v>61</v>
      </c>
      <c r="B149" s="1">
        <v>44986</v>
      </c>
      <c r="C149">
        <v>700910</v>
      </c>
      <c r="D149" t="s">
        <v>176</v>
      </c>
      <c r="E149">
        <v>267499</v>
      </c>
      <c r="F149">
        <v>4668</v>
      </c>
      <c r="G149">
        <v>1527</v>
      </c>
      <c r="H149">
        <f>_xlfn.XLOOKUP(FACT_IMPORTS[[#This Row],[hts_6]],DIM_PRODUCTS[hts_6],DIM_PRODUCTS[hts_4],,,)</f>
        <v>7009</v>
      </c>
      <c r="I149" t="str" cm="1">
        <f t="array" ref="I149">_xlfn.XLOOKUP(FACT_IMPORTS[[#This Row],[country_name]],DIM_COUNTRY[[#All],[Column2]],DIM_COUNTRY[[#All],[Column3]],,,)</f>
        <v>USMCA</v>
      </c>
    </row>
    <row r="150" spans="1:9" x14ac:dyDescent="0.4">
      <c r="A150" t="s">
        <v>61</v>
      </c>
      <c r="B150" s="1">
        <v>44986</v>
      </c>
      <c r="C150">
        <v>732010</v>
      </c>
      <c r="D150" t="s">
        <v>176</v>
      </c>
      <c r="E150">
        <v>4400651</v>
      </c>
      <c r="F150">
        <v>1337723</v>
      </c>
      <c r="G150">
        <v>29885</v>
      </c>
      <c r="H150">
        <f>_xlfn.XLOOKUP(FACT_IMPORTS[[#This Row],[hts_6]],DIM_PRODUCTS[hts_6],DIM_PRODUCTS[hts_4],,,)</f>
        <v>7320</v>
      </c>
      <c r="I150" t="str" cm="1">
        <f t="array" ref="I150">_xlfn.XLOOKUP(FACT_IMPORTS[[#This Row],[country_name]],DIM_COUNTRY[[#All],[Column2]],DIM_COUNTRY[[#All],[Column3]],,,)</f>
        <v>USMCA</v>
      </c>
    </row>
    <row r="151" spans="1:9" x14ac:dyDescent="0.4">
      <c r="A151" t="s">
        <v>61</v>
      </c>
      <c r="B151" s="1">
        <v>44986</v>
      </c>
      <c r="C151">
        <v>830230</v>
      </c>
      <c r="D151" t="s">
        <v>176</v>
      </c>
      <c r="E151">
        <v>38627930</v>
      </c>
      <c r="F151">
        <v>8080103</v>
      </c>
      <c r="G151">
        <v>1123060</v>
      </c>
      <c r="H151">
        <f>_xlfn.XLOOKUP(FACT_IMPORTS[[#This Row],[hts_6]],DIM_PRODUCTS[hts_6],DIM_PRODUCTS[hts_4],,,)</f>
        <v>8302</v>
      </c>
      <c r="I151" t="str" cm="1">
        <f t="array" ref="I151">_xlfn.XLOOKUP(FACT_IMPORTS[[#This Row],[country_name]],DIM_COUNTRY[[#All],[Column2]],DIM_COUNTRY[[#All],[Column3]],,,)</f>
        <v>USMCA</v>
      </c>
    </row>
    <row r="152" spans="1:9" x14ac:dyDescent="0.4">
      <c r="A152" t="s">
        <v>61</v>
      </c>
      <c r="B152" s="1">
        <v>44986</v>
      </c>
      <c r="C152">
        <v>840731</v>
      </c>
      <c r="D152" t="s">
        <v>176</v>
      </c>
      <c r="E152">
        <v>0</v>
      </c>
      <c r="F152">
        <v>0</v>
      </c>
      <c r="G152">
        <v>0</v>
      </c>
      <c r="H152">
        <f>_xlfn.XLOOKUP(FACT_IMPORTS[[#This Row],[hts_6]],DIM_PRODUCTS[hts_6],DIM_PRODUCTS[hts_4],,,)</f>
        <v>8407</v>
      </c>
      <c r="I152" t="str" cm="1">
        <f t="array" ref="I152">_xlfn.XLOOKUP(FACT_IMPORTS[[#This Row],[country_name]],DIM_COUNTRY[[#All],[Column2]],DIM_COUNTRY[[#All],[Column3]],,,)</f>
        <v>USMCA</v>
      </c>
    </row>
    <row r="153" spans="1:9" x14ac:dyDescent="0.4">
      <c r="A153" t="s">
        <v>61</v>
      </c>
      <c r="B153" s="1">
        <v>44986</v>
      </c>
      <c r="C153">
        <v>840733</v>
      </c>
      <c r="D153" t="s">
        <v>176</v>
      </c>
      <c r="E153">
        <v>0</v>
      </c>
      <c r="F153">
        <v>0</v>
      </c>
      <c r="G153">
        <v>0</v>
      </c>
      <c r="H153">
        <f>_xlfn.XLOOKUP(FACT_IMPORTS[[#This Row],[hts_6]],DIM_PRODUCTS[hts_6],DIM_PRODUCTS[hts_4],,,)</f>
        <v>8407</v>
      </c>
      <c r="I153" t="str" cm="1">
        <f t="array" ref="I153">_xlfn.XLOOKUP(FACT_IMPORTS[[#This Row],[country_name]],DIM_COUNTRY[[#All],[Column2]],DIM_COUNTRY[[#All],[Column3]],,,)</f>
        <v>USMCA</v>
      </c>
    </row>
    <row r="154" spans="1:9" x14ac:dyDescent="0.4">
      <c r="A154" t="s">
        <v>61</v>
      </c>
      <c r="B154" s="1">
        <v>44986</v>
      </c>
      <c r="C154">
        <v>840734</v>
      </c>
      <c r="D154" t="s">
        <v>176</v>
      </c>
      <c r="E154">
        <v>281296119</v>
      </c>
      <c r="F154">
        <v>90296</v>
      </c>
      <c r="G154">
        <v>308916</v>
      </c>
      <c r="H154">
        <f>_xlfn.XLOOKUP(FACT_IMPORTS[[#This Row],[hts_6]],DIM_PRODUCTS[hts_6],DIM_PRODUCTS[hts_4],,,)</f>
        <v>8407</v>
      </c>
      <c r="I154" t="str" cm="1">
        <f t="array" ref="I154">_xlfn.XLOOKUP(FACT_IMPORTS[[#This Row],[country_name]],DIM_COUNTRY[[#All],[Column2]],DIM_COUNTRY[[#All],[Column3]],,,)</f>
        <v>USMCA</v>
      </c>
    </row>
    <row r="155" spans="1:9" x14ac:dyDescent="0.4">
      <c r="A155" t="s">
        <v>61</v>
      </c>
      <c r="B155" s="1">
        <v>44986</v>
      </c>
      <c r="C155">
        <v>840790</v>
      </c>
      <c r="D155" t="s">
        <v>176</v>
      </c>
      <c r="E155">
        <v>5574548</v>
      </c>
      <c r="F155">
        <v>2227</v>
      </c>
      <c r="G155">
        <v>2200</v>
      </c>
      <c r="H155">
        <f>_xlfn.XLOOKUP(FACT_IMPORTS[[#This Row],[hts_6]],DIM_PRODUCTS[hts_6],DIM_PRODUCTS[hts_4],,,)</f>
        <v>8407</v>
      </c>
      <c r="I155" t="str" cm="1">
        <f t="array" ref="I155">_xlfn.XLOOKUP(FACT_IMPORTS[[#This Row],[country_name]],DIM_COUNTRY[[#All],[Column2]],DIM_COUNTRY[[#All],[Column3]],,,)</f>
        <v>USMCA</v>
      </c>
    </row>
    <row r="156" spans="1:9" x14ac:dyDescent="0.4">
      <c r="A156" t="s">
        <v>61</v>
      </c>
      <c r="B156" s="1">
        <v>44986</v>
      </c>
      <c r="C156">
        <v>840820</v>
      </c>
      <c r="D156" t="s">
        <v>176</v>
      </c>
      <c r="E156">
        <v>860741</v>
      </c>
      <c r="F156">
        <v>129</v>
      </c>
      <c r="G156">
        <v>8820</v>
      </c>
      <c r="H156">
        <f>_xlfn.XLOOKUP(FACT_IMPORTS[[#This Row],[hts_6]],DIM_PRODUCTS[hts_6],DIM_PRODUCTS[hts_4],,,)</f>
        <v>8408</v>
      </c>
      <c r="I156" t="str" cm="1">
        <f t="array" ref="I156">_xlfn.XLOOKUP(FACT_IMPORTS[[#This Row],[country_name]],DIM_COUNTRY[[#All],[Column2]],DIM_COUNTRY[[#All],[Column3]],,,)</f>
        <v>USMCA</v>
      </c>
    </row>
    <row r="157" spans="1:9" x14ac:dyDescent="0.4">
      <c r="A157" t="s">
        <v>61</v>
      </c>
      <c r="B157" s="1">
        <v>44986</v>
      </c>
      <c r="C157">
        <v>840890</v>
      </c>
      <c r="D157" t="s">
        <v>176</v>
      </c>
      <c r="E157">
        <v>428548</v>
      </c>
      <c r="F157">
        <v>43</v>
      </c>
      <c r="G157">
        <v>950</v>
      </c>
      <c r="H157">
        <f>_xlfn.XLOOKUP(FACT_IMPORTS[[#This Row],[hts_6]],DIM_PRODUCTS[hts_6],DIM_PRODUCTS[hts_4],,,)</f>
        <v>8408</v>
      </c>
      <c r="I157" t="str" cm="1">
        <f t="array" ref="I157">_xlfn.XLOOKUP(FACT_IMPORTS[[#This Row],[country_name]],DIM_COUNTRY[[#All],[Column2]],DIM_COUNTRY[[#All],[Column3]],,,)</f>
        <v>USMCA</v>
      </c>
    </row>
    <row r="158" spans="1:9" x14ac:dyDescent="0.4">
      <c r="A158" t="s">
        <v>61</v>
      </c>
      <c r="B158" s="1">
        <v>44986</v>
      </c>
      <c r="C158">
        <v>840991</v>
      </c>
      <c r="D158" t="s">
        <v>176</v>
      </c>
      <c r="E158">
        <v>46646931</v>
      </c>
      <c r="F158">
        <v>4249497</v>
      </c>
      <c r="G158">
        <v>273915</v>
      </c>
      <c r="H158">
        <f>_xlfn.XLOOKUP(FACT_IMPORTS[[#This Row],[hts_6]],DIM_PRODUCTS[hts_6],DIM_PRODUCTS[hts_4],,,)</f>
        <v>8409</v>
      </c>
      <c r="I158" t="str" cm="1">
        <f t="array" ref="I158">_xlfn.XLOOKUP(FACT_IMPORTS[[#This Row],[country_name]],DIM_COUNTRY[[#All],[Column2]],DIM_COUNTRY[[#All],[Column3]],,,)</f>
        <v>USMCA</v>
      </c>
    </row>
    <row r="159" spans="1:9" x14ac:dyDescent="0.4">
      <c r="A159" t="s">
        <v>61</v>
      </c>
      <c r="B159" s="1">
        <v>44986</v>
      </c>
      <c r="C159">
        <v>840999</v>
      </c>
      <c r="D159" t="s">
        <v>176</v>
      </c>
      <c r="E159">
        <v>17094066</v>
      </c>
      <c r="F159">
        <v>1604022</v>
      </c>
      <c r="G159">
        <v>128580</v>
      </c>
      <c r="H159">
        <f>_xlfn.XLOOKUP(FACT_IMPORTS[[#This Row],[hts_6]],DIM_PRODUCTS[hts_6],DIM_PRODUCTS[hts_4],,,)</f>
        <v>8409</v>
      </c>
      <c r="I159" t="str" cm="1">
        <f t="array" ref="I159">_xlfn.XLOOKUP(FACT_IMPORTS[[#This Row],[country_name]],DIM_COUNTRY[[#All],[Column2]],DIM_COUNTRY[[#All],[Column3]],,,)</f>
        <v>USMCA</v>
      </c>
    </row>
    <row r="160" spans="1:9" x14ac:dyDescent="0.4">
      <c r="A160" t="s">
        <v>61</v>
      </c>
      <c r="B160" s="1">
        <v>44986</v>
      </c>
      <c r="C160">
        <v>841330</v>
      </c>
      <c r="D160" t="s">
        <v>176</v>
      </c>
      <c r="E160">
        <v>10936365</v>
      </c>
      <c r="F160">
        <v>239947</v>
      </c>
      <c r="G160">
        <v>44392</v>
      </c>
      <c r="H160">
        <f>_xlfn.XLOOKUP(FACT_IMPORTS[[#This Row],[hts_6]],DIM_PRODUCTS[hts_6],DIM_PRODUCTS[hts_4],,,)</f>
        <v>8413</v>
      </c>
      <c r="I160" t="str" cm="1">
        <f t="array" ref="I160">_xlfn.XLOOKUP(FACT_IMPORTS[[#This Row],[country_name]],DIM_COUNTRY[[#All],[Column2]],DIM_COUNTRY[[#All],[Column3]],,,)</f>
        <v>USMCA</v>
      </c>
    </row>
    <row r="161" spans="1:9" x14ac:dyDescent="0.4">
      <c r="A161" t="s">
        <v>61</v>
      </c>
      <c r="B161" s="1">
        <v>44986</v>
      </c>
      <c r="C161">
        <v>841520</v>
      </c>
      <c r="D161" t="s">
        <v>176</v>
      </c>
      <c r="E161">
        <v>4400452</v>
      </c>
      <c r="F161">
        <v>27073</v>
      </c>
      <c r="G161">
        <v>37609</v>
      </c>
      <c r="H161">
        <f>_xlfn.XLOOKUP(FACT_IMPORTS[[#This Row],[hts_6]],DIM_PRODUCTS[hts_6],DIM_PRODUCTS[hts_4],,,)</f>
        <v>8415</v>
      </c>
      <c r="I161" t="str" cm="1">
        <f t="array" ref="I161">_xlfn.XLOOKUP(FACT_IMPORTS[[#This Row],[country_name]],DIM_COUNTRY[[#All],[Column2]],DIM_COUNTRY[[#All],[Column3]],,,)</f>
        <v>USMCA</v>
      </c>
    </row>
    <row r="162" spans="1:9" x14ac:dyDescent="0.4">
      <c r="A162" t="s">
        <v>61</v>
      </c>
      <c r="B162" s="1">
        <v>44986</v>
      </c>
      <c r="C162">
        <v>842132</v>
      </c>
      <c r="D162" t="s">
        <v>176</v>
      </c>
      <c r="E162">
        <v>8178764</v>
      </c>
      <c r="F162">
        <v>49420</v>
      </c>
      <c r="G162">
        <v>29502</v>
      </c>
      <c r="H162">
        <f>_xlfn.XLOOKUP(FACT_IMPORTS[[#This Row],[hts_6]],DIM_PRODUCTS[hts_6],DIM_PRODUCTS[hts_4],,,)</f>
        <v>8421</v>
      </c>
      <c r="I162" t="str" cm="1">
        <f t="array" ref="I162">_xlfn.XLOOKUP(FACT_IMPORTS[[#This Row],[country_name]],DIM_COUNTRY[[#All],[Column2]],DIM_COUNTRY[[#All],[Column3]],,,)</f>
        <v>USMCA</v>
      </c>
    </row>
    <row r="163" spans="1:9" x14ac:dyDescent="0.4">
      <c r="A163" t="s">
        <v>61</v>
      </c>
      <c r="B163" s="1">
        <v>44986</v>
      </c>
      <c r="C163">
        <v>848210</v>
      </c>
      <c r="D163" t="s">
        <v>176</v>
      </c>
      <c r="E163">
        <v>4903653</v>
      </c>
      <c r="F163">
        <v>1551011</v>
      </c>
      <c r="G163">
        <v>96290</v>
      </c>
      <c r="H163">
        <f>_xlfn.XLOOKUP(FACT_IMPORTS[[#This Row],[hts_6]],DIM_PRODUCTS[hts_6],DIM_PRODUCTS[hts_4],,,)</f>
        <v>8482</v>
      </c>
      <c r="I163" t="str" cm="1">
        <f t="array" ref="I163">_xlfn.XLOOKUP(FACT_IMPORTS[[#This Row],[country_name]],DIM_COUNTRY[[#All],[Column2]],DIM_COUNTRY[[#All],[Column3]],,,)</f>
        <v>USMCA</v>
      </c>
    </row>
    <row r="164" spans="1:9" x14ac:dyDescent="0.4">
      <c r="A164" t="s">
        <v>61</v>
      </c>
      <c r="B164" s="1">
        <v>44986</v>
      </c>
      <c r="C164">
        <v>848220</v>
      </c>
      <c r="D164" t="s">
        <v>176</v>
      </c>
      <c r="E164">
        <v>585476</v>
      </c>
      <c r="F164">
        <v>11867</v>
      </c>
      <c r="G164">
        <v>6819</v>
      </c>
      <c r="H164">
        <f>_xlfn.XLOOKUP(FACT_IMPORTS[[#This Row],[hts_6]],DIM_PRODUCTS[hts_6],DIM_PRODUCTS[hts_4],,,)</f>
        <v>8482</v>
      </c>
      <c r="I164" t="str" cm="1">
        <f t="array" ref="I164">_xlfn.XLOOKUP(FACT_IMPORTS[[#This Row],[country_name]],DIM_COUNTRY[[#All],[Column2]],DIM_COUNTRY[[#All],[Column3]],,,)</f>
        <v>USMCA</v>
      </c>
    </row>
    <row r="165" spans="1:9" x14ac:dyDescent="0.4">
      <c r="A165" t="s">
        <v>61</v>
      </c>
      <c r="B165" s="1">
        <v>44986</v>
      </c>
      <c r="C165">
        <v>848310</v>
      </c>
      <c r="D165" t="s">
        <v>176</v>
      </c>
      <c r="E165">
        <v>16856440</v>
      </c>
      <c r="F165">
        <v>547009</v>
      </c>
      <c r="G165">
        <v>269461</v>
      </c>
      <c r="H165">
        <f>_xlfn.XLOOKUP(FACT_IMPORTS[[#This Row],[hts_6]],DIM_PRODUCTS[hts_6],DIM_PRODUCTS[hts_4],,,)</f>
        <v>8483</v>
      </c>
      <c r="I165" t="str" cm="1">
        <f t="array" ref="I165">_xlfn.XLOOKUP(FACT_IMPORTS[[#This Row],[country_name]],DIM_COUNTRY[[#All],[Column2]],DIM_COUNTRY[[#All],[Column3]],,,)</f>
        <v>USMCA</v>
      </c>
    </row>
    <row r="166" spans="1:9" x14ac:dyDescent="0.4">
      <c r="A166" t="s">
        <v>61</v>
      </c>
      <c r="B166" s="1">
        <v>44986</v>
      </c>
      <c r="C166">
        <v>850131</v>
      </c>
      <c r="D166" t="s">
        <v>176</v>
      </c>
      <c r="E166">
        <v>4021363</v>
      </c>
      <c r="F166">
        <v>60799</v>
      </c>
      <c r="G166">
        <v>32044</v>
      </c>
      <c r="H166">
        <f>_xlfn.XLOOKUP(FACT_IMPORTS[[#This Row],[hts_6]],DIM_PRODUCTS[hts_6],DIM_PRODUCTS[hts_4],,,)</f>
        <v>8501</v>
      </c>
      <c r="I166" t="str" cm="1">
        <f t="array" ref="I166">_xlfn.XLOOKUP(FACT_IMPORTS[[#This Row],[country_name]],DIM_COUNTRY[[#All],[Column2]],DIM_COUNTRY[[#All],[Column3]],,,)</f>
        <v>USMCA</v>
      </c>
    </row>
    <row r="167" spans="1:9" x14ac:dyDescent="0.4">
      <c r="A167" t="s">
        <v>61</v>
      </c>
      <c r="B167" s="1">
        <v>44986</v>
      </c>
      <c r="C167">
        <v>850132</v>
      </c>
      <c r="D167" t="s">
        <v>176</v>
      </c>
      <c r="E167">
        <v>307001</v>
      </c>
      <c r="F167">
        <v>41</v>
      </c>
      <c r="G167">
        <v>1974</v>
      </c>
      <c r="H167">
        <f>_xlfn.XLOOKUP(FACT_IMPORTS[[#This Row],[hts_6]],DIM_PRODUCTS[hts_6],DIM_PRODUCTS[hts_4],,,)</f>
        <v>8501</v>
      </c>
      <c r="I167" t="str" cm="1">
        <f t="array" ref="I167">_xlfn.XLOOKUP(FACT_IMPORTS[[#This Row],[country_name]],DIM_COUNTRY[[#All],[Column2]],DIM_COUNTRY[[#All],[Column3]],,,)</f>
        <v>USMCA</v>
      </c>
    </row>
    <row r="168" spans="1:9" x14ac:dyDescent="0.4">
      <c r="A168" t="s">
        <v>61</v>
      </c>
      <c r="B168" s="1">
        <v>44986</v>
      </c>
      <c r="C168">
        <v>850133</v>
      </c>
      <c r="D168" t="s">
        <v>176</v>
      </c>
      <c r="E168">
        <v>19988</v>
      </c>
      <c r="F168">
        <v>1</v>
      </c>
      <c r="G168">
        <v>100</v>
      </c>
      <c r="H168">
        <f>_xlfn.XLOOKUP(FACT_IMPORTS[[#This Row],[hts_6]],DIM_PRODUCTS[hts_6],DIM_PRODUCTS[hts_4],,,)</f>
        <v>8501</v>
      </c>
      <c r="I168" t="str" cm="1">
        <f t="array" ref="I168">_xlfn.XLOOKUP(FACT_IMPORTS[[#This Row],[country_name]],DIM_COUNTRY[[#All],[Column2]],DIM_COUNTRY[[#All],[Column3]],,,)</f>
        <v>USMCA</v>
      </c>
    </row>
    <row r="169" spans="1:9" x14ac:dyDescent="0.4">
      <c r="A169" t="s">
        <v>61</v>
      </c>
      <c r="B169" s="1">
        <v>44986</v>
      </c>
      <c r="C169">
        <v>850134</v>
      </c>
      <c r="D169" t="s">
        <v>176</v>
      </c>
      <c r="E169">
        <v>0</v>
      </c>
      <c r="F169">
        <v>0</v>
      </c>
      <c r="G169">
        <v>0</v>
      </c>
      <c r="H169">
        <f>_xlfn.XLOOKUP(FACT_IMPORTS[[#This Row],[hts_6]],DIM_PRODUCTS[hts_6],DIM_PRODUCTS[hts_4],,,)</f>
        <v>8501</v>
      </c>
      <c r="I169" t="str" cm="1">
        <f t="array" ref="I169">_xlfn.XLOOKUP(FACT_IMPORTS[[#This Row],[country_name]],DIM_COUNTRY[[#All],[Column2]],DIM_COUNTRY[[#All],[Column3]],,,)</f>
        <v>USMCA</v>
      </c>
    </row>
    <row r="170" spans="1:9" x14ac:dyDescent="0.4">
      <c r="A170" t="s">
        <v>61</v>
      </c>
      <c r="B170" s="1">
        <v>44986</v>
      </c>
      <c r="C170">
        <v>850152</v>
      </c>
      <c r="D170" t="s">
        <v>176</v>
      </c>
      <c r="E170">
        <v>1169298</v>
      </c>
      <c r="F170">
        <v>215</v>
      </c>
      <c r="G170">
        <v>13638</v>
      </c>
      <c r="H170">
        <f>_xlfn.XLOOKUP(FACT_IMPORTS[[#This Row],[hts_6]],DIM_PRODUCTS[hts_6],DIM_PRODUCTS[hts_4],,,)</f>
        <v>8501</v>
      </c>
      <c r="I170" t="str" cm="1">
        <f t="array" ref="I170">_xlfn.XLOOKUP(FACT_IMPORTS[[#This Row],[country_name]],DIM_COUNTRY[[#All],[Column2]],DIM_COUNTRY[[#All],[Column3]],,,)</f>
        <v>USMCA</v>
      </c>
    </row>
    <row r="171" spans="1:9" x14ac:dyDescent="0.4">
      <c r="A171" t="s">
        <v>61</v>
      </c>
      <c r="B171" s="1">
        <v>44986</v>
      </c>
      <c r="C171">
        <v>850153</v>
      </c>
      <c r="D171" t="s">
        <v>176</v>
      </c>
      <c r="E171">
        <v>1430881</v>
      </c>
      <c r="F171">
        <v>230</v>
      </c>
      <c r="G171">
        <v>4662</v>
      </c>
      <c r="H171">
        <f>_xlfn.XLOOKUP(FACT_IMPORTS[[#This Row],[hts_6]],DIM_PRODUCTS[hts_6],DIM_PRODUCTS[hts_4],,,)</f>
        <v>8501</v>
      </c>
      <c r="I171" t="str" cm="1">
        <f t="array" ref="I171">_xlfn.XLOOKUP(FACT_IMPORTS[[#This Row],[country_name]],DIM_COUNTRY[[#All],[Column2]],DIM_COUNTRY[[#All],[Column3]],,,)</f>
        <v>USMCA</v>
      </c>
    </row>
    <row r="172" spans="1:9" x14ac:dyDescent="0.4">
      <c r="A172" t="s">
        <v>61</v>
      </c>
      <c r="B172" s="1">
        <v>44986</v>
      </c>
      <c r="C172">
        <v>850161</v>
      </c>
      <c r="D172" t="s">
        <v>176</v>
      </c>
      <c r="E172">
        <v>18738</v>
      </c>
      <c r="F172">
        <v>6</v>
      </c>
      <c r="G172">
        <v>67</v>
      </c>
      <c r="H172">
        <f>_xlfn.XLOOKUP(FACT_IMPORTS[[#This Row],[hts_6]],DIM_PRODUCTS[hts_6],DIM_PRODUCTS[hts_4],,,)</f>
        <v>8501</v>
      </c>
      <c r="I172" t="str" cm="1">
        <f t="array" ref="I172">_xlfn.XLOOKUP(FACT_IMPORTS[[#This Row],[country_name]],DIM_COUNTRY[[#All],[Column2]],DIM_COUNTRY[[#All],[Column3]],,,)</f>
        <v>USMCA</v>
      </c>
    </row>
    <row r="173" spans="1:9" x14ac:dyDescent="0.4">
      <c r="A173" t="s">
        <v>61</v>
      </c>
      <c r="B173" s="1">
        <v>44986</v>
      </c>
      <c r="C173">
        <v>850440</v>
      </c>
      <c r="D173" t="s">
        <v>176</v>
      </c>
      <c r="E173">
        <v>7914171</v>
      </c>
      <c r="F173">
        <v>44902</v>
      </c>
      <c r="G173">
        <v>124300</v>
      </c>
      <c r="H173">
        <f>_xlfn.XLOOKUP(FACT_IMPORTS[[#This Row],[hts_6]],DIM_PRODUCTS[hts_6],DIM_PRODUCTS[hts_4],,,)</f>
        <v>8504</v>
      </c>
      <c r="I173" t="str" cm="1">
        <f t="array" ref="I173">_xlfn.XLOOKUP(FACT_IMPORTS[[#This Row],[country_name]],DIM_COUNTRY[[#All],[Column2]],DIM_COUNTRY[[#All],[Column3]],,,)</f>
        <v>USMCA</v>
      </c>
    </row>
    <row r="174" spans="1:9" x14ac:dyDescent="0.4">
      <c r="A174" t="s">
        <v>61</v>
      </c>
      <c r="B174" s="1">
        <v>44986</v>
      </c>
      <c r="C174">
        <v>850710</v>
      </c>
      <c r="D174" t="s">
        <v>176</v>
      </c>
      <c r="E174">
        <v>831899</v>
      </c>
      <c r="F174">
        <v>832</v>
      </c>
      <c r="G174">
        <v>52882</v>
      </c>
      <c r="H174">
        <f>_xlfn.XLOOKUP(FACT_IMPORTS[[#This Row],[hts_6]],DIM_PRODUCTS[hts_6],DIM_PRODUCTS[hts_4],,,)</f>
        <v>8507</v>
      </c>
      <c r="I174" t="str" cm="1">
        <f t="array" ref="I174">_xlfn.XLOOKUP(FACT_IMPORTS[[#This Row],[country_name]],DIM_COUNTRY[[#All],[Column2]],DIM_COUNTRY[[#All],[Column3]],,,)</f>
        <v>USMCA</v>
      </c>
    </row>
    <row r="175" spans="1:9" x14ac:dyDescent="0.4">
      <c r="A175" t="s">
        <v>61</v>
      </c>
      <c r="B175" s="1">
        <v>44986</v>
      </c>
      <c r="C175">
        <v>850760</v>
      </c>
      <c r="D175" t="s">
        <v>176</v>
      </c>
      <c r="E175">
        <v>3286079</v>
      </c>
      <c r="F175">
        <v>2096</v>
      </c>
      <c r="G175">
        <v>7474</v>
      </c>
      <c r="H175">
        <f>_xlfn.XLOOKUP(FACT_IMPORTS[[#This Row],[hts_6]],DIM_PRODUCTS[hts_6],DIM_PRODUCTS[hts_4],,,)</f>
        <v>8507</v>
      </c>
      <c r="I175" t="str" cm="1">
        <f t="array" ref="I175">_xlfn.XLOOKUP(FACT_IMPORTS[[#This Row],[country_name]],DIM_COUNTRY[[#All],[Column2]],DIM_COUNTRY[[#All],[Column3]],,,)</f>
        <v>USMCA</v>
      </c>
    </row>
    <row r="176" spans="1:9" x14ac:dyDescent="0.4">
      <c r="A176" t="s">
        <v>61</v>
      </c>
      <c r="B176" s="1">
        <v>44986</v>
      </c>
      <c r="C176">
        <v>850790</v>
      </c>
      <c r="D176" t="s">
        <v>176</v>
      </c>
      <c r="E176">
        <v>31057</v>
      </c>
      <c r="F176">
        <v>667</v>
      </c>
      <c r="G176">
        <v>276</v>
      </c>
      <c r="H176">
        <f>_xlfn.XLOOKUP(FACT_IMPORTS[[#This Row],[hts_6]],DIM_PRODUCTS[hts_6],DIM_PRODUCTS[hts_4],,,)</f>
        <v>8507</v>
      </c>
      <c r="I176" t="str" cm="1">
        <f t="array" ref="I176">_xlfn.XLOOKUP(FACT_IMPORTS[[#This Row],[country_name]],DIM_COUNTRY[[#All],[Column2]],DIM_COUNTRY[[#All],[Column3]],,,)</f>
        <v>USMCA</v>
      </c>
    </row>
    <row r="177" spans="1:9" x14ac:dyDescent="0.4">
      <c r="A177" t="s">
        <v>61</v>
      </c>
      <c r="B177" s="1">
        <v>44986</v>
      </c>
      <c r="C177">
        <v>851110</v>
      </c>
      <c r="D177" t="s">
        <v>176</v>
      </c>
      <c r="E177">
        <v>0</v>
      </c>
      <c r="F177">
        <v>0</v>
      </c>
      <c r="G177">
        <v>0</v>
      </c>
      <c r="H177">
        <f>_xlfn.XLOOKUP(FACT_IMPORTS[[#This Row],[hts_6]],DIM_PRODUCTS[hts_6],DIM_PRODUCTS[hts_4],,,)</f>
        <v>8511</v>
      </c>
      <c r="I177" t="str" cm="1">
        <f t="array" ref="I177">_xlfn.XLOOKUP(FACT_IMPORTS[[#This Row],[country_name]],DIM_COUNTRY[[#All],[Column2]],DIM_COUNTRY[[#All],[Column3]],,,)</f>
        <v>USMCA</v>
      </c>
    </row>
    <row r="178" spans="1:9" x14ac:dyDescent="0.4">
      <c r="A178" t="s">
        <v>61</v>
      </c>
      <c r="B178" s="1">
        <v>44986</v>
      </c>
      <c r="C178">
        <v>851120</v>
      </c>
      <c r="D178" t="s">
        <v>176</v>
      </c>
      <c r="E178">
        <v>0</v>
      </c>
      <c r="F178">
        <v>0</v>
      </c>
      <c r="G178">
        <v>0</v>
      </c>
      <c r="H178">
        <f>_xlfn.XLOOKUP(FACT_IMPORTS[[#This Row],[hts_6]],DIM_PRODUCTS[hts_6],DIM_PRODUCTS[hts_4],,,)</f>
        <v>8511</v>
      </c>
      <c r="I178" t="str" cm="1">
        <f t="array" ref="I178">_xlfn.XLOOKUP(FACT_IMPORTS[[#This Row],[country_name]],DIM_COUNTRY[[#All],[Column2]],DIM_COUNTRY[[#All],[Column3]],,,)</f>
        <v>USMCA</v>
      </c>
    </row>
    <row r="179" spans="1:9" x14ac:dyDescent="0.4">
      <c r="A179" t="s">
        <v>61</v>
      </c>
      <c r="B179" s="1">
        <v>44986</v>
      </c>
      <c r="C179">
        <v>851130</v>
      </c>
      <c r="D179" t="s">
        <v>176</v>
      </c>
      <c r="E179">
        <v>7633</v>
      </c>
      <c r="F179">
        <v>2773</v>
      </c>
      <c r="G179">
        <v>49</v>
      </c>
      <c r="H179">
        <f>_xlfn.XLOOKUP(FACT_IMPORTS[[#This Row],[hts_6]],DIM_PRODUCTS[hts_6],DIM_PRODUCTS[hts_4],,,)</f>
        <v>8511</v>
      </c>
      <c r="I179" t="str" cm="1">
        <f t="array" ref="I179">_xlfn.XLOOKUP(FACT_IMPORTS[[#This Row],[country_name]],DIM_COUNTRY[[#All],[Column2]],DIM_COUNTRY[[#All],[Column3]],,,)</f>
        <v>USMCA</v>
      </c>
    </row>
    <row r="180" spans="1:9" x14ac:dyDescent="0.4">
      <c r="A180" t="s">
        <v>61</v>
      </c>
      <c r="B180" s="1">
        <v>44986</v>
      </c>
      <c r="C180">
        <v>851140</v>
      </c>
      <c r="D180" t="s">
        <v>176</v>
      </c>
      <c r="E180">
        <v>464825</v>
      </c>
      <c r="F180">
        <v>7944</v>
      </c>
      <c r="G180">
        <v>3558</v>
      </c>
      <c r="H180">
        <f>_xlfn.XLOOKUP(FACT_IMPORTS[[#This Row],[hts_6]],DIM_PRODUCTS[hts_6],DIM_PRODUCTS[hts_4],,,)</f>
        <v>8511</v>
      </c>
      <c r="I180" t="str" cm="1">
        <f t="array" ref="I180">_xlfn.XLOOKUP(FACT_IMPORTS[[#This Row],[country_name]],DIM_COUNTRY[[#All],[Column2]],DIM_COUNTRY[[#All],[Column3]],,,)</f>
        <v>USMCA</v>
      </c>
    </row>
    <row r="181" spans="1:9" x14ac:dyDescent="0.4">
      <c r="A181" t="s">
        <v>61</v>
      </c>
      <c r="B181" s="1">
        <v>44986</v>
      </c>
      <c r="C181">
        <v>851150</v>
      </c>
      <c r="D181" t="s">
        <v>176</v>
      </c>
      <c r="E181">
        <v>341544</v>
      </c>
      <c r="F181">
        <v>5203</v>
      </c>
      <c r="G181">
        <v>2101</v>
      </c>
      <c r="H181">
        <f>_xlfn.XLOOKUP(FACT_IMPORTS[[#This Row],[hts_6]],DIM_PRODUCTS[hts_6],DIM_PRODUCTS[hts_4],,,)</f>
        <v>8511</v>
      </c>
      <c r="I181" t="str" cm="1">
        <f t="array" ref="I181">_xlfn.XLOOKUP(FACT_IMPORTS[[#This Row],[country_name]],DIM_COUNTRY[[#All],[Column2]],DIM_COUNTRY[[#All],[Column3]],,,)</f>
        <v>USMCA</v>
      </c>
    </row>
    <row r="182" spans="1:9" x14ac:dyDescent="0.4">
      <c r="A182" t="s">
        <v>61</v>
      </c>
      <c r="B182" s="1">
        <v>44986</v>
      </c>
      <c r="C182">
        <v>851180</v>
      </c>
      <c r="D182" t="s">
        <v>176</v>
      </c>
      <c r="E182">
        <v>6565</v>
      </c>
      <c r="F182">
        <v>2</v>
      </c>
      <c r="G182">
        <v>55</v>
      </c>
      <c r="H182">
        <f>_xlfn.XLOOKUP(FACT_IMPORTS[[#This Row],[hts_6]],DIM_PRODUCTS[hts_6],DIM_PRODUCTS[hts_4],,,)</f>
        <v>8511</v>
      </c>
      <c r="I182" t="str" cm="1">
        <f t="array" ref="I182">_xlfn.XLOOKUP(FACT_IMPORTS[[#This Row],[country_name]],DIM_COUNTRY[[#All],[Column2]],DIM_COUNTRY[[#All],[Column3]],,,)</f>
        <v>USMCA</v>
      </c>
    </row>
    <row r="183" spans="1:9" x14ac:dyDescent="0.4">
      <c r="A183" t="s">
        <v>61</v>
      </c>
      <c r="B183" s="1">
        <v>44986</v>
      </c>
      <c r="C183">
        <v>851190</v>
      </c>
      <c r="D183" t="s">
        <v>176</v>
      </c>
      <c r="E183">
        <v>555815</v>
      </c>
      <c r="F183">
        <v>5682</v>
      </c>
      <c r="G183">
        <v>4213</v>
      </c>
      <c r="H183">
        <f>_xlfn.XLOOKUP(FACT_IMPORTS[[#This Row],[hts_6]],DIM_PRODUCTS[hts_6],DIM_PRODUCTS[hts_4],,,)</f>
        <v>8511</v>
      </c>
      <c r="I183" t="str" cm="1">
        <f t="array" ref="I183">_xlfn.XLOOKUP(FACT_IMPORTS[[#This Row],[country_name]],DIM_COUNTRY[[#All],[Column2]],DIM_COUNTRY[[#All],[Column3]],,,)</f>
        <v>USMCA</v>
      </c>
    </row>
    <row r="184" spans="1:9" x14ac:dyDescent="0.4">
      <c r="A184" t="s">
        <v>61</v>
      </c>
      <c r="B184" s="1">
        <v>44986</v>
      </c>
      <c r="C184">
        <v>851220</v>
      </c>
      <c r="D184" t="s">
        <v>176</v>
      </c>
      <c r="E184">
        <v>24540876</v>
      </c>
      <c r="F184">
        <v>379420</v>
      </c>
      <c r="G184">
        <v>114144</v>
      </c>
      <c r="H184">
        <f>_xlfn.XLOOKUP(FACT_IMPORTS[[#This Row],[hts_6]],DIM_PRODUCTS[hts_6],DIM_PRODUCTS[hts_4],,,)</f>
        <v>8512</v>
      </c>
      <c r="I184" t="str" cm="1">
        <f t="array" ref="I184">_xlfn.XLOOKUP(FACT_IMPORTS[[#This Row],[country_name]],DIM_COUNTRY[[#All],[Column2]],DIM_COUNTRY[[#All],[Column3]],,,)</f>
        <v>USMCA</v>
      </c>
    </row>
    <row r="185" spans="1:9" x14ac:dyDescent="0.4">
      <c r="A185" t="s">
        <v>61</v>
      </c>
      <c r="B185" s="1">
        <v>44986</v>
      </c>
      <c r="C185">
        <v>851230</v>
      </c>
      <c r="D185" t="s">
        <v>176</v>
      </c>
      <c r="E185">
        <v>35244</v>
      </c>
      <c r="F185">
        <v>920</v>
      </c>
      <c r="G185">
        <v>404</v>
      </c>
      <c r="H185">
        <f>_xlfn.XLOOKUP(FACT_IMPORTS[[#This Row],[hts_6]],DIM_PRODUCTS[hts_6],DIM_PRODUCTS[hts_4],,,)</f>
        <v>8512</v>
      </c>
      <c r="I185" t="str" cm="1">
        <f t="array" ref="I185">_xlfn.XLOOKUP(FACT_IMPORTS[[#This Row],[country_name]],DIM_COUNTRY[[#All],[Column2]],DIM_COUNTRY[[#All],[Column3]],,,)</f>
        <v>USMCA</v>
      </c>
    </row>
    <row r="186" spans="1:9" x14ac:dyDescent="0.4">
      <c r="A186" t="s">
        <v>61</v>
      </c>
      <c r="B186" s="1">
        <v>44986</v>
      </c>
      <c r="C186">
        <v>851240</v>
      </c>
      <c r="D186" t="s">
        <v>176</v>
      </c>
      <c r="E186">
        <v>0</v>
      </c>
      <c r="F186">
        <v>0</v>
      </c>
      <c r="G186">
        <v>0</v>
      </c>
      <c r="H186">
        <f>_xlfn.XLOOKUP(FACT_IMPORTS[[#This Row],[hts_6]],DIM_PRODUCTS[hts_6],DIM_PRODUCTS[hts_4],,,)</f>
        <v>8512</v>
      </c>
      <c r="I186" t="str" cm="1">
        <f t="array" ref="I186">_xlfn.XLOOKUP(FACT_IMPORTS[[#This Row],[country_name]],DIM_COUNTRY[[#All],[Column2]],DIM_COUNTRY[[#All],[Column3]],,,)</f>
        <v>USMCA</v>
      </c>
    </row>
    <row r="187" spans="1:9" x14ac:dyDescent="0.4">
      <c r="A187" t="s">
        <v>61</v>
      </c>
      <c r="B187" s="1">
        <v>44986</v>
      </c>
      <c r="C187">
        <v>851290</v>
      </c>
      <c r="D187" t="s">
        <v>176</v>
      </c>
      <c r="E187">
        <v>2550121</v>
      </c>
      <c r="F187">
        <v>60122</v>
      </c>
      <c r="G187">
        <v>15296</v>
      </c>
      <c r="H187">
        <f>_xlfn.XLOOKUP(FACT_IMPORTS[[#This Row],[hts_6]],DIM_PRODUCTS[hts_6],DIM_PRODUCTS[hts_4],,,)</f>
        <v>8512</v>
      </c>
      <c r="I187" t="str" cm="1">
        <f t="array" ref="I187">_xlfn.XLOOKUP(FACT_IMPORTS[[#This Row],[country_name]],DIM_COUNTRY[[#All],[Column2]],DIM_COUNTRY[[#All],[Column3]],,,)</f>
        <v>USMCA</v>
      </c>
    </row>
    <row r="188" spans="1:9" x14ac:dyDescent="0.4">
      <c r="A188" t="s">
        <v>61</v>
      </c>
      <c r="B188" s="1">
        <v>44986</v>
      </c>
      <c r="C188">
        <v>854231</v>
      </c>
      <c r="D188" t="s">
        <v>176</v>
      </c>
      <c r="E188">
        <v>67593</v>
      </c>
      <c r="F188">
        <v>63</v>
      </c>
      <c r="G188">
        <v>185</v>
      </c>
      <c r="H188">
        <f>_xlfn.XLOOKUP(FACT_IMPORTS[[#This Row],[hts_6]],DIM_PRODUCTS[hts_6],DIM_PRODUCTS[hts_4],,,)</f>
        <v>8542</v>
      </c>
      <c r="I188" t="str" cm="1">
        <f t="array" ref="I188">_xlfn.XLOOKUP(FACT_IMPORTS[[#This Row],[country_name]],DIM_COUNTRY[[#All],[Column2]],DIM_COUNTRY[[#All],[Column3]],,,)</f>
        <v>USMCA</v>
      </c>
    </row>
    <row r="189" spans="1:9" x14ac:dyDescent="0.4">
      <c r="A189" t="s">
        <v>61</v>
      </c>
      <c r="B189" s="1">
        <v>44986</v>
      </c>
      <c r="C189">
        <v>854232</v>
      </c>
      <c r="D189" t="s">
        <v>176</v>
      </c>
      <c r="E189">
        <v>2548</v>
      </c>
      <c r="F189">
        <v>3500</v>
      </c>
      <c r="G189">
        <v>64</v>
      </c>
      <c r="H189">
        <f>_xlfn.XLOOKUP(FACT_IMPORTS[[#This Row],[hts_6]],DIM_PRODUCTS[hts_6],DIM_PRODUCTS[hts_4],,,)</f>
        <v>8542</v>
      </c>
      <c r="I189" t="str" cm="1">
        <f t="array" ref="I189">_xlfn.XLOOKUP(FACT_IMPORTS[[#This Row],[country_name]],DIM_COUNTRY[[#All],[Column2]],DIM_COUNTRY[[#All],[Column3]],,,)</f>
        <v>USMCA</v>
      </c>
    </row>
    <row r="190" spans="1:9" x14ac:dyDescent="0.4">
      <c r="A190" t="s">
        <v>61</v>
      </c>
      <c r="B190" s="1">
        <v>44986</v>
      </c>
      <c r="C190">
        <v>854233</v>
      </c>
      <c r="D190" t="s">
        <v>176</v>
      </c>
      <c r="E190">
        <v>0</v>
      </c>
      <c r="F190">
        <v>0</v>
      </c>
      <c r="G190">
        <v>0</v>
      </c>
      <c r="H190">
        <f>_xlfn.XLOOKUP(FACT_IMPORTS[[#This Row],[hts_6]],DIM_PRODUCTS[hts_6],DIM_PRODUCTS[hts_4],,,)</f>
        <v>8542</v>
      </c>
      <c r="I190" t="str" cm="1">
        <f t="array" ref="I190">_xlfn.XLOOKUP(FACT_IMPORTS[[#This Row],[country_name]],DIM_COUNTRY[[#All],[Column2]],DIM_COUNTRY[[#All],[Column3]],,,)</f>
        <v>USMCA</v>
      </c>
    </row>
    <row r="191" spans="1:9" x14ac:dyDescent="0.4">
      <c r="A191" t="s">
        <v>61</v>
      </c>
      <c r="B191" s="1">
        <v>44986</v>
      </c>
      <c r="C191">
        <v>854239</v>
      </c>
      <c r="D191" t="s">
        <v>176</v>
      </c>
      <c r="E191">
        <v>0</v>
      </c>
      <c r="F191">
        <v>0</v>
      </c>
      <c r="G191">
        <v>0</v>
      </c>
      <c r="H191">
        <f>_xlfn.XLOOKUP(FACT_IMPORTS[[#This Row],[hts_6]],DIM_PRODUCTS[hts_6],DIM_PRODUCTS[hts_4],,,)</f>
        <v>8542</v>
      </c>
      <c r="I191" t="str" cm="1">
        <f t="array" ref="I191">_xlfn.XLOOKUP(FACT_IMPORTS[[#This Row],[country_name]],DIM_COUNTRY[[#All],[Column2]],DIM_COUNTRY[[#All],[Column3]],,,)</f>
        <v>USMCA</v>
      </c>
    </row>
    <row r="192" spans="1:9" x14ac:dyDescent="0.4">
      <c r="A192" t="s">
        <v>61</v>
      </c>
      <c r="B192" s="1">
        <v>44986</v>
      </c>
      <c r="C192">
        <v>854290</v>
      </c>
      <c r="D192" t="s">
        <v>176</v>
      </c>
      <c r="E192">
        <v>42240</v>
      </c>
      <c r="F192">
        <v>66</v>
      </c>
      <c r="G192">
        <v>43</v>
      </c>
      <c r="H192">
        <f>_xlfn.XLOOKUP(FACT_IMPORTS[[#This Row],[hts_6]],DIM_PRODUCTS[hts_6],DIM_PRODUCTS[hts_4],,,)</f>
        <v>8542</v>
      </c>
      <c r="I192" t="str" cm="1">
        <f t="array" ref="I192">_xlfn.XLOOKUP(FACT_IMPORTS[[#This Row],[country_name]],DIM_COUNTRY[[#All],[Column2]],DIM_COUNTRY[[#All],[Column3]],,,)</f>
        <v>USMCA</v>
      </c>
    </row>
    <row r="193" spans="1:9" x14ac:dyDescent="0.4">
      <c r="A193" t="s">
        <v>61</v>
      </c>
      <c r="B193" s="1">
        <v>44986</v>
      </c>
      <c r="C193">
        <v>854430</v>
      </c>
      <c r="D193" t="s">
        <v>176</v>
      </c>
      <c r="E193">
        <v>1817039</v>
      </c>
      <c r="F193">
        <v>61932</v>
      </c>
      <c r="G193">
        <v>9123</v>
      </c>
      <c r="H193">
        <f>_xlfn.XLOOKUP(FACT_IMPORTS[[#This Row],[hts_6]],DIM_PRODUCTS[hts_6],DIM_PRODUCTS[hts_4],,,)</f>
        <v>8544</v>
      </c>
      <c r="I193" t="str" cm="1">
        <f t="array" ref="I193">_xlfn.XLOOKUP(FACT_IMPORTS[[#This Row],[country_name]],DIM_COUNTRY[[#All],[Column2]],DIM_COUNTRY[[#All],[Column3]],,,)</f>
        <v>USMCA</v>
      </c>
    </row>
    <row r="194" spans="1:9" x14ac:dyDescent="0.4">
      <c r="A194" t="s">
        <v>61</v>
      </c>
      <c r="B194" s="1">
        <v>44986</v>
      </c>
      <c r="C194">
        <v>870710</v>
      </c>
      <c r="D194" t="s">
        <v>176</v>
      </c>
      <c r="E194">
        <v>0</v>
      </c>
      <c r="F194">
        <v>0</v>
      </c>
      <c r="G194">
        <v>0</v>
      </c>
      <c r="H194">
        <f>_xlfn.XLOOKUP(FACT_IMPORTS[[#This Row],[hts_6]],DIM_PRODUCTS[hts_6],DIM_PRODUCTS[hts_4],,,)</f>
        <v>8707</v>
      </c>
      <c r="I194" t="str" cm="1">
        <f t="array" ref="I194">_xlfn.XLOOKUP(FACT_IMPORTS[[#This Row],[country_name]],DIM_COUNTRY[[#All],[Column2]],DIM_COUNTRY[[#All],[Column3]],,,)</f>
        <v>USMCA</v>
      </c>
    </row>
    <row r="195" spans="1:9" x14ac:dyDescent="0.4">
      <c r="A195" t="s">
        <v>61</v>
      </c>
      <c r="B195" s="1">
        <v>44986</v>
      </c>
      <c r="C195">
        <v>870790</v>
      </c>
      <c r="D195" t="s">
        <v>176</v>
      </c>
      <c r="E195">
        <v>3881329</v>
      </c>
      <c r="F195">
        <v>275</v>
      </c>
      <c r="G195">
        <v>28319</v>
      </c>
      <c r="H195">
        <f>_xlfn.XLOOKUP(FACT_IMPORTS[[#This Row],[hts_6]],DIM_PRODUCTS[hts_6],DIM_PRODUCTS[hts_4],,,)</f>
        <v>8707</v>
      </c>
      <c r="I195" t="str" cm="1">
        <f t="array" ref="I195">_xlfn.XLOOKUP(FACT_IMPORTS[[#This Row],[country_name]],DIM_COUNTRY[[#All],[Column2]],DIM_COUNTRY[[#All],[Column3]],,,)</f>
        <v>USMCA</v>
      </c>
    </row>
    <row r="196" spans="1:9" x14ac:dyDescent="0.4">
      <c r="A196" t="s">
        <v>61</v>
      </c>
      <c r="B196" s="1">
        <v>44986</v>
      </c>
      <c r="C196">
        <v>870810</v>
      </c>
      <c r="D196" t="s">
        <v>176</v>
      </c>
      <c r="E196">
        <v>26019963</v>
      </c>
      <c r="F196">
        <v>1254771</v>
      </c>
      <c r="G196">
        <v>477273</v>
      </c>
      <c r="H196">
        <f>_xlfn.XLOOKUP(FACT_IMPORTS[[#This Row],[hts_6]],DIM_PRODUCTS[hts_6],DIM_PRODUCTS[hts_4],,,)</f>
        <v>8708</v>
      </c>
      <c r="I196" t="str" cm="1">
        <f t="array" ref="I196">_xlfn.XLOOKUP(FACT_IMPORTS[[#This Row],[country_name]],DIM_COUNTRY[[#All],[Column2]],DIM_COUNTRY[[#All],[Column3]],,,)</f>
        <v>USMCA</v>
      </c>
    </row>
    <row r="197" spans="1:9" x14ac:dyDescent="0.4">
      <c r="A197" t="s">
        <v>61</v>
      </c>
      <c r="B197" s="1">
        <v>44986</v>
      </c>
      <c r="C197">
        <v>870821</v>
      </c>
      <c r="D197" t="s">
        <v>176</v>
      </c>
      <c r="E197">
        <v>188923</v>
      </c>
      <c r="F197">
        <v>8019</v>
      </c>
      <c r="G197">
        <v>2235</v>
      </c>
      <c r="H197">
        <f>_xlfn.XLOOKUP(FACT_IMPORTS[[#This Row],[hts_6]],DIM_PRODUCTS[hts_6],DIM_PRODUCTS[hts_4],,,)</f>
        <v>8708</v>
      </c>
      <c r="I197" t="str" cm="1">
        <f t="array" ref="I197">_xlfn.XLOOKUP(FACT_IMPORTS[[#This Row],[country_name]],DIM_COUNTRY[[#All],[Column2]],DIM_COUNTRY[[#All],[Column3]],,,)</f>
        <v>USMCA</v>
      </c>
    </row>
    <row r="198" spans="1:9" x14ac:dyDescent="0.4">
      <c r="A198" t="s">
        <v>61</v>
      </c>
      <c r="B198" s="1">
        <v>44986</v>
      </c>
      <c r="C198">
        <v>870822</v>
      </c>
      <c r="D198" t="s">
        <v>176</v>
      </c>
      <c r="E198">
        <v>3395484</v>
      </c>
      <c r="F198">
        <v>73666</v>
      </c>
      <c r="G198">
        <v>91064</v>
      </c>
      <c r="H198">
        <f>_xlfn.XLOOKUP(FACT_IMPORTS[[#This Row],[hts_6]],DIM_PRODUCTS[hts_6],DIM_PRODUCTS[hts_4],,,)</f>
        <v>8708</v>
      </c>
      <c r="I198" t="str" cm="1">
        <f t="array" ref="I198">_xlfn.XLOOKUP(FACT_IMPORTS[[#This Row],[country_name]],DIM_COUNTRY[[#All],[Column2]],DIM_COUNTRY[[#All],[Column3]],,,)</f>
        <v>USMCA</v>
      </c>
    </row>
    <row r="199" spans="1:9" x14ac:dyDescent="0.4">
      <c r="A199" t="s">
        <v>61</v>
      </c>
      <c r="B199" s="1">
        <v>44986</v>
      </c>
      <c r="C199">
        <v>870829</v>
      </c>
      <c r="D199" t="s">
        <v>176</v>
      </c>
      <c r="E199">
        <v>398115041</v>
      </c>
      <c r="F199">
        <v>59859157</v>
      </c>
      <c r="G199">
        <v>7173522</v>
      </c>
      <c r="H199">
        <f>_xlfn.XLOOKUP(FACT_IMPORTS[[#This Row],[hts_6]],DIM_PRODUCTS[hts_6],DIM_PRODUCTS[hts_4],,,)</f>
        <v>8708</v>
      </c>
      <c r="I199" t="str" cm="1">
        <f t="array" ref="I199">_xlfn.XLOOKUP(FACT_IMPORTS[[#This Row],[country_name]],DIM_COUNTRY[[#All],[Column2]],DIM_COUNTRY[[#All],[Column3]],,,)</f>
        <v>USMCA</v>
      </c>
    </row>
    <row r="200" spans="1:9" x14ac:dyDescent="0.4">
      <c r="A200" t="s">
        <v>61</v>
      </c>
      <c r="B200" s="1">
        <v>44986</v>
      </c>
      <c r="C200">
        <v>870830</v>
      </c>
      <c r="D200" t="s">
        <v>176</v>
      </c>
      <c r="E200">
        <v>15600448</v>
      </c>
      <c r="F200">
        <v>5362944</v>
      </c>
      <c r="G200">
        <v>211592</v>
      </c>
      <c r="H200">
        <f>_xlfn.XLOOKUP(FACT_IMPORTS[[#This Row],[hts_6]],DIM_PRODUCTS[hts_6],DIM_PRODUCTS[hts_4],,,)</f>
        <v>8708</v>
      </c>
      <c r="I200" t="str" cm="1">
        <f t="array" ref="I200">_xlfn.XLOOKUP(FACT_IMPORTS[[#This Row],[country_name]],DIM_COUNTRY[[#All],[Column2]],DIM_COUNTRY[[#All],[Column3]],,,)</f>
        <v>USMCA</v>
      </c>
    </row>
    <row r="201" spans="1:9" x14ac:dyDescent="0.4">
      <c r="A201" t="s">
        <v>61</v>
      </c>
      <c r="B201" s="1">
        <v>44986</v>
      </c>
      <c r="C201">
        <v>870840</v>
      </c>
      <c r="D201" t="s">
        <v>176</v>
      </c>
      <c r="E201">
        <v>96479521</v>
      </c>
      <c r="F201">
        <v>4915510</v>
      </c>
      <c r="G201">
        <v>604921</v>
      </c>
      <c r="H201">
        <f>_xlfn.XLOOKUP(FACT_IMPORTS[[#This Row],[hts_6]],DIM_PRODUCTS[hts_6],DIM_PRODUCTS[hts_4],,,)</f>
        <v>8708</v>
      </c>
      <c r="I201" t="str" cm="1">
        <f t="array" ref="I201">_xlfn.XLOOKUP(FACT_IMPORTS[[#This Row],[country_name]],DIM_COUNTRY[[#All],[Column2]],DIM_COUNTRY[[#All],[Column3]],,,)</f>
        <v>USMCA</v>
      </c>
    </row>
    <row r="202" spans="1:9" x14ac:dyDescent="0.4">
      <c r="A202" t="s">
        <v>61</v>
      </c>
      <c r="B202" s="1">
        <v>44986</v>
      </c>
      <c r="C202">
        <v>870850</v>
      </c>
      <c r="D202" t="s">
        <v>176</v>
      </c>
      <c r="E202">
        <v>38044969</v>
      </c>
      <c r="F202">
        <v>1944209</v>
      </c>
      <c r="G202">
        <v>213869</v>
      </c>
      <c r="H202">
        <f>_xlfn.XLOOKUP(FACT_IMPORTS[[#This Row],[hts_6]],DIM_PRODUCTS[hts_6],DIM_PRODUCTS[hts_4],,,)</f>
        <v>8708</v>
      </c>
      <c r="I202" t="str" cm="1">
        <f t="array" ref="I202">_xlfn.XLOOKUP(FACT_IMPORTS[[#This Row],[country_name]],DIM_COUNTRY[[#All],[Column2]],DIM_COUNTRY[[#All],[Column3]],,,)</f>
        <v>USMCA</v>
      </c>
    </row>
    <row r="203" spans="1:9" x14ac:dyDescent="0.4">
      <c r="A203" t="s">
        <v>61</v>
      </c>
      <c r="B203" s="1">
        <v>44986</v>
      </c>
      <c r="C203">
        <v>870870</v>
      </c>
      <c r="D203" t="s">
        <v>176</v>
      </c>
      <c r="E203">
        <v>6818351</v>
      </c>
      <c r="F203">
        <v>7287127</v>
      </c>
      <c r="G203">
        <v>109125</v>
      </c>
      <c r="H203">
        <f>_xlfn.XLOOKUP(FACT_IMPORTS[[#This Row],[hts_6]],DIM_PRODUCTS[hts_6],DIM_PRODUCTS[hts_4],,,)</f>
        <v>8708</v>
      </c>
      <c r="I203" t="str" cm="1">
        <f t="array" ref="I203">_xlfn.XLOOKUP(FACT_IMPORTS[[#This Row],[country_name]],DIM_COUNTRY[[#All],[Column2]],DIM_COUNTRY[[#All],[Column3]],,,)</f>
        <v>USMCA</v>
      </c>
    </row>
    <row r="204" spans="1:9" x14ac:dyDescent="0.4">
      <c r="A204" t="s">
        <v>61</v>
      </c>
      <c r="B204" s="1">
        <v>44986</v>
      </c>
      <c r="C204">
        <v>870880</v>
      </c>
      <c r="D204" t="s">
        <v>176</v>
      </c>
      <c r="E204">
        <v>57362460</v>
      </c>
      <c r="F204">
        <v>3962093</v>
      </c>
      <c r="G204">
        <v>1043303</v>
      </c>
      <c r="H204">
        <f>_xlfn.XLOOKUP(FACT_IMPORTS[[#This Row],[hts_6]],DIM_PRODUCTS[hts_6],DIM_PRODUCTS[hts_4],,,)</f>
        <v>8708</v>
      </c>
      <c r="I204" t="str" cm="1">
        <f t="array" ref="I204">_xlfn.XLOOKUP(FACT_IMPORTS[[#This Row],[country_name]],DIM_COUNTRY[[#All],[Column2]],DIM_COUNTRY[[#All],[Column3]],,,)</f>
        <v>USMCA</v>
      </c>
    </row>
    <row r="205" spans="1:9" x14ac:dyDescent="0.4">
      <c r="A205" t="s">
        <v>61</v>
      </c>
      <c r="B205" s="1">
        <v>44986</v>
      </c>
      <c r="C205">
        <v>870891</v>
      </c>
      <c r="D205" t="s">
        <v>176</v>
      </c>
      <c r="E205">
        <v>9211651</v>
      </c>
      <c r="F205">
        <v>309606</v>
      </c>
      <c r="G205">
        <v>137012</v>
      </c>
      <c r="H205">
        <f>_xlfn.XLOOKUP(FACT_IMPORTS[[#This Row],[hts_6]],DIM_PRODUCTS[hts_6],DIM_PRODUCTS[hts_4],,,)</f>
        <v>8708</v>
      </c>
      <c r="I205" t="str" cm="1">
        <f t="array" ref="I205">_xlfn.XLOOKUP(FACT_IMPORTS[[#This Row],[country_name]],DIM_COUNTRY[[#All],[Column2]],DIM_COUNTRY[[#All],[Column3]],,,)</f>
        <v>USMCA</v>
      </c>
    </row>
    <row r="206" spans="1:9" x14ac:dyDescent="0.4">
      <c r="A206" t="s">
        <v>61</v>
      </c>
      <c r="B206" s="1">
        <v>44986</v>
      </c>
      <c r="C206">
        <v>870892</v>
      </c>
      <c r="D206" t="s">
        <v>176</v>
      </c>
      <c r="E206">
        <v>20024687</v>
      </c>
      <c r="F206">
        <v>1518757</v>
      </c>
      <c r="G206">
        <v>424781</v>
      </c>
      <c r="H206">
        <f>_xlfn.XLOOKUP(FACT_IMPORTS[[#This Row],[hts_6]],DIM_PRODUCTS[hts_6],DIM_PRODUCTS[hts_4],,,)</f>
        <v>8708</v>
      </c>
      <c r="I206" t="str" cm="1">
        <f t="array" ref="I206">_xlfn.XLOOKUP(FACT_IMPORTS[[#This Row],[country_name]],DIM_COUNTRY[[#All],[Column2]],DIM_COUNTRY[[#All],[Column3]],,,)</f>
        <v>USMCA</v>
      </c>
    </row>
    <row r="207" spans="1:9" x14ac:dyDescent="0.4">
      <c r="A207" t="s">
        <v>61</v>
      </c>
      <c r="B207" s="1">
        <v>44986</v>
      </c>
      <c r="C207">
        <v>870893</v>
      </c>
      <c r="D207" t="s">
        <v>176</v>
      </c>
      <c r="E207">
        <v>49886260</v>
      </c>
      <c r="F207">
        <v>1460357</v>
      </c>
      <c r="G207">
        <v>174375</v>
      </c>
      <c r="H207">
        <f>_xlfn.XLOOKUP(FACT_IMPORTS[[#This Row],[hts_6]],DIM_PRODUCTS[hts_6],DIM_PRODUCTS[hts_4],,,)</f>
        <v>8708</v>
      </c>
      <c r="I207" t="str" cm="1">
        <f t="array" ref="I207">_xlfn.XLOOKUP(FACT_IMPORTS[[#This Row],[country_name]],DIM_COUNTRY[[#All],[Column2]],DIM_COUNTRY[[#All],[Column3]],,,)</f>
        <v>USMCA</v>
      </c>
    </row>
    <row r="208" spans="1:9" x14ac:dyDescent="0.4">
      <c r="A208" t="s">
        <v>61</v>
      </c>
      <c r="B208" s="1">
        <v>44986</v>
      </c>
      <c r="C208">
        <v>870894</v>
      </c>
      <c r="D208" t="s">
        <v>176</v>
      </c>
      <c r="E208">
        <v>11049195</v>
      </c>
      <c r="F208">
        <v>2432462</v>
      </c>
      <c r="G208">
        <v>125282</v>
      </c>
      <c r="H208">
        <f>_xlfn.XLOOKUP(FACT_IMPORTS[[#This Row],[hts_6]],DIM_PRODUCTS[hts_6],DIM_PRODUCTS[hts_4],,,)</f>
        <v>8708</v>
      </c>
      <c r="I208" t="str" cm="1">
        <f t="array" ref="I208">_xlfn.XLOOKUP(FACT_IMPORTS[[#This Row],[country_name]],DIM_COUNTRY[[#All],[Column2]],DIM_COUNTRY[[#All],[Column3]],,,)</f>
        <v>USMCA</v>
      </c>
    </row>
    <row r="209" spans="1:9" x14ac:dyDescent="0.4">
      <c r="A209" t="s">
        <v>61</v>
      </c>
      <c r="B209" s="1">
        <v>44986</v>
      </c>
      <c r="C209">
        <v>870895</v>
      </c>
      <c r="D209" t="s">
        <v>176</v>
      </c>
      <c r="E209">
        <v>1910427</v>
      </c>
      <c r="F209">
        <v>1715336</v>
      </c>
      <c r="G209">
        <v>25923</v>
      </c>
      <c r="H209">
        <f>_xlfn.XLOOKUP(FACT_IMPORTS[[#This Row],[hts_6]],DIM_PRODUCTS[hts_6],DIM_PRODUCTS[hts_4],,,)</f>
        <v>8708</v>
      </c>
      <c r="I209" t="str" cm="1">
        <f t="array" ref="I209">_xlfn.XLOOKUP(FACT_IMPORTS[[#This Row],[country_name]],DIM_COUNTRY[[#All],[Column2]],DIM_COUNTRY[[#All],[Column3]],,,)</f>
        <v>USMCA</v>
      </c>
    </row>
    <row r="210" spans="1:9" x14ac:dyDescent="0.4">
      <c r="A210" t="s">
        <v>61</v>
      </c>
      <c r="B210" s="1">
        <v>44986</v>
      </c>
      <c r="C210">
        <v>870899</v>
      </c>
      <c r="D210" t="s">
        <v>176</v>
      </c>
      <c r="E210">
        <v>189305794</v>
      </c>
      <c r="F210">
        <v>18343750</v>
      </c>
      <c r="G210">
        <v>2458938</v>
      </c>
      <c r="H210">
        <f>_xlfn.XLOOKUP(FACT_IMPORTS[[#This Row],[hts_6]],DIM_PRODUCTS[hts_6],DIM_PRODUCTS[hts_4],,,)</f>
        <v>8708</v>
      </c>
      <c r="I210" t="str" cm="1">
        <f t="array" ref="I210">_xlfn.XLOOKUP(FACT_IMPORTS[[#This Row],[country_name]],DIM_COUNTRY[[#All],[Column2]],DIM_COUNTRY[[#All],[Column3]],,,)</f>
        <v>USMCA</v>
      </c>
    </row>
    <row r="211" spans="1:9" x14ac:dyDescent="0.4">
      <c r="A211" t="s">
        <v>61</v>
      </c>
      <c r="B211" s="1">
        <v>44986</v>
      </c>
      <c r="C211">
        <v>940120</v>
      </c>
      <c r="D211" t="s">
        <v>176</v>
      </c>
      <c r="E211">
        <v>1601109</v>
      </c>
      <c r="F211">
        <v>31241</v>
      </c>
      <c r="G211">
        <v>11394</v>
      </c>
      <c r="H211">
        <f>_xlfn.XLOOKUP(FACT_IMPORTS[[#This Row],[hts_6]],DIM_PRODUCTS[hts_6],DIM_PRODUCTS[hts_4],,,)</f>
        <v>9401</v>
      </c>
      <c r="I211" t="str" cm="1">
        <f t="array" ref="I211">_xlfn.XLOOKUP(FACT_IMPORTS[[#This Row],[country_name]],DIM_COUNTRY[[#All],[Column2]],DIM_COUNTRY[[#All],[Column3]],,,)</f>
        <v>USMCA</v>
      </c>
    </row>
    <row r="212" spans="1:9" x14ac:dyDescent="0.4">
      <c r="A212" t="s">
        <v>61</v>
      </c>
      <c r="B212" s="1">
        <v>45017</v>
      </c>
      <c r="C212">
        <v>392630</v>
      </c>
      <c r="D212" t="s">
        <v>176</v>
      </c>
      <c r="E212">
        <v>3735183</v>
      </c>
      <c r="F212">
        <v>433830</v>
      </c>
      <c r="G212">
        <v>158052</v>
      </c>
      <c r="H212">
        <f>_xlfn.XLOOKUP(FACT_IMPORTS[[#This Row],[hts_6]],DIM_PRODUCTS[hts_6],DIM_PRODUCTS[hts_4],,,)</f>
        <v>3926</v>
      </c>
      <c r="I212" t="str" cm="1">
        <f t="array" ref="I212">_xlfn.XLOOKUP(FACT_IMPORTS[[#This Row],[country_name]],DIM_COUNTRY[[#All],[Column2]],DIM_COUNTRY[[#All],[Column3]],,,)</f>
        <v>USMCA</v>
      </c>
    </row>
    <row r="213" spans="1:9" x14ac:dyDescent="0.4">
      <c r="A213" t="s">
        <v>61</v>
      </c>
      <c r="B213" s="1">
        <v>45017</v>
      </c>
      <c r="C213">
        <v>401110</v>
      </c>
      <c r="D213" t="s">
        <v>176</v>
      </c>
      <c r="E213">
        <v>42127949</v>
      </c>
      <c r="F213">
        <v>664292</v>
      </c>
      <c r="G213">
        <v>269549</v>
      </c>
      <c r="H213">
        <f>_xlfn.XLOOKUP(FACT_IMPORTS[[#This Row],[hts_6]],DIM_PRODUCTS[hts_6],DIM_PRODUCTS[hts_4],,,)</f>
        <v>4011</v>
      </c>
      <c r="I213" t="str" cm="1">
        <f t="array" ref="I213">_xlfn.XLOOKUP(FACT_IMPORTS[[#This Row],[country_name]],DIM_COUNTRY[[#All],[Column2]],DIM_COUNTRY[[#All],[Column3]],,,)</f>
        <v>USMCA</v>
      </c>
    </row>
    <row r="214" spans="1:9" x14ac:dyDescent="0.4">
      <c r="A214" t="s">
        <v>61</v>
      </c>
      <c r="B214" s="1">
        <v>45017</v>
      </c>
      <c r="C214">
        <v>401120</v>
      </c>
      <c r="D214" t="s">
        <v>176</v>
      </c>
      <c r="E214">
        <v>43046085</v>
      </c>
      <c r="F214">
        <v>332868</v>
      </c>
      <c r="G214">
        <v>248278</v>
      </c>
      <c r="H214">
        <f>_xlfn.XLOOKUP(FACT_IMPORTS[[#This Row],[hts_6]],DIM_PRODUCTS[hts_6],DIM_PRODUCTS[hts_4],,,)</f>
        <v>4011</v>
      </c>
      <c r="I214" t="str" cm="1">
        <f t="array" ref="I214">_xlfn.XLOOKUP(FACT_IMPORTS[[#This Row],[country_name]],DIM_COUNTRY[[#All],[Column2]],DIM_COUNTRY[[#All],[Column3]],,,)</f>
        <v>USMCA</v>
      </c>
    </row>
    <row r="215" spans="1:9" x14ac:dyDescent="0.4">
      <c r="A215" t="s">
        <v>61</v>
      </c>
      <c r="B215" s="1">
        <v>45017</v>
      </c>
      <c r="C215">
        <v>401140</v>
      </c>
      <c r="D215" t="s">
        <v>176</v>
      </c>
      <c r="E215">
        <v>0</v>
      </c>
      <c r="F215">
        <v>0</v>
      </c>
      <c r="G215">
        <v>0</v>
      </c>
      <c r="H215">
        <f>_xlfn.XLOOKUP(FACT_IMPORTS[[#This Row],[hts_6]],DIM_PRODUCTS[hts_6],DIM_PRODUCTS[hts_4],,,)</f>
        <v>4011</v>
      </c>
      <c r="I215" t="str" cm="1">
        <f t="array" ref="I215">_xlfn.XLOOKUP(FACT_IMPORTS[[#This Row],[country_name]],DIM_COUNTRY[[#All],[Column2]],DIM_COUNTRY[[#All],[Column3]],,,)</f>
        <v>USMCA</v>
      </c>
    </row>
    <row r="216" spans="1:9" x14ac:dyDescent="0.4">
      <c r="A216" t="s">
        <v>61</v>
      </c>
      <c r="B216" s="1">
        <v>45017</v>
      </c>
      <c r="C216">
        <v>401190</v>
      </c>
      <c r="D216" t="s">
        <v>176</v>
      </c>
      <c r="E216">
        <v>771622</v>
      </c>
      <c r="F216">
        <v>852</v>
      </c>
      <c r="G216">
        <v>5681</v>
      </c>
      <c r="H216">
        <f>_xlfn.XLOOKUP(FACT_IMPORTS[[#This Row],[hts_6]],DIM_PRODUCTS[hts_6],DIM_PRODUCTS[hts_4],,,)</f>
        <v>4011</v>
      </c>
      <c r="I216" t="str" cm="1">
        <f t="array" ref="I216">_xlfn.XLOOKUP(FACT_IMPORTS[[#This Row],[country_name]],DIM_COUNTRY[[#All],[Column2]],DIM_COUNTRY[[#All],[Column3]],,,)</f>
        <v>USMCA</v>
      </c>
    </row>
    <row r="217" spans="1:9" x14ac:dyDescent="0.4">
      <c r="A217" t="s">
        <v>61</v>
      </c>
      <c r="B217" s="1">
        <v>45017</v>
      </c>
      <c r="C217">
        <v>700711</v>
      </c>
      <c r="D217" t="s">
        <v>176</v>
      </c>
      <c r="E217">
        <v>1097871</v>
      </c>
      <c r="F217">
        <v>2022</v>
      </c>
      <c r="G217">
        <v>6306</v>
      </c>
      <c r="H217">
        <f>_xlfn.XLOOKUP(FACT_IMPORTS[[#This Row],[hts_6]],DIM_PRODUCTS[hts_6],DIM_PRODUCTS[hts_4],,,)</f>
        <v>7007</v>
      </c>
      <c r="I217" t="str" cm="1">
        <f t="array" ref="I217">_xlfn.XLOOKUP(FACT_IMPORTS[[#This Row],[country_name]],DIM_COUNTRY[[#All],[Column2]],DIM_COUNTRY[[#All],[Column3]],,,)</f>
        <v>USMCA</v>
      </c>
    </row>
    <row r="218" spans="1:9" x14ac:dyDescent="0.4">
      <c r="A218" t="s">
        <v>61</v>
      </c>
      <c r="B218" s="1">
        <v>45017</v>
      </c>
      <c r="C218">
        <v>700721</v>
      </c>
      <c r="D218" t="s">
        <v>176</v>
      </c>
      <c r="E218">
        <v>13352</v>
      </c>
      <c r="F218">
        <v>25</v>
      </c>
      <c r="G218">
        <v>1236</v>
      </c>
      <c r="H218">
        <f>_xlfn.XLOOKUP(FACT_IMPORTS[[#This Row],[hts_6]],DIM_PRODUCTS[hts_6],DIM_PRODUCTS[hts_4],,,)</f>
        <v>7007</v>
      </c>
      <c r="I218" t="str" cm="1">
        <f t="array" ref="I218">_xlfn.XLOOKUP(FACT_IMPORTS[[#This Row],[country_name]],DIM_COUNTRY[[#All],[Column2]],DIM_COUNTRY[[#All],[Column3]],,,)</f>
        <v>USMCA</v>
      </c>
    </row>
    <row r="219" spans="1:9" x14ac:dyDescent="0.4">
      <c r="A219" t="s">
        <v>61</v>
      </c>
      <c r="B219" s="1">
        <v>45017</v>
      </c>
      <c r="C219">
        <v>700910</v>
      </c>
      <c r="D219" t="s">
        <v>176</v>
      </c>
      <c r="E219">
        <v>397029</v>
      </c>
      <c r="F219">
        <v>7537</v>
      </c>
      <c r="G219">
        <v>2024</v>
      </c>
      <c r="H219">
        <f>_xlfn.XLOOKUP(FACT_IMPORTS[[#This Row],[hts_6]],DIM_PRODUCTS[hts_6],DIM_PRODUCTS[hts_4],,,)</f>
        <v>7009</v>
      </c>
      <c r="I219" t="str" cm="1">
        <f t="array" ref="I219">_xlfn.XLOOKUP(FACT_IMPORTS[[#This Row],[country_name]],DIM_COUNTRY[[#All],[Column2]],DIM_COUNTRY[[#All],[Column3]],,,)</f>
        <v>USMCA</v>
      </c>
    </row>
    <row r="220" spans="1:9" x14ac:dyDescent="0.4">
      <c r="A220" t="s">
        <v>61</v>
      </c>
      <c r="B220" s="1">
        <v>45017</v>
      </c>
      <c r="C220">
        <v>732010</v>
      </c>
      <c r="D220" t="s">
        <v>176</v>
      </c>
      <c r="E220">
        <v>4231174</v>
      </c>
      <c r="F220">
        <v>1271827</v>
      </c>
      <c r="G220">
        <v>25015</v>
      </c>
      <c r="H220">
        <f>_xlfn.XLOOKUP(FACT_IMPORTS[[#This Row],[hts_6]],DIM_PRODUCTS[hts_6],DIM_PRODUCTS[hts_4],,,)</f>
        <v>7320</v>
      </c>
      <c r="I220" t="str" cm="1">
        <f t="array" ref="I220">_xlfn.XLOOKUP(FACT_IMPORTS[[#This Row],[country_name]],DIM_COUNTRY[[#All],[Column2]],DIM_COUNTRY[[#All],[Column3]],,,)</f>
        <v>USMCA</v>
      </c>
    </row>
    <row r="221" spans="1:9" x14ac:dyDescent="0.4">
      <c r="A221" t="s">
        <v>61</v>
      </c>
      <c r="B221" s="1">
        <v>45017</v>
      </c>
      <c r="C221">
        <v>830230</v>
      </c>
      <c r="D221" t="s">
        <v>176</v>
      </c>
      <c r="E221">
        <v>35546736</v>
      </c>
      <c r="F221">
        <v>7299721</v>
      </c>
      <c r="G221">
        <v>1120664</v>
      </c>
      <c r="H221">
        <f>_xlfn.XLOOKUP(FACT_IMPORTS[[#This Row],[hts_6]],DIM_PRODUCTS[hts_6],DIM_PRODUCTS[hts_4],,,)</f>
        <v>8302</v>
      </c>
      <c r="I221" t="str" cm="1">
        <f t="array" ref="I221">_xlfn.XLOOKUP(FACT_IMPORTS[[#This Row],[country_name]],DIM_COUNTRY[[#All],[Column2]],DIM_COUNTRY[[#All],[Column3]],,,)</f>
        <v>USMCA</v>
      </c>
    </row>
    <row r="222" spans="1:9" x14ac:dyDescent="0.4">
      <c r="A222" t="s">
        <v>61</v>
      </c>
      <c r="B222" s="1">
        <v>45017</v>
      </c>
      <c r="C222">
        <v>840731</v>
      </c>
      <c r="D222" t="s">
        <v>176</v>
      </c>
      <c r="E222">
        <v>63900</v>
      </c>
      <c r="F222">
        <v>164</v>
      </c>
      <c r="G222">
        <v>1001</v>
      </c>
      <c r="H222">
        <f>_xlfn.XLOOKUP(FACT_IMPORTS[[#This Row],[hts_6]],DIM_PRODUCTS[hts_6],DIM_PRODUCTS[hts_4],,,)</f>
        <v>8407</v>
      </c>
      <c r="I222" t="str" cm="1">
        <f t="array" ref="I222">_xlfn.XLOOKUP(FACT_IMPORTS[[#This Row],[country_name]],DIM_COUNTRY[[#All],[Column2]],DIM_COUNTRY[[#All],[Column3]],,,)</f>
        <v>USMCA</v>
      </c>
    </row>
    <row r="223" spans="1:9" x14ac:dyDescent="0.4">
      <c r="A223" t="s">
        <v>61</v>
      </c>
      <c r="B223" s="1">
        <v>45017</v>
      </c>
      <c r="C223">
        <v>840733</v>
      </c>
      <c r="D223" t="s">
        <v>176</v>
      </c>
      <c r="E223">
        <v>3181</v>
      </c>
      <c r="F223">
        <v>2</v>
      </c>
      <c r="G223">
        <v>17</v>
      </c>
      <c r="H223">
        <f>_xlfn.XLOOKUP(FACT_IMPORTS[[#This Row],[hts_6]],DIM_PRODUCTS[hts_6],DIM_PRODUCTS[hts_4],,,)</f>
        <v>8407</v>
      </c>
      <c r="I223" t="str" cm="1">
        <f t="array" ref="I223">_xlfn.XLOOKUP(FACT_IMPORTS[[#This Row],[country_name]],DIM_COUNTRY[[#All],[Column2]],DIM_COUNTRY[[#All],[Column3]],,,)</f>
        <v>USMCA</v>
      </c>
    </row>
    <row r="224" spans="1:9" x14ac:dyDescent="0.4">
      <c r="A224" t="s">
        <v>61</v>
      </c>
      <c r="B224" s="1">
        <v>45017</v>
      </c>
      <c r="C224">
        <v>840734</v>
      </c>
      <c r="D224" t="s">
        <v>176</v>
      </c>
      <c r="E224">
        <v>232100582</v>
      </c>
      <c r="F224">
        <v>74579</v>
      </c>
      <c r="G224">
        <v>245858</v>
      </c>
      <c r="H224">
        <f>_xlfn.XLOOKUP(FACT_IMPORTS[[#This Row],[hts_6]],DIM_PRODUCTS[hts_6],DIM_PRODUCTS[hts_4],,,)</f>
        <v>8407</v>
      </c>
      <c r="I224" t="str" cm="1">
        <f t="array" ref="I224">_xlfn.XLOOKUP(FACT_IMPORTS[[#This Row],[country_name]],DIM_COUNTRY[[#All],[Column2]],DIM_COUNTRY[[#All],[Column3]],,,)</f>
        <v>USMCA</v>
      </c>
    </row>
    <row r="225" spans="1:9" x14ac:dyDescent="0.4">
      <c r="A225" t="s">
        <v>61</v>
      </c>
      <c r="B225" s="1">
        <v>45017</v>
      </c>
      <c r="C225">
        <v>840790</v>
      </c>
      <c r="D225" t="s">
        <v>176</v>
      </c>
      <c r="E225">
        <v>6981965</v>
      </c>
      <c r="F225">
        <v>2789</v>
      </c>
      <c r="G225">
        <v>2600</v>
      </c>
      <c r="H225">
        <f>_xlfn.XLOOKUP(FACT_IMPORTS[[#This Row],[hts_6]],DIM_PRODUCTS[hts_6],DIM_PRODUCTS[hts_4],,,)</f>
        <v>8407</v>
      </c>
      <c r="I225" t="str" cm="1">
        <f t="array" ref="I225">_xlfn.XLOOKUP(FACT_IMPORTS[[#This Row],[country_name]],DIM_COUNTRY[[#All],[Column2]],DIM_COUNTRY[[#All],[Column3]],,,)</f>
        <v>USMCA</v>
      </c>
    </row>
    <row r="226" spans="1:9" x14ac:dyDescent="0.4">
      <c r="A226" t="s">
        <v>61</v>
      </c>
      <c r="B226" s="1">
        <v>45017</v>
      </c>
      <c r="C226">
        <v>840820</v>
      </c>
      <c r="D226" t="s">
        <v>176</v>
      </c>
      <c r="E226">
        <v>568228</v>
      </c>
      <c r="F226">
        <v>65</v>
      </c>
      <c r="G226">
        <v>2364</v>
      </c>
      <c r="H226">
        <f>_xlfn.XLOOKUP(FACT_IMPORTS[[#This Row],[hts_6]],DIM_PRODUCTS[hts_6],DIM_PRODUCTS[hts_4],,,)</f>
        <v>8408</v>
      </c>
      <c r="I226" t="str" cm="1">
        <f t="array" ref="I226">_xlfn.XLOOKUP(FACT_IMPORTS[[#This Row],[country_name]],DIM_COUNTRY[[#All],[Column2]],DIM_COUNTRY[[#All],[Column3]],,,)</f>
        <v>USMCA</v>
      </c>
    </row>
    <row r="227" spans="1:9" x14ac:dyDescent="0.4">
      <c r="A227" t="s">
        <v>61</v>
      </c>
      <c r="B227" s="1">
        <v>45017</v>
      </c>
      <c r="C227">
        <v>840890</v>
      </c>
      <c r="D227" t="s">
        <v>176</v>
      </c>
      <c r="E227">
        <v>220245</v>
      </c>
      <c r="F227">
        <v>23</v>
      </c>
      <c r="G227">
        <v>389</v>
      </c>
      <c r="H227">
        <f>_xlfn.XLOOKUP(FACT_IMPORTS[[#This Row],[hts_6]],DIM_PRODUCTS[hts_6],DIM_PRODUCTS[hts_4],,,)</f>
        <v>8408</v>
      </c>
      <c r="I227" t="str" cm="1">
        <f t="array" ref="I227">_xlfn.XLOOKUP(FACT_IMPORTS[[#This Row],[country_name]],DIM_COUNTRY[[#All],[Column2]],DIM_COUNTRY[[#All],[Column3]],,,)</f>
        <v>USMCA</v>
      </c>
    </row>
    <row r="228" spans="1:9" x14ac:dyDescent="0.4">
      <c r="A228" t="s">
        <v>61</v>
      </c>
      <c r="B228" s="1">
        <v>45017</v>
      </c>
      <c r="C228">
        <v>840991</v>
      </c>
      <c r="D228" t="s">
        <v>176</v>
      </c>
      <c r="E228">
        <v>35830513</v>
      </c>
      <c r="F228">
        <v>3178407</v>
      </c>
      <c r="G228">
        <v>208982</v>
      </c>
      <c r="H228">
        <f>_xlfn.XLOOKUP(FACT_IMPORTS[[#This Row],[hts_6]],DIM_PRODUCTS[hts_6],DIM_PRODUCTS[hts_4],,,)</f>
        <v>8409</v>
      </c>
      <c r="I228" t="str" cm="1">
        <f t="array" ref="I228">_xlfn.XLOOKUP(FACT_IMPORTS[[#This Row],[country_name]],DIM_COUNTRY[[#All],[Column2]],DIM_COUNTRY[[#All],[Column3]],,,)</f>
        <v>USMCA</v>
      </c>
    </row>
    <row r="229" spans="1:9" x14ac:dyDescent="0.4">
      <c r="A229" t="s">
        <v>61</v>
      </c>
      <c r="B229" s="1">
        <v>45017</v>
      </c>
      <c r="C229">
        <v>840999</v>
      </c>
      <c r="D229" t="s">
        <v>176</v>
      </c>
      <c r="E229">
        <v>17569347</v>
      </c>
      <c r="F229">
        <v>1760948</v>
      </c>
      <c r="G229">
        <v>109834</v>
      </c>
      <c r="H229">
        <f>_xlfn.XLOOKUP(FACT_IMPORTS[[#This Row],[hts_6]],DIM_PRODUCTS[hts_6],DIM_PRODUCTS[hts_4],,,)</f>
        <v>8409</v>
      </c>
      <c r="I229" t="str" cm="1">
        <f t="array" ref="I229">_xlfn.XLOOKUP(FACT_IMPORTS[[#This Row],[country_name]],DIM_COUNTRY[[#All],[Column2]],DIM_COUNTRY[[#All],[Column3]],,,)</f>
        <v>USMCA</v>
      </c>
    </row>
    <row r="230" spans="1:9" x14ac:dyDescent="0.4">
      <c r="A230" t="s">
        <v>61</v>
      </c>
      <c r="B230" s="1">
        <v>45017</v>
      </c>
      <c r="C230">
        <v>841330</v>
      </c>
      <c r="D230" t="s">
        <v>176</v>
      </c>
      <c r="E230">
        <v>9677620</v>
      </c>
      <c r="F230">
        <v>188086</v>
      </c>
      <c r="G230">
        <v>43616</v>
      </c>
      <c r="H230">
        <f>_xlfn.XLOOKUP(FACT_IMPORTS[[#This Row],[hts_6]],DIM_PRODUCTS[hts_6],DIM_PRODUCTS[hts_4],,,)</f>
        <v>8413</v>
      </c>
      <c r="I230" t="str" cm="1">
        <f t="array" ref="I230">_xlfn.XLOOKUP(FACT_IMPORTS[[#This Row],[country_name]],DIM_COUNTRY[[#All],[Column2]],DIM_COUNTRY[[#All],[Column3]],,,)</f>
        <v>USMCA</v>
      </c>
    </row>
    <row r="231" spans="1:9" x14ac:dyDescent="0.4">
      <c r="A231" t="s">
        <v>61</v>
      </c>
      <c r="B231" s="1">
        <v>45017</v>
      </c>
      <c r="C231">
        <v>841520</v>
      </c>
      <c r="D231" t="s">
        <v>176</v>
      </c>
      <c r="E231">
        <v>2984048</v>
      </c>
      <c r="F231">
        <v>16544</v>
      </c>
      <c r="G231">
        <v>24370</v>
      </c>
      <c r="H231">
        <f>_xlfn.XLOOKUP(FACT_IMPORTS[[#This Row],[hts_6]],DIM_PRODUCTS[hts_6],DIM_PRODUCTS[hts_4],,,)</f>
        <v>8415</v>
      </c>
      <c r="I231" t="str" cm="1">
        <f t="array" ref="I231">_xlfn.XLOOKUP(FACT_IMPORTS[[#This Row],[country_name]],DIM_COUNTRY[[#All],[Column2]],DIM_COUNTRY[[#All],[Column3]],,,)</f>
        <v>USMCA</v>
      </c>
    </row>
    <row r="232" spans="1:9" x14ac:dyDescent="0.4">
      <c r="A232" t="s">
        <v>61</v>
      </c>
      <c r="B232" s="1">
        <v>45017</v>
      </c>
      <c r="C232">
        <v>842132</v>
      </c>
      <c r="D232" t="s">
        <v>176</v>
      </c>
      <c r="E232">
        <v>9571976</v>
      </c>
      <c r="F232">
        <v>30585</v>
      </c>
      <c r="G232">
        <v>30949</v>
      </c>
      <c r="H232">
        <f>_xlfn.XLOOKUP(FACT_IMPORTS[[#This Row],[hts_6]],DIM_PRODUCTS[hts_6],DIM_PRODUCTS[hts_4],,,)</f>
        <v>8421</v>
      </c>
      <c r="I232" t="str" cm="1">
        <f t="array" ref="I232">_xlfn.XLOOKUP(FACT_IMPORTS[[#This Row],[country_name]],DIM_COUNTRY[[#All],[Column2]],DIM_COUNTRY[[#All],[Column3]],,,)</f>
        <v>USMCA</v>
      </c>
    </row>
    <row r="233" spans="1:9" x14ac:dyDescent="0.4">
      <c r="A233" t="s">
        <v>61</v>
      </c>
      <c r="B233" s="1">
        <v>45017</v>
      </c>
      <c r="C233">
        <v>848210</v>
      </c>
      <c r="D233" t="s">
        <v>176</v>
      </c>
      <c r="E233">
        <v>5099622</v>
      </c>
      <c r="F233">
        <v>1508737</v>
      </c>
      <c r="G233">
        <v>58012</v>
      </c>
      <c r="H233">
        <f>_xlfn.XLOOKUP(FACT_IMPORTS[[#This Row],[hts_6]],DIM_PRODUCTS[hts_6],DIM_PRODUCTS[hts_4],,,)</f>
        <v>8482</v>
      </c>
      <c r="I233" t="str" cm="1">
        <f t="array" ref="I233">_xlfn.XLOOKUP(FACT_IMPORTS[[#This Row],[country_name]],DIM_COUNTRY[[#All],[Column2]],DIM_COUNTRY[[#All],[Column3]],,,)</f>
        <v>USMCA</v>
      </c>
    </row>
    <row r="234" spans="1:9" x14ac:dyDescent="0.4">
      <c r="A234" t="s">
        <v>61</v>
      </c>
      <c r="B234" s="1">
        <v>45017</v>
      </c>
      <c r="C234">
        <v>848220</v>
      </c>
      <c r="D234" t="s">
        <v>176</v>
      </c>
      <c r="E234">
        <v>785392</v>
      </c>
      <c r="F234">
        <v>14093</v>
      </c>
      <c r="G234">
        <v>4732</v>
      </c>
      <c r="H234">
        <f>_xlfn.XLOOKUP(FACT_IMPORTS[[#This Row],[hts_6]],DIM_PRODUCTS[hts_6],DIM_PRODUCTS[hts_4],,,)</f>
        <v>8482</v>
      </c>
      <c r="I234" t="str" cm="1">
        <f t="array" ref="I234">_xlfn.XLOOKUP(FACT_IMPORTS[[#This Row],[country_name]],DIM_COUNTRY[[#All],[Column2]],DIM_COUNTRY[[#All],[Column3]],,,)</f>
        <v>USMCA</v>
      </c>
    </row>
    <row r="235" spans="1:9" x14ac:dyDescent="0.4">
      <c r="A235" t="s">
        <v>61</v>
      </c>
      <c r="B235" s="1">
        <v>45017</v>
      </c>
      <c r="C235">
        <v>848310</v>
      </c>
      <c r="D235" t="s">
        <v>176</v>
      </c>
      <c r="E235">
        <v>13909251</v>
      </c>
      <c r="F235">
        <v>447136</v>
      </c>
      <c r="G235">
        <v>252170</v>
      </c>
      <c r="H235">
        <f>_xlfn.XLOOKUP(FACT_IMPORTS[[#This Row],[hts_6]],DIM_PRODUCTS[hts_6],DIM_PRODUCTS[hts_4],,,)</f>
        <v>8483</v>
      </c>
      <c r="I235" t="str" cm="1">
        <f t="array" ref="I235">_xlfn.XLOOKUP(FACT_IMPORTS[[#This Row],[country_name]],DIM_COUNTRY[[#All],[Column2]],DIM_COUNTRY[[#All],[Column3]],,,)</f>
        <v>USMCA</v>
      </c>
    </row>
    <row r="236" spans="1:9" x14ac:dyDescent="0.4">
      <c r="A236" t="s">
        <v>61</v>
      </c>
      <c r="B236" s="1">
        <v>45017</v>
      </c>
      <c r="C236">
        <v>850131</v>
      </c>
      <c r="D236" t="s">
        <v>176</v>
      </c>
      <c r="E236">
        <v>4628442</v>
      </c>
      <c r="F236">
        <v>105010</v>
      </c>
      <c r="G236">
        <v>44971</v>
      </c>
      <c r="H236">
        <f>_xlfn.XLOOKUP(FACT_IMPORTS[[#This Row],[hts_6]],DIM_PRODUCTS[hts_6],DIM_PRODUCTS[hts_4],,,)</f>
        <v>8501</v>
      </c>
      <c r="I236" t="str" cm="1">
        <f t="array" ref="I236">_xlfn.XLOOKUP(FACT_IMPORTS[[#This Row],[country_name]],DIM_COUNTRY[[#All],[Column2]],DIM_COUNTRY[[#All],[Column3]],,,)</f>
        <v>USMCA</v>
      </c>
    </row>
    <row r="237" spans="1:9" x14ac:dyDescent="0.4">
      <c r="A237" t="s">
        <v>61</v>
      </c>
      <c r="B237" s="1">
        <v>45017</v>
      </c>
      <c r="C237">
        <v>850132</v>
      </c>
      <c r="D237" t="s">
        <v>176</v>
      </c>
      <c r="E237">
        <v>518229</v>
      </c>
      <c r="F237">
        <v>61</v>
      </c>
      <c r="G237">
        <v>3114</v>
      </c>
      <c r="H237">
        <f>_xlfn.XLOOKUP(FACT_IMPORTS[[#This Row],[hts_6]],DIM_PRODUCTS[hts_6],DIM_PRODUCTS[hts_4],,,)</f>
        <v>8501</v>
      </c>
      <c r="I237" t="str" cm="1">
        <f t="array" ref="I237">_xlfn.XLOOKUP(FACT_IMPORTS[[#This Row],[country_name]],DIM_COUNTRY[[#All],[Column2]],DIM_COUNTRY[[#All],[Column3]],,,)</f>
        <v>USMCA</v>
      </c>
    </row>
    <row r="238" spans="1:9" x14ac:dyDescent="0.4">
      <c r="A238" t="s">
        <v>61</v>
      </c>
      <c r="B238" s="1">
        <v>45017</v>
      </c>
      <c r="C238">
        <v>850133</v>
      </c>
      <c r="D238" t="s">
        <v>176</v>
      </c>
      <c r="E238">
        <v>0</v>
      </c>
      <c r="F238">
        <v>0</v>
      </c>
      <c r="G238">
        <v>0</v>
      </c>
      <c r="H238">
        <f>_xlfn.XLOOKUP(FACT_IMPORTS[[#This Row],[hts_6]],DIM_PRODUCTS[hts_6],DIM_PRODUCTS[hts_4],,,)</f>
        <v>8501</v>
      </c>
      <c r="I238" t="str" cm="1">
        <f t="array" ref="I238">_xlfn.XLOOKUP(FACT_IMPORTS[[#This Row],[country_name]],DIM_COUNTRY[[#All],[Column2]],DIM_COUNTRY[[#All],[Column3]],,,)</f>
        <v>USMCA</v>
      </c>
    </row>
    <row r="239" spans="1:9" x14ac:dyDescent="0.4">
      <c r="A239" t="s">
        <v>61</v>
      </c>
      <c r="B239" s="1">
        <v>45017</v>
      </c>
      <c r="C239">
        <v>850134</v>
      </c>
      <c r="D239" t="s">
        <v>176</v>
      </c>
      <c r="E239">
        <v>0</v>
      </c>
      <c r="F239">
        <v>0</v>
      </c>
      <c r="G239">
        <v>0</v>
      </c>
      <c r="H239">
        <f>_xlfn.XLOOKUP(FACT_IMPORTS[[#This Row],[hts_6]],DIM_PRODUCTS[hts_6],DIM_PRODUCTS[hts_4],,,)</f>
        <v>8501</v>
      </c>
      <c r="I239" t="str" cm="1">
        <f t="array" ref="I239">_xlfn.XLOOKUP(FACT_IMPORTS[[#This Row],[country_name]],DIM_COUNTRY[[#All],[Column2]],DIM_COUNTRY[[#All],[Column3]],,,)</f>
        <v>USMCA</v>
      </c>
    </row>
    <row r="240" spans="1:9" x14ac:dyDescent="0.4">
      <c r="A240" t="s">
        <v>61</v>
      </c>
      <c r="B240" s="1">
        <v>45017</v>
      </c>
      <c r="C240">
        <v>850152</v>
      </c>
      <c r="D240" t="s">
        <v>176</v>
      </c>
      <c r="E240">
        <v>881014</v>
      </c>
      <c r="F240">
        <v>248</v>
      </c>
      <c r="G240">
        <v>12263</v>
      </c>
      <c r="H240">
        <f>_xlfn.XLOOKUP(FACT_IMPORTS[[#This Row],[hts_6]],DIM_PRODUCTS[hts_6],DIM_PRODUCTS[hts_4],,,)</f>
        <v>8501</v>
      </c>
      <c r="I240" t="str" cm="1">
        <f t="array" ref="I240">_xlfn.XLOOKUP(FACT_IMPORTS[[#This Row],[country_name]],DIM_COUNTRY[[#All],[Column2]],DIM_COUNTRY[[#All],[Column3]],,,)</f>
        <v>USMCA</v>
      </c>
    </row>
    <row r="241" spans="1:9" x14ac:dyDescent="0.4">
      <c r="A241" t="s">
        <v>61</v>
      </c>
      <c r="B241" s="1">
        <v>45017</v>
      </c>
      <c r="C241">
        <v>850153</v>
      </c>
      <c r="D241" t="s">
        <v>176</v>
      </c>
      <c r="E241">
        <v>111439</v>
      </c>
      <c r="F241">
        <v>15</v>
      </c>
      <c r="G241">
        <v>1045</v>
      </c>
      <c r="H241">
        <f>_xlfn.XLOOKUP(FACT_IMPORTS[[#This Row],[hts_6]],DIM_PRODUCTS[hts_6],DIM_PRODUCTS[hts_4],,,)</f>
        <v>8501</v>
      </c>
      <c r="I241" t="str" cm="1">
        <f t="array" ref="I241">_xlfn.XLOOKUP(FACT_IMPORTS[[#This Row],[country_name]],DIM_COUNTRY[[#All],[Column2]],DIM_COUNTRY[[#All],[Column3]],,,)</f>
        <v>USMCA</v>
      </c>
    </row>
    <row r="242" spans="1:9" x14ac:dyDescent="0.4">
      <c r="A242" t="s">
        <v>61</v>
      </c>
      <c r="B242" s="1">
        <v>45017</v>
      </c>
      <c r="C242">
        <v>850161</v>
      </c>
      <c r="D242" t="s">
        <v>176</v>
      </c>
      <c r="E242">
        <v>119193</v>
      </c>
      <c r="F242">
        <v>7</v>
      </c>
      <c r="G242">
        <v>502</v>
      </c>
      <c r="H242">
        <f>_xlfn.XLOOKUP(FACT_IMPORTS[[#This Row],[hts_6]],DIM_PRODUCTS[hts_6],DIM_PRODUCTS[hts_4],,,)</f>
        <v>8501</v>
      </c>
      <c r="I242" t="str" cm="1">
        <f t="array" ref="I242">_xlfn.XLOOKUP(FACT_IMPORTS[[#This Row],[country_name]],DIM_COUNTRY[[#All],[Column2]],DIM_COUNTRY[[#All],[Column3]],,,)</f>
        <v>USMCA</v>
      </c>
    </row>
    <row r="243" spans="1:9" x14ac:dyDescent="0.4">
      <c r="A243" t="s">
        <v>61</v>
      </c>
      <c r="B243" s="1">
        <v>45017</v>
      </c>
      <c r="C243">
        <v>850440</v>
      </c>
      <c r="D243" t="s">
        <v>176</v>
      </c>
      <c r="E243">
        <v>4488761</v>
      </c>
      <c r="F243">
        <v>14153</v>
      </c>
      <c r="G243">
        <v>68757</v>
      </c>
      <c r="H243">
        <f>_xlfn.XLOOKUP(FACT_IMPORTS[[#This Row],[hts_6]],DIM_PRODUCTS[hts_6],DIM_PRODUCTS[hts_4],,,)</f>
        <v>8504</v>
      </c>
      <c r="I243" t="str" cm="1">
        <f t="array" ref="I243">_xlfn.XLOOKUP(FACT_IMPORTS[[#This Row],[country_name]],DIM_COUNTRY[[#All],[Column2]],DIM_COUNTRY[[#All],[Column3]],,,)</f>
        <v>USMCA</v>
      </c>
    </row>
    <row r="244" spans="1:9" x14ac:dyDescent="0.4">
      <c r="A244" t="s">
        <v>61</v>
      </c>
      <c r="B244" s="1">
        <v>45017</v>
      </c>
      <c r="C244">
        <v>850710</v>
      </c>
      <c r="D244" t="s">
        <v>176</v>
      </c>
      <c r="E244">
        <v>446579</v>
      </c>
      <c r="F244">
        <v>822</v>
      </c>
      <c r="G244">
        <v>28610</v>
      </c>
      <c r="H244">
        <f>_xlfn.XLOOKUP(FACT_IMPORTS[[#This Row],[hts_6]],DIM_PRODUCTS[hts_6],DIM_PRODUCTS[hts_4],,,)</f>
        <v>8507</v>
      </c>
      <c r="I244" t="str" cm="1">
        <f t="array" ref="I244">_xlfn.XLOOKUP(FACT_IMPORTS[[#This Row],[country_name]],DIM_COUNTRY[[#All],[Column2]],DIM_COUNTRY[[#All],[Column3]],,,)</f>
        <v>USMCA</v>
      </c>
    </row>
    <row r="245" spans="1:9" x14ac:dyDescent="0.4">
      <c r="A245" t="s">
        <v>61</v>
      </c>
      <c r="B245" s="1">
        <v>45017</v>
      </c>
      <c r="C245">
        <v>850760</v>
      </c>
      <c r="D245" t="s">
        <v>176</v>
      </c>
      <c r="E245">
        <v>4318335</v>
      </c>
      <c r="F245">
        <v>419</v>
      </c>
      <c r="G245">
        <v>11254</v>
      </c>
      <c r="H245">
        <f>_xlfn.XLOOKUP(FACT_IMPORTS[[#This Row],[hts_6]],DIM_PRODUCTS[hts_6],DIM_PRODUCTS[hts_4],,,)</f>
        <v>8507</v>
      </c>
      <c r="I245" t="str" cm="1">
        <f t="array" ref="I245">_xlfn.XLOOKUP(FACT_IMPORTS[[#This Row],[country_name]],DIM_COUNTRY[[#All],[Column2]],DIM_COUNTRY[[#All],[Column3]],,,)</f>
        <v>USMCA</v>
      </c>
    </row>
    <row r="246" spans="1:9" x14ac:dyDescent="0.4">
      <c r="A246" t="s">
        <v>61</v>
      </c>
      <c r="B246" s="1">
        <v>45017</v>
      </c>
      <c r="C246">
        <v>850790</v>
      </c>
      <c r="D246" t="s">
        <v>176</v>
      </c>
      <c r="E246">
        <v>96445</v>
      </c>
      <c r="F246">
        <v>2911</v>
      </c>
      <c r="G246">
        <v>324</v>
      </c>
      <c r="H246">
        <f>_xlfn.XLOOKUP(FACT_IMPORTS[[#This Row],[hts_6]],DIM_PRODUCTS[hts_6],DIM_PRODUCTS[hts_4],,,)</f>
        <v>8507</v>
      </c>
      <c r="I246" t="str" cm="1">
        <f t="array" ref="I246">_xlfn.XLOOKUP(FACT_IMPORTS[[#This Row],[country_name]],DIM_COUNTRY[[#All],[Column2]],DIM_COUNTRY[[#All],[Column3]],,,)</f>
        <v>USMCA</v>
      </c>
    </row>
    <row r="247" spans="1:9" x14ac:dyDescent="0.4">
      <c r="A247" t="s">
        <v>61</v>
      </c>
      <c r="B247" s="1">
        <v>45017</v>
      </c>
      <c r="C247">
        <v>851110</v>
      </c>
      <c r="D247" t="s">
        <v>176</v>
      </c>
      <c r="E247">
        <v>0</v>
      </c>
      <c r="F247">
        <v>0</v>
      </c>
      <c r="G247">
        <v>0</v>
      </c>
      <c r="H247">
        <f>_xlfn.XLOOKUP(FACT_IMPORTS[[#This Row],[hts_6]],DIM_PRODUCTS[hts_6],DIM_PRODUCTS[hts_4],,,)</f>
        <v>8511</v>
      </c>
      <c r="I247" t="str" cm="1">
        <f t="array" ref="I247">_xlfn.XLOOKUP(FACT_IMPORTS[[#This Row],[country_name]],DIM_COUNTRY[[#All],[Column2]],DIM_COUNTRY[[#All],[Column3]],,,)</f>
        <v>USMCA</v>
      </c>
    </row>
    <row r="248" spans="1:9" x14ac:dyDescent="0.4">
      <c r="A248" t="s">
        <v>61</v>
      </c>
      <c r="B248" s="1">
        <v>45017</v>
      </c>
      <c r="C248">
        <v>851120</v>
      </c>
      <c r="D248" t="s">
        <v>176</v>
      </c>
      <c r="E248">
        <v>0</v>
      </c>
      <c r="F248">
        <v>0</v>
      </c>
      <c r="G248">
        <v>0</v>
      </c>
      <c r="H248">
        <f>_xlfn.XLOOKUP(FACT_IMPORTS[[#This Row],[hts_6]],DIM_PRODUCTS[hts_6],DIM_PRODUCTS[hts_4],,,)</f>
        <v>8511</v>
      </c>
      <c r="I248" t="str" cm="1">
        <f t="array" ref="I248">_xlfn.XLOOKUP(FACT_IMPORTS[[#This Row],[country_name]],DIM_COUNTRY[[#All],[Column2]],DIM_COUNTRY[[#All],[Column3]],,,)</f>
        <v>USMCA</v>
      </c>
    </row>
    <row r="249" spans="1:9" x14ac:dyDescent="0.4">
      <c r="A249" t="s">
        <v>61</v>
      </c>
      <c r="B249" s="1">
        <v>45017</v>
      </c>
      <c r="C249">
        <v>851130</v>
      </c>
      <c r="D249" t="s">
        <v>176</v>
      </c>
      <c r="E249">
        <v>13177</v>
      </c>
      <c r="F249">
        <v>2996</v>
      </c>
      <c r="G249">
        <v>67</v>
      </c>
      <c r="H249">
        <f>_xlfn.XLOOKUP(FACT_IMPORTS[[#This Row],[hts_6]],DIM_PRODUCTS[hts_6],DIM_PRODUCTS[hts_4],,,)</f>
        <v>8511</v>
      </c>
      <c r="I249" t="str" cm="1">
        <f t="array" ref="I249">_xlfn.XLOOKUP(FACT_IMPORTS[[#This Row],[country_name]],DIM_COUNTRY[[#All],[Column2]],DIM_COUNTRY[[#All],[Column3]],,,)</f>
        <v>USMCA</v>
      </c>
    </row>
    <row r="250" spans="1:9" x14ac:dyDescent="0.4">
      <c r="A250" t="s">
        <v>61</v>
      </c>
      <c r="B250" s="1">
        <v>45017</v>
      </c>
      <c r="C250">
        <v>851140</v>
      </c>
      <c r="D250" t="s">
        <v>176</v>
      </c>
      <c r="E250">
        <v>404285</v>
      </c>
      <c r="F250">
        <v>12442</v>
      </c>
      <c r="G250">
        <v>3432</v>
      </c>
      <c r="H250">
        <f>_xlfn.XLOOKUP(FACT_IMPORTS[[#This Row],[hts_6]],DIM_PRODUCTS[hts_6],DIM_PRODUCTS[hts_4],,,)</f>
        <v>8511</v>
      </c>
      <c r="I250" t="str" cm="1">
        <f t="array" ref="I250">_xlfn.XLOOKUP(FACT_IMPORTS[[#This Row],[country_name]],DIM_COUNTRY[[#All],[Column2]],DIM_COUNTRY[[#All],[Column3]],,,)</f>
        <v>USMCA</v>
      </c>
    </row>
    <row r="251" spans="1:9" x14ac:dyDescent="0.4">
      <c r="A251" t="s">
        <v>61</v>
      </c>
      <c r="B251" s="1">
        <v>45017</v>
      </c>
      <c r="C251">
        <v>851150</v>
      </c>
      <c r="D251" t="s">
        <v>176</v>
      </c>
      <c r="E251">
        <v>325122</v>
      </c>
      <c r="F251">
        <v>9691</v>
      </c>
      <c r="G251">
        <v>2945</v>
      </c>
      <c r="H251">
        <f>_xlfn.XLOOKUP(FACT_IMPORTS[[#This Row],[hts_6]],DIM_PRODUCTS[hts_6],DIM_PRODUCTS[hts_4],,,)</f>
        <v>8511</v>
      </c>
      <c r="I251" t="str" cm="1">
        <f t="array" ref="I251">_xlfn.XLOOKUP(FACT_IMPORTS[[#This Row],[country_name]],DIM_COUNTRY[[#All],[Column2]],DIM_COUNTRY[[#All],[Column3]],,,)</f>
        <v>USMCA</v>
      </c>
    </row>
    <row r="252" spans="1:9" x14ac:dyDescent="0.4">
      <c r="A252" t="s">
        <v>61</v>
      </c>
      <c r="B252" s="1">
        <v>45017</v>
      </c>
      <c r="C252">
        <v>851180</v>
      </c>
      <c r="D252" t="s">
        <v>176</v>
      </c>
      <c r="E252">
        <v>2340</v>
      </c>
      <c r="F252">
        <v>3</v>
      </c>
      <c r="G252">
        <v>38</v>
      </c>
      <c r="H252">
        <f>_xlfn.XLOOKUP(FACT_IMPORTS[[#This Row],[hts_6]],DIM_PRODUCTS[hts_6],DIM_PRODUCTS[hts_4],,,)</f>
        <v>8511</v>
      </c>
      <c r="I252" t="str" cm="1">
        <f t="array" ref="I252">_xlfn.XLOOKUP(FACT_IMPORTS[[#This Row],[country_name]],DIM_COUNTRY[[#All],[Column2]],DIM_COUNTRY[[#All],[Column3]],,,)</f>
        <v>USMCA</v>
      </c>
    </row>
    <row r="253" spans="1:9" x14ac:dyDescent="0.4">
      <c r="A253" t="s">
        <v>61</v>
      </c>
      <c r="B253" s="1">
        <v>45017</v>
      </c>
      <c r="C253">
        <v>851190</v>
      </c>
      <c r="D253" t="s">
        <v>176</v>
      </c>
      <c r="E253">
        <v>444182</v>
      </c>
      <c r="F253">
        <v>2871</v>
      </c>
      <c r="G253">
        <v>413</v>
      </c>
      <c r="H253">
        <f>_xlfn.XLOOKUP(FACT_IMPORTS[[#This Row],[hts_6]],DIM_PRODUCTS[hts_6],DIM_PRODUCTS[hts_4],,,)</f>
        <v>8511</v>
      </c>
      <c r="I253" t="str" cm="1">
        <f t="array" ref="I253">_xlfn.XLOOKUP(FACT_IMPORTS[[#This Row],[country_name]],DIM_COUNTRY[[#All],[Column2]],DIM_COUNTRY[[#All],[Column3]],,,)</f>
        <v>USMCA</v>
      </c>
    </row>
    <row r="254" spans="1:9" x14ac:dyDescent="0.4">
      <c r="A254" t="s">
        <v>61</v>
      </c>
      <c r="B254" s="1">
        <v>45017</v>
      </c>
      <c r="C254">
        <v>851220</v>
      </c>
      <c r="D254" t="s">
        <v>176</v>
      </c>
      <c r="E254">
        <v>19568413</v>
      </c>
      <c r="F254">
        <v>399455</v>
      </c>
      <c r="G254">
        <v>89540</v>
      </c>
      <c r="H254">
        <f>_xlfn.XLOOKUP(FACT_IMPORTS[[#This Row],[hts_6]],DIM_PRODUCTS[hts_6],DIM_PRODUCTS[hts_4],,,)</f>
        <v>8512</v>
      </c>
      <c r="I254" t="str" cm="1">
        <f t="array" ref="I254">_xlfn.XLOOKUP(FACT_IMPORTS[[#This Row],[country_name]],DIM_COUNTRY[[#All],[Column2]],DIM_COUNTRY[[#All],[Column3]],,,)</f>
        <v>USMCA</v>
      </c>
    </row>
    <row r="255" spans="1:9" x14ac:dyDescent="0.4">
      <c r="A255" t="s">
        <v>61</v>
      </c>
      <c r="B255" s="1">
        <v>45017</v>
      </c>
      <c r="C255">
        <v>851230</v>
      </c>
      <c r="D255" t="s">
        <v>176</v>
      </c>
      <c r="E255">
        <v>29773</v>
      </c>
      <c r="F255">
        <v>1040</v>
      </c>
      <c r="G255">
        <v>444</v>
      </c>
      <c r="H255">
        <f>_xlfn.XLOOKUP(FACT_IMPORTS[[#This Row],[hts_6]],DIM_PRODUCTS[hts_6],DIM_PRODUCTS[hts_4],,,)</f>
        <v>8512</v>
      </c>
      <c r="I255" t="str" cm="1">
        <f t="array" ref="I255">_xlfn.XLOOKUP(FACT_IMPORTS[[#This Row],[country_name]],DIM_COUNTRY[[#All],[Column2]],DIM_COUNTRY[[#All],[Column3]],,,)</f>
        <v>USMCA</v>
      </c>
    </row>
    <row r="256" spans="1:9" x14ac:dyDescent="0.4">
      <c r="A256" t="s">
        <v>61</v>
      </c>
      <c r="B256" s="1">
        <v>45017</v>
      </c>
      <c r="C256">
        <v>851240</v>
      </c>
      <c r="D256" t="s">
        <v>176</v>
      </c>
      <c r="E256">
        <v>0</v>
      </c>
      <c r="F256">
        <v>0</v>
      </c>
      <c r="G256">
        <v>0</v>
      </c>
      <c r="H256">
        <f>_xlfn.XLOOKUP(FACT_IMPORTS[[#This Row],[hts_6]],DIM_PRODUCTS[hts_6],DIM_PRODUCTS[hts_4],,,)</f>
        <v>8512</v>
      </c>
      <c r="I256" t="str" cm="1">
        <f t="array" ref="I256">_xlfn.XLOOKUP(FACT_IMPORTS[[#This Row],[country_name]],DIM_COUNTRY[[#All],[Column2]],DIM_COUNTRY[[#All],[Column3]],,,)</f>
        <v>USMCA</v>
      </c>
    </row>
    <row r="257" spans="1:9" x14ac:dyDescent="0.4">
      <c r="A257" t="s">
        <v>61</v>
      </c>
      <c r="B257" s="1">
        <v>45017</v>
      </c>
      <c r="C257">
        <v>851290</v>
      </c>
      <c r="D257" t="s">
        <v>176</v>
      </c>
      <c r="E257">
        <v>2144547</v>
      </c>
      <c r="F257">
        <v>50006</v>
      </c>
      <c r="G257">
        <v>49678</v>
      </c>
      <c r="H257">
        <f>_xlfn.XLOOKUP(FACT_IMPORTS[[#This Row],[hts_6]],DIM_PRODUCTS[hts_6],DIM_PRODUCTS[hts_4],,,)</f>
        <v>8512</v>
      </c>
      <c r="I257" t="str" cm="1">
        <f t="array" ref="I257">_xlfn.XLOOKUP(FACT_IMPORTS[[#This Row],[country_name]],DIM_COUNTRY[[#All],[Column2]],DIM_COUNTRY[[#All],[Column3]],,,)</f>
        <v>USMCA</v>
      </c>
    </row>
    <row r="258" spans="1:9" x14ac:dyDescent="0.4">
      <c r="A258" t="s">
        <v>61</v>
      </c>
      <c r="B258" s="1">
        <v>45017</v>
      </c>
      <c r="C258">
        <v>854231</v>
      </c>
      <c r="D258" t="s">
        <v>176</v>
      </c>
      <c r="E258">
        <v>121326</v>
      </c>
      <c r="F258">
        <v>1160</v>
      </c>
      <c r="G258">
        <v>4216</v>
      </c>
      <c r="H258">
        <f>_xlfn.XLOOKUP(FACT_IMPORTS[[#This Row],[hts_6]],DIM_PRODUCTS[hts_6],DIM_PRODUCTS[hts_4],,,)</f>
        <v>8542</v>
      </c>
      <c r="I258" t="str" cm="1">
        <f t="array" ref="I258">_xlfn.XLOOKUP(FACT_IMPORTS[[#This Row],[country_name]],DIM_COUNTRY[[#All],[Column2]],DIM_COUNTRY[[#All],[Column3]],,,)</f>
        <v>USMCA</v>
      </c>
    </row>
    <row r="259" spans="1:9" x14ac:dyDescent="0.4">
      <c r="A259" t="s">
        <v>61</v>
      </c>
      <c r="B259" s="1">
        <v>45017</v>
      </c>
      <c r="C259">
        <v>854232</v>
      </c>
      <c r="D259" t="s">
        <v>176</v>
      </c>
      <c r="E259">
        <v>5866</v>
      </c>
      <c r="F259">
        <v>327</v>
      </c>
      <c r="G259">
        <v>5</v>
      </c>
      <c r="H259">
        <f>_xlfn.XLOOKUP(FACT_IMPORTS[[#This Row],[hts_6]],DIM_PRODUCTS[hts_6],DIM_PRODUCTS[hts_4],,,)</f>
        <v>8542</v>
      </c>
      <c r="I259" t="str" cm="1">
        <f t="array" ref="I259">_xlfn.XLOOKUP(FACT_IMPORTS[[#This Row],[country_name]],DIM_COUNTRY[[#All],[Column2]],DIM_COUNTRY[[#All],[Column3]],,,)</f>
        <v>USMCA</v>
      </c>
    </row>
    <row r="260" spans="1:9" x14ac:dyDescent="0.4">
      <c r="A260" t="s">
        <v>61</v>
      </c>
      <c r="B260" s="1">
        <v>45017</v>
      </c>
      <c r="C260">
        <v>854233</v>
      </c>
      <c r="D260" t="s">
        <v>176</v>
      </c>
      <c r="E260">
        <v>0</v>
      </c>
      <c r="F260">
        <v>0</v>
      </c>
      <c r="G260">
        <v>0</v>
      </c>
      <c r="H260">
        <f>_xlfn.XLOOKUP(FACT_IMPORTS[[#This Row],[hts_6]],DIM_PRODUCTS[hts_6],DIM_PRODUCTS[hts_4],,,)</f>
        <v>8542</v>
      </c>
      <c r="I260" t="str" cm="1">
        <f t="array" ref="I260">_xlfn.XLOOKUP(FACT_IMPORTS[[#This Row],[country_name]],DIM_COUNTRY[[#All],[Column2]],DIM_COUNTRY[[#All],[Column3]],,,)</f>
        <v>USMCA</v>
      </c>
    </row>
    <row r="261" spans="1:9" x14ac:dyDescent="0.4">
      <c r="A261" t="s">
        <v>61</v>
      </c>
      <c r="B261" s="1">
        <v>45017</v>
      </c>
      <c r="C261">
        <v>854239</v>
      </c>
      <c r="D261" t="s">
        <v>176</v>
      </c>
      <c r="E261">
        <v>66585</v>
      </c>
      <c r="F261">
        <v>280949</v>
      </c>
      <c r="G261">
        <v>150</v>
      </c>
      <c r="H261">
        <f>_xlfn.XLOOKUP(FACT_IMPORTS[[#This Row],[hts_6]],DIM_PRODUCTS[hts_6],DIM_PRODUCTS[hts_4],,,)</f>
        <v>8542</v>
      </c>
      <c r="I261" t="str" cm="1">
        <f t="array" ref="I261">_xlfn.XLOOKUP(FACT_IMPORTS[[#This Row],[country_name]],DIM_COUNTRY[[#All],[Column2]],DIM_COUNTRY[[#All],[Column3]],,,)</f>
        <v>USMCA</v>
      </c>
    </row>
    <row r="262" spans="1:9" x14ac:dyDescent="0.4">
      <c r="A262" t="s">
        <v>61</v>
      </c>
      <c r="B262" s="1">
        <v>45017</v>
      </c>
      <c r="C262">
        <v>854290</v>
      </c>
      <c r="D262" t="s">
        <v>176</v>
      </c>
      <c r="E262">
        <v>60235</v>
      </c>
      <c r="F262">
        <v>279</v>
      </c>
      <c r="G262">
        <v>2506</v>
      </c>
      <c r="H262">
        <f>_xlfn.XLOOKUP(FACT_IMPORTS[[#This Row],[hts_6]],DIM_PRODUCTS[hts_6],DIM_PRODUCTS[hts_4],,,)</f>
        <v>8542</v>
      </c>
      <c r="I262" t="str" cm="1">
        <f t="array" ref="I262">_xlfn.XLOOKUP(FACT_IMPORTS[[#This Row],[country_name]],DIM_COUNTRY[[#All],[Column2]],DIM_COUNTRY[[#All],[Column3]],,,)</f>
        <v>USMCA</v>
      </c>
    </row>
    <row r="263" spans="1:9" x14ac:dyDescent="0.4">
      <c r="A263" t="s">
        <v>61</v>
      </c>
      <c r="B263" s="1">
        <v>45017</v>
      </c>
      <c r="C263">
        <v>854430</v>
      </c>
      <c r="D263" t="s">
        <v>176</v>
      </c>
      <c r="E263">
        <v>1590761</v>
      </c>
      <c r="F263">
        <v>56939</v>
      </c>
      <c r="G263">
        <v>8924</v>
      </c>
      <c r="H263">
        <f>_xlfn.XLOOKUP(FACT_IMPORTS[[#This Row],[hts_6]],DIM_PRODUCTS[hts_6],DIM_PRODUCTS[hts_4],,,)</f>
        <v>8544</v>
      </c>
      <c r="I263" t="str" cm="1">
        <f t="array" ref="I263">_xlfn.XLOOKUP(FACT_IMPORTS[[#This Row],[country_name]],DIM_COUNTRY[[#All],[Column2]],DIM_COUNTRY[[#All],[Column3]],,,)</f>
        <v>USMCA</v>
      </c>
    </row>
    <row r="264" spans="1:9" x14ac:dyDescent="0.4">
      <c r="A264" t="s">
        <v>61</v>
      </c>
      <c r="B264" s="1">
        <v>45017</v>
      </c>
      <c r="C264">
        <v>870710</v>
      </c>
      <c r="D264" t="s">
        <v>176</v>
      </c>
      <c r="E264">
        <v>0</v>
      </c>
      <c r="F264">
        <v>0</v>
      </c>
      <c r="G264">
        <v>0</v>
      </c>
      <c r="H264">
        <f>_xlfn.XLOOKUP(FACT_IMPORTS[[#This Row],[hts_6]],DIM_PRODUCTS[hts_6],DIM_PRODUCTS[hts_4],,,)</f>
        <v>8707</v>
      </c>
      <c r="I264" t="str" cm="1">
        <f t="array" ref="I264">_xlfn.XLOOKUP(FACT_IMPORTS[[#This Row],[country_name]],DIM_COUNTRY[[#All],[Column2]],DIM_COUNTRY[[#All],[Column3]],,,)</f>
        <v>USMCA</v>
      </c>
    </row>
    <row r="265" spans="1:9" x14ac:dyDescent="0.4">
      <c r="A265" t="s">
        <v>61</v>
      </c>
      <c r="B265" s="1">
        <v>45017</v>
      </c>
      <c r="C265">
        <v>870790</v>
      </c>
      <c r="D265" t="s">
        <v>176</v>
      </c>
      <c r="E265">
        <v>5436403</v>
      </c>
      <c r="F265">
        <v>327</v>
      </c>
      <c r="G265">
        <v>33912</v>
      </c>
      <c r="H265">
        <f>_xlfn.XLOOKUP(FACT_IMPORTS[[#This Row],[hts_6]],DIM_PRODUCTS[hts_6],DIM_PRODUCTS[hts_4],,,)</f>
        <v>8707</v>
      </c>
      <c r="I265" t="str" cm="1">
        <f t="array" ref="I265">_xlfn.XLOOKUP(FACT_IMPORTS[[#This Row],[country_name]],DIM_COUNTRY[[#All],[Column2]],DIM_COUNTRY[[#All],[Column3]],,,)</f>
        <v>USMCA</v>
      </c>
    </row>
    <row r="266" spans="1:9" x14ac:dyDescent="0.4">
      <c r="A266" t="s">
        <v>61</v>
      </c>
      <c r="B266" s="1">
        <v>45017</v>
      </c>
      <c r="C266">
        <v>870810</v>
      </c>
      <c r="D266" t="s">
        <v>176</v>
      </c>
      <c r="E266">
        <v>21180556</v>
      </c>
      <c r="F266">
        <v>1077740</v>
      </c>
      <c r="G266">
        <v>380136</v>
      </c>
      <c r="H266">
        <f>_xlfn.XLOOKUP(FACT_IMPORTS[[#This Row],[hts_6]],DIM_PRODUCTS[hts_6],DIM_PRODUCTS[hts_4],,,)</f>
        <v>8708</v>
      </c>
      <c r="I266" t="str" cm="1">
        <f t="array" ref="I266">_xlfn.XLOOKUP(FACT_IMPORTS[[#This Row],[country_name]],DIM_COUNTRY[[#All],[Column2]],DIM_COUNTRY[[#All],[Column3]],,,)</f>
        <v>USMCA</v>
      </c>
    </row>
    <row r="267" spans="1:9" x14ac:dyDescent="0.4">
      <c r="A267" t="s">
        <v>61</v>
      </c>
      <c r="B267" s="1">
        <v>45017</v>
      </c>
      <c r="C267">
        <v>870821</v>
      </c>
      <c r="D267" t="s">
        <v>176</v>
      </c>
      <c r="E267">
        <v>105336</v>
      </c>
      <c r="F267">
        <v>4668</v>
      </c>
      <c r="G267">
        <v>1565</v>
      </c>
      <c r="H267">
        <f>_xlfn.XLOOKUP(FACT_IMPORTS[[#This Row],[hts_6]],DIM_PRODUCTS[hts_6],DIM_PRODUCTS[hts_4],,,)</f>
        <v>8708</v>
      </c>
      <c r="I267" t="str" cm="1">
        <f t="array" ref="I267">_xlfn.XLOOKUP(FACT_IMPORTS[[#This Row],[country_name]],DIM_COUNTRY[[#All],[Column2]],DIM_COUNTRY[[#All],[Column3]],,,)</f>
        <v>USMCA</v>
      </c>
    </row>
    <row r="268" spans="1:9" x14ac:dyDescent="0.4">
      <c r="A268" t="s">
        <v>61</v>
      </c>
      <c r="B268" s="1">
        <v>45017</v>
      </c>
      <c r="C268">
        <v>870822</v>
      </c>
      <c r="D268" t="s">
        <v>176</v>
      </c>
      <c r="E268">
        <v>4249656</v>
      </c>
      <c r="F268">
        <v>81629</v>
      </c>
      <c r="G268">
        <v>139465</v>
      </c>
      <c r="H268">
        <f>_xlfn.XLOOKUP(FACT_IMPORTS[[#This Row],[hts_6]],DIM_PRODUCTS[hts_6],DIM_PRODUCTS[hts_4],,,)</f>
        <v>8708</v>
      </c>
      <c r="I268" t="str" cm="1">
        <f t="array" ref="I268">_xlfn.XLOOKUP(FACT_IMPORTS[[#This Row],[country_name]],DIM_COUNTRY[[#All],[Column2]],DIM_COUNTRY[[#All],[Column3]],,,)</f>
        <v>USMCA</v>
      </c>
    </row>
    <row r="269" spans="1:9" x14ac:dyDescent="0.4">
      <c r="A269" t="s">
        <v>61</v>
      </c>
      <c r="B269" s="1">
        <v>45017</v>
      </c>
      <c r="C269">
        <v>870829</v>
      </c>
      <c r="D269" t="s">
        <v>176</v>
      </c>
      <c r="E269">
        <v>355211991</v>
      </c>
      <c r="F269">
        <v>51220507</v>
      </c>
      <c r="G269">
        <v>7592179</v>
      </c>
      <c r="H269">
        <f>_xlfn.XLOOKUP(FACT_IMPORTS[[#This Row],[hts_6]],DIM_PRODUCTS[hts_6],DIM_PRODUCTS[hts_4],,,)</f>
        <v>8708</v>
      </c>
      <c r="I269" t="str" cm="1">
        <f t="array" ref="I269">_xlfn.XLOOKUP(FACT_IMPORTS[[#This Row],[country_name]],DIM_COUNTRY[[#All],[Column2]],DIM_COUNTRY[[#All],[Column3]],,,)</f>
        <v>USMCA</v>
      </c>
    </row>
    <row r="270" spans="1:9" x14ac:dyDescent="0.4">
      <c r="A270" t="s">
        <v>61</v>
      </c>
      <c r="B270" s="1">
        <v>45017</v>
      </c>
      <c r="C270">
        <v>870830</v>
      </c>
      <c r="D270" t="s">
        <v>176</v>
      </c>
      <c r="E270">
        <v>13087043</v>
      </c>
      <c r="F270">
        <v>4122888</v>
      </c>
      <c r="G270">
        <v>168253</v>
      </c>
      <c r="H270">
        <f>_xlfn.XLOOKUP(FACT_IMPORTS[[#This Row],[hts_6]],DIM_PRODUCTS[hts_6],DIM_PRODUCTS[hts_4],,,)</f>
        <v>8708</v>
      </c>
      <c r="I270" t="str" cm="1">
        <f t="array" ref="I270">_xlfn.XLOOKUP(FACT_IMPORTS[[#This Row],[country_name]],DIM_COUNTRY[[#All],[Column2]],DIM_COUNTRY[[#All],[Column3]],,,)</f>
        <v>USMCA</v>
      </c>
    </row>
    <row r="271" spans="1:9" x14ac:dyDescent="0.4">
      <c r="A271" t="s">
        <v>61</v>
      </c>
      <c r="B271" s="1">
        <v>45017</v>
      </c>
      <c r="C271">
        <v>870840</v>
      </c>
      <c r="D271" t="s">
        <v>176</v>
      </c>
      <c r="E271">
        <v>83893042</v>
      </c>
      <c r="F271">
        <v>3970840</v>
      </c>
      <c r="G271">
        <v>460356</v>
      </c>
      <c r="H271">
        <f>_xlfn.XLOOKUP(FACT_IMPORTS[[#This Row],[hts_6]],DIM_PRODUCTS[hts_6],DIM_PRODUCTS[hts_4],,,)</f>
        <v>8708</v>
      </c>
      <c r="I271" t="str" cm="1">
        <f t="array" ref="I271">_xlfn.XLOOKUP(FACT_IMPORTS[[#This Row],[country_name]],DIM_COUNTRY[[#All],[Column2]],DIM_COUNTRY[[#All],[Column3]],,,)</f>
        <v>USMCA</v>
      </c>
    </row>
    <row r="272" spans="1:9" x14ac:dyDescent="0.4">
      <c r="A272" t="s">
        <v>61</v>
      </c>
      <c r="B272" s="1">
        <v>45017</v>
      </c>
      <c r="C272">
        <v>870850</v>
      </c>
      <c r="D272" t="s">
        <v>176</v>
      </c>
      <c r="E272">
        <v>30056465</v>
      </c>
      <c r="F272">
        <v>1424954</v>
      </c>
      <c r="G272">
        <v>164880</v>
      </c>
      <c r="H272">
        <f>_xlfn.XLOOKUP(FACT_IMPORTS[[#This Row],[hts_6]],DIM_PRODUCTS[hts_6],DIM_PRODUCTS[hts_4],,,)</f>
        <v>8708</v>
      </c>
      <c r="I272" t="str" cm="1">
        <f t="array" ref="I272">_xlfn.XLOOKUP(FACT_IMPORTS[[#This Row],[country_name]],DIM_COUNTRY[[#All],[Column2]],DIM_COUNTRY[[#All],[Column3]],,,)</f>
        <v>USMCA</v>
      </c>
    </row>
    <row r="273" spans="1:9" x14ac:dyDescent="0.4">
      <c r="A273" t="s">
        <v>61</v>
      </c>
      <c r="B273" s="1">
        <v>45017</v>
      </c>
      <c r="C273">
        <v>870870</v>
      </c>
      <c r="D273" t="s">
        <v>176</v>
      </c>
      <c r="E273">
        <v>7115378</v>
      </c>
      <c r="F273">
        <v>10309238</v>
      </c>
      <c r="G273">
        <v>81067</v>
      </c>
      <c r="H273">
        <f>_xlfn.XLOOKUP(FACT_IMPORTS[[#This Row],[hts_6]],DIM_PRODUCTS[hts_6],DIM_PRODUCTS[hts_4],,,)</f>
        <v>8708</v>
      </c>
      <c r="I273" t="str" cm="1">
        <f t="array" ref="I273">_xlfn.XLOOKUP(FACT_IMPORTS[[#This Row],[country_name]],DIM_COUNTRY[[#All],[Column2]],DIM_COUNTRY[[#All],[Column3]],,,)</f>
        <v>USMCA</v>
      </c>
    </row>
    <row r="274" spans="1:9" x14ac:dyDescent="0.4">
      <c r="A274" t="s">
        <v>61</v>
      </c>
      <c r="B274" s="1">
        <v>45017</v>
      </c>
      <c r="C274">
        <v>870880</v>
      </c>
      <c r="D274" t="s">
        <v>176</v>
      </c>
      <c r="E274">
        <v>51751878</v>
      </c>
      <c r="F274">
        <v>2928796</v>
      </c>
      <c r="G274">
        <v>1053723</v>
      </c>
      <c r="H274">
        <f>_xlfn.XLOOKUP(FACT_IMPORTS[[#This Row],[hts_6]],DIM_PRODUCTS[hts_6],DIM_PRODUCTS[hts_4],,,)</f>
        <v>8708</v>
      </c>
      <c r="I274" t="str" cm="1">
        <f t="array" ref="I274">_xlfn.XLOOKUP(FACT_IMPORTS[[#This Row],[country_name]],DIM_COUNTRY[[#All],[Column2]],DIM_COUNTRY[[#All],[Column3]],,,)</f>
        <v>USMCA</v>
      </c>
    </row>
    <row r="275" spans="1:9" x14ac:dyDescent="0.4">
      <c r="A275" t="s">
        <v>61</v>
      </c>
      <c r="B275" s="1">
        <v>45017</v>
      </c>
      <c r="C275">
        <v>870891</v>
      </c>
      <c r="D275" t="s">
        <v>176</v>
      </c>
      <c r="E275">
        <v>9962182</v>
      </c>
      <c r="F275">
        <v>315250</v>
      </c>
      <c r="G275">
        <v>194034</v>
      </c>
      <c r="H275">
        <f>_xlfn.XLOOKUP(FACT_IMPORTS[[#This Row],[hts_6]],DIM_PRODUCTS[hts_6],DIM_PRODUCTS[hts_4],,,)</f>
        <v>8708</v>
      </c>
      <c r="I275" t="str" cm="1">
        <f t="array" ref="I275">_xlfn.XLOOKUP(FACT_IMPORTS[[#This Row],[country_name]],DIM_COUNTRY[[#All],[Column2]],DIM_COUNTRY[[#All],[Column3]],,,)</f>
        <v>USMCA</v>
      </c>
    </row>
    <row r="276" spans="1:9" x14ac:dyDescent="0.4">
      <c r="A276" t="s">
        <v>61</v>
      </c>
      <c r="B276" s="1">
        <v>45017</v>
      </c>
      <c r="C276">
        <v>870892</v>
      </c>
      <c r="D276" t="s">
        <v>176</v>
      </c>
      <c r="E276">
        <v>19884803</v>
      </c>
      <c r="F276">
        <v>1320669</v>
      </c>
      <c r="G276">
        <v>389263</v>
      </c>
      <c r="H276">
        <f>_xlfn.XLOOKUP(FACT_IMPORTS[[#This Row],[hts_6]],DIM_PRODUCTS[hts_6],DIM_PRODUCTS[hts_4],,,)</f>
        <v>8708</v>
      </c>
      <c r="I276" t="str" cm="1">
        <f t="array" ref="I276">_xlfn.XLOOKUP(FACT_IMPORTS[[#This Row],[country_name]],DIM_COUNTRY[[#All],[Column2]],DIM_COUNTRY[[#All],[Column3]],,,)</f>
        <v>USMCA</v>
      </c>
    </row>
    <row r="277" spans="1:9" x14ac:dyDescent="0.4">
      <c r="A277" t="s">
        <v>61</v>
      </c>
      <c r="B277" s="1">
        <v>45017</v>
      </c>
      <c r="C277">
        <v>870893</v>
      </c>
      <c r="D277" t="s">
        <v>176</v>
      </c>
      <c r="E277">
        <v>38427701</v>
      </c>
      <c r="F277">
        <v>1308866</v>
      </c>
      <c r="G277">
        <v>113625</v>
      </c>
      <c r="H277">
        <f>_xlfn.XLOOKUP(FACT_IMPORTS[[#This Row],[hts_6]],DIM_PRODUCTS[hts_6],DIM_PRODUCTS[hts_4],,,)</f>
        <v>8708</v>
      </c>
      <c r="I277" t="str" cm="1">
        <f t="array" ref="I277">_xlfn.XLOOKUP(FACT_IMPORTS[[#This Row],[country_name]],DIM_COUNTRY[[#All],[Column2]],DIM_COUNTRY[[#All],[Column3]],,,)</f>
        <v>USMCA</v>
      </c>
    </row>
    <row r="278" spans="1:9" x14ac:dyDescent="0.4">
      <c r="A278" t="s">
        <v>61</v>
      </c>
      <c r="B278" s="1">
        <v>45017</v>
      </c>
      <c r="C278">
        <v>870894</v>
      </c>
      <c r="D278" t="s">
        <v>176</v>
      </c>
      <c r="E278">
        <v>10313589</v>
      </c>
      <c r="F278">
        <v>2163129</v>
      </c>
      <c r="G278">
        <v>113053</v>
      </c>
      <c r="H278">
        <f>_xlfn.XLOOKUP(FACT_IMPORTS[[#This Row],[hts_6]],DIM_PRODUCTS[hts_6],DIM_PRODUCTS[hts_4],,,)</f>
        <v>8708</v>
      </c>
      <c r="I278" t="str" cm="1">
        <f t="array" ref="I278">_xlfn.XLOOKUP(FACT_IMPORTS[[#This Row],[country_name]],DIM_COUNTRY[[#All],[Column2]],DIM_COUNTRY[[#All],[Column3]],,,)</f>
        <v>USMCA</v>
      </c>
    </row>
    <row r="279" spans="1:9" x14ac:dyDescent="0.4">
      <c r="A279" t="s">
        <v>61</v>
      </c>
      <c r="B279" s="1">
        <v>45017</v>
      </c>
      <c r="C279">
        <v>870895</v>
      </c>
      <c r="D279" t="s">
        <v>176</v>
      </c>
      <c r="E279">
        <v>2183366</v>
      </c>
      <c r="F279">
        <v>1644143</v>
      </c>
      <c r="G279">
        <v>18551</v>
      </c>
      <c r="H279">
        <f>_xlfn.XLOOKUP(FACT_IMPORTS[[#This Row],[hts_6]],DIM_PRODUCTS[hts_6],DIM_PRODUCTS[hts_4],,,)</f>
        <v>8708</v>
      </c>
      <c r="I279" t="str" cm="1">
        <f t="array" ref="I279">_xlfn.XLOOKUP(FACT_IMPORTS[[#This Row],[country_name]],DIM_COUNTRY[[#All],[Column2]],DIM_COUNTRY[[#All],[Column3]],,,)</f>
        <v>USMCA</v>
      </c>
    </row>
    <row r="280" spans="1:9" x14ac:dyDescent="0.4">
      <c r="A280" t="s">
        <v>61</v>
      </c>
      <c r="B280" s="1">
        <v>45017</v>
      </c>
      <c r="C280">
        <v>870899</v>
      </c>
      <c r="D280" t="s">
        <v>176</v>
      </c>
      <c r="E280">
        <v>171990329</v>
      </c>
      <c r="F280">
        <v>15359996</v>
      </c>
      <c r="G280">
        <v>2037558</v>
      </c>
      <c r="H280">
        <f>_xlfn.XLOOKUP(FACT_IMPORTS[[#This Row],[hts_6]],DIM_PRODUCTS[hts_6],DIM_PRODUCTS[hts_4],,,)</f>
        <v>8708</v>
      </c>
      <c r="I280" t="str" cm="1">
        <f t="array" ref="I280">_xlfn.XLOOKUP(FACT_IMPORTS[[#This Row],[country_name]],DIM_COUNTRY[[#All],[Column2]],DIM_COUNTRY[[#All],[Column3]],,,)</f>
        <v>USMCA</v>
      </c>
    </row>
    <row r="281" spans="1:9" x14ac:dyDescent="0.4">
      <c r="A281" t="s">
        <v>61</v>
      </c>
      <c r="B281" s="1">
        <v>45017</v>
      </c>
      <c r="C281">
        <v>940120</v>
      </c>
      <c r="D281" t="s">
        <v>176</v>
      </c>
      <c r="E281">
        <v>907606</v>
      </c>
      <c r="F281">
        <v>23963</v>
      </c>
      <c r="G281">
        <v>10612</v>
      </c>
      <c r="H281">
        <f>_xlfn.XLOOKUP(FACT_IMPORTS[[#This Row],[hts_6]],DIM_PRODUCTS[hts_6],DIM_PRODUCTS[hts_4],,,)</f>
        <v>9401</v>
      </c>
      <c r="I281" t="str" cm="1">
        <f t="array" ref="I281">_xlfn.XLOOKUP(FACT_IMPORTS[[#This Row],[country_name]],DIM_COUNTRY[[#All],[Column2]],DIM_COUNTRY[[#All],[Column3]],,,)</f>
        <v>USMCA</v>
      </c>
    </row>
    <row r="282" spans="1:9" x14ac:dyDescent="0.4">
      <c r="A282" t="s">
        <v>61</v>
      </c>
      <c r="B282" s="1">
        <v>45047</v>
      </c>
      <c r="C282">
        <v>392630</v>
      </c>
      <c r="D282" t="s">
        <v>176</v>
      </c>
      <c r="E282">
        <v>4233363</v>
      </c>
      <c r="F282">
        <v>438291</v>
      </c>
      <c r="G282">
        <v>188483</v>
      </c>
      <c r="H282">
        <f>_xlfn.XLOOKUP(FACT_IMPORTS[[#This Row],[hts_6]],DIM_PRODUCTS[hts_6],DIM_PRODUCTS[hts_4],,,)</f>
        <v>3926</v>
      </c>
      <c r="I282" t="str" cm="1">
        <f t="array" ref="I282">_xlfn.XLOOKUP(FACT_IMPORTS[[#This Row],[country_name]],DIM_COUNTRY[[#All],[Column2]],DIM_COUNTRY[[#All],[Column3]],,,)</f>
        <v>USMCA</v>
      </c>
    </row>
    <row r="283" spans="1:9" x14ac:dyDescent="0.4">
      <c r="A283" t="s">
        <v>61</v>
      </c>
      <c r="B283" s="1">
        <v>45047</v>
      </c>
      <c r="C283">
        <v>401110</v>
      </c>
      <c r="D283" t="s">
        <v>176</v>
      </c>
      <c r="E283">
        <v>46803497</v>
      </c>
      <c r="F283">
        <v>699491</v>
      </c>
      <c r="G283">
        <v>284793</v>
      </c>
      <c r="H283">
        <f>_xlfn.XLOOKUP(FACT_IMPORTS[[#This Row],[hts_6]],DIM_PRODUCTS[hts_6],DIM_PRODUCTS[hts_4],,,)</f>
        <v>4011</v>
      </c>
      <c r="I283" t="str" cm="1">
        <f t="array" ref="I283">_xlfn.XLOOKUP(FACT_IMPORTS[[#This Row],[country_name]],DIM_COUNTRY[[#All],[Column2]],DIM_COUNTRY[[#All],[Column3]],,,)</f>
        <v>USMCA</v>
      </c>
    </row>
    <row r="284" spans="1:9" x14ac:dyDescent="0.4">
      <c r="A284" t="s">
        <v>61</v>
      </c>
      <c r="B284" s="1">
        <v>45047</v>
      </c>
      <c r="C284">
        <v>401120</v>
      </c>
      <c r="D284" t="s">
        <v>176</v>
      </c>
      <c r="E284">
        <v>47287066</v>
      </c>
      <c r="F284">
        <v>367031</v>
      </c>
      <c r="G284">
        <v>293347</v>
      </c>
      <c r="H284">
        <f>_xlfn.XLOOKUP(FACT_IMPORTS[[#This Row],[hts_6]],DIM_PRODUCTS[hts_6],DIM_PRODUCTS[hts_4],,,)</f>
        <v>4011</v>
      </c>
      <c r="I284" t="str" cm="1">
        <f t="array" ref="I284">_xlfn.XLOOKUP(FACT_IMPORTS[[#This Row],[country_name]],DIM_COUNTRY[[#All],[Column2]],DIM_COUNTRY[[#All],[Column3]],,,)</f>
        <v>USMCA</v>
      </c>
    </row>
    <row r="285" spans="1:9" x14ac:dyDescent="0.4">
      <c r="A285" t="s">
        <v>61</v>
      </c>
      <c r="B285" s="1">
        <v>45047</v>
      </c>
      <c r="C285">
        <v>401140</v>
      </c>
      <c r="D285" t="s">
        <v>176</v>
      </c>
      <c r="E285">
        <v>0</v>
      </c>
      <c r="F285">
        <v>0</v>
      </c>
      <c r="G285">
        <v>0</v>
      </c>
      <c r="H285">
        <f>_xlfn.XLOOKUP(FACT_IMPORTS[[#This Row],[hts_6]],DIM_PRODUCTS[hts_6],DIM_PRODUCTS[hts_4],,,)</f>
        <v>4011</v>
      </c>
      <c r="I285" t="str" cm="1">
        <f t="array" ref="I285">_xlfn.XLOOKUP(FACT_IMPORTS[[#This Row],[country_name]],DIM_COUNTRY[[#All],[Column2]],DIM_COUNTRY[[#All],[Column3]],,,)</f>
        <v>USMCA</v>
      </c>
    </row>
    <row r="286" spans="1:9" x14ac:dyDescent="0.4">
      <c r="A286" t="s">
        <v>61</v>
      </c>
      <c r="B286" s="1">
        <v>45047</v>
      </c>
      <c r="C286">
        <v>401190</v>
      </c>
      <c r="D286" t="s">
        <v>176</v>
      </c>
      <c r="E286">
        <v>307437</v>
      </c>
      <c r="F286">
        <v>385</v>
      </c>
      <c r="G286">
        <v>513</v>
      </c>
      <c r="H286">
        <f>_xlfn.XLOOKUP(FACT_IMPORTS[[#This Row],[hts_6]],DIM_PRODUCTS[hts_6],DIM_PRODUCTS[hts_4],,,)</f>
        <v>4011</v>
      </c>
      <c r="I286" t="str" cm="1">
        <f t="array" ref="I286">_xlfn.XLOOKUP(FACT_IMPORTS[[#This Row],[country_name]],DIM_COUNTRY[[#All],[Column2]],DIM_COUNTRY[[#All],[Column3]],,,)</f>
        <v>USMCA</v>
      </c>
    </row>
    <row r="287" spans="1:9" x14ac:dyDescent="0.4">
      <c r="A287" t="s">
        <v>61</v>
      </c>
      <c r="B287" s="1">
        <v>45047</v>
      </c>
      <c r="C287">
        <v>700711</v>
      </c>
      <c r="D287" t="s">
        <v>176</v>
      </c>
      <c r="E287">
        <v>1225159</v>
      </c>
      <c r="F287">
        <v>2159</v>
      </c>
      <c r="G287">
        <v>4323</v>
      </c>
      <c r="H287">
        <f>_xlfn.XLOOKUP(FACT_IMPORTS[[#This Row],[hts_6]],DIM_PRODUCTS[hts_6],DIM_PRODUCTS[hts_4],,,)</f>
        <v>7007</v>
      </c>
      <c r="I287" t="str" cm="1">
        <f t="array" ref="I287">_xlfn.XLOOKUP(FACT_IMPORTS[[#This Row],[country_name]],DIM_COUNTRY[[#All],[Column2]],DIM_COUNTRY[[#All],[Column3]],,,)</f>
        <v>USMCA</v>
      </c>
    </row>
    <row r="288" spans="1:9" x14ac:dyDescent="0.4">
      <c r="A288" t="s">
        <v>61</v>
      </c>
      <c r="B288" s="1">
        <v>45047</v>
      </c>
      <c r="C288">
        <v>700721</v>
      </c>
      <c r="D288" t="s">
        <v>176</v>
      </c>
      <c r="E288">
        <v>41966</v>
      </c>
      <c r="F288">
        <v>122</v>
      </c>
      <c r="G288">
        <v>3123</v>
      </c>
      <c r="H288">
        <f>_xlfn.XLOOKUP(FACT_IMPORTS[[#This Row],[hts_6]],DIM_PRODUCTS[hts_6],DIM_PRODUCTS[hts_4],,,)</f>
        <v>7007</v>
      </c>
      <c r="I288" t="str" cm="1">
        <f t="array" ref="I288">_xlfn.XLOOKUP(FACT_IMPORTS[[#This Row],[country_name]],DIM_COUNTRY[[#All],[Column2]],DIM_COUNTRY[[#All],[Column3]],,,)</f>
        <v>USMCA</v>
      </c>
    </row>
    <row r="289" spans="1:9" x14ac:dyDescent="0.4">
      <c r="A289" t="s">
        <v>61</v>
      </c>
      <c r="B289" s="1">
        <v>45047</v>
      </c>
      <c r="C289">
        <v>700910</v>
      </c>
      <c r="D289" t="s">
        <v>176</v>
      </c>
      <c r="E289">
        <v>244430</v>
      </c>
      <c r="F289">
        <v>4456</v>
      </c>
      <c r="G289">
        <v>7656</v>
      </c>
      <c r="H289">
        <f>_xlfn.XLOOKUP(FACT_IMPORTS[[#This Row],[hts_6]],DIM_PRODUCTS[hts_6],DIM_PRODUCTS[hts_4],,,)</f>
        <v>7009</v>
      </c>
      <c r="I289" t="str" cm="1">
        <f t="array" ref="I289">_xlfn.XLOOKUP(FACT_IMPORTS[[#This Row],[country_name]],DIM_COUNTRY[[#All],[Column2]],DIM_COUNTRY[[#All],[Column3]],,,)</f>
        <v>USMCA</v>
      </c>
    </row>
    <row r="290" spans="1:9" x14ac:dyDescent="0.4">
      <c r="A290" t="s">
        <v>61</v>
      </c>
      <c r="B290" s="1">
        <v>45047</v>
      </c>
      <c r="C290">
        <v>732010</v>
      </c>
      <c r="D290" t="s">
        <v>176</v>
      </c>
      <c r="E290">
        <v>5137808</v>
      </c>
      <c r="F290">
        <v>1525147</v>
      </c>
      <c r="G290">
        <v>31554</v>
      </c>
      <c r="H290">
        <f>_xlfn.XLOOKUP(FACT_IMPORTS[[#This Row],[hts_6]],DIM_PRODUCTS[hts_6],DIM_PRODUCTS[hts_4],,,)</f>
        <v>7320</v>
      </c>
      <c r="I290" t="str" cm="1">
        <f t="array" ref="I290">_xlfn.XLOOKUP(FACT_IMPORTS[[#This Row],[country_name]],DIM_COUNTRY[[#All],[Column2]],DIM_COUNTRY[[#All],[Column3]],,,)</f>
        <v>USMCA</v>
      </c>
    </row>
    <row r="291" spans="1:9" x14ac:dyDescent="0.4">
      <c r="A291" t="s">
        <v>61</v>
      </c>
      <c r="B291" s="1">
        <v>45047</v>
      </c>
      <c r="C291">
        <v>830230</v>
      </c>
      <c r="D291" t="s">
        <v>176</v>
      </c>
      <c r="E291">
        <v>41093025</v>
      </c>
      <c r="F291">
        <v>8412990</v>
      </c>
      <c r="G291">
        <v>1212750</v>
      </c>
      <c r="H291">
        <f>_xlfn.XLOOKUP(FACT_IMPORTS[[#This Row],[hts_6]],DIM_PRODUCTS[hts_6],DIM_PRODUCTS[hts_4],,,)</f>
        <v>8302</v>
      </c>
      <c r="I291" t="str" cm="1">
        <f t="array" ref="I291">_xlfn.XLOOKUP(FACT_IMPORTS[[#This Row],[country_name]],DIM_COUNTRY[[#All],[Column2]],DIM_COUNTRY[[#All],[Column3]],,,)</f>
        <v>USMCA</v>
      </c>
    </row>
    <row r="292" spans="1:9" x14ac:dyDescent="0.4">
      <c r="A292" t="s">
        <v>61</v>
      </c>
      <c r="B292" s="1">
        <v>45047</v>
      </c>
      <c r="C292">
        <v>840731</v>
      </c>
      <c r="D292" t="s">
        <v>176</v>
      </c>
      <c r="E292">
        <v>39000</v>
      </c>
      <c r="F292">
        <v>3</v>
      </c>
      <c r="G292">
        <v>500</v>
      </c>
      <c r="H292">
        <f>_xlfn.XLOOKUP(FACT_IMPORTS[[#This Row],[hts_6]],DIM_PRODUCTS[hts_6],DIM_PRODUCTS[hts_4],,,)</f>
        <v>8407</v>
      </c>
      <c r="I292" t="str" cm="1">
        <f t="array" ref="I292">_xlfn.XLOOKUP(FACT_IMPORTS[[#This Row],[country_name]],DIM_COUNTRY[[#All],[Column2]],DIM_COUNTRY[[#All],[Column3]],,,)</f>
        <v>USMCA</v>
      </c>
    </row>
    <row r="293" spans="1:9" x14ac:dyDescent="0.4">
      <c r="A293" t="s">
        <v>61</v>
      </c>
      <c r="B293" s="1">
        <v>45047</v>
      </c>
      <c r="C293">
        <v>840733</v>
      </c>
      <c r="D293" t="s">
        <v>176</v>
      </c>
      <c r="E293">
        <v>29400</v>
      </c>
      <c r="F293">
        <v>5</v>
      </c>
      <c r="G293">
        <v>652</v>
      </c>
      <c r="H293">
        <f>_xlfn.XLOOKUP(FACT_IMPORTS[[#This Row],[hts_6]],DIM_PRODUCTS[hts_6],DIM_PRODUCTS[hts_4],,,)</f>
        <v>8407</v>
      </c>
      <c r="I293" t="str" cm="1">
        <f t="array" ref="I293">_xlfn.XLOOKUP(FACT_IMPORTS[[#This Row],[country_name]],DIM_COUNTRY[[#All],[Column2]],DIM_COUNTRY[[#All],[Column3]],,,)</f>
        <v>USMCA</v>
      </c>
    </row>
    <row r="294" spans="1:9" x14ac:dyDescent="0.4">
      <c r="A294" t="s">
        <v>61</v>
      </c>
      <c r="B294" s="1">
        <v>45047</v>
      </c>
      <c r="C294">
        <v>840734</v>
      </c>
      <c r="D294" t="s">
        <v>176</v>
      </c>
      <c r="E294">
        <v>248336459</v>
      </c>
      <c r="F294">
        <v>77432</v>
      </c>
      <c r="G294">
        <v>262058</v>
      </c>
      <c r="H294">
        <f>_xlfn.XLOOKUP(FACT_IMPORTS[[#This Row],[hts_6]],DIM_PRODUCTS[hts_6],DIM_PRODUCTS[hts_4],,,)</f>
        <v>8407</v>
      </c>
      <c r="I294" t="str" cm="1">
        <f t="array" ref="I294">_xlfn.XLOOKUP(FACT_IMPORTS[[#This Row],[country_name]],DIM_COUNTRY[[#All],[Column2]],DIM_COUNTRY[[#All],[Column3]],,,)</f>
        <v>USMCA</v>
      </c>
    </row>
    <row r="295" spans="1:9" x14ac:dyDescent="0.4">
      <c r="A295" t="s">
        <v>61</v>
      </c>
      <c r="B295" s="1">
        <v>45047</v>
      </c>
      <c r="C295">
        <v>840790</v>
      </c>
      <c r="D295" t="s">
        <v>176</v>
      </c>
      <c r="E295">
        <v>6551313</v>
      </c>
      <c r="F295">
        <v>2696</v>
      </c>
      <c r="G295">
        <v>2812</v>
      </c>
      <c r="H295">
        <f>_xlfn.XLOOKUP(FACT_IMPORTS[[#This Row],[hts_6]],DIM_PRODUCTS[hts_6],DIM_PRODUCTS[hts_4],,,)</f>
        <v>8407</v>
      </c>
      <c r="I295" t="str" cm="1">
        <f t="array" ref="I295">_xlfn.XLOOKUP(FACT_IMPORTS[[#This Row],[country_name]],DIM_COUNTRY[[#All],[Column2]],DIM_COUNTRY[[#All],[Column3]],,,)</f>
        <v>USMCA</v>
      </c>
    </row>
    <row r="296" spans="1:9" x14ac:dyDescent="0.4">
      <c r="A296" t="s">
        <v>61</v>
      </c>
      <c r="B296" s="1">
        <v>45047</v>
      </c>
      <c r="C296">
        <v>840820</v>
      </c>
      <c r="D296" t="s">
        <v>176</v>
      </c>
      <c r="E296">
        <v>693320</v>
      </c>
      <c r="F296">
        <v>138</v>
      </c>
      <c r="G296">
        <v>7900</v>
      </c>
      <c r="H296">
        <f>_xlfn.XLOOKUP(FACT_IMPORTS[[#This Row],[hts_6]],DIM_PRODUCTS[hts_6],DIM_PRODUCTS[hts_4],,,)</f>
        <v>8408</v>
      </c>
      <c r="I296" t="str" cm="1">
        <f t="array" ref="I296">_xlfn.XLOOKUP(FACT_IMPORTS[[#This Row],[country_name]],DIM_COUNTRY[[#All],[Column2]],DIM_COUNTRY[[#All],[Column3]],,,)</f>
        <v>USMCA</v>
      </c>
    </row>
    <row r="297" spans="1:9" x14ac:dyDescent="0.4">
      <c r="A297" t="s">
        <v>61</v>
      </c>
      <c r="B297" s="1">
        <v>45047</v>
      </c>
      <c r="C297">
        <v>840890</v>
      </c>
      <c r="D297" t="s">
        <v>176</v>
      </c>
      <c r="E297">
        <v>702554</v>
      </c>
      <c r="F297">
        <v>30</v>
      </c>
      <c r="G297">
        <v>709</v>
      </c>
      <c r="H297">
        <f>_xlfn.XLOOKUP(FACT_IMPORTS[[#This Row],[hts_6]],DIM_PRODUCTS[hts_6],DIM_PRODUCTS[hts_4],,,)</f>
        <v>8408</v>
      </c>
      <c r="I297" t="str" cm="1">
        <f t="array" ref="I297">_xlfn.XLOOKUP(FACT_IMPORTS[[#This Row],[country_name]],DIM_COUNTRY[[#All],[Column2]],DIM_COUNTRY[[#All],[Column3]],,,)</f>
        <v>USMCA</v>
      </c>
    </row>
    <row r="298" spans="1:9" x14ac:dyDescent="0.4">
      <c r="A298" t="s">
        <v>61</v>
      </c>
      <c r="B298" s="1">
        <v>45047</v>
      </c>
      <c r="C298">
        <v>840991</v>
      </c>
      <c r="D298" t="s">
        <v>176</v>
      </c>
      <c r="E298">
        <v>39140495</v>
      </c>
      <c r="F298">
        <v>3369126</v>
      </c>
      <c r="G298">
        <v>183146</v>
      </c>
      <c r="H298">
        <f>_xlfn.XLOOKUP(FACT_IMPORTS[[#This Row],[hts_6]],DIM_PRODUCTS[hts_6],DIM_PRODUCTS[hts_4],,,)</f>
        <v>8409</v>
      </c>
      <c r="I298" t="str" cm="1">
        <f t="array" ref="I298">_xlfn.XLOOKUP(FACT_IMPORTS[[#This Row],[country_name]],DIM_COUNTRY[[#All],[Column2]],DIM_COUNTRY[[#All],[Column3]],,,)</f>
        <v>USMCA</v>
      </c>
    </row>
    <row r="299" spans="1:9" x14ac:dyDescent="0.4">
      <c r="A299" t="s">
        <v>61</v>
      </c>
      <c r="B299" s="1">
        <v>45047</v>
      </c>
      <c r="C299">
        <v>840999</v>
      </c>
      <c r="D299" t="s">
        <v>176</v>
      </c>
      <c r="E299">
        <v>15468009</v>
      </c>
      <c r="F299">
        <v>1459253</v>
      </c>
      <c r="G299">
        <v>104713</v>
      </c>
      <c r="H299">
        <f>_xlfn.XLOOKUP(FACT_IMPORTS[[#This Row],[hts_6]],DIM_PRODUCTS[hts_6],DIM_PRODUCTS[hts_4],,,)</f>
        <v>8409</v>
      </c>
      <c r="I299" t="str" cm="1">
        <f t="array" ref="I299">_xlfn.XLOOKUP(FACT_IMPORTS[[#This Row],[country_name]],DIM_COUNTRY[[#All],[Column2]],DIM_COUNTRY[[#All],[Column3]],,,)</f>
        <v>USMCA</v>
      </c>
    </row>
    <row r="300" spans="1:9" x14ac:dyDescent="0.4">
      <c r="A300" t="s">
        <v>61</v>
      </c>
      <c r="B300" s="1">
        <v>45047</v>
      </c>
      <c r="C300">
        <v>841330</v>
      </c>
      <c r="D300" t="s">
        <v>176</v>
      </c>
      <c r="E300">
        <v>11733915</v>
      </c>
      <c r="F300">
        <v>236232</v>
      </c>
      <c r="G300">
        <v>44606</v>
      </c>
      <c r="H300">
        <f>_xlfn.XLOOKUP(FACT_IMPORTS[[#This Row],[hts_6]],DIM_PRODUCTS[hts_6],DIM_PRODUCTS[hts_4],,,)</f>
        <v>8413</v>
      </c>
      <c r="I300" t="str" cm="1">
        <f t="array" ref="I300">_xlfn.XLOOKUP(FACT_IMPORTS[[#This Row],[country_name]],DIM_COUNTRY[[#All],[Column2]],DIM_COUNTRY[[#All],[Column3]],,,)</f>
        <v>USMCA</v>
      </c>
    </row>
    <row r="301" spans="1:9" x14ac:dyDescent="0.4">
      <c r="A301" t="s">
        <v>61</v>
      </c>
      <c r="B301" s="1">
        <v>45047</v>
      </c>
      <c r="C301">
        <v>841520</v>
      </c>
      <c r="D301" t="s">
        <v>176</v>
      </c>
      <c r="E301">
        <v>4540139</v>
      </c>
      <c r="F301">
        <v>23414</v>
      </c>
      <c r="G301">
        <v>30623</v>
      </c>
      <c r="H301">
        <f>_xlfn.XLOOKUP(FACT_IMPORTS[[#This Row],[hts_6]],DIM_PRODUCTS[hts_6],DIM_PRODUCTS[hts_4],,,)</f>
        <v>8415</v>
      </c>
      <c r="I301" t="str" cm="1">
        <f t="array" ref="I301">_xlfn.XLOOKUP(FACT_IMPORTS[[#This Row],[country_name]],DIM_COUNTRY[[#All],[Column2]],DIM_COUNTRY[[#All],[Column3]],,,)</f>
        <v>USMCA</v>
      </c>
    </row>
    <row r="302" spans="1:9" x14ac:dyDescent="0.4">
      <c r="A302" t="s">
        <v>61</v>
      </c>
      <c r="B302" s="1">
        <v>45047</v>
      </c>
      <c r="C302">
        <v>842132</v>
      </c>
      <c r="D302" t="s">
        <v>176</v>
      </c>
      <c r="E302">
        <v>9103447</v>
      </c>
      <c r="F302">
        <v>52691</v>
      </c>
      <c r="G302">
        <v>32388</v>
      </c>
      <c r="H302">
        <f>_xlfn.XLOOKUP(FACT_IMPORTS[[#This Row],[hts_6]],DIM_PRODUCTS[hts_6],DIM_PRODUCTS[hts_4],,,)</f>
        <v>8421</v>
      </c>
      <c r="I302" t="str" cm="1">
        <f t="array" ref="I302">_xlfn.XLOOKUP(FACT_IMPORTS[[#This Row],[country_name]],DIM_COUNTRY[[#All],[Column2]],DIM_COUNTRY[[#All],[Column3]],,,)</f>
        <v>USMCA</v>
      </c>
    </row>
    <row r="303" spans="1:9" x14ac:dyDescent="0.4">
      <c r="A303" t="s">
        <v>61</v>
      </c>
      <c r="B303" s="1">
        <v>45047</v>
      </c>
      <c r="C303">
        <v>848210</v>
      </c>
      <c r="D303" t="s">
        <v>176</v>
      </c>
      <c r="E303">
        <v>4904529</v>
      </c>
      <c r="F303">
        <v>1481030</v>
      </c>
      <c r="G303">
        <v>76548</v>
      </c>
      <c r="H303">
        <f>_xlfn.XLOOKUP(FACT_IMPORTS[[#This Row],[hts_6]],DIM_PRODUCTS[hts_6],DIM_PRODUCTS[hts_4],,,)</f>
        <v>8482</v>
      </c>
      <c r="I303" t="str" cm="1">
        <f t="array" ref="I303">_xlfn.XLOOKUP(FACT_IMPORTS[[#This Row],[country_name]],DIM_COUNTRY[[#All],[Column2]],DIM_COUNTRY[[#All],[Column3]],,,)</f>
        <v>USMCA</v>
      </c>
    </row>
    <row r="304" spans="1:9" x14ac:dyDescent="0.4">
      <c r="A304" t="s">
        <v>61</v>
      </c>
      <c r="B304" s="1">
        <v>45047</v>
      </c>
      <c r="C304">
        <v>848220</v>
      </c>
      <c r="D304" t="s">
        <v>176</v>
      </c>
      <c r="E304">
        <v>1447581</v>
      </c>
      <c r="F304">
        <v>29622</v>
      </c>
      <c r="G304">
        <v>8228</v>
      </c>
      <c r="H304">
        <f>_xlfn.XLOOKUP(FACT_IMPORTS[[#This Row],[hts_6]],DIM_PRODUCTS[hts_6],DIM_PRODUCTS[hts_4],,,)</f>
        <v>8482</v>
      </c>
      <c r="I304" t="str" cm="1">
        <f t="array" ref="I304">_xlfn.XLOOKUP(FACT_IMPORTS[[#This Row],[country_name]],DIM_COUNTRY[[#All],[Column2]],DIM_COUNTRY[[#All],[Column3]],,,)</f>
        <v>USMCA</v>
      </c>
    </row>
    <row r="305" spans="1:9" x14ac:dyDescent="0.4">
      <c r="A305" t="s">
        <v>61</v>
      </c>
      <c r="B305" s="1">
        <v>45047</v>
      </c>
      <c r="C305">
        <v>848310</v>
      </c>
      <c r="D305" t="s">
        <v>176</v>
      </c>
      <c r="E305">
        <v>20216949</v>
      </c>
      <c r="F305">
        <v>607994</v>
      </c>
      <c r="G305">
        <v>306879</v>
      </c>
      <c r="H305">
        <f>_xlfn.XLOOKUP(FACT_IMPORTS[[#This Row],[hts_6]],DIM_PRODUCTS[hts_6],DIM_PRODUCTS[hts_4],,,)</f>
        <v>8483</v>
      </c>
      <c r="I305" t="str" cm="1">
        <f t="array" ref="I305">_xlfn.XLOOKUP(FACT_IMPORTS[[#This Row],[country_name]],DIM_COUNTRY[[#All],[Column2]],DIM_COUNTRY[[#All],[Column3]],,,)</f>
        <v>USMCA</v>
      </c>
    </row>
    <row r="306" spans="1:9" x14ac:dyDescent="0.4">
      <c r="A306" t="s">
        <v>61</v>
      </c>
      <c r="B306" s="1">
        <v>45047</v>
      </c>
      <c r="C306">
        <v>850131</v>
      </c>
      <c r="D306" t="s">
        <v>176</v>
      </c>
      <c r="E306">
        <v>5091745</v>
      </c>
      <c r="F306">
        <v>116364</v>
      </c>
      <c r="G306">
        <v>50481</v>
      </c>
      <c r="H306">
        <f>_xlfn.XLOOKUP(FACT_IMPORTS[[#This Row],[hts_6]],DIM_PRODUCTS[hts_6],DIM_PRODUCTS[hts_4],,,)</f>
        <v>8501</v>
      </c>
      <c r="I306" t="str" cm="1">
        <f t="array" ref="I306">_xlfn.XLOOKUP(FACT_IMPORTS[[#This Row],[country_name]],DIM_COUNTRY[[#All],[Column2]],DIM_COUNTRY[[#All],[Column3]],,,)</f>
        <v>USMCA</v>
      </c>
    </row>
    <row r="307" spans="1:9" x14ac:dyDescent="0.4">
      <c r="A307" t="s">
        <v>61</v>
      </c>
      <c r="B307" s="1">
        <v>45047</v>
      </c>
      <c r="C307">
        <v>850132</v>
      </c>
      <c r="D307" t="s">
        <v>176</v>
      </c>
      <c r="E307">
        <v>227564</v>
      </c>
      <c r="F307">
        <v>57</v>
      </c>
      <c r="G307">
        <v>2725</v>
      </c>
      <c r="H307">
        <f>_xlfn.XLOOKUP(FACT_IMPORTS[[#This Row],[hts_6]],DIM_PRODUCTS[hts_6],DIM_PRODUCTS[hts_4],,,)</f>
        <v>8501</v>
      </c>
      <c r="I307" t="str" cm="1">
        <f t="array" ref="I307">_xlfn.XLOOKUP(FACT_IMPORTS[[#This Row],[country_name]],DIM_COUNTRY[[#All],[Column2]],DIM_COUNTRY[[#All],[Column3]],,,)</f>
        <v>USMCA</v>
      </c>
    </row>
    <row r="308" spans="1:9" x14ac:dyDescent="0.4">
      <c r="A308" t="s">
        <v>61</v>
      </c>
      <c r="B308" s="1">
        <v>45047</v>
      </c>
      <c r="C308">
        <v>850133</v>
      </c>
      <c r="D308" t="s">
        <v>176</v>
      </c>
      <c r="E308">
        <v>5230</v>
      </c>
      <c r="F308">
        <v>6</v>
      </c>
      <c r="G308">
        <v>350</v>
      </c>
      <c r="H308">
        <f>_xlfn.XLOOKUP(FACT_IMPORTS[[#This Row],[hts_6]],DIM_PRODUCTS[hts_6],DIM_PRODUCTS[hts_4],,,)</f>
        <v>8501</v>
      </c>
      <c r="I308" t="str" cm="1">
        <f t="array" ref="I308">_xlfn.XLOOKUP(FACT_IMPORTS[[#This Row],[country_name]],DIM_COUNTRY[[#All],[Column2]],DIM_COUNTRY[[#All],[Column3]],,,)</f>
        <v>USMCA</v>
      </c>
    </row>
    <row r="309" spans="1:9" x14ac:dyDescent="0.4">
      <c r="A309" t="s">
        <v>61</v>
      </c>
      <c r="B309" s="1">
        <v>45047</v>
      </c>
      <c r="C309">
        <v>850134</v>
      </c>
      <c r="D309" t="s">
        <v>176</v>
      </c>
      <c r="E309">
        <v>34500</v>
      </c>
      <c r="F309">
        <v>5</v>
      </c>
      <c r="G309">
        <v>445</v>
      </c>
      <c r="H309">
        <f>_xlfn.XLOOKUP(FACT_IMPORTS[[#This Row],[hts_6]],DIM_PRODUCTS[hts_6],DIM_PRODUCTS[hts_4],,,)</f>
        <v>8501</v>
      </c>
      <c r="I309" t="str" cm="1">
        <f t="array" ref="I309">_xlfn.XLOOKUP(FACT_IMPORTS[[#This Row],[country_name]],DIM_COUNTRY[[#All],[Column2]],DIM_COUNTRY[[#All],[Column3]],,,)</f>
        <v>USMCA</v>
      </c>
    </row>
    <row r="310" spans="1:9" x14ac:dyDescent="0.4">
      <c r="A310" t="s">
        <v>61</v>
      </c>
      <c r="B310" s="1">
        <v>45047</v>
      </c>
      <c r="C310">
        <v>850152</v>
      </c>
      <c r="D310" t="s">
        <v>176</v>
      </c>
      <c r="E310">
        <v>778338</v>
      </c>
      <c r="F310">
        <v>319</v>
      </c>
      <c r="G310">
        <v>10358</v>
      </c>
      <c r="H310">
        <f>_xlfn.XLOOKUP(FACT_IMPORTS[[#This Row],[hts_6]],DIM_PRODUCTS[hts_6],DIM_PRODUCTS[hts_4],,,)</f>
        <v>8501</v>
      </c>
      <c r="I310" t="str" cm="1">
        <f t="array" ref="I310">_xlfn.XLOOKUP(FACT_IMPORTS[[#This Row],[country_name]],DIM_COUNTRY[[#All],[Column2]],DIM_COUNTRY[[#All],[Column3]],,,)</f>
        <v>USMCA</v>
      </c>
    </row>
    <row r="311" spans="1:9" x14ac:dyDescent="0.4">
      <c r="A311" t="s">
        <v>61</v>
      </c>
      <c r="B311" s="1">
        <v>45047</v>
      </c>
      <c r="C311">
        <v>850153</v>
      </c>
      <c r="D311" t="s">
        <v>176</v>
      </c>
      <c r="E311">
        <v>135710</v>
      </c>
      <c r="F311">
        <v>15</v>
      </c>
      <c r="G311">
        <v>9977</v>
      </c>
      <c r="H311">
        <f>_xlfn.XLOOKUP(FACT_IMPORTS[[#This Row],[hts_6]],DIM_PRODUCTS[hts_6],DIM_PRODUCTS[hts_4],,,)</f>
        <v>8501</v>
      </c>
      <c r="I311" t="str" cm="1">
        <f t="array" ref="I311">_xlfn.XLOOKUP(FACT_IMPORTS[[#This Row],[country_name]],DIM_COUNTRY[[#All],[Column2]],DIM_COUNTRY[[#All],[Column3]],,,)</f>
        <v>USMCA</v>
      </c>
    </row>
    <row r="312" spans="1:9" x14ac:dyDescent="0.4">
      <c r="A312" t="s">
        <v>61</v>
      </c>
      <c r="B312" s="1">
        <v>45047</v>
      </c>
      <c r="C312">
        <v>850161</v>
      </c>
      <c r="D312" t="s">
        <v>176</v>
      </c>
      <c r="E312">
        <v>15254</v>
      </c>
      <c r="F312">
        <v>2</v>
      </c>
      <c r="G312">
        <v>2</v>
      </c>
      <c r="H312">
        <f>_xlfn.XLOOKUP(FACT_IMPORTS[[#This Row],[hts_6]],DIM_PRODUCTS[hts_6],DIM_PRODUCTS[hts_4],,,)</f>
        <v>8501</v>
      </c>
      <c r="I312" t="str" cm="1">
        <f t="array" ref="I312">_xlfn.XLOOKUP(FACT_IMPORTS[[#This Row],[country_name]],DIM_COUNTRY[[#All],[Column2]],DIM_COUNTRY[[#All],[Column3]],,,)</f>
        <v>USMCA</v>
      </c>
    </row>
    <row r="313" spans="1:9" x14ac:dyDescent="0.4">
      <c r="A313" t="s">
        <v>61</v>
      </c>
      <c r="B313" s="1">
        <v>45047</v>
      </c>
      <c r="C313">
        <v>850440</v>
      </c>
      <c r="D313" t="s">
        <v>176</v>
      </c>
      <c r="E313">
        <v>4419578</v>
      </c>
      <c r="F313">
        <v>45057</v>
      </c>
      <c r="G313">
        <v>58146</v>
      </c>
      <c r="H313">
        <f>_xlfn.XLOOKUP(FACT_IMPORTS[[#This Row],[hts_6]],DIM_PRODUCTS[hts_6],DIM_PRODUCTS[hts_4],,,)</f>
        <v>8504</v>
      </c>
      <c r="I313" t="str" cm="1">
        <f t="array" ref="I313">_xlfn.XLOOKUP(FACT_IMPORTS[[#This Row],[country_name]],DIM_COUNTRY[[#All],[Column2]],DIM_COUNTRY[[#All],[Column3]],,,)</f>
        <v>USMCA</v>
      </c>
    </row>
    <row r="314" spans="1:9" x14ac:dyDescent="0.4">
      <c r="A314" t="s">
        <v>61</v>
      </c>
      <c r="B314" s="1">
        <v>45047</v>
      </c>
      <c r="C314">
        <v>850710</v>
      </c>
      <c r="D314" t="s">
        <v>176</v>
      </c>
      <c r="E314">
        <v>589797</v>
      </c>
      <c r="F314">
        <v>755</v>
      </c>
      <c r="G314">
        <v>37730</v>
      </c>
      <c r="H314">
        <f>_xlfn.XLOOKUP(FACT_IMPORTS[[#This Row],[hts_6]],DIM_PRODUCTS[hts_6],DIM_PRODUCTS[hts_4],,,)</f>
        <v>8507</v>
      </c>
      <c r="I314" t="str" cm="1">
        <f t="array" ref="I314">_xlfn.XLOOKUP(FACT_IMPORTS[[#This Row],[country_name]],DIM_COUNTRY[[#All],[Column2]],DIM_COUNTRY[[#All],[Column3]],,,)</f>
        <v>USMCA</v>
      </c>
    </row>
    <row r="315" spans="1:9" x14ac:dyDescent="0.4">
      <c r="A315" t="s">
        <v>61</v>
      </c>
      <c r="B315" s="1">
        <v>45047</v>
      </c>
      <c r="C315">
        <v>850760</v>
      </c>
      <c r="D315" t="s">
        <v>176</v>
      </c>
      <c r="E315">
        <v>4719054</v>
      </c>
      <c r="F315">
        <v>288</v>
      </c>
      <c r="G315">
        <v>8912</v>
      </c>
      <c r="H315">
        <f>_xlfn.XLOOKUP(FACT_IMPORTS[[#This Row],[hts_6]],DIM_PRODUCTS[hts_6],DIM_PRODUCTS[hts_4],,,)</f>
        <v>8507</v>
      </c>
      <c r="I315" t="str" cm="1">
        <f t="array" ref="I315">_xlfn.XLOOKUP(FACT_IMPORTS[[#This Row],[country_name]],DIM_COUNTRY[[#All],[Column2]],DIM_COUNTRY[[#All],[Column3]],,,)</f>
        <v>USMCA</v>
      </c>
    </row>
    <row r="316" spans="1:9" x14ac:dyDescent="0.4">
      <c r="A316" t="s">
        <v>61</v>
      </c>
      <c r="B316" s="1">
        <v>45047</v>
      </c>
      <c r="C316">
        <v>850790</v>
      </c>
      <c r="D316" t="s">
        <v>176</v>
      </c>
      <c r="E316">
        <v>98321</v>
      </c>
      <c r="F316">
        <v>6700</v>
      </c>
      <c r="G316">
        <v>1021</v>
      </c>
      <c r="H316">
        <f>_xlfn.XLOOKUP(FACT_IMPORTS[[#This Row],[hts_6]],DIM_PRODUCTS[hts_6],DIM_PRODUCTS[hts_4],,,)</f>
        <v>8507</v>
      </c>
      <c r="I316" t="str" cm="1">
        <f t="array" ref="I316">_xlfn.XLOOKUP(FACT_IMPORTS[[#This Row],[country_name]],DIM_COUNTRY[[#All],[Column2]],DIM_COUNTRY[[#All],[Column3]],,,)</f>
        <v>USMCA</v>
      </c>
    </row>
    <row r="317" spans="1:9" x14ac:dyDescent="0.4">
      <c r="A317" t="s">
        <v>61</v>
      </c>
      <c r="B317" s="1">
        <v>45047</v>
      </c>
      <c r="C317">
        <v>851110</v>
      </c>
      <c r="D317" t="s">
        <v>176</v>
      </c>
      <c r="E317">
        <v>0</v>
      </c>
      <c r="F317">
        <v>0</v>
      </c>
      <c r="G317">
        <v>0</v>
      </c>
      <c r="H317">
        <f>_xlfn.XLOOKUP(FACT_IMPORTS[[#This Row],[hts_6]],DIM_PRODUCTS[hts_6],DIM_PRODUCTS[hts_4],,,)</f>
        <v>8511</v>
      </c>
      <c r="I317" t="str" cm="1">
        <f t="array" ref="I317">_xlfn.XLOOKUP(FACT_IMPORTS[[#This Row],[country_name]],DIM_COUNTRY[[#All],[Column2]],DIM_COUNTRY[[#All],[Column3]],,,)</f>
        <v>USMCA</v>
      </c>
    </row>
    <row r="318" spans="1:9" x14ac:dyDescent="0.4">
      <c r="A318" t="s">
        <v>61</v>
      </c>
      <c r="B318" s="1">
        <v>45047</v>
      </c>
      <c r="C318">
        <v>851120</v>
      </c>
      <c r="D318" t="s">
        <v>176</v>
      </c>
      <c r="E318">
        <v>0</v>
      </c>
      <c r="F318">
        <v>0</v>
      </c>
      <c r="G318">
        <v>0</v>
      </c>
      <c r="H318">
        <f>_xlfn.XLOOKUP(FACT_IMPORTS[[#This Row],[hts_6]],DIM_PRODUCTS[hts_6],DIM_PRODUCTS[hts_4],,,)</f>
        <v>8511</v>
      </c>
      <c r="I318" t="str" cm="1">
        <f t="array" ref="I318">_xlfn.XLOOKUP(FACT_IMPORTS[[#This Row],[country_name]],DIM_COUNTRY[[#All],[Column2]],DIM_COUNTRY[[#All],[Column3]],,,)</f>
        <v>USMCA</v>
      </c>
    </row>
    <row r="319" spans="1:9" x14ac:dyDescent="0.4">
      <c r="A319" t="s">
        <v>61</v>
      </c>
      <c r="B319" s="1">
        <v>45047</v>
      </c>
      <c r="C319">
        <v>851130</v>
      </c>
      <c r="D319" t="s">
        <v>176</v>
      </c>
      <c r="E319">
        <v>7641</v>
      </c>
      <c r="F319">
        <v>5133</v>
      </c>
      <c r="G319">
        <v>72</v>
      </c>
      <c r="H319">
        <f>_xlfn.XLOOKUP(FACT_IMPORTS[[#This Row],[hts_6]],DIM_PRODUCTS[hts_6],DIM_PRODUCTS[hts_4],,,)</f>
        <v>8511</v>
      </c>
      <c r="I319" t="str" cm="1">
        <f t="array" ref="I319">_xlfn.XLOOKUP(FACT_IMPORTS[[#This Row],[country_name]],DIM_COUNTRY[[#All],[Column2]],DIM_COUNTRY[[#All],[Column3]],,,)</f>
        <v>USMCA</v>
      </c>
    </row>
    <row r="320" spans="1:9" x14ac:dyDescent="0.4">
      <c r="A320" t="s">
        <v>61</v>
      </c>
      <c r="B320" s="1">
        <v>45047</v>
      </c>
      <c r="C320">
        <v>851140</v>
      </c>
      <c r="D320" t="s">
        <v>176</v>
      </c>
      <c r="E320">
        <v>258887</v>
      </c>
      <c r="F320">
        <v>5364</v>
      </c>
      <c r="G320">
        <v>1174</v>
      </c>
      <c r="H320">
        <f>_xlfn.XLOOKUP(FACT_IMPORTS[[#This Row],[hts_6]],DIM_PRODUCTS[hts_6],DIM_PRODUCTS[hts_4],,,)</f>
        <v>8511</v>
      </c>
      <c r="I320" t="str" cm="1">
        <f t="array" ref="I320">_xlfn.XLOOKUP(FACT_IMPORTS[[#This Row],[country_name]],DIM_COUNTRY[[#All],[Column2]],DIM_COUNTRY[[#All],[Column3]],,,)</f>
        <v>USMCA</v>
      </c>
    </row>
    <row r="321" spans="1:9" x14ac:dyDescent="0.4">
      <c r="A321" t="s">
        <v>61</v>
      </c>
      <c r="B321" s="1">
        <v>45047</v>
      </c>
      <c r="C321">
        <v>851150</v>
      </c>
      <c r="D321" t="s">
        <v>176</v>
      </c>
      <c r="E321">
        <v>461467</v>
      </c>
      <c r="F321">
        <v>5838</v>
      </c>
      <c r="G321">
        <v>2126</v>
      </c>
      <c r="H321">
        <f>_xlfn.XLOOKUP(FACT_IMPORTS[[#This Row],[hts_6]],DIM_PRODUCTS[hts_6],DIM_PRODUCTS[hts_4],,,)</f>
        <v>8511</v>
      </c>
      <c r="I321" t="str" cm="1">
        <f t="array" ref="I321">_xlfn.XLOOKUP(FACT_IMPORTS[[#This Row],[country_name]],DIM_COUNTRY[[#All],[Column2]],DIM_COUNTRY[[#All],[Column3]],,,)</f>
        <v>USMCA</v>
      </c>
    </row>
    <row r="322" spans="1:9" x14ac:dyDescent="0.4">
      <c r="A322" t="s">
        <v>61</v>
      </c>
      <c r="B322" s="1">
        <v>45047</v>
      </c>
      <c r="C322">
        <v>851180</v>
      </c>
      <c r="D322" t="s">
        <v>176</v>
      </c>
      <c r="E322">
        <v>3060</v>
      </c>
      <c r="F322">
        <v>1</v>
      </c>
      <c r="G322">
        <v>150</v>
      </c>
      <c r="H322">
        <f>_xlfn.XLOOKUP(FACT_IMPORTS[[#This Row],[hts_6]],DIM_PRODUCTS[hts_6],DIM_PRODUCTS[hts_4],,,)</f>
        <v>8511</v>
      </c>
      <c r="I322" t="str" cm="1">
        <f t="array" ref="I322">_xlfn.XLOOKUP(FACT_IMPORTS[[#This Row],[country_name]],DIM_COUNTRY[[#All],[Column2]],DIM_COUNTRY[[#All],[Column3]],,,)</f>
        <v>USMCA</v>
      </c>
    </row>
    <row r="323" spans="1:9" x14ac:dyDescent="0.4">
      <c r="A323" t="s">
        <v>61</v>
      </c>
      <c r="B323" s="1">
        <v>45047</v>
      </c>
      <c r="C323">
        <v>851190</v>
      </c>
      <c r="D323" t="s">
        <v>176</v>
      </c>
      <c r="E323">
        <v>3552981</v>
      </c>
      <c r="F323">
        <v>41643</v>
      </c>
      <c r="G323">
        <v>20183</v>
      </c>
      <c r="H323">
        <f>_xlfn.XLOOKUP(FACT_IMPORTS[[#This Row],[hts_6]],DIM_PRODUCTS[hts_6],DIM_PRODUCTS[hts_4],,,)</f>
        <v>8511</v>
      </c>
      <c r="I323" t="str" cm="1">
        <f t="array" ref="I323">_xlfn.XLOOKUP(FACT_IMPORTS[[#This Row],[country_name]],DIM_COUNTRY[[#All],[Column2]],DIM_COUNTRY[[#All],[Column3]],,,)</f>
        <v>USMCA</v>
      </c>
    </row>
    <row r="324" spans="1:9" x14ac:dyDescent="0.4">
      <c r="A324" t="s">
        <v>61</v>
      </c>
      <c r="B324" s="1">
        <v>45047</v>
      </c>
      <c r="C324">
        <v>851220</v>
      </c>
      <c r="D324" t="s">
        <v>176</v>
      </c>
      <c r="E324">
        <v>26066883</v>
      </c>
      <c r="F324">
        <v>3020246</v>
      </c>
      <c r="G324">
        <v>102926</v>
      </c>
      <c r="H324">
        <f>_xlfn.XLOOKUP(FACT_IMPORTS[[#This Row],[hts_6]],DIM_PRODUCTS[hts_6],DIM_PRODUCTS[hts_4],,,)</f>
        <v>8512</v>
      </c>
      <c r="I324" t="str" cm="1">
        <f t="array" ref="I324">_xlfn.XLOOKUP(FACT_IMPORTS[[#This Row],[country_name]],DIM_COUNTRY[[#All],[Column2]],DIM_COUNTRY[[#All],[Column3]],,,)</f>
        <v>USMCA</v>
      </c>
    </row>
    <row r="325" spans="1:9" x14ac:dyDescent="0.4">
      <c r="A325" t="s">
        <v>61</v>
      </c>
      <c r="B325" s="1">
        <v>45047</v>
      </c>
      <c r="C325">
        <v>851230</v>
      </c>
      <c r="D325" t="s">
        <v>176</v>
      </c>
      <c r="E325">
        <v>44033</v>
      </c>
      <c r="F325">
        <v>1272</v>
      </c>
      <c r="G325">
        <v>1042</v>
      </c>
      <c r="H325">
        <f>_xlfn.XLOOKUP(FACT_IMPORTS[[#This Row],[hts_6]],DIM_PRODUCTS[hts_6],DIM_PRODUCTS[hts_4],,,)</f>
        <v>8512</v>
      </c>
      <c r="I325" t="str" cm="1">
        <f t="array" ref="I325">_xlfn.XLOOKUP(FACT_IMPORTS[[#This Row],[country_name]],DIM_COUNTRY[[#All],[Column2]],DIM_COUNTRY[[#All],[Column3]],,,)</f>
        <v>USMCA</v>
      </c>
    </row>
    <row r="326" spans="1:9" x14ac:dyDescent="0.4">
      <c r="A326" t="s">
        <v>61</v>
      </c>
      <c r="B326" s="1">
        <v>45047</v>
      </c>
      <c r="C326">
        <v>851240</v>
      </c>
      <c r="D326" t="s">
        <v>176</v>
      </c>
      <c r="E326">
        <v>0</v>
      </c>
      <c r="F326">
        <v>0</v>
      </c>
      <c r="G326">
        <v>0</v>
      </c>
      <c r="H326">
        <f>_xlfn.XLOOKUP(FACT_IMPORTS[[#This Row],[hts_6]],DIM_PRODUCTS[hts_6],DIM_PRODUCTS[hts_4],,,)</f>
        <v>8512</v>
      </c>
      <c r="I326" t="str" cm="1">
        <f t="array" ref="I326">_xlfn.XLOOKUP(FACT_IMPORTS[[#This Row],[country_name]],DIM_COUNTRY[[#All],[Column2]],DIM_COUNTRY[[#All],[Column3]],,,)</f>
        <v>USMCA</v>
      </c>
    </row>
    <row r="327" spans="1:9" x14ac:dyDescent="0.4">
      <c r="A327" t="s">
        <v>61</v>
      </c>
      <c r="B327" s="1">
        <v>45047</v>
      </c>
      <c r="C327">
        <v>851290</v>
      </c>
      <c r="D327" t="s">
        <v>176</v>
      </c>
      <c r="E327">
        <v>2924709</v>
      </c>
      <c r="F327">
        <v>65324</v>
      </c>
      <c r="G327">
        <v>48772</v>
      </c>
      <c r="H327">
        <f>_xlfn.XLOOKUP(FACT_IMPORTS[[#This Row],[hts_6]],DIM_PRODUCTS[hts_6],DIM_PRODUCTS[hts_4],,,)</f>
        <v>8512</v>
      </c>
      <c r="I327" t="str" cm="1">
        <f t="array" ref="I327">_xlfn.XLOOKUP(FACT_IMPORTS[[#This Row],[country_name]],DIM_COUNTRY[[#All],[Column2]],DIM_COUNTRY[[#All],[Column3]],,,)</f>
        <v>USMCA</v>
      </c>
    </row>
    <row r="328" spans="1:9" x14ac:dyDescent="0.4">
      <c r="A328" t="s">
        <v>61</v>
      </c>
      <c r="B328" s="1">
        <v>45047</v>
      </c>
      <c r="C328">
        <v>854231</v>
      </c>
      <c r="D328" t="s">
        <v>176</v>
      </c>
      <c r="E328">
        <v>66970</v>
      </c>
      <c r="F328">
        <v>1160</v>
      </c>
      <c r="G328">
        <v>709</v>
      </c>
      <c r="H328">
        <f>_xlfn.XLOOKUP(FACT_IMPORTS[[#This Row],[hts_6]],DIM_PRODUCTS[hts_6],DIM_PRODUCTS[hts_4],,,)</f>
        <v>8542</v>
      </c>
      <c r="I328" t="str" cm="1">
        <f t="array" ref="I328">_xlfn.XLOOKUP(FACT_IMPORTS[[#This Row],[country_name]],DIM_COUNTRY[[#All],[Column2]],DIM_COUNTRY[[#All],[Column3]],,,)</f>
        <v>USMCA</v>
      </c>
    </row>
    <row r="329" spans="1:9" x14ac:dyDescent="0.4">
      <c r="A329" t="s">
        <v>61</v>
      </c>
      <c r="B329" s="1">
        <v>45047</v>
      </c>
      <c r="C329">
        <v>854232</v>
      </c>
      <c r="D329" t="s">
        <v>176</v>
      </c>
      <c r="E329">
        <v>10207</v>
      </c>
      <c r="F329">
        <v>3724</v>
      </c>
      <c r="G329">
        <v>76</v>
      </c>
      <c r="H329">
        <f>_xlfn.XLOOKUP(FACT_IMPORTS[[#This Row],[hts_6]],DIM_PRODUCTS[hts_6],DIM_PRODUCTS[hts_4],,,)</f>
        <v>8542</v>
      </c>
      <c r="I329" t="str" cm="1">
        <f t="array" ref="I329">_xlfn.XLOOKUP(FACT_IMPORTS[[#This Row],[country_name]],DIM_COUNTRY[[#All],[Column2]],DIM_COUNTRY[[#All],[Column3]],,,)</f>
        <v>USMCA</v>
      </c>
    </row>
    <row r="330" spans="1:9" x14ac:dyDescent="0.4">
      <c r="A330" t="s">
        <v>61</v>
      </c>
      <c r="B330" s="1">
        <v>45047</v>
      </c>
      <c r="C330">
        <v>854233</v>
      </c>
      <c r="D330" t="s">
        <v>176</v>
      </c>
      <c r="E330">
        <v>0</v>
      </c>
      <c r="F330">
        <v>0</v>
      </c>
      <c r="G330">
        <v>0</v>
      </c>
      <c r="H330">
        <f>_xlfn.XLOOKUP(FACT_IMPORTS[[#This Row],[hts_6]],DIM_PRODUCTS[hts_6],DIM_PRODUCTS[hts_4],,,)</f>
        <v>8542</v>
      </c>
      <c r="I330" t="str" cm="1">
        <f t="array" ref="I330">_xlfn.XLOOKUP(FACT_IMPORTS[[#This Row],[country_name]],DIM_COUNTRY[[#All],[Column2]],DIM_COUNTRY[[#All],[Column3]],,,)</f>
        <v>USMCA</v>
      </c>
    </row>
    <row r="331" spans="1:9" x14ac:dyDescent="0.4">
      <c r="A331" t="s">
        <v>61</v>
      </c>
      <c r="B331" s="1">
        <v>45047</v>
      </c>
      <c r="C331">
        <v>854239</v>
      </c>
      <c r="D331" t="s">
        <v>176</v>
      </c>
      <c r="E331">
        <v>16879</v>
      </c>
      <c r="F331">
        <v>5</v>
      </c>
      <c r="G331">
        <v>64</v>
      </c>
      <c r="H331">
        <f>_xlfn.XLOOKUP(FACT_IMPORTS[[#This Row],[hts_6]],DIM_PRODUCTS[hts_6],DIM_PRODUCTS[hts_4],,,)</f>
        <v>8542</v>
      </c>
      <c r="I331" t="str" cm="1">
        <f t="array" ref="I331">_xlfn.XLOOKUP(FACT_IMPORTS[[#This Row],[country_name]],DIM_COUNTRY[[#All],[Column2]],DIM_COUNTRY[[#All],[Column3]],,,)</f>
        <v>USMCA</v>
      </c>
    </row>
    <row r="332" spans="1:9" x14ac:dyDescent="0.4">
      <c r="A332" t="s">
        <v>61</v>
      </c>
      <c r="B332" s="1">
        <v>45047</v>
      </c>
      <c r="C332">
        <v>854290</v>
      </c>
      <c r="D332" t="s">
        <v>176</v>
      </c>
      <c r="E332">
        <v>0</v>
      </c>
      <c r="F332">
        <v>0</v>
      </c>
      <c r="G332">
        <v>0</v>
      </c>
      <c r="H332">
        <f>_xlfn.XLOOKUP(FACT_IMPORTS[[#This Row],[hts_6]],DIM_PRODUCTS[hts_6],DIM_PRODUCTS[hts_4],,,)</f>
        <v>8542</v>
      </c>
      <c r="I332" t="str" cm="1">
        <f t="array" ref="I332">_xlfn.XLOOKUP(FACT_IMPORTS[[#This Row],[country_name]],DIM_COUNTRY[[#All],[Column2]],DIM_COUNTRY[[#All],[Column3]],,,)</f>
        <v>USMCA</v>
      </c>
    </row>
    <row r="333" spans="1:9" x14ac:dyDescent="0.4">
      <c r="A333" t="s">
        <v>61</v>
      </c>
      <c r="B333" s="1">
        <v>45047</v>
      </c>
      <c r="C333">
        <v>854430</v>
      </c>
      <c r="D333" t="s">
        <v>176</v>
      </c>
      <c r="E333">
        <v>1456994</v>
      </c>
      <c r="F333">
        <v>23079</v>
      </c>
      <c r="G333">
        <v>7748</v>
      </c>
      <c r="H333">
        <f>_xlfn.XLOOKUP(FACT_IMPORTS[[#This Row],[hts_6]],DIM_PRODUCTS[hts_6],DIM_PRODUCTS[hts_4],,,)</f>
        <v>8544</v>
      </c>
      <c r="I333" t="str" cm="1">
        <f t="array" ref="I333">_xlfn.XLOOKUP(FACT_IMPORTS[[#This Row],[country_name]],DIM_COUNTRY[[#All],[Column2]],DIM_COUNTRY[[#All],[Column3]],,,)</f>
        <v>USMCA</v>
      </c>
    </row>
    <row r="334" spans="1:9" x14ac:dyDescent="0.4">
      <c r="A334" t="s">
        <v>61</v>
      </c>
      <c r="B334" s="1">
        <v>45047</v>
      </c>
      <c r="C334">
        <v>870710</v>
      </c>
      <c r="D334" t="s">
        <v>176</v>
      </c>
      <c r="E334">
        <v>25826</v>
      </c>
      <c r="F334">
        <v>6</v>
      </c>
      <c r="G334">
        <v>850</v>
      </c>
      <c r="H334">
        <f>_xlfn.XLOOKUP(FACT_IMPORTS[[#This Row],[hts_6]],DIM_PRODUCTS[hts_6],DIM_PRODUCTS[hts_4],,,)</f>
        <v>8707</v>
      </c>
      <c r="I334" t="str" cm="1">
        <f t="array" ref="I334">_xlfn.XLOOKUP(FACT_IMPORTS[[#This Row],[country_name]],DIM_COUNTRY[[#All],[Column2]],DIM_COUNTRY[[#All],[Column3]],,,)</f>
        <v>USMCA</v>
      </c>
    </row>
    <row r="335" spans="1:9" x14ac:dyDescent="0.4">
      <c r="A335" t="s">
        <v>61</v>
      </c>
      <c r="B335" s="1">
        <v>45047</v>
      </c>
      <c r="C335">
        <v>870790</v>
      </c>
      <c r="D335" t="s">
        <v>176</v>
      </c>
      <c r="E335">
        <v>4158467</v>
      </c>
      <c r="F335">
        <v>323</v>
      </c>
      <c r="G335">
        <v>32075</v>
      </c>
      <c r="H335">
        <f>_xlfn.XLOOKUP(FACT_IMPORTS[[#This Row],[hts_6]],DIM_PRODUCTS[hts_6],DIM_PRODUCTS[hts_4],,,)</f>
        <v>8707</v>
      </c>
      <c r="I335" t="str" cm="1">
        <f t="array" ref="I335">_xlfn.XLOOKUP(FACT_IMPORTS[[#This Row],[country_name]],DIM_COUNTRY[[#All],[Column2]],DIM_COUNTRY[[#All],[Column3]],,,)</f>
        <v>USMCA</v>
      </c>
    </row>
    <row r="336" spans="1:9" x14ac:dyDescent="0.4">
      <c r="A336" t="s">
        <v>61</v>
      </c>
      <c r="B336" s="1">
        <v>45047</v>
      </c>
      <c r="C336">
        <v>870810</v>
      </c>
      <c r="D336" t="s">
        <v>176</v>
      </c>
      <c r="E336">
        <v>25603413</v>
      </c>
      <c r="F336">
        <v>1272350</v>
      </c>
      <c r="G336">
        <v>430217</v>
      </c>
      <c r="H336">
        <f>_xlfn.XLOOKUP(FACT_IMPORTS[[#This Row],[hts_6]],DIM_PRODUCTS[hts_6],DIM_PRODUCTS[hts_4],,,)</f>
        <v>8708</v>
      </c>
      <c r="I336" t="str" cm="1">
        <f t="array" ref="I336">_xlfn.XLOOKUP(FACT_IMPORTS[[#This Row],[country_name]],DIM_COUNTRY[[#All],[Column2]],DIM_COUNTRY[[#All],[Column3]],,,)</f>
        <v>USMCA</v>
      </c>
    </row>
    <row r="337" spans="1:9" x14ac:dyDescent="0.4">
      <c r="A337" t="s">
        <v>61</v>
      </c>
      <c r="B337" s="1">
        <v>45047</v>
      </c>
      <c r="C337">
        <v>870821</v>
      </c>
      <c r="D337" t="s">
        <v>176</v>
      </c>
      <c r="E337">
        <v>88291</v>
      </c>
      <c r="F337">
        <v>3933</v>
      </c>
      <c r="G337">
        <v>1499</v>
      </c>
      <c r="H337">
        <f>_xlfn.XLOOKUP(FACT_IMPORTS[[#This Row],[hts_6]],DIM_PRODUCTS[hts_6],DIM_PRODUCTS[hts_4],,,)</f>
        <v>8708</v>
      </c>
      <c r="I337" t="str" cm="1">
        <f t="array" ref="I337">_xlfn.XLOOKUP(FACT_IMPORTS[[#This Row],[country_name]],DIM_COUNTRY[[#All],[Column2]],DIM_COUNTRY[[#All],[Column3]],,,)</f>
        <v>USMCA</v>
      </c>
    </row>
    <row r="338" spans="1:9" x14ac:dyDescent="0.4">
      <c r="A338" t="s">
        <v>61</v>
      </c>
      <c r="B338" s="1">
        <v>45047</v>
      </c>
      <c r="C338">
        <v>870822</v>
      </c>
      <c r="D338" t="s">
        <v>176</v>
      </c>
      <c r="E338">
        <v>5237963</v>
      </c>
      <c r="F338">
        <v>99633</v>
      </c>
      <c r="G338">
        <v>163379</v>
      </c>
      <c r="H338">
        <f>_xlfn.XLOOKUP(FACT_IMPORTS[[#This Row],[hts_6]],DIM_PRODUCTS[hts_6],DIM_PRODUCTS[hts_4],,,)</f>
        <v>8708</v>
      </c>
      <c r="I338" t="str" cm="1">
        <f t="array" ref="I338">_xlfn.XLOOKUP(FACT_IMPORTS[[#This Row],[country_name]],DIM_COUNTRY[[#All],[Column2]],DIM_COUNTRY[[#All],[Column3]],,,)</f>
        <v>USMCA</v>
      </c>
    </row>
    <row r="339" spans="1:9" x14ac:dyDescent="0.4">
      <c r="A339" t="s">
        <v>61</v>
      </c>
      <c r="B339" s="1">
        <v>45047</v>
      </c>
      <c r="C339">
        <v>870829</v>
      </c>
      <c r="D339" t="s">
        <v>176</v>
      </c>
      <c r="E339">
        <v>420707180</v>
      </c>
      <c r="F339">
        <v>59698610</v>
      </c>
      <c r="G339">
        <v>8523978</v>
      </c>
      <c r="H339">
        <f>_xlfn.XLOOKUP(FACT_IMPORTS[[#This Row],[hts_6]],DIM_PRODUCTS[hts_6],DIM_PRODUCTS[hts_4],,,)</f>
        <v>8708</v>
      </c>
      <c r="I339" t="str" cm="1">
        <f t="array" ref="I339">_xlfn.XLOOKUP(FACT_IMPORTS[[#This Row],[country_name]],DIM_COUNTRY[[#All],[Column2]],DIM_COUNTRY[[#All],[Column3]],,,)</f>
        <v>USMCA</v>
      </c>
    </row>
    <row r="340" spans="1:9" x14ac:dyDescent="0.4">
      <c r="A340" t="s">
        <v>61</v>
      </c>
      <c r="B340" s="1">
        <v>45047</v>
      </c>
      <c r="C340">
        <v>870830</v>
      </c>
      <c r="D340" t="s">
        <v>176</v>
      </c>
      <c r="E340">
        <v>15816893</v>
      </c>
      <c r="F340">
        <v>4707331</v>
      </c>
      <c r="G340">
        <v>200991</v>
      </c>
      <c r="H340">
        <f>_xlfn.XLOOKUP(FACT_IMPORTS[[#This Row],[hts_6]],DIM_PRODUCTS[hts_6],DIM_PRODUCTS[hts_4],,,)</f>
        <v>8708</v>
      </c>
      <c r="I340" t="str" cm="1">
        <f t="array" ref="I340">_xlfn.XLOOKUP(FACT_IMPORTS[[#This Row],[country_name]],DIM_COUNTRY[[#All],[Column2]],DIM_COUNTRY[[#All],[Column3]],,,)</f>
        <v>USMCA</v>
      </c>
    </row>
    <row r="341" spans="1:9" x14ac:dyDescent="0.4">
      <c r="A341" t="s">
        <v>61</v>
      </c>
      <c r="B341" s="1">
        <v>45047</v>
      </c>
      <c r="C341">
        <v>870840</v>
      </c>
      <c r="D341" t="s">
        <v>176</v>
      </c>
      <c r="E341">
        <v>99543429</v>
      </c>
      <c r="F341">
        <v>4893234</v>
      </c>
      <c r="G341">
        <v>571854</v>
      </c>
      <c r="H341">
        <f>_xlfn.XLOOKUP(FACT_IMPORTS[[#This Row],[hts_6]],DIM_PRODUCTS[hts_6],DIM_PRODUCTS[hts_4],,,)</f>
        <v>8708</v>
      </c>
      <c r="I341" t="str" cm="1">
        <f t="array" ref="I341">_xlfn.XLOOKUP(FACT_IMPORTS[[#This Row],[country_name]],DIM_COUNTRY[[#All],[Column2]],DIM_COUNTRY[[#All],[Column3]],,,)</f>
        <v>USMCA</v>
      </c>
    </row>
    <row r="342" spans="1:9" x14ac:dyDescent="0.4">
      <c r="A342" t="s">
        <v>61</v>
      </c>
      <c r="B342" s="1">
        <v>45047</v>
      </c>
      <c r="C342">
        <v>870850</v>
      </c>
      <c r="D342" t="s">
        <v>176</v>
      </c>
      <c r="E342">
        <v>39978189</v>
      </c>
      <c r="F342">
        <v>1962365</v>
      </c>
      <c r="G342">
        <v>217218</v>
      </c>
      <c r="H342">
        <f>_xlfn.XLOOKUP(FACT_IMPORTS[[#This Row],[hts_6]],DIM_PRODUCTS[hts_6],DIM_PRODUCTS[hts_4],,,)</f>
        <v>8708</v>
      </c>
      <c r="I342" t="str" cm="1">
        <f t="array" ref="I342">_xlfn.XLOOKUP(FACT_IMPORTS[[#This Row],[country_name]],DIM_COUNTRY[[#All],[Column2]],DIM_COUNTRY[[#All],[Column3]],,,)</f>
        <v>USMCA</v>
      </c>
    </row>
    <row r="343" spans="1:9" x14ac:dyDescent="0.4">
      <c r="A343" t="s">
        <v>61</v>
      </c>
      <c r="B343" s="1">
        <v>45047</v>
      </c>
      <c r="C343">
        <v>870870</v>
      </c>
      <c r="D343" t="s">
        <v>176</v>
      </c>
      <c r="E343">
        <v>7361243</v>
      </c>
      <c r="F343">
        <v>7032709</v>
      </c>
      <c r="G343">
        <v>73614</v>
      </c>
      <c r="H343">
        <f>_xlfn.XLOOKUP(FACT_IMPORTS[[#This Row],[hts_6]],DIM_PRODUCTS[hts_6],DIM_PRODUCTS[hts_4],,,)</f>
        <v>8708</v>
      </c>
      <c r="I343" t="str" cm="1">
        <f t="array" ref="I343">_xlfn.XLOOKUP(FACT_IMPORTS[[#This Row],[country_name]],DIM_COUNTRY[[#All],[Column2]],DIM_COUNTRY[[#All],[Column3]],,,)</f>
        <v>USMCA</v>
      </c>
    </row>
    <row r="344" spans="1:9" x14ac:dyDescent="0.4">
      <c r="A344" t="s">
        <v>61</v>
      </c>
      <c r="B344" s="1">
        <v>45047</v>
      </c>
      <c r="C344">
        <v>870880</v>
      </c>
      <c r="D344" t="s">
        <v>176</v>
      </c>
      <c r="E344">
        <v>59041187</v>
      </c>
      <c r="F344">
        <v>3431692</v>
      </c>
      <c r="G344">
        <v>1044895</v>
      </c>
      <c r="H344">
        <f>_xlfn.XLOOKUP(FACT_IMPORTS[[#This Row],[hts_6]],DIM_PRODUCTS[hts_6],DIM_PRODUCTS[hts_4],,,)</f>
        <v>8708</v>
      </c>
      <c r="I344" t="str" cm="1">
        <f t="array" ref="I344">_xlfn.XLOOKUP(FACT_IMPORTS[[#This Row],[country_name]],DIM_COUNTRY[[#All],[Column2]],DIM_COUNTRY[[#All],[Column3]],,,)</f>
        <v>USMCA</v>
      </c>
    </row>
    <row r="345" spans="1:9" x14ac:dyDescent="0.4">
      <c r="A345" t="s">
        <v>61</v>
      </c>
      <c r="B345" s="1">
        <v>45047</v>
      </c>
      <c r="C345">
        <v>870891</v>
      </c>
      <c r="D345" t="s">
        <v>176</v>
      </c>
      <c r="E345">
        <v>10970754</v>
      </c>
      <c r="F345">
        <v>349945</v>
      </c>
      <c r="G345">
        <v>200547</v>
      </c>
      <c r="H345">
        <f>_xlfn.XLOOKUP(FACT_IMPORTS[[#This Row],[hts_6]],DIM_PRODUCTS[hts_6],DIM_PRODUCTS[hts_4],,,)</f>
        <v>8708</v>
      </c>
      <c r="I345" t="str" cm="1">
        <f t="array" ref="I345">_xlfn.XLOOKUP(FACT_IMPORTS[[#This Row],[country_name]],DIM_COUNTRY[[#All],[Column2]],DIM_COUNTRY[[#All],[Column3]],,,)</f>
        <v>USMCA</v>
      </c>
    </row>
    <row r="346" spans="1:9" x14ac:dyDescent="0.4">
      <c r="A346" t="s">
        <v>61</v>
      </c>
      <c r="B346" s="1">
        <v>45047</v>
      </c>
      <c r="C346">
        <v>870892</v>
      </c>
      <c r="D346" t="s">
        <v>176</v>
      </c>
      <c r="E346">
        <v>23596923</v>
      </c>
      <c r="F346">
        <v>1516084</v>
      </c>
      <c r="G346">
        <v>464617</v>
      </c>
      <c r="H346">
        <f>_xlfn.XLOOKUP(FACT_IMPORTS[[#This Row],[hts_6]],DIM_PRODUCTS[hts_6],DIM_PRODUCTS[hts_4],,,)</f>
        <v>8708</v>
      </c>
      <c r="I346" t="str" cm="1">
        <f t="array" ref="I346">_xlfn.XLOOKUP(FACT_IMPORTS[[#This Row],[country_name]],DIM_COUNTRY[[#All],[Column2]],DIM_COUNTRY[[#All],[Column3]],,,)</f>
        <v>USMCA</v>
      </c>
    </row>
    <row r="347" spans="1:9" x14ac:dyDescent="0.4">
      <c r="A347" t="s">
        <v>61</v>
      </c>
      <c r="B347" s="1">
        <v>45047</v>
      </c>
      <c r="C347">
        <v>870893</v>
      </c>
      <c r="D347" t="s">
        <v>176</v>
      </c>
      <c r="E347">
        <v>46280052</v>
      </c>
      <c r="F347">
        <v>1266718</v>
      </c>
      <c r="G347">
        <v>133142</v>
      </c>
      <c r="H347">
        <f>_xlfn.XLOOKUP(FACT_IMPORTS[[#This Row],[hts_6]],DIM_PRODUCTS[hts_6],DIM_PRODUCTS[hts_4],,,)</f>
        <v>8708</v>
      </c>
      <c r="I347" t="str" cm="1">
        <f t="array" ref="I347">_xlfn.XLOOKUP(FACT_IMPORTS[[#This Row],[country_name]],DIM_COUNTRY[[#All],[Column2]],DIM_COUNTRY[[#All],[Column3]],,,)</f>
        <v>USMCA</v>
      </c>
    </row>
    <row r="348" spans="1:9" x14ac:dyDescent="0.4">
      <c r="A348" t="s">
        <v>61</v>
      </c>
      <c r="B348" s="1">
        <v>45047</v>
      </c>
      <c r="C348">
        <v>870894</v>
      </c>
      <c r="D348" t="s">
        <v>176</v>
      </c>
      <c r="E348">
        <v>11738137</v>
      </c>
      <c r="F348">
        <v>2970105</v>
      </c>
      <c r="G348">
        <v>118870</v>
      </c>
      <c r="H348">
        <f>_xlfn.XLOOKUP(FACT_IMPORTS[[#This Row],[hts_6]],DIM_PRODUCTS[hts_6],DIM_PRODUCTS[hts_4],,,)</f>
        <v>8708</v>
      </c>
      <c r="I348" t="str" cm="1">
        <f t="array" ref="I348">_xlfn.XLOOKUP(FACT_IMPORTS[[#This Row],[country_name]],DIM_COUNTRY[[#All],[Column2]],DIM_COUNTRY[[#All],[Column3]],,,)</f>
        <v>USMCA</v>
      </c>
    </row>
    <row r="349" spans="1:9" x14ac:dyDescent="0.4">
      <c r="A349" t="s">
        <v>61</v>
      </c>
      <c r="B349" s="1">
        <v>45047</v>
      </c>
      <c r="C349">
        <v>870895</v>
      </c>
      <c r="D349" t="s">
        <v>176</v>
      </c>
      <c r="E349">
        <v>1840949</v>
      </c>
      <c r="F349">
        <v>1560150</v>
      </c>
      <c r="G349">
        <v>17244</v>
      </c>
      <c r="H349">
        <f>_xlfn.XLOOKUP(FACT_IMPORTS[[#This Row],[hts_6]],DIM_PRODUCTS[hts_6],DIM_PRODUCTS[hts_4],,,)</f>
        <v>8708</v>
      </c>
      <c r="I349" t="str" cm="1">
        <f t="array" ref="I349">_xlfn.XLOOKUP(FACT_IMPORTS[[#This Row],[country_name]],DIM_COUNTRY[[#All],[Column2]],DIM_COUNTRY[[#All],[Column3]],,,)</f>
        <v>USMCA</v>
      </c>
    </row>
    <row r="350" spans="1:9" x14ac:dyDescent="0.4">
      <c r="A350" t="s">
        <v>61</v>
      </c>
      <c r="B350" s="1">
        <v>45047</v>
      </c>
      <c r="C350">
        <v>870899</v>
      </c>
      <c r="D350" t="s">
        <v>176</v>
      </c>
      <c r="E350">
        <v>189914873</v>
      </c>
      <c r="F350">
        <v>17553873</v>
      </c>
      <c r="G350">
        <v>2322760</v>
      </c>
      <c r="H350">
        <f>_xlfn.XLOOKUP(FACT_IMPORTS[[#This Row],[hts_6]],DIM_PRODUCTS[hts_6],DIM_PRODUCTS[hts_4],,,)</f>
        <v>8708</v>
      </c>
      <c r="I350" t="str" cm="1">
        <f t="array" ref="I350">_xlfn.XLOOKUP(FACT_IMPORTS[[#This Row],[country_name]],DIM_COUNTRY[[#All],[Column2]],DIM_COUNTRY[[#All],[Column3]],,,)</f>
        <v>USMCA</v>
      </c>
    </row>
    <row r="351" spans="1:9" x14ac:dyDescent="0.4">
      <c r="A351" t="s">
        <v>61</v>
      </c>
      <c r="B351" s="1">
        <v>45047</v>
      </c>
      <c r="C351">
        <v>940120</v>
      </c>
      <c r="D351" t="s">
        <v>176</v>
      </c>
      <c r="E351">
        <v>1060525</v>
      </c>
      <c r="F351">
        <v>21557</v>
      </c>
      <c r="G351">
        <v>15991</v>
      </c>
      <c r="H351">
        <f>_xlfn.XLOOKUP(FACT_IMPORTS[[#This Row],[hts_6]],DIM_PRODUCTS[hts_6],DIM_PRODUCTS[hts_4],,,)</f>
        <v>9401</v>
      </c>
      <c r="I351" t="str" cm="1">
        <f t="array" ref="I351">_xlfn.XLOOKUP(FACT_IMPORTS[[#This Row],[country_name]],DIM_COUNTRY[[#All],[Column2]],DIM_COUNTRY[[#All],[Column3]],,,)</f>
        <v>USMCA</v>
      </c>
    </row>
    <row r="352" spans="1:9" x14ac:dyDescent="0.4">
      <c r="A352" t="s">
        <v>61</v>
      </c>
      <c r="B352" s="1">
        <v>45078</v>
      </c>
      <c r="C352">
        <v>392630</v>
      </c>
      <c r="D352" t="s">
        <v>176</v>
      </c>
      <c r="E352">
        <v>3952369</v>
      </c>
      <c r="F352">
        <v>383038</v>
      </c>
      <c r="G352">
        <v>201878</v>
      </c>
      <c r="H352">
        <f>_xlfn.XLOOKUP(FACT_IMPORTS[[#This Row],[hts_6]],DIM_PRODUCTS[hts_6],DIM_PRODUCTS[hts_4],,,)</f>
        <v>3926</v>
      </c>
      <c r="I352" t="str" cm="1">
        <f t="array" ref="I352">_xlfn.XLOOKUP(FACT_IMPORTS[[#This Row],[country_name]],DIM_COUNTRY[[#All],[Column2]],DIM_COUNTRY[[#All],[Column3]],,,)</f>
        <v>USMCA</v>
      </c>
    </row>
    <row r="353" spans="1:9" x14ac:dyDescent="0.4">
      <c r="A353" t="s">
        <v>61</v>
      </c>
      <c r="B353" s="1">
        <v>45078</v>
      </c>
      <c r="C353">
        <v>401110</v>
      </c>
      <c r="D353" t="s">
        <v>176</v>
      </c>
      <c r="E353">
        <v>45771361</v>
      </c>
      <c r="F353">
        <v>676426</v>
      </c>
      <c r="G353">
        <v>340460</v>
      </c>
      <c r="H353">
        <f>_xlfn.XLOOKUP(FACT_IMPORTS[[#This Row],[hts_6]],DIM_PRODUCTS[hts_6],DIM_PRODUCTS[hts_4],,,)</f>
        <v>4011</v>
      </c>
      <c r="I353" t="str" cm="1">
        <f t="array" ref="I353">_xlfn.XLOOKUP(FACT_IMPORTS[[#This Row],[country_name]],DIM_COUNTRY[[#All],[Column2]],DIM_COUNTRY[[#All],[Column3]],,,)</f>
        <v>USMCA</v>
      </c>
    </row>
    <row r="354" spans="1:9" x14ac:dyDescent="0.4">
      <c r="A354" t="s">
        <v>61</v>
      </c>
      <c r="B354" s="1">
        <v>45078</v>
      </c>
      <c r="C354">
        <v>401120</v>
      </c>
      <c r="D354" t="s">
        <v>176</v>
      </c>
      <c r="E354">
        <v>38916569</v>
      </c>
      <c r="F354">
        <v>268058</v>
      </c>
      <c r="G354">
        <v>210004</v>
      </c>
      <c r="H354">
        <f>_xlfn.XLOOKUP(FACT_IMPORTS[[#This Row],[hts_6]],DIM_PRODUCTS[hts_6],DIM_PRODUCTS[hts_4],,,)</f>
        <v>4011</v>
      </c>
      <c r="I354" t="str" cm="1">
        <f t="array" ref="I354">_xlfn.XLOOKUP(FACT_IMPORTS[[#This Row],[country_name]],DIM_COUNTRY[[#All],[Column2]],DIM_COUNTRY[[#All],[Column3]],,,)</f>
        <v>USMCA</v>
      </c>
    </row>
    <row r="355" spans="1:9" x14ac:dyDescent="0.4">
      <c r="A355" t="s">
        <v>61</v>
      </c>
      <c r="B355" s="1">
        <v>45078</v>
      </c>
      <c r="C355">
        <v>401140</v>
      </c>
      <c r="D355" t="s">
        <v>176</v>
      </c>
      <c r="E355">
        <v>0</v>
      </c>
      <c r="F355">
        <v>0</v>
      </c>
      <c r="G355">
        <v>0</v>
      </c>
      <c r="H355">
        <f>_xlfn.XLOOKUP(FACT_IMPORTS[[#This Row],[hts_6]],DIM_PRODUCTS[hts_6],DIM_PRODUCTS[hts_4],,,)</f>
        <v>4011</v>
      </c>
      <c r="I355" t="str" cm="1">
        <f t="array" ref="I355">_xlfn.XLOOKUP(FACT_IMPORTS[[#This Row],[country_name]],DIM_COUNTRY[[#All],[Column2]],DIM_COUNTRY[[#All],[Column3]],,,)</f>
        <v>USMCA</v>
      </c>
    </row>
    <row r="356" spans="1:9" x14ac:dyDescent="0.4">
      <c r="A356" t="s">
        <v>61</v>
      </c>
      <c r="B356" s="1">
        <v>45078</v>
      </c>
      <c r="C356">
        <v>401190</v>
      </c>
      <c r="D356" t="s">
        <v>176</v>
      </c>
      <c r="E356">
        <v>1030560</v>
      </c>
      <c r="F356">
        <v>1292</v>
      </c>
      <c r="G356">
        <v>1122</v>
      </c>
      <c r="H356">
        <f>_xlfn.XLOOKUP(FACT_IMPORTS[[#This Row],[hts_6]],DIM_PRODUCTS[hts_6],DIM_PRODUCTS[hts_4],,,)</f>
        <v>4011</v>
      </c>
      <c r="I356" t="str" cm="1">
        <f t="array" ref="I356">_xlfn.XLOOKUP(FACT_IMPORTS[[#This Row],[country_name]],DIM_COUNTRY[[#All],[Column2]],DIM_COUNTRY[[#All],[Column3]],,,)</f>
        <v>USMCA</v>
      </c>
    </row>
    <row r="357" spans="1:9" x14ac:dyDescent="0.4">
      <c r="A357" t="s">
        <v>61</v>
      </c>
      <c r="B357" s="1">
        <v>45078</v>
      </c>
      <c r="C357">
        <v>700711</v>
      </c>
      <c r="D357" t="s">
        <v>176</v>
      </c>
      <c r="E357">
        <v>742509</v>
      </c>
      <c r="F357">
        <v>1405</v>
      </c>
      <c r="G357">
        <v>2726</v>
      </c>
      <c r="H357">
        <f>_xlfn.XLOOKUP(FACT_IMPORTS[[#This Row],[hts_6]],DIM_PRODUCTS[hts_6],DIM_PRODUCTS[hts_4],,,)</f>
        <v>7007</v>
      </c>
      <c r="I357" t="str" cm="1">
        <f t="array" ref="I357">_xlfn.XLOOKUP(FACT_IMPORTS[[#This Row],[country_name]],DIM_COUNTRY[[#All],[Column2]],DIM_COUNTRY[[#All],[Column3]],,,)</f>
        <v>USMCA</v>
      </c>
    </row>
    <row r="358" spans="1:9" x14ac:dyDescent="0.4">
      <c r="A358" t="s">
        <v>61</v>
      </c>
      <c r="B358" s="1">
        <v>45078</v>
      </c>
      <c r="C358">
        <v>700721</v>
      </c>
      <c r="D358" t="s">
        <v>176</v>
      </c>
      <c r="E358">
        <v>56488</v>
      </c>
      <c r="F358">
        <v>112</v>
      </c>
      <c r="G358">
        <v>1407</v>
      </c>
      <c r="H358">
        <f>_xlfn.XLOOKUP(FACT_IMPORTS[[#This Row],[hts_6]],DIM_PRODUCTS[hts_6],DIM_PRODUCTS[hts_4],,,)</f>
        <v>7007</v>
      </c>
      <c r="I358" t="str" cm="1">
        <f t="array" ref="I358">_xlfn.XLOOKUP(FACT_IMPORTS[[#This Row],[country_name]],DIM_COUNTRY[[#All],[Column2]],DIM_COUNTRY[[#All],[Column3]],,,)</f>
        <v>USMCA</v>
      </c>
    </row>
    <row r="359" spans="1:9" x14ac:dyDescent="0.4">
      <c r="A359" t="s">
        <v>61</v>
      </c>
      <c r="B359" s="1">
        <v>45078</v>
      </c>
      <c r="C359">
        <v>700910</v>
      </c>
      <c r="D359" t="s">
        <v>176</v>
      </c>
      <c r="E359">
        <v>300461</v>
      </c>
      <c r="F359">
        <v>6045</v>
      </c>
      <c r="G359">
        <v>1748</v>
      </c>
      <c r="H359">
        <f>_xlfn.XLOOKUP(FACT_IMPORTS[[#This Row],[hts_6]],DIM_PRODUCTS[hts_6],DIM_PRODUCTS[hts_4],,,)</f>
        <v>7009</v>
      </c>
      <c r="I359" t="str" cm="1">
        <f t="array" ref="I359">_xlfn.XLOOKUP(FACT_IMPORTS[[#This Row],[country_name]],DIM_COUNTRY[[#All],[Column2]],DIM_COUNTRY[[#All],[Column3]],,,)</f>
        <v>USMCA</v>
      </c>
    </row>
    <row r="360" spans="1:9" x14ac:dyDescent="0.4">
      <c r="A360" t="s">
        <v>61</v>
      </c>
      <c r="B360" s="1">
        <v>45078</v>
      </c>
      <c r="C360">
        <v>732010</v>
      </c>
      <c r="D360" t="s">
        <v>176</v>
      </c>
      <c r="E360">
        <v>3726055</v>
      </c>
      <c r="F360">
        <v>1137882</v>
      </c>
      <c r="G360">
        <v>24505</v>
      </c>
      <c r="H360">
        <f>_xlfn.XLOOKUP(FACT_IMPORTS[[#This Row],[hts_6]],DIM_PRODUCTS[hts_6],DIM_PRODUCTS[hts_4],,,)</f>
        <v>7320</v>
      </c>
      <c r="I360" t="str" cm="1">
        <f t="array" ref="I360">_xlfn.XLOOKUP(FACT_IMPORTS[[#This Row],[country_name]],DIM_COUNTRY[[#All],[Column2]],DIM_COUNTRY[[#All],[Column3]],,,)</f>
        <v>USMCA</v>
      </c>
    </row>
    <row r="361" spans="1:9" x14ac:dyDescent="0.4">
      <c r="A361" t="s">
        <v>61</v>
      </c>
      <c r="B361" s="1">
        <v>45078</v>
      </c>
      <c r="C361">
        <v>830230</v>
      </c>
      <c r="D361" t="s">
        <v>176</v>
      </c>
      <c r="E361">
        <v>37016243</v>
      </c>
      <c r="F361">
        <v>7763468</v>
      </c>
      <c r="G361">
        <v>1139170</v>
      </c>
      <c r="H361">
        <f>_xlfn.XLOOKUP(FACT_IMPORTS[[#This Row],[hts_6]],DIM_PRODUCTS[hts_6],DIM_PRODUCTS[hts_4],,,)</f>
        <v>8302</v>
      </c>
      <c r="I361" t="str" cm="1">
        <f t="array" ref="I361">_xlfn.XLOOKUP(FACT_IMPORTS[[#This Row],[country_name]],DIM_COUNTRY[[#All],[Column2]],DIM_COUNTRY[[#All],[Column3]],,,)</f>
        <v>USMCA</v>
      </c>
    </row>
    <row r="362" spans="1:9" x14ac:dyDescent="0.4">
      <c r="A362" t="s">
        <v>61</v>
      </c>
      <c r="B362" s="1">
        <v>45078</v>
      </c>
      <c r="C362">
        <v>840731</v>
      </c>
      <c r="D362" t="s">
        <v>176</v>
      </c>
      <c r="E362">
        <v>18000</v>
      </c>
      <c r="F362">
        <v>2</v>
      </c>
      <c r="G362">
        <v>100</v>
      </c>
      <c r="H362">
        <f>_xlfn.XLOOKUP(FACT_IMPORTS[[#This Row],[hts_6]],DIM_PRODUCTS[hts_6],DIM_PRODUCTS[hts_4],,,)</f>
        <v>8407</v>
      </c>
      <c r="I362" t="str" cm="1">
        <f t="array" ref="I362">_xlfn.XLOOKUP(FACT_IMPORTS[[#This Row],[country_name]],DIM_COUNTRY[[#All],[Column2]],DIM_COUNTRY[[#All],[Column3]],,,)</f>
        <v>USMCA</v>
      </c>
    </row>
    <row r="363" spans="1:9" x14ac:dyDescent="0.4">
      <c r="A363" t="s">
        <v>61</v>
      </c>
      <c r="B363" s="1">
        <v>45078</v>
      </c>
      <c r="C363">
        <v>840733</v>
      </c>
      <c r="D363" t="s">
        <v>176</v>
      </c>
      <c r="E363">
        <v>4081</v>
      </c>
      <c r="F363">
        <v>1</v>
      </c>
      <c r="G363">
        <v>250</v>
      </c>
      <c r="H363">
        <f>_xlfn.XLOOKUP(FACT_IMPORTS[[#This Row],[hts_6]],DIM_PRODUCTS[hts_6],DIM_PRODUCTS[hts_4],,,)</f>
        <v>8407</v>
      </c>
      <c r="I363" t="str" cm="1">
        <f t="array" ref="I363">_xlfn.XLOOKUP(FACT_IMPORTS[[#This Row],[country_name]],DIM_COUNTRY[[#All],[Column2]],DIM_COUNTRY[[#All],[Column3]],,,)</f>
        <v>USMCA</v>
      </c>
    </row>
    <row r="364" spans="1:9" x14ac:dyDescent="0.4">
      <c r="A364" t="s">
        <v>61</v>
      </c>
      <c r="B364" s="1">
        <v>45078</v>
      </c>
      <c r="C364">
        <v>840734</v>
      </c>
      <c r="D364" t="s">
        <v>176</v>
      </c>
      <c r="E364">
        <v>257289851</v>
      </c>
      <c r="F364">
        <v>81930</v>
      </c>
      <c r="G364">
        <v>342647</v>
      </c>
      <c r="H364">
        <f>_xlfn.XLOOKUP(FACT_IMPORTS[[#This Row],[hts_6]],DIM_PRODUCTS[hts_6],DIM_PRODUCTS[hts_4],,,)</f>
        <v>8407</v>
      </c>
      <c r="I364" t="str" cm="1">
        <f t="array" ref="I364">_xlfn.XLOOKUP(FACT_IMPORTS[[#This Row],[country_name]],DIM_COUNTRY[[#All],[Column2]],DIM_COUNTRY[[#All],[Column3]],,,)</f>
        <v>USMCA</v>
      </c>
    </row>
    <row r="365" spans="1:9" x14ac:dyDescent="0.4">
      <c r="A365" t="s">
        <v>61</v>
      </c>
      <c r="B365" s="1">
        <v>45078</v>
      </c>
      <c r="C365">
        <v>840790</v>
      </c>
      <c r="D365" t="s">
        <v>176</v>
      </c>
      <c r="E365">
        <v>5413563</v>
      </c>
      <c r="F365">
        <v>2554</v>
      </c>
      <c r="G365">
        <v>3833</v>
      </c>
      <c r="H365">
        <f>_xlfn.XLOOKUP(FACT_IMPORTS[[#This Row],[hts_6]],DIM_PRODUCTS[hts_6],DIM_PRODUCTS[hts_4],,,)</f>
        <v>8407</v>
      </c>
      <c r="I365" t="str" cm="1">
        <f t="array" ref="I365">_xlfn.XLOOKUP(FACT_IMPORTS[[#This Row],[country_name]],DIM_COUNTRY[[#All],[Column2]],DIM_COUNTRY[[#All],[Column3]],,,)</f>
        <v>USMCA</v>
      </c>
    </row>
    <row r="366" spans="1:9" x14ac:dyDescent="0.4">
      <c r="A366" t="s">
        <v>61</v>
      </c>
      <c r="B366" s="1">
        <v>45078</v>
      </c>
      <c r="C366">
        <v>840820</v>
      </c>
      <c r="D366" t="s">
        <v>176</v>
      </c>
      <c r="E366">
        <v>982630</v>
      </c>
      <c r="F366">
        <v>99</v>
      </c>
      <c r="G366">
        <v>3063</v>
      </c>
      <c r="H366">
        <f>_xlfn.XLOOKUP(FACT_IMPORTS[[#This Row],[hts_6]],DIM_PRODUCTS[hts_6],DIM_PRODUCTS[hts_4],,,)</f>
        <v>8408</v>
      </c>
      <c r="I366" t="str" cm="1">
        <f t="array" ref="I366">_xlfn.XLOOKUP(FACT_IMPORTS[[#This Row],[country_name]],DIM_COUNTRY[[#All],[Column2]],DIM_COUNTRY[[#All],[Column3]],,,)</f>
        <v>USMCA</v>
      </c>
    </row>
    <row r="367" spans="1:9" x14ac:dyDescent="0.4">
      <c r="A367" t="s">
        <v>61</v>
      </c>
      <c r="B367" s="1">
        <v>45078</v>
      </c>
      <c r="C367">
        <v>840890</v>
      </c>
      <c r="D367" t="s">
        <v>176</v>
      </c>
      <c r="E367">
        <v>305582</v>
      </c>
      <c r="F367">
        <v>31</v>
      </c>
      <c r="G367">
        <v>1440</v>
      </c>
      <c r="H367">
        <f>_xlfn.XLOOKUP(FACT_IMPORTS[[#This Row],[hts_6]],DIM_PRODUCTS[hts_6],DIM_PRODUCTS[hts_4],,,)</f>
        <v>8408</v>
      </c>
      <c r="I367" t="str" cm="1">
        <f t="array" ref="I367">_xlfn.XLOOKUP(FACT_IMPORTS[[#This Row],[country_name]],DIM_COUNTRY[[#All],[Column2]],DIM_COUNTRY[[#All],[Column3]],,,)</f>
        <v>USMCA</v>
      </c>
    </row>
    <row r="368" spans="1:9" x14ac:dyDescent="0.4">
      <c r="A368" t="s">
        <v>61</v>
      </c>
      <c r="B368" s="1">
        <v>45078</v>
      </c>
      <c r="C368">
        <v>840991</v>
      </c>
      <c r="D368" t="s">
        <v>176</v>
      </c>
      <c r="E368">
        <v>39228792</v>
      </c>
      <c r="F368">
        <v>3460535</v>
      </c>
      <c r="G368">
        <v>204767</v>
      </c>
      <c r="H368">
        <f>_xlfn.XLOOKUP(FACT_IMPORTS[[#This Row],[hts_6]],DIM_PRODUCTS[hts_6],DIM_PRODUCTS[hts_4],,,)</f>
        <v>8409</v>
      </c>
      <c r="I368" t="str" cm="1">
        <f t="array" ref="I368">_xlfn.XLOOKUP(FACT_IMPORTS[[#This Row],[country_name]],DIM_COUNTRY[[#All],[Column2]],DIM_COUNTRY[[#All],[Column3]],,,)</f>
        <v>USMCA</v>
      </c>
    </row>
    <row r="369" spans="1:9" x14ac:dyDescent="0.4">
      <c r="A369" t="s">
        <v>61</v>
      </c>
      <c r="B369" s="1">
        <v>45078</v>
      </c>
      <c r="C369">
        <v>840999</v>
      </c>
      <c r="D369" t="s">
        <v>176</v>
      </c>
      <c r="E369">
        <v>14074581</v>
      </c>
      <c r="F369">
        <v>1310395</v>
      </c>
      <c r="G369">
        <v>105312</v>
      </c>
      <c r="H369">
        <f>_xlfn.XLOOKUP(FACT_IMPORTS[[#This Row],[hts_6]],DIM_PRODUCTS[hts_6],DIM_PRODUCTS[hts_4],,,)</f>
        <v>8409</v>
      </c>
      <c r="I369" t="str" cm="1">
        <f t="array" ref="I369">_xlfn.XLOOKUP(FACT_IMPORTS[[#This Row],[country_name]],DIM_COUNTRY[[#All],[Column2]],DIM_COUNTRY[[#All],[Column3]],,,)</f>
        <v>USMCA</v>
      </c>
    </row>
    <row r="370" spans="1:9" x14ac:dyDescent="0.4">
      <c r="A370" t="s">
        <v>61</v>
      </c>
      <c r="B370" s="1">
        <v>45078</v>
      </c>
      <c r="C370">
        <v>841330</v>
      </c>
      <c r="D370" t="s">
        <v>176</v>
      </c>
      <c r="E370">
        <v>11831501</v>
      </c>
      <c r="F370">
        <v>244862</v>
      </c>
      <c r="G370">
        <v>45307</v>
      </c>
      <c r="H370">
        <f>_xlfn.XLOOKUP(FACT_IMPORTS[[#This Row],[hts_6]],DIM_PRODUCTS[hts_6],DIM_PRODUCTS[hts_4],,,)</f>
        <v>8413</v>
      </c>
      <c r="I370" t="str" cm="1">
        <f t="array" ref="I370">_xlfn.XLOOKUP(FACT_IMPORTS[[#This Row],[country_name]],DIM_COUNTRY[[#All],[Column2]],DIM_COUNTRY[[#All],[Column3]],,,)</f>
        <v>USMCA</v>
      </c>
    </row>
    <row r="371" spans="1:9" x14ac:dyDescent="0.4">
      <c r="A371" t="s">
        <v>61</v>
      </c>
      <c r="B371" s="1">
        <v>45078</v>
      </c>
      <c r="C371">
        <v>841520</v>
      </c>
      <c r="D371" t="s">
        <v>176</v>
      </c>
      <c r="E371">
        <v>5365532</v>
      </c>
      <c r="F371">
        <v>29058</v>
      </c>
      <c r="G371">
        <v>81103</v>
      </c>
      <c r="H371">
        <f>_xlfn.XLOOKUP(FACT_IMPORTS[[#This Row],[hts_6]],DIM_PRODUCTS[hts_6],DIM_PRODUCTS[hts_4],,,)</f>
        <v>8415</v>
      </c>
      <c r="I371" t="str" cm="1">
        <f t="array" ref="I371">_xlfn.XLOOKUP(FACT_IMPORTS[[#This Row],[country_name]],DIM_COUNTRY[[#All],[Column2]],DIM_COUNTRY[[#All],[Column3]],,,)</f>
        <v>USMCA</v>
      </c>
    </row>
    <row r="372" spans="1:9" x14ac:dyDescent="0.4">
      <c r="A372" t="s">
        <v>61</v>
      </c>
      <c r="B372" s="1">
        <v>45078</v>
      </c>
      <c r="C372">
        <v>842132</v>
      </c>
      <c r="D372" t="s">
        <v>176</v>
      </c>
      <c r="E372">
        <v>7297421</v>
      </c>
      <c r="F372">
        <v>35625</v>
      </c>
      <c r="G372">
        <v>26134</v>
      </c>
      <c r="H372">
        <f>_xlfn.XLOOKUP(FACT_IMPORTS[[#This Row],[hts_6]],DIM_PRODUCTS[hts_6],DIM_PRODUCTS[hts_4],,,)</f>
        <v>8421</v>
      </c>
      <c r="I372" t="str" cm="1">
        <f t="array" ref="I372">_xlfn.XLOOKUP(FACT_IMPORTS[[#This Row],[country_name]],DIM_COUNTRY[[#All],[Column2]],DIM_COUNTRY[[#All],[Column3]],,,)</f>
        <v>USMCA</v>
      </c>
    </row>
    <row r="373" spans="1:9" x14ac:dyDescent="0.4">
      <c r="A373" t="s">
        <v>61</v>
      </c>
      <c r="B373" s="1">
        <v>45078</v>
      </c>
      <c r="C373">
        <v>848210</v>
      </c>
      <c r="D373" t="s">
        <v>176</v>
      </c>
      <c r="E373">
        <v>4523926</v>
      </c>
      <c r="F373">
        <v>1486159</v>
      </c>
      <c r="G373">
        <v>62529</v>
      </c>
      <c r="H373">
        <f>_xlfn.XLOOKUP(FACT_IMPORTS[[#This Row],[hts_6]],DIM_PRODUCTS[hts_6],DIM_PRODUCTS[hts_4],,,)</f>
        <v>8482</v>
      </c>
      <c r="I373" t="str" cm="1">
        <f t="array" ref="I373">_xlfn.XLOOKUP(FACT_IMPORTS[[#This Row],[country_name]],DIM_COUNTRY[[#All],[Column2]],DIM_COUNTRY[[#All],[Column3]],,,)</f>
        <v>USMCA</v>
      </c>
    </row>
    <row r="374" spans="1:9" x14ac:dyDescent="0.4">
      <c r="A374" t="s">
        <v>61</v>
      </c>
      <c r="B374" s="1">
        <v>45078</v>
      </c>
      <c r="C374">
        <v>848220</v>
      </c>
      <c r="D374" t="s">
        <v>176</v>
      </c>
      <c r="E374">
        <v>1055340</v>
      </c>
      <c r="F374">
        <v>23618</v>
      </c>
      <c r="G374">
        <v>6174</v>
      </c>
      <c r="H374">
        <f>_xlfn.XLOOKUP(FACT_IMPORTS[[#This Row],[hts_6]],DIM_PRODUCTS[hts_6],DIM_PRODUCTS[hts_4],,,)</f>
        <v>8482</v>
      </c>
      <c r="I374" t="str" cm="1">
        <f t="array" ref="I374">_xlfn.XLOOKUP(FACT_IMPORTS[[#This Row],[country_name]],DIM_COUNTRY[[#All],[Column2]],DIM_COUNTRY[[#All],[Column3]],,,)</f>
        <v>USMCA</v>
      </c>
    </row>
    <row r="375" spans="1:9" x14ac:dyDescent="0.4">
      <c r="A375" t="s">
        <v>61</v>
      </c>
      <c r="B375" s="1">
        <v>45078</v>
      </c>
      <c r="C375">
        <v>848310</v>
      </c>
      <c r="D375" t="s">
        <v>176</v>
      </c>
      <c r="E375">
        <v>16424313</v>
      </c>
      <c r="F375">
        <v>625252</v>
      </c>
      <c r="G375">
        <v>311039</v>
      </c>
      <c r="H375">
        <f>_xlfn.XLOOKUP(FACT_IMPORTS[[#This Row],[hts_6]],DIM_PRODUCTS[hts_6],DIM_PRODUCTS[hts_4],,,)</f>
        <v>8483</v>
      </c>
      <c r="I375" t="str" cm="1">
        <f t="array" ref="I375">_xlfn.XLOOKUP(FACT_IMPORTS[[#This Row],[country_name]],DIM_COUNTRY[[#All],[Column2]],DIM_COUNTRY[[#All],[Column3]],,,)</f>
        <v>USMCA</v>
      </c>
    </row>
    <row r="376" spans="1:9" x14ac:dyDescent="0.4">
      <c r="A376" t="s">
        <v>61</v>
      </c>
      <c r="B376" s="1">
        <v>45078</v>
      </c>
      <c r="C376">
        <v>850131</v>
      </c>
      <c r="D376" t="s">
        <v>176</v>
      </c>
      <c r="E376">
        <v>6374057</v>
      </c>
      <c r="F376">
        <v>161862</v>
      </c>
      <c r="G376">
        <v>49173</v>
      </c>
      <c r="H376">
        <f>_xlfn.XLOOKUP(FACT_IMPORTS[[#This Row],[hts_6]],DIM_PRODUCTS[hts_6],DIM_PRODUCTS[hts_4],,,)</f>
        <v>8501</v>
      </c>
      <c r="I376" t="str" cm="1">
        <f t="array" ref="I376">_xlfn.XLOOKUP(FACT_IMPORTS[[#This Row],[country_name]],DIM_COUNTRY[[#All],[Column2]],DIM_COUNTRY[[#All],[Column3]],,,)</f>
        <v>USMCA</v>
      </c>
    </row>
    <row r="377" spans="1:9" x14ac:dyDescent="0.4">
      <c r="A377" t="s">
        <v>61</v>
      </c>
      <c r="B377" s="1">
        <v>45078</v>
      </c>
      <c r="C377">
        <v>850132</v>
      </c>
      <c r="D377" t="s">
        <v>176</v>
      </c>
      <c r="E377">
        <v>164095</v>
      </c>
      <c r="F377">
        <v>48</v>
      </c>
      <c r="G377">
        <v>3837</v>
      </c>
      <c r="H377">
        <f>_xlfn.XLOOKUP(FACT_IMPORTS[[#This Row],[hts_6]],DIM_PRODUCTS[hts_6],DIM_PRODUCTS[hts_4],,,)</f>
        <v>8501</v>
      </c>
      <c r="I377" t="str" cm="1">
        <f t="array" ref="I377">_xlfn.XLOOKUP(FACT_IMPORTS[[#This Row],[country_name]],DIM_COUNTRY[[#All],[Column2]],DIM_COUNTRY[[#All],[Column3]],,,)</f>
        <v>USMCA</v>
      </c>
    </row>
    <row r="378" spans="1:9" x14ac:dyDescent="0.4">
      <c r="A378" t="s">
        <v>61</v>
      </c>
      <c r="B378" s="1">
        <v>45078</v>
      </c>
      <c r="C378">
        <v>850133</v>
      </c>
      <c r="D378" t="s">
        <v>176</v>
      </c>
      <c r="E378">
        <v>39878</v>
      </c>
      <c r="F378">
        <v>18</v>
      </c>
      <c r="G378">
        <v>249</v>
      </c>
      <c r="H378">
        <f>_xlfn.XLOOKUP(FACT_IMPORTS[[#This Row],[hts_6]],DIM_PRODUCTS[hts_6],DIM_PRODUCTS[hts_4],,,)</f>
        <v>8501</v>
      </c>
      <c r="I378" t="str" cm="1">
        <f t="array" ref="I378">_xlfn.XLOOKUP(FACT_IMPORTS[[#This Row],[country_name]],DIM_COUNTRY[[#All],[Column2]],DIM_COUNTRY[[#All],[Column3]],,,)</f>
        <v>USMCA</v>
      </c>
    </row>
    <row r="379" spans="1:9" x14ac:dyDescent="0.4">
      <c r="A379" t="s">
        <v>61</v>
      </c>
      <c r="B379" s="1">
        <v>45078</v>
      </c>
      <c r="C379">
        <v>850134</v>
      </c>
      <c r="D379" t="s">
        <v>176</v>
      </c>
      <c r="E379">
        <v>9200</v>
      </c>
      <c r="F379">
        <v>1</v>
      </c>
      <c r="G379">
        <v>45</v>
      </c>
      <c r="H379">
        <f>_xlfn.XLOOKUP(FACT_IMPORTS[[#This Row],[hts_6]],DIM_PRODUCTS[hts_6],DIM_PRODUCTS[hts_4],,,)</f>
        <v>8501</v>
      </c>
      <c r="I379" t="str" cm="1">
        <f t="array" ref="I379">_xlfn.XLOOKUP(FACT_IMPORTS[[#This Row],[country_name]],DIM_COUNTRY[[#All],[Column2]],DIM_COUNTRY[[#All],[Column3]],,,)</f>
        <v>USMCA</v>
      </c>
    </row>
    <row r="380" spans="1:9" x14ac:dyDescent="0.4">
      <c r="A380" t="s">
        <v>61</v>
      </c>
      <c r="B380" s="1">
        <v>45078</v>
      </c>
      <c r="C380">
        <v>850152</v>
      </c>
      <c r="D380" t="s">
        <v>176</v>
      </c>
      <c r="E380">
        <v>1195727</v>
      </c>
      <c r="F380">
        <v>322</v>
      </c>
      <c r="G380">
        <v>11047</v>
      </c>
      <c r="H380">
        <f>_xlfn.XLOOKUP(FACT_IMPORTS[[#This Row],[hts_6]],DIM_PRODUCTS[hts_6],DIM_PRODUCTS[hts_4],,,)</f>
        <v>8501</v>
      </c>
      <c r="I380" t="str" cm="1">
        <f t="array" ref="I380">_xlfn.XLOOKUP(FACT_IMPORTS[[#This Row],[country_name]],DIM_COUNTRY[[#All],[Column2]],DIM_COUNTRY[[#All],[Column3]],,,)</f>
        <v>USMCA</v>
      </c>
    </row>
    <row r="381" spans="1:9" x14ac:dyDescent="0.4">
      <c r="A381" t="s">
        <v>61</v>
      </c>
      <c r="B381" s="1">
        <v>45078</v>
      </c>
      <c r="C381">
        <v>850153</v>
      </c>
      <c r="D381" t="s">
        <v>176</v>
      </c>
      <c r="E381">
        <v>1168542</v>
      </c>
      <c r="F381">
        <v>33</v>
      </c>
      <c r="G381">
        <v>2696</v>
      </c>
      <c r="H381">
        <f>_xlfn.XLOOKUP(FACT_IMPORTS[[#This Row],[hts_6]],DIM_PRODUCTS[hts_6],DIM_PRODUCTS[hts_4],,,)</f>
        <v>8501</v>
      </c>
      <c r="I381" t="str" cm="1">
        <f t="array" ref="I381">_xlfn.XLOOKUP(FACT_IMPORTS[[#This Row],[country_name]],DIM_COUNTRY[[#All],[Column2]],DIM_COUNTRY[[#All],[Column3]],,,)</f>
        <v>USMCA</v>
      </c>
    </row>
    <row r="382" spans="1:9" x14ac:dyDescent="0.4">
      <c r="A382" t="s">
        <v>61</v>
      </c>
      <c r="B382" s="1">
        <v>45078</v>
      </c>
      <c r="C382">
        <v>850161</v>
      </c>
      <c r="D382" t="s">
        <v>176</v>
      </c>
      <c r="E382">
        <v>99257</v>
      </c>
      <c r="F382">
        <v>12</v>
      </c>
      <c r="G382">
        <v>524</v>
      </c>
      <c r="H382">
        <f>_xlfn.XLOOKUP(FACT_IMPORTS[[#This Row],[hts_6]],DIM_PRODUCTS[hts_6],DIM_PRODUCTS[hts_4],,,)</f>
        <v>8501</v>
      </c>
      <c r="I382" t="str" cm="1">
        <f t="array" ref="I382">_xlfn.XLOOKUP(FACT_IMPORTS[[#This Row],[country_name]],DIM_COUNTRY[[#All],[Column2]],DIM_COUNTRY[[#All],[Column3]],,,)</f>
        <v>USMCA</v>
      </c>
    </row>
    <row r="383" spans="1:9" x14ac:dyDescent="0.4">
      <c r="A383" t="s">
        <v>61</v>
      </c>
      <c r="B383" s="1">
        <v>45078</v>
      </c>
      <c r="C383">
        <v>850440</v>
      </c>
      <c r="D383" t="s">
        <v>176</v>
      </c>
      <c r="E383">
        <v>7124454</v>
      </c>
      <c r="F383">
        <v>48758</v>
      </c>
      <c r="G383">
        <v>108237</v>
      </c>
      <c r="H383">
        <f>_xlfn.XLOOKUP(FACT_IMPORTS[[#This Row],[hts_6]],DIM_PRODUCTS[hts_6],DIM_PRODUCTS[hts_4],,,)</f>
        <v>8504</v>
      </c>
      <c r="I383" t="str" cm="1">
        <f t="array" ref="I383">_xlfn.XLOOKUP(FACT_IMPORTS[[#This Row],[country_name]],DIM_COUNTRY[[#All],[Column2]],DIM_COUNTRY[[#All],[Column3]],,,)</f>
        <v>USMCA</v>
      </c>
    </row>
    <row r="384" spans="1:9" x14ac:dyDescent="0.4">
      <c r="A384" t="s">
        <v>61</v>
      </c>
      <c r="B384" s="1">
        <v>45078</v>
      </c>
      <c r="C384">
        <v>850710</v>
      </c>
      <c r="D384" t="s">
        <v>176</v>
      </c>
      <c r="E384">
        <v>668646</v>
      </c>
      <c r="F384">
        <v>647</v>
      </c>
      <c r="G384">
        <v>35892</v>
      </c>
      <c r="H384">
        <f>_xlfn.XLOOKUP(FACT_IMPORTS[[#This Row],[hts_6]],DIM_PRODUCTS[hts_6],DIM_PRODUCTS[hts_4],,,)</f>
        <v>8507</v>
      </c>
      <c r="I384" t="str" cm="1">
        <f t="array" ref="I384">_xlfn.XLOOKUP(FACT_IMPORTS[[#This Row],[country_name]],DIM_COUNTRY[[#All],[Column2]],DIM_COUNTRY[[#All],[Column3]],,,)</f>
        <v>USMCA</v>
      </c>
    </row>
    <row r="385" spans="1:9" x14ac:dyDescent="0.4">
      <c r="A385" t="s">
        <v>61</v>
      </c>
      <c r="B385" s="1">
        <v>45078</v>
      </c>
      <c r="C385">
        <v>850760</v>
      </c>
      <c r="D385" t="s">
        <v>176</v>
      </c>
      <c r="E385">
        <v>4736437</v>
      </c>
      <c r="F385">
        <v>1412</v>
      </c>
      <c r="G385">
        <v>8563</v>
      </c>
      <c r="H385">
        <f>_xlfn.XLOOKUP(FACT_IMPORTS[[#This Row],[hts_6]],DIM_PRODUCTS[hts_6],DIM_PRODUCTS[hts_4],,,)</f>
        <v>8507</v>
      </c>
      <c r="I385" t="str" cm="1">
        <f t="array" ref="I385">_xlfn.XLOOKUP(FACT_IMPORTS[[#This Row],[country_name]],DIM_COUNTRY[[#All],[Column2]],DIM_COUNTRY[[#All],[Column3]],,,)</f>
        <v>USMCA</v>
      </c>
    </row>
    <row r="386" spans="1:9" x14ac:dyDescent="0.4">
      <c r="A386" t="s">
        <v>61</v>
      </c>
      <c r="B386" s="1">
        <v>45078</v>
      </c>
      <c r="C386">
        <v>850790</v>
      </c>
      <c r="D386" t="s">
        <v>176</v>
      </c>
      <c r="E386">
        <v>469232</v>
      </c>
      <c r="F386">
        <v>8573</v>
      </c>
      <c r="G386">
        <v>1746</v>
      </c>
      <c r="H386">
        <f>_xlfn.XLOOKUP(FACT_IMPORTS[[#This Row],[hts_6]],DIM_PRODUCTS[hts_6],DIM_PRODUCTS[hts_4],,,)</f>
        <v>8507</v>
      </c>
      <c r="I386" t="str" cm="1">
        <f t="array" ref="I386">_xlfn.XLOOKUP(FACT_IMPORTS[[#This Row],[country_name]],DIM_COUNTRY[[#All],[Column2]],DIM_COUNTRY[[#All],[Column3]],,,)</f>
        <v>USMCA</v>
      </c>
    </row>
    <row r="387" spans="1:9" x14ac:dyDescent="0.4">
      <c r="A387" t="s">
        <v>61</v>
      </c>
      <c r="B387" s="1">
        <v>45078</v>
      </c>
      <c r="C387">
        <v>851110</v>
      </c>
      <c r="D387" t="s">
        <v>176</v>
      </c>
      <c r="E387">
        <v>0</v>
      </c>
      <c r="F387">
        <v>0</v>
      </c>
      <c r="G387">
        <v>0</v>
      </c>
      <c r="H387">
        <f>_xlfn.XLOOKUP(FACT_IMPORTS[[#This Row],[hts_6]],DIM_PRODUCTS[hts_6],DIM_PRODUCTS[hts_4],,,)</f>
        <v>8511</v>
      </c>
      <c r="I387" t="str" cm="1">
        <f t="array" ref="I387">_xlfn.XLOOKUP(FACT_IMPORTS[[#This Row],[country_name]],DIM_COUNTRY[[#All],[Column2]],DIM_COUNTRY[[#All],[Column3]],,,)</f>
        <v>USMCA</v>
      </c>
    </row>
    <row r="388" spans="1:9" x14ac:dyDescent="0.4">
      <c r="A388" t="s">
        <v>61</v>
      </c>
      <c r="B388" s="1">
        <v>45078</v>
      </c>
      <c r="C388">
        <v>851120</v>
      </c>
      <c r="D388" t="s">
        <v>176</v>
      </c>
      <c r="E388">
        <v>0</v>
      </c>
      <c r="F388">
        <v>0</v>
      </c>
      <c r="G388">
        <v>0</v>
      </c>
      <c r="H388">
        <f>_xlfn.XLOOKUP(FACT_IMPORTS[[#This Row],[hts_6]],DIM_PRODUCTS[hts_6],DIM_PRODUCTS[hts_4],,,)</f>
        <v>8511</v>
      </c>
      <c r="I388" t="str" cm="1">
        <f t="array" ref="I388">_xlfn.XLOOKUP(FACT_IMPORTS[[#This Row],[country_name]],DIM_COUNTRY[[#All],[Column2]],DIM_COUNTRY[[#All],[Column3]],,,)</f>
        <v>USMCA</v>
      </c>
    </row>
    <row r="389" spans="1:9" x14ac:dyDescent="0.4">
      <c r="A389" t="s">
        <v>61</v>
      </c>
      <c r="B389" s="1">
        <v>45078</v>
      </c>
      <c r="C389">
        <v>851130</v>
      </c>
      <c r="D389" t="s">
        <v>176</v>
      </c>
      <c r="E389">
        <v>251030</v>
      </c>
      <c r="F389">
        <v>7825</v>
      </c>
      <c r="G389">
        <v>302</v>
      </c>
      <c r="H389">
        <f>_xlfn.XLOOKUP(FACT_IMPORTS[[#This Row],[hts_6]],DIM_PRODUCTS[hts_6],DIM_PRODUCTS[hts_4],,,)</f>
        <v>8511</v>
      </c>
      <c r="I389" t="str" cm="1">
        <f t="array" ref="I389">_xlfn.XLOOKUP(FACT_IMPORTS[[#This Row],[country_name]],DIM_COUNTRY[[#All],[Column2]],DIM_COUNTRY[[#All],[Column3]],,,)</f>
        <v>USMCA</v>
      </c>
    </row>
    <row r="390" spans="1:9" x14ac:dyDescent="0.4">
      <c r="A390" t="s">
        <v>61</v>
      </c>
      <c r="B390" s="1">
        <v>45078</v>
      </c>
      <c r="C390">
        <v>851140</v>
      </c>
      <c r="D390" t="s">
        <v>176</v>
      </c>
      <c r="E390">
        <v>407166</v>
      </c>
      <c r="F390">
        <v>7236</v>
      </c>
      <c r="G390">
        <v>2766</v>
      </c>
      <c r="H390">
        <f>_xlfn.XLOOKUP(FACT_IMPORTS[[#This Row],[hts_6]],DIM_PRODUCTS[hts_6],DIM_PRODUCTS[hts_4],,,)</f>
        <v>8511</v>
      </c>
      <c r="I390" t="str" cm="1">
        <f t="array" ref="I390">_xlfn.XLOOKUP(FACT_IMPORTS[[#This Row],[country_name]],DIM_COUNTRY[[#All],[Column2]],DIM_COUNTRY[[#All],[Column3]],,,)</f>
        <v>USMCA</v>
      </c>
    </row>
    <row r="391" spans="1:9" x14ac:dyDescent="0.4">
      <c r="A391" t="s">
        <v>61</v>
      </c>
      <c r="B391" s="1">
        <v>45078</v>
      </c>
      <c r="C391">
        <v>851150</v>
      </c>
      <c r="D391" t="s">
        <v>176</v>
      </c>
      <c r="E391">
        <v>367935</v>
      </c>
      <c r="F391">
        <v>4653</v>
      </c>
      <c r="G391">
        <v>2204</v>
      </c>
      <c r="H391">
        <f>_xlfn.XLOOKUP(FACT_IMPORTS[[#This Row],[hts_6]],DIM_PRODUCTS[hts_6],DIM_PRODUCTS[hts_4],,,)</f>
        <v>8511</v>
      </c>
      <c r="I391" t="str" cm="1">
        <f t="array" ref="I391">_xlfn.XLOOKUP(FACT_IMPORTS[[#This Row],[country_name]],DIM_COUNTRY[[#All],[Column2]],DIM_COUNTRY[[#All],[Column3]],,,)</f>
        <v>USMCA</v>
      </c>
    </row>
    <row r="392" spans="1:9" x14ac:dyDescent="0.4">
      <c r="A392" t="s">
        <v>61</v>
      </c>
      <c r="B392" s="1">
        <v>45078</v>
      </c>
      <c r="C392">
        <v>851180</v>
      </c>
      <c r="D392" t="s">
        <v>176</v>
      </c>
      <c r="E392">
        <v>6155</v>
      </c>
      <c r="F392">
        <v>3</v>
      </c>
      <c r="G392">
        <v>10</v>
      </c>
      <c r="H392">
        <f>_xlfn.XLOOKUP(FACT_IMPORTS[[#This Row],[hts_6]],DIM_PRODUCTS[hts_6],DIM_PRODUCTS[hts_4],,,)</f>
        <v>8511</v>
      </c>
      <c r="I392" t="str" cm="1">
        <f t="array" ref="I392">_xlfn.XLOOKUP(FACT_IMPORTS[[#This Row],[country_name]],DIM_COUNTRY[[#All],[Column2]],DIM_COUNTRY[[#All],[Column3]],,,)</f>
        <v>USMCA</v>
      </c>
    </row>
    <row r="393" spans="1:9" x14ac:dyDescent="0.4">
      <c r="A393" t="s">
        <v>61</v>
      </c>
      <c r="B393" s="1">
        <v>45078</v>
      </c>
      <c r="C393">
        <v>851190</v>
      </c>
      <c r="D393" t="s">
        <v>176</v>
      </c>
      <c r="E393">
        <v>810244</v>
      </c>
      <c r="F393">
        <v>7242</v>
      </c>
      <c r="G393">
        <v>15383</v>
      </c>
      <c r="H393">
        <f>_xlfn.XLOOKUP(FACT_IMPORTS[[#This Row],[hts_6]],DIM_PRODUCTS[hts_6],DIM_PRODUCTS[hts_4],,,)</f>
        <v>8511</v>
      </c>
      <c r="I393" t="str" cm="1">
        <f t="array" ref="I393">_xlfn.XLOOKUP(FACT_IMPORTS[[#This Row],[country_name]],DIM_COUNTRY[[#All],[Column2]],DIM_COUNTRY[[#All],[Column3]],,,)</f>
        <v>USMCA</v>
      </c>
    </row>
    <row r="394" spans="1:9" x14ac:dyDescent="0.4">
      <c r="A394" t="s">
        <v>61</v>
      </c>
      <c r="B394" s="1">
        <v>45078</v>
      </c>
      <c r="C394">
        <v>851220</v>
      </c>
      <c r="D394" t="s">
        <v>176</v>
      </c>
      <c r="E394">
        <v>22635293</v>
      </c>
      <c r="F394">
        <v>461694</v>
      </c>
      <c r="G394">
        <v>93036</v>
      </c>
      <c r="H394">
        <f>_xlfn.XLOOKUP(FACT_IMPORTS[[#This Row],[hts_6]],DIM_PRODUCTS[hts_6],DIM_PRODUCTS[hts_4],,,)</f>
        <v>8512</v>
      </c>
      <c r="I394" t="str" cm="1">
        <f t="array" ref="I394">_xlfn.XLOOKUP(FACT_IMPORTS[[#This Row],[country_name]],DIM_COUNTRY[[#All],[Column2]],DIM_COUNTRY[[#All],[Column3]],,,)</f>
        <v>USMCA</v>
      </c>
    </row>
    <row r="395" spans="1:9" x14ac:dyDescent="0.4">
      <c r="A395" t="s">
        <v>61</v>
      </c>
      <c r="B395" s="1">
        <v>45078</v>
      </c>
      <c r="C395">
        <v>851230</v>
      </c>
      <c r="D395" t="s">
        <v>176</v>
      </c>
      <c r="E395">
        <v>30745</v>
      </c>
      <c r="F395">
        <v>682</v>
      </c>
      <c r="G395">
        <v>440</v>
      </c>
      <c r="H395">
        <f>_xlfn.XLOOKUP(FACT_IMPORTS[[#This Row],[hts_6]],DIM_PRODUCTS[hts_6],DIM_PRODUCTS[hts_4],,,)</f>
        <v>8512</v>
      </c>
      <c r="I395" t="str" cm="1">
        <f t="array" ref="I395">_xlfn.XLOOKUP(FACT_IMPORTS[[#This Row],[country_name]],DIM_COUNTRY[[#All],[Column2]],DIM_COUNTRY[[#All],[Column3]],,,)</f>
        <v>USMCA</v>
      </c>
    </row>
    <row r="396" spans="1:9" x14ac:dyDescent="0.4">
      <c r="A396" t="s">
        <v>61</v>
      </c>
      <c r="B396" s="1">
        <v>45078</v>
      </c>
      <c r="C396">
        <v>851240</v>
      </c>
      <c r="D396" t="s">
        <v>176</v>
      </c>
      <c r="E396">
        <v>0</v>
      </c>
      <c r="F396">
        <v>0</v>
      </c>
      <c r="G396">
        <v>0</v>
      </c>
      <c r="H396">
        <f>_xlfn.XLOOKUP(FACT_IMPORTS[[#This Row],[hts_6]],DIM_PRODUCTS[hts_6],DIM_PRODUCTS[hts_4],,,)</f>
        <v>8512</v>
      </c>
      <c r="I396" t="str" cm="1">
        <f t="array" ref="I396">_xlfn.XLOOKUP(FACT_IMPORTS[[#This Row],[country_name]],DIM_COUNTRY[[#All],[Column2]],DIM_COUNTRY[[#All],[Column3]],,,)</f>
        <v>USMCA</v>
      </c>
    </row>
    <row r="397" spans="1:9" x14ac:dyDescent="0.4">
      <c r="A397" t="s">
        <v>61</v>
      </c>
      <c r="B397" s="1">
        <v>45078</v>
      </c>
      <c r="C397">
        <v>851290</v>
      </c>
      <c r="D397" t="s">
        <v>176</v>
      </c>
      <c r="E397">
        <v>2395879</v>
      </c>
      <c r="F397">
        <v>52976</v>
      </c>
      <c r="G397">
        <v>9791</v>
      </c>
      <c r="H397">
        <f>_xlfn.XLOOKUP(FACT_IMPORTS[[#This Row],[hts_6]],DIM_PRODUCTS[hts_6],DIM_PRODUCTS[hts_4],,,)</f>
        <v>8512</v>
      </c>
      <c r="I397" t="str" cm="1">
        <f t="array" ref="I397">_xlfn.XLOOKUP(FACT_IMPORTS[[#This Row],[country_name]],DIM_COUNTRY[[#All],[Column2]],DIM_COUNTRY[[#All],[Column3]],,,)</f>
        <v>USMCA</v>
      </c>
    </row>
    <row r="398" spans="1:9" x14ac:dyDescent="0.4">
      <c r="A398" t="s">
        <v>61</v>
      </c>
      <c r="B398" s="1">
        <v>45078</v>
      </c>
      <c r="C398">
        <v>854231</v>
      </c>
      <c r="D398" t="s">
        <v>176</v>
      </c>
      <c r="E398">
        <v>68763</v>
      </c>
      <c r="F398">
        <v>6840</v>
      </c>
      <c r="G398">
        <v>897</v>
      </c>
      <c r="H398">
        <f>_xlfn.XLOOKUP(FACT_IMPORTS[[#This Row],[hts_6]],DIM_PRODUCTS[hts_6],DIM_PRODUCTS[hts_4],,,)</f>
        <v>8542</v>
      </c>
      <c r="I398" t="str" cm="1">
        <f t="array" ref="I398">_xlfn.XLOOKUP(FACT_IMPORTS[[#This Row],[country_name]],DIM_COUNTRY[[#All],[Column2]],DIM_COUNTRY[[#All],[Column3]],,,)</f>
        <v>USMCA</v>
      </c>
    </row>
    <row r="399" spans="1:9" x14ac:dyDescent="0.4">
      <c r="A399" t="s">
        <v>61</v>
      </c>
      <c r="B399" s="1">
        <v>45078</v>
      </c>
      <c r="C399">
        <v>854232</v>
      </c>
      <c r="D399" t="s">
        <v>176</v>
      </c>
      <c r="E399">
        <v>6639</v>
      </c>
      <c r="F399">
        <v>9600</v>
      </c>
      <c r="G399">
        <v>194</v>
      </c>
      <c r="H399">
        <f>_xlfn.XLOOKUP(FACT_IMPORTS[[#This Row],[hts_6]],DIM_PRODUCTS[hts_6],DIM_PRODUCTS[hts_4],,,)</f>
        <v>8542</v>
      </c>
      <c r="I399" t="str" cm="1">
        <f t="array" ref="I399">_xlfn.XLOOKUP(FACT_IMPORTS[[#This Row],[country_name]],DIM_COUNTRY[[#All],[Column2]],DIM_COUNTRY[[#All],[Column3]],,,)</f>
        <v>USMCA</v>
      </c>
    </row>
    <row r="400" spans="1:9" x14ac:dyDescent="0.4">
      <c r="A400" t="s">
        <v>61</v>
      </c>
      <c r="B400" s="1">
        <v>45078</v>
      </c>
      <c r="C400">
        <v>854233</v>
      </c>
      <c r="D400" t="s">
        <v>176</v>
      </c>
      <c r="E400">
        <v>0</v>
      </c>
      <c r="F400">
        <v>0</v>
      </c>
      <c r="G400">
        <v>0</v>
      </c>
      <c r="H400">
        <f>_xlfn.XLOOKUP(FACT_IMPORTS[[#This Row],[hts_6]],DIM_PRODUCTS[hts_6],DIM_PRODUCTS[hts_4],,,)</f>
        <v>8542</v>
      </c>
      <c r="I400" t="str" cm="1">
        <f t="array" ref="I400">_xlfn.XLOOKUP(FACT_IMPORTS[[#This Row],[country_name]],DIM_COUNTRY[[#All],[Column2]],DIM_COUNTRY[[#All],[Column3]],,,)</f>
        <v>USMCA</v>
      </c>
    </row>
    <row r="401" spans="1:9" x14ac:dyDescent="0.4">
      <c r="A401" t="s">
        <v>61</v>
      </c>
      <c r="B401" s="1">
        <v>45078</v>
      </c>
      <c r="C401">
        <v>854239</v>
      </c>
      <c r="D401" t="s">
        <v>176</v>
      </c>
      <c r="E401">
        <v>63724</v>
      </c>
      <c r="F401">
        <v>163900</v>
      </c>
      <c r="G401">
        <v>204</v>
      </c>
      <c r="H401">
        <f>_xlfn.XLOOKUP(FACT_IMPORTS[[#This Row],[hts_6]],DIM_PRODUCTS[hts_6],DIM_PRODUCTS[hts_4],,,)</f>
        <v>8542</v>
      </c>
      <c r="I401" t="str" cm="1">
        <f t="array" ref="I401">_xlfn.XLOOKUP(FACT_IMPORTS[[#This Row],[country_name]],DIM_COUNTRY[[#All],[Column2]],DIM_COUNTRY[[#All],[Column3]],,,)</f>
        <v>USMCA</v>
      </c>
    </row>
    <row r="402" spans="1:9" x14ac:dyDescent="0.4">
      <c r="A402" t="s">
        <v>61</v>
      </c>
      <c r="B402" s="1">
        <v>45078</v>
      </c>
      <c r="C402">
        <v>854290</v>
      </c>
      <c r="D402" t="s">
        <v>176</v>
      </c>
      <c r="E402">
        <v>48433</v>
      </c>
      <c r="F402">
        <v>111</v>
      </c>
      <c r="G402">
        <v>65</v>
      </c>
      <c r="H402">
        <f>_xlfn.XLOOKUP(FACT_IMPORTS[[#This Row],[hts_6]],DIM_PRODUCTS[hts_6],DIM_PRODUCTS[hts_4],,,)</f>
        <v>8542</v>
      </c>
      <c r="I402" t="str" cm="1">
        <f t="array" ref="I402">_xlfn.XLOOKUP(FACT_IMPORTS[[#This Row],[country_name]],DIM_COUNTRY[[#All],[Column2]],DIM_COUNTRY[[#All],[Column3]],,,)</f>
        <v>USMCA</v>
      </c>
    </row>
    <row r="403" spans="1:9" x14ac:dyDescent="0.4">
      <c r="A403" t="s">
        <v>61</v>
      </c>
      <c r="B403" s="1">
        <v>45078</v>
      </c>
      <c r="C403">
        <v>854430</v>
      </c>
      <c r="D403" t="s">
        <v>176</v>
      </c>
      <c r="E403">
        <v>1348400</v>
      </c>
      <c r="F403">
        <v>47343</v>
      </c>
      <c r="G403">
        <v>7188</v>
      </c>
      <c r="H403">
        <f>_xlfn.XLOOKUP(FACT_IMPORTS[[#This Row],[hts_6]],DIM_PRODUCTS[hts_6],DIM_PRODUCTS[hts_4],,,)</f>
        <v>8544</v>
      </c>
      <c r="I403" t="str" cm="1">
        <f t="array" ref="I403">_xlfn.XLOOKUP(FACT_IMPORTS[[#This Row],[country_name]],DIM_COUNTRY[[#All],[Column2]],DIM_COUNTRY[[#All],[Column3]],,,)</f>
        <v>USMCA</v>
      </c>
    </row>
    <row r="404" spans="1:9" x14ac:dyDescent="0.4">
      <c r="A404" t="s">
        <v>61</v>
      </c>
      <c r="B404" s="1">
        <v>45078</v>
      </c>
      <c r="C404">
        <v>870710</v>
      </c>
      <c r="D404" t="s">
        <v>176</v>
      </c>
      <c r="E404">
        <v>3192</v>
      </c>
      <c r="F404">
        <v>2</v>
      </c>
      <c r="G404">
        <v>200</v>
      </c>
      <c r="H404">
        <f>_xlfn.XLOOKUP(FACT_IMPORTS[[#This Row],[hts_6]],DIM_PRODUCTS[hts_6],DIM_PRODUCTS[hts_4],,,)</f>
        <v>8707</v>
      </c>
      <c r="I404" t="str" cm="1">
        <f t="array" ref="I404">_xlfn.XLOOKUP(FACT_IMPORTS[[#This Row],[country_name]],DIM_COUNTRY[[#All],[Column2]],DIM_COUNTRY[[#All],[Column3]],,,)</f>
        <v>USMCA</v>
      </c>
    </row>
    <row r="405" spans="1:9" x14ac:dyDescent="0.4">
      <c r="A405" t="s">
        <v>61</v>
      </c>
      <c r="B405" s="1">
        <v>45078</v>
      </c>
      <c r="C405">
        <v>870790</v>
      </c>
      <c r="D405" t="s">
        <v>176</v>
      </c>
      <c r="E405">
        <v>4018719</v>
      </c>
      <c r="F405">
        <v>321</v>
      </c>
      <c r="G405">
        <v>40342</v>
      </c>
      <c r="H405">
        <f>_xlfn.XLOOKUP(FACT_IMPORTS[[#This Row],[hts_6]],DIM_PRODUCTS[hts_6],DIM_PRODUCTS[hts_4],,,)</f>
        <v>8707</v>
      </c>
      <c r="I405" t="str" cm="1">
        <f t="array" ref="I405">_xlfn.XLOOKUP(FACT_IMPORTS[[#This Row],[country_name]],DIM_COUNTRY[[#All],[Column2]],DIM_COUNTRY[[#All],[Column3]],,,)</f>
        <v>USMCA</v>
      </c>
    </row>
    <row r="406" spans="1:9" x14ac:dyDescent="0.4">
      <c r="A406" t="s">
        <v>61</v>
      </c>
      <c r="B406" s="1">
        <v>45078</v>
      </c>
      <c r="C406">
        <v>870810</v>
      </c>
      <c r="D406" t="s">
        <v>176</v>
      </c>
      <c r="E406">
        <v>26103860</v>
      </c>
      <c r="F406">
        <v>1186224</v>
      </c>
      <c r="G406">
        <v>478513</v>
      </c>
      <c r="H406">
        <f>_xlfn.XLOOKUP(FACT_IMPORTS[[#This Row],[hts_6]],DIM_PRODUCTS[hts_6],DIM_PRODUCTS[hts_4],,,)</f>
        <v>8708</v>
      </c>
      <c r="I406" t="str" cm="1">
        <f t="array" ref="I406">_xlfn.XLOOKUP(FACT_IMPORTS[[#This Row],[country_name]],DIM_COUNTRY[[#All],[Column2]],DIM_COUNTRY[[#All],[Column3]],,,)</f>
        <v>USMCA</v>
      </c>
    </row>
    <row r="407" spans="1:9" x14ac:dyDescent="0.4">
      <c r="A407" t="s">
        <v>61</v>
      </c>
      <c r="B407" s="1">
        <v>45078</v>
      </c>
      <c r="C407">
        <v>870821</v>
      </c>
      <c r="D407" t="s">
        <v>176</v>
      </c>
      <c r="E407">
        <v>125999</v>
      </c>
      <c r="F407">
        <v>4790</v>
      </c>
      <c r="G407">
        <v>1601</v>
      </c>
      <c r="H407">
        <f>_xlfn.XLOOKUP(FACT_IMPORTS[[#This Row],[hts_6]],DIM_PRODUCTS[hts_6],DIM_PRODUCTS[hts_4],,,)</f>
        <v>8708</v>
      </c>
      <c r="I407" t="str" cm="1">
        <f t="array" ref="I407">_xlfn.XLOOKUP(FACT_IMPORTS[[#This Row],[country_name]],DIM_COUNTRY[[#All],[Column2]],DIM_COUNTRY[[#All],[Column3]],,,)</f>
        <v>USMCA</v>
      </c>
    </row>
    <row r="408" spans="1:9" x14ac:dyDescent="0.4">
      <c r="A408" t="s">
        <v>61</v>
      </c>
      <c r="B408" s="1">
        <v>45078</v>
      </c>
      <c r="C408">
        <v>870822</v>
      </c>
      <c r="D408" t="s">
        <v>176</v>
      </c>
      <c r="E408">
        <v>4807311</v>
      </c>
      <c r="F408">
        <v>89629</v>
      </c>
      <c r="G408">
        <v>188120</v>
      </c>
      <c r="H408">
        <f>_xlfn.XLOOKUP(FACT_IMPORTS[[#This Row],[hts_6]],DIM_PRODUCTS[hts_6],DIM_PRODUCTS[hts_4],,,)</f>
        <v>8708</v>
      </c>
      <c r="I408" t="str" cm="1">
        <f t="array" ref="I408">_xlfn.XLOOKUP(FACT_IMPORTS[[#This Row],[country_name]],DIM_COUNTRY[[#All],[Column2]],DIM_COUNTRY[[#All],[Column3]],,,)</f>
        <v>USMCA</v>
      </c>
    </row>
    <row r="409" spans="1:9" x14ac:dyDescent="0.4">
      <c r="A409" t="s">
        <v>61</v>
      </c>
      <c r="B409" s="1">
        <v>45078</v>
      </c>
      <c r="C409">
        <v>870829</v>
      </c>
      <c r="D409" t="s">
        <v>176</v>
      </c>
      <c r="E409">
        <v>383003579</v>
      </c>
      <c r="F409">
        <v>59314584</v>
      </c>
      <c r="G409">
        <v>8715159</v>
      </c>
      <c r="H409">
        <f>_xlfn.XLOOKUP(FACT_IMPORTS[[#This Row],[hts_6]],DIM_PRODUCTS[hts_6],DIM_PRODUCTS[hts_4],,,)</f>
        <v>8708</v>
      </c>
      <c r="I409" t="str" cm="1">
        <f t="array" ref="I409">_xlfn.XLOOKUP(FACT_IMPORTS[[#This Row],[country_name]],DIM_COUNTRY[[#All],[Column2]],DIM_COUNTRY[[#All],[Column3]],,,)</f>
        <v>USMCA</v>
      </c>
    </row>
    <row r="410" spans="1:9" x14ac:dyDescent="0.4">
      <c r="A410" t="s">
        <v>61</v>
      </c>
      <c r="B410" s="1">
        <v>45078</v>
      </c>
      <c r="C410">
        <v>870830</v>
      </c>
      <c r="D410" t="s">
        <v>176</v>
      </c>
      <c r="E410">
        <v>14951227</v>
      </c>
      <c r="F410">
        <v>4295442</v>
      </c>
      <c r="G410">
        <v>203559</v>
      </c>
      <c r="H410">
        <f>_xlfn.XLOOKUP(FACT_IMPORTS[[#This Row],[hts_6]],DIM_PRODUCTS[hts_6],DIM_PRODUCTS[hts_4],,,)</f>
        <v>8708</v>
      </c>
      <c r="I410" t="str" cm="1">
        <f t="array" ref="I410">_xlfn.XLOOKUP(FACT_IMPORTS[[#This Row],[country_name]],DIM_COUNTRY[[#All],[Column2]],DIM_COUNTRY[[#All],[Column3]],,,)</f>
        <v>USMCA</v>
      </c>
    </row>
    <row r="411" spans="1:9" x14ac:dyDescent="0.4">
      <c r="A411" t="s">
        <v>61</v>
      </c>
      <c r="B411" s="1">
        <v>45078</v>
      </c>
      <c r="C411">
        <v>870840</v>
      </c>
      <c r="D411" t="s">
        <v>176</v>
      </c>
      <c r="E411">
        <v>95827699</v>
      </c>
      <c r="F411">
        <v>4760699</v>
      </c>
      <c r="G411">
        <v>559830</v>
      </c>
      <c r="H411">
        <f>_xlfn.XLOOKUP(FACT_IMPORTS[[#This Row],[hts_6]],DIM_PRODUCTS[hts_6],DIM_PRODUCTS[hts_4],,,)</f>
        <v>8708</v>
      </c>
      <c r="I411" t="str" cm="1">
        <f t="array" ref="I411">_xlfn.XLOOKUP(FACT_IMPORTS[[#This Row],[country_name]],DIM_COUNTRY[[#All],[Column2]],DIM_COUNTRY[[#All],[Column3]],,,)</f>
        <v>USMCA</v>
      </c>
    </row>
    <row r="412" spans="1:9" x14ac:dyDescent="0.4">
      <c r="A412" t="s">
        <v>61</v>
      </c>
      <c r="B412" s="1">
        <v>45078</v>
      </c>
      <c r="C412">
        <v>870850</v>
      </c>
      <c r="D412" t="s">
        <v>176</v>
      </c>
      <c r="E412">
        <v>36944322</v>
      </c>
      <c r="F412">
        <v>1700001</v>
      </c>
      <c r="G412">
        <v>205452</v>
      </c>
      <c r="H412">
        <f>_xlfn.XLOOKUP(FACT_IMPORTS[[#This Row],[hts_6]],DIM_PRODUCTS[hts_6],DIM_PRODUCTS[hts_4],,,)</f>
        <v>8708</v>
      </c>
      <c r="I412" t="str" cm="1">
        <f t="array" ref="I412">_xlfn.XLOOKUP(FACT_IMPORTS[[#This Row],[country_name]],DIM_COUNTRY[[#All],[Column2]],DIM_COUNTRY[[#All],[Column3]],,,)</f>
        <v>USMCA</v>
      </c>
    </row>
    <row r="413" spans="1:9" x14ac:dyDescent="0.4">
      <c r="A413" t="s">
        <v>61</v>
      </c>
      <c r="B413" s="1">
        <v>45078</v>
      </c>
      <c r="C413">
        <v>870870</v>
      </c>
      <c r="D413" t="s">
        <v>176</v>
      </c>
      <c r="E413">
        <v>6906569</v>
      </c>
      <c r="F413">
        <v>8510867</v>
      </c>
      <c r="G413">
        <v>80643</v>
      </c>
      <c r="H413">
        <f>_xlfn.XLOOKUP(FACT_IMPORTS[[#This Row],[hts_6]],DIM_PRODUCTS[hts_6],DIM_PRODUCTS[hts_4],,,)</f>
        <v>8708</v>
      </c>
      <c r="I413" t="str" cm="1">
        <f t="array" ref="I413">_xlfn.XLOOKUP(FACT_IMPORTS[[#This Row],[country_name]],DIM_COUNTRY[[#All],[Column2]],DIM_COUNTRY[[#All],[Column3]],,,)</f>
        <v>USMCA</v>
      </c>
    </row>
    <row r="414" spans="1:9" x14ac:dyDescent="0.4">
      <c r="A414" t="s">
        <v>61</v>
      </c>
      <c r="B414" s="1">
        <v>45078</v>
      </c>
      <c r="C414">
        <v>870880</v>
      </c>
      <c r="D414" t="s">
        <v>176</v>
      </c>
      <c r="E414">
        <v>58656978</v>
      </c>
      <c r="F414">
        <v>3273691</v>
      </c>
      <c r="G414">
        <v>1005982</v>
      </c>
      <c r="H414">
        <f>_xlfn.XLOOKUP(FACT_IMPORTS[[#This Row],[hts_6]],DIM_PRODUCTS[hts_6],DIM_PRODUCTS[hts_4],,,)</f>
        <v>8708</v>
      </c>
      <c r="I414" t="str" cm="1">
        <f t="array" ref="I414">_xlfn.XLOOKUP(FACT_IMPORTS[[#This Row],[country_name]],DIM_COUNTRY[[#All],[Column2]],DIM_COUNTRY[[#All],[Column3]],,,)</f>
        <v>USMCA</v>
      </c>
    </row>
    <row r="415" spans="1:9" x14ac:dyDescent="0.4">
      <c r="A415" t="s">
        <v>61</v>
      </c>
      <c r="B415" s="1">
        <v>45078</v>
      </c>
      <c r="C415">
        <v>870891</v>
      </c>
      <c r="D415" t="s">
        <v>176</v>
      </c>
      <c r="E415">
        <v>11834695</v>
      </c>
      <c r="F415">
        <v>354439</v>
      </c>
      <c r="G415">
        <v>236036</v>
      </c>
      <c r="H415">
        <f>_xlfn.XLOOKUP(FACT_IMPORTS[[#This Row],[hts_6]],DIM_PRODUCTS[hts_6],DIM_PRODUCTS[hts_4],,,)</f>
        <v>8708</v>
      </c>
      <c r="I415" t="str" cm="1">
        <f t="array" ref="I415">_xlfn.XLOOKUP(FACT_IMPORTS[[#This Row],[country_name]],DIM_COUNTRY[[#All],[Column2]],DIM_COUNTRY[[#All],[Column3]],,,)</f>
        <v>USMCA</v>
      </c>
    </row>
    <row r="416" spans="1:9" x14ac:dyDescent="0.4">
      <c r="A416" t="s">
        <v>61</v>
      </c>
      <c r="B416" s="1">
        <v>45078</v>
      </c>
      <c r="C416">
        <v>870892</v>
      </c>
      <c r="D416" t="s">
        <v>176</v>
      </c>
      <c r="E416">
        <v>21812893</v>
      </c>
      <c r="F416">
        <v>1390473</v>
      </c>
      <c r="G416">
        <v>419175</v>
      </c>
      <c r="H416">
        <f>_xlfn.XLOOKUP(FACT_IMPORTS[[#This Row],[hts_6]],DIM_PRODUCTS[hts_6],DIM_PRODUCTS[hts_4],,,)</f>
        <v>8708</v>
      </c>
      <c r="I416" t="str" cm="1">
        <f t="array" ref="I416">_xlfn.XLOOKUP(FACT_IMPORTS[[#This Row],[country_name]],DIM_COUNTRY[[#All],[Column2]],DIM_COUNTRY[[#All],[Column3]],,,)</f>
        <v>USMCA</v>
      </c>
    </row>
    <row r="417" spans="1:9" x14ac:dyDescent="0.4">
      <c r="A417" t="s">
        <v>61</v>
      </c>
      <c r="B417" s="1">
        <v>45078</v>
      </c>
      <c r="C417">
        <v>870893</v>
      </c>
      <c r="D417" t="s">
        <v>176</v>
      </c>
      <c r="E417">
        <v>52058724</v>
      </c>
      <c r="F417">
        <v>1382115</v>
      </c>
      <c r="G417">
        <v>162249</v>
      </c>
      <c r="H417">
        <f>_xlfn.XLOOKUP(FACT_IMPORTS[[#This Row],[hts_6]],DIM_PRODUCTS[hts_6],DIM_PRODUCTS[hts_4],,,)</f>
        <v>8708</v>
      </c>
      <c r="I417" t="str" cm="1">
        <f t="array" ref="I417">_xlfn.XLOOKUP(FACT_IMPORTS[[#This Row],[country_name]],DIM_COUNTRY[[#All],[Column2]],DIM_COUNTRY[[#All],[Column3]],,,)</f>
        <v>USMCA</v>
      </c>
    </row>
    <row r="418" spans="1:9" x14ac:dyDescent="0.4">
      <c r="A418" t="s">
        <v>61</v>
      </c>
      <c r="B418" s="1">
        <v>45078</v>
      </c>
      <c r="C418">
        <v>870894</v>
      </c>
      <c r="D418" t="s">
        <v>176</v>
      </c>
      <c r="E418">
        <v>11450537</v>
      </c>
      <c r="F418">
        <v>2911176</v>
      </c>
      <c r="G418">
        <v>125470</v>
      </c>
      <c r="H418">
        <f>_xlfn.XLOOKUP(FACT_IMPORTS[[#This Row],[hts_6]],DIM_PRODUCTS[hts_6],DIM_PRODUCTS[hts_4],,,)</f>
        <v>8708</v>
      </c>
      <c r="I418" t="str" cm="1">
        <f t="array" ref="I418">_xlfn.XLOOKUP(FACT_IMPORTS[[#This Row],[country_name]],DIM_COUNTRY[[#All],[Column2]],DIM_COUNTRY[[#All],[Column3]],,,)</f>
        <v>USMCA</v>
      </c>
    </row>
    <row r="419" spans="1:9" x14ac:dyDescent="0.4">
      <c r="A419" t="s">
        <v>61</v>
      </c>
      <c r="B419" s="1">
        <v>45078</v>
      </c>
      <c r="C419">
        <v>870895</v>
      </c>
      <c r="D419" t="s">
        <v>176</v>
      </c>
      <c r="E419">
        <v>1927662</v>
      </c>
      <c r="F419">
        <v>1660417</v>
      </c>
      <c r="G419">
        <v>14496</v>
      </c>
      <c r="H419">
        <f>_xlfn.XLOOKUP(FACT_IMPORTS[[#This Row],[hts_6]],DIM_PRODUCTS[hts_6],DIM_PRODUCTS[hts_4],,,)</f>
        <v>8708</v>
      </c>
      <c r="I419" t="str" cm="1">
        <f t="array" ref="I419">_xlfn.XLOOKUP(FACT_IMPORTS[[#This Row],[country_name]],DIM_COUNTRY[[#All],[Column2]],DIM_COUNTRY[[#All],[Column3]],,,)</f>
        <v>USMCA</v>
      </c>
    </row>
    <row r="420" spans="1:9" x14ac:dyDescent="0.4">
      <c r="A420" t="s">
        <v>61</v>
      </c>
      <c r="B420" s="1">
        <v>45078</v>
      </c>
      <c r="C420">
        <v>870899</v>
      </c>
      <c r="D420" t="s">
        <v>176</v>
      </c>
      <c r="E420">
        <v>179795076</v>
      </c>
      <c r="F420">
        <v>16528297</v>
      </c>
      <c r="G420">
        <v>2399279</v>
      </c>
      <c r="H420">
        <f>_xlfn.XLOOKUP(FACT_IMPORTS[[#This Row],[hts_6]],DIM_PRODUCTS[hts_6],DIM_PRODUCTS[hts_4],,,)</f>
        <v>8708</v>
      </c>
      <c r="I420" t="str" cm="1">
        <f t="array" ref="I420">_xlfn.XLOOKUP(FACT_IMPORTS[[#This Row],[country_name]],DIM_COUNTRY[[#All],[Column2]],DIM_COUNTRY[[#All],[Column3]],,,)</f>
        <v>USMCA</v>
      </c>
    </row>
    <row r="421" spans="1:9" x14ac:dyDescent="0.4">
      <c r="A421" t="s">
        <v>61</v>
      </c>
      <c r="B421" s="1">
        <v>45078</v>
      </c>
      <c r="C421">
        <v>940120</v>
      </c>
      <c r="D421" t="s">
        <v>176</v>
      </c>
      <c r="E421">
        <v>1577933</v>
      </c>
      <c r="F421">
        <v>41981</v>
      </c>
      <c r="G421">
        <v>12162</v>
      </c>
      <c r="H421">
        <f>_xlfn.XLOOKUP(FACT_IMPORTS[[#This Row],[hts_6]],DIM_PRODUCTS[hts_6],DIM_PRODUCTS[hts_4],,,)</f>
        <v>9401</v>
      </c>
      <c r="I421" t="str" cm="1">
        <f t="array" ref="I421">_xlfn.XLOOKUP(FACT_IMPORTS[[#This Row],[country_name]],DIM_COUNTRY[[#All],[Column2]],DIM_COUNTRY[[#All],[Column3]],,,)</f>
        <v>USMCA</v>
      </c>
    </row>
    <row r="422" spans="1:9" x14ac:dyDescent="0.4">
      <c r="A422" t="s">
        <v>61</v>
      </c>
      <c r="B422" s="1">
        <v>45108</v>
      </c>
      <c r="C422">
        <v>392630</v>
      </c>
      <c r="D422" t="s">
        <v>176</v>
      </c>
      <c r="E422">
        <v>3244095</v>
      </c>
      <c r="F422">
        <v>318144</v>
      </c>
      <c r="G422">
        <v>125911</v>
      </c>
      <c r="H422">
        <f>_xlfn.XLOOKUP(FACT_IMPORTS[[#This Row],[hts_6]],DIM_PRODUCTS[hts_6],DIM_PRODUCTS[hts_4],,,)</f>
        <v>3926</v>
      </c>
      <c r="I422" t="str" cm="1">
        <f t="array" ref="I422">_xlfn.XLOOKUP(FACT_IMPORTS[[#This Row],[country_name]],DIM_COUNTRY[[#All],[Column2]],DIM_COUNTRY[[#All],[Column3]],,,)</f>
        <v>USMCA</v>
      </c>
    </row>
    <row r="423" spans="1:9" x14ac:dyDescent="0.4">
      <c r="A423" t="s">
        <v>61</v>
      </c>
      <c r="B423" s="1">
        <v>45108</v>
      </c>
      <c r="C423">
        <v>401110</v>
      </c>
      <c r="D423" t="s">
        <v>176</v>
      </c>
      <c r="E423">
        <v>37969582</v>
      </c>
      <c r="F423">
        <v>574012</v>
      </c>
      <c r="G423">
        <v>257871</v>
      </c>
      <c r="H423">
        <f>_xlfn.XLOOKUP(FACT_IMPORTS[[#This Row],[hts_6]],DIM_PRODUCTS[hts_6],DIM_PRODUCTS[hts_4],,,)</f>
        <v>4011</v>
      </c>
      <c r="I423" t="str" cm="1">
        <f t="array" ref="I423">_xlfn.XLOOKUP(FACT_IMPORTS[[#This Row],[country_name]],DIM_COUNTRY[[#All],[Column2]],DIM_COUNTRY[[#All],[Column3]],,,)</f>
        <v>USMCA</v>
      </c>
    </row>
    <row r="424" spans="1:9" x14ac:dyDescent="0.4">
      <c r="A424" t="s">
        <v>61</v>
      </c>
      <c r="B424" s="1">
        <v>45108</v>
      </c>
      <c r="C424">
        <v>401120</v>
      </c>
      <c r="D424" t="s">
        <v>176</v>
      </c>
      <c r="E424">
        <v>45902543</v>
      </c>
      <c r="F424">
        <v>288919</v>
      </c>
      <c r="G424">
        <v>181279</v>
      </c>
      <c r="H424">
        <f>_xlfn.XLOOKUP(FACT_IMPORTS[[#This Row],[hts_6]],DIM_PRODUCTS[hts_6],DIM_PRODUCTS[hts_4],,,)</f>
        <v>4011</v>
      </c>
      <c r="I424" t="str" cm="1">
        <f t="array" ref="I424">_xlfn.XLOOKUP(FACT_IMPORTS[[#This Row],[country_name]],DIM_COUNTRY[[#All],[Column2]],DIM_COUNTRY[[#All],[Column3]],,,)</f>
        <v>USMCA</v>
      </c>
    </row>
    <row r="425" spans="1:9" x14ac:dyDescent="0.4">
      <c r="A425" t="s">
        <v>61</v>
      </c>
      <c r="B425" s="1">
        <v>45108</v>
      </c>
      <c r="C425">
        <v>401140</v>
      </c>
      <c r="D425" t="s">
        <v>176</v>
      </c>
      <c r="E425">
        <v>0</v>
      </c>
      <c r="F425">
        <v>0</v>
      </c>
      <c r="G425">
        <v>0</v>
      </c>
      <c r="H425">
        <f>_xlfn.XLOOKUP(FACT_IMPORTS[[#This Row],[hts_6]],DIM_PRODUCTS[hts_6],DIM_PRODUCTS[hts_4],,,)</f>
        <v>4011</v>
      </c>
      <c r="I425" t="str" cm="1">
        <f t="array" ref="I425">_xlfn.XLOOKUP(FACT_IMPORTS[[#This Row],[country_name]],DIM_COUNTRY[[#All],[Column2]],DIM_COUNTRY[[#All],[Column3]],,,)</f>
        <v>USMCA</v>
      </c>
    </row>
    <row r="426" spans="1:9" x14ac:dyDescent="0.4">
      <c r="A426" t="s">
        <v>61</v>
      </c>
      <c r="B426" s="1">
        <v>45108</v>
      </c>
      <c r="C426">
        <v>401190</v>
      </c>
      <c r="D426" t="s">
        <v>176</v>
      </c>
      <c r="E426">
        <v>18714</v>
      </c>
      <c r="F426">
        <v>259</v>
      </c>
      <c r="G426">
        <v>748</v>
      </c>
      <c r="H426">
        <f>_xlfn.XLOOKUP(FACT_IMPORTS[[#This Row],[hts_6]],DIM_PRODUCTS[hts_6],DIM_PRODUCTS[hts_4],,,)</f>
        <v>4011</v>
      </c>
      <c r="I426" t="str" cm="1">
        <f t="array" ref="I426">_xlfn.XLOOKUP(FACT_IMPORTS[[#This Row],[country_name]],DIM_COUNTRY[[#All],[Column2]],DIM_COUNTRY[[#All],[Column3]],,,)</f>
        <v>USMCA</v>
      </c>
    </row>
    <row r="427" spans="1:9" x14ac:dyDescent="0.4">
      <c r="A427" t="s">
        <v>61</v>
      </c>
      <c r="B427" s="1">
        <v>45108</v>
      </c>
      <c r="C427">
        <v>700711</v>
      </c>
      <c r="D427" t="s">
        <v>176</v>
      </c>
      <c r="E427">
        <v>700144</v>
      </c>
      <c r="F427">
        <v>1506</v>
      </c>
      <c r="G427">
        <v>5316</v>
      </c>
      <c r="H427">
        <f>_xlfn.XLOOKUP(FACT_IMPORTS[[#This Row],[hts_6]],DIM_PRODUCTS[hts_6],DIM_PRODUCTS[hts_4],,,)</f>
        <v>7007</v>
      </c>
      <c r="I427" t="str" cm="1">
        <f t="array" ref="I427">_xlfn.XLOOKUP(FACT_IMPORTS[[#This Row],[country_name]],DIM_COUNTRY[[#All],[Column2]],DIM_COUNTRY[[#All],[Column3]],,,)</f>
        <v>USMCA</v>
      </c>
    </row>
    <row r="428" spans="1:9" x14ac:dyDescent="0.4">
      <c r="A428" t="s">
        <v>61</v>
      </c>
      <c r="B428" s="1">
        <v>45108</v>
      </c>
      <c r="C428">
        <v>700721</v>
      </c>
      <c r="D428" t="s">
        <v>176</v>
      </c>
      <c r="E428">
        <v>36727</v>
      </c>
      <c r="F428">
        <v>29</v>
      </c>
      <c r="G428">
        <v>2458</v>
      </c>
      <c r="H428">
        <f>_xlfn.XLOOKUP(FACT_IMPORTS[[#This Row],[hts_6]],DIM_PRODUCTS[hts_6],DIM_PRODUCTS[hts_4],,,)</f>
        <v>7007</v>
      </c>
      <c r="I428" t="str" cm="1">
        <f t="array" ref="I428">_xlfn.XLOOKUP(FACT_IMPORTS[[#This Row],[country_name]],DIM_COUNTRY[[#All],[Column2]],DIM_COUNTRY[[#All],[Column3]],,,)</f>
        <v>USMCA</v>
      </c>
    </row>
    <row r="429" spans="1:9" x14ac:dyDescent="0.4">
      <c r="A429" t="s">
        <v>61</v>
      </c>
      <c r="B429" s="1">
        <v>45108</v>
      </c>
      <c r="C429">
        <v>700910</v>
      </c>
      <c r="D429" t="s">
        <v>176</v>
      </c>
      <c r="E429">
        <v>306399</v>
      </c>
      <c r="F429">
        <v>4725</v>
      </c>
      <c r="G429">
        <v>2560</v>
      </c>
      <c r="H429">
        <f>_xlfn.XLOOKUP(FACT_IMPORTS[[#This Row],[hts_6]],DIM_PRODUCTS[hts_6],DIM_PRODUCTS[hts_4],,,)</f>
        <v>7009</v>
      </c>
      <c r="I429" t="str" cm="1">
        <f t="array" ref="I429">_xlfn.XLOOKUP(FACT_IMPORTS[[#This Row],[country_name]],DIM_COUNTRY[[#All],[Column2]],DIM_COUNTRY[[#All],[Column3]],,,)</f>
        <v>USMCA</v>
      </c>
    </row>
    <row r="430" spans="1:9" x14ac:dyDescent="0.4">
      <c r="A430" t="s">
        <v>61</v>
      </c>
      <c r="B430" s="1">
        <v>45108</v>
      </c>
      <c r="C430">
        <v>732010</v>
      </c>
      <c r="D430" t="s">
        <v>176</v>
      </c>
      <c r="E430">
        <v>3558179</v>
      </c>
      <c r="F430">
        <v>1086505</v>
      </c>
      <c r="G430">
        <v>25375</v>
      </c>
      <c r="H430">
        <f>_xlfn.XLOOKUP(FACT_IMPORTS[[#This Row],[hts_6]],DIM_PRODUCTS[hts_6],DIM_PRODUCTS[hts_4],,,)</f>
        <v>7320</v>
      </c>
      <c r="I430" t="str" cm="1">
        <f t="array" ref="I430">_xlfn.XLOOKUP(FACT_IMPORTS[[#This Row],[country_name]],DIM_COUNTRY[[#All],[Column2]],DIM_COUNTRY[[#All],[Column3]],,,)</f>
        <v>USMCA</v>
      </c>
    </row>
    <row r="431" spans="1:9" x14ac:dyDescent="0.4">
      <c r="A431" t="s">
        <v>61</v>
      </c>
      <c r="B431" s="1">
        <v>45108</v>
      </c>
      <c r="C431">
        <v>830230</v>
      </c>
      <c r="D431" t="s">
        <v>176</v>
      </c>
      <c r="E431">
        <v>34334787</v>
      </c>
      <c r="F431">
        <v>7353020</v>
      </c>
      <c r="G431">
        <v>955923</v>
      </c>
      <c r="H431">
        <f>_xlfn.XLOOKUP(FACT_IMPORTS[[#This Row],[hts_6]],DIM_PRODUCTS[hts_6],DIM_PRODUCTS[hts_4],,,)</f>
        <v>8302</v>
      </c>
      <c r="I431" t="str" cm="1">
        <f t="array" ref="I431">_xlfn.XLOOKUP(FACT_IMPORTS[[#This Row],[country_name]],DIM_COUNTRY[[#All],[Column2]],DIM_COUNTRY[[#All],[Column3]],,,)</f>
        <v>USMCA</v>
      </c>
    </row>
    <row r="432" spans="1:9" x14ac:dyDescent="0.4">
      <c r="A432" t="s">
        <v>61</v>
      </c>
      <c r="B432" s="1">
        <v>45108</v>
      </c>
      <c r="C432">
        <v>840731</v>
      </c>
      <c r="D432" t="s">
        <v>176</v>
      </c>
      <c r="E432">
        <v>9000</v>
      </c>
      <c r="F432">
        <v>1</v>
      </c>
      <c r="G432">
        <v>500</v>
      </c>
      <c r="H432">
        <f>_xlfn.XLOOKUP(FACT_IMPORTS[[#This Row],[hts_6]],DIM_PRODUCTS[hts_6],DIM_PRODUCTS[hts_4],,,)</f>
        <v>8407</v>
      </c>
      <c r="I432" t="str" cm="1">
        <f t="array" ref="I432">_xlfn.XLOOKUP(FACT_IMPORTS[[#This Row],[country_name]],DIM_COUNTRY[[#All],[Column2]],DIM_COUNTRY[[#All],[Column3]],,,)</f>
        <v>USMCA</v>
      </c>
    </row>
    <row r="433" spans="1:9" x14ac:dyDescent="0.4">
      <c r="A433" t="s">
        <v>61</v>
      </c>
      <c r="B433" s="1">
        <v>45108</v>
      </c>
      <c r="C433">
        <v>840733</v>
      </c>
      <c r="D433" t="s">
        <v>176</v>
      </c>
      <c r="E433">
        <v>12000</v>
      </c>
      <c r="F433">
        <v>2</v>
      </c>
      <c r="G433">
        <v>1129</v>
      </c>
      <c r="H433">
        <f>_xlfn.XLOOKUP(FACT_IMPORTS[[#This Row],[hts_6]],DIM_PRODUCTS[hts_6],DIM_PRODUCTS[hts_4],,,)</f>
        <v>8407</v>
      </c>
      <c r="I433" t="str" cm="1">
        <f t="array" ref="I433">_xlfn.XLOOKUP(FACT_IMPORTS[[#This Row],[country_name]],DIM_COUNTRY[[#All],[Column2]],DIM_COUNTRY[[#All],[Column3]],,,)</f>
        <v>USMCA</v>
      </c>
    </row>
    <row r="434" spans="1:9" x14ac:dyDescent="0.4">
      <c r="A434" t="s">
        <v>61</v>
      </c>
      <c r="B434" s="1">
        <v>45108</v>
      </c>
      <c r="C434">
        <v>840734</v>
      </c>
      <c r="D434" t="s">
        <v>176</v>
      </c>
      <c r="E434">
        <v>212488270</v>
      </c>
      <c r="F434">
        <v>67346</v>
      </c>
      <c r="G434">
        <v>242430</v>
      </c>
      <c r="H434">
        <f>_xlfn.XLOOKUP(FACT_IMPORTS[[#This Row],[hts_6]],DIM_PRODUCTS[hts_6],DIM_PRODUCTS[hts_4],,,)</f>
        <v>8407</v>
      </c>
      <c r="I434" t="str" cm="1">
        <f t="array" ref="I434">_xlfn.XLOOKUP(FACT_IMPORTS[[#This Row],[country_name]],DIM_COUNTRY[[#All],[Column2]],DIM_COUNTRY[[#All],[Column3]],,,)</f>
        <v>USMCA</v>
      </c>
    </row>
    <row r="435" spans="1:9" x14ac:dyDescent="0.4">
      <c r="A435" t="s">
        <v>61</v>
      </c>
      <c r="B435" s="1">
        <v>45108</v>
      </c>
      <c r="C435">
        <v>840790</v>
      </c>
      <c r="D435" t="s">
        <v>176</v>
      </c>
      <c r="E435">
        <v>11438827</v>
      </c>
      <c r="F435">
        <v>4581</v>
      </c>
      <c r="G435">
        <v>4193</v>
      </c>
      <c r="H435">
        <f>_xlfn.XLOOKUP(FACT_IMPORTS[[#This Row],[hts_6]],DIM_PRODUCTS[hts_6],DIM_PRODUCTS[hts_4],,,)</f>
        <v>8407</v>
      </c>
      <c r="I435" t="str" cm="1">
        <f t="array" ref="I435">_xlfn.XLOOKUP(FACT_IMPORTS[[#This Row],[country_name]],DIM_COUNTRY[[#All],[Column2]],DIM_COUNTRY[[#All],[Column3]],,,)</f>
        <v>USMCA</v>
      </c>
    </row>
    <row r="436" spans="1:9" x14ac:dyDescent="0.4">
      <c r="A436" t="s">
        <v>61</v>
      </c>
      <c r="B436" s="1">
        <v>45108</v>
      </c>
      <c r="C436">
        <v>840820</v>
      </c>
      <c r="D436" t="s">
        <v>176</v>
      </c>
      <c r="E436">
        <v>637190</v>
      </c>
      <c r="F436">
        <v>80</v>
      </c>
      <c r="G436">
        <v>1071</v>
      </c>
      <c r="H436">
        <f>_xlfn.XLOOKUP(FACT_IMPORTS[[#This Row],[hts_6]],DIM_PRODUCTS[hts_6],DIM_PRODUCTS[hts_4],,,)</f>
        <v>8408</v>
      </c>
      <c r="I436" t="str" cm="1">
        <f t="array" ref="I436">_xlfn.XLOOKUP(FACT_IMPORTS[[#This Row],[country_name]],DIM_COUNTRY[[#All],[Column2]],DIM_COUNTRY[[#All],[Column3]],,,)</f>
        <v>USMCA</v>
      </c>
    </row>
    <row r="437" spans="1:9" x14ac:dyDescent="0.4">
      <c r="A437" t="s">
        <v>61</v>
      </c>
      <c r="B437" s="1">
        <v>45108</v>
      </c>
      <c r="C437">
        <v>840890</v>
      </c>
      <c r="D437" t="s">
        <v>176</v>
      </c>
      <c r="E437">
        <v>166880</v>
      </c>
      <c r="F437">
        <v>17</v>
      </c>
      <c r="G437">
        <v>811</v>
      </c>
      <c r="H437">
        <f>_xlfn.XLOOKUP(FACT_IMPORTS[[#This Row],[hts_6]],DIM_PRODUCTS[hts_6],DIM_PRODUCTS[hts_4],,,)</f>
        <v>8408</v>
      </c>
      <c r="I437" t="str" cm="1">
        <f t="array" ref="I437">_xlfn.XLOOKUP(FACT_IMPORTS[[#This Row],[country_name]],DIM_COUNTRY[[#All],[Column2]],DIM_COUNTRY[[#All],[Column3]],,,)</f>
        <v>USMCA</v>
      </c>
    </row>
    <row r="438" spans="1:9" x14ac:dyDescent="0.4">
      <c r="A438" t="s">
        <v>61</v>
      </c>
      <c r="B438" s="1">
        <v>45108</v>
      </c>
      <c r="C438">
        <v>840991</v>
      </c>
      <c r="D438" t="s">
        <v>176</v>
      </c>
      <c r="E438">
        <v>35410034</v>
      </c>
      <c r="F438">
        <v>3203027</v>
      </c>
      <c r="G438">
        <v>167235</v>
      </c>
      <c r="H438">
        <f>_xlfn.XLOOKUP(FACT_IMPORTS[[#This Row],[hts_6]],DIM_PRODUCTS[hts_6],DIM_PRODUCTS[hts_4],,,)</f>
        <v>8409</v>
      </c>
      <c r="I438" t="str" cm="1">
        <f t="array" ref="I438">_xlfn.XLOOKUP(FACT_IMPORTS[[#This Row],[country_name]],DIM_COUNTRY[[#All],[Column2]],DIM_COUNTRY[[#All],[Column3]],,,)</f>
        <v>USMCA</v>
      </c>
    </row>
    <row r="439" spans="1:9" x14ac:dyDescent="0.4">
      <c r="A439" t="s">
        <v>61</v>
      </c>
      <c r="B439" s="1">
        <v>45108</v>
      </c>
      <c r="C439">
        <v>840999</v>
      </c>
      <c r="D439" t="s">
        <v>176</v>
      </c>
      <c r="E439">
        <v>12703072</v>
      </c>
      <c r="F439">
        <v>1108558</v>
      </c>
      <c r="G439">
        <v>98539</v>
      </c>
      <c r="H439">
        <f>_xlfn.XLOOKUP(FACT_IMPORTS[[#This Row],[hts_6]],DIM_PRODUCTS[hts_6],DIM_PRODUCTS[hts_4],,,)</f>
        <v>8409</v>
      </c>
      <c r="I439" t="str" cm="1">
        <f t="array" ref="I439">_xlfn.XLOOKUP(FACT_IMPORTS[[#This Row],[country_name]],DIM_COUNTRY[[#All],[Column2]],DIM_COUNTRY[[#All],[Column3]],,,)</f>
        <v>USMCA</v>
      </c>
    </row>
    <row r="440" spans="1:9" x14ac:dyDescent="0.4">
      <c r="A440" t="s">
        <v>61</v>
      </c>
      <c r="B440" s="1">
        <v>45108</v>
      </c>
      <c r="C440">
        <v>841330</v>
      </c>
      <c r="D440" t="s">
        <v>176</v>
      </c>
      <c r="E440">
        <v>9235297</v>
      </c>
      <c r="F440">
        <v>217870</v>
      </c>
      <c r="G440">
        <v>36589</v>
      </c>
      <c r="H440">
        <f>_xlfn.XLOOKUP(FACT_IMPORTS[[#This Row],[hts_6]],DIM_PRODUCTS[hts_6],DIM_PRODUCTS[hts_4],,,)</f>
        <v>8413</v>
      </c>
      <c r="I440" t="str" cm="1">
        <f t="array" ref="I440">_xlfn.XLOOKUP(FACT_IMPORTS[[#This Row],[country_name]],DIM_COUNTRY[[#All],[Column2]],DIM_COUNTRY[[#All],[Column3]],,,)</f>
        <v>USMCA</v>
      </c>
    </row>
    <row r="441" spans="1:9" x14ac:dyDescent="0.4">
      <c r="A441" t="s">
        <v>61</v>
      </c>
      <c r="B441" s="1">
        <v>45108</v>
      </c>
      <c r="C441">
        <v>841520</v>
      </c>
      <c r="D441" t="s">
        <v>176</v>
      </c>
      <c r="E441">
        <v>4627915</v>
      </c>
      <c r="F441">
        <v>25764</v>
      </c>
      <c r="G441">
        <v>85722</v>
      </c>
      <c r="H441">
        <f>_xlfn.XLOOKUP(FACT_IMPORTS[[#This Row],[hts_6]],DIM_PRODUCTS[hts_6],DIM_PRODUCTS[hts_4],,,)</f>
        <v>8415</v>
      </c>
      <c r="I441" t="str" cm="1">
        <f t="array" ref="I441">_xlfn.XLOOKUP(FACT_IMPORTS[[#This Row],[country_name]],DIM_COUNTRY[[#All],[Column2]],DIM_COUNTRY[[#All],[Column3]],,,)</f>
        <v>USMCA</v>
      </c>
    </row>
    <row r="442" spans="1:9" x14ac:dyDescent="0.4">
      <c r="A442" t="s">
        <v>61</v>
      </c>
      <c r="B442" s="1">
        <v>45108</v>
      </c>
      <c r="C442">
        <v>842132</v>
      </c>
      <c r="D442" t="s">
        <v>176</v>
      </c>
      <c r="E442">
        <v>9669169</v>
      </c>
      <c r="F442">
        <v>44943</v>
      </c>
      <c r="G442">
        <v>27036</v>
      </c>
      <c r="H442">
        <f>_xlfn.XLOOKUP(FACT_IMPORTS[[#This Row],[hts_6]],DIM_PRODUCTS[hts_6],DIM_PRODUCTS[hts_4],,,)</f>
        <v>8421</v>
      </c>
      <c r="I442" t="str" cm="1">
        <f t="array" ref="I442">_xlfn.XLOOKUP(FACT_IMPORTS[[#This Row],[country_name]],DIM_COUNTRY[[#All],[Column2]],DIM_COUNTRY[[#All],[Column3]],,,)</f>
        <v>USMCA</v>
      </c>
    </row>
    <row r="443" spans="1:9" x14ac:dyDescent="0.4">
      <c r="A443" t="s">
        <v>61</v>
      </c>
      <c r="B443" s="1">
        <v>45108</v>
      </c>
      <c r="C443">
        <v>848210</v>
      </c>
      <c r="D443" t="s">
        <v>176</v>
      </c>
      <c r="E443">
        <v>3889700</v>
      </c>
      <c r="F443">
        <v>1095834</v>
      </c>
      <c r="G443">
        <v>32282</v>
      </c>
      <c r="H443">
        <f>_xlfn.XLOOKUP(FACT_IMPORTS[[#This Row],[hts_6]],DIM_PRODUCTS[hts_6],DIM_PRODUCTS[hts_4],,,)</f>
        <v>8482</v>
      </c>
      <c r="I443" t="str" cm="1">
        <f t="array" ref="I443">_xlfn.XLOOKUP(FACT_IMPORTS[[#This Row],[country_name]],DIM_COUNTRY[[#All],[Column2]],DIM_COUNTRY[[#All],[Column3]],,,)</f>
        <v>USMCA</v>
      </c>
    </row>
    <row r="444" spans="1:9" x14ac:dyDescent="0.4">
      <c r="A444" t="s">
        <v>61</v>
      </c>
      <c r="B444" s="1">
        <v>45108</v>
      </c>
      <c r="C444">
        <v>848220</v>
      </c>
      <c r="D444" t="s">
        <v>176</v>
      </c>
      <c r="E444">
        <v>902048</v>
      </c>
      <c r="F444">
        <v>18141</v>
      </c>
      <c r="G444">
        <v>6561</v>
      </c>
      <c r="H444">
        <f>_xlfn.XLOOKUP(FACT_IMPORTS[[#This Row],[hts_6]],DIM_PRODUCTS[hts_6],DIM_PRODUCTS[hts_4],,,)</f>
        <v>8482</v>
      </c>
      <c r="I444" t="str" cm="1">
        <f t="array" ref="I444">_xlfn.XLOOKUP(FACT_IMPORTS[[#This Row],[country_name]],DIM_COUNTRY[[#All],[Column2]],DIM_COUNTRY[[#All],[Column3]],,,)</f>
        <v>USMCA</v>
      </c>
    </row>
    <row r="445" spans="1:9" x14ac:dyDescent="0.4">
      <c r="A445" t="s">
        <v>61</v>
      </c>
      <c r="B445" s="1">
        <v>45108</v>
      </c>
      <c r="C445">
        <v>848310</v>
      </c>
      <c r="D445" t="s">
        <v>176</v>
      </c>
      <c r="E445">
        <v>15331751</v>
      </c>
      <c r="F445">
        <v>509583</v>
      </c>
      <c r="G445">
        <v>176448</v>
      </c>
      <c r="H445">
        <f>_xlfn.XLOOKUP(FACT_IMPORTS[[#This Row],[hts_6]],DIM_PRODUCTS[hts_6],DIM_PRODUCTS[hts_4],,,)</f>
        <v>8483</v>
      </c>
      <c r="I445" t="str" cm="1">
        <f t="array" ref="I445">_xlfn.XLOOKUP(FACT_IMPORTS[[#This Row],[country_name]],DIM_COUNTRY[[#All],[Column2]],DIM_COUNTRY[[#All],[Column3]],,,)</f>
        <v>USMCA</v>
      </c>
    </row>
    <row r="446" spans="1:9" x14ac:dyDescent="0.4">
      <c r="A446" t="s">
        <v>61</v>
      </c>
      <c r="B446" s="1">
        <v>45108</v>
      </c>
      <c r="C446">
        <v>850131</v>
      </c>
      <c r="D446" t="s">
        <v>176</v>
      </c>
      <c r="E446">
        <v>3457433</v>
      </c>
      <c r="F446">
        <v>71733</v>
      </c>
      <c r="G446">
        <v>33767</v>
      </c>
      <c r="H446">
        <f>_xlfn.XLOOKUP(FACT_IMPORTS[[#This Row],[hts_6]],DIM_PRODUCTS[hts_6],DIM_PRODUCTS[hts_4],,,)</f>
        <v>8501</v>
      </c>
      <c r="I446" t="str" cm="1">
        <f t="array" ref="I446">_xlfn.XLOOKUP(FACT_IMPORTS[[#This Row],[country_name]],DIM_COUNTRY[[#All],[Column2]],DIM_COUNTRY[[#All],[Column3]],,,)</f>
        <v>USMCA</v>
      </c>
    </row>
    <row r="447" spans="1:9" x14ac:dyDescent="0.4">
      <c r="A447" t="s">
        <v>61</v>
      </c>
      <c r="B447" s="1">
        <v>45108</v>
      </c>
      <c r="C447">
        <v>850132</v>
      </c>
      <c r="D447" t="s">
        <v>176</v>
      </c>
      <c r="E447">
        <v>378364</v>
      </c>
      <c r="F447">
        <v>26</v>
      </c>
      <c r="G447">
        <v>1146</v>
      </c>
      <c r="H447">
        <f>_xlfn.XLOOKUP(FACT_IMPORTS[[#This Row],[hts_6]],DIM_PRODUCTS[hts_6],DIM_PRODUCTS[hts_4],,,)</f>
        <v>8501</v>
      </c>
      <c r="I447" t="str" cm="1">
        <f t="array" ref="I447">_xlfn.XLOOKUP(FACT_IMPORTS[[#This Row],[country_name]],DIM_COUNTRY[[#All],[Column2]],DIM_COUNTRY[[#All],[Column3]],,,)</f>
        <v>USMCA</v>
      </c>
    </row>
    <row r="448" spans="1:9" x14ac:dyDescent="0.4">
      <c r="A448" t="s">
        <v>61</v>
      </c>
      <c r="B448" s="1">
        <v>45108</v>
      </c>
      <c r="C448">
        <v>850133</v>
      </c>
      <c r="D448" t="s">
        <v>176</v>
      </c>
      <c r="E448">
        <v>57500</v>
      </c>
      <c r="F448">
        <v>6</v>
      </c>
      <c r="G448">
        <v>350</v>
      </c>
      <c r="H448">
        <f>_xlfn.XLOOKUP(FACT_IMPORTS[[#This Row],[hts_6]],DIM_PRODUCTS[hts_6],DIM_PRODUCTS[hts_4],,,)</f>
        <v>8501</v>
      </c>
      <c r="I448" t="str" cm="1">
        <f t="array" ref="I448">_xlfn.XLOOKUP(FACT_IMPORTS[[#This Row],[country_name]],DIM_COUNTRY[[#All],[Column2]],DIM_COUNTRY[[#All],[Column3]],,,)</f>
        <v>USMCA</v>
      </c>
    </row>
    <row r="449" spans="1:9" x14ac:dyDescent="0.4">
      <c r="A449" t="s">
        <v>61</v>
      </c>
      <c r="B449" s="1">
        <v>45108</v>
      </c>
      <c r="C449">
        <v>850134</v>
      </c>
      <c r="D449" t="s">
        <v>176</v>
      </c>
      <c r="E449">
        <v>0</v>
      </c>
      <c r="F449">
        <v>0</v>
      </c>
      <c r="G449">
        <v>0</v>
      </c>
      <c r="H449">
        <f>_xlfn.XLOOKUP(FACT_IMPORTS[[#This Row],[hts_6]],DIM_PRODUCTS[hts_6],DIM_PRODUCTS[hts_4],,,)</f>
        <v>8501</v>
      </c>
      <c r="I449" t="str" cm="1">
        <f t="array" ref="I449">_xlfn.XLOOKUP(FACT_IMPORTS[[#This Row],[country_name]],DIM_COUNTRY[[#All],[Column2]],DIM_COUNTRY[[#All],[Column3]],,,)</f>
        <v>USMCA</v>
      </c>
    </row>
    <row r="450" spans="1:9" x14ac:dyDescent="0.4">
      <c r="A450" t="s">
        <v>61</v>
      </c>
      <c r="B450" s="1">
        <v>45108</v>
      </c>
      <c r="C450">
        <v>850152</v>
      </c>
      <c r="D450" t="s">
        <v>176</v>
      </c>
      <c r="E450">
        <v>1023681</v>
      </c>
      <c r="F450">
        <v>280</v>
      </c>
      <c r="G450">
        <v>9009</v>
      </c>
      <c r="H450">
        <f>_xlfn.XLOOKUP(FACT_IMPORTS[[#This Row],[hts_6]],DIM_PRODUCTS[hts_6],DIM_PRODUCTS[hts_4],,,)</f>
        <v>8501</v>
      </c>
      <c r="I450" t="str" cm="1">
        <f t="array" ref="I450">_xlfn.XLOOKUP(FACT_IMPORTS[[#This Row],[country_name]],DIM_COUNTRY[[#All],[Column2]],DIM_COUNTRY[[#All],[Column3]],,,)</f>
        <v>USMCA</v>
      </c>
    </row>
    <row r="451" spans="1:9" x14ac:dyDescent="0.4">
      <c r="A451" t="s">
        <v>61</v>
      </c>
      <c r="B451" s="1">
        <v>45108</v>
      </c>
      <c r="C451">
        <v>850153</v>
      </c>
      <c r="D451" t="s">
        <v>176</v>
      </c>
      <c r="E451">
        <v>175935</v>
      </c>
      <c r="F451">
        <v>2</v>
      </c>
      <c r="G451">
        <v>350</v>
      </c>
      <c r="H451">
        <f>_xlfn.XLOOKUP(FACT_IMPORTS[[#This Row],[hts_6]],DIM_PRODUCTS[hts_6],DIM_PRODUCTS[hts_4],,,)</f>
        <v>8501</v>
      </c>
      <c r="I451" t="str" cm="1">
        <f t="array" ref="I451">_xlfn.XLOOKUP(FACT_IMPORTS[[#This Row],[country_name]],DIM_COUNTRY[[#All],[Column2]],DIM_COUNTRY[[#All],[Column3]],,,)</f>
        <v>USMCA</v>
      </c>
    </row>
    <row r="452" spans="1:9" x14ac:dyDescent="0.4">
      <c r="A452" t="s">
        <v>61</v>
      </c>
      <c r="B452" s="1">
        <v>45108</v>
      </c>
      <c r="C452">
        <v>850161</v>
      </c>
      <c r="D452" t="s">
        <v>176</v>
      </c>
      <c r="E452">
        <v>113545</v>
      </c>
      <c r="F452">
        <v>5</v>
      </c>
      <c r="G452">
        <v>475</v>
      </c>
      <c r="H452">
        <f>_xlfn.XLOOKUP(FACT_IMPORTS[[#This Row],[hts_6]],DIM_PRODUCTS[hts_6],DIM_PRODUCTS[hts_4],,,)</f>
        <v>8501</v>
      </c>
      <c r="I452" t="str" cm="1">
        <f t="array" ref="I452">_xlfn.XLOOKUP(FACT_IMPORTS[[#This Row],[country_name]],DIM_COUNTRY[[#All],[Column2]],DIM_COUNTRY[[#All],[Column3]],,,)</f>
        <v>USMCA</v>
      </c>
    </row>
    <row r="453" spans="1:9" x14ac:dyDescent="0.4">
      <c r="A453" t="s">
        <v>61</v>
      </c>
      <c r="B453" s="1">
        <v>45108</v>
      </c>
      <c r="C453">
        <v>850440</v>
      </c>
      <c r="D453" t="s">
        <v>176</v>
      </c>
      <c r="E453">
        <v>7011081</v>
      </c>
      <c r="F453">
        <v>20924</v>
      </c>
      <c r="G453">
        <v>128154</v>
      </c>
      <c r="H453">
        <f>_xlfn.XLOOKUP(FACT_IMPORTS[[#This Row],[hts_6]],DIM_PRODUCTS[hts_6],DIM_PRODUCTS[hts_4],,,)</f>
        <v>8504</v>
      </c>
      <c r="I453" t="str" cm="1">
        <f t="array" ref="I453">_xlfn.XLOOKUP(FACT_IMPORTS[[#This Row],[country_name]],DIM_COUNTRY[[#All],[Column2]],DIM_COUNTRY[[#All],[Column3]],,,)</f>
        <v>USMCA</v>
      </c>
    </row>
    <row r="454" spans="1:9" x14ac:dyDescent="0.4">
      <c r="A454" t="s">
        <v>61</v>
      </c>
      <c r="B454" s="1">
        <v>45108</v>
      </c>
      <c r="C454">
        <v>850710</v>
      </c>
      <c r="D454" t="s">
        <v>176</v>
      </c>
      <c r="E454">
        <v>822125</v>
      </c>
      <c r="F454">
        <v>907</v>
      </c>
      <c r="G454">
        <v>52510</v>
      </c>
      <c r="H454">
        <f>_xlfn.XLOOKUP(FACT_IMPORTS[[#This Row],[hts_6]],DIM_PRODUCTS[hts_6],DIM_PRODUCTS[hts_4],,,)</f>
        <v>8507</v>
      </c>
      <c r="I454" t="str" cm="1">
        <f t="array" ref="I454">_xlfn.XLOOKUP(FACT_IMPORTS[[#This Row],[country_name]],DIM_COUNTRY[[#All],[Column2]],DIM_COUNTRY[[#All],[Column3]],,,)</f>
        <v>USMCA</v>
      </c>
    </row>
    <row r="455" spans="1:9" x14ac:dyDescent="0.4">
      <c r="A455" t="s">
        <v>61</v>
      </c>
      <c r="B455" s="1">
        <v>45108</v>
      </c>
      <c r="C455">
        <v>850760</v>
      </c>
      <c r="D455" t="s">
        <v>176</v>
      </c>
      <c r="E455">
        <v>3122015</v>
      </c>
      <c r="F455">
        <v>2371</v>
      </c>
      <c r="G455">
        <v>9491</v>
      </c>
      <c r="H455">
        <f>_xlfn.XLOOKUP(FACT_IMPORTS[[#This Row],[hts_6]],DIM_PRODUCTS[hts_6],DIM_PRODUCTS[hts_4],,,)</f>
        <v>8507</v>
      </c>
      <c r="I455" t="str" cm="1">
        <f t="array" ref="I455">_xlfn.XLOOKUP(FACT_IMPORTS[[#This Row],[country_name]],DIM_COUNTRY[[#All],[Column2]],DIM_COUNTRY[[#All],[Column3]],,,)</f>
        <v>USMCA</v>
      </c>
    </row>
    <row r="456" spans="1:9" x14ac:dyDescent="0.4">
      <c r="A456" t="s">
        <v>61</v>
      </c>
      <c r="B456" s="1">
        <v>45108</v>
      </c>
      <c r="C456">
        <v>850790</v>
      </c>
      <c r="D456" t="s">
        <v>176</v>
      </c>
      <c r="E456">
        <v>161248</v>
      </c>
      <c r="F456">
        <v>5818</v>
      </c>
      <c r="G456">
        <v>340</v>
      </c>
      <c r="H456">
        <f>_xlfn.XLOOKUP(FACT_IMPORTS[[#This Row],[hts_6]],DIM_PRODUCTS[hts_6],DIM_PRODUCTS[hts_4],,,)</f>
        <v>8507</v>
      </c>
      <c r="I456" t="str" cm="1">
        <f t="array" ref="I456">_xlfn.XLOOKUP(FACT_IMPORTS[[#This Row],[country_name]],DIM_COUNTRY[[#All],[Column2]],DIM_COUNTRY[[#All],[Column3]],,,)</f>
        <v>USMCA</v>
      </c>
    </row>
    <row r="457" spans="1:9" x14ac:dyDescent="0.4">
      <c r="A457" t="s">
        <v>61</v>
      </c>
      <c r="B457" s="1">
        <v>45108</v>
      </c>
      <c r="C457">
        <v>851110</v>
      </c>
      <c r="D457" t="s">
        <v>176</v>
      </c>
      <c r="E457">
        <v>0</v>
      </c>
      <c r="F457">
        <v>0</v>
      </c>
      <c r="G457">
        <v>0</v>
      </c>
      <c r="H457">
        <f>_xlfn.XLOOKUP(FACT_IMPORTS[[#This Row],[hts_6]],DIM_PRODUCTS[hts_6],DIM_PRODUCTS[hts_4],,,)</f>
        <v>8511</v>
      </c>
      <c r="I457" t="str" cm="1">
        <f t="array" ref="I457">_xlfn.XLOOKUP(FACT_IMPORTS[[#This Row],[country_name]],DIM_COUNTRY[[#All],[Column2]],DIM_COUNTRY[[#All],[Column3]],,,)</f>
        <v>USMCA</v>
      </c>
    </row>
    <row r="458" spans="1:9" x14ac:dyDescent="0.4">
      <c r="A458" t="s">
        <v>61</v>
      </c>
      <c r="B458" s="1">
        <v>45108</v>
      </c>
      <c r="C458">
        <v>851120</v>
      </c>
      <c r="D458" t="s">
        <v>176</v>
      </c>
      <c r="E458">
        <v>0</v>
      </c>
      <c r="F458">
        <v>0</v>
      </c>
      <c r="G458">
        <v>0</v>
      </c>
      <c r="H458">
        <f>_xlfn.XLOOKUP(FACT_IMPORTS[[#This Row],[hts_6]],DIM_PRODUCTS[hts_6],DIM_PRODUCTS[hts_4],,,)</f>
        <v>8511</v>
      </c>
      <c r="I458" t="str" cm="1">
        <f t="array" ref="I458">_xlfn.XLOOKUP(FACT_IMPORTS[[#This Row],[country_name]],DIM_COUNTRY[[#All],[Column2]],DIM_COUNTRY[[#All],[Column3]],,,)</f>
        <v>USMCA</v>
      </c>
    </row>
    <row r="459" spans="1:9" x14ac:dyDescent="0.4">
      <c r="A459" t="s">
        <v>61</v>
      </c>
      <c r="B459" s="1">
        <v>45108</v>
      </c>
      <c r="C459">
        <v>851130</v>
      </c>
      <c r="D459" t="s">
        <v>176</v>
      </c>
      <c r="E459">
        <v>0</v>
      </c>
      <c r="F459">
        <v>0</v>
      </c>
      <c r="G459">
        <v>0</v>
      </c>
      <c r="H459">
        <f>_xlfn.XLOOKUP(FACT_IMPORTS[[#This Row],[hts_6]],DIM_PRODUCTS[hts_6],DIM_PRODUCTS[hts_4],,,)</f>
        <v>8511</v>
      </c>
      <c r="I459" t="str" cm="1">
        <f t="array" ref="I459">_xlfn.XLOOKUP(FACT_IMPORTS[[#This Row],[country_name]],DIM_COUNTRY[[#All],[Column2]],DIM_COUNTRY[[#All],[Column3]],,,)</f>
        <v>USMCA</v>
      </c>
    </row>
    <row r="460" spans="1:9" x14ac:dyDescent="0.4">
      <c r="A460" t="s">
        <v>61</v>
      </c>
      <c r="B460" s="1">
        <v>45108</v>
      </c>
      <c r="C460">
        <v>851140</v>
      </c>
      <c r="D460" t="s">
        <v>176</v>
      </c>
      <c r="E460">
        <v>310789</v>
      </c>
      <c r="F460">
        <v>6172</v>
      </c>
      <c r="G460">
        <v>2690</v>
      </c>
      <c r="H460">
        <f>_xlfn.XLOOKUP(FACT_IMPORTS[[#This Row],[hts_6]],DIM_PRODUCTS[hts_6],DIM_PRODUCTS[hts_4],,,)</f>
        <v>8511</v>
      </c>
      <c r="I460" t="str" cm="1">
        <f t="array" ref="I460">_xlfn.XLOOKUP(FACT_IMPORTS[[#This Row],[country_name]],DIM_COUNTRY[[#All],[Column2]],DIM_COUNTRY[[#All],[Column3]],,,)</f>
        <v>USMCA</v>
      </c>
    </row>
    <row r="461" spans="1:9" x14ac:dyDescent="0.4">
      <c r="A461" t="s">
        <v>61</v>
      </c>
      <c r="B461" s="1">
        <v>45108</v>
      </c>
      <c r="C461">
        <v>851150</v>
      </c>
      <c r="D461" t="s">
        <v>176</v>
      </c>
      <c r="E461">
        <v>396388</v>
      </c>
      <c r="F461">
        <v>5359</v>
      </c>
      <c r="G461">
        <v>2238</v>
      </c>
      <c r="H461">
        <f>_xlfn.XLOOKUP(FACT_IMPORTS[[#This Row],[hts_6]],DIM_PRODUCTS[hts_6],DIM_PRODUCTS[hts_4],,,)</f>
        <v>8511</v>
      </c>
      <c r="I461" t="str" cm="1">
        <f t="array" ref="I461">_xlfn.XLOOKUP(FACT_IMPORTS[[#This Row],[country_name]],DIM_COUNTRY[[#All],[Column2]],DIM_COUNTRY[[#All],[Column3]],,,)</f>
        <v>USMCA</v>
      </c>
    </row>
    <row r="462" spans="1:9" x14ac:dyDescent="0.4">
      <c r="A462" t="s">
        <v>61</v>
      </c>
      <c r="B462" s="1">
        <v>45108</v>
      </c>
      <c r="C462">
        <v>851180</v>
      </c>
      <c r="D462" t="s">
        <v>176</v>
      </c>
      <c r="E462">
        <v>66135</v>
      </c>
      <c r="F462">
        <v>15</v>
      </c>
      <c r="G462">
        <v>273</v>
      </c>
      <c r="H462">
        <f>_xlfn.XLOOKUP(FACT_IMPORTS[[#This Row],[hts_6]],DIM_PRODUCTS[hts_6],DIM_PRODUCTS[hts_4],,,)</f>
        <v>8511</v>
      </c>
      <c r="I462" t="str" cm="1">
        <f t="array" ref="I462">_xlfn.XLOOKUP(FACT_IMPORTS[[#This Row],[country_name]],DIM_COUNTRY[[#All],[Column2]],DIM_COUNTRY[[#All],[Column3]],,,)</f>
        <v>USMCA</v>
      </c>
    </row>
    <row r="463" spans="1:9" x14ac:dyDescent="0.4">
      <c r="A463" t="s">
        <v>61</v>
      </c>
      <c r="B463" s="1">
        <v>45108</v>
      </c>
      <c r="C463">
        <v>851190</v>
      </c>
      <c r="D463" t="s">
        <v>176</v>
      </c>
      <c r="E463">
        <v>530245</v>
      </c>
      <c r="F463">
        <v>5868</v>
      </c>
      <c r="G463">
        <v>1395</v>
      </c>
      <c r="H463">
        <f>_xlfn.XLOOKUP(FACT_IMPORTS[[#This Row],[hts_6]],DIM_PRODUCTS[hts_6],DIM_PRODUCTS[hts_4],,,)</f>
        <v>8511</v>
      </c>
      <c r="I463" t="str" cm="1">
        <f t="array" ref="I463">_xlfn.XLOOKUP(FACT_IMPORTS[[#This Row],[country_name]],DIM_COUNTRY[[#All],[Column2]],DIM_COUNTRY[[#All],[Column3]],,,)</f>
        <v>USMCA</v>
      </c>
    </row>
    <row r="464" spans="1:9" x14ac:dyDescent="0.4">
      <c r="A464" t="s">
        <v>61</v>
      </c>
      <c r="B464" s="1">
        <v>45108</v>
      </c>
      <c r="C464">
        <v>851220</v>
      </c>
      <c r="D464" t="s">
        <v>176</v>
      </c>
      <c r="E464">
        <v>22777629</v>
      </c>
      <c r="F464">
        <v>464534</v>
      </c>
      <c r="G464">
        <v>87768</v>
      </c>
      <c r="H464">
        <f>_xlfn.XLOOKUP(FACT_IMPORTS[[#This Row],[hts_6]],DIM_PRODUCTS[hts_6],DIM_PRODUCTS[hts_4],,,)</f>
        <v>8512</v>
      </c>
      <c r="I464" t="str" cm="1">
        <f t="array" ref="I464">_xlfn.XLOOKUP(FACT_IMPORTS[[#This Row],[country_name]],DIM_COUNTRY[[#All],[Column2]],DIM_COUNTRY[[#All],[Column3]],,,)</f>
        <v>USMCA</v>
      </c>
    </row>
    <row r="465" spans="1:9" x14ac:dyDescent="0.4">
      <c r="A465" t="s">
        <v>61</v>
      </c>
      <c r="B465" s="1">
        <v>45108</v>
      </c>
      <c r="C465">
        <v>851230</v>
      </c>
      <c r="D465" t="s">
        <v>176</v>
      </c>
      <c r="E465">
        <v>100731</v>
      </c>
      <c r="F465">
        <v>1185</v>
      </c>
      <c r="G465">
        <v>243</v>
      </c>
      <c r="H465">
        <f>_xlfn.XLOOKUP(FACT_IMPORTS[[#This Row],[hts_6]],DIM_PRODUCTS[hts_6],DIM_PRODUCTS[hts_4],,,)</f>
        <v>8512</v>
      </c>
      <c r="I465" t="str" cm="1">
        <f t="array" ref="I465">_xlfn.XLOOKUP(FACT_IMPORTS[[#This Row],[country_name]],DIM_COUNTRY[[#All],[Column2]],DIM_COUNTRY[[#All],[Column3]],,,)</f>
        <v>USMCA</v>
      </c>
    </row>
    <row r="466" spans="1:9" x14ac:dyDescent="0.4">
      <c r="A466" t="s">
        <v>61</v>
      </c>
      <c r="B466" s="1">
        <v>45108</v>
      </c>
      <c r="C466">
        <v>851240</v>
      </c>
      <c r="D466" t="s">
        <v>176</v>
      </c>
      <c r="E466">
        <v>0</v>
      </c>
      <c r="F466">
        <v>0</v>
      </c>
      <c r="G466">
        <v>0</v>
      </c>
      <c r="H466">
        <f>_xlfn.XLOOKUP(FACT_IMPORTS[[#This Row],[hts_6]],DIM_PRODUCTS[hts_6],DIM_PRODUCTS[hts_4],,,)</f>
        <v>8512</v>
      </c>
      <c r="I466" t="str" cm="1">
        <f t="array" ref="I466">_xlfn.XLOOKUP(FACT_IMPORTS[[#This Row],[country_name]],DIM_COUNTRY[[#All],[Column2]],DIM_COUNTRY[[#All],[Column3]],,,)</f>
        <v>USMCA</v>
      </c>
    </row>
    <row r="467" spans="1:9" x14ac:dyDescent="0.4">
      <c r="A467" t="s">
        <v>61</v>
      </c>
      <c r="B467" s="1">
        <v>45108</v>
      </c>
      <c r="C467">
        <v>851290</v>
      </c>
      <c r="D467" t="s">
        <v>176</v>
      </c>
      <c r="E467">
        <v>2719873</v>
      </c>
      <c r="F467">
        <v>57403</v>
      </c>
      <c r="G467">
        <v>48354</v>
      </c>
      <c r="H467">
        <f>_xlfn.XLOOKUP(FACT_IMPORTS[[#This Row],[hts_6]],DIM_PRODUCTS[hts_6],DIM_PRODUCTS[hts_4],,,)</f>
        <v>8512</v>
      </c>
      <c r="I467" t="str" cm="1">
        <f t="array" ref="I467">_xlfn.XLOOKUP(FACT_IMPORTS[[#This Row],[country_name]],DIM_COUNTRY[[#All],[Column2]],DIM_COUNTRY[[#All],[Column3]],,,)</f>
        <v>USMCA</v>
      </c>
    </row>
    <row r="468" spans="1:9" x14ac:dyDescent="0.4">
      <c r="A468" t="s">
        <v>61</v>
      </c>
      <c r="B468" s="1">
        <v>45108</v>
      </c>
      <c r="C468">
        <v>854231</v>
      </c>
      <c r="D468" t="s">
        <v>176</v>
      </c>
      <c r="E468">
        <v>48233</v>
      </c>
      <c r="F468">
        <v>1233</v>
      </c>
      <c r="G468">
        <v>769</v>
      </c>
      <c r="H468">
        <f>_xlfn.XLOOKUP(FACT_IMPORTS[[#This Row],[hts_6]],DIM_PRODUCTS[hts_6],DIM_PRODUCTS[hts_4],,,)</f>
        <v>8542</v>
      </c>
      <c r="I468" t="str" cm="1">
        <f t="array" ref="I468">_xlfn.XLOOKUP(FACT_IMPORTS[[#This Row],[country_name]],DIM_COUNTRY[[#All],[Column2]],DIM_COUNTRY[[#All],[Column3]],,,)</f>
        <v>USMCA</v>
      </c>
    </row>
    <row r="469" spans="1:9" x14ac:dyDescent="0.4">
      <c r="A469" t="s">
        <v>61</v>
      </c>
      <c r="B469" s="1">
        <v>45108</v>
      </c>
      <c r="C469">
        <v>854232</v>
      </c>
      <c r="D469" t="s">
        <v>176</v>
      </c>
      <c r="E469">
        <v>2112</v>
      </c>
      <c r="F469">
        <v>4000</v>
      </c>
      <c r="G469">
        <v>95</v>
      </c>
      <c r="H469">
        <f>_xlfn.XLOOKUP(FACT_IMPORTS[[#This Row],[hts_6]],DIM_PRODUCTS[hts_6],DIM_PRODUCTS[hts_4],,,)</f>
        <v>8542</v>
      </c>
      <c r="I469" t="str" cm="1">
        <f t="array" ref="I469">_xlfn.XLOOKUP(FACT_IMPORTS[[#This Row],[country_name]],DIM_COUNTRY[[#All],[Column2]],DIM_COUNTRY[[#All],[Column3]],,,)</f>
        <v>USMCA</v>
      </c>
    </row>
    <row r="470" spans="1:9" x14ac:dyDescent="0.4">
      <c r="A470" t="s">
        <v>61</v>
      </c>
      <c r="B470" s="1">
        <v>45108</v>
      </c>
      <c r="C470">
        <v>854233</v>
      </c>
      <c r="D470" t="s">
        <v>176</v>
      </c>
      <c r="E470">
        <v>0</v>
      </c>
      <c r="F470">
        <v>0</v>
      </c>
      <c r="G470">
        <v>0</v>
      </c>
      <c r="H470">
        <f>_xlfn.XLOOKUP(FACT_IMPORTS[[#This Row],[hts_6]],DIM_PRODUCTS[hts_6],DIM_PRODUCTS[hts_4],,,)</f>
        <v>8542</v>
      </c>
      <c r="I470" t="str" cm="1">
        <f t="array" ref="I470">_xlfn.XLOOKUP(FACT_IMPORTS[[#This Row],[country_name]],DIM_COUNTRY[[#All],[Column2]],DIM_COUNTRY[[#All],[Column3]],,,)</f>
        <v>USMCA</v>
      </c>
    </row>
    <row r="471" spans="1:9" x14ac:dyDescent="0.4">
      <c r="A471" t="s">
        <v>61</v>
      </c>
      <c r="B471" s="1">
        <v>45108</v>
      </c>
      <c r="C471">
        <v>854239</v>
      </c>
      <c r="D471" t="s">
        <v>176</v>
      </c>
      <c r="E471">
        <v>3123304</v>
      </c>
      <c r="F471">
        <v>303618</v>
      </c>
      <c r="G471">
        <v>550</v>
      </c>
      <c r="H471">
        <f>_xlfn.XLOOKUP(FACT_IMPORTS[[#This Row],[hts_6]],DIM_PRODUCTS[hts_6],DIM_PRODUCTS[hts_4],,,)</f>
        <v>8542</v>
      </c>
      <c r="I471" t="str" cm="1">
        <f t="array" ref="I471">_xlfn.XLOOKUP(FACT_IMPORTS[[#This Row],[country_name]],DIM_COUNTRY[[#All],[Column2]],DIM_COUNTRY[[#All],[Column3]],,,)</f>
        <v>USMCA</v>
      </c>
    </row>
    <row r="472" spans="1:9" x14ac:dyDescent="0.4">
      <c r="A472" t="s">
        <v>61</v>
      </c>
      <c r="B472" s="1">
        <v>45108</v>
      </c>
      <c r="C472">
        <v>854290</v>
      </c>
      <c r="D472" t="s">
        <v>176</v>
      </c>
      <c r="E472">
        <v>0</v>
      </c>
      <c r="F472">
        <v>0</v>
      </c>
      <c r="G472">
        <v>0</v>
      </c>
      <c r="H472">
        <f>_xlfn.XLOOKUP(FACT_IMPORTS[[#This Row],[hts_6]],DIM_PRODUCTS[hts_6],DIM_PRODUCTS[hts_4],,,)</f>
        <v>8542</v>
      </c>
      <c r="I472" t="str" cm="1">
        <f t="array" ref="I472">_xlfn.XLOOKUP(FACT_IMPORTS[[#This Row],[country_name]],DIM_COUNTRY[[#All],[Column2]],DIM_COUNTRY[[#All],[Column3]],,,)</f>
        <v>USMCA</v>
      </c>
    </row>
    <row r="473" spans="1:9" x14ac:dyDescent="0.4">
      <c r="A473" t="s">
        <v>61</v>
      </c>
      <c r="B473" s="1">
        <v>45108</v>
      </c>
      <c r="C473">
        <v>854430</v>
      </c>
      <c r="D473" t="s">
        <v>176</v>
      </c>
      <c r="E473">
        <v>1534888</v>
      </c>
      <c r="F473">
        <v>54790</v>
      </c>
      <c r="G473">
        <v>8282</v>
      </c>
      <c r="H473">
        <f>_xlfn.XLOOKUP(FACT_IMPORTS[[#This Row],[hts_6]],DIM_PRODUCTS[hts_6],DIM_PRODUCTS[hts_4],,,)</f>
        <v>8544</v>
      </c>
      <c r="I473" t="str" cm="1">
        <f t="array" ref="I473">_xlfn.XLOOKUP(FACT_IMPORTS[[#This Row],[country_name]],DIM_COUNTRY[[#All],[Column2]],DIM_COUNTRY[[#All],[Column3]],,,)</f>
        <v>USMCA</v>
      </c>
    </row>
    <row r="474" spans="1:9" x14ac:dyDescent="0.4">
      <c r="A474" t="s">
        <v>61</v>
      </c>
      <c r="B474" s="1">
        <v>45108</v>
      </c>
      <c r="C474">
        <v>870710</v>
      </c>
      <c r="D474" t="s">
        <v>176</v>
      </c>
      <c r="E474">
        <v>152090</v>
      </c>
      <c r="F474">
        <v>44</v>
      </c>
      <c r="G474">
        <v>830</v>
      </c>
      <c r="H474">
        <f>_xlfn.XLOOKUP(FACT_IMPORTS[[#This Row],[hts_6]],DIM_PRODUCTS[hts_6],DIM_PRODUCTS[hts_4],,,)</f>
        <v>8707</v>
      </c>
      <c r="I474" t="str" cm="1">
        <f t="array" ref="I474">_xlfn.XLOOKUP(FACT_IMPORTS[[#This Row],[country_name]],DIM_COUNTRY[[#All],[Column2]],DIM_COUNTRY[[#All],[Column3]],,,)</f>
        <v>USMCA</v>
      </c>
    </row>
    <row r="475" spans="1:9" x14ac:dyDescent="0.4">
      <c r="A475" t="s">
        <v>61</v>
      </c>
      <c r="B475" s="1">
        <v>45108</v>
      </c>
      <c r="C475">
        <v>870790</v>
      </c>
      <c r="D475" t="s">
        <v>176</v>
      </c>
      <c r="E475">
        <v>4976118</v>
      </c>
      <c r="F475">
        <v>291</v>
      </c>
      <c r="G475">
        <v>20166</v>
      </c>
      <c r="H475">
        <f>_xlfn.XLOOKUP(FACT_IMPORTS[[#This Row],[hts_6]],DIM_PRODUCTS[hts_6],DIM_PRODUCTS[hts_4],,,)</f>
        <v>8707</v>
      </c>
      <c r="I475" t="str" cm="1">
        <f t="array" ref="I475">_xlfn.XLOOKUP(FACT_IMPORTS[[#This Row],[country_name]],DIM_COUNTRY[[#All],[Column2]],DIM_COUNTRY[[#All],[Column3]],,,)</f>
        <v>USMCA</v>
      </c>
    </row>
    <row r="476" spans="1:9" x14ac:dyDescent="0.4">
      <c r="A476" t="s">
        <v>61</v>
      </c>
      <c r="B476" s="1">
        <v>45108</v>
      </c>
      <c r="C476">
        <v>870810</v>
      </c>
      <c r="D476" t="s">
        <v>176</v>
      </c>
      <c r="E476">
        <v>23082993</v>
      </c>
      <c r="F476">
        <v>1054743</v>
      </c>
      <c r="G476">
        <v>376853</v>
      </c>
      <c r="H476">
        <f>_xlfn.XLOOKUP(FACT_IMPORTS[[#This Row],[hts_6]],DIM_PRODUCTS[hts_6],DIM_PRODUCTS[hts_4],,,)</f>
        <v>8708</v>
      </c>
      <c r="I476" t="str" cm="1">
        <f t="array" ref="I476">_xlfn.XLOOKUP(FACT_IMPORTS[[#This Row],[country_name]],DIM_COUNTRY[[#All],[Column2]],DIM_COUNTRY[[#All],[Column3]],,,)</f>
        <v>USMCA</v>
      </c>
    </row>
    <row r="477" spans="1:9" x14ac:dyDescent="0.4">
      <c r="A477" t="s">
        <v>61</v>
      </c>
      <c r="B477" s="1">
        <v>45108</v>
      </c>
      <c r="C477">
        <v>870821</v>
      </c>
      <c r="D477" t="s">
        <v>176</v>
      </c>
      <c r="E477">
        <v>66643</v>
      </c>
      <c r="F477">
        <v>5430</v>
      </c>
      <c r="G477">
        <v>810</v>
      </c>
      <c r="H477">
        <f>_xlfn.XLOOKUP(FACT_IMPORTS[[#This Row],[hts_6]],DIM_PRODUCTS[hts_6],DIM_PRODUCTS[hts_4],,,)</f>
        <v>8708</v>
      </c>
      <c r="I477" t="str" cm="1">
        <f t="array" ref="I477">_xlfn.XLOOKUP(FACT_IMPORTS[[#This Row],[country_name]],DIM_COUNTRY[[#All],[Column2]],DIM_COUNTRY[[#All],[Column3]],,,)</f>
        <v>USMCA</v>
      </c>
    </row>
    <row r="478" spans="1:9" x14ac:dyDescent="0.4">
      <c r="A478" t="s">
        <v>61</v>
      </c>
      <c r="B478" s="1">
        <v>45108</v>
      </c>
      <c r="C478">
        <v>870822</v>
      </c>
      <c r="D478" t="s">
        <v>176</v>
      </c>
      <c r="E478">
        <v>3888469</v>
      </c>
      <c r="F478">
        <v>70363</v>
      </c>
      <c r="G478">
        <v>129119</v>
      </c>
      <c r="H478">
        <f>_xlfn.XLOOKUP(FACT_IMPORTS[[#This Row],[hts_6]],DIM_PRODUCTS[hts_6],DIM_PRODUCTS[hts_4],,,)</f>
        <v>8708</v>
      </c>
      <c r="I478" t="str" cm="1">
        <f t="array" ref="I478">_xlfn.XLOOKUP(FACT_IMPORTS[[#This Row],[country_name]],DIM_COUNTRY[[#All],[Column2]],DIM_COUNTRY[[#All],[Column3]],,,)</f>
        <v>USMCA</v>
      </c>
    </row>
    <row r="479" spans="1:9" x14ac:dyDescent="0.4">
      <c r="A479" t="s">
        <v>61</v>
      </c>
      <c r="B479" s="1">
        <v>45108</v>
      </c>
      <c r="C479">
        <v>870829</v>
      </c>
      <c r="D479" t="s">
        <v>176</v>
      </c>
      <c r="E479">
        <v>347177785</v>
      </c>
      <c r="F479">
        <v>49082683</v>
      </c>
      <c r="G479">
        <v>6483570</v>
      </c>
      <c r="H479">
        <f>_xlfn.XLOOKUP(FACT_IMPORTS[[#This Row],[hts_6]],DIM_PRODUCTS[hts_6],DIM_PRODUCTS[hts_4],,,)</f>
        <v>8708</v>
      </c>
      <c r="I479" t="str" cm="1">
        <f t="array" ref="I479">_xlfn.XLOOKUP(FACT_IMPORTS[[#This Row],[country_name]],DIM_COUNTRY[[#All],[Column2]],DIM_COUNTRY[[#All],[Column3]],,,)</f>
        <v>USMCA</v>
      </c>
    </row>
    <row r="480" spans="1:9" x14ac:dyDescent="0.4">
      <c r="A480" t="s">
        <v>61</v>
      </c>
      <c r="B480" s="1">
        <v>45108</v>
      </c>
      <c r="C480">
        <v>870830</v>
      </c>
      <c r="D480" t="s">
        <v>176</v>
      </c>
      <c r="E480">
        <v>15064440</v>
      </c>
      <c r="F480">
        <v>4409386</v>
      </c>
      <c r="G480">
        <v>168879</v>
      </c>
      <c r="H480">
        <f>_xlfn.XLOOKUP(FACT_IMPORTS[[#This Row],[hts_6]],DIM_PRODUCTS[hts_6],DIM_PRODUCTS[hts_4],,,)</f>
        <v>8708</v>
      </c>
      <c r="I480" t="str" cm="1">
        <f t="array" ref="I480">_xlfn.XLOOKUP(FACT_IMPORTS[[#This Row],[country_name]],DIM_COUNTRY[[#All],[Column2]],DIM_COUNTRY[[#All],[Column3]],,,)</f>
        <v>USMCA</v>
      </c>
    </row>
    <row r="481" spans="1:9" x14ac:dyDescent="0.4">
      <c r="A481" t="s">
        <v>61</v>
      </c>
      <c r="B481" s="1">
        <v>45108</v>
      </c>
      <c r="C481">
        <v>870840</v>
      </c>
      <c r="D481" t="s">
        <v>176</v>
      </c>
      <c r="E481">
        <v>83491344</v>
      </c>
      <c r="F481">
        <v>3930306</v>
      </c>
      <c r="G481">
        <v>462689</v>
      </c>
      <c r="H481">
        <f>_xlfn.XLOOKUP(FACT_IMPORTS[[#This Row],[hts_6]],DIM_PRODUCTS[hts_6],DIM_PRODUCTS[hts_4],,,)</f>
        <v>8708</v>
      </c>
      <c r="I481" t="str" cm="1">
        <f t="array" ref="I481">_xlfn.XLOOKUP(FACT_IMPORTS[[#This Row],[country_name]],DIM_COUNTRY[[#All],[Column2]],DIM_COUNTRY[[#All],[Column3]],,,)</f>
        <v>USMCA</v>
      </c>
    </row>
    <row r="482" spans="1:9" x14ac:dyDescent="0.4">
      <c r="A482" t="s">
        <v>61</v>
      </c>
      <c r="B482" s="1">
        <v>45108</v>
      </c>
      <c r="C482">
        <v>870850</v>
      </c>
      <c r="D482" t="s">
        <v>176</v>
      </c>
      <c r="E482">
        <v>30886553</v>
      </c>
      <c r="F482">
        <v>1461863</v>
      </c>
      <c r="G482">
        <v>164911</v>
      </c>
      <c r="H482">
        <f>_xlfn.XLOOKUP(FACT_IMPORTS[[#This Row],[hts_6]],DIM_PRODUCTS[hts_6],DIM_PRODUCTS[hts_4],,,)</f>
        <v>8708</v>
      </c>
      <c r="I482" t="str" cm="1">
        <f t="array" ref="I482">_xlfn.XLOOKUP(FACT_IMPORTS[[#This Row],[country_name]],DIM_COUNTRY[[#All],[Column2]],DIM_COUNTRY[[#All],[Column3]],,,)</f>
        <v>USMCA</v>
      </c>
    </row>
    <row r="483" spans="1:9" x14ac:dyDescent="0.4">
      <c r="A483" t="s">
        <v>61</v>
      </c>
      <c r="B483" s="1">
        <v>45108</v>
      </c>
      <c r="C483">
        <v>870870</v>
      </c>
      <c r="D483" t="s">
        <v>176</v>
      </c>
      <c r="E483">
        <v>8715497</v>
      </c>
      <c r="F483">
        <v>7405171</v>
      </c>
      <c r="G483">
        <v>75540</v>
      </c>
      <c r="H483">
        <f>_xlfn.XLOOKUP(FACT_IMPORTS[[#This Row],[hts_6]],DIM_PRODUCTS[hts_6],DIM_PRODUCTS[hts_4],,,)</f>
        <v>8708</v>
      </c>
      <c r="I483" t="str" cm="1">
        <f t="array" ref="I483">_xlfn.XLOOKUP(FACT_IMPORTS[[#This Row],[country_name]],DIM_COUNTRY[[#All],[Column2]],DIM_COUNTRY[[#All],[Column3]],,,)</f>
        <v>USMCA</v>
      </c>
    </row>
    <row r="484" spans="1:9" x14ac:dyDescent="0.4">
      <c r="A484" t="s">
        <v>61</v>
      </c>
      <c r="B484" s="1">
        <v>45108</v>
      </c>
      <c r="C484">
        <v>870880</v>
      </c>
      <c r="D484" t="s">
        <v>176</v>
      </c>
      <c r="E484">
        <v>51080725</v>
      </c>
      <c r="F484">
        <v>2648336</v>
      </c>
      <c r="G484">
        <v>883204</v>
      </c>
      <c r="H484">
        <f>_xlfn.XLOOKUP(FACT_IMPORTS[[#This Row],[hts_6]],DIM_PRODUCTS[hts_6],DIM_PRODUCTS[hts_4],,,)</f>
        <v>8708</v>
      </c>
      <c r="I484" t="str" cm="1">
        <f t="array" ref="I484">_xlfn.XLOOKUP(FACT_IMPORTS[[#This Row],[country_name]],DIM_COUNTRY[[#All],[Column2]],DIM_COUNTRY[[#All],[Column3]],,,)</f>
        <v>USMCA</v>
      </c>
    </row>
    <row r="485" spans="1:9" x14ac:dyDescent="0.4">
      <c r="A485" t="s">
        <v>61</v>
      </c>
      <c r="B485" s="1">
        <v>45108</v>
      </c>
      <c r="C485">
        <v>870891</v>
      </c>
      <c r="D485" t="s">
        <v>176</v>
      </c>
      <c r="E485">
        <v>10757577</v>
      </c>
      <c r="F485">
        <v>385657</v>
      </c>
      <c r="G485">
        <v>207924</v>
      </c>
      <c r="H485">
        <f>_xlfn.XLOOKUP(FACT_IMPORTS[[#This Row],[hts_6]],DIM_PRODUCTS[hts_6],DIM_PRODUCTS[hts_4],,,)</f>
        <v>8708</v>
      </c>
      <c r="I485" t="str" cm="1">
        <f t="array" ref="I485">_xlfn.XLOOKUP(FACT_IMPORTS[[#This Row],[country_name]],DIM_COUNTRY[[#All],[Column2]],DIM_COUNTRY[[#All],[Column3]],,,)</f>
        <v>USMCA</v>
      </c>
    </row>
    <row r="486" spans="1:9" x14ac:dyDescent="0.4">
      <c r="A486" t="s">
        <v>61</v>
      </c>
      <c r="B486" s="1">
        <v>45108</v>
      </c>
      <c r="C486">
        <v>870892</v>
      </c>
      <c r="D486" t="s">
        <v>176</v>
      </c>
      <c r="E486">
        <v>19664097</v>
      </c>
      <c r="F486">
        <v>1172082</v>
      </c>
      <c r="G486">
        <v>366951</v>
      </c>
      <c r="H486">
        <f>_xlfn.XLOOKUP(FACT_IMPORTS[[#This Row],[hts_6]],DIM_PRODUCTS[hts_6],DIM_PRODUCTS[hts_4],,,)</f>
        <v>8708</v>
      </c>
      <c r="I486" t="str" cm="1">
        <f t="array" ref="I486">_xlfn.XLOOKUP(FACT_IMPORTS[[#This Row],[country_name]],DIM_COUNTRY[[#All],[Column2]],DIM_COUNTRY[[#All],[Column3]],,,)</f>
        <v>USMCA</v>
      </c>
    </row>
    <row r="487" spans="1:9" x14ac:dyDescent="0.4">
      <c r="A487" t="s">
        <v>61</v>
      </c>
      <c r="B487" s="1">
        <v>45108</v>
      </c>
      <c r="C487">
        <v>870893</v>
      </c>
      <c r="D487" t="s">
        <v>176</v>
      </c>
      <c r="E487">
        <v>39044133</v>
      </c>
      <c r="F487">
        <v>1005623</v>
      </c>
      <c r="G487">
        <v>110422</v>
      </c>
      <c r="H487">
        <f>_xlfn.XLOOKUP(FACT_IMPORTS[[#This Row],[hts_6]],DIM_PRODUCTS[hts_6],DIM_PRODUCTS[hts_4],,,)</f>
        <v>8708</v>
      </c>
      <c r="I487" t="str" cm="1">
        <f t="array" ref="I487">_xlfn.XLOOKUP(FACT_IMPORTS[[#This Row],[country_name]],DIM_COUNTRY[[#All],[Column2]],DIM_COUNTRY[[#All],[Column3]],,,)</f>
        <v>USMCA</v>
      </c>
    </row>
    <row r="488" spans="1:9" x14ac:dyDescent="0.4">
      <c r="A488" t="s">
        <v>61</v>
      </c>
      <c r="B488" s="1">
        <v>45108</v>
      </c>
      <c r="C488">
        <v>870894</v>
      </c>
      <c r="D488" t="s">
        <v>176</v>
      </c>
      <c r="E488">
        <v>10933270</v>
      </c>
      <c r="F488">
        <v>2269934</v>
      </c>
      <c r="G488">
        <v>97010</v>
      </c>
      <c r="H488">
        <f>_xlfn.XLOOKUP(FACT_IMPORTS[[#This Row],[hts_6]],DIM_PRODUCTS[hts_6],DIM_PRODUCTS[hts_4],,,)</f>
        <v>8708</v>
      </c>
      <c r="I488" t="str" cm="1">
        <f t="array" ref="I488">_xlfn.XLOOKUP(FACT_IMPORTS[[#This Row],[country_name]],DIM_COUNTRY[[#All],[Column2]],DIM_COUNTRY[[#All],[Column3]],,,)</f>
        <v>USMCA</v>
      </c>
    </row>
    <row r="489" spans="1:9" x14ac:dyDescent="0.4">
      <c r="A489" t="s">
        <v>61</v>
      </c>
      <c r="B489" s="1">
        <v>45108</v>
      </c>
      <c r="C489">
        <v>870895</v>
      </c>
      <c r="D489" t="s">
        <v>176</v>
      </c>
      <c r="E489">
        <v>2044675</v>
      </c>
      <c r="F489">
        <v>1540654</v>
      </c>
      <c r="G489">
        <v>11393</v>
      </c>
      <c r="H489">
        <f>_xlfn.XLOOKUP(FACT_IMPORTS[[#This Row],[hts_6]],DIM_PRODUCTS[hts_6],DIM_PRODUCTS[hts_4],,,)</f>
        <v>8708</v>
      </c>
      <c r="I489" t="str" cm="1">
        <f t="array" ref="I489">_xlfn.XLOOKUP(FACT_IMPORTS[[#This Row],[country_name]],DIM_COUNTRY[[#All],[Column2]],DIM_COUNTRY[[#All],[Column3]],,,)</f>
        <v>USMCA</v>
      </c>
    </row>
    <row r="490" spans="1:9" x14ac:dyDescent="0.4">
      <c r="A490" t="s">
        <v>61</v>
      </c>
      <c r="B490" s="1">
        <v>45108</v>
      </c>
      <c r="C490">
        <v>870899</v>
      </c>
      <c r="D490" t="s">
        <v>176</v>
      </c>
      <c r="E490">
        <v>157206429</v>
      </c>
      <c r="F490">
        <v>14628067</v>
      </c>
      <c r="G490">
        <v>1946963</v>
      </c>
      <c r="H490">
        <f>_xlfn.XLOOKUP(FACT_IMPORTS[[#This Row],[hts_6]],DIM_PRODUCTS[hts_6],DIM_PRODUCTS[hts_4],,,)</f>
        <v>8708</v>
      </c>
      <c r="I490" t="str" cm="1">
        <f t="array" ref="I490">_xlfn.XLOOKUP(FACT_IMPORTS[[#This Row],[country_name]],DIM_COUNTRY[[#All],[Column2]],DIM_COUNTRY[[#All],[Column3]],,,)</f>
        <v>USMCA</v>
      </c>
    </row>
    <row r="491" spans="1:9" x14ac:dyDescent="0.4">
      <c r="A491" t="s">
        <v>61</v>
      </c>
      <c r="B491" s="1">
        <v>45108</v>
      </c>
      <c r="C491">
        <v>940120</v>
      </c>
      <c r="D491" t="s">
        <v>176</v>
      </c>
      <c r="E491">
        <v>1054153</v>
      </c>
      <c r="F491">
        <v>24551</v>
      </c>
      <c r="G491">
        <v>12451</v>
      </c>
      <c r="H491">
        <f>_xlfn.XLOOKUP(FACT_IMPORTS[[#This Row],[hts_6]],DIM_PRODUCTS[hts_6],DIM_PRODUCTS[hts_4],,,)</f>
        <v>9401</v>
      </c>
      <c r="I491" t="str" cm="1">
        <f t="array" ref="I491">_xlfn.XLOOKUP(FACT_IMPORTS[[#This Row],[country_name]],DIM_COUNTRY[[#All],[Column2]],DIM_COUNTRY[[#All],[Column3]],,,)</f>
        <v>USMCA</v>
      </c>
    </row>
    <row r="492" spans="1:9" x14ac:dyDescent="0.4">
      <c r="A492" t="s">
        <v>61</v>
      </c>
      <c r="B492" s="1">
        <v>45139</v>
      </c>
      <c r="C492">
        <v>392630</v>
      </c>
      <c r="D492" t="s">
        <v>176</v>
      </c>
      <c r="E492">
        <v>4026547</v>
      </c>
      <c r="F492">
        <v>336360</v>
      </c>
      <c r="G492">
        <v>195742</v>
      </c>
      <c r="H492">
        <f>_xlfn.XLOOKUP(FACT_IMPORTS[[#This Row],[hts_6]],DIM_PRODUCTS[hts_6],DIM_PRODUCTS[hts_4],,,)</f>
        <v>3926</v>
      </c>
      <c r="I492" t="str" cm="1">
        <f t="array" ref="I492">_xlfn.XLOOKUP(FACT_IMPORTS[[#This Row],[country_name]],DIM_COUNTRY[[#All],[Column2]],DIM_COUNTRY[[#All],[Column3]],,,)</f>
        <v>USMCA</v>
      </c>
    </row>
    <row r="493" spans="1:9" x14ac:dyDescent="0.4">
      <c r="A493" t="s">
        <v>61</v>
      </c>
      <c r="B493" s="1">
        <v>45139</v>
      </c>
      <c r="C493">
        <v>401110</v>
      </c>
      <c r="D493" t="s">
        <v>176</v>
      </c>
      <c r="E493">
        <v>43255819</v>
      </c>
      <c r="F493">
        <v>706441</v>
      </c>
      <c r="G493">
        <v>319047</v>
      </c>
      <c r="H493">
        <f>_xlfn.XLOOKUP(FACT_IMPORTS[[#This Row],[hts_6]],DIM_PRODUCTS[hts_6],DIM_PRODUCTS[hts_4],,,)</f>
        <v>4011</v>
      </c>
      <c r="I493" t="str" cm="1">
        <f t="array" ref="I493">_xlfn.XLOOKUP(FACT_IMPORTS[[#This Row],[country_name]],DIM_COUNTRY[[#All],[Column2]],DIM_COUNTRY[[#All],[Column3]],,,)</f>
        <v>USMCA</v>
      </c>
    </row>
    <row r="494" spans="1:9" x14ac:dyDescent="0.4">
      <c r="A494" t="s">
        <v>61</v>
      </c>
      <c r="B494" s="1">
        <v>45139</v>
      </c>
      <c r="C494">
        <v>401120</v>
      </c>
      <c r="D494" t="s">
        <v>176</v>
      </c>
      <c r="E494">
        <v>55976562</v>
      </c>
      <c r="F494">
        <v>360300</v>
      </c>
      <c r="G494">
        <v>256624</v>
      </c>
      <c r="H494">
        <f>_xlfn.XLOOKUP(FACT_IMPORTS[[#This Row],[hts_6]],DIM_PRODUCTS[hts_6],DIM_PRODUCTS[hts_4],,,)</f>
        <v>4011</v>
      </c>
      <c r="I494" t="str" cm="1">
        <f t="array" ref="I494">_xlfn.XLOOKUP(FACT_IMPORTS[[#This Row],[country_name]],DIM_COUNTRY[[#All],[Column2]],DIM_COUNTRY[[#All],[Column3]],,,)</f>
        <v>USMCA</v>
      </c>
    </row>
    <row r="495" spans="1:9" x14ac:dyDescent="0.4">
      <c r="A495" t="s">
        <v>61</v>
      </c>
      <c r="B495" s="1">
        <v>45139</v>
      </c>
      <c r="C495">
        <v>401140</v>
      </c>
      <c r="D495" t="s">
        <v>176</v>
      </c>
      <c r="E495">
        <v>0</v>
      </c>
      <c r="F495">
        <v>0</v>
      </c>
      <c r="G495">
        <v>0</v>
      </c>
      <c r="H495">
        <f>_xlfn.XLOOKUP(FACT_IMPORTS[[#This Row],[hts_6]],DIM_PRODUCTS[hts_6],DIM_PRODUCTS[hts_4],,,)</f>
        <v>4011</v>
      </c>
      <c r="I495" t="str" cm="1">
        <f t="array" ref="I495">_xlfn.XLOOKUP(FACT_IMPORTS[[#This Row],[country_name]],DIM_COUNTRY[[#All],[Column2]],DIM_COUNTRY[[#All],[Column3]],,,)</f>
        <v>USMCA</v>
      </c>
    </row>
    <row r="496" spans="1:9" x14ac:dyDescent="0.4">
      <c r="A496" t="s">
        <v>61</v>
      </c>
      <c r="B496" s="1">
        <v>45139</v>
      </c>
      <c r="C496">
        <v>401190</v>
      </c>
      <c r="D496" t="s">
        <v>176</v>
      </c>
      <c r="E496">
        <v>122421</v>
      </c>
      <c r="F496">
        <v>341</v>
      </c>
      <c r="G496">
        <v>1049</v>
      </c>
      <c r="H496">
        <f>_xlfn.XLOOKUP(FACT_IMPORTS[[#This Row],[hts_6]],DIM_PRODUCTS[hts_6],DIM_PRODUCTS[hts_4],,,)</f>
        <v>4011</v>
      </c>
      <c r="I496" t="str" cm="1">
        <f t="array" ref="I496">_xlfn.XLOOKUP(FACT_IMPORTS[[#This Row],[country_name]],DIM_COUNTRY[[#All],[Column2]],DIM_COUNTRY[[#All],[Column3]],,,)</f>
        <v>USMCA</v>
      </c>
    </row>
    <row r="497" spans="1:9" x14ac:dyDescent="0.4">
      <c r="A497" t="s">
        <v>61</v>
      </c>
      <c r="B497" s="1">
        <v>45139</v>
      </c>
      <c r="C497">
        <v>700711</v>
      </c>
      <c r="D497" t="s">
        <v>176</v>
      </c>
      <c r="E497">
        <v>636967</v>
      </c>
      <c r="F497">
        <v>1427</v>
      </c>
      <c r="G497">
        <v>4030</v>
      </c>
      <c r="H497">
        <f>_xlfn.XLOOKUP(FACT_IMPORTS[[#This Row],[hts_6]],DIM_PRODUCTS[hts_6],DIM_PRODUCTS[hts_4],,,)</f>
        <v>7007</v>
      </c>
      <c r="I497" t="str" cm="1">
        <f t="array" ref="I497">_xlfn.XLOOKUP(FACT_IMPORTS[[#This Row],[country_name]],DIM_COUNTRY[[#All],[Column2]],DIM_COUNTRY[[#All],[Column3]],,,)</f>
        <v>USMCA</v>
      </c>
    </row>
    <row r="498" spans="1:9" x14ac:dyDescent="0.4">
      <c r="A498" t="s">
        <v>61</v>
      </c>
      <c r="B498" s="1">
        <v>45139</v>
      </c>
      <c r="C498">
        <v>700721</v>
      </c>
      <c r="D498" t="s">
        <v>176</v>
      </c>
      <c r="E498">
        <v>51673</v>
      </c>
      <c r="F498">
        <v>140</v>
      </c>
      <c r="G498">
        <v>1549</v>
      </c>
      <c r="H498">
        <f>_xlfn.XLOOKUP(FACT_IMPORTS[[#This Row],[hts_6]],DIM_PRODUCTS[hts_6],DIM_PRODUCTS[hts_4],,,)</f>
        <v>7007</v>
      </c>
      <c r="I498" t="str" cm="1">
        <f t="array" ref="I498">_xlfn.XLOOKUP(FACT_IMPORTS[[#This Row],[country_name]],DIM_COUNTRY[[#All],[Column2]],DIM_COUNTRY[[#All],[Column3]],,,)</f>
        <v>USMCA</v>
      </c>
    </row>
    <row r="499" spans="1:9" x14ac:dyDescent="0.4">
      <c r="A499" t="s">
        <v>61</v>
      </c>
      <c r="B499" s="1">
        <v>45139</v>
      </c>
      <c r="C499">
        <v>700910</v>
      </c>
      <c r="D499" t="s">
        <v>176</v>
      </c>
      <c r="E499">
        <v>275585</v>
      </c>
      <c r="F499">
        <v>5282</v>
      </c>
      <c r="G499">
        <v>1850</v>
      </c>
      <c r="H499">
        <f>_xlfn.XLOOKUP(FACT_IMPORTS[[#This Row],[hts_6]],DIM_PRODUCTS[hts_6],DIM_PRODUCTS[hts_4],,,)</f>
        <v>7009</v>
      </c>
      <c r="I499" t="str" cm="1">
        <f t="array" ref="I499">_xlfn.XLOOKUP(FACT_IMPORTS[[#This Row],[country_name]],DIM_COUNTRY[[#All],[Column2]],DIM_COUNTRY[[#All],[Column3]],,,)</f>
        <v>USMCA</v>
      </c>
    </row>
    <row r="500" spans="1:9" x14ac:dyDescent="0.4">
      <c r="A500" t="s">
        <v>61</v>
      </c>
      <c r="B500" s="1">
        <v>45139</v>
      </c>
      <c r="C500">
        <v>732010</v>
      </c>
      <c r="D500" t="s">
        <v>176</v>
      </c>
      <c r="E500">
        <v>4856409</v>
      </c>
      <c r="F500">
        <v>1419826</v>
      </c>
      <c r="G500">
        <v>31432</v>
      </c>
      <c r="H500">
        <f>_xlfn.XLOOKUP(FACT_IMPORTS[[#This Row],[hts_6]],DIM_PRODUCTS[hts_6],DIM_PRODUCTS[hts_4],,,)</f>
        <v>7320</v>
      </c>
      <c r="I500" t="str" cm="1">
        <f t="array" ref="I500">_xlfn.XLOOKUP(FACT_IMPORTS[[#This Row],[country_name]],DIM_COUNTRY[[#All],[Column2]],DIM_COUNTRY[[#All],[Column3]],,,)</f>
        <v>USMCA</v>
      </c>
    </row>
    <row r="501" spans="1:9" x14ac:dyDescent="0.4">
      <c r="A501" t="s">
        <v>61</v>
      </c>
      <c r="B501" s="1">
        <v>45139</v>
      </c>
      <c r="C501">
        <v>830230</v>
      </c>
      <c r="D501" t="s">
        <v>176</v>
      </c>
      <c r="E501">
        <v>42741572</v>
      </c>
      <c r="F501">
        <v>9019844</v>
      </c>
      <c r="G501">
        <v>1433665</v>
      </c>
      <c r="H501">
        <f>_xlfn.XLOOKUP(FACT_IMPORTS[[#This Row],[hts_6]],DIM_PRODUCTS[hts_6],DIM_PRODUCTS[hts_4],,,)</f>
        <v>8302</v>
      </c>
      <c r="I501" t="str" cm="1">
        <f t="array" ref="I501">_xlfn.XLOOKUP(FACT_IMPORTS[[#This Row],[country_name]],DIM_COUNTRY[[#All],[Column2]],DIM_COUNTRY[[#All],[Column3]],,,)</f>
        <v>USMCA</v>
      </c>
    </row>
    <row r="502" spans="1:9" x14ac:dyDescent="0.4">
      <c r="A502" t="s">
        <v>61</v>
      </c>
      <c r="B502" s="1">
        <v>45139</v>
      </c>
      <c r="C502">
        <v>840731</v>
      </c>
      <c r="D502" t="s">
        <v>176</v>
      </c>
      <c r="E502">
        <v>0</v>
      </c>
      <c r="F502">
        <v>0</v>
      </c>
      <c r="G502">
        <v>0</v>
      </c>
      <c r="H502">
        <f>_xlfn.XLOOKUP(FACT_IMPORTS[[#This Row],[hts_6]],DIM_PRODUCTS[hts_6],DIM_PRODUCTS[hts_4],,,)</f>
        <v>8407</v>
      </c>
      <c r="I502" t="str" cm="1">
        <f t="array" ref="I502">_xlfn.XLOOKUP(FACT_IMPORTS[[#This Row],[country_name]],DIM_COUNTRY[[#All],[Column2]],DIM_COUNTRY[[#All],[Column3]],,,)</f>
        <v>USMCA</v>
      </c>
    </row>
    <row r="503" spans="1:9" x14ac:dyDescent="0.4">
      <c r="A503" t="s">
        <v>61</v>
      </c>
      <c r="B503" s="1">
        <v>45139</v>
      </c>
      <c r="C503">
        <v>840733</v>
      </c>
      <c r="D503" t="s">
        <v>176</v>
      </c>
      <c r="E503">
        <v>6700</v>
      </c>
      <c r="F503">
        <v>1</v>
      </c>
      <c r="G503">
        <v>670</v>
      </c>
      <c r="H503">
        <f>_xlfn.XLOOKUP(FACT_IMPORTS[[#This Row],[hts_6]],DIM_PRODUCTS[hts_6],DIM_PRODUCTS[hts_4],,,)</f>
        <v>8407</v>
      </c>
      <c r="I503" t="str" cm="1">
        <f t="array" ref="I503">_xlfn.XLOOKUP(FACT_IMPORTS[[#This Row],[country_name]],DIM_COUNTRY[[#All],[Column2]],DIM_COUNTRY[[#All],[Column3]],,,)</f>
        <v>USMCA</v>
      </c>
    </row>
    <row r="504" spans="1:9" x14ac:dyDescent="0.4">
      <c r="A504" t="s">
        <v>61</v>
      </c>
      <c r="B504" s="1">
        <v>45139</v>
      </c>
      <c r="C504">
        <v>840734</v>
      </c>
      <c r="D504" t="s">
        <v>176</v>
      </c>
      <c r="E504">
        <v>273116226</v>
      </c>
      <c r="F504">
        <v>83133</v>
      </c>
      <c r="G504">
        <v>311242</v>
      </c>
      <c r="H504">
        <f>_xlfn.XLOOKUP(FACT_IMPORTS[[#This Row],[hts_6]],DIM_PRODUCTS[hts_6],DIM_PRODUCTS[hts_4],,,)</f>
        <v>8407</v>
      </c>
      <c r="I504" t="str" cm="1">
        <f t="array" ref="I504">_xlfn.XLOOKUP(FACT_IMPORTS[[#This Row],[country_name]],DIM_COUNTRY[[#All],[Column2]],DIM_COUNTRY[[#All],[Column3]],,,)</f>
        <v>USMCA</v>
      </c>
    </row>
    <row r="505" spans="1:9" x14ac:dyDescent="0.4">
      <c r="A505" t="s">
        <v>61</v>
      </c>
      <c r="B505" s="1">
        <v>45139</v>
      </c>
      <c r="C505">
        <v>840790</v>
      </c>
      <c r="D505" t="s">
        <v>176</v>
      </c>
      <c r="E505">
        <v>6252965</v>
      </c>
      <c r="F505">
        <v>53732</v>
      </c>
      <c r="G505">
        <v>2101</v>
      </c>
      <c r="H505">
        <f>_xlfn.XLOOKUP(FACT_IMPORTS[[#This Row],[hts_6]],DIM_PRODUCTS[hts_6],DIM_PRODUCTS[hts_4],,,)</f>
        <v>8407</v>
      </c>
      <c r="I505" t="str" cm="1">
        <f t="array" ref="I505">_xlfn.XLOOKUP(FACT_IMPORTS[[#This Row],[country_name]],DIM_COUNTRY[[#All],[Column2]],DIM_COUNTRY[[#All],[Column3]],,,)</f>
        <v>USMCA</v>
      </c>
    </row>
    <row r="506" spans="1:9" x14ac:dyDescent="0.4">
      <c r="A506" t="s">
        <v>61</v>
      </c>
      <c r="B506" s="1">
        <v>45139</v>
      </c>
      <c r="C506">
        <v>840820</v>
      </c>
      <c r="D506" t="s">
        <v>176</v>
      </c>
      <c r="E506">
        <v>388355</v>
      </c>
      <c r="F506">
        <v>81</v>
      </c>
      <c r="G506">
        <v>4899</v>
      </c>
      <c r="H506">
        <f>_xlfn.XLOOKUP(FACT_IMPORTS[[#This Row],[hts_6]],DIM_PRODUCTS[hts_6],DIM_PRODUCTS[hts_4],,,)</f>
        <v>8408</v>
      </c>
      <c r="I506" t="str" cm="1">
        <f t="array" ref="I506">_xlfn.XLOOKUP(FACT_IMPORTS[[#This Row],[country_name]],DIM_COUNTRY[[#All],[Column2]],DIM_COUNTRY[[#All],[Column3]],,,)</f>
        <v>USMCA</v>
      </c>
    </row>
    <row r="507" spans="1:9" x14ac:dyDescent="0.4">
      <c r="A507" t="s">
        <v>61</v>
      </c>
      <c r="B507" s="1">
        <v>45139</v>
      </c>
      <c r="C507">
        <v>840890</v>
      </c>
      <c r="D507" t="s">
        <v>176</v>
      </c>
      <c r="E507">
        <v>287575</v>
      </c>
      <c r="F507">
        <v>32</v>
      </c>
      <c r="G507">
        <v>627</v>
      </c>
      <c r="H507">
        <f>_xlfn.XLOOKUP(FACT_IMPORTS[[#This Row],[hts_6]],DIM_PRODUCTS[hts_6],DIM_PRODUCTS[hts_4],,,)</f>
        <v>8408</v>
      </c>
      <c r="I507" t="str" cm="1">
        <f t="array" ref="I507">_xlfn.XLOOKUP(FACT_IMPORTS[[#This Row],[country_name]],DIM_COUNTRY[[#All],[Column2]],DIM_COUNTRY[[#All],[Column3]],,,)</f>
        <v>USMCA</v>
      </c>
    </row>
    <row r="508" spans="1:9" x14ac:dyDescent="0.4">
      <c r="A508" t="s">
        <v>61</v>
      </c>
      <c r="B508" s="1">
        <v>45139</v>
      </c>
      <c r="C508">
        <v>840991</v>
      </c>
      <c r="D508" t="s">
        <v>176</v>
      </c>
      <c r="E508">
        <v>40093756</v>
      </c>
      <c r="F508">
        <v>3391276</v>
      </c>
      <c r="G508">
        <v>206203</v>
      </c>
      <c r="H508">
        <f>_xlfn.XLOOKUP(FACT_IMPORTS[[#This Row],[hts_6]],DIM_PRODUCTS[hts_6],DIM_PRODUCTS[hts_4],,,)</f>
        <v>8409</v>
      </c>
      <c r="I508" t="str" cm="1">
        <f t="array" ref="I508">_xlfn.XLOOKUP(FACT_IMPORTS[[#This Row],[country_name]],DIM_COUNTRY[[#All],[Column2]],DIM_COUNTRY[[#All],[Column3]],,,)</f>
        <v>USMCA</v>
      </c>
    </row>
    <row r="509" spans="1:9" x14ac:dyDescent="0.4">
      <c r="A509" t="s">
        <v>61</v>
      </c>
      <c r="B509" s="1">
        <v>45139</v>
      </c>
      <c r="C509">
        <v>840999</v>
      </c>
      <c r="D509" t="s">
        <v>176</v>
      </c>
      <c r="E509">
        <v>15327627</v>
      </c>
      <c r="F509">
        <v>1391822</v>
      </c>
      <c r="G509">
        <v>190707</v>
      </c>
      <c r="H509">
        <f>_xlfn.XLOOKUP(FACT_IMPORTS[[#This Row],[hts_6]],DIM_PRODUCTS[hts_6],DIM_PRODUCTS[hts_4],,,)</f>
        <v>8409</v>
      </c>
      <c r="I509" t="str" cm="1">
        <f t="array" ref="I509">_xlfn.XLOOKUP(FACT_IMPORTS[[#This Row],[country_name]],DIM_COUNTRY[[#All],[Column2]],DIM_COUNTRY[[#All],[Column3]],,,)</f>
        <v>USMCA</v>
      </c>
    </row>
    <row r="510" spans="1:9" x14ac:dyDescent="0.4">
      <c r="A510" t="s">
        <v>61</v>
      </c>
      <c r="B510" s="1">
        <v>45139</v>
      </c>
      <c r="C510">
        <v>841330</v>
      </c>
      <c r="D510" t="s">
        <v>176</v>
      </c>
      <c r="E510">
        <v>11656055</v>
      </c>
      <c r="F510">
        <v>248570</v>
      </c>
      <c r="G510">
        <v>78571</v>
      </c>
      <c r="H510">
        <f>_xlfn.XLOOKUP(FACT_IMPORTS[[#This Row],[hts_6]],DIM_PRODUCTS[hts_6],DIM_PRODUCTS[hts_4],,,)</f>
        <v>8413</v>
      </c>
      <c r="I510" t="str" cm="1">
        <f t="array" ref="I510">_xlfn.XLOOKUP(FACT_IMPORTS[[#This Row],[country_name]],DIM_COUNTRY[[#All],[Column2]],DIM_COUNTRY[[#All],[Column3]],,,)</f>
        <v>USMCA</v>
      </c>
    </row>
    <row r="511" spans="1:9" x14ac:dyDescent="0.4">
      <c r="A511" t="s">
        <v>61</v>
      </c>
      <c r="B511" s="1">
        <v>45139</v>
      </c>
      <c r="C511">
        <v>841520</v>
      </c>
      <c r="D511" t="s">
        <v>176</v>
      </c>
      <c r="E511">
        <v>5924983</v>
      </c>
      <c r="F511">
        <v>36213</v>
      </c>
      <c r="G511">
        <v>87480</v>
      </c>
      <c r="H511">
        <f>_xlfn.XLOOKUP(FACT_IMPORTS[[#This Row],[hts_6]],DIM_PRODUCTS[hts_6],DIM_PRODUCTS[hts_4],,,)</f>
        <v>8415</v>
      </c>
      <c r="I511" t="str" cm="1">
        <f t="array" ref="I511">_xlfn.XLOOKUP(FACT_IMPORTS[[#This Row],[country_name]],DIM_COUNTRY[[#All],[Column2]],DIM_COUNTRY[[#All],[Column3]],,,)</f>
        <v>USMCA</v>
      </c>
    </row>
    <row r="512" spans="1:9" x14ac:dyDescent="0.4">
      <c r="A512" t="s">
        <v>61</v>
      </c>
      <c r="B512" s="1">
        <v>45139</v>
      </c>
      <c r="C512">
        <v>842132</v>
      </c>
      <c r="D512" t="s">
        <v>176</v>
      </c>
      <c r="E512">
        <v>9136892</v>
      </c>
      <c r="F512">
        <v>48128</v>
      </c>
      <c r="G512">
        <v>35905</v>
      </c>
      <c r="H512">
        <f>_xlfn.XLOOKUP(FACT_IMPORTS[[#This Row],[hts_6]],DIM_PRODUCTS[hts_6],DIM_PRODUCTS[hts_4],,,)</f>
        <v>8421</v>
      </c>
      <c r="I512" t="str" cm="1">
        <f t="array" ref="I512">_xlfn.XLOOKUP(FACT_IMPORTS[[#This Row],[country_name]],DIM_COUNTRY[[#All],[Column2]],DIM_COUNTRY[[#All],[Column3]],,,)</f>
        <v>USMCA</v>
      </c>
    </row>
    <row r="513" spans="1:9" x14ac:dyDescent="0.4">
      <c r="A513" t="s">
        <v>61</v>
      </c>
      <c r="B513" s="1">
        <v>45139</v>
      </c>
      <c r="C513">
        <v>848210</v>
      </c>
      <c r="D513" t="s">
        <v>176</v>
      </c>
      <c r="E513">
        <v>5361977</v>
      </c>
      <c r="F513">
        <v>1400830</v>
      </c>
      <c r="G513">
        <v>71234</v>
      </c>
      <c r="H513">
        <f>_xlfn.XLOOKUP(FACT_IMPORTS[[#This Row],[hts_6]],DIM_PRODUCTS[hts_6],DIM_PRODUCTS[hts_4],,,)</f>
        <v>8482</v>
      </c>
      <c r="I513" t="str" cm="1">
        <f t="array" ref="I513">_xlfn.XLOOKUP(FACT_IMPORTS[[#This Row],[country_name]],DIM_COUNTRY[[#All],[Column2]],DIM_COUNTRY[[#All],[Column3]],,,)</f>
        <v>USMCA</v>
      </c>
    </row>
    <row r="514" spans="1:9" x14ac:dyDescent="0.4">
      <c r="A514" t="s">
        <v>61</v>
      </c>
      <c r="B514" s="1">
        <v>45139</v>
      </c>
      <c r="C514">
        <v>848220</v>
      </c>
      <c r="D514" t="s">
        <v>176</v>
      </c>
      <c r="E514">
        <v>1283887</v>
      </c>
      <c r="F514">
        <v>25663</v>
      </c>
      <c r="G514">
        <v>6436</v>
      </c>
      <c r="H514">
        <f>_xlfn.XLOOKUP(FACT_IMPORTS[[#This Row],[hts_6]],DIM_PRODUCTS[hts_6],DIM_PRODUCTS[hts_4],,,)</f>
        <v>8482</v>
      </c>
      <c r="I514" t="str" cm="1">
        <f t="array" ref="I514">_xlfn.XLOOKUP(FACT_IMPORTS[[#This Row],[country_name]],DIM_COUNTRY[[#All],[Column2]],DIM_COUNTRY[[#All],[Column3]],,,)</f>
        <v>USMCA</v>
      </c>
    </row>
    <row r="515" spans="1:9" x14ac:dyDescent="0.4">
      <c r="A515" t="s">
        <v>61</v>
      </c>
      <c r="B515" s="1">
        <v>45139</v>
      </c>
      <c r="C515">
        <v>848310</v>
      </c>
      <c r="D515" t="s">
        <v>176</v>
      </c>
      <c r="E515">
        <v>16509286</v>
      </c>
      <c r="F515">
        <v>502446</v>
      </c>
      <c r="G515">
        <v>405512</v>
      </c>
      <c r="H515">
        <f>_xlfn.XLOOKUP(FACT_IMPORTS[[#This Row],[hts_6]],DIM_PRODUCTS[hts_6],DIM_PRODUCTS[hts_4],,,)</f>
        <v>8483</v>
      </c>
      <c r="I515" t="str" cm="1">
        <f t="array" ref="I515">_xlfn.XLOOKUP(FACT_IMPORTS[[#This Row],[country_name]],DIM_COUNTRY[[#All],[Column2]],DIM_COUNTRY[[#All],[Column3]],,,)</f>
        <v>USMCA</v>
      </c>
    </row>
    <row r="516" spans="1:9" x14ac:dyDescent="0.4">
      <c r="A516" t="s">
        <v>61</v>
      </c>
      <c r="B516" s="1">
        <v>45139</v>
      </c>
      <c r="C516">
        <v>850131</v>
      </c>
      <c r="D516" t="s">
        <v>176</v>
      </c>
      <c r="E516">
        <v>4296251</v>
      </c>
      <c r="F516">
        <v>108755</v>
      </c>
      <c r="G516">
        <v>43951</v>
      </c>
      <c r="H516">
        <f>_xlfn.XLOOKUP(FACT_IMPORTS[[#This Row],[hts_6]],DIM_PRODUCTS[hts_6],DIM_PRODUCTS[hts_4],,,)</f>
        <v>8501</v>
      </c>
      <c r="I516" t="str" cm="1">
        <f t="array" ref="I516">_xlfn.XLOOKUP(FACT_IMPORTS[[#This Row],[country_name]],DIM_COUNTRY[[#All],[Column2]],DIM_COUNTRY[[#All],[Column3]],,,)</f>
        <v>USMCA</v>
      </c>
    </row>
    <row r="517" spans="1:9" x14ac:dyDescent="0.4">
      <c r="A517" t="s">
        <v>61</v>
      </c>
      <c r="B517" s="1">
        <v>45139</v>
      </c>
      <c r="C517">
        <v>850132</v>
      </c>
      <c r="D517" t="s">
        <v>176</v>
      </c>
      <c r="E517">
        <v>100658</v>
      </c>
      <c r="F517">
        <v>17</v>
      </c>
      <c r="G517">
        <v>962</v>
      </c>
      <c r="H517">
        <f>_xlfn.XLOOKUP(FACT_IMPORTS[[#This Row],[hts_6]],DIM_PRODUCTS[hts_6],DIM_PRODUCTS[hts_4],,,)</f>
        <v>8501</v>
      </c>
      <c r="I517" t="str" cm="1">
        <f t="array" ref="I517">_xlfn.XLOOKUP(FACT_IMPORTS[[#This Row],[country_name]],DIM_COUNTRY[[#All],[Column2]],DIM_COUNTRY[[#All],[Column3]],,,)</f>
        <v>USMCA</v>
      </c>
    </row>
    <row r="518" spans="1:9" x14ac:dyDescent="0.4">
      <c r="A518" t="s">
        <v>61</v>
      </c>
      <c r="B518" s="1">
        <v>45139</v>
      </c>
      <c r="C518">
        <v>850133</v>
      </c>
      <c r="D518" t="s">
        <v>176</v>
      </c>
      <c r="E518">
        <v>0</v>
      </c>
      <c r="F518">
        <v>0</v>
      </c>
      <c r="G518">
        <v>0</v>
      </c>
      <c r="H518">
        <f>_xlfn.XLOOKUP(FACT_IMPORTS[[#This Row],[hts_6]],DIM_PRODUCTS[hts_6],DIM_PRODUCTS[hts_4],,,)</f>
        <v>8501</v>
      </c>
      <c r="I518" t="str" cm="1">
        <f t="array" ref="I518">_xlfn.XLOOKUP(FACT_IMPORTS[[#This Row],[country_name]],DIM_COUNTRY[[#All],[Column2]],DIM_COUNTRY[[#All],[Column3]],,,)</f>
        <v>USMCA</v>
      </c>
    </row>
    <row r="519" spans="1:9" x14ac:dyDescent="0.4">
      <c r="A519" t="s">
        <v>61</v>
      </c>
      <c r="B519" s="1">
        <v>45139</v>
      </c>
      <c r="C519">
        <v>850134</v>
      </c>
      <c r="D519" t="s">
        <v>176</v>
      </c>
      <c r="E519">
        <v>2488</v>
      </c>
      <c r="F519">
        <v>1</v>
      </c>
      <c r="G519">
        <v>5</v>
      </c>
      <c r="H519">
        <f>_xlfn.XLOOKUP(FACT_IMPORTS[[#This Row],[hts_6]],DIM_PRODUCTS[hts_6],DIM_PRODUCTS[hts_4],,,)</f>
        <v>8501</v>
      </c>
      <c r="I519" t="str" cm="1">
        <f t="array" ref="I519">_xlfn.XLOOKUP(FACT_IMPORTS[[#This Row],[country_name]],DIM_COUNTRY[[#All],[Column2]],DIM_COUNTRY[[#All],[Column3]],,,)</f>
        <v>USMCA</v>
      </c>
    </row>
    <row r="520" spans="1:9" x14ac:dyDescent="0.4">
      <c r="A520" t="s">
        <v>61</v>
      </c>
      <c r="B520" s="1">
        <v>45139</v>
      </c>
      <c r="C520">
        <v>850152</v>
      </c>
      <c r="D520" t="s">
        <v>176</v>
      </c>
      <c r="E520">
        <v>769782</v>
      </c>
      <c r="F520">
        <v>198</v>
      </c>
      <c r="G520">
        <v>9634</v>
      </c>
      <c r="H520">
        <f>_xlfn.XLOOKUP(FACT_IMPORTS[[#This Row],[hts_6]],DIM_PRODUCTS[hts_6],DIM_PRODUCTS[hts_4],,,)</f>
        <v>8501</v>
      </c>
      <c r="I520" t="str" cm="1">
        <f t="array" ref="I520">_xlfn.XLOOKUP(FACT_IMPORTS[[#This Row],[country_name]],DIM_COUNTRY[[#All],[Column2]],DIM_COUNTRY[[#All],[Column3]],,,)</f>
        <v>USMCA</v>
      </c>
    </row>
    <row r="521" spans="1:9" x14ac:dyDescent="0.4">
      <c r="A521" t="s">
        <v>61</v>
      </c>
      <c r="B521" s="1">
        <v>45139</v>
      </c>
      <c r="C521">
        <v>850153</v>
      </c>
      <c r="D521" t="s">
        <v>176</v>
      </c>
      <c r="E521">
        <v>217362</v>
      </c>
      <c r="F521">
        <v>29</v>
      </c>
      <c r="G521">
        <v>4048</v>
      </c>
      <c r="H521">
        <f>_xlfn.XLOOKUP(FACT_IMPORTS[[#This Row],[hts_6]],DIM_PRODUCTS[hts_6],DIM_PRODUCTS[hts_4],,,)</f>
        <v>8501</v>
      </c>
      <c r="I521" t="str" cm="1">
        <f t="array" ref="I521">_xlfn.XLOOKUP(FACT_IMPORTS[[#This Row],[country_name]],DIM_COUNTRY[[#All],[Column2]],DIM_COUNTRY[[#All],[Column3]],,,)</f>
        <v>USMCA</v>
      </c>
    </row>
    <row r="522" spans="1:9" x14ac:dyDescent="0.4">
      <c r="A522" t="s">
        <v>61</v>
      </c>
      <c r="B522" s="1">
        <v>45139</v>
      </c>
      <c r="C522">
        <v>850161</v>
      </c>
      <c r="D522" t="s">
        <v>176</v>
      </c>
      <c r="E522">
        <v>214084</v>
      </c>
      <c r="F522">
        <v>5</v>
      </c>
      <c r="G522">
        <v>803</v>
      </c>
      <c r="H522">
        <f>_xlfn.XLOOKUP(FACT_IMPORTS[[#This Row],[hts_6]],DIM_PRODUCTS[hts_6],DIM_PRODUCTS[hts_4],,,)</f>
        <v>8501</v>
      </c>
      <c r="I522" t="str" cm="1">
        <f t="array" ref="I522">_xlfn.XLOOKUP(FACT_IMPORTS[[#This Row],[country_name]],DIM_COUNTRY[[#All],[Column2]],DIM_COUNTRY[[#All],[Column3]],,,)</f>
        <v>USMCA</v>
      </c>
    </row>
    <row r="523" spans="1:9" x14ac:dyDescent="0.4">
      <c r="A523" t="s">
        <v>61</v>
      </c>
      <c r="B523" s="1">
        <v>45139</v>
      </c>
      <c r="C523">
        <v>850440</v>
      </c>
      <c r="D523" t="s">
        <v>176</v>
      </c>
      <c r="E523">
        <v>6737800</v>
      </c>
      <c r="F523">
        <v>55481</v>
      </c>
      <c r="G523">
        <v>162719</v>
      </c>
      <c r="H523">
        <f>_xlfn.XLOOKUP(FACT_IMPORTS[[#This Row],[hts_6]],DIM_PRODUCTS[hts_6],DIM_PRODUCTS[hts_4],,,)</f>
        <v>8504</v>
      </c>
      <c r="I523" t="str" cm="1">
        <f t="array" ref="I523">_xlfn.XLOOKUP(FACT_IMPORTS[[#This Row],[country_name]],DIM_COUNTRY[[#All],[Column2]],DIM_COUNTRY[[#All],[Column3]],,,)</f>
        <v>USMCA</v>
      </c>
    </row>
    <row r="524" spans="1:9" x14ac:dyDescent="0.4">
      <c r="A524" t="s">
        <v>61</v>
      </c>
      <c r="B524" s="1">
        <v>45139</v>
      </c>
      <c r="C524">
        <v>850710</v>
      </c>
      <c r="D524" t="s">
        <v>176</v>
      </c>
      <c r="E524">
        <v>1068200</v>
      </c>
      <c r="F524">
        <v>930</v>
      </c>
      <c r="G524">
        <v>59341</v>
      </c>
      <c r="H524">
        <f>_xlfn.XLOOKUP(FACT_IMPORTS[[#This Row],[hts_6]],DIM_PRODUCTS[hts_6],DIM_PRODUCTS[hts_4],,,)</f>
        <v>8507</v>
      </c>
      <c r="I524" t="str" cm="1">
        <f t="array" ref="I524">_xlfn.XLOOKUP(FACT_IMPORTS[[#This Row],[country_name]],DIM_COUNTRY[[#All],[Column2]],DIM_COUNTRY[[#All],[Column3]],,,)</f>
        <v>USMCA</v>
      </c>
    </row>
    <row r="525" spans="1:9" x14ac:dyDescent="0.4">
      <c r="A525" t="s">
        <v>61</v>
      </c>
      <c r="B525" s="1">
        <v>45139</v>
      </c>
      <c r="C525">
        <v>850760</v>
      </c>
      <c r="D525" t="s">
        <v>176</v>
      </c>
      <c r="E525">
        <v>4571240</v>
      </c>
      <c r="F525">
        <v>42490</v>
      </c>
      <c r="G525">
        <v>28561</v>
      </c>
      <c r="H525">
        <f>_xlfn.XLOOKUP(FACT_IMPORTS[[#This Row],[hts_6]],DIM_PRODUCTS[hts_6],DIM_PRODUCTS[hts_4],,,)</f>
        <v>8507</v>
      </c>
      <c r="I525" t="str" cm="1">
        <f t="array" ref="I525">_xlfn.XLOOKUP(FACT_IMPORTS[[#This Row],[country_name]],DIM_COUNTRY[[#All],[Column2]],DIM_COUNTRY[[#All],[Column3]],,,)</f>
        <v>USMCA</v>
      </c>
    </row>
    <row r="526" spans="1:9" x14ac:dyDescent="0.4">
      <c r="A526" t="s">
        <v>61</v>
      </c>
      <c r="B526" s="1">
        <v>45139</v>
      </c>
      <c r="C526">
        <v>850790</v>
      </c>
      <c r="D526" t="s">
        <v>176</v>
      </c>
      <c r="E526">
        <v>97645</v>
      </c>
      <c r="F526">
        <v>5172</v>
      </c>
      <c r="G526">
        <v>423</v>
      </c>
      <c r="H526">
        <f>_xlfn.XLOOKUP(FACT_IMPORTS[[#This Row],[hts_6]],DIM_PRODUCTS[hts_6],DIM_PRODUCTS[hts_4],,,)</f>
        <v>8507</v>
      </c>
      <c r="I526" t="str" cm="1">
        <f t="array" ref="I526">_xlfn.XLOOKUP(FACT_IMPORTS[[#This Row],[country_name]],DIM_COUNTRY[[#All],[Column2]],DIM_COUNTRY[[#All],[Column3]],,,)</f>
        <v>USMCA</v>
      </c>
    </row>
    <row r="527" spans="1:9" x14ac:dyDescent="0.4">
      <c r="A527" t="s">
        <v>61</v>
      </c>
      <c r="B527" s="1">
        <v>45139</v>
      </c>
      <c r="C527">
        <v>851110</v>
      </c>
      <c r="D527" t="s">
        <v>176</v>
      </c>
      <c r="E527">
        <v>0</v>
      </c>
      <c r="F527">
        <v>0</v>
      </c>
      <c r="G527">
        <v>0</v>
      </c>
      <c r="H527">
        <f>_xlfn.XLOOKUP(FACT_IMPORTS[[#This Row],[hts_6]],DIM_PRODUCTS[hts_6],DIM_PRODUCTS[hts_4],,,)</f>
        <v>8511</v>
      </c>
      <c r="I527" t="str" cm="1">
        <f t="array" ref="I527">_xlfn.XLOOKUP(FACT_IMPORTS[[#This Row],[country_name]],DIM_COUNTRY[[#All],[Column2]],DIM_COUNTRY[[#All],[Column3]],,,)</f>
        <v>USMCA</v>
      </c>
    </row>
    <row r="528" spans="1:9" x14ac:dyDescent="0.4">
      <c r="A528" t="s">
        <v>61</v>
      </c>
      <c r="B528" s="1">
        <v>45139</v>
      </c>
      <c r="C528">
        <v>851120</v>
      </c>
      <c r="D528" t="s">
        <v>176</v>
      </c>
      <c r="E528">
        <v>0</v>
      </c>
      <c r="F528">
        <v>0</v>
      </c>
      <c r="G528">
        <v>0</v>
      </c>
      <c r="H528">
        <f>_xlfn.XLOOKUP(FACT_IMPORTS[[#This Row],[hts_6]],DIM_PRODUCTS[hts_6],DIM_PRODUCTS[hts_4],,,)</f>
        <v>8511</v>
      </c>
      <c r="I528" t="str" cm="1">
        <f t="array" ref="I528">_xlfn.XLOOKUP(FACT_IMPORTS[[#This Row],[country_name]],DIM_COUNTRY[[#All],[Column2]],DIM_COUNTRY[[#All],[Column3]],,,)</f>
        <v>USMCA</v>
      </c>
    </row>
    <row r="529" spans="1:9" x14ac:dyDescent="0.4">
      <c r="A529" t="s">
        <v>61</v>
      </c>
      <c r="B529" s="1">
        <v>45139</v>
      </c>
      <c r="C529">
        <v>851130</v>
      </c>
      <c r="D529" t="s">
        <v>176</v>
      </c>
      <c r="E529">
        <v>9414</v>
      </c>
      <c r="F529">
        <v>3791</v>
      </c>
      <c r="G529">
        <v>69</v>
      </c>
      <c r="H529">
        <f>_xlfn.XLOOKUP(FACT_IMPORTS[[#This Row],[hts_6]],DIM_PRODUCTS[hts_6],DIM_PRODUCTS[hts_4],,,)</f>
        <v>8511</v>
      </c>
      <c r="I529" t="str" cm="1">
        <f t="array" ref="I529">_xlfn.XLOOKUP(FACT_IMPORTS[[#This Row],[country_name]],DIM_COUNTRY[[#All],[Column2]],DIM_COUNTRY[[#All],[Column3]],,,)</f>
        <v>USMCA</v>
      </c>
    </row>
    <row r="530" spans="1:9" x14ac:dyDescent="0.4">
      <c r="A530" t="s">
        <v>61</v>
      </c>
      <c r="B530" s="1">
        <v>45139</v>
      </c>
      <c r="C530">
        <v>851140</v>
      </c>
      <c r="D530" t="s">
        <v>176</v>
      </c>
      <c r="E530">
        <v>518357</v>
      </c>
      <c r="F530">
        <v>13483</v>
      </c>
      <c r="G530">
        <v>8163</v>
      </c>
      <c r="H530">
        <f>_xlfn.XLOOKUP(FACT_IMPORTS[[#This Row],[hts_6]],DIM_PRODUCTS[hts_6],DIM_PRODUCTS[hts_4],,,)</f>
        <v>8511</v>
      </c>
      <c r="I530" t="str" cm="1">
        <f t="array" ref="I530">_xlfn.XLOOKUP(FACT_IMPORTS[[#This Row],[country_name]],DIM_COUNTRY[[#All],[Column2]],DIM_COUNTRY[[#All],[Column3]],,,)</f>
        <v>USMCA</v>
      </c>
    </row>
    <row r="531" spans="1:9" x14ac:dyDescent="0.4">
      <c r="A531" t="s">
        <v>61</v>
      </c>
      <c r="B531" s="1">
        <v>45139</v>
      </c>
      <c r="C531">
        <v>851150</v>
      </c>
      <c r="D531" t="s">
        <v>176</v>
      </c>
      <c r="E531">
        <v>453160</v>
      </c>
      <c r="F531">
        <v>6992</v>
      </c>
      <c r="G531">
        <v>4808</v>
      </c>
      <c r="H531">
        <f>_xlfn.XLOOKUP(FACT_IMPORTS[[#This Row],[hts_6]],DIM_PRODUCTS[hts_6],DIM_PRODUCTS[hts_4],,,)</f>
        <v>8511</v>
      </c>
      <c r="I531" t="str" cm="1">
        <f t="array" ref="I531">_xlfn.XLOOKUP(FACT_IMPORTS[[#This Row],[country_name]],DIM_COUNTRY[[#All],[Column2]],DIM_COUNTRY[[#All],[Column3]],,,)</f>
        <v>USMCA</v>
      </c>
    </row>
    <row r="532" spans="1:9" x14ac:dyDescent="0.4">
      <c r="A532" t="s">
        <v>61</v>
      </c>
      <c r="B532" s="1">
        <v>45139</v>
      </c>
      <c r="C532">
        <v>851180</v>
      </c>
      <c r="D532" t="s">
        <v>176</v>
      </c>
      <c r="E532">
        <v>0</v>
      </c>
      <c r="F532">
        <v>0</v>
      </c>
      <c r="G532">
        <v>0</v>
      </c>
      <c r="H532">
        <f>_xlfn.XLOOKUP(FACT_IMPORTS[[#This Row],[hts_6]],DIM_PRODUCTS[hts_6],DIM_PRODUCTS[hts_4],,,)</f>
        <v>8511</v>
      </c>
      <c r="I532" t="str" cm="1">
        <f t="array" ref="I532">_xlfn.XLOOKUP(FACT_IMPORTS[[#This Row],[country_name]],DIM_COUNTRY[[#All],[Column2]],DIM_COUNTRY[[#All],[Column3]],,,)</f>
        <v>USMCA</v>
      </c>
    </row>
    <row r="533" spans="1:9" x14ac:dyDescent="0.4">
      <c r="A533" t="s">
        <v>61</v>
      </c>
      <c r="B533" s="1">
        <v>45139</v>
      </c>
      <c r="C533">
        <v>851190</v>
      </c>
      <c r="D533" t="s">
        <v>176</v>
      </c>
      <c r="E533">
        <v>1079270</v>
      </c>
      <c r="F533">
        <v>9387</v>
      </c>
      <c r="G533">
        <v>4606</v>
      </c>
      <c r="H533">
        <f>_xlfn.XLOOKUP(FACT_IMPORTS[[#This Row],[hts_6]],DIM_PRODUCTS[hts_6],DIM_PRODUCTS[hts_4],,,)</f>
        <v>8511</v>
      </c>
      <c r="I533" t="str" cm="1">
        <f t="array" ref="I533">_xlfn.XLOOKUP(FACT_IMPORTS[[#This Row],[country_name]],DIM_COUNTRY[[#All],[Column2]],DIM_COUNTRY[[#All],[Column3]],,,)</f>
        <v>USMCA</v>
      </c>
    </row>
    <row r="534" spans="1:9" x14ac:dyDescent="0.4">
      <c r="A534" t="s">
        <v>61</v>
      </c>
      <c r="B534" s="1">
        <v>45139</v>
      </c>
      <c r="C534">
        <v>851220</v>
      </c>
      <c r="D534" t="s">
        <v>176</v>
      </c>
      <c r="E534">
        <v>24844942</v>
      </c>
      <c r="F534">
        <v>421008</v>
      </c>
      <c r="G534">
        <v>102617</v>
      </c>
      <c r="H534">
        <f>_xlfn.XLOOKUP(FACT_IMPORTS[[#This Row],[hts_6]],DIM_PRODUCTS[hts_6],DIM_PRODUCTS[hts_4],,,)</f>
        <v>8512</v>
      </c>
      <c r="I534" t="str" cm="1">
        <f t="array" ref="I534">_xlfn.XLOOKUP(FACT_IMPORTS[[#This Row],[country_name]],DIM_COUNTRY[[#All],[Column2]],DIM_COUNTRY[[#All],[Column3]],,,)</f>
        <v>USMCA</v>
      </c>
    </row>
    <row r="535" spans="1:9" x14ac:dyDescent="0.4">
      <c r="A535" t="s">
        <v>61</v>
      </c>
      <c r="B535" s="1">
        <v>45139</v>
      </c>
      <c r="C535">
        <v>851230</v>
      </c>
      <c r="D535" t="s">
        <v>176</v>
      </c>
      <c r="E535">
        <v>124463</v>
      </c>
      <c r="F535">
        <v>2014</v>
      </c>
      <c r="G535">
        <v>380</v>
      </c>
      <c r="H535">
        <f>_xlfn.XLOOKUP(FACT_IMPORTS[[#This Row],[hts_6]],DIM_PRODUCTS[hts_6],DIM_PRODUCTS[hts_4],,,)</f>
        <v>8512</v>
      </c>
      <c r="I535" t="str" cm="1">
        <f t="array" ref="I535">_xlfn.XLOOKUP(FACT_IMPORTS[[#This Row],[country_name]],DIM_COUNTRY[[#All],[Column2]],DIM_COUNTRY[[#All],[Column3]],,,)</f>
        <v>USMCA</v>
      </c>
    </row>
    <row r="536" spans="1:9" x14ac:dyDescent="0.4">
      <c r="A536" t="s">
        <v>61</v>
      </c>
      <c r="B536" s="1">
        <v>45139</v>
      </c>
      <c r="C536">
        <v>851240</v>
      </c>
      <c r="D536" t="s">
        <v>176</v>
      </c>
      <c r="E536">
        <v>0</v>
      </c>
      <c r="F536">
        <v>0</v>
      </c>
      <c r="G536">
        <v>0</v>
      </c>
      <c r="H536">
        <f>_xlfn.XLOOKUP(FACT_IMPORTS[[#This Row],[hts_6]],DIM_PRODUCTS[hts_6],DIM_PRODUCTS[hts_4],,,)</f>
        <v>8512</v>
      </c>
      <c r="I536" t="str" cm="1">
        <f t="array" ref="I536">_xlfn.XLOOKUP(FACT_IMPORTS[[#This Row],[country_name]],DIM_COUNTRY[[#All],[Column2]],DIM_COUNTRY[[#All],[Column3]],,,)</f>
        <v>USMCA</v>
      </c>
    </row>
    <row r="537" spans="1:9" x14ac:dyDescent="0.4">
      <c r="A537" t="s">
        <v>61</v>
      </c>
      <c r="B537" s="1">
        <v>45139</v>
      </c>
      <c r="C537">
        <v>851290</v>
      </c>
      <c r="D537" t="s">
        <v>176</v>
      </c>
      <c r="E537">
        <v>2658280</v>
      </c>
      <c r="F537">
        <v>51038</v>
      </c>
      <c r="G537">
        <v>9353</v>
      </c>
      <c r="H537">
        <f>_xlfn.XLOOKUP(FACT_IMPORTS[[#This Row],[hts_6]],DIM_PRODUCTS[hts_6],DIM_PRODUCTS[hts_4],,,)</f>
        <v>8512</v>
      </c>
      <c r="I537" t="str" cm="1">
        <f t="array" ref="I537">_xlfn.XLOOKUP(FACT_IMPORTS[[#This Row],[country_name]],DIM_COUNTRY[[#All],[Column2]],DIM_COUNTRY[[#All],[Column3]],,,)</f>
        <v>USMCA</v>
      </c>
    </row>
    <row r="538" spans="1:9" x14ac:dyDescent="0.4">
      <c r="A538" t="s">
        <v>61</v>
      </c>
      <c r="B538" s="1">
        <v>45139</v>
      </c>
      <c r="C538">
        <v>854231</v>
      </c>
      <c r="D538" t="s">
        <v>176</v>
      </c>
      <c r="E538">
        <v>29328</v>
      </c>
      <c r="F538">
        <v>525</v>
      </c>
      <c r="G538">
        <v>580</v>
      </c>
      <c r="H538">
        <f>_xlfn.XLOOKUP(FACT_IMPORTS[[#This Row],[hts_6]],DIM_PRODUCTS[hts_6],DIM_PRODUCTS[hts_4],,,)</f>
        <v>8542</v>
      </c>
      <c r="I538" t="str" cm="1">
        <f t="array" ref="I538">_xlfn.XLOOKUP(FACT_IMPORTS[[#This Row],[country_name]],DIM_COUNTRY[[#All],[Column2]],DIM_COUNTRY[[#All],[Column3]],,,)</f>
        <v>USMCA</v>
      </c>
    </row>
    <row r="539" spans="1:9" x14ac:dyDescent="0.4">
      <c r="A539" t="s">
        <v>61</v>
      </c>
      <c r="B539" s="1">
        <v>45139</v>
      </c>
      <c r="C539">
        <v>854232</v>
      </c>
      <c r="D539" t="s">
        <v>176</v>
      </c>
      <c r="E539">
        <v>0</v>
      </c>
      <c r="F539">
        <v>0</v>
      </c>
      <c r="G539">
        <v>0</v>
      </c>
      <c r="H539">
        <f>_xlfn.XLOOKUP(FACT_IMPORTS[[#This Row],[hts_6]],DIM_PRODUCTS[hts_6],DIM_PRODUCTS[hts_4],,,)</f>
        <v>8542</v>
      </c>
      <c r="I539" t="str" cm="1">
        <f t="array" ref="I539">_xlfn.XLOOKUP(FACT_IMPORTS[[#This Row],[country_name]],DIM_COUNTRY[[#All],[Column2]],DIM_COUNTRY[[#All],[Column3]],,,)</f>
        <v>USMCA</v>
      </c>
    </row>
    <row r="540" spans="1:9" x14ac:dyDescent="0.4">
      <c r="A540" t="s">
        <v>61</v>
      </c>
      <c r="B540" s="1">
        <v>45139</v>
      </c>
      <c r="C540">
        <v>854233</v>
      </c>
      <c r="D540" t="s">
        <v>176</v>
      </c>
      <c r="E540">
        <v>2265</v>
      </c>
      <c r="F540">
        <v>1</v>
      </c>
      <c r="G540">
        <v>26</v>
      </c>
      <c r="H540">
        <f>_xlfn.XLOOKUP(FACT_IMPORTS[[#This Row],[hts_6]],DIM_PRODUCTS[hts_6],DIM_PRODUCTS[hts_4],,,)</f>
        <v>8542</v>
      </c>
      <c r="I540" t="str" cm="1">
        <f t="array" ref="I540">_xlfn.XLOOKUP(FACT_IMPORTS[[#This Row],[country_name]],DIM_COUNTRY[[#All],[Column2]],DIM_COUNTRY[[#All],[Column3]],,,)</f>
        <v>USMCA</v>
      </c>
    </row>
    <row r="541" spans="1:9" x14ac:dyDescent="0.4">
      <c r="A541" t="s">
        <v>61</v>
      </c>
      <c r="B541" s="1">
        <v>45139</v>
      </c>
      <c r="C541">
        <v>854239</v>
      </c>
      <c r="D541" t="s">
        <v>176</v>
      </c>
      <c r="E541">
        <v>49763</v>
      </c>
      <c r="F541">
        <v>152115</v>
      </c>
      <c r="G541">
        <v>181</v>
      </c>
      <c r="H541">
        <f>_xlfn.XLOOKUP(FACT_IMPORTS[[#This Row],[hts_6]],DIM_PRODUCTS[hts_6],DIM_PRODUCTS[hts_4],,,)</f>
        <v>8542</v>
      </c>
      <c r="I541" t="str" cm="1">
        <f t="array" ref="I541">_xlfn.XLOOKUP(FACT_IMPORTS[[#This Row],[country_name]],DIM_COUNTRY[[#All],[Column2]],DIM_COUNTRY[[#All],[Column3]],,,)</f>
        <v>USMCA</v>
      </c>
    </row>
    <row r="542" spans="1:9" x14ac:dyDescent="0.4">
      <c r="A542" t="s">
        <v>61</v>
      </c>
      <c r="B542" s="1">
        <v>45139</v>
      </c>
      <c r="C542">
        <v>854290</v>
      </c>
      <c r="D542" t="s">
        <v>176</v>
      </c>
      <c r="E542">
        <v>3851</v>
      </c>
      <c r="F542">
        <v>17</v>
      </c>
      <c r="G542">
        <v>242</v>
      </c>
      <c r="H542">
        <f>_xlfn.XLOOKUP(FACT_IMPORTS[[#This Row],[hts_6]],DIM_PRODUCTS[hts_6],DIM_PRODUCTS[hts_4],,,)</f>
        <v>8542</v>
      </c>
      <c r="I542" t="str" cm="1">
        <f t="array" ref="I542">_xlfn.XLOOKUP(FACT_IMPORTS[[#This Row],[country_name]],DIM_COUNTRY[[#All],[Column2]],DIM_COUNTRY[[#All],[Column3]],,,)</f>
        <v>USMCA</v>
      </c>
    </row>
    <row r="543" spans="1:9" x14ac:dyDescent="0.4">
      <c r="A543" t="s">
        <v>61</v>
      </c>
      <c r="B543" s="1">
        <v>45139</v>
      </c>
      <c r="C543">
        <v>854430</v>
      </c>
      <c r="D543" t="s">
        <v>176</v>
      </c>
      <c r="E543">
        <v>1447423</v>
      </c>
      <c r="F543">
        <v>43961</v>
      </c>
      <c r="G543">
        <v>7694</v>
      </c>
      <c r="H543">
        <f>_xlfn.XLOOKUP(FACT_IMPORTS[[#This Row],[hts_6]],DIM_PRODUCTS[hts_6],DIM_PRODUCTS[hts_4],,,)</f>
        <v>8544</v>
      </c>
      <c r="I543" t="str" cm="1">
        <f t="array" ref="I543">_xlfn.XLOOKUP(FACT_IMPORTS[[#This Row],[country_name]],DIM_COUNTRY[[#All],[Column2]],DIM_COUNTRY[[#All],[Column3]],,,)</f>
        <v>USMCA</v>
      </c>
    </row>
    <row r="544" spans="1:9" x14ac:dyDescent="0.4">
      <c r="A544" t="s">
        <v>61</v>
      </c>
      <c r="B544" s="1">
        <v>45139</v>
      </c>
      <c r="C544">
        <v>870710</v>
      </c>
      <c r="D544" t="s">
        <v>176</v>
      </c>
      <c r="E544">
        <v>8923</v>
      </c>
      <c r="F544">
        <v>4</v>
      </c>
      <c r="G544">
        <v>560</v>
      </c>
      <c r="H544">
        <f>_xlfn.XLOOKUP(FACT_IMPORTS[[#This Row],[hts_6]],DIM_PRODUCTS[hts_6],DIM_PRODUCTS[hts_4],,,)</f>
        <v>8707</v>
      </c>
      <c r="I544" t="str" cm="1">
        <f t="array" ref="I544">_xlfn.XLOOKUP(FACT_IMPORTS[[#This Row],[country_name]],DIM_COUNTRY[[#All],[Column2]],DIM_COUNTRY[[#All],[Column3]],,,)</f>
        <v>USMCA</v>
      </c>
    </row>
    <row r="545" spans="1:9" x14ac:dyDescent="0.4">
      <c r="A545" t="s">
        <v>61</v>
      </c>
      <c r="B545" s="1">
        <v>45139</v>
      </c>
      <c r="C545">
        <v>870790</v>
      </c>
      <c r="D545" t="s">
        <v>176</v>
      </c>
      <c r="E545">
        <v>2576060</v>
      </c>
      <c r="F545">
        <v>191</v>
      </c>
      <c r="G545">
        <v>15537</v>
      </c>
      <c r="H545">
        <f>_xlfn.XLOOKUP(FACT_IMPORTS[[#This Row],[hts_6]],DIM_PRODUCTS[hts_6],DIM_PRODUCTS[hts_4],,,)</f>
        <v>8707</v>
      </c>
      <c r="I545" t="str" cm="1">
        <f t="array" ref="I545">_xlfn.XLOOKUP(FACT_IMPORTS[[#This Row],[country_name]],DIM_COUNTRY[[#All],[Column2]],DIM_COUNTRY[[#All],[Column3]],,,)</f>
        <v>USMCA</v>
      </c>
    </row>
    <row r="546" spans="1:9" x14ac:dyDescent="0.4">
      <c r="A546" t="s">
        <v>61</v>
      </c>
      <c r="B546" s="1">
        <v>45139</v>
      </c>
      <c r="C546">
        <v>870810</v>
      </c>
      <c r="D546" t="s">
        <v>176</v>
      </c>
      <c r="E546">
        <v>31587223</v>
      </c>
      <c r="F546">
        <v>1354168</v>
      </c>
      <c r="G546">
        <v>499584</v>
      </c>
      <c r="H546">
        <f>_xlfn.XLOOKUP(FACT_IMPORTS[[#This Row],[hts_6]],DIM_PRODUCTS[hts_6],DIM_PRODUCTS[hts_4],,,)</f>
        <v>8708</v>
      </c>
      <c r="I546" t="str" cm="1">
        <f t="array" ref="I546">_xlfn.XLOOKUP(FACT_IMPORTS[[#This Row],[country_name]],DIM_COUNTRY[[#All],[Column2]],DIM_COUNTRY[[#All],[Column3]],,,)</f>
        <v>USMCA</v>
      </c>
    </row>
    <row r="547" spans="1:9" x14ac:dyDescent="0.4">
      <c r="A547" t="s">
        <v>61</v>
      </c>
      <c r="B547" s="1">
        <v>45139</v>
      </c>
      <c r="C547">
        <v>870821</v>
      </c>
      <c r="D547" t="s">
        <v>176</v>
      </c>
      <c r="E547">
        <v>201273</v>
      </c>
      <c r="F547">
        <v>8869</v>
      </c>
      <c r="G547">
        <v>1595</v>
      </c>
      <c r="H547">
        <f>_xlfn.XLOOKUP(FACT_IMPORTS[[#This Row],[hts_6]],DIM_PRODUCTS[hts_6],DIM_PRODUCTS[hts_4],,,)</f>
        <v>8708</v>
      </c>
      <c r="I547" t="str" cm="1">
        <f t="array" ref="I547">_xlfn.XLOOKUP(FACT_IMPORTS[[#This Row],[country_name]],DIM_COUNTRY[[#All],[Column2]],DIM_COUNTRY[[#All],[Column3]],,,)</f>
        <v>USMCA</v>
      </c>
    </row>
    <row r="548" spans="1:9" x14ac:dyDescent="0.4">
      <c r="A548" t="s">
        <v>61</v>
      </c>
      <c r="B548" s="1">
        <v>45139</v>
      </c>
      <c r="C548">
        <v>870822</v>
      </c>
      <c r="D548" t="s">
        <v>176</v>
      </c>
      <c r="E548">
        <v>5723022</v>
      </c>
      <c r="F548">
        <v>106515</v>
      </c>
      <c r="G548">
        <v>196837</v>
      </c>
      <c r="H548">
        <f>_xlfn.XLOOKUP(FACT_IMPORTS[[#This Row],[hts_6]],DIM_PRODUCTS[hts_6],DIM_PRODUCTS[hts_4],,,)</f>
        <v>8708</v>
      </c>
      <c r="I548" t="str" cm="1">
        <f t="array" ref="I548">_xlfn.XLOOKUP(FACT_IMPORTS[[#This Row],[country_name]],DIM_COUNTRY[[#All],[Column2]],DIM_COUNTRY[[#All],[Column3]],,,)</f>
        <v>USMCA</v>
      </c>
    </row>
    <row r="549" spans="1:9" x14ac:dyDescent="0.4">
      <c r="A549" t="s">
        <v>61</v>
      </c>
      <c r="B549" s="1">
        <v>45139</v>
      </c>
      <c r="C549">
        <v>870829</v>
      </c>
      <c r="D549" t="s">
        <v>176</v>
      </c>
      <c r="E549">
        <v>431073454</v>
      </c>
      <c r="F549">
        <v>64366320</v>
      </c>
      <c r="G549">
        <v>9036236</v>
      </c>
      <c r="H549">
        <f>_xlfn.XLOOKUP(FACT_IMPORTS[[#This Row],[hts_6]],DIM_PRODUCTS[hts_6],DIM_PRODUCTS[hts_4],,,)</f>
        <v>8708</v>
      </c>
      <c r="I549" t="str" cm="1">
        <f t="array" ref="I549">_xlfn.XLOOKUP(FACT_IMPORTS[[#This Row],[country_name]],DIM_COUNTRY[[#All],[Column2]],DIM_COUNTRY[[#All],[Column3]],,,)</f>
        <v>USMCA</v>
      </c>
    </row>
    <row r="550" spans="1:9" x14ac:dyDescent="0.4">
      <c r="A550" t="s">
        <v>61</v>
      </c>
      <c r="B550" s="1">
        <v>45139</v>
      </c>
      <c r="C550">
        <v>870830</v>
      </c>
      <c r="D550" t="s">
        <v>176</v>
      </c>
      <c r="E550">
        <v>16078350</v>
      </c>
      <c r="F550">
        <v>3884703</v>
      </c>
      <c r="G550">
        <v>192587</v>
      </c>
      <c r="H550">
        <f>_xlfn.XLOOKUP(FACT_IMPORTS[[#This Row],[hts_6]],DIM_PRODUCTS[hts_6],DIM_PRODUCTS[hts_4],,,)</f>
        <v>8708</v>
      </c>
      <c r="I550" t="str" cm="1">
        <f t="array" ref="I550">_xlfn.XLOOKUP(FACT_IMPORTS[[#This Row],[country_name]],DIM_COUNTRY[[#All],[Column2]],DIM_COUNTRY[[#All],[Column3]],,,)</f>
        <v>USMCA</v>
      </c>
    </row>
    <row r="551" spans="1:9" x14ac:dyDescent="0.4">
      <c r="A551" t="s">
        <v>61</v>
      </c>
      <c r="B551" s="1">
        <v>45139</v>
      </c>
      <c r="C551">
        <v>870840</v>
      </c>
      <c r="D551" t="s">
        <v>176</v>
      </c>
      <c r="E551">
        <v>108037947</v>
      </c>
      <c r="F551">
        <v>4992130</v>
      </c>
      <c r="G551">
        <v>658698</v>
      </c>
      <c r="H551">
        <f>_xlfn.XLOOKUP(FACT_IMPORTS[[#This Row],[hts_6]],DIM_PRODUCTS[hts_6],DIM_PRODUCTS[hts_4],,,)</f>
        <v>8708</v>
      </c>
      <c r="I551" t="str" cm="1">
        <f t="array" ref="I551">_xlfn.XLOOKUP(FACT_IMPORTS[[#This Row],[country_name]],DIM_COUNTRY[[#All],[Column2]],DIM_COUNTRY[[#All],[Column3]],,,)</f>
        <v>USMCA</v>
      </c>
    </row>
    <row r="552" spans="1:9" x14ac:dyDescent="0.4">
      <c r="A552" t="s">
        <v>61</v>
      </c>
      <c r="B552" s="1">
        <v>45139</v>
      </c>
      <c r="C552">
        <v>870850</v>
      </c>
      <c r="D552" t="s">
        <v>176</v>
      </c>
      <c r="E552">
        <v>37418248</v>
      </c>
      <c r="F552">
        <v>1789937</v>
      </c>
      <c r="G552">
        <v>196022</v>
      </c>
      <c r="H552">
        <f>_xlfn.XLOOKUP(FACT_IMPORTS[[#This Row],[hts_6]],DIM_PRODUCTS[hts_6],DIM_PRODUCTS[hts_4],,,)</f>
        <v>8708</v>
      </c>
      <c r="I552" t="str" cm="1">
        <f t="array" ref="I552">_xlfn.XLOOKUP(FACT_IMPORTS[[#This Row],[country_name]],DIM_COUNTRY[[#All],[Column2]],DIM_COUNTRY[[#All],[Column3]],,,)</f>
        <v>USMCA</v>
      </c>
    </row>
    <row r="553" spans="1:9" x14ac:dyDescent="0.4">
      <c r="A553" t="s">
        <v>61</v>
      </c>
      <c r="B553" s="1">
        <v>45139</v>
      </c>
      <c r="C553">
        <v>870870</v>
      </c>
      <c r="D553" t="s">
        <v>176</v>
      </c>
      <c r="E553">
        <v>9592101</v>
      </c>
      <c r="F553">
        <v>7431363</v>
      </c>
      <c r="G553">
        <v>96074</v>
      </c>
      <c r="H553">
        <f>_xlfn.XLOOKUP(FACT_IMPORTS[[#This Row],[hts_6]],DIM_PRODUCTS[hts_6],DIM_PRODUCTS[hts_4],,,)</f>
        <v>8708</v>
      </c>
      <c r="I553" t="str" cm="1">
        <f t="array" ref="I553">_xlfn.XLOOKUP(FACT_IMPORTS[[#This Row],[country_name]],DIM_COUNTRY[[#All],[Column2]],DIM_COUNTRY[[#All],[Column3]],,,)</f>
        <v>USMCA</v>
      </c>
    </row>
    <row r="554" spans="1:9" x14ac:dyDescent="0.4">
      <c r="A554" t="s">
        <v>61</v>
      </c>
      <c r="B554" s="1">
        <v>45139</v>
      </c>
      <c r="C554">
        <v>870880</v>
      </c>
      <c r="D554" t="s">
        <v>176</v>
      </c>
      <c r="E554">
        <v>66158037</v>
      </c>
      <c r="F554">
        <v>3547950</v>
      </c>
      <c r="G554">
        <v>1175821</v>
      </c>
      <c r="H554">
        <f>_xlfn.XLOOKUP(FACT_IMPORTS[[#This Row],[hts_6]],DIM_PRODUCTS[hts_6],DIM_PRODUCTS[hts_4],,,)</f>
        <v>8708</v>
      </c>
      <c r="I554" t="str" cm="1">
        <f t="array" ref="I554">_xlfn.XLOOKUP(FACT_IMPORTS[[#This Row],[country_name]],DIM_COUNTRY[[#All],[Column2]],DIM_COUNTRY[[#All],[Column3]],,,)</f>
        <v>USMCA</v>
      </c>
    </row>
    <row r="555" spans="1:9" x14ac:dyDescent="0.4">
      <c r="A555" t="s">
        <v>61</v>
      </c>
      <c r="B555" s="1">
        <v>45139</v>
      </c>
      <c r="C555">
        <v>870891</v>
      </c>
      <c r="D555" t="s">
        <v>176</v>
      </c>
      <c r="E555">
        <v>14787915</v>
      </c>
      <c r="F555">
        <v>591862</v>
      </c>
      <c r="G555">
        <v>224386</v>
      </c>
      <c r="H555">
        <f>_xlfn.XLOOKUP(FACT_IMPORTS[[#This Row],[hts_6]],DIM_PRODUCTS[hts_6],DIM_PRODUCTS[hts_4],,,)</f>
        <v>8708</v>
      </c>
      <c r="I555" t="str" cm="1">
        <f t="array" ref="I555">_xlfn.XLOOKUP(FACT_IMPORTS[[#This Row],[country_name]],DIM_COUNTRY[[#All],[Column2]],DIM_COUNTRY[[#All],[Column3]],,,)</f>
        <v>USMCA</v>
      </c>
    </row>
    <row r="556" spans="1:9" x14ac:dyDescent="0.4">
      <c r="A556" t="s">
        <v>61</v>
      </c>
      <c r="B556" s="1">
        <v>45139</v>
      </c>
      <c r="C556">
        <v>870892</v>
      </c>
      <c r="D556" t="s">
        <v>176</v>
      </c>
      <c r="E556">
        <v>22873800</v>
      </c>
      <c r="F556">
        <v>1434850</v>
      </c>
      <c r="G556">
        <v>426240</v>
      </c>
      <c r="H556">
        <f>_xlfn.XLOOKUP(FACT_IMPORTS[[#This Row],[hts_6]],DIM_PRODUCTS[hts_6],DIM_PRODUCTS[hts_4],,,)</f>
        <v>8708</v>
      </c>
      <c r="I556" t="str" cm="1">
        <f t="array" ref="I556">_xlfn.XLOOKUP(FACT_IMPORTS[[#This Row],[country_name]],DIM_COUNTRY[[#All],[Column2]],DIM_COUNTRY[[#All],[Column3]],,,)</f>
        <v>USMCA</v>
      </c>
    </row>
    <row r="557" spans="1:9" x14ac:dyDescent="0.4">
      <c r="A557" t="s">
        <v>61</v>
      </c>
      <c r="B557" s="1">
        <v>45139</v>
      </c>
      <c r="C557">
        <v>870893</v>
      </c>
      <c r="D557" t="s">
        <v>176</v>
      </c>
      <c r="E557">
        <v>50156713</v>
      </c>
      <c r="F557">
        <v>1573437</v>
      </c>
      <c r="G557">
        <v>159306</v>
      </c>
      <c r="H557">
        <f>_xlfn.XLOOKUP(FACT_IMPORTS[[#This Row],[hts_6]],DIM_PRODUCTS[hts_6],DIM_PRODUCTS[hts_4],,,)</f>
        <v>8708</v>
      </c>
      <c r="I557" t="str" cm="1">
        <f t="array" ref="I557">_xlfn.XLOOKUP(FACT_IMPORTS[[#This Row],[country_name]],DIM_COUNTRY[[#All],[Column2]],DIM_COUNTRY[[#All],[Column3]],,,)</f>
        <v>USMCA</v>
      </c>
    </row>
    <row r="558" spans="1:9" x14ac:dyDescent="0.4">
      <c r="A558" t="s">
        <v>61</v>
      </c>
      <c r="B558" s="1">
        <v>45139</v>
      </c>
      <c r="C558">
        <v>870894</v>
      </c>
      <c r="D558" t="s">
        <v>176</v>
      </c>
      <c r="E558">
        <v>13766698</v>
      </c>
      <c r="F558">
        <v>2869436</v>
      </c>
      <c r="G558">
        <v>139062</v>
      </c>
      <c r="H558">
        <f>_xlfn.XLOOKUP(FACT_IMPORTS[[#This Row],[hts_6]],DIM_PRODUCTS[hts_6],DIM_PRODUCTS[hts_4],,,)</f>
        <v>8708</v>
      </c>
      <c r="I558" t="str" cm="1">
        <f t="array" ref="I558">_xlfn.XLOOKUP(FACT_IMPORTS[[#This Row],[country_name]],DIM_COUNTRY[[#All],[Column2]],DIM_COUNTRY[[#All],[Column3]],,,)</f>
        <v>USMCA</v>
      </c>
    </row>
    <row r="559" spans="1:9" x14ac:dyDescent="0.4">
      <c r="A559" t="s">
        <v>61</v>
      </c>
      <c r="B559" s="1">
        <v>45139</v>
      </c>
      <c r="C559">
        <v>870895</v>
      </c>
      <c r="D559" t="s">
        <v>176</v>
      </c>
      <c r="E559">
        <v>2127802</v>
      </c>
      <c r="F559">
        <v>1576526</v>
      </c>
      <c r="G559">
        <v>14401</v>
      </c>
      <c r="H559">
        <f>_xlfn.XLOOKUP(FACT_IMPORTS[[#This Row],[hts_6]],DIM_PRODUCTS[hts_6],DIM_PRODUCTS[hts_4],,,)</f>
        <v>8708</v>
      </c>
      <c r="I559" t="str" cm="1">
        <f t="array" ref="I559">_xlfn.XLOOKUP(FACT_IMPORTS[[#This Row],[country_name]],DIM_COUNTRY[[#All],[Column2]],DIM_COUNTRY[[#All],[Column3]],,,)</f>
        <v>USMCA</v>
      </c>
    </row>
    <row r="560" spans="1:9" x14ac:dyDescent="0.4">
      <c r="A560" t="s">
        <v>61</v>
      </c>
      <c r="B560" s="1">
        <v>45139</v>
      </c>
      <c r="C560">
        <v>870899</v>
      </c>
      <c r="D560" t="s">
        <v>176</v>
      </c>
      <c r="E560">
        <v>194875698</v>
      </c>
      <c r="F560">
        <v>18070238</v>
      </c>
      <c r="G560">
        <v>2609104</v>
      </c>
      <c r="H560">
        <f>_xlfn.XLOOKUP(FACT_IMPORTS[[#This Row],[hts_6]],DIM_PRODUCTS[hts_6],DIM_PRODUCTS[hts_4],,,)</f>
        <v>8708</v>
      </c>
      <c r="I560" t="str" cm="1">
        <f t="array" ref="I560">_xlfn.XLOOKUP(FACT_IMPORTS[[#This Row],[country_name]],DIM_COUNTRY[[#All],[Column2]],DIM_COUNTRY[[#All],[Column3]],,,)</f>
        <v>USMCA</v>
      </c>
    </row>
    <row r="561" spans="1:9" x14ac:dyDescent="0.4">
      <c r="A561" t="s">
        <v>61</v>
      </c>
      <c r="B561" s="1">
        <v>45139</v>
      </c>
      <c r="C561">
        <v>940120</v>
      </c>
      <c r="D561" t="s">
        <v>176</v>
      </c>
      <c r="E561">
        <v>831214</v>
      </c>
      <c r="F561">
        <v>13925</v>
      </c>
      <c r="G561">
        <v>9713</v>
      </c>
      <c r="H561">
        <f>_xlfn.XLOOKUP(FACT_IMPORTS[[#This Row],[hts_6]],DIM_PRODUCTS[hts_6],DIM_PRODUCTS[hts_4],,,)</f>
        <v>9401</v>
      </c>
      <c r="I561" t="str" cm="1">
        <f t="array" ref="I561">_xlfn.XLOOKUP(FACT_IMPORTS[[#This Row],[country_name]],DIM_COUNTRY[[#All],[Column2]],DIM_COUNTRY[[#All],[Column3]],,,)</f>
        <v>USMCA</v>
      </c>
    </row>
    <row r="562" spans="1:9" x14ac:dyDescent="0.4">
      <c r="A562" t="s">
        <v>61</v>
      </c>
      <c r="B562" s="1">
        <v>45170</v>
      </c>
      <c r="C562">
        <v>392630</v>
      </c>
      <c r="D562" t="s">
        <v>176</v>
      </c>
      <c r="E562">
        <v>3535348</v>
      </c>
      <c r="F562">
        <v>258858</v>
      </c>
      <c r="G562">
        <v>145278</v>
      </c>
      <c r="H562">
        <f>_xlfn.XLOOKUP(FACT_IMPORTS[[#This Row],[hts_6]],DIM_PRODUCTS[hts_6],DIM_PRODUCTS[hts_4],,,)</f>
        <v>3926</v>
      </c>
      <c r="I562" t="str" cm="1">
        <f t="array" ref="I562">_xlfn.XLOOKUP(FACT_IMPORTS[[#This Row],[country_name]],DIM_COUNTRY[[#All],[Column2]],DIM_COUNTRY[[#All],[Column3]],,,)</f>
        <v>USMCA</v>
      </c>
    </row>
    <row r="563" spans="1:9" x14ac:dyDescent="0.4">
      <c r="A563" t="s">
        <v>61</v>
      </c>
      <c r="B563" s="1">
        <v>45170</v>
      </c>
      <c r="C563">
        <v>401110</v>
      </c>
      <c r="D563" t="s">
        <v>176</v>
      </c>
      <c r="E563">
        <v>41059771</v>
      </c>
      <c r="F563">
        <v>636102</v>
      </c>
      <c r="G563">
        <v>317114</v>
      </c>
      <c r="H563">
        <f>_xlfn.XLOOKUP(FACT_IMPORTS[[#This Row],[hts_6]],DIM_PRODUCTS[hts_6],DIM_PRODUCTS[hts_4],,,)</f>
        <v>4011</v>
      </c>
      <c r="I563" t="str" cm="1">
        <f t="array" ref="I563">_xlfn.XLOOKUP(FACT_IMPORTS[[#This Row],[country_name]],DIM_COUNTRY[[#All],[Column2]],DIM_COUNTRY[[#All],[Column3]],,,)</f>
        <v>USMCA</v>
      </c>
    </row>
    <row r="564" spans="1:9" x14ac:dyDescent="0.4">
      <c r="A564" t="s">
        <v>61</v>
      </c>
      <c r="B564" s="1">
        <v>45170</v>
      </c>
      <c r="C564">
        <v>401120</v>
      </c>
      <c r="D564" t="s">
        <v>176</v>
      </c>
      <c r="E564">
        <v>51454032</v>
      </c>
      <c r="F564">
        <v>303254</v>
      </c>
      <c r="G564">
        <v>318360</v>
      </c>
      <c r="H564">
        <f>_xlfn.XLOOKUP(FACT_IMPORTS[[#This Row],[hts_6]],DIM_PRODUCTS[hts_6],DIM_PRODUCTS[hts_4],,,)</f>
        <v>4011</v>
      </c>
      <c r="I564" t="str" cm="1">
        <f t="array" ref="I564">_xlfn.XLOOKUP(FACT_IMPORTS[[#This Row],[country_name]],DIM_COUNTRY[[#All],[Column2]],DIM_COUNTRY[[#All],[Column3]],,,)</f>
        <v>USMCA</v>
      </c>
    </row>
    <row r="565" spans="1:9" x14ac:dyDescent="0.4">
      <c r="A565" t="s">
        <v>61</v>
      </c>
      <c r="B565" s="1">
        <v>45170</v>
      </c>
      <c r="C565">
        <v>401140</v>
      </c>
      <c r="D565" t="s">
        <v>176</v>
      </c>
      <c r="E565">
        <v>0</v>
      </c>
      <c r="F565">
        <v>0</v>
      </c>
      <c r="G565">
        <v>0</v>
      </c>
      <c r="H565">
        <f>_xlfn.XLOOKUP(FACT_IMPORTS[[#This Row],[hts_6]],DIM_PRODUCTS[hts_6],DIM_PRODUCTS[hts_4],,,)</f>
        <v>4011</v>
      </c>
      <c r="I565" t="str" cm="1">
        <f t="array" ref="I565">_xlfn.XLOOKUP(FACT_IMPORTS[[#This Row],[country_name]],DIM_COUNTRY[[#All],[Column2]],DIM_COUNTRY[[#All],[Column3]],,,)</f>
        <v>USMCA</v>
      </c>
    </row>
    <row r="566" spans="1:9" x14ac:dyDescent="0.4">
      <c r="A566" t="s">
        <v>61</v>
      </c>
      <c r="B566" s="1">
        <v>45170</v>
      </c>
      <c r="C566">
        <v>401190</v>
      </c>
      <c r="D566" t="s">
        <v>176</v>
      </c>
      <c r="E566">
        <v>334974</v>
      </c>
      <c r="F566">
        <v>607</v>
      </c>
      <c r="G566">
        <v>1178</v>
      </c>
      <c r="H566">
        <f>_xlfn.XLOOKUP(FACT_IMPORTS[[#This Row],[hts_6]],DIM_PRODUCTS[hts_6],DIM_PRODUCTS[hts_4],,,)</f>
        <v>4011</v>
      </c>
      <c r="I566" t="str" cm="1">
        <f t="array" ref="I566">_xlfn.XLOOKUP(FACT_IMPORTS[[#This Row],[country_name]],DIM_COUNTRY[[#All],[Column2]],DIM_COUNTRY[[#All],[Column3]],,,)</f>
        <v>USMCA</v>
      </c>
    </row>
    <row r="567" spans="1:9" x14ac:dyDescent="0.4">
      <c r="A567" t="s">
        <v>61</v>
      </c>
      <c r="B567" s="1">
        <v>45170</v>
      </c>
      <c r="C567">
        <v>700711</v>
      </c>
      <c r="D567" t="s">
        <v>176</v>
      </c>
      <c r="E567">
        <v>783126</v>
      </c>
      <c r="F567">
        <v>1512</v>
      </c>
      <c r="G567">
        <v>14065</v>
      </c>
      <c r="H567">
        <f>_xlfn.XLOOKUP(FACT_IMPORTS[[#This Row],[hts_6]],DIM_PRODUCTS[hts_6],DIM_PRODUCTS[hts_4],,,)</f>
        <v>7007</v>
      </c>
      <c r="I567" t="str" cm="1">
        <f t="array" ref="I567">_xlfn.XLOOKUP(FACT_IMPORTS[[#This Row],[country_name]],DIM_COUNTRY[[#All],[Column2]],DIM_COUNTRY[[#All],[Column3]],,,)</f>
        <v>USMCA</v>
      </c>
    </row>
    <row r="568" spans="1:9" x14ac:dyDescent="0.4">
      <c r="A568" t="s">
        <v>61</v>
      </c>
      <c r="B568" s="1">
        <v>45170</v>
      </c>
      <c r="C568">
        <v>700721</v>
      </c>
      <c r="D568" t="s">
        <v>176</v>
      </c>
      <c r="E568">
        <v>84514</v>
      </c>
      <c r="F568">
        <v>197</v>
      </c>
      <c r="G568">
        <v>1335</v>
      </c>
      <c r="H568">
        <f>_xlfn.XLOOKUP(FACT_IMPORTS[[#This Row],[hts_6]],DIM_PRODUCTS[hts_6],DIM_PRODUCTS[hts_4],,,)</f>
        <v>7007</v>
      </c>
      <c r="I568" t="str" cm="1">
        <f t="array" ref="I568">_xlfn.XLOOKUP(FACT_IMPORTS[[#This Row],[country_name]],DIM_COUNTRY[[#All],[Column2]],DIM_COUNTRY[[#All],[Column3]],,,)</f>
        <v>USMCA</v>
      </c>
    </row>
    <row r="569" spans="1:9" x14ac:dyDescent="0.4">
      <c r="A569" t="s">
        <v>61</v>
      </c>
      <c r="B569" s="1">
        <v>45170</v>
      </c>
      <c r="C569">
        <v>700910</v>
      </c>
      <c r="D569" t="s">
        <v>176</v>
      </c>
      <c r="E569">
        <v>364121</v>
      </c>
      <c r="F569">
        <v>7642</v>
      </c>
      <c r="G569">
        <v>2449</v>
      </c>
      <c r="H569">
        <f>_xlfn.XLOOKUP(FACT_IMPORTS[[#This Row],[hts_6]],DIM_PRODUCTS[hts_6],DIM_PRODUCTS[hts_4],,,)</f>
        <v>7009</v>
      </c>
      <c r="I569" t="str" cm="1">
        <f t="array" ref="I569">_xlfn.XLOOKUP(FACT_IMPORTS[[#This Row],[country_name]],DIM_COUNTRY[[#All],[Column2]],DIM_COUNTRY[[#All],[Column3]],,,)</f>
        <v>USMCA</v>
      </c>
    </row>
    <row r="570" spans="1:9" x14ac:dyDescent="0.4">
      <c r="A570" t="s">
        <v>61</v>
      </c>
      <c r="B570" s="1">
        <v>45170</v>
      </c>
      <c r="C570">
        <v>732010</v>
      </c>
      <c r="D570" t="s">
        <v>176</v>
      </c>
      <c r="E570">
        <v>4295348</v>
      </c>
      <c r="F570">
        <v>1270462</v>
      </c>
      <c r="G570">
        <v>31181</v>
      </c>
      <c r="H570">
        <f>_xlfn.XLOOKUP(FACT_IMPORTS[[#This Row],[hts_6]],DIM_PRODUCTS[hts_6],DIM_PRODUCTS[hts_4],,,)</f>
        <v>7320</v>
      </c>
      <c r="I570" t="str" cm="1">
        <f t="array" ref="I570">_xlfn.XLOOKUP(FACT_IMPORTS[[#This Row],[country_name]],DIM_COUNTRY[[#All],[Column2]],DIM_COUNTRY[[#All],[Column3]],,,)</f>
        <v>USMCA</v>
      </c>
    </row>
    <row r="571" spans="1:9" x14ac:dyDescent="0.4">
      <c r="A571" t="s">
        <v>61</v>
      </c>
      <c r="B571" s="1">
        <v>45170</v>
      </c>
      <c r="C571">
        <v>830230</v>
      </c>
      <c r="D571" t="s">
        <v>176</v>
      </c>
      <c r="E571">
        <v>36344017</v>
      </c>
      <c r="F571">
        <v>7317782</v>
      </c>
      <c r="G571">
        <v>1160628</v>
      </c>
      <c r="H571">
        <f>_xlfn.XLOOKUP(FACT_IMPORTS[[#This Row],[hts_6]],DIM_PRODUCTS[hts_6],DIM_PRODUCTS[hts_4],,,)</f>
        <v>8302</v>
      </c>
      <c r="I571" t="str" cm="1">
        <f t="array" ref="I571">_xlfn.XLOOKUP(FACT_IMPORTS[[#This Row],[country_name]],DIM_COUNTRY[[#All],[Column2]],DIM_COUNTRY[[#All],[Column3]],,,)</f>
        <v>USMCA</v>
      </c>
    </row>
    <row r="572" spans="1:9" x14ac:dyDescent="0.4">
      <c r="A572" t="s">
        <v>61</v>
      </c>
      <c r="B572" s="1">
        <v>45170</v>
      </c>
      <c r="C572">
        <v>840731</v>
      </c>
      <c r="D572" t="s">
        <v>176</v>
      </c>
      <c r="E572">
        <v>0</v>
      </c>
      <c r="F572">
        <v>0</v>
      </c>
      <c r="G572">
        <v>0</v>
      </c>
      <c r="H572">
        <f>_xlfn.XLOOKUP(FACT_IMPORTS[[#This Row],[hts_6]],DIM_PRODUCTS[hts_6],DIM_PRODUCTS[hts_4],,,)</f>
        <v>8407</v>
      </c>
      <c r="I572" t="str" cm="1">
        <f t="array" ref="I572">_xlfn.XLOOKUP(FACT_IMPORTS[[#This Row],[country_name]],DIM_COUNTRY[[#All],[Column2]],DIM_COUNTRY[[#All],[Column3]],,,)</f>
        <v>USMCA</v>
      </c>
    </row>
    <row r="573" spans="1:9" x14ac:dyDescent="0.4">
      <c r="A573" t="s">
        <v>61</v>
      </c>
      <c r="B573" s="1">
        <v>45170</v>
      </c>
      <c r="C573">
        <v>840733</v>
      </c>
      <c r="D573" t="s">
        <v>176</v>
      </c>
      <c r="E573">
        <v>10700</v>
      </c>
      <c r="F573">
        <v>3</v>
      </c>
      <c r="G573">
        <v>1000</v>
      </c>
      <c r="H573">
        <f>_xlfn.XLOOKUP(FACT_IMPORTS[[#This Row],[hts_6]],DIM_PRODUCTS[hts_6],DIM_PRODUCTS[hts_4],,,)</f>
        <v>8407</v>
      </c>
      <c r="I573" t="str" cm="1">
        <f t="array" ref="I573">_xlfn.XLOOKUP(FACT_IMPORTS[[#This Row],[country_name]],DIM_COUNTRY[[#All],[Column2]],DIM_COUNTRY[[#All],[Column3]],,,)</f>
        <v>USMCA</v>
      </c>
    </row>
    <row r="574" spans="1:9" x14ac:dyDescent="0.4">
      <c r="A574" t="s">
        <v>61</v>
      </c>
      <c r="B574" s="1">
        <v>45170</v>
      </c>
      <c r="C574">
        <v>840734</v>
      </c>
      <c r="D574" t="s">
        <v>176</v>
      </c>
      <c r="E574">
        <v>234324479</v>
      </c>
      <c r="F574">
        <v>71279</v>
      </c>
      <c r="G574">
        <v>258457</v>
      </c>
      <c r="H574">
        <f>_xlfn.XLOOKUP(FACT_IMPORTS[[#This Row],[hts_6]],DIM_PRODUCTS[hts_6],DIM_PRODUCTS[hts_4],,,)</f>
        <v>8407</v>
      </c>
      <c r="I574" t="str" cm="1">
        <f t="array" ref="I574">_xlfn.XLOOKUP(FACT_IMPORTS[[#This Row],[country_name]],DIM_COUNTRY[[#All],[Column2]],DIM_COUNTRY[[#All],[Column3]],,,)</f>
        <v>USMCA</v>
      </c>
    </row>
    <row r="575" spans="1:9" x14ac:dyDescent="0.4">
      <c r="A575" t="s">
        <v>61</v>
      </c>
      <c r="B575" s="1">
        <v>45170</v>
      </c>
      <c r="C575">
        <v>840790</v>
      </c>
      <c r="D575" t="s">
        <v>176</v>
      </c>
      <c r="E575">
        <v>9749930</v>
      </c>
      <c r="F575">
        <v>4256</v>
      </c>
      <c r="G575">
        <v>3000</v>
      </c>
      <c r="H575">
        <f>_xlfn.XLOOKUP(FACT_IMPORTS[[#This Row],[hts_6]],DIM_PRODUCTS[hts_6],DIM_PRODUCTS[hts_4],,,)</f>
        <v>8407</v>
      </c>
      <c r="I575" t="str" cm="1">
        <f t="array" ref="I575">_xlfn.XLOOKUP(FACT_IMPORTS[[#This Row],[country_name]],DIM_COUNTRY[[#All],[Column2]],DIM_COUNTRY[[#All],[Column3]],,,)</f>
        <v>USMCA</v>
      </c>
    </row>
    <row r="576" spans="1:9" x14ac:dyDescent="0.4">
      <c r="A576" t="s">
        <v>61</v>
      </c>
      <c r="B576" s="1">
        <v>45170</v>
      </c>
      <c r="C576">
        <v>840820</v>
      </c>
      <c r="D576" t="s">
        <v>176</v>
      </c>
      <c r="E576">
        <v>541657</v>
      </c>
      <c r="F576">
        <v>102</v>
      </c>
      <c r="G576">
        <v>8120</v>
      </c>
      <c r="H576">
        <f>_xlfn.XLOOKUP(FACT_IMPORTS[[#This Row],[hts_6]],DIM_PRODUCTS[hts_6],DIM_PRODUCTS[hts_4],,,)</f>
        <v>8408</v>
      </c>
      <c r="I576" t="str" cm="1">
        <f t="array" ref="I576">_xlfn.XLOOKUP(FACT_IMPORTS[[#This Row],[country_name]],DIM_COUNTRY[[#All],[Column2]],DIM_COUNTRY[[#All],[Column3]],,,)</f>
        <v>USMCA</v>
      </c>
    </row>
    <row r="577" spans="1:9" x14ac:dyDescent="0.4">
      <c r="A577" t="s">
        <v>61</v>
      </c>
      <c r="B577" s="1">
        <v>45170</v>
      </c>
      <c r="C577">
        <v>840890</v>
      </c>
      <c r="D577" t="s">
        <v>176</v>
      </c>
      <c r="E577">
        <v>214118</v>
      </c>
      <c r="F577">
        <v>18</v>
      </c>
      <c r="G577">
        <v>606</v>
      </c>
      <c r="H577">
        <f>_xlfn.XLOOKUP(FACT_IMPORTS[[#This Row],[hts_6]],DIM_PRODUCTS[hts_6],DIM_PRODUCTS[hts_4],,,)</f>
        <v>8408</v>
      </c>
      <c r="I577" t="str" cm="1">
        <f t="array" ref="I577">_xlfn.XLOOKUP(FACT_IMPORTS[[#This Row],[country_name]],DIM_COUNTRY[[#All],[Column2]],DIM_COUNTRY[[#All],[Column3]],,,)</f>
        <v>USMCA</v>
      </c>
    </row>
    <row r="578" spans="1:9" x14ac:dyDescent="0.4">
      <c r="A578" t="s">
        <v>61</v>
      </c>
      <c r="B578" s="1">
        <v>45170</v>
      </c>
      <c r="C578">
        <v>840991</v>
      </c>
      <c r="D578" t="s">
        <v>176</v>
      </c>
      <c r="E578">
        <v>34580360</v>
      </c>
      <c r="F578">
        <v>2769766</v>
      </c>
      <c r="G578">
        <v>199897</v>
      </c>
      <c r="H578">
        <f>_xlfn.XLOOKUP(FACT_IMPORTS[[#This Row],[hts_6]],DIM_PRODUCTS[hts_6],DIM_PRODUCTS[hts_4],,,)</f>
        <v>8409</v>
      </c>
      <c r="I578" t="str" cm="1">
        <f t="array" ref="I578">_xlfn.XLOOKUP(FACT_IMPORTS[[#This Row],[country_name]],DIM_COUNTRY[[#All],[Column2]],DIM_COUNTRY[[#All],[Column3]],,,)</f>
        <v>USMCA</v>
      </c>
    </row>
    <row r="579" spans="1:9" x14ac:dyDescent="0.4">
      <c r="A579" t="s">
        <v>61</v>
      </c>
      <c r="B579" s="1">
        <v>45170</v>
      </c>
      <c r="C579">
        <v>840999</v>
      </c>
      <c r="D579" t="s">
        <v>176</v>
      </c>
      <c r="E579">
        <v>12572752</v>
      </c>
      <c r="F579">
        <v>1056478</v>
      </c>
      <c r="G579">
        <v>92693</v>
      </c>
      <c r="H579">
        <f>_xlfn.XLOOKUP(FACT_IMPORTS[[#This Row],[hts_6]],DIM_PRODUCTS[hts_6],DIM_PRODUCTS[hts_4],,,)</f>
        <v>8409</v>
      </c>
      <c r="I579" t="str" cm="1">
        <f t="array" ref="I579">_xlfn.XLOOKUP(FACT_IMPORTS[[#This Row],[country_name]],DIM_COUNTRY[[#All],[Column2]],DIM_COUNTRY[[#All],[Column3]],,,)</f>
        <v>USMCA</v>
      </c>
    </row>
    <row r="580" spans="1:9" x14ac:dyDescent="0.4">
      <c r="A580" t="s">
        <v>61</v>
      </c>
      <c r="B580" s="1">
        <v>45170</v>
      </c>
      <c r="C580">
        <v>841330</v>
      </c>
      <c r="D580" t="s">
        <v>176</v>
      </c>
      <c r="E580">
        <v>8033912</v>
      </c>
      <c r="F580">
        <v>162036</v>
      </c>
      <c r="G580">
        <v>32992</v>
      </c>
      <c r="H580">
        <f>_xlfn.XLOOKUP(FACT_IMPORTS[[#This Row],[hts_6]],DIM_PRODUCTS[hts_6],DIM_PRODUCTS[hts_4],,,)</f>
        <v>8413</v>
      </c>
      <c r="I580" t="str" cm="1">
        <f t="array" ref="I580">_xlfn.XLOOKUP(FACT_IMPORTS[[#This Row],[country_name]],DIM_COUNTRY[[#All],[Column2]],DIM_COUNTRY[[#All],[Column3]],,,)</f>
        <v>USMCA</v>
      </c>
    </row>
    <row r="581" spans="1:9" x14ac:dyDescent="0.4">
      <c r="A581" t="s">
        <v>61</v>
      </c>
      <c r="B581" s="1">
        <v>45170</v>
      </c>
      <c r="C581">
        <v>841520</v>
      </c>
      <c r="D581" t="s">
        <v>176</v>
      </c>
      <c r="E581">
        <v>5586442</v>
      </c>
      <c r="F581">
        <v>33164</v>
      </c>
      <c r="G581">
        <v>84344</v>
      </c>
      <c r="H581">
        <f>_xlfn.XLOOKUP(FACT_IMPORTS[[#This Row],[hts_6]],DIM_PRODUCTS[hts_6],DIM_PRODUCTS[hts_4],,,)</f>
        <v>8415</v>
      </c>
      <c r="I581" t="str" cm="1">
        <f t="array" ref="I581">_xlfn.XLOOKUP(FACT_IMPORTS[[#This Row],[country_name]],DIM_COUNTRY[[#All],[Column2]],DIM_COUNTRY[[#All],[Column3]],,,)</f>
        <v>USMCA</v>
      </c>
    </row>
    <row r="582" spans="1:9" x14ac:dyDescent="0.4">
      <c r="A582" t="s">
        <v>61</v>
      </c>
      <c r="B582" s="1">
        <v>45170</v>
      </c>
      <c r="C582">
        <v>842132</v>
      </c>
      <c r="D582" t="s">
        <v>176</v>
      </c>
      <c r="E582">
        <v>5874594</v>
      </c>
      <c r="F582">
        <v>33918</v>
      </c>
      <c r="G582">
        <v>20632</v>
      </c>
      <c r="H582">
        <f>_xlfn.XLOOKUP(FACT_IMPORTS[[#This Row],[hts_6]],DIM_PRODUCTS[hts_6],DIM_PRODUCTS[hts_4],,,)</f>
        <v>8421</v>
      </c>
      <c r="I582" t="str" cm="1">
        <f t="array" ref="I582">_xlfn.XLOOKUP(FACT_IMPORTS[[#This Row],[country_name]],DIM_COUNTRY[[#All],[Column2]],DIM_COUNTRY[[#All],[Column3]],,,)</f>
        <v>USMCA</v>
      </c>
    </row>
    <row r="583" spans="1:9" x14ac:dyDescent="0.4">
      <c r="A583" t="s">
        <v>61</v>
      </c>
      <c r="B583" s="1">
        <v>45170</v>
      </c>
      <c r="C583">
        <v>848210</v>
      </c>
      <c r="D583" t="s">
        <v>176</v>
      </c>
      <c r="E583">
        <v>4029311</v>
      </c>
      <c r="F583">
        <v>1047288</v>
      </c>
      <c r="G583">
        <v>90076</v>
      </c>
      <c r="H583">
        <f>_xlfn.XLOOKUP(FACT_IMPORTS[[#This Row],[hts_6]],DIM_PRODUCTS[hts_6],DIM_PRODUCTS[hts_4],,,)</f>
        <v>8482</v>
      </c>
      <c r="I583" t="str" cm="1">
        <f t="array" ref="I583">_xlfn.XLOOKUP(FACT_IMPORTS[[#This Row],[country_name]],DIM_COUNTRY[[#All],[Column2]],DIM_COUNTRY[[#All],[Column3]],,,)</f>
        <v>USMCA</v>
      </c>
    </row>
    <row r="584" spans="1:9" x14ac:dyDescent="0.4">
      <c r="A584" t="s">
        <v>61</v>
      </c>
      <c r="B584" s="1">
        <v>45170</v>
      </c>
      <c r="C584">
        <v>848220</v>
      </c>
      <c r="D584" t="s">
        <v>176</v>
      </c>
      <c r="E584">
        <v>862962</v>
      </c>
      <c r="F584">
        <v>17193</v>
      </c>
      <c r="G584">
        <v>5091</v>
      </c>
      <c r="H584">
        <f>_xlfn.XLOOKUP(FACT_IMPORTS[[#This Row],[hts_6]],DIM_PRODUCTS[hts_6],DIM_PRODUCTS[hts_4],,,)</f>
        <v>8482</v>
      </c>
      <c r="I584" t="str" cm="1">
        <f t="array" ref="I584">_xlfn.XLOOKUP(FACT_IMPORTS[[#This Row],[country_name]],DIM_COUNTRY[[#All],[Column2]],DIM_COUNTRY[[#All],[Column3]],,,)</f>
        <v>USMCA</v>
      </c>
    </row>
    <row r="585" spans="1:9" x14ac:dyDescent="0.4">
      <c r="A585" t="s">
        <v>61</v>
      </c>
      <c r="B585" s="1">
        <v>45170</v>
      </c>
      <c r="C585">
        <v>848310</v>
      </c>
      <c r="D585" t="s">
        <v>176</v>
      </c>
      <c r="E585">
        <v>14942988</v>
      </c>
      <c r="F585">
        <v>481667</v>
      </c>
      <c r="G585">
        <v>288974</v>
      </c>
      <c r="H585">
        <f>_xlfn.XLOOKUP(FACT_IMPORTS[[#This Row],[hts_6]],DIM_PRODUCTS[hts_6],DIM_PRODUCTS[hts_4],,,)</f>
        <v>8483</v>
      </c>
      <c r="I585" t="str" cm="1">
        <f t="array" ref="I585">_xlfn.XLOOKUP(FACT_IMPORTS[[#This Row],[country_name]],DIM_COUNTRY[[#All],[Column2]],DIM_COUNTRY[[#All],[Column3]],,,)</f>
        <v>USMCA</v>
      </c>
    </row>
    <row r="586" spans="1:9" x14ac:dyDescent="0.4">
      <c r="A586" t="s">
        <v>61</v>
      </c>
      <c r="B586" s="1">
        <v>45170</v>
      </c>
      <c r="C586">
        <v>850131</v>
      </c>
      <c r="D586" t="s">
        <v>176</v>
      </c>
      <c r="E586">
        <v>4191218</v>
      </c>
      <c r="F586">
        <v>108310</v>
      </c>
      <c r="G586">
        <v>39664</v>
      </c>
      <c r="H586">
        <f>_xlfn.XLOOKUP(FACT_IMPORTS[[#This Row],[hts_6]],DIM_PRODUCTS[hts_6],DIM_PRODUCTS[hts_4],,,)</f>
        <v>8501</v>
      </c>
      <c r="I586" t="str" cm="1">
        <f t="array" ref="I586">_xlfn.XLOOKUP(FACT_IMPORTS[[#This Row],[country_name]],DIM_COUNTRY[[#All],[Column2]],DIM_COUNTRY[[#All],[Column3]],,,)</f>
        <v>USMCA</v>
      </c>
    </row>
    <row r="587" spans="1:9" x14ac:dyDescent="0.4">
      <c r="A587" t="s">
        <v>61</v>
      </c>
      <c r="B587" s="1">
        <v>45170</v>
      </c>
      <c r="C587">
        <v>850132</v>
      </c>
      <c r="D587" t="s">
        <v>176</v>
      </c>
      <c r="E587">
        <v>302629</v>
      </c>
      <c r="F587">
        <v>42</v>
      </c>
      <c r="G587">
        <v>1884</v>
      </c>
      <c r="H587">
        <f>_xlfn.XLOOKUP(FACT_IMPORTS[[#This Row],[hts_6]],DIM_PRODUCTS[hts_6],DIM_PRODUCTS[hts_4],,,)</f>
        <v>8501</v>
      </c>
      <c r="I587" t="str" cm="1">
        <f t="array" ref="I587">_xlfn.XLOOKUP(FACT_IMPORTS[[#This Row],[country_name]],DIM_COUNTRY[[#All],[Column2]],DIM_COUNTRY[[#All],[Column3]],,,)</f>
        <v>USMCA</v>
      </c>
    </row>
    <row r="588" spans="1:9" x14ac:dyDescent="0.4">
      <c r="A588" t="s">
        <v>61</v>
      </c>
      <c r="B588" s="1">
        <v>45170</v>
      </c>
      <c r="C588">
        <v>850133</v>
      </c>
      <c r="D588" t="s">
        <v>176</v>
      </c>
      <c r="E588">
        <v>3000</v>
      </c>
      <c r="F588">
        <v>2</v>
      </c>
      <c r="G588">
        <v>27</v>
      </c>
      <c r="H588">
        <f>_xlfn.XLOOKUP(FACT_IMPORTS[[#This Row],[hts_6]],DIM_PRODUCTS[hts_6],DIM_PRODUCTS[hts_4],,,)</f>
        <v>8501</v>
      </c>
      <c r="I588" t="str" cm="1">
        <f t="array" ref="I588">_xlfn.XLOOKUP(FACT_IMPORTS[[#This Row],[country_name]],DIM_COUNTRY[[#All],[Column2]],DIM_COUNTRY[[#All],[Column3]],,,)</f>
        <v>USMCA</v>
      </c>
    </row>
    <row r="589" spans="1:9" x14ac:dyDescent="0.4">
      <c r="A589" t="s">
        <v>61</v>
      </c>
      <c r="B589" s="1">
        <v>45170</v>
      </c>
      <c r="C589">
        <v>850134</v>
      </c>
      <c r="D589" t="s">
        <v>176</v>
      </c>
      <c r="E589">
        <v>0</v>
      </c>
      <c r="F589">
        <v>0</v>
      </c>
      <c r="G589">
        <v>0</v>
      </c>
      <c r="H589">
        <f>_xlfn.XLOOKUP(FACT_IMPORTS[[#This Row],[hts_6]],DIM_PRODUCTS[hts_6],DIM_PRODUCTS[hts_4],,,)</f>
        <v>8501</v>
      </c>
      <c r="I589" t="str" cm="1">
        <f t="array" ref="I589">_xlfn.XLOOKUP(FACT_IMPORTS[[#This Row],[country_name]],DIM_COUNTRY[[#All],[Column2]],DIM_COUNTRY[[#All],[Column3]],,,)</f>
        <v>USMCA</v>
      </c>
    </row>
    <row r="590" spans="1:9" x14ac:dyDescent="0.4">
      <c r="A590" t="s">
        <v>61</v>
      </c>
      <c r="B590" s="1">
        <v>45170</v>
      </c>
      <c r="C590">
        <v>850152</v>
      </c>
      <c r="D590" t="s">
        <v>176</v>
      </c>
      <c r="E590">
        <v>816713</v>
      </c>
      <c r="F590">
        <v>402</v>
      </c>
      <c r="G590">
        <v>14163</v>
      </c>
      <c r="H590">
        <f>_xlfn.XLOOKUP(FACT_IMPORTS[[#This Row],[hts_6]],DIM_PRODUCTS[hts_6],DIM_PRODUCTS[hts_4],,,)</f>
        <v>8501</v>
      </c>
      <c r="I590" t="str" cm="1">
        <f t="array" ref="I590">_xlfn.XLOOKUP(FACT_IMPORTS[[#This Row],[country_name]],DIM_COUNTRY[[#All],[Column2]],DIM_COUNTRY[[#All],[Column3]],,,)</f>
        <v>USMCA</v>
      </c>
    </row>
    <row r="591" spans="1:9" x14ac:dyDescent="0.4">
      <c r="A591" t="s">
        <v>61</v>
      </c>
      <c r="B591" s="1">
        <v>45170</v>
      </c>
      <c r="C591">
        <v>850153</v>
      </c>
      <c r="D591" t="s">
        <v>176</v>
      </c>
      <c r="E591">
        <v>312603</v>
      </c>
      <c r="F591">
        <v>13</v>
      </c>
      <c r="G591">
        <v>958</v>
      </c>
      <c r="H591">
        <f>_xlfn.XLOOKUP(FACT_IMPORTS[[#This Row],[hts_6]],DIM_PRODUCTS[hts_6],DIM_PRODUCTS[hts_4],,,)</f>
        <v>8501</v>
      </c>
      <c r="I591" t="str" cm="1">
        <f t="array" ref="I591">_xlfn.XLOOKUP(FACT_IMPORTS[[#This Row],[country_name]],DIM_COUNTRY[[#All],[Column2]],DIM_COUNTRY[[#All],[Column3]],,,)</f>
        <v>USMCA</v>
      </c>
    </row>
    <row r="592" spans="1:9" x14ac:dyDescent="0.4">
      <c r="A592" t="s">
        <v>61</v>
      </c>
      <c r="B592" s="1">
        <v>45170</v>
      </c>
      <c r="C592">
        <v>850161</v>
      </c>
      <c r="D592" t="s">
        <v>176</v>
      </c>
      <c r="E592">
        <v>112296</v>
      </c>
      <c r="F592">
        <v>3</v>
      </c>
      <c r="G592">
        <v>402</v>
      </c>
      <c r="H592">
        <f>_xlfn.XLOOKUP(FACT_IMPORTS[[#This Row],[hts_6]],DIM_PRODUCTS[hts_6],DIM_PRODUCTS[hts_4],,,)</f>
        <v>8501</v>
      </c>
      <c r="I592" t="str" cm="1">
        <f t="array" ref="I592">_xlfn.XLOOKUP(FACT_IMPORTS[[#This Row],[country_name]],DIM_COUNTRY[[#All],[Column2]],DIM_COUNTRY[[#All],[Column3]],,,)</f>
        <v>USMCA</v>
      </c>
    </row>
    <row r="593" spans="1:9" x14ac:dyDescent="0.4">
      <c r="A593" t="s">
        <v>61</v>
      </c>
      <c r="B593" s="1">
        <v>45170</v>
      </c>
      <c r="C593">
        <v>850440</v>
      </c>
      <c r="D593" t="s">
        <v>176</v>
      </c>
      <c r="E593">
        <v>10427979</v>
      </c>
      <c r="F593">
        <v>10067</v>
      </c>
      <c r="G593">
        <v>546637</v>
      </c>
      <c r="H593">
        <f>_xlfn.XLOOKUP(FACT_IMPORTS[[#This Row],[hts_6]],DIM_PRODUCTS[hts_6],DIM_PRODUCTS[hts_4],,,)</f>
        <v>8504</v>
      </c>
      <c r="I593" t="str" cm="1">
        <f t="array" ref="I593">_xlfn.XLOOKUP(FACT_IMPORTS[[#This Row],[country_name]],DIM_COUNTRY[[#All],[Column2]],DIM_COUNTRY[[#All],[Column3]],,,)</f>
        <v>USMCA</v>
      </c>
    </row>
    <row r="594" spans="1:9" x14ac:dyDescent="0.4">
      <c r="A594" t="s">
        <v>61</v>
      </c>
      <c r="B594" s="1">
        <v>45170</v>
      </c>
      <c r="C594">
        <v>850710</v>
      </c>
      <c r="D594" t="s">
        <v>176</v>
      </c>
      <c r="E594">
        <v>773738</v>
      </c>
      <c r="F594">
        <v>1621</v>
      </c>
      <c r="G594">
        <v>50778</v>
      </c>
      <c r="H594">
        <f>_xlfn.XLOOKUP(FACT_IMPORTS[[#This Row],[hts_6]],DIM_PRODUCTS[hts_6],DIM_PRODUCTS[hts_4],,,)</f>
        <v>8507</v>
      </c>
      <c r="I594" t="str" cm="1">
        <f t="array" ref="I594">_xlfn.XLOOKUP(FACT_IMPORTS[[#This Row],[country_name]],DIM_COUNTRY[[#All],[Column2]],DIM_COUNTRY[[#All],[Column3]],,,)</f>
        <v>USMCA</v>
      </c>
    </row>
    <row r="595" spans="1:9" x14ac:dyDescent="0.4">
      <c r="A595" t="s">
        <v>61</v>
      </c>
      <c r="B595" s="1">
        <v>45170</v>
      </c>
      <c r="C595">
        <v>850760</v>
      </c>
      <c r="D595" t="s">
        <v>176</v>
      </c>
      <c r="E595">
        <v>5599926</v>
      </c>
      <c r="F595">
        <v>651</v>
      </c>
      <c r="G595">
        <v>11418</v>
      </c>
      <c r="H595">
        <f>_xlfn.XLOOKUP(FACT_IMPORTS[[#This Row],[hts_6]],DIM_PRODUCTS[hts_6],DIM_PRODUCTS[hts_4],,,)</f>
        <v>8507</v>
      </c>
      <c r="I595" t="str" cm="1">
        <f t="array" ref="I595">_xlfn.XLOOKUP(FACT_IMPORTS[[#This Row],[country_name]],DIM_COUNTRY[[#All],[Column2]],DIM_COUNTRY[[#All],[Column3]],,,)</f>
        <v>USMCA</v>
      </c>
    </row>
    <row r="596" spans="1:9" x14ac:dyDescent="0.4">
      <c r="A596" t="s">
        <v>61</v>
      </c>
      <c r="B596" s="1">
        <v>45170</v>
      </c>
      <c r="C596">
        <v>850790</v>
      </c>
      <c r="D596" t="s">
        <v>176</v>
      </c>
      <c r="E596">
        <v>335812</v>
      </c>
      <c r="F596">
        <v>18146</v>
      </c>
      <c r="G596">
        <v>509</v>
      </c>
      <c r="H596">
        <f>_xlfn.XLOOKUP(FACT_IMPORTS[[#This Row],[hts_6]],DIM_PRODUCTS[hts_6],DIM_PRODUCTS[hts_4],,,)</f>
        <v>8507</v>
      </c>
      <c r="I596" t="str" cm="1">
        <f t="array" ref="I596">_xlfn.XLOOKUP(FACT_IMPORTS[[#This Row],[country_name]],DIM_COUNTRY[[#All],[Column2]],DIM_COUNTRY[[#All],[Column3]],,,)</f>
        <v>USMCA</v>
      </c>
    </row>
    <row r="597" spans="1:9" x14ac:dyDescent="0.4">
      <c r="A597" t="s">
        <v>61</v>
      </c>
      <c r="B597" s="1">
        <v>45170</v>
      </c>
      <c r="C597">
        <v>851110</v>
      </c>
      <c r="D597" t="s">
        <v>176</v>
      </c>
      <c r="E597">
        <v>0</v>
      </c>
      <c r="F597">
        <v>0</v>
      </c>
      <c r="G597">
        <v>0</v>
      </c>
      <c r="H597">
        <f>_xlfn.XLOOKUP(FACT_IMPORTS[[#This Row],[hts_6]],DIM_PRODUCTS[hts_6],DIM_PRODUCTS[hts_4],,,)</f>
        <v>8511</v>
      </c>
      <c r="I597" t="str" cm="1">
        <f t="array" ref="I597">_xlfn.XLOOKUP(FACT_IMPORTS[[#This Row],[country_name]],DIM_COUNTRY[[#All],[Column2]],DIM_COUNTRY[[#All],[Column3]],,,)</f>
        <v>USMCA</v>
      </c>
    </row>
    <row r="598" spans="1:9" x14ac:dyDescent="0.4">
      <c r="A598" t="s">
        <v>61</v>
      </c>
      <c r="B598" s="1">
        <v>45170</v>
      </c>
      <c r="C598">
        <v>851120</v>
      </c>
      <c r="D598" t="s">
        <v>176</v>
      </c>
      <c r="E598">
        <v>0</v>
      </c>
      <c r="F598">
        <v>0</v>
      </c>
      <c r="G598">
        <v>0</v>
      </c>
      <c r="H598">
        <f>_xlfn.XLOOKUP(FACT_IMPORTS[[#This Row],[hts_6]],DIM_PRODUCTS[hts_6],DIM_PRODUCTS[hts_4],,,)</f>
        <v>8511</v>
      </c>
      <c r="I598" t="str" cm="1">
        <f t="array" ref="I598">_xlfn.XLOOKUP(FACT_IMPORTS[[#This Row],[country_name]],DIM_COUNTRY[[#All],[Column2]],DIM_COUNTRY[[#All],[Column3]],,,)</f>
        <v>USMCA</v>
      </c>
    </row>
    <row r="599" spans="1:9" x14ac:dyDescent="0.4">
      <c r="A599" t="s">
        <v>61</v>
      </c>
      <c r="B599" s="1">
        <v>45170</v>
      </c>
      <c r="C599">
        <v>851130</v>
      </c>
      <c r="D599" t="s">
        <v>176</v>
      </c>
      <c r="E599">
        <v>3815</v>
      </c>
      <c r="F599">
        <v>84</v>
      </c>
      <c r="G599">
        <v>10</v>
      </c>
      <c r="H599">
        <f>_xlfn.XLOOKUP(FACT_IMPORTS[[#This Row],[hts_6]],DIM_PRODUCTS[hts_6],DIM_PRODUCTS[hts_4],,,)</f>
        <v>8511</v>
      </c>
      <c r="I599" t="str" cm="1">
        <f t="array" ref="I599">_xlfn.XLOOKUP(FACT_IMPORTS[[#This Row],[country_name]],DIM_COUNTRY[[#All],[Column2]],DIM_COUNTRY[[#All],[Column3]],,,)</f>
        <v>USMCA</v>
      </c>
    </row>
    <row r="600" spans="1:9" x14ac:dyDescent="0.4">
      <c r="A600" t="s">
        <v>61</v>
      </c>
      <c r="B600" s="1">
        <v>45170</v>
      </c>
      <c r="C600">
        <v>851140</v>
      </c>
      <c r="D600" t="s">
        <v>176</v>
      </c>
      <c r="E600">
        <v>410019</v>
      </c>
      <c r="F600">
        <v>14017</v>
      </c>
      <c r="G600">
        <v>3395</v>
      </c>
      <c r="H600">
        <f>_xlfn.XLOOKUP(FACT_IMPORTS[[#This Row],[hts_6]],DIM_PRODUCTS[hts_6],DIM_PRODUCTS[hts_4],,,)</f>
        <v>8511</v>
      </c>
      <c r="I600" t="str" cm="1">
        <f t="array" ref="I600">_xlfn.XLOOKUP(FACT_IMPORTS[[#This Row],[country_name]],DIM_COUNTRY[[#All],[Column2]],DIM_COUNTRY[[#All],[Column3]],,,)</f>
        <v>USMCA</v>
      </c>
    </row>
    <row r="601" spans="1:9" x14ac:dyDescent="0.4">
      <c r="A601" t="s">
        <v>61</v>
      </c>
      <c r="B601" s="1">
        <v>45170</v>
      </c>
      <c r="C601">
        <v>851150</v>
      </c>
      <c r="D601" t="s">
        <v>176</v>
      </c>
      <c r="E601">
        <v>424023</v>
      </c>
      <c r="F601">
        <v>8179</v>
      </c>
      <c r="G601">
        <v>3318</v>
      </c>
      <c r="H601">
        <f>_xlfn.XLOOKUP(FACT_IMPORTS[[#This Row],[hts_6]],DIM_PRODUCTS[hts_6],DIM_PRODUCTS[hts_4],,,)</f>
        <v>8511</v>
      </c>
      <c r="I601" t="str" cm="1">
        <f t="array" ref="I601">_xlfn.XLOOKUP(FACT_IMPORTS[[#This Row],[country_name]],DIM_COUNTRY[[#All],[Column2]],DIM_COUNTRY[[#All],[Column3]],,,)</f>
        <v>USMCA</v>
      </c>
    </row>
    <row r="602" spans="1:9" x14ac:dyDescent="0.4">
      <c r="A602" t="s">
        <v>61</v>
      </c>
      <c r="B602" s="1">
        <v>45170</v>
      </c>
      <c r="C602">
        <v>851180</v>
      </c>
      <c r="D602" t="s">
        <v>176</v>
      </c>
      <c r="E602">
        <v>0</v>
      </c>
      <c r="F602">
        <v>0</v>
      </c>
      <c r="G602">
        <v>0</v>
      </c>
      <c r="H602">
        <f>_xlfn.XLOOKUP(FACT_IMPORTS[[#This Row],[hts_6]],DIM_PRODUCTS[hts_6],DIM_PRODUCTS[hts_4],,,)</f>
        <v>8511</v>
      </c>
      <c r="I602" t="str" cm="1">
        <f t="array" ref="I602">_xlfn.XLOOKUP(FACT_IMPORTS[[#This Row],[country_name]],DIM_COUNTRY[[#All],[Column2]],DIM_COUNTRY[[#All],[Column3]],,,)</f>
        <v>USMCA</v>
      </c>
    </row>
    <row r="603" spans="1:9" x14ac:dyDescent="0.4">
      <c r="A603" t="s">
        <v>61</v>
      </c>
      <c r="B603" s="1">
        <v>45170</v>
      </c>
      <c r="C603">
        <v>851190</v>
      </c>
      <c r="D603" t="s">
        <v>176</v>
      </c>
      <c r="E603">
        <v>598498</v>
      </c>
      <c r="F603">
        <v>7703</v>
      </c>
      <c r="G603">
        <v>3035</v>
      </c>
      <c r="H603">
        <f>_xlfn.XLOOKUP(FACT_IMPORTS[[#This Row],[hts_6]],DIM_PRODUCTS[hts_6],DIM_PRODUCTS[hts_4],,,)</f>
        <v>8511</v>
      </c>
      <c r="I603" t="str" cm="1">
        <f t="array" ref="I603">_xlfn.XLOOKUP(FACT_IMPORTS[[#This Row],[country_name]],DIM_COUNTRY[[#All],[Column2]],DIM_COUNTRY[[#All],[Column3]],,,)</f>
        <v>USMCA</v>
      </c>
    </row>
    <row r="604" spans="1:9" x14ac:dyDescent="0.4">
      <c r="A604" t="s">
        <v>61</v>
      </c>
      <c r="B604" s="1">
        <v>45170</v>
      </c>
      <c r="C604">
        <v>851220</v>
      </c>
      <c r="D604" t="s">
        <v>176</v>
      </c>
      <c r="E604">
        <v>20711160</v>
      </c>
      <c r="F604">
        <v>300137</v>
      </c>
      <c r="G604">
        <v>89900</v>
      </c>
      <c r="H604">
        <f>_xlfn.XLOOKUP(FACT_IMPORTS[[#This Row],[hts_6]],DIM_PRODUCTS[hts_6],DIM_PRODUCTS[hts_4],,,)</f>
        <v>8512</v>
      </c>
      <c r="I604" t="str" cm="1">
        <f t="array" ref="I604">_xlfn.XLOOKUP(FACT_IMPORTS[[#This Row],[country_name]],DIM_COUNTRY[[#All],[Column2]],DIM_COUNTRY[[#All],[Column3]],,,)</f>
        <v>USMCA</v>
      </c>
    </row>
    <row r="605" spans="1:9" x14ac:dyDescent="0.4">
      <c r="A605" t="s">
        <v>61</v>
      </c>
      <c r="B605" s="1">
        <v>45170</v>
      </c>
      <c r="C605">
        <v>851230</v>
      </c>
      <c r="D605" t="s">
        <v>176</v>
      </c>
      <c r="E605">
        <v>97327</v>
      </c>
      <c r="F605">
        <v>2321</v>
      </c>
      <c r="G605">
        <v>938</v>
      </c>
      <c r="H605">
        <f>_xlfn.XLOOKUP(FACT_IMPORTS[[#This Row],[hts_6]],DIM_PRODUCTS[hts_6],DIM_PRODUCTS[hts_4],,,)</f>
        <v>8512</v>
      </c>
      <c r="I605" t="str" cm="1">
        <f t="array" ref="I605">_xlfn.XLOOKUP(FACT_IMPORTS[[#This Row],[country_name]],DIM_COUNTRY[[#All],[Column2]],DIM_COUNTRY[[#All],[Column3]],,,)</f>
        <v>USMCA</v>
      </c>
    </row>
    <row r="606" spans="1:9" x14ac:dyDescent="0.4">
      <c r="A606" t="s">
        <v>61</v>
      </c>
      <c r="B606" s="1">
        <v>45170</v>
      </c>
      <c r="C606">
        <v>851240</v>
      </c>
      <c r="D606" t="s">
        <v>176</v>
      </c>
      <c r="E606">
        <v>0</v>
      </c>
      <c r="F606">
        <v>0</v>
      </c>
      <c r="G606">
        <v>0</v>
      </c>
      <c r="H606">
        <f>_xlfn.XLOOKUP(FACT_IMPORTS[[#This Row],[hts_6]],DIM_PRODUCTS[hts_6],DIM_PRODUCTS[hts_4],,,)</f>
        <v>8512</v>
      </c>
      <c r="I606" t="str" cm="1">
        <f t="array" ref="I606">_xlfn.XLOOKUP(FACT_IMPORTS[[#This Row],[country_name]],DIM_COUNTRY[[#All],[Column2]],DIM_COUNTRY[[#All],[Column3]],,,)</f>
        <v>USMCA</v>
      </c>
    </row>
    <row r="607" spans="1:9" x14ac:dyDescent="0.4">
      <c r="A607" t="s">
        <v>61</v>
      </c>
      <c r="B607" s="1">
        <v>45170</v>
      </c>
      <c r="C607">
        <v>851290</v>
      </c>
      <c r="D607" t="s">
        <v>176</v>
      </c>
      <c r="E607">
        <v>2415997</v>
      </c>
      <c r="F607">
        <v>71263</v>
      </c>
      <c r="G607">
        <v>47134</v>
      </c>
      <c r="H607">
        <f>_xlfn.XLOOKUP(FACT_IMPORTS[[#This Row],[hts_6]],DIM_PRODUCTS[hts_6],DIM_PRODUCTS[hts_4],,,)</f>
        <v>8512</v>
      </c>
      <c r="I607" t="str" cm="1">
        <f t="array" ref="I607">_xlfn.XLOOKUP(FACT_IMPORTS[[#This Row],[country_name]],DIM_COUNTRY[[#All],[Column2]],DIM_COUNTRY[[#All],[Column3]],,,)</f>
        <v>USMCA</v>
      </c>
    </row>
    <row r="608" spans="1:9" x14ac:dyDescent="0.4">
      <c r="A608" t="s">
        <v>61</v>
      </c>
      <c r="B608" s="1">
        <v>45170</v>
      </c>
      <c r="C608">
        <v>854231</v>
      </c>
      <c r="D608" t="s">
        <v>176</v>
      </c>
      <c r="E608">
        <v>152036</v>
      </c>
      <c r="F608">
        <v>1477</v>
      </c>
      <c r="G608">
        <v>710</v>
      </c>
      <c r="H608">
        <f>_xlfn.XLOOKUP(FACT_IMPORTS[[#This Row],[hts_6]],DIM_PRODUCTS[hts_6],DIM_PRODUCTS[hts_4],,,)</f>
        <v>8542</v>
      </c>
      <c r="I608" t="str" cm="1">
        <f t="array" ref="I608">_xlfn.XLOOKUP(FACT_IMPORTS[[#This Row],[country_name]],DIM_COUNTRY[[#All],[Column2]],DIM_COUNTRY[[#All],[Column3]],,,)</f>
        <v>USMCA</v>
      </c>
    </row>
    <row r="609" spans="1:9" x14ac:dyDescent="0.4">
      <c r="A609" t="s">
        <v>61</v>
      </c>
      <c r="B609" s="1">
        <v>45170</v>
      </c>
      <c r="C609">
        <v>854232</v>
      </c>
      <c r="D609" t="s">
        <v>176</v>
      </c>
      <c r="E609">
        <v>2184</v>
      </c>
      <c r="F609">
        <v>3000</v>
      </c>
      <c r="G609">
        <v>66</v>
      </c>
      <c r="H609">
        <f>_xlfn.XLOOKUP(FACT_IMPORTS[[#This Row],[hts_6]],DIM_PRODUCTS[hts_6],DIM_PRODUCTS[hts_4],,,)</f>
        <v>8542</v>
      </c>
      <c r="I609" t="str" cm="1">
        <f t="array" ref="I609">_xlfn.XLOOKUP(FACT_IMPORTS[[#This Row],[country_name]],DIM_COUNTRY[[#All],[Column2]],DIM_COUNTRY[[#All],[Column3]],,,)</f>
        <v>USMCA</v>
      </c>
    </row>
    <row r="610" spans="1:9" x14ac:dyDescent="0.4">
      <c r="A610" t="s">
        <v>61</v>
      </c>
      <c r="B610" s="1">
        <v>45170</v>
      </c>
      <c r="C610">
        <v>854233</v>
      </c>
      <c r="D610" t="s">
        <v>176</v>
      </c>
      <c r="E610">
        <v>64756</v>
      </c>
      <c r="F610">
        <v>18259</v>
      </c>
      <c r="G610">
        <v>125</v>
      </c>
      <c r="H610">
        <f>_xlfn.XLOOKUP(FACT_IMPORTS[[#This Row],[hts_6]],DIM_PRODUCTS[hts_6],DIM_PRODUCTS[hts_4],,,)</f>
        <v>8542</v>
      </c>
      <c r="I610" t="str" cm="1">
        <f t="array" ref="I610">_xlfn.XLOOKUP(FACT_IMPORTS[[#This Row],[country_name]],DIM_COUNTRY[[#All],[Column2]],DIM_COUNTRY[[#All],[Column3]],,,)</f>
        <v>USMCA</v>
      </c>
    </row>
    <row r="611" spans="1:9" x14ac:dyDescent="0.4">
      <c r="A611" t="s">
        <v>61</v>
      </c>
      <c r="B611" s="1">
        <v>45170</v>
      </c>
      <c r="C611">
        <v>854239</v>
      </c>
      <c r="D611" t="s">
        <v>176</v>
      </c>
      <c r="E611">
        <v>200377</v>
      </c>
      <c r="F611">
        <v>1756</v>
      </c>
      <c r="G611">
        <v>1567</v>
      </c>
      <c r="H611">
        <f>_xlfn.XLOOKUP(FACT_IMPORTS[[#This Row],[hts_6]],DIM_PRODUCTS[hts_6],DIM_PRODUCTS[hts_4],,,)</f>
        <v>8542</v>
      </c>
      <c r="I611" t="str" cm="1">
        <f t="array" ref="I611">_xlfn.XLOOKUP(FACT_IMPORTS[[#This Row],[country_name]],DIM_COUNTRY[[#All],[Column2]],DIM_COUNTRY[[#All],[Column3]],,,)</f>
        <v>USMCA</v>
      </c>
    </row>
    <row r="612" spans="1:9" x14ac:dyDescent="0.4">
      <c r="A612" t="s">
        <v>61</v>
      </c>
      <c r="B612" s="1">
        <v>45170</v>
      </c>
      <c r="C612">
        <v>854290</v>
      </c>
      <c r="D612" t="s">
        <v>176</v>
      </c>
      <c r="E612">
        <v>0</v>
      </c>
      <c r="F612">
        <v>0</v>
      </c>
      <c r="G612">
        <v>0</v>
      </c>
      <c r="H612">
        <f>_xlfn.XLOOKUP(FACT_IMPORTS[[#This Row],[hts_6]],DIM_PRODUCTS[hts_6],DIM_PRODUCTS[hts_4],,,)</f>
        <v>8542</v>
      </c>
      <c r="I612" t="str" cm="1">
        <f t="array" ref="I612">_xlfn.XLOOKUP(FACT_IMPORTS[[#This Row],[country_name]],DIM_COUNTRY[[#All],[Column2]],DIM_COUNTRY[[#All],[Column3]],,,)</f>
        <v>USMCA</v>
      </c>
    </row>
    <row r="613" spans="1:9" x14ac:dyDescent="0.4">
      <c r="A613" t="s">
        <v>61</v>
      </c>
      <c r="B613" s="1">
        <v>45170</v>
      </c>
      <c r="C613">
        <v>854430</v>
      </c>
      <c r="D613" t="s">
        <v>176</v>
      </c>
      <c r="E613">
        <v>1517309</v>
      </c>
      <c r="F613">
        <v>56812</v>
      </c>
      <c r="G613">
        <v>7735</v>
      </c>
      <c r="H613">
        <f>_xlfn.XLOOKUP(FACT_IMPORTS[[#This Row],[hts_6]],DIM_PRODUCTS[hts_6],DIM_PRODUCTS[hts_4],,,)</f>
        <v>8544</v>
      </c>
      <c r="I613" t="str" cm="1">
        <f t="array" ref="I613">_xlfn.XLOOKUP(FACT_IMPORTS[[#This Row],[country_name]],DIM_COUNTRY[[#All],[Column2]],DIM_COUNTRY[[#All],[Column3]],,,)</f>
        <v>USMCA</v>
      </c>
    </row>
    <row r="614" spans="1:9" x14ac:dyDescent="0.4">
      <c r="A614" t="s">
        <v>61</v>
      </c>
      <c r="B614" s="1">
        <v>45170</v>
      </c>
      <c r="C614">
        <v>870710</v>
      </c>
      <c r="D614" t="s">
        <v>176</v>
      </c>
      <c r="E614">
        <v>14930</v>
      </c>
      <c r="F614">
        <v>6</v>
      </c>
      <c r="G614">
        <v>640</v>
      </c>
      <c r="H614">
        <f>_xlfn.XLOOKUP(FACT_IMPORTS[[#This Row],[hts_6]],DIM_PRODUCTS[hts_6],DIM_PRODUCTS[hts_4],,,)</f>
        <v>8707</v>
      </c>
      <c r="I614" t="str" cm="1">
        <f t="array" ref="I614">_xlfn.XLOOKUP(FACT_IMPORTS[[#This Row],[country_name]],DIM_COUNTRY[[#All],[Column2]],DIM_COUNTRY[[#All],[Column3]],,,)</f>
        <v>USMCA</v>
      </c>
    </row>
    <row r="615" spans="1:9" x14ac:dyDescent="0.4">
      <c r="A615" t="s">
        <v>61</v>
      </c>
      <c r="B615" s="1">
        <v>45170</v>
      </c>
      <c r="C615">
        <v>870790</v>
      </c>
      <c r="D615" t="s">
        <v>176</v>
      </c>
      <c r="E615">
        <v>2876773</v>
      </c>
      <c r="F615">
        <v>225</v>
      </c>
      <c r="G615">
        <v>15532</v>
      </c>
      <c r="H615">
        <f>_xlfn.XLOOKUP(FACT_IMPORTS[[#This Row],[hts_6]],DIM_PRODUCTS[hts_6],DIM_PRODUCTS[hts_4],,,)</f>
        <v>8707</v>
      </c>
      <c r="I615" t="str" cm="1">
        <f t="array" ref="I615">_xlfn.XLOOKUP(FACT_IMPORTS[[#This Row],[country_name]],DIM_COUNTRY[[#All],[Column2]],DIM_COUNTRY[[#All],[Column3]],,,)</f>
        <v>USMCA</v>
      </c>
    </row>
    <row r="616" spans="1:9" x14ac:dyDescent="0.4">
      <c r="A616" t="s">
        <v>61</v>
      </c>
      <c r="B616" s="1">
        <v>45170</v>
      </c>
      <c r="C616">
        <v>870810</v>
      </c>
      <c r="D616" t="s">
        <v>176</v>
      </c>
      <c r="E616">
        <v>20552924</v>
      </c>
      <c r="F616">
        <v>981589</v>
      </c>
      <c r="G616">
        <v>380827</v>
      </c>
      <c r="H616">
        <f>_xlfn.XLOOKUP(FACT_IMPORTS[[#This Row],[hts_6]],DIM_PRODUCTS[hts_6],DIM_PRODUCTS[hts_4],,,)</f>
        <v>8708</v>
      </c>
      <c r="I616" t="str" cm="1">
        <f t="array" ref="I616">_xlfn.XLOOKUP(FACT_IMPORTS[[#This Row],[country_name]],DIM_COUNTRY[[#All],[Column2]],DIM_COUNTRY[[#All],[Column3]],,,)</f>
        <v>USMCA</v>
      </c>
    </row>
    <row r="617" spans="1:9" x14ac:dyDescent="0.4">
      <c r="A617" t="s">
        <v>61</v>
      </c>
      <c r="B617" s="1">
        <v>45170</v>
      </c>
      <c r="C617">
        <v>870821</v>
      </c>
      <c r="D617" t="s">
        <v>176</v>
      </c>
      <c r="E617">
        <v>289024</v>
      </c>
      <c r="F617">
        <v>13618</v>
      </c>
      <c r="G617">
        <v>3384</v>
      </c>
      <c r="H617">
        <f>_xlfn.XLOOKUP(FACT_IMPORTS[[#This Row],[hts_6]],DIM_PRODUCTS[hts_6],DIM_PRODUCTS[hts_4],,,)</f>
        <v>8708</v>
      </c>
      <c r="I617" t="str" cm="1">
        <f t="array" ref="I617">_xlfn.XLOOKUP(FACT_IMPORTS[[#This Row],[country_name]],DIM_COUNTRY[[#All],[Column2]],DIM_COUNTRY[[#All],[Column3]],,,)</f>
        <v>USMCA</v>
      </c>
    </row>
    <row r="618" spans="1:9" x14ac:dyDescent="0.4">
      <c r="A618" t="s">
        <v>61</v>
      </c>
      <c r="B618" s="1">
        <v>45170</v>
      </c>
      <c r="C618">
        <v>870822</v>
      </c>
      <c r="D618" t="s">
        <v>176</v>
      </c>
      <c r="E618">
        <v>5269168</v>
      </c>
      <c r="F618">
        <v>99543</v>
      </c>
      <c r="G618">
        <v>170201</v>
      </c>
      <c r="H618">
        <f>_xlfn.XLOOKUP(FACT_IMPORTS[[#This Row],[hts_6]],DIM_PRODUCTS[hts_6],DIM_PRODUCTS[hts_4],,,)</f>
        <v>8708</v>
      </c>
      <c r="I618" t="str" cm="1">
        <f t="array" ref="I618">_xlfn.XLOOKUP(FACT_IMPORTS[[#This Row],[country_name]],DIM_COUNTRY[[#All],[Column2]],DIM_COUNTRY[[#All],[Column3]],,,)</f>
        <v>USMCA</v>
      </c>
    </row>
    <row r="619" spans="1:9" x14ac:dyDescent="0.4">
      <c r="A619" t="s">
        <v>61</v>
      </c>
      <c r="B619" s="1">
        <v>45170</v>
      </c>
      <c r="C619">
        <v>870829</v>
      </c>
      <c r="D619" t="s">
        <v>176</v>
      </c>
      <c r="E619">
        <v>365484935</v>
      </c>
      <c r="F619">
        <v>55331612</v>
      </c>
      <c r="G619">
        <v>7992212</v>
      </c>
      <c r="H619">
        <f>_xlfn.XLOOKUP(FACT_IMPORTS[[#This Row],[hts_6]],DIM_PRODUCTS[hts_6],DIM_PRODUCTS[hts_4],,,)</f>
        <v>8708</v>
      </c>
      <c r="I619" t="str" cm="1">
        <f t="array" ref="I619">_xlfn.XLOOKUP(FACT_IMPORTS[[#This Row],[country_name]],DIM_COUNTRY[[#All],[Column2]],DIM_COUNTRY[[#All],[Column3]],,,)</f>
        <v>USMCA</v>
      </c>
    </row>
    <row r="620" spans="1:9" x14ac:dyDescent="0.4">
      <c r="A620" t="s">
        <v>61</v>
      </c>
      <c r="B620" s="1">
        <v>45170</v>
      </c>
      <c r="C620">
        <v>870830</v>
      </c>
      <c r="D620" t="s">
        <v>176</v>
      </c>
      <c r="E620">
        <v>13791966</v>
      </c>
      <c r="F620">
        <v>2850836</v>
      </c>
      <c r="G620">
        <v>156327</v>
      </c>
      <c r="H620">
        <f>_xlfn.XLOOKUP(FACT_IMPORTS[[#This Row],[hts_6]],DIM_PRODUCTS[hts_6],DIM_PRODUCTS[hts_4],,,)</f>
        <v>8708</v>
      </c>
      <c r="I620" t="str" cm="1">
        <f t="array" ref="I620">_xlfn.XLOOKUP(FACT_IMPORTS[[#This Row],[country_name]],DIM_COUNTRY[[#All],[Column2]],DIM_COUNTRY[[#All],[Column3]],,,)</f>
        <v>USMCA</v>
      </c>
    </row>
    <row r="621" spans="1:9" x14ac:dyDescent="0.4">
      <c r="A621" t="s">
        <v>61</v>
      </c>
      <c r="B621" s="1">
        <v>45170</v>
      </c>
      <c r="C621">
        <v>870840</v>
      </c>
      <c r="D621" t="s">
        <v>176</v>
      </c>
      <c r="E621">
        <v>94508706</v>
      </c>
      <c r="F621">
        <v>4372017</v>
      </c>
      <c r="G621">
        <v>533905</v>
      </c>
      <c r="H621">
        <f>_xlfn.XLOOKUP(FACT_IMPORTS[[#This Row],[hts_6]],DIM_PRODUCTS[hts_6],DIM_PRODUCTS[hts_4],,,)</f>
        <v>8708</v>
      </c>
      <c r="I621" t="str" cm="1">
        <f t="array" ref="I621">_xlfn.XLOOKUP(FACT_IMPORTS[[#This Row],[country_name]],DIM_COUNTRY[[#All],[Column2]],DIM_COUNTRY[[#All],[Column3]],,,)</f>
        <v>USMCA</v>
      </c>
    </row>
    <row r="622" spans="1:9" x14ac:dyDescent="0.4">
      <c r="A622" t="s">
        <v>61</v>
      </c>
      <c r="B622" s="1">
        <v>45170</v>
      </c>
      <c r="C622">
        <v>870850</v>
      </c>
      <c r="D622" t="s">
        <v>176</v>
      </c>
      <c r="E622">
        <v>35731282</v>
      </c>
      <c r="F622">
        <v>1767545</v>
      </c>
      <c r="G622">
        <v>184945</v>
      </c>
      <c r="H622">
        <f>_xlfn.XLOOKUP(FACT_IMPORTS[[#This Row],[hts_6]],DIM_PRODUCTS[hts_6],DIM_PRODUCTS[hts_4],,,)</f>
        <v>8708</v>
      </c>
      <c r="I622" t="str" cm="1">
        <f t="array" ref="I622">_xlfn.XLOOKUP(FACT_IMPORTS[[#This Row],[country_name]],DIM_COUNTRY[[#All],[Column2]],DIM_COUNTRY[[#All],[Column3]],,,)</f>
        <v>USMCA</v>
      </c>
    </row>
    <row r="623" spans="1:9" x14ac:dyDescent="0.4">
      <c r="A623" t="s">
        <v>61</v>
      </c>
      <c r="B623" s="1">
        <v>45170</v>
      </c>
      <c r="C623">
        <v>870870</v>
      </c>
      <c r="D623" t="s">
        <v>176</v>
      </c>
      <c r="E623">
        <v>9150850</v>
      </c>
      <c r="F623">
        <v>8294785</v>
      </c>
      <c r="G623">
        <v>108745</v>
      </c>
      <c r="H623">
        <f>_xlfn.XLOOKUP(FACT_IMPORTS[[#This Row],[hts_6]],DIM_PRODUCTS[hts_6],DIM_PRODUCTS[hts_4],,,)</f>
        <v>8708</v>
      </c>
      <c r="I623" t="str" cm="1">
        <f t="array" ref="I623">_xlfn.XLOOKUP(FACT_IMPORTS[[#This Row],[country_name]],DIM_COUNTRY[[#All],[Column2]],DIM_COUNTRY[[#All],[Column3]],,,)</f>
        <v>USMCA</v>
      </c>
    </row>
    <row r="624" spans="1:9" x14ac:dyDescent="0.4">
      <c r="A624" t="s">
        <v>61</v>
      </c>
      <c r="B624" s="1">
        <v>45170</v>
      </c>
      <c r="C624">
        <v>870880</v>
      </c>
      <c r="D624" t="s">
        <v>176</v>
      </c>
      <c r="E624">
        <v>54997228</v>
      </c>
      <c r="F624">
        <v>2898722</v>
      </c>
      <c r="G624">
        <v>1043280</v>
      </c>
      <c r="H624">
        <f>_xlfn.XLOOKUP(FACT_IMPORTS[[#This Row],[hts_6]],DIM_PRODUCTS[hts_6],DIM_PRODUCTS[hts_4],,,)</f>
        <v>8708</v>
      </c>
      <c r="I624" t="str" cm="1">
        <f t="array" ref="I624">_xlfn.XLOOKUP(FACT_IMPORTS[[#This Row],[country_name]],DIM_COUNTRY[[#All],[Column2]],DIM_COUNTRY[[#All],[Column3]],,,)</f>
        <v>USMCA</v>
      </c>
    </row>
    <row r="625" spans="1:9" x14ac:dyDescent="0.4">
      <c r="A625" t="s">
        <v>61</v>
      </c>
      <c r="B625" s="1">
        <v>45170</v>
      </c>
      <c r="C625">
        <v>870891</v>
      </c>
      <c r="D625" t="s">
        <v>176</v>
      </c>
      <c r="E625">
        <v>13476053</v>
      </c>
      <c r="F625">
        <v>497883</v>
      </c>
      <c r="G625">
        <v>238777</v>
      </c>
      <c r="H625">
        <f>_xlfn.XLOOKUP(FACT_IMPORTS[[#This Row],[hts_6]],DIM_PRODUCTS[hts_6],DIM_PRODUCTS[hts_4],,,)</f>
        <v>8708</v>
      </c>
      <c r="I625" t="str" cm="1">
        <f t="array" ref="I625">_xlfn.XLOOKUP(FACT_IMPORTS[[#This Row],[country_name]],DIM_COUNTRY[[#All],[Column2]],DIM_COUNTRY[[#All],[Column3]],,,)</f>
        <v>USMCA</v>
      </c>
    </row>
    <row r="626" spans="1:9" x14ac:dyDescent="0.4">
      <c r="A626" t="s">
        <v>61</v>
      </c>
      <c r="B626" s="1">
        <v>45170</v>
      </c>
      <c r="C626">
        <v>870892</v>
      </c>
      <c r="D626" t="s">
        <v>176</v>
      </c>
      <c r="E626">
        <v>19477995</v>
      </c>
      <c r="F626">
        <v>1202111</v>
      </c>
      <c r="G626">
        <v>369155</v>
      </c>
      <c r="H626">
        <f>_xlfn.XLOOKUP(FACT_IMPORTS[[#This Row],[hts_6]],DIM_PRODUCTS[hts_6],DIM_PRODUCTS[hts_4],,,)</f>
        <v>8708</v>
      </c>
      <c r="I626" t="str" cm="1">
        <f t="array" ref="I626">_xlfn.XLOOKUP(FACT_IMPORTS[[#This Row],[country_name]],DIM_COUNTRY[[#All],[Column2]],DIM_COUNTRY[[#All],[Column3]],,,)</f>
        <v>USMCA</v>
      </c>
    </row>
    <row r="627" spans="1:9" x14ac:dyDescent="0.4">
      <c r="A627" t="s">
        <v>61</v>
      </c>
      <c r="B627" s="1">
        <v>45170</v>
      </c>
      <c r="C627">
        <v>870893</v>
      </c>
      <c r="D627" t="s">
        <v>176</v>
      </c>
      <c r="E627">
        <v>46655446</v>
      </c>
      <c r="F627">
        <v>1357151</v>
      </c>
      <c r="G627">
        <v>158648</v>
      </c>
      <c r="H627">
        <f>_xlfn.XLOOKUP(FACT_IMPORTS[[#This Row],[hts_6]],DIM_PRODUCTS[hts_6],DIM_PRODUCTS[hts_4],,,)</f>
        <v>8708</v>
      </c>
      <c r="I627" t="str" cm="1">
        <f t="array" ref="I627">_xlfn.XLOOKUP(FACT_IMPORTS[[#This Row],[country_name]],DIM_COUNTRY[[#All],[Column2]],DIM_COUNTRY[[#All],[Column3]],,,)</f>
        <v>USMCA</v>
      </c>
    </row>
    <row r="628" spans="1:9" x14ac:dyDescent="0.4">
      <c r="A628" t="s">
        <v>61</v>
      </c>
      <c r="B628" s="1">
        <v>45170</v>
      </c>
      <c r="C628">
        <v>870894</v>
      </c>
      <c r="D628" t="s">
        <v>176</v>
      </c>
      <c r="E628">
        <v>9868121</v>
      </c>
      <c r="F628">
        <v>2870973</v>
      </c>
      <c r="G628">
        <v>111174</v>
      </c>
      <c r="H628">
        <f>_xlfn.XLOOKUP(FACT_IMPORTS[[#This Row],[hts_6]],DIM_PRODUCTS[hts_6],DIM_PRODUCTS[hts_4],,,)</f>
        <v>8708</v>
      </c>
      <c r="I628" t="str" cm="1">
        <f t="array" ref="I628">_xlfn.XLOOKUP(FACT_IMPORTS[[#This Row],[country_name]],DIM_COUNTRY[[#All],[Column2]],DIM_COUNTRY[[#All],[Column3]],,,)</f>
        <v>USMCA</v>
      </c>
    </row>
    <row r="629" spans="1:9" x14ac:dyDescent="0.4">
      <c r="A629" t="s">
        <v>61</v>
      </c>
      <c r="B629" s="1">
        <v>45170</v>
      </c>
      <c r="C629">
        <v>870895</v>
      </c>
      <c r="D629" t="s">
        <v>176</v>
      </c>
      <c r="E629">
        <v>1835208</v>
      </c>
      <c r="F629">
        <v>1483371</v>
      </c>
      <c r="G629">
        <v>11057</v>
      </c>
      <c r="H629">
        <f>_xlfn.XLOOKUP(FACT_IMPORTS[[#This Row],[hts_6]],DIM_PRODUCTS[hts_6],DIM_PRODUCTS[hts_4],,,)</f>
        <v>8708</v>
      </c>
      <c r="I629" t="str" cm="1">
        <f t="array" ref="I629">_xlfn.XLOOKUP(FACT_IMPORTS[[#This Row],[country_name]],DIM_COUNTRY[[#All],[Column2]],DIM_COUNTRY[[#All],[Column3]],,,)</f>
        <v>USMCA</v>
      </c>
    </row>
    <row r="630" spans="1:9" x14ac:dyDescent="0.4">
      <c r="A630" t="s">
        <v>61</v>
      </c>
      <c r="B630" s="1">
        <v>45170</v>
      </c>
      <c r="C630">
        <v>870899</v>
      </c>
      <c r="D630" t="s">
        <v>176</v>
      </c>
      <c r="E630">
        <v>170233675</v>
      </c>
      <c r="F630">
        <v>15586547</v>
      </c>
      <c r="G630">
        <v>2093546</v>
      </c>
      <c r="H630">
        <f>_xlfn.XLOOKUP(FACT_IMPORTS[[#This Row],[hts_6]],DIM_PRODUCTS[hts_6],DIM_PRODUCTS[hts_4],,,)</f>
        <v>8708</v>
      </c>
      <c r="I630" t="str" cm="1">
        <f t="array" ref="I630">_xlfn.XLOOKUP(FACT_IMPORTS[[#This Row],[country_name]],DIM_COUNTRY[[#All],[Column2]],DIM_COUNTRY[[#All],[Column3]],,,)</f>
        <v>USMCA</v>
      </c>
    </row>
    <row r="631" spans="1:9" x14ac:dyDescent="0.4">
      <c r="A631" t="s">
        <v>61</v>
      </c>
      <c r="B631" s="1">
        <v>45170</v>
      </c>
      <c r="C631">
        <v>940120</v>
      </c>
      <c r="D631" t="s">
        <v>176</v>
      </c>
      <c r="E631">
        <v>999384</v>
      </c>
      <c r="F631">
        <v>6274</v>
      </c>
      <c r="G631">
        <v>8218</v>
      </c>
      <c r="H631">
        <f>_xlfn.XLOOKUP(FACT_IMPORTS[[#This Row],[hts_6]],DIM_PRODUCTS[hts_6],DIM_PRODUCTS[hts_4],,,)</f>
        <v>9401</v>
      </c>
      <c r="I631" t="str" cm="1">
        <f t="array" ref="I631">_xlfn.XLOOKUP(FACT_IMPORTS[[#This Row],[country_name]],DIM_COUNTRY[[#All],[Column2]],DIM_COUNTRY[[#All],[Column3]],,,)</f>
        <v>USMCA</v>
      </c>
    </row>
    <row r="632" spans="1:9" x14ac:dyDescent="0.4">
      <c r="A632" t="s">
        <v>61</v>
      </c>
      <c r="B632" s="1">
        <v>45200</v>
      </c>
      <c r="C632">
        <v>392630</v>
      </c>
      <c r="D632" t="s">
        <v>176</v>
      </c>
      <c r="E632">
        <v>3347750</v>
      </c>
      <c r="F632">
        <v>258532</v>
      </c>
      <c r="G632">
        <v>179506</v>
      </c>
      <c r="H632">
        <f>_xlfn.XLOOKUP(FACT_IMPORTS[[#This Row],[hts_6]],DIM_PRODUCTS[hts_6],DIM_PRODUCTS[hts_4],,,)</f>
        <v>3926</v>
      </c>
      <c r="I632" t="str" cm="1">
        <f t="array" ref="I632">_xlfn.XLOOKUP(FACT_IMPORTS[[#This Row],[country_name]],DIM_COUNTRY[[#All],[Column2]],DIM_COUNTRY[[#All],[Column3]],,,)</f>
        <v>USMCA</v>
      </c>
    </row>
    <row r="633" spans="1:9" x14ac:dyDescent="0.4">
      <c r="A633" t="s">
        <v>61</v>
      </c>
      <c r="B633" s="1">
        <v>45200</v>
      </c>
      <c r="C633">
        <v>401110</v>
      </c>
      <c r="D633" t="s">
        <v>176</v>
      </c>
      <c r="E633">
        <v>45168387</v>
      </c>
      <c r="F633">
        <v>704272</v>
      </c>
      <c r="G633">
        <v>409387</v>
      </c>
      <c r="H633">
        <f>_xlfn.XLOOKUP(FACT_IMPORTS[[#This Row],[hts_6]],DIM_PRODUCTS[hts_6],DIM_PRODUCTS[hts_4],,,)</f>
        <v>4011</v>
      </c>
      <c r="I633" t="str" cm="1">
        <f t="array" ref="I633">_xlfn.XLOOKUP(FACT_IMPORTS[[#This Row],[country_name]],DIM_COUNTRY[[#All],[Column2]],DIM_COUNTRY[[#All],[Column3]],,,)</f>
        <v>USMCA</v>
      </c>
    </row>
    <row r="634" spans="1:9" x14ac:dyDescent="0.4">
      <c r="A634" t="s">
        <v>61</v>
      </c>
      <c r="B634" s="1">
        <v>45200</v>
      </c>
      <c r="C634">
        <v>401120</v>
      </c>
      <c r="D634" t="s">
        <v>176</v>
      </c>
      <c r="E634">
        <v>51240436</v>
      </c>
      <c r="F634">
        <v>309248</v>
      </c>
      <c r="G634">
        <v>361719</v>
      </c>
      <c r="H634">
        <f>_xlfn.XLOOKUP(FACT_IMPORTS[[#This Row],[hts_6]],DIM_PRODUCTS[hts_6],DIM_PRODUCTS[hts_4],,,)</f>
        <v>4011</v>
      </c>
      <c r="I634" t="str" cm="1">
        <f t="array" ref="I634">_xlfn.XLOOKUP(FACT_IMPORTS[[#This Row],[country_name]],DIM_COUNTRY[[#All],[Column2]],DIM_COUNTRY[[#All],[Column3]],,,)</f>
        <v>USMCA</v>
      </c>
    </row>
    <row r="635" spans="1:9" x14ac:dyDescent="0.4">
      <c r="A635" t="s">
        <v>61</v>
      </c>
      <c r="B635" s="1">
        <v>45200</v>
      </c>
      <c r="C635">
        <v>401140</v>
      </c>
      <c r="D635" t="s">
        <v>176</v>
      </c>
      <c r="E635">
        <v>0</v>
      </c>
      <c r="F635">
        <v>0</v>
      </c>
      <c r="G635">
        <v>0</v>
      </c>
      <c r="H635">
        <f>_xlfn.XLOOKUP(FACT_IMPORTS[[#This Row],[hts_6]],DIM_PRODUCTS[hts_6],DIM_PRODUCTS[hts_4],,,)</f>
        <v>4011</v>
      </c>
      <c r="I635" t="str" cm="1">
        <f t="array" ref="I635">_xlfn.XLOOKUP(FACT_IMPORTS[[#This Row],[country_name]],DIM_COUNTRY[[#All],[Column2]],DIM_COUNTRY[[#All],[Column3]],,,)</f>
        <v>USMCA</v>
      </c>
    </row>
    <row r="636" spans="1:9" x14ac:dyDescent="0.4">
      <c r="A636" t="s">
        <v>61</v>
      </c>
      <c r="B636" s="1">
        <v>45200</v>
      </c>
      <c r="C636">
        <v>401190</v>
      </c>
      <c r="D636" t="s">
        <v>176</v>
      </c>
      <c r="E636">
        <v>418478</v>
      </c>
      <c r="F636">
        <v>649</v>
      </c>
      <c r="G636">
        <v>497</v>
      </c>
      <c r="H636">
        <f>_xlfn.XLOOKUP(FACT_IMPORTS[[#This Row],[hts_6]],DIM_PRODUCTS[hts_6],DIM_PRODUCTS[hts_4],,,)</f>
        <v>4011</v>
      </c>
      <c r="I636" t="str" cm="1">
        <f t="array" ref="I636">_xlfn.XLOOKUP(FACT_IMPORTS[[#This Row],[country_name]],DIM_COUNTRY[[#All],[Column2]],DIM_COUNTRY[[#All],[Column3]],,,)</f>
        <v>USMCA</v>
      </c>
    </row>
    <row r="637" spans="1:9" x14ac:dyDescent="0.4">
      <c r="A637" t="s">
        <v>61</v>
      </c>
      <c r="B637" s="1">
        <v>45200</v>
      </c>
      <c r="C637">
        <v>700711</v>
      </c>
      <c r="D637" t="s">
        <v>176</v>
      </c>
      <c r="E637">
        <v>553456</v>
      </c>
      <c r="F637">
        <v>2613</v>
      </c>
      <c r="G637">
        <v>11546</v>
      </c>
      <c r="H637">
        <f>_xlfn.XLOOKUP(FACT_IMPORTS[[#This Row],[hts_6]],DIM_PRODUCTS[hts_6],DIM_PRODUCTS[hts_4],,,)</f>
        <v>7007</v>
      </c>
      <c r="I637" t="str" cm="1">
        <f t="array" ref="I637">_xlfn.XLOOKUP(FACT_IMPORTS[[#This Row],[country_name]],DIM_COUNTRY[[#All],[Column2]],DIM_COUNTRY[[#All],[Column3]],,,)</f>
        <v>USMCA</v>
      </c>
    </row>
    <row r="638" spans="1:9" x14ac:dyDescent="0.4">
      <c r="A638" t="s">
        <v>61</v>
      </c>
      <c r="B638" s="1">
        <v>45200</v>
      </c>
      <c r="C638">
        <v>700721</v>
      </c>
      <c r="D638" t="s">
        <v>176</v>
      </c>
      <c r="E638">
        <v>25897</v>
      </c>
      <c r="F638">
        <v>3681</v>
      </c>
      <c r="G638">
        <v>156</v>
      </c>
      <c r="H638">
        <f>_xlfn.XLOOKUP(FACT_IMPORTS[[#This Row],[hts_6]],DIM_PRODUCTS[hts_6],DIM_PRODUCTS[hts_4],,,)</f>
        <v>7007</v>
      </c>
      <c r="I638" t="str" cm="1">
        <f t="array" ref="I638">_xlfn.XLOOKUP(FACT_IMPORTS[[#This Row],[country_name]],DIM_COUNTRY[[#All],[Column2]],DIM_COUNTRY[[#All],[Column3]],,,)</f>
        <v>USMCA</v>
      </c>
    </row>
    <row r="639" spans="1:9" x14ac:dyDescent="0.4">
      <c r="A639" t="s">
        <v>61</v>
      </c>
      <c r="B639" s="1">
        <v>45200</v>
      </c>
      <c r="C639">
        <v>700910</v>
      </c>
      <c r="D639" t="s">
        <v>176</v>
      </c>
      <c r="E639">
        <v>257829</v>
      </c>
      <c r="F639">
        <v>5739</v>
      </c>
      <c r="G639">
        <v>1705</v>
      </c>
      <c r="H639">
        <f>_xlfn.XLOOKUP(FACT_IMPORTS[[#This Row],[hts_6]],DIM_PRODUCTS[hts_6],DIM_PRODUCTS[hts_4],,,)</f>
        <v>7009</v>
      </c>
      <c r="I639" t="str" cm="1">
        <f t="array" ref="I639">_xlfn.XLOOKUP(FACT_IMPORTS[[#This Row],[country_name]],DIM_COUNTRY[[#All],[Column2]],DIM_COUNTRY[[#All],[Column3]],,,)</f>
        <v>USMCA</v>
      </c>
    </row>
    <row r="640" spans="1:9" x14ac:dyDescent="0.4">
      <c r="A640" t="s">
        <v>61</v>
      </c>
      <c r="B640" s="1">
        <v>45200</v>
      </c>
      <c r="C640">
        <v>732010</v>
      </c>
      <c r="D640" t="s">
        <v>176</v>
      </c>
      <c r="E640">
        <v>4281137</v>
      </c>
      <c r="F640">
        <v>1298463</v>
      </c>
      <c r="G640">
        <v>31048</v>
      </c>
      <c r="H640">
        <f>_xlfn.XLOOKUP(FACT_IMPORTS[[#This Row],[hts_6]],DIM_PRODUCTS[hts_6],DIM_PRODUCTS[hts_4],,,)</f>
        <v>7320</v>
      </c>
      <c r="I640" t="str" cm="1">
        <f t="array" ref="I640">_xlfn.XLOOKUP(FACT_IMPORTS[[#This Row],[country_name]],DIM_COUNTRY[[#All],[Column2]],DIM_COUNTRY[[#All],[Column3]],,,)</f>
        <v>USMCA</v>
      </c>
    </row>
    <row r="641" spans="1:9" x14ac:dyDescent="0.4">
      <c r="A641" t="s">
        <v>61</v>
      </c>
      <c r="B641" s="1">
        <v>45200</v>
      </c>
      <c r="C641">
        <v>830230</v>
      </c>
      <c r="D641" t="s">
        <v>176</v>
      </c>
      <c r="E641">
        <v>35252766</v>
      </c>
      <c r="F641">
        <v>7204722</v>
      </c>
      <c r="G641">
        <v>1381120</v>
      </c>
      <c r="H641">
        <f>_xlfn.XLOOKUP(FACT_IMPORTS[[#This Row],[hts_6]],DIM_PRODUCTS[hts_6],DIM_PRODUCTS[hts_4],,,)</f>
        <v>8302</v>
      </c>
      <c r="I641" t="str" cm="1">
        <f t="array" ref="I641">_xlfn.XLOOKUP(FACT_IMPORTS[[#This Row],[country_name]],DIM_COUNTRY[[#All],[Column2]],DIM_COUNTRY[[#All],[Column3]],,,)</f>
        <v>USMCA</v>
      </c>
    </row>
    <row r="642" spans="1:9" x14ac:dyDescent="0.4">
      <c r="A642" t="s">
        <v>61</v>
      </c>
      <c r="B642" s="1">
        <v>45200</v>
      </c>
      <c r="C642">
        <v>840731</v>
      </c>
      <c r="D642" t="s">
        <v>176</v>
      </c>
      <c r="E642">
        <v>19000</v>
      </c>
      <c r="F642">
        <v>2</v>
      </c>
      <c r="G642">
        <v>500</v>
      </c>
      <c r="H642">
        <f>_xlfn.XLOOKUP(FACT_IMPORTS[[#This Row],[hts_6]],DIM_PRODUCTS[hts_6],DIM_PRODUCTS[hts_4],,,)</f>
        <v>8407</v>
      </c>
      <c r="I642" t="str" cm="1">
        <f t="array" ref="I642">_xlfn.XLOOKUP(FACT_IMPORTS[[#This Row],[country_name]],DIM_COUNTRY[[#All],[Column2]],DIM_COUNTRY[[#All],[Column3]],,,)</f>
        <v>USMCA</v>
      </c>
    </row>
    <row r="643" spans="1:9" x14ac:dyDescent="0.4">
      <c r="A643" t="s">
        <v>61</v>
      </c>
      <c r="B643" s="1">
        <v>45200</v>
      </c>
      <c r="C643">
        <v>840733</v>
      </c>
      <c r="D643" t="s">
        <v>176</v>
      </c>
      <c r="E643">
        <v>17189</v>
      </c>
      <c r="F643">
        <v>4</v>
      </c>
      <c r="G643">
        <v>1292</v>
      </c>
      <c r="H643">
        <f>_xlfn.XLOOKUP(FACT_IMPORTS[[#This Row],[hts_6]],DIM_PRODUCTS[hts_6],DIM_PRODUCTS[hts_4],,,)</f>
        <v>8407</v>
      </c>
      <c r="I643" t="str" cm="1">
        <f t="array" ref="I643">_xlfn.XLOOKUP(FACT_IMPORTS[[#This Row],[country_name]],DIM_COUNTRY[[#All],[Column2]],DIM_COUNTRY[[#All],[Column3]],,,)</f>
        <v>USMCA</v>
      </c>
    </row>
    <row r="644" spans="1:9" x14ac:dyDescent="0.4">
      <c r="A644" t="s">
        <v>61</v>
      </c>
      <c r="B644" s="1">
        <v>45200</v>
      </c>
      <c r="C644">
        <v>840734</v>
      </c>
      <c r="D644" t="s">
        <v>176</v>
      </c>
      <c r="E644">
        <v>195035857</v>
      </c>
      <c r="F644">
        <v>61202</v>
      </c>
      <c r="G644">
        <v>221715</v>
      </c>
      <c r="H644">
        <f>_xlfn.XLOOKUP(FACT_IMPORTS[[#This Row],[hts_6]],DIM_PRODUCTS[hts_6],DIM_PRODUCTS[hts_4],,,)</f>
        <v>8407</v>
      </c>
      <c r="I644" t="str" cm="1">
        <f t="array" ref="I644">_xlfn.XLOOKUP(FACT_IMPORTS[[#This Row],[country_name]],DIM_COUNTRY[[#All],[Column2]],DIM_COUNTRY[[#All],[Column3]],,,)</f>
        <v>USMCA</v>
      </c>
    </row>
    <row r="645" spans="1:9" x14ac:dyDescent="0.4">
      <c r="A645" t="s">
        <v>61</v>
      </c>
      <c r="B645" s="1">
        <v>45200</v>
      </c>
      <c r="C645">
        <v>840790</v>
      </c>
      <c r="D645" t="s">
        <v>176</v>
      </c>
      <c r="E645">
        <v>11060117</v>
      </c>
      <c r="F645">
        <v>4426</v>
      </c>
      <c r="G645">
        <v>3148</v>
      </c>
      <c r="H645">
        <f>_xlfn.XLOOKUP(FACT_IMPORTS[[#This Row],[hts_6]],DIM_PRODUCTS[hts_6],DIM_PRODUCTS[hts_4],,,)</f>
        <v>8407</v>
      </c>
      <c r="I645" t="str" cm="1">
        <f t="array" ref="I645">_xlfn.XLOOKUP(FACT_IMPORTS[[#This Row],[country_name]],DIM_COUNTRY[[#All],[Column2]],DIM_COUNTRY[[#All],[Column3]],,,)</f>
        <v>USMCA</v>
      </c>
    </row>
    <row r="646" spans="1:9" x14ac:dyDescent="0.4">
      <c r="A646" t="s">
        <v>61</v>
      </c>
      <c r="B646" s="1">
        <v>45200</v>
      </c>
      <c r="C646">
        <v>840820</v>
      </c>
      <c r="D646" t="s">
        <v>176</v>
      </c>
      <c r="E646">
        <v>778369</v>
      </c>
      <c r="F646">
        <v>108</v>
      </c>
      <c r="G646">
        <v>13579</v>
      </c>
      <c r="H646">
        <f>_xlfn.XLOOKUP(FACT_IMPORTS[[#This Row],[hts_6]],DIM_PRODUCTS[hts_6],DIM_PRODUCTS[hts_4],,,)</f>
        <v>8408</v>
      </c>
      <c r="I646" t="str" cm="1">
        <f t="array" ref="I646">_xlfn.XLOOKUP(FACT_IMPORTS[[#This Row],[country_name]],DIM_COUNTRY[[#All],[Column2]],DIM_COUNTRY[[#All],[Column3]],,,)</f>
        <v>USMCA</v>
      </c>
    </row>
    <row r="647" spans="1:9" x14ac:dyDescent="0.4">
      <c r="A647" t="s">
        <v>61</v>
      </c>
      <c r="B647" s="1">
        <v>45200</v>
      </c>
      <c r="C647">
        <v>840890</v>
      </c>
      <c r="D647" t="s">
        <v>176</v>
      </c>
      <c r="E647">
        <v>408051</v>
      </c>
      <c r="F647">
        <v>41</v>
      </c>
      <c r="G647">
        <v>3948</v>
      </c>
      <c r="H647">
        <f>_xlfn.XLOOKUP(FACT_IMPORTS[[#This Row],[hts_6]],DIM_PRODUCTS[hts_6],DIM_PRODUCTS[hts_4],,,)</f>
        <v>8408</v>
      </c>
      <c r="I647" t="str" cm="1">
        <f t="array" ref="I647">_xlfn.XLOOKUP(FACT_IMPORTS[[#This Row],[country_name]],DIM_COUNTRY[[#All],[Column2]],DIM_COUNTRY[[#All],[Column3]],,,)</f>
        <v>USMCA</v>
      </c>
    </row>
    <row r="648" spans="1:9" x14ac:dyDescent="0.4">
      <c r="A648" t="s">
        <v>61</v>
      </c>
      <c r="B648" s="1">
        <v>45200</v>
      </c>
      <c r="C648">
        <v>840991</v>
      </c>
      <c r="D648" t="s">
        <v>176</v>
      </c>
      <c r="E648">
        <v>30801714</v>
      </c>
      <c r="F648">
        <v>2241909</v>
      </c>
      <c r="G648">
        <v>182727</v>
      </c>
      <c r="H648">
        <f>_xlfn.XLOOKUP(FACT_IMPORTS[[#This Row],[hts_6]],DIM_PRODUCTS[hts_6],DIM_PRODUCTS[hts_4],,,)</f>
        <v>8409</v>
      </c>
      <c r="I648" t="str" cm="1">
        <f t="array" ref="I648">_xlfn.XLOOKUP(FACT_IMPORTS[[#This Row],[country_name]],DIM_COUNTRY[[#All],[Column2]],DIM_COUNTRY[[#All],[Column3]],,,)</f>
        <v>USMCA</v>
      </c>
    </row>
    <row r="649" spans="1:9" x14ac:dyDescent="0.4">
      <c r="A649" t="s">
        <v>61</v>
      </c>
      <c r="B649" s="1">
        <v>45200</v>
      </c>
      <c r="C649">
        <v>840999</v>
      </c>
      <c r="D649" t="s">
        <v>176</v>
      </c>
      <c r="E649">
        <v>14718242</v>
      </c>
      <c r="F649">
        <v>1314614</v>
      </c>
      <c r="G649">
        <v>151398</v>
      </c>
      <c r="H649">
        <f>_xlfn.XLOOKUP(FACT_IMPORTS[[#This Row],[hts_6]],DIM_PRODUCTS[hts_6],DIM_PRODUCTS[hts_4],,,)</f>
        <v>8409</v>
      </c>
      <c r="I649" t="str" cm="1">
        <f t="array" ref="I649">_xlfn.XLOOKUP(FACT_IMPORTS[[#This Row],[country_name]],DIM_COUNTRY[[#All],[Column2]],DIM_COUNTRY[[#All],[Column3]],,,)</f>
        <v>USMCA</v>
      </c>
    </row>
    <row r="650" spans="1:9" x14ac:dyDescent="0.4">
      <c r="A650" t="s">
        <v>61</v>
      </c>
      <c r="B650" s="1">
        <v>45200</v>
      </c>
      <c r="C650">
        <v>841330</v>
      </c>
      <c r="D650" t="s">
        <v>176</v>
      </c>
      <c r="E650">
        <v>7860476</v>
      </c>
      <c r="F650">
        <v>145207</v>
      </c>
      <c r="G650">
        <v>69582</v>
      </c>
      <c r="H650">
        <f>_xlfn.XLOOKUP(FACT_IMPORTS[[#This Row],[hts_6]],DIM_PRODUCTS[hts_6],DIM_PRODUCTS[hts_4],,,)</f>
        <v>8413</v>
      </c>
      <c r="I650" t="str" cm="1">
        <f t="array" ref="I650">_xlfn.XLOOKUP(FACT_IMPORTS[[#This Row],[country_name]],DIM_COUNTRY[[#All],[Column2]],DIM_COUNTRY[[#All],[Column3]],,,)</f>
        <v>USMCA</v>
      </c>
    </row>
    <row r="651" spans="1:9" x14ac:dyDescent="0.4">
      <c r="A651" t="s">
        <v>61</v>
      </c>
      <c r="B651" s="1">
        <v>45200</v>
      </c>
      <c r="C651">
        <v>841520</v>
      </c>
      <c r="D651" t="s">
        <v>176</v>
      </c>
      <c r="E651">
        <v>7487957</v>
      </c>
      <c r="F651">
        <v>44145</v>
      </c>
      <c r="G651">
        <v>95206</v>
      </c>
      <c r="H651">
        <f>_xlfn.XLOOKUP(FACT_IMPORTS[[#This Row],[hts_6]],DIM_PRODUCTS[hts_6],DIM_PRODUCTS[hts_4],,,)</f>
        <v>8415</v>
      </c>
      <c r="I651" t="str" cm="1">
        <f t="array" ref="I651">_xlfn.XLOOKUP(FACT_IMPORTS[[#This Row],[country_name]],DIM_COUNTRY[[#All],[Column2]],DIM_COUNTRY[[#All],[Column3]],,,)</f>
        <v>USMCA</v>
      </c>
    </row>
    <row r="652" spans="1:9" x14ac:dyDescent="0.4">
      <c r="A652" t="s">
        <v>61</v>
      </c>
      <c r="B652" s="1">
        <v>45200</v>
      </c>
      <c r="C652">
        <v>842132</v>
      </c>
      <c r="D652" t="s">
        <v>176</v>
      </c>
      <c r="E652">
        <v>12184446</v>
      </c>
      <c r="F652">
        <v>72236</v>
      </c>
      <c r="G652">
        <v>68664</v>
      </c>
      <c r="H652">
        <f>_xlfn.XLOOKUP(FACT_IMPORTS[[#This Row],[hts_6]],DIM_PRODUCTS[hts_6],DIM_PRODUCTS[hts_4],,,)</f>
        <v>8421</v>
      </c>
      <c r="I652" t="str" cm="1">
        <f t="array" ref="I652">_xlfn.XLOOKUP(FACT_IMPORTS[[#This Row],[country_name]],DIM_COUNTRY[[#All],[Column2]],DIM_COUNTRY[[#All],[Column3]],,,)</f>
        <v>USMCA</v>
      </c>
    </row>
    <row r="653" spans="1:9" x14ac:dyDescent="0.4">
      <c r="A653" t="s">
        <v>61</v>
      </c>
      <c r="B653" s="1">
        <v>45200</v>
      </c>
      <c r="C653">
        <v>848210</v>
      </c>
      <c r="D653" t="s">
        <v>176</v>
      </c>
      <c r="E653">
        <v>4147362</v>
      </c>
      <c r="F653">
        <v>1327779</v>
      </c>
      <c r="G653">
        <v>85288</v>
      </c>
      <c r="H653">
        <f>_xlfn.XLOOKUP(FACT_IMPORTS[[#This Row],[hts_6]],DIM_PRODUCTS[hts_6],DIM_PRODUCTS[hts_4],,,)</f>
        <v>8482</v>
      </c>
      <c r="I653" t="str" cm="1">
        <f t="array" ref="I653">_xlfn.XLOOKUP(FACT_IMPORTS[[#This Row],[country_name]],DIM_COUNTRY[[#All],[Column2]],DIM_COUNTRY[[#All],[Column3]],,,)</f>
        <v>USMCA</v>
      </c>
    </row>
    <row r="654" spans="1:9" x14ac:dyDescent="0.4">
      <c r="A654" t="s">
        <v>61</v>
      </c>
      <c r="B654" s="1">
        <v>45200</v>
      </c>
      <c r="C654">
        <v>848220</v>
      </c>
      <c r="D654" t="s">
        <v>176</v>
      </c>
      <c r="E654">
        <v>972502</v>
      </c>
      <c r="F654">
        <v>19123</v>
      </c>
      <c r="G654">
        <v>9437</v>
      </c>
      <c r="H654">
        <f>_xlfn.XLOOKUP(FACT_IMPORTS[[#This Row],[hts_6]],DIM_PRODUCTS[hts_6],DIM_PRODUCTS[hts_4],,,)</f>
        <v>8482</v>
      </c>
      <c r="I654" t="str" cm="1">
        <f t="array" ref="I654">_xlfn.XLOOKUP(FACT_IMPORTS[[#This Row],[country_name]],DIM_COUNTRY[[#All],[Column2]],DIM_COUNTRY[[#All],[Column3]],,,)</f>
        <v>USMCA</v>
      </c>
    </row>
    <row r="655" spans="1:9" x14ac:dyDescent="0.4">
      <c r="A655" t="s">
        <v>61</v>
      </c>
      <c r="B655" s="1">
        <v>45200</v>
      </c>
      <c r="C655">
        <v>848310</v>
      </c>
      <c r="D655" t="s">
        <v>176</v>
      </c>
      <c r="E655">
        <v>14756534</v>
      </c>
      <c r="F655">
        <v>486222</v>
      </c>
      <c r="G655">
        <v>379064</v>
      </c>
      <c r="H655">
        <f>_xlfn.XLOOKUP(FACT_IMPORTS[[#This Row],[hts_6]],DIM_PRODUCTS[hts_6],DIM_PRODUCTS[hts_4],,,)</f>
        <v>8483</v>
      </c>
      <c r="I655" t="str" cm="1">
        <f t="array" ref="I655">_xlfn.XLOOKUP(FACT_IMPORTS[[#This Row],[country_name]],DIM_COUNTRY[[#All],[Column2]],DIM_COUNTRY[[#All],[Column3]],,,)</f>
        <v>USMCA</v>
      </c>
    </row>
    <row r="656" spans="1:9" x14ac:dyDescent="0.4">
      <c r="A656" t="s">
        <v>61</v>
      </c>
      <c r="B656" s="1">
        <v>45200</v>
      </c>
      <c r="C656">
        <v>850131</v>
      </c>
      <c r="D656" t="s">
        <v>176</v>
      </c>
      <c r="E656">
        <v>3405730</v>
      </c>
      <c r="F656">
        <v>103237</v>
      </c>
      <c r="G656">
        <v>16168</v>
      </c>
      <c r="H656">
        <f>_xlfn.XLOOKUP(FACT_IMPORTS[[#This Row],[hts_6]],DIM_PRODUCTS[hts_6],DIM_PRODUCTS[hts_4],,,)</f>
        <v>8501</v>
      </c>
      <c r="I656" t="str" cm="1">
        <f t="array" ref="I656">_xlfn.XLOOKUP(FACT_IMPORTS[[#This Row],[country_name]],DIM_COUNTRY[[#All],[Column2]],DIM_COUNTRY[[#All],[Column3]],,,)</f>
        <v>USMCA</v>
      </c>
    </row>
    <row r="657" spans="1:9" x14ac:dyDescent="0.4">
      <c r="A657" t="s">
        <v>61</v>
      </c>
      <c r="B657" s="1">
        <v>45200</v>
      </c>
      <c r="C657">
        <v>850132</v>
      </c>
      <c r="D657" t="s">
        <v>176</v>
      </c>
      <c r="E657">
        <v>19009</v>
      </c>
      <c r="F657">
        <v>9</v>
      </c>
      <c r="G657">
        <v>398</v>
      </c>
      <c r="H657">
        <f>_xlfn.XLOOKUP(FACT_IMPORTS[[#This Row],[hts_6]],DIM_PRODUCTS[hts_6],DIM_PRODUCTS[hts_4],,,)</f>
        <v>8501</v>
      </c>
      <c r="I657" t="str" cm="1">
        <f t="array" ref="I657">_xlfn.XLOOKUP(FACT_IMPORTS[[#This Row],[country_name]],DIM_COUNTRY[[#All],[Column2]],DIM_COUNTRY[[#All],[Column3]],,,)</f>
        <v>USMCA</v>
      </c>
    </row>
    <row r="658" spans="1:9" x14ac:dyDescent="0.4">
      <c r="A658" t="s">
        <v>61</v>
      </c>
      <c r="B658" s="1">
        <v>45200</v>
      </c>
      <c r="C658">
        <v>850133</v>
      </c>
      <c r="D658" t="s">
        <v>176</v>
      </c>
      <c r="E658">
        <v>36587</v>
      </c>
      <c r="F658">
        <v>1</v>
      </c>
      <c r="G658">
        <v>14</v>
      </c>
      <c r="H658">
        <f>_xlfn.XLOOKUP(FACT_IMPORTS[[#This Row],[hts_6]],DIM_PRODUCTS[hts_6],DIM_PRODUCTS[hts_4],,,)</f>
        <v>8501</v>
      </c>
      <c r="I658" t="str" cm="1">
        <f t="array" ref="I658">_xlfn.XLOOKUP(FACT_IMPORTS[[#This Row],[country_name]],DIM_COUNTRY[[#All],[Column2]],DIM_COUNTRY[[#All],[Column3]],,,)</f>
        <v>USMCA</v>
      </c>
    </row>
    <row r="659" spans="1:9" x14ac:dyDescent="0.4">
      <c r="A659" t="s">
        <v>61</v>
      </c>
      <c r="B659" s="1">
        <v>45200</v>
      </c>
      <c r="C659">
        <v>850134</v>
      </c>
      <c r="D659" t="s">
        <v>176</v>
      </c>
      <c r="E659">
        <v>65954</v>
      </c>
      <c r="F659">
        <v>3</v>
      </c>
      <c r="G659">
        <v>600</v>
      </c>
      <c r="H659">
        <f>_xlfn.XLOOKUP(FACT_IMPORTS[[#This Row],[hts_6]],DIM_PRODUCTS[hts_6],DIM_PRODUCTS[hts_4],,,)</f>
        <v>8501</v>
      </c>
      <c r="I659" t="str" cm="1">
        <f t="array" ref="I659">_xlfn.XLOOKUP(FACT_IMPORTS[[#This Row],[country_name]],DIM_COUNTRY[[#All],[Column2]],DIM_COUNTRY[[#All],[Column3]],,,)</f>
        <v>USMCA</v>
      </c>
    </row>
    <row r="660" spans="1:9" x14ac:dyDescent="0.4">
      <c r="A660" t="s">
        <v>61</v>
      </c>
      <c r="B660" s="1">
        <v>45200</v>
      </c>
      <c r="C660">
        <v>850152</v>
      </c>
      <c r="D660" t="s">
        <v>176</v>
      </c>
      <c r="E660">
        <v>1084050</v>
      </c>
      <c r="F660">
        <v>269</v>
      </c>
      <c r="G660">
        <v>11387</v>
      </c>
      <c r="H660">
        <f>_xlfn.XLOOKUP(FACT_IMPORTS[[#This Row],[hts_6]],DIM_PRODUCTS[hts_6],DIM_PRODUCTS[hts_4],,,)</f>
        <v>8501</v>
      </c>
      <c r="I660" t="str" cm="1">
        <f t="array" ref="I660">_xlfn.XLOOKUP(FACT_IMPORTS[[#This Row],[country_name]],DIM_COUNTRY[[#All],[Column2]],DIM_COUNTRY[[#All],[Column3]],,,)</f>
        <v>USMCA</v>
      </c>
    </row>
    <row r="661" spans="1:9" x14ac:dyDescent="0.4">
      <c r="A661" t="s">
        <v>61</v>
      </c>
      <c r="B661" s="1">
        <v>45200</v>
      </c>
      <c r="C661">
        <v>850153</v>
      </c>
      <c r="D661" t="s">
        <v>176</v>
      </c>
      <c r="E661">
        <v>200245</v>
      </c>
      <c r="F661">
        <v>2</v>
      </c>
      <c r="G661">
        <v>19893</v>
      </c>
      <c r="H661">
        <f>_xlfn.XLOOKUP(FACT_IMPORTS[[#This Row],[hts_6]],DIM_PRODUCTS[hts_6],DIM_PRODUCTS[hts_4],,,)</f>
        <v>8501</v>
      </c>
      <c r="I661" t="str" cm="1">
        <f t="array" ref="I661">_xlfn.XLOOKUP(FACT_IMPORTS[[#This Row],[country_name]],DIM_COUNTRY[[#All],[Column2]],DIM_COUNTRY[[#All],[Column3]],,,)</f>
        <v>USMCA</v>
      </c>
    </row>
    <row r="662" spans="1:9" x14ac:dyDescent="0.4">
      <c r="A662" t="s">
        <v>61</v>
      </c>
      <c r="B662" s="1">
        <v>45200</v>
      </c>
      <c r="C662">
        <v>850161</v>
      </c>
      <c r="D662" t="s">
        <v>176</v>
      </c>
      <c r="E662">
        <v>7263</v>
      </c>
      <c r="F662">
        <v>2</v>
      </c>
      <c r="G662">
        <v>2</v>
      </c>
      <c r="H662">
        <f>_xlfn.XLOOKUP(FACT_IMPORTS[[#This Row],[hts_6]],DIM_PRODUCTS[hts_6],DIM_PRODUCTS[hts_4],,,)</f>
        <v>8501</v>
      </c>
      <c r="I662" t="str" cm="1">
        <f t="array" ref="I662">_xlfn.XLOOKUP(FACT_IMPORTS[[#This Row],[country_name]],DIM_COUNTRY[[#All],[Column2]],DIM_COUNTRY[[#All],[Column3]],,,)</f>
        <v>USMCA</v>
      </c>
    </row>
    <row r="663" spans="1:9" x14ac:dyDescent="0.4">
      <c r="A663" t="s">
        <v>61</v>
      </c>
      <c r="B663" s="1">
        <v>45200</v>
      </c>
      <c r="C663">
        <v>850440</v>
      </c>
      <c r="D663" t="s">
        <v>176</v>
      </c>
      <c r="E663">
        <v>10331088</v>
      </c>
      <c r="F663">
        <v>49017</v>
      </c>
      <c r="G663">
        <v>96972</v>
      </c>
      <c r="H663">
        <f>_xlfn.XLOOKUP(FACT_IMPORTS[[#This Row],[hts_6]],DIM_PRODUCTS[hts_6],DIM_PRODUCTS[hts_4],,,)</f>
        <v>8504</v>
      </c>
      <c r="I663" t="str" cm="1">
        <f t="array" ref="I663">_xlfn.XLOOKUP(FACT_IMPORTS[[#This Row],[country_name]],DIM_COUNTRY[[#All],[Column2]],DIM_COUNTRY[[#All],[Column3]],,,)</f>
        <v>USMCA</v>
      </c>
    </row>
    <row r="664" spans="1:9" x14ac:dyDescent="0.4">
      <c r="A664" t="s">
        <v>61</v>
      </c>
      <c r="B664" s="1">
        <v>45200</v>
      </c>
      <c r="C664">
        <v>850710</v>
      </c>
      <c r="D664" t="s">
        <v>176</v>
      </c>
      <c r="E664">
        <v>748618</v>
      </c>
      <c r="F664">
        <v>1096</v>
      </c>
      <c r="G664">
        <v>42262</v>
      </c>
      <c r="H664">
        <f>_xlfn.XLOOKUP(FACT_IMPORTS[[#This Row],[hts_6]],DIM_PRODUCTS[hts_6],DIM_PRODUCTS[hts_4],,,)</f>
        <v>8507</v>
      </c>
      <c r="I664" t="str" cm="1">
        <f t="array" ref="I664">_xlfn.XLOOKUP(FACT_IMPORTS[[#This Row],[country_name]],DIM_COUNTRY[[#All],[Column2]],DIM_COUNTRY[[#All],[Column3]],,,)</f>
        <v>USMCA</v>
      </c>
    </row>
    <row r="665" spans="1:9" x14ac:dyDescent="0.4">
      <c r="A665" t="s">
        <v>61</v>
      </c>
      <c r="B665" s="1">
        <v>45200</v>
      </c>
      <c r="C665">
        <v>850760</v>
      </c>
      <c r="D665" t="s">
        <v>176</v>
      </c>
      <c r="E665">
        <v>4589455</v>
      </c>
      <c r="F665">
        <v>104809</v>
      </c>
      <c r="G665">
        <v>10315</v>
      </c>
      <c r="H665">
        <f>_xlfn.XLOOKUP(FACT_IMPORTS[[#This Row],[hts_6]],DIM_PRODUCTS[hts_6],DIM_PRODUCTS[hts_4],,,)</f>
        <v>8507</v>
      </c>
      <c r="I665" t="str" cm="1">
        <f t="array" ref="I665">_xlfn.XLOOKUP(FACT_IMPORTS[[#This Row],[country_name]],DIM_COUNTRY[[#All],[Column2]],DIM_COUNTRY[[#All],[Column3]],,,)</f>
        <v>USMCA</v>
      </c>
    </row>
    <row r="666" spans="1:9" x14ac:dyDescent="0.4">
      <c r="A666" t="s">
        <v>61</v>
      </c>
      <c r="B666" s="1">
        <v>45200</v>
      </c>
      <c r="C666">
        <v>850790</v>
      </c>
      <c r="D666" t="s">
        <v>176</v>
      </c>
      <c r="E666">
        <v>94168</v>
      </c>
      <c r="F666">
        <v>10831</v>
      </c>
      <c r="G666">
        <v>1138</v>
      </c>
      <c r="H666">
        <f>_xlfn.XLOOKUP(FACT_IMPORTS[[#This Row],[hts_6]],DIM_PRODUCTS[hts_6],DIM_PRODUCTS[hts_4],,,)</f>
        <v>8507</v>
      </c>
      <c r="I666" t="str" cm="1">
        <f t="array" ref="I666">_xlfn.XLOOKUP(FACT_IMPORTS[[#This Row],[country_name]],DIM_COUNTRY[[#All],[Column2]],DIM_COUNTRY[[#All],[Column3]],,,)</f>
        <v>USMCA</v>
      </c>
    </row>
    <row r="667" spans="1:9" x14ac:dyDescent="0.4">
      <c r="A667" t="s">
        <v>61</v>
      </c>
      <c r="B667" s="1">
        <v>45200</v>
      </c>
      <c r="C667">
        <v>851110</v>
      </c>
      <c r="D667" t="s">
        <v>176</v>
      </c>
      <c r="E667">
        <v>0</v>
      </c>
      <c r="F667">
        <v>0</v>
      </c>
      <c r="G667">
        <v>0</v>
      </c>
      <c r="H667">
        <f>_xlfn.XLOOKUP(FACT_IMPORTS[[#This Row],[hts_6]],DIM_PRODUCTS[hts_6],DIM_PRODUCTS[hts_4],,,)</f>
        <v>8511</v>
      </c>
      <c r="I667" t="str" cm="1">
        <f t="array" ref="I667">_xlfn.XLOOKUP(FACT_IMPORTS[[#This Row],[country_name]],DIM_COUNTRY[[#All],[Column2]],DIM_COUNTRY[[#All],[Column3]],,,)</f>
        <v>USMCA</v>
      </c>
    </row>
    <row r="668" spans="1:9" x14ac:dyDescent="0.4">
      <c r="A668" t="s">
        <v>61</v>
      </c>
      <c r="B668" s="1">
        <v>45200</v>
      </c>
      <c r="C668">
        <v>851120</v>
      </c>
      <c r="D668" t="s">
        <v>176</v>
      </c>
      <c r="E668">
        <v>0</v>
      </c>
      <c r="F668">
        <v>0</v>
      </c>
      <c r="G668">
        <v>0</v>
      </c>
      <c r="H668">
        <f>_xlfn.XLOOKUP(FACT_IMPORTS[[#This Row],[hts_6]],DIM_PRODUCTS[hts_6],DIM_PRODUCTS[hts_4],,,)</f>
        <v>8511</v>
      </c>
      <c r="I668" t="str" cm="1">
        <f t="array" ref="I668">_xlfn.XLOOKUP(FACT_IMPORTS[[#This Row],[country_name]],DIM_COUNTRY[[#All],[Column2]],DIM_COUNTRY[[#All],[Column3]],,,)</f>
        <v>USMCA</v>
      </c>
    </row>
    <row r="669" spans="1:9" x14ac:dyDescent="0.4">
      <c r="A669" t="s">
        <v>61</v>
      </c>
      <c r="B669" s="1">
        <v>45200</v>
      </c>
      <c r="C669">
        <v>851130</v>
      </c>
      <c r="D669" t="s">
        <v>176</v>
      </c>
      <c r="E669">
        <v>18355</v>
      </c>
      <c r="F669">
        <v>10200</v>
      </c>
      <c r="G669">
        <v>145</v>
      </c>
      <c r="H669">
        <f>_xlfn.XLOOKUP(FACT_IMPORTS[[#This Row],[hts_6]],DIM_PRODUCTS[hts_6],DIM_PRODUCTS[hts_4],,,)</f>
        <v>8511</v>
      </c>
      <c r="I669" t="str" cm="1">
        <f t="array" ref="I669">_xlfn.XLOOKUP(FACT_IMPORTS[[#This Row],[country_name]],DIM_COUNTRY[[#All],[Column2]],DIM_COUNTRY[[#All],[Column3]],,,)</f>
        <v>USMCA</v>
      </c>
    </row>
    <row r="670" spans="1:9" x14ac:dyDescent="0.4">
      <c r="A670" t="s">
        <v>61</v>
      </c>
      <c r="B670" s="1">
        <v>45200</v>
      </c>
      <c r="C670">
        <v>851140</v>
      </c>
      <c r="D670" t="s">
        <v>176</v>
      </c>
      <c r="E670">
        <v>587497</v>
      </c>
      <c r="F670">
        <v>16162</v>
      </c>
      <c r="G670">
        <v>10560</v>
      </c>
      <c r="H670">
        <f>_xlfn.XLOOKUP(FACT_IMPORTS[[#This Row],[hts_6]],DIM_PRODUCTS[hts_6],DIM_PRODUCTS[hts_4],,,)</f>
        <v>8511</v>
      </c>
      <c r="I670" t="str" cm="1">
        <f t="array" ref="I670">_xlfn.XLOOKUP(FACT_IMPORTS[[#This Row],[country_name]],DIM_COUNTRY[[#All],[Column2]],DIM_COUNTRY[[#All],[Column3]],,,)</f>
        <v>USMCA</v>
      </c>
    </row>
    <row r="671" spans="1:9" x14ac:dyDescent="0.4">
      <c r="A671" t="s">
        <v>61</v>
      </c>
      <c r="B671" s="1">
        <v>45200</v>
      </c>
      <c r="C671">
        <v>851150</v>
      </c>
      <c r="D671" t="s">
        <v>176</v>
      </c>
      <c r="E671">
        <v>635593</v>
      </c>
      <c r="F671">
        <v>12325</v>
      </c>
      <c r="G671">
        <v>3556</v>
      </c>
      <c r="H671">
        <f>_xlfn.XLOOKUP(FACT_IMPORTS[[#This Row],[hts_6]],DIM_PRODUCTS[hts_6],DIM_PRODUCTS[hts_4],,,)</f>
        <v>8511</v>
      </c>
      <c r="I671" t="str" cm="1">
        <f t="array" ref="I671">_xlfn.XLOOKUP(FACT_IMPORTS[[#This Row],[country_name]],DIM_COUNTRY[[#All],[Column2]],DIM_COUNTRY[[#All],[Column3]],,,)</f>
        <v>USMCA</v>
      </c>
    </row>
    <row r="672" spans="1:9" x14ac:dyDescent="0.4">
      <c r="A672" t="s">
        <v>61</v>
      </c>
      <c r="B672" s="1">
        <v>45200</v>
      </c>
      <c r="C672">
        <v>851180</v>
      </c>
      <c r="D672" t="s">
        <v>176</v>
      </c>
      <c r="E672">
        <v>3375</v>
      </c>
      <c r="F672">
        <v>45</v>
      </c>
      <c r="G672">
        <v>500</v>
      </c>
      <c r="H672">
        <f>_xlfn.XLOOKUP(FACT_IMPORTS[[#This Row],[hts_6]],DIM_PRODUCTS[hts_6],DIM_PRODUCTS[hts_4],,,)</f>
        <v>8511</v>
      </c>
      <c r="I672" t="str" cm="1">
        <f t="array" ref="I672">_xlfn.XLOOKUP(FACT_IMPORTS[[#This Row],[country_name]],DIM_COUNTRY[[#All],[Column2]],DIM_COUNTRY[[#All],[Column3]],,,)</f>
        <v>USMCA</v>
      </c>
    </row>
    <row r="673" spans="1:9" x14ac:dyDescent="0.4">
      <c r="A673" t="s">
        <v>61</v>
      </c>
      <c r="B673" s="1">
        <v>45200</v>
      </c>
      <c r="C673">
        <v>851190</v>
      </c>
      <c r="D673" t="s">
        <v>176</v>
      </c>
      <c r="E673">
        <v>659875</v>
      </c>
      <c r="F673">
        <v>7044</v>
      </c>
      <c r="G673">
        <v>2026</v>
      </c>
      <c r="H673">
        <f>_xlfn.XLOOKUP(FACT_IMPORTS[[#This Row],[hts_6]],DIM_PRODUCTS[hts_6],DIM_PRODUCTS[hts_4],,,)</f>
        <v>8511</v>
      </c>
      <c r="I673" t="str" cm="1">
        <f t="array" ref="I673">_xlfn.XLOOKUP(FACT_IMPORTS[[#This Row],[country_name]],DIM_COUNTRY[[#All],[Column2]],DIM_COUNTRY[[#All],[Column3]],,,)</f>
        <v>USMCA</v>
      </c>
    </row>
    <row r="674" spans="1:9" x14ac:dyDescent="0.4">
      <c r="A674" t="s">
        <v>61</v>
      </c>
      <c r="B674" s="1">
        <v>45200</v>
      </c>
      <c r="C674">
        <v>851220</v>
      </c>
      <c r="D674" t="s">
        <v>176</v>
      </c>
      <c r="E674">
        <v>20799218</v>
      </c>
      <c r="F674">
        <v>335936</v>
      </c>
      <c r="G674">
        <v>74683</v>
      </c>
      <c r="H674">
        <f>_xlfn.XLOOKUP(FACT_IMPORTS[[#This Row],[hts_6]],DIM_PRODUCTS[hts_6],DIM_PRODUCTS[hts_4],,,)</f>
        <v>8512</v>
      </c>
      <c r="I674" t="str" cm="1">
        <f t="array" ref="I674">_xlfn.XLOOKUP(FACT_IMPORTS[[#This Row],[country_name]],DIM_COUNTRY[[#All],[Column2]],DIM_COUNTRY[[#All],[Column3]],,,)</f>
        <v>USMCA</v>
      </c>
    </row>
    <row r="675" spans="1:9" x14ac:dyDescent="0.4">
      <c r="A675" t="s">
        <v>61</v>
      </c>
      <c r="B675" s="1">
        <v>45200</v>
      </c>
      <c r="C675">
        <v>851230</v>
      </c>
      <c r="D675" t="s">
        <v>176</v>
      </c>
      <c r="E675">
        <v>68355</v>
      </c>
      <c r="F675">
        <v>487</v>
      </c>
      <c r="G675">
        <v>639</v>
      </c>
      <c r="H675">
        <f>_xlfn.XLOOKUP(FACT_IMPORTS[[#This Row],[hts_6]],DIM_PRODUCTS[hts_6],DIM_PRODUCTS[hts_4],,,)</f>
        <v>8512</v>
      </c>
      <c r="I675" t="str" cm="1">
        <f t="array" ref="I675">_xlfn.XLOOKUP(FACT_IMPORTS[[#This Row],[country_name]],DIM_COUNTRY[[#All],[Column2]],DIM_COUNTRY[[#All],[Column3]],,,)</f>
        <v>USMCA</v>
      </c>
    </row>
    <row r="676" spans="1:9" x14ac:dyDescent="0.4">
      <c r="A676" t="s">
        <v>61</v>
      </c>
      <c r="B676" s="1">
        <v>45200</v>
      </c>
      <c r="C676">
        <v>851240</v>
      </c>
      <c r="D676" t="s">
        <v>176</v>
      </c>
      <c r="E676">
        <v>2714</v>
      </c>
      <c r="F676">
        <v>10</v>
      </c>
      <c r="G676">
        <v>4</v>
      </c>
      <c r="H676">
        <f>_xlfn.XLOOKUP(FACT_IMPORTS[[#This Row],[hts_6]],DIM_PRODUCTS[hts_6],DIM_PRODUCTS[hts_4],,,)</f>
        <v>8512</v>
      </c>
      <c r="I676" t="str" cm="1">
        <f t="array" ref="I676">_xlfn.XLOOKUP(FACT_IMPORTS[[#This Row],[country_name]],DIM_COUNTRY[[#All],[Column2]],DIM_COUNTRY[[#All],[Column3]],,,)</f>
        <v>USMCA</v>
      </c>
    </row>
    <row r="677" spans="1:9" x14ac:dyDescent="0.4">
      <c r="A677" t="s">
        <v>61</v>
      </c>
      <c r="B677" s="1">
        <v>45200</v>
      </c>
      <c r="C677">
        <v>851290</v>
      </c>
      <c r="D677" t="s">
        <v>176</v>
      </c>
      <c r="E677">
        <v>3101974</v>
      </c>
      <c r="F677">
        <v>66479</v>
      </c>
      <c r="G677">
        <v>13475</v>
      </c>
      <c r="H677">
        <f>_xlfn.XLOOKUP(FACT_IMPORTS[[#This Row],[hts_6]],DIM_PRODUCTS[hts_6],DIM_PRODUCTS[hts_4],,,)</f>
        <v>8512</v>
      </c>
      <c r="I677" t="str" cm="1">
        <f t="array" ref="I677">_xlfn.XLOOKUP(FACT_IMPORTS[[#This Row],[country_name]],DIM_COUNTRY[[#All],[Column2]],DIM_COUNTRY[[#All],[Column3]],,,)</f>
        <v>USMCA</v>
      </c>
    </row>
    <row r="678" spans="1:9" x14ac:dyDescent="0.4">
      <c r="A678" t="s">
        <v>61</v>
      </c>
      <c r="B678" s="1">
        <v>45200</v>
      </c>
      <c r="C678">
        <v>854231</v>
      </c>
      <c r="D678" t="s">
        <v>176</v>
      </c>
      <c r="E678">
        <v>2018442</v>
      </c>
      <c r="F678">
        <v>2638</v>
      </c>
      <c r="G678">
        <v>10954</v>
      </c>
      <c r="H678">
        <f>_xlfn.XLOOKUP(FACT_IMPORTS[[#This Row],[hts_6]],DIM_PRODUCTS[hts_6],DIM_PRODUCTS[hts_4],,,)</f>
        <v>8542</v>
      </c>
      <c r="I678" t="str" cm="1">
        <f t="array" ref="I678">_xlfn.XLOOKUP(FACT_IMPORTS[[#This Row],[country_name]],DIM_COUNTRY[[#All],[Column2]],DIM_COUNTRY[[#All],[Column3]],,,)</f>
        <v>USMCA</v>
      </c>
    </row>
    <row r="679" spans="1:9" x14ac:dyDescent="0.4">
      <c r="A679" t="s">
        <v>61</v>
      </c>
      <c r="B679" s="1">
        <v>45200</v>
      </c>
      <c r="C679">
        <v>854232</v>
      </c>
      <c r="D679" t="s">
        <v>176</v>
      </c>
      <c r="E679">
        <v>11330</v>
      </c>
      <c r="F679">
        <v>116</v>
      </c>
      <c r="G679">
        <v>69</v>
      </c>
      <c r="H679">
        <f>_xlfn.XLOOKUP(FACT_IMPORTS[[#This Row],[hts_6]],DIM_PRODUCTS[hts_6],DIM_PRODUCTS[hts_4],,,)</f>
        <v>8542</v>
      </c>
      <c r="I679" t="str" cm="1">
        <f t="array" ref="I679">_xlfn.XLOOKUP(FACT_IMPORTS[[#This Row],[country_name]],DIM_COUNTRY[[#All],[Column2]],DIM_COUNTRY[[#All],[Column3]],,,)</f>
        <v>USMCA</v>
      </c>
    </row>
    <row r="680" spans="1:9" x14ac:dyDescent="0.4">
      <c r="A680" t="s">
        <v>61</v>
      </c>
      <c r="B680" s="1">
        <v>45200</v>
      </c>
      <c r="C680">
        <v>854233</v>
      </c>
      <c r="D680" t="s">
        <v>176</v>
      </c>
      <c r="E680">
        <v>114509</v>
      </c>
      <c r="F680">
        <v>1046</v>
      </c>
      <c r="G680">
        <v>203</v>
      </c>
      <c r="H680">
        <f>_xlfn.XLOOKUP(FACT_IMPORTS[[#This Row],[hts_6]],DIM_PRODUCTS[hts_6],DIM_PRODUCTS[hts_4],,,)</f>
        <v>8542</v>
      </c>
      <c r="I680" t="str" cm="1">
        <f t="array" ref="I680">_xlfn.XLOOKUP(FACT_IMPORTS[[#This Row],[country_name]],DIM_COUNTRY[[#All],[Column2]],DIM_COUNTRY[[#All],[Column3]],,,)</f>
        <v>USMCA</v>
      </c>
    </row>
    <row r="681" spans="1:9" x14ac:dyDescent="0.4">
      <c r="A681" t="s">
        <v>61</v>
      </c>
      <c r="B681" s="1">
        <v>45200</v>
      </c>
      <c r="C681">
        <v>854239</v>
      </c>
      <c r="D681" t="s">
        <v>176</v>
      </c>
      <c r="E681">
        <v>105373</v>
      </c>
      <c r="F681">
        <v>138629</v>
      </c>
      <c r="G681">
        <v>334</v>
      </c>
      <c r="H681">
        <f>_xlfn.XLOOKUP(FACT_IMPORTS[[#This Row],[hts_6]],DIM_PRODUCTS[hts_6],DIM_PRODUCTS[hts_4],,,)</f>
        <v>8542</v>
      </c>
      <c r="I681" t="str" cm="1">
        <f t="array" ref="I681">_xlfn.XLOOKUP(FACT_IMPORTS[[#This Row],[country_name]],DIM_COUNTRY[[#All],[Column2]],DIM_COUNTRY[[#All],[Column3]],,,)</f>
        <v>USMCA</v>
      </c>
    </row>
    <row r="682" spans="1:9" x14ac:dyDescent="0.4">
      <c r="A682" t="s">
        <v>61</v>
      </c>
      <c r="B682" s="1">
        <v>45200</v>
      </c>
      <c r="C682">
        <v>854290</v>
      </c>
      <c r="D682" t="s">
        <v>176</v>
      </c>
      <c r="E682">
        <v>0</v>
      </c>
      <c r="F682">
        <v>0</v>
      </c>
      <c r="G682">
        <v>0</v>
      </c>
      <c r="H682">
        <f>_xlfn.XLOOKUP(FACT_IMPORTS[[#This Row],[hts_6]],DIM_PRODUCTS[hts_6],DIM_PRODUCTS[hts_4],,,)</f>
        <v>8542</v>
      </c>
      <c r="I682" t="str" cm="1">
        <f t="array" ref="I682">_xlfn.XLOOKUP(FACT_IMPORTS[[#This Row],[country_name]],DIM_COUNTRY[[#All],[Column2]],DIM_COUNTRY[[#All],[Column3]],,,)</f>
        <v>USMCA</v>
      </c>
    </row>
    <row r="683" spans="1:9" x14ac:dyDescent="0.4">
      <c r="A683" t="s">
        <v>61</v>
      </c>
      <c r="B683" s="1">
        <v>45200</v>
      </c>
      <c r="C683">
        <v>854430</v>
      </c>
      <c r="D683" t="s">
        <v>176</v>
      </c>
      <c r="E683">
        <v>1706392</v>
      </c>
      <c r="F683">
        <v>51777</v>
      </c>
      <c r="G683">
        <v>10494</v>
      </c>
      <c r="H683">
        <f>_xlfn.XLOOKUP(FACT_IMPORTS[[#This Row],[hts_6]],DIM_PRODUCTS[hts_6],DIM_PRODUCTS[hts_4],,,)</f>
        <v>8544</v>
      </c>
      <c r="I683" t="str" cm="1">
        <f t="array" ref="I683">_xlfn.XLOOKUP(FACT_IMPORTS[[#This Row],[country_name]],DIM_COUNTRY[[#All],[Column2]],DIM_COUNTRY[[#All],[Column3]],,,)</f>
        <v>USMCA</v>
      </c>
    </row>
    <row r="684" spans="1:9" x14ac:dyDescent="0.4">
      <c r="A684" t="s">
        <v>61</v>
      </c>
      <c r="B684" s="1">
        <v>45200</v>
      </c>
      <c r="C684">
        <v>870710</v>
      </c>
      <c r="D684" t="s">
        <v>176</v>
      </c>
      <c r="E684">
        <v>0</v>
      </c>
      <c r="F684">
        <v>0</v>
      </c>
      <c r="G684">
        <v>0</v>
      </c>
      <c r="H684">
        <f>_xlfn.XLOOKUP(FACT_IMPORTS[[#This Row],[hts_6]],DIM_PRODUCTS[hts_6],DIM_PRODUCTS[hts_4],,,)</f>
        <v>8707</v>
      </c>
      <c r="I684" t="str" cm="1">
        <f t="array" ref="I684">_xlfn.XLOOKUP(FACT_IMPORTS[[#This Row],[country_name]],DIM_COUNTRY[[#All],[Column2]],DIM_COUNTRY[[#All],[Column3]],,,)</f>
        <v>USMCA</v>
      </c>
    </row>
    <row r="685" spans="1:9" x14ac:dyDescent="0.4">
      <c r="A685" t="s">
        <v>61</v>
      </c>
      <c r="B685" s="1">
        <v>45200</v>
      </c>
      <c r="C685">
        <v>870790</v>
      </c>
      <c r="D685" t="s">
        <v>176</v>
      </c>
      <c r="E685">
        <v>4537363</v>
      </c>
      <c r="F685">
        <v>287</v>
      </c>
      <c r="G685">
        <v>20424</v>
      </c>
      <c r="H685">
        <f>_xlfn.XLOOKUP(FACT_IMPORTS[[#This Row],[hts_6]],DIM_PRODUCTS[hts_6],DIM_PRODUCTS[hts_4],,,)</f>
        <v>8707</v>
      </c>
      <c r="I685" t="str" cm="1">
        <f t="array" ref="I685">_xlfn.XLOOKUP(FACT_IMPORTS[[#This Row],[country_name]],DIM_COUNTRY[[#All],[Column2]],DIM_COUNTRY[[#All],[Column3]],,,)</f>
        <v>USMCA</v>
      </c>
    </row>
    <row r="686" spans="1:9" x14ac:dyDescent="0.4">
      <c r="A686" t="s">
        <v>61</v>
      </c>
      <c r="B686" s="1">
        <v>45200</v>
      </c>
      <c r="C686">
        <v>870810</v>
      </c>
      <c r="D686" t="s">
        <v>176</v>
      </c>
      <c r="E686">
        <v>21152131</v>
      </c>
      <c r="F686">
        <v>826354</v>
      </c>
      <c r="G686">
        <v>373676</v>
      </c>
      <c r="H686">
        <f>_xlfn.XLOOKUP(FACT_IMPORTS[[#This Row],[hts_6]],DIM_PRODUCTS[hts_6],DIM_PRODUCTS[hts_4],,,)</f>
        <v>8708</v>
      </c>
      <c r="I686" t="str" cm="1">
        <f t="array" ref="I686">_xlfn.XLOOKUP(FACT_IMPORTS[[#This Row],[country_name]],DIM_COUNTRY[[#All],[Column2]],DIM_COUNTRY[[#All],[Column3]],,,)</f>
        <v>USMCA</v>
      </c>
    </row>
    <row r="687" spans="1:9" x14ac:dyDescent="0.4">
      <c r="A687" t="s">
        <v>61</v>
      </c>
      <c r="B687" s="1">
        <v>45200</v>
      </c>
      <c r="C687">
        <v>870821</v>
      </c>
      <c r="D687" t="s">
        <v>176</v>
      </c>
      <c r="E687">
        <v>170947</v>
      </c>
      <c r="F687">
        <v>8425</v>
      </c>
      <c r="G687">
        <v>2067</v>
      </c>
      <c r="H687">
        <f>_xlfn.XLOOKUP(FACT_IMPORTS[[#This Row],[hts_6]],DIM_PRODUCTS[hts_6],DIM_PRODUCTS[hts_4],,,)</f>
        <v>8708</v>
      </c>
      <c r="I687" t="str" cm="1">
        <f t="array" ref="I687">_xlfn.XLOOKUP(FACT_IMPORTS[[#This Row],[country_name]],DIM_COUNTRY[[#All],[Column2]],DIM_COUNTRY[[#All],[Column3]],,,)</f>
        <v>USMCA</v>
      </c>
    </row>
    <row r="688" spans="1:9" x14ac:dyDescent="0.4">
      <c r="A688" t="s">
        <v>61</v>
      </c>
      <c r="B688" s="1">
        <v>45200</v>
      </c>
      <c r="C688">
        <v>870822</v>
      </c>
      <c r="D688" t="s">
        <v>176</v>
      </c>
      <c r="E688">
        <v>6718814</v>
      </c>
      <c r="F688">
        <v>117689</v>
      </c>
      <c r="G688">
        <v>177606</v>
      </c>
      <c r="H688">
        <f>_xlfn.XLOOKUP(FACT_IMPORTS[[#This Row],[hts_6]],DIM_PRODUCTS[hts_6],DIM_PRODUCTS[hts_4],,,)</f>
        <v>8708</v>
      </c>
      <c r="I688" t="str" cm="1">
        <f t="array" ref="I688">_xlfn.XLOOKUP(FACT_IMPORTS[[#This Row],[country_name]],DIM_COUNTRY[[#All],[Column2]],DIM_COUNTRY[[#All],[Column3]],,,)</f>
        <v>USMCA</v>
      </c>
    </row>
    <row r="689" spans="1:9" x14ac:dyDescent="0.4">
      <c r="A689" t="s">
        <v>61</v>
      </c>
      <c r="B689" s="1">
        <v>45200</v>
      </c>
      <c r="C689">
        <v>870829</v>
      </c>
      <c r="D689" t="s">
        <v>176</v>
      </c>
      <c r="E689">
        <v>344268288</v>
      </c>
      <c r="F689">
        <v>54059493</v>
      </c>
      <c r="G689">
        <v>8142665</v>
      </c>
      <c r="H689">
        <f>_xlfn.XLOOKUP(FACT_IMPORTS[[#This Row],[hts_6]],DIM_PRODUCTS[hts_6],DIM_PRODUCTS[hts_4],,,)</f>
        <v>8708</v>
      </c>
      <c r="I689" t="str" cm="1">
        <f t="array" ref="I689">_xlfn.XLOOKUP(FACT_IMPORTS[[#This Row],[country_name]],DIM_COUNTRY[[#All],[Column2]],DIM_COUNTRY[[#All],[Column3]],,,)</f>
        <v>USMCA</v>
      </c>
    </row>
    <row r="690" spans="1:9" x14ac:dyDescent="0.4">
      <c r="A690" t="s">
        <v>61</v>
      </c>
      <c r="B690" s="1">
        <v>45200</v>
      </c>
      <c r="C690">
        <v>870830</v>
      </c>
      <c r="D690" t="s">
        <v>176</v>
      </c>
      <c r="E690">
        <v>13930693</v>
      </c>
      <c r="F690">
        <v>3635066</v>
      </c>
      <c r="G690">
        <v>165009</v>
      </c>
      <c r="H690">
        <f>_xlfn.XLOOKUP(FACT_IMPORTS[[#This Row],[hts_6]],DIM_PRODUCTS[hts_6],DIM_PRODUCTS[hts_4],,,)</f>
        <v>8708</v>
      </c>
      <c r="I690" t="str" cm="1">
        <f t="array" ref="I690">_xlfn.XLOOKUP(FACT_IMPORTS[[#This Row],[country_name]],DIM_COUNTRY[[#All],[Column2]],DIM_COUNTRY[[#All],[Column3]],,,)</f>
        <v>USMCA</v>
      </c>
    </row>
    <row r="691" spans="1:9" x14ac:dyDescent="0.4">
      <c r="A691" t="s">
        <v>61</v>
      </c>
      <c r="B691" s="1">
        <v>45200</v>
      </c>
      <c r="C691">
        <v>870840</v>
      </c>
      <c r="D691" t="s">
        <v>176</v>
      </c>
      <c r="E691">
        <v>89037201</v>
      </c>
      <c r="F691">
        <v>3955667</v>
      </c>
      <c r="G691">
        <v>490064</v>
      </c>
      <c r="H691">
        <f>_xlfn.XLOOKUP(FACT_IMPORTS[[#This Row],[hts_6]],DIM_PRODUCTS[hts_6],DIM_PRODUCTS[hts_4],,,)</f>
        <v>8708</v>
      </c>
      <c r="I691" t="str" cm="1">
        <f t="array" ref="I691">_xlfn.XLOOKUP(FACT_IMPORTS[[#This Row],[country_name]],DIM_COUNTRY[[#All],[Column2]],DIM_COUNTRY[[#All],[Column3]],,,)</f>
        <v>USMCA</v>
      </c>
    </row>
    <row r="692" spans="1:9" x14ac:dyDescent="0.4">
      <c r="A692" t="s">
        <v>61</v>
      </c>
      <c r="B692" s="1">
        <v>45200</v>
      </c>
      <c r="C692">
        <v>870850</v>
      </c>
      <c r="D692" t="s">
        <v>176</v>
      </c>
      <c r="E692">
        <v>30046346</v>
      </c>
      <c r="F692">
        <v>1348267</v>
      </c>
      <c r="G692">
        <v>194300</v>
      </c>
      <c r="H692">
        <f>_xlfn.XLOOKUP(FACT_IMPORTS[[#This Row],[hts_6]],DIM_PRODUCTS[hts_6],DIM_PRODUCTS[hts_4],,,)</f>
        <v>8708</v>
      </c>
      <c r="I692" t="str" cm="1">
        <f t="array" ref="I692">_xlfn.XLOOKUP(FACT_IMPORTS[[#This Row],[country_name]],DIM_COUNTRY[[#All],[Column2]],DIM_COUNTRY[[#All],[Column3]],,,)</f>
        <v>USMCA</v>
      </c>
    </row>
    <row r="693" spans="1:9" x14ac:dyDescent="0.4">
      <c r="A693" t="s">
        <v>61</v>
      </c>
      <c r="B693" s="1">
        <v>45200</v>
      </c>
      <c r="C693">
        <v>870870</v>
      </c>
      <c r="D693" t="s">
        <v>176</v>
      </c>
      <c r="E693">
        <v>10417455</v>
      </c>
      <c r="F693">
        <v>8946050</v>
      </c>
      <c r="G693">
        <v>123800</v>
      </c>
      <c r="H693">
        <f>_xlfn.XLOOKUP(FACT_IMPORTS[[#This Row],[hts_6]],DIM_PRODUCTS[hts_6],DIM_PRODUCTS[hts_4],,,)</f>
        <v>8708</v>
      </c>
      <c r="I693" t="str" cm="1">
        <f t="array" ref="I693">_xlfn.XLOOKUP(FACT_IMPORTS[[#This Row],[country_name]],DIM_COUNTRY[[#All],[Column2]],DIM_COUNTRY[[#All],[Column3]],,,)</f>
        <v>USMCA</v>
      </c>
    </row>
    <row r="694" spans="1:9" x14ac:dyDescent="0.4">
      <c r="A694" t="s">
        <v>61</v>
      </c>
      <c r="B694" s="1">
        <v>45200</v>
      </c>
      <c r="C694">
        <v>870880</v>
      </c>
      <c r="D694" t="s">
        <v>176</v>
      </c>
      <c r="E694">
        <v>52608984</v>
      </c>
      <c r="F694">
        <v>3148773</v>
      </c>
      <c r="G694">
        <v>1305794</v>
      </c>
      <c r="H694">
        <f>_xlfn.XLOOKUP(FACT_IMPORTS[[#This Row],[hts_6]],DIM_PRODUCTS[hts_6],DIM_PRODUCTS[hts_4],,,)</f>
        <v>8708</v>
      </c>
      <c r="I694" t="str" cm="1">
        <f t="array" ref="I694">_xlfn.XLOOKUP(FACT_IMPORTS[[#This Row],[country_name]],DIM_COUNTRY[[#All],[Column2]],DIM_COUNTRY[[#All],[Column3]],,,)</f>
        <v>USMCA</v>
      </c>
    </row>
    <row r="695" spans="1:9" x14ac:dyDescent="0.4">
      <c r="A695" t="s">
        <v>61</v>
      </c>
      <c r="B695" s="1">
        <v>45200</v>
      </c>
      <c r="C695">
        <v>870891</v>
      </c>
      <c r="D695" t="s">
        <v>176</v>
      </c>
      <c r="E695">
        <v>14405243</v>
      </c>
      <c r="F695">
        <v>405426</v>
      </c>
      <c r="G695">
        <v>267225</v>
      </c>
      <c r="H695">
        <f>_xlfn.XLOOKUP(FACT_IMPORTS[[#This Row],[hts_6]],DIM_PRODUCTS[hts_6],DIM_PRODUCTS[hts_4],,,)</f>
        <v>8708</v>
      </c>
      <c r="I695" t="str" cm="1">
        <f t="array" ref="I695">_xlfn.XLOOKUP(FACT_IMPORTS[[#This Row],[country_name]],DIM_COUNTRY[[#All],[Column2]],DIM_COUNTRY[[#All],[Column3]],,,)</f>
        <v>USMCA</v>
      </c>
    </row>
    <row r="696" spans="1:9" x14ac:dyDescent="0.4">
      <c r="A696" t="s">
        <v>61</v>
      </c>
      <c r="B696" s="1">
        <v>45200</v>
      </c>
      <c r="C696">
        <v>870892</v>
      </c>
      <c r="D696" t="s">
        <v>176</v>
      </c>
      <c r="E696">
        <v>19686943</v>
      </c>
      <c r="F696">
        <v>1193034</v>
      </c>
      <c r="G696">
        <v>369460</v>
      </c>
      <c r="H696">
        <f>_xlfn.XLOOKUP(FACT_IMPORTS[[#This Row],[hts_6]],DIM_PRODUCTS[hts_6],DIM_PRODUCTS[hts_4],,,)</f>
        <v>8708</v>
      </c>
      <c r="I696" t="str" cm="1">
        <f t="array" ref="I696">_xlfn.XLOOKUP(FACT_IMPORTS[[#This Row],[country_name]],DIM_COUNTRY[[#All],[Column2]],DIM_COUNTRY[[#All],[Column3]],,,)</f>
        <v>USMCA</v>
      </c>
    </row>
    <row r="697" spans="1:9" x14ac:dyDescent="0.4">
      <c r="A697" t="s">
        <v>61</v>
      </c>
      <c r="B697" s="1">
        <v>45200</v>
      </c>
      <c r="C697">
        <v>870893</v>
      </c>
      <c r="D697" t="s">
        <v>176</v>
      </c>
      <c r="E697">
        <v>44795580</v>
      </c>
      <c r="F697">
        <v>1414568</v>
      </c>
      <c r="G697">
        <v>142906</v>
      </c>
      <c r="H697">
        <f>_xlfn.XLOOKUP(FACT_IMPORTS[[#This Row],[hts_6]],DIM_PRODUCTS[hts_6],DIM_PRODUCTS[hts_4],,,)</f>
        <v>8708</v>
      </c>
      <c r="I697" t="str" cm="1">
        <f t="array" ref="I697">_xlfn.XLOOKUP(FACT_IMPORTS[[#This Row],[country_name]],DIM_COUNTRY[[#All],[Column2]],DIM_COUNTRY[[#All],[Column3]],,,)</f>
        <v>USMCA</v>
      </c>
    </row>
    <row r="698" spans="1:9" x14ac:dyDescent="0.4">
      <c r="A698" t="s">
        <v>61</v>
      </c>
      <c r="B698" s="1">
        <v>45200</v>
      </c>
      <c r="C698">
        <v>870894</v>
      </c>
      <c r="D698" t="s">
        <v>176</v>
      </c>
      <c r="E698">
        <v>7571229</v>
      </c>
      <c r="F698">
        <v>1513197</v>
      </c>
      <c r="G698">
        <v>97503</v>
      </c>
      <c r="H698">
        <f>_xlfn.XLOOKUP(FACT_IMPORTS[[#This Row],[hts_6]],DIM_PRODUCTS[hts_6],DIM_PRODUCTS[hts_4],,,)</f>
        <v>8708</v>
      </c>
      <c r="I698" t="str" cm="1">
        <f t="array" ref="I698">_xlfn.XLOOKUP(FACT_IMPORTS[[#This Row],[country_name]],DIM_COUNTRY[[#All],[Column2]],DIM_COUNTRY[[#All],[Column3]],,,)</f>
        <v>USMCA</v>
      </c>
    </row>
    <row r="699" spans="1:9" x14ac:dyDescent="0.4">
      <c r="A699" t="s">
        <v>61</v>
      </c>
      <c r="B699" s="1">
        <v>45200</v>
      </c>
      <c r="C699">
        <v>870895</v>
      </c>
      <c r="D699" t="s">
        <v>176</v>
      </c>
      <c r="E699">
        <v>2138474</v>
      </c>
      <c r="F699">
        <v>1313123</v>
      </c>
      <c r="G699">
        <v>11717</v>
      </c>
      <c r="H699">
        <f>_xlfn.XLOOKUP(FACT_IMPORTS[[#This Row],[hts_6]],DIM_PRODUCTS[hts_6],DIM_PRODUCTS[hts_4],,,)</f>
        <v>8708</v>
      </c>
      <c r="I699" t="str" cm="1">
        <f t="array" ref="I699">_xlfn.XLOOKUP(FACT_IMPORTS[[#This Row],[country_name]],DIM_COUNTRY[[#All],[Column2]],DIM_COUNTRY[[#All],[Column3]],,,)</f>
        <v>USMCA</v>
      </c>
    </row>
    <row r="700" spans="1:9" x14ac:dyDescent="0.4">
      <c r="A700" t="s">
        <v>61</v>
      </c>
      <c r="B700" s="1">
        <v>45200</v>
      </c>
      <c r="C700">
        <v>870899</v>
      </c>
      <c r="D700" t="s">
        <v>176</v>
      </c>
      <c r="E700">
        <v>158486634</v>
      </c>
      <c r="F700">
        <v>15387465</v>
      </c>
      <c r="G700">
        <v>2196561</v>
      </c>
      <c r="H700">
        <f>_xlfn.XLOOKUP(FACT_IMPORTS[[#This Row],[hts_6]],DIM_PRODUCTS[hts_6],DIM_PRODUCTS[hts_4],,,)</f>
        <v>8708</v>
      </c>
      <c r="I700" t="str" cm="1">
        <f t="array" ref="I700">_xlfn.XLOOKUP(FACT_IMPORTS[[#This Row],[country_name]],DIM_COUNTRY[[#All],[Column2]],DIM_COUNTRY[[#All],[Column3]],,,)</f>
        <v>USMCA</v>
      </c>
    </row>
    <row r="701" spans="1:9" x14ac:dyDescent="0.4">
      <c r="A701" t="s">
        <v>61</v>
      </c>
      <c r="B701" s="1">
        <v>45200</v>
      </c>
      <c r="C701">
        <v>940120</v>
      </c>
      <c r="D701" t="s">
        <v>176</v>
      </c>
      <c r="E701">
        <v>565626</v>
      </c>
      <c r="F701">
        <v>2897</v>
      </c>
      <c r="G701">
        <v>7506</v>
      </c>
      <c r="H701">
        <f>_xlfn.XLOOKUP(FACT_IMPORTS[[#This Row],[hts_6]],DIM_PRODUCTS[hts_6],DIM_PRODUCTS[hts_4],,,)</f>
        <v>9401</v>
      </c>
      <c r="I701" t="str" cm="1">
        <f t="array" ref="I701">_xlfn.XLOOKUP(FACT_IMPORTS[[#This Row],[country_name]],DIM_COUNTRY[[#All],[Column2]],DIM_COUNTRY[[#All],[Column3]],,,)</f>
        <v>USMCA</v>
      </c>
    </row>
    <row r="702" spans="1:9" x14ac:dyDescent="0.4">
      <c r="A702" t="s">
        <v>61</v>
      </c>
      <c r="B702" s="1">
        <v>45231</v>
      </c>
      <c r="C702">
        <v>392630</v>
      </c>
      <c r="D702" t="s">
        <v>176</v>
      </c>
      <c r="E702">
        <v>3623952</v>
      </c>
      <c r="F702">
        <v>290226</v>
      </c>
      <c r="G702">
        <v>170781</v>
      </c>
      <c r="H702">
        <f>_xlfn.XLOOKUP(FACT_IMPORTS[[#This Row],[hts_6]],DIM_PRODUCTS[hts_6],DIM_PRODUCTS[hts_4],,,)</f>
        <v>3926</v>
      </c>
      <c r="I702" t="str" cm="1">
        <f t="array" ref="I702">_xlfn.XLOOKUP(FACT_IMPORTS[[#This Row],[country_name]],DIM_COUNTRY[[#All],[Column2]],DIM_COUNTRY[[#All],[Column3]],,,)</f>
        <v>USMCA</v>
      </c>
    </row>
    <row r="703" spans="1:9" x14ac:dyDescent="0.4">
      <c r="A703" t="s">
        <v>61</v>
      </c>
      <c r="B703" s="1">
        <v>45231</v>
      </c>
      <c r="C703">
        <v>401110</v>
      </c>
      <c r="D703" t="s">
        <v>176</v>
      </c>
      <c r="E703">
        <v>45390979</v>
      </c>
      <c r="F703">
        <v>709139</v>
      </c>
      <c r="G703">
        <v>413003</v>
      </c>
      <c r="H703">
        <f>_xlfn.XLOOKUP(FACT_IMPORTS[[#This Row],[hts_6]],DIM_PRODUCTS[hts_6],DIM_PRODUCTS[hts_4],,,)</f>
        <v>4011</v>
      </c>
      <c r="I703" t="str" cm="1">
        <f t="array" ref="I703">_xlfn.XLOOKUP(FACT_IMPORTS[[#This Row],[country_name]],DIM_COUNTRY[[#All],[Column2]],DIM_COUNTRY[[#All],[Column3]],,,)</f>
        <v>USMCA</v>
      </c>
    </row>
    <row r="704" spans="1:9" x14ac:dyDescent="0.4">
      <c r="A704" t="s">
        <v>61</v>
      </c>
      <c r="B704" s="1">
        <v>45231</v>
      </c>
      <c r="C704">
        <v>401120</v>
      </c>
      <c r="D704" t="s">
        <v>176</v>
      </c>
      <c r="E704">
        <v>57323266</v>
      </c>
      <c r="F704">
        <v>376541</v>
      </c>
      <c r="G704">
        <v>523234</v>
      </c>
      <c r="H704">
        <f>_xlfn.XLOOKUP(FACT_IMPORTS[[#This Row],[hts_6]],DIM_PRODUCTS[hts_6],DIM_PRODUCTS[hts_4],,,)</f>
        <v>4011</v>
      </c>
      <c r="I704" t="str" cm="1">
        <f t="array" ref="I704">_xlfn.XLOOKUP(FACT_IMPORTS[[#This Row],[country_name]],DIM_COUNTRY[[#All],[Column2]],DIM_COUNTRY[[#All],[Column3]],,,)</f>
        <v>USMCA</v>
      </c>
    </row>
    <row r="705" spans="1:9" x14ac:dyDescent="0.4">
      <c r="A705" t="s">
        <v>61</v>
      </c>
      <c r="B705" s="1">
        <v>45231</v>
      </c>
      <c r="C705">
        <v>401140</v>
      </c>
      <c r="D705" t="s">
        <v>176</v>
      </c>
      <c r="E705">
        <v>0</v>
      </c>
      <c r="F705">
        <v>0</v>
      </c>
      <c r="G705">
        <v>0</v>
      </c>
      <c r="H705">
        <f>_xlfn.XLOOKUP(FACT_IMPORTS[[#This Row],[hts_6]],DIM_PRODUCTS[hts_6],DIM_PRODUCTS[hts_4],,,)</f>
        <v>4011</v>
      </c>
      <c r="I705" t="str" cm="1">
        <f t="array" ref="I705">_xlfn.XLOOKUP(FACT_IMPORTS[[#This Row],[country_name]],DIM_COUNTRY[[#All],[Column2]],DIM_COUNTRY[[#All],[Column3]],,,)</f>
        <v>USMCA</v>
      </c>
    </row>
    <row r="706" spans="1:9" x14ac:dyDescent="0.4">
      <c r="A706" t="s">
        <v>61</v>
      </c>
      <c r="B706" s="1">
        <v>45231</v>
      </c>
      <c r="C706">
        <v>401190</v>
      </c>
      <c r="D706" t="s">
        <v>176</v>
      </c>
      <c r="E706">
        <v>33907</v>
      </c>
      <c r="F706">
        <v>120</v>
      </c>
      <c r="G706">
        <v>35</v>
      </c>
      <c r="H706">
        <f>_xlfn.XLOOKUP(FACT_IMPORTS[[#This Row],[hts_6]],DIM_PRODUCTS[hts_6],DIM_PRODUCTS[hts_4],,,)</f>
        <v>4011</v>
      </c>
      <c r="I706" t="str" cm="1">
        <f t="array" ref="I706">_xlfn.XLOOKUP(FACT_IMPORTS[[#This Row],[country_name]],DIM_COUNTRY[[#All],[Column2]],DIM_COUNTRY[[#All],[Column3]],,,)</f>
        <v>USMCA</v>
      </c>
    </row>
    <row r="707" spans="1:9" x14ac:dyDescent="0.4">
      <c r="A707" t="s">
        <v>61</v>
      </c>
      <c r="B707" s="1">
        <v>45231</v>
      </c>
      <c r="C707">
        <v>700711</v>
      </c>
      <c r="D707" t="s">
        <v>176</v>
      </c>
      <c r="E707">
        <v>605593</v>
      </c>
      <c r="F707">
        <v>1660</v>
      </c>
      <c r="G707">
        <v>13171</v>
      </c>
      <c r="H707">
        <f>_xlfn.XLOOKUP(FACT_IMPORTS[[#This Row],[hts_6]],DIM_PRODUCTS[hts_6],DIM_PRODUCTS[hts_4],,,)</f>
        <v>7007</v>
      </c>
      <c r="I707" t="str" cm="1">
        <f t="array" ref="I707">_xlfn.XLOOKUP(FACT_IMPORTS[[#This Row],[country_name]],DIM_COUNTRY[[#All],[Column2]],DIM_COUNTRY[[#All],[Column3]],,,)</f>
        <v>USMCA</v>
      </c>
    </row>
    <row r="708" spans="1:9" x14ac:dyDescent="0.4">
      <c r="A708" t="s">
        <v>61</v>
      </c>
      <c r="B708" s="1">
        <v>45231</v>
      </c>
      <c r="C708">
        <v>700721</v>
      </c>
      <c r="D708" t="s">
        <v>176</v>
      </c>
      <c r="E708">
        <v>27875</v>
      </c>
      <c r="F708">
        <v>114</v>
      </c>
      <c r="G708">
        <v>461</v>
      </c>
      <c r="H708">
        <f>_xlfn.XLOOKUP(FACT_IMPORTS[[#This Row],[hts_6]],DIM_PRODUCTS[hts_6],DIM_PRODUCTS[hts_4],,,)</f>
        <v>7007</v>
      </c>
      <c r="I708" t="str" cm="1">
        <f t="array" ref="I708">_xlfn.XLOOKUP(FACT_IMPORTS[[#This Row],[country_name]],DIM_COUNTRY[[#All],[Column2]],DIM_COUNTRY[[#All],[Column3]],,,)</f>
        <v>USMCA</v>
      </c>
    </row>
    <row r="709" spans="1:9" x14ac:dyDescent="0.4">
      <c r="A709" t="s">
        <v>61</v>
      </c>
      <c r="B709" s="1">
        <v>45231</v>
      </c>
      <c r="C709">
        <v>700910</v>
      </c>
      <c r="D709" t="s">
        <v>176</v>
      </c>
      <c r="E709">
        <v>205811</v>
      </c>
      <c r="F709">
        <v>3110</v>
      </c>
      <c r="G709">
        <v>1626</v>
      </c>
      <c r="H709">
        <f>_xlfn.XLOOKUP(FACT_IMPORTS[[#This Row],[hts_6]],DIM_PRODUCTS[hts_6],DIM_PRODUCTS[hts_4],,,)</f>
        <v>7009</v>
      </c>
      <c r="I709" t="str" cm="1">
        <f t="array" ref="I709">_xlfn.XLOOKUP(FACT_IMPORTS[[#This Row],[country_name]],DIM_COUNTRY[[#All],[Column2]],DIM_COUNTRY[[#All],[Column3]],,,)</f>
        <v>USMCA</v>
      </c>
    </row>
    <row r="710" spans="1:9" x14ac:dyDescent="0.4">
      <c r="A710" t="s">
        <v>61</v>
      </c>
      <c r="B710" s="1">
        <v>45231</v>
      </c>
      <c r="C710">
        <v>732010</v>
      </c>
      <c r="D710" t="s">
        <v>176</v>
      </c>
      <c r="E710">
        <v>3897229</v>
      </c>
      <c r="F710">
        <v>1168162</v>
      </c>
      <c r="G710">
        <v>31039</v>
      </c>
      <c r="H710">
        <f>_xlfn.XLOOKUP(FACT_IMPORTS[[#This Row],[hts_6]],DIM_PRODUCTS[hts_6],DIM_PRODUCTS[hts_4],,,)</f>
        <v>7320</v>
      </c>
      <c r="I710" t="str" cm="1">
        <f t="array" ref="I710">_xlfn.XLOOKUP(FACT_IMPORTS[[#This Row],[country_name]],DIM_COUNTRY[[#All],[Column2]],DIM_COUNTRY[[#All],[Column3]],,,)</f>
        <v>USMCA</v>
      </c>
    </row>
    <row r="711" spans="1:9" x14ac:dyDescent="0.4">
      <c r="A711" t="s">
        <v>61</v>
      </c>
      <c r="B711" s="1">
        <v>45231</v>
      </c>
      <c r="C711">
        <v>830230</v>
      </c>
      <c r="D711" t="s">
        <v>176</v>
      </c>
      <c r="E711">
        <v>36376704</v>
      </c>
      <c r="F711">
        <v>7792229</v>
      </c>
      <c r="G711">
        <v>1358162</v>
      </c>
      <c r="H711">
        <f>_xlfn.XLOOKUP(FACT_IMPORTS[[#This Row],[hts_6]],DIM_PRODUCTS[hts_6],DIM_PRODUCTS[hts_4],,,)</f>
        <v>8302</v>
      </c>
      <c r="I711" t="str" cm="1">
        <f t="array" ref="I711">_xlfn.XLOOKUP(FACT_IMPORTS[[#This Row],[country_name]],DIM_COUNTRY[[#All],[Column2]],DIM_COUNTRY[[#All],[Column3]],,,)</f>
        <v>USMCA</v>
      </c>
    </row>
    <row r="712" spans="1:9" x14ac:dyDescent="0.4">
      <c r="A712" t="s">
        <v>61</v>
      </c>
      <c r="B712" s="1">
        <v>45231</v>
      </c>
      <c r="C712">
        <v>840731</v>
      </c>
      <c r="D712" t="s">
        <v>176</v>
      </c>
      <c r="E712">
        <v>0</v>
      </c>
      <c r="F712">
        <v>0</v>
      </c>
      <c r="G712">
        <v>0</v>
      </c>
      <c r="H712">
        <f>_xlfn.XLOOKUP(FACT_IMPORTS[[#This Row],[hts_6]],DIM_PRODUCTS[hts_6],DIM_PRODUCTS[hts_4],,,)</f>
        <v>8407</v>
      </c>
      <c r="I712" t="str" cm="1">
        <f t="array" ref="I712">_xlfn.XLOOKUP(FACT_IMPORTS[[#This Row],[country_name]],DIM_COUNTRY[[#All],[Column2]],DIM_COUNTRY[[#All],[Column3]],,,)</f>
        <v>USMCA</v>
      </c>
    </row>
    <row r="713" spans="1:9" x14ac:dyDescent="0.4">
      <c r="A713" t="s">
        <v>61</v>
      </c>
      <c r="B713" s="1">
        <v>45231</v>
      </c>
      <c r="C713">
        <v>840733</v>
      </c>
      <c r="D713" t="s">
        <v>176</v>
      </c>
      <c r="E713">
        <v>0</v>
      </c>
      <c r="F713">
        <v>0</v>
      </c>
      <c r="G713">
        <v>0</v>
      </c>
      <c r="H713">
        <f>_xlfn.XLOOKUP(FACT_IMPORTS[[#This Row],[hts_6]],DIM_PRODUCTS[hts_6],DIM_PRODUCTS[hts_4],,,)</f>
        <v>8407</v>
      </c>
      <c r="I713" t="str" cm="1">
        <f t="array" ref="I713">_xlfn.XLOOKUP(FACT_IMPORTS[[#This Row],[country_name]],DIM_COUNTRY[[#All],[Column2]],DIM_COUNTRY[[#All],[Column3]],,,)</f>
        <v>USMCA</v>
      </c>
    </row>
    <row r="714" spans="1:9" x14ac:dyDescent="0.4">
      <c r="A714" t="s">
        <v>61</v>
      </c>
      <c r="B714" s="1">
        <v>45231</v>
      </c>
      <c r="C714">
        <v>840734</v>
      </c>
      <c r="D714" t="s">
        <v>176</v>
      </c>
      <c r="E714">
        <v>219740045</v>
      </c>
      <c r="F714">
        <v>67921</v>
      </c>
      <c r="G714">
        <v>231099</v>
      </c>
      <c r="H714">
        <f>_xlfn.XLOOKUP(FACT_IMPORTS[[#This Row],[hts_6]],DIM_PRODUCTS[hts_6],DIM_PRODUCTS[hts_4],,,)</f>
        <v>8407</v>
      </c>
      <c r="I714" t="str" cm="1">
        <f t="array" ref="I714">_xlfn.XLOOKUP(FACT_IMPORTS[[#This Row],[country_name]],DIM_COUNTRY[[#All],[Column2]],DIM_COUNTRY[[#All],[Column3]],,,)</f>
        <v>USMCA</v>
      </c>
    </row>
    <row r="715" spans="1:9" x14ac:dyDescent="0.4">
      <c r="A715" t="s">
        <v>61</v>
      </c>
      <c r="B715" s="1">
        <v>45231</v>
      </c>
      <c r="C715">
        <v>840790</v>
      </c>
      <c r="D715" t="s">
        <v>176</v>
      </c>
      <c r="E715">
        <v>3697675</v>
      </c>
      <c r="F715">
        <v>1483</v>
      </c>
      <c r="G715">
        <v>1321</v>
      </c>
      <c r="H715">
        <f>_xlfn.XLOOKUP(FACT_IMPORTS[[#This Row],[hts_6]],DIM_PRODUCTS[hts_6],DIM_PRODUCTS[hts_4],,,)</f>
        <v>8407</v>
      </c>
      <c r="I715" t="str" cm="1">
        <f t="array" ref="I715">_xlfn.XLOOKUP(FACT_IMPORTS[[#This Row],[country_name]],DIM_COUNTRY[[#All],[Column2]],DIM_COUNTRY[[#All],[Column3]],,,)</f>
        <v>USMCA</v>
      </c>
    </row>
    <row r="716" spans="1:9" x14ac:dyDescent="0.4">
      <c r="A716" t="s">
        <v>61</v>
      </c>
      <c r="B716" s="1">
        <v>45231</v>
      </c>
      <c r="C716">
        <v>840820</v>
      </c>
      <c r="D716" t="s">
        <v>176</v>
      </c>
      <c r="E716">
        <v>1098126</v>
      </c>
      <c r="F716">
        <v>130</v>
      </c>
      <c r="G716">
        <v>10911</v>
      </c>
      <c r="H716">
        <f>_xlfn.XLOOKUP(FACT_IMPORTS[[#This Row],[hts_6]],DIM_PRODUCTS[hts_6],DIM_PRODUCTS[hts_4],,,)</f>
        <v>8408</v>
      </c>
      <c r="I716" t="str" cm="1">
        <f t="array" ref="I716">_xlfn.XLOOKUP(FACT_IMPORTS[[#This Row],[country_name]],DIM_COUNTRY[[#All],[Column2]],DIM_COUNTRY[[#All],[Column3]],,,)</f>
        <v>USMCA</v>
      </c>
    </row>
    <row r="717" spans="1:9" x14ac:dyDescent="0.4">
      <c r="A717" t="s">
        <v>61</v>
      </c>
      <c r="B717" s="1">
        <v>45231</v>
      </c>
      <c r="C717">
        <v>840890</v>
      </c>
      <c r="D717" t="s">
        <v>176</v>
      </c>
      <c r="E717">
        <v>322313</v>
      </c>
      <c r="F717">
        <v>25</v>
      </c>
      <c r="G717">
        <v>459</v>
      </c>
      <c r="H717">
        <f>_xlfn.XLOOKUP(FACT_IMPORTS[[#This Row],[hts_6]],DIM_PRODUCTS[hts_6],DIM_PRODUCTS[hts_4],,,)</f>
        <v>8408</v>
      </c>
      <c r="I717" t="str" cm="1">
        <f t="array" ref="I717">_xlfn.XLOOKUP(FACT_IMPORTS[[#This Row],[country_name]],DIM_COUNTRY[[#All],[Column2]],DIM_COUNTRY[[#All],[Column3]],,,)</f>
        <v>USMCA</v>
      </c>
    </row>
    <row r="718" spans="1:9" x14ac:dyDescent="0.4">
      <c r="A718" t="s">
        <v>61</v>
      </c>
      <c r="B718" s="1">
        <v>45231</v>
      </c>
      <c r="C718">
        <v>840991</v>
      </c>
      <c r="D718" t="s">
        <v>176</v>
      </c>
      <c r="E718">
        <v>36244004</v>
      </c>
      <c r="F718">
        <v>2700947</v>
      </c>
      <c r="G718">
        <v>187138</v>
      </c>
      <c r="H718">
        <f>_xlfn.XLOOKUP(FACT_IMPORTS[[#This Row],[hts_6]],DIM_PRODUCTS[hts_6],DIM_PRODUCTS[hts_4],,,)</f>
        <v>8409</v>
      </c>
      <c r="I718" t="str" cm="1">
        <f t="array" ref="I718">_xlfn.XLOOKUP(FACT_IMPORTS[[#This Row],[country_name]],DIM_COUNTRY[[#All],[Column2]],DIM_COUNTRY[[#All],[Column3]],,,)</f>
        <v>USMCA</v>
      </c>
    </row>
    <row r="719" spans="1:9" x14ac:dyDescent="0.4">
      <c r="A719" t="s">
        <v>61</v>
      </c>
      <c r="B719" s="1">
        <v>45231</v>
      </c>
      <c r="C719">
        <v>840999</v>
      </c>
      <c r="D719" t="s">
        <v>176</v>
      </c>
      <c r="E719">
        <v>11484788</v>
      </c>
      <c r="F719">
        <v>938528</v>
      </c>
      <c r="G719">
        <v>79254</v>
      </c>
      <c r="H719">
        <f>_xlfn.XLOOKUP(FACT_IMPORTS[[#This Row],[hts_6]],DIM_PRODUCTS[hts_6],DIM_PRODUCTS[hts_4],,,)</f>
        <v>8409</v>
      </c>
      <c r="I719" t="str" cm="1">
        <f t="array" ref="I719">_xlfn.XLOOKUP(FACT_IMPORTS[[#This Row],[country_name]],DIM_COUNTRY[[#All],[Column2]],DIM_COUNTRY[[#All],[Column3]],,,)</f>
        <v>USMCA</v>
      </c>
    </row>
    <row r="720" spans="1:9" x14ac:dyDescent="0.4">
      <c r="A720" t="s">
        <v>61</v>
      </c>
      <c r="B720" s="1">
        <v>45231</v>
      </c>
      <c r="C720">
        <v>841330</v>
      </c>
      <c r="D720" t="s">
        <v>176</v>
      </c>
      <c r="E720">
        <v>8801189</v>
      </c>
      <c r="F720">
        <v>164056</v>
      </c>
      <c r="G720">
        <v>31771</v>
      </c>
      <c r="H720">
        <f>_xlfn.XLOOKUP(FACT_IMPORTS[[#This Row],[hts_6]],DIM_PRODUCTS[hts_6],DIM_PRODUCTS[hts_4],,,)</f>
        <v>8413</v>
      </c>
      <c r="I720" t="str" cm="1">
        <f t="array" ref="I720">_xlfn.XLOOKUP(FACT_IMPORTS[[#This Row],[country_name]],DIM_COUNTRY[[#All],[Column2]],DIM_COUNTRY[[#All],[Column3]],,,)</f>
        <v>USMCA</v>
      </c>
    </row>
    <row r="721" spans="1:9" x14ac:dyDescent="0.4">
      <c r="A721" t="s">
        <v>61</v>
      </c>
      <c r="B721" s="1">
        <v>45231</v>
      </c>
      <c r="C721">
        <v>841520</v>
      </c>
      <c r="D721" t="s">
        <v>176</v>
      </c>
      <c r="E721">
        <v>7645261</v>
      </c>
      <c r="F721">
        <v>44346</v>
      </c>
      <c r="G721">
        <v>97188</v>
      </c>
      <c r="H721">
        <f>_xlfn.XLOOKUP(FACT_IMPORTS[[#This Row],[hts_6]],DIM_PRODUCTS[hts_6],DIM_PRODUCTS[hts_4],,,)</f>
        <v>8415</v>
      </c>
      <c r="I721" t="str" cm="1">
        <f t="array" ref="I721">_xlfn.XLOOKUP(FACT_IMPORTS[[#This Row],[country_name]],DIM_COUNTRY[[#All],[Column2]],DIM_COUNTRY[[#All],[Column3]],,,)</f>
        <v>USMCA</v>
      </c>
    </row>
    <row r="722" spans="1:9" x14ac:dyDescent="0.4">
      <c r="A722" t="s">
        <v>61</v>
      </c>
      <c r="B722" s="1">
        <v>45231</v>
      </c>
      <c r="C722">
        <v>842132</v>
      </c>
      <c r="D722" t="s">
        <v>176</v>
      </c>
      <c r="E722">
        <v>13486038</v>
      </c>
      <c r="F722">
        <v>86512</v>
      </c>
      <c r="G722">
        <v>47617</v>
      </c>
      <c r="H722">
        <f>_xlfn.XLOOKUP(FACT_IMPORTS[[#This Row],[hts_6]],DIM_PRODUCTS[hts_6],DIM_PRODUCTS[hts_4],,,)</f>
        <v>8421</v>
      </c>
      <c r="I722" t="str" cm="1">
        <f t="array" ref="I722">_xlfn.XLOOKUP(FACT_IMPORTS[[#This Row],[country_name]],DIM_COUNTRY[[#All],[Column2]],DIM_COUNTRY[[#All],[Column3]],,,)</f>
        <v>USMCA</v>
      </c>
    </row>
    <row r="723" spans="1:9" x14ac:dyDescent="0.4">
      <c r="A723" t="s">
        <v>61</v>
      </c>
      <c r="B723" s="1">
        <v>45231</v>
      </c>
      <c r="C723">
        <v>848210</v>
      </c>
      <c r="D723" t="s">
        <v>176</v>
      </c>
      <c r="E723">
        <v>4110459</v>
      </c>
      <c r="F723">
        <v>1193830</v>
      </c>
      <c r="G723">
        <v>33489</v>
      </c>
      <c r="H723">
        <f>_xlfn.XLOOKUP(FACT_IMPORTS[[#This Row],[hts_6]],DIM_PRODUCTS[hts_6],DIM_PRODUCTS[hts_4],,,)</f>
        <v>8482</v>
      </c>
      <c r="I723" t="str" cm="1">
        <f t="array" ref="I723">_xlfn.XLOOKUP(FACT_IMPORTS[[#This Row],[country_name]],DIM_COUNTRY[[#All],[Column2]],DIM_COUNTRY[[#All],[Column3]],,,)</f>
        <v>USMCA</v>
      </c>
    </row>
    <row r="724" spans="1:9" x14ac:dyDescent="0.4">
      <c r="A724" t="s">
        <v>61</v>
      </c>
      <c r="B724" s="1">
        <v>45231</v>
      </c>
      <c r="C724">
        <v>848220</v>
      </c>
      <c r="D724" t="s">
        <v>176</v>
      </c>
      <c r="E724">
        <v>907087</v>
      </c>
      <c r="F724">
        <v>17710</v>
      </c>
      <c r="G724">
        <v>8100</v>
      </c>
      <c r="H724">
        <f>_xlfn.XLOOKUP(FACT_IMPORTS[[#This Row],[hts_6]],DIM_PRODUCTS[hts_6],DIM_PRODUCTS[hts_4],,,)</f>
        <v>8482</v>
      </c>
      <c r="I724" t="str" cm="1">
        <f t="array" ref="I724">_xlfn.XLOOKUP(FACT_IMPORTS[[#This Row],[country_name]],DIM_COUNTRY[[#All],[Column2]],DIM_COUNTRY[[#All],[Column3]],,,)</f>
        <v>USMCA</v>
      </c>
    </row>
    <row r="725" spans="1:9" x14ac:dyDescent="0.4">
      <c r="A725" t="s">
        <v>61</v>
      </c>
      <c r="B725" s="1">
        <v>45231</v>
      </c>
      <c r="C725">
        <v>848310</v>
      </c>
      <c r="D725" t="s">
        <v>176</v>
      </c>
      <c r="E725">
        <v>15001835</v>
      </c>
      <c r="F725">
        <v>475480</v>
      </c>
      <c r="G725">
        <v>303208</v>
      </c>
      <c r="H725">
        <f>_xlfn.XLOOKUP(FACT_IMPORTS[[#This Row],[hts_6]],DIM_PRODUCTS[hts_6],DIM_PRODUCTS[hts_4],,,)</f>
        <v>8483</v>
      </c>
      <c r="I725" t="str" cm="1">
        <f t="array" ref="I725">_xlfn.XLOOKUP(FACT_IMPORTS[[#This Row],[country_name]],DIM_COUNTRY[[#All],[Column2]],DIM_COUNTRY[[#All],[Column3]],,,)</f>
        <v>USMCA</v>
      </c>
    </row>
    <row r="726" spans="1:9" x14ac:dyDescent="0.4">
      <c r="A726" t="s">
        <v>61</v>
      </c>
      <c r="B726" s="1">
        <v>45231</v>
      </c>
      <c r="C726">
        <v>850131</v>
      </c>
      <c r="D726" t="s">
        <v>176</v>
      </c>
      <c r="E726">
        <v>3140129</v>
      </c>
      <c r="F726">
        <v>91372</v>
      </c>
      <c r="G726">
        <v>17609</v>
      </c>
      <c r="H726">
        <f>_xlfn.XLOOKUP(FACT_IMPORTS[[#This Row],[hts_6]],DIM_PRODUCTS[hts_6],DIM_PRODUCTS[hts_4],,,)</f>
        <v>8501</v>
      </c>
      <c r="I726" t="str" cm="1">
        <f t="array" ref="I726">_xlfn.XLOOKUP(FACT_IMPORTS[[#This Row],[country_name]],DIM_COUNTRY[[#All],[Column2]],DIM_COUNTRY[[#All],[Column3]],,,)</f>
        <v>USMCA</v>
      </c>
    </row>
    <row r="727" spans="1:9" x14ac:dyDescent="0.4">
      <c r="A727" t="s">
        <v>61</v>
      </c>
      <c r="B727" s="1">
        <v>45231</v>
      </c>
      <c r="C727">
        <v>850132</v>
      </c>
      <c r="D727" t="s">
        <v>176</v>
      </c>
      <c r="E727">
        <v>311860</v>
      </c>
      <c r="F727">
        <v>78</v>
      </c>
      <c r="G727">
        <v>2695</v>
      </c>
      <c r="H727">
        <f>_xlfn.XLOOKUP(FACT_IMPORTS[[#This Row],[hts_6]],DIM_PRODUCTS[hts_6],DIM_PRODUCTS[hts_4],,,)</f>
        <v>8501</v>
      </c>
      <c r="I727" t="str" cm="1">
        <f t="array" ref="I727">_xlfn.XLOOKUP(FACT_IMPORTS[[#This Row],[country_name]],DIM_COUNTRY[[#All],[Column2]],DIM_COUNTRY[[#All],[Column3]],,,)</f>
        <v>USMCA</v>
      </c>
    </row>
    <row r="728" spans="1:9" x14ac:dyDescent="0.4">
      <c r="A728" t="s">
        <v>61</v>
      </c>
      <c r="B728" s="1">
        <v>45231</v>
      </c>
      <c r="C728">
        <v>850133</v>
      </c>
      <c r="D728" t="s">
        <v>176</v>
      </c>
      <c r="E728">
        <v>4500</v>
      </c>
      <c r="F728">
        <v>3</v>
      </c>
      <c r="G728">
        <v>150</v>
      </c>
      <c r="H728">
        <f>_xlfn.XLOOKUP(FACT_IMPORTS[[#This Row],[hts_6]],DIM_PRODUCTS[hts_6],DIM_PRODUCTS[hts_4],,,)</f>
        <v>8501</v>
      </c>
      <c r="I728" t="str" cm="1">
        <f t="array" ref="I728">_xlfn.XLOOKUP(FACT_IMPORTS[[#This Row],[country_name]],DIM_COUNTRY[[#All],[Column2]],DIM_COUNTRY[[#All],[Column3]],,,)</f>
        <v>USMCA</v>
      </c>
    </row>
    <row r="729" spans="1:9" x14ac:dyDescent="0.4">
      <c r="A729" t="s">
        <v>61</v>
      </c>
      <c r="B729" s="1">
        <v>45231</v>
      </c>
      <c r="C729">
        <v>850134</v>
      </c>
      <c r="D729" t="s">
        <v>176</v>
      </c>
      <c r="E729">
        <v>59109</v>
      </c>
      <c r="F729">
        <v>2</v>
      </c>
      <c r="G729">
        <v>337</v>
      </c>
      <c r="H729">
        <f>_xlfn.XLOOKUP(FACT_IMPORTS[[#This Row],[hts_6]],DIM_PRODUCTS[hts_6],DIM_PRODUCTS[hts_4],,,)</f>
        <v>8501</v>
      </c>
      <c r="I729" t="str" cm="1">
        <f t="array" ref="I729">_xlfn.XLOOKUP(FACT_IMPORTS[[#This Row],[country_name]],DIM_COUNTRY[[#All],[Column2]],DIM_COUNTRY[[#All],[Column3]],,,)</f>
        <v>USMCA</v>
      </c>
    </row>
    <row r="730" spans="1:9" x14ac:dyDescent="0.4">
      <c r="A730" t="s">
        <v>61</v>
      </c>
      <c r="B730" s="1">
        <v>45231</v>
      </c>
      <c r="C730">
        <v>850152</v>
      </c>
      <c r="D730" t="s">
        <v>176</v>
      </c>
      <c r="E730">
        <v>1176784</v>
      </c>
      <c r="F730">
        <v>223</v>
      </c>
      <c r="G730">
        <v>11940</v>
      </c>
      <c r="H730">
        <f>_xlfn.XLOOKUP(FACT_IMPORTS[[#This Row],[hts_6]],DIM_PRODUCTS[hts_6],DIM_PRODUCTS[hts_4],,,)</f>
        <v>8501</v>
      </c>
      <c r="I730" t="str" cm="1">
        <f t="array" ref="I730">_xlfn.XLOOKUP(FACT_IMPORTS[[#This Row],[country_name]],DIM_COUNTRY[[#All],[Column2]],DIM_COUNTRY[[#All],[Column3]],,,)</f>
        <v>USMCA</v>
      </c>
    </row>
    <row r="731" spans="1:9" x14ac:dyDescent="0.4">
      <c r="A731" t="s">
        <v>61</v>
      </c>
      <c r="B731" s="1">
        <v>45231</v>
      </c>
      <c r="C731">
        <v>850153</v>
      </c>
      <c r="D731" t="s">
        <v>176</v>
      </c>
      <c r="E731">
        <v>223597</v>
      </c>
      <c r="F731">
        <v>16</v>
      </c>
      <c r="G731">
        <v>1264</v>
      </c>
      <c r="H731">
        <f>_xlfn.XLOOKUP(FACT_IMPORTS[[#This Row],[hts_6]],DIM_PRODUCTS[hts_6],DIM_PRODUCTS[hts_4],,,)</f>
        <v>8501</v>
      </c>
      <c r="I731" t="str" cm="1">
        <f t="array" ref="I731">_xlfn.XLOOKUP(FACT_IMPORTS[[#This Row],[country_name]],DIM_COUNTRY[[#All],[Column2]],DIM_COUNTRY[[#All],[Column3]],,,)</f>
        <v>USMCA</v>
      </c>
    </row>
    <row r="732" spans="1:9" x14ac:dyDescent="0.4">
      <c r="A732" t="s">
        <v>61</v>
      </c>
      <c r="B732" s="1">
        <v>45231</v>
      </c>
      <c r="C732">
        <v>850161</v>
      </c>
      <c r="D732" t="s">
        <v>176</v>
      </c>
      <c r="E732">
        <v>101143</v>
      </c>
      <c r="F732">
        <v>1</v>
      </c>
      <c r="G732">
        <v>400</v>
      </c>
      <c r="H732">
        <f>_xlfn.XLOOKUP(FACT_IMPORTS[[#This Row],[hts_6]],DIM_PRODUCTS[hts_6],DIM_PRODUCTS[hts_4],,,)</f>
        <v>8501</v>
      </c>
      <c r="I732" t="str" cm="1">
        <f t="array" ref="I732">_xlfn.XLOOKUP(FACT_IMPORTS[[#This Row],[country_name]],DIM_COUNTRY[[#All],[Column2]],DIM_COUNTRY[[#All],[Column3]],,,)</f>
        <v>USMCA</v>
      </c>
    </row>
    <row r="733" spans="1:9" x14ac:dyDescent="0.4">
      <c r="A733" t="s">
        <v>61</v>
      </c>
      <c r="B733" s="1">
        <v>45231</v>
      </c>
      <c r="C733">
        <v>850440</v>
      </c>
      <c r="D733" t="s">
        <v>176</v>
      </c>
      <c r="E733">
        <v>10698923</v>
      </c>
      <c r="F733">
        <v>44358</v>
      </c>
      <c r="G733">
        <v>134824</v>
      </c>
      <c r="H733">
        <f>_xlfn.XLOOKUP(FACT_IMPORTS[[#This Row],[hts_6]],DIM_PRODUCTS[hts_6],DIM_PRODUCTS[hts_4],,,)</f>
        <v>8504</v>
      </c>
      <c r="I733" t="str" cm="1">
        <f t="array" ref="I733">_xlfn.XLOOKUP(FACT_IMPORTS[[#This Row],[country_name]],DIM_COUNTRY[[#All],[Column2]],DIM_COUNTRY[[#All],[Column3]],,,)</f>
        <v>USMCA</v>
      </c>
    </row>
    <row r="734" spans="1:9" x14ac:dyDescent="0.4">
      <c r="A734" t="s">
        <v>61</v>
      </c>
      <c r="B734" s="1">
        <v>45231</v>
      </c>
      <c r="C734">
        <v>850710</v>
      </c>
      <c r="D734" t="s">
        <v>176</v>
      </c>
      <c r="E734">
        <v>853234</v>
      </c>
      <c r="F734">
        <v>1631</v>
      </c>
      <c r="G734">
        <v>47030</v>
      </c>
      <c r="H734">
        <f>_xlfn.XLOOKUP(FACT_IMPORTS[[#This Row],[hts_6]],DIM_PRODUCTS[hts_6],DIM_PRODUCTS[hts_4],,,)</f>
        <v>8507</v>
      </c>
      <c r="I734" t="str" cm="1">
        <f t="array" ref="I734">_xlfn.XLOOKUP(FACT_IMPORTS[[#This Row],[country_name]],DIM_COUNTRY[[#All],[Column2]],DIM_COUNTRY[[#All],[Column3]],,,)</f>
        <v>USMCA</v>
      </c>
    </row>
    <row r="735" spans="1:9" x14ac:dyDescent="0.4">
      <c r="A735" t="s">
        <v>61</v>
      </c>
      <c r="B735" s="1">
        <v>45231</v>
      </c>
      <c r="C735">
        <v>850760</v>
      </c>
      <c r="D735" t="s">
        <v>176</v>
      </c>
      <c r="E735">
        <v>2778514</v>
      </c>
      <c r="F735">
        <v>22298</v>
      </c>
      <c r="G735">
        <v>15470</v>
      </c>
      <c r="H735">
        <f>_xlfn.XLOOKUP(FACT_IMPORTS[[#This Row],[hts_6]],DIM_PRODUCTS[hts_6],DIM_PRODUCTS[hts_4],,,)</f>
        <v>8507</v>
      </c>
      <c r="I735" t="str" cm="1">
        <f t="array" ref="I735">_xlfn.XLOOKUP(FACT_IMPORTS[[#This Row],[country_name]],DIM_COUNTRY[[#All],[Column2]],DIM_COUNTRY[[#All],[Column3]],,,)</f>
        <v>USMCA</v>
      </c>
    </row>
    <row r="736" spans="1:9" x14ac:dyDescent="0.4">
      <c r="A736" t="s">
        <v>61</v>
      </c>
      <c r="B736" s="1">
        <v>45231</v>
      </c>
      <c r="C736">
        <v>850790</v>
      </c>
      <c r="D736" t="s">
        <v>176</v>
      </c>
      <c r="E736">
        <v>40058</v>
      </c>
      <c r="F736">
        <v>22651</v>
      </c>
      <c r="G736">
        <v>2325</v>
      </c>
      <c r="H736">
        <f>_xlfn.XLOOKUP(FACT_IMPORTS[[#This Row],[hts_6]],DIM_PRODUCTS[hts_6],DIM_PRODUCTS[hts_4],,,)</f>
        <v>8507</v>
      </c>
      <c r="I736" t="str" cm="1">
        <f t="array" ref="I736">_xlfn.XLOOKUP(FACT_IMPORTS[[#This Row],[country_name]],DIM_COUNTRY[[#All],[Column2]],DIM_COUNTRY[[#All],[Column3]],,,)</f>
        <v>USMCA</v>
      </c>
    </row>
    <row r="737" spans="1:9" x14ac:dyDescent="0.4">
      <c r="A737" t="s">
        <v>61</v>
      </c>
      <c r="B737" s="1">
        <v>45231</v>
      </c>
      <c r="C737">
        <v>851110</v>
      </c>
      <c r="D737" t="s">
        <v>176</v>
      </c>
      <c r="E737">
        <v>3600</v>
      </c>
      <c r="F737">
        <v>1</v>
      </c>
      <c r="G737">
        <v>42</v>
      </c>
      <c r="H737">
        <f>_xlfn.XLOOKUP(FACT_IMPORTS[[#This Row],[hts_6]],DIM_PRODUCTS[hts_6],DIM_PRODUCTS[hts_4],,,)</f>
        <v>8511</v>
      </c>
      <c r="I737" t="str" cm="1">
        <f t="array" ref="I737">_xlfn.XLOOKUP(FACT_IMPORTS[[#This Row],[country_name]],DIM_COUNTRY[[#All],[Column2]],DIM_COUNTRY[[#All],[Column3]],,,)</f>
        <v>USMCA</v>
      </c>
    </row>
    <row r="738" spans="1:9" x14ac:dyDescent="0.4">
      <c r="A738" t="s">
        <v>61</v>
      </c>
      <c r="B738" s="1">
        <v>45231</v>
      </c>
      <c r="C738">
        <v>851120</v>
      </c>
      <c r="D738" t="s">
        <v>176</v>
      </c>
      <c r="E738">
        <v>0</v>
      </c>
      <c r="F738">
        <v>0</v>
      </c>
      <c r="G738">
        <v>0</v>
      </c>
      <c r="H738">
        <f>_xlfn.XLOOKUP(FACT_IMPORTS[[#This Row],[hts_6]],DIM_PRODUCTS[hts_6],DIM_PRODUCTS[hts_4],,,)</f>
        <v>8511</v>
      </c>
      <c r="I738" t="str" cm="1">
        <f t="array" ref="I738">_xlfn.XLOOKUP(FACT_IMPORTS[[#This Row],[country_name]],DIM_COUNTRY[[#All],[Column2]],DIM_COUNTRY[[#All],[Column3]],,,)</f>
        <v>USMCA</v>
      </c>
    </row>
    <row r="739" spans="1:9" x14ac:dyDescent="0.4">
      <c r="A739" t="s">
        <v>61</v>
      </c>
      <c r="B739" s="1">
        <v>45231</v>
      </c>
      <c r="C739">
        <v>851130</v>
      </c>
      <c r="D739" t="s">
        <v>176</v>
      </c>
      <c r="E739">
        <v>0</v>
      </c>
      <c r="F739">
        <v>0</v>
      </c>
      <c r="G739">
        <v>0</v>
      </c>
      <c r="H739">
        <f>_xlfn.XLOOKUP(FACT_IMPORTS[[#This Row],[hts_6]],DIM_PRODUCTS[hts_6],DIM_PRODUCTS[hts_4],,,)</f>
        <v>8511</v>
      </c>
      <c r="I739" t="str" cm="1">
        <f t="array" ref="I739">_xlfn.XLOOKUP(FACT_IMPORTS[[#This Row],[country_name]],DIM_COUNTRY[[#All],[Column2]],DIM_COUNTRY[[#All],[Column3]],,,)</f>
        <v>USMCA</v>
      </c>
    </row>
    <row r="740" spans="1:9" x14ac:dyDescent="0.4">
      <c r="A740" t="s">
        <v>61</v>
      </c>
      <c r="B740" s="1">
        <v>45231</v>
      </c>
      <c r="C740">
        <v>851140</v>
      </c>
      <c r="D740" t="s">
        <v>176</v>
      </c>
      <c r="E740">
        <v>446119</v>
      </c>
      <c r="F740">
        <v>9190</v>
      </c>
      <c r="G740">
        <v>3201</v>
      </c>
      <c r="H740">
        <f>_xlfn.XLOOKUP(FACT_IMPORTS[[#This Row],[hts_6]],DIM_PRODUCTS[hts_6],DIM_PRODUCTS[hts_4],,,)</f>
        <v>8511</v>
      </c>
      <c r="I740" t="str" cm="1">
        <f t="array" ref="I740">_xlfn.XLOOKUP(FACT_IMPORTS[[#This Row],[country_name]],DIM_COUNTRY[[#All],[Column2]],DIM_COUNTRY[[#All],[Column3]],,,)</f>
        <v>USMCA</v>
      </c>
    </row>
    <row r="741" spans="1:9" x14ac:dyDescent="0.4">
      <c r="A741" t="s">
        <v>61</v>
      </c>
      <c r="B741" s="1">
        <v>45231</v>
      </c>
      <c r="C741">
        <v>851150</v>
      </c>
      <c r="D741" t="s">
        <v>176</v>
      </c>
      <c r="E741">
        <v>457000</v>
      </c>
      <c r="F741">
        <v>5324</v>
      </c>
      <c r="G741">
        <v>3272</v>
      </c>
      <c r="H741">
        <f>_xlfn.XLOOKUP(FACT_IMPORTS[[#This Row],[hts_6]],DIM_PRODUCTS[hts_6],DIM_PRODUCTS[hts_4],,,)</f>
        <v>8511</v>
      </c>
      <c r="I741" t="str" cm="1">
        <f t="array" ref="I741">_xlfn.XLOOKUP(FACT_IMPORTS[[#This Row],[country_name]],DIM_COUNTRY[[#All],[Column2]],DIM_COUNTRY[[#All],[Column3]],,,)</f>
        <v>USMCA</v>
      </c>
    </row>
    <row r="742" spans="1:9" x14ac:dyDescent="0.4">
      <c r="A742" t="s">
        <v>61</v>
      </c>
      <c r="B742" s="1">
        <v>45231</v>
      </c>
      <c r="C742">
        <v>851180</v>
      </c>
      <c r="D742" t="s">
        <v>176</v>
      </c>
      <c r="E742">
        <v>0</v>
      </c>
      <c r="F742">
        <v>0</v>
      </c>
      <c r="G742">
        <v>0</v>
      </c>
      <c r="H742">
        <f>_xlfn.XLOOKUP(FACT_IMPORTS[[#This Row],[hts_6]],DIM_PRODUCTS[hts_6],DIM_PRODUCTS[hts_4],,,)</f>
        <v>8511</v>
      </c>
      <c r="I742" t="str" cm="1">
        <f t="array" ref="I742">_xlfn.XLOOKUP(FACT_IMPORTS[[#This Row],[country_name]],DIM_COUNTRY[[#All],[Column2]],DIM_COUNTRY[[#All],[Column3]],,,)</f>
        <v>USMCA</v>
      </c>
    </row>
    <row r="743" spans="1:9" x14ac:dyDescent="0.4">
      <c r="A743" t="s">
        <v>61</v>
      </c>
      <c r="B743" s="1">
        <v>45231</v>
      </c>
      <c r="C743">
        <v>851190</v>
      </c>
      <c r="D743" t="s">
        <v>176</v>
      </c>
      <c r="E743">
        <v>377059</v>
      </c>
      <c r="F743">
        <v>2136</v>
      </c>
      <c r="G743">
        <v>567</v>
      </c>
      <c r="H743">
        <f>_xlfn.XLOOKUP(FACT_IMPORTS[[#This Row],[hts_6]],DIM_PRODUCTS[hts_6],DIM_PRODUCTS[hts_4],,,)</f>
        <v>8511</v>
      </c>
      <c r="I743" t="str" cm="1">
        <f t="array" ref="I743">_xlfn.XLOOKUP(FACT_IMPORTS[[#This Row],[country_name]],DIM_COUNTRY[[#All],[Column2]],DIM_COUNTRY[[#All],[Column3]],,,)</f>
        <v>USMCA</v>
      </c>
    </row>
    <row r="744" spans="1:9" x14ac:dyDescent="0.4">
      <c r="A744" t="s">
        <v>61</v>
      </c>
      <c r="B744" s="1">
        <v>45231</v>
      </c>
      <c r="C744">
        <v>851220</v>
      </c>
      <c r="D744" t="s">
        <v>176</v>
      </c>
      <c r="E744">
        <v>20032441</v>
      </c>
      <c r="F744">
        <v>342110</v>
      </c>
      <c r="G744">
        <v>77429</v>
      </c>
      <c r="H744">
        <f>_xlfn.XLOOKUP(FACT_IMPORTS[[#This Row],[hts_6]],DIM_PRODUCTS[hts_6],DIM_PRODUCTS[hts_4],,,)</f>
        <v>8512</v>
      </c>
      <c r="I744" t="str" cm="1">
        <f t="array" ref="I744">_xlfn.XLOOKUP(FACT_IMPORTS[[#This Row],[country_name]],DIM_COUNTRY[[#All],[Column2]],DIM_COUNTRY[[#All],[Column3]],,,)</f>
        <v>USMCA</v>
      </c>
    </row>
    <row r="745" spans="1:9" x14ac:dyDescent="0.4">
      <c r="A745" t="s">
        <v>61</v>
      </c>
      <c r="B745" s="1">
        <v>45231</v>
      </c>
      <c r="C745">
        <v>851230</v>
      </c>
      <c r="D745" t="s">
        <v>176</v>
      </c>
      <c r="E745">
        <v>82749</v>
      </c>
      <c r="F745">
        <v>151990</v>
      </c>
      <c r="G745">
        <v>388</v>
      </c>
      <c r="H745">
        <f>_xlfn.XLOOKUP(FACT_IMPORTS[[#This Row],[hts_6]],DIM_PRODUCTS[hts_6],DIM_PRODUCTS[hts_4],,,)</f>
        <v>8512</v>
      </c>
      <c r="I745" t="str" cm="1">
        <f t="array" ref="I745">_xlfn.XLOOKUP(FACT_IMPORTS[[#This Row],[country_name]],DIM_COUNTRY[[#All],[Column2]],DIM_COUNTRY[[#All],[Column3]],,,)</f>
        <v>USMCA</v>
      </c>
    </row>
    <row r="746" spans="1:9" x14ac:dyDescent="0.4">
      <c r="A746" t="s">
        <v>61</v>
      </c>
      <c r="B746" s="1">
        <v>45231</v>
      </c>
      <c r="C746">
        <v>851240</v>
      </c>
      <c r="D746" t="s">
        <v>176</v>
      </c>
      <c r="E746">
        <v>0</v>
      </c>
      <c r="F746">
        <v>0</v>
      </c>
      <c r="G746">
        <v>0</v>
      </c>
      <c r="H746">
        <f>_xlfn.XLOOKUP(FACT_IMPORTS[[#This Row],[hts_6]],DIM_PRODUCTS[hts_6],DIM_PRODUCTS[hts_4],,,)</f>
        <v>8512</v>
      </c>
      <c r="I746" t="str" cm="1">
        <f t="array" ref="I746">_xlfn.XLOOKUP(FACT_IMPORTS[[#This Row],[country_name]],DIM_COUNTRY[[#All],[Column2]],DIM_COUNTRY[[#All],[Column3]],,,)</f>
        <v>USMCA</v>
      </c>
    </row>
    <row r="747" spans="1:9" x14ac:dyDescent="0.4">
      <c r="A747" t="s">
        <v>61</v>
      </c>
      <c r="B747" s="1">
        <v>45231</v>
      </c>
      <c r="C747">
        <v>851290</v>
      </c>
      <c r="D747" t="s">
        <v>176</v>
      </c>
      <c r="E747">
        <v>2312966</v>
      </c>
      <c r="F747">
        <v>58235</v>
      </c>
      <c r="G747">
        <v>5460</v>
      </c>
      <c r="H747">
        <f>_xlfn.XLOOKUP(FACT_IMPORTS[[#This Row],[hts_6]],DIM_PRODUCTS[hts_6],DIM_PRODUCTS[hts_4],,,)</f>
        <v>8512</v>
      </c>
      <c r="I747" t="str" cm="1">
        <f t="array" ref="I747">_xlfn.XLOOKUP(FACT_IMPORTS[[#This Row],[country_name]],DIM_COUNTRY[[#All],[Column2]],DIM_COUNTRY[[#All],[Column3]],,,)</f>
        <v>USMCA</v>
      </c>
    </row>
    <row r="748" spans="1:9" x14ac:dyDescent="0.4">
      <c r="A748" t="s">
        <v>61</v>
      </c>
      <c r="B748" s="1">
        <v>45231</v>
      </c>
      <c r="C748">
        <v>854231</v>
      </c>
      <c r="D748" t="s">
        <v>176</v>
      </c>
      <c r="E748">
        <v>22720</v>
      </c>
      <c r="F748">
        <v>484</v>
      </c>
      <c r="G748">
        <v>412</v>
      </c>
      <c r="H748">
        <f>_xlfn.XLOOKUP(FACT_IMPORTS[[#This Row],[hts_6]],DIM_PRODUCTS[hts_6],DIM_PRODUCTS[hts_4],,,)</f>
        <v>8542</v>
      </c>
      <c r="I748" t="str" cm="1">
        <f t="array" ref="I748">_xlfn.XLOOKUP(FACT_IMPORTS[[#This Row],[country_name]],DIM_COUNTRY[[#All],[Column2]],DIM_COUNTRY[[#All],[Column3]],,,)</f>
        <v>USMCA</v>
      </c>
    </row>
    <row r="749" spans="1:9" x14ac:dyDescent="0.4">
      <c r="A749" t="s">
        <v>61</v>
      </c>
      <c r="B749" s="1">
        <v>45231</v>
      </c>
      <c r="C749">
        <v>854232</v>
      </c>
      <c r="D749" t="s">
        <v>176</v>
      </c>
      <c r="E749">
        <v>3640</v>
      </c>
      <c r="F749">
        <v>5000</v>
      </c>
      <c r="G749">
        <v>96</v>
      </c>
      <c r="H749">
        <f>_xlfn.XLOOKUP(FACT_IMPORTS[[#This Row],[hts_6]],DIM_PRODUCTS[hts_6],DIM_PRODUCTS[hts_4],,,)</f>
        <v>8542</v>
      </c>
      <c r="I749" t="str" cm="1">
        <f t="array" ref="I749">_xlfn.XLOOKUP(FACT_IMPORTS[[#This Row],[country_name]],DIM_COUNTRY[[#All],[Column2]],DIM_COUNTRY[[#All],[Column3]],,,)</f>
        <v>USMCA</v>
      </c>
    </row>
    <row r="750" spans="1:9" x14ac:dyDescent="0.4">
      <c r="A750" t="s">
        <v>61</v>
      </c>
      <c r="B750" s="1">
        <v>45231</v>
      </c>
      <c r="C750">
        <v>854233</v>
      </c>
      <c r="D750" t="s">
        <v>176</v>
      </c>
      <c r="E750">
        <v>4051</v>
      </c>
      <c r="F750">
        <v>1</v>
      </c>
      <c r="G750">
        <v>43</v>
      </c>
      <c r="H750">
        <f>_xlfn.XLOOKUP(FACT_IMPORTS[[#This Row],[hts_6]],DIM_PRODUCTS[hts_6],DIM_PRODUCTS[hts_4],,,)</f>
        <v>8542</v>
      </c>
      <c r="I750" t="str" cm="1">
        <f t="array" ref="I750">_xlfn.XLOOKUP(FACT_IMPORTS[[#This Row],[country_name]],DIM_COUNTRY[[#All],[Column2]],DIM_COUNTRY[[#All],[Column3]],,,)</f>
        <v>USMCA</v>
      </c>
    </row>
    <row r="751" spans="1:9" x14ac:dyDescent="0.4">
      <c r="A751" t="s">
        <v>61</v>
      </c>
      <c r="B751" s="1">
        <v>45231</v>
      </c>
      <c r="C751">
        <v>854239</v>
      </c>
      <c r="D751" t="s">
        <v>176</v>
      </c>
      <c r="E751">
        <v>111479</v>
      </c>
      <c r="F751">
        <v>470378</v>
      </c>
      <c r="G751">
        <v>300</v>
      </c>
      <c r="H751">
        <f>_xlfn.XLOOKUP(FACT_IMPORTS[[#This Row],[hts_6]],DIM_PRODUCTS[hts_6],DIM_PRODUCTS[hts_4],,,)</f>
        <v>8542</v>
      </c>
      <c r="I751" t="str" cm="1">
        <f t="array" ref="I751">_xlfn.XLOOKUP(FACT_IMPORTS[[#This Row],[country_name]],DIM_COUNTRY[[#All],[Column2]],DIM_COUNTRY[[#All],[Column3]],,,)</f>
        <v>USMCA</v>
      </c>
    </row>
    <row r="752" spans="1:9" x14ac:dyDescent="0.4">
      <c r="A752" t="s">
        <v>61</v>
      </c>
      <c r="B752" s="1">
        <v>45231</v>
      </c>
      <c r="C752">
        <v>854290</v>
      </c>
      <c r="D752" t="s">
        <v>176</v>
      </c>
      <c r="E752">
        <v>2972</v>
      </c>
      <c r="F752">
        <v>15</v>
      </c>
      <c r="G752">
        <v>1</v>
      </c>
      <c r="H752">
        <f>_xlfn.XLOOKUP(FACT_IMPORTS[[#This Row],[hts_6]],DIM_PRODUCTS[hts_6],DIM_PRODUCTS[hts_4],,,)</f>
        <v>8542</v>
      </c>
      <c r="I752" t="str" cm="1">
        <f t="array" ref="I752">_xlfn.XLOOKUP(FACT_IMPORTS[[#This Row],[country_name]],DIM_COUNTRY[[#All],[Column2]],DIM_COUNTRY[[#All],[Column3]],,,)</f>
        <v>USMCA</v>
      </c>
    </row>
    <row r="753" spans="1:9" x14ac:dyDescent="0.4">
      <c r="A753" t="s">
        <v>61</v>
      </c>
      <c r="B753" s="1">
        <v>45231</v>
      </c>
      <c r="C753">
        <v>854430</v>
      </c>
      <c r="D753" t="s">
        <v>176</v>
      </c>
      <c r="E753">
        <v>1904797</v>
      </c>
      <c r="F753">
        <v>56208</v>
      </c>
      <c r="G753">
        <v>11241</v>
      </c>
      <c r="H753">
        <f>_xlfn.XLOOKUP(FACT_IMPORTS[[#This Row],[hts_6]],DIM_PRODUCTS[hts_6],DIM_PRODUCTS[hts_4],,,)</f>
        <v>8544</v>
      </c>
      <c r="I753" t="str" cm="1">
        <f t="array" ref="I753">_xlfn.XLOOKUP(FACT_IMPORTS[[#This Row],[country_name]],DIM_COUNTRY[[#All],[Column2]],DIM_COUNTRY[[#All],[Column3]],,,)</f>
        <v>USMCA</v>
      </c>
    </row>
    <row r="754" spans="1:9" x14ac:dyDescent="0.4">
      <c r="A754" t="s">
        <v>61</v>
      </c>
      <c r="B754" s="1">
        <v>45231</v>
      </c>
      <c r="C754">
        <v>870710</v>
      </c>
      <c r="D754" t="s">
        <v>176</v>
      </c>
      <c r="E754">
        <v>3566</v>
      </c>
      <c r="F754">
        <v>1</v>
      </c>
      <c r="G754">
        <v>196</v>
      </c>
      <c r="H754">
        <f>_xlfn.XLOOKUP(FACT_IMPORTS[[#This Row],[hts_6]],DIM_PRODUCTS[hts_6],DIM_PRODUCTS[hts_4],,,)</f>
        <v>8707</v>
      </c>
      <c r="I754" t="str" cm="1">
        <f t="array" ref="I754">_xlfn.XLOOKUP(FACT_IMPORTS[[#This Row],[country_name]],DIM_COUNTRY[[#All],[Column2]],DIM_COUNTRY[[#All],[Column3]],,,)</f>
        <v>USMCA</v>
      </c>
    </row>
    <row r="755" spans="1:9" x14ac:dyDescent="0.4">
      <c r="A755" t="s">
        <v>61</v>
      </c>
      <c r="B755" s="1">
        <v>45231</v>
      </c>
      <c r="C755">
        <v>870790</v>
      </c>
      <c r="D755" t="s">
        <v>176</v>
      </c>
      <c r="E755">
        <v>4707921</v>
      </c>
      <c r="F755">
        <v>281</v>
      </c>
      <c r="G755">
        <v>26292</v>
      </c>
      <c r="H755">
        <f>_xlfn.XLOOKUP(FACT_IMPORTS[[#This Row],[hts_6]],DIM_PRODUCTS[hts_6],DIM_PRODUCTS[hts_4],,,)</f>
        <v>8707</v>
      </c>
      <c r="I755" t="str" cm="1">
        <f t="array" ref="I755">_xlfn.XLOOKUP(FACT_IMPORTS[[#This Row],[country_name]],DIM_COUNTRY[[#All],[Column2]],DIM_COUNTRY[[#All],[Column3]],,,)</f>
        <v>USMCA</v>
      </c>
    </row>
    <row r="756" spans="1:9" x14ac:dyDescent="0.4">
      <c r="A756" t="s">
        <v>61</v>
      </c>
      <c r="B756" s="1">
        <v>45231</v>
      </c>
      <c r="C756">
        <v>870810</v>
      </c>
      <c r="D756" t="s">
        <v>176</v>
      </c>
      <c r="E756">
        <v>25148578</v>
      </c>
      <c r="F756">
        <v>1032977</v>
      </c>
      <c r="G756">
        <v>423402</v>
      </c>
      <c r="H756">
        <f>_xlfn.XLOOKUP(FACT_IMPORTS[[#This Row],[hts_6]],DIM_PRODUCTS[hts_6],DIM_PRODUCTS[hts_4],,,)</f>
        <v>8708</v>
      </c>
      <c r="I756" t="str" cm="1">
        <f t="array" ref="I756">_xlfn.XLOOKUP(FACT_IMPORTS[[#This Row],[country_name]],DIM_COUNTRY[[#All],[Column2]],DIM_COUNTRY[[#All],[Column3]],,,)</f>
        <v>USMCA</v>
      </c>
    </row>
    <row r="757" spans="1:9" x14ac:dyDescent="0.4">
      <c r="A757" t="s">
        <v>61</v>
      </c>
      <c r="B757" s="1">
        <v>45231</v>
      </c>
      <c r="C757">
        <v>870821</v>
      </c>
      <c r="D757" t="s">
        <v>176</v>
      </c>
      <c r="E757">
        <v>295622</v>
      </c>
      <c r="F757">
        <v>13895</v>
      </c>
      <c r="G757">
        <v>5181</v>
      </c>
      <c r="H757">
        <f>_xlfn.XLOOKUP(FACT_IMPORTS[[#This Row],[hts_6]],DIM_PRODUCTS[hts_6],DIM_PRODUCTS[hts_4],,,)</f>
        <v>8708</v>
      </c>
      <c r="I757" t="str" cm="1">
        <f t="array" ref="I757">_xlfn.XLOOKUP(FACT_IMPORTS[[#This Row],[country_name]],DIM_COUNTRY[[#All],[Column2]],DIM_COUNTRY[[#All],[Column3]],,,)</f>
        <v>USMCA</v>
      </c>
    </row>
    <row r="758" spans="1:9" x14ac:dyDescent="0.4">
      <c r="A758" t="s">
        <v>61</v>
      </c>
      <c r="B758" s="1">
        <v>45231</v>
      </c>
      <c r="C758">
        <v>870822</v>
      </c>
      <c r="D758" t="s">
        <v>176</v>
      </c>
      <c r="E758">
        <v>5046930</v>
      </c>
      <c r="F758">
        <v>92137</v>
      </c>
      <c r="G758">
        <v>184829</v>
      </c>
      <c r="H758">
        <f>_xlfn.XLOOKUP(FACT_IMPORTS[[#This Row],[hts_6]],DIM_PRODUCTS[hts_6],DIM_PRODUCTS[hts_4],,,)</f>
        <v>8708</v>
      </c>
      <c r="I758" t="str" cm="1">
        <f t="array" ref="I758">_xlfn.XLOOKUP(FACT_IMPORTS[[#This Row],[country_name]],DIM_COUNTRY[[#All],[Column2]],DIM_COUNTRY[[#All],[Column3]],,,)</f>
        <v>USMCA</v>
      </c>
    </row>
    <row r="759" spans="1:9" x14ac:dyDescent="0.4">
      <c r="A759" t="s">
        <v>61</v>
      </c>
      <c r="B759" s="1">
        <v>45231</v>
      </c>
      <c r="C759">
        <v>870829</v>
      </c>
      <c r="D759" t="s">
        <v>176</v>
      </c>
      <c r="E759">
        <v>381359369</v>
      </c>
      <c r="F759">
        <v>54236932</v>
      </c>
      <c r="G759">
        <v>8358060</v>
      </c>
      <c r="H759">
        <f>_xlfn.XLOOKUP(FACT_IMPORTS[[#This Row],[hts_6]],DIM_PRODUCTS[hts_6],DIM_PRODUCTS[hts_4],,,)</f>
        <v>8708</v>
      </c>
      <c r="I759" t="str" cm="1">
        <f t="array" ref="I759">_xlfn.XLOOKUP(FACT_IMPORTS[[#This Row],[country_name]],DIM_COUNTRY[[#All],[Column2]],DIM_COUNTRY[[#All],[Column3]],,,)</f>
        <v>USMCA</v>
      </c>
    </row>
    <row r="760" spans="1:9" x14ac:dyDescent="0.4">
      <c r="A760" t="s">
        <v>61</v>
      </c>
      <c r="B760" s="1">
        <v>45231</v>
      </c>
      <c r="C760">
        <v>870830</v>
      </c>
      <c r="D760" t="s">
        <v>176</v>
      </c>
      <c r="E760">
        <v>13935289</v>
      </c>
      <c r="F760">
        <v>3162756</v>
      </c>
      <c r="G760">
        <v>199743</v>
      </c>
      <c r="H760">
        <f>_xlfn.XLOOKUP(FACT_IMPORTS[[#This Row],[hts_6]],DIM_PRODUCTS[hts_6],DIM_PRODUCTS[hts_4],,,)</f>
        <v>8708</v>
      </c>
      <c r="I760" t="str" cm="1">
        <f t="array" ref="I760">_xlfn.XLOOKUP(FACT_IMPORTS[[#This Row],[country_name]],DIM_COUNTRY[[#All],[Column2]],DIM_COUNTRY[[#All],[Column3]],,,)</f>
        <v>USMCA</v>
      </c>
    </row>
    <row r="761" spans="1:9" x14ac:dyDescent="0.4">
      <c r="A761" t="s">
        <v>61</v>
      </c>
      <c r="B761" s="1">
        <v>45231</v>
      </c>
      <c r="C761">
        <v>870840</v>
      </c>
      <c r="D761" t="s">
        <v>176</v>
      </c>
      <c r="E761">
        <v>87244929</v>
      </c>
      <c r="F761">
        <v>3881413</v>
      </c>
      <c r="G761">
        <v>430553</v>
      </c>
      <c r="H761">
        <f>_xlfn.XLOOKUP(FACT_IMPORTS[[#This Row],[hts_6]],DIM_PRODUCTS[hts_6],DIM_PRODUCTS[hts_4],,,)</f>
        <v>8708</v>
      </c>
      <c r="I761" t="str" cm="1">
        <f t="array" ref="I761">_xlfn.XLOOKUP(FACT_IMPORTS[[#This Row],[country_name]],DIM_COUNTRY[[#All],[Column2]],DIM_COUNTRY[[#All],[Column3]],,,)</f>
        <v>USMCA</v>
      </c>
    </row>
    <row r="762" spans="1:9" x14ac:dyDescent="0.4">
      <c r="A762" t="s">
        <v>61</v>
      </c>
      <c r="B762" s="1">
        <v>45231</v>
      </c>
      <c r="C762">
        <v>870850</v>
      </c>
      <c r="D762" t="s">
        <v>176</v>
      </c>
      <c r="E762">
        <v>26081134</v>
      </c>
      <c r="F762">
        <v>1364684</v>
      </c>
      <c r="G762">
        <v>166275</v>
      </c>
      <c r="H762">
        <f>_xlfn.XLOOKUP(FACT_IMPORTS[[#This Row],[hts_6]],DIM_PRODUCTS[hts_6],DIM_PRODUCTS[hts_4],,,)</f>
        <v>8708</v>
      </c>
      <c r="I762" t="str" cm="1">
        <f t="array" ref="I762">_xlfn.XLOOKUP(FACT_IMPORTS[[#This Row],[country_name]],DIM_COUNTRY[[#All],[Column2]],DIM_COUNTRY[[#All],[Column3]],,,)</f>
        <v>USMCA</v>
      </c>
    </row>
    <row r="763" spans="1:9" x14ac:dyDescent="0.4">
      <c r="A763" t="s">
        <v>61</v>
      </c>
      <c r="B763" s="1">
        <v>45231</v>
      </c>
      <c r="C763">
        <v>870870</v>
      </c>
      <c r="D763" t="s">
        <v>176</v>
      </c>
      <c r="E763">
        <v>11521685</v>
      </c>
      <c r="F763">
        <v>7707616</v>
      </c>
      <c r="G763">
        <v>105983</v>
      </c>
      <c r="H763">
        <f>_xlfn.XLOOKUP(FACT_IMPORTS[[#This Row],[hts_6]],DIM_PRODUCTS[hts_6],DIM_PRODUCTS[hts_4],,,)</f>
        <v>8708</v>
      </c>
      <c r="I763" t="str" cm="1">
        <f t="array" ref="I763">_xlfn.XLOOKUP(FACT_IMPORTS[[#This Row],[country_name]],DIM_COUNTRY[[#All],[Column2]],DIM_COUNTRY[[#All],[Column3]],,,)</f>
        <v>USMCA</v>
      </c>
    </row>
    <row r="764" spans="1:9" x14ac:dyDescent="0.4">
      <c r="A764" t="s">
        <v>61</v>
      </c>
      <c r="B764" s="1">
        <v>45231</v>
      </c>
      <c r="C764">
        <v>870880</v>
      </c>
      <c r="D764" t="s">
        <v>176</v>
      </c>
      <c r="E764">
        <v>60864262</v>
      </c>
      <c r="F764">
        <v>3127983</v>
      </c>
      <c r="G764">
        <v>1061426</v>
      </c>
      <c r="H764">
        <f>_xlfn.XLOOKUP(FACT_IMPORTS[[#This Row],[hts_6]],DIM_PRODUCTS[hts_6],DIM_PRODUCTS[hts_4],,,)</f>
        <v>8708</v>
      </c>
      <c r="I764" t="str" cm="1">
        <f t="array" ref="I764">_xlfn.XLOOKUP(FACT_IMPORTS[[#This Row],[country_name]],DIM_COUNTRY[[#All],[Column2]],DIM_COUNTRY[[#All],[Column3]],,,)</f>
        <v>USMCA</v>
      </c>
    </row>
    <row r="765" spans="1:9" x14ac:dyDescent="0.4">
      <c r="A765" t="s">
        <v>61</v>
      </c>
      <c r="B765" s="1">
        <v>45231</v>
      </c>
      <c r="C765">
        <v>870891</v>
      </c>
      <c r="D765" t="s">
        <v>176</v>
      </c>
      <c r="E765">
        <v>14321308</v>
      </c>
      <c r="F765">
        <v>339275</v>
      </c>
      <c r="G765">
        <v>265747</v>
      </c>
      <c r="H765">
        <f>_xlfn.XLOOKUP(FACT_IMPORTS[[#This Row],[hts_6]],DIM_PRODUCTS[hts_6],DIM_PRODUCTS[hts_4],,,)</f>
        <v>8708</v>
      </c>
      <c r="I765" t="str" cm="1">
        <f t="array" ref="I765">_xlfn.XLOOKUP(FACT_IMPORTS[[#This Row],[country_name]],DIM_COUNTRY[[#All],[Column2]],DIM_COUNTRY[[#All],[Column3]],,,)</f>
        <v>USMCA</v>
      </c>
    </row>
    <row r="766" spans="1:9" x14ac:dyDescent="0.4">
      <c r="A766" t="s">
        <v>61</v>
      </c>
      <c r="B766" s="1">
        <v>45231</v>
      </c>
      <c r="C766">
        <v>870892</v>
      </c>
      <c r="D766" t="s">
        <v>176</v>
      </c>
      <c r="E766">
        <v>19219032</v>
      </c>
      <c r="F766">
        <v>903235</v>
      </c>
      <c r="G766">
        <v>351204</v>
      </c>
      <c r="H766">
        <f>_xlfn.XLOOKUP(FACT_IMPORTS[[#This Row],[hts_6]],DIM_PRODUCTS[hts_6],DIM_PRODUCTS[hts_4],,,)</f>
        <v>8708</v>
      </c>
      <c r="I766" t="str" cm="1">
        <f t="array" ref="I766">_xlfn.XLOOKUP(FACT_IMPORTS[[#This Row],[country_name]],DIM_COUNTRY[[#All],[Column2]],DIM_COUNTRY[[#All],[Column3]],,,)</f>
        <v>USMCA</v>
      </c>
    </row>
    <row r="767" spans="1:9" x14ac:dyDescent="0.4">
      <c r="A767" t="s">
        <v>61</v>
      </c>
      <c r="B767" s="1">
        <v>45231</v>
      </c>
      <c r="C767">
        <v>870893</v>
      </c>
      <c r="D767" t="s">
        <v>176</v>
      </c>
      <c r="E767">
        <v>45829622</v>
      </c>
      <c r="F767">
        <v>1322518</v>
      </c>
      <c r="G767">
        <v>120677</v>
      </c>
      <c r="H767">
        <f>_xlfn.XLOOKUP(FACT_IMPORTS[[#This Row],[hts_6]],DIM_PRODUCTS[hts_6],DIM_PRODUCTS[hts_4],,,)</f>
        <v>8708</v>
      </c>
      <c r="I767" t="str" cm="1">
        <f t="array" ref="I767">_xlfn.XLOOKUP(FACT_IMPORTS[[#This Row],[country_name]],DIM_COUNTRY[[#All],[Column2]],DIM_COUNTRY[[#All],[Column3]],,,)</f>
        <v>USMCA</v>
      </c>
    </row>
    <row r="768" spans="1:9" x14ac:dyDescent="0.4">
      <c r="A768" t="s">
        <v>61</v>
      </c>
      <c r="B768" s="1">
        <v>45231</v>
      </c>
      <c r="C768">
        <v>870894</v>
      </c>
      <c r="D768" t="s">
        <v>176</v>
      </c>
      <c r="E768">
        <v>11493340</v>
      </c>
      <c r="F768">
        <v>2437775</v>
      </c>
      <c r="G768">
        <v>106618</v>
      </c>
      <c r="H768">
        <f>_xlfn.XLOOKUP(FACT_IMPORTS[[#This Row],[hts_6]],DIM_PRODUCTS[hts_6],DIM_PRODUCTS[hts_4],,,)</f>
        <v>8708</v>
      </c>
      <c r="I768" t="str" cm="1">
        <f t="array" ref="I768">_xlfn.XLOOKUP(FACT_IMPORTS[[#This Row],[country_name]],DIM_COUNTRY[[#All],[Column2]],DIM_COUNTRY[[#All],[Column3]],,,)</f>
        <v>USMCA</v>
      </c>
    </row>
    <row r="769" spans="1:9" x14ac:dyDescent="0.4">
      <c r="A769" t="s">
        <v>61</v>
      </c>
      <c r="B769" s="1">
        <v>45231</v>
      </c>
      <c r="C769">
        <v>870895</v>
      </c>
      <c r="D769" t="s">
        <v>176</v>
      </c>
      <c r="E769">
        <v>1150766</v>
      </c>
      <c r="F769">
        <v>848528</v>
      </c>
      <c r="G769">
        <v>7477</v>
      </c>
      <c r="H769">
        <f>_xlfn.XLOOKUP(FACT_IMPORTS[[#This Row],[hts_6]],DIM_PRODUCTS[hts_6],DIM_PRODUCTS[hts_4],,,)</f>
        <v>8708</v>
      </c>
      <c r="I769" t="str" cm="1">
        <f t="array" ref="I769">_xlfn.XLOOKUP(FACT_IMPORTS[[#This Row],[country_name]],DIM_COUNTRY[[#All],[Column2]],DIM_COUNTRY[[#All],[Column3]],,,)</f>
        <v>USMCA</v>
      </c>
    </row>
    <row r="770" spans="1:9" x14ac:dyDescent="0.4">
      <c r="A770" t="s">
        <v>61</v>
      </c>
      <c r="B770" s="1">
        <v>45231</v>
      </c>
      <c r="C770">
        <v>870899</v>
      </c>
      <c r="D770" t="s">
        <v>176</v>
      </c>
      <c r="E770">
        <v>164220703</v>
      </c>
      <c r="F770">
        <v>15644025</v>
      </c>
      <c r="G770">
        <v>2310896</v>
      </c>
      <c r="H770">
        <f>_xlfn.XLOOKUP(FACT_IMPORTS[[#This Row],[hts_6]],DIM_PRODUCTS[hts_6],DIM_PRODUCTS[hts_4],,,)</f>
        <v>8708</v>
      </c>
      <c r="I770" t="str" cm="1">
        <f t="array" ref="I770">_xlfn.XLOOKUP(FACT_IMPORTS[[#This Row],[country_name]],DIM_COUNTRY[[#All],[Column2]],DIM_COUNTRY[[#All],[Column3]],,,)</f>
        <v>USMCA</v>
      </c>
    </row>
    <row r="771" spans="1:9" x14ac:dyDescent="0.4">
      <c r="A771" t="s">
        <v>61</v>
      </c>
      <c r="B771" s="1">
        <v>45231</v>
      </c>
      <c r="C771">
        <v>940120</v>
      </c>
      <c r="D771" t="s">
        <v>176</v>
      </c>
      <c r="E771">
        <v>910058</v>
      </c>
      <c r="F771">
        <v>16382</v>
      </c>
      <c r="G771">
        <v>8682</v>
      </c>
      <c r="H771">
        <f>_xlfn.XLOOKUP(FACT_IMPORTS[[#This Row],[hts_6]],DIM_PRODUCTS[hts_6],DIM_PRODUCTS[hts_4],,,)</f>
        <v>9401</v>
      </c>
      <c r="I771" t="str" cm="1">
        <f t="array" ref="I771">_xlfn.XLOOKUP(FACT_IMPORTS[[#This Row],[country_name]],DIM_COUNTRY[[#All],[Column2]],DIM_COUNTRY[[#All],[Column3]],,,)</f>
        <v>USMCA</v>
      </c>
    </row>
    <row r="772" spans="1:9" x14ac:dyDescent="0.4">
      <c r="A772" t="s">
        <v>61</v>
      </c>
      <c r="B772" s="1">
        <v>45261</v>
      </c>
      <c r="C772">
        <v>392630</v>
      </c>
      <c r="D772" t="s">
        <v>176</v>
      </c>
      <c r="E772">
        <v>2685375</v>
      </c>
      <c r="F772">
        <v>223123</v>
      </c>
      <c r="G772">
        <v>138268</v>
      </c>
      <c r="H772">
        <f>_xlfn.XLOOKUP(FACT_IMPORTS[[#This Row],[hts_6]],DIM_PRODUCTS[hts_6],DIM_PRODUCTS[hts_4],,,)</f>
        <v>3926</v>
      </c>
      <c r="I772" t="str" cm="1">
        <f t="array" ref="I772">_xlfn.XLOOKUP(FACT_IMPORTS[[#This Row],[country_name]],DIM_COUNTRY[[#All],[Column2]],DIM_COUNTRY[[#All],[Column3]],,,)</f>
        <v>USMCA</v>
      </c>
    </row>
    <row r="773" spans="1:9" x14ac:dyDescent="0.4">
      <c r="A773" t="s">
        <v>61</v>
      </c>
      <c r="B773" s="1">
        <v>45261</v>
      </c>
      <c r="C773">
        <v>401110</v>
      </c>
      <c r="D773" t="s">
        <v>176</v>
      </c>
      <c r="E773">
        <v>41361428</v>
      </c>
      <c r="F773">
        <v>635272</v>
      </c>
      <c r="G773">
        <v>346527</v>
      </c>
      <c r="H773">
        <f>_xlfn.XLOOKUP(FACT_IMPORTS[[#This Row],[hts_6]],DIM_PRODUCTS[hts_6],DIM_PRODUCTS[hts_4],,,)</f>
        <v>4011</v>
      </c>
      <c r="I773" t="str" cm="1">
        <f t="array" ref="I773">_xlfn.XLOOKUP(FACT_IMPORTS[[#This Row],[country_name]],DIM_COUNTRY[[#All],[Column2]],DIM_COUNTRY[[#All],[Column3]],,,)</f>
        <v>USMCA</v>
      </c>
    </row>
    <row r="774" spans="1:9" x14ac:dyDescent="0.4">
      <c r="A774" t="s">
        <v>61</v>
      </c>
      <c r="B774" s="1">
        <v>45261</v>
      </c>
      <c r="C774">
        <v>401120</v>
      </c>
      <c r="D774" t="s">
        <v>176</v>
      </c>
      <c r="E774">
        <v>43939377</v>
      </c>
      <c r="F774">
        <v>280144</v>
      </c>
      <c r="G774">
        <v>404432</v>
      </c>
      <c r="H774">
        <f>_xlfn.XLOOKUP(FACT_IMPORTS[[#This Row],[hts_6]],DIM_PRODUCTS[hts_6],DIM_PRODUCTS[hts_4],,,)</f>
        <v>4011</v>
      </c>
      <c r="I774" t="str" cm="1">
        <f t="array" ref="I774">_xlfn.XLOOKUP(FACT_IMPORTS[[#This Row],[country_name]],DIM_COUNTRY[[#All],[Column2]],DIM_COUNTRY[[#All],[Column3]],,,)</f>
        <v>USMCA</v>
      </c>
    </row>
    <row r="775" spans="1:9" x14ac:dyDescent="0.4">
      <c r="A775" t="s">
        <v>61</v>
      </c>
      <c r="B775" s="1">
        <v>45261</v>
      </c>
      <c r="C775">
        <v>401140</v>
      </c>
      <c r="D775" t="s">
        <v>176</v>
      </c>
      <c r="E775">
        <v>0</v>
      </c>
      <c r="F775">
        <v>0</v>
      </c>
      <c r="G775">
        <v>0</v>
      </c>
      <c r="H775">
        <f>_xlfn.XLOOKUP(FACT_IMPORTS[[#This Row],[hts_6]],DIM_PRODUCTS[hts_6],DIM_PRODUCTS[hts_4],,,)</f>
        <v>4011</v>
      </c>
      <c r="I775" t="str" cm="1">
        <f t="array" ref="I775">_xlfn.XLOOKUP(FACT_IMPORTS[[#This Row],[country_name]],DIM_COUNTRY[[#All],[Column2]],DIM_COUNTRY[[#All],[Column3]],,,)</f>
        <v>USMCA</v>
      </c>
    </row>
    <row r="776" spans="1:9" x14ac:dyDescent="0.4">
      <c r="A776" t="s">
        <v>61</v>
      </c>
      <c r="B776" s="1">
        <v>45261</v>
      </c>
      <c r="C776">
        <v>401190</v>
      </c>
      <c r="D776" t="s">
        <v>176</v>
      </c>
      <c r="E776">
        <v>549100</v>
      </c>
      <c r="F776">
        <v>959</v>
      </c>
      <c r="G776">
        <v>1779</v>
      </c>
      <c r="H776">
        <f>_xlfn.XLOOKUP(FACT_IMPORTS[[#This Row],[hts_6]],DIM_PRODUCTS[hts_6],DIM_PRODUCTS[hts_4],,,)</f>
        <v>4011</v>
      </c>
      <c r="I776" t="str" cm="1">
        <f t="array" ref="I776">_xlfn.XLOOKUP(FACT_IMPORTS[[#This Row],[country_name]],DIM_COUNTRY[[#All],[Column2]],DIM_COUNTRY[[#All],[Column3]],,,)</f>
        <v>USMCA</v>
      </c>
    </row>
    <row r="777" spans="1:9" x14ac:dyDescent="0.4">
      <c r="A777" t="s">
        <v>61</v>
      </c>
      <c r="B777" s="1">
        <v>45261</v>
      </c>
      <c r="C777">
        <v>700711</v>
      </c>
      <c r="D777" t="s">
        <v>176</v>
      </c>
      <c r="E777">
        <v>288731</v>
      </c>
      <c r="F777">
        <v>2151</v>
      </c>
      <c r="G777">
        <v>9684</v>
      </c>
      <c r="H777">
        <f>_xlfn.XLOOKUP(FACT_IMPORTS[[#This Row],[hts_6]],DIM_PRODUCTS[hts_6],DIM_PRODUCTS[hts_4],,,)</f>
        <v>7007</v>
      </c>
      <c r="I777" t="str" cm="1">
        <f t="array" ref="I777">_xlfn.XLOOKUP(FACT_IMPORTS[[#This Row],[country_name]],DIM_COUNTRY[[#All],[Column2]],DIM_COUNTRY[[#All],[Column3]],,,)</f>
        <v>USMCA</v>
      </c>
    </row>
    <row r="778" spans="1:9" x14ac:dyDescent="0.4">
      <c r="A778" t="s">
        <v>61</v>
      </c>
      <c r="B778" s="1">
        <v>45261</v>
      </c>
      <c r="C778">
        <v>700721</v>
      </c>
      <c r="D778" t="s">
        <v>176</v>
      </c>
      <c r="E778">
        <v>41384</v>
      </c>
      <c r="F778">
        <v>659</v>
      </c>
      <c r="G778">
        <v>1614</v>
      </c>
      <c r="H778">
        <f>_xlfn.XLOOKUP(FACT_IMPORTS[[#This Row],[hts_6]],DIM_PRODUCTS[hts_6],DIM_PRODUCTS[hts_4],,,)</f>
        <v>7007</v>
      </c>
      <c r="I778" t="str" cm="1">
        <f t="array" ref="I778">_xlfn.XLOOKUP(FACT_IMPORTS[[#This Row],[country_name]],DIM_COUNTRY[[#All],[Column2]],DIM_COUNTRY[[#All],[Column3]],,,)</f>
        <v>USMCA</v>
      </c>
    </row>
    <row r="779" spans="1:9" x14ac:dyDescent="0.4">
      <c r="A779" t="s">
        <v>61</v>
      </c>
      <c r="B779" s="1">
        <v>45261</v>
      </c>
      <c r="C779">
        <v>700910</v>
      </c>
      <c r="D779" t="s">
        <v>176</v>
      </c>
      <c r="E779">
        <v>301670</v>
      </c>
      <c r="F779">
        <v>4699</v>
      </c>
      <c r="G779">
        <v>1984</v>
      </c>
      <c r="H779">
        <f>_xlfn.XLOOKUP(FACT_IMPORTS[[#This Row],[hts_6]],DIM_PRODUCTS[hts_6],DIM_PRODUCTS[hts_4],,,)</f>
        <v>7009</v>
      </c>
      <c r="I779" t="str" cm="1">
        <f t="array" ref="I779">_xlfn.XLOOKUP(FACT_IMPORTS[[#This Row],[country_name]],DIM_COUNTRY[[#All],[Column2]],DIM_COUNTRY[[#All],[Column3]],,,)</f>
        <v>USMCA</v>
      </c>
    </row>
    <row r="780" spans="1:9" x14ac:dyDescent="0.4">
      <c r="A780" t="s">
        <v>61</v>
      </c>
      <c r="B780" s="1">
        <v>45261</v>
      </c>
      <c r="C780">
        <v>732010</v>
      </c>
      <c r="D780" t="s">
        <v>176</v>
      </c>
      <c r="E780">
        <v>2378060</v>
      </c>
      <c r="F780">
        <v>761848</v>
      </c>
      <c r="G780">
        <v>17237</v>
      </c>
      <c r="H780">
        <f>_xlfn.XLOOKUP(FACT_IMPORTS[[#This Row],[hts_6]],DIM_PRODUCTS[hts_6],DIM_PRODUCTS[hts_4],,,)</f>
        <v>7320</v>
      </c>
      <c r="I780" t="str" cm="1">
        <f t="array" ref="I780">_xlfn.XLOOKUP(FACT_IMPORTS[[#This Row],[country_name]],DIM_COUNTRY[[#All],[Column2]],DIM_COUNTRY[[#All],[Column3]],,,)</f>
        <v>USMCA</v>
      </c>
    </row>
    <row r="781" spans="1:9" x14ac:dyDescent="0.4">
      <c r="A781" t="s">
        <v>61</v>
      </c>
      <c r="B781" s="1">
        <v>45261</v>
      </c>
      <c r="C781">
        <v>830230</v>
      </c>
      <c r="D781" t="s">
        <v>176</v>
      </c>
      <c r="E781">
        <v>29049515</v>
      </c>
      <c r="F781">
        <v>6143878</v>
      </c>
      <c r="G781">
        <v>1060811</v>
      </c>
      <c r="H781">
        <f>_xlfn.XLOOKUP(FACT_IMPORTS[[#This Row],[hts_6]],DIM_PRODUCTS[hts_6],DIM_PRODUCTS[hts_4],,,)</f>
        <v>8302</v>
      </c>
      <c r="I781" t="str" cm="1">
        <f t="array" ref="I781">_xlfn.XLOOKUP(FACT_IMPORTS[[#This Row],[country_name]],DIM_COUNTRY[[#All],[Column2]],DIM_COUNTRY[[#All],[Column3]],,,)</f>
        <v>USMCA</v>
      </c>
    </row>
    <row r="782" spans="1:9" x14ac:dyDescent="0.4">
      <c r="A782" t="s">
        <v>61</v>
      </c>
      <c r="B782" s="1">
        <v>45261</v>
      </c>
      <c r="C782">
        <v>840731</v>
      </c>
      <c r="D782" t="s">
        <v>176</v>
      </c>
      <c r="E782">
        <v>0</v>
      </c>
      <c r="F782">
        <v>0</v>
      </c>
      <c r="G782">
        <v>0</v>
      </c>
      <c r="H782">
        <f>_xlfn.XLOOKUP(FACT_IMPORTS[[#This Row],[hts_6]],DIM_PRODUCTS[hts_6],DIM_PRODUCTS[hts_4],,,)</f>
        <v>8407</v>
      </c>
      <c r="I782" t="str" cm="1">
        <f t="array" ref="I782">_xlfn.XLOOKUP(FACT_IMPORTS[[#This Row],[country_name]],DIM_COUNTRY[[#All],[Column2]],DIM_COUNTRY[[#All],[Column3]],,,)</f>
        <v>USMCA</v>
      </c>
    </row>
    <row r="783" spans="1:9" x14ac:dyDescent="0.4">
      <c r="A783" t="s">
        <v>61</v>
      </c>
      <c r="B783" s="1">
        <v>45261</v>
      </c>
      <c r="C783">
        <v>840733</v>
      </c>
      <c r="D783" t="s">
        <v>176</v>
      </c>
      <c r="E783">
        <v>6000</v>
      </c>
      <c r="F783">
        <v>1</v>
      </c>
      <c r="G783">
        <v>1059</v>
      </c>
      <c r="H783">
        <f>_xlfn.XLOOKUP(FACT_IMPORTS[[#This Row],[hts_6]],DIM_PRODUCTS[hts_6],DIM_PRODUCTS[hts_4],,,)</f>
        <v>8407</v>
      </c>
      <c r="I783" t="str" cm="1">
        <f t="array" ref="I783">_xlfn.XLOOKUP(FACT_IMPORTS[[#This Row],[country_name]],DIM_COUNTRY[[#All],[Column2]],DIM_COUNTRY[[#All],[Column3]],,,)</f>
        <v>USMCA</v>
      </c>
    </row>
    <row r="784" spans="1:9" x14ac:dyDescent="0.4">
      <c r="A784" t="s">
        <v>61</v>
      </c>
      <c r="B784" s="1">
        <v>45261</v>
      </c>
      <c r="C784">
        <v>840734</v>
      </c>
      <c r="D784" t="s">
        <v>176</v>
      </c>
      <c r="E784">
        <v>171584393</v>
      </c>
      <c r="F784">
        <v>51792</v>
      </c>
      <c r="G784">
        <v>195222</v>
      </c>
      <c r="H784">
        <f>_xlfn.XLOOKUP(FACT_IMPORTS[[#This Row],[hts_6]],DIM_PRODUCTS[hts_6],DIM_PRODUCTS[hts_4],,,)</f>
        <v>8407</v>
      </c>
      <c r="I784" t="str" cm="1">
        <f t="array" ref="I784">_xlfn.XLOOKUP(FACT_IMPORTS[[#This Row],[country_name]],DIM_COUNTRY[[#All],[Column2]],DIM_COUNTRY[[#All],[Column3]],,,)</f>
        <v>USMCA</v>
      </c>
    </row>
    <row r="785" spans="1:9" x14ac:dyDescent="0.4">
      <c r="A785" t="s">
        <v>61</v>
      </c>
      <c r="B785" s="1">
        <v>45261</v>
      </c>
      <c r="C785">
        <v>840790</v>
      </c>
      <c r="D785" t="s">
        <v>176</v>
      </c>
      <c r="E785">
        <v>21031728</v>
      </c>
      <c r="F785">
        <v>8419</v>
      </c>
      <c r="G785">
        <v>7556</v>
      </c>
      <c r="H785">
        <f>_xlfn.XLOOKUP(FACT_IMPORTS[[#This Row],[hts_6]],DIM_PRODUCTS[hts_6],DIM_PRODUCTS[hts_4],,,)</f>
        <v>8407</v>
      </c>
      <c r="I785" t="str" cm="1">
        <f t="array" ref="I785">_xlfn.XLOOKUP(FACT_IMPORTS[[#This Row],[country_name]],DIM_COUNTRY[[#All],[Column2]],DIM_COUNTRY[[#All],[Column3]],,,)</f>
        <v>USMCA</v>
      </c>
    </row>
    <row r="786" spans="1:9" x14ac:dyDescent="0.4">
      <c r="A786" t="s">
        <v>61</v>
      </c>
      <c r="B786" s="1">
        <v>45261</v>
      </c>
      <c r="C786">
        <v>840820</v>
      </c>
      <c r="D786" t="s">
        <v>176</v>
      </c>
      <c r="E786">
        <v>620975</v>
      </c>
      <c r="F786">
        <v>89</v>
      </c>
      <c r="G786">
        <v>8364</v>
      </c>
      <c r="H786">
        <f>_xlfn.XLOOKUP(FACT_IMPORTS[[#This Row],[hts_6]],DIM_PRODUCTS[hts_6],DIM_PRODUCTS[hts_4],,,)</f>
        <v>8408</v>
      </c>
      <c r="I786" t="str" cm="1">
        <f t="array" ref="I786">_xlfn.XLOOKUP(FACT_IMPORTS[[#This Row],[country_name]],DIM_COUNTRY[[#All],[Column2]],DIM_COUNTRY[[#All],[Column3]],,,)</f>
        <v>USMCA</v>
      </c>
    </row>
    <row r="787" spans="1:9" x14ac:dyDescent="0.4">
      <c r="A787" t="s">
        <v>61</v>
      </c>
      <c r="B787" s="1">
        <v>45261</v>
      </c>
      <c r="C787">
        <v>840890</v>
      </c>
      <c r="D787" t="s">
        <v>176</v>
      </c>
      <c r="E787">
        <v>225732</v>
      </c>
      <c r="F787">
        <v>30</v>
      </c>
      <c r="G787">
        <v>1010</v>
      </c>
      <c r="H787">
        <f>_xlfn.XLOOKUP(FACT_IMPORTS[[#This Row],[hts_6]],DIM_PRODUCTS[hts_6],DIM_PRODUCTS[hts_4],,,)</f>
        <v>8408</v>
      </c>
      <c r="I787" t="str" cm="1">
        <f t="array" ref="I787">_xlfn.XLOOKUP(FACT_IMPORTS[[#This Row],[country_name]],DIM_COUNTRY[[#All],[Column2]],DIM_COUNTRY[[#All],[Column3]],,,)</f>
        <v>USMCA</v>
      </c>
    </row>
    <row r="788" spans="1:9" x14ac:dyDescent="0.4">
      <c r="A788" t="s">
        <v>61</v>
      </c>
      <c r="B788" s="1">
        <v>45261</v>
      </c>
      <c r="C788">
        <v>840991</v>
      </c>
      <c r="D788" t="s">
        <v>176</v>
      </c>
      <c r="E788">
        <v>27526977</v>
      </c>
      <c r="F788">
        <v>1942983</v>
      </c>
      <c r="G788">
        <v>130659</v>
      </c>
      <c r="H788">
        <f>_xlfn.XLOOKUP(FACT_IMPORTS[[#This Row],[hts_6]],DIM_PRODUCTS[hts_6],DIM_PRODUCTS[hts_4],,,)</f>
        <v>8409</v>
      </c>
      <c r="I788" t="str" cm="1">
        <f t="array" ref="I788">_xlfn.XLOOKUP(FACT_IMPORTS[[#This Row],[country_name]],DIM_COUNTRY[[#All],[Column2]],DIM_COUNTRY[[#All],[Column3]],,,)</f>
        <v>USMCA</v>
      </c>
    </row>
    <row r="789" spans="1:9" x14ac:dyDescent="0.4">
      <c r="A789" t="s">
        <v>61</v>
      </c>
      <c r="B789" s="1">
        <v>45261</v>
      </c>
      <c r="C789">
        <v>840999</v>
      </c>
      <c r="D789" t="s">
        <v>176</v>
      </c>
      <c r="E789">
        <v>10020232</v>
      </c>
      <c r="F789">
        <v>794785</v>
      </c>
      <c r="G789">
        <v>62992</v>
      </c>
      <c r="H789">
        <f>_xlfn.XLOOKUP(FACT_IMPORTS[[#This Row],[hts_6]],DIM_PRODUCTS[hts_6],DIM_PRODUCTS[hts_4],,,)</f>
        <v>8409</v>
      </c>
      <c r="I789" t="str" cm="1">
        <f t="array" ref="I789">_xlfn.XLOOKUP(FACT_IMPORTS[[#This Row],[country_name]],DIM_COUNTRY[[#All],[Column2]],DIM_COUNTRY[[#All],[Column3]],,,)</f>
        <v>USMCA</v>
      </c>
    </row>
    <row r="790" spans="1:9" x14ac:dyDescent="0.4">
      <c r="A790" t="s">
        <v>61</v>
      </c>
      <c r="B790" s="1">
        <v>45261</v>
      </c>
      <c r="C790">
        <v>841330</v>
      </c>
      <c r="D790" t="s">
        <v>176</v>
      </c>
      <c r="E790">
        <v>7424579</v>
      </c>
      <c r="F790">
        <v>136606</v>
      </c>
      <c r="G790">
        <v>31986</v>
      </c>
      <c r="H790">
        <f>_xlfn.XLOOKUP(FACT_IMPORTS[[#This Row],[hts_6]],DIM_PRODUCTS[hts_6],DIM_PRODUCTS[hts_4],,,)</f>
        <v>8413</v>
      </c>
      <c r="I790" t="str" cm="1">
        <f t="array" ref="I790">_xlfn.XLOOKUP(FACT_IMPORTS[[#This Row],[country_name]],DIM_COUNTRY[[#All],[Column2]],DIM_COUNTRY[[#All],[Column3]],,,)</f>
        <v>USMCA</v>
      </c>
    </row>
    <row r="791" spans="1:9" x14ac:dyDescent="0.4">
      <c r="A791" t="s">
        <v>61</v>
      </c>
      <c r="B791" s="1">
        <v>45261</v>
      </c>
      <c r="C791">
        <v>841520</v>
      </c>
      <c r="D791" t="s">
        <v>176</v>
      </c>
      <c r="E791">
        <v>4900590</v>
      </c>
      <c r="F791">
        <v>29879</v>
      </c>
      <c r="G791">
        <v>72140</v>
      </c>
      <c r="H791">
        <f>_xlfn.XLOOKUP(FACT_IMPORTS[[#This Row],[hts_6]],DIM_PRODUCTS[hts_6],DIM_PRODUCTS[hts_4],,,)</f>
        <v>8415</v>
      </c>
      <c r="I791" t="str" cm="1">
        <f t="array" ref="I791">_xlfn.XLOOKUP(FACT_IMPORTS[[#This Row],[country_name]],DIM_COUNTRY[[#All],[Column2]],DIM_COUNTRY[[#All],[Column3]],,,)</f>
        <v>USMCA</v>
      </c>
    </row>
    <row r="792" spans="1:9" x14ac:dyDescent="0.4">
      <c r="A792" t="s">
        <v>61</v>
      </c>
      <c r="B792" s="1">
        <v>45261</v>
      </c>
      <c r="C792">
        <v>842132</v>
      </c>
      <c r="D792" t="s">
        <v>176</v>
      </c>
      <c r="E792">
        <v>10022501</v>
      </c>
      <c r="F792">
        <v>59282</v>
      </c>
      <c r="G792">
        <v>48713</v>
      </c>
      <c r="H792">
        <f>_xlfn.XLOOKUP(FACT_IMPORTS[[#This Row],[hts_6]],DIM_PRODUCTS[hts_6],DIM_PRODUCTS[hts_4],,,)</f>
        <v>8421</v>
      </c>
      <c r="I792" t="str" cm="1">
        <f t="array" ref="I792">_xlfn.XLOOKUP(FACT_IMPORTS[[#This Row],[country_name]],DIM_COUNTRY[[#All],[Column2]],DIM_COUNTRY[[#All],[Column3]],,,)</f>
        <v>USMCA</v>
      </c>
    </row>
    <row r="793" spans="1:9" x14ac:dyDescent="0.4">
      <c r="A793" t="s">
        <v>61</v>
      </c>
      <c r="B793" s="1">
        <v>45261</v>
      </c>
      <c r="C793">
        <v>848210</v>
      </c>
      <c r="D793" t="s">
        <v>176</v>
      </c>
      <c r="E793">
        <v>3550327</v>
      </c>
      <c r="F793">
        <v>822484</v>
      </c>
      <c r="G793">
        <v>39174</v>
      </c>
      <c r="H793">
        <f>_xlfn.XLOOKUP(FACT_IMPORTS[[#This Row],[hts_6]],DIM_PRODUCTS[hts_6],DIM_PRODUCTS[hts_4],,,)</f>
        <v>8482</v>
      </c>
      <c r="I793" t="str" cm="1">
        <f t="array" ref="I793">_xlfn.XLOOKUP(FACT_IMPORTS[[#This Row],[country_name]],DIM_COUNTRY[[#All],[Column2]],DIM_COUNTRY[[#All],[Column3]],,,)</f>
        <v>USMCA</v>
      </c>
    </row>
    <row r="794" spans="1:9" x14ac:dyDescent="0.4">
      <c r="A794" t="s">
        <v>61</v>
      </c>
      <c r="B794" s="1">
        <v>45261</v>
      </c>
      <c r="C794">
        <v>848220</v>
      </c>
      <c r="D794" t="s">
        <v>176</v>
      </c>
      <c r="E794">
        <v>929567</v>
      </c>
      <c r="F794">
        <v>20134</v>
      </c>
      <c r="G794">
        <v>6921</v>
      </c>
      <c r="H794">
        <f>_xlfn.XLOOKUP(FACT_IMPORTS[[#This Row],[hts_6]],DIM_PRODUCTS[hts_6],DIM_PRODUCTS[hts_4],,,)</f>
        <v>8482</v>
      </c>
      <c r="I794" t="str" cm="1">
        <f t="array" ref="I794">_xlfn.XLOOKUP(FACT_IMPORTS[[#This Row],[country_name]],DIM_COUNTRY[[#All],[Column2]],DIM_COUNTRY[[#All],[Column3]],,,)</f>
        <v>USMCA</v>
      </c>
    </row>
    <row r="795" spans="1:9" x14ac:dyDescent="0.4">
      <c r="A795" t="s">
        <v>61</v>
      </c>
      <c r="B795" s="1">
        <v>45261</v>
      </c>
      <c r="C795">
        <v>848310</v>
      </c>
      <c r="D795" t="s">
        <v>176</v>
      </c>
      <c r="E795">
        <v>13492627</v>
      </c>
      <c r="F795">
        <v>405277</v>
      </c>
      <c r="G795">
        <v>188335</v>
      </c>
      <c r="H795">
        <f>_xlfn.XLOOKUP(FACT_IMPORTS[[#This Row],[hts_6]],DIM_PRODUCTS[hts_6],DIM_PRODUCTS[hts_4],,,)</f>
        <v>8483</v>
      </c>
      <c r="I795" t="str" cm="1">
        <f t="array" ref="I795">_xlfn.XLOOKUP(FACT_IMPORTS[[#This Row],[country_name]],DIM_COUNTRY[[#All],[Column2]],DIM_COUNTRY[[#All],[Column3]],,,)</f>
        <v>USMCA</v>
      </c>
    </row>
    <row r="796" spans="1:9" x14ac:dyDescent="0.4">
      <c r="A796" t="s">
        <v>61</v>
      </c>
      <c r="B796" s="1">
        <v>45261</v>
      </c>
      <c r="C796">
        <v>850131</v>
      </c>
      <c r="D796" t="s">
        <v>176</v>
      </c>
      <c r="E796">
        <v>2132792</v>
      </c>
      <c r="F796">
        <v>43979</v>
      </c>
      <c r="G796">
        <v>14278</v>
      </c>
      <c r="H796">
        <f>_xlfn.XLOOKUP(FACT_IMPORTS[[#This Row],[hts_6]],DIM_PRODUCTS[hts_6],DIM_PRODUCTS[hts_4],,,)</f>
        <v>8501</v>
      </c>
      <c r="I796" t="str" cm="1">
        <f t="array" ref="I796">_xlfn.XLOOKUP(FACT_IMPORTS[[#This Row],[country_name]],DIM_COUNTRY[[#All],[Column2]],DIM_COUNTRY[[#All],[Column3]],,,)</f>
        <v>USMCA</v>
      </c>
    </row>
    <row r="797" spans="1:9" x14ac:dyDescent="0.4">
      <c r="A797" t="s">
        <v>61</v>
      </c>
      <c r="B797" s="1">
        <v>45261</v>
      </c>
      <c r="C797">
        <v>850132</v>
      </c>
      <c r="D797" t="s">
        <v>176</v>
      </c>
      <c r="E797">
        <v>345490</v>
      </c>
      <c r="F797">
        <v>760</v>
      </c>
      <c r="G797">
        <v>3036</v>
      </c>
      <c r="H797">
        <f>_xlfn.XLOOKUP(FACT_IMPORTS[[#This Row],[hts_6]],DIM_PRODUCTS[hts_6],DIM_PRODUCTS[hts_4],,,)</f>
        <v>8501</v>
      </c>
      <c r="I797" t="str" cm="1">
        <f t="array" ref="I797">_xlfn.XLOOKUP(FACT_IMPORTS[[#This Row],[country_name]],DIM_COUNTRY[[#All],[Column2]],DIM_COUNTRY[[#All],[Column3]],,,)</f>
        <v>USMCA</v>
      </c>
    </row>
    <row r="798" spans="1:9" x14ac:dyDescent="0.4">
      <c r="A798" t="s">
        <v>61</v>
      </c>
      <c r="B798" s="1">
        <v>45261</v>
      </c>
      <c r="C798">
        <v>850133</v>
      </c>
      <c r="D798" t="s">
        <v>176</v>
      </c>
      <c r="E798">
        <v>7500</v>
      </c>
      <c r="F798">
        <v>5</v>
      </c>
      <c r="G798">
        <v>225</v>
      </c>
      <c r="H798">
        <f>_xlfn.XLOOKUP(FACT_IMPORTS[[#This Row],[hts_6]],DIM_PRODUCTS[hts_6],DIM_PRODUCTS[hts_4],,,)</f>
        <v>8501</v>
      </c>
      <c r="I798" t="str" cm="1">
        <f t="array" ref="I798">_xlfn.XLOOKUP(FACT_IMPORTS[[#This Row],[country_name]],DIM_COUNTRY[[#All],[Column2]],DIM_COUNTRY[[#All],[Column3]],,,)</f>
        <v>USMCA</v>
      </c>
    </row>
    <row r="799" spans="1:9" x14ac:dyDescent="0.4">
      <c r="A799" t="s">
        <v>61</v>
      </c>
      <c r="B799" s="1">
        <v>45261</v>
      </c>
      <c r="C799">
        <v>850134</v>
      </c>
      <c r="D799" t="s">
        <v>176</v>
      </c>
      <c r="E799">
        <v>0</v>
      </c>
      <c r="F799">
        <v>0</v>
      </c>
      <c r="G799">
        <v>0</v>
      </c>
      <c r="H799">
        <f>_xlfn.XLOOKUP(FACT_IMPORTS[[#This Row],[hts_6]],DIM_PRODUCTS[hts_6],DIM_PRODUCTS[hts_4],,,)</f>
        <v>8501</v>
      </c>
      <c r="I799" t="str" cm="1">
        <f t="array" ref="I799">_xlfn.XLOOKUP(FACT_IMPORTS[[#This Row],[country_name]],DIM_COUNTRY[[#All],[Column2]],DIM_COUNTRY[[#All],[Column3]],,,)</f>
        <v>USMCA</v>
      </c>
    </row>
    <row r="800" spans="1:9" x14ac:dyDescent="0.4">
      <c r="A800" t="s">
        <v>61</v>
      </c>
      <c r="B800" s="1">
        <v>45261</v>
      </c>
      <c r="C800">
        <v>850152</v>
      </c>
      <c r="D800" t="s">
        <v>176</v>
      </c>
      <c r="E800">
        <v>1439283</v>
      </c>
      <c r="F800">
        <v>317</v>
      </c>
      <c r="G800">
        <v>11339</v>
      </c>
      <c r="H800">
        <f>_xlfn.XLOOKUP(FACT_IMPORTS[[#This Row],[hts_6]],DIM_PRODUCTS[hts_6],DIM_PRODUCTS[hts_4],,,)</f>
        <v>8501</v>
      </c>
      <c r="I800" t="str" cm="1">
        <f t="array" ref="I800">_xlfn.XLOOKUP(FACT_IMPORTS[[#This Row],[country_name]],DIM_COUNTRY[[#All],[Column2]],DIM_COUNTRY[[#All],[Column3]],,,)</f>
        <v>USMCA</v>
      </c>
    </row>
    <row r="801" spans="1:9" x14ac:dyDescent="0.4">
      <c r="A801" t="s">
        <v>61</v>
      </c>
      <c r="B801" s="1">
        <v>45261</v>
      </c>
      <c r="C801">
        <v>850153</v>
      </c>
      <c r="D801" t="s">
        <v>176</v>
      </c>
      <c r="E801">
        <v>241534</v>
      </c>
      <c r="F801">
        <v>23</v>
      </c>
      <c r="G801">
        <v>1831</v>
      </c>
      <c r="H801">
        <f>_xlfn.XLOOKUP(FACT_IMPORTS[[#This Row],[hts_6]],DIM_PRODUCTS[hts_6],DIM_PRODUCTS[hts_4],,,)</f>
        <v>8501</v>
      </c>
      <c r="I801" t="str" cm="1">
        <f t="array" ref="I801">_xlfn.XLOOKUP(FACT_IMPORTS[[#This Row],[country_name]],DIM_COUNTRY[[#All],[Column2]],DIM_COUNTRY[[#All],[Column3]],,,)</f>
        <v>USMCA</v>
      </c>
    </row>
    <row r="802" spans="1:9" x14ac:dyDescent="0.4">
      <c r="A802" t="s">
        <v>61</v>
      </c>
      <c r="B802" s="1">
        <v>45261</v>
      </c>
      <c r="C802">
        <v>850161</v>
      </c>
      <c r="D802" t="s">
        <v>176</v>
      </c>
      <c r="E802">
        <v>35332</v>
      </c>
      <c r="F802">
        <v>5</v>
      </c>
      <c r="G802">
        <v>4</v>
      </c>
      <c r="H802">
        <f>_xlfn.XLOOKUP(FACT_IMPORTS[[#This Row],[hts_6]],DIM_PRODUCTS[hts_6],DIM_PRODUCTS[hts_4],,,)</f>
        <v>8501</v>
      </c>
      <c r="I802" t="str" cm="1">
        <f t="array" ref="I802">_xlfn.XLOOKUP(FACT_IMPORTS[[#This Row],[country_name]],DIM_COUNTRY[[#All],[Column2]],DIM_COUNTRY[[#All],[Column3]],,,)</f>
        <v>USMCA</v>
      </c>
    </row>
    <row r="803" spans="1:9" x14ac:dyDescent="0.4">
      <c r="A803" t="s">
        <v>61</v>
      </c>
      <c r="B803" s="1">
        <v>45261</v>
      </c>
      <c r="C803">
        <v>850440</v>
      </c>
      <c r="D803" t="s">
        <v>176</v>
      </c>
      <c r="E803">
        <v>8433509</v>
      </c>
      <c r="F803">
        <v>11078</v>
      </c>
      <c r="G803">
        <v>78228</v>
      </c>
      <c r="H803">
        <f>_xlfn.XLOOKUP(FACT_IMPORTS[[#This Row],[hts_6]],DIM_PRODUCTS[hts_6],DIM_PRODUCTS[hts_4],,,)</f>
        <v>8504</v>
      </c>
      <c r="I803" t="str" cm="1">
        <f t="array" ref="I803">_xlfn.XLOOKUP(FACT_IMPORTS[[#This Row],[country_name]],DIM_COUNTRY[[#All],[Column2]],DIM_COUNTRY[[#All],[Column3]],,,)</f>
        <v>USMCA</v>
      </c>
    </row>
    <row r="804" spans="1:9" x14ac:dyDescent="0.4">
      <c r="A804" t="s">
        <v>61</v>
      </c>
      <c r="B804" s="1">
        <v>45261</v>
      </c>
      <c r="C804">
        <v>850710</v>
      </c>
      <c r="D804" t="s">
        <v>176</v>
      </c>
      <c r="E804">
        <v>1296699</v>
      </c>
      <c r="F804">
        <v>3413</v>
      </c>
      <c r="G804">
        <v>81531</v>
      </c>
      <c r="H804">
        <f>_xlfn.XLOOKUP(FACT_IMPORTS[[#This Row],[hts_6]],DIM_PRODUCTS[hts_6],DIM_PRODUCTS[hts_4],,,)</f>
        <v>8507</v>
      </c>
      <c r="I804" t="str" cm="1">
        <f t="array" ref="I804">_xlfn.XLOOKUP(FACT_IMPORTS[[#This Row],[country_name]],DIM_COUNTRY[[#All],[Column2]],DIM_COUNTRY[[#All],[Column3]],,,)</f>
        <v>USMCA</v>
      </c>
    </row>
    <row r="805" spans="1:9" x14ac:dyDescent="0.4">
      <c r="A805" t="s">
        <v>61</v>
      </c>
      <c r="B805" s="1">
        <v>45261</v>
      </c>
      <c r="C805">
        <v>850760</v>
      </c>
      <c r="D805" t="s">
        <v>176</v>
      </c>
      <c r="E805">
        <v>2644233</v>
      </c>
      <c r="F805">
        <v>781</v>
      </c>
      <c r="G805">
        <v>14025</v>
      </c>
      <c r="H805">
        <f>_xlfn.XLOOKUP(FACT_IMPORTS[[#This Row],[hts_6]],DIM_PRODUCTS[hts_6],DIM_PRODUCTS[hts_4],,,)</f>
        <v>8507</v>
      </c>
      <c r="I805" t="str" cm="1">
        <f t="array" ref="I805">_xlfn.XLOOKUP(FACT_IMPORTS[[#This Row],[country_name]],DIM_COUNTRY[[#All],[Column2]],DIM_COUNTRY[[#All],[Column3]],,,)</f>
        <v>USMCA</v>
      </c>
    </row>
    <row r="806" spans="1:9" x14ac:dyDescent="0.4">
      <c r="A806" t="s">
        <v>61</v>
      </c>
      <c r="B806" s="1">
        <v>45261</v>
      </c>
      <c r="C806">
        <v>850790</v>
      </c>
      <c r="D806" t="s">
        <v>176</v>
      </c>
      <c r="E806">
        <v>45936</v>
      </c>
      <c r="F806">
        <v>2456</v>
      </c>
      <c r="G806">
        <v>286</v>
      </c>
      <c r="H806">
        <f>_xlfn.XLOOKUP(FACT_IMPORTS[[#This Row],[hts_6]],DIM_PRODUCTS[hts_6],DIM_PRODUCTS[hts_4],,,)</f>
        <v>8507</v>
      </c>
      <c r="I806" t="str" cm="1">
        <f t="array" ref="I806">_xlfn.XLOOKUP(FACT_IMPORTS[[#This Row],[country_name]],DIM_COUNTRY[[#All],[Column2]],DIM_COUNTRY[[#All],[Column3]],,,)</f>
        <v>USMCA</v>
      </c>
    </row>
    <row r="807" spans="1:9" x14ac:dyDescent="0.4">
      <c r="A807" t="s">
        <v>61</v>
      </c>
      <c r="B807" s="1">
        <v>45261</v>
      </c>
      <c r="C807">
        <v>851110</v>
      </c>
      <c r="D807" t="s">
        <v>176</v>
      </c>
      <c r="E807">
        <v>0</v>
      </c>
      <c r="F807">
        <v>0</v>
      </c>
      <c r="G807">
        <v>0</v>
      </c>
      <c r="H807">
        <f>_xlfn.XLOOKUP(FACT_IMPORTS[[#This Row],[hts_6]],DIM_PRODUCTS[hts_6],DIM_PRODUCTS[hts_4],,,)</f>
        <v>8511</v>
      </c>
      <c r="I807" t="str" cm="1">
        <f t="array" ref="I807">_xlfn.XLOOKUP(FACT_IMPORTS[[#This Row],[country_name]],DIM_COUNTRY[[#All],[Column2]],DIM_COUNTRY[[#All],[Column3]],,,)</f>
        <v>USMCA</v>
      </c>
    </row>
    <row r="808" spans="1:9" x14ac:dyDescent="0.4">
      <c r="A808" t="s">
        <v>61</v>
      </c>
      <c r="B808" s="1">
        <v>45261</v>
      </c>
      <c r="C808">
        <v>851120</v>
      </c>
      <c r="D808" t="s">
        <v>176</v>
      </c>
      <c r="E808">
        <v>0</v>
      </c>
      <c r="F808">
        <v>0</v>
      </c>
      <c r="G808">
        <v>0</v>
      </c>
      <c r="H808">
        <f>_xlfn.XLOOKUP(FACT_IMPORTS[[#This Row],[hts_6]],DIM_PRODUCTS[hts_6],DIM_PRODUCTS[hts_4],,,)</f>
        <v>8511</v>
      </c>
      <c r="I808" t="str" cm="1">
        <f t="array" ref="I808">_xlfn.XLOOKUP(FACT_IMPORTS[[#This Row],[country_name]],DIM_COUNTRY[[#All],[Column2]],DIM_COUNTRY[[#All],[Column3]],,,)</f>
        <v>USMCA</v>
      </c>
    </row>
    <row r="809" spans="1:9" x14ac:dyDescent="0.4">
      <c r="A809" t="s">
        <v>61</v>
      </c>
      <c r="B809" s="1">
        <v>45261</v>
      </c>
      <c r="C809">
        <v>851130</v>
      </c>
      <c r="D809" t="s">
        <v>176</v>
      </c>
      <c r="E809">
        <v>3447</v>
      </c>
      <c r="F809">
        <v>2355</v>
      </c>
      <c r="G809">
        <v>31</v>
      </c>
      <c r="H809">
        <f>_xlfn.XLOOKUP(FACT_IMPORTS[[#This Row],[hts_6]],DIM_PRODUCTS[hts_6],DIM_PRODUCTS[hts_4],,,)</f>
        <v>8511</v>
      </c>
      <c r="I809" t="str" cm="1">
        <f t="array" ref="I809">_xlfn.XLOOKUP(FACT_IMPORTS[[#This Row],[country_name]],DIM_COUNTRY[[#All],[Column2]],DIM_COUNTRY[[#All],[Column3]],,,)</f>
        <v>USMCA</v>
      </c>
    </row>
    <row r="810" spans="1:9" x14ac:dyDescent="0.4">
      <c r="A810" t="s">
        <v>61</v>
      </c>
      <c r="B810" s="1">
        <v>45261</v>
      </c>
      <c r="C810">
        <v>851140</v>
      </c>
      <c r="D810" t="s">
        <v>176</v>
      </c>
      <c r="E810">
        <v>383305</v>
      </c>
      <c r="F810">
        <v>9101</v>
      </c>
      <c r="G810">
        <v>3109</v>
      </c>
      <c r="H810">
        <f>_xlfn.XLOOKUP(FACT_IMPORTS[[#This Row],[hts_6]],DIM_PRODUCTS[hts_6],DIM_PRODUCTS[hts_4],,,)</f>
        <v>8511</v>
      </c>
      <c r="I810" t="str" cm="1">
        <f t="array" ref="I810">_xlfn.XLOOKUP(FACT_IMPORTS[[#This Row],[country_name]],DIM_COUNTRY[[#All],[Column2]],DIM_COUNTRY[[#All],[Column3]],,,)</f>
        <v>USMCA</v>
      </c>
    </row>
    <row r="811" spans="1:9" x14ac:dyDescent="0.4">
      <c r="A811" t="s">
        <v>61</v>
      </c>
      <c r="B811" s="1">
        <v>45261</v>
      </c>
      <c r="C811">
        <v>851150</v>
      </c>
      <c r="D811" t="s">
        <v>176</v>
      </c>
      <c r="E811">
        <v>359671</v>
      </c>
      <c r="F811">
        <v>6683</v>
      </c>
      <c r="G811">
        <v>2053</v>
      </c>
      <c r="H811">
        <f>_xlfn.XLOOKUP(FACT_IMPORTS[[#This Row],[hts_6]],DIM_PRODUCTS[hts_6],DIM_PRODUCTS[hts_4],,,)</f>
        <v>8511</v>
      </c>
      <c r="I811" t="str" cm="1">
        <f t="array" ref="I811">_xlfn.XLOOKUP(FACT_IMPORTS[[#This Row],[country_name]],DIM_COUNTRY[[#All],[Column2]],DIM_COUNTRY[[#All],[Column3]],,,)</f>
        <v>USMCA</v>
      </c>
    </row>
    <row r="812" spans="1:9" x14ac:dyDescent="0.4">
      <c r="A812" t="s">
        <v>61</v>
      </c>
      <c r="B812" s="1">
        <v>45261</v>
      </c>
      <c r="C812">
        <v>851180</v>
      </c>
      <c r="D812" t="s">
        <v>176</v>
      </c>
      <c r="E812">
        <v>7800</v>
      </c>
      <c r="F812">
        <v>68</v>
      </c>
      <c r="G812">
        <v>220</v>
      </c>
      <c r="H812">
        <f>_xlfn.XLOOKUP(FACT_IMPORTS[[#This Row],[hts_6]],DIM_PRODUCTS[hts_6],DIM_PRODUCTS[hts_4],,,)</f>
        <v>8511</v>
      </c>
      <c r="I812" t="str" cm="1">
        <f t="array" ref="I812">_xlfn.XLOOKUP(FACT_IMPORTS[[#This Row],[country_name]],DIM_COUNTRY[[#All],[Column2]],DIM_COUNTRY[[#All],[Column3]],,,)</f>
        <v>USMCA</v>
      </c>
    </row>
    <row r="813" spans="1:9" x14ac:dyDescent="0.4">
      <c r="A813" t="s">
        <v>61</v>
      </c>
      <c r="B813" s="1">
        <v>45261</v>
      </c>
      <c r="C813">
        <v>851190</v>
      </c>
      <c r="D813" t="s">
        <v>176</v>
      </c>
      <c r="E813">
        <v>1003206</v>
      </c>
      <c r="F813">
        <v>8251</v>
      </c>
      <c r="G813">
        <v>4397</v>
      </c>
      <c r="H813">
        <f>_xlfn.XLOOKUP(FACT_IMPORTS[[#This Row],[hts_6]],DIM_PRODUCTS[hts_6],DIM_PRODUCTS[hts_4],,,)</f>
        <v>8511</v>
      </c>
      <c r="I813" t="str" cm="1">
        <f t="array" ref="I813">_xlfn.XLOOKUP(FACT_IMPORTS[[#This Row],[country_name]],DIM_COUNTRY[[#All],[Column2]],DIM_COUNTRY[[#All],[Column3]],,,)</f>
        <v>USMCA</v>
      </c>
    </row>
    <row r="814" spans="1:9" x14ac:dyDescent="0.4">
      <c r="A814" t="s">
        <v>61</v>
      </c>
      <c r="B814" s="1">
        <v>45261</v>
      </c>
      <c r="C814">
        <v>851220</v>
      </c>
      <c r="D814" t="s">
        <v>176</v>
      </c>
      <c r="E814">
        <v>17714603</v>
      </c>
      <c r="F814">
        <v>233077</v>
      </c>
      <c r="G814">
        <v>71929</v>
      </c>
      <c r="H814">
        <f>_xlfn.XLOOKUP(FACT_IMPORTS[[#This Row],[hts_6]],DIM_PRODUCTS[hts_6],DIM_PRODUCTS[hts_4],,,)</f>
        <v>8512</v>
      </c>
      <c r="I814" t="str" cm="1">
        <f t="array" ref="I814">_xlfn.XLOOKUP(FACT_IMPORTS[[#This Row],[country_name]],DIM_COUNTRY[[#All],[Column2]],DIM_COUNTRY[[#All],[Column3]],,,)</f>
        <v>USMCA</v>
      </c>
    </row>
    <row r="815" spans="1:9" x14ac:dyDescent="0.4">
      <c r="A815" t="s">
        <v>61</v>
      </c>
      <c r="B815" s="1">
        <v>45261</v>
      </c>
      <c r="C815">
        <v>851230</v>
      </c>
      <c r="D815" t="s">
        <v>176</v>
      </c>
      <c r="E815">
        <v>23388</v>
      </c>
      <c r="F815">
        <v>224</v>
      </c>
      <c r="G815">
        <v>297</v>
      </c>
      <c r="H815">
        <f>_xlfn.XLOOKUP(FACT_IMPORTS[[#This Row],[hts_6]],DIM_PRODUCTS[hts_6],DIM_PRODUCTS[hts_4],,,)</f>
        <v>8512</v>
      </c>
      <c r="I815" t="str" cm="1">
        <f t="array" ref="I815">_xlfn.XLOOKUP(FACT_IMPORTS[[#This Row],[country_name]],DIM_COUNTRY[[#All],[Column2]],DIM_COUNTRY[[#All],[Column3]],,,)</f>
        <v>USMCA</v>
      </c>
    </row>
    <row r="816" spans="1:9" x14ac:dyDescent="0.4">
      <c r="A816" t="s">
        <v>61</v>
      </c>
      <c r="B816" s="1">
        <v>45261</v>
      </c>
      <c r="C816">
        <v>851240</v>
      </c>
      <c r="D816" t="s">
        <v>176</v>
      </c>
      <c r="E816">
        <v>0</v>
      </c>
      <c r="F816">
        <v>0</v>
      </c>
      <c r="G816">
        <v>0</v>
      </c>
      <c r="H816">
        <f>_xlfn.XLOOKUP(FACT_IMPORTS[[#This Row],[hts_6]],DIM_PRODUCTS[hts_6],DIM_PRODUCTS[hts_4],,,)</f>
        <v>8512</v>
      </c>
      <c r="I816" t="str" cm="1">
        <f t="array" ref="I816">_xlfn.XLOOKUP(FACT_IMPORTS[[#This Row],[country_name]],DIM_COUNTRY[[#All],[Column2]],DIM_COUNTRY[[#All],[Column3]],,,)</f>
        <v>USMCA</v>
      </c>
    </row>
    <row r="817" spans="1:9" x14ac:dyDescent="0.4">
      <c r="A817" t="s">
        <v>61</v>
      </c>
      <c r="B817" s="1">
        <v>45261</v>
      </c>
      <c r="C817">
        <v>851290</v>
      </c>
      <c r="D817" t="s">
        <v>176</v>
      </c>
      <c r="E817">
        <v>1362421</v>
      </c>
      <c r="F817">
        <v>22146</v>
      </c>
      <c r="G817">
        <v>4271</v>
      </c>
      <c r="H817">
        <f>_xlfn.XLOOKUP(FACT_IMPORTS[[#This Row],[hts_6]],DIM_PRODUCTS[hts_6],DIM_PRODUCTS[hts_4],,,)</f>
        <v>8512</v>
      </c>
      <c r="I817" t="str" cm="1">
        <f t="array" ref="I817">_xlfn.XLOOKUP(FACT_IMPORTS[[#This Row],[country_name]],DIM_COUNTRY[[#All],[Column2]],DIM_COUNTRY[[#All],[Column3]],,,)</f>
        <v>USMCA</v>
      </c>
    </row>
    <row r="818" spans="1:9" x14ac:dyDescent="0.4">
      <c r="A818" t="s">
        <v>61</v>
      </c>
      <c r="B818" s="1">
        <v>45261</v>
      </c>
      <c r="C818">
        <v>854231</v>
      </c>
      <c r="D818" t="s">
        <v>176</v>
      </c>
      <c r="E818">
        <v>54104</v>
      </c>
      <c r="F818">
        <v>374</v>
      </c>
      <c r="G818">
        <v>716</v>
      </c>
      <c r="H818">
        <f>_xlfn.XLOOKUP(FACT_IMPORTS[[#This Row],[hts_6]],DIM_PRODUCTS[hts_6],DIM_PRODUCTS[hts_4],,,)</f>
        <v>8542</v>
      </c>
      <c r="I818" t="str" cm="1">
        <f t="array" ref="I818">_xlfn.XLOOKUP(FACT_IMPORTS[[#This Row],[country_name]],DIM_COUNTRY[[#All],[Column2]],DIM_COUNTRY[[#All],[Column3]],,,)</f>
        <v>USMCA</v>
      </c>
    </row>
    <row r="819" spans="1:9" x14ac:dyDescent="0.4">
      <c r="A819" t="s">
        <v>61</v>
      </c>
      <c r="B819" s="1">
        <v>45261</v>
      </c>
      <c r="C819">
        <v>854232</v>
      </c>
      <c r="D819" t="s">
        <v>176</v>
      </c>
      <c r="E819">
        <v>393187</v>
      </c>
      <c r="F819">
        <v>949198</v>
      </c>
      <c r="G819">
        <v>177</v>
      </c>
      <c r="H819">
        <f>_xlfn.XLOOKUP(FACT_IMPORTS[[#This Row],[hts_6]],DIM_PRODUCTS[hts_6],DIM_PRODUCTS[hts_4],,,)</f>
        <v>8542</v>
      </c>
      <c r="I819" t="str" cm="1">
        <f t="array" ref="I819">_xlfn.XLOOKUP(FACT_IMPORTS[[#This Row],[country_name]],DIM_COUNTRY[[#All],[Column2]],DIM_COUNTRY[[#All],[Column3]],,,)</f>
        <v>USMCA</v>
      </c>
    </row>
    <row r="820" spans="1:9" x14ac:dyDescent="0.4">
      <c r="A820" t="s">
        <v>61</v>
      </c>
      <c r="B820" s="1">
        <v>45261</v>
      </c>
      <c r="C820">
        <v>854233</v>
      </c>
      <c r="D820" t="s">
        <v>176</v>
      </c>
      <c r="E820">
        <v>0</v>
      </c>
      <c r="F820">
        <v>0</v>
      </c>
      <c r="G820">
        <v>0</v>
      </c>
      <c r="H820">
        <f>_xlfn.XLOOKUP(FACT_IMPORTS[[#This Row],[hts_6]],DIM_PRODUCTS[hts_6],DIM_PRODUCTS[hts_4],,,)</f>
        <v>8542</v>
      </c>
      <c r="I820" t="str" cm="1">
        <f t="array" ref="I820">_xlfn.XLOOKUP(FACT_IMPORTS[[#This Row],[country_name]],DIM_COUNTRY[[#All],[Column2]],DIM_COUNTRY[[#All],[Column3]],,,)</f>
        <v>USMCA</v>
      </c>
    </row>
    <row r="821" spans="1:9" x14ac:dyDescent="0.4">
      <c r="A821" t="s">
        <v>61</v>
      </c>
      <c r="B821" s="1">
        <v>45261</v>
      </c>
      <c r="C821">
        <v>854239</v>
      </c>
      <c r="D821" t="s">
        <v>176</v>
      </c>
      <c r="E821">
        <v>200377</v>
      </c>
      <c r="F821">
        <v>1756</v>
      </c>
      <c r="G821">
        <v>752</v>
      </c>
      <c r="H821">
        <f>_xlfn.XLOOKUP(FACT_IMPORTS[[#This Row],[hts_6]],DIM_PRODUCTS[hts_6],DIM_PRODUCTS[hts_4],,,)</f>
        <v>8542</v>
      </c>
      <c r="I821" t="str" cm="1">
        <f t="array" ref="I821">_xlfn.XLOOKUP(FACT_IMPORTS[[#This Row],[country_name]],DIM_COUNTRY[[#All],[Column2]],DIM_COUNTRY[[#All],[Column3]],,,)</f>
        <v>USMCA</v>
      </c>
    </row>
    <row r="822" spans="1:9" x14ac:dyDescent="0.4">
      <c r="A822" t="s">
        <v>61</v>
      </c>
      <c r="B822" s="1">
        <v>45261</v>
      </c>
      <c r="C822">
        <v>854290</v>
      </c>
      <c r="D822" t="s">
        <v>176</v>
      </c>
      <c r="E822">
        <v>0</v>
      </c>
      <c r="F822">
        <v>0</v>
      </c>
      <c r="G822">
        <v>0</v>
      </c>
      <c r="H822">
        <f>_xlfn.XLOOKUP(FACT_IMPORTS[[#This Row],[hts_6]],DIM_PRODUCTS[hts_6],DIM_PRODUCTS[hts_4],,,)</f>
        <v>8542</v>
      </c>
      <c r="I822" t="str" cm="1">
        <f t="array" ref="I822">_xlfn.XLOOKUP(FACT_IMPORTS[[#This Row],[country_name]],DIM_COUNTRY[[#All],[Column2]],DIM_COUNTRY[[#All],[Column3]],,,)</f>
        <v>USMCA</v>
      </c>
    </row>
    <row r="823" spans="1:9" x14ac:dyDescent="0.4">
      <c r="A823" t="s">
        <v>61</v>
      </c>
      <c r="B823" s="1">
        <v>45261</v>
      </c>
      <c r="C823">
        <v>854430</v>
      </c>
      <c r="D823" t="s">
        <v>176</v>
      </c>
      <c r="E823">
        <v>1383998</v>
      </c>
      <c r="F823">
        <v>43390</v>
      </c>
      <c r="G823">
        <v>8264</v>
      </c>
      <c r="H823">
        <f>_xlfn.XLOOKUP(FACT_IMPORTS[[#This Row],[hts_6]],DIM_PRODUCTS[hts_6],DIM_PRODUCTS[hts_4],,,)</f>
        <v>8544</v>
      </c>
      <c r="I823" t="str" cm="1">
        <f t="array" ref="I823">_xlfn.XLOOKUP(FACT_IMPORTS[[#This Row],[country_name]],DIM_COUNTRY[[#All],[Column2]],DIM_COUNTRY[[#All],[Column3]],,,)</f>
        <v>USMCA</v>
      </c>
    </row>
    <row r="824" spans="1:9" x14ac:dyDescent="0.4">
      <c r="A824" t="s">
        <v>61</v>
      </c>
      <c r="B824" s="1">
        <v>45261</v>
      </c>
      <c r="C824">
        <v>870710</v>
      </c>
      <c r="D824" t="s">
        <v>176</v>
      </c>
      <c r="E824">
        <v>14349</v>
      </c>
      <c r="F824">
        <v>1</v>
      </c>
      <c r="G824">
        <v>100</v>
      </c>
      <c r="H824">
        <f>_xlfn.XLOOKUP(FACT_IMPORTS[[#This Row],[hts_6]],DIM_PRODUCTS[hts_6],DIM_PRODUCTS[hts_4],,,)</f>
        <v>8707</v>
      </c>
      <c r="I824" t="str" cm="1">
        <f t="array" ref="I824">_xlfn.XLOOKUP(FACT_IMPORTS[[#This Row],[country_name]],DIM_COUNTRY[[#All],[Column2]],DIM_COUNTRY[[#All],[Column3]],,,)</f>
        <v>USMCA</v>
      </c>
    </row>
    <row r="825" spans="1:9" x14ac:dyDescent="0.4">
      <c r="A825" t="s">
        <v>61</v>
      </c>
      <c r="B825" s="1">
        <v>45261</v>
      </c>
      <c r="C825">
        <v>870790</v>
      </c>
      <c r="D825" t="s">
        <v>176</v>
      </c>
      <c r="E825">
        <v>3190216</v>
      </c>
      <c r="F825">
        <v>233</v>
      </c>
      <c r="G825">
        <v>18301</v>
      </c>
      <c r="H825">
        <f>_xlfn.XLOOKUP(FACT_IMPORTS[[#This Row],[hts_6]],DIM_PRODUCTS[hts_6],DIM_PRODUCTS[hts_4],,,)</f>
        <v>8707</v>
      </c>
      <c r="I825" t="str" cm="1">
        <f t="array" ref="I825">_xlfn.XLOOKUP(FACT_IMPORTS[[#This Row],[country_name]],DIM_COUNTRY[[#All],[Column2]],DIM_COUNTRY[[#All],[Column3]],,,)</f>
        <v>USMCA</v>
      </c>
    </row>
    <row r="826" spans="1:9" x14ac:dyDescent="0.4">
      <c r="A826" t="s">
        <v>61</v>
      </c>
      <c r="B826" s="1">
        <v>45261</v>
      </c>
      <c r="C826">
        <v>870810</v>
      </c>
      <c r="D826" t="s">
        <v>176</v>
      </c>
      <c r="E826">
        <v>19567275</v>
      </c>
      <c r="F826">
        <v>888124</v>
      </c>
      <c r="G826">
        <v>317056</v>
      </c>
      <c r="H826">
        <f>_xlfn.XLOOKUP(FACT_IMPORTS[[#This Row],[hts_6]],DIM_PRODUCTS[hts_6],DIM_PRODUCTS[hts_4],,,)</f>
        <v>8708</v>
      </c>
      <c r="I826" t="str" cm="1">
        <f t="array" ref="I826">_xlfn.XLOOKUP(FACT_IMPORTS[[#This Row],[country_name]],DIM_COUNTRY[[#All],[Column2]],DIM_COUNTRY[[#All],[Column3]],,,)</f>
        <v>USMCA</v>
      </c>
    </row>
    <row r="827" spans="1:9" x14ac:dyDescent="0.4">
      <c r="A827" t="s">
        <v>61</v>
      </c>
      <c r="B827" s="1">
        <v>45261</v>
      </c>
      <c r="C827">
        <v>870821</v>
      </c>
      <c r="D827" t="s">
        <v>176</v>
      </c>
      <c r="E827">
        <v>314875</v>
      </c>
      <c r="F827">
        <v>13663</v>
      </c>
      <c r="G827">
        <v>2470</v>
      </c>
      <c r="H827">
        <f>_xlfn.XLOOKUP(FACT_IMPORTS[[#This Row],[hts_6]],DIM_PRODUCTS[hts_6],DIM_PRODUCTS[hts_4],,,)</f>
        <v>8708</v>
      </c>
      <c r="I827" t="str" cm="1">
        <f t="array" ref="I827">_xlfn.XLOOKUP(FACT_IMPORTS[[#This Row],[country_name]],DIM_COUNTRY[[#All],[Column2]],DIM_COUNTRY[[#All],[Column3]],,,)</f>
        <v>USMCA</v>
      </c>
    </row>
    <row r="828" spans="1:9" x14ac:dyDescent="0.4">
      <c r="A828" t="s">
        <v>61</v>
      </c>
      <c r="B828" s="1">
        <v>45261</v>
      </c>
      <c r="C828">
        <v>870822</v>
      </c>
      <c r="D828" t="s">
        <v>176</v>
      </c>
      <c r="E828">
        <v>3945411</v>
      </c>
      <c r="F828">
        <v>72735</v>
      </c>
      <c r="G828">
        <v>138941</v>
      </c>
      <c r="H828">
        <f>_xlfn.XLOOKUP(FACT_IMPORTS[[#This Row],[hts_6]],DIM_PRODUCTS[hts_6],DIM_PRODUCTS[hts_4],,,)</f>
        <v>8708</v>
      </c>
      <c r="I828" t="str" cm="1">
        <f t="array" ref="I828">_xlfn.XLOOKUP(FACT_IMPORTS[[#This Row],[country_name]],DIM_COUNTRY[[#All],[Column2]],DIM_COUNTRY[[#All],[Column3]],,,)</f>
        <v>USMCA</v>
      </c>
    </row>
    <row r="829" spans="1:9" x14ac:dyDescent="0.4">
      <c r="A829" t="s">
        <v>61</v>
      </c>
      <c r="B829" s="1">
        <v>45261</v>
      </c>
      <c r="C829">
        <v>870829</v>
      </c>
      <c r="D829" t="s">
        <v>176</v>
      </c>
      <c r="E829">
        <v>316283739</v>
      </c>
      <c r="F829">
        <v>40779441</v>
      </c>
      <c r="G829">
        <v>6607288</v>
      </c>
      <c r="H829">
        <f>_xlfn.XLOOKUP(FACT_IMPORTS[[#This Row],[hts_6]],DIM_PRODUCTS[hts_6],DIM_PRODUCTS[hts_4],,,)</f>
        <v>8708</v>
      </c>
      <c r="I829" t="str" cm="1">
        <f t="array" ref="I829">_xlfn.XLOOKUP(FACT_IMPORTS[[#This Row],[country_name]],DIM_COUNTRY[[#All],[Column2]],DIM_COUNTRY[[#All],[Column3]],,,)</f>
        <v>USMCA</v>
      </c>
    </row>
    <row r="830" spans="1:9" x14ac:dyDescent="0.4">
      <c r="A830" t="s">
        <v>61</v>
      </c>
      <c r="B830" s="1">
        <v>45261</v>
      </c>
      <c r="C830">
        <v>870830</v>
      </c>
      <c r="D830" t="s">
        <v>176</v>
      </c>
      <c r="E830">
        <v>9414437</v>
      </c>
      <c r="F830">
        <v>2032331</v>
      </c>
      <c r="G830">
        <v>160922</v>
      </c>
      <c r="H830">
        <f>_xlfn.XLOOKUP(FACT_IMPORTS[[#This Row],[hts_6]],DIM_PRODUCTS[hts_6],DIM_PRODUCTS[hts_4],,,)</f>
        <v>8708</v>
      </c>
      <c r="I830" t="str" cm="1">
        <f t="array" ref="I830">_xlfn.XLOOKUP(FACT_IMPORTS[[#This Row],[country_name]],DIM_COUNTRY[[#All],[Column2]],DIM_COUNTRY[[#All],[Column3]],,,)</f>
        <v>USMCA</v>
      </c>
    </row>
    <row r="831" spans="1:9" x14ac:dyDescent="0.4">
      <c r="A831" t="s">
        <v>61</v>
      </c>
      <c r="B831" s="1">
        <v>45261</v>
      </c>
      <c r="C831">
        <v>870840</v>
      </c>
      <c r="D831" t="s">
        <v>176</v>
      </c>
      <c r="E831">
        <v>78479215</v>
      </c>
      <c r="F831">
        <v>3468646</v>
      </c>
      <c r="G831">
        <v>386788</v>
      </c>
      <c r="H831">
        <f>_xlfn.XLOOKUP(FACT_IMPORTS[[#This Row],[hts_6]],DIM_PRODUCTS[hts_6],DIM_PRODUCTS[hts_4],,,)</f>
        <v>8708</v>
      </c>
      <c r="I831" t="str" cm="1">
        <f t="array" ref="I831">_xlfn.XLOOKUP(FACT_IMPORTS[[#This Row],[country_name]],DIM_COUNTRY[[#All],[Column2]],DIM_COUNTRY[[#All],[Column3]],,,)</f>
        <v>USMCA</v>
      </c>
    </row>
    <row r="832" spans="1:9" x14ac:dyDescent="0.4">
      <c r="A832" t="s">
        <v>61</v>
      </c>
      <c r="B832" s="1">
        <v>45261</v>
      </c>
      <c r="C832">
        <v>870850</v>
      </c>
      <c r="D832" t="s">
        <v>176</v>
      </c>
      <c r="E832">
        <v>21339787</v>
      </c>
      <c r="F832">
        <v>1174606</v>
      </c>
      <c r="G832">
        <v>127990</v>
      </c>
      <c r="H832">
        <f>_xlfn.XLOOKUP(FACT_IMPORTS[[#This Row],[hts_6]],DIM_PRODUCTS[hts_6],DIM_PRODUCTS[hts_4],,,)</f>
        <v>8708</v>
      </c>
      <c r="I832" t="str" cm="1">
        <f t="array" ref="I832">_xlfn.XLOOKUP(FACT_IMPORTS[[#This Row],[country_name]],DIM_COUNTRY[[#All],[Column2]],DIM_COUNTRY[[#All],[Column3]],,,)</f>
        <v>USMCA</v>
      </c>
    </row>
    <row r="833" spans="1:9" x14ac:dyDescent="0.4">
      <c r="A833" t="s">
        <v>61</v>
      </c>
      <c r="B833" s="1">
        <v>45261</v>
      </c>
      <c r="C833">
        <v>870870</v>
      </c>
      <c r="D833" t="s">
        <v>176</v>
      </c>
      <c r="E833">
        <v>7134039</v>
      </c>
      <c r="F833">
        <v>6585049</v>
      </c>
      <c r="G833">
        <v>87158</v>
      </c>
      <c r="H833">
        <f>_xlfn.XLOOKUP(FACT_IMPORTS[[#This Row],[hts_6]],DIM_PRODUCTS[hts_6],DIM_PRODUCTS[hts_4],,,)</f>
        <v>8708</v>
      </c>
      <c r="I833" t="str" cm="1">
        <f t="array" ref="I833">_xlfn.XLOOKUP(FACT_IMPORTS[[#This Row],[country_name]],DIM_COUNTRY[[#All],[Column2]],DIM_COUNTRY[[#All],[Column3]],,,)</f>
        <v>USMCA</v>
      </c>
    </row>
    <row r="834" spans="1:9" x14ac:dyDescent="0.4">
      <c r="A834" t="s">
        <v>61</v>
      </c>
      <c r="B834" s="1">
        <v>45261</v>
      </c>
      <c r="C834">
        <v>870880</v>
      </c>
      <c r="D834" t="s">
        <v>176</v>
      </c>
      <c r="E834">
        <v>50535969</v>
      </c>
      <c r="F834">
        <v>2614187</v>
      </c>
      <c r="G834">
        <v>723576</v>
      </c>
      <c r="H834">
        <f>_xlfn.XLOOKUP(FACT_IMPORTS[[#This Row],[hts_6]],DIM_PRODUCTS[hts_6],DIM_PRODUCTS[hts_4],,,)</f>
        <v>8708</v>
      </c>
      <c r="I834" t="str" cm="1">
        <f t="array" ref="I834">_xlfn.XLOOKUP(FACT_IMPORTS[[#This Row],[country_name]],DIM_COUNTRY[[#All],[Column2]],DIM_COUNTRY[[#All],[Column3]],,,)</f>
        <v>USMCA</v>
      </c>
    </row>
    <row r="835" spans="1:9" x14ac:dyDescent="0.4">
      <c r="A835" t="s">
        <v>61</v>
      </c>
      <c r="B835" s="1">
        <v>45261</v>
      </c>
      <c r="C835">
        <v>870891</v>
      </c>
      <c r="D835" t="s">
        <v>176</v>
      </c>
      <c r="E835">
        <v>13773439</v>
      </c>
      <c r="F835">
        <v>372706</v>
      </c>
      <c r="G835">
        <v>193506</v>
      </c>
      <c r="H835">
        <f>_xlfn.XLOOKUP(FACT_IMPORTS[[#This Row],[hts_6]],DIM_PRODUCTS[hts_6],DIM_PRODUCTS[hts_4],,,)</f>
        <v>8708</v>
      </c>
      <c r="I835" t="str" cm="1">
        <f t="array" ref="I835">_xlfn.XLOOKUP(FACT_IMPORTS[[#This Row],[country_name]],DIM_COUNTRY[[#All],[Column2]],DIM_COUNTRY[[#All],[Column3]],,,)</f>
        <v>USMCA</v>
      </c>
    </row>
    <row r="836" spans="1:9" x14ac:dyDescent="0.4">
      <c r="A836" t="s">
        <v>61</v>
      </c>
      <c r="B836" s="1">
        <v>45261</v>
      </c>
      <c r="C836">
        <v>870892</v>
      </c>
      <c r="D836" t="s">
        <v>176</v>
      </c>
      <c r="E836">
        <v>16390886</v>
      </c>
      <c r="F836">
        <v>713971</v>
      </c>
      <c r="G836">
        <v>299565</v>
      </c>
      <c r="H836">
        <f>_xlfn.XLOOKUP(FACT_IMPORTS[[#This Row],[hts_6]],DIM_PRODUCTS[hts_6],DIM_PRODUCTS[hts_4],,,)</f>
        <v>8708</v>
      </c>
      <c r="I836" t="str" cm="1">
        <f t="array" ref="I836">_xlfn.XLOOKUP(FACT_IMPORTS[[#This Row],[country_name]],DIM_COUNTRY[[#All],[Column2]],DIM_COUNTRY[[#All],[Column3]],,,)</f>
        <v>USMCA</v>
      </c>
    </row>
    <row r="837" spans="1:9" x14ac:dyDescent="0.4">
      <c r="A837" t="s">
        <v>61</v>
      </c>
      <c r="B837" s="1">
        <v>45261</v>
      </c>
      <c r="C837">
        <v>870893</v>
      </c>
      <c r="D837" t="s">
        <v>176</v>
      </c>
      <c r="E837">
        <v>38479107</v>
      </c>
      <c r="F837">
        <v>1120048</v>
      </c>
      <c r="G837">
        <v>100922</v>
      </c>
      <c r="H837">
        <f>_xlfn.XLOOKUP(FACT_IMPORTS[[#This Row],[hts_6]],DIM_PRODUCTS[hts_6],DIM_PRODUCTS[hts_4],,,)</f>
        <v>8708</v>
      </c>
      <c r="I837" t="str" cm="1">
        <f t="array" ref="I837">_xlfn.XLOOKUP(FACT_IMPORTS[[#This Row],[country_name]],DIM_COUNTRY[[#All],[Column2]],DIM_COUNTRY[[#All],[Column3]],,,)</f>
        <v>USMCA</v>
      </c>
    </row>
    <row r="838" spans="1:9" x14ac:dyDescent="0.4">
      <c r="A838" t="s">
        <v>61</v>
      </c>
      <c r="B838" s="1">
        <v>45261</v>
      </c>
      <c r="C838">
        <v>870894</v>
      </c>
      <c r="D838" t="s">
        <v>176</v>
      </c>
      <c r="E838">
        <v>9273009</v>
      </c>
      <c r="F838">
        <v>1851739</v>
      </c>
      <c r="G838">
        <v>94183</v>
      </c>
      <c r="H838">
        <f>_xlfn.XLOOKUP(FACT_IMPORTS[[#This Row],[hts_6]],DIM_PRODUCTS[hts_6],DIM_PRODUCTS[hts_4],,,)</f>
        <v>8708</v>
      </c>
      <c r="I838" t="str" cm="1">
        <f t="array" ref="I838">_xlfn.XLOOKUP(FACT_IMPORTS[[#This Row],[country_name]],DIM_COUNTRY[[#All],[Column2]],DIM_COUNTRY[[#All],[Column3]],,,)</f>
        <v>USMCA</v>
      </c>
    </row>
    <row r="839" spans="1:9" x14ac:dyDescent="0.4">
      <c r="A839" t="s">
        <v>61</v>
      </c>
      <c r="B839" s="1">
        <v>45261</v>
      </c>
      <c r="C839">
        <v>870895</v>
      </c>
      <c r="D839" t="s">
        <v>176</v>
      </c>
      <c r="E839">
        <v>1010988</v>
      </c>
      <c r="F839">
        <v>650052</v>
      </c>
      <c r="G839">
        <v>7007</v>
      </c>
      <c r="H839">
        <f>_xlfn.XLOOKUP(FACT_IMPORTS[[#This Row],[hts_6]],DIM_PRODUCTS[hts_6],DIM_PRODUCTS[hts_4],,,)</f>
        <v>8708</v>
      </c>
      <c r="I839" t="str" cm="1">
        <f t="array" ref="I839">_xlfn.XLOOKUP(FACT_IMPORTS[[#This Row],[country_name]],DIM_COUNTRY[[#All],[Column2]],DIM_COUNTRY[[#All],[Column3]],,,)</f>
        <v>USMCA</v>
      </c>
    </row>
    <row r="840" spans="1:9" x14ac:dyDescent="0.4">
      <c r="A840" t="s">
        <v>61</v>
      </c>
      <c r="B840" s="1">
        <v>45261</v>
      </c>
      <c r="C840">
        <v>870899</v>
      </c>
      <c r="D840" t="s">
        <v>176</v>
      </c>
      <c r="E840">
        <v>148037615</v>
      </c>
      <c r="F840">
        <v>12545998</v>
      </c>
      <c r="G840">
        <v>1802726</v>
      </c>
      <c r="H840">
        <f>_xlfn.XLOOKUP(FACT_IMPORTS[[#This Row],[hts_6]],DIM_PRODUCTS[hts_6],DIM_PRODUCTS[hts_4],,,)</f>
        <v>8708</v>
      </c>
      <c r="I840" t="str" cm="1">
        <f t="array" ref="I840">_xlfn.XLOOKUP(FACT_IMPORTS[[#This Row],[country_name]],DIM_COUNTRY[[#All],[Column2]],DIM_COUNTRY[[#All],[Column3]],,,)</f>
        <v>USMCA</v>
      </c>
    </row>
    <row r="841" spans="1:9" x14ac:dyDescent="0.4">
      <c r="A841" t="s">
        <v>61</v>
      </c>
      <c r="B841" s="1">
        <v>45261</v>
      </c>
      <c r="C841">
        <v>940120</v>
      </c>
      <c r="D841" t="s">
        <v>176</v>
      </c>
      <c r="E841">
        <v>720041</v>
      </c>
      <c r="F841">
        <v>5606</v>
      </c>
      <c r="G841">
        <v>4958</v>
      </c>
      <c r="H841">
        <f>_xlfn.XLOOKUP(FACT_IMPORTS[[#This Row],[hts_6]],DIM_PRODUCTS[hts_6],DIM_PRODUCTS[hts_4],,,)</f>
        <v>9401</v>
      </c>
      <c r="I841" t="str" cm="1">
        <f t="array" ref="I841">_xlfn.XLOOKUP(FACT_IMPORTS[[#This Row],[country_name]],DIM_COUNTRY[[#All],[Column2]],DIM_COUNTRY[[#All],[Column3]],,,)</f>
        <v>USMCA</v>
      </c>
    </row>
    <row r="842" spans="1:9" x14ac:dyDescent="0.4">
      <c r="A842" t="s">
        <v>61</v>
      </c>
      <c r="B842" s="1">
        <v>45292</v>
      </c>
      <c r="C842">
        <v>392630</v>
      </c>
      <c r="D842" t="s">
        <v>176</v>
      </c>
      <c r="E842">
        <v>3597706</v>
      </c>
      <c r="F842">
        <v>394732</v>
      </c>
      <c r="G842">
        <v>177144</v>
      </c>
      <c r="H842">
        <f>_xlfn.XLOOKUP(FACT_IMPORTS[[#This Row],[hts_6]],DIM_PRODUCTS[hts_6],DIM_PRODUCTS[hts_4],,,)</f>
        <v>3926</v>
      </c>
      <c r="I842" t="str" cm="1">
        <f t="array" ref="I842">_xlfn.XLOOKUP(FACT_IMPORTS[[#This Row],[country_name]],DIM_COUNTRY[[#All],[Column2]],DIM_COUNTRY[[#All],[Column3]],,,)</f>
        <v>USMCA</v>
      </c>
    </row>
    <row r="843" spans="1:9" x14ac:dyDescent="0.4">
      <c r="A843" t="s">
        <v>61</v>
      </c>
      <c r="B843" s="1">
        <v>45292</v>
      </c>
      <c r="C843">
        <v>401110</v>
      </c>
      <c r="D843" t="s">
        <v>176</v>
      </c>
      <c r="E843">
        <v>42433458</v>
      </c>
      <c r="F843">
        <v>625960</v>
      </c>
      <c r="G843">
        <v>327227</v>
      </c>
      <c r="H843">
        <f>_xlfn.XLOOKUP(FACT_IMPORTS[[#This Row],[hts_6]],DIM_PRODUCTS[hts_6],DIM_PRODUCTS[hts_4],,,)</f>
        <v>4011</v>
      </c>
      <c r="I843" t="str" cm="1">
        <f t="array" ref="I843">_xlfn.XLOOKUP(FACT_IMPORTS[[#This Row],[country_name]],DIM_COUNTRY[[#All],[Column2]],DIM_COUNTRY[[#All],[Column3]],,,)</f>
        <v>USMCA</v>
      </c>
    </row>
    <row r="844" spans="1:9" x14ac:dyDescent="0.4">
      <c r="A844" t="s">
        <v>61</v>
      </c>
      <c r="B844" s="1">
        <v>45292</v>
      </c>
      <c r="C844">
        <v>401120</v>
      </c>
      <c r="D844" t="s">
        <v>176</v>
      </c>
      <c r="E844">
        <v>49592521</v>
      </c>
      <c r="F844">
        <v>301467</v>
      </c>
      <c r="G844">
        <v>300154</v>
      </c>
      <c r="H844">
        <f>_xlfn.XLOOKUP(FACT_IMPORTS[[#This Row],[hts_6]],DIM_PRODUCTS[hts_6],DIM_PRODUCTS[hts_4],,,)</f>
        <v>4011</v>
      </c>
      <c r="I844" t="str" cm="1">
        <f t="array" ref="I844">_xlfn.XLOOKUP(FACT_IMPORTS[[#This Row],[country_name]],DIM_COUNTRY[[#All],[Column2]],DIM_COUNTRY[[#All],[Column3]],,,)</f>
        <v>USMCA</v>
      </c>
    </row>
    <row r="845" spans="1:9" x14ac:dyDescent="0.4">
      <c r="A845" t="s">
        <v>61</v>
      </c>
      <c r="B845" s="1">
        <v>45292</v>
      </c>
      <c r="C845">
        <v>401140</v>
      </c>
      <c r="D845" t="s">
        <v>176</v>
      </c>
      <c r="E845">
        <v>0</v>
      </c>
      <c r="F845">
        <v>0</v>
      </c>
      <c r="G845">
        <v>0</v>
      </c>
      <c r="H845">
        <f>_xlfn.XLOOKUP(FACT_IMPORTS[[#This Row],[hts_6]],DIM_PRODUCTS[hts_6],DIM_PRODUCTS[hts_4],,,)</f>
        <v>4011</v>
      </c>
      <c r="I845" t="str" cm="1">
        <f t="array" ref="I845">_xlfn.XLOOKUP(FACT_IMPORTS[[#This Row],[country_name]],DIM_COUNTRY[[#All],[Column2]],DIM_COUNTRY[[#All],[Column3]],,,)</f>
        <v>USMCA</v>
      </c>
    </row>
    <row r="846" spans="1:9" x14ac:dyDescent="0.4">
      <c r="A846" t="s">
        <v>61</v>
      </c>
      <c r="B846" s="1">
        <v>45292</v>
      </c>
      <c r="C846">
        <v>401190</v>
      </c>
      <c r="D846" t="s">
        <v>176</v>
      </c>
      <c r="E846">
        <v>24310</v>
      </c>
      <c r="F846">
        <v>84</v>
      </c>
      <c r="G846">
        <v>113</v>
      </c>
      <c r="H846">
        <f>_xlfn.XLOOKUP(FACT_IMPORTS[[#This Row],[hts_6]],DIM_PRODUCTS[hts_6],DIM_PRODUCTS[hts_4],,,)</f>
        <v>4011</v>
      </c>
      <c r="I846" t="str" cm="1">
        <f t="array" ref="I846">_xlfn.XLOOKUP(FACT_IMPORTS[[#This Row],[country_name]],DIM_COUNTRY[[#All],[Column2]],DIM_COUNTRY[[#All],[Column3]],,,)</f>
        <v>USMCA</v>
      </c>
    </row>
    <row r="847" spans="1:9" x14ac:dyDescent="0.4">
      <c r="A847" t="s">
        <v>61</v>
      </c>
      <c r="B847" s="1">
        <v>45292</v>
      </c>
      <c r="C847">
        <v>700711</v>
      </c>
      <c r="D847" t="s">
        <v>176</v>
      </c>
      <c r="E847">
        <v>315087</v>
      </c>
      <c r="F847">
        <v>534</v>
      </c>
      <c r="G847">
        <v>3852</v>
      </c>
      <c r="H847">
        <f>_xlfn.XLOOKUP(FACT_IMPORTS[[#This Row],[hts_6]],DIM_PRODUCTS[hts_6],DIM_PRODUCTS[hts_4],,,)</f>
        <v>7007</v>
      </c>
      <c r="I847" t="str" cm="1">
        <f t="array" ref="I847">_xlfn.XLOOKUP(FACT_IMPORTS[[#This Row],[country_name]],DIM_COUNTRY[[#All],[Column2]],DIM_COUNTRY[[#All],[Column3]],,,)</f>
        <v>USMCA</v>
      </c>
    </row>
    <row r="848" spans="1:9" x14ac:dyDescent="0.4">
      <c r="A848" t="s">
        <v>61</v>
      </c>
      <c r="B848" s="1">
        <v>45292</v>
      </c>
      <c r="C848">
        <v>700721</v>
      </c>
      <c r="D848" t="s">
        <v>176</v>
      </c>
      <c r="E848">
        <v>30473</v>
      </c>
      <c r="F848">
        <v>622</v>
      </c>
      <c r="G848">
        <v>1696</v>
      </c>
      <c r="H848">
        <f>_xlfn.XLOOKUP(FACT_IMPORTS[[#This Row],[hts_6]],DIM_PRODUCTS[hts_6],DIM_PRODUCTS[hts_4],,,)</f>
        <v>7007</v>
      </c>
      <c r="I848" t="str" cm="1">
        <f t="array" ref="I848">_xlfn.XLOOKUP(FACT_IMPORTS[[#This Row],[country_name]],DIM_COUNTRY[[#All],[Column2]],DIM_COUNTRY[[#All],[Column3]],,,)</f>
        <v>USMCA</v>
      </c>
    </row>
    <row r="849" spans="1:9" x14ac:dyDescent="0.4">
      <c r="A849" t="s">
        <v>61</v>
      </c>
      <c r="B849" s="1">
        <v>45292</v>
      </c>
      <c r="C849">
        <v>700910</v>
      </c>
      <c r="D849" t="s">
        <v>176</v>
      </c>
      <c r="E849">
        <v>199912</v>
      </c>
      <c r="F849">
        <v>1395</v>
      </c>
      <c r="G849">
        <v>1461</v>
      </c>
      <c r="H849">
        <f>_xlfn.XLOOKUP(FACT_IMPORTS[[#This Row],[hts_6]],DIM_PRODUCTS[hts_6],DIM_PRODUCTS[hts_4],,,)</f>
        <v>7009</v>
      </c>
      <c r="I849" t="str" cm="1">
        <f t="array" ref="I849">_xlfn.XLOOKUP(FACT_IMPORTS[[#This Row],[country_name]],DIM_COUNTRY[[#All],[Column2]],DIM_COUNTRY[[#All],[Column3]],,,)</f>
        <v>USMCA</v>
      </c>
    </row>
    <row r="850" spans="1:9" x14ac:dyDescent="0.4">
      <c r="A850" t="s">
        <v>61</v>
      </c>
      <c r="B850" s="1">
        <v>45292</v>
      </c>
      <c r="C850">
        <v>732010</v>
      </c>
      <c r="D850" t="s">
        <v>176</v>
      </c>
      <c r="E850">
        <v>4470725</v>
      </c>
      <c r="F850">
        <v>1426571</v>
      </c>
      <c r="G850">
        <v>35092</v>
      </c>
      <c r="H850">
        <f>_xlfn.XLOOKUP(FACT_IMPORTS[[#This Row],[hts_6]],DIM_PRODUCTS[hts_6],DIM_PRODUCTS[hts_4],,,)</f>
        <v>7320</v>
      </c>
      <c r="I850" t="str" cm="1">
        <f t="array" ref="I850">_xlfn.XLOOKUP(FACT_IMPORTS[[#This Row],[country_name]],DIM_COUNTRY[[#All],[Column2]],DIM_COUNTRY[[#All],[Column3]],,,)</f>
        <v>USMCA</v>
      </c>
    </row>
    <row r="851" spans="1:9" x14ac:dyDescent="0.4">
      <c r="A851" t="s">
        <v>61</v>
      </c>
      <c r="B851" s="1">
        <v>45292</v>
      </c>
      <c r="C851">
        <v>830230</v>
      </c>
      <c r="D851" t="s">
        <v>176</v>
      </c>
      <c r="E851">
        <v>38139566</v>
      </c>
      <c r="F851">
        <v>7888370</v>
      </c>
      <c r="G851">
        <v>1436501</v>
      </c>
      <c r="H851">
        <f>_xlfn.XLOOKUP(FACT_IMPORTS[[#This Row],[hts_6]],DIM_PRODUCTS[hts_6],DIM_PRODUCTS[hts_4],,,)</f>
        <v>8302</v>
      </c>
      <c r="I851" t="str" cm="1">
        <f t="array" ref="I851">_xlfn.XLOOKUP(FACT_IMPORTS[[#This Row],[country_name]],DIM_COUNTRY[[#All],[Column2]],DIM_COUNTRY[[#All],[Column3]],,,)</f>
        <v>USMCA</v>
      </c>
    </row>
    <row r="852" spans="1:9" x14ac:dyDescent="0.4">
      <c r="A852" t="s">
        <v>61</v>
      </c>
      <c r="B852" s="1">
        <v>45292</v>
      </c>
      <c r="C852">
        <v>840731</v>
      </c>
      <c r="D852" t="s">
        <v>176</v>
      </c>
      <c r="E852">
        <v>0</v>
      </c>
      <c r="F852">
        <v>0</v>
      </c>
      <c r="G852">
        <v>0</v>
      </c>
      <c r="H852">
        <f>_xlfn.XLOOKUP(FACT_IMPORTS[[#This Row],[hts_6]],DIM_PRODUCTS[hts_6],DIM_PRODUCTS[hts_4],,,)</f>
        <v>8407</v>
      </c>
      <c r="I852" t="str" cm="1">
        <f t="array" ref="I852">_xlfn.XLOOKUP(FACT_IMPORTS[[#This Row],[country_name]],DIM_COUNTRY[[#All],[Column2]],DIM_COUNTRY[[#All],[Column3]],,,)</f>
        <v>USMCA</v>
      </c>
    </row>
    <row r="853" spans="1:9" x14ac:dyDescent="0.4">
      <c r="A853" t="s">
        <v>61</v>
      </c>
      <c r="B853" s="1">
        <v>45292</v>
      </c>
      <c r="C853">
        <v>840732</v>
      </c>
      <c r="D853" t="s">
        <v>176</v>
      </c>
      <c r="E853">
        <v>0</v>
      </c>
      <c r="F853">
        <v>0</v>
      </c>
      <c r="G853">
        <v>0</v>
      </c>
      <c r="H853">
        <f>_xlfn.XLOOKUP(FACT_IMPORTS[[#This Row],[hts_6]],DIM_PRODUCTS[hts_6],DIM_PRODUCTS[hts_4],,,)</f>
        <v>8407</v>
      </c>
      <c r="I853" t="str" cm="1">
        <f t="array" ref="I853">_xlfn.XLOOKUP(FACT_IMPORTS[[#This Row],[country_name]],DIM_COUNTRY[[#All],[Column2]],DIM_COUNTRY[[#All],[Column3]],,,)</f>
        <v>USMCA</v>
      </c>
    </row>
    <row r="854" spans="1:9" x14ac:dyDescent="0.4">
      <c r="A854" t="s">
        <v>61</v>
      </c>
      <c r="B854" s="1">
        <v>45292</v>
      </c>
      <c r="C854">
        <v>840733</v>
      </c>
      <c r="D854" t="s">
        <v>176</v>
      </c>
      <c r="E854">
        <v>14126</v>
      </c>
      <c r="F854">
        <v>3</v>
      </c>
      <c r="G854">
        <v>2244</v>
      </c>
      <c r="H854">
        <f>_xlfn.XLOOKUP(FACT_IMPORTS[[#This Row],[hts_6]],DIM_PRODUCTS[hts_6],DIM_PRODUCTS[hts_4],,,)</f>
        <v>8407</v>
      </c>
      <c r="I854" t="str" cm="1">
        <f t="array" ref="I854">_xlfn.XLOOKUP(FACT_IMPORTS[[#This Row],[country_name]],DIM_COUNTRY[[#All],[Column2]],DIM_COUNTRY[[#All],[Column3]],,,)</f>
        <v>USMCA</v>
      </c>
    </row>
    <row r="855" spans="1:9" x14ac:dyDescent="0.4">
      <c r="A855" t="s">
        <v>61</v>
      </c>
      <c r="B855" s="1">
        <v>45292</v>
      </c>
      <c r="C855">
        <v>840734</v>
      </c>
      <c r="D855" t="s">
        <v>176</v>
      </c>
      <c r="E855">
        <v>200670569</v>
      </c>
      <c r="F855">
        <v>60680</v>
      </c>
      <c r="G855">
        <v>214741</v>
      </c>
      <c r="H855">
        <f>_xlfn.XLOOKUP(FACT_IMPORTS[[#This Row],[hts_6]],DIM_PRODUCTS[hts_6],DIM_PRODUCTS[hts_4],,,)</f>
        <v>8407</v>
      </c>
      <c r="I855" t="str" cm="1">
        <f t="array" ref="I855">_xlfn.XLOOKUP(FACT_IMPORTS[[#This Row],[country_name]],DIM_COUNTRY[[#All],[Column2]],DIM_COUNTRY[[#All],[Column3]],,,)</f>
        <v>USMCA</v>
      </c>
    </row>
    <row r="856" spans="1:9" x14ac:dyDescent="0.4">
      <c r="A856" t="s">
        <v>61</v>
      </c>
      <c r="B856" s="1">
        <v>45292</v>
      </c>
      <c r="C856">
        <v>840790</v>
      </c>
      <c r="D856" t="s">
        <v>176</v>
      </c>
      <c r="E856">
        <v>12640365</v>
      </c>
      <c r="F856">
        <v>6650</v>
      </c>
      <c r="G856">
        <v>20800</v>
      </c>
      <c r="H856">
        <f>_xlfn.XLOOKUP(FACT_IMPORTS[[#This Row],[hts_6]],DIM_PRODUCTS[hts_6],DIM_PRODUCTS[hts_4],,,)</f>
        <v>8407</v>
      </c>
      <c r="I856" t="str" cm="1">
        <f t="array" ref="I856">_xlfn.XLOOKUP(FACT_IMPORTS[[#This Row],[country_name]],DIM_COUNTRY[[#All],[Column2]],DIM_COUNTRY[[#All],[Column3]],,,)</f>
        <v>USMCA</v>
      </c>
    </row>
    <row r="857" spans="1:9" x14ac:dyDescent="0.4">
      <c r="A857" t="s">
        <v>61</v>
      </c>
      <c r="B857" s="1">
        <v>45292</v>
      </c>
      <c r="C857">
        <v>840820</v>
      </c>
      <c r="D857" t="s">
        <v>176</v>
      </c>
      <c r="E857">
        <v>461560</v>
      </c>
      <c r="F857">
        <v>306</v>
      </c>
      <c r="G857">
        <v>1204</v>
      </c>
      <c r="H857">
        <f>_xlfn.XLOOKUP(FACT_IMPORTS[[#This Row],[hts_6]],DIM_PRODUCTS[hts_6],DIM_PRODUCTS[hts_4],,,)</f>
        <v>8408</v>
      </c>
      <c r="I857" t="str" cm="1">
        <f t="array" ref="I857">_xlfn.XLOOKUP(FACT_IMPORTS[[#This Row],[country_name]],DIM_COUNTRY[[#All],[Column2]],DIM_COUNTRY[[#All],[Column3]],,,)</f>
        <v>USMCA</v>
      </c>
    </row>
    <row r="858" spans="1:9" x14ac:dyDescent="0.4">
      <c r="A858" t="s">
        <v>61</v>
      </c>
      <c r="B858" s="1">
        <v>45292</v>
      </c>
      <c r="C858">
        <v>840890</v>
      </c>
      <c r="D858" t="s">
        <v>176</v>
      </c>
      <c r="E858">
        <v>358615</v>
      </c>
      <c r="F858">
        <v>30</v>
      </c>
      <c r="G858">
        <v>727</v>
      </c>
      <c r="H858">
        <f>_xlfn.XLOOKUP(FACT_IMPORTS[[#This Row],[hts_6]],DIM_PRODUCTS[hts_6],DIM_PRODUCTS[hts_4],,,)</f>
        <v>8408</v>
      </c>
      <c r="I858" t="str" cm="1">
        <f t="array" ref="I858">_xlfn.XLOOKUP(FACT_IMPORTS[[#This Row],[country_name]],DIM_COUNTRY[[#All],[Column2]],DIM_COUNTRY[[#All],[Column3]],,,)</f>
        <v>USMCA</v>
      </c>
    </row>
    <row r="859" spans="1:9" x14ac:dyDescent="0.4">
      <c r="A859" t="s">
        <v>61</v>
      </c>
      <c r="B859" s="1">
        <v>45292</v>
      </c>
      <c r="C859">
        <v>840991</v>
      </c>
      <c r="D859" t="s">
        <v>176</v>
      </c>
      <c r="E859">
        <v>40704131</v>
      </c>
      <c r="F859">
        <v>2845492</v>
      </c>
      <c r="G859">
        <v>180961</v>
      </c>
      <c r="H859">
        <f>_xlfn.XLOOKUP(FACT_IMPORTS[[#This Row],[hts_6]],DIM_PRODUCTS[hts_6],DIM_PRODUCTS[hts_4],,,)</f>
        <v>8409</v>
      </c>
      <c r="I859" t="str" cm="1">
        <f t="array" ref="I859">_xlfn.XLOOKUP(FACT_IMPORTS[[#This Row],[country_name]],DIM_COUNTRY[[#All],[Column2]],DIM_COUNTRY[[#All],[Column3]],,,)</f>
        <v>USMCA</v>
      </c>
    </row>
    <row r="860" spans="1:9" x14ac:dyDescent="0.4">
      <c r="A860" t="s">
        <v>61</v>
      </c>
      <c r="B860" s="1">
        <v>45292</v>
      </c>
      <c r="C860">
        <v>840999</v>
      </c>
      <c r="D860" t="s">
        <v>176</v>
      </c>
      <c r="E860">
        <v>14073022</v>
      </c>
      <c r="F860">
        <v>1105992</v>
      </c>
      <c r="G860">
        <v>95274</v>
      </c>
      <c r="H860">
        <f>_xlfn.XLOOKUP(FACT_IMPORTS[[#This Row],[hts_6]],DIM_PRODUCTS[hts_6],DIM_PRODUCTS[hts_4],,,)</f>
        <v>8409</v>
      </c>
      <c r="I860" t="str" cm="1">
        <f t="array" ref="I860">_xlfn.XLOOKUP(FACT_IMPORTS[[#This Row],[country_name]],DIM_COUNTRY[[#All],[Column2]],DIM_COUNTRY[[#All],[Column3]],,,)</f>
        <v>USMCA</v>
      </c>
    </row>
    <row r="861" spans="1:9" x14ac:dyDescent="0.4">
      <c r="A861" t="s">
        <v>61</v>
      </c>
      <c r="B861" s="1">
        <v>45292</v>
      </c>
      <c r="C861">
        <v>841330</v>
      </c>
      <c r="D861" t="s">
        <v>176</v>
      </c>
      <c r="E861">
        <v>10072310</v>
      </c>
      <c r="F861">
        <v>186272</v>
      </c>
      <c r="G861">
        <v>32867</v>
      </c>
      <c r="H861">
        <f>_xlfn.XLOOKUP(FACT_IMPORTS[[#This Row],[hts_6]],DIM_PRODUCTS[hts_6],DIM_PRODUCTS[hts_4],,,)</f>
        <v>8413</v>
      </c>
      <c r="I861" t="str" cm="1">
        <f t="array" ref="I861">_xlfn.XLOOKUP(FACT_IMPORTS[[#This Row],[country_name]],DIM_COUNTRY[[#All],[Column2]],DIM_COUNTRY[[#All],[Column3]],,,)</f>
        <v>USMCA</v>
      </c>
    </row>
    <row r="862" spans="1:9" x14ac:dyDescent="0.4">
      <c r="A862" t="s">
        <v>61</v>
      </c>
      <c r="B862" s="1">
        <v>45292</v>
      </c>
      <c r="C862">
        <v>841520</v>
      </c>
      <c r="D862" t="s">
        <v>176</v>
      </c>
      <c r="E862">
        <v>6127293</v>
      </c>
      <c r="F862">
        <v>33784</v>
      </c>
      <c r="G862">
        <v>84031</v>
      </c>
      <c r="H862">
        <f>_xlfn.XLOOKUP(FACT_IMPORTS[[#This Row],[hts_6]],DIM_PRODUCTS[hts_6],DIM_PRODUCTS[hts_4],,,)</f>
        <v>8415</v>
      </c>
      <c r="I862" t="str" cm="1">
        <f t="array" ref="I862">_xlfn.XLOOKUP(FACT_IMPORTS[[#This Row],[country_name]],DIM_COUNTRY[[#All],[Column2]],DIM_COUNTRY[[#All],[Column3]],,,)</f>
        <v>USMCA</v>
      </c>
    </row>
    <row r="863" spans="1:9" x14ac:dyDescent="0.4">
      <c r="A863" t="s">
        <v>61</v>
      </c>
      <c r="B863" s="1">
        <v>45292</v>
      </c>
      <c r="C863">
        <v>842132</v>
      </c>
      <c r="D863" t="s">
        <v>176</v>
      </c>
      <c r="E863">
        <v>10412562</v>
      </c>
      <c r="F863">
        <v>65084</v>
      </c>
      <c r="G863">
        <v>38793</v>
      </c>
      <c r="H863">
        <f>_xlfn.XLOOKUP(FACT_IMPORTS[[#This Row],[hts_6]],DIM_PRODUCTS[hts_6],DIM_PRODUCTS[hts_4],,,)</f>
        <v>8421</v>
      </c>
      <c r="I863" t="str" cm="1">
        <f t="array" ref="I863">_xlfn.XLOOKUP(FACT_IMPORTS[[#This Row],[country_name]],DIM_COUNTRY[[#All],[Column2]],DIM_COUNTRY[[#All],[Column3]],,,)</f>
        <v>USMCA</v>
      </c>
    </row>
    <row r="864" spans="1:9" x14ac:dyDescent="0.4">
      <c r="A864" t="s">
        <v>61</v>
      </c>
      <c r="B864" s="1">
        <v>45292</v>
      </c>
      <c r="C864">
        <v>848210</v>
      </c>
      <c r="D864" t="s">
        <v>176</v>
      </c>
      <c r="E864">
        <v>4194887</v>
      </c>
      <c r="F864">
        <v>971567</v>
      </c>
      <c r="G864">
        <v>54393</v>
      </c>
      <c r="H864">
        <f>_xlfn.XLOOKUP(FACT_IMPORTS[[#This Row],[hts_6]],DIM_PRODUCTS[hts_6],DIM_PRODUCTS[hts_4],,,)</f>
        <v>8482</v>
      </c>
      <c r="I864" t="str" cm="1">
        <f t="array" ref="I864">_xlfn.XLOOKUP(FACT_IMPORTS[[#This Row],[country_name]],DIM_COUNTRY[[#All],[Column2]],DIM_COUNTRY[[#All],[Column3]],,,)</f>
        <v>USMCA</v>
      </c>
    </row>
    <row r="865" spans="1:9" x14ac:dyDescent="0.4">
      <c r="A865" t="s">
        <v>61</v>
      </c>
      <c r="B865" s="1">
        <v>45292</v>
      </c>
      <c r="C865">
        <v>848220</v>
      </c>
      <c r="D865" t="s">
        <v>176</v>
      </c>
      <c r="E865">
        <v>1587658</v>
      </c>
      <c r="F865">
        <v>31117</v>
      </c>
      <c r="G865">
        <v>13487</v>
      </c>
      <c r="H865">
        <f>_xlfn.XLOOKUP(FACT_IMPORTS[[#This Row],[hts_6]],DIM_PRODUCTS[hts_6],DIM_PRODUCTS[hts_4],,,)</f>
        <v>8482</v>
      </c>
      <c r="I865" t="str" cm="1">
        <f t="array" ref="I865">_xlfn.XLOOKUP(FACT_IMPORTS[[#This Row],[country_name]],DIM_COUNTRY[[#All],[Column2]],DIM_COUNTRY[[#All],[Column3]],,,)</f>
        <v>USMCA</v>
      </c>
    </row>
    <row r="866" spans="1:9" x14ac:dyDescent="0.4">
      <c r="A866" t="s">
        <v>61</v>
      </c>
      <c r="B866" s="1">
        <v>45292</v>
      </c>
      <c r="C866">
        <v>848310</v>
      </c>
      <c r="D866" t="s">
        <v>176</v>
      </c>
      <c r="E866">
        <v>16251589</v>
      </c>
      <c r="F866">
        <v>551369</v>
      </c>
      <c r="G866">
        <v>320936</v>
      </c>
      <c r="H866">
        <f>_xlfn.XLOOKUP(FACT_IMPORTS[[#This Row],[hts_6]],DIM_PRODUCTS[hts_6],DIM_PRODUCTS[hts_4],,,)</f>
        <v>8483</v>
      </c>
      <c r="I866" t="str" cm="1">
        <f t="array" ref="I866">_xlfn.XLOOKUP(FACT_IMPORTS[[#This Row],[country_name]],DIM_COUNTRY[[#All],[Column2]],DIM_COUNTRY[[#All],[Column3]],,,)</f>
        <v>USMCA</v>
      </c>
    </row>
    <row r="867" spans="1:9" x14ac:dyDescent="0.4">
      <c r="A867" t="s">
        <v>61</v>
      </c>
      <c r="B867" s="1">
        <v>45292</v>
      </c>
      <c r="C867">
        <v>850131</v>
      </c>
      <c r="D867" t="s">
        <v>176</v>
      </c>
      <c r="E867">
        <v>2533936</v>
      </c>
      <c r="F867">
        <v>52601</v>
      </c>
      <c r="G867">
        <v>16968</v>
      </c>
      <c r="H867">
        <f>_xlfn.XLOOKUP(FACT_IMPORTS[[#This Row],[hts_6]],DIM_PRODUCTS[hts_6],DIM_PRODUCTS[hts_4],,,)</f>
        <v>8501</v>
      </c>
      <c r="I867" t="str" cm="1">
        <f t="array" ref="I867">_xlfn.XLOOKUP(FACT_IMPORTS[[#This Row],[country_name]],DIM_COUNTRY[[#All],[Column2]],DIM_COUNTRY[[#All],[Column3]],,,)</f>
        <v>USMCA</v>
      </c>
    </row>
    <row r="868" spans="1:9" x14ac:dyDescent="0.4">
      <c r="A868" t="s">
        <v>61</v>
      </c>
      <c r="B868" s="1">
        <v>45292</v>
      </c>
      <c r="C868">
        <v>850132</v>
      </c>
      <c r="D868" t="s">
        <v>176</v>
      </c>
      <c r="E868">
        <v>271967</v>
      </c>
      <c r="F868">
        <v>783</v>
      </c>
      <c r="G868">
        <v>2071</v>
      </c>
      <c r="H868">
        <f>_xlfn.XLOOKUP(FACT_IMPORTS[[#This Row],[hts_6]],DIM_PRODUCTS[hts_6],DIM_PRODUCTS[hts_4],,,)</f>
        <v>8501</v>
      </c>
      <c r="I868" t="str" cm="1">
        <f t="array" ref="I868">_xlfn.XLOOKUP(FACT_IMPORTS[[#This Row],[country_name]],DIM_COUNTRY[[#All],[Column2]],DIM_COUNTRY[[#All],[Column3]],,,)</f>
        <v>USMCA</v>
      </c>
    </row>
    <row r="869" spans="1:9" x14ac:dyDescent="0.4">
      <c r="A869" t="s">
        <v>61</v>
      </c>
      <c r="B869" s="1">
        <v>45292</v>
      </c>
      <c r="C869">
        <v>850133</v>
      </c>
      <c r="D869" t="s">
        <v>176</v>
      </c>
      <c r="E869">
        <v>0</v>
      </c>
      <c r="F869">
        <v>0</v>
      </c>
      <c r="G869">
        <v>0</v>
      </c>
      <c r="H869">
        <f>_xlfn.XLOOKUP(FACT_IMPORTS[[#This Row],[hts_6]],DIM_PRODUCTS[hts_6],DIM_PRODUCTS[hts_4],,,)</f>
        <v>8501</v>
      </c>
      <c r="I869" t="str" cm="1">
        <f t="array" ref="I869">_xlfn.XLOOKUP(FACT_IMPORTS[[#This Row],[country_name]],DIM_COUNTRY[[#All],[Column2]],DIM_COUNTRY[[#All],[Column3]],,,)</f>
        <v>USMCA</v>
      </c>
    </row>
    <row r="870" spans="1:9" x14ac:dyDescent="0.4">
      <c r="A870" t="s">
        <v>61</v>
      </c>
      <c r="B870" s="1">
        <v>45292</v>
      </c>
      <c r="C870">
        <v>850134</v>
      </c>
      <c r="D870" t="s">
        <v>176</v>
      </c>
      <c r="E870">
        <v>113182</v>
      </c>
      <c r="F870">
        <v>2</v>
      </c>
      <c r="G870">
        <v>300</v>
      </c>
      <c r="H870">
        <f>_xlfn.XLOOKUP(FACT_IMPORTS[[#This Row],[hts_6]],DIM_PRODUCTS[hts_6],DIM_PRODUCTS[hts_4],,,)</f>
        <v>8501</v>
      </c>
      <c r="I870" t="str" cm="1">
        <f t="array" ref="I870">_xlfn.XLOOKUP(FACT_IMPORTS[[#This Row],[country_name]],DIM_COUNTRY[[#All],[Column2]],DIM_COUNTRY[[#All],[Column3]],,,)</f>
        <v>USMCA</v>
      </c>
    </row>
    <row r="871" spans="1:9" x14ac:dyDescent="0.4">
      <c r="A871" t="s">
        <v>61</v>
      </c>
      <c r="B871" s="1">
        <v>45292</v>
      </c>
      <c r="C871">
        <v>850152</v>
      </c>
      <c r="D871" t="s">
        <v>176</v>
      </c>
      <c r="E871">
        <v>995987</v>
      </c>
      <c r="F871">
        <v>217</v>
      </c>
      <c r="G871">
        <v>11749</v>
      </c>
      <c r="H871">
        <f>_xlfn.XLOOKUP(FACT_IMPORTS[[#This Row],[hts_6]],DIM_PRODUCTS[hts_6],DIM_PRODUCTS[hts_4],,,)</f>
        <v>8501</v>
      </c>
      <c r="I871" t="str" cm="1">
        <f t="array" ref="I871">_xlfn.XLOOKUP(FACT_IMPORTS[[#This Row],[country_name]],DIM_COUNTRY[[#All],[Column2]],DIM_COUNTRY[[#All],[Column3]],,,)</f>
        <v>USMCA</v>
      </c>
    </row>
    <row r="872" spans="1:9" x14ac:dyDescent="0.4">
      <c r="A872" t="s">
        <v>61</v>
      </c>
      <c r="B872" s="1">
        <v>45292</v>
      </c>
      <c r="C872">
        <v>850153</v>
      </c>
      <c r="D872" t="s">
        <v>176</v>
      </c>
      <c r="E872">
        <v>715801</v>
      </c>
      <c r="F872">
        <v>67</v>
      </c>
      <c r="G872">
        <v>4306</v>
      </c>
      <c r="H872">
        <f>_xlfn.XLOOKUP(FACT_IMPORTS[[#This Row],[hts_6]],DIM_PRODUCTS[hts_6],DIM_PRODUCTS[hts_4],,,)</f>
        <v>8501</v>
      </c>
      <c r="I872" t="str" cm="1">
        <f t="array" ref="I872">_xlfn.XLOOKUP(FACT_IMPORTS[[#This Row],[country_name]],DIM_COUNTRY[[#All],[Column2]],DIM_COUNTRY[[#All],[Column3]],,,)</f>
        <v>USMCA</v>
      </c>
    </row>
    <row r="873" spans="1:9" x14ac:dyDescent="0.4">
      <c r="A873" t="s">
        <v>61</v>
      </c>
      <c r="B873" s="1">
        <v>45292</v>
      </c>
      <c r="C873">
        <v>850161</v>
      </c>
      <c r="D873" t="s">
        <v>176</v>
      </c>
      <c r="E873">
        <v>162480</v>
      </c>
      <c r="F873">
        <v>12</v>
      </c>
      <c r="G873">
        <v>406</v>
      </c>
      <c r="H873">
        <f>_xlfn.XLOOKUP(FACT_IMPORTS[[#This Row],[hts_6]],DIM_PRODUCTS[hts_6],DIM_PRODUCTS[hts_4],,,)</f>
        <v>8501</v>
      </c>
      <c r="I873" t="str" cm="1">
        <f t="array" ref="I873">_xlfn.XLOOKUP(FACT_IMPORTS[[#This Row],[country_name]],DIM_COUNTRY[[#All],[Column2]],DIM_COUNTRY[[#All],[Column3]],,,)</f>
        <v>USMCA</v>
      </c>
    </row>
    <row r="874" spans="1:9" x14ac:dyDescent="0.4">
      <c r="A874" t="s">
        <v>61</v>
      </c>
      <c r="B874" s="1">
        <v>45292</v>
      </c>
      <c r="C874">
        <v>850440</v>
      </c>
      <c r="D874" t="s">
        <v>176</v>
      </c>
      <c r="E874">
        <v>8703791</v>
      </c>
      <c r="F874">
        <v>11214</v>
      </c>
      <c r="G874">
        <v>107027</v>
      </c>
      <c r="H874">
        <f>_xlfn.XLOOKUP(FACT_IMPORTS[[#This Row],[hts_6]],DIM_PRODUCTS[hts_6],DIM_PRODUCTS[hts_4],,,)</f>
        <v>8504</v>
      </c>
      <c r="I874" t="str" cm="1">
        <f t="array" ref="I874">_xlfn.XLOOKUP(FACT_IMPORTS[[#This Row],[country_name]],DIM_COUNTRY[[#All],[Column2]],DIM_COUNTRY[[#All],[Column3]],,,)</f>
        <v>USMCA</v>
      </c>
    </row>
    <row r="875" spans="1:9" x14ac:dyDescent="0.4">
      <c r="A875" t="s">
        <v>61</v>
      </c>
      <c r="B875" s="1">
        <v>45292</v>
      </c>
      <c r="C875">
        <v>850710</v>
      </c>
      <c r="D875" t="s">
        <v>176</v>
      </c>
      <c r="E875">
        <v>938433</v>
      </c>
      <c r="F875">
        <v>2440</v>
      </c>
      <c r="G875">
        <v>47875</v>
      </c>
      <c r="H875">
        <f>_xlfn.XLOOKUP(FACT_IMPORTS[[#This Row],[hts_6]],DIM_PRODUCTS[hts_6],DIM_PRODUCTS[hts_4],,,)</f>
        <v>8507</v>
      </c>
      <c r="I875" t="str" cm="1">
        <f t="array" ref="I875">_xlfn.XLOOKUP(FACT_IMPORTS[[#This Row],[country_name]],DIM_COUNTRY[[#All],[Column2]],DIM_COUNTRY[[#All],[Column3]],,,)</f>
        <v>USMCA</v>
      </c>
    </row>
    <row r="876" spans="1:9" x14ac:dyDescent="0.4">
      <c r="A876" t="s">
        <v>61</v>
      </c>
      <c r="B876" s="1">
        <v>45292</v>
      </c>
      <c r="C876">
        <v>850760</v>
      </c>
      <c r="D876" t="s">
        <v>176</v>
      </c>
      <c r="E876">
        <v>4432776</v>
      </c>
      <c r="F876">
        <v>14790</v>
      </c>
      <c r="G876">
        <v>21100</v>
      </c>
      <c r="H876">
        <f>_xlfn.XLOOKUP(FACT_IMPORTS[[#This Row],[hts_6]],DIM_PRODUCTS[hts_6],DIM_PRODUCTS[hts_4],,,)</f>
        <v>8507</v>
      </c>
      <c r="I876" t="str" cm="1">
        <f t="array" ref="I876">_xlfn.XLOOKUP(FACT_IMPORTS[[#This Row],[country_name]],DIM_COUNTRY[[#All],[Column2]],DIM_COUNTRY[[#All],[Column3]],,,)</f>
        <v>USMCA</v>
      </c>
    </row>
    <row r="877" spans="1:9" x14ac:dyDescent="0.4">
      <c r="A877" t="s">
        <v>61</v>
      </c>
      <c r="B877" s="1">
        <v>45292</v>
      </c>
      <c r="C877">
        <v>850790</v>
      </c>
      <c r="D877" t="s">
        <v>176</v>
      </c>
      <c r="E877">
        <v>75014</v>
      </c>
      <c r="F877">
        <v>18944</v>
      </c>
      <c r="G877">
        <v>606</v>
      </c>
      <c r="H877">
        <f>_xlfn.XLOOKUP(FACT_IMPORTS[[#This Row],[hts_6]],DIM_PRODUCTS[hts_6],DIM_PRODUCTS[hts_4],,,)</f>
        <v>8507</v>
      </c>
      <c r="I877" t="str" cm="1">
        <f t="array" ref="I877">_xlfn.XLOOKUP(FACT_IMPORTS[[#This Row],[country_name]],DIM_COUNTRY[[#All],[Column2]],DIM_COUNTRY[[#All],[Column3]],,,)</f>
        <v>USMCA</v>
      </c>
    </row>
    <row r="878" spans="1:9" x14ac:dyDescent="0.4">
      <c r="A878" t="s">
        <v>61</v>
      </c>
      <c r="B878" s="1">
        <v>45292</v>
      </c>
      <c r="C878">
        <v>851110</v>
      </c>
      <c r="D878" t="s">
        <v>176</v>
      </c>
      <c r="E878">
        <v>0</v>
      </c>
      <c r="F878">
        <v>0</v>
      </c>
      <c r="G878">
        <v>0</v>
      </c>
      <c r="H878">
        <f>_xlfn.XLOOKUP(FACT_IMPORTS[[#This Row],[hts_6]],DIM_PRODUCTS[hts_6],DIM_PRODUCTS[hts_4],,,)</f>
        <v>8511</v>
      </c>
      <c r="I878" t="str" cm="1">
        <f t="array" ref="I878">_xlfn.XLOOKUP(FACT_IMPORTS[[#This Row],[country_name]],DIM_COUNTRY[[#All],[Column2]],DIM_COUNTRY[[#All],[Column3]],,,)</f>
        <v>USMCA</v>
      </c>
    </row>
    <row r="879" spans="1:9" x14ac:dyDescent="0.4">
      <c r="A879" t="s">
        <v>61</v>
      </c>
      <c r="B879" s="1">
        <v>45292</v>
      </c>
      <c r="C879">
        <v>851120</v>
      </c>
      <c r="D879" t="s">
        <v>176</v>
      </c>
      <c r="E879">
        <v>0</v>
      </c>
      <c r="F879">
        <v>0</v>
      </c>
      <c r="G879">
        <v>0</v>
      </c>
      <c r="H879">
        <f>_xlfn.XLOOKUP(FACT_IMPORTS[[#This Row],[hts_6]],DIM_PRODUCTS[hts_6],DIM_PRODUCTS[hts_4],,,)</f>
        <v>8511</v>
      </c>
      <c r="I879" t="str" cm="1">
        <f t="array" ref="I879">_xlfn.XLOOKUP(FACT_IMPORTS[[#This Row],[country_name]],DIM_COUNTRY[[#All],[Column2]],DIM_COUNTRY[[#All],[Column3]],,,)</f>
        <v>USMCA</v>
      </c>
    </row>
    <row r="880" spans="1:9" x14ac:dyDescent="0.4">
      <c r="A880" t="s">
        <v>61</v>
      </c>
      <c r="B880" s="1">
        <v>45292</v>
      </c>
      <c r="C880">
        <v>851130</v>
      </c>
      <c r="D880" t="s">
        <v>176</v>
      </c>
      <c r="E880">
        <v>2302</v>
      </c>
      <c r="F880">
        <v>1532</v>
      </c>
      <c r="G880">
        <v>18</v>
      </c>
      <c r="H880">
        <f>_xlfn.XLOOKUP(FACT_IMPORTS[[#This Row],[hts_6]],DIM_PRODUCTS[hts_6],DIM_PRODUCTS[hts_4],,,)</f>
        <v>8511</v>
      </c>
      <c r="I880" t="str" cm="1">
        <f t="array" ref="I880">_xlfn.XLOOKUP(FACT_IMPORTS[[#This Row],[country_name]],DIM_COUNTRY[[#All],[Column2]],DIM_COUNTRY[[#All],[Column3]],,,)</f>
        <v>USMCA</v>
      </c>
    </row>
    <row r="881" spans="1:9" x14ac:dyDescent="0.4">
      <c r="A881" t="s">
        <v>61</v>
      </c>
      <c r="B881" s="1">
        <v>45292</v>
      </c>
      <c r="C881">
        <v>851140</v>
      </c>
      <c r="D881" t="s">
        <v>176</v>
      </c>
      <c r="E881">
        <v>488067</v>
      </c>
      <c r="F881">
        <v>7663</v>
      </c>
      <c r="G881">
        <v>2972</v>
      </c>
      <c r="H881">
        <f>_xlfn.XLOOKUP(FACT_IMPORTS[[#This Row],[hts_6]],DIM_PRODUCTS[hts_6],DIM_PRODUCTS[hts_4],,,)</f>
        <v>8511</v>
      </c>
      <c r="I881" t="str" cm="1">
        <f t="array" ref="I881">_xlfn.XLOOKUP(FACT_IMPORTS[[#This Row],[country_name]],DIM_COUNTRY[[#All],[Column2]],DIM_COUNTRY[[#All],[Column3]],,,)</f>
        <v>USMCA</v>
      </c>
    </row>
    <row r="882" spans="1:9" x14ac:dyDescent="0.4">
      <c r="A882" t="s">
        <v>61</v>
      </c>
      <c r="B882" s="1">
        <v>45292</v>
      </c>
      <c r="C882">
        <v>851150</v>
      </c>
      <c r="D882" t="s">
        <v>176</v>
      </c>
      <c r="E882">
        <v>471045</v>
      </c>
      <c r="F882">
        <v>6775</v>
      </c>
      <c r="G882">
        <v>3876</v>
      </c>
      <c r="H882">
        <f>_xlfn.XLOOKUP(FACT_IMPORTS[[#This Row],[hts_6]],DIM_PRODUCTS[hts_6],DIM_PRODUCTS[hts_4],,,)</f>
        <v>8511</v>
      </c>
      <c r="I882" t="str" cm="1">
        <f t="array" ref="I882">_xlfn.XLOOKUP(FACT_IMPORTS[[#This Row],[country_name]],DIM_COUNTRY[[#All],[Column2]],DIM_COUNTRY[[#All],[Column3]],,,)</f>
        <v>USMCA</v>
      </c>
    </row>
    <row r="883" spans="1:9" x14ac:dyDescent="0.4">
      <c r="A883" t="s">
        <v>61</v>
      </c>
      <c r="B883" s="1">
        <v>45292</v>
      </c>
      <c r="C883">
        <v>851180</v>
      </c>
      <c r="D883" t="s">
        <v>176</v>
      </c>
      <c r="E883">
        <v>0</v>
      </c>
      <c r="F883">
        <v>0</v>
      </c>
      <c r="G883">
        <v>0</v>
      </c>
      <c r="H883">
        <f>_xlfn.XLOOKUP(FACT_IMPORTS[[#This Row],[hts_6]],DIM_PRODUCTS[hts_6],DIM_PRODUCTS[hts_4],,,)</f>
        <v>8511</v>
      </c>
      <c r="I883" t="str" cm="1">
        <f t="array" ref="I883">_xlfn.XLOOKUP(FACT_IMPORTS[[#This Row],[country_name]],DIM_COUNTRY[[#All],[Column2]],DIM_COUNTRY[[#All],[Column3]],,,)</f>
        <v>USMCA</v>
      </c>
    </row>
    <row r="884" spans="1:9" x14ac:dyDescent="0.4">
      <c r="A884" t="s">
        <v>61</v>
      </c>
      <c r="B884" s="1">
        <v>45292</v>
      </c>
      <c r="C884">
        <v>851190</v>
      </c>
      <c r="D884" t="s">
        <v>176</v>
      </c>
      <c r="E884">
        <v>765651</v>
      </c>
      <c r="F884">
        <v>9713</v>
      </c>
      <c r="G884">
        <v>3685</v>
      </c>
      <c r="H884">
        <f>_xlfn.XLOOKUP(FACT_IMPORTS[[#This Row],[hts_6]],DIM_PRODUCTS[hts_6],DIM_PRODUCTS[hts_4],,,)</f>
        <v>8511</v>
      </c>
      <c r="I884" t="str" cm="1">
        <f t="array" ref="I884">_xlfn.XLOOKUP(FACT_IMPORTS[[#This Row],[country_name]],DIM_COUNTRY[[#All],[Column2]],DIM_COUNTRY[[#All],[Column3]],,,)</f>
        <v>USMCA</v>
      </c>
    </row>
    <row r="885" spans="1:9" x14ac:dyDescent="0.4">
      <c r="A885" t="s">
        <v>61</v>
      </c>
      <c r="B885" s="1">
        <v>45292</v>
      </c>
      <c r="C885">
        <v>851220</v>
      </c>
      <c r="D885" t="s">
        <v>176</v>
      </c>
      <c r="E885">
        <v>23214185</v>
      </c>
      <c r="F885">
        <v>410106</v>
      </c>
      <c r="G885">
        <v>82483</v>
      </c>
      <c r="H885">
        <f>_xlfn.XLOOKUP(FACT_IMPORTS[[#This Row],[hts_6]],DIM_PRODUCTS[hts_6],DIM_PRODUCTS[hts_4],,,)</f>
        <v>8512</v>
      </c>
      <c r="I885" t="str" cm="1">
        <f t="array" ref="I885">_xlfn.XLOOKUP(FACT_IMPORTS[[#This Row],[country_name]],DIM_COUNTRY[[#All],[Column2]],DIM_COUNTRY[[#All],[Column3]],,,)</f>
        <v>USMCA</v>
      </c>
    </row>
    <row r="886" spans="1:9" x14ac:dyDescent="0.4">
      <c r="A886" t="s">
        <v>61</v>
      </c>
      <c r="B886" s="1">
        <v>45292</v>
      </c>
      <c r="C886">
        <v>851230</v>
      </c>
      <c r="D886" t="s">
        <v>176</v>
      </c>
      <c r="E886">
        <v>95092</v>
      </c>
      <c r="F886">
        <v>86927</v>
      </c>
      <c r="G886">
        <v>1168</v>
      </c>
      <c r="H886">
        <f>_xlfn.XLOOKUP(FACT_IMPORTS[[#This Row],[hts_6]],DIM_PRODUCTS[hts_6],DIM_PRODUCTS[hts_4],,,)</f>
        <v>8512</v>
      </c>
      <c r="I886" t="str" cm="1">
        <f t="array" ref="I886">_xlfn.XLOOKUP(FACT_IMPORTS[[#This Row],[country_name]],DIM_COUNTRY[[#All],[Column2]],DIM_COUNTRY[[#All],[Column3]],,,)</f>
        <v>USMCA</v>
      </c>
    </row>
    <row r="887" spans="1:9" x14ac:dyDescent="0.4">
      <c r="A887" t="s">
        <v>61</v>
      </c>
      <c r="B887" s="1">
        <v>45292</v>
      </c>
      <c r="C887">
        <v>851240</v>
      </c>
      <c r="D887" t="s">
        <v>176</v>
      </c>
      <c r="E887">
        <v>0</v>
      </c>
      <c r="F887">
        <v>0</v>
      </c>
      <c r="G887">
        <v>0</v>
      </c>
      <c r="H887">
        <f>_xlfn.XLOOKUP(FACT_IMPORTS[[#This Row],[hts_6]],DIM_PRODUCTS[hts_6],DIM_PRODUCTS[hts_4],,,)</f>
        <v>8512</v>
      </c>
      <c r="I887" t="str" cm="1">
        <f t="array" ref="I887">_xlfn.XLOOKUP(FACT_IMPORTS[[#This Row],[country_name]],DIM_COUNTRY[[#All],[Column2]],DIM_COUNTRY[[#All],[Column3]],,,)</f>
        <v>USMCA</v>
      </c>
    </row>
    <row r="888" spans="1:9" x14ac:dyDescent="0.4">
      <c r="A888" t="s">
        <v>61</v>
      </c>
      <c r="B888" s="1">
        <v>45292</v>
      </c>
      <c r="C888">
        <v>851290</v>
      </c>
      <c r="D888" t="s">
        <v>176</v>
      </c>
      <c r="E888">
        <v>2447837</v>
      </c>
      <c r="F888">
        <v>37794</v>
      </c>
      <c r="G888">
        <v>48669</v>
      </c>
      <c r="H888">
        <f>_xlfn.XLOOKUP(FACT_IMPORTS[[#This Row],[hts_6]],DIM_PRODUCTS[hts_6],DIM_PRODUCTS[hts_4],,,)</f>
        <v>8512</v>
      </c>
      <c r="I888" t="str" cm="1">
        <f t="array" ref="I888">_xlfn.XLOOKUP(FACT_IMPORTS[[#This Row],[country_name]],DIM_COUNTRY[[#All],[Column2]],DIM_COUNTRY[[#All],[Column3]],,,)</f>
        <v>USMCA</v>
      </c>
    </row>
    <row r="889" spans="1:9" x14ac:dyDescent="0.4">
      <c r="A889" t="s">
        <v>61</v>
      </c>
      <c r="B889" s="1">
        <v>45292</v>
      </c>
      <c r="C889">
        <v>854231</v>
      </c>
      <c r="D889" t="s">
        <v>176</v>
      </c>
      <c r="E889">
        <v>85453</v>
      </c>
      <c r="F889">
        <v>392</v>
      </c>
      <c r="G889">
        <v>597</v>
      </c>
      <c r="H889">
        <f>_xlfn.XLOOKUP(FACT_IMPORTS[[#This Row],[hts_6]],DIM_PRODUCTS[hts_6],DIM_PRODUCTS[hts_4],,,)</f>
        <v>8542</v>
      </c>
      <c r="I889" t="str" cm="1">
        <f t="array" ref="I889">_xlfn.XLOOKUP(FACT_IMPORTS[[#This Row],[country_name]],DIM_COUNTRY[[#All],[Column2]],DIM_COUNTRY[[#All],[Column3]],,,)</f>
        <v>USMCA</v>
      </c>
    </row>
    <row r="890" spans="1:9" x14ac:dyDescent="0.4">
      <c r="A890" t="s">
        <v>61</v>
      </c>
      <c r="B890" s="1">
        <v>45292</v>
      </c>
      <c r="C890">
        <v>854232</v>
      </c>
      <c r="D890" t="s">
        <v>176</v>
      </c>
      <c r="E890">
        <v>123774</v>
      </c>
      <c r="F890">
        <v>403000</v>
      </c>
      <c r="G890">
        <v>1708</v>
      </c>
      <c r="H890">
        <f>_xlfn.XLOOKUP(FACT_IMPORTS[[#This Row],[hts_6]],DIM_PRODUCTS[hts_6],DIM_PRODUCTS[hts_4],,,)</f>
        <v>8542</v>
      </c>
      <c r="I890" t="str" cm="1">
        <f t="array" ref="I890">_xlfn.XLOOKUP(FACT_IMPORTS[[#This Row],[country_name]],DIM_COUNTRY[[#All],[Column2]],DIM_COUNTRY[[#All],[Column3]],,,)</f>
        <v>USMCA</v>
      </c>
    </row>
    <row r="891" spans="1:9" x14ac:dyDescent="0.4">
      <c r="A891" t="s">
        <v>61</v>
      </c>
      <c r="B891" s="1">
        <v>45292</v>
      </c>
      <c r="C891">
        <v>854233</v>
      </c>
      <c r="D891" t="s">
        <v>176</v>
      </c>
      <c r="E891">
        <v>0</v>
      </c>
      <c r="F891">
        <v>0</v>
      </c>
      <c r="G891">
        <v>0</v>
      </c>
      <c r="H891">
        <f>_xlfn.XLOOKUP(FACT_IMPORTS[[#This Row],[hts_6]],DIM_PRODUCTS[hts_6],DIM_PRODUCTS[hts_4],,,)</f>
        <v>8542</v>
      </c>
      <c r="I891" t="str" cm="1">
        <f t="array" ref="I891">_xlfn.XLOOKUP(FACT_IMPORTS[[#This Row],[country_name]],DIM_COUNTRY[[#All],[Column2]],DIM_COUNTRY[[#All],[Column3]],,,)</f>
        <v>USMCA</v>
      </c>
    </row>
    <row r="892" spans="1:9" x14ac:dyDescent="0.4">
      <c r="A892" t="s">
        <v>61</v>
      </c>
      <c r="B892" s="1">
        <v>45292</v>
      </c>
      <c r="C892">
        <v>854239</v>
      </c>
      <c r="D892" t="s">
        <v>176</v>
      </c>
      <c r="E892">
        <v>0</v>
      </c>
      <c r="F892">
        <v>0</v>
      </c>
      <c r="G892">
        <v>0</v>
      </c>
      <c r="H892">
        <f>_xlfn.XLOOKUP(FACT_IMPORTS[[#This Row],[hts_6]],DIM_PRODUCTS[hts_6],DIM_PRODUCTS[hts_4],,,)</f>
        <v>8542</v>
      </c>
      <c r="I892" t="str" cm="1">
        <f t="array" ref="I892">_xlfn.XLOOKUP(FACT_IMPORTS[[#This Row],[country_name]],DIM_COUNTRY[[#All],[Column2]],DIM_COUNTRY[[#All],[Column3]],,,)</f>
        <v>USMCA</v>
      </c>
    </row>
    <row r="893" spans="1:9" x14ac:dyDescent="0.4">
      <c r="A893" t="s">
        <v>61</v>
      </c>
      <c r="B893" s="1">
        <v>45292</v>
      </c>
      <c r="C893">
        <v>854290</v>
      </c>
      <c r="D893" t="s">
        <v>176</v>
      </c>
      <c r="E893">
        <v>4675</v>
      </c>
      <c r="F893">
        <v>1</v>
      </c>
      <c r="G893">
        <v>50</v>
      </c>
      <c r="H893">
        <f>_xlfn.XLOOKUP(FACT_IMPORTS[[#This Row],[hts_6]],DIM_PRODUCTS[hts_6],DIM_PRODUCTS[hts_4],,,)</f>
        <v>8542</v>
      </c>
      <c r="I893" t="str" cm="1">
        <f t="array" ref="I893">_xlfn.XLOOKUP(FACT_IMPORTS[[#This Row],[country_name]],DIM_COUNTRY[[#All],[Column2]],DIM_COUNTRY[[#All],[Column3]],,,)</f>
        <v>USMCA</v>
      </c>
    </row>
    <row r="894" spans="1:9" x14ac:dyDescent="0.4">
      <c r="A894" t="s">
        <v>61</v>
      </c>
      <c r="B894" s="1">
        <v>45292</v>
      </c>
      <c r="C894">
        <v>854430</v>
      </c>
      <c r="D894" t="s">
        <v>176</v>
      </c>
      <c r="E894">
        <v>1363074</v>
      </c>
      <c r="F894">
        <v>48576</v>
      </c>
      <c r="G894">
        <v>7909</v>
      </c>
      <c r="H894">
        <f>_xlfn.XLOOKUP(FACT_IMPORTS[[#This Row],[hts_6]],DIM_PRODUCTS[hts_6],DIM_PRODUCTS[hts_4],,,)</f>
        <v>8544</v>
      </c>
      <c r="I894" t="str" cm="1">
        <f t="array" ref="I894">_xlfn.XLOOKUP(FACT_IMPORTS[[#This Row],[country_name]],DIM_COUNTRY[[#All],[Column2]],DIM_COUNTRY[[#All],[Column3]],,,)</f>
        <v>USMCA</v>
      </c>
    </row>
    <row r="895" spans="1:9" x14ac:dyDescent="0.4">
      <c r="A895" t="s">
        <v>61</v>
      </c>
      <c r="B895" s="1">
        <v>45292</v>
      </c>
      <c r="C895">
        <v>870600</v>
      </c>
      <c r="D895" t="s">
        <v>176</v>
      </c>
      <c r="E895">
        <v>95000</v>
      </c>
      <c r="F895">
        <v>1</v>
      </c>
      <c r="G895">
        <v>100</v>
      </c>
      <c r="H895">
        <f>_xlfn.XLOOKUP(FACT_IMPORTS[[#This Row],[hts_6]],DIM_PRODUCTS[hts_6],DIM_PRODUCTS[hts_4],,,)</f>
        <v>8706</v>
      </c>
      <c r="I895" t="str" cm="1">
        <f t="array" ref="I895">_xlfn.XLOOKUP(FACT_IMPORTS[[#This Row],[country_name]],DIM_COUNTRY[[#All],[Column2]],DIM_COUNTRY[[#All],[Column3]],,,)</f>
        <v>USMCA</v>
      </c>
    </row>
    <row r="896" spans="1:9" x14ac:dyDescent="0.4">
      <c r="A896" t="s">
        <v>61</v>
      </c>
      <c r="B896" s="1">
        <v>45292</v>
      </c>
      <c r="C896">
        <v>870710</v>
      </c>
      <c r="D896" t="s">
        <v>176</v>
      </c>
      <c r="E896">
        <v>15000</v>
      </c>
      <c r="F896">
        <v>1</v>
      </c>
      <c r="G896">
        <v>10</v>
      </c>
      <c r="H896">
        <f>_xlfn.XLOOKUP(FACT_IMPORTS[[#This Row],[hts_6]],DIM_PRODUCTS[hts_6],DIM_PRODUCTS[hts_4],,,)</f>
        <v>8707</v>
      </c>
      <c r="I896" t="str" cm="1">
        <f t="array" ref="I896">_xlfn.XLOOKUP(FACT_IMPORTS[[#This Row],[country_name]],DIM_COUNTRY[[#All],[Column2]],DIM_COUNTRY[[#All],[Column3]],,,)</f>
        <v>USMCA</v>
      </c>
    </row>
    <row r="897" spans="1:9" x14ac:dyDescent="0.4">
      <c r="A897" t="s">
        <v>61</v>
      </c>
      <c r="B897" s="1">
        <v>45292</v>
      </c>
      <c r="C897">
        <v>870790</v>
      </c>
      <c r="D897" t="s">
        <v>176</v>
      </c>
      <c r="E897">
        <v>4553644</v>
      </c>
      <c r="F897">
        <v>309</v>
      </c>
      <c r="G897">
        <v>34137</v>
      </c>
      <c r="H897">
        <f>_xlfn.XLOOKUP(FACT_IMPORTS[[#This Row],[hts_6]],DIM_PRODUCTS[hts_6],DIM_PRODUCTS[hts_4],,,)</f>
        <v>8707</v>
      </c>
      <c r="I897" t="str" cm="1">
        <f t="array" ref="I897">_xlfn.XLOOKUP(FACT_IMPORTS[[#This Row],[country_name]],DIM_COUNTRY[[#All],[Column2]],DIM_COUNTRY[[#All],[Column3]],,,)</f>
        <v>USMCA</v>
      </c>
    </row>
    <row r="898" spans="1:9" x14ac:dyDescent="0.4">
      <c r="A898" t="s">
        <v>61</v>
      </c>
      <c r="B898" s="1">
        <v>45292</v>
      </c>
      <c r="C898">
        <v>870810</v>
      </c>
      <c r="D898" t="s">
        <v>176</v>
      </c>
      <c r="E898">
        <v>25290331</v>
      </c>
      <c r="F898">
        <v>1066428</v>
      </c>
      <c r="G898">
        <v>384994</v>
      </c>
      <c r="H898">
        <f>_xlfn.XLOOKUP(FACT_IMPORTS[[#This Row],[hts_6]],DIM_PRODUCTS[hts_6],DIM_PRODUCTS[hts_4],,,)</f>
        <v>8708</v>
      </c>
      <c r="I898" t="str" cm="1">
        <f t="array" ref="I898">_xlfn.XLOOKUP(FACT_IMPORTS[[#This Row],[country_name]],DIM_COUNTRY[[#All],[Column2]],DIM_COUNTRY[[#All],[Column3]],,,)</f>
        <v>USMCA</v>
      </c>
    </row>
    <row r="899" spans="1:9" x14ac:dyDescent="0.4">
      <c r="A899" t="s">
        <v>61</v>
      </c>
      <c r="B899" s="1">
        <v>45292</v>
      </c>
      <c r="C899">
        <v>870821</v>
      </c>
      <c r="D899" t="s">
        <v>176</v>
      </c>
      <c r="E899">
        <v>368952</v>
      </c>
      <c r="F899">
        <v>18808</v>
      </c>
      <c r="G899">
        <v>3045</v>
      </c>
      <c r="H899">
        <f>_xlfn.XLOOKUP(FACT_IMPORTS[[#This Row],[hts_6]],DIM_PRODUCTS[hts_6],DIM_PRODUCTS[hts_4],,,)</f>
        <v>8708</v>
      </c>
      <c r="I899" t="str" cm="1">
        <f t="array" ref="I899">_xlfn.XLOOKUP(FACT_IMPORTS[[#This Row],[country_name]],DIM_COUNTRY[[#All],[Column2]],DIM_COUNTRY[[#All],[Column3]],,,)</f>
        <v>USMCA</v>
      </c>
    </row>
    <row r="900" spans="1:9" x14ac:dyDescent="0.4">
      <c r="A900" t="s">
        <v>61</v>
      </c>
      <c r="B900" s="1">
        <v>45292</v>
      </c>
      <c r="C900">
        <v>870822</v>
      </c>
      <c r="D900" t="s">
        <v>176</v>
      </c>
      <c r="E900">
        <v>6142604</v>
      </c>
      <c r="F900">
        <v>112582</v>
      </c>
      <c r="G900">
        <v>198013</v>
      </c>
      <c r="H900">
        <f>_xlfn.XLOOKUP(FACT_IMPORTS[[#This Row],[hts_6]],DIM_PRODUCTS[hts_6],DIM_PRODUCTS[hts_4],,,)</f>
        <v>8708</v>
      </c>
      <c r="I900" t="str" cm="1">
        <f t="array" ref="I900">_xlfn.XLOOKUP(FACT_IMPORTS[[#This Row],[country_name]],DIM_COUNTRY[[#All],[Column2]],DIM_COUNTRY[[#All],[Column3]],,,)</f>
        <v>USMCA</v>
      </c>
    </row>
    <row r="901" spans="1:9" x14ac:dyDescent="0.4">
      <c r="A901" t="s">
        <v>61</v>
      </c>
      <c r="B901" s="1">
        <v>45292</v>
      </c>
      <c r="C901">
        <v>870829</v>
      </c>
      <c r="D901" t="s">
        <v>176</v>
      </c>
      <c r="E901">
        <v>398816382</v>
      </c>
      <c r="F901">
        <v>58492432</v>
      </c>
      <c r="G901">
        <v>8450570</v>
      </c>
      <c r="H901">
        <f>_xlfn.XLOOKUP(FACT_IMPORTS[[#This Row],[hts_6]],DIM_PRODUCTS[hts_6],DIM_PRODUCTS[hts_4],,,)</f>
        <v>8708</v>
      </c>
      <c r="I901" t="str" cm="1">
        <f t="array" ref="I901">_xlfn.XLOOKUP(FACT_IMPORTS[[#This Row],[country_name]],DIM_COUNTRY[[#All],[Column2]],DIM_COUNTRY[[#All],[Column3]],,,)</f>
        <v>USMCA</v>
      </c>
    </row>
    <row r="902" spans="1:9" x14ac:dyDescent="0.4">
      <c r="A902" t="s">
        <v>61</v>
      </c>
      <c r="B902" s="1">
        <v>45292</v>
      </c>
      <c r="C902">
        <v>870830</v>
      </c>
      <c r="D902" t="s">
        <v>176</v>
      </c>
      <c r="E902">
        <v>12732298</v>
      </c>
      <c r="F902">
        <v>3215670</v>
      </c>
      <c r="G902">
        <v>191209</v>
      </c>
      <c r="H902">
        <f>_xlfn.XLOOKUP(FACT_IMPORTS[[#This Row],[hts_6]],DIM_PRODUCTS[hts_6],DIM_PRODUCTS[hts_4],,,)</f>
        <v>8708</v>
      </c>
      <c r="I902" t="str" cm="1">
        <f t="array" ref="I902">_xlfn.XLOOKUP(FACT_IMPORTS[[#This Row],[country_name]],DIM_COUNTRY[[#All],[Column2]],DIM_COUNTRY[[#All],[Column3]],,,)</f>
        <v>USMCA</v>
      </c>
    </row>
    <row r="903" spans="1:9" x14ac:dyDescent="0.4">
      <c r="A903" t="s">
        <v>61</v>
      </c>
      <c r="B903" s="1">
        <v>45292</v>
      </c>
      <c r="C903">
        <v>870840</v>
      </c>
      <c r="D903" t="s">
        <v>176</v>
      </c>
      <c r="E903">
        <v>99648582</v>
      </c>
      <c r="F903">
        <v>4533862</v>
      </c>
      <c r="G903">
        <v>495481</v>
      </c>
      <c r="H903">
        <f>_xlfn.XLOOKUP(FACT_IMPORTS[[#This Row],[hts_6]],DIM_PRODUCTS[hts_6],DIM_PRODUCTS[hts_4],,,)</f>
        <v>8708</v>
      </c>
      <c r="I903" t="str" cm="1">
        <f t="array" ref="I903">_xlfn.XLOOKUP(FACT_IMPORTS[[#This Row],[country_name]],DIM_COUNTRY[[#All],[Column2]],DIM_COUNTRY[[#All],[Column3]],,,)</f>
        <v>USMCA</v>
      </c>
    </row>
    <row r="904" spans="1:9" x14ac:dyDescent="0.4">
      <c r="A904" t="s">
        <v>61</v>
      </c>
      <c r="B904" s="1">
        <v>45292</v>
      </c>
      <c r="C904">
        <v>870850</v>
      </c>
      <c r="D904" t="s">
        <v>176</v>
      </c>
      <c r="E904">
        <v>29316083</v>
      </c>
      <c r="F904">
        <v>1880194</v>
      </c>
      <c r="G904">
        <v>183437</v>
      </c>
      <c r="H904">
        <f>_xlfn.XLOOKUP(FACT_IMPORTS[[#This Row],[hts_6]],DIM_PRODUCTS[hts_6],DIM_PRODUCTS[hts_4],,,)</f>
        <v>8708</v>
      </c>
      <c r="I904" t="str" cm="1">
        <f t="array" ref="I904">_xlfn.XLOOKUP(FACT_IMPORTS[[#This Row],[country_name]],DIM_COUNTRY[[#All],[Column2]],DIM_COUNTRY[[#All],[Column3]],,,)</f>
        <v>USMCA</v>
      </c>
    </row>
    <row r="905" spans="1:9" x14ac:dyDescent="0.4">
      <c r="A905" t="s">
        <v>61</v>
      </c>
      <c r="B905" s="1">
        <v>45292</v>
      </c>
      <c r="C905">
        <v>870870</v>
      </c>
      <c r="D905" t="s">
        <v>176</v>
      </c>
      <c r="E905">
        <v>9486954</v>
      </c>
      <c r="F905">
        <v>9267617</v>
      </c>
      <c r="G905">
        <v>100173</v>
      </c>
      <c r="H905">
        <f>_xlfn.XLOOKUP(FACT_IMPORTS[[#This Row],[hts_6]],DIM_PRODUCTS[hts_6],DIM_PRODUCTS[hts_4],,,)</f>
        <v>8708</v>
      </c>
      <c r="I905" t="str" cm="1">
        <f t="array" ref="I905">_xlfn.XLOOKUP(FACT_IMPORTS[[#This Row],[country_name]],DIM_COUNTRY[[#All],[Column2]],DIM_COUNTRY[[#All],[Column3]],,,)</f>
        <v>USMCA</v>
      </c>
    </row>
    <row r="906" spans="1:9" x14ac:dyDescent="0.4">
      <c r="A906" t="s">
        <v>61</v>
      </c>
      <c r="B906" s="1">
        <v>45292</v>
      </c>
      <c r="C906">
        <v>870880</v>
      </c>
      <c r="D906" t="s">
        <v>176</v>
      </c>
      <c r="E906">
        <v>63090760</v>
      </c>
      <c r="F906">
        <v>3011911</v>
      </c>
      <c r="G906">
        <v>1058476</v>
      </c>
      <c r="H906">
        <f>_xlfn.XLOOKUP(FACT_IMPORTS[[#This Row],[hts_6]],DIM_PRODUCTS[hts_6],DIM_PRODUCTS[hts_4],,,)</f>
        <v>8708</v>
      </c>
      <c r="I906" t="str" cm="1">
        <f t="array" ref="I906">_xlfn.XLOOKUP(FACT_IMPORTS[[#This Row],[country_name]],DIM_COUNTRY[[#All],[Column2]],DIM_COUNTRY[[#All],[Column3]],,,)</f>
        <v>USMCA</v>
      </c>
    </row>
    <row r="907" spans="1:9" x14ac:dyDescent="0.4">
      <c r="A907" t="s">
        <v>61</v>
      </c>
      <c r="B907" s="1">
        <v>45292</v>
      </c>
      <c r="C907">
        <v>870891</v>
      </c>
      <c r="D907" t="s">
        <v>176</v>
      </c>
      <c r="E907">
        <v>15218750</v>
      </c>
      <c r="F907">
        <v>431331</v>
      </c>
      <c r="G907">
        <v>276200</v>
      </c>
      <c r="H907">
        <f>_xlfn.XLOOKUP(FACT_IMPORTS[[#This Row],[hts_6]],DIM_PRODUCTS[hts_6],DIM_PRODUCTS[hts_4],,,)</f>
        <v>8708</v>
      </c>
      <c r="I907" t="str" cm="1">
        <f t="array" ref="I907">_xlfn.XLOOKUP(FACT_IMPORTS[[#This Row],[country_name]],DIM_COUNTRY[[#All],[Column2]],DIM_COUNTRY[[#All],[Column3]],,,)</f>
        <v>USMCA</v>
      </c>
    </row>
    <row r="908" spans="1:9" x14ac:dyDescent="0.4">
      <c r="A908" t="s">
        <v>61</v>
      </c>
      <c r="B908" s="1">
        <v>45292</v>
      </c>
      <c r="C908">
        <v>870892</v>
      </c>
      <c r="D908" t="s">
        <v>176</v>
      </c>
      <c r="E908">
        <v>24706287</v>
      </c>
      <c r="F908">
        <v>1098644</v>
      </c>
      <c r="G908">
        <v>392012</v>
      </c>
      <c r="H908">
        <f>_xlfn.XLOOKUP(FACT_IMPORTS[[#This Row],[hts_6]],DIM_PRODUCTS[hts_6],DIM_PRODUCTS[hts_4],,,)</f>
        <v>8708</v>
      </c>
      <c r="I908" t="str" cm="1">
        <f t="array" ref="I908">_xlfn.XLOOKUP(FACT_IMPORTS[[#This Row],[country_name]],DIM_COUNTRY[[#All],[Column2]],DIM_COUNTRY[[#All],[Column3]],,,)</f>
        <v>USMCA</v>
      </c>
    </row>
    <row r="909" spans="1:9" x14ac:dyDescent="0.4">
      <c r="A909" t="s">
        <v>61</v>
      </c>
      <c r="B909" s="1">
        <v>45292</v>
      </c>
      <c r="C909">
        <v>870893</v>
      </c>
      <c r="D909" t="s">
        <v>176</v>
      </c>
      <c r="E909">
        <v>49870824</v>
      </c>
      <c r="F909">
        <v>1506078</v>
      </c>
      <c r="G909">
        <v>137131</v>
      </c>
      <c r="H909">
        <f>_xlfn.XLOOKUP(FACT_IMPORTS[[#This Row],[hts_6]],DIM_PRODUCTS[hts_6],DIM_PRODUCTS[hts_4],,,)</f>
        <v>8708</v>
      </c>
      <c r="I909" t="str" cm="1">
        <f t="array" ref="I909">_xlfn.XLOOKUP(FACT_IMPORTS[[#This Row],[country_name]],DIM_COUNTRY[[#All],[Column2]],DIM_COUNTRY[[#All],[Column3]],,,)</f>
        <v>USMCA</v>
      </c>
    </row>
    <row r="910" spans="1:9" x14ac:dyDescent="0.4">
      <c r="A910" t="s">
        <v>61</v>
      </c>
      <c r="B910" s="1">
        <v>45292</v>
      </c>
      <c r="C910">
        <v>870894</v>
      </c>
      <c r="D910" t="s">
        <v>176</v>
      </c>
      <c r="E910">
        <v>11414895</v>
      </c>
      <c r="F910">
        <v>1882258</v>
      </c>
      <c r="G910">
        <v>112370</v>
      </c>
      <c r="H910">
        <f>_xlfn.XLOOKUP(FACT_IMPORTS[[#This Row],[hts_6]],DIM_PRODUCTS[hts_6],DIM_PRODUCTS[hts_4],,,)</f>
        <v>8708</v>
      </c>
      <c r="I910" t="str" cm="1">
        <f t="array" ref="I910">_xlfn.XLOOKUP(FACT_IMPORTS[[#This Row],[country_name]],DIM_COUNTRY[[#All],[Column2]],DIM_COUNTRY[[#All],[Column3]],,,)</f>
        <v>USMCA</v>
      </c>
    </row>
    <row r="911" spans="1:9" x14ac:dyDescent="0.4">
      <c r="A911" t="s">
        <v>61</v>
      </c>
      <c r="B911" s="1">
        <v>45292</v>
      </c>
      <c r="C911">
        <v>870895</v>
      </c>
      <c r="D911" t="s">
        <v>176</v>
      </c>
      <c r="E911">
        <v>1575607</v>
      </c>
      <c r="F911">
        <v>1369580</v>
      </c>
      <c r="G911">
        <v>10238</v>
      </c>
      <c r="H911">
        <f>_xlfn.XLOOKUP(FACT_IMPORTS[[#This Row],[hts_6]],DIM_PRODUCTS[hts_6],DIM_PRODUCTS[hts_4],,,)</f>
        <v>8708</v>
      </c>
      <c r="I911" t="str" cm="1">
        <f t="array" ref="I911">_xlfn.XLOOKUP(FACT_IMPORTS[[#This Row],[country_name]],DIM_COUNTRY[[#All],[Column2]],DIM_COUNTRY[[#All],[Column3]],,,)</f>
        <v>USMCA</v>
      </c>
    </row>
    <row r="912" spans="1:9" x14ac:dyDescent="0.4">
      <c r="A912" t="s">
        <v>61</v>
      </c>
      <c r="B912" s="1">
        <v>45292</v>
      </c>
      <c r="C912">
        <v>870899</v>
      </c>
      <c r="D912" t="s">
        <v>176</v>
      </c>
      <c r="E912">
        <v>165414156</v>
      </c>
      <c r="F912">
        <v>15868581</v>
      </c>
      <c r="G912">
        <v>2133666</v>
      </c>
      <c r="H912">
        <f>_xlfn.XLOOKUP(FACT_IMPORTS[[#This Row],[hts_6]],DIM_PRODUCTS[hts_6],DIM_PRODUCTS[hts_4],,,)</f>
        <v>8708</v>
      </c>
      <c r="I912" t="str" cm="1">
        <f t="array" ref="I912">_xlfn.XLOOKUP(FACT_IMPORTS[[#This Row],[country_name]],DIM_COUNTRY[[#All],[Column2]],DIM_COUNTRY[[#All],[Column3]],,,)</f>
        <v>USMCA</v>
      </c>
    </row>
    <row r="913" spans="1:9" x14ac:dyDescent="0.4">
      <c r="A913" t="s">
        <v>61</v>
      </c>
      <c r="B913" s="1">
        <v>45292</v>
      </c>
      <c r="C913">
        <v>940120</v>
      </c>
      <c r="D913" t="s">
        <v>176</v>
      </c>
      <c r="E913">
        <v>928266</v>
      </c>
      <c r="F913">
        <v>19039</v>
      </c>
      <c r="G913">
        <v>8060</v>
      </c>
      <c r="H913">
        <f>_xlfn.XLOOKUP(FACT_IMPORTS[[#This Row],[hts_6]],DIM_PRODUCTS[hts_6],DIM_PRODUCTS[hts_4],,,)</f>
        <v>9401</v>
      </c>
      <c r="I913" t="str" cm="1">
        <f t="array" ref="I913">_xlfn.XLOOKUP(FACT_IMPORTS[[#This Row],[country_name]],DIM_COUNTRY[[#All],[Column2]],DIM_COUNTRY[[#All],[Column3]],,,)</f>
        <v>USMCA</v>
      </c>
    </row>
    <row r="914" spans="1:9" x14ac:dyDescent="0.4">
      <c r="A914" t="s">
        <v>61</v>
      </c>
      <c r="B914" s="1">
        <v>45323</v>
      </c>
      <c r="C914">
        <v>392630</v>
      </c>
      <c r="D914" t="s">
        <v>176</v>
      </c>
      <c r="E914">
        <v>3362620</v>
      </c>
      <c r="F914">
        <v>447129</v>
      </c>
      <c r="G914">
        <v>199448</v>
      </c>
      <c r="H914">
        <f>_xlfn.XLOOKUP(FACT_IMPORTS[[#This Row],[hts_6]],DIM_PRODUCTS[hts_6],DIM_PRODUCTS[hts_4],,,)</f>
        <v>3926</v>
      </c>
      <c r="I914" t="str" cm="1">
        <f t="array" ref="I914">_xlfn.XLOOKUP(FACT_IMPORTS[[#This Row],[country_name]],DIM_COUNTRY[[#All],[Column2]],DIM_COUNTRY[[#All],[Column3]],,,)</f>
        <v>USMCA</v>
      </c>
    </row>
    <row r="915" spans="1:9" x14ac:dyDescent="0.4">
      <c r="A915" t="s">
        <v>61</v>
      </c>
      <c r="B915" s="1">
        <v>45323</v>
      </c>
      <c r="C915">
        <v>401110</v>
      </c>
      <c r="D915" t="s">
        <v>176</v>
      </c>
      <c r="E915">
        <v>41948028</v>
      </c>
      <c r="F915">
        <v>639248</v>
      </c>
      <c r="G915">
        <v>330136</v>
      </c>
      <c r="H915">
        <f>_xlfn.XLOOKUP(FACT_IMPORTS[[#This Row],[hts_6]],DIM_PRODUCTS[hts_6],DIM_PRODUCTS[hts_4],,,)</f>
        <v>4011</v>
      </c>
      <c r="I915" t="str" cm="1">
        <f t="array" ref="I915">_xlfn.XLOOKUP(FACT_IMPORTS[[#This Row],[country_name]],DIM_COUNTRY[[#All],[Column2]],DIM_COUNTRY[[#All],[Column3]],,,)</f>
        <v>USMCA</v>
      </c>
    </row>
    <row r="916" spans="1:9" x14ac:dyDescent="0.4">
      <c r="A916" t="s">
        <v>61</v>
      </c>
      <c r="B916" s="1">
        <v>45323</v>
      </c>
      <c r="C916">
        <v>401120</v>
      </c>
      <c r="D916" t="s">
        <v>176</v>
      </c>
      <c r="E916">
        <v>51798045</v>
      </c>
      <c r="F916">
        <v>306152</v>
      </c>
      <c r="G916">
        <v>339904</v>
      </c>
      <c r="H916">
        <f>_xlfn.XLOOKUP(FACT_IMPORTS[[#This Row],[hts_6]],DIM_PRODUCTS[hts_6],DIM_PRODUCTS[hts_4],,,)</f>
        <v>4011</v>
      </c>
      <c r="I916" t="str" cm="1">
        <f t="array" ref="I916">_xlfn.XLOOKUP(FACT_IMPORTS[[#This Row],[country_name]],DIM_COUNTRY[[#All],[Column2]],DIM_COUNTRY[[#All],[Column3]],,,)</f>
        <v>USMCA</v>
      </c>
    </row>
    <row r="917" spans="1:9" x14ac:dyDescent="0.4">
      <c r="A917" t="s">
        <v>61</v>
      </c>
      <c r="B917" s="1">
        <v>45323</v>
      </c>
      <c r="C917">
        <v>401140</v>
      </c>
      <c r="D917" t="s">
        <v>176</v>
      </c>
      <c r="E917">
        <v>0</v>
      </c>
      <c r="F917">
        <v>0</v>
      </c>
      <c r="G917">
        <v>0</v>
      </c>
      <c r="H917">
        <f>_xlfn.XLOOKUP(FACT_IMPORTS[[#This Row],[hts_6]],DIM_PRODUCTS[hts_6],DIM_PRODUCTS[hts_4],,,)</f>
        <v>4011</v>
      </c>
      <c r="I917" t="str" cm="1">
        <f t="array" ref="I917">_xlfn.XLOOKUP(FACT_IMPORTS[[#This Row],[country_name]],DIM_COUNTRY[[#All],[Column2]],DIM_COUNTRY[[#All],[Column3]],,,)</f>
        <v>USMCA</v>
      </c>
    </row>
    <row r="918" spans="1:9" x14ac:dyDescent="0.4">
      <c r="A918" t="s">
        <v>61</v>
      </c>
      <c r="B918" s="1">
        <v>45323</v>
      </c>
      <c r="C918">
        <v>401190</v>
      </c>
      <c r="D918" t="s">
        <v>176</v>
      </c>
      <c r="E918">
        <v>1172</v>
      </c>
      <c r="F918">
        <v>4</v>
      </c>
      <c r="G918">
        <v>200</v>
      </c>
      <c r="H918">
        <f>_xlfn.XLOOKUP(FACT_IMPORTS[[#This Row],[hts_6]],DIM_PRODUCTS[hts_6],DIM_PRODUCTS[hts_4],,,)</f>
        <v>4011</v>
      </c>
      <c r="I918" t="str" cm="1">
        <f t="array" ref="I918">_xlfn.XLOOKUP(FACT_IMPORTS[[#This Row],[country_name]],DIM_COUNTRY[[#All],[Column2]],DIM_COUNTRY[[#All],[Column3]],,,)</f>
        <v>USMCA</v>
      </c>
    </row>
    <row r="919" spans="1:9" x14ac:dyDescent="0.4">
      <c r="A919" t="s">
        <v>61</v>
      </c>
      <c r="B919" s="1">
        <v>45323</v>
      </c>
      <c r="C919">
        <v>700711</v>
      </c>
      <c r="D919" t="s">
        <v>176</v>
      </c>
      <c r="E919">
        <v>411061</v>
      </c>
      <c r="F919">
        <v>888</v>
      </c>
      <c r="G919">
        <v>4383</v>
      </c>
      <c r="H919">
        <f>_xlfn.XLOOKUP(FACT_IMPORTS[[#This Row],[hts_6]],DIM_PRODUCTS[hts_6],DIM_PRODUCTS[hts_4],,,)</f>
        <v>7007</v>
      </c>
      <c r="I919" t="str" cm="1">
        <f t="array" ref="I919">_xlfn.XLOOKUP(FACT_IMPORTS[[#This Row],[country_name]],DIM_COUNTRY[[#All],[Column2]],DIM_COUNTRY[[#All],[Column3]],,,)</f>
        <v>USMCA</v>
      </c>
    </row>
    <row r="920" spans="1:9" x14ac:dyDescent="0.4">
      <c r="A920" t="s">
        <v>61</v>
      </c>
      <c r="B920" s="1">
        <v>45323</v>
      </c>
      <c r="C920">
        <v>700721</v>
      </c>
      <c r="D920" t="s">
        <v>176</v>
      </c>
      <c r="E920">
        <v>47919</v>
      </c>
      <c r="F920">
        <v>2128</v>
      </c>
      <c r="G920">
        <v>666</v>
      </c>
      <c r="H920">
        <f>_xlfn.XLOOKUP(FACT_IMPORTS[[#This Row],[hts_6]],DIM_PRODUCTS[hts_6],DIM_PRODUCTS[hts_4],,,)</f>
        <v>7007</v>
      </c>
      <c r="I920" t="str" cm="1">
        <f t="array" ref="I920">_xlfn.XLOOKUP(FACT_IMPORTS[[#This Row],[country_name]],DIM_COUNTRY[[#All],[Column2]],DIM_COUNTRY[[#All],[Column3]],,,)</f>
        <v>USMCA</v>
      </c>
    </row>
    <row r="921" spans="1:9" x14ac:dyDescent="0.4">
      <c r="A921" t="s">
        <v>61</v>
      </c>
      <c r="B921" s="1">
        <v>45323</v>
      </c>
      <c r="C921">
        <v>700910</v>
      </c>
      <c r="D921" t="s">
        <v>176</v>
      </c>
      <c r="E921">
        <v>153234</v>
      </c>
      <c r="F921">
        <v>3653</v>
      </c>
      <c r="G921">
        <v>594</v>
      </c>
      <c r="H921">
        <f>_xlfn.XLOOKUP(FACT_IMPORTS[[#This Row],[hts_6]],DIM_PRODUCTS[hts_6],DIM_PRODUCTS[hts_4],,,)</f>
        <v>7009</v>
      </c>
      <c r="I921" t="str" cm="1">
        <f t="array" ref="I921">_xlfn.XLOOKUP(FACT_IMPORTS[[#This Row],[country_name]],DIM_COUNTRY[[#All],[Column2]],DIM_COUNTRY[[#All],[Column3]],,,)</f>
        <v>USMCA</v>
      </c>
    </row>
    <row r="922" spans="1:9" x14ac:dyDescent="0.4">
      <c r="A922" t="s">
        <v>61</v>
      </c>
      <c r="B922" s="1">
        <v>45323</v>
      </c>
      <c r="C922">
        <v>732010</v>
      </c>
      <c r="D922" t="s">
        <v>176</v>
      </c>
      <c r="E922">
        <v>4066179</v>
      </c>
      <c r="F922">
        <v>1297031</v>
      </c>
      <c r="G922">
        <v>30822</v>
      </c>
      <c r="H922">
        <f>_xlfn.XLOOKUP(FACT_IMPORTS[[#This Row],[hts_6]],DIM_PRODUCTS[hts_6],DIM_PRODUCTS[hts_4],,,)</f>
        <v>7320</v>
      </c>
      <c r="I922" t="str" cm="1">
        <f t="array" ref="I922">_xlfn.XLOOKUP(FACT_IMPORTS[[#This Row],[country_name]],DIM_COUNTRY[[#All],[Column2]],DIM_COUNTRY[[#All],[Column3]],,,)</f>
        <v>USMCA</v>
      </c>
    </row>
    <row r="923" spans="1:9" x14ac:dyDescent="0.4">
      <c r="A923" t="s">
        <v>61</v>
      </c>
      <c r="B923" s="1">
        <v>45323</v>
      </c>
      <c r="C923">
        <v>830230</v>
      </c>
      <c r="D923" t="s">
        <v>176</v>
      </c>
      <c r="E923">
        <v>40197402</v>
      </c>
      <c r="F923">
        <v>8174763</v>
      </c>
      <c r="G923">
        <v>1578003</v>
      </c>
      <c r="H923">
        <f>_xlfn.XLOOKUP(FACT_IMPORTS[[#This Row],[hts_6]],DIM_PRODUCTS[hts_6],DIM_PRODUCTS[hts_4],,,)</f>
        <v>8302</v>
      </c>
      <c r="I923" t="str" cm="1">
        <f t="array" ref="I923">_xlfn.XLOOKUP(FACT_IMPORTS[[#This Row],[country_name]],DIM_COUNTRY[[#All],[Column2]],DIM_COUNTRY[[#All],[Column3]],,,)</f>
        <v>USMCA</v>
      </c>
    </row>
    <row r="924" spans="1:9" x14ac:dyDescent="0.4">
      <c r="A924" t="s">
        <v>61</v>
      </c>
      <c r="B924" s="1">
        <v>45323</v>
      </c>
      <c r="C924">
        <v>840731</v>
      </c>
      <c r="D924" t="s">
        <v>176</v>
      </c>
      <c r="E924">
        <v>128380</v>
      </c>
      <c r="F924">
        <v>897</v>
      </c>
      <c r="G924">
        <v>2000</v>
      </c>
      <c r="H924">
        <f>_xlfn.XLOOKUP(FACT_IMPORTS[[#This Row],[hts_6]],DIM_PRODUCTS[hts_6],DIM_PRODUCTS[hts_4],,,)</f>
        <v>8407</v>
      </c>
      <c r="I924" t="str" cm="1">
        <f t="array" ref="I924">_xlfn.XLOOKUP(FACT_IMPORTS[[#This Row],[country_name]],DIM_COUNTRY[[#All],[Column2]],DIM_COUNTRY[[#All],[Column3]],,,)</f>
        <v>USMCA</v>
      </c>
    </row>
    <row r="925" spans="1:9" x14ac:dyDescent="0.4">
      <c r="A925" t="s">
        <v>61</v>
      </c>
      <c r="B925" s="1">
        <v>45323</v>
      </c>
      <c r="C925">
        <v>840732</v>
      </c>
      <c r="D925" t="s">
        <v>176</v>
      </c>
      <c r="E925">
        <v>0</v>
      </c>
      <c r="F925">
        <v>0</v>
      </c>
      <c r="G925">
        <v>0</v>
      </c>
      <c r="H925">
        <f>_xlfn.XLOOKUP(FACT_IMPORTS[[#This Row],[hts_6]],DIM_PRODUCTS[hts_6],DIM_PRODUCTS[hts_4],,,)</f>
        <v>8407</v>
      </c>
      <c r="I925" t="str" cm="1">
        <f t="array" ref="I925">_xlfn.XLOOKUP(FACT_IMPORTS[[#This Row],[country_name]],DIM_COUNTRY[[#All],[Column2]],DIM_COUNTRY[[#All],[Column3]],,,)</f>
        <v>USMCA</v>
      </c>
    </row>
    <row r="926" spans="1:9" x14ac:dyDescent="0.4">
      <c r="A926" t="s">
        <v>61</v>
      </c>
      <c r="B926" s="1">
        <v>45323</v>
      </c>
      <c r="C926">
        <v>840733</v>
      </c>
      <c r="D926" t="s">
        <v>176</v>
      </c>
      <c r="E926">
        <v>36112</v>
      </c>
      <c r="F926">
        <v>5</v>
      </c>
      <c r="G926">
        <v>5150</v>
      </c>
      <c r="H926">
        <f>_xlfn.XLOOKUP(FACT_IMPORTS[[#This Row],[hts_6]],DIM_PRODUCTS[hts_6],DIM_PRODUCTS[hts_4],,,)</f>
        <v>8407</v>
      </c>
      <c r="I926" t="str" cm="1">
        <f t="array" ref="I926">_xlfn.XLOOKUP(FACT_IMPORTS[[#This Row],[country_name]],DIM_COUNTRY[[#All],[Column2]],DIM_COUNTRY[[#All],[Column3]],,,)</f>
        <v>USMCA</v>
      </c>
    </row>
    <row r="927" spans="1:9" x14ac:dyDescent="0.4">
      <c r="A927" t="s">
        <v>61</v>
      </c>
      <c r="B927" s="1">
        <v>45323</v>
      </c>
      <c r="C927">
        <v>840734</v>
      </c>
      <c r="D927" t="s">
        <v>176</v>
      </c>
      <c r="E927">
        <v>207291209</v>
      </c>
      <c r="F927">
        <v>60529</v>
      </c>
      <c r="G927">
        <v>219864</v>
      </c>
      <c r="H927">
        <f>_xlfn.XLOOKUP(FACT_IMPORTS[[#This Row],[hts_6]],DIM_PRODUCTS[hts_6],DIM_PRODUCTS[hts_4],,,)</f>
        <v>8407</v>
      </c>
      <c r="I927" t="str" cm="1">
        <f t="array" ref="I927">_xlfn.XLOOKUP(FACT_IMPORTS[[#This Row],[country_name]],DIM_COUNTRY[[#All],[Column2]],DIM_COUNTRY[[#All],[Column3]],,,)</f>
        <v>USMCA</v>
      </c>
    </row>
    <row r="928" spans="1:9" x14ac:dyDescent="0.4">
      <c r="A928" t="s">
        <v>61</v>
      </c>
      <c r="B928" s="1">
        <v>45323</v>
      </c>
      <c r="C928">
        <v>840790</v>
      </c>
      <c r="D928" t="s">
        <v>176</v>
      </c>
      <c r="E928">
        <v>6697456</v>
      </c>
      <c r="F928">
        <v>2681</v>
      </c>
      <c r="G928">
        <v>2101</v>
      </c>
      <c r="H928">
        <f>_xlfn.XLOOKUP(FACT_IMPORTS[[#This Row],[hts_6]],DIM_PRODUCTS[hts_6],DIM_PRODUCTS[hts_4],,,)</f>
        <v>8407</v>
      </c>
      <c r="I928" t="str" cm="1">
        <f t="array" ref="I928">_xlfn.XLOOKUP(FACT_IMPORTS[[#This Row],[country_name]],DIM_COUNTRY[[#All],[Column2]],DIM_COUNTRY[[#All],[Column3]],,,)</f>
        <v>USMCA</v>
      </c>
    </row>
    <row r="929" spans="1:9" x14ac:dyDescent="0.4">
      <c r="A929" t="s">
        <v>61</v>
      </c>
      <c r="B929" s="1">
        <v>45323</v>
      </c>
      <c r="C929">
        <v>840820</v>
      </c>
      <c r="D929" t="s">
        <v>176</v>
      </c>
      <c r="E929">
        <v>863543</v>
      </c>
      <c r="F929">
        <v>102</v>
      </c>
      <c r="G929">
        <v>17294</v>
      </c>
      <c r="H929">
        <f>_xlfn.XLOOKUP(FACT_IMPORTS[[#This Row],[hts_6]],DIM_PRODUCTS[hts_6],DIM_PRODUCTS[hts_4],,,)</f>
        <v>8408</v>
      </c>
      <c r="I929" t="str" cm="1">
        <f t="array" ref="I929">_xlfn.XLOOKUP(FACT_IMPORTS[[#This Row],[country_name]],DIM_COUNTRY[[#All],[Column2]],DIM_COUNTRY[[#All],[Column3]],,,)</f>
        <v>USMCA</v>
      </c>
    </row>
    <row r="930" spans="1:9" x14ac:dyDescent="0.4">
      <c r="A930" t="s">
        <v>61</v>
      </c>
      <c r="B930" s="1">
        <v>45323</v>
      </c>
      <c r="C930">
        <v>840890</v>
      </c>
      <c r="D930" t="s">
        <v>176</v>
      </c>
      <c r="E930">
        <v>331658</v>
      </c>
      <c r="F930">
        <v>29</v>
      </c>
      <c r="G930">
        <v>813</v>
      </c>
      <c r="H930">
        <f>_xlfn.XLOOKUP(FACT_IMPORTS[[#This Row],[hts_6]],DIM_PRODUCTS[hts_6],DIM_PRODUCTS[hts_4],,,)</f>
        <v>8408</v>
      </c>
      <c r="I930" t="str" cm="1">
        <f t="array" ref="I930">_xlfn.XLOOKUP(FACT_IMPORTS[[#This Row],[country_name]],DIM_COUNTRY[[#All],[Column2]],DIM_COUNTRY[[#All],[Column3]],,,)</f>
        <v>USMCA</v>
      </c>
    </row>
    <row r="931" spans="1:9" x14ac:dyDescent="0.4">
      <c r="A931" t="s">
        <v>61</v>
      </c>
      <c r="B931" s="1">
        <v>45323</v>
      </c>
      <c r="C931">
        <v>840991</v>
      </c>
      <c r="D931" t="s">
        <v>176</v>
      </c>
      <c r="E931">
        <v>41210903</v>
      </c>
      <c r="F931">
        <v>3007424</v>
      </c>
      <c r="G931">
        <v>201298</v>
      </c>
      <c r="H931">
        <f>_xlfn.XLOOKUP(FACT_IMPORTS[[#This Row],[hts_6]],DIM_PRODUCTS[hts_6],DIM_PRODUCTS[hts_4],,,)</f>
        <v>8409</v>
      </c>
      <c r="I931" t="str" cm="1">
        <f t="array" ref="I931">_xlfn.XLOOKUP(FACT_IMPORTS[[#This Row],[country_name]],DIM_COUNTRY[[#All],[Column2]],DIM_COUNTRY[[#All],[Column3]],,,)</f>
        <v>USMCA</v>
      </c>
    </row>
    <row r="932" spans="1:9" x14ac:dyDescent="0.4">
      <c r="A932" t="s">
        <v>61</v>
      </c>
      <c r="B932" s="1">
        <v>45323</v>
      </c>
      <c r="C932">
        <v>840999</v>
      </c>
      <c r="D932" t="s">
        <v>176</v>
      </c>
      <c r="E932">
        <v>14810524</v>
      </c>
      <c r="F932">
        <v>1244800</v>
      </c>
      <c r="G932">
        <v>98915</v>
      </c>
      <c r="H932">
        <f>_xlfn.XLOOKUP(FACT_IMPORTS[[#This Row],[hts_6]],DIM_PRODUCTS[hts_6],DIM_PRODUCTS[hts_4],,,)</f>
        <v>8409</v>
      </c>
      <c r="I932" t="str" cm="1">
        <f t="array" ref="I932">_xlfn.XLOOKUP(FACT_IMPORTS[[#This Row],[country_name]],DIM_COUNTRY[[#All],[Column2]],DIM_COUNTRY[[#All],[Column3]],,,)</f>
        <v>USMCA</v>
      </c>
    </row>
    <row r="933" spans="1:9" x14ac:dyDescent="0.4">
      <c r="A933" t="s">
        <v>61</v>
      </c>
      <c r="B933" s="1">
        <v>45323</v>
      </c>
      <c r="C933">
        <v>841330</v>
      </c>
      <c r="D933" t="s">
        <v>176</v>
      </c>
      <c r="E933">
        <v>9931764</v>
      </c>
      <c r="F933">
        <v>189824</v>
      </c>
      <c r="G933">
        <v>32175</v>
      </c>
      <c r="H933">
        <f>_xlfn.XLOOKUP(FACT_IMPORTS[[#This Row],[hts_6]],DIM_PRODUCTS[hts_6],DIM_PRODUCTS[hts_4],,,)</f>
        <v>8413</v>
      </c>
      <c r="I933" t="str" cm="1">
        <f t="array" ref="I933">_xlfn.XLOOKUP(FACT_IMPORTS[[#This Row],[country_name]],DIM_COUNTRY[[#All],[Column2]],DIM_COUNTRY[[#All],[Column3]],,,)</f>
        <v>USMCA</v>
      </c>
    </row>
    <row r="934" spans="1:9" x14ac:dyDescent="0.4">
      <c r="A934" t="s">
        <v>61</v>
      </c>
      <c r="B934" s="1">
        <v>45323</v>
      </c>
      <c r="C934">
        <v>841520</v>
      </c>
      <c r="D934" t="s">
        <v>176</v>
      </c>
      <c r="E934">
        <v>7317047</v>
      </c>
      <c r="F934">
        <v>39591</v>
      </c>
      <c r="G934">
        <v>92864</v>
      </c>
      <c r="H934">
        <f>_xlfn.XLOOKUP(FACT_IMPORTS[[#This Row],[hts_6]],DIM_PRODUCTS[hts_6],DIM_PRODUCTS[hts_4],,,)</f>
        <v>8415</v>
      </c>
      <c r="I934" t="str" cm="1">
        <f t="array" ref="I934">_xlfn.XLOOKUP(FACT_IMPORTS[[#This Row],[country_name]],DIM_COUNTRY[[#All],[Column2]],DIM_COUNTRY[[#All],[Column3]],,,)</f>
        <v>USMCA</v>
      </c>
    </row>
    <row r="935" spans="1:9" x14ac:dyDescent="0.4">
      <c r="A935" t="s">
        <v>61</v>
      </c>
      <c r="B935" s="1">
        <v>45323</v>
      </c>
      <c r="C935">
        <v>842132</v>
      </c>
      <c r="D935" t="s">
        <v>176</v>
      </c>
      <c r="E935">
        <v>7249974</v>
      </c>
      <c r="F935">
        <v>52950</v>
      </c>
      <c r="G935">
        <v>33456</v>
      </c>
      <c r="H935">
        <f>_xlfn.XLOOKUP(FACT_IMPORTS[[#This Row],[hts_6]],DIM_PRODUCTS[hts_6],DIM_PRODUCTS[hts_4],,,)</f>
        <v>8421</v>
      </c>
      <c r="I935" t="str" cm="1">
        <f t="array" ref="I935">_xlfn.XLOOKUP(FACT_IMPORTS[[#This Row],[country_name]],DIM_COUNTRY[[#All],[Column2]],DIM_COUNTRY[[#All],[Column3]],,,)</f>
        <v>USMCA</v>
      </c>
    </row>
    <row r="936" spans="1:9" x14ac:dyDescent="0.4">
      <c r="A936" t="s">
        <v>61</v>
      </c>
      <c r="B936" s="1">
        <v>45323</v>
      </c>
      <c r="C936">
        <v>848210</v>
      </c>
      <c r="D936" t="s">
        <v>176</v>
      </c>
      <c r="E936">
        <v>3903867</v>
      </c>
      <c r="F936">
        <v>1065064</v>
      </c>
      <c r="G936">
        <v>88582</v>
      </c>
      <c r="H936">
        <f>_xlfn.XLOOKUP(FACT_IMPORTS[[#This Row],[hts_6]],DIM_PRODUCTS[hts_6],DIM_PRODUCTS[hts_4],,,)</f>
        <v>8482</v>
      </c>
      <c r="I936" t="str" cm="1">
        <f t="array" ref="I936">_xlfn.XLOOKUP(FACT_IMPORTS[[#This Row],[country_name]],DIM_COUNTRY[[#All],[Column2]],DIM_COUNTRY[[#All],[Column3]],,,)</f>
        <v>USMCA</v>
      </c>
    </row>
    <row r="937" spans="1:9" x14ac:dyDescent="0.4">
      <c r="A937" t="s">
        <v>61</v>
      </c>
      <c r="B937" s="1">
        <v>45323</v>
      </c>
      <c r="C937">
        <v>848220</v>
      </c>
      <c r="D937" t="s">
        <v>176</v>
      </c>
      <c r="E937">
        <v>476760</v>
      </c>
      <c r="F937">
        <v>7672</v>
      </c>
      <c r="G937">
        <v>4479</v>
      </c>
      <c r="H937">
        <f>_xlfn.XLOOKUP(FACT_IMPORTS[[#This Row],[hts_6]],DIM_PRODUCTS[hts_6],DIM_PRODUCTS[hts_4],,,)</f>
        <v>8482</v>
      </c>
      <c r="I937" t="str" cm="1">
        <f t="array" ref="I937">_xlfn.XLOOKUP(FACT_IMPORTS[[#This Row],[country_name]],DIM_COUNTRY[[#All],[Column2]],DIM_COUNTRY[[#All],[Column3]],,,)</f>
        <v>USMCA</v>
      </c>
    </row>
    <row r="938" spans="1:9" x14ac:dyDescent="0.4">
      <c r="A938" t="s">
        <v>61</v>
      </c>
      <c r="B938" s="1">
        <v>45323</v>
      </c>
      <c r="C938">
        <v>848310</v>
      </c>
      <c r="D938" t="s">
        <v>176</v>
      </c>
      <c r="E938">
        <v>17519455</v>
      </c>
      <c r="F938">
        <v>601886</v>
      </c>
      <c r="G938">
        <v>295389</v>
      </c>
      <c r="H938">
        <f>_xlfn.XLOOKUP(FACT_IMPORTS[[#This Row],[hts_6]],DIM_PRODUCTS[hts_6],DIM_PRODUCTS[hts_4],,,)</f>
        <v>8483</v>
      </c>
      <c r="I938" t="str" cm="1">
        <f t="array" ref="I938">_xlfn.XLOOKUP(FACT_IMPORTS[[#This Row],[country_name]],DIM_COUNTRY[[#All],[Column2]],DIM_COUNTRY[[#All],[Column3]],,,)</f>
        <v>USMCA</v>
      </c>
    </row>
    <row r="939" spans="1:9" x14ac:dyDescent="0.4">
      <c r="A939" t="s">
        <v>61</v>
      </c>
      <c r="B939" s="1">
        <v>45323</v>
      </c>
      <c r="C939">
        <v>850131</v>
      </c>
      <c r="D939" t="s">
        <v>176</v>
      </c>
      <c r="E939">
        <v>1718318</v>
      </c>
      <c r="F939">
        <v>45153</v>
      </c>
      <c r="G939">
        <v>10466</v>
      </c>
      <c r="H939">
        <f>_xlfn.XLOOKUP(FACT_IMPORTS[[#This Row],[hts_6]],DIM_PRODUCTS[hts_6],DIM_PRODUCTS[hts_4],,,)</f>
        <v>8501</v>
      </c>
      <c r="I939" t="str" cm="1">
        <f t="array" ref="I939">_xlfn.XLOOKUP(FACT_IMPORTS[[#This Row],[country_name]],DIM_COUNTRY[[#All],[Column2]],DIM_COUNTRY[[#All],[Column3]],,,)</f>
        <v>USMCA</v>
      </c>
    </row>
    <row r="940" spans="1:9" x14ac:dyDescent="0.4">
      <c r="A940" t="s">
        <v>61</v>
      </c>
      <c r="B940" s="1">
        <v>45323</v>
      </c>
      <c r="C940">
        <v>850132</v>
      </c>
      <c r="D940" t="s">
        <v>176</v>
      </c>
      <c r="E940">
        <v>525275</v>
      </c>
      <c r="F940">
        <v>780</v>
      </c>
      <c r="G940">
        <v>3324</v>
      </c>
      <c r="H940">
        <f>_xlfn.XLOOKUP(FACT_IMPORTS[[#This Row],[hts_6]],DIM_PRODUCTS[hts_6],DIM_PRODUCTS[hts_4],,,)</f>
        <v>8501</v>
      </c>
      <c r="I940" t="str" cm="1">
        <f t="array" ref="I940">_xlfn.XLOOKUP(FACT_IMPORTS[[#This Row],[country_name]],DIM_COUNTRY[[#All],[Column2]],DIM_COUNTRY[[#All],[Column3]],,,)</f>
        <v>USMCA</v>
      </c>
    </row>
    <row r="941" spans="1:9" x14ac:dyDescent="0.4">
      <c r="A941" t="s">
        <v>61</v>
      </c>
      <c r="B941" s="1">
        <v>45323</v>
      </c>
      <c r="C941">
        <v>850133</v>
      </c>
      <c r="D941" t="s">
        <v>176</v>
      </c>
      <c r="E941">
        <v>12146</v>
      </c>
      <c r="F941">
        <v>7</v>
      </c>
      <c r="G941">
        <v>271</v>
      </c>
      <c r="H941">
        <f>_xlfn.XLOOKUP(FACT_IMPORTS[[#This Row],[hts_6]],DIM_PRODUCTS[hts_6],DIM_PRODUCTS[hts_4],,,)</f>
        <v>8501</v>
      </c>
      <c r="I941" t="str" cm="1">
        <f t="array" ref="I941">_xlfn.XLOOKUP(FACT_IMPORTS[[#This Row],[country_name]],DIM_COUNTRY[[#All],[Column2]],DIM_COUNTRY[[#All],[Column3]],,,)</f>
        <v>USMCA</v>
      </c>
    </row>
    <row r="942" spans="1:9" x14ac:dyDescent="0.4">
      <c r="A942" t="s">
        <v>61</v>
      </c>
      <c r="B942" s="1">
        <v>45323</v>
      </c>
      <c r="C942">
        <v>850134</v>
      </c>
      <c r="D942" t="s">
        <v>176</v>
      </c>
      <c r="E942">
        <v>401609</v>
      </c>
      <c r="F942">
        <v>8</v>
      </c>
      <c r="G942">
        <v>800</v>
      </c>
      <c r="H942">
        <f>_xlfn.XLOOKUP(FACT_IMPORTS[[#This Row],[hts_6]],DIM_PRODUCTS[hts_6],DIM_PRODUCTS[hts_4],,,)</f>
        <v>8501</v>
      </c>
      <c r="I942" t="str" cm="1">
        <f t="array" ref="I942">_xlfn.XLOOKUP(FACT_IMPORTS[[#This Row],[country_name]],DIM_COUNTRY[[#All],[Column2]],DIM_COUNTRY[[#All],[Column3]],,,)</f>
        <v>USMCA</v>
      </c>
    </row>
    <row r="943" spans="1:9" x14ac:dyDescent="0.4">
      <c r="A943" t="s">
        <v>61</v>
      </c>
      <c r="B943" s="1">
        <v>45323</v>
      </c>
      <c r="C943">
        <v>850152</v>
      </c>
      <c r="D943" t="s">
        <v>176</v>
      </c>
      <c r="E943">
        <v>672602</v>
      </c>
      <c r="F943">
        <v>267</v>
      </c>
      <c r="G943">
        <v>13780</v>
      </c>
      <c r="H943">
        <f>_xlfn.XLOOKUP(FACT_IMPORTS[[#This Row],[hts_6]],DIM_PRODUCTS[hts_6],DIM_PRODUCTS[hts_4],,,)</f>
        <v>8501</v>
      </c>
      <c r="I943" t="str" cm="1">
        <f t="array" ref="I943">_xlfn.XLOOKUP(FACT_IMPORTS[[#This Row],[country_name]],DIM_COUNTRY[[#All],[Column2]],DIM_COUNTRY[[#All],[Column3]],,,)</f>
        <v>USMCA</v>
      </c>
    </row>
    <row r="944" spans="1:9" x14ac:dyDescent="0.4">
      <c r="A944" t="s">
        <v>61</v>
      </c>
      <c r="B944" s="1">
        <v>45323</v>
      </c>
      <c r="C944">
        <v>850153</v>
      </c>
      <c r="D944" t="s">
        <v>176</v>
      </c>
      <c r="E944">
        <v>503860</v>
      </c>
      <c r="F944">
        <v>45</v>
      </c>
      <c r="G944">
        <v>3727</v>
      </c>
      <c r="H944">
        <f>_xlfn.XLOOKUP(FACT_IMPORTS[[#This Row],[hts_6]],DIM_PRODUCTS[hts_6],DIM_PRODUCTS[hts_4],,,)</f>
        <v>8501</v>
      </c>
      <c r="I944" t="str" cm="1">
        <f t="array" ref="I944">_xlfn.XLOOKUP(FACT_IMPORTS[[#This Row],[country_name]],DIM_COUNTRY[[#All],[Column2]],DIM_COUNTRY[[#All],[Column3]],,,)</f>
        <v>USMCA</v>
      </c>
    </row>
    <row r="945" spans="1:9" x14ac:dyDescent="0.4">
      <c r="A945" t="s">
        <v>61</v>
      </c>
      <c r="B945" s="1">
        <v>45323</v>
      </c>
      <c r="C945">
        <v>850161</v>
      </c>
      <c r="D945" t="s">
        <v>176</v>
      </c>
      <c r="E945">
        <v>413319</v>
      </c>
      <c r="F945">
        <v>81</v>
      </c>
      <c r="G945">
        <v>1158</v>
      </c>
      <c r="H945">
        <f>_xlfn.XLOOKUP(FACT_IMPORTS[[#This Row],[hts_6]],DIM_PRODUCTS[hts_6],DIM_PRODUCTS[hts_4],,,)</f>
        <v>8501</v>
      </c>
      <c r="I945" t="str" cm="1">
        <f t="array" ref="I945">_xlfn.XLOOKUP(FACT_IMPORTS[[#This Row],[country_name]],DIM_COUNTRY[[#All],[Column2]],DIM_COUNTRY[[#All],[Column3]],,,)</f>
        <v>USMCA</v>
      </c>
    </row>
    <row r="946" spans="1:9" x14ac:dyDescent="0.4">
      <c r="A946" t="s">
        <v>61</v>
      </c>
      <c r="B946" s="1">
        <v>45323</v>
      </c>
      <c r="C946">
        <v>850440</v>
      </c>
      <c r="D946" t="s">
        <v>176</v>
      </c>
      <c r="E946">
        <v>12600623</v>
      </c>
      <c r="F946">
        <v>55081</v>
      </c>
      <c r="G946">
        <v>223629</v>
      </c>
      <c r="H946">
        <f>_xlfn.XLOOKUP(FACT_IMPORTS[[#This Row],[hts_6]],DIM_PRODUCTS[hts_6],DIM_PRODUCTS[hts_4],,,)</f>
        <v>8504</v>
      </c>
      <c r="I946" t="str" cm="1">
        <f t="array" ref="I946">_xlfn.XLOOKUP(FACT_IMPORTS[[#This Row],[country_name]],DIM_COUNTRY[[#All],[Column2]],DIM_COUNTRY[[#All],[Column3]],,,)</f>
        <v>USMCA</v>
      </c>
    </row>
    <row r="947" spans="1:9" x14ac:dyDescent="0.4">
      <c r="A947" t="s">
        <v>61</v>
      </c>
      <c r="B947" s="1">
        <v>45323</v>
      </c>
      <c r="C947">
        <v>850710</v>
      </c>
      <c r="D947" t="s">
        <v>176</v>
      </c>
      <c r="E947">
        <v>762955</v>
      </c>
      <c r="F947">
        <v>1975</v>
      </c>
      <c r="G947">
        <v>42250</v>
      </c>
      <c r="H947">
        <f>_xlfn.XLOOKUP(FACT_IMPORTS[[#This Row],[hts_6]],DIM_PRODUCTS[hts_6],DIM_PRODUCTS[hts_4],,,)</f>
        <v>8507</v>
      </c>
      <c r="I947" t="str" cm="1">
        <f t="array" ref="I947">_xlfn.XLOOKUP(FACT_IMPORTS[[#This Row],[country_name]],DIM_COUNTRY[[#All],[Column2]],DIM_COUNTRY[[#All],[Column3]],,,)</f>
        <v>USMCA</v>
      </c>
    </row>
    <row r="948" spans="1:9" x14ac:dyDescent="0.4">
      <c r="A948" t="s">
        <v>61</v>
      </c>
      <c r="B948" s="1">
        <v>45323</v>
      </c>
      <c r="C948">
        <v>850760</v>
      </c>
      <c r="D948" t="s">
        <v>176</v>
      </c>
      <c r="E948">
        <v>2906657</v>
      </c>
      <c r="F948">
        <v>2304</v>
      </c>
      <c r="G948">
        <v>20227</v>
      </c>
      <c r="H948">
        <f>_xlfn.XLOOKUP(FACT_IMPORTS[[#This Row],[hts_6]],DIM_PRODUCTS[hts_6],DIM_PRODUCTS[hts_4],,,)</f>
        <v>8507</v>
      </c>
      <c r="I948" t="str" cm="1">
        <f t="array" ref="I948">_xlfn.XLOOKUP(FACT_IMPORTS[[#This Row],[country_name]],DIM_COUNTRY[[#All],[Column2]],DIM_COUNTRY[[#All],[Column3]],,,)</f>
        <v>USMCA</v>
      </c>
    </row>
    <row r="949" spans="1:9" x14ac:dyDescent="0.4">
      <c r="A949" t="s">
        <v>61</v>
      </c>
      <c r="B949" s="1">
        <v>45323</v>
      </c>
      <c r="C949">
        <v>850790</v>
      </c>
      <c r="D949" t="s">
        <v>176</v>
      </c>
      <c r="E949">
        <v>634160</v>
      </c>
      <c r="F949">
        <v>38000</v>
      </c>
      <c r="G949">
        <v>2244</v>
      </c>
      <c r="H949">
        <f>_xlfn.XLOOKUP(FACT_IMPORTS[[#This Row],[hts_6]],DIM_PRODUCTS[hts_6],DIM_PRODUCTS[hts_4],,,)</f>
        <v>8507</v>
      </c>
      <c r="I949" t="str" cm="1">
        <f t="array" ref="I949">_xlfn.XLOOKUP(FACT_IMPORTS[[#This Row],[country_name]],DIM_COUNTRY[[#All],[Column2]],DIM_COUNTRY[[#All],[Column3]],,,)</f>
        <v>USMCA</v>
      </c>
    </row>
    <row r="950" spans="1:9" x14ac:dyDescent="0.4">
      <c r="A950" t="s">
        <v>61</v>
      </c>
      <c r="B950" s="1">
        <v>45323</v>
      </c>
      <c r="C950">
        <v>851110</v>
      </c>
      <c r="D950" t="s">
        <v>176</v>
      </c>
      <c r="E950">
        <v>0</v>
      </c>
      <c r="F950">
        <v>0</v>
      </c>
      <c r="G950">
        <v>0</v>
      </c>
      <c r="H950">
        <f>_xlfn.XLOOKUP(FACT_IMPORTS[[#This Row],[hts_6]],DIM_PRODUCTS[hts_6],DIM_PRODUCTS[hts_4],,,)</f>
        <v>8511</v>
      </c>
      <c r="I950" t="str" cm="1">
        <f t="array" ref="I950">_xlfn.XLOOKUP(FACT_IMPORTS[[#This Row],[country_name]],DIM_COUNTRY[[#All],[Column2]],DIM_COUNTRY[[#All],[Column3]],,,)</f>
        <v>USMCA</v>
      </c>
    </row>
    <row r="951" spans="1:9" x14ac:dyDescent="0.4">
      <c r="A951" t="s">
        <v>61</v>
      </c>
      <c r="B951" s="1">
        <v>45323</v>
      </c>
      <c r="C951">
        <v>851120</v>
      </c>
      <c r="D951" t="s">
        <v>176</v>
      </c>
      <c r="E951">
        <v>9050</v>
      </c>
      <c r="F951">
        <v>30</v>
      </c>
      <c r="G951">
        <v>122</v>
      </c>
      <c r="H951">
        <f>_xlfn.XLOOKUP(FACT_IMPORTS[[#This Row],[hts_6]],DIM_PRODUCTS[hts_6],DIM_PRODUCTS[hts_4],,,)</f>
        <v>8511</v>
      </c>
      <c r="I951" t="str" cm="1">
        <f t="array" ref="I951">_xlfn.XLOOKUP(FACT_IMPORTS[[#This Row],[country_name]],DIM_COUNTRY[[#All],[Column2]],DIM_COUNTRY[[#All],[Column3]],,,)</f>
        <v>USMCA</v>
      </c>
    </row>
    <row r="952" spans="1:9" x14ac:dyDescent="0.4">
      <c r="A952" t="s">
        <v>61</v>
      </c>
      <c r="B952" s="1">
        <v>45323</v>
      </c>
      <c r="C952">
        <v>851130</v>
      </c>
      <c r="D952" t="s">
        <v>176</v>
      </c>
      <c r="E952">
        <v>16378</v>
      </c>
      <c r="F952">
        <v>9409</v>
      </c>
      <c r="G952">
        <v>102</v>
      </c>
      <c r="H952">
        <f>_xlfn.XLOOKUP(FACT_IMPORTS[[#This Row],[hts_6]],DIM_PRODUCTS[hts_6],DIM_PRODUCTS[hts_4],,,)</f>
        <v>8511</v>
      </c>
      <c r="I952" t="str" cm="1">
        <f t="array" ref="I952">_xlfn.XLOOKUP(FACT_IMPORTS[[#This Row],[country_name]],DIM_COUNTRY[[#All],[Column2]],DIM_COUNTRY[[#All],[Column3]],,,)</f>
        <v>USMCA</v>
      </c>
    </row>
    <row r="953" spans="1:9" x14ac:dyDescent="0.4">
      <c r="A953" t="s">
        <v>61</v>
      </c>
      <c r="B953" s="1">
        <v>45323</v>
      </c>
      <c r="C953">
        <v>851140</v>
      </c>
      <c r="D953" t="s">
        <v>176</v>
      </c>
      <c r="E953">
        <v>431239</v>
      </c>
      <c r="F953">
        <v>8421</v>
      </c>
      <c r="G953">
        <v>3249</v>
      </c>
      <c r="H953">
        <f>_xlfn.XLOOKUP(FACT_IMPORTS[[#This Row],[hts_6]],DIM_PRODUCTS[hts_6],DIM_PRODUCTS[hts_4],,,)</f>
        <v>8511</v>
      </c>
      <c r="I953" t="str" cm="1">
        <f t="array" ref="I953">_xlfn.XLOOKUP(FACT_IMPORTS[[#This Row],[country_name]],DIM_COUNTRY[[#All],[Column2]],DIM_COUNTRY[[#All],[Column3]],,,)</f>
        <v>USMCA</v>
      </c>
    </row>
    <row r="954" spans="1:9" x14ac:dyDescent="0.4">
      <c r="A954" t="s">
        <v>61</v>
      </c>
      <c r="B954" s="1">
        <v>45323</v>
      </c>
      <c r="C954">
        <v>851150</v>
      </c>
      <c r="D954" t="s">
        <v>176</v>
      </c>
      <c r="E954">
        <v>391907</v>
      </c>
      <c r="F954">
        <v>6803</v>
      </c>
      <c r="G954">
        <v>3021</v>
      </c>
      <c r="H954">
        <f>_xlfn.XLOOKUP(FACT_IMPORTS[[#This Row],[hts_6]],DIM_PRODUCTS[hts_6],DIM_PRODUCTS[hts_4],,,)</f>
        <v>8511</v>
      </c>
      <c r="I954" t="str" cm="1">
        <f t="array" ref="I954">_xlfn.XLOOKUP(FACT_IMPORTS[[#This Row],[country_name]],DIM_COUNTRY[[#All],[Column2]],DIM_COUNTRY[[#All],[Column3]],,,)</f>
        <v>USMCA</v>
      </c>
    </row>
    <row r="955" spans="1:9" x14ac:dyDescent="0.4">
      <c r="A955" t="s">
        <v>61</v>
      </c>
      <c r="B955" s="1">
        <v>45323</v>
      </c>
      <c r="C955">
        <v>851180</v>
      </c>
      <c r="D955" t="s">
        <v>176</v>
      </c>
      <c r="E955">
        <v>14422</v>
      </c>
      <c r="F955">
        <v>32</v>
      </c>
      <c r="G955">
        <v>14</v>
      </c>
      <c r="H955">
        <f>_xlfn.XLOOKUP(FACT_IMPORTS[[#This Row],[hts_6]],DIM_PRODUCTS[hts_6],DIM_PRODUCTS[hts_4],,,)</f>
        <v>8511</v>
      </c>
      <c r="I955" t="str" cm="1">
        <f t="array" ref="I955">_xlfn.XLOOKUP(FACT_IMPORTS[[#This Row],[country_name]],DIM_COUNTRY[[#All],[Column2]],DIM_COUNTRY[[#All],[Column3]],,,)</f>
        <v>USMCA</v>
      </c>
    </row>
    <row r="956" spans="1:9" x14ac:dyDescent="0.4">
      <c r="A956" t="s">
        <v>61</v>
      </c>
      <c r="B956" s="1">
        <v>45323</v>
      </c>
      <c r="C956">
        <v>851190</v>
      </c>
      <c r="D956" t="s">
        <v>176</v>
      </c>
      <c r="E956">
        <v>618225</v>
      </c>
      <c r="F956">
        <v>6037</v>
      </c>
      <c r="G956">
        <v>9246</v>
      </c>
      <c r="H956">
        <f>_xlfn.XLOOKUP(FACT_IMPORTS[[#This Row],[hts_6]],DIM_PRODUCTS[hts_6],DIM_PRODUCTS[hts_4],,,)</f>
        <v>8511</v>
      </c>
      <c r="I956" t="str" cm="1">
        <f t="array" ref="I956">_xlfn.XLOOKUP(FACT_IMPORTS[[#This Row],[country_name]],DIM_COUNTRY[[#All],[Column2]],DIM_COUNTRY[[#All],[Column3]],,,)</f>
        <v>USMCA</v>
      </c>
    </row>
    <row r="957" spans="1:9" x14ac:dyDescent="0.4">
      <c r="A957" t="s">
        <v>61</v>
      </c>
      <c r="B957" s="1">
        <v>45323</v>
      </c>
      <c r="C957">
        <v>851220</v>
      </c>
      <c r="D957" t="s">
        <v>176</v>
      </c>
      <c r="E957">
        <v>20985763</v>
      </c>
      <c r="F957">
        <v>385233</v>
      </c>
      <c r="G957">
        <v>74770</v>
      </c>
      <c r="H957">
        <f>_xlfn.XLOOKUP(FACT_IMPORTS[[#This Row],[hts_6]],DIM_PRODUCTS[hts_6],DIM_PRODUCTS[hts_4],,,)</f>
        <v>8512</v>
      </c>
      <c r="I957" t="str" cm="1">
        <f t="array" ref="I957">_xlfn.XLOOKUP(FACT_IMPORTS[[#This Row],[country_name]],DIM_COUNTRY[[#All],[Column2]],DIM_COUNTRY[[#All],[Column3]],,,)</f>
        <v>USMCA</v>
      </c>
    </row>
    <row r="958" spans="1:9" x14ac:dyDescent="0.4">
      <c r="A958" t="s">
        <v>61</v>
      </c>
      <c r="B958" s="1">
        <v>45323</v>
      </c>
      <c r="C958">
        <v>851230</v>
      </c>
      <c r="D958" t="s">
        <v>176</v>
      </c>
      <c r="E958">
        <v>45822</v>
      </c>
      <c r="F958">
        <v>420</v>
      </c>
      <c r="G958">
        <v>518</v>
      </c>
      <c r="H958">
        <f>_xlfn.XLOOKUP(FACT_IMPORTS[[#This Row],[hts_6]],DIM_PRODUCTS[hts_6],DIM_PRODUCTS[hts_4],,,)</f>
        <v>8512</v>
      </c>
      <c r="I958" t="str" cm="1">
        <f t="array" ref="I958">_xlfn.XLOOKUP(FACT_IMPORTS[[#This Row],[country_name]],DIM_COUNTRY[[#All],[Column2]],DIM_COUNTRY[[#All],[Column3]],,,)</f>
        <v>USMCA</v>
      </c>
    </row>
    <row r="959" spans="1:9" x14ac:dyDescent="0.4">
      <c r="A959" t="s">
        <v>61</v>
      </c>
      <c r="B959" s="1">
        <v>45323</v>
      </c>
      <c r="C959">
        <v>851240</v>
      </c>
      <c r="D959" t="s">
        <v>176</v>
      </c>
      <c r="E959">
        <v>0</v>
      </c>
      <c r="F959">
        <v>0</v>
      </c>
      <c r="G959">
        <v>0</v>
      </c>
      <c r="H959">
        <f>_xlfn.XLOOKUP(FACT_IMPORTS[[#This Row],[hts_6]],DIM_PRODUCTS[hts_6],DIM_PRODUCTS[hts_4],,,)</f>
        <v>8512</v>
      </c>
      <c r="I959" t="str" cm="1">
        <f t="array" ref="I959">_xlfn.XLOOKUP(FACT_IMPORTS[[#This Row],[country_name]],DIM_COUNTRY[[#All],[Column2]],DIM_COUNTRY[[#All],[Column3]],,,)</f>
        <v>USMCA</v>
      </c>
    </row>
    <row r="960" spans="1:9" x14ac:dyDescent="0.4">
      <c r="A960" t="s">
        <v>61</v>
      </c>
      <c r="B960" s="1">
        <v>45323</v>
      </c>
      <c r="C960">
        <v>851290</v>
      </c>
      <c r="D960" t="s">
        <v>176</v>
      </c>
      <c r="E960">
        <v>2194508</v>
      </c>
      <c r="F960">
        <v>28691</v>
      </c>
      <c r="G960">
        <v>3995</v>
      </c>
      <c r="H960">
        <f>_xlfn.XLOOKUP(FACT_IMPORTS[[#This Row],[hts_6]],DIM_PRODUCTS[hts_6],DIM_PRODUCTS[hts_4],,,)</f>
        <v>8512</v>
      </c>
      <c r="I960" t="str" cm="1">
        <f t="array" ref="I960">_xlfn.XLOOKUP(FACT_IMPORTS[[#This Row],[country_name]],DIM_COUNTRY[[#All],[Column2]],DIM_COUNTRY[[#All],[Column3]],,,)</f>
        <v>USMCA</v>
      </c>
    </row>
    <row r="961" spans="1:9" x14ac:dyDescent="0.4">
      <c r="A961" t="s">
        <v>61</v>
      </c>
      <c r="B961" s="1">
        <v>45323</v>
      </c>
      <c r="C961">
        <v>854231</v>
      </c>
      <c r="D961" t="s">
        <v>176</v>
      </c>
      <c r="E961">
        <v>153170</v>
      </c>
      <c r="F961">
        <v>1334</v>
      </c>
      <c r="G961">
        <v>2430</v>
      </c>
      <c r="H961">
        <f>_xlfn.XLOOKUP(FACT_IMPORTS[[#This Row],[hts_6]],DIM_PRODUCTS[hts_6],DIM_PRODUCTS[hts_4],,,)</f>
        <v>8542</v>
      </c>
      <c r="I961" t="str" cm="1">
        <f t="array" ref="I961">_xlfn.XLOOKUP(FACT_IMPORTS[[#This Row],[country_name]],DIM_COUNTRY[[#All],[Column2]],DIM_COUNTRY[[#All],[Column3]],,,)</f>
        <v>USMCA</v>
      </c>
    </row>
    <row r="962" spans="1:9" x14ac:dyDescent="0.4">
      <c r="A962" t="s">
        <v>61</v>
      </c>
      <c r="B962" s="1">
        <v>45323</v>
      </c>
      <c r="C962">
        <v>854232</v>
      </c>
      <c r="D962" t="s">
        <v>176</v>
      </c>
      <c r="E962">
        <v>2367</v>
      </c>
      <c r="F962">
        <v>538</v>
      </c>
      <c r="G962">
        <v>26</v>
      </c>
      <c r="H962">
        <f>_xlfn.XLOOKUP(FACT_IMPORTS[[#This Row],[hts_6]],DIM_PRODUCTS[hts_6],DIM_PRODUCTS[hts_4],,,)</f>
        <v>8542</v>
      </c>
      <c r="I962" t="str" cm="1">
        <f t="array" ref="I962">_xlfn.XLOOKUP(FACT_IMPORTS[[#This Row],[country_name]],DIM_COUNTRY[[#All],[Column2]],DIM_COUNTRY[[#All],[Column3]],,,)</f>
        <v>USMCA</v>
      </c>
    </row>
    <row r="963" spans="1:9" x14ac:dyDescent="0.4">
      <c r="A963" t="s">
        <v>61</v>
      </c>
      <c r="B963" s="1">
        <v>45323</v>
      </c>
      <c r="C963">
        <v>854233</v>
      </c>
      <c r="D963" t="s">
        <v>176</v>
      </c>
      <c r="E963">
        <v>0</v>
      </c>
      <c r="F963">
        <v>0</v>
      </c>
      <c r="G963">
        <v>0</v>
      </c>
      <c r="H963">
        <f>_xlfn.XLOOKUP(FACT_IMPORTS[[#This Row],[hts_6]],DIM_PRODUCTS[hts_6],DIM_PRODUCTS[hts_4],,,)</f>
        <v>8542</v>
      </c>
      <c r="I963" t="str" cm="1">
        <f t="array" ref="I963">_xlfn.XLOOKUP(FACT_IMPORTS[[#This Row],[country_name]],DIM_COUNTRY[[#All],[Column2]],DIM_COUNTRY[[#All],[Column3]],,,)</f>
        <v>USMCA</v>
      </c>
    </row>
    <row r="964" spans="1:9" x14ac:dyDescent="0.4">
      <c r="A964" t="s">
        <v>61</v>
      </c>
      <c r="B964" s="1">
        <v>45323</v>
      </c>
      <c r="C964">
        <v>854239</v>
      </c>
      <c r="D964" t="s">
        <v>176</v>
      </c>
      <c r="E964">
        <v>17097</v>
      </c>
      <c r="F964">
        <v>256</v>
      </c>
      <c r="G964">
        <v>84</v>
      </c>
      <c r="H964">
        <f>_xlfn.XLOOKUP(FACT_IMPORTS[[#This Row],[hts_6]],DIM_PRODUCTS[hts_6],DIM_PRODUCTS[hts_4],,,)</f>
        <v>8542</v>
      </c>
      <c r="I964" t="str" cm="1">
        <f t="array" ref="I964">_xlfn.XLOOKUP(FACT_IMPORTS[[#This Row],[country_name]],DIM_COUNTRY[[#All],[Column2]],DIM_COUNTRY[[#All],[Column3]],,,)</f>
        <v>USMCA</v>
      </c>
    </row>
    <row r="965" spans="1:9" x14ac:dyDescent="0.4">
      <c r="A965" t="s">
        <v>61</v>
      </c>
      <c r="B965" s="1">
        <v>45323</v>
      </c>
      <c r="C965">
        <v>854290</v>
      </c>
      <c r="D965" t="s">
        <v>176</v>
      </c>
      <c r="E965">
        <v>0</v>
      </c>
      <c r="F965">
        <v>0</v>
      </c>
      <c r="G965">
        <v>0</v>
      </c>
      <c r="H965">
        <f>_xlfn.XLOOKUP(FACT_IMPORTS[[#This Row],[hts_6]],DIM_PRODUCTS[hts_6],DIM_PRODUCTS[hts_4],,,)</f>
        <v>8542</v>
      </c>
      <c r="I965" t="str" cm="1">
        <f t="array" ref="I965">_xlfn.XLOOKUP(FACT_IMPORTS[[#This Row],[country_name]],DIM_COUNTRY[[#All],[Column2]],DIM_COUNTRY[[#All],[Column3]],,,)</f>
        <v>USMCA</v>
      </c>
    </row>
    <row r="966" spans="1:9" x14ac:dyDescent="0.4">
      <c r="A966" t="s">
        <v>61</v>
      </c>
      <c r="B966" s="1">
        <v>45323</v>
      </c>
      <c r="C966">
        <v>854430</v>
      </c>
      <c r="D966" t="s">
        <v>176</v>
      </c>
      <c r="E966">
        <v>1394357</v>
      </c>
      <c r="F966">
        <v>31567</v>
      </c>
      <c r="G966">
        <v>7879</v>
      </c>
      <c r="H966">
        <f>_xlfn.XLOOKUP(FACT_IMPORTS[[#This Row],[hts_6]],DIM_PRODUCTS[hts_6],DIM_PRODUCTS[hts_4],,,)</f>
        <v>8544</v>
      </c>
      <c r="I966" t="str" cm="1">
        <f t="array" ref="I966">_xlfn.XLOOKUP(FACT_IMPORTS[[#This Row],[country_name]],DIM_COUNTRY[[#All],[Column2]],DIM_COUNTRY[[#All],[Column3]],,,)</f>
        <v>USMCA</v>
      </c>
    </row>
    <row r="967" spans="1:9" x14ac:dyDescent="0.4">
      <c r="A967" t="s">
        <v>61</v>
      </c>
      <c r="B967" s="1">
        <v>45323</v>
      </c>
      <c r="C967">
        <v>870600</v>
      </c>
      <c r="D967" t="s">
        <v>176</v>
      </c>
      <c r="E967">
        <v>0</v>
      </c>
      <c r="F967">
        <v>0</v>
      </c>
      <c r="G967">
        <v>0</v>
      </c>
      <c r="H967">
        <f>_xlfn.XLOOKUP(FACT_IMPORTS[[#This Row],[hts_6]],DIM_PRODUCTS[hts_6],DIM_PRODUCTS[hts_4],,,)</f>
        <v>8706</v>
      </c>
      <c r="I967" t="str" cm="1">
        <f t="array" ref="I967">_xlfn.XLOOKUP(FACT_IMPORTS[[#This Row],[country_name]],DIM_COUNTRY[[#All],[Column2]],DIM_COUNTRY[[#All],[Column3]],,,)</f>
        <v>USMCA</v>
      </c>
    </row>
    <row r="968" spans="1:9" x14ac:dyDescent="0.4">
      <c r="A968" t="s">
        <v>61</v>
      </c>
      <c r="B968" s="1">
        <v>45323</v>
      </c>
      <c r="C968">
        <v>870710</v>
      </c>
      <c r="D968" t="s">
        <v>176</v>
      </c>
      <c r="E968">
        <v>135138</v>
      </c>
      <c r="F968">
        <v>36</v>
      </c>
      <c r="G968">
        <v>1628</v>
      </c>
      <c r="H968">
        <f>_xlfn.XLOOKUP(FACT_IMPORTS[[#This Row],[hts_6]],DIM_PRODUCTS[hts_6],DIM_PRODUCTS[hts_4],,,)</f>
        <v>8707</v>
      </c>
      <c r="I968" t="str" cm="1">
        <f t="array" ref="I968">_xlfn.XLOOKUP(FACT_IMPORTS[[#This Row],[country_name]],DIM_COUNTRY[[#All],[Column2]],DIM_COUNTRY[[#All],[Column3]],,,)</f>
        <v>USMCA</v>
      </c>
    </row>
    <row r="969" spans="1:9" x14ac:dyDescent="0.4">
      <c r="A969" t="s">
        <v>61</v>
      </c>
      <c r="B969" s="1">
        <v>45323</v>
      </c>
      <c r="C969">
        <v>870790</v>
      </c>
      <c r="D969" t="s">
        <v>176</v>
      </c>
      <c r="E969">
        <v>4201316</v>
      </c>
      <c r="F969">
        <v>398</v>
      </c>
      <c r="G969">
        <v>19235</v>
      </c>
      <c r="H969">
        <f>_xlfn.XLOOKUP(FACT_IMPORTS[[#This Row],[hts_6]],DIM_PRODUCTS[hts_6],DIM_PRODUCTS[hts_4],,,)</f>
        <v>8707</v>
      </c>
      <c r="I969" t="str" cm="1">
        <f t="array" ref="I969">_xlfn.XLOOKUP(FACT_IMPORTS[[#This Row],[country_name]],DIM_COUNTRY[[#All],[Column2]],DIM_COUNTRY[[#All],[Column3]],,,)</f>
        <v>USMCA</v>
      </c>
    </row>
    <row r="970" spans="1:9" x14ac:dyDescent="0.4">
      <c r="A970" t="s">
        <v>61</v>
      </c>
      <c r="B970" s="1">
        <v>45323</v>
      </c>
      <c r="C970">
        <v>870810</v>
      </c>
      <c r="D970" t="s">
        <v>176</v>
      </c>
      <c r="E970">
        <v>27766021</v>
      </c>
      <c r="F970">
        <v>1049225</v>
      </c>
      <c r="G970">
        <v>407445</v>
      </c>
      <c r="H970">
        <f>_xlfn.XLOOKUP(FACT_IMPORTS[[#This Row],[hts_6]],DIM_PRODUCTS[hts_6],DIM_PRODUCTS[hts_4],,,)</f>
        <v>8708</v>
      </c>
      <c r="I970" t="str" cm="1">
        <f t="array" ref="I970">_xlfn.XLOOKUP(FACT_IMPORTS[[#This Row],[country_name]],DIM_COUNTRY[[#All],[Column2]],DIM_COUNTRY[[#All],[Column3]],,,)</f>
        <v>USMCA</v>
      </c>
    </row>
    <row r="971" spans="1:9" x14ac:dyDescent="0.4">
      <c r="A971" t="s">
        <v>61</v>
      </c>
      <c r="B971" s="1">
        <v>45323</v>
      </c>
      <c r="C971">
        <v>870821</v>
      </c>
      <c r="D971" t="s">
        <v>176</v>
      </c>
      <c r="E971">
        <v>289658</v>
      </c>
      <c r="F971">
        <v>12777</v>
      </c>
      <c r="G971">
        <v>2595</v>
      </c>
      <c r="H971">
        <f>_xlfn.XLOOKUP(FACT_IMPORTS[[#This Row],[hts_6]],DIM_PRODUCTS[hts_6],DIM_PRODUCTS[hts_4],,,)</f>
        <v>8708</v>
      </c>
      <c r="I971" t="str" cm="1">
        <f t="array" ref="I971">_xlfn.XLOOKUP(FACT_IMPORTS[[#This Row],[country_name]],DIM_COUNTRY[[#All],[Column2]],DIM_COUNTRY[[#All],[Column3]],,,)</f>
        <v>USMCA</v>
      </c>
    </row>
    <row r="972" spans="1:9" x14ac:dyDescent="0.4">
      <c r="A972" t="s">
        <v>61</v>
      </c>
      <c r="B972" s="1">
        <v>45323</v>
      </c>
      <c r="C972">
        <v>870822</v>
      </c>
      <c r="D972" t="s">
        <v>176</v>
      </c>
      <c r="E972">
        <v>5716086</v>
      </c>
      <c r="F972">
        <v>105216</v>
      </c>
      <c r="G972">
        <v>189459</v>
      </c>
      <c r="H972">
        <f>_xlfn.XLOOKUP(FACT_IMPORTS[[#This Row],[hts_6]],DIM_PRODUCTS[hts_6],DIM_PRODUCTS[hts_4],,,)</f>
        <v>8708</v>
      </c>
      <c r="I972" t="str" cm="1">
        <f t="array" ref="I972">_xlfn.XLOOKUP(FACT_IMPORTS[[#This Row],[country_name]],DIM_COUNTRY[[#All],[Column2]],DIM_COUNTRY[[#All],[Column3]],,,)</f>
        <v>USMCA</v>
      </c>
    </row>
    <row r="973" spans="1:9" x14ac:dyDescent="0.4">
      <c r="A973" t="s">
        <v>61</v>
      </c>
      <c r="B973" s="1">
        <v>45323</v>
      </c>
      <c r="C973">
        <v>870829</v>
      </c>
      <c r="D973" t="s">
        <v>176</v>
      </c>
      <c r="E973">
        <v>411195635</v>
      </c>
      <c r="F973">
        <v>60626886</v>
      </c>
      <c r="G973">
        <v>9064282</v>
      </c>
      <c r="H973">
        <f>_xlfn.XLOOKUP(FACT_IMPORTS[[#This Row],[hts_6]],DIM_PRODUCTS[hts_6],DIM_PRODUCTS[hts_4],,,)</f>
        <v>8708</v>
      </c>
      <c r="I973" t="str" cm="1">
        <f t="array" ref="I973">_xlfn.XLOOKUP(FACT_IMPORTS[[#This Row],[country_name]],DIM_COUNTRY[[#All],[Column2]],DIM_COUNTRY[[#All],[Column3]],,,)</f>
        <v>USMCA</v>
      </c>
    </row>
    <row r="974" spans="1:9" x14ac:dyDescent="0.4">
      <c r="A974" t="s">
        <v>61</v>
      </c>
      <c r="B974" s="1">
        <v>45323</v>
      </c>
      <c r="C974">
        <v>870830</v>
      </c>
      <c r="D974" t="s">
        <v>176</v>
      </c>
      <c r="E974">
        <v>13366778</v>
      </c>
      <c r="F974">
        <v>2984875</v>
      </c>
      <c r="G974">
        <v>253075</v>
      </c>
      <c r="H974">
        <f>_xlfn.XLOOKUP(FACT_IMPORTS[[#This Row],[hts_6]],DIM_PRODUCTS[hts_6],DIM_PRODUCTS[hts_4],,,)</f>
        <v>8708</v>
      </c>
      <c r="I974" t="str" cm="1">
        <f t="array" ref="I974">_xlfn.XLOOKUP(FACT_IMPORTS[[#This Row],[country_name]],DIM_COUNTRY[[#All],[Column2]],DIM_COUNTRY[[#All],[Column3]],,,)</f>
        <v>USMCA</v>
      </c>
    </row>
    <row r="975" spans="1:9" x14ac:dyDescent="0.4">
      <c r="A975" t="s">
        <v>61</v>
      </c>
      <c r="B975" s="1">
        <v>45323</v>
      </c>
      <c r="C975">
        <v>870840</v>
      </c>
      <c r="D975" t="s">
        <v>176</v>
      </c>
      <c r="E975">
        <v>95600748</v>
      </c>
      <c r="F975">
        <v>4515793</v>
      </c>
      <c r="G975">
        <v>531274</v>
      </c>
      <c r="H975">
        <f>_xlfn.XLOOKUP(FACT_IMPORTS[[#This Row],[hts_6]],DIM_PRODUCTS[hts_6],DIM_PRODUCTS[hts_4],,,)</f>
        <v>8708</v>
      </c>
      <c r="I975" t="str" cm="1">
        <f t="array" ref="I975">_xlfn.XLOOKUP(FACT_IMPORTS[[#This Row],[country_name]],DIM_COUNTRY[[#All],[Column2]],DIM_COUNTRY[[#All],[Column3]],,,)</f>
        <v>USMCA</v>
      </c>
    </row>
    <row r="976" spans="1:9" x14ac:dyDescent="0.4">
      <c r="A976" t="s">
        <v>61</v>
      </c>
      <c r="B976" s="1">
        <v>45323</v>
      </c>
      <c r="C976">
        <v>870850</v>
      </c>
      <c r="D976" t="s">
        <v>176</v>
      </c>
      <c r="E976">
        <v>30408968</v>
      </c>
      <c r="F976">
        <v>1586653</v>
      </c>
      <c r="G976">
        <v>196862</v>
      </c>
      <c r="H976">
        <f>_xlfn.XLOOKUP(FACT_IMPORTS[[#This Row],[hts_6]],DIM_PRODUCTS[hts_6],DIM_PRODUCTS[hts_4],,,)</f>
        <v>8708</v>
      </c>
      <c r="I976" t="str" cm="1">
        <f t="array" ref="I976">_xlfn.XLOOKUP(FACT_IMPORTS[[#This Row],[country_name]],DIM_COUNTRY[[#All],[Column2]],DIM_COUNTRY[[#All],[Column3]],,,)</f>
        <v>USMCA</v>
      </c>
    </row>
    <row r="977" spans="1:9" x14ac:dyDescent="0.4">
      <c r="A977" t="s">
        <v>61</v>
      </c>
      <c r="B977" s="1">
        <v>45323</v>
      </c>
      <c r="C977">
        <v>870870</v>
      </c>
      <c r="D977" t="s">
        <v>176</v>
      </c>
      <c r="E977">
        <v>7021466</v>
      </c>
      <c r="F977">
        <v>11192087</v>
      </c>
      <c r="G977">
        <v>69363</v>
      </c>
      <c r="H977">
        <f>_xlfn.XLOOKUP(FACT_IMPORTS[[#This Row],[hts_6]],DIM_PRODUCTS[hts_6],DIM_PRODUCTS[hts_4],,,)</f>
        <v>8708</v>
      </c>
      <c r="I977" t="str" cm="1">
        <f t="array" ref="I977">_xlfn.XLOOKUP(FACT_IMPORTS[[#This Row],[country_name]],DIM_COUNTRY[[#All],[Column2]],DIM_COUNTRY[[#All],[Column3]],,,)</f>
        <v>USMCA</v>
      </c>
    </row>
    <row r="978" spans="1:9" x14ac:dyDescent="0.4">
      <c r="A978" t="s">
        <v>61</v>
      </c>
      <c r="B978" s="1">
        <v>45323</v>
      </c>
      <c r="C978">
        <v>870880</v>
      </c>
      <c r="D978" t="s">
        <v>176</v>
      </c>
      <c r="E978">
        <v>69989400</v>
      </c>
      <c r="F978">
        <v>3123165</v>
      </c>
      <c r="G978">
        <v>1111174</v>
      </c>
      <c r="H978">
        <f>_xlfn.XLOOKUP(FACT_IMPORTS[[#This Row],[hts_6]],DIM_PRODUCTS[hts_6],DIM_PRODUCTS[hts_4],,,)</f>
        <v>8708</v>
      </c>
      <c r="I978" t="str" cm="1">
        <f t="array" ref="I978">_xlfn.XLOOKUP(FACT_IMPORTS[[#This Row],[country_name]],DIM_COUNTRY[[#All],[Column2]],DIM_COUNTRY[[#All],[Column3]],,,)</f>
        <v>USMCA</v>
      </c>
    </row>
    <row r="979" spans="1:9" x14ac:dyDescent="0.4">
      <c r="A979" t="s">
        <v>61</v>
      </c>
      <c r="B979" s="1">
        <v>45323</v>
      </c>
      <c r="C979">
        <v>870891</v>
      </c>
      <c r="D979" t="s">
        <v>176</v>
      </c>
      <c r="E979">
        <v>18307058</v>
      </c>
      <c r="F979">
        <v>604740</v>
      </c>
      <c r="G979">
        <v>350099</v>
      </c>
      <c r="H979">
        <f>_xlfn.XLOOKUP(FACT_IMPORTS[[#This Row],[hts_6]],DIM_PRODUCTS[hts_6],DIM_PRODUCTS[hts_4],,,)</f>
        <v>8708</v>
      </c>
      <c r="I979" t="str" cm="1">
        <f t="array" ref="I979">_xlfn.XLOOKUP(FACT_IMPORTS[[#This Row],[country_name]],DIM_COUNTRY[[#All],[Column2]],DIM_COUNTRY[[#All],[Column3]],,,)</f>
        <v>USMCA</v>
      </c>
    </row>
    <row r="980" spans="1:9" x14ac:dyDescent="0.4">
      <c r="A980" t="s">
        <v>61</v>
      </c>
      <c r="B980" s="1">
        <v>45323</v>
      </c>
      <c r="C980">
        <v>870892</v>
      </c>
      <c r="D980" t="s">
        <v>176</v>
      </c>
      <c r="E980">
        <v>24827233</v>
      </c>
      <c r="F980">
        <v>1121429</v>
      </c>
      <c r="G980">
        <v>389443</v>
      </c>
      <c r="H980">
        <f>_xlfn.XLOOKUP(FACT_IMPORTS[[#This Row],[hts_6]],DIM_PRODUCTS[hts_6],DIM_PRODUCTS[hts_4],,,)</f>
        <v>8708</v>
      </c>
      <c r="I980" t="str" cm="1">
        <f t="array" ref="I980">_xlfn.XLOOKUP(FACT_IMPORTS[[#This Row],[country_name]],DIM_COUNTRY[[#All],[Column2]],DIM_COUNTRY[[#All],[Column3]],,,)</f>
        <v>USMCA</v>
      </c>
    </row>
    <row r="981" spans="1:9" x14ac:dyDescent="0.4">
      <c r="A981" t="s">
        <v>61</v>
      </c>
      <c r="B981" s="1">
        <v>45323</v>
      </c>
      <c r="C981">
        <v>870893</v>
      </c>
      <c r="D981" t="s">
        <v>176</v>
      </c>
      <c r="E981">
        <v>52996377</v>
      </c>
      <c r="F981">
        <v>1651434</v>
      </c>
      <c r="G981">
        <v>159801</v>
      </c>
      <c r="H981">
        <f>_xlfn.XLOOKUP(FACT_IMPORTS[[#This Row],[hts_6]],DIM_PRODUCTS[hts_6],DIM_PRODUCTS[hts_4],,,)</f>
        <v>8708</v>
      </c>
      <c r="I981" t="str" cm="1">
        <f t="array" ref="I981">_xlfn.XLOOKUP(FACT_IMPORTS[[#This Row],[country_name]],DIM_COUNTRY[[#All],[Column2]],DIM_COUNTRY[[#All],[Column3]],,,)</f>
        <v>USMCA</v>
      </c>
    </row>
    <row r="982" spans="1:9" x14ac:dyDescent="0.4">
      <c r="A982" t="s">
        <v>61</v>
      </c>
      <c r="B982" s="1">
        <v>45323</v>
      </c>
      <c r="C982">
        <v>870894</v>
      </c>
      <c r="D982" t="s">
        <v>176</v>
      </c>
      <c r="E982">
        <v>12274797</v>
      </c>
      <c r="F982">
        <v>2201170</v>
      </c>
      <c r="G982">
        <v>137416</v>
      </c>
      <c r="H982">
        <f>_xlfn.XLOOKUP(FACT_IMPORTS[[#This Row],[hts_6]],DIM_PRODUCTS[hts_6],DIM_PRODUCTS[hts_4],,,)</f>
        <v>8708</v>
      </c>
      <c r="I982" t="str" cm="1">
        <f t="array" ref="I982">_xlfn.XLOOKUP(FACT_IMPORTS[[#This Row],[country_name]],DIM_COUNTRY[[#All],[Column2]],DIM_COUNTRY[[#All],[Column3]],,,)</f>
        <v>USMCA</v>
      </c>
    </row>
    <row r="983" spans="1:9" x14ac:dyDescent="0.4">
      <c r="A983" t="s">
        <v>61</v>
      </c>
      <c r="B983" s="1">
        <v>45323</v>
      </c>
      <c r="C983">
        <v>870895</v>
      </c>
      <c r="D983" t="s">
        <v>176</v>
      </c>
      <c r="E983">
        <v>2112446</v>
      </c>
      <c r="F983">
        <v>1872504</v>
      </c>
      <c r="G983">
        <v>58895</v>
      </c>
      <c r="H983">
        <f>_xlfn.XLOOKUP(FACT_IMPORTS[[#This Row],[hts_6]],DIM_PRODUCTS[hts_6],DIM_PRODUCTS[hts_4],,,)</f>
        <v>8708</v>
      </c>
      <c r="I983" t="str" cm="1">
        <f t="array" ref="I983">_xlfn.XLOOKUP(FACT_IMPORTS[[#This Row],[country_name]],DIM_COUNTRY[[#All],[Column2]],DIM_COUNTRY[[#All],[Column3]],,,)</f>
        <v>USMCA</v>
      </c>
    </row>
    <row r="984" spans="1:9" x14ac:dyDescent="0.4">
      <c r="A984" t="s">
        <v>61</v>
      </c>
      <c r="B984" s="1">
        <v>45323</v>
      </c>
      <c r="C984">
        <v>870899</v>
      </c>
      <c r="D984" t="s">
        <v>176</v>
      </c>
      <c r="E984">
        <v>175774250</v>
      </c>
      <c r="F984">
        <v>17017231</v>
      </c>
      <c r="G984">
        <v>2090282</v>
      </c>
      <c r="H984">
        <f>_xlfn.XLOOKUP(FACT_IMPORTS[[#This Row],[hts_6]],DIM_PRODUCTS[hts_6],DIM_PRODUCTS[hts_4],,,)</f>
        <v>8708</v>
      </c>
      <c r="I984" t="str" cm="1">
        <f t="array" ref="I984">_xlfn.XLOOKUP(FACT_IMPORTS[[#This Row],[country_name]],DIM_COUNTRY[[#All],[Column2]],DIM_COUNTRY[[#All],[Column3]],,,)</f>
        <v>USMCA</v>
      </c>
    </row>
    <row r="985" spans="1:9" x14ac:dyDescent="0.4">
      <c r="A985" t="s">
        <v>61</v>
      </c>
      <c r="B985" s="1">
        <v>45323</v>
      </c>
      <c r="C985">
        <v>940120</v>
      </c>
      <c r="D985" t="s">
        <v>176</v>
      </c>
      <c r="E985">
        <v>3334273</v>
      </c>
      <c r="F985">
        <v>3865</v>
      </c>
      <c r="G985">
        <v>9377</v>
      </c>
      <c r="H985">
        <f>_xlfn.XLOOKUP(FACT_IMPORTS[[#This Row],[hts_6]],DIM_PRODUCTS[hts_6],DIM_PRODUCTS[hts_4],,,)</f>
        <v>9401</v>
      </c>
      <c r="I985" t="str" cm="1">
        <f t="array" ref="I985">_xlfn.XLOOKUP(FACT_IMPORTS[[#This Row],[country_name]],DIM_COUNTRY[[#All],[Column2]],DIM_COUNTRY[[#All],[Column3]],,,)</f>
        <v>USMCA</v>
      </c>
    </row>
    <row r="986" spans="1:9" x14ac:dyDescent="0.4">
      <c r="A986" t="s">
        <v>61</v>
      </c>
      <c r="B986" s="1">
        <v>45352</v>
      </c>
      <c r="C986">
        <v>392630</v>
      </c>
      <c r="D986" t="s">
        <v>176</v>
      </c>
      <c r="E986">
        <v>3376461</v>
      </c>
      <c r="F986">
        <v>405037</v>
      </c>
      <c r="G986">
        <v>208162</v>
      </c>
      <c r="H986">
        <f>_xlfn.XLOOKUP(FACT_IMPORTS[[#This Row],[hts_6]],DIM_PRODUCTS[hts_6],DIM_PRODUCTS[hts_4],,,)</f>
        <v>3926</v>
      </c>
      <c r="I986" t="str" cm="1">
        <f t="array" ref="I986">_xlfn.XLOOKUP(FACT_IMPORTS[[#This Row],[country_name]],DIM_COUNTRY[[#All],[Column2]],DIM_COUNTRY[[#All],[Column3]],,,)</f>
        <v>USMCA</v>
      </c>
    </row>
    <row r="987" spans="1:9" x14ac:dyDescent="0.4">
      <c r="A987" t="s">
        <v>61</v>
      </c>
      <c r="B987" s="1">
        <v>45352</v>
      </c>
      <c r="C987">
        <v>401110</v>
      </c>
      <c r="D987" t="s">
        <v>176</v>
      </c>
      <c r="E987">
        <v>44482831</v>
      </c>
      <c r="F987">
        <v>672069</v>
      </c>
      <c r="G987">
        <v>256395</v>
      </c>
      <c r="H987">
        <f>_xlfn.XLOOKUP(FACT_IMPORTS[[#This Row],[hts_6]],DIM_PRODUCTS[hts_6],DIM_PRODUCTS[hts_4],,,)</f>
        <v>4011</v>
      </c>
      <c r="I987" t="str" cm="1">
        <f t="array" ref="I987">_xlfn.XLOOKUP(FACT_IMPORTS[[#This Row],[country_name]],DIM_COUNTRY[[#All],[Column2]],DIM_COUNTRY[[#All],[Column3]],,,)</f>
        <v>USMCA</v>
      </c>
    </row>
    <row r="988" spans="1:9" x14ac:dyDescent="0.4">
      <c r="A988" t="s">
        <v>61</v>
      </c>
      <c r="B988" s="1">
        <v>45352</v>
      </c>
      <c r="C988">
        <v>401120</v>
      </c>
      <c r="D988" t="s">
        <v>176</v>
      </c>
      <c r="E988">
        <v>52472009</v>
      </c>
      <c r="F988">
        <v>269994</v>
      </c>
      <c r="G988">
        <v>161776</v>
      </c>
      <c r="H988">
        <f>_xlfn.XLOOKUP(FACT_IMPORTS[[#This Row],[hts_6]],DIM_PRODUCTS[hts_6],DIM_PRODUCTS[hts_4],,,)</f>
        <v>4011</v>
      </c>
      <c r="I988" t="str" cm="1">
        <f t="array" ref="I988">_xlfn.XLOOKUP(FACT_IMPORTS[[#This Row],[country_name]],DIM_COUNTRY[[#All],[Column2]],DIM_COUNTRY[[#All],[Column3]],,,)</f>
        <v>USMCA</v>
      </c>
    </row>
    <row r="989" spans="1:9" x14ac:dyDescent="0.4">
      <c r="A989" t="s">
        <v>61</v>
      </c>
      <c r="B989" s="1">
        <v>45352</v>
      </c>
      <c r="C989">
        <v>401140</v>
      </c>
      <c r="D989" t="s">
        <v>176</v>
      </c>
      <c r="E989">
        <v>0</v>
      </c>
      <c r="F989">
        <v>0</v>
      </c>
      <c r="G989">
        <v>0</v>
      </c>
      <c r="H989">
        <f>_xlfn.XLOOKUP(FACT_IMPORTS[[#This Row],[hts_6]],DIM_PRODUCTS[hts_6],DIM_PRODUCTS[hts_4],,,)</f>
        <v>4011</v>
      </c>
      <c r="I989" t="str" cm="1">
        <f t="array" ref="I989">_xlfn.XLOOKUP(FACT_IMPORTS[[#This Row],[country_name]],DIM_COUNTRY[[#All],[Column2]],DIM_COUNTRY[[#All],[Column3]],,,)</f>
        <v>USMCA</v>
      </c>
    </row>
    <row r="990" spans="1:9" x14ac:dyDescent="0.4">
      <c r="A990" t="s">
        <v>61</v>
      </c>
      <c r="B990" s="1">
        <v>45352</v>
      </c>
      <c r="C990">
        <v>401190</v>
      </c>
      <c r="D990" t="s">
        <v>176</v>
      </c>
      <c r="E990">
        <v>612796</v>
      </c>
      <c r="F990">
        <v>1029</v>
      </c>
      <c r="G990">
        <v>2208</v>
      </c>
      <c r="H990">
        <f>_xlfn.XLOOKUP(FACT_IMPORTS[[#This Row],[hts_6]],DIM_PRODUCTS[hts_6],DIM_PRODUCTS[hts_4],,,)</f>
        <v>4011</v>
      </c>
      <c r="I990" t="str" cm="1">
        <f t="array" ref="I990">_xlfn.XLOOKUP(FACT_IMPORTS[[#This Row],[country_name]],DIM_COUNTRY[[#All],[Column2]],DIM_COUNTRY[[#All],[Column3]],,,)</f>
        <v>USMCA</v>
      </c>
    </row>
    <row r="991" spans="1:9" x14ac:dyDescent="0.4">
      <c r="A991" t="s">
        <v>61</v>
      </c>
      <c r="B991" s="1">
        <v>45352</v>
      </c>
      <c r="C991">
        <v>700711</v>
      </c>
      <c r="D991" t="s">
        <v>176</v>
      </c>
      <c r="E991">
        <v>505912</v>
      </c>
      <c r="F991">
        <v>1446</v>
      </c>
      <c r="G991">
        <v>3308</v>
      </c>
      <c r="H991">
        <f>_xlfn.XLOOKUP(FACT_IMPORTS[[#This Row],[hts_6]],DIM_PRODUCTS[hts_6],DIM_PRODUCTS[hts_4],,,)</f>
        <v>7007</v>
      </c>
      <c r="I991" t="str" cm="1">
        <f t="array" ref="I991">_xlfn.XLOOKUP(FACT_IMPORTS[[#This Row],[country_name]],DIM_COUNTRY[[#All],[Column2]],DIM_COUNTRY[[#All],[Column3]],,,)</f>
        <v>USMCA</v>
      </c>
    </row>
    <row r="992" spans="1:9" x14ac:dyDescent="0.4">
      <c r="A992" t="s">
        <v>61</v>
      </c>
      <c r="B992" s="1">
        <v>45352</v>
      </c>
      <c r="C992">
        <v>700721</v>
      </c>
      <c r="D992" t="s">
        <v>176</v>
      </c>
      <c r="E992">
        <v>51321</v>
      </c>
      <c r="F992">
        <v>709</v>
      </c>
      <c r="G992">
        <v>1775</v>
      </c>
      <c r="H992">
        <f>_xlfn.XLOOKUP(FACT_IMPORTS[[#This Row],[hts_6]],DIM_PRODUCTS[hts_6],DIM_PRODUCTS[hts_4],,,)</f>
        <v>7007</v>
      </c>
      <c r="I992" t="str" cm="1">
        <f t="array" ref="I992">_xlfn.XLOOKUP(FACT_IMPORTS[[#This Row],[country_name]],DIM_COUNTRY[[#All],[Column2]],DIM_COUNTRY[[#All],[Column3]],,,)</f>
        <v>USMCA</v>
      </c>
    </row>
    <row r="993" spans="1:9" x14ac:dyDescent="0.4">
      <c r="A993" t="s">
        <v>61</v>
      </c>
      <c r="B993" s="1">
        <v>45352</v>
      </c>
      <c r="C993">
        <v>700910</v>
      </c>
      <c r="D993" t="s">
        <v>176</v>
      </c>
      <c r="E993">
        <v>345312</v>
      </c>
      <c r="F993">
        <v>7087</v>
      </c>
      <c r="G993">
        <v>2350</v>
      </c>
      <c r="H993">
        <f>_xlfn.XLOOKUP(FACT_IMPORTS[[#This Row],[hts_6]],DIM_PRODUCTS[hts_6],DIM_PRODUCTS[hts_4],,,)</f>
        <v>7009</v>
      </c>
      <c r="I993" t="str" cm="1">
        <f t="array" ref="I993">_xlfn.XLOOKUP(FACT_IMPORTS[[#This Row],[country_name]],DIM_COUNTRY[[#All],[Column2]],DIM_COUNTRY[[#All],[Column3]],,,)</f>
        <v>USMCA</v>
      </c>
    </row>
    <row r="994" spans="1:9" x14ac:dyDescent="0.4">
      <c r="A994" t="s">
        <v>61</v>
      </c>
      <c r="B994" s="1">
        <v>45352</v>
      </c>
      <c r="C994">
        <v>732010</v>
      </c>
      <c r="D994" t="s">
        <v>176</v>
      </c>
      <c r="E994">
        <v>4453418</v>
      </c>
      <c r="F994">
        <v>1338179</v>
      </c>
      <c r="G994">
        <v>28844</v>
      </c>
      <c r="H994">
        <f>_xlfn.XLOOKUP(FACT_IMPORTS[[#This Row],[hts_6]],DIM_PRODUCTS[hts_6],DIM_PRODUCTS[hts_4],,,)</f>
        <v>7320</v>
      </c>
      <c r="I994" t="str" cm="1">
        <f t="array" ref="I994">_xlfn.XLOOKUP(FACT_IMPORTS[[#This Row],[country_name]],DIM_COUNTRY[[#All],[Column2]],DIM_COUNTRY[[#All],[Column3]],,,)</f>
        <v>USMCA</v>
      </c>
    </row>
    <row r="995" spans="1:9" x14ac:dyDescent="0.4">
      <c r="A995" t="s">
        <v>61</v>
      </c>
      <c r="B995" s="1">
        <v>45352</v>
      </c>
      <c r="C995">
        <v>830230</v>
      </c>
      <c r="D995" t="s">
        <v>176</v>
      </c>
      <c r="E995">
        <v>38133599</v>
      </c>
      <c r="F995">
        <v>7840899</v>
      </c>
      <c r="G995">
        <v>1528735</v>
      </c>
      <c r="H995">
        <f>_xlfn.XLOOKUP(FACT_IMPORTS[[#This Row],[hts_6]],DIM_PRODUCTS[hts_6],DIM_PRODUCTS[hts_4],,,)</f>
        <v>8302</v>
      </c>
      <c r="I995" t="str" cm="1">
        <f t="array" ref="I995">_xlfn.XLOOKUP(FACT_IMPORTS[[#This Row],[country_name]],DIM_COUNTRY[[#All],[Column2]],DIM_COUNTRY[[#All],[Column3]],,,)</f>
        <v>USMCA</v>
      </c>
    </row>
    <row r="996" spans="1:9" x14ac:dyDescent="0.4">
      <c r="A996" t="s">
        <v>61</v>
      </c>
      <c r="B996" s="1">
        <v>45352</v>
      </c>
      <c r="C996">
        <v>840731</v>
      </c>
      <c r="D996" t="s">
        <v>176</v>
      </c>
      <c r="E996">
        <v>0</v>
      </c>
      <c r="F996">
        <v>0</v>
      </c>
      <c r="G996">
        <v>0</v>
      </c>
      <c r="H996">
        <f>_xlfn.XLOOKUP(FACT_IMPORTS[[#This Row],[hts_6]],DIM_PRODUCTS[hts_6],DIM_PRODUCTS[hts_4],,,)</f>
        <v>8407</v>
      </c>
      <c r="I996" t="str" cm="1">
        <f t="array" ref="I996">_xlfn.XLOOKUP(FACT_IMPORTS[[#This Row],[country_name]],DIM_COUNTRY[[#All],[Column2]],DIM_COUNTRY[[#All],[Column3]],,,)</f>
        <v>USMCA</v>
      </c>
    </row>
    <row r="997" spans="1:9" x14ac:dyDescent="0.4">
      <c r="A997" t="s">
        <v>61</v>
      </c>
      <c r="B997" s="1">
        <v>45352</v>
      </c>
      <c r="C997">
        <v>840732</v>
      </c>
      <c r="D997" t="s">
        <v>176</v>
      </c>
      <c r="E997">
        <v>0</v>
      </c>
      <c r="F997">
        <v>0</v>
      </c>
      <c r="G997">
        <v>0</v>
      </c>
      <c r="H997">
        <f>_xlfn.XLOOKUP(FACT_IMPORTS[[#This Row],[hts_6]],DIM_PRODUCTS[hts_6],DIM_PRODUCTS[hts_4],,,)</f>
        <v>8407</v>
      </c>
      <c r="I997" t="str" cm="1">
        <f t="array" ref="I997">_xlfn.XLOOKUP(FACT_IMPORTS[[#This Row],[country_name]],DIM_COUNTRY[[#All],[Column2]],DIM_COUNTRY[[#All],[Column3]],,,)</f>
        <v>USMCA</v>
      </c>
    </row>
    <row r="998" spans="1:9" x14ac:dyDescent="0.4">
      <c r="A998" t="s">
        <v>61</v>
      </c>
      <c r="B998" s="1">
        <v>45352</v>
      </c>
      <c r="C998">
        <v>840733</v>
      </c>
      <c r="D998" t="s">
        <v>176</v>
      </c>
      <c r="E998">
        <v>62495</v>
      </c>
      <c r="F998">
        <v>13</v>
      </c>
      <c r="G998">
        <v>6398</v>
      </c>
      <c r="H998">
        <f>_xlfn.XLOOKUP(FACT_IMPORTS[[#This Row],[hts_6]],DIM_PRODUCTS[hts_6],DIM_PRODUCTS[hts_4],,,)</f>
        <v>8407</v>
      </c>
      <c r="I998" t="str" cm="1">
        <f t="array" ref="I998">_xlfn.XLOOKUP(FACT_IMPORTS[[#This Row],[country_name]],DIM_COUNTRY[[#All],[Column2]],DIM_COUNTRY[[#All],[Column3]],,,)</f>
        <v>USMCA</v>
      </c>
    </row>
    <row r="999" spans="1:9" x14ac:dyDescent="0.4">
      <c r="A999" t="s">
        <v>61</v>
      </c>
      <c r="B999" s="1">
        <v>45352</v>
      </c>
      <c r="C999">
        <v>840734</v>
      </c>
      <c r="D999" t="s">
        <v>176</v>
      </c>
      <c r="E999">
        <v>201704297</v>
      </c>
      <c r="F999">
        <v>58109</v>
      </c>
      <c r="G999">
        <v>217047</v>
      </c>
      <c r="H999">
        <f>_xlfn.XLOOKUP(FACT_IMPORTS[[#This Row],[hts_6]],DIM_PRODUCTS[hts_6],DIM_PRODUCTS[hts_4],,,)</f>
        <v>8407</v>
      </c>
      <c r="I999" t="str" cm="1">
        <f t="array" ref="I999">_xlfn.XLOOKUP(FACT_IMPORTS[[#This Row],[country_name]],DIM_COUNTRY[[#All],[Column2]],DIM_COUNTRY[[#All],[Column3]],,,)</f>
        <v>USMCA</v>
      </c>
    </row>
    <row r="1000" spans="1:9" x14ac:dyDescent="0.4">
      <c r="A1000" t="s">
        <v>61</v>
      </c>
      <c r="B1000" s="1">
        <v>45352</v>
      </c>
      <c r="C1000">
        <v>840790</v>
      </c>
      <c r="D1000" t="s">
        <v>176</v>
      </c>
      <c r="E1000">
        <v>15995540</v>
      </c>
      <c r="F1000">
        <v>6394</v>
      </c>
      <c r="G1000">
        <v>5799</v>
      </c>
      <c r="H1000">
        <f>_xlfn.XLOOKUP(FACT_IMPORTS[[#This Row],[hts_6]],DIM_PRODUCTS[hts_6],DIM_PRODUCTS[hts_4],,,)</f>
        <v>8407</v>
      </c>
      <c r="I1000" t="str" cm="1">
        <f t="array" ref="I1000">_xlfn.XLOOKUP(FACT_IMPORTS[[#This Row],[country_name]],DIM_COUNTRY[[#All],[Column2]],DIM_COUNTRY[[#All],[Column3]],,,)</f>
        <v>USMCA</v>
      </c>
    </row>
    <row r="1001" spans="1:9" x14ac:dyDescent="0.4">
      <c r="A1001" t="s">
        <v>61</v>
      </c>
      <c r="B1001" s="1">
        <v>45352</v>
      </c>
      <c r="C1001">
        <v>840820</v>
      </c>
      <c r="D1001" t="s">
        <v>176</v>
      </c>
      <c r="E1001">
        <v>524437</v>
      </c>
      <c r="F1001">
        <v>75</v>
      </c>
      <c r="G1001">
        <v>5450</v>
      </c>
      <c r="H1001">
        <f>_xlfn.XLOOKUP(FACT_IMPORTS[[#This Row],[hts_6]],DIM_PRODUCTS[hts_6],DIM_PRODUCTS[hts_4],,,)</f>
        <v>8408</v>
      </c>
      <c r="I1001" t="str" cm="1">
        <f t="array" ref="I1001">_xlfn.XLOOKUP(FACT_IMPORTS[[#This Row],[country_name]],DIM_COUNTRY[[#All],[Column2]],DIM_COUNTRY[[#All],[Column3]],,,)</f>
        <v>USMCA</v>
      </c>
    </row>
    <row r="1002" spans="1:9" x14ac:dyDescent="0.4">
      <c r="A1002" t="s">
        <v>61</v>
      </c>
      <c r="B1002" s="1">
        <v>45352</v>
      </c>
      <c r="C1002">
        <v>840890</v>
      </c>
      <c r="D1002" t="s">
        <v>176</v>
      </c>
      <c r="E1002">
        <v>267425</v>
      </c>
      <c r="F1002">
        <v>21</v>
      </c>
      <c r="G1002">
        <v>624</v>
      </c>
      <c r="H1002">
        <f>_xlfn.XLOOKUP(FACT_IMPORTS[[#This Row],[hts_6]],DIM_PRODUCTS[hts_6],DIM_PRODUCTS[hts_4],,,)</f>
        <v>8408</v>
      </c>
      <c r="I1002" t="str" cm="1">
        <f t="array" ref="I1002">_xlfn.XLOOKUP(FACT_IMPORTS[[#This Row],[country_name]],DIM_COUNTRY[[#All],[Column2]],DIM_COUNTRY[[#All],[Column3]],,,)</f>
        <v>USMCA</v>
      </c>
    </row>
    <row r="1003" spans="1:9" x14ac:dyDescent="0.4">
      <c r="A1003" t="s">
        <v>61</v>
      </c>
      <c r="B1003" s="1">
        <v>45352</v>
      </c>
      <c r="C1003">
        <v>840991</v>
      </c>
      <c r="D1003" t="s">
        <v>176</v>
      </c>
      <c r="E1003">
        <v>40548505</v>
      </c>
      <c r="F1003">
        <v>2787106</v>
      </c>
      <c r="G1003">
        <v>179783</v>
      </c>
      <c r="H1003">
        <f>_xlfn.XLOOKUP(FACT_IMPORTS[[#This Row],[hts_6]],DIM_PRODUCTS[hts_6],DIM_PRODUCTS[hts_4],,,)</f>
        <v>8409</v>
      </c>
      <c r="I1003" t="str" cm="1">
        <f t="array" ref="I1003">_xlfn.XLOOKUP(FACT_IMPORTS[[#This Row],[country_name]],DIM_COUNTRY[[#All],[Column2]],DIM_COUNTRY[[#All],[Column3]],,,)</f>
        <v>USMCA</v>
      </c>
    </row>
    <row r="1004" spans="1:9" x14ac:dyDescent="0.4">
      <c r="A1004" t="s">
        <v>61</v>
      </c>
      <c r="B1004" s="1">
        <v>45352</v>
      </c>
      <c r="C1004">
        <v>840999</v>
      </c>
      <c r="D1004" t="s">
        <v>176</v>
      </c>
      <c r="E1004">
        <v>14101393</v>
      </c>
      <c r="F1004">
        <v>1211708</v>
      </c>
      <c r="G1004">
        <v>104640</v>
      </c>
      <c r="H1004">
        <f>_xlfn.XLOOKUP(FACT_IMPORTS[[#This Row],[hts_6]],DIM_PRODUCTS[hts_6],DIM_PRODUCTS[hts_4],,,)</f>
        <v>8409</v>
      </c>
      <c r="I1004" t="str" cm="1">
        <f t="array" ref="I1004">_xlfn.XLOOKUP(FACT_IMPORTS[[#This Row],[country_name]],DIM_COUNTRY[[#All],[Column2]],DIM_COUNTRY[[#All],[Column3]],,,)</f>
        <v>USMCA</v>
      </c>
    </row>
    <row r="1005" spans="1:9" x14ac:dyDescent="0.4">
      <c r="A1005" t="s">
        <v>61</v>
      </c>
      <c r="B1005" s="1">
        <v>45352</v>
      </c>
      <c r="C1005">
        <v>841330</v>
      </c>
      <c r="D1005" t="s">
        <v>176</v>
      </c>
      <c r="E1005">
        <v>10780311</v>
      </c>
      <c r="F1005">
        <v>207028</v>
      </c>
      <c r="G1005">
        <v>34657</v>
      </c>
      <c r="H1005">
        <f>_xlfn.XLOOKUP(FACT_IMPORTS[[#This Row],[hts_6]],DIM_PRODUCTS[hts_6],DIM_PRODUCTS[hts_4],,,)</f>
        <v>8413</v>
      </c>
      <c r="I1005" t="str" cm="1">
        <f t="array" ref="I1005">_xlfn.XLOOKUP(FACT_IMPORTS[[#This Row],[country_name]],DIM_COUNTRY[[#All],[Column2]],DIM_COUNTRY[[#All],[Column3]],,,)</f>
        <v>USMCA</v>
      </c>
    </row>
    <row r="1006" spans="1:9" x14ac:dyDescent="0.4">
      <c r="A1006" t="s">
        <v>61</v>
      </c>
      <c r="B1006" s="1">
        <v>45352</v>
      </c>
      <c r="C1006">
        <v>841520</v>
      </c>
      <c r="D1006" t="s">
        <v>176</v>
      </c>
      <c r="E1006">
        <v>7257757</v>
      </c>
      <c r="F1006">
        <v>40945</v>
      </c>
      <c r="G1006">
        <v>103968</v>
      </c>
      <c r="H1006">
        <f>_xlfn.XLOOKUP(FACT_IMPORTS[[#This Row],[hts_6]],DIM_PRODUCTS[hts_6],DIM_PRODUCTS[hts_4],,,)</f>
        <v>8415</v>
      </c>
      <c r="I1006" t="str" cm="1">
        <f t="array" ref="I1006">_xlfn.XLOOKUP(FACT_IMPORTS[[#This Row],[country_name]],DIM_COUNTRY[[#All],[Column2]],DIM_COUNTRY[[#All],[Column3]],,,)</f>
        <v>USMCA</v>
      </c>
    </row>
    <row r="1007" spans="1:9" x14ac:dyDescent="0.4">
      <c r="A1007" t="s">
        <v>61</v>
      </c>
      <c r="B1007" s="1">
        <v>45352</v>
      </c>
      <c r="C1007">
        <v>842132</v>
      </c>
      <c r="D1007" t="s">
        <v>176</v>
      </c>
      <c r="E1007">
        <v>8049854</v>
      </c>
      <c r="F1007">
        <v>43340</v>
      </c>
      <c r="G1007">
        <v>35072</v>
      </c>
      <c r="H1007">
        <f>_xlfn.XLOOKUP(FACT_IMPORTS[[#This Row],[hts_6]],DIM_PRODUCTS[hts_6],DIM_PRODUCTS[hts_4],,,)</f>
        <v>8421</v>
      </c>
      <c r="I1007" t="str" cm="1">
        <f t="array" ref="I1007">_xlfn.XLOOKUP(FACT_IMPORTS[[#This Row],[country_name]],DIM_COUNTRY[[#All],[Column2]],DIM_COUNTRY[[#All],[Column3]],,,)</f>
        <v>USMCA</v>
      </c>
    </row>
    <row r="1008" spans="1:9" x14ac:dyDescent="0.4">
      <c r="A1008" t="s">
        <v>61</v>
      </c>
      <c r="B1008" s="1">
        <v>45352</v>
      </c>
      <c r="C1008">
        <v>848210</v>
      </c>
      <c r="D1008" t="s">
        <v>176</v>
      </c>
      <c r="E1008">
        <v>4964428</v>
      </c>
      <c r="F1008">
        <v>1207076</v>
      </c>
      <c r="G1008">
        <v>54858</v>
      </c>
      <c r="H1008">
        <f>_xlfn.XLOOKUP(FACT_IMPORTS[[#This Row],[hts_6]],DIM_PRODUCTS[hts_6],DIM_PRODUCTS[hts_4],,,)</f>
        <v>8482</v>
      </c>
      <c r="I1008" t="str" cm="1">
        <f t="array" ref="I1008">_xlfn.XLOOKUP(FACT_IMPORTS[[#This Row],[country_name]],DIM_COUNTRY[[#All],[Column2]],DIM_COUNTRY[[#All],[Column3]],,,)</f>
        <v>USMCA</v>
      </c>
    </row>
    <row r="1009" spans="1:9" x14ac:dyDescent="0.4">
      <c r="A1009" t="s">
        <v>61</v>
      </c>
      <c r="B1009" s="1">
        <v>45352</v>
      </c>
      <c r="C1009">
        <v>848220</v>
      </c>
      <c r="D1009" t="s">
        <v>176</v>
      </c>
      <c r="E1009">
        <v>257447</v>
      </c>
      <c r="F1009">
        <v>2967</v>
      </c>
      <c r="G1009">
        <v>4830</v>
      </c>
      <c r="H1009">
        <f>_xlfn.XLOOKUP(FACT_IMPORTS[[#This Row],[hts_6]],DIM_PRODUCTS[hts_6],DIM_PRODUCTS[hts_4],,,)</f>
        <v>8482</v>
      </c>
      <c r="I1009" t="str" cm="1">
        <f t="array" ref="I1009">_xlfn.XLOOKUP(FACT_IMPORTS[[#This Row],[country_name]],DIM_COUNTRY[[#All],[Column2]],DIM_COUNTRY[[#All],[Column3]],,,)</f>
        <v>USMCA</v>
      </c>
    </row>
    <row r="1010" spans="1:9" x14ac:dyDescent="0.4">
      <c r="A1010" t="s">
        <v>61</v>
      </c>
      <c r="B1010" s="1">
        <v>45352</v>
      </c>
      <c r="C1010">
        <v>848310</v>
      </c>
      <c r="D1010" t="s">
        <v>176</v>
      </c>
      <c r="E1010">
        <v>16330998</v>
      </c>
      <c r="F1010">
        <v>525153</v>
      </c>
      <c r="G1010">
        <v>291298</v>
      </c>
      <c r="H1010">
        <f>_xlfn.XLOOKUP(FACT_IMPORTS[[#This Row],[hts_6]],DIM_PRODUCTS[hts_6],DIM_PRODUCTS[hts_4],,,)</f>
        <v>8483</v>
      </c>
      <c r="I1010" t="str" cm="1">
        <f t="array" ref="I1010">_xlfn.XLOOKUP(FACT_IMPORTS[[#This Row],[country_name]],DIM_COUNTRY[[#All],[Column2]],DIM_COUNTRY[[#All],[Column3]],,,)</f>
        <v>USMCA</v>
      </c>
    </row>
    <row r="1011" spans="1:9" x14ac:dyDescent="0.4">
      <c r="A1011" t="s">
        <v>61</v>
      </c>
      <c r="B1011" s="1">
        <v>45352</v>
      </c>
      <c r="C1011">
        <v>850131</v>
      </c>
      <c r="D1011" t="s">
        <v>176</v>
      </c>
      <c r="E1011">
        <v>2122025</v>
      </c>
      <c r="F1011">
        <v>68181</v>
      </c>
      <c r="G1011">
        <v>15277</v>
      </c>
      <c r="H1011">
        <f>_xlfn.XLOOKUP(FACT_IMPORTS[[#This Row],[hts_6]],DIM_PRODUCTS[hts_6],DIM_PRODUCTS[hts_4],,,)</f>
        <v>8501</v>
      </c>
      <c r="I1011" t="str" cm="1">
        <f t="array" ref="I1011">_xlfn.XLOOKUP(FACT_IMPORTS[[#This Row],[country_name]],DIM_COUNTRY[[#All],[Column2]],DIM_COUNTRY[[#All],[Column3]],,,)</f>
        <v>USMCA</v>
      </c>
    </row>
    <row r="1012" spans="1:9" x14ac:dyDescent="0.4">
      <c r="A1012" t="s">
        <v>61</v>
      </c>
      <c r="B1012" s="1">
        <v>45352</v>
      </c>
      <c r="C1012">
        <v>850132</v>
      </c>
      <c r="D1012" t="s">
        <v>176</v>
      </c>
      <c r="E1012">
        <v>226771</v>
      </c>
      <c r="F1012">
        <v>2202</v>
      </c>
      <c r="G1012">
        <v>2950</v>
      </c>
      <c r="H1012">
        <f>_xlfn.XLOOKUP(FACT_IMPORTS[[#This Row],[hts_6]],DIM_PRODUCTS[hts_6],DIM_PRODUCTS[hts_4],,,)</f>
        <v>8501</v>
      </c>
      <c r="I1012" t="str" cm="1">
        <f t="array" ref="I1012">_xlfn.XLOOKUP(FACT_IMPORTS[[#This Row],[country_name]],DIM_COUNTRY[[#All],[Column2]],DIM_COUNTRY[[#All],[Column3]],,,)</f>
        <v>USMCA</v>
      </c>
    </row>
    <row r="1013" spans="1:9" x14ac:dyDescent="0.4">
      <c r="A1013" t="s">
        <v>61</v>
      </c>
      <c r="B1013" s="1">
        <v>45352</v>
      </c>
      <c r="C1013">
        <v>850133</v>
      </c>
      <c r="D1013" t="s">
        <v>176</v>
      </c>
      <c r="E1013">
        <v>18000</v>
      </c>
      <c r="F1013">
        <v>12</v>
      </c>
      <c r="G1013">
        <v>500</v>
      </c>
      <c r="H1013">
        <f>_xlfn.XLOOKUP(FACT_IMPORTS[[#This Row],[hts_6]],DIM_PRODUCTS[hts_6],DIM_PRODUCTS[hts_4],,,)</f>
        <v>8501</v>
      </c>
      <c r="I1013" t="str" cm="1">
        <f t="array" ref="I1013">_xlfn.XLOOKUP(FACT_IMPORTS[[#This Row],[country_name]],DIM_COUNTRY[[#All],[Column2]],DIM_COUNTRY[[#All],[Column3]],,,)</f>
        <v>USMCA</v>
      </c>
    </row>
    <row r="1014" spans="1:9" x14ac:dyDescent="0.4">
      <c r="A1014" t="s">
        <v>61</v>
      </c>
      <c r="B1014" s="1">
        <v>45352</v>
      </c>
      <c r="C1014">
        <v>850134</v>
      </c>
      <c r="D1014" t="s">
        <v>176</v>
      </c>
      <c r="E1014">
        <v>0</v>
      </c>
      <c r="F1014">
        <v>0</v>
      </c>
      <c r="G1014">
        <v>0</v>
      </c>
      <c r="H1014">
        <f>_xlfn.XLOOKUP(FACT_IMPORTS[[#This Row],[hts_6]],DIM_PRODUCTS[hts_6],DIM_PRODUCTS[hts_4],,,)</f>
        <v>8501</v>
      </c>
      <c r="I1014" t="str" cm="1">
        <f t="array" ref="I1014">_xlfn.XLOOKUP(FACT_IMPORTS[[#This Row],[country_name]],DIM_COUNTRY[[#All],[Column2]],DIM_COUNTRY[[#All],[Column3]],,,)</f>
        <v>USMCA</v>
      </c>
    </row>
    <row r="1015" spans="1:9" x14ac:dyDescent="0.4">
      <c r="A1015" t="s">
        <v>61</v>
      </c>
      <c r="B1015" s="1">
        <v>45352</v>
      </c>
      <c r="C1015">
        <v>850152</v>
      </c>
      <c r="D1015" t="s">
        <v>176</v>
      </c>
      <c r="E1015">
        <v>1242321</v>
      </c>
      <c r="F1015">
        <v>810</v>
      </c>
      <c r="G1015">
        <v>12563</v>
      </c>
      <c r="H1015">
        <f>_xlfn.XLOOKUP(FACT_IMPORTS[[#This Row],[hts_6]],DIM_PRODUCTS[hts_6],DIM_PRODUCTS[hts_4],,,)</f>
        <v>8501</v>
      </c>
      <c r="I1015" t="str" cm="1">
        <f t="array" ref="I1015">_xlfn.XLOOKUP(FACT_IMPORTS[[#This Row],[country_name]],DIM_COUNTRY[[#All],[Column2]],DIM_COUNTRY[[#All],[Column3]],,,)</f>
        <v>USMCA</v>
      </c>
    </row>
    <row r="1016" spans="1:9" x14ac:dyDescent="0.4">
      <c r="A1016" t="s">
        <v>61</v>
      </c>
      <c r="B1016" s="1">
        <v>45352</v>
      </c>
      <c r="C1016">
        <v>850153</v>
      </c>
      <c r="D1016" t="s">
        <v>176</v>
      </c>
      <c r="E1016">
        <v>482467</v>
      </c>
      <c r="F1016">
        <v>41</v>
      </c>
      <c r="G1016">
        <v>5387</v>
      </c>
      <c r="H1016">
        <f>_xlfn.XLOOKUP(FACT_IMPORTS[[#This Row],[hts_6]],DIM_PRODUCTS[hts_6],DIM_PRODUCTS[hts_4],,,)</f>
        <v>8501</v>
      </c>
      <c r="I1016" t="str" cm="1">
        <f t="array" ref="I1016">_xlfn.XLOOKUP(FACT_IMPORTS[[#This Row],[country_name]],DIM_COUNTRY[[#All],[Column2]],DIM_COUNTRY[[#All],[Column3]],,,)</f>
        <v>USMCA</v>
      </c>
    </row>
    <row r="1017" spans="1:9" x14ac:dyDescent="0.4">
      <c r="A1017" t="s">
        <v>61</v>
      </c>
      <c r="B1017" s="1">
        <v>45352</v>
      </c>
      <c r="C1017">
        <v>850161</v>
      </c>
      <c r="D1017" t="s">
        <v>176</v>
      </c>
      <c r="E1017">
        <v>114229</v>
      </c>
      <c r="F1017">
        <v>32</v>
      </c>
      <c r="G1017">
        <v>402</v>
      </c>
      <c r="H1017">
        <f>_xlfn.XLOOKUP(FACT_IMPORTS[[#This Row],[hts_6]],DIM_PRODUCTS[hts_6],DIM_PRODUCTS[hts_4],,,)</f>
        <v>8501</v>
      </c>
      <c r="I1017" t="str" cm="1">
        <f t="array" ref="I1017">_xlfn.XLOOKUP(FACT_IMPORTS[[#This Row],[country_name]],DIM_COUNTRY[[#All],[Column2]],DIM_COUNTRY[[#All],[Column3]],,,)</f>
        <v>USMCA</v>
      </c>
    </row>
    <row r="1018" spans="1:9" x14ac:dyDescent="0.4">
      <c r="A1018" t="s">
        <v>61</v>
      </c>
      <c r="B1018" s="1">
        <v>45352</v>
      </c>
      <c r="C1018">
        <v>850440</v>
      </c>
      <c r="D1018" t="s">
        <v>176</v>
      </c>
      <c r="E1018">
        <v>11818761</v>
      </c>
      <c r="F1018">
        <v>10043</v>
      </c>
      <c r="G1018">
        <v>227164</v>
      </c>
      <c r="H1018">
        <f>_xlfn.XLOOKUP(FACT_IMPORTS[[#This Row],[hts_6]],DIM_PRODUCTS[hts_6],DIM_PRODUCTS[hts_4],,,)</f>
        <v>8504</v>
      </c>
      <c r="I1018" t="str" cm="1">
        <f t="array" ref="I1018">_xlfn.XLOOKUP(FACT_IMPORTS[[#This Row],[country_name]],DIM_COUNTRY[[#All],[Column2]],DIM_COUNTRY[[#All],[Column3]],,,)</f>
        <v>USMCA</v>
      </c>
    </row>
    <row r="1019" spans="1:9" x14ac:dyDescent="0.4">
      <c r="A1019" t="s">
        <v>61</v>
      </c>
      <c r="B1019" s="1">
        <v>45352</v>
      </c>
      <c r="C1019">
        <v>850710</v>
      </c>
      <c r="D1019" t="s">
        <v>176</v>
      </c>
      <c r="E1019">
        <v>781549</v>
      </c>
      <c r="F1019">
        <v>2589</v>
      </c>
      <c r="G1019">
        <v>44015</v>
      </c>
      <c r="H1019">
        <f>_xlfn.XLOOKUP(FACT_IMPORTS[[#This Row],[hts_6]],DIM_PRODUCTS[hts_6],DIM_PRODUCTS[hts_4],,,)</f>
        <v>8507</v>
      </c>
      <c r="I1019" t="str" cm="1">
        <f t="array" ref="I1019">_xlfn.XLOOKUP(FACT_IMPORTS[[#This Row],[country_name]],DIM_COUNTRY[[#All],[Column2]],DIM_COUNTRY[[#All],[Column3]],,,)</f>
        <v>USMCA</v>
      </c>
    </row>
    <row r="1020" spans="1:9" x14ac:dyDescent="0.4">
      <c r="A1020" t="s">
        <v>61</v>
      </c>
      <c r="B1020" s="1">
        <v>45352</v>
      </c>
      <c r="C1020">
        <v>850760</v>
      </c>
      <c r="D1020" t="s">
        <v>176</v>
      </c>
      <c r="E1020">
        <v>5363060</v>
      </c>
      <c r="F1020">
        <v>2699</v>
      </c>
      <c r="G1020">
        <v>22387</v>
      </c>
      <c r="H1020">
        <f>_xlfn.XLOOKUP(FACT_IMPORTS[[#This Row],[hts_6]],DIM_PRODUCTS[hts_6],DIM_PRODUCTS[hts_4],,,)</f>
        <v>8507</v>
      </c>
      <c r="I1020" t="str" cm="1">
        <f t="array" ref="I1020">_xlfn.XLOOKUP(FACT_IMPORTS[[#This Row],[country_name]],DIM_COUNTRY[[#All],[Column2]],DIM_COUNTRY[[#All],[Column3]],,,)</f>
        <v>USMCA</v>
      </c>
    </row>
    <row r="1021" spans="1:9" x14ac:dyDescent="0.4">
      <c r="A1021" t="s">
        <v>61</v>
      </c>
      <c r="B1021" s="1">
        <v>45352</v>
      </c>
      <c r="C1021">
        <v>850790</v>
      </c>
      <c r="D1021" t="s">
        <v>176</v>
      </c>
      <c r="E1021">
        <v>646288</v>
      </c>
      <c r="F1021">
        <v>33465</v>
      </c>
      <c r="G1021">
        <v>4626</v>
      </c>
      <c r="H1021">
        <f>_xlfn.XLOOKUP(FACT_IMPORTS[[#This Row],[hts_6]],DIM_PRODUCTS[hts_6],DIM_PRODUCTS[hts_4],,,)</f>
        <v>8507</v>
      </c>
      <c r="I1021" t="str" cm="1">
        <f t="array" ref="I1021">_xlfn.XLOOKUP(FACT_IMPORTS[[#This Row],[country_name]],DIM_COUNTRY[[#All],[Column2]],DIM_COUNTRY[[#All],[Column3]],,,)</f>
        <v>USMCA</v>
      </c>
    </row>
    <row r="1022" spans="1:9" x14ac:dyDescent="0.4">
      <c r="A1022" t="s">
        <v>61</v>
      </c>
      <c r="B1022" s="1">
        <v>45352</v>
      </c>
      <c r="C1022">
        <v>851110</v>
      </c>
      <c r="D1022" t="s">
        <v>176</v>
      </c>
      <c r="E1022">
        <v>88835</v>
      </c>
      <c r="F1022">
        <v>10</v>
      </c>
      <c r="G1022">
        <v>133</v>
      </c>
      <c r="H1022">
        <f>_xlfn.XLOOKUP(FACT_IMPORTS[[#This Row],[hts_6]],DIM_PRODUCTS[hts_6],DIM_PRODUCTS[hts_4],,,)</f>
        <v>8511</v>
      </c>
      <c r="I1022" t="str" cm="1">
        <f t="array" ref="I1022">_xlfn.XLOOKUP(FACT_IMPORTS[[#This Row],[country_name]],DIM_COUNTRY[[#All],[Column2]],DIM_COUNTRY[[#All],[Column3]],,,)</f>
        <v>USMCA</v>
      </c>
    </row>
    <row r="1023" spans="1:9" x14ac:dyDescent="0.4">
      <c r="A1023" t="s">
        <v>61</v>
      </c>
      <c r="B1023" s="1">
        <v>45352</v>
      </c>
      <c r="C1023">
        <v>851120</v>
      </c>
      <c r="D1023" t="s">
        <v>176</v>
      </c>
      <c r="E1023">
        <v>0</v>
      </c>
      <c r="F1023">
        <v>0</v>
      </c>
      <c r="G1023">
        <v>0</v>
      </c>
      <c r="H1023">
        <f>_xlfn.XLOOKUP(FACT_IMPORTS[[#This Row],[hts_6]],DIM_PRODUCTS[hts_6],DIM_PRODUCTS[hts_4],,,)</f>
        <v>8511</v>
      </c>
      <c r="I1023" t="str" cm="1">
        <f t="array" ref="I1023">_xlfn.XLOOKUP(FACT_IMPORTS[[#This Row],[country_name]],DIM_COUNTRY[[#All],[Column2]],DIM_COUNTRY[[#All],[Column3]],,,)</f>
        <v>USMCA</v>
      </c>
    </row>
    <row r="1024" spans="1:9" x14ac:dyDescent="0.4">
      <c r="A1024" t="s">
        <v>61</v>
      </c>
      <c r="B1024" s="1">
        <v>45352</v>
      </c>
      <c r="C1024">
        <v>851130</v>
      </c>
      <c r="D1024" t="s">
        <v>176</v>
      </c>
      <c r="E1024">
        <v>3150</v>
      </c>
      <c r="F1024">
        <v>2096</v>
      </c>
      <c r="G1024">
        <v>24</v>
      </c>
      <c r="H1024">
        <f>_xlfn.XLOOKUP(FACT_IMPORTS[[#This Row],[hts_6]],DIM_PRODUCTS[hts_6],DIM_PRODUCTS[hts_4],,,)</f>
        <v>8511</v>
      </c>
      <c r="I1024" t="str" cm="1">
        <f t="array" ref="I1024">_xlfn.XLOOKUP(FACT_IMPORTS[[#This Row],[country_name]],DIM_COUNTRY[[#All],[Column2]],DIM_COUNTRY[[#All],[Column3]],,,)</f>
        <v>USMCA</v>
      </c>
    </row>
    <row r="1025" spans="1:9" x14ac:dyDescent="0.4">
      <c r="A1025" t="s">
        <v>61</v>
      </c>
      <c r="B1025" s="1">
        <v>45352</v>
      </c>
      <c r="C1025">
        <v>851140</v>
      </c>
      <c r="D1025" t="s">
        <v>176</v>
      </c>
      <c r="E1025">
        <v>422283</v>
      </c>
      <c r="F1025">
        <v>9348</v>
      </c>
      <c r="G1025">
        <v>3128</v>
      </c>
      <c r="H1025">
        <f>_xlfn.XLOOKUP(FACT_IMPORTS[[#This Row],[hts_6]],DIM_PRODUCTS[hts_6],DIM_PRODUCTS[hts_4],,,)</f>
        <v>8511</v>
      </c>
      <c r="I1025" t="str" cm="1">
        <f t="array" ref="I1025">_xlfn.XLOOKUP(FACT_IMPORTS[[#This Row],[country_name]],DIM_COUNTRY[[#All],[Column2]],DIM_COUNTRY[[#All],[Column3]],,,)</f>
        <v>USMCA</v>
      </c>
    </row>
    <row r="1026" spans="1:9" x14ac:dyDescent="0.4">
      <c r="A1026" t="s">
        <v>61</v>
      </c>
      <c r="B1026" s="1">
        <v>45352</v>
      </c>
      <c r="C1026">
        <v>851150</v>
      </c>
      <c r="D1026" t="s">
        <v>176</v>
      </c>
      <c r="E1026">
        <v>259726</v>
      </c>
      <c r="F1026">
        <v>4701</v>
      </c>
      <c r="G1026">
        <v>2134</v>
      </c>
      <c r="H1026">
        <f>_xlfn.XLOOKUP(FACT_IMPORTS[[#This Row],[hts_6]],DIM_PRODUCTS[hts_6],DIM_PRODUCTS[hts_4],,,)</f>
        <v>8511</v>
      </c>
      <c r="I1026" t="str" cm="1">
        <f t="array" ref="I1026">_xlfn.XLOOKUP(FACT_IMPORTS[[#This Row],[country_name]],DIM_COUNTRY[[#All],[Column2]],DIM_COUNTRY[[#All],[Column3]],,,)</f>
        <v>USMCA</v>
      </c>
    </row>
    <row r="1027" spans="1:9" x14ac:dyDescent="0.4">
      <c r="A1027" t="s">
        <v>61</v>
      </c>
      <c r="B1027" s="1">
        <v>45352</v>
      </c>
      <c r="C1027">
        <v>851180</v>
      </c>
      <c r="D1027" t="s">
        <v>176</v>
      </c>
      <c r="E1027">
        <v>9736</v>
      </c>
      <c r="F1027">
        <v>61</v>
      </c>
      <c r="G1027">
        <v>115</v>
      </c>
      <c r="H1027">
        <f>_xlfn.XLOOKUP(FACT_IMPORTS[[#This Row],[hts_6]],DIM_PRODUCTS[hts_6],DIM_PRODUCTS[hts_4],,,)</f>
        <v>8511</v>
      </c>
      <c r="I1027" t="str" cm="1">
        <f t="array" ref="I1027">_xlfn.XLOOKUP(FACT_IMPORTS[[#This Row],[country_name]],DIM_COUNTRY[[#All],[Column2]],DIM_COUNTRY[[#All],[Column3]],,,)</f>
        <v>USMCA</v>
      </c>
    </row>
    <row r="1028" spans="1:9" x14ac:dyDescent="0.4">
      <c r="A1028" t="s">
        <v>61</v>
      </c>
      <c r="B1028" s="1">
        <v>45352</v>
      </c>
      <c r="C1028">
        <v>851190</v>
      </c>
      <c r="D1028" t="s">
        <v>176</v>
      </c>
      <c r="E1028">
        <v>414388</v>
      </c>
      <c r="F1028">
        <v>3262</v>
      </c>
      <c r="G1028">
        <v>2227</v>
      </c>
      <c r="H1028">
        <f>_xlfn.XLOOKUP(FACT_IMPORTS[[#This Row],[hts_6]],DIM_PRODUCTS[hts_6],DIM_PRODUCTS[hts_4],,,)</f>
        <v>8511</v>
      </c>
      <c r="I1028" t="str" cm="1">
        <f t="array" ref="I1028">_xlfn.XLOOKUP(FACT_IMPORTS[[#This Row],[country_name]],DIM_COUNTRY[[#All],[Column2]],DIM_COUNTRY[[#All],[Column3]],,,)</f>
        <v>USMCA</v>
      </c>
    </row>
    <row r="1029" spans="1:9" x14ac:dyDescent="0.4">
      <c r="A1029" t="s">
        <v>61</v>
      </c>
      <c r="B1029" s="1">
        <v>45352</v>
      </c>
      <c r="C1029">
        <v>851220</v>
      </c>
      <c r="D1029" t="s">
        <v>176</v>
      </c>
      <c r="E1029">
        <v>19620334</v>
      </c>
      <c r="F1029">
        <v>351197</v>
      </c>
      <c r="G1029">
        <v>81628</v>
      </c>
      <c r="H1029">
        <f>_xlfn.XLOOKUP(FACT_IMPORTS[[#This Row],[hts_6]],DIM_PRODUCTS[hts_6],DIM_PRODUCTS[hts_4],,,)</f>
        <v>8512</v>
      </c>
      <c r="I1029" t="str" cm="1">
        <f t="array" ref="I1029">_xlfn.XLOOKUP(FACT_IMPORTS[[#This Row],[country_name]],DIM_COUNTRY[[#All],[Column2]],DIM_COUNTRY[[#All],[Column3]],,,)</f>
        <v>USMCA</v>
      </c>
    </row>
    <row r="1030" spans="1:9" x14ac:dyDescent="0.4">
      <c r="A1030" t="s">
        <v>61</v>
      </c>
      <c r="B1030" s="1">
        <v>45352</v>
      </c>
      <c r="C1030">
        <v>851230</v>
      </c>
      <c r="D1030" t="s">
        <v>176</v>
      </c>
      <c r="E1030">
        <v>54280</v>
      </c>
      <c r="F1030">
        <v>512</v>
      </c>
      <c r="G1030">
        <v>620</v>
      </c>
      <c r="H1030">
        <f>_xlfn.XLOOKUP(FACT_IMPORTS[[#This Row],[hts_6]],DIM_PRODUCTS[hts_6],DIM_PRODUCTS[hts_4],,,)</f>
        <v>8512</v>
      </c>
      <c r="I1030" t="str" cm="1">
        <f t="array" ref="I1030">_xlfn.XLOOKUP(FACT_IMPORTS[[#This Row],[country_name]],DIM_COUNTRY[[#All],[Column2]],DIM_COUNTRY[[#All],[Column3]],,,)</f>
        <v>USMCA</v>
      </c>
    </row>
    <row r="1031" spans="1:9" x14ac:dyDescent="0.4">
      <c r="A1031" t="s">
        <v>61</v>
      </c>
      <c r="B1031" s="1">
        <v>45352</v>
      </c>
      <c r="C1031">
        <v>851240</v>
      </c>
      <c r="D1031" t="s">
        <v>176</v>
      </c>
      <c r="E1031">
        <v>0</v>
      </c>
      <c r="F1031">
        <v>0</v>
      </c>
      <c r="G1031">
        <v>0</v>
      </c>
      <c r="H1031">
        <f>_xlfn.XLOOKUP(FACT_IMPORTS[[#This Row],[hts_6]],DIM_PRODUCTS[hts_6],DIM_PRODUCTS[hts_4],,,)</f>
        <v>8512</v>
      </c>
      <c r="I1031" t="str" cm="1">
        <f t="array" ref="I1031">_xlfn.XLOOKUP(FACT_IMPORTS[[#This Row],[country_name]],DIM_COUNTRY[[#All],[Column2]],DIM_COUNTRY[[#All],[Column3]],,,)</f>
        <v>USMCA</v>
      </c>
    </row>
    <row r="1032" spans="1:9" x14ac:dyDescent="0.4">
      <c r="A1032" t="s">
        <v>61</v>
      </c>
      <c r="B1032" s="1">
        <v>45352</v>
      </c>
      <c r="C1032">
        <v>851290</v>
      </c>
      <c r="D1032" t="s">
        <v>176</v>
      </c>
      <c r="E1032">
        <v>2078600</v>
      </c>
      <c r="F1032">
        <v>28787</v>
      </c>
      <c r="G1032">
        <v>6140</v>
      </c>
      <c r="H1032">
        <f>_xlfn.XLOOKUP(FACT_IMPORTS[[#This Row],[hts_6]],DIM_PRODUCTS[hts_6],DIM_PRODUCTS[hts_4],,,)</f>
        <v>8512</v>
      </c>
      <c r="I1032" t="str" cm="1">
        <f t="array" ref="I1032">_xlfn.XLOOKUP(FACT_IMPORTS[[#This Row],[country_name]],DIM_COUNTRY[[#All],[Column2]],DIM_COUNTRY[[#All],[Column3]],,,)</f>
        <v>USMCA</v>
      </c>
    </row>
    <row r="1033" spans="1:9" x14ac:dyDescent="0.4">
      <c r="A1033" t="s">
        <v>61</v>
      </c>
      <c r="B1033" s="1">
        <v>45352</v>
      </c>
      <c r="C1033">
        <v>854231</v>
      </c>
      <c r="D1033" t="s">
        <v>176</v>
      </c>
      <c r="E1033">
        <v>185940</v>
      </c>
      <c r="F1033">
        <v>2100</v>
      </c>
      <c r="G1033">
        <v>1215</v>
      </c>
      <c r="H1033">
        <f>_xlfn.XLOOKUP(FACT_IMPORTS[[#This Row],[hts_6]],DIM_PRODUCTS[hts_6],DIM_PRODUCTS[hts_4],,,)</f>
        <v>8542</v>
      </c>
      <c r="I1033" t="str" cm="1">
        <f t="array" ref="I1033">_xlfn.XLOOKUP(FACT_IMPORTS[[#This Row],[country_name]],DIM_COUNTRY[[#All],[Column2]],DIM_COUNTRY[[#All],[Column3]],,,)</f>
        <v>USMCA</v>
      </c>
    </row>
    <row r="1034" spans="1:9" x14ac:dyDescent="0.4">
      <c r="A1034" t="s">
        <v>61</v>
      </c>
      <c r="B1034" s="1">
        <v>45352</v>
      </c>
      <c r="C1034">
        <v>854232</v>
      </c>
      <c r="D1034" t="s">
        <v>176</v>
      </c>
      <c r="E1034">
        <v>4368</v>
      </c>
      <c r="F1034">
        <v>6000</v>
      </c>
      <c r="G1034">
        <v>116</v>
      </c>
      <c r="H1034">
        <f>_xlfn.XLOOKUP(FACT_IMPORTS[[#This Row],[hts_6]],DIM_PRODUCTS[hts_6],DIM_PRODUCTS[hts_4],,,)</f>
        <v>8542</v>
      </c>
      <c r="I1034" t="str" cm="1">
        <f t="array" ref="I1034">_xlfn.XLOOKUP(FACT_IMPORTS[[#This Row],[country_name]],DIM_COUNTRY[[#All],[Column2]],DIM_COUNTRY[[#All],[Column3]],,,)</f>
        <v>USMCA</v>
      </c>
    </row>
    <row r="1035" spans="1:9" x14ac:dyDescent="0.4">
      <c r="A1035" t="s">
        <v>61</v>
      </c>
      <c r="B1035" s="1">
        <v>45352</v>
      </c>
      <c r="C1035">
        <v>854233</v>
      </c>
      <c r="D1035" t="s">
        <v>176</v>
      </c>
      <c r="E1035">
        <v>2277</v>
      </c>
      <c r="F1035">
        <v>1</v>
      </c>
      <c r="G1035">
        <v>26</v>
      </c>
      <c r="H1035">
        <f>_xlfn.XLOOKUP(FACT_IMPORTS[[#This Row],[hts_6]],DIM_PRODUCTS[hts_6],DIM_PRODUCTS[hts_4],,,)</f>
        <v>8542</v>
      </c>
      <c r="I1035" t="str" cm="1">
        <f t="array" ref="I1035">_xlfn.XLOOKUP(FACT_IMPORTS[[#This Row],[country_name]],DIM_COUNTRY[[#All],[Column2]],DIM_COUNTRY[[#All],[Column3]],,,)</f>
        <v>USMCA</v>
      </c>
    </row>
    <row r="1036" spans="1:9" x14ac:dyDescent="0.4">
      <c r="A1036" t="s">
        <v>61</v>
      </c>
      <c r="B1036" s="1">
        <v>45352</v>
      </c>
      <c r="C1036">
        <v>854239</v>
      </c>
      <c r="D1036" t="s">
        <v>176</v>
      </c>
      <c r="E1036">
        <v>75207</v>
      </c>
      <c r="F1036">
        <v>286960</v>
      </c>
      <c r="G1036">
        <v>215</v>
      </c>
      <c r="H1036">
        <f>_xlfn.XLOOKUP(FACT_IMPORTS[[#This Row],[hts_6]],DIM_PRODUCTS[hts_6],DIM_PRODUCTS[hts_4],,,)</f>
        <v>8542</v>
      </c>
      <c r="I1036" t="str" cm="1">
        <f t="array" ref="I1036">_xlfn.XLOOKUP(FACT_IMPORTS[[#This Row],[country_name]],DIM_COUNTRY[[#All],[Column2]],DIM_COUNTRY[[#All],[Column3]],,,)</f>
        <v>USMCA</v>
      </c>
    </row>
    <row r="1037" spans="1:9" x14ac:dyDescent="0.4">
      <c r="A1037" t="s">
        <v>61</v>
      </c>
      <c r="B1037" s="1">
        <v>45352</v>
      </c>
      <c r="C1037">
        <v>854290</v>
      </c>
      <c r="D1037" t="s">
        <v>176</v>
      </c>
      <c r="E1037">
        <v>10259</v>
      </c>
      <c r="F1037">
        <v>602</v>
      </c>
      <c r="G1037">
        <v>380</v>
      </c>
      <c r="H1037">
        <f>_xlfn.XLOOKUP(FACT_IMPORTS[[#This Row],[hts_6]],DIM_PRODUCTS[hts_6],DIM_PRODUCTS[hts_4],,,)</f>
        <v>8542</v>
      </c>
      <c r="I1037" t="str" cm="1">
        <f t="array" ref="I1037">_xlfn.XLOOKUP(FACT_IMPORTS[[#This Row],[country_name]],DIM_COUNTRY[[#All],[Column2]],DIM_COUNTRY[[#All],[Column3]],,,)</f>
        <v>USMCA</v>
      </c>
    </row>
    <row r="1038" spans="1:9" x14ac:dyDescent="0.4">
      <c r="A1038" t="s">
        <v>61</v>
      </c>
      <c r="B1038" s="1">
        <v>45352</v>
      </c>
      <c r="C1038">
        <v>854430</v>
      </c>
      <c r="D1038" t="s">
        <v>176</v>
      </c>
      <c r="E1038">
        <v>1733683</v>
      </c>
      <c r="F1038">
        <v>35280</v>
      </c>
      <c r="G1038">
        <v>9529</v>
      </c>
      <c r="H1038">
        <f>_xlfn.XLOOKUP(FACT_IMPORTS[[#This Row],[hts_6]],DIM_PRODUCTS[hts_6],DIM_PRODUCTS[hts_4],,,)</f>
        <v>8544</v>
      </c>
      <c r="I1038" t="str" cm="1">
        <f t="array" ref="I1038">_xlfn.XLOOKUP(FACT_IMPORTS[[#This Row],[country_name]],DIM_COUNTRY[[#All],[Column2]],DIM_COUNTRY[[#All],[Column3]],,,)</f>
        <v>USMCA</v>
      </c>
    </row>
    <row r="1039" spans="1:9" x14ac:dyDescent="0.4">
      <c r="A1039" t="s">
        <v>61</v>
      </c>
      <c r="B1039" s="1">
        <v>45352</v>
      </c>
      <c r="C1039">
        <v>870600</v>
      </c>
      <c r="D1039" t="s">
        <v>176</v>
      </c>
      <c r="E1039">
        <v>0</v>
      </c>
      <c r="F1039">
        <v>0</v>
      </c>
      <c r="G1039">
        <v>0</v>
      </c>
      <c r="H1039">
        <f>_xlfn.XLOOKUP(FACT_IMPORTS[[#This Row],[hts_6]],DIM_PRODUCTS[hts_6],DIM_PRODUCTS[hts_4],,,)</f>
        <v>8706</v>
      </c>
      <c r="I1039" t="str" cm="1">
        <f t="array" ref="I1039">_xlfn.XLOOKUP(FACT_IMPORTS[[#This Row],[country_name]],DIM_COUNTRY[[#All],[Column2]],DIM_COUNTRY[[#All],[Column3]],,,)</f>
        <v>USMCA</v>
      </c>
    </row>
    <row r="1040" spans="1:9" x14ac:dyDescent="0.4">
      <c r="A1040" t="s">
        <v>61</v>
      </c>
      <c r="B1040" s="1">
        <v>45352</v>
      </c>
      <c r="C1040">
        <v>870710</v>
      </c>
      <c r="D1040" t="s">
        <v>176</v>
      </c>
      <c r="E1040">
        <v>107900</v>
      </c>
      <c r="F1040">
        <v>14</v>
      </c>
      <c r="G1040">
        <v>1700</v>
      </c>
      <c r="H1040">
        <f>_xlfn.XLOOKUP(FACT_IMPORTS[[#This Row],[hts_6]],DIM_PRODUCTS[hts_6],DIM_PRODUCTS[hts_4],,,)</f>
        <v>8707</v>
      </c>
      <c r="I1040" t="str" cm="1">
        <f t="array" ref="I1040">_xlfn.XLOOKUP(FACT_IMPORTS[[#This Row],[country_name]],DIM_COUNTRY[[#All],[Column2]],DIM_COUNTRY[[#All],[Column3]],,,)</f>
        <v>USMCA</v>
      </c>
    </row>
    <row r="1041" spans="1:9" x14ac:dyDescent="0.4">
      <c r="A1041" t="s">
        <v>61</v>
      </c>
      <c r="B1041" s="1">
        <v>45352</v>
      </c>
      <c r="C1041">
        <v>870790</v>
      </c>
      <c r="D1041" t="s">
        <v>176</v>
      </c>
      <c r="E1041">
        <v>5031585</v>
      </c>
      <c r="F1041">
        <v>365</v>
      </c>
      <c r="G1041">
        <v>20103</v>
      </c>
      <c r="H1041">
        <f>_xlfn.XLOOKUP(FACT_IMPORTS[[#This Row],[hts_6]],DIM_PRODUCTS[hts_6],DIM_PRODUCTS[hts_4],,,)</f>
        <v>8707</v>
      </c>
      <c r="I1041" t="str" cm="1">
        <f t="array" ref="I1041">_xlfn.XLOOKUP(FACT_IMPORTS[[#This Row],[country_name]],DIM_COUNTRY[[#All],[Column2]],DIM_COUNTRY[[#All],[Column3]],,,)</f>
        <v>USMCA</v>
      </c>
    </row>
    <row r="1042" spans="1:9" x14ac:dyDescent="0.4">
      <c r="A1042" t="s">
        <v>61</v>
      </c>
      <c r="B1042" s="1">
        <v>45352</v>
      </c>
      <c r="C1042">
        <v>870810</v>
      </c>
      <c r="D1042" t="s">
        <v>176</v>
      </c>
      <c r="E1042">
        <v>26400790</v>
      </c>
      <c r="F1042">
        <v>919212</v>
      </c>
      <c r="G1042">
        <v>381608</v>
      </c>
      <c r="H1042">
        <f>_xlfn.XLOOKUP(FACT_IMPORTS[[#This Row],[hts_6]],DIM_PRODUCTS[hts_6],DIM_PRODUCTS[hts_4],,,)</f>
        <v>8708</v>
      </c>
      <c r="I1042" t="str" cm="1">
        <f t="array" ref="I1042">_xlfn.XLOOKUP(FACT_IMPORTS[[#This Row],[country_name]],DIM_COUNTRY[[#All],[Column2]],DIM_COUNTRY[[#All],[Column3]],,,)</f>
        <v>USMCA</v>
      </c>
    </row>
    <row r="1043" spans="1:9" x14ac:dyDescent="0.4">
      <c r="A1043" t="s">
        <v>61</v>
      </c>
      <c r="B1043" s="1">
        <v>45352</v>
      </c>
      <c r="C1043">
        <v>870821</v>
      </c>
      <c r="D1043" t="s">
        <v>176</v>
      </c>
      <c r="E1043">
        <v>440902</v>
      </c>
      <c r="F1043">
        <v>21338</v>
      </c>
      <c r="G1043">
        <v>3261</v>
      </c>
      <c r="H1043">
        <f>_xlfn.XLOOKUP(FACT_IMPORTS[[#This Row],[hts_6]],DIM_PRODUCTS[hts_6],DIM_PRODUCTS[hts_4],,,)</f>
        <v>8708</v>
      </c>
      <c r="I1043" t="str" cm="1">
        <f t="array" ref="I1043">_xlfn.XLOOKUP(FACT_IMPORTS[[#This Row],[country_name]],DIM_COUNTRY[[#All],[Column2]],DIM_COUNTRY[[#All],[Column3]],,,)</f>
        <v>USMCA</v>
      </c>
    </row>
    <row r="1044" spans="1:9" x14ac:dyDescent="0.4">
      <c r="A1044" t="s">
        <v>61</v>
      </c>
      <c r="B1044" s="1">
        <v>45352</v>
      </c>
      <c r="C1044">
        <v>870822</v>
      </c>
      <c r="D1044" t="s">
        <v>176</v>
      </c>
      <c r="E1044">
        <v>5337928</v>
      </c>
      <c r="F1044">
        <v>97187</v>
      </c>
      <c r="G1044">
        <v>176013</v>
      </c>
      <c r="H1044">
        <f>_xlfn.XLOOKUP(FACT_IMPORTS[[#This Row],[hts_6]],DIM_PRODUCTS[hts_6],DIM_PRODUCTS[hts_4],,,)</f>
        <v>8708</v>
      </c>
      <c r="I1044" t="str" cm="1">
        <f t="array" ref="I1044">_xlfn.XLOOKUP(FACT_IMPORTS[[#This Row],[country_name]],DIM_COUNTRY[[#All],[Column2]],DIM_COUNTRY[[#All],[Column3]],,,)</f>
        <v>USMCA</v>
      </c>
    </row>
    <row r="1045" spans="1:9" x14ac:dyDescent="0.4">
      <c r="A1045" t="s">
        <v>61</v>
      </c>
      <c r="B1045" s="1">
        <v>45352</v>
      </c>
      <c r="C1045">
        <v>870829</v>
      </c>
      <c r="D1045" t="s">
        <v>176</v>
      </c>
      <c r="E1045">
        <v>401857835</v>
      </c>
      <c r="F1045">
        <v>59018267</v>
      </c>
      <c r="G1045">
        <v>8364178</v>
      </c>
      <c r="H1045">
        <f>_xlfn.XLOOKUP(FACT_IMPORTS[[#This Row],[hts_6]],DIM_PRODUCTS[hts_6],DIM_PRODUCTS[hts_4],,,)</f>
        <v>8708</v>
      </c>
      <c r="I1045" t="str" cm="1">
        <f t="array" ref="I1045">_xlfn.XLOOKUP(FACT_IMPORTS[[#This Row],[country_name]],DIM_COUNTRY[[#All],[Column2]],DIM_COUNTRY[[#All],[Column3]],,,)</f>
        <v>USMCA</v>
      </c>
    </row>
    <row r="1046" spans="1:9" x14ac:dyDescent="0.4">
      <c r="A1046" t="s">
        <v>61</v>
      </c>
      <c r="B1046" s="1">
        <v>45352</v>
      </c>
      <c r="C1046">
        <v>870830</v>
      </c>
      <c r="D1046" t="s">
        <v>176</v>
      </c>
      <c r="E1046">
        <v>13402617</v>
      </c>
      <c r="F1046">
        <v>3910736</v>
      </c>
      <c r="G1046">
        <v>251399</v>
      </c>
      <c r="H1046">
        <f>_xlfn.XLOOKUP(FACT_IMPORTS[[#This Row],[hts_6]],DIM_PRODUCTS[hts_6],DIM_PRODUCTS[hts_4],,,)</f>
        <v>8708</v>
      </c>
      <c r="I1046" t="str" cm="1">
        <f t="array" ref="I1046">_xlfn.XLOOKUP(FACT_IMPORTS[[#This Row],[country_name]],DIM_COUNTRY[[#All],[Column2]],DIM_COUNTRY[[#All],[Column3]],,,)</f>
        <v>USMCA</v>
      </c>
    </row>
    <row r="1047" spans="1:9" x14ac:dyDescent="0.4">
      <c r="A1047" t="s">
        <v>61</v>
      </c>
      <c r="B1047" s="1">
        <v>45352</v>
      </c>
      <c r="C1047">
        <v>870840</v>
      </c>
      <c r="D1047" t="s">
        <v>176</v>
      </c>
      <c r="E1047">
        <v>91454524</v>
      </c>
      <c r="F1047">
        <v>4367517</v>
      </c>
      <c r="G1047">
        <v>484428</v>
      </c>
      <c r="H1047">
        <f>_xlfn.XLOOKUP(FACT_IMPORTS[[#This Row],[hts_6]],DIM_PRODUCTS[hts_6],DIM_PRODUCTS[hts_4],,,)</f>
        <v>8708</v>
      </c>
      <c r="I1047" t="str" cm="1">
        <f t="array" ref="I1047">_xlfn.XLOOKUP(FACT_IMPORTS[[#This Row],[country_name]],DIM_COUNTRY[[#All],[Column2]],DIM_COUNTRY[[#All],[Column3]],,,)</f>
        <v>USMCA</v>
      </c>
    </row>
    <row r="1048" spans="1:9" x14ac:dyDescent="0.4">
      <c r="A1048" t="s">
        <v>61</v>
      </c>
      <c r="B1048" s="1">
        <v>45352</v>
      </c>
      <c r="C1048">
        <v>870850</v>
      </c>
      <c r="D1048" t="s">
        <v>176</v>
      </c>
      <c r="E1048">
        <v>27579944</v>
      </c>
      <c r="F1048">
        <v>1619058</v>
      </c>
      <c r="G1048">
        <v>190229</v>
      </c>
      <c r="H1048">
        <f>_xlfn.XLOOKUP(FACT_IMPORTS[[#This Row],[hts_6]],DIM_PRODUCTS[hts_6],DIM_PRODUCTS[hts_4],,,)</f>
        <v>8708</v>
      </c>
      <c r="I1048" t="str" cm="1">
        <f t="array" ref="I1048">_xlfn.XLOOKUP(FACT_IMPORTS[[#This Row],[country_name]],DIM_COUNTRY[[#All],[Column2]],DIM_COUNTRY[[#All],[Column3]],,,)</f>
        <v>USMCA</v>
      </c>
    </row>
    <row r="1049" spans="1:9" x14ac:dyDescent="0.4">
      <c r="A1049" t="s">
        <v>61</v>
      </c>
      <c r="B1049" s="1">
        <v>45352</v>
      </c>
      <c r="C1049">
        <v>870870</v>
      </c>
      <c r="D1049" t="s">
        <v>176</v>
      </c>
      <c r="E1049">
        <v>6948328</v>
      </c>
      <c r="F1049">
        <v>9287929</v>
      </c>
      <c r="G1049">
        <v>70714</v>
      </c>
      <c r="H1049">
        <f>_xlfn.XLOOKUP(FACT_IMPORTS[[#This Row],[hts_6]],DIM_PRODUCTS[hts_6],DIM_PRODUCTS[hts_4],,,)</f>
        <v>8708</v>
      </c>
      <c r="I1049" t="str" cm="1">
        <f t="array" ref="I1049">_xlfn.XLOOKUP(FACT_IMPORTS[[#This Row],[country_name]],DIM_COUNTRY[[#All],[Column2]],DIM_COUNTRY[[#All],[Column3]],,,)</f>
        <v>USMCA</v>
      </c>
    </row>
    <row r="1050" spans="1:9" x14ac:dyDescent="0.4">
      <c r="A1050" t="s">
        <v>61</v>
      </c>
      <c r="B1050" s="1">
        <v>45352</v>
      </c>
      <c r="C1050">
        <v>870880</v>
      </c>
      <c r="D1050" t="s">
        <v>176</v>
      </c>
      <c r="E1050">
        <v>67294887</v>
      </c>
      <c r="F1050">
        <v>3200815</v>
      </c>
      <c r="G1050">
        <v>1075022</v>
      </c>
      <c r="H1050">
        <f>_xlfn.XLOOKUP(FACT_IMPORTS[[#This Row],[hts_6]],DIM_PRODUCTS[hts_6],DIM_PRODUCTS[hts_4],,,)</f>
        <v>8708</v>
      </c>
      <c r="I1050" t="str" cm="1">
        <f t="array" ref="I1050">_xlfn.XLOOKUP(FACT_IMPORTS[[#This Row],[country_name]],DIM_COUNTRY[[#All],[Column2]],DIM_COUNTRY[[#All],[Column3]],,,)</f>
        <v>USMCA</v>
      </c>
    </row>
    <row r="1051" spans="1:9" x14ac:dyDescent="0.4">
      <c r="A1051" t="s">
        <v>61</v>
      </c>
      <c r="B1051" s="1">
        <v>45352</v>
      </c>
      <c r="C1051">
        <v>870891</v>
      </c>
      <c r="D1051" t="s">
        <v>176</v>
      </c>
      <c r="E1051">
        <v>17100943</v>
      </c>
      <c r="F1051">
        <v>577369</v>
      </c>
      <c r="G1051">
        <v>324605</v>
      </c>
      <c r="H1051">
        <f>_xlfn.XLOOKUP(FACT_IMPORTS[[#This Row],[hts_6]],DIM_PRODUCTS[hts_6],DIM_PRODUCTS[hts_4],,,)</f>
        <v>8708</v>
      </c>
      <c r="I1051" t="str" cm="1">
        <f t="array" ref="I1051">_xlfn.XLOOKUP(FACT_IMPORTS[[#This Row],[country_name]],DIM_COUNTRY[[#All],[Column2]],DIM_COUNTRY[[#All],[Column3]],,,)</f>
        <v>USMCA</v>
      </c>
    </row>
    <row r="1052" spans="1:9" x14ac:dyDescent="0.4">
      <c r="A1052" t="s">
        <v>61</v>
      </c>
      <c r="B1052" s="1">
        <v>45352</v>
      </c>
      <c r="C1052">
        <v>870892</v>
      </c>
      <c r="D1052" t="s">
        <v>176</v>
      </c>
      <c r="E1052">
        <v>23111822</v>
      </c>
      <c r="F1052">
        <v>1223381</v>
      </c>
      <c r="G1052">
        <v>366781</v>
      </c>
      <c r="H1052">
        <f>_xlfn.XLOOKUP(FACT_IMPORTS[[#This Row],[hts_6]],DIM_PRODUCTS[hts_6],DIM_PRODUCTS[hts_4],,,)</f>
        <v>8708</v>
      </c>
      <c r="I1052" t="str" cm="1">
        <f t="array" ref="I1052">_xlfn.XLOOKUP(FACT_IMPORTS[[#This Row],[country_name]],DIM_COUNTRY[[#All],[Column2]],DIM_COUNTRY[[#All],[Column3]],,,)</f>
        <v>USMCA</v>
      </c>
    </row>
    <row r="1053" spans="1:9" x14ac:dyDescent="0.4">
      <c r="A1053" t="s">
        <v>61</v>
      </c>
      <c r="B1053" s="1">
        <v>45352</v>
      </c>
      <c r="C1053">
        <v>870893</v>
      </c>
      <c r="D1053" t="s">
        <v>176</v>
      </c>
      <c r="E1053">
        <v>52219764</v>
      </c>
      <c r="F1053">
        <v>1493623</v>
      </c>
      <c r="G1053">
        <v>173623</v>
      </c>
      <c r="H1053">
        <f>_xlfn.XLOOKUP(FACT_IMPORTS[[#This Row],[hts_6]],DIM_PRODUCTS[hts_6],DIM_PRODUCTS[hts_4],,,)</f>
        <v>8708</v>
      </c>
      <c r="I1053" t="str" cm="1">
        <f t="array" ref="I1053">_xlfn.XLOOKUP(FACT_IMPORTS[[#This Row],[country_name]],DIM_COUNTRY[[#All],[Column2]],DIM_COUNTRY[[#All],[Column3]],,,)</f>
        <v>USMCA</v>
      </c>
    </row>
    <row r="1054" spans="1:9" x14ac:dyDescent="0.4">
      <c r="A1054" t="s">
        <v>61</v>
      </c>
      <c r="B1054" s="1">
        <v>45352</v>
      </c>
      <c r="C1054">
        <v>870894</v>
      </c>
      <c r="D1054" t="s">
        <v>176</v>
      </c>
      <c r="E1054">
        <v>11147671</v>
      </c>
      <c r="F1054">
        <v>2045590</v>
      </c>
      <c r="G1054">
        <v>128497</v>
      </c>
      <c r="H1054">
        <f>_xlfn.XLOOKUP(FACT_IMPORTS[[#This Row],[hts_6]],DIM_PRODUCTS[hts_6],DIM_PRODUCTS[hts_4],,,)</f>
        <v>8708</v>
      </c>
      <c r="I1054" t="str" cm="1">
        <f t="array" ref="I1054">_xlfn.XLOOKUP(FACT_IMPORTS[[#This Row],[country_name]],DIM_COUNTRY[[#All],[Column2]],DIM_COUNTRY[[#All],[Column3]],,,)</f>
        <v>USMCA</v>
      </c>
    </row>
    <row r="1055" spans="1:9" x14ac:dyDescent="0.4">
      <c r="A1055" t="s">
        <v>61</v>
      </c>
      <c r="B1055" s="1">
        <v>45352</v>
      </c>
      <c r="C1055">
        <v>870895</v>
      </c>
      <c r="D1055" t="s">
        <v>176</v>
      </c>
      <c r="E1055">
        <v>1443299</v>
      </c>
      <c r="F1055">
        <v>953498</v>
      </c>
      <c r="G1055">
        <v>14077</v>
      </c>
      <c r="H1055">
        <f>_xlfn.XLOOKUP(FACT_IMPORTS[[#This Row],[hts_6]],DIM_PRODUCTS[hts_6],DIM_PRODUCTS[hts_4],,,)</f>
        <v>8708</v>
      </c>
      <c r="I1055" t="str" cm="1">
        <f t="array" ref="I1055">_xlfn.XLOOKUP(FACT_IMPORTS[[#This Row],[country_name]],DIM_COUNTRY[[#All],[Column2]],DIM_COUNTRY[[#All],[Column3]],,,)</f>
        <v>USMCA</v>
      </c>
    </row>
    <row r="1056" spans="1:9" x14ac:dyDescent="0.4">
      <c r="A1056" t="s">
        <v>61</v>
      </c>
      <c r="B1056" s="1">
        <v>45352</v>
      </c>
      <c r="C1056">
        <v>870899</v>
      </c>
      <c r="D1056" t="s">
        <v>176</v>
      </c>
      <c r="E1056">
        <v>183943707</v>
      </c>
      <c r="F1056">
        <v>16619843</v>
      </c>
      <c r="G1056">
        <v>2171409</v>
      </c>
      <c r="H1056">
        <f>_xlfn.XLOOKUP(FACT_IMPORTS[[#This Row],[hts_6]],DIM_PRODUCTS[hts_6],DIM_PRODUCTS[hts_4],,,)</f>
        <v>8708</v>
      </c>
      <c r="I1056" t="str" cm="1">
        <f t="array" ref="I1056">_xlfn.XLOOKUP(FACT_IMPORTS[[#This Row],[country_name]],DIM_COUNTRY[[#All],[Column2]],DIM_COUNTRY[[#All],[Column3]],,,)</f>
        <v>USMCA</v>
      </c>
    </row>
    <row r="1057" spans="1:9" x14ac:dyDescent="0.4">
      <c r="A1057" t="s">
        <v>61</v>
      </c>
      <c r="B1057" s="1">
        <v>45352</v>
      </c>
      <c r="C1057">
        <v>940120</v>
      </c>
      <c r="D1057" t="s">
        <v>176</v>
      </c>
      <c r="E1057">
        <v>3407535</v>
      </c>
      <c r="F1057">
        <v>5504</v>
      </c>
      <c r="G1057">
        <v>12468</v>
      </c>
      <c r="H1057">
        <f>_xlfn.XLOOKUP(FACT_IMPORTS[[#This Row],[hts_6]],DIM_PRODUCTS[hts_6],DIM_PRODUCTS[hts_4],,,)</f>
        <v>9401</v>
      </c>
      <c r="I1057" t="str" cm="1">
        <f t="array" ref="I1057">_xlfn.XLOOKUP(FACT_IMPORTS[[#This Row],[country_name]],DIM_COUNTRY[[#All],[Column2]],DIM_COUNTRY[[#All],[Column3]],,,)</f>
        <v>USMCA</v>
      </c>
    </row>
    <row r="1058" spans="1:9" x14ac:dyDescent="0.4">
      <c r="A1058" t="s">
        <v>61</v>
      </c>
      <c r="B1058" s="1">
        <v>45383</v>
      </c>
      <c r="C1058">
        <v>392630</v>
      </c>
      <c r="D1058" t="s">
        <v>176</v>
      </c>
      <c r="E1058">
        <v>3835083</v>
      </c>
      <c r="F1058">
        <v>518944</v>
      </c>
      <c r="G1058">
        <v>213681</v>
      </c>
      <c r="H1058">
        <f>_xlfn.XLOOKUP(FACT_IMPORTS[[#This Row],[hts_6]],DIM_PRODUCTS[hts_6],DIM_PRODUCTS[hts_4],,,)</f>
        <v>3926</v>
      </c>
      <c r="I1058" t="str" cm="1">
        <f t="array" ref="I1058">_xlfn.XLOOKUP(FACT_IMPORTS[[#This Row],[country_name]],DIM_COUNTRY[[#All],[Column2]],DIM_COUNTRY[[#All],[Column3]],,,)</f>
        <v>USMCA</v>
      </c>
    </row>
    <row r="1059" spans="1:9" x14ac:dyDescent="0.4">
      <c r="A1059" t="s">
        <v>61</v>
      </c>
      <c r="B1059" s="1">
        <v>45383</v>
      </c>
      <c r="C1059">
        <v>401110</v>
      </c>
      <c r="D1059" t="s">
        <v>176</v>
      </c>
      <c r="E1059">
        <v>51027265</v>
      </c>
      <c r="F1059">
        <v>682694</v>
      </c>
      <c r="G1059">
        <v>384148</v>
      </c>
      <c r="H1059">
        <f>_xlfn.XLOOKUP(FACT_IMPORTS[[#This Row],[hts_6]],DIM_PRODUCTS[hts_6],DIM_PRODUCTS[hts_4],,,)</f>
        <v>4011</v>
      </c>
      <c r="I1059" t="str" cm="1">
        <f t="array" ref="I1059">_xlfn.XLOOKUP(FACT_IMPORTS[[#This Row],[country_name]],DIM_COUNTRY[[#All],[Column2]],DIM_COUNTRY[[#All],[Column3]],,,)</f>
        <v>USMCA</v>
      </c>
    </row>
    <row r="1060" spans="1:9" x14ac:dyDescent="0.4">
      <c r="A1060" t="s">
        <v>61</v>
      </c>
      <c r="B1060" s="1">
        <v>45383</v>
      </c>
      <c r="C1060">
        <v>401120</v>
      </c>
      <c r="D1060" t="s">
        <v>176</v>
      </c>
      <c r="E1060">
        <v>52422730</v>
      </c>
      <c r="F1060">
        <v>333551</v>
      </c>
      <c r="G1060">
        <v>393641</v>
      </c>
      <c r="H1060">
        <f>_xlfn.XLOOKUP(FACT_IMPORTS[[#This Row],[hts_6]],DIM_PRODUCTS[hts_6],DIM_PRODUCTS[hts_4],,,)</f>
        <v>4011</v>
      </c>
      <c r="I1060" t="str" cm="1">
        <f t="array" ref="I1060">_xlfn.XLOOKUP(FACT_IMPORTS[[#This Row],[country_name]],DIM_COUNTRY[[#All],[Column2]],DIM_COUNTRY[[#All],[Column3]],,,)</f>
        <v>USMCA</v>
      </c>
    </row>
    <row r="1061" spans="1:9" x14ac:dyDescent="0.4">
      <c r="A1061" t="s">
        <v>61</v>
      </c>
      <c r="B1061" s="1">
        <v>45383</v>
      </c>
      <c r="C1061">
        <v>401140</v>
      </c>
      <c r="D1061" t="s">
        <v>176</v>
      </c>
      <c r="E1061">
        <v>0</v>
      </c>
      <c r="F1061">
        <v>0</v>
      </c>
      <c r="G1061">
        <v>0</v>
      </c>
      <c r="H1061">
        <f>_xlfn.XLOOKUP(FACT_IMPORTS[[#This Row],[hts_6]],DIM_PRODUCTS[hts_6],DIM_PRODUCTS[hts_4],,,)</f>
        <v>4011</v>
      </c>
      <c r="I1061" t="str" cm="1">
        <f t="array" ref="I1061">_xlfn.XLOOKUP(FACT_IMPORTS[[#This Row],[country_name]],DIM_COUNTRY[[#All],[Column2]],DIM_COUNTRY[[#All],[Column3]],,,)</f>
        <v>USMCA</v>
      </c>
    </row>
    <row r="1062" spans="1:9" x14ac:dyDescent="0.4">
      <c r="A1062" t="s">
        <v>61</v>
      </c>
      <c r="B1062" s="1">
        <v>45383</v>
      </c>
      <c r="C1062">
        <v>401190</v>
      </c>
      <c r="D1062" t="s">
        <v>176</v>
      </c>
      <c r="E1062">
        <v>734099</v>
      </c>
      <c r="F1062">
        <v>961</v>
      </c>
      <c r="G1062">
        <v>599</v>
      </c>
      <c r="H1062">
        <f>_xlfn.XLOOKUP(FACT_IMPORTS[[#This Row],[hts_6]],DIM_PRODUCTS[hts_6],DIM_PRODUCTS[hts_4],,,)</f>
        <v>4011</v>
      </c>
      <c r="I1062" t="str" cm="1">
        <f t="array" ref="I1062">_xlfn.XLOOKUP(FACT_IMPORTS[[#This Row],[country_name]],DIM_COUNTRY[[#All],[Column2]],DIM_COUNTRY[[#All],[Column3]],,,)</f>
        <v>USMCA</v>
      </c>
    </row>
    <row r="1063" spans="1:9" x14ac:dyDescent="0.4">
      <c r="A1063" t="s">
        <v>61</v>
      </c>
      <c r="B1063" s="1">
        <v>45383</v>
      </c>
      <c r="C1063">
        <v>700711</v>
      </c>
      <c r="D1063" t="s">
        <v>176</v>
      </c>
      <c r="E1063">
        <v>314964</v>
      </c>
      <c r="F1063">
        <v>1007</v>
      </c>
      <c r="G1063">
        <v>4610</v>
      </c>
      <c r="H1063">
        <f>_xlfn.XLOOKUP(FACT_IMPORTS[[#This Row],[hts_6]],DIM_PRODUCTS[hts_6],DIM_PRODUCTS[hts_4],,,)</f>
        <v>7007</v>
      </c>
      <c r="I1063" t="str" cm="1">
        <f t="array" ref="I1063">_xlfn.XLOOKUP(FACT_IMPORTS[[#This Row],[country_name]],DIM_COUNTRY[[#All],[Column2]],DIM_COUNTRY[[#All],[Column3]],,,)</f>
        <v>USMCA</v>
      </c>
    </row>
    <row r="1064" spans="1:9" x14ac:dyDescent="0.4">
      <c r="A1064" t="s">
        <v>61</v>
      </c>
      <c r="B1064" s="1">
        <v>45383</v>
      </c>
      <c r="C1064">
        <v>700721</v>
      </c>
      <c r="D1064" t="s">
        <v>176</v>
      </c>
      <c r="E1064">
        <v>90861</v>
      </c>
      <c r="F1064">
        <v>87</v>
      </c>
      <c r="G1064">
        <v>1582</v>
      </c>
      <c r="H1064">
        <f>_xlfn.XLOOKUP(FACT_IMPORTS[[#This Row],[hts_6]],DIM_PRODUCTS[hts_6],DIM_PRODUCTS[hts_4],,,)</f>
        <v>7007</v>
      </c>
      <c r="I1064" t="str" cm="1">
        <f t="array" ref="I1064">_xlfn.XLOOKUP(FACT_IMPORTS[[#This Row],[country_name]],DIM_COUNTRY[[#All],[Column2]],DIM_COUNTRY[[#All],[Column3]],,,)</f>
        <v>USMCA</v>
      </c>
    </row>
    <row r="1065" spans="1:9" x14ac:dyDescent="0.4">
      <c r="A1065" t="s">
        <v>61</v>
      </c>
      <c r="B1065" s="1">
        <v>45383</v>
      </c>
      <c r="C1065">
        <v>700910</v>
      </c>
      <c r="D1065" t="s">
        <v>176</v>
      </c>
      <c r="E1065">
        <v>230775</v>
      </c>
      <c r="F1065">
        <v>3699</v>
      </c>
      <c r="G1065">
        <v>3701</v>
      </c>
      <c r="H1065">
        <f>_xlfn.XLOOKUP(FACT_IMPORTS[[#This Row],[hts_6]],DIM_PRODUCTS[hts_6],DIM_PRODUCTS[hts_4],,,)</f>
        <v>7009</v>
      </c>
      <c r="I1065" t="str" cm="1">
        <f t="array" ref="I1065">_xlfn.XLOOKUP(FACT_IMPORTS[[#This Row],[country_name]],DIM_COUNTRY[[#All],[Column2]],DIM_COUNTRY[[#All],[Column3]],,,)</f>
        <v>USMCA</v>
      </c>
    </row>
    <row r="1066" spans="1:9" x14ac:dyDescent="0.4">
      <c r="A1066" t="s">
        <v>61</v>
      </c>
      <c r="B1066" s="1">
        <v>45383</v>
      </c>
      <c r="C1066">
        <v>732010</v>
      </c>
      <c r="D1066" t="s">
        <v>176</v>
      </c>
      <c r="E1066">
        <v>4240969</v>
      </c>
      <c r="F1066">
        <v>1321185</v>
      </c>
      <c r="G1066">
        <v>26791</v>
      </c>
      <c r="H1066">
        <f>_xlfn.XLOOKUP(FACT_IMPORTS[[#This Row],[hts_6]],DIM_PRODUCTS[hts_6],DIM_PRODUCTS[hts_4],,,)</f>
        <v>7320</v>
      </c>
      <c r="I1066" t="str" cm="1">
        <f t="array" ref="I1066">_xlfn.XLOOKUP(FACT_IMPORTS[[#This Row],[country_name]],DIM_COUNTRY[[#All],[Column2]],DIM_COUNTRY[[#All],[Column3]],,,)</f>
        <v>USMCA</v>
      </c>
    </row>
    <row r="1067" spans="1:9" x14ac:dyDescent="0.4">
      <c r="A1067" t="s">
        <v>61</v>
      </c>
      <c r="B1067" s="1">
        <v>45383</v>
      </c>
      <c r="C1067">
        <v>830230</v>
      </c>
      <c r="D1067" t="s">
        <v>176</v>
      </c>
      <c r="E1067">
        <v>39524804</v>
      </c>
      <c r="F1067">
        <v>8530526</v>
      </c>
      <c r="G1067">
        <v>1512578</v>
      </c>
      <c r="H1067">
        <f>_xlfn.XLOOKUP(FACT_IMPORTS[[#This Row],[hts_6]],DIM_PRODUCTS[hts_6],DIM_PRODUCTS[hts_4],,,)</f>
        <v>8302</v>
      </c>
      <c r="I1067" t="str" cm="1">
        <f t="array" ref="I1067">_xlfn.XLOOKUP(FACT_IMPORTS[[#This Row],[country_name]],DIM_COUNTRY[[#All],[Column2]],DIM_COUNTRY[[#All],[Column3]],,,)</f>
        <v>USMCA</v>
      </c>
    </row>
    <row r="1068" spans="1:9" x14ac:dyDescent="0.4">
      <c r="A1068" t="s">
        <v>61</v>
      </c>
      <c r="B1068" s="1">
        <v>45383</v>
      </c>
      <c r="C1068">
        <v>840731</v>
      </c>
      <c r="D1068" t="s">
        <v>176</v>
      </c>
      <c r="E1068">
        <v>0</v>
      </c>
      <c r="F1068">
        <v>0</v>
      </c>
      <c r="G1068">
        <v>0</v>
      </c>
      <c r="H1068">
        <f>_xlfn.XLOOKUP(FACT_IMPORTS[[#This Row],[hts_6]],DIM_PRODUCTS[hts_6],DIM_PRODUCTS[hts_4],,,)</f>
        <v>8407</v>
      </c>
      <c r="I1068" t="str" cm="1">
        <f t="array" ref="I1068">_xlfn.XLOOKUP(FACT_IMPORTS[[#This Row],[country_name]],DIM_COUNTRY[[#All],[Column2]],DIM_COUNTRY[[#All],[Column3]],,,)</f>
        <v>USMCA</v>
      </c>
    </row>
    <row r="1069" spans="1:9" x14ac:dyDescent="0.4">
      <c r="A1069" t="s">
        <v>61</v>
      </c>
      <c r="B1069" s="1">
        <v>45383</v>
      </c>
      <c r="C1069">
        <v>840732</v>
      </c>
      <c r="D1069" t="s">
        <v>176</v>
      </c>
      <c r="E1069">
        <v>6000</v>
      </c>
      <c r="F1069">
        <v>1</v>
      </c>
      <c r="G1069">
        <v>1036</v>
      </c>
      <c r="H1069">
        <f>_xlfn.XLOOKUP(FACT_IMPORTS[[#This Row],[hts_6]],DIM_PRODUCTS[hts_6],DIM_PRODUCTS[hts_4],,,)</f>
        <v>8407</v>
      </c>
      <c r="I1069" t="str" cm="1">
        <f t="array" ref="I1069">_xlfn.XLOOKUP(FACT_IMPORTS[[#This Row],[country_name]],DIM_COUNTRY[[#All],[Column2]],DIM_COUNTRY[[#All],[Column3]],,,)</f>
        <v>USMCA</v>
      </c>
    </row>
    <row r="1070" spans="1:9" x14ac:dyDescent="0.4">
      <c r="A1070" t="s">
        <v>61</v>
      </c>
      <c r="B1070" s="1">
        <v>45383</v>
      </c>
      <c r="C1070">
        <v>840733</v>
      </c>
      <c r="D1070" t="s">
        <v>176</v>
      </c>
      <c r="E1070">
        <v>988150</v>
      </c>
      <c r="F1070">
        <v>1613</v>
      </c>
      <c r="G1070">
        <v>4678</v>
      </c>
      <c r="H1070">
        <f>_xlfn.XLOOKUP(FACT_IMPORTS[[#This Row],[hts_6]],DIM_PRODUCTS[hts_6],DIM_PRODUCTS[hts_4],,,)</f>
        <v>8407</v>
      </c>
      <c r="I1070" t="str" cm="1">
        <f t="array" ref="I1070">_xlfn.XLOOKUP(FACT_IMPORTS[[#This Row],[country_name]],DIM_COUNTRY[[#All],[Column2]],DIM_COUNTRY[[#All],[Column3]],,,)</f>
        <v>USMCA</v>
      </c>
    </row>
    <row r="1071" spans="1:9" x14ac:dyDescent="0.4">
      <c r="A1071" t="s">
        <v>61</v>
      </c>
      <c r="B1071" s="1">
        <v>45383</v>
      </c>
      <c r="C1071">
        <v>840734</v>
      </c>
      <c r="D1071" t="s">
        <v>176</v>
      </c>
      <c r="E1071">
        <v>211481178</v>
      </c>
      <c r="F1071">
        <v>61090</v>
      </c>
      <c r="G1071">
        <v>236674</v>
      </c>
      <c r="H1071">
        <f>_xlfn.XLOOKUP(FACT_IMPORTS[[#This Row],[hts_6]],DIM_PRODUCTS[hts_6],DIM_PRODUCTS[hts_4],,,)</f>
        <v>8407</v>
      </c>
      <c r="I1071" t="str" cm="1">
        <f t="array" ref="I1071">_xlfn.XLOOKUP(FACT_IMPORTS[[#This Row],[country_name]],DIM_COUNTRY[[#All],[Column2]],DIM_COUNTRY[[#All],[Column3]],,,)</f>
        <v>USMCA</v>
      </c>
    </row>
    <row r="1072" spans="1:9" x14ac:dyDescent="0.4">
      <c r="A1072" t="s">
        <v>61</v>
      </c>
      <c r="B1072" s="1">
        <v>45383</v>
      </c>
      <c r="C1072">
        <v>840790</v>
      </c>
      <c r="D1072" t="s">
        <v>176</v>
      </c>
      <c r="E1072">
        <v>6327994</v>
      </c>
      <c r="F1072">
        <v>2530</v>
      </c>
      <c r="G1072">
        <v>1600</v>
      </c>
      <c r="H1072">
        <f>_xlfn.XLOOKUP(FACT_IMPORTS[[#This Row],[hts_6]],DIM_PRODUCTS[hts_6],DIM_PRODUCTS[hts_4],,,)</f>
        <v>8407</v>
      </c>
      <c r="I1072" t="str" cm="1">
        <f t="array" ref="I1072">_xlfn.XLOOKUP(FACT_IMPORTS[[#This Row],[country_name]],DIM_COUNTRY[[#All],[Column2]],DIM_COUNTRY[[#All],[Column3]],,,)</f>
        <v>USMCA</v>
      </c>
    </row>
    <row r="1073" spans="1:9" x14ac:dyDescent="0.4">
      <c r="A1073" t="s">
        <v>61</v>
      </c>
      <c r="B1073" s="1">
        <v>45383</v>
      </c>
      <c r="C1073">
        <v>840820</v>
      </c>
      <c r="D1073" t="s">
        <v>176</v>
      </c>
      <c r="E1073">
        <v>590362</v>
      </c>
      <c r="F1073">
        <v>94</v>
      </c>
      <c r="G1073">
        <v>8038</v>
      </c>
      <c r="H1073">
        <f>_xlfn.XLOOKUP(FACT_IMPORTS[[#This Row],[hts_6]],DIM_PRODUCTS[hts_6],DIM_PRODUCTS[hts_4],,,)</f>
        <v>8408</v>
      </c>
      <c r="I1073" t="str" cm="1">
        <f t="array" ref="I1073">_xlfn.XLOOKUP(FACT_IMPORTS[[#This Row],[country_name]],DIM_COUNTRY[[#All],[Column2]],DIM_COUNTRY[[#All],[Column3]],,,)</f>
        <v>USMCA</v>
      </c>
    </row>
    <row r="1074" spans="1:9" x14ac:dyDescent="0.4">
      <c r="A1074" t="s">
        <v>61</v>
      </c>
      <c r="B1074" s="1">
        <v>45383</v>
      </c>
      <c r="C1074">
        <v>840890</v>
      </c>
      <c r="D1074" t="s">
        <v>176</v>
      </c>
      <c r="E1074">
        <v>401372</v>
      </c>
      <c r="F1074">
        <v>25</v>
      </c>
      <c r="G1074">
        <v>1556</v>
      </c>
      <c r="H1074">
        <f>_xlfn.XLOOKUP(FACT_IMPORTS[[#This Row],[hts_6]],DIM_PRODUCTS[hts_6],DIM_PRODUCTS[hts_4],,,)</f>
        <v>8408</v>
      </c>
      <c r="I1074" t="str" cm="1">
        <f t="array" ref="I1074">_xlfn.XLOOKUP(FACT_IMPORTS[[#This Row],[country_name]],DIM_COUNTRY[[#All],[Column2]],DIM_COUNTRY[[#All],[Column3]],,,)</f>
        <v>USMCA</v>
      </c>
    </row>
    <row r="1075" spans="1:9" x14ac:dyDescent="0.4">
      <c r="A1075" t="s">
        <v>61</v>
      </c>
      <c r="B1075" s="1">
        <v>45383</v>
      </c>
      <c r="C1075">
        <v>840991</v>
      </c>
      <c r="D1075" t="s">
        <v>176</v>
      </c>
      <c r="E1075">
        <v>37766977</v>
      </c>
      <c r="F1075">
        <v>2731799</v>
      </c>
      <c r="G1075">
        <v>147642</v>
      </c>
      <c r="H1075">
        <f>_xlfn.XLOOKUP(FACT_IMPORTS[[#This Row],[hts_6]],DIM_PRODUCTS[hts_6],DIM_PRODUCTS[hts_4],,,)</f>
        <v>8409</v>
      </c>
      <c r="I1075" t="str" cm="1">
        <f t="array" ref="I1075">_xlfn.XLOOKUP(FACT_IMPORTS[[#This Row],[country_name]],DIM_COUNTRY[[#All],[Column2]],DIM_COUNTRY[[#All],[Column3]],,,)</f>
        <v>USMCA</v>
      </c>
    </row>
    <row r="1076" spans="1:9" x14ac:dyDescent="0.4">
      <c r="A1076" t="s">
        <v>61</v>
      </c>
      <c r="B1076" s="1">
        <v>45383</v>
      </c>
      <c r="C1076">
        <v>840999</v>
      </c>
      <c r="D1076" t="s">
        <v>176</v>
      </c>
      <c r="E1076">
        <v>13763139</v>
      </c>
      <c r="F1076">
        <v>1253323</v>
      </c>
      <c r="G1076">
        <v>116836</v>
      </c>
      <c r="H1076">
        <f>_xlfn.XLOOKUP(FACT_IMPORTS[[#This Row],[hts_6]],DIM_PRODUCTS[hts_6],DIM_PRODUCTS[hts_4],,,)</f>
        <v>8409</v>
      </c>
      <c r="I1076" t="str" cm="1">
        <f t="array" ref="I1076">_xlfn.XLOOKUP(FACT_IMPORTS[[#This Row],[country_name]],DIM_COUNTRY[[#All],[Column2]],DIM_COUNTRY[[#All],[Column3]],,,)</f>
        <v>USMCA</v>
      </c>
    </row>
    <row r="1077" spans="1:9" x14ac:dyDescent="0.4">
      <c r="A1077" t="s">
        <v>61</v>
      </c>
      <c r="B1077" s="1">
        <v>45383</v>
      </c>
      <c r="C1077">
        <v>841330</v>
      </c>
      <c r="D1077" t="s">
        <v>176</v>
      </c>
      <c r="E1077">
        <v>10284459</v>
      </c>
      <c r="F1077">
        <v>202232</v>
      </c>
      <c r="G1077">
        <v>34893</v>
      </c>
      <c r="H1077">
        <f>_xlfn.XLOOKUP(FACT_IMPORTS[[#This Row],[hts_6]],DIM_PRODUCTS[hts_6],DIM_PRODUCTS[hts_4],,,)</f>
        <v>8413</v>
      </c>
      <c r="I1077" t="str" cm="1">
        <f t="array" ref="I1077">_xlfn.XLOOKUP(FACT_IMPORTS[[#This Row],[country_name]],DIM_COUNTRY[[#All],[Column2]],DIM_COUNTRY[[#All],[Column3]],,,)</f>
        <v>USMCA</v>
      </c>
    </row>
    <row r="1078" spans="1:9" x14ac:dyDescent="0.4">
      <c r="A1078" t="s">
        <v>61</v>
      </c>
      <c r="B1078" s="1">
        <v>45383</v>
      </c>
      <c r="C1078">
        <v>841520</v>
      </c>
      <c r="D1078" t="s">
        <v>176</v>
      </c>
      <c r="E1078">
        <v>7351671</v>
      </c>
      <c r="F1078">
        <v>44071</v>
      </c>
      <c r="G1078">
        <v>99536</v>
      </c>
      <c r="H1078">
        <f>_xlfn.XLOOKUP(FACT_IMPORTS[[#This Row],[hts_6]],DIM_PRODUCTS[hts_6],DIM_PRODUCTS[hts_4],,,)</f>
        <v>8415</v>
      </c>
      <c r="I1078" t="str" cm="1">
        <f t="array" ref="I1078">_xlfn.XLOOKUP(FACT_IMPORTS[[#This Row],[country_name]],DIM_COUNTRY[[#All],[Column2]],DIM_COUNTRY[[#All],[Column3]],,,)</f>
        <v>USMCA</v>
      </c>
    </row>
    <row r="1079" spans="1:9" x14ac:dyDescent="0.4">
      <c r="A1079" t="s">
        <v>61</v>
      </c>
      <c r="B1079" s="1">
        <v>45383</v>
      </c>
      <c r="C1079">
        <v>842132</v>
      </c>
      <c r="D1079" t="s">
        <v>176</v>
      </c>
      <c r="E1079">
        <v>11959329</v>
      </c>
      <c r="F1079">
        <v>79460</v>
      </c>
      <c r="G1079">
        <v>42089</v>
      </c>
      <c r="H1079">
        <f>_xlfn.XLOOKUP(FACT_IMPORTS[[#This Row],[hts_6]],DIM_PRODUCTS[hts_6],DIM_PRODUCTS[hts_4],,,)</f>
        <v>8421</v>
      </c>
      <c r="I1079" t="str" cm="1">
        <f t="array" ref="I1079">_xlfn.XLOOKUP(FACT_IMPORTS[[#This Row],[country_name]],DIM_COUNTRY[[#All],[Column2]],DIM_COUNTRY[[#All],[Column3]],,,)</f>
        <v>USMCA</v>
      </c>
    </row>
    <row r="1080" spans="1:9" x14ac:dyDescent="0.4">
      <c r="A1080" t="s">
        <v>61</v>
      </c>
      <c r="B1080" s="1">
        <v>45383</v>
      </c>
      <c r="C1080">
        <v>848210</v>
      </c>
      <c r="D1080" t="s">
        <v>176</v>
      </c>
      <c r="E1080">
        <v>4150394</v>
      </c>
      <c r="F1080">
        <v>1132605</v>
      </c>
      <c r="G1080">
        <v>58585</v>
      </c>
      <c r="H1080">
        <f>_xlfn.XLOOKUP(FACT_IMPORTS[[#This Row],[hts_6]],DIM_PRODUCTS[hts_6],DIM_PRODUCTS[hts_4],,,)</f>
        <v>8482</v>
      </c>
      <c r="I1080" t="str" cm="1">
        <f t="array" ref="I1080">_xlfn.XLOOKUP(FACT_IMPORTS[[#This Row],[country_name]],DIM_COUNTRY[[#All],[Column2]],DIM_COUNTRY[[#All],[Column3]],,,)</f>
        <v>USMCA</v>
      </c>
    </row>
    <row r="1081" spans="1:9" x14ac:dyDescent="0.4">
      <c r="A1081" t="s">
        <v>61</v>
      </c>
      <c r="B1081" s="1">
        <v>45383</v>
      </c>
      <c r="C1081">
        <v>848220</v>
      </c>
      <c r="D1081" t="s">
        <v>176</v>
      </c>
      <c r="E1081">
        <v>192847</v>
      </c>
      <c r="F1081">
        <v>7544</v>
      </c>
      <c r="G1081">
        <v>5644</v>
      </c>
      <c r="H1081">
        <f>_xlfn.XLOOKUP(FACT_IMPORTS[[#This Row],[hts_6]],DIM_PRODUCTS[hts_6],DIM_PRODUCTS[hts_4],,,)</f>
        <v>8482</v>
      </c>
      <c r="I1081" t="str" cm="1">
        <f t="array" ref="I1081">_xlfn.XLOOKUP(FACT_IMPORTS[[#This Row],[country_name]],DIM_COUNTRY[[#All],[Column2]],DIM_COUNTRY[[#All],[Column3]],,,)</f>
        <v>USMCA</v>
      </c>
    </row>
    <row r="1082" spans="1:9" x14ac:dyDescent="0.4">
      <c r="A1082" t="s">
        <v>61</v>
      </c>
      <c r="B1082" s="1">
        <v>45383</v>
      </c>
      <c r="C1082">
        <v>848310</v>
      </c>
      <c r="D1082" t="s">
        <v>176</v>
      </c>
      <c r="E1082">
        <v>16526463</v>
      </c>
      <c r="F1082">
        <v>574402</v>
      </c>
      <c r="G1082">
        <v>344654</v>
      </c>
      <c r="H1082">
        <f>_xlfn.XLOOKUP(FACT_IMPORTS[[#This Row],[hts_6]],DIM_PRODUCTS[hts_6],DIM_PRODUCTS[hts_4],,,)</f>
        <v>8483</v>
      </c>
      <c r="I1082" t="str" cm="1">
        <f t="array" ref="I1082">_xlfn.XLOOKUP(FACT_IMPORTS[[#This Row],[country_name]],DIM_COUNTRY[[#All],[Column2]],DIM_COUNTRY[[#All],[Column3]],,,)</f>
        <v>USMCA</v>
      </c>
    </row>
    <row r="1083" spans="1:9" x14ac:dyDescent="0.4">
      <c r="A1083" t="s">
        <v>61</v>
      </c>
      <c r="B1083" s="1">
        <v>45383</v>
      </c>
      <c r="C1083">
        <v>850131</v>
      </c>
      <c r="D1083" t="s">
        <v>176</v>
      </c>
      <c r="E1083">
        <v>3874896</v>
      </c>
      <c r="F1083">
        <v>124150</v>
      </c>
      <c r="G1083">
        <v>27285</v>
      </c>
      <c r="H1083">
        <f>_xlfn.XLOOKUP(FACT_IMPORTS[[#This Row],[hts_6]],DIM_PRODUCTS[hts_6],DIM_PRODUCTS[hts_4],,,)</f>
        <v>8501</v>
      </c>
      <c r="I1083" t="str" cm="1">
        <f t="array" ref="I1083">_xlfn.XLOOKUP(FACT_IMPORTS[[#This Row],[country_name]],DIM_COUNTRY[[#All],[Column2]],DIM_COUNTRY[[#All],[Column3]],,,)</f>
        <v>USMCA</v>
      </c>
    </row>
    <row r="1084" spans="1:9" x14ac:dyDescent="0.4">
      <c r="A1084" t="s">
        <v>61</v>
      </c>
      <c r="B1084" s="1">
        <v>45383</v>
      </c>
      <c r="C1084">
        <v>850132</v>
      </c>
      <c r="D1084" t="s">
        <v>176</v>
      </c>
      <c r="E1084">
        <v>1033508</v>
      </c>
      <c r="F1084">
        <v>90</v>
      </c>
      <c r="G1084">
        <v>5962</v>
      </c>
      <c r="H1084">
        <f>_xlfn.XLOOKUP(FACT_IMPORTS[[#This Row],[hts_6]],DIM_PRODUCTS[hts_6],DIM_PRODUCTS[hts_4],,,)</f>
        <v>8501</v>
      </c>
      <c r="I1084" t="str" cm="1">
        <f t="array" ref="I1084">_xlfn.XLOOKUP(FACT_IMPORTS[[#This Row],[country_name]],DIM_COUNTRY[[#All],[Column2]],DIM_COUNTRY[[#All],[Column3]],,,)</f>
        <v>USMCA</v>
      </c>
    </row>
    <row r="1085" spans="1:9" x14ac:dyDescent="0.4">
      <c r="A1085" t="s">
        <v>61</v>
      </c>
      <c r="B1085" s="1">
        <v>45383</v>
      </c>
      <c r="C1085">
        <v>850133</v>
      </c>
      <c r="D1085" t="s">
        <v>176</v>
      </c>
      <c r="E1085">
        <v>0</v>
      </c>
      <c r="F1085">
        <v>0</v>
      </c>
      <c r="G1085">
        <v>0</v>
      </c>
      <c r="H1085">
        <f>_xlfn.XLOOKUP(FACT_IMPORTS[[#This Row],[hts_6]],DIM_PRODUCTS[hts_6],DIM_PRODUCTS[hts_4],,,)</f>
        <v>8501</v>
      </c>
      <c r="I1085" t="str" cm="1">
        <f t="array" ref="I1085">_xlfn.XLOOKUP(FACT_IMPORTS[[#This Row],[country_name]],DIM_COUNTRY[[#All],[Column2]],DIM_COUNTRY[[#All],[Column3]],,,)</f>
        <v>USMCA</v>
      </c>
    </row>
    <row r="1086" spans="1:9" x14ac:dyDescent="0.4">
      <c r="A1086" t="s">
        <v>61</v>
      </c>
      <c r="B1086" s="1">
        <v>45383</v>
      </c>
      <c r="C1086">
        <v>850134</v>
      </c>
      <c r="D1086" t="s">
        <v>176</v>
      </c>
      <c r="E1086">
        <v>5908</v>
      </c>
      <c r="F1086">
        <v>1</v>
      </c>
      <c r="G1086">
        <v>300</v>
      </c>
      <c r="H1086">
        <f>_xlfn.XLOOKUP(FACT_IMPORTS[[#This Row],[hts_6]],DIM_PRODUCTS[hts_6],DIM_PRODUCTS[hts_4],,,)</f>
        <v>8501</v>
      </c>
      <c r="I1086" t="str" cm="1">
        <f t="array" ref="I1086">_xlfn.XLOOKUP(FACT_IMPORTS[[#This Row],[country_name]],DIM_COUNTRY[[#All],[Column2]],DIM_COUNTRY[[#All],[Column3]],,,)</f>
        <v>USMCA</v>
      </c>
    </row>
    <row r="1087" spans="1:9" x14ac:dyDescent="0.4">
      <c r="A1087" t="s">
        <v>61</v>
      </c>
      <c r="B1087" s="1">
        <v>45383</v>
      </c>
      <c r="C1087">
        <v>850152</v>
      </c>
      <c r="D1087" t="s">
        <v>176</v>
      </c>
      <c r="E1087">
        <v>1340336</v>
      </c>
      <c r="F1087">
        <v>292</v>
      </c>
      <c r="G1087">
        <v>18039</v>
      </c>
      <c r="H1087">
        <f>_xlfn.XLOOKUP(FACT_IMPORTS[[#This Row],[hts_6]],DIM_PRODUCTS[hts_6],DIM_PRODUCTS[hts_4],,,)</f>
        <v>8501</v>
      </c>
      <c r="I1087" t="str" cm="1">
        <f t="array" ref="I1087">_xlfn.XLOOKUP(FACT_IMPORTS[[#This Row],[country_name]],DIM_COUNTRY[[#All],[Column2]],DIM_COUNTRY[[#All],[Column3]],,,)</f>
        <v>USMCA</v>
      </c>
    </row>
    <row r="1088" spans="1:9" x14ac:dyDescent="0.4">
      <c r="A1088" t="s">
        <v>61</v>
      </c>
      <c r="B1088" s="1">
        <v>45383</v>
      </c>
      <c r="C1088">
        <v>850153</v>
      </c>
      <c r="D1088" t="s">
        <v>176</v>
      </c>
      <c r="E1088">
        <v>494404</v>
      </c>
      <c r="F1088">
        <v>39</v>
      </c>
      <c r="G1088">
        <v>3310</v>
      </c>
      <c r="H1088">
        <f>_xlfn.XLOOKUP(FACT_IMPORTS[[#This Row],[hts_6]],DIM_PRODUCTS[hts_6],DIM_PRODUCTS[hts_4],,,)</f>
        <v>8501</v>
      </c>
      <c r="I1088" t="str" cm="1">
        <f t="array" ref="I1088">_xlfn.XLOOKUP(FACT_IMPORTS[[#This Row],[country_name]],DIM_COUNTRY[[#All],[Column2]],DIM_COUNTRY[[#All],[Column3]],,,)</f>
        <v>USMCA</v>
      </c>
    </row>
    <row r="1089" spans="1:9" x14ac:dyDescent="0.4">
      <c r="A1089" t="s">
        <v>61</v>
      </c>
      <c r="B1089" s="1">
        <v>45383</v>
      </c>
      <c r="C1089">
        <v>850161</v>
      </c>
      <c r="D1089" t="s">
        <v>176</v>
      </c>
      <c r="E1089">
        <v>6036</v>
      </c>
      <c r="F1089">
        <v>3</v>
      </c>
      <c r="G1089">
        <v>60</v>
      </c>
      <c r="H1089">
        <f>_xlfn.XLOOKUP(FACT_IMPORTS[[#This Row],[hts_6]],DIM_PRODUCTS[hts_6],DIM_PRODUCTS[hts_4],,,)</f>
        <v>8501</v>
      </c>
      <c r="I1089" t="str" cm="1">
        <f t="array" ref="I1089">_xlfn.XLOOKUP(FACT_IMPORTS[[#This Row],[country_name]],DIM_COUNTRY[[#All],[Column2]],DIM_COUNTRY[[#All],[Column3]],,,)</f>
        <v>USMCA</v>
      </c>
    </row>
    <row r="1090" spans="1:9" x14ac:dyDescent="0.4">
      <c r="A1090" t="s">
        <v>61</v>
      </c>
      <c r="B1090" s="1">
        <v>45383</v>
      </c>
      <c r="C1090">
        <v>850440</v>
      </c>
      <c r="D1090" t="s">
        <v>176</v>
      </c>
      <c r="E1090">
        <v>9120602</v>
      </c>
      <c r="F1090">
        <v>5810</v>
      </c>
      <c r="G1090">
        <v>99356</v>
      </c>
      <c r="H1090">
        <f>_xlfn.XLOOKUP(FACT_IMPORTS[[#This Row],[hts_6]],DIM_PRODUCTS[hts_6],DIM_PRODUCTS[hts_4],,,)</f>
        <v>8504</v>
      </c>
      <c r="I1090" t="str" cm="1">
        <f t="array" ref="I1090">_xlfn.XLOOKUP(FACT_IMPORTS[[#This Row],[country_name]],DIM_COUNTRY[[#All],[Column2]],DIM_COUNTRY[[#All],[Column3]],,,)</f>
        <v>USMCA</v>
      </c>
    </row>
    <row r="1091" spans="1:9" x14ac:dyDescent="0.4">
      <c r="A1091" t="s">
        <v>61</v>
      </c>
      <c r="B1091" s="1">
        <v>45383</v>
      </c>
      <c r="C1091">
        <v>850710</v>
      </c>
      <c r="D1091" t="s">
        <v>176</v>
      </c>
      <c r="E1091">
        <v>1063553</v>
      </c>
      <c r="F1091">
        <v>1368</v>
      </c>
      <c r="G1091">
        <v>65835</v>
      </c>
      <c r="H1091">
        <f>_xlfn.XLOOKUP(FACT_IMPORTS[[#This Row],[hts_6]],DIM_PRODUCTS[hts_6],DIM_PRODUCTS[hts_4],,,)</f>
        <v>8507</v>
      </c>
      <c r="I1091" t="str" cm="1">
        <f t="array" ref="I1091">_xlfn.XLOOKUP(FACT_IMPORTS[[#This Row],[country_name]],DIM_COUNTRY[[#All],[Column2]],DIM_COUNTRY[[#All],[Column3]],,,)</f>
        <v>USMCA</v>
      </c>
    </row>
    <row r="1092" spans="1:9" x14ac:dyDescent="0.4">
      <c r="A1092" t="s">
        <v>61</v>
      </c>
      <c r="B1092" s="1">
        <v>45383</v>
      </c>
      <c r="C1092">
        <v>850760</v>
      </c>
      <c r="D1092" t="s">
        <v>176</v>
      </c>
      <c r="E1092">
        <v>3782772</v>
      </c>
      <c r="F1092">
        <v>3173</v>
      </c>
      <c r="G1092">
        <v>12733</v>
      </c>
      <c r="H1092">
        <f>_xlfn.XLOOKUP(FACT_IMPORTS[[#This Row],[hts_6]],DIM_PRODUCTS[hts_6],DIM_PRODUCTS[hts_4],,,)</f>
        <v>8507</v>
      </c>
      <c r="I1092" t="str" cm="1">
        <f t="array" ref="I1092">_xlfn.XLOOKUP(FACT_IMPORTS[[#This Row],[country_name]],DIM_COUNTRY[[#All],[Column2]],DIM_COUNTRY[[#All],[Column3]],,,)</f>
        <v>USMCA</v>
      </c>
    </row>
    <row r="1093" spans="1:9" x14ac:dyDescent="0.4">
      <c r="A1093" t="s">
        <v>61</v>
      </c>
      <c r="B1093" s="1">
        <v>45383</v>
      </c>
      <c r="C1093">
        <v>850790</v>
      </c>
      <c r="D1093" t="s">
        <v>176</v>
      </c>
      <c r="E1093">
        <v>31577</v>
      </c>
      <c r="F1093">
        <v>985</v>
      </c>
      <c r="G1093">
        <v>480</v>
      </c>
      <c r="H1093">
        <f>_xlfn.XLOOKUP(FACT_IMPORTS[[#This Row],[hts_6]],DIM_PRODUCTS[hts_6],DIM_PRODUCTS[hts_4],,,)</f>
        <v>8507</v>
      </c>
      <c r="I1093" t="str" cm="1">
        <f t="array" ref="I1093">_xlfn.XLOOKUP(FACT_IMPORTS[[#This Row],[country_name]],DIM_COUNTRY[[#All],[Column2]],DIM_COUNTRY[[#All],[Column3]],,,)</f>
        <v>USMCA</v>
      </c>
    </row>
    <row r="1094" spans="1:9" x14ac:dyDescent="0.4">
      <c r="A1094" t="s">
        <v>61</v>
      </c>
      <c r="B1094" s="1">
        <v>45383</v>
      </c>
      <c r="C1094">
        <v>851110</v>
      </c>
      <c r="D1094" t="s">
        <v>176</v>
      </c>
      <c r="E1094">
        <v>204458</v>
      </c>
      <c r="F1094">
        <v>344</v>
      </c>
      <c r="G1094">
        <v>123</v>
      </c>
      <c r="H1094">
        <f>_xlfn.XLOOKUP(FACT_IMPORTS[[#This Row],[hts_6]],DIM_PRODUCTS[hts_6],DIM_PRODUCTS[hts_4],,,)</f>
        <v>8511</v>
      </c>
      <c r="I1094" t="str" cm="1">
        <f t="array" ref="I1094">_xlfn.XLOOKUP(FACT_IMPORTS[[#This Row],[country_name]],DIM_COUNTRY[[#All],[Column2]],DIM_COUNTRY[[#All],[Column3]],,,)</f>
        <v>USMCA</v>
      </c>
    </row>
    <row r="1095" spans="1:9" x14ac:dyDescent="0.4">
      <c r="A1095" t="s">
        <v>61</v>
      </c>
      <c r="B1095" s="1">
        <v>45383</v>
      </c>
      <c r="C1095">
        <v>851120</v>
      </c>
      <c r="D1095" t="s">
        <v>176</v>
      </c>
      <c r="E1095">
        <v>0</v>
      </c>
      <c r="F1095">
        <v>0</v>
      </c>
      <c r="G1095">
        <v>0</v>
      </c>
      <c r="H1095">
        <f>_xlfn.XLOOKUP(FACT_IMPORTS[[#This Row],[hts_6]],DIM_PRODUCTS[hts_6],DIM_PRODUCTS[hts_4],,,)</f>
        <v>8511</v>
      </c>
      <c r="I1095" t="str" cm="1">
        <f t="array" ref="I1095">_xlfn.XLOOKUP(FACT_IMPORTS[[#This Row],[country_name]],DIM_COUNTRY[[#All],[Column2]],DIM_COUNTRY[[#All],[Column3]],,,)</f>
        <v>USMCA</v>
      </c>
    </row>
    <row r="1096" spans="1:9" x14ac:dyDescent="0.4">
      <c r="A1096" t="s">
        <v>61</v>
      </c>
      <c r="B1096" s="1">
        <v>45383</v>
      </c>
      <c r="C1096">
        <v>851130</v>
      </c>
      <c r="D1096" t="s">
        <v>176</v>
      </c>
      <c r="E1096">
        <v>7923</v>
      </c>
      <c r="F1096">
        <v>4521</v>
      </c>
      <c r="G1096">
        <v>62</v>
      </c>
      <c r="H1096">
        <f>_xlfn.XLOOKUP(FACT_IMPORTS[[#This Row],[hts_6]],DIM_PRODUCTS[hts_6],DIM_PRODUCTS[hts_4],,,)</f>
        <v>8511</v>
      </c>
      <c r="I1096" t="str" cm="1">
        <f t="array" ref="I1096">_xlfn.XLOOKUP(FACT_IMPORTS[[#This Row],[country_name]],DIM_COUNTRY[[#All],[Column2]],DIM_COUNTRY[[#All],[Column3]],,,)</f>
        <v>USMCA</v>
      </c>
    </row>
    <row r="1097" spans="1:9" x14ac:dyDescent="0.4">
      <c r="A1097" t="s">
        <v>61</v>
      </c>
      <c r="B1097" s="1">
        <v>45383</v>
      </c>
      <c r="C1097">
        <v>851140</v>
      </c>
      <c r="D1097" t="s">
        <v>176</v>
      </c>
      <c r="E1097">
        <v>406268</v>
      </c>
      <c r="F1097">
        <v>4981</v>
      </c>
      <c r="G1097">
        <v>4175</v>
      </c>
      <c r="H1097">
        <f>_xlfn.XLOOKUP(FACT_IMPORTS[[#This Row],[hts_6]],DIM_PRODUCTS[hts_6],DIM_PRODUCTS[hts_4],,,)</f>
        <v>8511</v>
      </c>
      <c r="I1097" t="str" cm="1">
        <f t="array" ref="I1097">_xlfn.XLOOKUP(FACT_IMPORTS[[#This Row],[country_name]],DIM_COUNTRY[[#All],[Column2]],DIM_COUNTRY[[#All],[Column3]],,,)</f>
        <v>USMCA</v>
      </c>
    </row>
    <row r="1098" spans="1:9" x14ac:dyDescent="0.4">
      <c r="A1098" t="s">
        <v>61</v>
      </c>
      <c r="B1098" s="1">
        <v>45383</v>
      </c>
      <c r="C1098">
        <v>851150</v>
      </c>
      <c r="D1098" t="s">
        <v>176</v>
      </c>
      <c r="E1098">
        <v>243568</v>
      </c>
      <c r="F1098">
        <v>2750</v>
      </c>
      <c r="G1098">
        <v>1409</v>
      </c>
      <c r="H1098">
        <f>_xlfn.XLOOKUP(FACT_IMPORTS[[#This Row],[hts_6]],DIM_PRODUCTS[hts_6],DIM_PRODUCTS[hts_4],,,)</f>
        <v>8511</v>
      </c>
      <c r="I1098" t="str" cm="1">
        <f t="array" ref="I1098">_xlfn.XLOOKUP(FACT_IMPORTS[[#This Row],[country_name]],DIM_COUNTRY[[#All],[Column2]],DIM_COUNTRY[[#All],[Column3]],,,)</f>
        <v>USMCA</v>
      </c>
    </row>
    <row r="1099" spans="1:9" x14ac:dyDescent="0.4">
      <c r="A1099" t="s">
        <v>61</v>
      </c>
      <c r="B1099" s="1">
        <v>45383</v>
      </c>
      <c r="C1099">
        <v>851180</v>
      </c>
      <c r="D1099" t="s">
        <v>176</v>
      </c>
      <c r="E1099">
        <v>15969</v>
      </c>
      <c r="F1099">
        <v>46</v>
      </c>
      <c r="G1099">
        <v>15</v>
      </c>
      <c r="H1099">
        <f>_xlfn.XLOOKUP(FACT_IMPORTS[[#This Row],[hts_6]],DIM_PRODUCTS[hts_6],DIM_PRODUCTS[hts_4],,,)</f>
        <v>8511</v>
      </c>
      <c r="I1099" t="str" cm="1">
        <f t="array" ref="I1099">_xlfn.XLOOKUP(FACT_IMPORTS[[#This Row],[country_name]],DIM_COUNTRY[[#All],[Column2]],DIM_COUNTRY[[#All],[Column3]],,,)</f>
        <v>USMCA</v>
      </c>
    </row>
    <row r="1100" spans="1:9" x14ac:dyDescent="0.4">
      <c r="A1100" t="s">
        <v>61</v>
      </c>
      <c r="B1100" s="1">
        <v>45383</v>
      </c>
      <c r="C1100">
        <v>851190</v>
      </c>
      <c r="D1100" t="s">
        <v>176</v>
      </c>
      <c r="E1100">
        <v>696370</v>
      </c>
      <c r="F1100">
        <v>4350</v>
      </c>
      <c r="G1100">
        <v>2623</v>
      </c>
      <c r="H1100">
        <f>_xlfn.XLOOKUP(FACT_IMPORTS[[#This Row],[hts_6]],DIM_PRODUCTS[hts_6],DIM_PRODUCTS[hts_4],,,)</f>
        <v>8511</v>
      </c>
      <c r="I1100" t="str" cm="1">
        <f t="array" ref="I1100">_xlfn.XLOOKUP(FACT_IMPORTS[[#This Row],[country_name]],DIM_COUNTRY[[#All],[Column2]],DIM_COUNTRY[[#All],[Column3]],,,)</f>
        <v>USMCA</v>
      </c>
    </row>
    <row r="1101" spans="1:9" x14ac:dyDescent="0.4">
      <c r="A1101" t="s">
        <v>61</v>
      </c>
      <c r="B1101" s="1">
        <v>45383</v>
      </c>
      <c r="C1101">
        <v>851220</v>
      </c>
      <c r="D1101" t="s">
        <v>176</v>
      </c>
      <c r="E1101">
        <v>22199878</v>
      </c>
      <c r="F1101">
        <v>430070</v>
      </c>
      <c r="G1101">
        <v>98363</v>
      </c>
      <c r="H1101">
        <f>_xlfn.XLOOKUP(FACT_IMPORTS[[#This Row],[hts_6]],DIM_PRODUCTS[hts_6],DIM_PRODUCTS[hts_4],,,)</f>
        <v>8512</v>
      </c>
      <c r="I1101" t="str" cm="1">
        <f t="array" ref="I1101">_xlfn.XLOOKUP(FACT_IMPORTS[[#This Row],[country_name]],DIM_COUNTRY[[#All],[Column2]],DIM_COUNTRY[[#All],[Column3]],,,)</f>
        <v>USMCA</v>
      </c>
    </row>
    <row r="1102" spans="1:9" x14ac:dyDescent="0.4">
      <c r="A1102" t="s">
        <v>61</v>
      </c>
      <c r="B1102" s="1">
        <v>45383</v>
      </c>
      <c r="C1102">
        <v>851230</v>
      </c>
      <c r="D1102" t="s">
        <v>176</v>
      </c>
      <c r="E1102">
        <v>102919</v>
      </c>
      <c r="F1102">
        <v>940</v>
      </c>
      <c r="G1102">
        <v>422</v>
      </c>
      <c r="H1102">
        <f>_xlfn.XLOOKUP(FACT_IMPORTS[[#This Row],[hts_6]],DIM_PRODUCTS[hts_6],DIM_PRODUCTS[hts_4],,,)</f>
        <v>8512</v>
      </c>
      <c r="I1102" t="str" cm="1">
        <f t="array" ref="I1102">_xlfn.XLOOKUP(FACT_IMPORTS[[#This Row],[country_name]],DIM_COUNTRY[[#All],[Column2]],DIM_COUNTRY[[#All],[Column3]],,,)</f>
        <v>USMCA</v>
      </c>
    </row>
    <row r="1103" spans="1:9" x14ac:dyDescent="0.4">
      <c r="A1103" t="s">
        <v>61</v>
      </c>
      <c r="B1103" s="1">
        <v>45383</v>
      </c>
      <c r="C1103">
        <v>851240</v>
      </c>
      <c r="D1103" t="s">
        <v>176</v>
      </c>
      <c r="E1103">
        <v>16504</v>
      </c>
      <c r="F1103">
        <v>4</v>
      </c>
      <c r="G1103">
        <v>250</v>
      </c>
      <c r="H1103">
        <f>_xlfn.XLOOKUP(FACT_IMPORTS[[#This Row],[hts_6]],DIM_PRODUCTS[hts_6],DIM_PRODUCTS[hts_4],,,)</f>
        <v>8512</v>
      </c>
      <c r="I1103" t="str" cm="1">
        <f t="array" ref="I1103">_xlfn.XLOOKUP(FACT_IMPORTS[[#This Row],[country_name]],DIM_COUNTRY[[#All],[Column2]],DIM_COUNTRY[[#All],[Column3]],,,)</f>
        <v>USMCA</v>
      </c>
    </row>
    <row r="1104" spans="1:9" x14ac:dyDescent="0.4">
      <c r="A1104" t="s">
        <v>61</v>
      </c>
      <c r="B1104" s="1">
        <v>45383</v>
      </c>
      <c r="C1104">
        <v>851290</v>
      </c>
      <c r="D1104" t="s">
        <v>176</v>
      </c>
      <c r="E1104">
        <v>2398358</v>
      </c>
      <c r="F1104">
        <v>45026</v>
      </c>
      <c r="G1104">
        <v>5038</v>
      </c>
      <c r="H1104">
        <f>_xlfn.XLOOKUP(FACT_IMPORTS[[#This Row],[hts_6]],DIM_PRODUCTS[hts_6],DIM_PRODUCTS[hts_4],,,)</f>
        <v>8512</v>
      </c>
      <c r="I1104" t="str" cm="1">
        <f t="array" ref="I1104">_xlfn.XLOOKUP(FACT_IMPORTS[[#This Row],[country_name]],DIM_COUNTRY[[#All],[Column2]],DIM_COUNTRY[[#All],[Column3]],,,)</f>
        <v>USMCA</v>
      </c>
    </row>
    <row r="1105" spans="1:9" x14ac:dyDescent="0.4">
      <c r="A1105" t="s">
        <v>61</v>
      </c>
      <c r="B1105" s="1">
        <v>45383</v>
      </c>
      <c r="C1105">
        <v>854231</v>
      </c>
      <c r="D1105" t="s">
        <v>176</v>
      </c>
      <c r="E1105">
        <v>393068</v>
      </c>
      <c r="F1105">
        <v>1404</v>
      </c>
      <c r="G1105">
        <v>1966</v>
      </c>
      <c r="H1105">
        <f>_xlfn.XLOOKUP(FACT_IMPORTS[[#This Row],[hts_6]],DIM_PRODUCTS[hts_6],DIM_PRODUCTS[hts_4],,,)</f>
        <v>8542</v>
      </c>
      <c r="I1105" t="str" cm="1">
        <f t="array" ref="I1105">_xlfn.XLOOKUP(FACT_IMPORTS[[#This Row],[country_name]],DIM_COUNTRY[[#All],[Column2]],DIM_COUNTRY[[#All],[Column3]],,,)</f>
        <v>USMCA</v>
      </c>
    </row>
    <row r="1106" spans="1:9" x14ac:dyDescent="0.4">
      <c r="A1106" t="s">
        <v>61</v>
      </c>
      <c r="B1106" s="1">
        <v>45383</v>
      </c>
      <c r="C1106">
        <v>854232</v>
      </c>
      <c r="D1106" t="s">
        <v>176</v>
      </c>
      <c r="E1106">
        <v>0</v>
      </c>
      <c r="F1106">
        <v>0</v>
      </c>
      <c r="G1106">
        <v>0</v>
      </c>
      <c r="H1106">
        <f>_xlfn.XLOOKUP(FACT_IMPORTS[[#This Row],[hts_6]],DIM_PRODUCTS[hts_6],DIM_PRODUCTS[hts_4],,,)</f>
        <v>8542</v>
      </c>
      <c r="I1106" t="str" cm="1">
        <f t="array" ref="I1106">_xlfn.XLOOKUP(FACT_IMPORTS[[#This Row],[country_name]],DIM_COUNTRY[[#All],[Column2]],DIM_COUNTRY[[#All],[Column3]],,,)</f>
        <v>USMCA</v>
      </c>
    </row>
    <row r="1107" spans="1:9" x14ac:dyDescent="0.4">
      <c r="A1107" t="s">
        <v>61</v>
      </c>
      <c r="B1107" s="1">
        <v>45383</v>
      </c>
      <c r="C1107">
        <v>854233</v>
      </c>
      <c r="D1107" t="s">
        <v>176</v>
      </c>
      <c r="E1107">
        <v>0</v>
      </c>
      <c r="F1107">
        <v>0</v>
      </c>
      <c r="G1107">
        <v>0</v>
      </c>
      <c r="H1107">
        <f>_xlfn.XLOOKUP(FACT_IMPORTS[[#This Row],[hts_6]],DIM_PRODUCTS[hts_6],DIM_PRODUCTS[hts_4],,,)</f>
        <v>8542</v>
      </c>
      <c r="I1107" t="str" cm="1">
        <f t="array" ref="I1107">_xlfn.XLOOKUP(FACT_IMPORTS[[#This Row],[country_name]],DIM_COUNTRY[[#All],[Column2]],DIM_COUNTRY[[#All],[Column3]],,,)</f>
        <v>USMCA</v>
      </c>
    </row>
    <row r="1108" spans="1:9" x14ac:dyDescent="0.4">
      <c r="A1108" t="s">
        <v>61</v>
      </c>
      <c r="B1108" s="1">
        <v>45383</v>
      </c>
      <c r="C1108">
        <v>854239</v>
      </c>
      <c r="D1108" t="s">
        <v>176</v>
      </c>
      <c r="E1108">
        <v>25110</v>
      </c>
      <c r="F1108">
        <v>29</v>
      </c>
      <c r="G1108">
        <v>123</v>
      </c>
      <c r="H1108">
        <f>_xlfn.XLOOKUP(FACT_IMPORTS[[#This Row],[hts_6]],DIM_PRODUCTS[hts_6],DIM_PRODUCTS[hts_4],,,)</f>
        <v>8542</v>
      </c>
      <c r="I1108" t="str" cm="1">
        <f t="array" ref="I1108">_xlfn.XLOOKUP(FACT_IMPORTS[[#This Row],[country_name]],DIM_COUNTRY[[#All],[Column2]],DIM_COUNTRY[[#All],[Column3]],,,)</f>
        <v>USMCA</v>
      </c>
    </row>
    <row r="1109" spans="1:9" x14ac:dyDescent="0.4">
      <c r="A1109" t="s">
        <v>61</v>
      </c>
      <c r="B1109" s="1">
        <v>45383</v>
      </c>
      <c r="C1109">
        <v>854290</v>
      </c>
      <c r="D1109" t="s">
        <v>176</v>
      </c>
      <c r="E1109">
        <v>7140</v>
      </c>
      <c r="F1109">
        <v>1</v>
      </c>
      <c r="G1109">
        <v>50</v>
      </c>
      <c r="H1109">
        <f>_xlfn.XLOOKUP(FACT_IMPORTS[[#This Row],[hts_6]],DIM_PRODUCTS[hts_6],DIM_PRODUCTS[hts_4],,,)</f>
        <v>8542</v>
      </c>
      <c r="I1109" t="str" cm="1">
        <f t="array" ref="I1109">_xlfn.XLOOKUP(FACT_IMPORTS[[#This Row],[country_name]],DIM_COUNTRY[[#All],[Column2]],DIM_COUNTRY[[#All],[Column3]],,,)</f>
        <v>USMCA</v>
      </c>
    </row>
    <row r="1110" spans="1:9" x14ac:dyDescent="0.4">
      <c r="A1110" t="s">
        <v>61</v>
      </c>
      <c r="B1110" s="1">
        <v>45383</v>
      </c>
      <c r="C1110">
        <v>854430</v>
      </c>
      <c r="D1110" t="s">
        <v>176</v>
      </c>
      <c r="E1110">
        <v>1695786</v>
      </c>
      <c r="F1110">
        <v>40132</v>
      </c>
      <c r="G1110">
        <v>9509</v>
      </c>
      <c r="H1110">
        <f>_xlfn.XLOOKUP(FACT_IMPORTS[[#This Row],[hts_6]],DIM_PRODUCTS[hts_6],DIM_PRODUCTS[hts_4],,,)</f>
        <v>8544</v>
      </c>
      <c r="I1110" t="str" cm="1">
        <f t="array" ref="I1110">_xlfn.XLOOKUP(FACT_IMPORTS[[#This Row],[country_name]],DIM_COUNTRY[[#All],[Column2]],DIM_COUNTRY[[#All],[Column3]],,,)</f>
        <v>USMCA</v>
      </c>
    </row>
    <row r="1111" spans="1:9" x14ac:dyDescent="0.4">
      <c r="A1111" t="s">
        <v>61</v>
      </c>
      <c r="B1111" s="1">
        <v>45383</v>
      </c>
      <c r="C1111">
        <v>870600</v>
      </c>
      <c r="D1111" t="s">
        <v>176</v>
      </c>
      <c r="E1111">
        <v>0</v>
      </c>
      <c r="F1111">
        <v>0</v>
      </c>
      <c r="G1111">
        <v>0</v>
      </c>
      <c r="H1111">
        <f>_xlfn.XLOOKUP(FACT_IMPORTS[[#This Row],[hts_6]],DIM_PRODUCTS[hts_6],DIM_PRODUCTS[hts_4],,,)</f>
        <v>8706</v>
      </c>
      <c r="I1111" t="str" cm="1">
        <f t="array" ref="I1111">_xlfn.XLOOKUP(FACT_IMPORTS[[#This Row],[country_name]],DIM_COUNTRY[[#All],[Column2]],DIM_COUNTRY[[#All],[Column3]],,,)</f>
        <v>USMCA</v>
      </c>
    </row>
    <row r="1112" spans="1:9" x14ac:dyDescent="0.4">
      <c r="A1112" t="s">
        <v>61</v>
      </c>
      <c r="B1112" s="1">
        <v>45383</v>
      </c>
      <c r="C1112">
        <v>870710</v>
      </c>
      <c r="D1112" t="s">
        <v>176</v>
      </c>
      <c r="E1112">
        <v>247482</v>
      </c>
      <c r="F1112">
        <v>34</v>
      </c>
      <c r="G1112">
        <v>2616</v>
      </c>
      <c r="H1112">
        <f>_xlfn.XLOOKUP(FACT_IMPORTS[[#This Row],[hts_6]],DIM_PRODUCTS[hts_6],DIM_PRODUCTS[hts_4],,,)</f>
        <v>8707</v>
      </c>
      <c r="I1112" t="str" cm="1">
        <f t="array" ref="I1112">_xlfn.XLOOKUP(FACT_IMPORTS[[#This Row],[country_name]],DIM_COUNTRY[[#All],[Column2]],DIM_COUNTRY[[#All],[Column3]],,,)</f>
        <v>USMCA</v>
      </c>
    </row>
    <row r="1113" spans="1:9" x14ac:dyDescent="0.4">
      <c r="A1113" t="s">
        <v>61</v>
      </c>
      <c r="B1113" s="1">
        <v>45383</v>
      </c>
      <c r="C1113">
        <v>870790</v>
      </c>
      <c r="D1113" t="s">
        <v>176</v>
      </c>
      <c r="E1113">
        <v>4346518</v>
      </c>
      <c r="F1113">
        <v>264</v>
      </c>
      <c r="G1113">
        <v>16566</v>
      </c>
      <c r="H1113">
        <f>_xlfn.XLOOKUP(FACT_IMPORTS[[#This Row],[hts_6]],DIM_PRODUCTS[hts_6],DIM_PRODUCTS[hts_4],,,)</f>
        <v>8707</v>
      </c>
      <c r="I1113" t="str" cm="1">
        <f t="array" ref="I1113">_xlfn.XLOOKUP(FACT_IMPORTS[[#This Row],[country_name]],DIM_COUNTRY[[#All],[Column2]],DIM_COUNTRY[[#All],[Column3]],,,)</f>
        <v>USMCA</v>
      </c>
    </row>
    <row r="1114" spans="1:9" x14ac:dyDescent="0.4">
      <c r="A1114" t="s">
        <v>61</v>
      </c>
      <c r="B1114" s="1">
        <v>45383</v>
      </c>
      <c r="C1114">
        <v>870810</v>
      </c>
      <c r="D1114" t="s">
        <v>176</v>
      </c>
      <c r="E1114">
        <v>29379495</v>
      </c>
      <c r="F1114">
        <v>1068659</v>
      </c>
      <c r="G1114">
        <v>439816</v>
      </c>
      <c r="H1114">
        <f>_xlfn.XLOOKUP(FACT_IMPORTS[[#This Row],[hts_6]],DIM_PRODUCTS[hts_6],DIM_PRODUCTS[hts_4],,,)</f>
        <v>8708</v>
      </c>
      <c r="I1114" t="str" cm="1">
        <f t="array" ref="I1114">_xlfn.XLOOKUP(FACT_IMPORTS[[#This Row],[country_name]],DIM_COUNTRY[[#All],[Column2]],DIM_COUNTRY[[#All],[Column3]],,,)</f>
        <v>USMCA</v>
      </c>
    </row>
    <row r="1115" spans="1:9" x14ac:dyDescent="0.4">
      <c r="A1115" t="s">
        <v>61</v>
      </c>
      <c r="B1115" s="1">
        <v>45383</v>
      </c>
      <c r="C1115">
        <v>870821</v>
      </c>
      <c r="D1115" t="s">
        <v>176</v>
      </c>
      <c r="E1115">
        <v>565199</v>
      </c>
      <c r="F1115">
        <v>40128</v>
      </c>
      <c r="G1115">
        <v>3354</v>
      </c>
      <c r="H1115">
        <f>_xlfn.XLOOKUP(FACT_IMPORTS[[#This Row],[hts_6]],DIM_PRODUCTS[hts_6],DIM_PRODUCTS[hts_4],,,)</f>
        <v>8708</v>
      </c>
      <c r="I1115" t="str" cm="1">
        <f t="array" ref="I1115">_xlfn.XLOOKUP(FACT_IMPORTS[[#This Row],[country_name]],DIM_COUNTRY[[#All],[Column2]],DIM_COUNTRY[[#All],[Column3]],,,)</f>
        <v>USMCA</v>
      </c>
    </row>
    <row r="1116" spans="1:9" x14ac:dyDescent="0.4">
      <c r="A1116" t="s">
        <v>61</v>
      </c>
      <c r="B1116" s="1">
        <v>45383</v>
      </c>
      <c r="C1116">
        <v>870822</v>
      </c>
      <c r="D1116" t="s">
        <v>176</v>
      </c>
      <c r="E1116">
        <v>5920353</v>
      </c>
      <c r="F1116">
        <v>105371</v>
      </c>
      <c r="G1116">
        <v>186260</v>
      </c>
      <c r="H1116">
        <f>_xlfn.XLOOKUP(FACT_IMPORTS[[#This Row],[hts_6]],DIM_PRODUCTS[hts_6],DIM_PRODUCTS[hts_4],,,)</f>
        <v>8708</v>
      </c>
      <c r="I1116" t="str" cm="1">
        <f t="array" ref="I1116">_xlfn.XLOOKUP(FACT_IMPORTS[[#This Row],[country_name]],DIM_COUNTRY[[#All],[Column2]],DIM_COUNTRY[[#All],[Column3]],,,)</f>
        <v>USMCA</v>
      </c>
    </row>
    <row r="1117" spans="1:9" x14ac:dyDescent="0.4">
      <c r="A1117" t="s">
        <v>61</v>
      </c>
      <c r="B1117" s="1">
        <v>45383</v>
      </c>
      <c r="C1117">
        <v>870829</v>
      </c>
      <c r="D1117" t="s">
        <v>176</v>
      </c>
      <c r="E1117">
        <v>421977727</v>
      </c>
      <c r="F1117">
        <v>62633035</v>
      </c>
      <c r="G1117">
        <v>8095726</v>
      </c>
      <c r="H1117">
        <f>_xlfn.XLOOKUP(FACT_IMPORTS[[#This Row],[hts_6]],DIM_PRODUCTS[hts_6],DIM_PRODUCTS[hts_4],,,)</f>
        <v>8708</v>
      </c>
      <c r="I1117" t="str" cm="1">
        <f t="array" ref="I1117">_xlfn.XLOOKUP(FACT_IMPORTS[[#This Row],[country_name]],DIM_COUNTRY[[#All],[Column2]],DIM_COUNTRY[[#All],[Column3]],,,)</f>
        <v>USMCA</v>
      </c>
    </row>
    <row r="1118" spans="1:9" x14ac:dyDescent="0.4">
      <c r="A1118" t="s">
        <v>61</v>
      </c>
      <c r="B1118" s="1">
        <v>45383</v>
      </c>
      <c r="C1118">
        <v>870830</v>
      </c>
      <c r="D1118" t="s">
        <v>176</v>
      </c>
      <c r="E1118">
        <v>13024406</v>
      </c>
      <c r="F1118">
        <v>3890599</v>
      </c>
      <c r="G1118">
        <v>206577</v>
      </c>
      <c r="H1118">
        <f>_xlfn.XLOOKUP(FACT_IMPORTS[[#This Row],[hts_6]],DIM_PRODUCTS[hts_6],DIM_PRODUCTS[hts_4],,,)</f>
        <v>8708</v>
      </c>
      <c r="I1118" t="str" cm="1">
        <f t="array" ref="I1118">_xlfn.XLOOKUP(FACT_IMPORTS[[#This Row],[country_name]],DIM_COUNTRY[[#All],[Column2]],DIM_COUNTRY[[#All],[Column3]],,,)</f>
        <v>USMCA</v>
      </c>
    </row>
    <row r="1119" spans="1:9" x14ac:dyDescent="0.4">
      <c r="A1119" t="s">
        <v>61</v>
      </c>
      <c r="B1119" s="1">
        <v>45383</v>
      </c>
      <c r="C1119">
        <v>870840</v>
      </c>
      <c r="D1119" t="s">
        <v>176</v>
      </c>
      <c r="E1119">
        <v>93273386</v>
      </c>
      <c r="F1119">
        <v>4389435</v>
      </c>
      <c r="G1119">
        <v>504166</v>
      </c>
      <c r="H1119">
        <f>_xlfn.XLOOKUP(FACT_IMPORTS[[#This Row],[hts_6]],DIM_PRODUCTS[hts_6],DIM_PRODUCTS[hts_4],,,)</f>
        <v>8708</v>
      </c>
      <c r="I1119" t="str" cm="1">
        <f t="array" ref="I1119">_xlfn.XLOOKUP(FACT_IMPORTS[[#This Row],[country_name]],DIM_COUNTRY[[#All],[Column2]],DIM_COUNTRY[[#All],[Column3]],,,)</f>
        <v>USMCA</v>
      </c>
    </row>
    <row r="1120" spans="1:9" x14ac:dyDescent="0.4">
      <c r="A1120" t="s">
        <v>61</v>
      </c>
      <c r="B1120" s="1">
        <v>45383</v>
      </c>
      <c r="C1120">
        <v>870850</v>
      </c>
      <c r="D1120" t="s">
        <v>176</v>
      </c>
      <c r="E1120">
        <v>31555965</v>
      </c>
      <c r="F1120">
        <v>1750558</v>
      </c>
      <c r="G1120">
        <v>191326</v>
      </c>
      <c r="H1120">
        <f>_xlfn.XLOOKUP(FACT_IMPORTS[[#This Row],[hts_6]],DIM_PRODUCTS[hts_6],DIM_PRODUCTS[hts_4],,,)</f>
        <v>8708</v>
      </c>
      <c r="I1120" t="str" cm="1">
        <f t="array" ref="I1120">_xlfn.XLOOKUP(FACT_IMPORTS[[#This Row],[country_name]],DIM_COUNTRY[[#All],[Column2]],DIM_COUNTRY[[#All],[Column3]],,,)</f>
        <v>USMCA</v>
      </c>
    </row>
    <row r="1121" spans="1:9" x14ac:dyDescent="0.4">
      <c r="A1121" t="s">
        <v>61</v>
      </c>
      <c r="B1121" s="1">
        <v>45383</v>
      </c>
      <c r="C1121">
        <v>870870</v>
      </c>
      <c r="D1121" t="s">
        <v>176</v>
      </c>
      <c r="E1121">
        <v>8305310</v>
      </c>
      <c r="F1121">
        <v>10357252</v>
      </c>
      <c r="G1121">
        <v>97596</v>
      </c>
      <c r="H1121">
        <f>_xlfn.XLOOKUP(FACT_IMPORTS[[#This Row],[hts_6]],DIM_PRODUCTS[hts_6],DIM_PRODUCTS[hts_4],,,)</f>
        <v>8708</v>
      </c>
      <c r="I1121" t="str" cm="1">
        <f t="array" ref="I1121">_xlfn.XLOOKUP(FACT_IMPORTS[[#This Row],[country_name]],DIM_COUNTRY[[#All],[Column2]],DIM_COUNTRY[[#All],[Column3]],,,)</f>
        <v>USMCA</v>
      </c>
    </row>
    <row r="1122" spans="1:9" x14ac:dyDescent="0.4">
      <c r="A1122" t="s">
        <v>61</v>
      </c>
      <c r="B1122" s="1">
        <v>45383</v>
      </c>
      <c r="C1122">
        <v>870880</v>
      </c>
      <c r="D1122" t="s">
        <v>176</v>
      </c>
      <c r="E1122">
        <v>72329826</v>
      </c>
      <c r="F1122">
        <v>3342327</v>
      </c>
      <c r="G1122">
        <v>1138210</v>
      </c>
      <c r="H1122">
        <f>_xlfn.XLOOKUP(FACT_IMPORTS[[#This Row],[hts_6]],DIM_PRODUCTS[hts_6],DIM_PRODUCTS[hts_4],,,)</f>
        <v>8708</v>
      </c>
      <c r="I1122" t="str" cm="1">
        <f t="array" ref="I1122">_xlfn.XLOOKUP(FACT_IMPORTS[[#This Row],[country_name]],DIM_COUNTRY[[#All],[Column2]],DIM_COUNTRY[[#All],[Column3]],,,)</f>
        <v>USMCA</v>
      </c>
    </row>
    <row r="1123" spans="1:9" x14ac:dyDescent="0.4">
      <c r="A1123" t="s">
        <v>61</v>
      </c>
      <c r="B1123" s="1">
        <v>45383</v>
      </c>
      <c r="C1123">
        <v>870891</v>
      </c>
      <c r="D1123" t="s">
        <v>176</v>
      </c>
      <c r="E1123">
        <v>20794633</v>
      </c>
      <c r="F1123">
        <v>755039</v>
      </c>
      <c r="G1123">
        <v>351762</v>
      </c>
      <c r="H1123">
        <f>_xlfn.XLOOKUP(FACT_IMPORTS[[#This Row],[hts_6]],DIM_PRODUCTS[hts_6],DIM_PRODUCTS[hts_4],,,)</f>
        <v>8708</v>
      </c>
      <c r="I1123" t="str" cm="1">
        <f t="array" ref="I1123">_xlfn.XLOOKUP(FACT_IMPORTS[[#This Row],[country_name]],DIM_COUNTRY[[#All],[Column2]],DIM_COUNTRY[[#All],[Column3]],,,)</f>
        <v>USMCA</v>
      </c>
    </row>
    <row r="1124" spans="1:9" x14ac:dyDescent="0.4">
      <c r="A1124" t="s">
        <v>61</v>
      </c>
      <c r="B1124" s="1">
        <v>45383</v>
      </c>
      <c r="C1124">
        <v>870892</v>
      </c>
      <c r="D1124" t="s">
        <v>176</v>
      </c>
      <c r="E1124">
        <v>24239844</v>
      </c>
      <c r="F1124">
        <v>1133512</v>
      </c>
      <c r="G1124">
        <v>382386</v>
      </c>
      <c r="H1124">
        <f>_xlfn.XLOOKUP(FACT_IMPORTS[[#This Row],[hts_6]],DIM_PRODUCTS[hts_6],DIM_PRODUCTS[hts_4],,,)</f>
        <v>8708</v>
      </c>
      <c r="I1124" t="str" cm="1">
        <f t="array" ref="I1124">_xlfn.XLOOKUP(FACT_IMPORTS[[#This Row],[country_name]],DIM_COUNTRY[[#All],[Column2]],DIM_COUNTRY[[#All],[Column3]],,,)</f>
        <v>USMCA</v>
      </c>
    </row>
    <row r="1125" spans="1:9" x14ac:dyDescent="0.4">
      <c r="A1125" t="s">
        <v>61</v>
      </c>
      <c r="B1125" s="1">
        <v>45383</v>
      </c>
      <c r="C1125">
        <v>870893</v>
      </c>
      <c r="D1125" t="s">
        <v>176</v>
      </c>
      <c r="E1125">
        <v>56068361</v>
      </c>
      <c r="F1125">
        <v>1562747</v>
      </c>
      <c r="G1125">
        <v>121546</v>
      </c>
      <c r="H1125">
        <f>_xlfn.XLOOKUP(FACT_IMPORTS[[#This Row],[hts_6]],DIM_PRODUCTS[hts_6],DIM_PRODUCTS[hts_4],,,)</f>
        <v>8708</v>
      </c>
      <c r="I1125" t="str" cm="1">
        <f t="array" ref="I1125">_xlfn.XLOOKUP(FACT_IMPORTS[[#This Row],[country_name]],DIM_COUNTRY[[#All],[Column2]],DIM_COUNTRY[[#All],[Column3]],,,)</f>
        <v>USMCA</v>
      </c>
    </row>
    <row r="1126" spans="1:9" x14ac:dyDescent="0.4">
      <c r="A1126" t="s">
        <v>61</v>
      </c>
      <c r="B1126" s="1">
        <v>45383</v>
      </c>
      <c r="C1126">
        <v>870894</v>
      </c>
      <c r="D1126" t="s">
        <v>176</v>
      </c>
      <c r="E1126">
        <v>12233292</v>
      </c>
      <c r="F1126">
        <v>2820315</v>
      </c>
      <c r="G1126">
        <v>134560</v>
      </c>
      <c r="H1126">
        <f>_xlfn.XLOOKUP(FACT_IMPORTS[[#This Row],[hts_6]],DIM_PRODUCTS[hts_6],DIM_PRODUCTS[hts_4],,,)</f>
        <v>8708</v>
      </c>
      <c r="I1126" t="str" cm="1">
        <f t="array" ref="I1126">_xlfn.XLOOKUP(FACT_IMPORTS[[#This Row],[country_name]],DIM_COUNTRY[[#All],[Column2]],DIM_COUNTRY[[#All],[Column3]],,,)</f>
        <v>USMCA</v>
      </c>
    </row>
    <row r="1127" spans="1:9" x14ac:dyDescent="0.4">
      <c r="A1127" t="s">
        <v>61</v>
      </c>
      <c r="B1127" s="1">
        <v>45383</v>
      </c>
      <c r="C1127">
        <v>870895</v>
      </c>
      <c r="D1127" t="s">
        <v>176</v>
      </c>
      <c r="E1127">
        <v>1425314</v>
      </c>
      <c r="F1127">
        <v>1138320</v>
      </c>
      <c r="G1127">
        <v>18556</v>
      </c>
      <c r="H1127">
        <f>_xlfn.XLOOKUP(FACT_IMPORTS[[#This Row],[hts_6]],DIM_PRODUCTS[hts_6],DIM_PRODUCTS[hts_4],,,)</f>
        <v>8708</v>
      </c>
      <c r="I1127" t="str" cm="1">
        <f t="array" ref="I1127">_xlfn.XLOOKUP(FACT_IMPORTS[[#This Row],[country_name]],DIM_COUNTRY[[#All],[Column2]],DIM_COUNTRY[[#All],[Column3]],,,)</f>
        <v>USMCA</v>
      </c>
    </row>
    <row r="1128" spans="1:9" x14ac:dyDescent="0.4">
      <c r="A1128" t="s">
        <v>61</v>
      </c>
      <c r="B1128" s="1">
        <v>45383</v>
      </c>
      <c r="C1128">
        <v>870899</v>
      </c>
      <c r="D1128" t="s">
        <v>176</v>
      </c>
      <c r="E1128">
        <v>181136952</v>
      </c>
      <c r="F1128">
        <v>17002199</v>
      </c>
      <c r="G1128">
        <v>2130205</v>
      </c>
      <c r="H1128">
        <f>_xlfn.XLOOKUP(FACT_IMPORTS[[#This Row],[hts_6]],DIM_PRODUCTS[hts_6],DIM_PRODUCTS[hts_4],,,)</f>
        <v>8708</v>
      </c>
      <c r="I1128" t="str" cm="1">
        <f t="array" ref="I1128">_xlfn.XLOOKUP(FACT_IMPORTS[[#This Row],[country_name]],DIM_COUNTRY[[#All],[Column2]],DIM_COUNTRY[[#All],[Column3]],,,)</f>
        <v>USMCA</v>
      </c>
    </row>
    <row r="1129" spans="1:9" x14ac:dyDescent="0.4">
      <c r="A1129" t="s">
        <v>61</v>
      </c>
      <c r="B1129" s="1">
        <v>45383</v>
      </c>
      <c r="C1129">
        <v>940120</v>
      </c>
      <c r="D1129" t="s">
        <v>176</v>
      </c>
      <c r="E1129">
        <v>3121904</v>
      </c>
      <c r="F1129">
        <v>7289</v>
      </c>
      <c r="G1129">
        <v>13844</v>
      </c>
      <c r="H1129">
        <f>_xlfn.XLOOKUP(FACT_IMPORTS[[#This Row],[hts_6]],DIM_PRODUCTS[hts_6],DIM_PRODUCTS[hts_4],,,)</f>
        <v>9401</v>
      </c>
      <c r="I1129" t="str" cm="1">
        <f t="array" ref="I1129">_xlfn.XLOOKUP(FACT_IMPORTS[[#This Row],[country_name]],DIM_COUNTRY[[#All],[Column2]],DIM_COUNTRY[[#All],[Column3]],,,)</f>
        <v>USMCA</v>
      </c>
    </row>
    <row r="1130" spans="1:9" x14ac:dyDescent="0.4">
      <c r="A1130" t="s">
        <v>61</v>
      </c>
      <c r="B1130" s="1">
        <v>45413</v>
      </c>
      <c r="C1130">
        <v>392630</v>
      </c>
      <c r="D1130" t="s">
        <v>176</v>
      </c>
      <c r="E1130">
        <v>3527161</v>
      </c>
      <c r="F1130">
        <v>476959</v>
      </c>
      <c r="G1130">
        <v>203102</v>
      </c>
      <c r="H1130">
        <f>_xlfn.XLOOKUP(FACT_IMPORTS[[#This Row],[hts_6]],DIM_PRODUCTS[hts_6],DIM_PRODUCTS[hts_4],,,)</f>
        <v>3926</v>
      </c>
      <c r="I1130" t="str" cm="1">
        <f t="array" ref="I1130">_xlfn.XLOOKUP(FACT_IMPORTS[[#This Row],[country_name]],DIM_COUNTRY[[#All],[Column2]],DIM_COUNTRY[[#All],[Column3]],,,)</f>
        <v>USMCA</v>
      </c>
    </row>
    <row r="1131" spans="1:9" x14ac:dyDescent="0.4">
      <c r="A1131" t="s">
        <v>61</v>
      </c>
      <c r="B1131" s="1">
        <v>45413</v>
      </c>
      <c r="C1131">
        <v>401110</v>
      </c>
      <c r="D1131" t="s">
        <v>176</v>
      </c>
      <c r="E1131">
        <v>51829128</v>
      </c>
      <c r="F1131">
        <v>700879</v>
      </c>
      <c r="G1131">
        <v>377103</v>
      </c>
      <c r="H1131">
        <f>_xlfn.XLOOKUP(FACT_IMPORTS[[#This Row],[hts_6]],DIM_PRODUCTS[hts_6],DIM_PRODUCTS[hts_4],,,)</f>
        <v>4011</v>
      </c>
      <c r="I1131" t="str" cm="1">
        <f t="array" ref="I1131">_xlfn.XLOOKUP(FACT_IMPORTS[[#This Row],[country_name]],DIM_COUNTRY[[#All],[Column2]],DIM_COUNTRY[[#All],[Column3]],,,)</f>
        <v>USMCA</v>
      </c>
    </row>
    <row r="1132" spans="1:9" x14ac:dyDescent="0.4">
      <c r="A1132" t="s">
        <v>61</v>
      </c>
      <c r="B1132" s="1">
        <v>45413</v>
      </c>
      <c r="C1132">
        <v>401120</v>
      </c>
      <c r="D1132" t="s">
        <v>176</v>
      </c>
      <c r="E1132">
        <v>49366889</v>
      </c>
      <c r="F1132">
        <v>292008</v>
      </c>
      <c r="G1132">
        <v>315688</v>
      </c>
      <c r="H1132">
        <f>_xlfn.XLOOKUP(FACT_IMPORTS[[#This Row],[hts_6]],DIM_PRODUCTS[hts_6],DIM_PRODUCTS[hts_4],,,)</f>
        <v>4011</v>
      </c>
      <c r="I1132" t="str" cm="1">
        <f t="array" ref="I1132">_xlfn.XLOOKUP(FACT_IMPORTS[[#This Row],[country_name]],DIM_COUNTRY[[#All],[Column2]],DIM_COUNTRY[[#All],[Column3]],,,)</f>
        <v>USMCA</v>
      </c>
    </row>
    <row r="1133" spans="1:9" x14ac:dyDescent="0.4">
      <c r="A1133" t="s">
        <v>61</v>
      </c>
      <c r="B1133" s="1">
        <v>45413</v>
      </c>
      <c r="C1133">
        <v>401140</v>
      </c>
      <c r="D1133" t="s">
        <v>176</v>
      </c>
      <c r="E1133">
        <v>0</v>
      </c>
      <c r="F1133">
        <v>0</v>
      </c>
      <c r="G1133">
        <v>0</v>
      </c>
      <c r="H1133">
        <f>_xlfn.XLOOKUP(FACT_IMPORTS[[#This Row],[hts_6]],DIM_PRODUCTS[hts_6],DIM_PRODUCTS[hts_4],,,)</f>
        <v>4011</v>
      </c>
      <c r="I1133" t="str" cm="1">
        <f t="array" ref="I1133">_xlfn.XLOOKUP(FACT_IMPORTS[[#This Row],[country_name]],DIM_COUNTRY[[#All],[Column2]],DIM_COUNTRY[[#All],[Column3]],,,)</f>
        <v>USMCA</v>
      </c>
    </row>
    <row r="1134" spans="1:9" x14ac:dyDescent="0.4">
      <c r="A1134" t="s">
        <v>61</v>
      </c>
      <c r="B1134" s="1">
        <v>45413</v>
      </c>
      <c r="C1134">
        <v>401190</v>
      </c>
      <c r="D1134" t="s">
        <v>176</v>
      </c>
      <c r="E1134">
        <v>566102</v>
      </c>
      <c r="F1134">
        <v>723</v>
      </c>
      <c r="G1134">
        <v>874</v>
      </c>
      <c r="H1134">
        <f>_xlfn.XLOOKUP(FACT_IMPORTS[[#This Row],[hts_6]],DIM_PRODUCTS[hts_6],DIM_PRODUCTS[hts_4],,,)</f>
        <v>4011</v>
      </c>
      <c r="I1134" t="str" cm="1">
        <f t="array" ref="I1134">_xlfn.XLOOKUP(FACT_IMPORTS[[#This Row],[country_name]],DIM_COUNTRY[[#All],[Column2]],DIM_COUNTRY[[#All],[Column3]],,,)</f>
        <v>USMCA</v>
      </c>
    </row>
    <row r="1135" spans="1:9" x14ac:dyDescent="0.4">
      <c r="A1135" t="s">
        <v>61</v>
      </c>
      <c r="B1135" s="1">
        <v>45413</v>
      </c>
      <c r="C1135">
        <v>700711</v>
      </c>
      <c r="D1135" t="s">
        <v>176</v>
      </c>
      <c r="E1135">
        <v>357839</v>
      </c>
      <c r="F1135">
        <v>663</v>
      </c>
      <c r="G1135">
        <v>1964</v>
      </c>
      <c r="H1135">
        <f>_xlfn.XLOOKUP(FACT_IMPORTS[[#This Row],[hts_6]],DIM_PRODUCTS[hts_6],DIM_PRODUCTS[hts_4],,,)</f>
        <v>7007</v>
      </c>
      <c r="I1135" t="str" cm="1">
        <f t="array" ref="I1135">_xlfn.XLOOKUP(FACT_IMPORTS[[#This Row],[country_name]],DIM_COUNTRY[[#All],[Column2]],DIM_COUNTRY[[#All],[Column3]],,,)</f>
        <v>USMCA</v>
      </c>
    </row>
    <row r="1136" spans="1:9" x14ac:dyDescent="0.4">
      <c r="A1136" t="s">
        <v>61</v>
      </c>
      <c r="B1136" s="1">
        <v>45413</v>
      </c>
      <c r="C1136">
        <v>700721</v>
      </c>
      <c r="D1136" t="s">
        <v>176</v>
      </c>
      <c r="E1136">
        <v>98176</v>
      </c>
      <c r="F1136">
        <v>158</v>
      </c>
      <c r="G1136">
        <v>1016</v>
      </c>
      <c r="H1136">
        <f>_xlfn.XLOOKUP(FACT_IMPORTS[[#This Row],[hts_6]],DIM_PRODUCTS[hts_6],DIM_PRODUCTS[hts_4],,,)</f>
        <v>7007</v>
      </c>
      <c r="I1136" t="str" cm="1">
        <f t="array" ref="I1136">_xlfn.XLOOKUP(FACT_IMPORTS[[#This Row],[country_name]],DIM_COUNTRY[[#All],[Column2]],DIM_COUNTRY[[#All],[Column3]],,,)</f>
        <v>USMCA</v>
      </c>
    </row>
    <row r="1137" spans="1:9" x14ac:dyDescent="0.4">
      <c r="A1137" t="s">
        <v>61</v>
      </c>
      <c r="B1137" s="1">
        <v>45413</v>
      </c>
      <c r="C1137">
        <v>700910</v>
      </c>
      <c r="D1137" t="s">
        <v>176</v>
      </c>
      <c r="E1137">
        <v>194925</v>
      </c>
      <c r="F1137">
        <v>3178</v>
      </c>
      <c r="G1137">
        <v>1618</v>
      </c>
      <c r="H1137">
        <f>_xlfn.XLOOKUP(FACT_IMPORTS[[#This Row],[hts_6]],DIM_PRODUCTS[hts_6],DIM_PRODUCTS[hts_4],,,)</f>
        <v>7009</v>
      </c>
      <c r="I1137" t="str" cm="1">
        <f t="array" ref="I1137">_xlfn.XLOOKUP(FACT_IMPORTS[[#This Row],[country_name]],DIM_COUNTRY[[#All],[Column2]],DIM_COUNTRY[[#All],[Column3]],,,)</f>
        <v>USMCA</v>
      </c>
    </row>
    <row r="1138" spans="1:9" x14ac:dyDescent="0.4">
      <c r="A1138" t="s">
        <v>61</v>
      </c>
      <c r="B1138" s="1">
        <v>45413</v>
      </c>
      <c r="C1138">
        <v>732010</v>
      </c>
      <c r="D1138" t="s">
        <v>176</v>
      </c>
      <c r="E1138">
        <v>4203959</v>
      </c>
      <c r="F1138">
        <v>1292116</v>
      </c>
      <c r="G1138">
        <v>26851</v>
      </c>
      <c r="H1138">
        <f>_xlfn.XLOOKUP(FACT_IMPORTS[[#This Row],[hts_6]],DIM_PRODUCTS[hts_6],DIM_PRODUCTS[hts_4],,,)</f>
        <v>7320</v>
      </c>
      <c r="I1138" t="str" cm="1">
        <f t="array" ref="I1138">_xlfn.XLOOKUP(FACT_IMPORTS[[#This Row],[country_name]],DIM_COUNTRY[[#All],[Column2]],DIM_COUNTRY[[#All],[Column3]],,,)</f>
        <v>USMCA</v>
      </c>
    </row>
    <row r="1139" spans="1:9" x14ac:dyDescent="0.4">
      <c r="A1139" t="s">
        <v>61</v>
      </c>
      <c r="B1139" s="1">
        <v>45413</v>
      </c>
      <c r="C1139">
        <v>830230</v>
      </c>
      <c r="D1139" t="s">
        <v>176</v>
      </c>
      <c r="E1139">
        <v>40487655</v>
      </c>
      <c r="F1139">
        <v>8682134</v>
      </c>
      <c r="G1139">
        <v>1561320</v>
      </c>
      <c r="H1139">
        <f>_xlfn.XLOOKUP(FACT_IMPORTS[[#This Row],[hts_6]],DIM_PRODUCTS[hts_6],DIM_PRODUCTS[hts_4],,,)</f>
        <v>8302</v>
      </c>
      <c r="I1139" t="str" cm="1">
        <f t="array" ref="I1139">_xlfn.XLOOKUP(FACT_IMPORTS[[#This Row],[country_name]],DIM_COUNTRY[[#All],[Column2]],DIM_COUNTRY[[#All],[Column3]],,,)</f>
        <v>USMCA</v>
      </c>
    </row>
    <row r="1140" spans="1:9" x14ac:dyDescent="0.4">
      <c r="A1140" t="s">
        <v>61</v>
      </c>
      <c r="B1140" s="1">
        <v>45413</v>
      </c>
      <c r="C1140">
        <v>840731</v>
      </c>
      <c r="D1140" t="s">
        <v>176</v>
      </c>
      <c r="E1140">
        <v>0</v>
      </c>
      <c r="F1140">
        <v>0</v>
      </c>
      <c r="G1140">
        <v>0</v>
      </c>
      <c r="H1140">
        <f>_xlfn.XLOOKUP(FACT_IMPORTS[[#This Row],[hts_6]],DIM_PRODUCTS[hts_6],DIM_PRODUCTS[hts_4],,,)</f>
        <v>8407</v>
      </c>
      <c r="I1140" t="str" cm="1">
        <f t="array" ref="I1140">_xlfn.XLOOKUP(FACT_IMPORTS[[#This Row],[country_name]],DIM_COUNTRY[[#All],[Column2]],DIM_COUNTRY[[#All],[Column3]],,,)</f>
        <v>USMCA</v>
      </c>
    </row>
    <row r="1141" spans="1:9" x14ac:dyDescent="0.4">
      <c r="A1141" t="s">
        <v>61</v>
      </c>
      <c r="B1141" s="1">
        <v>45413</v>
      </c>
      <c r="C1141">
        <v>840732</v>
      </c>
      <c r="D1141" t="s">
        <v>176</v>
      </c>
      <c r="E1141">
        <v>0</v>
      </c>
      <c r="F1141">
        <v>0</v>
      </c>
      <c r="G1141">
        <v>0</v>
      </c>
      <c r="H1141">
        <f>_xlfn.XLOOKUP(FACT_IMPORTS[[#This Row],[hts_6]],DIM_PRODUCTS[hts_6],DIM_PRODUCTS[hts_4],,,)</f>
        <v>8407</v>
      </c>
      <c r="I1141" t="str" cm="1">
        <f t="array" ref="I1141">_xlfn.XLOOKUP(FACT_IMPORTS[[#This Row],[country_name]],DIM_COUNTRY[[#All],[Column2]],DIM_COUNTRY[[#All],[Column3]],,,)</f>
        <v>USMCA</v>
      </c>
    </row>
    <row r="1142" spans="1:9" x14ac:dyDescent="0.4">
      <c r="A1142" t="s">
        <v>61</v>
      </c>
      <c r="B1142" s="1">
        <v>45413</v>
      </c>
      <c r="C1142">
        <v>840733</v>
      </c>
      <c r="D1142" t="s">
        <v>176</v>
      </c>
      <c r="E1142">
        <v>40418</v>
      </c>
      <c r="F1142">
        <v>7</v>
      </c>
      <c r="G1142">
        <v>2674</v>
      </c>
      <c r="H1142">
        <f>_xlfn.XLOOKUP(FACT_IMPORTS[[#This Row],[hts_6]],DIM_PRODUCTS[hts_6],DIM_PRODUCTS[hts_4],,,)</f>
        <v>8407</v>
      </c>
      <c r="I1142" t="str" cm="1">
        <f t="array" ref="I1142">_xlfn.XLOOKUP(FACT_IMPORTS[[#This Row],[country_name]],DIM_COUNTRY[[#All],[Column2]],DIM_COUNTRY[[#All],[Column3]],,,)</f>
        <v>USMCA</v>
      </c>
    </row>
    <row r="1143" spans="1:9" x14ac:dyDescent="0.4">
      <c r="A1143" t="s">
        <v>61</v>
      </c>
      <c r="B1143" s="1">
        <v>45413</v>
      </c>
      <c r="C1143">
        <v>840734</v>
      </c>
      <c r="D1143" t="s">
        <v>176</v>
      </c>
      <c r="E1143">
        <v>191242604</v>
      </c>
      <c r="F1143">
        <v>55163</v>
      </c>
      <c r="G1143">
        <v>216262</v>
      </c>
      <c r="H1143">
        <f>_xlfn.XLOOKUP(FACT_IMPORTS[[#This Row],[hts_6]],DIM_PRODUCTS[hts_6],DIM_PRODUCTS[hts_4],,,)</f>
        <v>8407</v>
      </c>
      <c r="I1143" t="str" cm="1">
        <f t="array" ref="I1143">_xlfn.XLOOKUP(FACT_IMPORTS[[#This Row],[country_name]],DIM_COUNTRY[[#All],[Column2]],DIM_COUNTRY[[#All],[Column3]],,,)</f>
        <v>USMCA</v>
      </c>
    </row>
    <row r="1144" spans="1:9" x14ac:dyDescent="0.4">
      <c r="A1144" t="s">
        <v>61</v>
      </c>
      <c r="B1144" s="1">
        <v>45413</v>
      </c>
      <c r="C1144">
        <v>840790</v>
      </c>
      <c r="D1144" t="s">
        <v>176</v>
      </c>
      <c r="E1144">
        <v>3457396</v>
      </c>
      <c r="F1144">
        <v>2335</v>
      </c>
      <c r="G1144">
        <v>1991</v>
      </c>
      <c r="H1144">
        <f>_xlfn.XLOOKUP(FACT_IMPORTS[[#This Row],[hts_6]],DIM_PRODUCTS[hts_6],DIM_PRODUCTS[hts_4],,,)</f>
        <v>8407</v>
      </c>
      <c r="I1144" t="str" cm="1">
        <f t="array" ref="I1144">_xlfn.XLOOKUP(FACT_IMPORTS[[#This Row],[country_name]],DIM_COUNTRY[[#All],[Column2]],DIM_COUNTRY[[#All],[Column3]],,,)</f>
        <v>USMCA</v>
      </c>
    </row>
    <row r="1145" spans="1:9" x14ac:dyDescent="0.4">
      <c r="A1145" t="s">
        <v>61</v>
      </c>
      <c r="B1145" s="1">
        <v>45413</v>
      </c>
      <c r="C1145">
        <v>840820</v>
      </c>
      <c r="D1145" t="s">
        <v>176</v>
      </c>
      <c r="E1145">
        <v>442376</v>
      </c>
      <c r="F1145">
        <v>63</v>
      </c>
      <c r="G1145">
        <v>8285</v>
      </c>
      <c r="H1145">
        <f>_xlfn.XLOOKUP(FACT_IMPORTS[[#This Row],[hts_6]],DIM_PRODUCTS[hts_6],DIM_PRODUCTS[hts_4],,,)</f>
        <v>8408</v>
      </c>
      <c r="I1145" t="str" cm="1">
        <f t="array" ref="I1145">_xlfn.XLOOKUP(FACT_IMPORTS[[#This Row],[country_name]],DIM_COUNTRY[[#All],[Column2]],DIM_COUNTRY[[#All],[Column3]],,,)</f>
        <v>USMCA</v>
      </c>
    </row>
    <row r="1146" spans="1:9" x14ac:dyDescent="0.4">
      <c r="A1146" t="s">
        <v>61</v>
      </c>
      <c r="B1146" s="1">
        <v>45413</v>
      </c>
      <c r="C1146">
        <v>840890</v>
      </c>
      <c r="D1146" t="s">
        <v>176</v>
      </c>
      <c r="E1146">
        <v>195764</v>
      </c>
      <c r="F1146">
        <v>24</v>
      </c>
      <c r="G1146">
        <v>2733</v>
      </c>
      <c r="H1146">
        <f>_xlfn.XLOOKUP(FACT_IMPORTS[[#This Row],[hts_6]],DIM_PRODUCTS[hts_6],DIM_PRODUCTS[hts_4],,,)</f>
        <v>8408</v>
      </c>
      <c r="I1146" t="str" cm="1">
        <f t="array" ref="I1146">_xlfn.XLOOKUP(FACT_IMPORTS[[#This Row],[country_name]],DIM_COUNTRY[[#All],[Column2]],DIM_COUNTRY[[#All],[Column3]],,,)</f>
        <v>USMCA</v>
      </c>
    </row>
    <row r="1147" spans="1:9" x14ac:dyDescent="0.4">
      <c r="A1147" t="s">
        <v>61</v>
      </c>
      <c r="B1147" s="1">
        <v>45413</v>
      </c>
      <c r="C1147">
        <v>840991</v>
      </c>
      <c r="D1147" t="s">
        <v>176</v>
      </c>
      <c r="E1147">
        <v>40077057</v>
      </c>
      <c r="F1147">
        <v>3346951</v>
      </c>
      <c r="G1147">
        <v>149241</v>
      </c>
      <c r="H1147">
        <f>_xlfn.XLOOKUP(FACT_IMPORTS[[#This Row],[hts_6]],DIM_PRODUCTS[hts_6],DIM_PRODUCTS[hts_4],,,)</f>
        <v>8409</v>
      </c>
      <c r="I1147" t="str" cm="1">
        <f t="array" ref="I1147">_xlfn.XLOOKUP(FACT_IMPORTS[[#This Row],[country_name]],DIM_COUNTRY[[#All],[Column2]],DIM_COUNTRY[[#All],[Column3]],,,)</f>
        <v>USMCA</v>
      </c>
    </row>
    <row r="1148" spans="1:9" x14ac:dyDescent="0.4">
      <c r="A1148" t="s">
        <v>61</v>
      </c>
      <c r="B1148" s="1">
        <v>45413</v>
      </c>
      <c r="C1148">
        <v>840999</v>
      </c>
      <c r="D1148" t="s">
        <v>176</v>
      </c>
      <c r="E1148">
        <v>12915304</v>
      </c>
      <c r="F1148">
        <v>1182869</v>
      </c>
      <c r="G1148">
        <v>126404</v>
      </c>
      <c r="H1148">
        <f>_xlfn.XLOOKUP(FACT_IMPORTS[[#This Row],[hts_6]],DIM_PRODUCTS[hts_6],DIM_PRODUCTS[hts_4],,,)</f>
        <v>8409</v>
      </c>
      <c r="I1148" t="str" cm="1">
        <f t="array" ref="I1148">_xlfn.XLOOKUP(FACT_IMPORTS[[#This Row],[country_name]],DIM_COUNTRY[[#All],[Column2]],DIM_COUNTRY[[#All],[Column3]],,,)</f>
        <v>USMCA</v>
      </c>
    </row>
    <row r="1149" spans="1:9" x14ac:dyDescent="0.4">
      <c r="A1149" t="s">
        <v>61</v>
      </c>
      <c r="B1149" s="1">
        <v>45413</v>
      </c>
      <c r="C1149">
        <v>841330</v>
      </c>
      <c r="D1149" t="s">
        <v>176</v>
      </c>
      <c r="E1149">
        <v>10467189</v>
      </c>
      <c r="F1149">
        <v>213032</v>
      </c>
      <c r="G1149">
        <v>43355</v>
      </c>
      <c r="H1149">
        <f>_xlfn.XLOOKUP(FACT_IMPORTS[[#This Row],[hts_6]],DIM_PRODUCTS[hts_6],DIM_PRODUCTS[hts_4],,,)</f>
        <v>8413</v>
      </c>
      <c r="I1149" t="str" cm="1">
        <f t="array" ref="I1149">_xlfn.XLOOKUP(FACT_IMPORTS[[#This Row],[country_name]],DIM_COUNTRY[[#All],[Column2]],DIM_COUNTRY[[#All],[Column3]],,,)</f>
        <v>USMCA</v>
      </c>
    </row>
    <row r="1150" spans="1:9" x14ac:dyDescent="0.4">
      <c r="A1150" t="s">
        <v>61</v>
      </c>
      <c r="B1150" s="1">
        <v>45413</v>
      </c>
      <c r="C1150">
        <v>841520</v>
      </c>
      <c r="D1150" t="s">
        <v>176</v>
      </c>
      <c r="E1150">
        <v>7540634</v>
      </c>
      <c r="F1150">
        <v>43678</v>
      </c>
      <c r="G1150">
        <v>113341</v>
      </c>
      <c r="H1150">
        <f>_xlfn.XLOOKUP(FACT_IMPORTS[[#This Row],[hts_6]],DIM_PRODUCTS[hts_6],DIM_PRODUCTS[hts_4],,,)</f>
        <v>8415</v>
      </c>
      <c r="I1150" t="str" cm="1">
        <f t="array" ref="I1150">_xlfn.XLOOKUP(FACT_IMPORTS[[#This Row],[country_name]],DIM_COUNTRY[[#All],[Column2]],DIM_COUNTRY[[#All],[Column3]],,,)</f>
        <v>USMCA</v>
      </c>
    </row>
    <row r="1151" spans="1:9" x14ac:dyDescent="0.4">
      <c r="A1151" t="s">
        <v>61</v>
      </c>
      <c r="B1151" s="1">
        <v>45413</v>
      </c>
      <c r="C1151">
        <v>842132</v>
      </c>
      <c r="D1151" t="s">
        <v>176</v>
      </c>
      <c r="E1151">
        <v>11644850</v>
      </c>
      <c r="F1151">
        <v>47428</v>
      </c>
      <c r="G1151">
        <v>43912</v>
      </c>
      <c r="H1151">
        <f>_xlfn.XLOOKUP(FACT_IMPORTS[[#This Row],[hts_6]],DIM_PRODUCTS[hts_6],DIM_PRODUCTS[hts_4],,,)</f>
        <v>8421</v>
      </c>
      <c r="I1151" t="str" cm="1">
        <f t="array" ref="I1151">_xlfn.XLOOKUP(FACT_IMPORTS[[#This Row],[country_name]],DIM_COUNTRY[[#All],[Column2]],DIM_COUNTRY[[#All],[Column3]],,,)</f>
        <v>USMCA</v>
      </c>
    </row>
    <row r="1152" spans="1:9" x14ac:dyDescent="0.4">
      <c r="A1152" t="s">
        <v>61</v>
      </c>
      <c r="B1152" s="1">
        <v>45413</v>
      </c>
      <c r="C1152">
        <v>848210</v>
      </c>
      <c r="D1152" t="s">
        <v>176</v>
      </c>
      <c r="E1152">
        <v>5419347</v>
      </c>
      <c r="F1152">
        <v>1395793</v>
      </c>
      <c r="G1152">
        <v>69240</v>
      </c>
      <c r="H1152">
        <f>_xlfn.XLOOKUP(FACT_IMPORTS[[#This Row],[hts_6]],DIM_PRODUCTS[hts_6],DIM_PRODUCTS[hts_4],,,)</f>
        <v>8482</v>
      </c>
      <c r="I1152" t="str" cm="1">
        <f t="array" ref="I1152">_xlfn.XLOOKUP(FACT_IMPORTS[[#This Row],[country_name]],DIM_COUNTRY[[#All],[Column2]],DIM_COUNTRY[[#All],[Column3]],,,)</f>
        <v>USMCA</v>
      </c>
    </row>
    <row r="1153" spans="1:9" x14ac:dyDescent="0.4">
      <c r="A1153" t="s">
        <v>61</v>
      </c>
      <c r="B1153" s="1">
        <v>45413</v>
      </c>
      <c r="C1153">
        <v>848220</v>
      </c>
      <c r="D1153" t="s">
        <v>176</v>
      </c>
      <c r="E1153">
        <v>203141</v>
      </c>
      <c r="F1153">
        <v>8952</v>
      </c>
      <c r="G1153">
        <v>9264</v>
      </c>
      <c r="H1153">
        <f>_xlfn.XLOOKUP(FACT_IMPORTS[[#This Row],[hts_6]],DIM_PRODUCTS[hts_6],DIM_PRODUCTS[hts_4],,,)</f>
        <v>8482</v>
      </c>
      <c r="I1153" t="str" cm="1">
        <f t="array" ref="I1153">_xlfn.XLOOKUP(FACT_IMPORTS[[#This Row],[country_name]],DIM_COUNTRY[[#All],[Column2]],DIM_COUNTRY[[#All],[Column3]],,,)</f>
        <v>USMCA</v>
      </c>
    </row>
    <row r="1154" spans="1:9" x14ac:dyDescent="0.4">
      <c r="A1154" t="s">
        <v>61</v>
      </c>
      <c r="B1154" s="1">
        <v>45413</v>
      </c>
      <c r="C1154">
        <v>848310</v>
      </c>
      <c r="D1154" t="s">
        <v>176</v>
      </c>
      <c r="E1154">
        <v>17722561</v>
      </c>
      <c r="F1154">
        <v>568333</v>
      </c>
      <c r="G1154">
        <v>342699</v>
      </c>
      <c r="H1154">
        <f>_xlfn.XLOOKUP(FACT_IMPORTS[[#This Row],[hts_6]],DIM_PRODUCTS[hts_6],DIM_PRODUCTS[hts_4],,,)</f>
        <v>8483</v>
      </c>
      <c r="I1154" t="str" cm="1">
        <f t="array" ref="I1154">_xlfn.XLOOKUP(FACT_IMPORTS[[#This Row],[country_name]],DIM_COUNTRY[[#All],[Column2]],DIM_COUNTRY[[#All],[Column3]],,,)</f>
        <v>USMCA</v>
      </c>
    </row>
    <row r="1155" spans="1:9" x14ac:dyDescent="0.4">
      <c r="A1155" t="s">
        <v>61</v>
      </c>
      <c r="B1155" s="1">
        <v>45413</v>
      </c>
      <c r="C1155">
        <v>850131</v>
      </c>
      <c r="D1155" t="s">
        <v>176</v>
      </c>
      <c r="E1155">
        <v>2939647</v>
      </c>
      <c r="F1155">
        <v>84547</v>
      </c>
      <c r="G1155">
        <v>17689</v>
      </c>
      <c r="H1155">
        <f>_xlfn.XLOOKUP(FACT_IMPORTS[[#This Row],[hts_6]],DIM_PRODUCTS[hts_6],DIM_PRODUCTS[hts_4],,,)</f>
        <v>8501</v>
      </c>
      <c r="I1155" t="str" cm="1">
        <f t="array" ref="I1155">_xlfn.XLOOKUP(FACT_IMPORTS[[#This Row],[country_name]],DIM_COUNTRY[[#All],[Column2]],DIM_COUNTRY[[#All],[Column3]],,,)</f>
        <v>USMCA</v>
      </c>
    </row>
    <row r="1156" spans="1:9" x14ac:dyDescent="0.4">
      <c r="A1156" t="s">
        <v>61</v>
      </c>
      <c r="B1156" s="1">
        <v>45413</v>
      </c>
      <c r="C1156">
        <v>850132</v>
      </c>
      <c r="D1156" t="s">
        <v>176</v>
      </c>
      <c r="E1156">
        <v>259420</v>
      </c>
      <c r="F1156">
        <v>39</v>
      </c>
      <c r="G1156">
        <v>2033</v>
      </c>
      <c r="H1156">
        <f>_xlfn.XLOOKUP(FACT_IMPORTS[[#This Row],[hts_6]],DIM_PRODUCTS[hts_6],DIM_PRODUCTS[hts_4],,,)</f>
        <v>8501</v>
      </c>
      <c r="I1156" t="str" cm="1">
        <f t="array" ref="I1156">_xlfn.XLOOKUP(FACT_IMPORTS[[#This Row],[country_name]],DIM_COUNTRY[[#All],[Column2]],DIM_COUNTRY[[#All],[Column3]],,,)</f>
        <v>USMCA</v>
      </c>
    </row>
    <row r="1157" spans="1:9" x14ac:dyDescent="0.4">
      <c r="A1157" t="s">
        <v>61</v>
      </c>
      <c r="B1157" s="1">
        <v>45413</v>
      </c>
      <c r="C1157">
        <v>850133</v>
      </c>
      <c r="D1157" t="s">
        <v>176</v>
      </c>
      <c r="E1157">
        <v>119000</v>
      </c>
      <c r="F1157">
        <v>225</v>
      </c>
      <c r="G1157">
        <v>559</v>
      </c>
      <c r="H1157">
        <f>_xlfn.XLOOKUP(FACT_IMPORTS[[#This Row],[hts_6]],DIM_PRODUCTS[hts_6],DIM_PRODUCTS[hts_4],,,)</f>
        <v>8501</v>
      </c>
      <c r="I1157" t="str" cm="1">
        <f t="array" ref="I1157">_xlfn.XLOOKUP(FACT_IMPORTS[[#This Row],[country_name]],DIM_COUNTRY[[#All],[Column2]],DIM_COUNTRY[[#All],[Column3]],,,)</f>
        <v>USMCA</v>
      </c>
    </row>
    <row r="1158" spans="1:9" x14ac:dyDescent="0.4">
      <c r="A1158" t="s">
        <v>61</v>
      </c>
      <c r="B1158" s="1">
        <v>45413</v>
      </c>
      <c r="C1158">
        <v>850134</v>
      </c>
      <c r="D1158" t="s">
        <v>176</v>
      </c>
      <c r="E1158">
        <v>0</v>
      </c>
      <c r="F1158">
        <v>0</v>
      </c>
      <c r="G1158">
        <v>0</v>
      </c>
      <c r="H1158">
        <f>_xlfn.XLOOKUP(FACT_IMPORTS[[#This Row],[hts_6]],DIM_PRODUCTS[hts_6],DIM_PRODUCTS[hts_4],,,)</f>
        <v>8501</v>
      </c>
      <c r="I1158" t="str" cm="1">
        <f t="array" ref="I1158">_xlfn.XLOOKUP(FACT_IMPORTS[[#This Row],[country_name]],DIM_COUNTRY[[#All],[Column2]],DIM_COUNTRY[[#All],[Column3]],,,)</f>
        <v>USMCA</v>
      </c>
    </row>
    <row r="1159" spans="1:9" x14ac:dyDescent="0.4">
      <c r="A1159" t="s">
        <v>61</v>
      </c>
      <c r="B1159" s="1">
        <v>45413</v>
      </c>
      <c r="C1159">
        <v>850152</v>
      </c>
      <c r="D1159" t="s">
        <v>176</v>
      </c>
      <c r="E1159">
        <v>1130000</v>
      </c>
      <c r="F1159">
        <v>232</v>
      </c>
      <c r="G1159">
        <v>14577</v>
      </c>
      <c r="H1159">
        <f>_xlfn.XLOOKUP(FACT_IMPORTS[[#This Row],[hts_6]],DIM_PRODUCTS[hts_6],DIM_PRODUCTS[hts_4],,,)</f>
        <v>8501</v>
      </c>
      <c r="I1159" t="str" cm="1">
        <f t="array" ref="I1159">_xlfn.XLOOKUP(FACT_IMPORTS[[#This Row],[country_name]],DIM_COUNTRY[[#All],[Column2]],DIM_COUNTRY[[#All],[Column3]],,,)</f>
        <v>USMCA</v>
      </c>
    </row>
    <row r="1160" spans="1:9" x14ac:dyDescent="0.4">
      <c r="A1160" t="s">
        <v>61</v>
      </c>
      <c r="B1160" s="1">
        <v>45413</v>
      </c>
      <c r="C1160">
        <v>850153</v>
      </c>
      <c r="D1160" t="s">
        <v>176</v>
      </c>
      <c r="E1160">
        <v>1352950</v>
      </c>
      <c r="F1160">
        <v>155</v>
      </c>
      <c r="G1160">
        <v>2916</v>
      </c>
      <c r="H1160">
        <f>_xlfn.XLOOKUP(FACT_IMPORTS[[#This Row],[hts_6]],DIM_PRODUCTS[hts_6],DIM_PRODUCTS[hts_4],,,)</f>
        <v>8501</v>
      </c>
      <c r="I1160" t="str" cm="1">
        <f t="array" ref="I1160">_xlfn.XLOOKUP(FACT_IMPORTS[[#This Row],[country_name]],DIM_COUNTRY[[#All],[Column2]],DIM_COUNTRY[[#All],[Column3]],,,)</f>
        <v>USMCA</v>
      </c>
    </row>
    <row r="1161" spans="1:9" x14ac:dyDescent="0.4">
      <c r="A1161" t="s">
        <v>61</v>
      </c>
      <c r="B1161" s="1">
        <v>45413</v>
      </c>
      <c r="C1161">
        <v>850161</v>
      </c>
      <c r="D1161" t="s">
        <v>176</v>
      </c>
      <c r="E1161">
        <v>273920</v>
      </c>
      <c r="F1161">
        <v>6</v>
      </c>
      <c r="G1161">
        <v>1200</v>
      </c>
      <c r="H1161">
        <f>_xlfn.XLOOKUP(FACT_IMPORTS[[#This Row],[hts_6]],DIM_PRODUCTS[hts_6],DIM_PRODUCTS[hts_4],,,)</f>
        <v>8501</v>
      </c>
      <c r="I1161" t="str" cm="1">
        <f t="array" ref="I1161">_xlfn.XLOOKUP(FACT_IMPORTS[[#This Row],[country_name]],DIM_COUNTRY[[#All],[Column2]],DIM_COUNTRY[[#All],[Column3]],,,)</f>
        <v>USMCA</v>
      </c>
    </row>
    <row r="1162" spans="1:9" x14ac:dyDescent="0.4">
      <c r="A1162" t="s">
        <v>61</v>
      </c>
      <c r="B1162" s="1">
        <v>45413</v>
      </c>
      <c r="C1162">
        <v>850440</v>
      </c>
      <c r="D1162" t="s">
        <v>176</v>
      </c>
      <c r="E1162">
        <v>10499088</v>
      </c>
      <c r="F1162">
        <v>9398</v>
      </c>
      <c r="G1162">
        <v>114029</v>
      </c>
      <c r="H1162">
        <f>_xlfn.XLOOKUP(FACT_IMPORTS[[#This Row],[hts_6]],DIM_PRODUCTS[hts_6],DIM_PRODUCTS[hts_4],,,)</f>
        <v>8504</v>
      </c>
      <c r="I1162" t="str" cm="1">
        <f t="array" ref="I1162">_xlfn.XLOOKUP(FACT_IMPORTS[[#This Row],[country_name]],DIM_COUNTRY[[#All],[Column2]],DIM_COUNTRY[[#All],[Column3]],,,)</f>
        <v>USMCA</v>
      </c>
    </row>
    <row r="1163" spans="1:9" x14ac:dyDescent="0.4">
      <c r="A1163" t="s">
        <v>61</v>
      </c>
      <c r="B1163" s="1">
        <v>45413</v>
      </c>
      <c r="C1163">
        <v>850710</v>
      </c>
      <c r="D1163" t="s">
        <v>176</v>
      </c>
      <c r="E1163">
        <v>906713</v>
      </c>
      <c r="F1163">
        <v>4221</v>
      </c>
      <c r="G1163">
        <v>34174</v>
      </c>
      <c r="H1163">
        <f>_xlfn.XLOOKUP(FACT_IMPORTS[[#This Row],[hts_6]],DIM_PRODUCTS[hts_6],DIM_PRODUCTS[hts_4],,,)</f>
        <v>8507</v>
      </c>
      <c r="I1163" t="str" cm="1">
        <f t="array" ref="I1163">_xlfn.XLOOKUP(FACT_IMPORTS[[#This Row],[country_name]],DIM_COUNTRY[[#All],[Column2]],DIM_COUNTRY[[#All],[Column3]],,,)</f>
        <v>USMCA</v>
      </c>
    </row>
    <row r="1164" spans="1:9" x14ac:dyDescent="0.4">
      <c r="A1164" t="s">
        <v>61</v>
      </c>
      <c r="B1164" s="1">
        <v>45413</v>
      </c>
      <c r="C1164">
        <v>850760</v>
      </c>
      <c r="D1164" t="s">
        <v>176</v>
      </c>
      <c r="E1164">
        <v>30642987</v>
      </c>
      <c r="F1164">
        <v>21730</v>
      </c>
      <c r="G1164">
        <v>31890</v>
      </c>
      <c r="H1164">
        <f>_xlfn.XLOOKUP(FACT_IMPORTS[[#This Row],[hts_6]],DIM_PRODUCTS[hts_6],DIM_PRODUCTS[hts_4],,,)</f>
        <v>8507</v>
      </c>
      <c r="I1164" t="str" cm="1">
        <f t="array" ref="I1164">_xlfn.XLOOKUP(FACT_IMPORTS[[#This Row],[country_name]],DIM_COUNTRY[[#All],[Column2]],DIM_COUNTRY[[#All],[Column3]],,,)</f>
        <v>USMCA</v>
      </c>
    </row>
    <row r="1165" spans="1:9" x14ac:dyDescent="0.4">
      <c r="A1165" t="s">
        <v>61</v>
      </c>
      <c r="B1165" s="1">
        <v>45413</v>
      </c>
      <c r="C1165">
        <v>850790</v>
      </c>
      <c r="D1165" t="s">
        <v>176</v>
      </c>
      <c r="E1165">
        <v>97103</v>
      </c>
      <c r="F1165">
        <v>1225</v>
      </c>
      <c r="G1165">
        <v>441</v>
      </c>
      <c r="H1165">
        <f>_xlfn.XLOOKUP(FACT_IMPORTS[[#This Row],[hts_6]],DIM_PRODUCTS[hts_6],DIM_PRODUCTS[hts_4],,,)</f>
        <v>8507</v>
      </c>
      <c r="I1165" t="str" cm="1">
        <f t="array" ref="I1165">_xlfn.XLOOKUP(FACT_IMPORTS[[#This Row],[country_name]],DIM_COUNTRY[[#All],[Column2]],DIM_COUNTRY[[#All],[Column3]],,,)</f>
        <v>USMCA</v>
      </c>
    </row>
    <row r="1166" spans="1:9" x14ac:dyDescent="0.4">
      <c r="A1166" t="s">
        <v>61</v>
      </c>
      <c r="B1166" s="1">
        <v>45413</v>
      </c>
      <c r="C1166">
        <v>851110</v>
      </c>
      <c r="D1166" t="s">
        <v>176</v>
      </c>
      <c r="E1166">
        <v>45436</v>
      </c>
      <c r="F1166">
        <v>8</v>
      </c>
      <c r="G1166">
        <v>49</v>
      </c>
      <c r="H1166">
        <f>_xlfn.XLOOKUP(FACT_IMPORTS[[#This Row],[hts_6]],DIM_PRODUCTS[hts_6],DIM_PRODUCTS[hts_4],,,)</f>
        <v>8511</v>
      </c>
      <c r="I1166" t="str" cm="1">
        <f t="array" ref="I1166">_xlfn.XLOOKUP(FACT_IMPORTS[[#This Row],[country_name]],DIM_COUNTRY[[#All],[Column2]],DIM_COUNTRY[[#All],[Column3]],,,)</f>
        <v>USMCA</v>
      </c>
    </row>
    <row r="1167" spans="1:9" x14ac:dyDescent="0.4">
      <c r="A1167" t="s">
        <v>61</v>
      </c>
      <c r="B1167" s="1">
        <v>45413</v>
      </c>
      <c r="C1167">
        <v>851120</v>
      </c>
      <c r="D1167" t="s">
        <v>176</v>
      </c>
      <c r="E1167">
        <v>0</v>
      </c>
      <c r="F1167">
        <v>0</v>
      </c>
      <c r="G1167">
        <v>0</v>
      </c>
      <c r="H1167">
        <f>_xlfn.XLOOKUP(FACT_IMPORTS[[#This Row],[hts_6]],DIM_PRODUCTS[hts_6],DIM_PRODUCTS[hts_4],,,)</f>
        <v>8511</v>
      </c>
      <c r="I1167" t="str" cm="1">
        <f t="array" ref="I1167">_xlfn.XLOOKUP(FACT_IMPORTS[[#This Row],[country_name]],DIM_COUNTRY[[#All],[Column2]],DIM_COUNTRY[[#All],[Column3]],,,)</f>
        <v>USMCA</v>
      </c>
    </row>
    <row r="1168" spans="1:9" x14ac:dyDescent="0.4">
      <c r="A1168" t="s">
        <v>61</v>
      </c>
      <c r="B1168" s="1">
        <v>45413</v>
      </c>
      <c r="C1168">
        <v>851130</v>
      </c>
      <c r="D1168" t="s">
        <v>176</v>
      </c>
      <c r="E1168">
        <v>14267</v>
      </c>
      <c r="F1168">
        <v>5628</v>
      </c>
      <c r="G1168">
        <v>114</v>
      </c>
      <c r="H1168">
        <f>_xlfn.XLOOKUP(FACT_IMPORTS[[#This Row],[hts_6]],DIM_PRODUCTS[hts_6],DIM_PRODUCTS[hts_4],,,)</f>
        <v>8511</v>
      </c>
      <c r="I1168" t="str" cm="1">
        <f t="array" ref="I1168">_xlfn.XLOOKUP(FACT_IMPORTS[[#This Row],[country_name]],DIM_COUNTRY[[#All],[Column2]],DIM_COUNTRY[[#All],[Column3]],,,)</f>
        <v>USMCA</v>
      </c>
    </row>
    <row r="1169" spans="1:9" x14ac:dyDescent="0.4">
      <c r="A1169" t="s">
        <v>61</v>
      </c>
      <c r="B1169" s="1">
        <v>45413</v>
      </c>
      <c r="C1169">
        <v>851140</v>
      </c>
      <c r="D1169" t="s">
        <v>176</v>
      </c>
      <c r="E1169">
        <v>357730</v>
      </c>
      <c r="F1169">
        <v>6368</v>
      </c>
      <c r="G1169">
        <v>4531</v>
      </c>
      <c r="H1169">
        <f>_xlfn.XLOOKUP(FACT_IMPORTS[[#This Row],[hts_6]],DIM_PRODUCTS[hts_6],DIM_PRODUCTS[hts_4],,,)</f>
        <v>8511</v>
      </c>
      <c r="I1169" t="str" cm="1">
        <f t="array" ref="I1169">_xlfn.XLOOKUP(FACT_IMPORTS[[#This Row],[country_name]],DIM_COUNTRY[[#All],[Column2]],DIM_COUNTRY[[#All],[Column3]],,,)</f>
        <v>USMCA</v>
      </c>
    </row>
    <row r="1170" spans="1:9" x14ac:dyDescent="0.4">
      <c r="A1170" t="s">
        <v>61</v>
      </c>
      <c r="B1170" s="1">
        <v>45413</v>
      </c>
      <c r="C1170">
        <v>851150</v>
      </c>
      <c r="D1170" t="s">
        <v>176</v>
      </c>
      <c r="E1170">
        <v>340575</v>
      </c>
      <c r="F1170">
        <v>5228</v>
      </c>
      <c r="G1170">
        <v>3149</v>
      </c>
      <c r="H1170">
        <f>_xlfn.XLOOKUP(FACT_IMPORTS[[#This Row],[hts_6]],DIM_PRODUCTS[hts_6],DIM_PRODUCTS[hts_4],,,)</f>
        <v>8511</v>
      </c>
      <c r="I1170" t="str" cm="1">
        <f t="array" ref="I1170">_xlfn.XLOOKUP(FACT_IMPORTS[[#This Row],[country_name]],DIM_COUNTRY[[#All],[Column2]],DIM_COUNTRY[[#All],[Column3]],,,)</f>
        <v>USMCA</v>
      </c>
    </row>
    <row r="1171" spans="1:9" x14ac:dyDescent="0.4">
      <c r="A1171" t="s">
        <v>61</v>
      </c>
      <c r="B1171" s="1">
        <v>45413</v>
      </c>
      <c r="C1171">
        <v>851180</v>
      </c>
      <c r="D1171" t="s">
        <v>176</v>
      </c>
      <c r="E1171">
        <v>48669</v>
      </c>
      <c r="F1171">
        <v>127</v>
      </c>
      <c r="G1171">
        <v>550</v>
      </c>
      <c r="H1171">
        <f>_xlfn.XLOOKUP(FACT_IMPORTS[[#This Row],[hts_6]],DIM_PRODUCTS[hts_6],DIM_PRODUCTS[hts_4],,,)</f>
        <v>8511</v>
      </c>
      <c r="I1171" t="str" cm="1">
        <f t="array" ref="I1171">_xlfn.XLOOKUP(FACT_IMPORTS[[#This Row],[country_name]],DIM_COUNTRY[[#All],[Column2]],DIM_COUNTRY[[#All],[Column3]],,,)</f>
        <v>USMCA</v>
      </c>
    </row>
    <row r="1172" spans="1:9" x14ac:dyDescent="0.4">
      <c r="A1172" t="s">
        <v>61</v>
      </c>
      <c r="B1172" s="1">
        <v>45413</v>
      </c>
      <c r="C1172">
        <v>851190</v>
      </c>
      <c r="D1172" t="s">
        <v>176</v>
      </c>
      <c r="E1172">
        <v>730533</v>
      </c>
      <c r="F1172">
        <v>5433</v>
      </c>
      <c r="G1172">
        <v>1938</v>
      </c>
      <c r="H1172">
        <f>_xlfn.XLOOKUP(FACT_IMPORTS[[#This Row],[hts_6]],DIM_PRODUCTS[hts_6],DIM_PRODUCTS[hts_4],,,)</f>
        <v>8511</v>
      </c>
      <c r="I1172" t="str" cm="1">
        <f t="array" ref="I1172">_xlfn.XLOOKUP(FACT_IMPORTS[[#This Row],[country_name]],DIM_COUNTRY[[#All],[Column2]],DIM_COUNTRY[[#All],[Column3]],,,)</f>
        <v>USMCA</v>
      </c>
    </row>
    <row r="1173" spans="1:9" x14ac:dyDescent="0.4">
      <c r="A1173" t="s">
        <v>61</v>
      </c>
      <c r="B1173" s="1">
        <v>45413</v>
      </c>
      <c r="C1173">
        <v>851220</v>
      </c>
      <c r="D1173" t="s">
        <v>176</v>
      </c>
      <c r="E1173">
        <v>23202738</v>
      </c>
      <c r="F1173">
        <v>401151</v>
      </c>
      <c r="G1173">
        <v>89935</v>
      </c>
      <c r="H1173">
        <f>_xlfn.XLOOKUP(FACT_IMPORTS[[#This Row],[hts_6]],DIM_PRODUCTS[hts_6],DIM_PRODUCTS[hts_4],,,)</f>
        <v>8512</v>
      </c>
      <c r="I1173" t="str" cm="1">
        <f t="array" ref="I1173">_xlfn.XLOOKUP(FACT_IMPORTS[[#This Row],[country_name]],DIM_COUNTRY[[#All],[Column2]],DIM_COUNTRY[[#All],[Column3]],,,)</f>
        <v>USMCA</v>
      </c>
    </row>
    <row r="1174" spans="1:9" x14ac:dyDescent="0.4">
      <c r="A1174" t="s">
        <v>61</v>
      </c>
      <c r="B1174" s="1">
        <v>45413</v>
      </c>
      <c r="C1174">
        <v>851230</v>
      </c>
      <c r="D1174" t="s">
        <v>176</v>
      </c>
      <c r="E1174">
        <v>105749</v>
      </c>
      <c r="F1174">
        <v>196</v>
      </c>
      <c r="G1174">
        <v>756</v>
      </c>
      <c r="H1174">
        <f>_xlfn.XLOOKUP(FACT_IMPORTS[[#This Row],[hts_6]],DIM_PRODUCTS[hts_6],DIM_PRODUCTS[hts_4],,,)</f>
        <v>8512</v>
      </c>
      <c r="I1174" t="str" cm="1">
        <f t="array" ref="I1174">_xlfn.XLOOKUP(FACT_IMPORTS[[#This Row],[country_name]],DIM_COUNTRY[[#All],[Column2]],DIM_COUNTRY[[#All],[Column3]],,,)</f>
        <v>USMCA</v>
      </c>
    </row>
    <row r="1175" spans="1:9" x14ac:dyDescent="0.4">
      <c r="A1175" t="s">
        <v>61</v>
      </c>
      <c r="B1175" s="1">
        <v>45413</v>
      </c>
      <c r="C1175">
        <v>851240</v>
      </c>
      <c r="D1175" t="s">
        <v>176</v>
      </c>
      <c r="E1175">
        <v>2714</v>
      </c>
      <c r="F1175">
        <v>10</v>
      </c>
      <c r="G1175">
        <v>1</v>
      </c>
      <c r="H1175">
        <f>_xlfn.XLOOKUP(FACT_IMPORTS[[#This Row],[hts_6]],DIM_PRODUCTS[hts_6],DIM_PRODUCTS[hts_4],,,)</f>
        <v>8512</v>
      </c>
      <c r="I1175" t="str" cm="1">
        <f t="array" ref="I1175">_xlfn.XLOOKUP(FACT_IMPORTS[[#This Row],[country_name]],DIM_COUNTRY[[#All],[Column2]],DIM_COUNTRY[[#All],[Column3]],,,)</f>
        <v>USMCA</v>
      </c>
    </row>
    <row r="1176" spans="1:9" x14ac:dyDescent="0.4">
      <c r="A1176" t="s">
        <v>61</v>
      </c>
      <c r="B1176" s="1">
        <v>45413</v>
      </c>
      <c r="C1176">
        <v>851290</v>
      </c>
      <c r="D1176" t="s">
        <v>176</v>
      </c>
      <c r="E1176">
        <v>2462333</v>
      </c>
      <c r="F1176">
        <v>50323</v>
      </c>
      <c r="G1176">
        <v>6252</v>
      </c>
      <c r="H1176">
        <f>_xlfn.XLOOKUP(FACT_IMPORTS[[#This Row],[hts_6]],DIM_PRODUCTS[hts_6],DIM_PRODUCTS[hts_4],,,)</f>
        <v>8512</v>
      </c>
      <c r="I1176" t="str" cm="1">
        <f t="array" ref="I1176">_xlfn.XLOOKUP(FACT_IMPORTS[[#This Row],[country_name]],DIM_COUNTRY[[#All],[Column2]],DIM_COUNTRY[[#All],[Column3]],,,)</f>
        <v>USMCA</v>
      </c>
    </row>
    <row r="1177" spans="1:9" x14ac:dyDescent="0.4">
      <c r="A1177" t="s">
        <v>61</v>
      </c>
      <c r="B1177" s="1">
        <v>45413</v>
      </c>
      <c r="C1177">
        <v>854231</v>
      </c>
      <c r="D1177" t="s">
        <v>176</v>
      </c>
      <c r="E1177">
        <v>40039</v>
      </c>
      <c r="F1177">
        <v>566</v>
      </c>
      <c r="G1177">
        <v>917</v>
      </c>
      <c r="H1177">
        <f>_xlfn.XLOOKUP(FACT_IMPORTS[[#This Row],[hts_6]],DIM_PRODUCTS[hts_6],DIM_PRODUCTS[hts_4],,,)</f>
        <v>8542</v>
      </c>
      <c r="I1177" t="str" cm="1">
        <f t="array" ref="I1177">_xlfn.XLOOKUP(FACT_IMPORTS[[#This Row],[country_name]],DIM_COUNTRY[[#All],[Column2]],DIM_COUNTRY[[#All],[Column3]],,,)</f>
        <v>USMCA</v>
      </c>
    </row>
    <row r="1178" spans="1:9" x14ac:dyDescent="0.4">
      <c r="A1178" t="s">
        <v>61</v>
      </c>
      <c r="B1178" s="1">
        <v>45413</v>
      </c>
      <c r="C1178">
        <v>854232</v>
      </c>
      <c r="D1178" t="s">
        <v>176</v>
      </c>
      <c r="E1178">
        <v>6744</v>
      </c>
      <c r="F1178">
        <v>10500</v>
      </c>
      <c r="G1178">
        <v>208</v>
      </c>
      <c r="H1178">
        <f>_xlfn.XLOOKUP(FACT_IMPORTS[[#This Row],[hts_6]],DIM_PRODUCTS[hts_6],DIM_PRODUCTS[hts_4],,,)</f>
        <v>8542</v>
      </c>
      <c r="I1178" t="str" cm="1">
        <f t="array" ref="I1178">_xlfn.XLOOKUP(FACT_IMPORTS[[#This Row],[country_name]],DIM_COUNTRY[[#All],[Column2]],DIM_COUNTRY[[#All],[Column3]],,,)</f>
        <v>USMCA</v>
      </c>
    </row>
    <row r="1179" spans="1:9" x14ac:dyDescent="0.4">
      <c r="A1179" t="s">
        <v>61</v>
      </c>
      <c r="B1179" s="1">
        <v>45413</v>
      </c>
      <c r="C1179">
        <v>854233</v>
      </c>
      <c r="D1179" t="s">
        <v>176</v>
      </c>
      <c r="E1179">
        <v>9263</v>
      </c>
      <c r="F1179">
        <v>1</v>
      </c>
      <c r="G1179">
        <v>31</v>
      </c>
      <c r="H1179">
        <f>_xlfn.XLOOKUP(FACT_IMPORTS[[#This Row],[hts_6]],DIM_PRODUCTS[hts_6],DIM_PRODUCTS[hts_4],,,)</f>
        <v>8542</v>
      </c>
      <c r="I1179" t="str" cm="1">
        <f t="array" ref="I1179">_xlfn.XLOOKUP(FACT_IMPORTS[[#This Row],[country_name]],DIM_COUNTRY[[#All],[Column2]],DIM_COUNTRY[[#All],[Column3]],,,)</f>
        <v>USMCA</v>
      </c>
    </row>
    <row r="1180" spans="1:9" x14ac:dyDescent="0.4">
      <c r="A1180" t="s">
        <v>61</v>
      </c>
      <c r="B1180" s="1">
        <v>45413</v>
      </c>
      <c r="C1180">
        <v>854239</v>
      </c>
      <c r="D1180" t="s">
        <v>176</v>
      </c>
      <c r="E1180">
        <v>18135</v>
      </c>
      <c r="F1180">
        <v>108</v>
      </c>
      <c r="G1180">
        <v>93</v>
      </c>
      <c r="H1180">
        <f>_xlfn.XLOOKUP(FACT_IMPORTS[[#This Row],[hts_6]],DIM_PRODUCTS[hts_6],DIM_PRODUCTS[hts_4],,,)</f>
        <v>8542</v>
      </c>
      <c r="I1180" t="str" cm="1">
        <f t="array" ref="I1180">_xlfn.XLOOKUP(FACT_IMPORTS[[#This Row],[country_name]],DIM_COUNTRY[[#All],[Column2]],DIM_COUNTRY[[#All],[Column3]],,,)</f>
        <v>USMCA</v>
      </c>
    </row>
    <row r="1181" spans="1:9" x14ac:dyDescent="0.4">
      <c r="A1181" t="s">
        <v>61</v>
      </c>
      <c r="B1181" s="1">
        <v>45413</v>
      </c>
      <c r="C1181">
        <v>854290</v>
      </c>
      <c r="D1181" t="s">
        <v>176</v>
      </c>
      <c r="E1181">
        <v>0</v>
      </c>
      <c r="F1181">
        <v>0</v>
      </c>
      <c r="G1181">
        <v>0</v>
      </c>
      <c r="H1181">
        <f>_xlfn.XLOOKUP(FACT_IMPORTS[[#This Row],[hts_6]],DIM_PRODUCTS[hts_6],DIM_PRODUCTS[hts_4],,,)</f>
        <v>8542</v>
      </c>
      <c r="I1181" t="str" cm="1">
        <f t="array" ref="I1181">_xlfn.XLOOKUP(FACT_IMPORTS[[#This Row],[country_name]],DIM_COUNTRY[[#All],[Column2]],DIM_COUNTRY[[#All],[Column3]],,,)</f>
        <v>USMCA</v>
      </c>
    </row>
    <row r="1182" spans="1:9" x14ac:dyDescent="0.4">
      <c r="A1182" t="s">
        <v>61</v>
      </c>
      <c r="B1182" s="1">
        <v>45413</v>
      </c>
      <c r="C1182">
        <v>854430</v>
      </c>
      <c r="D1182" t="s">
        <v>176</v>
      </c>
      <c r="E1182">
        <v>2171920</v>
      </c>
      <c r="F1182">
        <v>50121</v>
      </c>
      <c r="G1182">
        <v>9054</v>
      </c>
      <c r="H1182">
        <f>_xlfn.XLOOKUP(FACT_IMPORTS[[#This Row],[hts_6]],DIM_PRODUCTS[hts_6],DIM_PRODUCTS[hts_4],,,)</f>
        <v>8544</v>
      </c>
      <c r="I1182" t="str" cm="1">
        <f t="array" ref="I1182">_xlfn.XLOOKUP(FACT_IMPORTS[[#This Row],[country_name]],DIM_COUNTRY[[#All],[Column2]],DIM_COUNTRY[[#All],[Column3]],,,)</f>
        <v>USMCA</v>
      </c>
    </row>
    <row r="1183" spans="1:9" x14ac:dyDescent="0.4">
      <c r="A1183" t="s">
        <v>61</v>
      </c>
      <c r="B1183" s="1">
        <v>45413</v>
      </c>
      <c r="C1183">
        <v>870600</v>
      </c>
      <c r="D1183" t="s">
        <v>176</v>
      </c>
      <c r="E1183">
        <v>0</v>
      </c>
      <c r="F1183">
        <v>0</v>
      </c>
      <c r="G1183">
        <v>0</v>
      </c>
      <c r="H1183">
        <f>_xlfn.XLOOKUP(FACT_IMPORTS[[#This Row],[hts_6]],DIM_PRODUCTS[hts_6],DIM_PRODUCTS[hts_4],,,)</f>
        <v>8706</v>
      </c>
      <c r="I1183" t="str" cm="1">
        <f t="array" ref="I1183">_xlfn.XLOOKUP(FACT_IMPORTS[[#This Row],[country_name]],DIM_COUNTRY[[#All],[Column2]],DIM_COUNTRY[[#All],[Column3]],,,)</f>
        <v>USMCA</v>
      </c>
    </row>
    <row r="1184" spans="1:9" x14ac:dyDescent="0.4">
      <c r="A1184" t="s">
        <v>61</v>
      </c>
      <c r="B1184" s="1">
        <v>45413</v>
      </c>
      <c r="C1184">
        <v>870710</v>
      </c>
      <c r="D1184" t="s">
        <v>176</v>
      </c>
      <c r="E1184">
        <v>102267</v>
      </c>
      <c r="F1184">
        <v>72</v>
      </c>
      <c r="G1184">
        <v>1450</v>
      </c>
      <c r="H1184">
        <f>_xlfn.XLOOKUP(FACT_IMPORTS[[#This Row],[hts_6]],DIM_PRODUCTS[hts_6],DIM_PRODUCTS[hts_4],,,)</f>
        <v>8707</v>
      </c>
      <c r="I1184" t="str" cm="1">
        <f t="array" ref="I1184">_xlfn.XLOOKUP(FACT_IMPORTS[[#This Row],[country_name]],DIM_COUNTRY[[#All],[Column2]],DIM_COUNTRY[[#All],[Column3]],,,)</f>
        <v>USMCA</v>
      </c>
    </row>
    <row r="1185" spans="1:9" x14ac:dyDescent="0.4">
      <c r="A1185" t="s">
        <v>61</v>
      </c>
      <c r="B1185" s="1">
        <v>45413</v>
      </c>
      <c r="C1185">
        <v>870790</v>
      </c>
      <c r="D1185" t="s">
        <v>176</v>
      </c>
      <c r="E1185">
        <v>4329695</v>
      </c>
      <c r="F1185">
        <v>352</v>
      </c>
      <c r="G1185">
        <v>42073</v>
      </c>
      <c r="H1185">
        <f>_xlfn.XLOOKUP(FACT_IMPORTS[[#This Row],[hts_6]],DIM_PRODUCTS[hts_6],DIM_PRODUCTS[hts_4],,,)</f>
        <v>8707</v>
      </c>
      <c r="I1185" t="str" cm="1">
        <f t="array" ref="I1185">_xlfn.XLOOKUP(FACT_IMPORTS[[#This Row],[country_name]],DIM_COUNTRY[[#All],[Column2]],DIM_COUNTRY[[#All],[Column3]],,,)</f>
        <v>USMCA</v>
      </c>
    </row>
    <row r="1186" spans="1:9" x14ac:dyDescent="0.4">
      <c r="A1186" t="s">
        <v>61</v>
      </c>
      <c r="B1186" s="1">
        <v>45413</v>
      </c>
      <c r="C1186">
        <v>870810</v>
      </c>
      <c r="D1186" t="s">
        <v>176</v>
      </c>
      <c r="E1186">
        <v>28224245</v>
      </c>
      <c r="F1186">
        <v>1118316</v>
      </c>
      <c r="G1186">
        <v>433880</v>
      </c>
      <c r="H1186">
        <f>_xlfn.XLOOKUP(FACT_IMPORTS[[#This Row],[hts_6]],DIM_PRODUCTS[hts_6],DIM_PRODUCTS[hts_4],,,)</f>
        <v>8708</v>
      </c>
      <c r="I1186" t="str" cm="1">
        <f t="array" ref="I1186">_xlfn.XLOOKUP(FACT_IMPORTS[[#This Row],[country_name]],DIM_COUNTRY[[#All],[Column2]],DIM_COUNTRY[[#All],[Column3]],,,)</f>
        <v>USMCA</v>
      </c>
    </row>
    <row r="1187" spans="1:9" x14ac:dyDescent="0.4">
      <c r="A1187" t="s">
        <v>61</v>
      </c>
      <c r="B1187" s="1">
        <v>45413</v>
      </c>
      <c r="C1187">
        <v>870821</v>
      </c>
      <c r="D1187" t="s">
        <v>176</v>
      </c>
      <c r="E1187">
        <v>445237</v>
      </c>
      <c r="F1187">
        <v>21179</v>
      </c>
      <c r="G1187">
        <v>5792</v>
      </c>
      <c r="H1187">
        <f>_xlfn.XLOOKUP(FACT_IMPORTS[[#This Row],[hts_6]],DIM_PRODUCTS[hts_6],DIM_PRODUCTS[hts_4],,,)</f>
        <v>8708</v>
      </c>
      <c r="I1187" t="str" cm="1">
        <f t="array" ref="I1187">_xlfn.XLOOKUP(FACT_IMPORTS[[#This Row],[country_name]],DIM_COUNTRY[[#All],[Column2]],DIM_COUNTRY[[#All],[Column3]],,,)</f>
        <v>USMCA</v>
      </c>
    </row>
    <row r="1188" spans="1:9" x14ac:dyDescent="0.4">
      <c r="A1188" t="s">
        <v>61</v>
      </c>
      <c r="B1188" s="1">
        <v>45413</v>
      </c>
      <c r="C1188">
        <v>870822</v>
      </c>
      <c r="D1188" t="s">
        <v>176</v>
      </c>
      <c r="E1188">
        <v>6177346</v>
      </c>
      <c r="F1188">
        <v>108203</v>
      </c>
      <c r="G1188">
        <v>195111</v>
      </c>
      <c r="H1188">
        <f>_xlfn.XLOOKUP(FACT_IMPORTS[[#This Row],[hts_6]],DIM_PRODUCTS[hts_6],DIM_PRODUCTS[hts_4],,,)</f>
        <v>8708</v>
      </c>
      <c r="I1188" t="str" cm="1">
        <f t="array" ref="I1188">_xlfn.XLOOKUP(FACT_IMPORTS[[#This Row],[country_name]],DIM_COUNTRY[[#All],[Column2]],DIM_COUNTRY[[#All],[Column3]],,,)</f>
        <v>USMCA</v>
      </c>
    </row>
    <row r="1189" spans="1:9" x14ac:dyDescent="0.4">
      <c r="A1189" t="s">
        <v>61</v>
      </c>
      <c r="B1189" s="1">
        <v>45413</v>
      </c>
      <c r="C1189">
        <v>870829</v>
      </c>
      <c r="D1189" t="s">
        <v>176</v>
      </c>
      <c r="E1189">
        <v>412542898</v>
      </c>
      <c r="F1189">
        <v>62298561</v>
      </c>
      <c r="G1189">
        <v>8399551</v>
      </c>
      <c r="H1189">
        <f>_xlfn.XLOOKUP(FACT_IMPORTS[[#This Row],[hts_6]],DIM_PRODUCTS[hts_6],DIM_PRODUCTS[hts_4],,,)</f>
        <v>8708</v>
      </c>
      <c r="I1189" t="str" cm="1">
        <f t="array" ref="I1189">_xlfn.XLOOKUP(FACT_IMPORTS[[#This Row],[country_name]],DIM_COUNTRY[[#All],[Column2]],DIM_COUNTRY[[#All],[Column3]],,,)</f>
        <v>USMCA</v>
      </c>
    </row>
    <row r="1190" spans="1:9" x14ac:dyDescent="0.4">
      <c r="A1190" t="s">
        <v>61</v>
      </c>
      <c r="B1190" s="1">
        <v>45413</v>
      </c>
      <c r="C1190">
        <v>870830</v>
      </c>
      <c r="D1190" t="s">
        <v>176</v>
      </c>
      <c r="E1190">
        <v>13780112</v>
      </c>
      <c r="F1190">
        <v>3619385</v>
      </c>
      <c r="G1190">
        <v>208735</v>
      </c>
      <c r="H1190">
        <f>_xlfn.XLOOKUP(FACT_IMPORTS[[#This Row],[hts_6]],DIM_PRODUCTS[hts_6],DIM_PRODUCTS[hts_4],,,)</f>
        <v>8708</v>
      </c>
      <c r="I1190" t="str" cm="1">
        <f t="array" ref="I1190">_xlfn.XLOOKUP(FACT_IMPORTS[[#This Row],[country_name]],DIM_COUNTRY[[#All],[Column2]],DIM_COUNTRY[[#All],[Column3]],,,)</f>
        <v>USMCA</v>
      </c>
    </row>
    <row r="1191" spans="1:9" x14ac:dyDescent="0.4">
      <c r="A1191" t="s">
        <v>61</v>
      </c>
      <c r="B1191" s="1">
        <v>45413</v>
      </c>
      <c r="C1191">
        <v>870840</v>
      </c>
      <c r="D1191" t="s">
        <v>176</v>
      </c>
      <c r="E1191">
        <v>91733807</v>
      </c>
      <c r="F1191">
        <v>4577425</v>
      </c>
      <c r="G1191">
        <v>485397</v>
      </c>
      <c r="H1191">
        <f>_xlfn.XLOOKUP(FACT_IMPORTS[[#This Row],[hts_6]],DIM_PRODUCTS[hts_6],DIM_PRODUCTS[hts_4],,,)</f>
        <v>8708</v>
      </c>
      <c r="I1191" t="str" cm="1">
        <f t="array" ref="I1191">_xlfn.XLOOKUP(FACT_IMPORTS[[#This Row],[country_name]],DIM_COUNTRY[[#All],[Column2]],DIM_COUNTRY[[#All],[Column3]],,,)</f>
        <v>USMCA</v>
      </c>
    </row>
    <row r="1192" spans="1:9" x14ac:dyDescent="0.4">
      <c r="A1192" t="s">
        <v>61</v>
      </c>
      <c r="B1192" s="1">
        <v>45413</v>
      </c>
      <c r="C1192">
        <v>870850</v>
      </c>
      <c r="D1192" t="s">
        <v>176</v>
      </c>
      <c r="E1192">
        <v>33537942</v>
      </c>
      <c r="F1192">
        <v>1807179</v>
      </c>
      <c r="G1192">
        <v>220084</v>
      </c>
      <c r="H1192">
        <f>_xlfn.XLOOKUP(FACT_IMPORTS[[#This Row],[hts_6]],DIM_PRODUCTS[hts_6],DIM_PRODUCTS[hts_4],,,)</f>
        <v>8708</v>
      </c>
      <c r="I1192" t="str" cm="1">
        <f t="array" ref="I1192">_xlfn.XLOOKUP(FACT_IMPORTS[[#This Row],[country_name]],DIM_COUNTRY[[#All],[Column2]],DIM_COUNTRY[[#All],[Column3]],,,)</f>
        <v>USMCA</v>
      </c>
    </row>
    <row r="1193" spans="1:9" x14ac:dyDescent="0.4">
      <c r="A1193" t="s">
        <v>61</v>
      </c>
      <c r="B1193" s="1">
        <v>45413</v>
      </c>
      <c r="C1193">
        <v>870870</v>
      </c>
      <c r="D1193" t="s">
        <v>176</v>
      </c>
      <c r="E1193">
        <v>7344460</v>
      </c>
      <c r="F1193">
        <v>6093907</v>
      </c>
      <c r="G1193">
        <v>73266</v>
      </c>
      <c r="H1193">
        <f>_xlfn.XLOOKUP(FACT_IMPORTS[[#This Row],[hts_6]],DIM_PRODUCTS[hts_6],DIM_PRODUCTS[hts_4],,,)</f>
        <v>8708</v>
      </c>
      <c r="I1193" t="str" cm="1">
        <f t="array" ref="I1193">_xlfn.XLOOKUP(FACT_IMPORTS[[#This Row],[country_name]],DIM_COUNTRY[[#All],[Column2]],DIM_COUNTRY[[#All],[Column3]],,,)</f>
        <v>USMCA</v>
      </c>
    </row>
    <row r="1194" spans="1:9" x14ac:dyDescent="0.4">
      <c r="A1194" t="s">
        <v>61</v>
      </c>
      <c r="B1194" s="1">
        <v>45413</v>
      </c>
      <c r="C1194">
        <v>870880</v>
      </c>
      <c r="D1194" t="s">
        <v>176</v>
      </c>
      <c r="E1194">
        <v>72784238</v>
      </c>
      <c r="F1194">
        <v>3286605</v>
      </c>
      <c r="G1194">
        <v>1099750</v>
      </c>
      <c r="H1194">
        <f>_xlfn.XLOOKUP(FACT_IMPORTS[[#This Row],[hts_6]],DIM_PRODUCTS[hts_6],DIM_PRODUCTS[hts_4],,,)</f>
        <v>8708</v>
      </c>
      <c r="I1194" t="str" cm="1">
        <f t="array" ref="I1194">_xlfn.XLOOKUP(FACT_IMPORTS[[#This Row],[country_name]],DIM_COUNTRY[[#All],[Column2]],DIM_COUNTRY[[#All],[Column3]],,,)</f>
        <v>USMCA</v>
      </c>
    </row>
    <row r="1195" spans="1:9" x14ac:dyDescent="0.4">
      <c r="A1195" t="s">
        <v>61</v>
      </c>
      <c r="B1195" s="1">
        <v>45413</v>
      </c>
      <c r="C1195">
        <v>870891</v>
      </c>
      <c r="D1195" t="s">
        <v>176</v>
      </c>
      <c r="E1195">
        <v>21619672</v>
      </c>
      <c r="F1195">
        <v>871165</v>
      </c>
      <c r="G1195">
        <v>379651</v>
      </c>
      <c r="H1195">
        <f>_xlfn.XLOOKUP(FACT_IMPORTS[[#This Row],[hts_6]],DIM_PRODUCTS[hts_6],DIM_PRODUCTS[hts_4],,,)</f>
        <v>8708</v>
      </c>
      <c r="I1195" t="str" cm="1">
        <f t="array" ref="I1195">_xlfn.XLOOKUP(FACT_IMPORTS[[#This Row],[country_name]],DIM_COUNTRY[[#All],[Column2]],DIM_COUNTRY[[#All],[Column3]],,,)</f>
        <v>USMCA</v>
      </c>
    </row>
    <row r="1196" spans="1:9" x14ac:dyDescent="0.4">
      <c r="A1196" t="s">
        <v>61</v>
      </c>
      <c r="B1196" s="1">
        <v>45413</v>
      </c>
      <c r="C1196">
        <v>870892</v>
      </c>
      <c r="D1196" t="s">
        <v>176</v>
      </c>
      <c r="E1196">
        <v>24794355</v>
      </c>
      <c r="F1196">
        <v>1289757</v>
      </c>
      <c r="G1196">
        <v>366711</v>
      </c>
      <c r="H1196">
        <f>_xlfn.XLOOKUP(FACT_IMPORTS[[#This Row],[hts_6]],DIM_PRODUCTS[hts_6],DIM_PRODUCTS[hts_4],,,)</f>
        <v>8708</v>
      </c>
      <c r="I1196" t="str" cm="1">
        <f t="array" ref="I1196">_xlfn.XLOOKUP(FACT_IMPORTS[[#This Row],[country_name]],DIM_COUNTRY[[#All],[Column2]],DIM_COUNTRY[[#All],[Column3]],,,)</f>
        <v>USMCA</v>
      </c>
    </row>
    <row r="1197" spans="1:9" x14ac:dyDescent="0.4">
      <c r="A1197" t="s">
        <v>61</v>
      </c>
      <c r="B1197" s="1">
        <v>45413</v>
      </c>
      <c r="C1197">
        <v>870893</v>
      </c>
      <c r="D1197" t="s">
        <v>176</v>
      </c>
      <c r="E1197">
        <v>54216857</v>
      </c>
      <c r="F1197">
        <v>1455261</v>
      </c>
      <c r="G1197">
        <v>114547</v>
      </c>
      <c r="H1197">
        <f>_xlfn.XLOOKUP(FACT_IMPORTS[[#This Row],[hts_6]],DIM_PRODUCTS[hts_6],DIM_PRODUCTS[hts_4],,,)</f>
        <v>8708</v>
      </c>
      <c r="I1197" t="str" cm="1">
        <f t="array" ref="I1197">_xlfn.XLOOKUP(FACT_IMPORTS[[#This Row],[country_name]],DIM_COUNTRY[[#All],[Column2]],DIM_COUNTRY[[#All],[Column3]],,,)</f>
        <v>USMCA</v>
      </c>
    </row>
    <row r="1198" spans="1:9" x14ac:dyDescent="0.4">
      <c r="A1198" t="s">
        <v>61</v>
      </c>
      <c r="B1198" s="1">
        <v>45413</v>
      </c>
      <c r="C1198">
        <v>870894</v>
      </c>
      <c r="D1198" t="s">
        <v>176</v>
      </c>
      <c r="E1198">
        <v>12169842</v>
      </c>
      <c r="F1198">
        <v>2109830</v>
      </c>
      <c r="G1198">
        <v>140592</v>
      </c>
      <c r="H1198">
        <f>_xlfn.XLOOKUP(FACT_IMPORTS[[#This Row],[hts_6]],DIM_PRODUCTS[hts_6],DIM_PRODUCTS[hts_4],,,)</f>
        <v>8708</v>
      </c>
      <c r="I1198" t="str" cm="1">
        <f t="array" ref="I1198">_xlfn.XLOOKUP(FACT_IMPORTS[[#This Row],[country_name]],DIM_COUNTRY[[#All],[Column2]],DIM_COUNTRY[[#All],[Column3]],,,)</f>
        <v>USMCA</v>
      </c>
    </row>
    <row r="1199" spans="1:9" x14ac:dyDescent="0.4">
      <c r="A1199" t="s">
        <v>61</v>
      </c>
      <c r="B1199" s="1">
        <v>45413</v>
      </c>
      <c r="C1199">
        <v>870895</v>
      </c>
      <c r="D1199" t="s">
        <v>176</v>
      </c>
      <c r="E1199">
        <v>1548434</v>
      </c>
      <c r="F1199">
        <v>1340688</v>
      </c>
      <c r="G1199">
        <v>13982</v>
      </c>
      <c r="H1199">
        <f>_xlfn.XLOOKUP(FACT_IMPORTS[[#This Row],[hts_6]],DIM_PRODUCTS[hts_6],DIM_PRODUCTS[hts_4],,,)</f>
        <v>8708</v>
      </c>
      <c r="I1199" t="str" cm="1">
        <f t="array" ref="I1199">_xlfn.XLOOKUP(FACT_IMPORTS[[#This Row],[country_name]],DIM_COUNTRY[[#All],[Column2]],DIM_COUNTRY[[#All],[Column3]],,,)</f>
        <v>USMCA</v>
      </c>
    </row>
    <row r="1200" spans="1:9" x14ac:dyDescent="0.4">
      <c r="A1200" t="s">
        <v>61</v>
      </c>
      <c r="B1200" s="1">
        <v>45413</v>
      </c>
      <c r="C1200">
        <v>870899</v>
      </c>
      <c r="D1200" t="s">
        <v>176</v>
      </c>
      <c r="E1200">
        <v>181676890</v>
      </c>
      <c r="F1200">
        <v>18140211</v>
      </c>
      <c r="G1200">
        <v>2024775</v>
      </c>
      <c r="H1200">
        <f>_xlfn.XLOOKUP(FACT_IMPORTS[[#This Row],[hts_6]],DIM_PRODUCTS[hts_6],DIM_PRODUCTS[hts_4],,,)</f>
        <v>8708</v>
      </c>
      <c r="I1200" t="str" cm="1">
        <f t="array" ref="I1200">_xlfn.XLOOKUP(FACT_IMPORTS[[#This Row],[country_name]],DIM_COUNTRY[[#All],[Column2]],DIM_COUNTRY[[#All],[Column3]],,,)</f>
        <v>USMCA</v>
      </c>
    </row>
    <row r="1201" spans="1:9" x14ac:dyDescent="0.4">
      <c r="A1201" t="s">
        <v>61</v>
      </c>
      <c r="B1201" s="1">
        <v>45413</v>
      </c>
      <c r="C1201">
        <v>940120</v>
      </c>
      <c r="D1201" t="s">
        <v>176</v>
      </c>
      <c r="E1201">
        <v>1192888</v>
      </c>
      <c r="F1201">
        <v>13645</v>
      </c>
      <c r="G1201">
        <v>10900</v>
      </c>
      <c r="H1201">
        <f>_xlfn.XLOOKUP(FACT_IMPORTS[[#This Row],[hts_6]],DIM_PRODUCTS[hts_6],DIM_PRODUCTS[hts_4],,,)</f>
        <v>9401</v>
      </c>
      <c r="I1201" t="str" cm="1">
        <f t="array" ref="I1201">_xlfn.XLOOKUP(FACT_IMPORTS[[#This Row],[country_name]],DIM_COUNTRY[[#All],[Column2]],DIM_COUNTRY[[#All],[Column3]],,,)</f>
        <v>USMCA</v>
      </c>
    </row>
    <row r="1202" spans="1:9" x14ac:dyDescent="0.4">
      <c r="A1202" t="s">
        <v>61</v>
      </c>
      <c r="B1202" s="1">
        <v>45444</v>
      </c>
      <c r="C1202">
        <v>392630</v>
      </c>
      <c r="D1202" t="s">
        <v>176</v>
      </c>
      <c r="E1202">
        <v>2932547</v>
      </c>
      <c r="F1202">
        <v>385406</v>
      </c>
      <c r="G1202">
        <v>194842</v>
      </c>
      <c r="H1202">
        <f>_xlfn.XLOOKUP(FACT_IMPORTS[[#This Row],[hts_6]],DIM_PRODUCTS[hts_6],DIM_PRODUCTS[hts_4],,,)</f>
        <v>3926</v>
      </c>
      <c r="I1202" t="str" cm="1">
        <f t="array" ref="I1202">_xlfn.XLOOKUP(FACT_IMPORTS[[#This Row],[country_name]],DIM_COUNTRY[[#All],[Column2]],DIM_COUNTRY[[#All],[Column3]],,,)</f>
        <v>USMCA</v>
      </c>
    </row>
    <row r="1203" spans="1:9" x14ac:dyDescent="0.4">
      <c r="A1203" t="s">
        <v>61</v>
      </c>
      <c r="B1203" s="1">
        <v>45444</v>
      </c>
      <c r="C1203">
        <v>401110</v>
      </c>
      <c r="D1203" t="s">
        <v>176</v>
      </c>
      <c r="E1203">
        <v>50196182</v>
      </c>
      <c r="F1203">
        <v>656675</v>
      </c>
      <c r="G1203">
        <v>361732</v>
      </c>
      <c r="H1203">
        <f>_xlfn.XLOOKUP(FACT_IMPORTS[[#This Row],[hts_6]],DIM_PRODUCTS[hts_6],DIM_PRODUCTS[hts_4],,,)</f>
        <v>4011</v>
      </c>
      <c r="I1203" t="str" cm="1">
        <f t="array" ref="I1203">_xlfn.XLOOKUP(FACT_IMPORTS[[#This Row],[country_name]],DIM_COUNTRY[[#All],[Column2]],DIM_COUNTRY[[#All],[Column3]],,,)</f>
        <v>USMCA</v>
      </c>
    </row>
    <row r="1204" spans="1:9" x14ac:dyDescent="0.4">
      <c r="A1204" t="s">
        <v>61</v>
      </c>
      <c r="B1204" s="1">
        <v>45444</v>
      </c>
      <c r="C1204">
        <v>401120</v>
      </c>
      <c r="D1204" t="s">
        <v>176</v>
      </c>
      <c r="E1204">
        <v>45321478</v>
      </c>
      <c r="F1204">
        <v>281720</v>
      </c>
      <c r="G1204">
        <v>264156</v>
      </c>
      <c r="H1204">
        <f>_xlfn.XLOOKUP(FACT_IMPORTS[[#This Row],[hts_6]],DIM_PRODUCTS[hts_6],DIM_PRODUCTS[hts_4],,,)</f>
        <v>4011</v>
      </c>
      <c r="I1204" t="str" cm="1">
        <f t="array" ref="I1204">_xlfn.XLOOKUP(FACT_IMPORTS[[#This Row],[country_name]],DIM_COUNTRY[[#All],[Column2]],DIM_COUNTRY[[#All],[Column3]],,,)</f>
        <v>USMCA</v>
      </c>
    </row>
    <row r="1205" spans="1:9" x14ac:dyDescent="0.4">
      <c r="A1205" t="s">
        <v>61</v>
      </c>
      <c r="B1205" s="1">
        <v>45444</v>
      </c>
      <c r="C1205">
        <v>401140</v>
      </c>
      <c r="D1205" t="s">
        <v>176</v>
      </c>
      <c r="E1205">
        <v>0</v>
      </c>
      <c r="F1205">
        <v>0</v>
      </c>
      <c r="G1205">
        <v>0</v>
      </c>
      <c r="H1205">
        <f>_xlfn.XLOOKUP(FACT_IMPORTS[[#This Row],[hts_6]],DIM_PRODUCTS[hts_6],DIM_PRODUCTS[hts_4],,,)</f>
        <v>4011</v>
      </c>
      <c r="I1205" t="str" cm="1">
        <f t="array" ref="I1205">_xlfn.XLOOKUP(FACT_IMPORTS[[#This Row],[country_name]],DIM_COUNTRY[[#All],[Column2]],DIM_COUNTRY[[#All],[Column3]],,,)</f>
        <v>USMCA</v>
      </c>
    </row>
    <row r="1206" spans="1:9" x14ac:dyDescent="0.4">
      <c r="A1206" t="s">
        <v>61</v>
      </c>
      <c r="B1206" s="1">
        <v>45444</v>
      </c>
      <c r="C1206">
        <v>401190</v>
      </c>
      <c r="D1206" t="s">
        <v>176</v>
      </c>
      <c r="E1206">
        <v>225587</v>
      </c>
      <c r="F1206">
        <v>356</v>
      </c>
      <c r="G1206">
        <v>206</v>
      </c>
      <c r="H1206">
        <f>_xlfn.XLOOKUP(FACT_IMPORTS[[#This Row],[hts_6]],DIM_PRODUCTS[hts_6],DIM_PRODUCTS[hts_4],,,)</f>
        <v>4011</v>
      </c>
      <c r="I1206" t="str" cm="1">
        <f t="array" ref="I1206">_xlfn.XLOOKUP(FACT_IMPORTS[[#This Row],[country_name]],DIM_COUNTRY[[#All],[Column2]],DIM_COUNTRY[[#All],[Column3]],,,)</f>
        <v>USMCA</v>
      </c>
    </row>
    <row r="1207" spans="1:9" x14ac:dyDescent="0.4">
      <c r="A1207" t="s">
        <v>61</v>
      </c>
      <c r="B1207" s="1">
        <v>45444</v>
      </c>
      <c r="C1207">
        <v>700711</v>
      </c>
      <c r="D1207" t="s">
        <v>176</v>
      </c>
      <c r="E1207">
        <v>421313</v>
      </c>
      <c r="F1207">
        <v>1227</v>
      </c>
      <c r="G1207">
        <v>2761</v>
      </c>
      <c r="H1207">
        <f>_xlfn.XLOOKUP(FACT_IMPORTS[[#This Row],[hts_6]],DIM_PRODUCTS[hts_6],DIM_PRODUCTS[hts_4],,,)</f>
        <v>7007</v>
      </c>
      <c r="I1207" t="str" cm="1">
        <f t="array" ref="I1207">_xlfn.XLOOKUP(FACT_IMPORTS[[#This Row],[country_name]],DIM_COUNTRY[[#All],[Column2]],DIM_COUNTRY[[#All],[Column3]],,,)</f>
        <v>USMCA</v>
      </c>
    </row>
    <row r="1208" spans="1:9" x14ac:dyDescent="0.4">
      <c r="A1208" t="s">
        <v>61</v>
      </c>
      <c r="B1208" s="1">
        <v>45444</v>
      </c>
      <c r="C1208">
        <v>700721</v>
      </c>
      <c r="D1208" t="s">
        <v>176</v>
      </c>
      <c r="E1208">
        <v>17283</v>
      </c>
      <c r="F1208">
        <v>6</v>
      </c>
      <c r="G1208">
        <v>53</v>
      </c>
      <c r="H1208">
        <f>_xlfn.XLOOKUP(FACT_IMPORTS[[#This Row],[hts_6]],DIM_PRODUCTS[hts_6],DIM_PRODUCTS[hts_4],,,)</f>
        <v>7007</v>
      </c>
      <c r="I1208" t="str" cm="1">
        <f t="array" ref="I1208">_xlfn.XLOOKUP(FACT_IMPORTS[[#This Row],[country_name]],DIM_COUNTRY[[#All],[Column2]],DIM_COUNTRY[[#All],[Column3]],,,)</f>
        <v>USMCA</v>
      </c>
    </row>
    <row r="1209" spans="1:9" x14ac:dyDescent="0.4">
      <c r="A1209" t="s">
        <v>61</v>
      </c>
      <c r="B1209" s="1">
        <v>45444</v>
      </c>
      <c r="C1209">
        <v>700910</v>
      </c>
      <c r="D1209" t="s">
        <v>176</v>
      </c>
      <c r="E1209">
        <v>304523</v>
      </c>
      <c r="F1209">
        <v>5191</v>
      </c>
      <c r="G1209">
        <v>1942</v>
      </c>
      <c r="H1209">
        <f>_xlfn.XLOOKUP(FACT_IMPORTS[[#This Row],[hts_6]],DIM_PRODUCTS[hts_6],DIM_PRODUCTS[hts_4],,,)</f>
        <v>7009</v>
      </c>
      <c r="I1209" t="str" cm="1">
        <f t="array" ref="I1209">_xlfn.XLOOKUP(FACT_IMPORTS[[#This Row],[country_name]],DIM_COUNTRY[[#All],[Column2]],DIM_COUNTRY[[#All],[Column3]],,,)</f>
        <v>USMCA</v>
      </c>
    </row>
    <row r="1210" spans="1:9" x14ac:dyDescent="0.4">
      <c r="A1210" t="s">
        <v>61</v>
      </c>
      <c r="B1210" s="1">
        <v>45444</v>
      </c>
      <c r="C1210">
        <v>732010</v>
      </c>
      <c r="D1210" t="s">
        <v>176</v>
      </c>
      <c r="E1210">
        <v>3335999</v>
      </c>
      <c r="F1210">
        <v>1049801</v>
      </c>
      <c r="G1210">
        <v>23413</v>
      </c>
      <c r="H1210">
        <f>_xlfn.XLOOKUP(FACT_IMPORTS[[#This Row],[hts_6]],DIM_PRODUCTS[hts_6],DIM_PRODUCTS[hts_4],,,)</f>
        <v>7320</v>
      </c>
      <c r="I1210" t="str" cm="1">
        <f t="array" ref="I1210">_xlfn.XLOOKUP(FACT_IMPORTS[[#This Row],[country_name]],DIM_COUNTRY[[#All],[Column2]],DIM_COUNTRY[[#All],[Column3]],,,)</f>
        <v>USMCA</v>
      </c>
    </row>
    <row r="1211" spans="1:9" x14ac:dyDescent="0.4">
      <c r="A1211" t="s">
        <v>61</v>
      </c>
      <c r="B1211" s="1">
        <v>45444</v>
      </c>
      <c r="C1211">
        <v>830230</v>
      </c>
      <c r="D1211" t="s">
        <v>176</v>
      </c>
      <c r="E1211">
        <v>34368058</v>
      </c>
      <c r="F1211">
        <v>7081781</v>
      </c>
      <c r="G1211">
        <v>1250306</v>
      </c>
      <c r="H1211">
        <f>_xlfn.XLOOKUP(FACT_IMPORTS[[#This Row],[hts_6]],DIM_PRODUCTS[hts_6],DIM_PRODUCTS[hts_4],,,)</f>
        <v>8302</v>
      </c>
      <c r="I1211" t="str" cm="1">
        <f t="array" ref="I1211">_xlfn.XLOOKUP(FACT_IMPORTS[[#This Row],[country_name]],DIM_COUNTRY[[#All],[Column2]],DIM_COUNTRY[[#All],[Column3]],,,)</f>
        <v>USMCA</v>
      </c>
    </row>
    <row r="1212" spans="1:9" x14ac:dyDescent="0.4">
      <c r="A1212" t="s">
        <v>61</v>
      </c>
      <c r="B1212" s="1">
        <v>45444</v>
      </c>
      <c r="C1212">
        <v>840731</v>
      </c>
      <c r="D1212" t="s">
        <v>176</v>
      </c>
      <c r="E1212">
        <v>0</v>
      </c>
      <c r="F1212">
        <v>0</v>
      </c>
      <c r="G1212">
        <v>0</v>
      </c>
      <c r="H1212">
        <f>_xlfn.XLOOKUP(FACT_IMPORTS[[#This Row],[hts_6]],DIM_PRODUCTS[hts_6],DIM_PRODUCTS[hts_4],,,)</f>
        <v>8407</v>
      </c>
      <c r="I1212" t="str" cm="1">
        <f t="array" ref="I1212">_xlfn.XLOOKUP(FACT_IMPORTS[[#This Row],[country_name]],DIM_COUNTRY[[#All],[Column2]],DIM_COUNTRY[[#All],[Column3]],,,)</f>
        <v>USMCA</v>
      </c>
    </row>
    <row r="1213" spans="1:9" x14ac:dyDescent="0.4">
      <c r="A1213" t="s">
        <v>61</v>
      </c>
      <c r="B1213" s="1">
        <v>45444</v>
      </c>
      <c r="C1213">
        <v>840732</v>
      </c>
      <c r="D1213" t="s">
        <v>176</v>
      </c>
      <c r="E1213">
        <v>0</v>
      </c>
      <c r="F1213">
        <v>0</v>
      </c>
      <c r="G1213">
        <v>0</v>
      </c>
      <c r="H1213">
        <f>_xlfn.XLOOKUP(FACT_IMPORTS[[#This Row],[hts_6]],DIM_PRODUCTS[hts_6],DIM_PRODUCTS[hts_4],,,)</f>
        <v>8407</v>
      </c>
      <c r="I1213" t="str" cm="1">
        <f t="array" ref="I1213">_xlfn.XLOOKUP(FACT_IMPORTS[[#This Row],[country_name]],DIM_COUNTRY[[#All],[Column2]],DIM_COUNTRY[[#All],[Column3]],,,)</f>
        <v>USMCA</v>
      </c>
    </row>
    <row r="1214" spans="1:9" x14ac:dyDescent="0.4">
      <c r="A1214" t="s">
        <v>61</v>
      </c>
      <c r="B1214" s="1">
        <v>45444</v>
      </c>
      <c r="C1214">
        <v>840733</v>
      </c>
      <c r="D1214" t="s">
        <v>176</v>
      </c>
      <c r="E1214">
        <v>8445</v>
      </c>
      <c r="F1214">
        <v>2</v>
      </c>
      <c r="G1214">
        <v>450</v>
      </c>
      <c r="H1214">
        <f>_xlfn.XLOOKUP(FACT_IMPORTS[[#This Row],[hts_6]],DIM_PRODUCTS[hts_6],DIM_PRODUCTS[hts_4],,,)</f>
        <v>8407</v>
      </c>
      <c r="I1214" t="str" cm="1">
        <f t="array" ref="I1214">_xlfn.XLOOKUP(FACT_IMPORTS[[#This Row],[country_name]],DIM_COUNTRY[[#All],[Column2]],DIM_COUNTRY[[#All],[Column3]],,,)</f>
        <v>USMCA</v>
      </c>
    </row>
    <row r="1215" spans="1:9" x14ac:dyDescent="0.4">
      <c r="A1215" t="s">
        <v>61</v>
      </c>
      <c r="B1215" s="1">
        <v>45444</v>
      </c>
      <c r="C1215">
        <v>840734</v>
      </c>
      <c r="D1215" t="s">
        <v>176</v>
      </c>
      <c r="E1215">
        <v>166954589</v>
      </c>
      <c r="F1215">
        <v>48057</v>
      </c>
      <c r="G1215">
        <v>177987</v>
      </c>
      <c r="H1215">
        <f>_xlfn.XLOOKUP(FACT_IMPORTS[[#This Row],[hts_6]],DIM_PRODUCTS[hts_6],DIM_PRODUCTS[hts_4],,,)</f>
        <v>8407</v>
      </c>
      <c r="I1215" t="str" cm="1">
        <f t="array" ref="I1215">_xlfn.XLOOKUP(FACT_IMPORTS[[#This Row],[country_name]],DIM_COUNTRY[[#All],[Column2]],DIM_COUNTRY[[#All],[Column3]],,,)</f>
        <v>USMCA</v>
      </c>
    </row>
    <row r="1216" spans="1:9" x14ac:dyDescent="0.4">
      <c r="A1216" t="s">
        <v>61</v>
      </c>
      <c r="B1216" s="1">
        <v>45444</v>
      </c>
      <c r="C1216">
        <v>840790</v>
      </c>
      <c r="D1216" t="s">
        <v>176</v>
      </c>
      <c r="E1216">
        <v>12173156</v>
      </c>
      <c r="F1216">
        <v>5001</v>
      </c>
      <c r="G1216">
        <v>3600</v>
      </c>
      <c r="H1216">
        <f>_xlfn.XLOOKUP(FACT_IMPORTS[[#This Row],[hts_6]],DIM_PRODUCTS[hts_6],DIM_PRODUCTS[hts_4],,,)</f>
        <v>8407</v>
      </c>
      <c r="I1216" t="str" cm="1">
        <f t="array" ref="I1216">_xlfn.XLOOKUP(FACT_IMPORTS[[#This Row],[country_name]],DIM_COUNTRY[[#All],[Column2]],DIM_COUNTRY[[#All],[Column3]],,,)</f>
        <v>USMCA</v>
      </c>
    </row>
    <row r="1217" spans="1:9" x14ac:dyDescent="0.4">
      <c r="A1217" t="s">
        <v>61</v>
      </c>
      <c r="B1217" s="1">
        <v>45444</v>
      </c>
      <c r="C1217">
        <v>840820</v>
      </c>
      <c r="D1217" t="s">
        <v>176</v>
      </c>
      <c r="E1217">
        <v>452075</v>
      </c>
      <c r="F1217">
        <v>31</v>
      </c>
      <c r="G1217">
        <v>2235</v>
      </c>
      <c r="H1217">
        <f>_xlfn.XLOOKUP(FACT_IMPORTS[[#This Row],[hts_6]],DIM_PRODUCTS[hts_6],DIM_PRODUCTS[hts_4],,,)</f>
        <v>8408</v>
      </c>
      <c r="I1217" t="str" cm="1">
        <f t="array" ref="I1217">_xlfn.XLOOKUP(FACT_IMPORTS[[#This Row],[country_name]],DIM_COUNTRY[[#All],[Column2]],DIM_COUNTRY[[#All],[Column3]],,,)</f>
        <v>USMCA</v>
      </c>
    </row>
    <row r="1218" spans="1:9" x14ac:dyDescent="0.4">
      <c r="A1218" t="s">
        <v>61</v>
      </c>
      <c r="B1218" s="1">
        <v>45444</v>
      </c>
      <c r="C1218">
        <v>840890</v>
      </c>
      <c r="D1218" t="s">
        <v>176</v>
      </c>
      <c r="E1218">
        <v>204294</v>
      </c>
      <c r="F1218">
        <v>16</v>
      </c>
      <c r="G1218">
        <v>735</v>
      </c>
      <c r="H1218">
        <f>_xlfn.XLOOKUP(FACT_IMPORTS[[#This Row],[hts_6]],DIM_PRODUCTS[hts_6],DIM_PRODUCTS[hts_4],,,)</f>
        <v>8408</v>
      </c>
      <c r="I1218" t="str" cm="1">
        <f t="array" ref="I1218">_xlfn.XLOOKUP(FACT_IMPORTS[[#This Row],[country_name]],DIM_COUNTRY[[#All],[Column2]],DIM_COUNTRY[[#All],[Column3]],,,)</f>
        <v>USMCA</v>
      </c>
    </row>
    <row r="1219" spans="1:9" x14ac:dyDescent="0.4">
      <c r="A1219" t="s">
        <v>61</v>
      </c>
      <c r="B1219" s="1">
        <v>45444</v>
      </c>
      <c r="C1219">
        <v>840991</v>
      </c>
      <c r="D1219" t="s">
        <v>176</v>
      </c>
      <c r="E1219">
        <v>38294217</v>
      </c>
      <c r="F1219">
        <v>3226886</v>
      </c>
      <c r="G1219">
        <v>155857</v>
      </c>
      <c r="H1219">
        <f>_xlfn.XLOOKUP(FACT_IMPORTS[[#This Row],[hts_6]],DIM_PRODUCTS[hts_6],DIM_PRODUCTS[hts_4],,,)</f>
        <v>8409</v>
      </c>
      <c r="I1219" t="str" cm="1">
        <f t="array" ref="I1219">_xlfn.XLOOKUP(FACT_IMPORTS[[#This Row],[country_name]],DIM_COUNTRY[[#All],[Column2]],DIM_COUNTRY[[#All],[Column3]],,,)</f>
        <v>USMCA</v>
      </c>
    </row>
    <row r="1220" spans="1:9" x14ac:dyDescent="0.4">
      <c r="A1220" t="s">
        <v>61</v>
      </c>
      <c r="B1220" s="1">
        <v>45444</v>
      </c>
      <c r="C1220">
        <v>840999</v>
      </c>
      <c r="D1220" t="s">
        <v>176</v>
      </c>
      <c r="E1220">
        <v>15232521</v>
      </c>
      <c r="F1220">
        <v>1342578</v>
      </c>
      <c r="G1220">
        <v>104851</v>
      </c>
      <c r="H1220">
        <f>_xlfn.XLOOKUP(FACT_IMPORTS[[#This Row],[hts_6]],DIM_PRODUCTS[hts_6],DIM_PRODUCTS[hts_4],,,)</f>
        <v>8409</v>
      </c>
      <c r="I1220" t="str" cm="1">
        <f t="array" ref="I1220">_xlfn.XLOOKUP(FACT_IMPORTS[[#This Row],[country_name]],DIM_COUNTRY[[#All],[Column2]],DIM_COUNTRY[[#All],[Column3]],,,)</f>
        <v>USMCA</v>
      </c>
    </row>
    <row r="1221" spans="1:9" x14ac:dyDescent="0.4">
      <c r="A1221" t="s">
        <v>61</v>
      </c>
      <c r="B1221" s="1">
        <v>45444</v>
      </c>
      <c r="C1221">
        <v>841330</v>
      </c>
      <c r="D1221" t="s">
        <v>176</v>
      </c>
      <c r="E1221">
        <v>9197949</v>
      </c>
      <c r="F1221">
        <v>181659</v>
      </c>
      <c r="G1221">
        <v>30264</v>
      </c>
      <c r="H1221">
        <f>_xlfn.XLOOKUP(FACT_IMPORTS[[#This Row],[hts_6]],DIM_PRODUCTS[hts_6],DIM_PRODUCTS[hts_4],,,)</f>
        <v>8413</v>
      </c>
      <c r="I1221" t="str" cm="1">
        <f t="array" ref="I1221">_xlfn.XLOOKUP(FACT_IMPORTS[[#This Row],[country_name]],DIM_COUNTRY[[#All],[Column2]],DIM_COUNTRY[[#All],[Column3]],,,)</f>
        <v>USMCA</v>
      </c>
    </row>
    <row r="1222" spans="1:9" x14ac:dyDescent="0.4">
      <c r="A1222" t="s">
        <v>61</v>
      </c>
      <c r="B1222" s="1">
        <v>45444</v>
      </c>
      <c r="C1222">
        <v>841520</v>
      </c>
      <c r="D1222" t="s">
        <v>176</v>
      </c>
      <c r="E1222">
        <v>5876219</v>
      </c>
      <c r="F1222">
        <v>35036</v>
      </c>
      <c r="G1222">
        <v>88986</v>
      </c>
      <c r="H1222">
        <f>_xlfn.XLOOKUP(FACT_IMPORTS[[#This Row],[hts_6]],DIM_PRODUCTS[hts_6],DIM_PRODUCTS[hts_4],,,)</f>
        <v>8415</v>
      </c>
      <c r="I1222" t="str" cm="1">
        <f t="array" ref="I1222">_xlfn.XLOOKUP(FACT_IMPORTS[[#This Row],[country_name]],DIM_COUNTRY[[#All],[Column2]],DIM_COUNTRY[[#All],[Column3]],,,)</f>
        <v>USMCA</v>
      </c>
    </row>
    <row r="1223" spans="1:9" x14ac:dyDescent="0.4">
      <c r="A1223" t="s">
        <v>61</v>
      </c>
      <c r="B1223" s="1">
        <v>45444</v>
      </c>
      <c r="C1223">
        <v>842132</v>
      </c>
      <c r="D1223" t="s">
        <v>176</v>
      </c>
      <c r="E1223">
        <v>13270059</v>
      </c>
      <c r="F1223">
        <v>69661</v>
      </c>
      <c r="G1223">
        <v>55225</v>
      </c>
      <c r="H1223">
        <f>_xlfn.XLOOKUP(FACT_IMPORTS[[#This Row],[hts_6]],DIM_PRODUCTS[hts_6],DIM_PRODUCTS[hts_4],,,)</f>
        <v>8421</v>
      </c>
      <c r="I1223" t="str" cm="1">
        <f t="array" ref="I1223">_xlfn.XLOOKUP(FACT_IMPORTS[[#This Row],[country_name]],DIM_COUNTRY[[#All],[Column2]],DIM_COUNTRY[[#All],[Column3]],,,)</f>
        <v>USMCA</v>
      </c>
    </row>
    <row r="1224" spans="1:9" x14ac:dyDescent="0.4">
      <c r="A1224" t="s">
        <v>61</v>
      </c>
      <c r="B1224" s="1">
        <v>45444</v>
      </c>
      <c r="C1224">
        <v>848210</v>
      </c>
      <c r="D1224" t="s">
        <v>176</v>
      </c>
      <c r="E1224">
        <v>4914687</v>
      </c>
      <c r="F1224">
        <v>1414347</v>
      </c>
      <c r="G1224">
        <v>56068</v>
      </c>
      <c r="H1224">
        <f>_xlfn.XLOOKUP(FACT_IMPORTS[[#This Row],[hts_6]],DIM_PRODUCTS[hts_6],DIM_PRODUCTS[hts_4],,,)</f>
        <v>8482</v>
      </c>
      <c r="I1224" t="str" cm="1">
        <f t="array" ref="I1224">_xlfn.XLOOKUP(FACT_IMPORTS[[#This Row],[country_name]],DIM_COUNTRY[[#All],[Column2]],DIM_COUNTRY[[#All],[Column3]],,,)</f>
        <v>USMCA</v>
      </c>
    </row>
    <row r="1225" spans="1:9" x14ac:dyDescent="0.4">
      <c r="A1225" t="s">
        <v>61</v>
      </c>
      <c r="B1225" s="1">
        <v>45444</v>
      </c>
      <c r="C1225">
        <v>848220</v>
      </c>
      <c r="D1225" t="s">
        <v>176</v>
      </c>
      <c r="E1225">
        <v>187726</v>
      </c>
      <c r="F1225">
        <v>2443</v>
      </c>
      <c r="G1225">
        <v>3436</v>
      </c>
      <c r="H1225">
        <f>_xlfn.XLOOKUP(FACT_IMPORTS[[#This Row],[hts_6]],DIM_PRODUCTS[hts_6],DIM_PRODUCTS[hts_4],,,)</f>
        <v>8482</v>
      </c>
      <c r="I1225" t="str" cm="1">
        <f t="array" ref="I1225">_xlfn.XLOOKUP(FACT_IMPORTS[[#This Row],[country_name]],DIM_COUNTRY[[#All],[Column2]],DIM_COUNTRY[[#All],[Column3]],,,)</f>
        <v>USMCA</v>
      </c>
    </row>
    <row r="1226" spans="1:9" x14ac:dyDescent="0.4">
      <c r="A1226" t="s">
        <v>61</v>
      </c>
      <c r="B1226" s="1">
        <v>45444</v>
      </c>
      <c r="C1226">
        <v>848310</v>
      </c>
      <c r="D1226" t="s">
        <v>176</v>
      </c>
      <c r="E1226">
        <v>14779526</v>
      </c>
      <c r="F1226">
        <v>509658</v>
      </c>
      <c r="G1226">
        <v>285893</v>
      </c>
      <c r="H1226">
        <f>_xlfn.XLOOKUP(FACT_IMPORTS[[#This Row],[hts_6]],DIM_PRODUCTS[hts_6],DIM_PRODUCTS[hts_4],,,)</f>
        <v>8483</v>
      </c>
      <c r="I1226" t="str" cm="1">
        <f t="array" ref="I1226">_xlfn.XLOOKUP(FACT_IMPORTS[[#This Row],[country_name]],DIM_COUNTRY[[#All],[Column2]],DIM_COUNTRY[[#All],[Column3]],,,)</f>
        <v>USMCA</v>
      </c>
    </row>
    <row r="1227" spans="1:9" x14ac:dyDescent="0.4">
      <c r="A1227" t="s">
        <v>61</v>
      </c>
      <c r="B1227" s="1">
        <v>45444</v>
      </c>
      <c r="C1227">
        <v>850131</v>
      </c>
      <c r="D1227" t="s">
        <v>176</v>
      </c>
      <c r="E1227">
        <v>3191382</v>
      </c>
      <c r="F1227">
        <v>89396</v>
      </c>
      <c r="G1227">
        <v>12509</v>
      </c>
      <c r="H1227">
        <f>_xlfn.XLOOKUP(FACT_IMPORTS[[#This Row],[hts_6]],DIM_PRODUCTS[hts_6],DIM_PRODUCTS[hts_4],,,)</f>
        <v>8501</v>
      </c>
      <c r="I1227" t="str" cm="1">
        <f t="array" ref="I1227">_xlfn.XLOOKUP(FACT_IMPORTS[[#This Row],[country_name]],DIM_COUNTRY[[#All],[Column2]],DIM_COUNTRY[[#All],[Column3]],,,)</f>
        <v>USMCA</v>
      </c>
    </row>
    <row r="1228" spans="1:9" x14ac:dyDescent="0.4">
      <c r="A1228" t="s">
        <v>61</v>
      </c>
      <c r="B1228" s="1">
        <v>45444</v>
      </c>
      <c r="C1228">
        <v>850132</v>
      </c>
      <c r="D1228" t="s">
        <v>176</v>
      </c>
      <c r="E1228">
        <v>38303</v>
      </c>
      <c r="F1228">
        <v>65</v>
      </c>
      <c r="G1228">
        <v>388</v>
      </c>
      <c r="H1228">
        <f>_xlfn.XLOOKUP(FACT_IMPORTS[[#This Row],[hts_6]],DIM_PRODUCTS[hts_6],DIM_PRODUCTS[hts_4],,,)</f>
        <v>8501</v>
      </c>
      <c r="I1228" t="str" cm="1">
        <f t="array" ref="I1228">_xlfn.XLOOKUP(FACT_IMPORTS[[#This Row],[country_name]],DIM_COUNTRY[[#All],[Column2]],DIM_COUNTRY[[#All],[Column3]],,,)</f>
        <v>USMCA</v>
      </c>
    </row>
    <row r="1229" spans="1:9" x14ac:dyDescent="0.4">
      <c r="A1229" t="s">
        <v>61</v>
      </c>
      <c r="B1229" s="1">
        <v>45444</v>
      </c>
      <c r="C1229">
        <v>850133</v>
      </c>
      <c r="D1229" t="s">
        <v>176</v>
      </c>
      <c r="E1229">
        <v>9000</v>
      </c>
      <c r="F1229">
        <v>6</v>
      </c>
      <c r="G1229">
        <v>250</v>
      </c>
      <c r="H1229">
        <f>_xlfn.XLOOKUP(FACT_IMPORTS[[#This Row],[hts_6]],DIM_PRODUCTS[hts_6],DIM_PRODUCTS[hts_4],,,)</f>
        <v>8501</v>
      </c>
      <c r="I1229" t="str" cm="1">
        <f t="array" ref="I1229">_xlfn.XLOOKUP(FACT_IMPORTS[[#This Row],[country_name]],DIM_COUNTRY[[#All],[Column2]],DIM_COUNTRY[[#All],[Column3]],,,)</f>
        <v>USMCA</v>
      </c>
    </row>
    <row r="1230" spans="1:9" x14ac:dyDescent="0.4">
      <c r="A1230" t="s">
        <v>61</v>
      </c>
      <c r="B1230" s="1">
        <v>45444</v>
      </c>
      <c r="C1230">
        <v>850134</v>
      </c>
      <c r="D1230" t="s">
        <v>176</v>
      </c>
      <c r="E1230">
        <v>5260904</v>
      </c>
      <c r="F1230">
        <v>11273</v>
      </c>
      <c r="G1230">
        <v>35600</v>
      </c>
      <c r="H1230">
        <f>_xlfn.XLOOKUP(FACT_IMPORTS[[#This Row],[hts_6]],DIM_PRODUCTS[hts_6],DIM_PRODUCTS[hts_4],,,)</f>
        <v>8501</v>
      </c>
      <c r="I1230" t="str" cm="1">
        <f t="array" ref="I1230">_xlfn.XLOOKUP(FACT_IMPORTS[[#This Row],[country_name]],DIM_COUNTRY[[#All],[Column2]],DIM_COUNTRY[[#All],[Column3]],,,)</f>
        <v>USMCA</v>
      </c>
    </row>
    <row r="1231" spans="1:9" x14ac:dyDescent="0.4">
      <c r="A1231" t="s">
        <v>61</v>
      </c>
      <c r="B1231" s="1">
        <v>45444</v>
      </c>
      <c r="C1231">
        <v>850152</v>
      </c>
      <c r="D1231" t="s">
        <v>176</v>
      </c>
      <c r="E1231">
        <v>1021141</v>
      </c>
      <c r="F1231">
        <v>177</v>
      </c>
      <c r="G1231">
        <v>9812</v>
      </c>
      <c r="H1231">
        <f>_xlfn.XLOOKUP(FACT_IMPORTS[[#This Row],[hts_6]],DIM_PRODUCTS[hts_6],DIM_PRODUCTS[hts_4],,,)</f>
        <v>8501</v>
      </c>
      <c r="I1231" t="str" cm="1">
        <f t="array" ref="I1231">_xlfn.XLOOKUP(FACT_IMPORTS[[#This Row],[country_name]],DIM_COUNTRY[[#All],[Column2]],DIM_COUNTRY[[#All],[Column3]],,,)</f>
        <v>USMCA</v>
      </c>
    </row>
    <row r="1232" spans="1:9" x14ac:dyDescent="0.4">
      <c r="A1232" t="s">
        <v>61</v>
      </c>
      <c r="B1232" s="1">
        <v>45444</v>
      </c>
      <c r="C1232">
        <v>850153</v>
      </c>
      <c r="D1232" t="s">
        <v>176</v>
      </c>
      <c r="E1232">
        <v>697963</v>
      </c>
      <c r="F1232">
        <v>47</v>
      </c>
      <c r="G1232">
        <v>7288</v>
      </c>
      <c r="H1232">
        <f>_xlfn.XLOOKUP(FACT_IMPORTS[[#This Row],[hts_6]],DIM_PRODUCTS[hts_6],DIM_PRODUCTS[hts_4],,,)</f>
        <v>8501</v>
      </c>
      <c r="I1232" t="str" cm="1">
        <f t="array" ref="I1232">_xlfn.XLOOKUP(FACT_IMPORTS[[#This Row],[country_name]],DIM_COUNTRY[[#All],[Column2]],DIM_COUNTRY[[#All],[Column3]],,,)</f>
        <v>USMCA</v>
      </c>
    </row>
    <row r="1233" spans="1:9" x14ac:dyDescent="0.4">
      <c r="A1233" t="s">
        <v>61</v>
      </c>
      <c r="B1233" s="1">
        <v>45444</v>
      </c>
      <c r="C1233">
        <v>850161</v>
      </c>
      <c r="D1233" t="s">
        <v>176</v>
      </c>
      <c r="E1233">
        <v>226269</v>
      </c>
      <c r="F1233">
        <v>9</v>
      </c>
      <c r="G1233">
        <v>866</v>
      </c>
      <c r="H1233">
        <f>_xlfn.XLOOKUP(FACT_IMPORTS[[#This Row],[hts_6]],DIM_PRODUCTS[hts_6],DIM_PRODUCTS[hts_4],,,)</f>
        <v>8501</v>
      </c>
      <c r="I1233" t="str" cm="1">
        <f t="array" ref="I1233">_xlfn.XLOOKUP(FACT_IMPORTS[[#This Row],[country_name]],DIM_COUNTRY[[#All],[Column2]],DIM_COUNTRY[[#All],[Column3]],,,)</f>
        <v>USMCA</v>
      </c>
    </row>
    <row r="1234" spans="1:9" x14ac:dyDescent="0.4">
      <c r="A1234" t="s">
        <v>61</v>
      </c>
      <c r="B1234" s="1">
        <v>45444</v>
      </c>
      <c r="C1234">
        <v>850440</v>
      </c>
      <c r="D1234" t="s">
        <v>176</v>
      </c>
      <c r="E1234">
        <v>12161851</v>
      </c>
      <c r="F1234">
        <v>12509</v>
      </c>
      <c r="G1234">
        <v>182624</v>
      </c>
      <c r="H1234">
        <f>_xlfn.XLOOKUP(FACT_IMPORTS[[#This Row],[hts_6]],DIM_PRODUCTS[hts_6],DIM_PRODUCTS[hts_4],,,)</f>
        <v>8504</v>
      </c>
      <c r="I1234" t="str" cm="1">
        <f t="array" ref="I1234">_xlfn.XLOOKUP(FACT_IMPORTS[[#This Row],[country_name]],DIM_COUNTRY[[#All],[Column2]],DIM_COUNTRY[[#All],[Column3]],,,)</f>
        <v>USMCA</v>
      </c>
    </row>
    <row r="1235" spans="1:9" x14ac:dyDescent="0.4">
      <c r="A1235" t="s">
        <v>61</v>
      </c>
      <c r="B1235" s="1">
        <v>45444</v>
      </c>
      <c r="C1235">
        <v>850710</v>
      </c>
      <c r="D1235" t="s">
        <v>176</v>
      </c>
      <c r="E1235">
        <v>667202</v>
      </c>
      <c r="F1235">
        <v>1470</v>
      </c>
      <c r="G1235">
        <v>36023</v>
      </c>
      <c r="H1235">
        <f>_xlfn.XLOOKUP(FACT_IMPORTS[[#This Row],[hts_6]],DIM_PRODUCTS[hts_6],DIM_PRODUCTS[hts_4],,,)</f>
        <v>8507</v>
      </c>
      <c r="I1235" t="str" cm="1">
        <f t="array" ref="I1235">_xlfn.XLOOKUP(FACT_IMPORTS[[#This Row],[country_name]],DIM_COUNTRY[[#All],[Column2]],DIM_COUNTRY[[#All],[Column3]],,,)</f>
        <v>USMCA</v>
      </c>
    </row>
    <row r="1236" spans="1:9" x14ac:dyDescent="0.4">
      <c r="A1236" t="s">
        <v>61</v>
      </c>
      <c r="B1236" s="1">
        <v>45444</v>
      </c>
      <c r="C1236">
        <v>850760</v>
      </c>
      <c r="D1236" t="s">
        <v>176</v>
      </c>
      <c r="E1236">
        <v>38062102</v>
      </c>
      <c r="F1236">
        <v>25194</v>
      </c>
      <c r="G1236">
        <v>41282</v>
      </c>
      <c r="H1236">
        <f>_xlfn.XLOOKUP(FACT_IMPORTS[[#This Row],[hts_6]],DIM_PRODUCTS[hts_6],DIM_PRODUCTS[hts_4],,,)</f>
        <v>8507</v>
      </c>
      <c r="I1236" t="str" cm="1">
        <f t="array" ref="I1236">_xlfn.XLOOKUP(FACT_IMPORTS[[#This Row],[country_name]],DIM_COUNTRY[[#All],[Column2]],DIM_COUNTRY[[#All],[Column3]],,,)</f>
        <v>USMCA</v>
      </c>
    </row>
    <row r="1237" spans="1:9" x14ac:dyDescent="0.4">
      <c r="A1237" t="s">
        <v>61</v>
      </c>
      <c r="B1237" s="1">
        <v>45444</v>
      </c>
      <c r="C1237">
        <v>850790</v>
      </c>
      <c r="D1237" t="s">
        <v>176</v>
      </c>
      <c r="E1237">
        <v>149194</v>
      </c>
      <c r="F1237">
        <v>28371</v>
      </c>
      <c r="G1237">
        <v>2219</v>
      </c>
      <c r="H1237">
        <f>_xlfn.XLOOKUP(FACT_IMPORTS[[#This Row],[hts_6]],DIM_PRODUCTS[hts_6],DIM_PRODUCTS[hts_4],,,)</f>
        <v>8507</v>
      </c>
      <c r="I1237" t="str" cm="1">
        <f t="array" ref="I1237">_xlfn.XLOOKUP(FACT_IMPORTS[[#This Row],[country_name]],DIM_COUNTRY[[#All],[Column2]],DIM_COUNTRY[[#All],[Column3]],,,)</f>
        <v>USMCA</v>
      </c>
    </row>
    <row r="1238" spans="1:9" x14ac:dyDescent="0.4">
      <c r="A1238" t="s">
        <v>61</v>
      </c>
      <c r="B1238" s="1">
        <v>45444</v>
      </c>
      <c r="C1238">
        <v>851110</v>
      </c>
      <c r="D1238" t="s">
        <v>176</v>
      </c>
      <c r="E1238">
        <v>72038</v>
      </c>
      <c r="F1238">
        <v>7</v>
      </c>
      <c r="G1238">
        <v>51</v>
      </c>
      <c r="H1238">
        <f>_xlfn.XLOOKUP(FACT_IMPORTS[[#This Row],[hts_6]],DIM_PRODUCTS[hts_6],DIM_PRODUCTS[hts_4],,,)</f>
        <v>8511</v>
      </c>
      <c r="I1238" t="str" cm="1">
        <f t="array" ref="I1238">_xlfn.XLOOKUP(FACT_IMPORTS[[#This Row],[country_name]],DIM_COUNTRY[[#All],[Column2]],DIM_COUNTRY[[#All],[Column3]],,,)</f>
        <v>USMCA</v>
      </c>
    </row>
    <row r="1239" spans="1:9" x14ac:dyDescent="0.4">
      <c r="A1239" t="s">
        <v>61</v>
      </c>
      <c r="B1239" s="1">
        <v>45444</v>
      </c>
      <c r="C1239">
        <v>851120</v>
      </c>
      <c r="D1239" t="s">
        <v>176</v>
      </c>
      <c r="E1239">
        <v>0</v>
      </c>
      <c r="F1239">
        <v>0</v>
      </c>
      <c r="G1239">
        <v>0</v>
      </c>
      <c r="H1239">
        <f>_xlfn.XLOOKUP(FACT_IMPORTS[[#This Row],[hts_6]],DIM_PRODUCTS[hts_6],DIM_PRODUCTS[hts_4],,,)</f>
        <v>8511</v>
      </c>
      <c r="I1239" t="str" cm="1">
        <f t="array" ref="I1239">_xlfn.XLOOKUP(FACT_IMPORTS[[#This Row],[country_name]],DIM_COUNTRY[[#All],[Column2]],DIM_COUNTRY[[#All],[Column3]],,,)</f>
        <v>USMCA</v>
      </c>
    </row>
    <row r="1240" spans="1:9" x14ac:dyDescent="0.4">
      <c r="A1240" t="s">
        <v>61</v>
      </c>
      <c r="B1240" s="1">
        <v>45444</v>
      </c>
      <c r="C1240">
        <v>851130</v>
      </c>
      <c r="D1240" t="s">
        <v>176</v>
      </c>
      <c r="E1240">
        <v>3252</v>
      </c>
      <c r="F1240">
        <v>2208</v>
      </c>
      <c r="G1240">
        <v>19</v>
      </c>
      <c r="H1240">
        <f>_xlfn.XLOOKUP(FACT_IMPORTS[[#This Row],[hts_6]],DIM_PRODUCTS[hts_6],DIM_PRODUCTS[hts_4],,,)</f>
        <v>8511</v>
      </c>
      <c r="I1240" t="str" cm="1">
        <f t="array" ref="I1240">_xlfn.XLOOKUP(FACT_IMPORTS[[#This Row],[country_name]],DIM_COUNTRY[[#All],[Column2]],DIM_COUNTRY[[#All],[Column3]],,,)</f>
        <v>USMCA</v>
      </c>
    </row>
    <row r="1241" spans="1:9" x14ac:dyDescent="0.4">
      <c r="A1241" t="s">
        <v>61</v>
      </c>
      <c r="B1241" s="1">
        <v>45444</v>
      </c>
      <c r="C1241">
        <v>851140</v>
      </c>
      <c r="D1241" t="s">
        <v>176</v>
      </c>
      <c r="E1241">
        <v>380100</v>
      </c>
      <c r="F1241">
        <v>15785</v>
      </c>
      <c r="G1241">
        <v>3089</v>
      </c>
      <c r="H1241">
        <f>_xlfn.XLOOKUP(FACT_IMPORTS[[#This Row],[hts_6]],DIM_PRODUCTS[hts_6],DIM_PRODUCTS[hts_4],,,)</f>
        <v>8511</v>
      </c>
      <c r="I1241" t="str" cm="1">
        <f t="array" ref="I1241">_xlfn.XLOOKUP(FACT_IMPORTS[[#This Row],[country_name]],DIM_COUNTRY[[#All],[Column2]],DIM_COUNTRY[[#All],[Column3]],,,)</f>
        <v>USMCA</v>
      </c>
    </row>
    <row r="1242" spans="1:9" x14ac:dyDescent="0.4">
      <c r="A1242" t="s">
        <v>61</v>
      </c>
      <c r="B1242" s="1">
        <v>45444</v>
      </c>
      <c r="C1242">
        <v>851150</v>
      </c>
      <c r="D1242" t="s">
        <v>176</v>
      </c>
      <c r="E1242">
        <v>473278</v>
      </c>
      <c r="F1242">
        <v>5101</v>
      </c>
      <c r="G1242">
        <v>2512</v>
      </c>
      <c r="H1242">
        <f>_xlfn.XLOOKUP(FACT_IMPORTS[[#This Row],[hts_6]],DIM_PRODUCTS[hts_6],DIM_PRODUCTS[hts_4],,,)</f>
        <v>8511</v>
      </c>
      <c r="I1242" t="str" cm="1">
        <f t="array" ref="I1242">_xlfn.XLOOKUP(FACT_IMPORTS[[#This Row],[country_name]],DIM_COUNTRY[[#All],[Column2]],DIM_COUNTRY[[#All],[Column3]],,,)</f>
        <v>USMCA</v>
      </c>
    </row>
    <row r="1243" spans="1:9" x14ac:dyDescent="0.4">
      <c r="A1243" t="s">
        <v>61</v>
      </c>
      <c r="B1243" s="1">
        <v>45444</v>
      </c>
      <c r="C1243">
        <v>851180</v>
      </c>
      <c r="D1243" t="s">
        <v>176</v>
      </c>
      <c r="E1243">
        <v>29764</v>
      </c>
      <c r="F1243">
        <v>473</v>
      </c>
      <c r="G1243">
        <v>15</v>
      </c>
      <c r="H1243">
        <f>_xlfn.XLOOKUP(FACT_IMPORTS[[#This Row],[hts_6]],DIM_PRODUCTS[hts_6],DIM_PRODUCTS[hts_4],,,)</f>
        <v>8511</v>
      </c>
      <c r="I1243" t="str" cm="1">
        <f t="array" ref="I1243">_xlfn.XLOOKUP(FACT_IMPORTS[[#This Row],[country_name]],DIM_COUNTRY[[#All],[Column2]],DIM_COUNTRY[[#All],[Column3]],,,)</f>
        <v>USMCA</v>
      </c>
    </row>
    <row r="1244" spans="1:9" x14ac:dyDescent="0.4">
      <c r="A1244" t="s">
        <v>61</v>
      </c>
      <c r="B1244" s="1">
        <v>45444</v>
      </c>
      <c r="C1244">
        <v>851190</v>
      </c>
      <c r="D1244" t="s">
        <v>176</v>
      </c>
      <c r="E1244">
        <v>652945</v>
      </c>
      <c r="F1244">
        <v>4555</v>
      </c>
      <c r="G1244">
        <v>4082</v>
      </c>
      <c r="H1244">
        <f>_xlfn.XLOOKUP(FACT_IMPORTS[[#This Row],[hts_6]],DIM_PRODUCTS[hts_6],DIM_PRODUCTS[hts_4],,,)</f>
        <v>8511</v>
      </c>
      <c r="I1244" t="str" cm="1">
        <f t="array" ref="I1244">_xlfn.XLOOKUP(FACT_IMPORTS[[#This Row],[country_name]],DIM_COUNTRY[[#All],[Column2]],DIM_COUNTRY[[#All],[Column3]],,,)</f>
        <v>USMCA</v>
      </c>
    </row>
    <row r="1245" spans="1:9" x14ac:dyDescent="0.4">
      <c r="A1245" t="s">
        <v>61</v>
      </c>
      <c r="B1245" s="1">
        <v>45444</v>
      </c>
      <c r="C1245">
        <v>851220</v>
      </c>
      <c r="D1245" t="s">
        <v>176</v>
      </c>
      <c r="E1245">
        <v>19139064</v>
      </c>
      <c r="F1245">
        <v>357822</v>
      </c>
      <c r="G1245">
        <v>70471</v>
      </c>
      <c r="H1245">
        <f>_xlfn.XLOOKUP(FACT_IMPORTS[[#This Row],[hts_6]],DIM_PRODUCTS[hts_6],DIM_PRODUCTS[hts_4],,,)</f>
        <v>8512</v>
      </c>
      <c r="I1245" t="str" cm="1">
        <f t="array" ref="I1245">_xlfn.XLOOKUP(FACT_IMPORTS[[#This Row],[country_name]],DIM_COUNTRY[[#All],[Column2]],DIM_COUNTRY[[#All],[Column3]],,,)</f>
        <v>USMCA</v>
      </c>
    </row>
    <row r="1246" spans="1:9" x14ac:dyDescent="0.4">
      <c r="A1246" t="s">
        <v>61</v>
      </c>
      <c r="B1246" s="1">
        <v>45444</v>
      </c>
      <c r="C1246">
        <v>851230</v>
      </c>
      <c r="D1246" t="s">
        <v>176</v>
      </c>
      <c r="E1246">
        <v>74545</v>
      </c>
      <c r="F1246">
        <v>216</v>
      </c>
      <c r="G1246">
        <v>122</v>
      </c>
      <c r="H1246">
        <f>_xlfn.XLOOKUP(FACT_IMPORTS[[#This Row],[hts_6]],DIM_PRODUCTS[hts_6],DIM_PRODUCTS[hts_4],,,)</f>
        <v>8512</v>
      </c>
      <c r="I1246" t="str" cm="1">
        <f t="array" ref="I1246">_xlfn.XLOOKUP(FACT_IMPORTS[[#This Row],[country_name]],DIM_COUNTRY[[#All],[Column2]],DIM_COUNTRY[[#All],[Column3]],,,)</f>
        <v>USMCA</v>
      </c>
    </row>
    <row r="1247" spans="1:9" x14ac:dyDescent="0.4">
      <c r="A1247" t="s">
        <v>61</v>
      </c>
      <c r="B1247" s="1">
        <v>45444</v>
      </c>
      <c r="C1247">
        <v>851240</v>
      </c>
      <c r="D1247" t="s">
        <v>176</v>
      </c>
      <c r="E1247">
        <v>8412</v>
      </c>
      <c r="F1247">
        <v>31</v>
      </c>
      <c r="G1247">
        <v>9</v>
      </c>
      <c r="H1247">
        <f>_xlfn.XLOOKUP(FACT_IMPORTS[[#This Row],[hts_6]],DIM_PRODUCTS[hts_6],DIM_PRODUCTS[hts_4],,,)</f>
        <v>8512</v>
      </c>
      <c r="I1247" t="str" cm="1">
        <f t="array" ref="I1247">_xlfn.XLOOKUP(FACT_IMPORTS[[#This Row],[country_name]],DIM_COUNTRY[[#All],[Column2]],DIM_COUNTRY[[#All],[Column3]],,,)</f>
        <v>USMCA</v>
      </c>
    </row>
    <row r="1248" spans="1:9" x14ac:dyDescent="0.4">
      <c r="A1248" t="s">
        <v>61</v>
      </c>
      <c r="B1248" s="1">
        <v>45444</v>
      </c>
      <c r="C1248">
        <v>851290</v>
      </c>
      <c r="D1248" t="s">
        <v>176</v>
      </c>
      <c r="E1248">
        <v>2676931</v>
      </c>
      <c r="F1248">
        <v>45409</v>
      </c>
      <c r="G1248">
        <v>6795</v>
      </c>
      <c r="H1248">
        <f>_xlfn.XLOOKUP(FACT_IMPORTS[[#This Row],[hts_6]],DIM_PRODUCTS[hts_6],DIM_PRODUCTS[hts_4],,,)</f>
        <v>8512</v>
      </c>
      <c r="I1248" t="str" cm="1">
        <f t="array" ref="I1248">_xlfn.XLOOKUP(FACT_IMPORTS[[#This Row],[country_name]],DIM_COUNTRY[[#All],[Column2]],DIM_COUNTRY[[#All],[Column3]],,,)</f>
        <v>USMCA</v>
      </c>
    </row>
    <row r="1249" spans="1:9" x14ac:dyDescent="0.4">
      <c r="A1249" t="s">
        <v>61</v>
      </c>
      <c r="B1249" s="1">
        <v>45444</v>
      </c>
      <c r="C1249">
        <v>854231</v>
      </c>
      <c r="D1249" t="s">
        <v>176</v>
      </c>
      <c r="E1249">
        <v>150226</v>
      </c>
      <c r="F1249">
        <v>863</v>
      </c>
      <c r="G1249">
        <v>393</v>
      </c>
      <c r="H1249">
        <f>_xlfn.XLOOKUP(FACT_IMPORTS[[#This Row],[hts_6]],DIM_PRODUCTS[hts_6],DIM_PRODUCTS[hts_4],,,)</f>
        <v>8542</v>
      </c>
      <c r="I1249" t="str" cm="1">
        <f t="array" ref="I1249">_xlfn.XLOOKUP(FACT_IMPORTS[[#This Row],[country_name]],DIM_COUNTRY[[#All],[Column2]],DIM_COUNTRY[[#All],[Column3]],,,)</f>
        <v>USMCA</v>
      </c>
    </row>
    <row r="1250" spans="1:9" x14ac:dyDescent="0.4">
      <c r="A1250" t="s">
        <v>61</v>
      </c>
      <c r="B1250" s="1">
        <v>45444</v>
      </c>
      <c r="C1250">
        <v>854232</v>
      </c>
      <c r="D1250" t="s">
        <v>176</v>
      </c>
      <c r="E1250">
        <v>0</v>
      </c>
      <c r="F1250">
        <v>0</v>
      </c>
      <c r="G1250">
        <v>0</v>
      </c>
      <c r="H1250">
        <f>_xlfn.XLOOKUP(FACT_IMPORTS[[#This Row],[hts_6]],DIM_PRODUCTS[hts_6],DIM_PRODUCTS[hts_4],,,)</f>
        <v>8542</v>
      </c>
      <c r="I1250" t="str" cm="1">
        <f t="array" ref="I1250">_xlfn.XLOOKUP(FACT_IMPORTS[[#This Row],[country_name]],DIM_COUNTRY[[#All],[Column2]],DIM_COUNTRY[[#All],[Column3]],,,)</f>
        <v>USMCA</v>
      </c>
    </row>
    <row r="1251" spans="1:9" x14ac:dyDescent="0.4">
      <c r="A1251" t="s">
        <v>61</v>
      </c>
      <c r="B1251" s="1">
        <v>45444</v>
      </c>
      <c r="C1251">
        <v>854233</v>
      </c>
      <c r="D1251" t="s">
        <v>176</v>
      </c>
      <c r="E1251">
        <v>4628</v>
      </c>
      <c r="F1251">
        <v>1</v>
      </c>
      <c r="G1251">
        <v>45</v>
      </c>
      <c r="H1251">
        <f>_xlfn.XLOOKUP(FACT_IMPORTS[[#This Row],[hts_6]],DIM_PRODUCTS[hts_6],DIM_PRODUCTS[hts_4],,,)</f>
        <v>8542</v>
      </c>
      <c r="I1251" t="str" cm="1">
        <f t="array" ref="I1251">_xlfn.XLOOKUP(FACT_IMPORTS[[#This Row],[country_name]],DIM_COUNTRY[[#All],[Column2]],DIM_COUNTRY[[#All],[Column3]],,,)</f>
        <v>USMCA</v>
      </c>
    </row>
    <row r="1252" spans="1:9" x14ac:dyDescent="0.4">
      <c r="A1252" t="s">
        <v>61</v>
      </c>
      <c r="B1252" s="1">
        <v>45444</v>
      </c>
      <c r="C1252">
        <v>854239</v>
      </c>
      <c r="D1252" t="s">
        <v>176</v>
      </c>
      <c r="E1252">
        <v>3460</v>
      </c>
      <c r="F1252">
        <v>4</v>
      </c>
      <c r="G1252">
        <v>15</v>
      </c>
      <c r="H1252">
        <f>_xlfn.XLOOKUP(FACT_IMPORTS[[#This Row],[hts_6]],DIM_PRODUCTS[hts_6],DIM_PRODUCTS[hts_4],,,)</f>
        <v>8542</v>
      </c>
      <c r="I1252" t="str" cm="1">
        <f t="array" ref="I1252">_xlfn.XLOOKUP(FACT_IMPORTS[[#This Row],[country_name]],DIM_COUNTRY[[#All],[Column2]],DIM_COUNTRY[[#All],[Column3]],,,)</f>
        <v>USMCA</v>
      </c>
    </row>
    <row r="1253" spans="1:9" x14ac:dyDescent="0.4">
      <c r="A1253" t="s">
        <v>61</v>
      </c>
      <c r="B1253" s="1">
        <v>45444</v>
      </c>
      <c r="C1253">
        <v>854290</v>
      </c>
      <c r="D1253" t="s">
        <v>176</v>
      </c>
      <c r="E1253">
        <v>0</v>
      </c>
      <c r="F1253">
        <v>0</v>
      </c>
      <c r="G1253">
        <v>0</v>
      </c>
      <c r="H1253">
        <f>_xlfn.XLOOKUP(FACT_IMPORTS[[#This Row],[hts_6]],DIM_PRODUCTS[hts_6],DIM_PRODUCTS[hts_4],,,)</f>
        <v>8542</v>
      </c>
      <c r="I1253" t="str" cm="1">
        <f t="array" ref="I1253">_xlfn.XLOOKUP(FACT_IMPORTS[[#This Row],[country_name]],DIM_COUNTRY[[#All],[Column2]],DIM_COUNTRY[[#All],[Column3]],,,)</f>
        <v>USMCA</v>
      </c>
    </row>
    <row r="1254" spans="1:9" x14ac:dyDescent="0.4">
      <c r="A1254" t="s">
        <v>61</v>
      </c>
      <c r="B1254" s="1">
        <v>45444</v>
      </c>
      <c r="C1254">
        <v>854430</v>
      </c>
      <c r="D1254" t="s">
        <v>176</v>
      </c>
      <c r="E1254">
        <v>1621405</v>
      </c>
      <c r="F1254">
        <v>37991</v>
      </c>
      <c r="G1254">
        <v>8303</v>
      </c>
      <c r="H1254">
        <f>_xlfn.XLOOKUP(FACT_IMPORTS[[#This Row],[hts_6]],DIM_PRODUCTS[hts_6],DIM_PRODUCTS[hts_4],,,)</f>
        <v>8544</v>
      </c>
      <c r="I1254" t="str" cm="1">
        <f t="array" ref="I1254">_xlfn.XLOOKUP(FACT_IMPORTS[[#This Row],[country_name]],DIM_COUNTRY[[#All],[Column2]],DIM_COUNTRY[[#All],[Column3]],,,)</f>
        <v>USMCA</v>
      </c>
    </row>
    <row r="1255" spans="1:9" x14ac:dyDescent="0.4">
      <c r="A1255" t="s">
        <v>61</v>
      </c>
      <c r="B1255" s="1">
        <v>45444</v>
      </c>
      <c r="C1255">
        <v>870600</v>
      </c>
      <c r="D1255" t="s">
        <v>176</v>
      </c>
      <c r="E1255">
        <v>0</v>
      </c>
      <c r="F1255">
        <v>0</v>
      </c>
      <c r="G1255">
        <v>0</v>
      </c>
      <c r="H1255">
        <f>_xlfn.XLOOKUP(FACT_IMPORTS[[#This Row],[hts_6]],DIM_PRODUCTS[hts_6],DIM_PRODUCTS[hts_4],,,)</f>
        <v>8706</v>
      </c>
      <c r="I1255" t="str" cm="1">
        <f t="array" ref="I1255">_xlfn.XLOOKUP(FACT_IMPORTS[[#This Row],[country_name]],DIM_COUNTRY[[#All],[Column2]],DIM_COUNTRY[[#All],[Column3]],,,)</f>
        <v>USMCA</v>
      </c>
    </row>
    <row r="1256" spans="1:9" x14ac:dyDescent="0.4">
      <c r="A1256" t="s">
        <v>61</v>
      </c>
      <c r="B1256" s="1">
        <v>45444</v>
      </c>
      <c r="C1256">
        <v>870710</v>
      </c>
      <c r="D1256" t="s">
        <v>176</v>
      </c>
      <c r="E1256">
        <v>10316</v>
      </c>
      <c r="F1256">
        <v>3</v>
      </c>
      <c r="G1256">
        <v>1001</v>
      </c>
      <c r="H1256">
        <f>_xlfn.XLOOKUP(FACT_IMPORTS[[#This Row],[hts_6]],DIM_PRODUCTS[hts_6],DIM_PRODUCTS[hts_4],,,)</f>
        <v>8707</v>
      </c>
      <c r="I1256" t="str" cm="1">
        <f t="array" ref="I1256">_xlfn.XLOOKUP(FACT_IMPORTS[[#This Row],[country_name]],DIM_COUNTRY[[#All],[Column2]],DIM_COUNTRY[[#All],[Column3]],,,)</f>
        <v>USMCA</v>
      </c>
    </row>
    <row r="1257" spans="1:9" x14ac:dyDescent="0.4">
      <c r="A1257" t="s">
        <v>61</v>
      </c>
      <c r="B1257" s="1">
        <v>45444</v>
      </c>
      <c r="C1257">
        <v>870790</v>
      </c>
      <c r="D1257" t="s">
        <v>176</v>
      </c>
      <c r="E1257">
        <v>3466557</v>
      </c>
      <c r="F1257">
        <v>361</v>
      </c>
      <c r="G1257">
        <v>37705</v>
      </c>
      <c r="H1257">
        <f>_xlfn.XLOOKUP(FACT_IMPORTS[[#This Row],[hts_6]],DIM_PRODUCTS[hts_6],DIM_PRODUCTS[hts_4],,,)</f>
        <v>8707</v>
      </c>
      <c r="I1257" t="str" cm="1">
        <f t="array" ref="I1257">_xlfn.XLOOKUP(FACT_IMPORTS[[#This Row],[country_name]],DIM_COUNTRY[[#All],[Column2]],DIM_COUNTRY[[#All],[Column3]],,,)</f>
        <v>USMCA</v>
      </c>
    </row>
    <row r="1258" spans="1:9" x14ac:dyDescent="0.4">
      <c r="A1258" t="s">
        <v>61</v>
      </c>
      <c r="B1258" s="1">
        <v>45444</v>
      </c>
      <c r="C1258">
        <v>870810</v>
      </c>
      <c r="D1258" t="s">
        <v>176</v>
      </c>
      <c r="E1258">
        <v>25408918</v>
      </c>
      <c r="F1258">
        <v>904734</v>
      </c>
      <c r="G1258">
        <v>388875</v>
      </c>
      <c r="H1258">
        <f>_xlfn.XLOOKUP(FACT_IMPORTS[[#This Row],[hts_6]],DIM_PRODUCTS[hts_6],DIM_PRODUCTS[hts_4],,,)</f>
        <v>8708</v>
      </c>
      <c r="I1258" t="str" cm="1">
        <f t="array" ref="I1258">_xlfn.XLOOKUP(FACT_IMPORTS[[#This Row],[country_name]],DIM_COUNTRY[[#All],[Column2]],DIM_COUNTRY[[#All],[Column3]],,,)</f>
        <v>USMCA</v>
      </c>
    </row>
    <row r="1259" spans="1:9" x14ac:dyDescent="0.4">
      <c r="A1259" t="s">
        <v>61</v>
      </c>
      <c r="B1259" s="1">
        <v>45444</v>
      </c>
      <c r="C1259">
        <v>870821</v>
      </c>
      <c r="D1259" t="s">
        <v>176</v>
      </c>
      <c r="E1259">
        <v>424706</v>
      </c>
      <c r="F1259">
        <v>20802</v>
      </c>
      <c r="G1259">
        <v>5563</v>
      </c>
      <c r="H1259">
        <f>_xlfn.XLOOKUP(FACT_IMPORTS[[#This Row],[hts_6]],DIM_PRODUCTS[hts_6],DIM_PRODUCTS[hts_4],,,)</f>
        <v>8708</v>
      </c>
      <c r="I1259" t="str" cm="1">
        <f t="array" ref="I1259">_xlfn.XLOOKUP(FACT_IMPORTS[[#This Row],[country_name]],DIM_COUNTRY[[#All],[Column2]],DIM_COUNTRY[[#All],[Column3]],,,)</f>
        <v>USMCA</v>
      </c>
    </row>
    <row r="1260" spans="1:9" x14ac:dyDescent="0.4">
      <c r="A1260" t="s">
        <v>61</v>
      </c>
      <c r="B1260" s="1">
        <v>45444</v>
      </c>
      <c r="C1260">
        <v>870822</v>
      </c>
      <c r="D1260" t="s">
        <v>176</v>
      </c>
      <c r="E1260">
        <v>5427650</v>
      </c>
      <c r="F1260">
        <v>104211</v>
      </c>
      <c r="G1260">
        <v>162909</v>
      </c>
      <c r="H1260">
        <f>_xlfn.XLOOKUP(FACT_IMPORTS[[#This Row],[hts_6]],DIM_PRODUCTS[hts_6],DIM_PRODUCTS[hts_4],,,)</f>
        <v>8708</v>
      </c>
      <c r="I1260" t="str" cm="1">
        <f t="array" ref="I1260">_xlfn.XLOOKUP(FACT_IMPORTS[[#This Row],[country_name]],DIM_COUNTRY[[#All],[Column2]],DIM_COUNTRY[[#All],[Column3]],,,)</f>
        <v>USMCA</v>
      </c>
    </row>
    <row r="1261" spans="1:9" x14ac:dyDescent="0.4">
      <c r="A1261" t="s">
        <v>61</v>
      </c>
      <c r="B1261" s="1">
        <v>45444</v>
      </c>
      <c r="C1261">
        <v>870829</v>
      </c>
      <c r="D1261" t="s">
        <v>176</v>
      </c>
      <c r="E1261">
        <v>374426641</v>
      </c>
      <c r="F1261">
        <v>54109856</v>
      </c>
      <c r="G1261">
        <v>7120371</v>
      </c>
      <c r="H1261">
        <f>_xlfn.XLOOKUP(FACT_IMPORTS[[#This Row],[hts_6]],DIM_PRODUCTS[hts_6],DIM_PRODUCTS[hts_4],,,)</f>
        <v>8708</v>
      </c>
      <c r="I1261" t="str" cm="1">
        <f t="array" ref="I1261">_xlfn.XLOOKUP(FACT_IMPORTS[[#This Row],[country_name]],DIM_COUNTRY[[#All],[Column2]],DIM_COUNTRY[[#All],[Column3]],,,)</f>
        <v>USMCA</v>
      </c>
    </row>
    <row r="1262" spans="1:9" x14ac:dyDescent="0.4">
      <c r="A1262" t="s">
        <v>61</v>
      </c>
      <c r="B1262" s="1">
        <v>45444</v>
      </c>
      <c r="C1262">
        <v>870830</v>
      </c>
      <c r="D1262" t="s">
        <v>176</v>
      </c>
      <c r="E1262">
        <v>13452494</v>
      </c>
      <c r="F1262">
        <v>3125075</v>
      </c>
      <c r="G1262">
        <v>186639</v>
      </c>
      <c r="H1262">
        <f>_xlfn.XLOOKUP(FACT_IMPORTS[[#This Row],[hts_6]],DIM_PRODUCTS[hts_6],DIM_PRODUCTS[hts_4],,,)</f>
        <v>8708</v>
      </c>
      <c r="I1262" t="str" cm="1">
        <f t="array" ref="I1262">_xlfn.XLOOKUP(FACT_IMPORTS[[#This Row],[country_name]],DIM_COUNTRY[[#All],[Column2]],DIM_COUNTRY[[#All],[Column3]],,,)</f>
        <v>USMCA</v>
      </c>
    </row>
    <row r="1263" spans="1:9" x14ac:dyDescent="0.4">
      <c r="A1263" t="s">
        <v>61</v>
      </c>
      <c r="B1263" s="1">
        <v>45444</v>
      </c>
      <c r="C1263">
        <v>870840</v>
      </c>
      <c r="D1263" t="s">
        <v>176</v>
      </c>
      <c r="E1263">
        <v>83648894</v>
      </c>
      <c r="F1263">
        <v>4008087</v>
      </c>
      <c r="G1263">
        <v>425763</v>
      </c>
      <c r="H1263">
        <f>_xlfn.XLOOKUP(FACT_IMPORTS[[#This Row],[hts_6]],DIM_PRODUCTS[hts_6],DIM_PRODUCTS[hts_4],,,)</f>
        <v>8708</v>
      </c>
      <c r="I1263" t="str" cm="1">
        <f t="array" ref="I1263">_xlfn.XLOOKUP(FACT_IMPORTS[[#This Row],[country_name]],DIM_COUNTRY[[#All],[Column2]],DIM_COUNTRY[[#All],[Column3]],,,)</f>
        <v>USMCA</v>
      </c>
    </row>
    <row r="1264" spans="1:9" x14ac:dyDescent="0.4">
      <c r="A1264" t="s">
        <v>61</v>
      </c>
      <c r="B1264" s="1">
        <v>45444</v>
      </c>
      <c r="C1264">
        <v>870850</v>
      </c>
      <c r="D1264" t="s">
        <v>176</v>
      </c>
      <c r="E1264">
        <v>29147317</v>
      </c>
      <c r="F1264">
        <v>1601723</v>
      </c>
      <c r="G1264">
        <v>192706</v>
      </c>
      <c r="H1264">
        <f>_xlfn.XLOOKUP(FACT_IMPORTS[[#This Row],[hts_6]],DIM_PRODUCTS[hts_6],DIM_PRODUCTS[hts_4],,,)</f>
        <v>8708</v>
      </c>
      <c r="I1264" t="str" cm="1">
        <f t="array" ref="I1264">_xlfn.XLOOKUP(FACT_IMPORTS[[#This Row],[country_name]],DIM_COUNTRY[[#All],[Column2]],DIM_COUNTRY[[#All],[Column3]],,,)</f>
        <v>USMCA</v>
      </c>
    </row>
    <row r="1265" spans="1:9" x14ac:dyDescent="0.4">
      <c r="A1265" t="s">
        <v>61</v>
      </c>
      <c r="B1265" s="1">
        <v>45444</v>
      </c>
      <c r="C1265">
        <v>870870</v>
      </c>
      <c r="D1265" t="s">
        <v>176</v>
      </c>
      <c r="E1265">
        <v>5388765</v>
      </c>
      <c r="F1265">
        <v>5684961</v>
      </c>
      <c r="G1265">
        <v>67735</v>
      </c>
      <c r="H1265">
        <f>_xlfn.XLOOKUP(FACT_IMPORTS[[#This Row],[hts_6]],DIM_PRODUCTS[hts_6],DIM_PRODUCTS[hts_4],,,)</f>
        <v>8708</v>
      </c>
      <c r="I1265" t="str" cm="1">
        <f t="array" ref="I1265">_xlfn.XLOOKUP(FACT_IMPORTS[[#This Row],[country_name]],DIM_COUNTRY[[#All],[Column2]],DIM_COUNTRY[[#All],[Column3]],,,)</f>
        <v>USMCA</v>
      </c>
    </row>
    <row r="1266" spans="1:9" x14ac:dyDescent="0.4">
      <c r="A1266" t="s">
        <v>61</v>
      </c>
      <c r="B1266" s="1">
        <v>45444</v>
      </c>
      <c r="C1266">
        <v>870880</v>
      </c>
      <c r="D1266" t="s">
        <v>176</v>
      </c>
      <c r="E1266">
        <v>65537802</v>
      </c>
      <c r="F1266">
        <v>3022763</v>
      </c>
      <c r="G1266">
        <v>1021540</v>
      </c>
      <c r="H1266">
        <f>_xlfn.XLOOKUP(FACT_IMPORTS[[#This Row],[hts_6]],DIM_PRODUCTS[hts_6],DIM_PRODUCTS[hts_4],,,)</f>
        <v>8708</v>
      </c>
      <c r="I1266" t="str" cm="1">
        <f t="array" ref="I1266">_xlfn.XLOOKUP(FACT_IMPORTS[[#This Row],[country_name]],DIM_COUNTRY[[#All],[Column2]],DIM_COUNTRY[[#All],[Column3]],,,)</f>
        <v>USMCA</v>
      </c>
    </row>
    <row r="1267" spans="1:9" x14ac:dyDescent="0.4">
      <c r="A1267" t="s">
        <v>61</v>
      </c>
      <c r="B1267" s="1">
        <v>45444</v>
      </c>
      <c r="C1267">
        <v>870891</v>
      </c>
      <c r="D1267" t="s">
        <v>176</v>
      </c>
      <c r="E1267">
        <v>19123228</v>
      </c>
      <c r="F1267">
        <v>794551</v>
      </c>
      <c r="G1267">
        <v>292287</v>
      </c>
      <c r="H1267">
        <f>_xlfn.XLOOKUP(FACT_IMPORTS[[#This Row],[hts_6]],DIM_PRODUCTS[hts_6],DIM_PRODUCTS[hts_4],,,)</f>
        <v>8708</v>
      </c>
      <c r="I1267" t="str" cm="1">
        <f t="array" ref="I1267">_xlfn.XLOOKUP(FACT_IMPORTS[[#This Row],[country_name]],DIM_COUNTRY[[#All],[Column2]],DIM_COUNTRY[[#All],[Column3]],,,)</f>
        <v>USMCA</v>
      </c>
    </row>
    <row r="1268" spans="1:9" x14ac:dyDescent="0.4">
      <c r="A1268" t="s">
        <v>61</v>
      </c>
      <c r="B1268" s="1">
        <v>45444</v>
      </c>
      <c r="C1268">
        <v>870892</v>
      </c>
      <c r="D1268" t="s">
        <v>176</v>
      </c>
      <c r="E1268">
        <v>21327868</v>
      </c>
      <c r="F1268">
        <v>938064</v>
      </c>
      <c r="G1268">
        <v>352631</v>
      </c>
      <c r="H1268">
        <f>_xlfn.XLOOKUP(FACT_IMPORTS[[#This Row],[hts_6]],DIM_PRODUCTS[hts_6],DIM_PRODUCTS[hts_4],,,)</f>
        <v>8708</v>
      </c>
      <c r="I1268" t="str" cm="1">
        <f t="array" ref="I1268">_xlfn.XLOOKUP(FACT_IMPORTS[[#This Row],[country_name]],DIM_COUNTRY[[#All],[Column2]],DIM_COUNTRY[[#All],[Column3]],,,)</f>
        <v>USMCA</v>
      </c>
    </row>
    <row r="1269" spans="1:9" x14ac:dyDescent="0.4">
      <c r="A1269" t="s">
        <v>61</v>
      </c>
      <c r="B1269" s="1">
        <v>45444</v>
      </c>
      <c r="C1269">
        <v>870893</v>
      </c>
      <c r="D1269" t="s">
        <v>176</v>
      </c>
      <c r="E1269">
        <v>49874778</v>
      </c>
      <c r="F1269">
        <v>1262988</v>
      </c>
      <c r="G1269">
        <v>109600</v>
      </c>
      <c r="H1269">
        <f>_xlfn.XLOOKUP(FACT_IMPORTS[[#This Row],[hts_6]],DIM_PRODUCTS[hts_6],DIM_PRODUCTS[hts_4],,,)</f>
        <v>8708</v>
      </c>
      <c r="I1269" t="str" cm="1">
        <f t="array" ref="I1269">_xlfn.XLOOKUP(FACT_IMPORTS[[#This Row],[country_name]],DIM_COUNTRY[[#All],[Column2]],DIM_COUNTRY[[#All],[Column3]],,,)</f>
        <v>USMCA</v>
      </c>
    </row>
    <row r="1270" spans="1:9" x14ac:dyDescent="0.4">
      <c r="A1270" t="s">
        <v>61</v>
      </c>
      <c r="B1270" s="1">
        <v>45444</v>
      </c>
      <c r="C1270">
        <v>870894</v>
      </c>
      <c r="D1270" t="s">
        <v>176</v>
      </c>
      <c r="E1270">
        <v>11562864</v>
      </c>
      <c r="F1270">
        <v>2376759</v>
      </c>
      <c r="G1270">
        <v>121008</v>
      </c>
      <c r="H1270">
        <f>_xlfn.XLOOKUP(FACT_IMPORTS[[#This Row],[hts_6]],DIM_PRODUCTS[hts_6],DIM_PRODUCTS[hts_4],,,)</f>
        <v>8708</v>
      </c>
      <c r="I1270" t="str" cm="1">
        <f t="array" ref="I1270">_xlfn.XLOOKUP(FACT_IMPORTS[[#This Row],[country_name]],DIM_COUNTRY[[#All],[Column2]],DIM_COUNTRY[[#All],[Column3]],,,)</f>
        <v>USMCA</v>
      </c>
    </row>
    <row r="1271" spans="1:9" x14ac:dyDescent="0.4">
      <c r="A1271" t="s">
        <v>61</v>
      </c>
      <c r="B1271" s="1">
        <v>45444</v>
      </c>
      <c r="C1271">
        <v>870895</v>
      </c>
      <c r="D1271" t="s">
        <v>176</v>
      </c>
      <c r="E1271">
        <v>1891906</v>
      </c>
      <c r="F1271">
        <v>1421881</v>
      </c>
      <c r="G1271">
        <v>15690</v>
      </c>
      <c r="H1271">
        <f>_xlfn.XLOOKUP(FACT_IMPORTS[[#This Row],[hts_6]],DIM_PRODUCTS[hts_6],DIM_PRODUCTS[hts_4],,,)</f>
        <v>8708</v>
      </c>
      <c r="I1271" t="str" cm="1">
        <f t="array" ref="I1271">_xlfn.XLOOKUP(FACT_IMPORTS[[#This Row],[country_name]],DIM_COUNTRY[[#All],[Column2]],DIM_COUNTRY[[#All],[Column3]],,,)</f>
        <v>USMCA</v>
      </c>
    </row>
    <row r="1272" spans="1:9" x14ac:dyDescent="0.4">
      <c r="A1272" t="s">
        <v>61</v>
      </c>
      <c r="B1272" s="1">
        <v>45444</v>
      </c>
      <c r="C1272">
        <v>870899</v>
      </c>
      <c r="D1272" t="s">
        <v>176</v>
      </c>
      <c r="E1272">
        <v>154578580</v>
      </c>
      <c r="F1272">
        <v>14525811</v>
      </c>
      <c r="G1272">
        <v>1909167</v>
      </c>
      <c r="H1272">
        <f>_xlfn.XLOOKUP(FACT_IMPORTS[[#This Row],[hts_6]],DIM_PRODUCTS[hts_6],DIM_PRODUCTS[hts_4],,,)</f>
        <v>8708</v>
      </c>
      <c r="I1272" t="str" cm="1">
        <f t="array" ref="I1272">_xlfn.XLOOKUP(FACT_IMPORTS[[#This Row],[country_name]],DIM_COUNTRY[[#All],[Column2]],DIM_COUNTRY[[#All],[Column3]],,,)</f>
        <v>USMCA</v>
      </c>
    </row>
    <row r="1273" spans="1:9" x14ac:dyDescent="0.4">
      <c r="A1273" t="s">
        <v>61</v>
      </c>
      <c r="B1273" s="1">
        <v>45444</v>
      </c>
      <c r="C1273">
        <v>940120</v>
      </c>
      <c r="D1273" t="s">
        <v>176</v>
      </c>
      <c r="E1273">
        <v>2200029</v>
      </c>
      <c r="F1273">
        <v>14795</v>
      </c>
      <c r="G1273">
        <v>12377</v>
      </c>
      <c r="H1273">
        <f>_xlfn.XLOOKUP(FACT_IMPORTS[[#This Row],[hts_6]],DIM_PRODUCTS[hts_6],DIM_PRODUCTS[hts_4],,,)</f>
        <v>9401</v>
      </c>
      <c r="I1273" t="str" cm="1">
        <f t="array" ref="I1273">_xlfn.XLOOKUP(FACT_IMPORTS[[#This Row],[country_name]],DIM_COUNTRY[[#All],[Column2]],DIM_COUNTRY[[#All],[Column3]],,,)</f>
        <v>USMCA</v>
      </c>
    </row>
    <row r="1274" spans="1:9" x14ac:dyDescent="0.4">
      <c r="A1274" t="s">
        <v>61</v>
      </c>
      <c r="B1274" s="1">
        <v>45474</v>
      </c>
      <c r="C1274">
        <v>392630</v>
      </c>
      <c r="D1274" t="s">
        <v>176</v>
      </c>
      <c r="E1274">
        <v>2752138</v>
      </c>
      <c r="F1274">
        <v>326788</v>
      </c>
      <c r="G1274">
        <v>146472</v>
      </c>
      <c r="H1274">
        <f>_xlfn.XLOOKUP(FACT_IMPORTS[[#This Row],[hts_6]],DIM_PRODUCTS[hts_6],DIM_PRODUCTS[hts_4],,,)</f>
        <v>3926</v>
      </c>
      <c r="I1274" t="str" cm="1">
        <f t="array" ref="I1274">_xlfn.XLOOKUP(FACT_IMPORTS[[#This Row],[country_name]],DIM_COUNTRY[[#All],[Column2]],DIM_COUNTRY[[#All],[Column3]],,,)</f>
        <v>USMCA</v>
      </c>
    </row>
    <row r="1275" spans="1:9" x14ac:dyDescent="0.4">
      <c r="A1275" t="s">
        <v>61</v>
      </c>
      <c r="B1275" s="1">
        <v>45474</v>
      </c>
      <c r="C1275">
        <v>401110</v>
      </c>
      <c r="D1275" t="s">
        <v>176</v>
      </c>
      <c r="E1275">
        <v>42364861</v>
      </c>
      <c r="F1275">
        <v>559854</v>
      </c>
      <c r="G1275">
        <v>255649</v>
      </c>
      <c r="H1275">
        <f>_xlfn.XLOOKUP(FACT_IMPORTS[[#This Row],[hts_6]],DIM_PRODUCTS[hts_6],DIM_PRODUCTS[hts_4],,,)</f>
        <v>4011</v>
      </c>
      <c r="I1275" t="str" cm="1">
        <f t="array" ref="I1275">_xlfn.XLOOKUP(FACT_IMPORTS[[#This Row],[country_name]],DIM_COUNTRY[[#All],[Column2]],DIM_COUNTRY[[#All],[Column3]],,,)</f>
        <v>USMCA</v>
      </c>
    </row>
    <row r="1276" spans="1:9" x14ac:dyDescent="0.4">
      <c r="A1276" t="s">
        <v>61</v>
      </c>
      <c r="B1276" s="1">
        <v>45474</v>
      </c>
      <c r="C1276">
        <v>401120</v>
      </c>
      <c r="D1276" t="s">
        <v>176</v>
      </c>
      <c r="E1276">
        <v>48147721</v>
      </c>
      <c r="F1276">
        <v>277719</v>
      </c>
      <c r="G1276">
        <v>288398</v>
      </c>
      <c r="H1276">
        <f>_xlfn.XLOOKUP(FACT_IMPORTS[[#This Row],[hts_6]],DIM_PRODUCTS[hts_6],DIM_PRODUCTS[hts_4],,,)</f>
        <v>4011</v>
      </c>
      <c r="I1276" t="str" cm="1">
        <f t="array" ref="I1276">_xlfn.XLOOKUP(FACT_IMPORTS[[#This Row],[country_name]],DIM_COUNTRY[[#All],[Column2]],DIM_COUNTRY[[#All],[Column3]],,,)</f>
        <v>USMCA</v>
      </c>
    </row>
    <row r="1277" spans="1:9" x14ac:dyDescent="0.4">
      <c r="A1277" t="s">
        <v>61</v>
      </c>
      <c r="B1277" s="1">
        <v>45474</v>
      </c>
      <c r="C1277">
        <v>401140</v>
      </c>
      <c r="D1277" t="s">
        <v>176</v>
      </c>
      <c r="E1277">
        <v>0</v>
      </c>
      <c r="F1277">
        <v>0</v>
      </c>
      <c r="G1277">
        <v>0</v>
      </c>
      <c r="H1277">
        <f>_xlfn.XLOOKUP(FACT_IMPORTS[[#This Row],[hts_6]],DIM_PRODUCTS[hts_6],DIM_PRODUCTS[hts_4],,,)</f>
        <v>4011</v>
      </c>
      <c r="I1277" t="str" cm="1">
        <f t="array" ref="I1277">_xlfn.XLOOKUP(FACT_IMPORTS[[#This Row],[country_name]],DIM_COUNTRY[[#All],[Column2]],DIM_COUNTRY[[#All],[Column3]],,,)</f>
        <v>USMCA</v>
      </c>
    </row>
    <row r="1278" spans="1:9" x14ac:dyDescent="0.4">
      <c r="A1278" t="s">
        <v>61</v>
      </c>
      <c r="B1278" s="1">
        <v>45474</v>
      </c>
      <c r="C1278">
        <v>401190</v>
      </c>
      <c r="D1278" t="s">
        <v>176</v>
      </c>
      <c r="E1278">
        <v>153419</v>
      </c>
      <c r="F1278">
        <v>397</v>
      </c>
      <c r="G1278">
        <v>111</v>
      </c>
      <c r="H1278">
        <f>_xlfn.XLOOKUP(FACT_IMPORTS[[#This Row],[hts_6]],DIM_PRODUCTS[hts_6],DIM_PRODUCTS[hts_4],,,)</f>
        <v>4011</v>
      </c>
      <c r="I1278" t="str" cm="1">
        <f t="array" ref="I1278">_xlfn.XLOOKUP(FACT_IMPORTS[[#This Row],[country_name]],DIM_COUNTRY[[#All],[Column2]],DIM_COUNTRY[[#All],[Column3]],,,)</f>
        <v>USMCA</v>
      </c>
    </row>
    <row r="1279" spans="1:9" x14ac:dyDescent="0.4">
      <c r="A1279" t="s">
        <v>61</v>
      </c>
      <c r="B1279" s="1">
        <v>45474</v>
      </c>
      <c r="C1279">
        <v>700711</v>
      </c>
      <c r="D1279" t="s">
        <v>176</v>
      </c>
      <c r="E1279">
        <v>606267</v>
      </c>
      <c r="F1279">
        <v>1133</v>
      </c>
      <c r="G1279">
        <v>3994</v>
      </c>
      <c r="H1279">
        <f>_xlfn.XLOOKUP(FACT_IMPORTS[[#This Row],[hts_6]],DIM_PRODUCTS[hts_6],DIM_PRODUCTS[hts_4],,,)</f>
        <v>7007</v>
      </c>
      <c r="I1279" t="str" cm="1">
        <f t="array" ref="I1279">_xlfn.XLOOKUP(FACT_IMPORTS[[#This Row],[country_name]],DIM_COUNTRY[[#All],[Column2]],DIM_COUNTRY[[#All],[Column3]],,,)</f>
        <v>USMCA</v>
      </c>
    </row>
    <row r="1280" spans="1:9" x14ac:dyDescent="0.4">
      <c r="A1280" t="s">
        <v>61</v>
      </c>
      <c r="B1280" s="1">
        <v>45474</v>
      </c>
      <c r="C1280">
        <v>700721</v>
      </c>
      <c r="D1280" t="s">
        <v>176</v>
      </c>
      <c r="E1280">
        <v>48261</v>
      </c>
      <c r="F1280">
        <v>287</v>
      </c>
      <c r="G1280">
        <v>580</v>
      </c>
      <c r="H1280">
        <f>_xlfn.XLOOKUP(FACT_IMPORTS[[#This Row],[hts_6]],DIM_PRODUCTS[hts_6],DIM_PRODUCTS[hts_4],,,)</f>
        <v>7007</v>
      </c>
      <c r="I1280" t="str" cm="1">
        <f t="array" ref="I1280">_xlfn.XLOOKUP(FACT_IMPORTS[[#This Row],[country_name]],DIM_COUNTRY[[#All],[Column2]],DIM_COUNTRY[[#All],[Column3]],,,)</f>
        <v>USMCA</v>
      </c>
    </row>
    <row r="1281" spans="1:9" x14ac:dyDescent="0.4">
      <c r="A1281" t="s">
        <v>61</v>
      </c>
      <c r="B1281" s="1">
        <v>45474</v>
      </c>
      <c r="C1281">
        <v>700910</v>
      </c>
      <c r="D1281" t="s">
        <v>176</v>
      </c>
      <c r="E1281">
        <v>235477</v>
      </c>
      <c r="F1281">
        <v>3758</v>
      </c>
      <c r="G1281">
        <v>5821</v>
      </c>
      <c r="H1281">
        <f>_xlfn.XLOOKUP(FACT_IMPORTS[[#This Row],[hts_6]],DIM_PRODUCTS[hts_6],DIM_PRODUCTS[hts_4],,,)</f>
        <v>7009</v>
      </c>
      <c r="I1281" t="str" cm="1">
        <f t="array" ref="I1281">_xlfn.XLOOKUP(FACT_IMPORTS[[#This Row],[country_name]],DIM_COUNTRY[[#All],[Column2]],DIM_COUNTRY[[#All],[Column3]],,,)</f>
        <v>USMCA</v>
      </c>
    </row>
    <row r="1282" spans="1:9" x14ac:dyDescent="0.4">
      <c r="A1282" t="s">
        <v>61</v>
      </c>
      <c r="B1282" s="1">
        <v>45474</v>
      </c>
      <c r="C1282">
        <v>732010</v>
      </c>
      <c r="D1282" t="s">
        <v>176</v>
      </c>
      <c r="E1282">
        <v>3568353</v>
      </c>
      <c r="F1282">
        <v>1126346</v>
      </c>
      <c r="G1282">
        <v>25098</v>
      </c>
      <c r="H1282">
        <f>_xlfn.XLOOKUP(FACT_IMPORTS[[#This Row],[hts_6]],DIM_PRODUCTS[hts_6],DIM_PRODUCTS[hts_4],,,)</f>
        <v>7320</v>
      </c>
      <c r="I1282" t="str" cm="1">
        <f t="array" ref="I1282">_xlfn.XLOOKUP(FACT_IMPORTS[[#This Row],[country_name]],DIM_COUNTRY[[#All],[Column2]],DIM_COUNTRY[[#All],[Column3]],,,)</f>
        <v>USMCA</v>
      </c>
    </row>
    <row r="1283" spans="1:9" x14ac:dyDescent="0.4">
      <c r="A1283" t="s">
        <v>61</v>
      </c>
      <c r="B1283" s="1">
        <v>45474</v>
      </c>
      <c r="C1283">
        <v>830230</v>
      </c>
      <c r="D1283" t="s">
        <v>176</v>
      </c>
      <c r="E1283">
        <v>28190144</v>
      </c>
      <c r="F1283">
        <v>5472383</v>
      </c>
      <c r="G1283">
        <v>905697</v>
      </c>
      <c r="H1283">
        <f>_xlfn.XLOOKUP(FACT_IMPORTS[[#This Row],[hts_6]],DIM_PRODUCTS[hts_6],DIM_PRODUCTS[hts_4],,,)</f>
        <v>8302</v>
      </c>
      <c r="I1283" t="str" cm="1">
        <f t="array" ref="I1283">_xlfn.XLOOKUP(FACT_IMPORTS[[#This Row],[country_name]],DIM_COUNTRY[[#All],[Column2]],DIM_COUNTRY[[#All],[Column3]],,,)</f>
        <v>USMCA</v>
      </c>
    </row>
    <row r="1284" spans="1:9" x14ac:dyDescent="0.4">
      <c r="A1284" t="s">
        <v>61</v>
      </c>
      <c r="B1284" s="1">
        <v>45474</v>
      </c>
      <c r="C1284">
        <v>840731</v>
      </c>
      <c r="D1284" t="s">
        <v>176</v>
      </c>
      <c r="E1284">
        <v>0</v>
      </c>
      <c r="F1284">
        <v>0</v>
      </c>
      <c r="G1284">
        <v>0</v>
      </c>
      <c r="H1284">
        <f>_xlfn.XLOOKUP(FACT_IMPORTS[[#This Row],[hts_6]],DIM_PRODUCTS[hts_6],DIM_PRODUCTS[hts_4],,,)</f>
        <v>8407</v>
      </c>
      <c r="I1284" t="str" cm="1">
        <f t="array" ref="I1284">_xlfn.XLOOKUP(FACT_IMPORTS[[#This Row],[country_name]],DIM_COUNTRY[[#All],[Column2]],DIM_COUNTRY[[#All],[Column3]],,,)</f>
        <v>USMCA</v>
      </c>
    </row>
    <row r="1285" spans="1:9" x14ac:dyDescent="0.4">
      <c r="A1285" t="s">
        <v>61</v>
      </c>
      <c r="B1285" s="1">
        <v>45474</v>
      </c>
      <c r="C1285">
        <v>840732</v>
      </c>
      <c r="D1285" t="s">
        <v>176</v>
      </c>
      <c r="E1285">
        <v>0</v>
      </c>
      <c r="F1285">
        <v>0</v>
      </c>
      <c r="G1285">
        <v>0</v>
      </c>
      <c r="H1285">
        <f>_xlfn.XLOOKUP(FACT_IMPORTS[[#This Row],[hts_6]],DIM_PRODUCTS[hts_6],DIM_PRODUCTS[hts_4],,,)</f>
        <v>8407</v>
      </c>
      <c r="I1285" t="str" cm="1">
        <f t="array" ref="I1285">_xlfn.XLOOKUP(FACT_IMPORTS[[#This Row],[country_name]],DIM_COUNTRY[[#All],[Column2]],DIM_COUNTRY[[#All],[Column3]],,,)</f>
        <v>USMCA</v>
      </c>
    </row>
    <row r="1286" spans="1:9" x14ac:dyDescent="0.4">
      <c r="A1286" t="s">
        <v>61</v>
      </c>
      <c r="B1286" s="1">
        <v>45474</v>
      </c>
      <c r="C1286">
        <v>840733</v>
      </c>
      <c r="D1286" t="s">
        <v>176</v>
      </c>
      <c r="E1286">
        <v>146383</v>
      </c>
      <c r="F1286">
        <v>55</v>
      </c>
      <c r="G1286">
        <v>3176</v>
      </c>
      <c r="H1286">
        <f>_xlfn.XLOOKUP(FACT_IMPORTS[[#This Row],[hts_6]],DIM_PRODUCTS[hts_6],DIM_PRODUCTS[hts_4],,,)</f>
        <v>8407</v>
      </c>
      <c r="I1286" t="str" cm="1">
        <f t="array" ref="I1286">_xlfn.XLOOKUP(FACT_IMPORTS[[#This Row],[country_name]],DIM_COUNTRY[[#All],[Column2]],DIM_COUNTRY[[#All],[Column3]],,,)</f>
        <v>USMCA</v>
      </c>
    </row>
    <row r="1287" spans="1:9" x14ac:dyDescent="0.4">
      <c r="A1287" t="s">
        <v>61</v>
      </c>
      <c r="B1287" s="1">
        <v>45474</v>
      </c>
      <c r="C1287">
        <v>840734</v>
      </c>
      <c r="D1287" t="s">
        <v>176</v>
      </c>
      <c r="E1287">
        <v>141197141</v>
      </c>
      <c r="F1287">
        <v>42050</v>
      </c>
      <c r="G1287">
        <v>173730</v>
      </c>
      <c r="H1287">
        <f>_xlfn.XLOOKUP(FACT_IMPORTS[[#This Row],[hts_6]],DIM_PRODUCTS[hts_6],DIM_PRODUCTS[hts_4],,,)</f>
        <v>8407</v>
      </c>
      <c r="I1287" t="str" cm="1">
        <f t="array" ref="I1287">_xlfn.XLOOKUP(FACT_IMPORTS[[#This Row],[country_name]],DIM_COUNTRY[[#All],[Column2]],DIM_COUNTRY[[#All],[Column3]],,,)</f>
        <v>USMCA</v>
      </c>
    </row>
    <row r="1288" spans="1:9" x14ac:dyDescent="0.4">
      <c r="A1288" t="s">
        <v>61</v>
      </c>
      <c r="B1288" s="1">
        <v>45474</v>
      </c>
      <c r="C1288">
        <v>840790</v>
      </c>
      <c r="D1288" t="s">
        <v>176</v>
      </c>
      <c r="E1288">
        <v>7337938</v>
      </c>
      <c r="F1288">
        <v>3342</v>
      </c>
      <c r="G1288">
        <v>2995</v>
      </c>
      <c r="H1288">
        <f>_xlfn.XLOOKUP(FACT_IMPORTS[[#This Row],[hts_6]],DIM_PRODUCTS[hts_6],DIM_PRODUCTS[hts_4],,,)</f>
        <v>8407</v>
      </c>
      <c r="I1288" t="str" cm="1">
        <f t="array" ref="I1288">_xlfn.XLOOKUP(FACT_IMPORTS[[#This Row],[country_name]],DIM_COUNTRY[[#All],[Column2]],DIM_COUNTRY[[#All],[Column3]],,,)</f>
        <v>USMCA</v>
      </c>
    </row>
    <row r="1289" spans="1:9" x14ac:dyDescent="0.4">
      <c r="A1289" t="s">
        <v>61</v>
      </c>
      <c r="B1289" s="1">
        <v>45474</v>
      </c>
      <c r="C1289">
        <v>840820</v>
      </c>
      <c r="D1289" t="s">
        <v>176</v>
      </c>
      <c r="E1289">
        <v>441136</v>
      </c>
      <c r="F1289">
        <v>67</v>
      </c>
      <c r="G1289">
        <v>6935</v>
      </c>
      <c r="H1289">
        <f>_xlfn.XLOOKUP(FACT_IMPORTS[[#This Row],[hts_6]],DIM_PRODUCTS[hts_6],DIM_PRODUCTS[hts_4],,,)</f>
        <v>8408</v>
      </c>
      <c r="I1289" t="str" cm="1">
        <f t="array" ref="I1289">_xlfn.XLOOKUP(FACT_IMPORTS[[#This Row],[country_name]],DIM_COUNTRY[[#All],[Column2]],DIM_COUNTRY[[#All],[Column3]],,,)</f>
        <v>USMCA</v>
      </c>
    </row>
    <row r="1290" spans="1:9" x14ac:dyDescent="0.4">
      <c r="A1290" t="s">
        <v>61</v>
      </c>
      <c r="B1290" s="1">
        <v>45474</v>
      </c>
      <c r="C1290">
        <v>840890</v>
      </c>
      <c r="D1290" t="s">
        <v>176</v>
      </c>
      <c r="E1290">
        <v>134464</v>
      </c>
      <c r="F1290">
        <v>13</v>
      </c>
      <c r="G1290">
        <v>365</v>
      </c>
      <c r="H1290">
        <f>_xlfn.XLOOKUP(FACT_IMPORTS[[#This Row],[hts_6]],DIM_PRODUCTS[hts_6],DIM_PRODUCTS[hts_4],,,)</f>
        <v>8408</v>
      </c>
      <c r="I1290" t="str" cm="1">
        <f t="array" ref="I1290">_xlfn.XLOOKUP(FACT_IMPORTS[[#This Row],[country_name]],DIM_COUNTRY[[#All],[Column2]],DIM_COUNTRY[[#All],[Column3]],,,)</f>
        <v>USMCA</v>
      </c>
    </row>
    <row r="1291" spans="1:9" x14ac:dyDescent="0.4">
      <c r="A1291" t="s">
        <v>61</v>
      </c>
      <c r="B1291" s="1">
        <v>45474</v>
      </c>
      <c r="C1291">
        <v>840991</v>
      </c>
      <c r="D1291" t="s">
        <v>176</v>
      </c>
      <c r="E1291">
        <v>30645504</v>
      </c>
      <c r="F1291">
        <v>2650616</v>
      </c>
      <c r="G1291">
        <v>124129</v>
      </c>
      <c r="H1291">
        <f>_xlfn.XLOOKUP(FACT_IMPORTS[[#This Row],[hts_6]],DIM_PRODUCTS[hts_6],DIM_PRODUCTS[hts_4],,,)</f>
        <v>8409</v>
      </c>
      <c r="I1291" t="str" cm="1">
        <f t="array" ref="I1291">_xlfn.XLOOKUP(FACT_IMPORTS[[#This Row],[country_name]],DIM_COUNTRY[[#All],[Column2]],DIM_COUNTRY[[#All],[Column3]],,,)</f>
        <v>USMCA</v>
      </c>
    </row>
    <row r="1292" spans="1:9" x14ac:dyDescent="0.4">
      <c r="A1292" t="s">
        <v>61</v>
      </c>
      <c r="B1292" s="1">
        <v>45474</v>
      </c>
      <c r="C1292">
        <v>840999</v>
      </c>
      <c r="D1292" t="s">
        <v>176</v>
      </c>
      <c r="E1292">
        <v>12203719</v>
      </c>
      <c r="F1292">
        <v>1013260</v>
      </c>
      <c r="G1292">
        <v>96133</v>
      </c>
      <c r="H1292">
        <f>_xlfn.XLOOKUP(FACT_IMPORTS[[#This Row],[hts_6]],DIM_PRODUCTS[hts_6],DIM_PRODUCTS[hts_4],,,)</f>
        <v>8409</v>
      </c>
      <c r="I1292" t="str" cm="1">
        <f t="array" ref="I1292">_xlfn.XLOOKUP(FACT_IMPORTS[[#This Row],[country_name]],DIM_COUNTRY[[#All],[Column2]],DIM_COUNTRY[[#All],[Column3]],,,)</f>
        <v>USMCA</v>
      </c>
    </row>
    <row r="1293" spans="1:9" x14ac:dyDescent="0.4">
      <c r="A1293" t="s">
        <v>61</v>
      </c>
      <c r="B1293" s="1">
        <v>45474</v>
      </c>
      <c r="C1293">
        <v>841330</v>
      </c>
      <c r="D1293" t="s">
        <v>176</v>
      </c>
      <c r="E1293">
        <v>7774781</v>
      </c>
      <c r="F1293">
        <v>153563</v>
      </c>
      <c r="G1293">
        <v>25838</v>
      </c>
      <c r="H1293">
        <f>_xlfn.XLOOKUP(FACT_IMPORTS[[#This Row],[hts_6]],DIM_PRODUCTS[hts_6],DIM_PRODUCTS[hts_4],,,)</f>
        <v>8413</v>
      </c>
      <c r="I1293" t="str" cm="1">
        <f t="array" ref="I1293">_xlfn.XLOOKUP(FACT_IMPORTS[[#This Row],[country_name]],DIM_COUNTRY[[#All],[Column2]],DIM_COUNTRY[[#All],[Column3]],,,)</f>
        <v>USMCA</v>
      </c>
    </row>
    <row r="1294" spans="1:9" x14ac:dyDescent="0.4">
      <c r="A1294" t="s">
        <v>61</v>
      </c>
      <c r="B1294" s="1">
        <v>45474</v>
      </c>
      <c r="C1294">
        <v>841520</v>
      </c>
      <c r="D1294" t="s">
        <v>176</v>
      </c>
      <c r="E1294">
        <v>2797266</v>
      </c>
      <c r="F1294">
        <v>14768</v>
      </c>
      <c r="G1294">
        <v>30354</v>
      </c>
      <c r="H1294">
        <f>_xlfn.XLOOKUP(FACT_IMPORTS[[#This Row],[hts_6]],DIM_PRODUCTS[hts_6],DIM_PRODUCTS[hts_4],,,)</f>
        <v>8415</v>
      </c>
      <c r="I1294" t="str" cm="1">
        <f t="array" ref="I1294">_xlfn.XLOOKUP(FACT_IMPORTS[[#This Row],[country_name]],DIM_COUNTRY[[#All],[Column2]],DIM_COUNTRY[[#All],[Column3]],,,)</f>
        <v>USMCA</v>
      </c>
    </row>
    <row r="1295" spans="1:9" x14ac:dyDescent="0.4">
      <c r="A1295" t="s">
        <v>61</v>
      </c>
      <c r="B1295" s="1">
        <v>45474</v>
      </c>
      <c r="C1295">
        <v>842132</v>
      </c>
      <c r="D1295" t="s">
        <v>176</v>
      </c>
      <c r="E1295">
        <v>9924625</v>
      </c>
      <c r="F1295">
        <v>34255</v>
      </c>
      <c r="G1295">
        <v>26355</v>
      </c>
      <c r="H1295">
        <f>_xlfn.XLOOKUP(FACT_IMPORTS[[#This Row],[hts_6]],DIM_PRODUCTS[hts_6],DIM_PRODUCTS[hts_4],,,)</f>
        <v>8421</v>
      </c>
      <c r="I1295" t="str" cm="1">
        <f t="array" ref="I1295">_xlfn.XLOOKUP(FACT_IMPORTS[[#This Row],[country_name]],DIM_COUNTRY[[#All],[Column2]],DIM_COUNTRY[[#All],[Column3]],,,)</f>
        <v>USMCA</v>
      </c>
    </row>
    <row r="1296" spans="1:9" x14ac:dyDescent="0.4">
      <c r="A1296" t="s">
        <v>61</v>
      </c>
      <c r="B1296" s="1">
        <v>45474</v>
      </c>
      <c r="C1296">
        <v>848210</v>
      </c>
      <c r="D1296" t="s">
        <v>176</v>
      </c>
      <c r="E1296">
        <v>3717869</v>
      </c>
      <c r="F1296">
        <v>1115730</v>
      </c>
      <c r="G1296">
        <v>58128</v>
      </c>
      <c r="H1296">
        <f>_xlfn.XLOOKUP(FACT_IMPORTS[[#This Row],[hts_6]],DIM_PRODUCTS[hts_6],DIM_PRODUCTS[hts_4],,,)</f>
        <v>8482</v>
      </c>
      <c r="I1296" t="str" cm="1">
        <f t="array" ref="I1296">_xlfn.XLOOKUP(FACT_IMPORTS[[#This Row],[country_name]],DIM_COUNTRY[[#All],[Column2]],DIM_COUNTRY[[#All],[Column3]],,,)</f>
        <v>USMCA</v>
      </c>
    </row>
    <row r="1297" spans="1:9" x14ac:dyDescent="0.4">
      <c r="A1297" t="s">
        <v>61</v>
      </c>
      <c r="B1297" s="1">
        <v>45474</v>
      </c>
      <c r="C1297">
        <v>848220</v>
      </c>
      <c r="D1297" t="s">
        <v>176</v>
      </c>
      <c r="E1297">
        <v>208834</v>
      </c>
      <c r="F1297">
        <v>3419</v>
      </c>
      <c r="G1297">
        <v>5459</v>
      </c>
      <c r="H1297">
        <f>_xlfn.XLOOKUP(FACT_IMPORTS[[#This Row],[hts_6]],DIM_PRODUCTS[hts_6],DIM_PRODUCTS[hts_4],,,)</f>
        <v>8482</v>
      </c>
      <c r="I1297" t="str" cm="1">
        <f t="array" ref="I1297">_xlfn.XLOOKUP(FACT_IMPORTS[[#This Row],[country_name]],DIM_COUNTRY[[#All],[Column2]],DIM_COUNTRY[[#All],[Column3]],,,)</f>
        <v>USMCA</v>
      </c>
    </row>
    <row r="1298" spans="1:9" x14ac:dyDescent="0.4">
      <c r="A1298" t="s">
        <v>61</v>
      </c>
      <c r="B1298" s="1">
        <v>45474</v>
      </c>
      <c r="C1298">
        <v>848310</v>
      </c>
      <c r="D1298" t="s">
        <v>176</v>
      </c>
      <c r="E1298">
        <v>14493656</v>
      </c>
      <c r="F1298">
        <v>463254</v>
      </c>
      <c r="G1298">
        <v>270066</v>
      </c>
      <c r="H1298">
        <f>_xlfn.XLOOKUP(FACT_IMPORTS[[#This Row],[hts_6]],DIM_PRODUCTS[hts_6],DIM_PRODUCTS[hts_4],,,)</f>
        <v>8483</v>
      </c>
      <c r="I1298" t="str" cm="1">
        <f t="array" ref="I1298">_xlfn.XLOOKUP(FACT_IMPORTS[[#This Row],[country_name]],DIM_COUNTRY[[#All],[Column2]],DIM_COUNTRY[[#All],[Column3]],,,)</f>
        <v>USMCA</v>
      </c>
    </row>
    <row r="1299" spans="1:9" x14ac:dyDescent="0.4">
      <c r="A1299" t="s">
        <v>61</v>
      </c>
      <c r="B1299" s="1">
        <v>45474</v>
      </c>
      <c r="C1299">
        <v>850131</v>
      </c>
      <c r="D1299" t="s">
        <v>176</v>
      </c>
      <c r="E1299">
        <v>3101182</v>
      </c>
      <c r="F1299">
        <v>81595</v>
      </c>
      <c r="G1299">
        <v>12000</v>
      </c>
      <c r="H1299">
        <f>_xlfn.XLOOKUP(FACT_IMPORTS[[#This Row],[hts_6]],DIM_PRODUCTS[hts_6],DIM_PRODUCTS[hts_4],,,)</f>
        <v>8501</v>
      </c>
      <c r="I1299" t="str" cm="1">
        <f t="array" ref="I1299">_xlfn.XLOOKUP(FACT_IMPORTS[[#This Row],[country_name]],DIM_COUNTRY[[#All],[Column2]],DIM_COUNTRY[[#All],[Column3]],,,)</f>
        <v>USMCA</v>
      </c>
    </row>
    <row r="1300" spans="1:9" x14ac:dyDescent="0.4">
      <c r="A1300" t="s">
        <v>61</v>
      </c>
      <c r="B1300" s="1">
        <v>45474</v>
      </c>
      <c r="C1300">
        <v>850132</v>
      </c>
      <c r="D1300" t="s">
        <v>176</v>
      </c>
      <c r="E1300">
        <v>50203</v>
      </c>
      <c r="F1300">
        <v>11</v>
      </c>
      <c r="G1300">
        <v>509</v>
      </c>
      <c r="H1300">
        <f>_xlfn.XLOOKUP(FACT_IMPORTS[[#This Row],[hts_6]],DIM_PRODUCTS[hts_6],DIM_PRODUCTS[hts_4],,,)</f>
        <v>8501</v>
      </c>
      <c r="I1300" t="str" cm="1">
        <f t="array" ref="I1300">_xlfn.XLOOKUP(FACT_IMPORTS[[#This Row],[country_name]],DIM_COUNTRY[[#All],[Column2]],DIM_COUNTRY[[#All],[Column3]],,,)</f>
        <v>USMCA</v>
      </c>
    </row>
    <row r="1301" spans="1:9" x14ac:dyDescent="0.4">
      <c r="A1301" t="s">
        <v>61</v>
      </c>
      <c r="B1301" s="1">
        <v>45474</v>
      </c>
      <c r="C1301">
        <v>850133</v>
      </c>
      <c r="D1301" t="s">
        <v>176</v>
      </c>
      <c r="E1301">
        <v>16500</v>
      </c>
      <c r="F1301">
        <v>11</v>
      </c>
      <c r="G1301">
        <v>458</v>
      </c>
      <c r="H1301">
        <f>_xlfn.XLOOKUP(FACT_IMPORTS[[#This Row],[hts_6]],DIM_PRODUCTS[hts_6],DIM_PRODUCTS[hts_4],,,)</f>
        <v>8501</v>
      </c>
      <c r="I1301" t="str" cm="1">
        <f t="array" ref="I1301">_xlfn.XLOOKUP(FACT_IMPORTS[[#This Row],[country_name]],DIM_COUNTRY[[#All],[Column2]],DIM_COUNTRY[[#All],[Column3]],,,)</f>
        <v>USMCA</v>
      </c>
    </row>
    <row r="1302" spans="1:9" x14ac:dyDescent="0.4">
      <c r="A1302" t="s">
        <v>61</v>
      </c>
      <c r="B1302" s="1">
        <v>45474</v>
      </c>
      <c r="C1302">
        <v>850134</v>
      </c>
      <c r="D1302" t="s">
        <v>176</v>
      </c>
      <c r="E1302">
        <v>5920</v>
      </c>
      <c r="F1302">
        <v>3</v>
      </c>
      <c r="G1302">
        <v>350</v>
      </c>
      <c r="H1302">
        <f>_xlfn.XLOOKUP(FACT_IMPORTS[[#This Row],[hts_6]],DIM_PRODUCTS[hts_6],DIM_PRODUCTS[hts_4],,,)</f>
        <v>8501</v>
      </c>
      <c r="I1302" t="str" cm="1">
        <f t="array" ref="I1302">_xlfn.XLOOKUP(FACT_IMPORTS[[#This Row],[country_name]],DIM_COUNTRY[[#All],[Column2]],DIM_COUNTRY[[#All],[Column3]],,,)</f>
        <v>USMCA</v>
      </c>
    </row>
    <row r="1303" spans="1:9" x14ac:dyDescent="0.4">
      <c r="A1303" t="s">
        <v>61</v>
      </c>
      <c r="B1303" s="1">
        <v>45474</v>
      </c>
      <c r="C1303">
        <v>850152</v>
      </c>
      <c r="D1303" t="s">
        <v>176</v>
      </c>
      <c r="E1303">
        <v>1054452</v>
      </c>
      <c r="F1303">
        <v>228</v>
      </c>
      <c r="G1303">
        <v>15471</v>
      </c>
      <c r="H1303">
        <f>_xlfn.XLOOKUP(FACT_IMPORTS[[#This Row],[hts_6]],DIM_PRODUCTS[hts_6],DIM_PRODUCTS[hts_4],,,)</f>
        <v>8501</v>
      </c>
      <c r="I1303" t="str" cm="1">
        <f t="array" ref="I1303">_xlfn.XLOOKUP(FACT_IMPORTS[[#This Row],[country_name]],DIM_COUNTRY[[#All],[Column2]],DIM_COUNTRY[[#All],[Column3]],,,)</f>
        <v>USMCA</v>
      </c>
    </row>
    <row r="1304" spans="1:9" x14ac:dyDescent="0.4">
      <c r="A1304" t="s">
        <v>61</v>
      </c>
      <c r="B1304" s="1">
        <v>45474</v>
      </c>
      <c r="C1304">
        <v>850153</v>
      </c>
      <c r="D1304" t="s">
        <v>176</v>
      </c>
      <c r="E1304">
        <v>779299</v>
      </c>
      <c r="F1304">
        <v>36</v>
      </c>
      <c r="G1304">
        <v>2674</v>
      </c>
      <c r="H1304">
        <f>_xlfn.XLOOKUP(FACT_IMPORTS[[#This Row],[hts_6]],DIM_PRODUCTS[hts_6],DIM_PRODUCTS[hts_4],,,)</f>
        <v>8501</v>
      </c>
      <c r="I1304" t="str" cm="1">
        <f t="array" ref="I1304">_xlfn.XLOOKUP(FACT_IMPORTS[[#This Row],[country_name]],DIM_COUNTRY[[#All],[Column2]],DIM_COUNTRY[[#All],[Column3]],,,)</f>
        <v>USMCA</v>
      </c>
    </row>
    <row r="1305" spans="1:9" x14ac:dyDescent="0.4">
      <c r="A1305" t="s">
        <v>61</v>
      </c>
      <c r="B1305" s="1">
        <v>45474</v>
      </c>
      <c r="C1305">
        <v>850161</v>
      </c>
      <c r="D1305" t="s">
        <v>176</v>
      </c>
      <c r="E1305">
        <v>456807</v>
      </c>
      <c r="F1305">
        <v>175</v>
      </c>
      <c r="G1305">
        <v>281</v>
      </c>
      <c r="H1305">
        <f>_xlfn.XLOOKUP(FACT_IMPORTS[[#This Row],[hts_6]],DIM_PRODUCTS[hts_6],DIM_PRODUCTS[hts_4],,,)</f>
        <v>8501</v>
      </c>
      <c r="I1305" t="str" cm="1">
        <f t="array" ref="I1305">_xlfn.XLOOKUP(FACT_IMPORTS[[#This Row],[country_name]],DIM_COUNTRY[[#All],[Column2]],DIM_COUNTRY[[#All],[Column3]],,,)</f>
        <v>USMCA</v>
      </c>
    </row>
    <row r="1306" spans="1:9" x14ac:dyDescent="0.4">
      <c r="A1306" t="s">
        <v>61</v>
      </c>
      <c r="B1306" s="1">
        <v>45474</v>
      </c>
      <c r="C1306">
        <v>850440</v>
      </c>
      <c r="D1306" t="s">
        <v>176</v>
      </c>
      <c r="E1306">
        <v>8799282</v>
      </c>
      <c r="F1306">
        <v>9771</v>
      </c>
      <c r="G1306">
        <v>159787</v>
      </c>
      <c r="H1306">
        <f>_xlfn.XLOOKUP(FACT_IMPORTS[[#This Row],[hts_6]],DIM_PRODUCTS[hts_6],DIM_PRODUCTS[hts_4],,,)</f>
        <v>8504</v>
      </c>
      <c r="I1306" t="str" cm="1">
        <f t="array" ref="I1306">_xlfn.XLOOKUP(FACT_IMPORTS[[#This Row],[country_name]],DIM_COUNTRY[[#All],[Column2]],DIM_COUNTRY[[#All],[Column3]],,,)</f>
        <v>USMCA</v>
      </c>
    </row>
    <row r="1307" spans="1:9" x14ac:dyDescent="0.4">
      <c r="A1307" t="s">
        <v>61</v>
      </c>
      <c r="B1307" s="1">
        <v>45474</v>
      </c>
      <c r="C1307">
        <v>850710</v>
      </c>
      <c r="D1307" t="s">
        <v>176</v>
      </c>
      <c r="E1307">
        <v>933776</v>
      </c>
      <c r="F1307">
        <v>2756</v>
      </c>
      <c r="G1307">
        <v>44725</v>
      </c>
      <c r="H1307">
        <f>_xlfn.XLOOKUP(FACT_IMPORTS[[#This Row],[hts_6]],DIM_PRODUCTS[hts_6],DIM_PRODUCTS[hts_4],,,)</f>
        <v>8507</v>
      </c>
      <c r="I1307" t="str" cm="1">
        <f t="array" ref="I1307">_xlfn.XLOOKUP(FACT_IMPORTS[[#This Row],[country_name]],DIM_COUNTRY[[#All],[Column2]],DIM_COUNTRY[[#All],[Column3]],,,)</f>
        <v>USMCA</v>
      </c>
    </row>
    <row r="1308" spans="1:9" x14ac:dyDescent="0.4">
      <c r="A1308" t="s">
        <v>61</v>
      </c>
      <c r="B1308" s="1">
        <v>45474</v>
      </c>
      <c r="C1308">
        <v>850760</v>
      </c>
      <c r="D1308" t="s">
        <v>176</v>
      </c>
      <c r="E1308">
        <v>61272860</v>
      </c>
      <c r="F1308">
        <v>43420</v>
      </c>
      <c r="G1308">
        <v>42963</v>
      </c>
      <c r="H1308">
        <f>_xlfn.XLOOKUP(FACT_IMPORTS[[#This Row],[hts_6]],DIM_PRODUCTS[hts_6],DIM_PRODUCTS[hts_4],,,)</f>
        <v>8507</v>
      </c>
      <c r="I1308" t="str" cm="1">
        <f t="array" ref="I1308">_xlfn.XLOOKUP(FACT_IMPORTS[[#This Row],[country_name]],DIM_COUNTRY[[#All],[Column2]],DIM_COUNTRY[[#All],[Column3]],,,)</f>
        <v>USMCA</v>
      </c>
    </row>
    <row r="1309" spans="1:9" x14ac:dyDescent="0.4">
      <c r="A1309" t="s">
        <v>61</v>
      </c>
      <c r="B1309" s="1">
        <v>45474</v>
      </c>
      <c r="C1309">
        <v>850790</v>
      </c>
      <c r="D1309" t="s">
        <v>176</v>
      </c>
      <c r="E1309">
        <v>546786</v>
      </c>
      <c r="F1309">
        <v>47180</v>
      </c>
      <c r="G1309">
        <v>1468</v>
      </c>
      <c r="H1309">
        <f>_xlfn.XLOOKUP(FACT_IMPORTS[[#This Row],[hts_6]],DIM_PRODUCTS[hts_6],DIM_PRODUCTS[hts_4],,,)</f>
        <v>8507</v>
      </c>
      <c r="I1309" t="str" cm="1">
        <f t="array" ref="I1309">_xlfn.XLOOKUP(FACT_IMPORTS[[#This Row],[country_name]],DIM_COUNTRY[[#All],[Column2]],DIM_COUNTRY[[#All],[Column3]],,,)</f>
        <v>USMCA</v>
      </c>
    </row>
    <row r="1310" spans="1:9" x14ac:dyDescent="0.4">
      <c r="A1310" t="s">
        <v>61</v>
      </c>
      <c r="B1310" s="1">
        <v>45474</v>
      </c>
      <c r="C1310">
        <v>851110</v>
      </c>
      <c r="D1310" t="s">
        <v>176</v>
      </c>
      <c r="E1310">
        <v>93695</v>
      </c>
      <c r="F1310">
        <v>173</v>
      </c>
      <c r="G1310">
        <v>60</v>
      </c>
      <c r="H1310">
        <f>_xlfn.XLOOKUP(FACT_IMPORTS[[#This Row],[hts_6]],DIM_PRODUCTS[hts_6],DIM_PRODUCTS[hts_4],,,)</f>
        <v>8511</v>
      </c>
      <c r="I1310" t="str" cm="1">
        <f t="array" ref="I1310">_xlfn.XLOOKUP(FACT_IMPORTS[[#This Row],[country_name]],DIM_COUNTRY[[#All],[Column2]],DIM_COUNTRY[[#All],[Column3]],,,)</f>
        <v>USMCA</v>
      </c>
    </row>
    <row r="1311" spans="1:9" x14ac:dyDescent="0.4">
      <c r="A1311" t="s">
        <v>61</v>
      </c>
      <c r="B1311" s="1">
        <v>45474</v>
      </c>
      <c r="C1311">
        <v>851120</v>
      </c>
      <c r="D1311" t="s">
        <v>176</v>
      </c>
      <c r="E1311">
        <v>0</v>
      </c>
      <c r="F1311">
        <v>0</v>
      </c>
      <c r="G1311">
        <v>0</v>
      </c>
      <c r="H1311">
        <f>_xlfn.XLOOKUP(FACT_IMPORTS[[#This Row],[hts_6]],DIM_PRODUCTS[hts_6],DIM_PRODUCTS[hts_4],,,)</f>
        <v>8511</v>
      </c>
      <c r="I1311" t="str" cm="1">
        <f t="array" ref="I1311">_xlfn.XLOOKUP(FACT_IMPORTS[[#This Row],[country_name]],DIM_COUNTRY[[#All],[Column2]],DIM_COUNTRY[[#All],[Column3]],,,)</f>
        <v>USMCA</v>
      </c>
    </row>
    <row r="1312" spans="1:9" x14ac:dyDescent="0.4">
      <c r="A1312" t="s">
        <v>61</v>
      </c>
      <c r="B1312" s="1">
        <v>45474</v>
      </c>
      <c r="C1312">
        <v>851130</v>
      </c>
      <c r="D1312" t="s">
        <v>176</v>
      </c>
      <c r="E1312">
        <v>4748</v>
      </c>
      <c r="F1312">
        <v>2374</v>
      </c>
      <c r="G1312">
        <v>30</v>
      </c>
      <c r="H1312">
        <f>_xlfn.XLOOKUP(FACT_IMPORTS[[#This Row],[hts_6]],DIM_PRODUCTS[hts_6],DIM_PRODUCTS[hts_4],,,)</f>
        <v>8511</v>
      </c>
      <c r="I1312" t="str" cm="1">
        <f t="array" ref="I1312">_xlfn.XLOOKUP(FACT_IMPORTS[[#This Row],[country_name]],DIM_COUNTRY[[#All],[Column2]],DIM_COUNTRY[[#All],[Column3]],,,)</f>
        <v>USMCA</v>
      </c>
    </row>
    <row r="1313" spans="1:9" x14ac:dyDescent="0.4">
      <c r="A1313" t="s">
        <v>61</v>
      </c>
      <c r="B1313" s="1">
        <v>45474</v>
      </c>
      <c r="C1313">
        <v>851140</v>
      </c>
      <c r="D1313" t="s">
        <v>176</v>
      </c>
      <c r="E1313">
        <v>380384</v>
      </c>
      <c r="F1313">
        <v>8127</v>
      </c>
      <c r="G1313">
        <v>5029</v>
      </c>
      <c r="H1313">
        <f>_xlfn.XLOOKUP(FACT_IMPORTS[[#This Row],[hts_6]],DIM_PRODUCTS[hts_6],DIM_PRODUCTS[hts_4],,,)</f>
        <v>8511</v>
      </c>
      <c r="I1313" t="str" cm="1">
        <f t="array" ref="I1313">_xlfn.XLOOKUP(FACT_IMPORTS[[#This Row],[country_name]],DIM_COUNTRY[[#All],[Column2]],DIM_COUNTRY[[#All],[Column3]],,,)</f>
        <v>USMCA</v>
      </c>
    </row>
    <row r="1314" spans="1:9" x14ac:dyDescent="0.4">
      <c r="A1314" t="s">
        <v>61</v>
      </c>
      <c r="B1314" s="1">
        <v>45474</v>
      </c>
      <c r="C1314">
        <v>851150</v>
      </c>
      <c r="D1314" t="s">
        <v>176</v>
      </c>
      <c r="E1314">
        <v>443012</v>
      </c>
      <c r="F1314">
        <v>8469</v>
      </c>
      <c r="G1314">
        <v>5242</v>
      </c>
      <c r="H1314">
        <f>_xlfn.XLOOKUP(FACT_IMPORTS[[#This Row],[hts_6]],DIM_PRODUCTS[hts_6],DIM_PRODUCTS[hts_4],,,)</f>
        <v>8511</v>
      </c>
      <c r="I1314" t="str" cm="1">
        <f t="array" ref="I1314">_xlfn.XLOOKUP(FACT_IMPORTS[[#This Row],[country_name]],DIM_COUNTRY[[#All],[Column2]],DIM_COUNTRY[[#All],[Column3]],,,)</f>
        <v>USMCA</v>
      </c>
    </row>
    <row r="1315" spans="1:9" x14ac:dyDescent="0.4">
      <c r="A1315" t="s">
        <v>61</v>
      </c>
      <c r="B1315" s="1">
        <v>45474</v>
      </c>
      <c r="C1315">
        <v>851180</v>
      </c>
      <c r="D1315" t="s">
        <v>176</v>
      </c>
      <c r="E1315">
        <v>11650</v>
      </c>
      <c r="F1315">
        <v>76</v>
      </c>
      <c r="G1315">
        <v>546</v>
      </c>
      <c r="H1315">
        <f>_xlfn.XLOOKUP(FACT_IMPORTS[[#This Row],[hts_6]],DIM_PRODUCTS[hts_6],DIM_PRODUCTS[hts_4],,,)</f>
        <v>8511</v>
      </c>
      <c r="I1315" t="str" cm="1">
        <f t="array" ref="I1315">_xlfn.XLOOKUP(FACT_IMPORTS[[#This Row],[country_name]],DIM_COUNTRY[[#All],[Column2]],DIM_COUNTRY[[#All],[Column3]],,,)</f>
        <v>USMCA</v>
      </c>
    </row>
    <row r="1316" spans="1:9" x14ac:dyDescent="0.4">
      <c r="A1316" t="s">
        <v>61</v>
      </c>
      <c r="B1316" s="1">
        <v>45474</v>
      </c>
      <c r="C1316">
        <v>851190</v>
      </c>
      <c r="D1316" t="s">
        <v>176</v>
      </c>
      <c r="E1316">
        <v>684544</v>
      </c>
      <c r="F1316">
        <v>4156</v>
      </c>
      <c r="G1316">
        <v>1576</v>
      </c>
      <c r="H1316">
        <f>_xlfn.XLOOKUP(FACT_IMPORTS[[#This Row],[hts_6]],DIM_PRODUCTS[hts_6],DIM_PRODUCTS[hts_4],,,)</f>
        <v>8511</v>
      </c>
      <c r="I1316" t="str" cm="1">
        <f t="array" ref="I1316">_xlfn.XLOOKUP(FACT_IMPORTS[[#This Row],[country_name]],DIM_COUNTRY[[#All],[Column2]],DIM_COUNTRY[[#All],[Column3]],,,)</f>
        <v>USMCA</v>
      </c>
    </row>
    <row r="1317" spans="1:9" x14ac:dyDescent="0.4">
      <c r="A1317" t="s">
        <v>61</v>
      </c>
      <c r="B1317" s="1">
        <v>45474</v>
      </c>
      <c r="C1317">
        <v>851220</v>
      </c>
      <c r="D1317" t="s">
        <v>176</v>
      </c>
      <c r="E1317">
        <v>14182602</v>
      </c>
      <c r="F1317">
        <v>293742</v>
      </c>
      <c r="G1317">
        <v>62801</v>
      </c>
      <c r="H1317">
        <f>_xlfn.XLOOKUP(FACT_IMPORTS[[#This Row],[hts_6]],DIM_PRODUCTS[hts_6],DIM_PRODUCTS[hts_4],,,)</f>
        <v>8512</v>
      </c>
      <c r="I1317" t="str" cm="1">
        <f t="array" ref="I1317">_xlfn.XLOOKUP(FACT_IMPORTS[[#This Row],[country_name]],DIM_COUNTRY[[#All],[Column2]],DIM_COUNTRY[[#All],[Column3]],,,)</f>
        <v>USMCA</v>
      </c>
    </row>
    <row r="1318" spans="1:9" x14ac:dyDescent="0.4">
      <c r="A1318" t="s">
        <v>61</v>
      </c>
      <c r="B1318" s="1">
        <v>45474</v>
      </c>
      <c r="C1318">
        <v>851230</v>
      </c>
      <c r="D1318" t="s">
        <v>176</v>
      </c>
      <c r="E1318">
        <v>21150</v>
      </c>
      <c r="F1318">
        <v>454</v>
      </c>
      <c r="G1318">
        <v>196</v>
      </c>
      <c r="H1318">
        <f>_xlfn.XLOOKUP(FACT_IMPORTS[[#This Row],[hts_6]],DIM_PRODUCTS[hts_6],DIM_PRODUCTS[hts_4],,,)</f>
        <v>8512</v>
      </c>
      <c r="I1318" t="str" cm="1">
        <f t="array" ref="I1318">_xlfn.XLOOKUP(FACT_IMPORTS[[#This Row],[country_name]],DIM_COUNTRY[[#All],[Column2]],DIM_COUNTRY[[#All],[Column3]],,,)</f>
        <v>USMCA</v>
      </c>
    </row>
    <row r="1319" spans="1:9" x14ac:dyDescent="0.4">
      <c r="A1319" t="s">
        <v>61</v>
      </c>
      <c r="B1319" s="1">
        <v>45474</v>
      </c>
      <c r="C1319">
        <v>851240</v>
      </c>
      <c r="D1319" t="s">
        <v>176</v>
      </c>
      <c r="E1319">
        <v>3256</v>
      </c>
      <c r="F1319">
        <v>12</v>
      </c>
      <c r="G1319">
        <v>1</v>
      </c>
      <c r="H1319">
        <f>_xlfn.XLOOKUP(FACT_IMPORTS[[#This Row],[hts_6]],DIM_PRODUCTS[hts_6],DIM_PRODUCTS[hts_4],,,)</f>
        <v>8512</v>
      </c>
      <c r="I1319" t="str" cm="1">
        <f t="array" ref="I1319">_xlfn.XLOOKUP(FACT_IMPORTS[[#This Row],[country_name]],DIM_COUNTRY[[#All],[Column2]],DIM_COUNTRY[[#All],[Column3]],,,)</f>
        <v>USMCA</v>
      </c>
    </row>
    <row r="1320" spans="1:9" x14ac:dyDescent="0.4">
      <c r="A1320" t="s">
        <v>61</v>
      </c>
      <c r="B1320" s="1">
        <v>45474</v>
      </c>
      <c r="C1320">
        <v>851290</v>
      </c>
      <c r="D1320" t="s">
        <v>176</v>
      </c>
      <c r="E1320">
        <v>2381808</v>
      </c>
      <c r="F1320">
        <v>53045</v>
      </c>
      <c r="G1320">
        <v>6271</v>
      </c>
      <c r="H1320">
        <f>_xlfn.XLOOKUP(FACT_IMPORTS[[#This Row],[hts_6]],DIM_PRODUCTS[hts_6],DIM_PRODUCTS[hts_4],,,)</f>
        <v>8512</v>
      </c>
      <c r="I1320" t="str" cm="1">
        <f t="array" ref="I1320">_xlfn.XLOOKUP(FACT_IMPORTS[[#This Row],[country_name]],DIM_COUNTRY[[#All],[Column2]],DIM_COUNTRY[[#All],[Column3]],,,)</f>
        <v>USMCA</v>
      </c>
    </row>
    <row r="1321" spans="1:9" x14ac:dyDescent="0.4">
      <c r="A1321" t="s">
        <v>61</v>
      </c>
      <c r="B1321" s="1">
        <v>45474</v>
      </c>
      <c r="C1321">
        <v>854231</v>
      </c>
      <c r="D1321" t="s">
        <v>176</v>
      </c>
      <c r="E1321">
        <v>210874</v>
      </c>
      <c r="F1321">
        <v>2483</v>
      </c>
      <c r="G1321">
        <v>2002</v>
      </c>
      <c r="H1321">
        <f>_xlfn.XLOOKUP(FACT_IMPORTS[[#This Row],[hts_6]],DIM_PRODUCTS[hts_6],DIM_PRODUCTS[hts_4],,,)</f>
        <v>8542</v>
      </c>
      <c r="I1321" t="str" cm="1">
        <f t="array" ref="I1321">_xlfn.XLOOKUP(FACT_IMPORTS[[#This Row],[country_name]],DIM_COUNTRY[[#All],[Column2]],DIM_COUNTRY[[#All],[Column3]],,,)</f>
        <v>USMCA</v>
      </c>
    </row>
    <row r="1322" spans="1:9" x14ac:dyDescent="0.4">
      <c r="A1322" t="s">
        <v>61</v>
      </c>
      <c r="B1322" s="1">
        <v>45474</v>
      </c>
      <c r="C1322">
        <v>854232</v>
      </c>
      <c r="D1322" t="s">
        <v>176</v>
      </c>
      <c r="E1322">
        <v>2073</v>
      </c>
      <c r="F1322">
        <v>2810</v>
      </c>
      <c r="G1322">
        <v>56</v>
      </c>
      <c r="H1322">
        <f>_xlfn.XLOOKUP(FACT_IMPORTS[[#This Row],[hts_6]],DIM_PRODUCTS[hts_6],DIM_PRODUCTS[hts_4],,,)</f>
        <v>8542</v>
      </c>
      <c r="I1322" t="str" cm="1">
        <f t="array" ref="I1322">_xlfn.XLOOKUP(FACT_IMPORTS[[#This Row],[country_name]],DIM_COUNTRY[[#All],[Column2]],DIM_COUNTRY[[#All],[Column3]],,,)</f>
        <v>USMCA</v>
      </c>
    </row>
    <row r="1323" spans="1:9" x14ac:dyDescent="0.4">
      <c r="A1323" t="s">
        <v>61</v>
      </c>
      <c r="B1323" s="1">
        <v>45474</v>
      </c>
      <c r="C1323">
        <v>854233</v>
      </c>
      <c r="D1323" t="s">
        <v>176</v>
      </c>
      <c r="E1323">
        <v>0</v>
      </c>
      <c r="F1323">
        <v>0</v>
      </c>
      <c r="G1323">
        <v>0</v>
      </c>
      <c r="H1323">
        <f>_xlfn.XLOOKUP(FACT_IMPORTS[[#This Row],[hts_6]],DIM_PRODUCTS[hts_6],DIM_PRODUCTS[hts_4],,,)</f>
        <v>8542</v>
      </c>
      <c r="I1323" t="str" cm="1">
        <f t="array" ref="I1323">_xlfn.XLOOKUP(FACT_IMPORTS[[#This Row],[country_name]],DIM_COUNTRY[[#All],[Column2]],DIM_COUNTRY[[#All],[Column3]],,,)</f>
        <v>USMCA</v>
      </c>
    </row>
    <row r="1324" spans="1:9" x14ac:dyDescent="0.4">
      <c r="A1324" t="s">
        <v>61</v>
      </c>
      <c r="B1324" s="1">
        <v>45474</v>
      </c>
      <c r="C1324">
        <v>854239</v>
      </c>
      <c r="D1324" t="s">
        <v>176</v>
      </c>
      <c r="E1324">
        <v>15685</v>
      </c>
      <c r="F1324">
        <v>9</v>
      </c>
      <c r="G1324">
        <v>44</v>
      </c>
      <c r="H1324">
        <f>_xlfn.XLOOKUP(FACT_IMPORTS[[#This Row],[hts_6]],DIM_PRODUCTS[hts_6],DIM_PRODUCTS[hts_4],,,)</f>
        <v>8542</v>
      </c>
      <c r="I1324" t="str" cm="1">
        <f t="array" ref="I1324">_xlfn.XLOOKUP(FACT_IMPORTS[[#This Row],[country_name]],DIM_COUNTRY[[#All],[Column2]],DIM_COUNTRY[[#All],[Column3]],,,)</f>
        <v>USMCA</v>
      </c>
    </row>
    <row r="1325" spans="1:9" x14ac:dyDescent="0.4">
      <c r="A1325" t="s">
        <v>61</v>
      </c>
      <c r="B1325" s="1">
        <v>45474</v>
      </c>
      <c r="C1325">
        <v>854290</v>
      </c>
      <c r="D1325" t="s">
        <v>176</v>
      </c>
      <c r="E1325">
        <v>0</v>
      </c>
      <c r="F1325">
        <v>0</v>
      </c>
      <c r="G1325">
        <v>0</v>
      </c>
      <c r="H1325">
        <f>_xlfn.XLOOKUP(FACT_IMPORTS[[#This Row],[hts_6]],DIM_PRODUCTS[hts_6],DIM_PRODUCTS[hts_4],,,)</f>
        <v>8542</v>
      </c>
      <c r="I1325" t="str" cm="1">
        <f t="array" ref="I1325">_xlfn.XLOOKUP(FACT_IMPORTS[[#This Row],[country_name]],DIM_COUNTRY[[#All],[Column2]],DIM_COUNTRY[[#All],[Column3]],,,)</f>
        <v>USMCA</v>
      </c>
    </row>
    <row r="1326" spans="1:9" x14ac:dyDescent="0.4">
      <c r="A1326" t="s">
        <v>61</v>
      </c>
      <c r="B1326" s="1">
        <v>45474</v>
      </c>
      <c r="C1326">
        <v>854430</v>
      </c>
      <c r="D1326" t="s">
        <v>176</v>
      </c>
      <c r="E1326">
        <v>2043774</v>
      </c>
      <c r="F1326">
        <v>66863</v>
      </c>
      <c r="G1326">
        <v>12618</v>
      </c>
      <c r="H1326">
        <f>_xlfn.XLOOKUP(FACT_IMPORTS[[#This Row],[hts_6]],DIM_PRODUCTS[hts_6],DIM_PRODUCTS[hts_4],,,)</f>
        <v>8544</v>
      </c>
      <c r="I1326" t="str" cm="1">
        <f t="array" ref="I1326">_xlfn.XLOOKUP(FACT_IMPORTS[[#This Row],[country_name]],DIM_COUNTRY[[#All],[Column2]],DIM_COUNTRY[[#All],[Column3]],,,)</f>
        <v>USMCA</v>
      </c>
    </row>
    <row r="1327" spans="1:9" x14ac:dyDescent="0.4">
      <c r="A1327" t="s">
        <v>61</v>
      </c>
      <c r="B1327" s="1">
        <v>45474</v>
      </c>
      <c r="C1327">
        <v>870600</v>
      </c>
      <c r="D1327" t="s">
        <v>176</v>
      </c>
      <c r="E1327">
        <v>0</v>
      </c>
      <c r="F1327">
        <v>0</v>
      </c>
      <c r="G1327">
        <v>0</v>
      </c>
      <c r="H1327">
        <f>_xlfn.XLOOKUP(FACT_IMPORTS[[#This Row],[hts_6]],DIM_PRODUCTS[hts_6],DIM_PRODUCTS[hts_4],,,)</f>
        <v>8706</v>
      </c>
      <c r="I1327" t="str" cm="1">
        <f t="array" ref="I1327">_xlfn.XLOOKUP(FACT_IMPORTS[[#This Row],[country_name]],DIM_COUNTRY[[#All],[Column2]],DIM_COUNTRY[[#All],[Column3]],,,)</f>
        <v>USMCA</v>
      </c>
    </row>
    <row r="1328" spans="1:9" x14ac:dyDescent="0.4">
      <c r="A1328" t="s">
        <v>61</v>
      </c>
      <c r="B1328" s="1">
        <v>45474</v>
      </c>
      <c r="C1328">
        <v>870710</v>
      </c>
      <c r="D1328" t="s">
        <v>176</v>
      </c>
      <c r="E1328">
        <v>0</v>
      </c>
      <c r="F1328">
        <v>0</v>
      </c>
      <c r="G1328">
        <v>0</v>
      </c>
      <c r="H1328">
        <f>_xlfn.XLOOKUP(FACT_IMPORTS[[#This Row],[hts_6]],DIM_PRODUCTS[hts_6],DIM_PRODUCTS[hts_4],,,)</f>
        <v>8707</v>
      </c>
      <c r="I1328" t="str" cm="1">
        <f t="array" ref="I1328">_xlfn.XLOOKUP(FACT_IMPORTS[[#This Row],[country_name]],DIM_COUNTRY[[#All],[Column2]],DIM_COUNTRY[[#All],[Column3]],,,)</f>
        <v>USMCA</v>
      </c>
    </row>
    <row r="1329" spans="1:9" x14ac:dyDescent="0.4">
      <c r="A1329" t="s">
        <v>61</v>
      </c>
      <c r="B1329" s="1">
        <v>45474</v>
      </c>
      <c r="C1329">
        <v>870790</v>
      </c>
      <c r="D1329" t="s">
        <v>176</v>
      </c>
      <c r="E1329">
        <v>4344395</v>
      </c>
      <c r="F1329">
        <v>373</v>
      </c>
      <c r="G1329">
        <v>62029</v>
      </c>
      <c r="H1329">
        <f>_xlfn.XLOOKUP(FACT_IMPORTS[[#This Row],[hts_6]],DIM_PRODUCTS[hts_6],DIM_PRODUCTS[hts_4],,,)</f>
        <v>8707</v>
      </c>
      <c r="I1329" t="str" cm="1">
        <f t="array" ref="I1329">_xlfn.XLOOKUP(FACT_IMPORTS[[#This Row],[country_name]],DIM_COUNTRY[[#All],[Column2]],DIM_COUNTRY[[#All],[Column3]],,,)</f>
        <v>USMCA</v>
      </c>
    </row>
    <row r="1330" spans="1:9" x14ac:dyDescent="0.4">
      <c r="A1330" t="s">
        <v>61</v>
      </c>
      <c r="B1330" s="1">
        <v>45474</v>
      </c>
      <c r="C1330">
        <v>870810</v>
      </c>
      <c r="D1330" t="s">
        <v>176</v>
      </c>
      <c r="E1330">
        <v>18962874</v>
      </c>
      <c r="F1330">
        <v>791454</v>
      </c>
      <c r="G1330">
        <v>310662</v>
      </c>
      <c r="H1330">
        <f>_xlfn.XLOOKUP(FACT_IMPORTS[[#This Row],[hts_6]],DIM_PRODUCTS[hts_6],DIM_PRODUCTS[hts_4],,,)</f>
        <v>8708</v>
      </c>
      <c r="I1330" t="str" cm="1">
        <f t="array" ref="I1330">_xlfn.XLOOKUP(FACT_IMPORTS[[#This Row],[country_name]],DIM_COUNTRY[[#All],[Column2]],DIM_COUNTRY[[#All],[Column3]],,,)</f>
        <v>USMCA</v>
      </c>
    </row>
    <row r="1331" spans="1:9" x14ac:dyDescent="0.4">
      <c r="A1331" t="s">
        <v>61</v>
      </c>
      <c r="B1331" s="1">
        <v>45474</v>
      </c>
      <c r="C1331">
        <v>870821</v>
      </c>
      <c r="D1331" t="s">
        <v>176</v>
      </c>
      <c r="E1331">
        <v>361152</v>
      </c>
      <c r="F1331">
        <v>22002</v>
      </c>
      <c r="G1331">
        <v>4147</v>
      </c>
      <c r="H1331">
        <f>_xlfn.XLOOKUP(FACT_IMPORTS[[#This Row],[hts_6]],DIM_PRODUCTS[hts_6],DIM_PRODUCTS[hts_4],,,)</f>
        <v>8708</v>
      </c>
      <c r="I1331" t="str" cm="1">
        <f t="array" ref="I1331">_xlfn.XLOOKUP(FACT_IMPORTS[[#This Row],[country_name]],DIM_COUNTRY[[#All],[Column2]],DIM_COUNTRY[[#All],[Column3]],,,)</f>
        <v>USMCA</v>
      </c>
    </row>
    <row r="1332" spans="1:9" x14ac:dyDescent="0.4">
      <c r="A1332" t="s">
        <v>61</v>
      </c>
      <c r="B1332" s="1">
        <v>45474</v>
      </c>
      <c r="C1332">
        <v>870822</v>
      </c>
      <c r="D1332" t="s">
        <v>176</v>
      </c>
      <c r="E1332">
        <v>4545104</v>
      </c>
      <c r="F1332">
        <v>86464</v>
      </c>
      <c r="G1332">
        <v>130440</v>
      </c>
      <c r="H1332">
        <f>_xlfn.XLOOKUP(FACT_IMPORTS[[#This Row],[hts_6]],DIM_PRODUCTS[hts_6],DIM_PRODUCTS[hts_4],,,)</f>
        <v>8708</v>
      </c>
      <c r="I1332" t="str" cm="1">
        <f t="array" ref="I1332">_xlfn.XLOOKUP(FACT_IMPORTS[[#This Row],[country_name]],DIM_COUNTRY[[#All],[Column2]],DIM_COUNTRY[[#All],[Column3]],,,)</f>
        <v>USMCA</v>
      </c>
    </row>
    <row r="1333" spans="1:9" x14ac:dyDescent="0.4">
      <c r="A1333" t="s">
        <v>61</v>
      </c>
      <c r="B1333" s="1">
        <v>45474</v>
      </c>
      <c r="C1333">
        <v>870829</v>
      </c>
      <c r="D1333" t="s">
        <v>176</v>
      </c>
      <c r="E1333">
        <v>314244945</v>
      </c>
      <c r="F1333">
        <v>47237442</v>
      </c>
      <c r="G1333">
        <v>5527460</v>
      </c>
      <c r="H1333">
        <f>_xlfn.XLOOKUP(FACT_IMPORTS[[#This Row],[hts_6]],DIM_PRODUCTS[hts_6],DIM_PRODUCTS[hts_4],,,)</f>
        <v>8708</v>
      </c>
      <c r="I1333" t="str" cm="1">
        <f t="array" ref="I1333">_xlfn.XLOOKUP(FACT_IMPORTS[[#This Row],[country_name]],DIM_COUNTRY[[#All],[Column2]],DIM_COUNTRY[[#All],[Column3]],,,)</f>
        <v>USMCA</v>
      </c>
    </row>
    <row r="1334" spans="1:9" x14ac:dyDescent="0.4">
      <c r="A1334" t="s">
        <v>61</v>
      </c>
      <c r="B1334" s="1">
        <v>45474</v>
      </c>
      <c r="C1334">
        <v>870830</v>
      </c>
      <c r="D1334" t="s">
        <v>176</v>
      </c>
      <c r="E1334">
        <v>12071151</v>
      </c>
      <c r="F1334">
        <v>2922683</v>
      </c>
      <c r="G1334">
        <v>164112</v>
      </c>
      <c r="H1334">
        <f>_xlfn.XLOOKUP(FACT_IMPORTS[[#This Row],[hts_6]],DIM_PRODUCTS[hts_6],DIM_PRODUCTS[hts_4],,,)</f>
        <v>8708</v>
      </c>
      <c r="I1334" t="str" cm="1">
        <f t="array" ref="I1334">_xlfn.XLOOKUP(FACT_IMPORTS[[#This Row],[country_name]],DIM_COUNTRY[[#All],[Column2]],DIM_COUNTRY[[#All],[Column3]],,,)</f>
        <v>USMCA</v>
      </c>
    </row>
    <row r="1335" spans="1:9" x14ac:dyDescent="0.4">
      <c r="A1335" t="s">
        <v>61</v>
      </c>
      <c r="B1335" s="1">
        <v>45474</v>
      </c>
      <c r="C1335">
        <v>870840</v>
      </c>
      <c r="D1335" t="s">
        <v>176</v>
      </c>
      <c r="E1335">
        <v>75574199</v>
      </c>
      <c r="F1335">
        <v>3948434</v>
      </c>
      <c r="G1335">
        <v>286150</v>
      </c>
      <c r="H1335">
        <f>_xlfn.XLOOKUP(FACT_IMPORTS[[#This Row],[hts_6]],DIM_PRODUCTS[hts_6],DIM_PRODUCTS[hts_4],,,)</f>
        <v>8708</v>
      </c>
      <c r="I1335" t="str" cm="1">
        <f t="array" ref="I1335">_xlfn.XLOOKUP(FACT_IMPORTS[[#This Row],[country_name]],DIM_COUNTRY[[#All],[Column2]],DIM_COUNTRY[[#All],[Column3]],,,)</f>
        <v>USMCA</v>
      </c>
    </row>
    <row r="1336" spans="1:9" x14ac:dyDescent="0.4">
      <c r="A1336" t="s">
        <v>61</v>
      </c>
      <c r="B1336" s="1">
        <v>45474</v>
      </c>
      <c r="C1336">
        <v>870850</v>
      </c>
      <c r="D1336" t="s">
        <v>176</v>
      </c>
      <c r="E1336">
        <v>23401534</v>
      </c>
      <c r="F1336">
        <v>1210535</v>
      </c>
      <c r="G1336">
        <v>168421</v>
      </c>
      <c r="H1336">
        <f>_xlfn.XLOOKUP(FACT_IMPORTS[[#This Row],[hts_6]],DIM_PRODUCTS[hts_6],DIM_PRODUCTS[hts_4],,,)</f>
        <v>8708</v>
      </c>
      <c r="I1336" t="str" cm="1">
        <f t="array" ref="I1336">_xlfn.XLOOKUP(FACT_IMPORTS[[#This Row],[country_name]],DIM_COUNTRY[[#All],[Column2]],DIM_COUNTRY[[#All],[Column3]],,,)</f>
        <v>USMCA</v>
      </c>
    </row>
    <row r="1337" spans="1:9" x14ac:dyDescent="0.4">
      <c r="A1337" t="s">
        <v>61</v>
      </c>
      <c r="B1337" s="1">
        <v>45474</v>
      </c>
      <c r="C1337">
        <v>870870</v>
      </c>
      <c r="D1337" t="s">
        <v>176</v>
      </c>
      <c r="E1337">
        <v>5146876</v>
      </c>
      <c r="F1337">
        <v>5373503</v>
      </c>
      <c r="G1337">
        <v>52888</v>
      </c>
      <c r="H1337">
        <f>_xlfn.XLOOKUP(FACT_IMPORTS[[#This Row],[hts_6]],DIM_PRODUCTS[hts_6],DIM_PRODUCTS[hts_4],,,)</f>
        <v>8708</v>
      </c>
      <c r="I1337" t="str" cm="1">
        <f t="array" ref="I1337">_xlfn.XLOOKUP(FACT_IMPORTS[[#This Row],[country_name]],DIM_COUNTRY[[#All],[Column2]],DIM_COUNTRY[[#All],[Column3]],,,)</f>
        <v>USMCA</v>
      </c>
    </row>
    <row r="1338" spans="1:9" x14ac:dyDescent="0.4">
      <c r="A1338" t="s">
        <v>61</v>
      </c>
      <c r="B1338" s="1">
        <v>45474</v>
      </c>
      <c r="C1338">
        <v>870880</v>
      </c>
      <c r="D1338" t="s">
        <v>176</v>
      </c>
      <c r="E1338">
        <v>52139677</v>
      </c>
      <c r="F1338">
        <v>2261414</v>
      </c>
      <c r="G1338">
        <v>784856</v>
      </c>
      <c r="H1338">
        <f>_xlfn.XLOOKUP(FACT_IMPORTS[[#This Row],[hts_6]],DIM_PRODUCTS[hts_6],DIM_PRODUCTS[hts_4],,,)</f>
        <v>8708</v>
      </c>
      <c r="I1338" t="str" cm="1">
        <f t="array" ref="I1338">_xlfn.XLOOKUP(FACT_IMPORTS[[#This Row],[country_name]],DIM_COUNTRY[[#All],[Column2]],DIM_COUNTRY[[#All],[Column3]],,,)</f>
        <v>USMCA</v>
      </c>
    </row>
    <row r="1339" spans="1:9" x14ac:dyDescent="0.4">
      <c r="A1339" t="s">
        <v>61</v>
      </c>
      <c r="B1339" s="1">
        <v>45474</v>
      </c>
      <c r="C1339">
        <v>870891</v>
      </c>
      <c r="D1339" t="s">
        <v>176</v>
      </c>
      <c r="E1339">
        <v>13015498</v>
      </c>
      <c r="F1339">
        <v>505317</v>
      </c>
      <c r="G1339">
        <v>122724</v>
      </c>
      <c r="H1339">
        <f>_xlfn.XLOOKUP(FACT_IMPORTS[[#This Row],[hts_6]],DIM_PRODUCTS[hts_6],DIM_PRODUCTS[hts_4],,,)</f>
        <v>8708</v>
      </c>
      <c r="I1339" t="str" cm="1">
        <f t="array" ref="I1339">_xlfn.XLOOKUP(FACT_IMPORTS[[#This Row],[country_name]],DIM_COUNTRY[[#All],[Column2]],DIM_COUNTRY[[#All],[Column3]],,,)</f>
        <v>USMCA</v>
      </c>
    </row>
    <row r="1340" spans="1:9" x14ac:dyDescent="0.4">
      <c r="A1340" t="s">
        <v>61</v>
      </c>
      <c r="B1340" s="1">
        <v>45474</v>
      </c>
      <c r="C1340">
        <v>870892</v>
      </c>
      <c r="D1340" t="s">
        <v>176</v>
      </c>
      <c r="E1340">
        <v>16011502</v>
      </c>
      <c r="F1340">
        <v>824722</v>
      </c>
      <c r="G1340">
        <v>274839</v>
      </c>
      <c r="H1340">
        <f>_xlfn.XLOOKUP(FACT_IMPORTS[[#This Row],[hts_6]],DIM_PRODUCTS[hts_6],DIM_PRODUCTS[hts_4],,,)</f>
        <v>8708</v>
      </c>
      <c r="I1340" t="str" cm="1">
        <f t="array" ref="I1340">_xlfn.XLOOKUP(FACT_IMPORTS[[#This Row],[country_name]],DIM_COUNTRY[[#All],[Column2]],DIM_COUNTRY[[#All],[Column3]],,,)</f>
        <v>USMCA</v>
      </c>
    </row>
    <row r="1341" spans="1:9" x14ac:dyDescent="0.4">
      <c r="A1341" t="s">
        <v>61</v>
      </c>
      <c r="B1341" s="1">
        <v>45474</v>
      </c>
      <c r="C1341">
        <v>870893</v>
      </c>
      <c r="D1341" t="s">
        <v>176</v>
      </c>
      <c r="E1341">
        <v>47355966</v>
      </c>
      <c r="F1341">
        <v>1048913</v>
      </c>
      <c r="G1341">
        <v>62498</v>
      </c>
      <c r="H1341">
        <f>_xlfn.XLOOKUP(FACT_IMPORTS[[#This Row],[hts_6]],DIM_PRODUCTS[hts_6],DIM_PRODUCTS[hts_4],,,)</f>
        <v>8708</v>
      </c>
      <c r="I1341" t="str" cm="1">
        <f t="array" ref="I1341">_xlfn.XLOOKUP(FACT_IMPORTS[[#This Row],[country_name]],DIM_COUNTRY[[#All],[Column2]],DIM_COUNTRY[[#All],[Column3]],,,)</f>
        <v>USMCA</v>
      </c>
    </row>
    <row r="1342" spans="1:9" x14ac:dyDescent="0.4">
      <c r="A1342" t="s">
        <v>61</v>
      </c>
      <c r="B1342" s="1">
        <v>45474</v>
      </c>
      <c r="C1342">
        <v>870894</v>
      </c>
      <c r="D1342" t="s">
        <v>176</v>
      </c>
      <c r="E1342">
        <v>9448723</v>
      </c>
      <c r="F1342">
        <v>2390159</v>
      </c>
      <c r="G1342">
        <v>103691</v>
      </c>
      <c r="H1342">
        <f>_xlfn.XLOOKUP(FACT_IMPORTS[[#This Row],[hts_6]],DIM_PRODUCTS[hts_6],DIM_PRODUCTS[hts_4],,,)</f>
        <v>8708</v>
      </c>
      <c r="I1342" t="str" cm="1">
        <f t="array" ref="I1342">_xlfn.XLOOKUP(FACT_IMPORTS[[#This Row],[country_name]],DIM_COUNTRY[[#All],[Column2]],DIM_COUNTRY[[#All],[Column3]],,,)</f>
        <v>USMCA</v>
      </c>
    </row>
    <row r="1343" spans="1:9" x14ac:dyDescent="0.4">
      <c r="A1343" t="s">
        <v>61</v>
      </c>
      <c r="B1343" s="1">
        <v>45474</v>
      </c>
      <c r="C1343">
        <v>870895</v>
      </c>
      <c r="D1343" t="s">
        <v>176</v>
      </c>
      <c r="E1343">
        <v>1276437</v>
      </c>
      <c r="F1343">
        <v>1249223</v>
      </c>
      <c r="G1343">
        <v>12799</v>
      </c>
      <c r="H1343">
        <f>_xlfn.XLOOKUP(FACT_IMPORTS[[#This Row],[hts_6]],DIM_PRODUCTS[hts_6],DIM_PRODUCTS[hts_4],,,)</f>
        <v>8708</v>
      </c>
      <c r="I1343" t="str" cm="1">
        <f t="array" ref="I1343">_xlfn.XLOOKUP(FACT_IMPORTS[[#This Row],[country_name]],DIM_COUNTRY[[#All],[Column2]],DIM_COUNTRY[[#All],[Column3]],,,)</f>
        <v>USMCA</v>
      </c>
    </row>
    <row r="1344" spans="1:9" x14ac:dyDescent="0.4">
      <c r="A1344" t="s">
        <v>61</v>
      </c>
      <c r="B1344" s="1">
        <v>45474</v>
      </c>
      <c r="C1344">
        <v>870899</v>
      </c>
      <c r="D1344" t="s">
        <v>176</v>
      </c>
      <c r="E1344">
        <v>143394017</v>
      </c>
      <c r="F1344">
        <v>14477676</v>
      </c>
      <c r="G1344">
        <v>1444138</v>
      </c>
      <c r="H1344">
        <f>_xlfn.XLOOKUP(FACT_IMPORTS[[#This Row],[hts_6]],DIM_PRODUCTS[hts_6],DIM_PRODUCTS[hts_4],,,)</f>
        <v>8708</v>
      </c>
      <c r="I1344" t="str" cm="1">
        <f t="array" ref="I1344">_xlfn.XLOOKUP(FACT_IMPORTS[[#This Row],[country_name]],DIM_COUNTRY[[#All],[Column2]],DIM_COUNTRY[[#All],[Column3]],,,)</f>
        <v>USMCA</v>
      </c>
    </row>
    <row r="1345" spans="1:9" x14ac:dyDescent="0.4">
      <c r="A1345" t="s">
        <v>61</v>
      </c>
      <c r="B1345" s="1">
        <v>45474</v>
      </c>
      <c r="C1345">
        <v>940120</v>
      </c>
      <c r="D1345" t="s">
        <v>176</v>
      </c>
      <c r="E1345">
        <v>1154995</v>
      </c>
      <c r="F1345">
        <v>10731</v>
      </c>
      <c r="G1345">
        <v>8982</v>
      </c>
      <c r="H1345">
        <f>_xlfn.XLOOKUP(FACT_IMPORTS[[#This Row],[hts_6]],DIM_PRODUCTS[hts_6],DIM_PRODUCTS[hts_4],,,)</f>
        <v>9401</v>
      </c>
      <c r="I1345" t="str" cm="1">
        <f t="array" ref="I1345">_xlfn.XLOOKUP(FACT_IMPORTS[[#This Row],[country_name]],DIM_COUNTRY[[#All],[Column2]],DIM_COUNTRY[[#All],[Column3]],,,)</f>
        <v>USMCA</v>
      </c>
    </row>
    <row r="1346" spans="1:9" x14ac:dyDescent="0.4">
      <c r="A1346" t="s">
        <v>61</v>
      </c>
      <c r="B1346" s="1">
        <v>45505</v>
      </c>
      <c r="C1346">
        <v>392630</v>
      </c>
      <c r="D1346" t="s">
        <v>176</v>
      </c>
      <c r="E1346">
        <v>3405169</v>
      </c>
      <c r="F1346">
        <v>488086</v>
      </c>
      <c r="G1346">
        <v>182326</v>
      </c>
      <c r="H1346">
        <f>_xlfn.XLOOKUP(FACT_IMPORTS[[#This Row],[hts_6]],DIM_PRODUCTS[hts_6],DIM_PRODUCTS[hts_4],,,)</f>
        <v>3926</v>
      </c>
      <c r="I1346" t="str" cm="1">
        <f t="array" ref="I1346">_xlfn.XLOOKUP(FACT_IMPORTS[[#This Row],[country_name]],DIM_COUNTRY[[#All],[Column2]],DIM_COUNTRY[[#All],[Column3]],,,)</f>
        <v>USMCA</v>
      </c>
    </row>
    <row r="1347" spans="1:9" x14ac:dyDescent="0.4">
      <c r="A1347" t="s">
        <v>61</v>
      </c>
      <c r="B1347" s="1">
        <v>45505</v>
      </c>
      <c r="C1347">
        <v>401110</v>
      </c>
      <c r="D1347" t="s">
        <v>176</v>
      </c>
      <c r="E1347">
        <v>46459357</v>
      </c>
      <c r="F1347">
        <v>601798</v>
      </c>
      <c r="G1347">
        <v>289174</v>
      </c>
      <c r="H1347">
        <f>_xlfn.XLOOKUP(FACT_IMPORTS[[#This Row],[hts_6]],DIM_PRODUCTS[hts_6],DIM_PRODUCTS[hts_4],,,)</f>
        <v>4011</v>
      </c>
      <c r="I1347" t="str" cm="1">
        <f t="array" ref="I1347">_xlfn.XLOOKUP(FACT_IMPORTS[[#This Row],[country_name]],DIM_COUNTRY[[#All],[Column2]],DIM_COUNTRY[[#All],[Column3]],,,)</f>
        <v>USMCA</v>
      </c>
    </row>
    <row r="1348" spans="1:9" x14ac:dyDescent="0.4">
      <c r="A1348" t="s">
        <v>61</v>
      </c>
      <c r="B1348" s="1">
        <v>45505</v>
      </c>
      <c r="C1348">
        <v>401120</v>
      </c>
      <c r="D1348" t="s">
        <v>176</v>
      </c>
      <c r="E1348">
        <v>49081607</v>
      </c>
      <c r="F1348">
        <v>269705</v>
      </c>
      <c r="G1348">
        <v>323435</v>
      </c>
      <c r="H1348">
        <f>_xlfn.XLOOKUP(FACT_IMPORTS[[#This Row],[hts_6]],DIM_PRODUCTS[hts_6],DIM_PRODUCTS[hts_4],,,)</f>
        <v>4011</v>
      </c>
      <c r="I1348" t="str" cm="1">
        <f t="array" ref="I1348">_xlfn.XLOOKUP(FACT_IMPORTS[[#This Row],[country_name]],DIM_COUNTRY[[#All],[Column2]],DIM_COUNTRY[[#All],[Column3]],,,)</f>
        <v>USMCA</v>
      </c>
    </row>
    <row r="1349" spans="1:9" x14ac:dyDescent="0.4">
      <c r="A1349" t="s">
        <v>61</v>
      </c>
      <c r="B1349" s="1">
        <v>45505</v>
      </c>
      <c r="C1349">
        <v>401140</v>
      </c>
      <c r="D1349" t="s">
        <v>176</v>
      </c>
      <c r="E1349">
        <v>0</v>
      </c>
      <c r="F1349">
        <v>0</v>
      </c>
      <c r="G1349">
        <v>0</v>
      </c>
      <c r="H1349">
        <f>_xlfn.XLOOKUP(FACT_IMPORTS[[#This Row],[hts_6]],DIM_PRODUCTS[hts_6],DIM_PRODUCTS[hts_4],,,)</f>
        <v>4011</v>
      </c>
      <c r="I1349" t="str" cm="1">
        <f t="array" ref="I1349">_xlfn.XLOOKUP(FACT_IMPORTS[[#This Row],[country_name]],DIM_COUNTRY[[#All],[Column2]],DIM_COUNTRY[[#All],[Column3]],,,)</f>
        <v>USMCA</v>
      </c>
    </row>
    <row r="1350" spans="1:9" x14ac:dyDescent="0.4">
      <c r="A1350" t="s">
        <v>61</v>
      </c>
      <c r="B1350" s="1">
        <v>45505</v>
      </c>
      <c r="C1350">
        <v>401190</v>
      </c>
      <c r="D1350" t="s">
        <v>176</v>
      </c>
      <c r="E1350">
        <v>301386</v>
      </c>
      <c r="F1350">
        <v>393</v>
      </c>
      <c r="G1350">
        <v>727</v>
      </c>
      <c r="H1350">
        <f>_xlfn.XLOOKUP(FACT_IMPORTS[[#This Row],[hts_6]],DIM_PRODUCTS[hts_6],DIM_PRODUCTS[hts_4],,,)</f>
        <v>4011</v>
      </c>
      <c r="I1350" t="str" cm="1">
        <f t="array" ref="I1350">_xlfn.XLOOKUP(FACT_IMPORTS[[#This Row],[country_name]],DIM_COUNTRY[[#All],[Column2]],DIM_COUNTRY[[#All],[Column3]],,,)</f>
        <v>USMCA</v>
      </c>
    </row>
    <row r="1351" spans="1:9" x14ac:dyDescent="0.4">
      <c r="A1351" t="s">
        <v>61</v>
      </c>
      <c r="B1351" s="1">
        <v>45505</v>
      </c>
      <c r="C1351">
        <v>700711</v>
      </c>
      <c r="D1351" t="s">
        <v>176</v>
      </c>
      <c r="E1351">
        <v>296410</v>
      </c>
      <c r="F1351">
        <v>1618</v>
      </c>
      <c r="G1351">
        <v>2223</v>
      </c>
      <c r="H1351">
        <f>_xlfn.XLOOKUP(FACT_IMPORTS[[#This Row],[hts_6]],DIM_PRODUCTS[hts_6],DIM_PRODUCTS[hts_4],,,)</f>
        <v>7007</v>
      </c>
      <c r="I1351" t="str" cm="1">
        <f t="array" ref="I1351">_xlfn.XLOOKUP(FACT_IMPORTS[[#This Row],[country_name]],DIM_COUNTRY[[#All],[Column2]],DIM_COUNTRY[[#All],[Column3]],,,)</f>
        <v>USMCA</v>
      </c>
    </row>
    <row r="1352" spans="1:9" x14ac:dyDescent="0.4">
      <c r="A1352" t="s">
        <v>61</v>
      </c>
      <c r="B1352" s="1">
        <v>45505</v>
      </c>
      <c r="C1352">
        <v>700721</v>
      </c>
      <c r="D1352" t="s">
        <v>176</v>
      </c>
      <c r="E1352">
        <v>37898</v>
      </c>
      <c r="F1352">
        <v>632</v>
      </c>
      <c r="G1352">
        <v>1239</v>
      </c>
      <c r="H1352">
        <f>_xlfn.XLOOKUP(FACT_IMPORTS[[#This Row],[hts_6]],DIM_PRODUCTS[hts_6],DIM_PRODUCTS[hts_4],,,)</f>
        <v>7007</v>
      </c>
      <c r="I1352" t="str" cm="1">
        <f t="array" ref="I1352">_xlfn.XLOOKUP(FACT_IMPORTS[[#This Row],[country_name]],DIM_COUNTRY[[#All],[Column2]],DIM_COUNTRY[[#All],[Column3]],,,)</f>
        <v>USMCA</v>
      </c>
    </row>
    <row r="1353" spans="1:9" x14ac:dyDescent="0.4">
      <c r="A1353" t="s">
        <v>61</v>
      </c>
      <c r="B1353" s="1">
        <v>45505</v>
      </c>
      <c r="C1353">
        <v>700910</v>
      </c>
      <c r="D1353" t="s">
        <v>176</v>
      </c>
      <c r="E1353">
        <v>285156</v>
      </c>
      <c r="F1353">
        <v>3831</v>
      </c>
      <c r="G1353">
        <v>1585</v>
      </c>
      <c r="H1353">
        <f>_xlfn.XLOOKUP(FACT_IMPORTS[[#This Row],[hts_6]],DIM_PRODUCTS[hts_6],DIM_PRODUCTS[hts_4],,,)</f>
        <v>7009</v>
      </c>
      <c r="I1353" t="str" cm="1">
        <f t="array" ref="I1353">_xlfn.XLOOKUP(FACT_IMPORTS[[#This Row],[country_name]],DIM_COUNTRY[[#All],[Column2]],DIM_COUNTRY[[#All],[Column3]],,,)</f>
        <v>USMCA</v>
      </c>
    </row>
    <row r="1354" spans="1:9" x14ac:dyDescent="0.4">
      <c r="A1354" t="s">
        <v>61</v>
      </c>
      <c r="B1354" s="1">
        <v>45505</v>
      </c>
      <c r="C1354">
        <v>732010</v>
      </c>
      <c r="D1354" t="s">
        <v>176</v>
      </c>
      <c r="E1354">
        <v>3828254</v>
      </c>
      <c r="F1354">
        <v>1193328</v>
      </c>
      <c r="G1354">
        <v>25133</v>
      </c>
      <c r="H1354">
        <f>_xlfn.XLOOKUP(FACT_IMPORTS[[#This Row],[hts_6]],DIM_PRODUCTS[hts_6],DIM_PRODUCTS[hts_4],,,)</f>
        <v>7320</v>
      </c>
      <c r="I1354" t="str" cm="1">
        <f t="array" ref="I1354">_xlfn.XLOOKUP(FACT_IMPORTS[[#This Row],[country_name]],DIM_COUNTRY[[#All],[Column2]],DIM_COUNTRY[[#All],[Column3]],,,)</f>
        <v>USMCA</v>
      </c>
    </row>
    <row r="1355" spans="1:9" x14ac:dyDescent="0.4">
      <c r="A1355" t="s">
        <v>61</v>
      </c>
      <c r="B1355" s="1">
        <v>45505</v>
      </c>
      <c r="C1355">
        <v>830230</v>
      </c>
      <c r="D1355" t="s">
        <v>176</v>
      </c>
      <c r="E1355">
        <v>36200604</v>
      </c>
      <c r="F1355">
        <v>7222271</v>
      </c>
      <c r="G1355">
        <v>1224181</v>
      </c>
      <c r="H1355">
        <f>_xlfn.XLOOKUP(FACT_IMPORTS[[#This Row],[hts_6]],DIM_PRODUCTS[hts_6],DIM_PRODUCTS[hts_4],,,)</f>
        <v>8302</v>
      </c>
      <c r="I1355" t="str" cm="1">
        <f t="array" ref="I1355">_xlfn.XLOOKUP(FACT_IMPORTS[[#This Row],[country_name]],DIM_COUNTRY[[#All],[Column2]],DIM_COUNTRY[[#All],[Column3]],,,)</f>
        <v>USMCA</v>
      </c>
    </row>
    <row r="1356" spans="1:9" x14ac:dyDescent="0.4">
      <c r="A1356" t="s">
        <v>61</v>
      </c>
      <c r="B1356" s="1">
        <v>45505</v>
      </c>
      <c r="C1356">
        <v>840731</v>
      </c>
      <c r="D1356" t="s">
        <v>176</v>
      </c>
      <c r="E1356">
        <v>0</v>
      </c>
      <c r="F1356">
        <v>0</v>
      </c>
      <c r="G1356">
        <v>0</v>
      </c>
      <c r="H1356">
        <f>_xlfn.XLOOKUP(FACT_IMPORTS[[#This Row],[hts_6]],DIM_PRODUCTS[hts_6],DIM_PRODUCTS[hts_4],,,)</f>
        <v>8407</v>
      </c>
      <c r="I1356" t="str" cm="1">
        <f t="array" ref="I1356">_xlfn.XLOOKUP(FACT_IMPORTS[[#This Row],[country_name]],DIM_COUNTRY[[#All],[Column2]],DIM_COUNTRY[[#All],[Column3]],,,)</f>
        <v>USMCA</v>
      </c>
    </row>
    <row r="1357" spans="1:9" x14ac:dyDescent="0.4">
      <c r="A1357" t="s">
        <v>61</v>
      </c>
      <c r="B1357" s="1">
        <v>45505</v>
      </c>
      <c r="C1357">
        <v>840732</v>
      </c>
      <c r="D1357" t="s">
        <v>176</v>
      </c>
      <c r="E1357">
        <v>0</v>
      </c>
      <c r="F1357">
        <v>0</v>
      </c>
      <c r="G1357">
        <v>0</v>
      </c>
      <c r="H1357">
        <f>_xlfn.XLOOKUP(FACT_IMPORTS[[#This Row],[hts_6]],DIM_PRODUCTS[hts_6],DIM_PRODUCTS[hts_4],,,)</f>
        <v>8407</v>
      </c>
      <c r="I1357" t="str" cm="1">
        <f t="array" ref="I1357">_xlfn.XLOOKUP(FACT_IMPORTS[[#This Row],[country_name]],DIM_COUNTRY[[#All],[Column2]],DIM_COUNTRY[[#All],[Column3]],,,)</f>
        <v>USMCA</v>
      </c>
    </row>
    <row r="1358" spans="1:9" x14ac:dyDescent="0.4">
      <c r="A1358" t="s">
        <v>61</v>
      </c>
      <c r="B1358" s="1">
        <v>45505</v>
      </c>
      <c r="C1358">
        <v>840733</v>
      </c>
      <c r="D1358" t="s">
        <v>176</v>
      </c>
      <c r="E1358">
        <v>30800</v>
      </c>
      <c r="F1358">
        <v>5</v>
      </c>
      <c r="G1358">
        <v>3793</v>
      </c>
      <c r="H1358">
        <f>_xlfn.XLOOKUP(FACT_IMPORTS[[#This Row],[hts_6]],DIM_PRODUCTS[hts_6],DIM_PRODUCTS[hts_4],,,)</f>
        <v>8407</v>
      </c>
      <c r="I1358" t="str" cm="1">
        <f t="array" ref="I1358">_xlfn.XLOOKUP(FACT_IMPORTS[[#This Row],[country_name]],DIM_COUNTRY[[#All],[Column2]],DIM_COUNTRY[[#All],[Column3]],,,)</f>
        <v>USMCA</v>
      </c>
    </row>
    <row r="1359" spans="1:9" x14ac:dyDescent="0.4">
      <c r="A1359" t="s">
        <v>61</v>
      </c>
      <c r="B1359" s="1">
        <v>45505</v>
      </c>
      <c r="C1359">
        <v>840734</v>
      </c>
      <c r="D1359" t="s">
        <v>176</v>
      </c>
      <c r="E1359">
        <v>202145013</v>
      </c>
      <c r="F1359">
        <v>59100</v>
      </c>
      <c r="G1359">
        <v>75493</v>
      </c>
      <c r="H1359">
        <f>_xlfn.XLOOKUP(FACT_IMPORTS[[#This Row],[hts_6]],DIM_PRODUCTS[hts_6],DIM_PRODUCTS[hts_4],,,)</f>
        <v>8407</v>
      </c>
      <c r="I1359" t="str" cm="1">
        <f t="array" ref="I1359">_xlfn.XLOOKUP(FACT_IMPORTS[[#This Row],[country_name]],DIM_COUNTRY[[#All],[Column2]],DIM_COUNTRY[[#All],[Column3]],,,)</f>
        <v>USMCA</v>
      </c>
    </row>
    <row r="1360" spans="1:9" x14ac:dyDescent="0.4">
      <c r="A1360" t="s">
        <v>61</v>
      </c>
      <c r="B1360" s="1">
        <v>45505</v>
      </c>
      <c r="C1360">
        <v>840790</v>
      </c>
      <c r="D1360" t="s">
        <v>176</v>
      </c>
      <c r="E1360">
        <v>8731464</v>
      </c>
      <c r="F1360">
        <v>4908</v>
      </c>
      <c r="G1360">
        <v>3794</v>
      </c>
      <c r="H1360">
        <f>_xlfn.XLOOKUP(FACT_IMPORTS[[#This Row],[hts_6]],DIM_PRODUCTS[hts_6],DIM_PRODUCTS[hts_4],,,)</f>
        <v>8407</v>
      </c>
      <c r="I1360" t="str" cm="1">
        <f t="array" ref="I1360">_xlfn.XLOOKUP(FACT_IMPORTS[[#This Row],[country_name]],DIM_COUNTRY[[#All],[Column2]],DIM_COUNTRY[[#All],[Column3]],,,)</f>
        <v>USMCA</v>
      </c>
    </row>
    <row r="1361" spans="1:9" x14ac:dyDescent="0.4">
      <c r="A1361" t="s">
        <v>61</v>
      </c>
      <c r="B1361" s="1">
        <v>45505</v>
      </c>
      <c r="C1361">
        <v>840820</v>
      </c>
      <c r="D1361" t="s">
        <v>176</v>
      </c>
      <c r="E1361">
        <v>198942</v>
      </c>
      <c r="F1361">
        <v>30</v>
      </c>
      <c r="G1361">
        <v>4960</v>
      </c>
      <c r="H1361">
        <f>_xlfn.XLOOKUP(FACT_IMPORTS[[#This Row],[hts_6]],DIM_PRODUCTS[hts_6],DIM_PRODUCTS[hts_4],,,)</f>
        <v>8408</v>
      </c>
      <c r="I1361" t="str" cm="1">
        <f t="array" ref="I1361">_xlfn.XLOOKUP(FACT_IMPORTS[[#This Row],[country_name]],DIM_COUNTRY[[#All],[Column2]],DIM_COUNTRY[[#All],[Column3]],,,)</f>
        <v>USMCA</v>
      </c>
    </row>
    <row r="1362" spans="1:9" x14ac:dyDescent="0.4">
      <c r="A1362" t="s">
        <v>61</v>
      </c>
      <c r="B1362" s="1">
        <v>45505</v>
      </c>
      <c r="C1362">
        <v>840890</v>
      </c>
      <c r="D1362" t="s">
        <v>176</v>
      </c>
      <c r="E1362">
        <v>152121</v>
      </c>
      <c r="F1362">
        <v>11</v>
      </c>
      <c r="G1362">
        <v>575</v>
      </c>
      <c r="H1362">
        <f>_xlfn.XLOOKUP(FACT_IMPORTS[[#This Row],[hts_6]],DIM_PRODUCTS[hts_6],DIM_PRODUCTS[hts_4],,,)</f>
        <v>8408</v>
      </c>
      <c r="I1362" t="str" cm="1">
        <f t="array" ref="I1362">_xlfn.XLOOKUP(FACT_IMPORTS[[#This Row],[country_name]],DIM_COUNTRY[[#All],[Column2]],DIM_COUNTRY[[#All],[Column3]],,,)</f>
        <v>USMCA</v>
      </c>
    </row>
    <row r="1363" spans="1:9" x14ac:dyDescent="0.4">
      <c r="A1363" t="s">
        <v>61</v>
      </c>
      <c r="B1363" s="1">
        <v>45505</v>
      </c>
      <c r="C1363">
        <v>840991</v>
      </c>
      <c r="D1363" t="s">
        <v>176</v>
      </c>
      <c r="E1363">
        <v>36691397</v>
      </c>
      <c r="F1363">
        <v>3219876</v>
      </c>
      <c r="G1363">
        <v>139419</v>
      </c>
      <c r="H1363">
        <f>_xlfn.XLOOKUP(FACT_IMPORTS[[#This Row],[hts_6]],DIM_PRODUCTS[hts_6],DIM_PRODUCTS[hts_4],,,)</f>
        <v>8409</v>
      </c>
      <c r="I1363" t="str" cm="1">
        <f t="array" ref="I1363">_xlfn.XLOOKUP(FACT_IMPORTS[[#This Row],[country_name]],DIM_COUNTRY[[#All],[Column2]],DIM_COUNTRY[[#All],[Column3]],,,)</f>
        <v>USMCA</v>
      </c>
    </row>
    <row r="1364" spans="1:9" x14ac:dyDescent="0.4">
      <c r="A1364" t="s">
        <v>61</v>
      </c>
      <c r="B1364" s="1">
        <v>45505</v>
      </c>
      <c r="C1364">
        <v>840999</v>
      </c>
      <c r="D1364" t="s">
        <v>176</v>
      </c>
      <c r="E1364">
        <v>12639551</v>
      </c>
      <c r="F1364">
        <v>1082070</v>
      </c>
      <c r="G1364">
        <v>104716</v>
      </c>
      <c r="H1364">
        <f>_xlfn.XLOOKUP(FACT_IMPORTS[[#This Row],[hts_6]],DIM_PRODUCTS[hts_6],DIM_PRODUCTS[hts_4],,,)</f>
        <v>8409</v>
      </c>
      <c r="I1364" t="str" cm="1">
        <f t="array" ref="I1364">_xlfn.XLOOKUP(FACT_IMPORTS[[#This Row],[country_name]],DIM_COUNTRY[[#All],[Column2]],DIM_COUNTRY[[#All],[Column3]],,,)</f>
        <v>USMCA</v>
      </c>
    </row>
    <row r="1365" spans="1:9" x14ac:dyDescent="0.4">
      <c r="A1365" t="s">
        <v>61</v>
      </c>
      <c r="B1365" s="1">
        <v>45505</v>
      </c>
      <c r="C1365">
        <v>841330</v>
      </c>
      <c r="D1365" t="s">
        <v>176</v>
      </c>
      <c r="E1365">
        <v>10098365</v>
      </c>
      <c r="F1365">
        <v>195587</v>
      </c>
      <c r="G1365">
        <v>27202</v>
      </c>
      <c r="H1365">
        <f>_xlfn.XLOOKUP(FACT_IMPORTS[[#This Row],[hts_6]],DIM_PRODUCTS[hts_6],DIM_PRODUCTS[hts_4],,,)</f>
        <v>8413</v>
      </c>
      <c r="I1365" t="str" cm="1">
        <f t="array" ref="I1365">_xlfn.XLOOKUP(FACT_IMPORTS[[#This Row],[country_name]],DIM_COUNTRY[[#All],[Column2]],DIM_COUNTRY[[#All],[Column3]],,,)</f>
        <v>USMCA</v>
      </c>
    </row>
    <row r="1366" spans="1:9" x14ac:dyDescent="0.4">
      <c r="A1366" t="s">
        <v>61</v>
      </c>
      <c r="B1366" s="1">
        <v>45505</v>
      </c>
      <c r="C1366">
        <v>841520</v>
      </c>
      <c r="D1366" t="s">
        <v>176</v>
      </c>
      <c r="E1366">
        <v>4160035</v>
      </c>
      <c r="F1366">
        <v>20352</v>
      </c>
      <c r="G1366">
        <v>51498</v>
      </c>
      <c r="H1366">
        <f>_xlfn.XLOOKUP(FACT_IMPORTS[[#This Row],[hts_6]],DIM_PRODUCTS[hts_6],DIM_PRODUCTS[hts_4],,,)</f>
        <v>8415</v>
      </c>
      <c r="I1366" t="str" cm="1">
        <f t="array" ref="I1366">_xlfn.XLOOKUP(FACT_IMPORTS[[#This Row],[country_name]],DIM_COUNTRY[[#All],[Column2]],DIM_COUNTRY[[#All],[Column3]],,,)</f>
        <v>USMCA</v>
      </c>
    </row>
    <row r="1367" spans="1:9" x14ac:dyDescent="0.4">
      <c r="A1367" t="s">
        <v>61</v>
      </c>
      <c r="B1367" s="1">
        <v>45505</v>
      </c>
      <c r="C1367">
        <v>842132</v>
      </c>
      <c r="D1367" t="s">
        <v>176</v>
      </c>
      <c r="E1367">
        <v>9347736</v>
      </c>
      <c r="F1367">
        <v>26011</v>
      </c>
      <c r="G1367">
        <v>57628</v>
      </c>
      <c r="H1367">
        <f>_xlfn.XLOOKUP(FACT_IMPORTS[[#This Row],[hts_6]],DIM_PRODUCTS[hts_6],DIM_PRODUCTS[hts_4],,,)</f>
        <v>8421</v>
      </c>
      <c r="I1367" t="str" cm="1">
        <f t="array" ref="I1367">_xlfn.XLOOKUP(FACT_IMPORTS[[#This Row],[country_name]],DIM_COUNTRY[[#All],[Column2]],DIM_COUNTRY[[#All],[Column3]],,,)</f>
        <v>USMCA</v>
      </c>
    </row>
    <row r="1368" spans="1:9" x14ac:dyDescent="0.4">
      <c r="A1368" t="s">
        <v>61</v>
      </c>
      <c r="B1368" s="1">
        <v>45505</v>
      </c>
      <c r="C1368">
        <v>848210</v>
      </c>
      <c r="D1368" t="s">
        <v>176</v>
      </c>
      <c r="E1368">
        <v>3202071</v>
      </c>
      <c r="F1368">
        <v>663503</v>
      </c>
      <c r="G1368">
        <v>57309</v>
      </c>
      <c r="H1368">
        <f>_xlfn.XLOOKUP(FACT_IMPORTS[[#This Row],[hts_6]],DIM_PRODUCTS[hts_6],DIM_PRODUCTS[hts_4],,,)</f>
        <v>8482</v>
      </c>
      <c r="I1368" t="str" cm="1">
        <f t="array" ref="I1368">_xlfn.XLOOKUP(FACT_IMPORTS[[#This Row],[country_name]],DIM_COUNTRY[[#All],[Column2]],DIM_COUNTRY[[#All],[Column3]],,,)</f>
        <v>USMCA</v>
      </c>
    </row>
    <row r="1369" spans="1:9" x14ac:dyDescent="0.4">
      <c r="A1369" t="s">
        <v>61</v>
      </c>
      <c r="B1369" s="1">
        <v>45505</v>
      </c>
      <c r="C1369">
        <v>848220</v>
      </c>
      <c r="D1369" t="s">
        <v>176</v>
      </c>
      <c r="E1369">
        <v>845068</v>
      </c>
      <c r="F1369">
        <v>18024</v>
      </c>
      <c r="G1369">
        <v>5744</v>
      </c>
      <c r="H1369">
        <f>_xlfn.XLOOKUP(FACT_IMPORTS[[#This Row],[hts_6]],DIM_PRODUCTS[hts_6],DIM_PRODUCTS[hts_4],,,)</f>
        <v>8482</v>
      </c>
      <c r="I1369" t="str" cm="1">
        <f t="array" ref="I1369">_xlfn.XLOOKUP(FACT_IMPORTS[[#This Row],[country_name]],DIM_COUNTRY[[#All],[Column2]],DIM_COUNTRY[[#All],[Column3]],,,)</f>
        <v>USMCA</v>
      </c>
    </row>
    <row r="1370" spans="1:9" x14ac:dyDescent="0.4">
      <c r="A1370" t="s">
        <v>61</v>
      </c>
      <c r="B1370" s="1">
        <v>45505</v>
      </c>
      <c r="C1370">
        <v>848310</v>
      </c>
      <c r="D1370" t="s">
        <v>176</v>
      </c>
      <c r="E1370">
        <v>17175653</v>
      </c>
      <c r="F1370">
        <v>573930</v>
      </c>
      <c r="G1370">
        <v>154257</v>
      </c>
      <c r="H1370">
        <f>_xlfn.XLOOKUP(FACT_IMPORTS[[#This Row],[hts_6]],DIM_PRODUCTS[hts_6],DIM_PRODUCTS[hts_4],,,)</f>
        <v>8483</v>
      </c>
      <c r="I1370" t="str" cm="1">
        <f t="array" ref="I1370">_xlfn.XLOOKUP(FACT_IMPORTS[[#This Row],[country_name]],DIM_COUNTRY[[#All],[Column2]],DIM_COUNTRY[[#All],[Column3]],,,)</f>
        <v>USMCA</v>
      </c>
    </row>
    <row r="1371" spans="1:9" x14ac:dyDescent="0.4">
      <c r="A1371" t="s">
        <v>61</v>
      </c>
      <c r="B1371" s="1">
        <v>45505</v>
      </c>
      <c r="C1371">
        <v>850131</v>
      </c>
      <c r="D1371" t="s">
        <v>176</v>
      </c>
      <c r="E1371">
        <v>3673227</v>
      </c>
      <c r="F1371">
        <v>131633</v>
      </c>
      <c r="G1371">
        <v>12555</v>
      </c>
      <c r="H1371">
        <f>_xlfn.XLOOKUP(FACT_IMPORTS[[#This Row],[hts_6]],DIM_PRODUCTS[hts_6],DIM_PRODUCTS[hts_4],,,)</f>
        <v>8501</v>
      </c>
      <c r="I1371" t="str" cm="1">
        <f t="array" ref="I1371">_xlfn.XLOOKUP(FACT_IMPORTS[[#This Row],[country_name]],DIM_COUNTRY[[#All],[Column2]],DIM_COUNTRY[[#All],[Column3]],,,)</f>
        <v>USMCA</v>
      </c>
    </row>
    <row r="1372" spans="1:9" x14ac:dyDescent="0.4">
      <c r="A1372" t="s">
        <v>61</v>
      </c>
      <c r="B1372" s="1">
        <v>45505</v>
      </c>
      <c r="C1372">
        <v>850132</v>
      </c>
      <c r="D1372" t="s">
        <v>176</v>
      </c>
      <c r="E1372">
        <v>343194</v>
      </c>
      <c r="F1372">
        <v>26</v>
      </c>
      <c r="G1372">
        <v>1111</v>
      </c>
      <c r="H1372">
        <f>_xlfn.XLOOKUP(FACT_IMPORTS[[#This Row],[hts_6]],DIM_PRODUCTS[hts_6],DIM_PRODUCTS[hts_4],,,)</f>
        <v>8501</v>
      </c>
      <c r="I1372" t="str" cm="1">
        <f t="array" ref="I1372">_xlfn.XLOOKUP(FACT_IMPORTS[[#This Row],[country_name]],DIM_COUNTRY[[#All],[Column2]],DIM_COUNTRY[[#All],[Column3]],,,)</f>
        <v>USMCA</v>
      </c>
    </row>
    <row r="1373" spans="1:9" x14ac:dyDescent="0.4">
      <c r="A1373" t="s">
        <v>61</v>
      </c>
      <c r="B1373" s="1">
        <v>45505</v>
      </c>
      <c r="C1373">
        <v>850133</v>
      </c>
      <c r="D1373" t="s">
        <v>176</v>
      </c>
      <c r="E1373">
        <v>65337</v>
      </c>
      <c r="F1373">
        <v>7</v>
      </c>
      <c r="G1373">
        <v>532</v>
      </c>
      <c r="H1373">
        <f>_xlfn.XLOOKUP(FACT_IMPORTS[[#This Row],[hts_6]],DIM_PRODUCTS[hts_6],DIM_PRODUCTS[hts_4],,,)</f>
        <v>8501</v>
      </c>
      <c r="I1373" t="str" cm="1">
        <f t="array" ref="I1373">_xlfn.XLOOKUP(FACT_IMPORTS[[#This Row],[country_name]],DIM_COUNTRY[[#All],[Column2]],DIM_COUNTRY[[#All],[Column3]],,,)</f>
        <v>USMCA</v>
      </c>
    </row>
    <row r="1374" spans="1:9" x14ac:dyDescent="0.4">
      <c r="A1374" t="s">
        <v>61</v>
      </c>
      <c r="B1374" s="1">
        <v>45505</v>
      </c>
      <c r="C1374">
        <v>850134</v>
      </c>
      <c r="D1374" t="s">
        <v>176</v>
      </c>
      <c r="E1374">
        <v>0</v>
      </c>
      <c r="F1374">
        <v>0</v>
      </c>
      <c r="G1374">
        <v>0</v>
      </c>
      <c r="H1374">
        <f>_xlfn.XLOOKUP(FACT_IMPORTS[[#This Row],[hts_6]],DIM_PRODUCTS[hts_6],DIM_PRODUCTS[hts_4],,,)</f>
        <v>8501</v>
      </c>
      <c r="I1374" t="str" cm="1">
        <f t="array" ref="I1374">_xlfn.XLOOKUP(FACT_IMPORTS[[#This Row],[country_name]],DIM_COUNTRY[[#All],[Column2]],DIM_COUNTRY[[#All],[Column3]],,,)</f>
        <v>USMCA</v>
      </c>
    </row>
    <row r="1375" spans="1:9" x14ac:dyDescent="0.4">
      <c r="A1375" t="s">
        <v>61</v>
      </c>
      <c r="B1375" s="1">
        <v>45505</v>
      </c>
      <c r="C1375">
        <v>850152</v>
      </c>
      <c r="D1375" t="s">
        <v>176</v>
      </c>
      <c r="E1375">
        <v>878182</v>
      </c>
      <c r="F1375">
        <v>181</v>
      </c>
      <c r="G1375">
        <v>15113</v>
      </c>
      <c r="H1375">
        <f>_xlfn.XLOOKUP(FACT_IMPORTS[[#This Row],[hts_6]],DIM_PRODUCTS[hts_6],DIM_PRODUCTS[hts_4],,,)</f>
        <v>8501</v>
      </c>
      <c r="I1375" t="str" cm="1">
        <f t="array" ref="I1375">_xlfn.XLOOKUP(FACT_IMPORTS[[#This Row],[country_name]],DIM_COUNTRY[[#All],[Column2]],DIM_COUNTRY[[#All],[Column3]],,,)</f>
        <v>USMCA</v>
      </c>
    </row>
    <row r="1376" spans="1:9" x14ac:dyDescent="0.4">
      <c r="A1376" t="s">
        <v>61</v>
      </c>
      <c r="B1376" s="1">
        <v>45505</v>
      </c>
      <c r="C1376">
        <v>850153</v>
      </c>
      <c r="D1376" t="s">
        <v>176</v>
      </c>
      <c r="E1376">
        <v>655994</v>
      </c>
      <c r="F1376">
        <v>32</v>
      </c>
      <c r="G1376">
        <v>4353</v>
      </c>
      <c r="H1376">
        <f>_xlfn.XLOOKUP(FACT_IMPORTS[[#This Row],[hts_6]],DIM_PRODUCTS[hts_6],DIM_PRODUCTS[hts_4],,,)</f>
        <v>8501</v>
      </c>
      <c r="I1376" t="str" cm="1">
        <f t="array" ref="I1376">_xlfn.XLOOKUP(FACT_IMPORTS[[#This Row],[country_name]],DIM_COUNTRY[[#All],[Column2]],DIM_COUNTRY[[#All],[Column3]],,,)</f>
        <v>USMCA</v>
      </c>
    </row>
    <row r="1377" spans="1:9" x14ac:dyDescent="0.4">
      <c r="A1377" t="s">
        <v>61</v>
      </c>
      <c r="B1377" s="1">
        <v>45505</v>
      </c>
      <c r="C1377">
        <v>850161</v>
      </c>
      <c r="D1377" t="s">
        <v>176</v>
      </c>
      <c r="E1377">
        <v>140239</v>
      </c>
      <c r="F1377">
        <v>31</v>
      </c>
      <c r="G1377">
        <v>703</v>
      </c>
      <c r="H1377">
        <f>_xlfn.XLOOKUP(FACT_IMPORTS[[#This Row],[hts_6]],DIM_PRODUCTS[hts_6],DIM_PRODUCTS[hts_4],,,)</f>
        <v>8501</v>
      </c>
      <c r="I1377" t="str" cm="1">
        <f t="array" ref="I1377">_xlfn.XLOOKUP(FACT_IMPORTS[[#This Row],[country_name]],DIM_COUNTRY[[#All],[Column2]],DIM_COUNTRY[[#All],[Column3]],,,)</f>
        <v>USMCA</v>
      </c>
    </row>
    <row r="1378" spans="1:9" x14ac:dyDescent="0.4">
      <c r="A1378" t="s">
        <v>61</v>
      </c>
      <c r="B1378" s="1">
        <v>45505</v>
      </c>
      <c r="C1378">
        <v>850440</v>
      </c>
      <c r="D1378" t="s">
        <v>176</v>
      </c>
      <c r="E1378">
        <v>10772343</v>
      </c>
      <c r="F1378">
        <v>12368</v>
      </c>
      <c r="G1378">
        <v>163939</v>
      </c>
      <c r="H1378">
        <f>_xlfn.XLOOKUP(FACT_IMPORTS[[#This Row],[hts_6]],DIM_PRODUCTS[hts_6],DIM_PRODUCTS[hts_4],,,)</f>
        <v>8504</v>
      </c>
      <c r="I1378" t="str" cm="1">
        <f t="array" ref="I1378">_xlfn.XLOOKUP(FACT_IMPORTS[[#This Row],[country_name]],DIM_COUNTRY[[#All],[Column2]],DIM_COUNTRY[[#All],[Column3]],,,)</f>
        <v>USMCA</v>
      </c>
    </row>
    <row r="1379" spans="1:9" x14ac:dyDescent="0.4">
      <c r="A1379" t="s">
        <v>61</v>
      </c>
      <c r="B1379" s="1">
        <v>45505</v>
      </c>
      <c r="C1379">
        <v>850710</v>
      </c>
      <c r="D1379" t="s">
        <v>176</v>
      </c>
      <c r="E1379">
        <v>1012657</v>
      </c>
      <c r="F1379">
        <v>3103</v>
      </c>
      <c r="G1379">
        <v>56593</v>
      </c>
      <c r="H1379">
        <f>_xlfn.XLOOKUP(FACT_IMPORTS[[#This Row],[hts_6]],DIM_PRODUCTS[hts_6],DIM_PRODUCTS[hts_4],,,)</f>
        <v>8507</v>
      </c>
      <c r="I1379" t="str" cm="1">
        <f t="array" ref="I1379">_xlfn.XLOOKUP(FACT_IMPORTS[[#This Row],[country_name]],DIM_COUNTRY[[#All],[Column2]],DIM_COUNTRY[[#All],[Column3]],,,)</f>
        <v>USMCA</v>
      </c>
    </row>
    <row r="1380" spans="1:9" x14ac:dyDescent="0.4">
      <c r="A1380" t="s">
        <v>61</v>
      </c>
      <c r="B1380" s="1">
        <v>45505</v>
      </c>
      <c r="C1380">
        <v>850760</v>
      </c>
      <c r="D1380" t="s">
        <v>176</v>
      </c>
      <c r="E1380">
        <v>75262566</v>
      </c>
      <c r="F1380">
        <v>45133</v>
      </c>
      <c r="G1380">
        <v>50598</v>
      </c>
      <c r="H1380">
        <f>_xlfn.XLOOKUP(FACT_IMPORTS[[#This Row],[hts_6]],DIM_PRODUCTS[hts_6],DIM_PRODUCTS[hts_4],,,)</f>
        <v>8507</v>
      </c>
      <c r="I1380" t="str" cm="1">
        <f t="array" ref="I1380">_xlfn.XLOOKUP(FACT_IMPORTS[[#This Row],[country_name]],DIM_COUNTRY[[#All],[Column2]],DIM_COUNTRY[[#All],[Column3]],,,)</f>
        <v>USMCA</v>
      </c>
    </row>
    <row r="1381" spans="1:9" x14ac:dyDescent="0.4">
      <c r="A1381" t="s">
        <v>61</v>
      </c>
      <c r="B1381" s="1">
        <v>45505</v>
      </c>
      <c r="C1381">
        <v>850790</v>
      </c>
      <c r="D1381" t="s">
        <v>176</v>
      </c>
      <c r="E1381">
        <v>574762</v>
      </c>
      <c r="F1381">
        <v>41536</v>
      </c>
      <c r="G1381">
        <v>1611</v>
      </c>
      <c r="H1381">
        <f>_xlfn.XLOOKUP(FACT_IMPORTS[[#This Row],[hts_6]],DIM_PRODUCTS[hts_6],DIM_PRODUCTS[hts_4],,,)</f>
        <v>8507</v>
      </c>
      <c r="I1381" t="str" cm="1">
        <f t="array" ref="I1381">_xlfn.XLOOKUP(FACT_IMPORTS[[#This Row],[country_name]],DIM_COUNTRY[[#All],[Column2]],DIM_COUNTRY[[#All],[Column3]],,,)</f>
        <v>USMCA</v>
      </c>
    </row>
    <row r="1382" spans="1:9" x14ac:dyDescent="0.4">
      <c r="A1382" t="s">
        <v>61</v>
      </c>
      <c r="B1382" s="1">
        <v>45505</v>
      </c>
      <c r="C1382">
        <v>851110</v>
      </c>
      <c r="D1382" t="s">
        <v>176</v>
      </c>
      <c r="E1382">
        <v>19796</v>
      </c>
      <c r="F1382">
        <v>9</v>
      </c>
      <c r="G1382">
        <v>29</v>
      </c>
      <c r="H1382">
        <f>_xlfn.XLOOKUP(FACT_IMPORTS[[#This Row],[hts_6]],DIM_PRODUCTS[hts_6],DIM_PRODUCTS[hts_4],,,)</f>
        <v>8511</v>
      </c>
      <c r="I1382" t="str" cm="1">
        <f t="array" ref="I1382">_xlfn.XLOOKUP(FACT_IMPORTS[[#This Row],[country_name]],DIM_COUNTRY[[#All],[Column2]],DIM_COUNTRY[[#All],[Column3]],,,)</f>
        <v>USMCA</v>
      </c>
    </row>
    <row r="1383" spans="1:9" x14ac:dyDescent="0.4">
      <c r="A1383" t="s">
        <v>61</v>
      </c>
      <c r="B1383" s="1">
        <v>45505</v>
      </c>
      <c r="C1383">
        <v>851120</v>
      </c>
      <c r="D1383" t="s">
        <v>176</v>
      </c>
      <c r="E1383">
        <v>0</v>
      </c>
      <c r="F1383">
        <v>0</v>
      </c>
      <c r="G1383">
        <v>0</v>
      </c>
      <c r="H1383">
        <f>_xlfn.XLOOKUP(FACT_IMPORTS[[#This Row],[hts_6]],DIM_PRODUCTS[hts_6],DIM_PRODUCTS[hts_4],,,)</f>
        <v>8511</v>
      </c>
      <c r="I1383" t="str" cm="1">
        <f t="array" ref="I1383">_xlfn.XLOOKUP(FACT_IMPORTS[[#This Row],[country_name]],DIM_COUNTRY[[#All],[Column2]],DIM_COUNTRY[[#All],[Column3]],,,)</f>
        <v>USMCA</v>
      </c>
    </row>
    <row r="1384" spans="1:9" x14ac:dyDescent="0.4">
      <c r="A1384" t="s">
        <v>61</v>
      </c>
      <c r="B1384" s="1">
        <v>45505</v>
      </c>
      <c r="C1384">
        <v>851130</v>
      </c>
      <c r="D1384" t="s">
        <v>176</v>
      </c>
      <c r="E1384">
        <v>7528</v>
      </c>
      <c r="F1384">
        <v>1848</v>
      </c>
      <c r="G1384">
        <v>38</v>
      </c>
      <c r="H1384">
        <f>_xlfn.XLOOKUP(FACT_IMPORTS[[#This Row],[hts_6]],DIM_PRODUCTS[hts_6],DIM_PRODUCTS[hts_4],,,)</f>
        <v>8511</v>
      </c>
      <c r="I1384" t="str" cm="1">
        <f t="array" ref="I1384">_xlfn.XLOOKUP(FACT_IMPORTS[[#This Row],[country_name]],DIM_COUNTRY[[#All],[Column2]],DIM_COUNTRY[[#All],[Column3]],,,)</f>
        <v>USMCA</v>
      </c>
    </row>
    <row r="1385" spans="1:9" x14ac:dyDescent="0.4">
      <c r="A1385" t="s">
        <v>61</v>
      </c>
      <c r="B1385" s="1">
        <v>45505</v>
      </c>
      <c r="C1385">
        <v>851140</v>
      </c>
      <c r="D1385" t="s">
        <v>176</v>
      </c>
      <c r="E1385">
        <v>461598</v>
      </c>
      <c r="F1385">
        <v>9342</v>
      </c>
      <c r="G1385">
        <v>4158</v>
      </c>
      <c r="H1385">
        <f>_xlfn.XLOOKUP(FACT_IMPORTS[[#This Row],[hts_6]],DIM_PRODUCTS[hts_6],DIM_PRODUCTS[hts_4],,,)</f>
        <v>8511</v>
      </c>
      <c r="I1385" t="str" cm="1">
        <f t="array" ref="I1385">_xlfn.XLOOKUP(FACT_IMPORTS[[#This Row],[country_name]],DIM_COUNTRY[[#All],[Column2]],DIM_COUNTRY[[#All],[Column3]],,,)</f>
        <v>USMCA</v>
      </c>
    </row>
    <row r="1386" spans="1:9" x14ac:dyDescent="0.4">
      <c r="A1386" t="s">
        <v>61</v>
      </c>
      <c r="B1386" s="1">
        <v>45505</v>
      </c>
      <c r="C1386">
        <v>851150</v>
      </c>
      <c r="D1386" t="s">
        <v>176</v>
      </c>
      <c r="E1386">
        <v>433431</v>
      </c>
      <c r="F1386">
        <v>7542</v>
      </c>
      <c r="G1386">
        <v>3199</v>
      </c>
      <c r="H1386">
        <f>_xlfn.XLOOKUP(FACT_IMPORTS[[#This Row],[hts_6]],DIM_PRODUCTS[hts_6],DIM_PRODUCTS[hts_4],,,)</f>
        <v>8511</v>
      </c>
      <c r="I1386" t="str" cm="1">
        <f t="array" ref="I1386">_xlfn.XLOOKUP(FACT_IMPORTS[[#This Row],[country_name]],DIM_COUNTRY[[#All],[Column2]],DIM_COUNTRY[[#All],[Column3]],,,)</f>
        <v>USMCA</v>
      </c>
    </row>
    <row r="1387" spans="1:9" x14ac:dyDescent="0.4">
      <c r="A1387" t="s">
        <v>61</v>
      </c>
      <c r="B1387" s="1">
        <v>45505</v>
      </c>
      <c r="C1387">
        <v>851180</v>
      </c>
      <c r="D1387" t="s">
        <v>176</v>
      </c>
      <c r="E1387">
        <v>48478</v>
      </c>
      <c r="F1387">
        <v>71</v>
      </c>
      <c r="G1387">
        <v>74</v>
      </c>
      <c r="H1387">
        <f>_xlfn.XLOOKUP(FACT_IMPORTS[[#This Row],[hts_6]],DIM_PRODUCTS[hts_6],DIM_PRODUCTS[hts_4],,,)</f>
        <v>8511</v>
      </c>
      <c r="I1387" t="str" cm="1">
        <f t="array" ref="I1387">_xlfn.XLOOKUP(FACT_IMPORTS[[#This Row],[country_name]],DIM_COUNTRY[[#All],[Column2]],DIM_COUNTRY[[#All],[Column3]],,,)</f>
        <v>USMCA</v>
      </c>
    </row>
    <row r="1388" spans="1:9" x14ac:dyDescent="0.4">
      <c r="A1388" t="s">
        <v>61</v>
      </c>
      <c r="B1388" s="1">
        <v>45505</v>
      </c>
      <c r="C1388">
        <v>851190</v>
      </c>
      <c r="D1388" t="s">
        <v>176</v>
      </c>
      <c r="E1388">
        <v>920404</v>
      </c>
      <c r="F1388">
        <v>6226</v>
      </c>
      <c r="G1388">
        <v>1063</v>
      </c>
      <c r="H1388">
        <f>_xlfn.XLOOKUP(FACT_IMPORTS[[#This Row],[hts_6]],DIM_PRODUCTS[hts_6],DIM_PRODUCTS[hts_4],,,)</f>
        <v>8511</v>
      </c>
      <c r="I1388" t="str" cm="1">
        <f t="array" ref="I1388">_xlfn.XLOOKUP(FACT_IMPORTS[[#This Row],[country_name]],DIM_COUNTRY[[#All],[Column2]],DIM_COUNTRY[[#All],[Column3]],,,)</f>
        <v>USMCA</v>
      </c>
    </row>
    <row r="1389" spans="1:9" x14ac:dyDescent="0.4">
      <c r="A1389" t="s">
        <v>61</v>
      </c>
      <c r="B1389" s="1">
        <v>45505</v>
      </c>
      <c r="C1389">
        <v>851220</v>
      </c>
      <c r="D1389" t="s">
        <v>176</v>
      </c>
      <c r="E1389">
        <v>20132797</v>
      </c>
      <c r="F1389">
        <v>402311</v>
      </c>
      <c r="G1389">
        <v>78710</v>
      </c>
      <c r="H1389">
        <f>_xlfn.XLOOKUP(FACT_IMPORTS[[#This Row],[hts_6]],DIM_PRODUCTS[hts_6],DIM_PRODUCTS[hts_4],,,)</f>
        <v>8512</v>
      </c>
      <c r="I1389" t="str" cm="1">
        <f t="array" ref="I1389">_xlfn.XLOOKUP(FACT_IMPORTS[[#This Row],[country_name]],DIM_COUNTRY[[#All],[Column2]],DIM_COUNTRY[[#All],[Column3]],,,)</f>
        <v>USMCA</v>
      </c>
    </row>
    <row r="1390" spans="1:9" x14ac:dyDescent="0.4">
      <c r="A1390" t="s">
        <v>61</v>
      </c>
      <c r="B1390" s="1">
        <v>45505</v>
      </c>
      <c r="C1390">
        <v>851230</v>
      </c>
      <c r="D1390" t="s">
        <v>176</v>
      </c>
      <c r="E1390">
        <v>88741</v>
      </c>
      <c r="F1390">
        <v>571</v>
      </c>
      <c r="G1390">
        <v>369</v>
      </c>
      <c r="H1390">
        <f>_xlfn.XLOOKUP(FACT_IMPORTS[[#This Row],[hts_6]],DIM_PRODUCTS[hts_6],DIM_PRODUCTS[hts_4],,,)</f>
        <v>8512</v>
      </c>
      <c r="I1390" t="str" cm="1">
        <f t="array" ref="I1390">_xlfn.XLOOKUP(FACT_IMPORTS[[#This Row],[country_name]],DIM_COUNTRY[[#All],[Column2]],DIM_COUNTRY[[#All],[Column3]],,,)</f>
        <v>USMCA</v>
      </c>
    </row>
    <row r="1391" spans="1:9" x14ac:dyDescent="0.4">
      <c r="A1391" t="s">
        <v>61</v>
      </c>
      <c r="B1391" s="1">
        <v>45505</v>
      </c>
      <c r="C1391">
        <v>851240</v>
      </c>
      <c r="D1391" t="s">
        <v>176</v>
      </c>
      <c r="E1391">
        <v>5970</v>
      </c>
      <c r="F1391">
        <v>22</v>
      </c>
      <c r="G1391">
        <v>1</v>
      </c>
      <c r="H1391">
        <f>_xlfn.XLOOKUP(FACT_IMPORTS[[#This Row],[hts_6]],DIM_PRODUCTS[hts_6],DIM_PRODUCTS[hts_4],,,)</f>
        <v>8512</v>
      </c>
      <c r="I1391" t="str" cm="1">
        <f t="array" ref="I1391">_xlfn.XLOOKUP(FACT_IMPORTS[[#This Row],[country_name]],DIM_COUNTRY[[#All],[Column2]],DIM_COUNTRY[[#All],[Column3]],,,)</f>
        <v>USMCA</v>
      </c>
    </row>
    <row r="1392" spans="1:9" x14ac:dyDescent="0.4">
      <c r="A1392" t="s">
        <v>61</v>
      </c>
      <c r="B1392" s="1">
        <v>45505</v>
      </c>
      <c r="C1392">
        <v>851290</v>
      </c>
      <c r="D1392" t="s">
        <v>176</v>
      </c>
      <c r="E1392">
        <v>1925889</v>
      </c>
      <c r="F1392">
        <v>32609</v>
      </c>
      <c r="G1392">
        <v>10759</v>
      </c>
      <c r="H1392">
        <f>_xlfn.XLOOKUP(FACT_IMPORTS[[#This Row],[hts_6]],DIM_PRODUCTS[hts_6],DIM_PRODUCTS[hts_4],,,)</f>
        <v>8512</v>
      </c>
      <c r="I1392" t="str" cm="1">
        <f t="array" ref="I1392">_xlfn.XLOOKUP(FACT_IMPORTS[[#This Row],[country_name]],DIM_COUNTRY[[#All],[Column2]],DIM_COUNTRY[[#All],[Column3]],,,)</f>
        <v>USMCA</v>
      </c>
    </row>
    <row r="1393" spans="1:9" x14ac:dyDescent="0.4">
      <c r="A1393" t="s">
        <v>61</v>
      </c>
      <c r="B1393" s="1">
        <v>45505</v>
      </c>
      <c r="C1393">
        <v>854231</v>
      </c>
      <c r="D1393" t="s">
        <v>176</v>
      </c>
      <c r="E1393">
        <v>170583</v>
      </c>
      <c r="F1393">
        <v>275</v>
      </c>
      <c r="G1393">
        <v>294</v>
      </c>
      <c r="H1393">
        <f>_xlfn.XLOOKUP(FACT_IMPORTS[[#This Row],[hts_6]],DIM_PRODUCTS[hts_6],DIM_PRODUCTS[hts_4],,,)</f>
        <v>8542</v>
      </c>
      <c r="I1393" t="str" cm="1">
        <f t="array" ref="I1393">_xlfn.XLOOKUP(FACT_IMPORTS[[#This Row],[country_name]],DIM_COUNTRY[[#All],[Column2]],DIM_COUNTRY[[#All],[Column3]],,,)</f>
        <v>USMCA</v>
      </c>
    </row>
    <row r="1394" spans="1:9" x14ac:dyDescent="0.4">
      <c r="A1394" t="s">
        <v>61</v>
      </c>
      <c r="B1394" s="1">
        <v>45505</v>
      </c>
      <c r="C1394">
        <v>854232</v>
      </c>
      <c r="D1394" t="s">
        <v>176</v>
      </c>
      <c r="E1394">
        <v>0</v>
      </c>
      <c r="F1394">
        <v>0</v>
      </c>
      <c r="G1394">
        <v>0</v>
      </c>
      <c r="H1394">
        <f>_xlfn.XLOOKUP(FACT_IMPORTS[[#This Row],[hts_6]],DIM_PRODUCTS[hts_6],DIM_PRODUCTS[hts_4],,,)</f>
        <v>8542</v>
      </c>
      <c r="I1394" t="str" cm="1">
        <f t="array" ref="I1394">_xlfn.XLOOKUP(FACT_IMPORTS[[#This Row],[country_name]],DIM_COUNTRY[[#All],[Column2]],DIM_COUNTRY[[#All],[Column3]],,,)</f>
        <v>USMCA</v>
      </c>
    </row>
    <row r="1395" spans="1:9" x14ac:dyDescent="0.4">
      <c r="A1395" t="s">
        <v>61</v>
      </c>
      <c r="B1395" s="1">
        <v>45505</v>
      </c>
      <c r="C1395">
        <v>854233</v>
      </c>
      <c r="D1395" t="s">
        <v>176</v>
      </c>
      <c r="E1395">
        <v>14717</v>
      </c>
      <c r="F1395">
        <v>1</v>
      </c>
      <c r="G1395">
        <v>37</v>
      </c>
      <c r="H1395">
        <f>_xlfn.XLOOKUP(FACT_IMPORTS[[#This Row],[hts_6]],DIM_PRODUCTS[hts_6],DIM_PRODUCTS[hts_4],,,)</f>
        <v>8542</v>
      </c>
      <c r="I1395" t="str" cm="1">
        <f t="array" ref="I1395">_xlfn.XLOOKUP(FACT_IMPORTS[[#This Row],[country_name]],DIM_COUNTRY[[#All],[Column2]],DIM_COUNTRY[[#All],[Column3]],,,)</f>
        <v>USMCA</v>
      </c>
    </row>
    <row r="1396" spans="1:9" x14ac:dyDescent="0.4">
      <c r="A1396" t="s">
        <v>61</v>
      </c>
      <c r="B1396" s="1">
        <v>45505</v>
      </c>
      <c r="C1396">
        <v>854239</v>
      </c>
      <c r="D1396" t="s">
        <v>176</v>
      </c>
      <c r="E1396">
        <v>101407</v>
      </c>
      <c r="F1396">
        <v>180</v>
      </c>
      <c r="G1396">
        <v>111</v>
      </c>
      <c r="H1396">
        <f>_xlfn.XLOOKUP(FACT_IMPORTS[[#This Row],[hts_6]],DIM_PRODUCTS[hts_6],DIM_PRODUCTS[hts_4],,,)</f>
        <v>8542</v>
      </c>
      <c r="I1396" t="str" cm="1">
        <f t="array" ref="I1396">_xlfn.XLOOKUP(FACT_IMPORTS[[#This Row],[country_name]],DIM_COUNTRY[[#All],[Column2]],DIM_COUNTRY[[#All],[Column3]],,,)</f>
        <v>USMCA</v>
      </c>
    </row>
    <row r="1397" spans="1:9" x14ac:dyDescent="0.4">
      <c r="A1397" t="s">
        <v>61</v>
      </c>
      <c r="B1397" s="1">
        <v>45505</v>
      </c>
      <c r="C1397">
        <v>854290</v>
      </c>
      <c r="D1397" t="s">
        <v>176</v>
      </c>
      <c r="E1397">
        <v>16900</v>
      </c>
      <c r="F1397">
        <v>201</v>
      </c>
      <c r="G1397">
        <v>402</v>
      </c>
      <c r="H1397">
        <f>_xlfn.XLOOKUP(FACT_IMPORTS[[#This Row],[hts_6]],DIM_PRODUCTS[hts_6],DIM_PRODUCTS[hts_4],,,)</f>
        <v>8542</v>
      </c>
      <c r="I1397" t="str" cm="1">
        <f t="array" ref="I1397">_xlfn.XLOOKUP(FACT_IMPORTS[[#This Row],[country_name]],DIM_COUNTRY[[#All],[Column2]],DIM_COUNTRY[[#All],[Column3]],,,)</f>
        <v>USMCA</v>
      </c>
    </row>
    <row r="1398" spans="1:9" x14ac:dyDescent="0.4">
      <c r="A1398" t="s">
        <v>61</v>
      </c>
      <c r="B1398" s="1">
        <v>45505</v>
      </c>
      <c r="C1398">
        <v>854430</v>
      </c>
      <c r="D1398" t="s">
        <v>176</v>
      </c>
      <c r="E1398">
        <v>1485313</v>
      </c>
      <c r="F1398">
        <v>20365</v>
      </c>
      <c r="G1398">
        <v>8433</v>
      </c>
      <c r="H1398">
        <f>_xlfn.XLOOKUP(FACT_IMPORTS[[#This Row],[hts_6]],DIM_PRODUCTS[hts_6],DIM_PRODUCTS[hts_4],,,)</f>
        <v>8544</v>
      </c>
      <c r="I1398" t="str" cm="1">
        <f t="array" ref="I1398">_xlfn.XLOOKUP(FACT_IMPORTS[[#This Row],[country_name]],DIM_COUNTRY[[#All],[Column2]],DIM_COUNTRY[[#All],[Column3]],,,)</f>
        <v>USMCA</v>
      </c>
    </row>
    <row r="1399" spans="1:9" x14ac:dyDescent="0.4">
      <c r="A1399" t="s">
        <v>61</v>
      </c>
      <c r="B1399" s="1">
        <v>45505</v>
      </c>
      <c r="C1399">
        <v>870600</v>
      </c>
      <c r="D1399" t="s">
        <v>176</v>
      </c>
      <c r="E1399">
        <v>0</v>
      </c>
      <c r="F1399">
        <v>0</v>
      </c>
      <c r="G1399">
        <v>0</v>
      </c>
      <c r="H1399">
        <f>_xlfn.XLOOKUP(FACT_IMPORTS[[#This Row],[hts_6]],DIM_PRODUCTS[hts_6],DIM_PRODUCTS[hts_4],,,)</f>
        <v>8706</v>
      </c>
      <c r="I1399" t="str" cm="1">
        <f t="array" ref="I1399">_xlfn.XLOOKUP(FACT_IMPORTS[[#This Row],[country_name]],DIM_COUNTRY[[#All],[Column2]],DIM_COUNTRY[[#All],[Column3]],,,)</f>
        <v>USMCA</v>
      </c>
    </row>
    <row r="1400" spans="1:9" x14ac:dyDescent="0.4">
      <c r="A1400" t="s">
        <v>61</v>
      </c>
      <c r="B1400" s="1">
        <v>45505</v>
      </c>
      <c r="C1400">
        <v>870710</v>
      </c>
      <c r="D1400" t="s">
        <v>176</v>
      </c>
      <c r="E1400">
        <v>3674</v>
      </c>
      <c r="F1400">
        <v>1</v>
      </c>
      <c r="G1400">
        <v>200</v>
      </c>
      <c r="H1400">
        <f>_xlfn.XLOOKUP(FACT_IMPORTS[[#This Row],[hts_6]],DIM_PRODUCTS[hts_6],DIM_PRODUCTS[hts_4],,,)</f>
        <v>8707</v>
      </c>
      <c r="I1400" t="str" cm="1">
        <f t="array" ref="I1400">_xlfn.XLOOKUP(FACT_IMPORTS[[#This Row],[country_name]],DIM_COUNTRY[[#All],[Column2]],DIM_COUNTRY[[#All],[Column3]],,,)</f>
        <v>USMCA</v>
      </c>
    </row>
    <row r="1401" spans="1:9" x14ac:dyDescent="0.4">
      <c r="A1401" t="s">
        <v>61</v>
      </c>
      <c r="B1401" s="1">
        <v>45505</v>
      </c>
      <c r="C1401">
        <v>870790</v>
      </c>
      <c r="D1401" t="s">
        <v>176</v>
      </c>
      <c r="E1401">
        <v>4346992</v>
      </c>
      <c r="F1401">
        <v>290</v>
      </c>
      <c r="G1401">
        <v>62000</v>
      </c>
      <c r="H1401">
        <f>_xlfn.XLOOKUP(FACT_IMPORTS[[#This Row],[hts_6]],DIM_PRODUCTS[hts_6],DIM_PRODUCTS[hts_4],,,)</f>
        <v>8707</v>
      </c>
      <c r="I1401" t="str" cm="1">
        <f t="array" ref="I1401">_xlfn.XLOOKUP(FACT_IMPORTS[[#This Row],[country_name]],DIM_COUNTRY[[#All],[Column2]],DIM_COUNTRY[[#All],[Column3]],,,)</f>
        <v>USMCA</v>
      </c>
    </row>
    <row r="1402" spans="1:9" x14ac:dyDescent="0.4">
      <c r="A1402" t="s">
        <v>61</v>
      </c>
      <c r="B1402" s="1">
        <v>45505</v>
      </c>
      <c r="C1402">
        <v>870810</v>
      </c>
      <c r="D1402" t="s">
        <v>176</v>
      </c>
      <c r="E1402">
        <v>25416696</v>
      </c>
      <c r="F1402">
        <v>1069637</v>
      </c>
      <c r="G1402">
        <v>414064</v>
      </c>
      <c r="H1402">
        <f>_xlfn.XLOOKUP(FACT_IMPORTS[[#This Row],[hts_6]],DIM_PRODUCTS[hts_6],DIM_PRODUCTS[hts_4],,,)</f>
        <v>8708</v>
      </c>
      <c r="I1402" t="str" cm="1">
        <f t="array" ref="I1402">_xlfn.XLOOKUP(FACT_IMPORTS[[#This Row],[country_name]],DIM_COUNTRY[[#All],[Column2]],DIM_COUNTRY[[#All],[Column3]],,,)</f>
        <v>USMCA</v>
      </c>
    </row>
    <row r="1403" spans="1:9" x14ac:dyDescent="0.4">
      <c r="A1403" t="s">
        <v>61</v>
      </c>
      <c r="B1403" s="1">
        <v>45505</v>
      </c>
      <c r="C1403">
        <v>870821</v>
      </c>
      <c r="D1403" t="s">
        <v>176</v>
      </c>
      <c r="E1403">
        <v>519786</v>
      </c>
      <c r="F1403">
        <v>21670</v>
      </c>
      <c r="G1403">
        <v>3272</v>
      </c>
      <c r="H1403">
        <f>_xlfn.XLOOKUP(FACT_IMPORTS[[#This Row],[hts_6]],DIM_PRODUCTS[hts_6],DIM_PRODUCTS[hts_4],,,)</f>
        <v>8708</v>
      </c>
      <c r="I1403" t="str" cm="1">
        <f t="array" ref="I1403">_xlfn.XLOOKUP(FACT_IMPORTS[[#This Row],[country_name]],DIM_COUNTRY[[#All],[Column2]],DIM_COUNTRY[[#All],[Column3]],,,)</f>
        <v>USMCA</v>
      </c>
    </row>
    <row r="1404" spans="1:9" x14ac:dyDescent="0.4">
      <c r="A1404" t="s">
        <v>61</v>
      </c>
      <c r="B1404" s="1">
        <v>45505</v>
      </c>
      <c r="C1404">
        <v>870822</v>
      </c>
      <c r="D1404" t="s">
        <v>176</v>
      </c>
      <c r="E1404">
        <v>4841127</v>
      </c>
      <c r="F1404">
        <v>90963</v>
      </c>
      <c r="G1404">
        <v>162505</v>
      </c>
      <c r="H1404">
        <f>_xlfn.XLOOKUP(FACT_IMPORTS[[#This Row],[hts_6]],DIM_PRODUCTS[hts_6],DIM_PRODUCTS[hts_4],,,)</f>
        <v>8708</v>
      </c>
      <c r="I1404" t="str" cm="1">
        <f t="array" ref="I1404">_xlfn.XLOOKUP(FACT_IMPORTS[[#This Row],[country_name]],DIM_COUNTRY[[#All],[Column2]],DIM_COUNTRY[[#All],[Column3]],,,)</f>
        <v>USMCA</v>
      </c>
    </row>
    <row r="1405" spans="1:9" x14ac:dyDescent="0.4">
      <c r="A1405" t="s">
        <v>61</v>
      </c>
      <c r="B1405" s="1">
        <v>45505</v>
      </c>
      <c r="C1405">
        <v>870829</v>
      </c>
      <c r="D1405" t="s">
        <v>176</v>
      </c>
      <c r="E1405">
        <v>400555543</v>
      </c>
      <c r="F1405">
        <v>59277055</v>
      </c>
      <c r="G1405">
        <v>7163064</v>
      </c>
      <c r="H1405">
        <f>_xlfn.XLOOKUP(FACT_IMPORTS[[#This Row],[hts_6]],DIM_PRODUCTS[hts_6],DIM_PRODUCTS[hts_4],,,)</f>
        <v>8708</v>
      </c>
      <c r="I1405" t="str" cm="1">
        <f t="array" ref="I1405">_xlfn.XLOOKUP(FACT_IMPORTS[[#This Row],[country_name]],DIM_COUNTRY[[#All],[Column2]],DIM_COUNTRY[[#All],[Column3]],,,)</f>
        <v>USMCA</v>
      </c>
    </row>
    <row r="1406" spans="1:9" x14ac:dyDescent="0.4">
      <c r="A1406" t="s">
        <v>61</v>
      </c>
      <c r="B1406" s="1">
        <v>45505</v>
      </c>
      <c r="C1406">
        <v>870830</v>
      </c>
      <c r="D1406" t="s">
        <v>176</v>
      </c>
      <c r="E1406">
        <v>13779320</v>
      </c>
      <c r="F1406">
        <v>3680037</v>
      </c>
      <c r="G1406">
        <v>180380</v>
      </c>
      <c r="H1406">
        <f>_xlfn.XLOOKUP(FACT_IMPORTS[[#This Row],[hts_6]],DIM_PRODUCTS[hts_6],DIM_PRODUCTS[hts_4],,,)</f>
        <v>8708</v>
      </c>
      <c r="I1406" t="str" cm="1">
        <f t="array" ref="I1406">_xlfn.XLOOKUP(FACT_IMPORTS[[#This Row],[country_name]],DIM_COUNTRY[[#All],[Column2]],DIM_COUNTRY[[#All],[Column3]],,,)</f>
        <v>USMCA</v>
      </c>
    </row>
    <row r="1407" spans="1:9" x14ac:dyDescent="0.4">
      <c r="A1407" t="s">
        <v>61</v>
      </c>
      <c r="B1407" s="1">
        <v>45505</v>
      </c>
      <c r="C1407">
        <v>870840</v>
      </c>
      <c r="D1407" t="s">
        <v>176</v>
      </c>
      <c r="E1407">
        <v>89787815</v>
      </c>
      <c r="F1407">
        <v>4289498</v>
      </c>
      <c r="G1407">
        <v>300563</v>
      </c>
      <c r="H1407">
        <f>_xlfn.XLOOKUP(FACT_IMPORTS[[#This Row],[hts_6]],DIM_PRODUCTS[hts_6],DIM_PRODUCTS[hts_4],,,)</f>
        <v>8708</v>
      </c>
      <c r="I1407" t="str" cm="1">
        <f t="array" ref="I1407">_xlfn.XLOOKUP(FACT_IMPORTS[[#This Row],[country_name]],DIM_COUNTRY[[#All],[Column2]],DIM_COUNTRY[[#All],[Column3]],,,)</f>
        <v>USMCA</v>
      </c>
    </row>
    <row r="1408" spans="1:9" x14ac:dyDescent="0.4">
      <c r="A1408" t="s">
        <v>61</v>
      </c>
      <c r="B1408" s="1">
        <v>45505</v>
      </c>
      <c r="C1408">
        <v>870850</v>
      </c>
      <c r="D1408" t="s">
        <v>176</v>
      </c>
      <c r="E1408">
        <v>27856823</v>
      </c>
      <c r="F1408">
        <v>1745781</v>
      </c>
      <c r="G1408">
        <v>142864</v>
      </c>
      <c r="H1408">
        <f>_xlfn.XLOOKUP(FACT_IMPORTS[[#This Row],[hts_6]],DIM_PRODUCTS[hts_6],DIM_PRODUCTS[hts_4],,,)</f>
        <v>8708</v>
      </c>
      <c r="I1408" t="str" cm="1">
        <f t="array" ref="I1408">_xlfn.XLOOKUP(FACT_IMPORTS[[#This Row],[country_name]],DIM_COUNTRY[[#All],[Column2]],DIM_COUNTRY[[#All],[Column3]],,,)</f>
        <v>USMCA</v>
      </c>
    </row>
    <row r="1409" spans="1:9" x14ac:dyDescent="0.4">
      <c r="A1409" t="s">
        <v>61</v>
      </c>
      <c r="B1409" s="1">
        <v>45505</v>
      </c>
      <c r="C1409">
        <v>870870</v>
      </c>
      <c r="D1409" t="s">
        <v>176</v>
      </c>
      <c r="E1409">
        <v>5487676</v>
      </c>
      <c r="F1409">
        <v>4949896</v>
      </c>
      <c r="G1409">
        <v>50265</v>
      </c>
      <c r="H1409">
        <f>_xlfn.XLOOKUP(FACT_IMPORTS[[#This Row],[hts_6]],DIM_PRODUCTS[hts_6],DIM_PRODUCTS[hts_4],,,)</f>
        <v>8708</v>
      </c>
      <c r="I1409" t="str" cm="1">
        <f t="array" ref="I1409">_xlfn.XLOOKUP(FACT_IMPORTS[[#This Row],[country_name]],DIM_COUNTRY[[#All],[Column2]],DIM_COUNTRY[[#All],[Column3]],,,)</f>
        <v>USMCA</v>
      </c>
    </row>
    <row r="1410" spans="1:9" x14ac:dyDescent="0.4">
      <c r="A1410" t="s">
        <v>61</v>
      </c>
      <c r="B1410" s="1">
        <v>45505</v>
      </c>
      <c r="C1410">
        <v>870880</v>
      </c>
      <c r="D1410" t="s">
        <v>176</v>
      </c>
      <c r="E1410">
        <v>71050265</v>
      </c>
      <c r="F1410">
        <v>3230379</v>
      </c>
      <c r="G1410">
        <v>1111818</v>
      </c>
      <c r="H1410">
        <f>_xlfn.XLOOKUP(FACT_IMPORTS[[#This Row],[hts_6]],DIM_PRODUCTS[hts_6],DIM_PRODUCTS[hts_4],,,)</f>
        <v>8708</v>
      </c>
      <c r="I1410" t="str" cm="1">
        <f t="array" ref="I1410">_xlfn.XLOOKUP(FACT_IMPORTS[[#This Row],[country_name]],DIM_COUNTRY[[#All],[Column2]],DIM_COUNTRY[[#All],[Column3]],,,)</f>
        <v>USMCA</v>
      </c>
    </row>
    <row r="1411" spans="1:9" x14ac:dyDescent="0.4">
      <c r="A1411" t="s">
        <v>61</v>
      </c>
      <c r="B1411" s="1">
        <v>45505</v>
      </c>
      <c r="C1411">
        <v>870891</v>
      </c>
      <c r="D1411" t="s">
        <v>176</v>
      </c>
      <c r="E1411">
        <v>15313371</v>
      </c>
      <c r="F1411">
        <v>765328</v>
      </c>
      <c r="G1411">
        <v>156192</v>
      </c>
      <c r="H1411">
        <f>_xlfn.XLOOKUP(FACT_IMPORTS[[#This Row],[hts_6]],DIM_PRODUCTS[hts_6],DIM_PRODUCTS[hts_4],,,)</f>
        <v>8708</v>
      </c>
      <c r="I1411" t="str" cm="1">
        <f t="array" ref="I1411">_xlfn.XLOOKUP(FACT_IMPORTS[[#This Row],[country_name]],DIM_COUNTRY[[#All],[Column2]],DIM_COUNTRY[[#All],[Column3]],,,)</f>
        <v>USMCA</v>
      </c>
    </row>
    <row r="1412" spans="1:9" x14ac:dyDescent="0.4">
      <c r="A1412" t="s">
        <v>61</v>
      </c>
      <c r="B1412" s="1">
        <v>45505</v>
      </c>
      <c r="C1412">
        <v>870892</v>
      </c>
      <c r="D1412" t="s">
        <v>176</v>
      </c>
      <c r="E1412">
        <v>19765880</v>
      </c>
      <c r="F1412">
        <v>982769</v>
      </c>
      <c r="G1412">
        <v>328524</v>
      </c>
      <c r="H1412">
        <f>_xlfn.XLOOKUP(FACT_IMPORTS[[#This Row],[hts_6]],DIM_PRODUCTS[hts_6],DIM_PRODUCTS[hts_4],,,)</f>
        <v>8708</v>
      </c>
      <c r="I1412" t="str" cm="1">
        <f t="array" ref="I1412">_xlfn.XLOOKUP(FACT_IMPORTS[[#This Row],[country_name]],DIM_COUNTRY[[#All],[Column2]],DIM_COUNTRY[[#All],[Column3]],,,)</f>
        <v>USMCA</v>
      </c>
    </row>
    <row r="1413" spans="1:9" x14ac:dyDescent="0.4">
      <c r="A1413" t="s">
        <v>61</v>
      </c>
      <c r="B1413" s="1">
        <v>45505</v>
      </c>
      <c r="C1413">
        <v>870893</v>
      </c>
      <c r="D1413" t="s">
        <v>176</v>
      </c>
      <c r="E1413">
        <v>51701484</v>
      </c>
      <c r="F1413">
        <v>1109454</v>
      </c>
      <c r="G1413">
        <v>66468</v>
      </c>
      <c r="H1413">
        <f>_xlfn.XLOOKUP(FACT_IMPORTS[[#This Row],[hts_6]],DIM_PRODUCTS[hts_6],DIM_PRODUCTS[hts_4],,,)</f>
        <v>8708</v>
      </c>
      <c r="I1413" t="str" cm="1">
        <f t="array" ref="I1413">_xlfn.XLOOKUP(FACT_IMPORTS[[#This Row],[country_name]],DIM_COUNTRY[[#All],[Column2]],DIM_COUNTRY[[#All],[Column3]],,,)</f>
        <v>USMCA</v>
      </c>
    </row>
    <row r="1414" spans="1:9" x14ac:dyDescent="0.4">
      <c r="A1414" t="s">
        <v>61</v>
      </c>
      <c r="B1414" s="1">
        <v>45505</v>
      </c>
      <c r="C1414">
        <v>870894</v>
      </c>
      <c r="D1414" t="s">
        <v>176</v>
      </c>
      <c r="E1414">
        <v>12106501</v>
      </c>
      <c r="F1414">
        <v>3046721</v>
      </c>
      <c r="G1414">
        <v>123529</v>
      </c>
      <c r="H1414">
        <f>_xlfn.XLOOKUP(FACT_IMPORTS[[#This Row],[hts_6]],DIM_PRODUCTS[hts_6],DIM_PRODUCTS[hts_4],,,)</f>
        <v>8708</v>
      </c>
      <c r="I1414" t="str" cm="1">
        <f t="array" ref="I1414">_xlfn.XLOOKUP(FACT_IMPORTS[[#This Row],[country_name]],DIM_COUNTRY[[#All],[Column2]],DIM_COUNTRY[[#All],[Column3]],,,)</f>
        <v>USMCA</v>
      </c>
    </row>
    <row r="1415" spans="1:9" x14ac:dyDescent="0.4">
      <c r="A1415" t="s">
        <v>61</v>
      </c>
      <c r="B1415" s="1">
        <v>45505</v>
      </c>
      <c r="C1415">
        <v>870895</v>
      </c>
      <c r="D1415" t="s">
        <v>176</v>
      </c>
      <c r="E1415">
        <v>1571912</v>
      </c>
      <c r="F1415">
        <v>1125859</v>
      </c>
      <c r="G1415">
        <v>24122</v>
      </c>
      <c r="H1415">
        <f>_xlfn.XLOOKUP(FACT_IMPORTS[[#This Row],[hts_6]],DIM_PRODUCTS[hts_6],DIM_PRODUCTS[hts_4],,,)</f>
        <v>8708</v>
      </c>
      <c r="I1415" t="str" cm="1">
        <f t="array" ref="I1415">_xlfn.XLOOKUP(FACT_IMPORTS[[#This Row],[country_name]],DIM_COUNTRY[[#All],[Column2]],DIM_COUNTRY[[#All],[Column3]],,,)</f>
        <v>USMCA</v>
      </c>
    </row>
    <row r="1416" spans="1:9" x14ac:dyDescent="0.4">
      <c r="A1416" t="s">
        <v>61</v>
      </c>
      <c r="B1416" s="1">
        <v>45505</v>
      </c>
      <c r="C1416">
        <v>870899</v>
      </c>
      <c r="D1416" t="s">
        <v>176</v>
      </c>
      <c r="E1416">
        <v>173927497</v>
      </c>
      <c r="F1416">
        <v>15440175</v>
      </c>
      <c r="G1416">
        <v>1794379</v>
      </c>
      <c r="H1416">
        <f>_xlfn.XLOOKUP(FACT_IMPORTS[[#This Row],[hts_6]],DIM_PRODUCTS[hts_6],DIM_PRODUCTS[hts_4],,,)</f>
        <v>8708</v>
      </c>
      <c r="I1416" t="str" cm="1">
        <f t="array" ref="I1416">_xlfn.XLOOKUP(FACT_IMPORTS[[#This Row],[country_name]],DIM_COUNTRY[[#All],[Column2]],DIM_COUNTRY[[#All],[Column3]],,,)</f>
        <v>USMCA</v>
      </c>
    </row>
    <row r="1417" spans="1:9" x14ac:dyDescent="0.4">
      <c r="A1417" t="s">
        <v>61</v>
      </c>
      <c r="B1417" s="1">
        <v>45505</v>
      </c>
      <c r="C1417">
        <v>940120</v>
      </c>
      <c r="D1417" t="s">
        <v>176</v>
      </c>
      <c r="E1417">
        <v>774093</v>
      </c>
      <c r="F1417">
        <v>38472</v>
      </c>
      <c r="G1417">
        <v>9893</v>
      </c>
      <c r="H1417">
        <f>_xlfn.XLOOKUP(FACT_IMPORTS[[#This Row],[hts_6]],DIM_PRODUCTS[hts_6],DIM_PRODUCTS[hts_4],,,)</f>
        <v>9401</v>
      </c>
      <c r="I1417" t="str" cm="1">
        <f t="array" ref="I1417">_xlfn.XLOOKUP(FACT_IMPORTS[[#This Row],[country_name]],DIM_COUNTRY[[#All],[Column2]],DIM_COUNTRY[[#All],[Column3]],,,)</f>
        <v>USMCA</v>
      </c>
    </row>
    <row r="1418" spans="1:9" x14ac:dyDescent="0.4">
      <c r="A1418" t="s">
        <v>61</v>
      </c>
      <c r="B1418" s="1">
        <v>45536</v>
      </c>
      <c r="C1418">
        <v>392630</v>
      </c>
      <c r="D1418" t="s">
        <v>176</v>
      </c>
      <c r="E1418">
        <v>3289414</v>
      </c>
      <c r="F1418">
        <v>453824</v>
      </c>
      <c r="G1418">
        <v>209157</v>
      </c>
      <c r="H1418">
        <f>_xlfn.XLOOKUP(FACT_IMPORTS[[#This Row],[hts_6]],DIM_PRODUCTS[hts_6],DIM_PRODUCTS[hts_4],,,)</f>
        <v>3926</v>
      </c>
      <c r="I1418" t="str" cm="1">
        <f t="array" ref="I1418">_xlfn.XLOOKUP(FACT_IMPORTS[[#This Row],[country_name]],DIM_COUNTRY[[#All],[Column2]],DIM_COUNTRY[[#All],[Column3]],,,)</f>
        <v>USMCA</v>
      </c>
    </row>
    <row r="1419" spans="1:9" x14ac:dyDescent="0.4">
      <c r="A1419" t="s">
        <v>61</v>
      </c>
      <c r="B1419" s="1">
        <v>45536</v>
      </c>
      <c r="C1419">
        <v>401110</v>
      </c>
      <c r="D1419" t="s">
        <v>176</v>
      </c>
      <c r="E1419">
        <v>51640792</v>
      </c>
      <c r="F1419">
        <v>670771</v>
      </c>
      <c r="G1419">
        <v>304044</v>
      </c>
      <c r="H1419">
        <f>_xlfn.XLOOKUP(FACT_IMPORTS[[#This Row],[hts_6]],DIM_PRODUCTS[hts_6],DIM_PRODUCTS[hts_4],,,)</f>
        <v>4011</v>
      </c>
      <c r="I1419" t="str" cm="1">
        <f t="array" ref="I1419">_xlfn.XLOOKUP(FACT_IMPORTS[[#This Row],[country_name]],DIM_COUNTRY[[#All],[Column2]],DIM_COUNTRY[[#All],[Column3]],,,)</f>
        <v>USMCA</v>
      </c>
    </row>
    <row r="1420" spans="1:9" x14ac:dyDescent="0.4">
      <c r="A1420" t="s">
        <v>61</v>
      </c>
      <c r="B1420" s="1">
        <v>45536</v>
      </c>
      <c r="C1420">
        <v>401120</v>
      </c>
      <c r="D1420" t="s">
        <v>176</v>
      </c>
      <c r="E1420">
        <v>55539348</v>
      </c>
      <c r="F1420">
        <v>315022</v>
      </c>
      <c r="G1420">
        <v>384666</v>
      </c>
      <c r="H1420">
        <f>_xlfn.XLOOKUP(FACT_IMPORTS[[#This Row],[hts_6]],DIM_PRODUCTS[hts_6],DIM_PRODUCTS[hts_4],,,)</f>
        <v>4011</v>
      </c>
      <c r="I1420" t="str" cm="1">
        <f t="array" ref="I1420">_xlfn.XLOOKUP(FACT_IMPORTS[[#This Row],[country_name]],DIM_COUNTRY[[#All],[Column2]],DIM_COUNTRY[[#All],[Column3]],,,)</f>
        <v>USMCA</v>
      </c>
    </row>
    <row r="1421" spans="1:9" x14ac:dyDescent="0.4">
      <c r="A1421" t="s">
        <v>61</v>
      </c>
      <c r="B1421" s="1">
        <v>45536</v>
      </c>
      <c r="C1421">
        <v>401140</v>
      </c>
      <c r="D1421" t="s">
        <v>176</v>
      </c>
      <c r="E1421">
        <v>19827</v>
      </c>
      <c r="F1421">
        <v>336</v>
      </c>
      <c r="G1421">
        <v>84</v>
      </c>
      <c r="H1421">
        <f>_xlfn.XLOOKUP(FACT_IMPORTS[[#This Row],[hts_6]],DIM_PRODUCTS[hts_6],DIM_PRODUCTS[hts_4],,,)</f>
        <v>4011</v>
      </c>
      <c r="I1421" t="str" cm="1">
        <f t="array" ref="I1421">_xlfn.XLOOKUP(FACT_IMPORTS[[#This Row],[country_name]],DIM_COUNTRY[[#All],[Column2]],DIM_COUNTRY[[#All],[Column3]],,,)</f>
        <v>USMCA</v>
      </c>
    </row>
    <row r="1422" spans="1:9" x14ac:dyDescent="0.4">
      <c r="A1422" t="s">
        <v>61</v>
      </c>
      <c r="B1422" s="1">
        <v>45536</v>
      </c>
      <c r="C1422">
        <v>401190</v>
      </c>
      <c r="D1422" t="s">
        <v>176</v>
      </c>
      <c r="E1422">
        <v>256329</v>
      </c>
      <c r="F1422">
        <v>354</v>
      </c>
      <c r="G1422">
        <v>716</v>
      </c>
      <c r="H1422">
        <f>_xlfn.XLOOKUP(FACT_IMPORTS[[#This Row],[hts_6]],DIM_PRODUCTS[hts_6],DIM_PRODUCTS[hts_4],,,)</f>
        <v>4011</v>
      </c>
      <c r="I1422" t="str" cm="1">
        <f t="array" ref="I1422">_xlfn.XLOOKUP(FACT_IMPORTS[[#This Row],[country_name]],DIM_COUNTRY[[#All],[Column2]],DIM_COUNTRY[[#All],[Column3]],,,)</f>
        <v>USMCA</v>
      </c>
    </row>
    <row r="1423" spans="1:9" x14ac:dyDescent="0.4">
      <c r="A1423" t="s">
        <v>61</v>
      </c>
      <c r="B1423" s="1">
        <v>45536</v>
      </c>
      <c r="C1423">
        <v>700711</v>
      </c>
      <c r="D1423" t="s">
        <v>176</v>
      </c>
      <c r="E1423">
        <v>520623</v>
      </c>
      <c r="F1423">
        <v>1055</v>
      </c>
      <c r="G1423">
        <v>3954</v>
      </c>
      <c r="H1423">
        <f>_xlfn.XLOOKUP(FACT_IMPORTS[[#This Row],[hts_6]],DIM_PRODUCTS[hts_6],DIM_PRODUCTS[hts_4],,,)</f>
        <v>7007</v>
      </c>
      <c r="I1423" t="str" cm="1">
        <f t="array" ref="I1423">_xlfn.XLOOKUP(FACT_IMPORTS[[#This Row],[country_name]],DIM_COUNTRY[[#All],[Column2]],DIM_COUNTRY[[#All],[Column3]],,,)</f>
        <v>USMCA</v>
      </c>
    </row>
    <row r="1424" spans="1:9" x14ac:dyDescent="0.4">
      <c r="A1424" t="s">
        <v>61</v>
      </c>
      <c r="B1424" s="1">
        <v>45536</v>
      </c>
      <c r="C1424">
        <v>700721</v>
      </c>
      <c r="D1424" t="s">
        <v>176</v>
      </c>
      <c r="E1424">
        <v>39128</v>
      </c>
      <c r="F1424">
        <v>151</v>
      </c>
      <c r="G1424">
        <v>1554</v>
      </c>
      <c r="H1424">
        <f>_xlfn.XLOOKUP(FACT_IMPORTS[[#This Row],[hts_6]],DIM_PRODUCTS[hts_6],DIM_PRODUCTS[hts_4],,,)</f>
        <v>7007</v>
      </c>
      <c r="I1424" t="str" cm="1">
        <f t="array" ref="I1424">_xlfn.XLOOKUP(FACT_IMPORTS[[#This Row],[country_name]],DIM_COUNTRY[[#All],[Column2]],DIM_COUNTRY[[#All],[Column3]],,,)</f>
        <v>USMCA</v>
      </c>
    </row>
    <row r="1425" spans="1:9" x14ac:dyDescent="0.4">
      <c r="A1425" t="s">
        <v>61</v>
      </c>
      <c r="B1425" s="1">
        <v>45536</v>
      </c>
      <c r="C1425">
        <v>700910</v>
      </c>
      <c r="D1425" t="s">
        <v>176</v>
      </c>
      <c r="E1425">
        <v>238395</v>
      </c>
      <c r="F1425">
        <v>3701</v>
      </c>
      <c r="G1425">
        <v>3711</v>
      </c>
      <c r="H1425">
        <f>_xlfn.XLOOKUP(FACT_IMPORTS[[#This Row],[hts_6]],DIM_PRODUCTS[hts_6],DIM_PRODUCTS[hts_4],,,)</f>
        <v>7009</v>
      </c>
      <c r="I1425" t="str" cm="1">
        <f t="array" ref="I1425">_xlfn.XLOOKUP(FACT_IMPORTS[[#This Row],[country_name]],DIM_COUNTRY[[#All],[Column2]],DIM_COUNTRY[[#All],[Column3]],,,)</f>
        <v>USMCA</v>
      </c>
    </row>
    <row r="1426" spans="1:9" x14ac:dyDescent="0.4">
      <c r="A1426" t="s">
        <v>61</v>
      </c>
      <c r="B1426" s="1">
        <v>45536</v>
      </c>
      <c r="C1426">
        <v>732010</v>
      </c>
      <c r="D1426" t="s">
        <v>176</v>
      </c>
      <c r="E1426">
        <v>3513811</v>
      </c>
      <c r="F1426">
        <v>1121069</v>
      </c>
      <c r="G1426">
        <v>24408</v>
      </c>
      <c r="H1426">
        <f>_xlfn.XLOOKUP(FACT_IMPORTS[[#This Row],[hts_6]],DIM_PRODUCTS[hts_6],DIM_PRODUCTS[hts_4],,,)</f>
        <v>7320</v>
      </c>
      <c r="I1426" t="str" cm="1">
        <f t="array" ref="I1426">_xlfn.XLOOKUP(FACT_IMPORTS[[#This Row],[country_name]],DIM_COUNTRY[[#All],[Column2]],DIM_COUNTRY[[#All],[Column3]],,,)</f>
        <v>USMCA</v>
      </c>
    </row>
    <row r="1427" spans="1:9" x14ac:dyDescent="0.4">
      <c r="A1427" t="s">
        <v>61</v>
      </c>
      <c r="B1427" s="1">
        <v>45536</v>
      </c>
      <c r="C1427">
        <v>830230</v>
      </c>
      <c r="D1427" t="s">
        <v>176</v>
      </c>
      <c r="E1427">
        <v>34248461</v>
      </c>
      <c r="F1427">
        <v>6799741</v>
      </c>
      <c r="G1427">
        <v>1128995</v>
      </c>
      <c r="H1427">
        <f>_xlfn.XLOOKUP(FACT_IMPORTS[[#This Row],[hts_6]],DIM_PRODUCTS[hts_6],DIM_PRODUCTS[hts_4],,,)</f>
        <v>8302</v>
      </c>
      <c r="I1427" t="str" cm="1">
        <f t="array" ref="I1427">_xlfn.XLOOKUP(FACT_IMPORTS[[#This Row],[country_name]],DIM_COUNTRY[[#All],[Column2]],DIM_COUNTRY[[#All],[Column3]],,,)</f>
        <v>USMCA</v>
      </c>
    </row>
    <row r="1428" spans="1:9" x14ac:dyDescent="0.4">
      <c r="A1428" t="s">
        <v>61</v>
      </c>
      <c r="B1428" s="1">
        <v>45536</v>
      </c>
      <c r="C1428">
        <v>840731</v>
      </c>
      <c r="D1428" t="s">
        <v>176</v>
      </c>
      <c r="E1428">
        <v>0</v>
      </c>
      <c r="F1428">
        <v>0</v>
      </c>
      <c r="G1428">
        <v>0</v>
      </c>
      <c r="H1428">
        <f>_xlfn.XLOOKUP(FACT_IMPORTS[[#This Row],[hts_6]],DIM_PRODUCTS[hts_6],DIM_PRODUCTS[hts_4],,,)</f>
        <v>8407</v>
      </c>
      <c r="I1428" t="str" cm="1">
        <f t="array" ref="I1428">_xlfn.XLOOKUP(FACT_IMPORTS[[#This Row],[country_name]],DIM_COUNTRY[[#All],[Column2]],DIM_COUNTRY[[#All],[Column3]],,,)</f>
        <v>USMCA</v>
      </c>
    </row>
    <row r="1429" spans="1:9" x14ac:dyDescent="0.4">
      <c r="A1429" t="s">
        <v>61</v>
      </c>
      <c r="B1429" s="1">
        <v>45536</v>
      </c>
      <c r="C1429">
        <v>840732</v>
      </c>
      <c r="D1429" t="s">
        <v>176</v>
      </c>
      <c r="E1429">
        <v>0</v>
      </c>
      <c r="F1429">
        <v>0</v>
      </c>
      <c r="G1429">
        <v>0</v>
      </c>
      <c r="H1429">
        <f>_xlfn.XLOOKUP(FACT_IMPORTS[[#This Row],[hts_6]],DIM_PRODUCTS[hts_6],DIM_PRODUCTS[hts_4],,,)</f>
        <v>8407</v>
      </c>
      <c r="I1429" t="str" cm="1">
        <f t="array" ref="I1429">_xlfn.XLOOKUP(FACT_IMPORTS[[#This Row],[country_name]],DIM_COUNTRY[[#All],[Column2]],DIM_COUNTRY[[#All],[Column3]],,,)</f>
        <v>USMCA</v>
      </c>
    </row>
    <row r="1430" spans="1:9" x14ac:dyDescent="0.4">
      <c r="A1430" t="s">
        <v>61</v>
      </c>
      <c r="B1430" s="1">
        <v>45536</v>
      </c>
      <c r="C1430">
        <v>840733</v>
      </c>
      <c r="D1430" t="s">
        <v>176</v>
      </c>
      <c r="E1430">
        <v>26000</v>
      </c>
      <c r="F1430">
        <v>4</v>
      </c>
      <c r="G1430">
        <v>3386</v>
      </c>
      <c r="H1430">
        <f>_xlfn.XLOOKUP(FACT_IMPORTS[[#This Row],[hts_6]],DIM_PRODUCTS[hts_6],DIM_PRODUCTS[hts_4],,,)</f>
        <v>8407</v>
      </c>
      <c r="I1430" t="str" cm="1">
        <f t="array" ref="I1430">_xlfn.XLOOKUP(FACT_IMPORTS[[#This Row],[country_name]],DIM_COUNTRY[[#All],[Column2]],DIM_COUNTRY[[#All],[Column3]],,,)</f>
        <v>USMCA</v>
      </c>
    </row>
    <row r="1431" spans="1:9" x14ac:dyDescent="0.4">
      <c r="A1431" t="s">
        <v>61</v>
      </c>
      <c r="B1431" s="1">
        <v>45536</v>
      </c>
      <c r="C1431">
        <v>840734</v>
      </c>
      <c r="D1431" t="s">
        <v>176</v>
      </c>
      <c r="E1431">
        <v>189212696</v>
      </c>
      <c r="F1431">
        <v>56111</v>
      </c>
      <c r="G1431">
        <v>72192</v>
      </c>
      <c r="H1431">
        <f>_xlfn.XLOOKUP(FACT_IMPORTS[[#This Row],[hts_6]],DIM_PRODUCTS[hts_6],DIM_PRODUCTS[hts_4],,,)</f>
        <v>8407</v>
      </c>
      <c r="I1431" t="str" cm="1">
        <f t="array" ref="I1431">_xlfn.XLOOKUP(FACT_IMPORTS[[#This Row],[country_name]],DIM_COUNTRY[[#All],[Column2]],DIM_COUNTRY[[#All],[Column3]],,,)</f>
        <v>USMCA</v>
      </c>
    </row>
    <row r="1432" spans="1:9" x14ac:dyDescent="0.4">
      <c r="A1432" t="s">
        <v>61</v>
      </c>
      <c r="B1432" s="1">
        <v>45536</v>
      </c>
      <c r="C1432">
        <v>840790</v>
      </c>
      <c r="D1432" t="s">
        <v>176</v>
      </c>
      <c r="E1432">
        <v>6584661</v>
      </c>
      <c r="F1432">
        <v>3284</v>
      </c>
      <c r="G1432">
        <v>2600</v>
      </c>
      <c r="H1432">
        <f>_xlfn.XLOOKUP(FACT_IMPORTS[[#This Row],[hts_6]],DIM_PRODUCTS[hts_6],DIM_PRODUCTS[hts_4],,,)</f>
        <v>8407</v>
      </c>
      <c r="I1432" t="str" cm="1">
        <f t="array" ref="I1432">_xlfn.XLOOKUP(FACT_IMPORTS[[#This Row],[country_name]],DIM_COUNTRY[[#All],[Column2]],DIM_COUNTRY[[#All],[Column3]],,,)</f>
        <v>USMCA</v>
      </c>
    </row>
    <row r="1433" spans="1:9" x14ac:dyDescent="0.4">
      <c r="A1433" t="s">
        <v>61</v>
      </c>
      <c r="B1433" s="1">
        <v>45536</v>
      </c>
      <c r="C1433">
        <v>840820</v>
      </c>
      <c r="D1433" t="s">
        <v>176</v>
      </c>
      <c r="E1433">
        <v>610521</v>
      </c>
      <c r="F1433">
        <v>31</v>
      </c>
      <c r="G1433">
        <v>4686</v>
      </c>
      <c r="H1433">
        <f>_xlfn.XLOOKUP(FACT_IMPORTS[[#This Row],[hts_6]],DIM_PRODUCTS[hts_6],DIM_PRODUCTS[hts_4],,,)</f>
        <v>8408</v>
      </c>
      <c r="I1433" t="str" cm="1">
        <f t="array" ref="I1433">_xlfn.XLOOKUP(FACT_IMPORTS[[#This Row],[country_name]],DIM_COUNTRY[[#All],[Column2]],DIM_COUNTRY[[#All],[Column3]],,,)</f>
        <v>USMCA</v>
      </c>
    </row>
    <row r="1434" spans="1:9" x14ac:dyDescent="0.4">
      <c r="A1434" t="s">
        <v>61</v>
      </c>
      <c r="B1434" s="1">
        <v>45536</v>
      </c>
      <c r="C1434">
        <v>840890</v>
      </c>
      <c r="D1434" t="s">
        <v>176</v>
      </c>
      <c r="E1434">
        <v>288023</v>
      </c>
      <c r="F1434">
        <v>22</v>
      </c>
      <c r="G1434">
        <v>1857</v>
      </c>
      <c r="H1434">
        <f>_xlfn.XLOOKUP(FACT_IMPORTS[[#This Row],[hts_6]],DIM_PRODUCTS[hts_6],DIM_PRODUCTS[hts_4],,,)</f>
        <v>8408</v>
      </c>
      <c r="I1434" t="str" cm="1">
        <f t="array" ref="I1434">_xlfn.XLOOKUP(FACT_IMPORTS[[#This Row],[country_name]],DIM_COUNTRY[[#All],[Column2]],DIM_COUNTRY[[#All],[Column3]],,,)</f>
        <v>USMCA</v>
      </c>
    </row>
    <row r="1435" spans="1:9" x14ac:dyDescent="0.4">
      <c r="A1435" t="s">
        <v>61</v>
      </c>
      <c r="B1435" s="1">
        <v>45536</v>
      </c>
      <c r="C1435">
        <v>840991</v>
      </c>
      <c r="D1435" t="s">
        <v>176</v>
      </c>
      <c r="E1435">
        <v>35830968</v>
      </c>
      <c r="F1435">
        <v>2981505</v>
      </c>
      <c r="G1435">
        <v>138534</v>
      </c>
      <c r="H1435">
        <f>_xlfn.XLOOKUP(FACT_IMPORTS[[#This Row],[hts_6]],DIM_PRODUCTS[hts_6],DIM_PRODUCTS[hts_4],,,)</f>
        <v>8409</v>
      </c>
      <c r="I1435" t="str" cm="1">
        <f t="array" ref="I1435">_xlfn.XLOOKUP(FACT_IMPORTS[[#This Row],[country_name]],DIM_COUNTRY[[#All],[Column2]],DIM_COUNTRY[[#All],[Column3]],,,)</f>
        <v>USMCA</v>
      </c>
    </row>
    <row r="1436" spans="1:9" x14ac:dyDescent="0.4">
      <c r="A1436" t="s">
        <v>61</v>
      </c>
      <c r="B1436" s="1">
        <v>45536</v>
      </c>
      <c r="C1436">
        <v>840999</v>
      </c>
      <c r="D1436" t="s">
        <v>176</v>
      </c>
      <c r="E1436">
        <v>11445103</v>
      </c>
      <c r="F1436">
        <v>1025634</v>
      </c>
      <c r="G1436">
        <v>84452</v>
      </c>
      <c r="H1436">
        <f>_xlfn.XLOOKUP(FACT_IMPORTS[[#This Row],[hts_6]],DIM_PRODUCTS[hts_6],DIM_PRODUCTS[hts_4],,,)</f>
        <v>8409</v>
      </c>
      <c r="I1436" t="str" cm="1">
        <f t="array" ref="I1436">_xlfn.XLOOKUP(FACT_IMPORTS[[#This Row],[country_name]],DIM_COUNTRY[[#All],[Column2]],DIM_COUNTRY[[#All],[Column3]],,,)</f>
        <v>USMCA</v>
      </c>
    </row>
    <row r="1437" spans="1:9" x14ac:dyDescent="0.4">
      <c r="A1437" t="s">
        <v>61</v>
      </c>
      <c r="B1437" s="1">
        <v>45536</v>
      </c>
      <c r="C1437">
        <v>841330</v>
      </c>
      <c r="D1437" t="s">
        <v>176</v>
      </c>
      <c r="E1437">
        <v>8959411</v>
      </c>
      <c r="F1437">
        <v>174764</v>
      </c>
      <c r="G1437">
        <v>25707</v>
      </c>
      <c r="H1437">
        <f>_xlfn.XLOOKUP(FACT_IMPORTS[[#This Row],[hts_6]],DIM_PRODUCTS[hts_6],DIM_PRODUCTS[hts_4],,,)</f>
        <v>8413</v>
      </c>
      <c r="I1437" t="str" cm="1">
        <f t="array" ref="I1437">_xlfn.XLOOKUP(FACT_IMPORTS[[#This Row],[country_name]],DIM_COUNTRY[[#All],[Column2]],DIM_COUNTRY[[#All],[Column3]],,,)</f>
        <v>USMCA</v>
      </c>
    </row>
    <row r="1438" spans="1:9" x14ac:dyDescent="0.4">
      <c r="A1438" t="s">
        <v>61</v>
      </c>
      <c r="B1438" s="1">
        <v>45536</v>
      </c>
      <c r="C1438">
        <v>841520</v>
      </c>
      <c r="D1438" t="s">
        <v>176</v>
      </c>
      <c r="E1438">
        <v>4414627</v>
      </c>
      <c r="F1438">
        <v>21319</v>
      </c>
      <c r="G1438">
        <v>70100</v>
      </c>
      <c r="H1438">
        <f>_xlfn.XLOOKUP(FACT_IMPORTS[[#This Row],[hts_6]],DIM_PRODUCTS[hts_6],DIM_PRODUCTS[hts_4],,,)</f>
        <v>8415</v>
      </c>
      <c r="I1438" t="str" cm="1">
        <f t="array" ref="I1438">_xlfn.XLOOKUP(FACT_IMPORTS[[#This Row],[country_name]],DIM_COUNTRY[[#All],[Column2]],DIM_COUNTRY[[#All],[Column3]],,,)</f>
        <v>USMCA</v>
      </c>
    </row>
    <row r="1439" spans="1:9" x14ac:dyDescent="0.4">
      <c r="A1439" t="s">
        <v>61</v>
      </c>
      <c r="B1439" s="1">
        <v>45536</v>
      </c>
      <c r="C1439">
        <v>842132</v>
      </c>
      <c r="D1439" t="s">
        <v>176</v>
      </c>
      <c r="E1439">
        <v>15101268</v>
      </c>
      <c r="F1439">
        <v>43909</v>
      </c>
      <c r="G1439">
        <v>59008</v>
      </c>
      <c r="H1439">
        <f>_xlfn.XLOOKUP(FACT_IMPORTS[[#This Row],[hts_6]],DIM_PRODUCTS[hts_6],DIM_PRODUCTS[hts_4],,,)</f>
        <v>8421</v>
      </c>
      <c r="I1439" t="str" cm="1">
        <f t="array" ref="I1439">_xlfn.XLOOKUP(FACT_IMPORTS[[#This Row],[country_name]],DIM_COUNTRY[[#All],[Column2]],DIM_COUNTRY[[#All],[Column3]],,,)</f>
        <v>USMCA</v>
      </c>
    </row>
    <row r="1440" spans="1:9" x14ac:dyDescent="0.4">
      <c r="A1440" t="s">
        <v>61</v>
      </c>
      <c r="B1440" s="1">
        <v>45536</v>
      </c>
      <c r="C1440">
        <v>848210</v>
      </c>
      <c r="D1440" t="s">
        <v>176</v>
      </c>
      <c r="E1440">
        <v>3445639</v>
      </c>
      <c r="F1440">
        <v>372197</v>
      </c>
      <c r="G1440">
        <v>53185</v>
      </c>
      <c r="H1440">
        <f>_xlfn.XLOOKUP(FACT_IMPORTS[[#This Row],[hts_6]],DIM_PRODUCTS[hts_6],DIM_PRODUCTS[hts_4],,,)</f>
        <v>8482</v>
      </c>
      <c r="I1440" t="str" cm="1">
        <f t="array" ref="I1440">_xlfn.XLOOKUP(FACT_IMPORTS[[#This Row],[country_name]],DIM_COUNTRY[[#All],[Column2]],DIM_COUNTRY[[#All],[Column3]],,,)</f>
        <v>USMCA</v>
      </c>
    </row>
    <row r="1441" spans="1:9" x14ac:dyDescent="0.4">
      <c r="A1441" t="s">
        <v>61</v>
      </c>
      <c r="B1441" s="1">
        <v>45536</v>
      </c>
      <c r="C1441">
        <v>848220</v>
      </c>
      <c r="D1441" t="s">
        <v>176</v>
      </c>
      <c r="E1441">
        <v>1189457</v>
      </c>
      <c r="F1441">
        <v>24734</v>
      </c>
      <c r="G1441">
        <v>7101</v>
      </c>
      <c r="H1441">
        <f>_xlfn.XLOOKUP(FACT_IMPORTS[[#This Row],[hts_6]],DIM_PRODUCTS[hts_6],DIM_PRODUCTS[hts_4],,,)</f>
        <v>8482</v>
      </c>
      <c r="I1441" t="str" cm="1">
        <f t="array" ref="I1441">_xlfn.XLOOKUP(FACT_IMPORTS[[#This Row],[country_name]],DIM_COUNTRY[[#All],[Column2]],DIM_COUNTRY[[#All],[Column3]],,,)</f>
        <v>USMCA</v>
      </c>
    </row>
    <row r="1442" spans="1:9" x14ac:dyDescent="0.4">
      <c r="A1442" t="s">
        <v>61</v>
      </c>
      <c r="B1442" s="1">
        <v>45536</v>
      </c>
      <c r="C1442">
        <v>848310</v>
      </c>
      <c r="D1442" t="s">
        <v>176</v>
      </c>
      <c r="E1442">
        <v>14087445</v>
      </c>
      <c r="F1442">
        <v>488679</v>
      </c>
      <c r="G1442">
        <v>63140</v>
      </c>
      <c r="H1442">
        <f>_xlfn.XLOOKUP(FACT_IMPORTS[[#This Row],[hts_6]],DIM_PRODUCTS[hts_6],DIM_PRODUCTS[hts_4],,,)</f>
        <v>8483</v>
      </c>
      <c r="I1442" t="str" cm="1">
        <f t="array" ref="I1442">_xlfn.XLOOKUP(FACT_IMPORTS[[#This Row],[country_name]],DIM_COUNTRY[[#All],[Column2]],DIM_COUNTRY[[#All],[Column3]],,,)</f>
        <v>USMCA</v>
      </c>
    </row>
    <row r="1443" spans="1:9" x14ac:dyDescent="0.4">
      <c r="A1443" t="s">
        <v>61</v>
      </c>
      <c r="B1443" s="1">
        <v>45536</v>
      </c>
      <c r="C1443">
        <v>850131</v>
      </c>
      <c r="D1443" t="s">
        <v>176</v>
      </c>
      <c r="E1443">
        <v>3480010</v>
      </c>
      <c r="F1443">
        <v>104096</v>
      </c>
      <c r="G1443">
        <v>11342</v>
      </c>
      <c r="H1443">
        <f>_xlfn.XLOOKUP(FACT_IMPORTS[[#This Row],[hts_6]],DIM_PRODUCTS[hts_6],DIM_PRODUCTS[hts_4],,,)</f>
        <v>8501</v>
      </c>
      <c r="I1443" t="str" cm="1">
        <f t="array" ref="I1443">_xlfn.XLOOKUP(FACT_IMPORTS[[#This Row],[country_name]],DIM_COUNTRY[[#All],[Column2]],DIM_COUNTRY[[#All],[Column3]],,,)</f>
        <v>USMCA</v>
      </c>
    </row>
    <row r="1444" spans="1:9" x14ac:dyDescent="0.4">
      <c r="A1444" t="s">
        <v>61</v>
      </c>
      <c r="B1444" s="1">
        <v>45536</v>
      </c>
      <c r="C1444">
        <v>850132</v>
      </c>
      <c r="D1444" t="s">
        <v>176</v>
      </c>
      <c r="E1444">
        <v>383654</v>
      </c>
      <c r="F1444">
        <v>52</v>
      </c>
      <c r="G1444">
        <v>2006</v>
      </c>
      <c r="H1444">
        <f>_xlfn.XLOOKUP(FACT_IMPORTS[[#This Row],[hts_6]],DIM_PRODUCTS[hts_6],DIM_PRODUCTS[hts_4],,,)</f>
        <v>8501</v>
      </c>
      <c r="I1444" t="str" cm="1">
        <f t="array" ref="I1444">_xlfn.XLOOKUP(FACT_IMPORTS[[#This Row],[country_name]],DIM_COUNTRY[[#All],[Column2]],DIM_COUNTRY[[#All],[Column3]],,,)</f>
        <v>USMCA</v>
      </c>
    </row>
    <row r="1445" spans="1:9" x14ac:dyDescent="0.4">
      <c r="A1445" t="s">
        <v>61</v>
      </c>
      <c r="B1445" s="1">
        <v>45536</v>
      </c>
      <c r="C1445">
        <v>850133</v>
      </c>
      <c r="D1445" t="s">
        <v>176</v>
      </c>
      <c r="E1445">
        <v>16500</v>
      </c>
      <c r="F1445">
        <v>11</v>
      </c>
      <c r="G1445">
        <v>417</v>
      </c>
      <c r="H1445">
        <f>_xlfn.XLOOKUP(FACT_IMPORTS[[#This Row],[hts_6]],DIM_PRODUCTS[hts_6],DIM_PRODUCTS[hts_4],,,)</f>
        <v>8501</v>
      </c>
      <c r="I1445" t="str" cm="1">
        <f t="array" ref="I1445">_xlfn.XLOOKUP(FACT_IMPORTS[[#This Row],[country_name]],DIM_COUNTRY[[#All],[Column2]],DIM_COUNTRY[[#All],[Column3]],,,)</f>
        <v>USMCA</v>
      </c>
    </row>
    <row r="1446" spans="1:9" x14ac:dyDescent="0.4">
      <c r="A1446" t="s">
        <v>61</v>
      </c>
      <c r="B1446" s="1">
        <v>45536</v>
      </c>
      <c r="C1446">
        <v>850134</v>
      </c>
      <c r="D1446" t="s">
        <v>176</v>
      </c>
      <c r="E1446">
        <v>0</v>
      </c>
      <c r="F1446">
        <v>0</v>
      </c>
      <c r="G1446">
        <v>0</v>
      </c>
      <c r="H1446">
        <f>_xlfn.XLOOKUP(FACT_IMPORTS[[#This Row],[hts_6]],DIM_PRODUCTS[hts_6],DIM_PRODUCTS[hts_4],,,)</f>
        <v>8501</v>
      </c>
      <c r="I1446" t="str" cm="1">
        <f t="array" ref="I1446">_xlfn.XLOOKUP(FACT_IMPORTS[[#This Row],[country_name]],DIM_COUNTRY[[#All],[Column2]],DIM_COUNTRY[[#All],[Column3]],,,)</f>
        <v>USMCA</v>
      </c>
    </row>
    <row r="1447" spans="1:9" x14ac:dyDescent="0.4">
      <c r="A1447" t="s">
        <v>61</v>
      </c>
      <c r="B1447" s="1">
        <v>45536</v>
      </c>
      <c r="C1447">
        <v>850152</v>
      </c>
      <c r="D1447" t="s">
        <v>176</v>
      </c>
      <c r="E1447">
        <v>915465</v>
      </c>
      <c r="F1447">
        <v>215</v>
      </c>
      <c r="G1447">
        <v>14719</v>
      </c>
      <c r="H1447">
        <f>_xlfn.XLOOKUP(FACT_IMPORTS[[#This Row],[hts_6]],DIM_PRODUCTS[hts_6],DIM_PRODUCTS[hts_4],,,)</f>
        <v>8501</v>
      </c>
      <c r="I1447" t="str" cm="1">
        <f t="array" ref="I1447">_xlfn.XLOOKUP(FACT_IMPORTS[[#This Row],[country_name]],DIM_COUNTRY[[#All],[Column2]],DIM_COUNTRY[[#All],[Column3]],,,)</f>
        <v>USMCA</v>
      </c>
    </row>
    <row r="1448" spans="1:9" x14ac:dyDescent="0.4">
      <c r="A1448" t="s">
        <v>61</v>
      </c>
      <c r="B1448" s="1">
        <v>45536</v>
      </c>
      <c r="C1448">
        <v>850153</v>
      </c>
      <c r="D1448" t="s">
        <v>176</v>
      </c>
      <c r="E1448">
        <v>452829</v>
      </c>
      <c r="F1448">
        <v>36</v>
      </c>
      <c r="G1448">
        <v>8811</v>
      </c>
      <c r="H1448">
        <f>_xlfn.XLOOKUP(FACT_IMPORTS[[#This Row],[hts_6]],DIM_PRODUCTS[hts_6],DIM_PRODUCTS[hts_4],,,)</f>
        <v>8501</v>
      </c>
      <c r="I1448" t="str" cm="1">
        <f t="array" ref="I1448">_xlfn.XLOOKUP(FACT_IMPORTS[[#This Row],[country_name]],DIM_COUNTRY[[#All],[Column2]],DIM_COUNTRY[[#All],[Column3]],,,)</f>
        <v>USMCA</v>
      </c>
    </row>
    <row r="1449" spans="1:9" x14ac:dyDescent="0.4">
      <c r="A1449" t="s">
        <v>61</v>
      </c>
      <c r="B1449" s="1">
        <v>45536</v>
      </c>
      <c r="C1449">
        <v>850161</v>
      </c>
      <c r="D1449" t="s">
        <v>176</v>
      </c>
      <c r="E1449">
        <v>354255</v>
      </c>
      <c r="F1449">
        <v>9</v>
      </c>
      <c r="G1449">
        <v>1204</v>
      </c>
      <c r="H1449">
        <f>_xlfn.XLOOKUP(FACT_IMPORTS[[#This Row],[hts_6]],DIM_PRODUCTS[hts_6],DIM_PRODUCTS[hts_4],,,)</f>
        <v>8501</v>
      </c>
      <c r="I1449" t="str" cm="1">
        <f t="array" ref="I1449">_xlfn.XLOOKUP(FACT_IMPORTS[[#This Row],[country_name]],DIM_COUNTRY[[#All],[Column2]],DIM_COUNTRY[[#All],[Column3]],,,)</f>
        <v>USMCA</v>
      </c>
    </row>
    <row r="1450" spans="1:9" x14ac:dyDescent="0.4">
      <c r="A1450" t="s">
        <v>61</v>
      </c>
      <c r="B1450" s="1">
        <v>45536</v>
      </c>
      <c r="C1450">
        <v>850440</v>
      </c>
      <c r="D1450" t="s">
        <v>176</v>
      </c>
      <c r="E1450">
        <v>13688096</v>
      </c>
      <c r="F1450">
        <v>31052</v>
      </c>
      <c r="G1450">
        <v>255328</v>
      </c>
      <c r="H1450">
        <f>_xlfn.XLOOKUP(FACT_IMPORTS[[#This Row],[hts_6]],DIM_PRODUCTS[hts_6],DIM_PRODUCTS[hts_4],,,)</f>
        <v>8504</v>
      </c>
      <c r="I1450" t="str" cm="1">
        <f t="array" ref="I1450">_xlfn.XLOOKUP(FACT_IMPORTS[[#This Row],[country_name]],DIM_COUNTRY[[#All],[Column2]],DIM_COUNTRY[[#All],[Column3]],,,)</f>
        <v>USMCA</v>
      </c>
    </row>
    <row r="1451" spans="1:9" x14ac:dyDescent="0.4">
      <c r="A1451" t="s">
        <v>61</v>
      </c>
      <c r="B1451" s="1">
        <v>45536</v>
      </c>
      <c r="C1451">
        <v>850710</v>
      </c>
      <c r="D1451" t="s">
        <v>176</v>
      </c>
      <c r="E1451">
        <v>1548843</v>
      </c>
      <c r="F1451">
        <v>4616</v>
      </c>
      <c r="G1451">
        <v>77719</v>
      </c>
      <c r="H1451">
        <f>_xlfn.XLOOKUP(FACT_IMPORTS[[#This Row],[hts_6]],DIM_PRODUCTS[hts_6],DIM_PRODUCTS[hts_4],,,)</f>
        <v>8507</v>
      </c>
      <c r="I1451" t="str" cm="1">
        <f t="array" ref="I1451">_xlfn.XLOOKUP(FACT_IMPORTS[[#This Row],[country_name]],DIM_COUNTRY[[#All],[Column2]],DIM_COUNTRY[[#All],[Column3]],,,)</f>
        <v>USMCA</v>
      </c>
    </row>
    <row r="1452" spans="1:9" x14ac:dyDescent="0.4">
      <c r="A1452" t="s">
        <v>61</v>
      </c>
      <c r="B1452" s="1">
        <v>45536</v>
      </c>
      <c r="C1452">
        <v>850760</v>
      </c>
      <c r="D1452" t="s">
        <v>176</v>
      </c>
      <c r="E1452">
        <v>100620851</v>
      </c>
      <c r="F1452">
        <v>64018</v>
      </c>
      <c r="G1452">
        <v>63095</v>
      </c>
      <c r="H1452">
        <f>_xlfn.XLOOKUP(FACT_IMPORTS[[#This Row],[hts_6]],DIM_PRODUCTS[hts_6],DIM_PRODUCTS[hts_4],,,)</f>
        <v>8507</v>
      </c>
      <c r="I1452" t="str" cm="1">
        <f t="array" ref="I1452">_xlfn.XLOOKUP(FACT_IMPORTS[[#This Row],[country_name]],DIM_COUNTRY[[#All],[Column2]],DIM_COUNTRY[[#All],[Column3]],,,)</f>
        <v>USMCA</v>
      </c>
    </row>
    <row r="1453" spans="1:9" x14ac:dyDescent="0.4">
      <c r="A1453" t="s">
        <v>61</v>
      </c>
      <c r="B1453" s="1">
        <v>45536</v>
      </c>
      <c r="C1453">
        <v>850790</v>
      </c>
      <c r="D1453" t="s">
        <v>176</v>
      </c>
      <c r="E1453">
        <v>409897</v>
      </c>
      <c r="F1453">
        <v>28698</v>
      </c>
      <c r="G1453">
        <v>199</v>
      </c>
      <c r="H1453">
        <f>_xlfn.XLOOKUP(FACT_IMPORTS[[#This Row],[hts_6]],DIM_PRODUCTS[hts_6],DIM_PRODUCTS[hts_4],,,)</f>
        <v>8507</v>
      </c>
      <c r="I1453" t="str" cm="1">
        <f t="array" ref="I1453">_xlfn.XLOOKUP(FACT_IMPORTS[[#This Row],[country_name]],DIM_COUNTRY[[#All],[Column2]],DIM_COUNTRY[[#All],[Column3]],,,)</f>
        <v>USMCA</v>
      </c>
    </row>
    <row r="1454" spans="1:9" x14ac:dyDescent="0.4">
      <c r="A1454" t="s">
        <v>61</v>
      </c>
      <c r="B1454" s="1">
        <v>45536</v>
      </c>
      <c r="C1454">
        <v>851110</v>
      </c>
      <c r="D1454" t="s">
        <v>176</v>
      </c>
      <c r="E1454">
        <v>22440</v>
      </c>
      <c r="F1454">
        <v>10</v>
      </c>
      <c r="G1454">
        <v>34</v>
      </c>
      <c r="H1454">
        <f>_xlfn.XLOOKUP(FACT_IMPORTS[[#This Row],[hts_6]],DIM_PRODUCTS[hts_6],DIM_PRODUCTS[hts_4],,,)</f>
        <v>8511</v>
      </c>
      <c r="I1454" t="str" cm="1">
        <f t="array" ref="I1454">_xlfn.XLOOKUP(FACT_IMPORTS[[#This Row],[country_name]],DIM_COUNTRY[[#All],[Column2]],DIM_COUNTRY[[#All],[Column3]],,,)</f>
        <v>USMCA</v>
      </c>
    </row>
    <row r="1455" spans="1:9" x14ac:dyDescent="0.4">
      <c r="A1455" t="s">
        <v>61</v>
      </c>
      <c r="B1455" s="1">
        <v>45536</v>
      </c>
      <c r="C1455">
        <v>851120</v>
      </c>
      <c r="D1455" t="s">
        <v>176</v>
      </c>
      <c r="E1455">
        <v>88689</v>
      </c>
      <c r="F1455">
        <v>1</v>
      </c>
      <c r="G1455">
        <v>2</v>
      </c>
      <c r="H1455">
        <f>_xlfn.XLOOKUP(FACT_IMPORTS[[#This Row],[hts_6]],DIM_PRODUCTS[hts_6],DIM_PRODUCTS[hts_4],,,)</f>
        <v>8511</v>
      </c>
      <c r="I1455" t="str" cm="1">
        <f t="array" ref="I1455">_xlfn.XLOOKUP(FACT_IMPORTS[[#This Row],[country_name]],DIM_COUNTRY[[#All],[Column2]],DIM_COUNTRY[[#All],[Column3]],,,)</f>
        <v>USMCA</v>
      </c>
    </row>
    <row r="1456" spans="1:9" x14ac:dyDescent="0.4">
      <c r="A1456" t="s">
        <v>61</v>
      </c>
      <c r="B1456" s="1">
        <v>45536</v>
      </c>
      <c r="C1456">
        <v>851130</v>
      </c>
      <c r="D1456" t="s">
        <v>176</v>
      </c>
      <c r="E1456">
        <v>3677</v>
      </c>
      <c r="F1456">
        <v>84</v>
      </c>
      <c r="G1456">
        <v>6</v>
      </c>
      <c r="H1456">
        <f>_xlfn.XLOOKUP(FACT_IMPORTS[[#This Row],[hts_6]],DIM_PRODUCTS[hts_6],DIM_PRODUCTS[hts_4],,,)</f>
        <v>8511</v>
      </c>
      <c r="I1456" t="str" cm="1">
        <f t="array" ref="I1456">_xlfn.XLOOKUP(FACT_IMPORTS[[#This Row],[country_name]],DIM_COUNTRY[[#All],[Column2]],DIM_COUNTRY[[#All],[Column3]],,,)</f>
        <v>USMCA</v>
      </c>
    </row>
    <row r="1457" spans="1:9" x14ac:dyDescent="0.4">
      <c r="A1457" t="s">
        <v>61</v>
      </c>
      <c r="B1457" s="1">
        <v>45536</v>
      </c>
      <c r="C1457">
        <v>851140</v>
      </c>
      <c r="D1457" t="s">
        <v>176</v>
      </c>
      <c r="E1457">
        <v>373242</v>
      </c>
      <c r="F1457">
        <v>13553</v>
      </c>
      <c r="G1457">
        <v>2955</v>
      </c>
      <c r="H1457">
        <f>_xlfn.XLOOKUP(FACT_IMPORTS[[#This Row],[hts_6]],DIM_PRODUCTS[hts_6],DIM_PRODUCTS[hts_4],,,)</f>
        <v>8511</v>
      </c>
      <c r="I1457" t="str" cm="1">
        <f t="array" ref="I1457">_xlfn.XLOOKUP(FACT_IMPORTS[[#This Row],[country_name]],DIM_COUNTRY[[#All],[Column2]],DIM_COUNTRY[[#All],[Column3]],,,)</f>
        <v>USMCA</v>
      </c>
    </row>
    <row r="1458" spans="1:9" x14ac:dyDescent="0.4">
      <c r="A1458" t="s">
        <v>61</v>
      </c>
      <c r="B1458" s="1">
        <v>45536</v>
      </c>
      <c r="C1458">
        <v>851150</v>
      </c>
      <c r="D1458" t="s">
        <v>176</v>
      </c>
      <c r="E1458">
        <v>416602</v>
      </c>
      <c r="F1458">
        <v>10954</v>
      </c>
      <c r="G1458">
        <v>2662</v>
      </c>
      <c r="H1458">
        <f>_xlfn.XLOOKUP(FACT_IMPORTS[[#This Row],[hts_6]],DIM_PRODUCTS[hts_6],DIM_PRODUCTS[hts_4],,,)</f>
        <v>8511</v>
      </c>
      <c r="I1458" t="str" cm="1">
        <f t="array" ref="I1458">_xlfn.XLOOKUP(FACT_IMPORTS[[#This Row],[country_name]],DIM_COUNTRY[[#All],[Column2]],DIM_COUNTRY[[#All],[Column3]],,,)</f>
        <v>USMCA</v>
      </c>
    </row>
    <row r="1459" spans="1:9" x14ac:dyDescent="0.4">
      <c r="A1459" t="s">
        <v>61</v>
      </c>
      <c r="B1459" s="1">
        <v>45536</v>
      </c>
      <c r="C1459">
        <v>851180</v>
      </c>
      <c r="D1459" t="s">
        <v>176</v>
      </c>
      <c r="E1459">
        <v>7700</v>
      </c>
      <c r="F1459">
        <v>51</v>
      </c>
      <c r="G1459">
        <v>455</v>
      </c>
      <c r="H1459">
        <f>_xlfn.XLOOKUP(FACT_IMPORTS[[#This Row],[hts_6]],DIM_PRODUCTS[hts_6],DIM_PRODUCTS[hts_4],,,)</f>
        <v>8511</v>
      </c>
      <c r="I1459" t="str" cm="1">
        <f t="array" ref="I1459">_xlfn.XLOOKUP(FACT_IMPORTS[[#This Row],[country_name]],DIM_COUNTRY[[#All],[Column2]],DIM_COUNTRY[[#All],[Column3]],,,)</f>
        <v>USMCA</v>
      </c>
    </row>
    <row r="1460" spans="1:9" x14ac:dyDescent="0.4">
      <c r="A1460" t="s">
        <v>61</v>
      </c>
      <c r="B1460" s="1">
        <v>45536</v>
      </c>
      <c r="C1460">
        <v>851190</v>
      </c>
      <c r="D1460" t="s">
        <v>176</v>
      </c>
      <c r="E1460">
        <v>491063</v>
      </c>
      <c r="F1460">
        <v>4831</v>
      </c>
      <c r="G1460">
        <v>1641</v>
      </c>
      <c r="H1460">
        <f>_xlfn.XLOOKUP(FACT_IMPORTS[[#This Row],[hts_6]],DIM_PRODUCTS[hts_6],DIM_PRODUCTS[hts_4],,,)</f>
        <v>8511</v>
      </c>
      <c r="I1460" t="str" cm="1">
        <f t="array" ref="I1460">_xlfn.XLOOKUP(FACT_IMPORTS[[#This Row],[country_name]],DIM_COUNTRY[[#All],[Column2]],DIM_COUNTRY[[#All],[Column3]],,,)</f>
        <v>USMCA</v>
      </c>
    </row>
    <row r="1461" spans="1:9" x14ac:dyDescent="0.4">
      <c r="A1461" t="s">
        <v>61</v>
      </c>
      <c r="B1461" s="1">
        <v>45536</v>
      </c>
      <c r="C1461">
        <v>851220</v>
      </c>
      <c r="D1461" t="s">
        <v>176</v>
      </c>
      <c r="E1461">
        <v>17110836</v>
      </c>
      <c r="F1461">
        <v>307535</v>
      </c>
      <c r="G1461">
        <v>71961</v>
      </c>
      <c r="H1461">
        <f>_xlfn.XLOOKUP(FACT_IMPORTS[[#This Row],[hts_6]],DIM_PRODUCTS[hts_6],DIM_PRODUCTS[hts_4],,,)</f>
        <v>8512</v>
      </c>
      <c r="I1461" t="str" cm="1">
        <f t="array" ref="I1461">_xlfn.XLOOKUP(FACT_IMPORTS[[#This Row],[country_name]],DIM_COUNTRY[[#All],[Column2]],DIM_COUNTRY[[#All],[Column3]],,,)</f>
        <v>USMCA</v>
      </c>
    </row>
    <row r="1462" spans="1:9" x14ac:dyDescent="0.4">
      <c r="A1462" t="s">
        <v>61</v>
      </c>
      <c r="B1462" s="1">
        <v>45536</v>
      </c>
      <c r="C1462">
        <v>851230</v>
      </c>
      <c r="D1462" t="s">
        <v>176</v>
      </c>
      <c r="E1462">
        <v>22469</v>
      </c>
      <c r="F1462">
        <v>666</v>
      </c>
      <c r="G1462">
        <v>312</v>
      </c>
      <c r="H1462">
        <f>_xlfn.XLOOKUP(FACT_IMPORTS[[#This Row],[hts_6]],DIM_PRODUCTS[hts_6],DIM_PRODUCTS[hts_4],,,)</f>
        <v>8512</v>
      </c>
      <c r="I1462" t="str" cm="1">
        <f t="array" ref="I1462">_xlfn.XLOOKUP(FACT_IMPORTS[[#This Row],[country_name]],DIM_COUNTRY[[#All],[Column2]],DIM_COUNTRY[[#All],[Column3]],,,)</f>
        <v>USMCA</v>
      </c>
    </row>
    <row r="1463" spans="1:9" x14ac:dyDescent="0.4">
      <c r="A1463" t="s">
        <v>61</v>
      </c>
      <c r="B1463" s="1">
        <v>45536</v>
      </c>
      <c r="C1463">
        <v>851240</v>
      </c>
      <c r="D1463" t="s">
        <v>176</v>
      </c>
      <c r="E1463">
        <v>9310</v>
      </c>
      <c r="F1463">
        <v>33</v>
      </c>
      <c r="G1463">
        <v>3</v>
      </c>
      <c r="H1463">
        <f>_xlfn.XLOOKUP(FACT_IMPORTS[[#This Row],[hts_6]],DIM_PRODUCTS[hts_6],DIM_PRODUCTS[hts_4],,,)</f>
        <v>8512</v>
      </c>
      <c r="I1463" t="str" cm="1">
        <f t="array" ref="I1463">_xlfn.XLOOKUP(FACT_IMPORTS[[#This Row],[country_name]],DIM_COUNTRY[[#All],[Column2]],DIM_COUNTRY[[#All],[Column3]],,,)</f>
        <v>USMCA</v>
      </c>
    </row>
    <row r="1464" spans="1:9" x14ac:dyDescent="0.4">
      <c r="A1464" t="s">
        <v>61</v>
      </c>
      <c r="B1464" s="1">
        <v>45536</v>
      </c>
      <c r="C1464">
        <v>851290</v>
      </c>
      <c r="D1464" t="s">
        <v>176</v>
      </c>
      <c r="E1464">
        <v>2255145</v>
      </c>
      <c r="F1464">
        <v>29700</v>
      </c>
      <c r="G1464">
        <v>5552</v>
      </c>
      <c r="H1464">
        <f>_xlfn.XLOOKUP(FACT_IMPORTS[[#This Row],[hts_6]],DIM_PRODUCTS[hts_6],DIM_PRODUCTS[hts_4],,,)</f>
        <v>8512</v>
      </c>
      <c r="I1464" t="str" cm="1">
        <f t="array" ref="I1464">_xlfn.XLOOKUP(FACT_IMPORTS[[#This Row],[country_name]],DIM_COUNTRY[[#All],[Column2]],DIM_COUNTRY[[#All],[Column3]],,,)</f>
        <v>USMCA</v>
      </c>
    </row>
    <row r="1465" spans="1:9" x14ac:dyDescent="0.4">
      <c r="A1465" t="s">
        <v>61</v>
      </c>
      <c r="B1465" s="1">
        <v>45536</v>
      </c>
      <c r="C1465">
        <v>854231</v>
      </c>
      <c r="D1465" t="s">
        <v>176</v>
      </c>
      <c r="E1465">
        <v>162781</v>
      </c>
      <c r="F1465">
        <v>501</v>
      </c>
      <c r="G1465">
        <v>264</v>
      </c>
      <c r="H1465">
        <f>_xlfn.XLOOKUP(FACT_IMPORTS[[#This Row],[hts_6]],DIM_PRODUCTS[hts_6],DIM_PRODUCTS[hts_4],,,)</f>
        <v>8542</v>
      </c>
      <c r="I1465" t="str" cm="1">
        <f t="array" ref="I1465">_xlfn.XLOOKUP(FACT_IMPORTS[[#This Row],[country_name]],DIM_COUNTRY[[#All],[Column2]],DIM_COUNTRY[[#All],[Column3]],,,)</f>
        <v>USMCA</v>
      </c>
    </row>
    <row r="1466" spans="1:9" x14ac:dyDescent="0.4">
      <c r="A1466" t="s">
        <v>61</v>
      </c>
      <c r="B1466" s="1">
        <v>45536</v>
      </c>
      <c r="C1466">
        <v>854232</v>
      </c>
      <c r="D1466" t="s">
        <v>176</v>
      </c>
      <c r="E1466">
        <v>4367</v>
      </c>
      <c r="F1466">
        <v>3001</v>
      </c>
      <c r="G1466">
        <v>79</v>
      </c>
      <c r="H1466">
        <f>_xlfn.XLOOKUP(FACT_IMPORTS[[#This Row],[hts_6]],DIM_PRODUCTS[hts_6],DIM_PRODUCTS[hts_4],,,)</f>
        <v>8542</v>
      </c>
      <c r="I1466" t="str" cm="1">
        <f t="array" ref="I1466">_xlfn.XLOOKUP(FACT_IMPORTS[[#This Row],[country_name]],DIM_COUNTRY[[#All],[Column2]],DIM_COUNTRY[[#All],[Column3]],,,)</f>
        <v>USMCA</v>
      </c>
    </row>
    <row r="1467" spans="1:9" x14ac:dyDescent="0.4">
      <c r="A1467" t="s">
        <v>61</v>
      </c>
      <c r="B1467" s="1">
        <v>45536</v>
      </c>
      <c r="C1467">
        <v>854233</v>
      </c>
      <c r="D1467" t="s">
        <v>176</v>
      </c>
      <c r="E1467">
        <v>0</v>
      </c>
      <c r="F1467">
        <v>0</v>
      </c>
      <c r="G1467">
        <v>0</v>
      </c>
      <c r="H1467">
        <f>_xlfn.XLOOKUP(FACT_IMPORTS[[#This Row],[hts_6]],DIM_PRODUCTS[hts_6],DIM_PRODUCTS[hts_4],,,)</f>
        <v>8542</v>
      </c>
      <c r="I1467" t="str" cm="1">
        <f t="array" ref="I1467">_xlfn.XLOOKUP(FACT_IMPORTS[[#This Row],[country_name]],DIM_COUNTRY[[#All],[Column2]],DIM_COUNTRY[[#All],[Column3]],,,)</f>
        <v>USMCA</v>
      </c>
    </row>
    <row r="1468" spans="1:9" x14ac:dyDescent="0.4">
      <c r="A1468" t="s">
        <v>61</v>
      </c>
      <c r="B1468" s="1">
        <v>45536</v>
      </c>
      <c r="C1468">
        <v>854239</v>
      </c>
      <c r="D1468" t="s">
        <v>176</v>
      </c>
      <c r="E1468">
        <v>52115</v>
      </c>
      <c r="F1468">
        <v>308</v>
      </c>
      <c r="G1468">
        <v>68</v>
      </c>
      <c r="H1468">
        <f>_xlfn.XLOOKUP(FACT_IMPORTS[[#This Row],[hts_6]],DIM_PRODUCTS[hts_6],DIM_PRODUCTS[hts_4],,,)</f>
        <v>8542</v>
      </c>
      <c r="I1468" t="str" cm="1">
        <f t="array" ref="I1468">_xlfn.XLOOKUP(FACT_IMPORTS[[#This Row],[country_name]],DIM_COUNTRY[[#All],[Column2]],DIM_COUNTRY[[#All],[Column3]],,,)</f>
        <v>USMCA</v>
      </c>
    </row>
    <row r="1469" spans="1:9" x14ac:dyDescent="0.4">
      <c r="A1469" t="s">
        <v>61</v>
      </c>
      <c r="B1469" s="1">
        <v>45536</v>
      </c>
      <c r="C1469">
        <v>854290</v>
      </c>
      <c r="D1469" t="s">
        <v>176</v>
      </c>
      <c r="E1469">
        <v>5709</v>
      </c>
      <c r="F1469">
        <v>36</v>
      </c>
      <c r="G1469">
        <v>2</v>
      </c>
      <c r="H1469">
        <f>_xlfn.XLOOKUP(FACT_IMPORTS[[#This Row],[hts_6]],DIM_PRODUCTS[hts_6],DIM_PRODUCTS[hts_4],,,)</f>
        <v>8542</v>
      </c>
      <c r="I1469" t="str" cm="1">
        <f t="array" ref="I1469">_xlfn.XLOOKUP(FACT_IMPORTS[[#This Row],[country_name]],DIM_COUNTRY[[#All],[Column2]],DIM_COUNTRY[[#All],[Column3]],,,)</f>
        <v>USMCA</v>
      </c>
    </row>
    <row r="1470" spans="1:9" x14ac:dyDescent="0.4">
      <c r="A1470" t="s">
        <v>61</v>
      </c>
      <c r="B1470" s="1">
        <v>45536</v>
      </c>
      <c r="C1470">
        <v>854430</v>
      </c>
      <c r="D1470" t="s">
        <v>176</v>
      </c>
      <c r="E1470">
        <v>1757820</v>
      </c>
      <c r="F1470">
        <v>38741</v>
      </c>
      <c r="G1470">
        <v>9599</v>
      </c>
      <c r="H1470">
        <f>_xlfn.XLOOKUP(FACT_IMPORTS[[#This Row],[hts_6]],DIM_PRODUCTS[hts_6],DIM_PRODUCTS[hts_4],,,)</f>
        <v>8544</v>
      </c>
      <c r="I1470" t="str" cm="1">
        <f t="array" ref="I1470">_xlfn.XLOOKUP(FACT_IMPORTS[[#This Row],[country_name]],DIM_COUNTRY[[#All],[Column2]],DIM_COUNTRY[[#All],[Column3]],,,)</f>
        <v>USMCA</v>
      </c>
    </row>
    <row r="1471" spans="1:9" x14ac:dyDescent="0.4">
      <c r="A1471" t="s">
        <v>61</v>
      </c>
      <c r="B1471" s="1">
        <v>45536</v>
      </c>
      <c r="C1471">
        <v>870600</v>
      </c>
      <c r="D1471" t="s">
        <v>176</v>
      </c>
      <c r="E1471">
        <v>3638</v>
      </c>
      <c r="F1471">
        <v>1</v>
      </c>
      <c r="G1471">
        <v>1</v>
      </c>
      <c r="H1471">
        <f>_xlfn.XLOOKUP(FACT_IMPORTS[[#This Row],[hts_6]],DIM_PRODUCTS[hts_6],DIM_PRODUCTS[hts_4],,,)</f>
        <v>8706</v>
      </c>
      <c r="I1471" t="str" cm="1">
        <f t="array" ref="I1471">_xlfn.XLOOKUP(FACT_IMPORTS[[#This Row],[country_name]],DIM_COUNTRY[[#All],[Column2]],DIM_COUNTRY[[#All],[Column3]],,,)</f>
        <v>USMCA</v>
      </c>
    </row>
    <row r="1472" spans="1:9" x14ac:dyDescent="0.4">
      <c r="A1472" t="s">
        <v>61</v>
      </c>
      <c r="B1472" s="1">
        <v>45536</v>
      </c>
      <c r="C1472">
        <v>870710</v>
      </c>
      <c r="D1472" t="s">
        <v>176</v>
      </c>
      <c r="E1472">
        <v>93834</v>
      </c>
      <c r="F1472">
        <v>22</v>
      </c>
      <c r="G1472">
        <v>700</v>
      </c>
      <c r="H1472">
        <f>_xlfn.XLOOKUP(FACT_IMPORTS[[#This Row],[hts_6]],DIM_PRODUCTS[hts_6],DIM_PRODUCTS[hts_4],,,)</f>
        <v>8707</v>
      </c>
      <c r="I1472" t="str" cm="1">
        <f t="array" ref="I1472">_xlfn.XLOOKUP(FACT_IMPORTS[[#This Row],[country_name]],DIM_COUNTRY[[#All],[Column2]],DIM_COUNTRY[[#All],[Column3]],,,)</f>
        <v>USMCA</v>
      </c>
    </row>
    <row r="1473" spans="1:9" x14ac:dyDescent="0.4">
      <c r="A1473" t="s">
        <v>61</v>
      </c>
      <c r="B1473" s="1">
        <v>45536</v>
      </c>
      <c r="C1473">
        <v>870790</v>
      </c>
      <c r="D1473" t="s">
        <v>176</v>
      </c>
      <c r="E1473">
        <v>4981528</v>
      </c>
      <c r="F1473">
        <v>341</v>
      </c>
      <c r="G1473">
        <v>54248</v>
      </c>
      <c r="H1473">
        <f>_xlfn.XLOOKUP(FACT_IMPORTS[[#This Row],[hts_6]],DIM_PRODUCTS[hts_6],DIM_PRODUCTS[hts_4],,,)</f>
        <v>8707</v>
      </c>
      <c r="I1473" t="str" cm="1">
        <f t="array" ref="I1473">_xlfn.XLOOKUP(FACT_IMPORTS[[#This Row],[country_name]],DIM_COUNTRY[[#All],[Column2]],DIM_COUNTRY[[#All],[Column3]],,,)</f>
        <v>USMCA</v>
      </c>
    </row>
    <row r="1474" spans="1:9" x14ac:dyDescent="0.4">
      <c r="A1474" t="s">
        <v>61</v>
      </c>
      <c r="B1474" s="1">
        <v>45536</v>
      </c>
      <c r="C1474">
        <v>870810</v>
      </c>
      <c r="D1474" t="s">
        <v>176</v>
      </c>
      <c r="E1474">
        <v>23456948</v>
      </c>
      <c r="F1474">
        <v>973162</v>
      </c>
      <c r="G1474">
        <v>367595</v>
      </c>
      <c r="H1474">
        <f>_xlfn.XLOOKUP(FACT_IMPORTS[[#This Row],[hts_6]],DIM_PRODUCTS[hts_6],DIM_PRODUCTS[hts_4],,,)</f>
        <v>8708</v>
      </c>
      <c r="I1474" t="str" cm="1">
        <f t="array" ref="I1474">_xlfn.XLOOKUP(FACT_IMPORTS[[#This Row],[country_name]],DIM_COUNTRY[[#All],[Column2]],DIM_COUNTRY[[#All],[Column3]],,,)</f>
        <v>USMCA</v>
      </c>
    </row>
    <row r="1475" spans="1:9" x14ac:dyDescent="0.4">
      <c r="A1475" t="s">
        <v>61</v>
      </c>
      <c r="B1475" s="1">
        <v>45536</v>
      </c>
      <c r="C1475">
        <v>870821</v>
      </c>
      <c r="D1475" t="s">
        <v>176</v>
      </c>
      <c r="E1475">
        <v>437786</v>
      </c>
      <c r="F1475">
        <v>18938</v>
      </c>
      <c r="G1475">
        <v>3000</v>
      </c>
      <c r="H1475">
        <f>_xlfn.XLOOKUP(FACT_IMPORTS[[#This Row],[hts_6]],DIM_PRODUCTS[hts_6],DIM_PRODUCTS[hts_4],,,)</f>
        <v>8708</v>
      </c>
      <c r="I1475" t="str" cm="1">
        <f t="array" ref="I1475">_xlfn.XLOOKUP(FACT_IMPORTS[[#This Row],[country_name]],DIM_COUNTRY[[#All],[Column2]],DIM_COUNTRY[[#All],[Column3]],,,)</f>
        <v>USMCA</v>
      </c>
    </row>
    <row r="1476" spans="1:9" x14ac:dyDescent="0.4">
      <c r="A1476" t="s">
        <v>61</v>
      </c>
      <c r="B1476" s="1">
        <v>45536</v>
      </c>
      <c r="C1476">
        <v>870822</v>
      </c>
      <c r="D1476" t="s">
        <v>176</v>
      </c>
      <c r="E1476">
        <v>5281340</v>
      </c>
      <c r="F1476">
        <v>95432</v>
      </c>
      <c r="G1476">
        <v>162065</v>
      </c>
      <c r="H1476">
        <f>_xlfn.XLOOKUP(FACT_IMPORTS[[#This Row],[hts_6]],DIM_PRODUCTS[hts_6],DIM_PRODUCTS[hts_4],,,)</f>
        <v>8708</v>
      </c>
      <c r="I1476" t="str" cm="1">
        <f t="array" ref="I1476">_xlfn.XLOOKUP(FACT_IMPORTS[[#This Row],[country_name]],DIM_COUNTRY[[#All],[Column2]],DIM_COUNTRY[[#All],[Column3]],,,)</f>
        <v>USMCA</v>
      </c>
    </row>
    <row r="1477" spans="1:9" x14ac:dyDescent="0.4">
      <c r="A1477" t="s">
        <v>61</v>
      </c>
      <c r="B1477" s="1">
        <v>45536</v>
      </c>
      <c r="C1477">
        <v>870829</v>
      </c>
      <c r="D1477" t="s">
        <v>176</v>
      </c>
      <c r="E1477">
        <v>378329074</v>
      </c>
      <c r="F1477">
        <v>55595870</v>
      </c>
      <c r="G1477">
        <v>6723522</v>
      </c>
      <c r="H1477">
        <f>_xlfn.XLOOKUP(FACT_IMPORTS[[#This Row],[hts_6]],DIM_PRODUCTS[hts_6],DIM_PRODUCTS[hts_4],,,)</f>
        <v>8708</v>
      </c>
      <c r="I1477" t="str" cm="1">
        <f t="array" ref="I1477">_xlfn.XLOOKUP(FACT_IMPORTS[[#This Row],[country_name]],DIM_COUNTRY[[#All],[Column2]],DIM_COUNTRY[[#All],[Column3]],,,)</f>
        <v>USMCA</v>
      </c>
    </row>
    <row r="1478" spans="1:9" x14ac:dyDescent="0.4">
      <c r="A1478" t="s">
        <v>61</v>
      </c>
      <c r="B1478" s="1">
        <v>45536</v>
      </c>
      <c r="C1478">
        <v>870830</v>
      </c>
      <c r="D1478" t="s">
        <v>176</v>
      </c>
      <c r="E1478">
        <v>12451569</v>
      </c>
      <c r="F1478">
        <v>2971629</v>
      </c>
      <c r="G1478">
        <v>191493</v>
      </c>
      <c r="H1478">
        <f>_xlfn.XLOOKUP(FACT_IMPORTS[[#This Row],[hts_6]],DIM_PRODUCTS[hts_6],DIM_PRODUCTS[hts_4],,,)</f>
        <v>8708</v>
      </c>
      <c r="I1478" t="str" cm="1">
        <f t="array" ref="I1478">_xlfn.XLOOKUP(FACT_IMPORTS[[#This Row],[country_name]],DIM_COUNTRY[[#All],[Column2]],DIM_COUNTRY[[#All],[Column3]],,,)</f>
        <v>USMCA</v>
      </c>
    </row>
    <row r="1479" spans="1:9" x14ac:dyDescent="0.4">
      <c r="A1479" t="s">
        <v>61</v>
      </c>
      <c r="B1479" s="1">
        <v>45536</v>
      </c>
      <c r="C1479">
        <v>870840</v>
      </c>
      <c r="D1479" t="s">
        <v>176</v>
      </c>
      <c r="E1479">
        <v>82995452</v>
      </c>
      <c r="F1479">
        <v>4119724</v>
      </c>
      <c r="G1479">
        <v>297620</v>
      </c>
      <c r="H1479">
        <f>_xlfn.XLOOKUP(FACT_IMPORTS[[#This Row],[hts_6]],DIM_PRODUCTS[hts_6],DIM_PRODUCTS[hts_4],,,)</f>
        <v>8708</v>
      </c>
      <c r="I1479" t="str" cm="1">
        <f t="array" ref="I1479">_xlfn.XLOOKUP(FACT_IMPORTS[[#This Row],[country_name]],DIM_COUNTRY[[#All],[Column2]],DIM_COUNTRY[[#All],[Column3]],,,)</f>
        <v>USMCA</v>
      </c>
    </row>
    <row r="1480" spans="1:9" x14ac:dyDescent="0.4">
      <c r="A1480" t="s">
        <v>61</v>
      </c>
      <c r="B1480" s="1">
        <v>45536</v>
      </c>
      <c r="C1480">
        <v>870850</v>
      </c>
      <c r="D1480" t="s">
        <v>176</v>
      </c>
      <c r="E1480">
        <v>29491274</v>
      </c>
      <c r="F1480">
        <v>1711116</v>
      </c>
      <c r="G1480">
        <v>145101</v>
      </c>
      <c r="H1480">
        <f>_xlfn.XLOOKUP(FACT_IMPORTS[[#This Row],[hts_6]],DIM_PRODUCTS[hts_6],DIM_PRODUCTS[hts_4],,,)</f>
        <v>8708</v>
      </c>
      <c r="I1480" t="str" cm="1">
        <f t="array" ref="I1480">_xlfn.XLOOKUP(FACT_IMPORTS[[#This Row],[country_name]],DIM_COUNTRY[[#All],[Column2]],DIM_COUNTRY[[#All],[Column3]],,,)</f>
        <v>USMCA</v>
      </c>
    </row>
    <row r="1481" spans="1:9" x14ac:dyDescent="0.4">
      <c r="A1481" t="s">
        <v>61</v>
      </c>
      <c r="B1481" s="1">
        <v>45536</v>
      </c>
      <c r="C1481">
        <v>870870</v>
      </c>
      <c r="D1481" t="s">
        <v>176</v>
      </c>
      <c r="E1481">
        <v>6623199</v>
      </c>
      <c r="F1481">
        <v>7026742</v>
      </c>
      <c r="G1481">
        <v>57684</v>
      </c>
      <c r="H1481">
        <f>_xlfn.XLOOKUP(FACT_IMPORTS[[#This Row],[hts_6]],DIM_PRODUCTS[hts_6],DIM_PRODUCTS[hts_4],,,)</f>
        <v>8708</v>
      </c>
      <c r="I1481" t="str" cm="1">
        <f t="array" ref="I1481">_xlfn.XLOOKUP(FACT_IMPORTS[[#This Row],[country_name]],DIM_COUNTRY[[#All],[Column2]],DIM_COUNTRY[[#All],[Column3]],,,)</f>
        <v>USMCA</v>
      </c>
    </row>
    <row r="1482" spans="1:9" x14ac:dyDescent="0.4">
      <c r="A1482" t="s">
        <v>61</v>
      </c>
      <c r="B1482" s="1">
        <v>45536</v>
      </c>
      <c r="C1482">
        <v>870880</v>
      </c>
      <c r="D1482" t="s">
        <v>176</v>
      </c>
      <c r="E1482">
        <v>68244661</v>
      </c>
      <c r="F1482">
        <v>3131407</v>
      </c>
      <c r="G1482">
        <v>781554</v>
      </c>
      <c r="H1482">
        <f>_xlfn.XLOOKUP(FACT_IMPORTS[[#This Row],[hts_6]],DIM_PRODUCTS[hts_6],DIM_PRODUCTS[hts_4],,,)</f>
        <v>8708</v>
      </c>
      <c r="I1482" t="str" cm="1">
        <f t="array" ref="I1482">_xlfn.XLOOKUP(FACT_IMPORTS[[#This Row],[country_name]],DIM_COUNTRY[[#All],[Column2]],DIM_COUNTRY[[#All],[Column3]],,,)</f>
        <v>USMCA</v>
      </c>
    </row>
    <row r="1483" spans="1:9" x14ac:dyDescent="0.4">
      <c r="A1483" t="s">
        <v>61</v>
      </c>
      <c r="B1483" s="1">
        <v>45536</v>
      </c>
      <c r="C1483">
        <v>870891</v>
      </c>
      <c r="D1483" t="s">
        <v>176</v>
      </c>
      <c r="E1483">
        <v>10711730</v>
      </c>
      <c r="F1483">
        <v>493264</v>
      </c>
      <c r="G1483">
        <v>140634</v>
      </c>
      <c r="H1483">
        <f>_xlfn.XLOOKUP(FACT_IMPORTS[[#This Row],[hts_6]],DIM_PRODUCTS[hts_6],DIM_PRODUCTS[hts_4],,,)</f>
        <v>8708</v>
      </c>
      <c r="I1483" t="str" cm="1">
        <f t="array" ref="I1483">_xlfn.XLOOKUP(FACT_IMPORTS[[#This Row],[country_name]],DIM_COUNTRY[[#All],[Column2]],DIM_COUNTRY[[#All],[Column3]],,,)</f>
        <v>USMCA</v>
      </c>
    </row>
    <row r="1484" spans="1:9" x14ac:dyDescent="0.4">
      <c r="A1484" t="s">
        <v>61</v>
      </c>
      <c r="B1484" s="1">
        <v>45536</v>
      </c>
      <c r="C1484">
        <v>870892</v>
      </c>
      <c r="D1484" t="s">
        <v>176</v>
      </c>
      <c r="E1484">
        <v>17116967</v>
      </c>
      <c r="F1484">
        <v>914792</v>
      </c>
      <c r="G1484">
        <v>265944</v>
      </c>
      <c r="H1484">
        <f>_xlfn.XLOOKUP(FACT_IMPORTS[[#This Row],[hts_6]],DIM_PRODUCTS[hts_6],DIM_PRODUCTS[hts_4],,,)</f>
        <v>8708</v>
      </c>
      <c r="I1484" t="str" cm="1">
        <f t="array" ref="I1484">_xlfn.XLOOKUP(FACT_IMPORTS[[#This Row],[country_name]],DIM_COUNTRY[[#All],[Column2]],DIM_COUNTRY[[#All],[Column3]],,,)</f>
        <v>USMCA</v>
      </c>
    </row>
    <row r="1485" spans="1:9" x14ac:dyDescent="0.4">
      <c r="A1485" t="s">
        <v>61</v>
      </c>
      <c r="B1485" s="1">
        <v>45536</v>
      </c>
      <c r="C1485">
        <v>870893</v>
      </c>
      <c r="D1485" t="s">
        <v>176</v>
      </c>
      <c r="E1485">
        <v>49651047</v>
      </c>
      <c r="F1485">
        <v>1085427</v>
      </c>
      <c r="G1485">
        <v>61070</v>
      </c>
      <c r="H1485">
        <f>_xlfn.XLOOKUP(FACT_IMPORTS[[#This Row],[hts_6]],DIM_PRODUCTS[hts_6],DIM_PRODUCTS[hts_4],,,)</f>
        <v>8708</v>
      </c>
      <c r="I1485" t="str" cm="1">
        <f t="array" ref="I1485">_xlfn.XLOOKUP(FACT_IMPORTS[[#This Row],[country_name]],DIM_COUNTRY[[#All],[Column2]],DIM_COUNTRY[[#All],[Column3]],,,)</f>
        <v>USMCA</v>
      </c>
    </row>
    <row r="1486" spans="1:9" x14ac:dyDescent="0.4">
      <c r="A1486" t="s">
        <v>61</v>
      </c>
      <c r="B1486" s="1">
        <v>45536</v>
      </c>
      <c r="C1486">
        <v>870894</v>
      </c>
      <c r="D1486" t="s">
        <v>176</v>
      </c>
      <c r="E1486">
        <v>10141242</v>
      </c>
      <c r="F1486">
        <v>2478954</v>
      </c>
      <c r="G1486">
        <v>116605</v>
      </c>
      <c r="H1486">
        <f>_xlfn.XLOOKUP(FACT_IMPORTS[[#This Row],[hts_6]],DIM_PRODUCTS[hts_6],DIM_PRODUCTS[hts_4],,,)</f>
        <v>8708</v>
      </c>
      <c r="I1486" t="str" cm="1">
        <f t="array" ref="I1486">_xlfn.XLOOKUP(FACT_IMPORTS[[#This Row],[country_name]],DIM_COUNTRY[[#All],[Column2]],DIM_COUNTRY[[#All],[Column3]],,,)</f>
        <v>USMCA</v>
      </c>
    </row>
    <row r="1487" spans="1:9" x14ac:dyDescent="0.4">
      <c r="A1487" t="s">
        <v>61</v>
      </c>
      <c r="B1487" s="1">
        <v>45536</v>
      </c>
      <c r="C1487">
        <v>870895</v>
      </c>
      <c r="D1487" t="s">
        <v>176</v>
      </c>
      <c r="E1487">
        <v>1605271</v>
      </c>
      <c r="F1487">
        <v>1504420</v>
      </c>
      <c r="G1487">
        <v>13350</v>
      </c>
      <c r="H1487">
        <f>_xlfn.XLOOKUP(FACT_IMPORTS[[#This Row],[hts_6]],DIM_PRODUCTS[hts_6],DIM_PRODUCTS[hts_4],,,)</f>
        <v>8708</v>
      </c>
      <c r="I1487" t="str" cm="1">
        <f t="array" ref="I1487">_xlfn.XLOOKUP(FACT_IMPORTS[[#This Row],[country_name]],DIM_COUNTRY[[#All],[Column2]],DIM_COUNTRY[[#All],[Column3]],,,)</f>
        <v>USMCA</v>
      </c>
    </row>
    <row r="1488" spans="1:9" x14ac:dyDescent="0.4">
      <c r="A1488" t="s">
        <v>61</v>
      </c>
      <c r="B1488" s="1">
        <v>45536</v>
      </c>
      <c r="C1488">
        <v>870899</v>
      </c>
      <c r="D1488" t="s">
        <v>176</v>
      </c>
      <c r="E1488">
        <v>160489263</v>
      </c>
      <c r="F1488">
        <v>14620859</v>
      </c>
      <c r="G1488">
        <v>1734096</v>
      </c>
      <c r="H1488">
        <f>_xlfn.XLOOKUP(FACT_IMPORTS[[#This Row],[hts_6]],DIM_PRODUCTS[hts_6],DIM_PRODUCTS[hts_4],,,)</f>
        <v>8708</v>
      </c>
      <c r="I1488" t="str" cm="1">
        <f t="array" ref="I1488">_xlfn.XLOOKUP(FACT_IMPORTS[[#This Row],[country_name]],DIM_COUNTRY[[#All],[Column2]],DIM_COUNTRY[[#All],[Column3]],,,)</f>
        <v>USMCA</v>
      </c>
    </row>
    <row r="1489" spans="1:9" x14ac:dyDescent="0.4">
      <c r="A1489" t="s">
        <v>61</v>
      </c>
      <c r="B1489" s="1">
        <v>45536</v>
      </c>
      <c r="C1489">
        <v>940120</v>
      </c>
      <c r="D1489" t="s">
        <v>176</v>
      </c>
      <c r="E1489">
        <v>999137</v>
      </c>
      <c r="F1489">
        <v>8546</v>
      </c>
      <c r="G1489">
        <v>10274</v>
      </c>
      <c r="H1489">
        <f>_xlfn.XLOOKUP(FACT_IMPORTS[[#This Row],[hts_6]],DIM_PRODUCTS[hts_6],DIM_PRODUCTS[hts_4],,,)</f>
        <v>9401</v>
      </c>
      <c r="I1489" t="str" cm="1">
        <f t="array" ref="I1489">_xlfn.XLOOKUP(FACT_IMPORTS[[#This Row],[country_name]],DIM_COUNTRY[[#All],[Column2]],DIM_COUNTRY[[#All],[Column3]],,,)</f>
        <v>USMCA</v>
      </c>
    </row>
    <row r="1490" spans="1:9" x14ac:dyDescent="0.4">
      <c r="A1490" t="s">
        <v>61</v>
      </c>
      <c r="B1490" s="1">
        <v>45566</v>
      </c>
      <c r="C1490">
        <v>392630</v>
      </c>
      <c r="D1490" t="s">
        <v>176</v>
      </c>
      <c r="E1490">
        <v>3370998</v>
      </c>
      <c r="F1490">
        <v>421222</v>
      </c>
      <c r="G1490">
        <v>216268</v>
      </c>
      <c r="H1490">
        <f>_xlfn.XLOOKUP(FACT_IMPORTS[[#This Row],[hts_6]],DIM_PRODUCTS[hts_6],DIM_PRODUCTS[hts_4],,,)</f>
        <v>3926</v>
      </c>
      <c r="I1490" t="str" cm="1">
        <f t="array" ref="I1490">_xlfn.XLOOKUP(FACT_IMPORTS[[#This Row],[country_name]],DIM_COUNTRY[[#All],[Column2]],DIM_COUNTRY[[#All],[Column3]],,,)</f>
        <v>USMCA</v>
      </c>
    </row>
    <row r="1491" spans="1:9" x14ac:dyDescent="0.4">
      <c r="A1491" t="s">
        <v>61</v>
      </c>
      <c r="B1491" s="1">
        <v>45566</v>
      </c>
      <c r="C1491">
        <v>401110</v>
      </c>
      <c r="D1491" t="s">
        <v>176</v>
      </c>
      <c r="E1491">
        <v>54442834</v>
      </c>
      <c r="F1491">
        <v>692498</v>
      </c>
      <c r="G1491">
        <v>430651</v>
      </c>
      <c r="H1491">
        <f>_xlfn.XLOOKUP(FACT_IMPORTS[[#This Row],[hts_6]],DIM_PRODUCTS[hts_6],DIM_PRODUCTS[hts_4],,,)</f>
        <v>4011</v>
      </c>
      <c r="I1491" t="str" cm="1">
        <f t="array" ref="I1491">_xlfn.XLOOKUP(FACT_IMPORTS[[#This Row],[country_name]],DIM_COUNTRY[[#All],[Column2]],DIM_COUNTRY[[#All],[Column3]],,,)</f>
        <v>USMCA</v>
      </c>
    </row>
    <row r="1492" spans="1:9" x14ac:dyDescent="0.4">
      <c r="A1492" t="s">
        <v>61</v>
      </c>
      <c r="B1492" s="1">
        <v>45566</v>
      </c>
      <c r="C1492">
        <v>401120</v>
      </c>
      <c r="D1492" t="s">
        <v>176</v>
      </c>
      <c r="E1492">
        <v>59091898</v>
      </c>
      <c r="F1492">
        <v>317856</v>
      </c>
      <c r="G1492">
        <v>482231</v>
      </c>
      <c r="H1492">
        <f>_xlfn.XLOOKUP(FACT_IMPORTS[[#This Row],[hts_6]],DIM_PRODUCTS[hts_6],DIM_PRODUCTS[hts_4],,,)</f>
        <v>4011</v>
      </c>
      <c r="I1492" t="str" cm="1">
        <f t="array" ref="I1492">_xlfn.XLOOKUP(FACT_IMPORTS[[#This Row],[country_name]],DIM_COUNTRY[[#All],[Column2]],DIM_COUNTRY[[#All],[Column3]],,,)</f>
        <v>USMCA</v>
      </c>
    </row>
    <row r="1493" spans="1:9" x14ac:dyDescent="0.4">
      <c r="A1493" t="s">
        <v>61</v>
      </c>
      <c r="B1493" s="1">
        <v>45566</v>
      </c>
      <c r="C1493">
        <v>401140</v>
      </c>
      <c r="D1493" t="s">
        <v>176</v>
      </c>
      <c r="E1493">
        <v>0</v>
      </c>
      <c r="F1493">
        <v>0</v>
      </c>
      <c r="G1493">
        <v>0</v>
      </c>
      <c r="H1493">
        <f>_xlfn.XLOOKUP(FACT_IMPORTS[[#This Row],[hts_6]],DIM_PRODUCTS[hts_6],DIM_PRODUCTS[hts_4],,,)</f>
        <v>4011</v>
      </c>
      <c r="I1493" t="str" cm="1">
        <f t="array" ref="I1493">_xlfn.XLOOKUP(FACT_IMPORTS[[#This Row],[country_name]],DIM_COUNTRY[[#All],[Column2]],DIM_COUNTRY[[#All],[Column3]],,,)</f>
        <v>USMCA</v>
      </c>
    </row>
    <row r="1494" spans="1:9" x14ac:dyDescent="0.4">
      <c r="A1494" t="s">
        <v>61</v>
      </c>
      <c r="B1494" s="1">
        <v>45566</v>
      </c>
      <c r="C1494">
        <v>401190</v>
      </c>
      <c r="D1494" t="s">
        <v>176</v>
      </c>
      <c r="E1494">
        <v>354839</v>
      </c>
      <c r="F1494">
        <v>567</v>
      </c>
      <c r="G1494">
        <v>882</v>
      </c>
      <c r="H1494">
        <f>_xlfn.XLOOKUP(FACT_IMPORTS[[#This Row],[hts_6]],DIM_PRODUCTS[hts_6],DIM_PRODUCTS[hts_4],,,)</f>
        <v>4011</v>
      </c>
      <c r="I1494" t="str" cm="1">
        <f t="array" ref="I1494">_xlfn.XLOOKUP(FACT_IMPORTS[[#This Row],[country_name]],DIM_COUNTRY[[#All],[Column2]],DIM_COUNTRY[[#All],[Column3]],,,)</f>
        <v>USMCA</v>
      </c>
    </row>
    <row r="1495" spans="1:9" x14ac:dyDescent="0.4">
      <c r="A1495" t="s">
        <v>61</v>
      </c>
      <c r="B1495" s="1">
        <v>45566</v>
      </c>
      <c r="C1495">
        <v>700711</v>
      </c>
      <c r="D1495" t="s">
        <v>176</v>
      </c>
      <c r="E1495">
        <v>462372</v>
      </c>
      <c r="F1495">
        <v>1164</v>
      </c>
      <c r="G1495">
        <v>4086</v>
      </c>
      <c r="H1495">
        <f>_xlfn.XLOOKUP(FACT_IMPORTS[[#This Row],[hts_6]],DIM_PRODUCTS[hts_6],DIM_PRODUCTS[hts_4],,,)</f>
        <v>7007</v>
      </c>
      <c r="I1495" t="str" cm="1">
        <f t="array" ref="I1495">_xlfn.XLOOKUP(FACT_IMPORTS[[#This Row],[country_name]],DIM_COUNTRY[[#All],[Column2]],DIM_COUNTRY[[#All],[Column3]],,,)</f>
        <v>USMCA</v>
      </c>
    </row>
    <row r="1496" spans="1:9" x14ac:dyDescent="0.4">
      <c r="A1496" t="s">
        <v>61</v>
      </c>
      <c r="B1496" s="1">
        <v>45566</v>
      </c>
      <c r="C1496">
        <v>700721</v>
      </c>
      <c r="D1496" t="s">
        <v>176</v>
      </c>
      <c r="E1496">
        <v>104721</v>
      </c>
      <c r="F1496">
        <v>452</v>
      </c>
      <c r="G1496">
        <v>884</v>
      </c>
      <c r="H1496">
        <f>_xlfn.XLOOKUP(FACT_IMPORTS[[#This Row],[hts_6]],DIM_PRODUCTS[hts_6],DIM_PRODUCTS[hts_4],,,)</f>
        <v>7007</v>
      </c>
      <c r="I1496" t="str" cm="1">
        <f t="array" ref="I1496">_xlfn.XLOOKUP(FACT_IMPORTS[[#This Row],[country_name]],DIM_COUNTRY[[#All],[Column2]],DIM_COUNTRY[[#All],[Column3]],,,)</f>
        <v>USMCA</v>
      </c>
    </row>
    <row r="1497" spans="1:9" x14ac:dyDescent="0.4">
      <c r="A1497" t="s">
        <v>61</v>
      </c>
      <c r="B1497" s="1">
        <v>45566</v>
      </c>
      <c r="C1497">
        <v>700910</v>
      </c>
      <c r="D1497" t="s">
        <v>176</v>
      </c>
      <c r="E1497">
        <v>392250</v>
      </c>
      <c r="F1497">
        <v>7575</v>
      </c>
      <c r="G1497">
        <v>1969</v>
      </c>
      <c r="H1497">
        <f>_xlfn.XLOOKUP(FACT_IMPORTS[[#This Row],[hts_6]],DIM_PRODUCTS[hts_6],DIM_PRODUCTS[hts_4],,,)</f>
        <v>7009</v>
      </c>
      <c r="I1497" t="str" cm="1">
        <f t="array" ref="I1497">_xlfn.XLOOKUP(FACT_IMPORTS[[#This Row],[country_name]],DIM_COUNTRY[[#All],[Column2]],DIM_COUNTRY[[#All],[Column3]],,,)</f>
        <v>USMCA</v>
      </c>
    </row>
    <row r="1498" spans="1:9" x14ac:dyDescent="0.4">
      <c r="A1498" t="s">
        <v>61</v>
      </c>
      <c r="B1498" s="1">
        <v>45566</v>
      </c>
      <c r="C1498">
        <v>732010</v>
      </c>
      <c r="D1498" t="s">
        <v>176</v>
      </c>
      <c r="E1498">
        <v>4101766</v>
      </c>
      <c r="F1498">
        <v>1298055</v>
      </c>
      <c r="G1498">
        <v>28956</v>
      </c>
      <c r="H1498">
        <f>_xlfn.XLOOKUP(FACT_IMPORTS[[#This Row],[hts_6]],DIM_PRODUCTS[hts_6],DIM_PRODUCTS[hts_4],,,)</f>
        <v>7320</v>
      </c>
      <c r="I1498" t="str" cm="1">
        <f t="array" ref="I1498">_xlfn.XLOOKUP(FACT_IMPORTS[[#This Row],[country_name]],DIM_COUNTRY[[#All],[Column2]],DIM_COUNTRY[[#All],[Column3]],,,)</f>
        <v>USMCA</v>
      </c>
    </row>
    <row r="1499" spans="1:9" x14ac:dyDescent="0.4">
      <c r="A1499" t="s">
        <v>61</v>
      </c>
      <c r="B1499" s="1">
        <v>45566</v>
      </c>
      <c r="C1499">
        <v>830230</v>
      </c>
      <c r="D1499" t="s">
        <v>176</v>
      </c>
      <c r="E1499">
        <v>33359558</v>
      </c>
      <c r="F1499">
        <v>6626701</v>
      </c>
      <c r="G1499">
        <v>1182311</v>
      </c>
      <c r="H1499">
        <f>_xlfn.XLOOKUP(FACT_IMPORTS[[#This Row],[hts_6]],DIM_PRODUCTS[hts_6],DIM_PRODUCTS[hts_4],,,)</f>
        <v>8302</v>
      </c>
      <c r="I1499" t="str" cm="1">
        <f t="array" ref="I1499">_xlfn.XLOOKUP(FACT_IMPORTS[[#This Row],[country_name]],DIM_COUNTRY[[#All],[Column2]],DIM_COUNTRY[[#All],[Column3]],,,)</f>
        <v>USMCA</v>
      </c>
    </row>
    <row r="1500" spans="1:9" x14ac:dyDescent="0.4">
      <c r="A1500" t="s">
        <v>61</v>
      </c>
      <c r="B1500" s="1">
        <v>45566</v>
      </c>
      <c r="C1500">
        <v>840731</v>
      </c>
      <c r="D1500" t="s">
        <v>176</v>
      </c>
      <c r="E1500">
        <v>0</v>
      </c>
      <c r="F1500">
        <v>0</v>
      </c>
      <c r="G1500">
        <v>0</v>
      </c>
      <c r="H1500">
        <f>_xlfn.XLOOKUP(FACT_IMPORTS[[#This Row],[hts_6]],DIM_PRODUCTS[hts_6],DIM_PRODUCTS[hts_4],,,)</f>
        <v>8407</v>
      </c>
      <c r="I1500" t="str" cm="1">
        <f t="array" ref="I1500">_xlfn.XLOOKUP(FACT_IMPORTS[[#This Row],[country_name]],DIM_COUNTRY[[#All],[Column2]],DIM_COUNTRY[[#All],[Column3]],,,)</f>
        <v>USMCA</v>
      </c>
    </row>
    <row r="1501" spans="1:9" x14ac:dyDescent="0.4">
      <c r="A1501" t="s">
        <v>61</v>
      </c>
      <c r="B1501" s="1">
        <v>45566</v>
      </c>
      <c r="C1501">
        <v>840732</v>
      </c>
      <c r="D1501" t="s">
        <v>176</v>
      </c>
      <c r="E1501">
        <v>0</v>
      </c>
      <c r="F1501">
        <v>0</v>
      </c>
      <c r="G1501">
        <v>0</v>
      </c>
      <c r="H1501">
        <f>_xlfn.XLOOKUP(FACT_IMPORTS[[#This Row],[hts_6]],DIM_PRODUCTS[hts_6],DIM_PRODUCTS[hts_4],,,)</f>
        <v>8407</v>
      </c>
      <c r="I1501" t="str" cm="1">
        <f t="array" ref="I1501">_xlfn.XLOOKUP(FACT_IMPORTS[[#This Row],[country_name]],DIM_COUNTRY[[#All],[Column2]],DIM_COUNTRY[[#All],[Column3]],,,)</f>
        <v>USMCA</v>
      </c>
    </row>
    <row r="1502" spans="1:9" x14ac:dyDescent="0.4">
      <c r="A1502" t="s">
        <v>61</v>
      </c>
      <c r="B1502" s="1">
        <v>45566</v>
      </c>
      <c r="C1502">
        <v>840733</v>
      </c>
      <c r="D1502" t="s">
        <v>176</v>
      </c>
      <c r="E1502">
        <v>6000</v>
      </c>
      <c r="F1502">
        <v>1</v>
      </c>
      <c r="G1502">
        <v>1043</v>
      </c>
      <c r="H1502">
        <f>_xlfn.XLOOKUP(FACT_IMPORTS[[#This Row],[hts_6]],DIM_PRODUCTS[hts_6],DIM_PRODUCTS[hts_4],,,)</f>
        <v>8407</v>
      </c>
      <c r="I1502" t="str" cm="1">
        <f t="array" ref="I1502">_xlfn.XLOOKUP(FACT_IMPORTS[[#This Row],[country_name]],DIM_COUNTRY[[#All],[Column2]],DIM_COUNTRY[[#All],[Column3]],,,)</f>
        <v>USMCA</v>
      </c>
    </row>
    <row r="1503" spans="1:9" x14ac:dyDescent="0.4">
      <c r="A1503" t="s">
        <v>61</v>
      </c>
      <c r="B1503" s="1">
        <v>45566</v>
      </c>
      <c r="C1503">
        <v>840734</v>
      </c>
      <c r="D1503" t="s">
        <v>176</v>
      </c>
      <c r="E1503">
        <v>188194758</v>
      </c>
      <c r="F1503">
        <v>55142</v>
      </c>
      <c r="G1503">
        <v>61334</v>
      </c>
      <c r="H1503">
        <f>_xlfn.XLOOKUP(FACT_IMPORTS[[#This Row],[hts_6]],DIM_PRODUCTS[hts_6],DIM_PRODUCTS[hts_4],,,)</f>
        <v>8407</v>
      </c>
      <c r="I1503" t="str" cm="1">
        <f t="array" ref="I1503">_xlfn.XLOOKUP(FACT_IMPORTS[[#This Row],[country_name]],DIM_COUNTRY[[#All],[Column2]],DIM_COUNTRY[[#All],[Column3]],,,)</f>
        <v>USMCA</v>
      </c>
    </row>
    <row r="1504" spans="1:9" x14ac:dyDescent="0.4">
      <c r="A1504" t="s">
        <v>61</v>
      </c>
      <c r="B1504" s="1">
        <v>45566</v>
      </c>
      <c r="C1504">
        <v>840790</v>
      </c>
      <c r="D1504" t="s">
        <v>176</v>
      </c>
      <c r="E1504">
        <v>12406272</v>
      </c>
      <c r="F1504">
        <v>5308</v>
      </c>
      <c r="G1504">
        <v>4035</v>
      </c>
      <c r="H1504">
        <f>_xlfn.XLOOKUP(FACT_IMPORTS[[#This Row],[hts_6]],DIM_PRODUCTS[hts_6],DIM_PRODUCTS[hts_4],,,)</f>
        <v>8407</v>
      </c>
      <c r="I1504" t="str" cm="1">
        <f t="array" ref="I1504">_xlfn.XLOOKUP(FACT_IMPORTS[[#This Row],[country_name]],DIM_COUNTRY[[#All],[Column2]],DIM_COUNTRY[[#All],[Column3]],,,)</f>
        <v>USMCA</v>
      </c>
    </row>
    <row r="1505" spans="1:9" x14ac:dyDescent="0.4">
      <c r="A1505" t="s">
        <v>61</v>
      </c>
      <c r="B1505" s="1">
        <v>45566</v>
      </c>
      <c r="C1505">
        <v>840820</v>
      </c>
      <c r="D1505" t="s">
        <v>176</v>
      </c>
      <c r="E1505">
        <v>646838</v>
      </c>
      <c r="F1505">
        <v>112</v>
      </c>
      <c r="G1505">
        <v>4195</v>
      </c>
      <c r="H1505">
        <f>_xlfn.XLOOKUP(FACT_IMPORTS[[#This Row],[hts_6]],DIM_PRODUCTS[hts_6],DIM_PRODUCTS[hts_4],,,)</f>
        <v>8408</v>
      </c>
      <c r="I1505" t="str" cm="1">
        <f t="array" ref="I1505">_xlfn.XLOOKUP(FACT_IMPORTS[[#This Row],[country_name]],DIM_COUNTRY[[#All],[Column2]],DIM_COUNTRY[[#All],[Column3]],,,)</f>
        <v>USMCA</v>
      </c>
    </row>
    <row r="1506" spans="1:9" x14ac:dyDescent="0.4">
      <c r="A1506" t="s">
        <v>61</v>
      </c>
      <c r="B1506" s="1">
        <v>45566</v>
      </c>
      <c r="C1506">
        <v>840890</v>
      </c>
      <c r="D1506" t="s">
        <v>176</v>
      </c>
      <c r="E1506">
        <v>146503</v>
      </c>
      <c r="F1506">
        <v>19</v>
      </c>
      <c r="G1506">
        <v>1143</v>
      </c>
      <c r="H1506">
        <f>_xlfn.XLOOKUP(FACT_IMPORTS[[#This Row],[hts_6]],DIM_PRODUCTS[hts_6],DIM_PRODUCTS[hts_4],,,)</f>
        <v>8408</v>
      </c>
      <c r="I1506" t="str" cm="1">
        <f t="array" ref="I1506">_xlfn.XLOOKUP(FACT_IMPORTS[[#This Row],[country_name]],DIM_COUNTRY[[#All],[Column2]],DIM_COUNTRY[[#All],[Column3]],,,)</f>
        <v>USMCA</v>
      </c>
    </row>
    <row r="1507" spans="1:9" x14ac:dyDescent="0.4">
      <c r="A1507" t="s">
        <v>61</v>
      </c>
      <c r="B1507" s="1">
        <v>45566</v>
      </c>
      <c r="C1507">
        <v>840991</v>
      </c>
      <c r="D1507" t="s">
        <v>176</v>
      </c>
      <c r="E1507">
        <v>37677269</v>
      </c>
      <c r="F1507">
        <v>2814382</v>
      </c>
      <c r="G1507">
        <v>149987</v>
      </c>
      <c r="H1507">
        <f>_xlfn.XLOOKUP(FACT_IMPORTS[[#This Row],[hts_6]],DIM_PRODUCTS[hts_6],DIM_PRODUCTS[hts_4],,,)</f>
        <v>8409</v>
      </c>
      <c r="I1507" t="str" cm="1">
        <f t="array" ref="I1507">_xlfn.XLOOKUP(FACT_IMPORTS[[#This Row],[country_name]],DIM_COUNTRY[[#All],[Column2]],DIM_COUNTRY[[#All],[Column3]],,,)</f>
        <v>USMCA</v>
      </c>
    </row>
    <row r="1508" spans="1:9" x14ac:dyDescent="0.4">
      <c r="A1508" t="s">
        <v>61</v>
      </c>
      <c r="B1508" s="1">
        <v>45566</v>
      </c>
      <c r="C1508">
        <v>840999</v>
      </c>
      <c r="D1508" t="s">
        <v>176</v>
      </c>
      <c r="E1508">
        <v>13216030</v>
      </c>
      <c r="F1508">
        <v>1143920</v>
      </c>
      <c r="G1508">
        <v>106693</v>
      </c>
      <c r="H1508">
        <f>_xlfn.XLOOKUP(FACT_IMPORTS[[#This Row],[hts_6]],DIM_PRODUCTS[hts_6],DIM_PRODUCTS[hts_4],,,)</f>
        <v>8409</v>
      </c>
      <c r="I1508" t="str" cm="1">
        <f t="array" ref="I1508">_xlfn.XLOOKUP(FACT_IMPORTS[[#This Row],[country_name]],DIM_COUNTRY[[#All],[Column2]],DIM_COUNTRY[[#All],[Column3]],,,)</f>
        <v>USMCA</v>
      </c>
    </row>
    <row r="1509" spans="1:9" x14ac:dyDescent="0.4">
      <c r="A1509" t="s">
        <v>61</v>
      </c>
      <c r="B1509" s="1">
        <v>45566</v>
      </c>
      <c r="C1509">
        <v>841330</v>
      </c>
      <c r="D1509" t="s">
        <v>176</v>
      </c>
      <c r="E1509">
        <v>9826969</v>
      </c>
      <c r="F1509">
        <v>173817</v>
      </c>
      <c r="G1509">
        <v>26630</v>
      </c>
      <c r="H1509">
        <f>_xlfn.XLOOKUP(FACT_IMPORTS[[#This Row],[hts_6]],DIM_PRODUCTS[hts_6],DIM_PRODUCTS[hts_4],,,)</f>
        <v>8413</v>
      </c>
      <c r="I1509" t="str" cm="1">
        <f t="array" ref="I1509">_xlfn.XLOOKUP(FACT_IMPORTS[[#This Row],[country_name]],DIM_COUNTRY[[#All],[Column2]],DIM_COUNTRY[[#All],[Column3]],,,)</f>
        <v>USMCA</v>
      </c>
    </row>
    <row r="1510" spans="1:9" x14ac:dyDescent="0.4">
      <c r="A1510" t="s">
        <v>61</v>
      </c>
      <c r="B1510" s="1">
        <v>45566</v>
      </c>
      <c r="C1510">
        <v>841520</v>
      </c>
      <c r="D1510" t="s">
        <v>176</v>
      </c>
      <c r="E1510">
        <v>4163558</v>
      </c>
      <c r="F1510">
        <v>21795</v>
      </c>
      <c r="G1510">
        <v>54894</v>
      </c>
      <c r="H1510">
        <f>_xlfn.XLOOKUP(FACT_IMPORTS[[#This Row],[hts_6]],DIM_PRODUCTS[hts_6],DIM_PRODUCTS[hts_4],,,)</f>
        <v>8415</v>
      </c>
      <c r="I1510" t="str" cm="1">
        <f t="array" ref="I1510">_xlfn.XLOOKUP(FACT_IMPORTS[[#This Row],[country_name]],DIM_COUNTRY[[#All],[Column2]],DIM_COUNTRY[[#All],[Column3]],,,)</f>
        <v>USMCA</v>
      </c>
    </row>
    <row r="1511" spans="1:9" x14ac:dyDescent="0.4">
      <c r="A1511" t="s">
        <v>61</v>
      </c>
      <c r="B1511" s="1">
        <v>45566</v>
      </c>
      <c r="C1511">
        <v>842132</v>
      </c>
      <c r="D1511" t="s">
        <v>176</v>
      </c>
      <c r="E1511">
        <v>13491084</v>
      </c>
      <c r="F1511">
        <v>48346</v>
      </c>
      <c r="G1511">
        <v>64800</v>
      </c>
      <c r="H1511">
        <f>_xlfn.XLOOKUP(FACT_IMPORTS[[#This Row],[hts_6]],DIM_PRODUCTS[hts_6],DIM_PRODUCTS[hts_4],,,)</f>
        <v>8421</v>
      </c>
      <c r="I1511" t="str" cm="1">
        <f t="array" ref="I1511">_xlfn.XLOOKUP(FACT_IMPORTS[[#This Row],[country_name]],DIM_COUNTRY[[#All],[Column2]],DIM_COUNTRY[[#All],[Column3]],,,)</f>
        <v>USMCA</v>
      </c>
    </row>
    <row r="1512" spans="1:9" x14ac:dyDescent="0.4">
      <c r="A1512" t="s">
        <v>61</v>
      </c>
      <c r="B1512" s="1">
        <v>45566</v>
      </c>
      <c r="C1512">
        <v>848210</v>
      </c>
      <c r="D1512" t="s">
        <v>176</v>
      </c>
      <c r="E1512">
        <v>3878891</v>
      </c>
      <c r="F1512">
        <v>389963</v>
      </c>
      <c r="G1512">
        <v>44016</v>
      </c>
      <c r="H1512">
        <f>_xlfn.XLOOKUP(FACT_IMPORTS[[#This Row],[hts_6]],DIM_PRODUCTS[hts_6],DIM_PRODUCTS[hts_4],,,)</f>
        <v>8482</v>
      </c>
      <c r="I1512" t="str" cm="1">
        <f t="array" ref="I1512">_xlfn.XLOOKUP(FACT_IMPORTS[[#This Row],[country_name]],DIM_COUNTRY[[#All],[Column2]],DIM_COUNTRY[[#All],[Column3]],,,)</f>
        <v>USMCA</v>
      </c>
    </row>
    <row r="1513" spans="1:9" x14ac:dyDescent="0.4">
      <c r="A1513" t="s">
        <v>61</v>
      </c>
      <c r="B1513" s="1">
        <v>45566</v>
      </c>
      <c r="C1513">
        <v>848220</v>
      </c>
      <c r="D1513" t="s">
        <v>176</v>
      </c>
      <c r="E1513">
        <v>1459484</v>
      </c>
      <c r="F1513">
        <v>29704</v>
      </c>
      <c r="G1513">
        <v>2583</v>
      </c>
      <c r="H1513">
        <f>_xlfn.XLOOKUP(FACT_IMPORTS[[#This Row],[hts_6]],DIM_PRODUCTS[hts_6],DIM_PRODUCTS[hts_4],,,)</f>
        <v>8482</v>
      </c>
      <c r="I1513" t="str" cm="1">
        <f t="array" ref="I1513">_xlfn.XLOOKUP(FACT_IMPORTS[[#This Row],[country_name]],DIM_COUNTRY[[#All],[Column2]],DIM_COUNTRY[[#All],[Column3]],,,)</f>
        <v>USMCA</v>
      </c>
    </row>
    <row r="1514" spans="1:9" x14ac:dyDescent="0.4">
      <c r="A1514" t="s">
        <v>61</v>
      </c>
      <c r="B1514" s="1">
        <v>45566</v>
      </c>
      <c r="C1514">
        <v>848310</v>
      </c>
      <c r="D1514" t="s">
        <v>176</v>
      </c>
      <c r="E1514">
        <v>19843369</v>
      </c>
      <c r="F1514">
        <v>547684</v>
      </c>
      <c r="G1514">
        <v>61747</v>
      </c>
      <c r="H1514">
        <f>_xlfn.XLOOKUP(FACT_IMPORTS[[#This Row],[hts_6]],DIM_PRODUCTS[hts_6],DIM_PRODUCTS[hts_4],,,)</f>
        <v>8483</v>
      </c>
      <c r="I1514" t="str" cm="1">
        <f t="array" ref="I1514">_xlfn.XLOOKUP(FACT_IMPORTS[[#This Row],[country_name]],DIM_COUNTRY[[#All],[Column2]],DIM_COUNTRY[[#All],[Column3]],,,)</f>
        <v>USMCA</v>
      </c>
    </row>
    <row r="1515" spans="1:9" x14ac:dyDescent="0.4">
      <c r="A1515" t="s">
        <v>61</v>
      </c>
      <c r="B1515" s="1">
        <v>45566</v>
      </c>
      <c r="C1515">
        <v>850131</v>
      </c>
      <c r="D1515" t="s">
        <v>176</v>
      </c>
      <c r="E1515">
        <v>3953517</v>
      </c>
      <c r="F1515">
        <v>134110</v>
      </c>
      <c r="G1515">
        <v>31773</v>
      </c>
      <c r="H1515">
        <f>_xlfn.XLOOKUP(FACT_IMPORTS[[#This Row],[hts_6]],DIM_PRODUCTS[hts_6],DIM_PRODUCTS[hts_4],,,)</f>
        <v>8501</v>
      </c>
      <c r="I1515" t="str" cm="1">
        <f t="array" ref="I1515">_xlfn.XLOOKUP(FACT_IMPORTS[[#This Row],[country_name]],DIM_COUNTRY[[#All],[Column2]],DIM_COUNTRY[[#All],[Column3]],,,)</f>
        <v>USMCA</v>
      </c>
    </row>
    <row r="1516" spans="1:9" x14ac:dyDescent="0.4">
      <c r="A1516" t="s">
        <v>61</v>
      </c>
      <c r="B1516" s="1">
        <v>45566</v>
      </c>
      <c r="C1516">
        <v>850132</v>
      </c>
      <c r="D1516" t="s">
        <v>176</v>
      </c>
      <c r="E1516">
        <v>107732</v>
      </c>
      <c r="F1516">
        <v>14</v>
      </c>
      <c r="G1516">
        <v>750</v>
      </c>
      <c r="H1516">
        <f>_xlfn.XLOOKUP(FACT_IMPORTS[[#This Row],[hts_6]],DIM_PRODUCTS[hts_6],DIM_PRODUCTS[hts_4],,,)</f>
        <v>8501</v>
      </c>
      <c r="I1516" t="str" cm="1">
        <f t="array" ref="I1516">_xlfn.XLOOKUP(FACT_IMPORTS[[#This Row],[country_name]],DIM_COUNTRY[[#All],[Column2]],DIM_COUNTRY[[#All],[Column3]],,,)</f>
        <v>USMCA</v>
      </c>
    </row>
    <row r="1517" spans="1:9" x14ac:dyDescent="0.4">
      <c r="A1517" t="s">
        <v>61</v>
      </c>
      <c r="B1517" s="1">
        <v>45566</v>
      </c>
      <c r="C1517">
        <v>850133</v>
      </c>
      <c r="D1517" t="s">
        <v>176</v>
      </c>
      <c r="E1517">
        <v>10500</v>
      </c>
      <c r="F1517">
        <v>7</v>
      </c>
      <c r="G1517">
        <v>250</v>
      </c>
      <c r="H1517">
        <f>_xlfn.XLOOKUP(FACT_IMPORTS[[#This Row],[hts_6]],DIM_PRODUCTS[hts_6],DIM_PRODUCTS[hts_4],,,)</f>
        <v>8501</v>
      </c>
      <c r="I1517" t="str" cm="1">
        <f t="array" ref="I1517">_xlfn.XLOOKUP(FACT_IMPORTS[[#This Row],[country_name]],DIM_COUNTRY[[#All],[Column2]],DIM_COUNTRY[[#All],[Column3]],,,)</f>
        <v>USMCA</v>
      </c>
    </row>
    <row r="1518" spans="1:9" x14ac:dyDescent="0.4">
      <c r="A1518" t="s">
        <v>61</v>
      </c>
      <c r="B1518" s="1">
        <v>45566</v>
      </c>
      <c r="C1518">
        <v>850134</v>
      </c>
      <c r="D1518" t="s">
        <v>176</v>
      </c>
      <c r="E1518">
        <v>1131900</v>
      </c>
      <c r="F1518">
        <v>12</v>
      </c>
      <c r="G1518">
        <v>2145</v>
      </c>
      <c r="H1518">
        <f>_xlfn.XLOOKUP(FACT_IMPORTS[[#This Row],[hts_6]],DIM_PRODUCTS[hts_6],DIM_PRODUCTS[hts_4],,,)</f>
        <v>8501</v>
      </c>
      <c r="I1518" t="str" cm="1">
        <f t="array" ref="I1518">_xlfn.XLOOKUP(FACT_IMPORTS[[#This Row],[country_name]],DIM_COUNTRY[[#All],[Column2]],DIM_COUNTRY[[#All],[Column3]],,,)</f>
        <v>USMCA</v>
      </c>
    </row>
    <row r="1519" spans="1:9" x14ac:dyDescent="0.4">
      <c r="A1519" t="s">
        <v>61</v>
      </c>
      <c r="B1519" s="1">
        <v>45566</v>
      </c>
      <c r="C1519">
        <v>850152</v>
      </c>
      <c r="D1519" t="s">
        <v>176</v>
      </c>
      <c r="E1519">
        <v>532309</v>
      </c>
      <c r="F1519">
        <v>132</v>
      </c>
      <c r="G1519">
        <v>10472</v>
      </c>
      <c r="H1519">
        <f>_xlfn.XLOOKUP(FACT_IMPORTS[[#This Row],[hts_6]],DIM_PRODUCTS[hts_6],DIM_PRODUCTS[hts_4],,,)</f>
        <v>8501</v>
      </c>
      <c r="I1519" t="str" cm="1">
        <f t="array" ref="I1519">_xlfn.XLOOKUP(FACT_IMPORTS[[#This Row],[country_name]],DIM_COUNTRY[[#All],[Column2]],DIM_COUNTRY[[#All],[Column3]],,,)</f>
        <v>USMCA</v>
      </c>
    </row>
    <row r="1520" spans="1:9" x14ac:dyDescent="0.4">
      <c r="A1520" t="s">
        <v>61</v>
      </c>
      <c r="B1520" s="1">
        <v>45566</v>
      </c>
      <c r="C1520">
        <v>850153</v>
      </c>
      <c r="D1520" t="s">
        <v>176</v>
      </c>
      <c r="E1520">
        <v>954747</v>
      </c>
      <c r="F1520">
        <v>27</v>
      </c>
      <c r="G1520">
        <v>3854</v>
      </c>
      <c r="H1520">
        <f>_xlfn.XLOOKUP(FACT_IMPORTS[[#This Row],[hts_6]],DIM_PRODUCTS[hts_6],DIM_PRODUCTS[hts_4],,,)</f>
        <v>8501</v>
      </c>
      <c r="I1520" t="str" cm="1">
        <f t="array" ref="I1520">_xlfn.XLOOKUP(FACT_IMPORTS[[#This Row],[country_name]],DIM_COUNTRY[[#All],[Column2]],DIM_COUNTRY[[#All],[Column3]],,,)</f>
        <v>USMCA</v>
      </c>
    </row>
    <row r="1521" spans="1:9" x14ac:dyDescent="0.4">
      <c r="A1521" t="s">
        <v>61</v>
      </c>
      <c r="B1521" s="1">
        <v>45566</v>
      </c>
      <c r="C1521">
        <v>850161</v>
      </c>
      <c r="D1521" t="s">
        <v>176</v>
      </c>
      <c r="E1521">
        <v>23678</v>
      </c>
      <c r="F1521">
        <v>6</v>
      </c>
      <c r="G1521">
        <v>155</v>
      </c>
      <c r="H1521">
        <f>_xlfn.XLOOKUP(FACT_IMPORTS[[#This Row],[hts_6]],DIM_PRODUCTS[hts_6],DIM_PRODUCTS[hts_4],,,)</f>
        <v>8501</v>
      </c>
      <c r="I1521" t="str" cm="1">
        <f t="array" ref="I1521">_xlfn.XLOOKUP(FACT_IMPORTS[[#This Row],[country_name]],DIM_COUNTRY[[#All],[Column2]],DIM_COUNTRY[[#All],[Column3]],,,)</f>
        <v>USMCA</v>
      </c>
    </row>
    <row r="1522" spans="1:9" x14ac:dyDescent="0.4">
      <c r="A1522" t="s">
        <v>61</v>
      </c>
      <c r="B1522" s="1">
        <v>45566</v>
      </c>
      <c r="C1522">
        <v>850440</v>
      </c>
      <c r="D1522" t="s">
        <v>176</v>
      </c>
      <c r="E1522">
        <v>4978413</v>
      </c>
      <c r="F1522">
        <v>28207</v>
      </c>
      <c r="G1522">
        <v>72311</v>
      </c>
      <c r="H1522">
        <f>_xlfn.XLOOKUP(FACT_IMPORTS[[#This Row],[hts_6]],DIM_PRODUCTS[hts_6],DIM_PRODUCTS[hts_4],,,)</f>
        <v>8504</v>
      </c>
      <c r="I1522" t="str" cm="1">
        <f t="array" ref="I1522">_xlfn.XLOOKUP(FACT_IMPORTS[[#This Row],[country_name]],DIM_COUNTRY[[#All],[Column2]],DIM_COUNTRY[[#All],[Column3]],,,)</f>
        <v>USMCA</v>
      </c>
    </row>
    <row r="1523" spans="1:9" x14ac:dyDescent="0.4">
      <c r="A1523" t="s">
        <v>61</v>
      </c>
      <c r="B1523" s="1">
        <v>45566</v>
      </c>
      <c r="C1523">
        <v>850710</v>
      </c>
      <c r="D1523" t="s">
        <v>176</v>
      </c>
      <c r="E1523">
        <v>672208</v>
      </c>
      <c r="F1523">
        <v>2199</v>
      </c>
      <c r="G1523">
        <v>34705</v>
      </c>
      <c r="H1523">
        <f>_xlfn.XLOOKUP(FACT_IMPORTS[[#This Row],[hts_6]],DIM_PRODUCTS[hts_6],DIM_PRODUCTS[hts_4],,,)</f>
        <v>8507</v>
      </c>
      <c r="I1523" t="str" cm="1">
        <f t="array" ref="I1523">_xlfn.XLOOKUP(FACT_IMPORTS[[#This Row],[country_name]],DIM_COUNTRY[[#All],[Column2]],DIM_COUNTRY[[#All],[Column3]],,,)</f>
        <v>USMCA</v>
      </c>
    </row>
    <row r="1524" spans="1:9" x14ac:dyDescent="0.4">
      <c r="A1524" t="s">
        <v>61</v>
      </c>
      <c r="B1524" s="1">
        <v>45566</v>
      </c>
      <c r="C1524">
        <v>850760</v>
      </c>
      <c r="D1524" t="s">
        <v>176</v>
      </c>
      <c r="E1524">
        <v>138565559</v>
      </c>
      <c r="F1524">
        <v>85775</v>
      </c>
      <c r="G1524">
        <v>85769</v>
      </c>
      <c r="H1524">
        <f>_xlfn.XLOOKUP(FACT_IMPORTS[[#This Row],[hts_6]],DIM_PRODUCTS[hts_6],DIM_PRODUCTS[hts_4],,,)</f>
        <v>8507</v>
      </c>
      <c r="I1524" t="str" cm="1">
        <f t="array" ref="I1524">_xlfn.XLOOKUP(FACT_IMPORTS[[#This Row],[country_name]],DIM_COUNTRY[[#All],[Column2]],DIM_COUNTRY[[#All],[Column3]],,,)</f>
        <v>USMCA</v>
      </c>
    </row>
    <row r="1525" spans="1:9" x14ac:dyDescent="0.4">
      <c r="A1525" t="s">
        <v>61</v>
      </c>
      <c r="B1525" s="1">
        <v>45566</v>
      </c>
      <c r="C1525">
        <v>850790</v>
      </c>
      <c r="D1525" t="s">
        <v>176</v>
      </c>
      <c r="E1525">
        <v>896542</v>
      </c>
      <c r="F1525">
        <v>63000</v>
      </c>
      <c r="G1525">
        <v>1386</v>
      </c>
      <c r="H1525">
        <f>_xlfn.XLOOKUP(FACT_IMPORTS[[#This Row],[hts_6]],DIM_PRODUCTS[hts_6],DIM_PRODUCTS[hts_4],,,)</f>
        <v>8507</v>
      </c>
      <c r="I1525" t="str" cm="1">
        <f t="array" ref="I1525">_xlfn.XLOOKUP(FACT_IMPORTS[[#This Row],[country_name]],DIM_COUNTRY[[#All],[Column2]],DIM_COUNTRY[[#All],[Column3]],,,)</f>
        <v>USMCA</v>
      </c>
    </row>
    <row r="1526" spans="1:9" x14ac:dyDescent="0.4">
      <c r="A1526" t="s">
        <v>61</v>
      </c>
      <c r="B1526" s="1">
        <v>45566</v>
      </c>
      <c r="C1526">
        <v>851110</v>
      </c>
      <c r="D1526" t="s">
        <v>176</v>
      </c>
      <c r="E1526">
        <v>91744</v>
      </c>
      <c r="F1526">
        <v>5</v>
      </c>
      <c r="G1526">
        <v>78</v>
      </c>
      <c r="H1526">
        <f>_xlfn.XLOOKUP(FACT_IMPORTS[[#This Row],[hts_6]],DIM_PRODUCTS[hts_6],DIM_PRODUCTS[hts_4],,,)</f>
        <v>8511</v>
      </c>
      <c r="I1526" t="str" cm="1">
        <f t="array" ref="I1526">_xlfn.XLOOKUP(FACT_IMPORTS[[#This Row],[country_name]],DIM_COUNTRY[[#All],[Column2]],DIM_COUNTRY[[#All],[Column3]],,,)</f>
        <v>USMCA</v>
      </c>
    </row>
    <row r="1527" spans="1:9" x14ac:dyDescent="0.4">
      <c r="A1527" t="s">
        <v>61</v>
      </c>
      <c r="B1527" s="1">
        <v>45566</v>
      </c>
      <c r="C1527">
        <v>851120</v>
      </c>
      <c r="D1527" t="s">
        <v>176</v>
      </c>
      <c r="E1527">
        <v>0</v>
      </c>
      <c r="F1527">
        <v>0</v>
      </c>
      <c r="G1527">
        <v>0</v>
      </c>
      <c r="H1527">
        <f>_xlfn.XLOOKUP(FACT_IMPORTS[[#This Row],[hts_6]],DIM_PRODUCTS[hts_6],DIM_PRODUCTS[hts_4],,,)</f>
        <v>8511</v>
      </c>
      <c r="I1527" t="str" cm="1">
        <f t="array" ref="I1527">_xlfn.XLOOKUP(FACT_IMPORTS[[#This Row],[country_name]],DIM_COUNTRY[[#All],[Column2]],DIM_COUNTRY[[#All],[Column3]],,,)</f>
        <v>USMCA</v>
      </c>
    </row>
    <row r="1528" spans="1:9" x14ac:dyDescent="0.4">
      <c r="A1528" t="s">
        <v>61</v>
      </c>
      <c r="B1528" s="1">
        <v>45566</v>
      </c>
      <c r="C1528">
        <v>851130</v>
      </c>
      <c r="D1528" t="s">
        <v>176</v>
      </c>
      <c r="E1528">
        <v>9928</v>
      </c>
      <c r="F1528">
        <v>4506</v>
      </c>
      <c r="G1528">
        <v>67</v>
      </c>
      <c r="H1528">
        <f>_xlfn.XLOOKUP(FACT_IMPORTS[[#This Row],[hts_6]],DIM_PRODUCTS[hts_6],DIM_PRODUCTS[hts_4],,,)</f>
        <v>8511</v>
      </c>
      <c r="I1528" t="str" cm="1">
        <f t="array" ref="I1528">_xlfn.XLOOKUP(FACT_IMPORTS[[#This Row],[country_name]],DIM_COUNTRY[[#All],[Column2]],DIM_COUNTRY[[#All],[Column3]],,,)</f>
        <v>USMCA</v>
      </c>
    </row>
    <row r="1529" spans="1:9" x14ac:dyDescent="0.4">
      <c r="A1529" t="s">
        <v>61</v>
      </c>
      <c r="B1529" s="1">
        <v>45566</v>
      </c>
      <c r="C1529">
        <v>851140</v>
      </c>
      <c r="D1529" t="s">
        <v>176</v>
      </c>
      <c r="E1529">
        <v>542980</v>
      </c>
      <c r="F1529">
        <v>7967</v>
      </c>
      <c r="G1529">
        <v>3569</v>
      </c>
      <c r="H1529">
        <f>_xlfn.XLOOKUP(FACT_IMPORTS[[#This Row],[hts_6]],DIM_PRODUCTS[hts_6],DIM_PRODUCTS[hts_4],,,)</f>
        <v>8511</v>
      </c>
      <c r="I1529" t="str" cm="1">
        <f t="array" ref="I1529">_xlfn.XLOOKUP(FACT_IMPORTS[[#This Row],[country_name]],DIM_COUNTRY[[#All],[Column2]],DIM_COUNTRY[[#All],[Column3]],,,)</f>
        <v>USMCA</v>
      </c>
    </row>
    <row r="1530" spans="1:9" x14ac:dyDescent="0.4">
      <c r="A1530" t="s">
        <v>61</v>
      </c>
      <c r="B1530" s="1">
        <v>45566</v>
      </c>
      <c r="C1530">
        <v>851150</v>
      </c>
      <c r="D1530" t="s">
        <v>176</v>
      </c>
      <c r="E1530">
        <v>336034</v>
      </c>
      <c r="F1530">
        <v>5826</v>
      </c>
      <c r="G1530">
        <v>2477</v>
      </c>
      <c r="H1530">
        <f>_xlfn.XLOOKUP(FACT_IMPORTS[[#This Row],[hts_6]],DIM_PRODUCTS[hts_6],DIM_PRODUCTS[hts_4],,,)</f>
        <v>8511</v>
      </c>
      <c r="I1530" t="str" cm="1">
        <f t="array" ref="I1530">_xlfn.XLOOKUP(FACT_IMPORTS[[#This Row],[country_name]],DIM_COUNTRY[[#All],[Column2]],DIM_COUNTRY[[#All],[Column3]],,,)</f>
        <v>USMCA</v>
      </c>
    </row>
    <row r="1531" spans="1:9" x14ac:dyDescent="0.4">
      <c r="A1531" t="s">
        <v>61</v>
      </c>
      <c r="B1531" s="1">
        <v>45566</v>
      </c>
      <c r="C1531">
        <v>851180</v>
      </c>
      <c r="D1531" t="s">
        <v>176</v>
      </c>
      <c r="E1531">
        <v>11217</v>
      </c>
      <c r="F1531">
        <v>51</v>
      </c>
      <c r="G1531">
        <v>424</v>
      </c>
      <c r="H1531">
        <f>_xlfn.XLOOKUP(FACT_IMPORTS[[#This Row],[hts_6]],DIM_PRODUCTS[hts_6],DIM_PRODUCTS[hts_4],,,)</f>
        <v>8511</v>
      </c>
      <c r="I1531" t="str" cm="1">
        <f t="array" ref="I1531">_xlfn.XLOOKUP(FACT_IMPORTS[[#This Row],[country_name]],DIM_COUNTRY[[#All],[Column2]],DIM_COUNTRY[[#All],[Column3]],,,)</f>
        <v>USMCA</v>
      </c>
    </row>
    <row r="1532" spans="1:9" x14ac:dyDescent="0.4">
      <c r="A1532" t="s">
        <v>61</v>
      </c>
      <c r="B1532" s="1">
        <v>45566</v>
      </c>
      <c r="C1532">
        <v>851190</v>
      </c>
      <c r="D1532" t="s">
        <v>176</v>
      </c>
      <c r="E1532">
        <v>621410</v>
      </c>
      <c r="F1532">
        <v>7557</v>
      </c>
      <c r="G1532">
        <v>1600</v>
      </c>
      <c r="H1532">
        <f>_xlfn.XLOOKUP(FACT_IMPORTS[[#This Row],[hts_6]],DIM_PRODUCTS[hts_6],DIM_PRODUCTS[hts_4],,,)</f>
        <v>8511</v>
      </c>
      <c r="I1532" t="str" cm="1">
        <f t="array" ref="I1532">_xlfn.XLOOKUP(FACT_IMPORTS[[#This Row],[country_name]],DIM_COUNTRY[[#All],[Column2]],DIM_COUNTRY[[#All],[Column3]],,,)</f>
        <v>USMCA</v>
      </c>
    </row>
    <row r="1533" spans="1:9" x14ac:dyDescent="0.4">
      <c r="A1533" t="s">
        <v>61</v>
      </c>
      <c r="B1533" s="1">
        <v>45566</v>
      </c>
      <c r="C1533">
        <v>851220</v>
      </c>
      <c r="D1533" t="s">
        <v>176</v>
      </c>
      <c r="E1533">
        <v>17935853</v>
      </c>
      <c r="F1533">
        <v>354848</v>
      </c>
      <c r="G1533">
        <v>76953</v>
      </c>
      <c r="H1533">
        <f>_xlfn.XLOOKUP(FACT_IMPORTS[[#This Row],[hts_6]],DIM_PRODUCTS[hts_6],DIM_PRODUCTS[hts_4],,,)</f>
        <v>8512</v>
      </c>
      <c r="I1533" t="str" cm="1">
        <f t="array" ref="I1533">_xlfn.XLOOKUP(FACT_IMPORTS[[#This Row],[country_name]],DIM_COUNTRY[[#All],[Column2]],DIM_COUNTRY[[#All],[Column3]],,,)</f>
        <v>USMCA</v>
      </c>
    </row>
    <row r="1534" spans="1:9" x14ac:dyDescent="0.4">
      <c r="A1534" t="s">
        <v>61</v>
      </c>
      <c r="B1534" s="1">
        <v>45566</v>
      </c>
      <c r="C1534">
        <v>851230</v>
      </c>
      <c r="D1534" t="s">
        <v>176</v>
      </c>
      <c r="E1534">
        <v>56725</v>
      </c>
      <c r="F1534">
        <v>484</v>
      </c>
      <c r="G1534">
        <v>1186</v>
      </c>
      <c r="H1534">
        <f>_xlfn.XLOOKUP(FACT_IMPORTS[[#This Row],[hts_6]],DIM_PRODUCTS[hts_6],DIM_PRODUCTS[hts_4],,,)</f>
        <v>8512</v>
      </c>
      <c r="I1534" t="str" cm="1">
        <f t="array" ref="I1534">_xlfn.XLOOKUP(FACT_IMPORTS[[#This Row],[country_name]],DIM_COUNTRY[[#All],[Column2]],DIM_COUNTRY[[#All],[Column3]],,,)</f>
        <v>USMCA</v>
      </c>
    </row>
    <row r="1535" spans="1:9" x14ac:dyDescent="0.4">
      <c r="A1535" t="s">
        <v>61</v>
      </c>
      <c r="B1535" s="1">
        <v>45566</v>
      </c>
      <c r="C1535">
        <v>851240</v>
      </c>
      <c r="D1535" t="s">
        <v>176</v>
      </c>
      <c r="E1535">
        <v>7431</v>
      </c>
      <c r="F1535">
        <v>27</v>
      </c>
      <c r="G1535">
        <v>7</v>
      </c>
      <c r="H1535">
        <f>_xlfn.XLOOKUP(FACT_IMPORTS[[#This Row],[hts_6]],DIM_PRODUCTS[hts_6],DIM_PRODUCTS[hts_4],,,)</f>
        <v>8512</v>
      </c>
      <c r="I1535" t="str" cm="1">
        <f t="array" ref="I1535">_xlfn.XLOOKUP(FACT_IMPORTS[[#This Row],[country_name]],DIM_COUNTRY[[#All],[Column2]],DIM_COUNTRY[[#All],[Column3]],,,)</f>
        <v>USMCA</v>
      </c>
    </row>
    <row r="1536" spans="1:9" x14ac:dyDescent="0.4">
      <c r="A1536" t="s">
        <v>61</v>
      </c>
      <c r="B1536" s="1">
        <v>45566</v>
      </c>
      <c r="C1536">
        <v>851290</v>
      </c>
      <c r="D1536" t="s">
        <v>176</v>
      </c>
      <c r="E1536">
        <v>2069654</v>
      </c>
      <c r="F1536">
        <v>27262</v>
      </c>
      <c r="G1536">
        <v>6461</v>
      </c>
      <c r="H1536">
        <f>_xlfn.XLOOKUP(FACT_IMPORTS[[#This Row],[hts_6]],DIM_PRODUCTS[hts_6],DIM_PRODUCTS[hts_4],,,)</f>
        <v>8512</v>
      </c>
      <c r="I1536" t="str" cm="1">
        <f t="array" ref="I1536">_xlfn.XLOOKUP(FACT_IMPORTS[[#This Row],[country_name]],DIM_COUNTRY[[#All],[Column2]],DIM_COUNTRY[[#All],[Column3]],,,)</f>
        <v>USMCA</v>
      </c>
    </row>
    <row r="1537" spans="1:9" x14ac:dyDescent="0.4">
      <c r="A1537" t="s">
        <v>61</v>
      </c>
      <c r="B1537" s="1">
        <v>45566</v>
      </c>
      <c r="C1537">
        <v>854231</v>
      </c>
      <c r="D1537" t="s">
        <v>176</v>
      </c>
      <c r="E1537">
        <v>59118</v>
      </c>
      <c r="F1537">
        <v>3263</v>
      </c>
      <c r="G1537">
        <v>510</v>
      </c>
      <c r="H1537">
        <f>_xlfn.XLOOKUP(FACT_IMPORTS[[#This Row],[hts_6]],DIM_PRODUCTS[hts_6],DIM_PRODUCTS[hts_4],,,)</f>
        <v>8542</v>
      </c>
      <c r="I1537" t="str" cm="1">
        <f t="array" ref="I1537">_xlfn.XLOOKUP(FACT_IMPORTS[[#This Row],[country_name]],DIM_COUNTRY[[#All],[Column2]],DIM_COUNTRY[[#All],[Column3]],,,)</f>
        <v>USMCA</v>
      </c>
    </row>
    <row r="1538" spans="1:9" x14ac:dyDescent="0.4">
      <c r="A1538" t="s">
        <v>61</v>
      </c>
      <c r="B1538" s="1">
        <v>45566</v>
      </c>
      <c r="C1538">
        <v>854232</v>
      </c>
      <c r="D1538" t="s">
        <v>176</v>
      </c>
      <c r="E1538">
        <v>12868</v>
      </c>
      <c r="F1538">
        <v>6001</v>
      </c>
      <c r="G1538">
        <v>174</v>
      </c>
      <c r="H1538">
        <f>_xlfn.XLOOKUP(FACT_IMPORTS[[#This Row],[hts_6]],DIM_PRODUCTS[hts_6],DIM_PRODUCTS[hts_4],,,)</f>
        <v>8542</v>
      </c>
      <c r="I1538" t="str" cm="1">
        <f t="array" ref="I1538">_xlfn.XLOOKUP(FACT_IMPORTS[[#This Row],[country_name]],DIM_COUNTRY[[#All],[Column2]],DIM_COUNTRY[[#All],[Column3]],,,)</f>
        <v>USMCA</v>
      </c>
    </row>
    <row r="1539" spans="1:9" x14ac:dyDescent="0.4">
      <c r="A1539" t="s">
        <v>61</v>
      </c>
      <c r="B1539" s="1">
        <v>45566</v>
      </c>
      <c r="C1539">
        <v>854233</v>
      </c>
      <c r="D1539" t="s">
        <v>176</v>
      </c>
      <c r="E1539">
        <v>0</v>
      </c>
      <c r="F1539">
        <v>0</v>
      </c>
      <c r="G1539">
        <v>0</v>
      </c>
      <c r="H1539">
        <f>_xlfn.XLOOKUP(FACT_IMPORTS[[#This Row],[hts_6]],DIM_PRODUCTS[hts_6],DIM_PRODUCTS[hts_4],,,)</f>
        <v>8542</v>
      </c>
      <c r="I1539" t="str" cm="1">
        <f t="array" ref="I1539">_xlfn.XLOOKUP(FACT_IMPORTS[[#This Row],[country_name]],DIM_COUNTRY[[#All],[Column2]],DIM_COUNTRY[[#All],[Column3]],,,)</f>
        <v>USMCA</v>
      </c>
    </row>
    <row r="1540" spans="1:9" x14ac:dyDescent="0.4">
      <c r="A1540" t="s">
        <v>61</v>
      </c>
      <c r="B1540" s="1">
        <v>45566</v>
      </c>
      <c r="C1540">
        <v>854239</v>
      </c>
      <c r="D1540" t="s">
        <v>176</v>
      </c>
      <c r="E1540">
        <v>17344</v>
      </c>
      <c r="F1540">
        <v>10</v>
      </c>
      <c r="G1540">
        <v>160</v>
      </c>
      <c r="H1540">
        <f>_xlfn.XLOOKUP(FACT_IMPORTS[[#This Row],[hts_6]],DIM_PRODUCTS[hts_6],DIM_PRODUCTS[hts_4],,,)</f>
        <v>8542</v>
      </c>
      <c r="I1540" t="str" cm="1">
        <f t="array" ref="I1540">_xlfn.XLOOKUP(FACT_IMPORTS[[#This Row],[country_name]],DIM_COUNTRY[[#All],[Column2]],DIM_COUNTRY[[#All],[Column3]],,,)</f>
        <v>USMCA</v>
      </c>
    </row>
    <row r="1541" spans="1:9" x14ac:dyDescent="0.4">
      <c r="A1541" t="s">
        <v>61</v>
      </c>
      <c r="B1541" s="1">
        <v>45566</v>
      </c>
      <c r="C1541">
        <v>854290</v>
      </c>
      <c r="D1541" t="s">
        <v>176</v>
      </c>
      <c r="E1541">
        <v>38318</v>
      </c>
      <c r="F1541">
        <v>102</v>
      </c>
      <c r="G1541">
        <v>1382</v>
      </c>
      <c r="H1541">
        <f>_xlfn.XLOOKUP(FACT_IMPORTS[[#This Row],[hts_6]],DIM_PRODUCTS[hts_6],DIM_PRODUCTS[hts_4],,,)</f>
        <v>8542</v>
      </c>
      <c r="I1541" t="str" cm="1">
        <f t="array" ref="I1541">_xlfn.XLOOKUP(FACT_IMPORTS[[#This Row],[country_name]],DIM_COUNTRY[[#All],[Column2]],DIM_COUNTRY[[#All],[Column3]],,,)</f>
        <v>USMCA</v>
      </c>
    </row>
    <row r="1542" spans="1:9" x14ac:dyDescent="0.4">
      <c r="A1542" t="s">
        <v>61</v>
      </c>
      <c r="B1542" s="1">
        <v>45566</v>
      </c>
      <c r="C1542">
        <v>854430</v>
      </c>
      <c r="D1542" t="s">
        <v>176</v>
      </c>
      <c r="E1542">
        <v>2013236</v>
      </c>
      <c r="F1542">
        <v>26206</v>
      </c>
      <c r="G1542">
        <v>12537</v>
      </c>
      <c r="H1542">
        <f>_xlfn.XLOOKUP(FACT_IMPORTS[[#This Row],[hts_6]],DIM_PRODUCTS[hts_6],DIM_PRODUCTS[hts_4],,,)</f>
        <v>8544</v>
      </c>
      <c r="I1542" t="str" cm="1">
        <f t="array" ref="I1542">_xlfn.XLOOKUP(FACT_IMPORTS[[#This Row],[country_name]],DIM_COUNTRY[[#All],[Column2]],DIM_COUNTRY[[#All],[Column3]],,,)</f>
        <v>USMCA</v>
      </c>
    </row>
    <row r="1543" spans="1:9" x14ac:dyDescent="0.4">
      <c r="A1543" t="s">
        <v>61</v>
      </c>
      <c r="B1543" s="1">
        <v>45566</v>
      </c>
      <c r="C1543">
        <v>870600</v>
      </c>
      <c r="D1543" t="s">
        <v>176</v>
      </c>
      <c r="E1543">
        <v>0</v>
      </c>
      <c r="F1543">
        <v>0</v>
      </c>
      <c r="G1543">
        <v>0</v>
      </c>
      <c r="H1543">
        <f>_xlfn.XLOOKUP(FACT_IMPORTS[[#This Row],[hts_6]],DIM_PRODUCTS[hts_6],DIM_PRODUCTS[hts_4],,,)</f>
        <v>8706</v>
      </c>
      <c r="I1543" t="str" cm="1">
        <f t="array" ref="I1543">_xlfn.XLOOKUP(FACT_IMPORTS[[#This Row],[country_name]],DIM_COUNTRY[[#All],[Column2]],DIM_COUNTRY[[#All],[Column3]],,,)</f>
        <v>USMCA</v>
      </c>
    </row>
    <row r="1544" spans="1:9" x14ac:dyDescent="0.4">
      <c r="A1544" t="s">
        <v>61</v>
      </c>
      <c r="B1544" s="1">
        <v>45566</v>
      </c>
      <c r="C1544">
        <v>870710</v>
      </c>
      <c r="D1544" t="s">
        <v>176</v>
      </c>
      <c r="E1544">
        <v>57848</v>
      </c>
      <c r="F1544">
        <v>11</v>
      </c>
      <c r="G1544">
        <v>1190</v>
      </c>
      <c r="H1544">
        <f>_xlfn.XLOOKUP(FACT_IMPORTS[[#This Row],[hts_6]],DIM_PRODUCTS[hts_6],DIM_PRODUCTS[hts_4],,,)</f>
        <v>8707</v>
      </c>
      <c r="I1544" t="str" cm="1">
        <f t="array" ref="I1544">_xlfn.XLOOKUP(FACT_IMPORTS[[#This Row],[country_name]],DIM_COUNTRY[[#All],[Column2]],DIM_COUNTRY[[#All],[Column3]],,,)</f>
        <v>USMCA</v>
      </c>
    </row>
    <row r="1545" spans="1:9" x14ac:dyDescent="0.4">
      <c r="A1545" t="s">
        <v>61</v>
      </c>
      <c r="B1545" s="1">
        <v>45566</v>
      </c>
      <c r="C1545">
        <v>870790</v>
      </c>
      <c r="D1545" t="s">
        <v>176</v>
      </c>
      <c r="E1545">
        <v>3541971</v>
      </c>
      <c r="F1545">
        <v>265</v>
      </c>
      <c r="G1545">
        <v>59698</v>
      </c>
      <c r="H1545">
        <f>_xlfn.XLOOKUP(FACT_IMPORTS[[#This Row],[hts_6]],DIM_PRODUCTS[hts_6],DIM_PRODUCTS[hts_4],,,)</f>
        <v>8707</v>
      </c>
      <c r="I1545" t="str" cm="1">
        <f t="array" ref="I1545">_xlfn.XLOOKUP(FACT_IMPORTS[[#This Row],[country_name]],DIM_COUNTRY[[#All],[Column2]],DIM_COUNTRY[[#All],[Column3]],,,)</f>
        <v>USMCA</v>
      </c>
    </row>
    <row r="1546" spans="1:9" x14ac:dyDescent="0.4">
      <c r="A1546" t="s">
        <v>61</v>
      </c>
      <c r="B1546" s="1">
        <v>45566</v>
      </c>
      <c r="C1546">
        <v>870810</v>
      </c>
      <c r="D1546" t="s">
        <v>176</v>
      </c>
      <c r="E1546">
        <v>25820699</v>
      </c>
      <c r="F1546">
        <v>1043515</v>
      </c>
      <c r="G1546">
        <v>420951</v>
      </c>
      <c r="H1546">
        <f>_xlfn.XLOOKUP(FACT_IMPORTS[[#This Row],[hts_6]],DIM_PRODUCTS[hts_6],DIM_PRODUCTS[hts_4],,,)</f>
        <v>8708</v>
      </c>
      <c r="I1546" t="str" cm="1">
        <f t="array" ref="I1546">_xlfn.XLOOKUP(FACT_IMPORTS[[#This Row],[country_name]],DIM_COUNTRY[[#All],[Column2]],DIM_COUNTRY[[#All],[Column3]],,,)</f>
        <v>USMCA</v>
      </c>
    </row>
    <row r="1547" spans="1:9" x14ac:dyDescent="0.4">
      <c r="A1547" t="s">
        <v>61</v>
      </c>
      <c r="B1547" s="1">
        <v>45566</v>
      </c>
      <c r="C1547">
        <v>870821</v>
      </c>
      <c r="D1547" t="s">
        <v>176</v>
      </c>
      <c r="E1547">
        <v>387267</v>
      </c>
      <c r="F1547">
        <v>16203</v>
      </c>
      <c r="G1547">
        <v>2772</v>
      </c>
      <c r="H1547">
        <f>_xlfn.XLOOKUP(FACT_IMPORTS[[#This Row],[hts_6]],DIM_PRODUCTS[hts_6],DIM_PRODUCTS[hts_4],,,)</f>
        <v>8708</v>
      </c>
      <c r="I1547" t="str" cm="1">
        <f t="array" ref="I1547">_xlfn.XLOOKUP(FACT_IMPORTS[[#This Row],[country_name]],DIM_COUNTRY[[#All],[Column2]],DIM_COUNTRY[[#All],[Column3]],,,)</f>
        <v>USMCA</v>
      </c>
    </row>
    <row r="1548" spans="1:9" x14ac:dyDescent="0.4">
      <c r="A1548" t="s">
        <v>61</v>
      </c>
      <c r="B1548" s="1">
        <v>45566</v>
      </c>
      <c r="C1548">
        <v>870822</v>
      </c>
      <c r="D1548" t="s">
        <v>176</v>
      </c>
      <c r="E1548">
        <v>5035433</v>
      </c>
      <c r="F1548">
        <v>94277</v>
      </c>
      <c r="G1548">
        <v>154784</v>
      </c>
      <c r="H1548">
        <f>_xlfn.XLOOKUP(FACT_IMPORTS[[#This Row],[hts_6]],DIM_PRODUCTS[hts_6],DIM_PRODUCTS[hts_4],,,)</f>
        <v>8708</v>
      </c>
      <c r="I1548" t="str" cm="1">
        <f t="array" ref="I1548">_xlfn.XLOOKUP(FACT_IMPORTS[[#This Row],[country_name]],DIM_COUNTRY[[#All],[Column2]],DIM_COUNTRY[[#All],[Column3]],,,)</f>
        <v>USMCA</v>
      </c>
    </row>
    <row r="1549" spans="1:9" x14ac:dyDescent="0.4">
      <c r="A1549" t="s">
        <v>61</v>
      </c>
      <c r="B1549" s="1">
        <v>45566</v>
      </c>
      <c r="C1549">
        <v>870829</v>
      </c>
      <c r="D1549" t="s">
        <v>176</v>
      </c>
      <c r="E1549">
        <v>369862300</v>
      </c>
      <c r="F1549">
        <v>58719698</v>
      </c>
      <c r="G1549">
        <v>6663128</v>
      </c>
      <c r="H1549">
        <f>_xlfn.XLOOKUP(FACT_IMPORTS[[#This Row],[hts_6]],DIM_PRODUCTS[hts_6],DIM_PRODUCTS[hts_4],,,)</f>
        <v>8708</v>
      </c>
      <c r="I1549" t="str" cm="1">
        <f t="array" ref="I1549">_xlfn.XLOOKUP(FACT_IMPORTS[[#This Row],[country_name]],DIM_COUNTRY[[#All],[Column2]],DIM_COUNTRY[[#All],[Column3]],,,)</f>
        <v>USMCA</v>
      </c>
    </row>
    <row r="1550" spans="1:9" x14ac:dyDescent="0.4">
      <c r="A1550" t="s">
        <v>61</v>
      </c>
      <c r="B1550" s="1">
        <v>45566</v>
      </c>
      <c r="C1550">
        <v>870830</v>
      </c>
      <c r="D1550" t="s">
        <v>176</v>
      </c>
      <c r="E1550">
        <v>13618777</v>
      </c>
      <c r="F1550">
        <v>2602171</v>
      </c>
      <c r="G1550">
        <v>186982</v>
      </c>
      <c r="H1550">
        <f>_xlfn.XLOOKUP(FACT_IMPORTS[[#This Row],[hts_6]],DIM_PRODUCTS[hts_6],DIM_PRODUCTS[hts_4],,,)</f>
        <v>8708</v>
      </c>
      <c r="I1550" t="str" cm="1">
        <f t="array" ref="I1550">_xlfn.XLOOKUP(FACT_IMPORTS[[#This Row],[country_name]],DIM_COUNTRY[[#All],[Column2]],DIM_COUNTRY[[#All],[Column3]],,,)</f>
        <v>USMCA</v>
      </c>
    </row>
    <row r="1551" spans="1:9" x14ac:dyDescent="0.4">
      <c r="A1551" t="s">
        <v>61</v>
      </c>
      <c r="B1551" s="1">
        <v>45566</v>
      </c>
      <c r="C1551">
        <v>870840</v>
      </c>
      <c r="D1551" t="s">
        <v>176</v>
      </c>
      <c r="E1551">
        <v>94404927</v>
      </c>
      <c r="F1551">
        <v>4689973</v>
      </c>
      <c r="G1551">
        <v>370265</v>
      </c>
      <c r="H1551">
        <f>_xlfn.XLOOKUP(FACT_IMPORTS[[#This Row],[hts_6]],DIM_PRODUCTS[hts_6],DIM_PRODUCTS[hts_4],,,)</f>
        <v>8708</v>
      </c>
      <c r="I1551" t="str" cm="1">
        <f t="array" ref="I1551">_xlfn.XLOOKUP(FACT_IMPORTS[[#This Row],[country_name]],DIM_COUNTRY[[#All],[Column2]],DIM_COUNTRY[[#All],[Column3]],,,)</f>
        <v>USMCA</v>
      </c>
    </row>
    <row r="1552" spans="1:9" x14ac:dyDescent="0.4">
      <c r="A1552" t="s">
        <v>61</v>
      </c>
      <c r="B1552" s="1">
        <v>45566</v>
      </c>
      <c r="C1552">
        <v>870850</v>
      </c>
      <c r="D1552" t="s">
        <v>176</v>
      </c>
      <c r="E1552">
        <v>29258161</v>
      </c>
      <c r="F1552">
        <v>1871352</v>
      </c>
      <c r="G1552">
        <v>193855</v>
      </c>
      <c r="H1552">
        <f>_xlfn.XLOOKUP(FACT_IMPORTS[[#This Row],[hts_6]],DIM_PRODUCTS[hts_6],DIM_PRODUCTS[hts_4],,,)</f>
        <v>8708</v>
      </c>
      <c r="I1552" t="str" cm="1">
        <f t="array" ref="I1552">_xlfn.XLOOKUP(FACT_IMPORTS[[#This Row],[country_name]],DIM_COUNTRY[[#All],[Column2]],DIM_COUNTRY[[#All],[Column3]],,,)</f>
        <v>USMCA</v>
      </c>
    </row>
    <row r="1553" spans="1:9" x14ac:dyDescent="0.4">
      <c r="A1553" t="s">
        <v>61</v>
      </c>
      <c r="B1553" s="1">
        <v>45566</v>
      </c>
      <c r="C1553">
        <v>870870</v>
      </c>
      <c r="D1553" t="s">
        <v>176</v>
      </c>
      <c r="E1553">
        <v>6187357</v>
      </c>
      <c r="F1553">
        <v>5939389</v>
      </c>
      <c r="G1553">
        <v>83954</v>
      </c>
      <c r="H1553">
        <f>_xlfn.XLOOKUP(FACT_IMPORTS[[#This Row],[hts_6]],DIM_PRODUCTS[hts_6],DIM_PRODUCTS[hts_4],,,)</f>
        <v>8708</v>
      </c>
      <c r="I1553" t="str" cm="1">
        <f t="array" ref="I1553">_xlfn.XLOOKUP(FACT_IMPORTS[[#This Row],[country_name]],DIM_COUNTRY[[#All],[Column2]],DIM_COUNTRY[[#All],[Column3]],,,)</f>
        <v>USMCA</v>
      </c>
    </row>
    <row r="1554" spans="1:9" x14ac:dyDescent="0.4">
      <c r="A1554" t="s">
        <v>61</v>
      </c>
      <c r="B1554" s="1">
        <v>45566</v>
      </c>
      <c r="C1554">
        <v>870880</v>
      </c>
      <c r="D1554" t="s">
        <v>176</v>
      </c>
      <c r="E1554">
        <v>62508718</v>
      </c>
      <c r="F1554">
        <v>3041782</v>
      </c>
      <c r="G1554">
        <v>758455</v>
      </c>
      <c r="H1554">
        <f>_xlfn.XLOOKUP(FACT_IMPORTS[[#This Row],[hts_6]],DIM_PRODUCTS[hts_6],DIM_PRODUCTS[hts_4],,,)</f>
        <v>8708</v>
      </c>
      <c r="I1554" t="str" cm="1">
        <f t="array" ref="I1554">_xlfn.XLOOKUP(FACT_IMPORTS[[#This Row],[country_name]],DIM_COUNTRY[[#All],[Column2]],DIM_COUNTRY[[#All],[Column3]],,,)</f>
        <v>USMCA</v>
      </c>
    </row>
    <row r="1555" spans="1:9" x14ac:dyDescent="0.4">
      <c r="A1555" t="s">
        <v>61</v>
      </c>
      <c r="B1555" s="1">
        <v>45566</v>
      </c>
      <c r="C1555">
        <v>870891</v>
      </c>
      <c r="D1555" t="s">
        <v>176</v>
      </c>
      <c r="E1555">
        <v>10576680</v>
      </c>
      <c r="F1555">
        <v>534951</v>
      </c>
      <c r="G1555">
        <v>97429</v>
      </c>
      <c r="H1555">
        <f>_xlfn.XLOOKUP(FACT_IMPORTS[[#This Row],[hts_6]],DIM_PRODUCTS[hts_6],DIM_PRODUCTS[hts_4],,,)</f>
        <v>8708</v>
      </c>
      <c r="I1555" t="str" cm="1">
        <f t="array" ref="I1555">_xlfn.XLOOKUP(FACT_IMPORTS[[#This Row],[country_name]],DIM_COUNTRY[[#All],[Column2]],DIM_COUNTRY[[#All],[Column3]],,,)</f>
        <v>USMCA</v>
      </c>
    </row>
    <row r="1556" spans="1:9" x14ac:dyDescent="0.4">
      <c r="A1556" t="s">
        <v>61</v>
      </c>
      <c r="B1556" s="1">
        <v>45566</v>
      </c>
      <c r="C1556">
        <v>870892</v>
      </c>
      <c r="D1556" t="s">
        <v>176</v>
      </c>
      <c r="E1556">
        <v>12426570</v>
      </c>
      <c r="F1556">
        <v>966373</v>
      </c>
      <c r="G1556">
        <v>247232</v>
      </c>
      <c r="H1556">
        <f>_xlfn.XLOOKUP(FACT_IMPORTS[[#This Row],[hts_6]],DIM_PRODUCTS[hts_6],DIM_PRODUCTS[hts_4],,,)</f>
        <v>8708</v>
      </c>
      <c r="I1556" t="str" cm="1">
        <f t="array" ref="I1556">_xlfn.XLOOKUP(FACT_IMPORTS[[#This Row],[country_name]],DIM_COUNTRY[[#All],[Column2]],DIM_COUNTRY[[#All],[Column3]],,,)</f>
        <v>USMCA</v>
      </c>
    </row>
    <row r="1557" spans="1:9" x14ac:dyDescent="0.4">
      <c r="A1557" t="s">
        <v>61</v>
      </c>
      <c r="B1557" s="1">
        <v>45566</v>
      </c>
      <c r="C1557">
        <v>870893</v>
      </c>
      <c r="D1557" t="s">
        <v>176</v>
      </c>
      <c r="E1557">
        <v>55603427</v>
      </c>
      <c r="F1557">
        <v>1172443</v>
      </c>
      <c r="G1557">
        <v>56816</v>
      </c>
      <c r="H1557">
        <f>_xlfn.XLOOKUP(FACT_IMPORTS[[#This Row],[hts_6]],DIM_PRODUCTS[hts_6],DIM_PRODUCTS[hts_4],,,)</f>
        <v>8708</v>
      </c>
      <c r="I1557" t="str" cm="1">
        <f t="array" ref="I1557">_xlfn.XLOOKUP(FACT_IMPORTS[[#This Row],[country_name]],DIM_COUNTRY[[#All],[Column2]],DIM_COUNTRY[[#All],[Column3]],,,)</f>
        <v>USMCA</v>
      </c>
    </row>
    <row r="1558" spans="1:9" x14ac:dyDescent="0.4">
      <c r="A1558" t="s">
        <v>61</v>
      </c>
      <c r="B1558" s="1">
        <v>45566</v>
      </c>
      <c r="C1558">
        <v>870894</v>
      </c>
      <c r="D1558" t="s">
        <v>176</v>
      </c>
      <c r="E1558">
        <v>9713897</v>
      </c>
      <c r="F1558">
        <v>2943844</v>
      </c>
      <c r="G1558">
        <v>124430</v>
      </c>
      <c r="H1558">
        <f>_xlfn.XLOOKUP(FACT_IMPORTS[[#This Row],[hts_6]],DIM_PRODUCTS[hts_6],DIM_PRODUCTS[hts_4],,,)</f>
        <v>8708</v>
      </c>
      <c r="I1558" t="str" cm="1">
        <f t="array" ref="I1558">_xlfn.XLOOKUP(FACT_IMPORTS[[#This Row],[country_name]],DIM_COUNTRY[[#All],[Column2]],DIM_COUNTRY[[#All],[Column3]],,,)</f>
        <v>USMCA</v>
      </c>
    </row>
    <row r="1559" spans="1:9" x14ac:dyDescent="0.4">
      <c r="A1559" t="s">
        <v>61</v>
      </c>
      <c r="B1559" s="1">
        <v>45566</v>
      </c>
      <c r="C1559">
        <v>870895</v>
      </c>
      <c r="D1559" t="s">
        <v>176</v>
      </c>
      <c r="E1559">
        <v>1120995</v>
      </c>
      <c r="F1559">
        <v>969726</v>
      </c>
      <c r="G1559">
        <v>9001</v>
      </c>
      <c r="H1559">
        <f>_xlfn.XLOOKUP(FACT_IMPORTS[[#This Row],[hts_6]],DIM_PRODUCTS[hts_6],DIM_PRODUCTS[hts_4],,,)</f>
        <v>8708</v>
      </c>
      <c r="I1559" t="str" cm="1">
        <f t="array" ref="I1559">_xlfn.XLOOKUP(FACT_IMPORTS[[#This Row],[country_name]],DIM_COUNTRY[[#All],[Column2]],DIM_COUNTRY[[#All],[Column3]],,,)</f>
        <v>USMCA</v>
      </c>
    </row>
    <row r="1560" spans="1:9" x14ac:dyDescent="0.4">
      <c r="A1560" t="s">
        <v>61</v>
      </c>
      <c r="B1560" s="1">
        <v>45566</v>
      </c>
      <c r="C1560">
        <v>870899</v>
      </c>
      <c r="D1560" t="s">
        <v>176</v>
      </c>
      <c r="E1560">
        <v>175195743</v>
      </c>
      <c r="F1560">
        <v>16239696</v>
      </c>
      <c r="G1560">
        <v>1733855</v>
      </c>
      <c r="H1560">
        <f>_xlfn.XLOOKUP(FACT_IMPORTS[[#This Row],[hts_6]],DIM_PRODUCTS[hts_6],DIM_PRODUCTS[hts_4],,,)</f>
        <v>8708</v>
      </c>
      <c r="I1560" t="str" cm="1">
        <f t="array" ref="I1560">_xlfn.XLOOKUP(FACT_IMPORTS[[#This Row],[country_name]],DIM_COUNTRY[[#All],[Column2]],DIM_COUNTRY[[#All],[Column3]],,,)</f>
        <v>USMCA</v>
      </c>
    </row>
    <row r="1561" spans="1:9" x14ac:dyDescent="0.4">
      <c r="A1561" t="s">
        <v>61</v>
      </c>
      <c r="B1561" s="1">
        <v>45566</v>
      </c>
      <c r="C1561">
        <v>940120</v>
      </c>
      <c r="D1561" t="s">
        <v>176</v>
      </c>
      <c r="E1561">
        <v>900887</v>
      </c>
      <c r="F1561">
        <v>3939</v>
      </c>
      <c r="G1561">
        <v>9044</v>
      </c>
      <c r="H1561">
        <f>_xlfn.XLOOKUP(FACT_IMPORTS[[#This Row],[hts_6]],DIM_PRODUCTS[hts_6],DIM_PRODUCTS[hts_4],,,)</f>
        <v>9401</v>
      </c>
      <c r="I1561" t="str" cm="1">
        <f t="array" ref="I1561">_xlfn.XLOOKUP(FACT_IMPORTS[[#This Row],[country_name]],DIM_COUNTRY[[#All],[Column2]],DIM_COUNTRY[[#All],[Column3]],,,)</f>
        <v>USMCA</v>
      </c>
    </row>
    <row r="1562" spans="1:9" x14ac:dyDescent="0.4">
      <c r="A1562" t="s">
        <v>61</v>
      </c>
      <c r="B1562" s="1">
        <v>45597</v>
      </c>
      <c r="C1562">
        <v>392630</v>
      </c>
      <c r="D1562" t="s">
        <v>176</v>
      </c>
      <c r="E1562">
        <v>3073763</v>
      </c>
      <c r="F1562">
        <v>355374</v>
      </c>
      <c r="G1562">
        <v>164620</v>
      </c>
      <c r="H1562">
        <f>_xlfn.XLOOKUP(FACT_IMPORTS[[#This Row],[hts_6]],DIM_PRODUCTS[hts_6],DIM_PRODUCTS[hts_4],,,)</f>
        <v>3926</v>
      </c>
      <c r="I1562" t="str" cm="1">
        <f t="array" ref="I1562">_xlfn.XLOOKUP(FACT_IMPORTS[[#This Row],[country_name]],DIM_COUNTRY[[#All],[Column2]],DIM_COUNTRY[[#All],[Column3]],,,)</f>
        <v>USMCA</v>
      </c>
    </row>
    <row r="1563" spans="1:9" x14ac:dyDescent="0.4">
      <c r="A1563" t="s">
        <v>61</v>
      </c>
      <c r="B1563" s="1">
        <v>45597</v>
      </c>
      <c r="C1563">
        <v>401110</v>
      </c>
      <c r="D1563" t="s">
        <v>176</v>
      </c>
      <c r="E1563">
        <v>48446816</v>
      </c>
      <c r="F1563">
        <v>619866</v>
      </c>
      <c r="G1563">
        <v>305121</v>
      </c>
      <c r="H1563">
        <f>_xlfn.XLOOKUP(FACT_IMPORTS[[#This Row],[hts_6]],DIM_PRODUCTS[hts_6],DIM_PRODUCTS[hts_4],,,)</f>
        <v>4011</v>
      </c>
      <c r="I1563" t="str" cm="1">
        <f t="array" ref="I1563">_xlfn.XLOOKUP(FACT_IMPORTS[[#This Row],[country_name]],DIM_COUNTRY[[#All],[Column2]],DIM_COUNTRY[[#All],[Column3]],,,)</f>
        <v>USMCA</v>
      </c>
    </row>
    <row r="1564" spans="1:9" x14ac:dyDescent="0.4">
      <c r="A1564" t="s">
        <v>61</v>
      </c>
      <c r="B1564" s="1">
        <v>45597</v>
      </c>
      <c r="C1564">
        <v>401120</v>
      </c>
      <c r="D1564" t="s">
        <v>176</v>
      </c>
      <c r="E1564">
        <v>49456072</v>
      </c>
      <c r="F1564">
        <v>302020</v>
      </c>
      <c r="G1564">
        <v>396277</v>
      </c>
      <c r="H1564">
        <f>_xlfn.XLOOKUP(FACT_IMPORTS[[#This Row],[hts_6]],DIM_PRODUCTS[hts_6],DIM_PRODUCTS[hts_4],,,)</f>
        <v>4011</v>
      </c>
      <c r="I1564" t="str" cm="1">
        <f t="array" ref="I1564">_xlfn.XLOOKUP(FACT_IMPORTS[[#This Row],[country_name]],DIM_COUNTRY[[#All],[Column2]],DIM_COUNTRY[[#All],[Column3]],,,)</f>
        <v>USMCA</v>
      </c>
    </row>
    <row r="1565" spans="1:9" x14ac:dyDescent="0.4">
      <c r="A1565" t="s">
        <v>61</v>
      </c>
      <c r="B1565" s="1">
        <v>45597</v>
      </c>
      <c r="C1565">
        <v>401140</v>
      </c>
      <c r="D1565" t="s">
        <v>176</v>
      </c>
      <c r="E1565">
        <v>0</v>
      </c>
      <c r="F1565">
        <v>0</v>
      </c>
      <c r="G1565">
        <v>0</v>
      </c>
      <c r="H1565">
        <f>_xlfn.XLOOKUP(FACT_IMPORTS[[#This Row],[hts_6]],DIM_PRODUCTS[hts_6],DIM_PRODUCTS[hts_4],,,)</f>
        <v>4011</v>
      </c>
      <c r="I1565" t="str" cm="1">
        <f t="array" ref="I1565">_xlfn.XLOOKUP(FACT_IMPORTS[[#This Row],[country_name]],DIM_COUNTRY[[#All],[Column2]],DIM_COUNTRY[[#All],[Column3]],,,)</f>
        <v>USMCA</v>
      </c>
    </row>
    <row r="1566" spans="1:9" x14ac:dyDescent="0.4">
      <c r="A1566" t="s">
        <v>61</v>
      </c>
      <c r="B1566" s="1">
        <v>45597</v>
      </c>
      <c r="C1566">
        <v>401190</v>
      </c>
      <c r="D1566" t="s">
        <v>176</v>
      </c>
      <c r="E1566">
        <v>323299</v>
      </c>
      <c r="F1566">
        <v>455</v>
      </c>
      <c r="G1566">
        <v>711</v>
      </c>
      <c r="H1566">
        <f>_xlfn.XLOOKUP(FACT_IMPORTS[[#This Row],[hts_6]],DIM_PRODUCTS[hts_6],DIM_PRODUCTS[hts_4],,,)</f>
        <v>4011</v>
      </c>
      <c r="I1566" t="str" cm="1">
        <f t="array" ref="I1566">_xlfn.XLOOKUP(FACT_IMPORTS[[#This Row],[country_name]],DIM_COUNTRY[[#All],[Column2]],DIM_COUNTRY[[#All],[Column3]],,,)</f>
        <v>USMCA</v>
      </c>
    </row>
    <row r="1567" spans="1:9" x14ac:dyDescent="0.4">
      <c r="A1567" t="s">
        <v>61</v>
      </c>
      <c r="B1567" s="1">
        <v>45597</v>
      </c>
      <c r="C1567">
        <v>700711</v>
      </c>
      <c r="D1567" t="s">
        <v>176</v>
      </c>
      <c r="E1567">
        <v>563346</v>
      </c>
      <c r="F1567">
        <v>1714</v>
      </c>
      <c r="G1567">
        <v>2832</v>
      </c>
      <c r="H1567">
        <f>_xlfn.XLOOKUP(FACT_IMPORTS[[#This Row],[hts_6]],DIM_PRODUCTS[hts_6],DIM_PRODUCTS[hts_4],,,)</f>
        <v>7007</v>
      </c>
      <c r="I1567" t="str" cm="1">
        <f t="array" ref="I1567">_xlfn.XLOOKUP(FACT_IMPORTS[[#This Row],[country_name]],DIM_COUNTRY[[#All],[Column2]],DIM_COUNTRY[[#All],[Column3]],,,)</f>
        <v>USMCA</v>
      </c>
    </row>
    <row r="1568" spans="1:9" x14ac:dyDescent="0.4">
      <c r="A1568" t="s">
        <v>61</v>
      </c>
      <c r="B1568" s="1">
        <v>45597</v>
      </c>
      <c r="C1568">
        <v>700721</v>
      </c>
      <c r="D1568" t="s">
        <v>176</v>
      </c>
      <c r="E1568">
        <v>114922</v>
      </c>
      <c r="F1568">
        <v>504</v>
      </c>
      <c r="G1568">
        <v>1007</v>
      </c>
      <c r="H1568">
        <f>_xlfn.XLOOKUP(FACT_IMPORTS[[#This Row],[hts_6]],DIM_PRODUCTS[hts_6],DIM_PRODUCTS[hts_4],,,)</f>
        <v>7007</v>
      </c>
      <c r="I1568" t="str" cm="1">
        <f t="array" ref="I1568">_xlfn.XLOOKUP(FACT_IMPORTS[[#This Row],[country_name]],DIM_COUNTRY[[#All],[Column2]],DIM_COUNTRY[[#All],[Column3]],,,)</f>
        <v>USMCA</v>
      </c>
    </row>
    <row r="1569" spans="1:9" x14ac:dyDescent="0.4">
      <c r="A1569" t="s">
        <v>61</v>
      </c>
      <c r="B1569" s="1">
        <v>45597</v>
      </c>
      <c r="C1569">
        <v>700910</v>
      </c>
      <c r="D1569" t="s">
        <v>176</v>
      </c>
      <c r="E1569">
        <v>208905</v>
      </c>
      <c r="F1569">
        <v>4926</v>
      </c>
      <c r="G1569">
        <v>1498</v>
      </c>
      <c r="H1569">
        <f>_xlfn.XLOOKUP(FACT_IMPORTS[[#This Row],[hts_6]],DIM_PRODUCTS[hts_6],DIM_PRODUCTS[hts_4],,,)</f>
        <v>7009</v>
      </c>
      <c r="I1569" t="str" cm="1">
        <f t="array" ref="I1569">_xlfn.XLOOKUP(FACT_IMPORTS[[#This Row],[country_name]],DIM_COUNTRY[[#All],[Column2]],DIM_COUNTRY[[#All],[Column3]],,,)</f>
        <v>USMCA</v>
      </c>
    </row>
    <row r="1570" spans="1:9" x14ac:dyDescent="0.4">
      <c r="A1570" t="s">
        <v>61</v>
      </c>
      <c r="B1570" s="1">
        <v>45597</v>
      </c>
      <c r="C1570">
        <v>732010</v>
      </c>
      <c r="D1570" t="s">
        <v>176</v>
      </c>
      <c r="E1570">
        <v>3782023</v>
      </c>
      <c r="F1570">
        <v>1103798</v>
      </c>
      <c r="G1570">
        <v>25183</v>
      </c>
      <c r="H1570">
        <f>_xlfn.XLOOKUP(FACT_IMPORTS[[#This Row],[hts_6]],DIM_PRODUCTS[hts_6],DIM_PRODUCTS[hts_4],,,)</f>
        <v>7320</v>
      </c>
      <c r="I1570" t="str" cm="1">
        <f t="array" ref="I1570">_xlfn.XLOOKUP(FACT_IMPORTS[[#This Row],[country_name]],DIM_COUNTRY[[#All],[Column2]],DIM_COUNTRY[[#All],[Column3]],,,)</f>
        <v>USMCA</v>
      </c>
    </row>
    <row r="1571" spans="1:9" x14ac:dyDescent="0.4">
      <c r="A1571" t="s">
        <v>61</v>
      </c>
      <c r="B1571" s="1">
        <v>45597</v>
      </c>
      <c r="C1571">
        <v>830230</v>
      </c>
      <c r="D1571" t="s">
        <v>176</v>
      </c>
      <c r="E1571">
        <v>31154429</v>
      </c>
      <c r="F1571">
        <v>6136445</v>
      </c>
      <c r="G1571">
        <v>1060564</v>
      </c>
      <c r="H1571">
        <f>_xlfn.XLOOKUP(FACT_IMPORTS[[#This Row],[hts_6]],DIM_PRODUCTS[hts_6],DIM_PRODUCTS[hts_4],,,)</f>
        <v>8302</v>
      </c>
      <c r="I1571" t="str" cm="1">
        <f t="array" ref="I1571">_xlfn.XLOOKUP(FACT_IMPORTS[[#This Row],[country_name]],DIM_COUNTRY[[#All],[Column2]],DIM_COUNTRY[[#All],[Column3]],,,)</f>
        <v>USMCA</v>
      </c>
    </row>
    <row r="1572" spans="1:9" x14ac:dyDescent="0.4">
      <c r="A1572" t="s">
        <v>61</v>
      </c>
      <c r="B1572" s="1">
        <v>45597</v>
      </c>
      <c r="C1572">
        <v>840731</v>
      </c>
      <c r="D1572" t="s">
        <v>176</v>
      </c>
      <c r="E1572">
        <v>0</v>
      </c>
      <c r="F1572">
        <v>0</v>
      </c>
      <c r="G1572">
        <v>0</v>
      </c>
      <c r="H1572">
        <f>_xlfn.XLOOKUP(FACT_IMPORTS[[#This Row],[hts_6]],DIM_PRODUCTS[hts_6],DIM_PRODUCTS[hts_4],,,)</f>
        <v>8407</v>
      </c>
      <c r="I1572" t="str" cm="1">
        <f t="array" ref="I1572">_xlfn.XLOOKUP(FACT_IMPORTS[[#This Row],[country_name]],DIM_COUNTRY[[#All],[Column2]],DIM_COUNTRY[[#All],[Column3]],,,)</f>
        <v>USMCA</v>
      </c>
    </row>
    <row r="1573" spans="1:9" x14ac:dyDescent="0.4">
      <c r="A1573" t="s">
        <v>61</v>
      </c>
      <c r="B1573" s="1">
        <v>45597</v>
      </c>
      <c r="C1573">
        <v>840732</v>
      </c>
      <c r="D1573" t="s">
        <v>176</v>
      </c>
      <c r="E1573">
        <v>0</v>
      </c>
      <c r="F1573">
        <v>0</v>
      </c>
      <c r="G1573">
        <v>0</v>
      </c>
      <c r="H1573">
        <f>_xlfn.XLOOKUP(FACT_IMPORTS[[#This Row],[hts_6]],DIM_PRODUCTS[hts_6],DIM_PRODUCTS[hts_4],,,)</f>
        <v>8407</v>
      </c>
      <c r="I1573" t="str" cm="1">
        <f t="array" ref="I1573">_xlfn.XLOOKUP(FACT_IMPORTS[[#This Row],[country_name]],DIM_COUNTRY[[#All],[Column2]],DIM_COUNTRY[[#All],[Column3]],,,)</f>
        <v>USMCA</v>
      </c>
    </row>
    <row r="1574" spans="1:9" x14ac:dyDescent="0.4">
      <c r="A1574" t="s">
        <v>61</v>
      </c>
      <c r="B1574" s="1">
        <v>45597</v>
      </c>
      <c r="C1574">
        <v>840733</v>
      </c>
      <c r="D1574" t="s">
        <v>176</v>
      </c>
      <c r="E1574">
        <v>24900</v>
      </c>
      <c r="F1574">
        <v>4</v>
      </c>
      <c r="G1574">
        <v>3819</v>
      </c>
      <c r="H1574">
        <f>_xlfn.XLOOKUP(FACT_IMPORTS[[#This Row],[hts_6]],DIM_PRODUCTS[hts_6],DIM_PRODUCTS[hts_4],,,)</f>
        <v>8407</v>
      </c>
      <c r="I1574" t="str" cm="1">
        <f t="array" ref="I1574">_xlfn.XLOOKUP(FACT_IMPORTS[[#This Row],[country_name]],DIM_COUNTRY[[#All],[Column2]],DIM_COUNTRY[[#All],[Column3]],,,)</f>
        <v>USMCA</v>
      </c>
    </row>
    <row r="1575" spans="1:9" x14ac:dyDescent="0.4">
      <c r="A1575" t="s">
        <v>61</v>
      </c>
      <c r="B1575" s="1">
        <v>45597</v>
      </c>
      <c r="C1575">
        <v>840734</v>
      </c>
      <c r="D1575" t="s">
        <v>176</v>
      </c>
      <c r="E1575">
        <v>163622589</v>
      </c>
      <c r="F1575">
        <v>47712</v>
      </c>
      <c r="G1575">
        <v>45278</v>
      </c>
      <c r="H1575">
        <f>_xlfn.XLOOKUP(FACT_IMPORTS[[#This Row],[hts_6]],DIM_PRODUCTS[hts_6],DIM_PRODUCTS[hts_4],,,)</f>
        <v>8407</v>
      </c>
      <c r="I1575" t="str" cm="1">
        <f t="array" ref="I1575">_xlfn.XLOOKUP(FACT_IMPORTS[[#This Row],[country_name]],DIM_COUNTRY[[#All],[Column2]],DIM_COUNTRY[[#All],[Column3]],,,)</f>
        <v>USMCA</v>
      </c>
    </row>
    <row r="1576" spans="1:9" x14ac:dyDescent="0.4">
      <c r="A1576" t="s">
        <v>61</v>
      </c>
      <c r="B1576" s="1">
        <v>45597</v>
      </c>
      <c r="C1576">
        <v>840790</v>
      </c>
      <c r="D1576" t="s">
        <v>176</v>
      </c>
      <c r="E1576">
        <v>13848035</v>
      </c>
      <c r="F1576">
        <v>5902</v>
      </c>
      <c r="G1576">
        <v>3800</v>
      </c>
      <c r="H1576">
        <f>_xlfn.XLOOKUP(FACT_IMPORTS[[#This Row],[hts_6]],DIM_PRODUCTS[hts_6],DIM_PRODUCTS[hts_4],,,)</f>
        <v>8407</v>
      </c>
      <c r="I1576" t="str" cm="1">
        <f t="array" ref="I1576">_xlfn.XLOOKUP(FACT_IMPORTS[[#This Row],[country_name]],DIM_COUNTRY[[#All],[Column2]],DIM_COUNTRY[[#All],[Column3]],,,)</f>
        <v>USMCA</v>
      </c>
    </row>
    <row r="1577" spans="1:9" x14ac:dyDescent="0.4">
      <c r="A1577" t="s">
        <v>61</v>
      </c>
      <c r="B1577" s="1">
        <v>45597</v>
      </c>
      <c r="C1577">
        <v>840820</v>
      </c>
      <c r="D1577" t="s">
        <v>176</v>
      </c>
      <c r="E1577">
        <v>297662</v>
      </c>
      <c r="F1577">
        <v>28</v>
      </c>
      <c r="G1577">
        <v>3146</v>
      </c>
      <c r="H1577">
        <f>_xlfn.XLOOKUP(FACT_IMPORTS[[#This Row],[hts_6]],DIM_PRODUCTS[hts_6],DIM_PRODUCTS[hts_4],,,)</f>
        <v>8408</v>
      </c>
      <c r="I1577" t="str" cm="1">
        <f t="array" ref="I1577">_xlfn.XLOOKUP(FACT_IMPORTS[[#This Row],[country_name]],DIM_COUNTRY[[#All],[Column2]],DIM_COUNTRY[[#All],[Column3]],,,)</f>
        <v>USMCA</v>
      </c>
    </row>
    <row r="1578" spans="1:9" x14ac:dyDescent="0.4">
      <c r="A1578" t="s">
        <v>61</v>
      </c>
      <c r="B1578" s="1">
        <v>45597</v>
      </c>
      <c r="C1578">
        <v>840890</v>
      </c>
      <c r="D1578" t="s">
        <v>176</v>
      </c>
      <c r="E1578">
        <v>166836</v>
      </c>
      <c r="F1578">
        <v>16</v>
      </c>
      <c r="G1578">
        <v>551</v>
      </c>
      <c r="H1578">
        <f>_xlfn.XLOOKUP(FACT_IMPORTS[[#This Row],[hts_6]],DIM_PRODUCTS[hts_6],DIM_PRODUCTS[hts_4],,,)</f>
        <v>8408</v>
      </c>
      <c r="I1578" t="str" cm="1">
        <f t="array" ref="I1578">_xlfn.XLOOKUP(FACT_IMPORTS[[#This Row],[country_name]],DIM_COUNTRY[[#All],[Column2]],DIM_COUNTRY[[#All],[Column3]],,,)</f>
        <v>USMCA</v>
      </c>
    </row>
    <row r="1579" spans="1:9" x14ac:dyDescent="0.4">
      <c r="A1579" t="s">
        <v>61</v>
      </c>
      <c r="B1579" s="1">
        <v>45597</v>
      </c>
      <c r="C1579">
        <v>840991</v>
      </c>
      <c r="D1579" t="s">
        <v>176</v>
      </c>
      <c r="E1579">
        <v>35303064</v>
      </c>
      <c r="F1579">
        <v>2738754</v>
      </c>
      <c r="G1579">
        <v>118278</v>
      </c>
      <c r="H1579">
        <f>_xlfn.XLOOKUP(FACT_IMPORTS[[#This Row],[hts_6]],DIM_PRODUCTS[hts_6],DIM_PRODUCTS[hts_4],,,)</f>
        <v>8409</v>
      </c>
      <c r="I1579" t="str" cm="1">
        <f t="array" ref="I1579">_xlfn.XLOOKUP(FACT_IMPORTS[[#This Row],[country_name]],DIM_COUNTRY[[#All],[Column2]],DIM_COUNTRY[[#All],[Column3]],,,)</f>
        <v>USMCA</v>
      </c>
    </row>
    <row r="1580" spans="1:9" x14ac:dyDescent="0.4">
      <c r="A1580" t="s">
        <v>61</v>
      </c>
      <c r="B1580" s="1">
        <v>45597</v>
      </c>
      <c r="C1580">
        <v>840999</v>
      </c>
      <c r="D1580" t="s">
        <v>176</v>
      </c>
      <c r="E1580">
        <v>12470914</v>
      </c>
      <c r="F1580">
        <v>1063480</v>
      </c>
      <c r="G1580">
        <v>102890</v>
      </c>
      <c r="H1580">
        <f>_xlfn.XLOOKUP(FACT_IMPORTS[[#This Row],[hts_6]],DIM_PRODUCTS[hts_6],DIM_PRODUCTS[hts_4],,,)</f>
        <v>8409</v>
      </c>
      <c r="I1580" t="str" cm="1">
        <f t="array" ref="I1580">_xlfn.XLOOKUP(FACT_IMPORTS[[#This Row],[country_name]],DIM_COUNTRY[[#All],[Column2]],DIM_COUNTRY[[#All],[Column3]],,,)</f>
        <v>USMCA</v>
      </c>
    </row>
    <row r="1581" spans="1:9" x14ac:dyDescent="0.4">
      <c r="A1581" t="s">
        <v>61</v>
      </c>
      <c r="B1581" s="1">
        <v>45597</v>
      </c>
      <c r="C1581">
        <v>841330</v>
      </c>
      <c r="D1581" t="s">
        <v>176</v>
      </c>
      <c r="E1581">
        <v>8502165</v>
      </c>
      <c r="F1581">
        <v>149476</v>
      </c>
      <c r="G1581">
        <v>26462</v>
      </c>
      <c r="H1581">
        <f>_xlfn.XLOOKUP(FACT_IMPORTS[[#This Row],[hts_6]],DIM_PRODUCTS[hts_6],DIM_PRODUCTS[hts_4],,,)</f>
        <v>8413</v>
      </c>
      <c r="I1581" t="str" cm="1">
        <f t="array" ref="I1581">_xlfn.XLOOKUP(FACT_IMPORTS[[#This Row],[country_name]],DIM_COUNTRY[[#All],[Column2]],DIM_COUNTRY[[#All],[Column3]],,,)</f>
        <v>USMCA</v>
      </c>
    </row>
    <row r="1582" spans="1:9" x14ac:dyDescent="0.4">
      <c r="A1582" t="s">
        <v>61</v>
      </c>
      <c r="B1582" s="1">
        <v>45597</v>
      </c>
      <c r="C1582">
        <v>841520</v>
      </c>
      <c r="D1582" t="s">
        <v>176</v>
      </c>
      <c r="E1582">
        <v>4300213</v>
      </c>
      <c r="F1582">
        <v>23290</v>
      </c>
      <c r="G1582">
        <v>55946</v>
      </c>
      <c r="H1582">
        <f>_xlfn.XLOOKUP(FACT_IMPORTS[[#This Row],[hts_6]],DIM_PRODUCTS[hts_6],DIM_PRODUCTS[hts_4],,,)</f>
        <v>8415</v>
      </c>
      <c r="I1582" t="str" cm="1">
        <f t="array" ref="I1582">_xlfn.XLOOKUP(FACT_IMPORTS[[#This Row],[country_name]],DIM_COUNTRY[[#All],[Column2]],DIM_COUNTRY[[#All],[Column3]],,,)</f>
        <v>USMCA</v>
      </c>
    </row>
    <row r="1583" spans="1:9" x14ac:dyDescent="0.4">
      <c r="A1583" t="s">
        <v>61</v>
      </c>
      <c r="B1583" s="1">
        <v>45597</v>
      </c>
      <c r="C1583">
        <v>842132</v>
      </c>
      <c r="D1583" t="s">
        <v>176</v>
      </c>
      <c r="E1583">
        <v>13700418</v>
      </c>
      <c r="F1583">
        <v>49934</v>
      </c>
      <c r="G1583">
        <v>74809</v>
      </c>
      <c r="H1583">
        <f>_xlfn.XLOOKUP(FACT_IMPORTS[[#This Row],[hts_6]],DIM_PRODUCTS[hts_6],DIM_PRODUCTS[hts_4],,,)</f>
        <v>8421</v>
      </c>
      <c r="I1583" t="str" cm="1">
        <f t="array" ref="I1583">_xlfn.XLOOKUP(FACT_IMPORTS[[#This Row],[country_name]],DIM_COUNTRY[[#All],[Column2]],DIM_COUNTRY[[#All],[Column3]],,,)</f>
        <v>USMCA</v>
      </c>
    </row>
    <row r="1584" spans="1:9" x14ac:dyDescent="0.4">
      <c r="A1584" t="s">
        <v>61</v>
      </c>
      <c r="B1584" s="1">
        <v>45597</v>
      </c>
      <c r="C1584">
        <v>848210</v>
      </c>
      <c r="D1584" t="s">
        <v>176</v>
      </c>
      <c r="E1584">
        <v>3425552</v>
      </c>
      <c r="F1584">
        <v>363182</v>
      </c>
      <c r="G1584">
        <v>43786</v>
      </c>
      <c r="H1584">
        <f>_xlfn.XLOOKUP(FACT_IMPORTS[[#This Row],[hts_6]],DIM_PRODUCTS[hts_6],DIM_PRODUCTS[hts_4],,,)</f>
        <v>8482</v>
      </c>
      <c r="I1584" t="str" cm="1">
        <f t="array" ref="I1584">_xlfn.XLOOKUP(FACT_IMPORTS[[#This Row],[country_name]],DIM_COUNTRY[[#All],[Column2]],DIM_COUNTRY[[#All],[Column3]],,,)</f>
        <v>USMCA</v>
      </c>
    </row>
    <row r="1585" spans="1:9" x14ac:dyDescent="0.4">
      <c r="A1585" t="s">
        <v>61</v>
      </c>
      <c r="B1585" s="1">
        <v>45597</v>
      </c>
      <c r="C1585">
        <v>848220</v>
      </c>
      <c r="D1585" t="s">
        <v>176</v>
      </c>
      <c r="E1585">
        <v>229434</v>
      </c>
      <c r="F1585">
        <v>15889</v>
      </c>
      <c r="G1585">
        <v>2890</v>
      </c>
      <c r="H1585">
        <f>_xlfn.XLOOKUP(FACT_IMPORTS[[#This Row],[hts_6]],DIM_PRODUCTS[hts_6],DIM_PRODUCTS[hts_4],,,)</f>
        <v>8482</v>
      </c>
      <c r="I1585" t="str" cm="1">
        <f t="array" ref="I1585">_xlfn.XLOOKUP(FACT_IMPORTS[[#This Row],[country_name]],DIM_COUNTRY[[#All],[Column2]],DIM_COUNTRY[[#All],[Column3]],,,)</f>
        <v>USMCA</v>
      </c>
    </row>
    <row r="1586" spans="1:9" x14ac:dyDescent="0.4">
      <c r="A1586" t="s">
        <v>61</v>
      </c>
      <c r="B1586" s="1">
        <v>45597</v>
      </c>
      <c r="C1586">
        <v>848310</v>
      </c>
      <c r="D1586" t="s">
        <v>176</v>
      </c>
      <c r="E1586">
        <v>15375222</v>
      </c>
      <c r="F1586">
        <v>486778</v>
      </c>
      <c r="G1586">
        <v>60004</v>
      </c>
      <c r="H1586">
        <f>_xlfn.XLOOKUP(FACT_IMPORTS[[#This Row],[hts_6]],DIM_PRODUCTS[hts_6],DIM_PRODUCTS[hts_4],,,)</f>
        <v>8483</v>
      </c>
      <c r="I1586" t="str" cm="1">
        <f t="array" ref="I1586">_xlfn.XLOOKUP(FACT_IMPORTS[[#This Row],[country_name]],DIM_COUNTRY[[#All],[Column2]],DIM_COUNTRY[[#All],[Column3]],,,)</f>
        <v>USMCA</v>
      </c>
    </row>
    <row r="1587" spans="1:9" x14ac:dyDescent="0.4">
      <c r="A1587" t="s">
        <v>61</v>
      </c>
      <c r="B1587" s="1">
        <v>45597</v>
      </c>
      <c r="C1587">
        <v>850131</v>
      </c>
      <c r="D1587" t="s">
        <v>176</v>
      </c>
      <c r="E1587">
        <v>3659624</v>
      </c>
      <c r="F1587">
        <v>107851</v>
      </c>
      <c r="G1587">
        <v>26518</v>
      </c>
      <c r="H1587">
        <f>_xlfn.XLOOKUP(FACT_IMPORTS[[#This Row],[hts_6]],DIM_PRODUCTS[hts_6],DIM_PRODUCTS[hts_4],,,)</f>
        <v>8501</v>
      </c>
      <c r="I1587" t="str" cm="1">
        <f t="array" ref="I1587">_xlfn.XLOOKUP(FACT_IMPORTS[[#This Row],[country_name]],DIM_COUNTRY[[#All],[Column2]],DIM_COUNTRY[[#All],[Column3]],,,)</f>
        <v>USMCA</v>
      </c>
    </row>
    <row r="1588" spans="1:9" x14ac:dyDescent="0.4">
      <c r="A1588" t="s">
        <v>61</v>
      </c>
      <c r="B1588" s="1">
        <v>45597</v>
      </c>
      <c r="C1588">
        <v>850132</v>
      </c>
      <c r="D1588" t="s">
        <v>176</v>
      </c>
      <c r="E1588">
        <v>375473</v>
      </c>
      <c r="F1588">
        <v>66</v>
      </c>
      <c r="G1588">
        <v>2175</v>
      </c>
      <c r="H1588">
        <f>_xlfn.XLOOKUP(FACT_IMPORTS[[#This Row],[hts_6]],DIM_PRODUCTS[hts_6],DIM_PRODUCTS[hts_4],,,)</f>
        <v>8501</v>
      </c>
      <c r="I1588" t="str" cm="1">
        <f t="array" ref="I1588">_xlfn.XLOOKUP(FACT_IMPORTS[[#This Row],[country_name]],DIM_COUNTRY[[#All],[Column2]],DIM_COUNTRY[[#All],[Column3]],,,)</f>
        <v>USMCA</v>
      </c>
    </row>
    <row r="1589" spans="1:9" x14ac:dyDescent="0.4">
      <c r="A1589" t="s">
        <v>61</v>
      </c>
      <c r="B1589" s="1">
        <v>45597</v>
      </c>
      <c r="C1589">
        <v>850133</v>
      </c>
      <c r="D1589" t="s">
        <v>176</v>
      </c>
      <c r="E1589">
        <v>0</v>
      </c>
      <c r="F1589">
        <v>0</v>
      </c>
      <c r="G1589">
        <v>0</v>
      </c>
      <c r="H1589">
        <f>_xlfn.XLOOKUP(FACT_IMPORTS[[#This Row],[hts_6]],DIM_PRODUCTS[hts_6],DIM_PRODUCTS[hts_4],,,)</f>
        <v>8501</v>
      </c>
      <c r="I1589" t="str" cm="1">
        <f t="array" ref="I1589">_xlfn.XLOOKUP(FACT_IMPORTS[[#This Row],[country_name]],DIM_COUNTRY[[#All],[Column2]],DIM_COUNTRY[[#All],[Column3]],,,)</f>
        <v>USMCA</v>
      </c>
    </row>
    <row r="1590" spans="1:9" x14ac:dyDescent="0.4">
      <c r="A1590" t="s">
        <v>61</v>
      </c>
      <c r="B1590" s="1">
        <v>45597</v>
      </c>
      <c r="C1590">
        <v>850134</v>
      </c>
      <c r="D1590" t="s">
        <v>176</v>
      </c>
      <c r="E1590">
        <v>8450</v>
      </c>
      <c r="F1590">
        <v>2</v>
      </c>
      <c r="G1590">
        <v>1100</v>
      </c>
      <c r="H1590">
        <f>_xlfn.XLOOKUP(FACT_IMPORTS[[#This Row],[hts_6]],DIM_PRODUCTS[hts_6],DIM_PRODUCTS[hts_4],,,)</f>
        <v>8501</v>
      </c>
      <c r="I1590" t="str" cm="1">
        <f t="array" ref="I1590">_xlfn.XLOOKUP(FACT_IMPORTS[[#This Row],[country_name]],DIM_COUNTRY[[#All],[Column2]],DIM_COUNTRY[[#All],[Column3]],,,)</f>
        <v>USMCA</v>
      </c>
    </row>
    <row r="1591" spans="1:9" x14ac:dyDescent="0.4">
      <c r="A1591" t="s">
        <v>61</v>
      </c>
      <c r="B1591" s="1">
        <v>45597</v>
      </c>
      <c r="C1591">
        <v>850152</v>
      </c>
      <c r="D1591" t="s">
        <v>176</v>
      </c>
      <c r="E1591">
        <v>1016952</v>
      </c>
      <c r="F1591">
        <v>250</v>
      </c>
      <c r="G1591">
        <v>13182</v>
      </c>
      <c r="H1591">
        <f>_xlfn.XLOOKUP(FACT_IMPORTS[[#This Row],[hts_6]],DIM_PRODUCTS[hts_6],DIM_PRODUCTS[hts_4],,,)</f>
        <v>8501</v>
      </c>
      <c r="I1591" t="str" cm="1">
        <f t="array" ref="I1591">_xlfn.XLOOKUP(FACT_IMPORTS[[#This Row],[country_name]],DIM_COUNTRY[[#All],[Column2]],DIM_COUNTRY[[#All],[Column3]],,,)</f>
        <v>USMCA</v>
      </c>
    </row>
    <row r="1592" spans="1:9" x14ac:dyDescent="0.4">
      <c r="A1592" t="s">
        <v>61</v>
      </c>
      <c r="B1592" s="1">
        <v>45597</v>
      </c>
      <c r="C1592">
        <v>850153</v>
      </c>
      <c r="D1592" t="s">
        <v>176</v>
      </c>
      <c r="E1592">
        <v>632571</v>
      </c>
      <c r="F1592">
        <v>13</v>
      </c>
      <c r="G1592">
        <v>1955</v>
      </c>
      <c r="H1592">
        <f>_xlfn.XLOOKUP(FACT_IMPORTS[[#This Row],[hts_6]],DIM_PRODUCTS[hts_6],DIM_PRODUCTS[hts_4],,,)</f>
        <v>8501</v>
      </c>
      <c r="I1592" t="str" cm="1">
        <f t="array" ref="I1592">_xlfn.XLOOKUP(FACT_IMPORTS[[#This Row],[country_name]],DIM_COUNTRY[[#All],[Column2]],DIM_COUNTRY[[#All],[Column3]],,,)</f>
        <v>USMCA</v>
      </c>
    </row>
    <row r="1593" spans="1:9" x14ac:dyDescent="0.4">
      <c r="A1593" t="s">
        <v>61</v>
      </c>
      <c r="B1593" s="1">
        <v>45597</v>
      </c>
      <c r="C1593">
        <v>850161</v>
      </c>
      <c r="D1593" t="s">
        <v>176</v>
      </c>
      <c r="E1593">
        <v>159667</v>
      </c>
      <c r="F1593">
        <v>67</v>
      </c>
      <c r="G1593">
        <v>542</v>
      </c>
      <c r="H1593">
        <f>_xlfn.XLOOKUP(FACT_IMPORTS[[#This Row],[hts_6]],DIM_PRODUCTS[hts_6],DIM_PRODUCTS[hts_4],,,)</f>
        <v>8501</v>
      </c>
      <c r="I1593" t="str" cm="1">
        <f t="array" ref="I1593">_xlfn.XLOOKUP(FACT_IMPORTS[[#This Row],[country_name]],DIM_COUNTRY[[#All],[Column2]],DIM_COUNTRY[[#All],[Column3]],,,)</f>
        <v>USMCA</v>
      </c>
    </row>
    <row r="1594" spans="1:9" x14ac:dyDescent="0.4">
      <c r="A1594" t="s">
        <v>61</v>
      </c>
      <c r="B1594" s="1">
        <v>45597</v>
      </c>
      <c r="C1594">
        <v>850440</v>
      </c>
      <c r="D1594" t="s">
        <v>176</v>
      </c>
      <c r="E1594">
        <v>8564559</v>
      </c>
      <c r="F1594">
        <v>6815</v>
      </c>
      <c r="G1594">
        <v>60574</v>
      </c>
      <c r="H1594">
        <f>_xlfn.XLOOKUP(FACT_IMPORTS[[#This Row],[hts_6]],DIM_PRODUCTS[hts_6],DIM_PRODUCTS[hts_4],,,)</f>
        <v>8504</v>
      </c>
      <c r="I1594" t="str" cm="1">
        <f t="array" ref="I1594">_xlfn.XLOOKUP(FACT_IMPORTS[[#This Row],[country_name]],DIM_COUNTRY[[#All],[Column2]],DIM_COUNTRY[[#All],[Column3]],,,)</f>
        <v>USMCA</v>
      </c>
    </row>
    <row r="1595" spans="1:9" x14ac:dyDescent="0.4">
      <c r="A1595" t="s">
        <v>61</v>
      </c>
      <c r="B1595" s="1">
        <v>45597</v>
      </c>
      <c r="C1595">
        <v>850710</v>
      </c>
      <c r="D1595" t="s">
        <v>176</v>
      </c>
      <c r="E1595">
        <v>781472</v>
      </c>
      <c r="F1595">
        <v>2752</v>
      </c>
      <c r="G1595">
        <v>33737</v>
      </c>
      <c r="H1595">
        <f>_xlfn.XLOOKUP(FACT_IMPORTS[[#This Row],[hts_6]],DIM_PRODUCTS[hts_6],DIM_PRODUCTS[hts_4],,,)</f>
        <v>8507</v>
      </c>
      <c r="I1595" t="str" cm="1">
        <f t="array" ref="I1595">_xlfn.XLOOKUP(FACT_IMPORTS[[#This Row],[country_name]],DIM_COUNTRY[[#All],[Column2]],DIM_COUNTRY[[#All],[Column3]],,,)</f>
        <v>USMCA</v>
      </c>
    </row>
    <row r="1596" spans="1:9" x14ac:dyDescent="0.4">
      <c r="A1596" t="s">
        <v>61</v>
      </c>
      <c r="B1596" s="1">
        <v>45597</v>
      </c>
      <c r="C1596">
        <v>850760</v>
      </c>
      <c r="D1596" t="s">
        <v>176</v>
      </c>
      <c r="E1596">
        <v>144883001</v>
      </c>
      <c r="F1596">
        <v>99651</v>
      </c>
      <c r="G1596">
        <v>89046</v>
      </c>
      <c r="H1596">
        <f>_xlfn.XLOOKUP(FACT_IMPORTS[[#This Row],[hts_6]],DIM_PRODUCTS[hts_6],DIM_PRODUCTS[hts_4],,,)</f>
        <v>8507</v>
      </c>
      <c r="I1596" t="str" cm="1">
        <f t="array" ref="I1596">_xlfn.XLOOKUP(FACT_IMPORTS[[#This Row],[country_name]],DIM_COUNTRY[[#All],[Column2]],DIM_COUNTRY[[#All],[Column3]],,,)</f>
        <v>USMCA</v>
      </c>
    </row>
    <row r="1597" spans="1:9" x14ac:dyDescent="0.4">
      <c r="A1597" t="s">
        <v>61</v>
      </c>
      <c r="B1597" s="1">
        <v>45597</v>
      </c>
      <c r="C1597">
        <v>850790</v>
      </c>
      <c r="D1597" t="s">
        <v>176</v>
      </c>
      <c r="E1597">
        <v>398844</v>
      </c>
      <c r="F1597">
        <v>27718</v>
      </c>
      <c r="G1597">
        <v>3273</v>
      </c>
      <c r="H1597">
        <f>_xlfn.XLOOKUP(FACT_IMPORTS[[#This Row],[hts_6]],DIM_PRODUCTS[hts_6],DIM_PRODUCTS[hts_4],,,)</f>
        <v>8507</v>
      </c>
      <c r="I1597" t="str" cm="1">
        <f t="array" ref="I1597">_xlfn.XLOOKUP(FACT_IMPORTS[[#This Row],[country_name]],DIM_COUNTRY[[#All],[Column2]],DIM_COUNTRY[[#All],[Column3]],,,)</f>
        <v>USMCA</v>
      </c>
    </row>
    <row r="1598" spans="1:9" x14ac:dyDescent="0.4">
      <c r="A1598" t="s">
        <v>61</v>
      </c>
      <c r="B1598" s="1">
        <v>45597</v>
      </c>
      <c r="C1598">
        <v>851110</v>
      </c>
      <c r="D1598" t="s">
        <v>176</v>
      </c>
      <c r="E1598">
        <v>10148</v>
      </c>
      <c r="F1598">
        <v>3</v>
      </c>
      <c r="G1598">
        <v>10</v>
      </c>
      <c r="H1598">
        <f>_xlfn.XLOOKUP(FACT_IMPORTS[[#This Row],[hts_6]],DIM_PRODUCTS[hts_6],DIM_PRODUCTS[hts_4],,,)</f>
        <v>8511</v>
      </c>
      <c r="I1598" t="str" cm="1">
        <f t="array" ref="I1598">_xlfn.XLOOKUP(FACT_IMPORTS[[#This Row],[country_name]],DIM_COUNTRY[[#All],[Column2]],DIM_COUNTRY[[#All],[Column3]],,,)</f>
        <v>USMCA</v>
      </c>
    </row>
    <row r="1599" spans="1:9" x14ac:dyDescent="0.4">
      <c r="A1599" t="s">
        <v>61</v>
      </c>
      <c r="B1599" s="1">
        <v>45597</v>
      </c>
      <c r="C1599">
        <v>851120</v>
      </c>
      <c r="D1599" t="s">
        <v>176</v>
      </c>
      <c r="E1599">
        <v>0</v>
      </c>
      <c r="F1599">
        <v>0</v>
      </c>
      <c r="G1599">
        <v>0</v>
      </c>
      <c r="H1599">
        <f>_xlfn.XLOOKUP(FACT_IMPORTS[[#This Row],[hts_6]],DIM_PRODUCTS[hts_6],DIM_PRODUCTS[hts_4],,,)</f>
        <v>8511</v>
      </c>
      <c r="I1599" t="str" cm="1">
        <f t="array" ref="I1599">_xlfn.XLOOKUP(FACT_IMPORTS[[#This Row],[country_name]],DIM_COUNTRY[[#All],[Column2]],DIM_COUNTRY[[#All],[Column3]],,,)</f>
        <v>USMCA</v>
      </c>
    </row>
    <row r="1600" spans="1:9" x14ac:dyDescent="0.4">
      <c r="A1600" t="s">
        <v>61</v>
      </c>
      <c r="B1600" s="1">
        <v>45597</v>
      </c>
      <c r="C1600">
        <v>851130</v>
      </c>
      <c r="D1600" t="s">
        <v>176</v>
      </c>
      <c r="E1600">
        <v>13232</v>
      </c>
      <c r="F1600">
        <v>5552</v>
      </c>
      <c r="G1600">
        <v>81</v>
      </c>
      <c r="H1600">
        <f>_xlfn.XLOOKUP(FACT_IMPORTS[[#This Row],[hts_6]],DIM_PRODUCTS[hts_6],DIM_PRODUCTS[hts_4],,,)</f>
        <v>8511</v>
      </c>
      <c r="I1600" t="str" cm="1">
        <f t="array" ref="I1600">_xlfn.XLOOKUP(FACT_IMPORTS[[#This Row],[country_name]],DIM_COUNTRY[[#All],[Column2]],DIM_COUNTRY[[#All],[Column3]],,,)</f>
        <v>USMCA</v>
      </c>
    </row>
    <row r="1601" spans="1:9" x14ac:dyDescent="0.4">
      <c r="A1601" t="s">
        <v>61</v>
      </c>
      <c r="B1601" s="1">
        <v>45597</v>
      </c>
      <c r="C1601">
        <v>851140</v>
      </c>
      <c r="D1601" t="s">
        <v>176</v>
      </c>
      <c r="E1601">
        <v>644611</v>
      </c>
      <c r="F1601">
        <v>8871</v>
      </c>
      <c r="G1601">
        <v>4279</v>
      </c>
      <c r="H1601">
        <f>_xlfn.XLOOKUP(FACT_IMPORTS[[#This Row],[hts_6]],DIM_PRODUCTS[hts_6],DIM_PRODUCTS[hts_4],,,)</f>
        <v>8511</v>
      </c>
      <c r="I1601" t="str" cm="1">
        <f t="array" ref="I1601">_xlfn.XLOOKUP(FACT_IMPORTS[[#This Row],[country_name]],DIM_COUNTRY[[#All],[Column2]],DIM_COUNTRY[[#All],[Column3]],,,)</f>
        <v>USMCA</v>
      </c>
    </row>
    <row r="1602" spans="1:9" x14ac:dyDescent="0.4">
      <c r="A1602" t="s">
        <v>61</v>
      </c>
      <c r="B1602" s="1">
        <v>45597</v>
      </c>
      <c r="C1602">
        <v>851150</v>
      </c>
      <c r="D1602" t="s">
        <v>176</v>
      </c>
      <c r="E1602">
        <v>281621</v>
      </c>
      <c r="F1602">
        <v>4577</v>
      </c>
      <c r="G1602">
        <v>2663</v>
      </c>
      <c r="H1602">
        <f>_xlfn.XLOOKUP(FACT_IMPORTS[[#This Row],[hts_6]],DIM_PRODUCTS[hts_6],DIM_PRODUCTS[hts_4],,,)</f>
        <v>8511</v>
      </c>
      <c r="I1602" t="str" cm="1">
        <f t="array" ref="I1602">_xlfn.XLOOKUP(FACT_IMPORTS[[#This Row],[country_name]],DIM_COUNTRY[[#All],[Column2]],DIM_COUNTRY[[#All],[Column3]],,,)</f>
        <v>USMCA</v>
      </c>
    </row>
    <row r="1603" spans="1:9" x14ac:dyDescent="0.4">
      <c r="A1603" t="s">
        <v>61</v>
      </c>
      <c r="B1603" s="1">
        <v>45597</v>
      </c>
      <c r="C1603">
        <v>851180</v>
      </c>
      <c r="D1603" t="s">
        <v>176</v>
      </c>
      <c r="E1603">
        <v>45632</v>
      </c>
      <c r="F1603">
        <v>821</v>
      </c>
      <c r="G1603">
        <v>462</v>
      </c>
      <c r="H1603">
        <f>_xlfn.XLOOKUP(FACT_IMPORTS[[#This Row],[hts_6]],DIM_PRODUCTS[hts_6],DIM_PRODUCTS[hts_4],,,)</f>
        <v>8511</v>
      </c>
      <c r="I1603" t="str" cm="1">
        <f t="array" ref="I1603">_xlfn.XLOOKUP(FACT_IMPORTS[[#This Row],[country_name]],DIM_COUNTRY[[#All],[Column2]],DIM_COUNTRY[[#All],[Column3]],,,)</f>
        <v>USMCA</v>
      </c>
    </row>
    <row r="1604" spans="1:9" x14ac:dyDescent="0.4">
      <c r="A1604" t="s">
        <v>61</v>
      </c>
      <c r="B1604" s="1">
        <v>45597</v>
      </c>
      <c r="C1604">
        <v>851190</v>
      </c>
      <c r="D1604" t="s">
        <v>176</v>
      </c>
      <c r="E1604">
        <v>858453</v>
      </c>
      <c r="F1604">
        <v>6590</v>
      </c>
      <c r="G1604">
        <v>4798</v>
      </c>
      <c r="H1604">
        <f>_xlfn.XLOOKUP(FACT_IMPORTS[[#This Row],[hts_6]],DIM_PRODUCTS[hts_6],DIM_PRODUCTS[hts_4],,,)</f>
        <v>8511</v>
      </c>
      <c r="I1604" t="str" cm="1">
        <f t="array" ref="I1604">_xlfn.XLOOKUP(FACT_IMPORTS[[#This Row],[country_name]],DIM_COUNTRY[[#All],[Column2]],DIM_COUNTRY[[#All],[Column3]],,,)</f>
        <v>USMCA</v>
      </c>
    </row>
    <row r="1605" spans="1:9" x14ac:dyDescent="0.4">
      <c r="A1605" t="s">
        <v>61</v>
      </c>
      <c r="B1605" s="1">
        <v>45597</v>
      </c>
      <c r="C1605">
        <v>851220</v>
      </c>
      <c r="D1605" t="s">
        <v>176</v>
      </c>
      <c r="E1605">
        <v>16637394</v>
      </c>
      <c r="F1605">
        <v>361250</v>
      </c>
      <c r="G1605">
        <v>71813</v>
      </c>
      <c r="H1605">
        <f>_xlfn.XLOOKUP(FACT_IMPORTS[[#This Row],[hts_6]],DIM_PRODUCTS[hts_6],DIM_PRODUCTS[hts_4],,,)</f>
        <v>8512</v>
      </c>
      <c r="I1605" t="str" cm="1">
        <f t="array" ref="I1605">_xlfn.XLOOKUP(FACT_IMPORTS[[#This Row],[country_name]],DIM_COUNTRY[[#All],[Column2]],DIM_COUNTRY[[#All],[Column3]],,,)</f>
        <v>USMCA</v>
      </c>
    </row>
    <row r="1606" spans="1:9" x14ac:dyDescent="0.4">
      <c r="A1606" t="s">
        <v>61</v>
      </c>
      <c r="B1606" s="1">
        <v>45597</v>
      </c>
      <c r="C1606">
        <v>851230</v>
      </c>
      <c r="D1606" t="s">
        <v>176</v>
      </c>
      <c r="E1606">
        <v>24953</v>
      </c>
      <c r="F1606">
        <v>97</v>
      </c>
      <c r="G1606">
        <v>364</v>
      </c>
      <c r="H1606">
        <f>_xlfn.XLOOKUP(FACT_IMPORTS[[#This Row],[hts_6]],DIM_PRODUCTS[hts_6],DIM_PRODUCTS[hts_4],,,)</f>
        <v>8512</v>
      </c>
      <c r="I1606" t="str" cm="1">
        <f t="array" ref="I1606">_xlfn.XLOOKUP(FACT_IMPORTS[[#This Row],[country_name]],DIM_COUNTRY[[#All],[Column2]],DIM_COUNTRY[[#All],[Column3]],,,)</f>
        <v>USMCA</v>
      </c>
    </row>
    <row r="1607" spans="1:9" x14ac:dyDescent="0.4">
      <c r="A1607" t="s">
        <v>61</v>
      </c>
      <c r="B1607" s="1">
        <v>45597</v>
      </c>
      <c r="C1607">
        <v>851240</v>
      </c>
      <c r="D1607" t="s">
        <v>176</v>
      </c>
      <c r="E1607">
        <v>0</v>
      </c>
      <c r="F1607">
        <v>0</v>
      </c>
      <c r="G1607">
        <v>0</v>
      </c>
      <c r="H1607">
        <f>_xlfn.XLOOKUP(FACT_IMPORTS[[#This Row],[hts_6]],DIM_PRODUCTS[hts_6],DIM_PRODUCTS[hts_4],,,)</f>
        <v>8512</v>
      </c>
      <c r="I1607" t="str" cm="1">
        <f t="array" ref="I1607">_xlfn.XLOOKUP(FACT_IMPORTS[[#This Row],[country_name]],DIM_COUNTRY[[#All],[Column2]],DIM_COUNTRY[[#All],[Column3]],,,)</f>
        <v>USMCA</v>
      </c>
    </row>
    <row r="1608" spans="1:9" x14ac:dyDescent="0.4">
      <c r="A1608" t="s">
        <v>61</v>
      </c>
      <c r="B1608" s="1">
        <v>45597</v>
      </c>
      <c r="C1608">
        <v>851290</v>
      </c>
      <c r="D1608" t="s">
        <v>176</v>
      </c>
      <c r="E1608">
        <v>1945386</v>
      </c>
      <c r="F1608">
        <v>45089</v>
      </c>
      <c r="G1608">
        <v>6677</v>
      </c>
      <c r="H1608">
        <f>_xlfn.XLOOKUP(FACT_IMPORTS[[#This Row],[hts_6]],DIM_PRODUCTS[hts_6],DIM_PRODUCTS[hts_4],,,)</f>
        <v>8512</v>
      </c>
      <c r="I1608" t="str" cm="1">
        <f t="array" ref="I1608">_xlfn.XLOOKUP(FACT_IMPORTS[[#This Row],[country_name]],DIM_COUNTRY[[#All],[Column2]],DIM_COUNTRY[[#All],[Column3]],,,)</f>
        <v>USMCA</v>
      </c>
    </row>
    <row r="1609" spans="1:9" x14ac:dyDescent="0.4">
      <c r="A1609" t="s">
        <v>61</v>
      </c>
      <c r="B1609" s="1">
        <v>45597</v>
      </c>
      <c r="C1609">
        <v>854231</v>
      </c>
      <c r="D1609" t="s">
        <v>176</v>
      </c>
      <c r="E1609">
        <v>82557</v>
      </c>
      <c r="F1609">
        <v>1302</v>
      </c>
      <c r="G1609">
        <v>1600</v>
      </c>
      <c r="H1609">
        <f>_xlfn.XLOOKUP(FACT_IMPORTS[[#This Row],[hts_6]],DIM_PRODUCTS[hts_6],DIM_PRODUCTS[hts_4],,,)</f>
        <v>8542</v>
      </c>
      <c r="I1609" t="str" cm="1">
        <f t="array" ref="I1609">_xlfn.XLOOKUP(FACT_IMPORTS[[#This Row],[country_name]],DIM_COUNTRY[[#All],[Column2]],DIM_COUNTRY[[#All],[Column3]],,,)</f>
        <v>USMCA</v>
      </c>
    </row>
    <row r="1610" spans="1:9" x14ac:dyDescent="0.4">
      <c r="A1610" t="s">
        <v>61</v>
      </c>
      <c r="B1610" s="1">
        <v>45597</v>
      </c>
      <c r="C1610">
        <v>854232</v>
      </c>
      <c r="D1610" t="s">
        <v>176</v>
      </c>
      <c r="E1610">
        <v>0</v>
      </c>
      <c r="F1610">
        <v>0</v>
      </c>
      <c r="G1610">
        <v>0</v>
      </c>
      <c r="H1610">
        <f>_xlfn.XLOOKUP(FACT_IMPORTS[[#This Row],[hts_6]],DIM_PRODUCTS[hts_6],DIM_PRODUCTS[hts_4],,,)</f>
        <v>8542</v>
      </c>
      <c r="I1610" t="str" cm="1">
        <f t="array" ref="I1610">_xlfn.XLOOKUP(FACT_IMPORTS[[#This Row],[country_name]],DIM_COUNTRY[[#All],[Column2]],DIM_COUNTRY[[#All],[Column3]],,,)</f>
        <v>USMCA</v>
      </c>
    </row>
    <row r="1611" spans="1:9" x14ac:dyDescent="0.4">
      <c r="A1611" t="s">
        <v>61</v>
      </c>
      <c r="B1611" s="1">
        <v>45597</v>
      </c>
      <c r="C1611">
        <v>854233</v>
      </c>
      <c r="D1611" t="s">
        <v>176</v>
      </c>
      <c r="E1611">
        <v>2195</v>
      </c>
      <c r="F1611">
        <v>1</v>
      </c>
      <c r="G1611">
        <v>19</v>
      </c>
      <c r="H1611">
        <f>_xlfn.XLOOKUP(FACT_IMPORTS[[#This Row],[hts_6]],DIM_PRODUCTS[hts_6],DIM_PRODUCTS[hts_4],,,)</f>
        <v>8542</v>
      </c>
      <c r="I1611" t="str" cm="1">
        <f t="array" ref="I1611">_xlfn.XLOOKUP(FACT_IMPORTS[[#This Row],[country_name]],DIM_COUNTRY[[#All],[Column2]],DIM_COUNTRY[[#All],[Column3]],,,)</f>
        <v>USMCA</v>
      </c>
    </row>
    <row r="1612" spans="1:9" x14ac:dyDescent="0.4">
      <c r="A1612" t="s">
        <v>61</v>
      </c>
      <c r="B1612" s="1">
        <v>45597</v>
      </c>
      <c r="C1612">
        <v>854239</v>
      </c>
      <c r="D1612" t="s">
        <v>176</v>
      </c>
      <c r="E1612">
        <v>17857</v>
      </c>
      <c r="F1612">
        <v>193</v>
      </c>
      <c r="G1612">
        <v>20</v>
      </c>
      <c r="H1612">
        <f>_xlfn.XLOOKUP(FACT_IMPORTS[[#This Row],[hts_6]],DIM_PRODUCTS[hts_6],DIM_PRODUCTS[hts_4],,,)</f>
        <v>8542</v>
      </c>
      <c r="I1612" t="str" cm="1">
        <f t="array" ref="I1612">_xlfn.XLOOKUP(FACT_IMPORTS[[#This Row],[country_name]],DIM_COUNTRY[[#All],[Column2]],DIM_COUNTRY[[#All],[Column3]],,,)</f>
        <v>USMCA</v>
      </c>
    </row>
    <row r="1613" spans="1:9" x14ac:dyDescent="0.4">
      <c r="A1613" t="s">
        <v>61</v>
      </c>
      <c r="B1613" s="1">
        <v>45597</v>
      </c>
      <c r="C1613">
        <v>854290</v>
      </c>
      <c r="D1613" t="s">
        <v>176</v>
      </c>
      <c r="E1613">
        <v>20134</v>
      </c>
      <c r="F1613">
        <v>6</v>
      </c>
      <c r="G1613">
        <v>1008</v>
      </c>
      <c r="H1613">
        <f>_xlfn.XLOOKUP(FACT_IMPORTS[[#This Row],[hts_6]],DIM_PRODUCTS[hts_6],DIM_PRODUCTS[hts_4],,,)</f>
        <v>8542</v>
      </c>
      <c r="I1613" t="str" cm="1">
        <f t="array" ref="I1613">_xlfn.XLOOKUP(FACT_IMPORTS[[#This Row],[country_name]],DIM_COUNTRY[[#All],[Column2]],DIM_COUNTRY[[#All],[Column3]],,,)</f>
        <v>USMCA</v>
      </c>
    </row>
    <row r="1614" spans="1:9" x14ac:dyDescent="0.4">
      <c r="A1614" t="s">
        <v>61</v>
      </c>
      <c r="B1614" s="1">
        <v>45597</v>
      </c>
      <c r="C1614">
        <v>854430</v>
      </c>
      <c r="D1614" t="s">
        <v>176</v>
      </c>
      <c r="E1614">
        <v>1339998</v>
      </c>
      <c r="F1614">
        <v>16017</v>
      </c>
      <c r="G1614">
        <v>11063</v>
      </c>
      <c r="H1614">
        <f>_xlfn.XLOOKUP(FACT_IMPORTS[[#This Row],[hts_6]],DIM_PRODUCTS[hts_6],DIM_PRODUCTS[hts_4],,,)</f>
        <v>8544</v>
      </c>
      <c r="I1614" t="str" cm="1">
        <f t="array" ref="I1614">_xlfn.XLOOKUP(FACT_IMPORTS[[#This Row],[country_name]],DIM_COUNTRY[[#All],[Column2]],DIM_COUNTRY[[#All],[Column3]],,,)</f>
        <v>USMCA</v>
      </c>
    </row>
    <row r="1615" spans="1:9" x14ac:dyDescent="0.4">
      <c r="A1615" t="s">
        <v>61</v>
      </c>
      <c r="B1615" s="1">
        <v>45597</v>
      </c>
      <c r="C1615">
        <v>870600</v>
      </c>
      <c r="D1615" t="s">
        <v>176</v>
      </c>
      <c r="E1615">
        <v>15000</v>
      </c>
      <c r="F1615">
        <v>1</v>
      </c>
      <c r="G1615">
        <v>150</v>
      </c>
      <c r="H1615">
        <f>_xlfn.XLOOKUP(FACT_IMPORTS[[#This Row],[hts_6]],DIM_PRODUCTS[hts_6],DIM_PRODUCTS[hts_4],,,)</f>
        <v>8706</v>
      </c>
      <c r="I1615" t="str" cm="1">
        <f t="array" ref="I1615">_xlfn.XLOOKUP(FACT_IMPORTS[[#This Row],[country_name]],DIM_COUNTRY[[#All],[Column2]],DIM_COUNTRY[[#All],[Column3]],,,)</f>
        <v>USMCA</v>
      </c>
    </row>
    <row r="1616" spans="1:9" x14ac:dyDescent="0.4">
      <c r="A1616" t="s">
        <v>61</v>
      </c>
      <c r="B1616" s="1">
        <v>45597</v>
      </c>
      <c r="C1616">
        <v>870710</v>
      </c>
      <c r="D1616" t="s">
        <v>176</v>
      </c>
      <c r="E1616">
        <v>0</v>
      </c>
      <c r="F1616">
        <v>0</v>
      </c>
      <c r="G1616">
        <v>0</v>
      </c>
      <c r="H1616">
        <f>_xlfn.XLOOKUP(FACT_IMPORTS[[#This Row],[hts_6]],DIM_PRODUCTS[hts_6],DIM_PRODUCTS[hts_4],,,)</f>
        <v>8707</v>
      </c>
      <c r="I1616" t="str" cm="1">
        <f t="array" ref="I1616">_xlfn.XLOOKUP(FACT_IMPORTS[[#This Row],[country_name]],DIM_COUNTRY[[#All],[Column2]],DIM_COUNTRY[[#All],[Column3]],,,)</f>
        <v>USMCA</v>
      </c>
    </row>
    <row r="1617" spans="1:9" x14ac:dyDescent="0.4">
      <c r="A1617" t="s">
        <v>61</v>
      </c>
      <c r="B1617" s="1">
        <v>45597</v>
      </c>
      <c r="C1617">
        <v>870790</v>
      </c>
      <c r="D1617" t="s">
        <v>176</v>
      </c>
      <c r="E1617">
        <v>4591734</v>
      </c>
      <c r="F1617">
        <v>286</v>
      </c>
      <c r="G1617">
        <v>39475</v>
      </c>
      <c r="H1617">
        <f>_xlfn.XLOOKUP(FACT_IMPORTS[[#This Row],[hts_6]],DIM_PRODUCTS[hts_6],DIM_PRODUCTS[hts_4],,,)</f>
        <v>8707</v>
      </c>
      <c r="I1617" t="str" cm="1">
        <f t="array" ref="I1617">_xlfn.XLOOKUP(FACT_IMPORTS[[#This Row],[country_name]],DIM_COUNTRY[[#All],[Column2]],DIM_COUNTRY[[#All],[Column3]],,,)</f>
        <v>USMCA</v>
      </c>
    </row>
    <row r="1618" spans="1:9" x14ac:dyDescent="0.4">
      <c r="A1618" t="s">
        <v>61</v>
      </c>
      <c r="B1618" s="1">
        <v>45597</v>
      </c>
      <c r="C1618">
        <v>870810</v>
      </c>
      <c r="D1618" t="s">
        <v>176</v>
      </c>
      <c r="E1618">
        <v>22608651</v>
      </c>
      <c r="F1618">
        <v>926778</v>
      </c>
      <c r="G1618">
        <v>367797</v>
      </c>
      <c r="H1618">
        <f>_xlfn.XLOOKUP(FACT_IMPORTS[[#This Row],[hts_6]],DIM_PRODUCTS[hts_6],DIM_PRODUCTS[hts_4],,,)</f>
        <v>8708</v>
      </c>
      <c r="I1618" t="str" cm="1">
        <f t="array" ref="I1618">_xlfn.XLOOKUP(FACT_IMPORTS[[#This Row],[country_name]],DIM_COUNTRY[[#All],[Column2]],DIM_COUNTRY[[#All],[Column3]],,,)</f>
        <v>USMCA</v>
      </c>
    </row>
    <row r="1619" spans="1:9" x14ac:dyDescent="0.4">
      <c r="A1619" t="s">
        <v>61</v>
      </c>
      <c r="B1619" s="1">
        <v>45597</v>
      </c>
      <c r="C1619">
        <v>870821</v>
      </c>
      <c r="D1619" t="s">
        <v>176</v>
      </c>
      <c r="E1619">
        <v>260901</v>
      </c>
      <c r="F1619">
        <v>13327</v>
      </c>
      <c r="G1619">
        <v>2295</v>
      </c>
      <c r="H1619">
        <f>_xlfn.XLOOKUP(FACT_IMPORTS[[#This Row],[hts_6]],DIM_PRODUCTS[hts_6],DIM_PRODUCTS[hts_4],,,)</f>
        <v>8708</v>
      </c>
      <c r="I1619" t="str" cm="1">
        <f t="array" ref="I1619">_xlfn.XLOOKUP(FACT_IMPORTS[[#This Row],[country_name]],DIM_COUNTRY[[#All],[Column2]],DIM_COUNTRY[[#All],[Column3]],,,)</f>
        <v>USMCA</v>
      </c>
    </row>
    <row r="1620" spans="1:9" x14ac:dyDescent="0.4">
      <c r="A1620" t="s">
        <v>61</v>
      </c>
      <c r="B1620" s="1">
        <v>45597</v>
      </c>
      <c r="C1620">
        <v>870822</v>
      </c>
      <c r="D1620" t="s">
        <v>176</v>
      </c>
      <c r="E1620">
        <v>4752360</v>
      </c>
      <c r="F1620">
        <v>82925</v>
      </c>
      <c r="G1620">
        <v>166490</v>
      </c>
      <c r="H1620">
        <f>_xlfn.XLOOKUP(FACT_IMPORTS[[#This Row],[hts_6]],DIM_PRODUCTS[hts_6],DIM_PRODUCTS[hts_4],,,)</f>
        <v>8708</v>
      </c>
      <c r="I1620" t="str" cm="1">
        <f t="array" ref="I1620">_xlfn.XLOOKUP(FACT_IMPORTS[[#This Row],[country_name]],DIM_COUNTRY[[#All],[Column2]],DIM_COUNTRY[[#All],[Column3]],,,)</f>
        <v>USMCA</v>
      </c>
    </row>
    <row r="1621" spans="1:9" x14ac:dyDescent="0.4">
      <c r="A1621" t="s">
        <v>61</v>
      </c>
      <c r="B1621" s="1">
        <v>45597</v>
      </c>
      <c r="C1621">
        <v>870829</v>
      </c>
      <c r="D1621" t="s">
        <v>176</v>
      </c>
      <c r="E1621">
        <v>354267677</v>
      </c>
      <c r="F1621">
        <v>51138176</v>
      </c>
      <c r="G1621">
        <v>6532914</v>
      </c>
      <c r="H1621">
        <f>_xlfn.XLOOKUP(FACT_IMPORTS[[#This Row],[hts_6]],DIM_PRODUCTS[hts_6],DIM_PRODUCTS[hts_4],,,)</f>
        <v>8708</v>
      </c>
      <c r="I1621" t="str" cm="1">
        <f t="array" ref="I1621">_xlfn.XLOOKUP(FACT_IMPORTS[[#This Row],[country_name]],DIM_COUNTRY[[#All],[Column2]],DIM_COUNTRY[[#All],[Column3]],,,)</f>
        <v>USMCA</v>
      </c>
    </row>
    <row r="1622" spans="1:9" x14ac:dyDescent="0.4">
      <c r="A1622" t="s">
        <v>61</v>
      </c>
      <c r="B1622" s="1">
        <v>45597</v>
      </c>
      <c r="C1622">
        <v>870830</v>
      </c>
      <c r="D1622" t="s">
        <v>176</v>
      </c>
      <c r="E1622">
        <v>11919342</v>
      </c>
      <c r="F1622">
        <v>2461690</v>
      </c>
      <c r="G1622">
        <v>162398</v>
      </c>
      <c r="H1622">
        <f>_xlfn.XLOOKUP(FACT_IMPORTS[[#This Row],[hts_6]],DIM_PRODUCTS[hts_6],DIM_PRODUCTS[hts_4],,,)</f>
        <v>8708</v>
      </c>
      <c r="I1622" t="str" cm="1">
        <f t="array" ref="I1622">_xlfn.XLOOKUP(FACT_IMPORTS[[#This Row],[country_name]],DIM_COUNTRY[[#All],[Column2]],DIM_COUNTRY[[#All],[Column3]],,,)</f>
        <v>USMCA</v>
      </c>
    </row>
    <row r="1623" spans="1:9" x14ac:dyDescent="0.4">
      <c r="A1623" t="s">
        <v>61</v>
      </c>
      <c r="B1623" s="1">
        <v>45597</v>
      </c>
      <c r="C1623">
        <v>870840</v>
      </c>
      <c r="D1623" t="s">
        <v>176</v>
      </c>
      <c r="E1623">
        <v>76404556</v>
      </c>
      <c r="F1623">
        <v>3646523</v>
      </c>
      <c r="G1623">
        <v>291317</v>
      </c>
      <c r="H1623">
        <f>_xlfn.XLOOKUP(FACT_IMPORTS[[#This Row],[hts_6]],DIM_PRODUCTS[hts_6],DIM_PRODUCTS[hts_4],,,)</f>
        <v>8708</v>
      </c>
      <c r="I1623" t="str" cm="1">
        <f t="array" ref="I1623">_xlfn.XLOOKUP(FACT_IMPORTS[[#This Row],[country_name]],DIM_COUNTRY[[#All],[Column2]],DIM_COUNTRY[[#All],[Column3]],,,)</f>
        <v>USMCA</v>
      </c>
    </row>
    <row r="1624" spans="1:9" x14ac:dyDescent="0.4">
      <c r="A1624" t="s">
        <v>61</v>
      </c>
      <c r="B1624" s="1">
        <v>45597</v>
      </c>
      <c r="C1624">
        <v>870850</v>
      </c>
      <c r="D1624" t="s">
        <v>176</v>
      </c>
      <c r="E1624">
        <v>25827858</v>
      </c>
      <c r="F1624">
        <v>1721452</v>
      </c>
      <c r="G1624">
        <v>114989</v>
      </c>
      <c r="H1624">
        <f>_xlfn.XLOOKUP(FACT_IMPORTS[[#This Row],[hts_6]],DIM_PRODUCTS[hts_6],DIM_PRODUCTS[hts_4],,,)</f>
        <v>8708</v>
      </c>
      <c r="I1624" t="str" cm="1">
        <f t="array" ref="I1624">_xlfn.XLOOKUP(FACT_IMPORTS[[#This Row],[country_name]],DIM_COUNTRY[[#All],[Column2]],DIM_COUNTRY[[#All],[Column3]],,,)</f>
        <v>USMCA</v>
      </c>
    </row>
    <row r="1625" spans="1:9" x14ac:dyDescent="0.4">
      <c r="A1625" t="s">
        <v>61</v>
      </c>
      <c r="B1625" s="1">
        <v>45597</v>
      </c>
      <c r="C1625">
        <v>870870</v>
      </c>
      <c r="D1625" t="s">
        <v>176</v>
      </c>
      <c r="E1625">
        <v>7639212</v>
      </c>
      <c r="F1625">
        <v>6903690</v>
      </c>
      <c r="G1625">
        <v>89097</v>
      </c>
      <c r="H1625">
        <f>_xlfn.XLOOKUP(FACT_IMPORTS[[#This Row],[hts_6]],DIM_PRODUCTS[hts_6],DIM_PRODUCTS[hts_4],,,)</f>
        <v>8708</v>
      </c>
      <c r="I1625" t="str" cm="1">
        <f t="array" ref="I1625">_xlfn.XLOOKUP(FACT_IMPORTS[[#This Row],[country_name]],DIM_COUNTRY[[#All],[Column2]],DIM_COUNTRY[[#All],[Column3]],,,)</f>
        <v>USMCA</v>
      </c>
    </row>
    <row r="1626" spans="1:9" x14ac:dyDescent="0.4">
      <c r="A1626" t="s">
        <v>61</v>
      </c>
      <c r="B1626" s="1">
        <v>45597</v>
      </c>
      <c r="C1626">
        <v>870880</v>
      </c>
      <c r="D1626" t="s">
        <v>176</v>
      </c>
      <c r="E1626">
        <v>61454606</v>
      </c>
      <c r="F1626">
        <v>2749718</v>
      </c>
      <c r="G1626">
        <v>748438</v>
      </c>
      <c r="H1626">
        <f>_xlfn.XLOOKUP(FACT_IMPORTS[[#This Row],[hts_6]],DIM_PRODUCTS[hts_6],DIM_PRODUCTS[hts_4],,,)</f>
        <v>8708</v>
      </c>
      <c r="I1626" t="str" cm="1">
        <f t="array" ref="I1626">_xlfn.XLOOKUP(FACT_IMPORTS[[#This Row],[country_name]],DIM_COUNTRY[[#All],[Column2]],DIM_COUNTRY[[#All],[Column3]],,,)</f>
        <v>USMCA</v>
      </c>
    </row>
    <row r="1627" spans="1:9" x14ac:dyDescent="0.4">
      <c r="A1627" t="s">
        <v>61</v>
      </c>
      <c r="B1627" s="1">
        <v>45597</v>
      </c>
      <c r="C1627">
        <v>870891</v>
      </c>
      <c r="D1627" t="s">
        <v>176</v>
      </c>
      <c r="E1627">
        <v>11738047</v>
      </c>
      <c r="F1627">
        <v>491222</v>
      </c>
      <c r="G1627">
        <v>159881</v>
      </c>
      <c r="H1627">
        <f>_xlfn.XLOOKUP(FACT_IMPORTS[[#This Row],[hts_6]],DIM_PRODUCTS[hts_6],DIM_PRODUCTS[hts_4],,,)</f>
        <v>8708</v>
      </c>
      <c r="I1627" t="str" cm="1">
        <f t="array" ref="I1627">_xlfn.XLOOKUP(FACT_IMPORTS[[#This Row],[country_name]],DIM_COUNTRY[[#All],[Column2]],DIM_COUNTRY[[#All],[Column3]],,,)</f>
        <v>USMCA</v>
      </c>
    </row>
    <row r="1628" spans="1:9" x14ac:dyDescent="0.4">
      <c r="A1628" t="s">
        <v>61</v>
      </c>
      <c r="B1628" s="1">
        <v>45597</v>
      </c>
      <c r="C1628">
        <v>870892</v>
      </c>
      <c r="D1628" t="s">
        <v>176</v>
      </c>
      <c r="E1628">
        <v>13969955</v>
      </c>
      <c r="F1628">
        <v>793262</v>
      </c>
      <c r="G1628">
        <v>267002</v>
      </c>
      <c r="H1628">
        <f>_xlfn.XLOOKUP(FACT_IMPORTS[[#This Row],[hts_6]],DIM_PRODUCTS[hts_6],DIM_PRODUCTS[hts_4],,,)</f>
        <v>8708</v>
      </c>
      <c r="I1628" t="str" cm="1">
        <f t="array" ref="I1628">_xlfn.XLOOKUP(FACT_IMPORTS[[#This Row],[country_name]],DIM_COUNTRY[[#All],[Column2]],DIM_COUNTRY[[#All],[Column3]],,,)</f>
        <v>USMCA</v>
      </c>
    </row>
    <row r="1629" spans="1:9" x14ac:dyDescent="0.4">
      <c r="A1629" t="s">
        <v>61</v>
      </c>
      <c r="B1629" s="1">
        <v>45597</v>
      </c>
      <c r="C1629">
        <v>870893</v>
      </c>
      <c r="D1629" t="s">
        <v>176</v>
      </c>
      <c r="E1629">
        <v>44413804</v>
      </c>
      <c r="F1629">
        <v>983283</v>
      </c>
      <c r="G1629">
        <v>59817</v>
      </c>
      <c r="H1629">
        <f>_xlfn.XLOOKUP(FACT_IMPORTS[[#This Row],[hts_6]],DIM_PRODUCTS[hts_6],DIM_PRODUCTS[hts_4],,,)</f>
        <v>8708</v>
      </c>
      <c r="I1629" t="str" cm="1">
        <f t="array" ref="I1629">_xlfn.XLOOKUP(FACT_IMPORTS[[#This Row],[country_name]],DIM_COUNTRY[[#All],[Column2]],DIM_COUNTRY[[#All],[Column3]],,,)</f>
        <v>USMCA</v>
      </c>
    </row>
    <row r="1630" spans="1:9" x14ac:dyDescent="0.4">
      <c r="A1630" t="s">
        <v>61</v>
      </c>
      <c r="B1630" s="1">
        <v>45597</v>
      </c>
      <c r="C1630">
        <v>870894</v>
      </c>
      <c r="D1630" t="s">
        <v>176</v>
      </c>
      <c r="E1630">
        <v>9876254</v>
      </c>
      <c r="F1630">
        <v>2686681</v>
      </c>
      <c r="G1630">
        <v>103709</v>
      </c>
      <c r="H1630">
        <f>_xlfn.XLOOKUP(FACT_IMPORTS[[#This Row],[hts_6]],DIM_PRODUCTS[hts_6],DIM_PRODUCTS[hts_4],,,)</f>
        <v>8708</v>
      </c>
      <c r="I1630" t="str" cm="1">
        <f t="array" ref="I1630">_xlfn.XLOOKUP(FACT_IMPORTS[[#This Row],[country_name]],DIM_COUNTRY[[#All],[Column2]],DIM_COUNTRY[[#All],[Column3]],,,)</f>
        <v>USMCA</v>
      </c>
    </row>
    <row r="1631" spans="1:9" x14ac:dyDescent="0.4">
      <c r="A1631" t="s">
        <v>61</v>
      </c>
      <c r="B1631" s="1">
        <v>45597</v>
      </c>
      <c r="C1631">
        <v>870895</v>
      </c>
      <c r="D1631" t="s">
        <v>176</v>
      </c>
      <c r="E1631">
        <v>1360545</v>
      </c>
      <c r="F1631">
        <v>1095049</v>
      </c>
      <c r="G1631">
        <v>10549</v>
      </c>
      <c r="H1631">
        <f>_xlfn.XLOOKUP(FACT_IMPORTS[[#This Row],[hts_6]],DIM_PRODUCTS[hts_6],DIM_PRODUCTS[hts_4],,,)</f>
        <v>8708</v>
      </c>
      <c r="I1631" t="str" cm="1">
        <f t="array" ref="I1631">_xlfn.XLOOKUP(FACT_IMPORTS[[#This Row],[country_name]],DIM_COUNTRY[[#All],[Column2]],DIM_COUNTRY[[#All],[Column3]],,,)</f>
        <v>USMCA</v>
      </c>
    </row>
    <row r="1632" spans="1:9" x14ac:dyDescent="0.4">
      <c r="A1632" t="s">
        <v>61</v>
      </c>
      <c r="B1632" s="1">
        <v>45597</v>
      </c>
      <c r="C1632">
        <v>870899</v>
      </c>
      <c r="D1632" t="s">
        <v>176</v>
      </c>
      <c r="E1632">
        <v>154602070</v>
      </c>
      <c r="F1632">
        <v>12211390</v>
      </c>
      <c r="G1632">
        <v>1613348</v>
      </c>
      <c r="H1632">
        <f>_xlfn.XLOOKUP(FACT_IMPORTS[[#This Row],[hts_6]],DIM_PRODUCTS[hts_6],DIM_PRODUCTS[hts_4],,,)</f>
        <v>8708</v>
      </c>
      <c r="I1632" t="str" cm="1">
        <f t="array" ref="I1632">_xlfn.XLOOKUP(FACT_IMPORTS[[#This Row],[country_name]],DIM_COUNTRY[[#All],[Column2]],DIM_COUNTRY[[#All],[Column3]],,,)</f>
        <v>USMCA</v>
      </c>
    </row>
    <row r="1633" spans="1:9" x14ac:dyDescent="0.4">
      <c r="A1633" t="s">
        <v>61</v>
      </c>
      <c r="B1633" s="1">
        <v>45597</v>
      </c>
      <c r="C1633">
        <v>940120</v>
      </c>
      <c r="D1633" t="s">
        <v>176</v>
      </c>
      <c r="E1633">
        <v>741213</v>
      </c>
      <c r="F1633">
        <v>2760</v>
      </c>
      <c r="G1633">
        <v>10377</v>
      </c>
      <c r="H1633">
        <f>_xlfn.XLOOKUP(FACT_IMPORTS[[#This Row],[hts_6]],DIM_PRODUCTS[hts_6],DIM_PRODUCTS[hts_4],,,)</f>
        <v>9401</v>
      </c>
      <c r="I1633" t="str" cm="1">
        <f t="array" ref="I1633">_xlfn.XLOOKUP(FACT_IMPORTS[[#This Row],[country_name]],DIM_COUNTRY[[#All],[Column2]],DIM_COUNTRY[[#All],[Column3]],,,)</f>
        <v>USMCA</v>
      </c>
    </row>
    <row r="1634" spans="1:9" x14ac:dyDescent="0.4">
      <c r="A1634" t="s">
        <v>61</v>
      </c>
      <c r="B1634" s="1">
        <v>45627</v>
      </c>
      <c r="C1634">
        <v>392630</v>
      </c>
      <c r="D1634" t="s">
        <v>176</v>
      </c>
      <c r="E1634">
        <v>2667312</v>
      </c>
      <c r="F1634">
        <v>376949</v>
      </c>
      <c r="G1634">
        <v>159225</v>
      </c>
      <c r="H1634">
        <f>_xlfn.XLOOKUP(FACT_IMPORTS[[#This Row],[hts_6]],DIM_PRODUCTS[hts_6],DIM_PRODUCTS[hts_4],,,)</f>
        <v>3926</v>
      </c>
      <c r="I1634" t="str" cm="1">
        <f t="array" ref="I1634">_xlfn.XLOOKUP(FACT_IMPORTS[[#This Row],[country_name]],DIM_COUNTRY[[#All],[Column2]],DIM_COUNTRY[[#All],[Column3]],,,)</f>
        <v>USMCA</v>
      </c>
    </row>
    <row r="1635" spans="1:9" x14ac:dyDescent="0.4">
      <c r="A1635" t="s">
        <v>61</v>
      </c>
      <c r="B1635" s="1">
        <v>45627</v>
      </c>
      <c r="C1635">
        <v>401110</v>
      </c>
      <c r="D1635" t="s">
        <v>176</v>
      </c>
      <c r="E1635">
        <v>42399189</v>
      </c>
      <c r="F1635">
        <v>550256</v>
      </c>
      <c r="G1635">
        <v>246995</v>
      </c>
      <c r="H1635">
        <f>_xlfn.XLOOKUP(FACT_IMPORTS[[#This Row],[hts_6]],DIM_PRODUCTS[hts_6],DIM_PRODUCTS[hts_4],,,)</f>
        <v>4011</v>
      </c>
      <c r="I1635" t="str" cm="1">
        <f t="array" ref="I1635">_xlfn.XLOOKUP(FACT_IMPORTS[[#This Row],[country_name]],DIM_COUNTRY[[#All],[Column2]],DIM_COUNTRY[[#All],[Column3]],,,)</f>
        <v>USMCA</v>
      </c>
    </row>
    <row r="1636" spans="1:9" x14ac:dyDescent="0.4">
      <c r="A1636" t="s">
        <v>61</v>
      </c>
      <c r="B1636" s="1">
        <v>45627</v>
      </c>
      <c r="C1636">
        <v>401120</v>
      </c>
      <c r="D1636" t="s">
        <v>176</v>
      </c>
      <c r="E1636">
        <v>51496132</v>
      </c>
      <c r="F1636">
        <v>283758</v>
      </c>
      <c r="G1636">
        <v>259015</v>
      </c>
      <c r="H1636">
        <f>_xlfn.XLOOKUP(FACT_IMPORTS[[#This Row],[hts_6]],DIM_PRODUCTS[hts_6],DIM_PRODUCTS[hts_4],,,)</f>
        <v>4011</v>
      </c>
      <c r="I1636" t="str" cm="1">
        <f t="array" ref="I1636">_xlfn.XLOOKUP(FACT_IMPORTS[[#This Row],[country_name]],DIM_COUNTRY[[#All],[Column2]],DIM_COUNTRY[[#All],[Column3]],,,)</f>
        <v>USMCA</v>
      </c>
    </row>
    <row r="1637" spans="1:9" x14ac:dyDescent="0.4">
      <c r="A1637" t="s">
        <v>61</v>
      </c>
      <c r="B1637" s="1">
        <v>45627</v>
      </c>
      <c r="C1637">
        <v>401140</v>
      </c>
      <c r="D1637" t="s">
        <v>176</v>
      </c>
      <c r="E1637">
        <v>0</v>
      </c>
      <c r="F1637">
        <v>0</v>
      </c>
      <c r="G1637">
        <v>0</v>
      </c>
      <c r="H1637">
        <f>_xlfn.XLOOKUP(FACT_IMPORTS[[#This Row],[hts_6]],DIM_PRODUCTS[hts_6],DIM_PRODUCTS[hts_4],,,)</f>
        <v>4011</v>
      </c>
      <c r="I1637" t="str" cm="1">
        <f t="array" ref="I1637">_xlfn.XLOOKUP(FACT_IMPORTS[[#This Row],[country_name]],DIM_COUNTRY[[#All],[Column2]],DIM_COUNTRY[[#All],[Column3]],,,)</f>
        <v>USMCA</v>
      </c>
    </row>
    <row r="1638" spans="1:9" x14ac:dyDescent="0.4">
      <c r="A1638" t="s">
        <v>61</v>
      </c>
      <c r="B1638" s="1">
        <v>45627</v>
      </c>
      <c r="C1638">
        <v>401190</v>
      </c>
      <c r="D1638" t="s">
        <v>176</v>
      </c>
      <c r="E1638">
        <v>1020985</v>
      </c>
      <c r="F1638">
        <v>1189</v>
      </c>
      <c r="G1638">
        <v>709</v>
      </c>
      <c r="H1638">
        <f>_xlfn.XLOOKUP(FACT_IMPORTS[[#This Row],[hts_6]],DIM_PRODUCTS[hts_6],DIM_PRODUCTS[hts_4],,,)</f>
        <v>4011</v>
      </c>
      <c r="I1638" t="str" cm="1">
        <f t="array" ref="I1638">_xlfn.XLOOKUP(FACT_IMPORTS[[#This Row],[country_name]],DIM_COUNTRY[[#All],[Column2]],DIM_COUNTRY[[#All],[Column3]],,,)</f>
        <v>USMCA</v>
      </c>
    </row>
    <row r="1639" spans="1:9" x14ac:dyDescent="0.4">
      <c r="A1639" t="s">
        <v>61</v>
      </c>
      <c r="B1639" s="1">
        <v>45627</v>
      </c>
      <c r="C1639">
        <v>700711</v>
      </c>
      <c r="D1639" t="s">
        <v>176</v>
      </c>
      <c r="E1639">
        <v>293150</v>
      </c>
      <c r="F1639">
        <v>1322</v>
      </c>
      <c r="G1639">
        <v>4582</v>
      </c>
      <c r="H1639">
        <f>_xlfn.XLOOKUP(FACT_IMPORTS[[#This Row],[hts_6]],DIM_PRODUCTS[hts_6],DIM_PRODUCTS[hts_4],,,)</f>
        <v>7007</v>
      </c>
      <c r="I1639" t="str" cm="1">
        <f t="array" ref="I1639">_xlfn.XLOOKUP(FACT_IMPORTS[[#This Row],[country_name]],DIM_COUNTRY[[#All],[Column2]],DIM_COUNTRY[[#All],[Column3]],,,)</f>
        <v>USMCA</v>
      </c>
    </row>
    <row r="1640" spans="1:9" x14ac:dyDescent="0.4">
      <c r="A1640" t="s">
        <v>61</v>
      </c>
      <c r="B1640" s="1">
        <v>45627</v>
      </c>
      <c r="C1640">
        <v>700721</v>
      </c>
      <c r="D1640" t="s">
        <v>176</v>
      </c>
      <c r="E1640">
        <v>84845</v>
      </c>
      <c r="F1640">
        <v>185</v>
      </c>
      <c r="G1640">
        <v>954</v>
      </c>
      <c r="H1640">
        <f>_xlfn.XLOOKUP(FACT_IMPORTS[[#This Row],[hts_6]],DIM_PRODUCTS[hts_6],DIM_PRODUCTS[hts_4],,,)</f>
        <v>7007</v>
      </c>
      <c r="I1640" t="str" cm="1">
        <f t="array" ref="I1640">_xlfn.XLOOKUP(FACT_IMPORTS[[#This Row],[country_name]],DIM_COUNTRY[[#All],[Column2]],DIM_COUNTRY[[#All],[Column3]],,,)</f>
        <v>USMCA</v>
      </c>
    </row>
    <row r="1641" spans="1:9" x14ac:dyDescent="0.4">
      <c r="A1641" t="s">
        <v>61</v>
      </c>
      <c r="B1641" s="1">
        <v>45627</v>
      </c>
      <c r="C1641">
        <v>700910</v>
      </c>
      <c r="D1641" t="s">
        <v>176</v>
      </c>
      <c r="E1641">
        <v>59362</v>
      </c>
      <c r="F1641">
        <v>1090</v>
      </c>
      <c r="G1641">
        <v>529</v>
      </c>
      <c r="H1641">
        <f>_xlfn.XLOOKUP(FACT_IMPORTS[[#This Row],[hts_6]],DIM_PRODUCTS[hts_6],DIM_PRODUCTS[hts_4],,,)</f>
        <v>7009</v>
      </c>
      <c r="I1641" t="str" cm="1">
        <f t="array" ref="I1641">_xlfn.XLOOKUP(FACT_IMPORTS[[#This Row],[country_name]],DIM_COUNTRY[[#All],[Column2]],DIM_COUNTRY[[#All],[Column3]],,,)</f>
        <v>USMCA</v>
      </c>
    </row>
    <row r="1642" spans="1:9" x14ac:dyDescent="0.4">
      <c r="A1642" t="s">
        <v>61</v>
      </c>
      <c r="B1642" s="1">
        <v>45627</v>
      </c>
      <c r="C1642">
        <v>732010</v>
      </c>
      <c r="D1642" t="s">
        <v>176</v>
      </c>
      <c r="E1642">
        <v>2485571</v>
      </c>
      <c r="F1642">
        <v>758490</v>
      </c>
      <c r="G1642">
        <v>17264</v>
      </c>
      <c r="H1642">
        <f>_xlfn.XLOOKUP(FACT_IMPORTS[[#This Row],[hts_6]],DIM_PRODUCTS[hts_6],DIM_PRODUCTS[hts_4],,,)</f>
        <v>7320</v>
      </c>
      <c r="I1642" t="str" cm="1">
        <f t="array" ref="I1642">_xlfn.XLOOKUP(FACT_IMPORTS[[#This Row],[country_name]],DIM_COUNTRY[[#All],[Column2]],DIM_COUNTRY[[#All],[Column3]],,,)</f>
        <v>USMCA</v>
      </c>
    </row>
    <row r="1643" spans="1:9" x14ac:dyDescent="0.4">
      <c r="A1643" t="s">
        <v>61</v>
      </c>
      <c r="B1643" s="1">
        <v>45627</v>
      </c>
      <c r="C1643">
        <v>830230</v>
      </c>
      <c r="D1643" t="s">
        <v>176</v>
      </c>
      <c r="E1643">
        <v>25446569</v>
      </c>
      <c r="F1643">
        <v>4749609</v>
      </c>
      <c r="G1643">
        <v>852504</v>
      </c>
      <c r="H1643">
        <f>_xlfn.XLOOKUP(FACT_IMPORTS[[#This Row],[hts_6]],DIM_PRODUCTS[hts_6],DIM_PRODUCTS[hts_4],,,)</f>
        <v>8302</v>
      </c>
      <c r="I1643" t="str" cm="1">
        <f t="array" ref="I1643">_xlfn.XLOOKUP(FACT_IMPORTS[[#This Row],[country_name]],DIM_COUNTRY[[#All],[Column2]],DIM_COUNTRY[[#All],[Column3]],,,)</f>
        <v>USMCA</v>
      </c>
    </row>
    <row r="1644" spans="1:9" x14ac:dyDescent="0.4">
      <c r="A1644" t="s">
        <v>61</v>
      </c>
      <c r="B1644" s="1">
        <v>45627</v>
      </c>
      <c r="C1644">
        <v>840731</v>
      </c>
      <c r="D1644" t="s">
        <v>176</v>
      </c>
      <c r="E1644">
        <v>0</v>
      </c>
      <c r="F1644">
        <v>0</v>
      </c>
      <c r="G1644">
        <v>0</v>
      </c>
      <c r="H1644">
        <f>_xlfn.XLOOKUP(FACT_IMPORTS[[#This Row],[hts_6]],DIM_PRODUCTS[hts_6],DIM_PRODUCTS[hts_4],,,)</f>
        <v>8407</v>
      </c>
      <c r="I1644" t="str" cm="1">
        <f t="array" ref="I1644">_xlfn.XLOOKUP(FACT_IMPORTS[[#This Row],[country_name]],DIM_COUNTRY[[#All],[Column2]],DIM_COUNTRY[[#All],[Column3]],,,)</f>
        <v>USMCA</v>
      </c>
    </row>
    <row r="1645" spans="1:9" x14ac:dyDescent="0.4">
      <c r="A1645" t="s">
        <v>61</v>
      </c>
      <c r="B1645" s="1">
        <v>45627</v>
      </c>
      <c r="C1645">
        <v>840732</v>
      </c>
      <c r="D1645" t="s">
        <v>176</v>
      </c>
      <c r="E1645">
        <v>0</v>
      </c>
      <c r="F1645">
        <v>0</v>
      </c>
      <c r="G1645">
        <v>0</v>
      </c>
      <c r="H1645">
        <f>_xlfn.XLOOKUP(FACT_IMPORTS[[#This Row],[hts_6]],DIM_PRODUCTS[hts_6],DIM_PRODUCTS[hts_4],,,)</f>
        <v>8407</v>
      </c>
      <c r="I1645" t="str" cm="1">
        <f t="array" ref="I1645">_xlfn.XLOOKUP(FACT_IMPORTS[[#This Row],[country_name]],DIM_COUNTRY[[#All],[Column2]],DIM_COUNTRY[[#All],[Column3]],,,)</f>
        <v>USMCA</v>
      </c>
    </row>
    <row r="1646" spans="1:9" x14ac:dyDescent="0.4">
      <c r="A1646" t="s">
        <v>61</v>
      </c>
      <c r="B1646" s="1">
        <v>45627</v>
      </c>
      <c r="C1646">
        <v>840733</v>
      </c>
      <c r="D1646" t="s">
        <v>176</v>
      </c>
      <c r="E1646">
        <v>0</v>
      </c>
      <c r="F1646">
        <v>0</v>
      </c>
      <c r="G1646">
        <v>0</v>
      </c>
      <c r="H1646">
        <f>_xlfn.XLOOKUP(FACT_IMPORTS[[#This Row],[hts_6]],DIM_PRODUCTS[hts_6],DIM_PRODUCTS[hts_4],,,)</f>
        <v>8407</v>
      </c>
      <c r="I1646" t="str" cm="1">
        <f t="array" ref="I1646">_xlfn.XLOOKUP(FACT_IMPORTS[[#This Row],[country_name]],DIM_COUNTRY[[#All],[Column2]],DIM_COUNTRY[[#All],[Column3]],,,)</f>
        <v>USMCA</v>
      </c>
    </row>
    <row r="1647" spans="1:9" x14ac:dyDescent="0.4">
      <c r="A1647" t="s">
        <v>61</v>
      </c>
      <c r="B1647" s="1">
        <v>45627</v>
      </c>
      <c r="C1647">
        <v>840734</v>
      </c>
      <c r="D1647" t="s">
        <v>176</v>
      </c>
      <c r="E1647">
        <v>141219674</v>
      </c>
      <c r="F1647">
        <v>42150</v>
      </c>
      <c r="G1647">
        <v>47530</v>
      </c>
      <c r="H1647">
        <f>_xlfn.XLOOKUP(FACT_IMPORTS[[#This Row],[hts_6]],DIM_PRODUCTS[hts_6],DIM_PRODUCTS[hts_4],,,)</f>
        <v>8407</v>
      </c>
      <c r="I1647" t="str" cm="1">
        <f t="array" ref="I1647">_xlfn.XLOOKUP(FACT_IMPORTS[[#This Row],[country_name]],DIM_COUNTRY[[#All],[Column2]],DIM_COUNTRY[[#All],[Column3]],,,)</f>
        <v>USMCA</v>
      </c>
    </row>
    <row r="1648" spans="1:9" x14ac:dyDescent="0.4">
      <c r="A1648" t="s">
        <v>61</v>
      </c>
      <c r="B1648" s="1">
        <v>45627</v>
      </c>
      <c r="C1648">
        <v>840790</v>
      </c>
      <c r="D1648" t="s">
        <v>176</v>
      </c>
      <c r="E1648">
        <v>14153581</v>
      </c>
      <c r="F1648">
        <v>24404</v>
      </c>
      <c r="G1648">
        <v>3700</v>
      </c>
      <c r="H1648">
        <f>_xlfn.XLOOKUP(FACT_IMPORTS[[#This Row],[hts_6]],DIM_PRODUCTS[hts_6],DIM_PRODUCTS[hts_4],,,)</f>
        <v>8407</v>
      </c>
      <c r="I1648" t="str" cm="1">
        <f t="array" ref="I1648">_xlfn.XLOOKUP(FACT_IMPORTS[[#This Row],[country_name]],DIM_COUNTRY[[#All],[Column2]],DIM_COUNTRY[[#All],[Column3]],,,)</f>
        <v>USMCA</v>
      </c>
    </row>
    <row r="1649" spans="1:9" x14ac:dyDescent="0.4">
      <c r="A1649" t="s">
        <v>61</v>
      </c>
      <c r="B1649" s="1">
        <v>45627</v>
      </c>
      <c r="C1649">
        <v>840820</v>
      </c>
      <c r="D1649" t="s">
        <v>176</v>
      </c>
      <c r="E1649">
        <v>298610</v>
      </c>
      <c r="F1649">
        <v>36</v>
      </c>
      <c r="G1649">
        <v>4399</v>
      </c>
      <c r="H1649">
        <f>_xlfn.XLOOKUP(FACT_IMPORTS[[#This Row],[hts_6]],DIM_PRODUCTS[hts_6],DIM_PRODUCTS[hts_4],,,)</f>
        <v>8408</v>
      </c>
      <c r="I1649" t="str" cm="1">
        <f t="array" ref="I1649">_xlfn.XLOOKUP(FACT_IMPORTS[[#This Row],[country_name]],DIM_COUNTRY[[#All],[Column2]],DIM_COUNTRY[[#All],[Column3]],,,)</f>
        <v>USMCA</v>
      </c>
    </row>
    <row r="1650" spans="1:9" x14ac:dyDescent="0.4">
      <c r="A1650" t="s">
        <v>61</v>
      </c>
      <c r="B1650" s="1">
        <v>45627</v>
      </c>
      <c r="C1650">
        <v>840890</v>
      </c>
      <c r="D1650" t="s">
        <v>176</v>
      </c>
      <c r="E1650">
        <v>335754</v>
      </c>
      <c r="F1650">
        <v>17</v>
      </c>
      <c r="G1650">
        <v>824</v>
      </c>
      <c r="H1650">
        <f>_xlfn.XLOOKUP(FACT_IMPORTS[[#This Row],[hts_6]],DIM_PRODUCTS[hts_6],DIM_PRODUCTS[hts_4],,,)</f>
        <v>8408</v>
      </c>
      <c r="I1650" t="str" cm="1">
        <f t="array" ref="I1650">_xlfn.XLOOKUP(FACT_IMPORTS[[#This Row],[country_name]],DIM_COUNTRY[[#All],[Column2]],DIM_COUNTRY[[#All],[Column3]],,,)</f>
        <v>USMCA</v>
      </c>
    </row>
    <row r="1651" spans="1:9" x14ac:dyDescent="0.4">
      <c r="A1651" t="s">
        <v>61</v>
      </c>
      <c r="B1651" s="1">
        <v>45627</v>
      </c>
      <c r="C1651">
        <v>840991</v>
      </c>
      <c r="D1651" t="s">
        <v>176</v>
      </c>
      <c r="E1651">
        <v>27793861</v>
      </c>
      <c r="F1651">
        <v>2127924</v>
      </c>
      <c r="G1651">
        <v>97199</v>
      </c>
      <c r="H1651">
        <f>_xlfn.XLOOKUP(FACT_IMPORTS[[#This Row],[hts_6]],DIM_PRODUCTS[hts_6],DIM_PRODUCTS[hts_4],,,)</f>
        <v>8409</v>
      </c>
      <c r="I1651" t="str" cm="1">
        <f t="array" ref="I1651">_xlfn.XLOOKUP(FACT_IMPORTS[[#This Row],[country_name]],DIM_COUNTRY[[#All],[Column2]],DIM_COUNTRY[[#All],[Column3]],,,)</f>
        <v>USMCA</v>
      </c>
    </row>
    <row r="1652" spans="1:9" x14ac:dyDescent="0.4">
      <c r="A1652" t="s">
        <v>61</v>
      </c>
      <c r="B1652" s="1">
        <v>45627</v>
      </c>
      <c r="C1652">
        <v>840999</v>
      </c>
      <c r="D1652" t="s">
        <v>176</v>
      </c>
      <c r="E1652">
        <v>9393628</v>
      </c>
      <c r="F1652">
        <v>863342</v>
      </c>
      <c r="G1652">
        <v>91657</v>
      </c>
      <c r="H1652">
        <f>_xlfn.XLOOKUP(FACT_IMPORTS[[#This Row],[hts_6]],DIM_PRODUCTS[hts_6],DIM_PRODUCTS[hts_4],,,)</f>
        <v>8409</v>
      </c>
      <c r="I1652" t="str" cm="1">
        <f t="array" ref="I1652">_xlfn.XLOOKUP(FACT_IMPORTS[[#This Row],[country_name]],DIM_COUNTRY[[#All],[Column2]],DIM_COUNTRY[[#All],[Column3]],,,)</f>
        <v>USMCA</v>
      </c>
    </row>
    <row r="1653" spans="1:9" x14ac:dyDescent="0.4">
      <c r="A1653" t="s">
        <v>61</v>
      </c>
      <c r="B1653" s="1">
        <v>45627</v>
      </c>
      <c r="C1653">
        <v>841330</v>
      </c>
      <c r="D1653" t="s">
        <v>176</v>
      </c>
      <c r="E1653">
        <v>6658461</v>
      </c>
      <c r="F1653">
        <v>117893</v>
      </c>
      <c r="G1653">
        <v>18243</v>
      </c>
      <c r="H1653">
        <f>_xlfn.XLOOKUP(FACT_IMPORTS[[#This Row],[hts_6]],DIM_PRODUCTS[hts_6],DIM_PRODUCTS[hts_4],,,)</f>
        <v>8413</v>
      </c>
      <c r="I1653" t="str" cm="1">
        <f t="array" ref="I1653">_xlfn.XLOOKUP(FACT_IMPORTS[[#This Row],[country_name]],DIM_COUNTRY[[#All],[Column2]],DIM_COUNTRY[[#All],[Column3]],,,)</f>
        <v>USMCA</v>
      </c>
    </row>
    <row r="1654" spans="1:9" x14ac:dyDescent="0.4">
      <c r="A1654" t="s">
        <v>61</v>
      </c>
      <c r="B1654" s="1">
        <v>45627</v>
      </c>
      <c r="C1654">
        <v>841520</v>
      </c>
      <c r="D1654" t="s">
        <v>176</v>
      </c>
      <c r="E1654">
        <v>3385357</v>
      </c>
      <c r="F1654">
        <v>19077</v>
      </c>
      <c r="G1654">
        <v>59427</v>
      </c>
      <c r="H1654">
        <f>_xlfn.XLOOKUP(FACT_IMPORTS[[#This Row],[hts_6]],DIM_PRODUCTS[hts_6],DIM_PRODUCTS[hts_4],,,)</f>
        <v>8415</v>
      </c>
      <c r="I1654" t="str" cm="1">
        <f t="array" ref="I1654">_xlfn.XLOOKUP(FACT_IMPORTS[[#This Row],[country_name]],DIM_COUNTRY[[#All],[Column2]],DIM_COUNTRY[[#All],[Column3]],,,)</f>
        <v>USMCA</v>
      </c>
    </row>
    <row r="1655" spans="1:9" x14ac:dyDescent="0.4">
      <c r="A1655" t="s">
        <v>61</v>
      </c>
      <c r="B1655" s="1">
        <v>45627</v>
      </c>
      <c r="C1655">
        <v>842132</v>
      </c>
      <c r="D1655" t="s">
        <v>176</v>
      </c>
      <c r="E1655">
        <v>26527956</v>
      </c>
      <c r="F1655">
        <v>70644</v>
      </c>
      <c r="G1655">
        <v>102818</v>
      </c>
      <c r="H1655">
        <f>_xlfn.XLOOKUP(FACT_IMPORTS[[#This Row],[hts_6]],DIM_PRODUCTS[hts_6],DIM_PRODUCTS[hts_4],,,)</f>
        <v>8421</v>
      </c>
      <c r="I1655" t="str" cm="1">
        <f t="array" ref="I1655">_xlfn.XLOOKUP(FACT_IMPORTS[[#This Row],[country_name]],DIM_COUNTRY[[#All],[Column2]],DIM_COUNTRY[[#All],[Column3]],,,)</f>
        <v>USMCA</v>
      </c>
    </row>
    <row r="1656" spans="1:9" x14ac:dyDescent="0.4">
      <c r="A1656" t="s">
        <v>61</v>
      </c>
      <c r="B1656" s="1">
        <v>45627</v>
      </c>
      <c r="C1656">
        <v>848210</v>
      </c>
      <c r="D1656" t="s">
        <v>176</v>
      </c>
      <c r="E1656">
        <v>3189770</v>
      </c>
      <c r="F1656">
        <v>301035</v>
      </c>
      <c r="G1656">
        <v>36106</v>
      </c>
      <c r="H1656">
        <f>_xlfn.XLOOKUP(FACT_IMPORTS[[#This Row],[hts_6]],DIM_PRODUCTS[hts_6],DIM_PRODUCTS[hts_4],,,)</f>
        <v>8482</v>
      </c>
      <c r="I1656" t="str" cm="1">
        <f t="array" ref="I1656">_xlfn.XLOOKUP(FACT_IMPORTS[[#This Row],[country_name]],DIM_COUNTRY[[#All],[Column2]],DIM_COUNTRY[[#All],[Column3]],,,)</f>
        <v>USMCA</v>
      </c>
    </row>
    <row r="1657" spans="1:9" x14ac:dyDescent="0.4">
      <c r="A1657" t="s">
        <v>61</v>
      </c>
      <c r="B1657" s="1">
        <v>45627</v>
      </c>
      <c r="C1657">
        <v>848220</v>
      </c>
      <c r="D1657" t="s">
        <v>176</v>
      </c>
      <c r="E1657">
        <v>349899</v>
      </c>
      <c r="F1657">
        <v>5349</v>
      </c>
      <c r="G1657">
        <v>7310</v>
      </c>
      <c r="H1657">
        <f>_xlfn.XLOOKUP(FACT_IMPORTS[[#This Row],[hts_6]],DIM_PRODUCTS[hts_6],DIM_PRODUCTS[hts_4],,,)</f>
        <v>8482</v>
      </c>
      <c r="I1657" t="str" cm="1">
        <f t="array" ref="I1657">_xlfn.XLOOKUP(FACT_IMPORTS[[#This Row],[country_name]],DIM_COUNTRY[[#All],[Column2]],DIM_COUNTRY[[#All],[Column3]],,,)</f>
        <v>USMCA</v>
      </c>
    </row>
    <row r="1658" spans="1:9" x14ac:dyDescent="0.4">
      <c r="A1658" t="s">
        <v>61</v>
      </c>
      <c r="B1658" s="1">
        <v>45627</v>
      </c>
      <c r="C1658">
        <v>848310</v>
      </c>
      <c r="D1658" t="s">
        <v>176</v>
      </c>
      <c r="E1658">
        <v>13481103</v>
      </c>
      <c r="F1658">
        <v>372907</v>
      </c>
      <c r="G1658">
        <v>59584</v>
      </c>
      <c r="H1658">
        <f>_xlfn.XLOOKUP(FACT_IMPORTS[[#This Row],[hts_6]],DIM_PRODUCTS[hts_6],DIM_PRODUCTS[hts_4],,,)</f>
        <v>8483</v>
      </c>
      <c r="I1658" t="str" cm="1">
        <f t="array" ref="I1658">_xlfn.XLOOKUP(FACT_IMPORTS[[#This Row],[country_name]],DIM_COUNTRY[[#All],[Column2]],DIM_COUNTRY[[#All],[Column3]],,,)</f>
        <v>USMCA</v>
      </c>
    </row>
    <row r="1659" spans="1:9" x14ac:dyDescent="0.4">
      <c r="A1659" t="s">
        <v>61</v>
      </c>
      <c r="B1659" s="1">
        <v>45627</v>
      </c>
      <c r="C1659">
        <v>850131</v>
      </c>
      <c r="D1659" t="s">
        <v>176</v>
      </c>
      <c r="E1659">
        <v>1540467</v>
      </c>
      <c r="F1659">
        <v>49995</v>
      </c>
      <c r="G1659">
        <v>11323</v>
      </c>
      <c r="H1659">
        <f>_xlfn.XLOOKUP(FACT_IMPORTS[[#This Row],[hts_6]],DIM_PRODUCTS[hts_6],DIM_PRODUCTS[hts_4],,,)</f>
        <v>8501</v>
      </c>
      <c r="I1659" t="str" cm="1">
        <f t="array" ref="I1659">_xlfn.XLOOKUP(FACT_IMPORTS[[#This Row],[country_name]],DIM_COUNTRY[[#All],[Column2]],DIM_COUNTRY[[#All],[Column3]],,,)</f>
        <v>USMCA</v>
      </c>
    </row>
    <row r="1660" spans="1:9" x14ac:dyDescent="0.4">
      <c r="A1660" t="s">
        <v>61</v>
      </c>
      <c r="B1660" s="1">
        <v>45627</v>
      </c>
      <c r="C1660">
        <v>850132</v>
      </c>
      <c r="D1660" t="s">
        <v>176</v>
      </c>
      <c r="E1660">
        <v>976392</v>
      </c>
      <c r="F1660">
        <v>610</v>
      </c>
      <c r="G1660">
        <v>1250</v>
      </c>
      <c r="H1660">
        <f>_xlfn.XLOOKUP(FACT_IMPORTS[[#This Row],[hts_6]],DIM_PRODUCTS[hts_6],DIM_PRODUCTS[hts_4],,,)</f>
        <v>8501</v>
      </c>
      <c r="I1660" t="str" cm="1">
        <f t="array" ref="I1660">_xlfn.XLOOKUP(FACT_IMPORTS[[#This Row],[country_name]],DIM_COUNTRY[[#All],[Column2]],DIM_COUNTRY[[#All],[Column3]],,,)</f>
        <v>USMCA</v>
      </c>
    </row>
    <row r="1661" spans="1:9" x14ac:dyDescent="0.4">
      <c r="A1661" t="s">
        <v>61</v>
      </c>
      <c r="B1661" s="1">
        <v>45627</v>
      </c>
      <c r="C1661">
        <v>850133</v>
      </c>
      <c r="D1661" t="s">
        <v>176</v>
      </c>
      <c r="E1661">
        <v>27527</v>
      </c>
      <c r="F1661">
        <v>15</v>
      </c>
      <c r="G1661">
        <v>501</v>
      </c>
      <c r="H1661">
        <f>_xlfn.XLOOKUP(FACT_IMPORTS[[#This Row],[hts_6]],DIM_PRODUCTS[hts_6],DIM_PRODUCTS[hts_4],,,)</f>
        <v>8501</v>
      </c>
      <c r="I1661" t="str" cm="1">
        <f t="array" ref="I1661">_xlfn.XLOOKUP(FACT_IMPORTS[[#This Row],[country_name]],DIM_COUNTRY[[#All],[Column2]],DIM_COUNTRY[[#All],[Column3]],,,)</f>
        <v>USMCA</v>
      </c>
    </row>
    <row r="1662" spans="1:9" x14ac:dyDescent="0.4">
      <c r="A1662" t="s">
        <v>61</v>
      </c>
      <c r="B1662" s="1">
        <v>45627</v>
      </c>
      <c r="C1662">
        <v>850134</v>
      </c>
      <c r="D1662" t="s">
        <v>176</v>
      </c>
      <c r="E1662">
        <v>2897097</v>
      </c>
      <c r="F1662">
        <v>6272</v>
      </c>
      <c r="G1662">
        <v>1150</v>
      </c>
      <c r="H1662">
        <f>_xlfn.XLOOKUP(FACT_IMPORTS[[#This Row],[hts_6]],DIM_PRODUCTS[hts_6],DIM_PRODUCTS[hts_4],,,)</f>
        <v>8501</v>
      </c>
      <c r="I1662" t="str" cm="1">
        <f t="array" ref="I1662">_xlfn.XLOOKUP(FACT_IMPORTS[[#This Row],[country_name]],DIM_COUNTRY[[#All],[Column2]],DIM_COUNTRY[[#All],[Column3]],,,)</f>
        <v>USMCA</v>
      </c>
    </row>
    <row r="1663" spans="1:9" x14ac:dyDescent="0.4">
      <c r="A1663" t="s">
        <v>61</v>
      </c>
      <c r="B1663" s="1">
        <v>45627</v>
      </c>
      <c r="C1663">
        <v>850152</v>
      </c>
      <c r="D1663" t="s">
        <v>176</v>
      </c>
      <c r="E1663">
        <v>712137</v>
      </c>
      <c r="F1663">
        <v>188</v>
      </c>
      <c r="G1663">
        <v>8798</v>
      </c>
      <c r="H1663">
        <f>_xlfn.XLOOKUP(FACT_IMPORTS[[#This Row],[hts_6]],DIM_PRODUCTS[hts_6],DIM_PRODUCTS[hts_4],,,)</f>
        <v>8501</v>
      </c>
      <c r="I1663" t="str" cm="1">
        <f t="array" ref="I1663">_xlfn.XLOOKUP(FACT_IMPORTS[[#This Row],[country_name]],DIM_COUNTRY[[#All],[Column2]],DIM_COUNTRY[[#All],[Column3]],,,)</f>
        <v>USMCA</v>
      </c>
    </row>
    <row r="1664" spans="1:9" x14ac:dyDescent="0.4">
      <c r="A1664" t="s">
        <v>61</v>
      </c>
      <c r="B1664" s="1">
        <v>45627</v>
      </c>
      <c r="C1664">
        <v>850153</v>
      </c>
      <c r="D1664" t="s">
        <v>176</v>
      </c>
      <c r="E1664">
        <v>1059328</v>
      </c>
      <c r="F1664">
        <v>34</v>
      </c>
      <c r="G1664">
        <v>5187</v>
      </c>
      <c r="H1664">
        <f>_xlfn.XLOOKUP(FACT_IMPORTS[[#This Row],[hts_6]],DIM_PRODUCTS[hts_6],DIM_PRODUCTS[hts_4],,,)</f>
        <v>8501</v>
      </c>
      <c r="I1664" t="str" cm="1">
        <f t="array" ref="I1664">_xlfn.XLOOKUP(FACT_IMPORTS[[#This Row],[country_name]],DIM_COUNTRY[[#All],[Column2]],DIM_COUNTRY[[#All],[Column3]],,,)</f>
        <v>USMCA</v>
      </c>
    </row>
    <row r="1665" spans="1:9" x14ac:dyDescent="0.4">
      <c r="A1665" t="s">
        <v>61</v>
      </c>
      <c r="B1665" s="1">
        <v>45627</v>
      </c>
      <c r="C1665">
        <v>850161</v>
      </c>
      <c r="D1665" t="s">
        <v>176</v>
      </c>
      <c r="E1665">
        <v>120272</v>
      </c>
      <c r="F1665">
        <v>4</v>
      </c>
      <c r="G1665">
        <v>403</v>
      </c>
      <c r="H1665">
        <f>_xlfn.XLOOKUP(FACT_IMPORTS[[#This Row],[hts_6]],DIM_PRODUCTS[hts_6],DIM_PRODUCTS[hts_4],,,)</f>
        <v>8501</v>
      </c>
      <c r="I1665" t="str" cm="1">
        <f t="array" ref="I1665">_xlfn.XLOOKUP(FACT_IMPORTS[[#This Row],[country_name]],DIM_COUNTRY[[#All],[Column2]],DIM_COUNTRY[[#All],[Column3]],,,)</f>
        <v>USMCA</v>
      </c>
    </row>
    <row r="1666" spans="1:9" x14ac:dyDescent="0.4">
      <c r="A1666" t="s">
        <v>61</v>
      </c>
      <c r="B1666" s="1">
        <v>45627</v>
      </c>
      <c r="C1666">
        <v>850440</v>
      </c>
      <c r="D1666" t="s">
        <v>176</v>
      </c>
      <c r="E1666">
        <v>10589889</v>
      </c>
      <c r="F1666">
        <v>22687</v>
      </c>
      <c r="G1666">
        <v>79360</v>
      </c>
      <c r="H1666">
        <f>_xlfn.XLOOKUP(FACT_IMPORTS[[#This Row],[hts_6]],DIM_PRODUCTS[hts_6],DIM_PRODUCTS[hts_4],,,)</f>
        <v>8504</v>
      </c>
      <c r="I1666" t="str" cm="1">
        <f t="array" ref="I1666">_xlfn.XLOOKUP(FACT_IMPORTS[[#This Row],[country_name]],DIM_COUNTRY[[#All],[Column2]],DIM_COUNTRY[[#All],[Column3]],,,)</f>
        <v>USMCA</v>
      </c>
    </row>
    <row r="1667" spans="1:9" x14ac:dyDescent="0.4">
      <c r="A1667" t="s">
        <v>61</v>
      </c>
      <c r="B1667" s="1">
        <v>45627</v>
      </c>
      <c r="C1667">
        <v>850710</v>
      </c>
      <c r="D1667" t="s">
        <v>176</v>
      </c>
      <c r="E1667">
        <v>936436</v>
      </c>
      <c r="F1667">
        <v>3884</v>
      </c>
      <c r="G1667">
        <v>28249</v>
      </c>
      <c r="H1667">
        <f>_xlfn.XLOOKUP(FACT_IMPORTS[[#This Row],[hts_6]],DIM_PRODUCTS[hts_6],DIM_PRODUCTS[hts_4],,,)</f>
        <v>8507</v>
      </c>
      <c r="I1667" t="str" cm="1">
        <f t="array" ref="I1667">_xlfn.XLOOKUP(FACT_IMPORTS[[#This Row],[country_name]],DIM_COUNTRY[[#All],[Column2]],DIM_COUNTRY[[#All],[Column3]],,,)</f>
        <v>USMCA</v>
      </c>
    </row>
    <row r="1668" spans="1:9" x14ac:dyDescent="0.4">
      <c r="A1668" t="s">
        <v>61</v>
      </c>
      <c r="B1668" s="1">
        <v>45627</v>
      </c>
      <c r="C1668">
        <v>850760</v>
      </c>
      <c r="D1668" t="s">
        <v>176</v>
      </c>
      <c r="E1668">
        <v>91865927</v>
      </c>
      <c r="F1668">
        <v>61173</v>
      </c>
      <c r="G1668">
        <v>63201</v>
      </c>
      <c r="H1668">
        <f>_xlfn.XLOOKUP(FACT_IMPORTS[[#This Row],[hts_6]],DIM_PRODUCTS[hts_6],DIM_PRODUCTS[hts_4],,,)</f>
        <v>8507</v>
      </c>
      <c r="I1668" t="str" cm="1">
        <f t="array" ref="I1668">_xlfn.XLOOKUP(FACT_IMPORTS[[#This Row],[country_name]],DIM_COUNTRY[[#All],[Column2]],DIM_COUNTRY[[#All],[Column3]],,,)</f>
        <v>USMCA</v>
      </c>
    </row>
    <row r="1669" spans="1:9" x14ac:dyDescent="0.4">
      <c r="A1669" t="s">
        <v>61</v>
      </c>
      <c r="B1669" s="1">
        <v>45627</v>
      </c>
      <c r="C1669">
        <v>850790</v>
      </c>
      <c r="D1669" t="s">
        <v>176</v>
      </c>
      <c r="E1669">
        <v>613001</v>
      </c>
      <c r="F1669">
        <v>57400</v>
      </c>
      <c r="G1669">
        <v>8781</v>
      </c>
      <c r="H1669">
        <f>_xlfn.XLOOKUP(FACT_IMPORTS[[#This Row],[hts_6]],DIM_PRODUCTS[hts_6],DIM_PRODUCTS[hts_4],,,)</f>
        <v>8507</v>
      </c>
      <c r="I1669" t="str" cm="1">
        <f t="array" ref="I1669">_xlfn.XLOOKUP(FACT_IMPORTS[[#This Row],[country_name]],DIM_COUNTRY[[#All],[Column2]],DIM_COUNTRY[[#All],[Column3]],,,)</f>
        <v>USMCA</v>
      </c>
    </row>
    <row r="1670" spans="1:9" x14ac:dyDescent="0.4">
      <c r="A1670" t="s">
        <v>61</v>
      </c>
      <c r="B1670" s="1">
        <v>45627</v>
      </c>
      <c r="C1670">
        <v>851110</v>
      </c>
      <c r="D1670" t="s">
        <v>176</v>
      </c>
      <c r="E1670">
        <v>45592</v>
      </c>
      <c r="F1670">
        <v>123</v>
      </c>
      <c r="G1670">
        <v>13</v>
      </c>
      <c r="H1670">
        <f>_xlfn.XLOOKUP(FACT_IMPORTS[[#This Row],[hts_6]],DIM_PRODUCTS[hts_6],DIM_PRODUCTS[hts_4],,,)</f>
        <v>8511</v>
      </c>
      <c r="I1670" t="str" cm="1">
        <f t="array" ref="I1670">_xlfn.XLOOKUP(FACT_IMPORTS[[#This Row],[country_name]],DIM_COUNTRY[[#All],[Column2]],DIM_COUNTRY[[#All],[Column3]],,,)</f>
        <v>USMCA</v>
      </c>
    </row>
    <row r="1671" spans="1:9" x14ac:dyDescent="0.4">
      <c r="A1671" t="s">
        <v>61</v>
      </c>
      <c r="B1671" s="1">
        <v>45627</v>
      </c>
      <c r="C1671">
        <v>851120</v>
      </c>
      <c r="D1671" t="s">
        <v>176</v>
      </c>
      <c r="E1671">
        <v>0</v>
      </c>
      <c r="F1671">
        <v>0</v>
      </c>
      <c r="G1671">
        <v>0</v>
      </c>
      <c r="H1671">
        <f>_xlfn.XLOOKUP(FACT_IMPORTS[[#This Row],[hts_6]],DIM_PRODUCTS[hts_6],DIM_PRODUCTS[hts_4],,,)</f>
        <v>8511</v>
      </c>
      <c r="I1671" t="str" cm="1">
        <f t="array" ref="I1671">_xlfn.XLOOKUP(FACT_IMPORTS[[#This Row],[country_name]],DIM_COUNTRY[[#All],[Column2]],DIM_COUNTRY[[#All],[Column3]],,,)</f>
        <v>USMCA</v>
      </c>
    </row>
    <row r="1672" spans="1:9" x14ac:dyDescent="0.4">
      <c r="A1672" t="s">
        <v>61</v>
      </c>
      <c r="B1672" s="1">
        <v>45627</v>
      </c>
      <c r="C1672">
        <v>851130</v>
      </c>
      <c r="D1672" t="s">
        <v>176</v>
      </c>
      <c r="E1672">
        <v>12824</v>
      </c>
      <c r="F1672">
        <v>5289</v>
      </c>
      <c r="G1672">
        <v>72</v>
      </c>
      <c r="H1672">
        <f>_xlfn.XLOOKUP(FACT_IMPORTS[[#This Row],[hts_6]],DIM_PRODUCTS[hts_6],DIM_PRODUCTS[hts_4],,,)</f>
        <v>8511</v>
      </c>
      <c r="I1672" t="str" cm="1">
        <f t="array" ref="I1672">_xlfn.XLOOKUP(FACT_IMPORTS[[#This Row],[country_name]],DIM_COUNTRY[[#All],[Column2]],DIM_COUNTRY[[#All],[Column3]],,,)</f>
        <v>USMCA</v>
      </c>
    </row>
    <row r="1673" spans="1:9" x14ac:dyDescent="0.4">
      <c r="A1673" t="s">
        <v>61</v>
      </c>
      <c r="B1673" s="1">
        <v>45627</v>
      </c>
      <c r="C1673">
        <v>851140</v>
      </c>
      <c r="D1673" t="s">
        <v>176</v>
      </c>
      <c r="E1673">
        <v>489956</v>
      </c>
      <c r="F1673">
        <v>4665</v>
      </c>
      <c r="G1673">
        <v>4859</v>
      </c>
      <c r="H1673">
        <f>_xlfn.XLOOKUP(FACT_IMPORTS[[#This Row],[hts_6]],DIM_PRODUCTS[hts_6],DIM_PRODUCTS[hts_4],,,)</f>
        <v>8511</v>
      </c>
      <c r="I1673" t="str" cm="1">
        <f t="array" ref="I1673">_xlfn.XLOOKUP(FACT_IMPORTS[[#This Row],[country_name]],DIM_COUNTRY[[#All],[Column2]],DIM_COUNTRY[[#All],[Column3]],,,)</f>
        <v>USMCA</v>
      </c>
    </row>
    <row r="1674" spans="1:9" x14ac:dyDescent="0.4">
      <c r="A1674" t="s">
        <v>61</v>
      </c>
      <c r="B1674" s="1">
        <v>45627</v>
      </c>
      <c r="C1674">
        <v>851150</v>
      </c>
      <c r="D1674" t="s">
        <v>176</v>
      </c>
      <c r="E1674">
        <v>476464</v>
      </c>
      <c r="F1674">
        <v>9671</v>
      </c>
      <c r="G1674">
        <v>8538</v>
      </c>
      <c r="H1674">
        <f>_xlfn.XLOOKUP(FACT_IMPORTS[[#This Row],[hts_6]],DIM_PRODUCTS[hts_6],DIM_PRODUCTS[hts_4],,,)</f>
        <v>8511</v>
      </c>
      <c r="I1674" t="str" cm="1">
        <f t="array" ref="I1674">_xlfn.XLOOKUP(FACT_IMPORTS[[#This Row],[country_name]],DIM_COUNTRY[[#All],[Column2]],DIM_COUNTRY[[#All],[Column3]],,,)</f>
        <v>USMCA</v>
      </c>
    </row>
    <row r="1675" spans="1:9" x14ac:dyDescent="0.4">
      <c r="A1675" t="s">
        <v>61</v>
      </c>
      <c r="B1675" s="1">
        <v>45627</v>
      </c>
      <c r="C1675">
        <v>851180</v>
      </c>
      <c r="D1675" t="s">
        <v>176</v>
      </c>
      <c r="E1675">
        <v>6021</v>
      </c>
      <c r="F1675">
        <v>112</v>
      </c>
      <c r="G1675">
        <v>456</v>
      </c>
      <c r="H1675">
        <f>_xlfn.XLOOKUP(FACT_IMPORTS[[#This Row],[hts_6]],DIM_PRODUCTS[hts_6],DIM_PRODUCTS[hts_4],,,)</f>
        <v>8511</v>
      </c>
      <c r="I1675" t="str" cm="1">
        <f t="array" ref="I1675">_xlfn.XLOOKUP(FACT_IMPORTS[[#This Row],[country_name]],DIM_COUNTRY[[#All],[Column2]],DIM_COUNTRY[[#All],[Column3]],,,)</f>
        <v>USMCA</v>
      </c>
    </row>
    <row r="1676" spans="1:9" x14ac:dyDescent="0.4">
      <c r="A1676" t="s">
        <v>61</v>
      </c>
      <c r="B1676" s="1">
        <v>45627</v>
      </c>
      <c r="C1676">
        <v>851190</v>
      </c>
      <c r="D1676" t="s">
        <v>176</v>
      </c>
      <c r="E1676">
        <v>610871</v>
      </c>
      <c r="F1676">
        <v>7054</v>
      </c>
      <c r="G1676">
        <v>1833</v>
      </c>
      <c r="H1676">
        <f>_xlfn.XLOOKUP(FACT_IMPORTS[[#This Row],[hts_6]],DIM_PRODUCTS[hts_6],DIM_PRODUCTS[hts_4],,,)</f>
        <v>8511</v>
      </c>
      <c r="I1676" t="str" cm="1">
        <f t="array" ref="I1676">_xlfn.XLOOKUP(FACT_IMPORTS[[#This Row],[country_name]],DIM_COUNTRY[[#All],[Column2]],DIM_COUNTRY[[#All],[Column3]],,,)</f>
        <v>USMCA</v>
      </c>
    </row>
    <row r="1677" spans="1:9" x14ac:dyDescent="0.4">
      <c r="A1677" t="s">
        <v>61</v>
      </c>
      <c r="B1677" s="1">
        <v>45627</v>
      </c>
      <c r="C1677">
        <v>851220</v>
      </c>
      <c r="D1677" t="s">
        <v>176</v>
      </c>
      <c r="E1677">
        <v>12842134</v>
      </c>
      <c r="F1677">
        <v>300433</v>
      </c>
      <c r="G1677">
        <v>56923</v>
      </c>
      <c r="H1677">
        <f>_xlfn.XLOOKUP(FACT_IMPORTS[[#This Row],[hts_6]],DIM_PRODUCTS[hts_6],DIM_PRODUCTS[hts_4],,,)</f>
        <v>8512</v>
      </c>
      <c r="I1677" t="str" cm="1">
        <f t="array" ref="I1677">_xlfn.XLOOKUP(FACT_IMPORTS[[#This Row],[country_name]],DIM_COUNTRY[[#All],[Column2]],DIM_COUNTRY[[#All],[Column3]],,,)</f>
        <v>USMCA</v>
      </c>
    </row>
    <row r="1678" spans="1:9" x14ac:dyDescent="0.4">
      <c r="A1678" t="s">
        <v>61</v>
      </c>
      <c r="B1678" s="1">
        <v>45627</v>
      </c>
      <c r="C1678">
        <v>851230</v>
      </c>
      <c r="D1678" t="s">
        <v>176</v>
      </c>
      <c r="E1678">
        <v>75168</v>
      </c>
      <c r="F1678">
        <v>388</v>
      </c>
      <c r="G1678">
        <v>519</v>
      </c>
      <c r="H1678">
        <f>_xlfn.XLOOKUP(FACT_IMPORTS[[#This Row],[hts_6]],DIM_PRODUCTS[hts_6],DIM_PRODUCTS[hts_4],,,)</f>
        <v>8512</v>
      </c>
      <c r="I1678" t="str" cm="1">
        <f t="array" ref="I1678">_xlfn.XLOOKUP(FACT_IMPORTS[[#This Row],[country_name]],DIM_COUNTRY[[#All],[Column2]],DIM_COUNTRY[[#All],[Column3]],,,)</f>
        <v>USMCA</v>
      </c>
    </row>
    <row r="1679" spans="1:9" x14ac:dyDescent="0.4">
      <c r="A1679" t="s">
        <v>61</v>
      </c>
      <c r="B1679" s="1">
        <v>45627</v>
      </c>
      <c r="C1679">
        <v>851240</v>
      </c>
      <c r="D1679" t="s">
        <v>176</v>
      </c>
      <c r="E1679">
        <v>0</v>
      </c>
      <c r="F1679">
        <v>0</v>
      </c>
      <c r="G1679">
        <v>0</v>
      </c>
      <c r="H1679">
        <f>_xlfn.XLOOKUP(FACT_IMPORTS[[#This Row],[hts_6]],DIM_PRODUCTS[hts_6],DIM_PRODUCTS[hts_4],,,)</f>
        <v>8512</v>
      </c>
      <c r="I1679" t="str" cm="1">
        <f t="array" ref="I1679">_xlfn.XLOOKUP(FACT_IMPORTS[[#This Row],[country_name]],DIM_COUNTRY[[#All],[Column2]],DIM_COUNTRY[[#All],[Column3]],,,)</f>
        <v>USMCA</v>
      </c>
    </row>
    <row r="1680" spans="1:9" x14ac:dyDescent="0.4">
      <c r="A1680" t="s">
        <v>61</v>
      </c>
      <c r="B1680" s="1">
        <v>45627</v>
      </c>
      <c r="C1680">
        <v>851290</v>
      </c>
      <c r="D1680" t="s">
        <v>176</v>
      </c>
      <c r="E1680">
        <v>1679245</v>
      </c>
      <c r="F1680">
        <v>23759</v>
      </c>
      <c r="G1680">
        <v>4120</v>
      </c>
      <c r="H1680">
        <f>_xlfn.XLOOKUP(FACT_IMPORTS[[#This Row],[hts_6]],DIM_PRODUCTS[hts_6],DIM_PRODUCTS[hts_4],,,)</f>
        <v>8512</v>
      </c>
      <c r="I1680" t="str" cm="1">
        <f t="array" ref="I1680">_xlfn.XLOOKUP(FACT_IMPORTS[[#This Row],[country_name]],DIM_COUNTRY[[#All],[Column2]],DIM_COUNTRY[[#All],[Column3]],,,)</f>
        <v>USMCA</v>
      </c>
    </row>
    <row r="1681" spans="1:9" x14ac:dyDescent="0.4">
      <c r="A1681" t="s">
        <v>61</v>
      </c>
      <c r="B1681" s="1">
        <v>45627</v>
      </c>
      <c r="C1681">
        <v>854231</v>
      </c>
      <c r="D1681" t="s">
        <v>176</v>
      </c>
      <c r="E1681">
        <v>28651</v>
      </c>
      <c r="F1681">
        <v>271</v>
      </c>
      <c r="G1681">
        <v>375</v>
      </c>
      <c r="H1681">
        <f>_xlfn.XLOOKUP(FACT_IMPORTS[[#This Row],[hts_6]],DIM_PRODUCTS[hts_6],DIM_PRODUCTS[hts_4],,,)</f>
        <v>8542</v>
      </c>
      <c r="I1681" t="str" cm="1">
        <f t="array" ref="I1681">_xlfn.XLOOKUP(FACT_IMPORTS[[#This Row],[country_name]],DIM_COUNTRY[[#All],[Column2]],DIM_COUNTRY[[#All],[Column3]],,,)</f>
        <v>USMCA</v>
      </c>
    </row>
    <row r="1682" spans="1:9" x14ac:dyDescent="0.4">
      <c r="A1682" t="s">
        <v>61</v>
      </c>
      <c r="B1682" s="1">
        <v>45627</v>
      </c>
      <c r="C1682">
        <v>854232</v>
      </c>
      <c r="D1682" t="s">
        <v>176</v>
      </c>
      <c r="E1682">
        <v>0</v>
      </c>
      <c r="F1682">
        <v>0</v>
      </c>
      <c r="G1682">
        <v>0</v>
      </c>
      <c r="H1682">
        <f>_xlfn.XLOOKUP(FACT_IMPORTS[[#This Row],[hts_6]],DIM_PRODUCTS[hts_6],DIM_PRODUCTS[hts_4],,,)</f>
        <v>8542</v>
      </c>
      <c r="I1682" t="str" cm="1">
        <f t="array" ref="I1682">_xlfn.XLOOKUP(FACT_IMPORTS[[#This Row],[country_name]],DIM_COUNTRY[[#All],[Column2]],DIM_COUNTRY[[#All],[Column3]],,,)</f>
        <v>USMCA</v>
      </c>
    </row>
    <row r="1683" spans="1:9" x14ac:dyDescent="0.4">
      <c r="A1683" t="s">
        <v>61</v>
      </c>
      <c r="B1683" s="1">
        <v>45627</v>
      </c>
      <c r="C1683">
        <v>854233</v>
      </c>
      <c r="D1683" t="s">
        <v>176</v>
      </c>
      <c r="E1683">
        <v>9195</v>
      </c>
      <c r="F1683">
        <v>2</v>
      </c>
      <c r="G1683">
        <v>226</v>
      </c>
      <c r="H1683">
        <f>_xlfn.XLOOKUP(FACT_IMPORTS[[#This Row],[hts_6]],DIM_PRODUCTS[hts_6],DIM_PRODUCTS[hts_4],,,)</f>
        <v>8542</v>
      </c>
      <c r="I1683" t="str" cm="1">
        <f t="array" ref="I1683">_xlfn.XLOOKUP(FACT_IMPORTS[[#This Row],[country_name]],DIM_COUNTRY[[#All],[Column2]],DIM_COUNTRY[[#All],[Column3]],,,)</f>
        <v>USMCA</v>
      </c>
    </row>
    <row r="1684" spans="1:9" x14ac:dyDescent="0.4">
      <c r="A1684" t="s">
        <v>61</v>
      </c>
      <c r="B1684" s="1">
        <v>45627</v>
      </c>
      <c r="C1684">
        <v>854239</v>
      </c>
      <c r="D1684" t="s">
        <v>176</v>
      </c>
      <c r="E1684">
        <v>11500</v>
      </c>
      <c r="F1684">
        <v>1</v>
      </c>
      <c r="G1684">
        <v>10</v>
      </c>
      <c r="H1684">
        <f>_xlfn.XLOOKUP(FACT_IMPORTS[[#This Row],[hts_6]],DIM_PRODUCTS[hts_6],DIM_PRODUCTS[hts_4],,,)</f>
        <v>8542</v>
      </c>
      <c r="I1684" t="str" cm="1">
        <f t="array" ref="I1684">_xlfn.XLOOKUP(FACT_IMPORTS[[#This Row],[country_name]],DIM_COUNTRY[[#All],[Column2]],DIM_COUNTRY[[#All],[Column3]],,,)</f>
        <v>USMCA</v>
      </c>
    </row>
    <row r="1685" spans="1:9" x14ac:dyDescent="0.4">
      <c r="A1685" t="s">
        <v>61</v>
      </c>
      <c r="B1685" s="1">
        <v>45627</v>
      </c>
      <c r="C1685">
        <v>854290</v>
      </c>
      <c r="D1685" t="s">
        <v>176</v>
      </c>
      <c r="E1685">
        <v>2953</v>
      </c>
      <c r="F1685">
        <v>1</v>
      </c>
      <c r="G1685">
        <v>34</v>
      </c>
      <c r="H1685">
        <f>_xlfn.XLOOKUP(FACT_IMPORTS[[#This Row],[hts_6]],DIM_PRODUCTS[hts_6],DIM_PRODUCTS[hts_4],,,)</f>
        <v>8542</v>
      </c>
      <c r="I1685" t="str" cm="1">
        <f t="array" ref="I1685">_xlfn.XLOOKUP(FACT_IMPORTS[[#This Row],[country_name]],DIM_COUNTRY[[#All],[Column2]],DIM_COUNTRY[[#All],[Column3]],,,)</f>
        <v>USMCA</v>
      </c>
    </row>
    <row r="1686" spans="1:9" x14ac:dyDescent="0.4">
      <c r="A1686" t="s">
        <v>61</v>
      </c>
      <c r="B1686" s="1">
        <v>45627</v>
      </c>
      <c r="C1686">
        <v>854430</v>
      </c>
      <c r="D1686" t="s">
        <v>176</v>
      </c>
      <c r="E1686">
        <v>1268007</v>
      </c>
      <c r="F1686">
        <v>21013</v>
      </c>
      <c r="G1686">
        <v>7849</v>
      </c>
      <c r="H1686">
        <f>_xlfn.XLOOKUP(FACT_IMPORTS[[#This Row],[hts_6]],DIM_PRODUCTS[hts_6],DIM_PRODUCTS[hts_4],,,)</f>
        <v>8544</v>
      </c>
      <c r="I1686" t="str" cm="1">
        <f t="array" ref="I1686">_xlfn.XLOOKUP(FACT_IMPORTS[[#This Row],[country_name]],DIM_COUNTRY[[#All],[Column2]],DIM_COUNTRY[[#All],[Column3]],,,)</f>
        <v>USMCA</v>
      </c>
    </row>
    <row r="1687" spans="1:9" x14ac:dyDescent="0.4">
      <c r="A1687" t="s">
        <v>61</v>
      </c>
      <c r="B1687" s="1">
        <v>45627</v>
      </c>
      <c r="C1687">
        <v>870600</v>
      </c>
      <c r="D1687" t="s">
        <v>176</v>
      </c>
      <c r="E1687">
        <v>0</v>
      </c>
      <c r="F1687">
        <v>0</v>
      </c>
      <c r="G1687">
        <v>0</v>
      </c>
      <c r="H1687">
        <f>_xlfn.XLOOKUP(FACT_IMPORTS[[#This Row],[hts_6]],DIM_PRODUCTS[hts_6],DIM_PRODUCTS[hts_4],,,)</f>
        <v>8706</v>
      </c>
      <c r="I1687" t="str" cm="1">
        <f t="array" ref="I1687">_xlfn.XLOOKUP(FACT_IMPORTS[[#This Row],[country_name]],DIM_COUNTRY[[#All],[Column2]],DIM_COUNTRY[[#All],[Column3]],,,)</f>
        <v>USMCA</v>
      </c>
    </row>
    <row r="1688" spans="1:9" x14ac:dyDescent="0.4">
      <c r="A1688" t="s">
        <v>61</v>
      </c>
      <c r="B1688" s="1">
        <v>45627</v>
      </c>
      <c r="C1688">
        <v>870710</v>
      </c>
      <c r="D1688" t="s">
        <v>176</v>
      </c>
      <c r="E1688">
        <v>57354</v>
      </c>
      <c r="F1688">
        <v>16</v>
      </c>
      <c r="G1688">
        <v>1600</v>
      </c>
      <c r="H1688">
        <f>_xlfn.XLOOKUP(FACT_IMPORTS[[#This Row],[hts_6]],DIM_PRODUCTS[hts_6],DIM_PRODUCTS[hts_4],,,)</f>
        <v>8707</v>
      </c>
      <c r="I1688" t="str" cm="1">
        <f t="array" ref="I1688">_xlfn.XLOOKUP(FACT_IMPORTS[[#This Row],[country_name]],DIM_COUNTRY[[#All],[Column2]],DIM_COUNTRY[[#All],[Column3]],,,)</f>
        <v>USMCA</v>
      </c>
    </row>
    <row r="1689" spans="1:9" x14ac:dyDescent="0.4">
      <c r="A1689" t="s">
        <v>61</v>
      </c>
      <c r="B1689" s="1">
        <v>45627</v>
      </c>
      <c r="C1689">
        <v>870790</v>
      </c>
      <c r="D1689" t="s">
        <v>176</v>
      </c>
      <c r="E1689">
        <v>4481703</v>
      </c>
      <c r="F1689">
        <v>308</v>
      </c>
      <c r="G1689">
        <v>52867</v>
      </c>
      <c r="H1689">
        <f>_xlfn.XLOOKUP(FACT_IMPORTS[[#This Row],[hts_6]],DIM_PRODUCTS[hts_6],DIM_PRODUCTS[hts_4],,,)</f>
        <v>8707</v>
      </c>
      <c r="I1689" t="str" cm="1">
        <f t="array" ref="I1689">_xlfn.XLOOKUP(FACT_IMPORTS[[#This Row],[country_name]],DIM_COUNTRY[[#All],[Column2]],DIM_COUNTRY[[#All],[Column3]],,,)</f>
        <v>USMCA</v>
      </c>
    </row>
    <row r="1690" spans="1:9" x14ac:dyDescent="0.4">
      <c r="A1690" t="s">
        <v>61</v>
      </c>
      <c r="B1690" s="1">
        <v>45627</v>
      </c>
      <c r="C1690">
        <v>870810</v>
      </c>
      <c r="D1690" t="s">
        <v>176</v>
      </c>
      <c r="E1690">
        <v>19254980</v>
      </c>
      <c r="F1690">
        <v>771039</v>
      </c>
      <c r="G1690">
        <v>318828</v>
      </c>
      <c r="H1690">
        <f>_xlfn.XLOOKUP(FACT_IMPORTS[[#This Row],[hts_6]],DIM_PRODUCTS[hts_6],DIM_PRODUCTS[hts_4],,,)</f>
        <v>8708</v>
      </c>
      <c r="I1690" t="str" cm="1">
        <f t="array" ref="I1690">_xlfn.XLOOKUP(FACT_IMPORTS[[#This Row],[country_name]],DIM_COUNTRY[[#All],[Column2]],DIM_COUNTRY[[#All],[Column3]],,,)</f>
        <v>USMCA</v>
      </c>
    </row>
    <row r="1691" spans="1:9" x14ac:dyDescent="0.4">
      <c r="A1691" t="s">
        <v>61</v>
      </c>
      <c r="B1691" s="1">
        <v>45627</v>
      </c>
      <c r="C1691">
        <v>870821</v>
      </c>
      <c r="D1691" t="s">
        <v>176</v>
      </c>
      <c r="E1691">
        <v>249851</v>
      </c>
      <c r="F1691">
        <v>9792</v>
      </c>
      <c r="G1691">
        <v>1884</v>
      </c>
      <c r="H1691">
        <f>_xlfn.XLOOKUP(FACT_IMPORTS[[#This Row],[hts_6]],DIM_PRODUCTS[hts_6],DIM_PRODUCTS[hts_4],,,)</f>
        <v>8708</v>
      </c>
      <c r="I1691" t="str" cm="1">
        <f t="array" ref="I1691">_xlfn.XLOOKUP(FACT_IMPORTS[[#This Row],[country_name]],DIM_COUNTRY[[#All],[Column2]],DIM_COUNTRY[[#All],[Column3]],,,)</f>
        <v>USMCA</v>
      </c>
    </row>
    <row r="1692" spans="1:9" x14ac:dyDescent="0.4">
      <c r="A1692" t="s">
        <v>61</v>
      </c>
      <c r="B1692" s="1">
        <v>45627</v>
      </c>
      <c r="C1692">
        <v>870822</v>
      </c>
      <c r="D1692" t="s">
        <v>176</v>
      </c>
      <c r="E1692">
        <v>3633674</v>
      </c>
      <c r="F1692">
        <v>59651</v>
      </c>
      <c r="G1692">
        <v>118343</v>
      </c>
      <c r="H1692">
        <f>_xlfn.XLOOKUP(FACT_IMPORTS[[#This Row],[hts_6]],DIM_PRODUCTS[hts_6],DIM_PRODUCTS[hts_4],,,)</f>
        <v>8708</v>
      </c>
      <c r="I1692" t="str" cm="1">
        <f t="array" ref="I1692">_xlfn.XLOOKUP(FACT_IMPORTS[[#This Row],[country_name]],DIM_COUNTRY[[#All],[Column2]],DIM_COUNTRY[[#All],[Column3]],,,)</f>
        <v>USMCA</v>
      </c>
    </row>
    <row r="1693" spans="1:9" x14ac:dyDescent="0.4">
      <c r="A1693" t="s">
        <v>61</v>
      </c>
      <c r="B1693" s="1">
        <v>45627</v>
      </c>
      <c r="C1693">
        <v>870829</v>
      </c>
      <c r="D1693" t="s">
        <v>176</v>
      </c>
      <c r="E1693">
        <v>302190011</v>
      </c>
      <c r="F1693">
        <v>41637081</v>
      </c>
      <c r="G1693">
        <v>5371240</v>
      </c>
      <c r="H1693">
        <f>_xlfn.XLOOKUP(FACT_IMPORTS[[#This Row],[hts_6]],DIM_PRODUCTS[hts_6],DIM_PRODUCTS[hts_4],,,)</f>
        <v>8708</v>
      </c>
      <c r="I1693" t="str" cm="1">
        <f t="array" ref="I1693">_xlfn.XLOOKUP(FACT_IMPORTS[[#This Row],[country_name]],DIM_COUNTRY[[#All],[Column2]],DIM_COUNTRY[[#All],[Column3]],,,)</f>
        <v>USMCA</v>
      </c>
    </row>
    <row r="1694" spans="1:9" x14ac:dyDescent="0.4">
      <c r="A1694" t="s">
        <v>61</v>
      </c>
      <c r="B1694" s="1">
        <v>45627</v>
      </c>
      <c r="C1694">
        <v>870830</v>
      </c>
      <c r="D1694" t="s">
        <v>176</v>
      </c>
      <c r="E1694">
        <v>8433769</v>
      </c>
      <c r="F1694">
        <v>1824974</v>
      </c>
      <c r="G1694">
        <v>142806</v>
      </c>
      <c r="H1694">
        <f>_xlfn.XLOOKUP(FACT_IMPORTS[[#This Row],[hts_6]],DIM_PRODUCTS[hts_6],DIM_PRODUCTS[hts_4],,,)</f>
        <v>8708</v>
      </c>
      <c r="I1694" t="str" cm="1">
        <f t="array" ref="I1694">_xlfn.XLOOKUP(FACT_IMPORTS[[#This Row],[country_name]],DIM_COUNTRY[[#All],[Column2]],DIM_COUNTRY[[#All],[Column3]],,,)</f>
        <v>USMCA</v>
      </c>
    </row>
    <row r="1695" spans="1:9" x14ac:dyDescent="0.4">
      <c r="A1695" t="s">
        <v>61</v>
      </c>
      <c r="B1695" s="1">
        <v>45627</v>
      </c>
      <c r="C1695">
        <v>870840</v>
      </c>
      <c r="D1695" t="s">
        <v>176</v>
      </c>
      <c r="E1695">
        <v>58198660</v>
      </c>
      <c r="F1695">
        <v>3134966</v>
      </c>
      <c r="G1695">
        <v>246834</v>
      </c>
      <c r="H1695">
        <f>_xlfn.XLOOKUP(FACT_IMPORTS[[#This Row],[hts_6]],DIM_PRODUCTS[hts_6],DIM_PRODUCTS[hts_4],,,)</f>
        <v>8708</v>
      </c>
      <c r="I1695" t="str" cm="1">
        <f t="array" ref="I1695">_xlfn.XLOOKUP(FACT_IMPORTS[[#This Row],[country_name]],DIM_COUNTRY[[#All],[Column2]],DIM_COUNTRY[[#All],[Column3]],,,)</f>
        <v>USMCA</v>
      </c>
    </row>
    <row r="1696" spans="1:9" x14ac:dyDescent="0.4">
      <c r="A1696" t="s">
        <v>61</v>
      </c>
      <c r="B1696" s="1">
        <v>45627</v>
      </c>
      <c r="C1696">
        <v>870850</v>
      </c>
      <c r="D1696" t="s">
        <v>176</v>
      </c>
      <c r="E1696">
        <v>21606686</v>
      </c>
      <c r="F1696">
        <v>1488827</v>
      </c>
      <c r="G1696">
        <v>83420</v>
      </c>
      <c r="H1696">
        <f>_xlfn.XLOOKUP(FACT_IMPORTS[[#This Row],[hts_6]],DIM_PRODUCTS[hts_6],DIM_PRODUCTS[hts_4],,,)</f>
        <v>8708</v>
      </c>
      <c r="I1696" t="str" cm="1">
        <f t="array" ref="I1696">_xlfn.XLOOKUP(FACT_IMPORTS[[#This Row],[country_name]],DIM_COUNTRY[[#All],[Column2]],DIM_COUNTRY[[#All],[Column3]],,,)</f>
        <v>USMCA</v>
      </c>
    </row>
    <row r="1697" spans="1:9" x14ac:dyDescent="0.4">
      <c r="A1697" t="s">
        <v>61</v>
      </c>
      <c r="B1697" s="1">
        <v>45627</v>
      </c>
      <c r="C1697">
        <v>870870</v>
      </c>
      <c r="D1697" t="s">
        <v>176</v>
      </c>
      <c r="E1697">
        <v>7881150</v>
      </c>
      <c r="F1697">
        <v>6602317</v>
      </c>
      <c r="G1697">
        <v>86346</v>
      </c>
      <c r="H1697">
        <f>_xlfn.XLOOKUP(FACT_IMPORTS[[#This Row],[hts_6]],DIM_PRODUCTS[hts_6],DIM_PRODUCTS[hts_4],,,)</f>
        <v>8708</v>
      </c>
      <c r="I1697" t="str" cm="1">
        <f t="array" ref="I1697">_xlfn.XLOOKUP(FACT_IMPORTS[[#This Row],[country_name]],DIM_COUNTRY[[#All],[Column2]],DIM_COUNTRY[[#All],[Column3]],,,)</f>
        <v>USMCA</v>
      </c>
    </row>
    <row r="1698" spans="1:9" x14ac:dyDescent="0.4">
      <c r="A1698" t="s">
        <v>61</v>
      </c>
      <c r="B1698" s="1">
        <v>45627</v>
      </c>
      <c r="C1698">
        <v>870880</v>
      </c>
      <c r="D1698" t="s">
        <v>176</v>
      </c>
      <c r="E1698">
        <v>54339376</v>
      </c>
      <c r="F1698">
        <v>2300488</v>
      </c>
      <c r="G1698">
        <v>630857</v>
      </c>
      <c r="H1698">
        <f>_xlfn.XLOOKUP(FACT_IMPORTS[[#This Row],[hts_6]],DIM_PRODUCTS[hts_6],DIM_PRODUCTS[hts_4],,,)</f>
        <v>8708</v>
      </c>
      <c r="I1698" t="str" cm="1">
        <f t="array" ref="I1698">_xlfn.XLOOKUP(FACT_IMPORTS[[#This Row],[country_name]],DIM_COUNTRY[[#All],[Column2]],DIM_COUNTRY[[#All],[Column3]],,,)</f>
        <v>USMCA</v>
      </c>
    </row>
    <row r="1699" spans="1:9" x14ac:dyDescent="0.4">
      <c r="A1699" t="s">
        <v>61</v>
      </c>
      <c r="B1699" s="1">
        <v>45627</v>
      </c>
      <c r="C1699">
        <v>870891</v>
      </c>
      <c r="D1699" t="s">
        <v>176</v>
      </c>
      <c r="E1699">
        <v>13617553</v>
      </c>
      <c r="F1699">
        <v>585516</v>
      </c>
      <c r="G1699">
        <v>217155</v>
      </c>
      <c r="H1699">
        <f>_xlfn.XLOOKUP(FACT_IMPORTS[[#This Row],[hts_6]],DIM_PRODUCTS[hts_6],DIM_PRODUCTS[hts_4],,,)</f>
        <v>8708</v>
      </c>
      <c r="I1699" t="str" cm="1">
        <f t="array" ref="I1699">_xlfn.XLOOKUP(FACT_IMPORTS[[#This Row],[country_name]],DIM_COUNTRY[[#All],[Column2]],DIM_COUNTRY[[#All],[Column3]],,,)</f>
        <v>USMCA</v>
      </c>
    </row>
    <row r="1700" spans="1:9" x14ac:dyDescent="0.4">
      <c r="A1700" t="s">
        <v>61</v>
      </c>
      <c r="B1700" s="1">
        <v>45627</v>
      </c>
      <c r="C1700">
        <v>870892</v>
      </c>
      <c r="D1700" t="s">
        <v>176</v>
      </c>
      <c r="E1700">
        <v>13084581</v>
      </c>
      <c r="F1700">
        <v>616512</v>
      </c>
      <c r="G1700">
        <v>209722</v>
      </c>
      <c r="H1700">
        <f>_xlfn.XLOOKUP(FACT_IMPORTS[[#This Row],[hts_6]],DIM_PRODUCTS[hts_6],DIM_PRODUCTS[hts_4],,,)</f>
        <v>8708</v>
      </c>
      <c r="I1700" t="str" cm="1">
        <f t="array" ref="I1700">_xlfn.XLOOKUP(FACT_IMPORTS[[#This Row],[country_name]],DIM_COUNTRY[[#All],[Column2]],DIM_COUNTRY[[#All],[Column3]],,,)</f>
        <v>USMCA</v>
      </c>
    </row>
    <row r="1701" spans="1:9" x14ac:dyDescent="0.4">
      <c r="A1701" t="s">
        <v>61</v>
      </c>
      <c r="B1701" s="1">
        <v>45627</v>
      </c>
      <c r="C1701">
        <v>870893</v>
      </c>
      <c r="D1701" t="s">
        <v>176</v>
      </c>
      <c r="E1701">
        <v>37781715</v>
      </c>
      <c r="F1701">
        <v>968556</v>
      </c>
      <c r="G1701">
        <v>56423</v>
      </c>
      <c r="H1701">
        <f>_xlfn.XLOOKUP(FACT_IMPORTS[[#This Row],[hts_6]],DIM_PRODUCTS[hts_6],DIM_PRODUCTS[hts_4],,,)</f>
        <v>8708</v>
      </c>
      <c r="I1701" t="str" cm="1">
        <f t="array" ref="I1701">_xlfn.XLOOKUP(FACT_IMPORTS[[#This Row],[country_name]],DIM_COUNTRY[[#All],[Column2]],DIM_COUNTRY[[#All],[Column3]],,,)</f>
        <v>USMCA</v>
      </c>
    </row>
    <row r="1702" spans="1:9" x14ac:dyDescent="0.4">
      <c r="A1702" t="s">
        <v>61</v>
      </c>
      <c r="B1702" s="1">
        <v>45627</v>
      </c>
      <c r="C1702">
        <v>870894</v>
      </c>
      <c r="D1702" t="s">
        <v>176</v>
      </c>
      <c r="E1702">
        <v>8543397</v>
      </c>
      <c r="F1702">
        <v>1831634</v>
      </c>
      <c r="G1702">
        <v>79885</v>
      </c>
      <c r="H1702">
        <f>_xlfn.XLOOKUP(FACT_IMPORTS[[#This Row],[hts_6]],DIM_PRODUCTS[hts_6],DIM_PRODUCTS[hts_4],,,)</f>
        <v>8708</v>
      </c>
      <c r="I1702" t="str" cm="1">
        <f t="array" ref="I1702">_xlfn.XLOOKUP(FACT_IMPORTS[[#This Row],[country_name]],DIM_COUNTRY[[#All],[Column2]],DIM_COUNTRY[[#All],[Column3]],,,)</f>
        <v>USMCA</v>
      </c>
    </row>
    <row r="1703" spans="1:9" x14ac:dyDescent="0.4">
      <c r="A1703" t="s">
        <v>61</v>
      </c>
      <c r="B1703" s="1">
        <v>45627</v>
      </c>
      <c r="C1703">
        <v>870895</v>
      </c>
      <c r="D1703" t="s">
        <v>176</v>
      </c>
      <c r="E1703">
        <v>952630</v>
      </c>
      <c r="F1703">
        <v>1067710</v>
      </c>
      <c r="G1703">
        <v>16897</v>
      </c>
      <c r="H1703">
        <f>_xlfn.XLOOKUP(FACT_IMPORTS[[#This Row],[hts_6]],DIM_PRODUCTS[hts_6],DIM_PRODUCTS[hts_4],,,)</f>
        <v>8708</v>
      </c>
      <c r="I1703" t="str" cm="1">
        <f t="array" ref="I1703">_xlfn.XLOOKUP(FACT_IMPORTS[[#This Row],[country_name]],DIM_COUNTRY[[#All],[Column2]],DIM_COUNTRY[[#All],[Column3]],,,)</f>
        <v>USMCA</v>
      </c>
    </row>
    <row r="1704" spans="1:9" x14ac:dyDescent="0.4">
      <c r="A1704" t="s">
        <v>61</v>
      </c>
      <c r="B1704" s="1">
        <v>45627</v>
      </c>
      <c r="C1704">
        <v>870899</v>
      </c>
      <c r="D1704" t="s">
        <v>176</v>
      </c>
      <c r="E1704">
        <v>119649304</v>
      </c>
      <c r="F1704">
        <v>11301955</v>
      </c>
      <c r="G1704">
        <v>1361798</v>
      </c>
      <c r="H1704">
        <f>_xlfn.XLOOKUP(FACT_IMPORTS[[#This Row],[hts_6]],DIM_PRODUCTS[hts_6],DIM_PRODUCTS[hts_4],,,)</f>
        <v>8708</v>
      </c>
      <c r="I1704" t="str" cm="1">
        <f t="array" ref="I1704">_xlfn.XLOOKUP(FACT_IMPORTS[[#This Row],[country_name]],DIM_COUNTRY[[#All],[Column2]],DIM_COUNTRY[[#All],[Column3]],,,)</f>
        <v>USMCA</v>
      </c>
    </row>
    <row r="1705" spans="1:9" x14ac:dyDescent="0.4">
      <c r="A1705" t="s">
        <v>61</v>
      </c>
      <c r="B1705" s="1">
        <v>45627</v>
      </c>
      <c r="C1705">
        <v>940120</v>
      </c>
      <c r="D1705" t="s">
        <v>176</v>
      </c>
      <c r="E1705">
        <v>1065103</v>
      </c>
      <c r="F1705">
        <v>9090</v>
      </c>
      <c r="G1705">
        <v>7555</v>
      </c>
      <c r="H1705">
        <f>_xlfn.XLOOKUP(FACT_IMPORTS[[#This Row],[hts_6]],DIM_PRODUCTS[hts_6],DIM_PRODUCTS[hts_4],,,)</f>
        <v>9401</v>
      </c>
      <c r="I1705" t="str" cm="1">
        <f t="array" ref="I1705">_xlfn.XLOOKUP(FACT_IMPORTS[[#This Row],[country_name]],DIM_COUNTRY[[#All],[Column2]],DIM_COUNTRY[[#All],[Column3]],,,)</f>
        <v>USMCA</v>
      </c>
    </row>
    <row r="1706" spans="1:9" x14ac:dyDescent="0.4">
      <c r="A1706" t="s">
        <v>61</v>
      </c>
      <c r="B1706" s="1">
        <v>45658</v>
      </c>
      <c r="C1706">
        <v>392630</v>
      </c>
      <c r="D1706" t="s">
        <v>176</v>
      </c>
      <c r="E1706">
        <v>3303697</v>
      </c>
      <c r="F1706">
        <v>421504</v>
      </c>
      <c r="G1706">
        <v>244452</v>
      </c>
      <c r="H1706">
        <f>_xlfn.XLOOKUP(FACT_IMPORTS[[#This Row],[hts_6]],DIM_PRODUCTS[hts_6],DIM_PRODUCTS[hts_4],,,)</f>
        <v>3926</v>
      </c>
      <c r="I1706" t="str" cm="1">
        <f t="array" ref="I1706">_xlfn.XLOOKUP(FACT_IMPORTS[[#This Row],[country_name]],DIM_COUNTRY[[#All],[Column2]],DIM_COUNTRY[[#All],[Column3]],,,)</f>
        <v>USMCA</v>
      </c>
    </row>
    <row r="1707" spans="1:9" x14ac:dyDescent="0.4">
      <c r="A1707" t="s">
        <v>61</v>
      </c>
      <c r="B1707" s="1">
        <v>45658</v>
      </c>
      <c r="C1707">
        <v>401110</v>
      </c>
      <c r="D1707" t="s">
        <v>176</v>
      </c>
      <c r="E1707">
        <v>49180927</v>
      </c>
      <c r="F1707">
        <v>633116</v>
      </c>
      <c r="G1707">
        <v>317209</v>
      </c>
      <c r="H1707">
        <f>_xlfn.XLOOKUP(FACT_IMPORTS[[#This Row],[hts_6]],DIM_PRODUCTS[hts_6],DIM_PRODUCTS[hts_4],,,)</f>
        <v>4011</v>
      </c>
      <c r="I1707" t="str" cm="1">
        <f t="array" ref="I1707">_xlfn.XLOOKUP(FACT_IMPORTS[[#This Row],[country_name]],DIM_COUNTRY[[#All],[Column2]],DIM_COUNTRY[[#All],[Column3]],,,)</f>
        <v>USMCA</v>
      </c>
    </row>
    <row r="1708" spans="1:9" x14ac:dyDescent="0.4">
      <c r="A1708" t="s">
        <v>61</v>
      </c>
      <c r="B1708" s="1">
        <v>45658</v>
      </c>
      <c r="C1708">
        <v>401120</v>
      </c>
      <c r="D1708" t="s">
        <v>176</v>
      </c>
      <c r="E1708">
        <v>51658728</v>
      </c>
      <c r="F1708">
        <v>280643</v>
      </c>
      <c r="G1708">
        <v>264930</v>
      </c>
      <c r="H1708">
        <f>_xlfn.XLOOKUP(FACT_IMPORTS[[#This Row],[hts_6]],DIM_PRODUCTS[hts_6],DIM_PRODUCTS[hts_4],,,)</f>
        <v>4011</v>
      </c>
      <c r="I1708" t="str" cm="1">
        <f t="array" ref="I1708">_xlfn.XLOOKUP(FACT_IMPORTS[[#This Row],[country_name]],DIM_COUNTRY[[#All],[Column2]],DIM_COUNTRY[[#All],[Column3]],,,)</f>
        <v>USMCA</v>
      </c>
    </row>
    <row r="1709" spans="1:9" x14ac:dyDescent="0.4">
      <c r="A1709" t="s">
        <v>61</v>
      </c>
      <c r="B1709" s="1">
        <v>45658</v>
      </c>
      <c r="C1709">
        <v>401140</v>
      </c>
      <c r="D1709" t="s">
        <v>176</v>
      </c>
      <c r="E1709">
        <v>0</v>
      </c>
      <c r="F1709">
        <v>0</v>
      </c>
      <c r="G1709">
        <v>0</v>
      </c>
      <c r="H1709">
        <f>_xlfn.XLOOKUP(FACT_IMPORTS[[#This Row],[hts_6]],DIM_PRODUCTS[hts_6],DIM_PRODUCTS[hts_4],,,)</f>
        <v>4011</v>
      </c>
      <c r="I1709" t="str" cm="1">
        <f t="array" ref="I1709">_xlfn.XLOOKUP(FACT_IMPORTS[[#This Row],[country_name]],DIM_COUNTRY[[#All],[Column2]],DIM_COUNTRY[[#All],[Column3]],,,)</f>
        <v>USMCA</v>
      </c>
    </row>
    <row r="1710" spans="1:9" x14ac:dyDescent="0.4">
      <c r="A1710" t="s">
        <v>61</v>
      </c>
      <c r="B1710" s="1">
        <v>45658</v>
      </c>
      <c r="C1710">
        <v>401190</v>
      </c>
      <c r="D1710" t="s">
        <v>176</v>
      </c>
      <c r="E1710">
        <v>227729</v>
      </c>
      <c r="F1710">
        <v>369</v>
      </c>
      <c r="G1710">
        <v>656</v>
      </c>
      <c r="H1710">
        <f>_xlfn.XLOOKUP(FACT_IMPORTS[[#This Row],[hts_6]],DIM_PRODUCTS[hts_6],DIM_PRODUCTS[hts_4],,,)</f>
        <v>4011</v>
      </c>
      <c r="I1710" t="str" cm="1">
        <f t="array" ref="I1710">_xlfn.XLOOKUP(FACT_IMPORTS[[#This Row],[country_name]],DIM_COUNTRY[[#All],[Column2]],DIM_COUNTRY[[#All],[Column3]],,,)</f>
        <v>USMCA</v>
      </c>
    </row>
    <row r="1711" spans="1:9" x14ac:dyDescent="0.4">
      <c r="A1711" t="s">
        <v>61</v>
      </c>
      <c r="B1711" s="1">
        <v>45658</v>
      </c>
      <c r="C1711">
        <v>700711</v>
      </c>
      <c r="D1711" t="s">
        <v>176</v>
      </c>
      <c r="E1711">
        <v>240883</v>
      </c>
      <c r="F1711">
        <v>465</v>
      </c>
      <c r="G1711">
        <v>1699</v>
      </c>
      <c r="H1711">
        <f>_xlfn.XLOOKUP(FACT_IMPORTS[[#This Row],[hts_6]],DIM_PRODUCTS[hts_6],DIM_PRODUCTS[hts_4],,,)</f>
        <v>7007</v>
      </c>
      <c r="I1711" t="str" cm="1">
        <f t="array" ref="I1711">_xlfn.XLOOKUP(FACT_IMPORTS[[#This Row],[country_name]],DIM_COUNTRY[[#All],[Column2]],DIM_COUNTRY[[#All],[Column3]],,,)</f>
        <v>USMCA</v>
      </c>
    </row>
    <row r="1712" spans="1:9" x14ac:dyDescent="0.4">
      <c r="A1712" t="s">
        <v>61</v>
      </c>
      <c r="B1712" s="1">
        <v>45658</v>
      </c>
      <c r="C1712">
        <v>700721</v>
      </c>
      <c r="D1712" t="s">
        <v>176</v>
      </c>
      <c r="E1712">
        <v>115234</v>
      </c>
      <c r="F1712">
        <v>439</v>
      </c>
      <c r="G1712">
        <v>2015</v>
      </c>
      <c r="H1712">
        <f>_xlfn.XLOOKUP(FACT_IMPORTS[[#This Row],[hts_6]],DIM_PRODUCTS[hts_6],DIM_PRODUCTS[hts_4],,,)</f>
        <v>7007</v>
      </c>
      <c r="I1712" t="str" cm="1">
        <f t="array" ref="I1712">_xlfn.XLOOKUP(FACT_IMPORTS[[#This Row],[country_name]],DIM_COUNTRY[[#All],[Column2]],DIM_COUNTRY[[#All],[Column3]],,,)</f>
        <v>USMCA</v>
      </c>
    </row>
    <row r="1713" spans="1:9" x14ac:dyDescent="0.4">
      <c r="A1713" t="s">
        <v>61</v>
      </c>
      <c r="B1713" s="1">
        <v>45658</v>
      </c>
      <c r="C1713">
        <v>700910</v>
      </c>
      <c r="D1713" t="s">
        <v>176</v>
      </c>
      <c r="E1713">
        <v>89057</v>
      </c>
      <c r="F1713">
        <v>1384</v>
      </c>
      <c r="G1713">
        <v>644</v>
      </c>
      <c r="H1713">
        <f>_xlfn.XLOOKUP(FACT_IMPORTS[[#This Row],[hts_6]],DIM_PRODUCTS[hts_6],DIM_PRODUCTS[hts_4],,,)</f>
        <v>7009</v>
      </c>
      <c r="I1713" t="str" cm="1">
        <f t="array" ref="I1713">_xlfn.XLOOKUP(FACT_IMPORTS[[#This Row],[country_name]],DIM_COUNTRY[[#All],[Column2]],DIM_COUNTRY[[#All],[Column3]],,,)</f>
        <v>USMCA</v>
      </c>
    </row>
    <row r="1714" spans="1:9" x14ac:dyDescent="0.4">
      <c r="A1714" t="s">
        <v>61</v>
      </c>
      <c r="B1714" s="1">
        <v>45658</v>
      </c>
      <c r="C1714">
        <v>732010</v>
      </c>
      <c r="D1714" t="s">
        <v>176</v>
      </c>
      <c r="E1714">
        <v>3113746</v>
      </c>
      <c r="F1714">
        <v>980530</v>
      </c>
      <c r="G1714">
        <v>24862</v>
      </c>
      <c r="H1714">
        <f>_xlfn.XLOOKUP(FACT_IMPORTS[[#This Row],[hts_6]],DIM_PRODUCTS[hts_6],DIM_PRODUCTS[hts_4],,,)</f>
        <v>7320</v>
      </c>
      <c r="I1714" t="str" cm="1">
        <f t="array" ref="I1714">_xlfn.XLOOKUP(FACT_IMPORTS[[#This Row],[country_name]],DIM_COUNTRY[[#All],[Column2]],DIM_COUNTRY[[#All],[Column3]],,,)</f>
        <v>USMCA</v>
      </c>
    </row>
    <row r="1715" spans="1:9" x14ac:dyDescent="0.4">
      <c r="A1715" t="s">
        <v>61</v>
      </c>
      <c r="B1715" s="1">
        <v>45658</v>
      </c>
      <c r="C1715">
        <v>830230</v>
      </c>
      <c r="D1715" t="s">
        <v>176</v>
      </c>
      <c r="E1715">
        <v>28325628</v>
      </c>
      <c r="F1715">
        <v>6106468</v>
      </c>
      <c r="G1715">
        <v>981731</v>
      </c>
      <c r="H1715">
        <f>_xlfn.XLOOKUP(FACT_IMPORTS[[#This Row],[hts_6]],DIM_PRODUCTS[hts_6],DIM_PRODUCTS[hts_4],,,)</f>
        <v>8302</v>
      </c>
      <c r="I1715" t="str" cm="1">
        <f t="array" ref="I1715">_xlfn.XLOOKUP(FACT_IMPORTS[[#This Row],[country_name]],DIM_COUNTRY[[#All],[Column2]],DIM_COUNTRY[[#All],[Column3]],,,)</f>
        <v>USMCA</v>
      </c>
    </row>
    <row r="1716" spans="1:9" x14ac:dyDescent="0.4">
      <c r="A1716" t="s">
        <v>61</v>
      </c>
      <c r="B1716" s="1">
        <v>45658</v>
      </c>
      <c r="C1716">
        <v>840733</v>
      </c>
      <c r="D1716" t="s">
        <v>176</v>
      </c>
      <c r="E1716">
        <v>18000</v>
      </c>
      <c r="F1716">
        <v>3</v>
      </c>
      <c r="G1716">
        <v>2243</v>
      </c>
      <c r="H1716">
        <f>_xlfn.XLOOKUP(FACT_IMPORTS[[#This Row],[hts_6]],DIM_PRODUCTS[hts_6],DIM_PRODUCTS[hts_4],,,)</f>
        <v>8407</v>
      </c>
      <c r="I1716" t="str" cm="1">
        <f t="array" ref="I1716">_xlfn.XLOOKUP(FACT_IMPORTS[[#This Row],[country_name]],DIM_COUNTRY[[#All],[Column2]],DIM_COUNTRY[[#All],[Column3]],,,)</f>
        <v>USMCA</v>
      </c>
    </row>
    <row r="1717" spans="1:9" x14ac:dyDescent="0.4">
      <c r="A1717" t="s">
        <v>61</v>
      </c>
      <c r="B1717" s="1">
        <v>45658</v>
      </c>
      <c r="C1717">
        <v>840734</v>
      </c>
      <c r="D1717" t="s">
        <v>176</v>
      </c>
      <c r="E1717">
        <v>164536527</v>
      </c>
      <c r="F1717">
        <v>48943</v>
      </c>
      <c r="G1717">
        <v>46034</v>
      </c>
      <c r="H1717">
        <f>_xlfn.XLOOKUP(FACT_IMPORTS[[#This Row],[hts_6]],DIM_PRODUCTS[hts_6],DIM_PRODUCTS[hts_4],,,)</f>
        <v>8407</v>
      </c>
      <c r="I1717" t="str" cm="1">
        <f t="array" ref="I1717">_xlfn.XLOOKUP(FACT_IMPORTS[[#This Row],[country_name]],DIM_COUNTRY[[#All],[Column2]],DIM_COUNTRY[[#All],[Column3]],,,)</f>
        <v>USMCA</v>
      </c>
    </row>
    <row r="1718" spans="1:9" x14ac:dyDescent="0.4">
      <c r="A1718" t="s">
        <v>61</v>
      </c>
      <c r="B1718" s="1">
        <v>45658</v>
      </c>
      <c r="C1718">
        <v>840790</v>
      </c>
      <c r="D1718" t="s">
        <v>176</v>
      </c>
      <c r="E1718">
        <v>10574803</v>
      </c>
      <c r="F1718">
        <v>3923</v>
      </c>
      <c r="G1718">
        <v>2839</v>
      </c>
      <c r="H1718">
        <f>_xlfn.XLOOKUP(FACT_IMPORTS[[#This Row],[hts_6]],DIM_PRODUCTS[hts_6],DIM_PRODUCTS[hts_4],,,)</f>
        <v>8407</v>
      </c>
      <c r="I1718" t="str" cm="1">
        <f t="array" ref="I1718">_xlfn.XLOOKUP(FACT_IMPORTS[[#This Row],[country_name]],DIM_COUNTRY[[#All],[Column2]],DIM_COUNTRY[[#All],[Column3]],,,)</f>
        <v>USMCA</v>
      </c>
    </row>
    <row r="1719" spans="1:9" x14ac:dyDescent="0.4">
      <c r="A1719" t="s">
        <v>61</v>
      </c>
      <c r="B1719" s="1">
        <v>45658</v>
      </c>
      <c r="C1719">
        <v>840820</v>
      </c>
      <c r="D1719" t="s">
        <v>176</v>
      </c>
      <c r="E1719">
        <v>564235</v>
      </c>
      <c r="F1719">
        <v>89</v>
      </c>
      <c r="G1719">
        <v>2591</v>
      </c>
      <c r="H1719">
        <f>_xlfn.XLOOKUP(FACT_IMPORTS[[#This Row],[hts_6]],DIM_PRODUCTS[hts_6],DIM_PRODUCTS[hts_4],,,)</f>
        <v>8408</v>
      </c>
      <c r="I1719" t="str" cm="1">
        <f t="array" ref="I1719">_xlfn.XLOOKUP(FACT_IMPORTS[[#This Row],[country_name]],DIM_COUNTRY[[#All],[Column2]],DIM_COUNTRY[[#All],[Column3]],,,)</f>
        <v>USMCA</v>
      </c>
    </row>
    <row r="1720" spans="1:9" x14ac:dyDescent="0.4">
      <c r="A1720" t="s">
        <v>61</v>
      </c>
      <c r="B1720" s="1">
        <v>45658</v>
      </c>
      <c r="C1720">
        <v>840890</v>
      </c>
      <c r="D1720" t="s">
        <v>176</v>
      </c>
      <c r="E1720">
        <v>163165</v>
      </c>
      <c r="F1720">
        <v>16</v>
      </c>
      <c r="G1720">
        <v>770</v>
      </c>
      <c r="H1720">
        <f>_xlfn.XLOOKUP(FACT_IMPORTS[[#This Row],[hts_6]],DIM_PRODUCTS[hts_6],DIM_PRODUCTS[hts_4],,,)</f>
        <v>8408</v>
      </c>
      <c r="I1720" t="str" cm="1">
        <f t="array" ref="I1720">_xlfn.XLOOKUP(FACT_IMPORTS[[#This Row],[country_name]],DIM_COUNTRY[[#All],[Column2]],DIM_COUNTRY[[#All],[Column3]],,,)</f>
        <v>USMCA</v>
      </c>
    </row>
    <row r="1721" spans="1:9" x14ac:dyDescent="0.4">
      <c r="A1721" t="s">
        <v>61</v>
      </c>
      <c r="B1721" s="1">
        <v>45658</v>
      </c>
      <c r="C1721">
        <v>840991</v>
      </c>
      <c r="D1721" t="s">
        <v>176</v>
      </c>
      <c r="E1721">
        <v>33274693</v>
      </c>
      <c r="F1721">
        <v>2980985</v>
      </c>
      <c r="G1721">
        <v>121444</v>
      </c>
      <c r="H1721">
        <f>_xlfn.XLOOKUP(FACT_IMPORTS[[#This Row],[hts_6]],DIM_PRODUCTS[hts_6],DIM_PRODUCTS[hts_4],,,)</f>
        <v>8409</v>
      </c>
      <c r="I1721" t="str" cm="1">
        <f t="array" ref="I1721">_xlfn.XLOOKUP(FACT_IMPORTS[[#This Row],[country_name]],DIM_COUNTRY[[#All],[Column2]],DIM_COUNTRY[[#All],[Column3]],,,)</f>
        <v>USMCA</v>
      </c>
    </row>
    <row r="1722" spans="1:9" x14ac:dyDescent="0.4">
      <c r="A1722" t="s">
        <v>61</v>
      </c>
      <c r="B1722" s="1">
        <v>45658</v>
      </c>
      <c r="C1722">
        <v>840999</v>
      </c>
      <c r="D1722" t="s">
        <v>176</v>
      </c>
      <c r="E1722">
        <v>11183435</v>
      </c>
      <c r="F1722">
        <v>952317</v>
      </c>
      <c r="G1722">
        <v>113366</v>
      </c>
      <c r="H1722">
        <f>_xlfn.XLOOKUP(FACT_IMPORTS[[#This Row],[hts_6]],DIM_PRODUCTS[hts_6],DIM_PRODUCTS[hts_4],,,)</f>
        <v>8409</v>
      </c>
      <c r="I1722" t="str" cm="1">
        <f t="array" ref="I1722">_xlfn.XLOOKUP(FACT_IMPORTS[[#This Row],[country_name]],DIM_COUNTRY[[#All],[Column2]],DIM_COUNTRY[[#All],[Column3]],,,)</f>
        <v>USMCA</v>
      </c>
    </row>
    <row r="1723" spans="1:9" x14ac:dyDescent="0.4">
      <c r="A1723" t="s">
        <v>61</v>
      </c>
      <c r="B1723" s="1">
        <v>45658</v>
      </c>
      <c r="C1723">
        <v>841330</v>
      </c>
      <c r="D1723" t="s">
        <v>176</v>
      </c>
      <c r="E1723">
        <v>8350681</v>
      </c>
      <c r="F1723">
        <v>166098</v>
      </c>
      <c r="G1723">
        <v>22715</v>
      </c>
      <c r="H1723">
        <f>_xlfn.XLOOKUP(FACT_IMPORTS[[#This Row],[hts_6]],DIM_PRODUCTS[hts_6],DIM_PRODUCTS[hts_4],,,)</f>
        <v>8413</v>
      </c>
      <c r="I1723" t="str" cm="1">
        <f t="array" ref="I1723">_xlfn.XLOOKUP(FACT_IMPORTS[[#This Row],[country_name]],DIM_COUNTRY[[#All],[Column2]],DIM_COUNTRY[[#All],[Column3]],,,)</f>
        <v>USMCA</v>
      </c>
    </row>
    <row r="1724" spans="1:9" x14ac:dyDescent="0.4">
      <c r="A1724" t="s">
        <v>61</v>
      </c>
      <c r="B1724" s="1">
        <v>45658</v>
      </c>
      <c r="C1724">
        <v>841520</v>
      </c>
      <c r="D1724" t="s">
        <v>176</v>
      </c>
      <c r="E1724">
        <v>4707459</v>
      </c>
      <c r="F1724">
        <v>26018</v>
      </c>
      <c r="G1724">
        <v>82120</v>
      </c>
      <c r="H1724">
        <f>_xlfn.XLOOKUP(FACT_IMPORTS[[#This Row],[hts_6]],DIM_PRODUCTS[hts_6],DIM_PRODUCTS[hts_4],,,)</f>
        <v>8415</v>
      </c>
      <c r="I1724" t="str" cm="1">
        <f t="array" ref="I1724">_xlfn.XLOOKUP(FACT_IMPORTS[[#This Row],[country_name]],DIM_COUNTRY[[#All],[Column2]],DIM_COUNTRY[[#All],[Column3]],,,)</f>
        <v>USMCA</v>
      </c>
    </row>
    <row r="1725" spans="1:9" x14ac:dyDescent="0.4">
      <c r="A1725" t="s">
        <v>61</v>
      </c>
      <c r="B1725" s="1">
        <v>45658</v>
      </c>
      <c r="C1725">
        <v>842132</v>
      </c>
      <c r="D1725" t="s">
        <v>176</v>
      </c>
      <c r="E1725">
        <v>40724952</v>
      </c>
      <c r="F1725">
        <v>104245</v>
      </c>
      <c r="G1725">
        <v>128347</v>
      </c>
      <c r="H1725">
        <f>_xlfn.XLOOKUP(FACT_IMPORTS[[#This Row],[hts_6]],DIM_PRODUCTS[hts_6],DIM_PRODUCTS[hts_4],,,)</f>
        <v>8421</v>
      </c>
      <c r="I1725" t="str" cm="1">
        <f t="array" ref="I1725">_xlfn.XLOOKUP(FACT_IMPORTS[[#This Row],[country_name]],DIM_COUNTRY[[#All],[Column2]],DIM_COUNTRY[[#All],[Column3]],,,)</f>
        <v>USMCA</v>
      </c>
    </row>
    <row r="1726" spans="1:9" x14ac:dyDescent="0.4">
      <c r="A1726" t="s">
        <v>61</v>
      </c>
      <c r="B1726" s="1">
        <v>45658</v>
      </c>
      <c r="C1726">
        <v>848210</v>
      </c>
      <c r="D1726" t="s">
        <v>176</v>
      </c>
      <c r="E1726">
        <v>4547215</v>
      </c>
      <c r="F1726">
        <v>422686</v>
      </c>
      <c r="G1726">
        <v>62658</v>
      </c>
      <c r="H1726">
        <f>_xlfn.XLOOKUP(FACT_IMPORTS[[#This Row],[hts_6]],DIM_PRODUCTS[hts_6],DIM_PRODUCTS[hts_4],,,)</f>
        <v>8482</v>
      </c>
      <c r="I1726" t="str" cm="1">
        <f t="array" ref="I1726">_xlfn.XLOOKUP(FACT_IMPORTS[[#This Row],[country_name]],DIM_COUNTRY[[#All],[Column2]],DIM_COUNTRY[[#All],[Column3]],,,)</f>
        <v>USMCA</v>
      </c>
    </row>
    <row r="1727" spans="1:9" x14ac:dyDescent="0.4">
      <c r="A1727" t="s">
        <v>61</v>
      </c>
      <c r="B1727" s="1">
        <v>45658</v>
      </c>
      <c r="C1727">
        <v>848220</v>
      </c>
      <c r="D1727" t="s">
        <v>176</v>
      </c>
      <c r="E1727">
        <v>277169</v>
      </c>
      <c r="F1727">
        <v>4658</v>
      </c>
      <c r="G1727">
        <v>6990</v>
      </c>
      <c r="H1727">
        <f>_xlfn.XLOOKUP(FACT_IMPORTS[[#This Row],[hts_6]],DIM_PRODUCTS[hts_6],DIM_PRODUCTS[hts_4],,,)</f>
        <v>8482</v>
      </c>
      <c r="I1727" t="str" cm="1">
        <f t="array" ref="I1727">_xlfn.XLOOKUP(FACT_IMPORTS[[#This Row],[country_name]],DIM_COUNTRY[[#All],[Column2]],DIM_COUNTRY[[#All],[Column3]],,,)</f>
        <v>USMCA</v>
      </c>
    </row>
    <row r="1728" spans="1:9" x14ac:dyDescent="0.4">
      <c r="A1728" t="s">
        <v>61</v>
      </c>
      <c r="B1728" s="1">
        <v>45658</v>
      </c>
      <c r="C1728">
        <v>848310</v>
      </c>
      <c r="D1728" t="s">
        <v>176</v>
      </c>
      <c r="E1728">
        <v>16801654</v>
      </c>
      <c r="F1728">
        <v>538951</v>
      </c>
      <c r="G1728">
        <v>72273</v>
      </c>
      <c r="H1728">
        <f>_xlfn.XLOOKUP(FACT_IMPORTS[[#This Row],[hts_6]],DIM_PRODUCTS[hts_6],DIM_PRODUCTS[hts_4],,,)</f>
        <v>8483</v>
      </c>
      <c r="I1728" t="str" cm="1">
        <f t="array" ref="I1728">_xlfn.XLOOKUP(FACT_IMPORTS[[#This Row],[country_name]],DIM_COUNTRY[[#All],[Column2]],DIM_COUNTRY[[#All],[Column3]],,,)</f>
        <v>USMCA</v>
      </c>
    </row>
    <row r="1729" spans="1:9" x14ac:dyDescent="0.4">
      <c r="A1729" t="s">
        <v>61</v>
      </c>
      <c r="B1729" s="1">
        <v>45658</v>
      </c>
      <c r="C1729">
        <v>850131</v>
      </c>
      <c r="D1729" t="s">
        <v>176</v>
      </c>
      <c r="E1729">
        <v>2387819</v>
      </c>
      <c r="F1729">
        <v>93436</v>
      </c>
      <c r="G1729">
        <v>29445</v>
      </c>
      <c r="H1729">
        <f>_xlfn.XLOOKUP(FACT_IMPORTS[[#This Row],[hts_6]],DIM_PRODUCTS[hts_6],DIM_PRODUCTS[hts_4],,,)</f>
        <v>8501</v>
      </c>
      <c r="I1729" t="str" cm="1">
        <f t="array" ref="I1729">_xlfn.XLOOKUP(FACT_IMPORTS[[#This Row],[country_name]],DIM_COUNTRY[[#All],[Column2]],DIM_COUNTRY[[#All],[Column3]],,,)</f>
        <v>USMCA</v>
      </c>
    </row>
    <row r="1730" spans="1:9" x14ac:dyDescent="0.4">
      <c r="A1730" t="s">
        <v>61</v>
      </c>
      <c r="B1730" s="1">
        <v>45658</v>
      </c>
      <c r="C1730">
        <v>850132</v>
      </c>
      <c r="D1730" t="s">
        <v>176</v>
      </c>
      <c r="E1730">
        <v>318509</v>
      </c>
      <c r="F1730">
        <v>37</v>
      </c>
      <c r="G1730">
        <v>2482</v>
      </c>
      <c r="H1730">
        <f>_xlfn.XLOOKUP(FACT_IMPORTS[[#This Row],[hts_6]],DIM_PRODUCTS[hts_6],DIM_PRODUCTS[hts_4],,,)</f>
        <v>8501</v>
      </c>
      <c r="I1730" t="str" cm="1">
        <f t="array" ref="I1730">_xlfn.XLOOKUP(FACT_IMPORTS[[#This Row],[country_name]],DIM_COUNTRY[[#All],[Column2]],DIM_COUNTRY[[#All],[Column3]],,,)</f>
        <v>USMCA</v>
      </c>
    </row>
    <row r="1731" spans="1:9" x14ac:dyDescent="0.4">
      <c r="A1731" t="s">
        <v>61</v>
      </c>
      <c r="B1731" s="1">
        <v>45658</v>
      </c>
      <c r="C1731">
        <v>850133</v>
      </c>
      <c r="D1731" t="s">
        <v>176</v>
      </c>
      <c r="E1731">
        <v>10500</v>
      </c>
      <c r="F1731">
        <v>7</v>
      </c>
      <c r="G1731">
        <v>250</v>
      </c>
      <c r="H1731">
        <f>_xlfn.XLOOKUP(FACT_IMPORTS[[#This Row],[hts_6]],DIM_PRODUCTS[hts_6],DIM_PRODUCTS[hts_4],,,)</f>
        <v>8501</v>
      </c>
      <c r="I1731" t="str" cm="1">
        <f t="array" ref="I1731">_xlfn.XLOOKUP(FACT_IMPORTS[[#This Row],[country_name]],DIM_COUNTRY[[#All],[Column2]],DIM_COUNTRY[[#All],[Column3]],,,)</f>
        <v>USMCA</v>
      </c>
    </row>
    <row r="1732" spans="1:9" x14ac:dyDescent="0.4">
      <c r="A1732" t="s">
        <v>61</v>
      </c>
      <c r="B1732" s="1">
        <v>45658</v>
      </c>
      <c r="C1732">
        <v>850134</v>
      </c>
      <c r="D1732" t="s">
        <v>176</v>
      </c>
      <c r="E1732">
        <v>8356627</v>
      </c>
      <c r="F1732">
        <v>18623</v>
      </c>
      <c r="G1732">
        <v>1525</v>
      </c>
      <c r="H1732">
        <f>_xlfn.XLOOKUP(FACT_IMPORTS[[#This Row],[hts_6]],DIM_PRODUCTS[hts_6],DIM_PRODUCTS[hts_4],,,)</f>
        <v>8501</v>
      </c>
      <c r="I1732" t="str" cm="1">
        <f t="array" ref="I1732">_xlfn.XLOOKUP(FACT_IMPORTS[[#This Row],[country_name]],DIM_COUNTRY[[#All],[Column2]],DIM_COUNTRY[[#All],[Column3]],,,)</f>
        <v>USMCA</v>
      </c>
    </row>
    <row r="1733" spans="1:9" x14ac:dyDescent="0.4">
      <c r="A1733" t="s">
        <v>61</v>
      </c>
      <c r="B1733" s="1">
        <v>45658</v>
      </c>
      <c r="C1733">
        <v>850152</v>
      </c>
      <c r="D1733" t="s">
        <v>176</v>
      </c>
      <c r="E1733">
        <v>797174</v>
      </c>
      <c r="F1733">
        <v>433</v>
      </c>
      <c r="G1733">
        <v>11789</v>
      </c>
      <c r="H1733">
        <f>_xlfn.XLOOKUP(FACT_IMPORTS[[#This Row],[hts_6]],DIM_PRODUCTS[hts_6],DIM_PRODUCTS[hts_4],,,)</f>
        <v>8501</v>
      </c>
      <c r="I1733" t="str" cm="1">
        <f t="array" ref="I1733">_xlfn.XLOOKUP(FACT_IMPORTS[[#This Row],[country_name]],DIM_COUNTRY[[#All],[Column2]],DIM_COUNTRY[[#All],[Column3]],,,)</f>
        <v>USMCA</v>
      </c>
    </row>
    <row r="1734" spans="1:9" x14ac:dyDescent="0.4">
      <c r="A1734" t="s">
        <v>61</v>
      </c>
      <c r="B1734" s="1">
        <v>45658</v>
      </c>
      <c r="C1734">
        <v>850153</v>
      </c>
      <c r="D1734" t="s">
        <v>176</v>
      </c>
      <c r="E1734">
        <v>468150</v>
      </c>
      <c r="F1734">
        <v>27</v>
      </c>
      <c r="G1734">
        <v>1762</v>
      </c>
      <c r="H1734">
        <f>_xlfn.XLOOKUP(FACT_IMPORTS[[#This Row],[hts_6]],DIM_PRODUCTS[hts_6],DIM_PRODUCTS[hts_4],,,)</f>
        <v>8501</v>
      </c>
      <c r="I1734" t="str" cm="1">
        <f t="array" ref="I1734">_xlfn.XLOOKUP(FACT_IMPORTS[[#This Row],[country_name]],DIM_COUNTRY[[#All],[Column2]],DIM_COUNTRY[[#All],[Column3]],,,)</f>
        <v>USMCA</v>
      </c>
    </row>
    <row r="1735" spans="1:9" x14ac:dyDescent="0.4">
      <c r="A1735" t="s">
        <v>61</v>
      </c>
      <c r="B1735" s="1">
        <v>45658</v>
      </c>
      <c r="C1735">
        <v>850161</v>
      </c>
      <c r="D1735" t="s">
        <v>176</v>
      </c>
      <c r="E1735">
        <v>15349</v>
      </c>
      <c r="F1735">
        <v>26</v>
      </c>
      <c r="G1735">
        <v>2</v>
      </c>
      <c r="H1735">
        <f>_xlfn.XLOOKUP(FACT_IMPORTS[[#This Row],[hts_6]],DIM_PRODUCTS[hts_6],DIM_PRODUCTS[hts_4],,,)</f>
        <v>8501</v>
      </c>
      <c r="I1735" t="str" cm="1">
        <f t="array" ref="I1735">_xlfn.XLOOKUP(FACT_IMPORTS[[#This Row],[country_name]],DIM_COUNTRY[[#All],[Column2]],DIM_COUNTRY[[#All],[Column3]],,,)</f>
        <v>USMCA</v>
      </c>
    </row>
    <row r="1736" spans="1:9" x14ac:dyDescent="0.4">
      <c r="A1736" t="s">
        <v>61</v>
      </c>
      <c r="B1736" s="1">
        <v>45658</v>
      </c>
      <c r="C1736">
        <v>850440</v>
      </c>
      <c r="D1736" t="s">
        <v>176</v>
      </c>
      <c r="E1736">
        <v>8106962</v>
      </c>
      <c r="F1736">
        <v>10633</v>
      </c>
      <c r="G1736">
        <v>57123</v>
      </c>
      <c r="H1736">
        <f>_xlfn.XLOOKUP(FACT_IMPORTS[[#This Row],[hts_6]],DIM_PRODUCTS[hts_6],DIM_PRODUCTS[hts_4],,,)</f>
        <v>8504</v>
      </c>
      <c r="I1736" t="str" cm="1">
        <f t="array" ref="I1736">_xlfn.XLOOKUP(FACT_IMPORTS[[#This Row],[country_name]],DIM_COUNTRY[[#All],[Column2]],DIM_COUNTRY[[#All],[Column3]],,,)</f>
        <v>USMCA</v>
      </c>
    </row>
    <row r="1737" spans="1:9" x14ac:dyDescent="0.4">
      <c r="A1737" t="s">
        <v>61</v>
      </c>
      <c r="B1737" s="1">
        <v>45658</v>
      </c>
      <c r="C1737">
        <v>850710</v>
      </c>
      <c r="D1737" t="s">
        <v>176</v>
      </c>
      <c r="E1737">
        <v>1300480</v>
      </c>
      <c r="F1737">
        <v>3605</v>
      </c>
      <c r="G1737">
        <v>61884</v>
      </c>
      <c r="H1737">
        <f>_xlfn.XLOOKUP(FACT_IMPORTS[[#This Row],[hts_6]],DIM_PRODUCTS[hts_6],DIM_PRODUCTS[hts_4],,,)</f>
        <v>8507</v>
      </c>
      <c r="I1737" t="str" cm="1">
        <f t="array" ref="I1737">_xlfn.XLOOKUP(FACT_IMPORTS[[#This Row],[country_name]],DIM_COUNTRY[[#All],[Column2]],DIM_COUNTRY[[#All],[Column3]],,,)</f>
        <v>USMCA</v>
      </c>
    </row>
    <row r="1738" spans="1:9" x14ac:dyDescent="0.4">
      <c r="A1738" t="s">
        <v>61</v>
      </c>
      <c r="B1738" s="1">
        <v>45658</v>
      </c>
      <c r="C1738">
        <v>850760</v>
      </c>
      <c r="D1738" t="s">
        <v>176</v>
      </c>
      <c r="E1738">
        <v>62378185</v>
      </c>
      <c r="F1738">
        <v>61846</v>
      </c>
      <c r="G1738">
        <v>44003</v>
      </c>
      <c r="H1738">
        <f>_xlfn.XLOOKUP(FACT_IMPORTS[[#This Row],[hts_6]],DIM_PRODUCTS[hts_6],DIM_PRODUCTS[hts_4],,,)</f>
        <v>8507</v>
      </c>
      <c r="I1738" t="str" cm="1">
        <f t="array" ref="I1738">_xlfn.XLOOKUP(FACT_IMPORTS[[#This Row],[country_name]],DIM_COUNTRY[[#All],[Column2]],DIM_COUNTRY[[#All],[Column3]],,,)</f>
        <v>USMCA</v>
      </c>
    </row>
    <row r="1739" spans="1:9" x14ac:dyDescent="0.4">
      <c r="A1739" t="s">
        <v>61</v>
      </c>
      <c r="B1739" s="1">
        <v>45658</v>
      </c>
      <c r="C1739">
        <v>850790</v>
      </c>
      <c r="D1739" t="s">
        <v>176</v>
      </c>
      <c r="E1739">
        <v>1537222</v>
      </c>
      <c r="F1739">
        <v>122009</v>
      </c>
      <c r="G1739">
        <v>18729</v>
      </c>
      <c r="H1739">
        <f>_xlfn.XLOOKUP(FACT_IMPORTS[[#This Row],[hts_6]],DIM_PRODUCTS[hts_6],DIM_PRODUCTS[hts_4],,,)</f>
        <v>8507</v>
      </c>
      <c r="I1739" t="str" cm="1">
        <f t="array" ref="I1739">_xlfn.XLOOKUP(FACT_IMPORTS[[#This Row],[country_name]],DIM_COUNTRY[[#All],[Column2]],DIM_COUNTRY[[#All],[Column3]],,,)</f>
        <v>USMCA</v>
      </c>
    </row>
    <row r="1740" spans="1:9" x14ac:dyDescent="0.4">
      <c r="A1740" t="s">
        <v>61</v>
      </c>
      <c r="B1740" s="1">
        <v>45658</v>
      </c>
      <c r="C1740">
        <v>851110</v>
      </c>
      <c r="D1740" t="s">
        <v>176</v>
      </c>
      <c r="E1740">
        <v>50916</v>
      </c>
      <c r="F1740">
        <v>121</v>
      </c>
      <c r="G1740">
        <v>35</v>
      </c>
      <c r="H1740">
        <f>_xlfn.XLOOKUP(FACT_IMPORTS[[#This Row],[hts_6]],DIM_PRODUCTS[hts_6],DIM_PRODUCTS[hts_4],,,)</f>
        <v>8511</v>
      </c>
      <c r="I1740" t="str" cm="1">
        <f t="array" ref="I1740">_xlfn.XLOOKUP(FACT_IMPORTS[[#This Row],[country_name]],DIM_COUNTRY[[#All],[Column2]],DIM_COUNTRY[[#All],[Column3]],,,)</f>
        <v>USMCA</v>
      </c>
    </row>
    <row r="1741" spans="1:9" x14ac:dyDescent="0.4">
      <c r="A1741" t="s">
        <v>61</v>
      </c>
      <c r="B1741" s="1">
        <v>45658</v>
      </c>
      <c r="C1741">
        <v>851130</v>
      </c>
      <c r="D1741" t="s">
        <v>176</v>
      </c>
      <c r="E1741">
        <v>2319</v>
      </c>
      <c r="F1741">
        <v>1672</v>
      </c>
      <c r="G1741">
        <v>27</v>
      </c>
      <c r="H1741">
        <f>_xlfn.XLOOKUP(FACT_IMPORTS[[#This Row],[hts_6]],DIM_PRODUCTS[hts_6],DIM_PRODUCTS[hts_4],,,)</f>
        <v>8511</v>
      </c>
      <c r="I1741" t="str" cm="1">
        <f t="array" ref="I1741">_xlfn.XLOOKUP(FACT_IMPORTS[[#This Row],[country_name]],DIM_COUNTRY[[#All],[Column2]],DIM_COUNTRY[[#All],[Column3]],,,)</f>
        <v>USMCA</v>
      </c>
    </row>
    <row r="1742" spans="1:9" x14ac:dyDescent="0.4">
      <c r="A1742" t="s">
        <v>61</v>
      </c>
      <c r="B1742" s="1">
        <v>45658</v>
      </c>
      <c r="C1742">
        <v>851140</v>
      </c>
      <c r="D1742" t="s">
        <v>176</v>
      </c>
      <c r="E1742">
        <v>468396</v>
      </c>
      <c r="F1742">
        <v>6519</v>
      </c>
      <c r="G1742">
        <v>4624</v>
      </c>
      <c r="H1742">
        <f>_xlfn.XLOOKUP(FACT_IMPORTS[[#This Row],[hts_6]],DIM_PRODUCTS[hts_6],DIM_PRODUCTS[hts_4],,,)</f>
        <v>8511</v>
      </c>
      <c r="I1742" t="str" cm="1">
        <f t="array" ref="I1742">_xlfn.XLOOKUP(FACT_IMPORTS[[#This Row],[country_name]],DIM_COUNTRY[[#All],[Column2]],DIM_COUNTRY[[#All],[Column3]],,,)</f>
        <v>USMCA</v>
      </c>
    </row>
    <row r="1743" spans="1:9" x14ac:dyDescent="0.4">
      <c r="A1743" t="s">
        <v>61</v>
      </c>
      <c r="B1743" s="1">
        <v>45658</v>
      </c>
      <c r="C1743">
        <v>851150</v>
      </c>
      <c r="D1743" t="s">
        <v>176</v>
      </c>
      <c r="E1743">
        <v>353888</v>
      </c>
      <c r="F1743">
        <v>5887</v>
      </c>
      <c r="G1743">
        <v>3914</v>
      </c>
      <c r="H1743">
        <f>_xlfn.XLOOKUP(FACT_IMPORTS[[#This Row],[hts_6]],DIM_PRODUCTS[hts_6],DIM_PRODUCTS[hts_4],,,)</f>
        <v>8511</v>
      </c>
      <c r="I1743" t="str" cm="1">
        <f t="array" ref="I1743">_xlfn.XLOOKUP(FACT_IMPORTS[[#This Row],[country_name]],DIM_COUNTRY[[#All],[Column2]],DIM_COUNTRY[[#All],[Column3]],,,)</f>
        <v>USMCA</v>
      </c>
    </row>
    <row r="1744" spans="1:9" x14ac:dyDescent="0.4">
      <c r="A1744" t="s">
        <v>61</v>
      </c>
      <c r="B1744" s="1">
        <v>45658</v>
      </c>
      <c r="C1744">
        <v>851180</v>
      </c>
      <c r="D1744" t="s">
        <v>176</v>
      </c>
      <c r="E1744">
        <v>0</v>
      </c>
      <c r="F1744">
        <v>0</v>
      </c>
      <c r="G1744">
        <v>0</v>
      </c>
      <c r="H1744">
        <f>_xlfn.XLOOKUP(FACT_IMPORTS[[#This Row],[hts_6]],DIM_PRODUCTS[hts_6],DIM_PRODUCTS[hts_4],,,)</f>
        <v>8511</v>
      </c>
      <c r="I1744" t="str" cm="1">
        <f t="array" ref="I1744">_xlfn.XLOOKUP(FACT_IMPORTS[[#This Row],[country_name]],DIM_COUNTRY[[#All],[Column2]],DIM_COUNTRY[[#All],[Column3]],,,)</f>
        <v>USMCA</v>
      </c>
    </row>
    <row r="1745" spans="1:9" x14ac:dyDescent="0.4">
      <c r="A1745" t="s">
        <v>61</v>
      </c>
      <c r="B1745" s="1">
        <v>45658</v>
      </c>
      <c r="C1745">
        <v>851190</v>
      </c>
      <c r="D1745" t="s">
        <v>176</v>
      </c>
      <c r="E1745">
        <v>676501</v>
      </c>
      <c r="F1745">
        <v>6564</v>
      </c>
      <c r="G1745">
        <v>2382</v>
      </c>
      <c r="H1745">
        <f>_xlfn.XLOOKUP(FACT_IMPORTS[[#This Row],[hts_6]],DIM_PRODUCTS[hts_6],DIM_PRODUCTS[hts_4],,,)</f>
        <v>8511</v>
      </c>
      <c r="I1745" t="str" cm="1">
        <f t="array" ref="I1745">_xlfn.XLOOKUP(FACT_IMPORTS[[#This Row],[country_name]],DIM_COUNTRY[[#All],[Column2]],DIM_COUNTRY[[#All],[Column3]],,,)</f>
        <v>USMCA</v>
      </c>
    </row>
    <row r="1746" spans="1:9" x14ac:dyDescent="0.4">
      <c r="A1746" t="s">
        <v>61</v>
      </c>
      <c r="B1746" s="1">
        <v>45658</v>
      </c>
      <c r="C1746">
        <v>851220</v>
      </c>
      <c r="D1746" t="s">
        <v>176</v>
      </c>
      <c r="E1746">
        <v>14299777</v>
      </c>
      <c r="F1746">
        <v>245801</v>
      </c>
      <c r="G1746">
        <v>59886</v>
      </c>
      <c r="H1746">
        <f>_xlfn.XLOOKUP(FACT_IMPORTS[[#This Row],[hts_6]],DIM_PRODUCTS[hts_6],DIM_PRODUCTS[hts_4],,,)</f>
        <v>8512</v>
      </c>
      <c r="I1746" t="str" cm="1">
        <f t="array" ref="I1746">_xlfn.XLOOKUP(FACT_IMPORTS[[#This Row],[country_name]],DIM_COUNTRY[[#All],[Column2]],DIM_COUNTRY[[#All],[Column3]],,,)</f>
        <v>USMCA</v>
      </c>
    </row>
    <row r="1747" spans="1:9" x14ac:dyDescent="0.4">
      <c r="A1747" t="s">
        <v>61</v>
      </c>
      <c r="B1747" s="1">
        <v>45658</v>
      </c>
      <c r="C1747">
        <v>851230</v>
      </c>
      <c r="D1747" t="s">
        <v>176</v>
      </c>
      <c r="E1747">
        <v>52764</v>
      </c>
      <c r="F1747">
        <v>122</v>
      </c>
      <c r="G1747">
        <v>299</v>
      </c>
      <c r="H1747">
        <f>_xlfn.XLOOKUP(FACT_IMPORTS[[#This Row],[hts_6]],DIM_PRODUCTS[hts_6],DIM_PRODUCTS[hts_4],,,)</f>
        <v>8512</v>
      </c>
      <c r="I1747" t="str" cm="1">
        <f t="array" ref="I1747">_xlfn.XLOOKUP(FACT_IMPORTS[[#This Row],[country_name]],DIM_COUNTRY[[#All],[Column2]],DIM_COUNTRY[[#All],[Column3]],,,)</f>
        <v>USMCA</v>
      </c>
    </row>
    <row r="1748" spans="1:9" x14ac:dyDescent="0.4">
      <c r="A1748" t="s">
        <v>61</v>
      </c>
      <c r="B1748" s="1">
        <v>45658</v>
      </c>
      <c r="C1748">
        <v>851240</v>
      </c>
      <c r="D1748" t="s">
        <v>176</v>
      </c>
      <c r="E1748">
        <v>0</v>
      </c>
      <c r="F1748">
        <v>0</v>
      </c>
      <c r="G1748">
        <v>0</v>
      </c>
      <c r="H1748">
        <f>_xlfn.XLOOKUP(FACT_IMPORTS[[#This Row],[hts_6]],DIM_PRODUCTS[hts_6],DIM_PRODUCTS[hts_4],,,)</f>
        <v>8512</v>
      </c>
      <c r="I1748" t="str" cm="1">
        <f t="array" ref="I1748">_xlfn.XLOOKUP(FACT_IMPORTS[[#This Row],[country_name]],DIM_COUNTRY[[#All],[Column2]],DIM_COUNTRY[[#All],[Column3]],,,)</f>
        <v>USMCA</v>
      </c>
    </row>
    <row r="1749" spans="1:9" x14ac:dyDescent="0.4">
      <c r="A1749" t="s">
        <v>61</v>
      </c>
      <c r="B1749" s="1">
        <v>45658</v>
      </c>
      <c r="C1749">
        <v>851290</v>
      </c>
      <c r="D1749" t="s">
        <v>176</v>
      </c>
      <c r="E1749">
        <v>1949827</v>
      </c>
      <c r="F1749">
        <v>37852</v>
      </c>
      <c r="G1749">
        <v>5603</v>
      </c>
      <c r="H1749">
        <f>_xlfn.XLOOKUP(FACT_IMPORTS[[#This Row],[hts_6]],DIM_PRODUCTS[hts_6],DIM_PRODUCTS[hts_4],,,)</f>
        <v>8512</v>
      </c>
      <c r="I1749" t="str" cm="1">
        <f t="array" ref="I1749">_xlfn.XLOOKUP(FACT_IMPORTS[[#This Row],[country_name]],DIM_COUNTRY[[#All],[Column2]],DIM_COUNTRY[[#All],[Column3]],,,)</f>
        <v>USMCA</v>
      </c>
    </row>
    <row r="1750" spans="1:9" x14ac:dyDescent="0.4">
      <c r="A1750" t="s">
        <v>61</v>
      </c>
      <c r="B1750" s="1">
        <v>45658</v>
      </c>
      <c r="C1750">
        <v>854231</v>
      </c>
      <c r="D1750" t="s">
        <v>176</v>
      </c>
      <c r="E1750">
        <v>36426</v>
      </c>
      <c r="F1750">
        <v>937</v>
      </c>
      <c r="G1750">
        <v>840</v>
      </c>
      <c r="H1750">
        <f>_xlfn.XLOOKUP(FACT_IMPORTS[[#This Row],[hts_6]],DIM_PRODUCTS[hts_6],DIM_PRODUCTS[hts_4],,,)</f>
        <v>8542</v>
      </c>
      <c r="I1750" t="str" cm="1">
        <f t="array" ref="I1750">_xlfn.XLOOKUP(FACT_IMPORTS[[#This Row],[country_name]],DIM_COUNTRY[[#All],[Column2]],DIM_COUNTRY[[#All],[Column3]],,,)</f>
        <v>USMCA</v>
      </c>
    </row>
    <row r="1751" spans="1:9" x14ac:dyDescent="0.4">
      <c r="A1751" t="s">
        <v>61</v>
      </c>
      <c r="B1751" s="1">
        <v>45658</v>
      </c>
      <c r="C1751">
        <v>854232</v>
      </c>
      <c r="D1751" t="s">
        <v>176</v>
      </c>
      <c r="E1751">
        <v>2184</v>
      </c>
      <c r="F1751">
        <v>3000</v>
      </c>
      <c r="G1751">
        <v>57</v>
      </c>
      <c r="H1751">
        <f>_xlfn.XLOOKUP(FACT_IMPORTS[[#This Row],[hts_6]],DIM_PRODUCTS[hts_6],DIM_PRODUCTS[hts_4],,,)</f>
        <v>8542</v>
      </c>
      <c r="I1751" t="str" cm="1">
        <f t="array" ref="I1751">_xlfn.XLOOKUP(FACT_IMPORTS[[#This Row],[country_name]],DIM_COUNTRY[[#All],[Column2]],DIM_COUNTRY[[#All],[Column3]],,,)</f>
        <v>USMCA</v>
      </c>
    </row>
    <row r="1752" spans="1:9" x14ac:dyDescent="0.4">
      <c r="A1752" t="s">
        <v>61</v>
      </c>
      <c r="B1752" s="1">
        <v>45658</v>
      </c>
      <c r="C1752">
        <v>854233</v>
      </c>
      <c r="D1752" t="s">
        <v>176</v>
      </c>
      <c r="E1752">
        <v>0</v>
      </c>
      <c r="F1752">
        <v>0</v>
      </c>
      <c r="G1752">
        <v>0</v>
      </c>
      <c r="H1752">
        <f>_xlfn.XLOOKUP(FACT_IMPORTS[[#This Row],[hts_6]],DIM_PRODUCTS[hts_6],DIM_PRODUCTS[hts_4],,,)</f>
        <v>8542</v>
      </c>
      <c r="I1752" t="str" cm="1">
        <f t="array" ref="I1752">_xlfn.XLOOKUP(FACT_IMPORTS[[#This Row],[country_name]],DIM_COUNTRY[[#All],[Column2]],DIM_COUNTRY[[#All],[Column3]],,,)</f>
        <v>USMCA</v>
      </c>
    </row>
    <row r="1753" spans="1:9" x14ac:dyDescent="0.4">
      <c r="A1753" t="s">
        <v>61</v>
      </c>
      <c r="B1753" s="1">
        <v>45658</v>
      </c>
      <c r="C1753">
        <v>854239</v>
      </c>
      <c r="D1753" t="s">
        <v>176</v>
      </c>
      <c r="E1753">
        <v>38051</v>
      </c>
      <c r="F1753">
        <v>147</v>
      </c>
      <c r="G1753">
        <v>244</v>
      </c>
      <c r="H1753">
        <f>_xlfn.XLOOKUP(FACT_IMPORTS[[#This Row],[hts_6]],DIM_PRODUCTS[hts_6],DIM_PRODUCTS[hts_4],,,)</f>
        <v>8542</v>
      </c>
      <c r="I1753" t="str" cm="1">
        <f t="array" ref="I1753">_xlfn.XLOOKUP(FACT_IMPORTS[[#This Row],[country_name]],DIM_COUNTRY[[#All],[Column2]],DIM_COUNTRY[[#All],[Column3]],,,)</f>
        <v>USMCA</v>
      </c>
    </row>
    <row r="1754" spans="1:9" x14ac:dyDescent="0.4">
      <c r="A1754" t="s">
        <v>61</v>
      </c>
      <c r="B1754" s="1">
        <v>45658</v>
      </c>
      <c r="C1754">
        <v>854290</v>
      </c>
      <c r="D1754" t="s">
        <v>176</v>
      </c>
      <c r="E1754">
        <v>10300</v>
      </c>
      <c r="F1754">
        <v>200</v>
      </c>
      <c r="G1754">
        <v>400</v>
      </c>
      <c r="H1754">
        <f>_xlfn.XLOOKUP(FACT_IMPORTS[[#This Row],[hts_6]],DIM_PRODUCTS[hts_6],DIM_PRODUCTS[hts_4],,,)</f>
        <v>8542</v>
      </c>
      <c r="I1754" t="str" cm="1">
        <f t="array" ref="I1754">_xlfn.XLOOKUP(FACT_IMPORTS[[#This Row],[country_name]],DIM_COUNTRY[[#All],[Column2]],DIM_COUNTRY[[#All],[Column3]],,,)</f>
        <v>USMCA</v>
      </c>
    </row>
    <row r="1755" spans="1:9" x14ac:dyDescent="0.4">
      <c r="A1755" t="s">
        <v>61</v>
      </c>
      <c r="B1755" s="1">
        <v>45658</v>
      </c>
      <c r="C1755">
        <v>854430</v>
      </c>
      <c r="D1755" t="s">
        <v>176</v>
      </c>
      <c r="E1755">
        <v>1598072</v>
      </c>
      <c r="F1755">
        <v>24500</v>
      </c>
      <c r="G1755">
        <v>9578</v>
      </c>
      <c r="H1755">
        <f>_xlfn.XLOOKUP(FACT_IMPORTS[[#This Row],[hts_6]],DIM_PRODUCTS[hts_6],DIM_PRODUCTS[hts_4],,,)</f>
        <v>8544</v>
      </c>
      <c r="I1755" t="str" cm="1">
        <f t="array" ref="I1755">_xlfn.XLOOKUP(FACT_IMPORTS[[#This Row],[country_name]],DIM_COUNTRY[[#All],[Column2]],DIM_COUNTRY[[#All],[Column3]],,,)</f>
        <v>USMCA</v>
      </c>
    </row>
    <row r="1756" spans="1:9" x14ac:dyDescent="0.4">
      <c r="A1756" t="s">
        <v>61</v>
      </c>
      <c r="B1756" s="1">
        <v>45658</v>
      </c>
      <c r="C1756">
        <v>870600</v>
      </c>
      <c r="D1756" t="s">
        <v>176</v>
      </c>
      <c r="E1756">
        <v>0</v>
      </c>
      <c r="F1756">
        <v>0</v>
      </c>
      <c r="G1756">
        <v>0</v>
      </c>
      <c r="H1756">
        <f>_xlfn.XLOOKUP(FACT_IMPORTS[[#This Row],[hts_6]],DIM_PRODUCTS[hts_6],DIM_PRODUCTS[hts_4],,,)</f>
        <v>8706</v>
      </c>
      <c r="I1756" t="str" cm="1">
        <f t="array" ref="I1756">_xlfn.XLOOKUP(FACT_IMPORTS[[#This Row],[country_name]],DIM_COUNTRY[[#All],[Column2]],DIM_COUNTRY[[#All],[Column3]],,,)</f>
        <v>USMCA</v>
      </c>
    </row>
    <row r="1757" spans="1:9" x14ac:dyDescent="0.4">
      <c r="A1757" t="s">
        <v>61</v>
      </c>
      <c r="B1757" s="1">
        <v>45658</v>
      </c>
      <c r="C1757">
        <v>870710</v>
      </c>
      <c r="D1757" t="s">
        <v>176</v>
      </c>
      <c r="E1757">
        <v>28861</v>
      </c>
      <c r="F1757">
        <v>9</v>
      </c>
      <c r="G1757">
        <v>1140</v>
      </c>
      <c r="H1757">
        <f>_xlfn.XLOOKUP(FACT_IMPORTS[[#This Row],[hts_6]],DIM_PRODUCTS[hts_6],DIM_PRODUCTS[hts_4],,,)</f>
        <v>8707</v>
      </c>
      <c r="I1757" t="str" cm="1">
        <f t="array" ref="I1757">_xlfn.XLOOKUP(FACT_IMPORTS[[#This Row],[country_name]],DIM_COUNTRY[[#All],[Column2]],DIM_COUNTRY[[#All],[Column3]],,,)</f>
        <v>USMCA</v>
      </c>
    </row>
    <row r="1758" spans="1:9" x14ac:dyDescent="0.4">
      <c r="A1758" t="s">
        <v>61</v>
      </c>
      <c r="B1758" s="1">
        <v>45658</v>
      </c>
      <c r="C1758">
        <v>870790</v>
      </c>
      <c r="D1758" t="s">
        <v>176</v>
      </c>
      <c r="E1758">
        <v>5193495</v>
      </c>
      <c r="F1758">
        <v>310</v>
      </c>
      <c r="G1758">
        <v>27670</v>
      </c>
      <c r="H1758">
        <f>_xlfn.XLOOKUP(FACT_IMPORTS[[#This Row],[hts_6]],DIM_PRODUCTS[hts_6],DIM_PRODUCTS[hts_4],,,)</f>
        <v>8707</v>
      </c>
      <c r="I1758" t="str" cm="1">
        <f t="array" ref="I1758">_xlfn.XLOOKUP(FACT_IMPORTS[[#This Row],[country_name]],DIM_COUNTRY[[#All],[Column2]],DIM_COUNTRY[[#All],[Column3]],,,)</f>
        <v>USMCA</v>
      </c>
    </row>
    <row r="1759" spans="1:9" x14ac:dyDescent="0.4">
      <c r="A1759" t="s">
        <v>61</v>
      </c>
      <c r="B1759" s="1">
        <v>45658</v>
      </c>
      <c r="C1759">
        <v>870810</v>
      </c>
      <c r="D1759" t="s">
        <v>176</v>
      </c>
      <c r="E1759">
        <v>21180782</v>
      </c>
      <c r="F1759">
        <v>934896</v>
      </c>
      <c r="G1759">
        <v>350568</v>
      </c>
      <c r="H1759">
        <f>_xlfn.XLOOKUP(FACT_IMPORTS[[#This Row],[hts_6]],DIM_PRODUCTS[hts_6],DIM_PRODUCTS[hts_4],,,)</f>
        <v>8708</v>
      </c>
      <c r="I1759" t="str" cm="1">
        <f t="array" ref="I1759">_xlfn.XLOOKUP(FACT_IMPORTS[[#This Row],[country_name]],DIM_COUNTRY[[#All],[Column2]],DIM_COUNTRY[[#All],[Column3]],,,)</f>
        <v>USMCA</v>
      </c>
    </row>
    <row r="1760" spans="1:9" x14ac:dyDescent="0.4">
      <c r="A1760" t="s">
        <v>61</v>
      </c>
      <c r="B1760" s="1">
        <v>45658</v>
      </c>
      <c r="C1760">
        <v>870821</v>
      </c>
      <c r="D1760" t="s">
        <v>176</v>
      </c>
      <c r="E1760">
        <v>333136</v>
      </c>
      <c r="F1760">
        <v>15445</v>
      </c>
      <c r="G1760">
        <v>1678</v>
      </c>
      <c r="H1760">
        <f>_xlfn.XLOOKUP(FACT_IMPORTS[[#This Row],[hts_6]],DIM_PRODUCTS[hts_6],DIM_PRODUCTS[hts_4],,,)</f>
        <v>8708</v>
      </c>
      <c r="I1760" t="str" cm="1">
        <f t="array" ref="I1760">_xlfn.XLOOKUP(FACT_IMPORTS[[#This Row],[country_name]],DIM_COUNTRY[[#All],[Column2]],DIM_COUNTRY[[#All],[Column3]],,,)</f>
        <v>USMCA</v>
      </c>
    </row>
    <row r="1761" spans="1:9" x14ac:dyDescent="0.4">
      <c r="A1761" t="s">
        <v>61</v>
      </c>
      <c r="B1761" s="1">
        <v>45658</v>
      </c>
      <c r="C1761">
        <v>870822</v>
      </c>
      <c r="D1761" t="s">
        <v>176</v>
      </c>
      <c r="E1761">
        <v>4745056</v>
      </c>
      <c r="F1761">
        <v>77492</v>
      </c>
      <c r="G1761">
        <v>93166</v>
      </c>
      <c r="H1761">
        <f>_xlfn.XLOOKUP(FACT_IMPORTS[[#This Row],[hts_6]],DIM_PRODUCTS[hts_6],DIM_PRODUCTS[hts_4],,,)</f>
        <v>8708</v>
      </c>
      <c r="I1761" t="str" cm="1">
        <f t="array" ref="I1761">_xlfn.XLOOKUP(FACT_IMPORTS[[#This Row],[country_name]],DIM_COUNTRY[[#All],[Column2]],DIM_COUNTRY[[#All],[Column3]],,,)</f>
        <v>USMCA</v>
      </c>
    </row>
    <row r="1762" spans="1:9" x14ac:dyDescent="0.4">
      <c r="A1762" t="s">
        <v>61</v>
      </c>
      <c r="B1762" s="1">
        <v>45658</v>
      </c>
      <c r="C1762">
        <v>870829</v>
      </c>
      <c r="D1762" t="s">
        <v>176</v>
      </c>
      <c r="E1762">
        <v>318469998</v>
      </c>
      <c r="F1762">
        <v>48241594</v>
      </c>
      <c r="G1762">
        <v>6288204</v>
      </c>
      <c r="H1762">
        <f>_xlfn.XLOOKUP(FACT_IMPORTS[[#This Row],[hts_6]],DIM_PRODUCTS[hts_6],DIM_PRODUCTS[hts_4],,,)</f>
        <v>8708</v>
      </c>
      <c r="I1762" t="str" cm="1">
        <f t="array" ref="I1762">_xlfn.XLOOKUP(FACT_IMPORTS[[#This Row],[country_name]],DIM_COUNTRY[[#All],[Column2]],DIM_COUNTRY[[#All],[Column3]],,,)</f>
        <v>USMCA</v>
      </c>
    </row>
    <row r="1763" spans="1:9" x14ac:dyDescent="0.4">
      <c r="A1763" t="s">
        <v>61</v>
      </c>
      <c r="B1763" s="1">
        <v>45658</v>
      </c>
      <c r="C1763">
        <v>870830</v>
      </c>
      <c r="D1763" t="s">
        <v>176</v>
      </c>
      <c r="E1763">
        <v>9883059</v>
      </c>
      <c r="F1763">
        <v>2145514</v>
      </c>
      <c r="G1763">
        <v>173497</v>
      </c>
      <c r="H1763">
        <f>_xlfn.XLOOKUP(FACT_IMPORTS[[#This Row],[hts_6]],DIM_PRODUCTS[hts_6],DIM_PRODUCTS[hts_4],,,)</f>
        <v>8708</v>
      </c>
      <c r="I1763" t="str" cm="1">
        <f t="array" ref="I1763">_xlfn.XLOOKUP(FACT_IMPORTS[[#This Row],[country_name]],DIM_COUNTRY[[#All],[Column2]],DIM_COUNTRY[[#All],[Column3]],,,)</f>
        <v>USMCA</v>
      </c>
    </row>
    <row r="1764" spans="1:9" x14ac:dyDescent="0.4">
      <c r="A1764" t="s">
        <v>61</v>
      </c>
      <c r="B1764" s="1">
        <v>45658</v>
      </c>
      <c r="C1764">
        <v>870840</v>
      </c>
      <c r="D1764" t="s">
        <v>176</v>
      </c>
      <c r="E1764">
        <v>79908788</v>
      </c>
      <c r="F1764">
        <v>3938642</v>
      </c>
      <c r="G1764">
        <v>263274</v>
      </c>
      <c r="H1764">
        <f>_xlfn.XLOOKUP(FACT_IMPORTS[[#This Row],[hts_6]],DIM_PRODUCTS[hts_6],DIM_PRODUCTS[hts_4],,,)</f>
        <v>8708</v>
      </c>
      <c r="I1764" t="str" cm="1">
        <f t="array" ref="I1764">_xlfn.XLOOKUP(FACT_IMPORTS[[#This Row],[country_name]],DIM_COUNTRY[[#All],[Column2]],DIM_COUNTRY[[#All],[Column3]],,,)</f>
        <v>USMCA</v>
      </c>
    </row>
    <row r="1765" spans="1:9" x14ac:dyDescent="0.4">
      <c r="A1765" t="s">
        <v>61</v>
      </c>
      <c r="B1765" s="1">
        <v>45658</v>
      </c>
      <c r="C1765">
        <v>870850</v>
      </c>
      <c r="D1765" t="s">
        <v>176</v>
      </c>
      <c r="E1765">
        <v>26733318</v>
      </c>
      <c r="F1765">
        <v>2182585</v>
      </c>
      <c r="G1765">
        <v>87944</v>
      </c>
      <c r="H1765">
        <f>_xlfn.XLOOKUP(FACT_IMPORTS[[#This Row],[hts_6]],DIM_PRODUCTS[hts_6],DIM_PRODUCTS[hts_4],,,)</f>
        <v>8708</v>
      </c>
      <c r="I1765" t="str" cm="1">
        <f t="array" ref="I1765">_xlfn.XLOOKUP(FACT_IMPORTS[[#This Row],[country_name]],DIM_COUNTRY[[#All],[Column2]],DIM_COUNTRY[[#All],[Column3]],,,)</f>
        <v>USMCA</v>
      </c>
    </row>
    <row r="1766" spans="1:9" x14ac:dyDescent="0.4">
      <c r="A1766" t="s">
        <v>61</v>
      </c>
      <c r="B1766" s="1">
        <v>45658</v>
      </c>
      <c r="C1766">
        <v>870870</v>
      </c>
      <c r="D1766" t="s">
        <v>176</v>
      </c>
      <c r="E1766">
        <v>8770576</v>
      </c>
      <c r="F1766">
        <v>5984778</v>
      </c>
      <c r="G1766">
        <v>80318</v>
      </c>
      <c r="H1766">
        <f>_xlfn.XLOOKUP(FACT_IMPORTS[[#This Row],[hts_6]],DIM_PRODUCTS[hts_6],DIM_PRODUCTS[hts_4],,,)</f>
        <v>8708</v>
      </c>
      <c r="I1766" t="str" cm="1">
        <f t="array" ref="I1766">_xlfn.XLOOKUP(FACT_IMPORTS[[#This Row],[country_name]],DIM_COUNTRY[[#All],[Column2]],DIM_COUNTRY[[#All],[Column3]],,,)</f>
        <v>USMCA</v>
      </c>
    </row>
    <row r="1767" spans="1:9" x14ac:dyDescent="0.4">
      <c r="A1767" t="s">
        <v>61</v>
      </c>
      <c r="B1767" s="1">
        <v>45658</v>
      </c>
      <c r="C1767">
        <v>870880</v>
      </c>
      <c r="D1767" t="s">
        <v>176</v>
      </c>
      <c r="E1767">
        <v>51368714</v>
      </c>
      <c r="F1767">
        <v>2518699</v>
      </c>
      <c r="G1767">
        <v>775907</v>
      </c>
      <c r="H1767">
        <f>_xlfn.XLOOKUP(FACT_IMPORTS[[#This Row],[hts_6]],DIM_PRODUCTS[hts_6],DIM_PRODUCTS[hts_4],,,)</f>
        <v>8708</v>
      </c>
      <c r="I1767" t="str" cm="1">
        <f t="array" ref="I1767">_xlfn.XLOOKUP(FACT_IMPORTS[[#This Row],[country_name]],DIM_COUNTRY[[#All],[Column2]],DIM_COUNTRY[[#All],[Column3]],,,)</f>
        <v>USMCA</v>
      </c>
    </row>
    <row r="1768" spans="1:9" x14ac:dyDescent="0.4">
      <c r="A1768" t="s">
        <v>61</v>
      </c>
      <c r="B1768" s="1">
        <v>45658</v>
      </c>
      <c r="C1768">
        <v>870891</v>
      </c>
      <c r="D1768" t="s">
        <v>176</v>
      </c>
      <c r="E1768">
        <v>14392282</v>
      </c>
      <c r="F1768">
        <v>427817</v>
      </c>
      <c r="G1768">
        <v>242138</v>
      </c>
      <c r="H1768">
        <f>_xlfn.XLOOKUP(FACT_IMPORTS[[#This Row],[hts_6]],DIM_PRODUCTS[hts_6],DIM_PRODUCTS[hts_4],,,)</f>
        <v>8708</v>
      </c>
      <c r="I1768" t="str" cm="1">
        <f t="array" ref="I1768">_xlfn.XLOOKUP(FACT_IMPORTS[[#This Row],[country_name]],DIM_COUNTRY[[#All],[Column2]],DIM_COUNTRY[[#All],[Column3]],,,)</f>
        <v>USMCA</v>
      </c>
    </row>
    <row r="1769" spans="1:9" x14ac:dyDescent="0.4">
      <c r="A1769" t="s">
        <v>61</v>
      </c>
      <c r="B1769" s="1">
        <v>45658</v>
      </c>
      <c r="C1769">
        <v>870892</v>
      </c>
      <c r="D1769" t="s">
        <v>176</v>
      </c>
      <c r="E1769">
        <v>14276215</v>
      </c>
      <c r="F1769">
        <v>1064421</v>
      </c>
      <c r="G1769">
        <v>282293</v>
      </c>
      <c r="H1769">
        <f>_xlfn.XLOOKUP(FACT_IMPORTS[[#This Row],[hts_6]],DIM_PRODUCTS[hts_6],DIM_PRODUCTS[hts_4],,,)</f>
        <v>8708</v>
      </c>
      <c r="I1769" t="str" cm="1">
        <f t="array" ref="I1769">_xlfn.XLOOKUP(FACT_IMPORTS[[#This Row],[country_name]],DIM_COUNTRY[[#All],[Column2]],DIM_COUNTRY[[#All],[Column3]],,,)</f>
        <v>USMCA</v>
      </c>
    </row>
    <row r="1770" spans="1:9" x14ac:dyDescent="0.4">
      <c r="A1770" t="s">
        <v>61</v>
      </c>
      <c r="B1770" s="1">
        <v>45658</v>
      </c>
      <c r="C1770">
        <v>870893</v>
      </c>
      <c r="D1770" t="s">
        <v>176</v>
      </c>
      <c r="E1770">
        <v>47094956</v>
      </c>
      <c r="F1770">
        <v>1130076</v>
      </c>
      <c r="G1770">
        <v>56159</v>
      </c>
      <c r="H1770">
        <f>_xlfn.XLOOKUP(FACT_IMPORTS[[#This Row],[hts_6]],DIM_PRODUCTS[hts_6],DIM_PRODUCTS[hts_4],,,)</f>
        <v>8708</v>
      </c>
      <c r="I1770" t="str" cm="1">
        <f t="array" ref="I1770">_xlfn.XLOOKUP(FACT_IMPORTS[[#This Row],[country_name]],DIM_COUNTRY[[#All],[Column2]],DIM_COUNTRY[[#All],[Column3]],,,)</f>
        <v>USMCA</v>
      </c>
    </row>
    <row r="1771" spans="1:9" x14ac:dyDescent="0.4">
      <c r="A1771" t="s">
        <v>61</v>
      </c>
      <c r="B1771" s="1">
        <v>45658</v>
      </c>
      <c r="C1771">
        <v>870894</v>
      </c>
      <c r="D1771" t="s">
        <v>176</v>
      </c>
      <c r="E1771">
        <v>8572012</v>
      </c>
      <c r="F1771">
        <v>2482597</v>
      </c>
      <c r="G1771">
        <v>88507</v>
      </c>
      <c r="H1771">
        <f>_xlfn.XLOOKUP(FACT_IMPORTS[[#This Row],[hts_6]],DIM_PRODUCTS[hts_6],DIM_PRODUCTS[hts_4],,,)</f>
        <v>8708</v>
      </c>
      <c r="I1771" t="str" cm="1">
        <f t="array" ref="I1771">_xlfn.XLOOKUP(FACT_IMPORTS[[#This Row],[country_name]],DIM_COUNTRY[[#All],[Column2]],DIM_COUNTRY[[#All],[Column3]],,,)</f>
        <v>USMCA</v>
      </c>
    </row>
    <row r="1772" spans="1:9" x14ac:dyDescent="0.4">
      <c r="A1772" t="s">
        <v>61</v>
      </c>
      <c r="B1772" s="1">
        <v>45658</v>
      </c>
      <c r="C1772">
        <v>870895</v>
      </c>
      <c r="D1772" t="s">
        <v>176</v>
      </c>
      <c r="E1772">
        <v>635949</v>
      </c>
      <c r="F1772">
        <v>687541</v>
      </c>
      <c r="G1772">
        <v>7200</v>
      </c>
      <c r="H1772">
        <f>_xlfn.XLOOKUP(FACT_IMPORTS[[#This Row],[hts_6]],DIM_PRODUCTS[hts_6],DIM_PRODUCTS[hts_4],,,)</f>
        <v>8708</v>
      </c>
      <c r="I1772" t="str" cm="1">
        <f t="array" ref="I1772">_xlfn.XLOOKUP(FACT_IMPORTS[[#This Row],[country_name]],DIM_COUNTRY[[#All],[Column2]],DIM_COUNTRY[[#All],[Column3]],,,)</f>
        <v>USMCA</v>
      </c>
    </row>
    <row r="1773" spans="1:9" x14ac:dyDescent="0.4">
      <c r="A1773" t="s">
        <v>61</v>
      </c>
      <c r="B1773" s="1">
        <v>45658</v>
      </c>
      <c r="C1773">
        <v>870899</v>
      </c>
      <c r="D1773" t="s">
        <v>176</v>
      </c>
      <c r="E1773">
        <v>130666330</v>
      </c>
      <c r="F1773">
        <v>12860951</v>
      </c>
      <c r="G1773">
        <v>1733841</v>
      </c>
      <c r="H1773">
        <f>_xlfn.XLOOKUP(FACT_IMPORTS[[#This Row],[hts_6]],DIM_PRODUCTS[hts_6],DIM_PRODUCTS[hts_4],,,)</f>
        <v>8708</v>
      </c>
      <c r="I1773" t="str" cm="1">
        <f t="array" ref="I1773">_xlfn.XLOOKUP(FACT_IMPORTS[[#This Row],[country_name]],DIM_COUNTRY[[#All],[Column2]],DIM_COUNTRY[[#All],[Column3]],,,)</f>
        <v>USMCA</v>
      </c>
    </row>
    <row r="1774" spans="1:9" x14ac:dyDescent="0.4">
      <c r="A1774" t="s">
        <v>61</v>
      </c>
      <c r="B1774" s="1">
        <v>45658</v>
      </c>
      <c r="C1774">
        <v>940120</v>
      </c>
      <c r="D1774" t="s">
        <v>176</v>
      </c>
      <c r="E1774">
        <v>719295</v>
      </c>
      <c r="F1774">
        <v>2492</v>
      </c>
      <c r="G1774">
        <v>8165</v>
      </c>
      <c r="H1774">
        <f>_xlfn.XLOOKUP(FACT_IMPORTS[[#This Row],[hts_6]],DIM_PRODUCTS[hts_6],DIM_PRODUCTS[hts_4],,,)</f>
        <v>9401</v>
      </c>
      <c r="I1774" t="str" cm="1">
        <f t="array" ref="I1774">_xlfn.XLOOKUP(FACT_IMPORTS[[#This Row],[country_name]],DIM_COUNTRY[[#All],[Column2]],DIM_COUNTRY[[#All],[Column3]],,,)</f>
        <v>USMCA</v>
      </c>
    </row>
    <row r="1775" spans="1:9" x14ac:dyDescent="0.4">
      <c r="A1775" t="s">
        <v>61</v>
      </c>
      <c r="B1775" s="1">
        <v>45689</v>
      </c>
      <c r="C1775">
        <v>392630</v>
      </c>
      <c r="D1775" t="s">
        <v>176</v>
      </c>
      <c r="E1775">
        <v>3677515</v>
      </c>
      <c r="F1775">
        <v>471473</v>
      </c>
      <c r="G1775">
        <v>208564</v>
      </c>
      <c r="H1775">
        <f>_xlfn.XLOOKUP(FACT_IMPORTS[[#This Row],[hts_6]],DIM_PRODUCTS[hts_6],DIM_PRODUCTS[hts_4],,,)</f>
        <v>3926</v>
      </c>
      <c r="I1775" t="str" cm="1">
        <f t="array" ref="I1775">_xlfn.XLOOKUP(FACT_IMPORTS[[#This Row],[country_name]],DIM_COUNTRY[[#All],[Column2]],DIM_COUNTRY[[#All],[Column3]],,,)</f>
        <v>USMCA</v>
      </c>
    </row>
    <row r="1776" spans="1:9" x14ac:dyDescent="0.4">
      <c r="A1776" t="s">
        <v>61</v>
      </c>
      <c r="B1776" s="1">
        <v>45689</v>
      </c>
      <c r="C1776">
        <v>401110</v>
      </c>
      <c r="D1776" t="s">
        <v>176</v>
      </c>
      <c r="E1776">
        <v>49101888</v>
      </c>
      <c r="F1776">
        <v>632608</v>
      </c>
      <c r="G1776">
        <v>285528</v>
      </c>
      <c r="H1776">
        <f>_xlfn.XLOOKUP(FACT_IMPORTS[[#This Row],[hts_6]],DIM_PRODUCTS[hts_6],DIM_PRODUCTS[hts_4],,,)</f>
        <v>4011</v>
      </c>
      <c r="I1776" t="str" cm="1">
        <f t="array" ref="I1776">_xlfn.XLOOKUP(FACT_IMPORTS[[#This Row],[country_name]],DIM_COUNTRY[[#All],[Column2]],DIM_COUNTRY[[#All],[Column3]],,,)</f>
        <v>USMCA</v>
      </c>
    </row>
    <row r="1777" spans="1:9" x14ac:dyDescent="0.4">
      <c r="A1777" t="s">
        <v>61</v>
      </c>
      <c r="B1777" s="1">
        <v>45689</v>
      </c>
      <c r="C1777">
        <v>401120</v>
      </c>
      <c r="D1777" t="s">
        <v>176</v>
      </c>
      <c r="E1777">
        <v>49350441</v>
      </c>
      <c r="F1777">
        <v>266432</v>
      </c>
      <c r="G1777">
        <v>263096</v>
      </c>
      <c r="H1777">
        <f>_xlfn.XLOOKUP(FACT_IMPORTS[[#This Row],[hts_6]],DIM_PRODUCTS[hts_6],DIM_PRODUCTS[hts_4],,,)</f>
        <v>4011</v>
      </c>
      <c r="I1777" t="str" cm="1">
        <f t="array" ref="I1777">_xlfn.XLOOKUP(FACT_IMPORTS[[#This Row],[country_name]],DIM_COUNTRY[[#All],[Column2]],DIM_COUNTRY[[#All],[Column3]],,,)</f>
        <v>USMCA</v>
      </c>
    </row>
    <row r="1778" spans="1:9" x14ac:dyDescent="0.4">
      <c r="A1778" t="s">
        <v>61</v>
      </c>
      <c r="B1778" s="1">
        <v>45689</v>
      </c>
      <c r="C1778">
        <v>401140</v>
      </c>
      <c r="D1778" t="s">
        <v>176</v>
      </c>
      <c r="E1778">
        <v>0</v>
      </c>
      <c r="F1778">
        <v>0</v>
      </c>
      <c r="G1778">
        <v>0</v>
      </c>
      <c r="H1778">
        <f>_xlfn.XLOOKUP(FACT_IMPORTS[[#This Row],[hts_6]],DIM_PRODUCTS[hts_6],DIM_PRODUCTS[hts_4],,,)</f>
        <v>4011</v>
      </c>
      <c r="I1778" t="str" cm="1">
        <f t="array" ref="I1778">_xlfn.XLOOKUP(FACT_IMPORTS[[#This Row],[country_name]],DIM_COUNTRY[[#All],[Column2]],DIM_COUNTRY[[#All],[Column3]],,,)</f>
        <v>USMCA</v>
      </c>
    </row>
    <row r="1779" spans="1:9" x14ac:dyDescent="0.4">
      <c r="A1779" t="s">
        <v>61</v>
      </c>
      <c r="B1779" s="1">
        <v>45689</v>
      </c>
      <c r="C1779">
        <v>401190</v>
      </c>
      <c r="D1779" t="s">
        <v>176</v>
      </c>
      <c r="E1779">
        <v>729035</v>
      </c>
      <c r="F1779">
        <v>703</v>
      </c>
      <c r="G1779">
        <v>579</v>
      </c>
      <c r="H1779">
        <f>_xlfn.XLOOKUP(FACT_IMPORTS[[#This Row],[hts_6]],DIM_PRODUCTS[hts_6],DIM_PRODUCTS[hts_4],,,)</f>
        <v>4011</v>
      </c>
      <c r="I1779" t="str" cm="1">
        <f t="array" ref="I1779">_xlfn.XLOOKUP(FACT_IMPORTS[[#This Row],[country_name]],DIM_COUNTRY[[#All],[Column2]],DIM_COUNTRY[[#All],[Column3]],,,)</f>
        <v>USMCA</v>
      </c>
    </row>
    <row r="1780" spans="1:9" x14ac:dyDescent="0.4">
      <c r="A1780" t="s">
        <v>61</v>
      </c>
      <c r="B1780" s="1">
        <v>45689</v>
      </c>
      <c r="C1780">
        <v>700711</v>
      </c>
      <c r="D1780" t="s">
        <v>176</v>
      </c>
      <c r="E1780">
        <v>500328</v>
      </c>
      <c r="F1780">
        <v>18920</v>
      </c>
      <c r="G1780">
        <v>7810</v>
      </c>
      <c r="H1780">
        <f>_xlfn.XLOOKUP(FACT_IMPORTS[[#This Row],[hts_6]],DIM_PRODUCTS[hts_6],DIM_PRODUCTS[hts_4],,,)</f>
        <v>7007</v>
      </c>
      <c r="I1780" t="str" cm="1">
        <f t="array" ref="I1780">_xlfn.XLOOKUP(FACT_IMPORTS[[#This Row],[country_name]],DIM_COUNTRY[[#All],[Column2]],DIM_COUNTRY[[#All],[Column3]],,,)</f>
        <v>USMCA</v>
      </c>
    </row>
    <row r="1781" spans="1:9" x14ac:dyDescent="0.4">
      <c r="A1781" t="s">
        <v>61</v>
      </c>
      <c r="B1781" s="1">
        <v>45689</v>
      </c>
      <c r="C1781">
        <v>700721</v>
      </c>
      <c r="D1781" t="s">
        <v>176</v>
      </c>
      <c r="E1781">
        <v>31108</v>
      </c>
      <c r="F1781">
        <v>29</v>
      </c>
      <c r="G1781">
        <v>1300</v>
      </c>
      <c r="H1781">
        <f>_xlfn.XLOOKUP(FACT_IMPORTS[[#This Row],[hts_6]],DIM_PRODUCTS[hts_6],DIM_PRODUCTS[hts_4],,,)</f>
        <v>7007</v>
      </c>
      <c r="I1781" t="str" cm="1">
        <f t="array" ref="I1781">_xlfn.XLOOKUP(FACT_IMPORTS[[#This Row],[country_name]],DIM_COUNTRY[[#All],[Column2]],DIM_COUNTRY[[#All],[Column3]],,,)</f>
        <v>USMCA</v>
      </c>
    </row>
    <row r="1782" spans="1:9" x14ac:dyDescent="0.4">
      <c r="A1782" t="s">
        <v>61</v>
      </c>
      <c r="B1782" s="1">
        <v>45689</v>
      </c>
      <c r="C1782">
        <v>700910</v>
      </c>
      <c r="D1782" t="s">
        <v>176</v>
      </c>
      <c r="E1782">
        <v>99699</v>
      </c>
      <c r="F1782">
        <v>1199</v>
      </c>
      <c r="G1782">
        <v>615</v>
      </c>
      <c r="H1782">
        <f>_xlfn.XLOOKUP(FACT_IMPORTS[[#This Row],[hts_6]],DIM_PRODUCTS[hts_6],DIM_PRODUCTS[hts_4],,,)</f>
        <v>7009</v>
      </c>
      <c r="I1782" t="str" cm="1">
        <f t="array" ref="I1782">_xlfn.XLOOKUP(FACT_IMPORTS[[#This Row],[country_name]],DIM_COUNTRY[[#All],[Column2]],DIM_COUNTRY[[#All],[Column3]],,,)</f>
        <v>USMCA</v>
      </c>
    </row>
    <row r="1783" spans="1:9" x14ac:dyDescent="0.4">
      <c r="A1783" t="s">
        <v>61</v>
      </c>
      <c r="B1783" s="1">
        <v>45689</v>
      </c>
      <c r="C1783">
        <v>732010</v>
      </c>
      <c r="D1783" t="s">
        <v>176</v>
      </c>
      <c r="E1783">
        <v>3166231</v>
      </c>
      <c r="F1783">
        <v>1047157</v>
      </c>
      <c r="G1783">
        <v>22048</v>
      </c>
      <c r="H1783">
        <f>_xlfn.XLOOKUP(FACT_IMPORTS[[#This Row],[hts_6]],DIM_PRODUCTS[hts_6],DIM_PRODUCTS[hts_4],,,)</f>
        <v>7320</v>
      </c>
      <c r="I1783" t="str" cm="1">
        <f t="array" ref="I1783">_xlfn.XLOOKUP(FACT_IMPORTS[[#This Row],[country_name]],DIM_COUNTRY[[#All],[Column2]],DIM_COUNTRY[[#All],[Column3]],,,)</f>
        <v>USMCA</v>
      </c>
    </row>
    <row r="1784" spans="1:9" x14ac:dyDescent="0.4">
      <c r="A1784" t="s">
        <v>61</v>
      </c>
      <c r="B1784" s="1">
        <v>45689</v>
      </c>
      <c r="C1784">
        <v>830230</v>
      </c>
      <c r="D1784" t="s">
        <v>176</v>
      </c>
      <c r="E1784">
        <v>31919270</v>
      </c>
      <c r="F1784">
        <v>6871248</v>
      </c>
      <c r="G1784">
        <v>1147330</v>
      </c>
      <c r="H1784">
        <f>_xlfn.XLOOKUP(FACT_IMPORTS[[#This Row],[hts_6]],DIM_PRODUCTS[hts_6],DIM_PRODUCTS[hts_4],,,)</f>
        <v>8302</v>
      </c>
      <c r="I1784" t="str" cm="1">
        <f t="array" ref="I1784">_xlfn.XLOOKUP(FACT_IMPORTS[[#This Row],[country_name]],DIM_COUNTRY[[#All],[Column2]],DIM_COUNTRY[[#All],[Column3]],,,)</f>
        <v>USMCA</v>
      </c>
    </row>
    <row r="1785" spans="1:9" x14ac:dyDescent="0.4">
      <c r="A1785" t="s">
        <v>61</v>
      </c>
      <c r="B1785" s="1">
        <v>45689</v>
      </c>
      <c r="C1785">
        <v>840733</v>
      </c>
      <c r="D1785" t="s">
        <v>176</v>
      </c>
      <c r="E1785">
        <v>0</v>
      </c>
      <c r="F1785">
        <v>0</v>
      </c>
      <c r="G1785">
        <v>0</v>
      </c>
      <c r="H1785">
        <f>_xlfn.XLOOKUP(FACT_IMPORTS[[#This Row],[hts_6]],DIM_PRODUCTS[hts_6],DIM_PRODUCTS[hts_4],,,)</f>
        <v>8407</v>
      </c>
      <c r="I1785" t="str" cm="1">
        <f t="array" ref="I1785">_xlfn.XLOOKUP(FACT_IMPORTS[[#This Row],[country_name]],DIM_COUNTRY[[#All],[Column2]],DIM_COUNTRY[[#All],[Column3]],,,)</f>
        <v>USMCA</v>
      </c>
    </row>
    <row r="1786" spans="1:9" x14ac:dyDescent="0.4">
      <c r="A1786" t="s">
        <v>61</v>
      </c>
      <c r="B1786" s="1">
        <v>45689</v>
      </c>
      <c r="C1786">
        <v>840734</v>
      </c>
      <c r="D1786" t="s">
        <v>176</v>
      </c>
      <c r="E1786">
        <v>180325822</v>
      </c>
      <c r="F1786">
        <v>54741</v>
      </c>
      <c r="G1786">
        <v>42713</v>
      </c>
      <c r="H1786">
        <f>_xlfn.XLOOKUP(FACT_IMPORTS[[#This Row],[hts_6]],DIM_PRODUCTS[hts_6],DIM_PRODUCTS[hts_4],,,)</f>
        <v>8407</v>
      </c>
      <c r="I1786" t="str" cm="1">
        <f t="array" ref="I1786">_xlfn.XLOOKUP(FACT_IMPORTS[[#This Row],[country_name]],DIM_COUNTRY[[#All],[Column2]],DIM_COUNTRY[[#All],[Column3]],,,)</f>
        <v>USMCA</v>
      </c>
    </row>
    <row r="1787" spans="1:9" x14ac:dyDescent="0.4">
      <c r="A1787" t="s">
        <v>61</v>
      </c>
      <c r="B1787" s="1">
        <v>45689</v>
      </c>
      <c r="C1787">
        <v>840790</v>
      </c>
      <c r="D1787" t="s">
        <v>176</v>
      </c>
      <c r="E1787">
        <v>14888654</v>
      </c>
      <c r="F1787">
        <v>6326</v>
      </c>
      <c r="G1787">
        <v>4800</v>
      </c>
      <c r="H1787">
        <f>_xlfn.XLOOKUP(FACT_IMPORTS[[#This Row],[hts_6]],DIM_PRODUCTS[hts_6],DIM_PRODUCTS[hts_4],,,)</f>
        <v>8407</v>
      </c>
      <c r="I1787" t="str" cm="1">
        <f t="array" ref="I1787">_xlfn.XLOOKUP(FACT_IMPORTS[[#This Row],[country_name]],DIM_COUNTRY[[#All],[Column2]],DIM_COUNTRY[[#All],[Column3]],,,)</f>
        <v>USMCA</v>
      </c>
    </row>
    <row r="1788" spans="1:9" x14ac:dyDescent="0.4">
      <c r="A1788" t="s">
        <v>61</v>
      </c>
      <c r="B1788" s="1">
        <v>45689</v>
      </c>
      <c r="C1788">
        <v>840820</v>
      </c>
      <c r="D1788" t="s">
        <v>176</v>
      </c>
      <c r="E1788">
        <v>402315</v>
      </c>
      <c r="F1788">
        <v>60</v>
      </c>
      <c r="G1788">
        <v>567</v>
      </c>
      <c r="H1788">
        <f>_xlfn.XLOOKUP(FACT_IMPORTS[[#This Row],[hts_6]],DIM_PRODUCTS[hts_6],DIM_PRODUCTS[hts_4],,,)</f>
        <v>8408</v>
      </c>
      <c r="I1788" t="str" cm="1">
        <f t="array" ref="I1788">_xlfn.XLOOKUP(FACT_IMPORTS[[#This Row],[country_name]],DIM_COUNTRY[[#All],[Column2]],DIM_COUNTRY[[#All],[Column3]],,,)</f>
        <v>USMCA</v>
      </c>
    </row>
    <row r="1789" spans="1:9" x14ac:dyDescent="0.4">
      <c r="A1789" t="s">
        <v>61</v>
      </c>
      <c r="B1789" s="1">
        <v>45689</v>
      </c>
      <c r="C1789">
        <v>840890</v>
      </c>
      <c r="D1789" t="s">
        <v>176</v>
      </c>
      <c r="E1789">
        <v>595137</v>
      </c>
      <c r="F1789">
        <v>23</v>
      </c>
      <c r="G1789">
        <v>1071</v>
      </c>
      <c r="H1789">
        <f>_xlfn.XLOOKUP(FACT_IMPORTS[[#This Row],[hts_6]],DIM_PRODUCTS[hts_6],DIM_PRODUCTS[hts_4],,,)</f>
        <v>8408</v>
      </c>
      <c r="I1789" t="str" cm="1">
        <f t="array" ref="I1789">_xlfn.XLOOKUP(FACT_IMPORTS[[#This Row],[country_name]],DIM_COUNTRY[[#All],[Column2]],DIM_COUNTRY[[#All],[Column3]],,,)</f>
        <v>USMCA</v>
      </c>
    </row>
    <row r="1790" spans="1:9" x14ac:dyDescent="0.4">
      <c r="A1790" t="s">
        <v>61</v>
      </c>
      <c r="B1790" s="1">
        <v>45689</v>
      </c>
      <c r="C1790">
        <v>840991</v>
      </c>
      <c r="D1790" t="s">
        <v>176</v>
      </c>
      <c r="E1790">
        <v>34209426</v>
      </c>
      <c r="F1790">
        <v>2920883</v>
      </c>
      <c r="G1790">
        <v>189289</v>
      </c>
      <c r="H1790">
        <f>_xlfn.XLOOKUP(FACT_IMPORTS[[#This Row],[hts_6]],DIM_PRODUCTS[hts_6],DIM_PRODUCTS[hts_4],,,)</f>
        <v>8409</v>
      </c>
      <c r="I1790" t="str" cm="1">
        <f t="array" ref="I1790">_xlfn.XLOOKUP(FACT_IMPORTS[[#This Row],[country_name]],DIM_COUNTRY[[#All],[Column2]],DIM_COUNTRY[[#All],[Column3]],,,)</f>
        <v>USMCA</v>
      </c>
    </row>
    <row r="1791" spans="1:9" x14ac:dyDescent="0.4">
      <c r="A1791" t="s">
        <v>61</v>
      </c>
      <c r="B1791" s="1">
        <v>45689</v>
      </c>
      <c r="C1791">
        <v>840999</v>
      </c>
      <c r="D1791" t="s">
        <v>176</v>
      </c>
      <c r="E1791">
        <v>10423757</v>
      </c>
      <c r="F1791">
        <v>864564</v>
      </c>
      <c r="G1791">
        <v>105582</v>
      </c>
      <c r="H1791">
        <f>_xlfn.XLOOKUP(FACT_IMPORTS[[#This Row],[hts_6]],DIM_PRODUCTS[hts_6],DIM_PRODUCTS[hts_4],,,)</f>
        <v>8409</v>
      </c>
      <c r="I1791" t="str" cm="1">
        <f t="array" ref="I1791">_xlfn.XLOOKUP(FACT_IMPORTS[[#This Row],[country_name]],DIM_COUNTRY[[#All],[Column2]],DIM_COUNTRY[[#All],[Column3]],,,)</f>
        <v>USMCA</v>
      </c>
    </row>
    <row r="1792" spans="1:9" x14ac:dyDescent="0.4">
      <c r="A1792" t="s">
        <v>61</v>
      </c>
      <c r="B1792" s="1">
        <v>45689</v>
      </c>
      <c r="C1792">
        <v>841330</v>
      </c>
      <c r="D1792" t="s">
        <v>176</v>
      </c>
      <c r="E1792">
        <v>7719188</v>
      </c>
      <c r="F1792">
        <v>149983</v>
      </c>
      <c r="G1792">
        <v>22869</v>
      </c>
      <c r="H1792">
        <f>_xlfn.XLOOKUP(FACT_IMPORTS[[#This Row],[hts_6]],DIM_PRODUCTS[hts_6],DIM_PRODUCTS[hts_4],,,)</f>
        <v>8413</v>
      </c>
      <c r="I1792" t="str" cm="1">
        <f t="array" ref="I1792">_xlfn.XLOOKUP(FACT_IMPORTS[[#This Row],[country_name]],DIM_COUNTRY[[#All],[Column2]],DIM_COUNTRY[[#All],[Column3]],,,)</f>
        <v>USMCA</v>
      </c>
    </row>
    <row r="1793" spans="1:9" x14ac:dyDescent="0.4">
      <c r="A1793" t="s">
        <v>61</v>
      </c>
      <c r="B1793" s="1">
        <v>45689</v>
      </c>
      <c r="C1793">
        <v>841520</v>
      </c>
      <c r="D1793" t="s">
        <v>176</v>
      </c>
      <c r="E1793">
        <v>6219955</v>
      </c>
      <c r="F1793">
        <v>35675</v>
      </c>
      <c r="G1793">
        <v>112330</v>
      </c>
      <c r="H1793">
        <f>_xlfn.XLOOKUP(FACT_IMPORTS[[#This Row],[hts_6]],DIM_PRODUCTS[hts_6],DIM_PRODUCTS[hts_4],,,)</f>
        <v>8415</v>
      </c>
      <c r="I1793" t="str" cm="1">
        <f t="array" ref="I1793">_xlfn.XLOOKUP(FACT_IMPORTS[[#This Row],[country_name]],DIM_COUNTRY[[#All],[Column2]],DIM_COUNTRY[[#All],[Column3]],,,)</f>
        <v>USMCA</v>
      </c>
    </row>
    <row r="1794" spans="1:9" x14ac:dyDescent="0.4">
      <c r="A1794" t="s">
        <v>61</v>
      </c>
      <c r="B1794" s="1">
        <v>45689</v>
      </c>
      <c r="C1794">
        <v>842132</v>
      </c>
      <c r="D1794" t="s">
        <v>176</v>
      </c>
      <c r="E1794">
        <v>7975210</v>
      </c>
      <c r="F1794">
        <v>41283</v>
      </c>
      <c r="G1794">
        <v>60621</v>
      </c>
      <c r="H1794">
        <f>_xlfn.XLOOKUP(FACT_IMPORTS[[#This Row],[hts_6]],DIM_PRODUCTS[hts_6],DIM_PRODUCTS[hts_4],,,)</f>
        <v>8421</v>
      </c>
      <c r="I1794" t="str" cm="1">
        <f t="array" ref="I1794">_xlfn.XLOOKUP(FACT_IMPORTS[[#This Row],[country_name]],DIM_COUNTRY[[#All],[Column2]],DIM_COUNTRY[[#All],[Column3]],,,)</f>
        <v>USMCA</v>
      </c>
    </row>
    <row r="1795" spans="1:9" x14ac:dyDescent="0.4">
      <c r="A1795" t="s">
        <v>61</v>
      </c>
      <c r="B1795" s="1">
        <v>45689</v>
      </c>
      <c r="C1795">
        <v>848210</v>
      </c>
      <c r="D1795" t="s">
        <v>176</v>
      </c>
      <c r="E1795">
        <v>3394878</v>
      </c>
      <c r="F1795">
        <v>311807</v>
      </c>
      <c r="G1795">
        <v>47627</v>
      </c>
      <c r="H1795">
        <f>_xlfn.XLOOKUP(FACT_IMPORTS[[#This Row],[hts_6]],DIM_PRODUCTS[hts_6],DIM_PRODUCTS[hts_4],,,)</f>
        <v>8482</v>
      </c>
      <c r="I1795" t="str" cm="1">
        <f t="array" ref="I1795">_xlfn.XLOOKUP(FACT_IMPORTS[[#This Row],[country_name]],DIM_COUNTRY[[#All],[Column2]],DIM_COUNTRY[[#All],[Column3]],,,)</f>
        <v>USMCA</v>
      </c>
    </row>
    <row r="1796" spans="1:9" x14ac:dyDescent="0.4">
      <c r="A1796" t="s">
        <v>61</v>
      </c>
      <c r="B1796" s="1">
        <v>45689</v>
      </c>
      <c r="C1796">
        <v>848220</v>
      </c>
      <c r="D1796" t="s">
        <v>176</v>
      </c>
      <c r="E1796">
        <v>206051</v>
      </c>
      <c r="F1796">
        <v>2869</v>
      </c>
      <c r="G1796">
        <v>4932</v>
      </c>
      <c r="H1796">
        <f>_xlfn.XLOOKUP(FACT_IMPORTS[[#This Row],[hts_6]],DIM_PRODUCTS[hts_6],DIM_PRODUCTS[hts_4],,,)</f>
        <v>8482</v>
      </c>
      <c r="I1796" t="str" cm="1">
        <f t="array" ref="I1796">_xlfn.XLOOKUP(FACT_IMPORTS[[#This Row],[country_name]],DIM_COUNTRY[[#All],[Column2]],DIM_COUNTRY[[#All],[Column3]],,,)</f>
        <v>USMCA</v>
      </c>
    </row>
    <row r="1797" spans="1:9" x14ac:dyDescent="0.4">
      <c r="A1797" t="s">
        <v>61</v>
      </c>
      <c r="B1797" s="1">
        <v>45689</v>
      </c>
      <c r="C1797">
        <v>848310</v>
      </c>
      <c r="D1797" t="s">
        <v>176</v>
      </c>
      <c r="E1797">
        <v>19021281</v>
      </c>
      <c r="F1797">
        <v>554614</v>
      </c>
      <c r="G1797">
        <v>89080</v>
      </c>
      <c r="H1797">
        <f>_xlfn.XLOOKUP(FACT_IMPORTS[[#This Row],[hts_6]],DIM_PRODUCTS[hts_6],DIM_PRODUCTS[hts_4],,,)</f>
        <v>8483</v>
      </c>
      <c r="I1797" t="str" cm="1">
        <f t="array" ref="I1797">_xlfn.XLOOKUP(FACT_IMPORTS[[#This Row],[country_name]],DIM_COUNTRY[[#All],[Column2]],DIM_COUNTRY[[#All],[Column3]],,,)</f>
        <v>USMCA</v>
      </c>
    </row>
    <row r="1798" spans="1:9" x14ac:dyDescent="0.4">
      <c r="A1798" t="s">
        <v>61</v>
      </c>
      <c r="B1798" s="1">
        <v>45689</v>
      </c>
      <c r="C1798">
        <v>850131</v>
      </c>
      <c r="D1798" t="s">
        <v>176</v>
      </c>
      <c r="E1798">
        <v>2504106</v>
      </c>
      <c r="F1798">
        <v>80120</v>
      </c>
      <c r="G1798">
        <v>23659</v>
      </c>
      <c r="H1798">
        <f>_xlfn.XLOOKUP(FACT_IMPORTS[[#This Row],[hts_6]],DIM_PRODUCTS[hts_6],DIM_PRODUCTS[hts_4],,,)</f>
        <v>8501</v>
      </c>
      <c r="I1798" t="str" cm="1">
        <f t="array" ref="I1798">_xlfn.XLOOKUP(FACT_IMPORTS[[#This Row],[country_name]],DIM_COUNTRY[[#All],[Column2]],DIM_COUNTRY[[#All],[Column3]],,,)</f>
        <v>USMCA</v>
      </c>
    </row>
    <row r="1799" spans="1:9" x14ac:dyDescent="0.4">
      <c r="A1799" t="s">
        <v>61</v>
      </c>
      <c r="B1799" s="1">
        <v>45689</v>
      </c>
      <c r="C1799">
        <v>850132</v>
      </c>
      <c r="D1799" t="s">
        <v>176</v>
      </c>
      <c r="E1799">
        <v>346469</v>
      </c>
      <c r="F1799">
        <v>302</v>
      </c>
      <c r="G1799">
        <v>2656</v>
      </c>
      <c r="H1799">
        <f>_xlfn.XLOOKUP(FACT_IMPORTS[[#This Row],[hts_6]],DIM_PRODUCTS[hts_6],DIM_PRODUCTS[hts_4],,,)</f>
        <v>8501</v>
      </c>
      <c r="I1799" t="str" cm="1">
        <f t="array" ref="I1799">_xlfn.XLOOKUP(FACT_IMPORTS[[#This Row],[country_name]],DIM_COUNTRY[[#All],[Column2]],DIM_COUNTRY[[#All],[Column3]],,,)</f>
        <v>USMCA</v>
      </c>
    </row>
    <row r="1800" spans="1:9" x14ac:dyDescent="0.4">
      <c r="A1800" t="s">
        <v>61</v>
      </c>
      <c r="B1800" s="1">
        <v>45689</v>
      </c>
      <c r="C1800">
        <v>850133</v>
      </c>
      <c r="D1800" t="s">
        <v>176</v>
      </c>
      <c r="E1800">
        <v>9000</v>
      </c>
      <c r="F1800">
        <v>6</v>
      </c>
      <c r="G1800">
        <v>250</v>
      </c>
      <c r="H1800">
        <f>_xlfn.XLOOKUP(FACT_IMPORTS[[#This Row],[hts_6]],DIM_PRODUCTS[hts_6],DIM_PRODUCTS[hts_4],,,)</f>
        <v>8501</v>
      </c>
      <c r="I1800" t="str" cm="1">
        <f t="array" ref="I1800">_xlfn.XLOOKUP(FACT_IMPORTS[[#This Row],[country_name]],DIM_COUNTRY[[#All],[Column2]],DIM_COUNTRY[[#All],[Column3]],,,)</f>
        <v>USMCA</v>
      </c>
    </row>
    <row r="1801" spans="1:9" x14ac:dyDescent="0.4">
      <c r="A1801" t="s">
        <v>61</v>
      </c>
      <c r="B1801" s="1">
        <v>45689</v>
      </c>
      <c r="C1801">
        <v>850134</v>
      </c>
      <c r="D1801" t="s">
        <v>176</v>
      </c>
      <c r="E1801">
        <v>4320123</v>
      </c>
      <c r="F1801">
        <v>9390</v>
      </c>
      <c r="G1801">
        <v>591</v>
      </c>
      <c r="H1801">
        <f>_xlfn.XLOOKUP(FACT_IMPORTS[[#This Row],[hts_6]],DIM_PRODUCTS[hts_6],DIM_PRODUCTS[hts_4],,,)</f>
        <v>8501</v>
      </c>
      <c r="I1801" t="str" cm="1">
        <f t="array" ref="I1801">_xlfn.XLOOKUP(FACT_IMPORTS[[#This Row],[country_name]],DIM_COUNTRY[[#All],[Column2]],DIM_COUNTRY[[#All],[Column3]],,,)</f>
        <v>USMCA</v>
      </c>
    </row>
    <row r="1802" spans="1:9" x14ac:dyDescent="0.4">
      <c r="A1802" t="s">
        <v>61</v>
      </c>
      <c r="B1802" s="1">
        <v>45689</v>
      </c>
      <c r="C1802">
        <v>850152</v>
      </c>
      <c r="D1802" t="s">
        <v>176</v>
      </c>
      <c r="E1802">
        <v>982478</v>
      </c>
      <c r="F1802">
        <v>278</v>
      </c>
      <c r="G1802">
        <v>12452</v>
      </c>
      <c r="H1802">
        <f>_xlfn.XLOOKUP(FACT_IMPORTS[[#This Row],[hts_6]],DIM_PRODUCTS[hts_6],DIM_PRODUCTS[hts_4],,,)</f>
        <v>8501</v>
      </c>
      <c r="I1802" t="str" cm="1">
        <f t="array" ref="I1802">_xlfn.XLOOKUP(FACT_IMPORTS[[#This Row],[country_name]],DIM_COUNTRY[[#All],[Column2]],DIM_COUNTRY[[#All],[Column3]],,,)</f>
        <v>USMCA</v>
      </c>
    </row>
    <row r="1803" spans="1:9" x14ac:dyDescent="0.4">
      <c r="A1803" t="s">
        <v>61</v>
      </c>
      <c r="B1803" s="1">
        <v>45689</v>
      </c>
      <c r="C1803">
        <v>850153</v>
      </c>
      <c r="D1803" t="s">
        <v>176</v>
      </c>
      <c r="E1803">
        <v>108332</v>
      </c>
      <c r="F1803">
        <v>23</v>
      </c>
      <c r="G1803">
        <v>2041</v>
      </c>
      <c r="H1803">
        <f>_xlfn.XLOOKUP(FACT_IMPORTS[[#This Row],[hts_6]],DIM_PRODUCTS[hts_6],DIM_PRODUCTS[hts_4],,,)</f>
        <v>8501</v>
      </c>
      <c r="I1803" t="str" cm="1">
        <f t="array" ref="I1803">_xlfn.XLOOKUP(FACT_IMPORTS[[#This Row],[country_name]],DIM_COUNTRY[[#All],[Column2]],DIM_COUNTRY[[#All],[Column3]],,,)</f>
        <v>USMCA</v>
      </c>
    </row>
    <row r="1804" spans="1:9" x14ac:dyDescent="0.4">
      <c r="A1804" t="s">
        <v>61</v>
      </c>
      <c r="B1804" s="1">
        <v>45689</v>
      </c>
      <c r="C1804">
        <v>850161</v>
      </c>
      <c r="D1804" t="s">
        <v>176</v>
      </c>
      <c r="E1804">
        <v>111975</v>
      </c>
      <c r="F1804">
        <v>53</v>
      </c>
      <c r="G1804">
        <v>555</v>
      </c>
      <c r="H1804">
        <f>_xlfn.XLOOKUP(FACT_IMPORTS[[#This Row],[hts_6]],DIM_PRODUCTS[hts_6],DIM_PRODUCTS[hts_4],,,)</f>
        <v>8501</v>
      </c>
      <c r="I1804" t="str" cm="1">
        <f t="array" ref="I1804">_xlfn.XLOOKUP(FACT_IMPORTS[[#This Row],[country_name]],DIM_COUNTRY[[#All],[Column2]],DIM_COUNTRY[[#All],[Column3]],,,)</f>
        <v>USMCA</v>
      </c>
    </row>
    <row r="1805" spans="1:9" x14ac:dyDescent="0.4">
      <c r="A1805" t="s">
        <v>61</v>
      </c>
      <c r="B1805" s="1">
        <v>45689</v>
      </c>
      <c r="C1805">
        <v>850440</v>
      </c>
      <c r="D1805" t="s">
        <v>176</v>
      </c>
      <c r="E1805">
        <v>6814852</v>
      </c>
      <c r="F1805">
        <v>8457</v>
      </c>
      <c r="G1805">
        <v>96256</v>
      </c>
      <c r="H1805">
        <f>_xlfn.XLOOKUP(FACT_IMPORTS[[#This Row],[hts_6]],DIM_PRODUCTS[hts_6],DIM_PRODUCTS[hts_4],,,)</f>
        <v>8504</v>
      </c>
      <c r="I1805" t="str" cm="1">
        <f t="array" ref="I1805">_xlfn.XLOOKUP(FACT_IMPORTS[[#This Row],[country_name]],DIM_COUNTRY[[#All],[Column2]],DIM_COUNTRY[[#All],[Column3]],,,)</f>
        <v>USMCA</v>
      </c>
    </row>
    <row r="1806" spans="1:9" x14ac:dyDescent="0.4">
      <c r="A1806" t="s">
        <v>61</v>
      </c>
      <c r="B1806" s="1">
        <v>45689</v>
      </c>
      <c r="C1806">
        <v>850710</v>
      </c>
      <c r="D1806" t="s">
        <v>176</v>
      </c>
      <c r="E1806">
        <v>1148516</v>
      </c>
      <c r="F1806">
        <v>4905</v>
      </c>
      <c r="G1806">
        <v>56906</v>
      </c>
      <c r="H1806">
        <f>_xlfn.XLOOKUP(FACT_IMPORTS[[#This Row],[hts_6]],DIM_PRODUCTS[hts_6],DIM_PRODUCTS[hts_4],,,)</f>
        <v>8507</v>
      </c>
      <c r="I1806" t="str" cm="1">
        <f t="array" ref="I1806">_xlfn.XLOOKUP(FACT_IMPORTS[[#This Row],[country_name]],DIM_COUNTRY[[#All],[Column2]],DIM_COUNTRY[[#All],[Column3]],,,)</f>
        <v>USMCA</v>
      </c>
    </row>
    <row r="1807" spans="1:9" x14ac:dyDescent="0.4">
      <c r="A1807" t="s">
        <v>61</v>
      </c>
      <c r="B1807" s="1">
        <v>45689</v>
      </c>
      <c r="C1807">
        <v>850760</v>
      </c>
      <c r="D1807" t="s">
        <v>176</v>
      </c>
      <c r="E1807">
        <v>81097173</v>
      </c>
      <c r="F1807">
        <v>85458</v>
      </c>
      <c r="G1807">
        <v>53195</v>
      </c>
      <c r="H1807">
        <f>_xlfn.XLOOKUP(FACT_IMPORTS[[#This Row],[hts_6]],DIM_PRODUCTS[hts_6],DIM_PRODUCTS[hts_4],,,)</f>
        <v>8507</v>
      </c>
      <c r="I1807" t="str" cm="1">
        <f t="array" ref="I1807">_xlfn.XLOOKUP(FACT_IMPORTS[[#This Row],[country_name]],DIM_COUNTRY[[#All],[Column2]],DIM_COUNTRY[[#All],[Column3]],,,)</f>
        <v>USMCA</v>
      </c>
    </row>
    <row r="1808" spans="1:9" x14ac:dyDescent="0.4">
      <c r="A1808" t="s">
        <v>61</v>
      </c>
      <c r="B1808" s="1">
        <v>45689</v>
      </c>
      <c r="C1808">
        <v>850790</v>
      </c>
      <c r="D1808" t="s">
        <v>176</v>
      </c>
      <c r="E1808">
        <v>1398203</v>
      </c>
      <c r="F1808">
        <v>108570</v>
      </c>
      <c r="G1808">
        <v>10366</v>
      </c>
      <c r="H1808">
        <f>_xlfn.XLOOKUP(FACT_IMPORTS[[#This Row],[hts_6]],DIM_PRODUCTS[hts_6],DIM_PRODUCTS[hts_4],,,)</f>
        <v>8507</v>
      </c>
      <c r="I1808" t="str" cm="1">
        <f t="array" ref="I1808">_xlfn.XLOOKUP(FACT_IMPORTS[[#This Row],[country_name]],DIM_COUNTRY[[#All],[Column2]],DIM_COUNTRY[[#All],[Column3]],,,)</f>
        <v>USMCA</v>
      </c>
    </row>
    <row r="1809" spans="1:9" x14ac:dyDescent="0.4">
      <c r="A1809" t="s">
        <v>61</v>
      </c>
      <c r="B1809" s="1">
        <v>45689</v>
      </c>
      <c r="C1809">
        <v>851110</v>
      </c>
      <c r="D1809" t="s">
        <v>176</v>
      </c>
      <c r="E1809">
        <v>31723</v>
      </c>
      <c r="F1809">
        <v>7</v>
      </c>
      <c r="G1809">
        <v>52</v>
      </c>
      <c r="H1809">
        <f>_xlfn.XLOOKUP(FACT_IMPORTS[[#This Row],[hts_6]],DIM_PRODUCTS[hts_6],DIM_PRODUCTS[hts_4],,,)</f>
        <v>8511</v>
      </c>
      <c r="I1809" t="str" cm="1">
        <f t="array" ref="I1809">_xlfn.XLOOKUP(FACT_IMPORTS[[#This Row],[country_name]],DIM_COUNTRY[[#All],[Column2]],DIM_COUNTRY[[#All],[Column3]],,,)</f>
        <v>USMCA</v>
      </c>
    </row>
    <row r="1810" spans="1:9" x14ac:dyDescent="0.4">
      <c r="A1810" t="s">
        <v>61</v>
      </c>
      <c r="B1810" s="1">
        <v>45689</v>
      </c>
      <c r="C1810">
        <v>851130</v>
      </c>
      <c r="D1810" t="s">
        <v>176</v>
      </c>
      <c r="E1810">
        <v>2339</v>
      </c>
      <c r="F1810">
        <v>1687</v>
      </c>
      <c r="G1810">
        <v>35</v>
      </c>
      <c r="H1810">
        <f>_xlfn.XLOOKUP(FACT_IMPORTS[[#This Row],[hts_6]],DIM_PRODUCTS[hts_6],DIM_PRODUCTS[hts_4],,,)</f>
        <v>8511</v>
      </c>
      <c r="I1810" t="str" cm="1">
        <f t="array" ref="I1810">_xlfn.XLOOKUP(FACT_IMPORTS[[#This Row],[country_name]],DIM_COUNTRY[[#All],[Column2]],DIM_COUNTRY[[#All],[Column3]],,,)</f>
        <v>USMCA</v>
      </c>
    </row>
    <row r="1811" spans="1:9" x14ac:dyDescent="0.4">
      <c r="A1811" t="s">
        <v>61</v>
      </c>
      <c r="B1811" s="1">
        <v>45689</v>
      </c>
      <c r="C1811">
        <v>851140</v>
      </c>
      <c r="D1811" t="s">
        <v>176</v>
      </c>
      <c r="E1811">
        <v>375136</v>
      </c>
      <c r="F1811">
        <v>8302</v>
      </c>
      <c r="G1811">
        <v>3789</v>
      </c>
      <c r="H1811">
        <f>_xlfn.XLOOKUP(FACT_IMPORTS[[#This Row],[hts_6]],DIM_PRODUCTS[hts_6],DIM_PRODUCTS[hts_4],,,)</f>
        <v>8511</v>
      </c>
      <c r="I1811" t="str" cm="1">
        <f t="array" ref="I1811">_xlfn.XLOOKUP(FACT_IMPORTS[[#This Row],[country_name]],DIM_COUNTRY[[#All],[Column2]],DIM_COUNTRY[[#All],[Column3]],,,)</f>
        <v>USMCA</v>
      </c>
    </row>
    <row r="1812" spans="1:9" x14ac:dyDescent="0.4">
      <c r="A1812" t="s">
        <v>61</v>
      </c>
      <c r="B1812" s="1">
        <v>45689</v>
      </c>
      <c r="C1812">
        <v>851150</v>
      </c>
      <c r="D1812" t="s">
        <v>176</v>
      </c>
      <c r="E1812">
        <v>198898</v>
      </c>
      <c r="F1812">
        <v>1655</v>
      </c>
      <c r="G1812">
        <v>1913</v>
      </c>
      <c r="H1812">
        <f>_xlfn.XLOOKUP(FACT_IMPORTS[[#This Row],[hts_6]],DIM_PRODUCTS[hts_6],DIM_PRODUCTS[hts_4],,,)</f>
        <v>8511</v>
      </c>
      <c r="I1812" t="str" cm="1">
        <f t="array" ref="I1812">_xlfn.XLOOKUP(FACT_IMPORTS[[#This Row],[country_name]],DIM_COUNTRY[[#All],[Column2]],DIM_COUNTRY[[#All],[Column3]],,,)</f>
        <v>USMCA</v>
      </c>
    </row>
    <row r="1813" spans="1:9" x14ac:dyDescent="0.4">
      <c r="A1813" t="s">
        <v>61</v>
      </c>
      <c r="B1813" s="1">
        <v>45689</v>
      </c>
      <c r="C1813">
        <v>851180</v>
      </c>
      <c r="D1813" t="s">
        <v>176</v>
      </c>
      <c r="E1813">
        <v>47309</v>
      </c>
      <c r="F1813">
        <v>108</v>
      </c>
      <c r="G1813">
        <v>201</v>
      </c>
      <c r="H1813">
        <f>_xlfn.XLOOKUP(FACT_IMPORTS[[#This Row],[hts_6]],DIM_PRODUCTS[hts_6],DIM_PRODUCTS[hts_4],,,)</f>
        <v>8511</v>
      </c>
      <c r="I1813" t="str" cm="1">
        <f t="array" ref="I1813">_xlfn.XLOOKUP(FACT_IMPORTS[[#This Row],[country_name]],DIM_COUNTRY[[#All],[Column2]],DIM_COUNTRY[[#All],[Column3]],,,)</f>
        <v>USMCA</v>
      </c>
    </row>
    <row r="1814" spans="1:9" x14ac:dyDescent="0.4">
      <c r="A1814" t="s">
        <v>61</v>
      </c>
      <c r="B1814" s="1">
        <v>45689</v>
      </c>
      <c r="C1814">
        <v>851190</v>
      </c>
      <c r="D1814" t="s">
        <v>176</v>
      </c>
      <c r="E1814">
        <v>1358431</v>
      </c>
      <c r="F1814">
        <v>11538</v>
      </c>
      <c r="G1814">
        <v>689</v>
      </c>
      <c r="H1814">
        <f>_xlfn.XLOOKUP(FACT_IMPORTS[[#This Row],[hts_6]],DIM_PRODUCTS[hts_6],DIM_PRODUCTS[hts_4],,,)</f>
        <v>8511</v>
      </c>
      <c r="I1814" t="str" cm="1">
        <f t="array" ref="I1814">_xlfn.XLOOKUP(FACT_IMPORTS[[#This Row],[country_name]],DIM_COUNTRY[[#All],[Column2]],DIM_COUNTRY[[#All],[Column3]],,,)</f>
        <v>USMCA</v>
      </c>
    </row>
    <row r="1815" spans="1:9" x14ac:dyDescent="0.4">
      <c r="A1815" t="s">
        <v>61</v>
      </c>
      <c r="B1815" s="1">
        <v>45689</v>
      </c>
      <c r="C1815">
        <v>851220</v>
      </c>
      <c r="D1815" t="s">
        <v>176</v>
      </c>
      <c r="E1815">
        <v>15444983</v>
      </c>
      <c r="F1815">
        <v>282137</v>
      </c>
      <c r="G1815">
        <v>70298</v>
      </c>
      <c r="H1815">
        <f>_xlfn.XLOOKUP(FACT_IMPORTS[[#This Row],[hts_6]],DIM_PRODUCTS[hts_6],DIM_PRODUCTS[hts_4],,,)</f>
        <v>8512</v>
      </c>
      <c r="I1815" t="str" cm="1">
        <f t="array" ref="I1815">_xlfn.XLOOKUP(FACT_IMPORTS[[#This Row],[country_name]],DIM_COUNTRY[[#All],[Column2]],DIM_COUNTRY[[#All],[Column3]],,,)</f>
        <v>USMCA</v>
      </c>
    </row>
    <row r="1816" spans="1:9" x14ac:dyDescent="0.4">
      <c r="A1816" t="s">
        <v>61</v>
      </c>
      <c r="B1816" s="1">
        <v>45689</v>
      </c>
      <c r="C1816">
        <v>851230</v>
      </c>
      <c r="D1816" t="s">
        <v>176</v>
      </c>
      <c r="E1816">
        <v>90625</v>
      </c>
      <c r="F1816">
        <v>859</v>
      </c>
      <c r="G1816">
        <v>809</v>
      </c>
      <c r="H1816">
        <f>_xlfn.XLOOKUP(FACT_IMPORTS[[#This Row],[hts_6]],DIM_PRODUCTS[hts_6],DIM_PRODUCTS[hts_4],,,)</f>
        <v>8512</v>
      </c>
      <c r="I1816" t="str" cm="1">
        <f t="array" ref="I1816">_xlfn.XLOOKUP(FACT_IMPORTS[[#This Row],[country_name]],DIM_COUNTRY[[#All],[Column2]],DIM_COUNTRY[[#All],[Column3]],,,)</f>
        <v>USMCA</v>
      </c>
    </row>
    <row r="1817" spans="1:9" x14ac:dyDescent="0.4">
      <c r="A1817" t="s">
        <v>61</v>
      </c>
      <c r="B1817" s="1">
        <v>45689</v>
      </c>
      <c r="C1817">
        <v>851240</v>
      </c>
      <c r="D1817" t="s">
        <v>176</v>
      </c>
      <c r="E1817">
        <v>0</v>
      </c>
      <c r="F1817">
        <v>0</v>
      </c>
      <c r="G1817">
        <v>0</v>
      </c>
      <c r="H1817">
        <f>_xlfn.XLOOKUP(FACT_IMPORTS[[#This Row],[hts_6]],DIM_PRODUCTS[hts_6],DIM_PRODUCTS[hts_4],,,)</f>
        <v>8512</v>
      </c>
      <c r="I1817" t="str" cm="1">
        <f t="array" ref="I1817">_xlfn.XLOOKUP(FACT_IMPORTS[[#This Row],[country_name]],DIM_COUNTRY[[#All],[Column2]],DIM_COUNTRY[[#All],[Column3]],,,)</f>
        <v>USMCA</v>
      </c>
    </row>
    <row r="1818" spans="1:9" x14ac:dyDescent="0.4">
      <c r="A1818" t="s">
        <v>61</v>
      </c>
      <c r="B1818" s="1">
        <v>45689</v>
      </c>
      <c r="C1818">
        <v>851290</v>
      </c>
      <c r="D1818" t="s">
        <v>176</v>
      </c>
      <c r="E1818">
        <v>2184075</v>
      </c>
      <c r="F1818">
        <v>39406</v>
      </c>
      <c r="G1818">
        <v>6112</v>
      </c>
      <c r="H1818">
        <f>_xlfn.XLOOKUP(FACT_IMPORTS[[#This Row],[hts_6]],DIM_PRODUCTS[hts_6],DIM_PRODUCTS[hts_4],,,)</f>
        <v>8512</v>
      </c>
      <c r="I1818" t="str" cm="1">
        <f t="array" ref="I1818">_xlfn.XLOOKUP(FACT_IMPORTS[[#This Row],[country_name]],DIM_COUNTRY[[#All],[Column2]],DIM_COUNTRY[[#All],[Column3]],,,)</f>
        <v>USMCA</v>
      </c>
    </row>
    <row r="1819" spans="1:9" x14ac:dyDescent="0.4">
      <c r="A1819" t="s">
        <v>61</v>
      </c>
      <c r="B1819" s="1">
        <v>45689</v>
      </c>
      <c r="C1819">
        <v>854231</v>
      </c>
      <c r="D1819" t="s">
        <v>176</v>
      </c>
      <c r="E1819">
        <v>48496</v>
      </c>
      <c r="F1819">
        <v>1043</v>
      </c>
      <c r="G1819">
        <v>764</v>
      </c>
      <c r="H1819">
        <f>_xlfn.XLOOKUP(FACT_IMPORTS[[#This Row],[hts_6]],DIM_PRODUCTS[hts_6],DIM_PRODUCTS[hts_4],,,)</f>
        <v>8542</v>
      </c>
      <c r="I1819" t="str" cm="1">
        <f t="array" ref="I1819">_xlfn.XLOOKUP(FACT_IMPORTS[[#This Row],[country_name]],DIM_COUNTRY[[#All],[Column2]],DIM_COUNTRY[[#All],[Column3]],,,)</f>
        <v>USMCA</v>
      </c>
    </row>
    <row r="1820" spans="1:9" x14ac:dyDescent="0.4">
      <c r="A1820" t="s">
        <v>61</v>
      </c>
      <c r="B1820" s="1">
        <v>45689</v>
      </c>
      <c r="C1820">
        <v>854232</v>
      </c>
      <c r="D1820" t="s">
        <v>176</v>
      </c>
      <c r="E1820">
        <v>10737</v>
      </c>
      <c r="F1820">
        <v>2622</v>
      </c>
      <c r="G1820">
        <v>3</v>
      </c>
      <c r="H1820">
        <f>_xlfn.XLOOKUP(FACT_IMPORTS[[#This Row],[hts_6]],DIM_PRODUCTS[hts_6],DIM_PRODUCTS[hts_4],,,)</f>
        <v>8542</v>
      </c>
      <c r="I1820" t="str" cm="1">
        <f t="array" ref="I1820">_xlfn.XLOOKUP(FACT_IMPORTS[[#This Row],[country_name]],DIM_COUNTRY[[#All],[Column2]],DIM_COUNTRY[[#All],[Column3]],,,)</f>
        <v>USMCA</v>
      </c>
    </row>
    <row r="1821" spans="1:9" x14ac:dyDescent="0.4">
      <c r="A1821" t="s">
        <v>61</v>
      </c>
      <c r="B1821" s="1">
        <v>45689</v>
      </c>
      <c r="C1821">
        <v>854233</v>
      </c>
      <c r="D1821" t="s">
        <v>176</v>
      </c>
      <c r="E1821">
        <v>6585</v>
      </c>
      <c r="F1821">
        <v>3</v>
      </c>
      <c r="G1821">
        <v>23</v>
      </c>
      <c r="H1821">
        <f>_xlfn.XLOOKUP(FACT_IMPORTS[[#This Row],[hts_6]],DIM_PRODUCTS[hts_6],DIM_PRODUCTS[hts_4],,,)</f>
        <v>8542</v>
      </c>
      <c r="I1821" t="str" cm="1">
        <f t="array" ref="I1821">_xlfn.XLOOKUP(FACT_IMPORTS[[#This Row],[country_name]],DIM_COUNTRY[[#All],[Column2]],DIM_COUNTRY[[#All],[Column3]],,,)</f>
        <v>USMCA</v>
      </c>
    </row>
    <row r="1822" spans="1:9" x14ac:dyDescent="0.4">
      <c r="A1822" t="s">
        <v>61</v>
      </c>
      <c r="B1822" s="1">
        <v>45689</v>
      </c>
      <c r="C1822">
        <v>854239</v>
      </c>
      <c r="D1822" t="s">
        <v>176</v>
      </c>
      <c r="E1822">
        <v>615500</v>
      </c>
      <c r="F1822">
        <v>165</v>
      </c>
      <c r="G1822">
        <v>654</v>
      </c>
      <c r="H1822">
        <f>_xlfn.XLOOKUP(FACT_IMPORTS[[#This Row],[hts_6]],DIM_PRODUCTS[hts_6],DIM_PRODUCTS[hts_4],,,)</f>
        <v>8542</v>
      </c>
      <c r="I1822" t="str" cm="1">
        <f t="array" ref="I1822">_xlfn.XLOOKUP(FACT_IMPORTS[[#This Row],[country_name]],DIM_COUNTRY[[#All],[Column2]],DIM_COUNTRY[[#All],[Column3]],,,)</f>
        <v>USMCA</v>
      </c>
    </row>
    <row r="1823" spans="1:9" x14ac:dyDescent="0.4">
      <c r="A1823" t="s">
        <v>61</v>
      </c>
      <c r="B1823" s="1">
        <v>45689</v>
      </c>
      <c r="C1823">
        <v>854290</v>
      </c>
      <c r="D1823" t="s">
        <v>176</v>
      </c>
      <c r="E1823">
        <v>2338</v>
      </c>
      <c r="F1823">
        <v>2</v>
      </c>
      <c r="G1823">
        <v>4</v>
      </c>
      <c r="H1823">
        <f>_xlfn.XLOOKUP(FACT_IMPORTS[[#This Row],[hts_6]],DIM_PRODUCTS[hts_6],DIM_PRODUCTS[hts_4],,,)</f>
        <v>8542</v>
      </c>
      <c r="I1823" t="str" cm="1">
        <f t="array" ref="I1823">_xlfn.XLOOKUP(FACT_IMPORTS[[#This Row],[country_name]],DIM_COUNTRY[[#All],[Column2]],DIM_COUNTRY[[#All],[Column3]],,,)</f>
        <v>USMCA</v>
      </c>
    </row>
    <row r="1824" spans="1:9" x14ac:dyDescent="0.4">
      <c r="A1824" t="s">
        <v>61</v>
      </c>
      <c r="B1824" s="1">
        <v>45689</v>
      </c>
      <c r="C1824">
        <v>854430</v>
      </c>
      <c r="D1824" t="s">
        <v>176</v>
      </c>
      <c r="E1824">
        <v>1487480</v>
      </c>
      <c r="F1824">
        <v>20625</v>
      </c>
      <c r="G1824">
        <v>7517</v>
      </c>
      <c r="H1824">
        <f>_xlfn.XLOOKUP(FACT_IMPORTS[[#This Row],[hts_6]],DIM_PRODUCTS[hts_6],DIM_PRODUCTS[hts_4],,,)</f>
        <v>8544</v>
      </c>
      <c r="I1824" t="str" cm="1">
        <f t="array" ref="I1824">_xlfn.XLOOKUP(FACT_IMPORTS[[#This Row],[country_name]],DIM_COUNTRY[[#All],[Column2]],DIM_COUNTRY[[#All],[Column3]],,,)</f>
        <v>USMCA</v>
      </c>
    </row>
    <row r="1825" spans="1:9" x14ac:dyDescent="0.4">
      <c r="A1825" t="s">
        <v>61</v>
      </c>
      <c r="B1825" s="1">
        <v>45689</v>
      </c>
      <c r="C1825">
        <v>870600</v>
      </c>
      <c r="D1825" t="s">
        <v>176</v>
      </c>
      <c r="E1825">
        <v>107706</v>
      </c>
      <c r="F1825">
        <v>1</v>
      </c>
      <c r="G1825">
        <v>300</v>
      </c>
      <c r="H1825">
        <f>_xlfn.XLOOKUP(FACT_IMPORTS[[#This Row],[hts_6]],DIM_PRODUCTS[hts_6],DIM_PRODUCTS[hts_4],,,)</f>
        <v>8706</v>
      </c>
      <c r="I1825" t="str" cm="1">
        <f t="array" ref="I1825">_xlfn.XLOOKUP(FACT_IMPORTS[[#This Row],[country_name]],DIM_COUNTRY[[#All],[Column2]],DIM_COUNTRY[[#All],[Column3]],,,)</f>
        <v>USMCA</v>
      </c>
    </row>
    <row r="1826" spans="1:9" x14ac:dyDescent="0.4">
      <c r="A1826" t="s">
        <v>61</v>
      </c>
      <c r="B1826" s="1">
        <v>45689</v>
      </c>
      <c r="C1826">
        <v>870710</v>
      </c>
      <c r="D1826" t="s">
        <v>176</v>
      </c>
      <c r="E1826">
        <v>18427</v>
      </c>
      <c r="F1826">
        <v>5</v>
      </c>
      <c r="G1826">
        <v>424</v>
      </c>
      <c r="H1826">
        <f>_xlfn.XLOOKUP(FACT_IMPORTS[[#This Row],[hts_6]],DIM_PRODUCTS[hts_6],DIM_PRODUCTS[hts_4],,,)</f>
        <v>8707</v>
      </c>
      <c r="I1826" t="str" cm="1">
        <f t="array" ref="I1826">_xlfn.XLOOKUP(FACT_IMPORTS[[#This Row],[country_name]],DIM_COUNTRY[[#All],[Column2]],DIM_COUNTRY[[#All],[Column3]],,,)</f>
        <v>USMCA</v>
      </c>
    </row>
    <row r="1827" spans="1:9" x14ac:dyDescent="0.4">
      <c r="A1827" t="s">
        <v>61</v>
      </c>
      <c r="B1827" s="1">
        <v>45689</v>
      </c>
      <c r="C1827">
        <v>870790</v>
      </c>
      <c r="D1827" t="s">
        <v>176</v>
      </c>
      <c r="E1827">
        <v>3999772</v>
      </c>
      <c r="F1827">
        <v>337</v>
      </c>
      <c r="G1827">
        <v>43138</v>
      </c>
      <c r="H1827">
        <f>_xlfn.XLOOKUP(FACT_IMPORTS[[#This Row],[hts_6]],DIM_PRODUCTS[hts_6],DIM_PRODUCTS[hts_4],,,)</f>
        <v>8707</v>
      </c>
      <c r="I1827" t="str" cm="1">
        <f t="array" ref="I1827">_xlfn.XLOOKUP(FACT_IMPORTS[[#This Row],[country_name]],DIM_COUNTRY[[#All],[Column2]],DIM_COUNTRY[[#All],[Column3]],,,)</f>
        <v>USMCA</v>
      </c>
    </row>
    <row r="1828" spans="1:9" x14ac:dyDescent="0.4">
      <c r="A1828" t="s">
        <v>61</v>
      </c>
      <c r="B1828" s="1">
        <v>45689</v>
      </c>
      <c r="C1828">
        <v>870810</v>
      </c>
      <c r="D1828" t="s">
        <v>176</v>
      </c>
      <c r="E1828">
        <v>23765996</v>
      </c>
      <c r="F1828">
        <v>1074190</v>
      </c>
      <c r="G1828">
        <v>473511</v>
      </c>
      <c r="H1828">
        <f>_xlfn.XLOOKUP(FACT_IMPORTS[[#This Row],[hts_6]],DIM_PRODUCTS[hts_6],DIM_PRODUCTS[hts_4],,,)</f>
        <v>8708</v>
      </c>
      <c r="I1828" t="str" cm="1">
        <f t="array" ref="I1828">_xlfn.XLOOKUP(FACT_IMPORTS[[#This Row],[country_name]],DIM_COUNTRY[[#All],[Column2]],DIM_COUNTRY[[#All],[Column3]],,,)</f>
        <v>USMCA</v>
      </c>
    </row>
    <row r="1829" spans="1:9" x14ac:dyDescent="0.4">
      <c r="A1829" t="s">
        <v>61</v>
      </c>
      <c r="B1829" s="1">
        <v>45689</v>
      </c>
      <c r="C1829">
        <v>870821</v>
      </c>
      <c r="D1829" t="s">
        <v>176</v>
      </c>
      <c r="E1829">
        <v>379600</v>
      </c>
      <c r="F1829">
        <v>15286</v>
      </c>
      <c r="G1829">
        <v>2381</v>
      </c>
      <c r="H1829">
        <f>_xlfn.XLOOKUP(FACT_IMPORTS[[#This Row],[hts_6]],DIM_PRODUCTS[hts_6],DIM_PRODUCTS[hts_4],,,)</f>
        <v>8708</v>
      </c>
      <c r="I1829" t="str" cm="1">
        <f t="array" ref="I1829">_xlfn.XLOOKUP(FACT_IMPORTS[[#This Row],[country_name]],DIM_COUNTRY[[#All],[Column2]],DIM_COUNTRY[[#All],[Column3]],,,)</f>
        <v>USMCA</v>
      </c>
    </row>
    <row r="1830" spans="1:9" x14ac:dyDescent="0.4">
      <c r="A1830" t="s">
        <v>61</v>
      </c>
      <c r="B1830" s="1">
        <v>45689</v>
      </c>
      <c r="C1830">
        <v>870822</v>
      </c>
      <c r="D1830" t="s">
        <v>176</v>
      </c>
      <c r="E1830">
        <v>4735625</v>
      </c>
      <c r="F1830">
        <v>82009</v>
      </c>
      <c r="G1830">
        <v>89092</v>
      </c>
      <c r="H1830">
        <f>_xlfn.XLOOKUP(FACT_IMPORTS[[#This Row],[hts_6]],DIM_PRODUCTS[hts_6],DIM_PRODUCTS[hts_4],,,)</f>
        <v>8708</v>
      </c>
      <c r="I1830" t="str" cm="1">
        <f t="array" ref="I1830">_xlfn.XLOOKUP(FACT_IMPORTS[[#This Row],[country_name]],DIM_COUNTRY[[#All],[Column2]],DIM_COUNTRY[[#All],[Column3]],,,)</f>
        <v>USMCA</v>
      </c>
    </row>
    <row r="1831" spans="1:9" x14ac:dyDescent="0.4">
      <c r="A1831" t="s">
        <v>61</v>
      </c>
      <c r="B1831" s="1">
        <v>45689</v>
      </c>
      <c r="C1831">
        <v>870829</v>
      </c>
      <c r="D1831" t="s">
        <v>176</v>
      </c>
      <c r="E1831">
        <v>352388779</v>
      </c>
      <c r="F1831">
        <v>49811929</v>
      </c>
      <c r="G1831">
        <v>7428015</v>
      </c>
      <c r="H1831">
        <f>_xlfn.XLOOKUP(FACT_IMPORTS[[#This Row],[hts_6]],DIM_PRODUCTS[hts_6],DIM_PRODUCTS[hts_4],,,)</f>
        <v>8708</v>
      </c>
      <c r="I1831" t="str" cm="1">
        <f t="array" ref="I1831">_xlfn.XLOOKUP(FACT_IMPORTS[[#This Row],[country_name]],DIM_COUNTRY[[#All],[Column2]],DIM_COUNTRY[[#All],[Column3]],,,)</f>
        <v>USMCA</v>
      </c>
    </row>
    <row r="1832" spans="1:9" x14ac:dyDescent="0.4">
      <c r="A1832" t="s">
        <v>61</v>
      </c>
      <c r="B1832" s="1">
        <v>45689</v>
      </c>
      <c r="C1832">
        <v>870830</v>
      </c>
      <c r="D1832" t="s">
        <v>176</v>
      </c>
      <c r="E1832">
        <v>11285343</v>
      </c>
      <c r="F1832">
        <v>2760286</v>
      </c>
      <c r="G1832">
        <v>185884</v>
      </c>
      <c r="H1832">
        <f>_xlfn.XLOOKUP(FACT_IMPORTS[[#This Row],[hts_6]],DIM_PRODUCTS[hts_6],DIM_PRODUCTS[hts_4],,,)</f>
        <v>8708</v>
      </c>
      <c r="I1832" t="str" cm="1">
        <f t="array" ref="I1832">_xlfn.XLOOKUP(FACT_IMPORTS[[#This Row],[country_name]],DIM_COUNTRY[[#All],[Column2]],DIM_COUNTRY[[#All],[Column3]],,,)</f>
        <v>USMCA</v>
      </c>
    </row>
    <row r="1833" spans="1:9" x14ac:dyDescent="0.4">
      <c r="A1833" t="s">
        <v>61</v>
      </c>
      <c r="B1833" s="1">
        <v>45689</v>
      </c>
      <c r="C1833">
        <v>870840</v>
      </c>
      <c r="D1833" t="s">
        <v>176</v>
      </c>
      <c r="E1833">
        <v>82113792</v>
      </c>
      <c r="F1833">
        <v>4281454</v>
      </c>
      <c r="G1833">
        <v>286455</v>
      </c>
      <c r="H1833">
        <f>_xlfn.XLOOKUP(FACT_IMPORTS[[#This Row],[hts_6]],DIM_PRODUCTS[hts_6],DIM_PRODUCTS[hts_4],,,)</f>
        <v>8708</v>
      </c>
      <c r="I1833" t="str" cm="1">
        <f t="array" ref="I1833">_xlfn.XLOOKUP(FACT_IMPORTS[[#This Row],[country_name]],DIM_COUNTRY[[#All],[Column2]],DIM_COUNTRY[[#All],[Column3]],,,)</f>
        <v>USMCA</v>
      </c>
    </row>
    <row r="1834" spans="1:9" x14ac:dyDescent="0.4">
      <c r="A1834" t="s">
        <v>61</v>
      </c>
      <c r="B1834" s="1">
        <v>45689</v>
      </c>
      <c r="C1834">
        <v>870850</v>
      </c>
      <c r="D1834" t="s">
        <v>176</v>
      </c>
      <c r="E1834">
        <v>27478769</v>
      </c>
      <c r="F1834">
        <v>1892318</v>
      </c>
      <c r="G1834">
        <v>186919</v>
      </c>
      <c r="H1834">
        <f>_xlfn.XLOOKUP(FACT_IMPORTS[[#This Row],[hts_6]],DIM_PRODUCTS[hts_6],DIM_PRODUCTS[hts_4],,,)</f>
        <v>8708</v>
      </c>
      <c r="I1834" t="str" cm="1">
        <f t="array" ref="I1834">_xlfn.XLOOKUP(FACT_IMPORTS[[#This Row],[country_name]],DIM_COUNTRY[[#All],[Column2]],DIM_COUNTRY[[#All],[Column3]],,,)</f>
        <v>USMCA</v>
      </c>
    </row>
    <row r="1835" spans="1:9" x14ac:dyDescent="0.4">
      <c r="A1835" t="s">
        <v>61</v>
      </c>
      <c r="B1835" s="1">
        <v>45689</v>
      </c>
      <c r="C1835">
        <v>870870</v>
      </c>
      <c r="D1835" t="s">
        <v>176</v>
      </c>
      <c r="E1835">
        <v>5892433</v>
      </c>
      <c r="F1835">
        <v>9290384</v>
      </c>
      <c r="G1835">
        <v>51655</v>
      </c>
      <c r="H1835">
        <f>_xlfn.XLOOKUP(FACT_IMPORTS[[#This Row],[hts_6]],DIM_PRODUCTS[hts_6],DIM_PRODUCTS[hts_4],,,)</f>
        <v>8708</v>
      </c>
      <c r="I1835" t="str" cm="1">
        <f t="array" ref="I1835">_xlfn.XLOOKUP(FACT_IMPORTS[[#This Row],[country_name]],DIM_COUNTRY[[#All],[Column2]],DIM_COUNTRY[[#All],[Column3]],,,)</f>
        <v>USMCA</v>
      </c>
    </row>
    <row r="1836" spans="1:9" x14ac:dyDescent="0.4">
      <c r="A1836" t="s">
        <v>61</v>
      </c>
      <c r="B1836" s="1">
        <v>45689</v>
      </c>
      <c r="C1836">
        <v>870880</v>
      </c>
      <c r="D1836" t="s">
        <v>176</v>
      </c>
      <c r="E1836">
        <v>60728706</v>
      </c>
      <c r="F1836">
        <v>2845400</v>
      </c>
      <c r="G1836">
        <v>772801</v>
      </c>
      <c r="H1836">
        <f>_xlfn.XLOOKUP(FACT_IMPORTS[[#This Row],[hts_6]],DIM_PRODUCTS[hts_6],DIM_PRODUCTS[hts_4],,,)</f>
        <v>8708</v>
      </c>
      <c r="I1836" t="str" cm="1">
        <f t="array" ref="I1836">_xlfn.XLOOKUP(FACT_IMPORTS[[#This Row],[country_name]],DIM_COUNTRY[[#All],[Column2]],DIM_COUNTRY[[#All],[Column3]],,,)</f>
        <v>USMCA</v>
      </c>
    </row>
    <row r="1837" spans="1:9" x14ac:dyDescent="0.4">
      <c r="A1837" t="s">
        <v>61</v>
      </c>
      <c r="B1837" s="1">
        <v>45689</v>
      </c>
      <c r="C1837">
        <v>870891</v>
      </c>
      <c r="D1837" t="s">
        <v>176</v>
      </c>
      <c r="E1837">
        <v>14808758</v>
      </c>
      <c r="F1837">
        <v>311809</v>
      </c>
      <c r="G1837">
        <v>269097</v>
      </c>
      <c r="H1837">
        <f>_xlfn.XLOOKUP(FACT_IMPORTS[[#This Row],[hts_6]],DIM_PRODUCTS[hts_6],DIM_PRODUCTS[hts_4],,,)</f>
        <v>8708</v>
      </c>
      <c r="I1837" t="str" cm="1">
        <f t="array" ref="I1837">_xlfn.XLOOKUP(FACT_IMPORTS[[#This Row],[country_name]],DIM_COUNTRY[[#All],[Column2]],DIM_COUNTRY[[#All],[Column3]],,,)</f>
        <v>USMCA</v>
      </c>
    </row>
    <row r="1838" spans="1:9" x14ac:dyDescent="0.4">
      <c r="A1838" t="s">
        <v>61</v>
      </c>
      <c r="B1838" s="1">
        <v>45689</v>
      </c>
      <c r="C1838">
        <v>870892</v>
      </c>
      <c r="D1838" t="s">
        <v>176</v>
      </c>
      <c r="E1838">
        <v>15247672</v>
      </c>
      <c r="F1838">
        <v>1065873</v>
      </c>
      <c r="G1838">
        <v>284913</v>
      </c>
      <c r="H1838">
        <f>_xlfn.XLOOKUP(FACT_IMPORTS[[#This Row],[hts_6]],DIM_PRODUCTS[hts_6],DIM_PRODUCTS[hts_4],,,)</f>
        <v>8708</v>
      </c>
      <c r="I1838" t="str" cm="1">
        <f t="array" ref="I1838">_xlfn.XLOOKUP(FACT_IMPORTS[[#This Row],[country_name]],DIM_COUNTRY[[#All],[Column2]],DIM_COUNTRY[[#All],[Column3]],,,)</f>
        <v>USMCA</v>
      </c>
    </row>
    <row r="1839" spans="1:9" x14ac:dyDescent="0.4">
      <c r="A1839" t="s">
        <v>61</v>
      </c>
      <c r="B1839" s="1">
        <v>45689</v>
      </c>
      <c r="C1839">
        <v>870893</v>
      </c>
      <c r="D1839" t="s">
        <v>176</v>
      </c>
      <c r="E1839">
        <v>44853372</v>
      </c>
      <c r="F1839">
        <v>1419470</v>
      </c>
      <c r="G1839">
        <v>55875</v>
      </c>
      <c r="H1839">
        <f>_xlfn.XLOOKUP(FACT_IMPORTS[[#This Row],[hts_6]],DIM_PRODUCTS[hts_6],DIM_PRODUCTS[hts_4],,,)</f>
        <v>8708</v>
      </c>
      <c r="I1839" t="str" cm="1">
        <f t="array" ref="I1839">_xlfn.XLOOKUP(FACT_IMPORTS[[#This Row],[country_name]],DIM_COUNTRY[[#All],[Column2]],DIM_COUNTRY[[#All],[Column3]],,,)</f>
        <v>USMCA</v>
      </c>
    </row>
    <row r="1840" spans="1:9" x14ac:dyDescent="0.4">
      <c r="A1840" t="s">
        <v>61</v>
      </c>
      <c r="B1840" s="1">
        <v>45689</v>
      </c>
      <c r="C1840">
        <v>870894</v>
      </c>
      <c r="D1840" t="s">
        <v>176</v>
      </c>
      <c r="E1840">
        <v>8456926</v>
      </c>
      <c r="F1840">
        <v>2622849</v>
      </c>
      <c r="G1840">
        <v>120015</v>
      </c>
      <c r="H1840">
        <f>_xlfn.XLOOKUP(FACT_IMPORTS[[#This Row],[hts_6]],DIM_PRODUCTS[hts_6],DIM_PRODUCTS[hts_4],,,)</f>
        <v>8708</v>
      </c>
      <c r="I1840" t="str" cm="1">
        <f t="array" ref="I1840">_xlfn.XLOOKUP(FACT_IMPORTS[[#This Row],[country_name]],DIM_COUNTRY[[#All],[Column2]],DIM_COUNTRY[[#All],[Column3]],,,)</f>
        <v>USMCA</v>
      </c>
    </row>
    <row r="1841" spans="1:9" x14ac:dyDescent="0.4">
      <c r="A1841" t="s">
        <v>61</v>
      </c>
      <c r="B1841" s="1">
        <v>45689</v>
      </c>
      <c r="C1841">
        <v>870895</v>
      </c>
      <c r="D1841" t="s">
        <v>176</v>
      </c>
      <c r="E1841">
        <v>1594210</v>
      </c>
      <c r="F1841">
        <v>986184</v>
      </c>
      <c r="G1841">
        <v>10301</v>
      </c>
      <c r="H1841">
        <f>_xlfn.XLOOKUP(FACT_IMPORTS[[#This Row],[hts_6]],DIM_PRODUCTS[hts_6],DIM_PRODUCTS[hts_4],,,)</f>
        <v>8708</v>
      </c>
      <c r="I1841" t="str" cm="1">
        <f t="array" ref="I1841">_xlfn.XLOOKUP(FACT_IMPORTS[[#This Row],[country_name]],DIM_COUNTRY[[#All],[Column2]],DIM_COUNTRY[[#All],[Column3]],,,)</f>
        <v>USMCA</v>
      </c>
    </row>
    <row r="1842" spans="1:9" x14ac:dyDescent="0.4">
      <c r="A1842" t="s">
        <v>61</v>
      </c>
      <c r="B1842" s="1">
        <v>45689</v>
      </c>
      <c r="C1842">
        <v>870899</v>
      </c>
      <c r="D1842" t="s">
        <v>176</v>
      </c>
      <c r="E1842">
        <v>153249336</v>
      </c>
      <c r="F1842">
        <v>13557105</v>
      </c>
      <c r="G1842">
        <v>1878546</v>
      </c>
      <c r="H1842">
        <f>_xlfn.XLOOKUP(FACT_IMPORTS[[#This Row],[hts_6]],DIM_PRODUCTS[hts_6],DIM_PRODUCTS[hts_4],,,)</f>
        <v>8708</v>
      </c>
      <c r="I1842" t="str" cm="1">
        <f t="array" ref="I1842">_xlfn.XLOOKUP(FACT_IMPORTS[[#This Row],[country_name]],DIM_COUNTRY[[#All],[Column2]],DIM_COUNTRY[[#All],[Column3]],,,)</f>
        <v>USMCA</v>
      </c>
    </row>
    <row r="1843" spans="1:9" x14ac:dyDescent="0.4">
      <c r="A1843" t="s">
        <v>61</v>
      </c>
      <c r="B1843" s="1">
        <v>45689</v>
      </c>
      <c r="C1843">
        <v>940120</v>
      </c>
      <c r="D1843" t="s">
        <v>176</v>
      </c>
      <c r="E1843">
        <v>796078</v>
      </c>
      <c r="F1843">
        <v>34315</v>
      </c>
      <c r="G1843">
        <v>7457</v>
      </c>
      <c r="H1843">
        <f>_xlfn.XLOOKUP(FACT_IMPORTS[[#This Row],[hts_6]],DIM_PRODUCTS[hts_6],DIM_PRODUCTS[hts_4],,,)</f>
        <v>9401</v>
      </c>
      <c r="I1843" t="str" cm="1">
        <f t="array" ref="I1843">_xlfn.XLOOKUP(FACT_IMPORTS[[#This Row],[country_name]],DIM_COUNTRY[[#All],[Column2]],DIM_COUNTRY[[#All],[Column3]],,,)</f>
        <v>USMCA</v>
      </c>
    </row>
    <row r="1844" spans="1:9" x14ac:dyDescent="0.4">
      <c r="A1844" t="s">
        <v>61</v>
      </c>
      <c r="B1844" s="1">
        <v>45717</v>
      </c>
      <c r="C1844">
        <v>392630</v>
      </c>
      <c r="D1844" t="s">
        <v>176</v>
      </c>
      <c r="E1844">
        <v>4119300</v>
      </c>
      <c r="F1844">
        <v>613272</v>
      </c>
      <c r="G1844">
        <v>195320</v>
      </c>
      <c r="H1844">
        <f>_xlfn.XLOOKUP(FACT_IMPORTS[[#This Row],[hts_6]],DIM_PRODUCTS[hts_6],DIM_PRODUCTS[hts_4],,,)</f>
        <v>3926</v>
      </c>
      <c r="I1844" t="str" cm="1">
        <f t="array" ref="I1844">_xlfn.XLOOKUP(FACT_IMPORTS[[#This Row],[country_name]],DIM_COUNTRY[[#All],[Column2]],DIM_COUNTRY[[#All],[Column3]],,,)</f>
        <v>USMCA</v>
      </c>
    </row>
    <row r="1845" spans="1:9" x14ac:dyDescent="0.4">
      <c r="A1845" t="s">
        <v>61</v>
      </c>
      <c r="B1845" s="1">
        <v>45717</v>
      </c>
      <c r="C1845">
        <v>401110</v>
      </c>
      <c r="D1845" t="s">
        <v>176</v>
      </c>
      <c r="E1845">
        <v>59619735</v>
      </c>
      <c r="F1845">
        <v>744339</v>
      </c>
      <c r="G1845">
        <v>362208</v>
      </c>
      <c r="H1845">
        <f>_xlfn.XLOOKUP(FACT_IMPORTS[[#This Row],[hts_6]],DIM_PRODUCTS[hts_6],DIM_PRODUCTS[hts_4],,,)</f>
        <v>4011</v>
      </c>
      <c r="I1845" t="str" cm="1">
        <f t="array" ref="I1845">_xlfn.XLOOKUP(FACT_IMPORTS[[#This Row],[country_name]],DIM_COUNTRY[[#All],[Column2]],DIM_COUNTRY[[#All],[Column3]],,,)</f>
        <v>USMCA</v>
      </c>
    </row>
    <row r="1846" spans="1:9" x14ac:dyDescent="0.4">
      <c r="A1846" t="s">
        <v>61</v>
      </c>
      <c r="B1846" s="1">
        <v>45717</v>
      </c>
      <c r="C1846">
        <v>401120</v>
      </c>
      <c r="D1846" t="s">
        <v>176</v>
      </c>
      <c r="E1846">
        <v>58490092</v>
      </c>
      <c r="F1846">
        <v>315641</v>
      </c>
      <c r="G1846">
        <v>350527</v>
      </c>
      <c r="H1846">
        <f>_xlfn.XLOOKUP(FACT_IMPORTS[[#This Row],[hts_6]],DIM_PRODUCTS[hts_6],DIM_PRODUCTS[hts_4],,,)</f>
        <v>4011</v>
      </c>
      <c r="I1846" t="str" cm="1">
        <f t="array" ref="I1846">_xlfn.XLOOKUP(FACT_IMPORTS[[#This Row],[country_name]],DIM_COUNTRY[[#All],[Column2]],DIM_COUNTRY[[#All],[Column3]],,,)</f>
        <v>USMCA</v>
      </c>
    </row>
    <row r="1847" spans="1:9" x14ac:dyDescent="0.4">
      <c r="A1847" t="s">
        <v>61</v>
      </c>
      <c r="B1847" s="1">
        <v>45717</v>
      </c>
      <c r="C1847">
        <v>401140</v>
      </c>
      <c r="D1847" t="s">
        <v>176</v>
      </c>
      <c r="E1847">
        <v>0</v>
      </c>
      <c r="F1847">
        <v>0</v>
      </c>
      <c r="G1847">
        <v>0</v>
      </c>
      <c r="H1847">
        <f>_xlfn.XLOOKUP(FACT_IMPORTS[[#This Row],[hts_6]],DIM_PRODUCTS[hts_6],DIM_PRODUCTS[hts_4],,,)</f>
        <v>4011</v>
      </c>
      <c r="I1847" t="str" cm="1">
        <f t="array" ref="I1847">_xlfn.XLOOKUP(FACT_IMPORTS[[#This Row],[country_name]],DIM_COUNTRY[[#All],[Column2]],DIM_COUNTRY[[#All],[Column3]],,,)</f>
        <v>USMCA</v>
      </c>
    </row>
    <row r="1848" spans="1:9" x14ac:dyDescent="0.4">
      <c r="A1848" t="s">
        <v>61</v>
      </c>
      <c r="B1848" s="1">
        <v>45717</v>
      </c>
      <c r="C1848">
        <v>401190</v>
      </c>
      <c r="D1848" t="s">
        <v>176</v>
      </c>
      <c r="E1848">
        <v>453796</v>
      </c>
      <c r="F1848">
        <v>1558</v>
      </c>
      <c r="G1848">
        <v>458</v>
      </c>
      <c r="H1848">
        <f>_xlfn.XLOOKUP(FACT_IMPORTS[[#This Row],[hts_6]],DIM_PRODUCTS[hts_6],DIM_PRODUCTS[hts_4],,,)</f>
        <v>4011</v>
      </c>
      <c r="I1848" t="str" cm="1">
        <f t="array" ref="I1848">_xlfn.XLOOKUP(FACT_IMPORTS[[#This Row],[country_name]],DIM_COUNTRY[[#All],[Column2]],DIM_COUNTRY[[#All],[Column3]],,,)</f>
        <v>USMCA</v>
      </c>
    </row>
    <row r="1849" spans="1:9" x14ac:dyDescent="0.4">
      <c r="A1849" t="s">
        <v>61</v>
      </c>
      <c r="B1849" s="1">
        <v>45717</v>
      </c>
      <c r="C1849">
        <v>700711</v>
      </c>
      <c r="D1849" t="s">
        <v>176</v>
      </c>
      <c r="E1849">
        <v>561446</v>
      </c>
      <c r="F1849">
        <v>2208</v>
      </c>
      <c r="G1849">
        <v>15569</v>
      </c>
      <c r="H1849">
        <f>_xlfn.XLOOKUP(FACT_IMPORTS[[#This Row],[hts_6]],DIM_PRODUCTS[hts_6],DIM_PRODUCTS[hts_4],,,)</f>
        <v>7007</v>
      </c>
      <c r="I1849" t="str" cm="1">
        <f t="array" ref="I1849">_xlfn.XLOOKUP(FACT_IMPORTS[[#This Row],[country_name]],DIM_COUNTRY[[#All],[Column2]],DIM_COUNTRY[[#All],[Column3]],,,)</f>
        <v>USMCA</v>
      </c>
    </row>
    <row r="1850" spans="1:9" x14ac:dyDescent="0.4">
      <c r="A1850" t="s">
        <v>61</v>
      </c>
      <c r="B1850" s="1">
        <v>45717</v>
      </c>
      <c r="C1850">
        <v>700721</v>
      </c>
      <c r="D1850" t="s">
        <v>176</v>
      </c>
      <c r="E1850">
        <v>35970</v>
      </c>
      <c r="F1850">
        <v>57</v>
      </c>
      <c r="G1850">
        <v>974</v>
      </c>
      <c r="H1850">
        <f>_xlfn.XLOOKUP(FACT_IMPORTS[[#This Row],[hts_6]],DIM_PRODUCTS[hts_6],DIM_PRODUCTS[hts_4],,,)</f>
        <v>7007</v>
      </c>
      <c r="I1850" t="str" cm="1">
        <f t="array" ref="I1850">_xlfn.XLOOKUP(FACT_IMPORTS[[#This Row],[country_name]],DIM_COUNTRY[[#All],[Column2]],DIM_COUNTRY[[#All],[Column3]],,,)</f>
        <v>USMCA</v>
      </c>
    </row>
    <row r="1851" spans="1:9" x14ac:dyDescent="0.4">
      <c r="A1851" t="s">
        <v>61</v>
      </c>
      <c r="B1851" s="1">
        <v>45717</v>
      </c>
      <c r="C1851">
        <v>700910</v>
      </c>
      <c r="D1851" t="s">
        <v>176</v>
      </c>
      <c r="E1851">
        <v>320135</v>
      </c>
      <c r="F1851">
        <v>4649</v>
      </c>
      <c r="G1851">
        <v>1110</v>
      </c>
      <c r="H1851">
        <f>_xlfn.XLOOKUP(FACT_IMPORTS[[#This Row],[hts_6]],DIM_PRODUCTS[hts_6],DIM_PRODUCTS[hts_4],,,)</f>
        <v>7009</v>
      </c>
      <c r="I1851" t="str" cm="1">
        <f t="array" ref="I1851">_xlfn.XLOOKUP(FACT_IMPORTS[[#This Row],[country_name]],DIM_COUNTRY[[#All],[Column2]],DIM_COUNTRY[[#All],[Column3]],,,)</f>
        <v>USMCA</v>
      </c>
    </row>
    <row r="1852" spans="1:9" x14ac:dyDescent="0.4">
      <c r="A1852" t="s">
        <v>61</v>
      </c>
      <c r="B1852" s="1">
        <v>45717</v>
      </c>
      <c r="C1852">
        <v>732010</v>
      </c>
      <c r="D1852" t="s">
        <v>176</v>
      </c>
      <c r="E1852">
        <v>3364337</v>
      </c>
      <c r="F1852">
        <v>991733</v>
      </c>
      <c r="G1852">
        <v>26190</v>
      </c>
      <c r="H1852">
        <f>_xlfn.XLOOKUP(FACT_IMPORTS[[#This Row],[hts_6]],DIM_PRODUCTS[hts_6],DIM_PRODUCTS[hts_4],,,)</f>
        <v>7320</v>
      </c>
      <c r="I1852" t="str" cm="1">
        <f t="array" ref="I1852">_xlfn.XLOOKUP(FACT_IMPORTS[[#This Row],[country_name]],DIM_COUNTRY[[#All],[Column2]],DIM_COUNTRY[[#All],[Column3]],,,)</f>
        <v>USMCA</v>
      </c>
    </row>
    <row r="1853" spans="1:9" x14ac:dyDescent="0.4">
      <c r="A1853" t="s">
        <v>61</v>
      </c>
      <c r="B1853" s="1">
        <v>45717</v>
      </c>
      <c r="C1853">
        <v>830230</v>
      </c>
      <c r="D1853" t="s">
        <v>176</v>
      </c>
      <c r="E1853">
        <v>34312631</v>
      </c>
      <c r="F1853">
        <v>7273404</v>
      </c>
      <c r="G1853">
        <v>1319788</v>
      </c>
      <c r="H1853">
        <f>_xlfn.XLOOKUP(FACT_IMPORTS[[#This Row],[hts_6]],DIM_PRODUCTS[hts_6],DIM_PRODUCTS[hts_4],,,)</f>
        <v>8302</v>
      </c>
      <c r="I1853" t="str" cm="1">
        <f t="array" ref="I1853">_xlfn.XLOOKUP(FACT_IMPORTS[[#This Row],[country_name]],DIM_COUNTRY[[#All],[Column2]],DIM_COUNTRY[[#All],[Column3]],,,)</f>
        <v>USMCA</v>
      </c>
    </row>
    <row r="1854" spans="1:9" x14ac:dyDescent="0.4">
      <c r="A1854" t="s">
        <v>61</v>
      </c>
      <c r="B1854" s="1">
        <v>45717</v>
      </c>
      <c r="C1854">
        <v>840733</v>
      </c>
      <c r="D1854" t="s">
        <v>176</v>
      </c>
      <c r="E1854">
        <v>0</v>
      </c>
      <c r="F1854">
        <v>0</v>
      </c>
      <c r="G1854">
        <v>0</v>
      </c>
      <c r="H1854">
        <f>_xlfn.XLOOKUP(FACT_IMPORTS[[#This Row],[hts_6]],DIM_PRODUCTS[hts_6],DIM_PRODUCTS[hts_4],,,)</f>
        <v>8407</v>
      </c>
      <c r="I1854" t="str" cm="1">
        <f t="array" ref="I1854">_xlfn.XLOOKUP(FACT_IMPORTS[[#This Row],[country_name]],DIM_COUNTRY[[#All],[Column2]],DIM_COUNTRY[[#All],[Column3]],,,)</f>
        <v>USMCA</v>
      </c>
    </row>
    <row r="1855" spans="1:9" x14ac:dyDescent="0.4">
      <c r="A1855" t="s">
        <v>61</v>
      </c>
      <c r="B1855" s="1">
        <v>45717</v>
      </c>
      <c r="C1855">
        <v>840734</v>
      </c>
      <c r="D1855" t="s">
        <v>176</v>
      </c>
      <c r="E1855">
        <v>167197933</v>
      </c>
      <c r="F1855">
        <v>55946</v>
      </c>
      <c r="G1855">
        <v>57156</v>
      </c>
      <c r="H1855">
        <f>_xlfn.XLOOKUP(FACT_IMPORTS[[#This Row],[hts_6]],DIM_PRODUCTS[hts_6],DIM_PRODUCTS[hts_4],,,)</f>
        <v>8407</v>
      </c>
      <c r="I1855" t="str" cm="1">
        <f t="array" ref="I1855">_xlfn.XLOOKUP(FACT_IMPORTS[[#This Row],[country_name]],DIM_COUNTRY[[#All],[Column2]],DIM_COUNTRY[[#All],[Column3]],,,)</f>
        <v>USMCA</v>
      </c>
    </row>
    <row r="1856" spans="1:9" x14ac:dyDescent="0.4">
      <c r="A1856" t="s">
        <v>61</v>
      </c>
      <c r="B1856" s="1">
        <v>45717</v>
      </c>
      <c r="C1856">
        <v>840790</v>
      </c>
      <c r="D1856" t="s">
        <v>176</v>
      </c>
      <c r="E1856">
        <v>8892215</v>
      </c>
      <c r="F1856">
        <v>3554</v>
      </c>
      <c r="G1856">
        <v>3637</v>
      </c>
      <c r="H1856">
        <f>_xlfn.XLOOKUP(FACT_IMPORTS[[#This Row],[hts_6]],DIM_PRODUCTS[hts_6],DIM_PRODUCTS[hts_4],,,)</f>
        <v>8407</v>
      </c>
      <c r="I1856" t="str" cm="1">
        <f t="array" ref="I1856">_xlfn.XLOOKUP(FACT_IMPORTS[[#This Row],[country_name]],DIM_COUNTRY[[#All],[Column2]],DIM_COUNTRY[[#All],[Column3]],,,)</f>
        <v>USMCA</v>
      </c>
    </row>
    <row r="1857" spans="1:9" x14ac:dyDescent="0.4">
      <c r="A1857" t="s">
        <v>61</v>
      </c>
      <c r="B1857" s="1">
        <v>45717</v>
      </c>
      <c r="C1857">
        <v>840820</v>
      </c>
      <c r="D1857" t="s">
        <v>176</v>
      </c>
      <c r="E1857">
        <v>307251</v>
      </c>
      <c r="F1857">
        <v>43</v>
      </c>
      <c r="G1857">
        <v>988</v>
      </c>
      <c r="H1857">
        <f>_xlfn.XLOOKUP(FACT_IMPORTS[[#This Row],[hts_6]],DIM_PRODUCTS[hts_6],DIM_PRODUCTS[hts_4],,,)</f>
        <v>8408</v>
      </c>
      <c r="I1857" t="str" cm="1">
        <f t="array" ref="I1857">_xlfn.XLOOKUP(FACT_IMPORTS[[#This Row],[country_name]],DIM_COUNTRY[[#All],[Column2]],DIM_COUNTRY[[#All],[Column3]],,,)</f>
        <v>USMCA</v>
      </c>
    </row>
    <row r="1858" spans="1:9" x14ac:dyDescent="0.4">
      <c r="A1858" t="s">
        <v>61</v>
      </c>
      <c r="B1858" s="1">
        <v>45717</v>
      </c>
      <c r="C1858">
        <v>840890</v>
      </c>
      <c r="D1858" t="s">
        <v>176</v>
      </c>
      <c r="E1858">
        <v>174024</v>
      </c>
      <c r="F1858">
        <v>14</v>
      </c>
      <c r="G1858">
        <v>611</v>
      </c>
      <c r="H1858">
        <f>_xlfn.XLOOKUP(FACT_IMPORTS[[#This Row],[hts_6]],DIM_PRODUCTS[hts_6],DIM_PRODUCTS[hts_4],,,)</f>
        <v>8408</v>
      </c>
      <c r="I1858" t="str" cm="1">
        <f t="array" ref="I1858">_xlfn.XLOOKUP(FACT_IMPORTS[[#This Row],[country_name]],DIM_COUNTRY[[#All],[Column2]],DIM_COUNTRY[[#All],[Column3]],,,)</f>
        <v>USMCA</v>
      </c>
    </row>
    <row r="1859" spans="1:9" x14ac:dyDescent="0.4">
      <c r="A1859" t="s">
        <v>61</v>
      </c>
      <c r="B1859" s="1">
        <v>45717</v>
      </c>
      <c r="C1859">
        <v>840991</v>
      </c>
      <c r="D1859" t="s">
        <v>176</v>
      </c>
      <c r="E1859">
        <v>39856507</v>
      </c>
      <c r="F1859">
        <v>3472514</v>
      </c>
      <c r="G1859">
        <v>177785</v>
      </c>
      <c r="H1859">
        <f>_xlfn.XLOOKUP(FACT_IMPORTS[[#This Row],[hts_6]],DIM_PRODUCTS[hts_6],DIM_PRODUCTS[hts_4],,,)</f>
        <v>8409</v>
      </c>
      <c r="I1859" t="str" cm="1">
        <f t="array" ref="I1859">_xlfn.XLOOKUP(FACT_IMPORTS[[#This Row],[country_name]],DIM_COUNTRY[[#All],[Column2]],DIM_COUNTRY[[#All],[Column3]],,,)</f>
        <v>USMCA</v>
      </c>
    </row>
    <row r="1860" spans="1:9" x14ac:dyDescent="0.4">
      <c r="A1860" t="s">
        <v>61</v>
      </c>
      <c r="B1860" s="1">
        <v>45717</v>
      </c>
      <c r="C1860">
        <v>840999</v>
      </c>
      <c r="D1860" t="s">
        <v>176</v>
      </c>
      <c r="E1860">
        <v>13599272</v>
      </c>
      <c r="F1860">
        <v>1160976</v>
      </c>
      <c r="G1860">
        <v>113227</v>
      </c>
      <c r="H1860">
        <f>_xlfn.XLOOKUP(FACT_IMPORTS[[#This Row],[hts_6]],DIM_PRODUCTS[hts_6],DIM_PRODUCTS[hts_4],,,)</f>
        <v>8409</v>
      </c>
      <c r="I1860" t="str" cm="1">
        <f t="array" ref="I1860">_xlfn.XLOOKUP(FACT_IMPORTS[[#This Row],[country_name]],DIM_COUNTRY[[#All],[Column2]],DIM_COUNTRY[[#All],[Column3]],,,)</f>
        <v>USMCA</v>
      </c>
    </row>
    <row r="1861" spans="1:9" x14ac:dyDescent="0.4">
      <c r="A1861" t="s">
        <v>61</v>
      </c>
      <c r="B1861" s="1">
        <v>45717</v>
      </c>
      <c r="C1861">
        <v>841330</v>
      </c>
      <c r="D1861" t="s">
        <v>176</v>
      </c>
      <c r="E1861">
        <v>9771381</v>
      </c>
      <c r="F1861">
        <v>185705</v>
      </c>
      <c r="G1861">
        <v>25173</v>
      </c>
      <c r="H1861">
        <f>_xlfn.XLOOKUP(FACT_IMPORTS[[#This Row],[hts_6]],DIM_PRODUCTS[hts_6],DIM_PRODUCTS[hts_4],,,)</f>
        <v>8413</v>
      </c>
      <c r="I1861" t="str" cm="1">
        <f t="array" ref="I1861">_xlfn.XLOOKUP(FACT_IMPORTS[[#This Row],[country_name]],DIM_COUNTRY[[#All],[Column2]],DIM_COUNTRY[[#All],[Column3]],,,)</f>
        <v>USMCA</v>
      </c>
    </row>
    <row r="1862" spans="1:9" x14ac:dyDescent="0.4">
      <c r="A1862" t="s">
        <v>61</v>
      </c>
      <c r="B1862" s="1">
        <v>45717</v>
      </c>
      <c r="C1862">
        <v>841520</v>
      </c>
      <c r="D1862" t="s">
        <v>176</v>
      </c>
      <c r="E1862">
        <v>7554868</v>
      </c>
      <c r="F1862">
        <v>44322</v>
      </c>
      <c r="G1862">
        <v>163459</v>
      </c>
      <c r="H1862">
        <f>_xlfn.XLOOKUP(FACT_IMPORTS[[#This Row],[hts_6]],DIM_PRODUCTS[hts_6],DIM_PRODUCTS[hts_4],,,)</f>
        <v>8415</v>
      </c>
      <c r="I1862" t="str" cm="1">
        <f t="array" ref="I1862">_xlfn.XLOOKUP(FACT_IMPORTS[[#This Row],[country_name]],DIM_COUNTRY[[#All],[Column2]],DIM_COUNTRY[[#All],[Column3]],,,)</f>
        <v>USMCA</v>
      </c>
    </row>
    <row r="1863" spans="1:9" x14ac:dyDescent="0.4">
      <c r="A1863" t="s">
        <v>61</v>
      </c>
      <c r="B1863" s="1">
        <v>45717</v>
      </c>
      <c r="C1863">
        <v>842132</v>
      </c>
      <c r="D1863" t="s">
        <v>176</v>
      </c>
      <c r="E1863">
        <v>25883496</v>
      </c>
      <c r="F1863">
        <v>68675</v>
      </c>
      <c r="G1863">
        <v>91910</v>
      </c>
      <c r="H1863">
        <f>_xlfn.XLOOKUP(FACT_IMPORTS[[#This Row],[hts_6]],DIM_PRODUCTS[hts_6],DIM_PRODUCTS[hts_4],,,)</f>
        <v>8421</v>
      </c>
      <c r="I1863" t="str" cm="1">
        <f t="array" ref="I1863">_xlfn.XLOOKUP(FACT_IMPORTS[[#This Row],[country_name]],DIM_COUNTRY[[#All],[Column2]],DIM_COUNTRY[[#All],[Column3]],,,)</f>
        <v>USMCA</v>
      </c>
    </row>
    <row r="1864" spans="1:9" x14ac:dyDescent="0.4">
      <c r="A1864" t="s">
        <v>61</v>
      </c>
      <c r="B1864" s="1">
        <v>45717</v>
      </c>
      <c r="C1864">
        <v>848210</v>
      </c>
      <c r="D1864" t="s">
        <v>176</v>
      </c>
      <c r="E1864">
        <v>4876543</v>
      </c>
      <c r="F1864">
        <v>440632</v>
      </c>
      <c r="G1864">
        <v>32654</v>
      </c>
      <c r="H1864">
        <f>_xlfn.XLOOKUP(FACT_IMPORTS[[#This Row],[hts_6]],DIM_PRODUCTS[hts_6],DIM_PRODUCTS[hts_4],,,)</f>
        <v>8482</v>
      </c>
      <c r="I1864" t="str" cm="1">
        <f t="array" ref="I1864">_xlfn.XLOOKUP(FACT_IMPORTS[[#This Row],[country_name]],DIM_COUNTRY[[#All],[Column2]],DIM_COUNTRY[[#All],[Column3]],,,)</f>
        <v>USMCA</v>
      </c>
    </row>
    <row r="1865" spans="1:9" x14ac:dyDescent="0.4">
      <c r="A1865" t="s">
        <v>61</v>
      </c>
      <c r="B1865" s="1">
        <v>45717</v>
      </c>
      <c r="C1865">
        <v>848220</v>
      </c>
      <c r="D1865" t="s">
        <v>176</v>
      </c>
      <c r="E1865">
        <v>119565</v>
      </c>
      <c r="F1865">
        <v>3307</v>
      </c>
      <c r="G1865">
        <v>7168</v>
      </c>
      <c r="H1865">
        <f>_xlfn.XLOOKUP(FACT_IMPORTS[[#This Row],[hts_6]],DIM_PRODUCTS[hts_6],DIM_PRODUCTS[hts_4],,,)</f>
        <v>8482</v>
      </c>
      <c r="I1865" t="str" cm="1">
        <f t="array" ref="I1865">_xlfn.XLOOKUP(FACT_IMPORTS[[#This Row],[country_name]],DIM_COUNTRY[[#All],[Column2]],DIM_COUNTRY[[#All],[Column3]],,,)</f>
        <v>USMCA</v>
      </c>
    </row>
    <row r="1866" spans="1:9" x14ac:dyDescent="0.4">
      <c r="A1866" t="s">
        <v>61</v>
      </c>
      <c r="B1866" s="1">
        <v>45717</v>
      </c>
      <c r="C1866">
        <v>848310</v>
      </c>
      <c r="D1866" t="s">
        <v>176</v>
      </c>
      <c r="E1866">
        <v>19425781</v>
      </c>
      <c r="F1866">
        <v>580234</v>
      </c>
      <c r="G1866">
        <v>80011</v>
      </c>
      <c r="H1866">
        <f>_xlfn.XLOOKUP(FACT_IMPORTS[[#This Row],[hts_6]],DIM_PRODUCTS[hts_6],DIM_PRODUCTS[hts_4],,,)</f>
        <v>8483</v>
      </c>
      <c r="I1866" t="str" cm="1">
        <f t="array" ref="I1866">_xlfn.XLOOKUP(FACT_IMPORTS[[#This Row],[country_name]],DIM_COUNTRY[[#All],[Column2]],DIM_COUNTRY[[#All],[Column3]],,,)</f>
        <v>USMCA</v>
      </c>
    </row>
    <row r="1867" spans="1:9" x14ac:dyDescent="0.4">
      <c r="A1867" t="s">
        <v>61</v>
      </c>
      <c r="B1867" s="1">
        <v>45717</v>
      </c>
      <c r="C1867">
        <v>850131</v>
      </c>
      <c r="D1867" t="s">
        <v>176</v>
      </c>
      <c r="E1867">
        <v>2509941</v>
      </c>
      <c r="F1867">
        <v>81357</v>
      </c>
      <c r="G1867">
        <v>42048</v>
      </c>
      <c r="H1867">
        <f>_xlfn.XLOOKUP(FACT_IMPORTS[[#This Row],[hts_6]],DIM_PRODUCTS[hts_6],DIM_PRODUCTS[hts_4],,,)</f>
        <v>8501</v>
      </c>
      <c r="I1867" t="str" cm="1">
        <f t="array" ref="I1867">_xlfn.XLOOKUP(FACT_IMPORTS[[#This Row],[country_name]],DIM_COUNTRY[[#All],[Column2]],DIM_COUNTRY[[#All],[Column3]],,,)</f>
        <v>USMCA</v>
      </c>
    </row>
    <row r="1868" spans="1:9" x14ac:dyDescent="0.4">
      <c r="A1868" t="s">
        <v>61</v>
      </c>
      <c r="B1868" s="1">
        <v>45717</v>
      </c>
      <c r="C1868">
        <v>850132</v>
      </c>
      <c r="D1868" t="s">
        <v>176</v>
      </c>
      <c r="E1868">
        <v>253699</v>
      </c>
      <c r="F1868">
        <v>20</v>
      </c>
      <c r="G1868">
        <v>2060</v>
      </c>
      <c r="H1868">
        <f>_xlfn.XLOOKUP(FACT_IMPORTS[[#This Row],[hts_6]],DIM_PRODUCTS[hts_6],DIM_PRODUCTS[hts_4],,,)</f>
        <v>8501</v>
      </c>
      <c r="I1868" t="str" cm="1">
        <f t="array" ref="I1868">_xlfn.XLOOKUP(FACT_IMPORTS[[#This Row],[country_name]],DIM_COUNTRY[[#All],[Column2]],DIM_COUNTRY[[#All],[Column3]],,,)</f>
        <v>USMCA</v>
      </c>
    </row>
    <row r="1869" spans="1:9" x14ac:dyDescent="0.4">
      <c r="A1869" t="s">
        <v>61</v>
      </c>
      <c r="B1869" s="1">
        <v>45717</v>
      </c>
      <c r="C1869">
        <v>850133</v>
      </c>
      <c r="D1869" t="s">
        <v>176</v>
      </c>
      <c r="E1869">
        <v>36395</v>
      </c>
      <c r="F1869">
        <v>8</v>
      </c>
      <c r="G1869">
        <v>3543</v>
      </c>
      <c r="H1869">
        <f>_xlfn.XLOOKUP(FACT_IMPORTS[[#This Row],[hts_6]],DIM_PRODUCTS[hts_6],DIM_PRODUCTS[hts_4],,,)</f>
        <v>8501</v>
      </c>
      <c r="I1869" t="str" cm="1">
        <f t="array" ref="I1869">_xlfn.XLOOKUP(FACT_IMPORTS[[#This Row],[country_name]],DIM_COUNTRY[[#All],[Column2]],DIM_COUNTRY[[#All],[Column3]],,,)</f>
        <v>USMCA</v>
      </c>
    </row>
    <row r="1870" spans="1:9" x14ac:dyDescent="0.4">
      <c r="A1870" t="s">
        <v>61</v>
      </c>
      <c r="B1870" s="1">
        <v>45717</v>
      </c>
      <c r="C1870">
        <v>850134</v>
      </c>
      <c r="D1870" t="s">
        <v>176</v>
      </c>
      <c r="E1870">
        <v>4346</v>
      </c>
      <c r="F1870">
        <v>1</v>
      </c>
      <c r="G1870">
        <v>300</v>
      </c>
      <c r="H1870">
        <f>_xlfn.XLOOKUP(FACT_IMPORTS[[#This Row],[hts_6]],DIM_PRODUCTS[hts_6],DIM_PRODUCTS[hts_4],,,)</f>
        <v>8501</v>
      </c>
      <c r="I1870" t="str" cm="1">
        <f t="array" ref="I1870">_xlfn.XLOOKUP(FACT_IMPORTS[[#This Row],[country_name]],DIM_COUNTRY[[#All],[Column2]],DIM_COUNTRY[[#All],[Column3]],,,)</f>
        <v>USMCA</v>
      </c>
    </row>
    <row r="1871" spans="1:9" x14ac:dyDescent="0.4">
      <c r="A1871" t="s">
        <v>61</v>
      </c>
      <c r="B1871" s="1">
        <v>45717</v>
      </c>
      <c r="C1871">
        <v>850152</v>
      </c>
      <c r="D1871" t="s">
        <v>176</v>
      </c>
      <c r="E1871">
        <v>816412</v>
      </c>
      <c r="F1871">
        <v>589</v>
      </c>
      <c r="G1871">
        <v>11963</v>
      </c>
      <c r="H1871">
        <f>_xlfn.XLOOKUP(FACT_IMPORTS[[#This Row],[hts_6]],DIM_PRODUCTS[hts_6],DIM_PRODUCTS[hts_4],,,)</f>
        <v>8501</v>
      </c>
      <c r="I1871" t="str" cm="1">
        <f t="array" ref="I1871">_xlfn.XLOOKUP(FACT_IMPORTS[[#This Row],[country_name]],DIM_COUNTRY[[#All],[Column2]],DIM_COUNTRY[[#All],[Column3]],,,)</f>
        <v>USMCA</v>
      </c>
    </row>
    <row r="1872" spans="1:9" x14ac:dyDescent="0.4">
      <c r="A1872" t="s">
        <v>61</v>
      </c>
      <c r="B1872" s="1">
        <v>45717</v>
      </c>
      <c r="C1872">
        <v>850153</v>
      </c>
      <c r="D1872" t="s">
        <v>176</v>
      </c>
      <c r="E1872">
        <v>463686</v>
      </c>
      <c r="F1872">
        <v>20</v>
      </c>
      <c r="G1872">
        <v>2109</v>
      </c>
      <c r="H1872">
        <f>_xlfn.XLOOKUP(FACT_IMPORTS[[#This Row],[hts_6]],DIM_PRODUCTS[hts_6],DIM_PRODUCTS[hts_4],,,)</f>
        <v>8501</v>
      </c>
      <c r="I1872" t="str" cm="1">
        <f t="array" ref="I1872">_xlfn.XLOOKUP(FACT_IMPORTS[[#This Row],[country_name]],DIM_COUNTRY[[#All],[Column2]],DIM_COUNTRY[[#All],[Column3]],,,)</f>
        <v>USMCA</v>
      </c>
    </row>
    <row r="1873" spans="1:9" x14ac:dyDescent="0.4">
      <c r="A1873" t="s">
        <v>61</v>
      </c>
      <c r="B1873" s="1">
        <v>45717</v>
      </c>
      <c r="C1873">
        <v>850161</v>
      </c>
      <c r="D1873" t="s">
        <v>176</v>
      </c>
      <c r="E1873">
        <v>67423</v>
      </c>
      <c r="F1873">
        <v>117</v>
      </c>
      <c r="G1873">
        <v>604</v>
      </c>
      <c r="H1873">
        <f>_xlfn.XLOOKUP(FACT_IMPORTS[[#This Row],[hts_6]],DIM_PRODUCTS[hts_6],DIM_PRODUCTS[hts_4],,,)</f>
        <v>8501</v>
      </c>
      <c r="I1873" t="str" cm="1">
        <f t="array" ref="I1873">_xlfn.XLOOKUP(FACT_IMPORTS[[#This Row],[country_name]],DIM_COUNTRY[[#All],[Column2]],DIM_COUNTRY[[#All],[Column3]],,,)</f>
        <v>USMCA</v>
      </c>
    </row>
    <row r="1874" spans="1:9" x14ac:dyDescent="0.4">
      <c r="A1874" t="s">
        <v>61</v>
      </c>
      <c r="B1874" s="1">
        <v>45717</v>
      </c>
      <c r="C1874">
        <v>850440</v>
      </c>
      <c r="D1874" t="s">
        <v>176</v>
      </c>
      <c r="E1874">
        <v>9266382</v>
      </c>
      <c r="F1874">
        <v>5520</v>
      </c>
      <c r="G1874">
        <v>125800</v>
      </c>
      <c r="H1874">
        <f>_xlfn.XLOOKUP(FACT_IMPORTS[[#This Row],[hts_6]],DIM_PRODUCTS[hts_6],DIM_PRODUCTS[hts_4],,,)</f>
        <v>8504</v>
      </c>
      <c r="I1874" t="str" cm="1">
        <f t="array" ref="I1874">_xlfn.XLOOKUP(FACT_IMPORTS[[#This Row],[country_name]],DIM_COUNTRY[[#All],[Column2]],DIM_COUNTRY[[#All],[Column3]],,,)</f>
        <v>USMCA</v>
      </c>
    </row>
    <row r="1875" spans="1:9" x14ac:dyDescent="0.4">
      <c r="A1875" t="s">
        <v>61</v>
      </c>
      <c r="B1875" s="1">
        <v>45717</v>
      </c>
      <c r="C1875">
        <v>850710</v>
      </c>
      <c r="D1875" t="s">
        <v>176</v>
      </c>
      <c r="E1875">
        <v>1295441</v>
      </c>
      <c r="F1875">
        <v>6804</v>
      </c>
      <c r="G1875">
        <v>45368</v>
      </c>
      <c r="H1875">
        <f>_xlfn.XLOOKUP(FACT_IMPORTS[[#This Row],[hts_6]],DIM_PRODUCTS[hts_6],DIM_PRODUCTS[hts_4],,,)</f>
        <v>8507</v>
      </c>
      <c r="I1875" t="str" cm="1">
        <f t="array" ref="I1875">_xlfn.XLOOKUP(FACT_IMPORTS[[#This Row],[country_name]],DIM_COUNTRY[[#All],[Column2]],DIM_COUNTRY[[#All],[Column3]],,,)</f>
        <v>USMCA</v>
      </c>
    </row>
    <row r="1876" spans="1:9" x14ac:dyDescent="0.4">
      <c r="A1876" t="s">
        <v>61</v>
      </c>
      <c r="B1876" s="1">
        <v>45717</v>
      </c>
      <c r="C1876">
        <v>850760</v>
      </c>
      <c r="D1876" t="s">
        <v>176</v>
      </c>
      <c r="E1876">
        <v>18816256</v>
      </c>
      <c r="F1876">
        <v>98482</v>
      </c>
      <c r="G1876">
        <v>50268</v>
      </c>
      <c r="H1876">
        <f>_xlfn.XLOOKUP(FACT_IMPORTS[[#This Row],[hts_6]],DIM_PRODUCTS[hts_6],DIM_PRODUCTS[hts_4],,,)</f>
        <v>8507</v>
      </c>
      <c r="I1876" t="str" cm="1">
        <f t="array" ref="I1876">_xlfn.XLOOKUP(FACT_IMPORTS[[#This Row],[country_name]],DIM_COUNTRY[[#All],[Column2]],DIM_COUNTRY[[#All],[Column3]],,,)</f>
        <v>USMCA</v>
      </c>
    </row>
    <row r="1877" spans="1:9" x14ac:dyDescent="0.4">
      <c r="A1877" t="s">
        <v>61</v>
      </c>
      <c r="B1877" s="1">
        <v>45717</v>
      </c>
      <c r="C1877">
        <v>850790</v>
      </c>
      <c r="D1877" t="s">
        <v>176</v>
      </c>
      <c r="E1877">
        <v>1820174</v>
      </c>
      <c r="F1877">
        <v>132074</v>
      </c>
      <c r="G1877">
        <v>50622</v>
      </c>
      <c r="H1877">
        <f>_xlfn.XLOOKUP(FACT_IMPORTS[[#This Row],[hts_6]],DIM_PRODUCTS[hts_6],DIM_PRODUCTS[hts_4],,,)</f>
        <v>8507</v>
      </c>
      <c r="I1877" t="str" cm="1">
        <f t="array" ref="I1877">_xlfn.XLOOKUP(FACT_IMPORTS[[#This Row],[country_name]],DIM_COUNTRY[[#All],[Column2]],DIM_COUNTRY[[#All],[Column3]],,,)</f>
        <v>USMCA</v>
      </c>
    </row>
    <row r="1878" spans="1:9" x14ac:dyDescent="0.4">
      <c r="A1878" t="s">
        <v>61</v>
      </c>
      <c r="B1878" s="1">
        <v>45717</v>
      </c>
      <c r="C1878">
        <v>851110</v>
      </c>
      <c r="D1878" t="s">
        <v>176</v>
      </c>
      <c r="E1878">
        <v>10642</v>
      </c>
      <c r="F1878">
        <v>3</v>
      </c>
      <c r="G1878">
        <v>44</v>
      </c>
      <c r="H1878">
        <f>_xlfn.XLOOKUP(FACT_IMPORTS[[#This Row],[hts_6]],DIM_PRODUCTS[hts_6],DIM_PRODUCTS[hts_4],,,)</f>
        <v>8511</v>
      </c>
      <c r="I1878" t="str" cm="1">
        <f t="array" ref="I1878">_xlfn.XLOOKUP(FACT_IMPORTS[[#This Row],[country_name]],DIM_COUNTRY[[#All],[Column2]],DIM_COUNTRY[[#All],[Column3]],,,)</f>
        <v>USMCA</v>
      </c>
    </row>
    <row r="1879" spans="1:9" x14ac:dyDescent="0.4">
      <c r="A1879" t="s">
        <v>61</v>
      </c>
      <c r="B1879" s="1">
        <v>45717</v>
      </c>
      <c r="C1879">
        <v>851130</v>
      </c>
      <c r="D1879" t="s">
        <v>176</v>
      </c>
      <c r="E1879">
        <v>0</v>
      </c>
      <c r="F1879">
        <v>0</v>
      </c>
      <c r="G1879">
        <v>0</v>
      </c>
      <c r="H1879">
        <f>_xlfn.XLOOKUP(FACT_IMPORTS[[#This Row],[hts_6]],DIM_PRODUCTS[hts_6],DIM_PRODUCTS[hts_4],,,)</f>
        <v>8511</v>
      </c>
      <c r="I1879" t="str" cm="1">
        <f t="array" ref="I1879">_xlfn.XLOOKUP(FACT_IMPORTS[[#This Row],[country_name]],DIM_COUNTRY[[#All],[Column2]],DIM_COUNTRY[[#All],[Column3]],,,)</f>
        <v>USMCA</v>
      </c>
    </row>
    <row r="1880" spans="1:9" x14ac:dyDescent="0.4">
      <c r="A1880" t="s">
        <v>61</v>
      </c>
      <c r="B1880" s="1">
        <v>45717</v>
      </c>
      <c r="C1880">
        <v>851140</v>
      </c>
      <c r="D1880" t="s">
        <v>176</v>
      </c>
      <c r="E1880">
        <v>598701</v>
      </c>
      <c r="F1880">
        <v>17776</v>
      </c>
      <c r="G1880">
        <v>5162</v>
      </c>
      <c r="H1880">
        <f>_xlfn.XLOOKUP(FACT_IMPORTS[[#This Row],[hts_6]],DIM_PRODUCTS[hts_6],DIM_PRODUCTS[hts_4],,,)</f>
        <v>8511</v>
      </c>
      <c r="I1880" t="str" cm="1">
        <f t="array" ref="I1880">_xlfn.XLOOKUP(FACT_IMPORTS[[#This Row],[country_name]],DIM_COUNTRY[[#All],[Column2]],DIM_COUNTRY[[#All],[Column3]],,,)</f>
        <v>USMCA</v>
      </c>
    </row>
    <row r="1881" spans="1:9" x14ac:dyDescent="0.4">
      <c r="A1881" t="s">
        <v>61</v>
      </c>
      <c r="B1881" s="1">
        <v>45717</v>
      </c>
      <c r="C1881">
        <v>851150</v>
      </c>
      <c r="D1881" t="s">
        <v>176</v>
      </c>
      <c r="E1881">
        <v>405748</v>
      </c>
      <c r="F1881">
        <v>7537</v>
      </c>
      <c r="G1881">
        <v>6875</v>
      </c>
      <c r="H1881">
        <f>_xlfn.XLOOKUP(FACT_IMPORTS[[#This Row],[hts_6]],DIM_PRODUCTS[hts_6],DIM_PRODUCTS[hts_4],,,)</f>
        <v>8511</v>
      </c>
      <c r="I1881" t="str" cm="1">
        <f t="array" ref="I1881">_xlfn.XLOOKUP(FACT_IMPORTS[[#This Row],[country_name]],DIM_COUNTRY[[#All],[Column2]],DIM_COUNTRY[[#All],[Column3]],,,)</f>
        <v>USMCA</v>
      </c>
    </row>
    <row r="1882" spans="1:9" x14ac:dyDescent="0.4">
      <c r="A1882" t="s">
        <v>61</v>
      </c>
      <c r="B1882" s="1">
        <v>45717</v>
      </c>
      <c r="C1882">
        <v>851180</v>
      </c>
      <c r="D1882" t="s">
        <v>176</v>
      </c>
      <c r="E1882">
        <v>108317</v>
      </c>
      <c r="F1882">
        <v>2268</v>
      </c>
      <c r="G1882">
        <v>2483</v>
      </c>
      <c r="H1882">
        <f>_xlfn.XLOOKUP(FACT_IMPORTS[[#This Row],[hts_6]],DIM_PRODUCTS[hts_6],DIM_PRODUCTS[hts_4],,,)</f>
        <v>8511</v>
      </c>
      <c r="I1882" t="str" cm="1">
        <f t="array" ref="I1882">_xlfn.XLOOKUP(FACT_IMPORTS[[#This Row],[country_name]],DIM_COUNTRY[[#All],[Column2]],DIM_COUNTRY[[#All],[Column3]],,,)</f>
        <v>USMCA</v>
      </c>
    </row>
    <row r="1883" spans="1:9" x14ac:dyDescent="0.4">
      <c r="A1883" t="s">
        <v>61</v>
      </c>
      <c r="B1883" s="1">
        <v>45717</v>
      </c>
      <c r="C1883">
        <v>851190</v>
      </c>
      <c r="D1883" t="s">
        <v>176</v>
      </c>
      <c r="E1883">
        <v>104791</v>
      </c>
      <c r="F1883">
        <v>1120</v>
      </c>
      <c r="G1883">
        <v>1405</v>
      </c>
      <c r="H1883">
        <f>_xlfn.XLOOKUP(FACT_IMPORTS[[#This Row],[hts_6]],DIM_PRODUCTS[hts_6],DIM_PRODUCTS[hts_4],,,)</f>
        <v>8511</v>
      </c>
      <c r="I1883" t="str" cm="1">
        <f t="array" ref="I1883">_xlfn.XLOOKUP(FACT_IMPORTS[[#This Row],[country_name]],DIM_COUNTRY[[#All],[Column2]],DIM_COUNTRY[[#All],[Column3]],,,)</f>
        <v>USMCA</v>
      </c>
    </row>
    <row r="1884" spans="1:9" x14ac:dyDescent="0.4">
      <c r="A1884" t="s">
        <v>61</v>
      </c>
      <c r="B1884" s="1">
        <v>45717</v>
      </c>
      <c r="C1884">
        <v>851220</v>
      </c>
      <c r="D1884" t="s">
        <v>176</v>
      </c>
      <c r="E1884">
        <v>17721568</v>
      </c>
      <c r="F1884">
        <v>430205</v>
      </c>
      <c r="G1884">
        <v>79046</v>
      </c>
      <c r="H1884">
        <f>_xlfn.XLOOKUP(FACT_IMPORTS[[#This Row],[hts_6]],DIM_PRODUCTS[hts_6],DIM_PRODUCTS[hts_4],,,)</f>
        <v>8512</v>
      </c>
      <c r="I1884" t="str" cm="1">
        <f t="array" ref="I1884">_xlfn.XLOOKUP(FACT_IMPORTS[[#This Row],[country_name]],DIM_COUNTRY[[#All],[Column2]],DIM_COUNTRY[[#All],[Column3]],,,)</f>
        <v>USMCA</v>
      </c>
    </row>
    <row r="1885" spans="1:9" x14ac:dyDescent="0.4">
      <c r="A1885" t="s">
        <v>61</v>
      </c>
      <c r="B1885" s="1">
        <v>45717</v>
      </c>
      <c r="C1885">
        <v>851230</v>
      </c>
      <c r="D1885" t="s">
        <v>176</v>
      </c>
      <c r="E1885">
        <v>190182</v>
      </c>
      <c r="F1885">
        <v>119</v>
      </c>
      <c r="G1885">
        <v>187</v>
      </c>
      <c r="H1885">
        <f>_xlfn.XLOOKUP(FACT_IMPORTS[[#This Row],[hts_6]],DIM_PRODUCTS[hts_6],DIM_PRODUCTS[hts_4],,,)</f>
        <v>8512</v>
      </c>
      <c r="I1885" t="str" cm="1">
        <f t="array" ref="I1885">_xlfn.XLOOKUP(FACT_IMPORTS[[#This Row],[country_name]],DIM_COUNTRY[[#All],[Column2]],DIM_COUNTRY[[#All],[Column3]],,,)</f>
        <v>USMCA</v>
      </c>
    </row>
    <row r="1886" spans="1:9" x14ac:dyDescent="0.4">
      <c r="A1886" t="s">
        <v>61</v>
      </c>
      <c r="B1886" s="1">
        <v>45717</v>
      </c>
      <c r="C1886">
        <v>851240</v>
      </c>
      <c r="D1886" t="s">
        <v>176</v>
      </c>
      <c r="E1886">
        <v>0</v>
      </c>
      <c r="F1886">
        <v>0</v>
      </c>
      <c r="G1886">
        <v>0</v>
      </c>
      <c r="H1886">
        <f>_xlfn.XLOOKUP(FACT_IMPORTS[[#This Row],[hts_6]],DIM_PRODUCTS[hts_6],DIM_PRODUCTS[hts_4],,,)</f>
        <v>8512</v>
      </c>
      <c r="I1886" t="str" cm="1">
        <f t="array" ref="I1886">_xlfn.XLOOKUP(FACT_IMPORTS[[#This Row],[country_name]],DIM_COUNTRY[[#All],[Column2]],DIM_COUNTRY[[#All],[Column3]],,,)</f>
        <v>USMCA</v>
      </c>
    </row>
    <row r="1887" spans="1:9" x14ac:dyDescent="0.4">
      <c r="A1887" t="s">
        <v>61</v>
      </c>
      <c r="B1887" s="1">
        <v>45717</v>
      </c>
      <c r="C1887">
        <v>851290</v>
      </c>
      <c r="D1887" t="s">
        <v>176</v>
      </c>
      <c r="E1887">
        <v>2626966</v>
      </c>
      <c r="F1887">
        <v>49010</v>
      </c>
      <c r="G1887">
        <v>5580</v>
      </c>
      <c r="H1887">
        <f>_xlfn.XLOOKUP(FACT_IMPORTS[[#This Row],[hts_6]],DIM_PRODUCTS[hts_6],DIM_PRODUCTS[hts_4],,,)</f>
        <v>8512</v>
      </c>
      <c r="I1887" t="str" cm="1">
        <f t="array" ref="I1887">_xlfn.XLOOKUP(FACT_IMPORTS[[#This Row],[country_name]],DIM_COUNTRY[[#All],[Column2]],DIM_COUNTRY[[#All],[Column3]],,,)</f>
        <v>USMCA</v>
      </c>
    </row>
    <row r="1888" spans="1:9" x14ac:dyDescent="0.4">
      <c r="A1888" t="s">
        <v>61</v>
      </c>
      <c r="B1888" s="1">
        <v>45717</v>
      </c>
      <c r="C1888">
        <v>854231</v>
      </c>
      <c r="D1888" t="s">
        <v>176</v>
      </c>
      <c r="E1888">
        <v>44363</v>
      </c>
      <c r="F1888">
        <v>505</v>
      </c>
      <c r="G1888">
        <v>467</v>
      </c>
      <c r="H1888">
        <f>_xlfn.XLOOKUP(FACT_IMPORTS[[#This Row],[hts_6]],DIM_PRODUCTS[hts_6],DIM_PRODUCTS[hts_4],,,)</f>
        <v>8542</v>
      </c>
      <c r="I1888" t="str" cm="1">
        <f t="array" ref="I1888">_xlfn.XLOOKUP(FACT_IMPORTS[[#This Row],[country_name]],DIM_COUNTRY[[#All],[Column2]],DIM_COUNTRY[[#All],[Column3]],,,)</f>
        <v>USMCA</v>
      </c>
    </row>
    <row r="1889" spans="1:9" x14ac:dyDescent="0.4">
      <c r="A1889" t="s">
        <v>61</v>
      </c>
      <c r="B1889" s="1">
        <v>45717</v>
      </c>
      <c r="C1889">
        <v>854232</v>
      </c>
      <c r="D1889" t="s">
        <v>176</v>
      </c>
      <c r="E1889">
        <v>2184</v>
      </c>
      <c r="F1889">
        <v>3000</v>
      </c>
      <c r="G1889">
        <v>56</v>
      </c>
      <c r="H1889">
        <f>_xlfn.XLOOKUP(FACT_IMPORTS[[#This Row],[hts_6]],DIM_PRODUCTS[hts_6],DIM_PRODUCTS[hts_4],,,)</f>
        <v>8542</v>
      </c>
      <c r="I1889" t="str" cm="1">
        <f t="array" ref="I1889">_xlfn.XLOOKUP(FACT_IMPORTS[[#This Row],[country_name]],DIM_COUNTRY[[#All],[Column2]],DIM_COUNTRY[[#All],[Column3]],,,)</f>
        <v>USMCA</v>
      </c>
    </row>
    <row r="1890" spans="1:9" x14ac:dyDescent="0.4">
      <c r="A1890" t="s">
        <v>61</v>
      </c>
      <c r="B1890" s="1">
        <v>45717</v>
      </c>
      <c r="C1890">
        <v>854233</v>
      </c>
      <c r="D1890" t="s">
        <v>176</v>
      </c>
      <c r="E1890">
        <v>0</v>
      </c>
      <c r="F1890">
        <v>0</v>
      </c>
      <c r="G1890">
        <v>0</v>
      </c>
      <c r="H1890">
        <f>_xlfn.XLOOKUP(FACT_IMPORTS[[#This Row],[hts_6]],DIM_PRODUCTS[hts_6],DIM_PRODUCTS[hts_4],,,)</f>
        <v>8542</v>
      </c>
      <c r="I1890" t="str" cm="1">
        <f t="array" ref="I1890">_xlfn.XLOOKUP(FACT_IMPORTS[[#This Row],[country_name]],DIM_COUNTRY[[#All],[Column2]],DIM_COUNTRY[[#All],[Column3]],,,)</f>
        <v>USMCA</v>
      </c>
    </row>
    <row r="1891" spans="1:9" x14ac:dyDescent="0.4">
      <c r="A1891" t="s">
        <v>61</v>
      </c>
      <c r="B1891" s="1">
        <v>45717</v>
      </c>
      <c r="C1891">
        <v>854239</v>
      </c>
      <c r="D1891" t="s">
        <v>176</v>
      </c>
      <c r="E1891">
        <v>3000</v>
      </c>
      <c r="F1891">
        <v>6</v>
      </c>
      <c r="G1891">
        <v>60</v>
      </c>
      <c r="H1891">
        <f>_xlfn.XLOOKUP(FACT_IMPORTS[[#This Row],[hts_6]],DIM_PRODUCTS[hts_6],DIM_PRODUCTS[hts_4],,,)</f>
        <v>8542</v>
      </c>
      <c r="I1891" t="str" cm="1">
        <f t="array" ref="I1891">_xlfn.XLOOKUP(FACT_IMPORTS[[#This Row],[country_name]],DIM_COUNTRY[[#All],[Column2]],DIM_COUNTRY[[#All],[Column3]],,,)</f>
        <v>USMCA</v>
      </c>
    </row>
    <row r="1892" spans="1:9" x14ac:dyDescent="0.4">
      <c r="A1892" t="s">
        <v>61</v>
      </c>
      <c r="B1892" s="1">
        <v>45717</v>
      </c>
      <c r="C1892">
        <v>854290</v>
      </c>
      <c r="D1892" t="s">
        <v>176</v>
      </c>
      <c r="E1892">
        <v>22216</v>
      </c>
      <c r="F1892">
        <v>99</v>
      </c>
      <c r="G1892">
        <v>51</v>
      </c>
      <c r="H1892">
        <f>_xlfn.XLOOKUP(FACT_IMPORTS[[#This Row],[hts_6]],DIM_PRODUCTS[hts_6],DIM_PRODUCTS[hts_4],,,)</f>
        <v>8542</v>
      </c>
      <c r="I1892" t="str" cm="1">
        <f t="array" ref="I1892">_xlfn.XLOOKUP(FACT_IMPORTS[[#This Row],[country_name]],DIM_COUNTRY[[#All],[Column2]],DIM_COUNTRY[[#All],[Column3]],,,)</f>
        <v>USMCA</v>
      </c>
    </row>
    <row r="1893" spans="1:9" x14ac:dyDescent="0.4">
      <c r="A1893" t="s">
        <v>61</v>
      </c>
      <c r="B1893" s="1">
        <v>45717</v>
      </c>
      <c r="C1893">
        <v>854430</v>
      </c>
      <c r="D1893" t="s">
        <v>176</v>
      </c>
      <c r="E1893">
        <v>1961868</v>
      </c>
      <c r="F1893">
        <v>37785</v>
      </c>
      <c r="G1893">
        <v>10268</v>
      </c>
      <c r="H1893">
        <f>_xlfn.XLOOKUP(FACT_IMPORTS[[#This Row],[hts_6]],DIM_PRODUCTS[hts_6],DIM_PRODUCTS[hts_4],,,)</f>
        <v>8544</v>
      </c>
      <c r="I1893" t="str" cm="1">
        <f t="array" ref="I1893">_xlfn.XLOOKUP(FACT_IMPORTS[[#This Row],[country_name]],DIM_COUNTRY[[#All],[Column2]],DIM_COUNTRY[[#All],[Column3]],,,)</f>
        <v>USMCA</v>
      </c>
    </row>
    <row r="1894" spans="1:9" x14ac:dyDescent="0.4">
      <c r="A1894" t="s">
        <v>61</v>
      </c>
      <c r="B1894" s="1">
        <v>45717</v>
      </c>
      <c r="C1894">
        <v>870600</v>
      </c>
      <c r="D1894" t="s">
        <v>176</v>
      </c>
      <c r="E1894">
        <v>0</v>
      </c>
      <c r="F1894">
        <v>0</v>
      </c>
      <c r="G1894">
        <v>0</v>
      </c>
      <c r="H1894">
        <f>_xlfn.XLOOKUP(FACT_IMPORTS[[#This Row],[hts_6]],DIM_PRODUCTS[hts_6],DIM_PRODUCTS[hts_4],,,)</f>
        <v>8706</v>
      </c>
      <c r="I1894" t="str" cm="1">
        <f t="array" ref="I1894">_xlfn.XLOOKUP(FACT_IMPORTS[[#This Row],[country_name]],DIM_COUNTRY[[#All],[Column2]],DIM_COUNTRY[[#All],[Column3]],,,)</f>
        <v>USMCA</v>
      </c>
    </row>
    <row r="1895" spans="1:9" x14ac:dyDescent="0.4">
      <c r="A1895" t="s">
        <v>61</v>
      </c>
      <c r="B1895" s="1">
        <v>45717</v>
      </c>
      <c r="C1895">
        <v>870710</v>
      </c>
      <c r="D1895" t="s">
        <v>176</v>
      </c>
      <c r="E1895">
        <v>6345</v>
      </c>
      <c r="F1895">
        <v>2</v>
      </c>
      <c r="G1895">
        <v>337</v>
      </c>
      <c r="H1895">
        <f>_xlfn.XLOOKUP(FACT_IMPORTS[[#This Row],[hts_6]],DIM_PRODUCTS[hts_6],DIM_PRODUCTS[hts_4],,,)</f>
        <v>8707</v>
      </c>
      <c r="I1895" t="str" cm="1">
        <f t="array" ref="I1895">_xlfn.XLOOKUP(FACT_IMPORTS[[#This Row],[country_name]],DIM_COUNTRY[[#All],[Column2]],DIM_COUNTRY[[#All],[Column3]],,,)</f>
        <v>USMCA</v>
      </c>
    </row>
    <row r="1896" spans="1:9" x14ac:dyDescent="0.4">
      <c r="A1896" t="s">
        <v>61</v>
      </c>
      <c r="B1896" s="1">
        <v>45717</v>
      </c>
      <c r="C1896">
        <v>870790</v>
      </c>
      <c r="D1896" t="s">
        <v>176</v>
      </c>
      <c r="E1896">
        <v>5637172</v>
      </c>
      <c r="F1896">
        <v>356</v>
      </c>
      <c r="G1896">
        <v>49967</v>
      </c>
      <c r="H1896">
        <f>_xlfn.XLOOKUP(FACT_IMPORTS[[#This Row],[hts_6]],DIM_PRODUCTS[hts_6],DIM_PRODUCTS[hts_4],,,)</f>
        <v>8707</v>
      </c>
      <c r="I1896" t="str" cm="1">
        <f t="array" ref="I1896">_xlfn.XLOOKUP(FACT_IMPORTS[[#This Row],[country_name]],DIM_COUNTRY[[#All],[Column2]],DIM_COUNTRY[[#All],[Column3]],,,)</f>
        <v>USMCA</v>
      </c>
    </row>
    <row r="1897" spans="1:9" x14ac:dyDescent="0.4">
      <c r="A1897" t="s">
        <v>61</v>
      </c>
      <c r="B1897" s="1">
        <v>45717</v>
      </c>
      <c r="C1897">
        <v>870810</v>
      </c>
      <c r="D1897" t="s">
        <v>176</v>
      </c>
      <c r="E1897">
        <v>23434639</v>
      </c>
      <c r="F1897">
        <v>1022495</v>
      </c>
      <c r="G1897">
        <v>492270</v>
      </c>
      <c r="H1897">
        <f>_xlfn.XLOOKUP(FACT_IMPORTS[[#This Row],[hts_6]],DIM_PRODUCTS[hts_6],DIM_PRODUCTS[hts_4],,,)</f>
        <v>8708</v>
      </c>
      <c r="I1897" t="str" cm="1">
        <f t="array" ref="I1897">_xlfn.XLOOKUP(FACT_IMPORTS[[#This Row],[country_name]],DIM_COUNTRY[[#All],[Column2]],DIM_COUNTRY[[#All],[Column3]],,,)</f>
        <v>USMCA</v>
      </c>
    </row>
    <row r="1898" spans="1:9" x14ac:dyDescent="0.4">
      <c r="A1898" t="s">
        <v>61</v>
      </c>
      <c r="B1898" s="1">
        <v>45717</v>
      </c>
      <c r="C1898">
        <v>870821</v>
      </c>
      <c r="D1898" t="s">
        <v>176</v>
      </c>
      <c r="E1898">
        <v>391717</v>
      </c>
      <c r="F1898">
        <v>22459</v>
      </c>
      <c r="G1898">
        <v>2435</v>
      </c>
      <c r="H1898">
        <f>_xlfn.XLOOKUP(FACT_IMPORTS[[#This Row],[hts_6]],DIM_PRODUCTS[hts_6],DIM_PRODUCTS[hts_4],,,)</f>
        <v>8708</v>
      </c>
      <c r="I1898" t="str" cm="1">
        <f t="array" ref="I1898">_xlfn.XLOOKUP(FACT_IMPORTS[[#This Row],[country_name]],DIM_COUNTRY[[#All],[Column2]],DIM_COUNTRY[[#All],[Column3]],,,)</f>
        <v>USMCA</v>
      </c>
    </row>
    <row r="1899" spans="1:9" x14ac:dyDescent="0.4">
      <c r="A1899" t="s">
        <v>61</v>
      </c>
      <c r="B1899" s="1">
        <v>45717</v>
      </c>
      <c r="C1899">
        <v>870822</v>
      </c>
      <c r="D1899" t="s">
        <v>176</v>
      </c>
      <c r="E1899">
        <v>5903676</v>
      </c>
      <c r="F1899">
        <v>103915</v>
      </c>
      <c r="G1899">
        <v>105118</v>
      </c>
      <c r="H1899">
        <f>_xlfn.XLOOKUP(FACT_IMPORTS[[#This Row],[hts_6]],DIM_PRODUCTS[hts_6],DIM_PRODUCTS[hts_4],,,)</f>
        <v>8708</v>
      </c>
      <c r="I1899" t="str" cm="1">
        <f t="array" ref="I1899">_xlfn.XLOOKUP(FACT_IMPORTS[[#This Row],[country_name]],DIM_COUNTRY[[#All],[Column2]],DIM_COUNTRY[[#All],[Column3]],,,)</f>
        <v>USMCA</v>
      </c>
    </row>
    <row r="1900" spans="1:9" x14ac:dyDescent="0.4">
      <c r="A1900" t="s">
        <v>61</v>
      </c>
      <c r="B1900" s="1">
        <v>45717</v>
      </c>
      <c r="C1900">
        <v>870829</v>
      </c>
      <c r="D1900" t="s">
        <v>176</v>
      </c>
      <c r="E1900">
        <v>389312063</v>
      </c>
      <c r="F1900">
        <v>50175134</v>
      </c>
      <c r="G1900">
        <v>8109127</v>
      </c>
      <c r="H1900">
        <f>_xlfn.XLOOKUP(FACT_IMPORTS[[#This Row],[hts_6]],DIM_PRODUCTS[hts_6],DIM_PRODUCTS[hts_4],,,)</f>
        <v>8708</v>
      </c>
      <c r="I1900" t="str" cm="1">
        <f t="array" ref="I1900">_xlfn.XLOOKUP(FACT_IMPORTS[[#This Row],[country_name]],DIM_COUNTRY[[#All],[Column2]],DIM_COUNTRY[[#All],[Column3]],,,)</f>
        <v>USMCA</v>
      </c>
    </row>
    <row r="1901" spans="1:9" x14ac:dyDescent="0.4">
      <c r="A1901" t="s">
        <v>61</v>
      </c>
      <c r="B1901" s="1">
        <v>45717</v>
      </c>
      <c r="C1901">
        <v>870830</v>
      </c>
      <c r="D1901" t="s">
        <v>176</v>
      </c>
      <c r="E1901">
        <v>12900176</v>
      </c>
      <c r="F1901">
        <v>2869897</v>
      </c>
      <c r="G1901">
        <v>211274</v>
      </c>
      <c r="H1901">
        <f>_xlfn.XLOOKUP(FACT_IMPORTS[[#This Row],[hts_6]],DIM_PRODUCTS[hts_6],DIM_PRODUCTS[hts_4],,,)</f>
        <v>8708</v>
      </c>
      <c r="I1901" t="str" cm="1">
        <f t="array" ref="I1901">_xlfn.XLOOKUP(FACT_IMPORTS[[#This Row],[country_name]],DIM_COUNTRY[[#All],[Column2]],DIM_COUNTRY[[#All],[Column3]],,,)</f>
        <v>USMCA</v>
      </c>
    </row>
    <row r="1902" spans="1:9" x14ac:dyDescent="0.4">
      <c r="A1902" t="s">
        <v>61</v>
      </c>
      <c r="B1902" s="1">
        <v>45717</v>
      </c>
      <c r="C1902">
        <v>870840</v>
      </c>
      <c r="D1902" t="s">
        <v>176</v>
      </c>
      <c r="E1902">
        <v>89680181</v>
      </c>
      <c r="F1902">
        <v>5160158</v>
      </c>
      <c r="G1902">
        <v>330280</v>
      </c>
      <c r="H1902">
        <f>_xlfn.XLOOKUP(FACT_IMPORTS[[#This Row],[hts_6]],DIM_PRODUCTS[hts_6],DIM_PRODUCTS[hts_4],,,)</f>
        <v>8708</v>
      </c>
      <c r="I1902" t="str" cm="1">
        <f t="array" ref="I1902">_xlfn.XLOOKUP(FACT_IMPORTS[[#This Row],[country_name]],DIM_COUNTRY[[#All],[Column2]],DIM_COUNTRY[[#All],[Column3]],,,)</f>
        <v>USMCA</v>
      </c>
    </row>
    <row r="1903" spans="1:9" x14ac:dyDescent="0.4">
      <c r="A1903" t="s">
        <v>61</v>
      </c>
      <c r="B1903" s="1">
        <v>45717</v>
      </c>
      <c r="C1903">
        <v>870850</v>
      </c>
      <c r="D1903" t="s">
        <v>176</v>
      </c>
      <c r="E1903">
        <v>28620905</v>
      </c>
      <c r="F1903">
        <v>2242908</v>
      </c>
      <c r="G1903">
        <v>211573</v>
      </c>
      <c r="H1903">
        <f>_xlfn.XLOOKUP(FACT_IMPORTS[[#This Row],[hts_6]],DIM_PRODUCTS[hts_6],DIM_PRODUCTS[hts_4],,,)</f>
        <v>8708</v>
      </c>
      <c r="I1903" t="str" cm="1">
        <f t="array" ref="I1903">_xlfn.XLOOKUP(FACT_IMPORTS[[#This Row],[country_name]],DIM_COUNTRY[[#All],[Column2]],DIM_COUNTRY[[#All],[Column3]],,,)</f>
        <v>USMCA</v>
      </c>
    </row>
    <row r="1904" spans="1:9" x14ac:dyDescent="0.4">
      <c r="A1904" t="s">
        <v>61</v>
      </c>
      <c r="B1904" s="1">
        <v>45717</v>
      </c>
      <c r="C1904">
        <v>870870</v>
      </c>
      <c r="D1904" t="s">
        <v>176</v>
      </c>
      <c r="E1904">
        <v>3622383</v>
      </c>
      <c r="F1904">
        <v>9409367</v>
      </c>
      <c r="G1904">
        <v>38031</v>
      </c>
      <c r="H1904">
        <f>_xlfn.XLOOKUP(FACT_IMPORTS[[#This Row],[hts_6]],DIM_PRODUCTS[hts_6],DIM_PRODUCTS[hts_4],,,)</f>
        <v>8708</v>
      </c>
      <c r="I1904" t="str" cm="1">
        <f t="array" ref="I1904">_xlfn.XLOOKUP(FACT_IMPORTS[[#This Row],[country_name]],DIM_COUNTRY[[#All],[Column2]],DIM_COUNTRY[[#All],[Column3]],,,)</f>
        <v>USMCA</v>
      </c>
    </row>
    <row r="1905" spans="1:9" x14ac:dyDescent="0.4">
      <c r="A1905" t="s">
        <v>61</v>
      </c>
      <c r="B1905" s="1">
        <v>45717</v>
      </c>
      <c r="C1905">
        <v>870880</v>
      </c>
      <c r="D1905" t="s">
        <v>176</v>
      </c>
      <c r="E1905">
        <v>67330208</v>
      </c>
      <c r="F1905">
        <v>2946253</v>
      </c>
      <c r="G1905">
        <v>811942</v>
      </c>
      <c r="H1905">
        <f>_xlfn.XLOOKUP(FACT_IMPORTS[[#This Row],[hts_6]],DIM_PRODUCTS[hts_6],DIM_PRODUCTS[hts_4],,,)</f>
        <v>8708</v>
      </c>
      <c r="I1905" t="str" cm="1">
        <f t="array" ref="I1905">_xlfn.XLOOKUP(FACT_IMPORTS[[#This Row],[country_name]],DIM_COUNTRY[[#All],[Column2]],DIM_COUNTRY[[#All],[Column3]],,,)</f>
        <v>USMCA</v>
      </c>
    </row>
    <row r="1906" spans="1:9" x14ac:dyDescent="0.4">
      <c r="A1906" t="s">
        <v>61</v>
      </c>
      <c r="B1906" s="1">
        <v>45717</v>
      </c>
      <c r="C1906">
        <v>870891</v>
      </c>
      <c r="D1906" t="s">
        <v>176</v>
      </c>
      <c r="E1906">
        <v>16565868</v>
      </c>
      <c r="F1906">
        <v>562050</v>
      </c>
      <c r="G1906">
        <v>286070</v>
      </c>
      <c r="H1906">
        <f>_xlfn.XLOOKUP(FACT_IMPORTS[[#This Row],[hts_6]],DIM_PRODUCTS[hts_6],DIM_PRODUCTS[hts_4],,,)</f>
        <v>8708</v>
      </c>
      <c r="I1906" t="str" cm="1">
        <f t="array" ref="I1906">_xlfn.XLOOKUP(FACT_IMPORTS[[#This Row],[country_name]],DIM_COUNTRY[[#All],[Column2]],DIM_COUNTRY[[#All],[Column3]],,,)</f>
        <v>USMCA</v>
      </c>
    </row>
    <row r="1907" spans="1:9" x14ac:dyDescent="0.4">
      <c r="A1907" t="s">
        <v>61</v>
      </c>
      <c r="B1907" s="1">
        <v>45717</v>
      </c>
      <c r="C1907">
        <v>870892</v>
      </c>
      <c r="D1907" t="s">
        <v>176</v>
      </c>
      <c r="E1907">
        <v>16675661</v>
      </c>
      <c r="F1907">
        <v>1062782</v>
      </c>
      <c r="G1907">
        <v>320742</v>
      </c>
      <c r="H1907">
        <f>_xlfn.XLOOKUP(FACT_IMPORTS[[#This Row],[hts_6]],DIM_PRODUCTS[hts_6],DIM_PRODUCTS[hts_4],,,)</f>
        <v>8708</v>
      </c>
      <c r="I1907" t="str" cm="1">
        <f t="array" ref="I1907">_xlfn.XLOOKUP(FACT_IMPORTS[[#This Row],[country_name]],DIM_COUNTRY[[#All],[Column2]],DIM_COUNTRY[[#All],[Column3]],,,)</f>
        <v>USMCA</v>
      </c>
    </row>
    <row r="1908" spans="1:9" x14ac:dyDescent="0.4">
      <c r="A1908" t="s">
        <v>61</v>
      </c>
      <c r="B1908" s="1">
        <v>45717</v>
      </c>
      <c r="C1908">
        <v>870893</v>
      </c>
      <c r="D1908" t="s">
        <v>176</v>
      </c>
      <c r="E1908">
        <v>49245724</v>
      </c>
      <c r="F1908">
        <v>1465389</v>
      </c>
      <c r="G1908">
        <v>62758</v>
      </c>
      <c r="H1908">
        <f>_xlfn.XLOOKUP(FACT_IMPORTS[[#This Row],[hts_6]],DIM_PRODUCTS[hts_6],DIM_PRODUCTS[hts_4],,,)</f>
        <v>8708</v>
      </c>
      <c r="I1908" t="str" cm="1">
        <f t="array" ref="I1908">_xlfn.XLOOKUP(FACT_IMPORTS[[#This Row],[country_name]],DIM_COUNTRY[[#All],[Column2]],DIM_COUNTRY[[#All],[Column3]],,,)</f>
        <v>USMCA</v>
      </c>
    </row>
    <row r="1909" spans="1:9" x14ac:dyDescent="0.4">
      <c r="A1909" t="s">
        <v>61</v>
      </c>
      <c r="B1909" s="1">
        <v>45717</v>
      </c>
      <c r="C1909">
        <v>870894</v>
      </c>
      <c r="D1909" t="s">
        <v>176</v>
      </c>
      <c r="E1909">
        <v>8489112</v>
      </c>
      <c r="F1909">
        <v>3171754</v>
      </c>
      <c r="G1909">
        <v>132030</v>
      </c>
      <c r="H1909">
        <f>_xlfn.XLOOKUP(FACT_IMPORTS[[#This Row],[hts_6]],DIM_PRODUCTS[hts_6],DIM_PRODUCTS[hts_4],,,)</f>
        <v>8708</v>
      </c>
      <c r="I1909" t="str" cm="1">
        <f t="array" ref="I1909">_xlfn.XLOOKUP(FACT_IMPORTS[[#This Row],[country_name]],DIM_COUNTRY[[#All],[Column2]],DIM_COUNTRY[[#All],[Column3]],,,)</f>
        <v>USMCA</v>
      </c>
    </row>
    <row r="1910" spans="1:9" x14ac:dyDescent="0.4">
      <c r="A1910" t="s">
        <v>61</v>
      </c>
      <c r="B1910" s="1">
        <v>45717</v>
      </c>
      <c r="C1910">
        <v>870895</v>
      </c>
      <c r="D1910" t="s">
        <v>176</v>
      </c>
      <c r="E1910">
        <v>1680084</v>
      </c>
      <c r="F1910">
        <v>981847</v>
      </c>
      <c r="G1910">
        <v>13126</v>
      </c>
      <c r="H1910">
        <f>_xlfn.XLOOKUP(FACT_IMPORTS[[#This Row],[hts_6]],DIM_PRODUCTS[hts_6],DIM_PRODUCTS[hts_4],,,)</f>
        <v>8708</v>
      </c>
      <c r="I1910" t="str" cm="1">
        <f t="array" ref="I1910">_xlfn.XLOOKUP(FACT_IMPORTS[[#This Row],[country_name]],DIM_COUNTRY[[#All],[Column2]],DIM_COUNTRY[[#All],[Column3]],,,)</f>
        <v>USMCA</v>
      </c>
    </row>
    <row r="1911" spans="1:9" x14ac:dyDescent="0.4">
      <c r="A1911" t="s">
        <v>61</v>
      </c>
      <c r="B1911" s="1">
        <v>45717</v>
      </c>
      <c r="C1911">
        <v>870899</v>
      </c>
      <c r="D1911" t="s">
        <v>176</v>
      </c>
      <c r="E1911">
        <v>170530579</v>
      </c>
      <c r="F1911">
        <v>12880031</v>
      </c>
      <c r="G1911">
        <v>2198755</v>
      </c>
      <c r="H1911">
        <f>_xlfn.XLOOKUP(FACT_IMPORTS[[#This Row],[hts_6]],DIM_PRODUCTS[hts_6],DIM_PRODUCTS[hts_4],,,)</f>
        <v>8708</v>
      </c>
      <c r="I1911" t="str" cm="1">
        <f t="array" ref="I1911">_xlfn.XLOOKUP(FACT_IMPORTS[[#This Row],[country_name]],DIM_COUNTRY[[#All],[Column2]],DIM_COUNTRY[[#All],[Column3]],,,)</f>
        <v>USMCA</v>
      </c>
    </row>
    <row r="1912" spans="1:9" x14ac:dyDescent="0.4">
      <c r="A1912" t="s">
        <v>61</v>
      </c>
      <c r="B1912" s="1">
        <v>45717</v>
      </c>
      <c r="C1912">
        <v>940120</v>
      </c>
      <c r="D1912" t="s">
        <v>176</v>
      </c>
      <c r="E1912">
        <v>813215</v>
      </c>
      <c r="F1912">
        <v>3480</v>
      </c>
      <c r="G1912">
        <v>8437</v>
      </c>
      <c r="H1912">
        <f>_xlfn.XLOOKUP(FACT_IMPORTS[[#This Row],[hts_6]],DIM_PRODUCTS[hts_6],DIM_PRODUCTS[hts_4],,,)</f>
        <v>9401</v>
      </c>
      <c r="I1912" t="str" cm="1">
        <f t="array" ref="I1912">_xlfn.XLOOKUP(FACT_IMPORTS[[#This Row],[country_name]],DIM_COUNTRY[[#All],[Column2]],DIM_COUNTRY[[#All],[Column3]],,,)</f>
        <v>USMCA</v>
      </c>
    </row>
    <row r="1913" spans="1:9" x14ac:dyDescent="0.4">
      <c r="A1913" t="s">
        <v>61</v>
      </c>
      <c r="B1913" s="1">
        <v>45748</v>
      </c>
      <c r="C1913">
        <v>392630</v>
      </c>
      <c r="D1913" t="s">
        <v>176</v>
      </c>
      <c r="E1913">
        <v>3846109</v>
      </c>
      <c r="F1913">
        <v>499596</v>
      </c>
      <c r="G1913">
        <v>213165</v>
      </c>
      <c r="H1913">
        <f>_xlfn.XLOOKUP(FACT_IMPORTS[[#This Row],[hts_6]],DIM_PRODUCTS[hts_6],DIM_PRODUCTS[hts_4],,,)</f>
        <v>3926</v>
      </c>
      <c r="I1913" t="str" cm="1">
        <f t="array" ref="I1913">_xlfn.XLOOKUP(FACT_IMPORTS[[#This Row],[country_name]],DIM_COUNTRY[[#All],[Column2]],DIM_COUNTRY[[#All],[Column3]],,,)</f>
        <v>USMCA</v>
      </c>
    </row>
    <row r="1914" spans="1:9" x14ac:dyDescent="0.4">
      <c r="A1914" t="s">
        <v>61</v>
      </c>
      <c r="B1914" s="1">
        <v>45748</v>
      </c>
      <c r="C1914">
        <v>401110</v>
      </c>
      <c r="D1914" t="s">
        <v>176</v>
      </c>
      <c r="E1914">
        <v>52113381</v>
      </c>
      <c r="F1914">
        <v>671972</v>
      </c>
      <c r="G1914">
        <v>294832</v>
      </c>
      <c r="H1914">
        <f>_xlfn.XLOOKUP(FACT_IMPORTS[[#This Row],[hts_6]],DIM_PRODUCTS[hts_6],DIM_PRODUCTS[hts_4],,,)</f>
        <v>4011</v>
      </c>
      <c r="I1914" t="str" cm="1">
        <f t="array" ref="I1914">_xlfn.XLOOKUP(FACT_IMPORTS[[#This Row],[country_name]],DIM_COUNTRY[[#All],[Column2]],DIM_COUNTRY[[#All],[Column3]],,,)</f>
        <v>USMCA</v>
      </c>
    </row>
    <row r="1915" spans="1:9" x14ac:dyDescent="0.4">
      <c r="A1915" t="s">
        <v>61</v>
      </c>
      <c r="B1915" s="1">
        <v>45748</v>
      </c>
      <c r="C1915">
        <v>401120</v>
      </c>
      <c r="D1915" t="s">
        <v>176</v>
      </c>
      <c r="E1915">
        <v>61711005</v>
      </c>
      <c r="F1915">
        <v>292458</v>
      </c>
      <c r="G1915">
        <v>242107</v>
      </c>
      <c r="H1915">
        <f>_xlfn.XLOOKUP(FACT_IMPORTS[[#This Row],[hts_6]],DIM_PRODUCTS[hts_6],DIM_PRODUCTS[hts_4],,,)</f>
        <v>4011</v>
      </c>
      <c r="I1915" t="str" cm="1">
        <f t="array" ref="I1915">_xlfn.XLOOKUP(FACT_IMPORTS[[#This Row],[country_name]],DIM_COUNTRY[[#All],[Column2]],DIM_COUNTRY[[#All],[Column3]],,,)</f>
        <v>USMCA</v>
      </c>
    </row>
    <row r="1916" spans="1:9" x14ac:dyDescent="0.4">
      <c r="A1916" t="s">
        <v>61</v>
      </c>
      <c r="B1916" s="1">
        <v>45748</v>
      </c>
      <c r="C1916">
        <v>401140</v>
      </c>
      <c r="D1916" t="s">
        <v>176</v>
      </c>
      <c r="E1916">
        <v>0</v>
      </c>
      <c r="F1916">
        <v>0</v>
      </c>
      <c r="G1916">
        <v>0</v>
      </c>
      <c r="H1916">
        <f>_xlfn.XLOOKUP(FACT_IMPORTS[[#This Row],[hts_6]],DIM_PRODUCTS[hts_6],DIM_PRODUCTS[hts_4],,,)</f>
        <v>4011</v>
      </c>
      <c r="I1916" t="str" cm="1">
        <f t="array" ref="I1916">_xlfn.XLOOKUP(FACT_IMPORTS[[#This Row],[country_name]],DIM_COUNTRY[[#All],[Column2]],DIM_COUNTRY[[#All],[Column3]],,,)</f>
        <v>USMCA</v>
      </c>
    </row>
    <row r="1917" spans="1:9" x14ac:dyDescent="0.4">
      <c r="A1917" t="s">
        <v>61</v>
      </c>
      <c r="B1917" s="1">
        <v>45748</v>
      </c>
      <c r="C1917">
        <v>401190</v>
      </c>
      <c r="D1917" t="s">
        <v>176</v>
      </c>
      <c r="E1917">
        <v>735826</v>
      </c>
      <c r="F1917">
        <v>698</v>
      </c>
      <c r="G1917">
        <v>522</v>
      </c>
      <c r="H1917">
        <f>_xlfn.XLOOKUP(FACT_IMPORTS[[#This Row],[hts_6]],DIM_PRODUCTS[hts_6],DIM_PRODUCTS[hts_4],,,)</f>
        <v>4011</v>
      </c>
      <c r="I1917" t="str" cm="1">
        <f t="array" ref="I1917">_xlfn.XLOOKUP(FACT_IMPORTS[[#This Row],[country_name]],DIM_COUNTRY[[#All],[Column2]],DIM_COUNTRY[[#All],[Column3]],,,)</f>
        <v>USMCA</v>
      </c>
    </row>
    <row r="1918" spans="1:9" x14ac:dyDescent="0.4">
      <c r="A1918" t="s">
        <v>61</v>
      </c>
      <c r="B1918" s="1">
        <v>45748</v>
      </c>
      <c r="C1918">
        <v>700711</v>
      </c>
      <c r="D1918" t="s">
        <v>176</v>
      </c>
      <c r="E1918">
        <v>418082</v>
      </c>
      <c r="F1918">
        <v>804</v>
      </c>
      <c r="G1918">
        <v>23852</v>
      </c>
      <c r="H1918">
        <f>_xlfn.XLOOKUP(FACT_IMPORTS[[#This Row],[hts_6]],DIM_PRODUCTS[hts_6],DIM_PRODUCTS[hts_4],,,)</f>
        <v>7007</v>
      </c>
      <c r="I1918" t="str" cm="1">
        <f t="array" ref="I1918">_xlfn.XLOOKUP(FACT_IMPORTS[[#This Row],[country_name]],DIM_COUNTRY[[#All],[Column2]],DIM_COUNTRY[[#All],[Column3]],,,)</f>
        <v>USMCA</v>
      </c>
    </row>
    <row r="1919" spans="1:9" x14ac:dyDescent="0.4">
      <c r="A1919" t="s">
        <v>61</v>
      </c>
      <c r="B1919" s="1">
        <v>45748</v>
      </c>
      <c r="C1919">
        <v>700721</v>
      </c>
      <c r="D1919" t="s">
        <v>176</v>
      </c>
      <c r="E1919">
        <v>19306</v>
      </c>
      <c r="F1919">
        <v>22</v>
      </c>
      <c r="G1919">
        <v>323</v>
      </c>
      <c r="H1919">
        <f>_xlfn.XLOOKUP(FACT_IMPORTS[[#This Row],[hts_6]],DIM_PRODUCTS[hts_6],DIM_PRODUCTS[hts_4],,,)</f>
        <v>7007</v>
      </c>
      <c r="I1919" t="str" cm="1">
        <f t="array" ref="I1919">_xlfn.XLOOKUP(FACT_IMPORTS[[#This Row],[country_name]],DIM_COUNTRY[[#All],[Column2]],DIM_COUNTRY[[#All],[Column3]],,,)</f>
        <v>USMCA</v>
      </c>
    </row>
    <row r="1920" spans="1:9" x14ac:dyDescent="0.4">
      <c r="A1920" t="s">
        <v>61</v>
      </c>
      <c r="B1920" s="1">
        <v>45748</v>
      </c>
      <c r="C1920">
        <v>700910</v>
      </c>
      <c r="D1920" t="s">
        <v>176</v>
      </c>
      <c r="E1920">
        <v>130515</v>
      </c>
      <c r="F1920">
        <v>2526</v>
      </c>
      <c r="G1920">
        <v>1441</v>
      </c>
      <c r="H1920">
        <f>_xlfn.XLOOKUP(FACT_IMPORTS[[#This Row],[hts_6]],DIM_PRODUCTS[hts_6],DIM_PRODUCTS[hts_4],,,)</f>
        <v>7009</v>
      </c>
      <c r="I1920" t="str" cm="1">
        <f t="array" ref="I1920">_xlfn.XLOOKUP(FACT_IMPORTS[[#This Row],[country_name]],DIM_COUNTRY[[#All],[Column2]],DIM_COUNTRY[[#All],[Column3]],,,)</f>
        <v>USMCA</v>
      </c>
    </row>
    <row r="1921" spans="1:9" x14ac:dyDescent="0.4">
      <c r="A1921" t="s">
        <v>61</v>
      </c>
      <c r="B1921" s="1">
        <v>45748</v>
      </c>
      <c r="C1921">
        <v>732010</v>
      </c>
      <c r="D1921" t="s">
        <v>176</v>
      </c>
      <c r="E1921">
        <v>3285583</v>
      </c>
      <c r="F1921">
        <v>1019802</v>
      </c>
      <c r="G1921">
        <v>25443</v>
      </c>
      <c r="H1921">
        <f>_xlfn.XLOOKUP(FACT_IMPORTS[[#This Row],[hts_6]],DIM_PRODUCTS[hts_6],DIM_PRODUCTS[hts_4],,,)</f>
        <v>7320</v>
      </c>
      <c r="I1921" t="str" cm="1">
        <f t="array" ref="I1921">_xlfn.XLOOKUP(FACT_IMPORTS[[#This Row],[country_name]],DIM_COUNTRY[[#All],[Column2]],DIM_COUNTRY[[#All],[Column3]],,,)</f>
        <v>USMCA</v>
      </c>
    </row>
    <row r="1922" spans="1:9" x14ac:dyDescent="0.4">
      <c r="A1922" t="s">
        <v>61</v>
      </c>
      <c r="B1922" s="1">
        <v>45748</v>
      </c>
      <c r="C1922">
        <v>830230</v>
      </c>
      <c r="D1922" t="s">
        <v>176</v>
      </c>
      <c r="E1922">
        <v>32232100</v>
      </c>
      <c r="F1922">
        <v>6617845</v>
      </c>
      <c r="G1922">
        <v>1288516</v>
      </c>
      <c r="H1922">
        <f>_xlfn.XLOOKUP(FACT_IMPORTS[[#This Row],[hts_6]],DIM_PRODUCTS[hts_6],DIM_PRODUCTS[hts_4],,,)</f>
        <v>8302</v>
      </c>
      <c r="I1922" t="str" cm="1">
        <f t="array" ref="I1922">_xlfn.XLOOKUP(FACT_IMPORTS[[#This Row],[country_name]],DIM_COUNTRY[[#All],[Column2]],DIM_COUNTRY[[#All],[Column3]],,,)</f>
        <v>USMCA</v>
      </c>
    </row>
    <row r="1923" spans="1:9" x14ac:dyDescent="0.4">
      <c r="A1923" t="s">
        <v>61</v>
      </c>
      <c r="B1923" s="1">
        <v>45748</v>
      </c>
      <c r="C1923">
        <v>840733</v>
      </c>
      <c r="D1923" t="s">
        <v>176</v>
      </c>
      <c r="E1923">
        <v>0</v>
      </c>
      <c r="F1923">
        <v>0</v>
      </c>
      <c r="G1923">
        <v>0</v>
      </c>
      <c r="H1923">
        <f>_xlfn.XLOOKUP(FACT_IMPORTS[[#This Row],[hts_6]],DIM_PRODUCTS[hts_6],DIM_PRODUCTS[hts_4],,,)</f>
        <v>8407</v>
      </c>
      <c r="I1923" t="str" cm="1">
        <f t="array" ref="I1923">_xlfn.XLOOKUP(FACT_IMPORTS[[#This Row],[country_name]],DIM_COUNTRY[[#All],[Column2]],DIM_COUNTRY[[#All],[Column3]],,,)</f>
        <v>USMCA</v>
      </c>
    </row>
    <row r="1924" spans="1:9" x14ac:dyDescent="0.4">
      <c r="A1924" t="s">
        <v>61</v>
      </c>
      <c r="B1924" s="1">
        <v>45748</v>
      </c>
      <c r="C1924">
        <v>840734</v>
      </c>
      <c r="D1924" t="s">
        <v>176</v>
      </c>
      <c r="E1924">
        <v>168257943</v>
      </c>
      <c r="F1924">
        <v>54564</v>
      </c>
      <c r="G1924">
        <v>66611</v>
      </c>
      <c r="H1924">
        <f>_xlfn.XLOOKUP(FACT_IMPORTS[[#This Row],[hts_6]],DIM_PRODUCTS[hts_6],DIM_PRODUCTS[hts_4],,,)</f>
        <v>8407</v>
      </c>
      <c r="I1924" t="str" cm="1">
        <f t="array" ref="I1924">_xlfn.XLOOKUP(FACT_IMPORTS[[#This Row],[country_name]],DIM_COUNTRY[[#All],[Column2]],DIM_COUNTRY[[#All],[Column3]],,,)</f>
        <v>USMCA</v>
      </c>
    </row>
    <row r="1925" spans="1:9" x14ac:dyDescent="0.4">
      <c r="A1925" t="s">
        <v>61</v>
      </c>
      <c r="B1925" s="1">
        <v>45748</v>
      </c>
      <c r="C1925">
        <v>840790</v>
      </c>
      <c r="D1925" t="s">
        <v>176</v>
      </c>
      <c r="E1925">
        <v>5761780</v>
      </c>
      <c r="F1925">
        <v>2305</v>
      </c>
      <c r="G1925">
        <v>2242</v>
      </c>
      <c r="H1925">
        <f>_xlfn.XLOOKUP(FACT_IMPORTS[[#This Row],[hts_6]],DIM_PRODUCTS[hts_6],DIM_PRODUCTS[hts_4],,,)</f>
        <v>8407</v>
      </c>
      <c r="I1925" t="str" cm="1">
        <f t="array" ref="I1925">_xlfn.XLOOKUP(FACT_IMPORTS[[#This Row],[country_name]],DIM_COUNTRY[[#All],[Column2]],DIM_COUNTRY[[#All],[Column3]],,,)</f>
        <v>USMCA</v>
      </c>
    </row>
    <row r="1926" spans="1:9" x14ac:dyDescent="0.4">
      <c r="A1926" t="s">
        <v>61</v>
      </c>
      <c r="B1926" s="1">
        <v>45748</v>
      </c>
      <c r="C1926">
        <v>840820</v>
      </c>
      <c r="D1926" t="s">
        <v>176</v>
      </c>
      <c r="E1926">
        <v>212453</v>
      </c>
      <c r="F1926">
        <v>29</v>
      </c>
      <c r="G1926">
        <v>461</v>
      </c>
      <c r="H1926">
        <f>_xlfn.XLOOKUP(FACT_IMPORTS[[#This Row],[hts_6]],DIM_PRODUCTS[hts_6],DIM_PRODUCTS[hts_4],,,)</f>
        <v>8408</v>
      </c>
      <c r="I1926" t="str" cm="1">
        <f t="array" ref="I1926">_xlfn.XLOOKUP(FACT_IMPORTS[[#This Row],[country_name]],DIM_COUNTRY[[#All],[Column2]],DIM_COUNTRY[[#All],[Column3]],,,)</f>
        <v>USMCA</v>
      </c>
    </row>
    <row r="1927" spans="1:9" x14ac:dyDescent="0.4">
      <c r="A1927" t="s">
        <v>61</v>
      </c>
      <c r="B1927" s="1">
        <v>45748</v>
      </c>
      <c r="C1927">
        <v>840890</v>
      </c>
      <c r="D1927" t="s">
        <v>176</v>
      </c>
      <c r="E1927">
        <v>110859</v>
      </c>
      <c r="F1927">
        <v>11</v>
      </c>
      <c r="G1927">
        <v>904</v>
      </c>
      <c r="H1927">
        <f>_xlfn.XLOOKUP(FACT_IMPORTS[[#This Row],[hts_6]],DIM_PRODUCTS[hts_6],DIM_PRODUCTS[hts_4],,,)</f>
        <v>8408</v>
      </c>
      <c r="I1927" t="str" cm="1">
        <f t="array" ref="I1927">_xlfn.XLOOKUP(FACT_IMPORTS[[#This Row],[country_name]],DIM_COUNTRY[[#All],[Column2]],DIM_COUNTRY[[#All],[Column3]],,,)</f>
        <v>USMCA</v>
      </c>
    </row>
    <row r="1928" spans="1:9" x14ac:dyDescent="0.4">
      <c r="A1928" t="s">
        <v>61</v>
      </c>
      <c r="B1928" s="1">
        <v>45748</v>
      </c>
      <c r="C1928">
        <v>840991</v>
      </c>
      <c r="D1928" t="s">
        <v>176</v>
      </c>
      <c r="E1928">
        <v>36746602</v>
      </c>
      <c r="F1928">
        <v>3207263</v>
      </c>
      <c r="G1928">
        <v>145594</v>
      </c>
      <c r="H1928">
        <f>_xlfn.XLOOKUP(FACT_IMPORTS[[#This Row],[hts_6]],DIM_PRODUCTS[hts_6],DIM_PRODUCTS[hts_4],,,)</f>
        <v>8409</v>
      </c>
      <c r="I1928" t="str" cm="1">
        <f t="array" ref="I1928">_xlfn.XLOOKUP(FACT_IMPORTS[[#This Row],[country_name]],DIM_COUNTRY[[#All],[Column2]],DIM_COUNTRY[[#All],[Column3]],,,)</f>
        <v>USMCA</v>
      </c>
    </row>
    <row r="1929" spans="1:9" x14ac:dyDescent="0.4">
      <c r="A1929" t="s">
        <v>61</v>
      </c>
      <c r="B1929" s="1">
        <v>45748</v>
      </c>
      <c r="C1929">
        <v>840999</v>
      </c>
      <c r="D1929" t="s">
        <v>176</v>
      </c>
      <c r="E1929">
        <v>12677362</v>
      </c>
      <c r="F1929">
        <v>1079176</v>
      </c>
      <c r="G1929">
        <v>93776</v>
      </c>
      <c r="H1929">
        <f>_xlfn.XLOOKUP(FACT_IMPORTS[[#This Row],[hts_6]],DIM_PRODUCTS[hts_6],DIM_PRODUCTS[hts_4],,,)</f>
        <v>8409</v>
      </c>
      <c r="I1929" t="str" cm="1">
        <f t="array" ref="I1929">_xlfn.XLOOKUP(FACT_IMPORTS[[#This Row],[country_name]],DIM_COUNTRY[[#All],[Column2]],DIM_COUNTRY[[#All],[Column3]],,,)</f>
        <v>USMCA</v>
      </c>
    </row>
    <row r="1930" spans="1:9" x14ac:dyDescent="0.4">
      <c r="A1930" t="s">
        <v>61</v>
      </c>
      <c r="B1930" s="1">
        <v>45748</v>
      </c>
      <c r="C1930">
        <v>841330</v>
      </c>
      <c r="D1930" t="s">
        <v>176</v>
      </c>
      <c r="E1930">
        <v>8748748</v>
      </c>
      <c r="F1930">
        <v>161939</v>
      </c>
      <c r="G1930">
        <v>25150</v>
      </c>
      <c r="H1930">
        <f>_xlfn.XLOOKUP(FACT_IMPORTS[[#This Row],[hts_6]],DIM_PRODUCTS[hts_6],DIM_PRODUCTS[hts_4],,,)</f>
        <v>8413</v>
      </c>
      <c r="I1930" t="str" cm="1">
        <f t="array" ref="I1930">_xlfn.XLOOKUP(FACT_IMPORTS[[#This Row],[country_name]],DIM_COUNTRY[[#All],[Column2]],DIM_COUNTRY[[#All],[Column3]],,,)</f>
        <v>USMCA</v>
      </c>
    </row>
    <row r="1931" spans="1:9" x14ac:dyDescent="0.4">
      <c r="A1931" t="s">
        <v>61</v>
      </c>
      <c r="B1931" s="1">
        <v>45748</v>
      </c>
      <c r="C1931">
        <v>841520</v>
      </c>
      <c r="D1931" t="s">
        <v>176</v>
      </c>
      <c r="E1931">
        <v>6941275</v>
      </c>
      <c r="F1931">
        <v>41084</v>
      </c>
      <c r="G1931">
        <v>143715</v>
      </c>
      <c r="H1931">
        <f>_xlfn.XLOOKUP(FACT_IMPORTS[[#This Row],[hts_6]],DIM_PRODUCTS[hts_6],DIM_PRODUCTS[hts_4],,,)</f>
        <v>8415</v>
      </c>
      <c r="I1931" t="str" cm="1">
        <f t="array" ref="I1931">_xlfn.XLOOKUP(FACT_IMPORTS[[#This Row],[country_name]],DIM_COUNTRY[[#All],[Column2]],DIM_COUNTRY[[#All],[Column3]],,,)</f>
        <v>USMCA</v>
      </c>
    </row>
    <row r="1932" spans="1:9" x14ac:dyDescent="0.4">
      <c r="A1932" t="s">
        <v>61</v>
      </c>
      <c r="B1932" s="1">
        <v>45748</v>
      </c>
      <c r="C1932">
        <v>842132</v>
      </c>
      <c r="D1932" t="s">
        <v>176</v>
      </c>
      <c r="E1932">
        <v>12687581</v>
      </c>
      <c r="F1932">
        <v>37054</v>
      </c>
      <c r="G1932">
        <v>56366</v>
      </c>
      <c r="H1932">
        <f>_xlfn.XLOOKUP(FACT_IMPORTS[[#This Row],[hts_6]],DIM_PRODUCTS[hts_6],DIM_PRODUCTS[hts_4],,,)</f>
        <v>8421</v>
      </c>
      <c r="I1932" t="str" cm="1">
        <f t="array" ref="I1932">_xlfn.XLOOKUP(FACT_IMPORTS[[#This Row],[country_name]],DIM_COUNTRY[[#All],[Column2]],DIM_COUNTRY[[#All],[Column3]],,,)</f>
        <v>USMCA</v>
      </c>
    </row>
    <row r="1933" spans="1:9" x14ac:dyDescent="0.4">
      <c r="A1933" t="s">
        <v>61</v>
      </c>
      <c r="B1933" s="1">
        <v>45748</v>
      </c>
      <c r="C1933">
        <v>848210</v>
      </c>
      <c r="D1933" t="s">
        <v>176</v>
      </c>
      <c r="E1933">
        <v>3482931</v>
      </c>
      <c r="F1933">
        <v>561464</v>
      </c>
      <c r="G1933">
        <v>36947</v>
      </c>
      <c r="H1933">
        <f>_xlfn.XLOOKUP(FACT_IMPORTS[[#This Row],[hts_6]],DIM_PRODUCTS[hts_6],DIM_PRODUCTS[hts_4],,,)</f>
        <v>8482</v>
      </c>
      <c r="I1933" t="str" cm="1">
        <f t="array" ref="I1933">_xlfn.XLOOKUP(FACT_IMPORTS[[#This Row],[country_name]],DIM_COUNTRY[[#All],[Column2]],DIM_COUNTRY[[#All],[Column3]],,,)</f>
        <v>USMCA</v>
      </c>
    </row>
    <row r="1934" spans="1:9" x14ac:dyDescent="0.4">
      <c r="A1934" t="s">
        <v>61</v>
      </c>
      <c r="B1934" s="1">
        <v>45748</v>
      </c>
      <c r="C1934">
        <v>848220</v>
      </c>
      <c r="D1934" t="s">
        <v>176</v>
      </c>
      <c r="E1934">
        <v>305688</v>
      </c>
      <c r="F1934">
        <v>3840</v>
      </c>
      <c r="G1934">
        <v>6492</v>
      </c>
      <c r="H1934">
        <f>_xlfn.XLOOKUP(FACT_IMPORTS[[#This Row],[hts_6]],DIM_PRODUCTS[hts_6],DIM_PRODUCTS[hts_4],,,)</f>
        <v>8482</v>
      </c>
      <c r="I1934" t="str" cm="1">
        <f t="array" ref="I1934">_xlfn.XLOOKUP(FACT_IMPORTS[[#This Row],[country_name]],DIM_COUNTRY[[#All],[Column2]],DIM_COUNTRY[[#All],[Column3]],,,)</f>
        <v>USMCA</v>
      </c>
    </row>
    <row r="1935" spans="1:9" x14ac:dyDescent="0.4">
      <c r="A1935" t="s">
        <v>61</v>
      </c>
      <c r="B1935" s="1">
        <v>45748</v>
      </c>
      <c r="C1935">
        <v>848310</v>
      </c>
      <c r="D1935" t="s">
        <v>176</v>
      </c>
      <c r="E1935">
        <v>21447413</v>
      </c>
      <c r="F1935">
        <v>617229</v>
      </c>
      <c r="G1935">
        <v>94687</v>
      </c>
      <c r="H1935">
        <f>_xlfn.XLOOKUP(FACT_IMPORTS[[#This Row],[hts_6]],DIM_PRODUCTS[hts_6],DIM_PRODUCTS[hts_4],,,)</f>
        <v>8483</v>
      </c>
      <c r="I1935" t="str" cm="1">
        <f t="array" ref="I1935">_xlfn.XLOOKUP(FACT_IMPORTS[[#This Row],[country_name]],DIM_COUNTRY[[#All],[Column2]],DIM_COUNTRY[[#All],[Column3]],,,)</f>
        <v>USMCA</v>
      </c>
    </row>
    <row r="1936" spans="1:9" x14ac:dyDescent="0.4">
      <c r="A1936" t="s">
        <v>61</v>
      </c>
      <c r="B1936" s="1">
        <v>45748</v>
      </c>
      <c r="C1936">
        <v>850131</v>
      </c>
      <c r="D1936" t="s">
        <v>176</v>
      </c>
      <c r="E1936">
        <v>2043694</v>
      </c>
      <c r="F1936">
        <v>72134</v>
      </c>
      <c r="G1936">
        <v>43840</v>
      </c>
      <c r="H1936">
        <f>_xlfn.XLOOKUP(FACT_IMPORTS[[#This Row],[hts_6]],DIM_PRODUCTS[hts_6],DIM_PRODUCTS[hts_4],,,)</f>
        <v>8501</v>
      </c>
      <c r="I1936" t="str" cm="1">
        <f t="array" ref="I1936">_xlfn.XLOOKUP(FACT_IMPORTS[[#This Row],[country_name]],DIM_COUNTRY[[#All],[Column2]],DIM_COUNTRY[[#All],[Column3]],,,)</f>
        <v>USMCA</v>
      </c>
    </row>
    <row r="1937" spans="1:9" x14ac:dyDescent="0.4">
      <c r="A1937" t="s">
        <v>61</v>
      </c>
      <c r="B1937" s="1">
        <v>45748</v>
      </c>
      <c r="C1937">
        <v>850132</v>
      </c>
      <c r="D1937" t="s">
        <v>176</v>
      </c>
      <c r="E1937">
        <v>346499</v>
      </c>
      <c r="F1937">
        <v>102</v>
      </c>
      <c r="G1937">
        <v>2383</v>
      </c>
      <c r="H1937">
        <f>_xlfn.XLOOKUP(FACT_IMPORTS[[#This Row],[hts_6]],DIM_PRODUCTS[hts_6],DIM_PRODUCTS[hts_4],,,)</f>
        <v>8501</v>
      </c>
      <c r="I1937" t="str" cm="1">
        <f t="array" ref="I1937">_xlfn.XLOOKUP(FACT_IMPORTS[[#This Row],[country_name]],DIM_COUNTRY[[#All],[Column2]],DIM_COUNTRY[[#All],[Column3]],,,)</f>
        <v>USMCA</v>
      </c>
    </row>
    <row r="1938" spans="1:9" x14ac:dyDescent="0.4">
      <c r="A1938" t="s">
        <v>61</v>
      </c>
      <c r="B1938" s="1">
        <v>45748</v>
      </c>
      <c r="C1938">
        <v>850133</v>
      </c>
      <c r="D1938" t="s">
        <v>176</v>
      </c>
      <c r="E1938">
        <v>27000</v>
      </c>
      <c r="F1938">
        <v>18</v>
      </c>
      <c r="G1938">
        <v>2700</v>
      </c>
      <c r="H1938">
        <f>_xlfn.XLOOKUP(FACT_IMPORTS[[#This Row],[hts_6]],DIM_PRODUCTS[hts_6],DIM_PRODUCTS[hts_4],,,)</f>
        <v>8501</v>
      </c>
      <c r="I1938" t="str" cm="1">
        <f t="array" ref="I1938">_xlfn.XLOOKUP(FACT_IMPORTS[[#This Row],[country_name]],DIM_COUNTRY[[#All],[Column2]],DIM_COUNTRY[[#All],[Column3]],,,)</f>
        <v>USMCA</v>
      </c>
    </row>
    <row r="1939" spans="1:9" x14ac:dyDescent="0.4">
      <c r="A1939" t="s">
        <v>61</v>
      </c>
      <c r="B1939" s="1">
        <v>45748</v>
      </c>
      <c r="C1939">
        <v>850134</v>
      </c>
      <c r="D1939" t="s">
        <v>176</v>
      </c>
      <c r="E1939">
        <v>51420</v>
      </c>
      <c r="F1939">
        <v>8</v>
      </c>
      <c r="G1939">
        <v>5000</v>
      </c>
      <c r="H1939">
        <f>_xlfn.XLOOKUP(FACT_IMPORTS[[#This Row],[hts_6]],DIM_PRODUCTS[hts_6],DIM_PRODUCTS[hts_4],,,)</f>
        <v>8501</v>
      </c>
      <c r="I1939" t="str" cm="1">
        <f t="array" ref="I1939">_xlfn.XLOOKUP(FACT_IMPORTS[[#This Row],[country_name]],DIM_COUNTRY[[#All],[Column2]],DIM_COUNTRY[[#All],[Column3]],,,)</f>
        <v>USMCA</v>
      </c>
    </row>
    <row r="1940" spans="1:9" x14ac:dyDescent="0.4">
      <c r="A1940" t="s">
        <v>61</v>
      </c>
      <c r="B1940" s="1">
        <v>45748</v>
      </c>
      <c r="C1940">
        <v>850152</v>
      </c>
      <c r="D1940" t="s">
        <v>176</v>
      </c>
      <c r="E1940">
        <v>306667</v>
      </c>
      <c r="F1940">
        <v>253</v>
      </c>
      <c r="G1940">
        <v>4924</v>
      </c>
      <c r="H1940">
        <f>_xlfn.XLOOKUP(FACT_IMPORTS[[#This Row],[hts_6]],DIM_PRODUCTS[hts_6],DIM_PRODUCTS[hts_4],,,)</f>
        <v>8501</v>
      </c>
      <c r="I1940" t="str" cm="1">
        <f t="array" ref="I1940">_xlfn.XLOOKUP(FACT_IMPORTS[[#This Row],[country_name]],DIM_COUNTRY[[#All],[Column2]],DIM_COUNTRY[[#All],[Column3]],,,)</f>
        <v>USMCA</v>
      </c>
    </row>
    <row r="1941" spans="1:9" x14ac:dyDescent="0.4">
      <c r="A1941" t="s">
        <v>61</v>
      </c>
      <c r="B1941" s="1">
        <v>45748</v>
      </c>
      <c r="C1941">
        <v>850153</v>
      </c>
      <c r="D1941" t="s">
        <v>176</v>
      </c>
      <c r="E1941">
        <v>477231</v>
      </c>
      <c r="F1941">
        <v>67</v>
      </c>
      <c r="G1941">
        <v>3312</v>
      </c>
      <c r="H1941">
        <f>_xlfn.XLOOKUP(FACT_IMPORTS[[#This Row],[hts_6]],DIM_PRODUCTS[hts_6],DIM_PRODUCTS[hts_4],,,)</f>
        <v>8501</v>
      </c>
      <c r="I1941" t="str" cm="1">
        <f t="array" ref="I1941">_xlfn.XLOOKUP(FACT_IMPORTS[[#This Row],[country_name]],DIM_COUNTRY[[#All],[Column2]],DIM_COUNTRY[[#All],[Column3]],,,)</f>
        <v>USMCA</v>
      </c>
    </row>
    <row r="1942" spans="1:9" x14ac:dyDescent="0.4">
      <c r="A1942" t="s">
        <v>61</v>
      </c>
      <c r="B1942" s="1">
        <v>45748</v>
      </c>
      <c r="C1942">
        <v>850161</v>
      </c>
      <c r="D1942" t="s">
        <v>176</v>
      </c>
      <c r="E1942">
        <v>6950</v>
      </c>
      <c r="F1942">
        <v>1</v>
      </c>
      <c r="G1942">
        <v>1</v>
      </c>
      <c r="H1942">
        <f>_xlfn.XLOOKUP(FACT_IMPORTS[[#This Row],[hts_6]],DIM_PRODUCTS[hts_6],DIM_PRODUCTS[hts_4],,,)</f>
        <v>8501</v>
      </c>
      <c r="I1942" t="str" cm="1">
        <f t="array" ref="I1942">_xlfn.XLOOKUP(FACT_IMPORTS[[#This Row],[country_name]],DIM_COUNTRY[[#All],[Column2]],DIM_COUNTRY[[#All],[Column3]],,,)</f>
        <v>USMCA</v>
      </c>
    </row>
    <row r="1943" spans="1:9" x14ac:dyDescent="0.4">
      <c r="A1943" t="s">
        <v>61</v>
      </c>
      <c r="B1943" s="1">
        <v>45748</v>
      </c>
      <c r="C1943">
        <v>850440</v>
      </c>
      <c r="D1943" t="s">
        <v>176</v>
      </c>
      <c r="E1943">
        <v>3899064</v>
      </c>
      <c r="F1943">
        <v>4907</v>
      </c>
      <c r="G1943">
        <v>73185</v>
      </c>
      <c r="H1943">
        <f>_xlfn.XLOOKUP(FACT_IMPORTS[[#This Row],[hts_6]],DIM_PRODUCTS[hts_6],DIM_PRODUCTS[hts_4],,,)</f>
        <v>8504</v>
      </c>
      <c r="I1943" t="str" cm="1">
        <f t="array" ref="I1943">_xlfn.XLOOKUP(FACT_IMPORTS[[#This Row],[country_name]],DIM_COUNTRY[[#All],[Column2]],DIM_COUNTRY[[#All],[Column3]],,,)</f>
        <v>USMCA</v>
      </c>
    </row>
    <row r="1944" spans="1:9" x14ac:dyDescent="0.4">
      <c r="A1944" t="s">
        <v>61</v>
      </c>
      <c r="B1944" s="1">
        <v>45748</v>
      </c>
      <c r="C1944">
        <v>850710</v>
      </c>
      <c r="D1944" t="s">
        <v>176</v>
      </c>
      <c r="E1944">
        <v>1483076</v>
      </c>
      <c r="F1944">
        <v>7300</v>
      </c>
      <c r="G1944">
        <v>53324</v>
      </c>
      <c r="H1944">
        <f>_xlfn.XLOOKUP(FACT_IMPORTS[[#This Row],[hts_6]],DIM_PRODUCTS[hts_6],DIM_PRODUCTS[hts_4],,,)</f>
        <v>8507</v>
      </c>
      <c r="I1944" t="str" cm="1">
        <f t="array" ref="I1944">_xlfn.XLOOKUP(FACT_IMPORTS[[#This Row],[country_name]],DIM_COUNTRY[[#All],[Column2]],DIM_COUNTRY[[#All],[Column3]],,,)</f>
        <v>USMCA</v>
      </c>
    </row>
    <row r="1945" spans="1:9" x14ac:dyDescent="0.4">
      <c r="A1945" t="s">
        <v>61</v>
      </c>
      <c r="B1945" s="1">
        <v>45748</v>
      </c>
      <c r="C1945">
        <v>850760</v>
      </c>
      <c r="D1945" t="s">
        <v>176</v>
      </c>
      <c r="E1945">
        <v>10689363</v>
      </c>
      <c r="F1945">
        <v>51797</v>
      </c>
      <c r="G1945">
        <v>40584</v>
      </c>
      <c r="H1945">
        <f>_xlfn.XLOOKUP(FACT_IMPORTS[[#This Row],[hts_6]],DIM_PRODUCTS[hts_6],DIM_PRODUCTS[hts_4],,,)</f>
        <v>8507</v>
      </c>
      <c r="I1945" t="str" cm="1">
        <f t="array" ref="I1945">_xlfn.XLOOKUP(FACT_IMPORTS[[#This Row],[country_name]],DIM_COUNTRY[[#All],[Column2]],DIM_COUNTRY[[#All],[Column3]],,,)</f>
        <v>USMCA</v>
      </c>
    </row>
    <row r="1946" spans="1:9" x14ac:dyDescent="0.4">
      <c r="A1946" t="s">
        <v>61</v>
      </c>
      <c r="B1946" s="1">
        <v>45748</v>
      </c>
      <c r="C1946">
        <v>850790</v>
      </c>
      <c r="D1946" t="s">
        <v>176</v>
      </c>
      <c r="E1946">
        <v>2116280</v>
      </c>
      <c r="F1946">
        <v>121842</v>
      </c>
      <c r="G1946">
        <v>46142</v>
      </c>
      <c r="H1946">
        <f>_xlfn.XLOOKUP(FACT_IMPORTS[[#This Row],[hts_6]],DIM_PRODUCTS[hts_6],DIM_PRODUCTS[hts_4],,,)</f>
        <v>8507</v>
      </c>
      <c r="I1946" t="str" cm="1">
        <f t="array" ref="I1946">_xlfn.XLOOKUP(FACT_IMPORTS[[#This Row],[country_name]],DIM_COUNTRY[[#All],[Column2]],DIM_COUNTRY[[#All],[Column3]],,,)</f>
        <v>USMCA</v>
      </c>
    </row>
    <row r="1947" spans="1:9" x14ac:dyDescent="0.4">
      <c r="A1947" t="s">
        <v>61</v>
      </c>
      <c r="B1947" s="1">
        <v>45748</v>
      </c>
      <c r="C1947">
        <v>851110</v>
      </c>
      <c r="D1947" t="s">
        <v>176</v>
      </c>
      <c r="E1947">
        <v>3752</v>
      </c>
      <c r="F1947">
        <v>1</v>
      </c>
      <c r="G1947">
        <v>1</v>
      </c>
      <c r="H1947">
        <f>_xlfn.XLOOKUP(FACT_IMPORTS[[#This Row],[hts_6]],DIM_PRODUCTS[hts_6],DIM_PRODUCTS[hts_4],,,)</f>
        <v>8511</v>
      </c>
      <c r="I1947" t="str" cm="1">
        <f t="array" ref="I1947">_xlfn.XLOOKUP(FACT_IMPORTS[[#This Row],[country_name]],DIM_COUNTRY[[#All],[Column2]],DIM_COUNTRY[[#All],[Column3]],,,)</f>
        <v>USMCA</v>
      </c>
    </row>
    <row r="1948" spans="1:9" x14ac:dyDescent="0.4">
      <c r="A1948" t="s">
        <v>61</v>
      </c>
      <c r="B1948" s="1">
        <v>45748</v>
      </c>
      <c r="C1948">
        <v>851130</v>
      </c>
      <c r="D1948" t="s">
        <v>176</v>
      </c>
      <c r="E1948">
        <v>0</v>
      </c>
      <c r="F1948">
        <v>0</v>
      </c>
      <c r="G1948">
        <v>0</v>
      </c>
      <c r="H1948">
        <f>_xlfn.XLOOKUP(FACT_IMPORTS[[#This Row],[hts_6]],DIM_PRODUCTS[hts_6],DIM_PRODUCTS[hts_4],,,)</f>
        <v>8511</v>
      </c>
      <c r="I1948" t="str" cm="1">
        <f t="array" ref="I1948">_xlfn.XLOOKUP(FACT_IMPORTS[[#This Row],[country_name]],DIM_COUNTRY[[#All],[Column2]],DIM_COUNTRY[[#All],[Column3]],,,)</f>
        <v>USMCA</v>
      </c>
    </row>
    <row r="1949" spans="1:9" x14ac:dyDescent="0.4">
      <c r="A1949" t="s">
        <v>61</v>
      </c>
      <c r="B1949" s="1">
        <v>45748</v>
      </c>
      <c r="C1949">
        <v>851140</v>
      </c>
      <c r="D1949" t="s">
        <v>176</v>
      </c>
      <c r="E1949">
        <v>369105</v>
      </c>
      <c r="F1949">
        <v>6822</v>
      </c>
      <c r="G1949">
        <v>4074</v>
      </c>
      <c r="H1949">
        <f>_xlfn.XLOOKUP(FACT_IMPORTS[[#This Row],[hts_6]],DIM_PRODUCTS[hts_6],DIM_PRODUCTS[hts_4],,,)</f>
        <v>8511</v>
      </c>
      <c r="I1949" t="str" cm="1">
        <f t="array" ref="I1949">_xlfn.XLOOKUP(FACT_IMPORTS[[#This Row],[country_name]],DIM_COUNTRY[[#All],[Column2]],DIM_COUNTRY[[#All],[Column3]],,,)</f>
        <v>USMCA</v>
      </c>
    </row>
    <row r="1950" spans="1:9" x14ac:dyDescent="0.4">
      <c r="A1950" t="s">
        <v>61</v>
      </c>
      <c r="B1950" s="1">
        <v>45748</v>
      </c>
      <c r="C1950">
        <v>851150</v>
      </c>
      <c r="D1950" t="s">
        <v>176</v>
      </c>
      <c r="E1950">
        <v>185267</v>
      </c>
      <c r="F1950">
        <v>3395</v>
      </c>
      <c r="G1950">
        <v>2769</v>
      </c>
      <c r="H1950">
        <f>_xlfn.XLOOKUP(FACT_IMPORTS[[#This Row],[hts_6]],DIM_PRODUCTS[hts_6],DIM_PRODUCTS[hts_4],,,)</f>
        <v>8511</v>
      </c>
      <c r="I1950" t="str" cm="1">
        <f t="array" ref="I1950">_xlfn.XLOOKUP(FACT_IMPORTS[[#This Row],[country_name]],DIM_COUNTRY[[#All],[Column2]],DIM_COUNTRY[[#All],[Column3]],,,)</f>
        <v>USMCA</v>
      </c>
    </row>
    <row r="1951" spans="1:9" x14ac:dyDescent="0.4">
      <c r="A1951" t="s">
        <v>61</v>
      </c>
      <c r="B1951" s="1">
        <v>45748</v>
      </c>
      <c r="C1951">
        <v>851180</v>
      </c>
      <c r="D1951" t="s">
        <v>176</v>
      </c>
      <c r="E1951">
        <v>12448</v>
      </c>
      <c r="F1951">
        <v>68</v>
      </c>
      <c r="G1951">
        <v>350</v>
      </c>
      <c r="H1951">
        <f>_xlfn.XLOOKUP(FACT_IMPORTS[[#This Row],[hts_6]],DIM_PRODUCTS[hts_6],DIM_PRODUCTS[hts_4],,,)</f>
        <v>8511</v>
      </c>
      <c r="I1951" t="str" cm="1">
        <f t="array" ref="I1951">_xlfn.XLOOKUP(FACT_IMPORTS[[#This Row],[country_name]],DIM_COUNTRY[[#All],[Column2]],DIM_COUNTRY[[#All],[Column3]],,,)</f>
        <v>USMCA</v>
      </c>
    </row>
    <row r="1952" spans="1:9" x14ac:dyDescent="0.4">
      <c r="A1952" t="s">
        <v>61</v>
      </c>
      <c r="B1952" s="1">
        <v>45748</v>
      </c>
      <c r="C1952">
        <v>851190</v>
      </c>
      <c r="D1952" t="s">
        <v>176</v>
      </c>
      <c r="E1952">
        <v>637867</v>
      </c>
      <c r="F1952">
        <v>4831</v>
      </c>
      <c r="G1952">
        <v>608</v>
      </c>
      <c r="H1952">
        <f>_xlfn.XLOOKUP(FACT_IMPORTS[[#This Row],[hts_6]],DIM_PRODUCTS[hts_6],DIM_PRODUCTS[hts_4],,,)</f>
        <v>8511</v>
      </c>
      <c r="I1952" t="str" cm="1">
        <f t="array" ref="I1952">_xlfn.XLOOKUP(FACT_IMPORTS[[#This Row],[country_name]],DIM_COUNTRY[[#All],[Column2]],DIM_COUNTRY[[#All],[Column3]],,,)</f>
        <v>USMCA</v>
      </c>
    </row>
    <row r="1953" spans="1:9" x14ac:dyDescent="0.4">
      <c r="A1953" t="s">
        <v>61</v>
      </c>
      <c r="B1953" s="1">
        <v>45748</v>
      </c>
      <c r="C1953">
        <v>851220</v>
      </c>
      <c r="D1953" t="s">
        <v>176</v>
      </c>
      <c r="E1953">
        <v>14670617</v>
      </c>
      <c r="F1953">
        <v>267825</v>
      </c>
      <c r="G1953">
        <v>73386</v>
      </c>
      <c r="H1953">
        <f>_xlfn.XLOOKUP(FACT_IMPORTS[[#This Row],[hts_6]],DIM_PRODUCTS[hts_6],DIM_PRODUCTS[hts_4],,,)</f>
        <v>8512</v>
      </c>
      <c r="I1953" t="str" cm="1">
        <f t="array" ref="I1953">_xlfn.XLOOKUP(FACT_IMPORTS[[#This Row],[country_name]],DIM_COUNTRY[[#All],[Column2]],DIM_COUNTRY[[#All],[Column3]],,,)</f>
        <v>USMCA</v>
      </c>
    </row>
    <row r="1954" spans="1:9" x14ac:dyDescent="0.4">
      <c r="A1954" t="s">
        <v>61</v>
      </c>
      <c r="B1954" s="1">
        <v>45748</v>
      </c>
      <c r="C1954">
        <v>851230</v>
      </c>
      <c r="D1954" t="s">
        <v>176</v>
      </c>
      <c r="E1954">
        <v>171925</v>
      </c>
      <c r="F1954">
        <v>603</v>
      </c>
      <c r="G1954">
        <v>782</v>
      </c>
      <c r="H1954">
        <f>_xlfn.XLOOKUP(FACT_IMPORTS[[#This Row],[hts_6]],DIM_PRODUCTS[hts_6],DIM_PRODUCTS[hts_4],,,)</f>
        <v>8512</v>
      </c>
      <c r="I1954" t="str" cm="1">
        <f t="array" ref="I1954">_xlfn.XLOOKUP(FACT_IMPORTS[[#This Row],[country_name]],DIM_COUNTRY[[#All],[Column2]],DIM_COUNTRY[[#All],[Column3]],,,)</f>
        <v>USMCA</v>
      </c>
    </row>
    <row r="1955" spans="1:9" x14ac:dyDescent="0.4">
      <c r="A1955" t="s">
        <v>61</v>
      </c>
      <c r="B1955" s="1">
        <v>45748</v>
      </c>
      <c r="C1955">
        <v>851240</v>
      </c>
      <c r="D1955" t="s">
        <v>176</v>
      </c>
      <c r="E1955">
        <v>30893</v>
      </c>
      <c r="F1955">
        <v>113</v>
      </c>
      <c r="G1955">
        <v>15</v>
      </c>
      <c r="H1955">
        <f>_xlfn.XLOOKUP(FACT_IMPORTS[[#This Row],[hts_6]],DIM_PRODUCTS[hts_6],DIM_PRODUCTS[hts_4],,,)</f>
        <v>8512</v>
      </c>
      <c r="I1955" t="str" cm="1">
        <f t="array" ref="I1955">_xlfn.XLOOKUP(FACT_IMPORTS[[#This Row],[country_name]],DIM_COUNTRY[[#All],[Column2]],DIM_COUNTRY[[#All],[Column3]],,,)</f>
        <v>USMCA</v>
      </c>
    </row>
    <row r="1956" spans="1:9" x14ac:dyDescent="0.4">
      <c r="A1956" t="s">
        <v>61</v>
      </c>
      <c r="B1956" s="1">
        <v>45748</v>
      </c>
      <c r="C1956">
        <v>851290</v>
      </c>
      <c r="D1956" t="s">
        <v>176</v>
      </c>
      <c r="E1956">
        <v>1300179</v>
      </c>
      <c r="F1956">
        <v>20500</v>
      </c>
      <c r="G1956">
        <v>3424</v>
      </c>
      <c r="H1956">
        <f>_xlfn.XLOOKUP(FACT_IMPORTS[[#This Row],[hts_6]],DIM_PRODUCTS[hts_6],DIM_PRODUCTS[hts_4],,,)</f>
        <v>8512</v>
      </c>
      <c r="I1956" t="str" cm="1">
        <f t="array" ref="I1956">_xlfn.XLOOKUP(FACT_IMPORTS[[#This Row],[country_name]],DIM_COUNTRY[[#All],[Column2]],DIM_COUNTRY[[#All],[Column3]],,,)</f>
        <v>USMCA</v>
      </c>
    </row>
    <row r="1957" spans="1:9" x14ac:dyDescent="0.4">
      <c r="A1957" t="s">
        <v>61</v>
      </c>
      <c r="B1957" s="1">
        <v>45748</v>
      </c>
      <c r="C1957">
        <v>854231</v>
      </c>
      <c r="D1957" t="s">
        <v>176</v>
      </c>
      <c r="E1957">
        <v>68378</v>
      </c>
      <c r="F1957">
        <v>307</v>
      </c>
      <c r="G1957">
        <v>749</v>
      </c>
      <c r="H1957">
        <f>_xlfn.XLOOKUP(FACT_IMPORTS[[#This Row],[hts_6]],DIM_PRODUCTS[hts_6],DIM_PRODUCTS[hts_4],,,)</f>
        <v>8542</v>
      </c>
      <c r="I1957" t="str" cm="1">
        <f t="array" ref="I1957">_xlfn.XLOOKUP(FACT_IMPORTS[[#This Row],[country_name]],DIM_COUNTRY[[#All],[Column2]],DIM_COUNTRY[[#All],[Column3]],,,)</f>
        <v>USMCA</v>
      </c>
    </row>
    <row r="1958" spans="1:9" x14ac:dyDescent="0.4">
      <c r="A1958" t="s">
        <v>61</v>
      </c>
      <c r="B1958" s="1">
        <v>45748</v>
      </c>
      <c r="C1958">
        <v>854232</v>
      </c>
      <c r="D1958" t="s">
        <v>176</v>
      </c>
      <c r="E1958">
        <v>4914</v>
      </c>
      <c r="F1958">
        <v>6750</v>
      </c>
      <c r="G1958">
        <v>155</v>
      </c>
      <c r="H1958">
        <f>_xlfn.XLOOKUP(FACT_IMPORTS[[#This Row],[hts_6]],DIM_PRODUCTS[hts_6],DIM_PRODUCTS[hts_4],,,)</f>
        <v>8542</v>
      </c>
      <c r="I1958" t="str" cm="1">
        <f t="array" ref="I1958">_xlfn.XLOOKUP(FACT_IMPORTS[[#This Row],[country_name]],DIM_COUNTRY[[#All],[Column2]],DIM_COUNTRY[[#All],[Column3]],,,)</f>
        <v>USMCA</v>
      </c>
    </row>
    <row r="1959" spans="1:9" x14ac:dyDescent="0.4">
      <c r="A1959" t="s">
        <v>61</v>
      </c>
      <c r="B1959" s="1">
        <v>45748</v>
      </c>
      <c r="C1959">
        <v>854233</v>
      </c>
      <c r="D1959" t="s">
        <v>176</v>
      </c>
      <c r="E1959">
        <v>2195</v>
      </c>
      <c r="F1959">
        <v>1</v>
      </c>
      <c r="G1959">
        <v>15</v>
      </c>
      <c r="H1959">
        <f>_xlfn.XLOOKUP(FACT_IMPORTS[[#This Row],[hts_6]],DIM_PRODUCTS[hts_6],DIM_PRODUCTS[hts_4],,,)</f>
        <v>8542</v>
      </c>
      <c r="I1959" t="str" cm="1">
        <f t="array" ref="I1959">_xlfn.XLOOKUP(FACT_IMPORTS[[#This Row],[country_name]],DIM_COUNTRY[[#All],[Column2]],DIM_COUNTRY[[#All],[Column3]],,,)</f>
        <v>USMCA</v>
      </c>
    </row>
    <row r="1960" spans="1:9" x14ac:dyDescent="0.4">
      <c r="A1960" t="s">
        <v>61</v>
      </c>
      <c r="B1960" s="1">
        <v>45748</v>
      </c>
      <c r="C1960">
        <v>854239</v>
      </c>
      <c r="D1960" t="s">
        <v>176</v>
      </c>
      <c r="E1960">
        <v>10525</v>
      </c>
      <c r="F1960">
        <v>12</v>
      </c>
      <c r="G1960">
        <v>5050</v>
      </c>
      <c r="H1960">
        <f>_xlfn.XLOOKUP(FACT_IMPORTS[[#This Row],[hts_6]],DIM_PRODUCTS[hts_6],DIM_PRODUCTS[hts_4],,,)</f>
        <v>8542</v>
      </c>
      <c r="I1960" t="str" cm="1">
        <f t="array" ref="I1960">_xlfn.XLOOKUP(FACT_IMPORTS[[#This Row],[country_name]],DIM_COUNTRY[[#All],[Column2]],DIM_COUNTRY[[#All],[Column3]],,,)</f>
        <v>USMCA</v>
      </c>
    </row>
    <row r="1961" spans="1:9" x14ac:dyDescent="0.4">
      <c r="A1961" t="s">
        <v>61</v>
      </c>
      <c r="B1961" s="1">
        <v>45748</v>
      </c>
      <c r="C1961">
        <v>854290</v>
      </c>
      <c r="D1961" t="s">
        <v>176</v>
      </c>
      <c r="E1961">
        <v>133566</v>
      </c>
      <c r="F1961">
        <v>36283</v>
      </c>
      <c r="G1961">
        <v>1549</v>
      </c>
      <c r="H1961">
        <f>_xlfn.XLOOKUP(FACT_IMPORTS[[#This Row],[hts_6]],DIM_PRODUCTS[hts_6],DIM_PRODUCTS[hts_4],,,)</f>
        <v>8542</v>
      </c>
      <c r="I1961" t="str" cm="1">
        <f t="array" ref="I1961">_xlfn.XLOOKUP(FACT_IMPORTS[[#This Row],[country_name]],DIM_COUNTRY[[#All],[Column2]],DIM_COUNTRY[[#All],[Column3]],,,)</f>
        <v>USMCA</v>
      </c>
    </row>
    <row r="1962" spans="1:9" x14ac:dyDescent="0.4">
      <c r="A1962" t="s">
        <v>61</v>
      </c>
      <c r="B1962" s="1">
        <v>45748</v>
      </c>
      <c r="C1962">
        <v>854430</v>
      </c>
      <c r="D1962" t="s">
        <v>176</v>
      </c>
      <c r="E1962">
        <v>1743005</v>
      </c>
      <c r="F1962">
        <v>24906</v>
      </c>
      <c r="G1962">
        <v>10482</v>
      </c>
      <c r="H1962">
        <f>_xlfn.XLOOKUP(FACT_IMPORTS[[#This Row],[hts_6]],DIM_PRODUCTS[hts_6],DIM_PRODUCTS[hts_4],,,)</f>
        <v>8544</v>
      </c>
      <c r="I1962" t="str" cm="1">
        <f t="array" ref="I1962">_xlfn.XLOOKUP(FACT_IMPORTS[[#This Row],[country_name]],DIM_COUNTRY[[#All],[Column2]],DIM_COUNTRY[[#All],[Column3]],,,)</f>
        <v>USMCA</v>
      </c>
    </row>
    <row r="1963" spans="1:9" x14ac:dyDescent="0.4">
      <c r="A1963" t="s">
        <v>61</v>
      </c>
      <c r="B1963" s="1">
        <v>45748</v>
      </c>
      <c r="C1963">
        <v>870600</v>
      </c>
      <c r="D1963" t="s">
        <v>176</v>
      </c>
      <c r="E1963">
        <v>0</v>
      </c>
      <c r="F1963">
        <v>0</v>
      </c>
      <c r="G1963">
        <v>0</v>
      </c>
      <c r="H1963">
        <f>_xlfn.XLOOKUP(FACT_IMPORTS[[#This Row],[hts_6]],DIM_PRODUCTS[hts_6],DIM_PRODUCTS[hts_4],,,)</f>
        <v>8706</v>
      </c>
      <c r="I1963" t="str" cm="1">
        <f t="array" ref="I1963">_xlfn.XLOOKUP(FACT_IMPORTS[[#This Row],[country_name]],DIM_COUNTRY[[#All],[Column2]],DIM_COUNTRY[[#All],[Column3]],,,)</f>
        <v>USMCA</v>
      </c>
    </row>
    <row r="1964" spans="1:9" x14ac:dyDescent="0.4">
      <c r="A1964" t="s">
        <v>61</v>
      </c>
      <c r="B1964" s="1">
        <v>45748</v>
      </c>
      <c r="C1964">
        <v>870710</v>
      </c>
      <c r="D1964" t="s">
        <v>176</v>
      </c>
      <c r="E1964">
        <v>117587</v>
      </c>
      <c r="F1964">
        <v>30</v>
      </c>
      <c r="G1964">
        <v>400</v>
      </c>
      <c r="H1964">
        <f>_xlfn.XLOOKUP(FACT_IMPORTS[[#This Row],[hts_6]],DIM_PRODUCTS[hts_6],DIM_PRODUCTS[hts_4],,,)</f>
        <v>8707</v>
      </c>
      <c r="I1964" t="str" cm="1">
        <f t="array" ref="I1964">_xlfn.XLOOKUP(FACT_IMPORTS[[#This Row],[country_name]],DIM_COUNTRY[[#All],[Column2]],DIM_COUNTRY[[#All],[Column3]],,,)</f>
        <v>USMCA</v>
      </c>
    </row>
    <row r="1965" spans="1:9" x14ac:dyDescent="0.4">
      <c r="A1965" t="s">
        <v>61</v>
      </c>
      <c r="B1965" s="1">
        <v>45748</v>
      </c>
      <c r="C1965">
        <v>870790</v>
      </c>
      <c r="D1965" t="s">
        <v>176</v>
      </c>
      <c r="E1965">
        <v>3447174</v>
      </c>
      <c r="F1965">
        <v>234</v>
      </c>
      <c r="G1965">
        <v>41105</v>
      </c>
      <c r="H1965">
        <f>_xlfn.XLOOKUP(FACT_IMPORTS[[#This Row],[hts_6]],DIM_PRODUCTS[hts_6],DIM_PRODUCTS[hts_4],,,)</f>
        <v>8707</v>
      </c>
      <c r="I1965" t="str" cm="1">
        <f t="array" ref="I1965">_xlfn.XLOOKUP(FACT_IMPORTS[[#This Row],[country_name]],DIM_COUNTRY[[#All],[Column2]],DIM_COUNTRY[[#All],[Column3]],,,)</f>
        <v>USMCA</v>
      </c>
    </row>
    <row r="1966" spans="1:9" x14ac:dyDescent="0.4">
      <c r="A1966" t="s">
        <v>61</v>
      </c>
      <c r="B1966" s="1">
        <v>45748</v>
      </c>
      <c r="C1966">
        <v>870810</v>
      </c>
      <c r="D1966" t="s">
        <v>176</v>
      </c>
      <c r="E1966">
        <v>22595252</v>
      </c>
      <c r="F1966">
        <v>952830</v>
      </c>
      <c r="G1966">
        <v>415148</v>
      </c>
      <c r="H1966">
        <f>_xlfn.XLOOKUP(FACT_IMPORTS[[#This Row],[hts_6]],DIM_PRODUCTS[hts_6],DIM_PRODUCTS[hts_4],,,)</f>
        <v>8708</v>
      </c>
      <c r="I1966" t="str" cm="1">
        <f t="array" ref="I1966">_xlfn.XLOOKUP(FACT_IMPORTS[[#This Row],[country_name]],DIM_COUNTRY[[#All],[Column2]],DIM_COUNTRY[[#All],[Column3]],,,)</f>
        <v>USMCA</v>
      </c>
    </row>
    <row r="1967" spans="1:9" x14ac:dyDescent="0.4">
      <c r="A1967" t="s">
        <v>61</v>
      </c>
      <c r="B1967" s="1">
        <v>45748</v>
      </c>
      <c r="C1967">
        <v>870821</v>
      </c>
      <c r="D1967" t="s">
        <v>176</v>
      </c>
      <c r="E1967">
        <v>379399</v>
      </c>
      <c r="F1967">
        <v>14264</v>
      </c>
      <c r="G1967">
        <v>7367</v>
      </c>
      <c r="H1967">
        <f>_xlfn.XLOOKUP(FACT_IMPORTS[[#This Row],[hts_6]],DIM_PRODUCTS[hts_6],DIM_PRODUCTS[hts_4],,,)</f>
        <v>8708</v>
      </c>
      <c r="I1967" t="str" cm="1">
        <f t="array" ref="I1967">_xlfn.XLOOKUP(FACT_IMPORTS[[#This Row],[country_name]],DIM_COUNTRY[[#All],[Column2]],DIM_COUNTRY[[#All],[Column3]],,,)</f>
        <v>USMCA</v>
      </c>
    </row>
    <row r="1968" spans="1:9" x14ac:dyDescent="0.4">
      <c r="A1968" t="s">
        <v>61</v>
      </c>
      <c r="B1968" s="1">
        <v>45748</v>
      </c>
      <c r="C1968">
        <v>870822</v>
      </c>
      <c r="D1968" t="s">
        <v>176</v>
      </c>
      <c r="E1968">
        <v>6392821</v>
      </c>
      <c r="F1968">
        <v>104793</v>
      </c>
      <c r="G1968">
        <v>156444</v>
      </c>
      <c r="H1968">
        <f>_xlfn.XLOOKUP(FACT_IMPORTS[[#This Row],[hts_6]],DIM_PRODUCTS[hts_6],DIM_PRODUCTS[hts_4],,,)</f>
        <v>8708</v>
      </c>
      <c r="I1968" t="str" cm="1">
        <f t="array" ref="I1968">_xlfn.XLOOKUP(FACT_IMPORTS[[#This Row],[country_name]],DIM_COUNTRY[[#All],[Column2]],DIM_COUNTRY[[#All],[Column3]],,,)</f>
        <v>USMCA</v>
      </c>
    </row>
    <row r="1969" spans="1:9" x14ac:dyDescent="0.4">
      <c r="A1969" t="s">
        <v>61</v>
      </c>
      <c r="B1969" s="1">
        <v>45748</v>
      </c>
      <c r="C1969">
        <v>870829</v>
      </c>
      <c r="D1969" t="s">
        <v>176</v>
      </c>
      <c r="E1969">
        <v>354414879</v>
      </c>
      <c r="F1969">
        <v>49365439</v>
      </c>
      <c r="G1969">
        <v>8215148</v>
      </c>
      <c r="H1969">
        <f>_xlfn.XLOOKUP(FACT_IMPORTS[[#This Row],[hts_6]],DIM_PRODUCTS[hts_6],DIM_PRODUCTS[hts_4],,,)</f>
        <v>8708</v>
      </c>
      <c r="I1969" t="str" cm="1">
        <f t="array" ref="I1969">_xlfn.XLOOKUP(FACT_IMPORTS[[#This Row],[country_name]],DIM_COUNTRY[[#All],[Column2]],DIM_COUNTRY[[#All],[Column3]],,,)</f>
        <v>USMCA</v>
      </c>
    </row>
    <row r="1970" spans="1:9" x14ac:dyDescent="0.4">
      <c r="A1970" t="s">
        <v>61</v>
      </c>
      <c r="B1970" s="1">
        <v>45748</v>
      </c>
      <c r="C1970">
        <v>870830</v>
      </c>
      <c r="D1970" t="s">
        <v>176</v>
      </c>
      <c r="E1970">
        <v>14763013</v>
      </c>
      <c r="F1970">
        <v>3512598</v>
      </c>
      <c r="G1970">
        <v>170268</v>
      </c>
      <c r="H1970">
        <f>_xlfn.XLOOKUP(FACT_IMPORTS[[#This Row],[hts_6]],DIM_PRODUCTS[hts_6],DIM_PRODUCTS[hts_4],,,)</f>
        <v>8708</v>
      </c>
      <c r="I1970" t="str" cm="1">
        <f t="array" ref="I1970">_xlfn.XLOOKUP(FACT_IMPORTS[[#This Row],[country_name]],DIM_COUNTRY[[#All],[Column2]],DIM_COUNTRY[[#All],[Column3]],,,)</f>
        <v>USMCA</v>
      </c>
    </row>
    <row r="1971" spans="1:9" x14ac:dyDescent="0.4">
      <c r="A1971" t="s">
        <v>61</v>
      </c>
      <c r="B1971" s="1">
        <v>45748</v>
      </c>
      <c r="C1971">
        <v>870840</v>
      </c>
      <c r="D1971" t="s">
        <v>176</v>
      </c>
      <c r="E1971">
        <v>84578629</v>
      </c>
      <c r="F1971">
        <v>4922496</v>
      </c>
      <c r="G1971">
        <v>330211</v>
      </c>
      <c r="H1971">
        <f>_xlfn.XLOOKUP(FACT_IMPORTS[[#This Row],[hts_6]],DIM_PRODUCTS[hts_6],DIM_PRODUCTS[hts_4],,,)</f>
        <v>8708</v>
      </c>
      <c r="I1971" t="str" cm="1">
        <f t="array" ref="I1971">_xlfn.XLOOKUP(FACT_IMPORTS[[#This Row],[country_name]],DIM_COUNTRY[[#All],[Column2]],DIM_COUNTRY[[#All],[Column3]],,,)</f>
        <v>USMCA</v>
      </c>
    </row>
    <row r="1972" spans="1:9" x14ac:dyDescent="0.4">
      <c r="A1972" t="s">
        <v>61</v>
      </c>
      <c r="B1972" s="1">
        <v>45748</v>
      </c>
      <c r="C1972">
        <v>870850</v>
      </c>
      <c r="D1972" t="s">
        <v>176</v>
      </c>
      <c r="E1972">
        <v>27143029</v>
      </c>
      <c r="F1972">
        <v>2465397</v>
      </c>
      <c r="G1972">
        <v>222430</v>
      </c>
      <c r="H1972">
        <f>_xlfn.XLOOKUP(FACT_IMPORTS[[#This Row],[hts_6]],DIM_PRODUCTS[hts_6],DIM_PRODUCTS[hts_4],,,)</f>
        <v>8708</v>
      </c>
      <c r="I1972" t="str" cm="1">
        <f t="array" ref="I1972">_xlfn.XLOOKUP(FACT_IMPORTS[[#This Row],[country_name]],DIM_COUNTRY[[#All],[Column2]],DIM_COUNTRY[[#All],[Column3]],,,)</f>
        <v>USMCA</v>
      </c>
    </row>
    <row r="1973" spans="1:9" x14ac:dyDescent="0.4">
      <c r="A1973" t="s">
        <v>61</v>
      </c>
      <c r="B1973" s="1">
        <v>45748</v>
      </c>
      <c r="C1973">
        <v>870870</v>
      </c>
      <c r="D1973" t="s">
        <v>176</v>
      </c>
      <c r="E1973">
        <v>1787285</v>
      </c>
      <c r="F1973">
        <v>3315606</v>
      </c>
      <c r="G1973">
        <v>28170</v>
      </c>
      <c r="H1973">
        <f>_xlfn.XLOOKUP(FACT_IMPORTS[[#This Row],[hts_6]],DIM_PRODUCTS[hts_6],DIM_PRODUCTS[hts_4],,,)</f>
        <v>8708</v>
      </c>
      <c r="I1973" t="str" cm="1">
        <f t="array" ref="I1973">_xlfn.XLOOKUP(FACT_IMPORTS[[#This Row],[country_name]],DIM_COUNTRY[[#All],[Column2]],DIM_COUNTRY[[#All],[Column3]],,,)</f>
        <v>USMCA</v>
      </c>
    </row>
    <row r="1974" spans="1:9" x14ac:dyDescent="0.4">
      <c r="A1974" t="s">
        <v>61</v>
      </c>
      <c r="B1974" s="1">
        <v>45748</v>
      </c>
      <c r="C1974">
        <v>870880</v>
      </c>
      <c r="D1974" t="s">
        <v>176</v>
      </c>
      <c r="E1974">
        <v>57621270</v>
      </c>
      <c r="F1974">
        <v>2716785</v>
      </c>
      <c r="G1974">
        <v>834124</v>
      </c>
      <c r="H1974">
        <f>_xlfn.XLOOKUP(FACT_IMPORTS[[#This Row],[hts_6]],DIM_PRODUCTS[hts_6],DIM_PRODUCTS[hts_4],,,)</f>
        <v>8708</v>
      </c>
      <c r="I1974" t="str" cm="1">
        <f t="array" ref="I1974">_xlfn.XLOOKUP(FACT_IMPORTS[[#This Row],[country_name]],DIM_COUNTRY[[#All],[Column2]],DIM_COUNTRY[[#All],[Column3]],,,)</f>
        <v>USMCA</v>
      </c>
    </row>
    <row r="1975" spans="1:9" x14ac:dyDescent="0.4">
      <c r="A1975" t="s">
        <v>61</v>
      </c>
      <c r="B1975" s="1">
        <v>45748</v>
      </c>
      <c r="C1975">
        <v>870891</v>
      </c>
      <c r="D1975" t="s">
        <v>176</v>
      </c>
      <c r="E1975">
        <v>17707089</v>
      </c>
      <c r="F1975">
        <v>602179</v>
      </c>
      <c r="G1975">
        <v>320652</v>
      </c>
      <c r="H1975">
        <f>_xlfn.XLOOKUP(FACT_IMPORTS[[#This Row],[hts_6]],DIM_PRODUCTS[hts_6],DIM_PRODUCTS[hts_4],,,)</f>
        <v>8708</v>
      </c>
      <c r="I1975" t="str" cm="1">
        <f t="array" ref="I1975">_xlfn.XLOOKUP(FACT_IMPORTS[[#This Row],[country_name]],DIM_COUNTRY[[#All],[Column2]],DIM_COUNTRY[[#All],[Column3]],,,)</f>
        <v>USMCA</v>
      </c>
    </row>
    <row r="1976" spans="1:9" x14ac:dyDescent="0.4">
      <c r="A1976" t="s">
        <v>61</v>
      </c>
      <c r="B1976" s="1">
        <v>45748</v>
      </c>
      <c r="C1976">
        <v>870892</v>
      </c>
      <c r="D1976" t="s">
        <v>176</v>
      </c>
      <c r="E1976">
        <v>13937061</v>
      </c>
      <c r="F1976">
        <v>1222600</v>
      </c>
      <c r="G1976">
        <v>290271</v>
      </c>
      <c r="H1976">
        <f>_xlfn.XLOOKUP(FACT_IMPORTS[[#This Row],[hts_6]],DIM_PRODUCTS[hts_6],DIM_PRODUCTS[hts_4],,,)</f>
        <v>8708</v>
      </c>
      <c r="I1976" t="str" cm="1">
        <f t="array" ref="I1976">_xlfn.XLOOKUP(FACT_IMPORTS[[#This Row],[country_name]],DIM_COUNTRY[[#All],[Column2]],DIM_COUNTRY[[#All],[Column3]],,,)</f>
        <v>USMCA</v>
      </c>
    </row>
    <row r="1977" spans="1:9" x14ac:dyDescent="0.4">
      <c r="A1977" t="s">
        <v>61</v>
      </c>
      <c r="B1977" s="1">
        <v>45748</v>
      </c>
      <c r="C1977">
        <v>870893</v>
      </c>
      <c r="D1977" t="s">
        <v>176</v>
      </c>
      <c r="E1977">
        <v>48409965</v>
      </c>
      <c r="F1977">
        <v>1415666</v>
      </c>
      <c r="G1977">
        <v>66037</v>
      </c>
      <c r="H1977">
        <f>_xlfn.XLOOKUP(FACT_IMPORTS[[#This Row],[hts_6]],DIM_PRODUCTS[hts_6],DIM_PRODUCTS[hts_4],,,)</f>
        <v>8708</v>
      </c>
      <c r="I1977" t="str" cm="1">
        <f t="array" ref="I1977">_xlfn.XLOOKUP(FACT_IMPORTS[[#This Row],[country_name]],DIM_COUNTRY[[#All],[Column2]],DIM_COUNTRY[[#All],[Column3]],,,)</f>
        <v>USMCA</v>
      </c>
    </row>
    <row r="1978" spans="1:9" x14ac:dyDescent="0.4">
      <c r="A1978" t="s">
        <v>61</v>
      </c>
      <c r="B1978" s="1">
        <v>45748</v>
      </c>
      <c r="C1978">
        <v>870894</v>
      </c>
      <c r="D1978" t="s">
        <v>176</v>
      </c>
      <c r="E1978">
        <v>7353521</v>
      </c>
      <c r="F1978">
        <v>2575683</v>
      </c>
      <c r="G1978">
        <v>126177</v>
      </c>
      <c r="H1978">
        <f>_xlfn.XLOOKUP(FACT_IMPORTS[[#This Row],[hts_6]],DIM_PRODUCTS[hts_6],DIM_PRODUCTS[hts_4],,,)</f>
        <v>8708</v>
      </c>
      <c r="I1978" t="str" cm="1">
        <f t="array" ref="I1978">_xlfn.XLOOKUP(FACT_IMPORTS[[#This Row],[country_name]],DIM_COUNTRY[[#All],[Column2]],DIM_COUNTRY[[#All],[Column3]],,,)</f>
        <v>USMCA</v>
      </c>
    </row>
    <row r="1979" spans="1:9" x14ac:dyDescent="0.4">
      <c r="A1979" t="s">
        <v>61</v>
      </c>
      <c r="B1979" s="1">
        <v>45748</v>
      </c>
      <c r="C1979">
        <v>870895</v>
      </c>
      <c r="D1979" t="s">
        <v>176</v>
      </c>
      <c r="E1979">
        <v>1591987</v>
      </c>
      <c r="F1979">
        <v>899928</v>
      </c>
      <c r="G1979">
        <v>8912</v>
      </c>
      <c r="H1979">
        <f>_xlfn.XLOOKUP(FACT_IMPORTS[[#This Row],[hts_6]],DIM_PRODUCTS[hts_6],DIM_PRODUCTS[hts_4],,,)</f>
        <v>8708</v>
      </c>
      <c r="I1979" t="str" cm="1">
        <f t="array" ref="I1979">_xlfn.XLOOKUP(FACT_IMPORTS[[#This Row],[country_name]],DIM_COUNTRY[[#All],[Column2]],DIM_COUNTRY[[#All],[Column3]],,,)</f>
        <v>USMCA</v>
      </c>
    </row>
    <row r="1980" spans="1:9" x14ac:dyDescent="0.4">
      <c r="A1980" t="s">
        <v>61</v>
      </c>
      <c r="B1980" s="1">
        <v>45748</v>
      </c>
      <c r="C1980">
        <v>870899</v>
      </c>
      <c r="D1980" t="s">
        <v>176</v>
      </c>
      <c r="E1980">
        <v>159901079</v>
      </c>
      <c r="F1980">
        <v>13002474</v>
      </c>
      <c r="G1980">
        <v>2177238</v>
      </c>
      <c r="H1980">
        <f>_xlfn.XLOOKUP(FACT_IMPORTS[[#This Row],[hts_6]],DIM_PRODUCTS[hts_6],DIM_PRODUCTS[hts_4],,,)</f>
        <v>8708</v>
      </c>
      <c r="I1980" t="str" cm="1">
        <f t="array" ref="I1980">_xlfn.XLOOKUP(FACT_IMPORTS[[#This Row],[country_name]],DIM_COUNTRY[[#All],[Column2]],DIM_COUNTRY[[#All],[Column3]],,,)</f>
        <v>USMCA</v>
      </c>
    </row>
    <row r="1981" spans="1:9" x14ac:dyDescent="0.4">
      <c r="A1981" t="s">
        <v>61</v>
      </c>
      <c r="B1981" s="1">
        <v>45748</v>
      </c>
      <c r="C1981">
        <v>940120</v>
      </c>
      <c r="D1981" t="s">
        <v>176</v>
      </c>
      <c r="E1981">
        <v>1013083</v>
      </c>
      <c r="F1981">
        <v>47376</v>
      </c>
      <c r="G1981">
        <v>7175</v>
      </c>
      <c r="H1981">
        <f>_xlfn.XLOOKUP(FACT_IMPORTS[[#This Row],[hts_6]],DIM_PRODUCTS[hts_6],DIM_PRODUCTS[hts_4],,,)</f>
        <v>9401</v>
      </c>
      <c r="I1981" t="str" cm="1">
        <f t="array" ref="I1981">_xlfn.XLOOKUP(FACT_IMPORTS[[#This Row],[country_name]],DIM_COUNTRY[[#All],[Column2]],DIM_COUNTRY[[#All],[Column3]],,,)</f>
        <v>USMCA</v>
      </c>
    </row>
    <row r="1982" spans="1:9" x14ac:dyDescent="0.4">
      <c r="A1982" t="s">
        <v>61</v>
      </c>
      <c r="B1982" s="1">
        <v>45778</v>
      </c>
      <c r="C1982">
        <v>392630</v>
      </c>
      <c r="D1982" t="s">
        <v>176</v>
      </c>
      <c r="E1982">
        <v>3618126</v>
      </c>
      <c r="F1982">
        <v>542203</v>
      </c>
      <c r="G1982">
        <v>316183</v>
      </c>
      <c r="H1982">
        <f>_xlfn.XLOOKUP(FACT_IMPORTS[[#This Row],[hts_6]],DIM_PRODUCTS[hts_6],DIM_PRODUCTS[hts_4],,,)</f>
        <v>3926</v>
      </c>
      <c r="I1982" t="str" cm="1">
        <f t="array" ref="I1982">_xlfn.XLOOKUP(FACT_IMPORTS[[#This Row],[country_name]],DIM_COUNTRY[[#All],[Column2]],DIM_COUNTRY[[#All],[Column3]],,,)</f>
        <v>USMCA</v>
      </c>
    </row>
    <row r="1983" spans="1:9" x14ac:dyDescent="0.4">
      <c r="A1983" t="s">
        <v>61</v>
      </c>
      <c r="B1983" s="1">
        <v>45778</v>
      </c>
      <c r="C1983">
        <v>401110</v>
      </c>
      <c r="D1983" t="s">
        <v>176</v>
      </c>
      <c r="E1983">
        <v>58471223</v>
      </c>
      <c r="F1983">
        <v>727782</v>
      </c>
      <c r="G1983">
        <v>307615</v>
      </c>
      <c r="H1983">
        <f>_xlfn.XLOOKUP(FACT_IMPORTS[[#This Row],[hts_6]],DIM_PRODUCTS[hts_6],DIM_PRODUCTS[hts_4],,,)</f>
        <v>4011</v>
      </c>
      <c r="I1983" t="str" cm="1">
        <f t="array" ref="I1983">_xlfn.XLOOKUP(FACT_IMPORTS[[#This Row],[country_name]],DIM_COUNTRY[[#All],[Column2]],DIM_COUNTRY[[#All],[Column3]],,,)</f>
        <v>USMCA</v>
      </c>
    </row>
    <row r="1984" spans="1:9" x14ac:dyDescent="0.4">
      <c r="A1984" t="s">
        <v>61</v>
      </c>
      <c r="B1984" s="1">
        <v>45778</v>
      </c>
      <c r="C1984">
        <v>401120</v>
      </c>
      <c r="D1984" t="s">
        <v>176</v>
      </c>
      <c r="E1984">
        <v>56008525</v>
      </c>
      <c r="F1984">
        <v>310797</v>
      </c>
      <c r="G1984">
        <v>285637</v>
      </c>
      <c r="H1984">
        <f>_xlfn.XLOOKUP(FACT_IMPORTS[[#This Row],[hts_6]],DIM_PRODUCTS[hts_6],DIM_PRODUCTS[hts_4],,,)</f>
        <v>4011</v>
      </c>
      <c r="I1984" t="str" cm="1">
        <f t="array" ref="I1984">_xlfn.XLOOKUP(FACT_IMPORTS[[#This Row],[country_name]],DIM_COUNTRY[[#All],[Column2]],DIM_COUNTRY[[#All],[Column3]],,,)</f>
        <v>USMCA</v>
      </c>
    </row>
    <row r="1985" spans="1:9" x14ac:dyDescent="0.4">
      <c r="A1985" t="s">
        <v>61</v>
      </c>
      <c r="B1985" s="1">
        <v>45778</v>
      </c>
      <c r="C1985">
        <v>401140</v>
      </c>
      <c r="D1985" t="s">
        <v>176</v>
      </c>
      <c r="E1985">
        <v>0</v>
      </c>
      <c r="F1985">
        <v>0</v>
      </c>
      <c r="G1985">
        <v>0</v>
      </c>
      <c r="H1985">
        <f>_xlfn.XLOOKUP(FACT_IMPORTS[[#This Row],[hts_6]],DIM_PRODUCTS[hts_6],DIM_PRODUCTS[hts_4],,,)</f>
        <v>4011</v>
      </c>
      <c r="I1985" t="str" cm="1">
        <f t="array" ref="I1985">_xlfn.XLOOKUP(FACT_IMPORTS[[#This Row],[country_name]],DIM_COUNTRY[[#All],[Column2]],DIM_COUNTRY[[#All],[Column3]],,,)</f>
        <v>USMCA</v>
      </c>
    </row>
    <row r="1986" spans="1:9" x14ac:dyDescent="0.4">
      <c r="A1986" t="s">
        <v>61</v>
      </c>
      <c r="B1986" s="1">
        <v>45778</v>
      </c>
      <c r="C1986">
        <v>401190</v>
      </c>
      <c r="D1986" t="s">
        <v>176</v>
      </c>
      <c r="E1986">
        <v>714320</v>
      </c>
      <c r="F1986">
        <v>1438</v>
      </c>
      <c r="G1986">
        <v>769</v>
      </c>
      <c r="H1986">
        <f>_xlfn.XLOOKUP(FACT_IMPORTS[[#This Row],[hts_6]],DIM_PRODUCTS[hts_6],DIM_PRODUCTS[hts_4],,,)</f>
        <v>4011</v>
      </c>
      <c r="I1986" t="str" cm="1">
        <f t="array" ref="I1986">_xlfn.XLOOKUP(FACT_IMPORTS[[#This Row],[country_name]],DIM_COUNTRY[[#All],[Column2]],DIM_COUNTRY[[#All],[Column3]],,,)</f>
        <v>USMCA</v>
      </c>
    </row>
    <row r="1987" spans="1:9" x14ac:dyDescent="0.4">
      <c r="A1987" t="s">
        <v>61</v>
      </c>
      <c r="B1987" s="1">
        <v>45778</v>
      </c>
      <c r="C1987">
        <v>700711</v>
      </c>
      <c r="D1987" t="s">
        <v>176</v>
      </c>
      <c r="E1987">
        <v>589049</v>
      </c>
      <c r="F1987">
        <v>55361</v>
      </c>
      <c r="G1987">
        <v>15625</v>
      </c>
      <c r="H1987">
        <f>_xlfn.XLOOKUP(FACT_IMPORTS[[#This Row],[hts_6]],DIM_PRODUCTS[hts_6],DIM_PRODUCTS[hts_4],,,)</f>
        <v>7007</v>
      </c>
      <c r="I1987" t="str" cm="1">
        <f t="array" ref="I1987">_xlfn.XLOOKUP(FACT_IMPORTS[[#This Row],[country_name]],DIM_COUNTRY[[#All],[Column2]],DIM_COUNTRY[[#All],[Column3]],,,)</f>
        <v>USMCA</v>
      </c>
    </row>
    <row r="1988" spans="1:9" x14ac:dyDescent="0.4">
      <c r="A1988" t="s">
        <v>61</v>
      </c>
      <c r="B1988" s="1">
        <v>45778</v>
      </c>
      <c r="C1988">
        <v>700721</v>
      </c>
      <c r="D1988" t="s">
        <v>176</v>
      </c>
      <c r="E1988">
        <v>62899</v>
      </c>
      <c r="F1988">
        <v>75</v>
      </c>
      <c r="G1988">
        <v>2513</v>
      </c>
      <c r="H1988">
        <f>_xlfn.XLOOKUP(FACT_IMPORTS[[#This Row],[hts_6]],DIM_PRODUCTS[hts_6],DIM_PRODUCTS[hts_4],,,)</f>
        <v>7007</v>
      </c>
      <c r="I1988" t="str" cm="1">
        <f t="array" ref="I1988">_xlfn.XLOOKUP(FACT_IMPORTS[[#This Row],[country_name]],DIM_COUNTRY[[#All],[Column2]],DIM_COUNTRY[[#All],[Column3]],,,)</f>
        <v>USMCA</v>
      </c>
    </row>
    <row r="1989" spans="1:9" x14ac:dyDescent="0.4">
      <c r="A1989" t="s">
        <v>61</v>
      </c>
      <c r="B1989" s="1">
        <v>45778</v>
      </c>
      <c r="C1989">
        <v>700910</v>
      </c>
      <c r="D1989" t="s">
        <v>176</v>
      </c>
      <c r="E1989">
        <v>373258</v>
      </c>
      <c r="F1989">
        <v>5479</v>
      </c>
      <c r="G1989">
        <v>1766</v>
      </c>
      <c r="H1989">
        <f>_xlfn.XLOOKUP(FACT_IMPORTS[[#This Row],[hts_6]],DIM_PRODUCTS[hts_6],DIM_PRODUCTS[hts_4],,,)</f>
        <v>7009</v>
      </c>
      <c r="I1989" t="str" cm="1">
        <f t="array" ref="I1989">_xlfn.XLOOKUP(FACT_IMPORTS[[#This Row],[country_name]],DIM_COUNTRY[[#All],[Column2]],DIM_COUNTRY[[#All],[Column3]],,,)</f>
        <v>USMCA</v>
      </c>
    </row>
    <row r="1990" spans="1:9" x14ac:dyDescent="0.4">
      <c r="A1990" t="s">
        <v>61</v>
      </c>
      <c r="B1990" s="1">
        <v>45778</v>
      </c>
      <c r="C1990">
        <v>732010</v>
      </c>
      <c r="D1990" t="s">
        <v>176</v>
      </c>
      <c r="E1990">
        <v>2867203</v>
      </c>
      <c r="F1990">
        <v>877259</v>
      </c>
      <c r="G1990">
        <v>19097</v>
      </c>
      <c r="H1990">
        <f>_xlfn.XLOOKUP(FACT_IMPORTS[[#This Row],[hts_6]],DIM_PRODUCTS[hts_6],DIM_PRODUCTS[hts_4],,,)</f>
        <v>7320</v>
      </c>
      <c r="I1990" t="str" cm="1">
        <f t="array" ref="I1990">_xlfn.XLOOKUP(FACT_IMPORTS[[#This Row],[country_name]],DIM_COUNTRY[[#All],[Column2]],DIM_COUNTRY[[#All],[Column3]],,,)</f>
        <v>USMCA</v>
      </c>
    </row>
    <row r="1991" spans="1:9" x14ac:dyDescent="0.4">
      <c r="A1991" t="s">
        <v>61</v>
      </c>
      <c r="B1991" s="1">
        <v>45778</v>
      </c>
      <c r="C1991">
        <v>830230</v>
      </c>
      <c r="D1991" t="s">
        <v>176</v>
      </c>
      <c r="E1991">
        <v>32129436</v>
      </c>
      <c r="F1991">
        <v>6864395</v>
      </c>
      <c r="G1991">
        <v>1454481</v>
      </c>
      <c r="H1991">
        <f>_xlfn.XLOOKUP(FACT_IMPORTS[[#This Row],[hts_6]],DIM_PRODUCTS[hts_6],DIM_PRODUCTS[hts_4],,,)</f>
        <v>8302</v>
      </c>
      <c r="I1991" t="str" cm="1">
        <f t="array" ref="I1991">_xlfn.XLOOKUP(FACT_IMPORTS[[#This Row],[country_name]],DIM_COUNTRY[[#All],[Column2]],DIM_COUNTRY[[#All],[Column3]],,,)</f>
        <v>USMCA</v>
      </c>
    </row>
    <row r="1992" spans="1:9" x14ac:dyDescent="0.4">
      <c r="A1992" t="s">
        <v>61</v>
      </c>
      <c r="B1992" s="1">
        <v>45778</v>
      </c>
      <c r="C1992">
        <v>840733</v>
      </c>
      <c r="D1992" t="s">
        <v>176</v>
      </c>
      <c r="E1992">
        <v>0</v>
      </c>
      <c r="F1992">
        <v>0</v>
      </c>
      <c r="G1992">
        <v>0</v>
      </c>
      <c r="H1992">
        <f>_xlfn.XLOOKUP(FACT_IMPORTS[[#This Row],[hts_6]],DIM_PRODUCTS[hts_6],DIM_PRODUCTS[hts_4],,,)</f>
        <v>8407</v>
      </c>
      <c r="I1992" t="str" cm="1">
        <f t="array" ref="I1992">_xlfn.XLOOKUP(FACT_IMPORTS[[#This Row],[country_name]],DIM_COUNTRY[[#All],[Column2]],DIM_COUNTRY[[#All],[Column3]],,,)</f>
        <v>USMCA</v>
      </c>
    </row>
    <row r="1993" spans="1:9" x14ac:dyDescent="0.4">
      <c r="A1993" t="s">
        <v>61</v>
      </c>
      <c r="B1993" s="1">
        <v>45778</v>
      </c>
      <c r="C1993">
        <v>840734</v>
      </c>
      <c r="D1993" t="s">
        <v>176</v>
      </c>
      <c r="E1993">
        <v>268088305</v>
      </c>
      <c r="F1993">
        <v>93058</v>
      </c>
      <c r="G1993">
        <v>634600</v>
      </c>
      <c r="H1993">
        <f>_xlfn.XLOOKUP(FACT_IMPORTS[[#This Row],[hts_6]],DIM_PRODUCTS[hts_6],DIM_PRODUCTS[hts_4],,,)</f>
        <v>8407</v>
      </c>
      <c r="I1993" t="str" cm="1">
        <f t="array" ref="I1993">_xlfn.XLOOKUP(FACT_IMPORTS[[#This Row],[country_name]],DIM_COUNTRY[[#All],[Column2]],DIM_COUNTRY[[#All],[Column3]],,,)</f>
        <v>USMCA</v>
      </c>
    </row>
    <row r="1994" spans="1:9" x14ac:dyDescent="0.4">
      <c r="A1994" t="s">
        <v>61</v>
      </c>
      <c r="B1994" s="1">
        <v>45778</v>
      </c>
      <c r="C1994">
        <v>840790</v>
      </c>
      <c r="D1994" t="s">
        <v>176</v>
      </c>
      <c r="E1994">
        <v>8862383</v>
      </c>
      <c r="F1994">
        <v>3549</v>
      </c>
      <c r="G1994">
        <v>2620</v>
      </c>
      <c r="H1994">
        <f>_xlfn.XLOOKUP(FACT_IMPORTS[[#This Row],[hts_6]],DIM_PRODUCTS[hts_6],DIM_PRODUCTS[hts_4],,,)</f>
        <v>8407</v>
      </c>
      <c r="I1994" t="str" cm="1">
        <f t="array" ref="I1994">_xlfn.XLOOKUP(FACT_IMPORTS[[#This Row],[country_name]],DIM_COUNTRY[[#All],[Column2]],DIM_COUNTRY[[#All],[Column3]],,,)</f>
        <v>USMCA</v>
      </c>
    </row>
    <row r="1995" spans="1:9" x14ac:dyDescent="0.4">
      <c r="A1995" t="s">
        <v>61</v>
      </c>
      <c r="B1995" s="1">
        <v>45778</v>
      </c>
      <c r="C1995">
        <v>840820</v>
      </c>
      <c r="D1995" t="s">
        <v>176</v>
      </c>
      <c r="E1995">
        <v>202761</v>
      </c>
      <c r="F1995">
        <v>21</v>
      </c>
      <c r="G1995">
        <v>270</v>
      </c>
      <c r="H1995">
        <f>_xlfn.XLOOKUP(FACT_IMPORTS[[#This Row],[hts_6]],DIM_PRODUCTS[hts_6],DIM_PRODUCTS[hts_4],,,)</f>
        <v>8408</v>
      </c>
      <c r="I1995" t="str" cm="1">
        <f t="array" ref="I1995">_xlfn.XLOOKUP(FACT_IMPORTS[[#This Row],[country_name]],DIM_COUNTRY[[#All],[Column2]],DIM_COUNTRY[[#All],[Column3]],,,)</f>
        <v>USMCA</v>
      </c>
    </row>
    <row r="1996" spans="1:9" x14ac:dyDescent="0.4">
      <c r="A1996" t="s">
        <v>61</v>
      </c>
      <c r="B1996" s="1">
        <v>45778</v>
      </c>
      <c r="C1996">
        <v>840890</v>
      </c>
      <c r="D1996" t="s">
        <v>176</v>
      </c>
      <c r="E1996">
        <v>99921</v>
      </c>
      <c r="F1996">
        <v>6</v>
      </c>
      <c r="G1996">
        <v>1030</v>
      </c>
      <c r="H1996">
        <f>_xlfn.XLOOKUP(FACT_IMPORTS[[#This Row],[hts_6]],DIM_PRODUCTS[hts_6],DIM_PRODUCTS[hts_4],,,)</f>
        <v>8408</v>
      </c>
      <c r="I1996" t="str" cm="1">
        <f t="array" ref="I1996">_xlfn.XLOOKUP(FACT_IMPORTS[[#This Row],[country_name]],DIM_COUNTRY[[#All],[Column2]],DIM_COUNTRY[[#All],[Column3]],,,)</f>
        <v>USMCA</v>
      </c>
    </row>
    <row r="1997" spans="1:9" x14ac:dyDescent="0.4">
      <c r="A1997" t="s">
        <v>61</v>
      </c>
      <c r="B1997" s="1">
        <v>45778</v>
      </c>
      <c r="C1997">
        <v>840991</v>
      </c>
      <c r="D1997" t="s">
        <v>176</v>
      </c>
      <c r="E1997">
        <v>39573655</v>
      </c>
      <c r="F1997">
        <v>3152022</v>
      </c>
      <c r="G1997">
        <v>236109</v>
      </c>
      <c r="H1997">
        <f>_xlfn.XLOOKUP(FACT_IMPORTS[[#This Row],[hts_6]],DIM_PRODUCTS[hts_6],DIM_PRODUCTS[hts_4],,,)</f>
        <v>8409</v>
      </c>
      <c r="I1997" t="str" cm="1">
        <f t="array" ref="I1997">_xlfn.XLOOKUP(FACT_IMPORTS[[#This Row],[country_name]],DIM_COUNTRY[[#All],[Column2]],DIM_COUNTRY[[#All],[Column3]],,,)</f>
        <v>USMCA</v>
      </c>
    </row>
    <row r="1998" spans="1:9" x14ac:dyDescent="0.4">
      <c r="A1998" t="s">
        <v>61</v>
      </c>
      <c r="B1998" s="1">
        <v>45778</v>
      </c>
      <c r="C1998">
        <v>840999</v>
      </c>
      <c r="D1998" t="s">
        <v>176</v>
      </c>
      <c r="E1998">
        <v>11272494</v>
      </c>
      <c r="F1998">
        <v>999498</v>
      </c>
      <c r="G1998">
        <v>85021</v>
      </c>
      <c r="H1998">
        <f>_xlfn.XLOOKUP(FACT_IMPORTS[[#This Row],[hts_6]],DIM_PRODUCTS[hts_6],DIM_PRODUCTS[hts_4],,,)</f>
        <v>8409</v>
      </c>
      <c r="I1998" t="str" cm="1">
        <f t="array" ref="I1998">_xlfn.XLOOKUP(FACT_IMPORTS[[#This Row],[country_name]],DIM_COUNTRY[[#All],[Column2]],DIM_COUNTRY[[#All],[Column3]],,,)</f>
        <v>USMCA</v>
      </c>
    </row>
    <row r="1999" spans="1:9" x14ac:dyDescent="0.4">
      <c r="A1999" t="s">
        <v>61</v>
      </c>
      <c r="B1999" s="1">
        <v>45778</v>
      </c>
      <c r="C1999">
        <v>841330</v>
      </c>
      <c r="D1999" t="s">
        <v>176</v>
      </c>
      <c r="E1999">
        <v>9124650</v>
      </c>
      <c r="F1999">
        <v>172942</v>
      </c>
      <c r="G1999">
        <v>54368</v>
      </c>
      <c r="H1999">
        <f>_xlfn.XLOOKUP(FACT_IMPORTS[[#This Row],[hts_6]],DIM_PRODUCTS[hts_6],DIM_PRODUCTS[hts_4],,,)</f>
        <v>8413</v>
      </c>
      <c r="I1999" t="str" cm="1">
        <f t="array" ref="I1999">_xlfn.XLOOKUP(FACT_IMPORTS[[#This Row],[country_name]],DIM_COUNTRY[[#All],[Column2]],DIM_COUNTRY[[#All],[Column3]],,,)</f>
        <v>USMCA</v>
      </c>
    </row>
    <row r="2000" spans="1:9" x14ac:dyDescent="0.4">
      <c r="A2000" t="s">
        <v>61</v>
      </c>
      <c r="B2000" s="1">
        <v>45778</v>
      </c>
      <c r="C2000">
        <v>841520</v>
      </c>
      <c r="D2000" t="s">
        <v>176</v>
      </c>
      <c r="E2000">
        <v>4269743</v>
      </c>
      <c r="F2000">
        <v>26317</v>
      </c>
      <c r="G2000">
        <v>97762</v>
      </c>
      <c r="H2000">
        <f>_xlfn.XLOOKUP(FACT_IMPORTS[[#This Row],[hts_6]],DIM_PRODUCTS[hts_6],DIM_PRODUCTS[hts_4],,,)</f>
        <v>8415</v>
      </c>
      <c r="I2000" t="str" cm="1">
        <f t="array" ref="I2000">_xlfn.XLOOKUP(FACT_IMPORTS[[#This Row],[country_name]],DIM_COUNTRY[[#All],[Column2]],DIM_COUNTRY[[#All],[Column3]],,,)</f>
        <v>USMCA</v>
      </c>
    </row>
    <row r="2001" spans="1:9" x14ac:dyDescent="0.4">
      <c r="A2001" t="s">
        <v>61</v>
      </c>
      <c r="B2001" s="1">
        <v>45778</v>
      </c>
      <c r="C2001">
        <v>842132</v>
      </c>
      <c r="D2001" t="s">
        <v>176</v>
      </c>
      <c r="E2001">
        <v>14006641</v>
      </c>
      <c r="F2001">
        <v>57844</v>
      </c>
      <c r="G2001">
        <v>101114</v>
      </c>
      <c r="H2001">
        <f>_xlfn.XLOOKUP(FACT_IMPORTS[[#This Row],[hts_6]],DIM_PRODUCTS[hts_6],DIM_PRODUCTS[hts_4],,,)</f>
        <v>8421</v>
      </c>
      <c r="I2001" t="str" cm="1">
        <f t="array" ref="I2001">_xlfn.XLOOKUP(FACT_IMPORTS[[#This Row],[country_name]],DIM_COUNTRY[[#All],[Column2]],DIM_COUNTRY[[#All],[Column3]],,,)</f>
        <v>USMCA</v>
      </c>
    </row>
    <row r="2002" spans="1:9" x14ac:dyDescent="0.4">
      <c r="A2002" t="s">
        <v>61</v>
      </c>
      <c r="B2002" s="1">
        <v>45778</v>
      </c>
      <c r="C2002">
        <v>848210</v>
      </c>
      <c r="D2002" t="s">
        <v>176</v>
      </c>
      <c r="E2002">
        <v>4764123</v>
      </c>
      <c r="F2002">
        <v>430461</v>
      </c>
      <c r="G2002">
        <v>54229</v>
      </c>
      <c r="H2002">
        <f>_xlfn.XLOOKUP(FACT_IMPORTS[[#This Row],[hts_6]],DIM_PRODUCTS[hts_6],DIM_PRODUCTS[hts_4],,,)</f>
        <v>8482</v>
      </c>
      <c r="I2002" t="str" cm="1">
        <f t="array" ref="I2002">_xlfn.XLOOKUP(FACT_IMPORTS[[#This Row],[country_name]],DIM_COUNTRY[[#All],[Column2]],DIM_COUNTRY[[#All],[Column3]],,,)</f>
        <v>USMCA</v>
      </c>
    </row>
    <row r="2003" spans="1:9" x14ac:dyDescent="0.4">
      <c r="A2003" t="s">
        <v>61</v>
      </c>
      <c r="B2003" s="1">
        <v>45778</v>
      </c>
      <c r="C2003">
        <v>848220</v>
      </c>
      <c r="D2003" t="s">
        <v>176</v>
      </c>
      <c r="E2003">
        <v>203889</v>
      </c>
      <c r="F2003">
        <v>3934</v>
      </c>
      <c r="G2003">
        <v>6404</v>
      </c>
      <c r="H2003">
        <f>_xlfn.XLOOKUP(FACT_IMPORTS[[#This Row],[hts_6]],DIM_PRODUCTS[hts_6],DIM_PRODUCTS[hts_4],,,)</f>
        <v>8482</v>
      </c>
      <c r="I2003" t="str" cm="1">
        <f t="array" ref="I2003">_xlfn.XLOOKUP(FACT_IMPORTS[[#This Row],[country_name]],DIM_COUNTRY[[#All],[Column2]],DIM_COUNTRY[[#All],[Column3]],,,)</f>
        <v>USMCA</v>
      </c>
    </row>
    <row r="2004" spans="1:9" x14ac:dyDescent="0.4">
      <c r="A2004" t="s">
        <v>61</v>
      </c>
      <c r="B2004" s="1">
        <v>45778</v>
      </c>
      <c r="C2004">
        <v>848310</v>
      </c>
      <c r="D2004" t="s">
        <v>176</v>
      </c>
      <c r="E2004">
        <v>17911050</v>
      </c>
      <c r="F2004">
        <v>562910</v>
      </c>
      <c r="G2004">
        <v>102511</v>
      </c>
      <c r="H2004">
        <f>_xlfn.XLOOKUP(FACT_IMPORTS[[#This Row],[hts_6]],DIM_PRODUCTS[hts_6],DIM_PRODUCTS[hts_4],,,)</f>
        <v>8483</v>
      </c>
      <c r="I2004" t="str" cm="1">
        <f t="array" ref="I2004">_xlfn.XLOOKUP(FACT_IMPORTS[[#This Row],[country_name]],DIM_COUNTRY[[#All],[Column2]],DIM_COUNTRY[[#All],[Column3]],,,)</f>
        <v>USMCA</v>
      </c>
    </row>
    <row r="2005" spans="1:9" x14ac:dyDescent="0.4">
      <c r="A2005" t="s">
        <v>61</v>
      </c>
      <c r="B2005" s="1">
        <v>45778</v>
      </c>
      <c r="C2005">
        <v>850131</v>
      </c>
      <c r="D2005" t="s">
        <v>176</v>
      </c>
      <c r="E2005">
        <v>2670874</v>
      </c>
      <c r="F2005">
        <v>80723</v>
      </c>
      <c r="G2005">
        <v>44853</v>
      </c>
      <c r="H2005">
        <f>_xlfn.XLOOKUP(FACT_IMPORTS[[#This Row],[hts_6]],DIM_PRODUCTS[hts_6],DIM_PRODUCTS[hts_4],,,)</f>
        <v>8501</v>
      </c>
      <c r="I2005" t="str" cm="1">
        <f t="array" ref="I2005">_xlfn.XLOOKUP(FACT_IMPORTS[[#This Row],[country_name]],DIM_COUNTRY[[#All],[Column2]],DIM_COUNTRY[[#All],[Column3]],,,)</f>
        <v>USMCA</v>
      </c>
    </row>
    <row r="2006" spans="1:9" x14ac:dyDescent="0.4">
      <c r="A2006" t="s">
        <v>61</v>
      </c>
      <c r="B2006" s="1">
        <v>45778</v>
      </c>
      <c r="C2006">
        <v>850132</v>
      </c>
      <c r="D2006" t="s">
        <v>176</v>
      </c>
      <c r="E2006">
        <v>240032</v>
      </c>
      <c r="F2006">
        <v>30</v>
      </c>
      <c r="G2006">
        <v>1725</v>
      </c>
      <c r="H2006">
        <f>_xlfn.XLOOKUP(FACT_IMPORTS[[#This Row],[hts_6]],DIM_PRODUCTS[hts_6],DIM_PRODUCTS[hts_4],,,)</f>
        <v>8501</v>
      </c>
      <c r="I2006" t="str" cm="1">
        <f t="array" ref="I2006">_xlfn.XLOOKUP(FACT_IMPORTS[[#This Row],[country_name]],DIM_COUNTRY[[#All],[Column2]],DIM_COUNTRY[[#All],[Column3]],,,)</f>
        <v>USMCA</v>
      </c>
    </row>
    <row r="2007" spans="1:9" x14ac:dyDescent="0.4">
      <c r="A2007" t="s">
        <v>61</v>
      </c>
      <c r="B2007" s="1">
        <v>45778</v>
      </c>
      <c r="C2007">
        <v>850133</v>
      </c>
      <c r="D2007" t="s">
        <v>176</v>
      </c>
      <c r="E2007">
        <v>9000</v>
      </c>
      <c r="F2007">
        <v>6</v>
      </c>
      <c r="G2007">
        <v>900</v>
      </c>
      <c r="H2007">
        <f>_xlfn.XLOOKUP(FACT_IMPORTS[[#This Row],[hts_6]],DIM_PRODUCTS[hts_6],DIM_PRODUCTS[hts_4],,,)</f>
        <v>8501</v>
      </c>
      <c r="I2007" t="str" cm="1">
        <f t="array" ref="I2007">_xlfn.XLOOKUP(FACT_IMPORTS[[#This Row],[country_name]],DIM_COUNTRY[[#All],[Column2]],DIM_COUNTRY[[#All],[Column3]],,,)</f>
        <v>USMCA</v>
      </c>
    </row>
    <row r="2008" spans="1:9" x14ac:dyDescent="0.4">
      <c r="A2008" t="s">
        <v>61</v>
      </c>
      <c r="B2008" s="1">
        <v>45778</v>
      </c>
      <c r="C2008">
        <v>850134</v>
      </c>
      <c r="D2008" t="s">
        <v>176</v>
      </c>
      <c r="E2008">
        <v>205437</v>
      </c>
      <c r="F2008">
        <v>11</v>
      </c>
      <c r="G2008">
        <v>1000</v>
      </c>
      <c r="H2008">
        <f>_xlfn.XLOOKUP(FACT_IMPORTS[[#This Row],[hts_6]],DIM_PRODUCTS[hts_6],DIM_PRODUCTS[hts_4],,,)</f>
        <v>8501</v>
      </c>
      <c r="I2008" t="str" cm="1">
        <f t="array" ref="I2008">_xlfn.XLOOKUP(FACT_IMPORTS[[#This Row],[country_name]],DIM_COUNTRY[[#All],[Column2]],DIM_COUNTRY[[#All],[Column3]],,,)</f>
        <v>USMCA</v>
      </c>
    </row>
    <row r="2009" spans="1:9" x14ac:dyDescent="0.4">
      <c r="A2009" t="s">
        <v>61</v>
      </c>
      <c r="B2009" s="1">
        <v>45778</v>
      </c>
      <c r="C2009">
        <v>850152</v>
      </c>
      <c r="D2009" t="s">
        <v>176</v>
      </c>
      <c r="E2009">
        <v>360050</v>
      </c>
      <c r="F2009">
        <v>571</v>
      </c>
      <c r="G2009">
        <v>6617</v>
      </c>
      <c r="H2009">
        <f>_xlfn.XLOOKUP(FACT_IMPORTS[[#This Row],[hts_6]],DIM_PRODUCTS[hts_6],DIM_PRODUCTS[hts_4],,,)</f>
        <v>8501</v>
      </c>
      <c r="I2009" t="str" cm="1">
        <f t="array" ref="I2009">_xlfn.XLOOKUP(FACT_IMPORTS[[#This Row],[country_name]],DIM_COUNTRY[[#All],[Column2]],DIM_COUNTRY[[#All],[Column3]],,,)</f>
        <v>USMCA</v>
      </c>
    </row>
    <row r="2010" spans="1:9" x14ac:dyDescent="0.4">
      <c r="A2010" t="s">
        <v>61</v>
      </c>
      <c r="B2010" s="1">
        <v>45778</v>
      </c>
      <c r="C2010">
        <v>850153</v>
      </c>
      <c r="D2010" t="s">
        <v>176</v>
      </c>
      <c r="E2010">
        <v>362576</v>
      </c>
      <c r="F2010">
        <v>43</v>
      </c>
      <c r="G2010">
        <v>3424</v>
      </c>
      <c r="H2010">
        <f>_xlfn.XLOOKUP(FACT_IMPORTS[[#This Row],[hts_6]],DIM_PRODUCTS[hts_6],DIM_PRODUCTS[hts_4],,,)</f>
        <v>8501</v>
      </c>
      <c r="I2010" t="str" cm="1">
        <f t="array" ref="I2010">_xlfn.XLOOKUP(FACT_IMPORTS[[#This Row],[country_name]],DIM_COUNTRY[[#All],[Column2]],DIM_COUNTRY[[#All],[Column3]],,,)</f>
        <v>USMCA</v>
      </c>
    </row>
    <row r="2011" spans="1:9" x14ac:dyDescent="0.4">
      <c r="A2011" t="s">
        <v>61</v>
      </c>
      <c r="B2011" s="1">
        <v>45778</v>
      </c>
      <c r="C2011">
        <v>850161</v>
      </c>
      <c r="D2011" t="s">
        <v>176</v>
      </c>
      <c r="E2011">
        <v>25895</v>
      </c>
      <c r="F2011">
        <v>53</v>
      </c>
      <c r="G2011">
        <v>304</v>
      </c>
      <c r="H2011">
        <f>_xlfn.XLOOKUP(FACT_IMPORTS[[#This Row],[hts_6]],DIM_PRODUCTS[hts_6],DIM_PRODUCTS[hts_4],,,)</f>
        <v>8501</v>
      </c>
      <c r="I2011" t="str" cm="1">
        <f t="array" ref="I2011">_xlfn.XLOOKUP(FACT_IMPORTS[[#This Row],[country_name]],DIM_COUNTRY[[#All],[Column2]],DIM_COUNTRY[[#All],[Column3]],,,)</f>
        <v>USMCA</v>
      </c>
    </row>
    <row r="2012" spans="1:9" x14ac:dyDescent="0.4">
      <c r="A2012" t="s">
        <v>61</v>
      </c>
      <c r="B2012" s="1">
        <v>45778</v>
      </c>
      <c r="C2012">
        <v>850440</v>
      </c>
      <c r="D2012" t="s">
        <v>176</v>
      </c>
      <c r="E2012">
        <v>3431454</v>
      </c>
      <c r="F2012">
        <v>2155</v>
      </c>
      <c r="G2012">
        <v>43653</v>
      </c>
      <c r="H2012">
        <f>_xlfn.XLOOKUP(FACT_IMPORTS[[#This Row],[hts_6]],DIM_PRODUCTS[hts_6],DIM_PRODUCTS[hts_4],,,)</f>
        <v>8504</v>
      </c>
      <c r="I2012" t="str" cm="1">
        <f t="array" ref="I2012">_xlfn.XLOOKUP(FACT_IMPORTS[[#This Row],[country_name]],DIM_COUNTRY[[#All],[Column2]],DIM_COUNTRY[[#All],[Column3]],,,)</f>
        <v>USMCA</v>
      </c>
    </row>
    <row r="2013" spans="1:9" x14ac:dyDescent="0.4">
      <c r="A2013" t="s">
        <v>61</v>
      </c>
      <c r="B2013" s="1">
        <v>45778</v>
      </c>
      <c r="C2013">
        <v>850710</v>
      </c>
      <c r="D2013" t="s">
        <v>176</v>
      </c>
      <c r="E2013">
        <v>1826497</v>
      </c>
      <c r="F2013">
        <v>7117</v>
      </c>
      <c r="G2013">
        <v>57951</v>
      </c>
      <c r="H2013">
        <f>_xlfn.XLOOKUP(FACT_IMPORTS[[#This Row],[hts_6]],DIM_PRODUCTS[hts_6],DIM_PRODUCTS[hts_4],,,)</f>
        <v>8507</v>
      </c>
      <c r="I2013" t="str" cm="1">
        <f t="array" ref="I2013">_xlfn.XLOOKUP(FACT_IMPORTS[[#This Row],[country_name]],DIM_COUNTRY[[#All],[Column2]],DIM_COUNTRY[[#All],[Column3]],,,)</f>
        <v>USMCA</v>
      </c>
    </row>
    <row r="2014" spans="1:9" x14ac:dyDescent="0.4">
      <c r="A2014" t="s">
        <v>61</v>
      </c>
      <c r="B2014" s="1">
        <v>45778</v>
      </c>
      <c r="C2014">
        <v>850760</v>
      </c>
      <c r="D2014" t="s">
        <v>176</v>
      </c>
      <c r="E2014">
        <v>15976284</v>
      </c>
      <c r="F2014">
        <v>195285</v>
      </c>
      <c r="G2014">
        <v>55310</v>
      </c>
      <c r="H2014">
        <f>_xlfn.XLOOKUP(FACT_IMPORTS[[#This Row],[hts_6]],DIM_PRODUCTS[hts_6],DIM_PRODUCTS[hts_4],,,)</f>
        <v>8507</v>
      </c>
      <c r="I2014" t="str" cm="1">
        <f t="array" ref="I2014">_xlfn.XLOOKUP(FACT_IMPORTS[[#This Row],[country_name]],DIM_COUNTRY[[#All],[Column2]],DIM_COUNTRY[[#All],[Column3]],,,)</f>
        <v>USMCA</v>
      </c>
    </row>
    <row r="2015" spans="1:9" x14ac:dyDescent="0.4">
      <c r="A2015" t="s">
        <v>61</v>
      </c>
      <c r="B2015" s="1">
        <v>45778</v>
      </c>
      <c r="C2015">
        <v>850790</v>
      </c>
      <c r="D2015" t="s">
        <v>176</v>
      </c>
      <c r="E2015">
        <v>1527758</v>
      </c>
      <c r="F2015">
        <v>117212</v>
      </c>
      <c r="G2015">
        <v>46619</v>
      </c>
      <c r="H2015">
        <f>_xlfn.XLOOKUP(FACT_IMPORTS[[#This Row],[hts_6]],DIM_PRODUCTS[hts_6],DIM_PRODUCTS[hts_4],,,)</f>
        <v>8507</v>
      </c>
      <c r="I2015" t="str" cm="1">
        <f t="array" ref="I2015">_xlfn.XLOOKUP(FACT_IMPORTS[[#This Row],[country_name]],DIM_COUNTRY[[#All],[Column2]],DIM_COUNTRY[[#All],[Column3]],,,)</f>
        <v>USMCA</v>
      </c>
    </row>
    <row r="2016" spans="1:9" x14ac:dyDescent="0.4">
      <c r="A2016" t="s">
        <v>61</v>
      </c>
      <c r="B2016" s="1">
        <v>45778</v>
      </c>
      <c r="C2016">
        <v>851110</v>
      </c>
      <c r="D2016" t="s">
        <v>176</v>
      </c>
      <c r="E2016">
        <v>15804</v>
      </c>
      <c r="F2016">
        <v>16</v>
      </c>
      <c r="G2016">
        <v>22</v>
      </c>
      <c r="H2016">
        <f>_xlfn.XLOOKUP(FACT_IMPORTS[[#This Row],[hts_6]],DIM_PRODUCTS[hts_6],DIM_PRODUCTS[hts_4],,,)</f>
        <v>8511</v>
      </c>
      <c r="I2016" t="str" cm="1">
        <f t="array" ref="I2016">_xlfn.XLOOKUP(FACT_IMPORTS[[#This Row],[country_name]],DIM_COUNTRY[[#All],[Column2]],DIM_COUNTRY[[#All],[Column3]],,,)</f>
        <v>USMCA</v>
      </c>
    </row>
    <row r="2017" spans="1:9" x14ac:dyDescent="0.4">
      <c r="A2017" t="s">
        <v>61</v>
      </c>
      <c r="B2017" s="1">
        <v>45778</v>
      </c>
      <c r="C2017">
        <v>851130</v>
      </c>
      <c r="D2017" t="s">
        <v>176</v>
      </c>
      <c r="E2017">
        <v>2818</v>
      </c>
      <c r="F2017">
        <v>1409</v>
      </c>
      <c r="G2017">
        <v>17</v>
      </c>
      <c r="H2017">
        <f>_xlfn.XLOOKUP(FACT_IMPORTS[[#This Row],[hts_6]],DIM_PRODUCTS[hts_6],DIM_PRODUCTS[hts_4],,,)</f>
        <v>8511</v>
      </c>
      <c r="I2017" t="str" cm="1">
        <f t="array" ref="I2017">_xlfn.XLOOKUP(FACT_IMPORTS[[#This Row],[country_name]],DIM_COUNTRY[[#All],[Column2]],DIM_COUNTRY[[#All],[Column3]],,,)</f>
        <v>USMCA</v>
      </c>
    </row>
    <row r="2018" spans="1:9" x14ac:dyDescent="0.4">
      <c r="A2018" t="s">
        <v>61</v>
      </c>
      <c r="B2018" s="1">
        <v>45778</v>
      </c>
      <c r="C2018">
        <v>851140</v>
      </c>
      <c r="D2018" t="s">
        <v>176</v>
      </c>
      <c r="E2018">
        <v>523959</v>
      </c>
      <c r="F2018">
        <v>6579</v>
      </c>
      <c r="G2018">
        <v>4438</v>
      </c>
      <c r="H2018">
        <f>_xlfn.XLOOKUP(FACT_IMPORTS[[#This Row],[hts_6]],DIM_PRODUCTS[hts_6],DIM_PRODUCTS[hts_4],,,)</f>
        <v>8511</v>
      </c>
      <c r="I2018" t="str" cm="1">
        <f t="array" ref="I2018">_xlfn.XLOOKUP(FACT_IMPORTS[[#This Row],[country_name]],DIM_COUNTRY[[#All],[Column2]],DIM_COUNTRY[[#All],[Column3]],,,)</f>
        <v>USMCA</v>
      </c>
    </row>
    <row r="2019" spans="1:9" x14ac:dyDescent="0.4">
      <c r="A2019" t="s">
        <v>61</v>
      </c>
      <c r="B2019" s="1">
        <v>45778</v>
      </c>
      <c r="C2019">
        <v>851150</v>
      </c>
      <c r="D2019" t="s">
        <v>176</v>
      </c>
      <c r="E2019">
        <v>454877</v>
      </c>
      <c r="F2019">
        <v>11912</v>
      </c>
      <c r="G2019">
        <v>4505</v>
      </c>
      <c r="H2019">
        <f>_xlfn.XLOOKUP(FACT_IMPORTS[[#This Row],[hts_6]],DIM_PRODUCTS[hts_6],DIM_PRODUCTS[hts_4],,,)</f>
        <v>8511</v>
      </c>
      <c r="I2019" t="str" cm="1">
        <f t="array" ref="I2019">_xlfn.XLOOKUP(FACT_IMPORTS[[#This Row],[country_name]],DIM_COUNTRY[[#All],[Column2]],DIM_COUNTRY[[#All],[Column3]],,,)</f>
        <v>USMCA</v>
      </c>
    </row>
    <row r="2020" spans="1:9" x14ac:dyDescent="0.4">
      <c r="A2020" t="s">
        <v>61</v>
      </c>
      <c r="B2020" s="1">
        <v>45778</v>
      </c>
      <c r="C2020">
        <v>851180</v>
      </c>
      <c r="D2020" t="s">
        <v>176</v>
      </c>
      <c r="E2020">
        <v>0</v>
      </c>
      <c r="F2020">
        <v>0</v>
      </c>
      <c r="G2020">
        <v>0</v>
      </c>
      <c r="H2020">
        <f>_xlfn.XLOOKUP(FACT_IMPORTS[[#This Row],[hts_6]],DIM_PRODUCTS[hts_6],DIM_PRODUCTS[hts_4],,,)</f>
        <v>8511</v>
      </c>
      <c r="I2020" t="str" cm="1">
        <f t="array" ref="I2020">_xlfn.XLOOKUP(FACT_IMPORTS[[#This Row],[country_name]],DIM_COUNTRY[[#All],[Column2]],DIM_COUNTRY[[#All],[Column3]],,,)</f>
        <v>USMCA</v>
      </c>
    </row>
    <row r="2021" spans="1:9" x14ac:dyDescent="0.4">
      <c r="A2021" t="s">
        <v>61</v>
      </c>
      <c r="B2021" s="1">
        <v>45778</v>
      </c>
      <c r="C2021">
        <v>851190</v>
      </c>
      <c r="D2021" t="s">
        <v>176</v>
      </c>
      <c r="E2021">
        <v>593904</v>
      </c>
      <c r="F2021">
        <v>8375</v>
      </c>
      <c r="G2021">
        <v>2238</v>
      </c>
      <c r="H2021">
        <f>_xlfn.XLOOKUP(FACT_IMPORTS[[#This Row],[hts_6]],DIM_PRODUCTS[hts_6],DIM_PRODUCTS[hts_4],,,)</f>
        <v>8511</v>
      </c>
      <c r="I2021" t="str" cm="1">
        <f t="array" ref="I2021">_xlfn.XLOOKUP(FACT_IMPORTS[[#This Row],[country_name]],DIM_COUNTRY[[#All],[Column2]],DIM_COUNTRY[[#All],[Column3]],,,)</f>
        <v>USMCA</v>
      </c>
    </row>
    <row r="2022" spans="1:9" x14ac:dyDescent="0.4">
      <c r="A2022" t="s">
        <v>61</v>
      </c>
      <c r="B2022" s="1">
        <v>45778</v>
      </c>
      <c r="C2022">
        <v>851220</v>
      </c>
      <c r="D2022" t="s">
        <v>176</v>
      </c>
      <c r="E2022">
        <v>17209554</v>
      </c>
      <c r="F2022">
        <v>304149</v>
      </c>
      <c r="G2022">
        <v>152464</v>
      </c>
      <c r="H2022">
        <f>_xlfn.XLOOKUP(FACT_IMPORTS[[#This Row],[hts_6]],DIM_PRODUCTS[hts_6],DIM_PRODUCTS[hts_4],,,)</f>
        <v>8512</v>
      </c>
      <c r="I2022" t="str" cm="1">
        <f t="array" ref="I2022">_xlfn.XLOOKUP(FACT_IMPORTS[[#This Row],[country_name]],DIM_COUNTRY[[#All],[Column2]],DIM_COUNTRY[[#All],[Column3]],,,)</f>
        <v>USMCA</v>
      </c>
    </row>
    <row r="2023" spans="1:9" x14ac:dyDescent="0.4">
      <c r="A2023" t="s">
        <v>61</v>
      </c>
      <c r="B2023" s="1">
        <v>45778</v>
      </c>
      <c r="C2023">
        <v>851230</v>
      </c>
      <c r="D2023" t="s">
        <v>176</v>
      </c>
      <c r="E2023">
        <v>174740</v>
      </c>
      <c r="F2023">
        <v>1584</v>
      </c>
      <c r="G2023">
        <v>579</v>
      </c>
      <c r="H2023">
        <f>_xlfn.XLOOKUP(FACT_IMPORTS[[#This Row],[hts_6]],DIM_PRODUCTS[hts_6],DIM_PRODUCTS[hts_4],,,)</f>
        <v>8512</v>
      </c>
      <c r="I2023" t="str" cm="1">
        <f t="array" ref="I2023">_xlfn.XLOOKUP(FACT_IMPORTS[[#This Row],[country_name]],DIM_COUNTRY[[#All],[Column2]],DIM_COUNTRY[[#All],[Column3]],,,)</f>
        <v>USMCA</v>
      </c>
    </row>
    <row r="2024" spans="1:9" x14ac:dyDescent="0.4">
      <c r="A2024" t="s">
        <v>61</v>
      </c>
      <c r="B2024" s="1">
        <v>45778</v>
      </c>
      <c r="C2024">
        <v>851240</v>
      </c>
      <c r="D2024" t="s">
        <v>176</v>
      </c>
      <c r="E2024">
        <v>3799</v>
      </c>
      <c r="F2024">
        <v>14</v>
      </c>
      <c r="G2024">
        <v>1</v>
      </c>
      <c r="H2024">
        <f>_xlfn.XLOOKUP(FACT_IMPORTS[[#This Row],[hts_6]],DIM_PRODUCTS[hts_6],DIM_PRODUCTS[hts_4],,,)</f>
        <v>8512</v>
      </c>
      <c r="I2024" t="str" cm="1">
        <f t="array" ref="I2024">_xlfn.XLOOKUP(FACT_IMPORTS[[#This Row],[country_name]],DIM_COUNTRY[[#All],[Column2]],DIM_COUNTRY[[#All],[Column3]],,,)</f>
        <v>USMCA</v>
      </c>
    </row>
    <row r="2025" spans="1:9" x14ac:dyDescent="0.4">
      <c r="A2025" t="s">
        <v>61</v>
      </c>
      <c r="B2025" s="1">
        <v>45778</v>
      </c>
      <c r="C2025">
        <v>851290</v>
      </c>
      <c r="D2025" t="s">
        <v>176</v>
      </c>
      <c r="E2025">
        <v>1738463</v>
      </c>
      <c r="F2025">
        <v>31496</v>
      </c>
      <c r="G2025">
        <v>3315</v>
      </c>
      <c r="H2025">
        <f>_xlfn.XLOOKUP(FACT_IMPORTS[[#This Row],[hts_6]],DIM_PRODUCTS[hts_6],DIM_PRODUCTS[hts_4],,,)</f>
        <v>8512</v>
      </c>
      <c r="I2025" t="str" cm="1">
        <f t="array" ref="I2025">_xlfn.XLOOKUP(FACT_IMPORTS[[#This Row],[country_name]],DIM_COUNTRY[[#All],[Column2]],DIM_COUNTRY[[#All],[Column3]],,,)</f>
        <v>USMCA</v>
      </c>
    </row>
    <row r="2026" spans="1:9" x14ac:dyDescent="0.4">
      <c r="A2026" t="s">
        <v>61</v>
      </c>
      <c r="B2026" s="1">
        <v>45778</v>
      </c>
      <c r="C2026">
        <v>854231</v>
      </c>
      <c r="D2026" t="s">
        <v>176</v>
      </c>
      <c r="E2026">
        <v>222125</v>
      </c>
      <c r="F2026">
        <v>841</v>
      </c>
      <c r="G2026">
        <v>1142</v>
      </c>
      <c r="H2026">
        <f>_xlfn.XLOOKUP(FACT_IMPORTS[[#This Row],[hts_6]],DIM_PRODUCTS[hts_6],DIM_PRODUCTS[hts_4],,,)</f>
        <v>8542</v>
      </c>
      <c r="I2026" t="str" cm="1">
        <f t="array" ref="I2026">_xlfn.XLOOKUP(FACT_IMPORTS[[#This Row],[country_name]],DIM_COUNTRY[[#All],[Column2]],DIM_COUNTRY[[#All],[Column3]],,,)</f>
        <v>USMCA</v>
      </c>
    </row>
    <row r="2027" spans="1:9" x14ac:dyDescent="0.4">
      <c r="A2027" t="s">
        <v>61</v>
      </c>
      <c r="B2027" s="1">
        <v>45778</v>
      </c>
      <c r="C2027">
        <v>854232</v>
      </c>
      <c r="D2027" t="s">
        <v>176</v>
      </c>
      <c r="E2027">
        <v>28520</v>
      </c>
      <c r="F2027">
        <v>9200</v>
      </c>
      <c r="G2027">
        <v>210</v>
      </c>
      <c r="H2027">
        <f>_xlfn.XLOOKUP(FACT_IMPORTS[[#This Row],[hts_6]],DIM_PRODUCTS[hts_6],DIM_PRODUCTS[hts_4],,,)</f>
        <v>8542</v>
      </c>
      <c r="I2027" t="str" cm="1">
        <f t="array" ref="I2027">_xlfn.XLOOKUP(FACT_IMPORTS[[#This Row],[country_name]],DIM_COUNTRY[[#All],[Column2]],DIM_COUNTRY[[#All],[Column3]],,,)</f>
        <v>USMCA</v>
      </c>
    </row>
    <row r="2028" spans="1:9" x14ac:dyDescent="0.4">
      <c r="A2028" t="s">
        <v>61</v>
      </c>
      <c r="B2028" s="1">
        <v>45778</v>
      </c>
      <c r="C2028">
        <v>854233</v>
      </c>
      <c r="D2028" t="s">
        <v>176</v>
      </c>
      <c r="E2028">
        <v>26770</v>
      </c>
      <c r="F2028">
        <v>1</v>
      </c>
      <c r="G2028">
        <v>34</v>
      </c>
      <c r="H2028">
        <f>_xlfn.XLOOKUP(FACT_IMPORTS[[#This Row],[hts_6]],DIM_PRODUCTS[hts_6],DIM_PRODUCTS[hts_4],,,)</f>
        <v>8542</v>
      </c>
      <c r="I2028" t="str" cm="1">
        <f t="array" ref="I2028">_xlfn.XLOOKUP(FACT_IMPORTS[[#This Row],[country_name]],DIM_COUNTRY[[#All],[Column2]],DIM_COUNTRY[[#All],[Column3]],,,)</f>
        <v>USMCA</v>
      </c>
    </row>
    <row r="2029" spans="1:9" x14ac:dyDescent="0.4">
      <c r="A2029" t="s">
        <v>61</v>
      </c>
      <c r="B2029" s="1">
        <v>45778</v>
      </c>
      <c r="C2029">
        <v>854239</v>
      </c>
      <c r="D2029" t="s">
        <v>176</v>
      </c>
      <c r="E2029">
        <v>27551</v>
      </c>
      <c r="F2029">
        <v>1</v>
      </c>
      <c r="G2029">
        <v>150</v>
      </c>
      <c r="H2029">
        <f>_xlfn.XLOOKUP(FACT_IMPORTS[[#This Row],[hts_6]],DIM_PRODUCTS[hts_6],DIM_PRODUCTS[hts_4],,,)</f>
        <v>8542</v>
      </c>
      <c r="I2029" t="str" cm="1">
        <f t="array" ref="I2029">_xlfn.XLOOKUP(FACT_IMPORTS[[#This Row],[country_name]],DIM_COUNTRY[[#All],[Column2]],DIM_COUNTRY[[#All],[Column3]],,,)</f>
        <v>USMCA</v>
      </c>
    </row>
    <row r="2030" spans="1:9" x14ac:dyDescent="0.4">
      <c r="A2030" t="s">
        <v>61</v>
      </c>
      <c r="B2030" s="1">
        <v>45778</v>
      </c>
      <c r="C2030">
        <v>854290</v>
      </c>
      <c r="D2030" t="s">
        <v>176</v>
      </c>
      <c r="E2030">
        <v>194177</v>
      </c>
      <c r="F2030">
        <v>36362</v>
      </c>
      <c r="G2030">
        <v>2941</v>
      </c>
      <c r="H2030">
        <f>_xlfn.XLOOKUP(FACT_IMPORTS[[#This Row],[hts_6]],DIM_PRODUCTS[hts_6],DIM_PRODUCTS[hts_4],,,)</f>
        <v>8542</v>
      </c>
      <c r="I2030" t="str" cm="1">
        <f t="array" ref="I2030">_xlfn.XLOOKUP(FACT_IMPORTS[[#This Row],[country_name]],DIM_COUNTRY[[#All],[Column2]],DIM_COUNTRY[[#All],[Column3]],,,)</f>
        <v>USMCA</v>
      </c>
    </row>
    <row r="2031" spans="1:9" x14ac:dyDescent="0.4">
      <c r="A2031" t="s">
        <v>61</v>
      </c>
      <c r="B2031" s="1">
        <v>45778</v>
      </c>
      <c r="C2031">
        <v>854430</v>
      </c>
      <c r="D2031" t="s">
        <v>176</v>
      </c>
      <c r="E2031">
        <v>1839754</v>
      </c>
      <c r="F2031">
        <v>24141</v>
      </c>
      <c r="G2031">
        <v>9773</v>
      </c>
      <c r="H2031">
        <f>_xlfn.XLOOKUP(FACT_IMPORTS[[#This Row],[hts_6]],DIM_PRODUCTS[hts_6],DIM_PRODUCTS[hts_4],,,)</f>
        <v>8544</v>
      </c>
      <c r="I2031" t="str" cm="1">
        <f t="array" ref="I2031">_xlfn.XLOOKUP(FACT_IMPORTS[[#This Row],[country_name]],DIM_COUNTRY[[#All],[Column2]],DIM_COUNTRY[[#All],[Column3]],,,)</f>
        <v>USMCA</v>
      </c>
    </row>
    <row r="2032" spans="1:9" x14ac:dyDescent="0.4">
      <c r="A2032" t="s">
        <v>61</v>
      </c>
      <c r="B2032" s="1">
        <v>45778</v>
      </c>
      <c r="C2032">
        <v>870600</v>
      </c>
      <c r="D2032" t="s">
        <v>176</v>
      </c>
      <c r="E2032">
        <v>0</v>
      </c>
      <c r="F2032">
        <v>0</v>
      </c>
      <c r="G2032">
        <v>0</v>
      </c>
      <c r="H2032">
        <f>_xlfn.XLOOKUP(FACT_IMPORTS[[#This Row],[hts_6]],DIM_PRODUCTS[hts_6],DIM_PRODUCTS[hts_4],,,)</f>
        <v>8706</v>
      </c>
      <c r="I2032" t="str" cm="1">
        <f t="array" ref="I2032">_xlfn.XLOOKUP(FACT_IMPORTS[[#This Row],[country_name]],DIM_COUNTRY[[#All],[Column2]],DIM_COUNTRY[[#All],[Column3]],,,)</f>
        <v>USMCA</v>
      </c>
    </row>
    <row r="2033" spans="1:9" x14ac:dyDescent="0.4">
      <c r="A2033" t="s">
        <v>61</v>
      </c>
      <c r="B2033" s="1">
        <v>45778</v>
      </c>
      <c r="C2033">
        <v>870710</v>
      </c>
      <c r="D2033" t="s">
        <v>176</v>
      </c>
      <c r="E2033">
        <v>0</v>
      </c>
      <c r="F2033">
        <v>0</v>
      </c>
      <c r="G2033">
        <v>0</v>
      </c>
      <c r="H2033">
        <f>_xlfn.XLOOKUP(FACT_IMPORTS[[#This Row],[hts_6]],DIM_PRODUCTS[hts_6],DIM_PRODUCTS[hts_4],,,)</f>
        <v>8707</v>
      </c>
      <c r="I2033" t="str" cm="1">
        <f t="array" ref="I2033">_xlfn.XLOOKUP(FACT_IMPORTS[[#This Row],[country_name]],DIM_COUNTRY[[#All],[Column2]],DIM_COUNTRY[[#All],[Column3]],,,)</f>
        <v>USMCA</v>
      </c>
    </row>
    <row r="2034" spans="1:9" x14ac:dyDescent="0.4">
      <c r="A2034" t="s">
        <v>61</v>
      </c>
      <c r="B2034" s="1">
        <v>45778</v>
      </c>
      <c r="C2034">
        <v>870790</v>
      </c>
      <c r="D2034" t="s">
        <v>176</v>
      </c>
      <c r="E2034">
        <v>4409321</v>
      </c>
      <c r="F2034">
        <v>266</v>
      </c>
      <c r="G2034">
        <v>89755</v>
      </c>
      <c r="H2034">
        <f>_xlfn.XLOOKUP(FACT_IMPORTS[[#This Row],[hts_6]],DIM_PRODUCTS[hts_6],DIM_PRODUCTS[hts_4],,,)</f>
        <v>8707</v>
      </c>
      <c r="I2034" t="str" cm="1">
        <f t="array" ref="I2034">_xlfn.XLOOKUP(FACT_IMPORTS[[#This Row],[country_name]],DIM_COUNTRY[[#All],[Column2]],DIM_COUNTRY[[#All],[Column3]],,,)</f>
        <v>USMCA</v>
      </c>
    </row>
    <row r="2035" spans="1:9" x14ac:dyDescent="0.4">
      <c r="A2035" t="s">
        <v>61</v>
      </c>
      <c r="B2035" s="1">
        <v>45778</v>
      </c>
      <c r="C2035">
        <v>870810</v>
      </c>
      <c r="D2035" t="s">
        <v>176</v>
      </c>
      <c r="E2035">
        <v>24216620</v>
      </c>
      <c r="F2035">
        <v>1024509</v>
      </c>
      <c r="G2035">
        <v>581845</v>
      </c>
      <c r="H2035">
        <f>_xlfn.XLOOKUP(FACT_IMPORTS[[#This Row],[hts_6]],DIM_PRODUCTS[hts_6],DIM_PRODUCTS[hts_4],,,)</f>
        <v>8708</v>
      </c>
      <c r="I2035" t="str" cm="1">
        <f t="array" ref="I2035">_xlfn.XLOOKUP(FACT_IMPORTS[[#This Row],[country_name]],DIM_COUNTRY[[#All],[Column2]],DIM_COUNTRY[[#All],[Column3]],,,)</f>
        <v>USMCA</v>
      </c>
    </row>
    <row r="2036" spans="1:9" x14ac:dyDescent="0.4">
      <c r="A2036" t="s">
        <v>61</v>
      </c>
      <c r="B2036" s="1">
        <v>45778</v>
      </c>
      <c r="C2036">
        <v>870821</v>
      </c>
      <c r="D2036" t="s">
        <v>176</v>
      </c>
      <c r="E2036">
        <v>21251</v>
      </c>
      <c r="F2036">
        <v>2139</v>
      </c>
      <c r="G2036">
        <v>12</v>
      </c>
      <c r="H2036">
        <f>_xlfn.XLOOKUP(FACT_IMPORTS[[#This Row],[hts_6]],DIM_PRODUCTS[hts_6],DIM_PRODUCTS[hts_4],,,)</f>
        <v>8708</v>
      </c>
      <c r="I2036" t="str" cm="1">
        <f t="array" ref="I2036">_xlfn.XLOOKUP(FACT_IMPORTS[[#This Row],[country_name]],DIM_COUNTRY[[#All],[Column2]],DIM_COUNTRY[[#All],[Column3]],,,)</f>
        <v>USMCA</v>
      </c>
    </row>
    <row r="2037" spans="1:9" x14ac:dyDescent="0.4">
      <c r="A2037" t="s">
        <v>61</v>
      </c>
      <c r="B2037" s="1">
        <v>45778</v>
      </c>
      <c r="C2037">
        <v>870822</v>
      </c>
      <c r="D2037" t="s">
        <v>176</v>
      </c>
      <c r="E2037">
        <v>5834339</v>
      </c>
      <c r="F2037">
        <v>97887</v>
      </c>
      <c r="G2037">
        <v>144424</v>
      </c>
      <c r="H2037">
        <f>_xlfn.XLOOKUP(FACT_IMPORTS[[#This Row],[hts_6]],DIM_PRODUCTS[hts_6],DIM_PRODUCTS[hts_4],,,)</f>
        <v>8708</v>
      </c>
      <c r="I2037" t="str" cm="1">
        <f t="array" ref="I2037">_xlfn.XLOOKUP(FACT_IMPORTS[[#This Row],[country_name]],DIM_COUNTRY[[#All],[Column2]],DIM_COUNTRY[[#All],[Column3]],,,)</f>
        <v>USMCA</v>
      </c>
    </row>
    <row r="2038" spans="1:9" x14ac:dyDescent="0.4">
      <c r="A2038" t="s">
        <v>61</v>
      </c>
      <c r="B2038" s="1">
        <v>45778</v>
      </c>
      <c r="C2038">
        <v>870829</v>
      </c>
      <c r="D2038" t="s">
        <v>176</v>
      </c>
      <c r="E2038">
        <v>358261021</v>
      </c>
      <c r="F2038">
        <v>49581616</v>
      </c>
      <c r="G2038">
        <v>11107903</v>
      </c>
      <c r="H2038">
        <f>_xlfn.XLOOKUP(FACT_IMPORTS[[#This Row],[hts_6]],DIM_PRODUCTS[hts_6],DIM_PRODUCTS[hts_4],,,)</f>
        <v>8708</v>
      </c>
      <c r="I2038" t="str" cm="1">
        <f t="array" ref="I2038">_xlfn.XLOOKUP(FACT_IMPORTS[[#This Row],[country_name]],DIM_COUNTRY[[#All],[Column2]],DIM_COUNTRY[[#All],[Column3]],,,)</f>
        <v>USMCA</v>
      </c>
    </row>
    <row r="2039" spans="1:9" x14ac:dyDescent="0.4">
      <c r="A2039" t="s">
        <v>61</v>
      </c>
      <c r="B2039" s="1">
        <v>45778</v>
      </c>
      <c r="C2039">
        <v>870830</v>
      </c>
      <c r="D2039" t="s">
        <v>176</v>
      </c>
      <c r="E2039">
        <v>10951849</v>
      </c>
      <c r="F2039">
        <v>2929749</v>
      </c>
      <c r="G2039">
        <v>208469</v>
      </c>
      <c r="H2039">
        <f>_xlfn.XLOOKUP(FACT_IMPORTS[[#This Row],[hts_6]],DIM_PRODUCTS[hts_6],DIM_PRODUCTS[hts_4],,,)</f>
        <v>8708</v>
      </c>
      <c r="I2039" t="str" cm="1">
        <f t="array" ref="I2039">_xlfn.XLOOKUP(FACT_IMPORTS[[#This Row],[country_name]],DIM_COUNTRY[[#All],[Column2]],DIM_COUNTRY[[#All],[Column3]],,,)</f>
        <v>USMCA</v>
      </c>
    </row>
    <row r="2040" spans="1:9" x14ac:dyDescent="0.4">
      <c r="A2040" t="s">
        <v>61</v>
      </c>
      <c r="B2040" s="1">
        <v>45778</v>
      </c>
      <c r="C2040">
        <v>870840</v>
      </c>
      <c r="D2040" t="s">
        <v>176</v>
      </c>
      <c r="E2040">
        <v>86754265</v>
      </c>
      <c r="F2040">
        <v>5293120</v>
      </c>
      <c r="G2040">
        <v>871015</v>
      </c>
      <c r="H2040">
        <f>_xlfn.XLOOKUP(FACT_IMPORTS[[#This Row],[hts_6]],DIM_PRODUCTS[hts_6],DIM_PRODUCTS[hts_4],,,)</f>
        <v>8708</v>
      </c>
      <c r="I2040" t="str" cm="1">
        <f t="array" ref="I2040">_xlfn.XLOOKUP(FACT_IMPORTS[[#This Row],[country_name]],DIM_COUNTRY[[#All],[Column2]],DIM_COUNTRY[[#All],[Column3]],,,)</f>
        <v>USMCA</v>
      </c>
    </row>
    <row r="2041" spans="1:9" x14ac:dyDescent="0.4">
      <c r="A2041" t="s">
        <v>61</v>
      </c>
      <c r="B2041" s="1">
        <v>45778</v>
      </c>
      <c r="C2041">
        <v>870850</v>
      </c>
      <c r="D2041" t="s">
        <v>176</v>
      </c>
      <c r="E2041">
        <v>26824909</v>
      </c>
      <c r="F2041">
        <v>2440743</v>
      </c>
      <c r="G2041">
        <v>234321</v>
      </c>
      <c r="H2041">
        <f>_xlfn.XLOOKUP(FACT_IMPORTS[[#This Row],[hts_6]],DIM_PRODUCTS[hts_6],DIM_PRODUCTS[hts_4],,,)</f>
        <v>8708</v>
      </c>
      <c r="I2041" t="str" cm="1">
        <f t="array" ref="I2041">_xlfn.XLOOKUP(FACT_IMPORTS[[#This Row],[country_name]],DIM_COUNTRY[[#All],[Column2]],DIM_COUNTRY[[#All],[Column3]],,,)</f>
        <v>USMCA</v>
      </c>
    </row>
    <row r="2042" spans="1:9" x14ac:dyDescent="0.4">
      <c r="A2042" t="s">
        <v>61</v>
      </c>
      <c r="B2042" s="1">
        <v>45778</v>
      </c>
      <c r="C2042">
        <v>870870</v>
      </c>
      <c r="D2042" t="s">
        <v>176</v>
      </c>
      <c r="E2042">
        <v>2920286</v>
      </c>
      <c r="F2042">
        <v>5425151</v>
      </c>
      <c r="G2042">
        <v>37923</v>
      </c>
      <c r="H2042">
        <f>_xlfn.XLOOKUP(FACT_IMPORTS[[#This Row],[hts_6]],DIM_PRODUCTS[hts_6],DIM_PRODUCTS[hts_4],,,)</f>
        <v>8708</v>
      </c>
      <c r="I2042" t="str" cm="1">
        <f t="array" ref="I2042">_xlfn.XLOOKUP(FACT_IMPORTS[[#This Row],[country_name]],DIM_COUNTRY[[#All],[Column2]],DIM_COUNTRY[[#All],[Column3]],,,)</f>
        <v>USMCA</v>
      </c>
    </row>
    <row r="2043" spans="1:9" x14ac:dyDescent="0.4">
      <c r="A2043" t="s">
        <v>61</v>
      </c>
      <c r="B2043" s="1">
        <v>45778</v>
      </c>
      <c r="C2043">
        <v>870880</v>
      </c>
      <c r="D2043" t="s">
        <v>176</v>
      </c>
      <c r="E2043">
        <v>60826342</v>
      </c>
      <c r="F2043">
        <v>3199261</v>
      </c>
      <c r="G2043">
        <v>1146513</v>
      </c>
      <c r="H2043">
        <f>_xlfn.XLOOKUP(FACT_IMPORTS[[#This Row],[hts_6]],DIM_PRODUCTS[hts_6],DIM_PRODUCTS[hts_4],,,)</f>
        <v>8708</v>
      </c>
      <c r="I2043" t="str" cm="1">
        <f t="array" ref="I2043">_xlfn.XLOOKUP(FACT_IMPORTS[[#This Row],[country_name]],DIM_COUNTRY[[#All],[Column2]],DIM_COUNTRY[[#All],[Column3]],,,)</f>
        <v>USMCA</v>
      </c>
    </row>
    <row r="2044" spans="1:9" x14ac:dyDescent="0.4">
      <c r="A2044" t="s">
        <v>61</v>
      </c>
      <c r="B2044" s="1">
        <v>45778</v>
      </c>
      <c r="C2044">
        <v>870891</v>
      </c>
      <c r="D2044" t="s">
        <v>176</v>
      </c>
      <c r="E2044">
        <v>18204696</v>
      </c>
      <c r="F2044">
        <v>563614</v>
      </c>
      <c r="G2044">
        <v>289801</v>
      </c>
      <c r="H2044">
        <f>_xlfn.XLOOKUP(FACT_IMPORTS[[#This Row],[hts_6]],DIM_PRODUCTS[hts_6],DIM_PRODUCTS[hts_4],,,)</f>
        <v>8708</v>
      </c>
      <c r="I2044" t="str" cm="1">
        <f t="array" ref="I2044">_xlfn.XLOOKUP(FACT_IMPORTS[[#This Row],[country_name]],DIM_COUNTRY[[#All],[Column2]],DIM_COUNTRY[[#All],[Column3]],,,)</f>
        <v>USMCA</v>
      </c>
    </row>
    <row r="2045" spans="1:9" x14ac:dyDescent="0.4">
      <c r="A2045" t="s">
        <v>61</v>
      </c>
      <c r="B2045" s="1">
        <v>45778</v>
      </c>
      <c r="C2045">
        <v>870892</v>
      </c>
      <c r="D2045" t="s">
        <v>176</v>
      </c>
      <c r="E2045">
        <v>13751744</v>
      </c>
      <c r="F2045">
        <v>1124912</v>
      </c>
      <c r="G2045">
        <v>411744</v>
      </c>
      <c r="H2045">
        <f>_xlfn.XLOOKUP(FACT_IMPORTS[[#This Row],[hts_6]],DIM_PRODUCTS[hts_6],DIM_PRODUCTS[hts_4],,,)</f>
        <v>8708</v>
      </c>
      <c r="I2045" t="str" cm="1">
        <f t="array" ref="I2045">_xlfn.XLOOKUP(FACT_IMPORTS[[#This Row],[country_name]],DIM_COUNTRY[[#All],[Column2]],DIM_COUNTRY[[#All],[Column3]],,,)</f>
        <v>USMCA</v>
      </c>
    </row>
    <row r="2046" spans="1:9" x14ac:dyDescent="0.4">
      <c r="A2046" t="s">
        <v>61</v>
      </c>
      <c r="B2046" s="1">
        <v>45778</v>
      </c>
      <c r="C2046">
        <v>870893</v>
      </c>
      <c r="D2046" t="s">
        <v>176</v>
      </c>
      <c r="E2046">
        <v>52633812</v>
      </c>
      <c r="F2046">
        <v>1540502</v>
      </c>
      <c r="G2046">
        <v>127582</v>
      </c>
      <c r="H2046">
        <f>_xlfn.XLOOKUP(FACT_IMPORTS[[#This Row],[hts_6]],DIM_PRODUCTS[hts_6],DIM_PRODUCTS[hts_4],,,)</f>
        <v>8708</v>
      </c>
      <c r="I2046" t="str" cm="1">
        <f t="array" ref="I2046">_xlfn.XLOOKUP(FACT_IMPORTS[[#This Row],[country_name]],DIM_COUNTRY[[#All],[Column2]],DIM_COUNTRY[[#All],[Column3]],,,)</f>
        <v>USMCA</v>
      </c>
    </row>
    <row r="2047" spans="1:9" x14ac:dyDescent="0.4">
      <c r="A2047" t="s">
        <v>61</v>
      </c>
      <c r="B2047" s="1">
        <v>45778</v>
      </c>
      <c r="C2047">
        <v>870894</v>
      </c>
      <c r="D2047" t="s">
        <v>176</v>
      </c>
      <c r="E2047">
        <v>8359659</v>
      </c>
      <c r="F2047">
        <v>2900720</v>
      </c>
      <c r="G2047">
        <v>172471</v>
      </c>
      <c r="H2047">
        <f>_xlfn.XLOOKUP(FACT_IMPORTS[[#This Row],[hts_6]],DIM_PRODUCTS[hts_6],DIM_PRODUCTS[hts_4],,,)</f>
        <v>8708</v>
      </c>
      <c r="I2047" t="str" cm="1">
        <f t="array" ref="I2047">_xlfn.XLOOKUP(FACT_IMPORTS[[#This Row],[country_name]],DIM_COUNTRY[[#All],[Column2]],DIM_COUNTRY[[#All],[Column3]],,,)</f>
        <v>USMCA</v>
      </c>
    </row>
    <row r="2048" spans="1:9" x14ac:dyDescent="0.4">
      <c r="A2048" t="s">
        <v>61</v>
      </c>
      <c r="B2048" s="1">
        <v>45778</v>
      </c>
      <c r="C2048">
        <v>870895</v>
      </c>
      <c r="D2048" t="s">
        <v>176</v>
      </c>
      <c r="E2048">
        <v>1452787</v>
      </c>
      <c r="F2048">
        <v>1194393</v>
      </c>
      <c r="G2048">
        <v>8614</v>
      </c>
      <c r="H2048">
        <f>_xlfn.XLOOKUP(FACT_IMPORTS[[#This Row],[hts_6]],DIM_PRODUCTS[hts_6],DIM_PRODUCTS[hts_4],,,)</f>
        <v>8708</v>
      </c>
      <c r="I2048" t="str" cm="1">
        <f t="array" ref="I2048">_xlfn.XLOOKUP(FACT_IMPORTS[[#This Row],[country_name]],DIM_COUNTRY[[#All],[Column2]],DIM_COUNTRY[[#All],[Column3]],,,)</f>
        <v>USMCA</v>
      </c>
    </row>
    <row r="2049" spans="1:9" x14ac:dyDescent="0.4">
      <c r="A2049" t="s">
        <v>61</v>
      </c>
      <c r="B2049" s="1">
        <v>45778</v>
      </c>
      <c r="C2049">
        <v>870899</v>
      </c>
      <c r="D2049" t="s">
        <v>176</v>
      </c>
      <c r="E2049">
        <v>174605281</v>
      </c>
      <c r="F2049">
        <v>13367455</v>
      </c>
      <c r="G2049">
        <v>3129826</v>
      </c>
      <c r="H2049">
        <f>_xlfn.XLOOKUP(FACT_IMPORTS[[#This Row],[hts_6]],DIM_PRODUCTS[hts_6],DIM_PRODUCTS[hts_4],,,)</f>
        <v>8708</v>
      </c>
      <c r="I2049" t="str" cm="1">
        <f t="array" ref="I2049">_xlfn.XLOOKUP(FACT_IMPORTS[[#This Row],[country_name]],DIM_COUNTRY[[#All],[Column2]],DIM_COUNTRY[[#All],[Column3]],,,)</f>
        <v>USMCA</v>
      </c>
    </row>
    <row r="2050" spans="1:9" x14ac:dyDescent="0.4">
      <c r="A2050" t="s">
        <v>61</v>
      </c>
      <c r="B2050" s="1">
        <v>45778</v>
      </c>
      <c r="C2050">
        <v>940120</v>
      </c>
      <c r="D2050" t="s">
        <v>176</v>
      </c>
      <c r="E2050">
        <v>853859</v>
      </c>
      <c r="F2050">
        <v>58895</v>
      </c>
      <c r="G2050">
        <v>5747</v>
      </c>
      <c r="H2050">
        <f>_xlfn.XLOOKUP(FACT_IMPORTS[[#This Row],[hts_6]],DIM_PRODUCTS[hts_6],DIM_PRODUCTS[hts_4],,,)</f>
        <v>9401</v>
      </c>
      <c r="I2050" t="str" cm="1">
        <f t="array" ref="I2050">_xlfn.XLOOKUP(FACT_IMPORTS[[#This Row],[country_name]],DIM_COUNTRY[[#All],[Column2]],DIM_COUNTRY[[#All],[Column3]],,,)</f>
        <v>USMCA</v>
      </c>
    </row>
    <row r="2051" spans="1:9" x14ac:dyDescent="0.4">
      <c r="A2051" t="s">
        <v>61</v>
      </c>
      <c r="B2051" s="1">
        <v>45809</v>
      </c>
      <c r="C2051">
        <v>392630</v>
      </c>
      <c r="D2051" t="s">
        <v>176</v>
      </c>
      <c r="E2051">
        <v>3439827</v>
      </c>
      <c r="F2051">
        <v>501409</v>
      </c>
      <c r="G2051">
        <v>355795</v>
      </c>
      <c r="H2051">
        <f>_xlfn.XLOOKUP(FACT_IMPORTS[[#This Row],[hts_6]],DIM_PRODUCTS[hts_6],DIM_PRODUCTS[hts_4],,,)</f>
        <v>3926</v>
      </c>
      <c r="I2051" t="str" cm="1">
        <f t="array" ref="I2051">_xlfn.XLOOKUP(FACT_IMPORTS[[#This Row],[country_name]],DIM_COUNTRY[[#All],[Column2]],DIM_COUNTRY[[#All],[Column3]],,,)</f>
        <v>USMCA</v>
      </c>
    </row>
    <row r="2052" spans="1:9" x14ac:dyDescent="0.4">
      <c r="A2052" t="s">
        <v>61</v>
      </c>
      <c r="B2052" s="1">
        <v>45809</v>
      </c>
      <c r="C2052">
        <v>401110</v>
      </c>
      <c r="D2052" t="s">
        <v>176</v>
      </c>
      <c r="E2052">
        <v>51191813</v>
      </c>
      <c r="F2052">
        <v>628656</v>
      </c>
      <c r="G2052">
        <v>276923</v>
      </c>
      <c r="H2052">
        <f>_xlfn.XLOOKUP(FACT_IMPORTS[[#This Row],[hts_6]],DIM_PRODUCTS[hts_6],DIM_PRODUCTS[hts_4],,,)</f>
        <v>4011</v>
      </c>
      <c r="I2052" t="str" cm="1">
        <f t="array" ref="I2052">_xlfn.XLOOKUP(FACT_IMPORTS[[#This Row],[country_name]],DIM_COUNTRY[[#All],[Column2]],DIM_COUNTRY[[#All],[Column3]],,,)</f>
        <v>USMCA</v>
      </c>
    </row>
    <row r="2053" spans="1:9" x14ac:dyDescent="0.4">
      <c r="A2053" t="s">
        <v>61</v>
      </c>
      <c r="B2053" s="1">
        <v>45809</v>
      </c>
      <c r="C2053">
        <v>401120</v>
      </c>
      <c r="D2053" t="s">
        <v>176</v>
      </c>
      <c r="E2053">
        <v>64945278</v>
      </c>
      <c r="F2053">
        <v>360889</v>
      </c>
      <c r="G2053">
        <v>345105</v>
      </c>
      <c r="H2053">
        <f>_xlfn.XLOOKUP(FACT_IMPORTS[[#This Row],[hts_6]],DIM_PRODUCTS[hts_6],DIM_PRODUCTS[hts_4],,,)</f>
        <v>4011</v>
      </c>
      <c r="I2053" t="str" cm="1">
        <f t="array" ref="I2053">_xlfn.XLOOKUP(FACT_IMPORTS[[#This Row],[country_name]],DIM_COUNTRY[[#All],[Column2]],DIM_COUNTRY[[#All],[Column3]],,,)</f>
        <v>USMCA</v>
      </c>
    </row>
    <row r="2054" spans="1:9" x14ac:dyDescent="0.4">
      <c r="A2054" t="s">
        <v>61</v>
      </c>
      <c r="B2054" s="1">
        <v>45809</v>
      </c>
      <c r="C2054">
        <v>401140</v>
      </c>
      <c r="D2054" t="s">
        <v>176</v>
      </c>
      <c r="E2054">
        <v>0</v>
      </c>
      <c r="F2054">
        <v>0</v>
      </c>
      <c r="G2054">
        <v>0</v>
      </c>
      <c r="H2054">
        <f>_xlfn.XLOOKUP(FACT_IMPORTS[[#This Row],[hts_6]],DIM_PRODUCTS[hts_6],DIM_PRODUCTS[hts_4],,,)</f>
        <v>4011</v>
      </c>
      <c r="I2054" t="str" cm="1">
        <f t="array" ref="I2054">_xlfn.XLOOKUP(FACT_IMPORTS[[#This Row],[country_name]],DIM_COUNTRY[[#All],[Column2]],DIM_COUNTRY[[#All],[Column3]],,,)</f>
        <v>USMCA</v>
      </c>
    </row>
    <row r="2055" spans="1:9" x14ac:dyDescent="0.4">
      <c r="A2055" t="s">
        <v>61</v>
      </c>
      <c r="B2055" s="1">
        <v>45809</v>
      </c>
      <c r="C2055">
        <v>401190</v>
      </c>
      <c r="D2055" t="s">
        <v>176</v>
      </c>
      <c r="E2055">
        <v>228028</v>
      </c>
      <c r="F2055">
        <v>558</v>
      </c>
      <c r="G2055">
        <v>141</v>
      </c>
      <c r="H2055">
        <f>_xlfn.XLOOKUP(FACT_IMPORTS[[#This Row],[hts_6]],DIM_PRODUCTS[hts_6],DIM_PRODUCTS[hts_4],,,)</f>
        <v>4011</v>
      </c>
      <c r="I2055" t="str" cm="1">
        <f t="array" ref="I2055">_xlfn.XLOOKUP(FACT_IMPORTS[[#This Row],[country_name]],DIM_COUNTRY[[#All],[Column2]],DIM_COUNTRY[[#All],[Column3]],,,)</f>
        <v>USMCA</v>
      </c>
    </row>
    <row r="2056" spans="1:9" x14ac:dyDescent="0.4">
      <c r="A2056" t="s">
        <v>61</v>
      </c>
      <c r="B2056" s="1">
        <v>45809</v>
      </c>
      <c r="C2056">
        <v>700711</v>
      </c>
      <c r="D2056" t="s">
        <v>176</v>
      </c>
      <c r="E2056">
        <v>446281</v>
      </c>
      <c r="F2056">
        <v>68704</v>
      </c>
      <c r="G2056">
        <v>18822</v>
      </c>
      <c r="H2056">
        <f>_xlfn.XLOOKUP(FACT_IMPORTS[[#This Row],[hts_6]],DIM_PRODUCTS[hts_6],DIM_PRODUCTS[hts_4],,,)</f>
        <v>7007</v>
      </c>
      <c r="I2056" t="str" cm="1">
        <f t="array" ref="I2056">_xlfn.XLOOKUP(FACT_IMPORTS[[#This Row],[country_name]],DIM_COUNTRY[[#All],[Column2]],DIM_COUNTRY[[#All],[Column3]],,,)</f>
        <v>USMCA</v>
      </c>
    </row>
    <row r="2057" spans="1:9" x14ac:dyDescent="0.4">
      <c r="A2057" t="s">
        <v>61</v>
      </c>
      <c r="B2057" s="1">
        <v>45809</v>
      </c>
      <c r="C2057">
        <v>700721</v>
      </c>
      <c r="D2057" t="s">
        <v>176</v>
      </c>
      <c r="E2057">
        <v>61612</v>
      </c>
      <c r="F2057">
        <v>3068</v>
      </c>
      <c r="G2057">
        <v>5827</v>
      </c>
      <c r="H2057">
        <f>_xlfn.XLOOKUP(FACT_IMPORTS[[#This Row],[hts_6]],DIM_PRODUCTS[hts_6],DIM_PRODUCTS[hts_4],,,)</f>
        <v>7007</v>
      </c>
      <c r="I2057" t="str" cm="1">
        <f t="array" ref="I2057">_xlfn.XLOOKUP(FACT_IMPORTS[[#This Row],[country_name]],DIM_COUNTRY[[#All],[Column2]],DIM_COUNTRY[[#All],[Column3]],,,)</f>
        <v>USMCA</v>
      </c>
    </row>
    <row r="2058" spans="1:9" x14ac:dyDescent="0.4">
      <c r="A2058" t="s">
        <v>61</v>
      </c>
      <c r="B2058" s="1">
        <v>45809</v>
      </c>
      <c r="C2058">
        <v>700910</v>
      </c>
      <c r="D2058" t="s">
        <v>176</v>
      </c>
      <c r="E2058">
        <v>90951</v>
      </c>
      <c r="F2058">
        <v>1462</v>
      </c>
      <c r="G2058">
        <v>746</v>
      </c>
      <c r="H2058">
        <f>_xlfn.XLOOKUP(FACT_IMPORTS[[#This Row],[hts_6]],DIM_PRODUCTS[hts_6],DIM_PRODUCTS[hts_4],,,)</f>
        <v>7009</v>
      </c>
      <c r="I2058" t="str" cm="1">
        <f t="array" ref="I2058">_xlfn.XLOOKUP(FACT_IMPORTS[[#This Row],[country_name]],DIM_COUNTRY[[#All],[Column2]],DIM_COUNTRY[[#All],[Column3]],,,)</f>
        <v>USMCA</v>
      </c>
    </row>
    <row r="2059" spans="1:9" x14ac:dyDescent="0.4">
      <c r="A2059" t="s">
        <v>61</v>
      </c>
      <c r="B2059" s="1">
        <v>45809</v>
      </c>
      <c r="C2059">
        <v>732010</v>
      </c>
      <c r="D2059" t="s">
        <v>176</v>
      </c>
      <c r="E2059">
        <v>2333607</v>
      </c>
      <c r="F2059">
        <v>698781</v>
      </c>
      <c r="G2059">
        <v>18286</v>
      </c>
      <c r="H2059">
        <f>_xlfn.XLOOKUP(FACT_IMPORTS[[#This Row],[hts_6]],DIM_PRODUCTS[hts_6],DIM_PRODUCTS[hts_4],,,)</f>
        <v>7320</v>
      </c>
      <c r="I2059" t="str" cm="1">
        <f t="array" ref="I2059">_xlfn.XLOOKUP(FACT_IMPORTS[[#This Row],[country_name]],DIM_COUNTRY[[#All],[Column2]],DIM_COUNTRY[[#All],[Column3]],,,)</f>
        <v>USMCA</v>
      </c>
    </row>
    <row r="2060" spans="1:9" x14ac:dyDescent="0.4">
      <c r="A2060" t="s">
        <v>61</v>
      </c>
      <c r="B2060" s="1">
        <v>45809</v>
      </c>
      <c r="C2060">
        <v>830230</v>
      </c>
      <c r="D2060" t="s">
        <v>176</v>
      </c>
      <c r="E2060">
        <v>31502947</v>
      </c>
      <c r="F2060">
        <v>6603330</v>
      </c>
      <c r="G2060">
        <v>1416125</v>
      </c>
      <c r="H2060">
        <f>_xlfn.XLOOKUP(FACT_IMPORTS[[#This Row],[hts_6]],DIM_PRODUCTS[hts_6],DIM_PRODUCTS[hts_4],,,)</f>
        <v>8302</v>
      </c>
      <c r="I2060" t="str" cm="1">
        <f t="array" ref="I2060">_xlfn.XLOOKUP(FACT_IMPORTS[[#This Row],[country_name]],DIM_COUNTRY[[#All],[Column2]],DIM_COUNTRY[[#All],[Column3]],,,)</f>
        <v>USMCA</v>
      </c>
    </row>
    <row r="2061" spans="1:9" x14ac:dyDescent="0.4">
      <c r="A2061" t="s">
        <v>61</v>
      </c>
      <c r="B2061" s="1">
        <v>45809</v>
      </c>
      <c r="C2061">
        <v>840733</v>
      </c>
      <c r="D2061" t="s">
        <v>176</v>
      </c>
      <c r="E2061">
        <v>88121</v>
      </c>
      <c r="F2061">
        <v>110</v>
      </c>
      <c r="G2061">
        <v>120</v>
      </c>
      <c r="H2061">
        <f>_xlfn.XLOOKUP(FACT_IMPORTS[[#This Row],[hts_6]],DIM_PRODUCTS[hts_6],DIM_PRODUCTS[hts_4],,,)</f>
        <v>8407</v>
      </c>
      <c r="I2061" t="str" cm="1">
        <f t="array" ref="I2061">_xlfn.XLOOKUP(FACT_IMPORTS[[#This Row],[country_name]],DIM_COUNTRY[[#All],[Column2]],DIM_COUNTRY[[#All],[Column3]],,,)</f>
        <v>USMCA</v>
      </c>
    </row>
    <row r="2062" spans="1:9" x14ac:dyDescent="0.4">
      <c r="A2062" t="s">
        <v>61</v>
      </c>
      <c r="B2062" s="1">
        <v>45809</v>
      </c>
      <c r="C2062">
        <v>840734</v>
      </c>
      <c r="D2062" t="s">
        <v>176</v>
      </c>
      <c r="E2062">
        <v>298345286</v>
      </c>
      <c r="F2062">
        <v>100500</v>
      </c>
      <c r="G2062">
        <v>911969</v>
      </c>
      <c r="H2062">
        <f>_xlfn.XLOOKUP(FACT_IMPORTS[[#This Row],[hts_6]],DIM_PRODUCTS[hts_6],DIM_PRODUCTS[hts_4],,,)</f>
        <v>8407</v>
      </c>
      <c r="I2062" t="str" cm="1">
        <f t="array" ref="I2062">_xlfn.XLOOKUP(FACT_IMPORTS[[#This Row],[country_name]],DIM_COUNTRY[[#All],[Column2]],DIM_COUNTRY[[#All],[Column3]],,,)</f>
        <v>USMCA</v>
      </c>
    </row>
    <row r="2063" spans="1:9" x14ac:dyDescent="0.4">
      <c r="A2063" t="s">
        <v>61</v>
      </c>
      <c r="B2063" s="1">
        <v>45809</v>
      </c>
      <c r="C2063">
        <v>840790</v>
      </c>
      <c r="D2063" t="s">
        <v>176</v>
      </c>
      <c r="E2063">
        <v>9918624</v>
      </c>
      <c r="F2063">
        <v>3968</v>
      </c>
      <c r="G2063">
        <v>3200</v>
      </c>
      <c r="H2063">
        <f>_xlfn.XLOOKUP(FACT_IMPORTS[[#This Row],[hts_6]],DIM_PRODUCTS[hts_6],DIM_PRODUCTS[hts_4],,,)</f>
        <v>8407</v>
      </c>
      <c r="I2063" t="str" cm="1">
        <f t="array" ref="I2063">_xlfn.XLOOKUP(FACT_IMPORTS[[#This Row],[country_name]],DIM_COUNTRY[[#All],[Column2]],DIM_COUNTRY[[#All],[Column3]],,,)</f>
        <v>USMCA</v>
      </c>
    </row>
    <row r="2064" spans="1:9" x14ac:dyDescent="0.4">
      <c r="A2064" t="s">
        <v>61</v>
      </c>
      <c r="B2064" s="1">
        <v>45809</v>
      </c>
      <c r="C2064">
        <v>840820</v>
      </c>
      <c r="D2064" t="s">
        <v>176</v>
      </c>
      <c r="E2064">
        <v>192285</v>
      </c>
      <c r="F2064">
        <v>29</v>
      </c>
      <c r="G2064">
        <v>403</v>
      </c>
      <c r="H2064">
        <f>_xlfn.XLOOKUP(FACT_IMPORTS[[#This Row],[hts_6]],DIM_PRODUCTS[hts_6],DIM_PRODUCTS[hts_4],,,)</f>
        <v>8408</v>
      </c>
      <c r="I2064" t="str" cm="1">
        <f t="array" ref="I2064">_xlfn.XLOOKUP(FACT_IMPORTS[[#This Row],[country_name]],DIM_COUNTRY[[#All],[Column2]],DIM_COUNTRY[[#All],[Column3]],,,)</f>
        <v>USMCA</v>
      </c>
    </row>
    <row r="2065" spans="1:9" x14ac:dyDescent="0.4">
      <c r="A2065" t="s">
        <v>61</v>
      </c>
      <c r="B2065" s="1">
        <v>45809</v>
      </c>
      <c r="C2065">
        <v>840890</v>
      </c>
      <c r="D2065" t="s">
        <v>176</v>
      </c>
      <c r="E2065">
        <v>110012</v>
      </c>
      <c r="F2065">
        <v>7</v>
      </c>
      <c r="G2065">
        <v>5763</v>
      </c>
      <c r="H2065">
        <f>_xlfn.XLOOKUP(FACT_IMPORTS[[#This Row],[hts_6]],DIM_PRODUCTS[hts_6],DIM_PRODUCTS[hts_4],,,)</f>
        <v>8408</v>
      </c>
      <c r="I2065" t="str" cm="1">
        <f t="array" ref="I2065">_xlfn.XLOOKUP(FACT_IMPORTS[[#This Row],[country_name]],DIM_COUNTRY[[#All],[Column2]],DIM_COUNTRY[[#All],[Column3]],,,)</f>
        <v>USMCA</v>
      </c>
    </row>
    <row r="2066" spans="1:9" x14ac:dyDescent="0.4">
      <c r="A2066" t="s">
        <v>61</v>
      </c>
      <c r="B2066" s="1">
        <v>45809</v>
      </c>
      <c r="C2066">
        <v>840991</v>
      </c>
      <c r="D2066" t="s">
        <v>176</v>
      </c>
      <c r="E2066">
        <v>38483193</v>
      </c>
      <c r="F2066">
        <v>3151341</v>
      </c>
      <c r="G2066">
        <v>287381</v>
      </c>
      <c r="H2066">
        <f>_xlfn.XLOOKUP(FACT_IMPORTS[[#This Row],[hts_6]],DIM_PRODUCTS[hts_6],DIM_PRODUCTS[hts_4],,,)</f>
        <v>8409</v>
      </c>
      <c r="I2066" t="str" cm="1">
        <f t="array" ref="I2066">_xlfn.XLOOKUP(FACT_IMPORTS[[#This Row],[country_name]],DIM_COUNTRY[[#All],[Column2]],DIM_COUNTRY[[#All],[Column3]],,,)</f>
        <v>USMCA</v>
      </c>
    </row>
    <row r="2067" spans="1:9" x14ac:dyDescent="0.4">
      <c r="A2067" t="s">
        <v>61</v>
      </c>
      <c r="B2067" s="1">
        <v>45809</v>
      </c>
      <c r="C2067">
        <v>840999</v>
      </c>
      <c r="D2067" t="s">
        <v>176</v>
      </c>
      <c r="E2067">
        <v>12731026</v>
      </c>
      <c r="F2067">
        <v>1067698</v>
      </c>
      <c r="G2067">
        <v>149714</v>
      </c>
      <c r="H2067">
        <f>_xlfn.XLOOKUP(FACT_IMPORTS[[#This Row],[hts_6]],DIM_PRODUCTS[hts_6],DIM_PRODUCTS[hts_4],,,)</f>
        <v>8409</v>
      </c>
      <c r="I2067" t="str" cm="1">
        <f t="array" ref="I2067">_xlfn.XLOOKUP(FACT_IMPORTS[[#This Row],[country_name]],DIM_COUNTRY[[#All],[Column2]],DIM_COUNTRY[[#All],[Column3]],,,)</f>
        <v>USMCA</v>
      </c>
    </row>
    <row r="2068" spans="1:9" x14ac:dyDescent="0.4">
      <c r="A2068" t="s">
        <v>61</v>
      </c>
      <c r="B2068" s="1">
        <v>45809</v>
      </c>
      <c r="C2068">
        <v>841330</v>
      </c>
      <c r="D2068" t="s">
        <v>176</v>
      </c>
      <c r="E2068">
        <v>9297008</v>
      </c>
      <c r="F2068">
        <v>175210</v>
      </c>
      <c r="G2068">
        <v>62202</v>
      </c>
      <c r="H2068">
        <f>_xlfn.XLOOKUP(FACT_IMPORTS[[#This Row],[hts_6]],DIM_PRODUCTS[hts_6],DIM_PRODUCTS[hts_4],,,)</f>
        <v>8413</v>
      </c>
      <c r="I2068" t="str" cm="1">
        <f t="array" ref="I2068">_xlfn.XLOOKUP(FACT_IMPORTS[[#This Row],[country_name]],DIM_COUNTRY[[#All],[Column2]],DIM_COUNTRY[[#All],[Column3]],,,)</f>
        <v>USMCA</v>
      </c>
    </row>
    <row r="2069" spans="1:9" x14ac:dyDescent="0.4">
      <c r="A2069" t="s">
        <v>61</v>
      </c>
      <c r="B2069" s="1">
        <v>45809</v>
      </c>
      <c r="C2069">
        <v>841520</v>
      </c>
      <c r="D2069" t="s">
        <v>176</v>
      </c>
      <c r="E2069">
        <v>3621706</v>
      </c>
      <c r="F2069">
        <v>21479</v>
      </c>
      <c r="G2069">
        <v>115595</v>
      </c>
      <c r="H2069">
        <f>_xlfn.XLOOKUP(FACT_IMPORTS[[#This Row],[hts_6]],DIM_PRODUCTS[hts_6],DIM_PRODUCTS[hts_4],,,)</f>
        <v>8415</v>
      </c>
      <c r="I2069" t="str" cm="1">
        <f t="array" ref="I2069">_xlfn.XLOOKUP(FACT_IMPORTS[[#This Row],[country_name]],DIM_COUNTRY[[#All],[Column2]],DIM_COUNTRY[[#All],[Column3]],,,)</f>
        <v>USMCA</v>
      </c>
    </row>
    <row r="2070" spans="1:9" x14ac:dyDescent="0.4">
      <c r="A2070" t="s">
        <v>61</v>
      </c>
      <c r="B2070" s="1">
        <v>45809</v>
      </c>
      <c r="C2070">
        <v>842132</v>
      </c>
      <c r="D2070" t="s">
        <v>176</v>
      </c>
      <c r="E2070">
        <v>21706318</v>
      </c>
      <c r="F2070">
        <v>78278</v>
      </c>
      <c r="G2070">
        <v>92219</v>
      </c>
      <c r="H2070">
        <f>_xlfn.XLOOKUP(FACT_IMPORTS[[#This Row],[hts_6]],DIM_PRODUCTS[hts_6],DIM_PRODUCTS[hts_4],,,)</f>
        <v>8421</v>
      </c>
      <c r="I2070" t="str" cm="1">
        <f t="array" ref="I2070">_xlfn.XLOOKUP(FACT_IMPORTS[[#This Row],[country_name]],DIM_COUNTRY[[#All],[Column2]],DIM_COUNTRY[[#All],[Column3]],,,)</f>
        <v>USMCA</v>
      </c>
    </row>
    <row r="2071" spans="1:9" x14ac:dyDescent="0.4">
      <c r="A2071" t="s">
        <v>61</v>
      </c>
      <c r="B2071" s="1">
        <v>45809</v>
      </c>
      <c r="C2071">
        <v>848210</v>
      </c>
      <c r="D2071" t="s">
        <v>176</v>
      </c>
      <c r="E2071">
        <v>4842446</v>
      </c>
      <c r="F2071">
        <v>498612</v>
      </c>
      <c r="G2071">
        <v>39555</v>
      </c>
      <c r="H2071">
        <f>_xlfn.XLOOKUP(FACT_IMPORTS[[#This Row],[hts_6]],DIM_PRODUCTS[hts_6],DIM_PRODUCTS[hts_4],,,)</f>
        <v>8482</v>
      </c>
      <c r="I2071" t="str" cm="1">
        <f t="array" ref="I2071">_xlfn.XLOOKUP(FACT_IMPORTS[[#This Row],[country_name]],DIM_COUNTRY[[#All],[Column2]],DIM_COUNTRY[[#All],[Column3]],,,)</f>
        <v>USMCA</v>
      </c>
    </row>
    <row r="2072" spans="1:9" x14ac:dyDescent="0.4">
      <c r="A2072" t="s">
        <v>61</v>
      </c>
      <c r="B2072" s="1">
        <v>45809</v>
      </c>
      <c r="C2072">
        <v>848220</v>
      </c>
      <c r="D2072" t="s">
        <v>176</v>
      </c>
      <c r="E2072">
        <v>257181</v>
      </c>
      <c r="F2072">
        <v>4211</v>
      </c>
      <c r="G2072">
        <v>6779</v>
      </c>
      <c r="H2072">
        <f>_xlfn.XLOOKUP(FACT_IMPORTS[[#This Row],[hts_6]],DIM_PRODUCTS[hts_6],DIM_PRODUCTS[hts_4],,,)</f>
        <v>8482</v>
      </c>
      <c r="I2072" t="str" cm="1">
        <f t="array" ref="I2072">_xlfn.XLOOKUP(FACT_IMPORTS[[#This Row],[country_name]],DIM_COUNTRY[[#All],[Column2]],DIM_COUNTRY[[#All],[Column3]],,,)</f>
        <v>USMCA</v>
      </c>
    </row>
    <row r="2073" spans="1:9" x14ac:dyDescent="0.4">
      <c r="A2073" t="s">
        <v>61</v>
      </c>
      <c r="B2073" s="1">
        <v>45809</v>
      </c>
      <c r="C2073">
        <v>848310</v>
      </c>
      <c r="D2073" t="s">
        <v>176</v>
      </c>
      <c r="E2073">
        <v>19476827</v>
      </c>
      <c r="F2073">
        <v>580912</v>
      </c>
      <c r="G2073">
        <v>111793</v>
      </c>
      <c r="H2073">
        <f>_xlfn.XLOOKUP(FACT_IMPORTS[[#This Row],[hts_6]],DIM_PRODUCTS[hts_6],DIM_PRODUCTS[hts_4],,,)</f>
        <v>8483</v>
      </c>
      <c r="I2073" t="str" cm="1">
        <f t="array" ref="I2073">_xlfn.XLOOKUP(FACT_IMPORTS[[#This Row],[country_name]],DIM_COUNTRY[[#All],[Column2]],DIM_COUNTRY[[#All],[Column3]],,,)</f>
        <v>USMCA</v>
      </c>
    </row>
    <row r="2074" spans="1:9" x14ac:dyDescent="0.4">
      <c r="A2074" t="s">
        <v>61</v>
      </c>
      <c r="B2074" s="1">
        <v>45809</v>
      </c>
      <c r="C2074">
        <v>850131</v>
      </c>
      <c r="D2074" t="s">
        <v>176</v>
      </c>
      <c r="E2074">
        <v>2178887</v>
      </c>
      <c r="F2074">
        <v>71451</v>
      </c>
      <c r="G2074">
        <v>46640</v>
      </c>
      <c r="H2074">
        <f>_xlfn.XLOOKUP(FACT_IMPORTS[[#This Row],[hts_6]],DIM_PRODUCTS[hts_6],DIM_PRODUCTS[hts_4],,,)</f>
        <v>8501</v>
      </c>
      <c r="I2074" t="str" cm="1">
        <f t="array" ref="I2074">_xlfn.XLOOKUP(FACT_IMPORTS[[#This Row],[country_name]],DIM_COUNTRY[[#All],[Column2]],DIM_COUNTRY[[#All],[Column3]],,,)</f>
        <v>USMCA</v>
      </c>
    </row>
    <row r="2075" spans="1:9" x14ac:dyDescent="0.4">
      <c r="A2075" t="s">
        <v>61</v>
      </c>
      <c r="B2075" s="1">
        <v>45809</v>
      </c>
      <c r="C2075">
        <v>850132</v>
      </c>
      <c r="D2075" t="s">
        <v>176</v>
      </c>
      <c r="E2075">
        <v>119788</v>
      </c>
      <c r="F2075">
        <v>16</v>
      </c>
      <c r="G2075">
        <v>924</v>
      </c>
      <c r="H2075">
        <f>_xlfn.XLOOKUP(FACT_IMPORTS[[#This Row],[hts_6]],DIM_PRODUCTS[hts_6],DIM_PRODUCTS[hts_4],,,)</f>
        <v>8501</v>
      </c>
      <c r="I2075" t="str" cm="1">
        <f t="array" ref="I2075">_xlfn.XLOOKUP(FACT_IMPORTS[[#This Row],[country_name]],DIM_COUNTRY[[#All],[Column2]],DIM_COUNTRY[[#All],[Column3]],,,)</f>
        <v>USMCA</v>
      </c>
    </row>
    <row r="2076" spans="1:9" x14ac:dyDescent="0.4">
      <c r="A2076" t="s">
        <v>61</v>
      </c>
      <c r="B2076" s="1">
        <v>45809</v>
      </c>
      <c r="C2076">
        <v>850133</v>
      </c>
      <c r="D2076" t="s">
        <v>176</v>
      </c>
      <c r="E2076">
        <v>13480</v>
      </c>
      <c r="F2076">
        <v>6</v>
      </c>
      <c r="G2076">
        <v>200</v>
      </c>
      <c r="H2076">
        <f>_xlfn.XLOOKUP(FACT_IMPORTS[[#This Row],[hts_6]],DIM_PRODUCTS[hts_6],DIM_PRODUCTS[hts_4],,,)</f>
        <v>8501</v>
      </c>
      <c r="I2076" t="str" cm="1">
        <f t="array" ref="I2076">_xlfn.XLOOKUP(FACT_IMPORTS[[#This Row],[country_name]],DIM_COUNTRY[[#All],[Column2]],DIM_COUNTRY[[#All],[Column3]],,,)</f>
        <v>USMCA</v>
      </c>
    </row>
    <row r="2077" spans="1:9" x14ac:dyDescent="0.4">
      <c r="A2077" t="s">
        <v>61</v>
      </c>
      <c r="B2077" s="1">
        <v>45809</v>
      </c>
      <c r="C2077">
        <v>850134</v>
      </c>
      <c r="D2077" t="s">
        <v>176</v>
      </c>
      <c r="E2077">
        <v>45475</v>
      </c>
      <c r="F2077">
        <v>3</v>
      </c>
      <c r="G2077">
        <v>308</v>
      </c>
      <c r="H2077">
        <f>_xlfn.XLOOKUP(FACT_IMPORTS[[#This Row],[hts_6]],DIM_PRODUCTS[hts_6],DIM_PRODUCTS[hts_4],,,)</f>
        <v>8501</v>
      </c>
      <c r="I2077" t="str" cm="1">
        <f t="array" ref="I2077">_xlfn.XLOOKUP(FACT_IMPORTS[[#This Row],[country_name]],DIM_COUNTRY[[#All],[Column2]],DIM_COUNTRY[[#All],[Column3]],,,)</f>
        <v>USMCA</v>
      </c>
    </row>
    <row r="2078" spans="1:9" x14ac:dyDescent="0.4">
      <c r="A2078" t="s">
        <v>61</v>
      </c>
      <c r="B2078" s="1">
        <v>45809</v>
      </c>
      <c r="C2078">
        <v>850152</v>
      </c>
      <c r="D2078" t="s">
        <v>176</v>
      </c>
      <c r="E2078">
        <v>454557</v>
      </c>
      <c r="F2078">
        <v>628</v>
      </c>
      <c r="G2078">
        <v>4460</v>
      </c>
      <c r="H2078">
        <f>_xlfn.XLOOKUP(FACT_IMPORTS[[#This Row],[hts_6]],DIM_PRODUCTS[hts_6],DIM_PRODUCTS[hts_4],,,)</f>
        <v>8501</v>
      </c>
      <c r="I2078" t="str" cm="1">
        <f t="array" ref="I2078">_xlfn.XLOOKUP(FACT_IMPORTS[[#This Row],[country_name]],DIM_COUNTRY[[#All],[Column2]],DIM_COUNTRY[[#All],[Column3]],,,)</f>
        <v>USMCA</v>
      </c>
    </row>
    <row r="2079" spans="1:9" x14ac:dyDescent="0.4">
      <c r="A2079" t="s">
        <v>61</v>
      </c>
      <c r="B2079" s="1">
        <v>45809</v>
      </c>
      <c r="C2079">
        <v>850153</v>
      </c>
      <c r="D2079" t="s">
        <v>176</v>
      </c>
      <c r="E2079">
        <v>791343</v>
      </c>
      <c r="F2079">
        <v>58</v>
      </c>
      <c r="G2079">
        <v>5659</v>
      </c>
      <c r="H2079">
        <f>_xlfn.XLOOKUP(FACT_IMPORTS[[#This Row],[hts_6]],DIM_PRODUCTS[hts_6],DIM_PRODUCTS[hts_4],,,)</f>
        <v>8501</v>
      </c>
      <c r="I2079" t="str" cm="1">
        <f t="array" ref="I2079">_xlfn.XLOOKUP(FACT_IMPORTS[[#This Row],[country_name]],DIM_COUNTRY[[#All],[Column2]],DIM_COUNTRY[[#All],[Column3]],,,)</f>
        <v>USMCA</v>
      </c>
    </row>
    <row r="2080" spans="1:9" x14ac:dyDescent="0.4">
      <c r="A2080" t="s">
        <v>61</v>
      </c>
      <c r="B2080" s="1">
        <v>45809</v>
      </c>
      <c r="C2080">
        <v>850161</v>
      </c>
      <c r="D2080" t="s">
        <v>176</v>
      </c>
      <c r="E2080">
        <v>20373</v>
      </c>
      <c r="F2080">
        <v>30</v>
      </c>
      <c r="G2080">
        <v>291</v>
      </c>
      <c r="H2080">
        <f>_xlfn.XLOOKUP(FACT_IMPORTS[[#This Row],[hts_6]],DIM_PRODUCTS[hts_6],DIM_PRODUCTS[hts_4],,,)</f>
        <v>8501</v>
      </c>
      <c r="I2080" t="str" cm="1">
        <f t="array" ref="I2080">_xlfn.XLOOKUP(FACT_IMPORTS[[#This Row],[country_name]],DIM_COUNTRY[[#All],[Column2]],DIM_COUNTRY[[#All],[Column3]],,,)</f>
        <v>USMCA</v>
      </c>
    </row>
    <row r="2081" spans="1:9" x14ac:dyDescent="0.4">
      <c r="A2081" t="s">
        <v>61</v>
      </c>
      <c r="B2081" s="1">
        <v>45809</v>
      </c>
      <c r="C2081">
        <v>850440</v>
      </c>
      <c r="D2081" t="s">
        <v>176</v>
      </c>
      <c r="E2081">
        <v>8008537</v>
      </c>
      <c r="F2081">
        <v>2882</v>
      </c>
      <c r="G2081">
        <v>146647</v>
      </c>
      <c r="H2081">
        <f>_xlfn.XLOOKUP(FACT_IMPORTS[[#This Row],[hts_6]],DIM_PRODUCTS[hts_6],DIM_PRODUCTS[hts_4],,,)</f>
        <v>8504</v>
      </c>
      <c r="I2081" t="str" cm="1">
        <f t="array" ref="I2081">_xlfn.XLOOKUP(FACT_IMPORTS[[#This Row],[country_name]],DIM_COUNTRY[[#All],[Column2]],DIM_COUNTRY[[#All],[Column3]],,,)</f>
        <v>USMCA</v>
      </c>
    </row>
    <row r="2082" spans="1:9" x14ac:dyDescent="0.4">
      <c r="A2082" t="s">
        <v>61</v>
      </c>
      <c r="B2082" s="1">
        <v>45809</v>
      </c>
      <c r="C2082">
        <v>850710</v>
      </c>
      <c r="D2082" t="s">
        <v>176</v>
      </c>
      <c r="E2082">
        <v>1372556</v>
      </c>
      <c r="F2082">
        <v>5946</v>
      </c>
      <c r="G2082">
        <v>42945</v>
      </c>
      <c r="H2082">
        <f>_xlfn.XLOOKUP(FACT_IMPORTS[[#This Row],[hts_6]],DIM_PRODUCTS[hts_6],DIM_PRODUCTS[hts_4],,,)</f>
        <v>8507</v>
      </c>
      <c r="I2082" t="str" cm="1">
        <f t="array" ref="I2082">_xlfn.XLOOKUP(FACT_IMPORTS[[#This Row],[country_name]],DIM_COUNTRY[[#All],[Column2]],DIM_COUNTRY[[#All],[Column3]],,,)</f>
        <v>USMCA</v>
      </c>
    </row>
    <row r="2083" spans="1:9" x14ac:dyDescent="0.4">
      <c r="A2083" t="s">
        <v>61</v>
      </c>
      <c r="B2083" s="1">
        <v>45809</v>
      </c>
      <c r="C2083">
        <v>850760</v>
      </c>
      <c r="D2083" t="s">
        <v>176</v>
      </c>
      <c r="E2083">
        <v>12879610</v>
      </c>
      <c r="F2083">
        <v>175735</v>
      </c>
      <c r="G2083">
        <v>86673</v>
      </c>
      <c r="H2083">
        <f>_xlfn.XLOOKUP(FACT_IMPORTS[[#This Row],[hts_6]],DIM_PRODUCTS[hts_6],DIM_PRODUCTS[hts_4],,,)</f>
        <v>8507</v>
      </c>
      <c r="I2083" t="str" cm="1">
        <f t="array" ref="I2083">_xlfn.XLOOKUP(FACT_IMPORTS[[#This Row],[country_name]],DIM_COUNTRY[[#All],[Column2]],DIM_COUNTRY[[#All],[Column3]],,,)</f>
        <v>USMCA</v>
      </c>
    </row>
    <row r="2084" spans="1:9" x14ac:dyDescent="0.4">
      <c r="A2084" t="s">
        <v>61</v>
      </c>
      <c r="B2084" s="1">
        <v>45809</v>
      </c>
      <c r="C2084">
        <v>850790</v>
      </c>
      <c r="D2084" t="s">
        <v>176</v>
      </c>
      <c r="E2084">
        <v>964495</v>
      </c>
      <c r="F2084">
        <v>58752</v>
      </c>
      <c r="G2084">
        <v>3301</v>
      </c>
      <c r="H2084">
        <f>_xlfn.XLOOKUP(FACT_IMPORTS[[#This Row],[hts_6]],DIM_PRODUCTS[hts_6],DIM_PRODUCTS[hts_4],,,)</f>
        <v>8507</v>
      </c>
      <c r="I2084" t="str" cm="1">
        <f t="array" ref="I2084">_xlfn.XLOOKUP(FACT_IMPORTS[[#This Row],[country_name]],DIM_COUNTRY[[#All],[Column2]],DIM_COUNTRY[[#All],[Column3]],,,)</f>
        <v>USMCA</v>
      </c>
    </row>
    <row r="2085" spans="1:9" x14ac:dyDescent="0.4">
      <c r="A2085" t="s">
        <v>61</v>
      </c>
      <c r="B2085" s="1">
        <v>45809</v>
      </c>
      <c r="C2085">
        <v>851110</v>
      </c>
      <c r="D2085" t="s">
        <v>176</v>
      </c>
      <c r="E2085">
        <v>84850</v>
      </c>
      <c r="F2085">
        <v>230</v>
      </c>
      <c r="G2085">
        <v>102</v>
      </c>
      <c r="H2085">
        <f>_xlfn.XLOOKUP(FACT_IMPORTS[[#This Row],[hts_6]],DIM_PRODUCTS[hts_6],DIM_PRODUCTS[hts_4],,,)</f>
        <v>8511</v>
      </c>
      <c r="I2085" t="str" cm="1">
        <f t="array" ref="I2085">_xlfn.XLOOKUP(FACT_IMPORTS[[#This Row],[country_name]],DIM_COUNTRY[[#All],[Column2]],DIM_COUNTRY[[#All],[Column3]],,,)</f>
        <v>USMCA</v>
      </c>
    </row>
    <row r="2086" spans="1:9" x14ac:dyDescent="0.4">
      <c r="A2086" t="s">
        <v>61</v>
      </c>
      <c r="B2086" s="1">
        <v>45809</v>
      </c>
      <c r="C2086">
        <v>851130</v>
      </c>
      <c r="D2086" t="s">
        <v>176</v>
      </c>
      <c r="E2086">
        <v>2184</v>
      </c>
      <c r="F2086">
        <v>1</v>
      </c>
      <c r="G2086">
        <v>25</v>
      </c>
      <c r="H2086">
        <f>_xlfn.XLOOKUP(FACT_IMPORTS[[#This Row],[hts_6]],DIM_PRODUCTS[hts_6],DIM_PRODUCTS[hts_4],,,)</f>
        <v>8511</v>
      </c>
      <c r="I2086" t="str" cm="1">
        <f t="array" ref="I2086">_xlfn.XLOOKUP(FACT_IMPORTS[[#This Row],[country_name]],DIM_COUNTRY[[#All],[Column2]],DIM_COUNTRY[[#All],[Column3]],,,)</f>
        <v>USMCA</v>
      </c>
    </row>
    <row r="2087" spans="1:9" x14ac:dyDescent="0.4">
      <c r="A2087" t="s">
        <v>61</v>
      </c>
      <c r="B2087" s="1">
        <v>45809</v>
      </c>
      <c r="C2087">
        <v>851140</v>
      </c>
      <c r="D2087" t="s">
        <v>176</v>
      </c>
      <c r="E2087">
        <v>315746</v>
      </c>
      <c r="F2087">
        <v>8370</v>
      </c>
      <c r="G2087">
        <v>3426</v>
      </c>
      <c r="H2087">
        <f>_xlfn.XLOOKUP(FACT_IMPORTS[[#This Row],[hts_6]],DIM_PRODUCTS[hts_6],DIM_PRODUCTS[hts_4],,,)</f>
        <v>8511</v>
      </c>
      <c r="I2087" t="str" cm="1">
        <f t="array" ref="I2087">_xlfn.XLOOKUP(FACT_IMPORTS[[#This Row],[country_name]],DIM_COUNTRY[[#All],[Column2]],DIM_COUNTRY[[#All],[Column3]],,,)</f>
        <v>USMCA</v>
      </c>
    </row>
    <row r="2088" spans="1:9" x14ac:dyDescent="0.4">
      <c r="A2088" t="s">
        <v>61</v>
      </c>
      <c r="B2088" s="1">
        <v>45809</v>
      </c>
      <c r="C2088">
        <v>851150</v>
      </c>
      <c r="D2088" t="s">
        <v>176</v>
      </c>
      <c r="E2088">
        <v>765999</v>
      </c>
      <c r="F2088">
        <v>6531</v>
      </c>
      <c r="G2088">
        <v>5267</v>
      </c>
      <c r="H2088">
        <f>_xlfn.XLOOKUP(FACT_IMPORTS[[#This Row],[hts_6]],DIM_PRODUCTS[hts_6],DIM_PRODUCTS[hts_4],,,)</f>
        <v>8511</v>
      </c>
      <c r="I2088" t="str" cm="1">
        <f t="array" ref="I2088">_xlfn.XLOOKUP(FACT_IMPORTS[[#This Row],[country_name]],DIM_COUNTRY[[#All],[Column2]],DIM_COUNTRY[[#All],[Column3]],,,)</f>
        <v>USMCA</v>
      </c>
    </row>
    <row r="2089" spans="1:9" x14ac:dyDescent="0.4">
      <c r="A2089" t="s">
        <v>61</v>
      </c>
      <c r="B2089" s="1">
        <v>45809</v>
      </c>
      <c r="C2089">
        <v>851180</v>
      </c>
      <c r="D2089" t="s">
        <v>176</v>
      </c>
      <c r="E2089">
        <v>7286</v>
      </c>
      <c r="F2089">
        <v>135</v>
      </c>
      <c r="G2089">
        <v>263</v>
      </c>
      <c r="H2089">
        <f>_xlfn.XLOOKUP(FACT_IMPORTS[[#This Row],[hts_6]],DIM_PRODUCTS[hts_6],DIM_PRODUCTS[hts_4],,,)</f>
        <v>8511</v>
      </c>
      <c r="I2089" t="str" cm="1">
        <f t="array" ref="I2089">_xlfn.XLOOKUP(FACT_IMPORTS[[#This Row],[country_name]],DIM_COUNTRY[[#All],[Column2]],DIM_COUNTRY[[#All],[Column3]],,,)</f>
        <v>USMCA</v>
      </c>
    </row>
    <row r="2090" spans="1:9" x14ac:dyDescent="0.4">
      <c r="A2090" t="s">
        <v>61</v>
      </c>
      <c r="B2090" s="1">
        <v>45809</v>
      </c>
      <c r="C2090">
        <v>851190</v>
      </c>
      <c r="D2090" t="s">
        <v>176</v>
      </c>
      <c r="E2090">
        <v>778673</v>
      </c>
      <c r="F2090">
        <v>5680</v>
      </c>
      <c r="G2090">
        <v>1045</v>
      </c>
      <c r="H2090">
        <f>_xlfn.XLOOKUP(FACT_IMPORTS[[#This Row],[hts_6]],DIM_PRODUCTS[hts_6],DIM_PRODUCTS[hts_4],,,)</f>
        <v>8511</v>
      </c>
      <c r="I2090" t="str" cm="1">
        <f t="array" ref="I2090">_xlfn.XLOOKUP(FACT_IMPORTS[[#This Row],[country_name]],DIM_COUNTRY[[#All],[Column2]],DIM_COUNTRY[[#All],[Column3]],,,)</f>
        <v>USMCA</v>
      </c>
    </row>
    <row r="2091" spans="1:9" x14ac:dyDescent="0.4">
      <c r="A2091" t="s">
        <v>61</v>
      </c>
      <c r="B2091" s="1">
        <v>45809</v>
      </c>
      <c r="C2091">
        <v>851220</v>
      </c>
      <c r="D2091" t="s">
        <v>176</v>
      </c>
      <c r="E2091">
        <v>19209216</v>
      </c>
      <c r="F2091">
        <v>316805</v>
      </c>
      <c r="G2091">
        <v>170305</v>
      </c>
      <c r="H2091">
        <f>_xlfn.XLOOKUP(FACT_IMPORTS[[#This Row],[hts_6]],DIM_PRODUCTS[hts_6],DIM_PRODUCTS[hts_4],,,)</f>
        <v>8512</v>
      </c>
      <c r="I2091" t="str" cm="1">
        <f t="array" ref="I2091">_xlfn.XLOOKUP(FACT_IMPORTS[[#This Row],[country_name]],DIM_COUNTRY[[#All],[Column2]],DIM_COUNTRY[[#All],[Column3]],,,)</f>
        <v>USMCA</v>
      </c>
    </row>
    <row r="2092" spans="1:9" x14ac:dyDescent="0.4">
      <c r="A2092" t="s">
        <v>61</v>
      </c>
      <c r="B2092" s="1">
        <v>45809</v>
      </c>
      <c r="C2092">
        <v>851230</v>
      </c>
      <c r="D2092" t="s">
        <v>176</v>
      </c>
      <c r="E2092">
        <v>36845</v>
      </c>
      <c r="F2092">
        <v>805</v>
      </c>
      <c r="G2092">
        <v>766</v>
      </c>
      <c r="H2092">
        <f>_xlfn.XLOOKUP(FACT_IMPORTS[[#This Row],[hts_6]],DIM_PRODUCTS[hts_6],DIM_PRODUCTS[hts_4],,,)</f>
        <v>8512</v>
      </c>
      <c r="I2092" t="str" cm="1">
        <f t="array" ref="I2092">_xlfn.XLOOKUP(FACT_IMPORTS[[#This Row],[country_name]],DIM_COUNTRY[[#All],[Column2]],DIM_COUNTRY[[#All],[Column3]],,,)</f>
        <v>USMCA</v>
      </c>
    </row>
    <row r="2093" spans="1:9" x14ac:dyDescent="0.4">
      <c r="A2093" t="s">
        <v>61</v>
      </c>
      <c r="B2093" s="1">
        <v>45809</v>
      </c>
      <c r="C2093">
        <v>851240</v>
      </c>
      <c r="D2093" t="s">
        <v>176</v>
      </c>
      <c r="E2093">
        <v>8357</v>
      </c>
      <c r="F2093">
        <v>28</v>
      </c>
      <c r="G2093">
        <v>2</v>
      </c>
      <c r="H2093">
        <f>_xlfn.XLOOKUP(FACT_IMPORTS[[#This Row],[hts_6]],DIM_PRODUCTS[hts_6],DIM_PRODUCTS[hts_4],,,)</f>
        <v>8512</v>
      </c>
      <c r="I2093" t="str" cm="1">
        <f t="array" ref="I2093">_xlfn.XLOOKUP(FACT_IMPORTS[[#This Row],[country_name]],DIM_COUNTRY[[#All],[Column2]],DIM_COUNTRY[[#All],[Column3]],,,)</f>
        <v>USMCA</v>
      </c>
    </row>
    <row r="2094" spans="1:9" x14ac:dyDescent="0.4">
      <c r="A2094" t="s">
        <v>61</v>
      </c>
      <c r="B2094" s="1">
        <v>45809</v>
      </c>
      <c r="C2094">
        <v>851290</v>
      </c>
      <c r="D2094" t="s">
        <v>176</v>
      </c>
      <c r="E2094">
        <v>1869413</v>
      </c>
      <c r="F2094">
        <v>36360</v>
      </c>
      <c r="G2094">
        <v>5589</v>
      </c>
      <c r="H2094">
        <f>_xlfn.XLOOKUP(FACT_IMPORTS[[#This Row],[hts_6]],DIM_PRODUCTS[hts_6],DIM_PRODUCTS[hts_4],,,)</f>
        <v>8512</v>
      </c>
      <c r="I2094" t="str" cm="1">
        <f t="array" ref="I2094">_xlfn.XLOOKUP(FACT_IMPORTS[[#This Row],[country_name]],DIM_COUNTRY[[#All],[Column2]],DIM_COUNTRY[[#All],[Column3]],,,)</f>
        <v>USMCA</v>
      </c>
    </row>
    <row r="2095" spans="1:9" x14ac:dyDescent="0.4">
      <c r="A2095" t="s">
        <v>61</v>
      </c>
      <c r="B2095" s="1">
        <v>45809</v>
      </c>
      <c r="C2095">
        <v>854231</v>
      </c>
      <c r="D2095" t="s">
        <v>176</v>
      </c>
      <c r="E2095">
        <v>107930</v>
      </c>
      <c r="F2095">
        <v>2161</v>
      </c>
      <c r="G2095">
        <v>1220</v>
      </c>
      <c r="H2095">
        <f>_xlfn.XLOOKUP(FACT_IMPORTS[[#This Row],[hts_6]],DIM_PRODUCTS[hts_6],DIM_PRODUCTS[hts_4],,,)</f>
        <v>8542</v>
      </c>
      <c r="I2095" t="str" cm="1">
        <f t="array" ref="I2095">_xlfn.XLOOKUP(FACT_IMPORTS[[#This Row],[country_name]],DIM_COUNTRY[[#All],[Column2]],DIM_COUNTRY[[#All],[Column3]],,,)</f>
        <v>USMCA</v>
      </c>
    </row>
    <row r="2096" spans="1:9" x14ac:dyDescent="0.4">
      <c r="A2096" t="s">
        <v>61</v>
      </c>
      <c r="B2096" s="1">
        <v>45809</v>
      </c>
      <c r="C2096">
        <v>854232</v>
      </c>
      <c r="D2096" t="s">
        <v>176</v>
      </c>
      <c r="E2096">
        <v>47465</v>
      </c>
      <c r="F2096">
        <v>15310</v>
      </c>
      <c r="G2096">
        <v>356</v>
      </c>
      <c r="H2096">
        <f>_xlfn.XLOOKUP(FACT_IMPORTS[[#This Row],[hts_6]],DIM_PRODUCTS[hts_6],DIM_PRODUCTS[hts_4],,,)</f>
        <v>8542</v>
      </c>
      <c r="I2096" t="str" cm="1">
        <f t="array" ref="I2096">_xlfn.XLOOKUP(FACT_IMPORTS[[#This Row],[country_name]],DIM_COUNTRY[[#All],[Column2]],DIM_COUNTRY[[#All],[Column3]],,,)</f>
        <v>USMCA</v>
      </c>
    </row>
    <row r="2097" spans="1:9" x14ac:dyDescent="0.4">
      <c r="A2097" t="s">
        <v>61</v>
      </c>
      <c r="B2097" s="1">
        <v>45809</v>
      </c>
      <c r="C2097">
        <v>854233</v>
      </c>
      <c r="D2097" t="s">
        <v>176</v>
      </c>
      <c r="E2097">
        <v>16000</v>
      </c>
      <c r="F2097">
        <v>1</v>
      </c>
      <c r="G2097">
        <v>69</v>
      </c>
      <c r="H2097">
        <f>_xlfn.XLOOKUP(FACT_IMPORTS[[#This Row],[hts_6]],DIM_PRODUCTS[hts_6],DIM_PRODUCTS[hts_4],,,)</f>
        <v>8542</v>
      </c>
      <c r="I2097" t="str" cm="1">
        <f t="array" ref="I2097">_xlfn.XLOOKUP(FACT_IMPORTS[[#This Row],[country_name]],DIM_COUNTRY[[#All],[Column2]],DIM_COUNTRY[[#All],[Column3]],,,)</f>
        <v>USMCA</v>
      </c>
    </row>
    <row r="2098" spans="1:9" x14ac:dyDescent="0.4">
      <c r="A2098" t="s">
        <v>61</v>
      </c>
      <c r="B2098" s="1">
        <v>45809</v>
      </c>
      <c r="C2098">
        <v>854239</v>
      </c>
      <c r="D2098" t="s">
        <v>176</v>
      </c>
      <c r="E2098">
        <v>18407</v>
      </c>
      <c r="F2098">
        <v>14</v>
      </c>
      <c r="G2098">
        <v>626</v>
      </c>
      <c r="H2098">
        <f>_xlfn.XLOOKUP(FACT_IMPORTS[[#This Row],[hts_6]],DIM_PRODUCTS[hts_6],DIM_PRODUCTS[hts_4],,,)</f>
        <v>8542</v>
      </c>
      <c r="I2098" t="str" cm="1">
        <f t="array" ref="I2098">_xlfn.XLOOKUP(FACT_IMPORTS[[#This Row],[country_name]],DIM_COUNTRY[[#All],[Column2]],DIM_COUNTRY[[#All],[Column3]],,,)</f>
        <v>USMCA</v>
      </c>
    </row>
    <row r="2099" spans="1:9" x14ac:dyDescent="0.4">
      <c r="A2099" t="s">
        <v>61</v>
      </c>
      <c r="B2099" s="1">
        <v>45809</v>
      </c>
      <c r="C2099">
        <v>854290</v>
      </c>
      <c r="D2099" t="s">
        <v>176</v>
      </c>
      <c r="E2099">
        <v>230360</v>
      </c>
      <c r="F2099">
        <v>24270</v>
      </c>
      <c r="G2099">
        <v>3266</v>
      </c>
      <c r="H2099">
        <f>_xlfn.XLOOKUP(FACT_IMPORTS[[#This Row],[hts_6]],DIM_PRODUCTS[hts_6],DIM_PRODUCTS[hts_4],,,)</f>
        <v>8542</v>
      </c>
      <c r="I2099" t="str" cm="1">
        <f t="array" ref="I2099">_xlfn.XLOOKUP(FACT_IMPORTS[[#This Row],[country_name]],DIM_COUNTRY[[#All],[Column2]],DIM_COUNTRY[[#All],[Column3]],,,)</f>
        <v>USMCA</v>
      </c>
    </row>
    <row r="2100" spans="1:9" x14ac:dyDescent="0.4">
      <c r="A2100" t="s">
        <v>61</v>
      </c>
      <c r="B2100" s="1">
        <v>45809</v>
      </c>
      <c r="C2100">
        <v>854430</v>
      </c>
      <c r="D2100" t="s">
        <v>176</v>
      </c>
      <c r="E2100">
        <v>1778863</v>
      </c>
      <c r="F2100">
        <v>34431</v>
      </c>
      <c r="G2100">
        <v>14084</v>
      </c>
      <c r="H2100">
        <f>_xlfn.XLOOKUP(FACT_IMPORTS[[#This Row],[hts_6]],DIM_PRODUCTS[hts_6],DIM_PRODUCTS[hts_4],,,)</f>
        <v>8544</v>
      </c>
      <c r="I2100" t="str" cm="1">
        <f t="array" ref="I2100">_xlfn.XLOOKUP(FACT_IMPORTS[[#This Row],[country_name]],DIM_COUNTRY[[#All],[Column2]],DIM_COUNTRY[[#All],[Column3]],,,)</f>
        <v>USMCA</v>
      </c>
    </row>
    <row r="2101" spans="1:9" x14ac:dyDescent="0.4">
      <c r="A2101" t="s">
        <v>61</v>
      </c>
      <c r="B2101" s="1">
        <v>45809</v>
      </c>
      <c r="C2101">
        <v>870600</v>
      </c>
      <c r="D2101" t="s">
        <v>176</v>
      </c>
      <c r="E2101">
        <v>5106169</v>
      </c>
      <c r="F2101">
        <v>25</v>
      </c>
      <c r="G2101">
        <v>4869</v>
      </c>
      <c r="H2101">
        <f>_xlfn.XLOOKUP(FACT_IMPORTS[[#This Row],[hts_6]],DIM_PRODUCTS[hts_6],DIM_PRODUCTS[hts_4],,,)</f>
        <v>8706</v>
      </c>
      <c r="I2101" t="str" cm="1">
        <f t="array" ref="I2101">_xlfn.XLOOKUP(FACT_IMPORTS[[#This Row],[country_name]],DIM_COUNTRY[[#All],[Column2]],DIM_COUNTRY[[#All],[Column3]],,,)</f>
        <v>USMCA</v>
      </c>
    </row>
    <row r="2102" spans="1:9" x14ac:dyDescent="0.4">
      <c r="A2102" t="s">
        <v>61</v>
      </c>
      <c r="B2102" s="1">
        <v>45809</v>
      </c>
      <c r="C2102">
        <v>870710</v>
      </c>
      <c r="D2102" t="s">
        <v>176</v>
      </c>
      <c r="E2102">
        <v>17126</v>
      </c>
      <c r="F2102">
        <v>3</v>
      </c>
      <c r="G2102">
        <v>455</v>
      </c>
      <c r="H2102">
        <f>_xlfn.XLOOKUP(FACT_IMPORTS[[#This Row],[hts_6]],DIM_PRODUCTS[hts_6],DIM_PRODUCTS[hts_4],,,)</f>
        <v>8707</v>
      </c>
      <c r="I2102" t="str" cm="1">
        <f t="array" ref="I2102">_xlfn.XLOOKUP(FACT_IMPORTS[[#This Row],[country_name]],DIM_COUNTRY[[#All],[Column2]],DIM_COUNTRY[[#All],[Column3]],,,)</f>
        <v>USMCA</v>
      </c>
    </row>
    <row r="2103" spans="1:9" x14ac:dyDescent="0.4">
      <c r="A2103" t="s">
        <v>61</v>
      </c>
      <c r="B2103" s="1">
        <v>45809</v>
      </c>
      <c r="C2103">
        <v>870790</v>
      </c>
      <c r="D2103" t="s">
        <v>176</v>
      </c>
      <c r="E2103">
        <v>4521317</v>
      </c>
      <c r="F2103">
        <v>312</v>
      </c>
      <c r="G2103">
        <v>94050</v>
      </c>
      <c r="H2103">
        <f>_xlfn.XLOOKUP(FACT_IMPORTS[[#This Row],[hts_6]],DIM_PRODUCTS[hts_6],DIM_PRODUCTS[hts_4],,,)</f>
        <v>8707</v>
      </c>
      <c r="I2103" t="str" cm="1">
        <f t="array" ref="I2103">_xlfn.XLOOKUP(FACT_IMPORTS[[#This Row],[country_name]],DIM_COUNTRY[[#All],[Column2]],DIM_COUNTRY[[#All],[Column3]],,,)</f>
        <v>USMCA</v>
      </c>
    </row>
    <row r="2104" spans="1:9" x14ac:dyDescent="0.4">
      <c r="A2104" t="s">
        <v>61</v>
      </c>
      <c r="B2104" s="1">
        <v>45809</v>
      </c>
      <c r="C2104">
        <v>870810</v>
      </c>
      <c r="D2104" t="s">
        <v>176</v>
      </c>
      <c r="E2104">
        <v>23430693</v>
      </c>
      <c r="F2104">
        <v>1056088</v>
      </c>
      <c r="G2104">
        <v>617034</v>
      </c>
      <c r="H2104">
        <f>_xlfn.XLOOKUP(FACT_IMPORTS[[#This Row],[hts_6]],DIM_PRODUCTS[hts_6],DIM_PRODUCTS[hts_4],,,)</f>
        <v>8708</v>
      </c>
      <c r="I2104" t="str" cm="1">
        <f t="array" ref="I2104">_xlfn.XLOOKUP(FACT_IMPORTS[[#This Row],[country_name]],DIM_COUNTRY[[#All],[Column2]],DIM_COUNTRY[[#All],[Column3]],,,)</f>
        <v>USMCA</v>
      </c>
    </row>
    <row r="2105" spans="1:9" x14ac:dyDescent="0.4">
      <c r="A2105" t="s">
        <v>61</v>
      </c>
      <c r="B2105" s="1">
        <v>45809</v>
      </c>
      <c r="C2105">
        <v>870821</v>
      </c>
      <c r="D2105" t="s">
        <v>176</v>
      </c>
      <c r="E2105">
        <v>0</v>
      </c>
      <c r="F2105">
        <v>0</v>
      </c>
      <c r="G2105">
        <v>0</v>
      </c>
      <c r="H2105">
        <f>_xlfn.XLOOKUP(FACT_IMPORTS[[#This Row],[hts_6]],DIM_PRODUCTS[hts_6],DIM_PRODUCTS[hts_4],,,)</f>
        <v>8708</v>
      </c>
      <c r="I2105" t="str" cm="1">
        <f t="array" ref="I2105">_xlfn.XLOOKUP(FACT_IMPORTS[[#This Row],[country_name]],DIM_COUNTRY[[#All],[Column2]],DIM_COUNTRY[[#All],[Column3]],,,)</f>
        <v>USMCA</v>
      </c>
    </row>
    <row r="2106" spans="1:9" x14ac:dyDescent="0.4">
      <c r="A2106" t="s">
        <v>61</v>
      </c>
      <c r="B2106" s="1">
        <v>45809</v>
      </c>
      <c r="C2106">
        <v>870822</v>
      </c>
      <c r="D2106" t="s">
        <v>176</v>
      </c>
      <c r="E2106">
        <v>5299098</v>
      </c>
      <c r="F2106">
        <v>92795</v>
      </c>
      <c r="G2106">
        <v>144747</v>
      </c>
      <c r="H2106">
        <f>_xlfn.XLOOKUP(FACT_IMPORTS[[#This Row],[hts_6]],DIM_PRODUCTS[hts_6],DIM_PRODUCTS[hts_4],,,)</f>
        <v>8708</v>
      </c>
      <c r="I2106" t="str" cm="1">
        <f t="array" ref="I2106">_xlfn.XLOOKUP(FACT_IMPORTS[[#This Row],[country_name]],DIM_COUNTRY[[#All],[Column2]],DIM_COUNTRY[[#All],[Column3]],,,)</f>
        <v>USMCA</v>
      </c>
    </row>
    <row r="2107" spans="1:9" x14ac:dyDescent="0.4">
      <c r="A2107" t="s">
        <v>61</v>
      </c>
      <c r="B2107" s="1">
        <v>45809</v>
      </c>
      <c r="C2107">
        <v>870829</v>
      </c>
      <c r="D2107" t="s">
        <v>176</v>
      </c>
      <c r="E2107">
        <v>363623630</v>
      </c>
      <c r="F2107">
        <v>48035958</v>
      </c>
      <c r="G2107">
        <v>11952904</v>
      </c>
      <c r="H2107">
        <f>_xlfn.XLOOKUP(FACT_IMPORTS[[#This Row],[hts_6]],DIM_PRODUCTS[hts_6],DIM_PRODUCTS[hts_4],,,)</f>
        <v>8708</v>
      </c>
      <c r="I2107" t="str" cm="1">
        <f t="array" ref="I2107">_xlfn.XLOOKUP(FACT_IMPORTS[[#This Row],[country_name]],DIM_COUNTRY[[#All],[Column2]],DIM_COUNTRY[[#All],[Column3]],,,)</f>
        <v>USMCA</v>
      </c>
    </row>
    <row r="2108" spans="1:9" x14ac:dyDescent="0.4">
      <c r="A2108" t="s">
        <v>61</v>
      </c>
      <c r="B2108" s="1">
        <v>45809</v>
      </c>
      <c r="C2108">
        <v>870830</v>
      </c>
      <c r="D2108" t="s">
        <v>176</v>
      </c>
      <c r="E2108">
        <v>10569532</v>
      </c>
      <c r="F2108">
        <v>2822390</v>
      </c>
      <c r="G2108">
        <v>252015</v>
      </c>
      <c r="H2108">
        <f>_xlfn.XLOOKUP(FACT_IMPORTS[[#This Row],[hts_6]],DIM_PRODUCTS[hts_6],DIM_PRODUCTS[hts_4],,,)</f>
        <v>8708</v>
      </c>
      <c r="I2108" t="str" cm="1">
        <f t="array" ref="I2108">_xlfn.XLOOKUP(FACT_IMPORTS[[#This Row],[country_name]],DIM_COUNTRY[[#All],[Column2]],DIM_COUNTRY[[#All],[Column3]],,,)</f>
        <v>USMCA</v>
      </c>
    </row>
    <row r="2109" spans="1:9" x14ac:dyDescent="0.4">
      <c r="A2109" t="s">
        <v>61</v>
      </c>
      <c r="B2109" s="1">
        <v>45809</v>
      </c>
      <c r="C2109">
        <v>870840</v>
      </c>
      <c r="D2109" t="s">
        <v>176</v>
      </c>
      <c r="E2109">
        <v>86329693</v>
      </c>
      <c r="F2109">
        <v>5244482</v>
      </c>
      <c r="G2109">
        <v>924075</v>
      </c>
      <c r="H2109">
        <f>_xlfn.XLOOKUP(FACT_IMPORTS[[#This Row],[hts_6]],DIM_PRODUCTS[hts_6],DIM_PRODUCTS[hts_4],,,)</f>
        <v>8708</v>
      </c>
      <c r="I2109" t="str" cm="1">
        <f t="array" ref="I2109">_xlfn.XLOOKUP(FACT_IMPORTS[[#This Row],[country_name]],DIM_COUNTRY[[#All],[Column2]],DIM_COUNTRY[[#All],[Column3]],,,)</f>
        <v>USMCA</v>
      </c>
    </row>
    <row r="2110" spans="1:9" x14ac:dyDescent="0.4">
      <c r="A2110" t="s">
        <v>61</v>
      </c>
      <c r="B2110" s="1">
        <v>45809</v>
      </c>
      <c r="C2110">
        <v>870850</v>
      </c>
      <c r="D2110" t="s">
        <v>176</v>
      </c>
      <c r="E2110">
        <v>26042370</v>
      </c>
      <c r="F2110">
        <v>2304222</v>
      </c>
      <c r="G2110">
        <v>287783</v>
      </c>
      <c r="H2110">
        <f>_xlfn.XLOOKUP(FACT_IMPORTS[[#This Row],[hts_6]],DIM_PRODUCTS[hts_6],DIM_PRODUCTS[hts_4],,,)</f>
        <v>8708</v>
      </c>
      <c r="I2110" t="str" cm="1">
        <f t="array" ref="I2110">_xlfn.XLOOKUP(FACT_IMPORTS[[#This Row],[country_name]],DIM_COUNTRY[[#All],[Column2]],DIM_COUNTRY[[#All],[Column3]],,,)</f>
        <v>USMCA</v>
      </c>
    </row>
    <row r="2111" spans="1:9" x14ac:dyDescent="0.4">
      <c r="A2111" t="s">
        <v>61</v>
      </c>
      <c r="B2111" s="1">
        <v>45809</v>
      </c>
      <c r="C2111">
        <v>870870</v>
      </c>
      <c r="D2111" t="s">
        <v>176</v>
      </c>
      <c r="E2111">
        <v>1705139</v>
      </c>
      <c r="F2111">
        <v>5035951</v>
      </c>
      <c r="G2111">
        <v>27458</v>
      </c>
      <c r="H2111">
        <f>_xlfn.XLOOKUP(FACT_IMPORTS[[#This Row],[hts_6]],DIM_PRODUCTS[hts_6],DIM_PRODUCTS[hts_4],,,)</f>
        <v>8708</v>
      </c>
      <c r="I2111" t="str" cm="1">
        <f t="array" ref="I2111">_xlfn.XLOOKUP(FACT_IMPORTS[[#This Row],[country_name]],DIM_COUNTRY[[#All],[Column2]],DIM_COUNTRY[[#All],[Column3]],,,)</f>
        <v>USMCA</v>
      </c>
    </row>
    <row r="2112" spans="1:9" x14ac:dyDescent="0.4">
      <c r="A2112" t="s">
        <v>61</v>
      </c>
      <c r="B2112" s="1">
        <v>45809</v>
      </c>
      <c r="C2112">
        <v>870880</v>
      </c>
      <c r="D2112" t="s">
        <v>176</v>
      </c>
      <c r="E2112">
        <v>58951731</v>
      </c>
      <c r="F2112">
        <v>2947006</v>
      </c>
      <c r="G2112">
        <v>1234731</v>
      </c>
      <c r="H2112">
        <f>_xlfn.XLOOKUP(FACT_IMPORTS[[#This Row],[hts_6]],DIM_PRODUCTS[hts_6],DIM_PRODUCTS[hts_4],,,)</f>
        <v>8708</v>
      </c>
      <c r="I2112" t="str" cm="1">
        <f t="array" ref="I2112">_xlfn.XLOOKUP(FACT_IMPORTS[[#This Row],[country_name]],DIM_COUNTRY[[#All],[Column2]],DIM_COUNTRY[[#All],[Column3]],,,)</f>
        <v>USMCA</v>
      </c>
    </row>
    <row r="2113" spans="1:9" x14ac:dyDescent="0.4">
      <c r="A2113" t="s">
        <v>61</v>
      </c>
      <c r="B2113" s="1">
        <v>45809</v>
      </c>
      <c r="C2113">
        <v>870891</v>
      </c>
      <c r="D2113" t="s">
        <v>176</v>
      </c>
      <c r="E2113">
        <v>20923440</v>
      </c>
      <c r="F2113">
        <v>626576</v>
      </c>
      <c r="G2113">
        <v>336348</v>
      </c>
      <c r="H2113">
        <f>_xlfn.XLOOKUP(FACT_IMPORTS[[#This Row],[hts_6]],DIM_PRODUCTS[hts_6],DIM_PRODUCTS[hts_4],,,)</f>
        <v>8708</v>
      </c>
      <c r="I2113" t="str" cm="1">
        <f t="array" ref="I2113">_xlfn.XLOOKUP(FACT_IMPORTS[[#This Row],[country_name]],DIM_COUNTRY[[#All],[Column2]],DIM_COUNTRY[[#All],[Column3]],,,)</f>
        <v>USMCA</v>
      </c>
    </row>
    <row r="2114" spans="1:9" x14ac:dyDescent="0.4">
      <c r="A2114" t="s">
        <v>61</v>
      </c>
      <c r="B2114" s="1">
        <v>45809</v>
      </c>
      <c r="C2114">
        <v>870892</v>
      </c>
      <c r="D2114" t="s">
        <v>176</v>
      </c>
      <c r="E2114">
        <v>16001606</v>
      </c>
      <c r="F2114">
        <v>1097066</v>
      </c>
      <c r="G2114">
        <v>459352</v>
      </c>
      <c r="H2114">
        <f>_xlfn.XLOOKUP(FACT_IMPORTS[[#This Row],[hts_6]],DIM_PRODUCTS[hts_6],DIM_PRODUCTS[hts_4],,,)</f>
        <v>8708</v>
      </c>
      <c r="I2114" t="str" cm="1">
        <f t="array" ref="I2114">_xlfn.XLOOKUP(FACT_IMPORTS[[#This Row],[country_name]],DIM_COUNTRY[[#All],[Column2]],DIM_COUNTRY[[#All],[Column3]],,,)</f>
        <v>USMCA</v>
      </c>
    </row>
    <row r="2115" spans="1:9" x14ac:dyDescent="0.4">
      <c r="A2115" t="s">
        <v>61</v>
      </c>
      <c r="B2115" s="1">
        <v>45809</v>
      </c>
      <c r="C2115">
        <v>870893</v>
      </c>
      <c r="D2115" t="s">
        <v>176</v>
      </c>
      <c r="E2115">
        <v>47781823</v>
      </c>
      <c r="F2115">
        <v>1533690</v>
      </c>
      <c r="G2115">
        <v>149208</v>
      </c>
      <c r="H2115">
        <f>_xlfn.XLOOKUP(FACT_IMPORTS[[#This Row],[hts_6]],DIM_PRODUCTS[hts_6],DIM_PRODUCTS[hts_4],,,)</f>
        <v>8708</v>
      </c>
      <c r="I2115" t="str" cm="1">
        <f t="array" ref="I2115">_xlfn.XLOOKUP(FACT_IMPORTS[[#This Row],[country_name]],DIM_COUNTRY[[#All],[Column2]],DIM_COUNTRY[[#All],[Column3]],,,)</f>
        <v>USMCA</v>
      </c>
    </row>
    <row r="2116" spans="1:9" x14ac:dyDescent="0.4">
      <c r="A2116" t="s">
        <v>61</v>
      </c>
      <c r="B2116" s="1">
        <v>45809</v>
      </c>
      <c r="C2116">
        <v>870894</v>
      </c>
      <c r="D2116" t="s">
        <v>176</v>
      </c>
      <c r="E2116">
        <v>8545948</v>
      </c>
      <c r="F2116">
        <v>2524284</v>
      </c>
      <c r="G2116">
        <v>159128</v>
      </c>
      <c r="H2116">
        <f>_xlfn.XLOOKUP(FACT_IMPORTS[[#This Row],[hts_6]],DIM_PRODUCTS[hts_6],DIM_PRODUCTS[hts_4],,,)</f>
        <v>8708</v>
      </c>
      <c r="I2116" t="str" cm="1">
        <f t="array" ref="I2116">_xlfn.XLOOKUP(FACT_IMPORTS[[#This Row],[country_name]],DIM_COUNTRY[[#All],[Column2]],DIM_COUNTRY[[#All],[Column3]],,,)</f>
        <v>USMCA</v>
      </c>
    </row>
    <row r="2117" spans="1:9" x14ac:dyDescent="0.4">
      <c r="A2117" t="s">
        <v>61</v>
      </c>
      <c r="B2117" s="1">
        <v>45809</v>
      </c>
      <c r="C2117">
        <v>870895</v>
      </c>
      <c r="D2117" t="s">
        <v>176</v>
      </c>
      <c r="E2117">
        <v>1173340</v>
      </c>
      <c r="F2117">
        <v>968382</v>
      </c>
      <c r="G2117">
        <v>10401</v>
      </c>
      <c r="H2117">
        <f>_xlfn.XLOOKUP(FACT_IMPORTS[[#This Row],[hts_6]],DIM_PRODUCTS[hts_6],DIM_PRODUCTS[hts_4],,,)</f>
        <v>8708</v>
      </c>
      <c r="I2117" t="str" cm="1">
        <f t="array" ref="I2117">_xlfn.XLOOKUP(FACT_IMPORTS[[#This Row],[country_name]],DIM_COUNTRY[[#All],[Column2]],DIM_COUNTRY[[#All],[Column3]],,,)</f>
        <v>USMCA</v>
      </c>
    </row>
    <row r="2118" spans="1:9" x14ac:dyDescent="0.4">
      <c r="A2118" t="s">
        <v>61</v>
      </c>
      <c r="B2118" s="1">
        <v>45809</v>
      </c>
      <c r="C2118">
        <v>870899</v>
      </c>
      <c r="D2118" t="s">
        <v>176</v>
      </c>
      <c r="E2118">
        <v>157855251</v>
      </c>
      <c r="F2118">
        <v>12446870</v>
      </c>
      <c r="G2118">
        <v>3128265</v>
      </c>
      <c r="H2118">
        <f>_xlfn.XLOOKUP(FACT_IMPORTS[[#This Row],[hts_6]],DIM_PRODUCTS[hts_6],DIM_PRODUCTS[hts_4],,,)</f>
        <v>8708</v>
      </c>
      <c r="I2118" t="str" cm="1">
        <f t="array" ref="I2118">_xlfn.XLOOKUP(FACT_IMPORTS[[#This Row],[country_name]],DIM_COUNTRY[[#All],[Column2]],DIM_COUNTRY[[#All],[Column3]],,,)</f>
        <v>USMCA</v>
      </c>
    </row>
    <row r="2119" spans="1:9" x14ac:dyDescent="0.4">
      <c r="A2119" t="s">
        <v>61</v>
      </c>
      <c r="B2119" s="1">
        <v>45809</v>
      </c>
      <c r="C2119">
        <v>940120</v>
      </c>
      <c r="D2119" t="s">
        <v>176</v>
      </c>
      <c r="E2119">
        <v>1294395</v>
      </c>
      <c r="F2119">
        <v>65886</v>
      </c>
      <c r="G2119">
        <v>11503</v>
      </c>
      <c r="H2119">
        <f>_xlfn.XLOOKUP(FACT_IMPORTS[[#This Row],[hts_6]],DIM_PRODUCTS[hts_6],DIM_PRODUCTS[hts_4],,,)</f>
        <v>9401</v>
      </c>
      <c r="I2119" t="str" cm="1">
        <f t="array" ref="I2119">_xlfn.XLOOKUP(FACT_IMPORTS[[#This Row],[country_name]],DIM_COUNTRY[[#All],[Column2]],DIM_COUNTRY[[#All],[Column3]],,,)</f>
        <v>USMCA</v>
      </c>
    </row>
    <row r="2120" spans="1:9" x14ac:dyDescent="0.4">
      <c r="A2120" t="s">
        <v>61</v>
      </c>
      <c r="B2120" s="1">
        <v>45839</v>
      </c>
      <c r="C2120">
        <v>392630</v>
      </c>
      <c r="D2120" t="s">
        <v>176</v>
      </c>
      <c r="E2120">
        <v>3412419</v>
      </c>
      <c r="F2120">
        <v>515472</v>
      </c>
      <c r="G2120">
        <v>327920</v>
      </c>
      <c r="H2120">
        <f>_xlfn.XLOOKUP(FACT_IMPORTS[[#This Row],[hts_6]],DIM_PRODUCTS[hts_6],DIM_PRODUCTS[hts_4],,,)</f>
        <v>3926</v>
      </c>
      <c r="I2120" t="str" cm="1">
        <f t="array" ref="I2120">_xlfn.XLOOKUP(FACT_IMPORTS[[#This Row],[country_name]],DIM_COUNTRY[[#All],[Column2]],DIM_COUNTRY[[#All],[Column3]],,,)</f>
        <v>USMCA</v>
      </c>
    </row>
    <row r="2121" spans="1:9" x14ac:dyDescent="0.4">
      <c r="A2121" t="s">
        <v>61</v>
      </c>
      <c r="B2121" s="1">
        <v>45839</v>
      </c>
      <c r="C2121">
        <v>401110</v>
      </c>
      <c r="D2121" t="s">
        <v>176</v>
      </c>
      <c r="E2121">
        <v>43963344</v>
      </c>
      <c r="F2121">
        <v>518690</v>
      </c>
      <c r="G2121">
        <v>166847</v>
      </c>
      <c r="H2121">
        <f>_xlfn.XLOOKUP(FACT_IMPORTS[[#This Row],[hts_6]],DIM_PRODUCTS[hts_6],DIM_PRODUCTS[hts_4],,,)</f>
        <v>4011</v>
      </c>
      <c r="I2121" t="str" cm="1">
        <f t="array" ref="I2121">_xlfn.XLOOKUP(FACT_IMPORTS[[#This Row],[country_name]],DIM_COUNTRY[[#All],[Column2]],DIM_COUNTRY[[#All],[Column3]],,,)</f>
        <v>USMCA</v>
      </c>
    </row>
    <row r="2122" spans="1:9" x14ac:dyDescent="0.4">
      <c r="A2122" t="s">
        <v>61</v>
      </c>
      <c r="B2122" s="1">
        <v>45839</v>
      </c>
      <c r="C2122">
        <v>401120</v>
      </c>
      <c r="D2122" t="s">
        <v>176</v>
      </c>
      <c r="E2122">
        <v>44494063</v>
      </c>
      <c r="F2122">
        <v>244931</v>
      </c>
      <c r="G2122">
        <v>293309</v>
      </c>
      <c r="H2122">
        <f>_xlfn.XLOOKUP(FACT_IMPORTS[[#This Row],[hts_6]],DIM_PRODUCTS[hts_6],DIM_PRODUCTS[hts_4],,,)</f>
        <v>4011</v>
      </c>
      <c r="I2122" t="str" cm="1">
        <f t="array" ref="I2122">_xlfn.XLOOKUP(FACT_IMPORTS[[#This Row],[country_name]],DIM_COUNTRY[[#All],[Column2]],DIM_COUNTRY[[#All],[Column3]],,,)</f>
        <v>USMCA</v>
      </c>
    </row>
    <row r="2123" spans="1:9" x14ac:dyDescent="0.4">
      <c r="A2123" t="s">
        <v>61</v>
      </c>
      <c r="B2123" s="1">
        <v>45839</v>
      </c>
      <c r="C2123">
        <v>401140</v>
      </c>
      <c r="D2123" t="s">
        <v>176</v>
      </c>
      <c r="E2123">
        <v>0</v>
      </c>
      <c r="F2123">
        <v>0</v>
      </c>
      <c r="G2123">
        <v>0</v>
      </c>
      <c r="H2123">
        <f>_xlfn.XLOOKUP(FACT_IMPORTS[[#This Row],[hts_6]],DIM_PRODUCTS[hts_6],DIM_PRODUCTS[hts_4],,,)</f>
        <v>4011</v>
      </c>
      <c r="I2123" t="str" cm="1">
        <f t="array" ref="I2123">_xlfn.XLOOKUP(FACT_IMPORTS[[#This Row],[country_name]],DIM_COUNTRY[[#All],[Column2]],DIM_COUNTRY[[#All],[Column3]],,,)</f>
        <v>USMCA</v>
      </c>
    </row>
    <row r="2124" spans="1:9" x14ac:dyDescent="0.4">
      <c r="A2124" t="s">
        <v>61</v>
      </c>
      <c r="B2124" s="1">
        <v>45839</v>
      </c>
      <c r="C2124">
        <v>401190</v>
      </c>
      <c r="D2124" t="s">
        <v>176</v>
      </c>
      <c r="E2124">
        <v>26013</v>
      </c>
      <c r="F2124">
        <v>88</v>
      </c>
      <c r="G2124">
        <v>25</v>
      </c>
      <c r="H2124">
        <f>_xlfn.XLOOKUP(FACT_IMPORTS[[#This Row],[hts_6]],DIM_PRODUCTS[hts_6],DIM_PRODUCTS[hts_4],,,)</f>
        <v>4011</v>
      </c>
      <c r="I2124" t="str" cm="1">
        <f t="array" ref="I2124">_xlfn.XLOOKUP(FACT_IMPORTS[[#This Row],[country_name]],DIM_COUNTRY[[#All],[Column2]],DIM_COUNTRY[[#All],[Column3]],,,)</f>
        <v>USMCA</v>
      </c>
    </row>
    <row r="2125" spans="1:9" x14ac:dyDescent="0.4">
      <c r="A2125" t="s">
        <v>61</v>
      </c>
      <c r="B2125" s="1">
        <v>45839</v>
      </c>
      <c r="C2125">
        <v>700711</v>
      </c>
      <c r="D2125" t="s">
        <v>176</v>
      </c>
      <c r="E2125">
        <v>665063</v>
      </c>
      <c r="F2125">
        <v>3559</v>
      </c>
      <c r="G2125">
        <v>16825</v>
      </c>
      <c r="H2125">
        <f>_xlfn.XLOOKUP(FACT_IMPORTS[[#This Row],[hts_6]],DIM_PRODUCTS[hts_6],DIM_PRODUCTS[hts_4],,,)</f>
        <v>7007</v>
      </c>
      <c r="I2125" t="str" cm="1">
        <f t="array" ref="I2125">_xlfn.XLOOKUP(FACT_IMPORTS[[#This Row],[country_name]],DIM_COUNTRY[[#All],[Column2]],DIM_COUNTRY[[#All],[Column3]],,,)</f>
        <v>USMCA</v>
      </c>
    </row>
    <row r="2126" spans="1:9" x14ac:dyDescent="0.4">
      <c r="A2126" t="s">
        <v>61</v>
      </c>
      <c r="B2126" s="1">
        <v>45839</v>
      </c>
      <c r="C2126">
        <v>700721</v>
      </c>
      <c r="D2126" t="s">
        <v>176</v>
      </c>
      <c r="E2126">
        <v>30660</v>
      </c>
      <c r="F2126">
        <v>42</v>
      </c>
      <c r="G2126">
        <v>4628</v>
      </c>
      <c r="H2126">
        <f>_xlfn.XLOOKUP(FACT_IMPORTS[[#This Row],[hts_6]],DIM_PRODUCTS[hts_6],DIM_PRODUCTS[hts_4],,,)</f>
        <v>7007</v>
      </c>
      <c r="I2126" t="str" cm="1">
        <f t="array" ref="I2126">_xlfn.XLOOKUP(FACT_IMPORTS[[#This Row],[country_name]],DIM_COUNTRY[[#All],[Column2]],DIM_COUNTRY[[#All],[Column3]],,,)</f>
        <v>USMCA</v>
      </c>
    </row>
    <row r="2127" spans="1:9" x14ac:dyDescent="0.4">
      <c r="A2127" t="s">
        <v>61</v>
      </c>
      <c r="B2127" s="1">
        <v>45839</v>
      </c>
      <c r="C2127">
        <v>700910</v>
      </c>
      <c r="D2127" t="s">
        <v>176</v>
      </c>
      <c r="E2127">
        <v>125143</v>
      </c>
      <c r="F2127">
        <v>2337</v>
      </c>
      <c r="G2127">
        <v>1078</v>
      </c>
      <c r="H2127">
        <f>_xlfn.XLOOKUP(FACT_IMPORTS[[#This Row],[hts_6]],DIM_PRODUCTS[hts_6],DIM_PRODUCTS[hts_4],,,)</f>
        <v>7009</v>
      </c>
      <c r="I2127" t="str" cm="1">
        <f t="array" ref="I2127">_xlfn.XLOOKUP(FACT_IMPORTS[[#This Row],[country_name]],DIM_COUNTRY[[#All],[Column2]],DIM_COUNTRY[[#All],[Column3]],,,)</f>
        <v>USMCA</v>
      </c>
    </row>
    <row r="2128" spans="1:9" x14ac:dyDescent="0.4">
      <c r="A2128" t="s">
        <v>61</v>
      </c>
      <c r="B2128" s="1">
        <v>45839</v>
      </c>
      <c r="C2128">
        <v>732010</v>
      </c>
      <c r="D2128" t="s">
        <v>176</v>
      </c>
      <c r="E2128">
        <v>2988200</v>
      </c>
      <c r="F2128">
        <v>902576</v>
      </c>
      <c r="G2128">
        <v>28145</v>
      </c>
      <c r="H2128">
        <f>_xlfn.XLOOKUP(FACT_IMPORTS[[#This Row],[hts_6]],DIM_PRODUCTS[hts_6],DIM_PRODUCTS[hts_4],,,)</f>
        <v>7320</v>
      </c>
      <c r="I2128" t="str" cm="1">
        <f t="array" ref="I2128">_xlfn.XLOOKUP(FACT_IMPORTS[[#This Row],[country_name]],DIM_COUNTRY[[#All],[Column2]],DIM_COUNTRY[[#All],[Column3]],,,)</f>
        <v>USMCA</v>
      </c>
    </row>
    <row r="2129" spans="1:9" x14ac:dyDescent="0.4">
      <c r="A2129" t="s">
        <v>61</v>
      </c>
      <c r="B2129" s="1">
        <v>45839</v>
      </c>
      <c r="C2129">
        <v>830230</v>
      </c>
      <c r="D2129" t="s">
        <v>176</v>
      </c>
      <c r="E2129">
        <v>29498772</v>
      </c>
      <c r="F2129">
        <v>6119339</v>
      </c>
      <c r="G2129">
        <v>1305914</v>
      </c>
      <c r="H2129">
        <f>_xlfn.XLOOKUP(FACT_IMPORTS[[#This Row],[hts_6]],DIM_PRODUCTS[hts_6],DIM_PRODUCTS[hts_4],,,)</f>
        <v>8302</v>
      </c>
      <c r="I2129" t="str" cm="1">
        <f t="array" ref="I2129">_xlfn.XLOOKUP(FACT_IMPORTS[[#This Row],[country_name]],DIM_COUNTRY[[#All],[Column2]],DIM_COUNTRY[[#All],[Column3]],,,)</f>
        <v>USMCA</v>
      </c>
    </row>
    <row r="2130" spans="1:9" x14ac:dyDescent="0.4">
      <c r="A2130" t="s">
        <v>61</v>
      </c>
      <c r="B2130" s="1">
        <v>45839</v>
      </c>
      <c r="C2130">
        <v>840733</v>
      </c>
      <c r="D2130" t="s">
        <v>176</v>
      </c>
      <c r="E2130">
        <v>0</v>
      </c>
      <c r="F2130">
        <v>0</v>
      </c>
      <c r="G2130">
        <v>0</v>
      </c>
      <c r="H2130">
        <f>_xlfn.XLOOKUP(FACT_IMPORTS[[#This Row],[hts_6]],DIM_PRODUCTS[hts_6],DIM_PRODUCTS[hts_4],,,)</f>
        <v>8407</v>
      </c>
      <c r="I2130" t="str" cm="1">
        <f t="array" ref="I2130">_xlfn.XLOOKUP(FACT_IMPORTS[[#This Row],[country_name]],DIM_COUNTRY[[#All],[Column2]],DIM_COUNTRY[[#All],[Column3]],,,)</f>
        <v>USMCA</v>
      </c>
    </row>
    <row r="2131" spans="1:9" x14ac:dyDescent="0.4">
      <c r="A2131" t="s">
        <v>61</v>
      </c>
      <c r="B2131" s="1">
        <v>45839</v>
      </c>
      <c r="C2131">
        <v>840734</v>
      </c>
      <c r="D2131" t="s">
        <v>176</v>
      </c>
      <c r="E2131">
        <v>250440170</v>
      </c>
      <c r="F2131">
        <v>84597</v>
      </c>
      <c r="G2131">
        <v>768555</v>
      </c>
      <c r="H2131">
        <f>_xlfn.XLOOKUP(FACT_IMPORTS[[#This Row],[hts_6]],DIM_PRODUCTS[hts_6],DIM_PRODUCTS[hts_4],,,)</f>
        <v>8407</v>
      </c>
      <c r="I2131" t="str" cm="1">
        <f t="array" ref="I2131">_xlfn.XLOOKUP(FACT_IMPORTS[[#This Row],[country_name]],DIM_COUNTRY[[#All],[Column2]],DIM_COUNTRY[[#All],[Column3]],,,)</f>
        <v>USMCA</v>
      </c>
    </row>
    <row r="2132" spans="1:9" x14ac:dyDescent="0.4">
      <c r="A2132" t="s">
        <v>61</v>
      </c>
      <c r="B2132" s="1">
        <v>45839</v>
      </c>
      <c r="C2132">
        <v>840790</v>
      </c>
      <c r="D2132" t="s">
        <v>176</v>
      </c>
      <c r="E2132">
        <v>8485180</v>
      </c>
      <c r="F2132">
        <v>3392</v>
      </c>
      <c r="G2132">
        <v>2200</v>
      </c>
      <c r="H2132">
        <f>_xlfn.XLOOKUP(FACT_IMPORTS[[#This Row],[hts_6]],DIM_PRODUCTS[hts_6],DIM_PRODUCTS[hts_4],,,)</f>
        <v>8407</v>
      </c>
      <c r="I2132" t="str" cm="1">
        <f t="array" ref="I2132">_xlfn.XLOOKUP(FACT_IMPORTS[[#This Row],[country_name]],DIM_COUNTRY[[#All],[Column2]],DIM_COUNTRY[[#All],[Column3]],,,)</f>
        <v>USMCA</v>
      </c>
    </row>
    <row r="2133" spans="1:9" x14ac:dyDescent="0.4">
      <c r="A2133" t="s">
        <v>61</v>
      </c>
      <c r="B2133" s="1">
        <v>45839</v>
      </c>
      <c r="C2133">
        <v>840820</v>
      </c>
      <c r="D2133" t="s">
        <v>176</v>
      </c>
      <c r="E2133">
        <v>135887</v>
      </c>
      <c r="F2133">
        <v>26</v>
      </c>
      <c r="G2133">
        <v>1830</v>
      </c>
      <c r="H2133">
        <f>_xlfn.XLOOKUP(FACT_IMPORTS[[#This Row],[hts_6]],DIM_PRODUCTS[hts_6],DIM_PRODUCTS[hts_4],,,)</f>
        <v>8408</v>
      </c>
      <c r="I2133" t="str" cm="1">
        <f t="array" ref="I2133">_xlfn.XLOOKUP(FACT_IMPORTS[[#This Row],[country_name]],DIM_COUNTRY[[#All],[Column2]],DIM_COUNTRY[[#All],[Column3]],,,)</f>
        <v>USMCA</v>
      </c>
    </row>
    <row r="2134" spans="1:9" x14ac:dyDescent="0.4">
      <c r="A2134" t="s">
        <v>61</v>
      </c>
      <c r="B2134" s="1">
        <v>45839</v>
      </c>
      <c r="C2134">
        <v>840890</v>
      </c>
      <c r="D2134" t="s">
        <v>176</v>
      </c>
      <c r="E2134">
        <v>346062</v>
      </c>
      <c r="F2134">
        <v>11</v>
      </c>
      <c r="G2134">
        <v>1789</v>
      </c>
      <c r="H2134">
        <f>_xlfn.XLOOKUP(FACT_IMPORTS[[#This Row],[hts_6]],DIM_PRODUCTS[hts_6],DIM_PRODUCTS[hts_4],,,)</f>
        <v>8408</v>
      </c>
      <c r="I2134" t="str" cm="1">
        <f t="array" ref="I2134">_xlfn.XLOOKUP(FACT_IMPORTS[[#This Row],[country_name]],DIM_COUNTRY[[#All],[Column2]],DIM_COUNTRY[[#All],[Column3]],,,)</f>
        <v>USMCA</v>
      </c>
    </row>
    <row r="2135" spans="1:9" x14ac:dyDescent="0.4">
      <c r="A2135" t="s">
        <v>61</v>
      </c>
      <c r="B2135" s="1">
        <v>45839</v>
      </c>
      <c r="C2135">
        <v>840991</v>
      </c>
      <c r="D2135" t="s">
        <v>176</v>
      </c>
      <c r="E2135">
        <v>35404851</v>
      </c>
      <c r="F2135">
        <v>3228862</v>
      </c>
      <c r="G2135">
        <v>266888</v>
      </c>
      <c r="H2135">
        <f>_xlfn.XLOOKUP(FACT_IMPORTS[[#This Row],[hts_6]],DIM_PRODUCTS[hts_6],DIM_PRODUCTS[hts_4],,,)</f>
        <v>8409</v>
      </c>
      <c r="I2135" t="str" cm="1">
        <f t="array" ref="I2135">_xlfn.XLOOKUP(FACT_IMPORTS[[#This Row],[country_name]],DIM_COUNTRY[[#All],[Column2]],DIM_COUNTRY[[#All],[Column3]],,,)</f>
        <v>USMCA</v>
      </c>
    </row>
    <row r="2136" spans="1:9" x14ac:dyDescent="0.4">
      <c r="A2136" t="s">
        <v>61</v>
      </c>
      <c r="B2136" s="1">
        <v>45839</v>
      </c>
      <c r="C2136">
        <v>840999</v>
      </c>
      <c r="D2136" t="s">
        <v>176</v>
      </c>
      <c r="E2136">
        <v>12192941</v>
      </c>
      <c r="F2136">
        <v>981058</v>
      </c>
      <c r="G2136">
        <v>188710</v>
      </c>
      <c r="H2136">
        <f>_xlfn.XLOOKUP(FACT_IMPORTS[[#This Row],[hts_6]],DIM_PRODUCTS[hts_6],DIM_PRODUCTS[hts_4],,,)</f>
        <v>8409</v>
      </c>
      <c r="I2136" t="str" cm="1">
        <f t="array" ref="I2136">_xlfn.XLOOKUP(FACT_IMPORTS[[#This Row],[country_name]],DIM_COUNTRY[[#All],[Column2]],DIM_COUNTRY[[#All],[Column3]],,,)</f>
        <v>USMCA</v>
      </c>
    </row>
    <row r="2137" spans="1:9" x14ac:dyDescent="0.4">
      <c r="A2137" t="s">
        <v>61</v>
      </c>
      <c r="B2137" s="1">
        <v>45839</v>
      </c>
      <c r="C2137">
        <v>841330</v>
      </c>
      <c r="D2137" t="s">
        <v>176</v>
      </c>
      <c r="E2137">
        <v>11338771</v>
      </c>
      <c r="F2137">
        <v>210628</v>
      </c>
      <c r="G2137">
        <v>67715</v>
      </c>
      <c r="H2137">
        <f>_xlfn.XLOOKUP(FACT_IMPORTS[[#This Row],[hts_6]],DIM_PRODUCTS[hts_6],DIM_PRODUCTS[hts_4],,,)</f>
        <v>8413</v>
      </c>
      <c r="I2137" t="str" cm="1">
        <f t="array" ref="I2137">_xlfn.XLOOKUP(FACT_IMPORTS[[#This Row],[country_name]],DIM_COUNTRY[[#All],[Column2]],DIM_COUNTRY[[#All],[Column3]],,,)</f>
        <v>USMCA</v>
      </c>
    </row>
    <row r="2138" spans="1:9" x14ac:dyDescent="0.4">
      <c r="A2138" t="s">
        <v>61</v>
      </c>
      <c r="B2138" s="1">
        <v>45839</v>
      </c>
      <c r="C2138">
        <v>841520</v>
      </c>
      <c r="D2138" t="s">
        <v>176</v>
      </c>
      <c r="E2138">
        <v>3006358</v>
      </c>
      <c r="F2138">
        <v>17353</v>
      </c>
      <c r="G2138">
        <v>77262</v>
      </c>
      <c r="H2138">
        <f>_xlfn.XLOOKUP(FACT_IMPORTS[[#This Row],[hts_6]],DIM_PRODUCTS[hts_6],DIM_PRODUCTS[hts_4],,,)</f>
        <v>8415</v>
      </c>
      <c r="I2138" t="str" cm="1">
        <f t="array" ref="I2138">_xlfn.XLOOKUP(FACT_IMPORTS[[#This Row],[country_name]],DIM_COUNTRY[[#All],[Column2]],DIM_COUNTRY[[#All],[Column3]],,,)</f>
        <v>USMCA</v>
      </c>
    </row>
    <row r="2139" spans="1:9" x14ac:dyDescent="0.4">
      <c r="A2139" t="s">
        <v>61</v>
      </c>
      <c r="B2139" s="1">
        <v>45839</v>
      </c>
      <c r="C2139">
        <v>842132</v>
      </c>
      <c r="D2139" t="s">
        <v>176</v>
      </c>
      <c r="E2139">
        <v>27107978</v>
      </c>
      <c r="F2139">
        <v>92574</v>
      </c>
      <c r="G2139">
        <v>95024</v>
      </c>
      <c r="H2139">
        <f>_xlfn.XLOOKUP(FACT_IMPORTS[[#This Row],[hts_6]],DIM_PRODUCTS[hts_6],DIM_PRODUCTS[hts_4],,,)</f>
        <v>8421</v>
      </c>
      <c r="I2139" t="str" cm="1">
        <f t="array" ref="I2139">_xlfn.XLOOKUP(FACT_IMPORTS[[#This Row],[country_name]],DIM_COUNTRY[[#All],[Column2]],DIM_COUNTRY[[#All],[Column3]],,,)</f>
        <v>USMCA</v>
      </c>
    </row>
    <row r="2140" spans="1:9" x14ac:dyDescent="0.4">
      <c r="A2140" t="s">
        <v>61</v>
      </c>
      <c r="B2140" s="1">
        <v>45839</v>
      </c>
      <c r="C2140">
        <v>848210</v>
      </c>
      <c r="D2140" t="s">
        <v>176</v>
      </c>
      <c r="E2140">
        <v>4340655</v>
      </c>
      <c r="F2140">
        <v>559340</v>
      </c>
      <c r="G2140">
        <v>60394</v>
      </c>
      <c r="H2140">
        <f>_xlfn.XLOOKUP(FACT_IMPORTS[[#This Row],[hts_6]],DIM_PRODUCTS[hts_6],DIM_PRODUCTS[hts_4],,,)</f>
        <v>8482</v>
      </c>
      <c r="I2140" t="str" cm="1">
        <f t="array" ref="I2140">_xlfn.XLOOKUP(FACT_IMPORTS[[#This Row],[country_name]],DIM_COUNTRY[[#All],[Column2]],DIM_COUNTRY[[#All],[Column3]],,,)</f>
        <v>USMCA</v>
      </c>
    </row>
    <row r="2141" spans="1:9" x14ac:dyDescent="0.4">
      <c r="A2141" t="s">
        <v>61</v>
      </c>
      <c r="B2141" s="1">
        <v>45839</v>
      </c>
      <c r="C2141">
        <v>848220</v>
      </c>
      <c r="D2141" t="s">
        <v>176</v>
      </c>
      <c r="E2141">
        <v>115271</v>
      </c>
      <c r="F2141">
        <v>2595</v>
      </c>
      <c r="G2141">
        <v>5685</v>
      </c>
      <c r="H2141">
        <f>_xlfn.XLOOKUP(FACT_IMPORTS[[#This Row],[hts_6]],DIM_PRODUCTS[hts_6],DIM_PRODUCTS[hts_4],,,)</f>
        <v>8482</v>
      </c>
      <c r="I2141" t="str" cm="1">
        <f t="array" ref="I2141">_xlfn.XLOOKUP(FACT_IMPORTS[[#This Row],[country_name]],DIM_COUNTRY[[#All],[Column2]],DIM_COUNTRY[[#All],[Column3]],,,)</f>
        <v>USMCA</v>
      </c>
    </row>
    <row r="2142" spans="1:9" x14ac:dyDescent="0.4">
      <c r="A2142" t="s">
        <v>61</v>
      </c>
      <c r="B2142" s="1">
        <v>45839</v>
      </c>
      <c r="C2142">
        <v>848310</v>
      </c>
      <c r="D2142" t="s">
        <v>176</v>
      </c>
      <c r="E2142">
        <v>16479159</v>
      </c>
      <c r="F2142">
        <v>493864</v>
      </c>
      <c r="G2142">
        <v>105103</v>
      </c>
      <c r="H2142">
        <f>_xlfn.XLOOKUP(FACT_IMPORTS[[#This Row],[hts_6]],DIM_PRODUCTS[hts_6],DIM_PRODUCTS[hts_4],,,)</f>
        <v>8483</v>
      </c>
      <c r="I2142" t="str" cm="1">
        <f t="array" ref="I2142">_xlfn.XLOOKUP(FACT_IMPORTS[[#This Row],[country_name]],DIM_COUNTRY[[#All],[Column2]],DIM_COUNTRY[[#All],[Column3]],,,)</f>
        <v>USMCA</v>
      </c>
    </row>
    <row r="2143" spans="1:9" x14ac:dyDescent="0.4">
      <c r="A2143" t="s">
        <v>61</v>
      </c>
      <c r="B2143" s="1">
        <v>45839</v>
      </c>
      <c r="C2143">
        <v>850131</v>
      </c>
      <c r="D2143" t="s">
        <v>176</v>
      </c>
      <c r="E2143">
        <v>2093310</v>
      </c>
      <c r="F2143">
        <v>78111</v>
      </c>
      <c r="G2143">
        <v>43774</v>
      </c>
      <c r="H2143">
        <f>_xlfn.XLOOKUP(FACT_IMPORTS[[#This Row],[hts_6]],DIM_PRODUCTS[hts_6],DIM_PRODUCTS[hts_4],,,)</f>
        <v>8501</v>
      </c>
      <c r="I2143" t="str" cm="1">
        <f t="array" ref="I2143">_xlfn.XLOOKUP(FACT_IMPORTS[[#This Row],[country_name]],DIM_COUNTRY[[#All],[Column2]],DIM_COUNTRY[[#All],[Column3]],,,)</f>
        <v>USMCA</v>
      </c>
    </row>
    <row r="2144" spans="1:9" x14ac:dyDescent="0.4">
      <c r="A2144" t="s">
        <v>61</v>
      </c>
      <c r="B2144" s="1">
        <v>45839</v>
      </c>
      <c r="C2144">
        <v>850132</v>
      </c>
      <c r="D2144" t="s">
        <v>176</v>
      </c>
      <c r="E2144">
        <v>310887</v>
      </c>
      <c r="F2144">
        <v>72</v>
      </c>
      <c r="G2144">
        <v>4065</v>
      </c>
      <c r="H2144">
        <f>_xlfn.XLOOKUP(FACT_IMPORTS[[#This Row],[hts_6]],DIM_PRODUCTS[hts_6],DIM_PRODUCTS[hts_4],,,)</f>
        <v>8501</v>
      </c>
      <c r="I2144" t="str" cm="1">
        <f t="array" ref="I2144">_xlfn.XLOOKUP(FACT_IMPORTS[[#This Row],[country_name]],DIM_COUNTRY[[#All],[Column2]],DIM_COUNTRY[[#All],[Column3]],,,)</f>
        <v>USMCA</v>
      </c>
    </row>
    <row r="2145" spans="1:9" x14ac:dyDescent="0.4">
      <c r="A2145" t="s">
        <v>61</v>
      </c>
      <c r="B2145" s="1">
        <v>45839</v>
      </c>
      <c r="C2145">
        <v>850133</v>
      </c>
      <c r="D2145" t="s">
        <v>176</v>
      </c>
      <c r="E2145">
        <v>0</v>
      </c>
      <c r="F2145">
        <v>0</v>
      </c>
      <c r="G2145">
        <v>0</v>
      </c>
      <c r="H2145">
        <f>_xlfn.XLOOKUP(FACT_IMPORTS[[#This Row],[hts_6]],DIM_PRODUCTS[hts_6],DIM_PRODUCTS[hts_4],,,)</f>
        <v>8501</v>
      </c>
      <c r="I2145" t="str" cm="1">
        <f t="array" ref="I2145">_xlfn.XLOOKUP(FACT_IMPORTS[[#This Row],[country_name]],DIM_COUNTRY[[#All],[Column2]],DIM_COUNTRY[[#All],[Column3]],,,)</f>
        <v>USMCA</v>
      </c>
    </row>
    <row r="2146" spans="1:9" x14ac:dyDescent="0.4">
      <c r="A2146" t="s">
        <v>61</v>
      </c>
      <c r="B2146" s="1">
        <v>45839</v>
      </c>
      <c r="C2146">
        <v>850134</v>
      </c>
      <c r="D2146" t="s">
        <v>176</v>
      </c>
      <c r="E2146">
        <v>165831</v>
      </c>
      <c r="F2146">
        <v>16</v>
      </c>
      <c r="G2146">
        <v>708</v>
      </c>
      <c r="H2146">
        <f>_xlfn.XLOOKUP(FACT_IMPORTS[[#This Row],[hts_6]],DIM_PRODUCTS[hts_6],DIM_PRODUCTS[hts_4],,,)</f>
        <v>8501</v>
      </c>
      <c r="I2146" t="str" cm="1">
        <f t="array" ref="I2146">_xlfn.XLOOKUP(FACT_IMPORTS[[#This Row],[country_name]],DIM_COUNTRY[[#All],[Column2]],DIM_COUNTRY[[#All],[Column3]],,,)</f>
        <v>USMCA</v>
      </c>
    </row>
    <row r="2147" spans="1:9" x14ac:dyDescent="0.4">
      <c r="A2147" t="s">
        <v>61</v>
      </c>
      <c r="B2147" s="1">
        <v>45839</v>
      </c>
      <c r="C2147">
        <v>850152</v>
      </c>
      <c r="D2147" t="s">
        <v>176</v>
      </c>
      <c r="E2147">
        <v>626522</v>
      </c>
      <c r="F2147">
        <v>603</v>
      </c>
      <c r="G2147">
        <v>9769</v>
      </c>
      <c r="H2147">
        <f>_xlfn.XLOOKUP(FACT_IMPORTS[[#This Row],[hts_6]],DIM_PRODUCTS[hts_6],DIM_PRODUCTS[hts_4],,,)</f>
        <v>8501</v>
      </c>
      <c r="I2147" t="str" cm="1">
        <f t="array" ref="I2147">_xlfn.XLOOKUP(FACT_IMPORTS[[#This Row],[country_name]],DIM_COUNTRY[[#All],[Column2]],DIM_COUNTRY[[#All],[Column3]],,,)</f>
        <v>USMCA</v>
      </c>
    </row>
    <row r="2148" spans="1:9" x14ac:dyDescent="0.4">
      <c r="A2148" t="s">
        <v>61</v>
      </c>
      <c r="B2148" s="1">
        <v>45839</v>
      </c>
      <c r="C2148">
        <v>850153</v>
      </c>
      <c r="D2148" t="s">
        <v>176</v>
      </c>
      <c r="E2148">
        <v>734249</v>
      </c>
      <c r="F2148">
        <v>48</v>
      </c>
      <c r="G2148">
        <v>5579</v>
      </c>
      <c r="H2148">
        <f>_xlfn.XLOOKUP(FACT_IMPORTS[[#This Row],[hts_6]],DIM_PRODUCTS[hts_6],DIM_PRODUCTS[hts_4],,,)</f>
        <v>8501</v>
      </c>
      <c r="I2148" t="str" cm="1">
        <f t="array" ref="I2148">_xlfn.XLOOKUP(FACT_IMPORTS[[#This Row],[country_name]],DIM_COUNTRY[[#All],[Column2]],DIM_COUNTRY[[#All],[Column3]],,,)</f>
        <v>USMCA</v>
      </c>
    </row>
    <row r="2149" spans="1:9" x14ac:dyDescent="0.4">
      <c r="A2149" t="s">
        <v>61</v>
      </c>
      <c r="B2149" s="1">
        <v>45839</v>
      </c>
      <c r="C2149">
        <v>850161</v>
      </c>
      <c r="D2149" t="s">
        <v>176</v>
      </c>
      <c r="E2149">
        <v>49402</v>
      </c>
      <c r="F2149">
        <v>55</v>
      </c>
      <c r="G2149">
        <v>221</v>
      </c>
      <c r="H2149">
        <f>_xlfn.XLOOKUP(FACT_IMPORTS[[#This Row],[hts_6]],DIM_PRODUCTS[hts_6],DIM_PRODUCTS[hts_4],,,)</f>
        <v>8501</v>
      </c>
      <c r="I2149" t="str" cm="1">
        <f t="array" ref="I2149">_xlfn.XLOOKUP(FACT_IMPORTS[[#This Row],[country_name]],DIM_COUNTRY[[#All],[Column2]],DIM_COUNTRY[[#All],[Column3]],,,)</f>
        <v>USMCA</v>
      </c>
    </row>
    <row r="2150" spans="1:9" x14ac:dyDescent="0.4">
      <c r="A2150" t="s">
        <v>61</v>
      </c>
      <c r="B2150" s="1">
        <v>45839</v>
      </c>
      <c r="C2150">
        <v>850440</v>
      </c>
      <c r="D2150" t="s">
        <v>176</v>
      </c>
      <c r="E2150">
        <v>6443328</v>
      </c>
      <c r="F2150">
        <v>10334</v>
      </c>
      <c r="G2150">
        <v>66893</v>
      </c>
      <c r="H2150">
        <f>_xlfn.XLOOKUP(FACT_IMPORTS[[#This Row],[hts_6]],DIM_PRODUCTS[hts_6],DIM_PRODUCTS[hts_4],,,)</f>
        <v>8504</v>
      </c>
      <c r="I2150" t="str" cm="1">
        <f t="array" ref="I2150">_xlfn.XLOOKUP(FACT_IMPORTS[[#This Row],[country_name]],DIM_COUNTRY[[#All],[Column2]],DIM_COUNTRY[[#All],[Column3]],,,)</f>
        <v>USMCA</v>
      </c>
    </row>
    <row r="2151" spans="1:9" x14ac:dyDescent="0.4">
      <c r="A2151" t="s">
        <v>61</v>
      </c>
      <c r="B2151" s="1">
        <v>45839</v>
      </c>
      <c r="C2151">
        <v>850710</v>
      </c>
      <c r="D2151" t="s">
        <v>176</v>
      </c>
      <c r="E2151">
        <v>783271</v>
      </c>
      <c r="F2151">
        <v>3562</v>
      </c>
      <c r="G2151">
        <v>26491</v>
      </c>
      <c r="H2151">
        <f>_xlfn.XLOOKUP(FACT_IMPORTS[[#This Row],[hts_6]],DIM_PRODUCTS[hts_6],DIM_PRODUCTS[hts_4],,,)</f>
        <v>8507</v>
      </c>
      <c r="I2151" t="str" cm="1">
        <f t="array" ref="I2151">_xlfn.XLOOKUP(FACT_IMPORTS[[#This Row],[country_name]],DIM_COUNTRY[[#All],[Column2]],DIM_COUNTRY[[#All],[Column3]],,,)</f>
        <v>USMCA</v>
      </c>
    </row>
    <row r="2152" spans="1:9" x14ac:dyDescent="0.4">
      <c r="A2152" t="s">
        <v>61</v>
      </c>
      <c r="B2152" s="1">
        <v>45839</v>
      </c>
      <c r="C2152">
        <v>850760</v>
      </c>
      <c r="D2152" t="s">
        <v>176</v>
      </c>
      <c r="E2152">
        <v>9514613</v>
      </c>
      <c r="F2152">
        <v>92201</v>
      </c>
      <c r="G2152">
        <v>105334</v>
      </c>
      <c r="H2152">
        <f>_xlfn.XLOOKUP(FACT_IMPORTS[[#This Row],[hts_6]],DIM_PRODUCTS[hts_6],DIM_PRODUCTS[hts_4],,,)</f>
        <v>8507</v>
      </c>
      <c r="I2152" t="str" cm="1">
        <f t="array" ref="I2152">_xlfn.XLOOKUP(FACT_IMPORTS[[#This Row],[country_name]],DIM_COUNTRY[[#All],[Column2]],DIM_COUNTRY[[#All],[Column3]],,,)</f>
        <v>USMCA</v>
      </c>
    </row>
    <row r="2153" spans="1:9" x14ac:dyDescent="0.4">
      <c r="A2153" t="s">
        <v>61</v>
      </c>
      <c r="B2153" s="1">
        <v>45839</v>
      </c>
      <c r="C2153">
        <v>850790</v>
      </c>
      <c r="D2153" t="s">
        <v>176</v>
      </c>
      <c r="E2153">
        <v>2055637</v>
      </c>
      <c r="F2153">
        <v>124236</v>
      </c>
      <c r="G2153">
        <v>11823</v>
      </c>
      <c r="H2153">
        <f>_xlfn.XLOOKUP(FACT_IMPORTS[[#This Row],[hts_6]],DIM_PRODUCTS[hts_6],DIM_PRODUCTS[hts_4],,,)</f>
        <v>8507</v>
      </c>
      <c r="I2153" t="str" cm="1">
        <f t="array" ref="I2153">_xlfn.XLOOKUP(FACT_IMPORTS[[#This Row],[country_name]],DIM_COUNTRY[[#All],[Column2]],DIM_COUNTRY[[#All],[Column3]],,,)</f>
        <v>USMCA</v>
      </c>
    </row>
    <row r="2154" spans="1:9" x14ac:dyDescent="0.4">
      <c r="A2154" t="s">
        <v>61</v>
      </c>
      <c r="B2154" s="1">
        <v>45839</v>
      </c>
      <c r="C2154">
        <v>851110</v>
      </c>
      <c r="D2154" t="s">
        <v>176</v>
      </c>
      <c r="E2154">
        <v>16887</v>
      </c>
      <c r="F2154">
        <v>20</v>
      </c>
      <c r="G2154">
        <v>270</v>
      </c>
      <c r="H2154">
        <f>_xlfn.XLOOKUP(FACT_IMPORTS[[#This Row],[hts_6]],DIM_PRODUCTS[hts_6],DIM_PRODUCTS[hts_4],,,)</f>
        <v>8511</v>
      </c>
      <c r="I2154" t="str" cm="1">
        <f t="array" ref="I2154">_xlfn.XLOOKUP(FACT_IMPORTS[[#This Row],[country_name]],DIM_COUNTRY[[#All],[Column2]],DIM_COUNTRY[[#All],[Column3]],,,)</f>
        <v>USMCA</v>
      </c>
    </row>
    <row r="2155" spans="1:9" x14ac:dyDescent="0.4">
      <c r="A2155" t="s">
        <v>61</v>
      </c>
      <c r="B2155" s="1">
        <v>45839</v>
      </c>
      <c r="C2155">
        <v>851130</v>
      </c>
      <c r="D2155" t="s">
        <v>176</v>
      </c>
      <c r="E2155">
        <v>24611</v>
      </c>
      <c r="F2155">
        <v>4839</v>
      </c>
      <c r="G2155">
        <v>444</v>
      </c>
      <c r="H2155">
        <f>_xlfn.XLOOKUP(FACT_IMPORTS[[#This Row],[hts_6]],DIM_PRODUCTS[hts_6],DIM_PRODUCTS[hts_4],,,)</f>
        <v>8511</v>
      </c>
      <c r="I2155" t="str" cm="1">
        <f t="array" ref="I2155">_xlfn.XLOOKUP(FACT_IMPORTS[[#This Row],[country_name]],DIM_COUNTRY[[#All],[Column2]],DIM_COUNTRY[[#All],[Column3]],,,)</f>
        <v>USMCA</v>
      </c>
    </row>
    <row r="2156" spans="1:9" x14ac:dyDescent="0.4">
      <c r="A2156" t="s">
        <v>61</v>
      </c>
      <c r="B2156" s="1">
        <v>45839</v>
      </c>
      <c r="C2156">
        <v>851140</v>
      </c>
      <c r="D2156" t="s">
        <v>176</v>
      </c>
      <c r="E2156">
        <v>610403</v>
      </c>
      <c r="F2156">
        <v>3816</v>
      </c>
      <c r="G2156">
        <v>4745</v>
      </c>
      <c r="H2156">
        <f>_xlfn.XLOOKUP(FACT_IMPORTS[[#This Row],[hts_6]],DIM_PRODUCTS[hts_6],DIM_PRODUCTS[hts_4],,,)</f>
        <v>8511</v>
      </c>
      <c r="I2156" t="str" cm="1">
        <f t="array" ref="I2156">_xlfn.XLOOKUP(FACT_IMPORTS[[#This Row],[country_name]],DIM_COUNTRY[[#All],[Column2]],DIM_COUNTRY[[#All],[Column3]],,,)</f>
        <v>USMCA</v>
      </c>
    </row>
    <row r="2157" spans="1:9" x14ac:dyDescent="0.4">
      <c r="A2157" t="s">
        <v>61</v>
      </c>
      <c r="B2157" s="1">
        <v>45839</v>
      </c>
      <c r="C2157">
        <v>851150</v>
      </c>
      <c r="D2157" t="s">
        <v>176</v>
      </c>
      <c r="E2157">
        <v>184646</v>
      </c>
      <c r="F2157">
        <v>2437</v>
      </c>
      <c r="G2157">
        <v>3512</v>
      </c>
      <c r="H2157">
        <f>_xlfn.XLOOKUP(FACT_IMPORTS[[#This Row],[hts_6]],DIM_PRODUCTS[hts_6],DIM_PRODUCTS[hts_4],,,)</f>
        <v>8511</v>
      </c>
      <c r="I2157" t="str" cm="1">
        <f t="array" ref="I2157">_xlfn.XLOOKUP(FACT_IMPORTS[[#This Row],[country_name]],DIM_COUNTRY[[#All],[Column2]],DIM_COUNTRY[[#All],[Column3]],,,)</f>
        <v>USMCA</v>
      </c>
    </row>
    <row r="2158" spans="1:9" x14ac:dyDescent="0.4">
      <c r="A2158" t="s">
        <v>61</v>
      </c>
      <c r="B2158" s="1">
        <v>45839</v>
      </c>
      <c r="C2158">
        <v>851180</v>
      </c>
      <c r="D2158" t="s">
        <v>176</v>
      </c>
      <c r="E2158">
        <v>6188</v>
      </c>
      <c r="F2158">
        <v>144</v>
      </c>
      <c r="G2158">
        <v>80</v>
      </c>
      <c r="H2158">
        <f>_xlfn.XLOOKUP(FACT_IMPORTS[[#This Row],[hts_6]],DIM_PRODUCTS[hts_6],DIM_PRODUCTS[hts_4],,,)</f>
        <v>8511</v>
      </c>
      <c r="I2158" t="str" cm="1">
        <f t="array" ref="I2158">_xlfn.XLOOKUP(FACT_IMPORTS[[#This Row],[country_name]],DIM_COUNTRY[[#All],[Column2]],DIM_COUNTRY[[#All],[Column3]],,,)</f>
        <v>USMCA</v>
      </c>
    </row>
    <row r="2159" spans="1:9" x14ac:dyDescent="0.4">
      <c r="A2159" t="s">
        <v>61</v>
      </c>
      <c r="B2159" s="1">
        <v>45839</v>
      </c>
      <c r="C2159">
        <v>851190</v>
      </c>
      <c r="D2159" t="s">
        <v>176</v>
      </c>
      <c r="E2159">
        <v>707513</v>
      </c>
      <c r="F2159">
        <v>6872</v>
      </c>
      <c r="G2159">
        <v>3942</v>
      </c>
      <c r="H2159">
        <f>_xlfn.XLOOKUP(FACT_IMPORTS[[#This Row],[hts_6]],DIM_PRODUCTS[hts_6],DIM_PRODUCTS[hts_4],,,)</f>
        <v>8511</v>
      </c>
      <c r="I2159" t="str" cm="1">
        <f t="array" ref="I2159">_xlfn.XLOOKUP(FACT_IMPORTS[[#This Row],[country_name]],DIM_COUNTRY[[#All],[Column2]],DIM_COUNTRY[[#All],[Column3]],,,)</f>
        <v>USMCA</v>
      </c>
    </row>
    <row r="2160" spans="1:9" x14ac:dyDescent="0.4">
      <c r="A2160" t="s">
        <v>61</v>
      </c>
      <c r="B2160" s="1">
        <v>45839</v>
      </c>
      <c r="C2160">
        <v>851220</v>
      </c>
      <c r="D2160" t="s">
        <v>176</v>
      </c>
      <c r="E2160">
        <v>17032937</v>
      </c>
      <c r="F2160">
        <v>296862</v>
      </c>
      <c r="G2160">
        <v>154897</v>
      </c>
      <c r="H2160">
        <f>_xlfn.XLOOKUP(FACT_IMPORTS[[#This Row],[hts_6]],DIM_PRODUCTS[hts_6],DIM_PRODUCTS[hts_4],,,)</f>
        <v>8512</v>
      </c>
      <c r="I2160" t="str" cm="1">
        <f t="array" ref="I2160">_xlfn.XLOOKUP(FACT_IMPORTS[[#This Row],[country_name]],DIM_COUNTRY[[#All],[Column2]],DIM_COUNTRY[[#All],[Column3]],,,)</f>
        <v>USMCA</v>
      </c>
    </row>
    <row r="2161" spans="1:9" x14ac:dyDescent="0.4">
      <c r="A2161" t="s">
        <v>61</v>
      </c>
      <c r="B2161" s="1">
        <v>45839</v>
      </c>
      <c r="C2161">
        <v>851230</v>
      </c>
      <c r="D2161" t="s">
        <v>176</v>
      </c>
      <c r="E2161">
        <v>100170</v>
      </c>
      <c r="F2161">
        <v>59</v>
      </c>
      <c r="G2161">
        <v>136</v>
      </c>
      <c r="H2161">
        <f>_xlfn.XLOOKUP(FACT_IMPORTS[[#This Row],[hts_6]],DIM_PRODUCTS[hts_6],DIM_PRODUCTS[hts_4],,,)</f>
        <v>8512</v>
      </c>
      <c r="I2161" t="str" cm="1">
        <f t="array" ref="I2161">_xlfn.XLOOKUP(FACT_IMPORTS[[#This Row],[country_name]],DIM_COUNTRY[[#All],[Column2]],DIM_COUNTRY[[#All],[Column3]],,,)</f>
        <v>USMCA</v>
      </c>
    </row>
    <row r="2162" spans="1:9" x14ac:dyDescent="0.4">
      <c r="A2162" t="s">
        <v>61</v>
      </c>
      <c r="B2162" s="1">
        <v>45839</v>
      </c>
      <c r="C2162">
        <v>851240</v>
      </c>
      <c r="D2162" t="s">
        <v>176</v>
      </c>
      <c r="E2162">
        <v>3880</v>
      </c>
      <c r="F2162">
        <v>13</v>
      </c>
      <c r="G2162">
        <v>1</v>
      </c>
      <c r="H2162">
        <f>_xlfn.XLOOKUP(FACT_IMPORTS[[#This Row],[hts_6]],DIM_PRODUCTS[hts_6],DIM_PRODUCTS[hts_4],,,)</f>
        <v>8512</v>
      </c>
      <c r="I2162" t="str" cm="1">
        <f t="array" ref="I2162">_xlfn.XLOOKUP(FACT_IMPORTS[[#This Row],[country_name]],DIM_COUNTRY[[#All],[Column2]],DIM_COUNTRY[[#All],[Column3]],,,)</f>
        <v>USMCA</v>
      </c>
    </row>
    <row r="2163" spans="1:9" x14ac:dyDescent="0.4">
      <c r="A2163" t="s">
        <v>61</v>
      </c>
      <c r="B2163" s="1">
        <v>45839</v>
      </c>
      <c r="C2163">
        <v>851290</v>
      </c>
      <c r="D2163" t="s">
        <v>176</v>
      </c>
      <c r="E2163">
        <v>2031098</v>
      </c>
      <c r="F2163">
        <v>25186</v>
      </c>
      <c r="G2163">
        <v>3897</v>
      </c>
      <c r="H2163">
        <f>_xlfn.XLOOKUP(FACT_IMPORTS[[#This Row],[hts_6]],DIM_PRODUCTS[hts_6],DIM_PRODUCTS[hts_4],,,)</f>
        <v>8512</v>
      </c>
      <c r="I2163" t="str" cm="1">
        <f t="array" ref="I2163">_xlfn.XLOOKUP(FACT_IMPORTS[[#This Row],[country_name]],DIM_COUNTRY[[#All],[Column2]],DIM_COUNTRY[[#All],[Column3]],,,)</f>
        <v>USMCA</v>
      </c>
    </row>
    <row r="2164" spans="1:9" x14ac:dyDescent="0.4">
      <c r="A2164" t="s">
        <v>61</v>
      </c>
      <c r="B2164" s="1">
        <v>45839</v>
      </c>
      <c r="C2164">
        <v>854231</v>
      </c>
      <c r="D2164" t="s">
        <v>176</v>
      </c>
      <c r="E2164">
        <v>107930</v>
      </c>
      <c r="F2164">
        <v>79</v>
      </c>
      <c r="G2164">
        <v>1372</v>
      </c>
      <c r="H2164">
        <f>_xlfn.XLOOKUP(FACT_IMPORTS[[#This Row],[hts_6]],DIM_PRODUCTS[hts_6],DIM_PRODUCTS[hts_4],,,)</f>
        <v>8542</v>
      </c>
      <c r="I2164" t="str" cm="1">
        <f t="array" ref="I2164">_xlfn.XLOOKUP(FACT_IMPORTS[[#This Row],[country_name]],DIM_COUNTRY[[#All],[Column2]],DIM_COUNTRY[[#All],[Column3]],,,)</f>
        <v>USMCA</v>
      </c>
    </row>
    <row r="2165" spans="1:9" x14ac:dyDescent="0.4">
      <c r="A2165" t="s">
        <v>61</v>
      </c>
      <c r="B2165" s="1">
        <v>45839</v>
      </c>
      <c r="C2165">
        <v>854232</v>
      </c>
      <c r="D2165" t="s">
        <v>176</v>
      </c>
      <c r="E2165">
        <v>18600</v>
      </c>
      <c r="F2165">
        <v>6000</v>
      </c>
      <c r="G2165">
        <v>162</v>
      </c>
      <c r="H2165">
        <f>_xlfn.XLOOKUP(FACT_IMPORTS[[#This Row],[hts_6]],DIM_PRODUCTS[hts_6],DIM_PRODUCTS[hts_4],,,)</f>
        <v>8542</v>
      </c>
      <c r="I2165" t="str" cm="1">
        <f t="array" ref="I2165">_xlfn.XLOOKUP(FACT_IMPORTS[[#This Row],[country_name]],DIM_COUNTRY[[#All],[Column2]],DIM_COUNTRY[[#All],[Column3]],,,)</f>
        <v>USMCA</v>
      </c>
    </row>
    <row r="2166" spans="1:9" x14ac:dyDescent="0.4">
      <c r="A2166" t="s">
        <v>61</v>
      </c>
      <c r="B2166" s="1">
        <v>45839</v>
      </c>
      <c r="C2166">
        <v>854233</v>
      </c>
      <c r="D2166" t="s">
        <v>176</v>
      </c>
      <c r="E2166">
        <v>0</v>
      </c>
      <c r="F2166">
        <v>0</v>
      </c>
      <c r="G2166">
        <v>0</v>
      </c>
      <c r="H2166">
        <f>_xlfn.XLOOKUP(FACT_IMPORTS[[#This Row],[hts_6]],DIM_PRODUCTS[hts_6],DIM_PRODUCTS[hts_4],,,)</f>
        <v>8542</v>
      </c>
      <c r="I2166" t="str" cm="1">
        <f t="array" ref="I2166">_xlfn.XLOOKUP(FACT_IMPORTS[[#This Row],[country_name]],DIM_COUNTRY[[#All],[Column2]],DIM_COUNTRY[[#All],[Column3]],,,)</f>
        <v>USMCA</v>
      </c>
    </row>
    <row r="2167" spans="1:9" x14ac:dyDescent="0.4">
      <c r="A2167" t="s">
        <v>61</v>
      </c>
      <c r="B2167" s="1">
        <v>45839</v>
      </c>
      <c r="C2167">
        <v>854239</v>
      </c>
      <c r="D2167" t="s">
        <v>176</v>
      </c>
      <c r="E2167">
        <v>47915</v>
      </c>
      <c r="F2167">
        <v>206775</v>
      </c>
      <c r="G2167">
        <v>150</v>
      </c>
      <c r="H2167">
        <f>_xlfn.XLOOKUP(FACT_IMPORTS[[#This Row],[hts_6]],DIM_PRODUCTS[hts_6],DIM_PRODUCTS[hts_4],,,)</f>
        <v>8542</v>
      </c>
      <c r="I2167" t="str" cm="1">
        <f t="array" ref="I2167">_xlfn.XLOOKUP(FACT_IMPORTS[[#This Row],[country_name]],DIM_COUNTRY[[#All],[Column2]],DIM_COUNTRY[[#All],[Column3]],,,)</f>
        <v>USMCA</v>
      </c>
    </row>
    <row r="2168" spans="1:9" x14ac:dyDescent="0.4">
      <c r="A2168" t="s">
        <v>61</v>
      </c>
      <c r="B2168" s="1">
        <v>45839</v>
      </c>
      <c r="C2168">
        <v>854290</v>
      </c>
      <c r="D2168" t="s">
        <v>176</v>
      </c>
      <c r="E2168">
        <v>99997</v>
      </c>
      <c r="F2168">
        <v>7321</v>
      </c>
      <c r="G2168">
        <v>2711</v>
      </c>
      <c r="H2168">
        <f>_xlfn.XLOOKUP(FACT_IMPORTS[[#This Row],[hts_6]],DIM_PRODUCTS[hts_6],DIM_PRODUCTS[hts_4],,,)</f>
        <v>8542</v>
      </c>
      <c r="I2168" t="str" cm="1">
        <f t="array" ref="I2168">_xlfn.XLOOKUP(FACT_IMPORTS[[#This Row],[country_name]],DIM_COUNTRY[[#All],[Column2]],DIM_COUNTRY[[#All],[Column3]],,,)</f>
        <v>USMCA</v>
      </c>
    </row>
    <row r="2169" spans="1:9" x14ac:dyDescent="0.4">
      <c r="A2169" t="s">
        <v>61</v>
      </c>
      <c r="B2169" s="1">
        <v>45839</v>
      </c>
      <c r="C2169">
        <v>854430</v>
      </c>
      <c r="D2169" t="s">
        <v>176</v>
      </c>
      <c r="E2169">
        <v>2013967</v>
      </c>
      <c r="F2169">
        <v>62778</v>
      </c>
      <c r="G2169">
        <v>10170</v>
      </c>
      <c r="H2169">
        <f>_xlfn.XLOOKUP(FACT_IMPORTS[[#This Row],[hts_6]],DIM_PRODUCTS[hts_6],DIM_PRODUCTS[hts_4],,,)</f>
        <v>8544</v>
      </c>
      <c r="I2169" t="str" cm="1">
        <f t="array" ref="I2169">_xlfn.XLOOKUP(FACT_IMPORTS[[#This Row],[country_name]],DIM_COUNTRY[[#All],[Column2]],DIM_COUNTRY[[#All],[Column3]],,,)</f>
        <v>USMCA</v>
      </c>
    </row>
    <row r="2170" spans="1:9" x14ac:dyDescent="0.4">
      <c r="A2170" t="s">
        <v>61</v>
      </c>
      <c r="B2170" s="1">
        <v>45839</v>
      </c>
      <c r="C2170">
        <v>870600</v>
      </c>
      <c r="D2170" t="s">
        <v>176</v>
      </c>
      <c r="E2170">
        <v>674230</v>
      </c>
      <c r="F2170">
        <v>8</v>
      </c>
      <c r="G2170">
        <v>504</v>
      </c>
      <c r="H2170">
        <f>_xlfn.XLOOKUP(FACT_IMPORTS[[#This Row],[hts_6]],DIM_PRODUCTS[hts_6],DIM_PRODUCTS[hts_4],,,)</f>
        <v>8706</v>
      </c>
      <c r="I2170" t="str" cm="1">
        <f t="array" ref="I2170">_xlfn.XLOOKUP(FACT_IMPORTS[[#This Row],[country_name]],DIM_COUNTRY[[#All],[Column2]],DIM_COUNTRY[[#All],[Column3]],,,)</f>
        <v>USMCA</v>
      </c>
    </row>
    <row r="2171" spans="1:9" x14ac:dyDescent="0.4">
      <c r="A2171" t="s">
        <v>61</v>
      </c>
      <c r="B2171" s="1">
        <v>45839</v>
      </c>
      <c r="C2171">
        <v>870710</v>
      </c>
      <c r="D2171" t="s">
        <v>176</v>
      </c>
      <c r="E2171">
        <v>11414</v>
      </c>
      <c r="F2171">
        <v>3</v>
      </c>
      <c r="G2171">
        <v>655</v>
      </c>
      <c r="H2171">
        <f>_xlfn.XLOOKUP(FACT_IMPORTS[[#This Row],[hts_6]],DIM_PRODUCTS[hts_6],DIM_PRODUCTS[hts_4],,,)</f>
        <v>8707</v>
      </c>
      <c r="I2171" t="str" cm="1">
        <f t="array" ref="I2171">_xlfn.XLOOKUP(FACT_IMPORTS[[#This Row],[country_name]],DIM_COUNTRY[[#All],[Column2]],DIM_COUNTRY[[#All],[Column3]],,,)</f>
        <v>USMCA</v>
      </c>
    </row>
    <row r="2172" spans="1:9" x14ac:dyDescent="0.4">
      <c r="A2172" t="s">
        <v>61</v>
      </c>
      <c r="B2172" s="1">
        <v>45839</v>
      </c>
      <c r="C2172">
        <v>870790</v>
      </c>
      <c r="D2172" t="s">
        <v>176</v>
      </c>
      <c r="E2172">
        <v>2816600</v>
      </c>
      <c r="F2172">
        <v>268</v>
      </c>
      <c r="G2172">
        <v>33216</v>
      </c>
      <c r="H2172">
        <f>_xlfn.XLOOKUP(FACT_IMPORTS[[#This Row],[hts_6]],DIM_PRODUCTS[hts_6],DIM_PRODUCTS[hts_4],,,)</f>
        <v>8707</v>
      </c>
      <c r="I2172" t="str" cm="1">
        <f t="array" ref="I2172">_xlfn.XLOOKUP(FACT_IMPORTS[[#This Row],[country_name]],DIM_COUNTRY[[#All],[Column2]],DIM_COUNTRY[[#All],[Column3]],,,)</f>
        <v>USMCA</v>
      </c>
    </row>
    <row r="2173" spans="1:9" x14ac:dyDescent="0.4">
      <c r="A2173" t="s">
        <v>61</v>
      </c>
      <c r="B2173" s="1">
        <v>45839</v>
      </c>
      <c r="C2173">
        <v>870810</v>
      </c>
      <c r="D2173" t="s">
        <v>176</v>
      </c>
      <c r="E2173">
        <v>20377243</v>
      </c>
      <c r="F2173">
        <v>976553</v>
      </c>
      <c r="G2173">
        <v>562588</v>
      </c>
      <c r="H2173">
        <f>_xlfn.XLOOKUP(FACT_IMPORTS[[#This Row],[hts_6]],DIM_PRODUCTS[hts_6],DIM_PRODUCTS[hts_4],,,)</f>
        <v>8708</v>
      </c>
      <c r="I2173" t="str" cm="1">
        <f t="array" ref="I2173">_xlfn.XLOOKUP(FACT_IMPORTS[[#This Row],[country_name]],DIM_COUNTRY[[#All],[Column2]],DIM_COUNTRY[[#All],[Column3]],,,)</f>
        <v>USMCA</v>
      </c>
    </row>
    <row r="2174" spans="1:9" x14ac:dyDescent="0.4">
      <c r="A2174" t="s">
        <v>61</v>
      </c>
      <c r="B2174" s="1">
        <v>45839</v>
      </c>
      <c r="C2174">
        <v>870821</v>
      </c>
      <c r="D2174" t="s">
        <v>176</v>
      </c>
      <c r="E2174">
        <v>2604</v>
      </c>
      <c r="F2174">
        <v>26</v>
      </c>
      <c r="G2174">
        <v>2</v>
      </c>
      <c r="H2174">
        <f>_xlfn.XLOOKUP(FACT_IMPORTS[[#This Row],[hts_6]],DIM_PRODUCTS[hts_6],DIM_PRODUCTS[hts_4],,,)</f>
        <v>8708</v>
      </c>
      <c r="I2174" t="str" cm="1">
        <f t="array" ref="I2174">_xlfn.XLOOKUP(FACT_IMPORTS[[#This Row],[country_name]],DIM_COUNTRY[[#All],[Column2]],DIM_COUNTRY[[#All],[Column3]],,,)</f>
        <v>USMCA</v>
      </c>
    </row>
    <row r="2175" spans="1:9" x14ac:dyDescent="0.4">
      <c r="A2175" t="s">
        <v>61</v>
      </c>
      <c r="B2175" s="1">
        <v>45839</v>
      </c>
      <c r="C2175">
        <v>870822</v>
      </c>
      <c r="D2175" t="s">
        <v>176</v>
      </c>
      <c r="E2175">
        <v>5135160</v>
      </c>
      <c r="F2175">
        <v>85737</v>
      </c>
      <c r="G2175">
        <v>123194</v>
      </c>
      <c r="H2175">
        <f>_xlfn.XLOOKUP(FACT_IMPORTS[[#This Row],[hts_6]],DIM_PRODUCTS[hts_6],DIM_PRODUCTS[hts_4],,,)</f>
        <v>8708</v>
      </c>
      <c r="I2175" t="str" cm="1">
        <f t="array" ref="I2175">_xlfn.XLOOKUP(FACT_IMPORTS[[#This Row],[country_name]],DIM_COUNTRY[[#All],[Column2]],DIM_COUNTRY[[#All],[Column3]],,,)</f>
        <v>USMCA</v>
      </c>
    </row>
    <row r="2176" spans="1:9" x14ac:dyDescent="0.4">
      <c r="A2176" t="s">
        <v>61</v>
      </c>
      <c r="B2176" s="1">
        <v>45839</v>
      </c>
      <c r="C2176">
        <v>870829</v>
      </c>
      <c r="D2176" t="s">
        <v>176</v>
      </c>
      <c r="E2176">
        <v>341982548</v>
      </c>
      <c r="F2176">
        <v>46601681</v>
      </c>
      <c r="G2176">
        <v>11654143</v>
      </c>
      <c r="H2176">
        <f>_xlfn.XLOOKUP(FACT_IMPORTS[[#This Row],[hts_6]],DIM_PRODUCTS[hts_6],DIM_PRODUCTS[hts_4],,,)</f>
        <v>8708</v>
      </c>
      <c r="I2176" t="str" cm="1">
        <f t="array" ref="I2176">_xlfn.XLOOKUP(FACT_IMPORTS[[#This Row],[country_name]],DIM_COUNTRY[[#All],[Column2]],DIM_COUNTRY[[#All],[Column3]],,,)</f>
        <v>USMCA</v>
      </c>
    </row>
    <row r="2177" spans="1:9" x14ac:dyDescent="0.4">
      <c r="A2177" t="s">
        <v>61</v>
      </c>
      <c r="B2177" s="1">
        <v>45839</v>
      </c>
      <c r="C2177">
        <v>870830</v>
      </c>
      <c r="D2177" t="s">
        <v>176</v>
      </c>
      <c r="E2177">
        <v>10080589</v>
      </c>
      <c r="F2177">
        <v>2596572</v>
      </c>
      <c r="G2177">
        <v>228812</v>
      </c>
      <c r="H2177">
        <f>_xlfn.XLOOKUP(FACT_IMPORTS[[#This Row],[hts_6]],DIM_PRODUCTS[hts_6],DIM_PRODUCTS[hts_4],,,)</f>
        <v>8708</v>
      </c>
      <c r="I2177" t="str" cm="1">
        <f t="array" ref="I2177">_xlfn.XLOOKUP(FACT_IMPORTS[[#This Row],[country_name]],DIM_COUNTRY[[#All],[Column2]],DIM_COUNTRY[[#All],[Column3]],,,)</f>
        <v>USMCA</v>
      </c>
    </row>
    <row r="2178" spans="1:9" x14ac:dyDescent="0.4">
      <c r="A2178" t="s">
        <v>61</v>
      </c>
      <c r="B2178" s="1">
        <v>45839</v>
      </c>
      <c r="C2178">
        <v>870840</v>
      </c>
      <c r="D2178" t="s">
        <v>176</v>
      </c>
      <c r="E2178">
        <v>83805490</v>
      </c>
      <c r="F2178">
        <v>4400721</v>
      </c>
      <c r="G2178">
        <v>865184</v>
      </c>
      <c r="H2178">
        <f>_xlfn.XLOOKUP(FACT_IMPORTS[[#This Row],[hts_6]],DIM_PRODUCTS[hts_6],DIM_PRODUCTS[hts_4],,,)</f>
        <v>8708</v>
      </c>
      <c r="I2178" t="str" cm="1">
        <f t="array" ref="I2178">_xlfn.XLOOKUP(FACT_IMPORTS[[#This Row],[country_name]],DIM_COUNTRY[[#All],[Column2]],DIM_COUNTRY[[#All],[Column3]],,,)</f>
        <v>USMCA</v>
      </c>
    </row>
    <row r="2179" spans="1:9" x14ac:dyDescent="0.4">
      <c r="A2179" t="s">
        <v>61</v>
      </c>
      <c r="B2179" s="1">
        <v>45839</v>
      </c>
      <c r="C2179">
        <v>870850</v>
      </c>
      <c r="D2179" t="s">
        <v>176</v>
      </c>
      <c r="E2179">
        <v>28217177</v>
      </c>
      <c r="F2179">
        <v>2366791</v>
      </c>
      <c r="G2179">
        <v>264049</v>
      </c>
      <c r="H2179">
        <f>_xlfn.XLOOKUP(FACT_IMPORTS[[#This Row],[hts_6]],DIM_PRODUCTS[hts_6],DIM_PRODUCTS[hts_4],,,)</f>
        <v>8708</v>
      </c>
      <c r="I2179" t="str" cm="1">
        <f t="array" ref="I2179">_xlfn.XLOOKUP(FACT_IMPORTS[[#This Row],[country_name]],DIM_COUNTRY[[#All],[Column2]],DIM_COUNTRY[[#All],[Column3]],,,)</f>
        <v>USMCA</v>
      </c>
    </row>
    <row r="2180" spans="1:9" x14ac:dyDescent="0.4">
      <c r="A2180" t="s">
        <v>61</v>
      </c>
      <c r="B2180" s="1">
        <v>45839</v>
      </c>
      <c r="C2180">
        <v>870870</v>
      </c>
      <c r="D2180" t="s">
        <v>176</v>
      </c>
      <c r="E2180">
        <v>2165858</v>
      </c>
      <c r="F2180">
        <v>6030611</v>
      </c>
      <c r="G2180">
        <v>35229</v>
      </c>
      <c r="H2180">
        <f>_xlfn.XLOOKUP(FACT_IMPORTS[[#This Row],[hts_6]],DIM_PRODUCTS[hts_6],DIM_PRODUCTS[hts_4],,,)</f>
        <v>8708</v>
      </c>
      <c r="I2180" t="str" cm="1">
        <f t="array" ref="I2180">_xlfn.XLOOKUP(FACT_IMPORTS[[#This Row],[country_name]],DIM_COUNTRY[[#All],[Column2]],DIM_COUNTRY[[#All],[Column3]],,,)</f>
        <v>USMCA</v>
      </c>
    </row>
    <row r="2181" spans="1:9" x14ac:dyDescent="0.4">
      <c r="A2181" t="s">
        <v>61</v>
      </c>
      <c r="B2181" s="1">
        <v>45839</v>
      </c>
      <c r="C2181">
        <v>870880</v>
      </c>
      <c r="D2181" t="s">
        <v>176</v>
      </c>
      <c r="E2181">
        <v>58297021</v>
      </c>
      <c r="F2181">
        <v>3198335</v>
      </c>
      <c r="G2181">
        <v>1120222</v>
      </c>
      <c r="H2181">
        <f>_xlfn.XLOOKUP(FACT_IMPORTS[[#This Row],[hts_6]],DIM_PRODUCTS[hts_6],DIM_PRODUCTS[hts_4],,,)</f>
        <v>8708</v>
      </c>
      <c r="I2181" t="str" cm="1">
        <f t="array" ref="I2181">_xlfn.XLOOKUP(FACT_IMPORTS[[#This Row],[country_name]],DIM_COUNTRY[[#All],[Column2]],DIM_COUNTRY[[#All],[Column3]],,,)</f>
        <v>USMCA</v>
      </c>
    </row>
    <row r="2182" spans="1:9" x14ac:dyDescent="0.4">
      <c r="A2182" t="s">
        <v>61</v>
      </c>
      <c r="B2182" s="1">
        <v>45839</v>
      </c>
      <c r="C2182">
        <v>870891</v>
      </c>
      <c r="D2182" t="s">
        <v>176</v>
      </c>
      <c r="E2182">
        <v>19087243</v>
      </c>
      <c r="F2182">
        <v>708613</v>
      </c>
      <c r="G2182">
        <v>273057</v>
      </c>
      <c r="H2182">
        <f>_xlfn.XLOOKUP(FACT_IMPORTS[[#This Row],[hts_6]],DIM_PRODUCTS[hts_6],DIM_PRODUCTS[hts_4],,,)</f>
        <v>8708</v>
      </c>
      <c r="I2182" t="str" cm="1">
        <f t="array" ref="I2182">_xlfn.XLOOKUP(FACT_IMPORTS[[#This Row],[country_name]],DIM_COUNTRY[[#All],[Column2]],DIM_COUNTRY[[#All],[Column3]],,,)</f>
        <v>USMCA</v>
      </c>
    </row>
    <row r="2183" spans="1:9" x14ac:dyDescent="0.4">
      <c r="A2183" t="s">
        <v>61</v>
      </c>
      <c r="B2183" s="1">
        <v>45839</v>
      </c>
      <c r="C2183">
        <v>870892</v>
      </c>
      <c r="D2183" t="s">
        <v>176</v>
      </c>
      <c r="E2183">
        <v>14710920</v>
      </c>
      <c r="F2183">
        <v>1131565</v>
      </c>
      <c r="G2183">
        <v>423219</v>
      </c>
      <c r="H2183">
        <f>_xlfn.XLOOKUP(FACT_IMPORTS[[#This Row],[hts_6]],DIM_PRODUCTS[hts_6],DIM_PRODUCTS[hts_4],,,)</f>
        <v>8708</v>
      </c>
      <c r="I2183" t="str" cm="1">
        <f t="array" ref="I2183">_xlfn.XLOOKUP(FACT_IMPORTS[[#This Row],[country_name]],DIM_COUNTRY[[#All],[Column2]],DIM_COUNTRY[[#All],[Column3]],,,)</f>
        <v>USMCA</v>
      </c>
    </row>
    <row r="2184" spans="1:9" x14ac:dyDescent="0.4">
      <c r="A2184" t="s">
        <v>61</v>
      </c>
      <c r="B2184" s="1">
        <v>45839</v>
      </c>
      <c r="C2184">
        <v>870893</v>
      </c>
      <c r="D2184" t="s">
        <v>176</v>
      </c>
      <c r="E2184">
        <v>46512204</v>
      </c>
      <c r="F2184">
        <v>1525016</v>
      </c>
      <c r="G2184">
        <v>140832</v>
      </c>
      <c r="H2184">
        <f>_xlfn.XLOOKUP(FACT_IMPORTS[[#This Row],[hts_6]],DIM_PRODUCTS[hts_6],DIM_PRODUCTS[hts_4],,,)</f>
        <v>8708</v>
      </c>
      <c r="I2184" t="str" cm="1">
        <f t="array" ref="I2184">_xlfn.XLOOKUP(FACT_IMPORTS[[#This Row],[country_name]],DIM_COUNTRY[[#All],[Column2]],DIM_COUNTRY[[#All],[Column3]],,,)</f>
        <v>USMCA</v>
      </c>
    </row>
    <row r="2185" spans="1:9" x14ac:dyDescent="0.4">
      <c r="A2185" t="s">
        <v>61</v>
      </c>
      <c r="B2185" s="1">
        <v>45839</v>
      </c>
      <c r="C2185">
        <v>870894</v>
      </c>
      <c r="D2185" t="s">
        <v>176</v>
      </c>
      <c r="E2185">
        <v>7580194</v>
      </c>
      <c r="F2185">
        <v>2472003</v>
      </c>
      <c r="G2185">
        <v>144194</v>
      </c>
      <c r="H2185">
        <f>_xlfn.XLOOKUP(FACT_IMPORTS[[#This Row],[hts_6]],DIM_PRODUCTS[hts_6],DIM_PRODUCTS[hts_4],,,)</f>
        <v>8708</v>
      </c>
      <c r="I2185" t="str" cm="1">
        <f t="array" ref="I2185">_xlfn.XLOOKUP(FACT_IMPORTS[[#This Row],[country_name]],DIM_COUNTRY[[#All],[Column2]],DIM_COUNTRY[[#All],[Column3]],,,)</f>
        <v>USMCA</v>
      </c>
    </row>
    <row r="2186" spans="1:9" x14ac:dyDescent="0.4">
      <c r="A2186" t="s">
        <v>61</v>
      </c>
      <c r="B2186" s="1">
        <v>45839</v>
      </c>
      <c r="C2186">
        <v>870895</v>
      </c>
      <c r="D2186" t="s">
        <v>176</v>
      </c>
      <c r="E2186">
        <v>1068390</v>
      </c>
      <c r="F2186">
        <v>994541</v>
      </c>
      <c r="G2186">
        <v>10522</v>
      </c>
      <c r="H2186">
        <f>_xlfn.XLOOKUP(FACT_IMPORTS[[#This Row],[hts_6]],DIM_PRODUCTS[hts_6],DIM_PRODUCTS[hts_4],,,)</f>
        <v>8708</v>
      </c>
      <c r="I2186" t="str" cm="1">
        <f t="array" ref="I2186">_xlfn.XLOOKUP(FACT_IMPORTS[[#This Row],[country_name]],DIM_COUNTRY[[#All],[Column2]],DIM_COUNTRY[[#All],[Column3]],,,)</f>
        <v>USMCA</v>
      </c>
    </row>
    <row r="2187" spans="1:9" x14ac:dyDescent="0.4">
      <c r="A2187" t="s">
        <v>61</v>
      </c>
      <c r="B2187" s="1">
        <v>45839</v>
      </c>
      <c r="C2187">
        <v>870899</v>
      </c>
      <c r="D2187" t="s">
        <v>176</v>
      </c>
      <c r="E2187">
        <v>167706776</v>
      </c>
      <c r="F2187">
        <v>13441883</v>
      </c>
      <c r="G2187">
        <v>3028641</v>
      </c>
      <c r="H2187">
        <f>_xlfn.XLOOKUP(FACT_IMPORTS[[#This Row],[hts_6]],DIM_PRODUCTS[hts_6],DIM_PRODUCTS[hts_4],,,)</f>
        <v>8708</v>
      </c>
      <c r="I2187" t="str" cm="1">
        <f t="array" ref="I2187">_xlfn.XLOOKUP(FACT_IMPORTS[[#This Row],[country_name]],DIM_COUNTRY[[#All],[Column2]],DIM_COUNTRY[[#All],[Column3]],,,)</f>
        <v>USMCA</v>
      </c>
    </row>
    <row r="2188" spans="1:9" x14ac:dyDescent="0.4">
      <c r="A2188" t="s">
        <v>61</v>
      </c>
      <c r="B2188" s="1">
        <v>45839</v>
      </c>
      <c r="C2188">
        <v>940120</v>
      </c>
      <c r="D2188" t="s">
        <v>176</v>
      </c>
      <c r="E2188">
        <v>498941</v>
      </c>
      <c r="F2188">
        <v>60097</v>
      </c>
      <c r="G2188">
        <v>7740</v>
      </c>
      <c r="H2188">
        <f>_xlfn.XLOOKUP(FACT_IMPORTS[[#This Row],[hts_6]],DIM_PRODUCTS[hts_6],DIM_PRODUCTS[hts_4],,,)</f>
        <v>9401</v>
      </c>
      <c r="I2188" t="str" cm="1">
        <f t="array" ref="I2188">_xlfn.XLOOKUP(FACT_IMPORTS[[#This Row],[country_name]],DIM_COUNTRY[[#All],[Column2]],DIM_COUNTRY[[#All],[Column3]],,,)</f>
        <v>USMCA</v>
      </c>
    </row>
    <row r="2189" spans="1:9" x14ac:dyDescent="0.4">
      <c r="A2189" t="s">
        <v>61</v>
      </c>
      <c r="B2189" s="1">
        <v>45870</v>
      </c>
      <c r="C2189">
        <v>392630</v>
      </c>
      <c r="D2189" t="s">
        <v>176</v>
      </c>
      <c r="E2189">
        <v>3518878</v>
      </c>
      <c r="F2189">
        <v>653412</v>
      </c>
      <c r="G2189">
        <v>364502</v>
      </c>
      <c r="H2189">
        <f>_xlfn.XLOOKUP(FACT_IMPORTS[[#This Row],[hts_6]],DIM_PRODUCTS[hts_6],DIM_PRODUCTS[hts_4],,,)</f>
        <v>3926</v>
      </c>
      <c r="I2189" t="str" cm="1">
        <f t="array" ref="I2189">_xlfn.XLOOKUP(FACT_IMPORTS[[#This Row],[country_name]],DIM_COUNTRY[[#All],[Column2]],DIM_COUNTRY[[#All],[Column3]],,,)</f>
        <v>USMCA</v>
      </c>
    </row>
    <row r="2190" spans="1:9" x14ac:dyDescent="0.4">
      <c r="A2190" t="s">
        <v>61</v>
      </c>
      <c r="B2190" s="1">
        <v>45870</v>
      </c>
      <c r="C2190">
        <v>401110</v>
      </c>
      <c r="D2190" t="s">
        <v>176</v>
      </c>
      <c r="E2190">
        <v>55288913</v>
      </c>
      <c r="F2190">
        <v>671699</v>
      </c>
      <c r="G2190">
        <v>272818</v>
      </c>
      <c r="H2190">
        <f>_xlfn.XLOOKUP(FACT_IMPORTS[[#This Row],[hts_6]],DIM_PRODUCTS[hts_6],DIM_PRODUCTS[hts_4],,,)</f>
        <v>4011</v>
      </c>
      <c r="I2190" t="str" cm="1">
        <f t="array" ref="I2190">_xlfn.XLOOKUP(FACT_IMPORTS[[#This Row],[country_name]],DIM_COUNTRY[[#All],[Column2]],DIM_COUNTRY[[#All],[Column3]],,,)</f>
        <v>USMCA</v>
      </c>
    </row>
    <row r="2191" spans="1:9" x14ac:dyDescent="0.4">
      <c r="A2191" t="s">
        <v>61</v>
      </c>
      <c r="B2191" s="1">
        <v>45870</v>
      </c>
      <c r="C2191">
        <v>401120</v>
      </c>
      <c r="D2191" t="s">
        <v>176</v>
      </c>
      <c r="E2191">
        <v>56053418</v>
      </c>
      <c r="F2191">
        <v>315807</v>
      </c>
      <c r="G2191">
        <v>334656</v>
      </c>
      <c r="H2191">
        <f>_xlfn.XLOOKUP(FACT_IMPORTS[[#This Row],[hts_6]],DIM_PRODUCTS[hts_6],DIM_PRODUCTS[hts_4],,,)</f>
        <v>4011</v>
      </c>
      <c r="I2191" t="str" cm="1">
        <f t="array" ref="I2191">_xlfn.XLOOKUP(FACT_IMPORTS[[#This Row],[country_name]],DIM_COUNTRY[[#All],[Column2]],DIM_COUNTRY[[#All],[Column3]],,,)</f>
        <v>USMCA</v>
      </c>
    </row>
    <row r="2192" spans="1:9" x14ac:dyDescent="0.4">
      <c r="A2192" t="s">
        <v>61</v>
      </c>
      <c r="B2192" s="1">
        <v>45870</v>
      </c>
      <c r="C2192">
        <v>401140</v>
      </c>
      <c r="D2192" t="s">
        <v>176</v>
      </c>
      <c r="E2192">
        <v>0</v>
      </c>
      <c r="F2192">
        <v>0</v>
      </c>
      <c r="G2192">
        <v>0</v>
      </c>
      <c r="H2192">
        <f>_xlfn.XLOOKUP(FACT_IMPORTS[[#This Row],[hts_6]],DIM_PRODUCTS[hts_6],DIM_PRODUCTS[hts_4],,,)</f>
        <v>4011</v>
      </c>
      <c r="I2192" t="str" cm="1">
        <f t="array" ref="I2192">_xlfn.XLOOKUP(FACT_IMPORTS[[#This Row],[country_name]],DIM_COUNTRY[[#All],[Column2]],DIM_COUNTRY[[#All],[Column3]],,,)</f>
        <v>USMCA</v>
      </c>
    </row>
    <row r="2193" spans="1:9" x14ac:dyDescent="0.4">
      <c r="A2193" t="s">
        <v>61</v>
      </c>
      <c r="B2193" s="1">
        <v>45870</v>
      </c>
      <c r="C2193">
        <v>401190</v>
      </c>
      <c r="D2193" t="s">
        <v>176</v>
      </c>
      <c r="E2193">
        <v>588454</v>
      </c>
      <c r="F2193">
        <v>495</v>
      </c>
      <c r="G2193">
        <v>308</v>
      </c>
      <c r="H2193">
        <f>_xlfn.XLOOKUP(FACT_IMPORTS[[#This Row],[hts_6]],DIM_PRODUCTS[hts_6],DIM_PRODUCTS[hts_4],,,)</f>
        <v>4011</v>
      </c>
      <c r="I2193" t="str" cm="1">
        <f t="array" ref="I2193">_xlfn.XLOOKUP(FACT_IMPORTS[[#This Row],[country_name]],DIM_COUNTRY[[#All],[Column2]],DIM_COUNTRY[[#All],[Column3]],,,)</f>
        <v>USMCA</v>
      </c>
    </row>
    <row r="2194" spans="1:9" x14ac:dyDescent="0.4">
      <c r="A2194" t="s">
        <v>61</v>
      </c>
      <c r="B2194" s="1">
        <v>45870</v>
      </c>
      <c r="C2194">
        <v>700711</v>
      </c>
      <c r="D2194" t="s">
        <v>176</v>
      </c>
      <c r="E2194">
        <v>459966</v>
      </c>
      <c r="F2194">
        <v>5211</v>
      </c>
      <c r="G2194">
        <v>17462</v>
      </c>
      <c r="H2194">
        <f>_xlfn.XLOOKUP(FACT_IMPORTS[[#This Row],[hts_6]],DIM_PRODUCTS[hts_6],DIM_PRODUCTS[hts_4],,,)</f>
        <v>7007</v>
      </c>
      <c r="I2194" t="str" cm="1">
        <f t="array" ref="I2194">_xlfn.XLOOKUP(FACT_IMPORTS[[#This Row],[country_name]],DIM_COUNTRY[[#All],[Column2]],DIM_COUNTRY[[#All],[Column3]],,,)</f>
        <v>USMCA</v>
      </c>
    </row>
    <row r="2195" spans="1:9" x14ac:dyDescent="0.4">
      <c r="A2195" t="s">
        <v>61</v>
      </c>
      <c r="B2195" s="1">
        <v>45870</v>
      </c>
      <c r="C2195">
        <v>700721</v>
      </c>
      <c r="D2195" t="s">
        <v>176</v>
      </c>
      <c r="E2195">
        <v>32370</v>
      </c>
      <c r="F2195">
        <v>32</v>
      </c>
      <c r="G2195">
        <v>4185</v>
      </c>
      <c r="H2195">
        <f>_xlfn.XLOOKUP(FACT_IMPORTS[[#This Row],[hts_6]],DIM_PRODUCTS[hts_6],DIM_PRODUCTS[hts_4],,,)</f>
        <v>7007</v>
      </c>
      <c r="I2195" t="str" cm="1">
        <f t="array" ref="I2195">_xlfn.XLOOKUP(FACT_IMPORTS[[#This Row],[country_name]],DIM_COUNTRY[[#All],[Column2]],DIM_COUNTRY[[#All],[Column3]],,,)</f>
        <v>USMCA</v>
      </c>
    </row>
    <row r="2196" spans="1:9" x14ac:dyDescent="0.4">
      <c r="A2196" t="s">
        <v>61</v>
      </c>
      <c r="B2196" s="1">
        <v>45870</v>
      </c>
      <c r="C2196">
        <v>700910</v>
      </c>
      <c r="D2196" t="s">
        <v>176</v>
      </c>
      <c r="E2196">
        <v>65460</v>
      </c>
      <c r="F2196">
        <v>2378</v>
      </c>
      <c r="G2196">
        <v>680</v>
      </c>
      <c r="H2196">
        <f>_xlfn.XLOOKUP(FACT_IMPORTS[[#This Row],[hts_6]],DIM_PRODUCTS[hts_6],DIM_PRODUCTS[hts_4],,,)</f>
        <v>7009</v>
      </c>
      <c r="I2196" t="str" cm="1">
        <f t="array" ref="I2196">_xlfn.XLOOKUP(FACT_IMPORTS[[#This Row],[country_name]],DIM_COUNTRY[[#All],[Column2]],DIM_COUNTRY[[#All],[Column3]],,,)</f>
        <v>USMCA</v>
      </c>
    </row>
    <row r="2197" spans="1:9" x14ac:dyDescent="0.4">
      <c r="A2197" t="s">
        <v>61</v>
      </c>
      <c r="B2197" s="1">
        <v>45870</v>
      </c>
      <c r="C2197">
        <v>732010</v>
      </c>
      <c r="D2197" t="s">
        <v>176</v>
      </c>
      <c r="E2197">
        <v>1779919</v>
      </c>
      <c r="F2197">
        <v>495199</v>
      </c>
      <c r="G2197">
        <v>22013</v>
      </c>
      <c r="H2197">
        <f>_xlfn.XLOOKUP(FACT_IMPORTS[[#This Row],[hts_6]],DIM_PRODUCTS[hts_6],DIM_PRODUCTS[hts_4],,,)</f>
        <v>7320</v>
      </c>
      <c r="I2197" t="str" cm="1">
        <f t="array" ref="I2197">_xlfn.XLOOKUP(FACT_IMPORTS[[#This Row],[country_name]],DIM_COUNTRY[[#All],[Column2]],DIM_COUNTRY[[#All],[Column3]],,,)</f>
        <v>USMCA</v>
      </c>
    </row>
    <row r="2198" spans="1:9" x14ac:dyDescent="0.4">
      <c r="A2198" t="s">
        <v>61</v>
      </c>
      <c r="B2198" s="1">
        <v>45870</v>
      </c>
      <c r="C2198">
        <v>830230</v>
      </c>
      <c r="D2198" t="s">
        <v>176</v>
      </c>
      <c r="E2198">
        <v>31157328</v>
      </c>
      <c r="F2198">
        <v>6878145</v>
      </c>
      <c r="G2198">
        <v>1381419</v>
      </c>
      <c r="H2198">
        <f>_xlfn.XLOOKUP(FACT_IMPORTS[[#This Row],[hts_6]],DIM_PRODUCTS[hts_6],DIM_PRODUCTS[hts_4],,,)</f>
        <v>8302</v>
      </c>
      <c r="I2198" t="str" cm="1">
        <f t="array" ref="I2198">_xlfn.XLOOKUP(FACT_IMPORTS[[#This Row],[country_name]],DIM_COUNTRY[[#All],[Column2]],DIM_COUNTRY[[#All],[Column3]],,,)</f>
        <v>USMCA</v>
      </c>
    </row>
    <row r="2199" spans="1:9" x14ac:dyDescent="0.4">
      <c r="A2199" t="s">
        <v>61</v>
      </c>
      <c r="B2199" s="1">
        <v>45870</v>
      </c>
      <c r="C2199">
        <v>840733</v>
      </c>
      <c r="D2199" t="s">
        <v>176</v>
      </c>
      <c r="E2199">
        <v>0</v>
      </c>
      <c r="F2199">
        <v>0</v>
      </c>
      <c r="G2199">
        <v>0</v>
      </c>
      <c r="H2199">
        <f>_xlfn.XLOOKUP(FACT_IMPORTS[[#This Row],[hts_6]],DIM_PRODUCTS[hts_6],DIM_PRODUCTS[hts_4],,,)</f>
        <v>8407</v>
      </c>
      <c r="I2199" t="str" cm="1">
        <f t="array" ref="I2199">_xlfn.XLOOKUP(FACT_IMPORTS[[#This Row],[country_name]],DIM_COUNTRY[[#All],[Column2]],DIM_COUNTRY[[#All],[Column3]],,,)</f>
        <v>USMCA</v>
      </c>
    </row>
    <row r="2200" spans="1:9" x14ac:dyDescent="0.4">
      <c r="A2200" t="s">
        <v>61</v>
      </c>
      <c r="B2200" s="1">
        <v>45870</v>
      </c>
      <c r="C2200">
        <v>840734</v>
      </c>
      <c r="D2200" t="s">
        <v>176</v>
      </c>
      <c r="E2200">
        <v>216036491</v>
      </c>
      <c r="F2200">
        <v>67758</v>
      </c>
      <c r="G2200">
        <v>475742</v>
      </c>
      <c r="H2200">
        <f>_xlfn.XLOOKUP(FACT_IMPORTS[[#This Row],[hts_6]],DIM_PRODUCTS[hts_6],DIM_PRODUCTS[hts_4],,,)</f>
        <v>8407</v>
      </c>
      <c r="I2200" t="str" cm="1">
        <f t="array" ref="I2200">_xlfn.XLOOKUP(FACT_IMPORTS[[#This Row],[country_name]],DIM_COUNTRY[[#All],[Column2]],DIM_COUNTRY[[#All],[Column3]],,,)</f>
        <v>USMCA</v>
      </c>
    </row>
    <row r="2201" spans="1:9" x14ac:dyDescent="0.4">
      <c r="A2201" t="s">
        <v>61</v>
      </c>
      <c r="B2201" s="1">
        <v>45870</v>
      </c>
      <c r="C2201">
        <v>840790</v>
      </c>
      <c r="D2201" t="s">
        <v>176</v>
      </c>
      <c r="E2201">
        <v>6492186</v>
      </c>
      <c r="F2201">
        <v>2595</v>
      </c>
      <c r="G2201">
        <v>1800</v>
      </c>
      <c r="H2201">
        <f>_xlfn.XLOOKUP(FACT_IMPORTS[[#This Row],[hts_6]],DIM_PRODUCTS[hts_6],DIM_PRODUCTS[hts_4],,,)</f>
        <v>8407</v>
      </c>
      <c r="I2201" t="str" cm="1">
        <f t="array" ref="I2201">_xlfn.XLOOKUP(FACT_IMPORTS[[#This Row],[country_name]],DIM_COUNTRY[[#All],[Column2]],DIM_COUNTRY[[#All],[Column3]],,,)</f>
        <v>USMCA</v>
      </c>
    </row>
    <row r="2202" spans="1:9" x14ac:dyDescent="0.4">
      <c r="A2202" t="s">
        <v>61</v>
      </c>
      <c r="B2202" s="1">
        <v>45870</v>
      </c>
      <c r="C2202">
        <v>840820</v>
      </c>
      <c r="D2202" t="s">
        <v>176</v>
      </c>
      <c r="E2202">
        <v>535623</v>
      </c>
      <c r="F2202">
        <v>60</v>
      </c>
      <c r="G2202">
        <v>1241</v>
      </c>
      <c r="H2202">
        <f>_xlfn.XLOOKUP(FACT_IMPORTS[[#This Row],[hts_6]],DIM_PRODUCTS[hts_6],DIM_PRODUCTS[hts_4],,,)</f>
        <v>8408</v>
      </c>
      <c r="I2202" t="str" cm="1">
        <f t="array" ref="I2202">_xlfn.XLOOKUP(FACT_IMPORTS[[#This Row],[country_name]],DIM_COUNTRY[[#All],[Column2]],DIM_COUNTRY[[#All],[Column3]],,,)</f>
        <v>USMCA</v>
      </c>
    </row>
    <row r="2203" spans="1:9" x14ac:dyDescent="0.4">
      <c r="A2203" t="s">
        <v>61</v>
      </c>
      <c r="B2203" s="1">
        <v>45870</v>
      </c>
      <c r="C2203">
        <v>840890</v>
      </c>
      <c r="D2203" t="s">
        <v>176</v>
      </c>
      <c r="E2203">
        <v>639116</v>
      </c>
      <c r="F2203">
        <v>42</v>
      </c>
      <c r="G2203">
        <v>1581</v>
      </c>
      <c r="H2203">
        <f>_xlfn.XLOOKUP(FACT_IMPORTS[[#This Row],[hts_6]],DIM_PRODUCTS[hts_6],DIM_PRODUCTS[hts_4],,,)</f>
        <v>8408</v>
      </c>
      <c r="I2203" t="str" cm="1">
        <f t="array" ref="I2203">_xlfn.XLOOKUP(FACT_IMPORTS[[#This Row],[country_name]],DIM_COUNTRY[[#All],[Column2]],DIM_COUNTRY[[#All],[Column3]],,,)</f>
        <v>USMCA</v>
      </c>
    </row>
    <row r="2204" spans="1:9" x14ac:dyDescent="0.4">
      <c r="A2204" t="s">
        <v>61</v>
      </c>
      <c r="B2204" s="1">
        <v>45870</v>
      </c>
      <c r="C2204">
        <v>840991</v>
      </c>
      <c r="D2204" t="s">
        <v>176</v>
      </c>
      <c r="E2204">
        <v>41683942</v>
      </c>
      <c r="F2204">
        <v>3553645</v>
      </c>
      <c r="G2204">
        <v>259911</v>
      </c>
      <c r="H2204">
        <f>_xlfn.XLOOKUP(FACT_IMPORTS[[#This Row],[hts_6]],DIM_PRODUCTS[hts_6],DIM_PRODUCTS[hts_4],,,)</f>
        <v>8409</v>
      </c>
      <c r="I2204" t="str" cm="1">
        <f t="array" ref="I2204">_xlfn.XLOOKUP(FACT_IMPORTS[[#This Row],[country_name]],DIM_COUNTRY[[#All],[Column2]],DIM_COUNTRY[[#All],[Column3]],,,)</f>
        <v>USMCA</v>
      </c>
    </row>
    <row r="2205" spans="1:9" x14ac:dyDescent="0.4">
      <c r="A2205" t="s">
        <v>61</v>
      </c>
      <c r="B2205" s="1">
        <v>45870</v>
      </c>
      <c r="C2205">
        <v>840999</v>
      </c>
      <c r="D2205" t="s">
        <v>176</v>
      </c>
      <c r="E2205">
        <v>11081238</v>
      </c>
      <c r="F2205">
        <v>823305</v>
      </c>
      <c r="G2205">
        <v>105800</v>
      </c>
      <c r="H2205">
        <f>_xlfn.XLOOKUP(FACT_IMPORTS[[#This Row],[hts_6]],DIM_PRODUCTS[hts_6],DIM_PRODUCTS[hts_4],,,)</f>
        <v>8409</v>
      </c>
      <c r="I2205" t="str" cm="1">
        <f t="array" ref="I2205">_xlfn.XLOOKUP(FACT_IMPORTS[[#This Row],[country_name]],DIM_COUNTRY[[#All],[Column2]],DIM_COUNTRY[[#All],[Column3]],,,)</f>
        <v>USMCA</v>
      </c>
    </row>
    <row r="2206" spans="1:9" x14ac:dyDescent="0.4">
      <c r="A2206" t="s">
        <v>61</v>
      </c>
      <c r="B2206" s="1">
        <v>45870</v>
      </c>
      <c r="C2206">
        <v>841330</v>
      </c>
      <c r="D2206" t="s">
        <v>176</v>
      </c>
      <c r="E2206">
        <v>11721526</v>
      </c>
      <c r="F2206">
        <v>193605</v>
      </c>
      <c r="G2206">
        <v>66537</v>
      </c>
      <c r="H2206">
        <f>_xlfn.XLOOKUP(FACT_IMPORTS[[#This Row],[hts_6]],DIM_PRODUCTS[hts_6],DIM_PRODUCTS[hts_4],,,)</f>
        <v>8413</v>
      </c>
      <c r="I2206" t="str" cm="1">
        <f t="array" ref="I2206">_xlfn.XLOOKUP(FACT_IMPORTS[[#This Row],[country_name]],DIM_COUNTRY[[#All],[Column2]],DIM_COUNTRY[[#All],[Column3]],,,)</f>
        <v>USMCA</v>
      </c>
    </row>
    <row r="2207" spans="1:9" x14ac:dyDescent="0.4">
      <c r="A2207" t="s">
        <v>61</v>
      </c>
      <c r="B2207" s="1">
        <v>45870</v>
      </c>
      <c r="C2207">
        <v>841520</v>
      </c>
      <c r="D2207" t="s">
        <v>176</v>
      </c>
      <c r="E2207">
        <v>3851151</v>
      </c>
      <c r="F2207">
        <v>22639</v>
      </c>
      <c r="G2207">
        <v>115061</v>
      </c>
      <c r="H2207">
        <f>_xlfn.XLOOKUP(FACT_IMPORTS[[#This Row],[hts_6]],DIM_PRODUCTS[hts_6],DIM_PRODUCTS[hts_4],,,)</f>
        <v>8415</v>
      </c>
      <c r="I2207" t="str" cm="1">
        <f t="array" ref="I2207">_xlfn.XLOOKUP(FACT_IMPORTS[[#This Row],[country_name]],DIM_COUNTRY[[#All],[Column2]],DIM_COUNTRY[[#All],[Column3]],,,)</f>
        <v>USMCA</v>
      </c>
    </row>
    <row r="2208" spans="1:9" x14ac:dyDescent="0.4">
      <c r="A2208" t="s">
        <v>61</v>
      </c>
      <c r="B2208" s="1">
        <v>45870</v>
      </c>
      <c r="C2208">
        <v>842132</v>
      </c>
      <c r="D2208" t="s">
        <v>176</v>
      </c>
      <c r="E2208">
        <v>23270264</v>
      </c>
      <c r="F2208">
        <v>83477</v>
      </c>
      <c r="G2208">
        <v>76273</v>
      </c>
      <c r="H2208">
        <f>_xlfn.XLOOKUP(FACT_IMPORTS[[#This Row],[hts_6]],DIM_PRODUCTS[hts_6],DIM_PRODUCTS[hts_4],,,)</f>
        <v>8421</v>
      </c>
      <c r="I2208" t="str" cm="1">
        <f t="array" ref="I2208">_xlfn.XLOOKUP(FACT_IMPORTS[[#This Row],[country_name]],DIM_COUNTRY[[#All],[Column2]],DIM_COUNTRY[[#All],[Column3]],,,)</f>
        <v>USMCA</v>
      </c>
    </row>
    <row r="2209" spans="1:9" x14ac:dyDescent="0.4">
      <c r="A2209" t="s">
        <v>61</v>
      </c>
      <c r="B2209" s="1">
        <v>45870</v>
      </c>
      <c r="C2209">
        <v>848210</v>
      </c>
      <c r="D2209" t="s">
        <v>176</v>
      </c>
      <c r="E2209">
        <v>3940945</v>
      </c>
      <c r="F2209">
        <v>429828</v>
      </c>
      <c r="G2209">
        <v>43830</v>
      </c>
      <c r="H2209">
        <f>_xlfn.XLOOKUP(FACT_IMPORTS[[#This Row],[hts_6]],DIM_PRODUCTS[hts_6],DIM_PRODUCTS[hts_4],,,)</f>
        <v>8482</v>
      </c>
      <c r="I2209" t="str" cm="1">
        <f t="array" ref="I2209">_xlfn.XLOOKUP(FACT_IMPORTS[[#This Row],[country_name]],DIM_COUNTRY[[#All],[Column2]],DIM_COUNTRY[[#All],[Column3]],,,)</f>
        <v>USMCA</v>
      </c>
    </row>
    <row r="2210" spans="1:9" x14ac:dyDescent="0.4">
      <c r="A2210" t="s">
        <v>61</v>
      </c>
      <c r="B2210" s="1">
        <v>45870</v>
      </c>
      <c r="C2210">
        <v>848220</v>
      </c>
      <c r="D2210" t="s">
        <v>176</v>
      </c>
      <c r="E2210">
        <v>76663</v>
      </c>
      <c r="F2210">
        <v>1310</v>
      </c>
      <c r="G2210">
        <v>1755</v>
      </c>
      <c r="H2210">
        <f>_xlfn.XLOOKUP(FACT_IMPORTS[[#This Row],[hts_6]],DIM_PRODUCTS[hts_6],DIM_PRODUCTS[hts_4],,,)</f>
        <v>8482</v>
      </c>
      <c r="I2210" t="str" cm="1">
        <f t="array" ref="I2210">_xlfn.XLOOKUP(FACT_IMPORTS[[#This Row],[country_name]],DIM_COUNTRY[[#All],[Column2]],DIM_COUNTRY[[#All],[Column3]],,,)</f>
        <v>USMCA</v>
      </c>
    </row>
    <row r="2211" spans="1:9" x14ac:dyDescent="0.4">
      <c r="A2211" t="s">
        <v>61</v>
      </c>
      <c r="B2211" s="1">
        <v>45870</v>
      </c>
      <c r="C2211">
        <v>848310</v>
      </c>
      <c r="D2211" t="s">
        <v>176</v>
      </c>
      <c r="E2211">
        <v>17605529</v>
      </c>
      <c r="F2211">
        <v>538722</v>
      </c>
      <c r="G2211">
        <v>109888</v>
      </c>
      <c r="H2211">
        <f>_xlfn.XLOOKUP(FACT_IMPORTS[[#This Row],[hts_6]],DIM_PRODUCTS[hts_6],DIM_PRODUCTS[hts_4],,,)</f>
        <v>8483</v>
      </c>
      <c r="I2211" t="str" cm="1">
        <f t="array" ref="I2211">_xlfn.XLOOKUP(FACT_IMPORTS[[#This Row],[country_name]],DIM_COUNTRY[[#All],[Column2]],DIM_COUNTRY[[#All],[Column3]],,,)</f>
        <v>USMCA</v>
      </c>
    </row>
    <row r="2212" spans="1:9" x14ac:dyDescent="0.4">
      <c r="A2212" t="s">
        <v>61</v>
      </c>
      <c r="B2212" s="1">
        <v>45870</v>
      </c>
      <c r="C2212">
        <v>850131</v>
      </c>
      <c r="D2212" t="s">
        <v>176</v>
      </c>
      <c r="E2212">
        <v>1758154</v>
      </c>
      <c r="F2212">
        <v>93205</v>
      </c>
      <c r="G2212">
        <v>35539</v>
      </c>
      <c r="H2212">
        <f>_xlfn.XLOOKUP(FACT_IMPORTS[[#This Row],[hts_6]],DIM_PRODUCTS[hts_6],DIM_PRODUCTS[hts_4],,,)</f>
        <v>8501</v>
      </c>
      <c r="I2212" t="str" cm="1">
        <f t="array" ref="I2212">_xlfn.XLOOKUP(FACT_IMPORTS[[#This Row],[country_name]],DIM_COUNTRY[[#All],[Column2]],DIM_COUNTRY[[#All],[Column3]],,,)</f>
        <v>USMCA</v>
      </c>
    </row>
    <row r="2213" spans="1:9" x14ac:dyDescent="0.4">
      <c r="A2213" t="s">
        <v>61</v>
      </c>
      <c r="B2213" s="1">
        <v>45870</v>
      </c>
      <c r="C2213">
        <v>850132</v>
      </c>
      <c r="D2213" t="s">
        <v>176</v>
      </c>
      <c r="E2213">
        <v>397161</v>
      </c>
      <c r="F2213">
        <v>348</v>
      </c>
      <c r="G2213">
        <v>2499</v>
      </c>
      <c r="H2213">
        <f>_xlfn.XLOOKUP(FACT_IMPORTS[[#This Row],[hts_6]],DIM_PRODUCTS[hts_6],DIM_PRODUCTS[hts_4],,,)</f>
        <v>8501</v>
      </c>
      <c r="I2213" t="str" cm="1">
        <f t="array" ref="I2213">_xlfn.XLOOKUP(FACT_IMPORTS[[#This Row],[country_name]],DIM_COUNTRY[[#All],[Column2]],DIM_COUNTRY[[#All],[Column3]],,,)</f>
        <v>USMCA</v>
      </c>
    </row>
    <row r="2214" spans="1:9" x14ac:dyDescent="0.4">
      <c r="A2214" t="s">
        <v>61</v>
      </c>
      <c r="B2214" s="1">
        <v>45870</v>
      </c>
      <c r="C2214">
        <v>850133</v>
      </c>
      <c r="D2214" t="s">
        <v>176</v>
      </c>
      <c r="E2214">
        <v>0</v>
      </c>
      <c r="F2214">
        <v>0</v>
      </c>
      <c r="G2214">
        <v>0</v>
      </c>
      <c r="H2214">
        <f>_xlfn.XLOOKUP(FACT_IMPORTS[[#This Row],[hts_6]],DIM_PRODUCTS[hts_6],DIM_PRODUCTS[hts_4],,,)</f>
        <v>8501</v>
      </c>
      <c r="I2214" t="str" cm="1">
        <f t="array" ref="I2214">_xlfn.XLOOKUP(FACT_IMPORTS[[#This Row],[country_name]],DIM_COUNTRY[[#All],[Column2]],DIM_COUNTRY[[#All],[Column3]],,,)</f>
        <v>USMCA</v>
      </c>
    </row>
    <row r="2215" spans="1:9" x14ac:dyDescent="0.4">
      <c r="A2215" t="s">
        <v>61</v>
      </c>
      <c r="B2215" s="1">
        <v>45870</v>
      </c>
      <c r="C2215">
        <v>850134</v>
      </c>
      <c r="D2215" t="s">
        <v>176</v>
      </c>
      <c r="E2215">
        <v>0</v>
      </c>
      <c r="F2215">
        <v>0</v>
      </c>
      <c r="G2215">
        <v>0</v>
      </c>
      <c r="H2215">
        <f>_xlfn.XLOOKUP(FACT_IMPORTS[[#This Row],[hts_6]],DIM_PRODUCTS[hts_6],DIM_PRODUCTS[hts_4],,,)</f>
        <v>8501</v>
      </c>
      <c r="I2215" t="str" cm="1">
        <f t="array" ref="I2215">_xlfn.XLOOKUP(FACT_IMPORTS[[#This Row],[country_name]],DIM_COUNTRY[[#All],[Column2]],DIM_COUNTRY[[#All],[Column3]],,,)</f>
        <v>USMCA</v>
      </c>
    </row>
    <row r="2216" spans="1:9" x14ac:dyDescent="0.4">
      <c r="A2216" t="s">
        <v>61</v>
      </c>
      <c r="B2216" s="1">
        <v>45870</v>
      </c>
      <c r="C2216">
        <v>850152</v>
      </c>
      <c r="D2216" t="s">
        <v>176</v>
      </c>
      <c r="E2216">
        <v>440088</v>
      </c>
      <c r="F2216">
        <v>348</v>
      </c>
      <c r="G2216">
        <v>9791</v>
      </c>
      <c r="H2216">
        <f>_xlfn.XLOOKUP(FACT_IMPORTS[[#This Row],[hts_6]],DIM_PRODUCTS[hts_6],DIM_PRODUCTS[hts_4],,,)</f>
        <v>8501</v>
      </c>
      <c r="I2216" t="str" cm="1">
        <f t="array" ref="I2216">_xlfn.XLOOKUP(FACT_IMPORTS[[#This Row],[country_name]],DIM_COUNTRY[[#All],[Column2]],DIM_COUNTRY[[#All],[Column3]],,,)</f>
        <v>USMCA</v>
      </c>
    </row>
    <row r="2217" spans="1:9" x14ac:dyDescent="0.4">
      <c r="A2217" t="s">
        <v>61</v>
      </c>
      <c r="B2217" s="1">
        <v>45870</v>
      </c>
      <c r="C2217">
        <v>850153</v>
      </c>
      <c r="D2217" t="s">
        <v>176</v>
      </c>
      <c r="E2217">
        <v>914284</v>
      </c>
      <c r="F2217">
        <v>51</v>
      </c>
      <c r="G2217">
        <v>6729</v>
      </c>
      <c r="H2217">
        <f>_xlfn.XLOOKUP(FACT_IMPORTS[[#This Row],[hts_6]],DIM_PRODUCTS[hts_6],DIM_PRODUCTS[hts_4],,,)</f>
        <v>8501</v>
      </c>
      <c r="I2217" t="str" cm="1">
        <f t="array" ref="I2217">_xlfn.XLOOKUP(FACT_IMPORTS[[#This Row],[country_name]],DIM_COUNTRY[[#All],[Column2]],DIM_COUNTRY[[#All],[Column3]],,,)</f>
        <v>USMCA</v>
      </c>
    </row>
    <row r="2218" spans="1:9" x14ac:dyDescent="0.4">
      <c r="A2218" t="s">
        <v>61</v>
      </c>
      <c r="B2218" s="1">
        <v>45870</v>
      </c>
      <c r="C2218">
        <v>850161</v>
      </c>
      <c r="D2218" t="s">
        <v>176</v>
      </c>
      <c r="E2218">
        <v>6691</v>
      </c>
      <c r="F2218">
        <v>1</v>
      </c>
      <c r="G2218">
        <v>1</v>
      </c>
      <c r="H2218">
        <f>_xlfn.XLOOKUP(FACT_IMPORTS[[#This Row],[hts_6]],DIM_PRODUCTS[hts_6],DIM_PRODUCTS[hts_4],,,)</f>
        <v>8501</v>
      </c>
      <c r="I2218" t="str" cm="1">
        <f t="array" ref="I2218">_xlfn.XLOOKUP(FACT_IMPORTS[[#This Row],[country_name]],DIM_COUNTRY[[#All],[Column2]],DIM_COUNTRY[[#All],[Column3]],,,)</f>
        <v>USMCA</v>
      </c>
    </row>
    <row r="2219" spans="1:9" x14ac:dyDescent="0.4">
      <c r="A2219" t="s">
        <v>61</v>
      </c>
      <c r="B2219" s="1">
        <v>45870</v>
      </c>
      <c r="C2219">
        <v>850440</v>
      </c>
      <c r="D2219" t="s">
        <v>176</v>
      </c>
      <c r="E2219">
        <v>5495300</v>
      </c>
      <c r="F2219">
        <v>3271</v>
      </c>
      <c r="G2219">
        <v>73625</v>
      </c>
      <c r="H2219">
        <f>_xlfn.XLOOKUP(FACT_IMPORTS[[#This Row],[hts_6]],DIM_PRODUCTS[hts_6],DIM_PRODUCTS[hts_4],,,)</f>
        <v>8504</v>
      </c>
      <c r="I2219" t="str" cm="1">
        <f t="array" ref="I2219">_xlfn.XLOOKUP(FACT_IMPORTS[[#This Row],[country_name]],DIM_COUNTRY[[#All],[Column2]],DIM_COUNTRY[[#All],[Column3]],,,)</f>
        <v>USMCA</v>
      </c>
    </row>
    <row r="2220" spans="1:9" x14ac:dyDescent="0.4">
      <c r="A2220" t="s">
        <v>61</v>
      </c>
      <c r="B2220" s="1">
        <v>45870</v>
      </c>
      <c r="C2220">
        <v>850710</v>
      </c>
      <c r="D2220" t="s">
        <v>176</v>
      </c>
      <c r="E2220">
        <v>985961</v>
      </c>
      <c r="F2220">
        <v>5121</v>
      </c>
      <c r="G2220">
        <v>28419</v>
      </c>
      <c r="H2220">
        <f>_xlfn.XLOOKUP(FACT_IMPORTS[[#This Row],[hts_6]],DIM_PRODUCTS[hts_6],DIM_PRODUCTS[hts_4],,,)</f>
        <v>8507</v>
      </c>
      <c r="I2220" t="str" cm="1">
        <f t="array" ref="I2220">_xlfn.XLOOKUP(FACT_IMPORTS[[#This Row],[country_name]],DIM_COUNTRY[[#All],[Column2]],DIM_COUNTRY[[#All],[Column3]],,,)</f>
        <v>USMCA</v>
      </c>
    </row>
    <row r="2221" spans="1:9" x14ac:dyDescent="0.4">
      <c r="A2221" t="s">
        <v>61</v>
      </c>
      <c r="B2221" s="1">
        <v>45870</v>
      </c>
      <c r="C2221">
        <v>850760</v>
      </c>
      <c r="D2221" t="s">
        <v>176</v>
      </c>
      <c r="E2221">
        <v>9821656</v>
      </c>
      <c r="F2221">
        <v>2730</v>
      </c>
      <c r="G2221">
        <v>100244</v>
      </c>
      <c r="H2221">
        <f>_xlfn.XLOOKUP(FACT_IMPORTS[[#This Row],[hts_6]],DIM_PRODUCTS[hts_6],DIM_PRODUCTS[hts_4],,,)</f>
        <v>8507</v>
      </c>
      <c r="I2221" t="str" cm="1">
        <f t="array" ref="I2221">_xlfn.XLOOKUP(FACT_IMPORTS[[#This Row],[country_name]],DIM_COUNTRY[[#All],[Column2]],DIM_COUNTRY[[#All],[Column3]],,,)</f>
        <v>USMCA</v>
      </c>
    </row>
    <row r="2222" spans="1:9" x14ac:dyDescent="0.4">
      <c r="A2222" t="s">
        <v>61</v>
      </c>
      <c r="B2222" s="1">
        <v>45870</v>
      </c>
      <c r="C2222">
        <v>850790</v>
      </c>
      <c r="D2222" t="s">
        <v>176</v>
      </c>
      <c r="E2222">
        <v>1283776</v>
      </c>
      <c r="F2222">
        <v>98704</v>
      </c>
      <c r="G2222">
        <v>9296</v>
      </c>
      <c r="H2222">
        <f>_xlfn.XLOOKUP(FACT_IMPORTS[[#This Row],[hts_6]],DIM_PRODUCTS[hts_6],DIM_PRODUCTS[hts_4],,,)</f>
        <v>8507</v>
      </c>
      <c r="I2222" t="str" cm="1">
        <f t="array" ref="I2222">_xlfn.XLOOKUP(FACT_IMPORTS[[#This Row],[country_name]],DIM_COUNTRY[[#All],[Column2]],DIM_COUNTRY[[#All],[Column3]],,,)</f>
        <v>USMCA</v>
      </c>
    </row>
    <row r="2223" spans="1:9" x14ac:dyDescent="0.4">
      <c r="A2223" t="s">
        <v>61</v>
      </c>
      <c r="B2223" s="1">
        <v>45870</v>
      </c>
      <c r="C2223">
        <v>851110</v>
      </c>
      <c r="D2223" t="s">
        <v>176</v>
      </c>
      <c r="E2223">
        <v>3312</v>
      </c>
      <c r="F2223">
        <v>1</v>
      </c>
      <c r="G2223">
        <v>1</v>
      </c>
      <c r="H2223">
        <f>_xlfn.XLOOKUP(FACT_IMPORTS[[#This Row],[hts_6]],DIM_PRODUCTS[hts_6],DIM_PRODUCTS[hts_4],,,)</f>
        <v>8511</v>
      </c>
      <c r="I2223" t="str" cm="1">
        <f t="array" ref="I2223">_xlfn.XLOOKUP(FACT_IMPORTS[[#This Row],[country_name]],DIM_COUNTRY[[#All],[Column2]],DIM_COUNTRY[[#All],[Column3]],,,)</f>
        <v>USMCA</v>
      </c>
    </row>
    <row r="2224" spans="1:9" x14ac:dyDescent="0.4">
      <c r="A2224" t="s">
        <v>61</v>
      </c>
      <c r="B2224" s="1">
        <v>45870</v>
      </c>
      <c r="C2224">
        <v>851130</v>
      </c>
      <c r="D2224" t="s">
        <v>176</v>
      </c>
      <c r="E2224">
        <v>5750</v>
      </c>
      <c r="F2224">
        <v>2</v>
      </c>
      <c r="G2224">
        <v>40</v>
      </c>
      <c r="H2224">
        <f>_xlfn.XLOOKUP(FACT_IMPORTS[[#This Row],[hts_6]],DIM_PRODUCTS[hts_6],DIM_PRODUCTS[hts_4],,,)</f>
        <v>8511</v>
      </c>
      <c r="I2224" t="str" cm="1">
        <f t="array" ref="I2224">_xlfn.XLOOKUP(FACT_IMPORTS[[#This Row],[country_name]],DIM_COUNTRY[[#All],[Column2]],DIM_COUNTRY[[#All],[Column3]],,,)</f>
        <v>USMCA</v>
      </c>
    </row>
    <row r="2225" spans="1:9" x14ac:dyDescent="0.4">
      <c r="A2225" t="s">
        <v>61</v>
      </c>
      <c r="B2225" s="1">
        <v>45870</v>
      </c>
      <c r="C2225">
        <v>851140</v>
      </c>
      <c r="D2225" t="s">
        <v>176</v>
      </c>
      <c r="E2225">
        <v>461520</v>
      </c>
      <c r="F2225">
        <v>9743</v>
      </c>
      <c r="G2225">
        <v>4021</v>
      </c>
      <c r="H2225">
        <f>_xlfn.XLOOKUP(FACT_IMPORTS[[#This Row],[hts_6]],DIM_PRODUCTS[hts_6],DIM_PRODUCTS[hts_4],,,)</f>
        <v>8511</v>
      </c>
      <c r="I2225" t="str" cm="1">
        <f t="array" ref="I2225">_xlfn.XLOOKUP(FACT_IMPORTS[[#This Row],[country_name]],DIM_COUNTRY[[#All],[Column2]],DIM_COUNTRY[[#All],[Column3]],,,)</f>
        <v>USMCA</v>
      </c>
    </row>
    <row r="2226" spans="1:9" x14ac:dyDescent="0.4">
      <c r="A2226" t="s">
        <v>61</v>
      </c>
      <c r="B2226" s="1">
        <v>45870</v>
      </c>
      <c r="C2226">
        <v>851150</v>
      </c>
      <c r="D2226" t="s">
        <v>176</v>
      </c>
      <c r="E2226">
        <v>541250</v>
      </c>
      <c r="F2226">
        <v>8807</v>
      </c>
      <c r="G2226">
        <v>5470</v>
      </c>
      <c r="H2226">
        <f>_xlfn.XLOOKUP(FACT_IMPORTS[[#This Row],[hts_6]],DIM_PRODUCTS[hts_6],DIM_PRODUCTS[hts_4],,,)</f>
        <v>8511</v>
      </c>
      <c r="I2226" t="str" cm="1">
        <f t="array" ref="I2226">_xlfn.XLOOKUP(FACT_IMPORTS[[#This Row],[country_name]],DIM_COUNTRY[[#All],[Column2]],DIM_COUNTRY[[#All],[Column3]],,,)</f>
        <v>USMCA</v>
      </c>
    </row>
    <row r="2227" spans="1:9" x14ac:dyDescent="0.4">
      <c r="A2227" t="s">
        <v>61</v>
      </c>
      <c r="B2227" s="1">
        <v>45870</v>
      </c>
      <c r="C2227">
        <v>851180</v>
      </c>
      <c r="D2227" t="s">
        <v>176</v>
      </c>
      <c r="E2227">
        <v>0</v>
      </c>
      <c r="F2227">
        <v>0</v>
      </c>
      <c r="G2227">
        <v>0</v>
      </c>
      <c r="H2227">
        <f>_xlfn.XLOOKUP(FACT_IMPORTS[[#This Row],[hts_6]],DIM_PRODUCTS[hts_6],DIM_PRODUCTS[hts_4],,,)</f>
        <v>8511</v>
      </c>
      <c r="I2227" t="str" cm="1">
        <f t="array" ref="I2227">_xlfn.XLOOKUP(FACT_IMPORTS[[#This Row],[country_name]],DIM_COUNTRY[[#All],[Column2]],DIM_COUNTRY[[#All],[Column3]],,,)</f>
        <v>USMCA</v>
      </c>
    </row>
    <row r="2228" spans="1:9" x14ac:dyDescent="0.4">
      <c r="A2228" t="s">
        <v>61</v>
      </c>
      <c r="B2228" s="1">
        <v>45870</v>
      </c>
      <c r="C2228">
        <v>851190</v>
      </c>
      <c r="D2228" t="s">
        <v>176</v>
      </c>
      <c r="E2228">
        <v>805205</v>
      </c>
      <c r="F2228">
        <v>5764</v>
      </c>
      <c r="G2228">
        <v>2913</v>
      </c>
      <c r="H2228">
        <f>_xlfn.XLOOKUP(FACT_IMPORTS[[#This Row],[hts_6]],DIM_PRODUCTS[hts_6],DIM_PRODUCTS[hts_4],,,)</f>
        <v>8511</v>
      </c>
      <c r="I2228" t="str" cm="1">
        <f t="array" ref="I2228">_xlfn.XLOOKUP(FACT_IMPORTS[[#This Row],[country_name]],DIM_COUNTRY[[#All],[Column2]],DIM_COUNTRY[[#All],[Column3]],,,)</f>
        <v>USMCA</v>
      </c>
    </row>
    <row r="2229" spans="1:9" x14ac:dyDescent="0.4">
      <c r="A2229" t="s">
        <v>61</v>
      </c>
      <c r="B2229" s="1">
        <v>45870</v>
      </c>
      <c r="C2229">
        <v>851220</v>
      </c>
      <c r="D2229" t="s">
        <v>176</v>
      </c>
      <c r="E2229">
        <v>18361029</v>
      </c>
      <c r="F2229">
        <v>288343</v>
      </c>
      <c r="G2229">
        <v>169868</v>
      </c>
      <c r="H2229">
        <f>_xlfn.XLOOKUP(FACT_IMPORTS[[#This Row],[hts_6]],DIM_PRODUCTS[hts_6],DIM_PRODUCTS[hts_4],,,)</f>
        <v>8512</v>
      </c>
      <c r="I2229" t="str" cm="1">
        <f t="array" ref="I2229">_xlfn.XLOOKUP(FACT_IMPORTS[[#This Row],[country_name]],DIM_COUNTRY[[#All],[Column2]],DIM_COUNTRY[[#All],[Column3]],,,)</f>
        <v>USMCA</v>
      </c>
    </row>
    <row r="2230" spans="1:9" x14ac:dyDescent="0.4">
      <c r="A2230" t="s">
        <v>61</v>
      </c>
      <c r="B2230" s="1">
        <v>45870</v>
      </c>
      <c r="C2230">
        <v>851230</v>
      </c>
      <c r="D2230" t="s">
        <v>176</v>
      </c>
      <c r="E2230">
        <v>142868</v>
      </c>
      <c r="F2230">
        <v>287</v>
      </c>
      <c r="G2230">
        <v>336</v>
      </c>
      <c r="H2230">
        <f>_xlfn.XLOOKUP(FACT_IMPORTS[[#This Row],[hts_6]],DIM_PRODUCTS[hts_6],DIM_PRODUCTS[hts_4],,,)</f>
        <v>8512</v>
      </c>
      <c r="I2230" t="str" cm="1">
        <f t="array" ref="I2230">_xlfn.XLOOKUP(FACT_IMPORTS[[#This Row],[country_name]],DIM_COUNTRY[[#All],[Column2]],DIM_COUNTRY[[#All],[Column3]],,,)</f>
        <v>USMCA</v>
      </c>
    </row>
    <row r="2231" spans="1:9" x14ac:dyDescent="0.4">
      <c r="A2231" t="s">
        <v>61</v>
      </c>
      <c r="B2231" s="1">
        <v>45870</v>
      </c>
      <c r="C2231">
        <v>851240</v>
      </c>
      <c r="D2231" t="s">
        <v>176</v>
      </c>
      <c r="E2231">
        <v>0</v>
      </c>
      <c r="F2231">
        <v>0</v>
      </c>
      <c r="G2231">
        <v>0</v>
      </c>
      <c r="H2231">
        <f>_xlfn.XLOOKUP(FACT_IMPORTS[[#This Row],[hts_6]],DIM_PRODUCTS[hts_6],DIM_PRODUCTS[hts_4],,,)</f>
        <v>8512</v>
      </c>
      <c r="I2231" t="str" cm="1">
        <f t="array" ref="I2231">_xlfn.XLOOKUP(FACT_IMPORTS[[#This Row],[country_name]],DIM_COUNTRY[[#All],[Column2]],DIM_COUNTRY[[#All],[Column3]],,,)</f>
        <v>USMCA</v>
      </c>
    </row>
    <row r="2232" spans="1:9" x14ac:dyDescent="0.4">
      <c r="A2232" t="s">
        <v>61</v>
      </c>
      <c r="B2232" s="1">
        <v>45870</v>
      </c>
      <c r="C2232">
        <v>851290</v>
      </c>
      <c r="D2232" t="s">
        <v>176</v>
      </c>
      <c r="E2232">
        <v>926683</v>
      </c>
      <c r="F2232">
        <v>16867</v>
      </c>
      <c r="G2232">
        <v>2883</v>
      </c>
      <c r="H2232">
        <f>_xlfn.XLOOKUP(FACT_IMPORTS[[#This Row],[hts_6]],DIM_PRODUCTS[hts_6],DIM_PRODUCTS[hts_4],,,)</f>
        <v>8512</v>
      </c>
      <c r="I2232" t="str" cm="1">
        <f t="array" ref="I2232">_xlfn.XLOOKUP(FACT_IMPORTS[[#This Row],[country_name]],DIM_COUNTRY[[#All],[Column2]],DIM_COUNTRY[[#All],[Column3]],,,)</f>
        <v>USMCA</v>
      </c>
    </row>
    <row r="2233" spans="1:9" x14ac:dyDescent="0.4">
      <c r="A2233" t="s">
        <v>61</v>
      </c>
      <c r="B2233" s="1">
        <v>45870</v>
      </c>
      <c r="C2233">
        <v>854231</v>
      </c>
      <c r="D2233" t="s">
        <v>176</v>
      </c>
      <c r="E2233">
        <v>115013</v>
      </c>
      <c r="F2233">
        <v>813</v>
      </c>
      <c r="G2233">
        <v>567</v>
      </c>
      <c r="H2233">
        <f>_xlfn.XLOOKUP(FACT_IMPORTS[[#This Row],[hts_6]],DIM_PRODUCTS[hts_6],DIM_PRODUCTS[hts_4],,,)</f>
        <v>8542</v>
      </c>
      <c r="I2233" t="str" cm="1">
        <f t="array" ref="I2233">_xlfn.XLOOKUP(FACT_IMPORTS[[#This Row],[country_name]],DIM_COUNTRY[[#All],[Column2]],DIM_COUNTRY[[#All],[Column3]],,,)</f>
        <v>USMCA</v>
      </c>
    </row>
    <row r="2234" spans="1:9" x14ac:dyDescent="0.4">
      <c r="A2234" t="s">
        <v>61</v>
      </c>
      <c r="B2234" s="1">
        <v>45870</v>
      </c>
      <c r="C2234">
        <v>854232</v>
      </c>
      <c r="D2234" t="s">
        <v>176</v>
      </c>
      <c r="E2234">
        <v>26500</v>
      </c>
      <c r="F2234">
        <v>8505</v>
      </c>
      <c r="G2234">
        <v>209</v>
      </c>
      <c r="H2234">
        <f>_xlfn.XLOOKUP(FACT_IMPORTS[[#This Row],[hts_6]],DIM_PRODUCTS[hts_6],DIM_PRODUCTS[hts_4],,,)</f>
        <v>8542</v>
      </c>
      <c r="I2234" t="str" cm="1">
        <f t="array" ref="I2234">_xlfn.XLOOKUP(FACT_IMPORTS[[#This Row],[country_name]],DIM_COUNTRY[[#All],[Column2]],DIM_COUNTRY[[#All],[Column3]],,,)</f>
        <v>USMCA</v>
      </c>
    </row>
    <row r="2235" spans="1:9" x14ac:dyDescent="0.4">
      <c r="A2235" t="s">
        <v>61</v>
      </c>
      <c r="B2235" s="1">
        <v>45870</v>
      </c>
      <c r="C2235">
        <v>854233</v>
      </c>
      <c r="D2235" t="s">
        <v>176</v>
      </c>
      <c r="E2235">
        <v>0</v>
      </c>
      <c r="F2235">
        <v>0</v>
      </c>
      <c r="G2235">
        <v>0</v>
      </c>
      <c r="H2235">
        <f>_xlfn.XLOOKUP(FACT_IMPORTS[[#This Row],[hts_6]],DIM_PRODUCTS[hts_6],DIM_PRODUCTS[hts_4],,,)</f>
        <v>8542</v>
      </c>
      <c r="I2235" t="str" cm="1">
        <f t="array" ref="I2235">_xlfn.XLOOKUP(FACT_IMPORTS[[#This Row],[country_name]],DIM_COUNTRY[[#All],[Column2]],DIM_COUNTRY[[#All],[Column3]],,,)</f>
        <v>USMCA</v>
      </c>
    </row>
    <row r="2236" spans="1:9" x14ac:dyDescent="0.4">
      <c r="A2236" t="s">
        <v>61</v>
      </c>
      <c r="B2236" s="1">
        <v>45870</v>
      </c>
      <c r="C2236">
        <v>854239</v>
      </c>
      <c r="D2236" t="s">
        <v>176</v>
      </c>
      <c r="E2236">
        <v>36912</v>
      </c>
      <c r="F2236">
        <v>147220</v>
      </c>
      <c r="G2236">
        <v>173</v>
      </c>
      <c r="H2236">
        <f>_xlfn.XLOOKUP(FACT_IMPORTS[[#This Row],[hts_6]],DIM_PRODUCTS[hts_6],DIM_PRODUCTS[hts_4],,,)</f>
        <v>8542</v>
      </c>
      <c r="I2236" t="str" cm="1">
        <f t="array" ref="I2236">_xlfn.XLOOKUP(FACT_IMPORTS[[#This Row],[country_name]],DIM_COUNTRY[[#All],[Column2]],DIM_COUNTRY[[#All],[Column3]],,,)</f>
        <v>USMCA</v>
      </c>
    </row>
    <row r="2237" spans="1:9" x14ac:dyDescent="0.4">
      <c r="A2237" t="s">
        <v>61</v>
      </c>
      <c r="B2237" s="1">
        <v>45870</v>
      </c>
      <c r="C2237">
        <v>854290</v>
      </c>
      <c r="D2237" t="s">
        <v>176</v>
      </c>
      <c r="E2237">
        <v>160639</v>
      </c>
      <c r="F2237">
        <v>41556</v>
      </c>
      <c r="G2237">
        <v>733</v>
      </c>
      <c r="H2237">
        <f>_xlfn.XLOOKUP(FACT_IMPORTS[[#This Row],[hts_6]],DIM_PRODUCTS[hts_6],DIM_PRODUCTS[hts_4],,,)</f>
        <v>8542</v>
      </c>
      <c r="I2237" t="str" cm="1">
        <f t="array" ref="I2237">_xlfn.XLOOKUP(FACT_IMPORTS[[#This Row],[country_name]],DIM_COUNTRY[[#All],[Column2]],DIM_COUNTRY[[#All],[Column3]],,,)</f>
        <v>USMCA</v>
      </c>
    </row>
    <row r="2238" spans="1:9" x14ac:dyDescent="0.4">
      <c r="A2238" t="s">
        <v>61</v>
      </c>
      <c r="B2238" s="1">
        <v>45870</v>
      </c>
      <c r="C2238">
        <v>854430</v>
      </c>
      <c r="D2238" t="s">
        <v>176</v>
      </c>
      <c r="E2238">
        <v>1551932</v>
      </c>
      <c r="F2238">
        <v>38225</v>
      </c>
      <c r="G2238">
        <v>7248</v>
      </c>
      <c r="H2238">
        <f>_xlfn.XLOOKUP(FACT_IMPORTS[[#This Row],[hts_6]],DIM_PRODUCTS[hts_6],DIM_PRODUCTS[hts_4],,,)</f>
        <v>8544</v>
      </c>
      <c r="I2238" t="str" cm="1">
        <f t="array" ref="I2238">_xlfn.XLOOKUP(FACT_IMPORTS[[#This Row],[country_name]],DIM_COUNTRY[[#All],[Column2]],DIM_COUNTRY[[#All],[Column3]],,,)</f>
        <v>USMCA</v>
      </c>
    </row>
    <row r="2239" spans="1:9" x14ac:dyDescent="0.4">
      <c r="A2239" t="s">
        <v>61</v>
      </c>
      <c r="B2239" s="1">
        <v>45870</v>
      </c>
      <c r="C2239">
        <v>870600</v>
      </c>
      <c r="D2239" t="s">
        <v>176</v>
      </c>
      <c r="E2239">
        <v>0</v>
      </c>
      <c r="F2239">
        <v>0</v>
      </c>
      <c r="G2239">
        <v>0</v>
      </c>
      <c r="H2239">
        <f>_xlfn.XLOOKUP(FACT_IMPORTS[[#This Row],[hts_6]],DIM_PRODUCTS[hts_6],DIM_PRODUCTS[hts_4],,,)</f>
        <v>8706</v>
      </c>
      <c r="I2239" t="str" cm="1">
        <f t="array" ref="I2239">_xlfn.XLOOKUP(FACT_IMPORTS[[#This Row],[country_name]],DIM_COUNTRY[[#All],[Column2]],DIM_COUNTRY[[#All],[Column3]],,,)</f>
        <v>USMCA</v>
      </c>
    </row>
    <row r="2240" spans="1:9" x14ac:dyDescent="0.4">
      <c r="A2240" t="s">
        <v>61</v>
      </c>
      <c r="B2240" s="1">
        <v>45870</v>
      </c>
      <c r="C2240">
        <v>870710</v>
      </c>
      <c r="D2240" t="s">
        <v>176</v>
      </c>
      <c r="E2240">
        <v>24000</v>
      </c>
      <c r="F2240">
        <v>12</v>
      </c>
      <c r="G2240">
        <v>1800</v>
      </c>
      <c r="H2240">
        <f>_xlfn.XLOOKUP(FACT_IMPORTS[[#This Row],[hts_6]],DIM_PRODUCTS[hts_6],DIM_PRODUCTS[hts_4],,,)</f>
        <v>8707</v>
      </c>
      <c r="I2240" t="str" cm="1">
        <f t="array" ref="I2240">_xlfn.XLOOKUP(FACT_IMPORTS[[#This Row],[country_name]],DIM_COUNTRY[[#All],[Column2]],DIM_COUNTRY[[#All],[Column3]],,,)</f>
        <v>USMCA</v>
      </c>
    </row>
    <row r="2241" spans="1:9" x14ac:dyDescent="0.4">
      <c r="A2241" t="s">
        <v>61</v>
      </c>
      <c r="B2241" s="1">
        <v>45870</v>
      </c>
      <c r="C2241">
        <v>870790</v>
      </c>
      <c r="D2241" t="s">
        <v>176</v>
      </c>
      <c r="E2241">
        <v>4008536</v>
      </c>
      <c r="F2241">
        <v>267</v>
      </c>
      <c r="G2241">
        <v>97226</v>
      </c>
      <c r="H2241">
        <f>_xlfn.XLOOKUP(FACT_IMPORTS[[#This Row],[hts_6]],DIM_PRODUCTS[hts_6],DIM_PRODUCTS[hts_4],,,)</f>
        <v>8707</v>
      </c>
      <c r="I2241" t="str" cm="1">
        <f t="array" ref="I2241">_xlfn.XLOOKUP(FACT_IMPORTS[[#This Row],[country_name]],DIM_COUNTRY[[#All],[Column2]],DIM_COUNTRY[[#All],[Column3]],,,)</f>
        <v>USMCA</v>
      </c>
    </row>
    <row r="2242" spans="1:9" x14ac:dyDescent="0.4">
      <c r="A2242" t="s">
        <v>61</v>
      </c>
      <c r="B2242" s="1">
        <v>45870</v>
      </c>
      <c r="C2242">
        <v>870810</v>
      </c>
      <c r="D2242" t="s">
        <v>176</v>
      </c>
      <c r="E2242">
        <v>21316060</v>
      </c>
      <c r="F2242">
        <v>1013550</v>
      </c>
      <c r="G2242">
        <v>610385</v>
      </c>
      <c r="H2242">
        <f>_xlfn.XLOOKUP(FACT_IMPORTS[[#This Row],[hts_6]],DIM_PRODUCTS[hts_6],DIM_PRODUCTS[hts_4],,,)</f>
        <v>8708</v>
      </c>
      <c r="I2242" t="str" cm="1">
        <f t="array" ref="I2242">_xlfn.XLOOKUP(FACT_IMPORTS[[#This Row],[country_name]],DIM_COUNTRY[[#All],[Column2]],DIM_COUNTRY[[#All],[Column3]],,,)</f>
        <v>USMCA</v>
      </c>
    </row>
    <row r="2243" spans="1:9" x14ac:dyDescent="0.4">
      <c r="A2243" t="s">
        <v>61</v>
      </c>
      <c r="B2243" s="1">
        <v>45870</v>
      </c>
      <c r="C2243">
        <v>870821</v>
      </c>
      <c r="D2243" t="s">
        <v>176</v>
      </c>
      <c r="E2243">
        <v>3834</v>
      </c>
      <c r="F2243">
        <v>23</v>
      </c>
      <c r="G2243">
        <v>5</v>
      </c>
      <c r="H2243">
        <f>_xlfn.XLOOKUP(FACT_IMPORTS[[#This Row],[hts_6]],DIM_PRODUCTS[hts_6],DIM_PRODUCTS[hts_4],,,)</f>
        <v>8708</v>
      </c>
      <c r="I2243" t="str" cm="1">
        <f t="array" ref="I2243">_xlfn.XLOOKUP(FACT_IMPORTS[[#This Row],[country_name]],DIM_COUNTRY[[#All],[Column2]],DIM_COUNTRY[[#All],[Column3]],,,)</f>
        <v>USMCA</v>
      </c>
    </row>
    <row r="2244" spans="1:9" x14ac:dyDescent="0.4">
      <c r="A2244" t="s">
        <v>61</v>
      </c>
      <c r="B2244" s="1">
        <v>45870</v>
      </c>
      <c r="C2244">
        <v>870822</v>
      </c>
      <c r="D2244" t="s">
        <v>176</v>
      </c>
      <c r="E2244">
        <v>5980097</v>
      </c>
      <c r="F2244">
        <v>99144</v>
      </c>
      <c r="G2244">
        <v>149068</v>
      </c>
      <c r="H2244">
        <f>_xlfn.XLOOKUP(FACT_IMPORTS[[#This Row],[hts_6]],DIM_PRODUCTS[hts_6],DIM_PRODUCTS[hts_4],,,)</f>
        <v>8708</v>
      </c>
      <c r="I2244" t="str" cm="1">
        <f t="array" ref="I2244">_xlfn.XLOOKUP(FACT_IMPORTS[[#This Row],[country_name]],DIM_COUNTRY[[#All],[Column2]],DIM_COUNTRY[[#All],[Column3]],,,)</f>
        <v>USMCA</v>
      </c>
    </row>
    <row r="2245" spans="1:9" x14ac:dyDescent="0.4">
      <c r="A2245" t="s">
        <v>61</v>
      </c>
      <c r="B2245" s="1">
        <v>45870</v>
      </c>
      <c r="C2245">
        <v>870829</v>
      </c>
      <c r="D2245" t="s">
        <v>176</v>
      </c>
      <c r="E2245">
        <v>392369155</v>
      </c>
      <c r="F2245">
        <v>53892299</v>
      </c>
      <c r="G2245">
        <v>15184948</v>
      </c>
      <c r="H2245">
        <f>_xlfn.XLOOKUP(FACT_IMPORTS[[#This Row],[hts_6]],DIM_PRODUCTS[hts_6],DIM_PRODUCTS[hts_4],,,)</f>
        <v>8708</v>
      </c>
      <c r="I2245" t="str" cm="1">
        <f t="array" ref="I2245">_xlfn.XLOOKUP(FACT_IMPORTS[[#This Row],[country_name]],DIM_COUNTRY[[#All],[Column2]],DIM_COUNTRY[[#All],[Column3]],,,)</f>
        <v>USMCA</v>
      </c>
    </row>
    <row r="2246" spans="1:9" x14ac:dyDescent="0.4">
      <c r="A2246" t="s">
        <v>61</v>
      </c>
      <c r="B2246" s="1">
        <v>45870</v>
      </c>
      <c r="C2246">
        <v>870830</v>
      </c>
      <c r="D2246" t="s">
        <v>176</v>
      </c>
      <c r="E2246">
        <v>10771930</v>
      </c>
      <c r="F2246">
        <v>2530963</v>
      </c>
      <c r="G2246">
        <v>252919</v>
      </c>
      <c r="H2246">
        <f>_xlfn.XLOOKUP(FACT_IMPORTS[[#This Row],[hts_6]],DIM_PRODUCTS[hts_6],DIM_PRODUCTS[hts_4],,,)</f>
        <v>8708</v>
      </c>
      <c r="I2246" t="str" cm="1">
        <f t="array" ref="I2246">_xlfn.XLOOKUP(FACT_IMPORTS[[#This Row],[country_name]],DIM_COUNTRY[[#All],[Column2]],DIM_COUNTRY[[#All],[Column3]],,,)</f>
        <v>USMCA</v>
      </c>
    </row>
    <row r="2247" spans="1:9" x14ac:dyDescent="0.4">
      <c r="A2247" t="s">
        <v>61</v>
      </c>
      <c r="B2247" s="1">
        <v>45870</v>
      </c>
      <c r="C2247">
        <v>870840</v>
      </c>
      <c r="D2247" t="s">
        <v>176</v>
      </c>
      <c r="E2247">
        <v>84114124</v>
      </c>
      <c r="F2247">
        <v>5434273</v>
      </c>
      <c r="G2247">
        <v>832687</v>
      </c>
      <c r="H2247">
        <f>_xlfn.XLOOKUP(FACT_IMPORTS[[#This Row],[hts_6]],DIM_PRODUCTS[hts_6],DIM_PRODUCTS[hts_4],,,)</f>
        <v>8708</v>
      </c>
      <c r="I2247" t="str" cm="1">
        <f t="array" ref="I2247">_xlfn.XLOOKUP(FACT_IMPORTS[[#This Row],[country_name]],DIM_COUNTRY[[#All],[Column2]],DIM_COUNTRY[[#All],[Column3]],,,)</f>
        <v>USMCA</v>
      </c>
    </row>
    <row r="2248" spans="1:9" x14ac:dyDescent="0.4">
      <c r="A2248" t="s">
        <v>61</v>
      </c>
      <c r="B2248" s="1">
        <v>45870</v>
      </c>
      <c r="C2248">
        <v>870850</v>
      </c>
      <c r="D2248" t="s">
        <v>176</v>
      </c>
      <c r="E2248">
        <v>30547745</v>
      </c>
      <c r="F2248">
        <v>2560125</v>
      </c>
      <c r="G2248">
        <v>241021</v>
      </c>
      <c r="H2248">
        <f>_xlfn.XLOOKUP(FACT_IMPORTS[[#This Row],[hts_6]],DIM_PRODUCTS[hts_6],DIM_PRODUCTS[hts_4],,,)</f>
        <v>8708</v>
      </c>
      <c r="I2248" t="str" cm="1">
        <f t="array" ref="I2248">_xlfn.XLOOKUP(FACT_IMPORTS[[#This Row],[country_name]],DIM_COUNTRY[[#All],[Column2]],DIM_COUNTRY[[#All],[Column3]],,,)</f>
        <v>USMCA</v>
      </c>
    </row>
    <row r="2249" spans="1:9" x14ac:dyDescent="0.4">
      <c r="A2249" t="s">
        <v>61</v>
      </c>
      <c r="B2249" s="1">
        <v>45870</v>
      </c>
      <c r="C2249">
        <v>870870</v>
      </c>
      <c r="D2249" t="s">
        <v>176</v>
      </c>
      <c r="E2249">
        <v>2721806</v>
      </c>
      <c r="F2249">
        <v>5746323</v>
      </c>
      <c r="G2249">
        <v>29521</v>
      </c>
      <c r="H2249">
        <f>_xlfn.XLOOKUP(FACT_IMPORTS[[#This Row],[hts_6]],DIM_PRODUCTS[hts_6],DIM_PRODUCTS[hts_4],,,)</f>
        <v>8708</v>
      </c>
      <c r="I2249" t="str" cm="1">
        <f t="array" ref="I2249">_xlfn.XLOOKUP(FACT_IMPORTS[[#This Row],[country_name]],DIM_COUNTRY[[#All],[Column2]],DIM_COUNTRY[[#All],[Column3]],,,)</f>
        <v>USMCA</v>
      </c>
    </row>
    <row r="2250" spans="1:9" x14ac:dyDescent="0.4">
      <c r="A2250" t="s">
        <v>61</v>
      </c>
      <c r="B2250" s="1">
        <v>45870</v>
      </c>
      <c r="C2250">
        <v>870880</v>
      </c>
      <c r="D2250" t="s">
        <v>176</v>
      </c>
      <c r="E2250">
        <v>67674553</v>
      </c>
      <c r="F2250">
        <v>2838714</v>
      </c>
      <c r="G2250">
        <v>1408107</v>
      </c>
      <c r="H2250">
        <f>_xlfn.XLOOKUP(FACT_IMPORTS[[#This Row],[hts_6]],DIM_PRODUCTS[hts_6],DIM_PRODUCTS[hts_4],,,)</f>
        <v>8708</v>
      </c>
      <c r="I2250" t="str" cm="1">
        <f t="array" ref="I2250">_xlfn.XLOOKUP(FACT_IMPORTS[[#This Row],[country_name]],DIM_COUNTRY[[#All],[Column2]],DIM_COUNTRY[[#All],[Column3]],,,)</f>
        <v>USMCA</v>
      </c>
    </row>
    <row r="2251" spans="1:9" x14ac:dyDescent="0.4">
      <c r="A2251" t="s">
        <v>61</v>
      </c>
      <c r="B2251" s="1">
        <v>45870</v>
      </c>
      <c r="C2251">
        <v>870891</v>
      </c>
      <c r="D2251" t="s">
        <v>176</v>
      </c>
      <c r="E2251">
        <v>21650688</v>
      </c>
      <c r="F2251">
        <v>675458</v>
      </c>
      <c r="G2251">
        <v>371485</v>
      </c>
      <c r="H2251">
        <f>_xlfn.XLOOKUP(FACT_IMPORTS[[#This Row],[hts_6]],DIM_PRODUCTS[hts_6],DIM_PRODUCTS[hts_4],,,)</f>
        <v>8708</v>
      </c>
      <c r="I2251" t="str" cm="1">
        <f t="array" ref="I2251">_xlfn.XLOOKUP(FACT_IMPORTS[[#This Row],[country_name]],DIM_COUNTRY[[#All],[Column2]],DIM_COUNTRY[[#All],[Column3]],,,)</f>
        <v>USMCA</v>
      </c>
    </row>
    <row r="2252" spans="1:9" x14ac:dyDescent="0.4">
      <c r="A2252" t="s">
        <v>61</v>
      </c>
      <c r="B2252" s="1">
        <v>45870</v>
      </c>
      <c r="C2252">
        <v>870892</v>
      </c>
      <c r="D2252" t="s">
        <v>176</v>
      </c>
      <c r="E2252">
        <v>18836584</v>
      </c>
      <c r="F2252">
        <v>1214911</v>
      </c>
      <c r="G2252">
        <v>441237</v>
      </c>
      <c r="H2252">
        <f>_xlfn.XLOOKUP(FACT_IMPORTS[[#This Row],[hts_6]],DIM_PRODUCTS[hts_6],DIM_PRODUCTS[hts_4],,,)</f>
        <v>8708</v>
      </c>
      <c r="I2252" t="str" cm="1">
        <f t="array" ref="I2252">_xlfn.XLOOKUP(FACT_IMPORTS[[#This Row],[country_name]],DIM_COUNTRY[[#All],[Column2]],DIM_COUNTRY[[#All],[Column3]],,,)</f>
        <v>USMCA</v>
      </c>
    </row>
    <row r="2253" spans="1:9" x14ac:dyDescent="0.4">
      <c r="A2253" t="s">
        <v>61</v>
      </c>
      <c r="B2253" s="1">
        <v>45870</v>
      </c>
      <c r="C2253">
        <v>870893</v>
      </c>
      <c r="D2253" t="s">
        <v>176</v>
      </c>
      <c r="E2253">
        <v>52026567</v>
      </c>
      <c r="F2253">
        <v>1423026</v>
      </c>
      <c r="G2253">
        <v>157182</v>
      </c>
      <c r="H2253">
        <f>_xlfn.XLOOKUP(FACT_IMPORTS[[#This Row],[hts_6]],DIM_PRODUCTS[hts_6],DIM_PRODUCTS[hts_4],,,)</f>
        <v>8708</v>
      </c>
      <c r="I2253" t="str" cm="1">
        <f t="array" ref="I2253">_xlfn.XLOOKUP(FACT_IMPORTS[[#This Row],[country_name]],DIM_COUNTRY[[#All],[Column2]],DIM_COUNTRY[[#All],[Column3]],,,)</f>
        <v>USMCA</v>
      </c>
    </row>
    <row r="2254" spans="1:9" x14ac:dyDescent="0.4">
      <c r="A2254" t="s">
        <v>61</v>
      </c>
      <c r="B2254" s="1">
        <v>45870</v>
      </c>
      <c r="C2254">
        <v>870894</v>
      </c>
      <c r="D2254" t="s">
        <v>176</v>
      </c>
      <c r="E2254">
        <v>7864144</v>
      </c>
      <c r="F2254">
        <v>2644940</v>
      </c>
      <c r="G2254">
        <v>138511</v>
      </c>
      <c r="H2254">
        <f>_xlfn.XLOOKUP(FACT_IMPORTS[[#This Row],[hts_6]],DIM_PRODUCTS[hts_6],DIM_PRODUCTS[hts_4],,,)</f>
        <v>8708</v>
      </c>
      <c r="I2254" t="str" cm="1">
        <f t="array" ref="I2254">_xlfn.XLOOKUP(FACT_IMPORTS[[#This Row],[country_name]],DIM_COUNTRY[[#All],[Column2]],DIM_COUNTRY[[#All],[Column3]],,,)</f>
        <v>USMCA</v>
      </c>
    </row>
    <row r="2255" spans="1:9" x14ac:dyDescent="0.4">
      <c r="A2255" t="s">
        <v>61</v>
      </c>
      <c r="B2255" s="1">
        <v>45870</v>
      </c>
      <c r="C2255">
        <v>870895</v>
      </c>
      <c r="D2255" t="s">
        <v>176</v>
      </c>
      <c r="E2255">
        <v>1641291</v>
      </c>
      <c r="F2255">
        <v>1180506</v>
      </c>
      <c r="G2255">
        <v>11701</v>
      </c>
      <c r="H2255">
        <f>_xlfn.XLOOKUP(FACT_IMPORTS[[#This Row],[hts_6]],DIM_PRODUCTS[hts_6],DIM_PRODUCTS[hts_4],,,)</f>
        <v>8708</v>
      </c>
      <c r="I2255" t="str" cm="1">
        <f t="array" ref="I2255">_xlfn.XLOOKUP(FACT_IMPORTS[[#This Row],[country_name]],DIM_COUNTRY[[#All],[Column2]],DIM_COUNTRY[[#All],[Column3]],,,)</f>
        <v>USMCA</v>
      </c>
    </row>
    <row r="2256" spans="1:9" x14ac:dyDescent="0.4">
      <c r="A2256" t="s">
        <v>61</v>
      </c>
      <c r="B2256" s="1">
        <v>45870</v>
      </c>
      <c r="C2256">
        <v>870899</v>
      </c>
      <c r="D2256" t="s">
        <v>176</v>
      </c>
      <c r="E2256">
        <v>178356254</v>
      </c>
      <c r="F2256">
        <v>14121422</v>
      </c>
      <c r="G2256">
        <v>3134190</v>
      </c>
      <c r="H2256">
        <f>_xlfn.XLOOKUP(FACT_IMPORTS[[#This Row],[hts_6]],DIM_PRODUCTS[hts_6],DIM_PRODUCTS[hts_4],,,)</f>
        <v>8708</v>
      </c>
      <c r="I2256" t="str" cm="1">
        <f t="array" ref="I2256">_xlfn.XLOOKUP(FACT_IMPORTS[[#This Row],[country_name]],DIM_COUNTRY[[#All],[Column2]],DIM_COUNTRY[[#All],[Column3]],,,)</f>
        <v>USMCA</v>
      </c>
    </row>
    <row r="2257" spans="1:9" x14ac:dyDescent="0.4">
      <c r="A2257" t="s">
        <v>61</v>
      </c>
      <c r="B2257" s="1">
        <v>45870</v>
      </c>
      <c r="C2257">
        <v>940120</v>
      </c>
      <c r="D2257" t="s">
        <v>176</v>
      </c>
      <c r="E2257">
        <v>448058</v>
      </c>
      <c r="F2257">
        <v>51996</v>
      </c>
      <c r="G2257">
        <v>4789</v>
      </c>
      <c r="H2257">
        <f>_xlfn.XLOOKUP(FACT_IMPORTS[[#This Row],[hts_6]],DIM_PRODUCTS[hts_6],DIM_PRODUCTS[hts_4],,,)</f>
        <v>9401</v>
      </c>
      <c r="I2257" t="str" cm="1">
        <f t="array" ref="I2257">_xlfn.XLOOKUP(FACT_IMPORTS[[#This Row],[country_name]],DIM_COUNTRY[[#All],[Column2]],DIM_COUNTRY[[#All],[Column3]],,,)</f>
        <v>USMCA</v>
      </c>
    </row>
    <row r="2258" spans="1:9" x14ac:dyDescent="0.4">
      <c r="A2258" t="s">
        <v>61</v>
      </c>
      <c r="B2258" s="1">
        <v>45901</v>
      </c>
      <c r="C2258">
        <v>392630</v>
      </c>
      <c r="D2258" t="s">
        <v>176</v>
      </c>
      <c r="E2258">
        <v>3680370</v>
      </c>
      <c r="F2258">
        <v>714607</v>
      </c>
      <c r="G2258">
        <v>346810</v>
      </c>
      <c r="H2258">
        <f>_xlfn.XLOOKUP(FACT_IMPORTS[[#This Row],[hts_6]],DIM_PRODUCTS[hts_6],DIM_PRODUCTS[hts_4],,,)</f>
        <v>3926</v>
      </c>
      <c r="I2258" t="str" cm="1">
        <f t="array" ref="I2258">_xlfn.XLOOKUP(FACT_IMPORTS[[#This Row],[country_name]],DIM_COUNTRY[[#All],[Column2]],DIM_COUNTRY[[#All],[Column3]],,,)</f>
        <v>USMCA</v>
      </c>
    </row>
    <row r="2259" spans="1:9" x14ac:dyDescent="0.4">
      <c r="A2259" t="s">
        <v>61</v>
      </c>
      <c r="B2259" s="1">
        <v>45901</v>
      </c>
      <c r="C2259">
        <v>401110</v>
      </c>
      <c r="D2259" t="s">
        <v>176</v>
      </c>
      <c r="E2259">
        <v>52936424</v>
      </c>
      <c r="F2259">
        <v>637159</v>
      </c>
      <c r="G2259">
        <v>284936</v>
      </c>
      <c r="H2259">
        <f>_xlfn.XLOOKUP(FACT_IMPORTS[[#This Row],[hts_6]],DIM_PRODUCTS[hts_6],DIM_PRODUCTS[hts_4],,,)</f>
        <v>4011</v>
      </c>
      <c r="I2259" t="str" cm="1">
        <f t="array" ref="I2259">_xlfn.XLOOKUP(FACT_IMPORTS[[#This Row],[country_name]],DIM_COUNTRY[[#All],[Column2]],DIM_COUNTRY[[#All],[Column3]],,,)</f>
        <v>USMCA</v>
      </c>
    </row>
    <row r="2260" spans="1:9" x14ac:dyDescent="0.4">
      <c r="A2260" t="s">
        <v>61</v>
      </c>
      <c r="B2260" s="1">
        <v>45901</v>
      </c>
      <c r="C2260">
        <v>401120</v>
      </c>
      <c r="D2260" t="s">
        <v>176</v>
      </c>
      <c r="E2260">
        <v>47270846</v>
      </c>
      <c r="F2260">
        <v>264084</v>
      </c>
      <c r="G2260">
        <v>316314</v>
      </c>
      <c r="H2260">
        <f>_xlfn.XLOOKUP(FACT_IMPORTS[[#This Row],[hts_6]],DIM_PRODUCTS[hts_6],DIM_PRODUCTS[hts_4],,,)</f>
        <v>4011</v>
      </c>
      <c r="I2260" t="str" cm="1">
        <f t="array" ref="I2260">_xlfn.XLOOKUP(FACT_IMPORTS[[#This Row],[country_name]],DIM_COUNTRY[[#All],[Column2]],DIM_COUNTRY[[#All],[Column3]],,,)</f>
        <v>USMCA</v>
      </c>
    </row>
    <row r="2261" spans="1:9" x14ac:dyDescent="0.4">
      <c r="A2261" t="s">
        <v>61</v>
      </c>
      <c r="B2261" s="1">
        <v>45901</v>
      </c>
      <c r="C2261">
        <v>401140</v>
      </c>
      <c r="D2261" t="s">
        <v>176</v>
      </c>
      <c r="E2261">
        <v>2574</v>
      </c>
      <c r="F2261">
        <v>40</v>
      </c>
      <c r="G2261">
        <v>9</v>
      </c>
      <c r="H2261">
        <f>_xlfn.XLOOKUP(FACT_IMPORTS[[#This Row],[hts_6]],DIM_PRODUCTS[hts_6],DIM_PRODUCTS[hts_4],,,)</f>
        <v>4011</v>
      </c>
      <c r="I2261" t="str" cm="1">
        <f t="array" ref="I2261">_xlfn.XLOOKUP(FACT_IMPORTS[[#This Row],[country_name]],DIM_COUNTRY[[#All],[Column2]],DIM_COUNTRY[[#All],[Column3]],,,)</f>
        <v>USMCA</v>
      </c>
    </row>
    <row r="2262" spans="1:9" x14ac:dyDescent="0.4">
      <c r="A2262" t="s">
        <v>61</v>
      </c>
      <c r="B2262" s="1">
        <v>45901</v>
      </c>
      <c r="C2262">
        <v>401190</v>
      </c>
      <c r="D2262" t="s">
        <v>176</v>
      </c>
      <c r="E2262">
        <v>413887</v>
      </c>
      <c r="F2262">
        <v>344</v>
      </c>
      <c r="G2262">
        <v>363</v>
      </c>
      <c r="H2262">
        <f>_xlfn.XLOOKUP(FACT_IMPORTS[[#This Row],[hts_6]],DIM_PRODUCTS[hts_6],DIM_PRODUCTS[hts_4],,,)</f>
        <v>4011</v>
      </c>
      <c r="I2262" t="str" cm="1">
        <f t="array" ref="I2262">_xlfn.XLOOKUP(FACT_IMPORTS[[#This Row],[country_name]],DIM_COUNTRY[[#All],[Column2]],DIM_COUNTRY[[#All],[Column3]],,,)</f>
        <v>USMCA</v>
      </c>
    </row>
    <row r="2263" spans="1:9" x14ac:dyDescent="0.4">
      <c r="A2263" t="s">
        <v>61</v>
      </c>
      <c r="B2263" s="1">
        <v>45901</v>
      </c>
      <c r="C2263">
        <v>700711</v>
      </c>
      <c r="D2263" t="s">
        <v>176</v>
      </c>
      <c r="E2263">
        <v>769716</v>
      </c>
      <c r="F2263">
        <v>6416</v>
      </c>
      <c r="G2263">
        <v>28996</v>
      </c>
      <c r="H2263">
        <f>_xlfn.XLOOKUP(FACT_IMPORTS[[#This Row],[hts_6]],DIM_PRODUCTS[hts_6],DIM_PRODUCTS[hts_4],,,)</f>
        <v>7007</v>
      </c>
      <c r="I2263" t="str" cm="1">
        <f t="array" ref="I2263">_xlfn.XLOOKUP(FACT_IMPORTS[[#This Row],[country_name]],DIM_COUNTRY[[#All],[Column2]],DIM_COUNTRY[[#All],[Column3]],,,)</f>
        <v>USMCA</v>
      </c>
    </row>
    <row r="2264" spans="1:9" x14ac:dyDescent="0.4">
      <c r="A2264" t="s">
        <v>61</v>
      </c>
      <c r="B2264" s="1">
        <v>45901</v>
      </c>
      <c r="C2264">
        <v>700721</v>
      </c>
      <c r="D2264" t="s">
        <v>176</v>
      </c>
      <c r="E2264">
        <v>77703</v>
      </c>
      <c r="F2264">
        <v>1399</v>
      </c>
      <c r="G2264">
        <v>6549</v>
      </c>
      <c r="H2264">
        <f>_xlfn.XLOOKUP(FACT_IMPORTS[[#This Row],[hts_6]],DIM_PRODUCTS[hts_6],DIM_PRODUCTS[hts_4],,,)</f>
        <v>7007</v>
      </c>
      <c r="I2264" t="str" cm="1">
        <f t="array" ref="I2264">_xlfn.XLOOKUP(FACT_IMPORTS[[#This Row],[country_name]],DIM_COUNTRY[[#All],[Column2]],DIM_COUNTRY[[#All],[Column3]],,,)</f>
        <v>USMCA</v>
      </c>
    </row>
    <row r="2265" spans="1:9" x14ac:dyDescent="0.4">
      <c r="A2265" t="s">
        <v>61</v>
      </c>
      <c r="B2265" s="1">
        <v>45901</v>
      </c>
      <c r="C2265">
        <v>700910</v>
      </c>
      <c r="D2265" t="s">
        <v>176</v>
      </c>
      <c r="E2265">
        <v>150912</v>
      </c>
      <c r="F2265">
        <v>2268</v>
      </c>
      <c r="G2265">
        <v>2246</v>
      </c>
      <c r="H2265">
        <f>_xlfn.XLOOKUP(FACT_IMPORTS[[#This Row],[hts_6]],DIM_PRODUCTS[hts_6],DIM_PRODUCTS[hts_4],,,)</f>
        <v>7009</v>
      </c>
      <c r="I2265" t="str" cm="1">
        <f t="array" ref="I2265">_xlfn.XLOOKUP(FACT_IMPORTS[[#This Row],[country_name]],DIM_COUNTRY[[#All],[Column2]],DIM_COUNTRY[[#All],[Column3]],,,)</f>
        <v>USMCA</v>
      </c>
    </row>
    <row r="2266" spans="1:9" x14ac:dyDescent="0.4">
      <c r="A2266" t="s">
        <v>61</v>
      </c>
      <c r="B2266" s="1">
        <v>45901</v>
      </c>
      <c r="C2266">
        <v>732010</v>
      </c>
      <c r="D2266" t="s">
        <v>176</v>
      </c>
      <c r="E2266">
        <v>2055587</v>
      </c>
      <c r="F2266">
        <v>516067</v>
      </c>
      <c r="G2266">
        <v>29155</v>
      </c>
      <c r="H2266">
        <f>_xlfn.XLOOKUP(FACT_IMPORTS[[#This Row],[hts_6]],DIM_PRODUCTS[hts_6],DIM_PRODUCTS[hts_4],,,)</f>
        <v>7320</v>
      </c>
      <c r="I2266" t="str" cm="1">
        <f t="array" ref="I2266">_xlfn.XLOOKUP(FACT_IMPORTS[[#This Row],[country_name]],DIM_COUNTRY[[#All],[Column2]],DIM_COUNTRY[[#All],[Column3]],,,)</f>
        <v>USMCA</v>
      </c>
    </row>
    <row r="2267" spans="1:9" x14ac:dyDescent="0.4">
      <c r="A2267" t="s">
        <v>61</v>
      </c>
      <c r="B2267" s="1">
        <v>45901</v>
      </c>
      <c r="C2267">
        <v>830230</v>
      </c>
      <c r="D2267" t="s">
        <v>176</v>
      </c>
      <c r="E2267">
        <v>32825457</v>
      </c>
      <c r="F2267">
        <v>6923049</v>
      </c>
      <c r="G2267">
        <v>1440263</v>
      </c>
      <c r="H2267">
        <f>_xlfn.XLOOKUP(FACT_IMPORTS[[#This Row],[hts_6]],DIM_PRODUCTS[hts_6],DIM_PRODUCTS[hts_4],,,)</f>
        <v>8302</v>
      </c>
      <c r="I2267" t="str" cm="1">
        <f t="array" ref="I2267">_xlfn.XLOOKUP(FACT_IMPORTS[[#This Row],[country_name]],DIM_COUNTRY[[#All],[Column2]],DIM_COUNTRY[[#All],[Column3]],,,)</f>
        <v>USMCA</v>
      </c>
    </row>
    <row r="2268" spans="1:9" x14ac:dyDescent="0.4">
      <c r="A2268" t="s">
        <v>61</v>
      </c>
      <c r="B2268" s="1">
        <v>45901</v>
      </c>
      <c r="C2268">
        <v>840733</v>
      </c>
      <c r="D2268" t="s">
        <v>176</v>
      </c>
      <c r="E2268">
        <v>5128</v>
      </c>
      <c r="F2268">
        <v>2</v>
      </c>
      <c r="G2268">
        <v>59</v>
      </c>
      <c r="H2268">
        <f>_xlfn.XLOOKUP(FACT_IMPORTS[[#This Row],[hts_6]],DIM_PRODUCTS[hts_6],DIM_PRODUCTS[hts_4],,,)</f>
        <v>8407</v>
      </c>
      <c r="I2268" t="str" cm="1">
        <f t="array" ref="I2268">_xlfn.XLOOKUP(FACT_IMPORTS[[#This Row],[country_name]],DIM_COUNTRY[[#All],[Column2]],DIM_COUNTRY[[#All],[Column3]],,,)</f>
        <v>USMCA</v>
      </c>
    </row>
    <row r="2269" spans="1:9" x14ac:dyDescent="0.4">
      <c r="A2269" t="s">
        <v>61</v>
      </c>
      <c r="B2269" s="1">
        <v>45901</v>
      </c>
      <c r="C2269">
        <v>840734</v>
      </c>
      <c r="D2269" t="s">
        <v>176</v>
      </c>
      <c r="E2269">
        <v>217091718</v>
      </c>
      <c r="F2269">
        <v>66036</v>
      </c>
      <c r="G2269">
        <v>447248</v>
      </c>
      <c r="H2269">
        <f>_xlfn.XLOOKUP(FACT_IMPORTS[[#This Row],[hts_6]],DIM_PRODUCTS[hts_6],DIM_PRODUCTS[hts_4],,,)</f>
        <v>8407</v>
      </c>
      <c r="I2269" t="str" cm="1">
        <f t="array" ref="I2269">_xlfn.XLOOKUP(FACT_IMPORTS[[#This Row],[country_name]],DIM_COUNTRY[[#All],[Column2]],DIM_COUNTRY[[#All],[Column3]],,,)</f>
        <v>USMCA</v>
      </c>
    </row>
    <row r="2270" spans="1:9" x14ac:dyDescent="0.4">
      <c r="A2270" t="s">
        <v>61</v>
      </c>
      <c r="B2270" s="1">
        <v>45901</v>
      </c>
      <c r="C2270">
        <v>840790</v>
      </c>
      <c r="D2270" t="s">
        <v>176</v>
      </c>
      <c r="E2270">
        <v>8119984</v>
      </c>
      <c r="F2270">
        <v>3247</v>
      </c>
      <c r="G2270">
        <v>3799</v>
      </c>
      <c r="H2270">
        <f>_xlfn.XLOOKUP(FACT_IMPORTS[[#This Row],[hts_6]],DIM_PRODUCTS[hts_6],DIM_PRODUCTS[hts_4],,,)</f>
        <v>8407</v>
      </c>
      <c r="I2270" t="str" cm="1">
        <f t="array" ref="I2270">_xlfn.XLOOKUP(FACT_IMPORTS[[#This Row],[country_name]],DIM_COUNTRY[[#All],[Column2]],DIM_COUNTRY[[#All],[Column3]],,,)</f>
        <v>USMCA</v>
      </c>
    </row>
    <row r="2271" spans="1:9" x14ac:dyDescent="0.4">
      <c r="A2271" t="s">
        <v>61</v>
      </c>
      <c r="B2271" s="1">
        <v>45901</v>
      </c>
      <c r="C2271">
        <v>840820</v>
      </c>
      <c r="D2271" t="s">
        <v>176</v>
      </c>
      <c r="E2271">
        <v>652310</v>
      </c>
      <c r="F2271">
        <v>238</v>
      </c>
      <c r="G2271">
        <v>1763</v>
      </c>
      <c r="H2271">
        <f>_xlfn.XLOOKUP(FACT_IMPORTS[[#This Row],[hts_6]],DIM_PRODUCTS[hts_6],DIM_PRODUCTS[hts_4],,,)</f>
        <v>8408</v>
      </c>
      <c r="I2271" t="str" cm="1">
        <f t="array" ref="I2271">_xlfn.XLOOKUP(FACT_IMPORTS[[#This Row],[country_name]],DIM_COUNTRY[[#All],[Column2]],DIM_COUNTRY[[#All],[Column3]],,,)</f>
        <v>USMCA</v>
      </c>
    </row>
    <row r="2272" spans="1:9" x14ac:dyDescent="0.4">
      <c r="A2272" t="s">
        <v>61</v>
      </c>
      <c r="B2272" s="1">
        <v>45901</v>
      </c>
      <c r="C2272">
        <v>840890</v>
      </c>
      <c r="D2272" t="s">
        <v>176</v>
      </c>
      <c r="E2272">
        <v>593681</v>
      </c>
      <c r="F2272">
        <v>40</v>
      </c>
      <c r="G2272">
        <v>1367</v>
      </c>
      <c r="H2272">
        <f>_xlfn.XLOOKUP(FACT_IMPORTS[[#This Row],[hts_6]],DIM_PRODUCTS[hts_6],DIM_PRODUCTS[hts_4],,,)</f>
        <v>8408</v>
      </c>
      <c r="I2272" t="str" cm="1">
        <f t="array" ref="I2272">_xlfn.XLOOKUP(FACT_IMPORTS[[#This Row],[country_name]],DIM_COUNTRY[[#All],[Column2]],DIM_COUNTRY[[#All],[Column3]],,,)</f>
        <v>USMCA</v>
      </c>
    </row>
    <row r="2273" spans="1:9" x14ac:dyDescent="0.4">
      <c r="A2273" t="s">
        <v>61</v>
      </c>
      <c r="B2273" s="1">
        <v>45901</v>
      </c>
      <c r="C2273">
        <v>840991</v>
      </c>
      <c r="D2273" t="s">
        <v>176</v>
      </c>
      <c r="E2273">
        <v>41231803</v>
      </c>
      <c r="F2273">
        <v>3302500</v>
      </c>
      <c r="G2273">
        <v>238627</v>
      </c>
      <c r="H2273">
        <f>_xlfn.XLOOKUP(FACT_IMPORTS[[#This Row],[hts_6]],DIM_PRODUCTS[hts_6],DIM_PRODUCTS[hts_4],,,)</f>
        <v>8409</v>
      </c>
      <c r="I2273" t="str" cm="1">
        <f t="array" ref="I2273">_xlfn.XLOOKUP(FACT_IMPORTS[[#This Row],[country_name]],DIM_COUNTRY[[#All],[Column2]],DIM_COUNTRY[[#All],[Column3]],,,)</f>
        <v>USMCA</v>
      </c>
    </row>
    <row r="2274" spans="1:9" x14ac:dyDescent="0.4">
      <c r="A2274" t="s">
        <v>61</v>
      </c>
      <c r="B2274" s="1">
        <v>45901</v>
      </c>
      <c r="C2274">
        <v>840999</v>
      </c>
      <c r="D2274" t="s">
        <v>176</v>
      </c>
      <c r="E2274">
        <v>11032190</v>
      </c>
      <c r="F2274">
        <v>812854</v>
      </c>
      <c r="G2274">
        <v>111863</v>
      </c>
      <c r="H2274">
        <f>_xlfn.XLOOKUP(FACT_IMPORTS[[#This Row],[hts_6]],DIM_PRODUCTS[hts_6],DIM_PRODUCTS[hts_4],,,)</f>
        <v>8409</v>
      </c>
      <c r="I2274" t="str" cm="1">
        <f t="array" ref="I2274">_xlfn.XLOOKUP(FACT_IMPORTS[[#This Row],[country_name]],DIM_COUNTRY[[#All],[Column2]],DIM_COUNTRY[[#All],[Column3]],,,)</f>
        <v>USMCA</v>
      </c>
    </row>
    <row r="2275" spans="1:9" x14ac:dyDescent="0.4">
      <c r="A2275" t="s">
        <v>61</v>
      </c>
      <c r="B2275" s="1">
        <v>45901</v>
      </c>
      <c r="C2275">
        <v>841330</v>
      </c>
      <c r="D2275" t="s">
        <v>176</v>
      </c>
      <c r="E2275">
        <v>11290729</v>
      </c>
      <c r="F2275">
        <v>173317</v>
      </c>
      <c r="G2275">
        <v>72132</v>
      </c>
      <c r="H2275">
        <f>_xlfn.XLOOKUP(FACT_IMPORTS[[#This Row],[hts_6]],DIM_PRODUCTS[hts_6],DIM_PRODUCTS[hts_4],,,)</f>
        <v>8413</v>
      </c>
      <c r="I2275" t="str" cm="1">
        <f t="array" ref="I2275">_xlfn.XLOOKUP(FACT_IMPORTS[[#This Row],[country_name]],DIM_COUNTRY[[#All],[Column2]],DIM_COUNTRY[[#All],[Column3]],,,)</f>
        <v>USMCA</v>
      </c>
    </row>
    <row r="2276" spans="1:9" x14ac:dyDescent="0.4">
      <c r="A2276" t="s">
        <v>61</v>
      </c>
      <c r="B2276" s="1">
        <v>45901</v>
      </c>
      <c r="C2276">
        <v>841520</v>
      </c>
      <c r="D2276" t="s">
        <v>176</v>
      </c>
      <c r="E2276">
        <v>4942283</v>
      </c>
      <c r="F2276">
        <v>26048</v>
      </c>
      <c r="G2276">
        <v>95786</v>
      </c>
      <c r="H2276">
        <f>_xlfn.XLOOKUP(FACT_IMPORTS[[#This Row],[hts_6]],DIM_PRODUCTS[hts_6],DIM_PRODUCTS[hts_4],,,)</f>
        <v>8415</v>
      </c>
      <c r="I2276" t="str" cm="1">
        <f t="array" ref="I2276">_xlfn.XLOOKUP(FACT_IMPORTS[[#This Row],[country_name]],DIM_COUNTRY[[#All],[Column2]],DIM_COUNTRY[[#All],[Column3]],,,)</f>
        <v>USMCA</v>
      </c>
    </row>
    <row r="2277" spans="1:9" x14ac:dyDescent="0.4">
      <c r="A2277" t="s">
        <v>61</v>
      </c>
      <c r="B2277" s="1">
        <v>45901</v>
      </c>
      <c r="C2277">
        <v>842132</v>
      </c>
      <c r="D2277" t="s">
        <v>176</v>
      </c>
      <c r="E2277">
        <v>23740660</v>
      </c>
      <c r="F2277">
        <v>70043</v>
      </c>
      <c r="G2277">
        <v>83762</v>
      </c>
      <c r="H2277">
        <f>_xlfn.XLOOKUP(FACT_IMPORTS[[#This Row],[hts_6]],DIM_PRODUCTS[hts_6],DIM_PRODUCTS[hts_4],,,)</f>
        <v>8421</v>
      </c>
      <c r="I2277" t="str" cm="1">
        <f t="array" ref="I2277">_xlfn.XLOOKUP(FACT_IMPORTS[[#This Row],[country_name]],DIM_COUNTRY[[#All],[Column2]],DIM_COUNTRY[[#All],[Column3]],,,)</f>
        <v>USMCA</v>
      </c>
    </row>
    <row r="2278" spans="1:9" x14ac:dyDescent="0.4">
      <c r="A2278" t="s">
        <v>61</v>
      </c>
      <c r="B2278" s="1">
        <v>45901</v>
      </c>
      <c r="C2278">
        <v>848210</v>
      </c>
      <c r="D2278" t="s">
        <v>176</v>
      </c>
      <c r="E2278">
        <v>5174871</v>
      </c>
      <c r="F2278">
        <v>494640</v>
      </c>
      <c r="G2278">
        <v>36921</v>
      </c>
      <c r="H2278">
        <f>_xlfn.XLOOKUP(FACT_IMPORTS[[#This Row],[hts_6]],DIM_PRODUCTS[hts_6],DIM_PRODUCTS[hts_4],,,)</f>
        <v>8482</v>
      </c>
      <c r="I2278" t="str" cm="1">
        <f t="array" ref="I2278">_xlfn.XLOOKUP(FACT_IMPORTS[[#This Row],[country_name]],DIM_COUNTRY[[#All],[Column2]],DIM_COUNTRY[[#All],[Column3]],,,)</f>
        <v>USMCA</v>
      </c>
    </row>
    <row r="2279" spans="1:9" x14ac:dyDescent="0.4">
      <c r="A2279" t="s">
        <v>61</v>
      </c>
      <c r="B2279" s="1">
        <v>45901</v>
      </c>
      <c r="C2279">
        <v>848220</v>
      </c>
      <c r="D2279" t="s">
        <v>176</v>
      </c>
      <c r="E2279">
        <v>28148</v>
      </c>
      <c r="F2279">
        <v>912</v>
      </c>
      <c r="G2279">
        <v>1500</v>
      </c>
      <c r="H2279">
        <f>_xlfn.XLOOKUP(FACT_IMPORTS[[#This Row],[hts_6]],DIM_PRODUCTS[hts_6],DIM_PRODUCTS[hts_4],,,)</f>
        <v>8482</v>
      </c>
      <c r="I2279" t="str" cm="1">
        <f t="array" ref="I2279">_xlfn.XLOOKUP(FACT_IMPORTS[[#This Row],[country_name]],DIM_COUNTRY[[#All],[Column2]],DIM_COUNTRY[[#All],[Column3]],,,)</f>
        <v>USMCA</v>
      </c>
    </row>
    <row r="2280" spans="1:9" x14ac:dyDescent="0.4">
      <c r="A2280" t="s">
        <v>61</v>
      </c>
      <c r="B2280" s="1">
        <v>45901</v>
      </c>
      <c r="C2280">
        <v>848310</v>
      </c>
      <c r="D2280" t="s">
        <v>176</v>
      </c>
      <c r="E2280">
        <v>17861417</v>
      </c>
      <c r="F2280">
        <v>544493</v>
      </c>
      <c r="G2280">
        <v>106130</v>
      </c>
      <c r="H2280">
        <f>_xlfn.XLOOKUP(FACT_IMPORTS[[#This Row],[hts_6]],DIM_PRODUCTS[hts_6],DIM_PRODUCTS[hts_4],,,)</f>
        <v>8483</v>
      </c>
      <c r="I2280" t="str" cm="1">
        <f t="array" ref="I2280">_xlfn.XLOOKUP(FACT_IMPORTS[[#This Row],[country_name]],DIM_COUNTRY[[#All],[Column2]],DIM_COUNTRY[[#All],[Column3]],,,)</f>
        <v>USMCA</v>
      </c>
    </row>
    <row r="2281" spans="1:9" x14ac:dyDescent="0.4">
      <c r="A2281" t="s">
        <v>61</v>
      </c>
      <c r="B2281" s="1">
        <v>45901</v>
      </c>
      <c r="C2281">
        <v>850131</v>
      </c>
      <c r="D2281" t="s">
        <v>176</v>
      </c>
      <c r="E2281">
        <v>2081467</v>
      </c>
      <c r="F2281">
        <v>84469</v>
      </c>
      <c r="G2281">
        <v>38133</v>
      </c>
      <c r="H2281">
        <f>_xlfn.XLOOKUP(FACT_IMPORTS[[#This Row],[hts_6]],DIM_PRODUCTS[hts_6],DIM_PRODUCTS[hts_4],,,)</f>
        <v>8501</v>
      </c>
      <c r="I2281" t="str" cm="1">
        <f t="array" ref="I2281">_xlfn.XLOOKUP(FACT_IMPORTS[[#This Row],[country_name]],DIM_COUNTRY[[#All],[Column2]],DIM_COUNTRY[[#All],[Column3]],,,)</f>
        <v>USMCA</v>
      </c>
    </row>
    <row r="2282" spans="1:9" x14ac:dyDescent="0.4">
      <c r="A2282" t="s">
        <v>61</v>
      </c>
      <c r="B2282" s="1">
        <v>45901</v>
      </c>
      <c r="C2282">
        <v>850132</v>
      </c>
      <c r="D2282" t="s">
        <v>176</v>
      </c>
      <c r="E2282">
        <v>121967</v>
      </c>
      <c r="F2282">
        <v>249</v>
      </c>
      <c r="G2282">
        <v>867</v>
      </c>
      <c r="H2282">
        <f>_xlfn.XLOOKUP(FACT_IMPORTS[[#This Row],[hts_6]],DIM_PRODUCTS[hts_6],DIM_PRODUCTS[hts_4],,,)</f>
        <v>8501</v>
      </c>
      <c r="I2282" t="str" cm="1">
        <f t="array" ref="I2282">_xlfn.XLOOKUP(FACT_IMPORTS[[#This Row],[country_name]],DIM_COUNTRY[[#All],[Column2]],DIM_COUNTRY[[#All],[Column3]],,,)</f>
        <v>USMCA</v>
      </c>
    </row>
    <row r="2283" spans="1:9" x14ac:dyDescent="0.4">
      <c r="A2283" t="s">
        <v>61</v>
      </c>
      <c r="B2283" s="1">
        <v>45901</v>
      </c>
      <c r="C2283">
        <v>850133</v>
      </c>
      <c r="D2283" t="s">
        <v>176</v>
      </c>
      <c r="E2283">
        <v>11480</v>
      </c>
      <c r="F2283">
        <v>4</v>
      </c>
      <c r="G2283">
        <v>200</v>
      </c>
      <c r="H2283">
        <f>_xlfn.XLOOKUP(FACT_IMPORTS[[#This Row],[hts_6]],DIM_PRODUCTS[hts_6],DIM_PRODUCTS[hts_4],,,)</f>
        <v>8501</v>
      </c>
      <c r="I2283" t="str" cm="1">
        <f t="array" ref="I2283">_xlfn.XLOOKUP(FACT_IMPORTS[[#This Row],[country_name]],DIM_COUNTRY[[#All],[Column2]],DIM_COUNTRY[[#All],[Column3]],,,)</f>
        <v>USMCA</v>
      </c>
    </row>
    <row r="2284" spans="1:9" x14ac:dyDescent="0.4">
      <c r="A2284" t="s">
        <v>61</v>
      </c>
      <c r="B2284" s="1">
        <v>45901</v>
      </c>
      <c r="C2284">
        <v>850134</v>
      </c>
      <c r="D2284" t="s">
        <v>176</v>
      </c>
      <c r="E2284">
        <v>0</v>
      </c>
      <c r="F2284">
        <v>0</v>
      </c>
      <c r="G2284">
        <v>0</v>
      </c>
      <c r="H2284">
        <f>_xlfn.XLOOKUP(FACT_IMPORTS[[#This Row],[hts_6]],DIM_PRODUCTS[hts_6],DIM_PRODUCTS[hts_4],,,)</f>
        <v>8501</v>
      </c>
      <c r="I2284" t="str" cm="1">
        <f t="array" ref="I2284">_xlfn.XLOOKUP(FACT_IMPORTS[[#This Row],[country_name]],DIM_COUNTRY[[#All],[Column2]],DIM_COUNTRY[[#All],[Column3]],,,)</f>
        <v>USMCA</v>
      </c>
    </row>
    <row r="2285" spans="1:9" x14ac:dyDescent="0.4">
      <c r="A2285" t="s">
        <v>61</v>
      </c>
      <c r="B2285" s="1">
        <v>45901</v>
      </c>
      <c r="C2285">
        <v>850152</v>
      </c>
      <c r="D2285" t="s">
        <v>176</v>
      </c>
      <c r="E2285">
        <v>500218</v>
      </c>
      <c r="F2285">
        <v>1315</v>
      </c>
      <c r="G2285">
        <v>6894</v>
      </c>
      <c r="H2285">
        <f>_xlfn.XLOOKUP(FACT_IMPORTS[[#This Row],[hts_6]],DIM_PRODUCTS[hts_6],DIM_PRODUCTS[hts_4],,,)</f>
        <v>8501</v>
      </c>
      <c r="I2285" t="str" cm="1">
        <f t="array" ref="I2285">_xlfn.XLOOKUP(FACT_IMPORTS[[#This Row],[country_name]],DIM_COUNTRY[[#All],[Column2]],DIM_COUNTRY[[#All],[Column3]],,,)</f>
        <v>USMCA</v>
      </c>
    </row>
    <row r="2286" spans="1:9" x14ac:dyDescent="0.4">
      <c r="A2286" t="s">
        <v>61</v>
      </c>
      <c r="B2286" s="1">
        <v>45901</v>
      </c>
      <c r="C2286">
        <v>850153</v>
      </c>
      <c r="D2286" t="s">
        <v>176</v>
      </c>
      <c r="E2286">
        <v>925642</v>
      </c>
      <c r="F2286">
        <v>81</v>
      </c>
      <c r="G2286">
        <v>6898</v>
      </c>
      <c r="H2286">
        <f>_xlfn.XLOOKUP(FACT_IMPORTS[[#This Row],[hts_6]],DIM_PRODUCTS[hts_6],DIM_PRODUCTS[hts_4],,,)</f>
        <v>8501</v>
      </c>
      <c r="I2286" t="str" cm="1">
        <f t="array" ref="I2286">_xlfn.XLOOKUP(FACT_IMPORTS[[#This Row],[country_name]],DIM_COUNTRY[[#All],[Column2]],DIM_COUNTRY[[#All],[Column3]],,,)</f>
        <v>USMCA</v>
      </c>
    </row>
    <row r="2287" spans="1:9" x14ac:dyDescent="0.4">
      <c r="A2287" t="s">
        <v>61</v>
      </c>
      <c r="B2287" s="1">
        <v>45901</v>
      </c>
      <c r="C2287">
        <v>850161</v>
      </c>
      <c r="D2287" t="s">
        <v>176</v>
      </c>
      <c r="E2287">
        <v>449175</v>
      </c>
      <c r="F2287">
        <v>52</v>
      </c>
      <c r="G2287">
        <v>203</v>
      </c>
      <c r="H2287">
        <f>_xlfn.XLOOKUP(FACT_IMPORTS[[#This Row],[hts_6]],DIM_PRODUCTS[hts_6],DIM_PRODUCTS[hts_4],,,)</f>
        <v>8501</v>
      </c>
      <c r="I2287" t="str" cm="1">
        <f t="array" ref="I2287">_xlfn.XLOOKUP(FACT_IMPORTS[[#This Row],[country_name]],DIM_COUNTRY[[#All],[Column2]],DIM_COUNTRY[[#All],[Column3]],,,)</f>
        <v>USMCA</v>
      </c>
    </row>
    <row r="2288" spans="1:9" x14ac:dyDescent="0.4">
      <c r="A2288" t="s">
        <v>61</v>
      </c>
      <c r="B2288" s="1">
        <v>45901</v>
      </c>
      <c r="C2288">
        <v>850440</v>
      </c>
      <c r="D2288" t="s">
        <v>176</v>
      </c>
      <c r="E2288">
        <v>8756210</v>
      </c>
      <c r="F2288">
        <v>7003</v>
      </c>
      <c r="G2288">
        <v>163643</v>
      </c>
      <c r="H2288">
        <f>_xlfn.XLOOKUP(FACT_IMPORTS[[#This Row],[hts_6]],DIM_PRODUCTS[hts_6],DIM_PRODUCTS[hts_4],,,)</f>
        <v>8504</v>
      </c>
      <c r="I2288" t="str" cm="1">
        <f t="array" ref="I2288">_xlfn.XLOOKUP(FACT_IMPORTS[[#This Row],[country_name]],DIM_COUNTRY[[#All],[Column2]],DIM_COUNTRY[[#All],[Column3]],,,)</f>
        <v>USMCA</v>
      </c>
    </row>
    <row r="2289" spans="1:9" x14ac:dyDescent="0.4">
      <c r="A2289" t="s">
        <v>61</v>
      </c>
      <c r="B2289" s="1">
        <v>45901</v>
      </c>
      <c r="C2289">
        <v>850710</v>
      </c>
      <c r="D2289" t="s">
        <v>176</v>
      </c>
      <c r="E2289">
        <v>1457686</v>
      </c>
      <c r="F2289">
        <v>1645</v>
      </c>
      <c r="G2289">
        <v>83414</v>
      </c>
      <c r="H2289">
        <f>_xlfn.XLOOKUP(FACT_IMPORTS[[#This Row],[hts_6]],DIM_PRODUCTS[hts_6],DIM_PRODUCTS[hts_4],,,)</f>
        <v>8507</v>
      </c>
      <c r="I2289" t="str" cm="1">
        <f t="array" ref="I2289">_xlfn.XLOOKUP(FACT_IMPORTS[[#This Row],[country_name]],DIM_COUNTRY[[#All],[Column2]],DIM_COUNTRY[[#All],[Column3]],,,)</f>
        <v>USMCA</v>
      </c>
    </row>
    <row r="2290" spans="1:9" x14ac:dyDescent="0.4">
      <c r="A2290" t="s">
        <v>61</v>
      </c>
      <c r="B2290" s="1">
        <v>45901</v>
      </c>
      <c r="C2290">
        <v>850760</v>
      </c>
      <c r="D2290" t="s">
        <v>176</v>
      </c>
      <c r="E2290">
        <v>12782222</v>
      </c>
      <c r="F2290">
        <v>83357</v>
      </c>
      <c r="G2290">
        <v>125831</v>
      </c>
      <c r="H2290">
        <f>_xlfn.XLOOKUP(FACT_IMPORTS[[#This Row],[hts_6]],DIM_PRODUCTS[hts_6],DIM_PRODUCTS[hts_4],,,)</f>
        <v>8507</v>
      </c>
      <c r="I2290" t="str" cm="1">
        <f t="array" ref="I2290">_xlfn.XLOOKUP(FACT_IMPORTS[[#This Row],[country_name]],DIM_COUNTRY[[#All],[Column2]],DIM_COUNTRY[[#All],[Column3]],,,)</f>
        <v>USMCA</v>
      </c>
    </row>
    <row r="2291" spans="1:9" x14ac:dyDescent="0.4">
      <c r="A2291" t="s">
        <v>61</v>
      </c>
      <c r="B2291" s="1">
        <v>45901</v>
      </c>
      <c r="C2291">
        <v>850790</v>
      </c>
      <c r="D2291" t="s">
        <v>176</v>
      </c>
      <c r="E2291">
        <v>1008868</v>
      </c>
      <c r="F2291">
        <v>91702</v>
      </c>
      <c r="G2291">
        <v>9270</v>
      </c>
      <c r="H2291">
        <f>_xlfn.XLOOKUP(FACT_IMPORTS[[#This Row],[hts_6]],DIM_PRODUCTS[hts_6],DIM_PRODUCTS[hts_4],,,)</f>
        <v>8507</v>
      </c>
      <c r="I2291" t="str" cm="1">
        <f t="array" ref="I2291">_xlfn.XLOOKUP(FACT_IMPORTS[[#This Row],[country_name]],DIM_COUNTRY[[#All],[Column2]],DIM_COUNTRY[[#All],[Column3]],,,)</f>
        <v>USMCA</v>
      </c>
    </row>
    <row r="2292" spans="1:9" x14ac:dyDescent="0.4">
      <c r="A2292" t="s">
        <v>61</v>
      </c>
      <c r="B2292" s="1">
        <v>45901</v>
      </c>
      <c r="C2292">
        <v>851110</v>
      </c>
      <c r="D2292" t="s">
        <v>176</v>
      </c>
      <c r="E2292">
        <v>55509</v>
      </c>
      <c r="F2292">
        <v>139</v>
      </c>
      <c r="G2292">
        <v>146</v>
      </c>
      <c r="H2292">
        <f>_xlfn.XLOOKUP(FACT_IMPORTS[[#This Row],[hts_6]],DIM_PRODUCTS[hts_6],DIM_PRODUCTS[hts_4],,,)</f>
        <v>8511</v>
      </c>
      <c r="I2292" t="str" cm="1">
        <f t="array" ref="I2292">_xlfn.XLOOKUP(FACT_IMPORTS[[#This Row],[country_name]],DIM_COUNTRY[[#All],[Column2]],DIM_COUNTRY[[#All],[Column3]],,,)</f>
        <v>USMCA</v>
      </c>
    </row>
    <row r="2293" spans="1:9" x14ac:dyDescent="0.4">
      <c r="A2293" t="s">
        <v>61</v>
      </c>
      <c r="B2293" s="1">
        <v>45901</v>
      </c>
      <c r="C2293">
        <v>851130</v>
      </c>
      <c r="D2293" t="s">
        <v>176</v>
      </c>
      <c r="E2293">
        <v>0</v>
      </c>
      <c r="F2293">
        <v>0</v>
      </c>
      <c r="G2293">
        <v>0</v>
      </c>
      <c r="H2293">
        <f>_xlfn.XLOOKUP(FACT_IMPORTS[[#This Row],[hts_6]],DIM_PRODUCTS[hts_6],DIM_PRODUCTS[hts_4],,,)</f>
        <v>8511</v>
      </c>
      <c r="I2293" t="str" cm="1">
        <f t="array" ref="I2293">_xlfn.XLOOKUP(FACT_IMPORTS[[#This Row],[country_name]],DIM_COUNTRY[[#All],[Column2]],DIM_COUNTRY[[#All],[Column3]],,,)</f>
        <v>USMCA</v>
      </c>
    </row>
    <row r="2294" spans="1:9" x14ac:dyDescent="0.4">
      <c r="A2294" t="s">
        <v>61</v>
      </c>
      <c r="B2294" s="1">
        <v>45901</v>
      </c>
      <c r="C2294">
        <v>851140</v>
      </c>
      <c r="D2294" t="s">
        <v>176</v>
      </c>
      <c r="E2294">
        <v>327020</v>
      </c>
      <c r="F2294">
        <v>6744</v>
      </c>
      <c r="G2294">
        <v>3027</v>
      </c>
      <c r="H2294">
        <f>_xlfn.XLOOKUP(FACT_IMPORTS[[#This Row],[hts_6]],DIM_PRODUCTS[hts_6],DIM_PRODUCTS[hts_4],,,)</f>
        <v>8511</v>
      </c>
      <c r="I2294" t="str" cm="1">
        <f t="array" ref="I2294">_xlfn.XLOOKUP(FACT_IMPORTS[[#This Row],[country_name]],DIM_COUNTRY[[#All],[Column2]],DIM_COUNTRY[[#All],[Column3]],,,)</f>
        <v>USMCA</v>
      </c>
    </row>
    <row r="2295" spans="1:9" x14ac:dyDescent="0.4">
      <c r="A2295" t="s">
        <v>61</v>
      </c>
      <c r="B2295" s="1">
        <v>45901</v>
      </c>
      <c r="C2295">
        <v>851150</v>
      </c>
      <c r="D2295" t="s">
        <v>176</v>
      </c>
      <c r="E2295">
        <v>286741</v>
      </c>
      <c r="F2295">
        <v>3375</v>
      </c>
      <c r="G2295">
        <v>2546</v>
      </c>
      <c r="H2295">
        <f>_xlfn.XLOOKUP(FACT_IMPORTS[[#This Row],[hts_6]],DIM_PRODUCTS[hts_6],DIM_PRODUCTS[hts_4],,,)</f>
        <v>8511</v>
      </c>
      <c r="I2295" t="str" cm="1">
        <f t="array" ref="I2295">_xlfn.XLOOKUP(FACT_IMPORTS[[#This Row],[country_name]],DIM_COUNTRY[[#All],[Column2]],DIM_COUNTRY[[#All],[Column3]],,,)</f>
        <v>USMCA</v>
      </c>
    </row>
    <row r="2296" spans="1:9" x14ac:dyDescent="0.4">
      <c r="A2296" t="s">
        <v>61</v>
      </c>
      <c r="B2296" s="1">
        <v>45901</v>
      </c>
      <c r="C2296">
        <v>851180</v>
      </c>
      <c r="D2296" t="s">
        <v>176</v>
      </c>
      <c r="E2296">
        <v>38035</v>
      </c>
      <c r="F2296">
        <v>2377</v>
      </c>
      <c r="G2296">
        <v>25</v>
      </c>
      <c r="H2296">
        <f>_xlfn.XLOOKUP(FACT_IMPORTS[[#This Row],[hts_6]],DIM_PRODUCTS[hts_6],DIM_PRODUCTS[hts_4],,,)</f>
        <v>8511</v>
      </c>
      <c r="I2296" t="str" cm="1">
        <f t="array" ref="I2296">_xlfn.XLOOKUP(FACT_IMPORTS[[#This Row],[country_name]],DIM_COUNTRY[[#All],[Column2]],DIM_COUNTRY[[#All],[Column3]],,,)</f>
        <v>USMCA</v>
      </c>
    </row>
    <row r="2297" spans="1:9" x14ac:dyDescent="0.4">
      <c r="A2297" t="s">
        <v>61</v>
      </c>
      <c r="B2297" s="1">
        <v>45901</v>
      </c>
      <c r="C2297">
        <v>851190</v>
      </c>
      <c r="D2297" t="s">
        <v>176</v>
      </c>
      <c r="E2297">
        <v>268938</v>
      </c>
      <c r="F2297">
        <v>8539</v>
      </c>
      <c r="G2297">
        <v>8037</v>
      </c>
      <c r="H2297">
        <f>_xlfn.XLOOKUP(FACT_IMPORTS[[#This Row],[hts_6]],DIM_PRODUCTS[hts_6],DIM_PRODUCTS[hts_4],,,)</f>
        <v>8511</v>
      </c>
      <c r="I2297" t="str" cm="1">
        <f t="array" ref="I2297">_xlfn.XLOOKUP(FACT_IMPORTS[[#This Row],[country_name]],DIM_COUNTRY[[#All],[Column2]],DIM_COUNTRY[[#All],[Column3]],,,)</f>
        <v>USMCA</v>
      </c>
    </row>
    <row r="2298" spans="1:9" x14ac:dyDescent="0.4">
      <c r="A2298" t="s">
        <v>61</v>
      </c>
      <c r="B2298" s="1">
        <v>45901</v>
      </c>
      <c r="C2298">
        <v>851220</v>
      </c>
      <c r="D2298" t="s">
        <v>176</v>
      </c>
      <c r="E2298">
        <v>19565847</v>
      </c>
      <c r="F2298">
        <v>302041</v>
      </c>
      <c r="G2298">
        <v>158485</v>
      </c>
      <c r="H2298">
        <f>_xlfn.XLOOKUP(FACT_IMPORTS[[#This Row],[hts_6]],DIM_PRODUCTS[hts_6],DIM_PRODUCTS[hts_4],,,)</f>
        <v>8512</v>
      </c>
      <c r="I2298" t="str" cm="1">
        <f t="array" ref="I2298">_xlfn.XLOOKUP(FACT_IMPORTS[[#This Row],[country_name]],DIM_COUNTRY[[#All],[Column2]],DIM_COUNTRY[[#All],[Column3]],,,)</f>
        <v>USMCA</v>
      </c>
    </row>
    <row r="2299" spans="1:9" x14ac:dyDescent="0.4">
      <c r="A2299" t="s">
        <v>61</v>
      </c>
      <c r="B2299" s="1">
        <v>45901</v>
      </c>
      <c r="C2299">
        <v>851230</v>
      </c>
      <c r="D2299" t="s">
        <v>176</v>
      </c>
      <c r="E2299">
        <v>102117</v>
      </c>
      <c r="F2299">
        <v>1471</v>
      </c>
      <c r="G2299">
        <v>1311</v>
      </c>
      <c r="H2299">
        <f>_xlfn.XLOOKUP(FACT_IMPORTS[[#This Row],[hts_6]],DIM_PRODUCTS[hts_6],DIM_PRODUCTS[hts_4],,,)</f>
        <v>8512</v>
      </c>
      <c r="I2299" t="str" cm="1">
        <f t="array" ref="I2299">_xlfn.XLOOKUP(FACT_IMPORTS[[#This Row],[country_name]],DIM_COUNTRY[[#All],[Column2]],DIM_COUNTRY[[#All],[Column3]],,,)</f>
        <v>USMCA</v>
      </c>
    </row>
    <row r="2300" spans="1:9" x14ac:dyDescent="0.4">
      <c r="A2300" t="s">
        <v>61</v>
      </c>
      <c r="B2300" s="1">
        <v>45901</v>
      </c>
      <c r="C2300">
        <v>851240</v>
      </c>
      <c r="D2300" t="s">
        <v>176</v>
      </c>
      <c r="E2300">
        <v>6549</v>
      </c>
      <c r="F2300">
        <v>24</v>
      </c>
      <c r="G2300">
        <v>2</v>
      </c>
      <c r="H2300">
        <f>_xlfn.XLOOKUP(FACT_IMPORTS[[#This Row],[hts_6]],DIM_PRODUCTS[hts_6],DIM_PRODUCTS[hts_4],,,)</f>
        <v>8512</v>
      </c>
      <c r="I2300" t="str" cm="1">
        <f t="array" ref="I2300">_xlfn.XLOOKUP(FACT_IMPORTS[[#This Row],[country_name]],DIM_COUNTRY[[#All],[Column2]],DIM_COUNTRY[[#All],[Column3]],,,)</f>
        <v>USMCA</v>
      </c>
    </row>
    <row r="2301" spans="1:9" x14ac:dyDescent="0.4">
      <c r="A2301" t="s">
        <v>61</v>
      </c>
      <c r="B2301" s="1">
        <v>45901</v>
      </c>
      <c r="C2301">
        <v>851290</v>
      </c>
      <c r="D2301" t="s">
        <v>176</v>
      </c>
      <c r="E2301">
        <v>1520261</v>
      </c>
      <c r="F2301">
        <v>26762</v>
      </c>
      <c r="G2301">
        <v>2261</v>
      </c>
      <c r="H2301">
        <f>_xlfn.XLOOKUP(FACT_IMPORTS[[#This Row],[hts_6]],DIM_PRODUCTS[hts_6],DIM_PRODUCTS[hts_4],,,)</f>
        <v>8512</v>
      </c>
      <c r="I2301" t="str" cm="1">
        <f t="array" ref="I2301">_xlfn.XLOOKUP(FACT_IMPORTS[[#This Row],[country_name]],DIM_COUNTRY[[#All],[Column2]],DIM_COUNTRY[[#All],[Column3]],,,)</f>
        <v>USMCA</v>
      </c>
    </row>
    <row r="2302" spans="1:9" x14ac:dyDescent="0.4">
      <c r="A2302" t="s">
        <v>61</v>
      </c>
      <c r="B2302" s="1">
        <v>45901</v>
      </c>
      <c r="C2302">
        <v>854231</v>
      </c>
      <c r="D2302" t="s">
        <v>176</v>
      </c>
      <c r="E2302">
        <v>48328</v>
      </c>
      <c r="F2302">
        <v>423</v>
      </c>
      <c r="G2302">
        <v>237</v>
      </c>
      <c r="H2302">
        <f>_xlfn.XLOOKUP(FACT_IMPORTS[[#This Row],[hts_6]],DIM_PRODUCTS[hts_6],DIM_PRODUCTS[hts_4],,,)</f>
        <v>8542</v>
      </c>
      <c r="I2302" t="str" cm="1">
        <f t="array" ref="I2302">_xlfn.XLOOKUP(FACT_IMPORTS[[#This Row],[country_name]],DIM_COUNTRY[[#All],[Column2]],DIM_COUNTRY[[#All],[Column3]],,,)</f>
        <v>USMCA</v>
      </c>
    </row>
    <row r="2303" spans="1:9" x14ac:dyDescent="0.4">
      <c r="A2303" t="s">
        <v>61</v>
      </c>
      <c r="B2303" s="1">
        <v>45901</v>
      </c>
      <c r="C2303">
        <v>854232</v>
      </c>
      <c r="D2303" t="s">
        <v>176</v>
      </c>
      <c r="E2303">
        <v>3400</v>
      </c>
      <c r="F2303">
        <v>1010</v>
      </c>
      <c r="G2303">
        <v>32</v>
      </c>
      <c r="H2303">
        <f>_xlfn.XLOOKUP(FACT_IMPORTS[[#This Row],[hts_6]],DIM_PRODUCTS[hts_6],DIM_PRODUCTS[hts_4],,,)</f>
        <v>8542</v>
      </c>
      <c r="I2303" t="str" cm="1">
        <f t="array" ref="I2303">_xlfn.XLOOKUP(FACT_IMPORTS[[#This Row],[country_name]],DIM_COUNTRY[[#All],[Column2]],DIM_COUNTRY[[#All],[Column3]],,,)</f>
        <v>USMCA</v>
      </c>
    </row>
    <row r="2304" spans="1:9" x14ac:dyDescent="0.4">
      <c r="A2304" t="s">
        <v>61</v>
      </c>
      <c r="B2304" s="1">
        <v>45901</v>
      </c>
      <c r="C2304">
        <v>854233</v>
      </c>
      <c r="D2304" t="s">
        <v>176</v>
      </c>
      <c r="E2304">
        <v>0</v>
      </c>
      <c r="F2304">
        <v>0</v>
      </c>
      <c r="G2304">
        <v>0</v>
      </c>
      <c r="H2304">
        <f>_xlfn.XLOOKUP(FACT_IMPORTS[[#This Row],[hts_6]],DIM_PRODUCTS[hts_6],DIM_PRODUCTS[hts_4],,,)</f>
        <v>8542</v>
      </c>
      <c r="I2304" t="str" cm="1">
        <f t="array" ref="I2304">_xlfn.XLOOKUP(FACT_IMPORTS[[#This Row],[country_name]],DIM_COUNTRY[[#All],[Column2]],DIM_COUNTRY[[#All],[Column3]],,,)</f>
        <v>USMCA</v>
      </c>
    </row>
    <row r="2305" spans="1:9" x14ac:dyDescent="0.4">
      <c r="A2305" t="s">
        <v>61</v>
      </c>
      <c r="B2305" s="1">
        <v>45901</v>
      </c>
      <c r="C2305">
        <v>854239</v>
      </c>
      <c r="D2305" t="s">
        <v>176</v>
      </c>
      <c r="E2305">
        <v>0</v>
      </c>
      <c r="F2305">
        <v>0</v>
      </c>
      <c r="G2305">
        <v>0</v>
      </c>
      <c r="H2305">
        <f>_xlfn.XLOOKUP(FACT_IMPORTS[[#This Row],[hts_6]],DIM_PRODUCTS[hts_6],DIM_PRODUCTS[hts_4],,,)</f>
        <v>8542</v>
      </c>
      <c r="I2305" t="str" cm="1">
        <f t="array" ref="I2305">_xlfn.XLOOKUP(FACT_IMPORTS[[#This Row],[country_name]],DIM_COUNTRY[[#All],[Column2]],DIM_COUNTRY[[#All],[Column3]],,,)</f>
        <v>USMCA</v>
      </c>
    </row>
    <row r="2306" spans="1:9" x14ac:dyDescent="0.4">
      <c r="A2306" t="s">
        <v>61</v>
      </c>
      <c r="B2306" s="1">
        <v>45901</v>
      </c>
      <c r="C2306">
        <v>854290</v>
      </c>
      <c r="D2306" t="s">
        <v>176</v>
      </c>
      <c r="E2306">
        <v>247521</v>
      </c>
      <c r="F2306">
        <v>91442</v>
      </c>
      <c r="G2306">
        <v>2812</v>
      </c>
      <c r="H2306">
        <f>_xlfn.XLOOKUP(FACT_IMPORTS[[#This Row],[hts_6]],DIM_PRODUCTS[hts_6],DIM_PRODUCTS[hts_4],,,)</f>
        <v>8542</v>
      </c>
      <c r="I2306" t="str" cm="1">
        <f t="array" ref="I2306">_xlfn.XLOOKUP(FACT_IMPORTS[[#This Row],[country_name]],DIM_COUNTRY[[#All],[Column2]],DIM_COUNTRY[[#All],[Column3]],,,)</f>
        <v>USMCA</v>
      </c>
    </row>
    <row r="2307" spans="1:9" x14ac:dyDescent="0.4">
      <c r="A2307" t="s">
        <v>61</v>
      </c>
      <c r="B2307" s="1">
        <v>45901</v>
      </c>
      <c r="C2307">
        <v>854430</v>
      </c>
      <c r="D2307" t="s">
        <v>176</v>
      </c>
      <c r="E2307">
        <v>1792565</v>
      </c>
      <c r="F2307">
        <v>24185</v>
      </c>
      <c r="G2307">
        <v>8128</v>
      </c>
      <c r="H2307">
        <f>_xlfn.XLOOKUP(FACT_IMPORTS[[#This Row],[hts_6]],DIM_PRODUCTS[hts_6],DIM_PRODUCTS[hts_4],,,)</f>
        <v>8544</v>
      </c>
      <c r="I2307" t="str" cm="1">
        <f t="array" ref="I2307">_xlfn.XLOOKUP(FACT_IMPORTS[[#This Row],[country_name]],DIM_COUNTRY[[#All],[Column2]],DIM_COUNTRY[[#All],[Column3]],,,)</f>
        <v>USMCA</v>
      </c>
    </row>
    <row r="2308" spans="1:9" x14ac:dyDescent="0.4">
      <c r="A2308" t="s">
        <v>61</v>
      </c>
      <c r="B2308" s="1">
        <v>45901</v>
      </c>
      <c r="C2308">
        <v>870600</v>
      </c>
      <c r="D2308" t="s">
        <v>176</v>
      </c>
      <c r="E2308">
        <v>0</v>
      </c>
      <c r="F2308">
        <v>0</v>
      </c>
      <c r="G2308">
        <v>0</v>
      </c>
      <c r="H2308">
        <f>_xlfn.XLOOKUP(FACT_IMPORTS[[#This Row],[hts_6]],DIM_PRODUCTS[hts_6],DIM_PRODUCTS[hts_4],,,)</f>
        <v>8706</v>
      </c>
      <c r="I2308" t="str" cm="1">
        <f t="array" ref="I2308">_xlfn.XLOOKUP(FACT_IMPORTS[[#This Row],[country_name]],DIM_COUNTRY[[#All],[Column2]],DIM_COUNTRY[[#All],[Column3]],,,)</f>
        <v>USMCA</v>
      </c>
    </row>
    <row r="2309" spans="1:9" x14ac:dyDescent="0.4">
      <c r="A2309" t="s">
        <v>61</v>
      </c>
      <c r="B2309" s="1">
        <v>45901</v>
      </c>
      <c r="C2309">
        <v>870710</v>
      </c>
      <c r="D2309" t="s">
        <v>176</v>
      </c>
      <c r="E2309">
        <v>28000</v>
      </c>
      <c r="F2309">
        <v>14</v>
      </c>
      <c r="G2309">
        <v>2400</v>
      </c>
      <c r="H2309">
        <f>_xlfn.XLOOKUP(FACT_IMPORTS[[#This Row],[hts_6]],DIM_PRODUCTS[hts_6],DIM_PRODUCTS[hts_4],,,)</f>
        <v>8707</v>
      </c>
      <c r="I2309" t="str" cm="1">
        <f t="array" ref="I2309">_xlfn.XLOOKUP(FACT_IMPORTS[[#This Row],[country_name]],DIM_COUNTRY[[#All],[Column2]],DIM_COUNTRY[[#All],[Column3]],,,)</f>
        <v>USMCA</v>
      </c>
    </row>
    <row r="2310" spans="1:9" x14ac:dyDescent="0.4">
      <c r="A2310" t="s">
        <v>61</v>
      </c>
      <c r="B2310" s="1">
        <v>45901</v>
      </c>
      <c r="C2310">
        <v>870790</v>
      </c>
      <c r="D2310" t="s">
        <v>176</v>
      </c>
      <c r="E2310">
        <v>5084990</v>
      </c>
      <c r="F2310">
        <v>399</v>
      </c>
      <c r="G2310">
        <v>63570</v>
      </c>
      <c r="H2310">
        <f>_xlfn.XLOOKUP(FACT_IMPORTS[[#This Row],[hts_6]],DIM_PRODUCTS[hts_6],DIM_PRODUCTS[hts_4],,,)</f>
        <v>8707</v>
      </c>
      <c r="I2310" t="str" cm="1">
        <f t="array" ref="I2310">_xlfn.XLOOKUP(FACT_IMPORTS[[#This Row],[country_name]],DIM_COUNTRY[[#All],[Column2]],DIM_COUNTRY[[#All],[Column3]],,,)</f>
        <v>USMCA</v>
      </c>
    </row>
    <row r="2311" spans="1:9" x14ac:dyDescent="0.4">
      <c r="A2311" t="s">
        <v>61</v>
      </c>
      <c r="B2311" s="1">
        <v>45901</v>
      </c>
      <c r="C2311">
        <v>870810</v>
      </c>
      <c r="D2311" t="s">
        <v>176</v>
      </c>
      <c r="E2311">
        <v>21915683</v>
      </c>
      <c r="F2311">
        <v>1098102</v>
      </c>
      <c r="G2311">
        <v>647123</v>
      </c>
      <c r="H2311">
        <f>_xlfn.XLOOKUP(FACT_IMPORTS[[#This Row],[hts_6]],DIM_PRODUCTS[hts_6],DIM_PRODUCTS[hts_4],,,)</f>
        <v>8708</v>
      </c>
      <c r="I2311" t="str" cm="1">
        <f t="array" ref="I2311">_xlfn.XLOOKUP(FACT_IMPORTS[[#This Row],[country_name]],DIM_COUNTRY[[#All],[Column2]],DIM_COUNTRY[[#All],[Column3]],,,)</f>
        <v>USMCA</v>
      </c>
    </row>
    <row r="2312" spans="1:9" x14ac:dyDescent="0.4">
      <c r="A2312" t="s">
        <v>61</v>
      </c>
      <c r="B2312" s="1">
        <v>45901</v>
      </c>
      <c r="C2312">
        <v>870821</v>
      </c>
      <c r="D2312" t="s">
        <v>176</v>
      </c>
      <c r="E2312">
        <v>0</v>
      </c>
      <c r="F2312">
        <v>0</v>
      </c>
      <c r="G2312">
        <v>0</v>
      </c>
      <c r="H2312">
        <f>_xlfn.XLOOKUP(FACT_IMPORTS[[#This Row],[hts_6]],DIM_PRODUCTS[hts_6],DIM_PRODUCTS[hts_4],,,)</f>
        <v>8708</v>
      </c>
      <c r="I2312" t="str" cm="1">
        <f t="array" ref="I2312">_xlfn.XLOOKUP(FACT_IMPORTS[[#This Row],[country_name]],DIM_COUNTRY[[#All],[Column2]],DIM_COUNTRY[[#All],[Column3]],,,)</f>
        <v>USMCA</v>
      </c>
    </row>
    <row r="2313" spans="1:9" x14ac:dyDescent="0.4">
      <c r="A2313" t="s">
        <v>61</v>
      </c>
      <c r="B2313" s="1">
        <v>45901</v>
      </c>
      <c r="C2313">
        <v>870822</v>
      </c>
      <c r="D2313" t="s">
        <v>176</v>
      </c>
      <c r="E2313">
        <v>6758777</v>
      </c>
      <c r="F2313">
        <v>109583</v>
      </c>
      <c r="G2313">
        <v>155243</v>
      </c>
      <c r="H2313">
        <f>_xlfn.XLOOKUP(FACT_IMPORTS[[#This Row],[hts_6]],DIM_PRODUCTS[hts_6],DIM_PRODUCTS[hts_4],,,)</f>
        <v>8708</v>
      </c>
      <c r="I2313" t="str" cm="1">
        <f t="array" ref="I2313">_xlfn.XLOOKUP(FACT_IMPORTS[[#This Row],[country_name]],DIM_COUNTRY[[#All],[Column2]],DIM_COUNTRY[[#All],[Column3]],,,)</f>
        <v>USMCA</v>
      </c>
    </row>
    <row r="2314" spans="1:9" x14ac:dyDescent="0.4">
      <c r="A2314" t="s">
        <v>61</v>
      </c>
      <c r="B2314" s="1">
        <v>45901</v>
      </c>
      <c r="C2314">
        <v>870829</v>
      </c>
      <c r="D2314" t="s">
        <v>176</v>
      </c>
      <c r="E2314">
        <v>414736098</v>
      </c>
      <c r="F2314">
        <v>54640337</v>
      </c>
      <c r="G2314">
        <v>14284326</v>
      </c>
      <c r="H2314">
        <f>_xlfn.XLOOKUP(FACT_IMPORTS[[#This Row],[hts_6]],DIM_PRODUCTS[hts_6],DIM_PRODUCTS[hts_4],,,)</f>
        <v>8708</v>
      </c>
      <c r="I2314" t="str" cm="1">
        <f t="array" ref="I2314">_xlfn.XLOOKUP(FACT_IMPORTS[[#This Row],[country_name]],DIM_COUNTRY[[#All],[Column2]],DIM_COUNTRY[[#All],[Column3]],,,)</f>
        <v>USMCA</v>
      </c>
    </row>
    <row r="2315" spans="1:9" x14ac:dyDescent="0.4">
      <c r="A2315" t="s">
        <v>61</v>
      </c>
      <c r="B2315" s="1">
        <v>45901</v>
      </c>
      <c r="C2315">
        <v>870830</v>
      </c>
      <c r="D2315" t="s">
        <v>176</v>
      </c>
      <c r="E2315">
        <v>11583906</v>
      </c>
      <c r="F2315">
        <v>2548709</v>
      </c>
      <c r="G2315">
        <v>262728</v>
      </c>
      <c r="H2315">
        <f>_xlfn.XLOOKUP(FACT_IMPORTS[[#This Row],[hts_6]],DIM_PRODUCTS[hts_6],DIM_PRODUCTS[hts_4],,,)</f>
        <v>8708</v>
      </c>
      <c r="I2315" t="str" cm="1">
        <f t="array" ref="I2315">_xlfn.XLOOKUP(FACT_IMPORTS[[#This Row],[country_name]],DIM_COUNTRY[[#All],[Column2]],DIM_COUNTRY[[#All],[Column3]],,,)</f>
        <v>USMCA</v>
      </c>
    </row>
    <row r="2316" spans="1:9" x14ac:dyDescent="0.4">
      <c r="A2316" t="s">
        <v>61</v>
      </c>
      <c r="B2316" s="1">
        <v>45901</v>
      </c>
      <c r="C2316">
        <v>870840</v>
      </c>
      <c r="D2316" t="s">
        <v>176</v>
      </c>
      <c r="E2316">
        <v>89365022</v>
      </c>
      <c r="F2316">
        <v>5349759</v>
      </c>
      <c r="G2316">
        <v>965962</v>
      </c>
      <c r="H2316">
        <f>_xlfn.XLOOKUP(FACT_IMPORTS[[#This Row],[hts_6]],DIM_PRODUCTS[hts_6],DIM_PRODUCTS[hts_4],,,)</f>
        <v>8708</v>
      </c>
      <c r="I2316" t="str" cm="1">
        <f t="array" ref="I2316">_xlfn.XLOOKUP(FACT_IMPORTS[[#This Row],[country_name]],DIM_COUNTRY[[#All],[Column2]],DIM_COUNTRY[[#All],[Column3]],,,)</f>
        <v>USMCA</v>
      </c>
    </row>
    <row r="2317" spans="1:9" x14ac:dyDescent="0.4">
      <c r="A2317" t="s">
        <v>61</v>
      </c>
      <c r="B2317" s="1">
        <v>45901</v>
      </c>
      <c r="C2317">
        <v>870850</v>
      </c>
      <c r="D2317" t="s">
        <v>176</v>
      </c>
      <c r="E2317">
        <v>31115028</v>
      </c>
      <c r="F2317">
        <v>2387775</v>
      </c>
      <c r="G2317">
        <v>245227</v>
      </c>
      <c r="H2317">
        <f>_xlfn.XLOOKUP(FACT_IMPORTS[[#This Row],[hts_6]],DIM_PRODUCTS[hts_6],DIM_PRODUCTS[hts_4],,,)</f>
        <v>8708</v>
      </c>
      <c r="I2317" t="str" cm="1">
        <f t="array" ref="I2317">_xlfn.XLOOKUP(FACT_IMPORTS[[#This Row],[country_name]],DIM_COUNTRY[[#All],[Column2]],DIM_COUNTRY[[#All],[Column3]],,,)</f>
        <v>USMCA</v>
      </c>
    </row>
    <row r="2318" spans="1:9" x14ac:dyDescent="0.4">
      <c r="A2318" t="s">
        <v>61</v>
      </c>
      <c r="B2318" s="1">
        <v>45901</v>
      </c>
      <c r="C2318">
        <v>870870</v>
      </c>
      <c r="D2318" t="s">
        <v>176</v>
      </c>
      <c r="E2318">
        <v>2588557</v>
      </c>
      <c r="F2318">
        <v>3467165</v>
      </c>
      <c r="G2318">
        <v>66292</v>
      </c>
      <c r="H2318">
        <f>_xlfn.XLOOKUP(FACT_IMPORTS[[#This Row],[hts_6]],DIM_PRODUCTS[hts_6],DIM_PRODUCTS[hts_4],,,)</f>
        <v>8708</v>
      </c>
      <c r="I2318" t="str" cm="1">
        <f t="array" ref="I2318">_xlfn.XLOOKUP(FACT_IMPORTS[[#This Row],[country_name]],DIM_COUNTRY[[#All],[Column2]],DIM_COUNTRY[[#All],[Column3]],,,)</f>
        <v>USMCA</v>
      </c>
    </row>
    <row r="2319" spans="1:9" x14ac:dyDescent="0.4">
      <c r="A2319" t="s">
        <v>61</v>
      </c>
      <c r="B2319" s="1">
        <v>45901</v>
      </c>
      <c r="C2319">
        <v>870880</v>
      </c>
      <c r="D2319" t="s">
        <v>176</v>
      </c>
      <c r="E2319">
        <v>68319250</v>
      </c>
      <c r="F2319">
        <v>2956803</v>
      </c>
      <c r="G2319">
        <v>1340598</v>
      </c>
      <c r="H2319">
        <f>_xlfn.XLOOKUP(FACT_IMPORTS[[#This Row],[hts_6]],DIM_PRODUCTS[hts_6],DIM_PRODUCTS[hts_4],,,)</f>
        <v>8708</v>
      </c>
      <c r="I2319" t="str" cm="1">
        <f t="array" ref="I2319">_xlfn.XLOOKUP(FACT_IMPORTS[[#This Row],[country_name]],DIM_COUNTRY[[#All],[Column2]],DIM_COUNTRY[[#All],[Column3]],,,)</f>
        <v>USMCA</v>
      </c>
    </row>
    <row r="2320" spans="1:9" x14ac:dyDescent="0.4">
      <c r="A2320" t="s">
        <v>61</v>
      </c>
      <c r="B2320" s="1">
        <v>45901</v>
      </c>
      <c r="C2320">
        <v>870891</v>
      </c>
      <c r="D2320" t="s">
        <v>176</v>
      </c>
      <c r="E2320">
        <v>22598555</v>
      </c>
      <c r="F2320">
        <v>714543</v>
      </c>
      <c r="G2320">
        <v>361754</v>
      </c>
      <c r="H2320">
        <f>_xlfn.XLOOKUP(FACT_IMPORTS[[#This Row],[hts_6]],DIM_PRODUCTS[hts_6],DIM_PRODUCTS[hts_4],,,)</f>
        <v>8708</v>
      </c>
      <c r="I2320" t="str" cm="1">
        <f t="array" ref="I2320">_xlfn.XLOOKUP(FACT_IMPORTS[[#This Row],[country_name]],DIM_COUNTRY[[#All],[Column2]],DIM_COUNTRY[[#All],[Column3]],,,)</f>
        <v>USMCA</v>
      </c>
    </row>
    <row r="2321" spans="1:9" x14ac:dyDescent="0.4">
      <c r="A2321" t="s">
        <v>61</v>
      </c>
      <c r="B2321" s="1">
        <v>45901</v>
      </c>
      <c r="C2321">
        <v>870892</v>
      </c>
      <c r="D2321" t="s">
        <v>176</v>
      </c>
      <c r="E2321">
        <v>21233539</v>
      </c>
      <c r="F2321">
        <v>1468052</v>
      </c>
      <c r="G2321">
        <v>510035</v>
      </c>
      <c r="H2321">
        <f>_xlfn.XLOOKUP(FACT_IMPORTS[[#This Row],[hts_6]],DIM_PRODUCTS[hts_6],DIM_PRODUCTS[hts_4],,,)</f>
        <v>8708</v>
      </c>
      <c r="I2321" t="str" cm="1">
        <f t="array" ref="I2321">_xlfn.XLOOKUP(FACT_IMPORTS[[#This Row],[country_name]],DIM_COUNTRY[[#All],[Column2]],DIM_COUNTRY[[#All],[Column3]],,,)</f>
        <v>USMCA</v>
      </c>
    </row>
    <row r="2322" spans="1:9" x14ac:dyDescent="0.4">
      <c r="A2322" t="s">
        <v>61</v>
      </c>
      <c r="B2322" s="1">
        <v>45901</v>
      </c>
      <c r="C2322">
        <v>870893</v>
      </c>
      <c r="D2322" t="s">
        <v>176</v>
      </c>
      <c r="E2322">
        <v>53075229</v>
      </c>
      <c r="F2322">
        <v>1638601</v>
      </c>
      <c r="G2322">
        <v>150139</v>
      </c>
      <c r="H2322">
        <f>_xlfn.XLOOKUP(FACT_IMPORTS[[#This Row],[hts_6]],DIM_PRODUCTS[hts_6],DIM_PRODUCTS[hts_4],,,)</f>
        <v>8708</v>
      </c>
      <c r="I2322" t="str" cm="1">
        <f t="array" ref="I2322">_xlfn.XLOOKUP(FACT_IMPORTS[[#This Row],[country_name]],DIM_COUNTRY[[#All],[Column2]],DIM_COUNTRY[[#All],[Column3]],,,)</f>
        <v>USMCA</v>
      </c>
    </row>
    <row r="2323" spans="1:9" x14ac:dyDescent="0.4">
      <c r="A2323" t="s">
        <v>61</v>
      </c>
      <c r="B2323" s="1">
        <v>45901</v>
      </c>
      <c r="C2323">
        <v>870894</v>
      </c>
      <c r="D2323" t="s">
        <v>176</v>
      </c>
      <c r="E2323">
        <v>9372224</v>
      </c>
      <c r="F2323">
        <v>2792180</v>
      </c>
      <c r="G2323">
        <v>168421</v>
      </c>
      <c r="H2323">
        <f>_xlfn.XLOOKUP(FACT_IMPORTS[[#This Row],[hts_6]],DIM_PRODUCTS[hts_6],DIM_PRODUCTS[hts_4],,,)</f>
        <v>8708</v>
      </c>
      <c r="I2323" t="str" cm="1">
        <f t="array" ref="I2323">_xlfn.XLOOKUP(FACT_IMPORTS[[#This Row],[country_name]],DIM_COUNTRY[[#All],[Column2]],DIM_COUNTRY[[#All],[Column3]],,,)</f>
        <v>USMCA</v>
      </c>
    </row>
    <row r="2324" spans="1:9" x14ac:dyDescent="0.4">
      <c r="A2324" t="s">
        <v>61</v>
      </c>
      <c r="B2324" s="1">
        <v>45901</v>
      </c>
      <c r="C2324">
        <v>870895</v>
      </c>
      <c r="D2324" t="s">
        <v>176</v>
      </c>
      <c r="E2324">
        <v>1581863</v>
      </c>
      <c r="F2324">
        <v>1101094</v>
      </c>
      <c r="G2324">
        <v>13100</v>
      </c>
      <c r="H2324">
        <f>_xlfn.XLOOKUP(FACT_IMPORTS[[#This Row],[hts_6]],DIM_PRODUCTS[hts_6],DIM_PRODUCTS[hts_4],,,)</f>
        <v>8708</v>
      </c>
      <c r="I2324" t="str" cm="1">
        <f t="array" ref="I2324">_xlfn.XLOOKUP(FACT_IMPORTS[[#This Row],[country_name]],DIM_COUNTRY[[#All],[Column2]],DIM_COUNTRY[[#All],[Column3]],,,)</f>
        <v>USMCA</v>
      </c>
    </row>
    <row r="2325" spans="1:9" x14ac:dyDescent="0.4">
      <c r="A2325" t="s">
        <v>61</v>
      </c>
      <c r="B2325" s="1">
        <v>45901</v>
      </c>
      <c r="C2325">
        <v>870899</v>
      </c>
      <c r="D2325" t="s">
        <v>176</v>
      </c>
      <c r="E2325">
        <v>177953809</v>
      </c>
      <c r="F2325">
        <v>14417434</v>
      </c>
      <c r="G2325">
        <v>3277559</v>
      </c>
      <c r="H2325">
        <f>_xlfn.XLOOKUP(FACT_IMPORTS[[#This Row],[hts_6]],DIM_PRODUCTS[hts_6],DIM_PRODUCTS[hts_4],,,)</f>
        <v>8708</v>
      </c>
      <c r="I2325" t="str" cm="1">
        <f t="array" ref="I2325">_xlfn.XLOOKUP(FACT_IMPORTS[[#This Row],[country_name]],DIM_COUNTRY[[#All],[Column2]],DIM_COUNTRY[[#All],[Column3]],,,)</f>
        <v>USMCA</v>
      </c>
    </row>
    <row r="2326" spans="1:9" x14ac:dyDescent="0.4">
      <c r="A2326" t="s">
        <v>61</v>
      </c>
      <c r="B2326" s="1">
        <v>45901</v>
      </c>
      <c r="C2326">
        <v>940120</v>
      </c>
      <c r="D2326" t="s">
        <v>176</v>
      </c>
      <c r="E2326">
        <v>364236</v>
      </c>
      <c r="F2326">
        <v>1301</v>
      </c>
      <c r="G2326">
        <v>4988</v>
      </c>
      <c r="H2326">
        <f>_xlfn.XLOOKUP(FACT_IMPORTS[[#This Row],[hts_6]],DIM_PRODUCTS[hts_6],DIM_PRODUCTS[hts_4],,,)</f>
        <v>9401</v>
      </c>
      <c r="I2326" t="str" cm="1">
        <f t="array" ref="I2326">_xlfn.XLOOKUP(FACT_IMPORTS[[#This Row],[country_name]],DIM_COUNTRY[[#All],[Column2]],DIM_COUNTRY[[#All],[Column3]],,,)</f>
        <v>USMCA</v>
      </c>
    </row>
    <row r="2327" spans="1:9" x14ac:dyDescent="0.4">
      <c r="A2327" t="s">
        <v>61</v>
      </c>
      <c r="B2327" s="1">
        <v>45931</v>
      </c>
      <c r="C2327">
        <v>392630</v>
      </c>
      <c r="D2327" t="s">
        <v>176</v>
      </c>
      <c r="E2327">
        <v>3573238</v>
      </c>
      <c r="F2327">
        <v>607481</v>
      </c>
      <c r="G2327">
        <v>319672</v>
      </c>
      <c r="H2327">
        <f>_xlfn.XLOOKUP(FACT_IMPORTS[[#This Row],[hts_6]],DIM_PRODUCTS[hts_6],DIM_PRODUCTS[hts_4],,,)</f>
        <v>3926</v>
      </c>
      <c r="I2327" t="str" cm="1">
        <f t="array" ref="I2327">_xlfn.XLOOKUP(FACT_IMPORTS[[#This Row],[country_name]],DIM_COUNTRY[[#All],[Column2]],DIM_COUNTRY[[#All],[Column3]],,,)</f>
        <v>USMCA</v>
      </c>
    </row>
    <row r="2328" spans="1:9" x14ac:dyDescent="0.4">
      <c r="A2328" t="s">
        <v>61</v>
      </c>
      <c r="B2328" s="1">
        <v>45931</v>
      </c>
      <c r="C2328">
        <v>401110</v>
      </c>
      <c r="D2328" t="s">
        <v>176</v>
      </c>
      <c r="E2328">
        <v>54470143</v>
      </c>
      <c r="F2328">
        <v>665181</v>
      </c>
      <c r="G2328">
        <v>327586</v>
      </c>
      <c r="H2328">
        <f>_xlfn.XLOOKUP(FACT_IMPORTS[[#This Row],[hts_6]],DIM_PRODUCTS[hts_6],DIM_PRODUCTS[hts_4],,,)</f>
        <v>4011</v>
      </c>
      <c r="I2328" t="str" cm="1">
        <f t="array" ref="I2328">_xlfn.XLOOKUP(FACT_IMPORTS[[#This Row],[country_name]],DIM_COUNTRY[[#All],[Column2]],DIM_COUNTRY[[#All],[Column3]],,,)</f>
        <v>USMCA</v>
      </c>
    </row>
    <row r="2329" spans="1:9" x14ac:dyDescent="0.4">
      <c r="A2329" t="s">
        <v>61</v>
      </c>
      <c r="B2329" s="1">
        <v>45931</v>
      </c>
      <c r="C2329">
        <v>401120</v>
      </c>
      <c r="D2329" t="s">
        <v>176</v>
      </c>
      <c r="E2329">
        <v>49933678</v>
      </c>
      <c r="F2329">
        <v>272629</v>
      </c>
      <c r="G2329">
        <v>254422</v>
      </c>
      <c r="H2329">
        <f>_xlfn.XLOOKUP(FACT_IMPORTS[[#This Row],[hts_6]],DIM_PRODUCTS[hts_6],DIM_PRODUCTS[hts_4],,,)</f>
        <v>4011</v>
      </c>
      <c r="I2329" t="str" cm="1">
        <f t="array" ref="I2329">_xlfn.XLOOKUP(FACT_IMPORTS[[#This Row],[country_name]],DIM_COUNTRY[[#All],[Column2]],DIM_COUNTRY[[#All],[Column3]],,,)</f>
        <v>USMCA</v>
      </c>
    </row>
    <row r="2330" spans="1:9" x14ac:dyDescent="0.4">
      <c r="A2330" t="s">
        <v>61</v>
      </c>
      <c r="B2330" s="1">
        <v>45931</v>
      </c>
      <c r="C2330">
        <v>401140</v>
      </c>
      <c r="D2330" t="s">
        <v>176</v>
      </c>
      <c r="E2330">
        <v>0</v>
      </c>
      <c r="F2330">
        <v>0</v>
      </c>
      <c r="G2330">
        <v>0</v>
      </c>
      <c r="H2330">
        <f>_xlfn.XLOOKUP(FACT_IMPORTS[[#This Row],[hts_6]],DIM_PRODUCTS[hts_6],DIM_PRODUCTS[hts_4],,,)</f>
        <v>4011</v>
      </c>
      <c r="I2330" t="str" cm="1">
        <f t="array" ref="I2330">_xlfn.XLOOKUP(FACT_IMPORTS[[#This Row],[country_name]],DIM_COUNTRY[[#All],[Column2]],DIM_COUNTRY[[#All],[Column3]],,,)</f>
        <v>USMCA</v>
      </c>
    </row>
    <row r="2331" spans="1:9" x14ac:dyDescent="0.4">
      <c r="A2331" t="s">
        <v>61</v>
      </c>
      <c r="B2331" s="1">
        <v>45931</v>
      </c>
      <c r="C2331">
        <v>401190</v>
      </c>
      <c r="D2331" t="s">
        <v>176</v>
      </c>
      <c r="E2331">
        <v>826520</v>
      </c>
      <c r="F2331">
        <v>870</v>
      </c>
      <c r="G2331">
        <v>600</v>
      </c>
      <c r="H2331">
        <f>_xlfn.XLOOKUP(FACT_IMPORTS[[#This Row],[hts_6]],DIM_PRODUCTS[hts_6],DIM_PRODUCTS[hts_4],,,)</f>
        <v>4011</v>
      </c>
      <c r="I2331" t="str" cm="1">
        <f t="array" ref="I2331">_xlfn.XLOOKUP(FACT_IMPORTS[[#This Row],[country_name]],DIM_COUNTRY[[#All],[Column2]],DIM_COUNTRY[[#All],[Column3]],,,)</f>
        <v>USMCA</v>
      </c>
    </row>
    <row r="2332" spans="1:9" x14ac:dyDescent="0.4">
      <c r="A2332" t="s">
        <v>61</v>
      </c>
      <c r="B2332" s="1">
        <v>45931</v>
      </c>
      <c r="C2332">
        <v>700711</v>
      </c>
      <c r="D2332" t="s">
        <v>176</v>
      </c>
      <c r="E2332">
        <v>441096</v>
      </c>
      <c r="F2332">
        <v>3406</v>
      </c>
      <c r="G2332">
        <v>11646</v>
      </c>
      <c r="H2332">
        <f>_xlfn.XLOOKUP(FACT_IMPORTS[[#This Row],[hts_6]],DIM_PRODUCTS[hts_6],DIM_PRODUCTS[hts_4],,,)</f>
        <v>7007</v>
      </c>
      <c r="I2332" t="str" cm="1">
        <f t="array" ref="I2332">_xlfn.XLOOKUP(FACT_IMPORTS[[#This Row],[country_name]],DIM_COUNTRY[[#All],[Column2]],DIM_COUNTRY[[#All],[Column3]],,,)</f>
        <v>USMCA</v>
      </c>
    </row>
    <row r="2333" spans="1:9" x14ac:dyDescent="0.4">
      <c r="A2333" t="s">
        <v>61</v>
      </c>
      <c r="B2333" s="1">
        <v>45931</v>
      </c>
      <c r="C2333">
        <v>700721</v>
      </c>
      <c r="D2333" t="s">
        <v>176</v>
      </c>
      <c r="E2333">
        <v>84794</v>
      </c>
      <c r="F2333">
        <v>648</v>
      </c>
      <c r="G2333">
        <v>2862</v>
      </c>
      <c r="H2333">
        <f>_xlfn.XLOOKUP(FACT_IMPORTS[[#This Row],[hts_6]],DIM_PRODUCTS[hts_6],DIM_PRODUCTS[hts_4],,,)</f>
        <v>7007</v>
      </c>
      <c r="I2333" t="str" cm="1">
        <f t="array" ref="I2333">_xlfn.XLOOKUP(FACT_IMPORTS[[#This Row],[country_name]],DIM_COUNTRY[[#All],[Column2]],DIM_COUNTRY[[#All],[Column3]],,,)</f>
        <v>USMCA</v>
      </c>
    </row>
    <row r="2334" spans="1:9" x14ac:dyDescent="0.4">
      <c r="A2334" t="s">
        <v>61</v>
      </c>
      <c r="B2334" s="1">
        <v>45931</v>
      </c>
      <c r="C2334">
        <v>700910</v>
      </c>
      <c r="D2334" t="s">
        <v>176</v>
      </c>
      <c r="E2334">
        <v>170237</v>
      </c>
      <c r="F2334">
        <v>2749</v>
      </c>
      <c r="G2334">
        <v>1123</v>
      </c>
      <c r="H2334">
        <f>_xlfn.XLOOKUP(FACT_IMPORTS[[#This Row],[hts_6]],DIM_PRODUCTS[hts_6],DIM_PRODUCTS[hts_4],,,)</f>
        <v>7009</v>
      </c>
      <c r="I2334" t="str" cm="1">
        <f t="array" ref="I2334">_xlfn.XLOOKUP(FACT_IMPORTS[[#This Row],[country_name]],DIM_COUNTRY[[#All],[Column2]],DIM_COUNTRY[[#All],[Column3]],,,)</f>
        <v>USMCA</v>
      </c>
    </row>
    <row r="2335" spans="1:9" x14ac:dyDescent="0.4">
      <c r="A2335" t="s">
        <v>61</v>
      </c>
      <c r="B2335" s="1">
        <v>45931</v>
      </c>
      <c r="C2335">
        <v>732010</v>
      </c>
      <c r="D2335" t="s">
        <v>176</v>
      </c>
      <c r="E2335">
        <v>1651329</v>
      </c>
      <c r="F2335">
        <v>434144</v>
      </c>
      <c r="G2335">
        <v>21446</v>
      </c>
      <c r="H2335">
        <f>_xlfn.XLOOKUP(FACT_IMPORTS[[#This Row],[hts_6]],DIM_PRODUCTS[hts_6],DIM_PRODUCTS[hts_4],,,)</f>
        <v>7320</v>
      </c>
      <c r="I2335" t="str" cm="1">
        <f t="array" ref="I2335">_xlfn.XLOOKUP(FACT_IMPORTS[[#This Row],[country_name]],DIM_COUNTRY[[#All],[Column2]],DIM_COUNTRY[[#All],[Column3]],,,)</f>
        <v>USMCA</v>
      </c>
    </row>
    <row r="2336" spans="1:9" x14ac:dyDescent="0.4">
      <c r="A2336" t="s">
        <v>61</v>
      </c>
      <c r="B2336" s="1">
        <v>45931</v>
      </c>
      <c r="C2336">
        <v>830230</v>
      </c>
      <c r="D2336" t="s">
        <v>176</v>
      </c>
      <c r="E2336">
        <v>31693382</v>
      </c>
      <c r="F2336">
        <v>7005889</v>
      </c>
      <c r="G2336">
        <v>1434254</v>
      </c>
      <c r="H2336">
        <f>_xlfn.XLOOKUP(FACT_IMPORTS[[#This Row],[hts_6]],DIM_PRODUCTS[hts_6],DIM_PRODUCTS[hts_4],,,)</f>
        <v>8302</v>
      </c>
      <c r="I2336" t="str" cm="1">
        <f t="array" ref="I2336">_xlfn.XLOOKUP(FACT_IMPORTS[[#This Row],[country_name]],DIM_COUNTRY[[#All],[Column2]],DIM_COUNTRY[[#All],[Column3]],,,)</f>
        <v>USMCA</v>
      </c>
    </row>
    <row r="2337" spans="1:9" x14ac:dyDescent="0.4">
      <c r="A2337" t="s">
        <v>61</v>
      </c>
      <c r="B2337" s="1">
        <v>45931</v>
      </c>
      <c r="C2337">
        <v>840733</v>
      </c>
      <c r="D2337" t="s">
        <v>176</v>
      </c>
      <c r="E2337">
        <v>0</v>
      </c>
      <c r="F2337">
        <v>0</v>
      </c>
      <c r="G2337">
        <v>0</v>
      </c>
      <c r="H2337">
        <f>_xlfn.XLOOKUP(FACT_IMPORTS[[#This Row],[hts_6]],DIM_PRODUCTS[hts_6],DIM_PRODUCTS[hts_4],,,)</f>
        <v>8407</v>
      </c>
      <c r="I2337" t="str" cm="1">
        <f t="array" ref="I2337">_xlfn.XLOOKUP(FACT_IMPORTS[[#This Row],[country_name]],DIM_COUNTRY[[#All],[Column2]],DIM_COUNTRY[[#All],[Column3]],,,)</f>
        <v>USMCA</v>
      </c>
    </row>
    <row r="2338" spans="1:9" x14ac:dyDescent="0.4">
      <c r="A2338" t="s">
        <v>61</v>
      </c>
      <c r="B2338" s="1">
        <v>45931</v>
      </c>
      <c r="C2338">
        <v>840734</v>
      </c>
      <c r="D2338" t="s">
        <v>176</v>
      </c>
      <c r="E2338">
        <v>186023105</v>
      </c>
      <c r="F2338">
        <v>57448</v>
      </c>
      <c r="G2338">
        <v>474965</v>
      </c>
      <c r="H2338">
        <f>_xlfn.XLOOKUP(FACT_IMPORTS[[#This Row],[hts_6]],DIM_PRODUCTS[hts_6],DIM_PRODUCTS[hts_4],,,)</f>
        <v>8407</v>
      </c>
      <c r="I2338" t="str" cm="1">
        <f t="array" ref="I2338">_xlfn.XLOOKUP(FACT_IMPORTS[[#This Row],[country_name]],DIM_COUNTRY[[#All],[Column2]],DIM_COUNTRY[[#All],[Column3]],,,)</f>
        <v>USMCA</v>
      </c>
    </row>
    <row r="2339" spans="1:9" x14ac:dyDescent="0.4">
      <c r="A2339" t="s">
        <v>61</v>
      </c>
      <c r="B2339" s="1">
        <v>45931</v>
      </c>
      <c r="C2339">
        <v>840790</v>
      </c>
      <c r="D2339" t="s">
        <v>176</v>
      </c>
      <c r="E2339">
        <v>1285976</v>
      </c>
      <c r="F2339">
        <v>511</v>
      </c>
      <c r="G2339">
        <v>1177</v>
      </c>
      <c r="H2339">
        <f>_xlfn.XLOOKUP(FACT_IMPORTS[[#This Row],[hts_6]],DIM_PRODUCTS[hts_6],DIM_PRODUCTS[hts_4],,,)</f>
        <v>8407</v>
      </c>
      <c r="I2339" t="str" cm="1">
        <f t="array" ref="I2339">_xlfn.XLOOKUP(FACT_IMPORTS[[#This Row],[country_name]],DIM_COUNTRY[[#All],[Column2]],DIM_COUNTRY[[#All],[Column3]],,,)</f>
        <v>USMCA</v>
      </c>
    </row>
    <row r="2340" spans="1:9" x14ac:dyDescent="0.4">
      <c r="A2340" t="s">
        <v>61</v>
      </c>
      <c r="B2340" s="1">
        <v>45931</v>
      </c>
      <c r="C2340">
        <v>840820</v>
      </c>
      <c r="D2340" t="s">
        <v>176</v>
      </c>
      <c r="E2340">
        <v>765652</v>
      </c>
      <c r="F2340">
        <v>71</v>
      </c>
      <c r="G2340">
        <v>2509</v>
      </c>
      <c r="H2340">
        <f>_xlfn.XLOOKUP(FACT_IMPORTS[[#This Row],[hts_6]],DIM_PRODUCTS[hts_6],DIM_PRODUCTS[hts_4],,,)</f>
        <v>8408</v>
      </c>
      <c r="I2340" t="str" cm="1">
        <f t="array" ref="I2340">_xlfn.XLOOKUP(FACT_IMPORTS[[#This Row],[country_name]],DIM_COUNTRY[[#All],[Column2]],DIM_COUNTRY[[#All],[Column3]],,,)</f>
        <v>USMCA</v>
      </c>
    </row>
    <row r="2341" spans="1:9" x14ac:dyDescent="0.4">
      <c r="A2341" t="s">
        <v>61</v>
      </c>
      <c r="B2341" s="1">
        <v>45931</v>
      </c>
      <c r="C2341">
        <v>840890</v>
      </c>
      <c r="D2341" t="s">
        <v>176</v>
      </c>
      <c r="E2341">
        <v>407576</v>
      </c>
      <c r="F2341">
        <v>38</v>
      </c>
      <c r="G2341">
        <v>1262</v>
      </c>
      <c r="H2341">
        <f>_xlfn.XLOOKUP(FACT_IMPORTS[[#This Row],[hts_6]],DIM_PRODUCTS[hts_6],DIM_PRODUCTS[hts_4],,,)</f>
        <v>8408</v>
      </c>
      <c r="I2341" t="str" cm="1">
        <f t="array" ref="I2341">_xlfn.XLOOKUP(FACT_IMPORTS[[#This Row],[country_name]],DIM_COUNTRY[[#All],[Column2]],DIM_COUNTRY[[#All],[Column3]],,,)</f>
        <v>USMCA</v>
      </c>
    </row>
    <row r="2342" spans="1:9" x14ac:dyDescent="0.4">
      <c r="A2342" t="s">
        <v>61</v>
      </c>
      <c r="B2342" s="1">
        <v>45931</v>
      </c>
      <c r="C2342">
        <v>840991</v>
      </c>
      <c r="D2342" t="s">
        <v>176</v>
      </c>
      <c r="E2342">
        <v>43872448</v>
      </c>
      <c r="F2342">
        <v>3586512</v>
      </c>
      <c r="G2342">
        <v>256497</v>
      </c>
      <c r="H2342">
        <f>_xlfn.XLOOKUP(FACT_IMPORTS[[#This Row],[hts_6]],DIM_PRODUCTS[hts_6],DIM_PRODUCTS[hts_4],,,)</f>
        <v>8409</v>
      </c>
      <c r="I2342" t="str" cm="1">
        <f t="array" ref="I2342">_xlfn.XLOOKUP(FACT_IMPORTS[[#This Row],[country_name]],DIM_COUNTRY[[#All],[Column2]],DIM_COUNTRY[[#All],[Column3]],,,)</f>
        <v>USMCA</v>
      </c>
    </row>
    <row r="2343" spans="1:9" x14ac:dyDescent="0.4">
      <c r="A2343" t="s">
        <v>61</v>
      </c>
      <c r="B2343" s="1">
        <v>45931</v>
      </c>
      <c r="C2343">
        <v>840999</v>
      </c>
      <c r="D2343" t="s">
        <v>176</v>
      </c>
      <c r="E2343">
        <v>11584068</v>
      </c>
      <c r="F2343">
        <v>906876</v>
      </c>
      <c r="G2343">
        <v>102308</v>
      </c>
      <c r="H2343">
        <f>_xlfn.XLOOKUP(FACT_IMPORTS[[#This Row],[hts_6]],DIM_PRODUCTS[hts_6],DIM_PRODUCTS[hts_4],,,)</f>
        <v>8409</v>
      </c>
      <c r="I2343" t="str" cm="1">
        <f t="array" ref="I2343">_xlfn.XLOOKUP(FACT_IMPORTS[[#This Row],[country_name]],DIM_COUNTRY[[#All],[Column2]],DIM_COUNTRY[[#All],[Column3]],,,)</f>
        <v>USMCA</v>
      </c>
    </row>
    <row r="2344" spans="1:9" x14ac:dyDescent="0.4">
      <c r="A2344" t="s">
        <v>61</v>
      </c>
      <c r="B2344" s="1">
        <v>45931</v>
      </c>
      <c r="C2344">
        <v>841330</v>
      </c>
      <c r="D2344" t="s">
        <v>176</v>
      </c>
      <c r="E2344">
        <v>12336139</v>
      </c>
      <c r="F2344">
        <v>192514</v>
      </c>
      <c r="G2344">
        <v>75088</v>
      </c>
      <c r="H2344">
        <f>_xlfn.XLOOKUP(FACT_IMPORTS[[#This Row],[hts_6]],DIM_PRODUCTS[hts_6],DIM_PRODUCTS[hts_4],,,)</f>
        <v>8413</v>
      </c>
      <c r="I2344" t="str" cm="1">
        <f t="array" ref="I2344">_xlfn.XLOOKUP(FACT_IMPORTS[[#This Row],[country_name]],DIM_COUNTRY[[#All],[Column2]],DIM_COUNTRY[[#All],[Column3]],,,)</f>
        <v>USMCA</v>
      </c>
    </row>
    <row r="2345" spans="1:9" x14ac:dyDescent="0.4">
      <c r="A2345" t="s">
        <v>61</v>
      </c>
      <c r="B2345" s="1">
        <v>45931</v>
      </c>
      <c r="C2345">
        <v>841520</v>
      </c>
      <c r="D2345" t="s">
        <v>176</v>
      </c>
      <c r="E2345">
        <v>5116712</v>
      </c>
      <c r="F2345">
        <v>27510</v>
      </c>
      <c r="G2345">
        <v>103791</v>
      </c>
      <c r="H2345">
        <f>_xlfn.XLOOKUP(FACT_IMPORTS[[#This Row],[hts_6]],DIM_PRODUCTS[hts_6],DIM_PRODUCTS[hts_4],,,)</f>
        <v>8415</v>
      </c>
      <c r="I2345" t="str" cm="1">
        <f t="array" ref="I2345">_xlfn.XLOOKUP(FACT_IMPORTS[[#This Row],[country_name]],DIM_COUNTRY[[#All],[Column2]],DIM_COUNTRY[[#All],[Column3]],,,)</f>
        <v>USMCA</v>
      </c>
    </row>
    <row r="2346" spans="1:9" x14ac:dyDescent="0.4">
      <c r="A2346" t="s">
        <v>61</v>
      </c>
      <c r="B2346" s="1">
        <v>45931</v>
      </c>
      <c r="C2346">
        <v>842132</v>
      </c>
      <c r="D2346" t="s">
        <v>176</v>
      </c>
      <c r="E2346">
        <v>31138050</v>
      </c>
      <c r="F2346">
        <v>98115</v>
      </c>
      <c r="G2346">
        <v>91223</v>
      </c>
      <c r="H2346">
        <f>_xlfn.XLOOKUP(FACT_IMPORTS[[#This Row],[hts_6]],DIM_PRODUCTS[hts_6],DIM_PRODUCTS[hts_4],,,)</f>
        <v>8421</v>
      </c>
      <c r="I2346" t="str" cm="1">
        <f t="array" ref="I2346">_xlfn.XLOOKUP(FACT_IMPORTS[[#This Row],[country_name]],DIM_COUNTRY[[#All],[Column2]],DIM_COUNTRY[[#All],[Column3]],,,)</f>
        <v>USMCA</v>
      </c>
    </row>
    <row r="2347" spans="1:9" x14ac:dyDescent="0.4">
      <c r="A2347" t="s">
        <v>61</v>
      </c>
      <c r="B2347" s="1">
        <v>45931</v>
      </c>
      <c r="C2347">
        <v>848210</v>
      </c>
      <c r="D2347" t="s">
        <v>176</v>
      </c>
      <c r="E2347">
        <v>4829712</v>
      </c>
      <c r="F2347">
        <v>619966</v>
      </c>
      <c r="G2347">
        <v>76791</v>
      </c>
      <c r="H2347">
        <f>_xlfn.XLOOKUP(FACT_IMPORTS[[#This Row],[hts_6]],DIM_PRODUCTS[hts_6],DIM_PRODUCTS[hts_4],,,)</f>
        <v>8482</v>
      </c>
      <c r="I2347" t="str" cm="1">
        <f t="array" ref="I2347">_xlfn.XLOOKUP(FACT_IMPORTS[[#This Row],[country_name]],DIM_COUNTRY[[#All],[Column2]],DIM_COUNTRY[[#All],[Column3]],,,)</f>
        <v>USMCA</v>
      </c>
    </row>
    <row r="2348" spans="1:9" x14ac:dyDescent="0.4">
      <c r="A2348" t="s">
        <v>61</v>
      </c>
      <c r="B2348" s="1">
        <v>45931</v>
      </c>
      <c r="C2348">
        <v>848220</v>
      </c>
      <c r="D2348" t="s">
        <v>176</v>
      </c>
      <c r="E2348">
        <v>199021</v>
      </c>
      <c r="F2348">
        <v>2351</v>
      </c>
      <c r="G2348">
        <v>4568</v>
      </c>
      <c r="H2348">
        <f>_xlfn.XLOOKUP(FACT_IMPORTS[[#This Row],[hts_6]],DIM_PRODUCTS[hts_6],DIM_PRODUCTS[hts_4],,,)</f>
        <v>8482</v>
      </c>
      <c r="I2348" t="str" cm="1">
        <f t="array" ref="I2348">_xlfn.XLOOKUP(FACT_IMPORTS[[#This Row],[country_name]],DIM_COUNTRY[[#All],[Column2]],DIM_COUNTRY[[#All],[Column3]],,,)</f>
        <v>USMCA</v>
      </c>
    </row>
    <row r="2349" spans="1:9" x14ac:dyDescent="0.4">
      <c r="A2349" t="s">
        <v>61</v>
      </c>
      <c r="B2349" s="1">
        <v>45931</v>
      </c>
      <c r="C2349">
        <v>848310</v>
      </c>
      <c r="D2349" t="s">
        <v>176</v>
      </c>
      <c r="E2349">
        <v>17110806</v>
      </c>
      <c r="F2349">
        <v>572865</v>
      </c>
      <c r="G2349">
        <v>109013</v>
      </c>
      <c r="H2349">
        <f>_xlfn.XLOOKUP(FACT_IMPORTS[[#This Row],[hts_6]],DIM_PRODUCTS[hts_6],DIM_PRODUCTS[hts_4],,,)</f>
        <v>8483</v>
      </c>
      <c r="I2349" t="str" cm="1">
        <f t="array" ref="I2349">_xlfn.XLOOKUP(FACT_IMPORTS[[#This Row],[country_name]],DIM_COUNTRY[[#All],[Column2]],DIM_COUNTRY[[#All],[Column3]],,,)</f>
        <v>USMCA</v>
      </c>
    </row>
    <row r="2350" spans="1:9" x14ac:dyDescent="0.4">
      <c r="A2350" t="s">
        <v>61</v>
      </c>
      <c r="B2350" s="1">
        <v>45931</v>
      </c>
      <c r="C2350">
        <v>850131</v>
      </c>
      <c r="D2350" t="s">
        <v>176</v>
      </c>
      <c r="E2350">
        <v>2013633</v>
      </c>
      <c r="F2350">
        <v>84329</v>
      </c>
      <c r="G2350">
        <v>52984</v>
      </c>
      <c r="H2350">
        <f>_xlfn.XLOOKUP(FACT_IMPORTS[[#This Row],[hts_6]],DIM_PRODUCTS[hts_6],DIM_PRODUCTS[hts_4],,,)</f>
        <v>8501</v>
      </c>
      <c r="I2350" t="str" cm="1">
        <f t="array" ref="I2350">_xlfn.XLOOKUP(FACT_IMPORTS[[#This Row],[country_name]],DIM_COUNTRY[[#All],[Column2]],DIM_COUNTRY[[#All],[Column3]],,,)</f>
        <v>USMCA</v>
      </c>
    </row>
    <row r="2351" spans="1:9" x14ac:dyDescent="0.4">
      <c r="A2351" t="s">
        <v>61</v>
      </c>
      <c r="B2351" s="1">
        <v>45931</v>
      </c>
      <c r="C2351">
        <v>850132</v>
      </c>
      <c r="D2351" t="s">
        <v>176</v>
      </c>
      <c r="E2351">
        <v>237162</v>
      </c>
      <c r="F2351">
        <v>299</v>
      </c>
      <c r="G2351">
        <v>1289</v>
      </c>
      <c r="H2351">
        <f>_xlfn.XLOOKUP(FACT_IMPORTS[[#This Row],[hts_6]],DIM_PRODUCTS[hts_6],DIM_PRODUCTS[hts_4],,,)</f>
        <v>8501</v>
      </c>
      <c r="I2351" t="str" cm="1">
        <f t="array" ref="I2351">_xlfn.XLOOKUP(FACT_IMPORTS[[#This Row],[country_name]],DIM_COUNTRY[[#All],[Column2]],DIM_COUNTRY[[#All],[Column3]],,,)</f>
        <v>USMCA</v>
      </c>
    </row>
    <row r="2352" spans="1:9" x14ac:dyDescent="0.4">
      <c r="A2352" t="s">
        <v>61</v>
      </c>
      <c r="B2352" s="1">
        <v>45931</v>
      </c>
      <c r="C2352">
        <v>850133</v>
      </c>
      <c r="D2352" t="s">
        <v>176</v>
      </c>
      <c r="E2352">
        <v>8223</v>
      </c>
      <c r="F2352">
        <v>1</v>
      </c>
      <c r="G2352">
        <v>200</v>
      </c>
      <c r="H2352">
        <f>_xlfn.XLOOKUP(FACT_IMPORTS[[#This Row],[hts_6]],DIM_PRODUCTS[hts_6],DIM_PRODUCTS[hts_4],,,)</f>
        <v>8501</v>
      </c>
      <c r="I2352" t="str" cm="1">
        <f t="array" ref="I2352">_xlfn.XLOOKUP(FACT_IMPORTS[[#This Row],[country_name]],DIM_COUNTRY[[#All],[Column2]],DIM_COUNTRY[[#All],[Column3]],,,)</f>
        <v>USMCA</v>
      </c>
    </row>
    <row r="2353" spans="1:9" x14ac:dyDescent="0.4">
      <c r="A2353" t="s">
        <v>61</v>
      </c>
      <c r="B2353" s="1">
        <v>45931</v>
      </c>
      <c r="C2353">
        <v>850134</v>
      </c>
      <c r="D2353" t="s">
        <v>176</v>
      </c>
      <c r="E2353">
        <v>6542</v>
      </c>
      <c r="F2353">
        <v>2</v>
      </c>
      <c r="G2353">
        <v>200</v>
      </c>
      <c r="H2353">
        <f>_xlfn.XLOOKUP(FACT_IMPORTS[[#This Row],[hts_6]],DIM_PRODUCTS[hts_6],DIM_PRODUCTS[hts_4],,,)</f>
        <v>8501</v>
      </c>
      <c r="I2353" t="str" cm="1">
        <f t="array" ref="I2353">_xlfn.XLOOKUP(FACT_IMPORTS[[#This Row],[country_name]],DIM_COUNTRY[[#All],[Column2]],DIM_COUNTRY[[#All],[Column3]],,,)</f>
        <v>USMCA</v>
      </c>
    </row>
    <row r="2354" spans="1:9" x14ac:dyDescent="0.4">
      <c r="A2354" t="s">
        <v>61</v>
      </c>
      <c r="B2354" s="1">
        <v>45931</v>
      </c>
      <c r="C2354">
        <v>850152</v>
      </c>
      <c r="D2354" t="s">
        <v>176</v>
      </c>
      <c r="E2354">
        <v>413076</v>
      </c>
      <c r="F2354">
        <v>537</v>
      </c>
      <c r="G2354">
        <v>6893</v>
      </c>
      <c r="H2354">
        <f>_xlfn.XLOOKUP(FACT_IMPORTS[[#This Row],[hts_6]],DIM_PRODUCTS[hts_6],DIM_PRODUCTS[hts_4],,,)</f>
        <v>8501</v>
      </c>
      <c r="I2354" t="str" cm="1">
        <f t="array" ref="I2354">_xlfn.XLOOKUP(FACT_IMPORTS[[#This Row],[country_name]],DIM_COUNTRY[[#All],[Column2]],DIM_COUNTRY[[#All],[Column3]],,,)</f>
        <v>USMCA</v>
      </c>
    </row>
    <row r="2355" spans="1:9" x14ac:dyDescent="0.4">
      <c r="A2355" t="s">
        <v>61</v>
      </c>
      <c r="B2355" s="1">
        <v>45931</v>
      </c>
      <c r="C2355">
        <v>850153</v>
      </c>
      <c r="D2355" t="s">
        <v>176</v>
      </c>
      <c r="E2355">
        <v>729335</v>
      </c>
      <c r="F2355">
        <v>46</v>
      </c>
      <c r="G2355">
        <v>5685</v>
      </c>
      <c r="H2355">
        <f>_xlfn.XLOOKUP(FACT_IMPORTS[[#This Row],[hts_6]],DIM_PRODUCTS[hts_6],DIM_PRODUCTS[hts_4],,,)</f>
        <v>8501</v>
      </c>
      <c r="I2355" t="str" cm="1">
        <f t="array" ref="I2355">_xlfn.XLOOKUP(FACT_IMPORTS[[#This Row],[country_name]],DIM_COUNTRY[[#All],[Column2]],DIM_COUNTRY[[#All],[Column3]],,,)</f>
        <v>USMCA</v>
      </c>
    </row>
    <row r="2356" spans="1:9" x14ac:dyDescent="0.4">
      <c r="A2356" t="s">
        <v>61</v>
      </c>
      <c r="B2356" s="1">
        <v>45931</v>
      </c>
      <c r="C2356">
        <v>850161</v>
      </c>
      <c r="D2356" t="s">
        <v>176</v>
      </c>
      <c r="E2356">
        <v>16619</v>
      </c>
      <c r="F2356">
        <v>54</v>
      </c>
      <c r="G2356">
        <v>102</v>
      </c>
      <c r="H2356">
        <f>_xlfn.XLOOKUP(FACT_IMPORTS[[#This Row],[hts_6]],DIM_PRODUCTS[hts_6],DIM_PRODUCTS[hts_4],,,)</f>
        <v>8501</v>
      </c>
      <c r="I2356" t="str" cm="1">
        <f t="array" ref="I2356">_xlfn.XLOOKUP(FACT_IMPORTS[[#This Row],[country_name]],DIM_COUNTRY[[#All],[Column2]],DIM_COUNTRY[[#All],[Column3]],,,)</f>
        <v>USMCA</v>
      </c>
    </row>
    <row r="2357" spans="1:9" x14ac:dyDescent="0.4">
      <c r="A2357" t="s">
        <v>61</v>
      </c>
      <c r="B2357" s="1">
        <v>45931</v>
      </c>
      <c r="C2357">
        <v>850440</v>
      </c>
      <c r="D2357" t="s">
        <v>176</v>
      </c>
      <c r="E2357">
        <v>5079893</v>
      </c>
      <c r="F2357">
        <v>4454</v>
      </c>
      <c r="G2357">
        <v>52028</v>
      </c>
      <c r="H2357">
        <f>_xlfn.XLOOKUP(FACT_IMPORTS[[#This Row],[hts_6]],DIM_PRODUCTS[hts_6],DIM_PRODUCTS[hts_4],,,)</f>
        <v>8504</v>
      </c>
      <c r="I2357" t="str" cm="1">
        <f t="array" ref="I2357">_xlfn.XLOOKUP(FACT_IMPORTS[[#This Row],[country_name]],DIM_COUNTRY[[#All],[Column2]],DIM_COUNTRY[[#All],[Column3]],,,)</f>
        <v>USMCA</v>
      </c>
    </row>
    <row r="2358" spans="1:9" x14ac:dyDescent="0.4">
      <c r="A2358" t="s">
        <v>61</v>
      </c>
      <c r="B2358" s="1">
        <v>45931</v>
      </c>
      <c r="C2358">
        <v>850710</v>
      </c>
      <c r="D2358" t="s">
        <v>176</v>
      </c>
      <c r="E2358">
        <v>1074199</v>
      </c>
      <c r="F2358">
        <v>2520</v>
      </c>
      <c r="G2358">
        <v>31953</v>
      </c>
      <c r="H2358">
        <f>_xlfn.XLOOKUP(FACT_IMPORTS[[#This Row],[hts_6]],DIM_PRODUCTS[hts_6],DIM_PRODUCTS[hts_4],,,)</f>
        <v>8507</v>
      </c>
      <c r="I2358" t="str" cm="1">
        <f t="array" ref="I2358">_xlfn.XLOOKUP(FACT_IMPORTS[[#This Row],[country_name]],DIM_COUNTRY[[#All],[Column2]],DIM_COUNTRY[[#All],[Column3]],,,)</f>
        <v>USMCA</v>
      </c>
    </row>
    <row r="2359" spans="1:9" x14ac:dyDescent="0.4">
      <c r="A2359" t="s">
        <v>61</v>
      </c>
      <c r="B2359" s="1">
        <v>45931</v>
      </c>
      <c r="C2359">
        <v>850760</v>
      </c>
      <c r="D2359" t="s">
        <v>176</v>
      </c>
      <c r="E2359">
        <v>6049592</v>
      </c>
      <c r="F2359">
        <v>91506</v>
      </c>
      <c r="G2359">
        <v>74928</v>
      </c>
      <c r="H2359">
        <f>_xlfn.XLOOKUP(FACT_IMPORTS[[#This Row],[hts_6]],DIM_PRODUCTS[hts_6],DIM_PRODUCTS[hts_4],,,)</f>
        <v>8507</v>
      </c>
      <c r="I2359" t="str" cm="1">
        <f t="array" ref="I2359">_xlfn.XLOOKUP(FACT_IMPORTS[[#This Row],[country_name]],DIM_COUNTRY[[#All],[Column2]],DIM_COUNTRY[[#All],[Column3]],,,)</f>
        <v>USMCA</v>
      </c>
    </row>
    <row r="2360" spans="1:9" x14ac:dyDescent="0.4">
      <c r="A2360" t="s">
        <v>61</v>
      </c>
      <c r="B2360" s="1">
        <v>45931</v>
      </c>
      <c r="C2360">
        <v>850790</v>
      </c>
      <c r="D2360" t="s">
        <v>176</v>
      </c>
      <c r="E2360">
        <v>649243</v>
      </c>
      <c r="F2360">
        <v>56738</v>
      </c>
      <c r="G2360">
        <v>14519</v>
      </c>
      <c r="H2360">
        <f>_xlfn.XLOOKUP(FACT_IMPORTS[[#This Row],[hts_6]],DIM_PRODUCTS[hts_6],DIM_PRODUCTS[hts_4],,,)</f>
        <v>8507</v>
      </c>
      <c r="I2360" t="str" cm="1">
        <f t="array" ref="I2360">_xlfn.XLOOKUP(FACT_IMPORTS[[#This Row],[country_name]],DIM_COUNTRY[[#All],[Column2]],DIM_COUNTRY[[#All],[Column3]],,,)</f>
        <v>USMCA</v>
      </c>
    </row>
    <row r="2361" spans="1:9" x14ac:dyDescent="0.4">
      <c r="A2361" t="s">
        <v>61</v>
      </c>
      <c r="B2361" s="1">
        <v>45931</v>
      </c>
      <c r="C2361">
        <v>851110</v>
      </c>
      <c r="D2361" t="s">
        <v>176</v>
      </c>
      <c r="E2361">
        <v>236597</v>
      </c>
      <c r="F2361">
        <v>407</v>
      </c>
      <c r="G2361">
        <v>417</v>
      </c>
      <c r="H2361">
        <f>_xlfn.XLOOKUP(FACT_IMPORTS[[#This Row],[hts_6]],DIM_PRODUCTS[hts_6],DIM_PRODUCTS[hts_4],,,)</f>
        <v>8511</v>
      </c>
      <c r="I2361" t="str" cm="1">
        <f t="array" ref="I2361">_xlfn.XLOOKUP(FACT_IMPORTS[[#This Row],[country_name]],DIM_COUNTRY[[#All],[Column2]],DIM_COUNTRY[[#All],[Column3]],,,)</f>
        <v>USMCA</v>
      </c>
    </row>
    <row r="2362" spans="1:9" x14ac:dyDescent="0.4">
      <c r="A2362" t="s">
        <v>61</v>
      </c>
      <c r="B2362" s="1">
        <v>45931</v>
      </c>
      <c r="C2362">
        <v>851130</v>
      </c>
      <c r="D2362" t="s">
        <v>176</v>
      </c>
      <c r="E2362">
        <v>4139</v>
      </c>
      <c r="F2362">
        <v>96</v>
      </c>
      <c r="G2362">
        <v>60</v>
      </c>
      <c r="H2362">
        <f>_xlfn.XLOOKUP(FACT_IMPORTS[[#This Row],[hts_6]],DIM_PRODUCTS[hts_6],DIM_PRODUCTS[hts_4],,,)</f>
        <v>8511</v>
      </c>
      <c r="I2362" t="str" cm="1">
        <f t="array" ref="I2362">_xlfn.XLOOKUP(FACT_IMPORTS[[#This Row],[country_name]],DIM_COUNTRY[[#All],[Column2]],DIM_COUNTRY[[#All],[Column3]],,,)</f>
        <v>USMCA</v>
      </c>
    </row>
    <row r="2363" spans="1:9" x14ac:dyDescent="0.4">
      <c r="A2363" t="s">
        <v>61</v>
      </c>
      <c r="B2363" s="1">
        <v>45931</v>
      </c>
      <c r="C2363">
        <v>851140</v>
      </c>
      <c r="D2363" t="s">
        <v>176</v>
      </c>
      <c r="E2363">
        <v>381233</v>
      </c>
      <c r="F2363">
        <v>8676</v>
      </c>
      <c r="G2363">
        <v>4076</v>
      </c>
      <c r="H2363">
        <f>_xlfn.XLOOKUP(FACT_IMPORTS[[#This Row],[hts_6]],DIM_PRODUCTS[hts_6],DIM_PRODUCTS[hts_4],,,)</f>
        <v>8511</v>
      </c>
      <c r="I2363" t="str" cm="1">
        <f t="array" ref="I2363">_xlfn.XLOOKUP(FACT_IMPORTS[[#This Row],[country_name]],DIM_COUNTRY[[#All],[Column2]],DIM_COUNTRY[[#All],[Column3]],,,)</f>
        <v>USMCA</v>
      </c>
    </row>
    <row r="2364" spans="1:9" x14ac:dyDescent="0.4">
      <c r="A2364" t="s">
        <v>61</v>
      </c>
      <c r="B2364" s="1">
        <v>45931</v>
      </c>
      <c r="C2364">
        <v>851150</v>
      </c>
      <c r="D2364" t="s">
        <v>176</v>
      </c>
      <c r="E2364">
        <v>311855</v>
      </c>
      <c r="F2364">
        <v>3677</v>
      </c>
      <c r="G2364">
        <v>2500</v>
      </c>
      <c r="H2364">
        <f>_xlfn.XLOOKUP(FACT_IMPORTS[[#This Row],[hts_6]],DIM_PRODUCTS[hts_6],DIM_PRODUCTS[hts_4],,,)</f>
        <v>8511</v>
      </c>
      <c r="I2364" t="str" cm="1">
        <f t="array" ref="I2364">_xlfn.XLOOKUP(FACT_IMPORTS[[#This Row],[country_name]],DIM_COUNTRY[[#All],[Column2]],DIM_COUNTRY[[#All],[Column3]],,,)</f>
        <v>USMCA</v>
      </c>
    </row>
    <row r="2365" spans="1:9" x14ac:dyDescent="0.4">
      <c r="A2365" t="s">
        <v>61</v>
      </c>
      <c r="B2365" s="1">
        <v>45931</v>
      </c>
      <c r="C2365">
        <v>851180</v>
      </c>
      <c r="D2365" t="s">
        <v>176</v>
      </c>
      <c r="E2365">
        <v>26202</v>
      </c>
      <c r="F2365">
        <v>68</v>
      </c>
      <c r="G2365">
        <v>250</v>
      </c>
      <c r="H2365">
        <f>_xlfn.XLOOKUP(FACT_IMPORTS[[#This Row],[hts_6]],DIM_PRODUCTS[hts_6],DIM_PRODUCTS[hts_4],,,)</f>
        <v>8511</v>
      </c>
      <c r="I2365" t="str" cm="1">
        <f t="array" ref="I2365">_xlfn.XLOOKUP(FACT_IMPORTS[[#This Row],[country_name]],DIM_COUNTRY[[#All],[Column2]],DIM_COUNTRY[[#All],[Column3]],,,)</f>
        <v>USMCA</v>
      </c>
    </row>
    <row r="2366" spans="1:9" x14ac:dyDescent="0.4">
      <c r="A2366" t="s">
        <v>61</v>
      </c>
      <c r="B2366" s="1">
        <v>45931</v>
      </c>
      <c r="C2366">
        <v>851190</v>
      </c>
      <c r="D2366" t="s">
        <v>176</v>
      </c>
      <c r="E2366">
        <v>362110</v>
      </c>
      <c r="F2366">
        <v>2788</v>
      </c>
      <c r="G2366">
        <v>10638</v>
      </c>
      <c r="H2366">
        <f>_xlfn.XLOOKUP(FACT_IMPORTS[[#This Row],[hts_6]],DIM_PRODUCTS[hts_6],DIM_PRODUCTS[hts_4],,,)</f>
        <v>8511</v>
      </c>
      <c r="I2366" t="str" cm="1">
        <f t="array" ref="I2366">_xlfn.XLOOKUP(FACT_IMPORTS[[#This Row],[country_name]],DIM_COUNTRY[[#All],[Column2]],DIM_COUNTRY[[#All],[Column3]],,,)</f>
        <v>USMCA</v>
      </c>
    </row>
    <row r="2367" spans="1:9" x14ac:dyDescent="0.4">
      <c r="A2367" t="s">
        <v>61</v>
      </c>
      <c r="B2367" s="1">
        <v>45931</v>
      </c>
      <c r="C2367">
        <v>851220</v>
      </c>
      <c r="D2367" t="s">
        <v>176</v>
      </c>
      <c r="E2367">
        <v>19328899</v>
      </c>
      <c r="F2367">
        <v>286550</v>
      </c>
      <c r="G2367">
        <v>166820</v>
      </c>
      <c r="H2367">
        <f>_xlfn.XLOOKUP(FACT_IMPORTS[[#This Row],[hts_6]],DIM_PRODUCTS[hts_6],DIM_PRODUCTS[hts_4],,,)</f>
        <v>8512</v>
      </c>
      <c r="I2367" t="str" cm="1">
        <f t="array" ref="I2367">_xlfn.XLOOKUP(FACT_IMPORTS[[#This Row],[country_name]],DIM_COUNTRY[[#All],[Column2]],DIM_COUNTRY[[#All],[Column3]],,,)</f>
        <v>USMCA</v>
      </c>
    </row>
    <row r="2368" spans="1:9" x14ac:dyDescent="0.4">
      <c r="A2368" t="s">
        <v>61</v>
      </c>
      <c r="B2368" s="1">
        <v>45931</v>
      </c>
      <c r="C2368">
        <v>851230</v>
      </c>
      <c r="D2368" t="s">
        <v>176</v>
      </c>
      <c r="E2368">
        <v>38304</v>
      </c>
      <c r="F2368">
        <v>1055</v>
      </c>
      <c r="G2368">
        <v>1465</v>
      </c>
      <c r="H2368">
        <f>_xlfn.XLOOKUP(FACT_IMPORTS[[#This Row],[hts_6]],DIM_PRODUCTS[hts_6],DIM_PRODUCTS[hts_4],,,)</f>
        <v>8512</v>
      </c>
      <c r="I2368" t="str" cm="1">
        <f t="array" ref="I2368">_xlfn.XLOOKUP(FACT_IMPORTS[[#This Row],[country_name]],DIM_COUNTRY[[#All],[Column2]],DIM_COUNTRY[[#All],[Column3]],,,)</f>
        <v>USMCA</v>
      </c>
    </row>
    <row r="2369" spans="1:9" x14ac:dyDescent="0.4">
      <c r="A2369" t="s">
        <v>61</v>
      </c>
      <c r="B2369" s="1">
        <v>45931</v>
      </c>
      <c r="C2369">
        <v>851240</v>
      </c>
      <c r="D2369" t="s">
        <v>176</v>
      </c>
      <c r="E2369">
        <v>3215</v>
      </c>
      <c r="F2369">
        <v>14</v>
      </c>
      <c r="G2369">
        <v>1</v>
      </c>
      <c r="H2369">
        <f>_xlfn.XLOOKUP(FACT_IMPORTS[[#This Row],[hts_6]],DIM_PRODUCTS[hts_6],DIM_PRODUCTS[hts_4],,,)</f>
        <v>8512</v>
      </c>
      <c r="I2369" t="str" cm="1">
        <f t="array" ref="I2369">_xlfn.XLOOKUP(FACT_IMPORTS[[#This Row],[country_name]],DIM_COUNTRY[[#All],[Column2]],DIM_COUNTRY[[#All],[Column3]],,,)</f>
        <v>USMCA</v>
      </c>
    </row>
    <row r="2370" spans="1:9" x14ac:dyDescent="0.4">
      <c r="A2370" t="s">
        <v>61</v>
      </c>
      <c r="B2370" s="1">
        <v>45931</v>
      </c>
      <c r="C2370">
        <v>851290</v>
      </c>
      <c r="D2370" t="s">
        <v>176</v>
      </c>
      <c r="E2370">
        <v>1030250</v>
      </c>
      <c r="F2370">
        <v>29206</v>
      </c>
      <c r="G2370">
        <v>3815</v>
      </c>
      <c r="H2370">
        <f>_xlfn.XLOOKUP(FACT_IMPORTS[[#This Row],[hts_6]],DIM_PRODUCTS[hts_6],DIM_PRODUCTS[hts_4],,,)</f>
        <v>8512</v>
      </c>
      <c r="I2370" t="str" cm="1">
        <f t="array" ref="I2370">_xlfn.XLOOKUP(FACT_IMPORTS[[#This Row],[country_name]],DIM_COUNTRY[[#All],[Column2]],DIM_COUNTRY[[#All],[Column3]],,,)</f>
        <v>USMCA</v>
      </c>
    </row>
    <row r="2371" spans="1:9" x14ac:dyDescent="0.4">
      <c r="A2371" t="s">
        <v>61</v>
      </c>
      <c r="B2371" s="1">
        <v>45931</v>
      </c>
      <c r="C2371">
        <v>854231</v>
      </c>
      <c r="D2371" t="s">
        <v>176</v>
      </c>
      <c r="E2371">
        <v>36133</v>
      </c>
      <c r="F2371">
        <v>324</v>
      </c>
      <c r="G2371">
        <v>51</v>
      </c>
      <c r="H2371">
        <f>_xlfn.XLOOKUP(FACT_IMPORTS[[#This Row],[hts_6]],DIM_PRODUCTS[hts_6],DIM_PRODUCTS[hts_4],,,)</f>
        <v>8542</v>
      </c>
      <c r="I2371" t="str" cm="1">
        <f t="array" ref="I2371">_xlfn.XLOOKUP(FACT_IMPORTS[[#This Row],[country_name]],DIM_COUNTRY[[#All],[Column2]],DIM_COUNTRY[[#All],[Column3]],,,)</f>
        <v>USMCA</v>
      </c>
    </row>
    <row r="2372" spans="1:9" x14ac:dyDescent="0.4">
      <c r="A2372" t="s">
        <v>61</v>
      </c>
      <c r="B2372" s="1">
        <v>45931</v>
      </c>
      <c r="C2372">
        <v>854232</v>
      </c>
      <c r="D2372" t="s">
        <v>176</v>
      </c>
      <c r="E2372">
        <v>7900</v>
      </c>
      <c r="F2372">
        <v>2505</v>
      </c>
      <c r="G2372">
        <v>53</v>
      </c>
      <c r="H2372">
        <f>_xlfn.XLOOKUP(FACT_IMPORTS[[#This Row],[hts_6]],DIM_PRODUCTS[hts_6],DIM_PRODUCTS[hts_4],,,)</f>
        <v>8542</v>
      </c>
      <c r="I2372" t="str" cm="1">
        <f t="array" ref="I2372">_xlfn.XLOOKUP(FACT_IMPORTS[[#This Row],[country_name]],DIM_COUNTRY[[#All],[Column2]],DIM_COUNTRY[[#All],[Column3]],,,)</f>
        <v>USMCA</v>
      </c>
    </row>
    <row r="2373" spans="1:9" x14ac:dyDescent="0.4">
      <c r="A2373" t="s">
        <v>61</v>
      </c>
      <c r="B2373" s="1">
        <v>45931</v>
      </c>
      <c r="C2373">
        <v>854233</v>
      </c>
      <c r="D2373" t="s">
        <v>176</v>
      </c>
      <c r="E2373">
        <v>0</v>
      </c>
      <c r="F2373">
        <v>0</v>
      </c>
      <c r="G2373">
        <v>0</v>
      </c>
      <c r="H2373">
        <f>_xlfn.XLOOKUP(FACT_IMPORTS[[#This Row],[hts_6]],DIM_PRODUCTS[hts_6],DIM_PRODUCTS[hts_4],,,)</f>
        <v>8542</v>
      </c>
      <c r="I2373" t="str" cm="1">
        <f t="array" ref="I2373">_xlfn.XLOOKUP(FACT_IMPORTS[[#This Row],[country_name]],DIM_COUNTRY[[#All],[Column2]],DIM_COUNTRY[[#All],[Column3]],,,)</f>
        <v>USMCA</v>
      </c>
    </row>
    <row r="2374" spans="1:9" x14ac:dyDescent="0.4">
      <c r="A2374" t="s">
        <v>61</v>
      </c>
      <c r="B2374" s="1">
        <v>45931</v>
      </c>
      <c r="C2374">
        <v>854239</v>
      </c>
      <c r="D2374" t="s">
        <v>176</v>
      </c>
      <c r="E2374">
        <v>188500</v>
      </c>
      <c r="F2374">
        <v>13</v>
      </c>
      <c r="G2374">
        <v>276</v>
      </c>
      <c r="H2374">
        <f>_xlfn.XLOOKUP(FACT_IMPORTS[[#This Row],[hts_6]],DIM_PRODUCTS[hts_6],DIM_PRODUCTS[hts_4],,,)</f>
        <v>8542</v>
      </c>
      <c r="I2374" t="str" cm="1">
        <f t="array" ref="I2374">_xlfn.XLOOKUP(FACT_IMPORTS[[#This Row],[country_name]],DIM_COUNTRY[[#All],[Column2]],DIM_COUNTRY[[#All],[Column3]],,,)</f>
        <v>USMCA</v>
      </c>
    </row>
    <row r="2375" spans="1:9" x14ac:dyDescent="0.4">
      <c r="A2375" t="s">
        <v>61</v>
      </c>
      <c r="B2375" s="1">
        <v>45931</v>
      </c>
      <c r="C2375">
        <v>854290</v>
      </c>
      <c r="D2375" t="s">
        <v>176</v>
      </c>
      <c r="E2375">
        <v>209613</v>
      </c>
      <c r="F2375">
        <v>54753</v>
      </c>
      <c r="G2375">
        <v>2041</v>
      </c>
      <c r="H2375">
        <f>_xlfn.XLOOKUP(FACT_IMPORTS[[#This Row],[hts_6]],DIM_PRODUCTS[hts_6],DIM_PRODUCTS[hts_4],,,)</f>
        <v>8542</v>
      </c>
      <c r="I2375" t="str" cm="1">
        <f t="array" ref="I2375">_xlfn.XLOOKUP(FACT_IMPORTS[[#This Row],[country_name]],DIM_COUNTRY[[#All],[Column2]],DIM_COUNTRY[[#All],[Column3]],,,)</f>
        <v>USMCA</v>
      </c>
    </row>
    <row r="2376" spans="1:9" x14ac:dyDescent="0.4">
      <c r="A2376" t="s">
        <v>61</v>
      </c>
      <c r="B2376" s="1">
        <v>45931</v>
      </c>
      <c r="C2376">
        <v>854430</v>
      </c>
      <c r="D2376" t="s">
        <v>176</v>
      </c>
      <c r="E2376">
        <v>1680244</v>
      </c>
      <c r="F2376">
        <v>27687</v>
      </c>
      <c r="G2376">
        <v>8635</v>
      </c>
      <c r="H2376">
        <f>_xlfn.XLOOKUP(FACT_IMPORTS[[#This Row],[hts_6]],DIM_PRODUCTS[hts_6],DIM_PRODUCTS[hts_4],,,)</f>
        <v>8544</v>
      </c>
      <c r="I2376" t="str" cm="1">
        <f t="array" ref="I2376">_xlfn.XLOOKUP(FACT_IMPORTS[[#This Row],[country_name]],DIM_COUNTRY[[#All],[Column2]],DIM_COUNTRY[[#All],[Column3]],,,)</f>
        <v>USMCA</v>
      </c>
    </row>
    <row r="2377" spans="1:9" x14ac:dyDescent="0.4">
      <c r="A2377" t="s">
        <v>61</v>
      </c>
      <c r="B2377" s="1">
        <v>45931</v>
      </c>
      <c r="C2377">
        <v>870600</v>
      </c>
      <c r="D2377" t="s">
        <v>176</v>
      </c>
      <c r="E2377">
        <v>2109543</v>
      </c>
      <c r="F2377">
        <v>10</v>
      </c>
      <c r="G2377">
        <v>1995</v>
      </c>
      <c r="H2377">
        <f>_xlfn.XLOOKUP(FACT_IMPORTS[[#This Row],[hts_6]],DIM_PRODUCTS[hts_6],DIM_PRODUCTS[hts_4],,,)</f>
        <v>8706</v>
      </c>
      <c r="I2377" t="str" cm="1">
        <f t="array" ref="I2377">_xlfn.XLOOKUP(FACT_IMPORTS[[#This Row],[country_name]],DIM_COUNTRY[[#All],[Column2]],DIM_COUNTRY[[#All],[Column3]],,,)</f>
        <v>USMCA</v>
      </c>
    </row>
    <row r="2378" spans="1:9" x14ac:dyDescent="0.4">
      <c r="A2378" t="s">
        <v>61</v>
      </c>
      <c r="B2378" s="1">
        <v>45931</v>
      </c>
      <c r="C2378">
        <v>870710</v>
      </c>
      <c r="D2378" t="s">
        <v>176</v>
      </c>
      <c r="E2378">
        <v>33707</v>
      </c>
      <c r="F2378">
        <v>13</v>
      </c>
      <c r="G2378">
        <v>2290</v>
      </c>
      <c r="H2378">
        <f>_xlfn.XLOOKUP(FACT_IMPORTS[[#This Row],[hts_6]],DIM_PRODUCTS[hts_6],DIM_PRODUCTS[hts_4],,,)</f>
        <v>8707</v>
      </c>
      <c r="I2378" t="str" cm="1">
        <f t="array" ref="I2378">_xlfn.XLOOKUP(FACT_IMPORTS[[#This Row],[country_name]],DIM_COUNTRY[[#All],[Column2]],DIM_COUNTRY[[#All],[Column3]],,,)</f>
        <v>USMCA</v>
      </c>
    </row>
    <row r="2379" spans="1:9" x14ac:dyDescent="0.4">
      <c r="A2379" t="s">
        <v>61</v>
      </c>
      <c r="B2379" s="1">
        <v>45931</v>
      </c>
      <c r="C2379">
        <v>870790</v>
      </c>
      <c r="D2379" t="s">
        <v>176</v>
      </c>
      <c r="E2379">
        <v>4308616</v>
      </c>
      <c r="F2379">
        <v>265</v>
      </c>
      <c r="G2379">
        <v>66435</v>
      </c>
      <c r="H2379">
        <f>_xlfn.XLOOKUP(FACT_IMPORTS[[#This Row],[hts_6]],DIM_PRODUCTS[hts_6],DIM_PRODUCTS[hts_4],,,)</f>
        <v>8707</v>
      </c>
      <c r="I2379" t="str" cm="1">
        <f t="array" ref="I2379">_xlfn.XLOOKUP(FACT_IMPORTS[[#This Row],[country_name]],DIM_COUNTRY[[#All],[Column2]],DIM_COUNTRY[[#All],[Column3]],,,)</f>
        <v>USMCA</v>
      </c>
    </row>
    <row r="2380" spans="1:9" x14ac:dyDescent="0.4">
      <c r="A2380" t="s">
        <v>61</v>
      </c>
      <c r="B2380" s="1">
        <v>45931</v>
      </c>
      <c r="C2380">
        <v>870810</v>
      </c>
      <c r="D2380" t="s">
        <v>176</v>
      </c>
      <c r="E2380">
        <v>22774594</v>
      </c>
      <c r="F2380">
        <v>1239202</v>
      </c>
      <c r="G2380">
        <v>684547</v>
      </c>
      <c r="H2380">
        <f>_xlfn.XLOOKUP(FACT_IMPORTS[[#This Row],[hts_6]],DIM_PRODUCTS[hts_6],DIM_PRODUCTS[hts_4],,,)</f>
        <v>8708</v>
      </c>
      <c r="I2380" t="str" cm="1">
        <f t="array" ref="I2380">_xlfn.XLOOKUP(FACT_IMPORTS[[#This Row],[country_name]],DIM_COUNTRY[[#All],[Column2]],DIM_COUNTRY[[#All],[Column3]],,,)</f>
        <v>USMCA</v>
      </c>
    </row>
    <row r="2381" spans="1:9" x14ac:dyDescent="0.4">
      <c r="A2381" t="s">
        <v>61</v>
      </c>
      <c r="B2381" s="1">
        <v>45931</v>
      </c>
      <c r="C2381">
        <v>870821</v>
      </c>
      <c r="D2381" t="s">
        <v>176</v>
      </c>
      <c r="E2381">
        <v>3219</v>
      </c>
      <c r="F2381">
        <v>47</v>
      </c>
      <c r="G2381">
        <v>1</v>
      </c>
      <c r="H2381">
        <f>_xlfn.XLOOKUP(FACT_IMPORTS[[#This Row],[hts_6]],DIM_PRODUCTS[hts_6],DIM_PRODUCTS[hts_4],,,)</f>
        <v>8708</v>
      </c>
      <c r="I2381" t="str" cm="1">
        <f t="array" ref="I2381">_xlfn.XLOOKUP(FACT_IMPORTS[[#This Row],[country_name]],DIM_COUNTRY[[#All],[Column2]],DIM_COUNTRY[[#All],[Column3]],,,)</f>
        <v>USMCA</v>
      </c>
    </row>
    <row r="2382" spans="1:9" x14ac:dyDescent="0.4">
      <c r="A2382" t="s">
        <v>61</v>
      </c>
      <c r="B2382" s="1">
        <v>45931</v>
      </c>
      <c r="C2382">
        <v>870822</v>
      </c>
      <c r="D2382" t="s">
        <v>176</v>
      </c>
      <c r="E2382">
        <v>6063360</v>
      </c>
      <c r="F2382">
        <v>96328</v>
      </c>
      <c r="G2382">
        <v>139448</v>
      </c>
      <c r="H2382">
        <f>_xlfn.XLOOKUP(FACT_IMPORTS[[#This Row],[hts_6]],DIM_PRODUCTS[hts_6],DIM_PRODUCTS[hts_4],,,)</f>
        <v>8708</v>
      </c>
      <c r="I2382" t="str" cm="1">
        <f t="array" ref="I2382">_xlfn.XLOOKUP(FACT_IMPORTS[[#This Row],[country_name]],DIM_COUNTRY[[#All],[Column2]],DIM_COUNTRY[[#All],[Column3]],,,)</f>
        <v>USMCA</v>
      </c>
    </row>
    <row r="2383" spans="1:9" x14ac:dyDescent="0.4">
      <c r="A2383" t="s">
        <v>61</v>
      </c>
      <c r="B2383" s="1">
        <v>45931</v>
      </c>
      <c r="C2383">
        <v>870829</v>
      </c>
      <c r="D2383" t="s">
        <v>176</v>
      </c>
      <c r="E2383">
        <v>396443395</v>
      </c>
      <c r="F2383">
        <v>52921397</v>
      </c>
      <c r="G2383">
        <v>14296154</v>
      </c>
      <c r="H2383">
        <f>_xlfn.XLOOKUP(FACT_IMPORTS[[#This Row],[hts_6]],DIM_PRODUCTS[hts_6],DIM_PRODUCTS[hts_4],,,)</f>
        <v>8708</v>
      </c>
      <c r="I2383" t="str" cm="1">
        <f t="array" ref="I2383">_xlfn.XLOOKUP(FACT_IMPORTS[[#This Row],[country_name]],DIM_COUNTRY[[#All],[Column2]],DIM_COUNTRY[[#All],[Column3]],,,)</f>
        <v>USMCA</v>
      </c>
    </row>
    <row r="2384" spans="1:9" x14ac:dyDescent="0.4">
      <c r="A2384" t="s">
        <v>61</v>
      </c>
      <c r="B2384" s="1">
        <v>45931</v>
      </c>
      <c r="C2384">
        <v>870830</v>
      </c>
      <c r="D2384" t="s">
        <v>176</v>
      </c>
      <c r="E2384">
        <v>11098208</v>
      </c>
      <c r="F2384">
        <v>2696302</v>
      </c>
      <c r="G2384">
        <v>229476</v>
      </c>
      <c r="H2384">
        <f>_xlfn.XLOOKUP(FACT_IMPORTS[[#This Row],[hts_6]],DIM_PRODUCTS[hts_6],DIM_PRODUCTS[hts_4],,,)</f>
        <v>8708</v>
      </c>
      <c r="I2384" t="str" cm="1">
        <f t="array" ref="I2384">_xlfn.XLOOKUP(FACT_IMPORTS[[#This Row],[country_name]],DIM_COUNTRY[[#All],[Column2]],DIM_COUNTRY[[#All],[Column3]],,,)</f>
        <v>USMCA</v>
      </c>
    </row>
    <row r="2385" spans="1:9" x14ac:dyDescent="0.4">
      <c r="A2385" t="s">
        <v>61</v>
      </c>
      <c r="B2385" s="1">
        <v>45931</v>
      </c>
      <c r="C2385">
        <v>870840</v>
      </c>
      <c r="D2385" t="s">
        <v>176</v>
      </c>
      <c r="E2385">
        <v>113498728</v>
      </c>
      <c r="F2385">
        <v>5548959</v>
      </c>
      <c r="G2385">
        <v>1230391</v>
      </c>
      <c r="H2385">
        <f>_xlfn.XLOOKUP(FACT_IMPORTS[[#This Row],[hts_6]],DIM_PRODUCTS[hts_6],DIM_PRODUCTS[hts_4],,,)</f>
        <v>8708</v>
      </c>
      <c r="I2385" t="str" cm="1">
        <f t="array" ref="I2385">_xlfn.XLOOKUP(FACT_IMPORTS[[#This Row],[country_name]],DIM_COUNTRY[[#All],[Column2]],DIM_COUNTRY[[#All],[Column3]],,,)</f>
        <v>USMCA</v>
      </c>
    </row>
    <row r="2386" spans="1:9" x14ac:dyDescent="0.4">
      <c r="A2386" t="s">
        <v>61</v>
      </c>
      <c r="B2386" s="1">
        <v>45931</v>
      </c>
      <c r="C2386">
        <v>870850</v>
      </c>
      <c r="D2386" t="s">
        <v>176</v>
      </c>
      <c r="E2386">
        <v>33652013</v>
      </c>
      <c r="F2386">
        <v>2676812</v>
      </c>
      <c r="G2386">
        <v>231923</v>
      </c>
      <c r="H2386">
        <f>_xlfn.XLOOKUP(FACT_IMPORTS[[#This Row],[hts_6]],DIM_PRODUCTS[hts_6],DIM_PRODUCTS[hts_4],,,)</f>
        <v>8708</v>
      </c>
      <c r="I2386" t="str" cm="1">
        <f t="array" ref="I2386">_xlfn.XLOOKUP(FACT_IMPORTS[[#This Row],[country_name]],DIM_COUNTRY[[#All],[Column2]],DIM_COUNTRY[[#All],[Column3]],,,)</f>
        <v>USMCA</v>
      </c>
    </row>
    <row r="2387" spans="1:9" x14ac:dyDescent="0.4">
      <c r="A2387" t="s">
        <v>61</v>
      </c>
      <c r="B2387" s="1">
        <v>45931</v>
      </c>
      <c r="C2387">
        <v>870870</v>
      </c>
      <c r="D2387" t="s">
        <v>176</v>
      </c>
      <c r="E2387">
        <v>3596605</v>
      </c>
      <c r="F2387">
        <v>6696695</v>
      </c>
      <c r="G2387">
        <v>60961</v>
      </c>
      <c r="H2387">
        <f>_xlfn.XLOOKUP(FACT_IMPORTS[[#This Row],[hts_6]],DIM_PRODUCTS[hts_6],DIM_PRODUCTS[hts_4],,,)</f>
        <v>8708</v>
      </c>
      <c r="I2387" t="str" cm="1">
        <f t="array" ref="I2387">_xlfn.XLOOKUP(FACT_IMPORTS[[#This Row],[country_name]],DIM_COUNTRY[[#All],[Column2]],DIM_COUNTRY[[#All],[Column3]],,,)</f>
        <v>USMCA</v>
      </c>
    </row>
    <row r="2388" spans="1:9" x14ac:dyDescent="0.4">
      <c r="A2388" t="s">
        <v>61</v>
      </c>
      <c r="B2388" s="1">
        <v>45931</v>
      </c>
      <c r="C2388">
        <v>870880</v>
      </c>
      <c r="D2388" t="s">
        <v>176</v>
      </c>
      <c r="E2388">
        <v>69328661</v>
      </c>
      <c r="F2388">
        <v>3074425</v>
      </c>
      <c r="G2388">
        <v>1346936</v>
      </c>
      <c r="H2388">
        <f>_xlfn.XLOOKUP(FACT_IMPORTS[[#This Row],[hts_6]],DIM_PRODUCTS[hts_6],DIM_PRODUCTS[hts_4],,,)</f>
        <v>8708</v>
      </c>
      <c r="I2388" t="str" cm="1">
        <f t="array" ref="I2388">_xlfn.XLOOKUP(FACT_IMPORTS[[#This Row],[country_name]],DIM_COUNTRY[[#All],[Column2]],DIM_COUNTRY[[#All],[Column3]],,,)</f>
        <v>USMCA</v>
      </c>
    </row>
    <row r="2389" spans="1:9" x14ac:dyDescent="0.4">
      <c r="A2389" t="s">
        <v>61</v>
      </c>
      <c r="B2389" s="1">
        <v>45931</v>
      </c>
      <c r="C2389">
        <v>870891</v>
      </c>
      <c r="D2389" t="s">
        <v>176</v>
      </c>
      <c r="E2389">
        <v>19080058</v>
      </c>
      <c r="F2389">
        <v>469218</v>
      </c>
      <c r="G2389">
        <v>358153</v>
      </c>
      <c r="H2389">
        <f>_xlfn.XLOOKUP(FACT_IMPORTS[[#This Row],[hts_6]],DIM_PRODUCTS[hts_6],DIM_PRODUCTS[hts_4],,,)</f>
        <v>8708</v>
      </c>
      <c r="I2389" t="str" cm="1">
        <f t="array" ref="I2389">_xlfn.XLOOKUP(FACT_IMPORTS[[#This Row],[country_name]],DIM_COUNTRY[[#All],[Column2]],DIM_COUNTRY[[#All],[Column3]],,,)</f>
        <v>USMCA</v>
      </c>
    </row>
    <row r="2390" spans="1:9" x14ac:dyDescent="0.4">
      <c r="A2390" t="s">
        <v>61</v>
      </c>
      <c r="B2390" s="1">
        <v>45931</v>
      </c>
      <c r="C2390">
        <v>870892</v>
      </c>
      <c r="D2390" t="s">
        <v>176</v>
      </c>
      <c r="E2390">
        <v>19308278</v>
      </c>
      <c r="F2390">
        <v>1510152</v>
      </c>
      <c r="G2390">
        <v>537911</v>
      </c>
      <c r="H2390">
        <f>_xlfn.XLOOKUP(FACT_IMPORTS[[#This Row],[hts_6]],DIM_PRODUCTS[hts_6],DIM_PRODUCTS[hts_4],,,)</f>
        <v>8708</v>
      </c>
      <c r="I2390" t="str" cm="1">
        <f t="array" ref="I2390">_xlfn.XLOOKUP(FACT_IMPORTS[[#This Row],[country_name]],DIM_COUNTRY[[#All],[Column2]],DIM_COUNTRY[[#All],[Column3]],,,)</f>
        <v>USMCA</v>
      </c>
    </row>
    <row r="2391" spans="1:9" x14ac:dyDescent="0.4">
      <c r="A2391" t="s">
        <v>61</v>
      </c>
      <c r="B2391" s="1">
        <v>45931</v>
      </c>
      <c r="C2391">
        <v>870893</v>
      </c>
      <c r="D2391" t="s">
        <v>176</v>
      </c>
      <c r="E2391">
        <v>56489153</v>
      </c>
      <c r="F2391">
        <v>1837169</v>
      </c>
      <c r="G2391">
        <v>168516</v>
      </c>
      <c r="H2391">
        <f>_xlfn.XLOOKUP(FACT_IMPORTS[[#This Row],[hts_6]],DIM_PRODUCTS[hts_6],DIM_PRODUCTS[hts_4],,,)</f>
        <v>8708</v>
      </c>
      <c r="I2391" t="str" cm="1">
        <f t="array" ref="I2391">_xlfn.XLOOKUP(FACT_IMPORTS[[#This Row],[country_name]],DIM_COUNTRY[[#All],[Column2]],DIM_COUNTRY[[#All],[Column3]],,,)</f>
        <v>USMCA</v>
      </c>
    </row>
    <row r="2392" spans="1:9" x14ac:dyDescent="0.4">
      <c r="A2392" t="s">
        <v>61</v>
      </c>
      <c r="B2392" s="1">
        <v>45931</v>
      </c>
      <c r="C2392">
        <v>870894</v>
      </c>
      <c r="D2392" t="s">
        <v>176</v>
      </c>
      <c r="E2392">
        <v>9528361</v>
      </c>
      <c r="F2392">
        <v>2859874</v>
      </c>
      <c r="G2392">
        <v>180067</v>
      </c>
      <c r="H2392">
        <f>_xlfn.XLOOKUP(FACT_IMPORTS[[#This Row],[hts_6]],DIM_PRODUCTS[hts_6],DIM_PRODUCTS[hts_4],,,)</f>
        <v>8708</v>
      </c>
      <c r="I2392" t="str" cm="1">
        <f t="array" ref="I2392">_xlfn.XLOOKUP(FACT_IMPORTS[[#This Row],[country_name]],DIM_COUNTRY[[#All],[Column2]],DIM_COUNTRY[[#All],[Column3]],,,)</f>
        <v>USMCA</v>
      </c>
    </row>
    <row r="2393" spans="1:9" x14ac:dyDescent="0.4">
      <c r="A2393" t="s">
        <v>61</v>
      </c>
      <c r="B2393" s="1">
        <v>45931</v>
      </c>
      <c r="C2393">
        <v>870895</v>
      </c>
      <c r="D2393" t="s">
        <v>176</v>
      </c>
      <c r="E2393">
        <v>1302338</v>
      </c>
      <c r="F2393">
        <v>777192</v>
      </c>
      <c r="G2393">
        <v>15499</v>
      </c>
      <c r="H2393">
        <f>_xlfn.XLOOKUP(FACT_IMPORTS[[#This Row],[hts_6]],DIM_PRODUCTS[hts_6],DIM_PRODUCTS[hts_4],,,)</f>
        <v>8708</v>
      </c>
      <c r="I2393" t="str" cm="1">
        <f t="array" ref="I2393">_xlfn.XLOOKUP(FACT_IMPORTS[[#This Row],[country_name]],DIM_COUNTRY[[#All],[Column2]],DIM_COUNTRY[[#All],[Column3]],,,)</f>
        <v>USMCA</v>
      </c>
    </row>
    <row r="2394" spans="1:9" x14ac:dyDescent="0.4">
      <c r="A2394" t="s">
        <v>61</v>
      </c>
      <c r="B2394" s="1">
        <v>45931</v>
      </c>
      <c r="C2394">
        <v>870899</v>
      </c>
      <c r="D2394" t="s">
        <v>176</v>
      </c>
      <c r="E2394">
        <v>184360644</v>
      </c>
      <c r="F2394">
        <v>15107767</v>
      </c>
      <c r="G2394">
        <v>3403251</v>
      </c>
      <c r="H2394">
        <f>_xlfn.XLOOKUP(FACT_IMPORTS[[#This Row],[hts_6]],DIM_PRODUCTS[hts_6],DIM_PRODUCTS[hts_4],,,)</f>
        <v>8708</v>
      </c>
      <c r="I2394" t="str" cm="1">
        <f t="array" ref="I2394">_xlfn.XLOOKUP(FACT_IMPORTS[[#This Row],[country_name]],DIM_COUNTRY[[#All],[Column2]],DIM_COUNTRY[[#All],[Column3]],,,)</f>
        <v>USMCA</v>
      </c>
    </row>
    <row r="2395" spans="1:9" x14ac:dyDescent="0.4">
      <c r="A2395" t="s">
        <v>61</v>
      </c>
      <c r="B2395" s="1">
        <v>45931</v>
      </c>
      <c r="C2395">
        <v>940120</v>
      </c>
      <c r="D2395" t="s">
        <v>176</v>
      </c>
      <c r="E2395">
        <v>599665</v>
      </c>
      <c r="F2395">
        <v>63779</v>
      </c>
      <c r="G2395">
        <v>12633</v>
      </c>
      <c r="H2395">
        <f>_xlfn.XLOOKUP(FACT_IMPORTS[[#This Row],[hts_6]],DIM_PRODUCTS[hts_6],DIM_PRODUCTS[hts_4],,,)</f>
        <v>9401</v>
      </c>
      <c r="I2395" t="str" cm="1">
        <f t="array" ref="I2395">_xlfn.XLOOKUP(FACT_IMPORTS[[#This Row],[country_name]],DIM_COUNTRY[[#All],[Column2]],DIM_COUNTRY[[#All],[Column3]],,,)</f>
        <v>USMCA</v>
      </c>
    </row>
    <row r="2396" spans="1:9" x14ac:dyDescent="0.4">
      <c r="A2396" t="s">
        <v>66</v>
      </c>
      <c r="B2396" s="1">
        <v>44927</v>
      </c>
      <c r="C2396">
        <v>392630</v>
      </c>
      <c r="D2396" t="s">
        <v>176</v>
      </c>
      <c r="E2396">
        <v>7132380</v>
      </c>
      <c r="F2396">
        <v>325536</v>
      </c>
      <c r="G2396">
        <v>269988</v>
      </c>
      <c r="H2396">
        <f>_xlfn.XLOOKUP(FACT_IMPORTS[[#This Row],[hts_6]],DIM_PRODUCTS[hts_6],DIM_PRODUCTS[hts_4],,,)</f>
        <v>3926</v>
      </c>
      <c r="I2396" t="str" cm="1">
        <f t="array" ref="I2396">_xlfn.XLOOKUP(FACT_IMPORTS[[#This Row],[country_name]],DIM_COUNTRY[[#All],[Column2]],DIM_COUNTRY[[#All],[Column3]],,,)</f>
        <v>China</v>
      </c>
    </row>
    <row r="2397" spans="1:9" x14ac:dyDescent="0.4">
      <c r="A2397" t="s">
        <v>66</v>
      </c>
      <c r="B2397" s="1">
        <v>44927</v>
      </c>
      <c r="C2397">
        <v>401110</v>
      </c>
      <c r="D2397" t="s">
        <v>176</v>
      </c>
      <c r="E2397">
        <v>8173</v>
      </c>
      <c r="F2397">
        <v>60</v>
      </c>
      <c r="G2397">
        <v>1180</v>
      </c>
      <c r="H2397">
        <f>_xlfn.XLOOKUP(FACT_IMPORTS[[#This Row],[hts_6]],DIM_PRODUCTS[hts_6],DIM_PRODUCTS[hts_4],,,)</f>
        <v>4011</v>
      </c>
      <c r="I2397" t="str" cm="1">
        <f t="array" ref="I2397">_xlfn.XLOOKUP(FACT_IMPORTS[[#This Row],[country_name]],DIM_COUNTRY[[#All],[Column2]],DIM_COUNTRY[[#All],[Column3]],,,)</f>
        <v>China</v>
      </c>
    </row>
    <row r="2398" spans="1:9" x14ac:dyDescent="0.4">
      <c r="A2398" t="s">
        <v>66</v>
      </c>
      <c r="B2398" s="1">
        <v>44927</v>
      </c>
      <c r="C2398">
        <v>401120</v>
      </c>
      <c r="D2398" t="s">
        <v>176</v>
      </c>
      <c r="E2398">
        <v>84245</v>
      </c>
      <c r="F2398">
        <v>313</v>
      </c>
      <c r="G2398">
        <v>200</v>
      </c>
      <c r="H2398">
        <f>_xlfn.XLOOKUP(FACT_IMPORTS[[#This Row],[hts_6]],DIM_PRODUCTS[hts_6],DIM_PRODUCTS[hts_4],,,)</f>
        <v>4011</v>
      </c>
      <c r="I2398" t="str" cm="1">
        <f t="array" ref="I2398">_xlfn.XLOOKUP(FACT_IMPORTS[[#This Row],[country_name]],DIM_COUNTRY[[#All],[Column2]],DIM_COUNTRY[[#All],[Column3]],,,)</f>
        <v>China</v>
      </c>
    </row>
    <row r="2399" spans="1:9" x14ac:dyDescent="0.4">
      <c r="A2399" t="s">
        <v>66</v>
      </c>
      <c r="B2399" s="1">
        <v>44927</v>
      </c>
      <c r="C2399">
        <v>401140</v>
      </c>
      <c r="D2399" t="s">
        <v>176</v>
      </c>
      <c r="E2399">
        <v>67914</v>
      </c>
      <c r="F2399">
        <v>1049</v>
      </c>
      <c r="G2399">
        <v>227</v>
      </c>
      <c r="H2399">
        <f>_xlfn.XLOOKUP(FACT_IMPORTS[[#This Row],[hts_6]],DIM_PRODUCTS[hts_6],DIM_PRODUCTS[hts_4],,,)</f>
        <v>4011</v>
      </c>
      <c r="I2399" t="str" cm="1">
        <f t="array" ref="I2399">_xlfn.XLOOKUP(FACT_IMPORTS[[#This Row],[country_name]],DIM_COUNTRY[[#All],[Column2]],DIM_COUNTRY[[#All],[Column3]],,,)</f>
        <v>China</v>
      </c>
    </row>
    <row r="2400" spans="1:9" x14ac:dyDescent="0.4">
      <c r="A2400" t="s">
        <v>66</v>
      </c>
      <c r="B2400" s="1">
        <v>44927</v>
      </c>
      <c r="C2400">
        <v>401190</v>
      </c>
      <c r="D2400" t="s">
        <v>176</v>
      </c>
      <c r="E2400">
        <v>69782</v>
      </c>
      <c r="F2400">
        <v>2171</v>
      </c>
      <c r="G2400">
        <v>6049</v>
      </c>
      <c r="H2400">
        <f>_xlfn.XLOOKUP(FACT_IMPORTS[[#This Row],[hts_6]],DIM_PRODUCTS[hts_6],DIM_PRODUCTS[hts_4],,,)</f>
        <v>4011</v>
      </c>
      <c r="I2400" t="str" cm="1">
        <f t="array" ref="I2400">_xlfn.XLOOKUP(FACT_IMPORTS[[#This Row],[country_name]],DIM_COUNTRY[[#All],[Column2]],DIM_COUNTRY[[#All],[Column3]],,,)</f>
        <v>China</v>
      </c>
    </row>
    <row r="2401" spans="1:9" x14ac:dyDescent="0.4">
      <c r="A2401" t="s">
        <v>66</v>
      </c>
      <c r="B2401" s="1">
        <v>44927</v>
      </c>
      <c r="C2401">
        <v>700711</v>
      </c>
      <c r="D2401" t="s">
        <v>176</v>
      </c>
      <c r="E2401">
        <v>635807</v>
      </c>
      <c r="F2401">
        <v>55453</v>
      </c>
      <c r="G2401">
        <v>38511</v>
      </c>
      <c r="H2401">
        <f>_xlfn.XLOOKUP(FACT_IMPORTS[[#This Row],[hts_6]],DIM_PRODUCTS[hts_6],DIM_PRODUCTS[hts_4],,,)</f>
        <v>7007</v>
      </c>
      <c r="I2401" t="str" cm="1">
        <f t="array" ref="I2401">_xlfn.XLOOKUP(FACT_IMPORTS[[#This Row],[country_name]],DIM_COUNTRY[[#All],[Column2]],DIM_COUNTRY[[#All],[Column3]],,,)</f>
        <v>China</v>
      </c>
    </row>
    <row r="2402" spans="1:9" x14ac:dyDescent="0.4">
      <c r="A2402" t="s">
        <v>66</v>
      </c>
      <c r="B2402" s="1">
        <v>44927</v>
      </c>
      <c r="C2402">
        <v>700721</v>
      </c>
      <c r="D2402" t="s">
        <v>176</v>
      </c>
      <c r="E2402">
        <v>18859</v>
      </c>
      <c r="F2402">
        <v>1572</v>
      </c>
      <c r="G2402">
        <v>4226</v>
      </c>
      <c r="H2402">
        <f>_xlfn.XLOOKUP(FACT_IMPORTS[[#This Row],[hts_6]],DIM_PRODUCTS[hts_6],DIM_PRODUCTS[hts_4],,,)</f>
        <v>7007</v>
      </c>
      <c r="I2402" t="str" cm="1">
        <f t="array" ref="I2402">_xlfn.XLOOKUP(FACT_IMPORTS[[#This Row],[country_name]],DIM_COUNTRY[[#All],[Column2]],DIM_COUNTRY[[#All],[Column3]],,,)</f>
        <v>China</v>
      </c>
    </row>
    <row r="2403" spans="1:9" x14ac:dyDescent="0.4">
      <c r="A2403" t="s">
        <v>66</v>
      </c>
      <c r="B2403" s="1">
        <v>44927</v>
      </c>
      <c r="C2403">
        <v>700910</v>
      </c>
      <c r="D2403" t="s">
        <v>176</v>
      </c>
      <c r="E2403">
        <v>141323</v>
      </c>
      <c r="F2403">
        <v>116196</v>
      </c>
      <c r="G2403">
        <v>20158</v>
      </c>
      <c r="H2403">
        <f>_xlfn.XLOOKUP(FACT_IMPORTS[[#This Row],[hts_6]],DIM_PRODUCTS[hts_6],DIM_PRODUCTS[hts_4],,,)</f>
        <v>7009</v>
      </c>
      <c r="I2403" t="str" cm="1">
        <f t="array" ref="I2403">_xlfn.XLOOKUP(FACT_IMPORTS[[#This Row],[country_name]],DIM_COUNTRY[[#All],[Column2]],DIM_COUNTRY[[#All],[Column3]],,,)</f>
        <v>China</v>
      </c>
    </row>
    <row r="2404" spans="1:9" x14ac:dyDescent="0.4">
      <c r="A2404" t="s">
        <v>66</v>
      </c>
      <c r="B2404" s="1">
        <v>44927</v>
      </c>
      <c r="C2404">
        <v>732010</v>
      </c>
      <c r="D2404" t="s">
        <v>176</v>
      </c>
      <c r="E2404">
        <v>13780</v>
      </c>
      <c r="F2404">
        <v>6500</v>
      </c>
      <c r="G2404">
        <v>42</v>
      </c>
      <c r="H2404">
        <f>_xlfn.XLOOKUP(FACT_IMPORTS[[#This Row],[hts_6]],DIM_PRODUCTS[hts_6],DIM_PRODUCTS[hts_4],,,)</f>
        <v>7320</v>
      </c>
      <c r="I2404" t="str" cm="1">
        <f t="array" ref="I2404">_xlfn.XLOOKUP(FACT_IMPORTS[[#This Row],[country_name]],DIM_COUNTRY[[#All],[Column2]],DIM_COUNTRY[[#All],[Column3]],,,)</f>
        <v>China</v>
      </c>
    </row>
    <row r="2405" spans="1:9" x14ac:dyDescent="0.4">
      <c r="A2405" t="s">
        <v>66</v>
      </c>
      <c r="B2405" s="1">
        <v>44927</v>
      </c>
      <c r="C2405">
        <v>830230</v>
      </c>
      <c r="D2405" t="s">
        <v>176</v>
      </c>
      <c r="E2405">
        <v>4576425</v>
      </c>
      <c r="F2405">
        <v>1084150</v>
      </c>
      <c r="G2405">
        <v>300549</v>
      </c>
      <c r="H2405">
        <f>_xlfn.XLOOKUP(FACT_IMPORTS[[#This Row],[hts_6]],DIM_PRODUCTS[hts_6],DIM_PRODUCTS[hts_4],,,)</f>
        <v>8302</v>
      </c>
      <c r="I2405" t="str" cm="1">
        <f t="array" ref="I2405">_xlfn.XLOOKUP(FACT_IMPORTS[[#This Row],[country_name]],DIM_COUNTRY[[#All],[Column2]],DIM_COUNTRY[[#All],[Column3]],,,)</f>
        <v>China</v>
      </c>
    </row>
    <row r="2406" spans="1:9" x14ac:dyDescent="0.4">
      <c r="A2406" t="s">
        <v>66</v>
      </c>
      <c r="B2406" s="1">
        <v>44927</v>
      </c>
      <c r="C2406">
        <v>840732</v>
      </c>
      <c r="D2406" t="s">
        <v>176</v>
      </c>
      <c r="E2406">
        <v>0</v>
      </c>
      <c r="F2406">
        <v>0</v>
      </c>
      <c r="G2406">
        <v>0</v>
      </c>
      <c r="H2406">
        <f>_xlfn.XLOOKUP(FACT_IMPORTS[[#This Row],[hts_6]],DIM_PRODUCTS[hts_6],DIM_PRODUCTS[hts_4],,,)</f>
        <v>8407</v>
      </c>
      <c r="I2406" t="str" cm="1">
        <f t="array" ref="I2406">_xlfn.XLOOKUP(FACT_IMPORTS[[#This Row],[country_name]],DIM_COUNTRY[[#All],[Column2]],DIM_COUNTRY[[#All],[Column3]],,,)</f>
        <v>China</v>
      </c>
    </row>
    <row r="2407" spans="1:9" x14ac:dyDescent="0.4">
      <c r="A2407" t="s">
        <v>66</v>
      </c>
      <c r="B2407" s="1">
        <v>44927</v>
      </c>
      <c r="C2407">
        <v>840733</v>
      </c>
      <c r="D2407" t="s">
        <v>176</v>
      </c>
      <c r="E2407">
        <v>3918</v>
      </c>
      <c r="F2407">
        <v>1</v>
      </c>
      <c r="G2407">
        <v>1</v>
      </c>
      <c r="H2407">
        <f>_xlfn.XLOOKUP(FACT_IMPORTS[[#This Row],[hts_6]],DIM_PRODUCTS[hts_6],DIM_PRODUCTS[hts_4],,,)</f>
        <v>8407</v>
      </c>
      <c r="I2407" t="str" cm="1">
        <f t="array" ref="I2407">_xlfn.XLOOKUP(FACT_IMPORTS[[#This Row],[country_name]],DIM_COUNTRY[[#All],[Column2]],DIM_COUNTRY[[#All],[Column3]],,,)</f>
        <v>China</v>
      </c>
    </row>
    <row r="2408" spans="1:9" x14ac:dyDescent="0.4">
      <c r="A2408" t="s">
        <v>66</v>
      </c>
      <c r="B2408" s="1">
        <v>44927</v>
      </c>
      <c r="C2408">
        <v>840734</v>
      </c>
      <c r="D2408" t="s">
        <v>176</v>
      </c>
      <c r="E2408">
        <v>0</v>
      </c>
      <c r="F2408">
        <v>0</v>
      </c>
      <c r="G2408">
        <v>0</v>
      </c>
      <c r="H2408">
        <f>_xlfn.XLOOKUP(FACT_IMPORTS[[#This Row],[hts_6]],DIM_PRODUCTS[hts_6],DIM_PRODUCTS[hts_4],,,)</f>
        <v>8407</v>
      </c>
      <c r="I2408" t="str" cm="1">
        <f t="array" ref="I2408">_xlfn.XLOOKUP(FACT_IMPORTS[[#This Row],[country_name]],DIM_COUNTRY[[#All],[Column2]],DIM_COUNTRY[[#All],[Column3]],,,)</f>
        <v>China</v>
      </c>
    </row>
    <row r="2409" spans="1:9" x14ac:dyDescent="0.4">
      <c r="A2409" t="s">
        <v>66</v>
      </c>
      <c r="B2409" s="1">
        <v>44927</v>
      </c>
      <c r="C2409">
        <v>840790</v>
      </c>
      <c r="D2409" t="s">
        <v>176</v>
      </c>
      <c r="E2409">
        <v>100025</v>
      </c>
      <c r="F2409">
        <v>382</v>
      </c>
      <c r="G2409">
        <v>1000</v>
      </c>
      <c r="H2409">
        <f>_xlfn.XLOOKUP(FACT_IMPORTS[[#This Row],[hts_6]],DIM_PRODUCTS[hts_6],DIM_PRODUCTS[hts_4],,,)</f>
        <v>8407</v>
      </c>
      <c r="I2409" t="str" cm="1">
        <f t="array" ref="I2409">_xlfn.XLOOKUP(FACT_IMPORTS[[#This Row],[country_name]],DIM_COUNTRY[[#All],[Column2]],DIM_COUNTRY[[#All],[Column3]],,,)</f>
        <v>China</v>
      </c>
    </row>
    <row r="2410" spans="1:9" x14ac:dyDescent="0.4">
      <c r="A2410" t="s">
        <v>66</v>
      </c>
      <c r="B2410" s="1">
        <v>44927</v>
      </c>
      <c r="C2410">
        <v>840890</v>
      </c>
      <c r="D2410" t="s">
        <v>176</v>
      </c>
      <c r="E2410">
        <v>21611</v>
      </c>
      <c r="F2410">
        <v>1</v>
      </c>
      <c r="G2410">
        <v>109</v>
      </c>
      <c r="H2410">
        <f>_xlfn.XLOOKUP(FACT_IMPORTS[[#This Row],[hts_6]],DIM_PRODUCTS[hts_6],DIM_PRODUCTS[hts_4],,,)</f>
        <v>8408</v>
      </c>
      <c r="I2410" t="str" cm="1">
        <f t="array" ref="I2410">_xlfn.XLOOKUP(FACT_IMPORTS[[#This Row],[country_name]],DIM_COUNTRY[[#All],[Column2]],DIM_COUNTRY[[#All],[Column3]],,,)</f>
        <v>China</v>
      </c>
    </row>
    <row r="2411" spans="1:9" x14ac:dyDescent="0.4">
      <c r="A2411" t="s">
        <v>66</v>
      </c>
      <c r="B2411" s="1">
        <v>44927</v>
      </c>
      <c r="C2411">
        <v>840991</v>
      </c>
      <c r="D2411" t="s">
        <v>176</v>
      </c>
      <c r="E2411">
        <v>9123249</v>
      </c>
      <c r="F2411">
        <v>2345727</v>
      </c>
      <c r="G2411">
        <v>580743</v>
      </c>
      <c r="H2411">
        <f>_xlfn.XLOOKUP(FACT_IMPORTS[[#This Row],[hts_6]],DIM_PRODUCTS[hts_6],DIM_PRODUCTS[hts_4],,,)</f>
        <v>8409</v>
      </c>
      <c r="I2411" t="str" cm="1">
        <f t="array" ref="I2411">_xlfn.XLOOKUP(FACT_IMPORTS[[#This Row],[country_name]],DIM_COUNTRY[[#All],[Column2]],DIM_COUNTRY[[#All],[Column3]],,,)</f>
        <v>China</v>
      </c>
    </row>
    <row r="2412" spans="1:9" x14ac:dyDescent="0.4">
      <c r="A2412" t="s">
        <v>66</v>
      </c>
      <c r="B2412" s="1">
        <v>44927</v>
      </c>
      <c r="C2412">
        <v>840999</v>
      </c>
      <c r="D2412" t="s">
        <v>176</v>
      </c>
      <c r="E2412">
        <v>3488716</v>
      </c>
      <c r="F2412">
        <v>362947</v>
      </c>
      <c r="G2412">
        <v>80497</v>
      </c>
      <c r="H2412">
        <f>_xlfn.XLOOKUP(FACT_IMPORTS[[#This Row],[hts_6]],DIM_PRODUCTS[hts_6],DIM_PRODUCTS[hts_4],,,)</f>
        <v>8409</v>
      </c>
      <c r="I2412" t="str" cm="1">
        <f t="array" ref="I2412">_xlfn.XLOOKUP(FACT_IMPORTS[[#This Row],[country_name]],DIM_COUNTRY[[#All],[Column2]],DIM_COUNTRY[[#All],[Column3]],,,)</f>
        <v>China</v>
      </c>
    </row>
    <row r="2413" spans="1:9" x14ac:dyDescent="0.4">
      <c r="A2413" t="s">
        <v>66</v>
      </c>
      <c r="B2413" s="1">
        <v>44927</v>
      </c>
      <c r="C2413">
        <v>841330</v>
      </c>
      <c r="D2413" t="s">
        <v>176</v>
      </c>
      <c r="E2413">
        <v>738773</v>
      </c>
      <c r="F2413">
        <v>27062</v>
      </c>
      <c r="G2413">
        <v>18264</v>
      </c>
      <c r="H2413">
        <f>_xlfn.XLOOKUP(FACT_IMPORTS[[#This Row],[hts_6]],DIM_PRODUCTS[hts_6],DIM_PRODUCTS[hts_4],,,)</f>
        <v>8413</v>
      </c>
      <c r="I2413" t="str" cm="1">
        <f t="array" ref="I2413">_xlfn.XLOOKUP(FACT_IMPORTS[[#This Row],[country_name]],DIM_COUNTRY[[#All],[Column2]],DIM_COUNTRY[[#All],[Column3]],,,)</f>
        <v>China</v>
      </c>
    </row>
    <row r="2414" spans="1:9" x14ac:dyDescent="0.4">
      <c r="A2414" t="s">
        <v>66</v>
      </c>
      <c r="B2414" s="1">
        <v>44927</v>
      </c>
      <c r="C2414">
        <v>841520</v>
      </c>
      <c r="D2414" t="s">
        <v>176</v>
      </c>
      <c r="E2414">
        <v>0</v>
      </c>
      <c r="F2414">
        <v>0</v>
      </c>
      <c r="G2414">
        <v>0</v>
      </c>
      <c r="H2414">
        <f>_xlfn.XLOOKUP(FACT_IMPORTS[[#This Row],[hts_6]],DIM_PRODUCTS[hts_6],DIM_PRODUCTS[hts_4],,,)</f>
        <v>8415</v>
      </c>
      <c r="I2414" t="str" cm="1">
        <f t="array" ref="I2414">_xlfn.XLOOKUP(FACT_IMPORTS[[#This Row],[country_name]],DIM_COUNTRY[[#All],[Column2]],DIM_COUNTRY[[#All],[Column3]],,,)</f>
        <v>China</v>
      </c>
    </row>
    <row r="2415" spans="1:9" x14ac:dyDescent="0.4">
      <c r="A2415" t="s">
        <v>66</v>
      </c>
      <c r="B2415" s="1">
        <v>44927</v>
      </c>
      <c r="C2415">
        <v>842132</v>
      </c>
      <c r="D2415" t="s">
        <v>176</v>
      </c>
      <c r="E2415">
        <v>0</v>
      </c>
      <c r="F2415">
        <v>0</v>
      </c>
      <c r="G2415">
        <v>0</v>
      </c>
      <c r="H2415">
        <f>_xlfn.XLOOKUP(FACT_IMPORTS[[#This Row],[hts_6]],DIM_PRODUCTS[hts_6],DIM_PRODUCTS[hts_4],,,)</f>
        <v>8421</v>
      </c>
      <c r="I2415" t="str" cm="1">
        <f t="array" ref="I2415">_xlfn.XLOOKUP(FACT_IMPORTS[[#This Row],[country_name]],DIM_COUNTRY[[#All],[Column2]],DIM_COUNTRY[[#All],[Column3]],,,)</f>
        <v>China</v>
      </c>
    </row>
    <row r="2416" spans="1:9" x14ac:dyDescent="0.4">
      <c r="A2416" t="s">
        <v>66</v>
      </c>
      <c r="B2416" s="1">
        <v>44927</v>
      </c>
      <c r="C2416">
        <v>848210</v>
      </c>
      <c r="D2416" t="s">
        <v>176</v>
      </c>
      <c r="E2416">
        <v>1089524</v>
      </c>
      <c r="F2416">
        <v>1108131</v>
      </c>
      <c r="G2416">
        <v>26955</v>
      </c>
      <c r="H2416">
        <f>_xlfn.XLOOKUP(FACT_IMPORTS[[#This Row],[hts_6]],DIM_PRODUCTS[hts_6],DIM_PRODUCTS[hts_4],,,)</f>
        <v>8482</v>
      </c>
      <c r="I2416" t="str" cm="1">
        <f t="array" ref="I2416">_xlfn.XLOOKUP(FACT_IMPORTS[[#This Row],[country_name]],DIM_COUNTRY[[#All],[Column2]],DIM_COUNTRY[[#All],[Column3]],,,)</f>
        <v>China</v>
      </c>
    </row>
    <row r="2417" spans="1:9" x14ac:dyDescent="0.4">
      <c r="A2417" t="s">
        <v>66</v>
      </c>
      <c r="B2417" s="1">
        <v>44927</v>
      </c>
      <c r="C2417">
        <v>848220</v>
      </c>
      <c r="D2417" t="s">
        <v>176</v>
      </c>
      <c r="E2417">
        <v>2907</v>
      </c>
      <c r="F2417">
        <v>240</v>
      </c>
      <c r="G2417">
        <v>96</v>
      </c>
      <c r="H2417">
        <f>_xlfn.XLOOKUP(FACT_IMPORTS[[#This Row],[hts_6]],DIM_PRODUCTS[hts_6],DIM_PRODUCTS[hts_4],,,)</f>
        <v>8482</v>
      </c>
      <c r="I2417" t="str" cm="1">
        <f t="array" ref="I2417">_xlfn.XLOOKUP(FACT_IMPORTS[[#This Row],[country_name]],DIM_COUNTRY[[#All],[Column2]],DIM_COUNTRY[[#All],[Column3]],,,)</f>
        <v>China</v>
      </c>
    </row>
    <row r="2418" spans="1:9" x14ac:dyDescent="0.4">
      <c r="A2418" t="s">
        <v>66</v>
      </c>
      <c r="B2418" s="1">
        <v>44927</v>
      </c>
      <c r="C2418">
        <v>848310</v>
      </c>
      <c r="D2418" t="s">
        <v>176</v>
      </c>
      <c r="E2418">
        <v>2525717</v>
      </c>
      <c r="F2418">
        <v>180024</v>
      </c>
      <c r="G2418">
        <v>122310</v>
      </c>
      <c r="H2418">
        <f>_xlfn.XLOOKUP(FACT_IMPORTS[[#This Row],[hts_6]],DIM_PRODUCTS[hts_6],DIM_PRODUCTS[hts_4],,,)</f>
        <v>8483</v>
      </c>
      <c r="I2418" t="str" cm="1">
        <f t="array" ref="I2418">_xlfn.XLOOKUP(FACT_IMPORTS[[#This Row],[country_name]],DIM_COUNTRY[[#All],[Column2]],DIM_COUNTRY[[#All],[Column3]],,,)</f>
        <v>China</v>
      </c>
    </row>
    <row r="2419" spans="1:9" x14ac:dyDescent="0.4">
      <c r="A2419" t="s">
        <v>66</v>
      </c>
      <c r="B2419" s="1">
        <v>44927</v>
      </c>
      <c r="C2419">
        <v>850131</v>
      </c>
      <c r="D2419" t="s">
        <v>176</v>
      </c>
      <c r="E2419">
        <v>2422647</v>
      </c>
      <c r="F2419">
        <v>305555</v>
      </c>
      <c r="G2419">
        <v>32154</v>
      </c>
      <c r="H2419">
        <f>_xlfn.XLOOKUP(FACT_IMPORTS[[#This Row],[hts_6]],DIM_PRODUCTS[hts_6],DIM_PRODUCTS[hts_4],,,)</f>
        <v>8501</v>
      </c>
      <c r="I2419" t="str" cm="1">
        <f t="array" ref="I2419">_xlfn.XLOOKUP(FACT_IMPORTS[[#This Row],[country_name]],DIM_COUNTRY[[#All],[Column2]],DIM_COUNTRY[[#All],[Column3]],,,)</f>
        <v>China</v>
      </c>
    </row>
    <row r="2420" spans="1:9" x14ac:dyDescent="0.4">
      <c r="A2420" t="s">
        <v>66</v>
      </c>
      <c r="B2420" s="1">
        <v>44927</v>
      </c>
      <c r="C2420">
        <v>850132</v>
      </c>
      <c r="D2420" t="s">
        <v>176</v>
      </c>
      <c r="E2420">
        <v>71155</v>
      </c>
      <c r="F2420">
        <v>190</v>
      </c>
      <c r="G2420">
        <v>2108</v>
      </c>
      <c r="H2420">
        <f>_xlfn.XLOOKUP(FACT_IMPORTS[[#This Row],[hts_6]],DIM_PRODUCTS[hts_6],DIM_PRODUCTS[hts_4],,,)</f>
        <v>8501</v>
      </c>
      <c r="I2420" t="str" cm="1">
        <f t="array" ref="I2420">_xlfn.XLOOKUP(FACT_IMPORTS[[#This Row],[country_name]],DIM_COUNTRY[[#All],[Column2]],DIM_COUNTRY[[#All],[Column3]],,,)</f>
        <v>China</v>
      </c>
    </row>
    <row r="2421" spans="1:9" x14ac:dyDescent="0.4">
      <c r="A2421" t="s">
        <v>66</v>
      </c>
      <c r="B2421" s="1">
        <v>44927</v>
      </c>
      <c r="C2421">
        <v>850133</v>
      </c>
      <c r="D2421" t="s">
        <v>176</v>
      </c>
      <c r="E2421">
        <v>0</v>
      </c>
      <c r="F2421">
        <v>0</v>
      </c>
      <c r="G2421">
        <v>0</v>
      </c>
      <c r="H2421">
        <f>_xlfn.XLOOKUP(FACT_IMPORTS[[#This Row],[hts_6]],DIM_PRODUCTS[hts_6],DIM_PRODUCTS[hts_4],,,)</f>
        <v>8501</v>
      </c>
      <c r="I2421" t="str" cm="1">
        <f t="array" ref="I2421">_xlfn.XLOOKUP(FACT_IMPORTS[[#This Row],[country_name]],DIM_COUNTRY[[#All],[Column2]],DIM_COUNTRY[[#All],[Column3]],,,)</f>
        <v>China</v>
      </c>
    </row>
    <row r="2422" spans="1:9" x14ac:dyDescent="0.4">
      <c r="A2422" t="s">
        <v>66</v>
      </c>
      <c r="B2422" s="1">
        <v>44927</v>
      </c>
      <c r="C2422">
        <v>850152</v>
      </c>
      <c r="D2422" t="s">
        <v>176</v>
      </c>
      <c r="E2422">
        <v>742726</v>
      </c>
      <c r="F2422">
        <v>1603</v>
      </c>
      <c r="G2422">
        <v>55536</v>
      </c>
      <c r="H2422">
        <f>_xlfn.XLOOKUP(FACT_IMPORTS[[#This Row],[hts_6]],DIM_PRODUCTS[hts_6],DIM_PRODUCTS[hts_4],,,)</f>
        <v>8501</v>
      </c>
      <c r="I2422" t="str" cm="1">
        <f t="array" ref="I2422">_xlfn.XLOOKUP(FACT_IMPORTS[[#This Row],[country_name]],DIM_COUNTRY[[#All],[Column2]],DIM_COUNTRY[[#All],[Column3]],,,)</f>
        <v>China</v>
      </c>
    </row>
    <row r="2423" spans="1:9" x14ac:dyDescent="0.4">
      <c r="A2423" t="s">
        <v>66</v>
      </c>
      <c r="B2423" s="1">
        <v>44927</v>
      </c>
      <c r="C2423">
        <v>850153</v>
      </c>
      <c r="D2423" t="s">
        <v>176</v>
      </c>
      <c r="E2423">
        <v>0</v>
      </c>
      <c r="F2423">
        <v>0</v>
      </c>
      <c r="G2423">
        <v>0</v>
      </c>
      <c r="H2423">
        <f>_xlfn.XLOOKUP(FACT_IMPORTS[[#This Row],[hts_6]],DIM_PRODUCTS[hts_6],DIM_PRODUCTS[hts_4],,,)</f>
        <v>8501</v>
      </c>
      <c r="I2423" t="str" cm="1">
        <f t="array" ref="I2423">_xlfn.XLOOKUP(FACT_IMPORTS[[#This Row],[country_name]],DIM_COUNTRY[[#All],[Column2]],DIM_COUNTRY[[#All],[Column3]],,,)</f>
        <v>China</v>
      </c>
    </row>
    <row r="2424" spans="1:9" x14ac:dyDescent="0.4">
      <c r="A2424" t="s">
        <v>66</v>
      </c>
      <c r="B2424" s="1">
        <v>44927</v>
      </c>
      <c r="C2424">
        <v>850161</v>
      </c>
      <c r="D2424" t="s">
        <v>176</v>
      </c>
      <c r="E2424">
        <v>0</v>
      </c>
      <c r="F2424">
        <v>0</v>
      </c>
      <c r="G2424">
        <v>0</v>
      </c>
      <c r="H2424">
        <f>_xlfn.XLOOKUP(FACT_IMPORTS[[#This Row],[hts_6]],DIM_PRODUCTS[hts_6],DIM_PRODUCTS[hts_4],,,)</f>
        <v>8501</v>
      </c>
      <c r="I2424" t="str" cm="1">
        <f t="array" ref="I2424">_xlfn.XLOOKUP(FACT_IMPORTS[[#This Row],[country_name]],DIM_COUNTRY[[#All],[Column2]],DIM_COUNTRY[[#All],[Column3]],,,)</f>
        <v>China</v>
      </c>
    </row>
    <row r="2425" spans="1:9" x14ac:dyDescent="0.4">
      <c r="A2425" t="s">
        <v>66</v>
      </c>
      <c r="B2425" s="1">
        <v>44927</v>
      </c>
      <c r="C2425">
        <v>850440</v>
      </c>
      <c r="D2425" t="s">
        <v>176</v>
      </c>
      <c r="E2425">
        <v>1479343</v>
      </c>
      <c r="F2425">
        <v>60699</v>
      </c>
      <c r="G2425">
        <v>119157</v>
      </c>
      <c r="H2425">
        <f>_xlfn.XLOOKUP(FACT_IMPORTS[[#This Row],[hts_6]],DIM_PRODUCTS[hts_6],DIM_PRODUCTS[hts_4],,,)</f>
        <v>8504</v>
      </c>
      <c r="I2425" t="str" cm="1">
        <f t="array" ref="I2425">_xlfn.XLOOKUP(FACT_IMPORTS[[#This Row],[country_name]],DIM_COUNTRY[[#All],[Column2]],DIM_COUNTRY[[#All],[Column3]],,,)</f>
        <v>China</v>
      </c>
    </row>
    <row r="2426" spans="1:9" x14ac:dyDescent="0.4">
      <c r="A2426" t="s">
        <v>66</v>
      </c>
      <c r="B2426" s="1">
        <v>44927</v>
      </c>
      <c r="C2426">
        <v>850710</v>
      </c>
      <c r="D2426" t="s">
        <v>176</v>
      </c>
      <c r="E2426">
        <v>3819</v>
      </c>
      <c r="F2426">
        <v>53</v>
      </c>
      <c r="G2426">
        <v>2</v>
      </c>
      <c r="H2426">
        <f>_xlfn.XLOOKUP(FACT_IMPORTS[[#This Row],[hts_6]],DIM_PRODUCTS[hts_6],DIM_PRODUCTS[hts_4],,,)</f>
        <v>8507</v>
      </c>
      <c r="I2426" t="str" cm="1">
        <f t="array" ref="I2426">_xlfn.XLOOKUP(FACT_IMPORTS[[#This Row],[country_name]],DIM_COUNTRY[[#All],[Column2]],DIM_COUNTRY[[#All],[Column3]],,,)</f>
        <v>China</v>
      </c>
    </row>
    <row r="2427" spans="1:9" x14ac:dyDescent="0.4">
      <c r="A2427" t="s">
        <v>66</v>
      </c>
      <c r="B2427" s="1">
        <v>44927</v>
      </c>
      <c r="C2427">
        <v>850760</v>
      </c>
      <c r="D2427" t="s">
        <v>176</v>
      </c>
      <c r="E2427">
        <v>247428</v>
      </c>
      <c r="F2427">
        <v>2708</v>
      </c>
      <c r="G2427">
        <v>17980</v>
      </c>
      <c r="H2427">
        <f>_xlfn.XLOOKUP(FACT_IMPORTS[[#This Row],[hts_6]],DIM_PRODUCTS[hts_6],DIM_PRODUCTS[hts_4],,,)</f>
        <v>8507</v>
      </c>
      <c r="I2427" t="str" cm="1">
        <f t="array" ref="I2427">_xlfn.XLOOKUP(FACT_IMPORTS[[#This Row],[country_name]],DIM_COUNTRY[[#All],[Column2]],DIM_COUNTRY[[#All],[Column3]],,,)</f>
        <v>China</v>
      </c>
    </row>
    <row r="2428" spans="1:9" x14ac:dyDescent="0.4">
      <c r="A2428" t="s">
        <v>66</v>
      </c>
      <c r="B2428" s="1">
        <v>44927</v>
      </c>
      <c r="C2428">
        <v>850790</v>
      </c>
      <c r="D2428" t="s">
        <v>176</v>
      </c>
      <c r="E2428">
        <v>9040890</v>
      </c>
      <c r="F2428">
        <v>275440</v>
      </c>
      <c r="G2428">
        <v>41068</v>
      </c>
      <c r="H2428">
        <f>_xlfn.XLOOKUP(FACT_IMPORTS[[#This Row],[hts_6]],DIM_PRODUCTS[hts_6],DIM_PRODUCTS[hts_4],,,)</f>
        <v>8507</v>
      </c>
      <c r="I2428" t="str" cm="1">
        <f t="array" ref="I2428">_xlfn.XLOOKUP(FACT_IMPORTS[[#This Row],[country_name]],DIM_COUNTRY[[#All],[Column2]],DIM_COUNTRY[[#All],[Column3]],,,)</f>
        <v>China</v>
      </c>
    </row>
    <row r="2429" spans="1:9" x14ac:dyDescent="0.4">
      <c r="A2429" t="s">
        <v>66</v>
      </c>
      <c r="B2429" s="1">
        <v>44927</v>
      </c>
      <c r="C2429">
        <v>851110</v>
      </c>
      <c r="D2429" t="s">
        <v>176</v>
      </c>
      <c r="E2429">
        <v>0</v>
      </c>
      <c r="F2429">
        <v>0</v>
      </c>
      <c r="G2429">
        <v>0</v>
      </c>
      <c r="H2429">
        <f>_xlfn.XLOOKUP(FACT_IMPORTS[[#This Row],[hts_6]],DIM_PRODUCTS[hts_6],DIM_PRODUCTS[hts_4],,,)</f>
        <v>8511</v>
      </c>
      <c r="I2429" t="str" cm="1">
        <f t="array" ref="I2429">_xlfn.XLOOKUP(FACT_IMPORTS[[#This Row],[country_name]],DIM_COUNTRY[[#All],[Column2]],DIM_COUNTRY[[#All],[Column3]],,,)</f>
        <v>China</v>
      </c>
    </row>
    <row r="2430" spans="1:9" x14ac:dyDescent="0.4">
      <c r="A2430" t="s">
        <v>66</v>
      </c>
      <c r="B2430" s="1">
        <v>44927</v>
      </c>
      <c r="C2430">
        <v>851130</v>
      </c>
      <c r="D2430" t="s">
        <v>176</v>
      </c>
      <c r="E2430">
        <v>53718</v>
      </c>
      <c r="F2430">
        <v>3920</v>
      </c>
      <c r="G2430">
        <v>816</v>
      </c>
      <c r="H2430">
        <f>_xlfn.XLOOKUP(FACT_IMPORTS[[#This Row],[hts_6]],DIM_PRODUCTS[hts_6],DIM_PRODUCTS[hts_4],,,)</f>
        <v>8511</v>
      </c>
      <c r="I2430" t="str" cm="1">
        <f t="array" ref="I2430">_xlfn.XLOOKUP(FACT_IMPORTS[[#This Row],[country_name]],DIM_COUNTRY[[#All],[Column2]],DIM_COUNTRY[[#All],[Column3]],,,)</f>
        <v>China</v>
      </c>
    </row>
    <row r="2431" spans="1:9" x14ac:dyDescent="0.4">
      <c r="A2431" t="s">
        <v>66</v>
      </c>
      <c r="B2431" s="1">
        <v>44927</v>
      </c>
      <c r="C2431">
        <v>851140</v>
      </c>
      <c r="D2431" t="s">
        <v>176</v>
      </c>
      <c r="E2431">
        <v>748402</v>
      </c>
      <c r="F2431">
        <v>10991</v>
      </c>
      <c r="G2431">
        <v>1811</v>
      </c>
      <c r="H2431">
        <f>_xlfn.XLOOKUP(FACT_IMPORTS[[#This Row],[hts_6]],DIM_PRODUCTS[hts_6],DIM_PRODUCTS[hts_4],,,)</f>
        <v>8511</v>
      </c>
      <c r="I2431" t="str" cm="1">
        <f t="array" ref="I2431">_xlfn.XLOOKUP(FACT_IMPORTS[[#This Row],[country_name]],DIM_COUNTRY[[#All],[Column2]],DIM_COUNTRY[[#All],[Column3]],,,)</f>
        <v>China</v>
      </c>
    </row>
    <row r="2432" spans="1:9" x14ac:dyDescent="0.4">
      <c r="A2432" t="s">
        <v>66</v>
      </c>
      <c r="B2432" s="1">
        <v>44927</v>
      </c>
      <c r="C2432">
        <v>851150</v>
      </c>
      <c r="D2432" t="s">
        <v>176</v>
      </c>
      <c r="E2432">
        <v>386098</v>
      </c>
      <c r="F2432">
        <v>12203</v>
      </c>
      <c r="G2432">
        <v>14480</v>
      </c>
      <c r="H2432">
        <f>_xlfn.XLOOKUP(FACT_IMPORTS[[#This Row],[hts_6]],DIM_PRODUCTS[hts_6],DIM_PRODUCTS[hts_4],,,)</f>
        <v>8511</v>
      </c>
      <c r="I2432" t="str" cm="1">
        <f t="array" ref="I2432">_xlfn.XLOOKUP(FACT_IMPORTS[[#This Row],[country_name]],DIM_COUNTRY[[#All],[Column2]],DIM_COUNTRY[[#All],[Column3]],,,)</f>
        <v>China</v>
      </c>
    </row>
    <row r="2433" spans="1:9" x14ac:dyDescent="0.4">
      <c r="A2433" t="s">
        <v>66</v>
      </c>
      <c r="B2433" s="1">
        <v>44927</v>
      </c>
      <c r="C2433">
        <v>851180</v>
      </c>
      <c r="D2433" t="s">
        <v>176</v>
      </c>
      <c r="E2433">
        <v>15978</v>
      </c>
      <c r="F2433">
        <v>649</v>
      </c>
      <c r="G2433">
        <v>124</v>
      </c>
      <c r="H2433">
        <f>_xlfn.XLOOKUP(FACT_IMPORTS[[#This Row],[hts_6]],DIM_PRODUCTS[hts_6],DIM_PRODUCTS[hts_4],,,)</f>
        <v>8511</v>
      </c>
      <c r="I2433" t="str" cm="1">
        <f t="array" ref="I2433">_xlfn.XLOOKUP(FACT_IMPORTS[[#This Row],[country_name]],DIM_COUNTRY[[#All],[Column2]],DIM_COUNTRY[[#All],[Column3]],,,)</f>
        <v>China</v>
      </c>
    </row>
    <row r="2434" spans="1:9" x14ac:dyDescent="0.4">
      <c r="A2434" t="s">
        <v>66</v>
      </c>
      <c r="B2434" s="1">
        <v>44927</v>
      </c>
      <c r="C2434">
        <v>851190</v>
      </c>
      <c r="D2434" t="s">
        <v>176</v>
      </c>
      <c r="E2434">
        <v>115986</v>
      </c>
      <c r="F2434">
        <v>9896</v>
      </c>
      <c r="G2434">
        <v>6833</v>
      </c>
      <c r="H2434">
        <f>_xlfn.XLOOKUP(FACT_IMPORTS[[#This Row],[hts_6]],DIM_PRODUCTS[hts_6],DIM_PRODUCTS[hts_4],,,)</f>
        <v>8511</v>
      </c>
      <c r="I2434" t="str" cm="1">
        <f t="array" ref="I2434">_xlfn.XLOOKUP(FACT_IMPORTS[[#This Row],[country_name]],DIM_COUNTRY[[#All],[Column2]],DIM_COUNTRY[[#All],[Column3]],,,)</f>
        <v>China</v>
      </c>
    </row>
    <row r="2435" spans="1:9" x14ac:dyDescent="0.4">
      <c r="A2435" t="s">
        <v>66</v>
      </c>
      <c r="B2435" s="1">
        <v>44927</v>
      </c>
      <c r="C2435">
        <v>851220</v>
      </c>
      <c r="D2435" t="s">
        <v>176</v>
      </c>
      <c r="E2435">
        <v>5332858</v>
      </c>
      <c r="F2435">
        <v>1483719</v>
      </c>
      <c r="G2435">
        <v>116736</v>
      </c>
      <c r="H2435">
        <f>_xlfn.XLOOKUP(FACT_IMPORTS[[#This Row],[hts_6]],DIM_PRODUCTS[hts_6],DIM_PRODUCTS[hts_4],,,)</f>
        <v>8512</v>
      </c>
      <c r="I2435" t="str" cm="1">
        <f t="array" ref="I2435">_xlfn.XLOOKUP(FACT_IMPORTS[[#This Row],[country_name]],DIM_COUNTRY[[#All],[Column2]],DIM_COUNTRY[[#All],[Column3]],,,)</f>
        <v>China</v>
      </c>
    </row>
    <row r="2436" spans="1:9" x14ac:dyDescent="0.4">
      <c r="A2436" t="s">
        <v>66</v>
      </c>
      <c r="B2436" s="1">
        <v>44927</v>
      </c>
      <c r="C2436">
        <v>851230</v>
      </c>
      <c r="D2436" t="s">
        <v>176</v>
      </c>
      <c r="E2436">
        <v>26351</v>
      </c>
      <c r="F2436">
        <v>3372</v>
      </c>
      <c r="G2436">
        <v>1017</v>
      </c>
      <c r="H2436">
        <f>_xlfn.XLOOKUP(FACT_IMPORTS[[#This Row],[hts_6]],DIM_PRODUCTS[hts_6],DIM_PRODUCTS[hts_4],,,)</f>
        <v>8512</v>
      </c>
      <c r="I2436" t="str" cm="1">
        <f t="array" ref="I2436">_xlfn.XLOOKUP(FACT_IMPORTS[[#This Row],[country_name]],DIM_COUNTRY[[#All],[Column2]],DIM_COUNTRY[[#All],[Column3]],,,)</f>
        <v>China</v>
      </c>
    </row>
    <row r="2437" spans="1:9" x14ac:dyDescent="0.4">
      <c r="A2437" t="s">
        <v>66</v>
      </c>
      <c r="B2437" s="1">
        <v>44927</v>
      </c>
      <c r="C2437">
        <v>851240</v>
      </c>
      <c r="D2437" t="s">
        <v>176</v>
      </c>
      <c r="E2437">
        <v>0</v>
      </c>
      <c r="F2437">
        <v>0</v>
      </c>
      <c r="G2437">
        <v>0</v>
      </c>
      <c r="H2437">
        <f>_xlfn.XLOOKUP(FACT_IMPORTS[[#This Row],[hts_6]],DIM_PRODUCTS[hts_6],DIM_PRODUCTS[hts_4],,,)</f>
        <v>8512</v>
      </c>
      <c r="I2437" t="str" cm="1">
        <f t="array" ref="I2437">_xlfn.XLOOKUP(FACT_IMPORTS[[#This Row],[country_name]],DIM_COUNTRY[[#All],[Column2]],DIM_COUNTRY[[#All],[Column3]],,,)</f>
        <v>China</v>
      </c>
    </row>
    <row r="2438" spans="1:9" x14ac:dyDescent="0.4">
      <c r="A2438" t="s">
        <v>66</v>
      </c>
      <c r="B2438" s="1">
        <v>44927</v>
      </c>
      <c r="C2438">
        <v>851290</v>
      </c>
      <c r="D2438" t="s">
        <v>176</v>
      </c>
      <c r="E2438">
        <v>184279</v>
      </c>
      <c r="F2438">
        <v>15885</v>
      </c>
      <c r="G2438">
        <v>13293</v>
      </c>
      <c r="H2438">
        <f>_xlfn.XLOOKUP(FACT_IMPORTS[[#This Row],[hts_6]],DIM_PRODUCTS[hts_6],DIM_PRODUCTS[hts_4],,,)</f>
        <v>8512</v>
      </c>
      <c r="I2438" t="str" cm="1">
        <f t="array" ref="I2438">_xlfn.XLOOKUP(FACT_IMPORTS[[#This Row],[country_name]],DIM_COUNTRY[[#All],[Column2]],DIM_COUNTRY[[#All],[Column3]],,,)</f>
        <v>China</v>
      </c>
    </row>
    <row r="2439" spans="1:9" x14ac:dyDescent="0.4">
      <c r="A2439" t="s">
        <v>66</v>
      </c>
      <c r="B2439" s="1">
        <v>44927</v>
      </c>
      <c r="C2439">
        <v>854231</v>
      </c>
      <c r="D2439" t="s">
        <v>176</v>
      </c>
      <c r="E2439">
        <v>654158</v>
      </c>
      <c r="F2439">
        <v>159022</v>
      </c>
      <c r="G2439">
        <v>62566</v>
      </c>
      <c r="H2439">
        <f>_xlfn.XLOOKUP(FACT_IMPORTS[[#This Row],[hts_6]],DIM_PRODUCTS[hts_6],DIM_PRODUCTS[hts_4],,,)</f>
        <v>8542</v>
      </c>
      <c r="I2439" t="str" cm="1">
        <f t="array" ref="I2439">_xlfn.XLOOKUP(FACT_IMPORTS[[#This Row],[country_name]],DIM_COUNTRY[[#All],[Column2]],DIM_COUNTRY[[#All],[Column3]],,,)</f>
        <v>China</v>
      </c>
    </row>
    <row r="2440" spans="1:9" x14ac:dyDescent="0.4">
      <c r="A2440" t="s">
        <v>66</v>
      </c>
      <c r="B2440" s="1">
        <v>44927</v>
      </c>
      <c r="C2440">
        <v>854232</v>
      </c>
      <c r="D2440" t="s">
        <v>176</v>
      </c>
      <c r="E2440">
        <v>0</v>
      </c>
      <c r="F2440">
        <v>0</v>
      </c>
      <c r="G2440">
        <v>0</v>
      </c>
      <c r="H2440">
        <f>_xlfn.XLOOKUP(FACT_IMPORTS[[#This Row],[hts_6]],DIM_PRODUCTS[hts_6],DIM_PRODUCTS[hts_4],,,)</f>
        <v>8542</v>
      </c>
      <c r="I2440" t="str" cm="1">
        <f t="array" ref="I2440">_xlfn.XLOOKUP(FACT_IMPORTS[[#This Row],[country_name]],DIM_COUNTRY[[#All],[Column2]],DIM_COUNTRY[[#All],[Column3]],,,)</f>
        <v>China</v>
      </c>
    </row>
    <row r="2441" spans="1:9" x14ac:dyDescent="0.4">
      <c r="A2441" t="s">
        <v>66</v>
      </c>
      <c r="B2441" s="1">
        <v>44927</v>
      </c>
      <c r="C2441">
        <v>854233</v>
      </c>
      <c r="D2441" t="s">
        <v>176</v>
      </c>
      <c r="E2441">
        <v>0</v>
      </c>
      <c r="F2441">
        <v>0</v>
      </c>
      <c r="G2441">
        <v>0</v>
      </c>
      <c r="H2441">
        <f>_xlfn.XLOOKUP(FACT_IMPORTS[[#This Row],[hts_6]],DIM_PRODUCTS[hts_6],DIM_PRODUCTS[hts_4],,,)</f>
        <v>8542</v>
      </c>
      <c r="I2441" t="str" cm="1">
        <f t="array" ref="I2441">_xlfn.XLOOKUP(FACT_IMPORTS[[#This Row],[country_name]],DIM_COUNTRY[[#All],[Column2]],DIM_COUNTRY[[#All],[Column3]],,,)</f>
        <v>China</v>
      </c>
    </row>
    <row r="2442" spans="1:9" x14ac:dyDescent="0.4">
      <c r="A2442" t="s">
        <v>66</v>
      </c>
      <c r="B2442" s="1">
        <v>44927</v>
      </c>
      <c r="C2442">
        <v>854239</v>
      </c>
      <c r="D2442" t="s">
        <v>176</v>
      </c>
      <c r="E2442">
        <v>1091330</v>
      </c>
      <c r="F2442">
        <v>499504</v>
      </c>
      <c r="G2442">
        <v>80642</v>
      </c>
      <c r="H2442">
        <f>_xlfn.XLOOKUP(FACT_IMPORTS[[#This Row],[hts_6]],DIM_PRODUCTS[hts_6],DIM_PRODUCTS[hts_4],,,)</f>
        <v>8542</v>
      </c>
      <c r="I2442" t="str" cm="1">
        <f t="array" ref="I2442">_xlfn.XLOOKUP(FACT_IMPORTS[[#This Row],[country_name]],DIM_COUNTRY[[#All],[Column2]],DIM_COUNTRY[[#All],[Column3]],,,)</f>
        <v>China</v>
      </c>
    </row>
    <row r="2443" spans="1:9" x14ac:dyDescent="0.4">
      <c r="A2443" t="s">
        <v>66</v>
      </c>
      <c r="B2443" s="1">
        <v>44927</v>
      </c>
      <c r="C2443">
        <v>854290</v>
      </c>
      <c r="D2443" t="s">
        <v>176</v>
      </c>
      <c r="E2443">
        <v>9604</v>
      </c>
      <c r="F2443">
        <v>1812</v>
      </c>
      <c r="G2443">
        <v>76</v>
      </c>
      <c r="H2443">
        <f>_xlfn.XLOOKUP(FACT_IMPORTS[[#This Row],[hts_6]],DIM_PRODUCTS[hts_6],DIM_PRODUCTS[hts_4],,,)</f>
        <v>8542</v>
      </c>
      <c r="I2443" t="str" cm="1">
        <f t="array" ref="I2443">_xlfn.XLOOKUP(FACT_IMPORTS[[#This Row],[country_name]],DIM_COUNTRY[[#All],[Column2]],DIM_COUNTRY[[#All],[Column3]],,,)</f>
        <v>China</v>
      </c>
    </row>
    <row r="2444" spans="1:9" x14ac:dyDescent="0.4">
      <c r="A2444" t="s">
        <v>66</v>
      </c>
      <c r="B2444" s="1">
        <v>44927</v>
      </c>
      <c r="C2444">
        <v>854430</v>
      </c>
      <c r="D2444" t="s">
        <v>176</v>
      </c>
      <c r="E2444">
        <v>699688</v>
      </c>
      <c r="F2444">
        <v>114370</v>
      </c>
      <c r="G2444">
        <v>5276</v>
      </c>
      <c r="H2444">
        <f>_xlfn.XLOOKUP(FACT_IMPORTS[[#This Row],[hts_6]],DIM_PRODUCTS[hts_6],DIM_PRODUCTS[hts_4],,,)</f>
        <v>8544</v>
      </c>
      <c r="I2444" t="str" cm="1">
        <f t="array" ref="I2444">_xlfn.XLOOKUP(FACT_IMPORTS[[#This Row],[country_name]],DIM_COUNTRY[[#All],[Column2]],DIM_COUNTRY[[#All],[Column3]],,,)</f>
        <v>China</v>
      </c>
    </row>
    <row r="2445" spans="1:9" x14ac:dyDescent="0.4">
      <c r="A2445" t="s">
        <v>66</v>
      </c>
      <c r="B2445" s="1">
        <v>44927</v>
      </c>
      <c r="C2445">
        <v>870790</v>
      </c>
      <c r="D2445" t="s">
        <v>176</v>
      </c>
      <c r="E2445">
        <v>0</v>
      </c>
      <c r="F2445">
        <v>0</v>
      </c>
      <c r="G2445">
        <v>0</v>
      </c>
      <c r="H2445">
        <f>_xlfn.XLOOKUP(FACT_IMPORTS[[#This Row],[hts_6]],DIM_PRODUCTS[hts_6],DIM_PRODUCTS[hts_4],,,)</f>
        <v>8707</v>
      </c>
      <c r="I2445" t="str" cm="1">
        <f t="array" ref="I2445">_xlfn.XLOOKUP(FACT_IMPORTS[[#This Row],[country_name]],DIM_COUNTRY[[#All],[Column2]],DIM_COUNTRY[[#All],[Column3]],,,)</f>
        <v>China</v>
      </c>
    </row>
    <row r="2446" spans="1:9" x14ac:dyDescent="0.4">
      <c r="A2446" t="s">
        <v>66</v>
      </c>
      <c r="B2446" s="1">
        <v>44927</v>
      </c>
      <c r="C2446">
        <v>870810</v>
      </c>
      <c r="D2446" t="s">
        <v>176</v>
      </c>
      <c r="E2446">
        <v>639898</v>
      </c>
      <c r="F2446">
        <v>34946</v>
      </c>
      <c r="G2446">
        <v>27447</v>
      </c>
      <c r="H2446">
        <f>_xlfn.XLOOKUP(FACT_IMPORTS[[#This Row],[hts_6]],DIM_PRODUCTS[hts_6],DIM_PRODUCTS[hts_4],,,)</f>
        <v>8708</v>
      </c>
      <c r="I2446" t="str" cm="1">
        <f t="array" ref="I2446">_xlfn.XLOOKUP(FACT_IMPORTS[[#This Row],[country_name]],DIM_COUNTRY[[#All],[Column2]],DIM_COUNTRY[[#All],[Column3]],,,)</f>
        <v>China</v>
      </c>
    </row>
    <row r="2447" spans="1:9" x14ac:dyDescent="0.4">
      <c r="A2447" t="s">
        <v>66</v>
      </c>
      <c r="B2447" s="1">
        <v>44927</v>
      </c>
      <c r="C2447">
        <v>870821</v>
      </c>
      <c r="D2447" t="s">
        <v>176</v>
      </c>
      <c r="E2447">
        <v>35219</v>
      </c>
      <c r="F2447">
        <v>1312</v>
      </c>
      <c r="G2447">
        <v>679</v>
      </c>
      <c r="H2447">
        <f>_xlfn.XLOOKUP(FACT_IMPORTS[[#This Row],[hts_6]],DIM_PRODUCTS[hts_6],DIM_PRODUCTS[hts_4],,,)</f>
        <v>8708</v>
      </c>
      <c r="I2447" t="str" cm="1">
        <f t="array" ref="I2447">_xlfn.XLOOKUP(FACT_IMPORTS[[#This Row],[country_name]],DIM_COUNTRY[[#All],[Column2]],DIM_COUNTRY[[#All],[Column3]],,,)</f>
        <v>China</v>
      </c>
    </row>
    <row r="2448" spans="1:9" x14ac:dyDescent="0.4">
      <c r="A2448" t="s">
        <v>66</v>
      </c>
      <c r="B2448" s="1">
        <v>44927</v>
      </c>
      <c r="C2448">
        <v>870822</v>
      </c>
      <c r="D2448" t="s">
        <v>176</v>
      </c>
      <c r="E2448">
        <v>599575</v>
      </c>
      <c r="F2448">
        <v>68031</v>
      </c>
      <c r="G2448">
        <v>36174</v>
      </c>
      <c r="H2448">
        <f>_xlfn.XLOOKUP(FACT_IMPORTS[[#This Row],[hts_6]],DIM_PRODUCTS[hts_6],DIM_PRODUCTS[hts_4],,,)</f>
        <v>8708</v>
      </c>
      <c r="I2448" t="str" cm="1">
        <f t="array" ref="I2448">_xlfn.XLOOKUP(FACT_IMPORTS[[#This Row],[country_name]],DIM_COUNTRY[[#All],[Column2]],DIM_COUNTRY[[#All],[Column3]],,,)</f>
        <v>China</v>
      </c>
    </row>
    <row r="2449" spans="1:9" x14ac:dyDescent="0.4">
      <c r="A2449" t="s">
        <v>66</v>
      </c>
      <c r="B2449" s="1">
        <v>44927</v>
      </c>
      <c r="C2449">
        <v>870829</v>
      </c>
      <c r="D2449" t="s">
        <v>176</v>
      </c>
      <c r="E2449">
        <v>20131970</v>
      </c>
      <c r="F2449">
        <v>4976347</v>
      </c>
      <c r="G2449">
        <v>657148</v>
      </c>
      <c r="H2449">
        <f>_xlfn.XLOOKUP(FACT_IMPORTS[[#This Row],[hts_6]],DIM_PRODUCTS[hts_6],DIM_PRODUCTS[hts_4],,,)</f>
        <v>8708</v>
      </c>
      <c r="I2449" t="str" cm="1">
        <f t="array" ref="I2449">_xlfn.XLOOKUP(FACT_IMPORTS[[#This Row],[country_name]],DIM_COUNTRY[[#All],[Column2]],DIM_COUNTRY[[#All],[Column3]],,,)</f>
        <v>China</v>
      </c>
    </row>
    <row r="2450" spans="1:9" x14ac:dyDescent="0.4">
      <c r="A2450" t="s">
        <v>66</v>
      </c>
      <c r="B2450" s="1">
        <v>44927</v>
      </c>
      <c r="C2450">
        <v>870830</v>
      </c>
      <c r="D2450" t="s">
        <v>176</v>
      </c>
      <c r="E2450">
        <v>7770630</v>
      </c>
      <c r="F2450">
        <v>532015</v>
      </c>
      <c r="G2450">
        <v>182179</v>
      </c>
      <c r="H2450">
        <f>_xlfn.XLOOKUP(FACT_IMPORTS[[#This Row],[hts_6]],DIM_PRODUCTS[hts_6],DIM_PRODUCTS[hts_4],,,)</f>
        <v>8708</v>
      </c>
      <c r="I2450" t="str" cm="1">
        <f t="array" ref="I2450">_xlfn.XLOOKUP(FACT_IMPORTS[[#This Row],[country_name]],DIM_COUNTRY[[#All],[Column2]],DIM_COUNTRY[[#All],[Column3]],,,)</f>
        <v>China</v>
      </c>
    </row>
    <row r="2451" spans="1:9" x14ac:dyDescent="0.4">
      <c r="A2451" t="s">
        <v>66</v>
      </c>
      <c r="B2451" s="1">
        <v>44927</v>
      </c>
      <c r="C2451">
        <v>870840</v>
      </c>
      <c r="D2451" t="s">
        <v>176</v>
      </c>
      <c r="E2451">
        <v>3251842</v>
      </c>
      <c r="F2451">
        <v>477549</v>
      </c>
      <c r="G2451">
        <v>76282</v>
      </c>
      <c r="H2451">
        <f>_xlfn.XLOOKUP(FACT_IMPORTS[[#This Row],[hts_6]],DIM_PRODUCTS[hts_6],DIM_PRODUCTS[hts_4],,,)</f>
        <v>8708</v>
      </c>
      <c r="I2451" t="str" cm="1">
        <f t="array" ref="I2451">_xlfn.XLOOKUP(FACT_IMPORTS[[#This Row],[country_name]],DIM_COUNTRY[[#All],[Column2]],DIM_COUNTRY[[#All],[Column3]],,,)</f>
        <v>China</v>
      </c>
    </row>
    <row r="2452" spans="1:9" x14ac:dyDescent="0.4">
      <c r="A2452" t="s">
        <v>66</v>
      </c>
      <c r="B2452" s="1">
        <v>44927</v>
      </c>
      <c r="C2452">
        <v>870850</v>
      </c>
      <c r="D2452" t="s">
        <v>176</v>
      </c>
      <c r="E2452">
        <v>1835151</v>
      </c>
      <c r="F2452">
        <v>267818</v>
      </c>
      <c r="G2452">
        <v>83156</v>
      </c>
      <c r="H2452">
        <f>_xlfn.XLOOKUP(FACT_IMPORTS[[#This Row],[hts_6]],DIM_PRODUCTS[hts_6],DIM_PRODUCTS[hts_4],,,)</f>
        <v>8708</v>
      </c>
      <c r="I2452" t="str" cm="1">
        <f t="array" ref="I2452">_xlfn.XLOOKUP(FACT_IMPORTS[[#This Row],[country_name]],DIM_COUNTRY[[#All],[Column2]],DIM_COUNTRY[[#All],[Column3]],,,)</f>
        <v>China</v>
      </c>
    </row>
    <row r="2453" spans="1:9" x14ac:dyDescent="0.4">
      <c r="A2453" t="s">
        <v>66</v>
      </c>
      <c r="B2453" s="1">
        <v>44927</v>
      </c>
      <c r="C2453">
        <v>870870</v>
      </c>
      <c r="D2453" t="s">
        <v>176</v>
      </c>
      <c r="E2453">
        <v>47061011</v>
      </c>
      <c r="F2453">
        <v>1906284</v>
      </c>
      <c r="G2453">
        <v>1683520</v>
      </c>
      <c r="H2453">
        <f>_xlfn.XLOOKUP(FACT_IMPORTS[[#This Row],[hts_6]],DIM_PRODUCTS[hts_6],DIM_PRODUCTS[hts_4],,,)</f>
        <v>8708</v>
      </c>
      <c r="I2453" t="str" cm="1">
        <f t="array" ref="I2453">_xlfn.XLOOKUP(FACT_IMPORTS[[#This Row],[country_name]],DIM_COUNTRY[[#All],[Column2]],DIM_COUNTRY[[#All],[Column3]],,,)</f>
        <v>China</v>
      </c>
    </row>
    <row r="2454" spans="1:9" x14ac:dyDescent="0.4">
      <c r="A2454" t="s">
        <v>66</v>
      </c>
      <c r="B2454" s="1">
        <v>44927</v>
      </c>
      <c r="C2454">
        <v>870880</v>
      </c>
      <c r="D2454" t="s">
        <v>176</v>
      </c>
      <c r="E2454">
        <v>13417848</v>
      </c>
      <c r="F2454">
        <v>1616720</v>
      </c>
      <c r="G2454">
        <v>213647</v>
      </c>
      <c r="H2454">
        <f>_xlfn.XLOOKUP(FACT_IMPORTS[[#This Row],[hts_6]],DIM_PRODUCTS[hts_6],DIM_PRODUCTS[hts_4],,,)</f>
        <v>8708</v>
      </c>
      <c r="I2454" t="str" cm="1">
        <f t="array" ref="I2454">_xlfn.XLOOKUP(FACT_IMPORTS[[#This Row],[country_name]],DIM_COUNTRY[[#All],[Column2]],DIM_COUNTRY[[#All],[Column3]],,,)</f>
        <v>China</v>
      </c>
    </row>
    <row r="2455" spans="1:9" x14ac:dyDescent="0.4">
      <c r="A2455" t="s">
        <v>66</v>
      </c>
      <c r="B2455" s="1">
        <v>44927</v>
      </c>
      <c r="C2455">
        <v>870891</v>
      </c>
      <c r="D2455" t="s">
        <v>176</v>
      </c>
      <c r="E2455">
        <v>85291</v>
      </c>
      <c r="F2455">
        <v>783</v>
      </c>
      <c r="G2455">
        <v>13373</v>
      </c>
      <c r="H2455">
        <f>_xlfn.XLOOKUP(FACT_IMPORTS[[#This Row],[hts_6]],DIM_PRODUCTS[hts_6],DIM_PRODUCTS[hts_4],,,)</f>
        <v>8708</v>
      </c>
      <c r="I2455" t="str" cm="1">
        <f t="array" ref="I2455">_xlfn.XLOOKUP(FACT_IMPORTS[[#This Row],[country_name]],DIM_COUNTRY[[#All],[Column2]],DIM_COUNTRY[[#All],[Column3]],,,)</f>
        <v>China</v>
      </c>
    </row>
    <row r="2456" spans="1:9" x14ac:dyDescent="0.4">
      <c r="A2456" t="s">
        <v>66</v>
      </c>
      <c r="B2456" s="1">
        <v>44927</v>
      </c>
      <c r="C2456">
        <v>870892</v>
      </c>
      <c r="D2456" t="s">
        <v>176</v>
      </c>
      <c r="E2456">
        <v>8447955</v>
      </c>
      <c r="F2456">
        <v>1484069</v>
      </c>
      <c r="G2456">
        <v>310616</v>
      </c>
      <c r="H2456">
        <f>_xlfn.XLOOKUP(FACT_IMPORTS[[#This Row],[hts_6]],DIM_PRODUCTS[hts_6],DIM_PRODUCTS[hts_4],,,)</f>
        <v>8708</v>
      </c>
      <c r="I2456" t="str" cm="1">
        <f t="array" ref="I2456">_xlfn.XLOOKUP(FACT_IMPORTS[[#This Row],[country_name]],DIM_COUNTRY[[#All],[Column2]],DIM_COUNTRY[[#All],[Column3]],,,)</f>
        <v>China</v>
      </c>
    </row>
    <row r="2457" spans="1:9" x14ac:dyDescent="0.4">
      <c r="A2457" t="s">
        <v>66</v>
      </c>
      <c r="B2457" s="1">
        <v>44927</v>
      </c>
      <c r="C2457">
        <v>870893</v>
      </c>
      <c r="D2457" t="s">
        <v>176</v>
      </c>
      <c r="E2457">
        <v>1036880</v>
      </c>
      <c r="F2457">
        <v>534219</v>
      </c>
      <c r="G2457">
        <v>20237</v>
      </c>
      <c r="H2457">
        <f>_xlfn.XLOOKUP(FACT_IMPORTS[[#This Row],[hts_6]],DIM_PRODUCTS[hts_6],DIM_PRODUCTS[hts_4],,,)</f>
        <v>8708</v>
      </c>
      <c r="I2457" t="str" cm="1">
        <f t="array" ref="I2457">_xlfn.XLOOKUP(FACT_IMPORTS[[#This Row],[country_name]],DIM_COUNTRY[[#All],[Column2]],DIM_COUNTRY[[#All],[Column3]],,,)</f>
        <v>China</v>
      </c>
    </row>
    <row r="2458" spans="1:9" x14ac:dyDescent="0.4">
      <c r="A2458" t="s">
        <v>66</v>
      </c>
      <c r="B2458" s="1">
        <v>44927</v>
      </c>
      <c r="C2458">
        <v>870894</v>
      </c>
      <c r="D2458" t="s">
        <v>176</v>
      </c>
      <c r="E2458">
        <v>8431010</v>
      </c>
      <c r="F2458">
        <v>316587</v>
      </c>
      <c r="G2458">
        <v>661156</v>
      </c>
      <c r="H2458">
        <f>_xlfn.XLOOKUP(FACT_IMPORTS[[#This Row],[hts_6]],DIM_PRODUCTS[hts_6],DIM_PRODUCTS[hts_4],,,)</f>
        <v>8708</v>
      </c>
      <c r="I2458" t="str" cm="1">
        <f t="array" ref="I2458">_xlfn.XLOOKUP(FACT_IMPORTS[[#This Row],[country_name]],DIM_COUNTRY[[#All],[Column2]],DIM_COUNTRY[[#All],[Column3]],,,)</f>
        <v>China</v>
      </c>
    </row>
    <row r="2459" spans="1:9" x14ac:dyDescent="0.4">
      <c r="A2459" t="s">
        <v>66</v>
      </c>
      <c r="B2459" s="1">
        <v>44927</v>
      </c>
      <c r="C2459">
        <v>870895</v>
      </c>
      <c r="D2459" t="s">
        <v>176</v>
      </c>
      <c r="E2459">
        <v>1031939</v>
      </c>
      <c r="F2459">
        <v>37636</v>
      </c>
      <c r="G2459">
        <v>12805</v>
      </c>
      <c r="H2459">
        <f>_xlfn.XLOOKUP(FACT_IMPORTS[[#This Row],[hts_6]],DIM_PRODUCTS[hts_6],DIM_PRODUCTS[hts_4],,,)</f>
        <v>8708</v>
      </c>
      <c r="I2459" t="str" cm="1">
        <f t="array" ref="I2459">_xlfn.XLOOKUP(FACT_IMPORTS[[#This Row],[country_name]],DIM_COUNTRY[[#All],[Column2]],DIM_COUNTRY[[#All],[Column3]],,,)</f>
        <v>China</v>
      </c>
    </row>
    <row r="2460" spans="1:9" x14ac:dyDescent="0.4">
      <c r="A2460" t="s">
        <v>66</v>
      </c>
      <c r="B2460" s="1">
        <v>44927</v>
      </c>
      <c r="C2460">
        <v>870899</v>
      </c>
      <c r="D2460" t="s">
        <v>176</v>
      </c>
      <c r="E2460">
        <v>8763494</v>
      </c>
      <c r="F2460">
        <v>1897309</v>
      </c>
      <c r="G2460">
        <v>415850</v>
      </c>
      <c r="H2460">
        <f>_xlfn.XLOOKUP(FACT_IMPORTS[[#This Row],[hts_6]],DIM_PRODUCTS[hts_6],DIM_PRODUCTS[hts_4],,,)</f>
        <v>8708</v>
      </c>
      <c r="I2460" t="str" cm="1">
        <f t="array" ref="I2460">_xlfn.XLOOKUP(FACT_IMPORTS[[#This Row],[country_name]],DIM_COUNTRY[[#All],[Column2]],DIM_COUNTRY[[#All],[Column3]],,,)</f>
        <v>China</v>
      </c>
    </row>
    <row r="2461" spans="1:9" x14ac:dyDescent="0.4">
      <c r="A2461" t="s">
        <v>66</v>
      </c>
      <c r="B2461" s="1">
        <v>44927</v>
      </c>
      <c r="C2461">
        <v>940120</v>
      </c>
      <c r="D2461" t="s">
        <v>176</v>
      </c>
      <c r="E2461">
        <v>156438</v>
      </c>
      <c r="F2461">
        <v>8160</v>
      </c>
      <c r="G2461">
        <v>27829</v>
      </c>
      <c r="H2461">
        <f>_xlfn.XLOOKUP(FACT_IMPORTS[[#This Row],[hts_6]],DIM_PRODUCTS[hts_6],DIM_PRODUCTS[hts_4],,,)</f>
        <v>9401</v>
      </c>
      <c r="I2461" t="str" cm="1">
        <f t="array" ref="I2461">_xlfn.XLOOKUP(FACT_IMPORTS[[#This Row],[country_name]],DIM_COUNTRY[[#All],[Column2]],DIM_COUNTRY[[#All],[Column3]],,,)</f>
        <v>China</v>
      </c>
    </row>
    <row r="2462" spans="1:9" x14ac:dyDescent="0.4">
      <c r="A2462" t="s">
        <v>66</v>
      </c>
      <c r="B2462" s="1">
        <v>44958</v>
      </c>
      <c r="C2462">
        <v>392630</v>
      </c>
      <c r="D2462" t="s">
        <v>176</v>
      </c>
      <c r="E2462">
        <v>6907876</v>
      </c>
      <c r="F2462">
        <v>280357</v>
      </c>
      <c r="G2462">
        <v>317331</v>
      </c>
      <c r="H2462">
        <f>_xlfn.XLOOKUP(FACT_IMPORTS[[#This Row],[hts_6]],DIM_PRODUCTS[hts_6],DIM_PRODUCTS[hts_4],,,)</f>
        <v>3926</v>
      </c>
      <c r="I2462" t="str" cm="1">
        <f t="array" ref="I2462">_xlfn.XLOOKUP(FACT_IMPORTS[[#This Row],[country_name]],DIM_COUNTRY[[#All],[Column2]],DIM_COUNTRY[[#All],[Column3]],,,)</f>
        <v>China</v>
      </c>
    </row>
    <row r="2463" spans="1:9" x14ac:dyDescent="0.4">
      <c r="A2463" t="s">
        <v>66</v>
      </c>
      <c r="B2463" s="1">
        <v>44958</v>
      </c>
      <c r="C2463">
        <v>401110</v>
      </c>
      <c r="D2463" t="s">
        <v>176</v>
      </c>
      <c r="E2463">
        <v>8000</v>
      </c>
      <c r="F2463">
        <v>200</v>
      </c>
      <c r="G2463">
        <v>300</v>
      </c>
      <c r="H2463">
        <f>_xlfn.XLOOKUP(FACT_IMPORTS[[#This Row],[hts_6]],DIM_PRODUCTS[hts_6],DIM_PRODUCTS[hts_4],,,)</f>
        <v>4011</v>
      </c>
      <c r="I2463" t="str" cm="1">
        <f t="array" ref="I2463">_xlfn.XLOOKUP(FACT_IMPORTS[[#This Row],[country_name]],DIM_COUNTRY[[#All],[Column2]],DIM_COUNTRY[[#All],[Column3]],,,)</f>
        <v>China</v>
      </c>
    </row>
    <row r="2464" spans="1:9" x14ac:dyDescent="0.4">
      <c r="A2464" t="s">
        <v>66</v>
      </c>
      <c r="B2464" s="1">
        <v>44958</v>
      </c>
      <c r="C2464">
        <v>401120</v>
      </c>
      <c r="D2464" t="s">
        <v>176</v>
      </c>
      <c r="E2464">
        <v>24555</v>
      </c>
      <c r="F2464">
        <v>380</v>
      </c>
      <c r="G2464">
        <v>5050</v>
      </c>
      <c r="H2464">
        <f>_xlfn.XLOOKUP(FACT_IMPORTS[[#This Row],[hts_6]],DIM_PRODUCTS[hts_6],DIM_PRODUCTS[hts_4],,,)</f>
        <v>4011</v>
      </c>
      <c r="I2464" t="str" cm="1">
        <f t="array" ref="I2464">_xlfn.XLOOKUP(FACT_IMPORTS[[#This Row],[country_name]],DIM_COUNTRY[[#All],[Column2]],DIM_COUNTRY[[#All],[Column3]],,,)</f>
        <v>China</v>
      </c>
    </row>
    <row r="2465" spans="1:9" x14ac:dyDescent="0.4">
      <c r="A2465" t="s">
        <v>66</v>
      </c>
      <c r="B2465" s="1">
        <v>44958</v>
      </c>
      <c r="C2465">
        <v>401140</v>
      </c>
      <c r="D2465" t="s">
        <v>176</v>
      </c>
      <c r="E2465">
        <v>3726</v>
      </c>
      <c r="F2465">
        <v>67</v>
      </c>
      <c r="G2465">
        <v>27</v>
      </c>
      <c r="H2465">
        <f>_xlfn.XLOOKUP(FACT_IMPORTS[[#This Row],[hts_6]],DIM_PRODUCTS[hts_6],DIM_PRODUCTS[hts_4],,,)</f>
        <v>4011</v>
      </c>
      <c r="I2465" t="str" cm="1">
        <f t="array" ref="I2465">_xlfn.XLOOKUP(FACT_IMPORTS[[#This Row],[country_name]],DIM_COUNTRY[[#All],[Column2]],DIM_COUNTRY[[#All],[Column3]],,,)</f>
        <v>China</v>
      </c>
    </row>
    <row r="2466" spans="1:9" x14ac:dyDescent="0.4">
      <c r="A2466" t="s">
        <v>66</v>
      </c>
      <c r="B2466" s="1">
        <v>44958</v>
      </c>
      <c r="C2466">
        <v>401190</v>
      </c>
      <c r="D2466" t="s">
        <v>176</v>
      </c>
      <c r="E2466">
        <v>46084</v>
      </c>
      <c r="F2466">
        <v>1098</v>
      </c>
      <c r="G2466">
        <v>3388</v>
      </c>
      <c r="H2466">
        <f>_xlfn.XLOOKUP(FACT_IMPORTS[[#This Row],[hts_6]],DIM_PRODUCTS[hts_6],DIM_PRODUCTS[hts_4],,,)</f>
        <v>4011</v>
      </c>
      <c r="I2466" t="str" cm="1">
        <f t="array" ref="I2466">_xlfn.XLOOKUP(FACT_IMPORTS[[#This Row],[country_name]],DIM_COUNTRY[[#All],[Column2]],DIM_COUNTRY[[#All],[Column3]],,,)</f>
        <v>China</v>
      </c>
    </row>
    <row r="2467" spans="1:9" x14ac:dyDescent="0.4">
      <c r="A2467" t="s">
        <v>66</v>
      </c>
      <c r="B2467" s="1">
        <v>44958</v>
      </c>
      <c r="C2467">
        <v>700711</v>
      </c>
      <c r="D2467" t="s">
        <v>176</v>
      </c>
      <c r="E2467">
        <v>516171</v>
      </c>
      <c r="F2467">
        <v>42829</v>
      </c>
      <c r="G2467">
        <v>36383</v>
      </c>
      <c r="H2467">
        <f>_xlfn.XLOOKUP(FACT_IMPORTS[[#This Row],[hts_6]],DIM_PRODUCTS[hts_6],DIM_PRODUCTS[hts_4],,,)</f>
        <v>7007</v>
      </c>
      <c r="I2467" t="str" cm="1">
        <f t="array" ref="I2467">_xlfn.XLOOKUP(FACT_IMPORTS[[#This Row],[country_name]],DIM_COUNTRY[[#All],[Column2]],DIM_COUNTRY[[#All],[Column3]],,,)</f>
        <v>China</v>
      </c>
    </row>
    <row r="2468" spans="1:9" x14ac:dyDescent="0.4">
      <c r="A2468" t="s">
        <v>66</v>
      </c>
      <c r="B2468" s="1">
        <v>44958</v>
      </c>
      <c r="C2468">
        <v>700721</v>
      </c>
      <c r="D2468" t="s">
        <v>176</v>
      </c>
      <c r="E2468">
        <v>14604</v>
      </c>
      <c r="F2468">
        <v>1417</v>
      </c>
      <c r="G2468">
        <v>3861</v>
      </c>
      <c r="H2468">
        <f>_xlfn.XLOOKUP(FACT_IMPORTS[[#This Row],[hts_6]],DIM_PRODUCTS[hts_6],DIM_PRODUCTS[hts_4],,,)</f>
        <v>7007</v>
      </c>
      <c r="I2468" t="str" cm="1">
        <f t="array" ref="I2468">_xlfn.XLOOKUP(FACT_IMPORTS[[#This Row],[country_name]],DIM_COUNTRY[[#All],[Column2]],DIM_COUNTRY[[#All],[Column3]],,,)</f>
        <v>China</v>
      </c>
    </row>
    <row r="2469" spans="1:9" x14ac:dyDescent="0.4">
      <c r="A2469" t="s">
        <v>66</v>
      </c>
      <c r="B2469" s="1">
        <v>44958</v>
      </c>
      <c r="C2469">
        <v>700910</v>
      </c>
      <c r="D2469" t="s">
        <v>176</v>
      </c>
      <c r="E2469">
        <v>145587</v>
      </c>
      <c r="F2469">
        <v>134812</v>
      </c>
      <c r="G2469">
        <v>15458</v>
      </c>
      <c r="H2469">
        <f>_xlfn.XLOOKUP(FACT_IMPORTS[[#This Row],[hts_6]],DIM_PRODUCTS[hts_6],DIM_PRODUCTS[hts_4],,,)</f>
        <v>7009</v>
      </c>
      <c r="I2469" t="str" cm="1">
        <f t="array" ref="I2469">_xlfn.XLOOKUP(FACT_IMPORTS[[#This Row],[country_name]],DIM_COUNTRY[[#All],[Column2]],DIM_COUNTRY[[#All],[Column3]],,,)</f>
        <v>China</v>
      </c>
    </row>
    <row r="2470" spans="1:9" x14ac:dyDescent="0.4">
      <c r="A2470" t="s">
        <v>66</v>
      </c>
      <c r="B2470" s="1">
        <v>44958</v>
      </c>
      <c r="C2470">
        <v>732010</v>
      </c>
      <c r="D2470" t="s">
        <v>176</v>
      </c>
      <c r="E2470">
        <v>0</v>
      </c>
      <c r="F2470">
        <v>0</v>
      </c>
      <c r="G2470">
        <v>0</v>
      </c>
      <c r="H2470">
        <f>_xlfn.XLOOKUP(FACT_IMPORTS[[#This Row],[hts_6]],DIM_PRODUCTS[hts_6],DIM_PRODUCTS[hts_4],,,)</f>
        <v>7320</v>
      </c>
      <c r="I2470" t="str" cm="1">
        <f t="array" ref="I2470">_xlfn.XLOOKUP(FACT_IMPORTS[[#This Row],[country_name]],DIM_COUNTRY[[#All],[Column2]],DIM_COUNTRY[[#All],[Column3]],,,)</f>
        <v>China</v>
      </c>
    </row>
    <row r="2471" spans="1:9" x14ac:dyDescent="0.4">
      <c r="A2471" t="s">
        <v>66</v>
      </c>
      <c r="B2471" s="1">
        <v>44958</v>
      </c>
      <c r="C2471">
        <v>830230</v>
      </c>
      <c r="D2471" t="s">
        <v>176</v>
      </c>
      <c r="E2471">
        <v>4276148</v>
      </c>
      <c r="F2471">
        <v>997243</v>
      </c>
      <c r="G2471">
        <v>196506</v>
      </c>
      <c r="H2471">
        <f>_xlfn.XLOOKUP(FACT_IMPORTS[[#This Row],[hts_6]],DIM_PRODUCTS[hts_6],DIM_PRODUCTS[hts_4],,,)</f>
        <v>8302</v>
      </c>
      <c r="I2471" t="str" cm="1">
        <f t="array" ref="I2471">_xlfn.XLOOKUP(FACT_IMPORTS[[#This Row],[country_name]],DIM_COUNTRY[[#All],[Column2]],DIM_COUNTRY[[#All],[Column3]],,,)</f>
        <v>China</v>
      </c>
    </row>
    <row r="2472" spans="1:9" x14ac:dyDescent="0.4">
      <c r="A2472" t="s">
        <v>66</v>
      </c>
      <c r="B2472" s="1">
        <v>44958</v>
      </c>
      <c r="C2472">
        <v>840732</v>
      </c>
      <c r="D2472" t="s">
        <v>176</v>
      </c>
      <c r="E2472">
        <v>2209</v>
      </c>
      <c r="F2472">
        <v>6</v>
      </c>
      <c r="G2472">
        <v>140</v>
      </c>
      <c r="H2472">
        <f>_xlfn.XLOOKUP(FACT_IMPORTS[[#This Row],[hts_6]],DIM_PRODUCTS[hts_6],DIM_PRODUCTS[hts_4],,,)</f>
        <v>8407</v>
      </c>
      <c r="I2472" t="str" cm="1">
        <f t="array" ref="I2472">_xlfn.XLOOKUP(FACT_IMPORTS[[#This Row],[country_name]],DIM_COUNTRY[[#All],[Column2]],DIM_COUNTRY[[#All],[Column3]],,,)</f>
        <v>China</v>
      </c>
    </row>
    <row r="2473" spans="1:9" x14ac:dyDescent="0.4">
      <c r="A2473" t="s">
        <v>66</v>
      </c>
      <c r="B2473" s="1">
        <v>44958</v>
      </c>
      <c r="C2473">
        <v>840733</v>
      </c>
      <c r="D2473" t="s">
        <v>176</v>
      </c>
      <c r="E2473">
        <v>7836</v>
      </c>
      <c r="F2473">
        <v>2</v>
      </c>
      <c r="G2473">
        <v>109</v>
      </c>
      <c r="H2473">
        <f>_xlfn.XLOOKUP(FACT_IMPORTS[[#This Row],[hts_6]],DIM_PRODUCTS[hts_6],DIM_PRODUCTS[hts_4],,,)</f>
        <v>8407</v>
      </c>
      <c r="I2473" t="str" cm="1">
        <f t="array" ref="I2473">_xlfn.XLOOKUP(FACT_IMPORTS[[#This Row],[country_name]],DIM_COUNTRY[[#All],[Column2]],DIM_COUNTRY[[#All],[Column3]],,,)</f>
        <v>China</v>
      </c>
    </row>
    <row r="2474" spans="1:9" x14ac:dyDescent="0.4">
      <c r="A2474" t="s">
        <v>66</v>
      </c>
      <c r="B2474" s="1">
        <v>44958</v>
      </c>
      <c r="C2474">
        <v>840734</v>
      </c>
      <c r="D2474" t="s">
        <v>176</v>
      </c>
      <c r="E2474">
        <v>0</v>
      </c>
      <c r="F2474">
        <v>0</v>
      </c>
      <c r="G2474">
        <v>0</v>
      </c>
      <c r="H2474">
        <f>_xlfn.XLOOKUP(FACT_IMPORTS[[#This Row],[hts_6]],DIM_PRODUCTS[hts_6],DIM_PRODUCTS[hts_4],,,)</f>
        <v>8407</v>
      </c>
      <c r="I2474" t="str" cm="1">
        <f t="array" ref="I2474">_xlfn.XLOOKUP(FACT_IMPORTS[[#This Row],[country_name]],DIM_COUNTRY[[#All],[Column2]],DIM_COUNTRY[[#All],[Column3]],,,)</f>
        <v>China</v>
      </c>
    </row>
    <row r="2475" spans="1:9" x14ac:dyDescent="0.4">
      <c r="A2475" t="s">
        <v>66</v>
      </c>
      <c r="B2475" s="1">
        <v>44958</v>
      </c>
      <c r="C2475">
        <v>840790</v>
      </c>
      <c r="D2475" t="s">
        <v>176</v>
      </c>
      <c r="E2475">
        <v>0</v>
      </c>
      <c r="F2475">
        <v>0</v>
      </c>
      <c r="G2475">
        <v>0</v>
      </c>
      <c r="H2475">
        <f>_xlfn.XLOOKUP(FACT_IMPORTS[[#This Row],[hts_6]],DIM_PRODUCTS[hts_6],DIM_PRODUCTS[hts_4],,,)</f>
        <v>8407</v>
      </c>
      <c r="I2475" t="str" cm="1">
        <f t="array" ref="I2475">_xlfn.XLOOKUP(FACT_IMPORTS[[#This Row],[country_name]],DIM_COUNTRY[[#All],[Column2]],DIM_COUNTRY[[#All],[Column3]],,,)</f>
        <v>China</v>
      </c>
    </row>
    <row r="2476" spans="1:9" x14ac:dyDescent="0.4">
      <c r="A2476" t="s">
        <v>66</v>
      </c>
      <c r="B2476" s="1">
        <v>44958</v>
      </c>
      <c r="C2476">
        <v>840890</v>
      </c>
      <c r="D2476" t="s">
        <v>176</v>
      </c>
      <c r="E2476">
        <v>0</v>
      </c>
      <c r="F2476">
        <v>0</v>
      </c>
      <c r="G2476">
        <v>0</v>
      </c>
      <c r="H2476">
        <f>_xlfn.XLOOKUP(FACT_IMPORTS[[#This Row],[hts_6]],DIM_PRODUCTS[hts_6],DIM_PRODUCTS[hts_4],,,)</f>
        <v>8408</v>
      </c>
      <c r="I2476" t="str" cm="1">
        <f t="array" ref="I2476">_xlfn.XLOOKUP(FACT_IMPORTS[[#This Row],[country_name]],DIM_COUNTRY[[#All],[Column2]],DIM_COUNTRY[[#All],[Column3]],,,)</f>
        <v>China</v>
      </c>
    </row>
    <row r="2477" spans="1:9" x14ac:dyDescent="0.4">
      <c r="A2477" t="s">
        <v>66</v>
      </c>
      <c r="B2477" s="1">
        <v>44958</v>
      </c>
      <c r="C2477">
        <v>840991</v>
      </c>
      <c r="D2477" t="s">
        <v>176</v>
      </c>
      <c r="E2477">
        <v>10137527</v>
      </c>
      <c r="F2477">
        <v>2025798</v>
      </c>
      <c r="G2477">
        <v>498724</v>
      </c>
      <c r="H2477">
        <f>_xlfn.XLOOKUP(FACT_IMPORTS[[#This Row],[hts_6]],DIM_PRODUCTS[hts_6],DIM_PRODUCTS[hts_4],,,)</f>
        <v>8409</v>
      </c>
      <c r="I2477" t="str" cm="1">
        <f t="array" ref="I2477">_xlfn.XLOOKUP(FACT_IMPORTS[[#This Row],[country_name]],DIM_COUNTRY[[#All],[Column2]],DIM_COUNTRY[[#All],[Column3]],,,)</f>
        <v>China</v>
      </c>
    </row>
    <row r="2478" spans="1:9" x14ac:dyDescent="0.4">
      <c r="A2478" t="s">
        <v>66</v>
      </c>
      <c r="B2478" s="1">
        <v>44958</v>
      </c>
      <c r="C2478">
        <v>840999</v>
      </c>
      <c r="D2478" t="s">
        <v>176</v>
      </c>
      <c r="E2478">
        <v>2969459</v>
      </c>
      <c r="F2478">
        <v>329908</v>
      </c>
      <c r="G2478">
        <v>79456</v>
      </c>
      <c r="H2478">
        <f>_xlfn.XLOOKUP(FACT_IMPORTS[[#This Row],[hts_6]],DIM_PRODUCTS[hts_6],DIM_PRODUCTS[hts_4],,,)</f>
        <v>8409</v>
      </c>
      <c r="I2478" t="str" cm="1">
        <f t="array" ref="I2478">_xlfn.XLOOKUP(FACT_IMPORTS[[#This Row],[country_name]],DIM_COUNTRY[[#All],[Column2]],DIM_COUNTRY[[#All],[Column3]],,,)</f>
        <v>China</v>
      </c>
    </row>
    <row r="2479" spans="1:9" x14ac:dyDescent="0.4">
      <c r="A2479" t="s">
        <v>66</v>
      </c>
      <c r="B2479" s="1">
        <v>44958</v>
      </c>
      <c r="C2479">
        <v>841330</v>
      </c>
      <c r="D2479" t="s">
        <v>176</v>
      </c>
      <c r="E2479">
        <v>1136131</v>
      </c>
      <c r="F2479">
        <v>49501</v>
      </c>
      <c r="G2479">
        <v>31354</v>
      </c>
      <c r="H2479">
        <f>_xlfn.XLOOKUP(FACT_IMPORTS[[#This Row],[hts_6]],DIM_PRODUCTS[hts_6],DIM_PRODUCTS[hts_4],,,)</f>
        <v>8413</v>
      </c>
      <c r="I2479" t="str" cm="1">
        <f t="array" ref="I2479">_xlfn.XLOOKUP(FACT_IMPORTS[[#This Row],[country_name]],DIM_COUNTRY[[#All],[Column2]],DIM_COUNTRY[[#All],[Column3]],,,)</f>
        <v>China</v>
      </c>
    </row>
    <row r="2480" spans="1:9" x14ac:dyDescent="0.4">
      <c r="A2480" t="s">
        <v>66</v>
      </c>
      <c r="B2480" s="1">
        <v>44958</v>
      </c>
      <c r="C2480">
        <v>841520</v>
      </c>
      <c r="D2480" t="s">
        <v>176</v>
      </c>
      <c r="E2480">
        <v>0</v>
      </c>
      <c r="F2480">
        <v>0</v>
      </c>
      <c r="G2480">
        <v>0</v>
      </c>
      <c r="H2480">
        <f>_xlfn.XLOOKUP(FACT_IMPORTS[[#This Row],[hts_6]],DIM_PRODUCTS[hts_6],DIM_PRODUCTS[hts_4],,,)</f>
        <v>8415</v>
      </c>
      <c r="I2480" t="str" cm="1">
        <f t="array" ref="I2480">_xlfn.XLOOKUP(FACT_IMPORTS[[#This Row],[country_name]],DIM_COUNTRY[[#All],[Column2]],DIM_COUNTRY[[#All],[Column3]],,,)</f>
        <v>China</v>
      </c>
    </row>
    <row r="2481" spans="1:9" x14ac:dyDescent="0.4">
      <c r="A2481" t="s">
        <v>66</v>
      </c>
      <c r="B2481" s="1">
        <v>44958</v>
      </c>
      <c r="C2481">
        <v>842132</v>
      </c>
      <c r="D2481" t="s">
        <v>176</v>
      </c>
      <c r="E2481">
        <v>0</v>
      </c>
      <c r="F2481">
        <v>0</v>
      </c>
      <c r="G2481">
        <v>0</v>
      </c>
      <c r="H2481">
        <f>_xlfn.XLOOKUP(FACT_IMPORTS[[#This Row],[hts_6]],DIM_PRODUCTS[hts_6],DIM_PRODUCTS[hts_4],,,)</f>
        <v>8421</v>
      </c>
      <c r="I2481" t="str" cm="1">
        <f t="array" ref="I2481">_xlfn.XLOOKUP(FACT_IMPORTS[[#This Row],[country_name]],DIM_COUNTRY[[#All],[Column2]],DIM_COUNTRY[[#All],[Column3]],,,)</f>
        <v>China</v>
      </c>
    </row>
    <row r="2482" spans="1:9" x14ac:dyDescent="0.4">
      <c r="A2482" t="s">
        <v>66</v>
      </c>
      <c r="B2482" s="1">
        <v>44958</v>
      </c>
      <c r="C2482">
        <v>848210</v>
      </c>
      <c r="D2482" t="s">
        <v>176</v>
      </c>
      <c r="E2482">
        <v>683569</v>
      </c>
      <c r="F2482">
        <v>499774</v>
      </c>
      <c r="G2482">
        <v>19933</v>
      </c>
      <c r="H2482">
        <f>_xlfn.XLOOKUP(FACT_IMPORTS[[#This Row],[hts_6]],DIM_PRODUCTS[hts_6],DIM_PRODUCTS[hts_4],,,)</f>
        <v>8482</v>
      </c>
      <c r="I2482" t="str" cm="1">
        <f t="array" ref="I2482">_xlfn.XLOOKUP(FACT_IMPORTS[[#This Row],[country_name]],DIM_COUNTRY[[#All],[Column2]],DIM_COUNTRY[[#All],[Column3]],,,)</f>
        <v>China</v>
      </c>
    </row>
    <row r="2483" spans="1:9" x14ac:dyDescent="0.4">
      <c r="A2483" t="s">
        <v>66</v>
      </c>
      <c r="B2483" s="1">
        <v>44958</v>
      </c>
      <c r="C2483">
        <v>848220</v>
      </c>
      <c r="D2483" t="s">
        <v>176</v>
      </c>
      <c r="E2483">
        <v>64252</v>
      </c>
      <c r="F2483">
        <v>63400</v>
      </c>
      <c r="G2483">
        <v>5416</v>
      </c>
      <c r="H2483">
        <f>_xlfn.XLOOKUP(FACT_IMPORTS[[#This Row],[hts_6]],DIM_PRODUCTS[hts_6],DIM_PRODUCTS[hts_4],,,)</f>
        <v>8482</v>
      </c>
      <c r="I2483" t="str" cm="1">
        <f t="array" ref="I2483">_xlfn.XLOOKUP(FACT_IMPORTS[[#This Row],[country_name]],DIM_COUNTRY[[#All],[Column2]],DIM_COUNTRY[[#All],[Column3]],,,)</f>
        <v>China</v>
      </c>
    </row>
    <row r="2484" spans="1:9" x14ac:dyDescent="0.4">
      <c r="A2484" t="s">
        <v>66</v>
      </c>
      <c r="B2484" s="1">
        <v>44958</v>
      </c>
      <c r="C2484">
        <v>848310</v>
      </c>
      <c r="D2484" t="s">
        <v>176</v>
      </c>
      <c r="E2484">
        <v>2674444</v>
      </c>
      <c r="F2484">
        <v>161819</v>
      </c>
      <c r="G2484">
        <v>129008</v>
      </c>
      <c r="H2484">
        <f>_xlfn.XLOOKUP(FACT_IMPORTS[[#This Row],[hts_6]],DIM_PRODUCTS[hts_6],DIM_PRODUCTS[hts_4],,,)</f>
        <v>8483</v>
      </c>
      <c r="I2484" t="str" cm="1">
        <f t="array" ref="I2484">_xlfn.XLOOKUP(FACT_IMPORTS[[#This Row],[country_name]],DIM_COUNTRY[[#All],[Column2]],DIM_COUNTRY[[#All],[Column3]],,,)</f>
        <v>China</v>
      </c>
    </row>
    <row r="2485" spans="1:9" x14ac:dyDescent="0.4">
      <c r="A2485" t="s">
        <v>66</v>
      </c>
      <c r="B2485" s="1">
        <v>44958</v>
      </c>
      <c r="C2485">
        <v>850131</v>
      </c>
      <c r="D2485" t="s">
        <v>176</v>
      </c>
      <c r="E2485">
        <v>619915</v>
      </c>
      <c r="F2485">
        <v>34760</v>
      </c>
      <c r="G2485">
        <v>13747</v>
      </c>
      <c r="H2485">
        <f>_xlfn.XLOOKUP(FACT_IMPORTS[[#This Row],[hts_6]],DIM_PRODUCTS[hts_6],DIM_PRODUCTS[hts_4],,,)</f>
        <v>8501</v>
      </c>
      <c r="I2485" t="str" cm="1">
        <f t="array" ref="I2485">_xlfn.XLOOKUP(FACT_IMPORTS[[#This Row],[country_name]],DIM_COUNTRY[[#All],[Column2]],DIM_COUNTRY[[#All],[Column3]],,,)</f>
        <v>China</v>
      </c>
    </row>
    <row r="2486" spans="1:9" x14ac:dyDescent="0.4">
      <c r="A2486" t="s">
        <v>66</v>
      </c>
      <c r="B2486" s="1">
        <v>44958</v>
      </c>
      <c r="C2486">
        <v>850132</v>
      </c>
      <c r="D2486" t="s">
        <v>176</v>
      </c>
      <c r="E2486">
        <v>76716</v>
      </c>
      <c r="F2486">
        <v>177</v>
      </c>
      <c r="G2486">
        <v>1778</v>
      </c>
      <c r="H2486">
        <f>_xlfn.XLOOKUP(FACT_IMPORTS[[#This Row],[hts_6]],DIM_PRODUCTS[hts_6],DIM_PRODUCTS[hts_4],,,)</f>
        <v>8501</v>
      </c>
      <c r="I2486" t="str" cm="1">
        <f t="array" ref="I2486">_xlfn.XLOOKUP(FACT_IMPORTS[[#This Row],[country_name]],DIM_COUNTRY[[#All],[Column2]],DIM_COUNTRY[[#All],[Column3]],,,)</f>
        <v>China</v>
      </c>
    </row>
    <row r="2487" spans="1:9" x14ac:dyDescent="0.4">
      <c r="A2487" t="s">
        <v>66</v>
      </c>
      <c r="B2487" s="1">
        <v>44958</v>
      </c>
      <c r="C2487">
        <v>850133</v>
      </c>
      <c r="D2487" t="s">
        <v>176</v>
      </c>
      <c r="E2487">
        <v>0</v>
      </c>
      <c r="F2487">
        <v>0</v>
      </c>
      <c r="G2487">
        <v>0</v>
      </c>
      <c r="H2487">
        <f>_xlfn.XLOOKUP(FACT_IMPORTS[[#This Row],[hts_6]],DIM_PRODUCTS[hts_6],DIM_PRODUCTS[hts_4],,,)</f>
        <v>8501</v>
      </c>
      <c r="I2487" t="str" cm="1">
        <f t="array" ref="I2487">_xlfn.XLOOKUP(FACT_IMPORTS[[#This Row],[country_name]],DIM_COUNTRY[[#All],[Column2]],DIM_COUNTRY[[#All],[Column3]],,,)</f>
        <v>China</v>
      </c>
    </row>
    <row r="2488" spans="1:9" x14ac:dyDescent="0.4">
      <c r="A2488" t="s">
        <v>66</v>
      </c>
      <c r="B2488" s="1">
        <v>44958</v>
      </c>
      <c r="C2488">
        <v>850152</v>
      </c>
      <c r="D2488" t="s">
        <v>176</v>
      </c>
      <c r="E2488">
        <v>609714</v>
      </c>
      <c r="F2488">
        <v>1324</v>
      </c>
      <c r="G2488">
        <v>35178</v>
      </c>
      <c r="H2488">
        <f>_xlfn.XLOOKUP(FACT_IMPORTS[[#This Row],[hts_6]],DIM_PRODUCTS[hts_6],DIM_PRODUCTS[hts_4],,,)</f>
        <v>8501</v>
      </c>
      <c r="I2488" t="str" cm="1">
        <f t="array" ref="I2488">_xlfn.XLOOKUP(FACT_IMPORTS[[#This Row],[country_name]],DIM_COUNTRY[[#All],[Column2]],DIM_COUNTRY[[#All],[Column3]],,,)</f>
        <v>China</v>
      </c>
    </row>
    <row r="2489" spans="1:9" x14ac:dyDescent="0.4">
      <c r="A2489" t="s">
        <v>66</v>
      </c>
      <c r="B2489" s="1">
        <v>44958</v>
      </c>
      <c r="C2489">
        <v>850153</v>
      </c>
      <c r="D2489" t="s">
        <v>176</v>
      </c>
      <c r="E2489">
        <v>15373</v>
      </c>
      <c r="F2489">
        <v>1</v>
      </c>
      <c r="G2489">
        <v>200</v>
      </c>
      <c r="H2489">
        <f>_xlfn.XLOOKUP(FACT_IMPORTS[[#This Row],[hts_6]],DIM_PRODUCTS[hts_6],DIM_PRODUCTS[hts_4],,,)</f>
        <v>8501</v>
      </c>
      <c r="I2489" t="str" cm="1">
        <f t="array" ref="I2489">_xlfn.XLOOKUP(FACT_IMPORTS[[#This Row],[country_name]],DIM_COUNTRY[[#All],[Column2]],DIM_COUNTRY[[#All],[Column3]],,,)</f>
        <v>China</v>
      </c>
    </row>
    <row r="2490" spans="1:9" x14ac:dyDescent="0.4">
      <c r="A2490" t="s">
        <v>66</v>
      </c>
      <c r="B2490" s="1">
        <v>44958</v>
      </c>
      <c r="C2490">
        <v>850161</v>
      </c>
      <c r="D2490" t="s">
        <v>176</v>
      </c>
      <c r="E2490">
        <v>0</v>
      </c>
      <c r="F2490">
        <v>0</v>
      </c>
      <c r="G2490">
        <v>0</v>
      </c>
      <c r="H2490">
        <f>_xlfn.XLOOKUP(FACT_IMPORTS[[#This Row],[hts_6]],DIM_PRODUCTS[hts_6],DIM_PRODUCTS[hts_4],,,)</f>
        <v>8501</v>
      </c>
      <c r="I2490" t="str" cm="1">
        <f t="array" ref="I2490">_xlfn.XLOOKUP(FACT_IMPORTS[[#This Row],[country_name]],DIM_COUNTRY[[#All],[Column2]],DIM_COUNTRY[[#All],[Column3]],,,)</f>
        <v>China</v>
      </c>
    </row>
    <row r="2491" spans="1:9" x14ac:dyDescent="0.4">
      <c r="A2491" t="s">
        <v>66</v>
      </c>
      <c r="B2491" s="1">
        <v>44958</v>
      </c>
      <c r="C2491">
        <v>850440</v>
      </c>
      <c r="D2491" t="s">
        <v>176</v>
      </c>
      <c r="E2491">
        <v>2270429</v>
      </c>
      <c r="F2491">
        <v>98991</v>
      </c>
      <c r="G2491">
        <v>26850</v>
      </c>
      <c r="H2491">
        <f>_xlfn.XLOOKUP(FACT_IMPORTS[[#This Row],[hts_6]],DIM_PRODUCTS[hts_6],DIM_PRODUCTS[hts_4],,,)</f>
        <v>8504</v>
      </c>
      <c r="I2491" t="str" cm="1">
        <f t="array" ref="I2491">_xlfn.XLOOKUP(FACT_IMPORTS[[#This Row],[country_name]],DIM_COUNTRY[[#All],[Column2]],DIM_COUNTRY[[#All],[Column3]],,,)</f>
        <v>China</v>
      </c>
    </row>
    <row r="2492" spans="1:9" x14ac:dyDescent="0.4">
      <c r="A2492" t="s">
        <v>66</v>
      </c>
      <c r="B2492" s="1">
        <v>44958</v>
      </c>
      <c r="C2492">
        <v>850710</v>
      </c>
      <c r="D2492" t="s">
        <v>176</v>
      </c>
      <c r="E2492">
        <v>23980</v>
      </c>
      <c r="F2492">
        <v>204</v>
      </c>
      <c r="G2492">
        <v>1917</v>
      </c>
      <c r="H2492">
        <f>_xlfn.XLOOKUP(FACT_IMPORTS[[#This Row],[hts_6]],DIM_PRODUCTS[hts_6],DIM_PRODUCTS[hts_4],,,)</f>
        <v>8507</v>
      </c>
      <c r="I2492" t="str" cm="1">
        <f t="array" ref="I2492">_xlfn.XLOOKUP(FACT_IMPORTS[[#This Row],[country_name]],DIM_COUNTRY[[#All],[Column2]],DIM_COUNTRY[[#All],[Column3]],,,)</f>
        <v>China</v>
      </c>
    </row>
    <row r="2493" spans="1:9" x14ac:dyDescent="0.4">
      <c r="A2493" t="s">
        <v>66</v>
      </c>
      <c r="B2493" s="1">
        <v>44958</v>
      </c>
      <c r="C2493">
        <v>850760</v>
      </c>
      <c r="D2493" t="s">
        <v>176</v>
      </c>
      <c r="E2493">
        <v>962086</v>
      </c>
      <c r="F2493">
        <v>23845</v>
      </c>
      <c r="G2493">
        <v>4678</v>
      </c>
      <c r="H2493">
        <f>_xlfn.XLOOKUP(FACT_IMPORTS[[#This Row],[hts_6]],DIM_PRODUCTS[hts_6],DIM_PRODUCTS[hts_4],,,)</f>
        <v>8507</v>
      </c>
      <c r="I2493" t="str" cm="1">
        <f t="array" ref="I2493">_xlfn.XLOOKUP(FACT_IMPORTS[[#This Row],[country_name]],DIM_COUNTRY[[#All],[Column2]],DIM_COUNTRY[[#All],[Column3]],,,)</f>
        <v>China</v>
      </c>
    </row>
    <row r="2494" spans="1:9" x14ac:dyDescent="0.4">
      <c r="A2494" t="s">
        <v>66</v>
      </c>
      <c r="B2494" s="1">
        <v>44958</v>
      </c>
      <c r="C2494">
        <v>850790</v>
      </c>
      <c r="D2494" t="s">
        <v>176</v>
      </c>
      <c r="E2494">
        <v>10960828</v>
      </c>
      <c r="F2494">
        <v>290302</v>
      </c>
      <c r="G2494">
        <v>36670</v>
      </c>
      <c r="H2494">
        <f>_xlfn.XLOOKUP(FACT_IMPORTS[[#This Row],[hts_6]],DIM_PRODUCTS[hts_6],DIM_PRODUCTS[hts_4],,,)</f>
        <v>8507</v>
      </c>
      <c r="I2494" t="str" cm="1">
        <f t="array" ref="I2494">_xlfn.XLOOKUP(FACT_IMPORTS[[#This Row],[country_name]],DIM_COUNTRY[[#All],[Column2]],DIM_COUNTRY[[#All],[Column3]],,,)</f>
        <v>China</v>
      </c>
    </row>
    <row r="2495" spans="1:9" x14ac:dyDescent="0.4">
      <c r="A2495" t="s">
        <v>66</v>
      </c>
      <c r="B2495" s="1">
        <v>44958</v>
      </c>
      <c r="C2495">
        <v>851110</v>
      </c>
      <c r="D2495" t="s">
        <v>176</v>
      </c>
      <c r="E2495">
        <v>0</v>
      </c>
      <c r="F2495">
        <v>0</v>
      </c>
      <c r="G2495">
        <v>0</v>
      </c>
      <c r="H2495">
        <f>_xlfn.XLOOKUP(FACT_IMPORTS[[#This Row],[hts_6]],DIM_PRODUCTS[hts_6],DIM_PRODUCTS[hts_4],,,)</f>
        <v>8511</v>
      </c>
      <c r="I2495" t="str" cm="1">
        <f t="array" ref="I2495">_xlfn.XLOOKUP(FACT_IMPORTS[[#This Row],[country_name]],DIM_COUNTRY[[#All],[Column2]],DIM_COUNTRY[[#All],[Column3]],,,)</f>
        <v>China</v>
      </c>
    </row>
    <row r="2496" spans="1:9" x14ac:dyDescent="0.4">
      <c r="A2496" t="s">
        <v>66</v>
      </c>
      <c r="B2496" s="1">
        <v>44958</v>
      </c>
      <c r="C2496">
        <v>851130</v>
      </c>
      <c r="D2496" t="s">
        <v>176</v>
      </c>
      <c r="E2496">
        <v>0</v>
      </c>
      <c r="F2496">
        <v>0</v>
      </c>
      <c r="G2496">
        <v>0</v>
      </c>
      <c r="H2496">
        <f>_xlfn.XLOOKUP(FACT_IMPORTS[[#This Row],[hts_6]],DIM_PRODUCTS[hts_6],DIM_PRODUCTS[hts_4],,,)</f>
        <v>8511</v>
      </c>
      <c r="I2496" t="str" cm="1">
        <f t="array" ref="I2496">_xlfn.XLOOKUP(FACT_IMPORTS[[#This Row],[country_name]],DIM_COUNTRY[[#All],[Column2]],DIM_COUNTRY[[#All],[Column3]],,,)</f>
        <v>China</v>
      </c>
    </row>
    <row r="2497" spans="1:9" x14ac:dyDescent="0.4">
      <c r="A2497" t="s">
        <v>66</v>
      </c>
      <c r="B2497" s="1">
        <v>44958</v>
      </c>
      <c r="C2497">
        <v>851140</v>
      </c>
      <c r="D2497" t="s">
        <v>176</v>
      </c>
      <c r="E2497">
        <v>790405</v>
      </c>
      <c r="F2497">
        <v>12226</v>
      </c>
      <c r="G2497">
        <v>6875</v>
      </c>
      <c r="H2497">
        <f>_xlfn.XLOOKUP(FACT_IMPORTS[[#This Row],[hts_6]],DIM_PRODUCTS[hts_6],DIM_PRODUCTS[hts_4],,,)</f>
        <v>8511</v>
      </c>
      <c r="I2497" t="str" cm="1">
        <f t="array" ref="I2497">_xlfn.XLOOKUP(FACT_IMPORTS[[#This Row],[country_name]],DIM_COUNTRY[[#All],[Column2]],DIM_COUNTRY[[#All],[Column3]],,,)</f>
        <v>China</v>
      </c>
    </row>
    <row r="2498" spans="1:9" x14ac:dyDescent="0.4">
      <c r="A2498" t="s">
        <v>66</v>
      </c>
      <c r="B2498" s="1">
        <v>44958</v>
      </c>
      <c r="C2498">
        <v>851150</v>
      </c>
      <c r="D2498" t="s">
        <v>176</v>
      </c>
      <c r="E2498">
        <v>282763</v>
      </c>
      <c r="F2498">
        <v>3872</v>
      </c>
      <c r="G2498">
        <v>3721</v>
      </c>
      <c r="H2498">
        <f>_xlfn.XLOOKUP(FACT_IMPORTS[[#This Row],[hts_6]],DIM_PRODUCTS[hts_6],DIM_PRODUCTS[hts_4],,,)</f>
        <v>8511</v>
      </c>
      <c r="I2498" t="str" cm="1">
        <f t="array" ref="I2498">_xlfn.XLOOKUP(FACT_IMPORTS[[#This Row],[country_name]],DIM_COUNTRY[[#All],[Column2]],DIM_COUNTRY[[#All],[Column3]],,,)</f>
        <v>China</v>
      </c>
    </row>
    <row r="2499" spans="1:9" x14ac:dyDescent="0.4">
      <c r="A2499" t="s">
        <v>66</v>
      </c>
      <c r="B2499" s="1">
        <v>44958</v>
      </c>
      <c r="C2499">
        <v>851180</v>
      </c>
      <c r="D2499" t="s">
        <v>176</v>
      </c>
      <c r="E2499">
        <v>7721</v>
      </c>
      <c r="F2499">
        <v>88</v>
      </c>
      <c r="G2499">
        <v>117</v>
      </c>
      <c r="H2499">
        <f>_xlfn.XLOOKUP(FACT_IMPORTS[[#This Row],[hts_6]],DIM_PRODUCTS[hts_6],DIM_PRODUCTS[hts_4],,,)</f>
        <v>8511</v>
      </c>
      <c r="I2499" t="str" cm="1">
        <f t="array" ref="I2499">_xlfn.XLOOKUP(FACT_IMPORTS[[#This Row],[country_name]],DIM_COUNTRY[[#All],[Column2]],DIM_COUNTRY[[#All],[Column3]],,,)</f>
        <v>China</v>
      </c>
    </row>
    <row r="2500" spans="1:9" x14ac:dyDescent="0.4">
      <c r="A2500" t="s">
        <v>66</v>
      </c>
      <c r="B2500" s="1">
        <v>44958</v>
      </c>
      <c r="C2500">
        <v>851190</v>
      </c>
      <c r="D2500" t="s">
        <v>176</v>
      </c>
      <c r="E2500">
        <v>83572</v>
      </c>
      <c r="F2500">
        <v>969</v>
      </c>
      <c r="G2500">
        <v>4190</v>
      </c>
      <c r="H2500">
        <f>_xlfn.XLOOKUP(FACT_IMPORTS[[#This Row],[hts_6]],DIM_PRODUCTS[hts_6],DIM_PRODUCTS[hts_4],,,)</f>
        <v>8511</v>
      </c>
      <c r="I2500" t="str" cm="1">
        <f t="array" ref="I2500">_xlfn.XLOOKUP(FACT_IMPORTS[[#This Row],[country_name]],DIM_COUNTRY[[#All],[Column2]],DIM_COUNTRY[[#All],[Column3]],,,)</f>
        <v>China</v>
      </c>
    </row>
    <row r="2501" spans="1:9" x14ac:dyDescent="0.4">
      <c r="A2501" t="s">
        <v>66</v>
      </c>
      <c r="B2501" s="1">
        <v>44958</v>
      </c>
      <c r="C2501">
        <v>851220</v>
      </c>
      <c r="D2501" t="s">
        <v>176</v>
      </c>
      <c r="E2501">
        <v>5009673</v>
      </c>
      <c r="F2501">
        <v>1463474</v>
      </c>
      <c r="G2501">
        <v>94340</v>
      </c>
      <c r="H2501">
        <f>_xlfn.XLOOKUP(FACT_IMPORTS[[#This Row],[hts_6]],DIM_PRODUCTS[hts_6],DIM_PRODUCTS[hts_4],,,)</f>
        <v>8512</v>
      </c>
      <c r="I2501" t="str" cm="1">
        <f t="array" ref="I2501">_xlfn.XLOOKUP(FACT_IMPORTS[[#This Row],[country_name]],DIM_COUNTRY[[#All],[Column2]],DIM_COUNTRY[[#All],[Column3]],,,)</f>
        <v>China</v>
      </c>
    </row>
    <row r="2502" spans="1:9" x14ac:dyDescent="0.4">
      <c r="A2502" t="s">
        <v>66</v>
      </c>
      <c r="B2502" s="1">
        <v>44958</v>
      </c>
      <c r="C2502">
        <v>851230</v>
      </c>
      <c r="D2502" t="s">
        <v>176</v>
      </c>
      <c r="E2502">
        <v>32348</v>
      </c>
      <c r="F2502">
        <v>5500</v>
      </c>
      <c r="G2502">
        <v>408</v>
      </c>
      <c r="H2502">
        <f>_xlfn.XLOOKUP(FACT_IMPORTS[[#This Row],[hts_6]],DIM_PRODUCTS[hts_6],DIM_PRODUCTS[hts_4],,,)</f>
        <v>8512</v>
      </c>
      <c r="I2502" t="str" cm="1">
        <f t="array" ref="I2502">_xlfn.XLOOKUP(FACT_IMPORTS[[#This Row],[country_name]],DIM_COUNTRY[[#All],[Column2]],DIM_COUNTRY[[#All],[Column3]],,,)</f>
        <v>China</v>
      </c>
    </row>
    <row r="2503" spans="1:9" x14ac:dyDescent="0.4">
      <c r="A2503" t="s">
        <v>66</v>
      </c>
      <c r="B2503" s="1">
        <v>44958</v>
      </c>
      <c r="C2503">
        <v>851240</v>
      </c>
      <c r="D2503" t="s">
        <v>176</v>
      </c>
      <c r="E2503">
        <v>0</v>
      </c>
      <c r="F2503">
        <v>0</v>
      </c>
      <c r="G2503">
        <v>0</v>
      </c>
      <c r="H2503">
        <f>_xlfn.XLOOKUP(FACT_IMPORTS[[#This Row],[hts_6]],DIM_PRODUCTS[hts_6],DIM_PRODUCTS[hts_4],,,)</f>
        <v>8512</v>
      </c>
      <c r="I2503" t="str" cm="1">
        <f t="array" ref="I2503">_xlfn.XLOOKUP(FACT_IMPORTS[[#This Row],[country_name]],DIM_COUNTRY[[#All],[Column2]],DIM_COUNTRY[[#All],[Column3]],,,)</f>
        <v>China</v>
      </c>
    </row>
    <row r="2504" spans="1:9" x14ac:dyDescent="0.4">
      <c r="A2504" t="s">
        <v>66</v>
      </c>
      <c r="B2504" s="1">
        <v>44958</v>
      </c>
      <c r="C2504">
        <v>851290</v>
      </c>
      <c r="D2504" t="s">
        <v>176</v>
      </c>
      <c r="E2504">
        <v>130131</v>
      </c>
      <c r="F2504">
        <v>10679</v>
      </c>
      <c r="G2504">
        <v>11306</v>
      </c>
      <c r="H2504">
        <f>_xlfn.XLOOKUP(FACT_IMPORTS[[#This Row],[hts_6]],DIM_PRODUCTS[hts_6],DIM_PRODUCTS[hts_4],,,)</f>
        <v>8512</v>
      </c>
      <c r="I2504" t="str" cm="1">
        <f t="array" ref="I2504">_xlfn.XLOOKUP(FACT_IMPORTS[[#This Row],[country_name]],DIM_COUNTRY[[#All],[Column2]],DIM_COUNTRY[[#All],[Column3]],,,)</f>
        <v>China</v>
      </c>
    </row>
    <row r="2505" spans="1:9" x14ac:dyDescent="0.4">
      <c r="A2505" t="s">
        <v>66</v>
      </c>
      <c r="B2505" s="1">
        <v>44958</v>
      </c>
      <c r="C2505">
        <v>854231</v>
      </c>
      <c r="D2505" t="s">
        <v>176</v>
      </c>
      <c r="E2505">
        <v>644527</v>
      </c>
      <c r="F2505">
        <v>297624</v>
      </c>
      <c r="G2505">
        <v>54952</v>
      </c>
      <c r="H2505">
        <f>_xlfn.XLOOKUP(FACT_IMPORTS[[#This Row],[hts_6]],DIM_PRODUCTS[hts_6],DIM_PRODUCTS[hts_4],,,)</f>
        <v>8542</v>
      </c>
      <c r="I2505" t="str" cm="1">
        <f t="array" ref="I2505">_xlfn.XLOOKUP(FACT_IMPORTS[[#This Row],[country_name]],DIM_COUNTRY[[#All],[Column2]],DIM_COUNTRY[[#All],[Column3]],,,)</f>
        <v>China</v>
      </c>
    </row>
    <row r="2506" spans="1:9" x14ac:dyDescent="0.4">
      <c r="A2506" t="s">
        <v>66</v>
      </c>
      <c r="B2506" s="1">
        <v>44958</v>
      </c>
      <c r="C2506">
        <v>854232</v>
      </c>
      <c r="D2506" t="s">
        <v>176</v>
      </c>
      <c r="E2506">
        <v>0</v>
      </c>
      <c r="F2506">
        <v>0</v>
      </c>
      <c r="G2506">
        <v>0</v>
      </c>
      <c r="H2506">
        <f>_xlfn.XLOOKUP(FACT_IMPORTS[[#This Row],[hts_6]],DIM_PRODUCTS[hts_6],DIM_PRODUCTS[hts_4],,,)</f>
        <v>8542</v>
      </c>
      <c r="I2506" t="str" cm="1">
        <f t="array" ref="I2506">_xlfn.XLOOKUP(FACT_IMPORTS[[#This Row],[country_name]],DIM_COUNTRY[[#All],[Column2]],DIM_COUNTRY[[#All],[Column3]],,,)</f>
        <v>China</v>
      </c>
    </row>
    <row r="2507" spans="1:9" x14ac:dyDescent="0.4">
      <c r="A2507" t="s">
        <v>66</v>
      </c>
      <c r="B2507" s="1">
        <v>44958</v>
      </c>
      <c r="C2507">
        <v>854233</v>
      </c>
      <c r="D2507" t="s">
        <v>176</v>
      </c>
      <c r="E2507">
        <v>0</v>
      </c>
      <c r="F2507">
        <v>0</v>
      </c>
      <c r="G2507">
        <v>0</v>
      </c>
      <c r="H2507">
        <f>_xlfn.XLOOKUP(FACT_IMPORTS[[#This Row],[hts_6]],DIM_PRODUCTS[hts_6],DIM_PRODUCTS[hts_4],,,)</f>
        <v>8542</v>
      </c>
      <c r="I2507" t="str" cm="1">
        <f t="array" ref="I2507">_xlfn.XLOOKUP(FACT_IMPORTS[[#This Row],[country_name]],DIM_COUNTRY[[#All],[Column2]],DIM_COUNTRY[[#All],[Column3]],,,)</f>
        <v>China</v>
      </c>
    </row>
    <row r="2508" spans="1:9" x14ac:dyDescent="0.4">
      <c r="A2508" t="s">
        <v>66</v>
      </c>
      <c r="B2508" s="1">
        <v>44958</v>
      </c>
      <c r="C2508">
        <v>854239</v>
      </c>
      <c r="D2508" t="s">
        <v>176</v>
      </c>
      <c r="E2508">
        <v>1280025</v>
      </c>
      <c r="F2508">
        <v>823500</v>
      </c>
      <c r="G2508">
        <v>104502</v>
      </c>
      <c r="H2508">
        <f>_xlfn.XLOOKUP(FACT_IMPORTS[[#This Row],[hts_6]],DIM_PRODUCTS[hts_6],DIM_PRODUCTS[hts_4],,,)</f>
        <v>8542</v>
      </c>
      <c r="I2508" t="str" cm="1">
        <f t="array" ref="I2508">_xlfn.XLOOKUP(FACT_IMPORTS[[#This Row],[country_name]],DIM_COUNTRY[[#All],[Column2]],DIM_COUNTRY[[#All],[Column3]],,,)</f>
        <v>China</v>
      </c>
    </row>
    <row r="2509" spans="1:9" x14ac:dyDescent="0.4">
      <c r="A2509" t="s">
        <v>66</v>
      </c>
      <c r="B2509" s="1">
        <v>44958</v>
      </c>
      <c r="C2509">
        <v>854290</v>
      </c>
      <c r="D2509" t="s">
        <v>176</v>
      </c>
      <c r="E2509">
        <v>0</v>
      </c>
      <c r="F2509">
        <v>0</v>
      </c>
      <c r="G2509">
        <v>0</v>
      </c>
      <c r="H2509">
        <f>_xlfn.XLOOKUP(FACT_IMPORTS[[#This Row],[hts_6]],DIM_PRODUCTS[hts_6],DIM_PRODUCTS[hts_4],,,)</f>
        <v>8542</v>
      </c>
      <c r="I2509" t="str" cm="1">
        <f t="array" ref="I2509">_xlfn.XLOOKUP(FACT_IMPORTS[[#This Row],[country_name]],DIM_COUNTRY[[#All],[Column2]],DIM_COUNTRY[[#All],[Column3]],,,)</f>
        <v>China</v>
      </c>
    </row>
    <row r="2510" spans="1:9" x14ac:dyDescent="0.4">
      <c r="A2510" t="s">
        <v>66</v>
      </c>
      <c r="B2510" s="1">
        <v>44958</v>
      </c>
      <c r="C2510">
        <v>854430</v>
      </c>
      <c r="D2510" t="s">
        <v>176</v>
      </c>
      <c r="E2510">
        <v>651686</v>
      </c>
      <c r="F2510">
        <v>46695</v>
      </c>
      <c r="G2510">
        <v>2951</v>
      </c>
      <c r="H2510">
        <f>_xlfn.XLOOKUP(FACT_IMPORTS[[#This Row],[hts_6]],DIM_PRODUCTS[hts_6],DIM_PRODUCTS[hts_4],,,)</f>
        <v>8544</v>
      </c>
      <c r="I2510" t="str" cm="1">
        <f t="array" ref="I2510">_xlfn.XLOOKUP(FACT_IMPORTS[[#This Row],[country_name]],DIM_COUNTRY[[#All],[Column2]],DIM_COUNTRY[[#All],[Column3]],,,)</f>
        <v>China</v>
      </c>
    </row>
    <row r="2511" spans="1:9" x14ac:dyDescent="0.4">
      <c r="A2511" t="s">
        <v>66</v>
      </c>
      <c r="B2511" s="1">
        <v>44958</v>
      </c>
      <c r="C2511">
        <v>870790</v>
      </c>
      <c r="D2511" t="s">
        <v>176</v>
      </c>
      <c r="E2511">
        <v>0</v>
      </c>
      <c r="F2511">
        <v>0</v>
      </c>
      <c r="G2511">
        <v>0</v>
      </c>
      <c r="H2511">
        <f>_xlfn.XLOOKUP(FACT_IMPORTS[[#This Row],[hts_6]],DIM_PRODUCTS[hts_6],DIM_PRODUCTS[hts_4],,,)</f>
        <v>8707</v>
      </c>
      <c r="I2511" t="str" cm="1">
        <f t="array" ref="I2511">_xlfn.XLOOKUP(FACT_IMPORTS[[#This Row],[country_name]],DIM_COUNTRY[[#All],[Column2]],DIM_COUNTRY[[#All],[Column3]],,,)</f>
        <v>China</v>
      </c>
    </row>
    <row r="2512" spans="1:9" x14ac:dyDescent="0.4">
      <c r="A2512" t="s">
        <v>66</v>
      </c>
      <c r="B2512" s="1">
        <v>44958</v>
      </c>
      <c r="C2512">
        <v>870810</v>
      </c>
      <c r="D2512" t="s">
        <v>176</v>
      </c>
      <c r="E2512">
        <v>594026</v>
      </c>
      <c r="F2512">
        <v>34077</v>
      </c>
      <c r="G2512">
        <v>32461</v>
      </c>
      <c r="H2512">
        <f>_xlfn.XLOOKUP(FACT_IMPORTS[[#This Row],[hts_6]],DIM_PRODUCTS[hts_6],DIM_PRODUCTS[hts_4],,,)</f>
        <v>8708</v>
      </c>
      <c r="I2512" t="str" cm="1">
        <f t="array" ref="I2512">_xlfn.XLOOKUP(FACT_IMPORTS[[#This Row],[country_name]],DIM_COUNTRY[[#All],[Column2]],DIM_COUNTRY[[#All],[Column3]],,,)</f>
        <v>China</v>
      </c>
    </row>
    <row r="2513" spans="1:9" x14ac:dyDescent="0.4">
      <c r="A2513" t="s">
        <v>66</v>
      </c>
      <c r="B2513" s="1">
        <v>44958</v>
      </c>
      <c r="C2513">
        <v>870821</v>
      </c>
      <c r="D2513" t="s">
        <v>176</v>
      </c>
      <c r="E2513">
        <v>0</v>
      </c>
      <c r="F2513">
        <v>0</v>
      </c>
      <c r="G2513">
        <v>0</v>
      </c>
      <c r="H2513">
        <f>_xlfn.XLOOKUP(FACT_IMPORTS[[#This Row],[hts_6]],DIM_PRODUCTS[hts_6],DIM_PRODUCTS[hts_4],,,)</f>
        <v>8708</v>
      </c>
      <c r="I2513" t="str" cm="1">
        <f t="array" ref="I2513">_xlfn.XLOOKUP(FACT_IMPORTS[[#This Row],[country_name]],DIM_COUNTRY[[#All],[Column2]],DIM_COUNTRY[[#All],[Column3]],,,)</f>
        <v>China</v>
      </c>
    </row>
    <row r="2514" spans="1:9" x14ac:dyDescent="0.4">
      <c r="A2514" t="s">
        <v>66</v>
      </c>
      <c r="B2514" s="1">
        <v>44958</v>
      </c>
      <c r="C2514">
        <v>870822</v>
      </c>
      <c r="D2514" t="s">
        <v>176</v>
      </c>
      <c r="E2514">
        <v>323198</v>
      </c>
      <c r="F2514">
        <v>58567</v>
      </c>
      <c r="G2514">
        <v>31757</v>
      </c>
      <c r="H2514">
        <f>_xlfn.XLOOKUP(FACT_IMPORTS[[#This Row],[hts_6]],DIM_PRODUCTS[hts_6],DIM_PRODUCTS[hts_4],,,)</f>
        <v>8708</v>
      </c>
      <c r="I2514" t="str" cm="1">
        <f t="array" ref="I2514">_xlfn.XLOOKUP(FACT_IMPORTS[[#This Row],[country_name]],DIM_COUNTRY[[#All],[Column2]],DIM_COUNTRY[[#All],[Column3]],,,)</f>
        <v>China</v>
      </c>
    </row>
    <row r="2515" spans="1:9" x14ac:dyDescent="0.4">
      <c r="A2515" t="s">
        <v>66</v>
      </c>
      <c r="B2515" s="1">
        <v>44958</v>
      </c>
      <c r="C2515">
        <v>870829</v>
      </c>
      <c r="D2515" t="s">
        <v>176</v>
      </c>
      <c r="E2515">
        <v>21928722</v>
      </c>
      <c r="F2515">
        <v>5621499</v>
      </c>
      <c r="G2515">
        <v>539061</v>
      </c>
      <c r="H2515">
        <f>_xlfn.XLOOKUP(FACT_IMPORTS[[#This Row],[hts_6]],DIM_PRODUCTS[hts_6],DIM_PRODUCTS[hts_4],,,)</f>
        <v>8708</v>
      </c>
      <c r="I2515" t="str" cm="1">
        <f t="array" ref="I2515">_xlfn.XLOOKUP(FACT_IMPORTS[[#This Row],[country_name]],DIM_COUNTRY[[#All],[Column2]],DIM_COUNTRY[[#All],[Column3]],,,)</f>
        <v>China</v>
      </c>
    </row>
    <row r="2516" spans="1:9" x14ac:dyDescent="0.4">
      <c r="A2516" t="s">
        <v>66</v>
      </c>
      <c r="B2516" s="1">
        <v>44958</v>
      </c>
      <c r="C2516">
        <v>870830</v>
      </c>
      <c r="D2516" t="s">
        <v>176</v>
      </c>
      <c r="E2516">
        <v>6094474</v>
      </c>
      <c r="F2516">
        <v>544186</v>
      </c>
      <c r="G2516">
        <v>224815</v>
      </c>
      <c r="H2516">
        <f>_xlfn.XLOOKUP(FACT_IMPORTS[[#This Row],[hts_6]],DIM_PRODUCTS[hts_6],DIM_PRODUCTS[hts_4],,,)</f>
        <v>8708</v>
      </c>
      <c r="I2516" t="str" cm="1">
        <f t="array" ref="I2516">_xlfn.XLOOKUP(FACT_IMPORTS[[#This Row],[country_name]],DIM_COUNTRY[[#All],[Column2]],DIM_COUNTRY[[#All],[Column3]],,,)</f>
        <v>China</v>
      </c>
    </row>
    <row r="2517" spans="1:9" x14ac:dyDescent="0.4">
      <c r="A2517" t="s">
        <v>66</v>
      </c>
      <c r="B2517" s="1">
        <v>44958</v>
      </c>
      <c r="C2517">
        <v>870840</v>
      </c>
      <c r="D2517" t="s">
        <v>176</v>
      </c>
      <c r="E2517">
        <v>4278191</v>
      </c>
      <c r="F2517">
        <v>587279</v>
      </c>
      <c r="G2517">
        <v>122254</v>
      </c>
      <c r="H2517">
        <f>_xlfn.XLOOKUP(FACT_IMPORTS[[#This Row],[hts_6]],DIM_PRODUCTS[hts_6],DIM_PRODUCTS[hts_4],,,)</f>
        <v>8708</v>
      </c>
      <c r="I2517" t="str" cm="1">
        <f t="array" ref="I2517">_xlfn.XLOOKUP(FACT_IMPORTS[[#This Row],[country_name]],DIM_COUNTRY[[#All],[Column2]],DIM_COUNTRY[[#All],[Column3]],,,)</f>
        <v>China</v>
      </c>
    </row>
    <row r="2518" spans="1:9" x14ac:dyDescent="0.4">
      <c r="A2518" t="s">
        <v>66</v>
      </c>
      <c r="B2518" s="1">
        <v>44958</v>
      </c>
      <c r="C2518">
        <v>870850</v>
      </c>
      <c r="D2518" t="s">
        <v>176</v>
      </c>
      <c r="E2518">
        <v>3431686</v>
      </c>
      <c r="F2518">
        <v>567853</v>
      </c>
      <c r="G2518">
        <v>71305</v>
      </c>
      <c r="H2518">
        <f>_xlfn.XLOOKUP(FACT_IMPORTS[[#This Row],[hts_6]],DIM_PRODUCTS[hts_6],DIM_PRODUCTS[hts_4],,,)</f>
        <v>8708</v>
      </c>
      <c r="I2518" t="str" cm="1">
        <f t="array" ref="I2518">_xlfn.XLOOKUP(FACT_IMPORTS[[#This Row],[country_name]],DIM_COUNTRY[[#All],[Column2]],DIM_COUNTRY[[#All],[Column3]],,,)</f>
        <v>China</v>
      </c>
    </row>
    <row r="2519" spans="1:9" x14ac:dyDescent="0.4">
      <c r="A2519" t="s">
        <v>66</v>
      </c>
      <c r="B2519" s="1">
        <v>44958</v>
      </c>
      <c r="C2519">
        <v>870870</v>
      </c>
      <c r="D2519" t="s">
        <v>176</v>
      </c>
      <c r="E2519">
        <v>32257660</v>
      </c>
      <c r="F2519">
        <v>1882277</v>
      </c>
      <c r="G2519">
        <v>1192913</v>
      </c>
      <c r="H2519">
        <f>_xlfn.XLOOKUP(FACT_IMPORTS[[#This Row],[hts_6]],DIM_PRODUCTS[hts_6],DIM_PRODUCTS[hts_4],,,)</f>
        <v>8708</v>
      </c>
      <c r="I2519" t="str" cm="1">
        <f t="array" ref="I2519">_xlfn.XLOOKUP(FACT_IMPORTS[[#This Row],[country_name]],DIM_COUNTRY[[#All],[Column2]],DIM_COUNTRY[[#All],[Column3]],,,)</f>
        <v>China</v>
      </c>
    </row>
    <row r="2520" spans="1:9" x14ac:dyDescent="0.4">
      <c r="A2520" t="s">
        <v>66</v>
      </c>
      <c r="B2520" s="1">
        <v>44958</v>
      </c>
      <c r="C2520">
        <v>870880</v>
      </c>
      <c r="D2520" t="s">
        <v>176</v>
      </c>
      <c r="E2520">
        <v>11002860</v>
      </c>
      <c r="F2520">
        <v>1286185</v>
      </c>
      <c r="G2520">
        <v>225718</v>
      </c>
      <c r="H2520">
        <f>_xlfn.XLOOKUP(FACT_IMPORTS[[#This Row],[hts_6]],DIM_PRODUCTS[hts_6],DIM_PRODUCTS[hts_4],,,)</f>
        <v>8708</v>
      </c>
      <c r="I2520" t="str" cm="1">
        <f t="array" ref="I2520">_xlfn.XLOOKUP(FACT_IMPORTS[[#This Row],[country_name]],DIM_COUNTRY[[#All],[Column2]],DIM_COUNTRY[[#All],[Column3]],,,)</f>
        <v>China</v>
      </c>
    </row>
    <row r="2521" spans="1:9" x14ac:dyDescent="0.4">
      <c r="A2521" t="s">
        <v>66</v>
      </c>
      <c r="B2521" s="1">
        <v>44958</v>
      </c>
      <c r="C2521">
        <v>870891</v>
      </c>
      <c r="D2521" t="s">
        <v>176</v>
      </c>
      <c r="E2521">
        <v>112459</v>
      </c>
      <c r="F2521">
        <v>6229</v>
      </c>
      <c r="G2521">
        <v>515</v>
      </c>
      <c r="H2521">
        <f>_xlfn.XLOOKUP(FACT_IMPORTS[[#This Row],[hts_6]],DIM_PRODUCTS[hts_6],DIM_PRODUCTS[hts_4],,,)</f>
        <v>8708</v>
      </c>
      <c r="I2521" t="str" cm="1">
        <f t="array" ref="I2521">_xlfn.XLOOKUP(FACT_IMPORTS[[#This Row],[country_name]],DIM_COUNTRY[[#All],[Column2]],DIM_COUNTRY[[#All],[Column3]],,,)</f>
        <v>China</v>
      </c>
    </row>
    <row r="2522" spans="1:9" x14ac:dyDescent="0.4">
      <c r="A2522" t="s">
        <v>66</v>
      </c>
      <c r="B2522" s="1">
        <v>44958</v>
      </c>
      <c r="C2522">
        <v>870892</v>
      </c>
      <c r="D2522" t="s">
        <v>176</v>
      </c>
      <c r="E2522">
        <v>6563371</v>
      </c>
      <c r="F2522">
        <v>892464</v>
      </c>
      <c r="G2522">
        <v>225598</v>
      </c>
      <c r="H2522">
        <f>_xlfn.XLOOKUP(FACT_IMPORTS[[#This Row],[hts_6]],DIM_PRODUCTS[hts_6],DIM_PRODUCTS[hts_4],,,)</f>
        <v>8708</v>
      </c>
      <c r="I2522" t="str" cm="1">
        <f t="array" ref="I2522">_xlfn.XLOOKUP(FACT_IMPORTS[[#This Row],[country_name]],DIM_COUNTRY[[#All],[Column2]],DIM_COUNTRY[[#All],[Column3]],,,)</f>
        <v>China</v>
      </c>
    </row>
    <row r="2523" spans="1:9" x14ac:dyDescent="0.4">
      <c r="A2523" t="s">
        <v>66</v>
      </c>
      <c r="B2523" s="1">
        <v>44958</v>
      </c>
      <c r="C2523">
        <v>870893</v>
      </c>
      <c r="D2523" t="s">
        <v>176</v>
      </c>
      <c r="E2523">
        <v>734318</v>
      </c>
      <c r="F2523">
        <v>176140</v>
      </c>
      <c r="G2523">
        <v>15011</v>
      </c>
      <c r="H2523">
        <f>_xlfn.XLOOKUP(FACT_IMPORTS[[#This Row],[hts_6]],DIM_PRODUCTS[hts_6],DIM_PRODUCTS[hts_4],,,)</f>
        <v>8708</v>
      </c>
      <c r="I2523" t="str" cm="1">
        <f t="array" ref="I2523">_xlfn.XLOOKUP(FACT_IMPORTS[[#This Row],[country_name]],DIM_COUNTRY[[#All],[Column2]],DIM_COUNTRY[[#All],[Column3]],,,)</f>
        <v>China</v>
      </c>
    </row>
    <row r="2524" spans="1:9" x14ac:dyDescent="0.4">
      <c r="A2524" t="s">
        <v>66</v>
      </c>
      <c r="B2524" s="1">
        <v>44958</v>
      </c>
      <c r="C2524">
        <v>870894</v>
      </c>
      <c r="D2524" t="s">
        <v>176</v>
      </c>
      <c r="E2524">
        <v>10421519</v>
      </c>
      <c r="F2524">
        <v>231054</v>
      </c>
      <c r="G2524">
        <v>1041679</v>
      </c>
      <c r="H2524">
        <f>_xlfn.XLOOKUP(FACT_IMPORTS[[#This Row],[hts_6]],DIM_PRODUCTS[hts_6],DIM_PRODUCTS[hts_4],,,)</f>
        <v>8708</v>
      </c>
      <c r="I2524" t="str" cm="1">
        <f t="array" ref="I2524">_xlfn.XLOOKUP(FACT_IMPORTS[[#This Row],[country_name]],DIM_COUNTRY[[#All],[Column2]],DIM_COUNTRY[[#All],[Column3]],,,)</f>
        <v>China</v>
      </c>
    </row>
    <row r="2525" spans="1:9" x14ac:dyDescent="0.4">
      <c r="A2525" t="s">
        <v>66</v>
      </c>
      <c r="B2525" s="1">
        <v>44958</v>
      </c>
      <c r="C2525">
        <v>870895</v>
      </c>
      <c r="D2525" t="s">
        <v>176</v>
      </c>
      <c r="E2525">
        <v>1042256</v>
      </c>
      <c r="F2525">
        <v>28819</v>
      </c>
      <c r="G2525">
        <v>6168</v>
      </c>
      <c r="H2525">
        <f>_xlfn.XLOOKUP(FACT_IMPORTS[[#This Row],[hts_6]],DIM_PRODUCTS[hts_6],DIM_PRODUCTS[hts_4],,,)</f>
        <v>8708</v>
      </c>
      <c r="I2525" t="str" cm="1">
        <f t="array" ref="I2525">_xlfn.XLOOKUP(FACT_IMPORTS[[#This Row],[country_name]],DIM_COUNTRY[[#All],[Column2]],DIM_COUNTRY[[#All],[Column3]],,,)</f>
        <v>China</v>
      </c>
    </row>
    <row r="2526" spans="1:9" x14ac:dyDescent="0.4">
      <c r="A2526" t="s">
        <v>66</v>
      </c>
      <c r="B2526" s="1">
        <v>44958</v>
      </c>
      <c r="C2526">
        <v>870899</v>
      </c>
      <c r="D2526" t="s">
        <v>176</v>
      </c>
      <c r="E2526">
        <v>10662785</v>
      </c>
      <c r="F2526">
        <v>2634567</v>
      </c>
      <c r="G2526">
        <v>390803</v>
      </c>
      <c r="H2526">
        <f>_xlfn.XLOOKUP(FACT_IMPORTS[[#This Row],[hts_6]],DIM_PRODUCTS[hts_6],DIM_PRODUCTS[hts_4],,,)</f>
        <v>8708</v>
      </c>
      <c r="I2526" t="str" cm="1">
        <f t="array" ref="I2526">_xlfn.XLOOKUP(FACT_IMPORTS[[#This Row],[country_name]],DIM_COUNTRY[[#All],[Column2]],DIM_COUNTRY[[#All],[Column3]],,,)</f>
        <v>China</v>
      </c>
    </row>
    <row r="2527" spans="1:9" x14ac:dyDescent="0.4">
      <c r="A2527" t="s">
        <v>66</v>
      </c>
      <c r="B2527" s="1">
        <v>44958</v>
      </c>
      <c r="C2527">
        <v>940120</v>
      </c>
      <c r="D2527" t="s">
        <v>176</v>
      </c>
      <c r="E2527">
        <v>5039</v>
      </c>
      <c r="F2527">
        <v>5</v>
      </c>
      <c r="G2527">
        <v>383</v>
      </c>
      <c r="H2527">
        <f>_xlfn.XLOOKUP(FACT_IMPORTS[[#This Row],[hts_6]],DIM_PRODUCTS[hts_6],DIM_PRODUCTS[hts_4],,,)</f>
        <v>9401</v>
      </c>
      <c r="I2527" t="str" cm="1">
        <f t="array" ref="I2527">_xlfn.XLOOKUP(FACT_IMPORTS[[#This Row],[country_name]],DIM_COUNTRY[[#All],[Column2]],DIM_COUNTRY[[#All],[Column3]],,,)</f>
        <v>China</v>
      </c>
    </row>
    <row r="2528" spans="1:9" x14ac:dyDescent="0.4">
      <c r="A2528" t="s">
        <v>66</v>
      </c>
      <c r="B2528" s="1">
        <v>44986</v>
      </c>
      <c r="C2528">
        <v>392630</v>
      </c>
      <c r="D2528" t="s">
        <v>176</v>
      </c>
      <c r="E2528">
        <v>7402877</v>
      </c>
      <c r="F2528">
        <v>401622</v>
      </c>
      <c r="G2528">
        <v>268958</v>
      </c>
      <c r="H2528">
        <f>_xlfn.XLOOKUP(FACT_IMPORTS[[#This Row],[hts_6]],DIM_PRODUCTS[hts_6],DIM_PRODUCTS[hts_4],,,)</f>
        <v>3926</v>
      </c>
      <c r="I2528" t="str" cm="1">
        <f t="array" ref="I2528">_xlfn.XLOOKUP(FACT_IMPORTS[[#This Row],[country_name]],DIM_COUNTRY[[#All],[Column2]],DIM_COUNTRY[[#All],[Column3]],,,)</f>
        <v>China</v>
      </c>
    </row>
    <row r="2529" spans="1:9" x14ac:dyDescent="0.4">
      <c r="A2529" t="s">
        <v>66</v>
      </c>
      <c r="B2529" s="1">
        <v>44986</v>
      </c>
      <c r="C2529">
        <v>401110</v>
      </c>
      <c r="D2529" t="s">
        <v>176</v>
      </c>
      <c r="E2529">
        <v>8664</v>
      </c>
      <c r="F2529">
        <v>85</v>
      </c>
      <c r="G2529">
        <v>1591</v>
      </c>
      <c r="H2529">
        <f>_xlfn.XLOOKUP(FACT_IMPORTS[[#This Row],[hts_6]],DIM_PRODUCTS[hts_6],DIM_PRODUCTS[hts_4],,,)</f>
        <v>4011</v>
      </c>
      <c r="I2529" t="str" cm="1">
        <f t="array" ref="I2529">_xlfn.XLOOKUP(FACT_IMPORTS[[#This Row],[country_name]],DIM_COUNTRY[[#All],[Column2]],DIM_COUNTRY[[#All],[Column3]],,,)</f>
        <v>China</v>
      </c>
    </row>
    <row r="2530" spans="1:9" x14ac:dyDescent="0.4">
      <c r="A2530" t="s">
        <v>66</v>
      </c>
      <c r="B2530" s="1">
        <v>44986</v>
      </c>
      <c r="C2530">
        <v>401120</v>
      </c>
      <c r="D2530" t="s">
        <v>176</v>
      </c>
      <c r="E2530">
        <v>0</v>
      </c>
      <c r="F2530">
        <v>0</v>
      </c>
      <c r="G2530">
        <v>0</v>
      </c>
      <c r="H2530">
        <f>_xlfn.XLOOKUP(FACT_IMPORTS[[#This Row],[hts_6]],DIM_PRODUCTS[hts_6],DIM_PRODUCTS[hts_4],,,)</f>
        <v>4011</v>
      </c>
      <c r="I2530" t="str" cm="1">
        <f t="array" ref="I2530">_xlfn.XLOOKUP(FACT_IMPORTS[[#This Row],[country_name]],DIM_COUNTRY[[#All],[Column2]],DIM_COUNTRY[[#All],[Column3]],,,)</f>
        <v>China</v>
      </c>
    </row>
    <row r="2531" spans="1:9" x14ac:dyDescent="0.4">
      <c r="A2531" t="s">
        <v>66</v>
      </c>
      <c r="B2531" s="1">
        <v>44986</v>
      </c>
      <c r="C2531">
        <v>401140</v>
      </c>
      <c r="D2531" t="s">
        <v>176</v>
      </c>
      <c r="E2531">
        <v>123440</v>
      </c>
      <c r="F2531">
        <v>2870</v>
      </c>
      <c r="G2531">
        <v>554</v>
      </c>
      <c r="H2531">
        <f>_xlfn.XLOOKUP(FACT_IMPORTS[[#This Row],[hts_6]],DIM_PRODUCTS[hts_6],DIM_PRODUCTS[hts_4],,,)</f>
        <v>4011</v>
      </c>
      <c r="I2531" t="str" cm="1">
        <f t="array" ref="I2531">_xlfn.XLOOKUP(FACT_IMPORTS[[#This Row],[country_name]],DIM_COUNTRY[[#All],[Column2]],DIM_COUNTRY[[#All],[Column3]],,,)</f>
        <v>China</v>
      </c>
    </row>
    <row r="2532" spans="1:9" x14ac:dyDescent="0.4">
      <c r="A2532" t="s">
        <v>66</v>
      </c>
      <c r="B2532" s="1">
        <v>44986</v>
      </c>
      <c r="C2532">
        <v>401190</v>
      </c>
      <c r="D2532" t="s">
        <v>176</v>
      </c>
      <c r="E2532">
        <v>339425</v>
      </c>
      <c r="F2532">
        <v>10512</v>
      </c>
      <c r="G2532">
        <v>38455</v>
      </c>
      <c r="H2532">
        <f>_xlfn.XLOOKUP(FACT_IMPORTS[[#This Row],[hts_6]],DIM_PRODUCTS[hts_6],DIM_PRODUCTS[hts_4],,,)</f>
        <v>4011</v>
      </c>
      <c r="I2532" t="str" cm="1">
        <f t="array" ref="I2532">_xlfn.XLOOKUP(FACT_IMPORTS[[#This Row],[country_name]],DIM_COUNTRY[[#All],[Column2]],DIM_COUNTRY[[#All],[Column3]],,,)</f>
        <v>China</v>
      </c>
    </row>
    <row r="2533" spans="1:9" x14ac:dyDescent="0.4">
      <c r="A2533" t="s">
        <v>66</v>
      </c>
      <c r="B2533" s="1">
        <v>44986</v>
      </c>
      <c r="C2533">
        <v>700711</v>
      </c>
      <c r="D2533" t="s">
        <v>176</v>
      </c>
      <c r="E2533">
        <v>774816</v>
      </c>
      <c r="F2533">
        <v>48650</v>
      </c>
      <c r="G2533">
        <v>59899</v>
      </c>
      <c r="H2533">
        <f>_xlfn.XLOOKUP(FACT_IMPORTS[[#This Row],[hts_6]],DIM_PRODUCTS[hts_6],DIM_PRODUCTS[hts_4],,,)</f>
        <v>7007</v>
      </c>
      <c r="I2533" t="str" cm="1">
        <f t="array" ref="I2533">_xlfn.XLOOKUP(FACT_IMPORTS[[#This Row],[country_name]],DIM_COUNTRY[[#All],[Column2]],DIM_COUNTRY[[#All],[Column3]],,,)</f>
        <v>China</v>
      </c>
    </row>
    <row r="2534" spans="1:9" x14ac:dyDescent="0.4">
      <c r="A2534" t="s">
        <v>66</v>
      </c>
      <c r="B2534" s="1">
        <v>44986</v>
      </c>
      <c r="C2534">
        <v>700721</v>
      </c>
      <c r="D2534" t="s">
        <v>176</v>
      </c>
      <c r="E2534">
        <v>149936</v>
      </c>
      <c r="F2534">
        <v>5704</v>
      </c>
      <c r="G2534">
        <v>23407</v>
      </c>
      <c r="H2534">
        <f>_xlfn.XLOOKUP(FACT_IMPORTS[[#This Row],[hts_6]],DIM_PRODUCTS[hts_6],DIM_PRODUCTS[hts_4],,,)</f>
        <v>7007</v>
      </c>
      <c r="I2534" t="str" cm="1">
        <f t="array" ref="I2534">_xlfn.XLOOKUP(FACT_IMPORTS[[#This Row],[country_name]],DIM_COUNTRY[[#All],[Column2]],DIM_COUNTRY[[#All],[Column3]],,,)</f>
        <v>China</v>
      </c>
    </row>
    <row r="2535" spans="1:9" x14ac:dyDescent="0.4">
      <c r="A2535" t="s">
        <v>66</v>
      </c>
      <c r="B2535" s="1">
        <v>44986</v>
      </c>
      <c r="C2535">
        <v>700910</v>
      </c>
      <c r="D2535" t="s">
        <v>176</v>
      </c>
      <c r="E2535">
        <v>246590</v>
      </c>
      <c r="F2535">
        <v>255440</v>
      </c>
      <c r="G2535">
        <v>20058</v>
      </c>
      <c r="H2535">
        <f>_xlfn.XLOOKUP(FACT_IMPORTS[[#This Row],[hts_6]],DIM_PRODUCTS[hts_6],DIM_PRODUCTS[hts_4],,,)</f>
        <v>7009</v>
      </c>
      <c r="I2535" t="str" cm="1">
        <f t="array" ref="I2535">_xlfn.XLOOKUP(FACT_IMPORTS[[#This Row],[country_name]],DIM_COUNTRY[[#All],[Column2]],DIM_COUNTRY[[#All],[Column3]],,,)</f>
        <v>China</v>
      </c>
    </row>
    <row r="2536" spans="1:9" x14ac:dyDescent="0.4">
      <c r="A2536" t="s">
        <v>66</v>
      </c>
      <c r="B2536" s="1">
        <v>44986</v>
      </c>
      <c r="C2536">
        <v>732010</v>
      </c>
      <c r="D2536" t="s">
        <v>176</v>
      </c>
      <c r="E2536">
        <v>2720</v>
      </c>
      <c r="F2536">
        <v>109</v>
      </c>
      <c r="G2536">
        <v>6</v>
      </c>
      <c r="H2536">
        <f>_xlfn.XLOOKUP(FACT_IMPORTS[[#This Row],[hts_6]],DIM_PRODUCTS[hts_6],DIM_PRODUCTS[hts_4],,,)</f>
        <v>7320</v>
      </c>
      <c r="I2536" t="str" cm="1">
        <f t="array" ref="I2536">_xlfn.XLOOKUP(FACT_IMPORTS[[#This Row],[country_name]],DIM_COUNTRY[[#All],[Column2]],DIM_COUNTRY[[#All],[Column3]],,,)</f>
        <v>China</v>
      </c>
    </row>
    <row r="2537" spans="1:9" x14ac:dyDescent="0.4">
      <c r="A2537" t="s">
        <v>66</v>
      </c>
      <c r="B2537" s="1">
        <v>44986</v>
      </c>
      <c r="C2537">
        <v>830230</v>
      </c>
      <c r="D2537" t="s">
        <v>176</v>
      </c>
      <c r="E2537">
        <v>3969330</v>
      </c>
      <c r="F2537">
        <v>889111</v>
      </c>
      <c r="G2537">
        <v>183228</v>
      </c>
      <c r="H2537">
        <f>_xlfn.XLOOKUP(FACT_IMPORTS[[#This Row],[hts_6]],DIM_PRODUCTS[hts_6],DIM_PRODUCTS[hts_4],,,)</f>
        <v>8302</v>
      </c>
      <c r="I2537" t="str" cm="1">
        <f t="array" ref="I2537">_xlfn.XLOOKUP(FACT_IMPORTS[[#This Row],[country_name]],DIM_COUNTRY[[#All],[Column2]],DIM_COUNTRY[[#All],[Column3]],,,)</f>
        <v>China</v>
      </c>
    </row>
    <row r="2538" spans="1:9" x14ac:dyDescent="0.4">
      <c r="A2538" t="s">
        <v>66</v>
      </c>
      <c r="B2538" s="1">
        <v>44986</v>
      </c>
      <c r="C2538">
        <v>840732</v>
      </c>
      <c r="D2538" t="s">
        <v>176</v>
      </c>
      <c r="E2538">
        <v>0</v>
      </c>
      <c r="F2538">
        <v>0</v>
      </c>
      <c r="G2538">
        <v>0</v>
      </c>
      <c r="H2538">
        <f>_xlfn.XLOOKUP(FACT_IMPORTS[[#This Row],[hts_6]],DIM_PRODUCTS[hts_6],DIM_PRODUCTS[hts_4],,,)</f>
        <v>8407</v>
      </c>
      <c r="I2538" t="str" cm="1">
        <f t="array" ref="I2538">_xlfn.XLOOKUP(FACT_IMPORTS[[#This Row],[country_name]],DIM_COUNTRY[[#All],[Column2]],DIM_COUNTRY[[#All],[Column3]],,,)</f>
        <v>China</v>
      </c>
    </row>
    <row r="2539" spans="1:9" x14ac:dyDescent="0.4">
      <c r="A2539" t="s">
        <v>66</v>
      </c>
      <c r="B2539" s="1">
        <v>44986</v>
      </c>
      <c r="C2539">
        <v>840733</v>
      </c>
      <c r="D2539" t="s">
        <v>176</v>
      </c>
      <c r="E2539">
        <v>7836</v>
      </c>
      <c r="F2539">
        <v>2</v>
      </c>
      <c r="G2539">
        <v>114</v>
      </c>
      <c r="H2539">
        <f>_xlfn.XLOOKUP(FACT_IMPORTS[[#This Row],[hts_6]],DIM_PRODUCTS[hts_6],DIM_PRODUCTS[hts_4],,,)</f>
        <v>8407</v>
      </c>
      <c r="I2539" t="str" cm="1">
        <f t="array" ref="I2539">_xlfn.XLOOKUP(FACT_IMPORTS[[#This Row],[country_name]],DIM_COUNTRY[[#All],[Column2]],DIM_COUNTRY[[#All],[Column3]],,,)</f>
        <v>China</v>
      </c>
    </row>
    <row r="2540" spans="1:9" x14ac:dyDescent="0.4">
      <c r="A2540" t="s">
        <v>66</v>
      </c>
      <c r="B2540" s="1">
        <v>44986</v>
      </c>
      <c r="C2540">
        <v>840734</v>
      </c>
      <c r="D2540" t="s">
        <v>176</v>
      </c>
      <c r="E2540">
        <v>2413656</v>
      </c>
      <c r="F2540">
        <v>1712</v>
      </c>
      <c r="G2540">
        <v>2311</v>
      </c>
      <c r="H2540">
        <f>_xlfn.XLOOKUP(FACT_IMPORTS[[#This Row],[hts_6]],DIM_PRODUCTS[hts_6],DIM_PRODUCTS[hts_4],,,)</f>
        <v>8407</v>
      </c>
      <c r="I2540" t="str" cm="1">
        <f t="array" ref="I2540">_xlfn.XLOOKUP(FACT_IMPORTS[[#This Row],[country_name]],DIM_COUNTRY[[#All],[Column2]],DIM_COUNTRY[[#All],[Column3]],,,)</f>
        <v>China</v>
      </c>
    </row>
    <row r="2541" spans="1:9" x14ac:dyDescent="0.4">
      <c r="A2541" t="s">
        <v>66</v>
      </c>
      <c r="B2541" s="1">
        <v>44986</v>
      </c>
      <c r="C2541">
        <v>840790</v>
      </c>
      <c r="D2541" t="s">
        <v>176</v>
      </c>
      <c r="E2541">
        <v>0</v>
      </c>
      <c r="F2541">
        <v>0</v>
      </c>
      <c r="G2541">
        <v>0</v>
      </c>
      <c r="H2541">
        <f>_xlfn.XLOOKUP(FACT_IMPORTS[[#This Row],[hts_6]],DIM_PRODUCTS[hts_6],DIM_PRODUCTS[hts_4],,,)</f>
        <v>8407</v>
      </c>
      <c r="I2541" t="str" cm="1">
        <f t="array" ref="I2541">_xlfn.XLOOKUP(FACT_IMPORTS[[#This Row],[country_name]],DIM_COUNTRY[[#All],[Column2]],DIM_COUNTRY[[#All],[Column3]],,,)</f>
        <v>China</v>
      </c>
    </row>
    <row r="2542" spans="1:9" x14ac:dyDescent="0.4">
      <c r="A2542" t="s">
        <v>66</v>
      </c>
      <c r="B2542" s="1">
        <v>44986</v>
      </c>
      <c r="C2542">
        <v>840890</v>
      </c>
      <c r="D2542" t="s">
        <v>176</v>
      </c>
      <c r="E2542">
        <v>0</v>
      </c>
      <c r="F2542">
        <v>0</v>
      </c>
      <c r="G2542">
        <v>0</v>
      </c>
      <c r="H2542">
        <f>_xlfn.XLOOKUP(FACT_IMPORTS[[#This Row],[hts_6]],DIM_PRODUCTS[hts_6],DIM_PRODUCTS[hts_4],,,)</f>
        <v>8408</v>
      </c>
      <c r="I2542" t="str" cm="1">
        <f t="array" ref="I2542">_xlfn.XLOOKUP(FACT_IMPORTS[[#This Row],[country_name]],DIM_COUNTRY[[#All],[Column2]],DIM_COUNTRY[[#All],[Column3]],,,)</f>
        <v>China</v>
      </c>
    </row>
    <row r="2543" spans="1:9" x14ac:dyDescent="0.4">
      <c r="A2543" t="s">
        <v>66</v>
      </c>
      <c r="B2543" s="1">
        <v>44986</v>
      </c>
      <c r="C2543">
        <v>840991</v>
      </c>
      <c r="D2543" t="s">
        <v>176</v>
      </c>
      <c r="E2543">
        <v>14272955</v>
      </c>
      <c r="F2543">
        <v>2608342</v>
      </c>
      <c r="G2543">
        <v>601925</v>
      </c>
      <c r="H2543">
        <f>_xlfn.XLOOKUP(FACT_IMPORTS[[#This Row],[hts_6]],DIM_PRODUCTS[hts_6],DIM_PRODUCTS[hts_4],,,)</f>
        <v>8409</v>
      </c>
      <c r="I2543" t="str" cm="1">
        <f t="array" ref="I2543">_xlfn.XLOOKUP(FACT_IMPORTS[[#This Row],[country_name]],DIM_COUNTRY[[#All],[Column2]],DIM_COUNTRY[[#All],[Column3]],,,)</f>
        <v>China</v>
      </c>
    </row>
    <row r="2544" spans="1:9" x14ac:dyDescent="0.4">
      <c r="A2544" t="s">
        <v>66</v>
      </c>
      <c r="B2544" s="1">
        <v>44986</v>
      </c>
      <c r="C2544">
        <v>840999</v>
      </c>
      <c r="D2544" t="s">
        <v>176</v>
      </c>
      <c r="E2544">
        <v>3923634</v>
      </c>
      <c r="F2544">
        <v>482933</v>
      </c>
      <c r="G2544">
        <v>78546</v>
      </c>
      <c r="H2544">
        <f>_xlfn.XLOOKUP(FACT_IMPORTS[[#This Row],[hts_6]],DIM_PRODUCTS[hts_6],DIM_PRODUCTS[hts_4],,,)</f>
        <v>8409</v>
      </c>
      <c r="I2544" t="str" cm="1">
        <f t="array" ref="I2544">_xlfn.XLOOKUP(FACT_IMPORTS[[#This Row],[country_name]],DIM_COUNTRY[[#All],[Column2]],DIM_COUNTRY[[#All],[Column3]],,,)</f>
        <v>China</v>
      </c>
    </row>
    <row r="2545" spans="1:9" x14ac:dyDescent="0.4">
      <c r="A2545" t="s">
        <v>66</v>
      </c>
      <c r="B2545" s="1">
        <v>44986</v>
      </c>
      <c r="C2545">
        <v>841330</v>
      </c>
      <c r="D2545" t="s">
        <v>176</v>
      </c>
      <c r="E2545">
        <v>1127889</v>
      </c>
      <c r="F2545">
        <v>19444</v>
      </c>
      <c r="G2545">
        <v>15206</v>
      </c>
      <c r="H2545">
        <f>_xlfn.XLOOKUP(FACT_IMPORTS[[#This Row],[hts_6]],DIM_PRODUCTS[hts_6],DIM_PRODUCTS[hts_4],,,)</f>
        <v>8413</v>
      </c>
      <c r="I2545" t="str" cm="1">
        <f t="array" ref="I2545">_xlfn.XLOOKUP(FACT_IMPORTS[[#This Row],[country_name]],DIM_COUNTRY[[#All],[Column2]],DIM_COUNTRY[[#All],[Column3]],,,)</f>
        <v>China</v>
      </c>
    </row>
    <row r="2546" spans="1:9" x14ac:dyDescent="0.4">
      <c r="A2546" t="s">
        <v>66</v>
      </c>
      <c r="B2546" s="1">
        <v>44986</v>
      </c>
      <c r="C2546">
        <v>841520</v>
      </c>
      <c r="D2546" t="s">
        <v>176</v>
      </c>
      <c r="E2546">
        <v>0</v>
      </c>
      <c r="F2546">
        <v>0</v>
      </c>
      <c r="G2546">
        <v>0</v>
      </c>
      <c r="H2546">
        <f>_xlfn.XLOOKUP(FACT_IMPORTS[[#This Row],[hts_6]],DIM_PRODUCTS[hts_6],DIM_PRODUCTS[hts_4],,,)</f>
        <v>8415</v>
      </c>
      <c r="I2546" t="str" cm="1">
        <f t="array" ref="I2546">_xlfn.XLOOKUP(FACT_IMPORTS[[#This Row],[country_name]],DIM_COUNTRY[[#All],[Column2]],DIM_COUNTRY[[#All],[Column3]],,,)</f>
        <v>China</v>
      </c>
    </row>
    <row r="2547" spans="1:9" x14ac:dyDescent="0.4">
      <c r="A2547" t="s">
        <v>66</v>
      </c>
      <c r="B2547" s="1">
        <v>44986</v>
      </c>
      <c r="C2547">
        <v>842132</v>
      </c>
      <c r="D2547" t="s">
        <v>176</v>
      </c>
      <c r="E2547">
        <v>67047</v>
      </c>
      <c r="F2547">
        <v>12</v>
      </c>
      <c r="G2547">
        <v>384</v>
      </c>
      <c r="H2547">
        <f>_xlfn.XLOOKUP(FACT_IMPORTS[[#This Row],[hts_6]],DIM_PRODUCTS[hts_6],DIM_PRODUCTS[hts_4],,,)</f>
        <v>8421</v>
      </c>
      <c r="I2547" t="str" cm="1">
        <f t="array" ref="I2547">_xlfn.XLOOKUP(FACT_IMPORTS[[#This Row],[country_name]],DIM_COUNTRY[[#All],[Column2]],DIM_COUNTRY[[#All],[Column3]],,,)</f>
        <v>China</v>
      </c>
    </row>
    <row r="2548" spans="1:9" x14ac:dyDescent="0.4">
      <c r="A2548" t="s">
        <v>66</v>
      </c>
      <c r="B2548" s="1">
        <v>44986</v>
      </c>
      <c r="C2548">
        <v>848210</v>
      </c>
      <c r="D2548" t="s">
        <v>176</v>
      </c>
      <c r="E2548">
        <v>1026384</v>
      </c>
      <c r="F2548">
        <v>694186</v>
      </c>
      <c r="G2548">
        <v>39493</v>
      </c>
      <c r="H2548">
        <f>_xlfn.XLOOKUP(FACT_IMPORTS[[#This Row],[hts_6]],DIM_PRODUCTS[hts_6],DIM_PRODUCTS[hts_4],,,)</f>
        <v>8482</v>
      </c>
      <c r="I2548" t="str" cm="1">
        <f t="array" ref="I2548">_xlfn.XLOOKUP(FACT_IMPORTS[[#This Row],[country_name]],DIM_COUNTRY[[#All],[Column2]],DIM_COUNTRY[[#All],[Column3]],,,)</f>
        <v>China</v>
      </c>
    </row>
    <row r="2549" spans="1:9" x14ac:dyDescent="0.4">
      <c r="A2549" t="s">
        <v>66</v>
      </c>
      <c r="B2549" s="1">
        <v>44986</v>
      </c>
      <c r="C2549">
        <v>848220</v>
      </c>
      <c r="D2549" t="s">
        <v>176</v>
      </c>
      <c r="E2549">
        <v>27265</v>
      </c>
      <c r="F2549">
        <v>2972</v>
      </c>
      <c r="G2549">
        <v>6743</v>
      </c>
      <c r="H2549">
        <f>_xlfn.XLOOKUP(FACT_IMPORTS[[#This Row],[hts_6]],DIM_PRODUCTS[hts_6],DIM_PRODUCTS[hts_4],,,)</f>
        <v>8482</v>
      </c>
      <c r="I2549" t="str" cm="1">
        <f t="array" ref="I2549">_xlfn.XLOOKUP(FACT_IMPORTS[[#This Row],[country_name]],DIM_COUNTRY[[#All],[Column2]],DIM_COUNTRY[[#All],[Column3]],,,)</f>
        <v>China</v>
      </c>
    </row>
    <row r="2550" spans="1:9" x14ac:dyDescent="0.4">
      <c r="A2550" t="s">
        <v>66</v>
      </c>
      <c r="B2550" s="1">
        <v>44986</v>
      </c>
      <c r="C2550">
        <v>848310</v>
      </c>
      <c r="D2550" t="s">
        <v>176</v>
      </c>
      <c r="E2550">
        <v>2938163</v>
      </c>
      <c r="F2550">
        <v>132592</v>
      </c>
      <c r="G2550">
        <v>108156</v>
      </c>
      <c r="H2550">
        <f>_xlfn.XLOOKUP(FACT_IMPORTS[[#This Row],[hts_6]],DIM_PRODUCTS[hts_6],DIM_PRODUCTS[hts_4],,,)</f>
        <v>8483</v>
      </c>
      <c r="I2550" t="str" cm="1">
        <f t="array" ref="I2550">_xlfn.XLOOKUP(FACT_IMPORTS[[#This Row],[country_name]],DIM_COUNTRY[[#All],[Column2]],DIM_COUNTRY[[#All],[Column3]],,,)</f>
        <v>China</v>
      </c>
    </row>
    <row r="2551" spans="1:9" x14ac:dyDescent="0.4">
      <c r="A2551" t="s">
        <v>66</v>
      </c>
      <c r="B2551" s="1">
        <v>44986</v>
      </c>
      <c r="C2551">
        <v>850131</v>
      </c>
      <c r="D2551" t="s">
        <v>176</v>
      </c>
      <c r="E2551">
        <v>2920461</v>
      </c>
      <c r="F2551">
        <v>313950</v>
      </c>
      <c r="G2551">
        <v>29198</v>
      </c>
      <c r="H2551">
        <f>_xlfn.XLOOKUP(FACT_IMPORTS[[#This Row],[hts_6]],DIM_PRODUCTS[hts_6],DIM_PRODUCTS[hts_4],,,)</f>
        <v>8501</v>
      </c>
      <c r="I2551" t="str" cm="1">
        <f t="array" ref="I2551">_xlfn.XLOOKUP(FACT_IMPORTS[[#This Row],[country_name]],DIM_COUNTRY[[#All],[Column2]],DIM_COUNTRY[[#All],[Column3]],,,)</f>
        <v>China</v>
      </c>
    </row>
    <row r="2552" spans="1:9" x14ac:dyDescent="0.4">
      <c r="A2552" t="s">
        <v>66</v>
      </c>
      <c r="B2552" s="1">
        <v>44986</v>
      </c>
      <c r="C2552">
        <v>850132</v>
      </c>
      <c r="D2552" t="s">
        <v>176</v>
      </c>
      <c r="E2552">
        <v>95507</v>
      </c>
      <c r="F2552">
        <v>285</v>
      </c>
      <c r="G2552">
        <v>6647</v>
      </c>
      <c r="H2552">
        <f>_xlfn.XLOOKUP(FACT_IMPORTS[[#This Row],[hts_6]],DIM_PRODUCTS[hts_6],DIM_PRODUCTS[hts_4],,,)</f>
        <v>8501</v>
      </c>
      <c r="I2552" t="str" cm="1">
        <f t="array" ref="I2552">_xlfn.XLOOKUP(FACT_IMPORTS[[#This Row],[country_name]],DIM_COUNTRY[[#All],[Column2]],DIM_COUNTRY[[#All],[Column3]],,,)</f>
        <v>China</v>
      </c>
    </row>
    <row r="2553" spans="1:9" x14ac:dyDescent="0.4">
      <c r="A2553" t="s">
        <v>66</v>
      </c>
      <c r="B2553" s="1">
        <v>44986</v>
      </c>
      <c r="C2553">
        <v>850133</v>
      </c>
      <c r="D2553" t="s">
        <v>176</v>
      </c>
      <c r="E2553">
        <v>9894</v>
      </c>
      <c r="F2553">
        <v>1</v>
      </c>
      <c r="G2553">
        <v>14</v>
      </c>
      <c r="H2553">
        <f>_xlfn.XLOOKUP(FACT_IMPORTS[[#This Row],[hts_6]],DIM_PRODUCTS[hts_6],DIM_PRODUCTS[hts_4],,,)</f>
        <v>8501</v>
      </c>
      <c r="I2553" t="str" cm="1">
        <f t="array" ref="I2553">_xlfn.XLOOKUP(FACT_IMPORTS[[#This Row],[country_name]],DIM_COUNTRY[[#All],[Column2]],DIM_COUNTRY[[#All],[Column3]],,,)</f>
        <v>China</v>
      </c>
    </row>
    <row r="2554" spans="1:9" x14ac:dyDescent="0.4">
      <c r="A2554" t="s">
        <v>66</v>
      </c>
      <c r="B2554" s="1">
        <v>44986</v>
      </c>
      <c r="C2554">
        <v>850152</v>
      </c>
      <c r="D2554" t="s">
        <v>176</v>
      </c>
      <c r="E2554">
        <v>937840</v>
      </c>
      <c r="F2554">
        <v>2148</v>
      </c>
      <c r="G2554">
        <v>81193</v>
      </c>
      <c r="H2554">
        <f>_xlfn.XLOOKUP(FACT_IMPORTS[[#This Row],[hts_6]],DIM_PRODUCTS[hts_6],DIM_PRODUCTS[hts_4],,,)</f>
        <v>8501</v>
      </c>
      <c r="I2554" t="str" cm="1">
        <f t="array" ref="I2554">_xlfn.XLOOKUP(FACT_IMPORTS[[#This Row],[country_name]],DIM_COUNTRY[[#All],[Column2]],DIM_COUNTRY[[#All],[Column3]],,,)</f>
        <v>China</v>
      </c>
    </row>
    <row r="2555" spans="1:9" x14ac:dyDescent="0.4">
      <c r="A2555" t="s">
        <v>66</v>
      </c>
      <c r="B2555" s="1">
        <v>44986</v>
      </c>
      <c r="C2555">
        <v>850153</v>
      </c>
      <c r="D2555" t="s">
        <v>176</v>
      </c>
      <c r="E2555">
        <v>10131</v>
      </c>
      <c r="F2555">
        <v>1</v>
      </c>
      <c r="G2555">
        <v>10131</v>
      </c>
      <c r="H2555">
        <f>_xlfn.XLOOKUP(FACT_IMPORTS[[#This Row],[hts_6]],DIM_PRODUCTS[hts_6],DIM_PRODUCTS[hts_4],,,)</f>
        <v>8501</v>
      </c>
      <c r="I2555" t="str" cm="1">
        <f t="array" ref="I2555">_xlfn.XLOOKUP(FACT_IMPORTS[[#This Row],[country_name]],DIM_COUNTRY[[#All],[Column2]],DIM_COUNTRY[[#All],[Column3]],,,)</f>
        <v>China</v>
      </c>
    </row>
    <row r="2556" spans="1:9" x14ac:dyDescent="0.4">
      <c r="A2556" t="s">
        <v>66</v>
      </c>
      <c r="B2556" s="1">
        <v>44986</v>
      </c>
      <c r="C2556">
        <v>850161</v>
      </c>
      <c r="D2556" t="s">
        <v>176</v>
      </c>
      <c r="E2556">
        <v>0</v>
      </c>
      <c r="F2556">
        <v>0</v>
      </c>
      <c r="G2556">
        <v>0</v>
      </c>
      <c r="H2556">
        <f>_xlfn.XLOOKUP(FACT_IMPORTS[[#This Row],[hts_6]],DIM_PRODUCTS[hts_6],DIM_PRODUCTS[hts_4],,,)</f>
        <v>8501</v>
      </c>
      <c r="I2556" t="str" cm="1">
        <f t="array" ref="I2556">_xlfn.XLOOKUP(FACT_IMPORTS[[#This Row],[country_name]],DIM_COUNTRY[[#All],[Column2]],DIM_COUNTRY[[#All],[Column3]],,,)</f>
        <v>China</v>
      </c>
    </row>
    <row r="2557" spans="1:9" x14ac:dyDescent="0.4">
      <c r="A2557" t="s">
        <v>66</v>
      </c>
      <c r="B2557" s="1">
        <v>44986</v>
      </c>
      <c r="C2557">
        <v>850440</v>
      </c>
      <c r="D2557" t="s">
        <v>176</v>
      </c>
      <c r="E2557">
        <v>1652355</v>
      </c>
      <c r="F2557">
        <v>24264</v>
      </c>
      <c r="G2557">
        <v>27148</v>
      </c>
      <c r="H2557">
        <f>_xlfn.XLOOKUP(FACT_IMPORTS[[#This Row],[hts_6]],DIM_PRODUCTS[hts_6],DIM_PRODUCTS[hts_4],,,)</f>
        <v>8504</v>
      </c>
      <c r="I2557" t="str" cm="1">
        <f t="array" ref="I2557">_xlfn.XLOOKUP(FACT_IMPORTS[[#This Row],[country_name]],DIM_COUNTRY[[#All],[Column2]],DIM_COUNTRY[[#All],[Column3]],,,)</f>
        <v>China</v>
      </c>
    </row>
    <row r="2558" spans="1:9" x14ac:dyDescent="0.4">
      <c r="A2558" t="s">
        <v>66</v>
      </c>
      <c r="B2558" s="1">
        <v>44986</v>
      </c>
      <c r="C2558">
        <v>850710</v>
      </c>
      <c r="D2558" t="s">
        <v>176</v>
      </c>
      <c r="E2558">
        <v>10951</v>
      </c>
      <c r="F2558">
        <v>192</v>
      </c>
      <c r="G2558">
        <v>624</v>
      </c>
      <c r="H2558">
        <f>_xlfn.XLOOKUP(FACT_IMPORTS[[#This Row],[hts_6]],DIM_PRODUCTS[hts_6],DIM_PRODUCTS[hts_4],,,)</f>
        <v>8507</v>
      </c>
      <c r="I2558" t="str" cm="1">
        <f t="array" ref="I2558">_xlfn.XLOOKUP(FACT_IMPORTS[[#This Row],[country_name]],DIM_COUNTRY[[#All],[Column2]],DIM_COUNTRY[[#All],[Column3]],,,)</f>
        <v>China</v>
      </c>
    </row>
    <row r="2559" spans="1:9" x14ac:dyDescent="0.4">
      <c r="A2559" t="s">
        <v>66</v>
      </c>
      <c r="B2559" s="1">
        <v>44986</v>
      </c>
      <c r="C2559">
        <v>850760</v>
      </c>
      <c r="D2559" t="s">
        <v>176</v>
      </c>
      <c r="E2559">
        <v>1248222</v>
      </c>
      <c r="F2559">
        <v>21158</v>
      </c>
      <c r="G2559">
        <v>23909</v>
      </c>
      <c r="H2559">
        <f>_xlfn.XLOOKUP(FACT_IMPORTS[[#This Row],[hts_6]],DIM_PRODUCTS[hts_6],DIM_PRODUCTS[hts_4],,,)</f>
        <v>8507</v>
      </c>
      <c r="I2559" t="str" cm="1">
        <f t="array" ref="I2559">_xlfn.XLOOKUP(FACT_IMPORTS[[#This Row],[country_name]],DIM_COUNTRY[[#All],[Column2]],DIM_COUNTRY[[#All],[Column3]],,,)</f>
        <v>China</v>
      </c>
    </row>
    <row r="2560" spans="1:9" x14ac:dyDescent="0.4">
      <c r="A2560" t="s">
        <v>66</v>
      </c>
      <c r="B2560" s="1">
        <v>44986</v>
      </c>
      <c r="C2560">
        <v>850790</v>
      </c>
      <c r="D2560" t="s">
        <v>176</v>
      </c>
      <c r="E2560">
        <v>6329307</v>
      </c>
      <c r="F2560">
        <v>171982</v>
      </c>
      <c r="G2560">
        <v>20995</v>
      </c>
      <c r="H2560">
        <f>_xlfn.XLOOKUP(FACT_IMPORTS[[#This Row],[hts_6]],DIM_PRODUCTS[hts_6],DIM_PRODUCTS[hts_4],,,)</f>
        <v>8507</v>
      </c>
      <c r="I2560" t="str" cm="1">
        <f t="array" ref="I2560">_xlfn.XLOOKUP(FACT_IMPORTS[[#This Row],[country_name]],DIM_COUNTRY[[#All],[Column2]],DIM_COUNTRY[[#All],[Column3]],,,)</f>
        <v>China</v>
      </c>
    </row>
    <row r="2561" spans="1:9" x14ac:dyDescent="0.4">
      <c r="A2561" t="s">
        <v>66</v>
      </c>
      <c r="B2561" s="1">
        <v>44986</v>
      </c>
      <c r="C2561">
        <v>851110</v>
      </c>
      <c r="D2561" t="s">
        <v>176</v>
      </c>
      <c r="E2561">
        <v>0</v>
      </c>
      <c r="F2561">
        <v>0</v>
      </c>
      <c r="G2561">
        <v>0</v>
      </c>
      <c r="H2561">
        <f>_xlfn.XLOOKUP(FACT_IMPORTS[[#This Row],[hts_6]],DIM_PRODUCTS[hts_6],DIM_PRODUCTS[hts_4],,,)</f>
        <v>8511</v>
      </c>
      <c r="I2561" t="str" cm="1">
        <f t="array" ref="I2561">_xlfn.XLOOKUP(FACT_IMPORTS[[#This Row],[country_name]],DIM_COUNTRY[[#All],[Column2]],DIM_COUNTRY[[#All],[Column3]],,,)</f>
        <v>China</v>
      </c>
    </row>
    <row r="2562" spans="1:9" x14ac:dyDescent="0.4">
      <c r="A2562" t="s">
        <v>66</v>
      </c>
      <c r="B2562" s="1">
        <v>44986</v>
      </c>
      <c r="C2562">
        <v>851130</v>
      </c>
      <c r="D2562" t="s">
        <v>176</v>
      </c>
      <c r="E2562">
        <v>46047</v>
      </c>
      <c r="F2562">
        <v>1990</v>
      </c>
      <c r="G2562">
        <v>2654</v>
      </c>
      <c r="H2562">
        <f>_xlfn.XLOOKUP(FACT_IMPORTS[[#This Row],[hts_6]],DIM_PRODUCTS[hts_6],DIM_PRODUCTS[hts_4],,,)</f>
        <v>8511</v>
      </c>
      <c r="I2562" t="str" cm="1">
        <f t="array" ref="I2562">_xlfn.XLOOKUP(FACT_IMPORTS[[#This Row],[country_name]],DIM_COUNTRY[[#All],[Column2]],DIM_COUNTRY[[#All],[Column3]],,,)</f>
        <v>China</v>
      </c>
    </row>
    <row r="2563" spans="1:9" x14ac:dyDescent="0.4">
      <c r="A2563" t="s">
        <v>66</v>
      </c>
      <c r="B2563" s="1">
        <v>44986</v>
      </c>
      <c r="C2563">
        <v>851140</v>
      </c>
      <c r="D2563" t="s">
        <v>176</v>
      </c>
      <c r="E2563">
        <v>368733</v>
      </c>
      <c r="F2563">
        <v>4217</v>
      </c>
      <c r="G2563">
        <v>1113</v>
      </c>
      <c r="H2563">
        <f>_xlfn.XLOOKUP(FACT_IMPORTS[[#This Row],[hts_6]],DIM_PRODUCTS[hts_6],DIM_PRODUCTS[hts_4],,,)</f>
        <v>8511</v>
      </c>
      <c r="I2563" t="str" cm="1">
        <f t="array" ref="I2563">_xlfn.XLOOKUP(FACT_IMPORTS[[#This Row],[country_name]],DIM_COUNTRY[[#All],[Column2]],DIM_COUNTRY[[#All],[Column3]],,,)</f>
        <v>China</v>
      </c>
    </row>
    <row r="2564" spans="1:9" x14ac:dyDescent="0.4">
      <c r="A2564" t="s">
        <v>66</v>
      </c>
      <c r="B2564" s="1">
        <v>44986</v>
      </c>
      <c r="C2564">
        <v>851150</v>
      </c>
      <c r="D2564" t="s">
        <v>176</v>
      </c>
      <c r="E2564">
        <v>193876</v>
      </c>
      <c r="F2564">
        <v>3631</v>
      </c>
      <c r="G2564">
        <v>2946</v>
      </c>
      <c r="H2564">
        <f>_xlfn.XLOOKUP(FACT_IMPORTS[[#This Row],[hts_6]],DIM_PRODUCTS[hts_6],DIM_PRODUCTS[hts_4],,,)</f>
        <v>8511</v>
      </c>
      <c r="I2564" t="str" cm="1">
        <f t="array" ref="I2564">_xlfn.XLOOKUP(FACT_IMPORTS[[#This Row],[country_name]],DIM_COUNTRY[[#All],[Column2]],DIM_COUNTRY[[#All],[Column3]],,,)</f>
        <v>China</v>
      </c>
    </row>
    <row r="2565" spans="1:9" x14ac:dyDescent="0.4">
      <c r="A2565" t="s">
        <v>66</v>
      </c>
      <c r="B2565" s="1">
        <v>44986</v>
      </c>
      <c r="C2565">
        <v>851180</v>
      </c>
      <c r="D2565" t="s">
        <v>176</v>
      </c>
      <c r="E2565">
        <v>11011</v>
      </c>
      <c r="F2565">
        <v>112</v>
      </c>
      <c r="G2565">
        <v>145</v>
      </c>
      <c r="H2565">
        <f>_xlfn.XLOOKUP(FACT_IMPORTS[[#This Row],[hts_6]],DIM_PRODUCTS[hts_6],DIM_PRODUCTS[hts_4],,,)</f>
        <v>8511</v>
      </c>
      <c r="I2565" t="str" cm="1">
        <f t="array" ref="I2565">_xlfn.XLOOKUP(FACT_IMPORTS[[#This Row],[country_name]],DIM_COUNTRY[[#All],[Column2]],DIM_COUNTRY[[#All],[Column3]],,,)</f>
        <v>China</v>
      </c>
    </row>
    <row r="2566" spans="1:9" x14ac:dyDescent="0.4">
      <c r="A2566" t="s">
        <v>66</v>
      </c>
      <c r="B2566" s="1">
        <v>44986</v>
      </c>
      <c r="C2566">
        <v>851190</v>
      </c>
      <c r="D2566" t="s">
        <v>176</v>
      </c>
      <c r="E2566">
        <v>24028</v>
      </c>
      <c r="F2566">
        <v>7111</v>
      </c>
      <c r="G2566">
        <v>1651</v>
      </c>
      <c r="H2566">
        <f>_xlfn.XLOOKUP(FACT_IMPORTS[[#This Row],[hts_6]],DIM_PRODUCTS[hts_6],DIM_PRODUCTS[hts_4],,,)</f>
        <v>8511</v>
      </c>
      <c r="I2566" t="str" cm="1">
        <f t="array" ref="I2566">_xlfn.XLOOKUP(FACT_IMPORTS[[#This Row],[country_name]],DIM_COUNTRY[[#All],[Column2]],DIM_COUNTRY[[#All],[Column3]],,,)</f>
        <v>China</v>
      </c>
    </row>
    <row r="2567" spans="1:9" x14ac:dyDescent="0.4">
      <c r="A2567" t="s">
        <v>66</v>
      </c>
      <c r="B2567" s="1">
        <v>44986</v>
      </c>
      <c r="C2567">
        <v>851220</v>
      </c>
      <c r="D2567" t="s">
        <v>176</v>
      </c>
      <c r="E2567">
        <v>3816107</v>
      </c>
      <c r="F2567">
        <v>1612313</v>
      </c>
      <c r="G2567">
        <v>104313</v>
      </c>
      <c r="H2567">
        <f>_xlfn.XLOOKUP(FACT_IMPORTS[[#This Row],[hts_6]],DIM_PRODUCTS[hts_6],DIM_PRODUCTS[hts_4],,,)</f>
        <v>8512</v>
      </c>
      <c r="I2567" t="str" cm="1">
        <f t="array" ref="I2567">_xlfn.XLOOKUP(FACT_IMPORTS[[#This Row],[country_name]],DIM_COUNTRY[[#All],[Column2]],DIM_COUNTRY[[#All],[Column3]],,,)</f>
        <v>China</v>
      </c>
    </row>
    <row r="2568" spans="1:9" x14ac:dyDescent="0.4">
      <c r="A2568" t="s">
        <v>66</v>
      </c>
      <c r="B2568" s="1">
        <v>44986</v>
      </c>
      <c r="C2568">
        <v>851230</v>
      </c>
      <c r="D2568" t="s">
        <v>176</v>
      </c>
      <c r="E2568">
        <v>14285</v>
      </c>
      <c r="F2568">
        <v>2816</v>
      </c>
      <c r="G2568">
        <v>42</v>
      </c>
      <c r="H2568">
        <f>_xlfn.XLOOKUP(FACT_IMPORTS[[#This Row],[hts_6]],DIM_PRODUCTS[hts_6],DIM_PRODUCTS[hts_4],,,)</f>
        <v>8512</v>
      </c>
      <c r="I2568" t="str" cm="1">
        <f t="array" ref="I2568">_xlfn.XLOOKUP(FACT_IMPORTS[[#This Row],[country_name]],DIM_COUNTRY[[#All],[Column2]],DIM_COUNTRY[[#All],[Column3]],,,)</f>
        <v>China</v>
      </c>
    </row>
    <row r="2569" spans="1:9" x14ac:dyDescent="0.4">
      <c r="A2569" t="s">
        <v>66</v>
      </c>
      <c r="B2569" s="1">
        <v>44986</v>
      </c>
      <c r="C2569">
        <v>851240</v>
      </c>
      <c r="D2569" t="s">
        <v>176</v>
      </c>
      <c r="E2569">
        <v>0</v>
      </c>
      <c r="F2569">
        <v>0</v>
      </c>
      <c r="G2569">
        <v>0</v>
      </c>
      <c r="H2569">
        <f>_xlfn.XLOOKUP(FACT_IMPORTS[[#This Row],[hts_6]],DIM_PRODUCTS[hts_6],DIM_PRODUCTS[hts_4],,,)</f>
        <v>8512</v>
      </c>
      <c r="I2569" t="str" cm="1">
        <f t="array" ref="I2569">_xlfn.XLOOKUP(FACT_IMPORTS[[#This Row],[country_name]],DIM_COUNTRY[[#All],[Column2]],DIM_COUNTRY[[#All],[Column3]],,,)</f>
        <v>China</v>
      </c>
    </row>
    <row r="2570" spans="1:9" x14ac:dyDescent="0.4">
      <c r="A2570" t="s">
        <v>66</v>
      </c>
      <c r="B2570" s="1">
        <v>44986</v>
      </c>
      <c r="C2570">
        <v>851290</v>
      </c>
      <c r="D2570" t="s">
        <v>176</v>
      </c>
      <c r="E2570">
        <v>115623</v>
      </c>
      <c r="F2570">
        <v>9403</v>
      </c>
      <c r="G2570">
        <v>7546</v>
      </c>
      <c r="H2570">
        <f>_xlfn.XLOOKUP(FACT_IMPORTS[[#This Row],[hts_6]],DIM_PRODUCTS[hts_6],DIM_PRODUCTS[hts_4],,,)</f>
        <v>8512</v>
      </c>
      <c r="I2570" t="str" cm="1">
        <f t="array" ref="I2570">_xlfn.XLOOKUP(FACT_IMPORTS[[#This Row],[country_name]],DIM_COUNTRY[[#All],[Column2]],DIM_COUNTRY[[#All],[Column3]],,,)</f>
        <v>China</v>
      </c>
    </row>
    <row r="2571" spans="1:9" x14ac:dyDescent="0.4">
      <c r="A2571" t="s">
        <v>66</v>
      </c>
      <c r="B2571" s="1">
        <v>44986</v>
      </c>
      <c r="C2571">
        <v>854231</v>
      </c>
      <c r="D2571" t="s">
        <v>176</v>
      </c>
      <c r="E2571">
        <v>1120068</v>
      </c>
      <c r="F2571">
        <v>543215</v>
      </c>
      <c r="G2571">
        <v>91101</v>
      </c>
      <c r="H2571">
        <f>_xlfn.XLOOKUP(FACT_IMPORTS[[#This Row],[hts_6]],DIM_PRODUCTS[hts_6],DIM_PRODUCTS[hts_4],,,)</f>
        <v>8542</v>
      </c>
      <c r="I2571" t="str" cm="1">
        <f t="array" ref="I2571">_xlfn.XLOOKUP(FACT_IMPORTS[[#This Row],[country_name]],DIM_COUNTRY[[#All],[Column2]],DIM_COUNTRY[[#All],[Column3]],,,)</f>
        <v>China</v>
      </c>
    </row>
    <row r="2572" spans="1:9" x14ac:dyDescent="0.4">
      <c r="A2572" t="s">
        <v>66</v>
      </c>
      <c r="B2572" s="1">
        <v>44986</v>
      </c>
      <c r="C2572">
        <v>854232</v>
      </c>
      <c r="D2572" t="s">
        <v>176</v>
      </c>
      <c r="E2572">
        <v>3450</v>
      </c>
      <c r="F2572">
        <v>10900</v>
      </c>
      <c r="G2572">
        <v>36</v>
      </c>
      <c r="H2572">
        <f>_xlfn.XLOOKUP(FACT_IMPORTS[[#This Row],[hts_6]],DIM_PRODUCTS[hts_6],DIM_PRODUCTS[hts_4],,,)</f>
        <v>8542</v>
      </c>
      <c r="I2572" t="str" cm="1">
        <f t="array" ref="I2572">_xlfn.XLOOKUP(FACT_IMPORTS[[#This Row],[country_name]],DIM_COUNTRY[[#All],[Column2]],DIM_COUNTRY[[#All],[Column3]],,,)</f>
        <v>China</v>
      </c>
    </row>
    <row r="2573" spans="1:9" x14ac:dyDescent="0.4">
      <c r="A2573" t="s">
        <v>66</v>
      </c>
      <c r="B2573" s="1">
        <v>44986</v>
      </c>
      <c r="C2573">
        <v>854233</v>
      </c>
      <c r="D2573" t="s">
        <v>176</v>
      </c>
      <c r="E2573">
        <v>3715</v>
      </c>
      <c r="F2573">
        <v>5</v>
      </c>
      <c r="G2573">
        <v>141</v>
      </c>
      <c r="H2573">
        <f>_xlfn.XLOOKUP(FACT_IMPORTS[[#This Row],[hts_6]],DIM_PRODUCTS[hts_6],DIM_PRODUCTS[hts_4],,,)</f>
        <v>8542</v>
      </c>
      <c r="I2573" t="str" cm="1">
        <f t="array" ref="I2573">_xlfn.XLOOKUP(FACT_IMPORTS[[#This Row],[country_name]],DIM_COUNTRY[[#All],[Column2]],DIM_COUNTRY[[#All],[Column3]],,,)</f>
        <v>China</v>
      </c>
    </row>
    <row r="2574" spans="1:9" x14ac:dyDescent="0.4">
      <c r="A2574" t="s">
        <v>66</v>
      </c>
      <c r="B2574" s="1">
        <v>44986</v>
      </c>
      <c r="C2574">
        <v>854239</v>
      </c>
      <c r="D2574" t="s">
        <v>176</v>
      </c>
      <c r="E2574">
        <v>941189</v>
      </c>
      <c r="F2574">
        <v>1400100</v>
      </c>
      <c r="G2574">
        <v>96483</v>
      </c>
      <c r="H2574">
        <f>_xlfn.XLOOKUP(FACT_IMPORTS[[#This Row],[hts_6]],DIM_PRODUCTS[hts_6],DIM_PRODUCTS[hts_4],,,)</f>
        <v>8542</v>
      </c>
      <c r="I2574" t="str" cm="1">
        <f t="array" ref="I2574">_xlfn.XLOOKUP(FACT_IMPORTS[[#This Row],[country_name]],DIM_COUNTRY[[#All],[Column2]],DIM_COUNTRY[[#All],[Column3]],,,)</f>
        <v>China</v>
      </c>
    </row>
    <row r="2575" spans="1:9" x14ac:dyDescent="0.4">
      <c r="A2575" t="s">
        <v>66</v>
      </c>
      <c r="B2575" s="1">
        <v>44986</v>
      </c>
      <c r="C2575">
        <v>854290</v>
      </c>
      <c r="D2575" t="s">
        <v>176</v>
      </c>
      <c r="E2575">
        <v>0</v>
      </c>
      <c r="F2575">
        <v>0</v>
      </c>
      <c r="G2575">
        <v>0</v>
      </c>
      <c r="H2575">
        <f>_xlfn.XLOOKUP(FACT_IMPORTS[[#This Row],[hts_6]],DIM_PRODUCTS[hts_6],DIM_PRODUCTS[hts_4],,,)</f>
        <v>8542</v>
      </c>
      <c r="I2575" t="str" cm="1">
        <f t="array" ref="I2575">_xlfn.XLOOKUP(FACT_IMPORTS[[#This Row],[country_name]],DIM_COUNTRY[[#All],[Column2]],DIM_COUNTRY[[#All],[Column3]],,,)</f>
        <v>China</v>
      </c>
    </row>
    <row r="2576" spans="1:9" x14ac:dyDescent="0.4">
      <c r="A2576" t="s">
        <v>66</v>
      </c>
      <c r="B2576" s="1">
        <v>44986</v>
      </c>
      <c r="C2576">
        <v>854430</v>
      </c>
      <c r="D2576" t="s">
        <v>176</v>
      </c>
      <c r="E2576">
        <v>1087799</v>
      </c>
      <c r="F2576">
        <v>107055</v>
      </c>
      <c r="G2576">
        <v>6707</v>
      </c>
      <c r="H2576">
        <f>_xlfn.XLOOKUP(FACT_IMPORTS[[#This Row],[hts_6]],DIM_PRODUCTS[hts_6],DIM_PRODUCTS[hts_4],,,)</f>
        <v>8544</v>
      </c>
      <c r="I2576" t="str" cm="1">
        <f t="array" ref="I2576">_xlfn.XLOOKUP(FACT_IMPORTS[[#This Row],[country_name]],DIM_COUNTRY[[#All],[Column2]],DIM_COUNTRY[[#All],[Column3]],,,)</f>
        <v>China</v>
      </c>
    </row>
    <row r="2577" spans="1:9" x14ac:dyDescent="0.4">
      <c r="A2577" t="s">
        <v>66</v>
      </c>
      <c r="B2577" s="1">
        <v>44986</v>
      </c>
      <c r="C2577">
        <v>870790</v>
      </c>
      <c r="D2577" t="s">
        <v>176</v>
      </c>
      <c r="E2577">
        <v>0</v>
      </c>
      <c r="F2577">
        <v>0</v>
      </c>
      <c r="G2577">
        <v>0</v>
      </c>
      <c r="H2577">
        <f>_xlfn.XLOOKUP(FACT_IMPORTS[[#This Row],[hts_6]],DIM_PRODUCTS[hts_6],DIM_PRODUCTS[hts_4],,,)</f>
        <v>8707</v>
      </c>
      <c r="I2577" t="str" cm="1">
        <f t="array" ref="I2577">_xlfn.XLOOKUP(FACT_IMPORTS[[#This Row],[country_name]],DIM_COUNTRY[[#All],[Column2]],DIM_COUNTRY[[#All],[Column3]],,,)</f>
        <v>China</v>
      </c>
    </row>
    <row r="2578" spans="1:9" x14ac:dyDescent="0.4">
      <c r="A2578" t="s">
        <v>66</v>
      </c>
      <c r="B2578" s="1">
        <v>44986</v>
      </c>
      <c r="C2578">
        <v>870810</v>
      </c>
      <c r="D2578" t="s">
        <v>176</v>
      </c>
      <c r="E2578">
        <v>815611</v>
      </c>
      <c r="F2578">
        <v>33987</v>
      </c>
      <c r="G2578">
        <v>19981</v>
      </c>
      <c r="H2578">
        <f>_xlfn.XLOOKUP(FACT_IMPORTS[[#This Row],[hts_6]],DIM_PRODUCTS[hts_6],DIM_PRODUCTS[hts_4],,,)</f>
        <v>8708</v>
      </c>
      <c r="I2578" t="str" cm="1">
        <f t="array" ref="I2578">_xlfn.XLOOKUP(FACT_IMPORTS[[#This Row],[country_name]],DIM_COUNTRY[[#All],[Column2]],DIM_COUNTRY[[#All],[Column3]],,,)</f>
        <v>China</v>
      </c>
    </row>
    <row r="2579" spans="1:9" x14ac:dyDescent="0.4">
      <c r="A2579" t="s">
        <v>66</v>
      </c>
      <c r="B2579" s="1">
        <v>44986</v>
      </c>
      <c r="C2579">
        <v>870821</v>
      </c>
      <c r="D2579" t="s">
        <v>176</v>
      </c>
      <c r="E2579">
        <v>40314</v>
      </c>
      <c r="F2579">
        <v>4314</v>
      </c>
      <c r="G2579">
        <v>1941</v>
      </c>
      <c r="H2579">
        <f>_xlfn.XLOOKUP(FACT_IMPORTS[[#This Row],[hts_6]],DIM_PRODUCTS[hts_6],DIM_PRODUCTS[hts_4],,,)</f>
        <v>8708</v>
      </c>
      <c r="I2579" t="str" cm="1">
        <f t="array" ref="I2579">_xlfn.XLOOKUP(FACT_IMPORTS[[#This Row],[country_name]],DIM_COUNTRY[[#All],[Column2]],DIM_COUNTRY[[#All],[Column3]],,,)</f>
        <v>China</v>
      </c>
    </row>
    <row r="2580" spans="1:9" x14ac:dyDescent="0.4">
      <c r="A2580" t="s">
        <v>66</v>
      </c>
      <c r="B2580" s="1">
        <v>44986</v>
      </c>
      <c r="C2580">
        <v>870822</v>
      </c>
      <c r="D2580" t="s">
        <v>176</v>
      </c>
      <c r="E2580">
        <v>549966</v>
      </c>
      <c r="F2580">
        <v>51101</v>
      </c>
      <c r="G2580">
        <v>36378</v>
      </c>
      <c r="H2580">
        <f>_xlfn.XLOOKUP(FACT_IMPORTS[[#This Row],[hts_6]],DIM_PRODUCTS[hts_6],DIM_PRODUCTS[hts_4],,,)</f>
        <v>8708</v>
      </c>
      <c r="I2580" t="str" cm="1">
        <f t="array" ref="I2580">_xlfn.XLOOKUP(FACT_IMPORTS[[#This Row],[country_name]],DIM_COUNTRY[[#All],[Column2]],DIM_COUNTRY[[#All],[Column3]],,,)</f>
        <v>China</v>
      </c>
    </row>
    <row r="2581" spans="1:9" x14ac:dyDescent="0.4">
      <c r="A2581" t="s">
        <v>66</v>
      </c>
      <c r="B2581" s="1">
        <v>44986</v>
      </c>
      <c r="C2581">
        <v>870829</v>
      </c>
      <c r="D2581" t="s">
        <v>176</v>
      </c>
      <c r="E2581">
        <v>23923316</v>
      </c>
      <c r="F2581">
        <v>5039695</v>
      </c>
      <c r="G2581">
        <v>632774</v>
      </c>
      <c r="H2581">
        <f>_xlfn.XLOOKUP(FACT_IMPORTS[[#This Row],[hts_6]],DIM_PRODUCTS[hts_6],DIM_PRODUCTS[hts_4],,,)</f>
        <v>8708</v>
      </c>
      <c r="I2581" t="str" cm="1">
        <f t="array" ref="I2581">_xlfn.XLOOKUP(FACT_IMPORTS[[#This Row],[country_name]],DIM_COUNTRY[[#All],[Column2]],DIM_COUNTRY[[#All],[Column3]],,,)</f>
        <v>China</v>
      </c>
    </row>
    <row r="2582" spans="1:9" x14ac:dyDescent="0.4">
      <c r="A2582" t="s">
        <v>66</v>
      </c>
      <c r="B2582" s="1">
        <v>44986</v>
      </c>
      <c r="C2582">
        <v>870830</v>
      </c>
      <c r="D2582" t="s">
        <v>176</v>
      </c>
      <c r="E2582">
        <v>5328321</v>
      </c>
      <c r="F2582">
        <v>463253</v>
      </c>
      <c r="G2582">
        <v>186851</v>
      </c>
      <c r="H2582">
        <f>_xlfn.XLOOKUP(FACT_IMPORTS[[#This Row],[hts_6]],DIM_PRODUCTS[hts_6],DIM_PRODUCTS[hts_4],,,)</f>
        <v>8708</v>
      </c>
      <c r="I2582" t="str" cm="1">
        <f t="array" ref="I2582">_xlfn.XLOOKUP(FACT_IMPORTS[[#This Row],[country_name]],DIM_COUNTRY[[#All],[Column2]],DIM_COUNTRY[[#All],[Column3]],,,)</f>
        <v>China</v>
      </c>
    </row>
    <row r="2583" spans="1:9" x14ac:dyDescent="0.4">
      <c r="A2583" t="s">
        <v>66</v>
      </c>
      <c r="B2583" s="1">
        <v>44986</v>
      </c>
      <c r="C2583">
        <v>870840</v>
      </c>
      <c r="D2583" t="s">
        <v>176</v>
      </c>
      <c r="E2583">
        <v>6721778</v>
      </c>
      <c r="F2583">
        <v>557897</v>
      </c>
      <c r="G2583">
        <v>214938</v>
      </c>
      <c r="H2583">
        <f>_xlfn.XLOOKUP(FACT_IMPORTS[[#This Row],[hts_6]],DIM_PRODUCTS[hts_6],DIM_PRODUCTS[hts_4],,,)</f>
        <v>8708</v>
      </c>
      <c r="I2583" t="str" cm="1">
        <f t="array" ref="I2583">_xlfn.XLOOKUP(FACT_IMPORTS[[#This Row],[country_name]],DIM_COUNTRY[[#All],[Column2]],DIM_COUNTRY[[#All],[Column3]],,,)</f>
        <v>China</v>
      </c>
    </row>
    <row r="2584" spans="1:9" x14ac:dyDescent="0.4">
      <c r="A2584" t="s">
        <v>66</v>
      </c>
      <c r="B2584" s="1">
        <v>44986</v>
      </c>
      <c r="C2584">
        <v>870850</v>
      </c>
      <c r="D2584" t="s">
        <v>176</v>
      </c>
      <c r="E2584">
        <v>3500909</v>
      </c>
      <c r="F2584">
        <v>555398</v>
      </c>
      <c r="G2584">
        <v>57739</v>
      </c>
      <c r="H2584">
        <f>_xlfn.XLOOKUP(FACT_IMPORTS[[#This Row],[hts_6]],DIM_PRODUCTS[hts_6],DIM_PRODUCTS[hts_4],,,)</f>
        <v>8708</v>
      </c>
      <c r="I2584" t="str" cm="1">
        <f t="array" ref="I2584">_xlfn.XLOOKUP(FACT_IMPORTS[[#This Row],[country_name]],DIM_COUNTRY[[#All],[Column2]],DIM_COUNTRY[[#All],[Column3]],,,)</f>
        <v>China</v>
      </c>
    </row>
    <row r="2585" spans="1:9" x14ac:dyDescent="0.4">
      <c r="A2585" t="s">
        <v>66</v>
      </c>
      <c r="B2585" s="1">
        <v>44986</v>
      </c>
      <c r="C2585">
        <v>870870</v>
      </c>
      <c r="D2585" t="s">
        <v>176</v>
      </c>
      <c r="E2585">
        <v>41939127</v>
      </c>
      <c r="F2585">
        <v>2229196</v>
      </c>
      <c r="G2585">
        <v>1613263</v>
      </c>
      <c r="H2585">
        <f>_xlfn.XLOOKUP(FACT_IMPORTS[[#This Row],[hts_6]],DIM_PRODUCTS[hts_6],DIM_PRODUCTS[hts_4],,,)</f>
        <v>8708</v>
      </c>
      <c r="I2585" t="str" cm="1">
        <f t="array" ref="I2585">_xlfn.XLOOKUP(FACT_IMPORTS[[#This Row],[country_name]],DIM_COUNTRY[[#All],[Column2]],DIM_COUNTRY[[#All],[Column3]],,,)</f>
        <v>China</v>
      </c>
    </row>
    <row r="2586" spans="1:9" x14ac:dyDescent="0.4">
      <c r="A2586" t="s">
        <v>66</v>
      </c>
      <c r="B2586" s="1">
        <v>44986</v>
      </c>
      <c r="C2586">
        <v>870880</v>
      </c>
      <c r="D2586" t="s">
        <v>176</v>
      </c>
      <c r="E2586">
        <v>13758923</v>
      </c>
      <c r="F2586">
        <v>1526769</v>
      </c>
      <c r="G2586">
        <v>217159</v>
      </c>
      <c r="H2586">
        <f>_xlfn.XLOOKUP(FACT_IMPORTS[[#This Row],[hts_6]],DIM_PRODUCTS[hts_6],DIM_PRODUCTS[hts_4],,,)</f>
        <v>8708</v>
      </c>
      <c r="I2586" t="str" cm="1">
        <f t="array" ref="I2586">_xlfn.XLOOKUP(FACT_IMPORTS[[#This Row],[country_name]],DIM_COUNTRY[[#All],[Column2]],DIM_COUNTRY[[#All],[Column3]],,,)</f>
        <v>China</v>
      </c>
    </row>
    <row r="2587" spans="1:9" x14ac:dyDescent="0.4">
      <c r="A2587" t="s">
        <v>66</v>
      </c>
      <c r="B2587" s="1">
        <v>44986</v>
      </c>
      <c r="C2587">
        <v>870891</v>
      </c>
      <c r="D2587" t="s">
        <v>176</v>
      </c>
      <c r="E2587">
        <v>224680</v>
      </c>
      <c r="F2587">
        <v>5713</v>
      </c>
      <c r="G2587">
        <v>2483</v>
      </c>
      <c r="H2587">
        <f>_xlfn.XLOOKUP(FACT_IMPORTS[[#This Row],[hts_6]],DIM_PRODUCTS[hts_6],DIM_PRODUCTS[hts_4],,,)</f>
        <v>8708</v>
      </c>
      <c r="I2587" t="str" cm="1">
        <f t="array" ref="I2587">_xlfn.XLOOKUP(FACT_IMPORTS[[#This Row],[country_name]],DIM_COUNTRY[[#All],[Column2]],DIM_COUNTRY[[#All],[Column3]],,,)</f>
        <v>China</v>
      </c>
    </row>
    <row r="2588" spans="1:9" x14ac:dyDescent="0.4">
      <c r="A2588" t="s">
        <v>66</v>
      </c>
      <c r="B2588" s="1">
        <v>44986</v>
      </c>
      <c r="C2588">
        <v>870892</v>
      </c>
      <c r="D2588" t="s">
        <v>176</v>
      </c>
      <c r="E2588">
        <v>6998830</v>
      </c>
      <c r="F2588">
        <v>816896</v>
      </c>
      <c r="G2588">
        <v>232143</v>
      </c>
      <c r="H2588">
        <f>_xlfn.XLOOKUP(FACT_IMPORTS[[#This Row],[hts_6]],DIM_PRODUCTS[hts_6],DIM_PRODUCTS[hts_4],,,)</f>
        <v>8708</v>
      </c>
      <c r="I2588" t="str" cm="1">
        <f t="array" ref="I2588">_xlfn.XLOOKUP(FACT_IMPORTS[[#This Row],[country_name]],DIM_COUNTRY[[#All],[Column2]],DIM_COUNTRY[[#All],[Column3]],,,)</f>
        <v>China</v>
      </c>
    </row>
    <row r="2589" spans="1:9" x14ac:dyDescent="0.4">
      <c r="A2589" t="s">
        <v>66</v>
      </c>
      <c r="B2589" s="1">
        <v>44986</v>
      </c>
      <c r="C2589">
        <v>870893</v>
      </c>
      <c r="D2589" t="s">
        <v>176</v>
      </c>
      <c r="E2589">
        <v>845088</v>
      </c>
      <c r="F2589">
        <v>219906</v>
      </c>
      <c r="G2589">
        <v>25483</v>
      </c>
      <c r="H2589">
        <f>_xlfn.XLOOKUP(FACT_IMPORTS[[#This Row],[hts_6]],DIM_PRODUCTS[hts_6],DIM_PRODUCTS[hts_4],,,)</f>
        <v>8708</v>
      </c>
      <c r="I2589" t="str" cm="1">
        <f t="array" ref="I2589">_xlfn.XLOOKUP(FACT_IMPORTS[[#This Row],[country_name]],DIM_COUNTRY[[#All],[Column2]],DIM_COUNTRY[[#All],[Column3]],,,)</f>
        <v>China</v>
      </c>
    </row>
    <row r="2590" spans="1:9" x14ac:dyDescent="0.4">
      <c r="A2590" t="s">
        <v>66</v>
      </c>
      <c r="B2590" s="1">
        <v>44986</v>
      </c>
      <c r="C2590">
        <v>870894</v>
      </c>
      <c r="D2590" t="s">
        <v>176</v>
      </c>
      <c r="E2590">
        <v>7652728</v>
      </c>
      <c r="F2590">
        <v>234708</v>
      </c>
      <c r="G2590">
        <v>448010</v>
      </c>
      <c r="H2590">
        <f>_xlfn.XLOOKUP(FACT_IMPORTS[[#This Row],[hts_6]],DIM_PRODUCTS[hts_6],DIM_PRODUCTS[hts_4],,,)</f>
        <v>8708</v>
      </c>
      <c r="I2590" t="str" cm="1">
        <f t="array" ref="I2590">_xlfn.XLOOKUP(FACT_IMPORTS[[#This Row],[country_name]],DIM_COUNTRY[[#All],[Column2]],DIM_COUNTRY[[#All],[Column3]],,,)</f>
        <v>China</v>
      </c>
    </row>
    <row r="2591" spans="1:9" x14ac:dyDescent="0.4">
      <c r="A2591" t="s">
        <v>66</v>
      </c>
      <c r="B2591" s="1">
        <v>44986</v>
      </c>
      <c r="C2591">
        <v>870895</v>
      </c>
      <c r="D2591" t="s">
        <v>176</v>
      </c>
      <c r="E2591">
        <v>999378</v>
      </c>
      <c r="F2591">
        <v>52441</v>
      </c>
      <c r="G2591">
        <v>11648</v>
      </c>
      <c r="H2591">
        <f>_xlfn.XLOOKUP(FACT_IMPORTS[[#This Row],[hts_6]],DIM_PRODUCTS[hts_6],DIM_PRODUCTS[hts_4],,,)</f>
        <v>8708</v>
      </c>
      <c r="I2591" t="str" cm="1">
        <f t="array" ref="I2591">_xlfn.XLOOKUP(FACT_IMPORTS[[#This Row],[country_name]],DIM_COUNTRY[[#All],[Column2]],DIM_COUNTRY[[#All],[Column3]],,,)</f>
        <v>China</v>
      </c>
    </row>
    <row r="2592" spans="1:9" x14ac:dyDescent="0.4">
      <c r="A2592" t="s">
        <v>66</v>
      </c>
      <c r="B2592" s="1">
        <v>44986</v>
      </c>
      <c r="C2592">
        <v>870899</v>
      </c>
      <c r="D2592" t="s">
        <v>176</v>
      </c>
      <c r="E2592">
        <v>9565083</v>
      </c>
      <c r="F2592">
        <v>2331091</v>
      </c>
      <c r="G2592">
        <v>336170</v>
      </c>
      <c r="H2592">
        <f>_xlfn.XLOOKUP(FACT_IMPORTS[[#This Row],[hts_6]],DIM_PRODUCTS[hts_6],DIM_PRODUCTS[hts_4],,,)</f>
        <v>8708</v>
      </c>
      <c r="I2592" t="str" cm="1">
        <f t="array" ref="I2592">_xlfn.XLOOKUP(FACT_IMPORTS[[#This Row],[country_name]],DIM_COUNTRY[[#All],[Column2]],DIM_COUNTRY[[#All],[Column3]],,,)</f>
        <v>China</v>
      </c>
    </row>
    <row r="2593" spans="1:9" x14ac:dyDescent="0.4">
      <c r="A2593" t="s">
        <v>66</v>
      </c>
      <c r="B2593" s="1">
        <v>44986</v>
      </c>
      <c r="C2593">
        <v>940120</v>
      </c>
      <c r="D2593" t="s">
        <v>176</v>
      </c>
      <c r="E2593">
        <v>4831</v>
      </c>
      <c r="F2593">
        <v>7000</v>
      </c>
      <c r="G2593">
        <v>100</v>
      </c>
      <c r="H2593">
        <f>_xlfn.XLOOKUP(FACT_IMPORTS[[#This Row],[hts_6]],DIM_PRODUCTS[hts_6],DIM_PRODUCTS[hts_4],,,)</f>
        <v>9401</v>
      </c>
      <c r="I2593" t="str" cm="1">
        <f t="array" ref="I2593">_xlfn.XLOOKUP(FACT_IMPORTS[[#This Row],[country_name]],DIM_COUNTRY[[#All],[Column2]],DIM_COUNTRY[[#All],[Column3]],,,)</f>
        <v>China</v>
      </c>
    </row>
    <row r="2594" spans="1:9" x14ac:dyDescent="0.4">
      <c r="A2594" t="s">
        <v>66</v>
      </c>
      <c r="B2594" s="1">
        <v>45017</v>
      </c>
      <c r="C2594">
        <v>392630</v>
      </c>
      <c r="D2594" t="s">
        <v>176</v>
      </c>
      <c r="E2594">
        <v>6755377</v>
      </c>
      <c r="F2594">
        <v>307651</v>
      </c>
      <c r="G2594">
        <v>269591</v>
      </c>
      <c r="H2594">
        <f>_xlfn.XLOOKUP(FACT_IMPORTS[[#This Row],[hts_6]],DIM_PRODUCTS[hts_6],DIM_PRODUCTS[hts_4],,,)</f>
        <v>3926</v>
      </c>
      <c r="I2594" t="str" cm="1">
        <f t="array" ref="I2594">_xlfn.XLOOKUP(FACT_IMPORTS[[#This Row],[country_name]],DIM_COUNTRY[[#All],[Column2]],DIM_COUNTRY[[#All],[Column3]],,,)</f>
        <v>China</v>
      </c>
    </row>
    <row r="2595" spans="1:9" x14ac:dyDescent="0.4">
      <c r="A2595" t="s">
        <v>66</v>
      </c>
      <c r="B2595" s="1">
        <v>45017</v>
      </c>
      <c r="C2595">
        <v>401110</v>
      </c>
      <c r="D2595" t="s">
        <v>176</v>
      </c>
      <c r="E2595">
        <v>38848</v>
      </c>
      <c r="F2595">
        <v>829</v>
      </c>
      <c r="G2595">
        <v>3894</v>
      </c>
      <c r="H2595">
        <f>_xlfn.XLOOKUP(FACT_IMPORTS[[#This Row],[hts_6]],DIM_PRODUCTS[hts_6],DIM_PRODUCTS[hts_4],,,)</f>
        <v>4011</v>
      </c>
      <c r="I2595" t="str" cm="1">
        <f t="array" ref="I2595">_xlfn.XLOOKUP(FACT_IMPORTS[[#This Row],[country_name]],DIM_COUNTRY[[#All],[Column2]],DIM_COUNTRY[[#All],[Column3]],,,)</f>
        <v>China</v>
      </c>
    </row>
    <row r="2596" spans="1:9" x14ac:dyDescent="0.4">
      <c r="A2596" t="s">
        <v>66</v>
      </c>
      <c r="B2596" s="1">
        <v>45017</v>
      </c>
      <c r="C2596">
        <v>401120</v>
      </c>
      <c r="D2596" t="s">
        <v>176</v>
      </c>
      <c r="E2596">
        <v>84686</v>
      </c>
      <c r="F2596">
        <v>902</v>
      </c>
      <c r="G2596">
        <v>7285</v>
      </c>
      <c r="H2596">
        <f>_xlfn.XLOOKUP(FACT_IMPORTS[[#This Row],[hts_6]],DIM_PRODUCTS[hts_6],DIM_PRODUCTS[hts_4],,,)</f>
        <v>4011</v>
      </c>
      <c r="I2596" t="str" cm="1">
        <f t="array" ref="I2596">_xlfn.XLOOKUP(FACT_IMPORTS[[#This Row],[country_name]],DIM_COUNTRY[[#All],[Column2]],DIM_COUNTRY[[#All],[Column3]],,,)</f>
        <v>China</v>
      </c>
    </row>
    <row r="2597" spans="1:9" x14ac:dyDescent="0.4">
      <c r="A2597" t="s">
        <v>66</v>
      </c>
      <c r="B2597" s="1">
        <v>45017</v>
      </c>
      <c r="C2597">
        <v>401140</v>
      </c>
      <c r="D2597" t="s">
        <v>176</v>
      </c>
      <c r="E2597">
        <v>38425</v>
      </c>
      <c r="F2597">
        <v>778</v>
      </c>
      <c r="G2597">
        <v>177</v>
      </c>
      <c r="H2597">
        <f>_xlfn.XLOOKUP(FACT_IMPORTS[[#This Row],[hts_6]],DIM_PRODUCTS[hts_6],DIM_PRODUCTS[hts_4],,,)</f>
        <v>4011</v>
      </c>
      <c r="I2597" t="str" cm="1">
        <f t="array" ref="I2597">_xlfn.XLOOKUP(FACT_IMPORTS[[#This Row],[country_name]],DIM_COUNTRY[[#All],[Column2]],DIM_COUNTRY[[#All],[Column3]],,,)</f>
        <v>China</v>
      </c>
    </row>
    <row r="2598" spans="1:9" x14ac:dyDescent="0.4">
      <c r="A2598" t="s">
        <v>66</v>
      </c>
      <c r="B2598" s="1">
        <v>45017</v>
      </c>
      <c r="C2598">
        <v>401190</v>
      </c>
      <c r="D2598" t="s">
        <v>176</v>
      </c>
      <c r="E2598">
        <v>325394</v>
      </c>
      <c r="F2598">
        <v>9894</v>
      </c>
      <c r="G2598">
        <v>31470</v>
      </c>
      <c r="H2598">
        <f>_xlfn.XLOOKUP(FACT_IMPORTS[[#This Row],[hts_6]],DIM_PRODUCTS[hts_6],DIM_PRODUCTS[hts_4],,,)</f>
        <v>4011</v>
      </c>
      <c r="I2598" t="str" cm="1">
        <f t="array" ref="I2598">_xlfn.XLOOKUP(FACT_IMPORTS[[#This Row],[country_name]],DIM_COUNTRY[[#All],[Column2]],DIM_COUNTRY[[#All],[Column3]],,,)</f>
        <v>China</v>
      </c>
    </row>
    <row r="2599" spans="1:9" x14ac:dyDescent="0.4">
      <c r="A2599" t="s">
        <v>66</v>
      </c>
      <c r="B2599" s="1">
        <v>45017</v>
      </c>
      <c r="C2599">
        <v>700711</v>
      </c>
      <c r="D2599" t="s">
        <v>176</v>
      </c>
      <c r="E2599">
        <v>1003697</v>
      </c>
      <c r="F2599">
        <v>76572</v>
      </c>
      <c r="G2599">
        <v>49482</v>
      </c>
      <c r="H2599">
        <f>_xlfn.XLOOKUP(FACT_IMPORTS[[#This Row],[hts_6]],DIM_PRODUCTS[hts_6],DIM_PRODUCTS[hts_4],,,)</f>
        <v>7007</v>
      </c>
      <c r="I2599" t="str" cm="1">
        <f t="array" ref="I2599">_xlfn.XLOOKUP(FACT_IMPORTS[[#This Row],[country_name]],DIM_COUNTRY[[#All],[Column2]],DIM_COUNTRY[[#All],[Column3]],,,)</f>
        <v>China</v>
      </c>
    </row>
    <row r="2600" spans="1:9" x14ac:dyDescent="0.4">
      <c r="A2600" t="s">
        <v>66</v>
      </c>
      <c r="B2600" s="1">
        <v>45017</v>
      </c>
      <c r="C2600">
        <v>700721</v>
      </c>
      <c r="D2600" t="s">
        <v>176</v>
      </c>
      <c r="E2600">
        <v>79457</v>
      </c>
      <c r="F2600">
        <v>7973</v>
      </c>
      <c r="G2600">
        <v>11910</v>
      </c>
      <c r="H2600">
        <f>_xlfn.XLOOKUP(FACT_IMPORTS[[#This Row],[hts_6]],DIM_PRODUCTS[hts_6],DIM_PRODUCTS[hts_4],,,)</f>
        <v>7007</v>
      </c>
      <c r="I2600" t="str" cm="1">
        <f t="array" ref="I2600">_xlfn.XLOOKUP(FACT_IMPORTS[[#This Row],[country_name]],DIM_COUNTRY[[#All],[Column2]],DIM_COUNTRY[[#All],[Column3]],,,)</f>
        <v>China</v>
      </c>
    </row>
    <row r="2601" spans="1:9" x14ac:dyDescent="0.4">
      <c r="A2601" t="s">
        <v>66</v>
      </c>
      <c r="B2601" s="1">
        <v>45017</v>
      </c>
      <c r="C2601">
        <v>700910</v>
      </c>
      <c r="D2601" t="s">
        <v>176</v>
      </c>
      <c r="E2601">
        <v>83033</v>
      </c>
      <c r="F2601">
        <v>75062</v>
      </c>
      <c r="G2601">
        <v>10571</v>
      </c>
      <c r="H2601">
        <f>_xlfn.XLOOKUP(FACT_IMPORTS[[#This Row],[hts_6]],DIM_PRODUCTS[hts_6],DIM_PRODUCTS[hts_4],,,)</f>
        <v>7009</v>
      </c>
      <c r="I2601" t="str" cm="1">
        <f t="array" ref="I2601">_xlfn.XLOOKUP(FACT_IMPORTS[[#This Row],[country_name]],DIM_COUNTRY[[#All],[Column2]],DIM_COUNTRY[[#All],[Column3]],,,)</f>
        <v>China</v>
      </c>
    </row>
    <row r="2602" spans="1:9" x14ac:dyDescent="0.4">
      <c r="A2602" t="s">
        <v>66</v>
      </c>
      <c r="B2602" s="1">
        <v>45017</v>
      </c>
      <c r="C2602">
        <v>732010</v>
      </c>
      <c r="D2602" t="s">
        <v>176</v>
      </c>
      <c r="E2602">
        <v>8283</v>
      </c>
      <c r="F2602">
        <v>619</v>
      </c>
      <c r="G2602">
        <v>136</v>
      </c>
      <c r="H2602">
        <f>_xlfn.XLOOKUP(FACT_IMPORTS[[#This Row],[hts_6]],DIM_PRODUCTS[hts_6],DIM_PRODUCTS[hts_4],,,)</f>
        <v>7320</v>
      </c>
      <c r="I2602" t="str" cm="1">
        <f t="array" ref="I2602">_xlfn.XLOOKUP(FACT_IMPORTS[[#This Row],[country_name]],DIM_COUNTRY[[#All],[Column2]],DIM_COUNTRY[[#All],[Column3]],,,)</f>
        <v>China</v>
      </c>
    </row>
    <row r="2603" spans="1:9" x14ac:dyDescent="0.4">
      <c r="A2603" t="s">
        <v>66</v>
      </c>
      <c r="B2603" s="1">
        <v>45017</v>
      </c>
      <c r="C2603">
        <v>830230</v>
      </c>
      <c r="D2603" t="s">
        <v>176</v>
      </c>
      <c r="E2603">
        <v>3932587</v>
      </c>
      <c r="F2603">
        <v>876444</v>
      </c>
      <c r="G2603">
        <v>172811</v>
      </c>
      <c r="H2603">
        <f>_xlfn.XLOOKUP(FACT_IMPORTS[[#This Row],[hts_6]],DIM_PRODUCTS[hts_6],DIM_PRODUCTS[hts_4],,,)</f>
        <v>8302</v>
      </c>
      <c r="I2603" t="str" cm="1">
        <f t="array" ref="I2603">_xlfn.XLOOKUP(FACT_IMPORTS[[#This Row],[country_name]],DIM_COUNTRY[[#All],[Column2]],DIM_COUNTRY[[#All],[Column3]],,,)</f>
        <v>China</v>
      </c>
    </row>
    <row r="2604" spans="1:9" x14ac:dyDescent="0.4">
      <c r="A2604" t="s">
        <v>66</v>
      </c>
      <c r="B2604" s="1">
        <v>45017</v>
      </c>
      <c r="C2604">
        <v>840732</v>
      </c>
      <c r="D2604" t="s">
        <v>176</v>
      </c>
      <c r="E2604">
        <v>0</v>
      </c>
      <c r="F2604">
        <v>0</v>
      </c>
      <c r="G2604">
        <v>0</v>
      </c>
      <c r="H2604">
        <f>_xlfn.XLOOKUP(FACT_IMPORTS[[#This Row],[hts_6]],DIM_PRODUCTS[hts_6],DIM_PRODUCTS[hts_4],,,)</f>
        <v>8407</v>
      </c>
      <c r="I2604" t="str" cm="1">
        <f t="array" ref="I2604">_xlfn.XLOOKUP(FACT_IMPORTS[[#This Row],[country_name]],DIM_COUNTRY[[#All],[Column2]],DIM_COUNTRY[[#All],[Column3]],,,)</f>
        <v>China</v>
      </c>
    </row>
    <row r="2605" spans="1:9" x14ac:dyDescent="0.4">
      <c r="A2605" t="s">
        <v>66</v>
      </c>
      <c r="B2605" s="1">
        <v>45017</v>
      </c>
      <c r="C2605">
        <v>840733</v>
      </c>
      <c r="D2605" t="s">
        <v>176</v>
      </c>
      <c r="E2605">
        <v>0</v>
      </c>
      <c r="F2605">
        <v>0</v>
      </c>
      <c r="G2605">
        <v>0</v>
      </c>
      <c r="H2605">
        <f>_xlfn.XLOOKUP(FACT_IMPORTS[[#This Row],[hts_6]],DIM_PRODUCTS[hts_6],DIM_PRODUCTS[hts_4],,,)</f>
        <v>8407</v>
      </c>
      <c r="I2605" t="str" cm="1">
        <f t="array" ref="I2605">_xlfn.XLOOKUP(FACT_IMPORTS[[#This Row],[country_name]],DIM_COUNTRY[[#All],[Column2]],DIM_COUNTRY[[#All],[Column3]],,,)</f>
        <v>China</v>
      </c>
    </row>
    <row r="2606" spans="1:9" x14ac:dyDescent="0.4">
      <c r="A2606" t="s">
        <v>66</v>
      </c>
      <c r="B2606" s="1">
        <v>45017</v>
      </c>
      <c r="C2606">
        <v>840734</v>
      </c>
      <c r="D2606" t="s">
        <v>176</v>
      </c>
      <c r="E2606">
        <v>819492</v>
      </c>
      <c r="F2606">
        <v>576</v>
      </c>
      <c r="G2606">
        <v>1770</v>
      </c>
      <c r="H2606">
        <f>_xlfn.XLOOKUP(FACT_IMPORTS[[#This Row],[hts_6]],DIM_PRODUCTS[hts_6],DIM_PRODUCTS[hts_4],,,)</f>
        <v>8407</v>
      </c>
      <c r="I2606" t="str" cm="1">
        <f t="array" ref="I2606">_xlfn.XLOOKUP(FACT_IMPORTS[[#This Row],[country_name]],DIM_COUNTRY[[#All],[Column2]],DIM_COUNTRY[[#All],[Column3]],,,)</f>
        <v>China</v>
      </c>
    </row>
    <row r="2607" spans="1:9" x14ac:dyDescent="0.4">
      <c r="A2607" t="s">
        <v>66</v>
      </c>
      <c r="B2607" s="1">
        <v>45017</v>
      </c>
      <c r="C2607">
        <v>840790</v>
      </c>
      <c r="D2607" t="s">
        <v>176</v>
      </c>
      <c r="E2607">
        <v>0</v>
      </c>
      <c r="F2607">
        <v>0</v>
      </c>
      <c r="G2607">
        <v>0</v>
      </c>
      <c r="H2607">
        <f>_xlfn.XLOOKUP(FACT_IMPORTS[[#This Row],[hts_6]],DIM_PRODUCTS[hts_6],DIM_PRODUCTS[hts_4],,,)</f>
        <v>8407</v>
      </c>
      <c r="I2607" t="str" cm="1">
        <f t="array" ref="I2607">_xlfn.XLOOKUP(FACT_IMPORTS[[#This Row],[country_name]],DIM_COUNTRY[[#All],[Column2]],DIM_COUNTRY[[#All],[Column3]],,,)</f>
        <v>China</v>
      </c>
    </row>
    <row r="2608" spans="1:9" x14ac:dyDescent="0.4">
      <c r="A2608" t="s">
        <v>66</v>
      </c>
      <c r="B2608" s="1">
        <v>45017</v>
      </c>
      <c r="C2608">
        <v>840890</v>
      </c>
      <c r="D2608" t="s">
        <v>176</v>
      </c>
      <c r="E2608">
        <v>0</v>
      </c>
      <c r="F2608">
        <v>0</v>
      </c>
      <c r="G2608">
        <v>0</v>
      </c>
      <c r="H2608">
        <f>_xlfn.XLOOKUP(FACT_IMPORTS[[#This Row],[hts_6]],DIM_PRODUCTS[hts_6],DIM_PRODUCTS[hts_4],,,)</f>
        <v>8408</v>
      </c>
      <c r="I2608" t="str" cm="1">
        <f t="array" ref="I2608">_xlfn.XLOOKUP(FACT_IMPORTS[[#This Row],[country_name]],DIM_COUNTRY[[#All],[Column2]],DIM_COUNTRY[[#All],[Column3]],,,)</f>
        <v>China</v>
      </c>
    </row>
    <row r="2609" spans="1:9" x14ac:dyDescent="0.4">
      <c r="A2609" t="s">
        <v>66</v>
      </c>
      <c r="B2609" s="1">
        <v>45017</v>
      </c>
      <c r="C2609">
        <v>840991</v>
      </c>
      <c r="D2609" t="s">
        <v>176</v>
      </c>
      <c r="E2609">
        <v>10755270</v>
      </c>
      <c r="F2609">
        <v>2464642</v>
      </c>
      <c r="G2609">
        <v>500633</v>
      </c>
      <c r="H2609">
        <f>_xlfn.XLOOKUP(FACT_IMPORTS[[#This Row],[hts_6]],DIM_PRODUCTS[hts_6],DIM_PRODUCTS[hts_4],,,)</f>
        <v>8409</v>
      </c>
      <c r="I2609" t="str" cm="1">
        <f t="array" ref="I2609">_xlfn.XLOOKUP(FACT_IMPORTS[[#This Row],[country_name]],DIM_COUNTRY[[#All],[Column2]],DIM_COUNTRY[[#All],[Column3]],,,)</f>
        <v>China</v>
      </c>
    </row>
    <row r="2610" spans="1:9" x14ac:dyDescent="0.4">
      <c r="A2610" t="s">
        <v>66</v>
      </c>
      <c r="B2610" s="1">
        <v>45017</v>
      </c>
      <c r="C2610">
        <v>840999</v>
      </c>
      <c r="D2610" t="s">
        <v>176</v>
      </c>
      <c r="E2610">
        <v>3863696</v>
      </c>
      <c r="F2610">
        <v>570914</v>
      </c>
      <c r="G2610">
        <v>91475</v>
      </c>
      <c r="H2610">
        <f>_xlfn.XLOOKUP(FACT_IMPORTS[[#This Row],[hts_6]],DIM_PRODUCTS[hts_6],DIM_PRODUCTS[hts_4],,,)</f>
        <v>8409</v>
      </c>
      <c r="I2610" t="str" cm="1">
        <f t="array" ref="I2610">_xlfn.XLOOKUP(FACT_IMPORTS[[#This Row],[country_name]],DIM_COUNTRY[[#All],[Column2]],DIM_COUNTRY[[#All],[Column3]],,,)</f>
        <v>China</v>
      </c>
    </row>
    <row r="2611" spans="1:9" x14ac:dyDescent="0.4">
      <c r="A2611" t="s">
        <v>66</v>
      </c>
      <c r="B2611" s="1">
        <v>45017</v>
      </c>
      <c r="C2611">
        <v>841330</v>
      </c>
      <c r="D2611" t="s">
        <v>176</v>
      </c>
      <c r="E2611">
        <v>1149082</v>
      </c>
      <c r="F2611">
        <v>12926</v>
      </c>
      <c r="G2611">
        <v>19038</v>
      </c>
      <c r="H2611">
        <f>_xlfn.XLOOKUP(FACT_IMPORTS[[#This Row],[hts_6]],DIM_PRODUCTS[hts_6],DIM_PRODUCTS[hts_4],,,)</f>
        <v>8413</v>
      </c>
      <c r="I2611" t="str" cm="1">
        <f t="array" ref="I2611">_xlfn.XLOOKUP(FACT_IMPORTS[[#This Row],[country_name]],DIM_COUNTRY[[#All],[Column2]],DIM_COUNTRY[[#All],[Column3]],,,)</f>
        <v>China</v>
      </c>
    </row>
    <row r="2612" spans="1:9" x14ac:dyDescent="0.4">
      <c r="A2612" t="s">
        <v>66</v>
      </c>
      <c r="B2612" s="1">
        <v>45017</v>
      </c>
      <c r="C2612">
        <v>841520</v>
      </c>
      <c r="D2612" t="s">
        <v>176</v>
      </c>
      <c r="E2612">
        <v>0</v>
      </c>
      <c r="F2612">
        <v>0</v>
      </c>
      <c r="G2612">
        <v>0</v>
      </c>
      <c r="H2612">
        <f>_xlfn.XLOOKUP(FACT_IMPORTS[[#This Row],[hts_6]],DIM_PRODUCTS[hts_6],DIM_PRODUCTS[hts_4],,,)</f>
        <v>8415</v>
      </c>
      <c r="I2612" t="str" cm="1">
        <f t="array" ref="I2612">_xlfn.XLOOKUP(FACT_IMPORTS[[#This Row],[country_name]],DIM_COUNTRY[[#All],[Column2]],DIM_COUNTRY[[#All],[Column3]],,,)</f>
        <v>China</v>
      </c>
    </row>
    <row r="2613" spans="1:9" x14ac:dyDescent="0.4">
      <c r="A2613" t="s">
        <v>66</v>
      </c>
      <c r="B2613" s="1">
        <v>45017</v>
      </c>
      <c r="C2613">
        <v>842132</v>
      </c>
      <c r="D2613" t="s">
        <v>176</v>
      </c>
      <c r="E2613">
        <v>7473</v>
      </c>
      <c r="F2613">
        <v>8</v>
      </c>
      <c r="G2613">
        <v>260</v>
      </c>
      <c r="H2613">
        <f>_xlfn.XLOOKUP(FACT_IMPORTS[[#This Row],[hts_6]],DIM_PRODUCTS[hts_6],DIM_PRODUCTS[hts_4],,,)</f>
        <v>8421</v>
      </c>
      <c r="I2613" t="str" cm="1">
        <f t="array" ref="I2613">_xlfn.XLOOKUP(FACT_IMPORTS[[#This Row],[country_name]],DIM_COUNTRY[[#All],[Column2]],DIM_COUNTRY[[#All],[Column3]],,,)</f>
        <v>China</v>
      </c>
    </row>
    <row r="2614" spans="1:9" x14ac:dyDescent="0.4">
      <c r="A2614" t="s">
        <v>66</v>
      </c>
      <c r="B2614" s="1">
        <v>45017</v>
      </c>
      <c r="C2614">
        <v>848210</v>
      </c>
      <c r="D2614" t="s">
        <v>176</v>
      </c>
      <c r="E2614">
        <v>1093660</v>
      </c>
      <c r="F2614">
        <v>1196895</v>
      </c>
      <c r="G2614">
        <v>47316</v>
      </c>
      <c r="H2614">
        <f>_xlfn.XLOOKUP(FACT_IMPORTS[[#This Row],[hts_6]],DIM_PRODUCTS[hts_6],DIM_PRODUCTS[hts_4],,,)</f>
        <v>8482</v>
      </c>
      <c r="I2614" t="str" cm="1">
        <f t="array" ref="I2614">_xlfn.XLOOKUP(FACT_IMPORTS[[#This Row],[country_name]],DIM_COUNTRY[[#All],[Column2]],DIM_COUNTRY[[#All],[Column3]],,,)</f>
        <v>China</v>
      </c>
    </row>
    <row r="2615" spans="1:9" x14ac:dyDescent="0.4">
      <c r="A2615" t="s">
        <v>66</v>
      </c>
      <c r="B2615" s="1">
        <v>45017</v>
      </c>
      <c r="C2615">
        <v>848220</v>
      </c>
      <c r="D2615" t="s">
        <v>176</v>
      </c>
      <c r="E2615">
        <v>44076</v>
      </c>
      <c r="F2615">
        <v>27871</v>
      </c>
      <c r="G2615">
        <v>5123</v>
      </c>
      <c r="H2615">
        <f>_xlfn.XLOOKUP(FACT_IMPORTS[[#This Row],[hts_6]],DIM_PRODUCTS[hts_6],DIM_PRODUCTS[hts_4],,,)</f>
        <v>8482</v>
      </c>
      <c r="I2615" t="str" cm="1">
        <f t="array" ref="I2615">_xlfn.XLOOKUP(FACT_IMPORTS[[#This Row],[country_name]],DIM_COUNTRY[[#All],[Column2]],DIM_COUNTRY[[#All],[Column3]],,,)</f>
        <v>China</v>
      </c>
    </row>
    <row r="2616" spans="1:9" x14ac:dyDescent="0.4">
      <c r="A2616" t="s">
        <v>66</v>
      </c>
      <c r="B2616" s="1">
        <v>45017</v>
      </c>
      <c r="C2616">
        <v>848310</v>
      </c>
      <c r="D2616" t="s">
        <v>176</v>
      </c>
      <c r="E2616">
        <v>3780991</v>
      </c>
      <c r="F2616">
        <v>222948</v>
      </c>
      <c r="G2616">
        <v>119777</v>
      </c>
      <c r="H2616">
        <f>_xlfn.XLOOKUP(FACT_IMPORTS[[#This Row],[hts_6]],DIM_PRODUCTS[hts_6],DIM_PRODUCTS[hts_4],,,)</f>
        <v>8483</v>
      </c>
      <c r="I2616" t="str" cm="1">
        <f t="array" ref="I2616">_xlfn.XLOOKUP(FACT_IMPORTS[[#This Row],[country_name]],DIM_COUNTRY[[#All],[Column2]],DIM_COUNTRY[[#All],[Column3]],,,)</f>
        <v>China</v>
      </c>
    </row>
    <row r="2617" spans="1:9" x14ac:dyDescent="0.4">
      <c r="A2617" t="s">
        <v>66</v>
      </c>
      <c r="B2617" s="1">
        <v>45017</v>
      </c>
      <c r="C2617">
        <v>850131</v>
      </c>
      <c r="D2617" t="s">
        <v>176</v>
      </c>
      <c r="E2617">
        <v>1561475</v>
      </c>
      <c r="F2617">
        <v>180521</v>
      </c>
      <c r="G2617">
        <v>18542</v>
      </c>
      <c r="H2617">
        <f>_xlfn.XLOOKUP(FACT_IMPORTS[[#This Row],[hts_6]],DIM_PRODUCTS[hts_6],DIM_PRODUCTS[hts_4],,,)</f>
        <v>8501</v>
      </c>
      <c r="I2617" t="str" cm="1">
        <f t="array" ref="I2617">_xlfn.XLOOKUP(FACT_IMPORTS[[#This Row],[country_name]],DIM_COUNTRY[[#All],[Column2]],DIM_COUNTRY[[#All],[Column3]],,,)</f>
        <v>China</v>
      </c>
    </row>
    <row r="2618" spans="1:9" x14ac:dyDescent="0.4">
      <c r="A2618" t="s">
        <v>66</v>
      </c>
      <c r="B2618" s="1">
        <v>45017</v>
      </c>
      <c r="C2618">
        <v>850132</v>
      </c>
      <c r="D2618" t="s">
        <v>176</v>
      </c>
      <c r="E2618">
        <v>96154</v>
      </c>
      <c r="F2618">
        <v>697</v>
      </c>
      <c r="G2618">
        <v>13690</v>
      </c>
      <c r="H2618">
        <f>_xlfn.XLOOKUP(FACT_IMPORTS[[#This Row],[hts_6]],DIM_PRODUCTS[hts_6],DIM_PRODUCTS[hts_4],,,)</f>
        <v>8501</v>
      </c>
      <c r="I2618" t="str" cm="1">
        <f t="array" ref="I2618">_xlfn.XLOOKUP(FACT_IMPORTS[[#This Row],[country_name]],DIM_COUNTRY[[#All],[Column2]],DIM_COUNTRY[[#All],[Column3]],,,)</f>
        <v>China</v>
      </c>
    </row>
    <row r="2619" spans="1:9" x14ac:dyDescent="0.4">
      <c r="A2619" t="s">
        <v>66</v>
      </c>
      <c r="B2619" s="1">
        <v>45017</v>
      </c>
      <c r="C2619">
        <v>850133</v>
      </c>
      <c r="D2619" t="s">
        <v>176</v>
      </c>
      <c r="E2619">
        <v>0</v>
      </c>
      <c r="F2619">
        <v>0</v>
      </c>
      <c r="G2619">
        <v>0</v>
      </c>
      <c r="H2619">
        <f>_xlfn.XLOOKUP(FACT_IMPORTS[[#This Row],[hts_6]],DIM_PRODUCTS[hts_6],DIM_PRODUCTS[hts_4],,,)</f>
        <v>8501</v>
      </c>
      <c r="I2619" t="str" cm="1">
        <f t="array" ref="I2619">_xlfn.XLOOKUP(FACT_IMPORTS[[#This Row],[country_name]],DIM_COUNTRY[[#All],[Column2]],DIM_COUNTRY[[#All],[Column3]],,,)</f>
        <v>China</v>
      </c>
    </row>
    <row r="2620" spans="1:9" x14ac:dyDescent="0.4">
      <c r="A2620" t="s">
        <v>66</v>
      </c>
      <c r="B2620" s="1">
        <v>45017</v>
      </c>
      <c r="C2620">
        <v>850152</v>
      </c>
      <c r="D2620" t="s">
        <v>176</v>
      </c>
      <c r="E2620">
        <v>367586</v>
      </c>
      <c r="F2620">
        <v>575</v>
      </c>
      <c r="G2620">
        <v>32783</v>
      </c>
      <c r="H2620">
        <f>_xlfn.XLOOKUP(FACT_IMPORTS[[#This Row],[hts_6]],DIM_PRODUCTS[hts_6],DIM_PRODUCTS[hts_4],,,)</f>
        <v>8501</v>
      </c>
      <c r="I2620" t="str" cm="1">
        <f t="array" ref="I2620">_xlfn.XLOOKUP(FACT_IMPORTS[[#This Row],[country_name]],DIM_COUNTRY[[#All],[Column2]],DIM_COUNTRY[[#All],[Column3]],,,)</f>
        <v>China</v>
      </c>
    </row>
    <row r="2621" spans="1:9" x14ac:dyDescent="0.4">
      <c r="A2621" t="s">
        <v>66</v>
      </c>
      <c r="B2621" s="1">
        <v>45017</v>
      </c>
      <c r="C2621">
        <v>850153</v>
      </c>
      <c r="D2621" t="s">
        <v>176</v>
      </c>
      <c r="E2621">
        <v>90916</v>
      </c>
      <c r="F2621">
        <v>10</v>
      </c>
      <c r="G2621">
        <v>19020</v>
      </c>
      <c r="H2621">
        <f>_xlfn.XLOOKUP(FACT_IMPORTS[[#This Row],[hts_6]],DIM_PRODUCTS[hts_6],DIM_PRODUCTS[hts_4],,,)</f>
        <v>8501</v>
      </c>
      <c r="I2621" t="str" cm="1">
        <f t="array" ref="I2621">_xlfn.XLOOKUP(FACT_IMPORTS[[#This Row],[country_name]],DIM_COUNTRY[[#All],[Column2]],DIM_COUNTRY[[#All],[Column3]],,,)</f>
        <v>China</v>
      </c>
    </row>
    <row r="2622" spans="1:9" x14ac:dyDescent="0.4">
      <c r="A2622" t="s">
        <v>66</v>
      </c>
      <c r="B2622" s="1">
        <v>45017</v>
      </c>
      <c r="C2622">
        <v>850161</v>
      </c>
      <c r="D2622" t="s">
        <v>176</v>
      </c>
      <c r="E2622">
        <v>0</v>
      </c>
      <c r="F2622">
        <v>0</v>
      </c>
      <c r="G2622">
        <v>0</v>
      </c>
      <c r="H2622">
        <f>_xlfn.XLOOKUP(FACT_IMPORTS[[#This Row],[hts_6]],DIM_PRODUCTS[hts_6],DIM_PRODUCTS[hts_4],,,)</f>
        <v>8501</v>
      </c>
      <c r="I2622" t="str" cm="1">
        <f t="array" ref="I2622">_xlfn.XLOOKUP(FACT_IMPORTS[[#This Row],[country_name]],DIM_COUNTRY[[#All],[Column2]],DIM_COUNTRY[[#All],[Column3]],,,)</f>
        <v>China</v>
      </c>
    </row>
    <row r="2623" spans="1:9" x14ac:dyDescent="0.4">
      <c r="A2623" t="s">
        <v>66</v>
      </c>
      <c r="B2623" s="1">
        <v>45017</v>
      </c>
      <c r="C2623">
        <v>850440</v>
      </c>
      <c r="D2623" t="s">
        <v>176</v>
      </c>
      <c r="E2623">
        <v>1144246</v>
      </c>
      <c r="F2623">
        <v>60622</v>
      </c>
      <c r="G2623">
        <v>29357</v>
      </c>
      <c r="H2623">
        <f>_xlfn.XLOOKUP(FACT_IMPORTS[[#This Row],[hts_6]],DIM_PRODUCTS[hts_6],DIM_PRODUCTS[hts_4],,,)</f>
        <v>8504</v>
      </c>
      <c r="I2623" t="str" cm="1">
        <f t="array" ref="I2623">_xlfn.XLOOKUP(FACT_IMPORTS[[#This Row],[country_name]],DIM_COUNTRY[[#All],[Column2]],DIM_COUNTRY[[#All],[Column3]],,,)</f>
        <v>China</v>
      </c>
    </row>
    <row r="2624" spans="1:9" x14ac:dyDescent="0.4">
      <c r="A2624" t="s">
        <v>66</v>
      </c>
      <c r="B2624" s="1">
        <v>45017</v>
      </c>
      <c r="C2624">
        <v>850710</v>
      </c>
      <c r="D2624" t="s">
        <v>176</v>
      </c>
      <c r="E2624">
        <v>12062</v>
      </c>
      <c r="F2624">
        <v>300</v>
      </c>
      <c r="G2624">
        <v>29</v>
      </c>
      <c r="H2624">
        <f>_xlfn.XLOOKUP(FACT_IMPORTS[[#This Row],[hts_6]],DIM_PRODUCTS[hts_6],DIM_PRODUCTS[hts_4],,,)</f>
        <v>8507</v>
      </c>
      <c r="I2624" t="str" cm="1">
        <f t="array" ref="I2624">_xlfn.XLOOKUP(FACT_IMPORTS[[#This Row],[country_name]],DIM_COUNTRY[[#All],[Column2]],DIM_COUNTRY[[#All],[Column3]],,,)</f>
        <v>China</v>
      </c>
    </row>
    <row r="2625" spans="1:9" x14ac:dyDescent="0.4">
      <c r="A2625" t="s">
        <v>66</v>
      </c>
      <c r="B2625" s="1">
        <v>45017</v>
      </c>
      <c r="C2625">
        <v>850760</v>
      </c>
      <c r="D2625" t="s">
        <v>176</v>
      </c>
      <c r="E2625">
        <v>1095989</v>
      </c>
      <c r="F2625">
        <v>13987</v>
      </c>
      <c r="G2625">
        <v>6457</v>
      </c>
      <c r="H2625">
        <f>_xlfn.XLOOKUP(FACT_IMPORTS[[#This Row],[hts_6]],DIM_PRODUCTS[hts_6],DIM_PRODUCTS[hts_4],,,)</f>
        <v>8507</v>
      </c>
      <c r="I2625" t="str" cm="1">
        <f t="array" ref="I2625">_xlfn.XLOOKUP(FACT_IMPORTS[[#This Row],[country_name]],DIM_COUNTRY[[#All],[Column2]],DIM_COUNTRY[[#All],[Column3]],,,)</f>
        <v>China</v>
      </c>
    </row>
    <row r="2626" spans="1:9" x14ac:dyDescent="0.4">
      <c r="A2626" t="s">
        <v>66</v>
      </c>
      <c r="B2626" s="1">
        <v>45017</v>
      </c>
      <c r="C2626">
        <v>850790</v>
      </c>
      <c r="D2626" t="s">
        <v>176</v>
      </c>
      <c r="E2626">
        <v>5030425</v>
      </c>
      <c r="F2626">
        <v>137132</v>
      </c>
      <c r="G2626">
        <v>26033</v>
      </c>
      <c r="H2626">
        <f>_xlfn.XLOOKUP(FACT_IMPORTS[[#This Row],[hts_6]],DIM_PRODUCTS[hts_6],DIM_PRODUCTS[hts_4],,,)</f>
        <v>8507</v>
      </c>
      <c r="I2626" t="str" cm="1">
        <f t="array" ref="I2626">_xlfn.XLOOKUP(FACT_IMPORTS[[#This Row],[country_name]],DIM_COUNTRY[[#All],[Column2]],DIM_COUNTRY[[#All],[Column3]],,,)</f>
        <v>China</v>
      </c>
    </row>
    <row r="2627" spans="1:9" x14ac:dyDescent="0.4">
      <c r="A2627" t="s">
        <v>66</v>
      </c>
      <c r="B2627" s="1">
        <v>45017</v>
      </c>
      <c r="C2627">
        <v>851110</v>
      </c>
      <c r="D2627" t="s">
        <v>176</v>
      </c>
      <c r="E2627">
        <v>0</v>
      </c>
      <c r="F2627">
        <v>0</v>
      </c>
      <c r="G2627">
        <v>0</v>
      </c>
      <c r="H2627">
        <f>_xlfn.XLOOKUP(FACT_IMPORTS[[#This Row],[hts_6]],DIM_PRODUCTS[hts_6],DIM_PRODUCTS[hts_4],,,)</f>
        <v>8511</v>
      </c>
      <c r="I2627" t="str" cm="1">
        <f t="array" ref="I2627">_xlfn.XLOOKUP(FACT_IMPORTS[[#This Row],[country_name]],DIM_COUNTRY[[#All],[Column2]],DIM_COUNTRY[[#All],[Column3]],,,)</f>
        <v>China</v>
      </c>
    </row>
    <row r="2628" spans="1:9" x14ac:dyDescent="0.4">
      <c r="A2628" t="s">
        <v>66</v>
      </c>
      <c r="B2628" s="1">
        <v>45017</v>
      </c>
      <c r="C2628">
        <v>851130</v>
      </c>
      <c r="D2628" t="s">
        <v>176</v>
      </c>
      <c r="E2628">
        <v>64177</v>
      </c>
      <c r="F2628">
        <v>5041</v>
      </c>
      <c r="G2628">
        <v>7454</v>
      </c>
      <c r="H2628">
        <f>_xlfn.XLOOKUP(FACT_IMPORTS[[#This Row],[hts_6]],DIM_PRODUCTS[hts_6],DIM_PRODUCTS[hts_4],,,)</f>
        <v>8511</v>
      </c>
      <c r="I2628" t="str" cm="1">
        <f t="array" ref="I2628">_xlfn.XLOOKUP(FACT_IMPORTS[[#This Row],[country_name]],DIM_COUNTRY[[#All],[Column2]],DIM_COUNTRY[[#All],[Column3]],,,)</f>
        <v>China</v>
      </c>
    </row>
    <row r="2629" spans="1:9" x14ac:dyDescent="0.4">
      <c r="A2629" t="s">
        <v>66</v>
      </c>
      <c r="B2629" s="1">
        <v>45017</v>
      </c>
      <c r="C2629">
        <v>851140</v>
      </c>
      <c r="D2629" t="s">
        <v>176</v>
      </c>
      <c r="E2629">
        <v>715483</v>
      </c>
      <c r="F2629">
        <v>11743</v>
      </c>
      <c r="G2629">
        <v>1711</v>
      </c>
      <c r="H2629">
        <f>_xlfn.XLOOKUP(FACT_IMPORTS[[#This Row],[hts_6]],DIM_PRODUCTS[hts_6],DIM_PRODUCTS[hts_4],,,)</f>
        <v>8511</v>
      </c>
      <c r="I2629" t="str" cm="1">
        <f t="array" ref="I2629">_xlfn.XLOOKUP(FACT_IMPORTS[[#This Row],[country_name]],DIM_COUNTRY[[#All],[Column2]],DIM_COUNTRY[[#All],[Column3]],,,)</f>
        <v>China</v>
      </c>
    </row>
    <row r="2630" spans="1:9" x14ac:dyDescent="0.4">
      <c r="A2630" t="s">
        <v>66</v>
      </c>
      <c r="B2630" s="1">
        <v>45017</v>
      </c>
      <c r="C2630">
        <v>851150</v>
      </c>
      <c r="D2630" t="s">
        <v>176</v>
      </c>
      <c r="E2630">
        <v>147471</v>
      </c>
      <c r="F2630">
        <v>1559</v>
      </c>
      <c r="G2630">
        <v>1955</v>
      </c>
      <c r="H2630">
        <f>_xlfn.XLOOKUP(FACT_IMPORTS[[#This Row],[hts_6]],DIM_PRODUCTS[hts_6],DIM_PRODUCTS[hts_4],,,)</f>
        <v>8511</v>
      </c>
      <c r="I2630" t="str" cm="1">
        <f t="array" ref="I2630">_xlfn.XLOOKUP(FACT_IMPORTS[[#This Row],[country_name]],DIM_COUNTRY[[#All],[Column2]],DIM_COUNTRY[[#All],[Column3]],,,)</f>
        <v>China</v>
      </c>
    </row>
    <row r="2631" spans="1:9" x14ac:dyDescent="0.4">
      <c r="A2631" t="s">
        <v>66</v>
      </c>
      <c r="B2631" s="1">
        <v>45017</v>
      </c>
      <c r="C2631">
        <v>851180</v>
      </c>
      <c r="D2631" t="s">
        <v>176</v>
      </c>
      <c r="E2631">
        <v>71636</v>
      </c>
      <c r="F2631">
        <v>13853</v>
      </c>
      <c r="G2631">
        <v>7164</v>
      </c>
      <c r="H2631">
        <f>_xlfn.XLOOKUP(FACT_IMPORTS[[#This Row],[hts_6]],DIM_PRODUCTS[hts_6],DIM_PRODUCTS[hts_4],,,)</f>
        <v>8511</v>
      </c>
      <c r="I2631" t="str" cm="1">
        <f t="array" ref="I2631">_xlfn.XLOOKUP(FACT_IMPORTS[[#This Row],[country_name]],DIM_COUNTRY[[#All],[Column2]],DIM_COUNTRY[[#All],[Column3]],,,)</f>
        <v>China</v>
      </c>
    </row>
    <row r="2632" spans="1:9" x14ac:dyDescent="0.4">
      <c r="A2632" t="s">
        <v>66</v>
      </c>
      <c r="B2632" s="1">
        <v>45017</v>
      </c>
      <c r="C2632">
        <v>851190</v>
      </c>
      <c r="D2632" t="s">
        <v>176</v>
      </c>
      <c r="E2632">
        <v>144729</v>
      </c>
      <c r="F2632">
        <v>8463</v>
      </c>
      <c r="G2632">
        <v>9666</v>
      </c>
      <c r="H2632">
        <f>_xlfn.XLOOKUP(FACT_IMPORTS[[#This Row],[hts_6]],DIM_PRODUCTS[hts_6],DIM_PRODUCTS[hts_4],,,)</f>
        <v>8511</v>
      </c>
      <c r="I2632" t="str" cm="1">
        <f t="array" ref="I2632">_xlfn.XLOOKUP(FACT_IMPORTS[[#This Row],[country_name]],DIM_COUNTRY[[#All],[Column2]],DIM_COUNTRY[[#All],[Column3]],,,)</f>
        <v>China</v>
      </c>
    </row>
    <row r="2633" spans="1:9" x14ac:dyDescent="0.4">
      <c r="A2633" t="s">
        <v>66</v>
      </c>
      <c r="B2633" s="1">
        <v>45017</v>
      </c>
      <c r="C2633">
        <v>851220</v>
      </c>
      <c r="D2633" t="s">
        <v>176</v>
      </c>
      <c r="E2633">
        <v>5014929</v>
      </c>
      <c r="F2633">
        <v>1415141</v>
      </c>
      <c r="G2633">
        <v>106792</v>
      </c>
      <c r="H2633">
        <f>_xlfn.XLOOKUP(FACT_IMPORTS[[#This Row],[hts_6]],DIM_PRODUCTS[hts_6],DIM_PRODUCTS[hts_4],,,)</f>
        <v>8512</v>
      </c>
      <c r="I2633" t="str" cm="1">
        <f t="array" ref="I2633">_xlfn.XLOOKUP(FACT_IMPORTS[[#This Row],[country_name]],DIM_COUNTRY[[#All],[Column2]],DIM_COUNTRY[[#All],[Column3]],,,)</f>
        <v>China</v>
      </c>
    </row>
    <row r="2634" spans="1:9" x14ac:dyDescent="0.4">
      <c r="A2634" t="s">
        <v>66</v>
      </c>
      <c r="B2634" s="1">
        <v>45017</v>
      </c>
      <c r="C2634">
        <v>851230</v>
      </c>
      <c r="D2634" t="s">
        <v>176</v>
      </c>
      <c r="E2634">
        <v>35841</v>
      </c>
      <c r="F2634">
        <v>6392</v>
      </c>
      <c r="G2634">
        <v>654</v>
      </c>
      <c r="H2634">
        <f>_xlfn.XLOOKUP(FACT_IMPORTS[[#This Row],[hts_6]],DIM_PRODUCTS[hts_6],DIM_PRODUCTS[hts_4],,,)</f>
        <v>8512</v>
      </c>
      <c r="I2634" t="str" cm="1">
        <f t="array" ref="I2634">_xlfn.XLOOKUP(FACT_IMPORTS[[#This Row],[country_name]],DIM_COUNTRY[[#All],[Column2]],DIM_COUNTRY[[#All],[Column3]],,,)</f>
        <v>China</v>
      </c>
    </row>
    <row r="2635" spans="1:9" x14ac:dyDescent="0.4">
      <c r="A2635" t="s">
        <v>66</v>
      </c>
      <c r="B2635" s="1">
        <v>45017</v>
      </c>
      <c r="C2635">
        <v>851240</v>
      </c>
      <c r="D2635" t="s">
        <v>176</v>
      </c>
      <c r="E2635">
        <v>0</v>
      </c>
      <c r="F2635">
        <v>0</v>
      </c>
      <c r="G2635">
        <v>0</v>
      </c>
      <c r="H2635">
        <f>_xlfn.XLOOKUP(FACT_IMPORTS[[#This Row],[hts_6]],DIM_PRODUCTS[hts_6],DIM_PRODUCTS[hts_4],,,)</f>
        <v>8512</v>
      </c>
      <c r="I2635" t="str" cm="1">
        <f t="array" ref="I2635">_xlfn.XLOOKUP(FACT_IMPORTS[[#This Row],[country_name]],DIM_COUNTRY[[#All],[Column2]],DIM_COUNTRY[[#All],[Column3]],,,)</f>
        <v>China</v>
      </c>
    </row>
    <row r="2636" spans="1:9" x14ac:dyDescent="0.4">
      <c r="A2636" t="s">
        <v>66</v>
      </c>
      <c r="B2636" s="1">
        <v>45017</v>
      </c>
      <c r="C2636">
        <v>851290</v>
      </c>
      <c r="D2636" t="s">
        <v>176</v>
      </c>
      <c r="E2636">
        <v>273944</v>
      </c>
      <c r="F2636">
        <v>4394</v>
      </c>
      <c r="G2636">
        <v>23772</v>
      </c>
      <c r="H2636">
        <f>_xlfn.XLOOKUP(FACT_IMPORTS[[#This Row],[hts_6]],DIM_PRODUCTS[hts_6],DIM_PRODUCTS[hts_4],,,)</f>
        <v>8512</v>
      </c>
      <c r="I2636" t="str" cm="1">
        <f t="array" ref="I2636">_xlfn.XLOOKUP(FACT_IMPORTS[[#This Row],[country_name]],DIM_COUNTRY[[#All],[Column2]],DIM_COUNTRY[[#All],[Column3]],,,)</f>
        <v>China</v>
      </c>
    </row>
    <row r="2637" spans="1:9" x14ac:dyDescent="0.4">
      <c r="A2637" t="s">
        <v>66</v>
      </c>
      <c r="B2637" s="1">
        <v>45017</v>
      </c>
      <c r="C2637">
        <v>854231</v>
      </c>
      <c r="D2637" t="s">
        <v>176</v>
      </c>
      <c r="E2637">
        <v>427067</v>
      </c>
      <c r="F2637">
        <v>102522</v>
      </c>
      <c r="G2637">
        <v>41154</v>
      </c>
      <c r="H2637">
        <f>_xlfn.XLOOKUP(FACT_IMPORTS[[#This Row],[hts_6]],DIM_PRODUCTS[hts_6],DIM_PRODUCTS[hts_4],,,)</f>
        <v>8542</v>
      </c>
      <c r="I2637" t="str" cm="1">
        <f t="array" ref="I2637">_xlfn.XLOOKUP(FACT_IMPORTS[[#This Row],[country_name]],DIM_COUNTRY[[#All],[Column2]],DIM_COUNTRY[[#All],[Column3]],,,)</f>
        <v>China</v>
      </c>
    </row>
    <row r="2638" spans="1:9" x14ac:dyDescent="0.4">
      <c r="A2638" t="s">
        <v>66</v>
      </c>
      <c r="B2638" s="1">
        <v>45017</v>
      </c>
      <c r="C2638">
        <v>854232</v>
      </c>
      <c r="D2638" t="s">
        <v>176</v>
      </c>
      <c r="E2638">
        <v>20769</v>
      </c>
      <c r="F2638">
        <v>160</v>
      </c>
      <c r="G2638">
        <v>422</v>
      </c>
      <c r="H2638">
        <f>_xlfn.XLOOKUP(FACT_IMPORTS[[#This Row],[hts_6]],DIM_PRODUCTS[hts_6],DIM_PRODUCTS[hts_4],,,)</f>
        <v>8542</v>
      </c>
      <c r="I2638" t="str" cm="1">
        <f t="array" ref="I2638">_xlfn.XLOOKUP(FACT_IMPORTS[[#This Row],[country_name]],DIM_COUNTRY[[#All],[Column2]],DIM_COUNTRY[[#All],[Column3]],,,)</f>
        <v>China</v>
      </c>
    </row>
    <row r="2639" spans="1:9" x14ac:dyDescent="0.4">
      <c r="A2639" t="s">
        <v>66</v>
      </c>
      <c r="B2639" s="1">
        <v>45017</v>
      </c>
      <c r="C2639">
        <v>854233</v>
      </c>
      <c r="D2639" t="s">
        <v>176</v>
      </c>
      <c r="E2639">
        <v>0</v>
      </c>
      <c r="F2639">
        <v>0</v>
      </c>
      <c r="G2639">
        <v>0</v>
      </c>
      <c r="H2639">
        <f>_xlfn.XLOOKUP(FACT_IMPORTS[[#This Row],[hts_6]],DIM_PRODUCTS[hts_6],DIM_PRODUCTS[hts_4],,,)</f>
        <v>8542</v>
      </c>
      <c r="I2639" t="str" cm="1">
        <f t="array" ref="I2639">_xlfn.XLOOKUP(FACT_IMPORTS[[#This Row],[country_name]],DIM_COUNTRY[[#All],[Column2]],DIM_COUNTRY[[#All],[Column3]],,,)</f>
        <v>China</v>
      </c>
    </row>
    <row r="2640" spans="1:9" x14ac:dyDescent="0.4">
      <c r="A2640" t="s">
        <v>66</v>
      </c>
      <c r="B2640" s="1">
        <v>45017</v>
      </c>
      <c r="C2640">
        <v>854239</v>
      </c>
      <c r="D2640" t="s">
        <v>176</v>
      </c>
      <c r="E2640">
        <v>606003</v>
      </c>
      <c r="F2640">
        <v>274954</v>
      </c>
      <c r="G2640">
        <v>57541</v>
      </c>
      <c r="H2640">
        <f>_xlfn.XLOOKUP(FACT_IMPORTS[[#This Row],[hts_6]],DIM_PRODUCTS[hts_6],DIM_PRODUCTS[hts_4],,,)</f>
        <v>8542</v>
      </c>
      <c r="I2640" t="str" cm="1">
        <f t="array" ref="I2640">_xlfn.XLOOKUP(FACT_IMPORTS[[#This Row],[country_name]],DIM_COUNTRY[[#All],[Column2]],DIM_COUNTRY[[#All],[Column3]],,,)</f>
        <v>China</v>
      </c>
    </row>
    <row r="2641" spans="1:9" x14ac:dyDescent="0.4">
      <c r="A2641" t="s">
        <v>66</v>
      </c>
      <c r="B2641" s="1">
        <v>45017</v>
      </c>
      <c r="C2641">
        <v>854290</v>
      </c>
      <c r="D2641" t="s">
        <v>176</v>
      </c>
      <c r="E2641">
        <v>16142</v>
      </c>
      <c r="F2641">
        <v>136</v>
      </c>
      <c r="G2641">
        <v>245</v>
      </c>
      <c r="H2641">
        <f>_xlfn.XLOOKUP(FACT_IMPORTS[[#This Row],[hts_6]],DIM_PRODUCTS[hts_6],DIM_PRODUCTS[hts_4],,,)</f>
        <v>8542</v>
      </c>
      <c r="I2641" t="str" cm="1">
        <f t="array" ref="I2641">_xlfn.XLOOKUP(FACT_IMPORTS[[#This Row],[country_name]],DIM_COUNTRY[[#All],[Column2]],DIM_COUNTRY[[#All],[Column3]],,,)</f>
        <v>China</v>
      </c>
    </row>
    <row r="2642" spans="1:9" x14ac:dyDescent="0.4">
      <c r="A2642" t="s">
        <v>66</v>
      </c>
      <c r="B2642" s="1">
        <v>45017</v>
      </c>
      <c r="C2642">
        <v>854430</v>
      </c>
      <c r="D2642" t="s">
        <v>176</v>
      </c>
      <c r="E2642">
        <v>2206845</v>
      </c>
      <c r="F2642">
        <v>127476</v>
      </c>
      <c r="G2642">
        <v>13967</v>
      </c>
      <c r="H2642">
        <f>_xlfn.XLOOKUP(FACT_IMPORTS[[#This Row],[hts_6]],DIM_PRODUCTS[hts_6],DIM_PRODUCTS[hts_4],,,)</f>
        <v>8544</v>
      </c>
      <c r="I2642" t="str" cm="1">
        <f t="array" ref="I2642">_xlfn.XLOOKUP(FACT_IMPORTS[[#This Row],[country_name]],DIM_COUNTRY[[#All],[Column2]],DIM_COUNTRY[[#All],[Column3]],,,)</f>
        <v>China</v>
      </c>
    </row>
    <row r="2643" spans="1:9" x14ac:dyDescent="0.4">
      <c r="A2643" t="s">
        <v>66</v>
      </c>
      <c r="B2643" s="1">
        <v>45017</v>
      </c>
      <c r="C2643">
        <v>870790</v>
      </c>
      <c r="D2643" t="s">
        <v>176</v>
      </c>
      <c r="E2643">
        <v>0</v>
      </c>
      <c r="F2643">
        <v>0</v>
      </c>
      <c r="G2643">
        <v>0</v>
      </c>
      <c r="H2643">
        <f>_xlfn.XLOOKUP(FACT_IMPORTS[[#This Row],[hts_6]],DIM_PRODUCTS[hts_6],DIM_PRODUCTS[hts_4],,,)</f>
        <v>8707</v>
      </c>
      <c r="I2643" t="str" cm="1">
        <f t="array" ref="I2643">_xlfn.XLOOKUP(FACT_IMPORTS[[#This Row],[country_name]],DIM_COUNTRY[[#All],[Column2]],DIM_COUNTRY[[#All],[Column3]],,,)</f>
        <v>China</v>
      </c>
    </row>
    <row r="2644" spans="1:9" x14ac:dyDescent="0.4">
      <c r="A2644" t="s">
        <v>66</v>
      </c>
      <c r="B2644" s="1">
        <v>45017</v>
      </c>
      <c r="C2644">
        <v>870810</v>
      </c>
      <c r="D2644" t="s">
        <v>176</v>
      </c>
      <c r="E2644">
        <v>715370</v>
      </c>
      <c r="F2644">
        <v>39953</v>
      </c>
      <c r="G2644">
        <v>26416</v>
      </c>
      <c r="H2644">
        <f>_xlfn.XLOOKUP(FACT_IMPORTS[[#This Row],[hts_6]],DIM_PRODUCTS[hts_6],DIM_PRODUCTS[hts_4],,,)</f>
        <v>8708</v>
      </c>
      <c r="I2644" t="str" cm="1">
        <f t="array" ref="I2644">_xlfn.XLOOKUP(FACT_IMPORTS[[#This Row],[country_name]],DIM_COUNTRY[[#All],[Column2]],DIM_COUNTRY[[#All],[Column3]],,,)</f>
        <v>China</v>
      </c>
    </row>
    <row r="2645" spans="1:9" x14ac:dyDescent="0.4">
      <c r="A2645" t="s">
        <v>66</v>
      </c>
      <c r="B2645" s="1">
        <v>45017</v>
      </c>
      <c r="C2645">
        <v>870821</v>
      </c>
      <c r="D2645" t="s">
        <v>176</v>
      </c>
      <c r="E2645">
        <v>19562</v>
      </c>
      <c r="F2645">
        <v>2719</v>
      </c>
      <c r="G2645">
        <v>757</v>
      </c>
      <c r="H2645">
        <f>_xlfn.XLOOKUP(FACT_IMPORTS[[#This Row],[hts_6]],DIM_PRODUCTS[hts_6],DIM_PRODUCTS[hts_4],,,)</f>
        <v>8708</v>
      </c>
      <c r="I2645" t="str" cm="1">
        <f t="array" ref="I2645">_xlfn.XLOOKUP(FACT_IMPORTS[[#This Row],[country_name]],DIM_COUNTRY[[#All],[Column2]],DIM_COUNTRY[[#All],[Column3]],,,)</f>
        <v>China</v>
      </c>
    </row>
    <row r="2646" spans="1:9" x14ac:dyDescent="0.4">
      <c r="A2646" t="s">
        <v>66</v>
      </c>
      <c r="B2646" s="1">
        <v>45017</v>
      </c>
      <c r="C2646">
        <v>870822</v>
      </c>
      <c r="D2646" t="s">
        <v>176</v>
      </c>
      <c r="E2646">
        <v>977661</v>
      </c>
      <c r="F2646">
        <v>166664</v>
      </c>
      <c r="G2646">
        <v>54320</v>
      </c>
      <c r="H2646">
        <f>_xlfn.XLOOKUP(FACT_IMPORTS[[#This Row],[hts_6]],DIM_PRODUCTS[hts_6],DIM_PRODUCTS[hts_4],,,)</f>
        <v>8708</v>
      </c>
      <c r="I2646" t="str" cm="1">
        <f t="array" ref="I2646">_xlfn.XLOOKUP(FACT_IMPORTS[[#This Row],[country_name]],DIM_COUNTRY[[#All],[Column2]],DIM_COUNTRY[[#All],[Column3]],,,)</f>
        <v>China</v>
      </c>
    </row>
    <row r="2647" spans="1:9" x14ac:dyDescent="0.4">
      <c r="A2647" t="s">
        <v>66</v>
      </c>
      <c r="B2647" s="1">
        <v>45017</v>
      </c>
      <c r="C2647">
        <v>870829</v>
      </c>
      <c r="D2647" t="s">
        <v>176</v>
      </c>
      <c r="E2647">
        <v>25012305</v>
      </c>
      <c r="F2647">
        <v>5614710</v>
      </c>
      <c r="G2647">
        <v>631809</v>
      </c>
      <c r="H2647">
        <f>_xlfn.XLOOKUP(FACT_IMPORTS[[#This Row],[hts_6]],DIM_PRODUCTS[hts_6],DIM_PRODUCTS[hts_4],,,)</f>
        <v>8708</v>
      </c>
      <c r="I2647" t="str" cm="1">
        <f t="array" ref="I2647">_xlfn.XLOOKUP(FACT_IMPORTS[[#This Row],[country_name]],DIM_COUNTRY[[#All],[Column2]],DIM_COUNTRY[[#All],[Column3]],,,)</f>
        <v>China</v>
      </c>
    </row>
    <row r="2648" spans="1:9" x14ac:dyDescent="0.4">
      <c r="A2648" t="s">
        <v>66</v>
      </c>
      <c r="B2648" s="1">
        <v>45017</v>
      </c>
      <c r="C2648">
        <v>870830</v>
      </c>
      <c r="D2648" t="s">
        <v>176</v>
      </c>
      <c r="E2648">
        <v>7979260</v>
      </c>
      <c r="F2648">
        <v>685909</v>
      </c>
      <c r="G2648">
        <v>187457</v>
      </c>
      <c r="H2648">
        <f>_xlfn.XLOOKUP(FACT_IMPORTS[[#This Row],[hts_6]],DIM_PRODUCTS[hts_6],DIM_PRODUCTS[hts_4],,,)</f>
        <v>8708</v>
      </c>
      <c r="I2648" t="str" cm="1">
        <f t="array" ref="I2648">_xlfn.XLOOKUP(FACT_IMPORTS[[#This Row],[country_name]],DIM_COUNTRY[[#All],[Column2]],DIM_COUNTRY[[#All],[Column3]],,,)</f>
        <v>China</v>
      </c>
    </row>
    <row r="2649" spans="1:9" x14ac:dyDescent="0.4">
      <c r="A2649" t="s">
        <v>66</v>
      </c>
      <c r="B2649" s="1">
        <v>45017</v>
      </c>
      <c r="C2649">
        <v>870840</v>
      </c>
      <c r="D2649" t="s">
        <v>176</v>
      </c>
      <c r="E2649">
        <v>3743666</v>
      </c>
      <c r="F2649">
        <v>783963</v>
      </c>
      <c r="G2649">
        <v>144021</v>
      </c>
      <c r="H2649">
        <f>_xlfn.XLOOKUP(FACT_IMPORTS[[#This Row],[hts_6]],DIM_PRODUCTS[hts_6],DIM_PRODUCTS[hts_4],,,)</f>
        <v>8708</v>
      </c>
      <c r="I2649" t="str" cm="1">
        <f t="array" ref="I2649">_xlfn.XLOOKUP(FACT_IMPORTS[[#This Row],[country_name]],DIM_COUNTRY[[#All],[Column2]],DIM_COUNTRY[[#All],[Column3]],,,)</f>
        <v>China</v>
      </c>
    </row>
    <row r="2650" spans="1:9" x14ac:dyDescent="0.4">
      <c r="A2650" t="s">
        <v>66</v>
      </c>
      <c r="B2650" s="1">
        <v>45017</v>
      </c>
      <c r="C2650">
        <v>870850</v>
      </c>
      <c r="D2650" t="s">
        <v>176</v>
      </c>
      <c r="E2650">
        <v>4665797</v>
      </c>
      <c r="F2650">
        <v>978532</v>
      </c>
      <c r="G2650">
        <v>134876</v>
      </c>
      <c r="H2650">
        <f>_xlfn.XLOOKUP(FACT_IMPORTS[[#This Row],[hts_6]],DIM_PRODUCTS[hts_6],DIM_PRODUCTS[hts_4],,,)</f>
        <v>8708</v>
      </c>
      <c r="I2650" t="str" cm="1">
        <f t="array" ref="I2650">_xlfn.XLOOKUP(FACT_IMPORTS[[#This Row],[country_name]],DIM_COUNTRY[[#All],[Column2]],DIM_COUNTRY[[#All],[Column3]],,,)</f>
        <v>China</v>
      </c>
    </row>
    <row r="2651" spans="1:9" x14ac:dyDescent="0.4">
      <c r="A2651" t="s">
        <v>66</v>
      </c>
      <c r="B2651" s="1">
        <v>45017</v>
      </c>
      <c r="C2651">
        <v>870870</v>
      </c>
      <c r="D2651" t="s">
        <v>176</v>
      </c>
      <c r="E2651">
        <v>50746472</v>
      </c>
      <c r="F2651">
        <v>2325286</v>
      </c>
      <c r="G2651">
        <v>2040231</v>
      </c>
      <c r="H2651">
        <f>_xlfn.XLOOKUP(FACT_IMPORTS[[#This Row],[hts_6]],DIM_PRODUCTS[hts_6],DIM_PRODUCTS[hts_4],,,)</f>
        <v>8708</v>
      </c>
      <c r="I2651" t="str" cm="1">
        <f t="array" ref="I2651">_xlfn.XLOOKUP(FACT_IMPORTS[[#This Row],[country_name]],DIM_COUNTRY[[#All],[Column2]],DIM_COUNTRY[[#All],[Column3]],,,)</f>
        <v>China</v>
      </c>
    </row>
    <row r="2652" spans="1:9" x14ac:dyDescent="0.4">
      <c r="A2652" t="s">
        <v>66</v>
      </c>
      <c r="B2652" s="1">
        <v>45017</v>
      </c>
      <c r="C2652">
        <v>870880</v>
      </c>
      <c r="D2652" t="s">
        <v>176</v>
      </c>
      <c r="E2652">
        <v>13384161</v>
      </c>
      <c r="F2652">
        <v>2661359</v>
      </c>
      <c r="G2652">
        <v>320362</v>
      </c>
      <c r="H2652">
        <f>_xlfn.XLOOKUP(FACT_IMPORTS[[#This Row],[hts_6]],DIM_PRODUCTS[hts_6],DIM_PRODUCTS[hts_4],,,)</f>
        <v>8708</v>
      </c>
      <c r="I2652" t="str" cm="1">
        <f t="array" ref="I2652">_xlfn.XLOOKUP(FACT_IMPORTS[[#This Row],[country_name]],DIM_COUNTRY[[#All],[Column2]],DIM_COUNTRY[[#All],[Column3]],,,)</f>
        <v>China</v>
      </c>
    </row>
    <row r="2653" spans="1:9" x14ac:dyDescent="0.4">
      <c r="A2653" t="s">
        <v>66</v>
      </c>
      <c r="B2653" s="1">
        <v>45017</v>
      </c>
      <c r="C2653">
        <v>870891</v>
      </c>
      <c r="D2653" t="s">
        <v>176</v>
      </c>
      <c r="E2653">
        <v>265467</v>
      </c>
      <c r="F2653">
        <v>2987</v>
      </c>
      <c r="G2653">
        <v>1681</v>
      </c>
      <c r="H2653">
        <f>_xlfn.XLOOKUP(FACT_IMPORTS[[#This Row],[hts_6]],DIM_PRODUCTS[hts_6],DIM_PRODUCTS[hts_4],,,)</f>
        <v>8708</v>
      </c>
      <c r="I2653" t="str" cm="1">
        <f t="array" ref="I2653">_xlfn.XLOOKUP(FACT_IMPORTS[[#This Row],[country_name]],DIM_COUNTRY[[#All],[Column2]],DIM_COUNTRY[[#All],[Column3]],,,)</f>
        <v>China</v>
      </c>
    </row>
    <row r="2654" spans="1:9" x14ac:dyDescent="0.4">
      <c r="A2654" t="s">
        <v>66</v>
      </c>
      <c r="B2654" s="1">
        <v>45017</v>
      </c>
      <c r="C2654">
        <v>870892</v>
      </c>
      <c r="D2654" t="s">
        <v>176</v>
      </c>
      <c r="E2654">
        <v>7538492</v>
      </c>
      <c r="F2654">
        <v>1163541</v>
      </c>
      <c r="G2654">
        <v>286526</v>
      </c>
      <c r="H2654">
        <f>_xlfn.XLOOKUP(FACT_IMPORTS[[#This Row],[hts_6]],DIM_PRODUCTS[hts_6],DIM_PRODUCTS[hts_4],,,)</f>
        <v>8708</v>
      </c>
      <c r="I2654" t="str" cm="1">
        <f t="array" ref="I2654">_xlfn.XLOOKUP(FACT_IMPORTS[[#This Row],[country_name]],DIM_COUNTRY[[#All],[Column2]],DIM_COUNTRY[[#All],[Column3]],,,)</f>
        <v>China</v>
      </c>
    </row>
    <row r="2655" spans="1:9" x14ac:dyDescent="0.4">
      <c r="A2655" t="s">
        <v>66</v>
      </c>
      <c r="B2655" s="1">
        <v>45017</v>
      </c>
      <c r="C2655">
        <v>870893</v>
      </c>
      <c r="D2655" t="s">
        <v>176</v>
      </c>
      <c r="E2655">
        <v>729227</v>
      </c>
      <c r="F2655">
        <v>382115</v>
      </c>
      <c r="G2655">
        <v>22089</v>
      </c>
      <c r="H2655">
        <f>_xlfn.XLOOKUP(FACT_IMPORTS[[#This Row],[hts_6]],DIM_PRODUCTS[hts_6],DIM_PRODUCTS[hts_4],,,)</f>
        <v>8708</v>
      </c>
      <c r="I2655" t="str" cm="1">
        <f t="array" ref="I2655">_xlfn.XLOOKUP(FACT_IMPORTS[[#This Row],[country_name]],DIM_COUNTRY[[#All],[Column2]],DIM_COUNTRY[[#All],[Column3]],,,)</f>
        <v>China</v>
      </c>
    </row>
    <row r="2656" spans="1:9" x14ac:dyDescent="0.4">
      <c r="A2656" t="s">
        <v>66</v>
      </c>
      <c r="B2656" s="1">
        <v>45017</v>
      </c>
      <c r="C2656">
        <v>870894</v>
      </c>
      <c r="D2656" t="s">
        <v>176</v>
      </c>
      <c r="E2656">
        <v>11156326</v>
      </c>
      <c r="F2656">
        <v>402039</v>
      </c>
      <c r="G2656">
        <v>1158758</v>
      </c>
      <c r="H2656">
        <f>_xlfn.XLOOKUP(FACT_IMPORTS[[#This Row],[hts_6]],DIM_PRODUCTS[hts_6],DIM_PRODUCTS[hts_4],,,)</f>
        <v>8708</v>
      </c>
      <c r="I2656" t="str" cm="1">
        <f t="array" ref="I2656">_xlfn.XLOOKUP(FACT_IMPORTS[[#This Row],[country_name]],DIM_COUNTRY[[#All],[Column2]],DIM_COUNTRY[[#All],[Column3]],,,)</f>
        <v>China</v>
      </c>
    </row>
    <row r="2657" spans="1:9" x14ac:dyDescent="0.4">
      <c r="A2657" t="s">
        <v>66</v>
      </c>
      <c r="B2657" s="1">
        <v>45017</v>
      </c>
      <c r="C2657">
        <v>870895</v>
      </c>
      <c r="D2657" t="s">
        <v>176</v>
      </c>
      <c r="E2657">
        <v>952136</v>
      </c>
      <c r="F2657">
        <v>40014</v>
      </c>
      <c r="G2657">
        <v>5187</v>
      </c>
      <c r="H2657">
        <f>_xlfn.XLOOKUP(FACT_IMPORTS[[#This Row],[hts_6]],DIM_PRODUCTS[hts_6],DIM_PRODUCTS[hts_4],,,)</f>
        <v>8708</v>
      </c>
      <c r="I2657" t="str" cm="1">
        <f t="array" ref="I2657">_xlfn.XLOOKUP(FACT_IMPORTS[[#This Row],[country_name]],DIM_COUNTRY[[#All],[Column2]],DIM_COUNTRY[[#All],[Column3]],,,)</f>
        <v>China</v>
      </c>
    </row>
    <row r="2658" spans="1:9" x14ac:dyDescent="0.4">
      <c r="A2658" t="s">
        <v>66</v>
      </c>
      <c r="B2658" s="1">
        <v>45017</v>
      </c>
      <c r="C2658">
        <v>870899</v>
      </c>
      <c r="D2658" t="s">
        <v>176</v>
      </c>
      <c r="E2658">
        <v>10602082</v>
      </c>
      <c r="F2658">
        <v>2422726</v>
      </c>
      <c r="G2658">
        <v>412813</v>
      </c>
      <c r="H2658">
        <f>_xlfn.XLOOKUP(FACT_IMPORTS[[#This Row],[hts_6]],DIM_PRODUCTS[hts_6],DIM_PRODUCTS[hts_4],,,)</f>
        <v>8708</v>
      </c>
      <c r="I2658" t="str" cm="1">
        <f t="array" ref="I2658">_xlfn.XLOOKUP(FACT_IMPORTS[[#This Row],[country_name]],DIM_COUNTRY[[#All],[Column2]],DIM_COUNTRY[[#All],[Column3]],,,)</f>
        <v>China</v>
      </c>
    </row>
    <row r="2659" spans="1:9" x14ac:dyDescent="0.4">
      <c r="A2659" t="s">
        <v>66</v>
      </c>
      <c r="B2659" s="1">
        <v>45017</v>
      </c>
      <c r="C2659">
        <v>940120</v>
      </c>
      <c r="D2659" t="s">
        <v>176</v>
      </c>
      <c r="E2659">
        <v>451</v>
      </c>
      <c r="F2659">
        <v>2</v>
      </c>
      <c r="G2659">
        <v>18</v>
      </c>
      <c r="H2659">
        <f>_xlfn.XLOOKUP(FACT_IMPORTS[[#This Row],[hts_6]],DIM_PRODUCTS[hts_6],DIM_PRODUCTS[hts_4],,,)</f>
        <v>9401</v>
      </c>
      <c r="I2659" t="str" cm="1">
        <f t="array" ref="I2659">_xlfn.XLOOKUP(FACT_IMPORTS[[#This Row],[country_name]],DIM_COUNTRY[[#All],[Column2]],DIM_COUNTRY[[#All],[Column3]],,,)</f>
        <v>China</v>
      </c>
    </row>
    <row r="2660" spans="1:9" x14ac:dyDescent="0.4">
      <c r="A2660" t="s">
        <v>66</v>
      </c>
      <c r="B2660" s="1">
        <v>45047</v>
      </c>
      <c r="C2660">
        <v>392630</v>
      </c>
      <c r="D2660" t="s">
        <v>176</v>
      </c>
      <c r="E2660">
        <v>8725494</v>
      </c>
      <c r="F2660">
        <v>342620</v>
      </c>
      <c r="G2660">
        <v>259440</v>
      </c>
      <c r="H2660">
        <f>_xlfn.XLOOKUP(FACT_IMPORTS[[#This Row],[hts_6]],DIM_PRODUCTS[hts_6],DIM_PRODUCTS[hts_4],,,)</f>
        <v>3926</v>
      </c>
      <c r="I2660" t="str" cm="1">
        <f t="array" ref="I2660">_xlfn.XLOOKUP(FACT_IMPORTS[[#This Row],[country_name]],DIM_COUNTRY[[#All],[Column2]],DIM_COUNTRY[[#All],[Column3]],,,)</f>
        <v>China</v>
      </c>
    </row>
    <row r="2661" spans="1:9" x14ac:dyDescent="0.4">
      <c r="A2661" t="s">
        <v>66</v>
      </c>
      <c r="B2661" s="1">
        <v>45047</v>
      </c>
      <c r="C2661">
        <v>401110</v>
      </c>
      <c r="D2661" t="s">
        <v>176</v>
      </c>
      <c r="E2661">
        <v>17325</v>
      </c>
      <c r="F2661">
        <v>165</v>
      </c>
      <c r="G2661">
        <v>76</v>
      </c>
      <c r="H2661">
        <f>_xlfn.XLOOKUP(FACT_IMPORTS[[#This Row],[hts_6]],DIM_PRODUCTS[hts_6],DIM_PRODUCTS[hts_4],,,)</f>
        <v>4011</v>
      </c>
      <c r="I2661" t="str" cm="1">
        <f t="array" ref="I2661">_xlfn.XLOOKUP(FACT_IMPORTS[[#This Row],[country_name]],DIM_COUNTRY[[#All],[Column2]],DIM_COUNTRY[[#All],[Column3]],,,)</f>
        <v>China</v>
      </c>
    </row>
    <row r="2662" spans="1:9" x14ac:dyDescent="0.4">
      <c r="A2662" t="s">
        <v>66</v>
      </c>
      <c r="B2662" s="1">
        <v>45047</v>
      </c>
      <c r="C2662">
        <v>401120</v>
      </c>
      <c r="D2662" t="s">
        <v>176</v>
      </c>
      <c r="E2662">
        <v>31781</v>
      </c>
      <c r="F2662">
        <v>548</v>
      </c>
      <c r="G2662">
        <v>6135</v>
      </c>
      <c r="H2662">
        <f>_xlfn.XLOOKUP(FACT_IMPORTS[[#This Row],[hts_6]],DIM_PRODUCTS[hts_6],DIM_PRODUCTS[hts_4],,,)</f>
        <v>4011</v>
      </c>
      <c r="I2662" t="str" cm="1">
        <f t="array" ref="I2662">_xlfn.XLOOKUP(FACT_IMPORTS[[#This Row],[country_name]],DIM_COUNTRY[[#All],[Column2]],DIM_COUNTRY[[#All],[Column3]],,,)</f>
        <v>China</v>
      </c>
    </row>
    <row r="2663" spans="1:9" x14ac:dyDescent="0.4">
      <c r="A2663" t="s">
        <v>66</v>
      </c>
      <c r="B2663" s="1">
        <v>45047</v>
      </c>
      <c r="C2663">
        <v>401140</v>
      </c>
      <c r="D2663" t="s">
        <v>176</v>
      </c>
      <c r="E2663">
        <v>3942</v>
      </c>
      <c r="F2663">
        <v>55</v>
      </c>
      <c r="G2663">
        <v>17</v>
      </c>
      <c r="H2663">
        <f>_xlfn.XLOOKUP(FACT_IMPORTS[[#This Row],[hts_6]],DIM_PRODUCTS[hts_6],DIM_PRODUCTS[hts_4],,,)</f>
        <v>4011</v>
      </c>
      <c r="I2663" t="str" cm="1">
        <f t="array" ref="I2663">_xlfn.XLOOKUP(FACT_IMPORTS[[#This Row],[country_name]],DIM_COUNTRY[[#All],[Column2]],DIM_COUNTRY[[#All],[Column3]],,,)</f>
        <v>China</v>
      </c>
    </row>
    <row r="2664" spans="1:9" x14ac:dyDescent="0.4">
      <c r="A2664" t="s">
        <v>66</v>
      </c>
      <c r="B2664" s="1">
        <v>45047</v>
      </c>
      <c r="C2664">
        <v>401190</v>
      </c>
      <c r="D2664" t="s">
        <v>176</v>
      </c>
      <c r="E2664">
        <v>338782</v>
      </c>
      <c r="F2664">
        <v>11395</v>
      </c>
      <c r="G2664">
        <v>31134</v>
      </c>
      <c r="H2664">
        <f>_xlfn.XLOOKUP(FACT_IMPORTS[[#This Row],[hts_6]],DIM_PRODUCTS[hts_6],DIM_PRODUCTS[hts_4],,,)</f>
        <v>4011</v>
      </c>
      <c r="I2664" t="str" cm="1">
        <f t="array" ref="I2664">_xlfn.XLOOKUP(FACT_IMPORTS[[#This Row],[country_name]],DIM_COUNTRY[[#All],[Column2]],DIM_COUNTRY[[#All],[Column3]],,,)</f>
        <v>China</v>
      </c>
    </row>
    <row r="2665" spans="1:9" x14ac:dyDescent="0.4">
      <c r="A2665" t="s">
        <v>66</v>
      </c>
      <c r="B2665" s="1">
        <v>45047</v>
      </c>
      <c r="C2665">
        <v>700711</v>
      </c>
      <c r="D2665" t="s">
        <v>176</v>
      </c>
      <c r="E2665">
        <v>1164212</v>
      </c>
      <c r="F2665">
        <v>76556</v>
      </c>
      <c r="G2665">
        <v>47461</v>
      </c>
      <c r="H2665">
        <f>_xlfn.XLOOKUP(FACT_IMPORTS[[#This Row],[hts_6]],DIM_PRODUCTS[hts_6],DIM_PRODUCTS[hts_4],,,)</f>
        <v>7007</v>
      </c>
      <c r="I2665" t="str" cm="1">
        <f t="array" ref="I2665">_xlfn.XLOOKUP(FACT_IMPORTS[[#This Row],[country_name]],DIM_COUNTRY[[#All],[Column2]],DIM_COUNTRY[[#All],[Column3]],,,)</f>
        <v>China</v>
      </c>
    </row>
    <row r="2666" spans="1:9" x14ac:dyDescent="0.4">
      <c r="A2666" t="s">
        <v>66</v>
      </c>
      <c r="B2666" s="1">
        <v>45047</v>
      </c>
      <c r="C2666">
        <v>700721</v>
      </c>
      <c r="D2666" t="s">
        <v>176</v>
      </c>
      <c r="E2666">
        <v>89003</v>
      </c>
      <c r="F2666">
        <v>7398</v>
      </c>
      <c r="G2666">
        <v>11821</v>
      </c>
      <c r="H2666">
        <f>_xlfn.XLOOKUP(FACT_IMPORTS[[#This Row],[hts_6]],DIM_PRODUCTS[hts_6],DIM_PRODUCTS[hts_4],,,)</f>
        <v>7007</v>
      </c>
      <c r="I2666" t="str" cm="1">
        <f t="array" ref="I2666">_xlfn.XLOOKUP(FACT_IMPORTS[[#This Row],[country_name]],DIM_COUNTRY[[#All],[Column2]],DIM_COUNTRY[[#All],[Column3]],,,)</f>
        <v>China</v>
      </c>
    </row>
    <row r="2667" spans="1:9" x14ac:dyDescent="0.4">
      <c r="A2667" t="s">
        <v>66</v>
      </c>
      <c r="B2667" s="1">
        <v>45047</v>
      </c>
      <c r="C2667">
        <v>700910</v>
      </c>
      <c r="D2667" t="s">
        <v>176</v>
      </c>
      <c r="E2667">
        <v>207449</v>
      </c>
      <c r="F2667">
        <v>182864</v>
      </c>
      <c r="G2667">
        <v>22487</v>
      </c>
      <c r="H2667">
        <f>_xlfn.XLOOKUP(FACT_IMPORTS[[#This Row],[hts_6]],DIM_PRODUCTS[hts_6],DIM_PRODUCTS[hts_4],,,)</f>
        <v>7009</v>
      </c>
      <c r="I2667" t="str" cm="1">
        <f t="array" ref="I2667">_xlfn.XLOOKUP(FACT_IMPORTS[[#This Row],[country_name]],DIM_COUNTRY[[#All],[Column2]],DIM_COUNTRY[[#All],[Column3]],,,)</f>
        <v>China</v>
      </c>
    </row>
    <row r="2668" spans="1:9" x14ac:dyDescent="0.4">
      <c r="A2668" t="s">
        <v>66</v>
      </c>
      <c r="B2668" s="1">
        <v>45047</v>
      </c>
      <c r="C2668">
        <v>732010</v>
      </c>
      <c r="D2668" t="s">
        <v>176</v>
      </c>
      <c r="E2668">
        <v>0</v>
      </c>
      <c r="F2668">
        <v>0</v>
      </c>
      <c r="G2668">
        <v>0</v>
      </c>
      <c r="H2668">
        <f>_xlfn.XLOOKUP(FACT_IMPORTS[[#This Row],[hts_6]],DIM_PRODUCTS[hts_6],DIM_PRODUCTS[hts_4],,,)</f>
        <v>7320</v>
      </c>
      <c r="I2668" t="str" cm="1">
        <f t="array" ref="I2668">_xlfn.XLOOKUP(FACT_IMPORTS[[#This Row],[country_name]],DIM_COUNTRY[[#All],[Column2]],DIM_COUNTRY[[#All],[Column3]],,,)</f>
        <v>China</v>
      </c>
    </row>
    <row r="2669" spans="1:9" x14ac:dyDescent="0.4">
      <c r="A2669" t="s">
        <v>66</v>
      </c>
      <c r="B2669" s="1">
        <v>45047</v>
      </c>
      <c r="C2669">
        <v>830230</v>
      </c>
      <c r="D2669" t="s">
        <v>176</v>
      </c>
      <c r="E2669">
        <v>4797923</v>
      </c>
      <c r="F2669">
        <v>999565</v>
      </c>
      <c r="G2669">
        <v>215690</v>
      </c>
      <c r="H2669">
        <f>_xlfn.XLOOKUP(FACT_IMPORTS[[#This Row],[hts_6]],DIM_PRODUCTS[hts_6],DIM_PRODUCTS[hts_4],,,)</f>
        <v>8302</v>
      </c>
      <c r="I2669" t="str" cm="1">
        <f t="array" ref="I2669">_xlfn.XLOOKUP(FACT_IMPORTS[[#This Row],[country_name]],DIM_COUNTRY[[#All],[Column2]],DIM_COUNTRY[[#All],[Column3]],,,)</f>
        <v>China</v>
      </c>
    </row>
    <row r="2670" spans="1:9" x14ac:dyDescent="0.4">
      <c r="A2670" t="s">
        <v>66</v>
      </c>
      <c r="B2670" s="1">
        <v>45047</v>
      </c>
      <c r="C2670">
        <v>840732</v>
      </c>
      <c r="D2670" t="s">
        <v>176</v>
      </c>
      <c r="E2670">
        <v>0</v>
      </c>
      <c r="F2670">
        <v>0</v>
      </c>
      <c r="G2670">
        <v>0</v>
      </c>
      <c r="H2670">
        <f>_xlfn.XLOOKUP(FACT_IMPORTS[[#This Row],[hts_6]],DIM_PRODUCTS[hts_6],DIM_PRODUCTS[hts_4],,,)</f>
        <v>8407</v>
      </c>
      <c r="I2670" t="str" cm="1">
        <f t="array" ref="I2670">_xlfn.XLOOKUP(FACT_IMPORTS[[#This Row],[country_name]],DIM_COUNTRY[[#All],[Column2]],DIM_COUNTRY[[#All],[Column3]],,,)</f>
        <v>China</v>
      </c>
    </row>
    <row r="2671" spans="1:9" x14ac:dyDescent="0.4">
      <c r="A2671" t="s">
        <v>66</v>
      </c>
      <c r="B2671" s="1">
        <v>45047</v>
      </c>
      <c r="C2671">
        <v>840733</v>
      </c>
      <c r="D2671" t="s">
        <v>176</v>
      </c>
      <c r="E2671">
        <v>0</v>
      </c>
      <c r="F2671">
        <v>0</v>
      </c>
      <c r="G2671">
        <v>0</v>
      </c>
      <c r="H2671">
        <f>_xlfn.XLOOKUP(FACT_IMPORTS[[#This Row],[hts_6]],DIM_PRODUCTS[hts_6],DIM_PRODUCTS[hts_4],,,)</f>
        <v>8407</v>
      </c>
      <c r="I2671" t="str" cm="1">
        <f t="array" ref="I2671">_xlfn.XLOOKUP(FACT_IMPORTS[[#This Row],[country_name]],DIM_COUNTRY[[#All],[Column2]],DIM_COUNTRY[[#All],[Column3]],,,)</f>
        <v>China</v>
      </c>
    </row>
    <row r="2672" spans="1:9" x14ac:dyDescent="0.4">
      <c r="A2672" t="s">
        <v>66</v>
      </c>
      <c r="B2672" s="1">
        <v>45047</v>
      </c>
      <c r="C2672">
        <v>840734</v>
      </c>
      <c r="D2672" t="s">
        <v>176</v>
      </c>
      <c r="E2672">
        <v>5736440</v>
      </c>
      <c r="F2672">
        <v>4032</v>
      </c>
      <c r="G2672">
        <v>11649</v>
      </c>
      <c r="H2672">
        <f>_xlfn.XLOOKUP(FACT_IMPORTS[[#This Row],[hts_6]],DIM_PRODUCTS[hts_6],DIM_PRODUCTS[hts_4],,,)</f>
        <v>8407</v>
      </c>
      <c r="I2672" t="str" cm="1">
        <f t="array" ref="I2672">_xlfn.XLOOKUP(FACT_IMPORTS[[#This Row],[country_name]],DIM_COUNTRY[[#All],[Column2]],DIM_COUNTRY[[#All],[Column3]],,,)</f>
        <v>China</v>
      </c>
    </row>
    <row r="2673" spans="1:9" x14ac:dyDescent="0.4">
      <c r="A2673" t="s">
        <v>66</v>
      </c>
      <c r="B2673" s="1">
        <v>45047</v>
      </c>
      <c r="C2673">
        <v>840790</v>
      </c>
      <c r="D2673" t="s">
        <v>176</v>
      </c>
      <c r="E2673">
        <v>0</v>
      </c>
      <c r="F2673">
        <v>0</v>
      </c>
      <c r="G2673">
        <v>0</v>
      </c>
      <c r="H2673">
        <f>_xlfn.XLOOKUP(FACT_IMPORTS[[#This Row],[hts_6]],DIM_PRODUCTS[hts_6],DIM_PRODUCTS[hts_4],,,)</f>
        <v>8407</v>
      </c>
      <c r="I2673" t="str" cm="1">
        <f t="array" ref="I2673">_xlfn.XLOOKUP(FACT_IMPORTS[[#This Row],[country_name]],DIM_COUNTRY[[#All],[Column2]],DIM_COUNTRY[[#All],[Column3]],,,)</f>
        <v>China</v>
      </c>
    </row>
    <row r="2674" spans="1:9" x14ac:dyDescent="0.4">
      <c r="A2674" t="s">
        <v>66</v>
      </c>
      <c r="B2674" s="1">
        <v>45047</v>
      </c>
      <c r="C2674">
        <v>840890</v>
      </c>
      <c r="D2674" t="s">
        <v>176</v>
      </c>
      <c r="E2674">
        <v>0</v>
      </c>
      <c r="F2674">
        <v>0</v>
      </c>
      <c r="G2674">
        <v>0</v>
      </c>
      <c r="H2674">
        <f>_xlfn.XLOOKUP(FACT_IMPORTS[[#This Row],[hts_6]],DIM_PRODUCTS[hts_6],DIM_PRODUCTS[hts_4],,,)</f>
        <v>8408</v>
      </c>
      <c r="I2674" t="str" cm="1">
        <f t="array" ref="I2674">_xlfn.XLOOKUP(FACT_IMPORTS[[#This Row],[country_name]],DIM_COUNTRY[[#All],[Column2]],DIM_COUNTRY[[#All],[Column3]],,,)</f>
        <v>China</v>
      </c>
    </row>
    <row r="2675" spans="1:9" x14ac:dyDescent="0.4">
      <c r="A2675" t="s">
        <v>66</v>
      </c>
      <c r="B2675" s="1">
        <v>45047</v>
      </c>
      <c r="C2675">
        <v>840991</v>
      </c>
      <c r="D2675" t="s">
        <v>176</v>
      </c>
      <c r="E2675">
        <v>13228970</v>
      </c>
      <c r="F2675">
        <v>2440515</v>
      </c>
      <c r="G2675">
        <v>475578</v>
      </c>
      <c r="H2675">
        <f>_xlfn.XLOOKUP(FACT_IMPORTS[[#This Row],[hts_6]],DIM_PRODUCTS[hts_6],DIM_PRODUCTS[hts_4],,,)</f>
        <v>8409</v>
      </c>
      <c r="I2675" t="str" cm="1">
        <f t="array" ref="I2675">_xlfn.XLOOKUP(FACT_IMPORTS[[#This Row],[country_name]],DIM_COUNTRY[[#All],[Column2]],DIM_COUNTRY[[#All],[Column3]],,,)</f>
        <v>China</v>
      </c>
    </row>
    <row r="2676" spans="1:9" x14ac:dyDescent="0.4">
      <c r="A2676" t="s">
        <v>66</v>
      </c>
      <c r="B2676" s="1">
        <v>45047</v>
      </c>
      <c r="C2676">
        <v>840999</v>
      </c>
      <c r="D2676" t="s">
        <v>176</v>
      </c>
      <c r="E2676">
        <v>3840417</v>
      </c>
      <c r="F2676">
        <v>500689</v>
      </c>
      <c r="G2676">
        <v>122315</v>
      </c>
      <c r="H2676">
        <f>_xlfn.XLOOKUP(FACT_IMPORTS[[#This Row],[hts_6]],DIM_PRODUCTS[hts_6],DIM_PRODUCTS[hts_4],,,)</f>
        <v>8409</v>
      </c>
      <c r="I2676" t="str" cm="1">
        <f t="array" ref="I2676">_xlfn.XLOOKUP(FACT_IMPORTS[[#This Row],[country_name]],DIM_COUNTRY[[#All],[Column2]],DIM_COUNTRY[[#All],[Column3]],,,)</f>
        <v>China</v>
      </c>
    </row>
    <row r="2677" spans="1:9" x14ac:dyDescent="0.4">
      <c r="A2677" t="s">
        <v>66</v>
      </c>
      <c r="B2677" s="1">
        <v>45047</v>
      </c>
      <c r="C2677">
        <v>841330</v>
      </c>
      <c r="D2677" t="s">
        <v>176</v>
      </c>
      <c r="E2677">
        <v>1377258</v>
      </c>
      <c r="F2677">
        <v>31868</v>
      </c>
      <c r="G2677">
        <v>23301</v>
      </c>
      <c r="H2677">
        <f>_xlfn.XLOOKUP(FACT_IMPORTS[[#This Row],[hts_6]],DIM_PRODUCTS[hts_6],DIM_PRODUCTS[hts_4],,,)</f>
        <v>8413</v>
      </c>
      <c r="I2677" t="str" cm="1">
        <f t="array" ref="I2677">_xlfn.XLOOKUP(FACT_IMPORTS[[#This Row],[country_name]],DIM_COUNTRY[[#All],[Column2]],DIM_COUNTRY[[#All],[Column3]],,,)</f>
        <v>China</v>
      </c>
    </row>
    <row r="2678" spans="1:9" x14ac:dyDescent="0.4">
      <c r="A2678" t="s">
        <v>66</v>
      </c>
      <c r="B2678" s="1">
        <v>45047</v>
      </c>
      <c r="C2678">
        <v>841520</v>
      </c>
      <c r="D2678" t="s">
        <v>176</v>
      </c>
      <c r="E2678">
        <v>0</v>
      </c>
      <c r="F2678">
        <v>0</v>
      </c>
      <c r="G2678">
        <v>0</v>
      </c>
      <c r="H2678">
        <f>_xlfn.XLOOKUP(FACT_IMPORTS[[#This Row],[hts_6]],DIM_PRODUCTS[hts_6],DIM_PRODUCTS[hts_4],,,)</f>
        <v>8415</v>
      </c>
      <c r="I2678" t="str" cm="1">
        <f t="array" ref="I2678">_xlfn.XLOOKUP(FACT_IMPORTS[[#This Row],[country_name]],DIM_COUNTRY[[#All],[Column2]],DIM_COUNTRY[[#All],[Column3]],,,)</f>
        <v>China</v>
      </c>
    </row>
    <row r="2679" spans="1:9" x14ac:dyDescent="0.4">
      <c r="A2679" t="s">
        <v>66</v>
      </c>
      <c r="B2679" s="1">
        <v>45047</v>
      </c>
      <c r="C2679">
        <v>842132</v>
      </c>
      <c r="D2679" t="s">
        <v>176</v>
      </c>
      <c r="E2679">
        <v>72885</v>
      </c>
      <c r="F2679">
        <v>18</v>
      </c>
      <c r="G2679">
        <v>88</v>
      </c>
      <c r="H2679">
        <f>_xlfn.XLOOKUP(FACT_IMPORTS[[#This Row],[hts_6]],DIM_PRODUCTS[hts_6],DIM_PRODUCTS[hts_4],,,)</f>
        <v>8421</v>
      </c>
      <c r="I2679" t="str" cm="1">
        <f t="array" ref="I2679">_xlfn.XLOOKUP(FACT_IMPORTS[[#This Row],[country_name]],DIM_COUNTRY[[#All],[Column2]],DIM_COUNTRY[[#All],[Column3]],,,)</f>
        <v>China</v>
      </c>
    </row>
    <row r="2680" spans="1:9" x14ac:dyDescent="0.4">
      <c r="A2680" t="s">
        <v>66</v>
      </c>
      <c r="B2680" s="1">
        <v>45047</v>
      </c>
      <c r="C2680">
        <v>848210</v>
      </c>
      <c r="D2680" t="s">
        <v>176</v>
      </c>
      <c r="E2680">
        <v>806406</v>
      </c>
      <c r="F2680">
        <v>554860</v>
      </c>
      <c r="G2680">
        <v>34385</v>
      </c>
      <c r="H2680">
        <f>_xlfn.XLOOKUP(FACT_IMPORTS[[#This Row],[hts_6]],DIM_PRODUCTS[hts_6],DIM_PRODUCTS[hts_4],,,)</f>
        <v>8482</v>
      </c>
      <c r="I2680" t="str" cm="1">
        <f t="array" ref="I2680">_xlfn.XLOOKUP(FACT_IMPORTS[[#This Row],[country_name]],DIM_COUNTRY[[#All],[Column2]],DIM_COUNTRY[[#All],[Column3]],,,)</f>
        <v>China</v>
      </c>
    </row>
    <row r="2681" spans="1:9" x14ac:dyDescent="0.4">
      <c r="A2681" t="s">
        <v>66</v>
      </c>
      <c r="B2681" s="1">
        <v>45047</v>
      </c>
      <c r="C2681">
        <v>848220</v>
      </c>
      <c r="D2681" t="s">
        <v>176</v>
      </c>
      <c r="E2681">
        <v>0</v>
      </c>
      <c r="F2681">
        <v>0</v>
      </c>
      <c r="G2681">
        <v>0</v>
      </c>
      <c r="H2681">
        <f>_xlfn.XLOOKUP(FACT_IMPORTS[[#This Row],[hts_6]],DIM_PRODUCTS[hts_6],DIM_PRODUCTS[hts_4],,,)</f>
        <v>8482</v>
      </c>
      <c r="I2681" t="str" cm="1">
        <f t="array" ref="I2681">_xlfn.XLOOKUP(FACT_IMPORTS[[#This Row],[country_name]],DIM_COUNTRY[[#All],[Column2]],DIM_COUNTRY[[#All],[Column3]],,,)</f>
        <v>China</v>
      </c>
    </row>
    <row r="2682" spans="1:9" x14ac:dyDescent="0.4">
      <c r="A2682" t="s">
        <v>66</v>
      </c>
      <c r="B2682" s="1">
        <v>45047</v>
      </c>
      <c r="C2682">
        <v>848310</v>
      </c>
      <c r="D2682" t="s">
        <v>176</v>
      </c>
      <c r="E2682">
        <v>3465724</v>
      </c>
      <c r="F2682">
        <v>199491</v>
      </c>
      <c r="G2682">
        <v>103207</v>
      </c>
      <c r="H2682">
        <f>_xlfn.XLOOKUP(FACT_IMPORTS[[#This Row],[hts_6]],DIM_PRODUCTS[hts_6],DIM_PRODUCTS[hts_4],,,)</f>
        <v>8483</v>
      </c>
      <c r="I2682" t="str" cm="1">
        <f t="array" ref="I2682">_xlfn.XLOOKUP(FACT_IMPORTS[[#This Row],[country_name]],DIM_COUNTRY[[#All],[Column2]],DIM_COUNTRY[[#All],[Column3]],,,)</f>
        <v>China</v>
      </c>
    </row>
    <row r="2683" spans="1:9" x14ac:dyDescent="0.4">
      <c r="A2683" t="s">
        <v>66</v>
      </c>
      <c r="B2683" s="1">
        <v>45047</v>
      </c>
      <c r="C2683">
        <v>850131</v>
      </c>
      <c r="D2683" t="s">
        <v>176</v>
      </c>
      <c r="E2683">
        <v>3348113</v>
      </c>
      <c r="F2683">
        <v>446089</v>
      </c>
      <c r="G2683">
        <v>8214</v>
      </c>
      <c r="H2683">
        <f>_xlfn.XLOOKUP(FACT_IMPORTS[[#This Row],[hts_6]],DIM_PRODUCTS[hts_6],DIM_PRODUCTS[hts_4],,,)</f>
        <v>8501</v>
      </c>
      <c r="I2683" t="str" cm="1">
        <f t="array" ref="I2683">_xlfn.XLOOKUP(FACT_IMPORTS[[#This Row],[country_name]],DIM_COUNTRY[[#All],[Column2]],DIM_COUNTRY[[#All],[Column3]],,,)</f>
        <v>China</v>
      </c>
    </row>
    <row r="2684" spans="1:9" x14ac:dyDescent="0.4">
      <c r="A2684" t="s">
        <v>66</v>
      </c>
      <c r="B2684" s="1">
        <v>45047</v>
      </c>
      <c r="C2684">
        <v>850132</v>
      </c>
      <c r="D2684" t="s">
        <v>176</v>
      </c>
      <c r="E2684">
        <v>116450</v>
      </c>
      <c r="F2684">
        <v>370</v>
      </c>
      <c r="G2684">
        <v>1249</v>
      </c>
      <c r="H2684">
        <f>_xlfn.XLOOKUP(FACT_IMPORTS[[#This Row],[hts_6]],DIM_PRODUCTS[hts_6],DIM_PRODUCTS[hts_4],,,)</f>
        <v>8501</v>
      </c>
      <c r="I2684" t="str" cm="1">
        <f t="array" ref="I2684">_xlfn.XLOOKUP(FACT_IMPORTS[[#This Row],[country_name]],DIM_COUNTRY[[#All],[Column2]],DIM_COUNTRY[[#All],[Column3]],,,)</f>
        <v>China</v>
      </c>
    </row>
    <row r="2685" spans="1:9" x14ac:dyDescent="0.4">
      <c r="A2685" t="s">
        <v>66</v>
      </c>
      <c r="B2685" s="1">
        <v>45047</v>
      </c>
      <c r="C2685">
        <v>850133</v>
      </c>
      <c r="D2685" t="s">
        <v>176</v>
      </c>
      <c r="E2685">
        <v>0</v>
      </c>
      <c r="F2685">
        <v>0</v>
      </c>
      <c r="G2685">
        <v>0</v>
      </c>
      <c r="H2685">
        <f>_xlfn.XLOOKUP(FACT_IMPORTS[[#This Row],[hts_6]],DIM_PRODUCTS[hts_6],DIM_PRODUCTS[hts_4],,,)</f>
        <v>8501</v>
      </c>
      <c r="I2685" t="str" cm="1">
        <f t="array" ref="I2685">_xlfn.XLOOKUP(FACT_IMPORTS[[#This Row],[country_name]],DIM_COUNTRY[[#All],[Column2]],DIM_COUNTRY[[#All],[Column3]],,,)</f>
        <v>China</v>
      </c>
    </row>
    <row r="2686" spans="1:9" x14ac:dyDescent="0.4">
      <c r="A2686" t="s">
        <v>66</v>
      </c>
      <c r="B2686" s="1">
        <v>45047</v>
      </c>
      <c r="C2686">
        <v>850152</v>
      </c>
      <c r="D2686" t="s">
        <v>176</v>
      </c>
      <c r="E2686">
        <v>425974</v>
      </c>
      <c r="F2686">
        <v>998</v>
      </c>
      <c r="G2686">
        <v>32370</v>
      </c>
      <c r="H2686">
        <f>_xlfn.XLOOKUP(FACT_IMPORTS[[#This Row],[hts_6]],DIM_PRODUCTS[hts_6],DIM_PRODUCTS[hts_4],,,)</f>
        <v>8501</v>
      </c>
      <c r="I2686" t="str" cm="1">
        <f t="array" ref="I2686">_xlfn.XLOOKUP(FACT_IMPORTS[[#This Row],[country_name]],DIM_COUNTRY[[#All],[Column2]],DIM_COUNTRY[[#All],[Column3]],,,)</f>
        <v>China</v>
      </c>
    </row>
    <row r="2687" spans="1:9" x14ac:dyDescent="0.4">
      <c r="A2687" t="s">
        <v>66</v>
      </c>
      <c r="B2687" s="1">
        <v>45047</v>
      </c>
      <c r="C2687">
        <v>850153</v>
      </c>
      <c r="D2687" t="s">
        <v>176</v>
      </c>
      <c r="E2687">
        <v>103000</v>
      </c>
      <c r="F2687">
        <v>10</v>
      </c>
      <c r="G2687">
        <v>1368</v>
      </c>
      <c r="H2687">
        <f>_xlfn.XLOOKUP(FACT_IMPORTS[[#This Row],[hts_6]],DIM_PRODUCTS[hts_6],DIM_PRODUCTS[hts_4],,,)</f>
        <v>8501</v>
      </c>
      <c r="I2687" t="str" cm="1">
        <f t="array" ref="I2687">_xlfn.XLOOKUP(FACT_IMPORTS[[#This Row],[country_name]],DIM_COUNTRY[[#All],[Column2]],DIM_COUNTRY[[#All],[Column3]],,,)</f>
        <v>China</v>
      </c>
    </row>
    <row r="2688" spans="1:9" x14ac:dyDescent="0.4">
      <c r="A2688" t="s">
        <v>66</v>
      </c>
      <c r="B2688" s="1">
        <v>45047</v>
      </c>
      <c r="C2688">
        <v>850161</v>
      </c>
      <c r="D2688" t="s">
        <v>176</v>
      </c>
      <c r="E2688">
        <v>4041</v>
      </c>
      <c r="F2688">
        <v>3</v>
      </c>
      <c r="G2688">
        <v>6</v>
      </c>
      <c r="H2688">
        <f>_xlfn.XLOOKUP(FACT_IMPORTS[[#This Row],[hts_6]],DIM_PRODUCTS[hts_6],DIM_PRODUCTS[hts_4],,,)</f>
        <v>8501</v>
      </c>
      <c r="I2688" t="str" cm="1">
        <f t="array" ref="I2688">_xlfn.XLOOKUP(FACT_IMPORTS[[#This Row],[country_name]],DIM_COUNTRY[[#All],[Column2]],DIM_COUNTRY[[#All],[Column3]],,,)</f>
        <v>China</v>
      </c>
    </row>
    <row r="2689" spans="1:9" x14ac:dyDescent="0.4">
      <c r="A2689" t="s">
        <v>66</v>
      </c>
      <c r="B2689" s="1">
        <v>45047</v>
      </c>
      <c r="C2689">
        <v>850440</v>
      </c>
      <c r="D2689" t="s">
        <v>176</v>
      </c>
      <c r="E2689">
        <v>694341</v>
      </c>
      <c r="F2689">
        <v>39976</v>
      </c>
      <c r="G2689">
        <v>24959</v>
      </c>
      <c r="H2689">
        <f>_xlfn.XLOOKUP(FACT_IMPORTS[[#This Row],[hts_6]],DIM_PRODUCTS[hts_6],DIM_PRODUCTS[hts_4],,,)</f>
        <v>8504</v>
      </c>
      <c r="I2689" t="str" cm="1">
        <f t="array" ref="I2689">_xlfn.XLOOKUP(FACT_IMPORTS[[#This Row],[country_name]],DIM_COUNTRY[[#All],[Column2]],DIM_COUNTRY[[#All],[Column3]],,,)</f>
        <v>China</v>
      </c>
    </row>
    <row r="2690" spans="1:9" x14ac:dyDescent="0.4">
      <c r="A2690" t="s">
        <v>66</v>
      </c>
      <c r="B2690" s="1">
        <v>45047</v>
      </c>
      <c r="C2690">
        <v>850710</v>
      </c>
      <c r="D2690" t="s">
        <v>176</v>
      </c>
      <c r="E2690">
        <v>120286</v>
      </c>
      <c r="F2690">
        <v>3233</v>
      </c>
      <c r="G2690">
        <v>2519</v>
      </c>
      <c r="H2690">
        <f>_xlfn.XLOOKUP(FACT_IMPORTS[[#This Row],[hts_6]],DIM_PRODUCTS[hts_6],DIM_PRODUCTS[hts_4],,,)</f>
        <v>8507</v>
      </c>
      <c r="I2690" t="str" cm="1">
        <f t="array" ref="I2690">_xlfn.XLOOKUP(FACT_IMPORTS[[#This Row],[country_name]],DIM_COUNTRY[[#All],[Column2]],DIM_COUNTRY[[#All],[Column3]],,,)</f>
        <v>China</v>
      </c>
    </row>
    <row r="2691" spans="1:9" x14ac:dyDescent="0.4">
      <c r="A2691" t="s">
        <v>66</v>
      </c>
      <c r="B2691" s="1">
        <v>45047</v>
      </c>
      <c r="C2691">
        <v>850760</v>
      </c>
      <c r="D2691" t="s">
        <v>176</v>
      </c>
      <c r="E2691">
        <v>1089578</v>
      </c>
      <c r="F2691">
        <v>12998</v>
      </c>
      <c r="G2691">
        <v>4251</v>
      </c>
      <c r="H2691">
        <f>_xlfn.XLOOKUP(FACT_IMPORTS[[#This Row],[hts_6]],DIM_PRODUCTS[hts_6],DIM_PRODUCTS[hts_4],,,)</f>
        <v>8507</v>
      </c>
      <c r="I2691" t="str" cm="1">
        <f t="array" ref="I2691">_xlfn.XLOOKUP(FACT_IMPORTS[[#This Row],[country_name]],DIM_COUNTRY[[#All],[Column2]],DIM_COUNTRY[[#All],[Column3]],,,)</f>
        <v>China</v>
      </c>
    </row>
    <row r="2692" spans="1:9" x14ac:dyDescent="0.4">
      <c r="A2692" t="s">
        <v>66</v>
      </c>
      <c r="B2692" s="1">
        <v>45047</v>
      </c>
      <c r="C2692">
        <v>850790</v>
      </c>
      <c r="D2692" t="s">
        <v>176</v>
      </c>
      <c r="E2692">
        <v>89556</v>
      </c>
      <c r="F2692">
        <v>1682</v>
      </c>
      <c r="G2692">
        <v>5301</v>
      </c>
      <c r="H2692">
        <f>_xlfn.XLOOKUP(FACT_IMPORTS[[#This Row],[hts_6]],DIM_PRODUCTS[hts_6],DIM_PRODUCTS[hts_4],,,)</f>
        <v>8507</v>
      </c>
      <c r="I2692" t="str" cm="1">
        <f t="array" ref="I2692">_xlfn.XLOOKUP(FACT_IMPORTS[[#This Row],[country_name]],DIM_COUNTRY[[#All],[Column2]],DIM_COUNTRY[[#All],[Column3]],,,)</f>
        <v>China</v>
      </c>
    </row>
    <row r="2693" spans="1:9" x14ac:dyDescent="0.4">
      <c r="A2693" t="s">
        <v>66</v>
      </c>
      <c r="B2693" s="1">
        <v>45047</v>
      </c>
      <c r="C2693">
        <v>851110</v>
      </c>
      <c r="D2693" t="s">
        <v>176</v>
      </c>
      <c r="E2693">
        <v>0</v>
      </c>
      <c r="F2693">
        <v>0</v>
      </c>
      <c r="G2693">
        <v>0</v>
      </c>
      <c r="H2693">
        <f>_xlfn.XLOOKUP(FACT_IMPORTS[[#This Row],[hts_6]],DIM_PRODUCTS[hts_6],DIM_PRODUCTS[hts_4],,,)</f>
        <v>8511</v>
      </c>
      <c r="I2693" t="str" cm="1">
        <f t="array" ref="I2693">_xlfn.XLOOKUP(FACT_IMPORTS[[#This Row],[country_name]],DIM_COUNTRY[[#All],[Column2]],DIM_COUNTRY[[#All],[Column3]],,,)</f>
        <v>China</v>
      </c>
    </row>
    <row r="2694" spans="1:9" x14ac:dyDescent="0.4">
      <c r="A2694" t="s">
        <v>66</v>
      </c>
      <c r="B2694" s="1">
        <v>45047</v>
      </c>
      <c r="C2694">
        <v>851130</v>
      </c>
      <c r="D2694" t="s">
        <v>176</v>
      </c>
      <c r="E2694">
        <v>51611</v>
      </c>
      <c r="F2694">
        <v>1759</v>
      </c>
      <c r="G2694">
        <v>67</v>
      </c>
      <c r="H2694">
        <f>_xlfn.XLOOKUP(FACT_IMPORTS[[#This Row],[hts_6]],DIM_PRODUCTS[hts_6],DIM_PRODUCTS[hts_4],,,)</f>
        <v>8511</v>
      </c>
      <c r="I2694" t="str" cm="1">
        <f t="array" ref="I2694">_xlfn.XLOOKUP(FACT_IMPORTS[[#This Row],[country_name]],DIM_COUNTRY[[#All],[Column2]],DIM_COUNTRY[[#All],[Column3]],,,)</f>
        <v>China</v>
      </c>
    </row>
    <row r="2695" spans="1:9" x14ac:dyDescent="0.4">
      <c r="A2695" t="s">
        <v>66</v>
      </c>
      <c r="B2695" s="1">
        <v>45047</v>
      </c>
      <c r="C2695">
        <v>851140</v>
      </c>
      <c r="D2695" t="s">
        <v>176</v>
      </c>
      <c r="E2695">
        <v>775754</v>
      </c>
      <c r="F2695">
        <v>11154</v>
      </c>
      <c r="G2695">
        <v>1587</v>
      </c>
      <c r="H2695">
        <f>_xlfn.XLOOKUP(FACT_IMPORTS[[#This Row],[hts_6]],DIM_PRODUCTS[hts_6],DIM_PRODUCTS[hts_4],,,)</f>
        <v>8511</v>
      </c>
      <c r="I2695" t="str" cm="1">
        <f t="array" ref="I2695">_xlfn.XLOOKUP(FACT_IMPORTS[[#This Row],[country_name]],DIM_COUNTRY[[#All],[Column2]],DIM_COUNTRY[[#All],[Column3]],,,)</f>
        <v>China</v>
      </c>
    </row>
    <row r="2696" spans="1:9" x14ac:dyDescent="0.4">
      <c r="A2696" t="s">
        <v>66</v>
      </c>
      <c r="B2696" s="1">
        <v>45047</v>
      </c>
      <c r="C2696">
        <v>851150</v>
      </c>
      <c r="D2696" t="s">
        <v>176</v>
      </c>
      <c r="E2696">
        <v>381714</v>
      </c>
      <c r="F2696">
        <v>6437</v>
      </c>
      <c r="G2696">
        <v>2063</v>
      </c>
      <c r="H2696">
        <f>_xlfn.XLOOKUP(FACT_IMPORTS[[#This Row],[hts_6]],DIM_PRODUCTS[hts_6],DIM_PRODUCTS[hts_4],,,)</f>
        <v>8511</v>
      </c>
      <c r="I2696" t="str" cm="1">
        <f t="array" ref="I2696">_xlfn.XLOOKUP(FACT_IMPORTS[[#This Row],[country_name]],DIM_COUNTRY[[#All],[Column2]],DIM_COUNTRY[[#All],[Column3]],,,)</f>
        <v>China</v>
      </c>
    </row>
    <row r="2697" spans="1:9" x14ac:dyDescent="0.4">
      <c r="A2697" t="s">
        <v>66</v>
      </c>
      <c r="B2697" s="1">
        <v>45047</v>
      </c>
      <c r="C2697">
        <v>851180</v>
      </c>
      <c r="D2697" t="s">
        <v>176</v>
      </c>
      <c r="E2697">
        <v>4346</v>
      </c>
      <c r="F2697">
        <v>136</v>
      </c>
      <c r="G2697">
        <v>42</v>
      </c>
      <c r="H2697">
        <f>_xlfn.XLOOKUP(FACT_IMPORTS[[#This Row],[hts_6]],DIM_PRODUCTS[hts_6],DIM_PRODUCTS[hts_4],,,)</f>
        <v>8511</v>
      </c>
      <c r="I2697" t="str" cm="1">
        <f t="array" ref="I2697">_xlfn.XLOOKUP(FACT_IMPORTS[[#This Row],[country_name]],DIM_COUNTRY[[#All],[Column2]],DIM_COUNTRY[[#All],[Column3]],,,)</f>
        <v>China</v>
      </c>
    </row>
    <row r="2698" spans="1:9" x14ac:dyDescent="0.4">
      <c r="A2698" t="s">
        <v>66</v>
      </c>
      <c r="B2698" s="1">
        <v>45047</v>
      </c>
      <c r="C2698">
        <v>851190</v>
      </c>
      <c r="D2698" t="s">
        <v>176</v>
      </c>
      <c r="E2698">
        <v>94612</v>
      </c>
      <c r="F2698">
        <v>1373</v>
      </c>
      <c r="G2698">
        <v>4781</v>
      </c>
      <c r="H2698">
        <f>_xlfn.XLOOKUP(FACT_IMPORTS[[#This Row],[hts_6]],DIM_PRODUCTS[hts_6],DIM_PRODUCTS[hts_4],,,)</f>
        <v>8511</v>
      </c>
      <c r="I2698" t="str" cm="1">
        <f t="array" ref="I2698">_xlfn.XLOOKUP(FACT_IMPORTS[[#This Row],[country_name]],DIM_COUNTRY[[#All],[Column2]],DIM_COUNTRY[[#All],[Column3]],,,)</f>
        <v>China</v>
      </c>
    </row>
    <row r="2699" spans="1:9" x14ac:dyDescent="0.4">
      <c r="A2699" t="s">
        <v>66</v>
      </c>
      <c r="B2699" s="1">
        <v>45047</v>
      </c>
      <c r="C2699">
        <v>851220</v>
      </c>
      <c r="D2699" t="s">
        <v>176</v>
      </c>
      <c r="E2699">
        <v>4952547</v>
      </c>
      <c r="F2699">
        <v>1364939</v>
      </c>
      <c r="G2699">
        <v>169049</v>
      </c>
      <c r="H2699">
        <f>_xlfn.XLOOKUP(FACT_IMPORTS[[#This Row],[hts_6]],DIM_PRODUCTS[hts_6],DIM_PRODUCTS[hts_4],,,)</f>
        <v>8512</v>
      </c>
      <c r="I2699" t="str" cm="1">
        <f t="array" ref="I2699">_xlfn.XLOOKUP(FACT_IMPORTS[[#This Row],[country_name]],DIM_COUNTRY[[#All],[Column2]],DIM_COUNTRY[[#All],[Column3]],,,)</f>
        <v>China</v>
      </c>
    </row>
    <row r="2700" spans="1:9" x14ac:dyDescent="0.4">
      <c r="A2700" t="s">
        <v>66</v>
      </c>
      <c r="B2700" s="1">
        <v>45047</v>
      </c>
      <c r="C2700">
        <v>851230</v>
      </c>
      <c r="D2700" t="s">
        <v>176</v>
      </c>
      <c r="E2700">
        <v>98402</v>
      </c>
      <c r="F2700">
        <v>35990</v>
      </c>
      <c r="G2700">
        <v>5966</v>
      </c>
      <c r="H2700">
        <f>_xlfn.XLOOKUP(FACT_IMPORTS[[#This Row],[hts_6]],DIM_PRODUCTS[hts_6],DIM_PRODUCTS[hts_4],,,)</f>
        <v>8512</v>
      </c>
      <c r="I2700" t="str" cm="1">
        <f t="array" ref="I2700">_xlfn.XLOOKUP(FACT_IMPORTS[[#This Row],[country_name]],DIM_COUNTRY[[#All],[Column2]],DIM_COUNTRY[[#All],[Column3]],,,)</f>
        <v>China</v>
      </c>
    </row>
    <row r="2701" spans="1:9" x14ac:dyDescent="0.4">
      <c r="A2701" t="s">
        <v>66</v>
      </c>
      <c r="B2701" s="1">
        <v>45047</v>
      </c>
      <c r="C2701">
        <v>851240</v>
      </c>
      <c r="D2701" t="s">
        <v>176</v>
      </c>
      <c r="E2701">
        <v>0</v>
      </c>
      <c r="F2701">
        <v>0</v>
      </c>
      <c r="G2701">
        <v>0</v>
      </c>
      <c r="H2701">
        <f>_xlfn.XLOOKUP(FACT_IMPORTS[[#This Row],[hts_6]],DIM_PRODUCTS[hts_6],DIM_PRODUCTS[hts_4],,,)</f>
        <v>8512</v>
      </c>
      <c r="I2701" t="str" cm="1">
        <f t="array" ref="I2701">_xlfn.XLOOKUP(FACT_IMPORTS[[#This Row],[country_name]],DIM_COUNTRY[[#All],[Column2]],DIM_COUNTRY[[#All],[Column3]],,,)</f>
        <v>China</v>
      </c>
    </row>
    <row r="2702" spans="1:9" x14ac:dyDescent="0.4">
      <c r="A2702" t="s">
        <v>66</v>
      </c>
      <c r="B2702" s="1">
        <v>45047</v>
      </c>
      <c r="C2702">
        <v>851290</v>
      </c>
      <c r="D2702" t="s">
        <v>176</v>
      </c>
      <c r="E2702">
        <v>509584</v>
      </c>
      <c r="F2702">
        <v>6631</v>
      </c>
      <c r="G2702">
        <v>9686</v>
      </c>
      <c r="H2702">
        <f>_xlfn.XLOOKUP(FACT_IMPORTS[[#This Row],[hts_6]],DIM_PRODUCTS[hts_6],DIM_PRODUCTS[hts_4],,,)</f>
        <v>8512</v>
      </c>
      <c r="I2702" t="str" cm="1">
        <f t="array" ref="I2702">_xlfn.XLOOKUP(FACT_IMPORTS[[#This Row],[country_name]],DIM_COUNTRY[[#All],[Column2]],DIM_COUNTRY[[#All],[Column3]],,,)</f>
        <v>China</v>
      </c>
    </row>
    <row r="2703" spans="1:9" x14ac:dyDescent="0.4">
      <c r="A2703" t="s">
        <v>66</v>
      </c>
      <c r="B2703" s="1">
        <v>45047</v>
      </c>
      <c r="C2703">
        <v>854231</v>
      </c>
      <c r="D2703" t="s">
        <v>176</v>
      </c>
      <c r="E2703">
        <v>552835</v>
      </c>
      <c r="F2703">
        <v>193000</v>
      </c>
      <c r="G2703">
        <v>52753</v>
      </c>
      <c r="H2703">
        <f>_xlfn.XLOOKUP(FACT_IMPORTS[[#This Row],[hts_6]],DIM_PRODUCTS[hts_6],DIM_PRODUCTS[hts_4],,,)</f>
        <v>8542</v>
      </c>
      <c r="I2703" t="str" cm="1">
        <f t="array" ref="I2703">_xlfn.XLOOKUP(FACT_IMPORTS[[#This Row],[country_name]],DIM_COUNTRY[[#All],[Column2]],DIM_COUNTRY[[#All],[Column3]],,,)</f>
        <v>China</v>
      </c>
    </row>
    <row r="2704" spans="1:9" x14ac:dyDescent="0.4">
      <c r="A2704" t="s">
        <v>66</v>
      </c>
      <c r="B2704" s="1">
        <v>45047</v>
      </c>
      <c r="C2704">
        <v>854232</v>
      </c>
      <c r="D2704" t="s">
        <v>176</v>
      </c>
      <c r="E2704">
        <v>0</v>
      </c>
      <c r="F2704">
        <v>0</v>
      </c>
      <c r="G2704">
        <v>0</v>
      </c>
      <c r="H2704">
        <f>_xlfn.XLOOKUP(FACT_IMPORTS[[#This Row],[hts_6]],DIM_PRODUCTS[hts_6],DIM_PRODUCTS[hts_4],,,)</f>
        <v>8542</v>
      </c>
      <c r="I2704" t="str" cm="1">
        <f t="array" ref="I2704">_xlfn.XLOOKUP(FACT_IMPORTS[[#This Row],[country_name]],DIM_COUNTRY[[#All],[Column2]],DIM_COUNTRY[[#All],[Column3]],,,)</f>
        <v>China</v>
      </c>
    </row>
    <row r="2705" spans="1:9" x14ac:dyDescent="0.4">
      <c r="A2705" t="s">
        <v>66</v>
      </c>
      <c r="B2705" s="1">
        <v>45047</v>
      </c>
      <c r="C2705">
        <v>854233</v>
      </c>
      <c r="D2705" t="s">
        <v>176</v>
      </c>
      <c r="E2705">
        <v>0</v>
      </c>
      <c r="F2705">
        <v>0</v>
      </c>
      <c r="G2705">
        <v>0</v>
      </c>
      <c r="H2705">
        <f>_xlfn.XLOOKUP(FACT_IMPORTS[[#This Row],[hts_6]],DIM_PRODUCTS[hts_6],DIM_PRODUCTS[hts_4],,,)</f>
        <v>8542</v>
      </c>
      <c r="I2705" t="str" cm="1">
        <f t="array" ref="I2705">_xlfn.XLOOKUP(FACT_IMPORTS[[#This Row],[country_name]],DIM_COUNTRY[[#All],[Column2]],DIM_COUNTRY[[#All],[Column3]],,,)</f>
        <v>China</v>
      </c>
    </row>
    <row r="2706" spans="1:9" x14ac:dyDescent="0.4">
      <c r="A2706" t="s">
        <v>66</v>
      </c>
      <c r="B2706" s="1">
        <v>45047</v>
      </c>
      <c r="C2706">
        <v>854239</v>
      </c>
      <c r="D2706" t="s">
        <v>176</v>
      </c>
      <c r="E2706">
        <v>1140942</v>
      </c>
      <c r="F2706">
        <v>781600</v>
      </c>
      <c r="G2706">
        <v>111335</v>
      </c>
      <c r="H2706">
        <f>_xlfn.XLOOKUP(FACT_IMPORTS[[#This Row],[hts_6]],DIM_PRODUCTS[hts_6],DIM_PRODUCTS[hts_4],,,)</f>
        <v>8542</v>
      </c>
      <c r="I2706" t="str" cm="1">
        <f t="array" ref="I2706">_xlfn.XLOOKUP(FACT_IMPORTS[[#This Row],[country_name]],DIM_COUNTRY[[#All],[Column2]],DIM_COUNTRY[[#All],[Column3]],,,)</f>
        <v>China</v>
      </c>
    </row>
    <row r="2707" spans="1:9" x14ac:dyDescent="0.4">
      <c r="A2707" t="s">
        <v>66</v>
      </c>
      <c r="B2707" s="1">
        <v>45047</v>
      </c>
      <c r="C2707">
        <v>854290</v>
      </c>
      <c r="D2707" t="s">
        <v>176</v>
      </c>
      <c r="E2707">
        <v>7754</v>
      </c>
      <c r="F2707">
        <v>58</v>
      </c>
      <c r="G2707">
        <v>50</v>
      </c>
      <c r="H2707">
        <f>_xlfn.XLOOKUP(FACT_IMPORTS[[#This Row],[hts_6]],DIM_PRODUCTS[hts_6],DIM_PRODUCTS[hts_4],,,)</f>
        <v>8542</v>
      </c>
      <c r="I2707" t="str" cm="1">
        <f t="array" ref="I2707">_xlfn.XLOOKUP(FACT_IMPORTS[[#This Row],[country_name]],DIM_COUNTRY[[#All],[Column2]],DIM_COUNTRY[[#All],[Column3]],,,)</f>
        <v>China</v>
      </c>
    </row>
    <row r="2708" spans="1:9" x14ac:dyDescent="0.4">
      <c r="A2708" t="s">
        <v>66</v>
      </c>
      <c r="B2708" s="1">
        <v>45047</v>
      </c>
      <c r="C2708">
        <v>854430</v>
      </c>
      <c r="D2708" t="s">
        <v>176</v>
      </c>
      <c r="E2708">
        <v>1522536</v>
      </c>
      <c r="F2708">
        <v>79368</v>
      </c>
      <c r="G2708">
        <v>5718</v>
      </c>
      <c r="H2708">
        <f>_xlfn.XLOOKUP(FACT_IMPORTS[[#This Row],[hts_6]],DIM_PRODUCTS[hts_6],DIM_PRODUCTS[hts_4],,,)</f>
        <v>8544</v>
      </c>
      <c r="I2708" t="str" cm="1">
        <f t="array" ref="I2708">_xlfn.XLOOKUP(FACT_IMPORTS[[#This Row],[country_name]],DIM_COUNTRY[[#All],[Column2]],DIM_COUNTRY[[#All],[Column3]],,,)</f>
        <v>China</v>
      </c>
    </row>
    <row r="2709" spans="1:9" x14ac:dyDescent="0.4">
      <c r="A2709" t="s">
        <v>66</v>
      </c>
      <c r="B2709" s="1">
        <v>45047</v>
      </c>
      <c r="C2709">
        <v>870790</v>
      </c>
      <c r="D2709" t="s">
        <v>176</v>
      </c>
      <c r="E2709">
        <v>0</v>
      </c>
      <c r="F2709">
        <v>0</v>
      </c>
      <c r="G2709">
        <v>0</v>
      </c>
      <c r="H2709">
        <f>_xlfn.XLOOKUP(FACT_IMPORTS[[#This Row],[hts_6]],DIM_PRODUCTS[hts_6],DIM_PRODUCTS[hts_4],,,)</f>
        <v>8707</v>
      </c>
      <c r="I2709" t="str" cm="1">
        <f t="array" ref="I2709">_xlfn.XLOOKUP(FACT_IMPORTS[[#This Row],[country_name]],DIM_COUNTRY[[#All],[Column2]],DIM_COUNTRY[[#All],[Column3]],,,)</f>
        <v>China</v>
      </c>
    </row>
    <row r="2710" spans="1:9" x14ac:dyDescent="0.4">
      <c r="A2710" t="s">
        <v>66</v>
      </c>
      <c r="B2710" s="1">
        <v>45047</v>
      </c>
      <c r="C2710">
        <v>870810</v>
      </c>
      <c r="D2710" t="s">
        <v>176</v>
      </c>
      <c r="E2710">
        <v>876782</v>
      </c>
      <c r="F2710">
        <v>41083</v>
      </c>
      <c r="G2710">
        <v>37483</v>
      </c>
      <c r="H2710">
        <f>_xlfn.XLOOKUP(FACT_IMPORTS[[#This Row],[hts_6]],DIM_PRODUCTS[hts_6],DIM_PRODUCTS[hts_4],,,)</f>
        <v>8708</v>
      </c>
      <c r="I2710" t="str" cm="1">
        <f t="array" ref="I2710">_xlfn.XLOOKUP(FACT_IMPORTS[[#This Row],[country_name]],DIM_COUNTRY[[#All],[Column2]],DIM_COUNTRY[[#All],[Column3]],,,)</f>
        <v>China</v>
      </c>
    </row>
    <row r="2711" spans="1:9" x14ac:dyDescent="0.4">
      <c r="A2711" t="s">
        <v>66</v>
      </c>
      <c r="B2711" s="1">
        <v>45047</v>
      </c>
      <c r="C2711">
        <v>870821</v>
      </c>
      <c r="D2711" t="s">
        <v>176</v>
      </c>
      <c r="E2711">
        <v>12837</v>
      </c>
      <c r="F2711">
        <v>595</v>
      </c>
      <c r="G2711">
        <v>208</v>
      </c>
      <c r="H2711">
        <f>_xlfn.XLOOKUP(FACT_IMPORTS[[#This Row],[hts_6]],DIM_PRODUCTS[hts_6],DIM_PRODUCTS[hts_4],,,)</f>
        <v>8708</v>
      </c>
      <c r="I2711" t="str" cm="1">
        <f t="array" ref="I2711">_xlfn.XLOOKUP(FACT_IMPORTS[[#This Row],[country_name]],DIM_COUNTRY[[#All],[Column2]],DIM_COUNTRY[[#All],[Column3]],,,)</f>
        <v>China</v>
      </c>
    </row>
    <row r="2712" spans="1:9" x14ac:dyDescent="0.4">
      <c r="A2712" t="s">
        <v>66</v>
      </c>
      <c r="B2712" s="1">
        <v>45047</v>
      </c>
      <c r="C2712">
        <v>870822</v>
      </c>
      <c r="D2712" t="s">
        <v>176</v>
      </c>
      <c r="E2712">
        <v>929287</v>
      </c>
      <c r="F2712">
        <v>148525</v>
      </c>
      <c r="G2712">
        <v>46119</v>
      </c>
      <c r="H2712">
        <f>_xlfn.XLOOKUP(FACT_IMPORTS[[#This Row],[hts_6]],DIM_PRODUCTS[hts_6],DIM_PRODUCTS[hts_4],,,)</f>
        <v>8708</v>
      </c>
      <c r="I2712" t="str" cm="1">
        <f t="array" ref="I2712">_xlfn.XLOOKUP(FACT_IMPORTS[[#This Row],[country_name]],DIM_COUNTRY[[#All],[Column2]],DIM_COUNTRY[[#All],[Column3]],,,)</f>
        <v>China</v>
      </c>
    </row>
    <row r="2713" spans="1:9" x14ac:dyDescent="0.4">
      <c r="A2713" t="s">
        <v>66</v>
      </c>
      <c r="B2713" s="1">
        <v>45047</v>
      </c>
      <c r="C2713">
        <v>870829</v>
      </c>
      <c r="D2713" t="s">
        <v>176</v>
      </c>
      <c r="E2713">
        <v>24248229</v>
      </c>
      <c r="F2713">
        <v>5878759</v>
      </c>
      <c r="G2713">
        <v>663402</v>
      </c>
      <c r="H2713">
        <f>_xlfn.XLOOKUP(FACT_IMPORTS[[#This Row],[hts_6]],DIM_PRODUCTS[hts_6],DIM_PRODUCTS[hts_4],,,)</f>
        <v>8708</v>
      </c>
      <c r="I2713" t="str" cm="1">
        <f t="array" ref="I2713">_xlfn.XLOOKUP(FACT_IMPORTS[[#This Row],[country_name]],DIM_COUNTRY[[#All],[Column2]],DIM_COUNTRY[[#All],[Column3]],,,)</f>
        <v>China</v>
      </c>
    </row>
    <row r="2714" spans="1:9" x14ac:dyDescent="0.4">
      <c r="A2714" t="s">
        <v>66</v>
      </c>
      <c r="B2714" s="1">
        <v>45047</v>
      </c>
      <c r="C2714">
        <v>870830</v>
      </c>
      <c r="D2714" t="s">
        <v>176</v>
      </c>
      <c r="E2714">
        <v>9734683</v>
      </c>
      <c r="F2714">
        <v>742595</v>
      </c>
      <c r="G2714">
        <v>322905</v>
      </c>
      <c r="H2714">
        <f>_xlfn.XLOOKUP(FACT_IMPORTS[[#This Row],[hts_6]],DIM_PRODUCTS[hts_6],DIM_PRODUCTS[hts_4],,,)</f>
        <v>8708</v>
      </c>
      <c r="I2714" t="str" cm="1">
        <f t="array" ref="I2714">_xlfn.XLOOKUP(FACT_IMPORTS[[#This Row],[country_name]],DIM_COUNTRY[[#All],[Column2]],DIM_COUNTRY[[#All],[Column3]],,,)</f>
        <v>China</v>
      </c>
    </row>
    <row r="2715" spans="1:9" x14ac:dyDescent="0.4">
      <c r="A2715" t="s">
        <v>66</v>
      </c>
      <c r="B2715" s="1">
        <v>45047</v>
      </c>
      <c r="C2715">
        <v>870840</v>
      </c>
      <c r="D2715" t="s">
        <v>176</v>
      </c>
      <c r="E2715">
        <v>3265887</v>
      </c>
      <c r="F2715">
        <v>549637</v>
      </c>
      <c r="G2715">
        <v>94434</v>
      </c>
      <c r="H2715">
        <f>_xlfn.XLOOKUP(FACT_IMPORTS[[#This Row],[hts_6]],DIM_PRODUCTS[hts_6],DIM_PRODUCTS[hts_4],,,)</f>
        <v>8708</v>
      </c>
      <c r="I2715" t="str" cm="1">
        <f t="array" ref="I2715">_xlfn.XLOOKUP(FACT_IMPORTS[[#This Row],[country_name]],DIM_COUNTRY[[#All],[Column2]],DIM_COUNTRY[[#All],[Column3]],,,)</f>
        <v>China</v>
      </c>
    </row>
    <row r="2716" spans="1:9" x14ac:dyDescent="0.4">
      <c r="A2716" t="s">
        <v>66</v>
      </c>
      <c r="B2716" s="1">
        <v>45047</v>
      </c>
      <c r="C2716">
        <v>870850</v>
      </c>
      <c r="D2716" t="s">
        <v>176</v>
      </c>
      <c r="E2716">
        <v>5616722</v>
      </c>
      <c r="F2716">
        <v>898522</v>
      </c>
      <c r="G2716">
        <v>109922</v>
      </c>
      <c r="H2716">
        <f>_xlfn.XLOOKUP(FACT_IMPORTS[[#This Row],[hts_6]],DIM_PRODUCTS[hts_6],DIM_PRODUCTS[hts_4],,,)</f>
        <v>8708</v>
      </c>
      <c r="I2716" t="str" cm="1">
        <f t="array" ref="I2716">_xlfn.XLOOKUP(FACT_IMPORTS[[#This Row],[country_name]],DIM_COUNTRY[[#All],[Column2]],DIM_COUNTRY[[#All],[Column3]],,,)</f>
        <v>China</v>
      </c>
    </row>
    <row r="2717" spans="1:9" x14ac:dyDescent="0.4">
      <c r="A2717" t="s">
        <v>66</v>
      </c>
      <c r="B2717" s="1">
        <v>45047</v>
      </c>
      <c r="C2717">
        <v>870870</v>
      </c>
      <c r="D2717" t="s">
        <v>176</v>
      </c>
      <c r="E2717">
        <v>49497307</v>
      </c>
      <c r="F2717">
        <v>2072258</v>
      </c>
      <c r="G2717">
        <v>2129066</v>
      </c>
      <c r="H2717">
        <f>_xlfn.XLOOKUP(FACT_IMPORTS[[#This Row],[hts_6]],DIM_PRODUCTS[hts_6],DIM_PRODUCTS[hts_4],,,)</f>
        <v>8708</v>
      </c>
      <c r="I2717" t="str" cm="1">
        <f t="array" ref="I2717">_xlfn.XLOOKUP(FACT_IMPORTS[[#This Row],[country_name]],DIM_COUNTRY[[#All],[Column2]],DIM_COUNTRY[[#All],[Column3]],,,)</f>
        <v>China</v>
      </c>
    </row>
    <row r="2718" spans="1:9" x14ac:dyDescent="0.4">
      <c r="A2718" t="s">
        <v>66</v>
      </c>
      <c r="B2718" s="1">
        <v>45047</v>
      </c>
      <c r="C2718">
        <v>870880</v>
      </c>
      <c r="D2718" t="s">
        <v>176</v>
      </c>
      <c r="E2718">
        <v>13998480</v>
      </c>
      <c r="F2718">
        <v>2241453</v>
      </c>
      <c r="G2718">
        <v>245661</v>
      </c>
      <c r="H2718">
        <f>_xlfn.XLOOKUP(FACT_IMPORTS[[#This Row],[hts_6]],DIM_PRODUCTS[hts_6],DIM_PRODUCTS[hts_4],,,)</f>
        <v>8708</v>
      </c>
      <c r="I2718" t="str" cm="1">
        <f t="array" ref="I2718">_xlfn.XLOOKUP(FACT_IMPORTS[[#This Row],[country_name]],DIM_COUNTRY[[#All],[Column2]],DIM_COUNTRY[[#All],[Column3]],,,)</f>
        <v>China</v>
      </c>
    </row>
    <row r="2719" spans="1:9" x14ac:dyDescent="0.4">
      <c r="A2719" t="s">
        <v>66</v>
      </c>
      <c r="B2719" s="1">
        <v>45047</v>
      </c>
      <c r="C2719">
        <v>870891</v>
      </c>
      <c r="D2719" t="s">
        <v>176</v>
      </c>
      <c r="E2719">
        <v>239126</v>
      </c>
      <c r="F2719">
        <v>2238</v>
      </c>
      <c r="G2719">
        <v>5737</v>
      </c>
      <c r="H2719">
        <f>_xlfn.XLOOKUP(FACT_IMPORTS[[#This Row],[hts_6]],DIM_PRODUCTS[hts_6],DIM_PRODUCTS[hts_4],,,)</f>
        <v>8708</v>
      </c>
      <c r="I2719" t="str" cm="1">
        <f t="array" ref="I2719">_xlfn.XLOOKUP(FACT_IMPORTS[[#This Row],[country_name]],DIM_COUNTRY[[#All],[Column2]],DIM_COUNTRY[[#All],[Column3]],,,)</f>
        <v>China</v>
      </c>
    </row>
    <row r="2720" spans="1:9" x14ac:dyDescent="0.4">
      <c r="A2720" t="s">
        <v>66</v>
      </c>
      <c r="B2720" s="1">
        <v>45047</v>
      </c>
      <c r="C2720">
        <v>870892</v>
      </c>
      <c r="D2720" t="s">
        <v>176</v>
      </c>
      <c r="E2720">
        <v>6635732</v>
      </c>
      <c r="F2720">
        <v>980175</v>
      </c>
      <c r="G2720">
        <v>314729</v>
      </c>
      <c r="H2720">
        <f>_xlfn.XLOOKUP(FACT_IMPORTS[[#This Row],[hts_6]],DIM_PRODUCTS[hts_6],DIM_PRODUCTS[hts_4],,,)</f>
        <v>8708</v>
      </c>
      <c r="I2720" t="str" cm="1">
        <f t="array" ref="I2720">_xlfn.XLOOKUP(FACT_IMPORTS[[#This Row],[country_name]],DIM_COUNTRY[[#All],[Column2]],DIM_COUNTRY[[#All],[Column3]],,,)</f>
        <v>China</v>
      </c>
    </row>
    <row r="2721" spans="1:9" x14ac:dyDescent="0.4">
      <c r="A2721" t="s">
        <v>66</v>
      </c>
      <c r="B2721" s="1">
        <v>45047</v>
      </c>
      <c r="C2721">
        <v>870893</v>
      </c>
      <c r="D2721" t="s">
        <v>176</v>
      </c>
      <c r="E2721">
        <v>789360</v>
      </c>
      <c r="F2721">
        <v>415374</v>
      </c>
      <c r="G2721">
        <v>29800</v>
      </c>
      <c r="H2721">
        <f>_xlfn.XLOOKUP(FACT_IMPORTS[[#This Row],[hts_6]],DIM_PRODUCTS[hts_6],DIM_PRODUCTS[hts_4],,,)</f>
        <v>8708</v>
      </c>
      <c r="I2721" t="str" cm="1">
        <f t="array" ref="I2721">_xlfn.XLOOKUP(FACT_IMPORTS[[#This Row],[country_name]],DIM_COUNTRY[[#All],[Column2]],DIM_COUNTRY[[#All],[Column3]],,,)</f>
        <v>China</v>
      </c>
    </row>
    <row r="2722" spans="1:9" x14ac:dyDescent="0.4">
      <c r="A2722" t="s">
        <v>66</v>
      </c>
      <c r="B2722" s="1">
        <v>45047</v>
      </c>
      <c r="C2722">
        <v>870894</v>
      </c>
      <c r="D2722" t="s">
        <v>176</v>
      </c>
      <c r="E2722">
        <v>11628111</v>
      </c>
      <c r="F2722">
        <v>370846</v>
      </c>
      <c r="G2722">
        <v>738618</v>
      </c>
      <c r="H2722">
        <f>_xlfn.XLOOKUP(FACT_IMPORTS[[#This Row],[hts_6]],DIM_PRODUCTS[hts_6],DIM_PRODUCTS[hts_4],,,)</f>
        <v>8708</v>
      </c>
      <c r="I2722" t="str" cm="1">
        <f t="array" ref="I2722">_xlfn.XLOOKUP(FACT_IMPORTS[[#This Row],[country_name]],DIM_COUNTRY[[#All],[Column2]],DIM_COUNTRY[[#All],[Column3]],,,)</f>
        <v>China</v>
      </c>
    </row>
    <row r="2723" spans="1:9" x14ac:dyDescent="0.4">
      <c r="A2723" t="s">
        <v>66</v>
      </c>
      <c r="B2723" s="1">
        <v>45047</v>
      </c>
      <c r="C2723">
        <v>870895</v>
      </c>
      <c r="D2723" t="s">
        <v>176</v>
      </c>
      <c r="E2723">
        <v>1152547</v>
      </c>
      <c r="F2723">
        <v>32447</v>
      </c>
      <c r="G2723">
        <v>3800</v>
      </c>
      <c r="H2723">
        <f>_xlfn.XLOOKUP(FACT_IMPORTS[[#This Row],[hts_6]],DIM_PRODUCTS[hts_6],DIM_PRODUCTS[hts_4],,,)</f>
        <v>8708</v>
      </c>
      <c r="I2723" t="str" cm="1">
        <f t="array" ref="I2723">_xlfn.XLOOKUP(FACT_IMPORTS[[#This Row],[country_name]],DIM_COUNTRY[[#All],[Column2]],DIM_COUNTRY[[#All],[Column3]],,,)</f>
        <v>China</v>
      </c>
    </row>
    <row r="2724" spans="1:9" x14ac:dyDescent="0.4">
      <c r="A2724" t="s">
        <v>66</v>
      </c>
      <c r="B2724" s="1">
        <v>45047</v>
      </c>
      <c r="C2724">
        <v>870899</v>
      </c>
      <c r="D2724" t="s">
        <v>176</v>
      </c>
      <c r="E2724">
        <v>9866264</v>
      </c>
      <c r="F2724">
        <v>2968821</v>
      </c>
      <c r="G2724">
        <v>393108</v>
      </c>
      <c r="H2724">
        <f>_xlfn.XLOOKUP(FACT_IMPORTS[[#This Row],[hts_6]],DIM_PRODUCTS[hts_6],DIM_PRODUCTS[hts_4],,,)</f>
        <v>8708</v>
      </c>
      <c r="I2724" t="str" cm="1">
        <f t="array" ref="I2724">_xlfn.XLOOKUP(FACT_IMPORTS[[#This Row],[country_name]],DIM_COUNTRY[[#All],[Column2]],DIM_COUNTRY[[#All],[Column3]],,,)</f>
        <v>China</v>
      </c>
    </row>
    <row r="2725" spans="1:9" x14ac:dyDescent="0.4">
      <c r="A2725" t="s">
        <v>66</v>
      </c>
      <c r="B2725" s="1">
        <v>45047</v>
      </c>
      <c r="C2725">
        <v>940120</v>
      </c>
      <c r="D2725" t="s">
        <v>176</v>
      </c>
      <c r="E2725">
        <v>6166</v>
      </c>
      <c r="F2725">
        <v>5</v>
      </c>
      <c r="G2725">
        <v>250</v>
      </c>
      <c r="H2725">
        <f>_xlfn.XLOOKUP(FACT_IMPORTS[[#This Row],[hts_6]],DIM_PRODUCTS[hts_6],DIM_PRODUCTS[hts_4],,,)</f>
        <v>9401</v>
      </c>
      <c r="I2725" t="str" cm="1">
        <f t="array" ref="I2725">_xlfn.XLOOKUP(FACT_IMPORTS[[#This Row],[country_name]],DIM_COUNTRY[[#All],[Column2]],DIM_COUNTRY[[#All],[Column3]],,,)</f>
        <v>China</v>
      </c>
    </row>
    <row r="2726" spans="1:9" x14ac:dyDescent="0.4">
      <c r="A2726" t="s">
        <v>66</v>
      </c>
      <c r="B2726" s="1">
        <v>45078</v>
      </c>
      <c r="C2726">
        <v>392630</v>
      </c>
      <c r="D2726" t="s">
        <v>176</v>
      </c>
      <c r="E2726">
        <v>9153557</v>
      </c>
      <c r="F2726">
        <v>366451</v>
      </c>
      <c r="G2726">
        <v>298316</v>
      </c>
      <c r="H2726">
        <f>_xlfn.XLOOKUP(FACT_IMPORTS[[#This Row],[hts_6]],DIM_PRODUCTS[hts_6],DIM_PRODUCTS[hts_4],,,)</f>
        <v>3926</v>
      </c>
      <c r="I2726" t="str" cm="1">
        <f t="array" ref="I2726">_xlfn.XLOOKUP(FACT_IMPORTS[[#This Row],[country_name]],DIM_COUNTRY[[#All],[Column2]],DIM_COUNTRY[[#All],[Column3]],,,)</f>
        <v>China</v>
      </c>
    </row>
    <row r="2727" spans="1:9" x14ac:dyDescent="0.4">
      <c r="A2727" t="s">
        <v>66</v>
      </c>
      <c r="B2727" s="1">
        <v>45078</v>
      </c>
      <c r="C2727">
        <v>401110</v>
      </c>
      <c r="D2727" t="s">
        <v>176</v>
      </c>
      <c r="E2727">
        <v>12663</v>
      </c>
      <c r="F2727">
        <v>183</v>
      </c>
      <c r="G2727">
        <v>237</v>
      </c>
      <c r="H2727">
        <f>_xlfn.XLOOKUP(FACT_IMPORTS[[#This Row],[hts_6]],DIM_PRODUCTS[hts_6],DIM_PRODUCTS[hts_4],,,)</f>
        <v>4011</v>
      </c>
      <c r="I2727" t="str" cm="1">
        <f t="array" ref="I2727">_xlfn.XLOOKUP(FACT_IMPORTS[[#This Row],[country_name]],DIM_COUNTRY[[#All],[Column2]],DIM_COUNTRY[[#All],[Column3]],,,)</f>
        <v>China</v>
      </c>
    </row>
    <row r="2728" spans="1:9" x14ac:dyDescent="0.4">
      <c r="A2728" t="s">
        <v>66</v>
      </c>
      <c r="B2728" s="1">
        <v>45078</v>
      </c>
      <c r="C2728">
        <v>401120</v>
      </c>
      <c r="D2728" t="s">
        <v>176</v>
      </c>
      <c r="E2728">
        <v>2617</v>
      </c>
      <c r="F2728">
        <v>56</v>
      </c>
      <c r="G2728">
        <v>479</v>
      </c>
      <c r="H2728">
        <f>_xlfn.XLOOKUP(FACT_IMPORTS[[#This Row],[hts_6]],DIM_PRODUCTS[hts_6],DIM_PRODUCTS[hts_4],,,)</f>
        <v>4011</v>
      </c>
      <c r="I2728" t="str" cm="1">
        <f t="array" ref="I2728">_xlfn.XLOOKUP(FACT_IMPORTS[[#This Row],[country_name]],DIM_COUNTRY[[#All],[Column2]],DIM_COUNTRY[[#All],[Column3]],,,)</f>
        <v>China</v>
      </c>
    </row>
    <row r="2729" spans="1:9" x14ac:dyDescent="0.4">
      <c r="A2729" t="s">
        <v>66</v>
      </c>
      <c r="B2729" s="1">
        <v>45078</v>
      </c>
      <c r="C2729">
        <v>401140</v>
      </c>
      <c r="D2729" t="s">
        <v>176</v>
      </c>
      <c r="E2729">
        <v>13295</v>
      </c>
      <c r="F2729">
        <v>173</v>
      </c>
      <c r="G2729">
        <v>42</v>
      </c>
      <c r="H2729">
        <f>_xlfn.XLOOKUP(FACT_IMPORTS[[#This Row],[hts_6]],DIM_PRODUCTS[hts_6],DIM_PRODUCTS[hts_4],,,)</f>
        <v>4011</v>
      </c>
      <c r="I2729" t="str" cm="1">
        <f t="array" ref="I2729">_xlfn.XLOOKUP(FACT_IMPORTS[[#This Row],[country_name]],DIM_COUNTRY[[#All],[Column2]],DIM_COUNTRY[[#All],[Column3]],,,)</f>
        <v>China</v>
      </c>
    </row>
    <row r="2730" spans="1:9" x14ac:dyDescent="0.4">
      <c r="A2730" t="s">
        <v>66</v>
      </c>
      <c r="B2730" s="1">
        <v>45078</v>
      </c>
      <c r="C2730">
        <v>401190</v>
      </c>
      <c r="D2730" t="s">
        <v>176</v>
      </c>
      <c r="E2730">
        <v>328674</v>
      </c>
      <c r="F2730">
        <v>9498</v>
      </c>
      <c r="G2730">
        <v>33451</v>
      </c>
      <c r="H2730">
        <f>_xlfn.XLOOKUP(FACT_IMPORTS[[#This Row],[hts_6]],DIM_PRODUCTS[hts_6],DIM_PRODUCTS[hts_4],,,)</f>
        <v>4011</v>
      </c>
      <c r="I2730" t="str" cm="1">
        <f t="array" ref="I2730">_xlfn.XLOOKUP(FACT_IMPORTS[[#This Row],[country_name]],DIM_COUNTRY[[#All],[Column2]],DIM_COUNTRY[[#All],[Column3]],,,)</f>
        <v>China</v>
      </c>
    </row>
    <row r="2731" spans="1:9" x14ac:dyDescent="0.4">
      <c r="A2731" t="s">
        <v>66</v>
      </c>
      <c r="B2731" s="1">
        <v>45078</v>
      </c>
      <c r="C2731">
        <v>700711</v>
      </c>
      <c r="D2731" t="s">
        <v>176</v>
      </c>
      <c r="E2731">
        <v>1541655</v>
      </c>
      <c r="F2731">
        <v>123266</v>
      </c>
      <c r="G2731">
        <v>131308</v>
      </c>
      <c r="H2731">
        <f>_xlfn.XLOOKUP(FACT_IMPORTS[[#This Row],[hts_6]],DIM_PRODUCTS[hts_6],DIM_PRODUCTS[hts_4],,,)</f>
        <v>7007</v>
      </c>
      <c r="I2731" t="str" cm="1">
        <f t="array" ref="I2731">_xlfn.XLOOKUP(FACT_IMPORTS[[#This Row],[country_name]],DIM_COUNTRY[[#All],[Column2]],DIM_COUNTRY[[#All],[Column3]],,,)</f>
        <v>China</v>
      </c>
    </row>
    <row r="2732" spans="1:9" x14ac:dyDescent="0.4">
      <c r="A2732" t="s">
        <v>66</v>
      </c>
      <c r="B2732" s="1">
        <v>45078</v>
      </c>
      <c r="C2732">
        <v>700721</v>
      </c>
      <c r="D2732" t="s">
        <v>176</v>
      </c>
      <c r="E2732">
        <v>166499</v>
      </c>
      <c r="F2732">
        <v>22200</v>
      </c>
      <c r="G2732">
        <v>15092</v>
      </c>
      <c r="H2732">
        <f>_xlfn.XLOOKUP(FACT_IMPORTS[[#This Row],[hts_6]],DIM_PRODUCTS[hts_6],DIM_PRODUCTS[hts_4],,,)</f>
        <v>7007</v>
      </c>
      <c r="I2732" t="str" cm="1">
        <f t="array" ref="I2732">_xlfn.XLOOKUP(FACT_IMPORTS[[#This Row],[country_name]],DIM_COUNTRY[[#All],[Column2]],DIM_COUNTRY[[#All],[Column3]],,,)</f>
        <v>China</v>
      </c>
    </row>
    <row r="2733" spans="1:9" x14ac:dyDescent="0.4">
      <c r="A2733" t="s">
        <v>66</v>
      </c>
      <c r="B2733" s="1">
        <v>45078</v>
      </c>
      <c r="C2733">
        <v>700910</v>
      </c>
      <c r="D2733" t="s">
        <v>176</v>
      </c>
      <c r="E2733">
        <v>286633</v>
      </c>
      <c r="F2733">
        <v>308360</v>
      </c>
      <c r="G2733">
        <v>30001</v>
      </c>
      <c r="H2733">
        <f>_xlfn.XLOOKUP(FACT_IMPORTS[[#This Row],[hts_6]],DIM_PRODUCTS[hts_6],DIM_PRODUCTS[hts_4],,,)</f>
        <v>7009</v>
      </c>
      <c r="I2733" t="str" cm="1">
        <f t="array" ref="I2733">_xlfn.XLOOKUP(FACT_IMPORTS[[#This Row],[country_name]],DIM_COUNTRY[[#All],[Column2]],DIM_COUNTRY[[#All],[Column3]],,,)</f>
        <v>China</v>
      </c>
    </row>
    <row r="2734" spans="1:9" x14ac:dyDescent="0.4">
      <c r="A2734" t="s">
        <v>66</v>
      </c>
      <c r="B2734" s="1">
        <v>45078</v>
      </c>
      <c r="C2734">
        <v>732010</v>
      </c>
      <c r="D2734" t="s">
        <v>176</v>
      </c>
      <c r="E2734">
        <v>0</v>
      </c>
      <c r="F2734">
        <v>0</v>
      </c>
      <c r="G2734">
        <v>0</v>
      </c>
      <c r="H2734">
        <f>_xlfn.XLOOKUP(FACT_IMPORTS[[#This Row],[hts_6]],DIM_PRODUCTS[hts_6],DIM_PRODUCTS[hts_4],,,)</f>
        <v>7320</v>
      </c>
      <c r="I2734" t="str" cm="1">
        <f t="array" ref="I2734">_xlfn.XLOOKUP(FACT_IMPORTS[[#This Row],[country_name]],DIM_COUNTRY[[#All],[Column2]],DIM_COUNTRY[[#All],[Column3]],,,)</f>
        <v>China</v>
      </c>
    </row>
    <row r="2735" spans="1:9" x14ac:dyDescent="0.4">
      <c r="A2735" t="s">
        <v>66</v>
      </c>
      <c r="B2735" s="1">
        <v>45078</v>
      </c>
      <c r="C2735">
        <v>830230</v>
      </c>
      <c r="D2735" t="s">
        <v>176</v>
      </c>
      <c r="E2735">
        <v>3827068</v>
      </c>
      <c r="F2735">
        <v>994013</v>
      </c>
      <c r="G2735">
        <v>183695</v>
      </c>
      <c r="H2735">
        <f>_xlfn.XLOOKUP(FACT_IMPORTS[[#This Row],[hts_6]],DIM_PRODUCTS[hts_6],DIM_PRODUCTS[hts_4],,,)</f>
        <v>8302</v>
      </c>
      <c r="I2735" t="str" cm="1">
        <f t="array" ref="I2735">_xlfn.XLOOKUP(FACT_IMPORTS[[#This Row],[country_name]],DIM_COUNTRY[[#All],[Column2]],DIM_COUNTRY[[#All],[Column3]],,,)</f>
        <v>China</v>
      </c>
    </row>
    <row r="2736" spans="1:9" x14ac:dyDescent="0.4">
      <c r="A2736" t="s">
        <v>66</v>
      </c>
      <c r="B2736" s="1">
        <v>45078</v>
      </c>
      <c r="C2736">
        <v>840732</v>
      </c>
      <c r="D2736" t="s">
        <v>176</v>
      </c>
      <c r="E2736">
        <v>0</v>
      </c>
      <c r="F2736">
        <v>0</v>
      </c>
      <c r="G2736">
        <v>0</v>
      </c>
      <c r="H2736">
        <f>_xlfn.XLOOKUP(FACT_IMPORTS[[#This Row],[hts_6]],DIM_PRODUCTS[hts_6],DIM_PRODUCTS[hts_4],,,)</f>
        <v>8407</v>
      </c>
      <c r="I2736" t="str" cm="1">
        <f t="array" ref="I2736">_xlfn.XLOOKUP(FACT_IMPORTS[[#This Row],[country_name]],DIM_COUNTRY[[#All],[Column2]],DIM_COUNTRY[[#All],[Column3]],,,)</f>
        <v>China</v>
      </c>
    </row>
    <row r="2737" spans="1:9" x14ac:dyDescent="0.4">
      <c r="A2737" t="s">
        <v>66</v>
      </c>
      <c r="B2737" s="1">
        <v>45078</v>
      </c>
      <c r="C2737">
        <v>840733</v>
      </c>
      <c r="D2737" t="s">
        <v>176</v>
      </c>
      <c r="E2737">
        <v>6954</v>
      </c>
      <c r="F2737">
        <v>2</v>
      </c>
      <c r="G2737">
        <v>186</v>
      </c>
      <c r="H2737">
        <f>_xlfn.XLOOKUP(FACT_IMPORTS[[#This Row],[hts_6]],DIM_PRODUCTS[hts_6],DIM_PRODUCTS[hts_4],,,)</f>
        <v>8407</v>
      </c>
      <c r="I2737" t="str" cm="1">
        <f t="array" ref="I2737">_xlfn.XLOOKUP(FACT_IMPORTS[[#This Row],[country_name]],DIM_COUNTRY[[#All],[Column2]],DIM_COUNTRY[[#All],[Column3]],,,)</f>
        <v>China</v>
      </c>
    </row>
    <row r="2738" spans="1:9" x14ac:dyDescent="0.4">
      <c r="A2738" t="s">
        <v>66</v>
      </c>
      <c r="B2738" s="1">
        <v>45078</v>
      </c>
      <c r="C2738">
        <v>840734</v>
      </c>
      <c r="D2738" t="s">
        <v>176</v>
      </c>
      <c r="E2738">
        <v>274590</v>
      </c>
      <c r="F2738">
        <v>192</v>
      </c>
      <c r="G2738">
        <v>620</v>
      </c>
      <c r="H2738">
        <f>_xlfn.XLOOKUP(FACT_IMPORTS[[#This Row],[hts_6]],DIM_PRODUCTS[hts_6],DIM_PRODUCTS[hts_4],,,)</f>
        <v>8407</v>
      </c>
      <c r="I2738" t="str" cm="1">
        <f t="array" ref="I2738">_xlfn.XLOOKUP(FACT_IMPORTS[[#This Row],[country_name]],DIM_COUNTRY[[#All],[Column2]],DIM_COUNTRY[[#All],[Column3]],,,)</f>
        <v>China</v>
      </c>
    </row>
    <row r="2739" spans="1:9" x14ac:dyDescent="0.4">
      <c r="A2739" t="s">
        <v>66</v>
      </c>
      <c r="B2739" s="1">
        <v>45078</v>
      </c>
      <c r="C2739">
        <v>840790</v>
      </c>
      <c r="D2739" t="s">
        <v>176</v>
      </c>
      <c r="E2739">
        <v>0</v>
      </c>
      <c r="F2739">
        <v>0</v>
      </c>
      <c r="G2739">
        <v>0</v>
      </c>
      <c r="H2739">
        <f>_xlfn.XLOOKUP(FACT_IMPORTS[[#This Row],[hts_6]],DIM_PRODUCTS[hts_6],DIM_PRODUCTS[hts_4],,,)</f>
        <v>8407</v>
      </c>
      <c r="I2739" t="str" cm="1">
        <f t="array" ref="I2739">_xlfn.XLOOKUP(FACT_IMPORTS[[#This Row],[country_name]],DIM_COUNTRY[[#All],[Column2]],DIM_COUNTRY[[#All],[Column3]],,,)</f>
        <v>China</v>
      </c>
    </row>
    <row r="2740" spans="1:9" x14ac:dyDescent="0.4">
      <c r="A2740" t="s">
        <v>66</v>
      </c>
      <c r="B2740" s="1">
        <v>45078</v>
      </c>
      <c r="C2740">
        <v>840890</v>
      </c>
      <c r="D2740" t="s">
        <v>176</v>
      </c>
      <c r="E2740">
        <v>0</v>
      </c>
      <c r="F2740">
        <v>0</v>
      </c>
      <c r="G2740">
        <v>0</v>
      </c>
      <c r="H2740">
        <f>_xlfn.XLOOKUP(FACT_IMPORTS[[#This Row],[hts_6]],DIM_PRODUCTS[hts_6],DIM_PRODUCTS[hts_4],,,)</f>
        <v>8408</v>
      </c>
      <c r="I2740" t="str" cm="1">
        <f t="array" ref="I2740">_xlfn.XLOOKUP(FACT_IMPORTS[[#This Row],[country_name]],DIM_COUNTRY[[#All],[Column2]],DIM_COUNTRY[[#All],[Column3]],,,)</f>
        <v>China</v>
      </c>
    </row>
    <row r="2741" spans="1:9" x14ac:dyDescent="0.4">
      <c r="A2741" t="s">
        <v>66</v>
      </c>
      <c r="B2741" s="1">
        <v>45078</v>
      </c>
      <c r="C2741">
        <v>840991</v>
      </c>
      <c r="D2741" t="s">
        <v>176</v>
      </c>
      <c r="E2741">
        <v>12045543</v>
      </c>
      <c r="F2741">
        <v>2765434</v>
      </c>
      <c r="G2741">
        <v>586072</v>
      </c>
      <c r="H2741">
        <f>_xlfn.XLOOKUP(FACT_IMPORTS[[#This Row],[hts_6]],DIM_PRODUCTS[hts_6],DIM_PRODUCTS[hts_4],,,)</f>
        <v>8409</v>
      </c>
      <c r="I2741" t="str" cm="1">
        <f t="array" ref="I2741">_xlfn.XLOOKUP(FACT_IMPORTS[[#This Row],[country_name]],DIM_COUNTRY[[#All],[Column2]],DIM_COUNTRY[[#All],[Column3]],,,)</f>
        <v>China</v>
      </c>
    </row>
    <row r="2742" spans="1:9" x14ac:dyDescent="0.4">
      <c r="A2742" t="s">
        <v>66</v>
      </c>
      <c r="B2742" s="1">
        <v>45078</v>
      </c>
      <c r="C2742">
        <v>840999</v>
      </c>
      <c r="D2742" t="s">
        <v>176</v>
      </c>
      <c r="E2742">
        <v>3468350</v>
      </c>
      <c r="F2742">
        <v>451487</v>
      </c>
      <c r="G2742">
        <v>105074</v>
      </c>
      <c r="H2742">
        <f>_xlfn.XLOOKUP(FACT_IMPORTS[[#This Row],[hts_6]],DIM_PRODUCTS[hts_6],DIM_PRODUCTS[hts_4],,,)</f>
        <v>8409</v>
      </c>
      <c r="I2742" t="str" cm="1">
        <f t="array" ref="I2742">_xlfn.XLOOKUP(FACT_IMPORTS[[#This Row],[country_name]],DIM_COUNTRY[[#All],[Column2]],DIM_COUNTRY[[#All],[Column3]],,,)</f>
        <v>China</v>
      </c>
    </row>
    <row r="2743" spans="1:9" x14ac:dyDescent="0.4">
      <c r="A2743" t="s">
        <v>66</v>
      </c>
      <c r="B2743" s="1">
        <v>45078</v>
      </c>
      <c r="C2743">
        <v>841330</v>
      </c>
      <c r="D2743" t="s">
        <v>176</v>
      </c>
      <c r="E2743">
        <v>1617439</v>
      </c>
      <c r="F2743">
        <v>27382</v>
      </c>
      <c r="G2743">
        <v>22613</v>
      </c>
      <c r="H2743">
        <f>_xlfn.XLOOKUP(FACT_IMPORTS[[#This Row],[hts_6]],DIM_PRODUCTS[hts_6],DIM_PRODUCTS[hts_4],,,)</f>
        <v>8413</v>
      </c>
      <c r="I2743" t="str" cm="1">
        <f t="array" ref="I2743">_xlfn.XLOOKUP(FACT_IMPORTS[[#This Row],[country_name]],DIM_COUNTRY[[#All],[Column2]],DIM_COUNTRY[[#All],[Column3]],,,)</f>
        <v>China</v>
      </c>
    </row>
    <row r="2744" spans="1:9" x14ac:dyDescent="0.4">
      <c r="A2744" t="s">
        <v>66</v>
      </c>
      <c r="B2744" s="1">
        <v>45078</v>
      </c>
      <c r="C2744">
        <v>841520</v>
      </c>
      <c r="D2744" t="s">
        <v>176</v>
      </c>
      <c r="E2744">
        <v>0</v>
      </c>
      <c r="F2744">
        <v>0</v>
      </c>
      <c r="G2744">
        <v>0</v>
      </c>
      <c r="H2744">
        <f>_xlfn.XLOOKUP(FACT_IMPORTS[[#This Row],[hts_6]],DIM_PRODUCTS[hts_6],DIM_PRODUCTS[hts_4],,,)</f>
        <v>8415</v>
      </c>
      <c r="I2744" t="str" cm="1">
        <f t="array" ref="I2744">_xlfn.XLOOKUP(FACT_IMPORTS[[#This Row],[country_name]],DIM_COUNTRY[[#All],[Column2]],DIM_COUNTRY[[#All],[Column3]],,,)</f>
        <v>China</v>
      </c>
    </row>
    <row r="2745" spans="1:9" x14ac:dyDescent="0.4">
      <c r="A2745" t="s">
        <v>66</v>
      </c>
      <c r="B2745" s="1">
        <v>45078</v>
      </c>
      <c r="C2745">
        <v>842132</v>
      </c>
      <c r="D2745" t="s">
        <v>176</v>
      </c>
      <c r="E2745">
        <v>0</v>
      </c>
      <c r="F2745">
        <v>0</v>
      </c>
      <c r="G2745">
        <v>0</v>
      </c>
      <c r="H2745">
        <f>_xlfn.XLOOKUP(FACT_IMPORTS[[#This Row],[hts_6]],DIM_PRODUCTS[hts_6],DIM_PRODUCTS[hts_4],,,)</f>
        <v>8421</v>
      </c>
      <c r="I2745" t="str" cm="1">
        <f t="array" ref="I2745">_xlfn.XLOOKUP(FACT_IMPORTS[[#This Row],[country_name]],DIM_COUNTRY[[#All],[Column2]],DIM_COUNTRY[[#All],[Column3]],,,)</f>
        <v>China</v>
      </c>
    </row>
    <row r="2746" spans="1:9" x14ac:dyDescent="0.4">
      <c r="A2746" t="s">
        <v>66</v>
      </c>
      <c r="B2746" s="1">
        <v>45078</v>
      </c>
      <c r="C2746">
        <v>848210</v>
      </c>
      <c r="D2746" t="s">
        <v>176</v>
      </c>
      <c r="E2746">
        <v>1229659</v>
      </c>
      <c r="F2746">
        <v>1083538</v>
      </c>
      <c r="G2746">
        <v>58996</v>
      </c>
      <c r="H2746">
        <f>_xlfn.XLOOKUP(FACT_IMPORTS[[#This Row],[hts_6]],DIM_PRODUCTS[hts_6],DIM_PRODUCTS[hts_4],,,)</f>
        <v>8482</v>
      </c>
      <c r="I2746" t="str" cm="1">
        <f t="array" ref="I2746">_xlfn.XLOOKUP(FACT_IMPORTS[[#This Row],[country_name]],DIM_COUNTRY[[#All],[Column2]],DIM_COUNTRY[[#All],[Column3]],,,)</f>
        <v>China</v>
      </c>
    </row>
    <row r="2747" spans="1:9" x14ac:dyDescent="0.4">
      <c r="A2747" t="s">
        <v>66</v>
      </c>
      <c r="B2747" s="1">
        <v>45078</v>
      </c>
      <c r="C2747">
        <v>848220</v>
      </c>
      <c r="D2747" t="s">
        <v>176</v>
      </c>
      <c r="E2747">
        <v>14742</v>
      </c>
      <c r="F2747">
        <v>4900</v>
      </c>
      <c r="G2747">
        <v>202</v>
      </c>
      <c r="H2747">
        <f>_xlfn.XLOOKUP(FACT_IMPORTS[[#This Row],[hts_6]],DIM_PRODUCTS[hts_6],DIM_PRODUCTS[hts_4],,,)</f>
        <v>8482</v>
      </c>
      <c r="I2747" t="str" cm="1">
        <f t="array" ref="I2747">_xlfn.XLOOKUP(FACT_IMPORTS[[#This Row],[country_name]],DIM_COUNTRY[[#All],[Column2]],DIM_COUNTRY[[#All],[Column3]],,,)</f>
        <v>China</v>
      </c>
    </row>
    <row r="2748" spans="1:9" x14ac:dyDescent="0.4">
      <c r="A2748" t="s">
        <v>66</v>
      </c>
      <c r="B2748" s="1">
        <v>45078</v>
      </c>
      <c r="C2748">
        <v>848310</v>
      </c>
      <c r="D2748" t="s">
        <v>176</v>
      </c>
      <c r="E2748">
        <v>3652607</v>
      </c>
      <c r="F2748">
        <v>173867</v>
      </c>
      <c r="G2748">
        <v>131082</v>
      </c>
      <c r="H2748">
        <f>_xlfn.XLOOKUP(FACT_IMPORTS[[#This Row],[hts_6]],DIM_PRODUCTS[hts_6],DIM_PRODUCTS[hts_4],,,)</f>
        <v>8483</v>
      </c>
      <c r="I2748" t="str" cm="1">
        <f t="array" ref="I2748">_xlfn.XLOOKUP(FACT_IMPORTS[[#This Row],[country_name]],DIM_COUNTRY[[#All],[Column2]],DIM_COUNTRY[[#All],[Column3]],,,)</f>
        <v>China</v>
      </c>
    </row>
    <row r="2749" spans="1:9" x14ac:dyDescent="0.4">
      <c r="A2749" t="s">
        <v>66</v>
      </c>
      <c r="B2749" s="1">
        <v>45078</v>
      </c>
      <c r="C2749">
        <v>850131</v>
      </c>
      <c r="D2749" t="s">
        <v>176</v>
      </c>
      <c r="E2749">
        <v>1758985</v>
      </c>
      <c r="F2749">
        <v>257585</v>
      </c>
      <c r="G2749">
        <v>16956</v>
      </c>
      <c r="H2749">
        <f>_xlfn.XLOOKUP(FACT_IMPORTS[[#This Row],[hts_6]],DIM_PRODUCTS[hts_6],DIM_PRODUCTS[hts_4],,,)</f>
        <v>8501</v>
      </c>
      <c r="I2749" t="str" cm="1">
        <f t="array" ref="I2749">_xlfn.XLOOKUP(FACT_IMPORTS[[#This Row],[country_name]],DIM_COUNTRY[[#All],[Column2]],DIM_COUNTRY[[#All],[Column3]],,,)</f>
        <v>China</v>
      </c>
    </row>
    <row r="2750" spans="1:9" x14ac:dyDescent="0.4">
      <c r="A2750" t="s">
        <v>66</v>
      </c>
      <c r="B2750" s="1">
        <v>45078</v>
      </c>
      <c r="C2750">
        <v>850132</v>
      </c>
      <c r="D2750" t="s">
        <v>176</v>
      </c>
      <c r="E2750">
        <v>4754</v>
      </c>
      <c r="F2750">
        <v>315</v>
      </c>
      <c r="G2750">
        <v>20</v>
      </c>
      <c r="H2750">
        <f>_xlfn.XLOOKUP(FACT_IMPORTS[[#This Row],[hts_6]],DIM_PRODUCTS[hts_6],DIM_PRODUCTS[hts_4],,,)</f>
        <v>8501</v>
      </c>
      <c r="I2750" t="str" cm="1">
        <f t="array" ref="I2750">_xlfn.XLOOKUP(FACT_IMPORTS[[#This Row],[country_name]],DIM_COUNTRY[[#All],[Column2]],DIM_COUNTRY[[#All],[Column3]],,,)</f>
        <v>China</v>
      </c>
    </row>
    <row r="2751" spans="1:9" x14ac:dyDescent="0.4">
      <c r="A2751" t="s">
        <v>66</v>
      </c>
      <c r="B2751" s="1">
        <v>45078</v>
      </c>
      <c r="C2751">
        <v>850133</v>
      </c>
      <c r="D2751" t="s">
        <v>176</v>
      </c>
      <c r="E2751">
        <v>0</v>
      </c>
      <c r="F2751">
        <v>0</v>
      </c>
      <c r="G2751">
        <v>0</v>
      </c>
      <c r="H2751">
        <f>_xlfn.XLOOKUP(FACT_IMPORTS[[#This Row],[hts_6]],DIM_PRODUCTS[hts_6],DIM_PRODUCTS[hts_4],,,)</f>
        <v>8501</v>
      </c>
      <c r="I2751" t="str" cm="1">
        <f t="array" ref="I2751">_xlfn.XLOOKUP(FACT_IMPORTS[[#This Row],[country_name]],DIM_COUNTRY[[#All],[Column2]],DIM_COUNTRY[[#All],[Column3]],,,)</f>
        <v>China</v>
      </c>
    </row>
    <row r="2752" spans="1:9" x14ac:dyDescent="0.4">
      <c r="A2752" t="s">
        <v>66</v>
      </c>
      <c r="B2752" s="1">
        <v>45078</v>
      </c>
      <c r="C2752">
        <v>850152</v>
      </c>
      <c r="D2752" t="s">
        <v>176</v>
      </c>
      <c r="E2752">
        <v>303816</v>
      </c>
      <c r="F2752">
        <v>614</v>
      </c>
      <c r="G2752">
        <v>44038</v>
      </c>
      <c r="H2752">
        <f>_xlfn.XLOOKUP(FACT_IMPORTS[[#This Row],[hts_6]],DIM_PRODUCTS[hts_6],DIM_PRODUCTS[hts_4],,,)</f>
        <v>8501</v>
      </c>
      <c r="I2752" t="str" cm="1">
        <f t="array" ref="I2752">_xlfn.XLOOKUP(FACT_IMPORTS[[#This Row],[country_name]],DIM_COUNTRY[[#All],[Column2]],DIM_COUNTRY[[#All],[Column3]],,,)</f>
        <v>China</v>
      </c>
    </row>
    <row r="2753" spans="1:9" x14ac:dyDescent="0.4">
      <c r="A2753" t="s">
        <v>66</v>
      </c>
      <c r="B2753" s="1">
        <v>45078</v>
      </c>
      <c r="C2753">
        <v>850153</v>
      </c>
      <c r="D2753" t="s">
        <v>176</v>
      </c>
      <c r="E2753">
        <v>21262</v>
      </c>
      <c r="F2753">
        <v>2</v>
      </c>
      <c r="G2753">
        <v>383</v>
      </c>
      <c r="H2753">
        <f>_xlfn.XLOOKUP(FACT_IMPORTS[[#This Row],[hts_6]],DIM_PRODUCTS[hts_6],DIM_PRODUCTS[hts_4],,,)</f>
        <v>8501</v>
      </c>
      <c r="I2753" t="str" cm="1">
        <f t="array" ref="I2753">_xlfn.XLOOKUP(FACT_IMPORTS[[#This Row],[country_name]],DIM_COUNTRY[[#All],[Column2]],DIM_COUNTRY[[#All],[Column3]],,,)</f>
        <v>China</v>
      </c>
    </row>
    <row r="2754" spans="1:9" x14ac:dyDescent="0.4">
      <c r="A2754" t="s">
        <v>66</v>
      </c>
      <c r="B2754" s="1">
        <v>45078</v>
      </c>
      <c r="C2754">
        <v>850161</v>
      </c>
      <c r="D2754" t="s">
        <v>176</v>
      </c>
      <c r="E2754">
        <v>0</v>
      </c>
      <c r="F2754">
        <v>0</v>
      </c>
      <c r="G2754">
        <v>0</v>
      </c>
      <c r="H2754">
        <f>_xlfn.XLOOKUP(FACT_IMPORTS[[#This Row],[hts_6]],DIM_PRODUCTS[hts_6],DIM_PRODUCTS[hts_4],,,)</f>
        <v>8501</v>
      </c>
      <c r="I2754" t="str" cm="1">
        <f t="array" ref="I2754">_xlfn.XLOOKUP(FACT_IMPORTS[[#This Row],[country_name]],DIM_COUNTRY[[#All],[Column2]],DIM_COUNTRY[[#All],[Column3]],,,)</f>
        <v>China</v>
      </c>
    </row>
    <row r="2755" spans="1:9" x14ac:dyDescent="0.4">
      <c r="A2755" t="s">
        <v>66</v>
      </c>
      <c r="B2755" s="1">
        <v>45078</v>
      </c>
      <c r="C2755">
        <v>850440</v>
      </c>
      <c r="D2755" t="s">
        <v>176</v>
      </c>
      <c r="E2755">
        <v>1488590</v>
      </c>
      <c r="F2755">
        <v>25737</v>
      </c>
      <c r="G2755">
        <v>37870</v>
      </c>
      <c r="H2755">
        <f>_xlfn.XLOOKUP(FACT_IMPORTS[[#This Row],[hts_6]],DIM_PRODUCTS[hts_6],DIM_PRODUCTS[hts_4],,,)</f>
        <v>8504</v>
      </c>
      <c r="I2755" t="str" cm="1">
        <f t="array" ref="I2755">_xlfn.XLOOKUP(FACT_IMPORTS[[#This Row],[country_name]],DIM_COUNTRY[[#All],[Column2]],DIM_COUNTRY[[#All],[Column3]],,,)</f>
        <v>China</v>
      </c>
    </row>
    <row r="2756" spans="1:9" x14ac:dyDescent="0.4">
      <c r="A2756" t="s">
        <v>66</v>
      </c>
      <c r="B2756" s="1">
        <v>45078</v>
      </c>
      <c r="C2756">
        <v>850710</v>
      </c>
      <c r="D2756" t="s">
        <v>176</v>
      </c>
      <c r="E2756">
        <v>34829</v>
      </c>
      <c r="F2756">
        <v>669</v>
      </c>
      <c r="G2756">
        <v>2483</v>
      </c>
      <c r="H2756">
        <f>_xlfn.XLOOKUP(FACT_IMPORTS[[#This Row],[hts_6]],DIM_PRODUCTS[hts_6],DIM_PRODUCTS[hts_4],,,)</f>
        <v>8507</v>
      </c>
      <c r="I2756" t="str" cm="1">
        <f t="array" ref="I2756">_xlfn.XLOOKUP(FACT_IMPORTS[[#This Row],[country_name]],DIM_COUNTRY[[#All],[Column2]],DIM_COUNTRY[[#All],[Column3]],,,)</f>
        <v>China</v>
      </c>
    </row>
    <row r="2757" spans="1:9" x14ac:dyDescent="0.4">
      <c r="A2757" t="s">
        <v>66</v>
      </c>
      <c r="B2757" s="1">
        <v>45078</v>
      </c>
      <c r="C2757">
        <v>850760</v>
      </c>
      <c r="D2757" t="s">
        <v>176</v>
      </c>
      <c r="E2757">
        <v>2571323</v>
      </c>
      <c r="F2757">
        <v>29688</v>
      </c>
      <c r="G2757">
        <v>86752</v>
      </c>
      <c r="H2757">
        <f>_xlfn.XLOOKUP(FACT_IMPORTS[[#This Row],[hts_6]],DIM_PRODUCTS[hts_6],DIM_PRODUCTS[hts_4],,,)</f>
        <v>8507</v>
      </c>
      <c r="I2757" t="str" cm="1">
        <f t="array" ref="I2757">_xlfn.XLOOKUP(FACT_IMPORTS[[#This Row],[country_name]],DIM_COUNTRY[[#All],[Column2]],DIM_COUNTRY[[#All],[Column3]],,,)</f>
        <v>China</v>
      </c>
    </row>
    <row r="2758" spans="1:9" x14ac:dyDescent="0.4">
      <c r="A2758" t="s">
        <v>66</v>
      </c>
      <c r="B2758" s="1">
        <v>45078</v>
      </c>
      <c r="C2758">
        <v>850790</v>
      </c>
      <c r="D2758" t="s">
        <v>176</v>
      </c>
      <c r="E2758">
        <v>173998</v>
      </c>
      <c r="F2758">
        <v>3601</v>
      </c>
      <c r="G2758">
        <v>3040</v>
      </c>
      <c r="H2758">
        <f>_xlfn.XLOOKUP(FACT_IMPORTS[[#This Row],[hts_6]],DIM_PRODUCTS[hts_6],DIM_PRODUCTS[hts_4],,,)</f>
        <v>8507</v>
      </c>
      <c r="I2758" t="str" cm="1">
        <f t="array" ref="I2758">_xlfn.XLOOKUP(FACT_IMPORTS[[#This Row],[country_name]],DIM_COUNTRY[[#All],[Column2]],DIM_COUNTRY[[#All],[Column3]],,,)</f>
        <v>China</v>
      </c>
    </row>
    <row r="2759" spans="1:9" x14ac:dyDescent="0.4">
      <c r="A2759" t="s">
        <v>66</v>
      </c>
      <c r="B2759" s="1">
        <v>45078</v>
      </c>
      <c r="C2759">
        <v>851110</v>
      </c>
      <c r="D2759" t="s">
        <v>176</v>
      </c>
      <c r="E2759">
        <v>0</v>
      </c>
      <c r="F2759">
        <v>0</v>
      </c>
      <c r="G2759">
        <v>0</v>
      </c>
      <c r="H2759">
        <f>_xlfn.XLOOKUP(FACT_IMPORTS[[#This Row],[hts_6]],DIM_PRODUCTS[hts_6],DIM_PRODUCTS[hts_4],,,)</f>
        <v>8511</v>
      </c>
      <c r="I2759" t="str" cm="1">
        <f t="array" ref="I2759">_xlfn.XLOOKUP(FACT_IMPORTS[[#This Row],[country_name]],DIM_COUNTRY[[#All],[Column2]],DIM_COUNTRY[[#All],[Column3]],,,)</f>
        <v>China</v>
      </c>
    </row>
    <row r="2760" spans="1:9" x14ac:dyDescent="0.4">
      <c r="A2760" t="s">
        <v>66</v>
      </c>
      <c r="B2760" s="1">
        <v>45078</v>
      </c>
      <c r="C2760">
        <v>851130</v>
      </c>
      <c r="D2760" t="s">
        <v>176</v>
      </c>
      <c r="E2760">
        <v>41405</v>
      </c>
      <c r="F2760">
        <v>7664</v>
      </c>
      <c r="G2760">
        <v>1270</v>
      </c>
      <c r="H2760">
        <f>_xlfn.XLOOKUP(FACT_IMPORTS[[#This Row],[hts_6]],DIM_PRODUCTS[hts_6],DIM_PRODUCTS[hts_4],,,)</f>
        <v>8511</v>
      </c>
      <c r="I2760" t="str" cm="1">
        <f t="array" ref="I2760">_xlfn.XLOOKUP(FACT_IMPORTS[[#This Row],[country_name]],DIM_COUNTRY[[#All],[Column2]],DIM_COUNTRY[[#All],[Column3]],,,)</f>
        <v>China</v>
      </c>
    </row>
    <row r="2761" spans="1:9" x14ac:dyDescent="0.4">
      <c r="A2761" t="s">
        <v>66</v>
      </c>
      <c r="B2761" s="1">
        <v>45078</v>
      </c>
      <c r="C2761">
        <v>851140</v>
      </c>
      <c r="D2761" t="s">
        <v>176</v>
      </c>
      <c r="E2761">
        <v>792037</v>
      </c>
      <c r="F2761">
        <v>13250</v>
      </c>
      <c r="G2761">
        <v>9994</v>
      </c>
      <c r="H2761">
        <f>_xlfn.XLOOKUP(FACT_IMPORTS[[#This Row],[hts_6]],DIM_PRODUCTS[hts_6],DIM_PRODUCTS[hts_4],,,)</f>
        <v>8511</v>
      </c>
      <c r="I2761" t="str" cm="1">
        <f t="array" ref="I2761">_xlfn.XLOOKUP(FACT_IMPORTS[[#This Row],[country_name]],DIM_COUNTRY[[#All],[Column2]],DIM_COUNTRY[[#All],[Column3]],,,)</f>
        <v>China</v>
      </c>
    </row>
    <row r="2762" spans="1:9" x14ac:dyDescent="0.4">
      <c r="A2762" t="s">
        <v>66</v>
      </c>
      <c r="B2762" s="1">
        <v>45078</v>
      </c>
      <c r="C2762">
        <v>851150</v>
      </c>
      <c r="D2762" t="s">
        <v>176</v>
      </c>
      <c r="E2762">
        <v>400015</v>
      </c>
      <c r="F2762">
        <v>14542</v>
      </c>
      <c r="G2762">
        <v>12267</v>
      </c>
      <c r="H2762">
        <f>_xlfn.XLOOKUP(FACT_IMPORTS[[#This Row],[hts_6]],DIM_PRODUCTS[hts_6],DIM_PRODUCTS[hts_4],,,)</f>
        <v>8511</v>
      </c>
      <c r="I2762" t="str" cm="1">
        <f t="array" ref="I2762">_xlfn.XLOOKUP(FACT_IMPORTS[[#This Row],[country_name]],DIM_COUNTRY[[#All],[Column2]],DIM_COUNTRY[[#All],[Column3]],,,)</f>
        <v>China</v>
      </c>
    </row>
    <row r="2763" spans="1:9" x14ac:dyDescent="0.4">
      <c r="A2763" t="s">
        <v>66</v>
      </c>
      <c r="B2763" s="1">
        <v>45078</v>
      </c>
      <c r="C2763">
        <v>851180</v>
      </c>
      <c r="D2763" t="s">
        <v>176</v>
      </c>
      <c r="E2763">
        <v>0</v>
      </c>
      <c r="F2763">
        <v>0</v>
      </c>
      <c r="G2763">
        <v>0</v>
      </c>
      <c r="H2763">
        <f>_xlfn.XLOOKUP(FACT_IMPORTS[[#This Row],[hts_6]],DIM_PRODUCTS[hts_6],DIM_PRODUCTS[hts_4],,,)</f>
        <v>8511</v>
      </c>
      <c r="I2763" t="str" cm="1">
        <f t="array" ref="I2763">_xlfn.XLOOKUP(FACT_IMPORTS[[#This Row],[country_name]],DIM_COUNTRY[[#All],[Column2]],DIM_COUNTRY[[#All],[Column3]],,,)</f>
        <v>China</v>
      </c>
    </row>
    <row r="2764" spans="1:9" x14ac:dyDescent="0.4">
      <c r="A2764" t="s">
        <v>66</v>
      </c>
      <c r="B2764" s="1">
        <v>45078</v>
      </c>
      <c r="C2764">
        <v>851190</v>
      </c>
      <c r="D2764" t="s">
        <v>176</v>
      </c>
      <c r="E2764">
        <v>145273</v>
      </c>
      <c r="F2764">
        <v>44110</v>
      </c>
      <c r="G2764">
        <v>7928</v>
      </c>
      <c r="H2764">
        <f>_xlfn.XLOOKUP(FACT_IMPORTS[[#This Row],[hts_6]],DIM_PRODUCTS[hts_6],DIM_PRODUCTS[hts_4],,,)</f>
        <v>8511</v>
      </c>
      <c r="I2764" t="str" cm="1">
        <f t="array" ref="I2764">_xlfn.XLOOKUP(FACT_IMPORTS[[#This Row],[country_name]],DIM_COUNTRY[[#All],[Column2]],DIM_COUNTRY[[#All],[Column3]],,,)</f>
        <v>China</v>
      </c>
    </row>
    <row r="2765" spans="1:9" x14ac:dyDescent="0.4">
      <c r="A2765" t="s">
        <v>66</v>
      </c>
      <c r="B2765" s="1">
        <v>45078</v>
      </c>
      <c r="C2765">
        <v>851220</v>
      </c>
      <c r="D2765" t="s">
        <v>176</v>
      </c>
      <c r="E2765">
        <v>5259469</v>
      </c>
      <c r="F2765">
        <v>1320803</v>
      </c>
      <c r="G2765">
        <v>149583</v>
      </c>
      <c r="H2765">
        <f>_xlfn.XLOOKUP(FACT_IMPORTS[[#This Row],[hts_6]],DIM_PRODUCTS[hts_6],DIM_PRODUCTS[hts_4],,,)</f>
        <v>8512</v>
      </c>
      <c r="I2765" t="str" cm="1">
        <f t="array" ref="I2765">_xlfn.XLOOKUP(FACT_IMPORTS[[#This Row],[country_name]],DIM_COUNTRY[[#All],[Column2]],DIM_COUNTRY[[#All],[Column3]],,,)</f>
        <v>China</v>
      </c>
    </row>
    <row r="2766" spans="1:9" x14ac:dyDescent="0.4">
      <c r="A2766" t="s">
        <v>66</v>
      </c>
      <c r="B2766" s="1">
        <v>45078</v>
      </c>
      <c r="C2766">
        <v>851230</v>
      </c>
      <c r="D2766" t="s">
        <v>176</v>
      </c>
      <c r="E2766">
        <v>43094</v>
      </c>
      <c r="F2766">
        <v>15502</v>
      </c>
      <c r="G2766">
        <v>2816</v>
      </c>
      <c r="H2766">
        <f>_xlfn.XLOOKUP(FACT_IMPORTS[[#This Row],[hts_6]],DIM_PRODUCTS[hts_6],DIM_PRODUCTS[hts_4],,,)</f>
        <v>8512</v>
      </c>
      <c r="I2766" t="str" cm="1">
        <f t="array" ref="I2766">_xlfn.XLOOKUP(FACT_IMPORTS[[#This Row],[country_name]],DIM_COUNTRY[[#All],[Column2]],DIM_COUNTRY[[#All],[Column3]],,,)</f>
        <v>China</v>
      </c>
    </row>
    <row r="2767" spans="1:9" x14ac:dyDescent="0.4">
      <c r="A2767" t="s">
        <v>66</v>
      </c>
      <c r="B2767" s="1">
        <v>45078</v>
      </c>
      <c r="C2767">
        <v>851240</v>
      </c>
      <c r="D2767" t="s">
        <v>176</v>
      </c>
      <c r="E2767">
        <v>0</v>
      </c>
      <c r="F2767">
        <v>0</v>
      </c>
      <c r="G2767">
        <v>0</v>
      </c>
      <c r="H2767">
        <f>_xlfn.XLOOKUP(FACT_IMPORTS[[#This Row],[hts_6]],DIM_PRODUCTS[hts_6],DIM_PRODUCTS[hts_4],,,)</f>
        <v>8512</v>
      </c>
      <c r="I2767" t="str" cm="1">
        <f t="array" ref="I2767">_xlfn.XLOOKUP(FACT_IMPORTS[[#This Row],[country_name]],DIM_COUNTRY[[#All],[Column2]],DIM_COUNTRY[[#All],[Column3]],,,)</f>
        <v>China</v>
      </c>
    </row>
    <row r="2768" spans="1:9" x14ac:dyDescent="0.4">
      <c r="A2768" t="s">
        <v>66</v>
      </c>
      <c r="B2768" s="1">
        <v>45078</v>
      </c>
      <c r="C2768">
        <v>851290</v>
      </c>
      <c r="D2768" t="s">
        <v>176</v>
      </c>
      <c r="E2768">
        <v>1004019</v>
      </c>
      <c r="F2768">
        <v>12915</v>
      </c>
      <c r="G2768">
        <v>15451</v>
      </c>
      <c r="H2768">
        <f>_xlfn.XLOOKUP(FACT_IMPORTS[[#This Row],[hts_6]],DIM_PRODUCTS[hts_6],DIM_PRODUCTS[hts_4],,,)</f>
        <v>8512</v>
      </c>
      <c r="I2768" t="str" cm="1">
        <f t="array" ref="I2768">_xlfn.XLOOKUP(FACT_IMPORTS[[#This Row],[country_name]],DIM_COUNTRY[[#All],[Column2]],DIM_COUNTRY[[#All],[Column3]],,,)</f>
        <v>China</v>
      </c>
    </row>
    <row r="2769" spans="1:9" x14ac:dyDescent="0.4">
      <c r="A2769" t="s">
        <v>66</v>
      </c>
      <c r="B2769" s="1">
        <v>45078</v>
      </c>
      <c r="C2769">
        <v>854231</v>
      </c>
      <c r="D2769" t="s">
        <v>176</v>
      </c>
      <c r="E2769">
        <v>1965995</v>
      </c>
      <c r="F2769">
        <v>318573</v>
      </c>
      <c r="G2769">
        <v>213339</v>
      </c>
      <c r="H2769">
        <f>_xlfn.XLOOKUP(FACT_IMPORTS[[#This Row],[hts_6]],DIM_PRODUCTS[hts_6],DIM_PRODUCTS[hts_4],,,)</f>
        <v>8542</v>
      </c>
      <c r="I2769" t="str" cm="1">
        <f t="array" ref="I2769">_xlfn.XLOOKUP(FACT_IMPORTS[[#This Row],[country_name]],DIM_COUNTRY[[#All],[Column2]],DIM_COUNTRY[[#All],[Column3]],,,)</f>
        <v>China</v>
      </c>
    </row>
    <row r="2770" spans="1:9" x14ac:dyDescent="0.4">
      <c r="A2770" t="s">
        <v>66</v>
      </c>
      <c r="B2770" s="1">
        <v>45078</v>
      </c>
      <c r="C2770">
        <v>854232</v>
      </c>
      <c r="D2770" t="s">
        <v>176</v>
      </c>
      <c r="E2770">
        <v>0</v>
      </c>
      <c r="F2770">
        <v>0</v>
      </c>
      <c r="G2770">
        <v>0</v>
      </c>
      <c r="H2770">
        <f>_xlfn.XLOOKUP(FACT_IMPORTS[[#This Row],[hts_6]],DIM_PRODUCTS[hts_6],DIM_PRODUCTS[hts_4],,,)</f>
        <v>8542</v>
      </c>
      <c r="I2770" t="str" cm="1">
        <f t="array" ref="I2770">_xlfn.XLOOKUP(FACT_IMPORTS[[#This Row],[country_name]],DIM_COUNTRY[[#All],[Column2]],DIM_COUNTRY[[#All],[Column3]],,,)</f>
        <v>China</v>
      </c>
    </row>
    <row r="2771" spans="1:9" x14ac:dyDescent="0.4">
      <c r="A2771" t="s">
        <v>66</v>
      </c>
      <c r="B2771" s="1">
        <v>45078</v>
      </c>
      <c r="C2771">
        <v>854233</v>
      </c>
      <c r="D2771" t="s">
        <v>176</v>
      </c>
      <c r="E2771">
        <v>0</v>
      </c>
      <c r="F2771">
        <v>0</v>
      </c>
      <c r="G2771">
        <v>0</v>
      </c>
      <c r="H2771">
        <f>_xlfn.XLOOKUP(FACT_IMPORTS[[#This Row],[hts_6]],DIM_PRODUCTS[hts_6],DIM_PRODUCTS[hts_4],,,)</f>
        <v>8542</v>
      </c>
      <c r="I2771" t="str" cm="1">
        <f t="array" ref="I2771">_xlfn.XLOOKUP(FACT_IMPORTS[[#This Row],[country_name]],DIM_COUNTRY[[#All],[Column2]],DIM_COUNTRY[[#All],[Column3]],,,)</f>
        <v>China</v>
      </c>
    </row>
    <row r="2772" spans="1:9" x14ac:dyDescent="0.4">
      <c r="A2772" t="s">
        <v>66</v>
      </c>
      <c r="B2772" s="1">
        <v>45078</v>
      </c>
      <c r="C2772">
        <v>854239</v>
      </c>
      <c r="D2772" t="s">
        <v>176</v>
      </c>
      <c r="E2772">
        <v>1189580</v>
      </c>
      <c r="F2772">
        <v>908146</v>
      </c>
      <c r="G2772">
        <v>116117</v>
      </c>
      <c r="H2772">
        <f>_xlfn.XLOOKUP(FACT_IMPORTS[[#This Row],[hts_6]],DIM_PRODUCTS[hts_6],DIM_PRODUCTS[hts_4],,,)</f>
        <v>8542</v>
      </c>
      <c r="I2772" t="str" cm="1">
        <f t="array" ref="I2772">_xlfn.XLOOKUP(FACT_IMPORTS[[#This Row],[country_name]],DIM_COUNTRY[[#All],[Column2]],DIM_COUNTRY[[#All],[Column3]],,,)</f>
        <v>China</v>
      </c>
    </row>
    <row r="2773" spans="1:9" x14ac:dyDescent="0.4">
      <c r="A2773" t="s">
        <v>66</v>
      </c>
      <c r="B2773" s="1">
        <v>45078</v>
      </c>
      <c r="C2773">
        <v>854290</v>
      </c>
      <c r="D2773" t="s">
        <v>176</v>
      </c>
      <c r="E2773">
        <v>0</v>
      </c>
      <c r="F2773">
        <v>0</v>
      </c>
      <c r="G2773">
        <v>0</v>
      </c>
      <c r="H2773">
        <f>_xlfn.XLOOKUP(FACT_IMPORTS[[#This Row],[hts_6]],DIM_PRODUCTS[hts_6],DIM_PRODUCTS[hts_4],,,)</f>
        <v>8542</v>
      </c>
      <c r="I2773" t="str" cm="1">
        <f t="array" ref="I2773">_xlfn.XLOOKUP(FACT_IMPORTS[[#This Row],[country_name]],DIM_COUNTRY[[#All],[Column2]],DIM_COUNTRY[[#All],[Column3]],,,)</f>
        <v>China</v>
      </c>
    </row>
    <row r="2774" spans="1:9" x14ac:dyDescent="0.4">
      <c r="A2774" t="s">
        <v>66</v>
      </c>
      <c r="B2774" s="1">
        <v>45078</v>
      </c>
      <c r="C2774">
        <v>854430</v>
      </c>
      <c r="D2774" t="s">
        <v>176</v>
      </c>
      <c r="E2774">
        <v>1408140</v>
      </c>
      <c r="F2774">
        <v>97529</v>
      </c>
      <c r="G2774">
        <v>8232</v>
      </c>
      <c r="H2774">
        <f>_xlfn.XLOOKUP(FACT_IMPORTS[[#This Row],[hts_6]],DIM_PRODUCTS[hts_6],DIM_PRODUCTS[hts_4],,,)</f>
        <v>8544</v>
      </c>
      <c r="I2774" t="str" cm="1">
        <f t="array" ref="I2774">_xlfn.XLOOKUP(FACT_IMPORTS[[#This Row],[country_name]],DIM_COUNTRY[[#All],[Column2]],DIM_COUNTRY[[#All],[Column3]],,,)</f>
        <v>China</v>
      </c>
    </row>
    <row r="2775" spans="1:9" x14ac:dyDescent="0.4">
      <c r="A2775" t="s">
        <v>66</v>
      </c>
      <c r="B2775" s="1">
        <v>45078</v>
      </c>
      <c r="C2775">
        <v>870790</v>
      </c>
      <c r="D2775" t="s">
        <v>176</v>
      </c>
      <c r="E2775">
        <v>131390</v>
      </c>
      <c r="F2775">
        <v>14</v>
      </c>
      <c r="G2775">
        <v>21000</v>
      </c>
      <c r="H2775">
        <f>_xlfn.XLOOKUP(FACT_IMPORTS[[#This Row],[hts_6]],DIM_PRODUCTS[hts_6],DIM_PRODUCTS[hts_4],,,)</f>
        <v>8707</v>
      </c>
      <c r="I2775" t="str" cm="1">
        <f t="array" ref="I2775">_xlfn.XLOOKUP(FACT_IMPORTS[[#This Row],[country_name]],DIM_COUNTRY[[#All],[Column2]],DIM_COUNTRY[[#All],[Column3]],,,)</f>
        <v>China</v>
      </c>
    </row>
    <row r="2776" spans="1:9" x14ac:dyDescent="0.4">
      <c r="A2776" t="s">
        <v>66</v>
      </c>
      <c r="B2776" s="1">
        <v>45078</v>
      </c>
      <c r="C2776">
        <v>870810</v>
      </c>
      <c r="D2776" t="s">
        <v>176</v>
      </c>
      <c r="E2776">
        <v>870955</v>
      </c>
      <c r="F2776">
        <v>42669</v>
      </c>
      <c r="G2776">
        <v>50938</v>
      </c>
      <c r="H2776">
        <f>_xlfn.XLOOKUP(FACT_IMPORTS[[#This Row],[hts_6]],DIM_PRODUCTS[hts_6],DIM_PRODUCTS[hts_4],,,)</f>
        <v>8708</v>
      </c>
      <c r="I2776" t="str" cm="1">
        <f t="array" ref="I2776">_xlfn.XLOOKUP(FACT_IMPORTS[[#This Row],[country_name]],DIM_COUNTRY[[#All],[Column2]],DIM_COUNTRY[[#All],[Column3]],,,)</f>
        <v>China</v>
      </c>
    </row>
    <row r="2777" spans="1:9" x14ac:dyDescent="0.4">
      <c r="A2777" t="s">
        <v>66</v>
      </c>
      <c r="B2777" s="1">
        <v>45078</v>
      </c>
      <c r="C2777">
        <v>870821</v>
      </c>
      <c r="D2777" t="s">
        <v>176</v>
      </c>
      <c r="E2777">
        <v>13354</v>
      </c>
      <c r="F2777">
        <v>1912</v>
      </c>
      <c r="G2777">
        <v>621</v>
      </c>
      <c r="H2777">
        <f>_xlfn.XLOOKUP(FACT_IMPORTS[[#This Row],[hts_6]],DIM_PRODUCTS[hts_6],DIM_PRODUCTS[hts_4],,,)</f>
        <v>8708</v>
      </c>
      <c r="I2777" t="str" cm="1">
        <f t="array" ref="I2777">_xlfn.XLOOKUP(FACT_IMPORTS[[#This Row],[country_name]],DIM_COUNTRY[[#All],[Column2]],DIM_COUNTRY[[#All],[Column3]],,,)</f>
        <v>China</v>
      </c>
    </row>
    <row r="2778" spans="1:9" x14ac:dyDescent="0.4">
      <c r="A2778" t="s">
        <v>66</v>
      </c>
      <c r="B2778" s="1">
        <v>45078</v>
      </c>
      <c r="C2778">
        <v>870822</v>
      </c>
      <c r="D2778" t="s">
        <v>176</v>
      </c>
      <c r="E2778">
        <v>596250</v>
      </c>
      <c r="F2778">
        <v>72368</v>
      </c>
      <c r="G2778">
        <v>32614</v>
      </c>
      <c r="H2778">
        <f>_xlfn.XLOOKUP(FACT_IMPORTS[[#This Row],[hts_6]],DIM_PRODUCTS[hts_6],DIM_PRODUCTS[hts_4],,,)</f>
        <v>8708</v>
      </c>
      <c r="I2778" t="str" cm="1">
        <f t="array" ref="I2778">_xlfn.XLOOKUP(FACT_IMPORTS[[#This Row],[country_name]],DIM_COUNTRY[[#All],[Column2]],DIM_COUNTRY[[#All],[Column3]],,,)</f>
        <v>China</v>
      </c>
    </row>
    <row r="2779" spans="1:9" x14ac:dyDescent="0.4">
      <c r="A2779" t="s">
        <v>66</v>
      </c>
      <c r="B2779" s="1">
        <v>45078</v>
      </c>
      <c r="C2779">
        <v>870829</v>
      </c>
      <c r="D2779" t="s">
        <v>176</v>
      </c>
      <c r="E2779">
        <v>23418419</v>
      </c>
      <c r="F2779">
        <v>5245436</v>
      </c>
      <c r="G2779">
        <v>624034</v>
      </c>
      <c r="H2779">
        <f>_xlfn.XLOOKUP(FACT_IMPORTS[[#This Row],[hts_6]],DIM_PRODUCTS[hts_6],DIM_PRODUCTS[hts_4],,,)</f>
        <v>8708</v>
      </c>
      <c r="I2779" t="str" cm="1">
        <f t="array" ref="I2779">_xlfn.XLOOKUP(FACT_IMPORTS[[#This Row],[country_name]],DIM_COUNTRY[[#All],[Column2]],DIM_COUNTRY[[#All],[Column3]],,,)</f>
        <v>China</v>
      </c>
    </row>
    <row r="2780" spans="1:9" x14ac:dyDescent="0.4">
      <c r="A2780" t="s">
        <v>66</v>
      </c>
      <c r="B2780" s="1">
        <v>45078</v>
      </c>
      <c r="C2780">
        <v>870830</v>
      </c>
      <c r="D2780" t="s">
        <v>176</v>
      </c>
      <c r="E2780">
        <v>6741362</v>
      </c>
      <c r="F2780">
        <v>428924</v>
      </c>
      <c r="G2780">
        <v>257983</v>
      </c>
      <c r="H2780">
        <f>_xlfn.XLOOKUP(FACT_IMPORTS[[#This Row],[hts_6]],DIM_PRODUCTS[hts_6],DIM_PRODUCTS[hts_4],,,)</f>
        <v>8708</v>
      </c>
      <c r="I2780" t="str" cm="1">
        <f t="array" ref="I2780">_xlfn.XLOOKUP(FACT_IMPORTS[[#This Row],[country_name]],DIM_COUNTRY[[#All],[Column2]],DIM_COUNTRY[[#All],[Column3]],,,)</f>
        <v>China</v>
      </c>
    </row>
    <row r="2781" spans="1:9" x14ac:dyDescent="0.4">
      <c r="A2781" t="s">
        <v>66</v>
      </c>
      <c r="B2781" s="1">
        <v>45078</v>
      </c>
      <c r="C2781">
        <v>870840</v>
      </c>
      <c r="D2781" t="s">
        <v>176</v>
      </c>
      <c r="E2781">
        <v>4763463</v>
      </c>
      <c r="F2781">
        <v>842359</v>
      </c>
      <c r="G2781">
        <v>153736</v>
      </c>
      <c r="H2781">
        <f>_xlfn.XLOOKUP(FACT_IMPORTS[[#This Row],[hts_6]],DIM_PRODUCTS[hts_6],DIM_PRODUCTS[hts_4],,,)</f>
        <v>8708</v>
      </c>
      <c r="I2781" t="str" cm="1">
        <f t="array" ref="I2781">_xlfn.XLOOKUP(FACT_IMPORTS[[#This Row],[country_name]],DIM_COUNTRY[[#All],[Column2]],DIM_COUNTRY[[#All],[Column3]],,,)</f>
        <v>China</v>
      </c>
    </row>
    <row r="2782" spans="1:9" x14ac:dyDescent="0.4">
      <c r="A2782" t="s">
        <v>66</v>
      </c>
      <c r="B2782" s="1">
        <v>45078</v>
      </c>
      <c r="C2782">
        <v>870850</v>
      </c>
      <c r="D2782" t="s">
        <v>176</v>
      </c>
      <c r="E2782">
        <v>5642999</v>
      </c>
      <c r="F2782">
        <v>783284</v>
      </c>
      <c r="G2782">
        <v>141219</v>
      </c>
      <c r="H2782">
        <f>_xlfn.XLOOKUP(FACT_IMPORTS[[#This Row],[hts_6]],DIM_PRODUCTS[hts_6],DIM_PRODUCTS[hts_4],,,)</f>
        <v>8708</v>
      </c>
      <c r="I2782" t="str" cm="1">
        <f t="array" ref="I2782">_xlfn.XLOOKUP(FACT_IMPORTS[[#This Row],[country_name]],DIM_COUNTRY[[#All],[Column2]],DIM_COUNTRY[[#All],[Column3]],,,)</f>
        <v>China</v>
      </c>
    </row>
    <row r="2783" spans="1:9" x14ac:dyDescent="0.4">
      <c r="A2783" t="s">
        <v>66</v>
      </c>
      <c r="B2783" s="1">
        <v>45078</v>
      </c>
      <c r="C2783">
        <v>870870</v>
      </c>
      <c r="D2783" t="s">
        <v>176</v>
      </c>
      <c r="E2783">
        <v>51016657</v>
      </c>
      <c r="F2783">
        <v>1555020</v>
      </c>
      <c r="G2783">
        <v>1943920</v>
      </c>
      <c r="H2783">
        <f>_xlfn.XLOOKUP(FACT_IMPORTS[[#This Row],[hts_6]],DIM_PRODUCTS[hts_6],DIM_PRODUCTS[hts_4],,,)</f>
        <v>8708</v>
      </c>
      <c r="I2783" t="str" cm="1">
        <f t="array" ref="I2783">_xlfn.XLOOKUP(FACT_IMPORTS[[#This Row],[country_name]],DIM_COUNTRY[[#All],[Column2]],DIM_COUNTRY[[#All],[Column3]],,,)</f>
        <v>China</v>
      </c>
    </row>
    <row r="2784" spans="1:9" x14ac:dyDescent="0.4">
      <c r="A2784" t="s">
        <v>66</v>
      </c>
      <c r="B2784" s="1">
        <v>45078</v>
      </c>
      <c r="C2784">
        <v>870880</v>
      </c>
      <c r="D2784" t="s">
        <v>176</v>
      </c>
      <c r="E2784">
        <v>12711120</v>
      </c>
      <c r="F2784">
        <v>2607996</v>
      </c>
      <c r="G2784">
        <v>279767</v>
      </c>
      <c r="H2784">
        <f>_xlfn.XLOOKUP(FACT_IMPORTS[[#This Row],[hts_6]],DIM_PRODUCTS[hts_6],DIM_PRODUCTS[hts_4],,,)</f>
        <v>8708</v>
      </c>
      <c r="I2784" t="str" cm="1">
        <f t="array" ref="I2784">_xlfn.XLOOKUP(FACT_IMPORTS[[#This Row],[country_name]],DIM_COUNTRY[[#All],[Column2]],DIM_COUNTRY[[#All],[Column3]],,,)</f>
        <v>China</v>
      </c>
    </row>
    <row r="2785" spans="1:9" x14ac:dyDescent="0.4">
      <c r="A2785" t="s">
        <v>66</v>
      </c>
      <c r="B2785" s="1">
        <v>45078</v>
      </c>
      <c r="C2785">
        <v>870891</v>
      </c>
      <c r="D2785" t="s">
        <v>176</v>
      </c>
      <c r="E2785">
        <v>173262</v>
      </c>
      <c r="F2785">
        <v>3735</v>
      </c>
      <c r="G2785">
        <v>5001</v>
      </c>
      <c r="H2785">
        <f>_xlfn.XLOOKUP(FACT_IMPORTS[[#This Row],[hts_6]],DIM_PRODUCTS[hts_6],DIM_PRODUCTS[hts_4],,,)</f>
        <v>8708</v>
      </c>
      <c r="I2785" t="str" cm="1">
        <f t="array" ref="I2785">_xlfn.XLOOKUP(FACT_IMPORTS[[#This Row],[country_name]],DIM_COUNTRY[[#All],[Column2]],DIM_COUNTRY[[#All],[Column3]],,,)</f>
        <v>China</v>
      </c>
    </row>
    <row r="2786" spans="1:9" x14ac:dyDescent="0.4">
      <c r="A2786" t="s">
        <v>66</v>
      </c>
      <c r="B2786" s="1">
        <v>45078</v>
      </c>
      <c r="C2786">
        <v>870892</v>
      </c>
      <c r="D2786" t="s">
        <v>176</v>
      </c>
      <c r="E2786">
        <v>7990027</v>
      </c>
      <c r="F2786">
        <v>1205326</v>
      </c>
      <c r="G2786">
        <v>358399</v>
      </c>
      <c r="H2786">
        <f>_xlfn.XLOOKUP(FACT_IMPORTS[[#This Row],[hts_6]],DIM_PRODUCTS[hts_6],DIM_PRODUCTS[hts_4],,,)</f>
        <v>8708</v>
      </c>
      <c r="I2786" t="str" cm="1">
        <f t="array" ref="I2786">_xlfn.XLOOKUP(FACT_IMPORTS[[#This Row],[country_name]],DIM_COUNTRY[[#All],[Column2]],DIM_COUNTRY[[#All],[Column3]],,,)</f>
        <v>China</v>
      </c>
    </row>
    <row r="2787" spans="1:9" x14ac:dyDescent="0.4">
      <c r="A2787" t="s">
        <v>66</v>
      </c>
      <c r="B2787" s="1">
        <v>45078</v>
      </c>
      <c r="C2787">
        <v>870893</v>
      </c>
      <c r="D2787" t="s">
        <v>176</v>
      </c>
      <c r="E2787">
        <v>458326</v>
      </c>
      <c r="F2787">
        <v>137375</v>
      </c>
      <c r="G2787">
        <v>14980</v>
      </c>
      <c r="H2787">
        <f>_xlfn.XLOOKUP(FACT_IMPORTS[[#This Row],[hts_6]],DIM_PRODUCTS[hts_6],DIM_PRODUCTS[hts_4],,,)</f>
        <v>8708</v>
      </c>
      <c r="I2787" t="str" cm="1">
        <f t="array" ref="I2787">_xlfn.XLOOKUP(FACT_IMPORTS[[#This Row],[country_name]],DIM_COUNTRY[[#All],[Column2]],DIM_COUNTRY[[#All],[Column3]],,,)</f>
        <v>China</v>
      </c>
    </row>
    <row r="2788" spans="1:9" x14ac:dyDescent="0.4">
      <c r="A2788" t="s">
        <v>66</v>
      </c>
      <c r="B2788" s="1">
        <v>45078</v>
      </c>
      <c r="C2788">
        <v>870894</v>
      </c>
      <c r="D2788" t="s">
        <v>176</v>
      </c>
      <c r="E2788">
        <v>10245406</v>
      </c>
      <c r="F2788">
        <v>334553</v>
      </c>
      <c r="G2788">
        <v>1122485</v>
      </c>
      <c r="H2788">
        <f>_xlfn.XLOOKUP(FACT_IMPORTS[[#This Row],[hts_6]],DIM_PRODUCTS[hts_6],DIM_PRODUCTS[hts_4],,,)</f>
        <v>8708</v>
      </c>
      <c r="I2788" t="str" cm="1">
        <f t="array" ref="I2788">_xlfn.XLOOKUP(FACT_IMPORTS[[#This Row],[country_name]],DIM_COUNTRY[[#All],[Column2]],DIM_COUNTRY[[#All],[Column3]],,,)</f>
        <v>China</v>
      </c>
    </row>
    <row r="2789" spans="1:9" x14ac:dyDescent="0.4">
      <c r="A2789" t="s">
        <v>66</v>
      </c>
      <c r="B2789" s="1">
        <v>45078</v>
      </c>
      <c r="C2789">
        <v>870895</v>
      </c>
      <c r="D2789" t="s">
        <v>176</v>
      </c>
      <c r="E2789">
        <v>602636</v>
      </c>
      <c r="F2789">
        <v>15461</v>
      </c>
      <c r="G2789">
        <v>2411</v>
      </c>
      <c r="H2789">
        <f>_xlfn.XLOOKUP(FACT_IMPORTS[[#This Row],[hts_6]],DIM_PRODUCTS[hts_6],DIM_PRODUCTS[hts_4],,,)</f>
        <v>8708</v>
      </c>
      <c r="I2789" t="str" cm="1">
        <f t="array" ref="I2789">_xlfn.XLOOKUP(FACT_IMPORTS[[#This Row],[country_name]],DIM_COUNTRY[[#All],[Column2]],DIM_COUNTRY[[#All],[Column3]],,,)</f>
        <v>China</v>
      </c>
    </row>
    <row r="2790" spans="1:9" x14ac:dyDescent="0.4">
      <c r="A2790" t="s">
        <v>66</v>
      </c>
      <c r="B2790" s="1">
        <v>45078</v>
      </c>
      <c r="C2790">
        <v>870899</v>
      </c>
      <c r="D2790" t="s">
        <v>176</v>
      </c>
      <c r="E2790">
        <v>13075717</v>
      </c>
      <c r="F2790">
        <v>2634591</v>
      </c>
      <c r="G2790">
        <v>553375</v>
      </c>
      <c r="H2790">
        <f>_xlfn.XLOOKUP(FACT_IMPORTS[[#This Row],[hts_6]],DIM_PRODUCTS[hts_6],DIM_PRODUCTS[hts_4],,,)</f>
        <v>8708</v>
      </c>
      <c r="I2790" t="str" cm="1">
        <f t="array" ref="I2790">_xlfn.XLOOKUP(FACT_IMPORTS[[#This Row],[country_name]],DIM_COUNTRY[[#All],[Column2]],DIM_COUNTRY[[#All],[Column3]],,,)</f>
        <v>China</v>
      </c>
    </row>
    <row r="2791" spans="1:9" x14ac:dyDescent="0.4">
      <c r="A2791" t="s">
        <v>66</v>
      </c>
      <c r="B2791" s="1">
        <v>45078</v>
      </c>
      <c r="C2791">
        <v>940120</v>
      </c>
      <c r="D2791" t="s">
        <v>176</v>
      </c>
      <c r="E2791">
        <v>572</v>
      </c>
      <c r="F2791">
        <v>5</v>
      </c>
      <c r="G2791">
        <v>137</v>
      </c>
      <c r="H2791">
        <f>_xlfn.XLOOKUP(FACT_IMPORTS[[#This Row],[hts_6]],DIM_PRODUCTS[hts_6],DIM_PRODUCTS[hts_4],,,)</f>
        <v>9401</v>
      </c>
      <c r="I2791" t="str" cm="1">
        <f t="array" ref="I2791">_xlfn.XLOOKUP(FACT_IMPORTS[[#This Row],[country_name]],DIM_COUNTRY[[#All],[Column2]],DIM_COUNTRY[[#All],[Column3]],,,)</f>
        <v>China</v>
      </c>
    </row>
    <row r="2792" spans="1:9" x14ac:dyDescent="0.4">
      <c r="A2792" t="s">
        <v>66</v>
      </c>
      <c r="B2792" s="1">
        <v>45108</v>
      </c>
      <c r="C2792">
        <v>392630</v>
      </c>
      <c r="D2792" t="s">
        <v>176</v>
      </c>
      <c r="E2792">
        <v>7666185</v>
      </c>
      <c r="F2792">
        <v>371082</v>
      </c>
      <c r="G2792">
        <v>379354</v>
      </c>
      <c r="H2792">
        <f>_xlfn.XLOOKUP(FACT_IMPORTS[[#This Row],[hts_6]],DIM_PRODUCTS[hts_6],DIM_PRODUCTS[hts_4],,,)</f>
        <v>3926</v>
      </c>
      <c r="I2792" t="str" cm="1">
        <f t="array" ref="I2792">_xlfn.XLOOKUP(FACT_IMPORTS[[#This Row],[country_name]],DIM_COUNTRY[[#All],[Column2]],DIM_COUNTRY[[#All],[Column3]],,,)</f>
        <v>China</v>
      </c>
    </row>
    <row r="2793" spans="1:9" x14ac:dyDescent="0.4">
      <c r="A2793" t="s">
        <v>66</v>
      </c>
      <c r="B2793" s="1">
        <v>45108</v>
      </c>
      <c r="C2793">
        <v>401110</v>
      </c>
      <c r="D2793" t="s">
        <v>176</v>
      </c>
      <c r="E2793">
        <v>25839</v>
      </c>
      <c r="F2793">
        <v>770</v>
      </c>
      <c r="G2793">
        <v>4030</v>
      </c>
      <c r="H2793">
        <f>_xlfn.XLOOKUP(FACT_IMPORTS[[#This Row],[hts_6]],DIM_PRODUCTS[hts_6],DIM_PRODUCTS[hts_4],,,)</f>
        <v>4011</v>
      </c>
      <c r="I2793" t="str" cm="1">
        <f t="array" ref="I2793">_xlfn.XLOOKUP(FACT_IMPORTS[[#This Row],[country_name]],DIM_COUNTRY[[#All],[Column2]],DIM_COUNTRY[[#All],[Column3]],,,)</f>
        <v>China</v>
      </c>
    </row>
    <row r="2794" spans="1:9" x14ac:dyDescent="0.4">
      <c r="A2794" t="s">
        <v>66</v>
      </c>
      <c r="B2794" s="1">
        <v>45108</v>
      </c>
      <c r="C2794">
        <v>401120</v>
      </c>
      <c r="D2794" t="s">
        <v>176</v>
      </c>
      <c r="E2794">
        <v>79653</v>
      </c>
      <c r="F2794">
        <v>669</v>
      </c>
      <c r="G2794">
        <v>6085</v>
      </c>
      <c r="H2794">
        <f>_xlfn.XLOOKUP(FACT_IMPORTS[[#This Row],[hts_6]],DIM_PRODUCTS[hts_6],DIM_PRODUCTS[hts_4],,,)</f>
        <v>4011</v>
      </c>
      <c r="I2794" t="str" cm="1">
        <f t="array" ref="I2794">_xlfn.XLOOKUP(FACT_IMPORTS[[#This Row],[country_name]],DIM_COUNTRY[[#All],[Column2]],DIM_COUNTRY[[#All],[Column3]],,,)</f>
        <v>China</v>
      </c>
    </row>
    <row r="2795" spans="1:9" x14ac:dyDescent="0.4">
      <c r="A2795" t="s">
        <v>66</v>
      </c>
      <c r="B2795" s="1">
        <v>45108</v>
      </c>
      <c r="C2795">
        <v>401140</v>
      </c>
      <c r="D2795" t="s">
        <v>176</v>
      </c>
      <c r="E2795">
        <v>30577</v>
      </c>
      <c r="F2795">
        <v>515</v>
      </c>
      <c r="G2795">
        <v>32</v>
      </c>
      <c r="H2795">
        <f>_xlfn.XLOOKUP(FACT_IMPORTS[[#This Row],[hts_6]],DIM_PRODUCTS[hts_6],DIM_PRODUCTS[hts_4],,,)</f>
        <v>4011</v>
      </c>
      <c r="I2795" t="str" cm="1">
        <f t="array" ref="I2795">_xlfn.XLOOKUP(FACT_IMPORTS[[#This Row],[country_name]],DIM_COUNTRY[[#All],[Column2]],DIM_COUNTRY[[#All],[Column3]],,,)</f>
        <v>China</v>
      </c>
    </row>
    <row r="2796" spans="1:9" x14ac:dyDescent="0.4">
      <c r="A2796" t="s">
        <v>66</v>
      </c>
      <c r="B2796" s="1">
        <v>45108</v>
      </c>
      <c r="C2796">
        <v>401190</v>
      </c>
      <c r="D2796" t="s">
        <v>176</v>
      </c>
      <c r="E2796">
        <v>320023</v>
      </c>
      <c r="F2796">
        <v>18214</v>
      </c>
      <c r="G2796">
        <v>30591</v>
      </c>
      <c r="H2796">
        <f>_xlfn.XLOOKUP(FACT_IMPORTS[[#This Row],[hts_6]],DIM_PRODUCTS[hts_6],DIM_PRODUCTS[hts_4],,,)</f>
        <v>4011</v>
      </c>
      <c r="I2796" t="str" cm="1">
        <f t="array" ref="I2796">_xlfn.XLOOKUP(FACT_IMPORTS[[#This Row],[country_name]],DIM_COUNTRY[[#All],[Column2]],DIM_COUNTRY[[#All],[Column3]],,,)</f>
        <v>China</v>
      </c>
    </row>
    <row r="2797" spans="1:9" x14ac:dyDescent="0.4">
      <c r="A2797" t="s">
        <v>66</v>
      </c>
      <c r="B2797" s="1">
        <v>45108</v>
      </c>
      <c r="C2797">
        <v>700711</v>
      </c>
      <c r="D2797" t="s">
        <v>176</v>
      </c>
      <c r="E2797">
        <v>1558523</v>
      </c>
      <c r="F2797">
        <v>124969</v>
      </c>
      <c r="G2797">
        <v>129847</v>
      </c>
      <c r="H2797">
        <f>_xlfn.XLOOKUP(FACT_IMPORTS[[#This Row],[hts_6]],DIM_PRODUCTS[hts_6],DIM_PRODUCTS[hts_4],,,)</f>
        <v>7007</v>
      </c>
      <c r="I2797" t="str" cm="1">
        <f t="array" ref="I2797">_xlfn.XLOOKUP(FACT_IMPORTS[[#This Row],[country_name]],DIM_COUNTRY[[#All],[Column2]],DIM_COUNTRY[[#All],[Column3]],,,)</f>
        <v>China</v>
      </c>
    </row>
    <row r="2798" spans="1:9" x14ac:dyDescent="0.4">
      <c r="A2798" t="s">
        <v>66</v>
      </c>
      <c r="B2798" s="1">
        <v>45108</v>
      </c>
      <c r="C2798">
        <v>700721</v>
      </c>
      <c r="D2798" t="s">
        <v>176</v>
      </c>
      <c r="E2798">
        <v>157401</v>
      </c>
      <c r="F2798">
        <v>11600</v>
      </c>
      <c r="G2798">
        <v>19800</v>
      </c>
      <c r="H2798">
        <f>_xlfn.XLOOKUP(FACT_IMPORTS[[#This Row],[hts_6]],DIM_PRODUCTS[hts_6],DIM_PRODUCTS[hts_4],,,)</f>
        <v>7007</v>
      </c>
      <c r="I2798" t="str" cm="1">
        <f t="array" ref="I2798">_xlfn.XLOOKUP(FACT_IMPORTS[[#This Row],[country_name]],DIM_COUNTRY[[#All],[Column2]],DIM_COUNTRY[[#All],[Column3]],,,)</f>
        <v>China</v>
      </c>
    </row>
    <row r="2799" spans="1:9" x14ac:dyDescent="0.4">
      <c r="A2799" t="s">
        <v>66</v>
      </c>
      <c r="B2799" s="1">
        <v>45108</v>
      </c>
      <c r="C2799">
        <v>700910</v>
      </c>
      <c r="D2799" t="s">
        <v>176</v>
      </c>
      <c r="E2799">
        <v>242064</v>
      </c>
      <c r="F2799">
        <v>229340</v>
      </c>
      <c r="G2799">
        <v>24052</v>
      </c>
      <c r="H2799">
        <f>_xlfn.XLOOKUP(FACT_IMPORTS[[#This Row],[hts_6]],DIM_PRODUCTS[hts_6],DIM_PRODUCTS[hts_4],,,)</f>
        <v>7009</v>
      </c>
      <c r="I2799" t="str" cm="1">
        <f t="array" ref="I2799">_xlfn.XLOOKUP(FACT_IMPORTS[[#This Row],[country_name]],DIM_COUNTRY[[#All],[Column2]],DIM_COUNTRY[[#All],[Column3]],,,)</f>
        <v>China</v>
      </c>
    </row>
    <row r="2800" spans="1:9" x14ac:dyDescent="0.4">
      <c r="A2800" t="s">
        <v>66</v>
      </c>
      <c r="B2800" s="1">
        <v>45108</v>
      </c>
      <c r="C2800">
        <v>732010</v>
      </c>
      <c r="D2800" t="s">
        <v>176</v>
      </c>
      <c r="E2800">
        <v>5440</v>
      </c>
      <c r="F2800">
        <v>218</v>
      </c>
      <c r="G2800">
        <v>35</v>
      </c>
      <c r="H2800">
        <f>_xlfn.XLOOKUP(FACT_IMPORTS[[#This Row],[hts_6]],DIM_PRODUCTS[hts_6],DIM_PRODUCTS[hts_4],,,)</f>
        <v>7320</v>
      </c>
      <c r="I2800" t="str" cm="1">
        <f t="array" ref="I2800">_xlfn.XLOOKUP(FACT_IMPORTS[[#This Row],[country_name]],DIM_COUNTRY[[#All],[Column2]],DIM_COUNTRY[[#All],[Column3]],,,)</f>
        <v>China</v>
      </c>
    </row>
    <row r="2801" spans="1:9" x14ac:dyDescent="0.4">
      <c r="A2801" t="s">
        <v>66</v>
      </c>
      <c r="B2801" s="1">
        <v>45108</v>
      </c>
      <c r="C2801">
        <v>830230</v>
      </c>
      <c r="D2801" t="s">
        <v>176</v>
      </c>
      <c r="E2801">
        <v>3106048</v>
      </c>
      <c r="F2801">
        <v>696059</v>
      </c>
      <c r="G2801">
        <v>136485</v>
      </c>
      <c r="H2801">
        <f>_xlfn.XLOOKUP(FACT_IMPORTS[[#This Row],[hts_6]],DIM_PRODUCTS[hts_6],DIM_PRODUCTS[hts_4],,,)</f>
        <v>8302</v>
      </c>
      <c r="I2801" t="str" cm="1">
        <f t="array" ref="I2801">_xlfn.XLOOKUP(FACT_IMPORTS[[#This Row],[country_name]],DIM_COUNTRY[[#All],[Column2]],DIM_COUNTRY[[#All],[Column3]],,,)</f>
        <v>China</v>
      </c>
    </row>
    <row r="2802" spans="1:9" x14ac:dyDescent="0.4">
      <c r="A2802" t="s">
        <v>66</v>
      </c>
      <c r="B2802" s="1">
        <v>45108</v>
      </c>
      <c r="C2802">
        <v>840732</v>
      </c>
      <c r="D2802" t="s">
        <v>176</v>
      </c>
      <c r="E2802">
        <v>0</v>
      </c>
      <c r="F2802">
        <v>0</v>
      </c>
      <c r="G2802">
        <v>0</v>
      </c>
      <c r="H2802">
        <f>_xlfn.XLOOKUP(FACT_IMPORTS[[#This Row],[hts_6]],DIM_PRODUCTS[hts_6],DIM_PRODUCTS[hts_4],,,)</f>
        <v>8407</v>
      </c>
      <c r="I2802" t="str" cm="1">
        <f t="array" ref="I2802">_xlfn.XLOOKUP(FACT_IMPORTS[[#This Row],[country_name]],DIM_COUNTRY[[#All],[Column2]],DIM_COUNTRY[[#All],[Column3]],,,)</f>
        <v>China</v>
      </c>
    </row>
    <row r="2803" spans="1:9" x14ac:dyDescent="0.4">
      <c r="A2803" t="s">
        <v>66</v>
      </c>
      <c r="B2803" s="1">
        <v>45108</v>
      </c>
      <c r="C2803">
        <v>840733</v>
      </c>
      <c r="D2803" t="s">
        <v>176</v>
      </c>
      <c r="E2803">
        <v>0</v>
      </c>
      <c r="F2803">
        <v>0</v>
      </c>
      <c r="G2803">
        <v>0</v>
      </c>
      <c r="H2803">
        <f>_xlfn.XLOOKUP(FACT_IMPORTS[[#This Row],[hts_6]],DIM_PRODUCTS[hts_6],DIM_PRODUCTS[hts_4],,,)</f>
        <v>8407</v>
      </c>
      <c r="I2803" t="str" cm="1">
        <f t="array" ref="I2803">_xlfn.XLOOKUP(FACT_IMPORTS[[#This Row],[country_name]],DIM_COUNTRY[[#All],[Column2]],DIM_COUNTRY[[#All],[Column3]],,,)</f>
        <v>China</v>
      </c>
    </row>
    <row r="2804" spans="1:9" x14ac:dyDescent="0.4">
      <c r="A2804" t="s">
        <v>66</v>
      </c>
      <c r="B2804" s="1">
        <v>45108</v>
      </c>
      <c r="C2804">
        <v>840734</v>
      </c>
      <c r="D2804" t="s">
        <v>176</v>
      </c>
      <c r="E2804">
        <v>1372948</v>
      </c>
      <c r="F2804">
        <v>960</v>
      </c>
      <c r="G2804">
        <v>3038</v>
      </c>
      <c r="H2804">
        <f>_xlfn.XLOOKUP(FACT_IMPORTS[[#This Row],[hts_6]],DIM_PRODUCTS[hts_6],DIM_PRODUCTS[hts_4],,,)</f>
        <v>8407</v>
      </c>
      <c r="I2804" t="str" cm="1">
        <f t="array" ref="I2804">_xlfn.XLOOKUP(FACT_IMPORTS[[#This Row],[country_name]],DIM_COUNTRY[[#All],[Column2]],DIM_COUNTRY[[#All],[Column3]],,,)</f>
        <v>China</v>
      </c>
    </row>
    <row r="2805" spans="1:9" x14ac:dyDescent="0.4">
      <c r="A2805" t="s">
        <v>66</v>
      </c>
      <c r="B2805" s="1">
        <v>45108</v>
      </c>
      <c r="C2805">
        <v>840790</v>
      </c>
      <c r="D2805" t="s">
        <v>176</v>
      </c>
      <c r="E2805">
        <v>0</v>
      </c>
      <c r="F2805">
        <v>0</v>
      </c>
      <c r="G2805">
        <v>0</v>
      </c>
      <c r="H2805">
        <f>_xlfn.XLOOKUP(FACT_IMPORTS[[#This Row],[hts_6]],DIM_PRODUCTS[hts_6],DIM_PRODUCTS[hts_4],,,)</f>
        <v>8407</v>
      </c>
      <c r="I2805" t="str" cm="1">
        <f t="array" ref="I2805">_xlfn.XLOOKUP(FACT_IMPORTS[[#This Row],[country_name]],DIM_COUNTRY[[#All],[Column2]],DIM_COUNTRY[[#All],[Column3]],,,)</f>
        <v>China</v>
      </c>
    </row>
    <row r="2806" spans="1:9" x14ac:dyDescent="0.4">
      <c r="A2806" t="s">
        <v>66</v>
      </c>
      <c r="B2806" s="1">
        <v>45108</v>
      </c>
      <c r="C2806">
        <v>840890</v>
      </c>
      <c r="D2806" t="s">
        <v>176</v>
      </c>
      <c r="E2806">
        <v>0</v>
      </c>
      <c r="F2806">
        <v>0</v>
      </c>
      <c r="G2806">
        <v>0</v>
      </c>
      <c r="H2806">
        <f>_xlfn.XLOOKUP(FACT_IMPORTS[[#This Row],[hts_6]],DIM_PRODUCTS[hts_6],DIM_PRODUCTS[hts_4],,,)</f>
        <v>8408</v>
      </c>
      <c r="I2806" t="str" cm="1">
        <f t="array" ref="I2806">_xlfn.XLOOKUP(FACT_IMPORTS[[#This Row],[country_name]],DIM_COUNTRY[[#All],[Column2]],DIM_COUNTRY[[#All],[Column3]],,,)</f>
        <v>China</v>
      </c>
    </row>
    <row r="2807" spans="1:9" x14ac:dyDescent="0.4">
      <c r="A2807" t="s">
        <v>66</v>
      </c>
      <c r="B2807" s="1">
        <v>45108</v>
      </c>
      <c r="C2807">
        <v>840991</v>
      </c>
      <c r="D2807" t="s">
        <v>176</v>
      </c>
      <c r="E2807">
        <v>8110352</v>
      </c>
      <c r="F2807">
        <v>1754832</v>
      </c>
      <c r="G2807">
        <v>393426</v>
      </c>
      <c r="H2807">
        <f>_xlfn.XLOOKUP(FACT_IMPORTS[[#This Row],[hts_6]],DIM_PRODUCTS[hts_6],DIM_PRODUCTS[hts_4],,,)</f>
        <v>8409</v>
      </c>
      <c r="I2807" t="str" cm="1">
        <f t="array" ref="I2807">_xlfn.XLOOKUP(FACT_IMPORTS[[#This Row],[country_name]],DIM_COUNTRY[[#All],[Column2]],DIM_COUNTRY[[#All],[Column3]],,,)</f>
        <v>China</v>
      </c>
    </row>
    <row r="2808" spans="1:9" x14ac:dyDescent="0.4">
      <c r="A2808" t="s">
        <v>66</v>
      </c>
      <c r="B2808" s="1">
        <v>45108</v>
      </c>
      <c r="C2808">
        <v>840999</v>
      </c>
      <c r="D2808" t="s">
        <v>176</v>
      </c>
      <c r="E2808">
        <v>4407379</v>
      </c>
      <c r="F2808">
        <v>478954</v>
      </c>
      <c r="G2808">
        <v>117544</v>
      </c>
      <c r="H2808">
        <f>_xlfn.XLOOKUP(FACT_IMPORTS[[#This Row],[hts_6]],DIM_PRODUCTS[hts_6],DIM_PRODUCTS[hts_4],,,)</f>
        <v>8409</v>
      </c>
      <c r="I2808" t="str" cm="1">
        <f t="array" ref="I2808">_xlfn.XLOOKUP(FACT_IMPORTS[[#This Row],[country_name]],DIM_COUNTRY[[#All],[Column2]],DIM_COUNTRY[[#All],[Column3]],,,)</f>
        <v>China</v>
      </c>
    </row>
    <row r="2809" spans="1:9" x14ac:dyDescent="0.4">
      <c r="A2809" t="s">
        <v>66</v>
      </c>
      <c r="B2809" s="1">
        <v>45108</v>
      </c>
      <c r="C2809">
        <v>841330</v>
      </c>
      <c r="D2809" t="s">
        <v>176</v>
      </c>
      <c r="E2809">
        <v>887358</v>
      </c>
      <c r="F2809">
        <v>25038</v>
      </c>
      <c r="G2809">
        <v>16834</v>
      </c>
      <c r="H2809">
        <f>_xlfn.XLOOKUP(FACT_IMPORTS[[#This Row],[hts_6]],DIM_PRODUCTS[hts_6],DIM_PRODUCTS[hts_4],,,)</f>
        <v>8413</v>
      </c>
      <c r="I2809" t="str" cm="1">
        <f t="array" ref="I2809">_xlfn.XLOOKUP(FACT_IMPORTS[[#This Row],[country_name]],DIM_COUNTRY[[#All],[Column2]],DIM_COUNTRY[[#All],[Column3]],,,)</f>
        <v>China</v>
      </c>
    </row>
    <row r="2810" spans="1:9" x14ac:dyDescent="0.4">
      <c r="A2810" t="s">
        <v>66</v>
      </c>
      <c r="B2810" s="1">
        <v>45108</v>
      </c>
      <c r="C2810">
        <v>841520</v>
      </c>
      <c r="D2810" t="s">
        <v>176</v>
      </c>
      <c r="E2810">
        <v>4368</v>
      </c>
      <c r="F2810">
        <v>3</v>
      </c>
      <c r="G2810">
        <v>655</v>
      </c>
      <c r="H2810">
        <f>_xlfn.XLOOKUP(FACT_IMPORTS[[#This Row],[hts_6]],DIM_PRODUCTS[hts_6],DIM_PRODUCTS[hts_4],,,)</f>
        <v>8415</v>
      </c>
      <c r="I2810" t="str" cm="1">
        <f t="array" ref="I2810">_xlfn.XLOOKUP(FACT_IMPORTS[[#This Row],[country_name]],DIM_COUNTRY[[#All],[Column2]],DIM_COUNTRY[[#All],[Column3]],,,)</f>
        <v>China</v>
      </c>
    </row>
    <row r="2811" spans="1:9" x14ac:dyDescent="0.4">
      <c r="A2811" t="s">
        <v>66</v>
      </c>
      <c r="B2811" s="1">
        <v>45108</v>
      </c>
      <c r="C2811">
        <v>842132</v>
      </c>
      <c r="D2811" t="s">
        <v>176</v>
      </c>
      <c r="E2811">
        <v>117372</v>
      </c>
      <c r="F2811">
        <v>2696</v>
      </c>
      <c r="G2811">
        <v>4685</v>
      </c>
      <c r="H2811">
        <f>_xlfn.XLOOKUP(FACT_IMPORTS[[#This Row],[hts_6]],DIM_PRODUCTS[hts_6],DIM_PRODUCTS[hts_4],,,)</f>
        <v>8421</v>
      </c>
      <c r="I2811" t="str" cm="1">
        <f t="array" ref="I2811">_xlfn.XLOOKUP(FACT_IMPORTS[[#This Row],[country_name]],DIM_COUNTRY[[#All],[Column2]],DIM_COUNTRY[[#All],[Column3]],,,)</f>
        <v>China</v>
      </c>
    </row>
    <row r="2812" spans="1:9" x14ac:dyDescent="0.4">
      <c r="A2812" t="s">
        <v>66</v>
      </c>
      <c r="B2812" s="1">
        <v>45108</v>
      </c>
      <c r="C2812">
        <v>848210</v>
      </c>
      <c r="D2812" t="s">
        <v>176</v>
      </c>
      <c r="E2812">
        <v>815478</v>
      </c>
      <c r="F2812">
        <v>654569</v>
      </c>
      <c r="G2812">
        <v>38488</v>
      </c>
      <c r="H2812">
        <f>_xlfn.XLOOKUP(FACT_IMPORTS[[#This Row],[hts_6]],DIM_PRODUCTS[hts_6],DIM_PRODUCTS[hts_4],,,)</f>
        <v>8482</v>
      </c>
      <c r="I2812" t="str" cm="1">
        <f t="array" ref="I2812">_xlfn.XLOOKUP(FACT_IMPORTS[[#This Row],[country_name]],DIM_COUNTRY[[#All],[Column2]],DIM_COUNTRY[[#All],[Column3]],,,)</f>
        <v>China</v>
      </c>
    </row>
    <row r="2813" spans="1:9" x14ac:dyDescent="0.4">
      <c r="A2813" t="s">
        <v>66</v>
      </c>
      <c r="B2813" s="1">
        <v>45108</v>
      </c>
      <c r="C2813">
        <v>848220</v>
      </c>
      <c r="D2813" t="s">
        <v>176</v>
      </c>
      <c r="E2813">
        <v>121773</v>
      </c>
      <c r="F2813">
        <v>91094</v>
      </c>
      <c r="G2813">
        <v>5090</v>
      </c>
      <c r="H2813">
        <f>_xlfn.XLOOKUP(FACT_IMPORTS[[#This Row],[hts_6]],DIM_PRODUCTS[hts_6],DIM_PRODUCTS[hts_4],,,)</f>
        <v>8482</v>
      </c>
      <c r="I2813" t="str" cm="1">
        <f t="array" ref="I2813">_xlfn.XLOOKUP(FACT_IMPORTS[[#This Row],[country_name]],DIM_COUNTRY[[#All],[Column2]],DIM_COUNTRY[[#All],[Column3]],,,)</f>
        <v>China</v>
      </c>
    </row>
    <row r="2814" spans="1:9" x14ac:dyDescent="0.4">
      <c r="A2814" t="s">
        <v>66</v>
      </c>
      <c r="B2814" s="1">
        <v>45108</v>
      </c>
      <c r="C2814">
        <v>848310</v>
      </c>
      <c r="D2814" t="s">
        <v>176</v>
      </c>
      <c r="E2814">
        <v>3327046</v>
      </c>
      <c r="F2814">
        <v>187384</v>
      </c>
      <c r="G2814">
        <v>101672</v>
      </c>
      <c r="H2814">
        <f>_xlfn.XLOOKUP(FACT_IMPORTS[[#This Row],[hts_6]],DIM_PRODUCTS[hts_6],DIM_PRODUCTS[hts_4],,,)</f>
        <v>8483</v>
      </c>
      <c r="I2814" t="str" cm="1">
        <f t="array" ref="I2814">_xlfn.XLOOKUP(FACT_IMPORTS[[#This Row],[country_name]],DIM_COUNTRY[[#All],[Column2]],DIM_COUNTRY[[#All],[Column3]],,,)</f>
        <v>China</v>
      </c>
    </row>
    <row r="2815" spans="1:9" x14ac:dyDescent="0.4">
      <c r="A2815" t="s">
        <v>66</v>
      </c>
      <c r="B2815" s="1">
        <v>45108</v>
      </c>
      <c r="C2815">
        <v>850131</v>
      </c>
      <c r="D2815" t="s">
        <v>176</v>
      </c>
      <c r="E2815">
        <v>1759141</v>
      </c>
      <c r="F2815">
        <v>265882</v>
      </c>
      <c r="G2815">
        <v>23110</v>
      </c>
      <c r="H2815">
        <f>_xlfn.XLOOKUP(FACT_IMPORTS[[#This Row],[hts_6]],DIM_PRODUCTS[hts_6],DIM_PRODUCTS[hts_4],,,)</f>
        <v>8501</v>
      </c>
      <c r="I2815" t="str" cm="1">
        <f t="array" ref="I2815">_xlfn.XLOOKUP(FACT_IMPORTS[[#This Row],[country_name]],DIM_COUNTRY[[#All],[Column2]],DIM_COUNTRY[[#All],[Column3]],,,)</f>
        <v>China</v>
      </c>
    </row>
    <row r="2816" spans="1:9" x14ac:dyDescent="0.4">
      <c r="A2816" t="s">
        <v>66</v>
      </c>
      <c r="B2816" s="1">
        <v>45108</v>
      </c>
      <c r="C2816">
        <v>850132</v>
      </c>
      <c r="D2816" t="s">
        <v>176</v>
      </c>
      <c r="E2816">
        <v>69654</v>
      </c>
      <c r="F2816">
        <v>178</v>
      </c>
      <c r="G2816">
        <v>14959</v>
      </c>
      <c r="H2816">
        <f>_xlfn.XLOOKUP(FACT_IMPORTS[[#This Row],[hts_6]],DIM_PRODUCTS[hts_6],DIM_PRODUCTS[hts_4],,,)</f>
        <v>8501</v>
      </c>
      <c r="I2816" t="str" cm="1">
        <f t="array" ref="I2816">_xlfn.XLOOKUP(FACT_IMPORTS[[#This Row],[country_name]],DIM_COUNTRY[[#All],[Column2]],DIM_COUNTRY[[#All],[Column3]],,,)</f>
        <v>China</v>
      </c>
    </row>
    <row r="2817" spans="1:9" x14ac:dyDescent="0.4">
      <c r="A2817" t="s">
        <v>66</v>
      </c>
      <c r="B2817" s="1">
        <v>45108</v>
      </c>
      <c r="C2817">
        <v>850133</v>
      </c>
      <c r="D2817" t="s">
        <v>176</v>
      </c>
      <c r="E2817">
        <v>2004</v>
      </c>
      <c r="F2817">
        <v>1</v>
      </c>
      <c r="G2817">
        <v>80</v>
      </c>
      <c r="H2817">
        <f>_xlfn.XLOOKUP(FACT_IMPORTS[[#This Row],[hts_6]],DIM_PRODUCTS[hts_6],DIM_PRODUCTS[hts_4],,,)</f>
        <v>8501</v>
      </c>
      <c r="I2817" t="str" cm="1">
        <f t="array" ref="I2817">_xlfn.XLOOKUP(FACT_IMPORTS[[#This Row],[country_name]],DIM_COUNTRY[[#All],[Column2]],DIM_COUNTRY[[#All],[Column3]],,,)</f>
        <v>China</v>
      </c>
    </row>
    <row r="2818" spans="1:9" x14ac:dyDescent="0.4">
      <c r="A2818" t="s">
        <v>66</v>
      </c>
      <c r="B2818" s="1">
        <v>45108</v>
      </c>
      <c r="C2818">
        <v>850152</v>
      </c>
      <c r="D2818" t="s">
        <v>176</v>
      </c>
      <c r="E2818">
        <v>405033</v>
      </c>
      <c r="F2818">
        <v>793</v>
      </c>
      <c r="G2818">
        <v>44553</v>
      </c>
      <c r="H2818">
        <f>_xlfn.XLOOKUP(FACT_IMPORTS[[#This Row],[hts_6]],DIM_PRODUCTS[hts_6],DIM_PRODUCTS[hts_4],,,)</f>
        <v>8501</v>
      </c>
      <c r="I2818" t="str" cm="1">
        <f t="array" ref="I2818">_xlfn.XLOOKUP(FACT_IMPORTS[[#This Row],[country_name]],DIM_COUNTRY[[#All],[Column2]],DIM_COUNTRY[[#All],[Column3]],,,)</f>
        <v>China</v>
      </c>
    </row>
    <row r="2819" spans="1:9" x14ac:dyDescent="0.4">
      <c r="A2819" t="s">
        <v>66</v>
      </c>
      <c r="B2819" s="1">
        <v>45108</v>
      </c>
      <c r="C2819">
        <v>850153</v>
      </c>
      <c r="D2819" t="s">
        <v>176</v>
      </c>
      <c r="E2819">
        <v>54383</v>
      </c>
      <c r="F2819">
        <v>11</v>
      </c>
      <c r="G2819">
        <v>1408</v>
      </c>
      <c r="H2819">
        <f>_xlfn.XLOOKUP(FACT_IMPORTS[[#This Row],[hts_6]],DIM_PRODUCTS[hts_6],DIM_PRODUCTS[hts_4],,,)</f>
        <v>8501</v>
      </c>
      <c r="I2819" t="str" cm="1">
        <f t="array" ref="I2819">_xlfn.XLOOKUP(FACT_IMPORTS[[#This Row],[country_name]],DIM_COUNTRY[[#All],[Column2]],DIM_COUNTRY[[#All],[Column3]],,,)</f>
        <v>China</v>
      </c>
    </row>
    <row r="2820" spans="1:9" x14ac:dyDescent="0.4">
      <c r="A2820" t="s">
        <v>66</v>
      </c>
      <c r="B2820" s="1">
        <v>45108</v>
      </c>
      <c r="C2820">
        <v>850161</v>
      </c>
      <c r="D2820" t="s">
        <v>176</v>
      </c>
      <c r="E2820">
        <v>2115</v>
      </c>
      <c r="F2820">
        <v>15</v>
      </c>
      <c r="G2820">
        <v>5</v>
      </c>
      <c r="H2820">
        <f>_xlfn.XLOOKUP(FACT_IMPORTS[[#This Row],[hts_6]],DIM_PRODUCTS[hts_6],DIM_PRODUCTS[hts_4],,,)</f>
        <v>8501</v>
      </c>
      <c r="I2820" t="str" cm="1">
        <f t="array" ref="I2820">_xlfn.XLOOKUP(FACT_IMPORTS[[#This Row],[country_name]],DIM_COUNTRY[[#All],[Column2]],DIM_COUNTRY[[#All],[Column3]],,,)</f>
        <v>China</v>
      </c>
    </row>
    <row r="2821" spans="1:9" x14ac:dyDescent="0.4">
      <c r="A2821" t="s">
        <v>66</v>
      </c>
      <c r="B2821" s="1">
        <v>45108</v>
      </c>
      <c r="C2821">
        <v>850440</v>
      </c>
      <c r="D2821" t="s">
        <v>176</v>
      </c>
      <c r="E2821">
        <v>1137046</v>
      </c>
      <c r="F2821">
        <v>59721</v>
      </c>
      <c r="G2821">
        <v>40833</v>
      </c>
      <c r="H2821">
        <f>_xlfn.XLOOKUP(FACT_IMPORTS[[#This Row],[hts_6]],DIM_PRODUCTS[hts_6],DIM_PRODUCTS[hts_4],,,)</f>
        <v>8504</v>
      </c>
      <c r="I2821" t="str" cm="1">
        <f t="array" ref="I2821">_xlfn.XLOOKUP(FACT_IMPORTS[[#This Row],[country_name]],DIM_COUNTRY[[#All],[Column2]],DIM_COUNTRY[[#All],[Column3]],,,)</f>
        <v>China</v>
      </c>
    </row>
    <row r="2822" spans="1:9" x14ac:dyDescent="0.4">
      <c r="A2822" t="s">
        <v>66</v>
      </c>
      <c r="B2822" s="1">
        <v>45108</v>
      </c>
      <c r="C2822">
        <v>850710</v>
      </c>
      <c r="D2822" t="s">
        <v>176</v>
      </c>
      <c r="E2822">
        <v>4986</v>
      </c>
      <c r="F2822">
        <v>94</v>
      </c>
      <c r="G2822">
        <v>12</v>
      </c>
      <c r="H2822">
        <f>_xlfn.XLOOKUP(FACT_IMPORTS[[#This Row],[hts_6]],DIM_PRODUCTS[hts_6],DIM_PRODUCTS[hts_4],,,)</f>
        <v>8507</v>
      </c>
      <c r="I2822" t="str" cm="1">
        <f t="array" ref="I2822">_xlfn.XLOOKUP(FACT_IMPORTS[[#This Row],[country_name]],DIM_COUNTRY[[#All],[Column2]],DIM_COUNTRY[[#All],[Column3]],,,)</f>
        <v>China</v>
      </c>
    </row>
    <row r="2823" spans="1:9" x14ac:dyDescent="0.4">
      <c r="A2823" t="s">
        <v>66</v>
      </c>
      <c r="B2823" s="1">
        <v>45108</v>
      </c>
      <c r="C2823">
        <v>850760</v>
      </c>
      <c r="D2823" t="s">
        <v>176</v>
      </c>
      <c r="E2823">
        <v>2427923</v>
      </c>
      <c r="F2823">
        <v>33861</v>
      </c>
      <c r="G2823">
        <v>64085</v>
      </c>
      <c r="H2823">
        <f>_xlfn.XLOOKUP(FACT_IMPORTS[[#This Row],[hts_6]],DIM_PRODUCTS[hts_6],DIM_PRODUCTS[hts_4],,,)</f>
        <v>8507</v>
      </c>
      <c r="I2823" t="str" cm="1">
        <f t="array" ref="I2823">_xlfn.XLOOKUP(FACT_IMPORTS[[#This Row],[country_name]],DIM_COUNTRY[[#All],[Column2]],DIM_COUNTRY[[#All],[Column3]],,,)</f>
        <v>China</v>
      </c>
    </row>
    <row r="2824" spans="1:9" x14ac:dyDescent="0.4">
      <c r="A2824" t="s">
        <v>66</v>
      </c>
      <c r="B2824" s="1">
        <v>45108</v>
      </c>
      <c r="C2824">
        <v>850790</v>
      </c>
      <c r="D2824" t="s">
        <v>176</v>
      </c>
      <c r="E2824">
        <v>999525</v>
      </c>
      <c r="F2824">
        <v>46766</v>
      </c>
      <c r="G2824">
        <v>434</v>
      </c>
      <c r="H2824">
        <f>_xlfn.XLOOKUP(FACT_IMPORTS[[#This Row],[hts_6]],DIM_PRODUCTS[hts_6],DIM_PRODUCTS[hts_4],,,)</f>
        <v>8507</v>
      </c>
      <c r="I2824" t="str" cm="1">
        <f t="array" ref="I2824">_xlfn.XLOOKUP(FACT_IMPORTS[[#This Row],[country_name]],DIM_COUNTRY[[#All],[Column2]],DIM_COUNTRY[[#All],[Column3]],,,)</f>
        <v>China</v>
      </c>
    </row>
    <row r="2825" spans="1:9" x14ac:dyDescent="0.4">
      <c r="A2825" t="s">
        <v>66</v>
      </c>
      <c r="B2825" s="1">
        <v>45108</v>
      </c>
      <c r="C2825">
        <v>851110</v>
      </c>
      <c r="D2825" t="s">
        <v>176</v>
      </c>
      <c r="E2825">
        <v>0</v>
      </c>
      <c r="F2825">
        <v>0</v>
      </c>
      <c r="G2825">
        <v>0</v>
      </c>
      <c r="H2825">
        <f>_xlfn.XLOOKUP(FACT_IMPORTS[[#This Row],[hts_6]],DIM_PRODUCTS[hts_6],DIM_PRODUCTS[hts_4],,,)</f>
        <v>8511</v>
      </c>
      <c r="I2825" t="str" cm="1">
        <f t="array" ref="I2825">_xlfn.XLOOKUP(FACT_IMPORTS[[#This Row],[country_name]],DIM_COUNTRY[[#All],[Column2]],DIM_COUNTRY[[#All],[Column3]],,,)</f>
        <v>China</v>
      </c>
    </row>
    <row r="2826" spans="1:9" x14ac:dyDescent="0.4">
      <c r="A2826" t="s">
        <v>66</v>
      </c>
      <c r="B2826" s="1">
        <v>45108</v>
      </c>
      <c r="C2826">
        <v>851130</v>
      </c>
      <c r="D2826" t="s">
        <v>176</v>
      </c>
      <c r="E2826">
        <v>9929</v>
      </c>
      <c r="F2826">
        <v>1493</v>
      </c>
      <c r="G2826">
        <v>141</v>
      </c>
      <c r="H2826">
        <f>_xlfn.XLOOKUP(FACT_IMPORTS[[#This Row],[hts_6]],DIM_PRODUCTS[hts_6],DIM_PRODUCTS[hts_4],,,)</f>
        <v>8511</v>
      </c>
      <c r="I2826" t="str" cm="1">
        <f t="array" ref="I2826">_xlfn.XLOOKUP(FACT_IMPORTS[[#This Row],[country_name]],DIM_COUNTRY[[#All],[Column2]],DIM_COUNTRY[[#All],[Column3]],,,)</f>
        <v>China</v>
      </c>
    </row>
    <row r="2827" spans="1:9" x14ac:dyDescent="0.4">
      <c r="A2827" t="s">
        <v>66</v>
      </c>
      <c r="B2827" s="1">
        <v>45108</v>
      </c>
      <c r="C2827">
        <v>851140</v>
      </c>
      <c r="D2827" t="s">
        <v>176</v>
      </c>
      <c r="E2827">
        <v>255716</v>
      </c>
      <c r="F2827">
        <v>2927</v>
      </c>
      <c r="G2827">
        <v>1224</v>
      </c>
      <c r="H2827">
        <f>_xlfn.XLOOKUP(FACT_IMPORTS[[#This Row],[hts_6]],DIM_PRODUCTS[hts_6],DIM_PRODUCTS[hts_4],,,)</f>
        <v>8511</v>
      </c>
      <c r="I2827" t="str" cm="1">
        <f t="array" ref="I2827">_xlfn.XLOOKUP(FACT_IMPORTS[[#This Row],[country_name]],DIM_COUNTRY[[#All],[Column2]],DIM_COUNTRY[[#All],[Column3]],,,)</f>
        <v>China</v>
      </c>
    </row>
    <row r="2828" spans="1:9" x14ac:dyDescent="0.4">
      <c r="A2828" t="s">
        <v>66</v>
      </c>
      <c r="B2828" s="1">
        <v>45108</v>
      </c>
      <c r="C2828">
        <v>851150</v>
      </c>
      <c r="D2828" t="s">
        <v>176</v>
      </c>
      <c r="E2828">
        <v>174375</v>
      </c>
      <c r="F2828">
        <v>2362</v>
      </c>
      <c r="G2828">
        <v>2945</v>
      </c>
      <c r="H2828">
        <f>_xlfn.XLOOKUP(FACT_IMPORTS[[#This Row],[hts_6]],DIM_PRODUCTS[hts_6],DIM_PRODUCTS[hts_4],,,)</f>
        <v>8511</v>
      </c>
      <c r="I2828" t="str" cm="1">
        <f t="array" ref="I2828">_xlfn.XLOOKUP(FACT_IMPORTS[[#This Row],[country_name]],DIM_COUNTRY[[#All],[Column2]],DIM_COUNTRY[[#All],[Column3]],,,)</f>
        <v>China</v>
      </c>
    </row>
    <row r="2829" spans="1:9" x14ac:dyDescent="0.4">
      <c r="A2829" t="s">
        <v>66</v>
      </c>
      <c r="B2829" s="1">
        <v>45108</v>
      </c>
      <c r="C2829">
        <v>851180</v>
      </c>
      <c r="D2829" t="s">
        <v>176</v>
      </c>
      <c r="E2829">
        <v>8911</v>
      </c>
      <c r="F2829">
        <v>126</v>
      </c>
      <c r="G2829">
        <v>168</v>
      </c>
      <c r="H2829">
        <f>_xlfn.XLOOKUP(FACT_IMPORTS[[#This Row],[hts_6]],DIM_PRODUCTS[hts_6],DIM_PRODUCTS[hts_4],,,)</f>
        <v>8511</v>
      </c>
      <c r="I2829" t="str" cm="1">
        <f t="array" ref="I2829">_xlfn.XLOOKUP(FACT_IMPORTS[[#This Row],[country_name]],DIM_COUNTRY[[#All],[Column2]],DIM_COUNTRY[[#All],[Column3]],,,)</f>
        <v>China</v>
      </c>
    </row>
    <row r="2830" spans="1:9" x14ac:dyDescent="0.4">
      <c r="A2830" t="s">
        <v>66</v>
      </c>
      <c r="B2830" s="1">
        <v>45108</v>
      </c>
      <c r="C2830">
        <v>851190</v>
      </c>
      <c r="D2830" t="s">
        <v>176</v>
      </c>
      <c r="E2830">
        <v>60668</v>
      </c>
      <c r="F2830">
        <v>967</v>
      </c>
      <c r="G2830">
        <v>400</v>
      </c>
      <c r="H2830">
        <f>_xlfn.XLOOKUP(FACT_IMPORTS[[#This Row],[hts_6]],DIM_PRODUCTS[hts_6],DIM_PRODUCTS[hts_4],,,)</f>
        <v>8511</v>
      </c>
      <c r="I2830" t="str" cm="1">
        <f t="array" ref="I2830">_xlfn.XLOOKUP(FACT_IMPORTS[[#This Row],[country_name]],DIM_COUNTRY[[#All],[Column2]],DIM_COUNTRY[[#All],[Column3]],,,)</f>
        <v>China</v>
      </c>
    </row>
    <row r="2831" spans="1:9" x14ac:dyDescent="0.4">
      <c r="A2831" t="s">
        <v>66</v>
      </c>
      <c r="B2831" s="1">
        <v>45108</v>
      </c>
      <c r="C2831">
        <v>851220</v>
      </c>
      <c r="D2831" t="s">
        <v>176</v>
      </c>
      <c r="E2831">
        <v>2628718</v>
      </c>
      <c r="F2831">
        <v>681084</v>
      </c>
      <c r="G2831">
        <v>69175</v>
      </c>
      <c r="H2831">
        <f>_xlfn.XLOOKUP(FACT_IMPORTS[[#This Row],[hts_6]],DIM_PRODUCTS[hts_6],DIM_PRODUCTS[hts_4],,,)</f>
        <v>8512</v>
      </c>
      <c r="I2831" t="str" cm="1">
        <f t="array" ref="I2831">_xlfn.XLOOKUP(FACT_IMPORTS[[#This Row],[country_name]],DIM_COUNTRY[[#All],[Column2]],DIM_COUNTRY[[#All],[Column3]],,,)</f>
        <v>China</v>
      </c>
    </row>
    <row r="2832" spans="1:9" x14ac:dyDescent="0.4">
      <c r="A2832" t="s">
        <v>66</v>
      </c>
      <c r="B2832" s="1">
        <v>45108</v>
      </c>
      <c r="C2832">
        <v>851230</v>
      </c>
      <c r="D2832" t="s">
        <v>176</v>
      </c>
      <c r="E2832">
        <v>22697</v>
      </c>
      <c r="F2832">
        <v>2380</v>
      </c>
      <c r="G2832">
        <v>783</v>
      </c>
      <c r="H2832">
        <f>_xlfn.XLOOKUP(FACT_IMPORTS[[#This Row],[hts_6]],DIM_PRODUCTS[hts_6],DIM_PRODUCTS[hts_4],,,)</f>
        <v>8512</v>
      </c>
      <c r="I2832" t="str" cm="1">
        <f t="array" ref="I2832">_xlfn.XLOOKUP(FACT_IMPORTS[[#This Row],[country_name]],DIM_COUNTRY[[#All],[Column2]],DIM_COUNTRY[[#All],[Column3]],,,)</f>
        <v>China</v>
      </c>
    </row>
    <row r="2833" spans="1:9" x14ac:dyDescent="0.4">
      <c r="A2833" t="s">
        <v>66</v>
      </c>
      <c r="B2833" s="1">
        <v>45108</v>
      </c>
      <c r="C2833">
        <v>851240</v>
      </c>
      <c r="D2833" t="s">
        <v>176</v>
      </c>
      <c r="E2833">
        <v>0</v>
      </c>
      <c r="F2833">
        <v>0</v>
      </c>
      <c r="G2833">
        <v>0</v>
      </c>
      <c r="H2833">
        <f>_xlfn.XLOOKUP(FACT_IMPORTS[[#This Row],[hts_6]],DIM_PRODUCTS[hts_6],DIM_PRODUCTS[hts_4],,,)</f>
        <v>8512</v>
      </c>
      <c r="I2833" t="str" cm="1">
        <f t="array" ref="I2833">_xlfn.XLOOKUP(FACT_IMPORTS[[#This Row],[country_name]],DIM_COUNTRY[[#All],[Column2]],DIM_COUNTRY[[#All],[Column3]],,,)</f>
        <v>China</v>
      </c>
    </row>
    <row r="2834" spans="1:9" x14ac:dyDescent="0.4">
      <c r="A2834" t="s">
        <v>66</v>
      </c>
      <c r="B2834" s="1">
        <v>45108</v>
      </c>
      <c r="C2834">
        <v>851290</v>
      </c>
      <c r="D2834" t="s">
        <v>176</v>
      </c>
      <c r="E2834">
        <v>787275</v>
      </c>
      <c r="F2834">
        <v>70680</v>
      </c>
      <c r="G2834">
        <v>17399</v>
      </c>
      <c r="H2834">
        <f>_xlfn.XLOOKUP(FACT_IMPORTS[[#This Row],[hts_6]],DIM_PRODUCTS[hts_6],DIM_PRODUCTS[hts_4],,,)</f>
        <v>8512</v>
      </c>
      <c r="I2834" t="str" cm="1">
        <f t="array" ref="I2834">_xlfn.XLOOKUP(FACT_IMPORTS[[#This Row],[country_name]],DIM_COUNTRY[[#All],[Column2]],DIM_COUNTRY[[#All],[Column3]],,,)</f>
        <v>China</v>
      </c>
    </row>
    <row r="2835" spans="1:9" x14ac:dyDescent="0.4">
      <c r="A2835" t="s">
        <v>66</v>
      </c>
      <c r="B2835" s="1">
        <v>45108</v>
      </c>
      <c r="C2835">
        <v>854231</v>
      </c>
      <c r="D2835" t="s">
        <v>176</v>
      </c>
      <c r="E2835">
        <v>2682870</v>
      </c>
      <c r="F2835">
        <v>278669</v>
      </c>
      <c r="G2835">
        <v>267314</v>
      </c>
      <c r="H2835">
        <f>_xlfn.XLOOKUP(FACT_IMPORTS[[#This Row],[hts_6]],DIM_PRODUCTS[hts_6],DIM_PRODUCTS[hts_4],,,)</f>
        <v>8542</v>
      </c>
      <c r="I2835" t="str" cm="1">
        <f t="array" ref="I2835">_xlfn.XLOOKUP(FACT_IMPORTS[[#This Row],[country_name]],DIM_COUNTRY[[#All],[Column2]],DIM_COUNTRY[[#All],[Column3]],,,)</f>
        <v>China</v>
      </c>
    </row>
    <row r="2836" spans="1:9" x14ac:dyDescent="0.4">
      <c r="A2836" t="s">
        <v>66</v>
      </c>
      <c r="B2836" s="1">
        <v>45108</v>
      </c>
      <c r="C2836">
        <v>854232</v>
      </c>
      <c r="D2836" t="s">
        <v>176</v>
      </c>
      <c r="E2836">
        <v>0</v>
      </c>
      <c r="F2836">
        <v>0</v>
      </c>
      <c r="G2836">
        <v>0</v>
      </c>
      <c r="H2836">
        <f>_xlfn.XLOOKUP(FACT_IMPORTS[[#This Row],[hts_6]],DIM_PRODUCTS[hts_6],DIM_PRODUCTS[hts_4],,,)</f>
        <v>8542</v>
      </c>
      <c r="I2836" t="str" cm="1">
        <f t="array" ref="I2836">_xlfn.XLOOKUP(FACT_IMPORTS[[#This Row],[country_name]],DIM_COUNTRY[[#All],[Column2]],DIM_COUNTRY[[#All],[Column3]],,,)</f>
        <v>China</v>
      </c>
    </row>
    <row r="2837" spans="1:9" x14ac:dyDescent="0.4">
      <c r="A2837" t="s">
        <v>66</v>
      </c>
      <c r="B2837" s="1">
        <v>45108</v>
      </c>
      <c r="C2837">
        <v>854233</v>
      </c>
      <c r="D2837" t="s">
        <v>176</v>
      </c>
      <c r="E2837">
        <v>0</v>
      </c>
      <c r="F2837">
        <v>0</v>
      </c>
      <c r="G2837">
        <v>0</v>
      </c>
      <c r="H2837">
        <f>_xlfn.XLOOKUP(FACT_IMPORTS[[#This Row],[hts_6]],DIM_PRODUCTS[hts_6],DIM_PRODUCTS[hts_4],,,)</f>
        <v>8542</v>
      </c>
      <c r="I2837" t="str" cm="1">
        <f t="array" ref="I2837">_xlfn.XLOOKUP(FACT_IMPORTS[[#This Row],[country_name]],DIM_COUNTRY[[#All],[Column2]],DIM_COUNTRY[[#All],[Column3]],,,)</f>
        <v>China</v>
      </c>
    </row>
    <row r="2838" spans="1:9" x14ac:dyDescent="0.4">
      <c r="A2838" t="s">
        <v>66</v>
      </c>
      <c r="B2838" s="1">
        <v>45108</v>
      </c>
      <c r="C2838">
        <v>854239</v>
      </c>
      <c r="D2838" t="s">
        <v>176</v>
      </c>
      <c r="E2838">
        <v>496389</v>
      </c>
      <c r="F2838">
        <v>337800</v>
      </c>
      <c r="G2838">
        <v>46206</v>
      </c>
      <c r="H2838">
        <f>_xlfn.XLOOKUP(FACT_IMPORTS[[#This Row],[hts_6]],DIM_PRODUCTS[hts_6],DIM_PRODUCTS[hts_4],,,)</f>
        <v>8542</v>
      </c>
      <c r="I2838" t="str" cm="1">
        <f t="array" ref="I2838">_xlfn.XLOOKUP(FACT_IMPORTS[[#This Row],[country_name]],DIM_COUNTRY[[#All],[Column2]],DIM_COUNTRY[[#All],[Column3]],,,)</f>
        <v>China</v>
      </c>
    </row>
    <row r="2839" spans="1:9" x14ac:dyDescent="0.4">
      <c r="A2839" t="s">
        <v>66</v>
      </c>
      <c r="B2839" s="1">
        <v>45108</v>
      </c>
      <c r="C2839">
        <v>854290</v>
      </c>
      <c r="D2839" t="s">
        <v>176</v>
      </c>
      <c r="E2839">
        <v>0</v>
      </c>
      <c r="F2839">
        <v>0</v>
      </c>
      <c r="G2839">
        <v>0</v>
      </c>
      <c r="H2839">
        <f>_xlfn.XLOOKUP(FACT_IMPORTS[[#This Row],[hts_6]],DIM_PRODUCTS[hts_6],DIM_PRODUCTS[hts_4],,,)</f>
        <v>8542</v>
      </c>
      <c r="I2839" t="str" cm="1">
        <f t="array" ref="I2839">_xlfn.XLOOKUP(FACT_IMPORTS[[#This Row],[country_name]],DIM_COUNTRY[[#All],[Column2]],DIM_COUNTRY[[#All],[Column3]],,,)</f>
        <v>China</v>
      </c>
    </row>
    <row r="2840" spans="1:9" x14ac:dyDescent="0.4">
      <c r="A2840" t="s">
        <v>66</v>
      </c>
      <c r="B2840" s="1">
        <v>45108</v>
      </c>
      <c r="C2840">
        <v>854430</v>
      </c>
      <c r="D2840" t="s">
        <v>176</v>
      </c>
      <c r="E2840">
        <v>1308455</v>
      </c>
      <c r="F2840">
        <v>47854</v>
      </c>
      <c r="G2840">
        <v>3461</v>
      </c>
      <c r="H2840">
        <f>_xlfn.XLOOKUP(FACT_IMPORTS[[#This Row],[hts_6]],DIM_PRODUCTS[hts_6],DIM_PRODUCTS[hts_4],,,)</f>
        <v>8544</v>
      </c>
      <c r="I2840" t="str" cm="1">
        <f t="array" ref="I2840">_xlfn.XLOOKUP(FACT_IMPORTS[[#This Row],[country_name]],DIM_COUNTRY[[#All],[Column2]],DIM_COUNTRY[[#All],[Column3]],,,)</f>
        <v>China</v>
      </c>
    </row>
    <row r="2841" spans="1:9" x14ac:dyDescent="0.4">
      <c r="A2841" t="s">
        <v>66</v>
      </c>
      <c r="B2841" s="1">
        <v>45108</v>
      </c>
      <c r="C2841">
        <v>870790</v>
      </c>
      <c r="D2841" t="s">
        <v>176</v>
      </c>
      <c r="E2841">
        <v>104848</v>
      </c>
      <c r="F2841">
        <v>28</v>
      </c>
      <c r="G2841">
        <v>10000</v>
      </c>
      <c r="H2841">
        <f>_xlfn.XLOOKUP(FACT_IMPORTS[[#This Row],[hts_6]],DIM_PRODUCTS[hts_6],DIM_PRODUCTS[hts_4],,,)</f>
        <v>8707</v>
      </c>
      <c r="I2841" t="str" cm="1">
        <f t="array" ref="I2841">_xlfn.XLOOKUP(FACT_IMPORTS[[#This Row],[country_name]],DIM_COUNTRY[[#All],[Column2]],DIM_COUNTRY[[#All],[Column3]],,,)</f>
        <v>China</v>
      </c>
    </row>
    <row r="2842" spans="1:9" x14ac:dyDescent="0.4">
      <c r="A2842" t="s">
        <v>66</v>
      </c>
      <c r="B2842" s="1">
        <v>45108</v>
      </c>
      <c r="C2842">
        <v>870810</v>
      </c>
      <c r="D2842" t="s">
        <v>176</v>
      </c>
      <c r="E2842">
        <v>421597</v>
      </c>
      <c r="F2842">
        <v>18017</v>
      </c>
      <c r="G2842">
        <v>50753</v>
      </c>
      <c r="H2842">
        <f>_xlfn.XLOOKUP(FACT_IMPORTS[[#This Row],[hts_6]],DIM_PRODUCTS[hts_6],DIM_PRODUCTS[hts_4],,,)</f>
        <v>8708</v>
      </c>
      <c r="I2842" t="str" cm="1">
        <f t="array" ref="I2842">_xlfn.XLOOKUP(FACT_IMPORTS[[#This Row],[country_name]],DIM_COUNTRY[[#All],[Column2]],DIM_COUNTRY[[#All],[Column3]],,,)</f>
        <v>China</v>
      </c>
    </row>
    <row r="2843" spans="1:9" x14ac:dyDescent="0.4">
      <c r="A2843" t="s">
        <v>66</v>
      </c>
      <c r="B2843" s="1">
        <v>45108</v>
      </c>
      <c r="C2843">
        <v>870821</v>
      </c>
      <c r="D2843" t="s">
        <v>176</v>
      </c>
      <c r="E2843">
        <v>35462</v>
      </c>
      <c r="F2843">
        <v>5168</v>
      </c>
      <c r="G2843">
        <v>949</v>
      </c>
      <c r="H2843">
        <f>_xlfn.XLOOKUP(FACT_IMPORTS[[#This Row],[hts_6]],DIM_PRODUCTS[hts_6],DIM_PRODUCTS[hts_4],,,)</f>
        <v>8708</v>
      </c>
      <c r="I2843" t="str" cm="1">
        <f t="array" ref="I2843">_xlfn.XLOOKUP(FACT_IMPORTS[[#This Row],[country_name]],DIM_COUNTRY[[#All],[Column2]],DIM_COUNTRY[[#All],[Column3]],,,)</f>
        <v>China</v>
      </c>
    </row>
    <row r="2844" spans="1:9" x14ac:dyDescent="0.4">
      <c r="A2844" t="s">
        <v>66</v>
      </c>
      <c r="B2844" s="1">
        <v>45108</v>
      </c>
      <c r="C2844">
        <v>870822</v>
      </c>
      <c r="D2844" t="s">
        <v>176</v>
      </c>
      <c r="E2844">
        <v>1150171</v>
      </c>
      <c r="F2844">
        <v>144831</v>
      </c>
      <c r="G2844">
        <v>58825</v>
      </c>
      <c r="H2844">
        <f>_xlfn.XLOOKUP(FACT_IMPORTS[[#This Row],[hts_6]],DIM_PRODUCTS[hts_6],DIM_PRODUCTS[hts_4],,,)</f>
        <v>8708</v>
      </c>
      <c r="I2844" t="str" cm="1">
        <f t="array" ref="I2844">_xlfn.XLOOKUP(FACT_IMPORTS[[#This Row],[country_name]],DIM_COUNTRY[[#All],[Column2]],DIM_COUNTRY[[#All],[Column3]],,,)</f>
        <v>China</v>
      </c>
    </row>
    <row r="2845" spans="1:9" x14ac:dyDescent="0.4">
      <c r="A2845" t="s">
        <v>66</v>
      </c>
      <c r="B2845" s="1">
        <v>45108</v>
      </c>
      <c r="C2845">
        <v>870829</v>
      </c>
      <c r="D2845" t="s">
        <v>176</v>
      </c>
      <c r="E2845">
        <v>18254195</v>
      </c>
      <c r="F2845">
        <v>4213962</v>
      </c>
      <c r="G2845">
        <v>502296</v>
      </c>
      <c r="H2845">
        <f>_xlfn.XLOOKUP(FACT_IMPORTS[[#This Row],[hts_6]],DIM_PRODUCTS[hts_6],DIM_PRODUCTS[hts_4],,,)</f>
        <v>8708</v>
      </c>
      <c r="I2845" t="str" cm="1">
        <f t="array" ref="I2845">_xlfn.XLOOKUP(FACT_IMPORTS[[#This Row],[country_name]],DIM_COUNTRY[[#All],[Column2]],DIM_COUNTRY[[#All],[Column3]],,,)</f>
        <v>China</v>
      </c>
    </row>
    <row r="2846" spans="1:9" x14ac:dyDescent="0.4">
      <c r="A2846" t="s">
        <v>66</v>
      </c>
      <c r="B2846" s="1">
        <v>45108</v>
      </c>
      <c r="C2846">
        <v>870830</v>
      </c>
      <c r="D2846" t="s">
        <v>176</v>
      </c>
      <c r="E2846">
        <v>7263003</v>
      </c>
      <c r="F2846">
        <v>474337</v>
      </c>
      <c r="G2846">
        <v>220034</v>
      </c>
      <c r="H2846">
        <f>_xlfn.XLOOKUP(FACT_IMPORTS[[#This Row],[hts_6]],DIM_PRODUCTS[hts_6],DIM_PRODUCTS[hts_4],,,)</f>
        <v>8708</v>
      </c>
      <c r="I2846" t="str" cm="1">
        <f t="array" ref="I2846">_xlfn.XLOOKUP(FACT_IMPORTS[[#This Row],[country_name]],DIM_COUNTRY[[#All],[Column2]],DIM_COUNTRY[[#All],[Column3]],,,)</f>
        <v>China</v>
      </c>
    </row>
    <row r="2847" spans="1:9" x14ac:dyDescent="0.4">
      <c r="A2847" t="s">
        <v>66</v>
      </c>
      <c r="B2847" s="1">
        <v>45108</v>
      </c>
      <c r="C2847">
        <v>870840</v>
      </c>
      <c r="D2847" t="s">
        <v>176</v>
      </c>
      <c r="E2847">
        <v>2315913</v>
      </c>
      <c r="F2847">
        <v>382561</v>
      </c>
      <c r="G2847">
        <v>64333</v>
      </c>
      <c r="H2847">
        <f>_xlfn.XLOOKUP(FACT_IMPORTS[[#This Row],[hts_6]],DIM_PRODUCTS[hts_6],DIM_PRODUCTS[hts_4],,,)</f>
        <v>8708</v>
      </c>
      <c r="I2847" t="str" cm="1">
        <f t="array" ref="I2847">_xlfn.XLOOKUP(FACT_IMPORTS[[#This Row],[country_name]],DIM_COUNTRY[[#All],[Column2]],DIM_COUNTRY[[#All],[Column3]],,,)</f>
        <v>China</v>
      </c>
    </row>
    <row r="2848" spans="1:9" x14ac:dyDescent="0.4">
      <c r="A2848" t="s">
        <v>66</v>
      </c>
      <c r="B2848" s="1">
        <v>45108</v>
      </c>
      <c r="C2848">
        <v>870850</v>
      </c>
      <c r="D2848" t="s">
        <v>176</v>
      </c>
      <c r="E2848">
        <v>1899986</v>
      </c>
      <c r="F2848">
        <v>451699</v>
      </c>
      <c r="G2848">
        <v>28007</v>
      </c>
      <c r="H2848">
        <f>_xlfn.XLOOKUP(FACT_IMPORTS[[#This Row],[hts_6]],DIM_PRODUCTS[hts_6],DIM_PRODUCTS[hts_4],,,)</f>
        <v>8708</v>
      </c>
      <c r="I2848" t="str" cm="1">
        <f t="array" ref="I2848">_xlfn.XLOOKUP(FACT_IMPORTS[[#This Row],[country_name]],DIM_COUNTRY[[#All],[Column2]],DIM_COUNTRY[[#All],[Column3]],,,)</f>
        <v>China</v>
      </c>
    </row>
    <row r="2849" spans="1:9" x14ac:dyDescent="0.4">
      <c r="A2849" t="s">
        <v>66</v>
      </c>
      <c r="B2849" s="1">
        <v>45108</v>
      </c>
      <c r="C2849">
        <v>870870</v>
      </c>
      <c r="D2849" t="s">
        <v>176</v>
      </c>
      <c r="E2849">
        <v>55194263</v>
      </c>
      <c r="F2849">
        <v>2062848</v>
      </c>
      <c r="G2849">
        <v>1737453</v>
      </c>
      <c r="H2849">
        <f>_xlfn.XLOOKUP(FACT_IMPORTS[[#This Row],[hts_6]],DIM_PRODUCTS[hts_6],DIM_PRODUCTS[hts_4],,,)</f>
        <v>8708</v>
      </c>
      <c r="I2849" t="str" cm="1">
        <f t="array" ref="I2849">_xlfn.XLOOKUP(FACT_IMPORTS[[#This Row],[country_name]],DIM_COUNTRY[[#All],[Column2]],DIM_COUNTRY[[#All],[Column3]],,,)</f>
        <v>China</v>
      </c>
    </row>
    <row r="2850" spans="1:9" x14ac:dyDescent="0.4">
      <c r="A2850" t="s">
        <v>66</v>
      </c>
      <c r="B2850" s="1">
        <v>45108</v>
      </c>
      <c r="C2850">
        <v>870880</v>
      </c>
      <c r="D2850" t="s">
        <v>176</v>
      </c>
      <c r="E2850">
        <v>12074446</v>
      </c>
      <c r="F2850">
        <v>1980018</v>
      </c>
      <c r="G2850">
        <v>379535</v>
      </c>
      <c r="H2850">
        <f>_xlfn.XLOOKUP(FACT_IMPORTS[[#This Row],[hts_6]],DIM_PRODUCTS[hts_6],DIM_PRODUCTS[hts_4],,,)</f>
        <v>8708</v>
      </c>
      <c r="I2850" t="str" cm="1">
        <f t="array" ref="I2850">_xlfn.XLOOKUP(FACT_IMPORTS[[#This Row],[country_name]],DIM_COUNTRY[[#All],[Column2]],DIM_COUNTRY[[#All],[Column3]],,,)</f>
        <v>China</v>
      </c>
    </row>
    <row r="2851" spans="1:9" x14ac:dyDescent="0.4">
      <c r="A2851" t="s">
        <v>66</v>
      </c>
      <c r="B2851" s="1">
        <v>45108</v>
      </c>
      <c r="C2851">
        <v>870891</v>
      </c>
      <c r="D2851" t="s">
        <v>176</v>
      </c>
      <c r="E2851">
        <v>208515</v>
      </c>
      <c r="F2851">
        <v>5401</v>
      </c>
      <c r="G2851">
        <v>19406</v>
      </c>
      <c r="H2851">
        <f>_xlfn.XLOOKUP(FACT_IMPORTS[[#This Row],[hts_6]],DIM_PRODUCTS[hts_6],DIM_PRODUCTS[hts_4],,,)</f>
        <v>8708</v>
      </c>
      <c r="I2851" t="str" cm="1">
        <f t="array" ref="I2851">_xlfn.XLOOKUP(FACT_IMPORTS[[#This Row],[country_name]],DIM_COUNTRY[[#All],[Column2]],DIM_COUNTRY[[#All],[Column3]],,,)</f>
        <v>China</v>
      </c>
    </row>
    <row r="2852" spans="1:9" x14ac:dyDescent="0.4">
      <c r="A2852" t="s">
        <v>66</v>
      </c>
      <c r="B2852" s="1">
        <v>45108</v>
      </c>
      <c r="C2852">
        <v>870892</v>
      </c>
      <c r="D2852" t="s">
        <v>176</v>
      </c>
      <c r="E2852">
        <v>5354067</v>
      </c>
      <c r="F2852">
        <v>782619</v>
      </c>
      <c r="G2852">
        <v>204131</v>
      </c>
      <c r="H2852">
        <f>_xlfn.XLOOKUP(FACT_IMPORTS[[#This Row],[hts_6]],DIM_PRODUCTS[hts_6],DIM_PRODUCTS[hts_4],,,)</f>
        <v>8708</v>
      </c>
      <c r="I2852" t="str" cm="1">
        <f t="array" ref="I2852">_xlfn.XLOOKUP(FACT_IMPORTS[[#This Row],[country_name]],DIM_COUNTRY[[#All],[Column2]],DIM_COUNTRY[[#All],[Column3]],,,)</f>
        <v>China</v>
      </c>
    </row>
    <row r="2853" spans="1:9" x14ac:dyDescent="0.4">
      <c r="A2853" t="s">
        <v>66</v>
      </c>
      <c r="B2853" s="1">
        <v>45108</v>
      </c>
      <c r="C2853">
        <v>870893</v>
      </c>
      <c r="D2853" t="s">
        <v>176</v>
      </c>
      <c r="E2853">
        <v>181671</v>
      </c>
      <c r="F2853">
        <v>92034</v>
      </c>
      <c r="G2853">
        <v>7716</v>
      </c>
      <c r="H2853">
        <f>_xlfn.XLOOKUP(FACT_IMPORTS[[#This Row],[hts_6]],DIM_PRODUCTS[hts_6],DIM_PRODUCTS[hts_4],,,)</f>
        <v>8708</v>
      </c>
      <c r="I2853" t="str" cm="1">
        <f t="array" ref="I2853">_xlfn.XLOOKUP(FACT_IMPORTS[[#This Row],[country_name]],DIM_COUNTRY[[#All],[Column2]],DIM_COUNTRY[[#All],[Column3]],,,)</f>
        <v>China</v>
      </c>
    </row>
    <row r="2854" spans="1:9" x14ac:dyDescent="0.4">
      <c r="A2854" t="s">
        <v>66</v>
      </c>
      <c r="B2854" s="1">
        <v>45108</v>
      </c>
      <c r="C2854">
        <v>870894</v>
      </c>
      <c r="D2854" t="s">
        <v>176</v>
      </c>
      <c r="E2854">
        <v>4587077</v>
      </c>
      <c r="F2854">
        <v>223060</v>
      </c>
      <c r="G2854">
        <v>423515</v>
      </c>
      <c r="H2854">
        <f>_xlfn.XLOOKUP(FACT_IMPORTS[[#This Row],[hts_6]],DIM_PRODUCTS[hts_6],DIM_PRODUCTS[hts_4],,,)</f>
        <v>8708</v>
      </c>
      <c r="I2854" t="str" cm="1">
        <f t="array" ref="I2854">_xlfn.XLOOKUP(FACT_IMPORTS[[#This Row],[country_name]],DIM_COUNTRY[[#All],[Column2]],DIM_COUNTRY[[#All],[Column3]],,,)</f>
        <v>China</v>
      </c>
    </row>
    <row r="2855" spans="1:9" x14ac:dyDescent="0.4">
      <c r="A2855" t="s">
        <v>66</v>
      </c>
      <c r="B2855" s="1">
        <v>45108</v>
      </c>
      <c r="C2855">
        <v>870895</v>
      </c>
      <c r="D2855" t="s">
        <v>176</v>
      </c>
      <c r="E2855">
        <v>615276</v>
      </c>
      <c r="F2855">
        <v>42836</v>
      </c>
      <c r="G2855">
        <v>7738</v>
      </c>
      <c r="H2855">
        <f>_xlfn.XLOOKUP(FACT_IMPORTS[[#This Row],[hts_6]],DIM_PRODUCTS[hts_6],DIM_PRODUCTS[hts_4],,,)</f>
        <v>8708</v>
      </c>
      <c r="I2855" t="str" cm="1">
        <f t="array" ref="I2855">_xlfn.XLOOKUP(FACT_IMPORTS[[#This Row],[country_name]],DIM_COUNTRY[[#All],[Column2]],DIM_COUNTRY[[#All],[Column3]],,,)</f>
        <v>China</v>
      </c>
    </row>
    <row r="2856" spans="1:9" x14ac:dyDescent="0.4">
      <c r="A2856" t="s">
        <v>66</v>
      </c>
      <c r="B2856" s="1">
        <v>45108</v>
      </c>
      <c r="C2856">
        <v>870899</v>
      </c>
      <c r="D2856" t="s">
        <v>176</v>
      </c>
      <c r="E2856">
        <v>10677424</v>
      </c>
      <c r="F2856">
        <v>2132213</v>
      </c>
      <c r="G2856">
        <v>398911</v>
      </c>
      <c r="H2856">
        <f>_xlfn.XLOOKUP(FACT_IMPORTS[[#This Row],[hts_6]],DIM_PRODUCTS[hts_6],DIM_PRODUCTS[hts_4],,,)</f>
        <v>8708</v>
      </c>
      <c r="I2856" t="str" cm="1">
        <f t="array" ref="I2856">_xlfn.XLOOKUP(FACT_IMPORTS[[#This Row],[country_name]],DIM_COUNTRY[[#All],[Column2]],DIM_COUNTRY[[#All],[Column3]],,,)</f>
        <v>China</v>
      </c>
    </row>
    <row r="2857" spans="1:9" x14ac:dyDescent="0.4">
      <c r="A2857" t="s">
        <v>66</v>
      </c>
      <c r="B2857" s="1">
        <v>45108</v>
      </c>
      <c r="C2857">
        <v>940120</v>
      </c>
      <c r="D2857" t="s">
        <v>176</v>
      </c>
      <c r="E2857">
        <v>0</v>
      </c>
      <c r="F2857">
        <v>0</v>
      </c>
      <c r="G2857">
        <v>0</v>
      </c>
      <c r="H2857">
        <f>_xlfn.XLOOKUP(FACT_IMPORTS[[#This Row],[hts_6]],DIM_PRODUCTS[hts_6],DIM_PRODUCTS[hts_4],,,)</f>
        <v>9401</v>
      </c>
      <c r="I2857" t="str" cm="1">
        <f t="array" ref="I2857">_xlfn.XLOOKUP(FACT_IMPORTS[[#This Row],[country_name]],DIM_COUNTRY[[#All],[Column2]],DIM_COUNTRY[[#All],[Column3]],,,)</f>
        <v>China</v>
      </c>
    </row>
    <row r="2858" spans="1:9" x14ac:dyDescent="0.4">
      <c r="A2858" t="s">
        <v>66</v>
      </c>
      <c r="B2858" s="1">
        <v>45139</v>
      </c>
      <c r="C2858">
        <v>392630</v>
      </c>
      <c r="D2858" t="s">
        <v>176</v>
      </c>
      <c r="E2858">
        <v>10128681</v>
      </c>
      <c r="F2858">
        <v>420794</v>
      </c>
      <c r="G2858">
        <v>323060</v>
      </c>
      <c r="H2858">
        <f>_xlfn.XLOOKUP(FACT_IMPORTS[[#This Row],[hts_6]],DIM_PRODUCTS[hts_6],DIM_PRODUCTS[hts_4],,,)</f>
        <v>3926</v>
      </c>
      <c r="I2858" t="str" cm="1">
        <f t="array" ref="I2858">_xlfn.XLOOKUP(FACT_IMPORTS[[#This Row],[country_name]],DIM_COUNTRY[[#All],[Column2]],DIM_COUNTRY[[#All],[Column3]],,,)</f>
        <v>China</v>
      </c>
    </row>
    <row r="2859" spans="1:9" x14ac:dyDescent="0.4">
      <c r="A2859" t="s">
        <v>66</v>
      </c>
      <c r="B2859" s="1">
        <v>45139</v>
      </c>
      <c r="C2859">
        <v>401110</v>
      </c>
      <c r="D2859" t="s">
        <v>176</v>
      </c>
      <c r="E2859">
        <v>17869</v>
      </c>
      <c r="F2859">
        <v>235</v>
      </c>
      <c r="G2859">
        <v>3708</v>
      </c>
      <c r="H2859">
        <f>_xlfn.XLOOKUP(FACT_IMPORTS[[#This Row],[hts_6]],DIM_PRODUCTS[hts_6],DIM_PRODUCTS[hts_4],,,)</f>
        <v>4011</v>
      </c>
      <c r="I2859" t="str" cm="1">
        <f t="array" ref="I2859">_xlfn.XLOOKUP(FACT_IMPORTS[[#This Row],[country_name]],DIM_COUNTRY[[#All],[Column2]],DIM_COUNTRY[[#All],[Column3]],,,)</f>
        <v>China</v>
      </c>
    </row>
    <row r="2860" spans="1:9" x14ac:dyDescent="0.4">
      <c r="A2860" t="s">
        <v>66</v>
      </c>
      <c r="B2860" s="1">
        <v>45139</v>
      </c>
      <c r="C2860">
        <v>401120</v>
      </c>
      <c r="D2860" t="s">
        <v>176</v>
      </c>
      <c r="E2860">
        <v>134436</v>
      </c>
      <c r="F2860">
        <v>1578</v>
      </c>
      <c r="G2860">
        <v>13523</v>
      </c>
      <c r="H2860">
        <f>_xlfn.XLOOKUP(FACT_IMPORTS[[#This Row],[hts_6]],DIM_PRODUCTS[hts_6],DIM_PRODUCTS[hts_4],,,)</f>
        <v>4011</v>
      </c>
      <c r="I2860" t="str" cm="1">
        <f t="array" ref="I2860">_xlfn.XLOOKUP(FACT_IMPORTS[[#This Row],[country_name]],DIM_COUNTRY[[#All],[Column2]],DIM_COUNTRY[[#All],[Column3]],,,)</f>
        <v>China</v>
      </c>
    </row>
    <row r="2861" spans="1:9" x14ac:dyDescent="0.4">
      <c r="A2861" t="s">
        <v>66</v>
      </c>
      <c r="B2861" s="1">
        <v>45139</v>
      </c>
      <c r="C2861">
        <v>401140</v>
      </c>
      <c r="D2861" t="s">
        <v>176</v>
      </c>
      <c r="E2861">
        <v>29466</v>
      </c>
      <c r="F2861">
        <v>449</v>
      </c>
      <c r="G2861">
        <v>278</v>
      </c>
      <c r="H2861">
        <f>_xlfn.XLOOKUP(FACT_IMPORTS[[#This Row],[hts_6]],DIM_PRODUCTS[hts_6],DIM_PRODUCTS[hts_4],,,)</f>
        <v>4011</v>
      </c>
      <c r="I2861" t="str" cm="1">
        <f t="array" ref="I2861">_xlfn.XLOOKUP(FACT_IMPORTS[[#This Row],[country_name]],DIM_COUNTRY[[#All],[Column2]],DIM_COUNTRY[[#All],[Column3]],,,)</f>
        <v>China</v>
      </c>
    </row>
    <row r="2862" spans="1:9" x14ac:dyDescent="0.4">
      <c r="A2862" t="s">
        <v>66</v>
      </c>
      <c r="B2862" s="1">
        <v>45139</v>
      </c>
      <c r="C2862">
        <v>401190</v>
      </c>
      <c r="D2862" t="s">
        <v>176</v>
      </c>
      <c r="E2862">
        <v>152785</v>
      </c>
      <c r="F2862">
        <v>6428</v>
      </c>
      <c r="G2862">
        <v>9401</v>
      </c>
      <c r="H2862">
        <f>_xlfn.XLOOKUP(FACT_IMPORTS[[#This Row],[hts_6]],DIM_PRODUCTS[hts_6],DIM_PRODUCTS[hts_4],,,)</f>
        <v>4011</v>
      </c>
      <c r="I2862" t="str" cm="1">
        <f t="array" ref="I2862">_xlfn.XLOOKUP(FACT_IMPORTS[[#This Row],[country_name]],DIM_COUNTRY[[#All],[Column2]],DIM_COUNTRY[[#All],[Column3]],,,)</f>
        <v>China</v>
      </c>
    </row>
    <row r="2863" spans="1:9" x14ac:dyDescent="0.4">
      <c r="A2863" t="s">
        <v>66</v>
      </c>
      <c r="B2863" s="1">
        <v>45139</v>
      </c>
      <c r="C2863">
        <v>700711</v>
      </c>
      <c r="D2863" t="s">
        <v>176</v>
      </c>
      <c r="E2863">
        <v>712584</v>
      </c>
      <c r="F2863">
        <v>70530</v>
      </c>
      <c r="G2863">
        <v>48130</v>
      </c>
      <c r="H2863">
        <f>_xlfn.XLOOKUP(FACT_IMPORTS[[#This Row],[hts_6]],DIM_PRODUCTS[hts_6],DIM_PRODUCTS[hts_4],,,)</f>
        <v>7007</v>
      </c>
      <c r="I2863" t="str" cm="1">
        <f t="array" ref="I2863">_xlfn.XLOOKUP(FACT_IMPORTS[[#This Row],[country_name]],DIM_COUNTRY[[#All],[Column2]],DIM_COUNTRY[[#All],[Column3]],,,)</f>
        <v>China</v>
      </c>
    </row>
    <row r="2864" spans="1:9" x14ac:dyDescent="0.4">
      <c r="A2864" t="s">
        <v>66</v>
      </c>
      <c r="B2864" s="1">
        <v>45139</v>
      </c>
      <c r="C2864">
        <v>700721</v>
      </c>
      <c r="D2864" t="s">
        <v>176</v>
      </c>
      <c r="E2864">
        <v>191201</v>
      </c>
      <c r="F2864">
        <v>8860</v>
      </c>
      <c r="G2864">
        <v>11763</v>
      </c>
      <c r="H2864">
        <f>_xlfn.XLOOKUP(FACT_IMPORTS[[#This Row],[hts_6]],DIM_PRODUCTS[hts_6],DIM_PRODUCTS[hts_4],,,)</f>
        <v>7007</v>
      </c>
      <c r="I2864" t="str" cm="1">
        <f t="array" ref="I2864">_xlfn.XLOOKUP(FACT_IMPORTS[[#This Row],[country_name]],DIM_COUNTRY[[#All],[Column2]],DIM_COUNTRY[[#All],[Column3]],,,)</f>
        <v>China</v>
      </c>
    </row>
    <row r="2865" spans="1:9" x14ac:dyDescent="0.4">
      <c r="A2865" t="s">
        <v>66</v>
      </c>
      <c r="B2865" s="1">
        <v>45139</v>
      </c>
      <c r="C2865">
        <v>700910</v>
      </c>
      <c r="D2865" t="s">
        <v>176</v>
      </c>
      <c r="E2865">
        <v>137142</v>
      </c>
      <c r="F2865">
        <v>130348</v>
      </c>
      <c r="G2865">
        <v>11027</v>
      </c>
      <c r="H2865">
        <f>_xlfn.XLOOKUP(FACT_IMPORTS[[#This Row],[hts_6]],DIM_PRODUCTS[hts_6],DIM_PRODUCTS[hts_4],,,)</f>
        <v>7009</v>
      </c>
      <c r="I2865" t="str" cm="1">
        <f t="array" ref="I2865">_xlfn.XLOOKUP(FACT_IMPORTS[[#This Row],[country_name]],DIM_COUNTRY[[#All],[Column2]],DIM_COUNTRY[[#All],[Column3]],,,)</f>
        <v>China</v>
      </c>
    </row>
    <row r="2866" spans="1:9" x14ac:dyDescent="0.4">
      <c r="A2866" t="s">
        <v>66</v>
      </c>
      <c r="B2866" s="1">
        <v>45139</v>
      </c>
      <c r="C2866">
        <v>732010</v>
      </c>
      <c r="D2866" t="s">
        <v>176</v>
      </c>
      <c r="E2866">
        <v>2176</v>
      </c>
      <c r="F2866">
        <v>87</v>
      </c>
      <c r="G2866">
        <v>7</v>
      </c>
      <c r="H2866">
        <f>_xlfn.XLOOKUP(FACT_IMPORTS[[#This Row],[hts_6]],DIM_PRODUCTS[hts_6],DIM_PRODUCTS[hts_4],,,)</f>
        <v>7320</v>
      </c>
      <c r="I2866" t="str" cm="1">
        <f t="array" ref="I2866">_xlfn.XLOOKUP(FACT_IMPORTS[[#This Row],[country_name]],DIM_COUNTRY[[#All],[Column2]],DIM_COUNTRY[[#All],[Column3]],,,)</f>
        <v>China</v>
      </c>
    </row>
    <row r="2867" spans="1:9" x14ac:dyDescent="0.4">
      <c r="A2867" t="s">
        <v>66</v>
      </c>
      <c r="B2867" s="1">
        <v>45139</v>
      </c>
      <c r="C2867">
        <v>830230</v>
      </c>
      <c r="D2867" t="s">
        <v>176</v>
      </c>
      <c r="E2867">
        <v>5994166</v>
      </c>
      <c r="F2867">
        <v>1393411</v>
      </c>
      <c r="G2867">
        <v>291124</v>
      </c>
      <c r="H2867">
        <f>_xlfn.XLOOKUP(FACT_IMPORTS[[#This Row],[hts_6]],DIM_PRODUCTS[hts_6],DIM_PRODUCTS[hts_4],,,)</f>
        <v>8302</v>
      </c>
      <c r="I2867" t="str" cm="1">
        <f t="array" ref="I2867">_xlfn.XLOOKUP(FACT_IMPORTS[[#This Row],[country_name]],DIM_COUNTRY[[#All],[Column2]],DIM_COUNTRY[[#All],[Column3]],,,)</f>
        <v>China</v>
      </c>
    </row>
    <row r="2868" spans="1:9" x14ac:dyDescent="0.4">
      <c r="A2868" t="s">
        <v>66</v>
      </c>
      <c r="B2868" s="1">
        <v>45139</v>
      </c>
      <c r="C2868">
        <v>840732</v>
      </c>
      <c r="D2868" t="s">
        <v>176</v>
      </c>
      <c r="E2868">
        <v>0</v>
      </c>
      <c r="F2868">
        <v>0</v>
      </c>
      <c r="G2868">
        <v>0</v>
      </c>
      <c r="H2868">
        <f>_xlfn.XLOOKUP(FACT_IMPORTS[[#This Row],[hts_6]],DIM_PRODUCTS[hts_6],DIM_PRODUCTS[hts_4],,,)</f>
        <v>8407</v>
      </c>
      <c r="I2868" t="str" cm="1">
        <f t="array" ref="I2868">_xlfn.XLOOKUP(FACT_IMPORTS[[#This Row],[country_name]],DIM_COUNTRY[[#All],[Column2]],DIM_COUNTRY[[#All],[Column3]],,,)</f>
        <v>China</v>
      </c>
    </row>
    <row r="2869" spans="1:9" x14ac:dyDescent="0.4">
      <c r="A2869" t="s">
        <v>66</v>
      </c>
      <c r="B2869" s="1">
        <v>45139</v>
      </c>
      <c r="C2869">
        <v>840733</v>
      </c>
      <c r="D2869" t="s">
        <v>176</v>
      </c>
      <c r="E2869">
        <v>6910</v>
      </c>
      <c r="F2869">
        <v>2</v>
      </c>
      <c r="G2869">
        <v>148</v>
      </c>
      <c r="H2869">
        <f>_xlfn.XLOOKUP(FACT_IMPORTS[[#This Row],[hts_6]],DIM_PRODUCTS[hts_6],DIM_PRODUCTS[hts_4],,,)</f>
        <v>8407</v>
      </c>
      <c r="I2869" t="str" cm="1">
        <f t="array" ref="I2869">_xlfn.XLOOKUP(FACT_IMPORTS[[#This Row],[country_name]],DIM_COUNTRY[[#All],[Column2]],DIM_COUNTRY[[#All],[Column3]],,,)</f>
        <v>China</v>
      </c>
    </row>
    <row r="2870" spans="1:9" x14ac:dyDescent="0.4">
      <c r="A2870" t="s">
        <v>66</v>
      </c>
      <c r="B2870" s="1">
        <v>45139</v>
      </c>
      <c r="C2870">
        <v>840734</v>
      </c>
      <c r="D2870" t="s">
        <v>176</v>
      </c>
      <c r="E2870">
        <v>549179</v>
      </c>
      <c r="F2870">
        <v>384</v>
      </c>
      <c r="G2870">
        <v>1266</v>
      </c>
      <c r="H2870">
        <f>_xlfn.XLOOKUP(FACT_IMPORTS[[#This Row],[hts_6]],DIM_PRODUCTS[hts_6],DIM_PRODUCTS[hts_4],,,)</f>
        <v>8407</v>
      </c>
      <c r="I2870" t="str" cm="1">
        <f t="array" ref="I2870">_xlfn.XLOOKUP(FACT_IMPORTS[[#This Row],[country_name]],DIM_COUNTRY[[#All],[Column2]],DIM_COUNTRY[[#All],[Column3]],,,)</f>
        <v>China</v>
      </c>
    </row>
    <row r="2871" spans="1:9" x14ac:dyDescent="0.4">
      <c r="A2871" t="s">
        <v>66</v>
      </c>
      <c r="B2871" s="1">
        <v>45139</v>
      </c>
      <c r="C2871">
        <v>840790</v>
      </c>
      <c r="D2871" t="s">
        <v>176</v>
      </c>
      <c r="E2871">
        <v>0</v>
      </c>
      <c r="F2871">
        <v>0</v>
      </c>
      <c r="G2871">
        <v>0</v>
      </c>
      <c r="H2871">
        <f>_xlfn.XLOOKUP(FACT_IMPORTS[[#This Row],[hts_6]],DIM_PRODUCTS[hts_6],DIM_PRODUCTS[hts_4],,,)</f>
        <v>8407</v>
      </c>
      <c r="I2871" t="str" cm="1">
        <f t="array" ref="I2871">_xlfn.XLOOKUP(FACT_IMPORTS[[#This Row],[country_name]],DIM_COUNTRY[[#All],[Column2]],DIM_COUNTRY[[#All],[Column3]],,,)</f>
        <v>China</v>
      </c>
    </row>
    <row r="2872" spans="1:9" x14ac:dyDescent="0.4">
      <c r="A2872" t="s">
        <v>66</v>
      </c>
      <c r="B2872" s="1">
        <v>45139</v>
      </c>
      <c r="C2872">
        <v>840890</v>
      </c>
      <c r="D2872" t="s">
        <v>176</v>
      </c>
      <c r="E2872">
        <v>0</v>
      </c>
      <c r="F2872">
        <v>0</v>
      </c>
      <c r="G2872">
        <v>0</v>
      </c>
      <c r="H2872">
        <f>_xlfn.XLOOKUP(FACT_IMPORTS[[#This Row],[hts_6]],DIM_PRODUCTS[hts_6],DIM_PRODUCTS[hts_4],,,)</f>
        <v>8408</v>
      </c>
      <c r="I2872" t="str" cm="1">
        <f t="array" ref="I2872">_xlfn.XLOOKUP(FACT_IMPORTS[[#This Row],[country_name]],DIM_COUNTRY[[#All],[Column2]],DIM_COUNTRY[[#All],[Column3]],,,)</f>
        <v>China</v>
      </c>
    </row>
    <row r="2873" spans="1:9" x14ac:dyDescent="0.4">
      <c r="A2873" t="s">
        <v>66</v>
      </c>
      <c r="B2873" s="1">
        <v>45139</v>
      </c>
      <c r="C2873">
        <v>840991</v>
      </c>
      <c r="D2873" t="s">
        <v>176</v>
      </c>
      <c r="E2873">
        <v>11337680</v>
      </c>
      <c r="F2873">
        <v>2585823</v>
      </c>
      <c r="G2873">
        <v>652002</v>
      </c>
      <c r="H2873">
        <f>_xlfn.XLOOKUP(FACT_IMPORTS[[#This Row],[hts_6]],DIM_PRODUCTS[hts_6],DIM_PRODUCTS[hts_4],,,)</f>
        <v>8409</v>
      </c>
      <c r="I2873" t="str" cm="1">
        <f t="array" ref="I2873">_xlfn.XLOOKUP(FACT_IMPORTS[[#This Row],[country_name]],DIM_COUNTRY[[#All],[Column2]],DIM_COUNTRY[[#All],[Column3]],,,)</f>
        <v>China</v>
      </c>
    </row>
    <row r="2874" spans="1:9" x14ac:dyDescent="0.4">
      <c r="A2874" t="s">
        <v>66</v>
      </c>
      <c r="B2874" s="1">
        <v>45139</v>
      </c>
      <c r="C2874">
        <v>840999</v>
      </c>
      <c r="D2874" t="s">
        <v>176</v>
      </c>
      <c r="E2874">
        <v>5896192</v>
      </c>
      <c r="F2874">
        <v>861058</v>
      </c>
      <c r="G2874">
        <v>177044</v>
      </c>
      <c r="H2874">
        <f>_xlfn.XLOOKUP(FACT_IMPORTS[[#This Row],[hts_6]],DIM_PRODUCTS[hts_6],DIM_PRODUCTS[hts_4],,,)</f>
        <v>8409</v>
      </c>
      <c r="I2874" t="str" cm="1">
        <f t="array" ref="I2874">_xlfn.XLOOKUP(FACT_IMPORTS[[#This Row],[country_name]],DIM_COUNTRY[[#All],[Column2]],DIM_COUNTRY[[#All],[Column3]],,,)</f>
        <v>China</v>
      </c>
    </row>
    <row r="2875" spans="1:9" x14ac:dyDescent="0.4">
      <c r="A2875" t="s">
        <v>66</v>
      </c>
      <c r="B2875" s="1">
        <v>45139</v>
      </c>
      <c r="C2875">
        <v>841330</v>
      </c>
      <c r="D2875" t="s">
        <v>176</v>
      </c>
      <c r="E2875">
        <v>1478639</v>
      </c>
      <c r="F2875">
        <v>12264</v>
      </c>
      <c r="G2875">
        <v>38659</v>
      </c>
      <c r="H2875">
        <f>_xlfn.XLOOKUP(FACT_IMPORTS[[#This Row],[hts_6]],DIM_PRODUCTS[hts_6],DIM_PRODUCTS[hts_4],,,)</f>
        <v>8413</v>
      </c>
      <c r="I2875" t="str" cm="1">
        <f t="array" ref="I2875">_xlfn.XLOOKUP(FACT_IMPORTS[[#This Row],[country_name]],DIM_COUNTRY[[#All],[Column2]],DIM_COUNTRY[[#All],[Column3]],,,)</f>
        <v>China</v>
      </c>
    </row>
    <row r="2876" spans="1:9" x14ac:dyDescent="0.4">
      <c r="A2876" t="s">
        <v>66</v>
      </c>
      <c r="B2876" s="1">
        <v>45139</v>
      </c>
      <c r="C2876">
        <v>841520</v>
      </c>
      <c r="D2876" t="s">
        <v>176</v>
      </c>
      <c r="E2876">
        <v>0</v>
      </c>
      <c r="F2876">
        <v>0</v>
      </c>
      <c r="G2876">
        <v>0</v>
      </c>
      <c r="H2876">
        <f>_xlfn.XLOOKUP(FACT_IMPORTS[[#This Row],[hts_6]],DIM_PRODUCTS[hts_6],DIM_PRODUCTS[hts_4],,,)</f>
        <v>8415</v>
      </c>
      <c r="I2876" t="str" cm="1">
        <f t="array" ref="I2876">_xlfn.XLOOKUP(FACT_IMPORTS[[#This Row],[country_name]],DIM_COUNTRY[[#All],[Column2]],DIM_COUNTRY[[#All],[Column3]],,,)</f>
        <v>China</v>
      </c>
    </row>
    <row r="2877" spans="1:9" x14ac:dyDescent="0.4">
      <c r="A2877" t="s">
        <v>66</v>
      </c>
      <c r="B2877" s="1">
        <v>45139</v>
      </c>
      <c r="C2877">
        <v>842132</v>
      </c>
      <c r="D2877" t="s">
        <v>176</v>
      </c>
      <c r="E2877">
        <v>20921</v>
      </c>
      <c r="F2877">
        <v>137</v>
      </c>
      <c r="G2877">
        <v>582</v>
      </c>
      <c r="H2877">
        <f>_xlfn.XLOOKUP(FACT_IMPORTS[[#This Row],[hts_6]],DIM_PRODUCTS[hts_6],DIM_PRODUCTS[hts_4],,,)</f>
        <v>8421</v>
      </c>
      <c r="I2877" t="str" cm="1">
        <f t="array" ref="I2877">_xlfn.XLOOKUP(FACT_IMPORTS[[#This Row],[country_name]],DIM_COUNTRY[[#All],[Column2]],DIM_COUNTRY[[#All],[Column3]],,,)</f>
        <v>China</v>
      </c>
    </row>
    <row r="2878" spans="1:9" x14ac:dyDescent="0.4">
      <c r="A2878" t="s">
        <v>66</v>
      </c>
      <c r="B2878" s="1">
        <v>45139</v>
      </c>
      <c r="C2878">
        <v>848210</v>
      </c>
      <c r="D2878" t="s">
        <v>176</v>
      </c>
      <c r="E2878">
        <v>1131118</v>
      </c>
      <c r="F2878">
        <v>994299</v>
      </c>
      <c r="G2878">
        <v>37425</v>
      </c>
      <c r="H2878">
        <f>_xlfn.XLOOKUP(FACT_IMPORTS[[#This Row],[hts_6]],DIM_PRODUCTS[hts_6],DIM_PRODUCTS[hts_4],,,)</f>
        <v>8482</v>
      </c>
      <c r="I2878" t="str" cm="1">
        <f t="array" ref="I2878">_xlfn.XLOOKUP(FACT_IMPORTS[[#This Row],[country_name]],DIM_COUNTRY[[#All],[Column2]],DIM_COUNTRY[[#All],[Column3]],,,)</f>
        <v>China</v>
      </c>
    </row>
    <row r="2879" spans="1:9" x14ac:dyDescent="0.4">
      <c r="A2879" t="s">
        <v>66</v>
      </c>
      <c r="B2879" s="1">
        <v>45139</v>
      </c>
      <c r="C2879">
        <v>848220</v>
      </c>
      <c r="D2879" t="s">
        <v>176</v>
      </c>
      <c r="E2879">
        <v>5758</v>
      </c>
      <c r="F2879">
        <v>614</v>
      </c>
      <c r="G2879">
        <v>624</v>
      </c>
      <c r="H2879">
        <f>_xlfn.XLOOKUP(FACT_IMPORTS[[#This Row],[hts_6]],DIM_PRODUCTS[hts_6],DIM_PRODUCTS[hts_4],,,)</f>
        <v>8482</v>
      </c>
      <c r="I2879" t="str" cm="1">
        <f t="array" ref="I2879">_xlfn.XLOOKUP(FACT_IMPORTS[[#This Row],[country_name]],DIM_COUNTRY[[#All],[Column2]],DIM_COUNTRY[[#All],[Column3]],,,)</f>
        <v>China</v>
      </c>
    </row>
    <row r="2880" spans="1:9" x14ac:dyDescent="0.4">
      <c r="A2880" t="s">
        <v>66</v>
      </c>
      <c r="B2880" s="1">
        <v>45139</v>
      </c>
      <c r="C2880">
        <v>848310</v>
      </c>
      <c r="D2880" t="s">
        <v>176</v>
      </c>
      <c r="E2880">
        <v>4240202</v>
      </c>
      <c r="F2880">
        <v>248935</v>
      </c>
      <c r="G2880">
        <v>134278</v>
      </c>
      <c r="H2880">
        <f>_xlfn.XLOOKUP(FACT_IMPORTS[[#This Row],[hts_6]],DIM_PRODUCTS[hts_6],DIM_PRODUCTS[hts_4],,,)</f>
        <v>8483</v>
      </c>
      <c r="I2880" t="str" cm="1">
        <f t="array" ref="I2880">_xlfn.XLOOKUP(FACT_IMPORTS[[#This Row],[country_name]],DIM_COUNTRY[[#All],[Column2]],DIM_COUNTRY[[#All],[Column3]],,,)</f>
        <v>China</v>
      </c>
    </row>
    <row r="2881" spans="1:9" x14ac:dyDescent="0.4">
      <c r="A2881" t="s">
        <v>66</v>
      </c>
      <c r="B2881" s="1">
        <v>45139</v>
      </c>
      <c r="C2881">
        <v>850131</v>
      </c>
      <c r="D2881" t="s">
        <v>176</v>
      </c>
      <c r="E2881">
        <v>3045177</v>
      </c>
      <c r="F2881">
        <v>420919</v>
      </c>
      <c r="G2881">
        <v>46279</v>
      </c>
      <c r="H2881">
        <f>_xlfn.XLOOKUP(FACT_IMPORTS[[#This Row],[hts_6]],DIM_PRODUCTS[hts_6],DIM_PRODUCTS[hts_4],,,)</f>
        <v>8501</v>
      </c>
      <c r="I2881" t="str" cm="1">
        <f t="array" ref="I2881">_xlfn.XLOOKUP(FACT_IMPORTS[[#This Row],[country_name]],DIM_COUNTRY[[#All],[Column2]],DIM_COUNTRY[[#All],[Column3]],,,)</f>
        <v>China</v>
      </c>
    </row>
    <row r="2882" spans="1:9" x14ac:dyDescent="0.4">
      <c r="A2882" t="s">
        <v>66</v>
      </c>
      <c r="B2882" s="1">
        <v>45139</v>
      </c>
      <c r="C2882">
        <v>850132</v>
      </c>
      <c r="D2882" t="s">
        <v>176</v>
      </c>
      <c r="E2882">
        <v>15750</v>
      </c>
      <c r="F2882">
        <v>50</v>
      </c>
      <c r="G2882">
        <v>522</v>
      </c>
      <c r="H2882">
        <f>_xlfn.XLOOKUP(FACT_IMPORTS[[#This Row],[hts_6]],DIM_PRODUCTS[hts_6],DIM_PRODUCTS[hts_4],,,)</f>
        <v>8501</v>
      </c>
      <c r="I2882" t="str" cm="1">
        <f t="array" ref="I2882">_xlfn.XLOOKUP(FACT_IMPORTS[[#This Row],[country_name]],DIM_COUNTRY[[#All],[Column2]],DIM_COUNTRY[[#All],[Column3]],,,)</f>
        <v>China</v>
      </c>
    </row>
    <row r="2883" spans="1:9" x14ac:dyDescent="0.4">
      <c r="A2883" t="s">
        <v>66</v>
      </c>
      <c r="B2883" s="1">
        <v>45139</v>
      </c>
      <c r="C2883">
        <v>850133</v>
      </c>
      <c r="D2883" t="s">
        <v>176</v>
      </c>
      <c r="E2883">
        <v>38907</v>
      </c>
      <c r="F2883">
        <v>4</v>
      </c>
      <c r="G2883">
        <v>200</v>
      </c>
      <c r="H2883">
        <f>_xlfn.XLOOKUP(FACT_IMPORTS[[#This Row],[hts_6]],DIM_PRODUCTS[hts_6],DIM_PRODUCTS[hts_4],,,)</f>
        <v>8501</v>
      </c>
      <c r="I2883" t="str" cm="1">
        <f t="array" ref="I2883">_xlfn.XLOOKUP(FACT_IMPORTS[[#This Row],[country_name]],DIM_COUNTRY[[#All],[Column2]],DIM_COUNTRY[[#All],[Column3]],,,)</f>
        <v>China</v>
      </c>
    </row>
    <row r="2884" spans="1:9" x14ac:dyDescent="0.4">
      <c r="A2884" t="s">
        <v>66</v>
      </c>
      <c r="B2884" s="1">
        <v>45139</v>
      </c>
      <c r="C2884">
        <v>850152</v>
      </c>
      <c r="D2884" t="s">
        <v>176</v>
      </c>
      <c r="E2884">
        <v>165554</v>
      </c>
      <c r="F2884">
        <v>360</v>
      </c>
      <c r="G2884">
        <v>11854</v>
      </c>
      <c r="H2884">
        <f>_xlfn.XLOOKUP(FACT_IMPORTS[[#This Row],[hts_6]],DIM_PRODUCTS[hts_6],DIM_PRODUCTS[hts_4],,,)</f>
        <v>8501</v>
      </c>
      <c r="I2884" t="str" cm="1">
        <f t="array" ref="I2884">_xlfn.XLOOKUP(FACT_IMPORTS[[#This Row],[country_name]],DIM_COUNTRY[[#All],[Column2]],DIM_COUNTRY[[#All],[Column3]],,,)</f>
        <v>China</v>
      </c>
    </row>
    <row r="2885" spans="1:9" x14ac:dyDescent="0.4">
      <c r="A2885" t="s">
        <v>66</v>
      </c>
      <c r="B2885" s="1">
        <v>45139</v>
      </c>
      <c r="C2885">
        <v>850153</v>
      </c>
      <c r="D2885" t="s">
        <v>176</v>
      </c>
      <c r="E2885">
        <v>399853</v>
      </c>
      <c r="F2885">
        <v>38</v>
      </c>
      <c r="G2885">
        <v>1611</v>
      </c>
      <c r="H2885">
        <f>_xlfn.XLOOKUP(FACT_IMPORTS[[#This Row],[hts_6]],DIM_PRODUCTS[hts_6],DIM_PRODUCTS[hts_4],,,)</f>
        <v>8501</v>
      </c>
      <c r="I2885" t="str" cm="1">
        <f t="array" ref="I2885">_xlfn.XLOOKUP(FACT_IMPORTS[[#This Row],[country_name]],DIM_COUNTRY[[#All],[Column2]],DIM_COUNTRY[[#All],[Column3]],,,)</f>
        <v>China</v>
      </c>
    </row>
    <row r="2886" spans="1:9" x14ac:dyDescent="0.4">
      <c r="A2886" t="s">
        <v>66</v>
      </c>
      <c r="B2886" s="1">
        <v>45139</v>
      </c>
      <c r="C2886">
        <v>850161</v>
      </c>
      <c r="D2886" t="s">
        <v>176</v>
      </c>
      <c r="E2886">
        <v>0</v>
      </c>
      <c r="F2886">
        <v>0</v>
      </c>
      <c r="G2886">
        <v>0</v>
      </c>
      <c r="H2886">
        <f>_xlfn.XLOOKUP(FACT_IMPORTS[[#This Row],[hts_6]],DIM_PRODUCTS[hts_6],DIM_PRODUCTS[hts_4],,,)</f>
        <v>8501</v>
      </c>
      <c r="I2886" t="str" cm="1">
        <f t="array" ref="I2886">_xlfn.XLOOKUP(FACT_IMPORTS[[#This Row],[country_name]],DIM_COUNTRY[[#All],[Column2]],DIM_COUNTRY[[#All],[Column3]],,,)</f>
        <v>China</v>
      </c>
    </row>
    <row r="2887" spans="1:9" x14ac:dyDescent="0.4">
      <c r="A2887" t="s">
        <v>66</v>
      </c>
      <c r="B2887" s="1">
        <v>45139</v>
      </c>
      <c r="C2887">
        <v>850440</v>
      </c>
      <c r="D2887" t="s">
        <v>176</v>
      </c>
      <c r="E2887">
        <v>1505592</v>
      </c>
      <c r="F2887">
        <v>282926</v>
      </c>
      <c r="G2887">
        <v>19674</v>
      </c>
      <c r="H2887">
        <f>_xlfn.XLOOKUP(FACT_IMPORTS[[#This Row],[hts_6]],DIM_PRODUCTS[hts_6],DIM_PRODUCTS[hts_4],,,)</f>
        <v>8504</v>
      </c>
      <c r="I2887" t="str" cm="1">
        <f t="array" ref="I2887">_xlfn.XLOOKUP(FACT_IMPORTS[[#This Row],[country_name]],DIM_COUNTRY[[#All],[Column2]],DIM_COUNTRY[[#All],[Column3]],,,)</f>
        <v>China</v>
      </c>
    </row>
    <row r="2888" spans="1:9" x14ac:dyDescent="0.4">
      <c r="A2888" t="s">
        <v>66</v>
      </c>
      <c r="B2888" s="1">
        <v>45139</v>
      </c>
      <c r="C2888">
        <v>850710</v>
      </c>
      <c r="D2888" t="s">
        <v>176</v>
      </c>
      <c r="E2888">
        <v>17572</v>
      </c>
      <c r="F2888">
        <v>414</v>
      </c>
      <c r="G2888">
        <v>4</v>
      </c>
      <c r="H2888">
        <f>_xlfn.XLOOKUP(FACT_IMPORTS[[#This Row],[hts_6]],DIM_PRODUCTS[hts_6],DIM_PRODUCTS[hts_4],,,)</f>
        <v>8507</v>
      </c>
      <c r="I2888" t="str" cm="1">
        <f t="array" ref="I2888">_xlfn.XLOOKUP(FACT_IMPORTS[[#This Row],[country_name]],DIM_COUNTRY[[#All],[Column2]],DIM_COUNTRY[[#All],[Column3]],,,)</f>
        <v>China</v>
      </c>
    </row>
    <row r="2889" spans="1:9" x14ac:dyDescent="0.4">
      <c r="A2889" t="s">
        <v>66</v>
      </c>
      <c r="B2889" s="1">
        <v>45139</v>
      </c>
      <c r="C2889">
        <v>850760</v>
      </c>
      <c r="D2889" t="s">
        <v>176</v>
      </c>
      <c r="E2889">
        <v>5746073</v>
      </c>
      <c r="F2889">
        <v>70233</v>
      </c>
      <c r="G2889">
        <v>47058</v>
      </c>
      <c r="H2889">
        <f>_xlfn.XLOOKUP(FACT_IMPORTS[[#This Row],[hts_6]],DIM_PRODUCTS[hts_6],DIM_PRODUCTS[hts_4],,,)</f>
        <v>8507</v>
      </c>
      <c r="I2889" t="str" cm="1">
        <f t="array" ref="I2889">_xlfn.XLOOKUP(FACT_IMPORTS[[#This Row],[country_name]],DIM_COUNTRY[[#All],[Column2]],DIM_COUNTRY[[#All],[Column3]],,,)</f>
        <v>China</v>
      </c>
    </row>
    <row r="2890" spans="1:9" x14ac:dyDescent="0.4">
      <c r="A2890" t="s">
        <v>66</v>
      </c>
      <c r="B2890" s="1">
        <v>45139</v>
      </c>
      <c r="C2890">
        <v>850790</v>
      </c>
      <c r="D2890" t="s">
        <v>176</v>
      </c>
      <c r="E2890">
        <v>173269</v>
      </c>
      <c r="F2890">
        <v>39630</v>
      </c>
      <c r="G2890">
        <v>7029</v>
      </c>
      <c r="H2890">
        <f>_xlfn.XLOOKUP(FACT_IMPORTS[[#This Row],[hts_6]],DIM_PRODUCTS[hts_6],DIM_PRODUCTS[hts_4],,,)</f>
        <v>8507</v>
      </c>
      <c r="I2890" t="str" cm="1">
        <f t="array" ref="I2890">_xlfn.XLOOKUP(FACT_IMPORTS[[#This Row],[country_name]],DIM_COUNTRY[[#All],[Column2]],DIM_COUNTRY[[#All],[Column3]],,,)</f>
        <v>China</v>
      </c>
    </row>
    <row r="2891" spans="1:9" x14ac:dyDescent="0.4">
      <c r="A2891" t="s">
        <v>66</v>
      </c>
      <c r="B2891" s="1">
        <v>45139</v>
      </c>
      <c r="C2891">
        <v>851110</v>
      </c>
      <c r="D2891" t="s">
        <v>176</v>
      </c>
      <c r="E2891">
        <v>0</v>
      </c>
      <c r="F2891">
        <v>0</v>
      </c>
      <c r="G2891">
        <v>0</v>
      </c>
      <c r="H2891">
        <f>_xlfn.XLOOKUP(FACT_IMPORTS[[#This Row],[hts_6]],DIM_PRODUCTS[hts_6],DIM_PRODUCTS[hts_4],,,)</f>
        <v>8511</v>
      </c>
      <c r="I2891" t="str" cm="1">
        <f t="array" ref="I2891">_xlfn.XLOOKUP(FACT_IMPORTS[[#This Row],[country_name]],DIM_COUNTRY[[#All],[Column2]],DIM_COUNTRY[[#All],[Column3]],,,)</f>
        <v>China</v>
      </c>
    </row>
    <row r="2892" spans="1:9" x14ac:dyDescent="0.4">
      <c r="A2892" t="s">
        <v>66</v>
      </c>
      <c r="B2892" s="1">
        <v>45139</v>
      </c>
      <c r="C2892">
        <v>851130</v>
      </c>
      <c r="D2892" t="s">
        <v>176</v>
      </c>
      <c r="E2892">
        <v>37630</v>
      </c>
      <c r="F2892">
        <v>1736</v>
      </c>
      <c r="G2892">
        <v>2580</v>
      </c>
      <c r="H2892">
        <f>_xlfn.XLOOKUP(FACT_IMPORTS[[#This Row],[hts_6]],DIM_PRODUCTS[hts_6],DIM_PRODUCTS[hts_4],,,)</f>
        <v>8511</v>
      </c>
      <c r="I2892" t="str" cm="1">
        <f t="array" ref="I2892">_xlfn.XLOOKUP(FACT_IMPORTS[[#This Row],[country_name]],DIM_COUNTRY[[#All],[Column2]],DIM_COUNTRY[[#All],[Column3]],,,)</f>
        <v>China</v>
      </c>
    </row>
    <row r="2893" spans="1:9" x14ac:dyDescent="0.4">
      <c r="A2893" t="s">
        <v>66</v>
      </c>
      <c r="B2893" s="1">
        <v>45139</v>
      </c>
      <c r="C2893">
        <v>851140</v>
      </c>
      <c r="D2893" t="s">
        <v>176</v>
      </c>
      <c r="E2893">
        <v>683265</v>
      </c>
      <c r="F2893">
        <v>10355</v>
      </c>
      <c r="G2893">
        <v>5042</v>
      </c>
      <c r="H2893">
        <f>_xlfn.XLOOKUP(FACT_IMPORTS[[#This Row],[hts_6]],DIM_PRODUCTS[hts_6],DIM_PRODUCTS[hts_4],,,)</f>
        <v>8511</v>
      </c>
      <c r="I2893" t="str" cm="1">
        <f t="array" ref="I2893">_xlfn.XLOOKUP(FACT_IMPORTS[[#This Row],[country_name]],DIM_COUNTRY[[#All],[Column2]],DIM_COUNTRY[[#All],[Column3]],,,)</f>
        <v>China</v>
      </c>
    </row>
    <row r="2894" spans="1:9" x14ac:dyDescent="0.4">
      <c r="A2894" t="s">
        <v>66</v>
      </c>
      <c r="B2894" s="1">
        <v>45139</v>
      </c>
      <c r="C2894">
        <v>851150</v>
      </c>
      <c r="D2894" t="s">
        <v>176</v>
      </c>
      <c r="E2894">
        <v>409432</v>
      </c>
      <c r="F2894">
        <v>12277</v>
      </c>
      <c r="G2894">
        <v>10112</v>
      </c>
      <c r="H2894">
        <f>_xlfn.XLOOKUP(FACT_IMPORTS[[#This Row],[hts_6]],DIM_PRODUCTS[hts_6],DIM_PRODUCTS[hts_4],,,)</f>
        <v>8511</v>
      </c>
      <c r="I2894" t="str" cm="1">
        <f t="array" ref="I2894">_xlfn.XLOOKUP(FACT_IMPORTS[[#This Row],[country_name]],DIM_COUNTRY[[#All],[Column2]],DIM_COUNTRY[[#All],[Column3]],,,)</f>
        <v>China</v>
      </c>
    </row>
    <row r="2895" spans="1:9" x14ac:dyDescent="0.4">
      <c r="A2895" t="s">
        <v>66</v>
      </c>
      <c r="B2895" s="1">
        <v>45139</v>
      </c>
      <c r="C2895">
        <v>851180</v>
      </c>
      <c r="D2895" t="s">
        <v>176</v>
      </c>
      <c r="E2895">
        <v>11027</v>
      </c>
      <c r="F2895">
        <v>1241</v>
      </c>
      <c r="G2895">
        <v>181</v>
      </c>
      <c r="H2895">
        <f>_xlfn.XLOOKUP(FACT_IMPORTS[[#This Row],[hts_6]],DIM_PRODUCTS[hts_6],DIM_PRODUCTS[hts_4],,,)</f>
        <v>8511</v>
      </c>
      <c r="I2895" t="str" cm="1">
        <f t="array" ref="I2895">_xlfn.XLOOKUP(FACT_IMPORTS[[#This Row],[country_name]],DIM_COUNTRY[[#All],[Column2]],DIM_COUNTRY[[#All],[Column3]],,,)</f>
        <v>China</v>
      </c>
    </row>
    <row r="2896" spans="1:9" x14ac:dyDescent="0.4">
      <c r="A2896" t="s">
        <v>66</v>
      </c>
      <c r="B2896" s="1">
        <v>45139</v>
      </c>
      <c r="C2896">
        <v>851190</v>
      </c>
      <c r="D2896" t="s">
        <v>176</v>
      </c>
      <c r="E2896">
        <v>169355</v>
      </c>
      <c r="F2896">
        <v>14402</v>
      </c>
      <c r="G2896">
        <v>12172</v>
      </c>
      <c r="H2896">
        <f>_xlfn.XLOOKUP(FACT_IMPORTS[[#This Row],[hts_6]],DIM_PRODUCTS[hts_6],DIM_PRODUCTS[hts_4],,,)</f>
        <v>8511</v>
      </c>
      <c r="I2896" t="str" cm="1">
        <f t="array" ref="I2896">_xlfn.XLOOKUP(FACT_IMPORTS[[#This Row],[country_name]],DIM_COUNTRY[[#All],[Column2]],DIM_COUNTRY[[#All],[Column3]],,,)</f>
        <v>China</v>
      </c>
    </row>
    <row r="2897" spans="1:9" x14ac:dyDescent="0.4">
      <c r="A2897" t="s">
        <v>66</v>
      </c>
      <c r="B2897" s="1">
        <v>45139</v>
      </c>
      <c r="C2897">
        <v>851220</v>
      </c>
      <c r="D2897" t="s">
        <v>176</v>
      </c>
      <c r="E2897">
        <v>5688178</v>
      </c>
      <c r="F2897">
        <v>1906170</v>
      </c>
      <c r="G2897">
        <v>160817</v>
      </c>
      <c r="H2897">
        <f>_xlfn.XLOOKUP(FACT_IMPORTS[[#This Row],[hts_6]],DIM_PRODUCTS[hts_6],DIM_PRODUCTS[hts_4],,,)</f>
        <v>8512</v>
      </c>
      <c r="I2897" t="str" cm="1">
        <f t="array" ref="I2897">_xlfn.XLOOKUP(FACT_IMPORTS[[#This Row],[country_name]],DIM_COUNTRY[[#All],[Column2]],DIM_COUNTRY[[#All],[Column3]],,,)</f>
        <v>China</v>
      </c>
    </row>
    <row r="2898" spans="1:9" x14ac:dyDescent="0.4">
      <c r="A2898" t="s">
        <v>66</v>
      </c>
      <c r="B2898" s="1">
        <v>45139</v>
      </c>
      <c r="C2898">
        <v>851230</v>
      </c>
      <c r="D2898" t="s">
        <v>176</v>
      </c>
      <c r="E2898">
        <v>20165</v>
      </c>
      <c r="F2898">
        <v>3904</v>
      </c>
      <c r="G2898">
        <v>43</v>
      </c>
      <c r="H2898">
        <f>_xlfn.XLOOKUP(FACT_IMPORTS[[#This Row],[hts_6]],DIM_PRODUCTS[hts_6],DIM_PRODUCTS[hts_4],,,)</f>
        <v>8512</v>
      </c>
      <c r="I2898" t="str" cm="1">
        <f t="array" ref="I2898">_xlfn.XLOOKUP(FACT_IMPORTS[[#This Row],[country_name]],DIM_COUNTRY[[#All],[Column2]],DIM_COUNTRY[[#All],[Column3]],,,)</f>
        <v>China</v>
      </c>
    </row>
    <row r="2899" spans="1:9" x14ac:dyDescent="0.4">
      <c r="A2899" t="s">
        <v>66</v>
      </c>
      <c r="B2899" s="1">
        <v>45139</v>
      </c>
      <c r="C2899">
        <v>851240</v>
      </c>
      <c r="D2899" t="s">
        <v>176</v>
      </c>
      <c r="E2899">
        <v>0</v>
      </c>
      <c r="F2899">
        <v>0</v>
      </c>
      <c r="G2899">
        <v>0</v>
      </c>
      <c r="H2899">
        <f>_xlfn.XLOOKUP(FACT_IMPORTS[[#This Row],[hts_6]],DIM_PRODUCTS[hts_6],DIM_PRODUCTS[hts_4],,,)</f>
        <v>8512</v>
      </c>
      <c r="I2899" t="str" cm="1">
        <f t="array" ref="I2899">_xlfn.XLOOKUP(FACT_IMPORTS[[#This Row],[country_name]],DIM_COUNTRY[[#All],[Column2]],DIM_COUNTRY[[#All],[Column3]],,,)</f>
        <v>China</v>
      </c>
    </row>
    <row r="2900" spans="1:9" x14ac:dyDescent="0.4">
      <c r="A2900" t="s">
        <v>66</v>
      </c>
      <c r="B2900" s="1">
        <v>45139</v>
      </c>
      <c r="C2900">
        <v>851290</v>
      </c>
      <c r="D2900" t="s">
        <v>176</v>
      </c>
      <c r="E2900">
        <v>680557</v>
      </c>
      <c r="F2900">
        <v>68081</v>
      </c>
      <c r="G2900">
        <v>8492</v>
      </c>
      <c r="H2900">
        <f>_xlfn.XLOOKUP(FACT_IMPORTS[[#This Row],[hts_6]],DIM_PRODUCTS[hts_6],DIM_PRODUCTS[hts_4],,,)</f>
        <v>8512</v>
      </c>
      <c r="I2900" t="str" cm="1">
        <f t="array" ref="I2900">_xlfn.XLOOKUP(FACT_IMPORTS[[#This Row],[country_name]],DIM_COUNTRY[[#All],[Column2]],DIM_COUNTRY[[#All],[Column3]],,,)</f>
        <v>China</v>
      </c>
    </row>
    <row r="2901" spans="1:9" x14ac:dyDescent="0.4">
      <c r="A2901" t="s">
        <v>66</v>
      </c>
      <c r="B2901" s="1">
        <v>45139</v>
      </c>
      <c r="C2901">
        <v>854231</v>
      </c>
      <c r="D2901" t="s">
        <v>176</v>
      </c>
      <c r="E2901">
        <v>2087582</v>
      </c>
      <c r="F2901">
        <v>185082</v>
      </c>
      <c r="G2901">
        <v>331558</v>
      </c>
      <c r="H2901">
        <f>_xlfn.XLOOKUP(FACT_IMPORTS[[#This Row],[hts_6]],DIM_PRODUCTS[hts_6],DIM_PRODUCTS[hts_4],,,)</f>
        <v>8542</v>
      </c>
      <c r="I2901" t="str" cm="1">
        <f t="array" ref="I2901">_xlfn.XLOOKUP(FACT_IMPORTS[[#This Row],[country_name]],DIM_COUNTRY[[#All],[Column2]],DIM_COUNTRY[[#All],[Column3]],,,)</f>
        <v>China</v>
      </c>
    </row>
    <row r="2902" spans="1:9" x14ac:dyDescent="0.4">
      <c r="A2902" t="s">
        <v>66</v>
      </c>
      <c r="B2902" s="1">
        <v>45139</v>
      </c>
      <c r="C2902">
        <v>854232</v>
      </c>
      <c r="D2902" t="s">
        <v>176</v>
      </c>
      <c r="E2902">
        <v>0</v>
      </c>
      <c r="F2902">
        <v>0</v>
      </c>
      <c r="G2902">
        <v>0</v>
      </c>
      <c r="H2902">
        <f>_xlfn.XLOOKUP(FACT_IMPORTS[[#This Row],[hts_6]],DIM_PRODUCTS[hts_6],DIM_PRODUCTS[hts_4],,,)</f>
        <v>8542</v>
      </c>
      <c r="I2902" t="str" cm="1">
        <f t="array" ref="I2902">_xlfn.XLOOKUP(FACT_IMPORTS[[#This Row],[country_name]],DIM_COUNTRY[[#All],[Column2]],DIM_COUNTRY[[#All],[Column3]],,,)</f>
        <v>China</v>
      </c>
    </row>
    <row r="2903" spans="1:9" x14ac:dyDescent="0.4">
      <c r="A2903" t="s">
        <v>66</v>
      </c>
      <c r="B2903" s="1">
        <v>45139</v>
      </c>
      <c r="C2903">
        <v>854233</v>
      </c>
      <c r="D2903" t="s">
        <v>176</v>
      </c>
      <c r="E2903">
        <v>0</v>
      </c>
      <c r="F2903">
        <v>0</v>
      </c>
      <c r="G2903">
        <v>0</v>
      </c>
      <c r="H2903">
        <f>_xlfn.XLOOKUP(FACT_IMPORTS[[#This Row],[hts_6]],DIM_PRODUCTS[hts_6],DIM_PRODUCTS[hts_4],,,)</f>
        <v>8542</v>
      </c>
      <c r="I2903" t="str" cm="1">
        <f t="array" ref="I2903">_xlfn.XLOOKUP(FACT_IMPORTS[[#This Row],[country_name]],DIM_COUNTRY[[#All],[Column2]],DIM_COUNTRY[[#All],[Column3]],,,)</f>
        <v>China</v>
      </c>
    </row>
    <row r="2904" spans="1:9" x14ac:dyDescent="0.4">
      <c r="A2904" t="s">
        <v>66</v>
      </c>
      <c r="B2904" s="1">
        <v>45139</v>
      </c>
      <c r="C2904">
        <v>854239</v>
      </c>
      <c r="D2904" t="s">
        <v>176</v>
      </c>
      <c r="E2904">
        <v>690525</v>
      </c>
      <c r="F2904">
        <v>587796</v>
      </c>
      <c r="G2904">
        <v>68009</v>
      </c>
      <c r="H2904">
        <f>_xlfn.XLOOKUP(FACT_IMPORTS[[#This Row],[hts_6]],DIM_PRODUCTS[hts_6],DIM_PRODUCTS[hts_4],,,)</f>
        <v>8542</v>
      </c>
      <c r="I2904" t="str" cm="1">
        <f t="array" ref="I2904">_xlfn.XLOOKUP(FACT_IMPORTS[[#This Row],[country_name]],DIM_COUNTRY[[#All],[Column2]],DIM_COUNTRY[[#All],[Column3]],,,)</f>
        <v>China</v>
      </c>
    </row>
    <row r="2905" spans="1:9" x14ac:dyDescent="0.4">
      <c r="A2905" t="s">
        <v>66</v>
      </c>
      <c r="B2905" s="1">
        <v>45139</v>
      </c>
      <c r="C2905">
        <v>854290</v>
      </c>
      <c r="D2905" t="s">
        <v>176</v>
      </c>
      <c r="E2905">
        <v>4347</v>
      </c>
      <c r="F2905">
        <v>1</v>
      </c>
      <c r="G2905">
        <v>5</v>
      </c>
      <c r="H2905">
        <f>_xlfn.XLOOKUP(FACT_IMPORTS[[#This Row],[hts_6]],DIM_PRODUCTS[hts_6],DIM_PRODUCTS[hts_4],,,)</f>
        <v>8542</v>
      </c>
      <c r="I2905" t="str" cm="1">
        <f t="array" ref="I2905">_xlfn.XLOOKUP(FACT_IMPORTS[[#This Row],[country_name]],DIM_COUNTRY[[#All],[Column2]],DIM_COUNTRY[[#All],[Column3]],,,)</f>
        <v>China</v>
      </c>
    </row>
    <row r="2906" spans="1:9" x14ac:dyDescent="0.4">
      <c r="A2906" t="s">
        <v>66</v>
      </c>
      <c r="B2906" s="1">
        <v>45139</v>
      </c>
      <c r="C2906">
        <v>854430</v>
      </c>
      <c r="D2906" t="s">
        <v>176</v>
      </c>
      <c r="E2906">
        <v>1971813</v>
      </c>
      <c r="F2906">
        <v>167286</v>
      </c>
      <c r="G2906">
        <v>16648</v>
      </c>
      <c r="H2906">
        <f>_xlfn.XLOOKUP(FACT_IMPORTS[[#This Row],[hts_6]],DIM_PRODUCTS[hts_6],DIM_PRODUCTS[hts_4],,,)</f>
        <v>8544</v>
      </c>
      <c r="I2906" t="str" cm="1">
        <f t="array" ref="I2906">_xlfn.XLOOKUP(FACT_IMPORTS[[#This Row],[country_name]],DIM_COUNTRY[[#All],[Column2]],DIM_COUNTRY[[#All],[Column3]],,,)</f>
        <v>China</v>
      </c>
    </row>
    <row r="2907" spans="1:9" x14ac:dyDescent="0.4">
      <c r="A2907" t="s">
        <v>66</v>
      </c>
      <c r="B2907" s="1">
        <v>45139</v>
      </c>
      <c r="C2907">
        <v>870790</v>
      </c>
      <c r="D2907" t="s">
        <v>176</v>
      </c>
      <c r="E2907">
        <v>0</v>
      </c>
      <c r="F2907">
        <v>0</v>
      </c>
      <c r="G2907">
        <v>0</v>
      </c>
      <c r="H2907">
        <f>_xlfn.XLOOKUP(FACT_IMPORTS[[#This Row],[hts_6]],DIM_PRODUCTS[hts_6],DIM_PRODUCTS[hts_4],,,)</f>
        <v>8707</v>
      </c>
      <c r="I2907" t="str" cm="1">
        <f t="array" ref="I2907">_xlfn.XLOOKUP(FACT_IMPORTS[[#This Row],[country_name]],DIM_COUNTRY[[#All],[Column2]],DIM_COUNTRY[[#All],[Column3]],,,)</f>
        <v>China</v>
      </c>
    </row>
    <row r="2908" spans="1:9" x14ac:dyDescent="0.4">
      <c r="A2908" t="s">
        <v>66</v>
      </c>
      <c r="B2908" s="1">
        <v>45139</v>
      </c>
      <c r="C2908">
        <v>870810</v>
      </c>
      <c r="D2908" t="s">
        <v>176</v>
      </c>
      <c r="E2908">
        <v>1080271</v>
      </c>
      <c r="F2908">
        <v>56436</v>
      </c>
      <c r="G2908">
        <v>48282</v>
      </c>
      <c r="H2908">
        <f>_xlfn.XLOOKUP(FACT_IMPORTS[[#This Row],[hts_6]],DIM_PRODUCTS[hts_6],DIM_PRODUCTS[hts_4],,,)</f>
        <v>8708</v>
      </c>
      <c r="I2908" t="str" cm="1">
        <f t="array" ref="I2908">_xlfn.XLOOKUP(FACT_IMPORTS[[#This Row],[country_name]],DIM_COUNTRY[[#All],[Column2]],DIM_COUNTRY[[#All],[Column3]],,,)</f>
        <v>China</v>
      </c>
    </row>
    <row r="2909" spans="1:9" x14ac:dyDescent="0.4">
      <c r="A2909" t="s">
        <v>66</v>
      </c>
      <c r="B2909" s="1">
        <v>45139</v>
      </c>
      <c r="C2909">
        <v>870821</v>
      </c>
      <c r="D2909" t="s">
        <v>176</v>
      </c>
      <c r="E2909">
        <v>4982</v>
      </c>
      <c r="F2909">
        <v>207</v>
      </c>
      <c r="G2909">
        <v>4</v>
      </c>
      <c r="H2909">
        <f>_xlfn.XLOOKUP(FACT_IMPORTS[[#This Row],[hts_6]],DIM_PRODUCTS[hts_6],DIM_PRODUCTS[hts_4],,,)</f>
        <v>8708</v>
      </c>
      <c r="I2909" t="str" cm="1">
        <f t="array" ref="I2909">_xlfn.XLOOKUP(FACT_IMPORTS[[#This Row],[country_name]],DIM_COUNTRY[[#All],[Column2]],DIM_COUNTRY[[#All],[Column3]],,,)</f>
        <v>China</v>
      </c>
    </row>
    <row r="2910" spans="1:9" x14ac:dyDescent="0.4">
      <c r="A2910" t="s">
        <v>66</v>
      </c>
      <c r="B2910" s="1">
        <v>45139</v>
      </c>
      <c r="C2910">
        <v>870822</v>
      </c>
      <c r="D2910" t="s">
        <v>176</v>
      </c>
      <c r="E2910">
        <v>641578</v>
      </c>
      <c r="F2910">
        <v>95044</v>
      </c>
      <c r="G2910">
        <v>36593</v>
      </c>
      <c r="H2910">
        <f>_xlfn.XLOOKUP(FACT_IMPORTS[[#This Row],[hts_6]],DIM_PRODUCTS[hts_6],DIM_PRODUCTS[hts_4],,,)</f>
        <v>8708</v>
      </c>
      <c r="I2910" t="str" cm="1">
        <f t="array" ref="I2910">_xlfn.XLOOKUP(FACT_IMPORTS[[#This Row],[country_name]],DIM_COUNTRY[[#All],[Column2]],DIM_COUNTRY[[#All],[Column3]],,,)</f>
        <v>China</v>
      </c>
    </row>
    <row r="2911" spans="1:9" x14ac:dyDescent="0.4">
      <c r="A2911" t="s">
        <v>66</v>
      </c>
      <c r="B2911" s="1">
        <v>45139</v>
      </c>
      <c r="C2911">
        <v>870829</v>
      </c>
      <c r="D2911" t="s">
        <v>176</v>
      </c>
      <c r="E2911">
        <v>26961207</v>
      </c>
      <c r="F2911">
        <v>6209231</v>
      </c>
      <c r="G2911">
        <v>791229</v>
      </c>
      <c r="H2911">
        <f>_xlfn.XLOOKUP(FACT_IMPORTS[[#This Row],[hts_6]],DIM_PRODUCTS[hts_6],DIM_PRODUCTS[hts_4],,,)</f>
        <v>8708</v>
      </c>
      <c r="I2911" t="str" cm="1">
        <f t="array" ref="I2911">_xlfn.XLOOKUP(FACT_IMPORTS[[#This Row],[country_name]],DIM_COUNTRY[[#All],[Column2]],DIM_COUNTRY[[#All],[Column3]],,,)</f>
        <v>China</v>
      </c>
    </row>
    <row r="2912" spans="1:9" x14ac:dyDescent="0.4">
      <c r="A2912" t="s">
        <v>66</v>
      </c>
      <c r="B2912" s="1">
        <v>45139</v>
      </c>
      <c r="C2912">
        <v>870830</v>
      </c>
      <c r="D2912" t="s">
        <v>176</v>
      </c>
      <c r="E2912">
        <v>11334361</v>
      </c>
      <c r="F2912">
        <v>931003</v>
      </c>
      <c r="G2912">
        <v>277630</v>
      </c>
      <c r="H2912">
        <f>_xlfn.XLOOKUP(FACT_IMPORTS[[#This Row],[hts_6]],DIM_PRODUCTS[hts_6],DIM_PRODUCTS[hts_4],,,)</f>
        <v>8708</v>
      </c>
      <c r="I2912" t="str" cm="1">
        <f t="array" ref="I2912">_xlfn.XLOOKUP(FACT_IMPORTS[[#This Row],[country_name]],DIM_COUNTRY[[#All],[Column2]],DIM_COUNTRY[[#All],[Column3]],,,)</f>
        <v>China</v>
      </c>
    </row>
    <row r="2913" spans="1:9" x14ac:dyDescent="0.4">
      <c r="A2913" t="s">
        <v>66</v>
      </c>
      <c r="B2913" s="1">
        <v>45139</v>
      </c>
      <c r="C2913">
        <v>870840</v>
      </c>
      <c r="D2913" t="s">
        <v>176</v>
      </c>
      <c r="E2913">
        <v>4246895</v>
      </c>
      <c r="F2913">
        <v>657335</v>
      </c>
      <c r="G2913">
        <v>62647</v>
      </c>
      <c r="H2913">
        <f>_xlfn.XLOOKUP(FACT_IMPORTS[[#This Row],[hts_6]],DIM_PRODUCTS[hts_6],DIM_PRODUCTS[hts_4],,,)</f>
        <v>8708</v>
      </c>
      <c r="I2913" t="str" cm="1">
        <f t="array" ref="I2913">_xlfn.XLOOKUP(FACT_IMPORTS[[#This Row],[country_name]],DIM_COUNTRY[[#All],[Column2]],DIM_COUNTRY[[#All],[Column3]],,,)</f>
        <v>China</v>
      </c>
    </row>
    <row r="2914" spans="1:9" x14ac:dyDescent="0.4">
      <c r="A2914" t="s">
        <v>66</v>
      </c>
      <c r="B2914" s="1">
        <v>45139</v>
      </c>
      <c r="C2914">
        <v>870850</v>
      </c>
      <c r="D2914" t="s">
        <v>176</v>
      </c>
      <c r="E2914">
        <v>5620897</v>
      </c>
      <c r="F2914">
        <v>1204173</v>
      </c>
      <c r="G2914">
        <v>91464</v>
      </c>
      <c r="H2914">
        <f>_xlfn.XLOOKUP(FACT_IMPORTS[[#This Row],[hts_6]],DIM_PRODUCTS[hts_6],DIM_PRODUCTS[hts_4],,,)</f>
        <v>8708</v>
      </c>
      <c r="I2914" t="str" cm="1">
        <f t="array" ref="I2914">_xlfn.XLOOKUP(FACT_IMPORTS[[#This Row],[country_name]],DIM_COUNTRY[[#All],[Column2]],DIM_COUNTRY[[#All],[Column3]],,,)</f>
        <v>China</v>
      </c>
    </row>
    <row r="2915" spans="1:9" x14ac:dyDescent="0.4">
      <c r="A2915" t="s">
        <v>66</v>
      </c>
      <c r="B2915" s="1">
        <v>45139</v>
      </c>
      <c r="C2915">
        <v>870870</v>
      </c>
      <c r="D2915" t="s">
        <v>176</v>
      </c>
      <c r="E2915">
        <v>99439048</v>
      </c>
      <c r="F2915">
        <v>1780988</v>
      </c>
      <c r="G2915">
        <v>2698724</v>
      </c>
      <c r="H2915">
        <f>_xlfn.XLOOKUP(FACT_IMPORTS[[#This Row],[hts_6]],DIM_PRODUCTS[hts_6],DIM_PRODUCTS[hts_4],,,)</f>
        <v>8708</v>
      </c>
      <c r="I2915" t="str" cm="1">
        <f t="array" ref="I2915">_xlfn.XLOOKUP(FACT_IMPORTS[[#This Row],[country_name]],DIM_COUNTRY[[#All],[Column2]],DIM_COUNTRY[[#All],[Column3]],,,)</f>
        <v>China</v>
      </c>
    </row>
    <row r="2916" spans="1:9" x14ac:dyDescent="0.4">
      <c r="A2916" t="s">
        <v>66</v>
      </c>
      <c r="B2916" s="1">
        <v>45139</v>
      </c>
      <c r="C2916">
        <v>870880</v>
      </c>
      <c r="D2916" t="s">
        <v>176</v>
      </c>
      <c r="E2916">
        <v>14580339</v>
      </c>
      <c r="F2916">
        <v>3031909</v>
      </c>
      <c r="G2916">
        <v>529895</v>
      </c>
      <c r="H2916">
        <f>_xlfn.XLOOKUP(FACT_IMPORTS[[#This Row],[hts_6]],DIM_PRODUCTS[hts_6],DIM_PRODUCTS[hts_4],,,)</f>
        <v>8708</v>
      </c>
      <c r="I2916" t="str" cm="1">
        <f t="array" ref="I2916">_xlfn.XLOOKUP(FACT_IMPORTS[[#This Row],[country_name]],DIM_COUNTRY[[#All],[Column2]],DIM_COUNTRY[[#All],[Column3]],,,)</f>
        <v>China</v>
      </c>
    </row>
    <row r="2917" spans="1:9" x14ac:dyDescent="0.4">
      <c r="A2917" t="s">
        <v>66</v>
      </c>
      <c r="B2917" s="1">
        <v>45139</v>
      </c>
      <c r="C2917">
        <v>870891</v>
      </c>
      <c r="D2917" t="s">
        <v>176</v>
      </c>
      <c r="E2917">
        <v>276350</v>
      </c>
      <c r="F2917">
        <v>6547</v>
      </c>
      <c r="G2917">
        <v>21724</v>
      </c>
      <c r="H2917">
        <f>_xlfn.XLOOKUP(FACT_IMPORTS[[#This Row],[hts_6]],DIM_PRODUCTS[hts_6],DIM_PRODUCTS[hts_4],,,)</f>
        <v>8708</v>
      </c>
      <c r="I2917" t="str" cm="1">
        <f t="array" ref="I2917">_xlfn.XLOOKUP(FACT_IMPORTS[[#This Row],[country_name]],DIM_COUNTRY[[#All],[Column2]],DIM_COUNTRY[[#All],[Column3]],,,)</f>
        <v>China</v>
      </c>
    </row>
    <row r="2918" spans="1:9" x14ac:dyDescent="0.4">
      <c r="A2918" t="s">
        <v>66</v>
      </c>
      <c r="B2918" s="1">
        <v>45139</v>
      </c>
      <c r="C2918">
        <v>870892</v>
      </c>
      <c r="D2918" t="s">
        <v>176</v>
      </c>
      <c r="E2918">
        <v>9199596</v>
      </c>
      <c r="F2918">
        <v>1491291</v>
      </c>
      <c r="G2918">
        <v>464437</v>
      </c>
      <c r="H2918">
        <f>_xlfn.XLOOKUP(FACT_IMPORTS[[#This Row],[hts_6]],DIM_PRODUCTS[hts_6],DIM_PRODUCTS[hts_4],,,)</f>
        <v>8708</v>
      </c>
      <c r="I2918" t="str" cm="1">
        <f t="array" ref="I2918">_xlfn.XLOOKUP(FACT_IMPORTS[[#This Row],[country_name]],DIM_COUNTRY[[#All],[Column2]],DIM_COUNTRY[[#All],[Column3]],,,)</f>
        <v>China</v>
      </c>
    </row>
    <row r="2919" spans="1:9" x14ac:dyDescent="0.4">
      <c r="A2919" t="s">
        <v>66</v>
      </c>
      <c r="B2919" s="1">
        <v>45139</v>
      </c>
      <c r="C2919">
        <v>870893</v>
      </c>
      <c r="D2919" t="s">
        <v>176</v>
      </c>
      <c r="E2919">
        <v>501253</v>
      </c>
      <c r="F2919">
        <v>280301</v>
      </c>
      <c r="G2919">
        <v>21428</v>
      </c>
      <c r="H2919">
        <f>_xlfn.XLOOKUP(FACT_IMPORTS[[#This Row],[hts_6]],DIM_PRODUCTS[hts_6],DIM_PRODUCTS[hts_4],,,)</f>
        <v>8708</v>
      </c>
      <c r="I2919" t="str" cm="1">
        <f t="array" ref="I2919">_xlfn.XLOOKUP(FACT_IMPORTS[[#This Row],[country_name]],DIM_COUNTRY[[#All],[Column2]],DIM_COUNTRY[[#All],[Column3]],,,)</f>
        <v>China</v>
      </c>
    </row>
    <row r="2920" spans="1:9" x14ac:dyDescent="0.4">
      <c r="A2920" t="s">
        <v>66</v>
      </c>
      <c r="B2920" s="1">
        <v>45139</v>
      </c>
      <c r="C2920">
        <v>870894</v>
      </c>
      <c r="D2920" t="s">
        <v>176</v>
      </c>
      <c r="E2920">
        <v>13892694</v>
      </c>
      <c r="F2920">
        <v>542605</v>
      </c>
      <c r="G2920">
        <v>1516832</v>
      </c>
      <c r="H2920">
        <f>_xlfn.XLOOKUP(FACT_IMPORTS[[#This Row],[hts_6]],DIM_PRODUCTS[hts_6],DIM_PRODUCTS[hts_4],,,)</f>
        <v>8708</v>
      </c>
      <c r="I2920" t="str" cm="1">
        <f t="array" ref="I2920">_xlfn.XLOOKUP(FACT_IMPORTS[[#This Row],[country_name]],DIM_COUNTRY[[#All],[Column2]],DIM_COUNTRY[[#All],[Column3]],,,)</f>
        <v>China</v>
      </c>
    </row>
    <row r="2921" spans="1:9" x14ac:dyDescent="0.4">
      <c r="A2921" t="s">
        <v>66</v>
      </c>
      <c r="B2921" s="1">
        <v>45139</v>
      </c>
      <c r="C2921">
        <v>870895</v>
      </c>
      <c r="D2921" t="s">
        <v>176</v>
      </c>
      <c r="E2921">
        <v>749748</v>
      </c>
      <c r="F2921">
        <v>22622</v>
      </c>
      <c r="G2921">
        <v>2562</v>
      </c>
      <c r="H2921">
        <f>_xlfn.XLOOKUP(FACT_IMPORTS[[#This Row],[hts_6]],DIM_PRODUCTS[hts_6],DIM_PRODUCTS[hts_4],,,)</f>
        <v>8708</v>
      </c>
      <c r="I2921" t="str" cm="1">
        <f t="array" ref="I2921">_xlfn.XLOOKUP(FACT_IMPORTS[[#This Row],[country_name]],DIM_COUNTRY[[#All],[Column2]],DIM_COUNTRY[[#All],[Column3]],,,)</f>
        <v>China</v>
      </c>
    </row>
    <row r="2922" spans="1:9" x14ac:dyDescent="0.4">
      <c r="A2922" t="s">
        <v>66</v>
      </c>
      <c r="B2922" s="1">
        <v>45139</v>
      </c>
      <c r="C2922">
        <v>870899</v>
      </c>
      <c r="D2922" t="s">
        <v>176</v>
      </c>
      <c r="E2922">
        <v>14259609</v>
      </c>
      <c r="F2922">
        <v>2451367</v>
      </c>
      <c r="G2922">
        <v>593717</v>
      </c>
      <c r="H2922">
        <f>_xlfn.XLOOKUP(FACT_IMPORTS[[#This Row],[hts_6]],DIM_PRODUCTS[hts_6],DIM_PRODUCTS[hts_4],,,)</f>
        <v>8708</v>
      </c>
      <c r="I2922" t="str" cm="1">
        <f t="array" ref="I2922">_xlfn.XLOOKUP(FACT_IMPORTS[[#This Row],[country_name]],DIM_COUNTRY[[#All],[Column2]],DIM_COUNTRY[[#All],[Column3]],,,)</f>
        <v>China</v>
      </c>
    </row>
    <row r="2923" spans="1:9" x14ac:dyDescent="0.4">
      <c r="A2923" t="s">
        <v>66</v>
      </c>
      <c r="B2923" s="1">
        <v>45139</v>
      </c>
      <c r="C2923">
        <v>940120</v>
      </c>
      <c r="D2923" t="s">
        <v>176</v>
      </c>
      <c r="E2923">
        <v>4756</v>
      </c>
      <c r="F2923">
        <v>13</v>
      </c>
      <c r="G2923">
        <v>2796</v>
      </c>
      <c r="H2923">
        <f>_xlfn.XLOOKUP(FACT_IMPORTS[[#This Row],[hts_6]],DIM_PRODUCTS[hts_6],DIM_PRODUCTS[hts_4],,,)</f>
        <v>9401</v>
      </c>
      <c r="I2923" t="str" cm="1">
        <f t="array" ref="I2923">_xlfn.XLOOKUP(FACT_IMPORTS[[#This Row],[country_name]],DIM_COUNTRY[[#All],[Column2]],DIM_COUNTRY[[#All],[Column3]],,,)</f>
        <v>China</v>
      </c>
    </row>
    <row r="2924" spans="1:9" x14ac:dyDescent="0.4">
      <c r="A2924" t="s">
        <v>66</v>
      </c>
      <c r="B2924" s="1">
        <v>45170</v>
      </c>
      <c r="C2924">
        <v>392630</v>
      </c>
      <c r="D2924" t="s">
        <v>176</v>
      </c>
      <c r="E2924">
        <v>9774850</v>
      </c>
      <c r="F2924">
        <v>417426</v>
      </c>
      <c r="G2924">
        <v>380029</v>
      </c>
      <c r="H2924">
        <f>_xlfn.XLOOKUP(FACT_IMPORTS[[#This Row],[hts_6]],DIM_PRODUCTS[hts_6],DIM_PRODUCTS[hts_4],,,)</f>
        <v>3926</v>
      </c>
      <c r="I2924" t="str" cm="1">
        <f t="array" ref="I2924">_xlfn.XLOOKUP(FACT_IMPORTS[[#This Row],[country_name]],DIM_COUNTRY[[#All],[Column2]],DIM_COUNTRY[[#All],[Column3]],,,)</f>
        <v>China</v>
      </c>
    </row>
    <row r="2925" spans="1:9" x14ac:dyDescent="0.4">
      <c r="A2925" t="s">
        <v>66</v>
      </c>
      <c r="B2925" s="1">
        <v>45170</v>
      </c>
      <c r="C2925">
        <v>401110</v>
      </c>
      <c r="D2925" t="s">
        <v>176</v>
      </c>
      <c r="E2925">
        <v>15480</v>
      </c>
      <c r="F2925">
        <v>220</v>
      </c>
      <c r="G2925">
        <v>1271</v>
      </c>
      <c r="H2925">
        <f>_xlfn.XLOOKUP(FACT_IMPORTS[[#This Row],[hts_6]],DIM_PRODUCTS[hts_6],DIM_PRODUCTS[hts_4],,,)</f>
        <v>4011</v>
      </c>
      <c r="I2925" t="str" cm="1">
        <f t="array" ref="I2925">_xlfn.XLOOKUP(FACT_IMPORTS[[#This Row],[country_name]],DIM_COUNTRY[[#All],[Column2]],DIM_COUNTRY[[#All],[Column3]],,,)</f>
        <v>China</v>
      </c>
    </row>
    <row r="2926" spans="1:9" x14ac:dyDescent="0.4">
      <c r="A2926" t="s">
        <v>66</v>
      </c>
      <c r="B2926" s="1">
        <v>45170</v>
      </c>
      <c r="C2926">
        <v>401120</v>
      </c>
      <c r="D2926" t="s">
        <v>176</v>
      </c>
      <c r="E2926">
        <v>223204</v>
      </c>
      <c r="F2926">
        <v>2068</v>
      </c>
      <c r="G2926">
        <v>22134</v>
      </c>
      <c r="H2926">
        <f>_xlfn.XLOOKUP(FACT_IMPORTS[[#This Row],[hts_6]],DIM_PRODUCTS[hts_6],DIM_PRODUCTS[hts_4],,,)</f>
        <v>4011</v>
      </c>
      <c r="I2926" t="str" cm="1">
        <f t="array" ref="I2926">_xlfn.XLOOKUP(FACT_IMPORTS[[#This Row],[country_name]],DIM_COUNTRY[[#All],[Column2]],DIM_COUNTRY[[#All],[Column3]],,,)</f>
        <v>China</v>
      </c>
    </row>
    <row r="2927" spans="1:9" x14ac:dyDescent="0.4">
      <c r="A2927" t="s">
        <v>66</v>
      </c>
      <c r="B2927" s="1">
        <v>45170</v>
      </c>
      <c r="C2927">
        <v>401140</v>
      </c>
      <c r="D2927" t="s">
        <v>176</v>
      </c>
      <c r="E2927">
        <v>15216</v>
      </c>
      <c r="F2927">
        <v>349</v>
      </c>
      <c r="G2927">
        <v>38</v>
      </c>
      <c r="H2927">
        <f>_xlfn.XLOOKUP(FACT_IMPORTS[[#This Row],[hts_6]],DIM_PRODUCTS[hts_6],DIM_PRODUCTS[hts_4],,,)</f>
        <v>4011</v>
      </c>
      <c r="I2927" t="str" cm="1">
        <f t="array" ref="I2927">_xlfn.XLOOKUP(FACT_IMPORTS[[#This Row],[country_name]],DIM_COUNTRY[[#All],[Column2]],DIM_COUNTRY[[#All],[Column3]],,,)</f>
        <v>China</v>
      </c>
    </row>
    <row r="2928" spans="1:9" x14ac:dyDescent="0.4">
      <c r="A2928" t="s">
        <v>66</v>
      </c>
      <c r="B2928" s="1">
        <v>45170</v>
      </c>
      <c r="C2928">
        <v>401190</v>
      </c>
      <c r="D2928" t="s">
        <v>176</v>
      </c>
      <c r="E2928">
        <v>236210</v>
      </c>
      <c r="F2928">
        <v>7757</v>
      </c>
      <c r="G2928">
        <v>21367</v>
      </c>
      <c r="H2928">
        <f>_xlfn.XLOOKUP(FACT_IMPORTS[[#This Row],[hts_6]],DIM_PRODUCTS[hts_6],DIM_PRODUCTS[hts_4],,,)</f>
        <v>4011</v>
      </c>
      <c r="I2928" t="str" cm="1">
        <f t="array" ref="I2928">_xlfn.XLOOKUP(FACT_IMPORTS[[#This Row],[country_name]],DIM_COUNTRY[[#All],[Column2]],DIM_COUNTRY[[#All],[Column3]],,,)</f>
        <v>China</v>
      </c>
    </row>
    <row r="2929" spans="1:9" x14ac:dyDescent="0.4">
      <c r="A2929" t="s">
        <v>66</v>
      </c>
      <c r="B2929" s="1">
        <v>45170</v>
      </c>
      <c r="C2929">
        <v>700711</v>
      </c>
      <c r="D2929" t="s">
        <v>176</v>
      </c>
      <c r="E2929">
        <v>443537</v>
      </c>
      <c r="F2929">
        <v>33272</v>
      </c>
      <c r="G2929">
        <v>24932</v>
      </c>
      <c r="H2929">
        <f>_xlfn.XLOOKUP(FACT_IMPORTS[[#This Row],[hts_6]],DIM_PRODUCTS[hts_6],DIM_PRODUCTS[hts_4],,,)</f>
        <v>7007</v>
      </c>
      <c r="I2929" t="str" cm="1">
        <f t="array" ref="I2929">_xlfn.XLOOKUP(FACT_IMPORTS[[#This Row],[country_name]],DIM_COUNTRY[[#All],[Column2]],DIM_COUNTRY[[#All],[Column3]],,,)</f>
        <v>China</v>
      </c>
    </row>
    <row r="2930" spans="1:9" x14ac:dyDescent="0.4">
      <c r="A2930" t="s">
        <v>66</v>
      </c>
      <c r="B2930" s="1">
        <v>45170</v>
      </c>
      <c r="C2930">
        <v>700721</v>
      </c>
      <c r="D2930" t="s">
        <v>176</v>
      </c>
      <c r="E2930">
        <v>122761</v>
      </c>
      <c r="F2930">
        <v>5793</v>
      </c>
      <c r="G2930">
        <v>12038</v>
      </c>
      <c r="H2930">
        <f>_xlfn.XLOOKUP(FACT_IMPORTS[[#This Row],[hts_6]],DIM_PRODUCTS[hts_6],DIM_PRODUCTS[hts_4],,,)</f>
        <v>7007</v>
      </c>
      <c r="I2930" t="str" cm="1">
        <f t="array" ref="I2930">_xlfn.XLOOKUP(FACT_IMPORTS[[#This Row],[country_name]],DIM_COUNTRY[[#All],[Column2]],DIM_COUNTRY[[#All],[Column3]],,,)</f>
        <v>China</v>
      </c>
    </row>
    <row r="2931" spans="1:9" x14ac:dyDescent="0.4">
      <c r="A2931" t="s">
        <v>66</v>
      </c>
      <c r="B2931" s="1">
        <v>45170</v>
      </c>
      <c r="C2931">
        <v>700910</v>
      </c>
      <c r="D2931" t="s">
        <v>176</v>
      </c>
      <c r="E2931">
        <v>373850</v>
      </c>
      <c r="F2931">
        <v>347435</v>
      </c>
      <c r="G2931">
        <v>34274</v>
      </c>
      <c r="H2931">
        <f>_xlfn.XLOOKUP(FACT_IMPORTS[[#This Row],[hts_6]],DIM_PRODUCTS[hts_6],DIM_PRODUCTS[hts_4],,,)</f>
        <v>7009</v>
      </c>
      <c r="I2931" t="str" cm="1">
        <f t="array" ref="I2931">_xlfn.XLOOKUP(FACT_IMPORTS[[#This Row],[country_name]],DIM_COUNTRY[[#All],[Column2]],DIM_COUNTRY[[#All],[Column3]],,,)</f>
        <v>China</v>
      </c>
    </row>
    <row r="2932" spans="1:9" x14ac:dyDescent="0.4">
      <c r="A2932" t="s">
        <v>66</v>
      </c>
      <c r="B2932" s="1">
        <v>45170</v>
      </c>
      <c r="C2932">
        <v>732010</v>
      </c>
      <c r="D2932" t="s">
        <v>176</v>
      </c>
      <c r="E2932">
        <v>0</v>
      </c>
      <c r="F2932">
        <v>0</v>
      </c>
      <c r="G2932">
        <v>0</v>
      </c>
      <c r="H2932">
        <f>_xlfn.XLOOKUP(FACT_IMPORTS[[#This Row],[hts_6]],DIM_PRODUCTS[hts_6],DIM_PRODUCTS[hts_4],,,)</f>
        <v>7320</v>
      </c>
      <c r="I2932" t="str" cm="1">
        <f t="array" ref="I2932">_xlfn.XLOOKUP(FACT_IMPORTS[[#This Row],[country_name]],DIM_COUNTRY[[#All],[Column2]],DIM_COUNTRY[[#All],[Column3]],,,)</f>
        <v>China</v>
      </c>
    </row>
    <row r="2933" spans="1:9" x14ac:dyDescent="0.4">
      <c r="A2933" t="s">
        <v>66</v>
      </c>
      <c r="B2933" s="1">
        <v>45170</v>
      </c>
      <c r="C2933">
        <v>830230</v>
      </c>
      <c r="D2933" t="s">
        <v>176</v>
      </c>
      <c r="E2933">
        <v>4207948</v>
      </c>
      <c r="F2933">
        <v>1070286</v>
      </c>
      <c r="G2933">
        <v>199517</v>
      </c>
      <c r="H2933">
        <f>_xlfn.XLOOKUP(FACT_IMPORTS[[#This Row],[hts_6]],DIM_PRODUCTS[hts_6],DIM_PRODUCTS[hts_4],,,)</f>
        <v>8302</v>
      </c>
      <c r="I2933" t="str" cm="1">
        <f t="array" ref="I2933">_xlfn.XLOOKUP(FACT_IMPORTS[[#This Row],[country_name]],DIM_COUNTRY[[#All],[Column2]],DIM_COUNTRY[[#All],[Column3]],,,)</f>
        <v>China</v>
      </c>
    </row>
    <row r="2934" spans="1:9" x14ac:dyDescent="0.4">
      <c r="A2934" t="s">
        <v>66</v>
      </c>
      <c r="B2934" s="1">
        <v>45170</v>
      </c>
      <c r="C2934">
        <v>840732</v>
      </c>
      <c r="D2934" t="s">
        <v>176</v>
      </c>
      <c r="E2934">
        <v>0</v>
      </c>
      <c r="F2934">
        <v>0</v>
      </c>
      <c r="G2934">
        <v>0</v>
      </c>
      <c r="H2934">
        <f>_xlfn.XLOOKUP(FACT_IMPORTS[[#This Row],[hts_6]],DIM_PRODUCTS[hts_6],DIM_PRODUCTS[hts_4],,,)</f>
        <v>8407</v>
      </c>
      <c r="I2934" t="str" cm="1">
        <f t="array" ref="I2934">_xlfn.XLOOKUP(FACT_IMPORTS[[#This Row],[country_name]],DIM_COUNTRY[[#All],[Column2]],DIM_COUNTRY[[#All],[Column3]],,,)</f>
        <v>China</v>
      </c>
    </row>
    <row r="2935" spans="1:9" x14ac:dyDescent="0.4">
      <c r="A2935" t="s">
        <v>66</v>
      </c>
      <c r="B2935" s="1">
        <v>45170</v>
      </c>
      <c r="C2935">
        <v>840733</v>
      </c>
      <c r="D2935" t="s">
        <v>176</v>
      </c>
      <c r="E2935">
        <v>3955</v>
      </c>
      <c r="F2935">
        <v>1</v>
      </c>
      <c r="G2935">
        <v>15</v>
      </c>
      <c r="H2935">
        <f>_xlfn.XLOOKUP(FACT_IMPORTS[[#This Row],[hts_6]],DIM_PRODUCTS[hts_6],DIM_PRODUCTS[hts_4],,,)</f>
        <v>8407</v>
      </c>
      <c r="I2935" t="str" cm="1">
        <f t="array" ref="I2935">_xlfn.XLOOKUP(FACT_IMPORTS[[#This Row],[country_name]],DIM_COUNTRY[[#All],[Column2]],DIM_COUNTRY[[#All],[Column3]],,,)</f>
        <v>China</v>
      </c>
    </row>
    <row r="2936" spans="1:9" x14ac:dyDescent="0.4">
      <c r="A2936" t="s">
        <v>66</v>
      </c>
      <c r="B2936" s="1">
        <v>45170</v>
      </c>
      <c r="C2936">
        <v>840734</v>
      </c>
      <c r="D2936" t="s">
        <v>176</v>
      </c>
      <c r="E2936">
        <v>337796</v>
      </c>
      <c r="F2936">
        <v>234</v>
      </c>
      <c r="G2936">
        <v>1445</v>
      </c>
      <c r="H2936">
        <f>_xlfn.XLOOKUP(FACT_IMPORTS[[#This Row],[hts_6]],DIM_PRODUCTS[hts_6],DIM_PRODUCTS[hts_4],,,)</f>
        <v>8407</v>
      </c>
      <c r="I2936" t="str" cm="1">
        <f t="array" ref="I2936">_xlfn.XLOOKUP(FACT_IMPORTS[[#This Row],[country_name]],DIM_COUNTRY[[#All],[Column2]],DIM_COUNTRY[[#All],[Column3]],,,)</f>
        <v>China</v>
      </c>
    </row>
    <row r="2937" spans="1:9" x14ac:dyDescent="0.4">
      <c r="A2937" t="s">
        <v>66</v>
      </c>
      <c r="B2937" s="1">
        <v>45170</v>
      </c>
      <c r="C2937">
        <v>840790</v>
      </c>
      <c r="D2937" t="s">
        <v>176</v>
      </c>
      <c r="E2937">
        <v>0</v>
      </c>
      <c r="F2937">
        <v>0</v>
      </c>
      <c r="G2937">
        <v>0</v>
      </c>
      <c r="H2937">
        <f>_xlfn.XLOOKUP(FACT_IMPORTS[[#This Row],[hts_6]],DIM_PRODUCTS[hts_6],DIM_PRODUCTS[hts_4],,,)</f>
        <v>8407</v>
      </c>
      <c r="I2937" t="str" cm="1">
        <f t="array" ref="I2937">_xlfn.XLOOKUP(FACT_IMPORTS[[#This Row],[country_name]],DIM_COUNTRY[[#All],[Column2]],DIM_COUNTRY[[#All],[Column3]],,,)</f>
        <v>China</v>
      </c>
    </row>
    <row r="2938" spans="1:9" x14ac:dyDescent="0.4">
      <c r="A2938" t="s">
        <v>66</v>
      </c>
      <c r="B2938" s="1">
        <v>45170</v>
      </c>
      <c r="C2938">
        <v>840890</v>
      </c>
      <c r="D2938" t="s">
        <v>176</v>
      </c>
      <c r="E2938">
        <v>20652</v>
      </c>
      <c r="F2938">
        <v>1</v>
      </c>
      <c r="G2938">
        <v>1033</v>
      </c>
      <c r="H2938">
        <f>_xlfn.XLOOKUP(FACT_IMPORTS[[#This Row],[hts_6]],DIM_PRODUCTS[hts_6],DIM_PRODUCTS[hts_4],,,)</f>
        <v>8408</v>
      </c>
      <c r="I2938" t="str" cm="1">
        <f t="array" ref="I2938">_xlfn.XLOOKUP(FACT_IMPORTS[[#This Row],[country_name]],DIM_COUNTRY[[#All],[Column2]],DIM_COUNTRY[[#All],[Column3]],,,)</f>
        <v>China</v>
      </c>
    </row>
    <row r="2939" spans="1:9" x14ac:dyDescent="0.4">
      <c r="A2939" t="s">
        <v>66</v>
      </c>
      <c r="B2939" s="1">
        <v>45170</v>
      </c>
      <c r="C2939">
        <v>840991</v>
      </c>
      <c r="D2939" t="s">
        <v>176</v>
      </c>
      <c r="E2939">
        <v>9928690</v>
      </c>
      <c r="F2939">
        <v>2037930</v>
      </c>
      <c r="G2939">
        <v>584021</v>
      </c>
      <c r="H2939">
        <f>_xlfn.XLOOKUP(FACT_IMPORTS[[#This Row],[hts_6]],DIM_PRODUCTS[hts_6],DIM_PRODUCTS[hts_4],,,)</f>
        <v>8409</v>
      </c>
      <c r="I2939" t="str" cm="1">
        <f t="array" ref="I2939">_xlfn.XLOOKUP(FACT_IMPORTS[[#This Row],[country_name]],DIM_COUNTRY[[#All],[Column2]],DIM_COUNTRY[[#All],[Column3]],,,)</f>
        <v>China</v>
      </c>
    </row>
    <row r="2940" spans="1:9" x14ac:dyDescent="0.4">
      <c r="A2940" t="s">
        <v>66</v>
      </c>
      <c r="B2940" s="1">
        <v>45170</v>
      </c>
      <c r="C2940">
        <v>840999</v>
      </c>
      <c r="D2940" t="s">
        <v>176</v>
      </c>
      <c r="E2940">
        <v>4467711</v>
      </c>
      <c r="F2940">
        <v>699124</v>
      </c>
      <c r="G2940">
        <v>198476</v>
      </c>
      <c r="H2940">
        <f>_xlfn.XLOOKUP(FACT_IMPORTS[[#This Row],[hts_6]],DIM_PRODUCTS[hts_6],DIM_PRODUCTS[hts_4],,,)</f>
        <v>8409</v>
      </c>
      <c r="I2940" t="str" cm="1">
        <f t="array" ref="I2940">_xlfn.XLOOKUP(FACT_IMPORTS[[#This Row],[country_name]],DIM_COUNTRY[[#All],[Column2]],DIM_COUNTRY[[#All],[Column3]],,,)</f>
        <v>China</v>
      </c>
    </row>
    <row r="2941" spans="1:9" x14ac:dyDescent="0.4">
      <c r="A2941" t="s">
        <v>66</v>
      </c>
      <c r="B2941" s="1">
        <v>45170</v>
      </c>
      <c r="C2941">
        <v>841330</v>
      </c>
      <c r="D2941" t="s">
        <v>176</v>
      </c>
      <c r="E2941">
        <v>1149808</v>
      </c>
      <c r="F2941">
        <v>25227</v>
      </c>
      <c r="G2941">
        <v>17889</v>
      </c>
      <c r="H2941">
        <f>_xlfn.XLOOKUP(FACT_IMPORTS[[#This Row],[hts_6]],DIM_PRODUCTS[hts_6],DIM_PRODUCTS[hts_4],,,)</f>
        <v>8413</v>
      </c>
      <c r="I2941" t="str" cm="1">
        <f t="array" ref="I2941">_xlfn.XLOOKUP(FACT_IMPORTS[[#This Row],[country_name]],DIM_COUNTRY[[#All],[Column2]],DIM_COUNTRY[[#All],[Column3]],,,)</f>
        <v>China</v>
      </c>
    </row>
    <row r="2942" spans="1:9" x14ac:dyDescent="0.4">
      <c r="A2942" t="s">
        <v>66</v>
      </c>
      <c r="B2942" s="1">
        <v>45170</v>
      </c>
      <c r="C2942">
        <v>841520</v>
      </c>
      <c r="D2942" t="s">
        <v>176</v>
      </c>
      <c r="E2942">
        <v>0</v>
      </c>
      <c r="F2942">
        <v>0</v>
      </c>
      <c r="G2942">
        <v>0</v>
      </c>
      <c r="H2942">
        <f>_xlfn.XLOOKUP(FACT_IMPORTS[[#This Row],[hts_6]],DIM_PRODUCTS[hts_6],DIM_PRODUCTS[hts_4],,,)</f>
        <v>8415</v>
      </c>
      <c r="I2942" t="str" cm="1">
        <f t="array" ref="I2942">_xlfn.XLOOKUP(FACT_IMPORTS[[#This Row],[country_name]],DIM_COUNTRY[[#All],[Column2]],DIM_COUNTRY[[#All],[Column3]],,,)</f>
        <v>China</v>
      </c>
    </row>
    <row r="2943" spans="1:9" x14ac:dyDescent="0.4">
      <c r="A2943" t="s">
        <v>66</v>
      </c>
      <c r="B2943" s="1">
        <v>45170</v>
      </c>
      <c r="C2943">
        <v>842132</v>
      </c>
      <c r="D2943" t="s">
        <v>176</v>
      </c>
      <c r="E2943">
        <v>0</v>
      </c>
      <c r="F2943">
        <v>0</v>
      </c>
      <c r="G2943">
        <v>0</v>
      </c>
      <c r="H2943">
        <f>_xlfn.XLOOKUP(FACT_IMPORTS[[#This Row],[hts_6]],DIM_PRODUCTS[hts_6],DIM_PRODUCTS[hts_4],,,)</f>
        <v>8421</v>
      </c>
      <c r="I2943" t="str" cm="1">
        <f t="array" ref="I2943">_xlfn.XLOOKUP(FACT_IMPORTS[[#This Row],[country_name]],DIM_COUNTRY[[#All],[Column2]],DIM_COUNTRY[[#All],[Column3]],,,)</f>
        <v>China</v>
      </c>
    </row>
    <row r="2944" spans="1:9" x14ac:dyDescent="0.4">
      <c r="A2944" t="s">
        <v>66</v>
      </c>
      <c r="B2944" s="1">
        <v>45170</v>
      </c>
      <c r="C2944">
        <v>848210</v>
      </c>
      <c r="D2944" t="s">
        <v>176</v>
      </c>
      <c r="E2944">
        <v>873598</v>
      </c>
      <c r="F2944">
        <v>595554</v>
      </c>
      <c r="G2944">
        <v>16336</v>
      </c>
      <c r="H2944">
        <f>_xlfn.XLOOKUP(FACT_IMPORTS[[#This Row],[hts_6]],DIM_PRODUCTS[hts_6],DIM_PRODUCTS[hts_4],,,)</f>
        <v>8482</v>
      </c>
      <c r="I2944" t="str" cm="1">
        <f t="array" ref="I2944">_xlfn.XLOOKUP(FACT_IMPORTS[[#This Row],[country_name]],DIM_COUNTRY[[#All],[Column2]],DIM_COUNTRY[[#All],[Column3]],,,)</f>
        <v>China</v>
      </c>
    </row>
    <row r="2945" spans="1:9" x14ac:dyDescent="0.4">
      <c r="A2945" t="s">
        <v>66</v>
      </c>
      <c r="B2945" s="1">
        <v>45170</v>
      </c>
      <c r="C2945">
        <v>848220</v>
      </c>
      <c r="D2945" t="s">
        <v>176</v>
      </c>
      <c r="E2945">
        <v>200733</v>
      </c>
      <c r="F2945">
        <v>156623</v>
      </c>
      <c r="G2945">
        <v>11690</v>
      </c>
      <c r="H2945">
        <f>_xlfn.XLOOKUP(FACT_IMPORTS[[#This Row],[hts_6]],DIM_PRODUCTS[hts_6],DIM_PRODUCTS[hts_4],,,)</f>
        <v>8482</v>
      </c>
      <c r="I2945" t="str" cm="1">
        <f t="array" ref="I2945">_xlfn.XLOOKUP(FACT_IMPORTS[[#This Row],[country_name]],DIM_COUNTRY[[#All],[Column2]],DIM_COUNTRY[[#All],[Column3]],,,)</f>
        <v>China</v>
      </c>
    </row>
    <row r="2946" spans="1:9" x14ac:dyDescent="0.4">
      <c r="A2946" t="s">
        <v>66</v>
      </c>
      <c r="B2946" s="1">
        <v>45170</v>
      </c>
      <c r="C2946">
        <v>848310</v>
      </c>
      <c r="D2946" t="s">
        <v>176</v>
      </c>
      <c r="E2946">
        <v>4525962</v>
      </c>
      <c r="F2946">
        <v>256726</v>
      </c>
      <c r="G2946">
        <v>169083</v>
      </c>
      <c r="H2946">
        <f>_xlfn.XLOOKUP(FACT_IMPORTS[[#This Row],[hts_6]],DIM_PRODUCTS[hts_6],DIM_PRODUCTS[hts_4],,,)</f>
        <v>8483</v>
      </c>
      <c r="I2946" t="str" cm="1">
        <f t="array" ref="I2946">_xlfn.XLOOKUP(FACT_IMPORTS[[#This Row],[country_name]],DIM_COUNTRY[[#All],[Column2]],DIM_COUNTRY[[#All],[Column3]],,,)</f>
        <v>China</v>
      </c>
    </row>
    <row r="2947" spans="1:9" x14ac:dyDescent="0.4">
      <c r="A2947" t="s">
        <v>66</v>
      </c>
      <c r="B2947" s="1">
        <v>45170</v>
      </c>
      <c r="C2947">
        <v>850131</v>
      </c>
      <c r="D2947" t="s">
        <v>176</v>
      </c>
      <c r="E2947">
        <v>2254344</v>
      </c>
      <c r="F2947">
        <v>308523</v>
      </c>
      <c r="G2947">
        <v>28829</v>
      </c>
      <c r="H2947">
        <f>_xlfn.XLOOKUP(FACT_IMPORTS[[#This Row],[hts_6]],DIM_PRODUCTS[hts_6],DIM_PRODUCTS[hts_4],,,)</f>
        <v>8501</v>
      </c>
      <c r="I2947" t="str" cm="1">
        <f t="array" ref="I2947">_xlfn.XLOOKUP(FACT_IMPORTS[[#This Row],[country_name]],DIM_COUNTRY[[#All],[Column2]],DIM_COUNTRY[[#All],[Column3]],,,)</f>
        <v>China</v>
      </c>
    </row>
    <row r="2948" spans="1:9" x14ac:dyDescent="0.4">
      <c r="A2948" t="s">
        <v>66</v>
      </c>
      <c r="B2948" s="1">
        <v>45170</v>
      </c>
      <c r="C2948">
        <v>850132</v>
      </c>
      <c r="D2948" t="s">
        <v>176</v>
      </c>
      <c r="E2948">
        <v>9450</v>
      </c>
      <c r="F2948">
        <v>30</v>
      </c>
      <c r="G2948">
        <v>753</v>
      </c>
      <c r="H2948">
        <f>_xlfn.XLOOKUP(FACT_IMPORTS[[#This Row],[hts_6]],DIM_PRODUCTS[hts_6],DIM_PRODUCTS[hts_4],,,)</f>
        <v>8501</v>
      </c>
      <c r="I2948" t="str" cm="1">
        <f t="array" ref="I2948">_xlfn.XLOOKUP(FACT_IMPORTS[[#This Row],[country_name]],DIM_COUNTRY[[#All],[Column2]],DIM_COUNTRY[[#All],[Column3]],,,)</f>
        <v>China</v>
      </c>
    </row>
    <row r="2949" spans="1:9" x14ac:dyDescent="0.4">
      <c r="A2949" t="s">
        <v>66</v>
      </c>
      <c r="B2949" s="1">
        <v>45170</v>
      </c>
      <c r="C2949">
        <v>850133</v>
      </c>
      <c r="D2949" t="s">
        <v>176</v>
      </c>
      <c r="E2949">
        <v>0</v>
      </c>
      <c r="F2949">
        <v>0</v>
      </c>
      <c r="G2949">
        <v>0</v>
      </c>
      <c r="H2949">
        <f>_xlfn.XLOOKUP(FACT_IMPORTS[[#This Row],[hts_6]],DIM_PRODUCTS[hts_6],DIM_PRODUCTS[hts_4],,,)</f>
        <v>8501</v>
      </c>
      <c r="I2949" t="str" cm="1">
        <f t="array" ref="I2949">_xlfn.XLOOKUP(FACT_IMPORTS[[#This Row],[country_name]],DIM_COUNTRY[[#All],[Column2]],DIM_COUNTRY[[#All],[Column3]],,,)</f>
        <v>China</v>
      </c>
    </row>
    <row r="2950" spans="1:9" x14ac:dyDescent="0.4">
      <c r="A2950" t="s">
        <v>66</v>
      </c>
      <c r="B2950" s="1">
        <v>45170</v>
      </c>
      <c r="C2950">
        <v>850152</v>
      </c>
      <c r="D2950" t="s">
        <v>176</v>
      </c>
      <c r="E2950">
        <v>361202</v>
      </c>
      <c r="F2950">
        <v>436</v>
      </c>
      <c r="G2950">
        <v>19086</v>
      </c>
      <c r="H2950">
        <f>_xlfn.XLOOKUP(FACT_IMPORTS[[#This Row],[hts_6]],DIM_PRODUCTS[hts_6],DIM_PRODUCTS[hts_4],,,)</f>
        <v>8501</v>
      </c>
      <c r="I2950" t="str" cm="1">
        <f t="array" ref="I2950">_xlfn.XLOOKUP(FACT_IMPORTS[[#This Row],[country_name]],DIM_COUNTRY[[#All],[Column2]],DIM_COUNTRY[[#All],[Column3]],,,)</f>
        <v>China</v>
      </c>
    </row>
    <row r="2951" spans="1:9" x14ac:dyDescent="0.4">
      <c r="A2951" t="s">
        <v>66</v>
      </c>
      <c r="B2951" s="1">
        <v>45170</v>
      </c>
      <c r="C2951">
        <v>850153</v>
      </c>
      <c r="D2951" t="s">
        <v>176</v>
      </c>
      <c r="E2951">
        <v>53436</v>
      </c>
      <c r="F2951">
        <v>13</v>
      </c>
      <c r="G2951">
        <v>242</v>
      </c>
      <c r="H2951">
        <f>_xlfn.XLOOKUP(FACT_IMPORTS[[#This Row],[hts_6]],DIM_PRODUCTS[hts_6],DIM_PRODUCTS[hts_4],,,)</f>
        <v>8501</v>
      </c>
      <c r="I2951" t="str" cm="1">
        <f t="array" ref="I2951">_xlfn.XLOOKUP(FACT_IMPORTS[[#This Row],[country_name]],DIM_COUNTRY[[#All],[Column2]],DIM_COUNTRY[[#All],[Column3]],,,)</f>
        <v>China</v>
      </c>
    </row>
    <row r="2952" spans="1:9" x14ac:dyDescent="0.4">
      <c r="A2952" t="s">
        <v>66</v>
      </c>
      <c r="B2952" s="1">
        <v>45170</v>
      </c>
      <c r="C2952">
        <v>850161</v>
      </c>
      <c r="D2952" t="s">
        <v>176</v>
      </c>
      <c r="E2952">
        <v>0</v>
      </c>
      <c r="F2952">
        <v>0</v>
      </c>
      <c r="G2952">
        <v>0</v>
      </c>
      <c r="H2952">
        <f>_xlfn.XLOOKUP(FACT_IMPORTS[[#This Row],[hts_6]],DIM_PRODUCTS[hts_6],DIM_PRODUCTS[hts_4],,,)</f>
        <v>8501</v>
      </c>
      <c r="I2952" t="str" cm="1">
        <f t="array" ref="I2952">_xlfn.XLOOKUP(FACT_IMPORTS[[#This Row],[country_name]],DIM_COUNTRY[[#All],[Column2]],DIM_COUNTRY[[#All],[Column3]],,,)</f>
        <v>China</v>
      </c>
    </row>
    <row r="2953" spans="1:9" x14ac:dyDescent="0.4">
      <c r="A2953" t="s">
        <v>66</v>
      </c>
      <c r="B2953" s="1">
        <v>45170</v>
      </c>
      <c r="C2953">
        <v>850440</v>
      </c>
      <c r="D2953" t="s">
        <v>176</v>
      </c>
      <c r="E2953">
        <v>606544</v>
      </c>
      <c r="F2953">
        <v>22165</v>
      </c>
      <c r="G2953">
        <v>16545</v>
      </c>
      <c r="H2953">
        <f>_xlfn.XLOOKUP(FACT_IMPORTS[[#This Row],[hts_6]],DIM_PRODUCTS[hts_6],DIM_PRODUCTS[hts_4],,,)</f>
        <v>8504</v>
      </c>
      <c r="I2953" t="str" cm="1">
        <f t="array" ref="I2953">_xlfn.XLOOKUP(FACT_IMPORTS[[#This Row],[country_name]],DIM_COUNTRY[[#All],[Column2]],DIM_COUNTRY[[#All],[Column3]],,,)</f>
        <v>China</v>
      </c>
    </row>
    <row r="2954" spans="1:9" x14ac:dyDescent="0.4">
      <c r="A2954" t="s">
        <v>66</v>
      </c>
      <c r="B2954" s="1">
        <v>45170</v>
      </c>
      <c r="C2954">
        <v>850710</v>
      </c>
      <c r="D2954" t="s">
        <v>176</v>
      </c>
      <c r="E2954">
        <v>12380</v>
      </c>
      <c r="F2954">
        <v>695</v>
      </c>
      <c r="G2954">
        <v>1850</v>
      </c>
      <c r="H2954">
        <f>_xlfn.XLOOKUP(FACT_IMPORTS[[#This Row],[hts_6]],DIM_PRODUCTS[hts_6],DIM_PRODUCTS[hts_4],,,)</f>
        <v>8507</v>
      </c>
      <c r="I2954" t="str" cm="1">
        <f t="array" ref="I2954">_xlfn.XLOOKUP(FACT_IMPORTS[[#This Row],[country_name]],DIM_COUNTRY[[#All],[Column2]],DIM_COUNTRY[[#All],[Column3]],,,)</f>
        <v>China</v>
      </c>
    </row>
    <row r="2955" spans="1:9" x14ac:dyDescent="0.4">
      <c r="A2955" t="s">
        <v>66</v>
      </c>
      <c r="B2955" s="1">
        <v>45170</v>
      </c>
      <c r="C2955">
        <v>850760</v>
      </c>
      <c r="D2955" t="s">
        <v>176</v>
      </c>
      <c r="E2955">
        <v>4468965</v>
      </c>
      <c r="F2955">
        <v>64529</v>
      </c>
      <c r="G2955">
        <v>49366</v>
      </c>
      <c r="H2955">
        <f>_xlfn.XLOOKUP(FACT_IMPORTS[[#This Row],[hts_6]],DIM_PRODUCTS[hts_6],DIM_PRODUCTS[hts_4],,,)</f>
        <v>8507</v>
      </c>
      <c r="I2955" t="str" cm="1">
        <f t="array" ref="I2955">_xlfn.XLOOKUP(FACT_IMPORTS[[#This Row],[country_name]],DIM_COUNTRY[[#All],[Column2]],DIM_COUNTRY[[#All],[Column3]],,,)</f>
        <v>China</v>
      </c>
    </row>
    <row r="2956" spans="1:9" x14ac:dyDescent="0.4">
      <c r="A2956" t="s">
        <v>66</v>
      </c>
      <c r="B2956" s="1">
        <v>45170</v>
      </c>
      <c r="C2956">
        <v>850790</v>
      </c>
      <c r="D2956" t="s">
        <v>176</v>
      </c>
      <c r="E2956">
        <v>954243</v>
      </c>
      <c r="F2956">
        <v>19625</v>
      </c>
      <c r="G2956">
        <v>2910</v>
      </c>
      <c r="H2956">
        <f>_xlfn.XLOOKUP(FACT_IMPORTS[[#This Row],[hts_6]],DIM_PRODUCTS[hts_6],DIM_PRODUCTS[hts_4],,,)</f>
        <v>8507</v>
      </c>
      <c r="I2956" t="str" cm="1">
        <f t="array" ref="I2956">_xlfn.XLOOKUP(FACT_IMPORTS[[#This Row],[country_name]],DIM_COUNTRY[[#All],[Column2]],DIM_COUNTRY[[#All],[Column3]],,,)</f>
        <v>China</v>
      </c>
    </row>
    <row r="2957" spans="1:9" x14ac:dyDescent="0.4">
      <c r="A2957" t="s">
        <v>66</v>
      </c>
      <c r="B2957" s="1">
        <v>45170</v>
      </c>
      <c r="C2957">
        <v>851110</v>
      </c>
      <c r="D2957" t="s">
        <v>176</v>
      </c>
      <c r="E2957">
        <v>0</v>
      </c>
      <c r="F2957">
        <v>0</v>
      </c>
      <c r="G2957">
        <v>0</v>
      </c>
      <c r="H2957">
        <f>_xlfn.XLOOKUP(FACT_IMPORTS[[#This Row],[hts_6]],DIM_PRODUCTS[hts_6],DIM_PRODUCTS[hts_4],,,)</f>
        <v>8511</v>
      </c>
      <c r="I2957" t="str" cm="1">
        <f t="array" ref="I2957">_xlfn.XLOOKUP(FACT_IMPORTS[[#This Row],[country_name]],DIM_COUNTRY[[#All],[Column2]],DIM_COUNTRY[[#All],[Column3]],,,)</f>
        <v>China</v>
      </c>
    </row>
    <row r="2958" spans="1:9" x14ac:dyDescent="0.4">
      <c r="A2958" t="s">
        <v>66</v>
      </c>
      <c r="B2958" s="1">
        <v>45170</v>
      </c>
      <c r="C2958">
        <v>851130</v>
      </c>
      <c r="D2958" t="s">
        <v>176</v>
      </c>
      <c r="E2958">
        <v>65743</v>
      </c>
      <c r="F2958">
        <v>2626</v>
      </c>
      <c r="G2958">
        <v>3640</v>
      </c>
      <c r="H2958">
        <f>_xlfn.XLOOKUP(FACT_IMPORTS[[#This Row],[hts_6]],DIM_PRODUCTS[hts_6],DIM_PRODUCTS[hts_4],,,)</f>
        <v>8511</v>
      </c>
      <c r="I2958" t="str" cm="1">
        <f t="array" ref="I2958">_xlfn.XLOOKUP(FACT_IMPORTS[[#This Row],[country_name]],DIM_COUNTRY[[#All],[Column2]],DIM_COUNTRY[[#All],[Column3]],,,)</f>
        <v>China</v>
      </c>
    </row>
    <row r="2959" spans="1:9" x14ac:dyDescent="0.4">
      <c r="A2959" t="s">
        <v>66</v>
      </c>
      <c r="B2959" s="1">
        <v>45170</v>
      </c>
      <c r="C2959">
        <v>851140</v>
      </c>
      <c r="D2959" t="s">
        <v>176</v>
      </c>
      <c r="E2959">
        <v>584674</v>
      </c>
      <c r="F2959">
        <v>11024</v>
      </c>
      <c r="G2959">
        <v>3274</v>
      </c>
      <c r="H2959">
        <f>_xlfn.XLOOKUP(FACT_IMPORTS[[#This Row],[hts_6]],DIM_PRODUCTS[hts_6],DIM_PRODUCTS[hts_4],,,)</f>
        <v>8511</v>
      </c>
      <c r="I2959" t="str" cm="1">
        <f t="array" ref="I2959">_xlfn.XLOOKUP(FACT_IMPORTS[[#This Row],[country_name]],DIM_COUNTRY[[#All],[Column2]],DIM_COUNTRY[[#All],[Column3]],,,)</f>
        <v>China</v>
      </c>
    </row>
    <row r="2960" spans="1:9" x14ac:dyDescent="0.4">
      <c r="A2960" t="s">
        <v>66</v>
      </c>
      <c r="B2960" s="1">
        <v>45170</v>
      </c>
      <c r="C2960">
        <v>851150</v>
      </c>
      <c r="D2960" t="s">
        <v>176</v>
      </c>
      <c r="E2960">
        <v>180180</v>
      </c>
      <c r="F2960">
        <v>2487</v>
      </c>
      <c r="G2960">
        <v>3428</v>
      </c>
      <c r="H2960">
        <f>_xlfn.XLOOKUP(FACT_IMPORTS[[#This Row],[hts_6]],DIM_PRODUCTS[hts_6],DIM_PRODUCTS[hts_4],,,)</f>
        <v>8511</v>
      </c>
      <c r="I2960" t="str" cm="1">
        <f t="array" ref="I2960">_xlfn.XLOOKUP(FACT_IMPORTS[[#This Row],[country_name]],DIM_COUNTRY[[#All],[Column2]],DIM_COUNTRY[[#All],[Column3]],,,)</f>
        <v>China</v>
      </c>
    </row>
    <row r="2961" spans="1:9" x14ac:dyDescent="0.4">
      <c r="A2961" t="s">
        <v>66</v>
      </c>
      <c r="B2961" s="1">
        <v>45170</v>
      </c>
      <c r="C2961">
        <v>851180</v>
      </c>
      <c r="D2961" t="s">
        <v>176</v>
      </c>
      <c r="E2961">
        <v>0</v>
      </c>
      <c r="F2961">
        <v>0</v>
      </c>
      <c r="G2961">
        <v>0</v>
      </c>
      <c r="H2961">
        <f>_xlfn.XLOOKUP(FACT_IMPORTS[[#This Row],[hts_6]],DIM_PRODUCTS[hts_6],DIM_PRODUCTS[hts_4],,,)</f>
        <v>8511</v>
      </c>
      <c r="I2961" t="str" cm="1">
        <f t="array" ref="I2961">_xlfn.XLOOKUP(FACT_IMPORTS[[#This Row],[country_name]],DIM_COUNTRY[[#All],[Column2]],DIM_COUNTRY[[#All],[Column3]],,,)</f>
        <v>China</v>
      </c>
    </row>
    <row r="2962" spans="1:9" x14ac:dyDescent="0.4">
      <c r="A2962" t="s">
        <v>66</v>
      </c>
      <c r="B2962" s="1">
        <v>45170</v>
      </c>
      <c r="C2962">
        <v>851190</v>
      </c>
      <c r="D2962" t="s">
        <v>176</v>
      </c>
      <c r="E2962">
        <v>91442</v>
      </c>
      <c r="F2962">
        <v>2961</v>
      </c>
      <c r="G2962">
        <v>4658</v>
      </c>
      <c r="H2962">
        <f>_xlfn.XLOOKUP(FACT_IMPORTS[[#This Row],[hts_6]],DIM_PRODUCTS[hts_6],DIM_PRODUCTS[hts_4],,,)</f>
        <v>8511</v>
      </c>
      <c r="I2962" t="str" cm="1">
        <f t="array" ref="I2962">_xlfn.XLOOKUP(FACT_IMPORTS[[#This Row],[country_name]],DIM_COUNTRY[[#All],[Column2]],DIM_COUNTRY[[#All],[Column3]],,,)</f>
        <v>China</v>
      </c>
    </row>
    <row r="2963" spans="1:9" x14ac:dyDescent="0.4">
      <c r="A2963" t="s">
        <v>66</v>
      </c>
      <c r="B2963" s="1">
        <v>45170</v>
      </c>
      <c r="C2963">
        <v>851220</v>
      </c>
      <c r="D2963" t="s">
        <v>176</v>
      </c>
      <c r="E2963">
        <v>3867750</v>
      </c>
      <c r="F2963">
        <v>1083815</v>
      </c>
      <c r="G2963">
        <v>131946</v>
      </c>
      <c r="H2963">
        <f>_xlfn.XLOOKUP(FACT_IMPORTS[[#This Row],[hts_6]],DIM_PRODUCTS[hts_6],DIM_PRODUCTS[hts_4],,,)</f>
        <v>8512</v>
      </c>
      <c r="I2963" t="str" cm="1">
        <f t="array" ref="I2963">_xlfn.XLOOKUP(FACT_IMPORTS[[#This Row],[country_name]],DIM_COUNTRY[[#All],[Column2]],DIM_COUNTRY[[#All],[Column3]],,,)</f>
        <v>China</v>
      </c>
    </row>
    <row r="2964" spans="1:9" x14ac:dyDescent="0.4">
      <c r="A2964" t="s">
        <v>66</v>
      </c>
      <c r="B2964" s="1">
        <v>45170</v>
      </c>
      <c r="C2964">
        <v>851230</v>
      </c>
      <c r="D2964" t="s">
        <v>176</v>
      </c>
      <c r="E2964">
        <v>37428</v>
      </c>
      <c r="F2964">
        <v>2688</v>
      </c>
      <c r="G2964">
        <v>1036</v>
      </c>
      <c r="H2964">
        <f>_xlfn.XLOOKUP(FACT_IMPORTS[[#This Row],[hts_6]],DIM_PRODUCTS[hts_6],DIM_PRODUCTS[hts_4],,,)</f>
        <v>8512</v>
      </c>
      <c r="I2964" t="str" cm="1">
        <f t="array" ref="I2964">_xlfn.XLOOKUP(FACT_IMPORTS[[#This Row],[country_name]],DIM_COUNTRY[[#All],[Column2]],DIM_COUNTRY[[#All],[Column3]],,,)</f>
        <v>China</v>
      </c>
    </row>
    <row r="2965" spans="1:9" x14ac:dyDescent="0.4">
      <c r="A2965" t="s">
        <v>66</v>
      </c>
      <c r="B2965" s="1">
        <v>45170</v>
      </c>
      <c r="C2965">
        <v>851240</v>
      </c>
      <c r="D2965" t="s">
        <v>176</v>
      </c>
      <c r="E2965">
        <v>0</v>
      </c>
      <c r="F2965">
        <v>0</v>
      </c>
      <c r="G2965">
        <v>0</v>
      </c>
      <c r="H2965">
        <f>_xlfn.XLOOKUP(FACT_IMPORTS[[#This Row],[hts_6]],DIM_PRODUCTS[hts_6],DIM_PRODUCTS[hts_4],,,)</f>
        <v>8512</v>
      </c>
      <c r="I2965" t="str" cm="1">
        <f t="array" ref="I2965">_xlfn.XLOOKUP(FACT_IMPORTS[[#This Row],[country_name]],DIM_COUNTRY[[#All],[Column2]],DIM_COUNTRY[[#All],[Column3]],,,)</f>
        <v>China</v>
      </c>
    </row>
    <row r="2966" spans="1:9" x14ac:dyDescent="0.4">
      <c r="A2966" t="s">
        <v>66</v>
      </c>
      <c r="B2966" s="1">
        <v>45170</v>
      </c>
      <c r="C2966">
        <v>851290</v>
      </c>
      <c r="D2966" t="s">
        <v>176</v>
      </c>
      <c r="E2966">
        <v>809500</v>
      </c>
      <c r="F2966">
        <v>9664</v>
      </c>
      <c r="G2966">
        <v>28851</v>
      </c>
      <c r="H2966">
        <f>_xlfn.XLOOKUP(FACT_IMPORTS[[#This Row],[hts_6]],DIM_PRODUCTS[hts_6],DIM_PRODUCTS[hts_4],,,)</f>
        <v>8512</v>
      </c>
      <c r="I2966" t="str" cm="1">
        <f t="array" ref="I2966">_xlfn.XLOOKUP(FACT_IMPORTS[[#This Row],[country_name]],DIM_COUNTRY[[#All],[Column2]],DIM_COUNTRY[[#All],[Column3]],,,)</f>
        <v>China</v>
      </c>
    </row>
    <row r="2967" spans="1:9" x14ac:dyDescent="0.4">
      <c r="A2967" t="s">
        <v>66</v>
      </c>
      <c r="B2967" s="1">
        <v>45170</v>
      </c>
      <c r="C2967">
        <v>854231</v>
      </c>
      <c r="D2967" t="s">
        <v>176</v>
      </c>
      <c r="E2967">
        <v>1936526</v>
      </c>
      <c r="F2967">
        <v>271000</v>
      </c>
      <c r="G2967">
        <v>193348</v>
      </c>
      <c r="H2967">
        <f>_xlfn.XLOOKUP(FACT_IMPORTS[[#This Row],[hts_6]],DIM_PRODUCTS[hts_6],DIM_PRODUCTS[hts_4],,,)</f>
        <v>8542</v>
      </c>
      <c r="I2967" t="str" cm="1">
        <f t="array" ref="I2967">_xlfn.XLOOKUP(FACT_IMPORTS[[#This Row],[country_name]],DIM_COUNTRY[[#All],[Column2]],DIM_COUNTRY[[#All],[Column3]],,,)</f>
        <v>China</v>
      </c>
    </row>
    <row r="2968" spans="1:9" x14ac:dyDescent="0.4">
      <c r="A2968" t="s">
        <v>66</v>
      </c>
      <c r="B2968" s="1">
        <v>45170</v>
      </c>
      <c r="C2968">
        <v>854232</v>
      </c>
      <c r="D2968" t="s">
        <v>176</v>
      </c>
      <c r="E2968">
        <v>0</v>
      </c>
      <c r="F2968">
        <v>0</v>
      </c>
      <c r="G2968">
        <v>0</v>
      </c>
      <c r="H2968">
        <f>_xlfn.XLOOKUP(FACT_IMPORTS[[#This Row],[hts_6]],DIM_PRODUCTS[hts_6],DIM_PRODUCTS[hts_4],,,)</f>
        <v>8542</v>
      </c>
      <c r="I2968" t="str" cm="1">
        <f t="array" ref="I2968">_xlfn.XLOOKUP(FACT_IMPORTS[[#This Row],[country_name]],DIM_COUNTRY[[#All],[Column2]],DIM_COUNTRY[[#All],[Column3]],,,)</f>
        <v>China</v>
      </c>
    </row>
    <row r="2969" spans="1:9" x14ac:dyDescent="0.4">
      <c r="A2969" t="s">
        <v>66</v>
      </c>
      <c r="B2969" s="1">
        <v>45170</v>
      </c>
      <c r="C2969">
        <v>854233</v>
      </c>
      <c r="D2969" t="s">
        <v>176</v>
      </c>
      <c r="E2969">
        <v>0</v>
      </c>
      <c r="F2969">
        <v>0</v>
      </c>
      <c r="G2969">
        <v>0</v>
      </c>
      <c r="H2969">
        <f>_xlfn.XLOOKUP(FACT_IMPORTS[[#This Row],[hts_6]],DIM_PRODUCTS[hts_6],DIM_PRODUCTS[hts_4],,,)</f>
        <v>8542</v>
      </c>
      <c r="I2969" t="str" cm="1">
        <f t="array" ref="I2969">_xlfn.XLOOKUP(FACT_IMPORTS[[#This Row],[country_name]],DIM_COUNTRY[[#All],[Column2]],DIM_COUNTRY[[#All],[Column3]],,,)</f>
        <v>China</v>
      </c>
    </row>
    <row r="2970" spans="1:9" x14ac:dyDescent="0.4">
      <c r="A2970" t="s">
        <v>66</v>
      </c>
      <c r="B2970" s="1">
        <v>45170</v>
      </c>
      <c r="C2970">
        <v>854239</v>
      </c>
      <c r="D2970" t="s">
        <v>176</v>
      </c>
      <c r="E2970">
        <v>950549</v>
      </c>
      <c r="F2970">
        <v>635000</v>
      </c>
      <c r="G2970">
        <v>92936</v>
      </c>
      <c r="H2970">
        <f>_xlfn.XLOOKUP(FACT_IMPORTS[[#This Row],[hts_6]],DIM_PRODUCTS[hts_6],DIM_PRODUCTS[hts_4],,,)</f>
        <v>8542</v>
      </c>
      <c r="I2970" t="str" cm="1">
        <f t="array" ref="I2970">_xlfn.XLOOKUP(FACT_IMPORTS[[#This Row],[country_name]],DIM_COUNTRY[[#All],[Column2]],DIM_COUNTRY[[#All],[Column3]],,,)</f>
        <v>China</v>
      </c>
    </row>
    <row r="2971" spans="1:9" x14ac:dyDescent="0.4">
      <c r="A2971" t="s">
        <v>66</v>
      </c>
      <c r="B2971" s="1">
        <v>45170</v>
      </c>
      <c r="C2971">
        <v>854290</v>
      </c>
      <c r="D2971" t="s">
        <v>176</v>
      </c>
      <c r="E2971">
        <v>0</v>
      </c>
      <c r="F2971">
        <v>0</v>
      </c>
      <c r="G2971">
        <v>0</v>
      </c>
      <c r="H2971">
        <f>_xlfn.XLOOKUP(FACT_IMPORTS[[#This Row],[hts_6]],DIM_PRODUCTS[hts_6],DIM_PRODUCTS[hts_4],,,)</f>
        <v>8542</v>
      </c>
      <c r="I2971" t="str" cm="1">
        <f t="array" ref="I2971">_xlfn.XLOOKUP(FACT_IMPORTS[[#This Row],[country_name]],DIM_COUNTRY[[#All],[Column2]],DIM_COUNTRY[[#All],[Column3]],,,)</f>
        <v>China</v>
      </c>
    </row>
    <row r="2972" spans="1:9" x14ac:dyDescent="0.4">
      <c r="A2972" t="s">
        <v>66</v>
      </c>
      <c r="B2972" s="1">
        <v>45170</v>
      </c>
      <c r="C2972">
        <v>854430</v>
      </c>
      <c r="D2972" t="s">
        <v>176</v>
      </c>
      <c r="E2972">
        <v>1171999</v>
      </c>
      <c r="F2972">
        <v>75541</v>
      </c>
      <c r="G2972">
        <v>2359</v>
      </c>
      <c r="H2972">
        <f>_xlfn.XLOOKUP(FACT_IMPORTS[[#This Row],[hts_6]],DIM_PRODUCTS[hts_6],DIM_PRODUCTS[hts_4],,,)</f>
        <v>8544</v>
      </c>
      <c r="I2972" t="str" cm="1">
        <f t="array" ref="I2972">_xlfn.XLOOKUP(FACT_IMPORTS[[#This Row],[country_name]],DIM_COUNTRY[[#All],[Column2]],DIM_COUNTRY[[#All],[Column3]],,,)</f>
        <v>China</v>
      </c>
    </row>
    <row r="2973" spans="1:9" x14ac:dyDescent="0.4">
      <c r="A2973" t="s">
        <v>66</v>
      </c>
      <c r="B2973" s="1">
        <v>45170</v>
      </c>
      <c r="C2973">
        <v>870790</v>
      </c>
      <c r="D2973" t="s">
        <v>176</v>
      </c>
      <c r="E2973">
        <v>0</v>
      </c>
      <c r="F2973">
        <v>0</v>
      </c>
      <c r="G2973">
        <v>0</v>
      </c>
      <c r="H2973">
        <f>_xlfn.XLOOKUP(FACT_IMPORTS[[#This Row],[hts_6]],DIM_PRODUCTS[hts_6],DIM_PRODUCTS[hts_4],,,)</f>
        <v>8707</v>
      </c>
      <c r="I2973" t="str" cm="1">
        <f t="array" ref="I2973">_xlfn.XLOOKUP(FACT_IMPORTS[[#This Row],[country_name]],DIM_COUNTRY[[#All],[Column2]],DIM_COUNTRY[[#All],[Column3]],,,)</f>
        <v>China</v>
      </c>
    </row>
    <row r="2974" spans="1:9" x14ac:dyDescent="0.4">
      <c r="A2974" t="s">
        <v>66</v>
      </c>
      <c r="B2974" s="1">
        <v>45170</v>
      </c>
      <c r="C2974">
        <v>870810</v>
      </c>
      <c r="D2974" t="s">
        <v>176</v>
      </c>
      <c r="E2974">
        <v>1020659</v>
      </c>
      <c r="F2974">
        <v>43971</v>
      </c>
      <c r="G2974">
        <v>28389</v>
      </c>
      <c r="H2974">
        <f>_xlfn.XLOOKUP(FACT_IMPORTS[[#This Row],[hts_6]],DIM_PRODUCTS[hts_6],DIM_PRODUCTS[hts_4],,,)</f>
        <v>8708</v>
      </c>
      <c r="I2974" t="str" cm="1">
        <f t="array" ref="I2974">_xlfn.XLOOKUP(FACT_IMPORTS[[#This Row],[country_name]],DIM_COUNTRY[[#All],[Column2]],DIM_COUNTRY[[#All],[Column3]],,,)</f>
        <v>China</v>
      </c>
    </row>
    <row r="2975" spans="1:9" x14ac:dyDescent="0.4">
      <c r="A2975" t="s">
        <v>66</v>
      </c>
      <c r="B2975" s="1">
        <v>45170</v>
      </c>
      <c r="C2975">
        <v>870821</v>
      </c>
      <c r="D2975" t="s">
        <v>176</v>
      </c>
      <c r="E2975">
        <v>54877</v>
      </c>
      <c r="F2975">
        <v>8922</v>
      </c>
      <c r="G2975">
        <v>1850</v>
      </c>
      <c r="H2975">
        <f>_xlfn.XLOOKUP(FACT_IMPORTS[[#This Row],[hts_6]],DIM_PRODUCTS[hts_6],DIM_PRODUCTS[hts_4],,,)</f>
        <v>8708</v>
      </c>
      <c r="I2975" t="str" cm="1">
        <f t="array" ref="I2975">_xlfn.XLOOKUP(FACT_IMPORTS[[#This Row],[country_name]],DIM_COUNTRY[[#All],[Column2]],DIM_COUNTRY[[#All],[Column3]],,,)</f>
        <v>China</v>
      </c>
    </row>
    <row r="2976" spans="1:9" x14ac:dyDescent="0.4">
      <c r="A2976" t="s">
        <v>66</v>
      </c>
      <c r="B2976" s="1">
        <v>45170</v>
      </c>
      <c r="C2976">
        <v>870822</v>
      </c>
      <c r="D2976" t="s">
        <v>176</v>
      </c>
      <c r="E2976">
        <v>711235</v>
      </c>
      <c r="F2976">
        <v>104843</v>
      </c>
      <c r="G2976">
        <v>28727</v>
      </c>
      <c r="H2976">
        <f>_xlfn.XLOOKUP(FACT_IMPORTS[[#This Row],[hts_6]],DIM_PRODUCTS[hts_6],DIM_PRODUCTS[hts_4],,,)</f>
        <v>8708</v>
      </c>
      <c r="I2976" t="str" cm="1">
        <f t="array" ref="I2976">_xlfn.XLOOKUP(FACT_IMPORTS[[#This Row],[country_name]],DIM_COUNTRY[[#All],[Column2]],DIM_COUNTRY[[#All],[Column3]],,,)</f>
        <v>China</v>
      </c>
    </row>
    <row r="2977" spans="1:9" x14ac:dyDescent="0.4">
      <c r="A2977" t="s">
        <v>66</v>
      </c>
      <c r="B2977" s="1">
        <v>45170</v>
      </c>
      <c r="C2977">
        <v>870829</v>
      </c>
      <c r="D2977" t="s">
        <v>176</v>
      </c>
      <c r="E2977">
        <v>21444423</v>
      </c>
      <c r="F2977">
        <v>3926467</v>
      </c>
      <c r="G2977">
        <v>694197</v>
      </c>
      <c r="H2977">
        <f>_xlfn.XLOOKUP(FACT_IMPORTS[[#This Row],[hts_6]],DIM_PRODUCTS[hts_6],DIM_PRODUCTS[hts_4],,,)</f>
        <v>8708</v>
      </c>
      <c r="I2977" t="str" cm="1">
        <f t="array" ref="I2977">_xlfn.XLOOKUP(FACT_IMPORTS[[#This Row],[country_name]],DIM_COUNTRY[[#All],[Column2]],DIM_COUNTRY[[#All],[Column3]],,,)</f>
        <v>China</v>
      </c>
    </row>
    <row r="2978" spans="1:9" x14ac:dyDescent="0.4">
      <c r="A2978" t="s">
        <v>66</v>
      </c>
      <c r="B2978" s="1">
        <v>45170</v>
      </c>
      <c r="C2978">
        <v>870830</v>
      </c>
      <c r="D2978" t="s">
        <v>176</v>
      </c>
      <c r="E2978">
        <v>8288483</v>
      </c>
      <c r="F2978">
        <v>590033</v>
      </c>
      <c r="G2978">
        <v>182987</v>
      </c>
      <c r="H2978">
        <f>_xlfn.XLOOKUP(FACT_IMPORTS[[#This Row],[hts_6]],DIM_PRODUCTS[hts_6],DIM_PRODUCTS[hts_4],,,)</f>
        <v>8708</v>
      </c>
      <c r="I2978" t="str" cm="1">
        <f t="array" ref="I2978">_xlfn.XLOOKUP(FACT_IMPORTS[[#This Row],[country_name]],DIM_COUNTRY[[#All],[Column2]],DIM_COUNTRY[[#All],[Column3]],,,)</f>
        <v>China</v>
      </c>
    </row>
    <row r="2979" spans="1:9" x14ac:dyDescent="0.4">
      <c r="A2979" t="s">
        <v>66</v>
      </c>
      <c r="B2979" s="1">
        <v>45170</v>
      </c>
      <c r="C2979">
        <v>870840</v>
      </c>
      <c r="D2979" t="s">
        <v>176</v>
      </c>
      <c r="E2979">
        <v>2989185</v>
      </c>
      <c r="F2979">
        <v>455134</v>
      </c>
      <c r="G2979">
        <v>104343</v>
      </c>
      <c r="H2979">
        <f>_xlfn.XLOOKUP(FACT_IMPORTS[[#This Row],[hts_6]],DIM_PRODUCTS[hts_6],DIM_PRODUCTS[hts_4],,,)</f>
        <v>8708</v>
      </c>
      <c r="I2979" t="str" cm="1">
        <f t="array" ref="I2979">_xlfn.XLOOKUP(FACT_IMPORTS[[#This Row],[country_name]],DIM_COUNTRY[[#All],[Column2]],DIM_COUNTRY[[#All],[Column3]],,,)</f>
        <v>China</v>
      </c>
    </row>
    <row r="2980" spans="1:9" x14ac:dyDescent="0.4">
      <c r="A2980" t="s">
        <v>66</v>
      </c>
      <c r="B2980" s="1">
        <v>45170</v>
      </c>
      <c r="C2980">
        <v>870850</v>
      </c>
      <c r="D2980" t="s">
        <v>176</v>
      </c>
      <c r="E2980">
        <v>3667830</v>
      </c>
      <c r="F2980">
        <v>681823</v>
      </c>
      <c r="G2980">
        <v>33092</v>
      </c>
      <c r="H2980">
        <f>_xlfn.XLOOKUP(FACT_IMPORTS[[#This Row],[hts_6]],DIM_PRODUCTS[hts_6],DIM_PRODUCTS[hts_4],,,)</f>
        <v>8708</v>
      </c>
      <c r="I2980" t="str" cm="1">
        <f t="array" ref="I2980">_xlfn.XLOOKUP(FACT_IMPORTS[[#This Row],[country_name]],DIM_COUNTRY[[#All],[Column2]],DIM_COUNTRY[[#All],[Column3]],,,)</f>
        <v>China</v>
      </c>
    </row>
    <row r="2981" spans="1:9" x14ac:dyDescent="0.4">
      <c r="A2981" t="s">
        <v>66</v>
      </c>
      <c r="B2981" s="1">
        <v>45170</v>
      </c>
      <c r="C2981">
        <v>870870</v>
      </c>
      <c r="D2981" t="s">
        <v>176</v>
      </c>
      <c r="E2981">
        <v>82650858</v>
      </c>
      <c r="F2981">
        <v>2342346</v>
      </c>
      <c r="G2981">
        <v>2202437</v>
      </c>
      <c r="H2981">
        <f>_xlfn.XLOOKUP(FACT_IMPORTS[[#This Row],[hts_6]],DIM_PRODUCTS[hts_6],DIM_PRODUCTS[hts_4],,,)</f>
        <v>8708</v>
      </c>
      <c r="I2981" t="str" cm="1">
        <f t="array" ref="I2981">_xlfn.XLOOKUP(FACT_IMPORTS[[#This Row],[country_name]],DIM_COUNTRY[[#All],[Column2]],DIM_COUNTRY[[#All],[Column3]],,,)</f>
        <v>China</v>
      </c>
    </row>
    <row r="2982" spans="1:9" x14ac:dyDescent="0.4">
      <c r="A2982" t="s">
        <v>66</v>
      </c>
      <c r="B2982" s="1">
        <v>45170</v>
      </c>
      <c r="C2982">
        <v>870880</v>
      </c>
      <c r="D2982" t="s">
        <v>176</v>
      </c>
      <c r="E2982">
        <v>13176623</v>
      </c>
      <c r="F2982">
        <v>2625691</v>
      </c>
      <c r="G2982">
        <v>344528</v>
      </c>
      <c r="H2982">
        <f>_xlfn.XLOOKUP(FACT_IMPORTS[[#This Row],[hts_6]],DIM_PRODUCTS[hts_6],DIM_PRODUCTS[hts_4],,,)</f>
        <v>8708</v>
      </c>
      <c r="I2982" t="str" cm="1">
        <f t="array" ref="I2982">_xlfn.XLOOKUP(FACT_IMPORTS[[#This Row],[country_name]],DIM_COUNTRY[[#All],[Column2]],DIM_COUNTRY[[#All],[Column3]],,,)</f>
        <v>China</v>
      </c>
    </row>
    <row r="2983" spans="1:9" x14ac:dyDescent="0.4">
      <c r="A2983" t="s">
        <v>66</v>
      </c>
      <c r="B2983" s="1">
        <v>45170</v>
      </c>
      <c r="C2983">
        <v>870891</v>
      </c>
      <c r="D2983" t="s">
        <v>176</v>
      </c>
      <c r="E2983">
        <v>185800</v>
      </c>
      <c r="F2983">
        <v>1702</v>
      </c>
      <c r="G2983">
        <v>6705</v>
      </c>
      <c r="H2983">
        <f>_xlfn.XLOOKUP(FACT_IMPORTS[[#This Row],[hts_6]],DIM_PRODUCTS[hts_6],DIM_PRODUCTS[hts_4],,,)</f>
        <v>8708</v>
      </c>
      <c r="I2983" t="str" cm="1">
        <f t="array" ref="I2983">_xlfn.XLOOKUP(FACT_IMPORTS[[#This Row],[country_name]],DIM_COUNTRY[[#All],[Column2]],DIM_COUNTRY[[#All],[Column3]],,,)</f>
        <v>China</v>
      </c>
    </row>
    <row r="2984" spans="1:9" x14ac:dyDescent="0.4">
      <c r="A2984" t="s">
        <v>66</v>
      </c>
      <c r="B2984" s="1">
        <v>45170</v>
      </c>
      <c r="C2984">
        <v>870892</v>
      </c>
      <c r="D2984" t="s">
        <v>176</v>
      </c>
      <c r="E2984">
        <v>9377248</v>
      </c>
      <c r="F2984">
        <v>1533523</v>
      </c>
      <c r="G2984">
        <v>382638</v>
      </c>
      <c r="H2984">
        <f>_xlfn.XLOOKUP(FACT_IMPORTS[[#This Row],[hts_6]],DIM_PRODUCTS[hts_6],DIM_PRODUCTS[hts_4],,,)</f>
        <v>8708</v>
      </c>
      <c r="I2984" t="str" cm="1">
        <f t="array" ref="I2984">_xlfn.XLOOKUP(FACT_IMPORTS[[#This Row],[country_name]],DIM_COUNTRY[[#All],[Column2]],DIM_COUNTRY[[#All],[Column3]],,,)</f>
        <v>China</v>
      </c>
    </row>
    <row r="2985" spans="1:9" x14ac:dyDescent="0.4">
      <c r="A2985" t="s">
        <v>66</v>
      </c>
      <c r="B2985" s="1">
        <v>45170</v>
      </c>
      <c r="C2985">
        <v>870893</v>
      </c>
      <c r="D2985" t="s">
        <v>176</v>
      </c>
      <c r="E2985">
        <v>425287</v>
      </c>
      <c r="F2985">
        <v>167573</v>
      </c>
      <c r="G2985">
        <v>16446</v>
      </c>
      <c r="H2985">
        <f>_xlfn.XLOOKUP(FACT_IMPORTS[[#This Row],[hts_6]],DIM_PRODUCTS[hts_6],DIM_PRODUCTS[hts_4],,,)</f>
        <v>8708</v>
      </c>
      <c r="I2985" t="str" cm="1">
        <f t="array" ref="I2985">_xlfn.XLOOKUP(FACT_IMPORTS[[#This Row],[country_name]],DIM_COUNTRY[[#All],[Column2]],DIM_COUNTRY[[#All],[Column3]],,,)</f>
        <v>China</v>
      </c>
    </row>
    <row r="2986" spans="1:9" x14ac:dyDescent="0.4">
      <c r="A2986" t="s">
        <v>66</v>
      </c>
      <c r="B2986" s="1">
        <v>45170</v>
      </c>
      <c r="C2986">
        <v>870894</v>
      </c>
      <c r="D2986" t="s">
        <v>176</v>
      </c>
      <c r="E2986">
        <v>9235137</v>
      </c>
      <c r="F2986">
        <v>294103</v>
      </c>
      <c r="G2986">
        <v>1213356</v>
      </c>
      <c r="H2986">
        <f>_xlfn.XLOOKUP(FACT_IMPORTS[[#This Row],[hts_6]],DIM_PRODUCTS[hts_6],DIM_PRODUCTS[hts_4],,,)</f>
        <v>8708</v>
      </c>
      <c r="I2986" t="str" cm="1">
        <f t="array" ref="I2986">_xlfn.XLOOKUP(FACT_IMPORTS[[#This Row],[country_name]],DIM_COUNTRY[[#All],[Column2]],DIM_COUNTRY[[#All],[Column3]],,,)</f>
        <v>China</v>
      </c>
    </row>
    <row r="2987" spans="1:9" x14ac:dyDescent="0.4">
      <c r="A2987" t="s">
        <v>66</v>
      </c>
      <c r="B2987" s="1">
        <v>45170</v>
      </c>
      <c r="C2987">
        <v>870895</v>
      </c>
      <c r="D2987" t="s">
        <v>176</v>
      </c>
      <c r="E2987">
        <v>679707</v>
      </c>
      <c r="F2987">
        <v>46163</v>
      </c>
      <c r="G2987">
        <v>3702</v>
      </c>
      <c r="H2987">
        <f>_xlfn.XLOOKUP(FACT_IMPORTS[[#This Row],[hts_6]],DIM_PRODUCTS[hts_6],DIM_PRODUCTS[hts_4],,,)</f>
        <v>8708</v>
      </c>
      <c r="I2987" t="str" cm="1">
        <f t="array" ref="I2987">_xlfn.XLOOKUP(FACT_IMPORTS[[#This Row],[country_name]],DIM_COUNTRY[[#All],[Column2]],DIM_COUNTRY[[#All],[Column3]],,,)</f>
        <v>China</v>
      </c>
    </row>
    <row r="2988" spans="1:9" x14ac:dyDescent="0.4">
      <c r="A2988" t="s">
        <v>66</v>
      </c>
      <c r="B2988" s="1">
        <v>45170</v>
      </c>
      <c r="C2988">
        <v>870899</v>
      </c>
      <c r="D2988" t="s">
        <v>176</v>
      </c>
      <c r="E2988">
        <v>13360766</v>
      </c>
      <c r="F2988">
        <v>2655564</v>
      </c>
      <c r="G2988">
        <v>682881</v>
      </c>
      <c r="H2988">
        <f>_xlfn.XLOOKUP(FACT_IMPORTS[[#This Row],[hts_6]],DIM_PRODUCTS[hts_6],DIM_PRODUCTS[hts_4],,,)</f>
        <v>8708</v>
      </c>
      <c r="I2988" t="str" cm="1">
        <f t="array" ref="I2988">_xlfn.XLOOKUP(FACT_IMPORTS[[#This Row],[country_name]],DIM_COUNTRY[[#All],[Column2]],DIM_COUNTRY[[#All],[Column3]],,,)</f>
        <v>China</v>
      </c>
    </row>
    <row r="2989" spans="1:9" x14ac:dyDescent="0.4">
      <c r="A2989" t="s">
        <v>66</v>
      </c>
      <c r="B2989" s="1">
        <v>45170</v>
      </c>
      <c r="C2989">
        <v>940120</v>
      </c>
      <c r="D2989" t="s">
        <v>176</v>
      </c>
      <c r="E2989">
        <v>16336</v>
      </c>
      <c r="F2989">
        <v>210</v>
      </c>
      <c r="G2989">
        <v>1679</v>
      </c>
      <c r="H2989">
        <f>_xlfn.XLOOKUP(FACT_IMPORTS[[#This Row],[hts_6]],DIM_PRODUCTS[hts_6],DIM_PRODUCTS[hts_4],,,)</f>
        <v>9401</v>
      </c>
      <c r="I2989" t="str" cm="1">
        <f t="array" ref="I2989">_xlfn.XLOOKUP(FACT_IMPORTS[[#This Row],[country_name]],DIM_COUNTRY[[#All],[Column2]],DIM_COUNTRY[[#All],[Column3]],,,)</f>
        <v>China</v>
      </c>
    </row>
    <row r="2990" spans="1:9" x14ac:dyDescent="0.4">
      <c r="A2990" t="s">
        <v>66</v>
      </c>
      <c r="B2990" s="1">
        <v>45200</v>
      </c>
      <c r="C2990">
        <v>392630</v>
      </c>
      <c r="D2990" t="s">
        <v>176</v>
      </c>
      <c r="E2990">
        <v>9235787</v>
      </c>
      <c r="F2990">
        <v>412579</v>
      </c>
      <c r="G2990">
        <v>288380</v>
      </c>
      <c r="H2990">
        <f>_xlfn.XLOOKUP(FACT_IMPORTS[[#This Row],[hts_6]],DIM_PRODUCTS[hts_6],DIM_PRODUCTS[hts_4],,,)</f>
        <v>3926</v>
      </c>
      <c r="I2990" t="str" cm="1">
        <f t="array" ref="I2990">_xlfn.XLOOKUP(FACT_IMPORTS[[#This Row],[country_name]],DIM_COUNTRY[[#All],[Column2]],DIM_COUNTRY[[#All],[Column3]],,,)</f>
        <v>China</v>
      </c>
    </row>
    <row r="2991" spans="1:9" x14ac:dyDescent="0.4">
      <c r="A2991" t="s">
        <v>66</v>
      </c>
      <c r="B2991" s="1">
        <v>45200</v>
      </c>
      <c r="C2991">
        <v>401110</v>
      </c>
      <c r="D2991" t="s">
        <v>176</v>
      </c>
      <c r="E2991">
        <v>30006</v>
      </c>
      <c r="F2991">
        <v>555</v>
      </c>
      <c r="G2991">
        <v>272</v>
      </c>
      <c r="H2991">
        <f>_xlfn.XLOOKUP(FACT_IMPORTS[[#This Row],[hts_6]],DIM_PRODUCTS[hts_6],DIM_PRODUCTS[hts_4],,,)</f>
        <v>4011</v>
      </c>
      <c r="I2991" t="str" cm="1">
        <f t="array" ref="I2991">_xlfn.XLOOKUP(FACT_IMPORTS[[#This Row],[country_name]],DIM_COUNTRY[[#All],[Column2]],DIM_COUNTRY[[#All],[Column3]],,,)</f>
        <v>China</v>
      </c>
    </row>
    <row r="2992" spans="1:9" x14ac:dyDescent="0.4">
      <c r="A2992" t="s">
        <v>66</v>
      </c>
      <c r="B2992" s="1">
        <v>45200</v>
      </c>
      <c r="C2992">
        <v>401120</v>
      </c>
      <c r="D2992" t="s">
        <v>176</v>
      </c>
      <c r="E2992">
        <v>137264</v>
      </c>
      <c r="F2992">
        <v>1330</v>
      </c>
      <c r="G2992">
        <v>11798</v>
      </c>
      <c r="H2992">
        <f>_xlfn.XLOOKUP(FACT_IMPORTS[[#This Row],[hts_6]],DIM_PRODUCTS[hts_6],DIM_PRODUCTS[hts_4],,,)</f>
        <v>4011</v>
      </c>
      <c r="I2992" t="str" cm="1">
        <f t="array" ref="I2992">_xlfn.XLOOKUP(FACT_IMPORTS[[#This Row],[country_name]],DIM_COUNTRY[[#All],[Column2]],DIM_COUNTRY[[#All],[Column3]],,,)</f>
        <v>China</v>
      </c>
    </row>
    <row r="2993" spans="1:9" x14ac:dyDescent="0.4">
      <c r="A2993" t="s">
        <v>66</v>
      </c>
      <c r="B2993" s="1">
        <v>45200</v>
      </c>
      <c r="C2993">
        <v>401140</v>
      </c>
      <c r="D2993" t="s">
        <v>176</v>
      </c>
      <c r="E2993">
        <v>2697</v>
      </c>
      <c r="F2993">
        <v>64</v>
      </c>
      <c r="G2993">
        <v>5</v>
      </c>
      <c r="H2993">
        <f>_xlfn.XLOOKUP(FACT_IMPORTS[[#This Row],[hts_6]],DIM_PRODUCTS[hts_6],DIM_PRODUCTS[hts_4],,,)</f>
        <v>4011</v>
      </c>
      <c r="I2993" t="str" cm="1">
        <f t="array" ref="I2993">_xlfn.XLOOKUP(FACT_IMPORTS[[#This Row],[country_name]],DIM_COUNTRY[[#All],[Column2]],DIM_COUNTRY[[#All],[Column3]],,,)</f>
        <v>China</v>
      </c>
    </row>
    <row r="2994" spans="1:9" x14ac:dyDescent="0.4">
      <c r="A2994" t="s">
        <v>66</v>
      </c>
      <c r="B2994" s="1">
        <v>45200</v>
      </c>
      <c r="C2994">
        <v>401190</v>
      </c>
      <c r="D2994" t="s">
        <v>176</v>
      </c>
      <c r="E2994">
        <v>158333</v>
      </c>
      <c r="F2994">
        <v>3672</v>
      </c>
      <c r="G2994">
        <v>9126</v>
      </c>
      <c r="H2994">
        <f>_xlfn.XLOOKUP(FACT_IMPORTS[[#This Row],[hts_6]],DIM_PRODUCTS[hts_6],DIM_PRODUCTS[hts_4],,,)</f>
        <v>4011</v>
      </c>
      <c r="I2994" t="str" cm="1">
        <f t="array" ref="I2994">_xlfn.XLOOKUP(FACT_IMPORTS[[#This Row],[country_name]],DIM_COUNTRY[[#All],[Column2]],DIM_COUNTRY[[#All],[Column3]],,,)</f>
        <v>China</v>
      </c>
    </row>
    <row r="2995" spans="1:9" x14ac:dyDescent="0.4">
      <c r="A2995" t="s">
        <v>66</v>
      </c>
      <c r="B2995" s="1">
        <v>45200</v>
      </c>
      <c r="C2995">
        <v>700711</v>
      </c>
      <c r="D2995" t="s">
        <v>176</v>
      </c>
      <c r="E2995">
        <v>1597282</v>
      </c>
      <c r="F2995">
        <v>115814</v>
      </c>
      <c r="G2995">
        <v>126756</v>
      </c>
      <c r="H2995">
        <f>_xlfn.XLOOKUP(FACT_IMPORTS[[#This Row],[hts_6]],DIM_PRODUCTS[hts_6],DIM_PRODUCTS[hts_4],,,)</f>
        <v>7007</v>
      </c>
      <c r="I2995" t="str" cm="1">
        <f t="array" ref="I2995">_xlfn.XLOOKUP(FACT_IMPORTS[[#This Row],[country_name]],DIM_COUNTRY[[#All],[Column2]],DIM_COUNTRY[[#All],[Column3]],,,)</f>
        <v>China</v>
      </c>
    </row>
    <row r="2996" spans="1:9" x14ac:dyDescent="0.4">
      <c r="A2996" t="s">
        <v>66</v>
      </c>
      <c r="B2996" s="1">
        <v>45200</v>
      </c>
      <c r="C2996">
        <v>700721</v>
      </c>
      <c r="D2996" t="s">
        <v>176</v>
      </c>
      <c r="E2996">
        <v>252476</v>
      </c>
      <c r="F2996">
        <v>13082</v>
      </c>
      <c r="G2996">
        <v>19537</v>
      </c>
      <c r="H2996">
        <f>_xlfn.XLOOKUP(FACT_IMPORTS[[#This Row],[hts_6]],DIM_PRODUCTS[hts_6],DIM_PRODUCTS[hts_4],,,)</f>
        <v>7007</v>
      </c>
      <c r="I2996" t="str" cm="1">
        <f t="array" ref="I2996">_xlfn.XLOOKUP(FACT_IMPORTS[[#This Row],[country_name]],DIM_COUNTRY[[#All],[Column2]],DIM_COUNTRY[[#All],[Column3]],,,)</f>
        <v>China</v>
      </c>
    </row>
    <row r="2997" spans="1:9" x14ac:dyDescent="0.4">
      <c r="A2997" t="s">
        <v>66</v>
      </c>
      <c r="B2997" s="1">
        <v>45200</v>
      </c>
      <c r="C2997">
        <v>700910</v>
      </c>
      <c r="D2997" t="s">
        <v>176</v>
      </c>
      <c r="E2997">
        <v>211691</v>
      </c>
      <c r="F2997">
        <v>129297</v>
      </c>
      <c r="G2997">
        <v>12254</v>
      </c>
      <c r="H2997">
        <f>_xlfn.XLOOKUP(FACT_IMPORTS[[#This Row],[hts_6]],DIM_PRODUCTS[hts_6],DIM_PRODUCTS[hts_4],,,)</f>
        <v>7009</v>
      </c>
      <c r="I2997" t="str" cm="1">
        <f t="array" ref="I2997">_xlfn.XLOOKUP(FACT_IMPORTS[[#This Row],[country_name]],DIM_COUNTRY[[#All],[Column2]],DIM_COUNTRY[[#All],[Column3]],,,)</f>
        <v>China</v>
      </c>
    </row>
    <row r="2998" spans="1:9" x14ac:dyDescent="0.4">
      <c r="A2998" t="s">
        <v>66</v>
      </c>
      <c r="B2998" s="1">
        <v>45200</v>
      </c>
      <c r="C2998">
        <v>732010</v>
      </c>
      <c r="D2998" t="s">
        <v>176</v>
      </c>
      <c r="E2998">
        <v>0</v>
      </c>
      <c r="F2998">
        <v>0</v>
      </c>
      <c r="G2998">
        <v>0</v>
      </c>
      <c r="H2998">
        <f>_xlfn.XLOOKUP(FACT_IMPORTS[[#This Row],[hts_6]],DIM_PRODUCTS[hts_6],DIM_PRODUCTS[hts_4],,,)</f>
        <v>7320</v>
      </c>
      <c r="I2998" t="str" cm="1">
        <f t="array" ref="I2998">_xlfn.XLOOKUP(FACT_IMPORTS[[#This Row],[country_name]],DIM_COUNTRY[[#All],[Column2]],DIM_COUNTRY[[#All],[Column3]],,,)</f>
        <v>China</v>
      </c>
    </row>
    <row r="2999" spans="1:9" x14ac:dyDescent="0.4">
      <c r="A2999" t="s">
        <v>66</v>
      </c>
      <c r="B2999" s="1">
        <v>45200</v>
      </c>
      <c r="C2999">
        <v>830230</v>
      </c>
      <c r="D2999" t="s">
        <v>176</v>
      </c>
      <c r="E2999">
        <v>3846369</v>
      </c>
      <c r="F2999">
        <v>1075378</v>
      </c>
      <c r="G2999">
        <v>189508</v>
      </c>
      <c r="H2999">
        <f>_xlfn.XLOOKUP(FACT_IMPORTS[[#This Row],[hts_6]],DIM_PRODUCTS[hts_6],DIM_PRODUCTS[hts_4],,,)</f>
        <v>8302</v>
      </c>
      <c r="I2999" t="str" cm="1">
        <f t="array" ref="I2999">_xlfn.XLOOKUP(FACT_IMPORTS[[#This Row],[country_name]],DIM_COUNTRY[[#All],[Column2]],DIM_COUNTRY[[#All],[Column3]],,,)</f>
        <v>China</v>
      </c>
    </row>
    <row r="3000" spans="1:9" x14ac:dyDescent="0.4">
      <c r="A3000" t="s">
        <v>66</v>
      </c>
      <c r="B3000" s="1">
        <v>45200</v>
      </c>
      <c r="C3000">
        <v>840732</v>
      </c>
      <c r="D3000" t="s">
        <v>176</v>
      </c>
      <c r="E3000">
        <v>4500</v>
      </c>
      <c r="F3000">
        <v>30</v>
      </c>
      <c r="G3000">
        <v>1</v>
      </c>
      <c r="H3000">
        <f>_xlfn.XLOOKUP(FACT_IMPORTS[[#This Row],[hts_6]],DIM_PRODUCTS[hts_6],DIM_PRODUCTS[hts_4],,,)</f>
        <v>8407</v>
      </c>
      <c r="I3000" t="str" cm="1">
        <f t="array" ref="I3000">_xlfn.XLOOKUP(FACT_IMPORTS[[#This Row],[country_name]],DIM_COUNTRY[[#All],[Column2]],DIM_COUNTRY[[#All],[Column3]],,,)</f>
        <v>China</v>
      </c>
    </row>
    <row r="3001" spans="1:9" x14ac:dyDescent="0.4">
      <c r="A3001" t="s">
        <v>66</v>
      </c>
      <c r="B3001" s="1">
        <v>45200</v>
      </c>
      <c r="C3001">
        <v>840733</v>
      </c>
      <c r="D3001" t="s">
        <v>176</v>
      </c>
      <c r="E3001">
        <v>0</v>
      </c>
      <c r="F3001">
        <v>0</v>
      </c>
      <c r="G3001">
        <v>0</v>
      </c>
      <c r="H3001">
        <f>_xlfn.XLOOKUP(FACT_IMPORTS[[#This Row],[hts_6]],DIM_PRODUCTS[hts_6],DIM_PRODUCTS[hts_4],,,)</f>
        <v>8407</v>
      </c>
      <c r="I3001" t="str" cm="1">
        <f t="array" ref="I3001">_xlfn.XLOOKUP(FACT_IMPORTS[[#This Row],[country_name]],DIM_COUNTRY[[#All],[Column2]],DIM_COUNTRY[[#All],[Column3]],,,)</f>
        <v>China</v>
      </c>
    </row>
    <row r="3002" spans="1:9" x14ac:dyDescent="0.4">
      <c r="A3002" t="s">
        <v>66</v>
      </c>
      <c r="B3002" s="1">
        <v>45200</v>
      </c>
      <c r="C3002">
        <v>840734</v>
      </c>
      <c r="D3002" t="s">
        <v>176</v>
      </c>
      <c r="E3002">
        <v>0</v>
      </c>
      <c r="F3002">
        <v>0</v>
      </c>
      <c r="G3002">
        <v>0</v>
      </c>
      <c r="H3002">
        <f>_xlfn.XLOOKUP(FACT_IMPORTS[[#This Row],[hts_6]],DIM_PRODUCTS[hts_6],DIM_PRODUCTS[hts_4],,,)</f>
        <v>8407</v>
      </c>
      <c r="I3002" t="str" cm="1">
        <f t="array" ref="I3002">_xlfn.XLOOKUP(FACT_IMPORTS[[#This Row],[country_name]],DIM_COUNTRY[[#All],[Column2]],DIM_COUNTRY[[#All],[Column3]],,,)</f>
        <v>China</v>
      </c>
    </row>
    <row r="3003" spans="1:9" x14ac:dyDescent="0.4">
      <c r="A3003" t="s">
        <v>66</v>
      </c>
      <c r="B3003" s="1">
        <v>45200</v>
      </c>
      <c r="C3003">
        <v>840790</v>
      </c>
      <c r="D3003" t="s">
        <v>176</v>
      </c>
      <c r="E3003">
        <v>0</v>
      </c>
      <c r="F3003">
        <v>0</v>
      </c>
      <c r="G3003">
        <v>0</v>
      </c>
      <c r="H3003">
        <f>_xlfn.XLOOKUP(FACT_IMPORTS[[#This Row],[hts_6]],DIM_PRODUCTS[hts_6],DIM_PRODUCTS[hts_4],,,)</f>
        <v>8407</v>
      </c>
      <c r="I3003" t="str" cm="1">
        <f t="array" ref="I3003">_xlfn.XLOOKUP(FACT_IMPORTS[[#This Row],[country_name]],DIM_COUNTRY[[#All],[Column2]],DIM_COUNTRY[[#All],[Column3]],,,)</f>
        <v>China</v>
      </c>
    </row>
    <row r="3004" spans="1:9" x14ac:dyDescent="0.4">
      <c r="A3004" t="s">
        <v>66</v>
      </c>
      <c r="B3004" s="1">
        <v>45200</v>
      </c>
      <c r="C3004">
        <v>840890</v>
      </c>
      <c r="D3004" t="s">
        <v>176</v>
      </c>
      <c r="E3004">
        <v>0</v>
      </c>
      <c r="F3004">
        <v>0</v>
      </c>
      <c r="G3004">
        <v>0</v>
      </c>
      <c r="H3004">
        <f>_xlfn.XLOOKUP(FACT_IMPORTS[[#This Row],[hts_6]],DIM_PRODUCTS[hts_6],DIM_PRODUCTS[hts_4],,,)</f>
        <v>8408</v>
      </c>
      <c r="I3004" t="str" cm="1">
        <f t="array" ref="I3004">_xlfn.XLOOKUP(FACT_IMPORTS[[#This Row],[country_name]],DIM_COUNTRY[[#All],[Column2]],DIM_COUNTRY[[#All],[Column3]],,,)</f>
        <v>China</v>
      </c>
    </row>
    <row r="3005" spans="1:9" x14ac:dyDescent="0.4">
      <c r="A3005" t="s">
        <v>66</v>
      </c>
      <c r="B3005" s="1">
        <v>45200</v>
      </c>
      <c r="C3005">
        <v>840991</v>
      </c>
      <c r="D3005" t="s">
        <v>176</v>
      </c>
      <c r="E3005">
        <v>10218833</v>
      </c>
      <c r="F3005">
        <v>1671081</v>
      </c>
      <c r="G3005">
        <v>366990</v>
      </c>
      <c r="H3005">
        <f>_xlfn.XLOOKUP(FACT_IMPORTS[[#This Row],[hts_6]],DIM_PRODUCTS[hts_6],DIM_PRODUCTS[hts_4],,,)</f>
        <v>8409</v>
      </c>
      <c r="I3005" t="str" cm="1">
        <f t="array" ref="I3005">_xlfn.XLOOKUP(FACT_IMPORTS[[#This Row],[country_name]],DIM_COUNTRY[[#All],[Column2]],DIM_COUNTRY[[#All],[Column3]],,,)</f>
        <v>China</v>
      </c>
    </row>
    <row r="3006" spans="1:9" x14ac:dyDescent="0.4">
      <c r="A3006" t="s">
        <v>66</v>
      </c>
      <c r="B3006" s="1">
        <v>45200</v>
      </c>
      <c r="C3006">
        <v>840999</v>
      </c>
      <c r="D3006" t="s">
        <v>176</v>
      </c>
      <c r="E3006">
        <v>4655116</v>
      </c>
      <c r="F3006">
        <v>891680</v>
      </c>
      <c r="G3006">
        <v>199746</v>
      </c>
      <c r="H3006">
        <f>_xlfn.XLOOKUP(FACT_IMPORTS[[#This Row],[hts_6]],DIM_PRODUCTS[hts_6],DIM_PRODUCTS[hts_4],,,)</f>
        <v>8409</v>
      </c>
      <c r="I3006" t="str" cm="1">
        <f t="array" ref="I3006">_xlfn.XLOOKUP(FACT_IMPORTS[[#This Row],[country_name]],DIM_COUNTRY[[#All],[Column2]],DIM_COUNTRY[[#All],[Column3]],,,)</f>
        <v>China</v>
      </c>
    </row>
    <row r="3007" spans="1:9" x14ac:dyDescent="0.4">
      <c r="A3007" t="s">
        <v>66</v>
      </c>
      <c r="B3007" s="1">
        <v>45200</v>
      </c>
      <c r="C3007">
        <v>841330</v>
      </c>
      <c r="D3007" t="s">
        <v>176</v>
      </c>
      <c r="E3007">
        <v>678075</v>
      </c>
      <c r="F3007">
        <v>19460</v>
      </c>
      <c r="G3007">
        <v>10179</v>
      </c>
      <c r="H3007">
        <f>_xlfn.XLOOKUP(FACT_IMPORTS[[#This Row],[hts_6]],DIM_PRODUCTS[hts_6],DIM_PRODUCTS[hts_4],,,)</f>
        <v>8413</v>
      </c>
      <c r="I3007" t="str" cm="1">
        <f t="array" ref="I3007">_xlfn.XLOOKUP(FACT_IMPORTS[[#This Row],[country_name]],DIM_COUNTRY[[#All],[Column2]],DIM_COUNTRY[[#All],[Column3]],,,)</f>
        <v>China</v>
      </c>
    </row>
    <row r="3008" spans="1:9" x14ac:dyDescent="0.4">
      <c r="A3008" t="s">
        <v>66</v>
      </c>
      <c r="B3008" s="1">
        <v>45200</v>
      </c>
      <c r="C3008">
        <v>841520</v>
      </c>
      <c r="D3008" t="s">
        <v>176</v>
      </c>
      <c r="E3008">
        <v>239697</v>
      </c>
      <c r="F3008">
        <v>761</v>
      </c>
      <c r="G3008">
        <v>6003</v>
      </c>
      <c r="H3008">
        <f>_xlfn.XLOOKUP(FACT_IMPORTS[[#This Row],[hts_6]],DIM_PRODUCTS[hts_6],DIM_PRODUCTS[hts_4],,,)</f>
        <v>8415</v>
      </c>
      <c r="I3008" t="str" cm="1">
        <f t="array" ref="I3008">_xlfn.XLOOKUP(FACT_IMPORTS[[#This Row],[country_name]],DIM_COUNTRY[[#All],[Column2]],DIM_COUNTRY[[#All],[Column3]],,,)</f>
        <v>China</v>
      </c>
    </row>
    <row r="3009" spans="1:9" x14ac:dyDescent="0.4">
      <c r="A3009" t="s">
        <v>66</v>
      </c>
      <c r="B3009" s="1">
        <v>45200</v>
      </c>
      <c r="C3009">
        <v>842132</v>
      </c>
      <c r="D3009" t="s">
        <v>176</v>
      </c>
      <c r="E3009">
        <v>101641</v>
      </c>
      <c r="F3009">
        <v>1370</v>
      </c>
      <c r="G3009">
        <v>3588</v>
      </c>
      <c r="H3009">
        <f>_xlfn.XLOOKUP(FACT_IMPORTS[[#This Row],[hts_6]],DIM_PRODUCTS[hts_6],DIM_PRODUCTS[hts_4],,,)</f>
        <v>8421</v>
      </c>
      <c r="I3009" t="str" cm="1">
        <f t="array" ref="I3009">_xlfn.XLOOKUP(FACT_IMPORTS[[#This Row],[country_name]],DIM_COUNTRY[[#All],[Column2]],DIM_COUNTRY[[#All],[Column3]],,,)</f>
        <v>China</v>
      </c>
    </row>
    <row r="3010" spans="1:9" x14ac:dyDescent="0.4">
      <c r="A3010" t="s">
        <v>66</v>
      </c>
      <c r="B3010" s="1">
        <v>45200</v>
      </c>
      <c r="C3010">
        <v>848210</v>
      </c>
      <c r="D3010" t="s">
        <v>176</v>
      </c>
      <c r="E3010">
        <v>1235344</v>
      </c>
      <c r="F3010">
        <v>906198</v>
      </c>
      <c r="G3010">
        <v>33827</v>
      </c>
      <c r="H3010">
        <f>_xlfn.XLOOKUP(FACT_IMPORTS[[#This Row],[hts_6]],DIM_PRODUCTS[hts_6],DIM_PRODUCTS[hts_4],,,)</f>
        <v>8482</v>
      </c>
      <c r="I3010" t="str" cm="1">
        <f t="array" ref="I3010">_xlfn.XLOOKUP(FACT_IMPORTS[[#This Row],[country_name]],DIM_COUNTRY[[#All],[Column2]],DIM_COUNTRY[[#All],[Column3]],,,)</f>
        <v>China</v>
      </c>
    </row>
    <row r="3011" spans="1:9" x14ac:dyDescent="0.4">
      <c r="A3011" t="s">
        <v>66</v>
      </c>
      <c r="B3011" s="1">
        <v>45200</v>
      </c>
      <c r="C3011">
        <v>848220</v>
      </c>
      <c r="D3011" t="s">
        <v>176</v>
      </c>
      <c r="E3011">
        <v>3094</v>
      </c>
      <c r="F3011">
        <v>200</v>
      </c>
      <c r="G3011">
        <v>100</v>
      </c>
      <c r="H3011">
        <f>_xlfn.XLOOKUP(FACT_IMPORTS[[#This Row],[hts_6]],DIM_PRODUCTS[hts_6],DIM_PRODUCTS[hts_4],,,)</f>
        <v>8482</v>
      </c>
      <c r="I3011" t="str" cm="1">
        <f t="array" ref="I3011">_xlfn.XLOOKUP(FACT_IMPORTS[[#This Row],[country_name]],DIM_COUNTRY[[#All],[Column2]],DIM_COUNTRY[[#All],[Column3]],,,)</f>
        <v>China</v>
      </c>
    </row>
    <row r="3012" spans="1:9" x14ac:dyDescent="0.4">
      <c r="A3012" t="s">
        <v>66</v>
      </c>
      <c r="B3012" s="1">
        <v>45200</v>
      </c>
      <c r="C3012">
        <v>848310</v>
      </c>
      <c r="D3012" t="s">
        <v>176</v>
      </c>
      <c r="E3012">
        <v>2919815</v>
      </c>
      <c r="F3012">
        <v>130377</v>
      </c>
      <c r="G3012">
        <v>88919</v>
      </c>
      <c r="H3012">
        <f>_xlfn.XLOOKUP(FACT_IMPORTS[[#This Row],[hts_6]],DIM_PRODUCTS[hts_6],DIM_PRODUCTS[hts_4],,,)</f>
        <v>8483</v>
      </c>
      <c r="I3012" t="str" cm="1">
        <f t="array" ref="I3012">_xlfn.XLOOKUP(FACT_IMPORTS[[#This Row],[country_name]],DIM_COUNTRY[[#All],[Column2]],DIM_COUNTRY[[#All],[Column3]],,,)</f>
        <v>China</v>
      </c>
    </row>
    <row r="3013" spans="1:9" x14ac:dyDescent="0.4">
      <c r="A3013" t="s">
        <v>66</v>
      </c>
      <c r="B3013" s="1">
        <v>45200</v>
      </c>
      <c r="C3013">
        <v>850131</v>
      </c>
      <c r="D3013" t="s">
        <v>176</v>
      </c>
      <c r="E3013">
        <v>2525300</v>
      </c>
      <c r="F3013">
        <v>377807</v>
      </c>
      <c r="G3013">
        <v>21399</v>
      </c>
      <c r="H3013">
        <f>_xlfn.XLOOKUP(FACT_IMPORTS[[#This Row],[hts_6]],DIM_PRODUCTS[hts_6],DIM_PRODUCTS[hts_4],,,)</f>
        <v>8501</v>
      </c>
      <c r="I3013" t="str" cm="1">
        <f t="array" ref="I3013">_xlfn.XLOOKUP(FACT_IMPORTS[[#This Row],[country_name]],DIM_COUNTRY[[#All],[Column2]],DIM_COUNTRY[[#All],[Column3]],,,)</f>
        <v>China</v>
      </c>
    </row>
    <row r="3014" spans="1:9" x14ac:dyDescent="0.4">
      <c r="A3014" t="s">
        <v>66</v>
      </c>
      <c r="B3014" s="1">
        <v>45200</v>
      </c>
      <c r="C3014">
        <v>850132</v>
      </c>
      <c r="D3014" t="s">
        <v>176</v>
      </c>
      <c r="E3014">
        <v>116328</v>
      </c>
      <c r="F3014">
        <v>2828</v>
      </c>
      <c r="G3014">
        <v>2501</v>
      </c>
      <c r="H3014">
        <f>_xlfn.XLOOKUP(FACT_IMPORTS[[#This Row],[hts_6]],DIM_PRODUCTS[hts_6],DIM_PRODUCTS[hts_4],,,)</f>
        <v>8501</v>
      </c>
      <c r="I3014" t="str" cm="1">
        <f t="array" ref="I3014">_xlfn.XLOOKUP(FACT_IMPORTS[[#This Row],[country_name]],DIM_COUNTRY[[#All],[Column2]],DIM_COUNTRY[[#All],[Column3]],,,)</f>
        <v>China</v>
      </c>
    </row>
    <row r="3015" spans="1:9" x14ac:dyDescent="0.4">
      <c r="A3015" t="s">
        <v>66</v>
      </c>
      <c r="B3015" s="1">
        <v>45200</v>
      </c>
      <c r="C3015">
        <v>850133</v>
      </c>
      <c r="D3015" t="s">
        <v>176</v>
      </c>
      <c r="E3015">
        <v>0</v>
      </c>
      <c r="F3015">
        <v>0</v>
      </c>
      <c r="G3015">
        <v>0</v>
      </c>
      <c r="H3015">
        <f>_xlfn.XLOOKUP(FACT_IMPORTS[[#This Row],[hts_6]],DIM_PRODUCTS[hts_6],DIM_PRODUCTS[hts_4],,,)</f>
        <v>8501</v>
      </c>
      <c r="I3015" t="str" cm="1">
        <f t="array" ref="I3015">_xlfn.XLOOKUP(FACT_IMPORTS[[#This Row],[country_name]],DIM_COUNTRY[[#All],[Column2]],DIM_COUNTRY[[#All],[Column3]],,,)</f>
        <v>China</v>
      </c>
    </row>
    <row r="3016" spans="1:9" x14ac:dyDescent="0.4">
      <c r="A3016" t="s">
        <v>66</v>
      </c>
      <c r="B3016" s="1">
        <v>45200</v>
      </c>
      <c r="C3016">
        <v>850152</v>
      </c>
      <c r="D3016" t="s">
        <v>176</v>
      </c>
      <c r="E3016">
        <v>220889</v>
      </c>
      <c r="F3016">
        <v>315</v>
      </c>
      <c r="G3016">
        <v>5040</v>
      </c>
      <c r="H3016">
        <f>_xlfn.XLOOKUP(FACT_IMPORTS[[#This Row],[hts_6]],DIM_PRODUCTS[hts_6],DIM_PRODUCTS[hts_4],,,)</f>
        <v>8501</v>
      </c>
      <c r="I3016" t="str" cm="1">
        <f t="array" ref="I3016">_xlfn.XLOOKUP(FACT_IMPORTS[[#This Row],[country_name]],DIM_COUNTRY[[#All],[Column2]],DIM_COUNTRY[[#All],[Column3]],,,)</f>
        <v>China</v>
      </c>
    </row>
    <row r="3017" spans="1:9" x14ac:dyDescent="0.4">
      <c r="A3017" t="s">
        <v>66</v>
      </c>
      <c r="B3017" s="1">
        <v>45200</v>
      </c>
      <c r="C3017">
        <v>850153</v>
      </c>
      <c r="D3017" t="s">
        <v>176</v>
      </c>
      <c r="E3017">
        <v>722433</v>
      </c>
      <c r="F3017">
        <v>361</v>
      </c>
      <c r="G3017">
        <v>600</v>
      </c>
      <c r="H3017">
        <f>_xlfn.XLOOKUP(FACT_IMPORTS[[#This Row],[hts_6]],DIM_PRODUCTS[hts_6],DIM_PRODUCTS[hts_4],,,)</f>
        <v>8501</v>
      </c>
      <c r="I3017" t="str" cm="1">
        <f t="array" ref="I3017">_xlfn.XLOOKUP(FACT_IMPORTS[[#This Row],[country_name]],DIM_COUNTRY[[#All],[Column2]],DIM_COUNTRY[[#All],[Column3]],,,)</f>
        <v>China</v>
      </c>
    </row>
    <row r="3018" spans="1:9" x14ac:dyDescent="0.4">
      <c r="A3018" t="s">
        <v>66</v>
      </c>
      <c r="B3018" s="1">
        <v>45200</v>
      </c>
      <c r="C3018">
        <v>850161</v>
      </c>
      <c r="D3018" t="s">
        <v>176</v>
      </c>
      <c r="E3018">
        <v>0</v>
      </c>
      <c r="F3018">
        <v>0</v>
      </c>
      <c r="G3018">
        <v>0</v>
      </c>
      <c r="H3018">
        <f>_xlfn.XLOOKUP(FACT_IMPORTS[[#This Row],[hts_6]],DIM_PRODUCTS[hts_6],DIM_PRODUCTS[hts_4],,,)</f>
        <v>8501</v>
      </c>
      <c r="I3018" t="str" cm="1">
        <f t="array" ref="I3018">_xlfn.XLOOKUP(FACT_IMPORTS[[#This Row],[country_name]],DIM_COUNTRY[[#All],[Column2]],DIM_COUNTRY[[#All],[Column3]],,,)</f>
        <v>China</v>
      </c>
    </row>
    <row r="3019" spans="1:9" x14ac:dyDescent="0.4">
      <c r="A3019" t="s">
        <v>66</v>
      </c>
      <c r="B3019" s="1">
        <v>45200</v>
      </c>
      <c r="C3019">
        <v>850440</v>
      </c>
      <c r="D3019" t="s">
        <v>176</v>
      </c>
      <c r="E3019">
        <v>920117</v>
      </c>
      <c r="F3019">
        <v>129179</v>
      </c>
      <c r="G3019">
        <v>37888</v>
      </c>
      <c r="H3019">
        <f>_xlfn.XLOOKUP(FACT_IMPORTS[[#This Row],[hts_6]],DIM_PRODUCTS[hts_6],DIM_PRODUCTS[hts_4],,,)</f>
        <v>8504</v>
      </c>
      <c r="I3019" t="str" cm="1">
        <f t="array" ref="I3019">_xlfn.XLOOKUP(FACT_IMPORTS[[#This Row],[country_name]],DIM_COUNTRY[[#All],[Column2]],DIM_COUNTRY[[#All],[Column3]],,,)</f>
        <v>China</v>
      </c>
    </row>
    <row r="3020" spans="1:9" x14ac:dyDescent="0.4">
      <c r="A3020" t="s">
        <v>66</v>
      </c>
      <c r="B3020" s="1">
        <v>45200</v>
      </c>
      <c r="C3020">
        <v>850710</v>
      </c>
      <c r="D3020" t="s">
        <v>176</v>
      </c>
      <c r="E3020">
        <v>101422</v>
      </c>
      <c r="F3020">
        <v>2302</v>
      </c>
      <c r="G3020">
        <v>5000</v>
      </c>
      <c r="H3020">
        <f>_xlfn.XLOOKUP(FACT_IMPORTS[[#This Row],[hts_6]],DIM_PRODUCTS[hts_6],DIM_PRODUCTS[hts_4],,,)</f>
        <v>8507</v>
      </c>
      <c r="I3020" t="str" cm="1">
        <f t="array" ref="I3020">_xlfn.XLOOKUP(FACT_IMPORTS[[#This Row],[country_name]],DIM_COUNTRY[[#All],[Column2]],DIM_COUNTRY[[#All],[Column3]],,,)</f>
        <v>China</v>
      </c>
    </row>
    <row r="3021" spans="1:9" x14ac:dyDescent="0.4">
      <c r="A3021" t="s">
        <v>66</v>
      </c>
      <c r="B3021" s="1">
        <v>45200</v>
      </c>
      <c r="C3021">
        <v>850760</v>
      </c>
      <c r="D3021" t="s">
        <v>176</v>
      </c>
      <c r="E3021">
        <v>4259276</v>
      </c>
      <c r="F3021">
        <v>46648</v>
      </c>
      <c r="G3021">
        <v>41347</v>
      </c>
      <c r="H3021">
        <f>_xlfn.XLOOKUP(FACT_IMPORTS[[#This Row],[hts_6]],DIM_PRODUCTS[hts_6],DIM_PRODUCTS[hts_4],,,)</f>
        <v>8507</v>
      </c>
      <c r="I3021" t="str" cm="1">
        <f t="array" ref="I3021">_xlfn.XLOOKUP(FACT_IMPORTS[[#This Row],[country_name]],DIM_COUNTRY[[#All],[Column2]],DIM_COUNTRY[[#All],[Column3]],,,)</f>
        <v>China</v>
      </c>
    </row>
    <row r="3022" spans="1:9" x14ac:dyDescent="0.4">
      <c r="A3022" t="s">
        <v>66</v>
      </c>
      <c r="B3022" s="1">
        <v>45200</v>
      </c>
      <c r="C3022">
        <v>850790</v>
      </c>
      <c r="D3022" t="s">
        <v>176</v>
      </c>
      <c r="E3022">
        <v>101370</v>
      </c>
      <c r="F3022">
        <v>36180</v>
      </c>
      <c r="G3022">
        <v>178</v>
      </c>
      <c r="H3022">
        <f>_xlfn.XLOOKUP(FACT_IMPORTS[[#This Row],[hts_6]],DIM_PRODUCTS[hts_6],DIM_PRODUCTS[hts_4],,,)</f>
        <v>8507</v>
      </c>
      <c r="I3022" t="str" cm="1">
        <f t="array" ref="I3022">_xlfn.XLOOKUP(FACT_IMPORTS[[#This Row],[country_name]],DIM_COUNTRY[[#All],[Column2]],DIM_COUNTRY[[#All],[Column3]],,,)</f>
        <v>China</v>
      </c>
    </row>
    <row r="3023" spans="1:9" x14ac:dyDescent="0.4">
      <c r="A3023" t="s">
        <v>66</v>
      </c>
      <c r="B3023" s="1">
        <v>45200</v>
      </c>
      <c r="C3023">
        <v>851110</v>
      </c>
      <c r="D3023" t="s">
        <v>176</v>
      </c>
      <c r="E3023">
        <v>11295</v>
      </c>
      <c r="F3023">
        <v>1</v>
      </c>
      <c r="G3023">
        <v>38</v>
      </c>
      <c r="H3023">
        <f>_xlfn.XLOOKUP(FACT_IMPORTS[[#This Row],[hts_6]],DIM_PRODUCTS[hts_6],DIM_PRODUCTS[hts_4],,,)</f>
        <v>8511</v>
      </c>
      <c r="I3023" t="str" cm="1">
        <f t="array" ref="I3023">_xlfn.XLOOKUP(FACT_IMPORTS[[#This Row],[country_name]],DIM_COUNTRY[[#All],[Column2]],DIM_COUNTRY[[#All],[Column3]],,,)</f>
        <v>China</v>
      </c>
    </row>
    <row r="3024" spans="1:9" x14ac:dyDescent="0.4">
      <c r="A3024" t="s">
        <v>66</v>
      </c>
      <c r="B3024" s="1">
        <v>45200</v>
      </c>
      <c r="C3024">
        <v>851130</v>
      </c>
      <c r="D3024" t="s">
        <v>176</v>
      </c>
      <c r="E3024">
        <v>23035</v>
      </c>
      <c r="F3024">
        <v>1319</v>
      </c>
      <c r="G3024">
        <v>1418</v>
      </c>
      <c r="H3024">
        <f>_xlfn.XLOOKUP(FACT_IMPORTS[[#This Row],[hts_6]],DIM_PRODUCTS[hts_6],DIM_PRODUCTS[hts_4],,,)</f>
        <v>8511</v>
      </c>
      <c r="I3024" t="str" cm="1">
        <f t="array" ref="I3024">_xlfn.XLOOKUP(FACT_IMPORTS[[#This Row],[country_name]],DIM_COUNTRY[[#All],[Column2]],DIM_COUNTRY[[#All],[Column3]],,,)</f>
        <v>China</v>
      </c>
    </row>
    <row r="3025" spans="1:9" x14ac:dyDescent="0.4">
      <c r="A3025" t="s">
        <v>66</v>
      </c>
      <c r="B3025" s="1">
        <v>45200</v>
      </c>
      <c r="C3025">
        <v>851140</v>
      </c>
      <c r="D3025" t="s">
        <v>176</v>
      </c>
      <c r="E3025">
        <v>726448</v>
      </c>
      <c r="F3025">
        <v>11951</v>
      </c>
      <c r="G3025">
        <v>11760</v>
      </c>
      <c r="H3025">
        <f>_xlfn.XLOOKUP(FACT_IMPORTS[[#This Row],[hts_6]],DIM_PRODUCTS[hts_6],DIM_PRODUCTS[hts_4],,,)</f>
        <v>8511</v>
      </c>
      <c r="I3025" t="str" cm="1">
        <f t="array" ref="I3025">_xlfn.XLOOKUP(FACT_IMPORTS[[#This Row],[country_name]],DIM_COUNTRY[[#All],[Column2]],DIM_COUNTRY[[#All],[Column3]],,,)</f>
        <v>China</v>
      </c>
    </row>
    <row r="3026" spans="1:9" x14ac:dyDescent="0.4">
      <c r="A3026" t="s">
        <v>66</v>
      </c>
      <c r="B3026" s="1">
        <v>45200</v>
      </c>
      <c r="C3026">
        <v>851150</v>
      </c>
      <c r="D3026" t="s">
        <v>176</v>
      </c>
      <c r="E3026">
        <v>344558</v>
      </c>
      <c r="F3026">
        <v>12844</v>
      </c>
      <c r="G3026">
        <v>10626</v>
      </c>
      <c r="H3026">
        <f>_xlfn.XLOOKUP(FACT_IMPORTS[[#This Row],[hts_6]],DIM_PRODUCTS[hts_6],DIM_PRODUCTS[hts_4],,,)</f>
        <v>8511</v>
      </c>
      <c r="I3026" t="str" cm="1">
        <f t="array" ref="I3026">_xlfn.XLOOKUP(FACT_IMPORTS[[#This Row],[country_name]],DIM_COUNTRY[[#All],[Column2]],DIM_COUNTRY[[#All],[Column3]],,,)</f>
        <v>China</v>
      </c>
    </row>
    <row r="3027" spans="1:9" x14ac:dyDescent="0.4">
      <c r="A3027" t="s">
        <v>66</v>
      </c>
      <c r="B3027" s="1">
        <v>45200</v>
      </c>
      <c r="C3027">
        <v>851180</v>
      </c>
      <c r="D3027" t="s">
        <v>176</v>
      </c>
      <c r="E3027">
        <v>0</v>
      </c>
      <c r="F3027">
        <v>0</v>
      </c>
      <c r="G3027">
        <v>0</v>
      </c>
      <c r="H3027">
        <f>_xlfn.XLOOKUP(FACT_IMPORTS[[#This Row],[hts_6]],DIM_PRODUCTS[hts_6],DIM_PRODUCTS[hts_4],,,)</f>
        <v>8511</v>
      </c>
      <c r="I3027" t="str" cm="1">
        <f t="array" ref="I3027">_xlfn.XLOOKUP(FACT_IMPORTS[[#This Row],[country_name]],DIM_COUNTRY[[#All],[Column2]],DIM_COUNTRY[[#All],[Column3]],,,)</f>
        <v>China</v>
      </c>
    </row>
    <row r="3028" spans="1:9" x14ac:dyDescent="0.4">
      <c r="A3028" t="s">
        <v>66</v>
      </c>
      <c r="B3028" s="1">
        <v>45200</v>
      </c>
      <c r="C3028">
        <v>851190</v>
      </c>
      <c r="D3028" t="s">
        <v>176</v>
      </c>
      <c r="E3028">
        <v>73919</v>
      </c>
      <c r="F3028">
        <v>5047</v>
      </c>
      <c r="G3028">
        <v>976</v>
      </c>
      <c r="H3028">
        <f>_xlfn.XLOOKUP(FACT_IMPORTS[[#This Row],[hts_6]],DIM_PRODUCTS[hts_6],DIM_PRODUCTS[hts_4],,,)</f>
        <v>8511</v>
      </c>
      <c r="I3028" t="str" cm="1">
        <f t="array" ref="I3028">_xlfn.XLOOKUP(FACT_IMPORTS[[#This Row],[country_name]],DIM_COUNTRY[[#All],[Column2]],DIM_COUNTRY[[#All],[Column3]],,,)</f>
        <v>China</v>
      </c>
    </row>
    <row r="3029" spans="1:9" x14ac:dyDescent="0.4">
      <c r="A3029" t="s">
        <v>66</v>
      </c>
      <c r="B3029" s="1">
        <v>45200</v>
      </c>
      <c r="C3029">
        <v>851220</v>
      </c>
      <c r="D3029" t="s">
        <v>176</v>
      </c>
      <c r="E3029">
        <v>3468577</v>
      </c>
      <c r="F3029">
        <v>1032716</v>
      </c>
      <c r="G3029">
        <v>148992</v>
      </c>
      <c r="H3029">
        <f>_xlfn.XLOOKUP(FACT_IMPORTS[[#This Row],[hts_6]],DIM_PRODUCTS[hts_6],DIM_PRODUCTS[hts_4],,,)</f>
        <v>8512</v>
      </c>
      <c r="I3029" t="str" cm="1">
        <f t="array" ref="I3029">_xlfn.XLOOKUP(FACT_IMPORTS[[#This Row],[country_name]],DIM_COUNTRY[[#All],[Column2]],DIM_COUNTRY[[#All],[Column3]],,,)</f>
        <v>China</v>
      </c>
    </row>
    <row r="3030" spans="1:9" x14ac:dyDescent="0.4">
      <c r="A3030" t="s">
        <v>66</v>
      </c>
      <c r="B3030" s="1">
        <v>45200</v>
      </c>
      <c r="C3030">
        <v>851230</v>
      </c>
      <c r="D3030" t="s">
        <v>176</v>
      </c>
      <c r="E3030">
        <v>61214</v>
      </c>
      <c r="F3030">
        <v>24304</v>
      </c>
      <c r="G3030">
        <v>2820</v>
      </c>
      <c r="H3030">
        <f>_xlfn.XLOOKUP(FACT_IMPORTS[[#This Row],[hts_6]],DIM_PRODUCTS[hts_6],DIM_PRODUCTS[hts_4],,,)</f>
        <v>8512</v>
      </c>
      <c r="I3030" t="str" cm="1">
        <f t="array" ref="I3030">_xlfn.XLOOKUP(FACT_IMPORTS[[#This Row],[country_name]],DIM_COUNTRY[[#All],[Column2]],DIM_COUNTRY[[#All],[Column3]],,,)</f>
        <v>China</v>
      </c>
    </row>
    <row r="3031" spans="1:9" x14ac:dyDescent="0.4">
      <c r="A3031" t="s">
        <v>66</v>
      </c>
      <c r="B3031" s="1">
        <v>45200</v>
      </c>
      <c r="C3031">
        <v>851240</v>
      </c>
      <c r="D3031" t="s">
        <v>176</v>
      </c>
      <c r="E3031">
        <v>41803</v>
      </c>
      <c r="F3031">
        <v>66150</v>
      </c>
      <c r="G3031">
        <v>4180</v>
      </c>
      <c r="H3031">
        <f>_xlfn.XLOOKUP(FACT_IMPORTS[[#This Row],[hts_6]],DIM_PRODUCTS[hts_6],DIM_PRODUCTS[hts_4],,,)</f>
        <v>8512</v>
      </c>
      <c r="I3031" t="str" cm="1">
        <f t="array" ref="I3031">_xlfn.XLOOKUP(FACT_IMPORTS[[#This Row],[country_name]],DIM_COUNTRY[[#All],[Column2]],DIM_COUNTRY[[#All],[Column3]],,,)</f>
        <v>China</v>
      </c>
    </row>
    <row r="3032" spans="1:9" x14ac:dyDescent="0.4">
      <c r="A3032" t="s">
        <v>66</v>
      </c>
      <c r="B3032" s="1">
        <v>45200</v>
      </c>
      <c r="C3032">
        <v>851290</v>
      </c>
      <c r="D3032" t="s">
        <v>176</v>
      </c>
      <c r="E3032">
        <v>678850</v>
      </c>
      <c r="F3032">
        <v>8983</v>
      </c>
      <c r="G3032">
        <v>34529</v>
      </c>
      <c r="H3032">
        <f>_xlfn.XLOOKUP(FACT_IMPORTS[[#This Row],[hts_6]],DIM_PRODUCTS[hts_6],DIM_PRODUCTS[hts_4],,,)</f>
        <v>8512</v>
      </c>
      <c r="I3032" t="str" cm="1">
        <f t="array" ref="I3032">_xlfn.XLOOKUP(FACT_IMPORTS[[#This Row],[country_name]],DIM_COUNTRY[[#All],[Column2]],DIM_COUNTRY[[#All],[Column3]],,,)</f>
        <v>China</v>
      </c>
    </row>
    <row r="3033" spans="1:9" x14ac:dyDescent="0.4">
      <c r="A3033" t="s">
        <v>66</v>
      </c>
      <c r="B3033" s="1">
        <v>45200</v>
      </c>
      <c r="C3033">
        <v>854231</v>
      </c>
      <c r="D3033" t="s">
        <v>176</v>
      </c>
      <c r="E3033">
        <v>1820351</v>
      </c>
      <c r="F3033">
        <v>209500</v>
      </c>
      <c r="G3033">
        <v>165624</v>
      </c>
      <c r="H3033">
        <f>_xlfn.XLOOKUP(FACT_IMPORTS[[#This Row],[hts_6]],DIM_PRODUCTS[hts_6],DIM_PRODUCTS[hts_4],,,)</f>
        <v>8542</v>
      </c>
      <c r="I3033" t="str" cm="1">
        <f t="array" ref="I3033">_xlfn.XLOOKUP(FACT_IMPORTS[[#This Row],[country_name]],DIM_COUNTRY[[#All],[Column2]],DIM_COUNTRY[[#All],[Column3]],,,)</f>
        <v>China</v>
      </c>
    </row>
    <row r="3034" spans="1:9" x14ac:dyDescent="0.4">
      <c r="A3034" t="s">
        <v>66</v>
      </c>
      <c r="B3034" s="1">
        <v>45200</v>
      </c>
      <c r="C3034">
        <v>854232</v>
      </c>
      <c r="D3034" t="s">
        <v>176</v>
      </c>
      <c r="E3034">
        <v>2074</v>
      </c>
      <c r="F3034">
        <v>300</v>
      </c>
      <c r="G3034">
        <v>10</v>
      </c>
      <c r="H3034">
        <f>_xlfn.XLOOKUP(FACT_IMPORTS[[#This Row],[hts_6]],DIM_PRODUCTS[hts_6],DIM_PRODUCTS[hts_4],,,)</f>
        <v>8542</v>
      </c>
      <c r="I3034" t="str" cm="1">
        <f t="array" ref="I3034">_xlfn.XLOOKUP(FACT_IMPORTS[[#This Row],[country_name]],DIM_COUNTRY[[#All],[Column2]],DIM_COUNTRY[[#All],[Column3]],,,)</f>
        <v>China</v>
      </c>
    </row>
    <row r="3035" spans="1:9" x14ac:dyDescent="0.4">
      <c r="A3035" t="s">
        <v>66</v>
      </c>
      <c r="B3035" s="1">
        <v>45200</v>
      </c>
      <c r="C3035">
        <v>854233</v>
      </c>
      <c r="D3035" t="s">
        <v>176</v>
      </c>
      <c r="E3035">
        <v>0</v>
      </c>
      <c r="F3035">
        <v>0</v>
      </c>
      <c r="G3035">
        <v>0</v>
      </c>
      <c r="H3035">
        <f>_xlfn.XLOOKUP(FACT_IMPORTS[[#This Row],[hts_6]],DIM_PRODUCTS[hts_6],DIM_PRODUCTS[hts_4],,,)</f>
        <v>8542</v>
      </c>
      <c r="I3035" t="str" cm="1">
        <f t="array" ref="I3035">_xlfn.XLOOKUP(FACT_IMPORTS[[#This Row],[country_name]],DIM_COUNTRY[[#All],[Column2]],DIM_COUNTRY[[#All],[Column3]],,,)</f>
        <v>China</v>
      </c>
    </row>
    <row r="3036" spans="1:9" x14ac:dyDescent="0.4">
      <c r="A3036" t="s">
        <v>66</v>
      </c>
      <c r="B3036" s="1">
        <v>45200</v>
      </c>
      <c r="C3036">
        <v>854239</v>
      </c>
      <c r="D3036" t="s">
        <v>176</v>
      </c>
      <c r="E3036">
        <v>472986</v>
      </c>
      <c r="F3036">
        <v>482556</v>
      </c>
      <c r="G3036">
        <v>43661</v>
      </c>
      <c r="H3036">
        <f>_xlfn.XLOOKUP(FACT_IMPORTS[[#This Row],[hts_6]],DIM_PRODUCTS[hts_6],DIM_PRODUCTS[hts_4],,,)</f>
        <v>8542</v>
      </c>
      <c r="I3036" t="str" cm="1">
        <f t="array" ref="I3036">_xlfn.XLOOKUP(FACT_IMPORTS[[#This Row],[country_name]],DIM_COUNTRY[[#All],[Column2]],DIM_COUNTRY[[#All],[Column3]],,,)</f>
        <v>China</v>
      </c>
    </row>
    <row r="3037" spans="1:9" x14ac:dyDescent="0.4">
      <c r="A3037" t="s">
        <v>66</v>
      </c>
      <c r="B3037" s="1">
        <v>45200</v>
      </c>
      <c r="C3037">
        <v>854290</v>
      </c>
      <c r="D3037" t="s">
        <v>176</v>
      </c>
      <c r="E3037">
        <v>13725</v>
      </c>
      <c r="F3037">
        <v>1500</v>
      </c>
      <c r="G3037">
        <v>204</v>
      </c>
      <c r="H3037">
        <f>_xlfn.XLOOKUP(FACT_IMPORTS[[#This Row],[hts_6]],DIM_PRODUCTS[hts_6],DIM_PRODUCTS[hts_4],,,)</f>
        <v>8542</v>
      </c>
      <c r="I3037" t="str" cm="1">
        <f t="array" ref="I3037">_xlfn.XLOOKUP(FACT_IMPORTS[[#This Row],[country_name]],DIM_COUNTRY[[#All],[Column2]],DIM_COUNTRY[[#All],[Column3]],,,)</f>
        <v>China</v>
      </c>
    </row>
    <row r="3038" spans="1:9" x14ac:dyDescent="0.4">
      <c r="A3038" t="s">
        <v>66</v>
      </c>
      <c r="B3038" s="1">
        <v>45200</v>
      </c>
      <c r="C3038">
        <v>854430</v>
      </c>
      <c r="D3038" t="s">
        <v>176</v>
      </c>
      <c r="E3038">
        <v>1155474</v>
      </c>
      <c r="F3038">
        <v>79788</v>
      </c>
      <c r="G3038">
        <v>2914</v>
      </c>
      <c r="H3038">
        <f>_xlfn.XLOOKUP(FACT_IMPORTS[[#This Row],[hts_6]],DIM_PRODUCTS[hts_6],DIM_PRODUCTS[hts_4],,,)</f>
        <v>8544</v>
      </c>
      <c r="I3038" t="str" cm="1">
        <f t="array" ref="I3038">_xlfn.XLOOKUP(FACT_IMPORTS[[#This Row],[country_name]],DIM_COUNTRY[[#All],[Column2]],DIM_COUNTRY[[#All],[Column3]],,,)</f>
        <v>China</v>
      </c>
    </row>
    <row r="3039" spans="1:9" x14ac:dyDescent="0.4">
      <c r="A3039" t="s">
        <v>66</v>
      </c>
      <c r="B3039" s="1">
        <v>45200</v>
      </c>
      <c r="C3039">
        <v>870790</v>
      </c>
      <c r="D3039" t="s">
        <v>176</v>
      </c>
      <c r="E3039">
        <v>0</v>
      </c>
      <c r="F3039">
        <v>0</v>
      </c>
      <c r="G3039">
        <v>0</v>
      </c>
      <c r="H3039">
        <f>_xlfn.XLOOKUP(FACT_IMPORTS[[#This Row],[hts_6]],DIM_PRODUCTS[hts_6],DIM_PRODUCTS[hts_4],,,)</f>
        <v>8707</v>
      </c>
      <c r="I3039" t="str" cm="1">
        <f t="array" ref="I3039">_xlfn.XLOOKUP(FACT_IMPORTS[[#This Row],[country_name]],DIM_COUNTRY[[#All],[Column2]],DIM_COUNTRY[[#All],[Column3]],,,)</f>
        <v>China</v>
      </c>
    </row>
    <row r="3040" spans="1:9" x14ac:dyDescent="0.4">
      <c r="A3040" t="s">
        <v>66</v>
      </c>
      <c r="B3040" s="1">
        <v>45200</v>
      </c>
      <c r="C3040">
        <v>870810</v>
      </c>
      <c r="D3040" t="s">
        <v>176</v>
      </c>
      <c r="E3040">
        <v>838825</v>
      </c>
      <c r="F3040">
        <v>40106</v>
      </c>
      <c r="G3040">
        <v>49348</v>
      </c>
      <c r="H3040">
        <f>_xlfn.XLOOKUP(FACT_IMPORTS[[#This Row],[hts_6]],DIM_PRODUCTS[hts_6],DIM_PRODUCTS[hts_4],,,)</f>
        <v>8708</v>
      </c>
      <c r="I3040" t="str" cm="1">
        <f t="array" ref="I3040">_xlfn.XLOOKUP(FACT_IMPORTS[[#This Row],[country_name]],DIM_COUNTRY[[#All],[Column2]],DIM_COUNTRY[[#All],[Column3]],,,)</f>
        <v>China</v>
      </c>
    </row>
    <row r="3041" spans="1:9" x14ac:dyDescent="0.4">
      <c r="A3041" t="s">
        <v>66</v>
      </c>
      <c r="B3041" s="1">
        <v>45200</v>
      </c>
      <c r="C3041">
        <v>870821</v>
      </c>
      <c r="D3041" t="s">
        <v>176</v>
      </c>
      <c r="E3041">
        <v>33333</v>
      </c>
      <c r="F3041">
        <v>7291</v>
      </c>
      <c r="G3041">
        <v>1038</v>
      </c>
      <c r="H3041">
        <f>_xlfn.XLOOKUP(FACT_IMPORTS[[#This Row],[hts_6]],DIM_PRODUCTS[hts_6],DIM_PRODUCTS[hts_4],,,)</f>
        <v>8708</v>
      </c>
      <c r="I3041" t="str" cm="1">
        <f t="array" ref="I3041">_xlfn.XLOOKUP(FACT_IMPORTS[[#This Row],[country_name]],DIM_COUNTRY[[#All],[Column2]],DIM_COUNTRY[[#All],[Column3]],,,)</f>
        <v>China</v>
      </c>
    </row>
    <row r="3042" spans="1:9" x14ac:dyDescent="0.4">
      <c r="A3042" t="s">
        <v>66</v>
      </c>
      <c r="B3042" s="1">
        <v>45200</v>
      </c>
      <c r="C3042">
        <v>870822</v>
      </c>
      <c r="D3042" t="s">
        <v>176</v>
      </c>
      <c r="E3042">
        <v>1266428</v>
      </c>
      <c r="F3042">
        <v>183082</v>
      </c>
      <c r="G3042">
        <v>60861</v>
      </c>
      <c r="H3042">
        <f>_xlfn.XLOOKUP(FACT_IMPORTS[[#This Row],[hts_6]],DIM_PRODUCTS[hts_6],DIM_PRODUCTS[hts_4],,,)</f>
        <v>8708</v>
      </c>
      <c r="I3042" t="str" cm="1">
        <f t="array" ref="I3042">_xlfn.XLOOKUP(FACT_IMPORTS[[#This Row],[country_name]],DIM_COUNTRY[[#All],[Column2]],DIM_COUNTRY[[#All],[Column3]],,,)</f>
        <v>China</v>
      </c>
    </row>
    <row r="3043" spans="1:9" x14ac:dyDescent="0.4">
      <c r="A3043" t="s">
        <v>66</v>
      </c>
      <c r="B3043" s="1">
        <v>45200</v>
      </c>
      <c r="C3043">
        <v>870829</v>
      </c>
      <c r="D3043" t="s">
        <v>176</v>
      </c>
      <c r="E3043">
        <v>20274128</v>
      </c>
      <c r="F3043">
        <v>4431673</v>
      </c>
      <c r="G3043">
        <v>669411</v>
      </c>
      <c r="H3043">
        <f>_xlfn.XLOOKUP(FACT_IMPORTS[[#This Row],[hts_6]],DIM_PRODUCTS[hts_6],DIM_PRODUCTS[hts_4],,,)</f>
        <v>8708</v>
      </c>
      <c r="I3043" t="str" cm="1">
        <f t="array" ref="I3043">_xlfn.XLOOKUP(FACT_IMPORTS[[#This Row],[country_name]],DIM_COUNTRY[[#All],[Column2]],DIM_COUNTRY[[#All],[Column3]],,,)</f>
        <v>China</v>
      </c>
    </row>
    <row r="3044" spans="1:9" x14ac:dyDescent="0.4">
      <c r="A3044" t="s">
        <v>66</v>
      </c>
      <c r="B3044" s="1">
        <v>45200</v>
      </c>
      <c r="C3044">
        <v>870830</v>
      </c>
      <c r="D3044" t="s">
        <v>176</v>
      </c>
      <c r="E3044">
        <v>7554397</v>
      </c>
      <c r="F3044">
        <v>902932</v>
      </c>
      <c r="G3044">
        <v>187389</v>
      </c>
      <c r="H3044">
        <f>_xlfn.XLOOKUP(FACT_IMPORTS[[#This Row],[hts_6]],DIM_PRODUCTS[hts_6],DIM_PRODUCTS[hts_4],,,)</f>
        <v>8708</v>
      </c>
      <c r="I3044" t="str" cm="1">
        <f t="array" ref="I3044">_xlfn.XLOOKUP(FACT_IMPORTS[[#This Row],[country_name]],DIM_COUNTRY[[#All],[Column2]],DIM_COUNTRY[[#All],[Column3]],,,)</f>
        <v>China</v>
      </c>
    </row>
    <row r="3045" spans="1:9" x14ac:dyDescent="0.4">
      <c r="A3045" t="s">
        <v>66</v>
      </c>
      <c r="B3045" s="1">
        <v>45200</v>
      </c>
      <c r="C3045">
        <v>870840</v>
      </c>
      <c r="D3045" t="s">
        <v>176</v>
      </c>
      <c r="E3045">
        <v>3830720</v>
      </c>
      <c r="F3045">
        <v>523302</v>
      </c>
      <c r="G3045">
        <v>75556</v>
      </c>
      <c r="H3045">
        <f>_xlfn.XLOOKUP(FACT_IMPORTS[[#This Row],[hts_6]],DIM_PRODUCTS[hts_6],DIM_PRODUCTS[hts_4],,,)</f>
        <v>8708</v>
      </c>
      <c r="I3045" t="str" cm="1">
        <f t="array" ref="I3045">_xlfn.XLOOKUP(FACT_IMPORTS[[#This Row],[country_name]],DIM_COUNTRY[[#All],[Column2]],DIM_COUNTRY[[#All],[Column3]],,,)</f>
        <v>China</v>
      </c>
    </row>
    <row r="3046" spans="1:9" x14ac:dyDescent="0.4">
      <c r="A3046" t="s">
        <v>66</v>
      </c>
      <c r="B3046" s="1">
        <v>45200</v>
      </c>
      <c r="C3046">
        <v>870850</v>
      </c>
      <c r="D3046" t="s">
        <v>176</v>
      </c>
      <c r="E3046">
        <v>3283208</v>
      </c>
      <c r="F3046">
        <v>776436</v>
      </c>
      <c r="G3046">
        <v>67099</v>
      </c>
      <c r="H3046">
        <f>_xlfn.XLOOKUP(FACT_IMPORTS[[#This Row],[hts_6]],DIM_PRODUCTS[hts_6],DIM_PRODUCTS[hts_4],,,)</f>
        <v>8708</v>
      </c>
      <c r="I3046" t="str" cm="1">
        <f t="array" ref="I3046">_xlfn.XLOOKUP(FACT_IMPORTS[[#This Row],[country_name]],DIM_COUNTRY[[#All],[Column2]],DIM_COUNTRY[[#All],[Column3]],,,)</f>
        <v>China</v>
      </c>
    </row>
    <row r="3047" spans="1:9" x14ac:dyDescent="0.4">
      <c r="A3047" t="s">
        <v>66</v>
      </c>
      <c r="B3047" s="1">
        <v>45200</v>
      </c>
      <c r="C3047">
        <v>870870</v>
      </c>
      <c r="D3047" t="s">
        <v>176</v>
      </c>
      <c r="E3047">
        <v>48745229</v>
      </c>
      <c r="F3047">
        <v>1659653</v>
      </c>
      <c r="G3047">
        <v>1669286</v>
      </c>
      <c r="H3047">
        <f>_xlfn.XLOOKUP(FACT_IMPORTS[[#This Row],[hts_6]],DIM_PRODUCTS[hts_6],DIM_PRODUCTS[hts_4],,,)</f>
        <v>8708</v>
      </c>
      <c r="I3047" t="str" cm="1">
        <f t="array" ref="I3047">_xlfn.XLOOKUP(FACT_IMPORTS[[#This Row],[country_name]],DIM_COUNTRY[[#All],[Column2]],DIM_COUNTRY[[#All],[Column3]],,,)</f>
        <v>China</v>
      </c>
    </row>
    <row r="3048" spans="1:9" x14ac:dyDescent="0.4">
      <c r="A3048" t="s">
        <v>66</v>
      </c>
      <c r="B3048" s="1">
        <v>45200</v>
      </c>
      <c r="C3048">
        <v>870880</v>
      </c>
      <c r="D3048" t="s">
        <v>176</v>
      </c>
      <c r="E3048">
        <v>15250462</v>
      </c>
      <c r="F3048">
        <v>2560077</v>
      </c>
      <c r="G3048">
        <v>343693</v>
      </c>
      <c r="H3048">
        <f>_xlfn.XLOOKUP(FACT_IMPORTS[[#This Row],[hts_6]],DIM_PRODUCTS[hts_6],DIM_PRODUCTS[hts_4],,,)</f>
        <v>8708</v>
      </c>
      <c r="I3048" t="str" cm="1">
        <f t="array" ref="I3048">_xlfn.XLOOKUP(FACT_IMPORTS[[#This Row],[country_name]],DIM_COUNTRY[[#All],[Column2]],DIM_COUNTRY[[#All],[Column3]],,,)</f>
        <v>China</v>
      </c>
    </row>
    <row r="3049" spans="1:9" x14ac:dyDescent="0.4">
      <c r="A3049" t="s">
        <v>66</v>
      </c>
      <c r="B3049" s="1">
        <v>45200</v>
      </c>
      <c r="C3049">
        <v>870891</v>
      </c>
      <c r="D3049" t="s">
        <v>176</v>
      </c>
      <c r="E3049">
        <v>276593</v>
      </c>
      <c r="F3049">
        <v>3375</v>
      </c>
      <c r="G3049">
        <v>2080</v>
      </c>
      <c r="H3049">
        <f>_xlfn.XLOOKUP(FACT_IMPORTS[[#This Row],[hts_6]],DIM_PRODUCTS[hts_6],DIM_PRODUCTS[hts_4],,,)</f>
        <v>8708</v>
      </c>
      <c r="I3049" t="str" cm="1">
        <f t="array" ref="I3049">_xlfn.XLOOKUP(FACT_IMPORTS[[#This Row],[country_name]],DIM_COUNTRY[[#All],[Column2]],DIM_COUNTRY[[#All],[Column3]],,,)</f>
        <v>China</v>
      </c>
    </row>
    <row r="3050" spans="1:9" x14ac:dyDescent="0.4">
      <c r="A3050" t="s">
        <v>66</v>
      </c>
      <c r="B3050" s="1">
        <v>45200</v>
      </c>
      <c r="C3050">
        <v>870892</v>
      </c>
      <c r="D3050" t="s">
        <v>176</v>
      </c>
      <c r="E3050">
        <v>8534199</v>
      </c>
      <c r="F3050">
        <v>1454844</v>
      </c>
      <c r="G3050">
        <v>419127</v>
      </c>
      <c r="H3050">
        <f>_xlfn.XLOOKUP(FACT_IMPORTS[[#This Row],[hts_6]],DIM_PRODUCTS[hts_6],DIM_PRODUCTS[hts_4],,,)</f>
        <v>8708</v>
      </c>
      <c r="I3050" t="str" cm="1">
        <f t="array" ref="I3050">_xlfn.XLOOKUP(FACT_IMPORTS[[#This Row],[country_name]],DIM_COUNTRY[[#All],[Column2]],DIM_COUNTRY[[#All],[Column3]],,,)</f>
        <v>China</v>
      </c>
    </row>
    <row r="3051" spans="1:9" x14ac:dyDescent="0.4">
      <c r="A3051" t="s">
        <v>66</v>
      </c>
      <c r="B3051" s="1">
        <v>45200</v>
      </c>
      <c r="C3051">
        <v>870893</v>
      </c>
      <c r="D3051" t="s">
        <v>176</v>
      </c>
      <c r="E3051">
        <v>923343</v>
      </c>
      <c r="F3051">
        <v>403683</v>
      </c>
      <c r="G3051">
        <v>23956</v>
      </c>
      <c r="H3051">
        <f>_xlfn.XLOOKUP(FACT_IMPORTS[[#This Row],[hts_6]],DIM_PRODUCTS[hts_6],DIM_PRODUCTS[hts_4],,,)</f>
        <v>8708</v>
      </c>
      <c r="I3051" t="str" cm="1">
        <f t="array" ref="I3051">_xlfn.XLOOKUP(FACT_IMPORTS[[#This Row],[country_name]],DIM_COUNTRY[[#All],[Column2]],DIM_COUNTRY[[#All],[Column3]],,,)</f>
        <v>China</v>
      </c>
    </row>
    <row r="3052" spans="1:9" x14ac:dyDescent="0.4">
      <c r="A3052" t="s">
        <v>66</v>
      </c>
      <c r="B3052" s="1">
        <v>45200</v>
      </c>
      <c r="C3052">
        <v>870894</v>
      </c>
      <c r="D3052" t="s">
        <v>176</v>
      </c>
      <c r="E3052">
        <v>9207398</v>
      </c>
      <c r="F3052">
        <v>401647</v>
      </c>
      <c r="G3052">
        <v>1119254</v>
      </c>
      <c r="H3052">
        <f>_xlfn.XLOOKUP(FACT_IMPORTS[[#This Row],[hts_6]],DIM_PRODUCTS[hts_6],DIM_PRODUCTS[hts_4],,,)</f>
        <v>8708</v>
      </c>
      <c r="I3052" t="str" cm="1">
        <f t="array" ref="I3052">_xlfn.XLOOKUP(FACT_IMPORTS[[#This Row],[country_name]],DIM_COUNTRY[[#All],[Column2]],DIM_COUNTRY[[#All],[Column3]],,,)</f>
        <v>China</v>
      </c>
    </row>
    <row r="3053" spans="1:9" x14ac:dyDescent="0.4">
      <c r="A3053" t="s">
        <v>66</v>
      </c>
      <c r="B3053" s="1">
        <v>45200</v>
      </c>
      <c r="C3053">
        <v>870895</v>
      </c>
      <c r="D3053" t="s">
        <v>176</v>
      </c>
      <c r="E3053">
        <v>413480</v>
      </c>
      <c r="F3053">
        <v>27547</v>
      </c>
      <c r="G3053">
        <v>6052</v>
      </c>
      <c r="H3053">
        <f>_xlfn.XLOOKUP(FACT_IMPORTS[[#This Row],[hts_6]],DIM_PRODUCTS[hts_6],DIM_PRODUCTS[hts_4],,,)</f>
        <v>8708</v>
      </c>
      <c r="I3053" t="str" cm="1">
        <f t="array" ref="I3053">_xlfn.XLOOKUP(FACT_IMPORTS[[#This Row],[country_name]],DIM_COUNTRY[[#All],[Column2]],DIM_COUNTRY[[#All],[Column3]],,,)</f>
        <v>China</v>
      </c>
    </row>
    <row r="3054" spans="1:9" x14ac:dyDescent="0.4">
      <c r="A3054" t="s">
        <v>66</v>
      </c>
      <c r="B3054" s="1">
        <v>45200</v>
      </c>
      <c r="C3054">
        <v>870899</v>
      </c>
      <c r="D3054" t="s">
        <v>176</v>
      </c>
      <c r="E3054">
        <v>12089405</v>
      </c>
      <c r="F3054">
        <v>2204007</v>
      </c>
      <c r="G3054">
        <v>694351</v>
      </c>
      <c r="H3054">
        <f>_xlfn.XLOOKUP(FACT_IMPORTS[[#This Row],[hts_6]],DIM_PRODUCTS[hts_6],DIM_PRODUCTS[hts_4],,,)</f>
        <v>8708</v>
      </c>
      <c r="I3054" t="str" cm="1">
        <f t="array" ref="I3054">_xlfn.XLOOKUP(FACT_IMPORTS[[#This Row],[country_name]],DIM_COUNTRY[[#All],[Column2]],DIM_COUNTRY[[#All],[Column3]],,,)</f>
        <v>China</v>
      </c>
    </row>
    <row r="3055" spans="1:9" x14ac:dyDescent="0.4">
      <c r="A3055" t="s">
        <v>66</v>
      </c>
      <c r="B3055" s="1">
        <v>45200</v>
      </c>
      <c r="C3055">
        <v>940120</v>
      </c>
      <c r="D3055" t="s">
        <v>176</v>
      </c>
      <c r="E3055">
        <v>381</v>
      </c>
      <c r="F3055">
        <v>2</v>
      </c>
      <c r="G3055">
        <v>2</v>
      </c>
      <c r="H3055">
        <f>_xlfn.XLOOKUP(FACT_IMPORTS[[#This Row],[hts_6]],DIM_PRODUCTS[hts_6],DIM_PRODUCTS[hts_4],,,)</f>
        <v>9401</v>
      </c>
      <c r="I3055" t="str" cm="1">
        <f t="array" ref="I3055">_xlfn.XLOOKUP(FACT_IMPORTS[[#This Row],[country_name]],DIM_COUNTRY[[#All],[Column2]],DIM_COUNTRY[[#All],[Column3]],,,)</f>
        <v>China</v>
      </c>
    </row>
    <row r="3056" spans="1:9" x14ac:dyDescent="0.4">
      <c r="A3056" t="s">
        <v>66</v>
      </c>
      <c r="B3056" s="1">
        <v>45231</v>
      </c>
      <c r="C3056">
        <v>392630</v>
      </c>
      <c r="D3056" t="s">
        <v>176</v>
      </c>
      <c r="E3056">
        <v>5614741</v>
      </c>
      <c r="F3056">
        <v>252854</v>
      </c>
      <c r="G3056">
        <v>218260</v>
      </c>
      <c r="H3056">
        <f>_xlfn.XLOOKUP(FACT_IMPORTS[[#This Row],[hts_6]],DIM_PRODUCTS[hts_6],DIM_PRODUCTS[hts_4],,,)</f>
        <v>3926</v>
      </c>
      <c r="I3056" t="str" cm="1">
        <f t="array" ref="I3056">_xlfn.XLOOKUP(FACT_IMPORTS[[#This Row],[country_name]],DIM_COUNTRY[[#All],[Column2]],DIM_COUNTRY[[#All],[Column3]],,,)</f>
        <v>China</v>
      </c>
    </row>
    <row r="3057" spans="1:9" x14ac:dyDescent="0.4">
      <c r="A3057" t="s">
        <v>66</v>
      </c>
      <c r="B3057" s="1">
        <v>45231</v>
      </c>
      <c r="C3057">
        <v>401110</v>
      </c>
      <c r="D3057" t="s">
        <v>176</v>
      </c>
      <c r="E3057">
        <v>8948</v>
      </c>
      <c r="F3057">
        <v>118</v>
      </c>
      <c r="G3057">
        <v>221</v>
      </c>
      <c r="H3057">
        <f>_xlfn.XLOOKUP(FACT_IMPORTS[[#This Row],[hts_6]],DIM_PRODUCTS[hts_6],DIM_PRODUCTS[hts_4],,,)</f>
        <v>4011</v>
      </c>
      <c r="I3057" t="str" cm="1">
        <f t="array" ref="I3057">_xlfn.XLOOKUP(FACT_IMPORTS[[#This Row],[country_name]],DIM_COUNTRY[[#All],[Column2]],DIM_COUNTRY[[#All],[Column3]],,,)</f>
        <v>China</v>
      </c>
    </row>
    <row r="3058" spans="1:9" x14ac:dyDescent="0.4">
      <c r="A3058" t="s">
        <v>66</v>
      </c>
      <c r="B3058" s="1">
        <v>45231</v>
      </c>
      <c r="C3058">
        <v>401120</v>
      </c>
      <c r="D3058" t="s">
        <v>176</v>
      </c>
      <c r="E3058">
        <v>327056</v>
      </c>
      <c r="F3058">
        <v>2666</v>
      </c>
      <c r="G3058">
        <v>21675</v>
      </c>
      <c r="H3058">
        <f>_xlfn.XLOOKUP(FACT_IMPORTS[[#This Row],[hts_6]],DIM_PRODUCTS[hts_6],DIM_PRODUCTS[hts_4],,,)</f>
        <v>4011</v>
      </c>
      <c r="I3058" t="str" cm="1">
        <f t="array" ref="I3058">_xlfn.XLOOKUP(FACT_IMPORTS[[#This Row],[country_name]],DIM_COUNTRY[[#All],[Column2]],DIM_COUNTRY[[#All],[Column3]],,,)</f>
        <v>China</v>
      </c>
    </row>
    <row r="3059" spans="1:9" x14ac:dyDescent="0.4">
      <c r="A3059" t="s">
        <v>66</v>
      </c>
      <c r="B3059" s="1">
        <v>45231</v>
      </c>
      <c r="C3059">
        <v>401140</v>
      </c>
      <c r="D3059" t="s">
        <v>176</v>
      </c>
      <c r="E3059">
        <v>5088</v>
      </c>
      <c r="F3059">
        <v>97</v>
      </c>
      <c r="G3059">
        <v>13</v>
      </c>
      <c r="H3059">
        <f>_xlfn.XLOOKUP(FACT_IMPORTS[[#This Row],[hts_6]],DIM_PRODUCTS[hts_6],DIM_PRODUCTS[hts_4],,,)</f>
        <v>4011</v>
      </c>
      <c r="I3059" t="str" cm="1">
        <f t="array" ref="I3059">_xlfn.XLOOKUP(FACT_IMPORTS[[#This Row],[country_name]],DIM_COUNTRY[[#All],[Column2]],DIM_COUNTRY[[#All],[Column3]],,,)</f>
        <v>China</v>
      </c>
    </row>
    <row r="3060" spans="1:9" x14ac:dyDescent="0.4">
      <c r="A3060" t="s">
        <v>66</v>
      </c>
      <c r="B3060" s="1">
        <v>45231</v>
      </c>
      <c r="C3060">
        <v>401190</v>
      </c>
      <c r="D3060" t="s">
        <v>176</v>
      </c>
      <c r="E3060">
        <v>82302</v>
      </c>
      <c r="F3060">
        <v>2308</v>
      </c>
      <c r="G3060">
        <v>5240</v>
      </c>
      <c r="H3060">
        <f>_xlfn.XLOOKUP(FACT_IMPORTS[[#This Row],[hts_6]],DIM_PRODUCTS[hts_6],DIM_PRODUCTS[hts_4],,,)</f>
        <v>4011</v>
      </c>
      <c r="I3060" t="str" cm="1">
        <f t="array" ref="I3060">_xlfn.XLOOKUP(FACT_IMPORTS[[#This Row],[country_name]],DIM_COUNTRY[[#All],[Column2]],DIM_COUNTRY[[#All],[Column3]],,,)</f>
        <v>China</v>
      </c>
    </row>
    <row r="3061" spans="1:9" x14ac:dyDescent="0.4">
      <c r="A3061" t="s">
        <v>66</v>
      </c>
      <c r="B3061" s="1">
        <v>45231</v>
      </c>
      <c r="C3061">
        <v>700711</v>
      </c>
      <c r="D3061" t="s">
        <v>176</v>
      </c>
      <c r="E3061">
        <v>927437</v>
      </c>
      <c r="F3061">
        <v>71081</v>
      </c>
      <c r="G3061">
        <v>57630</v>
      </c>
      <c r="H3061">
        <f>_xlfn.XLOOKUP(FACT_IMPORTS[[#This Row],[hts_6]],DIM_PRODUCTS[hts_6],DIM_PRODUCTS[hts_4],,,)</f>
        <v>7007</v>
      </c>
      <c r="I3061" t="str" cm="1">
        <f t="array" ref="I3061">_xlfn.XLOOKUP(FACT_IMPORTS[[#This Row],[country_name]],DIM_COUNTRY[[#All],[Column2]],DIM_COUNTRY[[#All],[Column3]],,,)</f>
        <v>China</v>
      </c>
    </row>
    <row r="3062" spans="1:9" x14ac:dyDescent="0.4">
      <c r="A3062" t="s">
        <v>66</v>
      </c>
      <c r="B3062" s="1">
        <v>45231</v>
      </c>
      <c r="C3062">
        <v>700721</v>
      </c>
      <c r="D3062" t="s">
        <v>176</v>
      </c>
      <c r="E3062">
        <v>195455</v>
      </c>
      <c r="F3062">
        <v>6746</v>
      </c>
      <c r="G3062">
        <v>13969</v>
      </c>
      <c r="H3062">
        <f>_xlfn.XLOOKUP(FACT_IMPORTS[[#This Row],[hts_6]],DIM_PRODUCTS[hts_6],DIM_PRODUCTS[hts_4],,,)</f>
        <v>7007</v>
      </c>
      <c r="I3062" t="str" cm="1">
        <f t="array" ref="I3062">_xlfn.XLOOKUP(FACT_IMPORTS[[#This Row],[country_name]],DIM_COUNTRY[[#All],[Column2]],DIM_COUNTRY[[#All],[Column3]],,,)</f>
        <v>China</v>
      </c>
    </row>
    <row r="3063" spans="1:9" x14ac:dyDescent="0.4">
      <c r="A3063" t="s">
        <v>66</v>
      </c>
      <c r="B3063" s="1">
        <v>45231</v>
      </c>
      <c r="C3063">
        <v>700910</v>
      </c>
      <c r="D3063" t="s">
        <v>176</v>
      </c>
      <c r="E3063">
        <v>273922</v>
      </c>
      <c r="F3063">
        <v>135224</v>
      </c>
      <c r="G3063">
        <v>14517</v>
      </c>
      <c r="H3063">
        <f>_xlfn.XLOOKUP(FACT_IMPORTS[[#This Row],[hts_6]],DIM_PRODUCTS[hts_6],DIM_PRODUCTS[hts_4],,,)</f>
        <v>7009</v>
      </c>
      <c r="I3063" t="str" cm="1">
        <f t="array" ref="I3063">_xlfn.XLOOKUP(FACT_IMPORTS[[#This Row],[country_name]],DIM_COUNTRY[[#All],[Column2]],DIM_COUNTRY[[#All],[Column3]],,,)</f>
        <v>China</v>
      </c>
    </row>
    <row r="3064" spans="1:9" x14ac:dyDescent="0.4">
      <c r="A3064" t="s">
        <v>66</v>
      </c>
      <c r="B3064" s="1">
        <v>45231</v>
      </c>
      <c r="C3064">
        <v>732010</v>
      </c>
      <c r="D3064" t="s">
        <v>176</v>
      </c>
      <c r="E3064">
        <v>2720</v>
      </c>
      <c r="F3064">
        <v>109</v>
      </c>
      <c r="G3064">
        <v>8</v>
      </c>
      <c r="H3064">
        <f>_xlfn.XLOOKUP(FACT_IMPORTS[[#This Row],[hts_6]],DIM_PRODUCTS[hts_6],DIM_PRODUCTS[hts_4],,,)</f>
        <v>7320</v>
      </c>
      <c r="I3064" t="str" cm="1">
        <f t="array" ref="I3064">_xlfn.XLOOKUP(FACT_IMPORTS[[#This Row],[country_name]],DIM_COUNTRY[[#All],[Column2]],DIM_COUNTRY[[#All],[Column3]],,,)</f>
        <v>China</v>
      </c>
    </row>
    <row r="3065" spans="1:9" x14ac:dyDescent="0.4">
      <c r="A3065" t="s">
        <v>66</v>
      </c>
      <c r="B3065" s="1">
        <v>45231</v>
      </c>
      <c r="C3065">
        <v>830230</v>
      </c>
      <c r="D3065" t="s">
        <v>176</v>
      </c>
      <c r="E3065">
        <v>2632750</v>
      </c>
      <c r="F3065">
        <v>531768</v>
      </c>
      <c r="G3065">
        <v>118966</v>
      </c>
      <c r="H3065">
        <f>_xlfn.XLOOKUP(FACT_IMPORTS[[#This Row],[hts_6]],DIM_PRODUCTS[hts_6],DIM_PRODUCTS[hts_4],,,)</f>
        <v>8302</v>
      </c>
      <c r="I3065" t="str" cm="1">
        <f t="array" ref="I3065">_xlfn.XLOOKUP(FACT_IMPORTS[[#This Row],[country_name]],DIM_COUNTRY[[#All],[Column2]],DIM_COUNTRY[[#All],[Column3]],,,)</f>
        <v>China</v>
      </c>
    </row>
    <row r="3066" spans="1:9" x14ac:dyDescent="0.4">
      <c r="A3066" t="s">
        <v>66</v>
      </c>
      <c r="B3066" s="1">
        <v>45231</v>
      </c>
      <c r="C3066">
        <v>840732</v>
      </c>
      <c r="D3066" t="s">
        <v>176</v>
      </c>
      <c r="E3066">
        <v>0</v>
      </c>
      <c r="F3066">
        <v>0</v>
      </c>
      <c r="G3066">
        <v>0</v>
      </c>
      <c r="H3066">
        <f>_xlfn.XLOOKUP(FACT_IMPORTS[[#This Row],[hts_6]],DIM_PRODUCTS[hts_6],DIM_PRODUCTS[hts_4],,,)</f>
        <v>8407</v>
      </c>
      <c r="I3066" t="str" cm="1">
        <f t="array" ref="I3066">_xlfn.XLOOKUP(FACT_IMPORTS[[#This Row],[country_name]],DIM_COUNTRY[[#All],[Column2]],DIM_COUNTRY[[#All],[Column3]],,,)</f>
        <v>China</v>
      </c>
    </row>
    <row r="3067" spans="1:9" x14ac:dyDescent="0.4">
      <c r="A3067" t="s">
        <v>66</v>
      </c>
      <c r="B3067" s="1">
        <v>45231</v>
      </c>
      <c r="C3067">
        <v>840733</v>
      </c>
      <c r="D3067" t="s">
        <v>176</v>
      </c>
      <c r="E3067">
        <v>0</v>
      </c>
      <c r="F3067">
        <v>0</v>
      </c>
      <c r="G3067">
        <v>0</v>
      </c>
      <c r="H3067">
        <f>_xlfn.XLOOKUP(FACT_IMPORTS[[#This Row],[hts_6]],DIM_PRODUCTS[hts_6],DIM_PRODUCTS[hts_4],,,)</f>
        <v>8407</v>
      </c>
      <c r="I3067" t="str" cm="1">
        <f t="array" ref="I3067">_xlfn.XLOOKUP(FACT_IMPORTS[[#This Row],[country_name]],DIM_COUNTRY[[#All],[Column2]],DIM_COUNTRY[[#All],[Column3]],,,)</f>
        <v>China</v>
      </c>
    </row>
    <row r="3068" spans="1:9" x14ac:dyDescent="0.4">
      <c r="A3068" t="s">
        <v>66</v>
      </c>
      <c r="B3068" s="1">
        <v>45231</v>
      </c>
      <c r="C3068">
        <v>840734</v>
      </c>
      <c r="D3068" t="s">
        <v>176</v>
      </c>
      <c r="E3068">
        <v>0</v>
      </c>
      <c r="F3068">
        <v>0</v>
      </c>
      <c r="G3068">
        <v>0</v>
      </c>
      <c r="H3068">
        <f>_xlfn.XLOOKUP(FACT_IMPORTS[[#This Row],[hts_6]],DIM_PRODUCTS[hts_6],DIM_PRODUCTS[hts_4],,,)</f>
        <v>8407</v>
      </c>
      <c r="I3068" t="str" cm="1">
        <f t="array" ref="I3068">_xlfn.XLOOKUP(FACT_IMPORTS[[#This Row],[country_name]],DIM_COUNTRY[[#All],[Column2]],DIM_COUNTRY[[#All],[Column3]],,,)</f>
        <v>China</v>
      </c>
    </row>
    <row r="3069" spans="1:9" x14ac:dyDescent="0.4">
      <c r="A3069" t="s">
        <v>66</v>
      </c>
      <c r="B3069" s="1">
        <v>45231</v>
      </c>
      <c r="C3069">
        <v>840790</v>
      </c>
      <c r="D3069" t="s">
        <v>176</v>
      </c>
      <c r="E3069">
        <v>47216</v>
      </c>
      <c r="F3069">
        <v>360</v>
      </c>
      <c r="G3069">
        <v>485</v>
      </c>
      <c r="H3069">
        <f>_xlfn.XLOOKUP(FACT_IMPORTS[[#This Row],[hts_6]],DIM_PRODUCTS[hts_6],DIM_PRODUCTS[hts_4],,,)</f>
        <v>8407</v>
      </c>
      <c r="I3069" t="str" cm="1">
        <f t="array" ref="I3069">_xlfn.XLOOKUP(FACT_IMPORTS[[#This Row],[country_name]],DIM_COUNTRY[[#All],[Column2]],DIM_COUNTRY[[#All],[Column3]],,,)</f>
        <v>China</v>
      </c>
    </row>
    <row r="3070" spans="1:9" x14ac:dyDescent="0.4">
      <c r="A3070" t="s">
        <v>66</v>
      </c>
      <c r="B3070" s="1">
        <v>45231</v>
      </c>
      <c r="C3070">
        <v>840890</v>
      </c>
      <c r="D3070" t="s">
        <v>176</v>
      </c>
      <c r="E3070">
        <v>0</v>
      </c>
      <c r="F3070">
        <v>0</v>
      </c>
      <c r="G3070">
        <v>0</v>
      </c>
      <c r="H3070">
        <f>_xlfn.XLOOKUP(FACT_IMPORTS[[#This Row],[hts_6]],DIM_PRODUCTS[hts_6],DIM_PRODUCTS[hts_4],,,)</f>
        <v>8408</v>
      </c>
      <c r="I3070" t="str" cm="1">
        <f t="array" ref="I3070">_xlfn.XLOOKUP(FACT_IMPORTS[[#This Row],[country_name]],DIM_COUNTRY[[#All],[Column2]],DIM_COUNTRY[[#All],[Column3]],,,)</f>
        <v>China</v>
      </c>
    </row>
    <row r="3071" spans="1:9" x14ac:dyDescent="0.4">
      <c r="A3071" t="s">
        <v>66</v>
      </c>
      <c r="B3071" s="1">
        <v>45231</v>
      </c>
      <c r="C3071">
        <v>840991</v>
      </c>
      <c r="D3071" t="s">
        <v>176</v>
      </c>
      <c r="E3071">
        <v>8087689</v>
      </c>
      <c r="F3071">
        <v>2081256</v>
      </c>
      <c r="G3071">
        <v>518003</v>
      </c>
      <c r="H3071">
        <f>_xlfn.XLOOKUP(FACT_IMPORTS[[#This Row],[hts_6]],DIM_PRODUCTS[hts_6],DIM_PRODUCTS[hts_4],,,)</f>
        <v>8409</v>
      </c>
      <c r="I3071" t="str" cm="1">
        <f t="array" ref="I3071">_xlfn.XLOOKUP(FACT_IMPORTS[[#This Row],[country_name]],DIM_COUNTRY[[#All],[Column2]],DIM_COUNTRY[[#All],[Column3]],,,)</f>
        <v>China</v>
      </c>
    </row>
    <row r="3072" spans="1:9" x14ac:dyDescent="0.4">
      <c r="A3072" t="s">
        <v>66</v>
      </c>
      <c r="B3072" s="1">
        <v>45231</v>
      </c>
      <c r="C3072">
        <v>840999</v>
      </c>
      <c r="D3072" t="s">
        <v>176</v>
      </c>
      <c r="E3072">
        <v>3616157</v>
      </c>
      <c r="F3072">
        <v>528997</v>
      </c>
      <c r="G3072">
        <v>152090</v>
      </c>
      <c r="H3072">
        <f>_xlfn.XLOOKUP(FACT_IMPORTS[[#This Row],[hts_6]],DIM_PRODUCTS[hts_6],DIM_PRODUCTS[hts_4],,,)</f>
        <v>8409</v>
      </c>
      <c r="I3072" t="str" cm="1">
        <f t="array" ref="I3072">_xlfn.XLOOKUP(FACT_IMPORTS[[#This Row],[country_name]],DIM_COUNTRY[[#All],[Column2]],DIM_COUNTRY[[#All],[Column3]],,,)</f>
        <v>China</v>
      </c>
    </row>
    <row r="3073" spans="1:9" x14ac:dyDescent="0.4">
      <c r="A3073" t="s">
        <v>66</v>
      </c>
      <c r="B3073" s="1">
        <v>45231</v>
      </c>
      <c r="C3073">
        <v>841330</v>
      </c>
      <c r="D3073" t="s">
        <v>176</v>
      </c>
      <c r="E3073">
        <v>1263148</v>
      </c>
      <c r="F3073">
        <v>27884</v>
      </c>
      <c r="G3073">
        <v>27008</v>
      </c>
      <c r="H3073">
        <f>_xlfn.XLOOKUP(FACT_IMPORTS[[#This Row],[hts_6]],DIM_PRODUCTS[hts_6],DIM_PRODUCTS[hts_4],,,)</f>
        <v>8413</v>
      </c>
      <c r="I3073" t="str" cm="1">
        <f t="array" ref="I3073">_xlfn.XLOOKUP(FACT_IMPORTS[[#This Row],[country_name]],DIM_COUNTRY[[#All],[Column2]],DIM_COUNTRY[[#All],[Column3]],,,)</f>
        <v>China</v>
      </c>
    </row>
    <row r="3074" spans="1:9" x14ac:dyDescent="0.4">
      <c r="A3074" t="s">
        <v>66</v>
      </c>
      <c r="B3074" s="1">
        <v>45231</v>
      </c>
      <c r="C3074">
        <v>841520</v>
      </c>
      <c r="D3074" t="s">
        <v>176</v>
      </c>
      <c r="E3074">
        <v>25652</v>
      </c>
      <c r="F3074">
        <v>53</v>
      </c>
      <c r="G3074">
        <v>105</v>
      </c>
      <c r="H3074">
        <f>_xlfn.XLOOKUP(FACT_IMPORTS[[#This Row],[hts_6]],DIM_PRODUCTS[hts_6],DIM_PRODUCTS[hts_4],,,)</f>
        <v>8415</v>
      </c>
      <c r="I3074" t="str" cm="1">
        <f t="array" ref="I3074">_xlfn.XLOOKUP(FACT_IMPORTS[[#This Row],[country_name]],DIM_COUNTRY[[#All],[Column2]],DIM_COUNTRY[[#All],[Column3]],,,)</f>
        <v>China</v>
      </c>
    </row>
    <row r="3075" spans="1:9" x14ac:dyDescent="0.4">
      <c r="A3075" t="s">
        <v>66</v>
      </c>
      <c r="B3075" s="1">
        <v>45231</v>
      </c>
      <c r="C3075">
        <v>842132</v>
      </c>
      <c r="D3075" t="s">
        <v>176</v>
      </c>
      <c r="E3075">
        <v>0</v>
      </c>
      <c r="F3075">
        <v>0</v>
      </c>
      <c r="G3075">
        <v>0</v>
      </c>
      <c r="H3075">
        <f>_xlfn.XLOOKUP(FACT_IMPORTS[[#This Row],[hts_6]],DIM_PRODUCTS[hts_6],DIM_PRODUCTS[hts_4],,,)</f>
        <v>8421</v>
      </c>
      <c r="I3075" t="str" cm="1">
        <f t="array" ref="I3075">_xlfn.XLOOKUP(FACT_IMPORTS[[#This Row],[country_name]],DIM_COUNTRY[[#All],[Column2]],DIM_COUNTRY[[#All],[Column3]],,,)</f>
        <v>China</v>
      </c>
    </row>
    <row r="3076" spans="1:9" x14ac:dyDescent="0.4">
      <c r="A3076" t="s">
        <v>66</v>
      </c>
      <c r="B3076" s="1">
        <v>45231</v>
      </c>
      <c r="C3076">
        <v>848210</v>
      </c>
      <c r="D3076" t="s">
        <v>176</v>
      </c>
      <c r="E3076">
        <v>350474</v>
      </c>
      <c r="F3076">
        <v>486581</v>
      </c>
      <c r="G3076">
        <v>11910</v>
      </c>
      <c r="H3076">
        <f>_xlfn.XLOOKUP(FACT_IMPORTS[[#This Row],[hts_6]],DIM_PRODUCTS[hts_6],DIM_PRODUCTS[hts_4],,,)</f>
        <v>8482</v>
      </c>
      <c r="I3076" t="str" cm="1">
        <f t="array" ref="I3076">_xlfn.XLOOKUP(FACT_IMPORTS[[#This Row],[country_name]],DIM_COUNTRY[[#All],[Column2]],DIM_COUNTRY[[#All],[Column3]],,,)</f>
        <v>China</v>
      </c>
    </row>
    <row r="3077" spans="1:9" x14ac:dyDescent="0.4">
      <c r="A3077" t="s">
        <v>66</v>
      </c>
      <c r="B3077" s="1">
        <v>45231</v>
      </c>
      <c r="C3077">
        <v>848220</v>
      </c>
      <c r="D3077" t="s">
        <v>176</v>
      </c>
      <c r="E3077">
        <v>81167</v>
      </c>
      <c r="F3077">
        <v>50952</v>
      </c>
      <c r="G3077">
        <v>5538</v>
      </c>
      <c r="H3077">
        <f>_xlfn.XLOOKUP(FACT_IMPORTS[[#This Row],[hts_6]],DIM_PRODUCTS[hts_6],DIM_PRODUCTS[hts_4],,,)</f>
        <v>8482</v>
      </c>
      <c r="I3077" t="str" cm="1">
        <f t="array" ref="I3077">_xlfn.XLOOKUP(FACT_IMPORTS[[#This Row],[country_name]],DIM_COUNTRY[[#All],[Column2]],DIM_COUNTRY[[#All],[Column3]],,,)</f>
        <v>China</v>
      </c>
    </row>
    <row r="3078" spans="1:9" x14ac:dyDescent="0.4">
      <c r="A3078" t="s">
        <v>66</v>
      </c>
      <c r="B3078" s="1">
        <v>45231</v>
      </c>
      <c r="C3078">
        <v>848310</v>
      </c>
      <c r="D3078" t="s">
        <v>176</v>
      </c>
      <c r="E3078">
        <v>1538194</v>
      </c>
      <c r="F3078">
        <v>105247</v>
      </c>
      <c r="G3078">
        <v>54085</v>
      </c>
      <c r="H3078">
        <f>_xlfn.XLOOKUP(FACT_IMPORTS[[#This Row],[hts_6]],DIM_PRODUCTS[hts_6],DIM_PRODUCTS[hts_4],,,)</f>
        <v>8483</v>
      </c>
      <c r="I3078" t="str" cm="1">
        <f t="array" ref="I3078">_xlfn.XLOOKUP(FACT_IMPORTS[[#This Row],[country_name]],DIM_COUNTRY[[#All],[Column2]],DIM_COUNTRY[[#All],[Column3]],,,)</f>
        <v>China</v>
      </c>
    </row>
    <row r="3079" spans="1:9" x14ac:dyDescent="0.4">
      <c r="A3079" t="s">
        <v>66</v>
      </c>
      <c r="B3079" s="1">
        <v>45231</v>
      </c>
      <c r="C3079">
        <v>850131</v>
      </c>
      <c r="D3079" t="s">
        <v>176</v>
      </c>
      <c r="E3079">
        <v>1692816</v>
      </c>
      <c r="F3079">
        <v>210197</v>
      </c>
      <c r="G3079">
        <v>29210</v>
      </c>
      <c r="H3079">
        <f>_xlfn.XLOOKUP(FACT_IMPORTS[[#This Row],[hts_6]],DIM_PRODUCTS[hts_6],DIM_PRODUCTS[hts_4],,,)</f>
        <v>8501</v>
      </c>
      <c r="I3079" t="str" cm="1">
        <f t="array" ref="I3079">_xlfn.XLOOKUP(FACT_IMPORTS[[#This Row],[country_name]],DIM_COUNTRY[[#All],[Column2]],DIM_COUNTRY[[#All],[Column3]],,,)</f>
        <v>China</v>
      </c>
    </row>
    <row r="3080" spans="1:9" x14ac:dyDescent="0.4">
      <c r="A3080" t="s">
        <v>66</v>
      </c>
      <c r="B3080" s="1">
        <v>45231</v>
      </c>
      <c r="C3080">
        <v>850132</v>
      </c>
      <c r="D3080" t="s">
        <v>176</v>
      </c>
      <c r="E3080">
        <v>89699</v>
      </c>
      <c r="F3080">
        <v>2888</v>
      </c>
      <c r="G3080">
        <v>3646</v>
      </c>
      <c r="H3080">
        <f>_xlfn.XLOOKUP(FACT_IMPORTS[[#This Row],[hts_6]],DIM_PRODUCTS[hts_6],DIM_PRODUCTS[hts_4],,,)</f>
        <v>8501</v>
      </c>
      <c r="I3080" t="str" cm="1">
        <f t="array" ref="I3080">_xlfn.XLOOKUP(FACT_IMPORTS[[#This Row],[country_name]],DIM_COUNTRY[[#All],[Column2]],DIM_COUNTRY[[#All],[Column3]],,,)</f>
        <v>China</v>
      </c>
    </row>
    <row r="3081" spans="1:9" x14ac:dyDescent="0.4">
      <c r="A3081" t="s">
        <v>66</v>
      </c>
      <c r="B3081" s="1">
        <v>45231</v>
      </c>
      <c r="C3081">
        <v>850133</v>
      </c>
      <c r="D3081" t="s">
        <v>176</v>
      </c>
      <c r="E3081">
        <v>0</v>
      </c>
      <c r="F3081">
        <v>0</v>
      </c>
      <c r="G3081">
        <v>0</v>
      </c>
      <c r="H3081">
        <f>_xlfn.XLOOKUP(FACT_IMPORTS[[#This Row],[hts_6]],DIM_PRODUCTS[hts_6],DIM_PRODUCTS[hts_4],,,)</f>
        <v>8501</v>
      </c>
      <c r="I3081" t="str" cm="1">
        <f t="array" ref="I3081">_xlfn.XLOOKUP(FACT_IMPORTS[[#This Row],[country_name]],DIM_COUNTRY[[#All],[Column2]],DIM_COUNTRY[[#All],[Column3]],,,)</f>
        <v>China</v>
      </c>
    </row>
    <row r="3082" spans="1:9" x14ac:dyDescent="0.4">
      <c r="A3082" t="s">
        <v>66</v>
      </c>
      <c r="B3082" s="1">
        <v>45231</v>
      </c>
      <c r="C3082">
        <v>850152</v>
      </c>
      <c r="D3082" t="s">
        <v>176</v>
      </c>
      <c r="E3082">
        <v>240403</v>
      </c>
      <c r="F3082">
        <v>188</v>
      </c>
      <c r="G3082">
        <v>4320</v>
      </c>
      <c r="H3082">
        <f>_xlfn.XLOOKUP(FACT_IMPORTS[[#This Row],[hts_6]],DIM_PRODUCTS[hts_6],DIM_PRODUCTS[hts_4],,,)</f>
        <v>8501</v>
      </c>
      <c r="I3082" t="str" cm="1">
        <f t="array" ref="I3082">_xlfn.XLOOKUP(FACT_IMPORTS[[#This Row],[country_name]],DIM_COUNTRY[[#All],[Column2]],DIM_COUNTRY[[#All],[Column3]],,,)</f>
        <v>China</v>
      </c>
    </row>
    <row r="3083" spans="1:9" x14ac:dyDescent="0.4">
      <c r="A3083" t="s">
        <v>66</v>
      </c>
      <c r="B3083" s="1">
        <v>45231</v>
      </c>
      <c r="C3083">
        <v>850153</v>
      </c>
      <c r="D3083" t="s">
        <v>176</v>
      </c>
      <c r="E3083">
        <v>269403</v>
      </c>
      <c r="F3083">
        <v>137</v>
      </c>
      <c r="G3083">
        <v>303</v>
      </c>
      <c r="H3083">
        <f>_xlfn.XLOOKUP(FACT_IMPORTS[[#This Row],[hts_6]],DIM_PRODUCTS[hts_6],DIM_PRODUCTS[hts_4],,,)</f>
        <v>8501</v>
      </c>
      <c r="I3083" t="str" cm="1">
        <f t="array" ref="I3083">_xlfn.XLOOKUP(FACT_IMPORTS[[#This Row],[country_name]],DIM_COUNTRY[[#All],[Column2]],DIM_COUNTRY[[#All],[Column3]],,,)</f>
        <v>China</v>
      </c>
    </row>
    <row r="3084" spans="1:9" x14ac:dyDescent="0.4">
      <c r="A3084" t="s">
        <v>66</v>
      </c>
      <c r="B3084" s="1">
        <v>45231</v>
      </c>
      <c r="C3084">
        <v>850161</v>
      </c>
      <c r="D3084" t="s">
        <v>176</v>
      </c>
      <c r="E3084">
        <v>0</v>
      </c>
      <c r="F3084">
        <v>0</v>
      </c>
      <c r="G3084">
        <v>0</v>
      </c>
      <c r="H3084">
        <f>_xlfn.XLOOKUP(FACT_IMPORTS[[#This Row],[hts_6]],DIM_PRODUCTS[hts_6],DIM_PRODUCTS[hts_4],,,)</f>
        <v>8501</v>
      </c>
      <c r="I3084" t="str" cm="1">
        <f t="array" ref="I3084">_xlfn.XLOOKUP(FACT_IMPORTS[[#This Row],[country_name]],DIM_COUNTRY[[#All],[Column2]],DIM_COUNTRY[[#All],[Column3]],,,)</f>
        <v>China</v>
      </c>
    </row>
    <row r="3085" spans="1:9" x14ac:dyDescent="0.4">
      <c r="A3085" t="s">
        <v>66</v>
      </c>
      <c r="B3085" s="1">
        <v>45231</v>
      </c>
      <c r="C3085">
        <v>850440</v>
      </c>
      <c r="D3085" t="s">
        <v>176</v>
      </c>
      <c r="E3085">
        <v>984795</v>
      </c>
      <c r="F3085">
        <v>33786</v>
      </c>
      <c r="G3085">
        <v>24588</v>
      </c>
      <c r="H3085">
        <f>_xlfn.XLOOKUP(FACT_IMPORTS[[#This Row],[hts_6]],DIM_PRODUCTS[hts_6],DIM_PRODUCTS[hts_4],,,)</f>
        <v>8504</v>
      </c>
      <c r="I3085" t="str" cm="1">
        <f t="array" ref="I3085">_xlfn.XLOOKUP(FACT_IMPORTS[[#This Row],[country_name]],DIM_COUNTRY[[#All],[Column2]],DIM_COUNTRY[[#All],[Column3]],,,)</f>
        <v>China</v>
      </c>
    </row>
    <row r="3086" spans="1:9" x14ac:dyDescent="0.4">
      <c r="A3086" t="s">
        <v>66</v>
      </c>
      <c r="B3086" s="1">
        <v>45231</v>
      </c>
      <c r="C3086">
        <v>850710</v>
      </c>
      <c r="D3086" t="s">
        <v>176</v>
      </c>
      <c r="E3086">
        <v>3039</v>
      </c>
      <c r="F3086">
        <v>110</v>
      </c>
      <c r="G3086">
        <v>364</v>
      </c>
      <c r="H3086">
        <f>_xlfn.XLOOKUP(FACT_IMPORTS[[#This Row],[hts_6]],DIM_PRODUCTS[hts_6],DIM_PRODUCTS[hts_4],,,)</f>
        <v>8507</v>
      </c>
      <c r="I3086" t="str" cm="1">
        <f t="array" ref="I3086">_xlfn.XLOOKUP(FACT_IMPORTS[[#This Row],[country_name]],DIM_COUNTRY[[#All],[Column2]],DIM_COUNTRY[[#All],[Column3]],,,)</f>
        <v>China</v>
      </c>
    </row>
    <row r="3087" spans="1:9" x14ac:dyDescent="0.4">
      <c r="A3087" t="s">
        <v>66</v>
      </c>
      <c r="B3087" s="1">
        <v>45231</v>
      </c>
      <c r="C3087">
        <v>850760</v>
      </c>
      <c r="D3087" t="s">
        <v>176</v>
      </c>
      <c r="E3087">
        <v>1041848</v>
      </c>
      <c r="F3087">
        <v>15556</v>
      </c>
      <c r="G3087">
        <v>14316</v>
      </c>
      <c r="H3087">
        <f>_xlfn.XLOOKUP(FACT_IMPORTS[[#This Row],[hts_6]],DIM_PRODUCTS[hts_6],DIM_PRODUCTS[hts_4],,,)</f>
        <v>8507</v>
      </c>
      <c r="I3087" t="str" cm="1">
        <f t="array" ref="I3087">_xlfn.XLOOKUP(FACT_IMPORTS[[#This Row],[country_name]],DIM_COUNTRY[[#All],[Column2]],DIM_COUNTRY[[#All],[Column3]],,,)</f>
        <v>China</v>
      </c>
    </row>
    <row r="3088" spans="1:9" x14ac:dyDescent="0.4">
      <c r="A3088" t="s">
        <v>66</v>
      </c>
      <c r="B3088" s="1">
        <v>45231</v>
      </c>
      <c r="C3088">
        <v>850790</v>
      </c>
      <c r="D3088" t="s">
        <v>176</v>
      </c>
      <c r="E3088">
        <v>753269</v>
      </c>
      <c r="F3088">
        <v>138704</v>
      </c>
      <c r="G3088">
        <v>25914</v>
      </c>
      <c r="H3088">
        <f>_xlfn.XLOOKUP(FACT_IMPORTS[[#This Row],[hts_6]],DIM_PRODUCTS[hts_6],DIM_PRODUCTS[hts_4],,,)</f>
        <v>8507</v>
      </c>
      <c r="I3088" t="str" cm="1">
        <f t="array" ref="I3088">_xlfn.XLOOKUP(FACT_IMPORTS[[#This Row],[country_name]],DIM_COUNTRY[[#All],[Column2]],DIM_COUNTRY[[#All],[Column3]],,,)</f>
        <v>China</v>
      </c>
    </row>
    <row r="3089" spans="1:9" x14ac:dyDescent="0.4">
      <c r="A3089" t="s">
        <v>66</v>
      </c>
      <c r="B3089" s="1">
        <v>45231</v>
      </c>
      <c r="C3089">
        <v>851110</v>
      </c>
      <c r="D3089" t="s">
        <v>176</v>
      </c>
      <c r="E3089">
        <v>0</v>
      </c>
      <c r="F3089">
        <v>0</v>
      </c>
      <c r="G3089">
        <v>0</v>
      </c>
      <c r="H3089">
        <f>_xlfn.XLOOKUP(FACT_IMPORTS[[#This Row],[hts_6]],DIM_PRODUCTS[hts_6],DIM_PRODUCTS[hts_4],,,)</f>
        <v>8511</v>
      </c>
      <c r="I3089" t="str" cm="1">
        <f t="array" ref="I3089">_xlfn.XLOOKUP(FACT_IMPORTS[[#This Row],[country_name]],DIM_COUNTRY[[#All],[Column2]],DIM_COUNTRY[[#All],[Column3]],,,)</f>
        <v>China</v>
      </c>
    </row>
    <row r="3090" spans="1:9" x14ac:dyDescent="0.4">
      <c r="A3090" t="s">
        <v>66</v>
      </c>
      <c r="B3090" s="1">
        <v>45231</v>
      </c>
      <c r="C3090">
        <v>851130</v>
      </c>
      <c r="D3090" t="s">
        <v>176</v>
      </c>
      <c r="E3090">
        <v>9492</v>
      </c>
      <c r="F3090">
        <v>3818</v>
      </c>
      <c r="G3090">
        <v>198</v>
      </c>
      <c r="H3090">
        <f>_xlfn.XLOOKUP(FACT_IMPORTS[[#This Row],[hts_6]],DIM_PRODUCTS[hts_6],DIM_PRODUCTS[hts_4],,,)</f>
        <v>8511</v>
      </c>
      <c r="I3090" t="str" cm="1">
        <f t="array" ref="I3090">_xlfn.XLOOKUP(FACT_IMPORTS[[#This Row],[country_name]],DIM_COUNTRY[[#All],[Column2]],DIM_COUNTRY[[#All],[Column3]],,,)</f>
        <v>China</v>
      </c>
    </row>
    <row r="3091" spans="1:9" x14ac:dyDescent="0.4">
      <c r="A3091" t="s">
        <v>66</v>
      </c>
      <c r="B3091" s="1">
        <v>45231</v>
      </c>
      <c r="C3091">
        <v>851140</v>
      </c>
      <c r="D3091" t="s">
        <v>176</v>
      </c>
      <c r="E3091">
        <v>172808</v>
      </c>
      <c r="F3091">
        <v>1937</v>
      </c>
      <c r="G3091">
        <v>601</v>
      </c>
      <c r="H3091">
        <f>_xlfn.XLOOKUP(FACT_IMPORTS[[#This Row],[hts_6]],DIM_PRODUCTS[hts_6],DIM_PRODUCTS[hts_4],,,)</f>
        <v>8511</v>
      </c>
      <c r="I3091" t="str" cm="1">
        <f t="array" ref="I3091">_xlfn.XLOOKUP(FACT_IMPORTS[[#This Row],[country_name]],DIM_COUNTRY[[#All],[Column2]],DIM_COUNTRY[[#All],[Column3]],,,)</f>
        <v>China</v>
      </c>
    </row>
    <row r="3092" spans="1:9" x14ac:dyDescent="0.4">
      <c r="A3092" t="s">
        <v>66</v>
      </c>
      <c r="B3092" s="1">
        <v>45231</v>
      </c>
      <c r="C3092">
        <v>851150</v>
      </c>
      <c r="D3092" t="s">
        <v>176</v>
      </c>
      <c r="E3092">
        <v>82350</v>
      </c>
      <c r="F3092">
        <v>975</v>
      </c>
      <c r="G3092">
        <v>1515</v>
      </c>
      <c r="H3092">
        <f>_xlfn.XLOOKUP(FACT_IMPORTS[[#This Row],[hts_6]],DIM_PRODUCTS[hts_6],DIM_PRODUCTS[hts_4],,,)</f>
        <v>8511</v>
      </c>
      <c r="I3092" t="str" cm="1">
        <f t="array" ref="I3092">_xlfn.XLOOKUP(FACT_IMPORTS[[#This Row],[country_name]],DIM_COUNTRY[[#All],[Column2]],DIM_COUNTRY[[#All],[Column3]],,,)</f>
        <v>China</v>
      </c>
    </row>
    <row r="3093" spans="1:9" x14ac:dyDescent="0.4">
      <c r="A3093" t="s">
        <v>66</v>
      </c>
      <c r="B3093" s="1">
        <v>45231</v>
      </c>
      <c r="C3093">
        <v>851180</v>
      </c>
      <c r="D3093" t="s">
        <v>176</v>
      </c>
      <c r="E3093">
        <v>2320</v>
      </c>
      <c r="F3093">
        <v>80</v>
      </c>
      <c r="G3093">
        <v>7</v>
      </c>
      <c r="H3093">
        <f>_xlfn.XLOOKUP(FACT_IMPORTS[[#This Row],[hts_6]],DIM_PRODUCTS[hts_6],DIM_PRODUCTS[hts_4],,,)</f>
        <v>8511</v>
      </c>
      <c r="I3093" t="str" cm="1">
        <f t="array" ref="I3093">_xlfn.XLOOKUP(FACT_IMPORTS[[#This Row],[country_name]],DIM_COUNTRY[[#All],[Column2]],DIM_COUNTRY[[#All],[Column3]],,,)</f>
        <v>China</v>
      </c>
    </row>
    <row r="3094" spans="1:9" x14ac:dyDescent="0.4">
      <c r="A3094" t="s">
        <v>66</v>
      </c>
      <c r="B3094" s="1">
        <v>45231</v>
      </c>
      <c r="C3094">
        <v>851190</v>
      </c>
      <c r="D3094" t="s">
        <v>176</v>
      </c>
      <c r="E3094">
        <v>67518</v>
      </c>
      <c r="F3094">
        <v>3897</v>
      </c>
      <c r="G3094">
        <v>4592</v>
      </c>
      <c r="H3094">
        <f>_xlfn.XLOOKUP(FACT_IMPORTS[[#This Row],[hts_6]],DIM_PRODUCTS[hts_6],DIM_PRODUCTS[hts_4],,,)</f>
        <v>8511</v>
      </c>
      <c r="I3094" t="str" cm="1">
        <f t="array" ref="I3094">_xlfn.XLOOKUP(FACT_IMPORTS[[#This Row],[country_name]],DIM_COUNTRY[[#All],[Column2]],DIM_COUNTRY[[#All],[Column3]],,,)</f>
        <v>China</v>
      </c>
    </row>
    <row r="3095" spans="1:9" x14ac:dyDescent="0.4">
      <c r="A3095" t="s">
        <v>66</v>
      </c>
      <c r="B3095" s="1">
        <v>45231</v>
      </c>
      <c r="C3095">
        <v>851220</v>
      </c>
      <c r="D3095" t="s">
        <v>176</v>
      </c>
      <c r="E3095">
        <v>3187501</v>
      </c>
      <c r="F3095">
        <v>780727</v>
      </c>
      <c r="G3095">
        <v>132871</v>
      </c>
      <c r="H3095">
        <f>_xlfn.XLOOKUP(FACT_IMPORTS[[#This Row],[hts_6]],DIM_PRODUCTS[hts_6],DIM_PRODUCTS[hts_4],,,)</f>
        <v>8512</v>
      </c>
      <c r="I3095" t="str" cm="1">
        <f t="array" ref="I3095">_xlfn.XLOOKUP(FACT_IMPORTS[[#This Row],[country_name]],DIM_COUNTRY[[#All],[Column2]],DIM_COUNTRY[[#All],[Column3]],,,)</f>
        <v>China</v>
      </c>
    </row>
    <row r="3096" spans="1:9" x14ac:dyDescent="0.4">
      <c r="A3096" t="s">
        <v>66</v>
      </c>
      <c r="B3096" s="1">
        <v>45231</v>
      </c>
      <c r="C3096">
        <v>851230</v>
      </c>
      <c r="D3096" t="s">
        <v>176</v>
      </c>
      <c r="E3096">
        <v>0</v>
      </c>
      <c r="F3096">
        <v>0</v>
      </c>
      <c r="G3096">
        <v>0</v>
      </c>
      <c r="H3096">
        <f>_xlfn.XLOOKUP(FACT_IMPORTS[[#This Row],[hts_6]],DIM_PRODUCTS[hts_6],DIM_PRODUCTS[hts_4],,,)</f>
        <v>8512</v>
      </c>
      <c r="I3096" t="str" cm="1">
        <f t="array" ref="I3096">_xlfn.XLOOKUP(FACT_IMPORTS[[#This Row],[country_name]],DIM_COUNTRY[[#All],[Column2]],DIM_COUNTRY[[#All],[Column3]],,,)</f>
        <v>China</v>
      </c>
    </row>
    <row r="3097" spans="1:9" x14ac:dyDescent="0.4">
      <c r="A3097" t="s">
        <v>66</v>
      </c>
      <c r="B3097" s="1">
        <v>45231</v>
      </c>
      <c r="C3097">
        <v>851240</v>
      </c>
      <c r="D3097" t="s">
        <v>176</v>
      </c>
      <c r="E3097">
        <v>32975</v>
      </c>
      <c r="F3097">
        <v>709</v>
      </c>
      <c r="G3097">
        <v>30</v>
      </c>
      <c r="H3097">
        <f>_xlfn.XLOOKUP(FACT_IMPORTS[[#This Row],[hts_6]],DIM_PRODUCTS[hts_6],DIM_PRODUCTS[hts_4],,,)</f>
        <v>8512</v>
      </c>
      <c r="I3097" t="str" cm="1">
        <f t="array" ref="I3097">_xlfn.XLOOKUP(FACT_IMPORTS[[#This Row],[country_name]],DIM_COUNTRY[[#All],[Column2]],DIM_COUNTRY[[#All],[Column3]],,,)</f>
        <v>China</v>
      </c>
    </row>
    <row r="3098" spans="1:9" x14ac:dyDescent="0.4">
      <c r="A3098" t="s">
        <v>66</v>
      </c>
      <c r="B3098" s="1">
        <v>45231</v>
      </c>
      <c r="C3098">
        <v>851290</v>
      </c>
      <c r="D3098" t="s">
        <v>176</v>
      </c>
      <c r="E3098">
        <v>491550</v>
      </c>
      <c r="F3098">
        <v>4814</v>
      </c>
      <c r="G3098">
        <v>8509</v>
      </c>
      <c r="H3098">
        <f>_xlfn.XLOOKUP(FACT_IMPORTS[[#This Row],[hts_6]],DIM_PRODUCTS[hts_6],DIM_PRODUCTS[hts_4],,,)</f>
        <v>8512</v>
      </c>
      <c r="I3098" t="str" cm="1">
        <f t="array" ref="I3098">_xlfn.XLOOKUP(FACT_IMPORTS[[#This Row],[country_name]],DIM_COUNTRY[[#All],[Column2]],DIM_COUNTRY[[#All],[Column3]],,,)</f>
        <v>China</v>
      </c>
    </row>
    <row r="3099" spans="1:9" x14ac:dyDescent="0.4">
      <c r="A3099" t="s">
        <v>66</v>
      </c>
      <c r="B3099" s="1">
        <v>45231</v>
      </c>
      <c r="C3099">
        <v>854231</v>
      </c>
      <c r="D3099" t="s">
        <v>176</v>
      </c>
      <c r="E3099">
        <v>184596</v>
      </c>
      <c r="F3099">
        <v>55098</v>
      </c>
      <c r="G3099">
        <v>1832</v>
      </c>
      <c r="H3099">
        <f>_xlfn.XLOOKUP(FACT_IMPORTS[[#This Row],[hts_6]],DIM_PRODUCTS[hts_6],DIM_PRODUCTS[hts_4],,,)</f>
        <v>8542</v>
      </c>
      <c r="I3099" t="str" cm="1">
        <f t="array" ref="I3099">_xlfn.XLOOKUP(FACT_IMPORTS[[#This Row],[country_name]],DIM_COUNTRY[[#All],[Column2]],DIM_COUNTRY[[#All],[Column3]],,,)</f>
        <v>China</v>
      </c>
    </row>
    <row r="3100" spans="1:9" x14ac:dyDescent="0.4">
      <c r="A3100" t="s">
        <v>66</v>
      </c>
      <c r="B3100" s="1">
        <v>45231</v>
      </c>
      <c r="C3100">
        <v>854232</v>
      </c>
      <c r="D3100" t="s">
        <v>176</v>
      </c>
      <c r="E3100">
        <v>0</v>
      </c>
      <c r="F3100">
        <v>0</v>
      </c>
      <c r="G3100">
        <v>0</v>
      </c>
      <c r="H3100">
        <f>_xlfn.XLOOKUP(FACT_IMPORTS[[#This Row],[hts_6]],DIM_PRODUCTS[hts_6],DIM_PRODUCTS[hts_4],,,)</f>
        <v>8542</v>
      </c>
      <c r="I3100" t="str" cm="1">
        <f t="array" ref="I3100">_xlfn.XLOOKUP(FACT_IMPORTS[[#This Row],[country_name]],DIM_COUNTRY[[#All],[Column2]],DIM_COUNTRY[[#All],[Column3]],,,)</f>
        <v>China</v>
      </c>
    </row>
    <row r="3101" spans="1:9" x14ac:dyDescent="0.4">
      <c r="A3101" t="s">
        <v>66</v>
      </c>
      <c r="B3101" s="1">
        <v>45231</v>
      </c>
      <c r="C3101">
        <v>854233</v>
      </c>
      <c r="D3101" t="s">
        <v>176</v>
      </c>
      <c r="E3101">
        <v>0</v>
      </c>
      <c r="F3101">
        <v>0</v>
      </c>
      <c r="G3101">
        <v>0</v>
      </c>
      <c r="H3101">
        <f>_xlfn.XLOOKUP(FACT_IMPORTS[[#This Row],[hts_6]],DIM_PRODUCTS[hts_6],DIM_PRODUCTS[hts_4],,,)</f>
        <v>8542</v>
      </c>
      <c r="I3101" t="str" cm="1">
        <f t="array" ref="I3101">_xlfn.XLOOKUP(FACT_IMPORTS[[#This Row],[country_name]],DIM_COUNTRY[[#All],[Column2]],DIM_COUNTRY[[#All],[Column3]],,,)</f>
        <v>China</v>
      </c>
    </row>
    <row r="3102" spans="1:9" x14ac:dyDescent="0.4">
      <c r="A3102" t="s">
        <v>66</v>
      </c>
      <c r="B3102" s="1">
        <v>45231</v>
      </c>
      <c r="C3102">
        <v>854239</v>
      </c>
      <c r="D3102" t="s">
        <v>176</v>
      </c>
      <c r="E3102">
        <v>297006</v>
      </c>
      <c r="F3102">
        <v>174300</v>
      </c>
      <c r="G3102">
        <v>25677</v>
      </c>
      <c r="H3102">
        <f>_xlfn.XLOOKUP(FACT_IMPORTS[[#This Row],[hts_6]],DIM_PRODUCTS[hts_6],DIM_PRODUCTS[hts_4],,,)</f>
        <v>8542</v>
      </c>
      <c r="I3102" t="str" cm="1">
        <f t="array" ref="I3102">_xlfn.XLOOKUP(FACT_IMPORTS[[#This Row],[country_name]],DIM_COUNTRY[[#All],[Column2]],DIM_COUNTRY[[#All],[Column3]],,,)</f>
        <v>China</v>
      </c>
    </row>
    <row r="3103" spans="1:9" x14ac:dyDescent="0.4">
      <c r="A3103" t="s">
        <v>66</v>
      </c>
      <c r="B3103" s="1">
        <v>45231</v>
      </c>
      <c r="C3103">
        <v>854290</v>
      </c>
      <c r="D3103" t="s">
        <v>176</v>
      </c>
      <c r="E3103">
        <v>0</v>
      </c>
      <c r="F3103">
        <v>0</v>
      </c>
      <c r="G3103">
        <v>0</v>
      </c>
      <c r="H3103">
        <f>_xlfn.XLOOKUP(FACT_IMPORTS[[#This Row],[hts_6]],DIM_PRODUCTS[hts_6],DIM_PRODUCTS[hts_4],,,)</f>
        <v>8542</v>
      </c>
      <c r="I3103" t="str" cm="1">
        <f t="array" ref="I3103">_xlfn.XLOOKUP(FACT_IMPORTS[[#This Row],[country_name]],DIM_COUNTRY[[#All],[Column2]],DIM_COUNTRY[[#All],[Column3]],,,)</f>
        <v>China</v>
      </c>
    </row>
    <row r="3104" spans="1:9" x14ac:dyDescent="0.4">
      <c r="A3104" t="s">
        <v>66</v>
      </c>
      <c r="B3104" s="1">
        <v>45231</v>
      </c>
      <c r="C3104">
        <v>854430</v>
      </c>
      <c r="D3104" t="s">
        <v>176</v>
      </c>
      <c r="E3104">
        <v>856734</v>
      </c>
      <c r="F3104">
        <v>109402</v>
      </c>
      <c r="G3104">
        <v>2328</v>
      </c>
      <c r="H3104">
        <f>_xlfn.XLOOKUP(FACT_IMPORTS[[#This Row],[hts_6]],DIM_PRODUCTS[hts_6],DIM_PRODUCTS[hts_4],,,)</f>
        <v>8544</v>
      </c>
      <c r="I3104" t="str" cm="1">
        <f t="array" ref="I3104">_xlfn.XLOOKUP(FACT_IMPORTS[[#This Row],[country_name]],DIM_COUNTRY[[#All],[Column2]],DIM_COUNTRY[[#All],[Column3]],,,)</f>
        <v>China</v>
      </c>
    </row>
    <row r="3105" spans="1:9" x14ac:dyDescent="0.4">
      <c r="A3105" t="s">
        <v>66</v>
      </c>
      <c r="B3105" s="1">
        <v>45231</v>
      </c>
      <c r="C3105">
        <v>870790</v>
      </c>
      <c r="D3105" t="s">
        <v>176</v>
      </c>
      <c r="E3105">
        <v>5364</v>
      </c>
      <c r="F3105">
        <v>11</v>
      </c>
      <c r="G3105">
        <v>200</v>
      </c>
      <c r="H3105">
        <f>_xlfn.XLOOKUP(FACT_IMPORTS[[#This Row],[hts_6]],DIM_PRODUCTS[hts_6],DIM_PRODUCTS[hts_4],,,)</f>
        <v>8707</v>
      </c>
      <c r="I3105" t="str" cm="1">
        <f t="array" ref="I3105">_xlfn.XLOOKUP(FACT_IMPORTS[[#This Row],[country_name]],DIM_COUNTRY[[#All],[Column2]],DIM_COUNTRY[[#All],[Column3]],,,)</f>
        <v>China</v>
      </c>
    </row>
    <row r="3106" spans="1:9" x14ac:dyDescent="0.4">
      <c r="A3106" t="s">
        <v>66</v>
      </c>
      <c r="B3106" s="1">
        <v>45231</v>
      </c>
      <c r="C3106">
        <v>870810</v>
      </c>
      <c r="D3106" t="s">
        <v>176</v>
      </c>
      <c r="E3106">
        <v>474397</v>
      </c>
      <c r="F3106">
        <v>13270</v>
      </c>
      <c r="G3106">
        <v>29619</v>
      </c>
      <c r="H3106">
        <f>_xlfn.XLOOKUP(FACT_IMPORTS[[#This Row],[hts_6]],DIM_PRODUCTS[hts_6],DIM_PRODUCTS[hts_4],,,)</f>
        <v>8708</v>
      </c>
      <c r="I3106" t="str" cm="1">
        <f t="array" ref="I3106">_xlfn.XLOOKUP(FACT_IMPORTS[[#This Row],[country_name]],DIM_COUNTRY[[#All],[Column2]],DIM_COUNTRY[[#All],[Column3]],,,)</f>
        <v>China</v>
      </c>
    </row>
    <row r="3107" spans="1:9" x14ac:dyDescent="0.4">
      <c r="A3107" t="s">
        <v>66</v>
      </c>
      <c r="B3107" s="1">
        <v>45231</v>
      </c>
      <c r="C3107">
        <v>870821</v>
      </c>
      <c r="D3107" t="s">
        <v>176</v>
      </c>
      <c r="E3107">
        <v>45019</v>
      </c>
      <c r="F3107">
        <v>4857</v>
      </c>
      <c r="G3107">
        <v>1962</v>
      </c>
      <c r="H3107">
        <f>_xlfn.XLOOKUP(FACT_IMPORTS[[#This Row],[hts_6]],DIM_PRODUCTS[hts_6],DIM_PRODUCTS[hts_4],,,)</f>
        <v>8708</v>
      </c>
      <c r="I3107" t="str" cm="1">
        <f t="array" ref="I3107">_xlfn.XLOOKUP(FACT_IMPORTS[[#This Row],[country_name]],DIM_COUNTRY[[#All],[Column2]],DIM_COUNTRY[[#All],[Column3]],,,)</f>
        <v>China</v>
      </c>
    </row>
    <row r="3108" spans="1:9" x14ac:dyDescent="0.4">
      <c r="A3108" t="s">
        <v>66</v>
      </c>
      <c r="B3108" s="1">
        <v>45231</v>
      </c>
      <c r="C3108">
        <v>870822</v>
      </c>
      <c r="D3108" t="s">
        <v>176</v>
      </c>
      <c r="E3108">
        <v>686178</v>
      </c>
      <c r="F3108">
        <v>83024</v>
      </c>
      <c r="G3108">
        <v>40807</v>
      </c>
      <c r="H3108">
        <f>_xlfn.XLOOKUP(FACT_IMPORTS[[#This Row],[hts_6]],DIM_PRODUCTS[hts_6],DIM_PRODUCTS[hts_4],,,)</f>
        <v>8708</v>
      </c>
      <c r="I3108" t="str" cm="1">
        <f t="array" ref="I3108">_xlfn.XLOOKUP(FACT_IMPORTS[[#This Row],[country_name]],DIM_COUNTRY[[#All],[Column2]],DIM_COUNTRY[[#All],[Column3]],,,)</f>
        <v>China</v>
      </c>
    </row>
    <row r="3109" spans="1:9" x14ac:dyDescent="0.4">
      <c r="A3109" t="s">
        <v>66</v>
      </c>
      <c r="B3109" s="1">
        <v>45231</v>
      </c>
      <c r="C3109">
        <v>870829</v>
      </c>
      <c r="D3109" t="s">
        <v>176</v>
      </c>
      <c r="E3109">
        <v>18952586</v>
      </c>
      <c r="F3109">
        <v>2930915</v>
      </c>
      <c r="G3109">
        <v>566356</v>
      </c>
      <c r="H3109">
        <f>_xlfn.XLOOKUP(FACT_IMPORTS[[#This Row],[hts_6]],DIM_PRODUCTS[hts_6],DIM_PRODUCTS[hts_4],,,)</f>
        <v>8708</v>
      </c>
      <c r="I3109" t="str" cm="1">
        <f t="array" ref="I3109">_xlfn.XLOOKUP(FACT_IMPORTS[[#This Row],[country_name]],DIM_COUNTRY[[#All],[Column2]],DIM_COUNTRY[[#All],[Column3]],,,)</f>
        <v>China</v>
      </c>
    </row>
    <row r="3110" spans="1:9" x14ac:dyDescent="0.4">
      <c r="A3110" t="s">
        <v>66</v>
      </c>
      <c r="B3110" s="1">
        <v>45231</v>
      </c>
      <c r="C3110">
        <v>870830</v>
      </c>
      <c r="D3110" t="s">
        <v>176</v>
      </c>
      <c r="E3110">
        <v>6129554</v>
      </c>
      <c r="F3110">
        <v>525770</v>
      </c>
      <c r="G3110">
        <v>141553</v>
      </c>
      <c r="H3110">
        <f>_xlfn.XLOOKUP(FACT_IMPORTS[[#This Row],[hts_6]],DIM_PRODUCTS[hts_6],DIM_PRODUCTS[hts_4],,,)</f>
        <v>8708</v>
      </c>
      <c r="I3110" t="str" cm="1">
        <f t="array" ref="I3110">_xlfn.XLOOKUP(FACT_IMPORTS[[#This Row],[country_name]],DIM_COUNTRY[[#All],[Column2]],DIM_COUNTRY[[#All],[Column3]],,,)</f>
        <v>China</v>
      </c>
    </row>
    <row r="3111" spans="1:9" x14ac:dyDescent="0.4">
      <c r="A3111" t="s">
        <v>66</v>
      </c>
      <c r="B3111" s="1">
        <v>45231</v>
      </c>
      <c r="C3111">
        <v>870840</v>
      </c>
      <c r="D3111" t="s">
        <v>176</v>
      </c>
      <c r="E3111">
        <v>3957737</v>
      </c>
      <c r="F3111">
        <v>439010</v>
      </c>
      <c r="G3111">
        <v>66312</v>
      </c>
      <c r="H3111">
        <f>_xlfn.XLOOKUP(FACT_IMPORTS[[#This Row],[hts_6]],DIM_PRODUCTS[hts_6],DIM_PRODUCTS[hts_4],,,)</f>
        <v>8708</v>
      </c>
      <c r="I3111" t="str" cm="1">
        <f t="array" ref="I3111">_xlfn.XLOOKUP(FACT_IMPORTS[[#This Row],[country_name]],DIM_COUNTRY[[#All],[Column2]],DIM_COUNTRY[[#All],[Column3]],,,)</f>
        <v>China</v>
      </c>
    </row>
    <row r="3112" spans="1:9" x14ac:dyDescent="0.4">
      <c r="A3112" t="s">
        <v>66</v>
      </c>
      <c r="B3112" s="1">
        <v>45231</v>
      </c>
      <c r="C3112">
        <v>870850</v>
      </c>
      <c r="D3112" t="s">
        <v>176</v>
      </c>
      <c r="E3112">
        <v>1967123</v>
      </c>
      <c r="F3112">
        <v>362568</v>
      </c>
      <c r="G3112">
        <v>47183</v>
      </c>
      <c r="H3112">
        <f>_xlfn.XLOOKUP(FACT_IMPORTS[[#This Row],[hts_6]],DIM_PRODUCTS[hts_6],DIM_PRODUCTS[hts_4],,,)</f>
        <v>8708</v>
      </c>
      <c r="I3112" t="str" cm="1">
        <f t="array" ref="I3112">_xlfn.XLOOKUP(FACT_IMPORTS[[#This Row],[country_name]],DIM_COUNTRY[[#All],[Column2]],DIM_COUNTRY[[#All],[Column3]],,,)</f>
        <v>China</v>
      </c>
    </row>
    <row r="3113" spans="1:9" x14ac:dyDescent="0.4">
      <c r="A3113" t="s">
        <v>66</v>
      </c>
      <c r="B3113" s="1">
        <v>45231</v>
      </c>
      <c r="C3113">
        <v>870870</v>
      </c>
      <c r="D3113" t="s">
        <v>176</v>
      </c>
      <c r="E3113">
        <v>43745524</v>
      </c>
      <c r="F3113">
        <v>1087054</v>
      </c>
      <c r="G3113">
        <v>1482983</v>
      </c>
      <c r="H3113">
        <f>_xlfn.XLOOKUP(FACT_IMPORTS[[#This Row],[hts_6]],DIM_PRODUCTS[hts_6],DIM_PRODUCTS[hts_4],,,)</f>
        <v>8708</v>
      </c>
      <c r="I3113" t="str" cm="1">
        <f t="array" ref="I3113">_xlfn.XLOOKUP(FACT_IMPORTS[[#This Row],[country_name]],DIM_COUNTRY[[#All],[Column2]],DIM_COUNTRY[[#All],[Column3]],,,)</f>
        <v>China</v>
      </c>
    </row>
    <row r="3114" spans="1:9" x14ac:dyDescent="0.4">
      <c r="A3114" t="s">
        <v>66</v>
      </c>
      <c r="B3114" s="1">
        <v>45231</v>
      </c>
      <c r="C3114">
        <v>870880</v>
      </c>
      <c r="D3114" t="s">
        <v>176</v>
      </c>
      <c r="E3114">
        <v>10899993</v>
      </c>
      <c r="F3114">
        <v>1317065</v>
      </c>
      <c r="G3114">
        <v>196838</v>
      </c>
      <c r="H3114">
        <f>_xlfn.XLOOKUP(FACT_IMPORTS[[#This Row],[hts_6]],DIM_PRODUCTS[hts_6],DIM_PRODUCTS[hts_4],,,)</f>
        <v>8708</v>
      </c>
      <c r="I3114" t="str" cm="1">
        <f t="array" ref="I3114">_xlfn.XLOOKUP(FACT_IMPORTS[[#This Row],[country_name]],DIM_COUNTRY[[#All],[Column2]],DIM_COUNTRY[[#All],[Column3]],,,)</f>
        <v>China</v>
      </c>
    </row>
    <row r="3115" spans="1:9" x14ac:dyDescent="0.4">
      <c r="A3115" t="s">
        <v>66</v>
      </c>
      <c r="B3115" s="1">
        <v>45231</v>
      </c>
      <c r="C3115">
        <v>870891</v>
      </c>
      <c r="D3115" t="s">
        <v>176</v>
      </c>
      <c r="E3115">
        <v>154696</v>
      </c>
      <c r="F3115">
        <v>3086</v>
      </c>
      <c r="G3115">
        <v>6690</v>
      </c>
      <c r="H3115">
        <f>_xlfn.XLOOKUP(FACT_IMPORTS[[#This Row],[hts_6]],DIM_PRODUCTS[hts_6],DIM_PRODUCTS[hts_4],,,)</f>
        <v>8708</v>
      </c>
      <c r="I3115" t="str" cm="1">
        <f t="array" ref="I3115">_xlfn.XLOOKUP(FACT_IMPORTS[[#This Row],[country_name]],DIM_COUNTRY[[#All],[Column2]],DIM_COUNTRY[[#All],[Column3]],,,)</f>
        <v>China</v>
      </c>
    </row>
    <row r="3116" spans="1:9" x14ac:dyDescent="0.4">
      <c r="A3116" t="s">
        <v>66</v>
      </c>
      <c r="B3116" s="1">
        <v>45231</v>
      </c>
      <c r="C3116">
        <v>870892</v>
      </c>
      <c r="D3116" t="s">
        <v>176</v>
      </c>
      <c r="E3116">
        <v>6631218</v>
      </c>
      <c r="F3116">
        <v>1012567</v>
      </c>
      <c r="G3116">
        <v>299036</v>
      </c>
      <c r="H3116">
        <f>_xlfn.XLOOKUP(FACT_IMPORTS[[#This Row],[hts_6]],DIM_PRODUCTS[hts_6],DIM_PRODUCTS[hts_4],,,)</f>
        <v>8708</v>
      </c>
      <c r="I3116" t="str" cm="1">
        <f t="array" ref="I3116">_xlfn.XLOOKUP(FACT_IMPORTS[[#This Row],[country_name]],DIM_COUNTRY[[#All],[Column2]],DIM_COUNTRY[[#All],[Column3]],,,)</f>
        <v>China</v>
      </c>
    </row>
    <row r="3117" spans="1:9" x14ac:dyDescent="0.4">
      <c r="A3117" t="s">
        <v>66</v>
      </c>
      <c r="B3117" s="1">
        <v>45231</v>
      </c>
      <c r="C3117">
        <v>870893</v>
      </c>
      <c r="D3117" t="s">
        <v>176</v>
      </c>
      <c r="E3117">
        <v>208089</v>
      </c>
      <c r="F3117">
        <v>63336</v>
      </c>
      <c r="G3117">
        <v>931</v>
      </c>
      <c r="H3117">
        <f>_xlfn.XLOOKUP(FACT_IMPORTS[[#This Row],[hts_6]],DIM_PRODUCTS[hts_6],DIM_PRODUCTS[hts_4],,,)</f>
        <v>8708</v>
      </c>
      <c r="I3117" t="str" cm="1">
        <f t="array" ref="I3117">_xlfn.XLOOKUP(FACT_IMPORTS[[#This Row],[country_name]],DIM_COUNTRY[[#All],[Column2]],DIM_COUNTRY[[#All],[Column3]],,,)</f>
        <v>China</v>
      </c>
    </row>
    <row r="3118" spans="1:9" x14ac:dyDescent="0.4">
      <c r="A3118" t="s">
        <v>66</v>
      </c>
      <c r="B3118" s="1">
        <v>45231</v>
      </c>
      <c r="C3118">
        <v>870894</v>
      </c>
      <c r="D3118" t="s">
        <v>176</v>
      </c>
      <c r="E3118">
        <v>3658698</v>
      </c>
      <c r="F3118">
        <v>287828</v>
      </c>
      <c r="G3118">
        <v>557501</v>
      </c>
      <c r="H3118">
        <f>_xlfn.XLOOKUP(FACT_IMPORTS[[#This Row],[hts_6]],DIM_PRODUCTS[hts_6],DIM_PRODUCTS[hts_4],,,)</f>
        <v>8708</v>
      </c>
      <c r="I3118" t="str" cm="1">
        <f t="array" ref="I3118">_xlfn.XLOOKUP(FACT_IMPORTS[[#This Row],[country_name]],DIM_COUNTRY[[#All],[Column2]],DIM_COUNTRY[[#All],[Column3]],,,)</f>
        <v>China</v>
      </c>
    </row>
    <row r="3119" spans="1:9" x14ac:dyDescent="0.4">
      <c r="A3119" t="s">
        <v>66</v>
      </c>
      <c r="B3119" s="1">
        <v>45231</v>
      </c>
      <c r="C3119">
        <v>870895</v>
      </c>
      <c r="D3119" t="s">
        <v>176</v>
      </c>
      <c r="E3119">
        <v>605856</v>
      </c>
      <c r="F3119">
        <v>17770</v>
      </c>
      <c r="G3119">
        <v>1460</v>
      </c>
      <c r="H3119">
        <f>_xlfn.XLOOKUP(FACT_IMPORTS[[#This Row],[hts_6]],DIM_PRODUCTS[hts_6],DIM_PRODUCTS[hts_4],,,)</f>
        <v>8708</v>
      </c>
      <c r="I3119" t="str" cm="1">
        <f t="array" ref="I3119">_xlfn.XLOOKUP(FACT_IMPORTS[[#This Row],[country_name]],DIM_COUNTRY[[#All],[Column2]],DIM_COUNTRY[[#All],[Column3]],,,)</f>
        <v>China</v>
      </c>
    </row>
    <row r="3120" spans="1:9" x14ac:dyDescent="0.4">
      <c r="A3120" t="s">
        <v>66</v>
      </c>
      <c r="B3120" s="1">
        <v>45231</v>
      </c>
      <c r="C3120">
        <v>870899</v>
      </c>
      <c r="D3120" t="s">
        <v>176</v>
      </c>
      <c r="E3120">
        <v>8600415</v>
      </c>
      <c r="F3120">
        <v>1841577</v>
      </c>
      <c r="G3120">
        <v>347876</v>
      </c>
      <c r="H3120">
        <f>_xlfn.XLOOKUP(FACT_IMPORTS[[#This Row],[hts_6]],DIM_PRODUCTS[hts_6],DIM_PRODUCTS[hts_4],,,)</f>
        <v>8708</v>
      </c>
      <c r="I3120" t="str" cm="1">
        <f t="array" ref="I3120">_xlfn.XLOOKUP(FACT_IMPORTS[[#This Row],[country_name]],DIM_COUNTRY[[#All],[Column2]],DIM_COUNTRY[[#All],[Column3]],,,)</f>
        <v>China</v>
      </c>
    </row>
    <row r="3121" spans="1:9" x14ac:dyDescent="0.4">
      <c r="A3121" t="s">
        <v>66</v>
      </c>
      <c r="B3121" s="1">
        <v>45231</v>
      </c>
      <c r="C3121">
        <v>940120</v>
      </c>
      <c r="D3121" t="s">
        <v>176</v>
      </c>
      <c r="E3121">
        <v>5913</v>
      </c>
      <c r="F3121">
        <v>7461</v>
      </c>
      <c r="G3121">
        <v>68</v>
      </c>
      <c r="H3121">
        <f>_xlfn.XLOOKUP(FACT_IMPORTS[[#This Row],[hts_6]],DIM_PRODUCTS[hts_6],DIM_PRODUCTS[hts_4],,,)</f>
        <v>9401</v>
      </c>
      <c r="I3121" t="str" cm="1">
        <f t="array" ref="I3121">_xlfn.XLOOKUP(FACT_IMPORTS[[#This Row],[country_name]],DIM_COUNTRY[[#All],[Column2]],DIM_COUNTRY[[#All],[Column3]],,,)</f>
        <v>China</v>
      </c>
    </row>
    <row r="3122" spans="1:9" x14ac:dyDescent="0.4">
      <c r="A3122" t="s">
        <v>66</v>
      </c>
      <c r="B3122" s="1">
        <v>45261</v>
      </c>
      <c r="C3122">
        <v>392630</v>
      </c>
      <c r="D3122" t="s">
        <v>176</v>
      </c>
      <c r="E3122">
        <v>8408669</v>
      </c>
      <c r="F3122">
        <v>367451</v>
      </c>
      <c r="G3122">
        <v>257850</v>
      </c>
      <c r="H3122">
        <f>_xlfn.XLOOKUP(FACT_IMPORTS[[#This Row],[hts_6]],DIM_PRODUCTS[hts_6],DIM_PRODUCTS[hts_4],,,)</f>
        <v>3926</v>
      </c>
      <c r="I3122" t="str" cm="1">
        <f t="array" ref="I3122">_xlfn.XLOOKUP(FACT_IMPORTS[[#This Row],[country_name]],DIM_COUNTRY[[#All],[Column2]],DIM_COUNTRY[[#All],[Column3]],,,)</f>
        <v>China</v>
      </c>
    </row>
    <row r="3123" spans="1:9" x14ac:dyDescent="0.4">
      <c r="A3123" t="s">
        <v>66</v>
      </c>
      <c r="B3123" s="1">
        <v>45261</v>
      </c>
      <c r="C3123">
        <v>401110</v>
      </c>
      <c r="D3123" t="s">
        <v>176</v>
      </c>
      <c r="E3123">
        <v>449313</v>
      </c>
      <c r="F3123">
        <v>3813</v>
      </c>
      <c r="G3123">
        <v>2482</v>
      </c>
      <c r="H3123">
        <f>_xlfn.XLOOKUP(FACT_IMPORTS[[#This Row],[hts_6]],DIM_PRODUCTS[hts_6],DIM_PRODUCTS[hts_4],,,)</f>
        <v>4011</v>
      </c>
      <c r="I3123" t="str" cm="1">
        <f t="array" ref="I3123">_xlfn.XLOOKUP(FACT_IMPORTS[[#This Row],[country_name]],DIM_COUNTRY[[#All],[Column2]],DIM_COUNTRY[[#All],[Column3]],,,)</f>
        <v>China</v>
      </c>
    </row>
    <row r="3124" spans="1:9" x14ac:dyDescent="0.4">
      <c r="A3124" t="s">
        <v>66</v>
      </c>
      <c r="B3124" s="1">
        <v>45261</v>
      </c>
      <c r="C3124">
        <v>401120</v>
      </c>
      <c r="D3124" t="s">
        <v>176</v>
      </c>
      <c r="E3124">
        <v>81258</v>
      </c>
      <c r="F3124">
        <v>593</v>
      </c>
      <c r="G3124">
        <v>14657</v>
      </c>
      <c r="H3124">
        <f>_xlfn.XLOOKUP(FACT_IMPORTS[[#This Row],[hts_6]],DIM_PRODUCTS[hts_6],DIM_PRODUCTS[hts_4],,,)</f>
        <v>4011</v>
      </c>
      <c r="I3124" t="str" cm="1">
        <f t="array" ref="I3124">_xlfn.XLOOKUP(FACT_IMPORTS[[#This Row],[country_name]],DIM_COUNTRY[[#All],[Column2]],DIM_COUNTRY[[#All],[Column3]],,,)</f>
        <v>China</v>
      </c>
    </row>
    <row r="3125" spans="1:9" x14ac:dyDescent="0.4">
      <c r="A3125" t="s">
        <v>66</v>
      </c>
      <c r="B3125" s="1">
        <v>45261</v>
      </c>
      <c r="C3125">
        <v>401140</v>
      </c>
      <c r="D3125" t="s">
        <v>176</v>
      </c>
      <c r="E3125">
        <v>34676</v>
      </c>
      <c r="F3125">
        <v>551</v>
      </c>
      <c r="G3125">
        <v>177</v>
      </c>
      <c r="H3125">
        <f>_xlfn.XLOOKUP(FACT_IMPORTS[[#This Row],[hts_6]],DIM_PRODUCTS[hts_6],DIM_PRODUCTS[hts_4],,,)</f>
        <v>4011</v>
      </c>
      <c r="I3125" t="str" cm="1">
        <f t="array" ref="I3125">_xlfn.XLOOKUP(FACT_IMPORTS[[#This Row],[country_name]],DIM_COUNTRY[[#All],[Column2]],DIM_COUNTRY[[#All],[Column3]],,,)</f>
        <v>China</v>
      </c>
    </row>
    <row r="3126" spans="1:9" x14ac:dyDescent="0.4">
      <c r="A3126" t="s">
        <v>66</v>
      </c>
      <c r="B3126" s="1">
        <v>45261</v>
      </c>
      <c r="C3126">
        <v>401190</v>
      </c>
      <c r="D3126" t="s">
        <v>176</v>
      </c>
      <c r="E3126">
        <v>196122</v>
      </c>
      <c r="F3126">
        <v>4494</v>
      </c>
      <c r="G3126">
        <v>15236</v>
      </c>
      <c r="H3126">
        <f>_xlfn.XLOOKUP(FACT_IMPORTS[[#This Row],[hts_6]],DIM_PRODUCTS[hts_6],DIM_PRODUCTS[hts_4],,,)</f>
        <v>4011</v>
      </c>
      <c r="I3126" t="str" cm="1">
        <f t="array" ref="I3126">_xlfn.XLOOKUP(FACT_IMPORTS[[#This Row],[country_name]],DIM_COUNTRY[[#All],[Column2]],DIM_COUNTRY[[#All],[Column3]],,,)</f>
        <v>China</v>
      </c>
    </row>
    <row r="3127" spans="1:9" x14ac:dyDescent="0.4">
      <c r="A3127" t="s">
        <v>66</v>
      </c>
      <c r="B3127" s="1">
        <v>45261</v>
      </c>
      <c r="C3127">
        <v>700711</v>
      </c>
      <c r="D3127" t="s">
        <v>176</v>
      </c>
      <c r="E3127">
        <v>1383829</v>
      </c>
      <c r="F3127">
        <v>103024</v>
      </c>
      <c r="G3127">
        <v>105120</v>
      </c>
      <c r="H3127">
        <f>_xlfn.XLOOKUP(FACT_IMPORTS[[#This Row],[hts_6]],DIM_PRODUCTS[hts_6],DIM_PRODUCTS[hts_4],,,)</f>
        <v>7007</v>
      </c>
      <c r="I3127" t="str" cm="1">
        <f t="array" ref="I3127">_xlfn.XLOOKUP(FACT_IMPORTS[[#This Row],[country_name]],DIM_COUNTRY[[#All],[Column2]],DIM_COUNTRY[[#All],[Column3]],,,)</f>
        <v>China</v>
      </c>
    </row>
    <row r="3128" spans="1:9" x14ac:dyDescent="0.4">
      <c r="A3128" t="s">
        <v>66</v>
      </c>
      <c r="B3128" s="1">
        <v>45261</v>
      </c>
      <c r="C3128">
        <v>700721</v>
      </c>
      <c r="D3128" t="s">
        <v>176</v>
      </c>
      <c r="E3128">
        <v>198449</v>
      </c>
      <c r="F3128">
        <v>3767</v>
      </c>
      <c r="G3128">
        <v>16010</v>
      </c>
      <c r="H3128">
        <f>_xlfn.XLOOKUP(FACT_IMPORTS[[#This Row],[hts_6]],DIM_PRODUCTS[hts_6],DIM_PRODUCTS[hts_4],,,)</f>
        <v>7007</v>
      </c>
      <c r="I3128" t="str" cm="1">
        <f t="array" ref="I3128">_xlfn.XLOOKUP(FACT_IMPORTS[[#This Row],[country_name]],DIM_COUNTRY[[#All],[Column2]],DIM_COUNTRY[[#All],[Column3]],,,)</f>
        <v>China</v>
      </c>
    </row>
    <row r="3129" spans="1:9" x14ac:dyDescent="0.4">
      <c r="A3129" t="s">
        <v>66</v>
      </c>
      <c r="B3129" s="1">
        <v>45261</v>
      </c>
      <c r="C3129">
        <v>700910</v>
      </c>
      <c r="D3129" t="s">
        <v>176</v>
      </c>
      <c r="E3129">
        <v>362242</v>
      </c>
      <c r="F3129">
        <v>164920</v>
      </c>
      <c r="G3129">
        <v>19806</v>
      </c>
      <c r="H3129">
        <f>_xlfn.XLOOKUP(FACT_IMPORTS[[#This Row],[hts_6]],DIM_PRODUCTS[hts_6],DIM_PRODUCTS[hts_4],,,)</f>
        <v>7009</v>
      </c>
      <c r="I3129" t="str" cm="1">
        <f t="array" ref="I3129">_xlfn.XLOOKUP(FACT_IMPORTS[[#This Row],[country_name]],DIM_COUNTRY[[#All],[Column2]],DIM_COUNTRY[[#All],[Column3]],,,)</f>
        <v>China</v>
      </c>
    </row>
    <row r="3130" spans="1:9" x14ac:dyDescent="0.4">
      <c r="A3130" t="s">
        <v>66</v>
      </c>
      <c r="B3130" s="1">
        <v>45261</v>
      </c>
      <c r="C3130">
        <v>732010</v>
      </c>
      <c r="D3130" t="s">
        <v>176</v>
      </c>
      <c r="E3130">
        <v>2720</v>
      </c>
      <c r="F3130">
        <v>109</v>
      </c>
      <c r="G3130">
        <v>17</v>
      </c>
      <c r="H3130">
        <f>_xlfn.XLOOKUP(FACT_IMPORTS[[#This Row],[hts_6]],DIM_PRODUCTS[hts_6],DIM_PRODUCTS[hts_4],,,)</f>
        <v>7320</v>
      </c>
      <c r="I3130" t="str" cm="1">
        <f t="array" ref="I3130">_xlfn.XLOOKUP(FACT_IMPORTS[[#This Row],[country_name]],DIM_COUNTRY[[#All],[Column2]],DIM_COUNTRY[[#All],[Column3]],,,)</f>
        <v>China</v>
      </c>
    </row>
    <row r="3131" spans="1:9" x14ac:dyDescent="0.4">
      <c r="A3131" t="s">
        <v>66</v>
      </c>
      <c r="B3131" s="1">
        <v>45261</v>
      </c>
      <c r="C3131">
        <v>830230</v>
      </c>
      <c r="D3131" t="s">
        <v>176</v>
      </c>
      <c r="E3131">
        <v>2610542</v>
      </c>
      <c r="F3131">
        <v>623419</v>
      </c>
      <c r="G3131">
        <v>161405</v>
      </c>
      <c r="H3131">
        <f>_xlfn.XLOOKUP(FACT_IMPORTS[[#This Row],[hts_6]],DIM_PRODUCTS[hts_6],DIM_PRODUCTS[hts_4],,,)</f>
        <v>8302</v>
      </c>
      <c r="I3131" t="str" cm="1">
        <f t="array" ref="I3131">_xlfn.XLOOKUP(FACT_IMPORTS[[#This Row],[country_name]],DIM_COUNTRY[[#All],[Column2]],DIM_COUNTRY[[#All],[Column3]],,,)</f>
        <v>China</v>
      </c>
    </row>
    <row r="3132" spans="1:9" x14ac:dyDescent="0.4">
      <c r="A3132" t="s">
        <v>66</v>
      </c>
      <c r="B3132" s="1">
        <v>45261</v>
      </c>
      <c r="C3132">
        <v>840732</v>
      </c>
      <c r="D3132" t="s">
        <v>176</v>
      </c>
      <c r="E3132">
        <v>0</v>
      </c>
      <c r="F3132">
        <v>0</v>
      </c>
      <c r="G3132">
        <v>0</v>
      </c>
      <c r="H3132">
        <f>_xlfn.XLOOKUP(FACT_IMPORTS[[#This Row],[hts_6]],DIM_PRODUCTS[hts_6],DIM_PRODUCTS[hts_4],,,)</f>
        <v>8407</v>
      </c>
      <c r="I3132" t="str" cm="1">
        <f t="array" ref="I3132">_xlfn.XLOOKUP(FACT_IMPORTS[[#This Row],[country_name]],DIM_COUNTRY[[#All],[Column2]],DIM_COUNTRY[[#All],[Column3]],,,)</f>
        <v>China</v>
      </c>
    </row>
    <row r="3133" spans="1:9" x14ac:dyDescent="0.4">
      <c r="A3133" t="s">
        <v>66</v>
      </c>
      <c r="B3133" s="1">
        <v>45261</v>
      </c>
      <c r="C3133">
        <v>840733</v>
      </c>
      <c r="D3133" t="s">
        <v>176</v>
      </c>
      <c r="E3133">
        <v>0</v>
      </c>
      <c r="F3133">
        <v>0</v>
      </c>
      <c r="G3133">
        <v>0</v>
      </c>
      <c r="H3133">
        <f>_xlfn.XLOOKUP(FACT_IMPORTS[[#This Row],[hts_6]],DIM_PRODUCTS[hts_6],DIM_PRODUCTS[hts_4],,,)</f>
        <v>8407</v>
      </c>
      <c r="I3133" t="str" cm="1">
        <f t="array" ref="I3133">_xlfn.XLOOKUP(FACT_IMPORTS[[#This Row],[country_name]],DIM_COUNTRY[[#All],[Column2]],DIM_COUNTRY[[#All],[Column3]],,,)</f>
        <v>China</v>
      </c>
    </row>
    <row r="3134" spans="1:9" x14ac:dyDescent="0.4">
      <c r="A3134" t="s">
        <v>66</v>
      </c>
      <c r="B3134" s="1">
        <v>45261</v>
      </c>
      <c r="C3134">
        <v>840734</v>
      </c>
      <c r="D3134" t="s">
        <v>176</v>
      </c>
      <c r="E3134">
        <v>6976</v>
      </c>
      <c r="F3134">
        <v>1</v>
      </c>
      <c r="G3134">
        <v>16</v>
      </c>
      <c r="H3134">
        <f>_xlfn.XLOOKUP(FACT_IMPORTS[[#This Row],[hts_6]],DIM_PRODUCTS[hts_6],DIM_PRODUCTS[hts_4],,,)</f>
        <v>8407</v>
      </c>
      <c r="I3134" t="str" cm="1">
        <f t="array" ref="I3134">_xlfn.XLOOKUP(FACT_IMPORTS[[#This Row],[country_name]],DIM_COUNTRY[[#All],[Column2]],DIM_COUNTRY[[#All],[Column3]],,,)</f>
        <v>China</v>
      </c>
    </row>
    <row r="3135" spans="1:9" x14ac:dyDescent="0.4">
      <c r="A3135" t="s">
        <v>66</v>
      </c>
      <c r="B3135" s="1">
        <v>45261</v>
      </c>
      <c r="C3135">
        <v>840790</v>
      </c>
      <c r="D3135" t="s">
        <v>176</v>
      </c>
      <c r="E3135">
        <v>0</v>
      </c>
      <c r="F3135">
        <v>0</v>
      </c>
      <c r="G3135">
        <v>0</v>
      </c>
      <c r="H3135">
        <f>_xlfn.XLOOKUP(FACT_IMPORTS[[#This Row],[hts_6]],DIM_PRODUCTS[hts_6],DIM_PRODUCTS[hts_4],,,)</f>
        <v>8407</v>
      </c>
      <c r="I3135" t="str" cm="1">
        <f t="array" ref="I3135">_xlfn.XLOOKUP(FACT_IMPORTS[[#This Row],[country_name]],DIM_COUNTRY[[#All],[Column2]],DIM_COUNTRY[[#All],[Column3]],,,)</f>
        <v>China</v>
      </c>
    </row>
    <row r="3136" spans="1:9" x14ac:dyDescent="0.4">
      <c r="A3136" t="s">
        <v>66</v>
      </c>
      <c r="B3136" s="1">
        <v>45261</v>
      </c>
      <c r="C3136">
        <v>840890</v>
      </c>
      <c r="D3136" t="s">
        <v>176</v>
      </c>
      <c r="E3136">
        <v>0</v>
      </c>
      <c r="F3136">
        <v>0</v>
      </c>
      <c r="G3136">
        <v>0</v>
      </c>
      <c r="H3136">
        <f>_xlfn.XLOOKUP(FACT_IMPORTS[[#This Row],[hts_6]],DIM_PRODUCTS[hts_6],DIM_PRODUCTS[hts_4],,,)</f>
        <v>8408</v>
      </c>
      <c r="I3136" t="str" cm="1">
        <f t="array" ref="I3136">_xlfn.XLOOKUP(FACT_IMPORTS[[#This Row],[country_name]],DIM_COUNTRY[[#All],[Column2]],DIM_COUNTRY[[#All],[Column3]],,,)</f>
        <v>China</v>
      </c>
    </row>
    <row r="3137" spans="1:9" x14ac:dyDescent="0.4">
      <c r="A3137" t="s">
        <v>66</v>
      </c>
      <c r="B3137" s="1">
        <v>45261</v>
      </c>
      <c r="C3137">
        <v>840991</v>
      </c>
      <c r="D3137" t="s">
        <v>176</v>
      </c>
      <c r="E3137">
        <v>8874790</v>
      </c>
      <c r="F3137">
        <v>1759270</v>
      </c>
      <c r="G3137">
        <v>452540</v>
      </c>
      <c r="H3137">
        <f>_xlfn.XLOOKUP(FACT_IMPORTS[[#This Row],[hts_6]],DIM_PRODUCTS[hts_6],DIM_PRODUCTS[hts_4],,,)</f>
        <v>8409</v>
      </c>
      <c r="I3137" t="str" cm="1">
        <f t="array" ref="I3137">_xlfn.XLOOKUP(FACT_IMPORTS[[#This Row],[country_name]],DIM_COUNTRY[[#All],[Column2]],DIM_COUNTRY[[#All],[Column3]],,,)</f>
        <v>China</v>
      </c>
    </row>
    <row r="3138" spans="1:9" x14ac:dyDescent="0.4">
      <c r="A3138" t="s">
        <v>66</v>
      </c>
      <c r="B3138" s="1">
        <v>45261</v>
      </c>
      <c r="C3138">
        <v>840999</v>
      </c>
      <c r="D3138" t="s">
        <v>176</v>
      </c>
      <c r="E3138">
        <v>2402404</v>
      </c>
      <c r="F3138">
        <v>341615</v>
      </c>
      <c r="G3138">
        <v>116433</v>
      </c>
      <c r="H3138">
        <f>_xlfn.XLOOKUP(FACT_IMPORTS[[#This Row],[hts_6]],DIM_PRODUCTS[hts_6],DIM_PRODUCTS[hts_4],,,)</f>
        <v>8409</v>
      </c>
      <c r="I3138" t="str" cm="1">
        <f t="array" ref="I3138">_xlfn.XLOOKUP(FACT_IMPORTS[[#This Row],[country_name]],DIM_COUNTRY[[#All],[Column2]],DIM_COUNTRY[[#All],[Column3]],,,)</f>
        <v>China</v>
      </c>
    </row>
    <row r="3139" spans="1:9" x14ac:dyDescent="0.4">
      <c r="A3139" t="s">
        <v>66</v>
      </c>
      <c r="B3139" s="1">
        <v>45261</v>
      </c>
      <c r="C3139">
        <v>841330</v>
      </c>
      <c r="D3139" t="s">
        <v>176</v>
      </c>
      <c r="E3139">
        <v>1643792</v>
      </c>
      <c r="F3139">
        <v>29623</v>
      </c>
      <c r="G3139">
        <v>26479</v>
      </c>
      <c r="H3139">
        <f>_xlfn.XLOOKUP(FACT_IMPORTS[[#This Row],[hts_6]],DIM_PRODUCTS[hts_6],DIM_PRODUCTS[hts_4],,,)</f>
        <v>8413</v>
      </c>
      <c r="I3139" t="str" cm="1">
        <f t="array" ref="I3139">_xlfn.XLOOKUP(FACT_IMPORTS[[#This Row],[country_name]],DIM_COUNTRY[[#All],[Column2]],DIM_COUNTRY[[#All],[Column3]],,,)</f>
        <v>China</v>
      </c>
    </row>
    <row r="3140" spans="1:9" x14ac:dyDescent="0.4">
      <c r="A3140" t="s">
        <v>66</v>
      </c>
      <c r="B3140" s="1">
        <v>45261</v>
      </c>
      <c r="C3140">
        <v>841520</v>
      </c>
      <c r="D3140" t="s">
        <v>176</v>
      </c>
      <c r="E3140">
        <v>0</v>
      </c>
      <c r="F3140">
        <v>0</v>
      </c>
      <c r="G3140">
        <v>0</v>
      </c>
      <c r="H3140">
        <f>_xlfn.XLOOKUP(FACT_IMPORTS[[#This Row],[hts_6]],DIM_PRODUCTS[hts_6],DIM_PRODUCTS[hts_4],,,)</f>
        <v>8415</v>
      </c>
      <c r="I3140" t="str" cm="1">
        <f t="array" ref="I3140">_xlfn.XLOOKUP(FACT_IMPORTS[[#This Row],[country_name]],DIM_COUNTRY[[#All],[Column2]],DIM_COUNTRY[[#All],[Column3]],,,)</f>
        <v>China</v>
      </c>
    </row>
    <row r="3141" spans="1:9" x14ac:dyDescent="0.4">
      <c r="A3141" t="s">
        <v>66</v>
      </c>
      <c r="B3141" s="1">
        <v>45261</v>
      </c>
      <c r="C3141">
        <v>842132</v>
      </c>
      <c r="D3141" t="s">
        <v>176</v>
      </c>
      <c r="E3141">
        <v>11247</v>
      </c>
      <c r="F3141">
        <v>61</v>
      </c>
      <c r="G3141">
        <v>5510</v>
      </c>
      <c r="H3141">
        <f>_xlfn.XLOOKUP(FACT_IMPORTS[[#This Row],[hts_6]],DIM_PRODUCTS[hts_6],DIM_PRODUCTS[hts_4],,,)</f>
        <v>8421</v>
      </c>
      <c r="I3141" t="str" cm="1">
        <f t="array" ref="I3141">_xlfn.XLOOKUP(FACT_IMPORTS[[#This Row],[country_name]],DIM_COUNTRY[[#All],[Column2]],DIM_COUNTRY[[#All],[Column3]],,,)</f>
        <v>China</v>
      </c>
    </row>
    <row r="3142" spans="1:9" x14ac:dyDescent="0.4">
      <c r="A3142" t="s">
        <v>66</v>
      </c>
      <c r="B3142" s="1">
        <v>45261</v>
      </c>
      <c r="C3142">
        <v>848210</v>
      </c>
      <c r="D3142" t="s">
        <v>176</v>
      </c>
      <c r="E3142">
        <v>748602</v>
      </c>
      <c r="F3142">
        <v>844092</v>
      </c>
      <c r="G3142">
        <v>14312</v>
      </c>
      <c r="H3142">
        <f>_xlfn.XLOOKUP(FACT_IMPORTS[[#This Row],[hts_6]],DIM_PRODUCTS[hts_6],DIM_PRODUCTS[hts_4],,,)</f>
        <v>8482</v>
      </c>
      <c r="I3142" t="str" cm="1">
        <f t="array" ref="I3142">_xlfn.XLOOKUP(FACT_IMPORTS[[#This Row],[country_name]],DIM_COUNTRY[[#All],[Column2]],DIM_COUNTRY[[#All],[Column3]],,,)</f>
        <v>China</v>
      </c>
    </row>
    <row r="3143" spans="1:9" x14ac:dyDescent="0.4">
      <c r="A3143" t="s">
        <v>66</v>
      </c>
      <c r="B3143" s="1">
        <v>45261</v>
      </c>
      <c r="C3143">
        <v>848220</v>
      </c>
      <c r="D3143" t="s">
        <v>176</v>
      </c>
      <c r="E3143">
        <v>88606</v>
      </c>
      <c r="F3143">
        <v>73504</v>
      </c>
      <c r="G3143">
        <v>6816</v>
      </c>
      <c r="H3143">
        <f>_xlfn.XLOOKUP(FACT_IMPORTS[[#This Row],[hts_6]],DIM_PRODUCTS[hts_6],DIM_PRODUCTS[hts_4],,,)</f>
        <v>8482</v>
      </c>
      <c r="I3143" t="str" cm="1">
        <f t="array" ref="I3143">_xlfn.XLOOKUP(FACT_IMPORTS[[#This Row],[country_name]],DIM_COUNTRY[[#All],[Column2]],DIM_COUNTRY[[#All],[Column3]],,,)</f>
        <v>China</v>
      </c>
    </row>
    <row r="3144" spans="1:9" x14ac:dyDescent="0.4">
      <c r="A3144" t="s">
        <v>66</v>
      </c>
      <c r="B3144" s="1">
        <v>45261</v>
      </c>
      <c r="C3144">
        <v>848310</v>
      </c>
      <c r="D3144" t="s">
        <v>176</v>
      </c>
      <c r="E3144">
        <v>3190127</v>
      </c>
      <c r="F3144">
        <v>196186</v>
      </c>
      <c r="G3144">
        <v>129444</v>
      </c>
      <c r="H3144">
        <f>_xlfn.XLOOKUP(FACT_IMPORTS[[#This Row],[hts_6]],DIM_PRODUCTS[hts_6],DIM_PRODUCTS[hts_4],,,)</f>
        <v>8483</v>
      </c>
      <c r="I3144" t="str" cm="1">
        <f t="array" ref="I3144">_xlfn.XLOOKUP(FACT_IMPORTS[[#This Row],[country_name]],DIM_COUNTRY[[#All],[Column2]],DIM_COUNTRY[[#All],[Column3]],,,)</f>
        <v>China</v>
      </c>
    </row>
    <row r="3145" spans="1:9" x14ac:dyDescent="0.4">
      <c r="A3145" t="s">
        <v>66</v>
      </c>
      <c r="B3145" s="1">
        <v>45261</v>
      </c>
      <c r="C3145">
        <v>850131</v>
      </c>
      <c r="D3145" t="s">
        <v>176</v>
      </c>
      <c r="E3145">
        <v>2213630</v>
      </c>
      <c r="F3145">
        <v>330991</v>
      </c>
      <c r="G3145">
        <v>20009</v>
      </c>
      <c r="H3145">
        <f>_xlfn.XLOOKUP(FACT_IMPORTS[[#This Row],[hts_6]],DIM_PRODUCTS[hts_6],DIM_PRODUCTS[hts_4],,,)</f>
        <v>8501</v>
      </c>
      <c r="I3145" t="str" cm="1">
        <f t="array" ref="I3145">_xlfn.XLOOKUP(FACT_IMPORTS[[#This Row],[country_name]],DIM_COUNTRY[[#All],[Column2]],DIM_COUNTRY[[#All],[Column3]],,,)</f>
        <v>China</v>
      </c>
    </row>
    <row r="3146" spans="1:9" x14ac:dyDescent="0.4">
      <c r="A3146" t="s">
        <v>66</v>
      </c>
      <c r="B3146" s="1">
        <v>45261</v>
      </c>
      <c r="C3146">
        <v>850132</v>
      </c>
      <c r="D3146" t="s">
        <v>176</v>
      </c>
      <c r="E3146">
        <v>372484</v>
      </c>
      <c r="F3146">
        <v>405</v>
      </c>
      <c r="G3146">
        <v>493</v>
      </c>
      <c r="H3146">
        <f>_xlfn.XLOOKUP(FACT_IMPORTS[[#This Row],[hts_6]],DIM_PRODUCTS[hts_6],DIM_PRODUCTS[hts_4],,,)</f>
        <v>8501</v>
      </c>
      <c r="I3146" t="str" cm="1">
        <f t="array" ref="I3146">_xlfn.XLOOKUP(FACT_IMPORTS[[#This Row],[country_name]],DIM_COUNTRY[[#All],[Column2]],DIM_COUNTRY[[#All],[Column3]],,,)</f>
        <v>China</v>
      </c>
    </row>
    <row r="3147" spans="1:9" x14ac:dyDescent="0.4">
      <c r="A3147" t="s">
        <v>66</v>
      </c>
      <c r="B3147" s="1">
        <v>45261</v>
      </c>
      <c r="C3147">
        <v>850133</v>
      </c>
      <c r="D3147" t="s">
        <v>176</v>
      </c>
      <c r="E3147">
        <v>0</v>
      </c>
      <c r="F3147">
        <v>0</v>
      </c>
      <c r="G3147">
        <v>0</v>
      </c>
      <c r="H3147">
        <f>_xlfn.XLOOKUP(FACT_IMPORTS[[#This Row],[hts_6]],DIM_PRODUCTS[hts_6],DIM_PRODUCTS[hts_4],,,)</f>
        <v>8501</v>
      </c>
      <c r="I3147" t="str" cm="1">
        <f t="array" ref="I3147">_xlfn.XLOOKUP(FACT_IMPORTS[[#This Row],[country_name]],DIM_COUNTRY[[#All],[Column2]],DIM_COUNTRY[[#All],[Column3]],,,)</f>
        <v>China</v>
      </c>
    </row>
    <row r="3148" spans="1:9" x14ac:dyDescent="0.4">
      <c r="A3148" t="s">
        <v>66</v>
      </c>
      <c r="B3148" s="1">
        <v>45261</v>
      </c>
      <c r="C3148">
        <v>850152</v>
      </c>
      <c r="D3148" t="s">
        <v>176</v>
      </c>
      <c r="E3148">
        <v>264922</v>
      </c>
      <c r="F3148">
        <v>460</v>
      </c>
      <c r="G3148">
        <v>9192</v>
      </c>
      <c r="H3148">
        <f>_xlfn.XLOOKUP(FACT_IMPORTS[[#This Row],[hts_6]],DIM_PRODUCTS[hts_6],DIM_PRODUCTS[hts_4],,,)</f>
        <v>8501</v>
      </c>
      <c r="I3148" t="str" cm="1">
        <f t="array" ref="I3148">_xlfn.XLOOKUP(FACT_IMPORTS[[#This Row],[country_name]],DIM_COUNTRY[[#All],[Column2]],DIM_COUNTRY[[#All],[Column3]],,,)</f>
        <v>China</v>
      </c>
    </row>
    <row r="3149" spans="1:9" x14ac:dyDescent="0.4">
      <c r="A3149" t="s">
        <v>66</v>
      </c>
      <c r="B3149" s="1">
        <v>45261</v>
      </c>
      <c r="C3149">
        <v>850153</v>
      </c>
      <c r="D3149" t="s">
        <v>176</v>
      </c>
      <c r="E3149">
        <v>131047</v>
      </c>
      <c r="F3149">
        <v>54</v>
      </c>
      <c r="G3149">
        <v>1829</v>
      </c>
      <c r="H3149">
        <f>_xlfn.XLOOKUP(FACT_IMPORTS[[#This Row],[hts_6]],DIM_PRODUCTS[hts_6],DIM_PRODUCTS[hts_4],,,)</f>
        <v>8501</v>
      </c>
      <c r="I3149" t="str" cm="1">
        <f t="array" ref="I3149">_xlfn.XLOOKUP(FACT_IMPORTS[[#This Row],[country_name]],DIM_COUNTRY[[#All],[Column2]],DIM_COUNTRY[[#All],[Column3]],,,)</f>
        <v>China</v>
      </c>
    </row>
    <row r="3150" spans="1:9" x14ac:dyDescent="0.4">
      <c r="A3150" t="s">
        <v>66</v>
      </c>
      <c r="B3150" s="1">
        <v>45261</v>
      </c>
      <c r="C3150">
        <v>850161</v>
      </c>
      <c r="D3150" t="s">
        <v>176</v>
      </c>
      <c r="E3150">
        <v>0</v>
      </c>
      <c r="F3150">
        <v>0</v>
      </c>
      <c r="G3150">
        <v>0</v>
      </c>
      <c r="H3150">
        <f>_xlfn.XLOOKUP(FACT_IMPORTS[[#This Row],[hts_6]],DIM_PRODUCTS[hts_6],DIM_PRODUCTS[hts_4],,,)</f>
        <v>8501</v>
      </c>
      <c r="I3150" t="str" cm="1">
        <f t="array" ref="I3150">_xlfn.XLOOKUP(FACT_IMPORTS[[#This Row],[country_name]],DIM_COUNTRY[[#All],[Column2]],DIM_COUNTRY[[#All],[Column3]],,,)</f>
        <v>China</v>
      </c>
    </row>
    <row r="3151" spans="1:9" x14ac:dyDescent="0.4">
      <c r="A3151" t="s">
        <v>66</v>
      </c>
      <c r="B3151" s="1">
        <v>45261</v>
      </c>
      <c r="C3151">
        <v>850440</v>
      </c>
      <c r="D3151" t="s">
        <v>176</v>
      </c>
      <c r="E3151">
        <v>534290</v>
      </c>
      <c r="F3151">
        <v>23058</v>
      </c>
      <c r="G3151">
        <v>20929</v>
      </c>
      <c r="H3151">
        <f>_xlfn.XLOOKUP(FACT_IMPORTS[[#This Row],[hts_6]],DIM_PRODUCTS[hts_6],DIM_PRODUCTS[hts_4],,,)</f>
        <v>8504</v>
      </c>
      <c r="I3151" t="str" cm="1">
        <f t="array" ref="I3151">_xlfn.XLOOKUP(FACT_IMPORTS[[#This Row],[country_name]],DIM_COUNTRY[[#All],[Column2]],DIM_COUNTRY[[#All],[Column3]],,,)</f>
        <v>China</v>
      </c>
    </row>
    <row r="3152" spans="1:9" x14ac:dyDescent="0.4">
      <c r="A3152" t="s">
        <v>66</v>
      </c>
      <c r="B3152" s="1">
        <v>45261</v>
      </c>
      <c r="C3152">
        <v>850710</v>
      </c>
      <c r="D3152" t="s">
        <v>176</v>
      </c>
      <c r="E3152">
        <v>82880</v>
      </c>
      <c r="F3152">
        <v>1900</v>
      </c>
      <c r="G3152">
        <v>34</v>
      </c>
      <c r="H3152">
        <f>_xlfn.XLOOKUP(FACT_IMPORTS[[#This Row],[hts_6]],DIM_PRODUCTS[hts_6],DIM_PRODUCTS[hts_4],,,)</f>
        <v>8507</v>
      </c>
      <c r="I3152" t="str" cm="1">
        <f t="array" ref="I3152">_xlfn.XLOOKUP(FACT_IMPORTS[[#This Row],[country_name]],DIM_COUNTRY[[#All],[Column2]],DIM_COUNTRY[[#All],[Column3]],,,)</f>
        <v>China</v>
      </c>
    </row>
    <row r="3153" spans="1:9" x14ac:dyDescent="0.4">
      <c r="A3153" t="s">
        <v>66</v>
      </c>
      <c r="B3153" s="1">
        <v>45261</v>
      </c>
      <c r="C3153">
        <v>850760</v>
      </c>
      <c r="D3153" t="s">
        <v>176</v>
      </c>
      <c r="E3153">
        <v>325749</v>
      </c>
      <c r="F3153">
        <v>3604</v>
      </c>
      <c r="G3153">
        <v>6143</v>
      </c>
      <c r="H3153">
        <f>_xlfn.XLOOKUP(FACT_IMPORTS[[#This Row],[hts_6]],DIM_PRODUCTS[hts_6],DIM_PRODUCTS[hts_4],,,)</f>
        <v>8507</v>
      </c>
      <c r="I3153" t="str" cm="1">
        <f t="array" ref="I3153">_xlfn.XLOOKUP(FACT_IMPORTS[[#This Row],[country_name]],DIM_COUNTRY[[#All],[Column2]],DIM_COUNTRY[[#All],[Column3]],,,)</f>
        <v>China</v>
      </c>
    </row>
    <row r="3154" spans="1:9" x14ac:dyDescent="0.4">
      <c r="A3154" t="s">
        <v>66</v>
      </c>
      <c r="B3154" s="1">
        <v>45261</v>
      </c>
      <c r="C3154">
        <v>850790</v>
      </c>
      <c r="D3154" t="s">
        <v>176</v>
      </c>
      <c r="E3154">
        <v>465567</v>
      </c>
      <c r="F3154">
        <v>29789</v>
      </c>
      <c r="G3154">
        <v>25337</v>
      </c>
      <c r="H3154">
        <f>_xlfn.XLOOKUP(FACT_IMPORTS[[#This Row],[hts_6]],DIM_PRODUCTS[hts_6],DIM_PRODUCTS[hts_4],,,)</f>
        <v>8507</v>
      </c>
      <c r="I3154" t="str" cm="1">
        <f t="array" ref="I3154">_xlfn.XLOOKUP(FACT_IMPORTS[[#This Row],[country_name]],DIM_COUNTRY[[#All],[Column2]],DIM_COUNTRY[[#All],[Column3]],,,)</f>
        <v>China</v>
      </c>
    </row>
    <row r="3155" spans="1:9" x14ac:dyDescent="0.4">
      <c r="A3155" t="s">
        <v>66</v>
      </c>
      <c r="B3155" s="1">
        <v>45261</v>
      </c>
      <c r="C3155">
        <v>851110</v>
      </c>
      <c r="D3155" t="s">
        <v>176</v>
      </c>
      <c r="E3155">
        <v>0</v>
      </c>
      <c r="F3155">
        <v>0</v>
      </c>
      <c r="G3155">
        <v>0</v>
      </c>
      <c r="H3155">
        <f>_xlfn.XLOOKUP(FACT_IMPORTS[[#This Row],[hts_6]],DIM_PRODUCTS[hts_6],DIM_PRODUCTS[hts_4],,,)</f>
        <v>8511</v>
      </c>
      <c r="I3155" t="str" cm="1">
        <f t="array" ref="I3155">_xlfn.XLOOKUP(FACT_IMPORTS[[#This Row],[country_name]],DIM_COUNTRY[[#All],[Column2]],DIM_COUNTRY[[#All],[Column3]],,,)</f>
        <v>China</v>
      </c>
    </row>
    <row r="3156" spans="1:9" x14ac:dyDescent="0.4">
      <c r="A3156" t="s">
        <v>66</v>
      </c>
      <c r="B3156" s="1">
        <v>45261</v>
      </c>
      <c r="C3156">
        <v>851130</v>
      </c>
      <c r="D3156" t="s">
        <v>176</v>
      </c>
      <c r="E3156">
        <v>30685</v>
      </c>
      <c r="F3156">
        <v>1592</v>
      </c>
      <c r="G3156">
        <v>623</v>
      </c>
      <c r="H3156">
        <f>_xlfn.XLOOKUP(FACT_IMPORTS[[#This Row],[hts_6]],DIM_PRODUCTS[hts_6],DIM_PRODUCTS[hts_4],,,)</f>
        <v>8511</v>
      </c>
      <c r="I3156" t="str" cm="1">
        <f t="array" ref="I3156">_xlfn.XLOOKUP(FACT_IMPORTS[[#This Row],[country_name]],DIM_COUNTRY[[#All],[Column2]],DIM_COUNTRY[[#All],[Column3]],,,)</f>
        <v>China</v>
      </c>
    </row>
    <row r="3157" spans="1:9" x14ac:dyDescent="0.4">
      <c r="A3157" t="s">
        <v>66</v>
      </c>
      <c r="B3157" s="1">
        <v>45261</v>
      </c>
      <c r="C3157">
        <v>851140</v>
      </c>
      <c r="D3157" t="s">
        <v>176</v>
      </c>
      <c r="E3157">
        <v>382560</v>
      </c>
      <c r="F3157">
        <v>5425</v>
      </c>
      <c r="G3157">
        <v>3623</v>
      </c>
      <c r="H3157">
        <f>_xlfn.XLOOKUP(FACT_IMPORTS[[#This Row],[hts_6]],DIM_PRODUCTS[hts_6],DIM_PRODUCTS[hts_4],,,)</f>
        <v>8511</v>
      </c>
      <c r="I3157" t="str" cm="1">
        <f t="array" ref="I3157">_xlfn.XLOOKUP(FACT_IMPORTS[[#This Row],[country_name]],DIM_COUNTRY[[#All],[Column2]],DIM_COUNTRY[[#All],[Column3]],,,)</f>
        <v>China</v>
      </c>
    </row>
    <row r="3158" spans="1:9" x14ac:dyDescent="0.4">
      <c r="A3158" t="s">
        <v>66</v>
      </c>
      <c r="B3158" s="1">
        <v>45261</v>
      </c>
      <c r="C3158">
        <v>851150</v>
      </c>
      <c r="D3158" t="s">
        <v>176</v>
      </c>
      <c r="E3158">
        <v>122684</v>
      </c>
      <c r="F3158">
        <v>1246</v>
      </c>
      <c r="G3158">
        <v>1165</v>
      </c>
      <c r="H3158">
        <f>_xlfn.XLOOKUP(FACT_IMPORTS[[#This Row],[hts_6]],DIM_PRODUCTS[hts_6],DIM_PRODUCTS[hts_4],,,)</f>
        <v>8511</v>
      </c>
      <c r="I3158" t="str" cm="1">
        <f t="array" ref="I3158">_xlfn.XLOOKUP(FACT_IMPORTS[[#This Row],[country_name]],DIM_COUNTRY[[#All],[Column2]],DIM_COUNTRY[[#All],[Column3]],,,)</f>
        <v>China</v>
      </c>
    </row>
    <row r="3159" spans="1:9" x14ac:dyDescent="0.4">
      <c r="A3159" t="s">
        <v>66</v>
      </c>
      <c r="B3159" s="1">
        <v>45261</v>
      </c>
      <c r="C3159">
        <v>851180</v>
      </c>
      <c r="D3159" t="s">
        <v>176</v>
      </c>
      <c r="E3159">
        <v>7564</v>
      </c>
      <c r="F3159">
        <v>106</v>
      </c>
      <c r="G3159">
        <v>4</v>
      </c>
      <c r="H3159">
        <f>_xlfn.XLOOKUP(FACT_IMPORTS[[#This Row],[hts_6]],DIM_PRODUCTS[hts_6],DIM_PRODUCTS[hts_4],,,)</f>
        <v>8511</v>
      </c>
      <c r="I3159" t="str" cm="1">
        <f t="array" ref="I3159">_xlfn.XLOOKUP(FACT_IMPORTS[[#This Row],[country_name]],DIM_COUNTRY[[#All],[Column2]],DIM_COUNTRY[[#All],[Column3]],,,)</f>
        <v>China</v>
      </c>
    </row>
    <row r="3160" spans="1:9" x14ac:dyDescent="0.4">
      <c r="A3160" t="s">
        <v>66</v>
      </c>
      <c r="B3160" s="1">
        <v>45261</v>
      </c>
      <c r="C3160">
        <v>851190</v>
      </c>
      <c r="D3160" t="s">
        <v>176</v>
      </c>
      <c r="E3160">
        <v>57067</v>
      </c>
      <c r="F3160">
        <v>2308</v>
      </c>
      <c r="G3160">
        <v>918</v>
      </c>
      <c r="H3160">
        <f>_xlfn.XLOOKUP(FACT_IMPORTS[[#This Row],[hts_6]],DIM_PRODUCTS[hts_6],DIM_PRODUCTS[hts_4],,,)</f>
        <v>8511</v>
      </c>
      <c r="I3160" t="str" cm="1">
        <f t="array" ref="I3160">_xlfn.XLOOKUP(FACT_IMPORTS[[#This Row],[country_name]],DIM_COUNTRY[[#All],[Column2]],DIM_COUNTRY[[#All],[Column3]],,,)</f>
        <v>China</v>
      </c>
    </row>
    <row r="3161" spans="1:9" x14ac:dyDescent="0.4">
      <c r="A3161" t="s">
        <v>66</v>
      </c>
      <c r="B3161" s="1">
        <v>45261</v>
      </c>
      <c r="C3161">
        <v>851220</v>
      </c>
      <c r="D3161" t="s">
        <v>176</v>
      </c>
      <c r="E3161">
        <v>3433958</v>
      </c>
      <c r="F3161">
        <v>420979</v>
      </c>
      <c r="G3161">
        <v>139939</v>
      </c>
      <c r="H3161">
        <f>_xlfn.XLOOKUP(FACT_IMPORTS[[#This Row],[hts_6]],DIM_PRODUCTS[hts_6],DIM_PRODUCTS[hts_4],,,)</f>
        <v>8512</v>
      </c>
      <c r="I3161" t="str" cm="1">
        <f t="array" ref="I3161">_xlfn.XLOOKUP(FACT_IMPORTS[[#This Row],[country_name]],DIM_COUNTRY[[#All],[Column2]],DIM_COUNTRY[[#All],[Column3]],,,)</f>
        <v>China</v>
      </c>
    </row>
    <row r="3162" spans="1:9" x14ac:dyDescent="0.4">
      <c r="A3162" t="s">
        <v>66</v>
      </c>
      <c r="B3162" s="1">
        <v>45261</v>
      </c>
      <c r="C3162">
        <v>851230</v>
      </c>
      <c r="D3162" t="s">
        <v>176</v>
      </c>
      <c r="E3162">
        <v>66099</v>
      </c>
      <c r="F3162">
        <v>31539</v>
      </c>
      <c r="G3162">
        <v>2832</v>
      </c>
      <c r="H3162">
        <f>_xlfn.XLOOKUP(FACT_IMPORTS[[#This Row],[hts_6]],DIM_PRODUCTS[hts_6],DIM_PRODUCTS[hts_4],,,)</f>
        <v>8512</v>
      </c>
      <c r="I3162" t="str" cm="1">
        <f t="array" ref="I3162">_xlfn.XLOOKUP(FACT_IMPORTS[[#This Row],[country_name]],DIM_COUNTRY[[#All],[Column2]],DIM_COUNTRY[[#All],[Column3]],,,)</f>
        <v>China</v>
      </c>
    </row>
    <row r="3163" spans="1:9" x14ac:dyDescent="0.4">
      <c r="A3163" t="s">
        <v>66</v>
      </c>
      <c r="B3163" s="1">
        <v>45261</v>
      </c>
      <c r="C3163">
        <v>851240</v>
      </c>
      <c r="D3163" t="s">
        <v>176</v>
      </c>
      <c r="E3163">
        <v>2701</v>
      </c>
      <c r="F3163">
        <v>60</v>
      </c>
      <c r="G3163">
        <v>72</v>
      </c>
      <c r="H3163">
        <f>_xlfn.XLOOKUP(FACT_IMPORTS[[#This Row],[hts_6]],DIM_PRODUCTS[hts_6],DIM_PRODUCTS[hts_4],,,)</f>
        <v>8512</v>
      </c>
      <c r="I3163" t="str" cm="1">
        <f t="array" ref="I3163">_xlfn.XLOOKUP(FACT_IMPORTS[[#This Row],[country_name]],DIM_COUNTRY[[#All],[Column2]],DIM_COUNTRY[[#All],[Column3]],,,)</f>
        <v>China</v>
      </c>
    </row>
    <row r="3164" spans="1:9" x14ac:dyDescent="0.4">
      <c r="A3164" t="s">
        <v>66</v>
      </c>
      <c r="B3164" s="1">
        <v>45261</v>
      </c>
      <c r="C3164">
        <v>851290</v>
      </c>
      <c r="D3164" t="s">
        <v>176</v>
      </c>
      <c r="E3164">
        <v>813594</v>
      </c>
      <c r="F3164">
        <v>10066</v>
      </c>
      <c r="G3164">
        <v>18046</v>
      </c>
      <c r="H3164">
        <f>_xlfn.XLOOKUP(FACT_IMPORTS[[#This Row],[hts_6]],DIM_PRODUCTS[hts_6],DIM_PRODUCTS[hts_4],,,)</f>
        <v>8512</v>
      </c>
      <c r="I3164" t="str" cm="1">
        <f t="array" ref="I3164">_xlfn.XLOOKUP(FACT_IMPORTS[[#This Row],[country_name]],DIM_COUNTRY[[#All],[Column2]],DIM_COUNTRY[[#All],[Column3]],,,)</f>
        <v>China</v>
      </c>
    </row>
    <row r="3165" spans="1:9" x14ac:dyDescent="0.4">
      <c r="A3165" t="s">
        <v>66</v>
      </c>
      <c r="B3165" s="1">
        <v>45261</v>
      </c>
      <c r="C3165">
        <v>854231</v>
      </c>
      <c r="D3165" t="s">
        <v>176</v>
      </c>
      <c r="E3165">
        <v>236044</v>
      </c>
      <c r="F3165">
        <v>423335</v>
      </c>
      <c r="G3165">
        <v>7109</v>
      </c>
      <c r="H3165">
        <f>_xlfn.XLOOKUP(FACT_IMPORTS[[#This Row],[hts_6]],DIM_PRODUCTS[hts_6],DIM_PRODUCTS[hts_4],,,)</f>
        <v>8542</v>
      </c>
      <c r="I3165" t="str" cm="1">
        <f t="array" ref="I3165">_xlfn.XLOOKUP(FACT_IMPORTS[[#This Row],[country_name]],DIM_COUNTRY[[#All],[Column2]],DIM_COUNTRY[[#All],[Column3]],,,)</f>
        <v>China</v>
      </c>
    </row>
    <row r="3166" spans="1:9" x14ac:dyDescent="0.4">
      <c r="A3166" t="s">
        <v>66</v>
      </c>
      <c r="B3166" s="1">
        <v>45261</v>
      </c>
      <c r="C3166">
        <v>854232</v>
      </c>
      <c r="D3166" t="s">
        <v>176</v>
      </c>
      <c r="E3166">
        <v>0</v>
      </c>
      <c r="F3166">
        <v>0</v>
      </c>
      <c r="G3166">
        <v>0</v>
      </c>
      <c r="H3166">
        <f>_xlfn.XLOOKUP(FACT_IMPORTS[[#This Row],[hts_6]],DIM_PRODUCTS[hts_6],DIM_PRODUCTS[hts_4],,,)</f>
        <v>8542</v>
      </c>
      <c r="I3166" t="str" cm="1">
        <f t="array" ref="I3166">_xlfn.XLOOKUP(FACT_IMPORTS[[#This Row],[country_name]],DIM_COUNTRY[[#All],[Column2]],DIM_COUNTRY[[#All],[Column3]],,,)</f>
        <v>China</v>
      </c>
    </row>
    <row r="3167" spans="1:9" x14ac:dyDescent="0.4">
      <c r="A3167" t="s">
        <v>66</v>
      </c>
      <c r="B3167" s="1">
        <v>45261</v>
      </c>
      <c r="C3167">
        <v>854233</v>
      </c>
      <c r="D3167" t="s">
        <v>176</v>
      </c>
      <c r="E3167">
        <v>0</v>
      </c>
      <c r="F3167">
        <v>0</v>
      </c>
      <c r="G3167">
        <v>0</v>
      </c>
      <c r="H3167">
        <f>_xlfn.XLOOKUP(FACT_IMPORTS[[#This Row],[hts_6]],DIM_PRODUCTS[hts_6],DIM_PRODUCTS[hts_4],,,)</f>
        <v>8542</v>
      </c>
      <c r="I3167" t="str" cm="1">
        <f t="array" ref="I3167">_xlfn.XLOOKUP(FACT_IMPORTS[[#This Row],[country_name]],DIM_COUNTRY[[#All],[Column2]],DIM_COUNTRY[[#All],[Column3]],,,)</f>
        <v>China</v>
      </c>
    </row>
    <row r="3168" spans="1:9" x14ac:dyDescent="0.4">
      <c r="A3168" t="s">
        <v>66</v>
      </c>
      <c r="B3168" s="1">
        <v>45261</v>
      </c>
      <c r="C3168">
        <v>854239</v>
      </c>
      <c r="D3168" t="s">
        <v>176</v>
      </c>
      <c r="E3168">
        <v>2398966</v>
      </c>
      <c r="F3168">
        <v>1448749</v>
      </c>
      <c r="G3168">
        <v>217763</v>
      </c>
      <c r="H3168">
        <f>_xlfn.XLOOKUP(FACT_IMPORTS[[#This Row],[hts_6]],DIM_PRODUCTS[hts_6],DIM_PRODUCTS[hts_4],,,)</f>
        <v>8542</v>
      </c>
      <c r="I3168" t="str" cm="1">
        <f t="array" ref="I3168">_xlfn.XLOOKUP(FACT_IMPORTS[[#This Row],[country_name]],DIM_COUNTRY[[#All],[Column2]],DIM_COUNTRY[[#All],[Column3]],,,)</f>
        <v>China</v>
      </c>
    </row>
    <row r="3169" spans="1:9" x14ac:dyDescent="0.4">
      <c r="A3169" t="s">
        <v>66</v>
      </c>
      <c r="B3169" s="1">
        <v>45261</v>
      </c>
      <c r="C3169">
        <v>854290</v>
      </c>
      <c r="D3169" t="s">
        <v>176</v>
      </c>
      <c r="E3169">
        <v>0</v>
      </c>
      <c r="F3169">
        <v>0</v>
      </c>
      <c r="G3169">
        <v>0</v>
      </c>
      <c r="H3169">
        <f>_xlfn.XLOOKUP(FACT_IMPORTS[[#This Row],[hts_6]],DIM_PRODUCTS[hts_6],DIM_PRODUCTS[hts_4],,,)</f>
        <v>8542</v>
      </c>
      <c r="I3169" t="str" cm="1">
        <f t="array" ref="I3169">_xlfn.XLOOKUP(FACT_IMPORTS[[#This Row],[country_name]],DIM_COUNTRY[[#All],[Column2]],DIM_COUNTRY[[#All],[Column3]],,,)</f>
        <v>China</v>
      </c>
    </row>
    <row r="3170" spans="1:9" x14ac:dyDescent="0.4">
      <c r="A3170" t="s">
        <v>66</v>
      </c>
      <c r="B3170" s="1">
        <v>45261</v>
      </c>
      <c r="C3170">
        <v>854430</v>
      </c>
      <c r="D3170" t="s">
        <v>176</v>
      </c>
      <c r="E3170">
        <v>1015131</v>
      </c>
      <c r="F3170">
        <v>63345</v>
      </c>
      <c r="G3170">
        <v>6920</v>
      </c>
      <c r="H3170">
        <f>_xlfn.XLOOKUP(FACT_IMPORTS[[#This Row],[hts_6]],DIM_PRODUCTS[hts_6],DIM_PRODUCTS[hts_4],,,)</f>
        <v>8544</v>
      </c>
      <c r="I3170" t="str" cm="1">
        <f t="array" ref="I3170">_xlfn.XLOOKUP(FACT_IMPORTS[[#This Row],[country_name]],DIM_COUNTRY[[#All],[Column2]],DIM_COUNTRY[[#All],[Column3]],,,)</f>
        <v>China</v>
      </c>
    </row>
    <row r="3171" spans="1:9" x14ac:dyDescent="0.4">
      <c r="A3171" t="s">
        <v>66</v>
      </c>
      <c r="B3171" s="1">
        <v>45261</v>
      </c>
      <c r="C3171">
        <v>870790</v>
      </c>
      <c r="D3171" t="s">
        <v>176</v>
      </c>
      <c r="E3171">
        <v>0</v>
      </c>
      <c r="F3171">
        <v>0</v>
      </c>
      <c r="G3171">
        <v>0</v>
      </c>
      <c r="H3171">
        <f>_xlfn.XLOOKUP(FACT_IMPORTS[[#This Row],[hts_6]],DIM_PRODUCTS[hts_6],DIM_PRODUCTS[hts_4],,,)</f>
        <v>8707</v>
      </c>
      <c r="I3171" t="str" cm="1">
        <f t="array" ref="I3171">_xlfn.XLOOKUP(FACT_IMPORTS[[#This Row],[country_name]],DIM_COUNTRY[[#All],[Column2]],DIM_COUNTRY[[#All],[Column3]],,,)</f>
        <v>China</v>
      </c>
    </row>
    <row r="3172" spans="1:9" x14ac:dyDescent="0.4">
      <c r="A3172" t="s">
        <v>66</v>
      </c>
      <c r="B3172" s="1">
        <v>45261</v>
      </c>
      <c r="C3172">
        <v>870810</v>
      </c>
      <c r="D3172" t="s">
        <v>176</v>
      </c>
      <c r="E3172">
        <v>434499</v>
      </c>
      <c r="F3172">
        <v>408969</v>
      </c>
      <c r="G3172">
        <v>21796</v>
      </c>
      <c r="H3172">
        <f>_xlfn.XLOOKUP(FACT_IMPORTS[[#This Row],[hts_6]],DIM_PRODUCTS[hts_6],DIM_PRODUCTS[hts_4],,,)</f>
        <v>8708</v>
      </c>
      <c r="I3172" t="str" cm="1">
        <f t="array" ref="I3172">_xlfn.XLOOKUP(FACT_IMPORTS[[#This Row],[country_name]],DIM_COUNTRY[[#All],[Column2]],DIM_COUNTRY[[#All],[Column3]],,,)</f>
        <v>China</v>
      </c>
    </row>
    <row r="3173" spans="1:9" x14ac:dyDescent="0.4">
      <c r="A3173" t="s">
        <v>66</v>
      </c>
      <c r="B3173" s="1">
        <v>45261</v>
      </c>
      <c r="C3173">
        <v>870821</v>
      </c>
      <c r="D3173" t="s">
        <v>176</v>
      </c>
      <c r="E3173">
        <v>54883</v>
      </c>
      <c r="F3173">
        <v>6131</v>
      </c>
      <c r="G3173">
        <v>1998</v>
      </c>
      <c r="H3173">
        <f>_xlfn.XLOOKUP(FACT_IMPORTS[[#This Row],[hts_6]],DIM_PRODUCTS[hts_6],DIM_PRODUCTS[hts_4],,,)</f>
        <v>8708</v>
      </c>
      <c r="I3173" t="str" cm="1">
        <f t="array" ref="I3173">_xlfn.XLOOKUP(FACT_IMPORTS[[#This Row],[country_name]],DIM_COUNTRY[[#All],[Column2]],DIM_COUNTRY[[#All],[Column3]],,,)</f>
        <v>China</v>
      </c>
    </row>
    <row r="3174" spans="1:9" x14ac:dyDescent="0.4">
      <c r="A3174" t="s">
        <v>66</v>
      </c>
      <c r="B3174" s="1">
        <v>45261</v>
      </c>
      <c r="C3174">
        <v>870822</v>
      </c>
      <c r="D3174" t="s">
        <v>176</v>
      </c>
      <c r="E3174">
        <v>1052118</v>
      </c>
      <c r="F3174">
        <v>149818</v>
      </c>
      <c r="G3174">
        <v>59571</v>
      </c>
      <c r="H3174">
        <f>_xlfn.XLOOKUP(FACT_IMPORTS[[#This Row],[hts_6]],DIM_PRODUCTS[hts_6],DIM_PRODUCTS[hts_4],,,)</f>
        <v>8708</v>
      </c>
      <c r="I3174" t="str" cm="1">
        <f t="array" ref="I3174">_xlfn.XLOOKUP(FACT_IMPORTS[[#This Row],[country_name]],DIM_COUNTRY[[#All],[Column2]],DIM_COUNTRY[[#All],[Column3]],,,)</f>
        <v>China</v>
      </c>
    </row>
    <row r="3175" spans="1:9" x14ac:dyDescent="0.4">
      <c r="A3175" t="s">
        <v>66</v>
      </c>
      <c r="B3175" s="1">
        <v>45261</v>
      </c>
      <c r="C3175">
        <v>870829</v>
      </c>
      <c r="D3175" t="s">
        <v>176</v>
      </c>
      <c r="E3175">
        <v>13930510</v>
      </c>
      <c r="F3175">
        <v>3138101</v>
      </c>
      <c r="G3175">
        <v>420395</v>
      </c>
      <c r="H3175">
        <f>_xlfn.XLOOKUP(FACT_IMPORTS[[#This Row],[hts_6]],DIM_PRODUCTS[hts_6],DIM_PRODUCTS[hts_4],,,)</f>
        <v>8708</v>
      </c>
      <c r="I3175" t="str" cm="1">
        <f t="array" ref="I3175">_xlfn.XLOOKUP(FACT_IMPORTS[[#This Row],[country_name]],DIM_COUNTRY[[#All],[Column2]],DIM_COUNTRY[[#All],[Column3]],,,)</f>
        <v>China</v>
      </c>
    </row>
    <row r="3176" spans="1:9" x14ac:dyDescent="0.4">
      <c r="A3176" t="s">
        <v>66</v>
      </c>
      <c r="B3176" s="1">
        <v>45261</v>
      </c>
      <c r="C3176">
        <v>870830</v>
      </c>
      <c r="D3176" t="s">
        <v>176</v>
      </c>
      <c r="E3176">
        <v>8146358</v>
      </c>
      <c r="F3176">
        <v>654445</v>
      </c>
      <c r="G3176">
        <v>295153</v>
      </c>
      <c r="H3176">
        <f>_xlfn.XLOOKUP(FACT_IMPORTS[[#This Row],[hts_6]],DIM_PRODUCTS[hts_6],DIM_PRODUCTS[hts_4],,,)</f>
        <v>8708</v>
      </c>
      <c r="I3176" t="str" cm="1">
        <f t="array" ref="I3176">_xlfn.XLOOKUP(FACT_IMPORTS[[#This Row],[country_name]],DIM_COUNTRY[[#All],[Column2]],DIM_COUNTRY[[#All],[Column3]],,,)</f>
        <v>China</v>
      </c>
    </row>
    <row r="3177" spans="1:9" x14ac:dyDescent="0.4">
      <c r="A3177" t="s">
        <v>66</v>
      </c>
      <c r="B3177" s="1">
        <v>45261</v>
      </c>
      <c r="C3177">
        <v>870840</v>
      </c>
      <c r="D3177" t="s">
        <v>176</v>
      </c>
      <c r="E3177">
        <v>2656771</v>
      </c>
      <c r="F3177">
        <v>368418</v>
      </c>
      <c r="G3177">
        <v>66142</v>
      </c>
      <c r="H3177">
        <f>_xlfn.XLOOKUP(FACT_IMPORTS[[#This Row],[hts_6]],DIM_PRODUCTS[hts_6],DIM_PRODUCTS[hts_4],,,)</f>
        <v>8708</v>
      </c>
      <c r="I3177" t="str" cm="1">
        <f t="array" ref="I3177">_xlfn.XLOOKUP(FACT_IMPORTS[[#This Row],[country_name]],DIM_COUNTRY[[#All],[Column2]],DIM_COUNTRY[[#All],[Column3]],,,)</f>
        <v>China</v>
      </c>
    </row>
    <row r="3178" spans="1:9" x14ac:dyDescent="0.4">
      <c r="A3178" t="s">
        <v>66</v>
      </c>
      <c r="B3178" s="1">
        <v>45261</v>
      </c>
      <c r="C3178">
        <v>870850</v>
      </c>
      <c r="D3178" t="s">
        <v>176</v>
      </c>
      <c r="E3178">
        <v>1541242</v>
      </c>
      <c r="F3178">
        <v>410296</v>
      </c>
      <c r="G3178">
        <v>65639</v>
      </c>
      <c r="H3178">
        <f>_xlfn.XLOOKUP(FACT_IMPORTS[[#This Row],[hts_6]],DIM_PRODUCTS[hts_6],DIM_PRODUCTS[hts_4],,,)</f>
        <v>8708</v>
      </c>
      <c r="I3178" t="str" cm="1">
        <f t="array" ref="I3178">_xlfn.XLOOKUP(FACT_IMPORTS[[#This Row],[country_name]],DIM_COUNTRY[[#All],[Column2]],DIM_COUNTRY[[#All],[Column3]],,,)</f>
        <v>China</v>
      </c>
    </row>
    <row r="3179" spans="1:9" x14ac:dyDescent="0.4">
      <c r="A3179" t="s">
        <v>66</v>
      </c>
      <c r="B3179" s="1">
        <v>45261</v>
      </c>
      <c r="C3179">
        <v>870870</v>
      </c>
      <c r="D3179" t="s">
        <v>176</v>
      </c>
      <c r="E3179">
        <v>27901358</v>
      </c>
      <c r="F3179">
        <v>728898</v>
      </c>
      <c r="G3179">
        <v>1003827</v>
      </c>
      <c r="H3179">
        <f>_xlfn.XLOOKUP(FACT_IMPORTS[[#This Row],[hts_6]],DIM_PRODUCTS[hts_6],DIM_PRODUCTS[hts_4],,,)</f>
        <v>8708</v>
      </c>
      <c r="I3179" t="str" cm="1">
        <f t="array" ref="I3179">_xlfn.XLOOKUP(FACT_IMPORTS[[#This Row],[country_name]],DIM_COUNTRY[[#All],[Column2]],DIM_COUNTRY[[#All],[Column3]],,,)</f>
        <v>China</v>
      </c>
    </row>
    <row r="3180" spans="1:9" x14ac:dyDescent="0.4">
      <c r="A3180" t="s">
        <v>66</v>
      </c>
      <c r="B3180" s="1">
        <v>45261</v>
      </c>
      <c r="C3180">
        <v>870880</v>
      </c>
      <c r="D3180" t="s">
        <v>176</v>
      </c>
      <c r="E3180">
        <v>10120851</v>
      </c>
      <c r="F3180">
        <v>1827818</v>
      </c>
      <c r="G3180">
        <v>214448</v>
      </c>
      <c r="H3180">
        <f>_xlfn.XLOOKUP(FACT_IMPORTS[[#This Row],[hts_6]],DIM_PRODUCTS[hts_6],DIM_PRODUCTS[hts_4],,,)</f>
        <v>8708</v>
      </c>
      <c r="I3180" t="str" cm="1">
        <f t="array" ref="I3180">_xlfn.XLOOKUP(FACT_IMPORTS[[#This Row],[country_name]],DIM_COUNTRY[[#All],[Column2]],DIM_COUNTRY[[#All],[Column3]],,,)</f>
        <v>China</v>
      </c>
    </row>
    <row r="3181" spans="1:9" x14ac:dyDescent="0.4">
      <c r="A3181" t="s">
        <v>66</v>
      </c>
      <c r="B3181" s="1">
        <v>45261</v>
      </c>
      <c r="C3181">
        <v>870891</v>
      </c>
      <c r="D3181" t="s">
        <v>176</v>
      </c>
      <c r="E3181">
        <v>274022</v>
      </c>
      <c r="F3181">
        <v>7260</v>
      </c>
      <c r="G3181">
        <v>5491</v>
      </c>
      <c r="H3181">
        <f>_xlfn.XLOOKUP(FACT_IMPORTS[[#This Row],[hts_6]],DIM_PRODUCTS[hts_6],DIM_PRODUCTS[hts_4],,,)</f>
        <v>8708</v>
      </c>
      <c r="I3181" t="str" cm="1">
        <f t="array" ref="I3181">_xlfn.XLOOKUP(FACT_IMPORTS[[#This Row],[country_name]],DIM_COUNTRY[[#All],[Column2]],DIM_COUNTRY[[#All],[Column3]],,,)</f>
        <v>China</v>
      </c>
    </row>
    <row r="3182" spans="1:9" x14ac:dyDescent="0.4">
      <c r="A3182" t="s">
        <v>66</v>
      </c>
      <c r="B3182" s="1">
        <v>45261</v>
      </c>
      <c r="C3182">
        <v>870892</v>
      </c>
      <c r="D3182" t="s">
        <v>176</v>
      </c>
      <c r="E3182">
        <v>6526200</v>
      </c>
      <c r="F3182">
        <v>1221770</v>
      </c>
      <c r="G3182">
        <v>325238</v>
      </c>
      <c r="H3182">
        <f>_xlfn.XLOOKUP(FACT_IMPORTS[[#This Row],[hts_6]],DIM_PRODUCTS[hts_6],DIM_PRODUCTS[hts_4],,,)</f>
        <v>8708</v>
      </c>
      <c r="I3182" t="str" cm="1">
        <f t="array" ref="I3182">_xlfn.XLOOKUP(FACT_IMPORTS[[#This Row],[country_name]],DIM_COUNTRY[[#All],[Column2]],DIM_COUNTRY[[#All],[Column3]],,,)</f>
        <v>China</v>
      </c>
    </row>
    <row r="3183" spans="1:9" x14ac:dyDescent="0.4">
      <c r="A3183" t="s">
        <v>66</v>
      </c>
      <c r="B3183" s="1">
        <v>45261</v>
      </c>
      <c r="C3183">
        <v>870893</v>
      </c>
      <c r="D3183" t="s">
        <v>176</v>
      </c>
      <c r="E3183">
        <v>609956</v>
      </c>
      <c r="F3183">
        <v>201357</v>
      </c>
      <c r="G3183">
        <v>39377</v>
      </c>
      <c r="H3183">
        <f>_xlfn.XLOOKUP(FACT_IMPORTS[[#This Row],[hts_6]],DIM_PRODUCTS[hts_6],DIM_PRODUCTS[hts_4],,,)</f>
        <v>8708</v>
      </c>
      <c r="I3183" t="str" cm="1">
        <f t="array" ref="I3183">_xlfn.XLOOKUP(FACT_IMPORTS[[#This Row],[country_name]],DIM_COUNTRY[[#All],[Column2]],DIM_COUNTRY[[#All],[Column3]],,,)</f>
        <v>China</v>
      </c>
    </row>
    <row r="3184" spans="1:9" x14ac:dyDescent="0.4">
      <c r="A3184" t="s">
        <v>66</v>
      </c>
      <c r="B3184" s="1">
        <v>45261</v>
      </c>
      <c r="C3184">
        <v>870894</v>
      </c>
      <c r="D3184" t="s">
        <v>176</v>
      </c>
      <c r="E3184">
        <v>2800441</v>
      </c>
      <c r="F3184">
        <v>240990</v>
      </c>
      <c r="G3184">
        <v>134636</v>
      </c>
      <c r="H3184">
        <f>_xlfn.XLOOKUP(FACT_IMPORTS[[#This Row],[hts_6]],DIM_PRODUCTS[hts_6],DIM_PRODUCTS[hts_4],,,)</f>
        <v>8708</v>
      </c>
      <c r="I3184" t="str" cm="1">
        <f t="array" ref="I3184">_xlfn.XLOOKUP(FACT_IMPORTS[[#This Row],[country_name]],DIM_COUNTRY[[#All],[Column2]],DIM_COUNTRY[[#All],[Column3]],,,)</f>
        <v>China</v>
      </c>
    </row>
    <row r="3185" spans="1:9" x14ac:dyDescent="0.4">
      <c r="A3185" t="s">
        <v>66</v>
      </c>
      <c r="B3185" s="1">
        <v>45261</v>
      </c>
      <c r="C3185">
        <v>870895</v>
      </c>
      <c r="D3185" t="s">
        <v>176</v>
      </c>
      <c r="E3185">
        <v>494403</v>
      </c>
      <c r="F3185">
        <v>24714</v>
      </c>
      <c r="G3185">
        <v>2273</v>
      </c>
      <c r="H3185">
        <f>_xlfn.XLOOKUP(FACT_IMPORTS[[#This Row],[hts_6]],DIM_PRODUCTS[hts_6],DIM_PRODUCTS[hts_4],,,)</f>
        <v>8708</v>
      </c>
      <c r="I3185" t="str" cm="1">
        <f t="array" ref="I3185">_xlfn.XLOOKUP(FACT_IMPORTS[[#This Row],[country_name]],DIM_COUNTRY[[#All],[Column2]],DIM_COUNTRY[[#All],[Column3]],,,)</f>
        <v>China</v>
      </c>
    </row>
    <row r="3186" spans="1:9" x14ac:dyDescent="0.4">
      <c r="A3186" t="s">
        <v>66</v>
      </c>
      <c r="B3186" s="1">
        <v>45261</v>
      </c>
      <c r="C3186">
        <v>870899</v>
      </c>
      <c r="D3186" t="s">
        <v>176</v>
      </c>
      <c r="E3186">
        <v>11304464</v>
      </c>
      <c r="F3186">
        <v>1812257</v>
      </c>
      <c r="G3186">
        <v>720091</v>
      </c>
      <c r="H3186">
        <f>_xlfn.XLOOKUP(FACT_IMPORTS[[#This Row],[hts_6]],DIM_PRODUCTS[hts_6],DIM_PRODUCTS[hts_4],,,)</f>
        <v>8708</v>
      </c>
      <c r="I3186" t="str" cm="1">
        <f t="array" ref="I3186">_xlfn.XLOOKUP(FACT_IMPORTS[[#This Row],[country_name]],DIM_COUNTRY[[#All],[Column2]],DIM_COUNTRY[[#All],[Column3]],,,)</f>
        <v>China</v>
      </c>
    </row>
    <row r="3187" spans="1:9" x14ac:dyDescent="0.4">
      <c r="A3187" t="s">
        <v>66</v>
      </c>
      <c r="B3187" s="1">
        <v>45261</v>
      </c>
      <c r="C3187">
        <v>940120</v>
      </c>
      <c r="D3187" t="s">
        <v>176</v>
      </c>
      <c r="E3187">
        <v>98181</v>
      </c>
      <c r="F3187">
        <v>224</v>
      </c>
      <c r="G3187">
        <v>2349</v>
      </c>
      <c r="H3187">
        <f>_xlfn.XLOOKUP(FACT_IMPORTS[[#This Row],[hts_6]],DIM_PRODUCTS[hts_6],DIM_PRODUCTS[hts_4],,,)</f>
        <v>9401</v>
      </c>
      <c r="I3187" t="str" cm="1">
        <f t="array" ref="I3187">_xlfn.XLOOKUP(FACT_IMPORTS[[#This Row],[country_name]],DIM_COUNTRY[[#All],[Column2]],DIM_COUNTRY[[#All],[Column3]],,,)</f>
        <v>China</v>
      </c>
    </row>
    <row r="3188" spans="1:9" x14ac:dyDescent="0.4">
      <c r="A3188" t="s">
        <v>66</v>
      </c>
      <c r="B3188" s="1">
        <v>45292</v>
      </c>
      <c r="C3188">
        <v>392630</v>
      </c>
      <c r="D3188" t="s">
        <v>176</v>
      </c>
      <c r="E3188">
        <v>6946629</v>
      </c>
      <c r="F3188">
        <v>291537</v>
      </c>
      <c r="G3188">
        <v>255845</v>
      </c>
      <c r="H3188">
        <f>_xlfn.XLOOKUP(FACT_IMPORTS[[#This Row],[hts_6]],DIM_PRODUCTS[hts_6],DIM_PRODUCTS[hts_4],,,)</f>
        <v>3926</v>
      </c>
      <c r="I3188" t="str" cm="1">
        <f t="array" ref="I3188">_xlfn.XLOOKUP(FACT_IMPORTS[[#This Row],[country_name]],DIM_COUNTRY[[#All],[Column2]],DIM_COUNTRY[[#All],[Column3]],,,)</f>
        <v>China</v>
      </c>
    </row>
    <row r="3189" spans="1:9" x14ac:dyDescent="0.4">
      <c r="A3189" t="s">
        <v>66</v>
      </c>
      <c r="B3189" s="1">
        <v>45292</v>
      </c>
      <c r="C3189">
        <v>401110</v>
      </c>
      <c r="D3189" t="s">
        <v>176</v>
      </c>
      <c r="E3189">
        <v>105849</v>
      </c>
      <c r="F3189">
        <v>976</v>
      </c>
      <c r="G3189">
        <v>683</v>
      </c>
      <c r="H3189">
        <f>_xlfn.XLOOKUP(FACT_IMPORTS[[#This Row],[hts_6]],DIM_PRODUCTS[hts_6],DIM_PRODUCTS[hts_4],,,)</f>
        <v>4011</v>
      </c>
      <c r="I3189" t="str" cm="1">
        <f t="array" ref="I3189">_xlfn.XLOOKUP(FACT_IMPORTS[[#This Row],[country_name]],DIM_COUNTRY[[#All],[Column2]],DIM_COUNTRY[[#All],[Column3]],,,)</f>
        <v>China</v>
      </c>
    </row>
    <row r="3190" spans="1:9" x14ac:dyDescent="0.4">
      <c r="A3190" t="s">
        <v>66</v>
      </c>
      <c r="B3190" s="1">
        <v>45292</v>
      </c>
      <c r="C3190">
        <v>401120</v>
      </c>
      <c r="D3190" t="s">
        <v>176</v>
      </c>
      <c r="E3190">
        <v>79937</v>
      </c>
      <c r="F3190">
        <v>1120</v>
      </c>
      <c r="G3190">
        <v>10090</v>
      </c>
      <c r="H3190">
        <f>_xlfn.XLOOKUP(FACT_IMPORTS[[#This Row],[hts_6]],DIM_PRODUCTS[hts_6],DIM_PRODUCTS[hts_4],,,)</f>
        <v>4011</v>
      </c>
      <c r="I3190" t="str" cm="1">
        <f t="array" ref="I3190">_xlfn.XLOOKUP(FACT_IMPORTS[[#This Row],[country_name]],DIM_COUNTRY[[#All],[Column2]],DIM_COUNTRY[[#All],[Column3]],,,)</f>
        <v>China</v>
      </c>
    </row>
    <row r="3191" spans="1:9" x14ac:dyDescent="0.4">
      <c r="A3191" t="s">
        <v>66</v>
      </c>
      <c r="B3191" s="1">
        <v>45292</v>
      </c>
      <c r="C3191">
        <v>401140</v>
      </c>
      <c r="D3191" t="s">
        <v>176</v>
      </c>
      <c r="E3191">
        <v>32990</v>
      </c>
      <c r="F3191">
        <v>506</v>
      </c>
      <c r="G3191">
        <v>136</v>
      </c>
      <c r="H3191">
        <f>_xlfn.XLOOKUP(FACT_IMPORTS[[#This Row],[hts_6]],DIM_PRODUCTS[hts_6],DIM_PRODUCTS[hts_4],,,)</f>
        <v>4011</v>
      </c>
      <c r="I3191" t="str" cm="1">
        <f t="array" ref="I3191">_xlfn.XLOOKUP(FACT_IMPORTS[[#This Row],[country_name]],DIM_COUNTRY[[#All],[Column2]],DIM_COUNTRY[[#All],[Column3]],,,)</f>
        <v>China</v>
      </c>
    </row>
    <row r="3192" spans="1:9" x14ac:dyDescent="0.4">
      <c r="A3192" t="s">
        <v>66</v>
      </c>
      <c r="B3192" s="1">
        <v>45292</v>
      </c>
      <c r="C3192">
        <v>401190</v>
      </c>
      <c r="D3192" t="s">
        <v>176</v>
      </c>
      <c r="E3192">
        <v>380710</v>
      </c>
      <c r="F3192">
        <v>9794</v>
      </c>
      <c r="G3192">
        <v>25056</v>
      </c>
      <c r="H3192">
        <f>_xlfn.XLOOKUP(FACT_IMPORTS[[#This Row],[hts_6]],DIM_PRODUCTS[hts_6],DIM_PRODUCTS[hts_4],,,)</f>
        <v>4011</v>
      </c>
      <c r="I3192" t="str" cm="1">
        <f t="array" ref="I3192">_xlfn.XLOOKUP(FACT_IMPORTS[[#This Row],[country_name]],DIM_COUNTRY[[#All],[Column2]],DIM_COUNTRY[[#All],[Column3]],,,)</f>
        <v>China</v>
      </c>
    </row>
    <row r="3193" spans="1:9" x14ac:dyDescent="0.4">
      <c r="A3193" t="s">
        <v>66</v>
      </c>
      <c r="B3193" s="1">
        <v>45292</v>
      </c>
      <c r="C3193">
        <v>700711</v>
      </c>
      <c r="D3193" t="s">
        <v>176</v>
      </c>
      <c r="E3193">
        <v>1523623</v>
      </c>
      <c r="F3193">
        <v>119642</v>
      </c>
      <c r="G3193">
        <v>113228</v>
      </c>
      <c r="H3193">
        <f>_xlfn.XLOOKUP(FACT_IMPORTS[[#This Row],[hts_6]],DIM_PRODUCTS[hts_6],DIM_PRODUCTS[hts_4],,,)</f>
        <v>7007</v>
      </c>
      <c r="I3193" t="str" cm="1">
        <f t="array" ref="I3193">_xlfn.XLOOKUP(FACT_IMPORTS[[#This Row],[country_name]],DIM_COUNTRY[[#All],[Column2]],DIM_COUNTRY[[#All],[Column3]],,,)</f>
        <v>China</v>
      </c>
    </row>
    <row r="3194" spans="1:9" x14ac:dyDescent="0.4">
      <c r="A3194" t="s">
        <v>66</v>
      </c>
      <c r="B3194" s="1">
        <v>45292</v>
      </c>
      <c r="C3194">
        <v>700721</v>
      </c>
      <c r="D3194" t="s">
        <v>176</v>
      </c>
      <c r="E3194">
        <v>337863</v>
      </c>
      <c r="F3194">
        <v>9770</v>
      </c>
      <c r="G3194">
        <v>29378</v>
      </c>
      <c r="H3194">
        <f>_xlfn.XLOOKUP(FACT_IMPORTS[[#This Row],[hts_6]],DIM_PRODUCTS[hts_6],DIM_PRODUCTS[hts_4],,,)</f>
        <v>7007</v>
      </c>
      <c r="I3194" t="str" cm="1">
        <f t="array" ref="I3194">_xlfn.XLOOKUP(FACT_IMPORTS[[#This Row],[country_name]],DIM_COUNTRY[[#All],[Column2]],DIM_COUNTRY[[#All],[Column3]],,,)</f>
        <v>China</v>
      </c>
    </row>
    <row r="3195" spans="1:9" x14ac:dyDescent="0.4">
      <c r="A3195" t="s">
        <v>66</v>
      </c>
      <c r="B3195" s="1">
        <v>45292</v>
      </c>
      <c r="C3195">
        <v>700910</v>
      </c>
      <c r="D3195" t="s">
        <v>176</v>
      </c>
      <c r="E3195">
        <v>170161</v>
      </c>
      <c r="F3195">
        <v>138796</v>
      </c>
      <c r="G3195">
        <v>10455</v>
      </c>
      <c r="H3195">
        <f>_xlfn.XLOOKUP(FACT_IMPORTS[[#This Row],[hts_6]],DIM_PRODUCTS[hts_6],DIM_PRODUCTS[hts_4],,,)</f>
        <v>7009</v>
      </c>
      <c r="I3195" t="str" cm="1">
        <f t="array" ref="I3195">_xlfn.XLOOKUP(FACT_IMPORTS[[#This Row],[country_name]],DIM_COUNTRY[[#All],[Column2]],DIM_COUNTRY[[#All],[Column3]],,,)</f>
        <v>China</v>
      </c>
    </row>
    <row r="3196" spans="1:9" x14ac:dyDescent="0.4">
      <c r="A3196" t="s">
        <v>66</v>
      </c>
      <c r="B3196" s="1">
        <v>45292</v>
      </c>
      <c r="C3196">
        <v>732010</v>
      </c>
      <c r="D3196" t="s">
        <v>176</v>
      </c>
      <c r="E3196">
        <v>10162</v>
      </c>
      <c r="F3196">
        <v>16800</v>
      </c>
      <c r="G3196">
        <v>2400</v>
      </c>
      <c r="H3196">
        <f>_xlfn.XLOOKUP(FACT_IMPORTS[[#This Row],[hts_6]],DIM_PRODUCTS[hts_6],DIM_PRODUCTS[hts_4],,,)</f>
        <v>7320</v>
      </c>
      <c r="I3196" t="str" cm="1">
        <f t="array" ref="I3196">_xlfn.XLOOKUP(FACT_IMPORTS[[#This Row],[country_name]],DIM_COUNTRY[[#All],[Column2]],DIM_COUNTRY[[#All],[Column3]],,,)</f>
        <v>China</v>
      </c>
    </row>
    <row r="3197" spans="1:9" x14ac:dyDescent="0.4">
      <c r="A3197" t="s">
        <v>66</v>
      </c>
      <c r="B3197" s="1">
        <v>45292</v>
      </c>
      <c r="C3197">
        <v>830230</v>
      </c>
      <c r="D3197" t="s">
        <v>176</v>
      </c>
      <c r="E3197">
        <v>2788623</v>
      </c>
      <c r="F3197">
        <v>549351</v>
      </c>
      <c r="G3197">
        <v>134337</v>
      </c>
      <c r="H3197">
        <f>_xlfn.XLOOKUP(FACT_IMPORTS[[#This Row],[hts_6]],DIM_PRODUCTS[hts_6],DIM_PRODUCTS[hts_4],,,)</f>
        <v>8302</v>
      </c>
      <c r="I3197" t="str" cm="1">
        <f t="array" ref="I3197">_xlfn.XLOOKUP(FACT_IMPORTS[[#This Row],[country_name]],DIM_COUNTRY[[#All],[Column2]],DIM_COUNTRY[[#All],[Column3]],,,)</f>
        <v>China</v>
      </c>
    </row>
    <row r="3198" spans="1:9" x14ac:dyDescent="0.4">
      <c r="A3198" t="s">
        <v>66</v>
      </c>
      <c r="B3198" s="1">
        <v>45292</v>
      </c>
      <c r="C3198">
        <v>840733</v>
      </c>
      <c r="D3198" t="s">
        <v>176</v>
      </c>
      <c r="E3198">
        <v>2486</v>
      </c>
      <c r="F3198">
        <v>1</v>
      </c>
      <c r="G3198">
        <v>61</v>
      </c>
      <c r="H3198">
        <f>_xlfn.XLOOKUP(FACT_IMPORTS[[#This Row],[hts_6]],DIM_PRODUCTS[hts_6],DIM_PRODUCTS[hts_4],,,)</f>
        <v>8407</v>
      </c>
      <c r="I3198" t="str" cm="1">
        <f t="array" ref="I3198">_xlfn.XLOOKUP(FACT_IMPORTS[[#This Row],[country_name]],DIM_COUNTRY[[#All],[Column2]],DIM_COUNTRY[[#All],[Column3]],,,)</f>
        <v>China</v>
      </c>
    </row>
    <row r="3199" spans="1:9" x14ac:dyDescent="0.4">
      <c r="A3199" t="s">
        <v>66</v>
      </c>
      <c r="B3199" s="1">
        <v>45292</v>
      </c>
      <c r="C3199">
        <v>840734</v>
      </c>
      <c r="D3199" t="s">
        <v>176</v>
      </c>
      <c r="E3199">
        <v>13952</v>
      </c>
      <c r="F3199">
        <v>2</v>
      </c>
      <c r="G3199">
        <v>30</v>
      </c>
      <c r="H3199">
        <f>_xlfn.XLOOKUP(FACT_IMPORTS[[#This Row],[hts_6]],DIM_PRODUCTS[hts_6],DIM_PRODUCTS[hts_4],,,)</f>
        <v>8407</v>
      </c>
      <c r="I3199" t="str" cm="1">
        <f t="array" ref="I3199">_xlfn.XLOOKUP(FACT_IMPORTS[[#This Row],[country_name]],DIM_COUNTRY[[#All],[Column2]],DIM_COUNTRY[[#All],[Column3]],,,)</f>
        <v>China</v>
      </c>
    </row>
    <row r="3200" spans="1:9" x14ac:dyDescent="0.4">
      <c r="A3200" t="s">
        <v>66</v>
      </c>
      <c r="B3200" s="1">
        <v>45292</v>
      </c>
      <c r="C3200">
        <v>840790</v>
      </c>
      <c r="D3200" t="s">
        <v>176</v>
      </c>
      <c r="E3200">
        <v>0</v>
      </c>
      <c r="F3200">
        <v>0</v>
      </c>
      <c r="G3200">
        <v>0</v>
      </c>
      <c r="H3200">
        <f>_xlfn.XLOOKUP(FACT_IMPORTS[[#This Row],[hts_6]],DIM_PRODUCTS[hts_6],DIM_PRODUCTS[hts_4],,,)</f>
        <v>8407</v>
      </c>
      <c r="I3200" t="str" cm="1">
        <f t="array" ref="I3200">_xlfn.XLOOKUP(FACT_IMPORTS[[#This Row],[country_name]],DIM_COUNTRY[[#All],[Column2]],DIM_COUNTRY[[#All],[Column3]],,,)</f>
        <v>China</v>
      </c>
    </row>
    <row r="3201" spans="1:9" x14ac:dyDescent="0.4">
      <c r="A3201" t="s">
        <v>66</v>
      </c>
      <c r="B3201" s="1">
        <v>45292</v>
      </c>
      <c r="C3201">
        <v>840820</v>
      </c>
      <c r="D3201" t="s">
        <v>176</v>
      </c>
      <c r="E3201">
        <v>0</v>
      </c>
      <c r="F3201">
        <v>0</v>
      </c>
      <c r="G3201">
        <v>0</v>
      </c>
      <c r="H3201">
        <f>_xlfn.XLOOKUP(FACT_IMPORTS[[#This Row],[hts_6]],DIM_PRODUCTS[hts_6],DIM_PRODUCTS[hts_4],,,)</f>
        <v>8408</v>
      </c>
      <c r="I3201" t="str" cm="1">
        <f t="array" ref="I3201">_xlfn.XLOOKUP(FACT_IMPORTS[[#This Row],[country_name]],DIM_COUNTRY[[#All],[Column2]],DIM_COUNTRY[[#All],[Column3]],,,)</f>
        <v>China</v>
      </c>
    </row>
    <row r="3202" spans="1:9" x14ac:dyDescent="0.4">
      <c r="A3202" t="s">
        <v>66</v>
      </c>
      <c r="B3202" s="1">
        <v>45292</v>
      </c>
      <c r="C3202">
        <v>840890</v>
      </c>
      <c r="D3202" t="s">
        <v>176</v>
      </c>
      <c r="E3202">
        <v>20652</v>
      </c>
      <c r="F3202">
        <v>1</v>
      </c>
      <c r="G3202">
        <v>1033</v>
      </c>
      <c r="H3202">
        <f>_xlfn.XLOOKUP(FACT_IMPORTS[[#This Row],[hts_6]],DIM_PRODUCTS[hts_6],DIM_PRODUCTS[hts_4],,,)</f>
        <v>8408</v>
      </c>
      <c r="I3202" t="str" cm="1">
        <f t="array" ref="I3202">_xlfn.XLOOKUP(FACT_IMPORTS[[#This Row],[country_name]],DIM_COUNTRY[[#All],[Column2]],DIM_COUNTRY[[#All],[Column3]],,,)</f>
        <v>China</v>
      </c>
    </row>
    <row r="3203" spans="1:9" x14ac:dyDescent="0.4">
      <c r="A3203" t="s">
        <v>66</v>
      </c>
      <c r="B3203" s="1">
        <v>45292</v>
      </c>
      <c r="C3203">
        <v>840991</v>
      </c>
      <c r="D3203" t="s">
        <v>176</v>
      </c>
      <c r="E3203">
        <v>6050917</v>
      </c>
      <c r="F3203">
        <v>1194670</v>
      </c>
      <c r="G3203">
        <v>370553</v>
      </c>
      <c r="H3203">
        <f>_xlfn.XLOOKUP(FACT_IMPORTS[[#This Row],[hts_6]],DIM_PRODUCTS[hts_6],DIM_PRODUCTS[hts_4],,,)</f>
        <v>8409</v>
      </c>
      <c r="I3203" t="str" cm="1">
        <f t="array" ref="I3203">_xlfn.XLOOKUP(FACT_IMPORTS[[#This Row],[country_name]],DIM_COUNTRY[[#All],[Column2]],DIM_COUNTRY[[#All],[Column3]],,,)</f>
        <v>China</v>
      </c>
    </row>
    <row r="3204" spans="1:9" x14ac:dyDescent="0.4">
      <c r="A3204" t="s">
        <v>66</v>
      </c>
      <c r="B3204" s="1">
        <v>45292</v>
      </c>
      <c r="C3204">
        <v>840999</v>
      </c>
      <c r="D3204" t="s">
        <v>176</v>
      </c>
      <c r="E3204">
        <v>3231642</v>
      </c>
      <c r="F3204">
        <v>740746</v>
      </c>
      <c r="G3204">
        <v>177429</v>
      </c>
      <c r="H3204">
        <f>_xlfn.XLOOKUP(FACT_IMPORTS[[#This Row],[hts_6]],DIM_PRODUCTS[hts_6],DIM_PRODUCTS[hts_4],,,)</f>
        <v>8409</v>
      </c>
      <c r="I3204" t="str" cm="1">
        <f t="array" ref="I3204">_xlfn.XLOOKUP(FACT_IMPORTS[[#This Row],[country_name]],DIM_COUNTRY[[#All],[Column2]],DIM_COUNTRY[[#All],[Column3]],,,)</f>
        <v>China</v>
      </c>
    </row>
    <row r="3205" spans="1:9" x14ac:dyDescent="0.4">
      <c r="A3205" t="s">
        <v>66</v>
      </c>
      <c r="B3205" s="1">
        <v>45292</v>
      </c>
      <c r="C3205">
        <v>841330</v>
      </c>
      <c r="D3205" t="s">
        <v>176</v>
      </c>
      <c r="E3205">
        <v>1958183</v>
      </c>
      <c r="F3205">
        <v>37679</v>
      </c>
      <c r="G3205">
        <v>43522</v>
      </c>
      <c r="H3205">
        <f>_xlfn.XLOOKUP(FACT_IMPORTS[[#This Row],[hts_6]],DIM_PRODUCTS[hts_6],DIM_PRODUCTS[hts_4],,,)</f>
        <v>8413</v>
      </c>
      <c r="I3205" t="str" cm="1">
        <f t="array" ref="I3205">_xlfn.XLOOKUP(FACT_IMPORTS[[#This Row],[country_name]],DIM_COUNTRY[[#All],[Column2]],DIM_COUNTRY[[#All],[Column3]],,,)</f>
        <v>China</v>
      </c>
    </row>
    <row r="3206" spans="1:9" x14ac:dyDescent="0.4">
      <c r="A3206" t="s">
        <v>66</v>
      </c>
      <c r="B3206" s="1">
        <v>45292</v>
      </c>
      <c r="C3206">
        <v>841520</v>
      </c>
      <c r="D3206" t="s">
        <v>176</v>
      </c>
      <c r="E3206">
        <v>284604</v>
      </c>
      <c r="F3206">
        <v>2607</v>
      </c>
      <c r="G3206">
        <v>8204</v>
      </c>
      <c r="H3206">
        <f>_xlfn.XLOOKUP(FACT_IMPORTS[[#This Row],[hts_6]],DIM_PRODUCTS[hts_6],DIM_PRODUCTS[hts_4],,,)</f>
        <v>8415</v>
      </c>
      <c r="I3206" t="str" cm="1">
        <f t="array" ref="I3206">_xlfn.XLOOKUP(FACT_IMPORTS[[#This Row],[country_name]],DIM_COUNTRY[[#All],[Column2]],DIM_COUNTRY[[#All],[Column3]],,,)</f>
        <v>China</v>
      </c>
    </row>
    <row r="3207" spans="1:9" x14ac:dyDescent="0.4">
      <c r="A3207" t="s">
        <v>66</v>
      </c>
      <c r="B3207" s="1">
        <v>45292</v>
      </c>
      <c r="C3207">
        <v>842132</v>
      </c>
      <c r="D3207" t="s">
        <v>176</v>
      </c>
      <c r="E3207">
        <v>18816</v>
      </c>
      <c r="F3207">
        <v>36</v>
      </c>
      <c r="G3207">
        <v>2780</v>
      </c>
      <c r="H3207">
        <f>_xlfn.XLOOKUP(FACT_IMPORTS[[#This Row],[hts_6]],DIM_PRODUCTS[hts_6],DIM_PRODUCTS[hts_4],,,)</f>
        <v>8421</v>
      </c>
      <c r="I3207" t="str" cm="1">
        <f t="array" ref="I3207">_xlfn.XLOOKUP(FACT_IMPORTS[[#This Row],[country_name]],DIM_COUNTRY[[#All],[Column2]],DIM_COUNTRY[[#All],[Column3]],,,)</f>
        <v>China</v>
      </c>
    </row>
    <row r="3208" spans="1:9" x14ac:dyDescent="0.4">
      <c r="A3208" t="s">
        <v>66</v>
      </c>
      <c r="B3208" s="1">
        <v>45292</v>
      </c>
      <c r="C3208">
        <v>848210</v>
      </c>
      <c r="D3208" t="s">
        <v>176</v>
      </c>
      <c r="E3208">
        <v>922522</v>
      </c>
      <c r="F3208">
        <v>1067755</v>
      </c>
      <c r="G3208">
        <v>27069</v>
      </c>
      <c r="H3208">
        <f>_xlfn.XLOOKUP(FACT_IMPORTS[[#This Row],[hts_6]],DIM_PRODUCTS[hts_6],DIM_PRODUCTS[hts_4],,,)</f>
        <v>8482</v>
      </c>
      <c r="I3208" t="str" cm="1">
        <f t="array" ref="I3208">_xlfn.XLOOKUP(FACT_IMPORTS[[#This Row],[country_name]],DIM_COUNTRY[[#All],[Column2]],DIM_COUNTRY[[#All],[Column3]],,,)</f>
        <v>China</v>
      </c>
    </row>
    <row r="3209" spans="1:9" x14ac:dyDescent="0.4">
      <c r="A3209" t="s">
        <v>66</v>
      </c>
      <c r="B3209" s="1">
        <v>45292</v>
      </c>
      <c r="C3209">
        <v>848220</v>
      </c>
      <c r="D3209" t="s">
        <v>176</v>
      </c>
      <c r="E3209">
        <v>0</v>
      </c>
      <c r="F3209">
        <v>0</v>
      </c>
      <c r="G3209">
        <v>0</v>
      </c>
      <c r="H3209">
        <f>_xlfn.XLOOKUP(FACT_IMPORTS[[#This Row],[hts_6]],DIM_PRODUCTS[hts_6],DIM_PRODUCTS[hts_4],,,)</f>
        <v>8482</v>
      </c>
      <c r="I3209" t="str" cm="1">
        <f t="array" ref="I3209">_xlfn.XLOOKUP(FACT_IMPORTS[[#This Row],[country_name]],DIM_COUNTRY[[#All],[Column2]],DIM_COUNTRY[[#All],[Column3]],,,)</f>
        <v>China</v>
      </c>
    </row>
    <row r="3210" spans="1:9" x14ac:dyDescent="0.4">
      <c r="A3210" t="s">
        <v>66</v>
      </c>
      <c r="B3210" s="1">
        <v>45292</v>
      </c>
      <c r="C3210">
        <v>848310</v>
      </c>
      <c r="D3210" t="s">
        <v>176</v>
      </c>
      <c r="E3210">
        <v>1210445</v>
      </c>
      <c r="F3210">
        <v>73125</v>
      </c>
      <c r="G3210">
        <v>51046</v>
      </c>
      <c r="H3210">
        <f>_xlfn.XLOOKUP(FACT_IMPORTS[[#This Row],[hts_6]],DIM_PRODUCTS[hts_6],DIM_PRODUCTS[hts_4],,,)</f>
        <v>8483</v>
      </c>
      <c r="I3210" t="str" cm="1">
        <f t="array" ref="I3210">_xlfn.XLOOKUP(FACT_IMPORTS[[#This Row],[country_name]],DIM_COUNTRY[[#All],[Column2]],DIM_COUNTRY[[#All],[Column3]],,,)</f>
        <v>China</v>
      </c>
    </row>
    <row r="3211" spans="1:9" x14ac:dyDescent="0.4">
      <c r="A3211" t="s">
        <v>66</v>
      </c>
      <c r="B3211" s="1">
        <v>45292</v>
      </c>
      <c r="C3211">
        <v>850131</v>
      </c>
      <c r="D3211" t="s">
        <v>176</v>
      </c>
      <c r="E3211">
        <v>2949985</v>
      </c>
      <c r="F3211">
        <v>387370</v>
      </c>
      <c r="G3211">
        <v>13122</v>
      </c>
      <c r="H3211">
        <f>_xlfn.XLOOKUP(FACT_IMPORTS[[#This Row],[hts_6]],DIM_PRODUCTS[hts_6],DIM_PRODUCTS[hts_4],,,)</f>
        <v>8501</v>
      </c>
      <c r="I3211" t="str" cm="1">
        <f t="array" ref="I3211">_xlfn.XLOOKUP(FACT_IMPORTS[[#This Row],[country_name]],DIM_COUNTRY[[#All],[Column2]],DIM_COUNTRY[[#All],[Column3]],,,)</f>
        <v>China</v>
      </c>
    </row>
    <row r="3212" spans="1:9" x14ac:dyDescent="0.4">
      <c r="A3212" t="s">
        <v>66</v>
      </c>
      <c r="B3212" s="1">
        <v>45292</v>
      </c>
      <c r="C3212">
        <v>850132</v>
      </c>
      <c r="D3212" t="s">
        <v>176</v>
      </c>
      <c r="E3212">
        <v>0</v>
      </c>
      <c r="F3212">
        <v>0</v>
      </c>
      <c r="G3212">
        <v>0</v>
      </c>
      <c r="H3212">
        <f>_xlfn.XLOOKUP(FACT_IMPORTS[[#This Row],[hts_6]],DIM_PRODUCTS[hts_6],DIM_PRODUCTS[hts_4],,,)</f>
        <v>8501</v>
      </c>
      <c r="I3212" t="str" cm="1">
        <f t="array" ref="I3212">_xlfn.XLOOKUP(FACT_IMPORTS[[#This Row],[country_name]],DIM_COUNTRY[[#All],[Column2]],DIM_COUNTRY[[#All],[Column3]],,,)</f>
        <v>China</v>
      </c>
    </row>
    <row r="3213" spans="1:9" x14ac:dyDescent="0.4">
      <c r="A3213" t="s">
        <v>66</v>
      </c>
      <c r="B3213" s="1">
        <v>45292</v>
      </c>
      <c r="C3213">
        <v>850133</v>
      </c>
      <c r="D3213" t="s">
        <v>176</v>
      </c>
      <c r="E3213">
        <v>0</v>
      </c>
      <c r="F3213">
        <v>0</v>
      </c>
      <c r="G3213">
        <v>0</v>
      </c>
      <c r="H3213">
        <f>_xlfn.XLOOKUP(FACT_IMPORTS[[#This Row],[hts_6]],DIM_PRODUCTS[hts_6],DIM_PRODUCTS[hts_4],,,)</f>
        <v>8501</v>
      </c>
      <c r="I3213" t="str" cm="1">
        <f t="array" ref="I3213">_xlfn.XLOOKUP(FACT_IMPORTS[[#This Row],[country_name]],DIM_COUNTRY[[#All],[Column2]],DIM_COUNTRY[[#All],[Column3]],,,)</f>
        <v>China</v>
      </c>
    </row>
    <row r="3214" spans="1:9" x14ac:dyDescent="0.4">
      <c r="A3214" t="s">
        <v>66</v>
      </c>
      <c r="B3214" s="1">
        <v>45292</v>
      </c>
      <c r="C3214">
        <v>850152</v>
      </c>
      <c r="D3214" t="s">
        <v>176</v>
      </c>
      <c r="E3214">
        <v>84750</v>
      </c>
      <c r="F3214">
        <v>64</v>
      </c>
      <c r="G3214">
        <v>2129</v>
      </c>
      <c r="H3214">
        <f>_xlfn.XLOOKUP(FACT_IMPORTS[[#This Row],[hts_6]],DIM_PRODUCTS[hts_6],DIM_PRODUCTS[hts_4],,,)</f>
        <v>8501</v>
      </c>
      <c r="I3214" t="str" cm="1">
        <f t="array" ref="I3214">_xlfn.XLOOKUP(FACT_IMPORTS[[#This Row],[country_name]],DIM_COUNTRY[[#All],[Column2]],DIM_COUNTRY[[#All],[Column3]],,,)</f>
        <v>China</v>
      </c>
    </row>
    <row r="3215" spans="1:9" x14ac:dyDescent="0.4">
      <c r="A3215" t="s">
        <v>66</v>
      </c>
      <c r="B3215" s="1">
        <v>45292</v>
      </c>
      <c r="C3215">
        <v>850153</v>
      </c>
      <c r="D3215" t="s">
        <v>176</v>
      </c>
      <c r="E3215">
        <v>499816</v>
      </c>
      <c r="F3215">
        <v>165</v>
      </c>
      <c r="G3215">
        <v>13162</v>
      </c>
      <c r="H3215">
        <f>_xlfn.XLOOKUP(FACT_IMPORTS[[#This Row],[hts_6]],DIM_PRODUCTS[hts_6],DIM_PRODUCTS[hts_4],,,)</f>
        <v>8501</v>
      </c>
      <c r="I3215" t="str" cm="1">
        <f t="array" ref="I3215">_xlfn.XLOOKUP(FACT_IMPORTS[[#This Row],[country_name]],DIM_COUNTRY[[#All],[Column2]],DIM_COUNTRY[[#All],[Column3]],,,)</f>
        <v>China</v>
      </c>
    </row>
    <row r="3216" spans="1:9" x14ac:dyDescent="0.4">
      <c r="A3216" t="s">
        <v>66</v>
      </c>
      <c r="B3216" s="1">
        <v>45292</v>
      </c>
      <c r="C3216">
        <v>850161</v>
      </c>
      <c r="D3216" t="s">
        <v>176</v>
      </c>
      <c r="E3216">
        <v>96964</v>
      </c>
      <c r="F3216">
        <v>1</v>
      </c>
      <c r="G3216">
        <v>4640</v>
      </c>
      <c r="H3216">
        <f>_xlfn.XLOOKUP(FACT_IMPORTS[[#This Row],[hts_6]],DIM_PRODUCTS[hts_6],DIM_PRODUCTS[hts_4],,,)</f>
        <v>8501</v>
      </c>
      <c r="I3216" t="str" cm="1">
        <f t="array" ref="I3216">_xlfn.XLOOKUP(FACT_IMPORTS[[#This Row],[country_name]],DIM_COUNTRY[[#All],[Column2]],DIM_COUNTRY[[#All],[Column3]],,,)</f>
        <v>China</v>
      </c>
    </row>
    <row r="3217" spans="1:9" x14ac:dyDescent="0.4">
      <c r="A3217" t="s">
        <v>66</v>
      </c>
      <c r="B3217" s="1">
        <v>45292</v>
      </c>
      <c r="C3217">
        <v>850440</v>
      </c>
      <c r="D3217" t="s">
        <v>176</v>
      </c>
      <c r="E3217">
        <v>1482267</v>
      </c>
      <c r="F3217">
        <v>12374</v>
      </c>
      <c r="G3217">
        <v>13988</v>
      </c>
      <c r="H3217">
        <f>_xlfn.XLOOKUP(FACT_IMPORTS[[#This Row],[hts_6]],DIM_PRODUCTS[hts_6],DIM_PRODUCTS[hts_4],,,)</f>
        <v>8504</v>
      </c>
      <c r="I3217" t="str" cm="1">
        <f t="array" ref="I3217">_xlfn.XLOOKUP(FACT_IMPORTS[[#This Row],[country_name]],DIM_COUNTRY[[#All],[Column2]],DIM_COUNTRY[[#All],[Column3]],,,)</f>
        <v>China</v>
      </c>
    </row>
    <row r="3218" spans="1:9" x14ac:dyDescent="0.4">
      <c r="A3218" t="s">
        <v>66</v>
      </c>
      <c r="B3218" s="1">
        <v>45292</v>
      </c>
      <c r="C3218">
        <v>850710</v>
      </c>
      <c r="D3218" t="s">
        <v>176</v>
      </c>
      <c r="E3218">
        <v>0</v>
      </c>
      <c r="F3218">
        <v>0</v>
      </c>
      <c r="G3218">
        <v>0</v>
      </c>
      <c r="H3218">
        <f>_xlfn.XLOOKUP(FACT_IMPORTS[[#This Row],[hts_6]],DIM_PRODUCTS[hts_6],DIM_PRODUCTS[hts_4],,,)</f>
        <v>8507</v>
      </c>
      <c r="I3218" t="str" cm="1">
        <f t="array" ref="I3218">_xlfn.XLOOKUP(FACT_IMPORTS[[#This Row],[country_name]],DIM_COUNTRY[[#All],[Column2]],DIM_COUNTRY[[#All],[Column3]],,,)</f>
        <v>China</v>
      </c>
    </row>
    <row r="3219" spans="1:9" x14ac:dyDescent="0.4">
      <c r="A3219" t="s">
        <v>66</v>
      </c>
      <c r="B3219" s="1">
        <v>45292</v>
      </c>
      <c r="C3219">
        <v>850760</v>
      </c>
      <c r="D3219" t="s">
        <v>176</v>
      </c>
      <c r="E3219">
        <v>442483</v>
      </c>
      <c r="F3219">
        <v>627</v>
      </c>
      <c r="G3219">
        <v>36749</v>
      </c>
      <c r="H3219">
        <f>_xlfn.XLOOKUP(FACT_IMPORTS[[#This Row],[hts_6]],DIM_PRODUCTS[hts_6],DIM_PRODUCTS[hts_4],,,)</f>
        <v>8507</v>
      </c>
      <c r="I3219" t="str" cm="1">
        <f t="array" ref="I3219">_xlfn.XLOOKUP(FACT_IMPORTS[[#This Row],[country_name]],DIM_COUNTRY[[#All],[Column2]],DIM_COUNTRY[[#All],[Column3]],,,)</f>
        <v>China</v>
      </c>
    </row>
    <row r="3220" spans="1:9" x14ac:dyDescent="0.4">
      <c r="A3220" t="s">
        <v>66</v>
      </c>
      <c r="B3220" s="1">
        <v>45292</v>
      </c>
      <c r="C3220">
        <v>850790</v>
      </c>
      <c r="D3220" t="s">
        <v>176</v>
      </c>
      <c r="E3220">
        <v>2466513</v>
      </c>
      <c r="F3220">
        <v>68726</v>
      </c>
      <c r="G3220">
        <v>9098</v>
      </c>
      <c r="H3220">
        <f>_xlfn.XLOOKUP(FACT_IMPORTS[[#This Row],[hts_6]],DIM_PRODUCTS[hts_6],DIM_PRODUCTS[hts_4],,,)</f>
        <v>8507</v>
      </c>
      <c r="I3220" t="str" cm="1">
        <f t="array" ref="I3220">_xlfn.XLOOKUP(FACT_IMPORTS[[#This Row],[country_name]],DIM_COUNTRY[[#All],[Column2]],DIM_COUNTRY[[#All],[Column3]],,,)</f>
        <v>China</v>
      </c>
    </row>
    <row r="3221" spans="1:9" x14ac:dyDescent="0.4">
      <c r="A3221" t="s">
        <v>66</v>
      </c>
      <c r="B3221" s="1">
        <v>45292</v>
      </c>
      <c r="C3221">
        <v>851130</v>
      </c>
      <c r="D3221" t="s">
        <v>176</v>
      </c>
      <c r="E3221">
        <v>18418</v>
      </c>
      <c r="F3221">
        <v>581</v>
      </c>
      <c r="G3221">
        <v>264</v>
      </c>
      <c r="H3221">
        <f>_xlfn.XLOOKUP(FACT_IMPORTS[[#This Row],[hts_6]],DIM_PRODUCTS[hts_6],DIM_PRODUCTS[hts_4],,,)</f>
        <v>8511</v>
      </c>
      <c r="I3221" t="str" cm="1">
        <f t="array" ref="I3221">_xlfn.XLOOKUP(FACT_IMPORTS[[#This Row],[country_name]],DIM_COUNTRY[[#All],[Column2]],DIM_COUNTRY[[#All],[Column3]],,,)</f>
        <v>China</v>
      </c>
    </row>
    <row r="3222" spans="1:9" x14ac:dyDescent="0.4">
      <c r="A3222" t="s">
        <v>66</v>
      </c>
      <c r="B3222" s="1">
        <v>45292</v>
      </c>
      <c r="C3222">
        <v>851140</v>
      </c>
      <c r="D3222" t="s">
        <v>176</v>
      </c>
      <c r="E3222">
        <v>324463</v>
      </c>
      <c r="F3222">
        <v>4695</v>
      </c>
      <c r="G3222">
        <v>3168</v>
      </c>
      <c r="H3222">
        <f>_xlfn.XLOOKUP(FACT_IMPORTS[[#This Row],[hts_6]],DIM_PRODUCTS[hts_6],DIM_PRODUCTS[hts_4],,,)</f>
        <v>8511</v>
      </c>
      <c r="I3222" t="str" cm="1">
        <f t="array" ref="I3222">_xlfn.XLOOKUP(FACT_IMPORTS[[#This Row],[country_name]],DIM_COUNTRY[[#All],[Column2]],DIM_COUNTRY[[#All],[Column3]],,,)</f>
        <v>China</v>
      </c>
    </row>
    <row r="3223" spans="1:9" x14ac:dyDescent="0.4">
      <c r="A3223" t="s">
        <v>66</v>
      </c>
      <c r="B3223" s="1">
        <v>45292</v>
      </c>
      <c r="C3223">
        <v>851150</v>
      </c>
      <c r="D3223" t="s">
        <v>176</v>
      </c>
      <c r="E3223">
        <v>362245</v>
      </c>
      <c r="F3223">
        <v>10995</v>
      </c>
      <c r="G3223">
        <v>9337</v>
      </c>
      <c r="H3223">
        <f>_xlfn.XLOOKUP(FACT_IMPORTS[[#This Row],[hts_6]],DIM_PRODUCTS[hts_6],DIM_PRODUCTS[hts_4],,,)</f>
        <v>8511</v>
      </c>
      <c r="I3223" t="str" cm="1">
        <f t="array" ref="I3223">_xlfn.XLOOKUP(FACT_IMPORTS[[#This Row],[country_name]],DIM_COUNTRY[[#All],[Column2]],DIM_COUNTRY[[#All],[Column3]],,,)</f>
        <v>China</v>
      </c>
    </row>
    <row r="3224" spans="1:9" x14ac:dyDescent="0.4">
      <c r="A3224" t="s">
        <v>66</v>
      </c>
      <c r="B3224" s="1">
        <v>45292</v>
      </c>
      <c r="C3224">
        <v>851180</v>
      </c>
      <c r="D3224" t="s">
        <v>176</v>
      </c>
      <c r="E3224">
        <v>3401</v>
      </c>
      <c r="F3224">
        <v>178</v>
      </c>
      <c r="G3224">
        <v>2</v>
      </c>
      <c r="H3224">
        <f>_xlfn.XLOOKUP(FACT_IMPORTS[[#This Row],[hts_6]],DIM_PRODUCTS[hts_6],DIM_PRODUCTS[hts_4],,,)</f>
        <v>8511</v>
      </c>
      <c r="I3224" t="str" cm="1">
        <f t="array" ref="I3224">_xlfn.XLOOKUP(FACT_IMPORTS[[#This Row],[country_name]],DIM_COUNTRY[[#All],[Column2]],DIM_COUNTRY[[#All],[Column3]],,,)</f>
        <v>China</v>
      </c>
    </row>
    <row r="3225" spans="1:9" x14ac:dyDescent="0.4">
      <c r="A3225" t="s">
        <v>66</v>
      </c>
      <c r="B3225" s="1">
        <v>45292</v>
      </c>
      <c r="C3225">
        <v>851190</v>
      </c>
      <c r="D3225" t="s">
        <v>176</v>
      </c>
      <c r="E3225">
        <v>159779</v>
      </c>
      <c r="F3225">
        <v>15203</v>
      </c>
      <c r="G3225">
        <v>16440</v>
      </c>
      <c r="H3225">
        <f>_xlfn.XLOOKUP(FACT_IMPORTS[[#This Row],[hts_6]],DIM_PRODUCTS[hts_6],DIM_PRODUCTS[hts_4],,,)</f>
        <v>8511</v>
      </c>
      <c r="I3225" t="str" cm="1">
        <f t="array" ref="I3225">_xlfn.XLOOKUP(FACT_IMPORTS[[#This Row],[country_name]],DIM_COUNTRY[[#All],[Column2]],DIM_COUNTRY[[#All],[Column3]],,,)</f>
        <v>China</v>
      </c>
    </row>
    <row r="3226" spans="1:9" x14ac:dyDescent="0.4">
      <c r="A3226" t="s">
        <v>66</v>
      </c>
      <c r="B3226" s="1">
        <v>45292</v>
      </c>
      <c r="C3226">
        <v>851220</v>
      </c>
      <c r="D3226" t="s">
        <v>176</v>
      </c>
      <c r="E3226">
        <v>3655751</v>
      </c>
      <c r="F3226">
        <v>2420829</v>
      </c>
      <c r="G3226">
        <v>218044</v>
      </c>
      <c r="H3226">
        <f>_xlfn.XLOOKUP(FACT_IMPORTS[[#This Row],[hts_6]],DIM_PRODUCTS[hts_6],DIM_PRODUCTS[hts_4],,,)</f>
        <v>8512</v>
      </c>
      <c r="I3226" t="str" cm="1">
        <f t="array" ref="I3226">_xlfn.XLOOKUP(FACT_IMPORTS[[#This Row],[country_name]],DIM_COUNTRY[[#All],[Column2]],DIM_COUNTRY[[#All],[Column3]],,,)</f>
        <v>China</v>
      </c>
    </row>
    <row r="3227" spans="1:9" x14ac:dyDescent="0.4">
      <c r="A3227" t="s">
        <v>66</v>
      </c>
      <c r="B3227" s="1">
        <v>45292</v>
      </c>
      <c r="C3227">
        <v>851230</v>
      </c>
      <c r="D3227" t="s">
        <v>176</v>
      </c>
      <c r="E3227">
        <v>0</v>
      </c>
      <c r="F3227">
        <v>0</v>
      </c>
      <c r="G3227">
        <v>0</v>
      </c>
      <c r="H3227">
        <f>_xlfn.XLOOKUP(FACT_IMPORTS[[#This Row],[hts_6]],DIM_PRODUCTS[hts_6],DIM_PRODUCTS[hts_4],,,)</f>
        <v>8512</v>
      </c>
      <c r="I3227" t="str" cm="1">
        <f t="array" ref="I3227">_xlfn.XLOOKUP(FACT_IMPORTS[[#This Row],[country_name]],DIM_COUNTRY[[#All],[Column2]],DIM_COUNTRY[[#All],[Column3]],,,)</f>
        <v>China</v>
      </c>
    </row>
    <row r="3228" spans="1:9" x14ac:dyDescent="0.4">
      <c r="A3228" t="s">
        <v>66</v>
      </c>
      <c r="B3228" s="1">
        <v>45292</v>
      </c>
      <c r="C3228">
        <v>851240</v>
      </c>
      <c r="D3228" t="s">
        <v>176</v>
      </c>
      <c r="E3228">
        <v>2140</v>
      </c>
      <c r="F3228">
        <v>46</v>
      </c>
      <c r="G3228">
        <v>4</v>
      </c>
      <c r="H3228">
        <f>_xlfn.XLOOKUP(FACT_IMPORTS[[#This Row],[hts_6]],DIM_PRODUCTS[hts_6],DIM_PRODUCTS[hts_4],,,)</f>
        <v>8512</v>
      </c>
      <c r="I3228" t="str" cm="1">
        <f t="array" ref="I3228">_xlfn.XLOOKUP(FACT_IMPORTS[[#This Row],[country_name]],DIM_COUNTRY[[#All],[Column2]],DIM_COUNTRY[[#All],[Column3]],,,)</f>
        <v>China</v>
      </c>
    </row>
    <row r="3229" spans="1:9" x14ac:dyDescent="0.4">
      <c r="A3229" t="s">
        <v>66</v>
      </c>
      <c r="B3229" s="1">
        <v>45292</v>
      </c>
      <c r="C3229">
        <v>851290</v>
      </c>
      <c r="D3229" t="s">
        <v>176</v>
      </c>
      <c r="E3229">
        <v>722387</v>
      </c>
      <c r="F3229">
        <v>14379</v>
      </c>
      <c r="G3229">
        <v>13711</v>
      </c>
      <c r="H3229">
        <f>_xlfn.XLOOKUP(FACT_IMPORTS[[#This Row],[hts_6]],DIM_PRODUCTS[hts_6],DIM_PRODUCTS[hts_4],,,)</f>
        <v>8512</v>
      </c>
      <c r="I3229" t="str" cm="1">
        <f t="array" ref="I3229">_xlfn.XLOOKUP(FACT_IMPORTS[[#This Row],[country_name]],DIM_COUNTRY[[#All],[Column2]],DIM_COUNTRY[[#All],[Column3]],,,)</f>
        <v>China</v>
      </c>
    </row>
    <row r="3230" spans="1:9" x14ac:dyDescent="0.4">
      <c r="A3230" t="s">
        <v>66</v>
      </c>
      <c r="B3230" s="1">
        <v>45292</v>
      </c>
      <c r="C3230">
        <v>854231</v>
      </c>
      <c r="D3230" t="s">
        <v>176</v>
      </c>
      <c r="E3230">
        <v>1196100</v>
      </c>
      <c r="F3230">
        <v>213219</v>
      </c>
      <c r="G3230">
        <v>59986</v>
      </c>
      <c r="H3230">
        <f>_xlfn.XLOOKUP(FACT_IMPORTS[[#This Row],[hts_6]],DIM_PRODUCTS[hts_6],DIM_PRODUCTS[hts_4],,,)</f>
        <v>8542</v>
      </c>
      <c r="I3230" t="str" cm="1">
        <f t="array" ref="I3230">_xlfn.XLOOKUP(FACT_IMPORTS[[#This Row],[country_name]],DIM_COUNTRY[[#All],[Column2]],DIM_COUNTRY[[#All],[Column3]],,,)</f>
        <v>China</v>
      </c>
    </row>
    <row r="3231" spans="1:9" x14ac:dyDescent="0.4">
      <c r="A3231" t="s">
        <v>66</v>
      </c>
      <c r="B3231" s="1">
        <v>45292</v>
      </c>
      <c r="C3231">
        <v>854232</v>
      </c>
      <c r="D3231" t="s">
        <v>176</v>
      </c>
      <c r="E3231">
        <v>0</v>
      </c>
      <c r="F3231">
        <v>0</v>
      </c>
      <c r="G3231">
        <v>0</v>
      </c>
      <c r="H3231">
        <f>_xlfn.XLOOKUP(FACT_IMPORTS[[#This Row],[hts_6]],DIM_PRODUCTS[hts_6],DIM_PRODUCTS[hts_4],,,)</f>
        <v>8542</v>
      </c>
      <c r="I3231" t="str" cm="1">
        <f t="array" ref="I3231">_xlfn.XLOOKUP(FACT_IMPORTS[[#This Row],[country_name]],DIM_COUNTRY[[#All],[Column2]],DIM_COUNTRY[[#All],[Column3]],,,)</f>
        <v>China</v>
      </c>
    </row>
    <row r="3232" spans="1:9" x14ac:dyDescent="0.4">
      <c r="A3232" t="s">
        <v>66</v>
      </c>
      <c r="B3232" s="1">
        <v>45292</v>
      </c>
      <c r="C3232">
        <v>854233</v>
      </c>
      <c r="D3232" t="s">
        <v>176</v>
      </c>
      <c r="E3232">
        <v>0</v>
      </c>
      <c r="F3232">
        <v>0</v>
      </c>
      <c r="G3232">
        <v>0</v>
      </c>
      <c r="H3232">
        <f>_xlfn.XLOOKUP(FACT_IMPORTS[[#This Row],[hts_6]],DIM_PRODUCTS[hts_6],DIM_PRODUCTS[hts_4],,,)</f>
        <v>8542</v>
      </c>
      <c r="I3232" t="str" cm="1">
        <f t="array" ref="I3232">_xlfn.XLOOKUP(FACT_IMPORTS[[#This Row],[country_name]],DIM_COUNTRY[[#All],[Column2]],DIM_COUNTRY[[#All],[Column3]],,,)</f>
        <v>China</v>
      </c>
    </row>
    <row r="3233" spans="1:9" x14ac:dyDescent="0.4">
      <c r="A3233" t="s">
        <v>66</v>
      </c>
      <c r="B3233" s="1">
        <v>45292</v>
      </c>
      <c r="C3233">
        <v>854239</v>
      </c>
      <c r="D3233" t="s">
        <v>176</v>
      </c>
      <c r="E3233">
        <v>363213</v>
      </c>
      <c r="F3233">
        <v>366551</v>
      </c>
      <c r="G3233">
        <v>35912</v>
      </c>
      <c r="H3233">
        <f>_xlfn.XLOOKUP(FACT_IMPORTS[[#This Row],[hts_6]],DIM_PRODUCTS[hts_6],DIM_PRODUCTS[hts_4],,,)</f>
        <v>8542</v>
      </c>
      <c r="I3233" t="str" cm="1">
        <f t="array" ref="I3233">_xlfn.XLOOKUP(FACT_IMPORTS[[#This Row],[country_name]],DIM_COUNTRY[[#All],[Column2]],DIM_COUNTRY[[#All],[Column3]],,,)</f>
        <v>China</v>
      </c>
    </row>
    <row r="3234" spans="1:9" x14ac:dyDescent="0.4">
      <c r="A3234" t="s">
        <v>66</v>
      </c>
      <c r="B3234" s="1">
        <v>45292</v>
      </c>
      <c r="C3234">
        <v>854290</v>
      </c>
      <c r="D3234" t="s">
        <v>176</v>
      </c>
      <c r="E3234">
        <v>0</v>
      </c>
      <c r="F3234">
        <v>0</v>
      </c>
      <c r="G3234">
        <v>0</v>
      </c>
      <c r="H3234">
        <f>_xlfn.XLOOKUP(FACT_IMPORTS[[#This Row],[hts_6]],DIM_PRODUCTS[hts_6],DIM_PRODUCTS[hts_4],,,)</f>
        <v>8542</v>
      </c>
      <c r="I3234" t="str" cm="1">
        <f t="array" ref="I3234">_xlfn.XLOOKUP(FACT_IMPORTS[[#This Row],[country_name]],DIM_COUNTRY[[#All],[Column2]],DIM_COUNTRY[[#All],[Column3]],,,)</f>
        <v>China</v>
      </c>
    </row>
    <row r="3235" spans="1:9" x14ac:dyDescent="0.4">
      <c r="A3235" t="s">
        <v>66</v>
      </c>
      <c r="B3235" s="1">
        <v>45292</v>
      </c>
      <c r="C3235">
        <v>854430</v>
      </c>
      <c r="D3235" t="s">
        <v>176</v>
      </c>
      <c r="E3235">
        <v>361563</v>
      </c>
      <c r="F3235">
        <v>94354</v>
      </c>
      <c r="G3235">
        <v>15107</v>
      </c>
      <c r="H3235">
        <f>_xlfn.XLOOKUP(FACT_IMPORTS[[#This Row],[hts_6]],DIM_PRODUCTS[hts_6],DIM_PRODUCTS[hts_4],,,)</f>
        <v>8544</v>
      </c>
      <c r="I3235" t="str" cm="1">
        <f t="array" ref="I3235">_xlfn.XLOOKUP(FACT_IMPORTS[[#This Row],[country_name]],DIM_COUNTRY[[#All],[Column2]],DIM_COUNTRY[[#All],[Column3]],,,)</f>
        <v>China</v>
      </c>
    </row>
    <row r="3236" spans="1:9" x14ac:dyDescent="0.4">
      <c r="A3236" t="s">
        <v>66</v>
      </c>
      <c r="B3236" s="1">
        <v>45292</v>
      </c>
      <c r="C3236">
        <v>870710</v>
      </c>
      <c r="D3236" t="s">
        <v>176</v>
      </c>
      <c r="E3236">
        <v>0</v>
      </c>
      <c r="F3236">
        <v>0</v>
      </c>
      <c r="G3236">
        <v>0</v>
      </c>
      <c r="H3236">
        <f>_xlfn.XLOOKUP(FACT_IMPORTS[[#This Row],[hts_6]],DIM_PRODUCTS[hts_6],DIM_PRODUCTS[hts_4],,,)</f>
        <v>8707</v>
      </c>
      <c r="I3236" t="str" cm="1">
        <f t="array" ref="I3236">_xlfn.XLOOKUP(FACT_IMPORTS[[#This Row],[country_name]],DIM_COUNTRY[[#All],[Column2]],DIM_COUNTRY[[#All],[Column3]],,,)</f>
        <v>China</v>
      </c>
    </row>
    <row r="3237" spans="1:9" x14ac:dyDescent="0.4">
      <c r="A3237" t="s">
        <v>66</v>
      </c>
      <c r="B3237" s="1">
        <v>45292</v>
      </c>
      <c r="C3237">
        <v>870810</v>
      </c>
      <c r="D3237" t="s">
        <v>176</v>
      </c>
      <c r="E3237">
        <v>632505</v>
      </c>
      <c r="F3237">
        <v>16327</v>
      </c>
      <c r="G3237">
        <v>61171</v>
      </c>
      <c r="H3237">
        <f>_xlfn.XLOOKUP(FACT_IMPORTS[[#This Row],[hts_6]],DIM_PRODUCTS[hts_6],DIM_PRODUCTS[hts_4],,,)</f>
        <v>8708</v>
      </c>
      <c r="I3237" t="str" cm="1">
        <f t="array" ref="I3237">_xlfn.XLOOKUP(FACT_IMPORTS[[#This Row],[country_name]],DIM_COUNTRY[[#All],[Column2]],DIM_COUNTRY[[#All],[Column3]],,,)</f>
        <v>China</v>
      </c>
    </row>
    <row r="3238" spans="1:9" x14ac:dyDescent="0.4">
      <c r="A3238" t="s">
        <v>66</v>
      </c>
      <c r="B3238" s="1">
        <v>45292</v>
      </c>
      <c r="C3238">
        <v>870821</v>
      </c>
      <c r="D3238" t="s">
        <v>176</v>
      </c>
      <c r="E3238">
        <v>40810</v>
      </c>
      <c r="F3238">
        <v>3517</v>
      </c>
      <c r="G3238">
        <v>2456</v>
      </c>
      <c r="H3238">
        <f>_xlfn.XLOOKUP(FACT_IMPORTS[[#This Row],[hts_6]],DIM_PRODUCTS[hts_6],DIM_PRODUCTS[hts_4],,,)</f>
        <v>8708</v>
      </c>
      <c r="I3238" t="str" cm="1">
        <f t="array" ref="I3238">_xlfn.XLOOKUP(FACT_IMPORTS[[#This Row],[country_name]],DIM_COUNTRY[[#All],[Column2]],DIM_COUNTRY[[#All],[Column3]],,,)</f>
        <v>China</v>
      </c>
    </row>
    <row r="3239" spans="1:9" x14ac:dyDescent="0.4">
      <c r="A3239" t="s">
        <v>66</v>
      </c>
      <c r="B3239" s="1">
        <v>45292</v>
      </c>
      <c r="C3239">
        <v>870822</v>
      </c>
      <c r="D3239" t="s">
        <v>176</v>
      </c>
      <c r="E3239">
        <v>1340915</v>
      </c>
      <c r="F3239">
        <v>128335</v>
      </c>
      <c r="G3239">
        <v>72720</v>
      </c>
      <c r="H3239">
        <f>_xlfn.XLOOKUP(FACT_IMPORTS[[#This Row],[hts_6]],DIM_PRODUCTS[hts_6],DIM_PRODUCTS[hts_4],,,)</f>
        <v>8708</v>
      </c>
      <c r="I3239" t="str" cm="1">
        <f t="array" ref="I3239">_xlfn.XLOOKUP(FACT_IMPORTS[[#This Row],[country_name]],DIM_COUNTRY[[#All],[Column2]],DIM_COUNTRY[[#All],[Column3]],,,)</f>
        <v>China</v>
      </c>
    </row>
    <row r="3240" spans="1:9" x14ac:dyDescent="0.4">
      <c r="A3240" t="s">
        <v>66</v>
      </c>
      <c r="B3240" s="1">
        <v>45292</v>
      </c>
      <c r="C3240">
        <v>870829</v>
      </c>
      <c r="D3240" t="s">
        <v>176</v>
      </c>
      <c r="E3240">
        <v>16716521</v>
      </c>
      <c r="F3240">
        <v>2932709</v>
      </c>
      <c r="G3240">
        <v>564719</v>
      </c>
      <c r="H3240">
        <f>_xlfn.XLOOKUP(FACT_IMPORTS[[#This Row],[hts_6]],DIM_PRODUCTS[hts_6],DIM_PRODUCTS[hts_4],,,)</f>
        <v>8708</v>
      </c>
      <c r="I3240" t="str" cm="1">
        <f t="array" ref="I3240">_xlfn.XLOOKUP(FACT_IMPORTS[[#This Row],[country_name]],DIM_COUNTRY[[#All],[Column2]],DIM_COUNTRY[[#All],[Column3]],,,)</f>
        <v>China</v>
      </c>
    </row>
    <row r="3241" spans="1:9" x14ac:dyDescent="0.4">
      <c r="A3241" t="s">
        <v>66</v>
      </c>
      <c r="B3241" s="1">
        <v>45292</v>
      </c>
      <c r="C3241">
        <v>870830</v>
      </c>
      <c r="D3241" t="s">
        <v>176</v>
      </c>
      <c r="E3241">
        <v>8926386</v>
      </c>
      <c r="F3241">
        <v>733512</v>
      </c>
      <c r="G3241">
        <v>195318</v>
      </c>
      <c r="H3241">
        <f>_xlfn.XLOOKUP(FACT_IMPORTS[[#This Row],[hts_6]],DIM_PRODUCTS[hts_6],DIM_PRODUCTS[hts_4],,,)</f>
        <v>8708</v>
      </c>
      <c r="I3241" t="str" cm="1">
        <f t="array" ref="I3241">_xlfn.XLOOKUP(FACT_IMPORTS[[#This Row],[country_name]],DIM_COUNTRY[[#All],[Column2]],DIM_COUNTRY[[#All],[Column3]],,,)</f>
        <v>China</v>
      </c>
    </row>
    <row r="3242" spans="1:9" x14ac:dyDescent="0.4">
      <c r="A3242" t="s">
        <v>66</v>
      </c>
      <c r="B3242" s="1">
        <v>45292</v>
      </c>
      <c r="C3242">
        <v>870840</v>
      </c>
      <c r="D3242" t="s">
        <v>176</v>
      </c>
      <c r="E3242">
        <v>4449994</v>
      </c>
      <c r="F3242">
        <v>816766</v>
      </c>
      <c r="G3242">
        <v>129078</v>
      </c>
      <c r="H3242">
        <f>_xlfn.XLOOKUP(FACT_IMPORTS[[#This Row],[hts_6]],DIM_PRODUCTS[hts_6],DIM_PRODUCTS[hts_4],,,)</f>
        <v>8708</v>
      </c>
      <c r="I3242" t="str" cm="1">
        <f t="array" ref="I3242">_xlfn.XLOOKUP(FACT_IMPORTS[[#This Row],[country_name]],DIM_COUNTRY[[#All],[Column2]],DIM_COUNTRY[[#All],[Column3]],,,)</f>
        <v>China</v>
      </c>
    </row>
    <row r="3243" spans="1:9" x14ac:dyDescent="0.4">
      <c r="A3243" t="s">
        <v>66</v>
      </c>
      <c r="B3243" s="1">
        <v>45292</v>
      </c>
      <c r="C3243">
        <v>870850</v>
      </c>
      <c r="D3243" t="s">
        <v>176</v>
      </c>
      <c r="E3243">
        <v>1650390</v>
      </c>
      <c r="F3243">
        <v>298015</v>
      </c>
      <c r="G3243">
        <v>46140</v>
      </c>
      <c r="H3243">
        <f>_xlfn.XLOOKUP(FACT_IMPORTS[[#This Row],[hts_6]],DIM_PRODUCTS[hts_6],DIM_PRODUCTS[hts_4],,,)</f>
        <v>8708</v>
      </c>
      <c r="I3243" t="str" cm="1">
        <f t="array" ref="I3243">_xlfn.XLOOKUP(FACT_IMPORTS[[#This Row],[country_name]],DIM_COUNTRY[[#All],[Column2]],DIM_COUNTRY[[#All],[Column3]],,,)</f>
        <v>China</v>
      </c>
    </row>
    <row r="3244" spans="1:9" x14ac:dyDescent="0.4">
      <c r="A3244" t="s">
        <v>66</v>
      </c>
      <c r="B3244" s="1">
        <v>45292</v>
      </c>
      <c r="C3244">
        <v>870870</v>
      </c>
      <c r="D3244" t="s">
        <v>176</v>
      </c>
      <c r="E3244">
        <v>22815552</v>
      </c>
      <c r="F3244">
        <v>782177</v>
      </c>
      <c r="G3244">
        <v>882873</v>
      </c>
      <c r="H3244">
        <f>_xlfn.XLOOKUP(FACT_IMPORTS[[#This Row],[hts_6]],DIM_PRODUCTS[hts_6],DIM_PRODUCTS[hts_4],,,)</f>
        <v>8708</v>
      </c>
      <c r="I3244" t="str" cm="1">
        <f t="array" ref="I3244">_xlfn.XLOOKUP(FACT_IMPORTS[[#This Row],[country_name]],DIM_COUNTRY[[#All],[Column2]],DIM_COUNTRY[[#All],[Column3]],,,)</f>
        <v>China</v>
      </c>
    </row>
    <row r="3245" spans="1:9" x14ac:dyDescent="0.4">
      <c r="A3245" t="s">
        <v>66</v>
      </c>
      <c r="B3245" s="1">
        <v>45292</v>
      </c>
      <c r="C3245">
        <v>870880</v>
      </c>
      <c r="D3245" t="s">
        <v>176</v>
      </c>
      <c r="E3245">
        <v>13781102</v>
      </c>
      <c r="F3245">
        <v>2118794</v>
      </c>
      <c r="G3245">
        <v>211857</v>
      </c>
      <c r="H3245">
        <f>_xlfn.XLOOKUP(FACT_IMPORTS[[#This Row],[hts_6]],DIM_PRODUCTS[hts_6],DIM_PRODUCTS[hts_4],,,)</f>
        <v>8708</v>
      </c>
      <c r="I3245" t="str" cm="1">
        <f t="array" ref="I3245">_xlfn.XLOOKUP(FACT_IMPORTS[[#This Row],[country_name]],DIM_COUNTRY[[#All],[Column2]],DIM_COUNTRY[[#All],[Column3]],,,)</f>
        <v>China</v>
      </c>
    </row>
    <row r="3246" spans="1:9" x14ac:dyDescent="0.4">
      <c r="A3246" t="s">
        <v>66</v>
      </c>
      <c r="B3246" s="1">
        <v>45292</v>
      </c>
      <c r="C3246">
        <v>870891</v>
      </c>
      <c r="D3246" t="s">
        <v>176</v>
      </c>
      <c r="E3246">
        <v>127606</v>
      </c>
      <c r="F3246">
        <v>3914</v>
      </c>
      <c r="G3246">
        <v>20003</v>
      </c>
      <c r="H3246">
        <f>_xlfn.XLOOKUP(FACT_IMPORTS[[#This Row],[hts_6]],DIM_PRODUCTS[hts_6],DIM_PRODUCTS[hts_4],,,)</f>
        <v>8708</v>
      </c>
      <c r="I3246" t="str" cm="1">
        <f t="array" ref="I3246">_xlfn.XLOOKUP(FACT_IMPORTS[[#This Row],[country_name]],DIM_COUNTRY[[#All],[Column2]],DIM_COUNTRY[[#All],[Column3]],,,)</f>
        <v>China</v>
      </c>
    </row>
    <row r="3247" spans="1:9" x14ac:dyDescent="0.4">
      <c r="A3247" t="s">
        <v>66</v>
      </c>
      <c r="B3247" s="1">
        <v>45292</v>
      </c>
      <c r="C3247">
        <v>870892</v>
      </c>
      <c r="D3247" t="s">
        <v>176</v>
      </c>
      <c r="E3247">
        <v>5896169</v>
      </c>
      <c r="F3247">
        <v>1000897</v>
      </c>
      <c r="G3247">
        <v>324759</v>
      </c>
      <c r="H3247">
        <f>_xlfn.XLOOKUP(FACT_IMPORTS[[#This Row],[hts_6]],DIM_PRODUCTS[hts_6],DIM_PRODUCTS[hts_4],,,)</f>
        <v>8708</v>
      </c>
      <c r="I3247" t="str" cm="1">
        <f t="array" ref="I3247">_xlfn.XLOOKUP(FACT_IMPORTS[[#This Row],[country_name]],DIM_COUNTRY[[#All],[Column2]],DIM_COUNTRY[[#All],[Column3]],,,)</f>
        <v>China</v>
      </c>
    </row>
    <row r="3248" spans="1:9" x14ac:dyDescent="0.4">
      <c r="A3248" t="s">
        <v>66</v>
      </c>
      <c r="B3248" s="1">
        <v>45292</v>
      </c>
      <c r="C3248">
        <v>870893</v>
      </c>
      <c r="D3248" t="s">
        <v>176</v>
      </c>
      <c r="E3248">
        <v>394144</v>
      </c>
      <c r="F3248">
        <v>213105</v>
      </c>
      <c r="G3248">
        <v>21456</v>
      </c>
      <c r="H3248">
        <f>_xlfn.XLOOKUP(FACT_IMPORTS[[#This Row],[hts_6]],DIM_PRODUCTS[hts_6],DIM_PRODUCTS[hts_4],,,)</f>
        <v>8708</v>
      </c>
      <c r="I3248" t="str" cm="1">
        <f t="array" ref="I3248">_xlfn.XLOOKUP(FACT_IMPORTS[[#This Row],[country_name]],DIM_COUNTRY[[#All],[Column2]],DIM_COUNTRY[[#All],[Column3]],,,)</f>
        <v>China</v>
      </c>
    </row>
    <row r="3249" spans="1:9" x14ac:dyDescent="0.4">
      <c r="A3249" t="s">
        <v>66</v>
      </c>
      <c r="B3249" s="1">
        <v>45292</v>
      </c>
      <c r="C3249">
        <v>870894</v>
      </c>
      <c r="D3249" t="s">
        <v>176</v>
      </c>
      <c r="E3249">
        <v>3884598</v>
      </c>
      <c r="F3249">
        <v>353576</v>
      </c>
      <c r="G3249">
        <v>133685</v>
      </c>
      <c r="H3249">
        <f>_xlfn.XLOOKUP(FACT_IMPORTS[[#This Row],[hts_6]],DIM_PRODUCTS[hts_6],DIM_PRODUCTS[hts_4],,,)</f>
        <v>8708</v>
      </c>
      <c r="I3249" t="str" cm="1">
        <f t="array" ref="I3249">_xlfn.XLOOKUP(FACT_IMPORTS[[#This Row],[country_name]],DIM_COUNTRY[[#All],[Column2]],DIM_COUNTRY[[#All],[Column3]],,,)</f>
        <v>China</v>
      </c>
    </row>
    <row r="3250" spans="1:9" x14ac:dyDescent="0.4">
      <c r="A3250" t="s">
        <v>66</v>
      </c>
      <c r="B3250" s="1">
        <v>45292</v>
      </c>
      <c r="C3250">
        <v>870895</v>
      </c>
      <c r="D3250" t="s">
        <v>176</v>
      </c>
      <c r="E3250">
        <v>51522</v>
      </c>
      <c r="F3250">
        <v>14741</v>
      </c>
      <c r="G3250">
        <v>2360</v>
      </c>
      <c r="H3250">
        <f>_xlfn.XLOOKUP(FACT_IMPORTS[[#This Row],[hts_6]],DIM_PRODUCTS[hts_6],DIM_PRODUCTS[hts_4],,,)</f>
        <v>8708</v>
      </c>
      <c r="I3250" t="str" cm="1">
        <f t="array" ref="I3250">_xlfn.XLOOKUP(FACT_IMPORTS[[#This Row],[country_name]],DIM_COUNTRY[[#All],[Column2]],DIM_COUNTRY[[#All],[Column3]],,,)</f>
        <v>China</v>
      </c>
    </row>
    <row r="3251" spans="1:9" x14ac:dyDescent="0.4">
      <c r="A3251" t="s">
        <v>66</v>
      </c>
      <c r="B3251" s="1">
        <v>45292</v>
      </c>
      <c r="C3251">
        <v>870899</v>
      </c>
      <c r="D3251" t="s">
        <v>176</v>
      </c>
      <c r="E3251">
        <v>9917354</v>
      </c>
      <c r="F3251">
        <v>1821582</v>
      </c>
      <c r="G3251">
        <v>521139</v>
      </c>
      <c r="H3251">
        <f>_xlfn.XLOOKUP(FACT_IMPORTS[[#This Row],[hts_6]],DIM_PRODUCTS[hts_6],DIM_PRODUCTS[hts_4],,,)</f>
        <v>8708</v>
      </c>
      <c r="I3251" t="str" cm="1">
        <f t="array" ref="I3251">_xlfn.XLOOKUP(FACT_IMPORTS[[#This Row],[country_name]],DIM_COUNTRY[[#All],[Column2]],DIM_COUNTRY[[#All],[Column3]],,,)</f>
        <v>China</v>
      </c>
    </row>
    <row r="3252" spans="1:9" x14ac:dyDescent="0.4">
      <c r="A3252" t="s">
        <v>66</v>
      </c>
      <c r="B3252" s="1">
        <v>45292</v>
      </c>
      <c r="C3252">
        <v>940120</v>
      </c>
      <c r="D3252" t="s">
        <v>176</v>
      </c>
      <c r="E3252">
        <v>135442</v>
      </c>
      <c r="F3252">
        <v>234</v>
      </c>
      <c r="G3252">
        <v>4898</v>
      </c>
      <c r="H3252">
        <f>_xlfn.XLOOKUP(FACT_IMPORTS[[#This Row],[hts_6]],DIM_PRODUCTS[hts_6],DIM_PRODUCTS[hts_4],,,)</f>
        <v>9401</v>
      </c>
      <c r="I3252" t="str" cm="1">
        <f t="array" ref="I3252">_xlfn.XLOOKUP(FACT_IMPORTS[[#This Row],[country_name]],DIM_COUNTRY[[#All],[Column2]],DIM_COUNTRY[[#All],[Column3]],,,)</f>
        <v>China</v>
      </c>
    </row>
    <row r="3253" spans="1:9" x14ac:dyDescent="0.4">
      <c r="A3253" t="s">
        <v>66</v>
      </c>
      <c r="B3253" s="1">
        <v>45323</v>
      </c>
      <c r="C3253">
        <v>392630</v>
      </c>
      <c r="D3253" t="s">
        <v>176</v>
      </c>
      <c r="E3253">
        <v>8483926</v>
      </c>
      <c r="F3253">
        <v>339170</v>
      </c>
      <c r="G3253">
        <v>226290</v>
      </c>
      <c r="H3253">
        <f>_xlfn.XLOOKUP(FACT_IMPORTS[[#This Row],[hts_6]],DIM_PRODUCTS[hts_6],DIM_PRODUCTS[hts_4],,,)</f>
        <v>3926</v>
      </c>
      <c r="I3253" t="str" cm="1">
        <f t="array" ref="I3253">_xlfn.XLOOKUP(FACT_IMPORTS[[#This Row],[country_name]],DIM_COUNTRY[[#All],[Column2]],DIM_COUNTRY[[#All],[Column3]],,,)</f>
        <v>China</v>
      </c>
    </row>
    <row r="3254" spans="1:9" x14ac:dyDescent="0.4">
      <c r="A3254" t="s">
        <v>66</v>
      </c>
      <c r="B3254" s="1">
        <v>45323</v>
      </c>
      <c r="C3254">
        <v>401110</v>
      </c>
      <c r="D3254" t="s">
        <v>176</v>
      </c>
      <c r="E3254">
        <v>7363</v>
      </c>
      <c r="F3254">
        <v>43</v>
      </c>
      <c r="G3254">
        <v>246</v>
      </c>
      <c r="H3254">
        <f>_xlfn.XLOOKUP(FACT_IMPORTS[[#This Row],[hts_6]],DIM_PRODUCTS[hts_6],DIM_PRODUCTS[hts_4],,,)</f>
        <v>4011</v>
      </c>
      <c r="I3254" t="str" cm="1">
        <f t="array" ref="I3254">_xlfn.XLOOKUP(FACT_IMPORTS[[#This Row],[country_name]],DIM_COUNTRY[[#All],[Column2]],DIM_COUNTRY[[#All],[Column3]],,,)</f>
        <v>China</v>
      </c>
    </row>
    <row r="3255" spans="1:9" x14ac:dyDescent="0.4">
      <c r="A3255" t="s">
        <v>66</v>
      </c>
      <c r="B3255" s="1">
        <v>45323</v>
      </c>
      <c r="C3255">
        <v>401120</v>
      </c>
      <c r="D3255" t="s">
        <v>176</v>
      </c>
      <c r="E3255">
        <v>335376</v>
      </c>
      <c r="F3255">
        <v>3910</v>
      </c>
      <c r="G3255">
        <v>25464</v>
      </c>
      <c r="H3255">
        <f>_xlfn.XLOOKUP(FACT_IMPORTS[[#This Row],[hts_6]],DIM_PRODUCTS[hts_6],DIM_PRODUCTS[hts_4],,,)</f>
        <v>4011</v>
      </c>
      <c r="I3255" t="str" cm="1">
        <f t="array" ref="I3255">_xlfn.XLOOKUP(FACT_IMPORTS[[#This Row],[country_name]],DIM_COUNTRY[[#All],[Column2]],DIM_COUNTRY[[#All],[Column3]],,,)</f>
        <v>China</v>
      </c>
    </row>
    <row r="3256" spans="1:9" x14ac:dyDescent="0.4">
      <c r="A3256" t="s">
        <v>66</v>
      </c>
      <c r="B3256" s="1">
        <v>45323</v>
      </c>
      <c r="C3256">
        <v>401140</v>
      </c>
      <c r="D3256" t="s">
        <v>176</v>
      </c>
      <c r="E3256">
        <v>18579</v>
      </c>
      <c r="F3256">
        <v>392</v>
      </c>
      <c r="G3256">
        <v>102</v>
      </c>
      <c r="H3256">
        <f>_xlfn.XLOOKUP(FACT_IMPORTS[[#This Row],[hts_6]],DIM_PRODUCTS[hts_6],DIM_PRODUCTS[hts_4],,,)</f>
        <v>4011</v>
      </c>
      <c r="I3256" t="str" cm="1">
        <f t="array" ref="I3256">_xlfn.XLOOKUP(FACT_IMPORTS[[#This Row],[country_name]],DIM_COUNTRY[[#All],[Column2]],DIM_COUNTRY[[#All],[Column3]],,,)</f>
        <v>China</v>
      </c>
    </row>
    <row r="3257" spans="1:9" x14ac:dyDescent="0.4">
      <c r="A3257" t="s">
        <v>66</v>
      </c>
      <c r="B3257" s="1">
        <v>45323</v>
      </c>
      <c r="C3257">
        <v>401190</v>
      </c>
      <c r="D3257" t="s">
        <v>176</v>
      </c>
      <c r="E3257">
        <v>546663</v>
      </c>
      <c r="F3257">
        <v>15514</v>
      </c>
      <c r="G3257">
        <v>38526</v>
      </c>
      <c r="H3257">
        <f>_xlfn.XLOOKUP(FACT_IMPORTS[[#This Row],[hts_6]],DIM_PRODUCTS[hts_6],DIM_PRODUCTS[hts_4],,,)</f>
        <v>4011</v>
      </c>
      <c r="I3257" t="str" cm="1">
        <f t="array" ref="I3257">_xlfn.XLOOKUP(FACT_IMPORTS[[#This Row],[country_name]],DIM_COUNTRY[[#All],[Column2]],DIM_COUNTRY[[#All],[Column3]],,,)</f>
        <v>China</v>
      </c>
    </row>
    <row r="3258" spans="1:9" x14ac:dyDescent="0.4">
      <c r="A3258" t="s">
        <v>66</v>
      </c>
      <c r="B3258" s="1">
        <v>45323</v>
      </c>
      <c r="C3258">
        <v>700711</v>
      </c>
      <c r="D3258" t="s">
        <v>176</v>
      </c>
      <c r="E3258">
        <v>1575446</v>
      </c>
      <c r="F3258">
        <v>134141</v>
      </c>
      <c r="G3258">
        <v>178396</v>
      </c>
      <c r="H3258">
        <f>_xlfn.XLOOKUP(FACT_IMPORTS[[#This Row],[hts_6]],DIM_PRODUCTS[hts_6],DIM_PRODUCTS[hts_4],,,)</f>
        <v>7007</v>
      </c>
      <c r="I3258" t="str" cm="1">
        <f t="array" ref="I3258">_xlfn.XLOOKUP(FACT_IMPORTS[[#This Row],[country_name]],DIM_COUNTRY[[#All],[Column2]],DIM_COUNTRY[[#All],[Column3]],,,)</f>
        <v>China</v>
      </c>
    </row>
    <row r="3259" spans="1:9" x14ac:dyDescent="0.4">
      <c r="A3259" t="s">
        <v>66</v>
      </c>
      <c r="B3259" s="1">
        <v>45323</v>
      </c>
      <c r="C3259">
        <v>700721</v>
      </c>
      <c r="D3259" t="s">
        <v>176</v>
      </c>
      <c r="E3259">
        <v>97721</v>
      </c>
      <c r="F3259">
        <v>3868</v>
      </c>
      <c r="G3259">
        <v>10242</v>
      </c>
      <c r="H3259">
        <f>_xlfn.XLOOKUP(FACT_IMPORTS[[#This Row],[hts_6]],DIM_PRODUCTS[hts_6],DIM_PRODUCTS[hts_4],,,)</f>
        <v>7007</v>
      </c>
      <c r="I3259" t="str" cm="1">
        <f t="array" ref="I3259">_xlfn.XLOOKUP(FACT_IMPORTS[[#This Row],[country_name]],DIM_COUNTRY[[#All],[Column2]],DIM_COUNTRY[[#All],[Column3]],,,)</f>
        <v>China</v>
      </c>
    </row>
    <row r="3260" spans="1:9" x14ac:dyDescent="0.4">
      <c r="A3260" t="s">
        <v>66</v>
      </c>
      <c r="B3260" s="1">
        <v>45323</v>
      </c>
      <c r="C3260">
        <v>700910</v>
      </c>
      <c r="D3260" t="s">
        <v>176</v>
      </c>
      <c r="E3260">
        <v>605730</v>
      </c>
      <c r="F3260">
        <v>539908</v>
      </c>
      <c r="G3260">
        <v>43264</v>
      </c>
      <c r="H3260">
        <f>_xlfn.XLOOKUP(FACT_IMPORTS[[#This Row],[hts_6]],DIM_PRODUCTS[hts_6],DIM_PRODUCTS[hts_4],,,)</f>
        <v>7009</v>
      </c>
      <c r="I3260" t="str" cm="1">
        <f t="array" ref="I3260">_xlfn.XLOOKUP(FACT_IMPORTS[[#This Row],[country_name]],DIM_COUNTRY[[#All],[Column2]],DIM_COUNTRY[[#All],[Column3]],,,)</f>
        <v>China</v>
      </c>
    </row>
    <row r="3261" spans="1:9" x14ac:dyDescent="0.4">
      <c r="A3261" t="s">
        <v>66</v>
      </c>
      <c r="B3261" s="1">
        <v>45323</v>
      </c>
      <c r="C3261">
        <v>732010</v>
      </c>
      <c r="D3261" t="s">
        <v>176</v>
      </c>
      <c r="E3261">
        <v>2720</v>
      </c>
      <c r="F3261">
        <v>109</v>
      </c>
      <c r="G3261">
        <v>15</v>
      </c>
      <c r="H3261">
        <f>_xlfn.XLOOKUP(FACT_IMPORTS[[#This Row],[hts_6]],DIM_PRODUCTS[hts_6],DIM_PRODUCTS[hts_4],,,)</f>
        <v>7320</v>
      </c>
      <c r="I3261" t="str" cm="1">
        <f t="array" ref="I3261">_xlfn.XLOOKUP(FACT_IMPORTS[[#This Row],[country_name]],DIM_COUNTRY[[#All],[Column2]],DIM_COUNTRY[[#All],[Column3]],,,)</f>
        <v>China</v>
      </c>
    </row>
    <row r="3262" spans="1:9" x14ac:dyDescent="0.4">
      <c r="A3262" t="s">
        <v>66</v>
      </c>
      <c r="B3262" s="1">
        <v>45323</v>
      </c>
      <c r="C3262">
        <v>830230</v>
      </c>
      <c r="D3262" t="s">
        <v>176</v>
      </c>
      <c r="E3262">
        <v>5271920</v>
      </c>
      <c r="F3262">
        <v>1408375</v>
      </c>
      <c r="G3262">
        <v>255526</v>
      </c>
      <c r="H3262">
        <f>_xlfn.XLOOKUP(FACT_IMPORTS[[#This Row],[hts_6]],DIM_PRODUCTS[hts_6],DIM_PRODUCTS[hts_4],,,)</f>
        <v>8302</v>
      </c>
      <c r="I3262" t="str" cm="1">
        <f t="array" ref="I3262">_xlfn.XLOOKUP(FACT_IMPORTS[[#This Row],[country_name]],DIM_COUNTRY[[#All],[Column2]],DIM_COUNTRY[[#All],[Column3]],,,)</f>
        <v>China</v>
      </c>
    </row>
    <row r="3263" spans="1:9" x14ac:dyDescent="0.4">
      <c r="A3263" t="s">
        <v>66</v>
      </c>
      <c r="B3263" s="1">
        <v>45323</v>
      </c>
      <c r="C3263">
        <v>840733</v>
      </c>
      <c r="D3263" t="s">
        <v>176</v>
      </c>
      <c r="E3263">
        <v>0</v>
      </c>
      <c r="F3263">
        <v>0</v>
      </c>
      <c r="G3263">
        <v>0</v>
      </c>
      <c r="H3263">
        <f>_xlfn.XLOOKUP(FACT_IMPORTS[[#This Row],[hts_6]],DIM_PRODUCTS[hts_6],DIM_PRODUCTS[hts_4],,,)</f>
        <v>8407</v>
      </c>
      <c r="I3263" t="str" cm="1">
        <f t="array" ref="I3263">_xlfn.XLOOKUP(FACT_IMPORTS[[#This Row],[country_name]],DIM_COUNTRY[[#All],[Column2]],DIM_COUNTRY[[#All],[Column3]],,,)</f>
        <v>China</v>
      </c>
    </row>
    <row r="3264" spans="1:9" x14ac:dyDescent="0.4">
      <c r="A3264" t="s">
        <v>66</v>
      </c>
      <c r="B3264" s="1">
        <v>45323</v>
      </c>
      <c r="C3264">
        <v>840734</v>
      </c>
      <c r="D3264" t="s">
        <v>176</v>
      </c>
      <c r="E3264">
        <v>0</v>
      </c>
      <c r="F3264">
        <v>0</v>
      </c>
      <c r="G3264">
        <v>0</v>
      </c>
      <c r="H3264">
        <f>_xlfn.XLOOKUP(FACT_IMPORTS[[#This Row],[hts_6]],DIM_PRODUCTS[hts_6],DIM_PRODUCTS[hts_4],,,)</f>
        <v>8407</v>
      </c>
      <c r="I3264" t="str" cm="1">
        <f t="array" ref="I3264">_xlfn.XLOOKUP(FACT_IMPORTS[[#This Row],[country_name]],DIM_COUNTRY[[#All],[Column2]],DIM_COUNTRY[[#All],[Column3]],,,)</f>
        <v>China</v>
      </c>
    </row>
    <row r="3265" spans="1:9" x14ac:dyDescent="0.4">
      <c r="A3265" t="s">
        <v>66</v>
      </c>
      <c r="B3265" s="1">
        <v>45323</v>
      </c>
      <c r="C3265">
        <v>840790</v>
      </c>
      <c r="D3265" t="s">
        <v>176</v>
      </c>
      <c r="E3265">
        <v>0</v>
      </c>
      <c r="F3265">
        <v>0</v>
      </c>
      <c r="G3265">
        <v>0</v>
      </c>
      <c r="H3265">
        <f>_xlfn.XLOOKUP(FACT_IMPORTS[[#This Row],[hts_6]],DIM_PRODUCTS[hts_6],DIM_PRODUCTS[hts_4],,,)</f>
        <v>8407</v>
      </c>
      <c r="I3265" t="str" cm="1">
        <f t="array" ref="I3265">_xlfn.XLOOKUP(FACT_IMPORTS[[#This Row],[country_name]],DIM_COUNTRY[[#All],[Column2]],DIM_COUNTRY[[#All],[Column3]],,,)</f>
        <v>China</v>
      </c>
    </row>
    <row r="3266" spans="1:9" x14ac:dyDescent="0.4">
      <c r="A3266" t="s">
        <v>66</v>
      </c>
      <c r="B3266" s="1">
        <v>45323</v>
      </c>
      <c r="C3266">
        <v>840820</v>
      </c>
      <c r="D3266" t="s">
        <v>176</v>
      </c>
      <c r="E3266">
        <v>0</v>
      </c>
      <c r="F3266">
        <v>0</v>
      </c>
      <c r="G3266">
        <v>0</v>
      </c>
      <c r="H3266">
        <f>_xlfn.XLOOKUP(FACT_IMPORTS[[#This Row],[hts_6]],DIM_PRODUCTS[hts_6],DIM_PRODUCTS[hts_4],,,)</f>
        <v>8408</v>
      </c>
      <c r="I3266" t="str" cm="1">
        <f t="array" ref="I3266">_xlfn.XLOOKUP(FACT_IMPORTS[[#This Row],[country_name]],DIM_COUNTRY[[#All],[Column2]],DIM_COUNTRY[[#All],[Column3]],,,)</f>
        <v>China</v>
      </c>
    </row>
    <row r="3267" spans="1:9" x14ac:dyDescent="0.4">
      <c r="A3267" t="s">
        <v>66</v>
      </c>
      <c r="B3267" s="1">
        <v>45323</v>
      </c>
      <c r="C3267">
        <v>840890</v>
      </c>
      <c r="D3267" t="s">
        <v>176</v>
      </c>
      <c r="E3267">
        <v>50652</v>
      </c>
      <c r="F3267">
        <v>2</v>
      </c>
      <c r="G3267">
        <v>2533</v>
      </c>
      <c r="H3267">
        <f>_xlfn.XLOOKUP(FACT_IMPORTS[[#This Row],[hts_6]],DIM_PRODUCTS[hts_6],DIM_PRODUCTS[hts_4],,,)</f>
        <v>8408</v>
      </c>
      <c r="I3267" t="str" cm="1">
        <f t="array" ref="I3267">_xlfn.XLOOKUP(FACT_IMPORTS[[#This Row],[country_name]],DIM_COUNTRY[[#All],[Column2]],DIM_COUNTRY[[#All],[Column3]],,,)</f>
        <v>China</v>
      </c>
    </row>
    <row r="3268" spans="1:9" x14ac:dyDescent="0.4">
      <c r="A3268" t="s">
        <v>66</v>
      </c>
      <c r="B3268" s="1">
        <v>45323</v>
      </c>
      <c r="C3268">
        <v>840991</v>
      </c>
      <c r="D3268" t="s">
        <v>176</v>
      </c>
      <c r="E3268">
        <v>11102279</v>
      </c>
      <c r="F3268">
        <v>2581870</v>
      </c>
      <c r="G3268">
        <v>869202</v>
      </c>
      <c r="H3268">
        <f>_xlfn.XLOOKUP(FACT_IMPORTS[[#This Row],[hts_6]],DIM_PRODUCTS[hts_6],DIM_PRODUCTS[hts_4],,,)</f>
        <v>8409</v>
      </c>
      <c r="I3268" t="str" cm="1">
        <f t="array" ref="I3268">_xlfn.XLOOKUP(FACT_IMPORTS[[#This Row],[country_name]],DIM_COUNTRY[[#All],[Column2]],DIM_COUNTRY[[#All],[Column3]],,,)</f>
        <v>China</v>
      </c>
    </row>
    <row r="3269" spans="1:9" x14ac:dyDescent="0.4">
      <c r="A3269" t="s">
        <v>66</v>
      </c>
      <c r="B3269" s="1">
        <v>45323</v>
      </c>
      <c r="C3269">
        <v>840999</v>
      </c>
      <c r="D3269" t="s">
        <v>176</v>
      </c>
      <c r="E3269">
        <v>3940600</v>
      </c>
      <c r="F3269">
        <v>738916</v>
      </c>
      <c r="G3269">
        <v>241923</v>
      </c>
      <c r="H3269">
        <f>_xlfn.XLOOKUP(FACT_IMPORTS[[#This Row],[hts_6]],DIM_PRODUCTS[hts_6],DIM_PRODUCTS[hts_4],,,)</f>
        <v>8409</v>
      </c>
      <c r="I3269" t="str" cm="1">
        <f t="array" ref="I3269">_xlfn.XLOOKUP(FACT_IMPORTS[[#This Row],[country_name]],DIM_COUNTRY[[#All],[Column2]],DIM_COUNTRY[[#All],[Column3]],,,)</f>
        <v>China</v>
      </c>
    </row>
    <row r="3270" spans="1:9" x14ac:dyDescent="0.4">
      <c r="A3270" t="s">
        <v>66</v>
      </c>
      <c r="B3270" s="1">
        <v>45323</v>
      </c>
      <c r="C3270">
        <v>841330</v>
      </c>
      <c r="D3270" t="s">
        <v>176</v>
      </c>
      <c r="E3270">
        <v>1283079</v>
      </c>
      <c r="F3270">
        <v>25039</v>
      </c>
      <c r="G3270">
        <v>31913</v>
      </c>
      <c r="H3270">
        <f>_xlfn.XLOOKUP(FACT_IMPORTS[[#This Row],[hts_6]],DIM_PRODUCTS[hts_6],DIM_PRODUCTS[hts_4],,,)</f>
        <v>8413</v>
      </c>
      <c r="I3270" t="str" cm="1">
        <f t="array" ref="I3270">_xlfn.XLOOKUP(FACT_IMPORTS[[#This Row],[country_name]],DIM_COUNTRY[[#All],[Column2]],DIM_COUNTRY[[#All],[Column3]],,,)</f>
        <v>China</v>
      </c>
    </row>
    <row r="3271" spans="1:9" x14ac:dyDescent="0.4">
      <c r="A3271" t="s">
        <v>66</v>
      </c>
      <c r="B3271" s="1">
        <v>45323</v>
      </c>
      <c r="C3271">
        <v>841520</v>
      </c>
      <c r="D3271" t="s">
        <v>176</v>
      </c>
      <c r="E3271">
        <v>0</v>
      </c>
      <c r="F3271">
        <v>0</v>
      </c>
      <c r="G3271">
        <v>0</v>
      </c>
      <c r="H3271">
        <f>_xlfn.XLOOKUP(FACT_IMPORTS[[#This Row],[hts_6]],DIM_PRODUCTS[hts_6],DIM_PRODUCTS[hts_4],,,)</f>
        <v>8415</v>
      </c>
      <c r="I3271" t="str" cm="1">
        <f t="array" ref="I3271">_xlfn.XLOOKUP(FACT_IMPORTS[[#This Row],[country_name]],DIM_COUNTRY[[#All],[Column2]],DIM_COUNTRY[[#All],[Column3]],,,)</f>
        <v>China</v>
      </c>
    </row>
    <row r="3272" spans="1:9" x14ac:dyDescent="0.4">
      <c r="A3272" t="s">
        <v>66</v>
      </c>
      <c r="B3272" s="1">
        <v>45323</v>
      </c>
      <c r="C3272">
        <v>842132</v>
      </c>
      <c r="D3272" t="s">
        <v>176</v>
      </c>
      <c r="E3272">
        <v>0</v>
      </c>
      <c r="F3272">
        <v>0</v>
      </c>
      <c r="G3272">
        <v>0</v>
      </c>
      <c r="H3272">
        <f>_xlfn.XLOOKUP(FACT_IMPORTS[[#This Row],[hts_6]],DIM_PRODUCTS[hts_6],DIM_PRODUCTS[hts_4],,,)</f>
        <v>8421</v>
      </c>
      <c r="I3272" t="str" cm="1">
        <f t="array" ref="I3272">_xlfn.XLOOKUP(FACT_IMPORTS[[#This Row],[country_name]],DIM_COUNTRY[[#All],[Column2]],DIM_COUNTRY[[#All],[Column3]],,,)</f>
        <v>China</v>
      </c>
    </row>
    <row r="3273" spans="1:9" x14ac:dyDescent="0.4">
      <c r="A3273" t="s">
        <v>66</v>
      </c>
      <c r="B3273" s="1">
        <v>45323</v>
      </c>
      <c r="C3273">
        <v>848210</v>
      </c>
      <c r="D3273" t="s">
        <v>176</v>
      </c>
      <c r="E3273">
        <v>876572</v>
      </c>
      <c r="F3273">
        <v>491735</v>
      </c>
      <c r="G3273">
        <v>23710</v>
      </c>
      <c r="H3273">
        <f>_xlfn.XLOOKUP(FACT_IMPORTS[[#This Row],[hts_6]],DIM_PRODUCTS[hts_6],DIM_PRODUCTS[hts_4],,,)</f>
        <v>8482</v>
      </c>
      <c r="I3273" t="str" cm="1">
        <f t="array" ref="I3273">_xlfn.XLOOKUP(FACT_IMPORTS[[#This Row],[country_name]],DIM_COUNTRY[[#All],[Column2]],DIM_COUNTRY[[#All],[Column3]],,,)</f>
        <v>China</v>
      </c>
    </row>
    <row r="3274" spans="1:9" x14ac:dyDescent="0.4">
      <c r="A3274" t="s">
        <v>66</v>
      </c>
      <c r="B3274" s="1">
        <v>45323</v>
      </c>
      <c r="C3274">
        <v>848220</v>
      </c>
      <c r="D3274" t="s">
        <v>176</v>
      </c>
      <c r="E3274">
        <v>67048</v>
      </c>
      <c r="F3274">
        <v>52977</v>
      </c>
      <c r="G3274">
        <v>5158</v>
      </c>
      <c r="H3274">
        <f>_xlfn.XLOOKUP(FACT_IMPORTS[[#This Row],[hts_6]],DIM_PRODUCTS[hts_6],DIM_PRODUCTS[hts_4],,,)</f>
        <v>8482</v>
      </c>
      <c r="I3274" t="str" cm="1">
        <f t="array" ref="I3274">_xlfn.XLOOKUP(FACT_IMPORTS[[#This Row],[country_name]],DIM_COUNTRY[[#All],[Column2]],DIM_COUNTRY[[#All],[Column3]],,,)</f>
        <v>China</v>
      </c>
    </row>
    <row r="3275" spans="1:9" x14ac:dyDescent="0.4">
      <c r="A3275" t="s">
        <v>66</v>
      </c>
      <c r="B3275" s="1">
        <v>45323</v>
      </c>
      <c r="C3275">
        <v>848310</v>
      </c>
      <c r="D3275" t="s">
        <v>176</v>
      </c>
      <c r="E3275">
        <v>2822862</v>
      </c>
      <c r="F3275">
        <v>273552</v>
      </c>
      <c r="G3275">
        <v>161064</v>
      </c>
      <c r="H3275">
        <f>_xlfn.XLOOKUP(FACT_IMPORTS[[#This Row],[hts_6]],DIM_PRODUCTS[hts_6],DIM_PRODUCTS[hts_4],,,)</f>
        <v>8483</v>
      </c>
      <c r="I3275" t="str" cm="1">
        <f t="array" ref="I3275">_xlfn.XLOOKUP(FACT_IMPORTS[[#This Row],[country_name]],DIM_COUNTRY[[#All],[Column2]],DIM_COUNTRY[[#All],[Column3]],,,)</f>
        <v>China</v>
      </c>
    </row>
    <row r="3276" spans="1:9" x14ac:dyDescent="0.4">
      <c r="A3276" t="s">
        <v>66</v>
      </c>
      <c r="B3276" s="1">
        <v>45323</v>
      </c>
      <c r="C3276">
        <v>850131</v>
      </c>
      <c r="D3276" t="s">
        <v>176</v>
      </c>
      <c r="E3276">
        <v>3233284</v>
      </c>
      <c r="F3276">
        <v>462270</v>
      </c>
      <c r="G3276">
        <v>46815</v>
      </c>
      <c r="H3276">
        <f>_xlfn.XLOOKUP(FACT_IMPORTS[[#This Row],[hts_6]],DIM_PRODUCTS[hts_6],DIM_PRODUCTS[hts_4],,,)</f>
        <v>8501</v>
      </c>
      <c r="I3276" t="str" cm="1">
        <f t="array" ref="I3276">_xlfn.XLOOKUP(FACT_IMPORTS[[#This Row],[country_name]],DIM_COUNTRY[[#All],[Column2]],DIM_COUNTRY[[#All],[Column3]],,,)</f>
        <v>China</v>
      </c>
    </row>
    <row r="3277" spans="1:9" x14ac:dyDescent="0.4">
      <c r="A3277" t="s">
        <v>66</v>
      </c>
      <c r="B3277" s="1">
        <v>45323</v>
      </c>
      <c r="C3277">
        <v>850132</v>
      </c>
      <c r="D3277" t="s">
        <v>176</v>
      </c>
      <c r="E3277">
        <v>0</v>
      </c>
      <c r="F3277">
        <v>0</v>
      </c>
      <c r="G3277">
        <v>0</v>
      </c>
      <c r="H3277">
        <f>_xlfn.XLOOKUP(FACT_IMPORTS[[#This Row],[hts_6]],DIM_PRODUCTS[hts_6],DIM_PRODUCTS[hts_4],,,)</f>
        <v>8501</v>
      </c>
      <c r="I3277" t="str" cm="1">
        <f t="array" ref="I3277">_xlfn.XLOOKUP(FACT_IMPORTS[[#This Row],[country_name]],DIM_COUNTRY[[#All],[Column2]],DIM_COUNTRY[[#All],[Column3]],,,)</f>
        <v>China</v>
      </c>
    </row>
    <row r="3278" spans="1:9" x14ac:dyDescent="0.4">
      <c r="A3278" t="s">
        <v>66</v>
      </c>
      <c r="B3278" s="1">
        <v>45323</v>
      </c>
      <c r="C3278">
        <v>850133</v>
      </c>
      <c r="D3278" t="s">
        <v>176</v>
      </c>
      <c r="E3278">
        <v>4267</v>
      </c>
      <c r="F3278">
        <v>3</v>
      </c>
      <c r="G3278">
        <v>119</v>
      </c>
      <c r="H3278">
        <f>_xlfn.XLOOKUP(FACT_IMPORTS[[#This Row],[hts_6]],DIM_PRODUCTS[hts_6],DIM_PRODUCTS[hts_4],,,)</f>
        <v>8501</v>
      </c>
      <c r="I3278" t="str" cm="1">
        <f t="array" ref="I3278">_xlfn.XLOOKUP(FACT_IMPORTS[[#This Row],[country_name]],DIM_COUNTRY[[#All],[Column2]],DIM_COUNTRY[[#All],[Column3]],,,)</f>
        <v>China</v>
      </c>
    </row>
    <row r="3279" spans="1:9" x14ac:dyDescent="0.4">
      <c r="A3279" t="s">
        <v>66</v>
      </c>
      <c r="B3279" s="1">
        <v>45323</v>
      </c>
      <c r="C3279">
        <v>850152</v>
      </c>
      <c r="D3279" t="s">
        <v>176</v>
      </c>
      <c r="E3279">
        <v>318606</v>
      </c>
      <c r="F3279">
        <v>744</v>
      </c>
      <c r="G3279">
        <v>8768</v>
      </c>
      <c r="H3279">
        <f>_xlfn.XLOOKUP(FACT_IMPORTS[[#This Row],[hts_6]],DIM_PRODUCTS[hts_6],DIM_PRODUCTS[hts_4],,,)</f>
        <v>8501</v>
      </c>
      <c r="I3279" t="str" cm="1">
        <f t="array" ref="I3279">_xlfn.XLOOKUP(FACT_IMPORTS[[#This Row],[country_name]],DIM_COUNTRY[[#All],[Column2]],DIM_COUNTRY[[#All],[Column3]],,,)</f>
        <v>China</v>
      </c>
    </row>
    <row r="3280" spans="1:9" x14ac:dyDescent="0.4">
      <c r="A3280" t="s">
        <v>66</v>
      </c>
      <c r="B3280" s="1">
        <v>45323</v>
      </c>
      <c r="C3280">
        <v>850153</v>
      </c>
      <c r="D3280" t="s">
        <v>176</v>
      </c>
      <c r="E3280">
        <v>8698</v>
      </c>
      <c r="F3280">
        <v>2</v>
      </c>
      <c r="G3280">
        <v>700</v>
      </c>
      <c r="H3280">
        <f>_xlfn.XLOOKUP(FACT_IMPORTS[[#This Row],[hts_6]],DIM_PRODUCTS[hts_6],DIM_PRODUCTS[hts_4],,,)</f>
        <v>8501</v>
      </c>
      <c r="I3280" t="str" cm="1">
        <f t="array" ref="I3280">_xlfn.XLOOKUP(FACT_IMPORTS[[#This Row],[country_name]],DIM_COUNTRY[[#All],[Column2]],DIM_COUNTRY[[#All],[Column3]],,,)</f>
        <v>China</v>
      </c>
    </row>
    <row r="3281" spans="1:9" x14ac:dyDescent="0.4">
      <c r="A3281" t="s">
        <v>66</v>
      </c>
      <c r="B3281" s="1">
        <v>45323</v>
      </c>
      <c r="C3281">
        <v>850161</v>
      </c>
      <c r="D3281" t="s">
        <v>176</v>
      </c>
      <c r="E3281">
        <v>0</v>
      </c>
      <c r="F3281">
        <v>0</v>
      </c>
      <c r="G3281">
        <v>0</v>
      </c>
      <c r="H3281">
        <f>_xlfn.XLOOKUP(FACT_IMPORTS[[#This Row],[hts_6]],DIM_PRODUCTS[hts_6],DIM_PRODUCTS[hts_4],,,)</f>
        <v>8501</v>
      </c>
      <c r="I3281" t="str" cm="1">
        <f t="array" ref="I3281">_xlfn.XLOOKUP(FACT_IMPORTS[[#This Row],[country_name]],DIM_COUNTRY[[#All],[Column2]],DIM_COUNTRY[[#All],[Column3]],,,)</f>
        <v>China</v>
      </c>
    </row>
    <row r="3282" spans="1:9" x14ac:dyDescent="0.4">
      <c r="A3282" t="s">
        <v>66</v>
      </c>
      <c r="B3282" s="1">
        <v>45323</v>
      </c>
      <c r="C3282">
        <v>850440</v>
      </c>
      <c r="D3282" t="s">
        <v>176</v>
      </c>
      <c r="E3282">
        <v>903692</v>
      </c>
      <c r="F3282">
        <v>50739</v>
      </c>
      <c r="G3282">
        <v>23743</v>
      </c>
      <c r="H3282">
        <f>_xlfn.XLOOKUP(FACT_IMPORTS[[#This Row],[hts_6]],DIM_PRODUCTS[hts_6],DIM_PRODUCTS[hts_4],,,)</f>
        <v>8504</v>
      </c>
      <c r="I3282" t="str" cm="1">
        <f t="array" ref="I3282">_xlfn.XLOOKUP(FACT_IMPORTS[[#This Row],[country_name]],DIM_COUNTRY[[#All],[Column2]],DIM_COUNTRY[[#All],[Column3]],,,)</f>
        <v>China</v>
      </c>
    </row>
    <row r="3283" spans="1:9" x14ac:dyDescent="0.4">
      <c r="A3283" t="s">
        <v>66</v>
      </c>
      <c r="B3283" s="1">
        <v>45323</v>
      </c>
      <c r="C3283">
        <v>850710</v>
      </c>
      <c r="D3283" t="s">
        <v>176</v>
      </c>
      <c r="E3283">
        <v>2769</v>
      </c>
      <c r="F3283">
        <v>50</v>
      </c>
      <c r="G3283">
        <v>287</v>
      </c>
      <c r="H3283">
        <f>_xlfn.XLOOKUP(FACT_IMPORTS[[#This Row],[hts_6]],DIM_PRODUCTS[hts_6],DIM_PRODUCTS[hts_4],,,)</f>
        <v>8507</v>
      </c>
      <c r="I3283" t="str" cm="1">
        <f t="array" ref="I3283">_xlfn.XLOOKUP(FACT_IMPORTS[[#This Row],[country_name]],DIM_COUNTRY[[#All],[Column2]],DIM_COUNTRY[[#All],[Column3]],,,)</f>
        <v>China</v>
      </c>
    </row>
    <row r="3284" spans="1:9" x14ac:dyDescent="0.4">
      <c r="A3284" t="s">
        <v>66</v>
      </c>
      <c r="B3284" s="1">
        <v>45323</v>
      </c>
      <c r="C3284">
        <v>850760</v>
      </c>
      <c r="D3284" t="s">
        <v>176</v>
      </c>
      <c r="E3284">
        <v>257751</v>
      </c>
      <c r="F3284">
        <v>1711</v>
      </c>
      <c r="G3284">
        <v>6277</v>
      </c>
      <c r="H3284">
        <f>_xlfn.XLOOKUP(FACT_IMPORTS[[#This Row],[hts_6]],DIM_PRODUCTS[hts_6],DIM_PRODUCTS[hts_4],,,)</f>
        <v>8507</v>
      </c>
      <c r="I3284" t="str" cm="1">
        <f t="array" ref="I3284">_xlfn.XLOOKUP(FACT_IMPORTS[[#This Row],[country_name]],DIM_COUNTRY[[#All],[Column2]],DIM_COUNTRY[[#All],[Column3]],,,)</f>
        <v>China</v>
      </c>
    </row>
    <row r="3285" spans="1:9" x14ac:dyDescent="0.4">
      <c r="A3285" t="s">
        <v>66</v>
      </c>
      <c r="B3285" s="1">
        <v>45323</v>
      </c>
      <c r="C3285">
        <v>850790</v>
      </c>
      <c r="D3285" t="s">
        <v>176</v>
      </c>
      <c r="E3285">
        <v>1851768</v>
      </c>
      <c r="F3285">
        <v>107839</v>
      </c>
      <c r="G3285">
        <v>14007</v>
      </c>
      <c r="H3285">
        <f>_xlfn.XLOOKUP(FACT_IMPORTS[[#This Row],[hts_6]],DIM_PRODUCTS[hts_6],DIM_PRODUCTS[hts_4],,,)</f>
        <v>8507</v>
      </c>
      <c r="I3285" t="str" cm="1">
        <f t="array" ref="I3285">_xlfn.XLOOKUP(FACT_IMPORTS[[#This Row],[country_name]],DIM_COUNTRY[[#All],[Column2]],DIM_COUNTRY[[#All],[Column3]],,,)</f>
        <v>China</v>
      </c>
    </row>
    <row r="3286" spans="1:9" x14ac:dyDescent="0.4">
      <c r="A3286" t="s">
        <v>66</v>
      </c>
      <c r="B3286" s="1">
        <v>45323</v>
      </c>
      <c r="C3286">
        <v>851130</v>
      </c>
      <c r="D3286" t="s">
        <v>176</v>
      </c>
      <c r="E3286">
        <v>20041</v>
      </c>
      <c r="F3286">
        <v>1249</v>
      </c>
      <c r="G3286">
        <v>217</v>
      </c>
      <c r="H3286">
        <f>_xlfn.XLOOKUP(FACT_IMPORTS[[#This Row],[hts_6]],DIM_PRODUCTS[hts_6],DIM_PRODUCTS[hts_4],,,)</f>
        <v>8511</v>
      </c>
      <c r="I3286" t="str" cm="1">
        <f t="array" ref="I3286">_xlfn.XLOOKUP(FACT_IMPORTS[[#This Row],[country_name]],DIM_COUNTRY[[#All],[Column2]],DIM_COUNTRY[[#All],[Column3]],,,)</f>
        <v>China</v>
      </c>
    </row>
    <row r="3287" spans="1:9" x14ac:dyDescent="0.4">
      <c r="A3287" t="s">
        <v>66</v>
      </c>
      <c r="B3287" s="1">
        <v>45323</v>
      </c>
      <c r="C3287">
        <v>851140</v>
      </c>
      <c r="D3287" t="s">
        <v>176</v>
      </c>
      <c r="E3287">
        <v>390292</v>
      </c>
      <c r="F3287">
        <v>8676</v>
      </c>
      <c r="G3287">
        <v>1424</v>
      </c>
      <c r="H3287">
        <f>_xlfn.XLOOKUP(FACT_IMPORTS[[#This Row],[hts_6]],DIM_PRODUCTS[hts_6],DIM_PRODUCTS[hts_4],,,)</f>
        <v>8511</v>
      </c>
      <c r="I3287" t="str" cm="1">
        <f t="array" ref="I3287">_xlfn.XLOOKUP(FACT_IMPORTS[[#This Row],[country_name]],DIM_COUNTRY[[#All],[Column2]],DIM_COUNTRY[[#All],[Column3]],,,)</f>
        <v>China</v>
      </c>
    </row>
    <row r="3288" spans="1:9" x14ac:dyDescent="0.4">
      <c r="A3288" t="s">
        <v>66</v>
      </c>
      <c r="B3288" s="1">
        <v>45323</v>
      </c>
      <c r="C3288">
        <v>851150</v>
      </c>
      <c r="D3288" t="s">
        <v>176</v>
      </c>
      <c r="E3288">
        <v>293673</v>
      </c>
      <c r="F3288">
        <v>3064</v>
      </c>
      <c r="G3288">
        <v>1735</v>
      </c>
      <c r="H3288">
        <f>_xlfn.XLOOKUP(FACT_IMPORTS[[#This Row],[hts_6]],DIM_PRODUCTS[hts_6],DIM_PRODUCTS[hts_4],,,)</f>
        <v>8511</v>
      </c>
      <c r="I3288" t="str" cm="1">
        <f t="array" ref="I3288">_xlfn.XLOOKUP(FACT_IMPORTS[[#This Row],[country_name]],DIM_COUNTRY[[#All],[Column2]],DIM_COUNTRY[[#All],[Column3]],,,)</f>
        <v>China</v>
      </c>
    </row>
    <row r="3289" spans="1:9" x14ac:dyDescent="0.4">
      <c r="A3289" t="s">
        <v>66</v>
      </c>
      <c r="B3289" s="1">
        <v>45323</v>
      </c>
      <c r="C3289">
        <v>851180</v>
      </c>
      <c r="D3289" t="s">
        <v>176</v>
      </c>
      <c r="E3289">
        <v>13263</v>
      </c>
      <c r="F3289">
        <v>315</v>
      </c>
      <c r="G3289">
        <v>56</v>
      </c>
      <c r="H3289">
        <f>_xlfn.XLOOKUP(FACT_IMPORTS[[#This Row],[hts_6]],DIM_PRODUCTS[hts_6],DIM_PRODUCTS[hts_4],,,)</f>
        <v>8511</v>
      </c>
      <c r="I3289" t="str" cm="1">
        <f t="array" ref="I3289">_xlfn.XLOOKUP(FACT_IMPORTS[[#This Row],[country_name]],DIM_COUNTRY[[#All],[Column2]],DIM_COUNTRY[[#All],[Column3]],,,)</f>
        <v>China</v>
      </c>
    </row>
    <row r="3290" spans="1:9" x14ac:dyDescent="0.4">
      <c r="A3290" t="s">
        <v>66</v>
      </c>
      <c r="B3290" s="1">
        <v>45323</v>
      </c>
      <c r="C3290">
        <v>851190</v>
      </c>
      <c r="D3290" t="s">
        <v>176</v>
      </c>
      <c r="E3290">
        <v>57770</v>
      </c>
      <c r="F3290">
        <v>3603</v>
      </c>
      <c r="G3290">
        <v>644</v>
      </c>
      <c r="H3290">
        <f>_xlfn.XLOOKUP(FACT_IMPORTS[[#This Row],[hts_6]],DIM_PRODUCTS[hts_6],DIM_PRODUCTS[hts_4],,,)</f>
        <v>8511</v>
      </c>
      <c r="I3290" t="str" cm="1">
        <f t="array" ref="I3290">_xlfn.XLOOKUP(FACT_IMPORTS[[#This Row],[country_name]],DIM_COUNTRY[[#All],[Column2]],DIM_COUNTRY[[#All],[Column3]],,,)</f>
        <v>China</v>
      </c>
    </row>
    <row r="3291" spans="1:9" x14ac:dyDescent="0.4">
      <c r="A3291" t="s">
        <v>66</v>
      </c>
      <c r="B3291" s="1">
        <v>45323</v>
      </c>
      <c r="C3291">
        <v>851220</v>
      </c>
      <c r="D3291" t="s">
        <v>176</v>
      </c>
      <c r="E3291">
        <v>3805493</v>
      </c>
      <c r="F3291">
        <v>1106165</v>
      </c>
      <c r="G3291">
        <v>206154</v>
      </c>
      <c r="H3291">
        <f>_xlfn.XLOOKUP(FACT_IMPORTS[[#This Row],[hts_6]],DIM_PRODUCTS[hts_6],DIM_PRODUCTS[hts_4],,,)</f>
        <v>8512</v>
      </c>
      <c r="I3291" t="str" cm="1">
        <f t="array" ref="I3291">_xlfn.XLOOKUP(FACT_IMPORTS[[#This Row],[country_name]],DIM_COUNTRY[[#All],[Column2]],DIM_COUNTRY[[#All],[Column3]],,,)</f>
        <v>China</v>
      </c>
    </row>
    <row r="3292" spans="1:9" x14ac:dyDescent="0.4">
      <c r="A3292" t="s">
        <v>66</v>
      </c>
      <c r="B3292" s="1">
        <v>45323</v>
      </c>
      <c r="C3292">
        <v>851230</v>
      </c>
      <c r="D3292" t="s">
        <v>176</v>
      </c>
      <c r="E3292">
        <v>8494</v>
      </c>
      <c r="F3292">
        <v>3520</v>
      </c>
      <c r="G3292">
        <v>16</v>
      </c>
      <c r="H3292">
        <f>_xlfn.XLOOKUP(FACT_IMPORTS[[#This Row],[hts_6]],DIM_PRODUCTS[hts_6],DIM_PRODUCTS[hts_4],,,)</f>
        <v>8512</v>
      </c>
      <c r="I3292" t="str" cm="1">
        <f t="array" ref="I3292">_xlfn.XLOOKUP(FACT_IMPORTS[[#This Row],[country_name]],DIM_COUNTRY[[#All],[Column2]],DIM_COUNTRY[[#All],[Column3]],,,)</f>
        <v>China</v>
      </c>
    </row>
    <row r="3293" spans="1:9" x14ac:dyDescent="0.4">
      <c r="A3293" t="s">
        <v>66</v>
      </c>
      <c r="B3293" s="1">
        <v>45323</v>
      </c>
      <c r="C3293">
        <v>851240</v>
      </c>
      <c r="D3293" t="s">
        <v>176</v>
      </c>
      <c r="E3293">
        <v>0</v>
      </c>
      <c r="F3293">
        <v>0</v>
      </c>
      <c r="G3293">
        <v>0</v>
      </c>
      <c r="H3293">
        <f>_xlfn.XLOOKUP(FACT_IMPORTS[[#This Row],[hts_6]],DIM_PRODUCTS[hts_6],DIM_PRODUCTS[hts_4],,,)</f>
        <v>8512</v>
      </c>
      <c r="I3293" t="str" cm="1">
        <f t="array" ref="I3293">_xlfn.XLOOKUP(FACT_IMPORTS[[#This Row],[country_name]],DIM_COUNTRY[[#All],[Column2]],DIM_COUNTRY[[#All],[Column3]],,,)</f>
        <v>China</v>
      </c>
    </row>
    <row r="3294" spans="1:9" x14ac:dyDescent="0.4">
      <c r="A3294" t="s">
        <v>66</v>
      </c>
      <c r="B3294" s="1">
        <v>45323</v>
      </c>
      <c r="C3294">
        <v>851290</v>
      </c>
      <c r="D3294" t="s">
        <v>176</v>
      </c>
      <c r="E3294">
        <v>244908</v>
      </c>
      <c r="F3294">
        <v>3548</v>
      </c>
      <c r="G3294">
        <v>8400</v>
      </c>
      <c r="H3294">
        <f>_xlfn.XLOOKUP(FACT_IMPORTS[[#This Row],[hts_6]],DIM_PRODUCTS[hts_6],DIM_PRODUCTS[hts_4],,,)</f>
        <v>8512</v>
      </c>
      <c r="I3294" t="str" cm="1">
        <f t="array" ref="I3294">_xlfn.XLOOKUP(FACT_IMPORTS[[#This Row],[country_name]],DIM_COUNTRY[[#All],[Column2]],DIM_COUNTRY[[#All],[Column3]],,,)</f>
        <v>China</v>
      </c>
    </row>
    <row r="3295" spans="1:9" x14ac:dyDescent="0.4">
      <c r="A3295" t="s">
        <v>66</v>
      </c>
      <c r="B3295" s="1">
        <v>45323</v>
      </c>
      <c r="C3295">
        <v>854231</v>
      </c>
      <c r="D3295" t="s">
        <v>176</v>
      </c>
      <c r="E3295">
        <v>809427</v>
      </c>
      <c r="F3295">
        <v>130118</v>
      </c>
      <c r="G3295">
        <v>59317</v>
      </c>
      <c r="H3295">
        <f>_xlfn.XLOOKUP(FACT_IMPORTS[[#This Row],[hts_6]],DIM_PRODUCTS[hts_6],DIM_PRODUCTS[hts_4],,,)</f>
        <v>8542</v>
      </c>
      <c r="I3295" t="str" cm="1">
        <f t="array" ref="I3295">_xlfn.XLOOKUP(FACT_IMPORTS[[#This Row],[country_name]],DIM_COUNTRY[[#All],[Column2]],DIM_COUNTRY[[#All],[Column3]],,,)</f>
        <v>China</v>
      </c>
    </row>
    <row r="3296" spans="1:9" x14ac:dyDescent="0.4">
      <c r="A3296" t="s">
        <v>66</v>
      </c>
      <c r="B3296" s="1">
        <v>45323</v>
      </c>
      <c r="C3296">
        <v>854232</v>
      </c>
      <c r="D3296" t="s">
        <v>176</v>
      </c>
      <c r="E3296">
        <v>17890</v>
      </c>
      <c r="F3296">
        <v>3453</v>
      </c>
      <c r="G3296">
        <v>458</v>
      </c>
      <c r="H3296">
        <f>_xlfn.XLOOKUP(FACT_IMPORTS[[#This Row],[hts_6]],DIM_PRODUCTS[hts_6],DIM_PRODUCTS[hts_4],,,)</f>
        <v>8542</v>
      </c>
      <c r="I3296" t="str" cm="1">
        <f t="array" ref="I3296">_xlfn.XLOOKUP(FACT_IMPORTS[[#This Row],[country_name]],DIM_COUNTRY[[#All],[Column2]],DIM_COUNTRY[[#All],[Column3]],,,)</f>
        <v>China</v>
      </c>
    </row>
    <row r="3297" spans="1:9" x14ac:dyDescent="0.4">
      <c r="A3297" t="s">
        <v>66</v>
      </c>
      <c r="B3297" s="1">
        <v>45323</v>
      </c>
      <c r="C3297">
        <v>854233</v>
      </c>
      <c r="D3297" t="s">
        <v>176</v>
      </c>
      <c r="E3297">
        <v>5131</v>
      </c>
      <c r="F3297">
        <v>14067</v>
      </c>
      <c r="G3297">
        <v>15</v>
      </c>
      <c r="H3297">
        <f>_xlfn.XLOOKUP(FACT_IMPORTS[[#This Row],[hts_6]],DIM_PRODUCTS[hts_6],DIM_PRODUCTS[hts_4],,,)</f>
        <v>8542</v>
      </c>
      <c r="I3297" t="str" cm="1">
        <f t="array" ref="I3297">_xlfn.XLOOKUP(FACT_IMPORTS[[#This Row],[country_name]],DIM_COUNTRY[[#All],[Column2]],DIM_COUNTRY[[#All],[Column3]],,,)</f>
        <v>China</v>
      </c>
    </row>
    <row r="3298" spans="1:9" x14ac:dyDescent="0.4">
      <c r="A3298" t="s">
        <v>66</v>
      </c>
      <c r="B3298" s="1">
        <v>45323</v>
      </c>
      <c r="C3298">
        <v>854239</v>
      </c>
      <c r="D3298" t="s">
        <v>176</v>
      </c>
      <c r="E3298">
        <v>1078513</v>
      </c>
      <c r="F3298">
        <v>667623</v>
      </c>
      <c r="G3298">
        <v>106799</v>
      </c>
      <c r="H3298">
        <f>_xlfn.XLOOKUP(FACT_IMPORTS[[#This Row],[hts_6]],DIM_PRODUCTS[hts_6],DIM_PRODUCTS[hts_4],,,)</f>
        <v>8542</v>
      </c>
      <c r="I3298" t="str" cm="1">
        <f t="array" ref="I3298">_xlfn.XLOOKUP(FACT_IMPORTS[[#This Row],[country_name]],DIM_COUNTRY[[#All],[Column2]],DIM_COUNTRY[[#All],[Column3]],,,)</f>
        <v>China</v>
      </c>
    </row>
    <row r="3299" spans="1:9" x14ac:dyDescent="0.4">
      <c r="A3299" t="s">
        <v>66</v>
      </c>
      <c r="B3299" s="1">
        <v>45323</v>
      </c>
      <c r="C3299">
        <v>854290</v>
      </c>
      <c r="D3299" t="s">
        <v>176</v>
      </c>
      <c r="E3299">
        <v>0</v>
      </c>
      <c r="F3299">
        <v>0</v>
      </c>
      <c r="G3299">
        <v>0</v>
      </c>
      <c r="H3299">
        <f>_xlfn.XLOOKUP(FACT_IMPORTS[[#This Row],[hts_6]],DIM_PRODUCTS[hts_6],DIM_PRODUCTS[hts_4],,,)</f>
        <v>8542</v>
      </c>
      <c r="I3299" t="str" cm="1">
        <f t="array" ref="I3299">_xlfn.XLOOKUP(FACT_IMPORTS[[#This Row],[country_name]],DIM_COUNTRY[[#All],[Column2]],DIM_COUNTRY[[#All],[Column3]],,,)</f>
        <v>China</v>
      </c>
    </row>
    <row r="3300" spans="1:9" x14ac:dyDescent="0.4">
      <c r="A3300" t="s">
        <v>66</v>
      </c>
      <c r="B3300" s="1">
        <v>45323</v>
      </c>
      <c r="C3300">
        <v>854430</v>
      </c>
      <c r="D3300" t="s">
        <v>176</v>
      </c>
      <c r="E3300">
        <v>542013</v>
      </c>
      <c r="F3300">
        <v>60785</v>
      </c>
      <c r="G3300">
        <v>4379</v>
      </c>
      <c r="H3300">
        <f>_xlfn.XLOOKUP(FACT_IMPORTS[[#This Row],[hts_6]],DIM_PRODUCTS[hts_6],DIM_PRODUCTS[hts_4],,,)</f>
        <v>8544</v>
      </c>
      <c r="I3300" t="str" cm="1">
        <f t="array" ref="I3300">_xlfn.XLOOKUP(FACT_IMPORTS[[#This Row],[country_name]],DIM_COUNTRY[[#All],[Column2]],DIM_COUNTRY[[#All],[Column3]],,,)</f>
        <v>China</v>
      </c>
    </row>
    <row r="3301" spans="1:9" x14ac:dyDescent="0.4">
      <c r="A3301" t="s">
        <v>66</v>
      </c>
      <c r="B3301" s="1">
        <v>45323</v>
      </c>
      <c r="C3301">
        <v>870710</v>
      </c>
      <c r="D3301" t="s">
        <v>176</v>
      </c>
      <c r="E3301">
        <v>0</v>
      </c>
      <c r="F3301">
        <v>0</v>
      </c>
      <c r="G3301">
        <v>0</v>
      </c>
      <c r="H3301">
        <f>_xlfn.XLOOKUP(FACT_IMPORTS[[#This Row],[hts_6]],DIM_PRODUCTS[hts_6],DIM_PRODUCTS[hts_4],,,)</f>
        <v>8707</v>
      </c>
      <c r="I3301" t="str" cm="1">
        <f t="array" ref="I3301">_xlfn.XLOOKUP(FACT_IMPORTS[[#This Row],[country_name]],DIM_COUNTRY[[#All],[Column2]],DIM_COUNTRY[[#All],[Column3]],,,)</f>
        <v>China</v>
      </c>
    </row>
    <row r="3302" spans="1:9" x14ac:dyDescent="0.4">
      <c r="A3302" t="s">
        <v>66</v>
      </c>
      <c r="B3302" s="1">
        <v>45323</v>
      </c>
      <c r="C3302">
        <v>870810</v>
      </c>
      <c r="D3302" t="s">
        <v>176</v>
      </c>
      <c r="E3302">
        <v>777428</v>
      </c>
      <c r="F3302">
        <v>41779</v>
      </c>
      <c r="G3302">
        <v>40196</v>
      </c>
      <c r="H3302">
        <f>_xlfn.XLOOKUP(FACT_IMPORTS[[#This Row],[hts_6]],DIM_PRODUCTS[hts_6],DIM_PRODUCTS[hts_4],,,)</f>
        <v>8708</v>
      </c>
      <c r="I3302" t="str" cm="1">
        <f t="array" ref="I3302">_xlfn.XLOOKUP(FACT_IMPORTS[[#This Row],[country_name]],DIM_COUNTRY[[#All],[Column2]],DIM_COUNTRY[[#All],[Column3]],,,)</f>
        <v>China</v>
      </c>
    </row>
    <row r="3303" spans="1:9" x14ac:dyDescent="0.4">
      <c r="A3303" t="s">
        <v>66</v>
      </c>
      <c r="B3303" s="1">
        <v>45323</v>
      </c>
      <c r="C3303">
        <v>870821</v>
      </c>
      <c r="D3303" t="s">
        <v>176</v>
      </c>
      <c r="E3303">
        <v>12963</v>
      </c>
      <c r="F3303">
        <v>828</v>
      </c>
      <c r="G3303">
        <v>4</v>
      </c>
      <c r="H3303">
        <f>_xlfn.XLOOKUP(FACT_IMPORTS[[#This Row],[hts_6]],DIM_PRODUCTS[hts_6],DIM_PRODUCTS[hts_4],,,)</f>
        <v>8708</v>
      </c>
      <c r="I3303" t="str" cm="1">
        <f t="array" ref="I3303">_xlfn.XLOOKUP(FACT_IMPORTS[[#This Row],[country_name]],DIM_COUNTRY[[#All],[Column2]],DIM_COUNTRY[[#All],[Column3]],,,)</f>
        <v>China</v>
      </c>
    </row>
    <row r="3304" spans="1:9" x14ac:dyDescent="0.4">
      <c r="A3304" t="s">
        <v>66</v>
      </c>
      <c r="B3304" s="1">
        <v>45323</v>
      </c>
      <c r="C3304">
        <v>870822</v>
      </c>
      <c r="D3304" t="s">
        <v>176</v>
      </c>
      <c r="E3304">
        <v>1399214</v>
      </c>
      <c r="F3304">
        <v>151619</v>
      </c>
      <c r="G3304">
        <v>114302</v>
      </c>
      <c r="H3304">
        <f>_xlfn.XLOOKUP(FACT_IMPORTS[[#This Row],[hts_6]],DIM_PRODUCTS[hts_6],DIM_PRODUCTS[hts_4],,,)</f>
        <v>8708</v>
      </c>
      <c r="I3304" t="str" cm="1">
        <f t="array" ref="I3304">_xlfn.XLOOKUP(FACT_IMPORTS[[#This Row],[country_name]],DIM_COUNTRY[[#All],[Column2]],DIM_COUNTRY[[#All],[Column3]],,,)</f>
        <v>China</v>
      </c>
    </row>
    <row r="3305" spans="1:9" x14ac:dyDescent="0.4">
      <c r="A3305" t="s">
        <v>66</v>
      </c>
      <c r="B3305" s="1">
        <v>45323</v>
      </c>
      <c r="C3305">
        <v>870829</v>
      </c>
      <c r="D3305" t="s">
        <v>176</v>
      </c>
      <c r="E3305">
        <v>22492708</v>
      </c>
      <c r="F3305">
        <v>4083854</v>
      </c>
      <c r="G3305">
        <v>775511</v>
      </c>
      <c r="H3305">
        <f>_xlfn.XLOOKUP(FACT_IMPORTS[[#This Row],[hts_6]],DIM_PRODUCTS[hts_6],DIM_PRODUCTS[hts_4],,,)</f>
        <v>8708</v>
      </c>
      <c r="I3305" t="str" cm="1">
        <f t="array" ref="I3305">_xlfn.XLOOKUP(FACT_IMPORTS[[#This Row],[country_name]],DIM_COUNTRY[[#All],[Column2]],DIM_COUNTRY[[#All],[Column3]],,,)</f>
        <v>China</v>
      </c>
    </row>
    <row r="3306" spans="1:9" x14ac:dyDescent="0.4">
      <c r="A3306" t="s">
        <v>66</v>
      </c>
      <c r="B3306" s="1">
        <v>45323</v>
      </c>
      <c r="C3306">
        <v>870830</v>
      </c>
      <c r="D3306" t="s">
        <v>176</v>
      </c>
      <c r="E3306">
        <v>7621638</v>
      </c>
      <c r="F3306">
        <v>691217</v>
      </c>
      <c r="G3306">
        <v>147389</v>
      </c>
      <c r="H3306">
        <f>_xlfn.XLOOKUP(FACT_IMPORTS[[#This Row],[hts_6]],DIM_PRODUCTS[hts_6],DIM_PRODUCTS[hts_4],,,)</f>
        <v>8708</v>
      </c>
      <c r="I3306" t="str" cm="1">
        <f t="array" ref="I3306">_xlfn.XLOOKUP(FACT_IMPORTS[[#This Row],[country_name]],DIM_COUNTRY[[#All],[Column2]],DIM_COUNTRY[[#All],[Column3]],,,)</f>
        <v>China</v>
      </c>
    </row>
    <row r="3307" spans="1:9" x14ac:dyDescent="0.4">
      <c r="A3307" t="s">
        <v>66</v>
      </c>
      <c r="B3307" s="1">
        <v>45323</v>
      </c>
      <c r="C3307">
        <v>870840</v>
      </c>
      <c r="D3307" t="s">
        <v>176</v>
      </c>
      <c r="E3307">
        <v>4992199</v>
      </c>
      <c r="F3307">
        <v>817021</v>
      </c>
      <c r="G3307">
        <v>146896</v>
      </c>
      <c r="H3307">
        <f>_xlfn.XLOOKUP(FACT_IMPORTS[[#This Row],[hts_6]],DIM_PRODUCTS[hts_6],DIM_PRODUCTS[hts_4],,,)</f>
        <v>8708</v>
      </c>
      <c r="I3307" t="str" cm="1">
        <f t="array" ref="I3307">_xlfn.XLOOKUP(FACT_IMPORTS[[#This Row],[country_name]],DIM_COUNTRY[[#All],[Column2]],DIM_COUNTRY[[#All],[Column3]],,,)</f>
        <v>China</v>
      </c>
    </row>
    <row r="3308" spans="1:9" x14ac:dyDescent="0.4">
      <c r="A3308" t="s">
        <v>66</v>
      </c>
      <c r="B3308" s="1">
        <v>45323</v>
      </c>
      <c r="C3308">
        <v>870850</v>
      </c>
      <c r="D3308" t="s">
        <v>176</v>
      </c>
      <c r="E3308">
        <v>2602345</v>
      </c>
      <c r="F3308">
        <v>499986</v>
      </c>
      <c r="G3308">
        <v>102100</v>
      </c>
      <c r="H3308">
        <f>_xlfn.XLOOKUP(FACT_IMPORTS[[#This Row],[hts_6]],DIM_PRODUCTS[hts_6],DIM_PRODUCTS[hts_4],,,)</f>
        <v>8708</v>
      </c>
      <c r="I3308" t="str" cm="1">
        <f t="array" ref="I3308">_xlfn.XLOOKUP(FACT_IMPORTS[[#This Row],[country_name]],DIM_COUNTRY[[#All],[Column2]],DIM_COUNTRY[[#All],[Column3]],,,)</f>
        <v>China</v>
      </c>
    </row>
    <row r="3309" spans="1:9" x14ac:dyDescent="0.4">
      <c r="A3309" t="s">
        <v>66</v>
      </c>
      <c r="B3309" s="1">
        <v>45323</v>
      </c>
      <c r="C3309">
        <v>870870</v>
      </c>
      <c r="D3309" t="s">
        <v>176</v>
      </c>
      <c r="E3309">
        <v>36895994</v>
      </c>
      <c r="F3309">
        <v>992253</v>
      </c>
      <c r="G3309">
        <v>1452547</v>
      </c>
      <c r="H3309">
        <f>_xlfn.XLOOKUP(FACT_IMPORTS[[#This Row],[hts_6]],DIM_PRODUCTS[hts_6],DIM_PRODUCTS[hts_4],,,)</f>
        <v>8708</v>
      </c>
      <c r="I3309" t="str" cm="1">
        <f t="array" ref="I3309">_xlfn.XLOOKUP(FACT_IMPORTS[[#This Row],[country_name]],DIM_COUNTRY[[#All],[Column2]],DIM_COUNTRY[[#All],[Column3]],,,)</f>
        <v>China</v>
      </c>
    </row>
    <row r="3310" spans="1:9" x14ac:dyDescent="0.4">
      <c r="A3310" t="s">
        <v>66</v>
      </c>
      <c r="B3310" s="1">
        <v>45323</v>
      </c>
      <c r="C3310">
        <v>870880</v>
      </c>
      <c r="D3310" t="s">
        <v>176</v>
      </c>
      <c r="E3310">
        <v>14395193</v>
      </c>
      <c r="F3310">
        <v>2779430</v>
      </c>
      <c r="G3310">
        <v>283966</v>
      </c>
      <c r="H3310">
        <f>_xlfn.XLOOKUP(FACT_IMPORTS[[#This Row],[hts_6]],DIM_PRODUCTS[hts_6],DIM_PRODUCTS[hts_4],,,)</f>
        <v>8708</v>
      </c>
      <c r="I3310" t="str" cm="1">
        <f t="array" ref="I3310">_xlfn.XLOOKUP(FACT_IMPORTS[[#This Row],[country_name]],DIM_COUNTRY[[#All],[Column2]],DIM_COUNTRY[[#All],[Column3]],,,)</f>
        <v>China</v>
      </c>
    </row>
    <row r="3311" spans="1:9" x14ac:dyDescent="0.4">
      <c r="A3311" t="s">
        <v>66</v>
      </c>
      <c r="B3311" s="1">
        <v>45323</v>
      </c>
      <c r="C3311">
        <v>870891</v>
      </c>
      <c r="D3311" t="s">
        <v>176</v>
      </c>
      <c r="E3311">
        <v>228278</v>
      </c>
      <c r="F3311">
        <v>8681</v>
      </c>
      <c r="G3311">
        <v>4144</v>
      </c>
      <c r="H3311">
        <f>_xlfn.XLOOKUP(FACT_IMPORTS[[#This Row],[hts_6]],DIM_PRODUCTS[hts_6],DIM_PRODUCTS[hts_4],,,)</f>
        <v>8708</v>
      </c>
      <c r="I3311" t="str" cm="1">
        <f t="array" ref="I3311">_xlfn.XLOOKUP(FACT_IMPORTS[[#This Row],[country_name]],DIM_COUNTRY[[#All],[Column2]],DIM_COUNTRY[[#All],[Column3]],,,)</f>
        <v>China</v>
      </c>
    </row>
    <row r="3312" spans="1:9" x14ac:dyDescent="0.4">
      <c r="A3312" t="s">
        <v>66</v>
      </c>
      <c r="B3312" s="1">
        <v>45323</v>
      </c>
      <c r="C3312">
        <v>870892</v>
      </c>
      <c r="D3312" t="s">
        <v>176</v>
      </c>
      <c r="E3312">
        <v>7181400</v>
      </c>
      <c r="F3312">
        <v>1390544</v>
      </c>
      <c r="G3312">
        <v>318090</v>
      </c>
      <c r="H3312">
        <f>_xlfn.XLOOKUP(FACT_IMPORTS[[#This Row],[hts_6]],DIM_PRODUCTS[hts_6],DIM_PRODUCTS[hts_4],,,)</f>
        <v>8708</v>
      </c>
      <c r="I3312" t="str" cm="1">
        <f t="array" ref="I3312">_xlfn.XLOOKUP(FACT_IMPORTS[[#This Row],[country_name]],DIM_COUNTRY[[#All],[Column2]],DIM_COUNTRY[[#All],[Column3]],,,)</f>
        <v>China</v>
      </c>
    </row>
    <row r="3313" spans="1:9" x14ac:dyDescent="0.4">
      <c r="A3313" t="s">
        <v>66</v>
      </c>
      <c r="B3313" s="1">
        <v>45323</v>
      </c>
      <c r="C3313">
        <v>870893</v>
      </c>
      <c r="D3313" t="s">
        <v>176</v>
      </c>
      <c r="E3313">
        <v>694507</v>
      </c>
      <c r="F3313">
        <v>207187</v>
      </c>
      <c r="G3313">
        <v>10647</v>
      </c>
      <c r="H3313">
        <f>_xlfn.XLOOKUP(FACT_IMPORTS[[#This Row],[hts_6]],DIM_PRODUCTS[hts_6],DIM_PRODUCTS[hts_4],,,)</f>
        <v>8708</v>
      </c>
      <c r="I3313" t="str" cm="1">
        <f t="array" ref="I3313">_xlfn.XLOOKUP(FACT_IMPORTS[[#This Row],[country_name]],DIM_COUNTRY[[#All],[Column2]],DIM_COUNTRY[[#All],[Column3]],,,)</f>
        <v>China</v>
      </c>
    </row>
    <row r="3314" spans="1:9" x14ac:dyDescent="0.4">
      <c r="A3314" t="s">
        <v>66</v>
      </c>
      <c r="B3314" s="1">
        <v>45323</v>
      </c>
      <c r="C3314">
        <v>870894</v>
      </c>
      <c r="D3314" t="s">
        <v>176</v>
      </c>
      <c r="E3314">
        <v>5723896</v>
      </c>
      <c r="F3314">
        <v>303879</v>
      </c>
      <c r="G3314">
        <v>646225</v>
      </c>
      <c r="H3314">
        <f>_xlfn.XLOOKUP(FACT_IMPORTS[[#This Row],[hts_6]],DIM_PRODUCTS[hts_6],DIM_PRODUCTS[hts_4],,,)</f>
        <v>8708</v>
      </c>
      <c r="I3314" t="str" cm="1">
        <f t="array" ref="I3314">_xlfn.XLOOKUP(FACT_IMPORTS[[#This Row],[country_name]],DIM_COUNTRY[[#All],[Column2]],DIM_COUNTRY[[#All],[Column3]],,,)</f>
        <v>China</v>
      </c>
    </row>
    <row r="3315" spans="1:9" x14ac:dyDescent="0.4">
      <c r="A3315" t="s">
        <v>66</v>
      </c>
      <c r="B3315" s="1">
        <v>45323</v>
      </c>
      <c r="C3315">
        <v>870895</v>
      </c>
      <c r="D3315" t="s">
        <v>176</v>
      </c>
      <c r="E3315">
        <v>455249</v>
      </c>
      <c r="F3315">
        <v>25927</v>
      </c>
      <c r="G3315">
        <v>10223</v>
      </c>
      <c r="H3315">
        <f>_xlfn.XLOOKUP(FACT_IMPORTS[[#This Row],[hts_6]],DIM_PRODUCTS[hts_6],DIM_PRODUCTS[hts_4],,,)</f>
        <v>8708</v>
      </c>
      <c r="I3315" t="str" cm="1">
        <f t="array" ref="I3315">_xlfn.XLOOKUP(FACT_IMPORTS[[#This Row],[country_name]],DIM_COUNTRY[[#All],[Column2]],DIM_COUNTRY[[#All],[Column3]],,,)</f>
        <v>China</v>
      </c>
    </row>
    <row r="3316" spans="1:9" x14ac:dyDescent="0.4">
      <c r="A3316" t="s">
        <v>66</v>
      </c>
      <c r="B3316" s="1">
        <v>45323</v>
      </c>
      <c r="C3316">
        <v>870899</v>
      </c>
      <c r="D3316" t="s">
        <v>176</v>
      </c>
      <c r="E3316">
        <v>10787304</v>
      </c>
      <c r="F3316">
        <v>2183166</v>
      </c>
      <c r="G3316">
        <v>573851</v>
      </c>
      <c r="H3316">
        <f>_xlfn.XLOOKUP(FACT_IMPORTS[[#This Row],[hts_6]],DIM_PRODUCTS[hts_6],DIM_PRODUCTS[hts_4],,,)</f>
        <v>8708</v>
      </c>
      <c r="I3316" t="str" cm="1">
        <f t="array" ref="I3316">_xlfn.XLOOKUP(FACT_IMPORTS[[#This Row],[country_name]],DIM_COUNTRY[[#All],[Column2]],DIM_COUNTRY[[#All],[Column3]],,,)</f>
        <v>China</v>
      </c>
    </row>
    <row r="3317" spans="1:9" x14ac:dyDescent="0.4">
      <c r="A3317" t="s">
        <v>66</v>
      </c>
      <c r="B3317" s="1">
        <v>45323</v>
      </c>
      <c r="C3317">
        <v>940120</v>
      </c>
      <c r="D3317" t="s">
        <v>176</v>
      </c>
      <c r="E3317">
        <v>80483</v>
      </c>
      <c r="F3317">
        <v>8114</v>
      </c>
      <c r="G3317">
        <v>6625</v>
      </c>
      <c r="H3317">
        <f>_xlfn.XLOOKUP(FACT_IMPORTS[[#This Row],[hts_6]],DIM_PRODUCTS[hts_6],DIM_PRODUCTS[hts_4],,,)</f>
        <v>9401</v>
      </c>
      <c r="I3317" t="str" cm="1">
        <f t="array" ref="I3317">_xlfn.XLOOKUP(FACT_IMPORTS[[#This Row],[country_name]],DIM_COUNTRY[[#All],[Column2]],DIM_COUNTRY[[#All],[Column3]],,,)</f>
        <v>China</v>
      </c>
    </row>
    <row r="3318" spans="1:9" x14ac:dyDescent="0.4">
      <c r="A3318" t="s">
        <v>66</v>
      </c>
      <c r="B3318" s="1">
        <v>45352</v>
      </c>
      <c r="C3318">
        <v>392630</v>
      </c>
      <c r="D3318" t="s">
        <v>176</v>
      </c>
      <c r="E3318">
        <v>5955641</v>
      </c>
      <c r="F3318">
        <v>248202</v>
      </c>
      <c r="G3318">
        <v>198698</v>
      </c>
      <c r="H3318">
        <f>_xlfn.XLOOKUP(FACT_IMPORTS[[#This Row],[hts_6]],DIM_PRODUCTS[hts_6],DIM_PRODUCTS[hts_4],,,)</f>
        <v>3926</v>
      </c>
      <c r="I3318" t="str" cm="1">
        <f t="array" ref="I3318">_xlfn.XLOOKUP(FACT_IMPORTS[[#This Row],[country_name]],DIM_COUNTRY[[#All],[Column2]],DIM_COUNTRY[[#All],[Column3]],,,)</f>
        <v>China</v>
      </c>
    </row>
    <row r="3319" spans="1:9" x14ac:dyDescent="0.4">
      <c r="A3319" t="s">
        <v>66</v>
      </c>
      <c r="B3319" s="1">
        <v>45352</v>
      </c>
      <c r="C3319">
        <v>401110</v>
      </c>
      <c r="D3319" t="s">
        <v>176</v>
      </c>
      <c r="E3319">
        <v>5775</v>
      </c>
      <c r="F3319">
        <v>55</v>
      </c>
      <c r="G3319">
        <v>40</v>
      </c>
      <c r="H3319">
        <f>_xlfn.XLOOKUP(FACT_IMPORTS[[#This Row],[hts_6]],DIM_PRODUCTS[hts_6],DIM_PRODUCTS[hts_4],,,)</f>
        <v>4011</v>
      </c>
      <c r="I3319" t="str" cm="1">
        <f t="array" ref="I3319">_xlfn.XLOOKUP(FACT_IMPORTS[[#This Row],[country_name]],DIM_COUNTRY[[#All],[Column2]],DIM_COUNTRY[[#All],[Column3]],,,)</f>
        <v>China</v>
      </c>
    </row>
    <row r="3320" spans="1:9" x14ac:dyDescent="0.4">
      <c r="A3320" t="s">
        <v>66</v>
      </c>
      <c r="B3320" s="1">
        <v>45352</v>
      </c>
      <c r="C3320">
        <v>401120</v>
      </c>
      <c r="D3320" t="s">
        <v>176</v>
      </c>
      <c r="E3320">
        <v>116230</v>
      </c>
      <c r="F3320">
        <v>1708</v>
      </c>
      <c r="G3320">
        <v>8288</v>
      </c>
      <c r="H3320">
        <f>_xlfn.XLOOKUP(FACT_IMPORTS[[#This Row],[hts_6]],DIM_PRODUCTS[hts_6],DIM_PRODUCTS[hts_4],,,)</f>
        <v>4011</v>
      </c>
      <c r="I3320" t="str" cm="1">
        <f t="array" ref="I3320">_xlfn.XLOOKUP(FACT_IMPORTS[[#This Row],[country_name]],DIM_COUNTRY[[#All],[Column2]],DIM_COUNTRY[[#All],[Column3]],,,)</f>
        <v>China</v>
      </c>
    </row>
    <row r="3321" spans="1:9" x14ac:dyDescent="0.4">
      <c r="A3321" t="s">
        <v>66</v>
      </c>
      <c r="B3321" s="1">
        <v>45352</v>
      </c>
      <c r="C3321">
        <v>401140</v>
      </c>
      <c r="D3321" t="s">
        <v>176</v>
      </c>
      <c r="E3321">
        <v>15345</v>
      </c>
      <c r="F3321">
        <v>242</v>
      </c>
      <c r="G3321">
        <v>43</v>
      </c>
      <c r="H3321">
        <f>_xlfn.XLOOKUP(FACT_IMPORTS[[#This Row],[hts_6]],DIM_PRODUCTS[hts_6],DIM_PRODUCTS[hts_4],,,)</f>
        <v>4011</v>
      </c>
      <c r="I3321" t="str" cm="1">
        <f t="array" ref="I3321">_xlfn.XLOOKUP(FACT_IMPORTS[[#This Row],[country_name]],DIM_COUNTRY[[#All],[Column2]],DIM_COUNTRY[[#All],[Column3]],,,)</f>
        <v>China</v>
      </c>
    </row>
    <row r="3322" spans="1:9" x14ac:dyDescent="0.4">
      <c r="A3322" t="s">
        <v>66</v>
      </c>
      <c r="B3322" s="1">
        <v>45352</v>
      </c>
      <c r="C3322">
        <v>401190</v>
      </c>
      <c r="D3322" t="s">
        <v>176</v>
      </c>
      <c r="E3322">
        <v>456279</v>
      </c>
      <c r="F3322">
        <v>18911</v>
      </c>
      <c r="G3322">
        <v>19533</v>
      </c>
      <c r="H3322">
        <f>_xlfn.XLOOKUP(FACT_IMPORTS[[#This Row],[hts_6]],DIM_PRODUCTS[hts_6],DIM_PRODUCTS[hts_4],,,)</f>
        <v>4011</v>
      </c>
      <c r="I3322" t="str" cm="1">
        <f t="array" ref="I3322">_xlfn.XLOOKUP(FACT_IMPORTS[[#This Row],[country_name]],DIM_COUNTRY[[#All],[Column2]],DIM_COUNTRY[[#All],[Column3]],,,)</f>
        <v>China</v>
      </c>
    </row>
    <row r="3323" spans="1:9" x14ac:dyDescent="0.4">
      <c r="A3323" t="s">
        <v>66</v>
      </c>
      <c r="B3323" s="1">
        <v>45352</v>
      </c>
      <c r="C3323">
        <v>700711</v>
      </c>
      <c r="D3323" t="s">
        <v>176</v>
      </c>
      <c r="E3323">
        <v>1636226</v>
      </c>
      <c r="F3323">
        <v>129156</v>
      </c>
      <c r="G3323">
        <v>172676</v>
      </c>
      <c r="H3323">
        <f>_xlfn.XLOOKUP(FACT_IMPORTS[[#This Row],[hts_6]],DIM_PRODUCTS[hts_6],DIM_PRODUCTS[hts_4],,,)</f>
        <v>7007</v>
      </c>
      <c r="I3323" t="str" cm="1">
        <f t="array" ref="I3323">_xlfn.XLOOKUP(FACT_IMPORTS[[#This Row],[country_name]],DIM_COUNTRY[[#All],[Column2]],DIM_COUNTRY[[#All],[Column3]],,,)</f>
        <v>China</v>
      </c>
    </row>
    <row r="3324" spans="1:9" x14ac:dyDescent="0.4">
      <c r="A3324" t="s">
        <v>66</v>
      </c>
      <c r="B3324" s="1">
        <v>45352</v>
      </c>
      <c r="C3324">
        <v>700721</v>
      </c>
      <c r="D3324" t="s">
        <v>176</v>
      </c>
      <c r="E3324">
        <v>290265</v>
      </c>
      <c r="F3324">
        <v>11931</v>
      </c>
      <c r="G3324">
        <v>24208</v>
      </c>
      <c r="H3324">
        <f>_xlfn.XLOOKUP(FACT_IMPORTS[[#This Row],[hts_6]],DIM_PRODUCTS[hts_6],DIM_PRODUCTS[hts_4],,,)</f>
        <v>7007</v>
      </c>
      <c r="I3324" t="str" cm="1">
        <f t="array" ref="I3324">_xlfn.XLOOKUP(FACT_IMPORTS[[#This Row],[country_name]],DIM_COUNTRY[[#All],[Column2]],DIM_COUNTRY[[#All],[Column3]],,,)</f>
        <v>China</v>
      </c>
    </row>
    <row r="3325" spans="1:9" x14ac:dyDescent="0.4">
      <c r="A3325" t="s">
        <v>66</v>
      </c>
      <c r="B3325" s="1">
        <v>45352</v>
      </c>
      <c r="C3325">
        <v>700910</v>
      </c>
      <c r="D3325" t="s">
        <v>176</v>
      </c>
      <c r="E3325">
        <v>327725</v>
      </c>
      <c r="F3325">
        <v>319687</v>
      </c>
      <c r="G3325">
        <v>7481</v>
      </c>
      <c r="H3325">
        <f>_xlfn.XLOOKUP(FACT_IMPORTS[[#This Row],[hts_6]],DIM_PRODUCTS[hts_6],DIM_PRODUCTS[hts_4],,,)</f>
        <v>7009</v>
      </c>
      <c r="I3325" t="str" cm="1">
        <f t="array" ref="I3325">_xlfn.XLOOKUP(FACT_IMPORTS[[#This Row],[country_name]],DIM_COUNTRY[[#All],[Column2]],DIM_COUNTRY[[#All],[Column3]],,,)</f>
        <v>China</v>
      </c>
    </row>
    <row r="3326" spans="1:9" x14ac:dyDescent="0.4">
      <c r="A3326" t="s">
        <v>66</v>
      </c>
      <c r="B3326" s="1">
        <v>45352</v>
      </c>
      <c r="C3326">
        <v>732010</v>
      </c>
      <c r="D3326" t="s">
        <v>176</v>
      </c>
      <c r="E3326">
        <v>2060</v>
      </c>
      <c r="F3326">
        <v>33</v>
      </c>
      <c r="G3326">
        <v>36</v>
      </c>
      <c r="H3326">
        <f>_xlfn.XLOOKUP(FACT_IMPORTS[[#This Row],[hts_6]],DIM_PRODUCTS[hts_6],DIM_PRODUCTS[hts_4],,,)</f>
        <v>7320</v>
      </c>
      <c r="I3326" t="str" cm="1">
        <f t="array" ref="I3326">_xlfn.XLOOKUP(FACT_IMPORTS[[#This Row],[country_name]],DIM_COUNTRY[[#All],[Column2]],DIM_COUNTRY[[#All],[Column3]],,,)</f>
        <v>China</v>
      </c>
    </row>
    <row r="3327" spans="1:9" x14ac:dyDescent="0.4">
      <c r="A3327" t="s">
        <v>66</v>
      </c>
      <c r="B3327" s="1">
        <v>45352</v>
      </c>
      <c r="C3327">
        <v>830230</v>
      </c>
      <c r="D3327" t="s">
        <v>176</v>
      </c>
      <c r="E3327">
        <v>4998345</v>
      </c>
      <c r="F3327">
        <v>1413637</v>
      </c>
      <c r="G3327">
        <v>234531</v>
      </c>
      <c r="H3327">
        <f>_xlfn.XLOOKUP(FACT_IMPORTS[[#This Row],[hts_6]],DIM_PRODUCTS[hts_6],DIM_PRODUCTS[hts_4],,,)</f>
        <v>8302</v>
      </c>
      <c r="I3327" t="str" cm="1">
        <f t="array" ref="I3327">_xlfn.XLOOKUP(FACT_IMPORTS[[#This Row],[country_name]],DIM_COUNTRY[[#All],[Column2]],DIM_COUNTRY[[#All],[Column3]],,,)</f>
        <v>China</v>
      </c>
    </row>
    <row r="3328" spans="1:9" x14ac:dyDescent="0.4">
      <c r="A3328" t="s">
        <v>66</v>
      </c>
      <c r="B3328" s="1">
        <v>45352</v>
      </c>
      <c r="C3328">
        <v>840733</v>
      </c>
      <c r="D3328" t="s">
        <v>176</v>
      </c>
      <c r="E3328">
        <v>0</v>
      </c>
      <c r="F3328">
        <v>0</v>
      </c>
      <c r="G3328">
        <v>0</v>
      </c>
      <c r="H3328">
        <f>_xlfn.XLOOKUP(FACT_IMPORTS[[#This Row],[hts_6]],DIM_PRODUCTS[hts_6],DIM_PRODUCTS[hts_4],,,)</f>
        <v>8407</v>
      </c>
      <c r="I3328" t="str" cm="1">
        <f t="array" ref="I3328">_xlfn.XLOOKUP(FACT_IMPORTS[[#This Row],[country_name]],DIM_COUNTRY[[#All],[Column2]],DIM_COUNTRY[[#All],[Column3]],,,)</f>
        <v>China</v>
      </c>
    </row>
    <row r="3329" spans="1:9" x14ac:dyDescent="0.4">
      <c r="A3329" t="s">
        <v>66</v>
      </c>
      <c r="B3329" s="1">
        <v>45352</v>
      </c>
      <c r="C3329">
        <v>840734</v>
      </c>
      <c r="D3329" t="s">
        <v>176</v>
      </c>
      <c r="E3329">
        <v>0</v>
      </c>
      <c r="F3329">
        <v>0</v>
      </c>
      <c r="G3329">
        <v>0</v>
      </c>
      <c r="H3329">
        <f>_xlfn.XLOOKUP(FACT_IMPORTS[[#This Row],[hts_6]],DIM_PRODUCTS[hts_6],DIM_PRODUCTS[hts_4],,,)</f>
        <v>8407</v>
      </c>
      <c r="I3329" t="str" cm="1">
        <f t="array" ref="I3329">_xlfn.XLOOKUP(FACT_IMPORTS[[#This Row],[country_name]],DIM_COUNTRY[[#All],[Column2]],DIM_COUNTRY[[#All],[Column3]],,,)</f>
        <v>China</v>
      </c>
    </row>
    <row r="3330" spans="1:9" x14ac:dyDescent="0.4">
      <c r="A3330" t="s">
        <v>66</v>
      </c>
      <c r="B3330" s="1">
        <v>45352</v>
      </c>
      <c r="C3330">
        <v>840790</v>
      </c>
      <c r="D3330" t="s">
        <v>176</v>
      </c>
      <c r="E3330">
        <v>0</v>
      </c>
      <c r="F3330">
        <v>0</v>
      </c>
      <c r="G3330">
        <v>0</v>
      </c>
      <c r="H3330">
        <f>_xlfn.XLOOKUP(FACT_IMPORTS[[#This Row],[hts_6]],DIM_PRODUCTS[hts_6],DIM_PRODUCTS[hts_4],,,)</f>
        <v>8407</v>
      </c>
      <c r="I3330" t="str" cm="1">
        <f t="array" ref="I3330">_xlfn.XLOOKUP(FACT_IMPORTS[[#This Row],[country_name]],DIM_COUNTRY[[#All],[Column2]],DIM_COUNTRY[[#All],[Column3]],,,)</f>
        <v>China</v>
      </c>
    </row>
    <row r="3331" spans="1:9" x14ac:dyDescent="0.4">
      <c r="A3331" t="s">
        <v>66</v>
      </c>
      <c r="B3331" s="1">
        <v>45352</v>
      </c>
      <c r="C3331">
        <v>840820</v>
      </c>
      <c r="D3331" t="s">
        <v>176</v>
      </c>
      <c r="E3331">
        <v>0</v>
      </c>
      <c r="F3331">
        <v>0</v>
      </c>
      <c r="G3331">
        <v>0</v>
      </c>
      <c r="H3331">
        <f>_xlfn.XLOOKUP(FACT_IMPORTS[[#This Row],[hts_6]],DIM_PRODUCTS[hts_6],DIM_PRODUCTS[hts_4],,,)</f>
        <v>8408</v>
      </c>
      <c r="I3331" t="str" cm="1">
        <f t="array" ref="I3331">_xlfn.XLOOKUP(FACT_IMPORTS[[#This Row],[country_name]],DIM_COUNTRY[[#All],[Column2]],DIM_COUNTRY[[#All],[Column3]],,,)</f>
        <v>China</v>
      </c>
    </row>
    <row r="3332" spans="1:9" x14ac:dyDescent="0.4">
      <c r="A3332" t="s">
        <v>66</v>
      </c>
      <c r="B3332" s="1">
        <v>45352</v>
      </c>
      <c r="C3332">
        <v>840890</v>
      </c>
      <c r="D3332" t="s">
        <v>176</v>
      </c>
      <c r="E3332">
        <v>0</v>
      </c>
      <c r="F3332">
        <v>0</v>
      </c>
      <c r="G3332">
        <v>0</v>
      </c>
      <c r="H3332">
        <f>_xlfn.XLOOKUP(FACT_IMPORTS[[#This Row],[hts_6]],DIM_PRODUCTS[hts_6],DIM_PRODUCTS[hts_4],,,)</f>
        <v>8408</v>
      </c>
      <c r="I3332" t="str" cm="1">
        <f t="array" ref="I3332">_xlfn.XLOOKUP(FACT_IMPORTS[[#This Row],[country_name]],DIM_COUNTRY[[#All],[Column2]],DIM_COUNTRY[[#All],[Column3]],,,)</f>
        <v>China</v>
      </c>
    </row>
    <row r="3333" spans="1:9" x14ac:dyDescent="0.4">
      <c r="A3333" t="s">
        <v>66</v>
      </c>
      <c r="B3333" s="1">
        <v>45352</v>
      </c>
      <c r="C3333">
        <v>840991</v>
      </c>
      <c r="D3333" t="s">
        <v>176</v>
      </c>
      <c r="E3333">
        <v>7977118</v>
      </c>
      <c r="F3333">
        <v>2021286</v>
      </c>
      <c r="G3333">
        <v>767333</v>
      </c>
      <c r="H3333">
        <f>_xlfn.XLOOKUP(FACT_IMPORTS[[#This Row],[hts_6]],DIM_PRODUCTS[hts_6],DIM_PRODUCTS[hts_4],,,)</f>
        <v>8409</v>
      </c>
      <c r="I3333" t="str" cm="1">
        <f t="array" ref="I3333">_xlfn.XLOOKUP(FACT_IMPORTS[[#This Row],[country_name]],DIM_COUNTRY[[#All],[Column2]],DIM_COUNTRY[[#All],[Column3]],,,)</f>
        <v>China</v>
      </c>
    </row>
    <row r="3334" spans="1:9" x14ac:dyDescent="0.4">
      <c r="A3334" t="s">
        <v>66</v>
      </c>
      <c r="B3334" s="1">
        <v>45352</v>
      </c>
      <c r="C3334">
        <v>840999</v>
      </c>
      <c r="D3334" t="s">
        <v>176</v>
      </c>
      <c r="E3334">
        <v>5054610</v>
      </c>
      <c r="F3334">
        <v>945336</v>
      </c>
      <c r="G3334">
        <v>295790</v>
      </c>
      <c r="H3334">
        <f>_xlfn.XLOOKUP(FACT_IMPORTS[[#This Row],[hts_6]],DIM_PRODUCTS[hts_6],DIM_PRODUCTS[hts_4],,,)</f>
        <v>8409</v>
      </c>
      <c r="I3334" t="str" cm="1">
        <f t="array" ref="I3334">_xlfn.XLOOKUP(FACT_IMPORTS[[#This Row],[country_name]],DIM_COUNTRY[[#All],[Column2]],DIM_COUNTRY[[#All],[Column3]],,,)</f>
        <v>China</v>
      </c>
    </row>
    <row r="3335" spans="1:9" x14ac:dyDescent="0.4">
      <c r="A3335" t="s">
        <v>66</v>
      </c>
      <c r="B3335" s="1">
        <v>45352</v>
      </c>
      <c r="C3335">
        <v>841330</v>
      </c>
      <c r="D3335" t="s">
        <v>176</v>
      </c>
      <c r="E3335">
        <v>1332542</v>
      </c>
      <c r="F3335">
        <v>22941</v>
      </c>
      <c r="G3335">
        <v>23941</v>
      </c>
      <c r="H3335">
        <f>_xlfn.XLOOKUP(FACT_IMPORTS[[#This Row],[hts_6]],DIM_PRODUCTS[hts_6],DIM_PRODUCTS[hts_4],,,)</f>
        <v>8413</v>
      </c>
      <c r="I3335" t="str" cm="1">
        <f t="array" ref="I3335">_xlfn.XLOOKUP(FACT_IMPORTS[[#This Row],[country_name]],DIM_COUNTRY[[#All],[Column2]],DIM_COUNTRY[[#All],[Column3]],,,)</f>
        <v>China</v>
      </c>
    </row>
    <row r="3336" spans="1:9" x14ac:dyDescent="0.4">
      <c r="A3336" t="s">
        <v>66</v>
      </c>
      <c r="B3336" s="1">
        <v>45352</v>
      </c>
      <c r="C3336">
        <v>841520</v>
      </c>
      <c r="D3336" t="s">
        <v>176</v>
      </c>
      <c r="E3336">
        <v>0</v>
      </c>
      <c r="F3336">
        <v>0</v>
      </c>
      <c r="G3336">
        <v>0</v>
      </c>
      <c r="H3336">
        <f>_xlfn.XLOOKUP(FACT_IMPORTS[[#This Row],[hts_6]],DIM_PRODUCTS[hts_6],DIM_PRODUCTS[hts_4],,,)</f>
        <v>8415</v>
      </c>
      <c r="I3336" t="str" cm="1">
        <f t="array" ref="I3336">_xlfn.XLOOKUP(FACT_IMPORTS[[#This Row],[country_name]],DIM_COUNTRY[[#All],[Column2]],DIM_COUNTRY[[#All],[Column3]],,,)</f>
        <v>China</v>
      </c>
    </row>
    <row r="3337" spans="1:9" x14ac:dyDescent="0.4">
      <c r="A3337" t="s">
        <v>66</v>
      </c>
      <c r="B3337" s="1">
        <v>45352</v>
      </c>
      <c r="C3337">
        <v>842132</v>
      </c>
      <c r="D3337" t="s">
        <v>176</v>
      </c>
      <c r="E3337">
        <v>0</v>
      </c>
      <c r="F3337">
        <v>0</v>
      </c>
      <c r="G3337">
        <v>0</v>
      </c>
      <c r="H3337">
        <f>_xlfn.XLOOKUP(FACT_IMPORTS[[#This Row],[hts_6]],DIM_PRODUCTS[hts_6],DIM_PRODUCTS[hts_4],,,)</f>
        <v>8421</v>
      </c>
      <c r="I3337" t="str" cm="1">
        <f t="array" ref="I3337">_xlfn.XLOOKUP(FACT_IMPORTS[[#This Row],[country_name]],DIM_COUNTRY[[#All],[Column2]],DIM_COUNTRY[[#All],[Column3]],,,)</f>
        <v>China</v>
      </c>
    </row>
    <row r="3338" spans="1:9" x14ac:dyDescent="0.4">
      <c r="A3338" t="s">
        <v>66</v>
      </c>
      <c r="B3338" s="1">
        <v>45352</v>
      </c>
      <c r="C3338">
        <v>848210</v>
      </c>
      <c r="D3338" t="s">
        <v>176</v>
      </c>
      <c r="E3338">
        <v>655673</v>
      </c>
      <c r="F3338">
        <v>294072</v>
      </c>
      <c r="G3338">
        <v>25256</v>
      </c>
      <c r="H3338">
        <f>_xlfn.XLOOKUP(FACT_IMPORTS[[#This Row],[hts_6]],DIM_PRODUCTS[hts_6],DIM_PRODUCTS[hts_4],,,)</f>
        <v>8482</v>
      </c>
      <c r="I3338" t="str" cm="1">
        <f t="array" ref="I3338">_xlfn.XLOOKUP(FACT_IMPORTS[[#This Row],[country_name]],DIM_COUNTRY[[#All],[Column2]],DIM_COUNTRY[[#All],[Column3]],,,)</f>
        <v>China</v>
      </c>
    </row>
    <row r="3339" spans="1:9" x14ac:dyDescent="0.4">
      <c r="A3339" t="s">
        <v>66</v>
      </c>
      <c r="B3339" s="1">
        <v>45352</v>
      </c>
      <c r="C3339">
        <v>848220</v>
      </c>
      <c r="D3339" t="s">
        <v>176</v>
      </c>
      <c r="E3339">
        <v>7248</v>
      </c>
      <c r="F3339">
        <v>1168</v>
      </c>
      <c r="G3339">
        <v>865</v>
      </c>
      <c r="H3339">
        <f>_xlfn.XLOOKUP(FACT_IMPORTS[[#This Row],[hts_6]],DIM_PRODUCTS[hts_6],DIM_PRODUCTS[hts_4],,,)</f>
        <v>8482</v>
      </c>
      <c r="I3339" t="str" cm="1">
        <f t="array" ref="I3339">_xlfn.XLOOKUP(FACT_IMPORTS[[#This Row],[country_name]],DIM_COUNTRY[[#All],[Column2]],DIM_COUNTRY[[#All],[Column3]],,,)</f>
        <v>China</v>
      </c>
    </row>
    <row r="3340" spans="1:9" x14ac:dyDescent="0.4">
      <c r="A3340" t="s">
        <v>66</v>
      </c>
      <c r="B3340" s="1">
        <v>45352</v>
      </c>
      <c r="C3340">
        <v>848310</v>
      </c>
      <c r="D3340" t="s">
        <v>176</v>
      </c>
      <c r="E3340">
        <v>2181423</v>
      </c>
      <c r="F3340">
        <v>82179</v>
      </c>
      <c r="G3340">
        <v>100405</v>
      </c>
      <c r="H3340">
        <f>_xlfn.XLOOKUP(FACT_IMPORTS[[#This Row],[hts_6]],DIM_PRODUCTS[hts_6],DIM_PRODUCTS[hts_4],,,)</f>
        <v>8483</v>
      </c>
      <c r="I3340" t="str" cm="1">
        <f t="array" ref="I3340">_xlfn.XLOOKUP(FACT_IMPORTS[[#This Row],[country_name]],DIM_COUNTRY[[#All],[Column2]],DIM_COUNTRY[[#All],[Column3]],,,)</f>
        <v>China</v>
      </c>
    </row>
    <row r="3341" spans="1:9" x14ac:dyDescent="0.4">
      <c r="A3341" t="s">
        <v>66</v>
      </c>
      <c r="B3341" s="1">
        <v>45352</v>
      </c>
      <c r="C3341">
        <v>850131</v>
      </c>
      <c r="D3341" t="s">
        <v>176</v>
      </c>
      <c r="E3341">
        <v>2279427</v>
      </c>
      <c r="F3341">
        <v>255234</v>
      </c>
      <c r="G3341">
        <v>19344</v>
      </c>
      <c r="H3341">
        <f>_xlfn.XLOOKUP(FACT_IMPORTS[[#This Row],[hts_6]],DIM_PRODUCTS[hts_6],DIM_PRODUCTS[hts_4],,,)</f>
        <v>8501</v>
      </c>
      <c r="I3341" t="str" cm="1">
        <f t="array" ref="I3341">_xlfn.XLOOKUP(FACT_IMPORTS[[#This Row],[country_name]],DIM_COUNTRY[[#All],[Column2]],DIM_COUNTRY[[#All],[Column3]],,,)</f>
        <v>China</v>
      </c>
    </row>
    <row r="3342" spans="1:9" x14ac:dyDescent="0.4">
      <c r="A3342" t="s">
        <v>66</v>
      </c>
      <c r="B3342" s="1">
        <v>45352</v>
      </c>
      <c r="C3342">
        <v>850132</v>
      </c>
      <c r="D3342" t="s">
        <v>176</v>
      </c>
      <c r="E3342">
        <v>0</v>
      </c>
      <c r="F3342">
        <v>0</v>
      </c>
      <c r="G3342">
        <v>0</v>
      </c>
      <c r="H3342">
        <f>_xlfn.XLOOKUP(FACT_IMPORTS[[#This Row],[hts_6]],DIM_PRODUCTS[hts_6],DIM_PRODUCTS[hts_4],,,)</f>
        <v>8501</v>
      </c>
      <c r="I3342" t="str" cm="1">
        <f t="array" ref="I3342">_xlfn.XLOOKUP(FACT_IMPORTS[[#This Row],[country_name]],DIM_COUNTRY[[#All],[Column2]],DIM_COUNTRY[[#All],[Column3]],,,)</f>
        <v>China</v>
      </c>
    </row>
    <row r="3343" spans="1:9" x14ac:dyDescent="0.4">
      <c r="A3343" t="s">
        <v>66</v>
      </c>
      <c r="B3343" s="1">
        <v>45352</v>
      </c>
      <c r="C3343">
        <v>850133</v>
      </c>
      <c r="D3343" t="s">
        <v>176</v>
      </c>
      <c r="E3343">
        <v>0</v>
      </c>
      <c r="F3343">
        <v>0</v>
      </c>
      <c r="G3343">
        <v>0</v>
      </c>
      <c r="H3343">
        <f>_xlfn.XLOOKUP(FACT_IMPORTS[[#This Row],[hts_6]],DIM_PRODUCTS[hts_6],DIM_PRODUCTS[hts_4],,,)</f>
        <v>8501</v>
      </c>
      <c r="I3343" t="str" cm="1">
        <f t="array" ref="I3343">_xlfn.XLOOKUP(FACT_IMPORTS[[#This Row],[country_name]],DIM_COUNTRY[[#All],[Column2]],DIM_COUNTRY[[#All],[Column3]],,,)</f>
        <v>China</v>
      </c>
    </row>
    <row r="3344" spans="1:9" x14ac:dyDescent="0.4">
      <c r="A3344" t="s">
        <v>66</v>
      </c>
      <c r="B3344" s="1">
        <v>45352</v>
      </c>
      <c r="C3344">
        <v>850152</v>
      </c>
      <c r="D3344" t="s">
        <v>176</v>
      </c>
      <c r="E3344">
        <v>317008</v>
      </c>
      <c r="F3344">
        <v>748</v>
      </c>
      <c r="G3344">
        <v>8001</v>
      </c>
      <c r="H3344">
        <f>_xlfn.XLOOKUP(FACT_IMPORTS[[#This Row],[hts_6]],DIM_PRODUCTS[hts_6],DIM_PRODUCTS[hts_4],,,)</f>
        <v>8501</v>
      </c>
      <c r="I3344" t="str" cm="1">
        <f t="array" ref="I3344">_xlfn.XLOOKUP(FACT_IMPORTS[[#This Row],[country_name]],DIM_COUNTRY[[#All],[Column2]],DIM_COUNTRY[[#All],[Column3]],,,)</f>
        <v>China</v>
      </c>
    </row>
    <row r="3345" spans="1:9" x14ac:dyDescent="0.4">
      <c r="A3345" t="s">
        <v>66</v>
      </c>
      <c r="B3345" s="1">
        <v>45352</v>
      </c>
      <c r="C3345">
        <v>850153</v>
      </c>
      <c r="D3345" t="s">
        <v>176</v>
      </c>
      <c r="E3345">
        <v>0</v>
      </c>
      <c r="F3345">
        <v>0</v>
      </c>
      <c r="G3345">
        <v>0</v>
      </c>
      <c r="H3345">
        <f>_xlfn.XLOOKUP(FACT_IMPORTS[[#This Row],[hts_6]],DIM_PRODUCTS[hts_6],DIM_PRODUCTS[hts_4],,,)</f>
        <v>8501</v>
      </c>
      <c r="I3345" t="str" cm="1">
        <f t="array" ref="I3345">_xlfn.XLOOKUP(FACT_IMPORTS[[#This Row],[country_name]],DIM_COUNTRY[[#All],[Column2]],DIM_COUNTRY[[#All],[Column3]],,,)</f>
        <v>China</v>
      </c>
    </row>
    <row r="3346" spans="1:9" x14ac:dyDescent="0.4">
      <c r="A3346" t="s">
        <v>66</v>
      </c>
      <c r="B3346" s="1">
        <v>45352</v>
      </c>
      <c r="C3346">
        <v>850161</v>
      </c>
      <c r="D3346" t="s">
        <v>176</v>
      </c>
      <c r="E3346">
        <v>0</v>
      </c>
      <c r="F3346">
        <v>0</v>
      </c>
      <c r="G3346">
        <v>0</v>
      </c>
      <c r="H3346">
        <f>_xlfn.XLOOKUP(FACT_IMPORTS[[#This Row],[hts_6]],DIM_PRODUCTS[hts_6],DIM_PRODUCTS[hts_4],,,)</f>
        <v>8501</v>
      </c>
      <c r="I3346" t="str" cm="1">
        <f t="array" ref="I3346">_xlfn.XLOOKUP(FACT_IMPORTS[[#This Row],[country_name]],DIM_COUNTRY[[#All],[Column2]],DIM_COUNTRY[[#All],[Column3]],,,)</f>
        <v>China</v>
      </c>
    </row>
    <row r="3347" spans="1:9" x14ac:dyDescent="0.4">
      <c r="A3347" t="s">
        <v>66</v>
      </c>
      <c r="B3347" s="1">
        <v>45352</v>
      </c>
      <c r="C3347">
        <v>850440</v>
      </c>
      <c r="D3347" t="s">
        <v>176</v>
      </c>
      <c r="E3347">
        <v>1111255</v>
      </c>
      <c r="F3347">
        <v>18694</v>
      </c>
      <c r="G3347">
        <v>18823</v>
      </c>
      <c r="H3347">
        <f>_xlfn.XLOOKUP(FACT_IMPORTS[[#This Row],[hts_6]],DIM_PRODUCTS[hts_6],DIM_PRODUCTS[hts_4],,,)</f>
        <v>8504</v>
      </c>
      <c r="I3347" t="str" cm="1">
        <f t="array" ref="I3347">_xlfn.XLOOKUP(FACT_IMPORTS[[#This Row],[country_name]],DIM_COUNTRY[[#All],[Column2]],DIM_COUNTRY[[#All],[Column3]],,,)</f>
        <v>China</v>
      </c>
    </row>
    <row r="3348" spans="1:9" x14ac:dyDescent="0.4">
      <c r="A3348" t="s">
        <v>66</v>
      </c>
      <c r="B3348" s="1">
        <v>45352</v>
      </c>
      <c r="C3348">
        <v>850710</v>
      </c>
      <c r="D3348" t="s">
        <v>176</v>
      </c>
      <c r="E3348">
        <v>0</v>
      </c>
      <c r="F3348">
        <v>0</v>
      </c>
      <c r="G3348">
        <v>0</v>
      </c>
      <c r="H3348">
        <f>_xlfn.XLOOKUP(FACT_IMPORTS[[#This Row],[hts_6]],DIM_PRODUCTS[hts_6],DIM_PRODUCTS[hts_4],,,)</f>
        <v>8507</v>
      </c>
      <c r="I3348" t="str" cm="1">
        <f t="array" ref="I3348">_xlfn.XLOOKUP(FACT_IMPORTS[[#This Row],[country_name]],DIM_COUNTRY[[#All],[Column2]],DIM_COUNTRY[[#All],[Column3]],,,)</f>
        <v>China</v>
      </c>
    </row>
    <row r="3349" spans="1:9" x14ac:dyDescent="0.4">
      <c r="A3349" t="s">
        <v>66</v>
      </c>
      <c r="B3349" s="1">
        <v>45352</v>
      </c>
      <c r="C3349">
        <v>850760</v>
      </c>
      <c r="D3349" t="s">
        <v>176</v>
      </c>
      <c r="E3349">
        <v>931919</v>
      </c>
      <c r="F3349">
        <v>10561</v>
      </c>
      <c r="G3349">
        <v>10488</v>
      </c>
      <c r="H3349">
        <f>_xlfn.XLOOKUP(FACT_IMPORTS[[#This Row],[hts_6]],DIM_PRODUCTS[hts_6],DIM_PRODUCTS[hts_4],,,)</f>
        <v>8507</v>
      </c>
      <c r="I3349" t="str" cm="1">
        <f t="array" ref="I3349">_xlfn.XLOOKUP(FACT_IMPORTS[[#This Row],[country_name]],DIM_COUNTRY[[#All],[Column2]],DIM_COUNTRY[[#All],[Column3]],,,)</f>
        <v>China</v>
      </c>
    </row>
    <row r="3350" spans="1:9" x14ac:dyDescent="0.4">
      <c r="A3350" t="s">
        <v>66</v>
      </c>
      <c r="B3350" s="1">
        <v>45352</v>
      </c>
      <c r="C3350">
        <v>850790</v>
      </c>
      <c r="D3350" t="s">
        <v>176</v>
      </c>
      <c r="E3350">
        <v>1200466</v>
      </c>
      <c r="F3350">
        <v>55903</v>
      </c>
      <c r="G3350">
        <v>7077</v>
      </c>
      <c r="H3350">
        <f>_xlfn.XLOOKUP(FACT_IMPORTS[[#This Row],[hts_6]],DIM_PRODUCTS[hts_6],DIM_PRODUCTS[hts_4],,,)</f>
        <v>8507</v>
      </c>
      <c r="I3350" t="str" cm="1">
        <f t="array" ref="I3350">_xlfn.XLOOKUP(FACT_IMPORTS[[#This Row],[country_name]],DIM_COUNTRY[[#All],[Column2]],DIM_COUNTRY[[#All],[Column3]],,,)</f>
        <v>China</v>
      </c>
    </row>
    <row r="3351" spans="1:9" x14ac:dyDescent="0.4">
      <c r="A3351" t="s">
        <v>66</v>
      </c>
      <c r="B3351" s="1">
        <v>45352</v>
      </c>
      <c r="C3351">
        <v>851130</v>
      </c>
      <c r="D3351" t="s">
        <v>176</v>
      </c>
      <c r="E3351">
        <v>50439</v>
      </c>
      <c r="F3351">
        <v>5401</v>
      </c>
      <c r="G3351">
        <v>1760</v>
      </c>
      <c r="H3351">
        <f>_xlfn.XLOOKUP(FACT_IMPORTS[[#This Row],[hts_6]],DIM_PRODUCTS[hts_6],DIM_PRODUCTS[hts_4],,,)</f>
        <v>8511</v>
      </c>
      <c r="I3351" t="str" cm="1">
        <f t="array" ref="I3351">_xlfn.XLOOKUP(FACT_IMPORTS[[#This Row],[country_name]],DIM_COUNTRY[[#All],[Column2]],DIM_COUNTRY[[#All],[Column3]],,,)</f>
        <v>China</v>
      </c>
    </row>
    <row r="3352" spans="1:9" x14ac:dyDescent="0.4">
      <c r="A3352" t="s">
        <v>66</v>
      </c>
      <c r="B3352" s="1">
        <v>45352</v>
      </c>
      <c r="C3352">
        <v>851140</v>
      </c>
      <c r="D3352" t="s">
        <v>176</v>
      </c>
      <c r="E3352">
        <v>267942</v>
      </c>
      <c r="F3352">
        <v>3126</v>
      </c>
      <c r="G3352">
        <v>839</v>
      </c>
      <c r="H3352">
        <f>_xlfn.XLOOKUP(FACT_IMPORTS[[#This Row],[hts_6]],DIM_PRODUCTS[hts_6],DIM_PRODUCTS[hts_4],,,)</f>
        <v>8511</v>
      </c>
      <c r="I3352" t="str" cm="1">
        <f t="array" ref="I3352">_xlfn.XLOOKUP(FACT_IMPORTS[[#This Row],[country_name]],DIM_COUNTRY[[#All],[Column2]],DIM_COUNTRY[[#All],[Column3]],,,)</f>
        <v>China</v>
      </c>
    </row>
    <row r="3353" spans="1:9" x14ac:dyDescent="0.4">
      <c r="A3353" t="s">
        <v>66</v>
      </c>
      <c r="B3353" s="1">
        <v>45352</v>
      </c>
      <c r="C3353">
        <v>851150</v>
      </c>
      <c r="D3353" t="s">
        <v>176</v>
      </c>
      <c r="E3353">
        <v>129016</v>
      </c>
      <c r="F3353">
        <v>1292</v>
      </c>
      <c r="G3353">
        <v>1607</v>
      </c>
      <c r="H3353">
        <f>_xlfn.XLOOKUP(FACT_IMPORTS[[#This Row],[hts_6]],DIM_PRODUCTS[hts_6],DIM_PRODUCTS[hts_4],,,)</f>
        <v>8511</v>
      </c>
      <c r="I3353" t="str" cm="1">
        <f t="array" ref="I3353">_xlfn.XLOOKUP(FACT_IMPORTS[[#This Row],[country_name]],DIM_COUNTRY[[#All],[Column2]],DIM_COUNTRY[[#All],[Column3]],,,)</f>
        <v>China</v>
      </c>
    </row>
    <row r="3354" spans="1:9" x14ac:dyDescent="0.4">
      <c r="A3354" t="s">
        <v>66</v>
      </c>
      <c r="B3354" s="1">
        <v>45352</v>
      </c>
      <c r="C3354">
        <v>851180</v>
      </c>
      <c r="D3354" t="s">
        <v>176</v>
      </c>
      <c r="E3354">
        <v>20700</v>
      </c>
      <c r="F3354">
        <v>340</v>
      </c>
      <c r="G3354">
        <v>3500</v>
      </c>
      <c r="H3354">
        <f>_xlfn.XLOOKUP(FACT_IMPORTS[[#This Row],[hts_6]],DIM_PRODUCTS[hts_6],DIM_PRODUCTS[hts_4],,,)</f>
        <v>8511</v>
      </c>
      <c r="I3354" t="str" cm="1">
        <f t="array" ref="I3354">_xlfn.XLOOKUP(FACT_IMPORTS[[#This Row],[country_name]],DIM_COUNTRY[[#All],[Column2]],DIM_COUNTRY[[#All],[Column3]],,,)</f>
        <v>China</v>
      </c>
    </row>
    <row r="3355" spans="1:9" x14ac:dyDescent="0.4">
      <c r="A3355" t="s">
        <v>66</v>
      </c>
      <c r="B3355" s="1">
        <v>45352</v>
      </c>
      <c r="C3355">
        <v>851190</v>
      </c>
      <c r="D3355" t="s">
        <v>176</v>
      </c>
      <c r="E3355">
        <v>79090</v>
      </c>
      <c r="F3355">
        <v>2560</v>
      </c>
      <c r="G3355">
        <v>4291</v>
      </c>
      <c r="H3355">
        <f>_xlfn.XLOOKUP(FACT_IMPORTS[[#This Row],[hts_6]],DIM_PRODUCTS[hts_6],DIM_PRODUCTS[hts_4],,,)</f>
        <v>8511</v>
      </c>
      <c r="I3355" t="str" cm="1">
        <f t="array" ref="I3355">_xlfn.XLOOKUP(FACT_IMPORTS[[#This Row],[country_name]],DIM_COUNTRY[[#All],[Column2]],DIM_COUNTRY[[#All],[Column3]],,,)</f>
        <v>China</v>
      </c>
    </row>
    <row r="3356" spans="1:9" x14ac:dyDescent="0.4">
      <c r="A3356" t="s">
        <v>66</v>
      </c>
      <c r="B3356" s="1">
        <v>45352</v>
      </c>
      <c r="C3356">
        <v>851220</v>
      </c>
      <c r="D3356" t="s">
        <v>176</v>
      </c>
      <c r="E3356">
        <v>3008583</v>
      </c>
      <c r="F3356">
        <v>422677</v>
      </c>
      <c r="G3356">
        <v>97274</v>
      </c>
      <c r="H3356">
        <f>_xlfn.XLOOKUP(FACT_IMPORTS[[#This Row],[hts_6]],DIM_PRODUCTS[hts_6],DIM_PRODUCTS[hts_4],,,)</f>
        <v>8512</v>
      </c>
      <c r="I3356" t="str" cm="1">
        <f t="array" ref="I3356">_xlfn.XLOOKUP(FACT_IMPORTS[[#This Row],[country_name]],DIM_COUNTRY[[#All],[Column2]],DIM_COUNTRY[[#All],[Column3]],,,)</f>
        <v>China</v>
      </c>
    </row>
    <row r="3357" spans="1:9" x14ac:dyDescent="0.4">
      <c r="A3357" t="s">
        <v>66</v>
      </c>
      <c r="B3357" s="1">
        <v>45352</v>
      </c>
      <c r="C3357">
        <v>851230</v>
      </c>
      <c r="D3357" t="s">
        <v>176</v>
      </c>
      <c r="E3357">
        <v>2700</v>
      </c>
      <c r="F3357">
        <v>200</v>
      </c>
      <c r="G3357">
        <v>59</v>
      </c>
      <c r="H3357">
        <f>_xlfn.XLOOKUP(FACT_IMPORTS[[#This Row],[hts_6]],DIM_PRODUCTS[hts_6],DIM_PRODUCTS[hts_4],,,)</f>
        <v>8512</v>
      </c>
      <c r="I3357" t="str" cm="1">
        <f t="array" ref="I3357">_xlfn.XLOOKUP(FACT_IMPORTS[[#This Row],[country_name]],DIM_COUNTRY[[#All],[Column2]],DIM_COUNTRY[[#All],[Column3]],,,)</f>
        <v>China</v>
      </c>
    </row>
    <row r="3358" spans="1:9" x14ac:dyDescent="0.4">
      <c r="A3358" t="s">
        <v>66</v>
      </c>
      <c r="B3358" s="1">
        <v>45352</v>
      </c>
      <c r="C3358">
        <v>851240</v>
      </c>
      <c r="D3358" t="s">
        <v>176</v>
      </c>
      <c r="E3358">
        <v>0</v>
      </c>
      <c r="F3358">
        <v>0</v>
      </c>
      <c r="G3358">
        <v>0</v>
      </c>
      <c r="H3358">
        <f>_xlfn.XLOOKUP(FACT_IMPORTS[[#This Row],[hts_6]],DIM_PRODUCTS[hts_6],DIM_PRODUCTS[hts_4],,,)</f>
        <v>8512</v>
      </c>
      <c r="I3358" t="str" cm="1">
        <f t="array" ref="I3358">_xlfn.XLOOKUP(FACT_IMPORTS[[#This Row],[country_name]],DIM_COUNTRY[[#All],[Column2]],DIM_COUNTRY[[#All],[Column3]],,,)</f>
        <v>China</v>
      </c>
    </row>
    <row r="3359" spans="1:9" x14ac:dyDescent="0.4">
      <c r="A3359" t="s">
        <v>66</v>
      </c>
      <c r="B3359" s="1">
        <v>45352</v>
      </c>
      <c r="C3359">
        <v>851290</v>
      </c>
      <c r="D3359" t="s">
        <v>176</v>
      </c>
      <c r="E3359">
        <v>108731</v>
      </c>
      <c r="F3359">
        <v>3105</v>
      </c>
      <c r="G3359">
        <v>5620</v>
      </c>
      <c r="H3359">
        <f>_xlfn.XLOOKUP(FACT_IMPORTS[[#This Row],[hts_6]],DIM_PRODUCTS[hts_6],DIM_PRODUCTS[hts_4],,,)</f>
        <v>8512</v>
      </c>
      <c r="I3359" t="str" cm="1">
        <f t="array" ref="I3359">_xlfn.XLOOKUP(FACT_IMPORTS[[#This Row],[country_name]],DIM_COUNTRY[[#All],[Column2]],DIM_COUNTRY[[#All],[Column3]],,,)</f>
        <v>China</v>
      </c>
    </row>
    <row r="3360" spans="1:9" x14ac:dyDescent="0.4">
      <c r="A3360" t="s">
        <v>66</v>
      </c>
      <c r="B3360" s="1">
        <v>45352</v>
      </c>
      <c r="C3360">
        <v>854231</v>
      </c>
      <c r="D3360" t="s">
        <v>176</v>
      </c>
      <c r="E3360">
        <v>892766</v>
      </c>
      <c r="F3360">
        <v>212134</v>
      </c>
      <c r="G3360">
        <v>64226</v>
      </c>
      <c r="H3360">
        <f>_xlfn.XLOOKUP(FACT_IMPORTS[[#This Row],[hts_6]],DIM_PRODUCTS[hts_6],DIM_PRODUCTS[hts_4],,,)</f>
        <v>8542</v>
      </c>
      <c r="I3360" t="str" cm="1">
        <f t="array" ref="I3360">_xlfn.XLOOKUP(FACT_IMPORTS[[#This Row],[country_name]],DIM_COUNTRY[[#All],[Column2]],DIM_COUNTRY[[#All],[Column3]],,,)</f>
        <v>China</v>
      </c>
    </row>
    <row r="3361" spans="1:9" x14ac:dyDescent="0.4">
      <c r="A3361" t="s">
        <v>66</v>
      </c>
      <c r="B3361" s="1">
        <v>45352</v>
      </c>
      <c r="C3361">
        <v>854232</v>
      </c>
      <c r="D3361" t="s">
        <v>176</v>
      </c>
      <c r="E3361">
        <v>0</v>
      </c>
      <c r="F3361">
        <v>0</v>
      </c>
      <c r="G3361">
        <v>0</v>
      </c>
      <c r="H3361">
        <f>_xlfn.XLOOKUP(FACT_IMPORTS[[#This Row],[hts_6]],DIM_PRODUCTS[hts_6],DIM_PRODUCTS[hts_4],,,)</f>
        <v>8542</v>
      </c>
      <c r="I3361" t="str" cm="1">
        <f t="array" ref="I3361">_xlfn.XLOOKUP(FACT_IMPORTS[[#This Row],[country_name]],DIM_COUNTRY[[#All],[Column2]],DIM_COUNTRY[[#All],[Column3]],,,)</f>
        <v>China</v>
      </c>
    </row>
    <row r="3362" spans="1:9" x14ac:dyDescent="0.4">
      <c r="A3362" t="s">
        <v>66</v>
      </c>
      <c r="B3362" s="1">
        <v>45352</v>
      </c>
      <c r="C3362">
        <v>854233</v>
      </c>
      <c r="D3362" t="s">
        <v>176</v>
      </c>
      <c r="E3362">
        <v>0</v>
      </c>
      <c r="F3362">
        <v>0</v>
      </c>
      <c r="G3362">
        <v>0</v>
      </c>
      <c r="H3362">
        <f>_xlfn.XLOOKUP(FACT_IMPORTS[[#This Row],[hts_6]],DIM_PRODUCTS[hts_6],DIM_PRODUCTS[hts_4],,,)</f>
        <v>8542</v>
      </c>
      <c r="I3362" t="str" cm="1">
        <f t="array" ref="I3362">_xlfn.XLOOKUP(FACT_IMPORTS[[#This Row],[country_name]],DIM_COUNTRY[[#All],[Column2]],DIM_COUNTRY[[#All],[Column3]],,,)</f>
        <v>China</v>
      </c>
    </row>
    <row r="3363" spans="1:9" x14ac:dyDescent="0.4">
      <c r="A3363" t="s">
        <v>66</v>
      </c>
      <c r="B3363" s="1">
        <v>45352</v>
      </c>
      <c r="C3363">
        <v>854239</v>
      </c>
      <c r="D3363" t="s">
        <v>176</v>
      </c>
      <c r="E3363">
        <v>838956</v>
      </c>
      <c r="F3363">
        <v>958700</v>
      </c>
      <c r="G3363">
        <v>82326</v>
      </c>
      <c r="H3363">
        <f>_xlfn.XLOOKUP(FACT_IMPORTS[[#This Row],[hts_6]],DIM_PRODUCTS[hts_6],DIM_PRODUCTS[hts_4],,,)</f>
        <v>8542</v>
      </c>
      <c r="I3363" t="str" cm="1">
        <f t="array" ref="I3363">_xlfn.XLOOKUP(FACT_IMPORTS[[#This Row],[country_name]],DIM_COUNTRY[[#All],[Column2]],DIM_COUNTRY[[#All],[Column3]],,,)</f>
        <v>China</v>
      </c>
    </row>
    <row r="3364" spans="1:9" x14ac:dyDescent="0.4">
      <c r="A3364" t="s">
        <v>66</v>
      </c>
      <c r="B3364" s="1">
        <v>45352</v>
      </c>
      <c r="C3364">
        <v>854290</v>
      </c>
      <c r="D3364" t="s">
        <v>176</v>
      </c>
      <c r="E3364">
        <v>0</v>
      </c>
      <c r="F3364">
        <v>0</v>
      </c>
      <c r="G3364">
        <v>0</v>
      </c>
      <c r="H3364">
        <f>_xlfn.XLOOKUP(FACT_IMPORTS[[#This Row],[hts_6]],DIM_PRODUCTS[hts_6],DIM_PRODUCTS[hts_4],,,)</f>
        <v>8542</v>
      </c>
      <c r="I3364" t="str" cm="1">
        <f t="array" ref="I3364">_xlfn.XLOOKUP(FACT_IMPORTS[[#This Row],[country_name]],DIM_COUNTRY[[#All],[Column2]],DIM_COUNTRY[[#All],[Column3]],,,)</f>
        <v>China</v>
      </c>
    </row>
    <row r="3365" spans="1:9" x14ac:dyDescent="0.4">
      <c r="A3365" t="s">
        <v>66</v>
      </c>
      <c r="B3365" s="1">
        <v>45352</v>
      </c>
      <c r="C3365">
        <v>854430</v>
      </c>
      <c r="D3365" t="s">
        <v>176</v>
      </c>
      <c r="E3365">
        <v>431370</v>
      </c>
      <c r="F3365">
        <v>89878</v>
      </c>
      <c r="G3365">
        <v>4176</v>
      </c>
      <c r="H3365">
        <f>_xlfn.XLOOKUP(FACT_IMPORTS[[#This Row],[hts_6]],DIM_PRODUCTS[hts_6],DIM_PRODUCTS[hts_4],,,)</f>
        <v>8544</v>
      </c>
      <c r="I3365" t="str" cm="1">
        <f t="array" ref="I3365">_xlfn.XLOOKUP(FACT_IMPORTS[[#This Row],[country_name]],DIM_COUNTRY[[#All],[Column2]],DIM_COUNTRY[[#All],[Column3]],,,)</f>
        <v>China</v>
      </c>
    </row>
    <row r="3366" spans="1:9" x14ac:dyDescent="0.4">
      <c r="A3366" t="s">
        <v>66</v>
      </c>
      <c r="B3366" s="1">
        <v>45352</v>
      </c>
      <c r="C3366">
        <v>870710</v>
      </c>
      <c r="D3366" t="s">
        <v>176</v>
      </c>
      <c r="E3366">
        <v>0</v>
      </c>
      <c r="F3366">
        <v>0</v>
      </c>
      <c r="G3366">
        <v>0</v>
      </c>
      <c r="H3366">
        <f>_xlfn.XLOOKUP(FACT_IMPORTS[[#This Row],[hts_6]],DIM_PRODUCTS[hts_6],DIM_PRODUCTS[hts_4],,,)</f>
        <v>8707</v>
      </c>
      <c r="I3366" t="str" cm="1">
        <f t="array" ref="I3366">_xlfn.XLOOKUP(FACT_IMPORTS[[#This Row],[country_name]],DIM_COUNTRY[[#All],[Column2]],DIM_COUNTRY[[#All],[Column3]],,,)</f>
        <v>China</v>
      </c>
    </row>
    <row r="3367" spans="1:9" x14ac:dyDescent="0.4">
      <c r="A3367" t="s">
        <v>66</v>
      </c>
      <c r="B3367" s="1">
        <v>45352</v>
      </c>
      <c r="C3367">
        <v>870810</v>
      </c>
      <c r="D3367" t="s">
        <v>176</v>
      </c>
      <c r="E3367">
        <v>521220</v>
      </c>
      <c r="F3367">
        <v>33093</v>
      </c>
      <c r="G3367">
        <v>60698</v>
      </c>
      <c r="H3367">
        <f>_xlfn.XLOOKUP(FACT_IMPORTS[[#This Row],[hts_6]],DIM_PRODUCTS[hts_6],DIM_PRODUCTS[hts_4],,,)</f>
        <v>8708</v>
      </c>
      <c r="I3367" t="str" cm="1">
        <f t="array" ref="I3367">_xlfn.XLOOKUP(FACT_IMPORTS[[#This Row],[country_name]],DIM_COUNTRY[[#All],[Column2]],DIM_COUNTRY[[#All],[Column3]],,,)</f>
        <v>China</v>
      </c>
    </row>
    <row r="3368" spans="1:9" x14ac:dyDescent="0.4">
      <c r="A3368" t="s">
        <v>66</v>
      </c>
      <c r="B3368" s="1">
        <v>45352</v>
      </c>
      <c r="C3368">
        <v>870821</v>
      </c>
      <c r="D3368" t="s">
        <v>176</v>
      </c>
      <c r="E3368">
        <v>46928</v>
      </c>
      <c r="F3368">
        <v>8220</v>
      </c>
      <c r="G3368">
        <v>1983</v>
      </c>
      <c r="H3368">
        <f>_xlfn.XLOOKUP(FACT_IMPORTS[[#This Row],[hts_6]],DIM_PRODUCTS[hts_6],DIM_PRODUCTS[hts_4],,,)</f>
        <v>8708</v>
      </c>
      <c r="I3368" t="str" cm="1">
        <f t="array" ref="I3368">_xlfn.XLOOKUP(FACT_IMPORTS[[#This Row],[country_name]],DIM_COUNTRY[[#All],[Column2]],DIM_COUNTRY[[#All],[Column3]],,,)</f>
        <v>China</v>
      </c>
    </row>
    <row r="3369" spans="1:9" x14ac:dyDescent="0.4">
      <c r="A3369" t="s">
        <v>66</v>
      </c>
      <c r="B3369" s="1">
        <v>45352</v>
      </c>
      <c r="C3369">
        <v>870822</v>
      </c>
      <c r="D3369" t="s">
        <v>176</v>
      </c>
      <c r="E3369">
        <v>1319688</v>
      </c>
      <c r="F3369">
        <v>174716</v>
      </c>
      <c r="G3369">
        <v>106700</v>
      </c>
      <c r="H3369">
        <f>_xlfn.XLOOKUP(FACT_IMPORTS[[#This Row],[hts_6]],DIM_PRODUCTS[hts_6],DIM_PRODUCTS[hts_4],,,)</f>
        <v>8708</v>
      </c>
      <c r="I3369" t="str" cm="1">
        <f t="array" ref="I3369">_xlfn.XLOOKUP(FACT_IMPORTS[[#This Row],[country_name]],DIM_COUNTRY[[#All],[Column2]],DIM_COUNTRY[[#All],[Column3]],,,)</f>
        <v>China</v>
      </c>
    </row>
    <row r="3370" spans="1:9" x14ac:dyDescent="0.4">
      <c r="A3370" t="s">
        <v>66</v>
      </c>
      <c r="B3370" s="1">
        <v>45352</v>
      </c>
      <c r="C3370">
        <v>870829</v>
      </c>
      <c r="D3370" t="s">
        <v>176</v>
      </c>
      <c r="E3370">
        <v>21193807</v>
      </c>
      <c r="F3370">
        <v>3602595</v>
      </c>
      <c r="G3370">
        <v>765686</v>
      </c>
      <c r="H3370">
        <f>_xlfn.XLOOKUP(FACT_IMPORTS[[#This Row],[hts_6]],DIM_PRODUCTS[hts_6],DIM_PRODUCTS[hts_4],,,)</f>
        <v>8708</v>
      </c>
      <c r="I3370" t="str" cm="1">
        <f t="array" ref="I3370">_xlfn.XLOOKUP(FACT_IMPORTS[[#This Row],[country_name]],DIM_COUNTRY[[#All],[Column2]],DIM_COUNTRY[[#All],[Column3]],,,)</f>
        <v>China</v>
      </c>
    </row>
    <row r="3371" spans="1:9" x14ac:dyDescent="0.4">
      <c r="A3371" t="s">
        <v>66</v>
      </c>
      <c r="B3371" s="1">
        <v>45352</v>
      </c>
      <c r="C3371">
        <v>870830</v>
      </c>
      <c r="D3371" t="s">
        <v>176</v>
      </c>
      <c r="E3371">
        <v>7426563</v>
      </c>
      <c r="F3371">
        <v>464471</v>
      </c>
      <c r="G3371">
        <v>142492</v>
      </c>
      <c r="H3371">
        <f>_xlfn.XLOOKUP(FACT_IMPORTS[[#This Row],[hts_6]],DIM_PRODUCTS[hts_6],DIM_PRODUCTS[hts_4],,,)</f>
        <v>8708</v>
      </c>
      <c r="I3371" t="str" cm="1">
        <f t="array" ref="I3371">_xlfn.XLOOKUP(FACT_IMPORTS[[#This Row],[country_name]],DIM_COUNTRY[[#All],[Column2]],DIM_COUNTRY[[#All],[Column3]],,,)</f>
        <v>China</v>
      </c>
    </row>
    <row r="3372" spans="1:9" x14ac:dyDescent="0.4">
      <c r="A3372" t="s">
        <v>66</v>
      </c>
      <c r="B3372" s="1">
        <v>45352</v>
      </c>
      <c r="C3372">
        <v>870840</v>
      </c>
      <c r="D3372" t="s">
        <v>176</v>
      </c>
      <c r="E3372">
        <v>6101519</v>
      </c>
      <c r="F3372">
        <v>645810</v>
      </c>
      <c r="G3372">
        <v>132053</v>
      </c>
      <c r="H3372">
        <f>_xlfn.XLOOKUP(FACT_IMPORTS[[#This Row],[hts_6]],DIM_PRODUCTS[hts_6],DIM_PRODUCTS[hts_4],,,)</f>
        <v>8708</v>
      </c>
      <c r="I3372" t="str" cm="1">
        <f t="array" ref="I3372">_xlfn.XLOOKUP(FACT_IMPORTS[[#This Row],[country_name]],DIM_COUNTRY[[#All],[Column2]],DIM_COUNTRY[[#All],[Column3]],,,)</f>
        <v>China</v>
      </c>
    </row>
    <row r="3373" spans="1:9" x14ac:dyDescent="0.4">
      <c r="A3373" t="s">
        <v>66</v>
      </c>
      <c r="B3373" s="1">
        <v>45352</v>
      </c>
      <c r="C3373">
        <v>870850</v>
      </c>
      <c r="D3373" t="s">
        <v>176</v>
      </c>
      <c r="E3373">
        <v>2361156</v>
      </c>
      <c r="F3373">
        <v>449451</v>
      </c>
      <c r="G3373">
        <v>35822</v>
      </c>
      <c r="H3373">
        <f>_xlfn.XLOOKUP(FACT_IMPORTS[[#This Row],[hts_6]],DIM_PRODUCTS[hts_6],DIM_PRODUCTS[hts_4],,,)</f>
        <v>8708</v>
      </c>
      <c r="I3373" t="str" cm="1">
        <f t="array" ref="I3373">_xlfn.XLOOKUP(FACT_IMPORTS[[#This Row],[country_name]],DIM_COUNTRY[[#All],[Column2]],DIM_COUNTRY[[#All],[Column3]],,,)</f>
        <v>China</v>
      </c>
    </row>
    <row r="3374" spans="1:9" x14ac:dyDescent="0.4">
      <c r="A3374" t="s">
        <v>66</v>
      </c>
      <c r="B3374" s="1">
        <v>45352</v>
      </c>
      <c r="C3374">
        <v>870870</v>
      </c>
      <c r="D3374" t="s">
        <v>176</v>
      </c>
      <c r="E3374">
        <v>44124829</v>
      </c>
      <c r="F3374">
        <v>1506063</v>
      </c>
      <c r="G3374">
        <v>1875784</v>
      </c>
      <c r="H3374">
        <f>_xlfn.XLOOKUP(FACT_IMPORTS[[#This Row],[hts_6]],DIM_PRODUCTS[hts_6],DIM_PRODUCTS[hts_4],,,)</f>
        <v>8708</v>
      </c>
      <c r="I3374" t="str" cm="1">
        <f t="array" ref="I3374">_xlfn.XLOOKUP(FACT_IMPORTS[[#This Row],[country_name]],DIM_COUNTRY[[#All],[Column2]],DIM_COUNTRY[[#All],[Column3]],,,)</f>
        <v>China</v>
      </c>
    </row>
    <row r="3375" spans="1:9" x14ac:dyDescent="0.4">
      <c r="A3375" t="s">
        <v>66</v>
      </c>
      <c r="B3375" s="1">
        <v>45352</v>
      </c>
      <c r="C3375">
        <v>870880</v>
      </c>
      <c r="D3375" t="s">
        <v>176</v>
      </c>
      <c r="E3375">
        <v>13026714</v>
      </c>
      <c r="F3375">
        <v>2384307</v>
      </c>
      <c r="G3375">
        <v>253787</v>
      </c>
      <c r="H3375">
        <f>_xlfn.XLOOKUP(FACT_IMPORTS[[#This Row],[hts_6]],DIM_PRODUCTS[hts_6],DIM_PRODUCTS[hts_4],,,)</f>
        <v>8708</v>
      </c>
      <c r="I3375" t="str" cm="1">
        <f t="array" ref="I3375">_xlfn.XLOOKUP(FACT_IMPORTS[[#This Row],[country_name]],DIM_COUNTRY[[#All],[Column2]],DIM_COUNTRY[[#All],[Column3]],,,)</f>
        <v>China</v>
      </c>
    </row>
    <row r="3376" spans="1:9" x14ac:dyDescent="0.4">
      <c r="A3376" t="s">
        <v>66</v>
      </c>
      <c r="B3376" s="1">
        <v>45352</v>
      </c>
      <c r="C3376">
        <v>870891</v>
      </c>
      <c r="D3376" t="s">
        <v>176</v>
      </c>
      <c r="E3376">
        <v>154822</v>
      </c>
      <c r="F3376">
        <v>4458</v>
      </c>
      <c r="G3376">
        <v>3472</v>
      </c>
      <c r="H3376">
        <f>_xlfn.XLOOKUP(FACT_IMPORTS[[#This Row],[hts_6]],DIM_PRODUCTS[hts_6],DIM_PRODUCTS[hts_4],,,)</f>
        <v>8708</v>
      </c>
      <c r="I3376" t="str" cm="1">
        <f t="array" ref="I3376">_xlfn.XLOOKUP(FACT_IMPORTS[[#This Row],[country_name]],DIM_COUNTRY[[#All],[Column2]],DIM_COUNTRY[[#All],[Column3]],,,)</f>
        <v>China</v>
      </c>
    </row>
    <row r="3377" spans="1:9" x14ac:dyDescent="0.4">
      <c r="A3377" t="s">
        <v>66</v>
      </c>
      <c r="B3377" s="1">
        <v>45352</v>
      </c>
      <c r="C3377">
        <v>870892</v>
      </c>
      <c r="D3377" t="s">
        <v>176</v>
      </c>
      <c r="E3377">
        <v>7272677</v>
      </c>
      <c r="F3377">
        <v>1380301</v>
      </c>
      <c r="G3377">
        <v>393538</v>
      </c>
      <c r="H3377">
        <f>_xlfn.XLOOKUP(FACT_IMPORTS[[#This Row],[hts_6]],DIM_PRODUCTS[hts_6],DIM_PRODUCTS[hts_4],,,)</f>
        <v>8708</v>
      </c>
      <c r="I3377" t="str" cm="1">
        <f t="array" ref="I3377">_xlfn.XLOOKUP(FACT_IMPORTS[[#This Row],[country_name]],DIM_COUNTRY[[#All],[Column2]],DIM_COUNTRY[[#All],[Column3]],,,)</f>
        <v>China</v>
      </c>
    </row>
    <row r="3378" spans="1:9" x14ac:dyDescent="0.4">
      <c r="A3378" t="s">
        <v>66</v>
      </c>
      <c r="B3378" s="1">
        <v>45352</v>
      </c>
      <c r="C3378">
        <v>870893</v>
      </c>
      <c r="D3378" t="s">
        <v>176</v>
      </c>
      <c r="E3378">
        <v>546048</v>
      </c>
      <c r="F3378">
        <v>173399</v>
      </c>
      <c r="G3378">
        <v>11839</v>
      </c>
      <c r="H3378">
        <f>_xlfn.XLOOKUP(FACT_IMPORTS[[#This Row],[hts_6]],DIM_PRODUCTS[hts_6],DIM_PRODUCTS[hts_4],,,)</f>
        <v>8708</v>
      </c>
      <c r="I3378" t="str" cm="1">
        <f t="array" ref="I3378">_xlfn.XLOOKUP(FACT_IMPORTS[[#This Row],[country_name]],DIM_COUNTRY[[#All],[Column2]],DIM_COUNTRY[[#All],[Column3]],,,)</f>
        <v>China</v>
      </c>
    </row>
    <row r="3379" spans="1:9" x14ac:dyDescent="0.4">
      <c r="A3379" t="s">
        <v>66</v>
      </c>
      <c r="B3379" s="1">
        <v>45352</v>
      </c>
      <c r="C3379">
        <v>870894</v>
      </c>
      <c r="D3379" t="s">
        <v>176</v>
      </c>
      <c r="E3379">
        <v>7485633</v>
      </c>
      <c r="F3379">
        <v>340761</v>
      </c>
      <c r="G3379">
        <v>1077167</v>
      </c>
      <c r="H3379">
        <f>_xlfn.XLOOKUP(FACT_IMPORTS[[#This Row],[hts_6]],DIM_PRODUCTS[hts_6],DIM_PRODUCTS[hts_4],,,)</f>
        <v>8708</v>
      </c>
      <c r="I3379" t="str" cm="1">
        <f t="array" ref="I3379">_xlfn.XLOOKUP(FACT_IMPORTS[[#This Row],[country_name]],DIM_COUNTRY[[#All],[Column2]],DIM_COUNTRY[[#All],[Column3]],,,)</f>
        <v>China</v>
      </c>
    </row>
    <row r="3380" spans="1:9" x14ac:dyDescent="0.4">
      <c r="A3380" t="s">
        <v>66</v>
      </c>
      <c r="B3380" s="1">
        <v>45352</v>
      </c>
      <c r="C3380">
        <v>870895</v>
      </c>
      <c r="D3380" t="s">
        <v>176</v>
      </c>
      <c r="E3380">
        <v>166223</v>
      </c>
      <c r="F3380">
        <v>35113</v>
      </c>
      <c r="G3380">
        <v>2762</v>
      </c>
      <c r="H3380">
        <f>_xlfn.XLOOKUP(FACT_IMPORTS[[#This Row],[hts_6]],DIM_PRODUCTS[hts_6],DIM_PRODUCTS[hts_4],,,)</f>
        <v>8708</v>
      </c>
      <c r="I3380" t="str" cm="1">
        <f t="array" ref="I3380">_xlfn.XLOOKUP(FACT_IMPORTS[[#This Row],[country_name]],DIM_COUNTRY[[#All],[Column2]],DIM_COUNTRY[[#All],[Column3]],,,)</f>
        <v>China</v>
      </c>
    </row>
    <row r="3381" spans="1:9" x14ac:dyDescent="0.4">
      <c r="A3381" t="s">
        <v>66</v>
      </c>
      <c r="B3381" s="1">
        <v>45352</v>
      </c>
      <c r="C3381">
        <v>870899</v>
      </c>
      <c r="D3381" t="s">
        <v>176</v>
      </c>
      <c r="E3381">
        <v>10189025</v>
      </c>
      <c r="F3381">
        <v>1866637</v>
      </c>
      <c r="G3381">
        <v>437407</v>
      </c>
      <c r="H3381">
        <f>_xlfn.XLOOKUP(FACT_IMPORTS[[#This Row],[hts_6]],DIM_PRODUCTS[hts_6],DIM_PRODUCTS[hts_4],,,)</f>
        <v>8708</v>
      </c>
      <c r="I3381" t="str" cm="1">
        <f t="array" ref="I3381">_xlfn.XLOOKUP(FACT_IMPORTS[[#This Row],[country_name]],DIM_COUNTRY[[#All],[Column2]],DIM_COUNTRY[[#All],[Column3]],,,)</f>
        <v>China</v>
      </c>
    </row>
    <row r="3382" spans="1:9" x14ac:dyDescent="0.4">
      <c r="A3382" t="s">
        <v>66</v>
      </c>
      <c r="B3382" s="1">
        <v>45352</v>
      </c>
      <c r="C3382">
        <v>940120</v>
      </c>
      <c r="D3382" t="s">
        <v>176</v>
      </c>
      <c r="E3382">
        <v>22802</v>
      </c>
      <c r="F3382">
        <v>46</v>
      </c>
      <c r="G3382">
        <v>373</v>
      </c>
      <c r="H3382">
        <f>_xlfn.XLOOKUP(FACT_IMPORTS[[#This Row],[hts_6]],DIM_PRODUCTS[hts_6],DIM_PRODUCTS[hts_4],,,)</f>
        <v>9401</v>
      </c>
      <c r="I3382" t="str" cm="1">
        <f t="array" ref="I3382">_xlfn.XLOOKUP(FACT_IMPORTS[[#This Row],[country_name]],DIM_COUNTRY[[#All],[Column2]],DIM_COUNTRY[[#All],[Column3]],,,)</f>
        <v>China</v>
      </c>
    </row>
    <row r="3383" spans="1:9" x14ac:dyDescent="0.4">
      <c r="A3383" t="s">
        <v>66</v>
      </c>
      <c r="B3383" s="1">
        <v>45383</v>
      </c>
      <c r="C3383">
        <v>392630</v>
      </c>
      <c r="D3383" t="s">
        <v>176</v>
      </c>
      <c r="E3383">
        <v>6453755</v>
      </c>
      <c r="F3383">
        <v>286447</v>
      </c>
      <c r="G3383">
        <v>200188</v>
      </c>
      <c r="H3383">
        <f>_xlfn.XLOOKUP(FACT_IMPORTS[[#This Row],[hts_6]],DIM_PRODUCTS[hts_6],DIM_PRODUCTS[hts_4],,,)</f>
        <v>3926</v>
      </c>
      <c r="I3383" t="str" cm="1">
        <f t="array" ref="I3383">_xlfn.XLOOKUP(FACT_IMPORTS[[#This Row],[country_name]],DIM_COUNTRY[[#All],[Column2]],DIM_COUNTRY[[#All],[Column3]],,,)</f>
        <v>China</v>
      </c>
    </row>
    <row r="3384" spans="1:9" x14ac:dyDescent="0.4">
      <c r="A3384" t="s">
        <v>66</v>
      </c>
      <c r="B3384" s="1">
        <v>45383</v>
      </c>
      <c r="C3384">
        <v>401110</v>
      </c>
      <c r="D3384" t="s">
        <v>176</v>
      </c>
      <c r="E3384">
        <v>17838</v>
      </c>
      <c r="F3384">
        <v>181</v>
      </c>
      <c r="G3384">
        <v>1010</v>
      </c>
      <c r="H3384">
        <f>_xlfn.XLOOKUP(FACT_IMPORTS[[#This Row],[hts_6]],DIM_PRODUCTS[hts_6],DIM_PRODUCTS[hts_4],,,)</f>
        <v>4011</v>
      </c>
      <c r="I3384" t="str" cm="1">
        <f t="array" ref="I3384">_xlfn.XLOOKUP(FACT_IMPORTS[[#This Row],[country_name]],DIM_COUNTRY[[#All],[Column2]],DIM_COUNTRY[[#All],[Column3]],,,)</f>
        <v>China</v>
      </c>
    </row>
    <row r="3385" spans="1:9" x14ac:dyDescent="0.4">
      <c r="A3385" t="s">
        <v>66</v>
      </c>
      <c r="B3385" s="1">
        <v>45383</v>
      </c>
      <c r="C3385">
        <v>401120</v>
      </c>
      <c r="D3385" t="s">
        <v>176</v>
      </c>
      <c r="E3385">
        <v>172024</v>
      </c>
      <c r="F3385">
        <v>1703</v>
      </c>
      <c r="G3385">
        <v>16579</v>
      </c>
      <c r="H3385">
        <f>_xlfn.XLOOKUP(FACT_IMPORTS[[#This Row],[hts_6]],DIM_PRODUCTS[hts_6],DIM_PRODUCTS[hts_4],,,)</f>
        <v>4011</v>
      </c>
      <c r="I3385" t="str" cm="1">
        <f t="array" ref="I3385">_xlfn.XLOOKUP(FACT_IMPORTS[[#This Row],[country_name]],DIM_COUNTRY[[#All],[Column2]],DIM_COUNTRY[[#All],[Column3]],,,)</f>
        <v>China</v>
      </c>
    </row>
    <row r="3386" spans="1:9" x14ac:dyDescent="0.4">
      <c r="A3386" t="s">
        <v>66</v>
      </c>
      <c r="B3386" s="1">
        <v>45383</v>
      </c>
      <c r="C3386">
        <v>401140</v>
      </c>
      <c r="D3386" t="s">
        <v>176</v>
      </c>
      <c r="E3386">
        <v>19042</v>
      </c>
      <c r="F3386">
        <v>439</v>
      </c>
      <c r="G3386">
        <v>22</v>
      </c>
      <c r="H3386">
        <f>_xlfn.XLOOKUP(FACT_IMPORTS[[#This Row],[hts_6]],DIM_PRODUCTS[hts_6],DIM_PRODUCTS[hts_4],,,)</f>
        <v>4011</v>
      </c>
      <c r="I3386" t="str" cm="1">
        <f t="array" ref="I3386">_xlfn.XLOOKUP(FACT_IMPORTS[[#This Row],[country_name]],DIM_COUNTRY[[#All],[Column2]],DIM_COUNTRY[[#All],[Column3]],,,)</f>
        <v>China</v>
      </c>
    </row>
    <row r="3387" spans="1:9" x14ac:dyDescent="0.4">
      <c r="A3387" t="s">
        <v>66</v>
      </c>
      <c r="B3387" s="1">
        <v>45383</v>
      </c>
      <c r="C3387">
        <v>401190</v>
      </c>
      <c r="D3387" t="s">
        <v>176</v>
      </c>
      <c r="E3387">
        <v>504705</v>
      </c>
      <c r="F3387">
        <v>14337</v>
      </c>
      <c r="G3387">
        <v>38806</v>
      </c>
      <c r="H3387">
        <f>_xlfn.XLOOKUP(FACT_IMPORTS[[#This Row],[hts_6]],DIM_PRODUCTS[hts_6],DIM_PRODUCTS[hts_4],,,)</f>
        <v>4011</v>
      </c>
      <c r="I3387" t="str" cm="1">
        <f t="array" ref="I3387">_xlfn.XLOOKUP(FACT_IMPORTS[[#This Row],[country_name]],DIM_COUNTRY[[#All],[Column2]],DIM_COUNTRY[[#All],[Column3]],,,)</f>
        <v>China</v>
      </c>
    </row>
    <row r="3388" spans="1:9" x14ac:dyDescent="0.4">
      <c r="A3388" t="s">
        <v>66</v>
      </c>
      <c r="B3388" s="1">
        <v>45383</v>
      </c>
      <c r="C3388">
        <v>700711</v>
      </c>
      <c r="D3388" t="s">
        <v>176</v>
      </c>
      <c r="E3388">
        <v>1516723</v>
      </c>
      <c r="F3388">
        <v>109545</v>
      </c>
      <c r="G3388">
        <v>146457</v>
      </c>
      <c r="H3388">
        <f>_xlfn.XLOOKUP(FACT_IMPORTS[[#This Row],[hts_6]],DIM_PRODUCTS[hts_6],DIM_PRODUCTS[hts_4],,,)</f>
        <v>7007</v>
      </c>
      <c r="I3388" t="str" cm="1">
        <f t="array" ref="I3388">_xlfn.XLOOKUP(FACT_IMPORTS[[#This Row],[country_name]],DIM_COUNTRY[[#All],[Column2]],DIM_COUNTRY[[#All],[Column3]],,,)</f>
        <v>China</v>
      </c>
    </row>
    <row r="3389" spans="1:9" x14ac:dyDescent="0.4">
      <c r="A3389" t="s">
        <v>66</v>
      </c>
      <c r="B3389" s="1">
        <v>45383</v>
      </c>
      <c r="C3389">
        <v>700721</v>
      </c>
      <c r="D3389" t="s">
        <v>176</v>
      </c>
      <c r="E3389">
        <v>187683</v>
      </c>
      <c r="F3389">
        <v>9067</v>
      </c>
      <c r="G3389">
        <v>35111</v>
      </c>
      <c r="H3389">
        <f>_xlfn.XLOOKUP(FACT_IMPORTS[[#This Row],[hts_6]],DIM_PRODUCTS[hts_6],DIM_PRODUCTS[hts_4],,,)</f>
        <v>7007</v>
      </c>
      <c r="I3389" t="str" cm="1">
        <f t="array" ref="I3389">_xlfn.XLOOKUP(FACT_IMPORTS[[#This Row],[country_name]],DIM_COUNTRY[[#All],[Column2]],DIM_COUNTRY[[#All],[Column3]],,,)</f>
        <v>China</v>
      </c>
    </row>
    <row r="3390" spans="1:9" x14ac:dyDescent="0.4">
      <c r="A3390" t="s">
        <v>66</v>
      </c>
      <c r="B3390" s="1">
        <v>45383</v>
      </c>
      <c r="C3390">
        <v>700910</v>
      </c>
      <c r="D3390" t="s">
        <v>176</v>
      </c>
      <c r="E3390">
        <v>271581</v>
      </c>
      <c r="F3390">
        <v>270366</v>
      </c>
      <c r="G3390">
        <v>20528</v>
      </c>
      <c r="H3390">
        <f>_xlfn.XLOOKUP(FACT_IMPORTS[[#This Row],[hts_6]],DIM_PRODUCTS[hts_6],DIM_PRODUCTS[hts_4],,,)</f>
        <v>7009</v>
      </c>
      <c r="I3390" t="str" cm="1">
        <f t="array" ref="I3390">_xlfn.XLOOKUP(FACT_IMPORTS[[#This Row],[country_name]],DIM_COUNTRY[[#All],[Column2]],DIM_COUNTRY[[#All],[Column3]],,,)</f>
        <v>China</v>
      </c>
    </row>
    <row r="3391" spans="1:9" x14ac:dyDescent="0.4">
      <c r="A3391" t="s">
        <v>66</v>
      </c>
      <c r="B3391" s="1">
        <v>45383</v>
      </c>
      <c r="C3391">
        <v>732010</v>
      </c>
      <c r="D3391" t="s">
        <v>176</v>
      </c>
      <c r="E3391">
        <v>2176</v>
      </c>
      <c r="F3391">
        <v>87</v>
      </c>
      <c r="G3391">
        <v>8</v>
      </c>
      <c r="H3391">
        <f>_xlfn.XLOOKUP(FACT_IMPORTS[[#This Row],[hts_6]],DIM_PRODUCTS[hts_6],DIM_PRODUCTS[hts_4],,,)</f>
        <v>7320</v>
      </c>
      <c r="I3391" t="str" cm="1">
        <f t="array" ref="I3391">_xlfn.XLOOKUP(FACT_IMPORTS[[#This Row],[country_name]],DIM_COUNTRY[[#All],[Column2]],DIM_COUNTRY[[#All],[Column3]],,,)</f>
        <v>China</v>
      </c>
    </row>
    <row r="3392" spans="1:9" x14ac:dyDescent="0.4">
      <c r="A3392" t="s">
        <v>66</v>
      </c>
      <c r="B3392" s="1">
        <v>45383</v>
      </c>
      <c r="C3392">
        <v>830230</v>
      </c>
      <c r="D3392" t="s">
        <v>176</v>
      </c>
      <c r="E3392">
        <v>5108927</v>
      </c>
      <c r="F3392">
        <v>1580129</v>
      </c>
      <c r="G3392">
        <v>249887</v>
      </c>
      <c r="H3392">
        <f>_xlfn.XLOOKUP(FACT_IMPORTS[[#This Row],[hts_6]],DIM_PRODUCTS[hts_6],DIM_PRODUCTS[hts_4],,,)</f>
        <v>8302</v>
      </c>
      <c r="I3392" t="str" cm="1">
        <f t="array" ref="I3392">_xlfn.XLOOKUP(FACT_IMPORTS[[#This Row],[country_name]],DIM_COUNTRY[[#All],[Column2]],DIM_COUNTRY[[#All],[Column3]],,,)</f>
        <v>China</v>
      </c>
    </row>
    <row r="3393" spans="1:9" x14ac:dyDescent="0.4">
      <c r="A3393" t="s">
        <v>66</v>
      </c>
      <c r="B3393" s="1">
        <v>45383</v>
      </c>
      <c r="C3393">
        <v>840733</v>
      </c>
      <c r="D3393" t="s">
        <v>176</v>
      </c>
      <c r="E3393">
        <v>0</v>
      </c>
      <c r="F3393">
        <v>0</v>
      </c>
      <c r="G3393">
        <v>0</v>
      </c>
      <c r="H3393">
        <f>_xlfn.XLOOKUP(FACT_IMPORTS[[#This Row],[hts_6]],DIM_PRODUCTS[hts_6],DIM_PRODUCTS[hts_4],,,)</f>
        <v>8407</v>
      </c>
      <c r="I3393" t="str" cm="1">
        <f t="array" ref="I3393">_xlfn.XLOOKUP(FACT_IMPORTS[[#This Row],[country_name]],DIM_COUNTRY[[#All],[Column2]],DIM_COUNTRY[[#All],[Column3]],,,)</f>
        <v>China</v>
      </c>
    </row>
    <row r="3394" spans="1:9" x14ac:dyDescent="0.4">
      <c r="A3394" t="s">
        <v>66</v>
      </c>
      <c r="B3394" s="1">
        <v>45383</v>
      </c>
      <c r="C3394">
        <v>840734</v>
      </c>
      <c r="D3394" t="s">
        <v>176</v>
      </c>
      <c r="E3394">
        <v>1586407</v>
      </c>
      <c r="F3394">
        <v>1152</v>
      </c>
      <c r="G3394">
        <v>11107</v>
      </c>
      <c r="H3394">
        <f>_xlfn.XLOOKUP(FACT_IMPORTS[[#This Row],[hts_6]],DIM_PRODUCTS[hts_6],DIM_PRODUCTS[hts_4],,,)</f>
        <v>8407</v>
      </c>
      <c r="I3394" t="str" cm="1">
        <f t="array" ref="I3394">_xlfn.XLOOKUP(FACT_IMPORTS[[#This Row],[country_name]],DIM_COUNTRY[[#All],[Column2]],DIM_COUNTRY[[#All],[Column3]],,,)</f>
        <v>China</v>
      </c>
    </row>
    <row r="3395" spans="1:9" x14ac:dyDescent="0.4">
      <c r="A3395" t="s">
        <v>66</v>
      </c>
      <c r="B3395" s="1">
        <v>45383</v>
      </c>
      <c r="C3395">
        <v>840790</v>
      </c>
      <c r="D3395" t="s">
        <v>176</v>
      </c>
      <c r="E3395">
        <v>45523</v>
      </c>
      <c r="F3395">
        <v>48</v>
      </c>
      <c r="G3395">
        <v>3500</v>
      </c>
      <c r="H3395">
        <f>_xlfn.XLOOKUP(FACT_IMPORTS[[#This Row],[hts_6]],DIM_PRODUCTS[hts_6],DIM_PRODUCTS[hts_4],,,)</f>
        <v>8407</v>
      </c>
      <c r="I3395" t="str" cm="1">
        <f t="array" ref="I3395">_xlfn.XLOOKUP(FACT_IMPORTS[[#This Row],[country_name]],DIM_COUNTRY[[#All],[Column2]],DIM_COUNTRY[[#All],[Column3]],,,)</f>
        <v>China</v>
      </c>
    </row>
    <row r="3396" spans="1:9" x14ac:dyDescent="0.4">
      <c r="A3396" t="s">
        <v>66</v>
      </c>
      <c r="B3396" s="1">
        <v>45383</v>
      </c>
      <c r="C3396">
        <v>840820</v>
      </c>
      <c r="D3396" t="s">
        <v>176</v>
      </c>
      <c r="E3396">
        <v>3000</v>
      </c>
      <c r="F3396">
        <v>1</v>
      </c>
      <c r="G3396">
        <v>500</v>
      </c>
      <c r="H3396">
        <f>_xlfn.XLOOKUP(FACT_IMPORTS[[#This Row],[hts_6]],DIM_PRODUCTS[hts_6],DIM_PRODUCTS[hts_4],,,)</f>
        <v>8408</v>
      </c>
      <c r="I3396" t="str" cm="1">
        <f t="array" ref="I3396">_xlfn.XLOOKUP(FACT_IMPORTS[[#This Row],[country_name]],DIM_COUNTRY[[#All],[Column2]],DIM_COUNTRY[[#All],[Column3]],,,)</f>
        <v>China</v>
      </c>
    </row>
    <row r="3397" spans="1:9" x14ac:dyDescent="0.4">
      <c r="A3397" t="s">
        <v>66</v>
      </c>
      <c r="B3397" s="1">
        <v>45383</v>
      </c>
      <c r="C3397">
        <v>840890</v>
      </c>
      <c r="D3397" t="s">
        <v>176</v>
      </c>
      <c r="E3397">
        <v>0</v>
      </c>
      <c r="F3397">
        <v>0</v>
      </c>
      <c r="G3397">
        <v>0</v>
      </c>
      <c r="H3397">
        <f>_xlfn.XLOOKUP(FACT_IMPORTS[[#This Row],[hts_6]],DIM_PRODUCTS[hts_6],DIM_PRODUCTS[hts_4],,,)</f>
        <v>8408</v>
      </c>
      <c r="I3397" t="str" cm="1">
        <f t="array" ref="I3397">_xlfn.XLOOKUP(FACT_IMPORTS[[#This Row],[country_name]],DIM_COUNTRY[[#All],[Column2]],DIM_COUNTRY[[#All],[Column3]],,,)</f>
        <v>China</v>
      </c>
    </row>
    <row r="3398" spans="1:9" x14ac:dyDescent="0.4">
      <c r="A3398" t="s">
        <v>66</v>
      </c>
      <c r="B3398" s="1">
        <v>45383</v>
      </c>
      <c r="C3398">
        <v>840991</v>
      </c>
      <c r="D3398" t="s">
        <v>176</v>
      </c>
      <c r="E3398">
        <v>10321758</v>
      </c>
      <c r="F3398">
        <v>2245002</v>
      </c>
      <c r="G3398">
        <v>846994</v>
      </c>
      <c r="H3398">
        <f>_xlfn.XLOOKUP(FACT_IMPORTS[[#This Row],[hts_6]],DIM_PRODUCTS[hts_6],DIM_PRODUCTS[hts_4],,,)</f>
        <v>8409</v>
      </c>
      <c r="I3398" t="str" cm="1">
        <f t="array" ref="I3398">_xlfn.XLOOKUP(FACT_IMPORTS[[#This Row],[country_name]],DIM_COUNTRY[[#All],[Column2]],DIM_COUNTRY[[#All],[Column3]],,,)</f>
        <v>China</v>
      </c>
    </row>
    <row r="3399" spans="1:9" x14ac:dyDescent="0.4">
      <c r="A3399" t="s">
        <v>66</v>
      </c>
      <c r="B3399" s="1">
        <v>45383</v>
      </c>
      <c r="C3399">
        <v>840999</v>
      </c>
      <c r="D3399" t="s">
        <v>176</v>
      </c>
      <c r="E3399">
        <v>5310729</v>
      </c>
      <c r="F3399">
        <v>999580</v>
      </c>
      <c r="G3399">
        <v>273867</v>
      </c>
      <c r="H3399">
        <f>_xlfn.XLOOKUP(FACT_IMPORTS[[#This Row],[hts_6]],DIM_PRODUCTS[hts_6],DIM_PRODUCTS[hts_4],,,)</f>
        <v>8409</v>
      </c>
      <c r="I3399" t="str" cm="1">
        <f t="array" ref="I3399">_xlfn.XLOOKUP(FACT_IMPORTS[[#This Row],[country_name]],DIM_COUNTRY[[#All],[Column2]],DIM_COUNTRY[[#All],[Column3]],,,)</f>
        <v>China</v>
      </c>
    </row>
    <row r="3400" spans="1:9" x14ac:dyDescent="0.4">
      <c r="A3400" t="s">
        <v>66</v>
      </c>
      <c r="B3400" s="1">
        <v>45383</v>
      </c>
      <c r="C3400">
        <v>841330</v>
      </c>
      <c r="D3400" t="s">
        <v>176</v>
      </c>
      <c r="E3400">
        <v>1158309</v>
      </c>
      <c r="F3400">
        <v>32445</v>
      </c>
      <c r="G3400">
        <v>30295</v>
      </c>
      <c r="H3400">
        <f>_xlfn.XLOOKUP(FACT_IMPORTS[[#This Row],[hts_6]],DIM_PRODUCTS[hts_6],DIM_PRODUCTS[hts_4],,,)</f>
        <v>8413</v>
      </c>
      <c r="I3400" t="str" cm="1">
        <f t="array" ref="I3400">_xlfn.XLOOKUP(FACT_IMPORTS[[#This Row],[country_name]],DIM_COUNTRY[[#All],[Column2]],DIM_COUNTRY[[#All],[Column3]],,,)</f>
        <v>China</v>
      </c>
    </row>
    <row r="3401" spans="1:9" x14ac:dyDescent="0.4">
      <c r="A3401" t="s">
        <v>66</v>
      </c>
      <c r="B3401" s="1">
        <v>45383</v>
      </c>
      <c r="C3401">
        <v>841520</v>
      </c>
      <c r="D3401" t="s">
        <v>176</v>
      </c>
      <c r="E3401">
        <v>4847</v>
      </c>
      <c r="F3401">
        <v>9</v>
      </c>
      <c r="G3401">
        <v>455</v>
      </c>
      <c r="H3401">
        <f>_xlfn.XLOOKUP(FACT_IMPORTS[[#This Row],[hts_6]],DIM_PRODUCTS[hts_6],DIM_PRODUCTS[hts_4],,,)</f>
        <v>8415</v>
      </c>
      <c r="I3401" t="str" cm="1">
        <f t="array" ref="I3401">_xlfn.XLOOKUP(FACT_IMPORTS[[#This Row],[country_name]],DIM_COUNTRY[[#All],[Column2]],DIM_COUNTRY[[#All],[Column3]],,,)</f>
        <v>China</v>
      </c>
    </row>
    <row r="3402" spans="1:9" x14ac:dyDescent="0.4">
      <c r="A3402" t="s">
        <v>66</v>
      </c>
      <c r="B3402" s="1">
        <v>45383</v>
      </c>
      <c r="C3402">
        <v>842132</v>
      </c>
      <c r="D3402" t="s">
        <v>176</v>
      </c>
      <c r="E3402">
        <v>13506</v>
      </c>
      <c r="F3402">
        <v>209</v>
      </c>
      <c r="G3402">
        <v>560</v>
      </c>
      <c r="H3402">
        <f>_xlfn.XLOOKUP(FACT_IMPORTS[[#This Row],[hts_6]],DIM_PRODUCTS[hts_6],DIM_PRODUCTS[hts_4],,,)</f>
        <v>8421</v>
      </c>
      <c r="I3402" t="str" cm="1">
        <f t="array" ref="I3402">_xlfn.XLOOKUP(FACT_IMPORTS[[#This Row],[country_name]],DIM_COUNTRY[[#All],[Column2]],DIM_COUNTRY[[#All],[Column3]],,,)</f>
        <v>China</v>
      </c>
    </row>
    <row r="3403" spans="1:9" x14ac:dyDescent="0.4">
      <c r="A3403" t="s">
        <v>66</v>
      </c>
      <c r="B3403" s="1">
        <v>45383</v>
      </c>
      <c r="C3403">
        <v>848210</v>
      </c>
      <c r="D3403" t="s">
        <v>176</v>
      </c>
      <c r="E3403">
        <v>717481</v>
      </c>
      <c r="F3403">
        <v>616299</v>
      </c>
      <c r="G3403">
        <v>22661</v>
      </c>
      <c r="H3403">
        <f>_xlfn.XLOOKUP(FACT_IMPORTS[[#This Row],[hts_6]],DIM_PRODUCTS[hts_6],DIM_PRODUCTS[hts_4],,,)</f>
        <v>8482</v>
      </c>
      <c r="I3403" t="str" cm="1">
        <f t="array" ref="I3403">_xlfn.XLOOKUP(FACT_IMPORTS[[#This Row],[country_name]],DIM_COUNTRY[[#All],[Column2]],DIM_COUNTRY[[#All],[Column3]],,,)</f>
        <v>China</v>
      </c>
    </row>
    <row r="3404" spans="1:9" x14ac:dyDescent="0.4">
      <c r="A3404" t="s">
        <v>66</v>
      </c>
      <c r="B3404" s="1">
        <v>45383</v>
      </c>
      <c r="C3404">
        <v>848220</v>
      </c>
      <c r="D3404" t="s">
        <v>176</v>
      </c>
      <c r="E3404">
        <v>0</v>
      </c>
      <c r="F3404">
        <v>0</v>
      </c>
      <c r="G3404">
        <v>0</v>
      </c>
      <c r="H3404">
        <f>_xlfn.XLOOKUP(FACT_IMPORTS[[#This Row],[hts_6]],DIM_PRODUCTS[hts_6],DIM_PRODUCTS[hts_4],,,)</f>
        <v>8482</v>
      </c>
      <c r="I3404" t="str" cm="1">
        <f t="array" ref="I3404">_xlfn.XLOOKUP(FACT_IMPORTS[[#This Row],[country_name]],DIM_COUNTRY[[#All],[Column2]],DIM_COUNTRY[[#All],[Column3]],,,)</f>
        <v>China</v>
      </c>
    </row>
    <row r="3405" spans="1:9" x14ac:dyDescent="0.4">
      <c r="A3405" t="s">
        <v>66</v>
      </c>
      <c r="B3405" s="1">
        <v>45383</v>
      </c>
      <c r="C3405">
        <v>848310</v>
      </c>
      <c r="D3405" t="s">
        <v>176</v>
      </c>
      <c r="E3405">
        <v>2482966</v>
      </c>
      <c r="F3405">
        <v>224781</v>
      </c>
      <c r="G3405">
        <v>157993</v>
      </c>
      <c r="H3405">
        <f>_xlfn.XLOOKUP(FACT_IMPORTS[[#This Row],[hts_6]],DIM_PRODUCTS[hts_6],DIM_PRODUCTS[hts_4],,,)</f>
        <v>8483</v>
      </c>
      <c r="I3405" t="str" cm="1">
        <f t="array" ref="I3405">_xlfn.XLOOKUP(FACT_IMPORTS[[#This Row],[country_name]],DIM_COUNTRY[[#All],[Column2]],DIM_COUNTRY[[#All],[Column3]],,,)</f>
        <v>China</v>
      </c>
    </row>
    <row r="3406" spans="1:9" x14ac:dyDescent="0.4">
      <c r="A3406" t="s">
        <v>66</v>
      </c>
      <c r="B3406" s="1">
        <v>45383</v>
      </c>
      <c r="C3406">
        <v>850131</v>
      </c>
      <c r="D3406" t="s">
        <v>176</v>
      </c>
      <c r="E3406">
        <v>3050688</v>
      </c>
      <c r="F3406">
        <v>359973</v>
      </c>
      <c r="G3406">
        <v>38289</v>
      </c>
      <c r="H3406">
        <f>_xlfn.XLOOKUP(FACT_IMPORTS[[#This Row],[hts_6]],DIM_PRODUCTS[hts_6],DIM_PRODUCTS[hts_4],,,)</f>
        <v>8501</v>
      </c>
      <c r="I3406" t="str" cm="1">
        <f t="array" ref="I3406">_xlfn.XLOOKUP(FACT_IMPORTS[[#This Row],[country_name]],DIM_COUNTRY[[#All],[Column2]],DIM_COUNTRY[[#All],[Column3]],,,)</f>
        <v>China</v>
      </c>
    </row>
    <row r="3407" spans="1:9" x14ac:dyDescent="0.4">
      <c r="A3407" t="s">
        <v>66</v>
      </c>
      <c r="B3407" s="1">
        <v>45383</v>
      </c>
      <c r="C3407">
        <v>850132</v>
      </c>
      <c r="D3407" t="s">
        <v>176</v>
      </c>
      <c r="E3407">
        <v>20970</v>
      </c>
      <c r="F3407">
        <v>10</v>
      </c>
      <c r="G3407">
        <v>210</v>
      </c>
      <c r="H3407">
        <f>_xlfn.XLOOKUP(FACT_IMPORTS[[#This Row],[hts_6]],DIM_PRODUCTS[hts_6],DIM_PRODUCTS[hts_4],,,)</f>
        <v>8501</v>
      </c>
      <c r="I3407" t="str" cm="1">
        <f t="array" ref="I3407">_xlfn.XLOOKUP(FACT_IMPORTS[[#This Row],[country_name]],DIM_COUNTRY[[#All],[Column2]],DIM_COUNTRY[[#All],[Column3]],,,)</f>
        <v>China</v>
      </c>
    </row>
    <row r="3408" spans="1:9" x14ac:dyDescent="0.4">
      <c r="A3408" t="s">
        <v>66</v>
      </c>
      <c r="B3408" s="1">
        <v>45383</v>
      </c>
      <c r="C3408">
        <v>850133</v>
      </c>
      <c r="D3408" t="s">
        <v>176</v>
      </c>
      <c r="E3408">
        <v>0</v>
      </c>
      <c r="F3408">
        <v>0</v>
      </c>
      <c r="G3408">
        <v>0</v>
      </c>
      <c r="H3408">
        <f>_xlfn.XLOOKUP(FACT_IMPORTS[[#This Row],[hts_6]],DIM_PRODUCTS[hts_6],DIM_PRODUCTS[hts_4],,,)</f>
        <v>8501</v>
      </c>
      <c r="I3408" t="str" cm="1">
        <f t="array" ref="I3408">_xlfn.XLOOKUP(FACT_IMPORTS[[#This Row],[country_name]],DIM_COUNTRY[[#All],[Column2]],DIM_COUNTRY[[#All],[Column3]],,,)</f>
        <v>China</v>
      </c>
    </row>
    <row r="3409" spans="1:9" x14ac:dyDescent="0.4">
      <c r="A3409" t="s">
        <v>66</v>
      </c>
      <c r="B3409" s="1">
        <v>45383</v>
      </c>
      <c r="C3409">
        <v>850152</v>
      </c>
      <c r="D3409" t="s">
        <v>176</v>
      </c>
      <c r="E3409">
        <v>294781</v>
      </c>
      <c r="F3409">
        <v>713</v>
      </c>
      <c r="G3409">
        <v>8868</v>
      </c>
      <c r="H3409">
        <f>_xlfn.XLOOKUP(FACT_IMPORTS[[#This Row],[hts_6]],DIM_PRODUCTS[hts_6],DIM_PRODUCTS[hts_4],,,)</f>
        <v>8501</v>
      </c>
      <c r="I3409" t="str" cm="1">
        <f t="array" ref="I3409">_xlfn.XLOOKUP(FACT_IMPORTS[[#This Row],[country_name]],DIM_COUNTRY[[#All],[Column2]],DIM_COUNTRY[[#All],[Column3]],,,)</f>
        <v>China</v>
      </c>
    </row>
    <row r="3410" spans="1:9" x14ac:dyDescent="0.4">
      <c r="A3410" t="s">
        <v>66</v>
      </c>
      <c r="B3410" s="1">
        <v>45383</v>
      </c>
      <c r="C3410">
        <v>850153</v>
      </c>
      <c r="D3410" t="s">
        <v>176</v>
      </c>
      <c r="E3410">
        <v>37111</v>
      </c>
      <c r="F3410">
        <v>4</v>
      </c>
      <c r="G3410">
        <v>5455</v>
      </c>
      <c r="H3410">
        <f>_xlfn.XLOOKUP(FACT_IMPORTS[[#This Row],[hts_6]],DIM_PRODUCTS[hts_6],DIM_PRODUCTS[hts_4],,,)</f>
        <v>8501</v>
      </c>
      <c r="I3410" t="str" cm="1">
        <f t="array" ref="I3410">_xlfn.XLOOKUP(FACT_IMPORTS[[#This Row],[country_name]],DIM_COUNTRY[[#All],[Column2]],DIM_COUNTRY[[#All],[Column3]],,,)</f>
        <v>China</v>
      </c>
    </row>
    <row r="3411" spans="1:9" x14ac:dyDescent="0.4">
      <c r="A3411" t="s">
        <v>66</v>
      </c>
      <c r="B3411" s="1">
        <v>45383</v>
      </c>
      <c r="C3411">
        <v>850161</v>
      </c>
      <c r="D3411" t="s">
        <v>176</v>
      </c>
      <c r="E3411">
        <v>0</v>
      </c>
      <c r="F3411">
        <v>0</v>
      </c>
      <c r="G3411">
        <v>0</v>
      </c>
      <c r="H3411">
        <f>_xlfn.XLOOKUP(FACT_IMPORTS[[#This Row],[hts_6]],DIM_PRODUCTS[hts_6],DIM_PRODUCTS[hts_4],,,)</f>
        <v>8501</v>
      </c>
      <c r="I3411" t="str" cm="1">
        <f t="array" ref="I3411">_xlfn.XLOOKUP(FACT_IMPORTS[[#This Row],[country_name]],DIM_COUNTRY[[#All],[Column2]],DIM_COUNTRY[[#All],[Column3]],,,)</f>
        <v>China</v>
      </c>
    </row>
    <row r="3412" spans="1:9" x14ac:dyDescent="0.4">
      <c r="A3412" t="s">
        <v>66</v>
      </c>
      <c r="B3412" s="1">
        <v>45383</v>
      </c>
      <c r="C3412">
        <v>850440</v>
      </c>
      <c r="D3412" t="s">
        <v>176</v>
      </c>
      <c r="E3412">
        <v>760209</v>
      </c>
      <c r="F3412">
        <v>39483</v>
      </c>
      <c r="G3412">
        <v>22250</v>
      </c>
      <c r="H3412">
        <f>_xlfn.XLOOKUP(FACT_IMPORTS[[#This Row],[hts_6]],DIM_PRODUCTS[hts_6],DIM_PRODUCTS[hts_4],,,)</f>
        <v>8504</v>
      </c>
      <c r="I3412" t="str" cm="1">
        <f t="array" ref="I3412">_xlfn.XLOOKUP(FACT_IMPORTS[[#This Row],[country_name]],DIM_COUNTRY[[#All],[Column2]],DIM_COUNTRY[[#All],[Column3]],,,)</f>
        <v>China</v>
      </c>
    </row>
    <row r="3413" spans="1:9" x14ac:dyDescent="0.4">
      <c r="A3413" t="s">
        <v>66</v>
      </c>
      <c r="B3413" s="1">
        <v>45383</v>
      </c>
      <c r="C3413">
        <v>850710</v>
      </c>
      <c r="D3413" t="s">
        <v>176</v>
      </c>
      <c r="E3413">
        <v>65422</v>
      </c>
      <c r="F3413">
        <v>3484</v>
      </c>
      <c r="G3413">
        <v>8853</v>
      </c>
      <c r="H3413">
        <f>_xlfn.XLOOKUP(FACT_IMPORTS[[#This Row],[hts_6]],DIM_PRODUCTS[hts_6],DIM_PRODUCTS[hts_4],,,)</f>
        <v>8507</v>
      </c>
      <c r="I3413" t="str" cm="1">
        <f t="array" ref="I3413">_xlfn.XLOOKUP(FACT_IMPORTS[[#This Row],[country_name]],DIM_COUNTRY[[#All],[Column2]],DIM_COUNTRY[[#All],[Column3]],,,)</f>
        <v>China</v>
      </c>
    </row>
    <row r="3414" spans="1:9" x14ac:dyDescent="0.4">
      <c r="A3414" t="s">
        <v>66</v>
      </c>
      <c r="B3414" s="1">
        <v>45383</v>
      </c>
      <c r="C3414">
        <v>850760</v>
      </c>
      <c r="D3414" t="s">
        <v>176</v>
      </c>
      <c r="E3414">
        <v>425314</v>
      </c>
      <c r="F3414">
        <v>4859</v>
      </c>
      <c r="G3414">
        <v>21610</v>
      </c>
      <c r="H3414">
        <f>_xlfn.XLOOKUP(FACT_IMPORTS[[#This Row],[hts_6]],DIM_PRODUCTS[hts_6],DIM_PRODUCTS[hts_4],,,)</f>
        <v>8507</v>
      </c>
      <c r="I3414" t="str" cm="1">
        <f t="array" ref="I3414">_xlfn.XLOOKUP(FACT_IMPORTS[[#This Row],[country_name]],DIM_COUNTRY[[#All],[Column2]],DIM_COUNTRY[[#All],[Column3]],,,)</f>
        <v>China</v>
      </c>
    </row>
    <row r="3415" spans="1:9" x14ac:dyDescent="0.4">
      <c r="A3415" t="s">
        <v>66</v>
      </c>
      <c r="B3415" s="1">
        <v>45383</v>
      </c>
      <c r="C3415">
        <v>850790</v>
      </c>
      <c r="D3415" t="s">
        <v>176</v>
      </c>
      <c r="E3415">
        <v>466773</v>
      </c>
      <c r="F3415">
        <v>180139</v>
      </c>
      <c r="G3415">
        <v>5177</v>
      </c>
      <c r="H3415">
        <f>_xlfn.XLOOKUP(FACT_IMPORTS[[#This Row],[hts_6]],DIM_PRODUCTS[hts_6],DIM_PRODUCTS[hts_4],,,)</f>
        <v>8507</v>
      </c>
      <c r="I3415" t="str" cm="1">
        <f t="array" ref="I3415">_xlfn.XLOOKUP(FACT_IMPORTS[[#This Row],[country_name]],DIM_COUNTRY[[#All],[Column2]],DIM_COUNTRY[[#All],[Column3]],,,)</f>
        <v>China</v>
      </c>
    </row>
    <row r="3416" spans="1:9" x14ac:dyDescent="0.4">
      <c r="A3416" t="s">
        <v>66</v>
      </c>
      <c r="B3416" s="1">
        <v>45383</v>
      </c>
      <c r="C3416">
        <v>851130</v>
      </c>
      <c r="D3416" t="s">
        <v>176</v>
      </c>
      <c r="E3416">
        <v>42879</v>
      </c>
      <c r="F3416">
        <v>5252</v>
      </c>
      <c r="G3416">
        <v>1809</v>
      </c>
      <c r="H3416">
        <f>_xlfn.XLOOKUP(FACT_IMPORTS[[#This Row],[hts_6]],DIM_PRODUCTS[hts_6],DIM_PRODUCTS[hts_4],,,)</f>
        <v>8511</v>
      </c>
      <c r="I3416" t="str" cm="1">
        <f t="array" ref="I3416">_xlfn.XLOOKUP(FACT_IMPORTS[[#This Row],[country_name]],DIM_COUNTRY[[#All],[Column2]],DIM_COUNTRY[[#All],[Column3]],,,)</f>
        <v>China</v>
      </c>
    </row>
    <row r="3417" spans="1:9" x14ac:dyDescent="0.4">
      <c r="A3417" t="s">
        <v>66</v>
      </c>
      <c r="B3417" s="1">
        <v>45383</v>
      </c>
      <c r="C3417">
        <v>851140</v>
      </c>
      <c r="D3417" t="s">
        <v>176</v>
      </c>
      <c r="E3417">
        <v>368190</v>
      </c>
      <c r="F3417">
        <v>3426</v>
      </c>
      <c r="G3417">
        <v>1181</v>
      </c>
      <c r="H3417">
        <f>_xlfn.XLOOKUP(FACT_IMPORTS[[#This Row],[hts_6]],DIM_PRODUCTS[hts_6],DIM_PRODUCTS[hts_4],,,)</f>
        <v>8511</v>
      </c>
      <c r="I3417" t="str" cm="1">
        <f t="array" ref="I3417">_xlfn.XLOOKUP(FACT_IMPORTS[[#This Row],[country_name]],DIM_COUNTRY[[#All],[Column2]],DIM_COUNTRY[[#All],[Column3]],,,)</f>
        <v>China</v>
      </c>
    </row>
    <row r="3418" spans="1:9" x14ac:dyDescent="0.4">
      <c r="A3418" t="s">
        <v>66</v>
      </c>
      <c r="B3418" s="1">
        <v>45383</v>
      </c>
      <c r="C3418">
        <v>851150</v>
      </c>
      <c r="D3418" t="s">
        <v>176</v>
      </c>
      <c r="E3418">
        <v>236589</v>
      </c>
      <c r="F3418">
        <v>3716</v>
      </c>
      <c r="G3418">
        <v>2866</v>
      </c>
      <c r="H3418">
        <f>_xlfn.XLOOKUP(FACT_IMPORTS[[#This Row],[hts_6]],DIM_PRODUCTS[hts_6],DIM_PRODUCTS[hts_4],,,)</f>
        <v>8511</v>
      </c>
      <c r="I3418" t="str" cm="1">
        <f t="array" ref="I3418">_xlfn.XLOOKUP(FACT_IMPORTS[[#This Row],[country_name]],DIM_COUNTRY[[#All],[Column2]],DIM_COUNTRY[[#All],[Column3]],,,)</f>
        <v>China</v>
      </c>
    </row>
    <row r="3419" spans="1:9" x14ac:dyDescent="0.4">
      <c r="A3419" t="s">
        <v>66</v>
      </c>
      <c r="B3419" s="1">
        <v>45383</v>
      </c>
      <c r="C3419">
        <v>851180</v>
      </c>
      <c r="D3419" t="s">
        <v>176</v>
      </c>
      <c r="E3419">
        <v>31209</v>
      </c>
      <c r="F3419">
        <v>3414</v>
      </c>
      <c r="G3419">
        <v>3099</v>
      </c>
      <c r="H3419">
        <f>_xlfn.XLOOKUP(FACT_IMPORTS[[#This Row],[hts_6]],DIM_PRODUCTS[hts_6],DIM_PRODUCTS[hts_4],,,)</f>
        <v>8511</v>
      </c>
      <c r="I3419" t="str" cm="1">
        <f t="array" ref="I3419">_xlfn.XLOOKUP(FACT_IMPORTS[[#This Row],[country_name]],DIM_COUNTRY[[#All],[Column2]],DIM_COUNTRY[[#All],[Column3]],,,)</f>
        <v>China</v>
      </c>
    </row>
    <row r="3420" spans="1:9" x14ac:dyDescent="0.4">
      <c r="A3420" t="s">
        <v>66</v>
      </c>
      <c r="B3420" s="1">
        <v>45383</v>
      </c>
      <c r="C3420">
        <v>851190</v>
      </c>
      <c r="D3420" t="s">
        <v>176</v>
      </c>
      <c r="E3420">
        <v>168095</v>
      </c>
      <c r="F3420">
        <v>29073</v>
      </c>
      <c r="G3420">
        <v>14345</v>
      </c>
      <c r="H3420">
        <f>_xlfn.XLOOKUP(FACT_IMPORTS[[#This Row],[hts_6]],DIM_PRODUCTS[hts_6],DIM_PRODUCTS[hts_4],,,)</f>
        <v>8511</v>
      </c>
      <c r="I3420" t="str" cm="1">
        <f t="array" ref="I3420">_xlfn.XLOOKUP(FACT_IMPORTS[[#This Row],[country_name]],DIM_COUNTRY[[#All],[Column2]],DIM_COUNTRY[[#All],[Column3]],,,)</f>
        <v>China</v>
      </c>
    </row>
    <row r="3421" spans="1:9" x14ac:dyDescent="0.4">
      <c r="A3421" t="s">
        <v>66</v>
      </c>
      <c r="B3421" s="1">
        <v>45383</v>
      </c>
      <c r="C3421">
        <v>851220</v>
      </c>
      <c r="D3421" t="s">
        <v>176</v>
      </c>
      <c r="E3421">
        <v>3874450</v>
      </c>
      <c r="F3421">
        <v>663401</v>
      </c>
      <c r="G3421">
        <v>226945</v>
      </c>
      <c r="H3421">
        <f>_xlfn.XLOOKUP(FACT_IMPORTS[[#This Row],[hts_6]],DIM_PRODUCTS[hts_6],DIM_PRODUCTS[hts_4],,,)</f>
        <v>8512</v>
      </c>
      <c r="I3421" t="str" cm="1">
        <f t="array" ref="I3421">_xlfn.XLOOKUP(FACT_IMPORTS[[#This Row],[country_name]],DIM_COUNTRY[[#All],[Column2]],DIM_COUNTRY[[#All],[Column3]],,,)</f>
        <v>China</v>
      </c>
    </row>
    <row r="3422" spans="1:9" x14ac:dyDescent="0.4">
      <c r="A3422" t="s">
        <v>66</v>
      </c>
      <c r="B3422" s="1">
        <v>45383</v>
      </c>
      <c r="C3422">
        <v>851230</v>
      </c>
      <c r="D3422" t="s">
        <v>176</v>
      </c>
      <c r="E3422">
        <v>81953</v>
      </c>
      <c r="F3422">
        <v>30213</v>
      </c>
      <c r="G3422">
        <v>1662</v>
      </c>
      <c r="H3422">
        <f>_xlfn.XLOOKUP(FACT_IMPORTS[[#This Row],[hts_6]],DIM_PRODUCTS[hts_6],DIM_PRODUCTS[hts_4],,,)</f>
        <v>8512</v>
      </c>
      <c r="I3422" t="str" cm="1">
        <f t="array" ref="I3422">_xlfn.XLOOKUP(FACT_IMPORTS[[#This Row],[country_name]],DIM_COUNTRY[[#All],[Column2]],DIM_COUNTRY[[#All],[Column3]],,,)</f>
        <v>China</v>
      </c>
    </row>
    <row r="3423" spans="1:9" x14ac:dyDescent="0.4">
      <c r="A3423" t="s">
        <v>66</v>
      </c>
      <c r="B3423" s="1">
        <v>45383</v>
      </c>
      <c r="C3423">
        <v>851240</v>
      </c>
      <c r="D3423" t="s">
        <v>176</v>
      </c>
      <c r="E3423">
        <v>0</v>
      </c>
      <c r="F3423">
        <v>0</v>
      </c>
      <c r="G3423">
        <v>0</v>
      </c>
      <c r="H3423">
        <f>_xlfn.XLOOKUP(FACT_IMPORTS[[#This Row],[hts_6]],DIM_PRODUCTS[hts_6],DIM_PRODUCTS[hts_4],,,)</f>
        <v>8512</v>
      </c>
      <c r="I3423" t="str" cm="1">
        <f t="array" ref="I3423">_xlfn.XLOOKUP(FACT_IMPORTS[[#This Row],[country_name]],DIM_COUNTRY[[#All],[Column2]],DIM_COUNTRY[[#All],[Column3]],,,)</f>
        <v>China</v>
      </c>
    </row>
    <row r="3424" spans="1:9" x14ac:dyDescent="0.4">
      <c r="A3424" t="s">
        <v>66</v>
      </c>
      <c r="B3424" s="1">
        <v>45383</v>
      </c>
      <c r="C3424">
        <v>851290</v>
      </c>
      <c r="D3424" t="s">
        <v>176</v>
      </c>
      <c r="E3424">
        <v>795148</v>
      </c>
      <c r="F3424">
        <v>15242</v>
      </c>
      <c r="G3424">
        <v>25199</v>
      </c>
      <c r="H3424">
        <f>_xlfn.XLOOKUP(FACT_IMPORTS[[#This Row],[hts_6]],DIM_PRODUCTS[hts_6],DIM_PRODUCTS[hts_4],,,)</f>
        <v>8512</v>
      </c>
      <c r="I3424" t="str" cm="1">
        <f t="array" ref="I3424">_xlfn.XLOOKUP(FACT_IMPORTS[[#This Row],[country_name]],DIM_COUNTRY[[#All],[Column2]],DIM_COUNTRY[[#All],[Column3]],,,)</f>
        <v>China</v>
      </c>
    </row>
    <row r="3425" spans="1:9" x14ac:dyDescent="0.4">
      <c r="A3425" t="s">
        <v>66</v>
      </c>
      <c r="B3425" s="1">
        <v>45383</v>
      </c>
      <c r="C3425">
        <v>854231</v>
      </c>
      <c r="D3425" t="s">
        <v>176</v>
      </c>
      <c r="E3425">
        <v>548480</v>
      </c>
      <c r="F3425">
        <v>138651</v>
      </c>
      <c r="G3425">
        <v>36620</v>
      </c>
      <c r="H3425">
        <f>_xlfn.XLOOKUP(FACT_IMPORTS[[#This Row],[hts_6]],DIM_PRODUCTS[hts_6],DIM_PRODUCTS[hts_4],,,)</f>
        <v>8542</v>
      </c>
      <c r="I3425" t="str" cm="1">
        <f t="array" ref="I3425">_xlfn.XLOOKUP(FACT_IMPORTS[[#This Row],[country_name]],DIM_COUNTRY[[#All],[Column2]],DIM_COUNTRY[[#All],[Column3]],,,)</f>
        <v>China</v>
      </c>
    </row>
    <row r="3426" spans="1:9" x14ac:dyDescent="0.4">
      <c r="A3426" t="s">
        <v>66</v>
      </c>
      <c r="B3426" s="1">
        <v>45383</v>
      </c>
      <c r="C3426">
        <v>854232</v>
      </c>
      <c r="D3426" t="s">
        <v>176</v>
      </c>
      <c r="E3426">
        <v>19286</v>
      </c>
      <c r="F3426">
        <v>6000</v>
      </c>
      <c r="G3426">
        <v>328</v>
      </c>
      <c r="H3426">
        <f>_xlfn.XLOOKUP(FACT_IMPORTS[[#This Row],[hts_6]],DIM_PRODUCTS[hts_6],DIM_PRODUCTS[hts_4],,,)</f>
        <v>8542</v>
      </c>
      <c r="I3426" t="str" cm="1">
        <f t="array" ref="I3426">_xlfn.XLOOKUP(FACT_IMPORTS[[#This Row],[country_name]],DIM_COUNTRY[[#All],[Column2]],DIM_COUNTRY[[#All],[Column3]],,,)</f>
        <v>China</v>
      </c>
    </row>
    <row r="3427" spans="1:9" x14ac:dyDescent="0.4">
      <c r="A3427" t="s">
        <v>66</v>
      </c>
      <c r="B3427" s="1">
        <v>45383</v>
      </c>
      <c r="C3427">
        <v>854233</v>
      </c>
      <c r="D3427" t="s">
        <v>176</v>
      </c>
      <c r="E3427">
        <v>0</v>
      </c>
      <c r="F3427">
        <v>0</v>
      </c>
      <c r="G3427">
        <v>0</v>
      </c>
      <c r="H3427">
        <f>_xlfn.XLOOKUP(FACT_IMPORTS[[#This Row],[hts_6]],DIM_PRODUCTS[hts_6],DIM_PRODUCTS[hts_4],,,)</f>
        <v>8542</v>
      </c>
      <c r="I3427" t="str" cm="1">
        <f t="array" ref="I3427">_xlfn.XLOOKUP(FACT_IMPORTS[[#This Row],[country_name]],DIM_COUNTRY[[#All],[Column2]],DIM_COUNTRY[[#All],[Column3]],,,)</f>
        <v>China</v>
      </c>
    </row>
    <row r="3428" spans="1:9" x14ac:dyDescent="0.4">
      <c r="A3428" t="s">
        <v>66</v>
      </c>
      <c r="B3428" s="1">
        <v>45383</v>
      </c>
      <c r="C3428">
        <v>854239</v>
      </c>
      <c r="D3428" t="s">
        <v>176</v>
      </c>
      <c r="E3428">
        <v>299094</v>
      </c>
      <c r="F3428">
        <v>234556</v>
      </c>
      <c r="G3428">
        <v>28690</v>
      </c>
      <c r="H3428">
        <f>_xlfn.XLOOKUP(FACT_IMPORTS[[#This Row],[hts_6]],DIM_PRODUCTS[hts_6],DIM_PRODUCTS[hts_4],,,)</f>
        <v>8542</v>
      </c>
      <c r="I3428" t="str" cm="1">
        <f t="array" ref="I3428">_xlfn.XLOOKUP(FACT_IMPORTS[[#This Row],[country_name]],DIM_COUNTRY[[#All],[Column2]],DIM_COUNTRY[[#All],[Column3]],,,)</f>
        <v>China</v>
      </c>
    </row>
    <row r="3429" spans="1:9" x14ac:dyDescent="0.4">
      <c r="A3429" t="s">
        <v>66</v>
      </c>
      <c r="B3429" s="1">
        <v>45383</v>
      </c>
      <c r="C3429">
        <v>854290</v>
      </c>
      <c r="D3429" t="s">
        <v>176</v>
      </c>
      <c r="E3429">
        <v>0</v>
      </c>
      <c r="F3429">
        <v>0</v>
      </c>
      <c r="G3429">
        <v>0</v>
      </c>
      <c r="H3429">
        <f>_xlfn.XLOOKUP(FACT_IMPORTS[[#This Row],[hts_6]],DIM_PRODUCTS[hts_6],DIM_PRODUCTS[hts_4],,,)</f>
        <v>8542</v>
      </c>
      <c r="I3429" t="str" cm="1">
        <f t="array" ref="I3429">_xlfn.XLOOKUP(FACT_IMPORTS[[#This Row],[country_name]],DIM_COUNTRY[[#All],[Column2]],DIM_COUNTRY[[#All],[Column3]],,,)</f>
        <v>China</v>
      </c>
    </row>
    <row r="3430" spans="1:9" x14ac:dyDescent="0.4">
      <c r="A3430" t="s">
        <v>66</v>
      </c>
      <c r="B3430" s="1">
        <v>45383</v>
      </c>
      <c r="C3430">
        <v>854430</v>
      </c>
      <c r="D3430" t="s">
        <v>176</v>
      </c>
      <c r="E3430">
        <v>926996</v>
      </c>
      <c r="F3430">
        <v>129023</v>
      </c>
      <c r="G3430">
        <v>16767</v>
      </c>
      <c r="H3430">
        <f>_xlfn.XLOOKUP(FACT_IMPORTS[[#This Row],[hts_6]],DIM_PRODUCTS[hts_6],DIM_PRODUCTS[hts_4],,,)</f>
        <v>8544</v>
      </c>
      <c r="I3430" t="str" cm="1">
        <f t="array" ref="I3430">_xlfn.XLOOKUP(FACT_IMPORTS[[#This Row],[country_name]],DIM_COUNTRY[[#All],[Column2]],DIM_COUNTRY[[#All],[Column3]],,,)</f>
        <v>China</v>
      </c>
    </row>
    <row r="3431" spans="1:9" x14ac:dyDescent="0.4">
      <c r="A3431" t="s">
        <v>66</v>
      </c>
      <c r="B3431" s="1">
        <v>45383</v>
      </c>
      <c r="C3431">
        <v>870710</v>
      </c>
      <c r="D3431" t="s">
        <v>176</v>
      </c>
      <c r="E3431">
        <v>0</v>
      </c>
      <c r="F3431">
        <v>0</v>
      </c>
      <c r="G3431">
        <v>0</v>
      </c>
      <c r="H3431">
        <f>_xlfn.XLOOKUP(FACT_IMPORTS[[#This Row],[hts_6]],DIM_PRODUCTS[hts_6],DIM_PRODUCTS[hts_4],,,)</f>
        <v>8707</v>
      </c>
      <c r="I3431" t="str" cm="1">
        <f t="array" ref="I3431">_xlfn.XLOOKUP(FACT_IMPORTS[[#This Row],[country_name]],DIM_COUNTRY[[#All],[Column2]],DIM_COUNTRY[[#All],[Column3]],,,)</f>
        <v>China</v>
      </c>
    </row>
    <row r="3432" spans="1:9" x14ac:dyDescent="0.4">
      <c r="A3432" t="s">
        <v>66</v>
      </c>
      <c r="B3432" s="1">
        <v>45383</v>
      </c>
      <c r="C3432">
        <v>870810</v>
      </c>
      <c r="D3432" t="s">
        <v>176</v>
      </c>
      <c r="E3432">
        <v>473457</v>
      </c>
      <c r="F3432">
        <v>24125</v>
      </c>
      <c r="G3432">
        <v>76439</v>
      </c>
      <c r="H3432">
        <f>_xlfn.XLOOKUP(FACT_IMPORTS[[#This Row],[hts_6]],DIM_PRODUCTS[hts_6],DIM_PRODUCTS[hts_4],,,)</f>
        <v>8708</v>
      </c>
      <c r="I3432" t="str" cm="1">
        <f t="array" ref="I3432">_xlfn.XLOOKUP(FACT_IMPORTS[[#This Row],[country_name]],DIM_COUNTRY[[#All],[Column2]],DIM_COUNTRY[[#All],[Column3]],,,)</f>
        <v>China</v>
      </c>
    </row>
    <row r="3433" spans="1:9" x14ac:dyDescent="0.4">
      <c r="A3433" t="s">
        <v>66</v>
      </c>
      <c r="B3433" s="1">
        <v>45383</v>
      </c>
      <c r="C3433">
        <v>870821</v>
      </c>
      <c r="D3433" t="s">
        <v>176</v>
      </c>
      <c r="E3433">
        <v>29531</v>
      </c>
      <c r="F3433">
        <v>3425</v>
      </c>
      <c r="G3433">
        <v>1041</v>
      </c>
      <c r="H3433">
        <f>_xlfn.XLOOKUP(FACT_IMPORTS[[#This Row],[hts_6]],DIM_PRODUCTS[hts_6],DIM_PRODUCTS[hts_4],,,)</f>
        <v>8708</v>
      </c>
      <c r="I3433" t="str" cm="1">
        <f t="array" ref="I3433">_xlfn.XLOOKUP(FACT_IMPORTS[[#This Row],[country_name]],DIM_COUNTRY[[#All],[Column2]],DIM_COUNTRY[[#All],[Column3]],,,)</f>
        <v>China</v>
      </c>
    </row>
    <row r="3434" spans="1:9" x14ac:dyDescent="0.4">
      <c r="A3434" t="s">
        <v>66</v>
      </c>
      <c r="B3434" s="1">
        <v>45383</v>
      </c>
      <c r="C3434">
        <v>870822</v>
      </c>
      <c r="D3434" t="s">
        <v>176</v>
      </c>
      <c r="E3434">
        <v>902022</v>
      </c>
      <c r="F3434">
        <v>102202</v>
      </c>
      <c r="G3434">
        <v>83127</v>
      </c>
      <c r="H3434">
        <f>_xlfn.XLOOKUP(FACT_IMPORTS[[#This Row],[hts_6]],DIM_PRODUCTS[hts_6],DIM_PRODUCTS[hts_4],,,)</f>
        <v>8708</v>
      </c>
      <c r="I3434" t="str" cm="1">
        <f t="array" ref="I3434">_xlfn.XLOOKUP(FACT_IMPORTS[[#This Row],[country_name]],DIM_COUNTRY[[#All],[Column2]],DIM_COUNTRY[[#All],[Column3]],,,)</f>
        <v>China</v>
      </c>
    </row>
    <row r="3435" spans="1:9" x14ac:dyDescent="0.4">
      <c r="A3435" t="s">
        <v>66</v>
      </c>
      <c r="B3435" s="1">
        <v>45383</v>
      </c>
      <c r="C3435">
        <v>870829</v>
      </c>
      <c r="D3435" t="s">
        <v>176</v>
      </c>
      <c r="E3435">
        <v>22594797</v>
      </c>
      <c r="F3435">
        <v>4583034</v>
      </c>
      <c r="G3435">
        <v>891341</v>
      </c>
      <c r="H3435">
        <f>_xlfn.XLOOKUP(FACT_IMPORTS[[#This Row],[hts_6]],DIM_PRODUCTS[hts_6],DIM_PRODUCTS[hts_4],,,)</f>
        <v>8708</v>
      </c>
      <c r="I3435" t="str" cm="1">
        <f t="array" ref="I3435">_xlfn.XLOOKUP(FACT_IMPORTS[[#This Row],[country_name]],DIM_COUNTRY[[#All],[Column2]],DIM_COUNTRY[[#All],[Column3]],,,)</f>
        <v>China</v>
      </c>
    </row>
    <row r="3436" spans="1:9" x14ac:dyDescent="0.4">
      <c r="A3436" t="s">
        <v>66</v>
      </c>
      <c r="B3436" s="1">
        <v>45383</v>
      </c>
      <c r="C3436">
        <v>870830</v>
      </c>
      <c r="D3436" t="s">
        <v>176</v>
      </c>
      <c r="E3436">
        <v>7356107</v>
      </c>
      <c r="F3436">
        <v>812902</v>
      </c>
      <c r="G3436">
        <v>188567</v>
      </c>
      <c r="H3436">
        <f>_xlfn.XLOOKUP(FACT_IMPORTS[[#This Row],[hts_6]],DIM_PRODUCTS[hts_6],DIM_PRODUCTS[hts_4],,,)</f>
        <v>8708</v>
      </c>
      <c r="I3436" t="str" cm="1">
        <f t="array" ref="I3436">_xlfn.XLOOKUP(FACT_IMPORTS[[#This Row],[country_name]],DIM_COUNTRY[[#All],[Column2]],DIM_COUNTRY[[#All],[Column3]],,,)</f>
        <v>China</v>
      </c>
    </row>
    <row r="3437" spans="1:9" x14ac:dyDescent="0.4">
      <c r="A3437" t="s">
        <v>66</v>
      </c>
      <c r="B3437" s="1">
        <v>45383</v>
      </c>
      <c r="C3437">
        <v>870840</v>
      </c>
      <c r="D3437" t="s">
        <v>176</v>
      </c>
      <c r="E3437">
        <v>5407726</v>
      </c>
      <c r="F3437">
        <v>749307</v>
      </c>
      <c r="G3437">
        <v>132620</v>
      </c>
      <c r="H3437">
        <f>_xlfn.XLOOKUP(FACT_IMPORTS[[#This Row],[hts_6]],DIM_PRODUCTS[hts_6],DIM_PRODUCTS[hts_4],,,)</f>
        <v>8708</v>
      </c>
      <c r="I3437" t="str" cm="1">
        <f t="array" ref="I3437">_xlfn.XLOOKUP(FACT_IMPORTS[[#This Row],[country_name]],DIM_COUNTRY[[#All],[Column2]],DIM_COUNTRY[[#All],[Column3]],,,)</f>
        <v>China</v>
      </c>
    </row>
    <row r="3438" spans="1:9" x14ac:dyDescent="0.4">
      <c r="A3438" t="s">
        <v>66</v>
      </c>
      <c r="B3438" s="1">
        <v>45383</v>
      </c>
      <c r="C3438">
        <v>870850</v>
      </c>
      <c r="D3438" t="s">
        <v>176</v>
      </c>
      <c r="E3438">
        <v>4287262</v>
      </c>
      <c r="F3438">
        <v>679342</v>
      </c>
      <c r="G3438">
        <v>94500</v>
      </c>
      <c r="H3438">
        <f>_xlfn.XLOOKUP(FACT_IMPORTS[[#This Row],[hts_6]],DIM_PRODUCTS[hts_6],DIM_PRODUCTS[hts_4],,,)</f>
        <v>8708</v>
      </c>
      <c r="I3438" t="str" cm="1">
        <f t="array" ref="I3438">_xlfn.XLOOKUP(FACT_IMPORTS[[#This Row],[country_name]],DIM_COUNTRY[[#All],[Column2]],DIM_COUNTRY[[#All],[Column3]],,,)</f>
        <v>China</v>
      </c>
    </row>
    <row r="3439" spans="1:9" x14ac:dyDescent="0.4">
      <c r="A3439" t="s">
        <v>66</v>
      </c>
      <c r="B3439" s="1">
        <v>45383</v>
      </c>
      <c r="C3439">
        <v>870870</v>
      </c>
      <c r="D3439" t="s">
        <v>176</v>
      </c>
      <c r="E3439">
        <v>48781351</v>
      </c>
      <c r="F3439">
        <v>1241964</v>
      </c>
      <c r="G3439">
        <v>1803118</v>
      </c>
      <c r="H3439">
        <f>_xlfn.XLOOKUP(FACT_IMPORTS[[#This Row],[hts_6]],DIM_PRODUCTS[hts_6],DIM_PRODUCTS[hts_4],,,)</f>
        <v>8708</v>
      </c>
      <c r="I3439" t="str" cm="1">
        <f t="array" ref="I3439">_xlfn.XLOOKUP(FACT_IMPORTS[[#This Row],[country_name]],DIM_COUNTRY[[#All],[Column2]],DIM_COUNTRY[[#All],[Column3]],,,)</f>
        <v>China</v>
      </c>
    </row>
    <row r="3440" spans="1:9" x14ac:dyDescent="0.4">
      <c r="A3440" t="s">
        <v>66</v>
      </c>
      <c r="B3440" s="1">
        <v>45383</v>
      </c>
      <c r="C3440">
        <v>870880</v>
      </c>
      <c r="D3440" t="s">
        <v>176</v>
      </c>
      <c r="E3440">
        <v>13450698</v>
      </c>
      <c r="F3440">
        <v>3340658</v>
      </c>
      <c r="G3440">
        <v>394261</v>
      </c>
      <c r="H3440">
        <f>_xlfn.XLOOKUP(FACT_IMPORTS[[#This Row],[hts_6]],DIM_PRODUCTS[hts_6],DIM_PRODUCTS[hts_4],,,)</f>
        <v>8708</v>
      </c>
      <c r="I3440" t="str" cm="1">
        <f t="array" ref="I3440">_xlfn.XLOOKUP(FACT_IMPORTS[[#This Row],[country_name]],DIM_COUNTRY[[#All],[Column2]],DIM_COUNTRY[[#All],[Column3]],,,)</f>
        <v>China</v>
      </c>
    </row>
    <row r="3441" spans="1:9" x14ac:dyDescent="0.4">
      <c r="A3441" t="s">
        <v>66</v>
      </c>
      <c r="B3441" s="1">
        <v>45383</v>
      </c>
      <c r="C3441">
        <v>870891</v>
      </c>
      <c r="D3441" t="s">
        <v>176</v>
      </c>
      <c r="E3441">
        <v>259613</v>
      </c>
      <c r="F3441">
        <v>14447</v>
      </c>
      <c r="G3441">
        <v>14290</v>
      </c>
      <c r="H3441">
        <f>_xlfn.XLOOKUP(FACT_IMPORTS[[#This Row],[hts_6]],DIM_PRODUCTS[hts_6],DIM_PRODUCTS[hts_4],,,)</f>
        <v>8708</v>
      </c>
      <c r="I3441" t="str" cm="1">
        <f t="array" ref="I3441">_xlfn.XLOOKUP(FACT_IMPORTS[[#This Row],[country_name]],DIM_COUNTRY[[#All],[Column2]],DIM_COUNTRY[[#All],[Column3]],,,)</f>
        <v>China</v>
      </c>
    </row>
    <row r="3442" spans="1:9" x14ac:dyDescent="0.4">
      <c r="A3442" t="s">
        <v>66</v>
      </c>
      <c r="B3442" s="1">
        <v>45383</v>
      </c>
      <c r="C3442">
        <v>870892</v>
      </c>
      <c r="D3442" t="s">
        <v>176</v>
      </c>
      <c r="E3442">
        <v>7756333</v>
      </c>
      <c r="F3442">
        <v>1526255</v>
      </c>
      <c r="G3442">
        <v>344277</v>
      </c>
      <c r="H3442">
        <f>_xlfn.XLOOKUP(FACT_IMPORTS[[#This Row],[hts_6]],DIM_PRODUCTS[hts_6],DIM_PRODUCTS[hts_4],,,)</f>
        <v>8708</v>
      </c>
      <c r="I3442" t="str" cm="1">
        <f t="array" ref="I3442">_xlfn.XLOOKUP(FACT_IMPORTS[[#This Row],[country_name]],DIM_COUNTRY[[#All],[Column2]],DIM_COUNTRY[[#All],[Column3]],,,)</f>
        <v>China</v>
      </c>
    </row>
    <row r="3443" spans="1:9" x14ac:dyDescent="0.4">
      <c r="A3443" t="s">
        <v>66</v>
      </c>
      <c r="B3443" s="1">
        <v>45383</v>
      </c>
      <c r="C3443">
        <v>870893</v>
      </c>
      <c r="D3443" t="s">
        <v>176</v>
      </c>
      <c r="E3443">
        <v>645622</v>
      </c>
      <c r="F3443">
        <v>396681</v>
      </c>
      <c r="G3443">
        <v>36641</v>
      </c>
      <c r="H3443">
        <f>_xlfn.XLOOKUP(FACT_IMPORTS[[#This Row],[hts_6]],DIM_PRODUCTS[hts_6],DIM_PRODUCTS[hts_4],,,)</f>
        <v>8708</v>
      </c>
      <c r="I3443" t="str" cm="1">
        <f t="array" ref="I3443">_xlfn.XLOOKUP(FACT_IMPORTS[[#This Row],[country_name]],DIM_COUNTRY[[#All],[Column2]],DIM_COUNTRY[[#All],[Column3]],,,)</f>
        <v>China</v>
      </c>
    </row>
    <row r="3444" spans="1:9" x14ac:dyDescent="0.4">
      <c r="A3444" t="s">
        <v>66</v>
      </c>
      <c r="B3444" s="1">
        <v>45383</v>
      </c>
      <c r="C3444">
        <v>870894</v>
      </c>
      <c r="D3444" t="s">
        <v>176</v>
      </c>
      <c r="E3444">
        <v>8395207</v>
      </c>
      <c r="F3444">
        <v>437673</v>
      </c>
      <c r="G3444">
        <v>1121953</v>
      </c>
      <c r="H3444">
        <f>_xlfn.XLOOKUP(FACT_IMPORTS[[#This Row],[hts_6]],DIM_PRODUCTS[hts_6],DIM_PRODUCTS[hts_4],,,)</f>
        <v>8708</v>
      </c>
      <c r="I3444" t="str" cm="1">
        <f t="array" ref="I3444">_xlfn.XLOOKUP(FACT_IMPORTS[[#This Row],[country_name]],DIM_COUNTRY[[#All],[Column2]],DIM_COUNTRY[[#All],[Column3]],,,)</f>
        <v>China</v>
      </c>
    </row>
    <row r="3445" spans="1:9" x14ac:dyDescent="0.4">
      <c r="A3445" t="s">
        <v>66</v>
      </c>
      <c r="B3445" s="1">
        <v>45383</v>
      </c>
      <c r="C3445">
        <v>870895</v>
      </c>
      <c r="D3445" t="s">
        <v>176</v>
      </c>
      <c r="E3445">
        <v>443733</v>
      </c>
      <c r="F3445">
        <v>147175</v>
      </c>
      <c r="G3445">
        <v>3015</v>
      </c>
      <c r="H3445">
        <f>_xlfn.XLOOKUP(FACT_IMPORTS[[#This Row],[hts_6]],DIM_PRODUCTS[hts_6],DIM_PRODUCTS[hts_4],,,)</f>
        <v>8708</v>
      </c>
      <c r="I3445" t="str" cm="1">
        <f t="array" ref="I3445">_xlfn.XLOOKUP(FACT_IMPORTS[[#This Row],[country_name]],DIM_COUNTRY[[#All],[Column2]],DIM_COUNTRY[[#All],[Column3]],,,)</f>
        <v>China</v>
      </c>
    </row>
    <row r="3446" spans="1:9" x14ac:dyDescent="0.4">
      <c r="A3446" t="s">
        <v>66</v>
      </c>
      <c r="B3446" s="1">
        <v>45383</v>
      </c>
      <c r="C3446">
        <v>870899</v>
      </c>
      <c r="D3446" t="s">
        <v>176</v>
      </c>
      <c r="E3446">
        <v>10991944</v>
      </c>
      <c r="F3446">
        <v>2540224</v>
      </c>
      <c r="G3446">
        <v>681380</v>
      </c>
      <c r="H3446">
        <f>_xlfn.XLOOKUP(FACT_IMPORTS[[#This Row],[hts_6]],DIM_PRODUCTS[hts_6],DIM_PRODUCTS[hts_4],,,)</f>
        <v>8708</v>
      </c>
      <c r="I3446" t="str" cm="1">
        <f t="array" ref="I3446">_xlfn.XLOOKUP(FACT_IMPORTS[[#This Row],[country_name]],DIM_COUNTRY[[#All],[Column2]],DIM_COUNTRY[[#All],[Column3]],,,)</f>
        <v>China</v>
      </c>
    </row>
    <row r="3447" spans="1:9" x14ac:dyDescent="0.4">
      <c r="A3447" t="s">
        <v>66</v>
      </c>
      <c r="B3447" s="1">
        <v>45383</v>
      </c>
      <c r="C3447">
        <v>940120</v>
      </c>
      <c r="D3447" t="s">
        <v>176</v>
      </c>
      <c r="E3447">
        <v>16318</v>
      </c>
      <c r="F3447">
        <v>22</v>
      </c>
      <c r="G3447">
        <v>772</v>
      </c>
      <c r="H3447">
        <f>_xlfn.XLOOKUP(FACT_IMPORTS[[#This Row],[hts_6]],DIM_PRODUCTS[hts_6],DIM_PRODUCTS[hts_4],,,)</f>
        <v>9401</v>
      </c>
      <c r="I3447" t="str" cm="1">
        <f t="array" ref="I3447">_xlfn.XLOOKUP(FACT_IMPORTS[[#This Row],[country_name]],DIM_COUNTRY[[#All],[Column2]],DIM_COUNTRY[[#All],[Column3]],,,)</f>
        <v>China</v>
      </c>
    </row>
    <row r="3448" spans="1:9" x14ac:dyDescent="0.4">
      <c r="A3448" t="s">
        <v>66</v>
      </c>
      <c r="B3448" s="1">
        <v>45413</v>
      </c>
      <c r="C3448">
        <v>392630</v>
      </c>
      <c r="D3448" t="s">
        <v>176</v>
      </c>
      <c r="E3448">
        <v>6354362</v>
      </c>
      <c r="F3448">
        <v>300335</v>
      </c>
      <c r="G3448">
        <v>191901</v>
      </c>
      <c r="H3448">
        <f>_xlfn.XLOOKUP(FACT_IMPORTS[[#This Row],[hts_6]],DIM_PRODUCTS[hts_6],DIM_PRODUCTS[hts_4],,,)</f>
        <v>3926</v>
      </c>
      <c r="I3448" t="str" cm="1">
        <f t="array" ref="I3448">_xlfn.XLOOKUP(FACT_IMPORTS[[#This Row],[country_name]],DIM_COUNTRY[[#All],[Column2]],DIM_COUNTRY[[#All],[Column3]],,,)</f>
        <v>China</v>
      </c>
    </row>
    <row r="3449" spans="1:9" x14ac:dyDescent="0.4">
      <c r="A3449" t="s">
        <v>66</v>
      </c>
      <c r="B3449" s="1">
        <v>45413</v>
      </c>
      <c r="C3449">
        <v>401110</v>
      </c>
      <c r="D3449" t="s">
        <v>176</v>
      </c>
      <c r="E3449">
        <v>19023</v>
      </c>
      <c r="F3449">
        <v>146</v>
      </c>
      <c r="G3449">
        <v>124</v>
      </c>
      <c r="H3449">
        <f>_xlfn.XLOOKUP(FACT_IMPORTS[[#This Row],[hts_6]],DIM_PRODUCTS[hts_6],DIM_PRODUCTS[hts_4],,,)</f>
        <v>4011</v>
      </c>
      <c r="I3449" t="str" cm="1">
        <f t="array" ref="I3449">_xlfn.XLOOKUP(FACT_IMPORTS[[#This Row],[country_name]],DIM_COUNTRY[[#All],[Column2]],DIM_COUNTRY[[#All],[Column3]],,,)</f>
        <v>China</v>
      </c>
    </row>
    <row r="3450" spans="1:9" x14ac:dyDescent="0.4">
      <c r="A3450" t="s">
        <v>66</v>
      </c>
      <c r="B3450" s="1">
        <v>45413</v>
      </c>
      <c r="C3450">
        <v>401120</v>
      </c>
      <c r="D3450" t="s">
        <v>176</v>
      </c>
      <c r="E3450">
        <v>86509</v>
      </c>
      <c r="F3450">
        <v>797</v>
      </c>
      <c r="G3450">
        <v>3000</v>
      </c>
      <c r="H3450">
        <f>_xlfn.XLOOKUP(FACT_IMPORTS[[#This Row],[hts_6]],DIM_PRODUCTS[hts_6],DIM_PRODUCTS[hts_4],,,)</f>
        <v>4011</v>
      </c>
      <c r="I3450" t="str" cm="1">
        <f t="array" ref="I3450">_xlfn.XLOOKUP(FACT_IMPORTS[[#This Row],[country_name]],DIM_COUNTRY[[#All],[Column2]],DIM_COUNTRY[[#All],[Column3]],,,)</f>
        <v>China</v>
      </c>
    </row>
    <row r="3451" spans="1:9" x14ac:dyDescent="0.4">
      <c r="A3451" t="s">
        <v>66</v>
      </c>
      <c r="B3451" s="1">
        <v>45413</v>
      </c>
      <c r="C3451">
        <v>401140</v>
      </c>
      <c r="D3451" t="s">
        <v>176</v>
      </c>
      <c r="E3451">
        <v>10970</v>
      </c>
      <c r="F3451">
        <v>208</v>
      </c>
      <c r="G3451">
        <v>36</v>
      </c>
      <c r="H3451">
        <f>_xlfn.XLOOKUP(FACT_IMPORTS[[#This Row],[hts_6]],DIM_PRODUCTS[hts_6],DIM_PRODUCTS[hts_4],,,)</f>
        <v>4011</v>
      </c>
      <c r="I3451" t="str" cm="1">
        <f t="array" ref="I3451">_xlfn.XLOOKUP(FACT_IMPORTS[[#This Row],[country_name]],DIM_COUNTRY[[#All],[Column2]],DIM_COUNTRY[[#All],[Column3]],,,)</f>
        <v>China</v>
      </c>
    </row>
    <row r="3452" spans="1:9" x14ac:dyDescent="0.4">
      <c r="A3452" t="s">
        <v>66</v>
      </c>
      <c r="B3452" s="1">
        <v>45413</v>
      </c>
      <c r="C3452">
        <v>401190</v>
      </c>
      <c r="D3452" t="s">
        <v>176</v>
      </c>
      <c r="E3452">
        <v>541470</v>
      </c>
      <c r="F3452">
        <v>17525</v>
      </c>
      <c r="G3452">
        <v>26255</v>
      </c>
      <c r="H3452">
        <f>_xlfn.XLOOKUP(FACT_IMPORTS[[#This Row],[hts_6]],DIM_PRODUCTS[hts_6],DIM_PRODUCTS[hts_4],,,)</f>
        <v>4011</v>
      </c>
      <c r="I3452" t="str" cm="1">
        <f t="array" ref="I3452">_xlfn.XLOOKUP(FACT_IMPORTS[[#This Row],[country_name]],DIM_COUNTRY[[#All],[Column2]],DIM_COUNTRY[[#All],[Column3]],,,)</f>
        <v>China</v>
      </c>
    </row>
    <row r="3453" spans="1:9" x14ac:dyDescent="0.4">
      <c r="A3453" t="s">
        <v>66</v>
      </c>
      <c r="B3453" s="1">
        <v>45413</v>
      </c>
      <c r="C3453">
        <v>700711</v>
      </c>
      <c r="D3453" t="s">
        <v>176</v>
      </c>
      <c r="E3453">
        <v>984877</v>
      </c>
      <c r="F3453">
        <v>73733</v>
      </c>
      <c r="G3453">
        <v>109967</v>
      </c>
      <c r="H3453">
        <f>_xlfn.XLOOKUP(FACT_IMPORTS[[#This Row],[hts_6]],DIM_PRODUCTS[hts_6],DIM_PRODUCTS[hts_4],,,)</f>
        <v>7007</v>
      </c>
      <c r="I3453" t="str" cm="1">
        <f t="array" ref="I3453">_xlfn.XLOOKUP(FACT_IMPORTS[[#This Row],[country_name]],DIM_COUNTRY[[#All],[Column2]],DIM_COUNTRY[[#All],[Column3]],,,)</f>
        <v>China</v>
      </c>
    </row>
    <row r="3454" spans="1:9" x14ac:dyDescent="0.4">
      <c r="A3454" t="s">
        <v>66</v>
      </c>
      <c r="B3454" s="1">
        <v>45413</v>
      </c>
      <c r="C3454">
        <v>700721</v>
      </c>
      <c r="D3454" t="s">
        <v>176</v>
      </c>
      <c r="E3454">
        <v>131958</v>
      </c>
      <c r="F3454">
        <v>1703</v>
      </c>
      <c r="G3454">
        <v>28082</v>
      </c>
      <c r="H3454">
        <f>_xlfn.XLOOKUP(FACT_IMPORTS[[#This Row],[hts_6]],DIM_PRODUCTS[hts_6],DIM_PRODUCTS[hts_4],,,)</f>
        <v>7007</v>
      </c>
      <c r="I3454" t="str" cm="1">
        <f t="array" ref="I3454">_xlfn.XLOOKUP(FACT_IMPORTS[[#This Row],[country_name]],DIM_COUNTRY[[#All],[Column2]],DIM_COUNTRY[[#All],[Column3]],,,)</f>
        <v>China</v>
      </c>
    </row>
    <row r="3455" spans="1:9" x14ac:dyDescent="0.4">
      <c r="A3455" t="s">
        <v>66</v>
      </c>
      <c r="B3455" s="1">
        <v>45413</v>
      </c>
      <c r="C3455">
        <v>700910</v>
      </c>
      <c r="D3455" t="s">
        <v>176</v>
      </c>
      <c r="E3455">
        <v>350741</v>
      </c>
      <c r="F3455">
        <v>326720</v>
      </c>
      <c r="G3455">
        <v>32728</v>
      </c>
      <c r="H3455">
        <f>_xlfn.XLOOKUP(FACT_IMPORTS[[#This Row],[hts_6]],DIM_PRODUCTS[hts_6],DIM_PRODUCTS[hts_4],,,)</f>
        <v>7009</v>
      </c>
      <c r="I3455" t="str" cm="1">
        <f t="array" ref="I3455">_xlfn.XLOOKUP(FACT_IMPORTS[[#This Row],[country_name]],DIM_COUNTRY[[#All],[Column2]],DIM_COUNTRY[[#All],[Column3]],,,)</f>
        <v>China</v>
      </c>
    </row>
    <row r="3456" spans="1:9" x14ac:dyDescent="0.4">
      <c r="A3456" t="s">
        <v>66</v>
      </c>
      <c r="B3456" s="1">
        <v>45413</v>
      </c>
      <c r="C3456">
        <v>732010</v>
      </c>
      <c r="D3456" t="s">
        <v>176</v>
      </c>
      <c r="E3456">
        <v>0</v>
      </c>
      <c r="F3456">
        <v>0</v>
      </c>
      <c r="G3456">
        <v>0</v>
      </c>
      <c r="H3456">
        <f>_xlfn.XLOOKUP(FACT_IMPORTS[[#This Row],[hts_6]],DIM_PRODUCTS[hts_6],DIM_PRODUCTS[hts_4],,,)</f>
        <v>7320</v>
      </c>
      <c r="I3456" t="str" cm="1">
        <f t="array" ref="I3456">_xlfn.XLOOKUP(FACT_IMPORTS[[#This Row],[country_name]],DIM_COUNTRY[[#All],[Column2]],DIM_COUNTRY[[#All],[Column3]],,,)</f>
        <v>China</v>
      </c>
    </row>
    <row r="3457" spans="1:9" x14ac:dyDescent="0.4">
      <c r="A3457" t="s">
        <v>66</v>
      </c>
      <c r="B3457" s="1">
        <v>45413</v>
      </c>
      <c r="C3457">
        <v>830230</v>
      </c>
      <c r="D3457" t="s">
        <v>176</v>
      </c>
      <c r="E3457">
        <v>4540634</v>
      </c>
      <c r="F3457">
        <v>1129944</v>
      </c>
      <c r="G3457">
        <v>203699</v>
      </c>
      <c r="H3457">
        <f>_xlfn.XLOOKUP(FACT_IMPORTS[[#This Row],[hts_6]],DIM_PRODUCTS[hts_6],DIM_PRODUCTS[hts_4],,,)</f>
        <v>8302</v>
      </c>
      <c r="I3457" t="str" cm="1">
        <f t="array" ref="I3457">_xlfn.XLOOKUP(FACT_IMPORTS[[#This Row],[country_name]],DIM_COUNTRY[[#All],[Column2]],DIM_COUNTRY[[#All],[Column3]],,,)</f>
        <v>China</v>
      </c>
    </row>
    <row r="3458" spans="1:9" x14ac:dyDescent="0.4">
      <c r="A3458" t="s">
        <v>66</v>
      </c>
      <c r="B3458" s="1">
        <v>45413</v>
      </c>
      <c r="C3458">
        <v>840733</v>
      </c>
      <c r="D3458" t="s">
        <v>176</v>
      </c>
      <c r="E3458">
        <v>0</v>
      </c>
      <c r="F3458">
        <v>0</v>
      </c>
      <c r="G3458">
        <v>0</v>
      </c>
      <c r="H3458">
        <f>_xlfn.XLOOKUP(FACT_IMPORTS[[#This Row],[hts_6]],DIM_PRODUCTS[hts_6],DIM_PRODUCTS[hts_4],,,)</f>
        <v>8407</v>
      </c>
      <c r="I3458" t="str" cm="1">
        <f t="array" ref="I3458">_xlfn.XLOOKUP(FACT_IMPORTS[[#This Row],[country_name]],DIM_COUNTRY[[#All],[Column2]],DIM_COUNTRY[[#All],[Column3]],,,)</f>
        <v>China</v>
      </c>
    </row>
    <row r="3459" spans="1:9" x14ac:dyDescent="0.4">
      <c r="A3459" t="s">
        <v>66</v>
      </c>
      <c r="B3459" s="1">
        <v>45413</v>
      </c>
      <c r="C3459">
        <v>840734</v>
      </c>
      <c r="D3459" t="s">
        <v>176</v>
      </c>
      <c r="E3459">
        <v>793203</v>
      </c>
      <c r="F3459">
        <v>576</v>
      </c>
      <c r="G3459">
        <v>1800</v>
      </c>
      <c r="H3459">
        <f>_xlfn.XLOOKUP(FACT_IMPORTS[[#This Row],[hts_6]],DIM_PRODUCTS[hts_6],DIM_PRODUCTS[hts_4],,,)</f>
        <v>8407</v>
      </c>
      <c r="I3459" t="str" cm="1">
        <f t="array" ref="I3459">_xlfn.XLOOKUP(FACT_IMPORTS[[#This Row],[country_name]],DIM_COUNTRY[[#All],[Column2]],DIM_COUNTRY[[#All],[Column3]],,,)</f>
        <v>China</v>
      </c>
    </row>
    <row r="3460" spans="1:9" x14ac:dyDescent="0.4">
      <c r="A3460" t="s">
        <v>66</v>
      </c>
      <c r="B3460" s="1">
        <v>45413</v>
      </c>
      <c r="C3460">
        <v>840790</v>
      </c>
      <c r="D3460" t="s">
        <v>176</v>
      </c>
      <c r="E3460">
        <v>2859</v>
      </c>
      <c r="F3460">
        <v>40</v>
      </c>
      <c r="G3460">
        <v>668</v>
      </c>
      <c r="H3460">
        <f>_xlfn.XLOOKUP(FACT_IMPORTS[[#This Row],[hts_6]],DIM_PRODUCTS[hts_6],DIM_PRODUCTS[hts_4],,,)</f>
        <v>8407</v>
      </c>
      <c r="I3460" t="str" cm="1">
        <f t="array" ref="I3460">_xlfn.XLOOKUP(FACT_IMPORTS[[#This Row],[country_name]],DIM_COUNTRY[[#All],[Column2]],DIM_COUNTRY[[#All],[Column3]],,,)</f>
        <v>China</v>
      </c>
    </row>
    <row r="3461" spans="1:9" x14ac:dyDescent="0.4">
      <c r="A3461" t="s">
        <v>66</v>
      </c>
      <c r="B3461" s="1">
        <v>45413</v>
      </c>
      <c r="C3461">
        <v>840820</v>
      </c>
      <c r="D3461" t="s">
        <v>176</v>
      </c>
      <c r="E3461">
        <v>0</v>
      </c>
      <c r="F3461">
        <v>0</v>
      </c>
      <c r="G3461">
        <v>0</v>
      </c>
      <c r="H3461">
        <f>_xlfn.XLOOKUP(FACT_IMPORTS[[#This Row],[hts_6]],DIM_PRODUCTS[hts_6],DIM_PRODUCTS[hts_4],,,)</f>
        <v>8408</v>
      </c>
      <c r="I3461" t="str" cm="1">
        <f t="array" ref="I3461">_xlfn.XLOOKUP(FACT_IMPORTS[[#This Row],[country_name]],DIM_COUNTRY[[#All],[Column2]],DIM_COUNTRY[[#All],[Column3]],,,)</f>
        <v>China</v>
      </c>
    </row>
    <row r="3462" spans="1:9" x14ac:dyDescent="0.4">
      <c r="A3462" t="s">
        <v>66</v>
      </c>
      <c r="B3462" s="1">
        <v>45413</v>
      </c>
      <c r="C3462">
        <v>840890</v>
      </c>
      <c r="D3462" t="s">
        <v>176</v>
      </c>
      <c r="E3462">
        <v>0</v>
      </c>
      <c r="F3462">
        <v>0</v>
      </c>
      <c r="G3462">
        <v>0</v>
      </c>
      <c r="H3462">
        <f>_xlfn.XLOOKUP(FACT_IMPORTS[[#This Row],[hts_6]],DIM_PRODUCTS[hts_6],DIM_PRODUCTS[hts_4],,,)</f>
        <v>8408</v>
      </c>
      <c r="I3462" t="str" cm="1">
        <f t="array" ref="I3462">_xlfn.XLOOKUP(FACT_IMPORTS[[#This Row],[country_name]],DIM_COUNTRY[[#All],[Column2]],DIM_COUNTRY[[#All],[Column3]],,,)</f>
        <v>China</v>
      </c>
    </row>
    <row r="3463" spans="1:9" x14ac:dyDescent="0.4">
      <c r="A3463" t="s">
        <v>66</v>
      </c>
      <c r="B3463" s="1">
        <v>45413</v>
      </c>
      <c r="C3463">
        <v>840991</v>
      </c>
      <c r="D3463" t="s">
        <v>176</v>
      </c>
      <c r="E3463">
        <v>8089504</v>
      </c>
      <c r="F3463">
        <v>1662271</v>
      </c>
      <c r="G3463">
        <v>575322</v>
      </c>
      <c r="H3463">
        <f>_xlfn.XLOOKUP(FACT_IMPORTS[[#This Row],[hts_6]],DIM_PRODUCTS[hts_6],DIM_PRODUCTS[hts_4],,,)</f>
        <v>8409</v>
      </c>
      <c r="I3463" t="str" cm="1">
        <f t="array" ref="I3463">_xlfn.XLOOKUP(FACT_IMPORTS[[#This Row],[country_name]],DIM_COUNTRY[[#All],[Column2]],DIM_COUNTRY[[#All],[Column3]],,,)</f>
        <v>China</v>
      </c>
    </row>
    <row r="3464" spans="1:9" x14ac:dyDescent="0.4">
      <c r="A3464" t="s">
        <v>66</v>
      </c>
      <c r="B3464" s="1">
        <v>45413</v>
      </c>
      <c r="C3464">
        <v>840999</v>
      </c>
      <c r="D3464" t="s">
        <v>176</v>
      </c>
      <c r="E3464">
        <v>2960277</v>
      </c>
      <c r="F3464">
        <v>426865</v>
      </c>
      <c r="G3464">
        <v>137584</v>
      </c>
      <c r="H3464">
        <f>_xlfn.XLOOKUP(FACT_IMPORTS[[#This Row],[hts_6]],DIM_PRODUCTS[hts_6],DIM_PRODUCTS[hts_4],,,)</f>
        <v>8409</v>
      </c>
      <c r="I3464" t="str" cm="1">
        <f t="array" ref="I3464">_xlfn.XLOOKUP(FACT_IMPORTS[[#This Row],[country_name]],DIM_COUNTRY[[#All],[Column2]],DIM_COUNTRY[[#All],[Column3]],,,)</f>
        <v>China</v>
      </c>
    </row>
    <row r="3465" spans="1:9" x14ac:dyDescent="0.4">
      <c r="A3465" t="s">
        <v>66</v>
      </c>
      <c r="B3465" s="1">
        <v>45413</v>
      </c>
      <c r="C3465">
        <v>841330</v>
      </c>
      <c r="D3465" t="s">
        <v>176</v>
      </c>
      <c r="E3465">
        <v>776755</v>
      </c>
      <c r="F3465">
        <v>24271</v>
      </c>
      <c r="G3465">
        <v>19879</v>
      </c>
      <c r="H3465">
        <f>_xlfn.XLOOKUP(FACT_IMPORTS[[#This Row],[hts_6]],DIM_PRODUCTS[hts_6],DIM_PRODUCTS[hts_4],,,)</f>
        <v>8413</v>
      </c>
      <c r="I3465" t="str" cm="1">
        <f t="array" ref="I3465">_xlfn.XLOOKUP(FACT_IMPORTS[[#This Row],[country_name]],DIM_COUNTRY[[#All],[Column2]],DIM_COUNTRY[[#All],[Column3]],,,)</f>
        <v>China</v>
      </c>
    </row>
    <row r="3466" spans="1:9" x14ac:dyDescent="0.4">
      <c r="A3466" t="s">
        <v>66</v>
      </c>
      <c r="B3466" s="1">
        <v>45413</v>
      </c>
      <c r="C3466">
        <v>841520</v>
      </c>
      <c r="D3466" t="s">
        <v>176</v>
      </c>
      <c r="E3466">
        <v>2413</v>
      </c>
      <c r="F3466">
        <v>1</v>
      </c>
      <c r="G3466">
        <v>4</v>
      </c>
      <c r="H3466">
        <f>_xlfn.XLOOKUP(FACT_IMPORTS[[#This Row],[hts_6]],DIM_PRODUCTS[hts_6],DIM_PRODUCTS[hts_4],,,)</f>
        <v>8415</v>
      </c>
      <c r="I3466" t="str" cm="1">
        <f t="array" ref="I3466">_xlfn.XLOOKUP(FACT_IMPORTS[[#This Row],[country_name]],DIM_COUNTRY[[#All],[Column2]],DIM_COUNTRY[[#All],[Column3]],,,)</f>
        <v>China</v>
      </c>
    </row>
    <row r="3467" spans="1:9" x14ac:dyDescent="0.4">
      <c r="A3467" t="s">
        <v>66</v>
      </c>
      <c r="B3467" s="1">
        <v>45413</v>
      </c>
      <c r="C3467">
        <v>842132</v>
      </c>
      <c r="D3467" t="s">
        <v>176</v>
      </c>
      <c r="E3467">
        <v>47542</v>
      </c>
      <c r="F3467">
        <v>71</v>
      </c>
      <c r="G3467">
        <v>2105</v>
      </c>
      <c r="H3467">
        <f>_xlfn.XLOOKUP(FACT_IMPORTS[[#This Row],[hts_6]],DIM_PRODUCTS[hts_6],DIM_PRODUCTS[hts_4],,,)</f>
        <v>8421</v>
      </c>
      <c r="I3467" t="str" cm="1">
        <f t="array" ref="I3467">_xlfn.XLOOKUP(FACT_IMPORTS[[#This Row],[country_name]],DIM_COUNTRY[[#All],[Column2]],DIM_COUNTRY[[#All],[Column3]],,,)</f>
        <v>China</v>
      </c>
    </row>
    <row r="3468" spans="1:9" x14ac:dyDescent="0.4">
      <c r="A3468" t="s">
        <v>66</v>
      </c>
      <c r="B3468" s="1">
        <v>45413</v>
      </c>
      <c r="C3468">
        <v>848210</v>
      </c>
      <c r="D3468" t="s">
        <v>176</v>
      </c>
      <c r="E3468">
        <v>614778</v>
      </c>
      <c r="F3468">
        <v>889848</v>
      </c>
      <c r="G3468">
        <v>30059</v>
      </c>
      <c r="H3468">
        <f>_xlfn.XLOOKUP(FACT_IMPORTS[[#This Row],[hts_6]],DIM_PRODUCTS[hts_6],DIM_PRODUCTS[hts_4],,,)</f>
        <v>8482</v>
      </c>
      <c r="I3468" t="str" cm="1">
        <f t="array" ref="I3468">_xlfn.XLOOKUP(FACT_IMPORTS[[#This Row],[country_name]],DIM_COUNTRY[[#All],[Column2]],DIM_COUNTRY[[#All],[Column3]],,,)</f>
        <v>China</v>
      </c>
    </row>
    <row r="3469" spans="1:9" x14ac:dyDescent="0.4">
      <c r="A3469" t="s">
        <v>66</v>
      </c>
      <c r="B3469" s="1">
        <v>45413</v>
      </c>
      <c r="C3469">
        <v>848220</v>
      </c>
      <c r="D3469" t="s">
        <v>176</v>
      </c>
      <c r="E3469">
        <v>18836</v>
      </c>
      <c r="F3469">
        <v>2958</v>
      </c>
      <c r="G3469">
        <v>669</v>
      </c>
      <c r="H3469">
        <f>_xlfn.XLOOKUP(FACT_IMPORTS[[#This Row],[hts_6]],DIM_PRODUCTS[hts_6],DIM_PRODUCTS[hts_4],,,)</f>
        <v>8482</v>
      </c>
      <c r="I3469" t="str" cm="1">
        <f t="array" ref="I3469">_xlfn.XLOOKUP(FACT_IMPORTS[[#This Row],[country_name]],DIM_COUNTRY[[#All],[Column2]],DIM_COUNTRY[[#All],[Column3]],,,)</f>
        <v>China</v>
      </c>
    </row>
    <row r="3470" spans="1:9" x14ac:dyDescent="0.4">
      <c r="A3470" t="s">
        <v>66</v>
      </c>
      <c r="B3470" s="1">
        <v>45413</v>
      </c>
      <c r="C3470">
        <v>848310</v>
      </c>
      <c r="D3470" t="s">
        <v>176</v>
      </c>
      <c r="E3470">
        <v>3916123</v>
      </c>
      <c r="F3470">
        <v>138904</v>
      </c>
      <c r="G3470">
        <v>112089</v>
      </c>
      <c r="H3470">
        <f>_xlfn.XLOOKUP(FACT_IMPORTS[[#This Row],[hts_6]],DIM_PRODUCTS[hts_6],DIM_PRODUCTS[hts_4],,,)</f>
        <v>8483</v>
      </c>
      <c r="I3470" t="str" cm="1">
        <f t="array" ref="I3470">_xlfn.XLOOKUP(FACT_IMPORTS[[#This Row],[country_name]],DIM_COUNTRY[[#All],[Column2]],DIM_COUNTRY[[#All],[Column3]],,,)</f>
        <v>China</v>
      </c>
    </row>
    <row r="3471" spans="1:9" x14ac:dyDescent="0.4">
      <c r="A3471" t="s">
        <v>66</v>
      </c>
      <c r="B3471" s="1">
        <v>45413</v>
      </c>
      <c r="C3471">
        <v>850131</v>
      </c>
      <c r="D3471" t="s">
        <v>176</v>
      </c>
      <c r="E3471">
        <v>4382087</v>
      </c>
      <c r="F3471">
        <v>585435</v>
      </c>
      <c r="G3471">
        <v>20141</v>
      </c>
      <c r="H3471">
        <f>_xlfn.XLOOKUP(FACT_IMPORTS[[#This Row],[hts_6]],DIM_PRODUCTS[hts_6],DIM_PRODUCTS[hts_4],,,)</f>
        <v>8501</v>
      </c>
      <c r="I3471" t="str" cm="1">
        <f t="array" ref="I3471">_xlfn.XLOOKUP(FACT_IMPORTS[[#This Row],[country_name]],DIM_COUNTRY[[#All],[Column2]],DIM_COUNTRY[[#All],[Column3]],,,)</f>
        <v>China</v>
      </c>
    </row>
    <row r="3472" spans="1:9" x14ac:dyDescent="0.4">
      <c r="A3472" t="s">
        <v>66</v>
      </c>
      <c r="B3472" s="1">
        <v>45413</v>
      </c>
      <c r="C3472">
        <v>850132</v>
      </c>
      <c r="D3472" t="s">
        <v>176</v>
      </c>
      <c r="E3472">
        <v>11138</v>
      </c>
      <c r="F3472">
        <v>13</v>
      </c>
      <c r="G3472">
        <v>3126</v>
      </c>
      <c r="H3472">
        <f>_xlfn.XLOOKUP(FACT_IMPORTS[[#This Row],[hts_6]],DIM_PRODUCTS[hts_6],DIM_PRODUCTS[hts_4],,,)</f>
        <v>8501</v>
      </c>
      <c r="I3472" t="str" cm="1">
        <f t="array" ref="I3472">_xlfn.XLOOKUP(FACT_IMPORTS[[#This Row],[country_name]],DIM_COUNTRY[[#All],[Column2]],DIM_COUNTRY[[#All],[Column3]],,,)</f>
        <v>China</v>
      </c>
    </row>
    <row r="3473" spans="1:9" x14ac:dyDescent="0.4">
      <c r="A3473" t="s">
        <v>66</v>
      </c>
      <c r="B3473" s="1">
        <v>45413</v>
      </c>
      <c r="C3473">
        <v>850133</v>
      </c>
      <c r="D3473" t="s">
        <v>176</v>
      </c>
      <c r="E3473">
        <v>102215</v>
      </c>
      <c r="F3473">
        <v>7</v>
      </c>
      <c r="G3473">
        <v>152</v>
      </c>
      <c r="H3473">
        <f>_xlfn.XLOOKUP(FACT_IMPORTS[[#This Row],[hts_6]],DIM_PRODUCTS[hts_6],DIM_PRODUCTS[hts_4],,,)</f>
        <v>8501</v>
      </c>
      <c r="I3473" t="str" cm="1">
        <f t="array" ref="I3473">_xlfn.XLOOKUP(FACT_IMPORTS[[#This Row],[country_name]],DIM_COUNTRY[[#All],[Column2]],DIM_COUNTRY[[#All],[Column3]],,,)</f>
        <v>China</v>
      </c>
    </row>
    <row r="3474" spans="1:9" x14ac:dyDescent="0.4">
      <c r="A3474" t="s">
        <v>66</v>
      </c>
      <c r="B3474" s="1">
        <v>45413</v>
      </c>
      <c r="C3474">
        <v>850152</v>
      </c>
      <c r="D3474" t="s">
        <v>176</v>
      </c>
      <c r="E3474">
        <v>280530</v>
      </c>
      <c r="F3474">
        <v>929</v>
      </c>
      <c r="G3474">
        <v>3844</v>
      </c>
      <c r="H3474">
        <f>_xlfn.XLOOKUP(FACT_IMPORTS[[#This Row],[hts_6]],DIM_PRODUCTS[hts_6],DIM_PRODUCTS[hts_4],,,)</f>
        <v>8501</v>
      </c>
      <c r="I3474" t="str" cm="1">
        <f t="array" ref="I3474">_xlfn.XLOOKUP(FACT_IMPORTS[[#This Row],[country_name]],DIM_COUNTRY[[#All],[Column2]],DIM_COUNTRY[[#All],[Column3]],,,)</f>
        <v>China</v>
      </c>
    </row>
    <row r="3475" spans="1:9" x14ac:dyDescent="0.4">
      <c r="A3475" t="s">
        <v>66</v>
      </c>
      <c r="B3475" s="1">
        <v>45413</v>
      </c>
      <c r="C3475">
        <v>850153</v>
      </c>
      <c r="D3475" t="s">
        <v>176</v>
      </c>
      <c r="E3475">
        <v>22112</v>
      </c>
      <c r="F3475">
        <v>4</v>
      </c>
      <c r="G3475">
        <v>260</v>
      </c>
      <c r="H3475">
        <f>_xlfn.XLOOKUP(FACT_IMPORTS[[#This Row],[hts_6]],DIM_PRODUCTS[hts_6],DIM_PRODUCTS[hts_4],,,)</f>
        <v>8501</v>
      </c>
      <c r="I3475" t="str" cm="1">
        <f t="array" ref="I3475">_xlfn.XLOOKUP(FACT_IMPORTS[[#This Row],[country_name]],DIM_COUNTRY[[#All],[Column2]],DIM_COUNTRY[[#All],[Column3]],,,)</f>
        <v>China</v>
      </c>
    </row>
    <row r="3476" spans="1:9" x14ac:dyDescent="0.4">
      <c r="A3476" t="s">
        <v>66</v>
      </c>
      <c r="B3476" s="1">
        <v>45413</v>
      </c>
      <c r="C3476">
        <v>850161</v>
      </c>
      <c r="D3476" t="s">
        <v>176</v>
      </c>
      <c r="E3476">
        <v>0</v>
      </c>
      <c r="F3476">
        <v>0</v>
      </c>
      <c r="G3476">
        <v>0</v>
      </c>
      <c r="H3476">
        <f>_xlfn.XLOOKUP(FACT_IMPORTS[[#This Row],[hts_6]],DIM_PRODUCTS[hts_6],DIM_PRODUCTS[hts_4],,,)</f>
        <v>8501</v>
      </c>
      <c r="I3476" t="str" cm="1">
        <f t="array" ref="I3476">_xlfn.XLOOKUP(FACT_IMPORTS[[#This Row],[country_name]],DIM_COUNTRY[[#All],[Column2]],DIM_COUNTRY[[#All],[Column3]],,,)</f>
        <v>China</v>
      </c>
    </row>
    <row r="3477" spans="1:9" x14ac:dyDescent="0.4">
      <c r="A3477" t="s">
        <v>66</v>
      </c>
      <c r="B3477" s="1">
        <v>45413</v>
      </c>
      <c r="C3477">
        <v>850440</v>
      </c>
      <c r="D3477" t="s">
        <v>176</v>
      </c>
      <c r="E3477">
        <v>1229573</v>
      </c>
      <c r="F3477">
        <v>87811</v>
      </c>
      <c r="G3477">
        <v>29916</v>
      </c>
      <c r="H3477">
        <f>_xlfn.XLOOKUP(FACT_IMPORTS[[#This Row],[hts_6]],DIM_PRODUCTS[hts_6],DIM_PRODUCTS[hts_4],,,)</f>
        <v>8504</v>
      </c>
      <c r="I3477" t="str" cm="1">
        <f t="array" ref="I3477">_xlfn.XLOOKUP(FACT_IMPORTS[[#This Row],[country_name]],DIM_COUNTRY[[#All],[Column2]],DIM_COUNTRY[[#All],[Column3]],,,)</f>
        <v>China</v>
      </c>
    </row>
    <row r="3478" spans="1:9" x14ac:dyDescent="0.4">
      <c r="A3478" t="s">
        <v>66</v>
      </c>
      <c r="B3478" s="1">
        <v>45413</v>
      </c>
      <c r="C3478">
        <v>850710</v>
      </c>
      <c r="D3478" t="s">
        <v>176</v>
      </c>
      <c r="E3478">
        <v>4955</v>
      </c>
      <c r="F3478">
        <v>371</v>
      </c>
      <c r="G3478">
        <v>400</v>
      </c>
      <c r="H3478">
        <f>_xlfn.XLOOKUP(FACT_IMPORTS[[#This Row],[hts_6]],DIM_PRODUCTS[hts_6],DIM_PRODUCTS[hts_4],,,)</f>
        <v>8507</v>
      </c>
      <c r="I3478" t="str" cm="1">
        <f t="array" ref="I3478">_xlfn.XLOOKUP(FACT_IMPORTS[[#This Row],[country_name]],DIM_COUNTRY[[#All],[Column2]],DIM_COUNTRY[[#All],[Column3]],,,)</f>
        <v>China</v>
      </c>
    </row>
    <row r="3479" spans="1:9" x14ac:dyDescent="0.4">
      <c r="A3479" t="s">
        <v>66</v>
      </c>
      <c r="B3479" s="1">
        <v>45413</v>
      </c>
      <c r="C3479">
        <v>850760</v>
      </c>
      <c r="D3479" t="s">
        <v>176</v>
      </c>
      <c r="E3479">
        <v>1291679</v>
      </c>
      <c r="F3479">
        <v>9909</v>
      </c>
      <c r="G3479">
        <v>31351</v>
      </c>
      <c r="H3479">
        <f>_xlfn.XLOOKUP(FACT_IMPORTS[[#This Row],[hts_6]],DIM_PRODUCTS[hts_6],DIM_PRODUCTS[hts_4],,,)</f>
        <v>8507</v>
      </c>
      <c r="I3479" t="str" cm="1">
        <f t="array" ref="I3479">_xlfn.XLOOKUP(FACT_IMPORTS[[#This Row],[country_name]],DIM_COUNTRY[[#All],[Column2]],DIM_COUNTRY[[#All],[Column3]],,,)</f>
        <v>China</v>
      </c>
    </row>
    <row r="3480" spans="1:9" x14ac:dyDescent="0.4">
      <c r="A3480" t="s">
        <v>66</v>
      </c>
      <c r="B3480" s="1">
        <v>45413</v>
      </c>
      <c r="C3480">
        <v>850790</v>
      </c>
      <c r="D3480" t="s">
        <v>176</v>
      </c>
      <c r="E3480">
        <v>1131202</v>
      </c>
      <c r="F3480">
        <v>214040</v>
      </c>
      <c r="G3480">
        <v>12668</v>
      </c>
      <c r="H3480">
        <f>_xlfn.XLOOKUP(FACT_IMPORTS[[#This Row],[hts_6]],DIM_PRODUCTS[hts_6],DIM_PRODUCTS[hts_4],,,)</f>
        <v>8507</v>
      </c>
      <c r="I3480" t="str" cm="1">
        <f t="array" ref="I3480">_xlfn.XLOOKUP(FACT_IMPORTS[[#This Row],[country_name]],DIM_COUNTRY[[#All],[Column2]],DIM_COUNTRY[[#All],[Column3]],,,)</f>
        <v>China</v>
      </c>
    </row>
    <row r="3481" spans="1:9" x14ac:dyDescent="0.4">
      <c r="A3481" t="s">
        <v>66</v>
      </c>
      <c r="B3481" s="1">
        <v>45413</v>
      </c>
      <c r="C3481">
        <v>851130</v>
      </c>
      <c r="D3481" t="s">
        <v>176</v>
      </c>
      <c r="E3481">
        <v>19260</v>
      </c>
      <c r="F3481">
        <v>1083</v>
      </c>
      <c r="G3481">
        <v>132</v>
      </c>
      <c r="H3481">
        <f>_xlfn.XLOOKUP(FACT_IMPORTS[[#This Row],[hts_6]],DIM_PRODUCTS[hts_6],DIM_PRODUCTS[hts_4],,,)</f>
        <v>8511</v>
      </c>
      <c r="I3481" t="str" cm="1">
        <f t="array" ref="I3481">_xlfn.XLOOKUP(FACT_IMPORTS[[#This Row],[country_name]],DIM_COUNTRY[[#All],[Column2]],DIM_COUNTRY[[#All],[Column3]],,,)</f>
        <v>China</v>
      </c>
    </row>
    <row r="3482" spans="1:9" x14ac:dyDescent="0.4">
      <c r="A3482" t="s">
        <v>66</v>
      </c>
      <c r="B3482" s="1">
        <v>45413</v>
      </c>
      <c r="C3482">
        <v>851140</v>
      </c>
      <c r="D3482" t="s">
        <v>176</v>
      </c>
      <c r="E3482">
        <v>448923</v>
      </c>
      <c r="F3482">
        <v>5769</v>
      </c>
      <c r="G3482">
        <v>5024</v>
      </c>
      <c r="H3482">
        <f>_xlfn.XLOOKUP(FACT_IMPORTS[[#This Row],[hts_6]],DIM_PRODUCTS[hts_6],DIM_PRODUCTS[hts_4],,,)</f>
        <v>8511</v>
      </c>
      <c r="I3482" t="str" cm="1">
        <f t="array" ref="I3482">_xlfn.XLOOKUP(FACT_IMPORTS[[#This Row],[country_name]],DIM_COUNTRY[[#All],[Column2]],DIM_COUNTRY[[#All],[Column3]],,,)</f>
        <v>China</v>
      </c>
    </row>
    <row r="3483" spans="1:9" x14ac:dyDescent="0.4">
      <c r="A3483" t="s">
        <v>66</v>
      </c>
      <c r="B3483" s="1">
        <v>45413</v>
      </c>
      <c r="C3483">
        <v>851150</v>
      </c>
      <c r="D3483" t="s">
        <v>176</v>
      </c>
      <c r="E3483">
        <v>100963</v>
      </c>
      <c r="F3483">
        <v>1029</v>
      </c>
      <c r="G3483">
        <v>743</v>
      </c>
      <c r="H3483">
        <f>_xlfn.XLOOKUP(FACT_IMPORTS[[#This Row],[hts_6]],DIM_PRODUCTS[hts_6],DIM_PRODUCTS[hts_4],,,)</f>
        <v>8511</v>
      </c>
      <c r="I3483" t="str" cm="1">
        <f t="array" ref="I3483">_xlfn.XLOOKUP(FACT_IMPORTS[[#This Row],[country_name]],DIM_COUNTRY[[#All],[Column2]],DIM_COUNTRY[[#All],[Column3]],,,)</f>
        <v>China</v>
      </c>
    </row>
    <row r="3484" spans="1:9" x14ac:dyDescent="0.4">
      <c r="A3484" t="s">
        <v>66</v>
      </c>
      <c r="B3484" s="1">
        <v>45413</v>
      </c>
      <c r="C3484">
        <v>851180</v>
      </c>
      <c r="D3484" t="s">
        <v>176</v>
      </c>
      <c r="E3484">
        <v>0</v>
      </c>
      <c r="F3484">
        <v>0</v>
      </c>
      <c r="G3484">
        <v>0</v>
      </c>
      <c r="H3484">
        <f>_xlfn.XLOOKUP(FACT_IMPORTS[[#This Row],[hts_6]],DIM_PRODUCTS[hts_6],DIM_PRODUCTS[hts_4],,,)</f>
        <v>8511</v>
      </c>
      <c r="I3484" t="str" cm="1">
        <f t="array" ref="I3484">_xlfn.XLOOKUP(FACT_IMPORTS[[#This Row],[country_name]],DIM_COUNTRY[[#All],[Column2]],DIM_COUNTRY[[#All],[Column3]],,,)</f>
        <v>China</v>
      </c>
    </row>
    <row r="3485" spans="1:9" x14ac:dyDescent="0.4">
      <c r="A3485" t="s">
        <v>66</v>
      </c>
      <c r="B3485" s="1">
        <v>45413</v>
      </c>
      <c r="C3485">
        <v>851190</v>
      </c>
      <c r="D3485" t="s">
        <v>176</v>
      </c>
      <c r="E3485">
        <v>198619</v>
      </c>
      <c r="F3485">
        <v>21905</v>
      </c>
      <c r="G3485">
        <v>6053</v>
      </c>
      <c r="H3485">
        <f>_xlfn.XLOOKUP(FACT_IMPORTS[[#This Row],[hts_6]],DIM_PRODUCTS[hts_6],DIM_PRODUCTS[hts_4],,,)</f>
        <v>8511</v>
      </c>
      <c r="I3485" t="str" cm="1">
        <f t="array" ref="I3485">_xlfn.XLOOKUP(FACT_IMPORTS[[#This Row],[country_name]],DIM_COUNTRY[[#All],[Column2]],DIM_COUNTRY[[#All],[Column3]],,,)</f>
        <v>China</v>
      </c>
    </row>
    <row r="3486" spans="1:9" x14ac:dyDescent="0.4">
      <c r="A3486" t="s">
        <v>66</v>
      </c>
      <c r="B3486" s="1">
        <v>45413</v>
      </c>
      <c r="C3486">
        <v>851220</v>
      </c>
      <c r="D3486" t="s">
        <v>176</v>
      </c>
      <c r="E3486">
        <v>3398680</v>
      </c>
      <c r="F3486">
        <v>596788</v>
      </c>
      <c r="G3486">
        <v>118708</v>
      </c>
      <c r="H3486">
        <f>_xlfn.XLOOKUP(FACT_IMPORTS[[#This Row],[hts_6]],DIM_PRODUCTS[hts_6],DIM_PRODUCTS[hts_4],,,)</f>
        <v>8512</v>
      </c>
      <c r="I3486" t="str" cm="1">
        <f t="array" ref="I3486">_xlfn.XLOOKUP(FACT_IMPORTS[[#This Row],[country_name]],DIM_COUNTRY[[#All],[Column2]],DIM_COUNTRY[[#All],[Column3]],,,)</f>
        <v>China</v>
      </c>
    </row>
    <row r="3487" spans="1:9" x14ac:dyDescent="0.4">
      <c r="A3487" t="s">
        <v>66</v>
      </c>
      <c r="B3487" s="1">
        <v>45413</v>
      </c>
      <c r="C3487">
        <v>851230</v>
      </c>
      <c r="D3487" t="s">
        <v>176</v>
      </c>
      <c r="E3487">
        <v>42473</v>
      </c>
      <c r="F3487">
        <v>17600</v>
      </c>
      <c r="G3487">
        <v>48</v>
      </c>
      <c r="H3487">
        <f>_xlfn.XLOOKUP(FACT_IMPORTS[[#This Row],[hts_6]],DIM_PRODUCTS[hts_6],DIM_PRODUCTS[hts_4],,,)</f>
        <v>8512</v>
      </c>
      <c r="I3487" t="str" cm="1">
        <f t="array" ref="I3487">_xlfn.XLOOKUP(FACT_IMPORTS[[#This Row],[country_name]],DIM_COUNTRY[[#All],[Column2]],DIM_COUNTRY[[#All],[Column3]],,,)</f>
        <v>China</v>
      </c>
    </row>
    <row r="3488" spans="1:9" x14ac:dyDescent="0.4">
      <c r="A3488" t="s">
        <v>66</v>
      </c>
      <c r="B3488" s="1">
        <v>45413</v>
      </c>
      <c r="C3488">
        <v>851240</v>
      </c>
      <c r="D3488" t="s">
        <v>176</v>
      </c>
      <c r="E3488">
        <v>0</v>
      </c>
      <c r="F3488">
        <v>0</v>
      </c>
      <c r="G3488">
        <v>0</v>
      </c>
      <c r="H3488">
        <f>_xlfn.XLOOKUP(FACT_IMPORTS[[#This Row],[hts_6]],DIM_PRODUCTS[hts_6],DIM_PRODUCTS[hts_4],,,)</f>
        <v>8512</v>
      </c>
      <c r="I3488" t="str" cm="1">
        <f t="array" ref="I3488">_xlfn.XLOOKUP(FACT_IMPORTS[[#This Row],[country_name]],DIM_COUNTRY[[#All],[Column2]],DIM_COUNTRY[[#All],[Column3]],,,)</f>
        <v>China</v>
      </c>
    </row>
    <row r="3489" spans="1:9" x14ac:dyDescent="0.4">
      <c r="A3489" t="s">
        <v>66</v>
      </c>
      <c r="B3489" s="1">
        <v>45413</v>
      </c>
      <c r="C3489">
        <v>851290</v>
      </c>
      <c r="D3489" t="s">
        <v>176</v>
      </c>
      <c r="E3489">
        <v>282236</v>
      </c>
      <c r="F3489">
        <v>14525</v>
      </c>
      <c r="G3489">
        <v>21581</v>
      </c>
      <c r="H3489">
        <f>_xlfn.XLOOKUP(FACT_IMPORTS[[#This Row],[hts_6]],DIM_PRODUCTS[hts_6],DIM_PRODUCTS[hts_4],,,)</f>
        <v>8512</v>
      </c>
      <c r="I3489" t="str" cm="1">
        <f t="array" ref="I3489">_xlfn.XLOOKUP(FACT_IMPORTS[[#This Row],[country_name]],DIM_COUNTRY[[#All],[Column2]],DIM_COUNTRY[[#All],[Column3]],,,)</f>
        <v>China</v>
      </c>
    </row>
    <row r="3490" spans="1:9" x14ac:dyDescent="0.4">
      <c r="A3490" t="s">
        <v>66</v>
      </c>
      <c r="B3490" s="1">
        <v>45413</v>
      </c>
      <c r="C3490">
        <v>854231</v>
      </c>
      <c r="D3490" t="s">
        <v>176</v>
      </c>
      <c r="E3490">
        <v>1080795</v>
      </c>
      <c r="F3490">
        <v>262021</v>
      </c>
      <c r="G3490">
        <v>99777</v>
      </c>
      <c r="H3490">
        <f>_xlfn.XLOOKUP(FACT_IMPORTS[[#This Row],[hts_6]],DIM_PRODUCTS[hts_6],DIM_PRODUCTS[hts_4],,,)</f>
        <v>8542</v>
      </c>
      <c r="I3490" t="str" cm="1">
        <f t="array" ref="I3490">_xlfn.XLOOKUP(FACT_IMPORTS[[#This Row],[country_name]],DIM_COUNTRY[[#All],[Column2]],DIM_COUNTRY[[#All],[Column3]],,,)</f>
        <v>China</v>
      </c>
    </row>
    <row r="3491" spans="1:9" x14ac:dyDescent="0.4">
      <c r="A3491" t="s">
        <v>66</v>
      </c>
      <c r="B3491" s="1">
        <v>45413</v>
      </c>
      <c r="C3491">
        <v>854232</v>
      </c>
      <c r="D3491" t="s">
        <v>176</v>
      </c>
      <c r="E3491">
        <v>5000</v>
      </c>
      <c r="F3491">
        <v>1000</v>
      </c>
      <c r="G3491">
        <v>150</v>
      </c>
      <c r="H3491">
        <f>_xlfn.XLOOKUP(FACT_IMPORTS[[#This Row],[hts_6]],DIM_PRODUCTS[hts_6],DIM_PRODUCTS[hts_4],,,)</f>
        <v>8542</v>
      </c>
      <c r="I3491" t="str" cm="1">
        <f t="array" ref="I3491">_xlfn.XLOOKUP(FACT_IMPORTS[[#This Row],[country_name]],DIM_COUNTRY[[#All],[Column2]],DIM_COUNTRY[[#All],[Column3]],,,)</f>
        <v>China</v>
      </c>
    </row>
    <row r="3492" spans="1:9" x14ac:dyDescent="0.4">
      <c r="A3492" t="s">
        <v>66</v>
      </c>
      <c r="B3492" s="1">
        <v>45413</v>
      </c>
      <c r="C3492">
        <v>854233</v>
      </c>
      <c r="D3492" t="s">
        <v>176</v>
      </c>
      <c r="E3492">
        <v>0</v>
      </c>
      <c r="F3492">
        <v>0</v>
      </c>
      <c r="G3492">
        <v>0</v>
      </c>
      <c r="H3492">
        <f>_xlfn.XLOOKUP(FACT_IMPORTS[[#This Row],[hts_6]],DIM_PRODUCTS[hts_6],DIM_PRODUCTS[hts_4],,,)</f>
        <v>8542</v>
      </c>
      <c r="I3492" t="str" cm="1">
        <f t="array" ref="I3492">_xlfn.XLOOKUP(FACT_IMPORTS[[#This Row],[country_name]],DIM_COUNTRY[[#All],[Column2]],DIM_COUNTRY[[#All],[Column3]],,,)</f>
        <v>China</v>
      </c>
    </row>
    <row r="3493" spans="1:9" x14ac:dyDescent="0.4">
      <c r="A3493" t="s">
        <v>66</v>
      </c>
      <c r="B3493" s="1">
        <v>45413</v>
      </c>
      <c r="C3493">
        <v>854239</v>
      </c>
      <c r="D3493" t="s">
        <v>176</v>
      </c>
      <c r="E3493">
        <v>803665</v>
      </c>
      <c r="F3493">
        <v>907104</v>
      </c>
      <c r="G3493">
        <v>79920</v>
      </c>
      <c r="H3493">
        <f>_xlfn.XLOOKUP(FACT_IMPORTS[[#This Row],[hts_6]],DIM_PRODUCTS[hts_6],DIM_PRODUCTS[hts_4],,,)</f>
        <v>8542</v>
      </c>
      <c r="I3493" t="str" cm="1">
        <f t="array" ref="I3493">_xlfn.XLOOKUP(FACT_IMPORTS[[#This Row],[country_name]],DIM_COUNTRY[[#All],[Column2]],DIM_COUNTRY[[#All],[Column3]],,,)</f>
        <v>China</v>
      </c>
    </row>
    <row r="3494" spans="1:9" x14ac:dyDescent="0.4">
      <c r="A3494" t="s">
        <v>66</v>
      </c>
      <c r="B3494" s="1">
        <v>45413</v>
      </c>
      <c r="C3494">
        <v>854290</v>
      </c>
      <c r="D3494" t="s">
        <v>176</v>
      </c>
      <c r="E3494">
        <v>2170</v>
      </c>
      <c r="F3494">
        <v>3710</v>
      </c>
      <c r="G3494">
        <v>34</v>
      </c>
      <c r="H3494">
        <f>_xlfn.XLOOKUP(FACT_IMPORTS[[#This Row],[hts_6]],DIM_PRODUCTS[hts_6],DIM_PRODUCTS[hts_4],,,)</f>
        <v>8542</v>
      </c>
      <c r="I3494" t="str" cm="1">
        <f t="array" ref="I3494">_xlfn.XLOOKUP(FACT_IMPORTS[[#This Row],[country_name]],DIM_COUNTRY[[#All],[Column2]],DIM_COUNTRY[[#All],[Column3]],,,)</f>
        <v>China</v>
      </c>
    </row>
    <row r="3495" spans="1:9" x14ac:dyDescent="0.4">
      <c r="A3495" t="s">
        <v>66</v>
      </c>
      <c r="B3495" s="1">
        <v>45413</v>
      </c>
      <c r="C3495">
        <v>854430</v>
      </c>
      <c r="D3495" t="s">
        <v>176</v>
      </c>
      <c r="E3495">
        <v>1145682</v>
      </c>
      <c r="F3495">
        <v>102602</v>
      </c>
      <c r="G3495">
        <v>27060</v>
      </c>
      <c r="H3495">
        <f>_xlfn.XLOOKUP(FACT_IMPORTS[[#This Row],[hts_6]],DIM_PRODUCTS[hts_6],DIM_PRODUCTS[hts_4],,,)</f>
        <v>8544</v>
      </c>
      <c r="I3495" t="str" cm="1">
        <f t="array" ref="I3495">_xlfn.XLOOKUP(FACT_IMPORTS[[#This Row],[country_name]],DIM_COUNTRY[[#All],[Column2]],DIM_COUNTRY[[#All],[Column3]],,,)</f>
        <v>China</v>
      </c>
    </row>
    <row r="3496" spans="1:9" x14ac:dyDescent="0.4">
      <c r="A3496" t="s">
        <v>66</v>
      </c>
      <c r="B3496" s="1">
        <v>45413</v>
      </c>
      <c r="C3496">
        <v>870710</v>
      </c>
      <c r="D3496" t="s">
        <v>176</v>
      </c>
      <c r="E3496">
        <v>0</v>
      </c>
      <c r="F3496">
        <v>0</v>
      </c>
      <c r="G3496">
        <v>0</v>
      </c>
      <c r="H3496">
        <f>_xlfn.XLOOKUP(FACT_IMPORTS[[#This Row],[hts_6]],DIM_PRODUCTS[hts_6],DIM_PRODUCTS[hts_4],,,)</f>
        <v>8707</v>
      </c>
      <c r="I3496" t="str" cm="1">
        <f t="array" ref="I3496">_xlfn.XLOOKUP(FACT_IMPORTS[[#This Row],[country_name]],DIM_COUNTRY[[#All],[Column2]],DIM_COUNTRY[[#All],[Column3]],,,)</f>
        <v>China</v>
      </c>
    </row>
    <row r="3497" spans="1:9" x14ac:dyDescent="0.4">
      <c r="A3497" t="s">
        <v>66</v>
      </c>
      <c r="B3497" s="1">
        <v>45413</v>
      </c>
      <c r="C3497">
        <v>870810</v>
      </c>
      <c r="D3497" t="s">
        <v>176</v>
      </c>
      <c r="E3497">
        <v>1199818</v>
      </c>
      <c r="F3497">
        <v>92494</v>
      </c>
      <c r="G3497">
        <v>137376</v>
      </c>
      <c r="H3497">
        <f>_xlfn.XLOOKUP(FACT_IMPORTS[[#This Row],[hts_6]],DIM_PRODUCTS[hts_6],DIM_PRODUCTS[hts_4],,,)</f>
        <v>8708</v>
      </c>
      <c r="I3497" t="str" cm="1">
        <f t="array" ref="I3497">_xlfn.XLOOKUP(FACT_IMPORTS[[#This Row],[country_name]],DIM_COUNTRY[[#All],[Column2]],DIM_COUNTRY[[#All],[Column3]],,,)</f>
        <v>China</v>
      </c>
    </row>
    <row r="3498" spans="1:9" x14ac:dyDescent="0.4">
      <c r="A3498" t="s">
        <v>66</v>
      </c>
      <c r="B3498" s="1">
        <v>45413</v>
      </c>
      <c r="C3498">
        <v>870821</v>
      </c>
      <c r="D3498" t="s">
        <v>176</v>
      </c>
      <c r="E3498">
        <v>5681</v>
      </c>
      <c r="F3498">
        <v>292</v>
      </c>
      <c r="G3498">
        <v>2</v>
      </c>
      <c r="H3498">
        <f>_xlfn.XLOOKUP(FACT_IMPORTS[[#This Row],[hts_6]],DIM_PRODUCTS[hts_6],DIM_PRODUCTS[hts_4],,,)</f>
        <v>8708</v>
      </c>
      <c r="I3498" t="str" cm="1">
        <f t="array" ref="I3498">_xlfn.XLOOKUP(FACT_IMPORTS[[#This Row],[country_name]],DIM_COUNTRY[[#All],[Column2]],DIM_COUNTRY[[#All],[Column3]],,,)</f>
        <v>China</v>
      </c>
    </row>
    <row r="3499" spans="1:9" x14ac:dyDescent="0.4">
      <c r="A3499" t="s">
        <v>66</v>
      </c>
      <c r="B3499" s="1">
        <v>45413</v>
      </c>
      <c r="C3499">
        <v>870822</v>
      </c>
      <c r="D3499" t="s">
        <v>176</v>
      </c>
      <c r="E3499">
        <v>1194255</v>
      </c>
      <c r="F3499">
        <v>118822</v>
      </c>
      <c r="G3499">
        <v>89929</v>
      </c>
      <c r="H3499">
        <f>_xlfn.XLOOKUP(FACT_IMPORTS[[#This Row],[hts_6]],DIM_PRODUCTS[hts_6],DIM_PRODUCTS[hts_4],,,)</f>
        <v>8708</v>
      </c>
      <c r="I3499" t="str" cm="1">
        <f t="array" ref="I3499">_xlfn.XLOOKUP(FACT_IMPORTS[[#This Row],[country_name]],DIM_COUNTRY[[#All],[Column2]],DIM_COUNTRY[[#All],[Column3]],,,)</f>
        <v>China</v>
      </c>
    </row>
    <row r="3500" spans="1:9" x14ac:dyDescent="0.4">
      <c r="A3500" t="s">
        <v>66</v>
      </c>
      <c r="B3500" s="1">
        <v>45413</v>
      </c>
      <c r="C3500">
        <v>870829</v>
      </c>
      <c r="D3500" t="s">
        <v>176</v>
      </c>
      <c r="E3500">
        <v>19908037</v>
      </c>
      <c r="F3500">
        <v>4118870</v>
      </c>
      <c r="G3500">
        <v>703068</v>
      </c>
      <c r="H3500">
        <f>_xlfn.XLOOKUP(FACT_IMPORTS[[#This Row],[hts_6]],DIM_PRODUCTS[hts_6],DIM_PRODUCTS[hts_4],,,)</f>
        <v>8708</v>
      </c>
      <c r="I3500" t="str" cm="1">
        <f t="array" ref="I3500">_xlfn.XLOOKUP(FACT_IMPORTS[[#This Row],[country_name]],DIM_COUNTRY[[#All],[Column2]],DIM_COUNTRY[[#All],[Column3]],,,)</f>
        <v>China</v>
      </c>
    </row>
    <row r="3501" spans="1:9" x14ac:dyDescent="0.4">
      <c r="A3501" t="s">
        <v>66</v>
      </c>
      <c r="B3501" s="1">
        <v>45413</v>
      </c>
      <c r="C3501">
        <v>870830</v>
      </c>
      <c r="D3501" t="s">
        <v>176</v>
      </c>
      <c r="E3501">
        <v>6899613</v>
      </c>
      <c r="F3501">
        <v>702330</v>
      </c>
      <c r="G3501">
        <v>151067</v>
      </c>
      <c r="H3501">
        <f>_xlfn.XLOOKUP(FACT_IMPORTS[[#This Row],[hts_6]],DIM_PRODUCTS[hts_6],DIM_PRODUCTS[hts_4],,,)</f>
        <v>8708</v>
      </c>
      <c r="I3501" t="str" cm="1">
        <f t="array" ref="I3501">_xlfn.XLOOKUP(FACT_IMPORTS[[#This Row],[country_name]],DIM_COUNTRY[[#All],[Column2]],DIM_COUNTRY[[#All],[Column3]],,,)</f>
        <v>China</v>
      </c>
    </row>
    <row r="3502" spans="1:9" x14ac:dyDescent="0.4">
      <c r="A3502" t="s">
        <v>66</v>
      </c>
      <c r="B3502" s="1">
        <v>45413</v>
      </c>
      <c r="C3502">
        <v>870840</v>
      </c>
      <c r="D3502" t="s">
        <v>176</v>
      </c>
      <c r="E3502">
        <v>5916608</v>
      </c>
      <c r="F3502">
        <v>944140</v>
      </c>
      <c r="G3502">
        <v>147564</v>
      </c>
      <c r="H3502">
        <f>_xlfn.XLOOKUP(FACT_IMPORTS[[#This Row],[hts_6]],DIM_PRODUCTS[hts_6],DIM_PRODUCTS[hts_4],,,)</f>
        <v>8708</v>
      </c>
      <c r="I3502" t="str" cm="1">
        <f t="array" ref="I3502">_xlfn.XLOOKUP(FACT_IMPORTS[[#This Row],[country_name]],DIM_COUNTRY[[#All],[Column2]],DIM_COUNTRY[[#All],[Column3]],,,)</f>
        <v>China</v>
      </c>
    </row>
    <row r="3503" spans="1:9" x14ac:dyDescent="0.4">
      <c r="A3503" t="s">
        <v>66</v>
      </c>
      <c r="B3503" s="1">
        <v>45413</v>
      </c>
      <c r="C3503">
        <v>870850</v>
      </c>
      <c r="D3503" t="s">
        <v>176</v>
      </c>
      <c r="E3503">
        <v>2638391</v>
      </c>
      <c r="F3503">
        <v>606431</v>
      </c>
      <c r="G3503">
        <v>124001</v>
      </c>
      <c r="H3503">
        <f>_xlfn.XLOOKUP(FACT_IMPORTS[[#This Row],[hts_6]],DIM_PRODUCTS[hts_6],DIM_PRODUCTS[hts_4],,,)</f>
        <v>8708</v>
      </c>
      <c r="I3503" t="str" cm="1">
        <f t="array" ref="I3503">_xlfn.XLOOKUP(FACT_IMPORTS[[#This Row],[country_name]],DIM_COUNTRY[[#All],[Column2]],DIM_COUNTRY[[#All],[Column3]],,,)</f>
        <v>China</v>
      </c>
    </row>
    <row r="3504" spans="1:9" x14ac:dyDescent="0.4">
      <c r="A3504" t="s">
        <v>66</v>
      </c>
      <c r="B3504" s="1">
        <v>45413</v>
      </c>
      <c r="C3504">
        <v>870870</v>
      </c>
      <c r="D3504" t="s">
        <v>176</v>
      </c>
      <c r="E3504">
        <v>41361903</v>
      </c>
      <c r="F3504">
        <v>882872</v>
      </c>
      <c r="G3504">
        <v>1582397</v>
      </c>
      <c r="H3504">
        <f>_xlfn.XLOOKUP(FACT_IMPORTS[[#This Row],[hts_6]],DIM_PRODUCTS[hts_6],DIM_PRODUCTS[hts_4],,,)</f>
        <v>8708</v>
      </c>
      <c r="I3504" t="str" cm="1">
        <f t="array" ref="I3504">_xlfn.XLOOKUP(FACT_IMPORTS[[#This Row],[country_name]],DIM_COUNTRY[[#All],[Column2]],DIM_COUNTRY[[#All],[Column3]],,,)</f>
        <v>China</v>
      </c>
    </row>
    <row r="3505" spans="1:9" x14ac:dyDescent="0.4">
      <c r="A3505" t="s">
        <v>66</v>
      </c>
      <c r="B3505" s="1">
        <v>45413</v>
      </c>
      <c r="C3505">
        <v>870880</v>
      </c>
      <c r="D3505" t="s">
        <v>176</v>
      </c>
      <c r="E3505">
        <v>12972242</v>
      </c>
      <c r="F3505">
        <v>2425882</v>
      </c>
      <c r="G3505">
        <v>284016</v>
      </c>
      <c r="H3505">
        <f>_xlfn.XLOOKUP(FACT_IMPORTS[[#This Row],[hts_6]],DIM_PRODUCTS[hts_6],DIM_PRODUCTS[hts_4],,,)</f>
        <v>8708</v>
      </c>
      <c r="I3505" t="str" cm="1">
        <f t="array" ref="I3505">_xlfn.XLOOKUP(FACT_IMPORTS[[#This Row],[country_name]],DIM_COUNTRY[[#All],[Column2]],DIM_COUNTRY[[#All],[Column3]],,,)</f>
        <v>China</v>
      </c>
    </row>
    <row r="3506" spans="1:9" x14ac:dyDescent="0.4">
      <c r="A3506" t="s">
        <v>66</v>
      </c>
      <c r="B3506" s="1">
        <v>45413</v>
      </c>
      <c r="C3506">
        <v>870891</v>
      </c>
      <c r="D3506" t="s">
        <v>176</v>
      </c>
      <c r="E3506">
        <v>502893</v>
      </c>
      <c r="F3506">
        <v>23997</v>
      </c>
      <c r="G3506">
        <v>13518</v>
      </c>
      <c r="H3506">
        <f>_xlfn.XLOOKUP(FACT_IMPORTS[[#This Row],[hts_6]],DIM_PRODUCTS[hts_6],DIM_PRODUCTS[hts_4],,,)</f>
        <v>8708</v>
      </c>
      <c r="I3506" t="str" cm="1">
        <f t="array" ref="I3506">_xlfn.XLOOKUP(FACT_IMPORTS[[#This Row],[country_name]],DIM_COUNTRY[[#All],[Column2]],DIM_COUNTRY[[#All],[Column3]],,,)</f>
        <v>China</v>
      </c>
    </row>
    <row r="3507" spans="1:9" x14ac:dyDescent="0.4">
      <c r="A3507" t="s">
        <v>66</v>
      </c>
      <c r="B3507" s="1">
        <v>45413</v>
      </c>
      <c r="C3507">
        <v>870892</v>
      </c>
      <c r="D3507" t="s">
        <v>176</v>
      </c>
      <c r="E3507">
        <v>5952132</v>
      </c>
      <c r="F3507">
        <v>874483</v>
      </c>
      <c r="G3507">
        <v>259187</v>
      </c>
      <c r="H3507">
        <f>_xlfn.XLOOKUP(FACT_IMPORTS[[#This Row],[hts_6]],DIM_PRODUCTS[hts_6],DIM_PRODUCTS[hts_4],,,)</f>
        <v>8708</v>
      </c>
      <c r="I3507" t="str" cm="1">
        <f t="array" ref="I3507">_xlfn.XLOOKUP(FACT_IMPORTS[[#This Row],[country_name]],DIM_COUNTRY[[#All],[Column2]],DIM_COUNTRY[[#All],[Column3]],,,)</f>
        <v>China</v>
      </c>
    </row>
    <row r="3508" spans="1:9" x14ac:dyDescent="0.4">
      <c r="A3508" t="s">
        <v>66</v>
      </c>
      <c r="B3508" s="1">
        <v>45413</v>
      </c>
      <c r="C3508">
        <v>870893</v>
      </c>
      <c r="D3508" t="s">
        <v>176</v>
      </c>
      <c r="E3508">
        <v>393988</v>
      </c>
      <c r="F3508">
        <v>68940</v>
      </c>
      <c r="G3508">
        <v>3860</v>
      </c>
      <c r="H3508">
        <f>_xlfn.XLOOKUP(FACT_IMPORTS[[#This Row],[hts_6]],DIM_PRODUCTS[hts_6],DIM_PRODUCTS[hts_4],,,)</f>
        <v>8708</v>
      </c>
      <c r="I3508" t="str" cm="1">
        <f t="array" ref="I3508">_xlfn.XLOOKUP(FACT_IMPORTS[[#This Row],[country_name]],DIM_COUNTRY[[#All],[Column2]],DIM_COUNTRY[[#All],[Column3]],,,)</f>
        <v>China</v>
      </c>
    </row>
    <row r="3509" spans="1:9" x14ac:dyDescent="0.4">
      <c r="A3509" t="s">
        <v>66</v>
      </c>
      <c r="B3509" s="1">
        <v>45413</v>
      </c>
      <c r="C3509">
        <v>870894</v>
      </c>
      <c r="D3509" t="s">
        <v>176</v>
      </c>
      <c r="E3509">
        <v>3512755</v>
      </c>
      <c r="F3509">
        <v>338475</v>
      </c>
      <c r="G3509">
        <v>353065</v>
      </c>
      <c r="H3509">
        <f>_xlfn.XLOOKUP(FACT_IMPORTS[[#This Row],[hts_6]],DIM_PRODUCTS[hts_6],DIM_PRODUCTS[hts_4],,,)</f>
        <v>8708</v>
      </c>
      <c r="I3509" t="str" cm="1">
        <f t="array" ref="I3509">_xlfn.XLOOKUP(FACT_IMPORTS[[#This Row],[country_name]],DIM_COUNTRY[[#All],[Column2]],DIM_COUNTRY[[#All],[Column3]],,,)</f>
        <v>China</v>
      </c>
    </row>
    <row r="3510" spans="1:9" x14ac:dyDescent="0.4">
      <c r="A3510" t="s">
        <v>66</v>
      </c>
      <c r="B3510" s="1">
        <v>45413</v>
      </c>
      <c r="C3510">
        <v>870895</v>
      </c>
      <c r="D3510" t="s">
        <v>176</v>
      </c>
      <c r="E3510">
        <v>414434</v>
      </c>
      <c r="F3510">
        <v>19925</v>
      </c>
      <c r="G3510">
        <v>5055</v>
      </c>
      <c r="H3510">
        <f>_xlfn.XLOOKUP(FACT_IMPORTS[[#This Row],[hts_6]],DIM_PRODUCTS[hts_6],DIM_PRODUCTS[hts_4],,,)</f>
        <v>8708</v>
      </c>
      <c r="I3510" t="str" cm="1">
        <f t="array" ref="I3510">_xlfn.XLOOKUP(FACT_IMPORTS[[#This Row],[country_name]],DIM_COUNTRY[[#All],[Column2]],DIM_COUNTRY[[#All],[Column3]],,,)</f>
        <v>China</v>
      </c>
    </row>
    <row r="3511" spans="1:9" x14ac:dyDescent="0.4">
      <c r="A3511" t="s">
        <v>66</v>
      </c>
      <c r="B3511" s="1">
        <v>45413</v>
      </c>
      <c r="C3511">
        <v>870899</v>
      </c>
      <c r="D3511" t="s">
        <v>176</v>
      </c>
      <c r="E3511">
        <v>9975349</v>
      </c>
      <c r="F3511">
        <v>2113644</v>
      </c>
      <c r="G3511">
        <v>618591</v>
      </c>
      <c r="H3511">
        <f>_xlfn.XLOOKUP(FACT_IMPORTS[[#This Row],[hts_6]],DIM_PRODUCTS[hts_6],DIM_PRODUCTS[hts_4],,,)</f>
        <v>8708</v>
      </c>
      <c r="I3511" t="str" cm="1">
        <f t="array" ref="I3511">_xlfn.XLOOKUP(FACT_IMPORTS[[#This Row],[country_name]],DIM_COUNTRY[[#All],[Column2]],DIM_COUNTRY[[#All],[Column3]],,,)</f>
        <v>China</v>
      </c>
    </row>
    <row r="3512" spans="1:9" x14ac:dyDescent="0.4">
      <c r="A3512" t="s">
        <v>66</v>
      </c>
      <c r="B3512" s="1">
        <v>45413</v>
      </c>
      <c r="C3512">
        <v>940120</v>
      </c>
      <c r="D3512" t="s">
        <v>176</v>
      </c>
      <c r="E3512">
        <v>335454</v>
      </c>
      <c r="F3512">
        <v>569</v>
      </c>
      <c r="G3512">
        <v>8420</v>
      </c>
      <c r="H3512">
        <f>_xlfn.XLOOKUP(FACT_IMPORTS[[#This Row],[hts_6]],DIM_PRODUCTS[hts_6],DIM_PRODUCTS[hts_4],,,)</f>
        <v>9401</v>
      </c>
      <c r="I3512" t="str" cm="1">
        <f t="array" ref="I3512">_xlfn.XLOOKUP(FACT_IMPORTS[[#This Row],[country_name]],DIM_COUNTRY[[#All],[Column2]],DIM_COUNTRY[[#All],[Column3]],,,)</f>
        <v>China</v>
      </c>
    </row>
    <row r="3513" spans="1:9" x14ac:dyDescent="0.4">
      <c r="A3513" t="s">
        <v>66</v>
      </c>
      <c r="B3513" s="1">
        <v>45444</v>
      </c>
      <c r="C3513">
        <v>392630</v>
      </c>
      <c r="D3513" t="s">
        <v>176</v>
      </c>
      <c r="E3513">
        <v>7221163</v>
      </c>
      <c r="F3513">
        <v>329212</v>
      </c>
      <c r="G3513">
        <v>198853</v>
      </c>
      <c r="H3513">
        <f>_xlfn.XLOOKUP(FACT_IMPORTS[[#This Row],[hts_6]],DIM_PRODUCTS[hts_6],DIM_PRODUCTS[hts_4],,,)</f>
        <v>3926</v>
      </c>
      <c r="I3513" t="str" cm="1">
        <f t="array" ref="I3513">_xlfn.XLOOKUP(FACT_IMPORTS[[#This Row],[country_name]],DIM_COUNTRY[[#All],[Column2]],DIM_COUNTRY[[#All],[Column3]],,,)</f>
        <v>China</v>
      </c>
    </row>
    <row r="3514" spans="1:9" x14ac:dyDescent="0.4">
      <c r="A3514" t="s">
        <v>66</v>
      </c>
      <c r="B3514" s="1">
        <v>45444</v>
      </c>
      <c r="C3514">
        <v>401110</v>
      </c>
      <c r="D3514" t="s">
        <v>176</v>
      </c>
      <c r="E3514">
        <v>17793</v>
      </c>
      <c r="F3514">
        <v>148</v>
      </c>
      <c r="G3514">
        <v>489</v>
      </c>
      <c r="H3514">
        <f>_xlfn.XLOOKUP(FACT_IMPORTS[[#This Row],[hts_6]],DIM_PRODUCTS[hts_6],DIM_PRODUCTS[hts_4],,,)</f>
        <v>4011</v>
      </c>
      <c r="I3514" t="str" cm="1">
        <f t="array" ref="I3514">_xlfn.XLOOKUP(FACT_IMPORTS[[#This Row],[country_name]],DIM_COUNTRY[[#All],[Column2]],DIM_COUNTRY[[#All],[Column3]],,,)</f>
        <v>China</v>
      </c>
    </row>
    <row r="3515" spans="1:9" x14ac:dyDescent="0.4">
      <c r="A3515" t="s">
        <v>66</v>
      </c>
      <c r="B3515" s="1">
        <v>45444</v>
      </c>
      <c r="C3515">
        <v>401120</v>
      </c>
      <c r="D3515" t="s">
        <v>176</v>
      </c>
      <c r="E3515">
        <v>348049</v>
      </c>
      <c r="F3515">
        <v>3042</v>
      </c>
      <c r="G3515">
        <v>30127</v>
      </c>
      <c r="H3515">
        <f>_xlfn.XLOOKUP(FACT_IMPORTS[[#This Row],[hts_6]],DIM_PRODUCTS[hts_6],DIM_PRODUCTS[hts_4],,,)</f>
        <v>4011</v>
      </c>
      <c r="I3515" t="str" cm="1">
        <f t="array" ref="I3515">_xlfn.XLOOKUP(FACT_IMPORTS[[#This Row],[country_name]],DIM_COUNTRY[[#All],[Column2]],DIM_COUNTRY[[#All],[Column3]],,,)</f>
        <v>China</v>
      </c>
    </row>
    <row r="3516" spans="1:9" x14ac:dyDescent="0.4">
      <c r="A3516" t="s">
        <v>66</v>
      </c>
      <c r="B3516" s="1">
        <v>45444</v>
      </c>
      <c r="C3516">
        <v>401140</v>
      </c>
      <c r="D3516" t="s">
        <v>176</v>
      </c>
      <c r="E3516">
        <v>31007</v>
      </c>
      <c r="F3516">
        <v>463</v>
      </c>
      <c r="G3516">
        <v>31</v>
      </c>
      <c r="H3516">
        <f>_xlfn.XLOOKUP(FACT_IMPORTS[[#This Row],[hts_6]],DIM_PRODUCTS[hts_6],DIM_PRODUCTS[hts_4],,,)</f>
        <v>4011</v>
      </c>
      <c r="I3516" t="str" cm="1">
        <f t="array" ref="I3516">_xlfn.XLOOKUP(FACT_IMPORTS[[#This Row],[country_name]],DIM_COUNTRY[[#All],[Column2]],DIM_COUNTRY[[#All],[Column3]],,,)</f>
        <v>China</v>
      </c>
    </row>
    <row r="3517" spans="1:9" x14ac:dyDescent="0.4">
      <c r="A3517" t="s">
        <v>66</v>
      </c>
      <c r="B3517" s="1">
        <v>45444</v>
      </c>
      <c r="C3517">
        <v>401190</v>
      </c>
      <c r="D3517" t="s">
        <v>176</v>
      </c>
      <c r="E3517">
        <v>75928</v>
      </c>
      <c r="F3517">
        <v>2591</v>
      </c>
      <c r="G3517">
        <v>10564</v>
      </c>
      <c r="H3517">
        <f>_xlfn.XLOOKUP(FACT_IMPORTS[[#This Row],[hts_6]],DIM_PRODUCTS[hts_6],DIM_PRODUCTS[hts_4],,,)</f>
        <v>4011</v>
      </c>
      <c r="I3517" t="str" cm="1">
        <f t="array" ref="I3517">_xlfn.XLOOKUP(FACT_IMPORTS[[#This Row],[country_name]],DIM_COUNTRY[[#All],[Column2]],DIM_COUNTRY[[#All],[Column3]],,,)</f>
        <v>China</v>
      </c>
    </row>
    <row r="3518" spans="1:9" x14ac:dyDescent="0.4">
      <c r="A3518" t="s">
        <v>66</v>
      </c>
      <c r="B3518" s="1">
        <v>45444</v>
      </c>
      <c r="C3518">
        <v>700711</v>
      </c>
      <c r="D3518" t="s">
        <v>176</v>
      </c>
      <c r="E3518">
        <v>1464162</v>
      </c>
      <c r="F3518">
        <v>118819</v>
      </c>
      <c r="G3518">
        <v>118226</v>
      </c>
      <c r="H3518">
        <f>_xlfn.XLOOKUP(FACT_IMPORTS[[#This Row],[hts_6]],DIM_PRODUCTS[hts_6],DIM_PRODUCTS[hts_4],,,)</f>
        <v>7007</v>
      </c>
      <c r="I3518" t="str" cm="1">
        <f t="array" ref="I3518">_xlfn.XLOOKUP(FACT_IMPORTS[[#This Row],[country_name]],DIM_COUNTRY[[#All],[Column2]],DIM_COUNTRY[[#All],[Column3]],,,)</f>
        <v>China</v>
      </c>
    </row>
    <row r="3519" spans="1:9" x14ac:dyDescent="0.4">
      <c r="A3519" t="s">
        <v>66</v>
      </c>
      <c r="B3519" s="1">
        <v>45444</v>
      </c>
      <c r="C3519">
        <v>700721</v>
      </c>
      <c r="D3519" t="s">
        <v>176</v>
      </c>
      <c r="E3519">
        <v>339562</v>
      </c>
      <c r="F3519">
        <v>7279</v>
      </c>
      <c r="G3519">
        <v>22297</v>
      </c>
      <c r="H3519">
        <f>_xlfn.XLOOKUP(FACT_IMPORTS[[#This Row],[hts_6]],DIM_PRODUCTS[hts_6],DIM_PRODUCTS[hts_4],,,)</f>
        <v>7007</v>
      </c>
      <c r="I3519" t="str" cm="1">
        <f t="array" ref="I3519">_xlfn.XLOOKUP(FACT_IMPORTS[[#This Row],[country_name]],DIM_COUNTRY[[#All],[Column2]],DIM_COUNTRY[[#All],[Column3]],,,)</f>
        <v>China</v>
      </c>
    </row>
    <row r="3520" spans="1:9" x14ac:dyDescent="0.4">
      <c r="A3520" t="s">
        <v>66</v>
      </c>
      <c r="B3520" s="1">
        <v>45444</v>
      </c>
      <c r="C3520">
        <v>700910</v>
      </c>
      <c r="D3520" t="s">
        <v>176</v>
      </c>
      <c r="E3520">
        <v>106818</v>
      </c>
      <c r="F3520">
        <v>90637</v>
      </c>
      <c r="G3520">
        <v>10198</v>
      </c>
      <c r="H3520">
        <f>_xlfn.XLOOKUP(FACT_IMPORTS[[#This Row],[hts_6]],DIM_PRODUCTS[hts_6],DIM_PRODUCTS[hts_4],,,)</f>
        <v>7009</v>
      </c>
      <c r="I3520" t="str" cm="1">
        <f t="array" ref="I3520">_xlfn.XLOOKUP(FACT_IMPORTS[[#This Row],[country_name]],DIM_COUNTRY[[#All],[Column2]],DIM_COUNTRY[[#All],[Column3]],,,)</f>
        <v>China</v>
      </c>
    </row>
    <row r="3521" spans="1:9" x14ac:dyDescent="0.4">
      <c r="A3521" t="s">
        <v>66</v>
      </c>
      <c r="B3521" s="1">
        <v>45444</v>
      </c>
      <c r="C3521">
        <v>732010</v>
      </c>
      <c r="D3521" t="s">
        <v>176</v>
      </c>
      <c r="E3521">
        <v>0</v>
      </c>
      <c r="F3521">
        <v>0</v>
      </c>
      <c r="G3521">
        <v>0</v>
      </c>
      <c r="H3521">
        <f>_xlfn.XLOOKUP(FACT_IMPORTS[[#This Row],[hts_6]],DIM_PRODUCTS[hts_6],DIM_PRODUCTS[hts_4],,,)</f>
        <v>7320</v>
      </c>
      <c r="I3521" t="str" cm="1">
        <f t="array" ref="I3521">_xlfn.XLOOKUP(FACT_IMPORTS[[#This Row],[country_name]],DIM_COUNTRY[[#All],[Column2]],DIM_COUNTRY[[#All],[Column3]],,,)</f>
        <v>China</v>
      </c>
    </row>
    <row r="3522" spans="1:9" x14ac:dyDescent="0.4">
      <c r="A3522" t="s">
        <v>66</v>
      </c>
      <c r="B3522" s="1">
        <v>45444</v>
      </c>
      <c r="C3522">
        <v>830230</v>
      </c>
      <c r="D3522" t="s">
        <v>176</v>
      </c>
      <c r="E3522">
        <v>5161359</v>
      </c>
      <c r="F3522">
        <v>1436507</v>
      </c>
      <c r="G3522">
        <v>297499</v>
      </c>
      <c r="H3522">
        <f>_xlfn.XLOOKUP(FACT_IMPORTS[[#This Row],[hts_6]],DIM_PRODUCTS[hts_6],DIM_PRODUCTS[hts_4],,,)</f>
        <v>8302</v>
      </c>
      <c r="I3522" t="str" cm="1">
        <f t="array" ref="I3522">_xlfn.XLOOKUP(FACT_IMPORTS[[#This Row],[country_name]],DIM_COUNTRY[[#All],[Column2]],DIM_COUNTRY[[#All],[Column3]],,,)</f>
        <v>China</v>
      </c>
    </row>
    <row r="3523" spans="1:9" x14ac:dyDescent="0.4">
      <c r="A3523" t="s">
        <v>66</v>
      </c>
      <c r="B3523" s="1">
        <v>45444</v>
      </c>
      <c r="C3523">
        <v>840733</v>
      </c>
      <c r="D3523" t="s">
        <v>176</v>
      </c>
      <c r="E3523">
        <v>2126</v>
      </c>
      <c r="F3523">
        <v>1</v>
      </c>
      <c r="G3523">
        <v>150</v>
      </c>
      <c r="H3523">
        <f>_xlfn.XLOOKUP(FACT_IMPORTS[[#This Row],[hts_6]],DIM_PRODUCTS[hts_6],DIM_PRODUCTS[hts_4],,,)</f>
        <v>8407</v>
      </c>
      <c r="I3523" t="str" cm="1">
        <f t="array" ref="I3523">_xlfn.XLOOKUP(FACT_IMPORTS[[#This Row],[country_name]],DIM_COUNTRY[[#All],[Column2]],DIM_COUNTRY[[#All],[Column3]],,,)</f>
        <v>China</v>
      </c>
    </row>
    <row r="3524" spans="1:9" x14ac:dyDescent="0.4">
      <c r="A3524" t="s">
        <v>66</v>
      </c>
      <c r="B3524" s="1">
        <v>45444</v>
      </c>
      <c r="C3524">
        <v>840734</v>
      </c>
      <c r="D3524" t="s">
        <v>176</v>
      </c>
      <c r="E3524">
        <v>5943283</v>
      </c>
      <c r="F3524">
        <v>1798</v>
      </c>
      <c r="G3524">
        <v>9338</v>
      </c>
      <c r="H3524">
        <f>_xlfn.XLOOKUP(FACT_IMPORTS[[#This Row],[hts_6]],DIM_PRODUCTS[hts_6],DIM_PRODUCTS[hts_4],,,)</f>
        <v>8407</v>
      </c>
      <c r="I3524" t="str" cm="1">
        <f t="array" ref="I3524">_xlfn.XLOOKUP(FACT_IMPORTS[[#This Row],[country_name]],DIM_COUNTRY[[#All],[Column2]],DIM_COUNTRY[[#All],[Column3]],,,)</f>
        <v>China</v>
      </c>
    </row>
    <row r="3525" spans="1:9" x14ac:dyDescent="0.4">
      <c r="A3525" t="s">
        <v>66</v>
      </c>
      <c r="B3525" s="1">
        <v>45444</v>
      </c>
      <c r="C3525">
        <v>840790</v>
      </c>
      <c r="D3525" t="s">
        <v>176</v>
      </c>
      <c r="E3525">
        <v>2680</v>
      </c>
      <c r="F3525">
        <v>1</v>
      </c>
      <c r="G3525">
        <v>100</v>
      </c>
      <c r="H3525">
        <f>_xlfn.XLOOKUP(FACT_IMPORTS[[#This Row],[hts_6]],DIM_PRODUCTS[hts_6],DIM_PRODUCTS[hts_4],,,)</f>
        <v>8407</v>
      </c>
      <c r="I3525" t="str" cm="1">
        <f t="array" ref="I3525">_xlfn.XLOOKUP(FACT_IMPORTS[[#This Row],[country_name]],DIM_COUNTRY[[#All],[Column2]],DIM_COUNTRY[[#All],[Column3]],,,)</f>
        <v>China</v>
      </c>
    </row>
    <row r="3526" spans="1:9" x14ac:dyDescent="0.4">
      <c r="A3526" t="s">
        <v>66</v>
      </c>
      <c r="B3526" s="1">
        <v>45444</v>
      </c>
      <c r="C3526">
        <v>840820</v>
      </c>
      <c r="D3526" t="s">
        <v>176</v>
      </c>
      <c r="E3526">
        <v>0</v>
      </c>
      <c r="F3526">
        <v>0</v>
      </c>
      <c r="G3526">
        <v>0</v>
      </c>
      <c r="H3526">
        <f>_xlfn.XLOOKUP(FACT_IMPORTS[[#This Row],[hts_6]],DIM_PRODUCTS[hts_6],DIM_PRODUCTS[hts_4],,,)</f>
        <v>8408</v>
      </c>
      <c r="I3526" t="str" cm="1">
        <f t="array" ref="I3526">_xlfn.XLOOKUP(FACT_IMPORTS[[#This Row],[country_name]],DIM_COUNTRY[[#All],[Column2]],DIM_COUNTRY[[#All],[Column3]],,,)</f>
        <v>China</v>
      </c>
    </row>
    <row r="3527" spans="1:9" x14ac:dyDescent="0.4">
      <c r="A3527" t="s">
        <v>66</v>
      </c>
      <c r="B3527" s="1">
        <v>45444</v>
      </c>
      <c r="C3527">
        <v>840890</v>
      </c>
      <c r="D3527" t="s">
        <v>176</v>
      </c>
      <c r="E3527">
        <v>0</v>
      </c>
      <c r="F3527">
        <v>0</v>
      </c>
      <c r="G3527">
        <v>0</v>
      </c>
      <c r="H3527">
        <f>_xlfn.XLOOKUP(FACT_IMPORTS[[#This Row],[hts_6]],DIM_PRODUCTS[hts_6],DIM_PRODUCTS[hts_4],,,)</f>
        <v>8408</v>
      </c>
      <c r="I3527" t="str" cm="1">
        <f t="array" ref="I3527">_xlfn.XLOOKUP(FACT_IMPORTS[[#This Row],[country_name]],DIM_COUNTRY[[#All],[Column2]],DIM_COUNTRY[[#All],[Column3]],,,)</f>
        <v>China</v>
      </c>
    </row>
    <row r="3528" spans="1:9" x14ac:dyDescent="0.4">
      <c r="A3528" t="s">
        <v>66</v>
      </c>
      <c r="B3528" s="1">
        <v>45444</v>
      </c>
      <c r="C3528">
        <v>840991</v>
      </c>
      <c r="D3528" t="s">
        <v>176</v>
      </c>
      <c r="E3528">
        <v>22511798</v>
      </c>
      <c r="F3528">
        <v>2421881</v>
      </c>
      <c r="G3528">
        <v>728664</v>
      </c>
      <c r="H3528">
        <f>_xlfn.XLOOKUP(FACT_IMPORTS[[#This Row],[hts_6]],DIM_PRODUCTS[hts_6],DIM_PRODUCTS[hts_4],,,)</f>
        <v>8409</v>
      </c>
      <c r="I3528" t="str" cm="1">
        <f t="array" ref="I3528">_xlfn.XLOOKUP(FACT_IMPORTS[[#This Row],[country_name]],DIM_COUNTRY[[#All],[Column2]],DIM_COUNTRY[[#All],[Column3]],,,)</f>
        <v>China</v>
      </c>
    </row>
    <row r="3529" spans="1:9" x14ac:dyDescent="0.4">
      <c r="A3529" t="s">
        <v>66</v>
      </c>
      <c r="B3529" s="1">
        <v>45444</v>
      </c>
      <c r="C3529">
        <v>840999</v>
      </c>
      <c r="D3529" t="s">
        <v>176</v>
      </c>
      <c r="E3529">
        <v>5819651</v>
      </c>
      <c r="F3529">
        <v>1121230</v>
      </c>
      <c r="G3529">
        <v>265722</v>
      </c>
      <c r="H3529">
        <f>_xlfn.XLOOKUP(FACT_IMPORTS[[#This Row],[hts_6]],DIM_PRODUCTS[hts_6],DIM_PRODUCTS[hts_4],,,)</f>
        <v>8409</v>
      </c>
      <c r="I3529" t="str" cm="1">
        <f t="array" ref="I3529">_xlfn.XLOOKUP(FACT_IMPORTS[[#This Row],[country_name]],DIM_COUNTRY[[#All],[Column2]],DIM_COUNTRY[[#All],[Column3]],,,)</f>
        <v>China</v>
      </c>
    </row>
    <row r="3530" spans="1:9" x14ac:dyDescent="0.4">
      <c r="A3530" t="s">
        <v>66</v>
      </c>
      <c r="B3530" s="1">
        <v>45444</v>
      </c>
      <c r="C3530">
        <v>841330</v>
      </c>
      <c r="D3530" t="s">
        <v>176</v>
      </c>
      <c r="E3530">
        <v>779929</v>
      </c>
      <c r="F3530">
        <v>14127</v>
      </c>
      <c r="G3530">
        <v>12376</v>
      </c>
      <c r="H3530">
        <f>_xlfn.XLOOKUP(FACT_IMPORTS[[#This Row],[hts_6]],DIM_PRODUCTS[hts_6],DIM_PRODUCTS[hts_4],,,)</f>
        <v>8413</v>
      </c>
      <c r="I3530" t="str" cm="1">
        <f t="array" ref="I3530">_xlfn.XLOOKUP(FACT_IMPORTS[[#This Row],[country_name]],DIM_COUNTRY[[#All],[Column2]],DIM_COUNTRY[[#All],[Column3]],,,)</f>
        <v>China</v>
      </c>
    </row>
    <row r="3531" spans="1:9" x14ac:dyDescent="0.4">
      <c r="A3531" t="s">
        <v>66</v>
      </c>
      <c r="B3531" s="1">
        <v>45444</v>
      </c>
      <c r="C3531">
        <v>841520</v>
      </c>
      <c r="D3531" t="s">
        <v>176</v>
      </c>
      <c r="E3531">
        <v>0</v>
      </c>
      <c r="F3531">
        <v>0</v>
      </c>
      <c r="G3531">
        <v>0</v>
      </c>
      <c r="H3531">
        <f>_xlfn.XLOOKUP(FACT_IMPORTS[[#This Row],[hts_6]],DIM_PRODUCTS[hts_6],DIM_PRODUCTS[hts_4],,,)</f>
        <v>8415</v>
      </c>
      <c r="I3531" t="str" cm="1">
        <f t="array" ref="I3531">_xlfn.XLOOKUP(FACT_IMPORTS[[#This Row],[country_name]],DIM_COUNTRY[[#All],[Column2]],DIM_COUNTRY[[#All],[Column3]],,,)</f>
        <v>China</v>
      </c>
    </row>
    <row r="3532" spans="1:9" x14ac:dyDescent="0.4">
      <c r="A3532" t="s">
        <v>66</v>
      </c>
      <c r="B3532" s="1">
        <v>45444</v>
      </c>
      <c r="C3532">
        <v>842132</v>
      </c>
      <c r="D3532" t="s">
        <v>176</v>
      </c>
      <c r="E3532">
        <v>11064</v>
      </c>
      <c r="F3532">
        <v>16</v>
      </c>
      <c r="G3532">
        <v>400</v>
      </c>
      <c r="H3532">
        <f>_xlfn.XLOOKUP(FACT_IMPORTS[[#This Row],[hts_6]],DIM_PRODUCTS[hts_6],DIM_PRODUCTS[hts_4],,,)</f>
        <v>8421</v>
      </c>
      <c r="I3532" t="str" cm="1">
        <f t="array" ref="I3532">_xlfn.XLOOKUP(FACT_IMPORTS[[#This Row],[country_name]],DIM_COUNTRY[[#All],[Column2]],DIM_COUNTRY[[#All],[Column3]],,,)</f>
        <v>China</v>
      </c>
    </row>
    <row r="3533" spans="1:9" x14ac:dyDescent="0.4">
      <c r="A3533" t="s">
        <v>66</v>
      </c>
      <c r="B3533" s="1">
        <v>45444</v>
      </c>
      <c r="C3533">
        <v>848210</v>
      </c>
      <c r="D3533" t="s">
        <v>176</v>
      </c>
      <c r="E3533">
        <v>621756</v>
      </c>
      <c r="F3533">
        <v>403668</v>
      </c>
      <c r="G3533">
        <v>36524</v>
      </c>
      <c r="H3533">
        <f>_xlfn.XLOOKUP(FACT_IMPORTS[[#This Row],[hts_6]],DIM_PRODUCTS[hts_6],DIM_PRODUCTS[hts_4],,,)</f>
        <v>8482</v>
      </c>
      <c r="I3533" t="str" cm="1">
        <f t="array" ref="I3533">_xlfn.XLOOKUP(FACT_IMPORTS[[#This Row],[country_name]],DIM_COUNTRY[[#All],[Column2]],DIM_COUNTRY[[#All],[Column3]],,,)</f>
        <v>China</v>
      </c>
    </row>
    <row r="3534" spans="1:9" x14ac:dyDescent="0.4">
      <c r="A3534" t="s">
        <v>66</v>
      </c>
      <c r="B3534" s="1">
        <v>45444</v>
      </c>
      <c r="C3534">
        <v>848220</v>
      </c>
      <c r="D3534" t="s">
        <v>176</v>
      </c>
      <c r="E3534">
        <v>32000</v>
      </c>
      <c r="F3534">
        <v>4437</v>
      </c>
      <c r="G3534">
        <v>425</v>
      </c>
      <c r="H3534">
        <f>_xlfn.XLOOKUP(FACT_IMPORTS[[#This Row],[hts_6]],DIM_PRODUCTS[hts_6],DIM_PRODUCTS[hts_4],,,)</f>
        <v>8482</v>
      </c>
      <c r="I3534" t="str" cm="1">
        <f t="array" ref="I3534">_xlfn.XLOOKUP(FACT_IMPORTS[[#This Row],[country_name]],DIM_COUNTRY[[#All],[Column2]],DIM_COUNTRY[[#All],[Column3]],,,)</f>
        <v>China</v>
      </c>
    </row>
    <row r="3535" spans="1:9" x14ac:dyDescent="0.4">
      <c r="A3535" t="s">
        <v>66</v>
      </c>
      <c r="B3535" s="1">
        <v>45444</v>
      </c>
      <c r="C3535">
        <v>848310</v>
      </c>
      <c r="D3535" t="s">
        <v>176</v>
      </c>
      <c r="E3535">
        <v>2384048</v>
      </c>
      <c r="F3535">
        <v>173824</v>
      </c>
      <c r="G3535">
        <v>129835</v>
      </c>
      <c r="H3535">
        <f>_xlfn.XLOOKUP(FACT_IMPORTS[[#This Row],[hts_6]],DIM_PRODUCTS[hts_6],DIM_PRODUCTS[hts_4],,,)</f>
        <v>8483</v>
      </c>
      <c r="I3535" t="str" cm="1">
        <f t="array" ref="I3535">_xlfn.XLOOKUP(FACT_IMPORTS[[#This Row],[country_name]],DIM_COUNTRY[[#All],[Column2]],DIM_COUNTRY[[#All],[Column3]],,,)</f>
        <v>China</v>
      </c>
    </row>
    <row r="3536" spans="1:9" x14ac:dyDescent="0.4">
      <c r="A3536" t="s">
        <v>66</v>
      </c>
      <c r="B3536" s="1">
        <v>45444</v>
      </c>
      <c r="C3536">
        <v>850131</v>
      </c>
      <c r="D3536" t="s">
        <v>176</v>
      </c>
      <c r="E3536">
        <v>2327523</v>
      </c>
      <c r="F3536">
        <v>340706</v>
      </c>
      <c r="G3536">
        <v>42864</v>
      </c>
      <c r="H3536">
        <f>_xlfn.XLOOKUP(FACT_IMPORTS[[#This Row],[hts_6]],DIM_PRODUCTS[hts_6],DIM_PRODUCTS[hts_4],,,)</f>
        <v>8501</v>
      </c>
      <c r="I3536" t="str" cm="1">
        <f t="array" ref="I3536">_xlfn.XLOOKUP(FACT_IMPORTS[[#This Row],[country_name]],DIM_COUNTRY[[#All],[Column2]],DIM_COUNTRY[[#All],[Column3]],,,)</f>
        <v>China</v>
      </c>
    </row>
    <row r="3537" spans="1:9" x14ac:dyDescent="0.4">
      <c r="A3537" t="s">
        <v>66</v>
      </c>
      <c r="B3537" s="1">
        <v>45444</v>
      </c>
      <c r="C3537">
        <v>850132</v>
      </c>
      <c r="D3537" t="s">
        <v>176</v>
      </c>
      <c r="E3537">
        <v>133928</v>
      </c>
      <c r="F3537">
        <v>18</v>
      </c>
      <c r="G3537">
        <v>3212</v>
      </c>
      <c r="H3537">
        <f>_xlfn.XLOOKUP(FACT_IMPORTS[[#This Row],[hts_6]],DIM_PRODUCTS[hts_6],DIM_PRODUCTS[hts_4],,,)</f>
        <v>8501</v>
      </c>
      <c r="I3537" t="str" cm="1">
        <f t="array" ref="I3537">_xlfn.XLOOKUP(FACT_IMPORTS[[#This Row],[country_name]],DIM_COUNTRY[[#All],[Column2]],DIM_COUNTRY[[#All],[Column3]],,,)</f>
        <v>China</v>
      </c>
    </row>
    <row r="3538" spans="1:9" x14ac:dyDescent="0.4">
      <c r="A3538" t="s">
        <v>66</v>
      </c>
      <c r="B3538" s="1">
        <v>45444</v>
      </c>
      <c r="C3538">
        <v>850133</v>
      </c>
      <c r="D3538" t="s">
        <v>176</v>
      </c>
      <c r="E3538">
        <v>0</v>
      </c>
      <c r="F3538">
        <v>0</v>
      </c>
      <c r="G3538">
        <v>0</v>
      </c>
      <c r="H3538">
        <f>_xlfn.XLOOKUP(FACT_IMPORTS[[#This Row],[hts_6]],DIM_PRODUCTS[hts_6],DIM_PRODUCTS[hts_4],,,)</f>
        <v>8501</v>
      </c>
      <c r="I3538" t="str" cm="1">
        <f t="array" ref="I3538">_xlfn.XLOOKUP(FACT_IMPORTS[[#This Row],[country_name]],DIM_COUNTRY[[#All],[Column2]],DIM_COUNTRY[[#All],[Column3]],,,)</f>
        <v>China</v>
      </c>
    </row>
    <row r="3539" spans="1:9" x14ac:dyDescent="0.4">
      <c r="A3539" t="s">
        <v>66</v>
      </c>
      <c r="B3539" s="1">
        <v>45444</v>
      </c>
      <c r="C3539">
        <v>850152</v>
      </c>
      <c r="D3539" t="s">
        <v>176</v>
      </c>
      <c r="E3539">
        <v>132573</v>
      </c>
      <c r="F3539">
        <v>272</v>
      </c>
      <c r="G3539">
        <v>3128</v>
      </c>
      <c r="H3539">
        <f>_xlfn.XLOOKUP(FACT_IMPORTS[[#This Row],[hts_6]],DIM_PRODUCTS[hts_6],DIM_PRODUCTS[hts_4],,,)</f>
        <v>8501</v>
      </c>
      <c r="I3539" t="str" cm="1">
        <f t="array" ref="I3539">_xlfn.XLOOKUP(FACT_IMPORTS[[#This Row],[country_name]],DIM_COUNTRY[[#All],[Column2]],DIM_COUNTRY[[#All],[Column3]],,,)</f>
        <v>China</v>
      </c>
    </row>
    <row r="3540" spans="1:9" x14ac:dyDescent="0.4">
      <c r="A3540" t="s">
        <v>66</v>
      </c>
      <c r="B3540" s="1">
        <v>45444</v>
      </c>
      <c r="C3540">
        <v>850153</v>
      </c>
      <c r="D3540" t="s">
        <v>176</v>
      </c>
      <c r="E3540">
        <v>10414</v>
      </c>
      <c r="F3540">
        <v>1</v>
      </c>
      <c r="G3540">
        <v>250</v>
      </c>
      <c r="H3540">
        <f>_xlfn.XLOOKUP(FACT_IMPORTS[[#This Row],[hts_6]],DIM_PRODUCTS[hts_6],DIM_PRODUCTS[hts_4],,,)</f>
        <v>8501</v>
      </c>
      <c r="I3540" t="str" cm="1">
        <f t="array" ref="I3540">_xlfn.XLOOKUP(FACT_IMPORTS[[#This Row],[country_name]],DIM_COUNTRY[[#All],[Column2]],DIM_COUNTRY[[#All],[Column3]],,,)</f>
        <v>China</v>
      </c>
    </row>
    <row r="3541" spans="1:9" x14ac:dyDescent="0.4">
      <c r="A3541" t="s">
        <v>66</v>
      </c>
      <c r="B3541" s="1">
        <v>45444</v>
      </c>
      <c r="C3541">
        <v>850161</v>
      </c>
      <c r="D3541" t="s">
        <v>176</v>
      </c>
      <c r="E3541">
        <v>0</v>
      </c>
      <c r="F3541">
        <v>0</v>
      </c>
      <c r="G3541">
        <v>0</v>
      </c>
      <c r="H3541">
        <f>_xlfn.XLOOKUP(FACT_IMPORTS[[#This Row],[hts_6]],DIM_PRODUCTS[hts_6],DIM_PRODUCTS[hts_4],,,)</f>
        <v>8501</v>
      </c>
      <c r="I3541" t="str" cm="1">
        <f t="array" ref="I3541">_xlfn.XLOOKUP(FACT_IMPORTS[[#This Row],[country_name]],DIM_COUNTRY[[#All],[Column2]],DIM_COUNTRY[[#All],[Column3]],,,)</f>
        <v>China</v>
      </c>
    </row>
    <row r="3542" spans="1:9" x14ac:dyDescent="0.4">
      <c r="A3542" t="s">
        <v>66</v>
      </c>
      <c r="B3542" s="1">
        <v>45444</v>
      </c>
      <c r="C3542">
        <v>850440</v>
      </c>
      <c r="D3542" t="s">
        <v>176</v>
      </c>
      <c r="E3542">
        <v>2055282</v>
      </c>
      <c r="F3542">
        <v>40282</v>
      </c>
      <c r="G3542">
        <v>60897</v>
      </c>
      <c r="H3542">
        <f>_xlfn.XLOOKUP(FACT_IMPORTS[[#This Row],[hts_6]],DIM_PRODUCTS[hts_6],DIM_PRODUCTS[hts_4],,,)</f>
        <v>8504</v>
      </c>
      <c r="I3542" t="str" cm="1">
        <f t="array" ref="I3542">_xlfn.XLOOKUP(FACT_IMPORTS[[#This Row],[country_name]],DIM_COUNTRY[[#All],[Column2]],DIM_COUNTRY[[#All],[Column3]],,,)</f>
        <v>China</v>
      </c>
    </row>
    <row r="3543" spans="1:9" x14ac:dyDescent="0.4">
      <c r="A3543" t="s">
        <v>66</v>
      </c>
      <c r="B3543" s="1">
        <v>45444</v>
      </c>
      <c r="C3543">
        <v>850710</v>
      </c>
      <c r="D3543" t="s">
        <v>176</v>
      </c>
      <c r="E3543">
        <v>4961</v>
      </c>
      <c r="F3543">
        <v>179</v>
      </c>
      <c r="G3543">
        <v>200</v>
      </c>
      <c r="H3543">
        <f>_xlfn.XLOOKUP(FACT_IMPORTS[[#This Row],[hts_6]],DIM_PRODUCTS[hts_6],DIM_PRODUCTS[hts_4],,,)</f>
        <v>8507</v>
      </c>
      <c r="I3543" t="str" cm="1">
        <f t="array" ref="I3543">_xlfn.XLOOKUP(FACT_IMPORTS[[#This Row],[country_name]],DIM_COUNTRY[[#All],[Column2]],DIM_COUNTRY[[#All],[Column3]],,,)</f>
        <v>China</v>
      </c>
    </row>
    <row r="3544" spans="1:9" x14ac:dyDescent="0.4">
      <c r="A3544" t="s">
        <v>66</v>
      </c>
      <c r="B3544" s="1">
        <v>45444</v>
      </c>
      <c r="C3544">
        <v>850760</v>
      </c>
      <c r="D3544" t="s">
        <v>176</v>
      </c>
      <c r="E3544">
        <v>1450857</v>
      </c>
      <c r="F3544">
        <v>10693</v>
      </c>
      <c r="G3544">
        <v>15101</v>
      </c>
      <c r="H3544">
        <f>_xlfn.XLOOKUP(FACT_IMPORTS[[#This Row],[hts_6]],DIM_PRODUCTS[hts_6],DIM_PRODUCTS[hts_4],,,)</f>
        <v>8507</v>
      </c>
      <c r="I3544" t="str" cm="1">
        <f t="array" ref="I3544">_xlfn.XLOOKUP(FACT_IMPORTS[[#This Row],[country_name]],DIM_COUNTRY[[#All],[Column2]],DIM_COUNTRY[[#All],[Column3]],,,)</f>
        <v>China</v>
      </c>
    </row>
    <row r="3545" spans="1:9" x14ac:dyDescent="0.4">
      <c r="A3545" t="s">
        <v>66</v>
      </c>
      <c r="B3545" s="1">
        <v>45444</v>
      </c>
      <c r="C3545">
        <v>850790</v>
      </c>
      <c r="D3545" t="s">
        <v>176</v>
      </c>
      <c r="E3545">
        <v>2474307</v>
      </c>
      <c r="F3545">
        <v>506479</v>
      </c>
      <c r="G3545">
        <v>18600</v>
      </c>
      <c r="H3545">
        <f>_xlfn.XLOOKUP(FACT_IMPORTS[[#This Row],[hts_6]],DIM_PRODUCTS[hts_6],DIM_PRODUCTS[hts_4],,,)</f>
        <v>8507</v>
      </c>
      <c r="I3545" t="str" cm="1">
        <f t="array" ref="I3545">_xlfn.XLOOKUP(FACT_IMPORTS[[#This Row],[country_name]],DIM_COUNTRY[[#All],[Column2]],DIM_COUNTRY[[#All],[Column3]],,,)</f>
        <v>China</v>
      </c>
    </row>
    <row r="3546" spans="1:9" x14ac:dyDescent="0.4">
      <c r="A3546" t="s">
        <v>66</v>
      </c>
      <c r="B3546" s="1">
        <v>45444</v>
      </c>
      <c r="C3546">
        <v>851130</v>
      </c>
      <c r="D3546" t="s">
        <v>176</v>
      </c>
      <c r="E3546">
        <v>48642</v>
      </c>
      <c r="F3546">
        <v>2206</v>
      </c>
      <c r="G3546">
        <v>3005</v>
      </c>
      <c r="H3546">
        <f>_xlfn.XLOOKUP(FACT_IMPORTS[[#This Row],[hts_6]],DIM_PRODUCTS[hts_6],DIM_PRODUCTS[hts_4],,,)</f>
        <v>8511</v>
      </c>
      <c r="I3546" t="str" cm="1">
        <f t="array" ref="I3546">_xlfn.XLOOKUP(FACT_IMPORTS[[#This Row],[country_name]],DIM_COUNTRY[[#All],[Column2]],DIM_COUNTRY[[#All],[Column3]],,,)</f>
        <v>China</v>
      </c>
    </row>
    <row r="3547" spans="1:9" x14ac:dyDescent="0.4">
      <c r="A3547" t="s">
        <v>66</v>
      </c>
      <c r="B3547" s="1">
        <v>45444</v>
      </c>
      <c r="C3547">
        <v>851140</v>
      </c>
      <c r="D3547" t="s">
        <v>176</v>
      </c>
      <c r="E3547">
        <v>215042</v>
      </c>
      <c r="F3547">
        <v>3103</v>
      </c>
      <c r="G3547">
        <v>3633</v>
      </c>
      <c r="H3547">
        <f>_xlfn.XLOOKUP(FACT_IMPORTS[[#This Row],[hts_6]],DIM_PRODUCTS[hts_6],DIM_PRODUCTS[hts_4],,,)</f>
        <v>8511</v>
      </c>
      <c r="I3547" t="str" cm="1">
        <f t="array" ref="I3547">_xlfn.XLOOKUP(FACT_IMPORTS[[#This Row],[country_name]],DIM_COUNTRY[[#All],[Column2]],DIM_COUNTRY[[#All],[Column3]],,,)</f>
        <v>China</v>
      </c>
    </row>
    <row r="3548" spans="1:9" x14ac:dyDescent="0.4">
      <c r="A3548" t="s">
        <v>66</v>
      </c>
      <c r="B3548" s="1">
        <v>45444</v>
      </c>
      <c r="C3548">
        <v>851150</v>
      </c>
      <c r="D3548" t="s">
        <v>176</v>
      </c>
      <c r="E3548">
        <v>217953</v>
      </c>
      <c r="F3548">
        <v>4271</v>
      </c>
      <c r="G3548">
        <v>3973</v>
      </c>
      <c r="H3548">
        <f>_xlfn.XLOOKUP(FACT_IMPORTS[[#This Row],[hts_6]],DIM_PRODUCTS[hts_6],DIM_PRODUCTS[hts_4],,,)</f>
        <v>8511</v>
      </c>
      <c r="I3548" t="str" cm="1">
        <f t="array" ref="I3548">_xlfn.XLOOKUP(FACT_IMPORTS[[#This Row],[country_name]],DIM_COUNTRY[[#All],[Column2]],DIM_COUNTRY[[#All],[Column3]],,,)</f>
        <v>China</v>
      </c>
    </row>
    <row r="3549" spans="1:9" x14ac:dyDescent="0.4">
      <c r="A3549" t="s">
        <v>66</v>
      </c>
      <c r="B3549" s="1">
        <v>45444</v>
      </c>
      <c r="C3549">
        <v>851180</v>
      </c>
      <c r="D3549" t="s">
        <v>176</v>
      </c>
      <c r="E3549">
        <v>0</v>
      </c>
      <c r="F3549">
        <v>0</v>
      </c>
      <c r="G3549">
        <v>0</v>
      </c>
      <c r="H3549">
        <f>_xlfn.XLOOKUP(FACT_IMPORTS[[#This Row],[hts_6]],DIM_PRODUCTS[hts_6],DIM_PRODUCTS[hts_4],,,)</f>
        <v>8511</v>
      </c>
      <c r="I3549" t="str" cm="1">
        <f t="array" ref="I3549">_xlfn.XLOOKUP(FACT_IMPORTS[[#This Row],[country_name]],DIM_COUNTRY[[#All],[Column2]],DIM_COUNTRY[[#All],[Column3]],,,)</f>
        <v>China</v>
      </c>
    </row>
    <row r="3550" spans="1:9" x14ac:dyDescent="0.4">
      <c r="A3550" t="s">
        <v>66</v>
      </c>
      <c r="B3550" s="1">
        <v>45444</v>
      </c>
      <c r="C3550">
        <v>851190</v>
      </c>
      <c r="D3550" t="s">
        <v>176</v>
      </c>
      <c r="E3550">
        <v>227127</v>
      </c>
      <c r="F3550">
        <v>27738</v>
      </c>
      <c r="G3550">
        <v>10891</v>
      </c>
      <c r="H3550">
        <f>_xlfn.XLOOKUP(FACT_IMPORTS[[#This Row],[hts_6]],DIM_PRODUCTS[hts_6],DIM_PRODUCTS[hts_4],,,)</f>
        <v>8511</v>
      </c>
      <c r="I3550" t="str" cm="1">
        <f t="array" ref="I3550">_xlfn.XLOOKUP(FACT_IMPORTS[[#This Row],[country_name]],DIM_COUNTRY[[#All],[Column2]],DIM_COUNTRY[[#All],[Column3]],,,)</f>
        <v>China</v>
      </c>
    </row>
    <row r="3551" spans="1:9" x14ac:dyDescent="0.4">
      <c r="A3551" t="s">
        <v>66</v>
      </c>
      <c r="B3551" s="1">
        <v>45444</v>
      </c>
      <c r="C3551">
        <v>851220</v>
      </c>
      <c r="D3551" t="s">
        <v>176</v>
      </c>
      <c r="E3551">
        <v>2983353</v>
      </c>
      <c r="F3551">
        <v>620403</v>
      </c>
      <c r="G3551">
        <v>169066</v>
      </c>
      <c r="H3551">
        <f>_xlfn.XLOOKUP(FACT_IMPORTS[[#This Row],[hts_6]],DIM_PRODUCTS[hts_6],DIM_PRODUCTS[hts_4],,,)</f>
        <v>8512</v>
      </c>
      <c r="I3551" t="str" cm="1">
        <f t="array" ref="I3551">_xlfn.XLOOKUP(FACT_IMPORTS[[#This Row],[country_name]],DIM_COUNTRY[[#All],[Column2]],DIM_COUNTRY[[#All],[Column3]],,,)</f>
        <v>China</v>
      </c>
    </row>
    <row r="3552" spans="1:9" x14ac:dyDescent="0.4">
      <c r="A3552" t="s">
        <v>66</v>
      </c>
      <c r="B3552" s="1">
        <v>45444</v>
      </c>
      <c r="C3552">
        <v>851230</v>
      </c>
      <c r="D3552" t="s">
        <v>176</v>
      </c>
      <c r="E3552">
        <v>56807</v>
      </c>
      <c r="F3552">
        <v>76318</v>
      </c>
      <c r="G3552">
        <v>2442</v>
      </c>
      <c r="H3552">
        <f>_xlfn.XLOOKUP(FACT_IMPORTS[[#This Row],[hts_6]],DIM_PRODUCTS[hts_6],DIM_PRODUCTS[hts_4],,,)</f>
        <v>8512</v>
      </c>
      <c r="I3552" t="str" cm="1">
        <f t="array" ref="I3552">_xlfn.XLOOKUP(FACT_IMPORTS[[#This Row],[country_name]],DIM_COUNTRY[[#All],[Column2]],DIM_COUNTRY[[#All],[Column3]],,,)</f>
        <v>China</v>
      </c>
    </row>
    <row r="3553" spans="1:9" x14ac:dyDescent="0.4">
      <c r="A3553" t="s">
        <v>66</v>
      </c>
      <c r="B3553" s="1">
        <v>45444</v>
      </c>
      <c r="C3553">
        <v>851240</v>
      </c>
      <c r="D3553" t="s">
        <v>176</v>
      </c>
      <c r="E3553">
        <v>47631</v>
      </c>
      <c r="F3553">
        <v>1856</v>
      </c>
      <c r="G3553">
        <v>150</v>
      </c>
      <c r="H3553">
        <f>_xlfn.XLOOKUP(FACT_IMPORTS[[#This Row],[hts_6]],DIM_PRODUCTS[hts_6],DIM_PRODUCTS[hts_4],,,)</f>
        <v>8512</v>
      </c>
      <c r="I3553" t="str" cm="1">
        <f t="array" ref="I3553">_xlfn.XLOOKUP(FACT_IMPORTS[[#This Row],[country_name]],DIM_COUNTRY[[#All],[Column2]],DIM_COUNTRY[[#All],[Column3]],,,)</f>
        <v>China</v>
      </c>
    </row>
    <row r="3554" spans="1:9" x14ac:dyDescent="0.4">
      <c r="A3554" t="s">
        <v>66</v>
      </c>
      <c r="B3554" s="1">
        <v>45444</v>
      </c>
      <c r="C3554">
        <v>851290</v>
      </c>
      <c r="D3554" t="s">
        <v>176</v>
      </c>
      <c r="E3554">
        <v>360776</v>
      </c>
      <c r="F3554">
        <v>15709</v>
      </c>
      <c r="G3554">
        <v>11777</v>
      </c>
      <c r="H3554">
        <f>_xlfn.XLOOKUP(FACT_IMPORTS[[#This Row],[hts_6]],DIM_PRODUCTS[hts_6],DIM_PRODUCTS[hts_4],,,)</f>
        <v>8512</v>
      </c>
      <c r="I3554" t="str" cm="1">
        <f t="array" ref="I3554">_xlfn.XLOOKUP(FACT_IMPORTS[[#This Row],[country_name]],DIM_COUNTRY[[#All],[Column2]],DIM_COUNTRY[[#All],[Column3]],,,)</f>
        <v>China</v>
      </c>
    </row>
    <row r="3555" spans="1:9" x14ac:dyDescent="0.4">
      <c r="A3555" t="s">
        <v>66</v>
      </c>
      <c r="B3555" s="1">
        <v>45444</v>
      </c>
      <c r="C3555">
        <v>854231</v>
      </c>
      <c r="D3555" t="s">
        <v>176</v>
      </c>
      <c r="E3555">
        <v>684463</v>
      </c>
      <c r="F3555">
        <v>147046</v>
      </c>
      <c r="G3555">
        <v>67039</v>
      </c>
      <c r="H3555">
        <f>_xlfn.XLOOKUP(FACT_IMPORTS[[#This Row],[hts_6]],DIM_PRODUCTS[hts_6],DIM_PRODUCTS[hts_4],,,)</f>
        <v>8542</v>
      </c>
      <c r="I3555" t="str" cm="1">
        <f t="array" ref="I3555">_xlfn.XLOOKUP(FACT_IMPORTS[[#This Row],[country_name]],DIM_COUNTRY[[#All],[Column2]],DIM_COUNTRY[[#All],[Column3]],,,)</f>
        <v>China</v>
      </c>
    </row>
    <row r="3556" spans="1:9" x14ac:dyDescent="0.4">
      <c r="A3556" t="s">
        <v>66</v>
      </c>
      <c r="B3556" s="1">
        <v>45444</v>
      </c>
      <c r="C3556">
        <v>854232</v>
      </c>
      <c r="D3556" t="s">
        <v>176</v>
      </c>
      <c r="E3556">
        <v>0</v>
      </c>
      <c r="F3556">
        <v>0</v>
      </c>
      <c r="G3556">
        <v>0</v>
      </c>
      <c r="H3556">
        <f>_xlfn.XLOOKUP(FACT_IMPORTS[[#This Row],[hts_6]],DIM_PRODUCTS[hts_6],DIM_PRODUCTS[hts_4],,,)</f>
        <v>8542</v>
      </c>
      <c r="I3556" t="str" cm="1">
        <f t="array" ref="I3556">_xlfn.XLOOKUP(FACT_IMPORTS[[#This Row],[country_name]],DIM_COUNTRY[[#All],[Column2]],DIM_COUNTRY[[#All],[Column3]],,,)</f>
        <v>China</v>
      </c>
    </row>
    <row r="3557" spans="1:9" x14ac:dyDescent="0.4">
      <c r="A3557" t="s">
        <v>66</v>
      </c>
      <c r="B3557" s="1">
        <v>45444</v>
      </c>
      <c r="C3557">
        <v>854233</v>
      </c>
      <c r="D3557" t="s">
        <v>176</v>
      </c>
      <c r="E3557">
        <v>0</v>
      </c>
      <c r="F3557">
        <v>0</v>
      </c>
      <c r="G3557">
        <v>0</v>
      </c>
      <c r="H3557">
        <f>_xlfn.XLOOKUP(FACT_IMPORTS[[#This Row],[hts_6]],DIM_PRODUCTS[hts_6],DIM_PRODUCTS[hts_4],,,)</f>
        <v>8542</v>
      </c>
      <c r="I3557" t="str" cm="1">
        <f t="array" ref="I3557">_xlfn.XLOOKUP(FACT_IMPORTS[[#This Row],[country_name]],DIM_COUNTRY[[#All],[Column2]],DIM_COUNTRY[[#All],[Column3]],,,)</f>
        <v>China</v>
      </c>
    </row>
    <row r="3558" spans="1:9" x14ac:dyDescent="0.4">
      <c r="A3558" t="s">
        <v>66</v>
      </c>
      <c r="B3558" s="1">
        <v>45444</v>
      </c>
      <c r="C3558">
        <v>854239</v>
      </c>
      <c r="D3558" t="s">
        <v>176</v>
      </c>
      <c r="E3558">
        <v>400659</v>
      </c>
      <c r="F3558">
        <v>295100</v>
      </c>
      <c r="G3558">
        <v>40067</v>
      </c>
      <c r="H3558">
        <f>_xlfn.XLOOKUP(FACT_IMPORTS[[#This Row],[hts_6]],DIM_PRODUCTS[hts_6],DIM_PRODUCTS[hts_4],,,)</f>
        <v>8542</v>
      </c>
      <c r="I3558" t="str" cm="1">
        <f t="array" ref="I3558">_xlfn.XLOOKUP(FACT_IMPORTS[[#This Row],[country_name]],DIM_COUNTRY[[#All],[Column2]],DIM_COUNTRY[[#All],[Column3]],,,)</f>
        <v>China</v>
      </c>
    </row>
    <row r="3559" spans="1:9" x14ac:dyDescent="0.4">
      <c r="A3559" t="s">
        <v>66</v>
      </c>
      <c r="B3559" s="1">
        <v>45444</v>
      </c>
      <c r="C3559">
        <v>854290</v>
      </c>
      <c r="D3559" t="s">
        <v>176</v>
      </c>
      <c r="E3559">
        <v>0</v>
      </c>
      <c r="F3559">
        <v>0</v>
      </c>
      <c r="G3559">
        <v>0</v>
      </c>
      <c r="H3559">
        <f>_xlfn.XLOOKUP(FACT_IMPORTS[[#This Row],[hts_6]],DIM_PRODUCTS[hts_6],DIM_PRODUCTS[hts_4],,,)</f>
        <v>8542</v>
      </c>
      <c r="I3559" t="str" cm="1">
        <f t="array" ref="I3559">_xlfn.XLOOKUP(FACT_IMPORTS[[#This Row],[country_name]],DIM_COUNTRY[[#All],[Column2]],DIM_COUNTRY[[#All],[Column3]],,,)</f>
        <v>China</v>
      </c>
    </row>
    <row r="3560" spans="1:9" x14ac:dyDescent="0.4">
      <c r="A3560" t="s">
        <v>66</v>
      </c>
      <c r="B3560" s="1">
        <v>45444</v>
      </c>
      <c r="C3560">
        <v>854430</v>
      </c>
      <c r="D3560" t="s">
        <v>176</v>
      </c>
      <c r="E3560">
        <v>654933</v>
      </c>
      <c r="F3560">
        <v>111934</v>
      </c>
      <c r="G3560">
        <v>14891</v>
      </c>
      <c r="H3560">
        <f>_xlfn.XLOOKUP(FACT_IMPORTS[[#This Row],[hts_6]],DIM_PRODUCTS[hts_6],DIM_PRODUCTS[hts_4],,,)</f>
        <v>8544</v>
      </c>
      <c r="I3560" t="str" cm="1">
        <f t="array" ref="I3560">_xlfn.XLOOKUP(FACT_IMPORTS[[#This Row],[country_name]],DIM_COUNTRY[[#All],[Column2]],DIM_COUNTRY[[#All],[Column3]],,,)</f>
        <v>China</v>
      </c>
    </row>
    <row r="3561" spans="1:9" x14ac:dyDescent="0.4">
      <c r="A3561" t="s">
        <v>66</v>
      </c>
      <c r="B3561" s="1">
        <v>45444</v>
      </c>
      <c r="C3561">
        <v>870710</v>
      </c>
      <c r="D3561" t="s">
        <v>176</v>
      </c>
      <c r="E3561">
        <v>0</v>
      </c>
      <c r="F3561">
        <v>0</v>
      </c>
      <c r="G3561">
        <v>0</v>
      </c>
      <c r="H3561">
        <f>_xlfn.XLOOKUP(FACT_IMPORTS[[#This Row],[hts_6]],DIM_PRODUCTS[hts_6],DIM_PRODUCTS[hts_4],,,)</f>
        <v>8707</v>
      </c>
      <c r="I3561" t="str" cm="1">
        <f t="array" ref="I3561">_xlfn.XLOOKUP(FACT_IMPORTS[[#This Row],[country_name]],DIM_COUNTRY[[#All],[Column2]],DIM_COUNTRY[[#All],[Column3]],,,)</f>
        <v>China</v>
      </c>
    </row>
    <row r="3562" spans="1:9" x14ac:dyDescent="0.4">
      <c r="A3562" t="s">
        <v>66</v>
      </c>
      <c r="B3562" s="1">
        <v>45444</v>
      </c>
      <c r="C3562">
        <v>870810</v>
      </c>
      <c r="D3562" t="s">
        <v>176</v>
      </c>
      <c r="E3562">
        <v>1011055</v>
      </c>
      <c r="F3562">
        <v>85523</v>
      </c>
      <c r="G3562">
        <v>174038</v>
      </c>
      <c r="H3562">
        <f>_xlfn.XLOOKUP(FACT_IMPORTS[[#This Row],[hts_6]],DIM_PRODUCTS[hts_6],DIM_PRODUCTS[hts_4],,,)</f>
        <v>8708</v>
      </c>
      <c r="I3562" t="str" cm="1">
        <f t="array" ref="I3562">_xlfn.XLOOKUP(FACT_IMPORTS[[#This Row],[country_name]],DIM_COUNTRY[[#All],[Column2]],DIM_COUNTRY[[#All],[Column3]],,,)</f>
        <v>China</v>
      </c>
    </row>
    <row r="3563" spans="1:9" x14ac:dyDescent="0.4">
      <c r="A3563" t="s">
        <v>66</v>
      </c>
      <c r="B3563" s="1">
        <v>45444</v>
      </c>
      <c r="C3563">
        <v>870821</v>
      </c>
      <c r="D3563" t="s">
        <v>176</v>
      </c>
      <c r="E3563">
        <v>16262</v>
      </c>
      <c r="F3563">
        <v>1502</v>
      </c>
      <c r="G3563">
        <v>362</v>
      </c>
      <c r="H3563">
        <f>_xlfn.XLOOKUP(FACT_IMPORTS[[#This Row],[hts_6]],DIM_PRODUCTS[hts_6],DIM_PRODUCTS[hts_4],,,)</f>
        <v>8708</v>
      </c>
      <c r="I3563" t="str" cm="1">
        <f t="array" ref="I3563">_xlfn.XLOOKUP(FACT_IMPORTS[[#This Row],[country_name]],DIM_COUNTRY[[#All],[Column2]],DIM_COUNTRY[[#All],[Column3]],,,)</f>
        <v>China</v>
      </c>
    </row>
    <row r="3564" spans="1:9" x14ac:dyDescent="0.4">
      <c r="A3564" t="s">
        <v>66</v>
      </c>
      <c r="B3564" s="1">
        <v>45444</v>
      </c>
      <c r="C3564">
        <v>870822</v>
      </c>
      <c r="D3564" t="s">
        <v>176</v>
      </c>
      <c r="E3564">
        <v>994877</v>
      </c>
      <c r="F3564">
        <v>96273</v>
      </c>
      <c r="G3564">
        <v>76902</v>
      </c>
      <c r="H3564">
        <f>_xlfn.XLOOKUP(FACT_IMPORTS[[#This Row],[hts_6]],DIM_PRODUCTS[hts_6],DIM_PRODUCTS[hts_4],,,)</f>
        <v>8708</v>
      </c>
      <c r="I3564" t="str" cm="1">
        <f t="array" ref="I3564">_xlfn.XLOOKUP(FACT_IMPORTS[[#This Row],[country_name]],DIM_COUNTRY[[#All],[Column2]],DIM_COUNTRY[[#All],[Column3]],,,)</f>
        <v>China</v>
      </c>
    </row>
    <row r="3565" spans="1:9" x14ac:dyDescent="0.4">
      <c r="A3565" t="s">
        <v>66</v>
      </c>
      <c r="B3565" s="1">
        <v>45444</v>
      </c>
      <c r="C3565">
        <v>870829</v>
      </c>
      <c r="D3565" t="s">
        <v>176</v>
      </c>
      <c r="E3565">
        <v>17983674</v>
      </c>
      <c r="F3565">
        <v>4285871</v>
      </c>
      <c r="G3565">
        <v>738726</v>
      </c>
      <c r="H3565">
        <f>_xlfn.XLOOKUP(FACT_IMPORTS[[#This Row],[hts_6]],DIM_PRODUCTS[hts_6],DIM_PRODUCTS[hts_4],,,)</f>
        <v>8708</v>
      </c>
      <c r="I3565" t="str" cm="1">
        <f t="array" ref="I3565">_xlfn.XLOOKUP(FACT_IMPORTS[[#This Row],[country_name]],DIM_COUNTRY[[#All],[Column2]],DIM_COUNTRY[[#All],[Column3]],,,)</f>
        <v>China</v>
      </c>
    </row>
    <row r="3566" spans="1:9" x14ac:dyDescent="0.4">
      <c r="A3566" t="s">
        <v>66</v>
      </c>
      <c r="B3566" s="1">
        <v>45444</v>
      </c>
      <c r="C3566">
        <v>870830</v>
      </c>
      <c r="D3566" t="s">
        <v>176</v>
      </c>
      <c r="E3566">
        <v>5715739</v>
      </c>
      <c r="F3566">
        <v>914651</v>
      </c>
      <c r="G3566">
        <v>228674</v>
      </c>
      <c r="H3566">
        <f>_xlfn.XLOOKUP(FACT_IMPORTS[[#This Row],[hts_6]],DIM_PRODUCTS[hts_6],DIM_PRODUCTS[hts_4],,,)</f>
        <v>8708</v>
      </c>
      <c r="I3566" t="str" cm="1">
        <f t="array" ref="I3566">_xlfn.XLOOKUP(FACT_IMPORTS[[#This Row],[country_name]],DIM_COUNTRY[[#All],[Column2]],DIM_COUNTRY[[#All],[Column3]],,,)</f>
        <v>China</v>
      </c>
    </row>
    <row r="3567" spans="1:9" x14ac:dyDescent="0.4">
      <c r="A3567" t="s">
        <v>66</v>
      </c>
      <c r="B3567" s="1">
        <v>45444</v>
      </c>
      <c r="C3567">
        <v>870840</v>
      </c>
      <c r="D3567" t="s">
        <v>176</v>
      </c>
      <c r="E3567">
        <v>4172558</v>
      </c>
      <c r="F3567">
        <v>678513</v>
      </c>
      <c r="G3567">
        <v>159695</v>
      </c>
      <c r="H3567">
        <f>_xlfn.XLOOKUP(FACT_IMPORTS[[#This Row],[hts_6]],DIM_PRODUCTS[hts_6],DIM_PRODUCTS[hts_4],,,)</f>
        <v>8708</v>
      </c>
      <c r="I3567" t="str" cm="1">
        <f t="array" ref="I3567">_xlfn.XLOOKUP(FACT_IMPORTS[[#This Row],[country_name]],DIM_COUNTRY[[#All],[Column2]],DIM_COUNTRY[[#All],[Column3]],,,)</f>
        <v>China</v>
      </c>
    </row>
    <row r="3568" spans="1:9" x14ac:dyDescent="0.4">
      <c r="A3568" t="s">
        <v>66</v>
      </c>
      <c r="B3568" s="1">
        <v>45444</v>
      </c>
      <c r="C3568">
        <v>870850</v>
      </c>
      <c r="D3568" t="s">
        <v>176</v>
      </c>
      <c r="E3568">
        <v>3757115</v>
      </c>
      <c r="F3568">
        <v>421821</v>
      </c>
      <c r="G3568">
        <v>80391</v>
      </c>
      <c r="H3568">
        <f>_xlfn.XLOOKUP(FACT_IMPORTS[[#This Row],[hts_6]],DIM_PRODUCTS[hts_6],DIM_PRODUCTS[hts_4],,,)</f>
        <v>8708</v>
      </c>
      <c r="I3568" t="str" cm="1">
        <f t="array" ref="I3568">_xlfn.XLOOKUP(FACT_IMPORTS[[#This Row],[country_name]],DIM_COUNTRY[[#All],[Column2]],DIM_COUNTRY[[#All],[Column3]],,,)</f>
        <v>China</v>
      </c>
    </row>
    <row r="3569" spans="1:9" x14ac:dyDescent="0.4">
      <c r="A3569" t="s">
        <v>66</v>
      </c>
      <c r="B3569" s="1">
        <v>45444</v>
      </c>
      <c r="C3569">
        <v>870870</v>
      </c>
      <c r="D3569" t="s">
        <v>176</v>
      </c>
      <c r="E3569">
        <v>36329291</v>
      </c>
      <c r="F3569">
        <v>1353887</v>
      </c>
      <c r="G3569">
        <v>1675187</v>
      </c>
      <c r="H3569">
        <f>_xlfn.XLOOKUP(FACT_IMPORTS[[#This Row],[hts_6]],DIM_PRODUCTS[hts_6],DIM_PRODUCTS[hts_4],,,)</f>
        <v>8708</v>
      </c>
      <c r="I3569" t="str" cm="1">
        <f t="array" ref="I3569">_xlfn.XLOOKUP(FACT_IMPORTS[[#This Row],[country_name]],DIM_COUNTRY[[#All],[Column2]],DIM_COUNTRY[[#All],[Column3]],,,)</f>
        <v>China</v>
      </c>
    </row>
    <row r="3570" spans="1:9" x14ac:dyDescent="0.4">
      <c r="A3570" t="s">
        <v>66</v>
      </c>
      <c r="B3570" s="1">
        <v>45444</v>
      </c>
      <c r="C3570">
        <v>870880</v>
      </c>
      <c r="D3570" t="s">
        <v>176</v>
      </c>
      <c r="E3570">
        <v>14138135</v>
      </c>
      <c r="F3570">
        <v>2670374</v>
      </c>
      <c r="G3570">
        <v>257674</v>
      </c>
      <c r="H3570">
        <f>_xlfn.XLOOKUP(FACT_IMPORTS[[#This Row],[hts_6]],DIM_PRODUCTS[hts_6],DIM_PRODUCTS[hts_4],,,)</f>
        <v>8708</v>
      </c>
      <c r="I3570" t="str" cm="1">
        <f t="array" ref="I3570">_xlfn.XLOOKUP(FACT_IMPORTS[[#This Row],[country_name]],DIM_COUNTRY[[#All],[Column2]],DIM_COUNTRY[[#All],[Column3]],,,)</f>
        <v>China</v>
      </c>
    </row>
    <row r="3571" spans="1:9" x14ac:dyDescent="0.4">
      <c r="A3571" t="s">
        <v>66</v>
      </c>
      <c r="B3571" s="1">
        <v>45444</v>
      </c>
      <c r="C3571">
        <v>870891</v>
      </c>
      <c r="D3571" t="s">
        <v>176</v>
      </c>
      <c r="E3571">
        <v>470964</v>
      </c>
      <c r="F3571">
        <v>28228</v>
      </c>
      <c r="G3571">
        <v>6897</v>
      </c>
      <c r="H3571">
        <f>_xlfn.XLOOKUP(FACT_IMPORTS[[#This Row],[hts_6]],DIM_PRODUCTS[hts_6],DIM_PRODUCTS[hts_4],,,)</f>
        <v>8708</v>
      </c>
      <c r="I3571" t="str" cm="1">
        <f t="array" ref="I3571">_xlfn.XLOOKUP(FACT_IMPORTS[[#This Row],[country_name]],DIM_COUNTRY[[#All],[Column2]],DIM_COUNTRY[[#All],[Column3]],,,)</f>
        <v>China</v>
      </c>
    </row>
    <row r="3572" spans="1:9" x14ac:dyDescent="0.4">
      <c r="A3572" t="s">
        <v>66</v>
      </c>
      <c r="B3572" s="1">
        <v>45444</v>
      </c>
      <c r="C3572">
        <v>870892</v>
      </c>
      <c r="D3572" t="s">
        <v>176</v>
      </c>
      <c r="E3572">
        <v>6093972</v>
      </c>
      <c r="F3572">
        <v>1233815</v>
      </c>
      <c r="G3572">
        <v>373163</v>
      </c>
      <c r="H3572">
        <f>_xlfn.XLOOKUP(FACT_IMPORTS[[#This Row],[hts_6]],DIM_PRODUCTS[hts_6],DIM_PRODUCTS[hts_4],,,)</f>
        <v>8708</v>
      </c>
      <c r="I3572" t="str" cm="1">
        <f t="array" ref="I3572">_xlfn.XLOOKUP(FACT_IMPORTS[[#This Row],[country_name]],DIM_COUNTRY[[#All],[Column2]],DIM_COUNTRY[[#All],[Column3]],,,)</f>
        <v>China</v>
      </c>
    </row>
    <row r="3573" spans="1:9" x14ac:dyDescent="0.4">
      <c r="A3573" t="s">
        <v>66</v>
      </c>
      <c r="B3573" s="1">
        <v>45444</v>
      </c>
      <c r="C3573">
        <v>870893</v>
      </c>
      <c r="D3573" t="s">
        <v>176</v>
      </c>
      <c r="E3573">
        <v>779673</v>
      </c>
      <c r="F3573">
        <v>337260</v>
      </c>
      <c r="G3573">
        <v>24444</v>
      </c>
      <c r="H3573">
        <f>_xlfn.XLOOKUP(FACT_IMPORTS[[#This Row],[hts_6]],DIM_PRODUCTS[hts_6],DIM_PRODUCTS[hts_4],,,)</f>
        <v>8708</v>
      </c>
      <c r="I3573" t="str" cm="1">
        <f t="array" ref="I3573">_xlfn.XLOOKUP(FACT_IMPORTS[[#This Row],[country_name]],DIM_COUNTRY[[#All],[Column2]],DIM_COUNTRY[[#All],[Column3]],,,)</f>
        <v>China</v>
      </c>
    </row>
    <row r="3574" spans="1:9" x14ac:dyDescent="0.4">
      <c r="A3574" t="s">
        <v>66</v>
      </c>
      <c r="B3574" s="1">
        <v>45444</v>
      </c>
      <c r="C3574">
        <v>870894</v>
      </c>
      <c r="D3574" t="s">
        <v>176</v>
      </c>
      <c r="E3574">
        <v>4667475</v>
      </c>
      <c r="F3574">
        <v>383908</v>
      </c>
      <c r="G3574">
        <v>626545</v>
      </c>
      <c r="H3574">
        <f>_xlfn.XLOOKUP(FACT_IMPORTS[[#This Row],[hts_6]],DIM_PRODUCTS[hts_6],DIM_PRODUCTS[hts_4],,,)</f>
        <v>8708</v>
      </c>
      <c r="I3574" t="str" cm="1">
        <f t="array" ref="I3574">_xlfn.XLOOKUP(FACT_IMPORTS[[#This Row],[country_name]],DIM_COUNTRY[[#All],[Column2]],DIM_COUNTRY[[#All],[Column3]],,,)</f>
        <v>China</v>
      </c>
    </row>
    <row r="3575" spans="1:9" x14ac:dyDescent="0.4">
      <c r="A3575" t="s">
        <v>66</v>
      </c>
      <c r="B3575" s="1">
        <v>45444</v>
      </c>
      <c r="C3575">
        <v>870895</v>
      </c>
      <c r="D3575" t="s">
        <v>176</v>
      </c>
      <c r="E3575">
        <v>205702</v>
      </c>
      <c r="F3575">
        <v>27808</v>
      </c>
      <c r="G3575">
        <v>3274</v>
      </c>
      <c r="H3575">
        <f>_xlfn.XLOOKUP(FACT_IMPORTS[[#This Row],[hts_6]],DIM_PRODUCTS[hts_6],DIM_PRODUCTS[hts_4],,,)</f>
        <v>8708</v>
      </c>
      <c r="I3575" t="str" cm="1">
        <f t="array" ref="I3575">_xlfn.XLOOKUP(FACT_IMPORTS[[#This Row],[country_name]],DIM_COUNTRY[[#All],[Column2]],DIM_COUNTRY[[#All],[Column3]],,,)</f>
        <v>China</v>
      </c>
    </row>
    <row r="3576" spans="1:9" x14ac:dyDescent="0.4">
      <c r="A3576" t="s">
        <v>66</v>
      </c>
      <c r="B3576" s="1">
        <v>45444</v>
      </c>
      <c r="C3576">
        <v>870899</v>
      </c>
      <c r="D3576" t="s">
        <v>176</v>
      </c>
      <c r="E3576">
        <v>10320036</v>
      </c>
      <c r="F3576">
        <v>2058224</v>
      </c>
      <c r="G3576">
        <v>655246</v>
      </c>
      <c r="H3576">
        <f>_xlfn.XLOOKUP(FACT_IMPORTS[[#This Row],[hts_6]],DIM_PRODUCTS[hts_6],DIM_PRODUCTS[hts_4],,,)</f>
        <v>8708</v>
      </c>
      <c r="I3576" t="str" cm="1">
        <f t="array" ref="I3576">_xlfn.XLOOKUP(FACT_IMPORTS[[#This Row],[country_name]],DIM_COUNTRY[[#All],[Column2]],DIM_COUNTRY[[#All],[Column3]],,,)</f>
        <v>China</v>
      </c>
    </row>
    <row r="3577" spans="1:9" x14ac:dyDescent="0.4">
      <c r="A3577" t="s">
        <v>66</v>
      </c>
      <c r="B3577" s="1">
        <v>45444</v>
      </c>
      <c r="C3577">
        <v>940120</v>
      </c>
      <c r="D3577" t="s">
        <v>176</v>
      </c>
      <c r="E3577">
        <v>223194</v>
      </c>
      <c r="F3577">
        <v>668</v>
      </c>
      <c r="G3577">
        <v>6169</v>
      </c>
      <c r="H3577">
        <f>_xlfn.XLOOKUP(FACT_IMPORTS[[#This Row],[hts_6]],DIM_PRODUCTS[hts_6],DIM_PRODUCTS[hts_4],,,)</f>
        <v>9401</v>
      </c>
      <c r="I3577" t="str" cm="1">
        <f t="array" ref="I3577">_xlfn.XLOOKUP(FACT_IMPORTS[[#This Row],[country_name]],DIM_COUNTRY[[#All],[Column2]],DIM_COUNTRY[[#All],[Column3]],,,)</f>
        <v>China</v>
      </c>
    </row>
    <row r="3578" spans="1:9" x14ac:dyDescent="0.4">
      <c r="A3578" t="s">
        <v>66</v>
      </c>
      <c r="B3578" s="1">
        <v>45474</v>
      </c>
      <c r="C3578">
        <v>392630</v>
      </c>
      <c r="D3578" t="s">
        <v>176</v>
      </c>
      <c r="E3578">
        <v>6588884</v>
      </c>
      <c r="F3578">
        <v>295120</v>
      </c>
      <c r="G3578">
        <v>262619</v>
      </c>
      <c r="H3578">
        <f>_xlfn.XLOOKUP(FACT_IMPORTS[[#This Row],[hts_6]],DIM_PRODUCTS[hts_6],DIM_PRODUCTS[hts_4],,,)</f>
        <v>3926</v>
      </c>
      <c r="I3578" t="str" cm="1">
        <f t="array" ref="I3578">_xlfn.XLOOKUP(FACT_IMPORTS[[#This Row],[country_name]],DIM_COUNTRY[[#All],[Column2]],DIM_COUNTRY[[#All],[Column3]],,,)</f>
        <v>China</v>
      </c>
    </row>
    <row r="3579" spans="1:9" x14ac:dyDescent="0.4">
      <c r="A3579" t="s">
        <v>66</v>
      </c>
      <c r="B3579" s="1">
        <v>45474</v>
      </c>
      <c r="C3579">
        <v>401110</v>
      </c>
      <c r="D3579" t="s">
        <v>176</v>
      </c>
      <c r="E3579">
        <v>30580</v>
      </c>
      <c r="F3579">
        <v>328</v>
      </c>
      <c r="G3579">
        <v>4271</v>
      </c>
      <c r="H3579">
        <f>_xlfn.XLOOKUP(FACT_IMPORTS[[#This Row],[hts_6]],DIM_PRODUCTS[hts_6],DIM_PRODUCTS[hts_4],,,)</f>
        <v>4011</v>
      </c>
      <c r="I3579" t="str" cm="1">
        <f t="array" ref="I3579">_xlfn.XLOOKUP(FACT_IMPORTS[[#This Row],[country_name]],DIM_COUNTRY[[#All],[Column2]],DIM_COUNTRY[[#All],[Column3]],,,)</f>
        <v>China</v>
      </c>
    </row>
    <row r="3580" spans="1:9" x14ac:dyDescent="0.4">
      <c r="A3580" t="s">
        <v>66</v>
      </c>
      <c r="B3580" s="1">
        <v>45474</v>
      </c>
      <c r="C3580">
        <v>401120</v>
      </c>
      <c r="D3580" t="s">
        <v>176</v>
      </c>
      <c r="E3580">
        <v>220918</v>
      </c>
      <c r="F3580">
        <v>5342</v>
      </c>
      <c r="G3580">
        <v>22782</v>
      </c>
      <c r="H3580">
        <f>_xlfn.XLOOKUP(FACT_IMPORTS[[#This Row],[hts_6]],DIM_PRODUCTS[hts_6],DIM_PRODUCTS[hts_4],,,)</f>
        <v>4011</v>
      </c>
      <c r="I3580" t="str" cm="1">
        <f t="array" ref="I3580">_xlfn.XLOOKUP(FACT_IMPORTS[[#This Row],[country_name]],DIM_COUNTRY[[#All],[Column2]],DIM_COUNTRY[[#All],[Column3]],,,)</f>
        <v>China</v>
      </c>
    </row>
    <row r="3581" spans="1:9" x14ac:dyDescent="0.4">
      <c r="A3581" t="s">
        <v>66</v>
      </c>
      <c r="B3581" s="1">
        <v>45474</v>
      </c>
      <c r="C3581">
        <v>401140</v>
      </c>
      <c r="D3581" t="s">
        <v>176</v>
      </c>
      <c r="E3581">
        <v>23197</v>
      </c>
      <c r="F3581">
        <v>395</v>
      </c>
      <c r="G3581">
        <v>19</v>
      </c>
      <c r="H3581">
        <f>_xlfn.XLOOKUP(FACT_IMPORTS[[#This Row],[hts_6]],DIM_PRODUCTS[hts_6],DIM_PRODUCTS[hts_4],,,)</f>
        <v>4011</v>
      </c>
      <c r="I3581" t="str" cm="1">
        <f t="array" ref="I3581">_xlfn.XLOOKUP(FACT_IMPORTS[[#This Row],[country_name]],DIM_COUNTRY[[#All],[Column2]],DIM_COUNTRY[[#All],[Column3]],,,)</f>
        <v>China</v>
      </c>
    </row>
    <row r="3582" spans="1:9" x14ac:dyDescent="0.4">
      <c r="A3582" t="s">
        <v>66</v>
      </c>
      <c r="B3582" s="1">
        <v>45474</v>
      </c>
      <c r="C3582">
        <v>401190</v>
      </c>
      <c r="D3582" t="s">
        <v>176</v>
      </c>
      <c r="E3582">
        <v>256408</v>
      </c>
      <c r="F3582">
        <v>9207</v>
      </c>
      <c r="G3582">
        <v>17970</v>
      </c>
      <c r="H3582">
        <f>_xlfn.XLOOKUP(FACT_IMPORTS[[#This Row],[hts_6]],DIM_PRODUCTS[hts_6],DIM_PRODUCTS[hts_4],,,)</f>
        <v>4011</v>
      </c>
      <c r="I3582" t="str" cm="1">
        <f t="array" ref="I3582">_xlfn.XLOOKUP(FACT_IMPORTS[[#This Row],[country_name]],DIM_COUNTRY[[#All],[Column2]],DIM_COUNTRY[[#All],[Column3]],,,)</f>
        <v>China</v>
      </c>
    </row>
    <row r="3583" spans="1:9" x14ac:dyDescent="0.4">
      <c r="A3583" t="s">
        <v>66</v>
      </c>
      <c r="B3583" s="1">
        <v>45474</v>
      </c>
      <c r="C3583">
        <v>700711</v>
      </c>
      <c r="D3583" t="s">
        <v>176</v>
      </c>
      <c r="E3583">
        <v>1643868</v>
      </c>
      <c r="F3583">
        <v>125446</v>
      </c>
      <c r="G3583">
        <v>113978</v>
      </c>
      <c r="H3583">
        <f>_xlfn.XLOOKUP(FACT_IMPORTS[[#This Row],[hts_6]],DIM_PRODUCTS[hts_6],DIM_PRODUCTS[hts_4],,,)</f>
        <v>7007</v>
      </c>
      <c r="I3583" t="str" cm="1">
        <f t="array" ref="I3583">_xlfn.XLOOKUP(FACT_IMPORTS[[#This Row],[country_name]],DIM_COUNTRY[[#All],[Column2]],DIM_COUNTRY[[#All],[Column3]],,,)</f>
        <v>China</v>
      </c>
    </row>
    <row r="3584" spans="1:9" x14ac:dyDescent="0.4">
      <c r="A3584" t="s">
        <v>66</v>
      </c>
      <c r="B3584" s="1">
        <v>45474</v>
      </c>
      <c r="C3584">
        <v>700721</v>
      </c>
      <c r="D3584" t="s">
        <v>176</v>
      </c>
      <c r="E3584">
        <v>542396</v>
      </c>
      <c r="F3584">
        <v>11904</v>
      </c>
      <c r="G3584">
        <v>30606</v>
      </c>
      <c r="H3584">
        <f>_xlfn.XLOOKUP(FACT_IMPORTS[[#This Row],[hts_6]],DIM_PRODUCTS[hts_6],DIM_PRODUCTS[hts_4],,,)</f>
        <v>7007</v>
      </c>
      <c r="I3584" t="str" cm="1">
        <f t="array" ref="I3584">_xlfn.XLOOKUP(FACT_IMPORTS[[#This Row],[country_name]],DIM_COUNTRY[[#All],[Column2]],DIM_COUNTRY[[#All],[Column3]],,,)</f>
        <v>China</v>
      </c>
    </row>
    <row r="3585" spans="1:9" x14ac:dyDescent="0.4">
      <c r="A3585" t="s">
        <v>66</v>
      </c>
      <c r="B3585" s="1">
        <v>45474</v>
      </c>
      <c r="C3585">
        <v>700910</v>
      </c>
      <c r="D3585" t="s">
        <v>176</v>
      </c>
      <c r="E3585">
        <v>168095</v>
      </c>
      <c r="F3585">
        <v>112789</v>
      </c>
      <c r="G3585">
        <v>14320</v>
      </c>
      <c r="H3585">
        <f>_xlfn.XLOOKUP(FACT_IMPORTS[[#This Row],[hts_6]],DIM_PRODUCTS[hts_6],DIM_PRODUCTS[hts_4],,,)</f>
        <v>7009</v>
      </c>
      <c r="I3585" t="str" cm="1">
        <f t="array" ref="I3585">_xlfn.XLOOKUP(FACT_IMPORTS[[#This Row],[country_name]],DIM_COUNTRY[[#All],[Column2]],DIM_COUNTRY[[#All],[Column3]],,,)</f>
        <v>China</v>
      </c>
    </row>
    <row r="3586" spans="1:9" x14ac:dyDescent="0.4">
      <c r="A3586" t="s">
        <v>66</v>
      </c>
      <c r="B3586" s="1">
        <v>45474</v>
      </c>
      <c r="C3586">
        <v>732010</v>
      </c>
      <c r="D3586" t="s">
        <v>176</v>
      </c>
      <c r="E3586">
        <v>0</v>
      </c>
      <c r="F3586">
        <v>0</v>
      </c>
      <c r="G3586">
        <v>0</v>
      </c>
      <c r="H3586">
        <f>_xlfn.XLOOKUP(FACT_IMPORTS[[#This Row],[hts_6]],DIM_PRODUCTS[hts_6],DIM_PRODUCTS[hts_4],,,)</f>
        <v>7320</v>
      </c>
      <c r="I3586" t="str" cm="1">
        <f t="array" ref="I3586">_xlfn.XLOOKUP(FACT_IMPORTS[[#This Row],[country_name]],DIM_COUNTRY[[#All],[Column2]],DIM_COUNTRY[[#All],[Column3]],,,)</f>
        <v>China</v>
      </c>
    </row>
    <row r="3587" spans="1:9" x14ac:dyDescent="0.4">
      <c r="A3587" t="s">
        <v>66</v>
      </c>
      <c r="B3587" s="1">
        <v>45474</v>
      </c>
      <c r="C3587">
        <v>830230</v>
      </c>
      <c r="D3587" t="s">
        <v>176</v>
      </c>
      <c r="E3587">
        <v>4254426</v>
      </c>
      <c r="F3587">
        <v>988621</v>
      </c>
      <c r="G3587">
        <v>277006</v>
      </c>
      <c r="H3587">
        <f>_xlfn.XLOOKUP(FACT_IMPORTS[[#This Row],[hts_6]],DIM_PRODUCTS[hts_6],DIM_PRODUCTS[hts_4],,,)</f>
        <v>8302</v>
      </c>
      <c r="I3587" t="str" cm="1">
        <f t="array" ref="I3587">_xlfn.XLOOKUP(FACT_IMPORTS[[#This Row],[country_name]],DIM_COUNTRY[[#All],[Column2]],DIM_COUNTRY[[#All],[Column3]],,,)</f>
        <v>China</v>
      </c>
    </row>
    <row r="3588" spans="1:9" x14ac:dyDescent="0.4">
      <c r="A3588" t="s">
        <v>66</v>
      </c>
      <c r="B3588" s="1">
        <v>45474</v>
      </c>
      <c r="C3588">
        <v>840733</v>
      </c>
      <c r="D3588" t="s">
        <v>176</v>
      </c>
      <c r="E3588">
        <v>0</v>
      </c>
      <c r="F3588">
        <v>0</v>
      </c>
      <c r="G3588">
        <v>0</v>
      </c>
      <c r="H3588">
        <f>_xlfn.XLOOKUP(FACT_IMPORTS[[#This Row],[hts_6]],DIM_PRODUCTS[hts_6],DIM_PRODUCTS[hts_4],,,)</f>
        <v>8407</v>
      </c>
      <c r="I3588" t="str" cm="1">
        <f t="array" ref="I3588">_xlfn.XLOOKUP(FACT_IMPORTS[[#This Row],[country_name]],DIM_COUNTRY[[#All],[Column2]],DIM_COUNTRY[[#All],[Column3]],,,)</f>
        <v>China</v>
      </c>
    </row>
    <row r="3589" spans="1:9" x14ac:dyDescent="0.4">
      <c r="A3589" t="s">
        <v>66</v>
      </c>
      <c r="B3589" s="1">
        <v>45474</v>
      </c>
      <c r="C3589">
        <v>840734</v>
      </c>
      <c r="D3589" t="s">
        <v>176</v>
      </c>
      <c r="E3589">
        <v>81886</v>
      </c>
      <c r="F3589">
        <v>42</v>
      </c>
      <c r="G3589">
        <v>5184</v>
      </c>
      <c r="H3589">
        <f>_xlfn.XLOOKUP(FACT_IMPORTS[[#This Row],[hts_6]],DIM_PRODUCTS[hts_6],DIM_PRODUCTS[hts_4],,,)</f>
        <v>8407</v>
      </c>
      <c r="I3589" t="str" cm="1">
        <f t="array" ref="I3589">_xlfn.XLOOKUP(FACT_IMPORTS[[#This Row],[country_name]],DIM_COUNTRY[[#All],[Column2]],DIM_COUNTRY[[#All],[Column3]],,,)</f>
        <v>China</v>
      </c>
    </row>
    <row r="3590" spans="1:9" x14ac:dyDescent="0.4">
      <c r="A3590" t="s">
        <v>66</v>
      </c>
      <c r="B3590" s="1">
        <v>45474</v>
      </c>
      <c r="C3590">
        <v>840790</v>
      </c>
      <c r="D3590" t="s">
        <v>176</v>
      </c>
      <c r="E3590">
        <v>0</v>
      </c>
      <c r="F3590">
        <v>0</v>
      </c>
      <c r="G3590">
        <v>0</v>
      </c>
      <c r="H3590">
        <f>_xlfn.XLOOKUP(FACT_IMPORTS[[#This Row],[hts_6]],DIM_PRODUCTS[hts_6],DIM_PRODUCTS[hts_4],,,)</f>
        <v>8407</v>
      </c>
      <c r="I3590" t="str" cm="1">
        <f t="array" ref="I3590">_xlfn.XLOOKUP(FACT_IMPORTS[[#This Row],[country_name]],DIM_COUNTRY[[#All],[Column2]],DIM_COUNTRY[[#All],[Column3]],,,)</f>
        <v>China</v>
      </c>
    </row>
    <row r="3591" spans="1:9" x14ac:dyDescent="0.4">
      <c r="A3591" t="s">
        <v>66</v>
      </c>
      <c r="B3591" s="1">
        <v>45474</v>
      </c>
      <c r="C3591">
        <v>840820</v>
      </c>
      <c r="D3591" t="s">
        <v>176</v>
      </c>
      <c r="E3591">
        <v>0</v>
      </c>
      <c r="F3591">
        <v>0</v>
      </c>
      <c r="G3591">
        <v>0</v>
      </c>
      <c r="H3591">
        <f>_xlfn.XLOOKUP(FACT_IMPORTS[[#This Row],[hts_6]],DIM_PRODUCTS[hts_6],DIM_PRODUCTS[hts_4],,,)</f>
        <v>8408</v>
      </c>
      <c r="I3591" t="str" cm="1">
        <f t="array" ref="I3591">_xlfn.XLOOKUP(FACT_IMPORTS[[#This Row],[country_name]],DIM_COUNTRY[[#All],[Column2]],DIM_COUNTRY[[#All],[Column3]],,,)</f>
        <v>China</v>
      </c>
    </row>
    <row r="3592" spans="1:9" x14ac:dyDescent="0.4">
      <c r="A3592" t="s">
        <v>66</v>
      </c>
      <c r="B3592" s="1">
        <v>45474</v>
      </c>
      <c r="C3592">
        <v>840890</v>
      </c>
      <c r="D3592" t="s">
        <v>176</v>
      </c>
      <c r="E3592">
        <v>0</v>
      </c>
      <c r="F3592">
        <v>0</v>
      </c>
      <c r="G3592">
        <v>0</v>
      </c>
      <c r="H3592">
        <f>_xlfn.XLOOKUP(FACT_IMPORTS[[#This Row],[hts_6]],DIM_PRODUCTS[hts_6],DIM_PRODUCTS[hts_4],,,)</f>
        <v>8408</v>
      </c>
      <c r="I3592" t="str" cm="1">
        <f t="array" ref="I3592">_xlfn.XLOOKUP(FACT_IMPORTS[[#This Row],[country_name]],DIM_COUNTRY[[#All],[Column2]],DIM_COUNTRY[[#All],[Column3]],,,)</f>
        <v>China</v>
      </c>
    </row>
    <row r="3593" spans="1:9" x14ac:dyDescent="0.4">
      <c r="A3593" t="s">
        <v>66</v>
      </c>
      <c r="B3593" s="1">
        <v>45474</v>
      </c>
      <c r="C3593">
        <v>840991</v>
      </c>
      <c r="D3593" t="s">
        <v>176</v>
      </c>
      <c r="E3593">
        <v>6602847</v>
      </c>
      <c r="F3593">
        <v>1357278</v>
      </c>
      <c r="G3593">
        <v>542723</v>
      </c>
      <c r="H3593">
        <f>_xlfn.XLOOKUP(FACT_IMPORTS[[#This Row],[hts_6]],DIM_PRODUCTS[hts_6],DIM_PRODUCTS[hts_4],,,)</f>
        <v>8409</v>
      </c>
      <c r="I3593" t="str" cm="1">
        <f t="array" ref="I3593">_xlfn.XLOOKUP(FACT_IMPORTS[[#This Row],[country_name]],DIM_COUNTRY[[#All],[Column2]],DIM_COUNTRY[[#All],[Column3]],,,)</f>
        <v>China</v>
      </c>
    </row>
    <row r="3594" spans="1:9" x14ac:dyDescent="0.4">
      <c r="A3594" t="s">
        <v>66</v>
      </c>
      <c r="B3594" s="1">
        <v>45474</v>
      </c>
      <c r="C3594">
        <v>840999</v>
      </c>
      <c r="D3594" t="s">
        <v>176</v>
      </c>
      <c r="E3594">
        <v>4789960</v>
      </c>
      <c r="F3594">
        <v>833551</v>
      </c>
      <c r="G3594">
        <v>233345</v>
      </c>
      <c r="H3594">
        <f>_xlfn.XLOOKUP(FACT_IMPORTS[[#This Row],[hts_6]],DIM_PRODUCTS[hts_6],DIM_PRODUCTS[hts_4],,,)</f>
        <v>8409</v>
      </c>
      <c r="I3594" t="str" cm="1">
        <f t="array" ref="I3594">_xlfn.XLOOKUP(FACT_IMPORTS[[#This Row],[country_name]],DIM_COUNTRY[[#All],[Column2]],DIM_COUNTRY[[#All],[Column3]],,,)</f>
        <v>China</v>
      </c>
    </row>
    <row r="3595" spans="1:9" x14ac:dyDescent="0.4">
      <c r="A3595" t="s">
        <v>66</v>
      </c>
      <c r="B3595" s="1">
        <v>45474</v>
      </c>
      <c r="C3595">
        <v>841330</v>
      </c>
      <c r="D3595" t="s">
        <v>176</v>
      </c>
      <c r="E3595">
        <v>512339</v>
      </c>
      <c r="F3595">
        <v>19631</v>
      </c>
      <c r="G3595">
        <v>12935</v>
      </c>
      <c r="H3595">
        <f>_xlfn.XLOOKUP(FACT_IMPORTS[[#This Row],[hts_6]],DIM_PRODUCTS[hts_6],DIM_PRODUCTS[hts_4],,,)</f>
        <v>8413</v>
      </c>
      <c r="I3595" t="str" cm="1">
        <f t="array" ref="I3595">_xlfn.XLOOKUP(FACT_IMPORTS[[#This Row],[country_name]],DIM_COUNTRY[[#All],[Column2]],DIM_COUNTRY[[#All],[Column3]],,,)</f>
        <v>China</v>
      </c>
    </row>
    <row r="3596" spans="1:9" x14ac:dyDescent="0.4">
      <c r="A3596" t="s">
        <v>66</v>
      </c>
      <c r="B3596" s="1">
        <v>45474</v>
      </c>
      <c r="C3596">
        <v>841520</v>
      </c>
      <c r="D3596" t="s">
        <v>176</v>
      </c>
      <c r="E3596">
        <v>0</v>
      </c>
      <c r="F3596">
        <v>0</v>
      </c>
      <c r="G3596">
        <v>0</v>
      </c>
      <c r="H3596">
        <f>_xlfn.XLOOKUP(FACT_IMPORTS[[#This Row],[hts_6]],DIM_PRODUCTS[hts_6],DIM_PRODUCTS[hts_4],,,)</f>
        <v>8415</v>
      </c>
      <c r="I3596" t="str" cm="1">
        <f t="array" ref="I3596">_xlfn.XLOOKUP(FACT_IMPORTS[[#This Row],[country_name]],DIM_COUNTRY[[#All],[Column2]],DIM_COUNTRY[[#All],[Column3]],,,)</f>
        <v>China</v>
      </c>
    </row>
    <row r="3597" spans="1:9" x14ac:dyDescent="0.4">
      <c r="A3597" t="s">
        <v>66</v>
      </c>
      <c r="B3597" s="1">
        <v>45474</v>
      </c>
      <c r="C3597">
        <v>842132</v>
      </c>
      <c r="D3597" t="s">
        <v>176</v>
      </c>
      <c r="E3597">
        <v>47072</v>
      </c>
      <c r="F3597">
        <v>52</v>
      </c>
      <c r="G3597">
        <v>596</v>
      </c>
      <c r="H3597">
        <f>_xlfn.XLOOKUP(FACT_IMPORTS[[#This Row],[hts_6]],DIM_PRODUCTS[hts_6],DIM_PRODUCTS[hts_4],,,)</f>
        <v>8421</v>
      </c>
      <c r="I3597" t="str" cm="1">
        <f t="array" ref="I3597">_xlfn.XLOOKUP(FACT_IMPORTS[[#This Row],[country_name]],DIM_COUNTRY[[#All],[Column2]],DIM_COUNTRY[[#All],[Column3]],,,)</f>
        <v>China</v>
      </c>
    </row>
    <row r="3598" spans="1:9" x14ac:dyDescent="0.4">
      <c r="A3598" t="s">
        <v>66</v>
      </c>
      <c r="B3598" s="1">
        <v>45474</v>
      </c>
      <c r="C3598">
        <v>848210</v>
      </c>
      <c r="D3598" t="s">
        <v>176</v>
      </c>
      <c r="E3598">
        <v>764428</v>
      </c>
      <c r="F3598">
        <v>457717</v>
      </c>
      <c r="G3598">
        <v>34626</v>
      </c>
      <c r="H3598">
        <f>_xlfn.XLOOKUP(FACT_IMPORTS[[#This Row],[hts_6]],DIM_PRODUCTS[hts_6],DIM_PRODUCTS[hts_4],,,)</f>
        <v>8482</v>
      </c>
      <c r="I3598" t="str" cm="1">
        <f t="array" ref="I3598">_xlfn.XLOOKUP(FACT_IMPORTS[[#This Row],[country_name]],DIM_COUNTRY[[#All],[Column2]],DIM_COUNTRY[[#All],[Column3]],,,)</f>
        <v>China</v>
      </c>
    </row>
    <row r="3599" spans="1:9" x14ac:dyDescent="0.4">
      <c r="A3599" t="s">
        <v>66</v>
      </c>
      <c r="B3599" s="1">
        <v>45474</v>
      </c>
      <c r="C3599">
        <v>848220</v>
      </c>
      <c r="D3599" t="s">
        <v>176</v>
      </c>
      <c r="E3599">
        <v>4814</v>
      </c>
      <c r="F3599">
        <v>3</v>
      </c>
      <c r="G3599">
        <v>65</v>
      </c>
      <c r="H3599">
        <f>_xlfn.XLOOKUP(FACT_IMPORTS[[#This Row],[hts_6]],DIM_PRODUCTS[hts_6],DIM_PRODUCTS[hts_4],,,)</f>
        <v>8482</v>
      </c>
      <c r="I3599" t="str" cm="1">
        <f t="array" ref="I3599">_xlfn.XLOOKUP(FACT_IMPORTS[[#This Row],[country_name]],DIM_COUNTRY[[#All],[Column2]],DIM_COUNTRY[[#All],[Column3]],,,)</f>
        <v>China</v>
      </c>
    </row>
    <row r="3600" spans="1:9" x14ac:dyDescent="0.4">
      <c r="A3600" t="s">
        <v>66</v>
      </c>
      <c r="B3600" s="1">
        <v>45474</v>
      </c>
      <c r="C3600">
        <v>848310</v>
      </c>
      <c r="D3600" t="s">
        <v>176</v>
      </c>
      <c r="E3600">
        <v>3749803</v>
      </c>
      <c r="F3600">
        <v>182846</v>
      </c>
      <c r="G3600">
        <v>153709</v>
      </c>
      <c r="H3600">
        <f>_xlfn.XLOOKUP(FACT_IMPORTS[[#This Row],[hts_6]],DIM_PRODUCTS[hts_6],DIM_PRODUCTS[hts_4],,,)</f>
        <v>8483</v>
      </c>
      <c r="I3600" t="str" cm="1">
        <f t="array" ref="I3600">_xlfn.XLOOKUP(FACT_IMPORTS[[#This Row],[country_name]],DIM_COUNTRY[[#All],[Column2]],DIM_COUNTRY[[#All],[Column3]],,,)</f>
        <v>China</v>
      </c>
    </row>
    <row r="3601" spans="1:9" x14ac:dyDescent="0.4">
      <c r="A3601" t="s">
        <v>66</v>
      </c>
      <c r="B3601" s="1">
        <v>45474</v>
      </c>
      <c r="C3601">
        <v>850131</v>
      </c>
      <c r="D3601" t="s">
        <v>176</v>
      </c>
      <c r="E3601">
        <v>2603384</v>
      </c>
      <c r="F3601">
        <v>277765</v>
      </c>
      <c r="G3601">
        <v>60670</v>
      </c>
      <c r="H3601">
        <f>_xlfn.XLOOKUP(FACT_IMPORTS[[#This Row],[hts_6]],DIM_PRODUCTS[hts_6],DIM_PRODUCTS[hts_4],,,)</f>
        <v>8501</v>
      </c>
      <c r="I3601" t="str" cm="1">
        <f t="array" ref="I3601">_xlfn.XLOOKUP(FACT_IMPORTS[[#This Row],[country_name]],DIM_COUNTRY[[#All],[Column2]],DIM_COUNTRY[[#All],[Column3]],,,)</f>
        <v>China</v>
      </c>
    </row>
    <row r="3602" spans="1:9" x14ac:dyDescent="0.4">
      <c r="A3602" t="s">
        <v>66</v>
      </c>
      <c r="B3602" s="1">
        <v>45474</v>
      </c>
      <c r="C3602">
        <v>850132</v>
      </c>
      <c r="D3602" t="s">
        <v>176</v>
      </c>
      <c r="E3602">
        <v>17660</v>
      </c>
      <c r="F3602">
        <v>33</v>
      </c>
      <c r="G3602">
        <v>789</v>
      </c>
      <c r="H3602">
        <f>_xlfn.XLOOKUP(FACT_IMPORTS[[#This Row],[hts_6]],DIM_PRODUCTS[hts_6],DIM_PRODUCTS[hts_4],,,)</f>
        <v>8501</v>
      </c>
      <c r="I3602" t="str" cm="1">
        <f t="array" ref="I3602">_xlfn.XLOOKUP(FACT_IMPORTS[[#This Row],[country_name]],DIM_COUNTRY[[#All],[Column2]],DIM_COUNTRY[[#All],[Column3]],,,)</f>
        <v>China</v>
      </c>
    </row>
    <row r="3603" spans="1:9" x14ac:dyDescent="0.4">
      <c r="A3603" t="s">
        <v>66</v>
      </c>
      <c r="B3603" s="1">
        <v>45474</v>
      </c>
      <c r="C3603">
        <v>850133</v>
      </c>
      <c r="D3603" t="s">
        <v>176</v>
      </c>
      <c r="E3603">
        <v>0</v>
      </c>
      <c r="F3603">
        <v>0</v>
      </c>
      <c r="G3603">
        <v>0</v>
      </c>
      <c r="H3603">
        <f>_xlfn.XLOOKUP(FACT_IMPORTS[[#This Row],[hts_6]],DIM_PRODUCTS[hts_6],DIM_PRODUCTS[hts_4],,,)</f>
        <v>8501</v>
      </c>
      <c r="I3603" t="str" cm="1">
        <f t="array" ref="I3603">_xlfn.XLOOKUP(FACT_IMPORTS[[#This Row],[country_name]],DIM_COUNTRY[[#All],[Column2]],DIM_COUNTRY[[#All],[Column3]],,,)</f>
        <v>China</v>
      </c>
    </row>
    <row r="3604" spans="1:9" x14ac:dyDescent="0.4">
      <c r="A3604" t="s">
        <v>66</v>
      </c>
      <c r="B3604" s="1">
        <v>45474</v>
      </c>
      <c r="C3604">
        <v>850152</v>
      </c>
      <c r="D3604" t="s">
        <v>176</v>
      </c>
      <c r="E3604">
        <v>365373</v>
      </c>
      <c r="F3604">
        <v>813</v>
      </c>
      <c r="G3604">
        <v>10041</v>
      </c>
      <c r="H3604">
        <f>_xlfn.XLOOKUP(FACT_IMPORTS[[#This Row],[hts_6]],DIM_PRODUCTS[hts_6],DIM_PRODUCTS[hts_4],,,)</f>
        <v>8501</v>
      </c>
      <c r="I3604" t="str" cm="1">
        <f t="array" ref="I3604">_xlfn.XLOOKUP(FACT_IMPORTS[[#This Row],[country_name]],DIM_COUNTRY[[#All],[Column2]],DIM_COUNTRY[[#All],[Column3]],,,)</f>
        <v>China</v>
      </c>
    </row>
    <row r="3605" spans="1:9" x14ac:dyDescent="0.4">
      <c r="A3605" t="s">
        <v>66</v>
      </c>
      <c r="B3605" s="1">
        <v>45474</v>
      </c>
      <c r="C3605">
        <v>850153</v>
      </c>
      <c r="D3605" t="s">
        <v>176</v>
      </c>
      <c r="E3605">
        <v>22514</v>
      </c>
      <c r="F3605">
        <v>3</v>
      </c>
      <c r="G3605">
        <v>2503</v>
      </c>
      <c r="H3605">
        <f>_xlfn.XLOOKUP(FACT_IMPORTS[[#This Row],[hts_6]],DIM_PRODUCTS[hts_6],DIM_PRODUCTS[hts_4],,,)</f>
        <v>8501</v>
      </c>
      <c r="I3605" t="str" cm="1">
        <f t="array" ref="I3605">_xlfn.XLOOKUP(FACT_IMPORTS[[#This Row],[country_name]],DIM_COUNTRY[[#All],[Column2]],DIM_COUNTRY[[#All],[Column3]],,,)</f>
        <v>China</v>
      </c>
    </row>
    <row r="3606" spans="1:9" x14ac:dyDescent="0.4">
      <c r="A3606" t="s">
        <v>66</v>
      </c>
      <c r="B3606" s="1">
        <v>45474</v>
      </c>
      <c r="C3606">
        <v>850161</v>
      </c>
      <c r="D3606" t="s">
        <v>176</v>
      </c>
      <c r="E3606">
        <v>9809</v>
      </c>
      <c r="F3606">
        <v>195</v>
      </c>
      <c r="G3606">
        <v>1</v>
      </c>
      <c r="H3606">
        <f>_xlfn.XLOOKUP(FACT_IMPORTS[[#This Row],[hts_6]],DIM_PRODUCTS[hts_6],DIM_PRODUCTS[hts_4],,,)</f>
        <v>8501</v>
      </c>
      <c r="I3606" t="str" cm="1">
        <f t="array" ref="I3606">_xlfn.XLOOKUP(FACT_IMPORTS[[#This Row],[country_name]],DIM_COUNTRY[[#All],[Column2]],DIM_COUNTRY[[#All],[Column3]],,,)</f>
        <v>China</v>
      </c>
    </row>
    <row r="3607" spans="1:9" x14ac:dyDescent="0.4">
      <c r="A3607" t="s">
        <v>66</v>
      </c>
      <c r="B3607" s="1">
        <v>45474</v>
      </c>
      <c r="C3607">
        <v>850440</v>
      </c>
      <c r="D3607" t="s">
        <v>176</v>
      </c>
      <c r="E3607">
        <v>1695148</v>
      </c>
      <c r="F3607">
        <v>50537</v>
      </c>
      <c r="G3607">
        <v>25958</v>
      </c>
      <c r="H3607">
        <f>_xlfn.XLOOKUP(FACT_IMPORTS[[#This Row],[hts_6]],DIM_PRODUCTS[hts_6],DIM_PRODUCTS[hts_4],,,)</f>
        <v>8504</v>
      </c>
      <c r="I3607" t="str" cm="1">
        <f t="array" ref="I3607">_xlfn.XLOOKUP(FACT_IMPORTS[[#This Row],[country_name]],DIM_COUNTRY[[#All],[Column2]],DIM_COUNTRY[[#All],[Column3]],,,)</f>
        <v>China</v>
      </c>
    </row>
    <row r="3608" spans="1:9" x14ac:dyDescent="0.4">
      <c r="A3608" t="s">
        <v>66</v>
      </c>
      <c r="B3608" s="1">
        <v>45474</v>
      </c>
      <c r="C3608">
        <v>850710</v>
      </c>
      <c r="D3608" t="s">
        <v>176</v>
      </c>
      <c r="E3608">
        <v>26806</v>
      </c>
      <c r="F3608">
        <v>3114</v>
      </c>
      <c r="G3608">
        <v>545</v>
      </c>
      <c r="H3608">
        <f>_xlfn.XLOOKUP(FACT_IMPORTS[[#This Row],[hts_6]],DIM_PRODUCTS[hts_6],DIM_PRODUCTS[hts_4],,,)</f>
        <v>8507</v>
      </c>
      <c r="I3608" t="str" cm="1">
        <f t="array" ref="I3608">_xlfn.XLOOKUP(FACT_IMPORTS[[#This Row],[country_name]],DIM_COUNTRY[[#All],[Column2]],DIM_COUNTRY[[#All],[Column3]],,,)</f>
        <v>China</v>
      </c>
    </row>
    <row r="3609" spans="1:9" x14ac:dyDescent="0.4">
      <c r="A3609" t="s">
        <v>66</v>
      </c>
      <c r="B3609" s="1">
        <v>45474</v>
      </c>
      <c r="C3609">
        <v>850760</v>
      </c>
      <c r="D3609" t="s">
        <v>176</v>
      </c>
      <c r="E3609">
        <v>4057308</v>
      </c>
      <c r="F3609">
        <v>6512</v>
      </c>
      <c r="G3609">
        <v>56642</v>
      </c>
      <c r="H3609">
        <f>_xlfn.XLOOKUP(FACT_IMPORTS[[#This Row],[hts_6]],DIM_PRODUCTS[hts_6],DIM_PRODUCTS[hts_4],,,)</f>
        <v>8507</v>
      </c>
      <c r="I3609" t="str" cm="1">
        <f t="array" ref="I3609">_xlfn.XLOOKUP(FACT_IMPORTS[[#This Row],[country_name]],DIM_COUNTRY[[#All],[Column2]],DIM_COUNTRY[[#All],[Column3]],,,)</f>
        <v>China</v>
      </c>
    </row>
    <row r="3610" spans="1:9" x14ac:dyDescent="0.4">
      <c r="A3610" t="s">
        <v>66</v>
      </c>
      <c r="B3610" s="1">
        <v>45474</v>
      </c>
      <c r="C3610">
        <v>850790</v>
      </c>
      <c r="D3610" t="s">
        <v>176</v>
      </c>
      <c r="E3610">
        <v>730686</v>
      </c>
      <c r="F3610">
        <v>89319</v>
      </c>
      <c r="G3610">
        <v>3945</v>
      </c>
      <c r="H3610">
        <f>_xlfn.XLOOKUP(FACT_IMPORTS[[#This Row],[hts_6]],DIM_PRODUCTS[hts_6],DIM_PRODUCTS[hts_4],,,)</f>
        <v>8507</v>
      </c>
      <c r="I3610" t="str" cm="1">
        <f t="array" ref="I3610">_xlfn.XLOOKUP(FACT_IMPORTS[[#This Row],[country_name]],DIM_COUNTRY[[#All],[Column2]],DIM_COUNTRY[[#All],[Column3]],,,)</f>
        <v>China</v>
      </c>
    </row>
    <row r="3611" spans="1:9" x14ac:dyDescent="0.4">
      <c r="A3611" t="s">
        <v>66</v>
      </c>
      <c r="B3611" s="1">
        <v>45474</v>
      </c>
      <c r="C3611">
        <v>851130</v>
      </c>
      <c r="D3611" t="s">
        <v>176</v>
      </c>
      <c r="E3611">
        <v>52795</v>
      </c>
      <c r="F3611">
        <v>1651</v>
      </c>
      <c r="G3611">
        <v>2647</v>
      </c>
      <c r="H3611">
        <f>_xlfn.XLOOKUP(FACT_IMPORTS[[#This Row],[hts_6]],DIM_PRODUCTS[hts_6],DIM_PRODUCTS[hts_4],,,)</f>
        <v>8511</v>
      </c>
      <c r="I3611" t="str" cm="1">
        <f t="array" ref="I3611">_xlfn.XLOOKUP(FACT_IMPORTS[[#This Row],[country_name]],DIM_COUNTRY[[#All],[Column2]],DIM_COUNTRY[[#All],[Column3]],,,)</f>
        <v>China</v>
      </c>
    </row>
    <row r="3612" spans="1:9" x14ac:dyDescent="0.4">
      <c r="A3612" t="s">
        <v>66</v>
      </c>
      <c r="B3612" s="1">
        <v>45474</v>
      </c>
      <c r="C3612">
        <v>851140</v>
      </c>
      <c r="D3612" t="s">
        <v>176</v>
      </c>
      <c r="E3612">
        <v>410891</v>
      </c>
      <c r="F3612">
        <v>5713</v>
      </c>
      <c r="G3612">
        <v>3943</v>
      </c>
      <c r="H3612">
        <f>_xlfn.XLOOKUP(FACT_IMPORTS[[#This Row],[hts_6]],DIM_PRODUCTS[hts_6],DIM_PRODUCTS[hts_4],,,)</f>
        <v>8511</v>
      </c>
      <c r="I3612" t="str" cm="1">
        <f t="array" ref="I3612">_xlfn.XLOOKUP(FACT_IMPORTS[[#This Row],[country_name]],DIM_COUNTRY[[#All],[Column2]],DIM_COUNTRY[[#All],[Column3]],,,)</f>
        <v>China</v>
      </c>
    </row>
    <row r="3613" spans="1:9" x14ac:dyDescent="0.4">
      <c r="A3613" t="s">
        <v>66</v>
      </c>
      <c r="B3613" s="1">
        <v>45474</v>
      </c>
      <c r="C3613">
        <v>851150</v>
      </c>
      <c r="D3613" t="s">
        <v>176</v>
      </c>
      <c r="E3613">
        <v>114432</v>
      </c>
      <c r="F3613">
        <v>1146</v>
      </c>
      <c r="G3613">
        <v>1027</v>
      </c>
      <c r="H3613">
        <f>_xlfn.XLOOKUP(FACT_IMPORTS[[#This Row],[hts_6]],DIM_PRODUCTS[hts_6],DIM_PRODUCTS[hts_4],,,)</f>
        <v>8511</v>
      </c>
      <c r="I3613" t="str" cm="1">
        <f t="array" ref="I3613">_xlfn.XLOOKUP(FACT_IMPORTS[[#This Row],[country_name]],DIM_COUNTRY[[#All],[Column2]],DIM_COUNTRY[[#All],[Column3]],,,)</f>
        <v>China</v>
      </c>
    </row>
    <row r="3614" spans="1:9" x14ac:dyDescent="0.4">
      <c r="A3614" t="s">
        <v>66</v>
      </c>
      <c r="B3614" s="1">
        <v>45474</v>
      </c>
      <c r="C3614">
        <v>851180</v>
      </c>
      <c r="D3614" t="s">
        <v>176</v>
      </c>
      <c r="E3614">
        <v>5981</v>
      </c>
      <c r="F3614">
        <v>236</v>
      </c>
      <c r="G3614">
        <v>26</v>
      </c>
      <c r="H3614">
        <f>_xlfn.XLOOKUP(FACT_IMPORTS[[#This Row],[hts_6]],DIM_PRODUCTS[hts_6],DIM_PRODUCTS[hts_4],,,)</f>
        <v>8511</v>
      </c>
      <c r="I3614" t="str" cm="1">
        <f t="array" ref="I3614">_xlfn.XLOOKUP(FACT_IMPORTS[[#This Row],[country_name]],DIM_COUNTRY[[#All],[Column2]],DIM_COUNTRY[[#All],[Column3]],,,)</f>
        <v>China</v>
      </c>
    </row>
    <row r="3615" spans="1:9" x14ac:dyDescent="0.4">
      <c r="A3615" t="s">
        <v>66</v>
      </c>
      <c r="B3615" s="1">
        <v>45474</v>
      </c>
      <c r="C3615">
        <v>851190</v>
      </c>
      <c r="D3615" t="s">
        <v>176</v>
      </c>
      <c r="E3615">
        <v>41325</v>
      </c>
      <c r="F3615">
        <v>495</v>
      </c>
      <c r="G3615">
        <v>889</v>
      </c>
      <c r="H3615">
        <f>_xlfn.XLOOKUP(FACT_IMPORTS[[#This Row],[hts_6]],DIM_PRODUCTS[hts_6],DIM_PRODUCTS[hts_4],,,)</f>
        <v>8511</v>
      </c>
      <c r="I3615" t="str" cm="1">
        <f t="array" ref="I3615">_xlfn.XLOOKUP(FACT_IMPORTS[[#This Row],[country_name]],DIM_COUNTRY[[#All],[Column2]],DIM_COUNTRY[[#All],[Column3]],,,)</f>
        <v>China</v>
      </c>
    </row>
    <row r="3616" spans="1:9" x14ac:dyDescent="0.4">
      <c r="A3616" t="s">
        <v>66</v>
      </c>
      <c r="B3616" s="1">
        <v>45474</v>
      </c>
      <c r="C3616">
        <v>851220</v>
      </c>
      <c r="D3616" t="s">
        <v>176</v>
      </c>
      <c r="E3616">
        <v>3285608</v>
      </c>
      <c r="F3616">
        <v>557057</v>
      </c>
      <c r="G3616">
        <v>169922</v>
      </c>
      <c r="H3616">
        <f>_xlfn.XLOOKUP(FACT_IMPORTS[[#This Row],[hts_6]],DIM_PRODUCTS[hts_6],DIM_PRODUCTS[hts_4],,,)</f>
        <v>8512</v>
      </c>
      <c r="I3616" t="str" cm="1">
        <f t="array" ref="I3616">_xlfn.XLOOKUP(FACT_IMPORTS[[#This Row],[country_name]],DIM_COUNTRY[[#All],[Column2]],DIM_COUNTRY[[#All],[Column3]],,,)</f>
        <v>China</v>
      </c>
    </row>
    <row r="3617" spans="1:9" x14ac:dyDescent="0.4">
      <c r="A3617" t="s">
        <v>66</v>
      </c>
      <c r="B3617" s="1">
        <v>45474</v>
      </c>
      <c r="C3617">
        <v>851230</v>
      </c>
      <c r="D3617" t="s">
        <v>176</v>
      </c>
      <c r="E3617">
        <v>0</v>
      </c>
      <c r="F3617">
        <v>0</v>
      </c>
      <c r="G3617">
        <v>0</v>
      </c>
      <c r="H3617">
        <f>_xlfn.XLOOKUP(FACT_IMPORTS[[#This Row],[hts_6]],DIM_PRODUCTS[hts_6],DIM_PRODUCTS[hts_4],,,)</f>
        <v>8512</v>
      </c>
      <c r="I3617" t="str" cm="1">
        <f t="array" ref="I3617">_xlfn.XLOOKUP(FACT_IMPORTS[[#This Row],[country_name]],DIM_COUNTRY[[#All],[Column2]],DIM_COUNTRY[[#All],[Column3]],,,)</f>
        <v>China</v>
      </c>
    </row>
    <row r="3618" spans="1:9" x14ac:dyDescent="0.4">
      <c r="A3618" t="s">
        <v>66</v>
      </c>
      <c r="B3618" s="1">
        <v>45474</v>
      </c>
      <c r="C3618">
        <v>851240</v>
      </c>
      <c r="D3618" t="s">
        <v>176</v>
      </c>
      <c r="E3618">
        <v>6838</v>
      </c>
      <c r="F3618">
        <v>147</v>
      </c>
      <c r="G3618">
        <v>5</v>
      </c>
      <c r="H3618">
        <f>_xlfn.XLOOKUP(FACT_IMPORTS[[#This Row],[hts_6]],DIM_PRODUCTS[hts_6],DIM_PRODUCTS[hts_4],,,)</f>
        <v>8512</v>
      </c>
      <c r="I3618" t="str" cm="1">
        <f t="array" ref="I3618">_xlfn.XLOOKUP(FACT_IMPORTS[[#This Row],[country_name]],DIM_COUNTRY[[#All],[Column2]],DIM_COUNTRY[[#All],[Column3]],,,)</f>
        <v>China</v>
      </c>
    </row>
    <row r="3619" spans="1:9" x14ac:dyDescent="0.4">
      <c r="A3619" t="s">
        <v>66</v>
      </c>
      <c r="B3619" s="1">
        <v>45474</v>
      </c>
      <c r="C3619">
        <v>851290</v>
      </c>
      <c r="D3619" t="s">
        <v>176</v>
      </c>
      <c r="E3619">
        <v>175480</v>
      </c>
      <c r="F3619">
        <v>8976</v>
      </c>
      <c r="G3619">
        <v>14448</v>
      </c>
      <c r="H3619">
        <f>_xlfn.XLOOKUP(FACT_IMPORTS[[#This Row],[hts_6]],DIM_PRODUCTS[hts_6],DIM_PRODUCTS[hts_4],,,)</f>
        <v>8512</v>
      </c>
      <c r="I3619" t="str" cm="1">
        <f t="array" ref="I3619">_xlfn.XLOOKUP(FACT_IMPORTS[[#This Row],[country_name]],DIM_COUNTRY[[#All],[Column2]],DIM_COUNTRY[[#All],[Column3]],,,)</f>
        <v>China</v>
      </c>
    </row>
    <row r="3620" spans="1:9" x14ac:dyDescent="0.4">
      <c r="A3620" t="s">
        <v>66</v>
      </c>
      <c r="B3620" s="1">
        <v>45474</v>
      </c>
      <c r="C3620">
        <v>854231</v>
      </c>
      <c r="D3620" t="s">
        <v>176</v>
      </c>
      <c r="E3620">
        <v>165358</v>
      </c>
      <c r="F3620">
        <v>64000</v>
      </c>
      <c r="G3620">
        <v>969</v>
      </c>
      <c r="H3620">
        <f>_xlfn.XLOOKUP(FACT_IMPORTS[[#This Row],[hts_6]],DIM_PRODUCTS[hts_6],DIM_PRODUCTS[hts_4],,,)</f>
        <v>8542</v>
      </c>
      <c r="I3620" t="str" cm="1">
        <f t="array" ref="I3620">_xlfn.XLOOKUP(FACT_IMPORTS[[#This Row],[country_name]],DIM_COUNTRY[[#All],[Column2]],DIM_COUNTRY[[#All],[Column3]],,,)</f>
        <v>China</v>
      </c>
    </row>
    <row r="3621" spans="1:9" x14ac:dyDescent="0.4">
      <c r="A3621" t="s">
        <v>66</v>
      </c>
      <c r="B3621" s="1">
        <v>45474</v>
      </c>
      <c r="C3621">
        <v>854232</v>
      </c>
      <c r="D3621" t="s">
        <v>176</v>
      </c>
      <c r="E3621">
        <v>6349</v>
      </c>
      <c r="F3621">
        <v>100</v>
      </c>
      <c r="G3621">
        <v>216</v>
      </c>
      <c r="H3621">
        <f>_xlfn.XLOOKUP(FACT_IMPORTS[[#This Row],[hts_6]],DIM_PRODUCTS[hts_6],DIM_PRODUCTS[hts_4],,,)</f>
        <v>8542</v>
      </c>
      <c r="I3621" t="str" cm="1">
        <f t="array" ref="I3621">_xlfn.XLOOKUP(FACT_IMPORTS[[#This Row],[country_name]],DIM_COUNTRY[[#All],[Column2]],DIM_COUNTRY[[#All],[Column3]],,,)</f>
        <v>China</v>
      </c>
    </row>
    <row r="3622" spans="1:9" x14ac:dyDescent="0.4">
      <c r="A3622" t="s">
        <v>66</v>
      </c>
      <c r="B3622" s="1">
        <v>45474</v>
      </c>
      <c r="C3622">
        <v>854233</v>
      </c>
      <c r="D3622" t="s">
        <v>176</v>
      </c>
      <c r="E3622">
        <v>0</v>
      </c>
      <c r="F3622">
        <v>0</v>
      </c>
      <c r="G3622">
        <v>0</v>
      </c>
      <c r="H3622">
        <f>_xlfn.XLOOKUP(FACT_IMPORTS[[#This Row],[hts_6]],DIM_PRODUCTS[hts_6],DIM_PRODUCTS[hts_4],,,)</f>
        <v>8542</v>
      </c>
      <c r="I3622" t="str" cm="1">
        <f t="array" ref="I3622">_xlfn.XLOOKUP(FACT_IMPORTS[[#This Row],[country_name]],DIM_COUNTRY[[#All],[Column2]],DIM_COUNTRY[[#All],[Column3]],,,)</f>
        <v>China</v>
      </c>
    </row>
    <row r="3623" spans="1:9" x14ac:dyDescent="0.4">
      <c r="A3623" t="s">
        <v>66</v>
      </c>
      <c r="B3623" s="1">
        <v>45474</v>
      </c>
      <c r="C3623">
        <v>854239</v>
      </c>
      <c r="D3623" t="s">
        <v>176</v>
      </c>
      <c r="E3623">
        <v>159925</v>
      </c>
      <c r="F3623">
        <v>37056</v>
      </c>
      <c r="G3623">
        <v>673</v>
      </c>
      <c r="H3623">
        <f>_xlfn.XLOOKUP(FACT_IMPORTS[[#This Row],[hts_6]],DIM_PRODUCTS[hts_6],DIM_PRODUCTS[hts_4],,,)</f>
        <v>8542</v>
      </c>
      <c r="I3623" t="str" cm="1">
        <f t="array" ref="I3623">_xlfn.XLOOKUP(FACT_IMPORTS[[#This Row],[country_name]],DIM_COUNTRY[[#All],[Column2]],DIM_COUNTRY[[#All],[Column3]],,,)</f>
        <v>China</v>
      </c>
    </row>
    <row r="3624" spans="1:9" x14ac:dyDescent="0.4">
      <c r="A3624" t="s">
        <v>66</v>
      </c>
      <c r="B3624" s="1">
        <v>45474</v>
      </c>
      <c r="C3624">
        <v>854290</v>
      </c>
      <c r="D3624" t="s">
        <v>176</v>
      </c>
      <c r="E3624">
        <v>0</v>
      </c>
      <c r="F3624">
        <v>0</v>
      </c>
      <c r="G3624">
        <v>0</v>
      </c>
      <c r="H3624">
        <f>_xlfn.XLOOKUP(FACT_IMPORTS[[#This Row],[hts_6]],DIM_PRODUCTS[hts_6],DIM_PRODUCTS[hts_4],,,)</f>
        <v>8542</v>
      </c>
      <c r="I3624" t="str" cm="1">
        <f t="array" ref="I3624">_xlfn.XLOOKUP(FACT_IMPORTS[[#This Row],[country_name]],DIM_COUNTRY[[#All],[Column2]],DIM_COUNTRY[[#All],[Column3]],,,)</f>
        <v>China</v>
      </c>
    </row>
    <row r="3625" spans="1:9" x14ac:dyDescent="0.4">
      <c r="A3625" t="s">
        <v>66</v>
      </c>
      <c r="B3625" s="1">
        <v>45474</v>
      </c>
      <c r="C3625">
        <v>854430</v>
      </c>
      <c r="D3625" t="s">
        <v>176</v>
      </c>
      <c r="E3625">
        <v>1705047</v>
      </c>
      <c r="F3625">
        <v>52484</v>
      </c>
      <c r="G3625">
        <v>46734</v>
      </c>
      <c r="H3625">
        <f>_xlfn.XLOOKUP(FACT_IMPORTS[[#This Row],[hts_6]],DIM_PRODUCTS[hts_6],DIM_PRODUCTS[hts_4],,,)</f>
        <v>8544</v>
      </c>
      <c r="I3625" t="str" cm="1">
        <f t="array" ref="I3625">_xlfn.XLOOKUP(FACT_IMPORTS[[#This Row],[country_name]],DIM_COUNTRY[[#All],[Column2]],DIM_COUNTRY[[#All],[Column3]],,,)</f>
        <v>China</v>
      </c>
    </row>
    <row r="3626" spans="1:9" x14ac:dyDescent="0.4">
      <c r="A3626" t="s">
        <v>66</v>
      </c>
      <c r="B3626" s="1">
        <v>45474</v>
      </c>
      <c r="C3626">
        <v>870710</v>
      </c>
      <c r="D3626" t="s">
        <v>176</v>
      </c>
      <c r="E3626">
        <v>0</v>
      </c>
      <c r="F3626">
        <v>0</v>
      </c>
      <c r="G3626">
        <v>0</v>
      </c>
      <c r="H3626">
        <f>_xlfn.XLOOKUP(FACT_IMPORTS[[#This Row],[hts_6]],DIM_PRODUCTS[hts_6],DIM_PRODUCTS[hts_4],,,)</f>
        <v>8707</v>
      </c>
      <c r="I3626" t="str" cm="1">
        <f t="array" ref="I3626">_xlfn.XLOOKUP(FACT_IMPORTS[[#This Row],[country_name]],DIM_COUNTRY[[#All],[Column2]],DIM_COUNTRY[[#All],[Column3]],,,)</f>
        <v>China</v>
      </c>
    </row>
    <row r="3627" spans="1:9" x14ac:dyDescent="0.4">
      <c r="A3627" t="s">
        <v>66</v>
      </c>
      <c r="B3627" s="1">
        <v>45474</v>
      </c>
      <c r="C3627">
        <v>870810</v>
      </c>
      <c r="D3627" t="s">
        <v>176</v>
      </c>
      <c r="E3627">
        <v>674995</v>
      </c>
      <c r="F3627">
        <v>59428</v>
      </c>
      <c r="G3627">
        <v>144516</v>
      </c>
      <c r="H3627">
        <f>_xlfn.XLOOKUP(FACT_IMPORTS[[#This Row],[hts_6]],DIM_PRODUCTS[hts_6],DIM_PRODUCTS[hts_4],,,)</f>
        <v>8708</v>
      </c>
      <c r="I3627" t="str" cm="1">
        <f t="array" ref="I3627">_xlfn.XLOOKUP(FACT_IMPORTS[[#This Row],[country_name]],DIM_COUNTRY[[#All],[Column2]],DIM_COUNTRY[[#All],[Column3]],,,)</f>
        <v>China</v>
      </c>
    </row>
    <row r="3628" spans="1:9" x14ac:dyDescent="0.4">
      <c r="A3628" t="s">
        <v>66</v>
      </c>
      <c r="B3628" s="1">
        <v>45474</v>
      </c>
      <c r="C3628">
        <v>870821</v>
      </c>
      <c r="D3628" t="s">
        <v>176</v>
      </c>
      <c r="E3628">
        <v>60963</v>
      </c>
      <c r="F3628">
        <v>9647</v>
      </c>
      <c r="G3628">
        <v>2426</v>
      </c>
      <c r="H3628">
        <f>_xlfn.XLOOKUP(FACT_IMPORTS[[#This Row],[hts_6]],DIM_PRODUCTS[hts_6],DIM_PRODUCTS[hts_4],,,)</f>
        <v>8708</v>
      </c>
      <c r="I3628" t="str" cm="1">
        <f t="array" ref="I3628">_xlfn.XLOOKUP(FACT_IMPORTS[[#This Row],[country_name]],DIM_COUNTRY[[#All],[Column2]],DIM_COUNTRY[[#All],[Column3]],,,)</f>
        <v>China</v>
      </c>
    </row>
    <row r="3629" spans="1:9" x14ac:dyDescent="0.4">
      <c r="A3629" t="s">
        <v>66</v>
      </c>
      <c r="B3629" s="1">
        <v>45474</v>
      </c>
      <c r="C3629">
        <v>870822</v>
      </c>
      <c r="D3629" t="s">
        <v>176</v>
      </c>
      <c r="E3629">
        <v>1173029</v>
      </c>
      <c r="F3629">
        <v>138330</v>
      </c>
      <c r="G3629">
        <v>64760</v>
      </c>
      <c r="H3629">
        <f>_xlfn.XLOOKUP(FACT_IMPORTS[[#This Row],[hts_6]],DIM_PRODUCTS[hts_6],DIM_PRODUCTS[hts_4],,,)</f>
        <v>8708</v>
      </c>
      <c r="I3629" t="str" cm="1">
        <f t="array" ref="I3629">_xlfn.XLOOKUP(FACT_IMPORTS[[#This Row],[country_name]],DIM_COUNTRY[[#All],[Column2]],DIM_COUNTRY[[#All],[Column3]],,,)</f>
        <v>China</v>
      </c>
    </row>
    <row r="3630" spans="1:9" x14ac:dyDescent="0.4">
      <c r="A3630" t="s">
        <v>66</v>
      </c>
      <c r="B3630" s="1">
        <v>45474</v>
      </c>
      <c r="C3630">
        <v>870829</v>
      </c>
      <c r="D3630" t="s">
        <v>176</v>
      </c>
      <c r="E3630">
        <v>14778376</v>
      </c>
      <c r="F3630">
        <v>3682396</v>
      </c>
      <c r="G3630">
        <v>789786</v>
      </c>
      <c r="H3630">
        <f>_xlfn.XLOOKUP(FACT_IMPORTS[[#This Row],[hts_6]],DIM_PRODUCTS[hts_6],DIM_PRODUCTS[hts_4],,,)</f>
        <v>8708</v>
      </c>
      <c r="I3630" t="str" cm="1">
        <f t="array" ref="I3630">_xlfn.XLOOKUP(FACT_IMPORTS[[#This Row],[country_name]],DIM_COUNTRY[[#All],[Column2]],DIM_COUNTRY[[#All],[Column3]],,,)</f>
        <v>China</v>
      </c>
    </row>
    <row r="3631" spans="1:9" x14ac:dyDescent="0.4">
      <c r="A3631" t="s">
        <v>66</v>
      </c>
      <c r="B3631" s="1">
        <v>45474</v>
      </c>
      <c r="C3631">
        <v>870830</v>
      </c>
      <c r="D3631" t="s">
        <v>176</v>
      </c>
      <c r="E3631">
        <v>4362009</v>
      </c>
      <c r="F3631">
        <v>477140</v>
      </c>
      <c r="G3631">
        <v>181750</v>
      </c>
      <c r="H3631">
        <f>_xlfn.XLOOKUP(FACT_IMPORTS[[#This Row],[hts_6]],DIM_PRODUCTS[hts_6],DIM_PRODUCTS[hts_4],,,)</f>
        <v>8708</v>
      </c>
      <c r="I3631" t="str" cm="1">
        <f t="array" ref="I3631">_xlfn.XLOOKUP(FACT_IMPORTS[[#This Row],[country_name]],DIM_COUNTRY[[#All],[Column2]],DIM_COUNTRY[[#All],[Column3]],,,)</f>
        <v>China</v>
      </c>
    </row>
    <row r="3632" spans="1:9" x14ac:dyDescent="0.4">
      <c r="A3632" t="s">
        <v>66</v>
      </c>
      <c r="B3632" s="1">
        <v>45474</v>
      </c>
      <c r="C3632">
        <v>870840</v>
      </c>
      <c r="D3632" t="s">
        <v>176</v>
      </c>
      <c r="E3632">
        <v>3083547</v>
      </c>
      <c r="F3632">
        <v>679503</v>
      </c>
      <c r="G3632">
        <v>82106</v>
      </c>
      <c r="H3632">
        <f>_xlfn.XLOOKUP(FACT_IMPORTS[[#This Row],[hts_6]],DIM_PRODUCTS[hts_6],DIM_PRODUCTS[hts_4],,,)</f>
        <v>8708</v>
      </c>
      <c r="I3632" t="str" cm="1">
        <f t="array" ref="I3632">_xlfn.XLOOKUP(FACT_IMPORTS[[#This Row],[country_name]],DIM_COUNTRY[[#All],[Column2]],DIM_COUNTRY[[#All],[Column3]],,,)</f>
        <v>China</v>
      </c>
    </row>
    <row r="3633" spans="1:9" x14ac:dyDescent="0.4">
      <c r="A3633" t="s">
        <v>66</v>
      </c>
      <c r="B3633" s="1">
        <v>45474</v>
      </c>
      <c r="C3633">
        <v>870850</v>
      </c>
      <c r="D3633" t="s">
        <v>176</v>
      </c>
      <c r="E3633">
        <v>4831270</v>
      </c>
      <c r="F3633">
        <v>935737</v>
      </c>
      <c r="G3633">
        <v>86721</v>
      </c>
      <c r="H3633">
        <f>_xlfn.XLOOKUP(FACT_IMPORTS[[#This Row],[hts_6]],DIM_PRODUCTS[hts_6],DIM_PRODUCTS[hts_4],,,)</f>
        <v>8708</v>
      </c>
      <c r="I3633" t="str" cm="1">
        <f t="array" ref="I3633">_xlfn.XLOOKUP(FACT_IMPORTS[[#This Row],[country_name]],DIM_COUNTRY[[#All],[Column2]],DIM_COUNTRY[[#All],[Column3]],,,)</f>
        <v>China</v>
      </c>
    </row>
    <row r="3634" spans="1:9" x14ac:dyDescent="0.4">
      <c r="A3634" t="s">
        <v>66</v>
      </c>
      <c r="B3634" s="1">
        <v>45474</v>
      </c>
      <c r="C3634">
        <v>870870</v>
      </c>
      <c r="D3634" t="s">
        <v>176</v>
      </c>
      <c r="E3634">
        <v>32406129</v>
      </c>
      <c r="F3634">
        <v>1127983</v>
      </c>
      <c r="G3634">
        <v>1461828</v>
      </c>
      <c r="H3634">
        <f>_xlfn.XLOOKUP(FACT_IMPORTS[[#This Row],[hts_6]],DIM_PRODUCTS[hts_6],DIM_PRODUCTS[hts_4],,,)</f>
        <v>8708</v>
      </c>
      <c r="I3634" t="str" cm="1">
        <f t="array" ref="I3634">_xlfn.XLOOKUP(FACT_IMPORTS[[#This Row],[country_name]],DIM_COUNTRY[[#All],[Column2]],DIM_COUNTRY[[#All],[Column3]],,,)</f>
        <v>China</v>
      </c>
    </row>
    <row r="3635" spans="1:9" x14ac:dyDescent="0.4">
      <c r="A3635" t="s">
        <v>66</v>
      </c>
      <c r="B3635" s="1">
        <v>45474</v>
      </c>
      <c r="C3635">
        <v>870880</v>
      </c>
      <c r="D3635" t="s">
        <v>176</v>
      </c>
      <c r="E3635">
        <v>13183351</v>
      </c>
      <c r="F3635">
        <v>2515672</v>
      </c>
      <c r="G3635">
        <v>244386</v>
      </c>
      <c r="H3635">
        <f>_xlfn.XLOOKUP(FACT_IMPORTS[[#This Row],[hts_6]],DIM_PRODUCTS[hts_6],DIM_PRODUCTS[hts_4],,,)</f>
        <v>8708</v>
      </c>
      <c r="I3635" t="str" cm="1">
        <f t="array" ref="I3635">_xlfn.XLOOKUP(FACT_IMPORTS[[#This Row],[country_name]],DIM_COUNTRY[[#All],[Column2]],DIM_COUNTRY[[#All],[Column3]],,,)</f>
        <v>China</v>
      </c>
    </row>
    <row r="3636" spans="1:9" x14ac:dyDescent="0.4">
      <c r="A3636" t="s">
        <v>66</v>
      </c>
      <c r="B3636" s="1">
        <v>45474</v>
      </c>
      <c r="C3636">
        <v>870891</v>
      </c>
      <c r="D3636" t="s">
        <v>176</v>
      </c>
      <c r="E3636">
        <v>98637</v>
      </c>
      <c r="F3636">
        <v>2044</v>
      </c>
      <c r="G3636">
        <v>13427</v>
      </c>
      <c r="H3636">
        <f>_xlfn.XLOOKUP(FACT_IMPORTS[[#This Row],[hts_6]],DIM_PRODUCTS[hts_6],DIM_PRODUCTS[hts_4],,,)</f>
        <v>8708</v>
      </c>
      <c r="I3636" t="str" cm="1">
        <f t="array" ref="I3636">_xlfn.XLOOKUP(FACT_IMPORTS[[#This Row],[country_name]],DIM_COUNTRY[[#All],[Column2]],DIM_COUNTRY[[#All],[Column3]],,,)</f>
        <v>China</v>
      </c>
    </row>
    <row r="3637" spans="1:9" x14ac:dyDescent="0.4">
      <c r="A3637" t="s">
        <v>66</v>
      </c>
      <c r="B3637" s="1">
        <v>45474</v>
      </c>
      <c r="C3637">
        <v>870892</v>
      </c>
      <c r="D3637" t="s">
        <v>176</v>
      </c>
      <c r="E3637">
        <v>6642180</v>
      </c>
      <c r="F3637">
        <v>1128033</v>
      </c>
      <c r="G3637">
        <v>469357</v>
      </c>
      <c r="H3637">
        <f>_xlfn.XLOOKUP(FACT_IMPORTS[[#This Row],[hts_6]],DIM_PRODUCTS[hts_6],DIM_PRODUCTS[hts_4],,,)</f>
        <v>8708</v>
      </c>
      <c r="I3637" t="str" cm="1">
        <f t="array" ref="I3637">_xlfn.XLOOKUP(FACT_IMPORTS[[#This Row],[country_name]],DIM_COUNTRY[[#All],[Column2]],DIM_COUNTRY[[#All],[Column3]],,,)</f>
        <v>China</v>
      </c>
    </row>
    <row r="3638" spans="1:9" x14ac:dyDescent="0.4">
      <c r="A3638" t="s">
        <v>66</v>
      </c>
      <c r="B3638" s="1">
        <v>45474</v>
      </c>
      <c r="C3638">
        <v>870893</v>
      </c>
      <c r="D3638" t="s">
        <v>176</v>
      </c>
      <c r="E3638">
        <v>333342</v>
      </c>
      <c r="F3638">
        <v>252475</v>
      </c>
      <c r="G3638">
        <v>26961</v>
      </c>
      <c r="H3638">
        <f>_xlfn.XLOOKUP(FACT_IMPORTS[[#This Row],[hts_6]],DIM_PRODUCTS[hts_6],DIM_PRODUCTS[hts_4],,,)</f>
        <v>8708</v>
      </c>
      <c r="I3638" t="str" cm="1">
        <f t="array" ref="I3638">_xlfn.XLOOKUP(FACT_IMPORTS[[#This Row],[country_name]],DIM_COUNTRY[[#All],[Column2]],DIM_COUNTRY[[#All],[Column3]],,,)</f>
        <v>China</v>
      </c>
    </row>
    <row r="3639" spans="1:9" x14ac:dyDescent="0.4">
      <c r="A3639" t="s">
        <v>66</v>
      </c>
      <c r="B3639" s="1">
        <v>45474</v>
      </c>
      <c r="C3639">
        <v>870894</v>
      </c>
      <c r="D3639" t="s">
        <v>176</v>
      </c>
      <c r="E3639">
        <v>5270749</v>
      </c>
      <c r="F3639">
        <v>434140</v>
      </c>
      <c r="G3639">
        <v>751767</v>
      </c>
      <c r="H3639">
        <f>_xlfn.XLOOKUP(FACT_IMPORTS[[#This Row],[hts_6]],DIM_PRODUCTS[hts_6],DIM_PRODUCTS[hts_4],,,)</f>
        <v>8708</v>
      </c>
      <c r="I3639" t="str" cm="1">
        <f t="array" ref="I3639">_xlfn.XLOOKUP(FACT_IMPORTS[[#This Row],[country_name]],DIM_COUNTRY[[#All],[Column2]],DIM_COUNTRY[[#All],[Column3]],,,)</f>
        <v>China</v>
      </c>
    </row>
    <row r="3640" spans="1:9" x14ac:dyDescent="0.4">
      <c r="A3640" t="s">
        <v>66</v>
      </c>
      <c r="B3640" s="1">
        <v>45474</v>
      </c>
      <c r="C3640">
        <v>870895</v>
      </c>
      <c r="D3640" t="s">
        <v>176</v>
      </c>
      <c r="E3640">
        <v>63752</v>
      </c>
      <c r="F3640">
        <v>2620</v>
      </c>
      <c r="G3640">
        <v>3258</v>
      </c>
      <c r="H3640">
        <f>_xlfn.XLOOKUP(FACT_IMPORTS[[#This Row],[hts_6]],DIM_PRODUCTS[hts_6],DIM_PRODUCTS[hts_4],,,)</f>
        <v>8708</v>
      </c>
      <c r="I3640" t="str" cm="1">
        <f t="array" ref="I3640">_xlfn.XLOOKUP(FACT_IMPORTS[[#This Row],[country_name]],DIM_COUNTRY[[#All],[Column2]],DIM_COUNTRY[[#All],[Column3]],,,)</f>
        <v>China</v>
      </c>
    </row>
    <row r="3641" spans="1:9" x14ac:dyDescent="0.4">
      <c r="A3641" t="s">
        <v>66</v>
      </c>
      <c r="B3641" s="1">
        <v>45474</v>
      </c>
      <c r="C3641">
        <v>870899</v>
      </c>
      <c r="D3641" t="s">
        <v>176</v>
      </c>
      <c r="E3641">
        <v>9436075</v>
      </c>
      <c r="F3641">
        <v>2068621</v>
      </c>
      <c r="G3641">
        <v>664005</v>
      </c>
      <c r="H3641">
        <f>_xlfn.XLOOKUP(FACT_IMPORTS[[#This Row],[hts_6]],DIM_PRODUCTS[hts_6],DIM_PRODUCTS[hts_4],,,)</f>
        <v>8708</v>
      </c>
      <c r="I3641" t="str" cm="1">
        <f t="array" ref="I3641">_xlfn.XLOOKUP(FACT_IMPORTS[[#This Row],[country_name]],DIM_COUNTRY[[#All],[Column2]],DIM_COUNTRY[[#All],[Column3]],,,)</f>
        <v>China</v>
      </c>
    </row>
    <row r="3642" spans="1:9" x14ac:dyDescent="0.4">
      <c r="A3642" t="s">
        <v>66</v>
      </c>
      <c r="B3642" s="1">
        <v>45474</v>
      </c>
      <c r="C3642">
        <v>940120</v>
      </c>
      <c r="D3642" t="s">
        <v>176</v>
      </c>
      <c r="E3642">
        <v>126252</v>
      </c>
      <c r="F3642">
        <v>14627</v>
      </c>
      <c r="G3642">
        <v>10378</v>
      </c>
      <c r="H3642">
        <f>_xlfn.XLOOKUP(FACT_IMPORTS[[#This Row],[hts_6]],DIM_PRODUCTS[hts_6],DIM_PRODUCTS[hts_4],,,)</f>
        <v>9401</v>
      </c>
      <c r="I3642" t="str" cm="1">
        <f t="array" ref="I3642">_xlfn.XLOOKUP(FACT_IMPORTS[[#This Row],[country_name]],DIM_COUNTRY[[#All],[Column2]],DIM_COUNTRY[[#All],[Column3]],,,)</f>
        <v>China</v>
      </c>
    </row>
    <row r="3643" spans="1:9" x14ac:dyDescent="0.4">
      <c r="A3643" t="s">
        <v>66</v>
      </c>
      <c r="B3643" s="1">
        <v>45505</v>
      </c>
      <c r="C3643">
        <v>392630</v>
      </c>
      <c r="D3643" t="s">
        <v>176</v>
      </c>
      <c r="E3643">
        <v>6717853</v>
      </c>
      <c r="F3643">
        <v>297322</v>
      </c>
      <c r="G3643">
        <v>267605</v>
      </c>
      <c r="H3643">
        <f>_xlfn.XLOOKUP(FACT_IMPORTS[[#This Row],[hts_6]],DIM_PRODUCTS[hts_6],DIM_PRODUCTS[hts_4],,,)</f>
        <v>3926</v>
      </c>
      <c r="I3643" t="str" cm="1">
        <f t="array" ref="I3643">_xlfn.XLOOKUP(FACT_IMPORTS[[#This Row],[country_name]],DIM_COUNTRY[[#All],[Column2]],DIM_COUNTRY[[#All],[Column3]],,,)</f>
        <v>China</v>
      </c>
    </row>
    <row r="3644" spans="1:9" x14ac:dyDescent="0.4">
      <c r="A3644" t="s">
        <v>66</v>
      </c>
      <c r="B3644" s="1">
        <v>45505</v>
      </c>
      <c r="C3644">
        <v>401110</v>
      </c>
      <c r="D3644" t="s">
        <v>176</v>
      </c>
      <c r="E3644">
        <v>0</v>
      </c>
      <c r="F3644">
        <v>0</v>
      </c>
      <c r="G3644">
        <v>0</v>
      </c>
      <c r="H3644">
        <f>_xlfn.XLOOKUP(FACT_IMPORTS[[#This Row],[hts_6]],DIM_PRODUCTS[hts_6],DIM_PRODUCTS[hts_4],,,)</f>
        <v>4011</v>
      </c>
      <c r="I3644" t="str" cm="1">
        <f t="array" ref="I3644">_xlfn.XLOOKUP(FACT_IMPORTS[[#This Row],[country_name]],DIM_COUNTRY[[#All],[Column2]],DIM_COUNTRY[[#All],[Column3]],,,)</f>
        <v>China</v>
      </c>
    </row>
    <row r="3645" spans="1:9" x14ac:dyDescent="0.4">
      <c r="A3645" t="s">
        <v>66</v>
      </c>
      <c r="B3645" s="1">
        <v>45505</v>
      </c>
      <c r="C3645">
        <v>401120</v>
      </c>
      <c r="D3645" t="s">
        <v>176</v>
      </c>
      <c r="E3645">
        <v>167264</v>
      </c>
      <c r="F3645">
        <v>2146</v>
      </c>
      <c r="G3645">
        <v>10099</v>
      </c>
      <c r="H3645">
        <f>_xlfn.XLOOKUP(FACT_IMPORTS[[#This Row],[hts_6]],DIM_PRODUCTS[hts_6],DIM_PRODUCTS[hts_4],,,)</f>
        <v>4011</v>
      </c>
      <c r="I3645" t="str" cm="1">
        <f t="array" ref="I3645">_xlfn.XLOOKUP(FACT_IMPORTS[[#This Row],[country_name]],DIM_COUNTRY[[#All],[Column2]],DIM_COUNTRY[[#All],[Column3]],,,)</f>
        <v>China</v>
      </c>
    </row>
    <row r="3646" spans="1:9" x14ac:dyDescent="0.4">
      <c r="A3646" t="s">
        <v>66</v>
      </c>
      <c r="B3646" s="1">
        <v>45505</v>
      </c>
      <c r="C3646">
        <v>401140</v>
      </c>
      <c r="D3646" t="s">
        <v>176</v>
      </c>
      <c r="E3646">
        <v>3497</v>
      </c>
      <c r="F3646">
        <v>78</v>
      </c>
      <c r="G3646">
        <v>7</v>
      </c>
      <c r="H3646">
        <f>_xlfn.XLOOKUP(FACT_IMPORTS[[#This Row],[hts_6]],DIM_PRODUCTS[hts_6],DIM_PRODUCTS[hts_4],,,)</f>
        <v>4011</v>
      </c>
      <c r="I3646" t="str" cm="1">
        <f t="array" ref="I3646">_xlfn.XLOOKUP(FACT_IMPORTS[[#This Row],[country_name]],DIM_COUNTRY[[#All],[Column2]],DIM_COUNTRY[[#All],[Column3]],,,)</f>
        <v>China</v>
      </c>
    </row>
    <row r="3647" spans="1:9" x14ac:dyDescent="0.4">
      <c r="A3647" t="s">
        <v>66</v>
      </c>
      <c r="B3647" s="1">
        <v>45505</v>
      </c>
      <c r="C3647">
        <v>401190</v>
      </c>
      <c r="D3647" t="s">
        <v>176</v>
      </c>
      <c r="E3647">
        <v>479146</v>
      </c>
      <c r="F3647">
        <v>16644</v>
      </c>
      <c r="G3647">
        <v>31587</v>
      </c>
      <c r="H3647">
        <f>_xlfn.XLOOKUP(FACT_IMPORTS[[#This Row],[hts_6]],DIM_PRODUCTS[hts_6],DIM_PRODUCTS[hts_4],,,)</f>
        <v>4011</v>
      </c>
      <c r="I3647" t="str" cm="1">
        <f t="array" ref="I3647">_xlfn.XLOOKUP(FACT_IMPORTS[[#This Row],[country_name]],DIM_COUNTRY[[#All],[Column2]],DIM_COUNTRY[[#All],[Column3]],,,)</f>
        <v>China</v>
      </c>
    </row>
    <row r="3648" spans="1:9" x14ac:dyDescent="0.4">
      <c r="A3648" t="s">
        <v>66</v>
      </c>
      <c r="B3648" s="1">
        <v>45505</v>
      </c>
      <c r="C3648">
        <v>700711</v>
      </c>
      <c r="D3648" t="s">
        <v>176</v>
      </c>
      <c r="E3648">
        <v>1621256</v>
      </c>
      <c r="F3648">
        <v>121068</v>
      </c>
      <c r="G3648">
        <v>108978</v>
      </c>
      <c r="H3648">
        <f>_xlfn.XLOOKUP(FACT_IMPORTS[[#This Row],[hts_6]],DIM_PRODUCTS[hts_6],DIM_PRODUCTS[hts_4],,,)</f>
        <v>7007</v>
      </c>
      <c r="I3648" t="str" cm="1">
        <f t="array" ref="I3648">_xlfn.XLOOKUP(FACT_IMPORTS[[#This Row],[country_name]],DIM_COUNTRY[[#All],[Column2]],DIM_COUNTRY[[#All],[Column3]],,,)</f>
        <v>China</v>
      </c>
    </row>
    <row r="3649" spans="1:9" x14ac:dyDescent="0.4">
      <c r="A3649" t="s">
        <v>66</v>
      </c>
      <c r="B3649" s="1">
        <v>45505</v>
      </c>
      <c r="C3649">
        <v>700721</v>
      </c>
      <c r="D3649" t="s">
        <v>176</v>
      </c>
      <c r="E3649">
        <v>883054</v>
      </c>
      <c r="F3649">
        <v>22292</v>
      </c>
      <c r="G3649">
        <v>42551</v>
      </c>
      <c r="H3649">
        <f>_xlfn.XLOOKUP(FACT_IMPORTS[[#This Row],[hts_6]],DIM_PRODUCTS[hts_6],DIM_PRODUCTS[hts_4],,,)</f>
        <v>7007</v>
      </c>
      <c r="I3649" t="str" cm="1">
        <f t="array" ref="I3649">_xlfn.XLOOKUP(FACT_IMPORTS[[#This Row],[country_name]],DIM_COUNTRY[[#All],[Column2]],DIM_COUNTRY[[#All],[Column3]],,,)</f>
        <v>China</v>
      </c>
    </row>
    <row r="3650" spans="1:9" x14ac:dyDescent="0.4">
      <c r="A3650" t="s">
        <v>66</v>
      </c>
      <c r="B3650" s="1">
        <v>45505</v>
      </c>
      <c r="C3650">
        <v>700910</v>
      </c>
      <c r="D3650" t="s">
        <v>176</v>
      </c>
      <c r="E3650">
        <v>351409</v>
      </c>
      <c r="F3650">
        <v>365246</v>
      </c>
      <c r="G3650">
        <v>21479</v>
      </c>
      <c r="H3650">
        <f>_xlfn.XLOOKUP(FACT_IMPORTS[[#This Row],[hts_6]],DIM_PRODUCTS[hts_6],DIM_PRODUCTS[hts_4],,,)</f>
        <v>7009</v>
      </c>
      <c r="I3650" t="str" cm="1">
        <f t="array" ref="I3650">_xlfn.XLOOKUP(FACT_IMPORTS[[#This Row],[country_name]],DIM_COUNTRY[[#All],[Column2]],DIM_COUNTRY[[#All],[Column3]],,,)</f>
        <v>China</v>
      </c>
    </row>
    <row r="3651" spans="1:9" x14ac:dyDescent="0.4">
      <c r="A3651" t="s">
        <v>66</v>
      </c>
      <c r="B3651" s="1">
        <v>45505</v>
      </c>
      <c r="C3651">
        <v>732010</v>
      </c>
      <c r="D3651" t="s">
        <v>176</v>
      </c>
      <c r="E3651">
        <v>0</v>
      </c>
      <c r="F3651">
        <v>0</v>
      </c>
      <c r="G3651">
        <v>0</v>
      </c>
      <c r="H3651">
        <f>_xlfn.XLOOKUP(FACT_IMPORTS[[#This Row],[hts_6]],DIM_PRODUCTS[hts_6],DIM_PRODUCTS[hts_4],,,)</f>
        <v>7320</v>
      </c>
      <c r="I3651" t="str" cm="1">
        <f t="array" ref="I3651">_xlfn.XLOOKUP(FACT_IMPORTS[[#This Row],[country_name]],DIM_COUNTRY[[#All],[Column2]],DIM_COUNTRY[[#All],[Column3]],,,)</f>
        <v>China</v>
      </c>
    </row>
    <row r="3652" spans="1:9" x14ac:dyDescent="0.4">
      <c r="A3652" t="s">
        <v>66</v>
      </c>
      <c r="B3652" s="1">
        <v>45505</v>
      </c>
      <c r="C3652">
        <v>830230</v>
      </c>
      <c r="D3652" t="s">
        <v>176</v>
      </c>
      <c r="E3652">
        <v>4876771</v>
      </c>
      <c r="F3652">
        <v>1371816</v>
      </c>
      <c r="G3652">
        <v>261418</v>
      </c>
      <c r="H3652">
        <f>_xlfn.XLOOKUP(FACT_IMPORTS[[#This Row],[hts_6]],DIM_PRODUCTS[hts_6],DIM_PRODUCTS[hts_4],,,)</f>
        <v>8302</v>
      </c>
      <c r="I3652" t="str" cm="1">
        <f t="array" ref="I3652">_xlfn.XLOOKUP(FACT_IMPORTS[[#This Row],[country_name]],DIM_COUNTRY[[#All],[Column2]],DIM_COUNTRY[[#All],[Column3]],,,)</f>
        <v>China</v>
      </c>
    </row>
    <row r="3653" spans="1:9" x14ac:dyDescent="0.4">
      <c r="A3653" t="s">
        <v>66</v>
      </c>
      <c r="B3653" s="1">
        <v>45505</v>
      </c>
      <c r="C3653">
        <v>840733</v>
      </c>
      <c r="D3653" t="s">
        <v>176</v>
      </c>
      <c r="E3653">
        <v>8422</v>
      </c>
      <c r="F3653">
        <v>2</v>
      </c>
      <c r="G3653">
        <v>64</v>
      </c>
      <c r="H3653">
        <f>_xlfn.XLOOKUP(FACT_IMPORTS[[#This Row],[hts_6]],DIM_PRODUCTS[hts_6],DIM_PRODUCTS[hts_4],,,)</f>
        <v>8407</v>
      </c>
      <c r="I3653" t="str" cm="1">
        <f t="array" ref="I3653">_xlfn.XLOOKUP(FACT_IMPORTS[[#This Row],[country_name]],DIM_COUNTRY[[#All],[Column2]],DIM_COUNTRY[[#All],[Column3]],,,)</f>
        <v>China</v>
      </c>
    </row>
    <row r="3654" spans="1:9" x14ac:dyDescent="0.4">
      <c r="A3654" t="s">
        <v>66</v>
      </c>
      <c r="B3654" s="1">
        <v>45505</v>
      </c>
      <c r="C3654">
        <v>840734</v>
      </c>
      <c r="D3654" t="s">
        <v>176</v>
      </c>
      <c r="E3654">
        <v>131920</v>
      </c>
      <c r="F3654">
        <v>68</v>
      </c>
      <c r="G3654">
        <v>8364</v>
      </c>
      <c r="H3654">
        <f>_xlfn.XLOOKUP(FACT_IMPORTS[[#This Row],[hts_6]],DIM_PRODUCTS[hts_6],DIM_PRODUCTS[hts_4],,,)</f>
        <v>8407</v>
      </c>
      <c r="I3654" t="str" cm="1">
        <f t="array" ref="I3654">_xlfn.XLOOKUP(FACT_IMPORTS[[#This Row],[country_name]],DIM_COUNTRY[[#All],[Column2]],DIM_COUNTRY[[#All],[Column3]],,,)</f>
        <v>China</v>
      </c>
    </row>
    <row r="3655" spans="1:9" x14ac:dyDescent="0.4">
      <c r="A3655" t="s">
        <v>66</v>
      </c>
      <c r="B3655" s="1">
        <v>45505</v>
      </c>
      <c r="C3655">
        <v>840790</v>
      </c>
      <c r="D3655" t="s">
        <v>176</v>
      </c>
      <c r="E3655">
        <v>0</v>
      </c>
      <c r="F3655">
        <v>0</v>
      </c>
      <c r="G3655">
        <v>0</v>
      </c>
      <c r="H3655">
        <f>_xlfn.XLOOKUP(FACT_IMPORTS[[#This Row],[hts_6]],DIM_PRODUCTS[hts_6],DIM_PRODUCTS[hts_4],,,)</f>
        <v>8407</v>
      </c>
      <c r="I3655" t="str" cm="1">
        <f t="array" ref="I3655">_xlfn.XLOOKUP(FACT_IMPORTS[[#This Row],[country_name]],DIM_COUNTRY[[#All],[Column2]],DIM_COUNTRY[[#All],[Column3]],,,)</f>
        <v>China</v>
      </c>
    </row>
    <row r="3656" spans="1:9" x14ac:dyDescent="0.4">
      <c r="A3656" t="s">
        <v>66</v>
      </c>
      <c r="B3656" s="1">
        <v>45505</v>
      </c>
      <c r="C3656">
        <v>840820</v>
      </c>
      <c r="D3656" t="s">
        <v>176</v>
      </c>
      <c r="E3656">
        <v>0</v>
      </c>
      <c r="F3656">
        <v>0</v>
      </c>
      <c r="G3656">
        <v>0</v>
      </c>
      <c r="H3656">
        <f>_xlfn.XLOOKUP(FACT_IMPORTS[[#This Row],[hts_6]],DIM_PRODUCTS[hts_6],DIM_PRODUCTS[hts_4],,,)</f>
        <v>8408</v>
      </c>
      <c r="I3656" t="str" cm="1">
        <f t="array" ref="I3656">_xlfn.XLOOKUP(FACT_IMPORTS[[#This Row],[country_name]],DIM_COUNTRY[[#All],[Column2]],DIM_COUNTRY[[#All],[Column3]],,,)</f>
        <v>China</v>
      </c>
    </row>
    <row r="3657" spans="1:9" x14ac:dyDescent="0.4">
      <c r="A3657" t="s">
        <v>66</v>
      </c>
      <c r="B3657" s="1">
        <v>45505</v>
      </c>
      <c r="C3657">
        <v>840890</v>
      </c>
      <c r="D3657" t="s">
        <v>176</v>
      </c>
      <c r="E3657">
        <v>0</v>
      </c>
      <c r="F3657">
        <v>0</v>
      </c>
      <c r="G3657">
        <v>0</v>
      </c>
      <c r="H3657">
        <f>_xlfn.XLOOKUP(FACT_IMPORTS[[#This Row],[hts_6]],DIM_PRODUCTS[hts_6],DIM_PRODUCTS[hts_4],,,)</f>
        <v>8408</v>
      </c>
      <c r="I3657" t="str" cm="1">
        <f t="array" ref="I3657">_xlfn.XLOOKUP(FACT_IMPORTS[[#This Row],[country_name]],DIM_COUNTRY[[#All],[Column2]],DIM_COUNTRY[[#All],[Column3]],,,)</f>
        <v>China</v>
      </c>
    </row>
    <row r="3658" spans="1:9" x14ac:dyDescent="0.4">
      <c r="A3658" t="s">
        <v>66</v>
      </c>
      <c r="B3658" s="1">
        <v>45505</v>
      </c>
      <c r="C3658">
        <v>840991</v>
      </c>
      <c r="D3658" t="s">
        <v>176</v>
      </c>
      <c r="E3658">
        <v>6726740</v>
      </c>
      <c r="F3658">
        <v>1715689</v>
      </c>
      <c r="G3658">
        <v>798862</v>
      </c>
      <c r="H3658">
        <f>_xlfn.XLOOKUP(FACT_IMPORTS[[#This Row],[hts_6]],DIM_PRODUCTS[hts_6],DIM_PRODUCTS[hts_4],,,)</f>
        <v>8409</v>
      </c>
      <c r="I3658" t="str" cm="1">
        <f t="array" ref="I3658">_xlfn.XLOOKUP(FACT_IMPORTS[[#This Row],[country_name]],DIM_COUNTRY[[#All],[Column2]],DIM_COUNTRY[[#All],[Column3]],,,)</f>
        <v>China</v>
      </c>
    </row>
    <row r="3659" spans="1:9" x14ac:dyDescent="0.4">
      <c r="A3659" t="s">
        <v>66</v>
      </c>
      <c r="B3659" s="1">
        <v>45505</v>
      </c>
      <c r="C3659">
        <v>840999</v>
      </c>
      <c r="D3659" t="s">
        <v>176</v>
      </c>
      <c r="E3659">
        <v>4681834</v>
      </c>
      <c r="F3659">
        <v>833893</v>
      </c>
      <c r="G3659">
        <v>253382</v>
      </c>
      <c r="H3659">
        <f>_xlfn.XLOOKUP(FACT_IMPORTS[[#This Row],[hts_6]],DIM_PRODUCTS[hts_6],DIM_PRODUCTS[hts_4],,,)</f>
        <v>8409</v>
      </c>
      <c r="I3659" t="str" cm="1">
        <f t="array" ref="I3659">_xlfn.XLOOKUP(FACT_IMPORTS[[#This Row],[country_name]],DIM_COUNTRY[[#All],[Column2]],DIM_COUNTRY[[#All],[Column3]],,,)</f>
        <v>China</v>
      </c>
    </row>
    <row r="3660" spans="1:9" x14ac:dyDescent="0.4">
      <c r="A3660" t="s">
        <v>66</v>
      </c>
      <c r="B3660" s="1">
        <v>45505</v>
      </c>
      <c r="C3660">
        <v>841330</v>
      </c>
      <c r="D3660" t="s">
        <v>176</v>
      </c>
      <c r="E3660">
        <v>884465</v>
      </c>
      <c r="F3660">
        <v>27868</v>
      </c>
      <c r="G3660">
        <v>44626</v>
      </c>
      <c r="H3660">
        <f>_xlfn.XLOOKUP(FACT_IMPORTS[[#This Row],[hts_6]],DIM_PRODUCTS[hts_6],DIM_PRODUCTS[hts_4],,,)</f>
        <v>8413</v>
      </c>
      <c r="I3660" t="str" cm="1">
        <f t="array" ref="I3660">_xlfn.XLOOKUP(FACT_IMPORTS[[#This Row],[country_name]],DIM_COUNTRY[[#All],[Column2]],DIM_COUNTRY[[#All],[Column3]],,,)</f>
        <v>China</v>
      </c>
    </row>
    <row r="3661" spans="1:9" x14ac:dyDescent="0.4">
      <c r="A3661" t="s">
        <v>66</v>
      </c>
      <c r="B3661" s="1">
        <v>45505</v>
      </c>
      <c r="C3661">
        <v>841520</v>
      </c>
      <c r="D3661" t="s">
        <v>176</v>
      </c>
      <c r="E3661">
        <v>361244</v>
      </c>
      <c r="F3661">
        <v>706</v>
      </c>
      <c r="G3661">
        <v>12004</v>
      </c>
      <c r="H3661">
        <f>_xlfn.XLOOKUP(FACT_IMPORTS[[#This Row],[hts_6]],DIM_PRODUCTS[hts_6],DIM_PRODUCTS[hts_4],,,)</f>
        <v>8415</v>
      </c>
      <c r="I3661" t="str" cm="1">
        <f t="array" ref="I3661">_xlfn.XLOOKUP(FACT_IMPORTS[[#This Row],[country_name]],DIM_COUNTRY[[#All],[Column2]],DIM_COUNTRY[[#All],[Column3]],,,)</f>
        <v>China</v>
      </c>
    </row>
    <row r="3662" spans="1:9" x14ac:dyDescent="0.4">
      <c r="A3662" t="s">
        <v>66</v>
      </c>
      <c r="B3662" s="1">
        <v>45505</v>
      </c>
      <c r="C3662">
        <v>842132</v>
      </c>
      <c r="D3662" t="s">
        <v>176</v>
      </c>
      <c r="E3662">
        <v>5265</v>
      </c>
      <c r="F3662">
        <v>50</v>
      </c>
      <c r="G3662">
        <v>662</v>
      </c>
      <c r="H3662">
        <f>_xlfn.XLOOKUP(FACT_IMPORTS[[#This Row],[hts_6]],DIM_PRODUCTS[hts_6],DIM_PRODUCTS[hts_4],,,)</f>
        <v>8421</v>
      </c>
      <c r="I3662" t="str" cm="1">
        <f t="array" ref="I3662">_xlfn.XLOOKUP(FACT_IMPORTS[[#This Row],[country_name]],DIM_COUNTRY[[#All],[Column2]],DIM_COUNTRY[[#All],[Column3]],,,)</f>
        <v>China</v>
      </c>
    </row>
    <row r="3663" spans="1:9" x14ac:dyDescent="0.4">
      <c r="A3663" t="s">
        <v>66</v>
      </c>
      <c r="B3663" s="1">
        <v>45505</v>
      </c>
      <c r="C3663">
        <v>848210</v>
      </c>
      <c r="D3663" t="s">
        <v>176</v>
      </c>
      <c r="E3663">
        <v>753805</v>
      </c>
      <c r="F3663">
        <v>892841</v>
      </c>
      <c r="G3663">
        <v>47151</v>
      </c>
      <c r="H3663">
        <f>_xlfn.XLOOKUP(FACT_IMPORTS[[#This Row],[hts_6]],DIM_PRODUCTS[hts_6],DIM_PRODUCTS[hts_4],,,)</f>
        <v>8482</v>
      </c>
      <c r="I3663" t="str" cm="1">
        <f t="array" ref="I3663">_xlfn.XLOOKUP(FACT_IMPORTS[[#This Row],[country_name]],DIM_COUNTRY[[#All],[Column2]],DIM_COUNTRY[[#All],[Column3]],,,)</f>
        <v>China</v>
      </c>
    </row>
    <row r="3664" spans="1:9" x14ac:dyDescent="0.4">
      <c r="A3664" t="s">
        <v>66</v>
      </c>
      <c r="B3664" s="1">
        <v>45505</v>
      </c>
      <c r="C3664">
        <v>848220</v>
      </c>
      <c r="D3664" t="s">
        <v>176</v>
      </c>
      <c r="E3664">
        <v>3895</v>
      </c>
      <c r="F3664">
        <v>1050</v>
      </c>
      <c r="G3664">
        <v>52</v>
      </c>
      <c r="H3664">
        <f>_xlfn.XLOOKUP(FACT_IMPORTS[[#This Row],[hts_6]],DIM_PRODUCTS[hts_6],DIM_PRODUCTS[hts_4],,,)</f>
        <v>8482</v>
      </c>
      <c r="I3664" t="str" cm="1">
        <f t="array" ref="I3664">_xlfn.XLOOKUP(FACT_IMPORTS[[#This Row],[country_name]],DIM_COUNTRY[[#All],[Column2]],DIM_COUNTRY[[#All],[Column3]],,,)</f>
        <v>China</v>
      </c>
    </row>
    <row r="3665" spans="1:9" x14ac:dyDescent="0.4">
      <c r="A3665" t="s">
        <v>66</v>
      </c>
      <c r="B3665" s="1">
        <v>45505</v>
      </c>
      <c r="C3665">
        <v>848310</v>
      </c>
      <c r="D3665" t="s">
        <v>176</v>
      </c>
      <c r="E3665">
        <v>3254927</v>
      </c>
      <c r="F3665">
        <v>162527</v>
      </c>
      <c r="G3665">
        <v>268763</v>
      </c>
      <c r="H3665">
        <f>_xlfn.XLOOKUP(FACT_IMPORTS[[#This Row],[hts_6]],DIM_PRODUCTS[hts_6],DIM_PRODUCTS[hts_4],,,)</f>
        <v>8483</v>
      </c>
      <c r="I3665" t="str" cm="1">
        <f t="array" ref="I3665">_xlfn.XLOOKUP(FACT_IMPORTS[[#This Row],[country_name]],DIM_COUNTRY[[#All],[Column2]],DIM_COUNTRY[[#All],[Column3]],,,)</f>
        <v>China</v>
      </c>
    </row>
    <row r="3666" spans="1:9" x14ac:dyDescent="0.4">
      <c r="A3666" t="s">
        <v>66</v>
      </c>
      <c r="B3666" s="1">
        <v>45505</v>
      </c>
      <c r="C3666">
        <v>850131</v>
      </c>
      <c r="D3666" t="s">
        <v>176</v>
      </c>
      <c r="E3666">
        <v>3069503</v>
      </c>
      <c r="F3666">
        <v>478243</v>
      </c>
      <c r="G3666">
        <v>170001</v>
      </c>
      <c r="H3666">
        <f>_xlfn.XLOOKUP(FACT_IMPORTS[[#This Row],[hts_6]],DIM_PRODUCTS[hts_6],DIM_PRODUCTS[hts_4],,,)</f>
        <v>8501</v>
      </c>
      <c r="I3666" t="str" cm="1">
        <f t="array" ref="I3666">_xlfn.XLOOKUP(FACT_IMPORTS[[#This Row],[country_name]],DIM_COUNTRY[[#All],[Column2]],DIM_COUNTRY[[#All],[Column3]],,,)</f>
        <v>China</v>
      </c>
    </row>
    <row r="3667" spans="1:9" x14ac:dyDescent="0.4">
      <c r="A3667" t="s">
        <v>66</v>
      </c>
      <c r="B3667" s="1">
        <v>45505</v>
      </c>
      <c r="C3667">
        <v>850132</v>
      </c>
      <c r="D3667" t="s">
        <v>176</v>
      </c>
      <c r="E3667">
        <v>22766</v>
      </c>
      <c r="F3667">
        <v>17</v>
      </c>
      <c r="G3667">
        <v>407</v>
      </c>
      <c r="H3667">
        <f>_xlfn.XLOOKUP(FACT_IMPORTS[[#This Row],[hts_6]],DIM_PRODUCTS[hts_6],DIM_PRODUCTS[hts_4],,,)</f>
        <v>8501</v>
      </c>
      <c r="I3667" t="str" cm="1">
        <f t="array" ref="I3667">_xlfn.XLOOKUP(FACT_IMPORTS[[#This Row],[country_name]],DIM_COUNTRY[[#All],[Column2]],DIM_COUNTRY[[#All],[Column3]],,,)</f>
        <v>China</v>
      </c>
    </row>
    <row r="3668" spans="1:9" x14ac:dyDescent="0.4">
      <c r="A3668" t="s">
        <v>66</v>
      </c>
      <c r="B3668" s="1">
        <v>45505</v>
      </c>
      <c r="C3668">
        <v>850133</v>
      </c>
      <c r="D3668" t="s">
        <v>176</v>
      </c>
      <c r="E3668">
        <v>0</v>
      </c>
      <c r="F3668">
        <v>0</v>
      </c>
      <c r="G3668">
        <v>0</v>
      </c>
      <c r="H3668">
        <f>_xlfn.XLOOKUP(FACT_IMPORTS[[#This Row],[hts_6]],DIM_PRODUCTS[hts_6],DIM_PRODUCTS[hts_4],,,)</f>
        <v>8501</v>
      </c>
      <c r="I3668" t="str" cm="1">
        <f t="array" ref="I3668">_xlfn.XLOOKUP(FACT_IMPORTS[[#This Row],[country_name]],DIM_COUNTRY[[#All],[Column2]],DIM_COUNTRY[[#All],[Column3]],,,)</f>
        <v>China</v>
      </c>
    </row>
    <row r="3669" spans="1:9" x14ac:dyDescent="0.4">
      <c r="A3669" t="s">
        <v>66</v>
      </c>
      <c r="B3669" s="1">
        <v>45505</v>
      </c>
      <c r="C3669">
        <v>850152</v>
      </c>
      <c r="D3669" t="s">
        <v>176</v>
      </c>
      <c r="E3669">
        <v>279682</v>
      </c>
      <c r="F3669">
        <v>403</v>
      </c>
      <c r="G3669">
        <v>5599</v>
      </c>
      <c r="H3669">
        <f>_xlfn.XLOOKUP(FACT_IMPORTS[[#This Row],[hts_6]],DIM_PRODUCTS[hts_6],DIM_PRODUCTS[hts_4],,,)</f>
        <v>8501</v>
      </c>
      <c r="I3669" t="str" cm="1">
        <f t="array" ref="I3669">_xlfn.XLOOKUP(FACT_IMPORTS[[#This Row],[country_name]],DIM_COUNTRY[[#All],[Column2]],DIM_COUNTRY[[#All],[Column3]],,,)</f>
        <v>China</v>
      </c>
    </row>
    <row r="3670" spans="1:9" x14ac:dyDescent="0.4">
      <c r="A3670" t="s">
        <v>66</v>
      </c>
      <c r="B3670" s="1">
        <v>45505</v>
      </c>
      <c r="C3670">
        <v>850153</v>
      </c>
      <c r="D3670" t="s">
        <v>176</v>
      </c>
      <c r="E3670">
        <v>16692</v>
      </c>
      <c r="F3670">
        <v>8</v>
      </c>
      <c r="G3670">
        <v>600</v>
      </c>
      <c r="H3670">
        <f>_xlfn.XLOOKUP(FACT_IMPORTS[[#This Row],[hts_6]],DIM_PRODUCTS[hts_6],DIM_PRODUCTS[hts_4],,,)</f>
        <v>8501</v>
      </c>
      <c r="I3670" t="str" cm="1">
        <f t="array" ref="I3670">_xlfn.XLOOKUP(FACT_IMPORTS[[#This Row],[country_name]],DIM_COUNTRY[[#All],[Column2]],DIM_COUNTRY[[#All],[Column3]],,,)</f>
        <v>China</v>
      </c>
    </row>
    <row r="3671" spans="1:9" x14ac:dyDescent="0.4">
      <c r="A3671" t="s">
        <v>66</v>
      </c>
      <c r="B3671" s="1">
        <v>45505</v>
      </c>
      <c r="C3671">
        <v>850161</v>
      </c>
      <c r="D3671" t="s">
        <v>176</v>
      </c>
      <c r="E3671">
        <v>28800</v>
      </c>
      <c r="F3671">
        <v>600</v>
      </c>
      <c r="G3671">
        <v>1</v>
      </c>
      <c r="H3671">
        <f>_xlfn.XLOOKUP(FACT_IMPORTS[[#This Row],[hts_6]],DIM_PRODUCTS[hts_6],DIM_PRODUCTS[hts_4],,,)</f>
        <v>8501</v>
      </c>
      <c r="I3671" t="str" cm="1">
        <f t="array" ref="I3671">_xlfn.XLOOKUP(FACT_IMPORTS[[#This Row],[country_name]],DIM_COUNTRY[[#All],[Column2]],DIM_COUNTRY[[#All],[Column3]],,,)</f>
        <v>China</v>
      </c>
    </row>
    <row r="3672" spans="1:9" x14ac:dyDescent="0.4">
      <c r="A3672" t="s">
        <v>66</v>
      </c>
      <c r="B3672" s="1">
        <v>45505</v>
      </c>
      <c r="C3672">
        <v>850440</v>
      </c>
      <c r="D3672" t="s">
        <v>176</v>
      </c>
      <c r="E3672">
        <v>2487676</v>
      </c>
      <c r="F3672">
        <v>98056</v>
      </c>
      <c r="G3672">
        <v>57736</v>
      </c>
      <c r="H3672">
        <f>_xlfn.XLOOKUP(FACT_IMPORTS[[#This Row],[hts_6]],DIM_PRODUCTS[hts_6],DIM_PRODUCTS[hts_4],,,)</f>
        <v>8504</v>
      </c>
      <c r="I3672" t="str" cm="1">
        <f t="array" ref="I3672">_xlfn.XLOOKUP(FACT_IMPORTS[[#This Row],[country_name]],DIM_COUNTRY[[#All],[Column2]],DIM_COUNTRY[[#All],[Column3]],,,)</f>
        <v>China</v>
      </c>
    </row>
    <row r="3673" spans="1:9" x14ac:dyDescent="0.4">
      <c r="A3673" t="s">
        <v>66</v>
      </c>
      <c r="B3673" s="1">
        <v>45505</v>
      </c>
      <c r="C3673">
        <v>850710</v>
      </c>
      <c r="D3673" t="s">
        <v>176</v>
      </c>
      <c r="E3673">
        <v>3335</v>
      </c>
      <c r="F3673">
        <v>108</v>
      </c>
      <c r="G3673">
        <v>51</v>
      </c>
      <c r="H3673">
        <f>_xlfn.XLOOKUP(FACT_IMPORTS[[#This Row],[hts_6]],DIM_PRODUCTS[hts_6],DIM_PRODUCTS[hts_4],,,)</f>
        <v>8507</v>
      </c>
      <c r="I3673" t="str" cm="1">
        <f t="array" ref="I3673">_xlfn.XLOOKUP(FACT_IMPORTS[[#This Row],[country_name]],DIM_COUNTRY[[#All],[Column2]],DIM_COUNTRY[[#All],[Column3]],,,)</f>
        <v>China</v>
      </c>
    </row>
    <row r="3674" spans="1:9" x14ac:dyDescent="0.4">
      <c r="A3674" t="s">
        <v>66</v>
      </c>
      <c r="B3674" s="1">
        <v>45505</v>
      </c>
      <c r="C3674">
        <v>850760</v>
      </c>
      <c r="D3674" t="s">
        <v>176</v>
      </c>
      <c r="E3674">
        <v>644770</v>
      </c>
      <c r="F3674">
        <v>23790</v>
      </c>
      <c r="G3674">
        <v>13891</v>
      </c>
      <c r="H3674">
        <f>_xlfn.XLOOKUP(FACT_IMPORTS[[#This Row],[hts_6]],DIM_PRODUCTS[hts_6],DIM_PRODUCTS[hts_4],,,)</f>
        <v>8507</v>
      </c>
      <c r="I3674" t="str" cm="1">
        <f t="array" ref="I3674">_xlfn.XLOOKUP(FACT_IMPORTS[[#This Row],[country_name]],DIM_COUNTRY[[#All],[Column2]],DIM_COUNTRY[[#All],[Column3]],,,)</f>
        <v>China</v>
      </c>
    </row>
    <row r="3675" spans="1:9" x14ac:dyDescent="0.4">
      <c r="A3675" t="s">
        <v>66</v>
      </c>
      <c r="B3675" s="1">
        <v>45505</v>
      </c>
      <c r="C3675">
        <v>850790</v>
      </c>
      <c r="D3675" t="s">
        <v>176</v>
      </c>
      <c r="E3675">
        <v>146251</v>
      </c>
      <c r="F3675">
        <v>5324</v>
      </c>
      <c r="G3675">
        <v>6850</v>
      </c>
      <c r="H3675">
        <f>_xlfn.XLOOKUP(FACT_IMPORTS[[#This Row],[hts_6]],DIM_PRODUCTS[hts_6],DIM_PRODUCTS[hts_4],,,)</f>
        <v>8507</v>
      </c>
      <c r="I3675" t="str" cm="1">
        <f t="array" ref="I3675">_xlfn.XLOOKUP(FACT_IMPORTS[[#This Row],[country_name]],DIM_COUNTRY[[#All],[Column2]],DIM_COUNTRY[[#All],[Column3]],,,)</f>
        <v>China</v>
      </c>
    </row>
    <row r="3676" spans="1:9" x14ac:dyDescent="0.4">
      <c r="A3676" t="s">
        <v>66</v>
      </c>
      <c r="B3676" s="1">
        <v>45505</v>
      </c>
      <c r="C3676">
        <v>851130</v>
      </c>
      <c r="D3676" t="s">
        <v>176</v>
      </c>
      <c r="E3676">
        <v>44316</v>
      </c>
      <c r="F3676">
        <v>2824</v>
      </c>
      <c r="G3676">
        <v>2877</v>
      </c>
      <c r="H3676">
        <f>_xlfn.XLOOKUP(FACT_IMPORTS[[#This Row],[hts_6]],DIM_PRODUCTS[hts_6],DIM_PRODUCTS[hts_4],,,)</f>
        <v>8511</v>
      </c>
      <c r="I3676" t="str" cm="1">
        <f t="array" ref="I3676">_xlfn.XLOOKUP(FACT_IMPORTS[[#This Row],[country_name]],DIM_COUNTRY[[#All],[Column2]],DIM_COUNTRY[[#All],[Column3]],,,)</f>
        <v>China</v>
      </c>
    </row>
    <row r="3677" spans="1:9" x14ac:dyDescent="0.4">
      <c r="A3677" t="s">
        <v>66</v>
      </c>
      <c r="B3677" s="1">
        <v>45505</v>
      </c>
      <c r="C3677">
        <v>851140</v>
      </c>
      <c r="D3677" t="s">
        <v>176</v>
      </c>
      <c r="E3677">
        <v>385565</v>
      </c>
      <c r="F3677">
        <v>7345</v>
      </c>
      <c r="G3677">
        <v>5038</v>
      </c>
      <c r="H3677">
        <f>_xlfn.XLOOKUP(FACT_IMPORTS[[#This Row],[hts_6]],DIM_PRODUCTS[hts_6],DIM_PRODUCTS[hts_4],,,)</f>
        <v>8511</v>
      </c>
      <c r="I3677" t="str" cm="1">
        <f t="array" ref="I3677">_xlfn.XLOOKUP(FACT_IMPORTS[[#This Row],[country_name]],DIM_COUNTRY[[#All],[Column2]],DIM_COUNTRY[[#All],[Column3]],,,)</f>
        <v>China</v>
      </c>
    </row>
    <row r="3678" spans="1:9" x14ac:dyDescent="0.4">
      <c r="A3678" t="s">
        <v>66</v>
      </c>
      <c r="B3678" s="1">
        <v>45505</v>
      </c>
      <c r="C3678">
        <v>851150</v>
      </c>
      <c r="D3678" t="s">
        <v>176</v>
      </c>
      <c r="E3678">
        <v>192638</v>
      </c>
      <c r="F3678">
        <v>2283</v>
      </c>
      <c r="G3678">
        <v>3098</v>
      </c>
      <c r="H3678">
        <f>_xlfn.XLOOKUP(FACT_IMPORTS[[#This Row],[hts_6]],DIM_PRODUCTS[hts_6],DIM_PRODUCTS[hts_4],,,)</f>
        <v>8511</v>
      </c>
      <c r="I3678" t="str" cm="1">
        <f t="array" ref="I3678">_xlfn.XLOOKUP(FACT_IMPORTS[[#This Row],[country_name]],DIM_COUNTRY[[#All],[Column2]],DIM_COUNTRY[[#All],[Column3]],,,)</f>
        <v>China</v>
      </c>
    </row>
    <row r="3679" spans="1:9" x14ac:dyDescent="0.4">
      <c r="A3679" t="s">
        <v>66</v>
      </c>
      <c r="B3679" s="1">
        <v>45505</v>
      </c>
      <c r="C3679">
        <v>851180</v>
      </c>
      <c r="D3679" t="s">
        <v>176</v>
      </c>
      <c r="E3679">
        <v>4496</v>
      </c>
      <c r="F3679">
        <v>276</v>
      </c>
      <c r="G3679">
        <v>37</v>
      </c>
      <c r="H3679">
        <f>_xlfn.XLOOKUP(FACT_IMPORTS[[#This Row],[hts_6]],DIM_PRODUCTS[hts_6],DIM_PRODUCTS[hts_4],,,)</f>
        <v>8511</v>
      </c>
      <c r="I3679" t="str" cm="1">
        <f t="array" ref="I3679">_xlfn.XLOOKUP(FACT_IMPORTS[[#This Row],[country_name]],DIM_COUNTRY[[#All],[Column2]],DIM_COUNTRY[[#All],[Column3]],,,)</f>
        <v>China</v>
      </c>
    </row>
    <row r="3680" spans="1:9" x14ac:dyDescent="0.4">
      <c r="A3680" t="s">
        <v>66</v>
      </c>
      <c r="B3680" s="1">
        <v>45505</v>
      </c>
      <c r="C3680">
        <v>851190</v>
      </c>
      <c r="D3680" t="s">
        <v>176</v>
      </c>
      <c r="E3680">
        <v>246634</v>
      </c>
      <c r="F3680">
        <v>31218</v>
      </c>
      <c r="G3680">
        <v>11098</v>
      </c>
      <c r="H3680">
        <f>_xlfn.XLOOKUP(FACT_IMPORTS[[#This Row],[hts_6]],DIM_PRODUCTS[hts_6],DIM_PRODUCTS[hts_4],,,)</f>
        <v>8511</v>
      </c>
      <c r="I3680" t="str" cm="1">
        <f t="array" ref="I3680">_xlfn.XLOOKUP(FACT_IMPORTS[[#This Row],[country_name]],DIM_COUNTRY[[#All],[Column2]],DIM_COUNTRY[[#All],[Column3]],,,)</f>
        <v>China</v>
      </c>
    </row>
    <row r="3681" spans="1:9" x14ac:dyDescent="0.4">
      <c r="A3681" t="s">
        <v>66</v>
      </c>
      <c r="B3681" s="1">
        <v>45505</v>
      </c>
      <c r="C3681">
        <v>851220</v>
      </c>
      <c r="D3681" t="s">
        <v>176</v>
      </c>
      <c r="E3681">
        <v>3607415</v>
      </c>
      <c r="F3681">
        <v>595751</v>
      </c>
      <c r="G3681">
        <v>237089</v>
      </c>
      <c r="H3681">
        <f>_xlfn.XLOOKUP(FACT_IMPORTS[[#This Row],[hts_6]],DIM_PRODUCTS[hts_6],DIM_PRODUCTS[hts_4],,,)</f>
        <v>8512</v>
      </c>
      <c r="I3681" t="str" cm="1">
        <f t="array" ref="I3681">_xlfn.XLOOKUP(FACT_IMPORTS[[#This Row],[country_name]],DIM_COUNTRY[[#All],[Column2]],DIM_COUNTRY[[#All],[Column3]],,,)</f>
        <v>China</v>
      </c>
    </row>
    <row r="3682" spans="1:9" x14ac:dyDescent="0.4">
      <c r="A3682" t="s">
        <v>66</v>
      </c>
      <c r="B3682" s="1">
        <v>45505</v>
      </c>
      <c r="C3682">
        <v>851230</v>
      </c>
      <c r="D3682" t="s">
        <v>176</v>
      </c>
      <c r="E3682">
        <v>67001</v>
      </c>
      <c r="F3682">
        <v>23816</v>
      </c>
      <c r="G3682">
        <v>2801</v>
      </c>
      <c r="H3682">
        <f>_xlfn.XLOOKUP(FACT_IMPORTS[[#This Row],[hts_6]],DIM_PRODUCTS[hts_6],DIM_PRODUCTS[hts_4],,,)</f>
        <v>8512</v>
      </c>
      <c r="I3682" t="str" cm="1">
        <f t="array" ref="I3682">_xlfn.XLOOKUP(FACT_IMPORTS[[#This Row],[country_name]],DIM_COUNTRY[[#All],[Column2]],DIM_COUNTRY[[#All],[Column3]],,,)</f>
        <v>China</v>
      </c>
    </row>
    <row r="3683" spans="1:9" x14ac:dyDescent="0.4">
      <c r="A3683" t="s">
        <v>66</v>
      </c>
      <c r="B3683" s="1">
        <v>45505</v>
      </c>
      <c r="C3683">
        <v>851240</v>
      </c>
      <c r="D3683" t="s">
        <v>176</v>
      </c>
      <c r="E3683">
        <v>0</v>
      </c>
      <c r="F3683">
        <v>0</v>
      </c>
      <c r="G3683">
        <v>0</v>
      </c>
      <c r="H3683">
        <f>_xlfn.XLOOKUP(FACT_IMPORTS[[#This Row],[hts_6]],DIM_PRODUCTS[hts_6],DIM_PRODUCTS[hts_4],,,)</f>
        <v>8512</v>
      </c>
      <c r="I3683" t="str" cm="1">
        <f t="array" ref="I3683">_xlfn.XLOOKUP(FACT_IMPORTS[[#This Row],[country_name]],DIM_COUNTRY[[#All],[Column2]],DIM_COUNTRY[[#All],[Column3]],,,)</f>
        <v>China</v>
      </c>
    </row>
    <row r="3684" spans="1:9" x14ac:dyDescent="0.4">
      <c r="A3684" t="s">
        <v>66</v>
      </c>
      <c r="B3684" s="1">
        <v>45505</v>
      </c>
      <c r="C3684">
        <v>851290</v>
      </c>
      <c r="D3684" t="s">
        <v>176</v>
      </c>
      <c r="E3684">
        <v>126396</v>
      </c>
      <c r="F3684">
        <v>6024</v>
      </c>
      <c r="G3684">
        <v>5819</v>
      </c>
      <c r="H3684">
        <f>_xlfn.XLOOKUP(FACT_IMPORTS[[#This Row],[hts_6]],DIM_PRODUCTS[hts_6],DIM_PRODUCTS[hts_4],,,)</f>
        <v>8512</v>
      </c>
      <c r="I3684" t="str" cm="1">
        <f t="array" ref="I3684">_xlfn.XLOOKUP(FACT_IMPORTS[[#This Row],[country_name]],DIM_COUNTRY[[#All],[Column2]],DIM_COUNTRY[[#All],[Column3]],,,)</f>
        <v>China</v>
      </c>
    </row>
    <row r="3685" spans="1:9" x14ac:dyDescent="0.4">
      <c r="A3685" t="s">
        <v>66</v>
      </c>
      <c r="B3685" s="1">
        <v>45505</v>
      </c>
      <c r="C3685">
        <v>854231</v>
      </c>
      <c r="D3685" t="s">
        <v>176</v>
      </c>
      <c r="E3685">
        <v>48994</v>
      </c>
      <c r="F3685">
        <v>25509</v>
      </c>
      <c r="G3685">
        <v>4136</v>
      </c>
      <c r="H3685">
        <f>_xlfn.XLOOKUP(FACT_IMPORTS[[#This Row],[hts_6]],DIM_PRODUCTS[hts_6],DIM_PRODUCTS[hts_4],,,)</f>
        <v>8542</v>
      </c>
      <c r="I3685" t="str" cm="1">
        <f t="array" ref="I3685">_xlfn.XLOOKUP(FACT_IMPORTS[[#This Row],[country_name]],DIM_COUNTRY[[#All],[Column2]],DIM_COUNTRY[[#All],[Column3]],,,)</f>
        <v>China</v>
      </c>
    </row>
    <row r="3686" spans="1:9" x14ac:dyDescent="0.4">
      <c r="A3686" t="s">
        <v>66</v>
      </c>
      <c r="B3686" s="1">
        <v>45505</v>
      </c>
      <c r="C3686">
        <v>854232</v>
      </c>
      <c r="D3686" t="s">
        <v>176</v>
      </c>
      <c r="E3686">
        <v>0</v>
      </c>
      <c r="F3686">
        <v>0</v>
      </c>
      <c r="G3686">
        <v>0</v>
      </c>
      <c r="H3686">
        <f>_xlfn.XLOOKUP(FACT_IMPORTS[[#This Row],[hts_6]],DIM_PRODUCTS[hts_6],DIM_PRODUCTS[hts_4],,,)</f>
        <v>8542</v>
      </c>
      <c r="I3686" t="str" cm="1">
        <f t="array" ref="I3686">_xlfn.XLOOKUP(FACT_IMPORTS[[#This Row],[country_name]],DIM_COUNTRY[[#All],[Column2]],DIM_COUNTRY[[#All],[Column3]],,,)</f>
        <v>China</v>
      </c>
    </row>
    <row r="3687" spans="1:9" x14ac:dyDescent="0.4">
      <c r="A3687" t="s">
        <v>66</v>
      </c>
      <c r="B3687" s="1">
        <v>45505</v>
      </c>
      <c r="C3687">
        <v>854233</v>
      </c>
      <c r="D3687" t="s">
        <v>176</v>
      </c>
      <c r="E3687">
        <v>0</v>
      </c>
      <c r="F3687">
        <v>0</v>
      </c>
      <c r="G3687">
        <v>0</v>
      </c>
      <c r="H3687">
        <f>_xlfn.XLOOKUP(FACT_IMPORTS[[#This Row],[hts_6]],DIM_PRODUCTS[hts_6],DIM_PRODUCTS[hts_4],,,)</f>
        <v>8542</v>
      </c>
      <c r="I3687" t="str" cm="1">
        <f t="array" ref="I3687">_xlfn.XLOOKUP(FACT_IMPORTS[[#This Row],[country_name]],DIM_COUNTRY[[#All],[Column2]],DIM_COUNTRY[[#All],[Column3]],,,)</f>
        <v>China</v>
      </c>
    </row>
    <row r="3688" spans="1:9" x14ac:dyDescent="0.4">
      <c r="A3688" t="s">
        <v>66</v>
      </c>
      <c r="B3688" s="1">
        <v>45505</v>
      </c>
      <c r="C3688">
        <v>854239</v>
      </c>
      <c r="D3688" t="s">
        <v>176</v>
      </c>
      <c r="E3688">
        <v>20760</v>
      </c>
      <c r="F3688">
        <v>12000</v>
      </c>
      <c r="G3688">
        <v>2078</v>
      </c>
      <c r="H3688">
        <f>_xlfn.XLOOKUP(FACT_IMPORTS[[#This Row],[hts_6]],DIM_PRODUCTS[hts_6],DIM_PRODUCTS[hts_4],,,)</f>
        <v>8542</v>
      </c>
      <c r="I3688" t="str" cm="1">
        <f t="array" ref="I3688">_xlfn.XLOOKUP(FACT_IMPORTS[[#This Row],[country_name]],DIM_COUNTRY[[#All],[Column2]],DIM_COUNTRY[[#All],[Column3]],,,)</f>
        <v>China</v>
      </c>
    </row>
    <row r="3689" spans="1:9" x14ac:dyDescent="0.4">
      <c r="A3689" t="s">
        <v>66</v>
      </c>
      <c r="B3689" s="1">
        <v>45505</v>
      </c>
      <c r="C3689">
        <v>854290</v>
      </c>
      <c r="D3689" t="s">
        <v>176</v>
      </c>
      <c r="E3689">
        <v>0</v>
      </c>
      <c r="F3689">
        <v>0</v>
      </c>
      <c r="G3689">
        <v>0</v>
      </c>
      <c r="H3689">
        <f>_xlfn.XLOOKUP(FACT_IMPORTS[[#This Row],[hts_6]],DIM_PRODUCTS[hts_6],DIM_PRODUCTS[hts_4],,,)</f>
        <v>8542</v>
      </c>
      <c r="I3689" t="str" cm="1">
        <f t="array" ref="I3689">_xlfn.XLOOKUP(FACT_IMPORTS[[#This Row],[country_name]],DIM_COUNTRY[[#All],[Column2]],DIM_COUNTRY[[#All],[Column3]],,,)</f>
        <v>China</v>
      </c>
    </row>
    <row r="3690" spans="1:9" x14ac:dyDescent="0.4">
      <c r="A3690" t="s">
        <v>66</v>
      </c>
      <c r="B3690" s="1">
        <v>45505</v>
      </c>
      <c r="C3690">
        <v>854430</v>
      </c>
      <c r="D3690" t="s">
        <v>176</v>
      </c>
      <c r="E3690">
        <v>1008676</v>
      </c>
      <c r="F3690">
        <v>59780</v>
      </c>
      <c r="G3690">
        <v>18528</v>
      </c>
      <c r="H3690">
        <f>_xlfn.XLOOKUP(FACT_IMPORTS[[#This Row],[hts_6]],DIM_PRODUCTS[hts_6],DIM_PRODUCTS[hts_4],,,)</f>
        <v>8544</v>
      </c>
      <c r="I3690" t="str" cm="1">
        <f t="array" ref="I3690">_xlfn.XLOOKUP(FACT_IMPORTS[[#This Row],[country_name]],DIM_COUNTRY[[#All],[Column2]],DIM_COUNTRY[[#All],[Column3]],,,)</f>
        <v>China</v>
      </c>
    </row>
    <row r="3691" spans="1:9" x14ac:dyDescent="0.4">
      <c r="A3691" t="s">
        <v>66</v>
      </c>
      <c r="B3691" s="1">
        <v>45505</v>
      </c>
      <c r="C3691">
        <v>870710</v>
      </c>
      <c r="D3691" t="s">
        <v>176</v>
      </c>
      <c r="E3691">
        <v>0</v>
      </c>
      <c r="F3691">
        <v>0</v>
      </c>
      <c r="G3691">
        <v>0</v>
      </c>
      <c r="H3691">
        <f>_xlfn.XLOOKUP(FACT_IMPORTS[[#This Row],[hts_6]],DIM_PRODUCTS[hts_6],DIM_PRODUCTS[hts_4],,,)</f>
        <v>8707</v>
      </c>
      <c r="I3691" t="str" cm="1">
        <f t="array" ref="I3691">_xlfn.XLOOKUP(FACT_IMPORTS[[#This Row],[country_name]],DIM_COUNTRY[[#All],[Column2]],DIM_COUNTRY[[#All],[Column3]],,,)</f>
        <v>China</v>
      </c>
    </row>
    <row r="3692" spans="1:9" x14ac:dyDescent="0.4">
      <c r="A3692" t="s">
        <v>66</v>
      </c>
      <c r="B3692" s="1">
        <v>45505</v>
      </c>
      <c r="C3692">
        <v>870810</v>
      </c>
      <c r="D3692" t="s">
        <v>176</v>
      </c>
      <c r="E3692">
        <v>931877</v>
      </c>
      <c r="F3692">
        <v>72950</v>
      </c>
      <c r="G3692">
        <v>211283</v>
      </c>
      <c r="H3692">
        <f>_xlfn.XLOOKUP(FACT_IMPORTS[[#This Row],[hts_6]],DIM_PRODUCTS[hts_6],DIM_PRODUCTS[hts_4],,,)</f>
        <v>8708</v>
      </c>
      <c r="I3692" t="str" cm="1">
        <f t="array" ref="I3692">_xlfn.XLOOKUP(FACT_IMPORTS[[#This Row],[country_name]],DIM_COUNTRY[[#All],[Column2]],DIM_COUNTRY[[#All],[Column3]],,,)</f>
        <v>China</v>
      </c>
    </row>
    <row r="3693" spans="1:9" x14ac:dyDescent="0.4">
      <c r="A3693" t="s">
        <v>66</v>
      </c>
      <c r="B3693" s="1">
        <v>45505</v>
      </c>
      <c r="C3693">
        <v>870821</v>
      </c>
      <c r="D3693" t="s">
        <v>176</v>
      </c>
      <c r="E3693">
        <v>0</v>
      </c>
      <c r="F3693">
        <v>0</v>
      </c>
      <c r="G3693">
        <v>0</v>
      </c>
      <c r="H3693">
        <f>_xlfn.XLOOKUP(FACT_IMPORTS[[#This Row],[hts_6]],DIM_PRODUCTS[hts_6],DIM_PRODUCTS[hts_4],,,)</f>
        <v>8708</v>
      </c>
      <c r="I3693" t="str" cm="1">
        <f t="array" ref="I3693">_xlfn.XLOOKUP(FACT_IMPORTS[[#This Row],[country_name]],DIM_COUNTRY[[#All],[Column2]],DIM_COUNTRY[[#All],[Column3]],,,)</f>
        <v>China</v>
      </c>
    </row>
    <row r="3694" spans="1:9" x14ac:dyDescent="0.4">
      <c r="A3694" t="s">
        <v>66</v>
      </c>
      <c r="B3694" s="1">
        <v>45505</v>
      </c>
      <c r="C3694">
        <v>870822</v>
      </c>
      <c r="D3694" t="s">
        <v>176</v>
      </c>
      <c r="E3694">
        <v>1990505</v>
      </c>
      <c r="F3694">
        <v>190003</v>
      </c>
      <c r="G3694">
        <v>108446</v>
      </c>
      <c r="H3694">
        <f>_xlfn.XLOOKUP(FACT_IMPORTS[[#This Row],[hts_6]],DIM_PRODUCTS[hts_6],DIM_PRODUCTS[hts_4],,,)</f>
        <v>8708</v>
      </c>
      <c r="I3694" t="str" cm="1">
        <f t="array" ref="I3694">_xlfn.XLOOKUP(FACT_IMPORTS[[#This Row],[country_name]],DIM_COUNTRY[[#All],[Column2]],DIM_COUNTRY[[#All],[Column3]],,,)</f>
        <v>China</v>
      </c>
    </row>
    <row r="3695" spans="1:9" x14ac:dyDescent="0.4">
      <c r="A3695" t="s">
        <v>66</v>
      </c>
      <c r="B3695" s="1">
        <v>45505</v>
      </c>
      <c r="C3695">
        <v>870829</v>
      </c>
      <c r="D3695" t="s">
        <v>176</v>
      </c>
      <c r="E3695">
        <v>17397264</v>
      </c>
      <c r="F3695">
        <v>3703907</v>
      </c>
      <c r="G3695">
        <v>995963</v>
      </c>
      <c r="H3695">
        <f>_xlfn.XLOOKUP(FACT_IMPORTS[[#This Row],[hts_6]],DIM_PRODUCTS[hts_6],DIM_PRODUCTS[hts_4],,,)</f>
        <v>8708</v>
      </c>
      <c r="I3695" t="str" cm="1">
        <f t="array" ref="I3695">_xlfn.XLOOKUP(FACT_IMPORTS[[#This Row],[country_name]],DIM_COUNTRY[[#All],[Column2]],DIM_COUNTRY[[#All],[Column3]],,,)</f>
        <v>China</v>
      </c>
    </row>
    <row r="3696" spans="1:9" x14ac:dyDescent="0.4">
      <c r="A3696" t="s">
        <v>66</v>
      </c>
      <c r="B3696" s="1">
        <v>45505</v>
      </c>
      <c r="C3696">
        <v>870830</v>
      </c>
      <c r="D3696" t="s">
        <v>176</v>
      </c>
      <c r="E3696">
        <v>4906544</v>
      </c>
      <c r="F3696">
        <v>466347</v>
      </c>
      <c r="G3696">
        <v>256467</v>
      </c>
      <c r="H3696">
        <f>_xlfn.XLOOKUP(FACT_IMPORTS[[#This Row],[hts_6]],DIM_PRODUCTS[hts_6],DIM_PRODUCTS[hts_4],,,)</f>
        <v>8708</v>
      </c>
      <c r="I3696" t="str" cm="1">
        <f t="array" ref="I3696">_xlfn.XLOOKUP(FACT_IMPORTS[[#This Row],[country_name]],DIM_COUNTRY[[#All],[Column2]],DIM_COUNTRY[[#All],[Column3]],,,)</f>
        <v>China</v>
      </c>
    </row>
    <row r="3697" spans="1:9" x14ac:dyDescent="0.4">
      <c r="A3697" t="s">
        <v>66</v>
      </c>
      <c r="B3697" s="1">
        <v>45505</v>
      </c>
      <c r="C3697">
        <v>870840</v>
      </c>
      <c r="D3697" t="s">
        <v>176</v>
      </c>
      <c r="E3697">
        <v>3483332</v>
      </c>
      <c r="F3697">
        <v>507124</v>
      </c>
      <c r="G3697">
        <v>53226</v>
      </c>
      <c r="H3697">
        <f>_xlfn.XLOOKUP(FACT_IMPORTS[[#This Row],[hts_6]],DIM_PRODUCTS[hts_6],DIM_PRODUCTS[hts_4],,,)</f>
        <v>8708</v>
      </c>
      <c r="I3697" t="str" cm="1">
        <f t="array" ref="I3697">_xlfn.XLOOKUP(FACT_IMPORTS[[#This Row],[country_name]],DIM_COUNTRY[[#All],[Column2]],DIM_COUNTRY[[#All],[Column3]],,,)</f>
        <v>China</v>
      </c>
    </row>
    <row r="3698" spans="1:9" x14ac:dyDescent="0.4">
      <c r="A3698" t="s">
        <v>66</v>
      </c>
      <c r="B3698" s="1">
        <v>45505</v>
      </c>
      <c r="C3698">
        <v>870850</v>
      </c>
      <c r="D3698" t="s">
        <v>176</v>
      </c>
      <c r="E3698">
        <v>3526453</v>
      </c>
      <c r="F3698">
        <v>465846</v>
      </c>
      <c r="G3698">
        <v>77620</v>
      </c>
      <c r="H3698">
        <f>_xlfn.XLOOKUP(FACT_IMPORTS[[#This Row],[hts_6]],DIM_PRODUCTS[hts_6],DIM_PRODUCTS[hts_4],,,)</f>
        <v>8708</v>
      </c>
      <c r="I3698" t="str" cm="1">
        <f t="array" ref="I3698">_xlfn.XLOOKUP(FACT_IMPORTS[[#This Row],[country_name]],DIM_COUNTRY[[#All],[Column2]],DIM_COUNTRY[[#All],[Column3]],,,)</f>
        <v>China</v>
      </c>
    </row>
    <row r="3699" spans="1:9" x14ac:dyDescent="0.4">
      <c r="A3699" t="s">
        <v>66</v>
      </c>
      <c r="B3699" s="1">
        <v>45505</v>
      </c>
      <c r="C3699">
        <v>870870</v>
      </c>
      <c r="D3699" t="s">
        <v>176</v>
      </c>
      <c r="E3699">
        <v>34579593</v>
      </c>
      <c r="F3699">
        <v>1315479</v>
      </c>
      <c r="G3699">
        <v>1817438</v>
      </c>
      <c r="H3699">
        <f>_xlfn.XLOOKUP(FACT_IMPORTS[[#This Row],[hts_6]],DIM_PRODUCTS[hts_6],DIM_PRODUCTS[hts_4],,,)</f>
        <v>8708</v>
      </c>
      <c r="I3699" t="str" cm="1">
        <f t="array" ref="I3699">_xlfn.XLOOKUP(FACT_IMPORTS[[#This Row],[country_name]],DIM_COUNTRY[[#All],[Column2]],DIM_COUNTRY[[#All],[Column3]],,,)</f>
        <v>China</v>
      </c>
    </row>
    <row r="3700" spans="1:9" x14ac:dyDescent="0.4">
      <c r="A3700" t="s">
        <v>66</v>
      </c>
      <c r="B3700" s="1">
        <v>45505</v>
      </c>
      <c r="C3700">
        <v>870880</v>
      </c>
      <c r="D3700" t="s">
        <v>176</v>
      </c>
      <c r="E3700">
        <v>12393575</v>
      </c>
      <c r="F3700">
        <v>2171403</v>
      </c>
      <c r="G3700">
        <v>264420</v>
      </c>
      <c r="H3700">
        <f>_xlfn.XLOOKUP(FACT_IMPORTS[[#This Row],[hts_6]],DIM_PRODUCTS[hts_6],DIM_PRODUCTS[hts_4],,,)</f>
        <v>8708</v>
      </c>
      <c r="I3700" t="str" cm="1">
        <f t="array" ref="I3700">_xlfn.XLOOKUP(FACT_IMPORTS[[#This Row],[country_name]],DIM_COUNTRY[[#All],[Column2]],DIM_COUNTRY[[#All],[Column3]],,,)</f>
        <v>China</v>
      </c>
    </row>
    <row r="3701" spans="1:9" x14ac:dyDescent="0.4">
      <c r="A3701" t="s">
        <v>66</v>
      </c>
      <c r="B3701" s="1">
        <v>45505</v>
      </c>
      <c r="C3701">
        <v>870891</v>
      </c>
      <c r="D3701" t="s">
        <v>176</v>
      </c>
      <c r="E3701">
        <v>246113</v>
      </c>
      <c r="F3701">
        <v>6890</v>
      </c>
      <c r="G3701">
        <v>45152</v>
      </c>
      <c r="H3701">
        <f>_xlfn.XLOOKUP(FACT_IMPORTS[[#This Row],[hts_6]],DIM_PRODUCTS[hts_6],DIM_PRODUCTS[hts_4],,,)</f>
        <v>8708</v>
      </c>
      <c r="I3701" t="str" cm="1">
        <f t="array" ref="I3701">_xlfn.XLOOKUP(FACT_IMPORTS[[#This Row],[country_name]],DIM_COUNTRY[[#All],[Column2]],DIM_COUNTRY[[#All],[Column3]],,,)</f>
        <v>China</v>
      </c>
    </row>
    <row r="3702" spans="1:9" x14ac:dyDescent="0.4">
      <c r="A3702" t="s">
        <v>66</v>
      </c>
      <c r="B3702" s="1">
        <v>45505</v>
      </c>
      <c r="C3702">
        <v>870892</v>
      </c>
      <c r="D3702" t="s">
        <v>176</v>
      </c>
      <c r="E3702">
        <v>5641038</v>
      </c>
      <c r="F3702">
        <v>980939</v>
      </c>
      <c r="G3702">
        <v>353939</v>
      </c>
      <c r="H3702">
        <f>_xlfn.XLOOKUP(FACT_IMPORTS[[#This Row],[hts_6]],DIM_PRODUCTS[hts_6],DIM_PRODUCTS[hts_4],,,)</f>
        <v>8708</v>
      </c>
      <c r="I3702" t="str" cm="1">
        <f t="array" ref="I3702">_xlfn.XLOOKUP(FACT_IMPORTS[[#This Row],[country_name]],DIM_COUNTRY[[#All],[Column2]],DIM_COUNTRY[[#All],[Column3]],,,)</f>
        <v>China</v>
      </c>
    </row>
    <row r="3703" spans="1:9" x14ac:dyDescent="0.4">
      <c r="A3703" t="s">
        <v>66</v>
      </c>
      <c r="B3703" s="1">
        <v>45505</v>
      </c>
      <c r="C3703">
        <v>870893</v>
      </c>
      <c r="D3703" t="s">
        <v>176</v>
      </c>
      <c r="E3703">
        <v>281495</v>
      </c>
      <c r="F3703">
        <v>174993</v>
      </c>
      <c r="G3703">
        <v>9465</v>
      </c>
      <c r="H3703">
        <f>_xlfn.XLOOKUP(FACT_IMPORTS[[#This Row],[hts_6]],DIM_PRODUCTS[hts_6],DIM_PRODUCTS[hts_4],,,)</f>
        <v>8708</v>
      </c>
      <c r="I3703" t="str" cm="1">
        <f t="array" ref="I3703">_xlfn.XLOOKUP(FACT_IMPORTS[[#This Row],[country_name]],DIM_COUNTRY[[#All],[Column2]],DIM_COUNTRY[[#All],[Column3]],,,)</f>
        <v>China</v>
      </c>
    </row>
    <row r="3704" spans="1:9" x14ac:dyDescent="0.4">
      <c r="A3704" t="s">
        <v>66</v>
      </c>
      <c r="B3704" s="1">
        <v>45505</v>
      </c>
      <c r="C3704">
        <v>870894</v>
      </c>
      <c r="D3704" t="s">
        <v>176</v>
      </c>
      <c r="E3704">
        <v>4965330</v>
      </c>
      <c r="F3704">
        <v>318098</v>
      </c>
      <c r="G3704">
        <v>682482</v>
      </c>
      <c r="H3704">
        <f>_xlfn.XLOOKUP(FACT_IMPORTS[[#This Row],[hts_6]],DIM_PRODUCTS[hts_6],DIM_PRODUCTS[hts_4],,,)</f>
        <v>8708</v>
      </c>
      <c r="I3704" t="str" cm="1">
        <f t="array" ref="I3704">_xlfn.XLOOKUP(FACT_IMPORTS[[#This Row],[country_name]],DIM_COUNTRY[[#All],[Column2]],DIM_COUNTRY[[#All],[Column3]],,,)</f>
        <v>China</v>
      </c>
    </row>
    <row r="3705" spans="1:9" x14ac:dyDescent="0.4">
      <c r="A3705" t="s">
        <v>66</v>
      </c>
      <c r="B3705" s="1">
        <v>45505</v>
      </c>
      <c r="C3705">
        <v>870895</v>
      </c>
      <c r="D3705" t="s">
        <v>176</v>
      </c>
      <c r="E3705">
        <v>62229</v>
      </c>
      <c r="F3705">
        <v>1968</v>
      </c>
      <c r="G3705">
        <v>200</v>
      </c>
      <c r="H3705">
        <f>_xlfn.XLOOKUP(FACT_IMPORTS[[#This Row],[hts_6]],DIM_PRODUCTS[hts_6],DIM_PRODUCTS[hts_4],,,)</f>
        <v>8708</v>
      </c>
      <c r="I3705" t="str" cm="1">
        <f t="array" ref="I3705">_xlfn.XLOOKUP(FACT_IMPORTS[[#This Row],[country_name]],DIM_COUNTRY[[#All],[Column2]],DIM_COUNTRY[[#All],[Column3]],,,)</f>
        <v>China</v>
      </c>
    </row>
    <row r="3706" spans="1:9" x14ac:dyDescent="0.4">
      <c r="A3706" t="s">
        <v>66</v>
      </c>
      <c r="B3706" s="1">
        <v>45505</v>
      </c>
      <c r="C3706">
        <v>870899</v>
      </c>
      <c r="D3706" t="s">
        <v>176</v>
      </c>
      <c r="E3706">
        <v>7302467</v>
      </c>
      <c r="F3706">
        <v>1959476</v>
      </c>
      <c r="G3706">
        <v>487222</v>
      </c>
      <c r="H3706">
        <f>_xlfn.XLOOKUP(FACT_IMPORTS[[#This Row],[hts_6]],DIM_PRODUCTS[hts_6],DIM_PRODUCTS[hts_4],,,)</f>
        <v>8708</v>
      </c>
      <c r="I3706" t="str" cm="1">
        <f t="array" ref="I3706">_xlfn.XLOOKUP(FACT_IMPORTS[[#This Row],[country_name]],DIM_COUNTRY[[#All],[Column2]],DIM_COUNTRY[[#All],[Column3]],,,)</f>
        <v>China</v>
      </c>
    </row>
    <row r="3707" spans="1:9" x14ac:dyDescent="0.4">
      <c r="A3707" t="s">
        <v>66</v>
      </c>
      <c r="B3707" s="1">
        <v>45505</v>
      </c>
      <c r="C3707">
        <v>940120</v>
      </c>
      <c r="D3707" t="s">
        <v>176</v>
      </c>
      <c r="E3707">
        <v>59569</v>
      </c>
      <c r="F3707">
        <v>129</v>
      </c>
      <c r="G3707">
        <v>1278</v>
      </c>
      <c r="H3707">
        <f>_xlfn.XLOOKUP(FACT_IMPORTS[[#This Row],[hts_6]],DIM_PRODUCTS[hts_6],DIM_PRODUCTS[hts_4],,,)</f>
        <v>9401</v>
      </c>
      <c r="I3707" t="str" cm="1">
        <f t="array" ref="I3707">_xlfn.XLOOKUP(FACT_IMPORTS[[#This Row],[country_name]],DIM_COUNTRY[[#All],[Column2]],DIM_COUNTRY[[#All],[Column3]],,,)</f>
        <v>China</v>
      </c>
    </row>
    <row r="3708" spans="1:9" x14ac:dyDescent="0.4">
      <c r="A3708" t="s">
        <v>66</v>
      </c>
      <c r="B3708" s="1">
        <v>45536</v>
      </c>
      <c r="C3708">
        <v>392630</v>
      </c>
      <c r="D3708" t="s">
        <v>176</v>
      </c>
      <c r="E3708">
        <v>5341472</v>
      </c>
      <c r="F3708">
        <v>214704</v>
      </c>
      <c r="G3708">
        <v>238434</v>
      </c>
      <c r="H3708">
        <f>_xlfn.XLOOKUP(FACT_IMPORTS[[#This Row],[hts_6]],DIM_PRODUCTS[hts_6],DIM_PRODUCTS[hts_4],,,)</f>
        <v>3926</v>
      </c>
      <c r="I3708" t="str" cm="1">
        <f t="array" ref="I3708">_xlfn.XLOOKUP(FACT_IMPORTS[[#This Row],[country_name]],DIM_COUNTRY[[#All],[Column2]],DIM_COUNTRY[[#All],[Column3]],,,)</f>
        <v>China</v>
      </c>
    </row>
    <row r="3709" spans="1:9" x14ac:dyDescent="0.4">
      <c r="A3709" t="s">
        <v>66</v>
      </c>
      <c r="B3709" s="1">
        <v>45536</v>
      </c>
      <c r="C3709">
        <v>401110</v>
      </c>
      <c r="D3709" t="s">
        <v>176</v>
      </c>
      <c r="E3709">
        <v>3166</v>
      </c>
      <c r="F3709">
        <v>46</v>
      </c>
      <c r="G3709">
        <v>45</v>
      </c>
      <c r="H3709">
        <f>_xlfn.XLOOKUP(FACT_IMPORTS[[#This Row],[hts_6]],DIM_PRODUCTS[hts_6],DIM_PRODUCTS[hts_4],,,)</f>
        <v>4011</v>
      </c>
      <c r="I3709" t="str" cm="1">
        <f t="array" ref="I3709">_xlfn.XLOOKUP(FACT_IMPORTS[[#This Row],[country_name]],DIM_COUNTRY[[#All],[Column2]],DIM_COUNTRY[[#All],[Column3]],,,)</f>
        <v>China</v>
      </c>
    </row>
    <row r="3710" spans="1:9" x14ac:dyDescent="0.4">
      <c r="A3710" t="s">
        <v>66</v>
      </c>
      <c r="B3710" s="1">
        <v>45536</v>
      </c>
      <c r="C3710">
        <v>401120</v>
      </c>
      <c r="D3710" t="s">
        <v>176</v>
      </c>
      <c r="E3710">
        <v>111503</v>
      </c>
      <c r="F3710">
        <v>902</v>
      </c>
      <c r="G3710">
        <v>10047</v>
      </c>
      <c r="H3710">
        <f>_xlfn.XLOOKUP(FACT_IMPORTS[[#This Row],[hts_6]],DIM_PRODUCTS[hts_6],DIM_PRODUCTS[hts_4],,,)</f>
        <v>4011</v>
      </c>
      <c r="I3710" t="str" cm="1">
        <f t="array" ref="I3710">_xlfn.XLOOKUP(FACT_IMPORTS[[#This Row],[country_name]],DIM_COUNTRY[[#All],[Column2]],DIM_COUNTRY[[#All],[Column3]],,,)</f>
        <v>China</v>
      </c>
    </row>
    <row r="3711" spans="1:9" x14ac:dyDescent="0.4">
      <c r="A3711" t="s">
        <v>66</v>
      </c>
      <c r="B3711" s="1">
        <v>45536</v>
      </c>
      <c r="C3711">
        <v>401140</v>
      </c>
      <c r="D3711" t="s">
        <v>176</v>
      </c>
      <c r="E3711">
        <v>7531</v>
      </c>
      <c r="F3711">
        <v>325</v>
      </c>
      <c r="G3711">
        <v>9</v>
      </c>
      <c r="H3711">
        <f>_xlfn.XLOOKUP(FACT_IMPORTS[[#This Row],[hts_6]],DIM_PRODUCTS[hts_6],DIM_PRODUCTS[hts_4],,,)</f>
        <v>4011</v>
      </c>
      <c r="I3711" t="str" cm="1">
        <f t="array" ref="I3711">_xlfn.XLOOKUP(FACT_IMPORTS[[#This Row],[country_name]],DIM_COUNTRY[[#All],[Column2]],DIM_COUNTRY[[#All],[Column3]],,,)</f>
        <v>China</v>
      </c>
    </row>
    <row r="3712" spans="1:9" x14ac:dyDescent="0.4">
      <c r="A3712" t="s">
        <v>66</v>
      </c>
      <c r="B3712" s="1">
        <v>45536</v>
      </c>
      <c r="C3712">
        <v>401190</v>
      </c>
      <c r="D3712" t="s">
        <v>176</v>
      </c>
      <c r="E3712">
        <v>185937</v>
      </c>
      <c r="F3712">
        <v>3256</v>
      </c>
      <c r="G3712">
        <v>6897</v>
      </c>
      <c r="H3712">
        <f>_xlfn.XLOOKUP(FACT_IMPORTS[[#This Row],[hts_6]],DIM_PRODUCTS[hts_6],DIM_PRODUCTS[hts_4],,,)</f>
        <v>4011</v>
      </c>
      <c r="I3712" t="str" cm="1">
        <f t="array" ref="I3712">_xlfn.XLOOKUP(FACT_IMPORTS[[#This Row],[country_name]],DIM_COUNTRY[[#All],[Column2]],DIM_COUNTRY[[#All],[Column3]],,,)</f>
        <v>China</v>
      </c>
    </row>
    <row r="3713" spans="1:9" x14ac:dyDescent="0.4">
      <c r="A3713" t="s">
        <v>66</v>
      </c>
      <c r="B3713" s="1">
        <v>45536</v>
      </c>
      <c r="C3713">
        <v>700711</v>
      </c>
      <c r="D3713" t="s">
        <v>176</v>
      </c>
      <c r="E3713">
        <v>1019014</v>
      </c>
      <c r="F3713">
        <v>73025</v>
      </c>
      <c r="G3713">
        <v>62995</v>
      </c>
      <c r="H3713">
        <f>_xlfn.XLOOKUP(FACT_IMPORTS[[#This Row],[hts_6]],DIM_PRODUCTS[hts_6],DIM_PRODUCTS[hts_4],,,)</f>
        <v>7007</v>
      </c>
      <c r="I3713" t="str" cm="1">
        <f t="array" ref="I3713">_xlfn.XLOOKUP(FACT_IMPORTS[[#This Row],[country_name]],DIM_COUNTRY[[#All],[Column2]],DIM_COUNTRY[[#All],[Column3]],,,)</f>
        <v>China</v>
      </c>
    </row>
    <row r="3714" spans="1:9" x14ac:dyDescent="0.4">
      <c r="A3714" t="s">
        <v>66</v>
      </c>
      <c r="B3714" s="1">
        <v>45536</v>
      </c>
      <c r="C3714">
        <v>700721</v>
      </c>
      <c r="D3714" t="s">
        <v>176</v>
      </c>
      <c r="E3714">
        <v>431180</v>
      </c>
      <c r="F3714">
        <v>11738</v>
      </c>
      <c r="G3714">
        <v>28648</v>
      </c>
      <c r="H3714">
        <f>_xlfn.XLOOKUP(FACT_IMPORTS[[#This Row],[hts_6]],DIM_PRODUCTS[hts_6],DIM_PRODUCTS[hts_4],,,)</f>
        <v>7007</v>
      </c>
      <c r="I3714" t="str" cm="1">
        <f t="array" ref="I3714">_xlfn.XLOOKUP(FACT_IMPORTS[[#This Row],[country_name]],DIM_COUNTRY[[#All],[Column2]],DIM_COUNTRY[[#All],[Column3]],,,)</f>
        <v>China</v>
      </c>
    </row>
    <row r="3715" spans="1:9" x14ac:dyDescent="0.4">
      <c r="A3715" t="s">
        <v>66</v>
      </c>
      <c r="B3715" s="1">
        <v>45536</v>
      </c>
      <c r="C3715">
        <v>700910</v>
      </c>
      <c r="D3715" t="s">
        <v>176</v>
      </c>
      <c r="E3715">
        <v>367172</v>
      </c>
      <c r="F3715">
        <v>399328</v>
      </c>
      <c r="G3715">
        <v>49795</v>
      </c>
      <c r="H3715">
        <f>_xlfn.XLOOKUP(FACT_IMPORTS[[#This Row],[hts_6]],DIM_PRODUCTS[hts_6],DIM_PRODUCTS[hts_4],,,)</f>
        <v>7009</v>
      </c>
      <c r="I3715" t="str" cm="1">
        <f t="array" ref="I3715">_xlfn.XLOOKUP(FACT_IMPORTS[[#This Row],[country_name]],DIM_COUNTRY[[#All],[Column2]],DIM_COUNTRY[[#All],[Column3]],,,)</f>
        <v>China</v>
      </c>
    </row>
    <row r="3716" spans="1:9" x14ac:dyDescent="0.4">
      <c r="A3716" t="s">
        <v>66</v>
      </c>
      <c r="B3716" s="1">
        <v>45536</v>
      </c>
      <c r="C3716">
        <v>732010</v>
      </c>
      <c r="D3716" t="s">
        <v>176</v>
      </c>
      <c r="E3716">
        <v>0</v>
      </c>
      <c r="F3716">
        <v>0</v>
      </c>
      <c r="G3716">
        <v>0</v>
      </c>
      <c r="H3716">
        <f>_xlfn.XLOOKUP(FACT_IMPORTS[[#This Row],[hts_6]],DIM_PRODUCTS[hts_6],DIM_PRODUCTS[hts_4],,,)</f>
        <v>7320</v>
      </c>
      <c r="I3716" t="str" cm="1">
        <f t="array" ref="I3716">_xlfn.XLOOKUP(FACT_IMPORTS[[#This Row],[country_name]],DIM_COUNTRY[[#All],[Column2]],DIM_COUNTRY[[#All],[Column3]],,,)</f>
        <v>China</v>
      </c>
    </row>
    <row r="3717" spans="1:9" x14ac:dyDescent="0.4">
      <c r="A3717" t="s">
        <v>66</v>
      </c>
      <c r="B3717" s="1">
        <v>45536</v>
      </c>
      <c r="C3717">
        <v>830230</v>
      </c>
      <c r="D3717" t="s">
        <v>176</v>
      </c>
      <c r="E3717">
        <v>4115693</v>
      </c>
      <c r="F3717">
        <v>1205090</v>
      </c>
      <c r="G3717">
        <v>257797</v>
      </c>
      <c r="H3717">
        <f>_xlfn.XLOOKUP(FACT_IMPORTS[[#This Row],[hts_6]],DIM_PRODUCTS[hts_6],DIM_PRODUCTS[hts_4],,,)</f>
        <v>8302</v>
      </c>
      <c r="I3717" t="str" cm="1">
        <f t="array" ref="I3717">_xlfn.XLOOKUP(FACT_IMPORTS[[#This Row],[country_name]],DIM_COUNTRY[[#All],[Column2]],DIM_COUNTRY[[#All],[Column3]],,,)</f>
        <v>China</v>
      </c>
    </row>
    <row r="3718" spans="1:9" x14ac:dyDescent="0.4">
      <c r="A3718" t="s">
        <v>66</v>
      </c>
      <c r="B3718" s="1">
        <v>45536</v>
      </c>
      <c r="C3718">
        <v>840733</v>
      </c>
      <c r="D3718" t="s">
        <v>176</v>
      </c>
      <c r="E3718">
        <v>0</v>
      </c>
      <c r="F3718">
        <v>0</v>
      </c>
      <c r="G3718">
        <v>0</v>
      </c>
      <c r="H3718">
        <f>_xlfn.XLOOKUP(FACT_IMPORTS[[#This Row],[hts_6]],DIM_PRODUCTS[hts_6],DIM_PRODUCTS[hts_4],,,)</f>
        <v>8407</v>
      </c>
      <c r="I3718" t="str" cm="1">
        <f t="array" ref="I3718">_xlfn.XLOOKUP(FACT_IMPORTS[[#This Row],[country_name]],DIM_COUNTRY[[#All],[Column2]],DIM_COUNTRY[[#All],[Column3]],,,)</f>
        <v>China</v>
      </c>
    </row>
    <row r="3719" spans="1:9" x14ac:dyDescent="0.4">
      <c r="A3719" t="s">
        <v>66</v>
      </c>
      <c r="B3719" s="1">
        <v>45536</v>
      </c>
      <c r="C3719">
        <v>840734</v>
      </c>
      <c r="D3719" t="s">
        <v>176</v>
      </c>
      <c r="E3719">
        <v>2799</v>
      </c>
      <c r="F3719">
        <v>2</v>
      </c>
      <c r="G3719">
        <v>61</v>
      </c>
      <c r="H3719">
        <f>_xlfn.XLOOKUP(FACT_IMPORTS[[#This Row],[hts_6]],DIM_PRODUCTS[hts_6],DIM_PRODUCTS[hts_4],,,)</f>
        <v>8407</v>
      </c>
      <c r="I3719" t="str" cm="1">
        <f t="array" ref="I3719">_xlfn.XLOOKUP(FACT_IMPORTS[[#This Row],[country_name]],DIM_COUNTRY[[#All],[Column2]],DIM_COUNTRY[[#All],[Column3]],,,)</f>
        <v>China</v>
      </c>
    </row>
    <row r="3720" spans="1:9" x14ac:dyDescent="0.4">
      <c r="A3720" t="s">
        <v>66</v>
      </c>
      <c r="B3720" s="1">
        <v>45536</v>
      </c>
      <c r="C3720">
        <v>840790</v>
      </c>
      <c r="D3720" t="s">
        <v>176</v>
      </c>
      <c r="E3720">
        <v>90035</v>
      </c>
      <c r="F3720">
        <v>575</v>
      </c>
      <c r="G3720">
        <v>500</v>
      </c>
      <c r="H3720">
        <f>_xlfn.XLOOKUP(FACT_IMPORTS[[#This Row],[hts_6]],DIM_PRODUCTS[hts_6],DIM_PRODUCTS[hts_4],,,)</f>
        <v>8407</v>
      </c>
      <c r="I3720" t="str" cm="1">
        <f t="array" ref="I3720">_xlfn.XLOOKUP(FACT_IMPORTS[[#This Row],[country_name]],DIM_COUNTRY[[#All],[Column2]],DIM_COUNTRY[[#All],[Column3]],,,)</f>
        <v>China</v>
      </c>
    </row>
    <row r="3721" spans="1:9" x14ac:dyDescent="0.4">
      <c r="A3721" t="s">
        <v>66</v>
      </c>
      <c r="B3721" s="1">
        <v>45536</v>
      </c>
      <c r="C3721">
        <v>840820</v>
      </c>
      <c r="D3721" t="s">
        <v>176</v>
      </c>
      <c r="E3721">
        <v>0</v>
      </c>
      <c r="F3721">
        <v>0</v>
      </c>
      <c r="G3721">
        <v>0</v>
      </c>
      <c r="H3721">
        <f>_xlfn.XLOOKUP(FACT_IMPORTS[[#This Row],[hts_6]],DIM_PRODUCTS[hts_6],DIM_PRODUCTS[hts_4],,,)</f>
        <v>8408</v>
      </c>
      <c r="I3721" t="str" cm="1">
        <f t="array" ref="I3721">_xlfn.XLOOKUP(FACT_IMPORTS[[#This Row],[country_name]],DIM_COUNTRY[[#All],[Column2]],DIM_COUNTRY[[#All],[Column3]],,,)</f>
        <v>China</v>
      </c>
    </row>
    <row r="3722" spans="1:9" x14ac:dyDescent="0.4">
      <c r="A3722" t="s">
        <v>66</v>
      </c>
      <c r="B3722" s="1">
        <v>45536</v>
      </c>
      <c r="C3722">
        <v>840890</v>
      </c>
      <c r="D3722" t="s">
        <v>176</v>
      </c>
      <c r="E3722">
        <v>0</v>
      </c>
      <c r="F3722">
        <v>0</v>
      </c>
      <c r="G3722">
        <v>0</v>
      </c>
      <c r="H3722">
        <f>_xlfn.XLOOKUP(FACT_IMPORTS[[#This Row],[hts_6]],DIM_PRODUCTS[hts_6],DIM_PRODUCTS[hts_4],,,)</f>
        <v>8408</v>
      </c>
      <c r="I3722" t="str" cm="1">
        <f t="array" ref="I3722">_xlfn.XLOOKUP(FACT_IMPORTS[[#This Row],[country_name]],DIM_COUNTRY[[#All],[Column2]],DIM_COUNTRY[[#All],[Column3]],,,)</f>
        <v>China</v>
      </c>
    </row>
    <row r="3723" spans="1:9" x14ac:dyDescent="0.4">
      <c r="A3723" t="s">
        <v>66</v>
      </c>
      <c r="B3723" s="1">
        <v>45536</v>
      </c>
      <c r="C3723">
        <v>840991</v>
      </c>
      <c r="D3723" t="s">
        <v>176</v>
      </c>
      <c r="E3723">
        <v>6965225</v>
      </c>
      <c r="F3723">
        <v>1835904</v>
      </c>
      <c r="G3723">
        <v>785862</v>
      </c>
      <c r="H3723">
        <f>_xlfn.XLOOKUP(FACT_IMPORTS[[#This Row],[hts_6]],DIM_PRODUCTS[hts_6],DIM_PRODUCTS[hts_4],,,)</f>
        <v>8409</v>
      </c>
      <c r="I3723" t="str" cm="1">
        <f t="array" ref="I3723">_xlfn.XLOOKUP(FACT_IMPORTS[[#This Row],[country_name]],DIM_COUNTRY[[#All],[Column2]],DIM_COUNTRY[[#All],[Column3]],,,)</f>
        <v>China</v>
      </c>
    </row>
    <row r="3724" spans="1:9" x14ac:dyDescent="0.4">
      <c r="A3724" t="s">
        <v>66</v>
      </c>
      <c r="B3724" s="1">
        <v>45536</v>
      </c>
      <c r="C3724">
        <v>840999</v>
      </c>
      <c r="D3724" t="s">
        <v>176</v>
      </c>
      <c r="E3724">
        <v>7506930</v>
      </c>
      <c r="F3724">
        <v>1356757</v>
      </c>
      <c r="G3724">
        <v>369916</v>
      </c>
      <c r="H3724">
        <f>_xlfn.XLOOKUP(FACT_IMPORTS[[#This Row],[hts_6]],DIM_PRODUCTS[hts_6],DIM_PRODUCTS[hts_4],,,)</f>
        <v>8409</v>
      </c>
      <c r="I3724" t="str" cm="1">
        <f t="array" ref="I3724">_xlfn.XLOOKUP(FACT_IMPORTS[[#This Row],[country_name]],DIM_COUNTRY[[#All],[Column2]],DIM_COUNTRY[[#All],[Column3]],,,)</f>
        <v>China</v>
      </c>
    </row>
    <row r="3725" spans="1:9" x14ac:dyDescent="0.4">
      <c r="A3725" t="s">
        <v>66</v>
      </c>
      <c r="B3725" s="1">
        <v>45536</v>
      </c>
      <c r="C3725">
        <v>841330</v>
      </c>
      <c r="D3725" t="s">
        <v>176</v>
      </c>
      <c r="E3725">
        <v>1082638</v>
      </c>
      <c r="F3725">
        <v>29663</v>
      </c>
      <c r="G3725">
        <v>21951</v>
      </c>
      <c r="H3725">
        <f>_xlfn.XLOOKUP(FACT_IMPORTS[[#This Row],[hts_6]],DIM_PRODUCTS[hts_6],DIM_PRODUCTS[hts_4],,,)</f>
        <v>8413</v>
      </c>
      <c r="I3725" t="str" cm="1">
        <f t="array" ref="I3725">_xlfn.XLOOKUP(FACT_IMPORTS[[#This Row],[country_name]],DIM_COUNTRY[[#All],[Column2]],DIM_COUNTRY[[#All],[Column3]],,,)</f>
        <v>China</v>
      </c>
    </row>
    <row r="3726" spans="1:9" x14ac:dyDescent="0.4">
      <c r="A3726" t="s">
        <v>66</v>
      </c>
      <c r="B3726" s="1">
        <v>45536</v>
      </c>
      <c r="C3726">
        <v>841520</v>
      </c>
      <c r="D3726" t="s">
        <v>176</v>
      </c>
      <c r="E3726">
        <v>200909</v>
      </c>
      <c r="F3726">
        <v>3840</v>
      </c>
      <c r="G3726">
        <v>6712</v>
      </c>
      <c r="H3726">
        <f>_xlfn.XLOOKUP(FACT_IMPORTS[[#This Row],[hts_6]],DIM_PRODUCTS[hts_6],DIM_PRODUCTS[hts_4],,,)</f>
        <v>8415</v>
      </c>
      <c r="I3726" t="str" cm="1">
        <f t="array" ref="I3726">_xlfn.XLOOKUP(FACT_IMPORTS[[#This Row],[country_name]],DIM_COUNTRY[[#All],[Column2]],DIM_COUNTRY[[#All],[Column3]],,,)</f>
        <v>China</v>
      </c>
    </row>
    <row r="3727" spans="1:9" x14ac:dyDescent="0.4">
      <c r="A3727" t="s">
        <v>66</v>
      </c>
      <c r="B3727" s="1">
        <v>45536</v>
      </c>
      <c r="C3727">
        <v>842132</v>
      </c>
      <c r="D3727" t="s">
        <v>176</v>
      </c>
      <c r="E3727">
        <v>34649</v>
      </c>
      <c r="F3727">
        <v>127</v>
      </c>
      <c r="G3727">
        <v>2156</v>
      </c>
      <c r="H3727">
        <f>_xlfn.XLOOKUP(FACT_IMPORTS[[#This Row],[hts_6]],DIM_PRODUCTS[hts_6],DIM_PRODUCTS[hts_4],,,)</f>
        <v>8421</v>
      </c>
      <c r="I3727" t="str" cm="1">
        <f t="array" ref="I3727">_xlfn.XLOOKUP(FACT_IMPORTS[[#This Row],[country_name]],DIM_COUNTRY[[#All],[Column2]],DIM_COUNTRY[[#All],[Column3]],,,)</f>
        <v>China</v>
      </c>
    </row>
    <row r="3728" spans="1:9" x14ac:dyDescent="0.4">
      <c r="A3728" t="s">
        <v>66</v>
      </c>
      <c r="B3728" s="1">
        <v>45536</v>
      </c>
      <c r="C3728">
        <v>848210</v>
      </c>
      <c r="D3728" t="s">
        <v>176</v>
      </c>
      <c r="E3728">
        <v>631887</v>
      </c>
      <c r="F3728">
        <v>713195</v>
      </c>
      <c r="G3728">
        <v>22242</v>
      </c>
      <c r="H3728">
        <f>_xlfn.XLOOKUP(FACT_IMPORTS[[#This Row],[hts_6]],DIM_PRODUCTS[hts_6],DIM_PRODUCTS[hts_4],,,)</f>
        <v>8482</v>
      </c>
      <c r="I3728" t="str" cm="1">
        <f t="array" ref="I3728">_xlfn.XLOOKUP(FACT_IMPORTS[[#This Row],[country_name]],DIM_COUNTRY[[#All],[Column2]],DIM_COUNTRY[[#All],[Column3]],,,)</f>
        <v>China</v>
      </c>
    </row>
    <row r="3729" spans="1:9" x14ac:dyDescent="0.4">
      <c r="A3729" t="s">
        <v>66</v>
      </c>
      <c r="B3729" s="1">
        <v>45536</v>
      </c>
      <c r="C3729">
        <v>848220</v>
      </c>
      <c r="D3729" t="s">
        <v>176</v>
      </c>
      <c r="E3729">
        <v>13354</v>
      </c>
      <c r="F3729">
        <v>4014</v>
      </c>
      <c r="G3729">
        <v>423</v>
      </c>
      <c r="H3729">
        <f>_xlfn.XLOOKUP(FACT_IMPORTS[[#This Row],[hts_6]],DIM_PRODUCTS[hts_6],DIM_PRODUCTS[hts_4],,,)</f>
        <v>8482</v>
      </c>
      <c r="I3729" t="str" cm="1">
        <f t="array" ref="I3729">_xlfn.XLOOKUP(FACT_IMPORTS[[#This Row],[country_name]],DIM_COUNTRY[[#All],[Column2]],DIM_COUNTRY[[#All],[Column3]],,,)</f>
        <v>China</v>
      </c>
    </row>
    <row r="3730" spans="1:9" x14ac:dyDescent="0.4">
      <c r="A3730" t="s">
        <v>66</v>
      </c>
      <c r="B3730" s="1">
        <v>45536</v>
      </c>
      <c r="C3730">
        <v>848310</v>
      </c>
      <c r="D3730" t="s">
        <v>176</v>
      </c>
      <c r="E3730">
        <v>3990122</v>
      </c>
      <c r="F3730">
        <v>108242</v>
      </c>
      <c r="G3730">
        <v>191498</v>
      </c>
      <c r="H3730">
        <f>_xlfn.XLOOKUP(FACT_IMPORTS[[#This Row],[hts_6]],DIM_PRODUCTS[hts_6],DIM_PRODUCTS[hts_4],,,)</f>
        <v>8483</v>
      </c>
      <c r="I3730" t="str" cm="1">
        <f t="array" ref="I3730">_xlfn.XLOOKUP(FACT_IMPORTS[[#This Row],[country_name]],DIM_COUNTRY[[#All],[Column2]],DIM_COUNTRY[[#All],[Column3]],,,)</f>
        <v>China</v>
      </c>
    </row>
    <row r="3731" spans="1:9" x14ac:dyDescent="0.4">
      <c r="A3731" t="s">
        <v>66</v>
      </c>
      <c r="B3731" s="1">
        <v>45536</v>
      </c>
      <c r="C3731">
        <v>850131</v>
      </c>
      <c r="D3731" t="s">
        <v>176</v>
      </c>
      <c r="E3731">
        <v>3189356</v>
      </c>
      <c r="F3731">
        <v>412857</v>
      </c>
      <c r="G3731">
        <v>127227</v>
      </c>
      <c r="H3731">
        <f>_xlfn.XLOOKUP(FACT_IMPORTS[[#This Row],[hts_6]],DIM_PRODUCTS[hts_6],DIM_PRODUCTS[hts_4],,,)</f>
        <v>8501</v>
      </c>
      <c r="I3731" t="str" cm="1">
        <f t="array" ref="I3731">_xlfn.XLOOKUP(FACT_IMPORTS[[#This Row],[country_name]],DIM_COUNTRY[[#All],[Column2]],DIM_COUNTRY[[#All],[Column3]],,,)</f>
        <v>China</v>
      </c>
    </row>
    <row r="3732" spans="1:9" x14ac:dyDescent="0.4">
      <c r="A3732" t="s">
        <v>66</v>
      </c>
      <c r="B3732" s="1">
        <v>45536</v>
      </c>
      <c r="C3732">
        <v>850132</v>
      </c>
      <c r="D3732" t="s">
        <v>176</v>
      </c>
      <c r="E3732">
        <v>80940</v>
      </c>
      <c r="F3732">
        <v>255</v>
      </c>
      <c r="G3732">
        <v>1387</v>
      </c>
      <c r="H3732">
        <f>_xlfn.XLOOKUP(FACT_IMPORTS[[#This Row],[hts_6]],DIM_PRODUCTS[hts_6],DIM_PRODUCTS[hts_4],,,)</f>
        <v>8501</v>
      </c>
      <c r="I3732" t="str" cm="1">
        <f t="array" ref="I3732">_xlfn.XLOOKUP(FACT_IMPORTS[[#This Row],[country_name]],DIM_COUNTRY[[#All],[Column2]],DIM_COUNTRY[[#All],[Column3]],,,)</f>
        <v>China</v>
      </c>
    </row>
    <row r="3733" spans="1:9" x14ac:dyDescent="0.4">
      <c r="A3733" t="s">
        <v>66</v>
      </c>
      <c r="B3733" s="1">
        <v>45536</v>
      </c>
      <c r="C3733">
        <v>850133</v>
      </c>
      <c r="D3733" t="s">
        <v>176</v>
      </c>
      <c r="E3733">
        <v>0</v>
      </c>
      <c r="F3733">
        <v>0</v>
      </c>
      <c r="G3733">
        <v>0</v>
      </c>
      <c r="H3733">
        <f>_xlfn.XLOOKUP(FACT_IMPORTS[[#This Row],[hts_6]],DIM_PRODUCTS[hts_6],DIM_PRODUCTS[hts_4],,,)</f>
        <v>8501</v>
      </c>
      <c r="I3733" t="str" cm="1">
        <f t="array" ref="I3733">_xlfn.XLOOKUP(FACT_IMPORTS[[#This Row],[country_name]],DIM_COUNTRY[[#All],[Column2]],DIM_COUNTRY[[#All],[Column3]],,,)</f>
        <v>China</v>
      </c>
    </row>
    <row r="3734" spans="1:9" x14ac:dyDescent="0.4">
      <c r="A3734" t="s">
        <v>66</v>
      </c>
      <c r="B3734" s="1">
        <v>45536</v>
      </c>
      <c r="C3734">
        <v>850152</v>
      </c>
      <c r="D3734" t="s">
        <v>176</v>
      </c>
      <c r="E3734">
        <v>387370</v>
      </c>
      <c r="F3734">
        <v>1243</v>
      </c>
      <c r="G3734">
        <v>11038</v>
      </c>
      <c r="H3734">
        <f>_xlfn.XLOOKUP(FACT_IMPORTS[[#This Row],[hts_6]],DIM_PRODUCTS[hts_6],DIM_PRODUCTS[hts_4],,,)</f>
        <v>8501</v>
      </c>
      <c r="I3734" t="str" cm="1">
        <f t="array" ref="I3734">_xlfn.XLOOKUP(FACT_IMPORTS[[#This Row],[country_name]],DIM_COUNTRY[[#All],[Column2]],DIM_COUNTRY[[#All],[Column3]],,,)</f>
        <v>China</v>
      </c>
    </row>
    <row r="3735" spans="1:9" x14ac:dyDescent="0.4">
      <c r="A3735" t="s">
        <v>66</v>
      </c>
      <c r="B3735" s="1">
        <v>45536</v>
      </c>
      <c r="C3735">
        <v>850153</v>
      </c>
      <c r="D3735" t="s">
        <v>176</v>
      </c>
      <c r="E3735">
        <v>76220</v>
      </c>
      <c r="F3735">
        <v>32</v>
      </c>
      <c r="G3735">
        <v>4485</v>
      </c>
      <c r="H3735">
        <f>_xlfn.XLOOKUP(FACT_IMPORTS[[#This Row],[hts_6]],DIM_PRODUCTS[hts_6],DIM_PRODUCTS[hts_4],,,)</f>
        <v>8501</v>
      </c>
      <c r="I3735" t="str" cm="1">
        <f t="array" ref="I3735">_xlfn.XLOOKUP(FACT_IMPORTS[[#This Row],[country_name]],DIM_COUNTRY[[#All],[Column2]],DIM_COUNTRY[[#All],[Column3]],,,)</f>
        <v>China</v>
      </c>
    </row>
    <row r="3736" spans="1:9" x14ac:dyDescent="0.4">
      <c r="A3736" t="s">
        <v>66</v>
      </c>
      <c r="B3736" s="1">
        <v>45536</v>
      </c>
      <c r="C3736">
        <v>850161</v>
      </c>
      <c r="D3736" t="s">
        <v>176</v>
      </c>
      <c r="E3736">
        <v>0</v>
      </c>
      <c r="F3736">
        <v>0</v>
      </c>
      <c r="G3736">
        <v>0</v>
      </c>
      <c r="H3736">
        <f>_xlfn.XLOOKUP(FACT_IMPORTS[[#This Row],[hts_6]],DIM_PRODUCTS[hts_6],DIM_PRODUCTS[hts_4],,,)</f>
        <v>8501</v>
      </c>
      <c r="I3736" t="str" cm="1">
        <f t="array" ref="I3736">_xlfn.XLOOKUP(FACT_IMPORTS[[#This Row],[country_name]],DIM_COUNTRY[[#All],[Column2]],DIM_COUNTRY[[#All],[Column3]],,,)</f>
        <v>China</v>
      </c>
    </row>
    <row r="3737" spans="1:9" x14ac:dyDescent="0.4">
      <c r="A3737" t="s">
        <v>66</v>
      </c>
      <c r="B3737" s="1">
        <v>45536</v>
      </c>
      <c r="C3737">
        <v>850440</v>
      </c>
      <c r="D3737" t="s">
        <v>176</v>
      </c>
      <c r="E3737">
        <v>1403782</v>
      </c>
      <c r="F3737">
        <v>49645</v>
      </c>
      <c r="G3737">
        <v>26033</v>
      </c>
      <c r="H3737">
        <f>_xlfn.XLOOKUP(FACT_IMPORTS[[#This Row],[hts_6]],DIM_PRODUCTS[hts_6],DIM_PRODUCTS[hts_4],,,)</f>
        <v>8504</v>
      </c>
      <c r="I3737" t="str" cm="1">
        <f t="array" ref="I3737">_xlfn.XLOOKUP(FACT_IMPORTS[[#This Row],[country_name]],DIM_COUNTRY[[#All],[Column2]],DIM_COUNTRY[[#All],[Column3]],,,)</f>
        <v>China</v>
      </c>
    </row>
    <row r="3738" spans="1:9" x14ac:dyDescent="0.4">
      <c r="A3738" t="s">
        <v>66</v>
      </c>
      <c r="B3738" s="1">
        <v>45536</v>
      </c>
      <c r="C3738">
        <v>850710</v>
      </c>
      <c r="D3738" t="s">
        <v>176</v>
      </c>
      <c r="E3738">
        <v>423075</v>
      </c>
      <c r="F3738">
        <v>2822</v>
      </c>
      <c r="G3738">
        <v>2873</v>
      </c>
      <c r="H3738">
        <f>_xlfn.XLOOKUP(FACT_IMPORTS[[#This Row],[hts_6]],DIM_PRODUCTS[hts_6],DIM_PRODUCTS[hts_4],,,)</f>
        <v>8507</v>
      </c>
      <c r="I3738" t="str" cm="1">
        <f t="array" ref="I3738">_xlfn.XLOOKUP(FACT_IMPORTS[[#This Row],[country_name]],DIM_COUNTRY[[#All],[Column2]],DIM_COUNTRY[[#All],[Column3]],,,)</f>
        <v>China</v>
      </c>
    </row>
    <row r="3739" spans="1:9" x14ac:dyDescent="0.4">
      <c r="A3739" t="s">
        <v>66</v>
      </c>
      <c r="B3739" s="1">
        <v>45536</v>
      </c>
      <c r="C3739">
        <v>850760</v>
      </c>
      <c r="D3739" t="s">
        <v>176</v>
      </c>
      <c r="E3739">
        <v>670562</v>
      </c>
      <c r="F3739">
        <v>44698</v>
      </c>
      <c r="G3739">
        <v>16443</v>
      </c>
      <c r="H3739">
        <f>_xlfn.XLOOKUP(FACT_IMPORTS[[#This Row],[hts_6]],DIM_PRODUCTS[hts_6],DIM_PRODUCTS[hts_4],,,)</f>
        <v>8507</v>
      </c>
      <c r="I3739" t="str" cm="1">
        <f t="array" ref="I3739">_xlfn.XLOOKUP(FACT_IMPORTS[[#This Row],[country_name]],DIM_COUNTRY[[#All],[Column2]],DIM_COUNTRY[[#All],[Column3]],,,)</f>
        <v>China</v>
      </c>
    </row>
    <row r="3740" spans="1:9" x14ac:dyDescent="0.4">
      <c r="A3740" t="s">
        <v>66</v>
      </c>
      <c r="B3740" s="1">
        <v>45536</v>
      </c>
      <c r="C3740">
        <v>850790</v>
      </c>
      <c r="D3740" t="s">
        <v>176</v>
      </c>
      <c r="E3740">
        <v>129607</v>
      </c>
      <c r="F3740">
        <v>2084</v>
      </c>
      <c r="G3740">
        <v>3035</v>
      </c>
      <c r="H3740">
        <f>_xlfn.XLOOKUP(FACT_IMPORTS[[#This Row],[hts_6]],DIM_PRODUCTS[hts_6],DIM_PRODUCTS[hts_4],,,)</f>
        <v>8507</v>
      </c>
      <c r="I3740" t="str" cm="1">
        <f t="array" ref="I3740">_xlfn.XLOOKUP(FACT_IMPORTS[[#This Row],[country_name]],DIM_COUNTRY[[#All],[Column2]],DIM_COUNTRY[[#All],[Column3]],,,)</f>
        <v>China</v>
      </c>
    </row>
    <row r="3741" spans="1:9" x14ac:dyDescent="0.4">
      <c r="A3741" t="s">
        <v>66</v>
      </c>
      <c r="B3741" s="1">
        <v>45536</v>
      </c>
      <c r="C3741">
        <v>851130</v>
      </c>
      <c r="D3741" t="s">
        <v>176</v>
      </c>
      <c r="E3741">
        <v>22192</v>
      </c>
      <c r="F3741">
        <v>1570</v>
      </c>
      <c r="G3741">
        <v>1046</v>
      </c>
      <c r="H3741">
        <f>_xlfn.XLOOKUP(FACT_IMPORTS[[#This Row],[hts_6]],DIM_PRODUCTS[hts_6],DIM_PRODUCTS[hts_4],,,)</f>
        <v>8511</v>
      </c>
      <c r="I3741" t="str" cm="1">
        <f t="array" ref="I3741">_xlfn.XLOOKUP(FACT_IMPORTS[[#This Row],[country_name]],DIM_COUNTRY[[#All],[Column2]],DIM_COUNTRY[[#All],[Column3]],,,)</f>
        <v>China</v>
      </c>
    </row>
    <row r="3742" spans="1:9" x14ac:dyDescent="0.4">
      <c r="A3742" t="s">
        <v>66</v>
      </c>
      <c r="B3742" s="1">
        <v>45536</v>
      </c>
      <c r="C3742">
        <v>851140</v>
      </c>
      <c r="D3742" t="s">
        <v>176</v>
      </c>
      <c r="E3742">
        <v>253885</v>
      </c>
      <c r="F3742">
        <v>2901</v>
      </c>
      <c r="G3742">
        <v>3212</v>
      </c>
      <c r="H3742">
        <f>_xlfn.XLOOKUP(FACT_IMPORTS[[#This Row],[hts_6]],DIM_PRODUCTS[hts_6],DIM_PRODUCTS[hts_4],,,)</f>
        <v>8511</v>
      </c>
      <c r="I3742" t="str" cm="1">
        <f t="array" ref="I3742">_xlfn.XLOOKUP(FACT_IMPORTS[[#This Row],[country_name]],DIM_COUNTRY[[#All],[Column2]],DIM_COUNTRY[[#All],[Column3]],,,)</f>
        <v>China</v>
      </c>
    </row>
    <row r="3743" spans="1:9" x14ac:dyDescent="0.4">
      <c r="A3743" t="s">
        <v>66</v>
      </c>
      <c r="B3743" s="1">
        <v>45536</v>
      </c>
      <c r="C3743">
        <v>851150</v>
      </c>
      <c r="D3743" t="s">
        <v>176</v>
      </c>
      <c r="E3743">
        <v>195463</v>
      </c>
      <c r="F3743">
        <v>2175</v>
      </c>
      <c r="G3743">
        <v>3432</v>
      </c>
      <c r="H3743">
        <f>_xlfn.XLOOKUP(FACT_IMPORTS[[#This Row],[hts_6]],DIM_PRODUCTS[hts_6],DIM_PRODUCTS[hts_4],,,)</f>
        <v>8511</v>
      </c>
      <c r="I3743" t="str" cm="1">
        <f t="array" ref="I3743">_xlfn.XLOOKUP(FACT_IMPORTS[[#This Row],[country_name]],DIM_COUNTRY[[#All],[Column2]],DIM_COUNTRY[[#All],[Column3]],,,)</f>
        <v>China</v>
      </c>
    </row>
    <row r="3744" spans="1:9" x14ac:dyDescent="0.4">
      <c r="A3744" t="s">
        <v>66</v>
      </c>
      <c r="B3744" s="1">
        <v>45536</v>
      </c>
      <c r="C3744">
        <v>851180</v>
      </c>
      <c r="D3744" t="s">
        <v>176</v>
      </c>
      <c r="E3744">
        <v>0</v>
      </c>
      <c r="F3744">
        <v>0</v>
      </c>
      <c r="G3744">
        <v>0</v>
      </c>
      <c r="H3744">
        <f>_xlfn.XLOOKUP(FACT_IMPORTS[[#This Row],[hts_6]],DIM_PRODUCTS[hts_6],DIM_PRODUCTS[hts_4],,,)</f>
        <v>8511</v>
      </c>
      <c r="I3744" t="str" cm="1">
        <f t="array" ref="I3744">_xlfn.XLOOKUP(FACT_IMPORTS[[#This Row],[country_name]],DIM_COUNTRY[[#All],[Column2]],DIM_COUNTRY[[#All],[Column3]],,,)</f>
        <v>China</v>
      </c>
    </row>
    <row r="3745" spans="1:9" x14ac:dyDescent="0.4">
      <c r="A3745" t="s">
        <v>66</v>
      </c>
      <c r="B3745" s="1">
        <v>45536</v>
      </c>
      <c r="C3745">
        <v>851190</v>
      </c>
      <c r="D3745" t="s">
        <v>176</v>
      </c>
      <c r="E3745">
        <v>20484</v>
      </c>
      <c r="F3745">
        <v>809</v>
      </c>
      <c r="G3745">
        <v>4474</v>
      </c>
      <c r="H3745">
        <f>_xlfn.XLOOKUP(FACT_IMPORTS[[#This Row],[hts_6]],DIM_PRODUCTS[hts_6],DIM_PRODUCTS[hts_4],,,)</f>
        <v>8511</v>
      </c>
      <c r="I3745" t="str" cm="1">
        <f t="array" ref="I3745">_xlfn.XLOOKUP(FACT_IMPORTS[[#This Row],[country_name]],DIM_COUNTRY[[#All],[Column2]],DIM_COUNTRY[[#All],[Column3]],,,)</f>
        <v>China</v>
      </c>
    </row>
    <row r="3746" spans="1:9" x14ac:dyDescent="0.4">
      <c r="A3746" t="s">
        <v>66</v>
      </c>
      <c r="B3746" s="1">
        <v>45536</v>
      </c>
      <c r="C3746">
        <v>851220</v>
      </c>
      <c r="D3746" t="s">
        <v>176</v>
      </c>
      <c r="E3746">
        <v>2912099</v>
      </c>
      <c r="F3746">
        <v>398845</v>
      </c>
      <c r="G3746">
        <v>102708</v>
      </c>
      <c r="H3746">
        <f>_xlfn.XLOOKUP(FACT_IMPORTS[[#This Row],[hts_6]],DIM_PRODUCTS[hts_6],DIM_PRODUCTS[hts_4],,,)</f>
        <v>8512</v>
      </c>
      <c r="I3746" t="str" cm="1">
        <f t="array" ref="I3746">_xlfn.XLOOKUP(FACT_IMPORTS[[#This Row],[country_name]],DIM_COUNTRY[[#All],[Column2]],DIM_COUNTRY[[#All],[Column3]],,,)</f>
        <v>China</v>
      </c>
    </row>
    <row r="3747" spans="1:9" x14ac:dyDescent="0.4">
      <c r="A3747" t="s">
        <v>66</v>
      </c>
      <c r="B3747" s="1">
        <v>45536</v>
      </c>
      <c r="C3747">
        <v>851230</v>
      </c>
      <c r="D3747" t="s">
        <v>176</v>
      </c>
      <c r="E3747">
        <v>0</v>
      </c>
      <c r="F3747">
        <v>0</v>
      </c>
      <c r="G3747">
        <v>0</v>
      </c>
      <c r="H3747">
        <f>_xlfn.XLOOKUP(FACT_IMPORTS[[#This Row],[hts_6]],DIM_PRODUCTS[hts_6],DIM_PRODUCTS[hts_4],,,)</f>
        <v>8512</v>
      </c>
      <c r="I3747" t="str" cm="1">
        <f t="array" ref="I3747">_xlfn.XLOOKUP(FACT_IMPORTS[[#This Row],[country_name]],DIM_COUNTRY[[#All],[Column2]],DIM_COUNTRY[[#All],[Column3]],,,)</f>
        <v>China</v>
      </c>
    </row>
    <row r="3748" spans="1:9" x14ac:dyDescent="0.4">
      <c r="A3748" t="s">
        <v>66</v>
      </c>
      <c r="B3748" s="1">
        <v>45536</v>
      </c>
      <c r="C3748">
        <v>851240</v>
      </c>
      <c r="D3748" t="s">
        <v>176</v>
      </c>
      <c r="E3748">
        <v>0</v>
      </c>
      <c r="F3748">
        <v>0</v>
      </c>
      <c r="G3748">
        <v>0</v>
      </c>
      <c r="H3748">
        <f>_xlfn.XLOOKUP(FACT_IMPORTS[[#This Row],[hts_6]],DIM_PRODUCTS[hts_6],DIM_PRODUCTS[hts_4],,,)</f>
        <v>8512</v>
      </c>
      <c r="I3748" t="str" cm="1">
        <f t="array" ref="I3748">_xlfn.XLOOKUP(FACT_IMPORTS[[#This Row],[country_name]],DIM_COUNTRY[[#All],[Column2]],DIM_COUNTRY[[#All],[Column3]],,,)</f>
        <v>China</v>
      </c>
    </row>
    <row r="3749" spans="1:9" x14ac:dyDescent="0.4">
      <c r="A3749" t="s">
        <v>66</v>
      </c>
      <c r="B3749" s="1">
        <v>45536</v>
      </c>
      <c r="C3749">
        <v>851290</v>
      </c>
      <c r="D3749" t="s">
        <v>176</v>
      </c>
      <c r="E3749">
        <v>334368</v>
      </c>
      <c r="F3749">
        <v>56257</v>
      </c>
      <c r="G3749">
        <v>12366</v>
      </c>
      <c r="H3749">
        <f>_xlfn.XLOOKUP(FACT_IMPORTS[[#This Row],[hts_6]],DIM_PRODUCTS[hts_6],DIM_PRODUCTS[hts_4],,,)</f>
        <v>8512</v>
      </c>
      <c r="I3749" t="str" cm="1">
        <f t="array" ref="I3749">_xlfn.XLOOKUP(FACT_IMPORTS[[#This Row],[country_name]],DIM_COUNTRY[[#All],[Column2]],DIM_COUNTRY[[#All],[Column3]],,,)</f>
        <v>China</v>
      </c>
    </row>
    <row r="3750" spans="1:9" x14ac:dyDescent="0.4">
      <c r="A3750" t="s">
        <v>66</v>
      </c>
      <c r="B3750" s="1">
        <v>45536</v>
      </c>
      <c r="C3750">
        <v>854231</v>
      </c>
      <c r="D3750" t="s">
        <v>176</v>
      </c>
      <c r="E3750">
        <v>409996</v>
      </c>
      <c r="F3750">
        <v>147310</v>
      </c>
      <c r="G3750">
        <v>12060</v>
      </c>
      <c r="H3750">
        <f>_xlfn.XLOOKUP(FACT_IMPORTS[[#This Row],[hts_6]],DIM_PRODUCTS[hts_6],DIM_PRODUCTS[hts_4],,,)</f>
        <v>8542</v>
      </c>
      <c r="I3750" t="str" cm="1">
        <f t="array" ref="I3750">_xlfn.XLOOKUP(FACT_IMPORTS[[#This Row],[country_name]],DIM_COUNTRY[[#All],[Column2]],DIM_COUNTRY[[#All],[Column3]],,,)</f>
        <v>China</v>
      </c>
    </row>
    <row r="3751" spans="1:9" x14ac:dyDescent="0.4">
      <c r="A3751" t="s">
        <v>66</v>
      </c>
      <c r="B3751" s="1">
        <v>45536</v>
      </c>
      <c r="C3751">
        <v>854232</v>
      </c>
      <c r="D3751" t="s">
        <v>176</v>
      </c>
      <c r="E3751">
        <v>3283</v>
      </c>
      <c r="F3751">
        <v>788</v>
      </c>
      <c r="G3751">
        <v>25</v>
      </c>
      <c r="H3751">
        <f>_xlfn.XLOOKUP(FACT_IMPORTS[[#This Row],[hts_6]],DIM_PRODUCTS[hts_6],DIM_PRODUCTS[hts_4],,,)</f>
        <v>8542</v>
      </c>
      <c r="I3751" t="str" cm="1">
        <f t="array" ref="I3751">_xlfn.XLOOKUP(FACT_IMPORTS[[#This Row],[country_name]],DIM_COUNTRY[[#All],[Column2]],DIM_COUNTRY[[#All],[Column3]],,,)</f>
        <v>China</v>
      </c>
    </row>
    <row r="3752" spans="1:9" x14ac:dyDescent="0.4">
      <c r="A3752" t="s">
        <v>66</v>
      </c>
      <c r="B3752" s="1">
        <v>45536</v>
      </c>
      <c r="C3752">
        <v>854233</v>
      </c>
      <c r="D3752" t="s">
        <v>176</v>
      </c>
      <c r="E3752">
        <v>0</v>
      </c>
      <c r="F3752">
        <v>0</v>
      </c>
      <c r="G3752">
        <v>0</v>
      </c>
      <c r="H3752">
        <f>_xlfn.XLOOKUP(FACT_IMPORTS[[#This Row],[hts_6]],DIM_PRODUCTS[hts_6],DIM_PRODUCTS[hts_4],,,)</f>
        <v>8542</v>
      </c>
      <c r="I3752" t="str" cm="1">
        <f t="array" ref="I3752">_xlfn.XLOOKUP(FACT_IMPORTS[[#This Row],[country_name]],DIM_COUNTRY[[#All],[Column2]],DIM_COUNTRY[[#All],[Column3]],,,)</f>
        <v>China</v>
      </c>
    </row>
    <row r="3753" spans="1:9" x14ac:dyDescent="0.4">
      <c r="A3753" t="s">
        <v>66</v>
      </c>
      <c r="B3753" s="1">
        <v>45536</v>
      </c>
      <c r="C3753">
        <v>854239</v>
      </c>
      <c r="D3753" t="s">
        <v>176</v>
      </c>
      <c r="E3753">
        <v>1533521</v>
      </c>
      <c r="F3753">
        <v>1191500</v>
      </c>
      <c r="G3753">
        <v>110399</v>
      </c>
      <c r="H3753">
        <f>_xlfn.XLOOKUP(FACT_IMPORTS[[#This Row],[hts_6]],DIM_PRODUCTS[hts_6],DIM_PRODUCTS[hts_4],,,)</f>
        <v>8542</v>
      </c>
      <c r="I3753" t="str" cm="1">
        <f t="array" ref="I3753">_xlfn.XLOOKUP(FACT_IMPORTS[[#This Row],[country_name]],DIM_COUNTRY[[#All],[Column2]],DIM_COUNTRY[[#All],[Column3]],,,)</f>
        <v>China</v>
      </c>
    </row>
    <row r="3754" spans="1:9" x14ac:dyDescent="0.4">
      <c r="A3754" t="s">
        <v>66</v>
      </c>
      <c r="B3754" s="1">
        <v>45536</v>
      </c>
      <c r="C3754">
        <v>854290</v>
      </c>
      <c r="D3754" t="s">
        <v>176</v>
      </c>
      <c r="E3754">
        <v>0</v>
      </c>
      <c r="F3754">
        <v>0</v>
      </c>
      <c r="G3754">
        <v>0</v>
      </c>
      <c r="H3754">
        <f>_xlfn.XLOOKUP(FACT_IMPORTS[[#This Row],[hts_6]],DIM_PRODUCTS[hts_6],DIM_PRODUCTS[hts_4],,,)</f>
        <v>8542</v>
      </c>
      <c r="I3754" t="str" cm="1">
        <f t="array" ref="I3754">_xlfn.XLOOKUP(FACT_IMPORTS[[#This Row],[country_name]],DIM_COUNTRY[[#All],[Column2]],DIM_COUNTRY[[#All],[Column3]],,,)</f>
        <v>China</v>
      </c>
    </row>
    <row r="3755" spans="1:9" x14ac:dyDescent="0.4">
      <c r="A3755" t="s">
        <v>66</v>
      </c>
      <c r="B3755" s="1">
        <v>45536</v>
      </c>
      <c r="C3755">
        <v>854430</v>
      </c>
      <c r="D3755" t="s">
        <v>176</v>
      </c>
      <c r="E3755">
        <v>975010</v>
      </c>
      <c r="F3755">
        <v>118987</v>
      </c>
      <c r="G3755">
        <v>9360</v>
      </c>
      <c r="H3755">
        <f>_xlfn.XLOOKUP(FACT_IMPORTS[[#This Row],[hts_6]],DIM_PRODUCTS[hts_6],DIM_PRODUCTS[hts_4],,,)</f>
        <v>8544</v>
      </c>
      <c r="I3755" t="str" cm="1">
        <f t="array" ref="I3755">_xlfn.XLOOKUP(FACT_IMPORTS[[#This Row],[country_name]],DIM_COUNTRY[[#All],[Column2]],DIM_COUNTRY[[#All],[Column3]],,,)</f>
        <v>China</v>
      </c>
    </row>
    <row r="3756" spans="1:9" x14ac:dyDescent="0.4">
      <c r="A3756" t="s">
        <v>66</v>
      </c>
      <c r="B3756" s="1">
        <v>45536</v>
      </c>
      <c r="C3756">
        <v>870710</v>
      </c>
      <c r="D3756" t="s">
        <v>176</v>
      </c>
      <c r="E3756">
        <v>8886</v>
      </c>
      <c r="F3756">
        <v>72</v>
      </c>
      <c r="G3756">
        <v>102</v>
      </c>
      <c r="H3756">
        <f>_xlfn.XLOOKUP(FACT_IMPORTS[[#This Row],[hts_6]],DIM_PRODUCTS[hts_6],DIM_PRODUCTS[hts_4],,,)</f>
        <v>8707</v>
      </c>
      <c r="I3756" t="str" cm="1">
        <f t="array" ref="I3756">_xlfn.XLOOKUP(FACT_IMPORTS[[#This Row],[country_name]],DIM_COUNTRY[[#All],[Column2]],DIM_COUNTRY[[#All],[Column3]],,,)</f>
        <v>China</v>
      </c>
    </row>
    <row r="3757" spans="1:9" x14ac:dyDescent="0.4">
      <c r="A3757" t="s">
        <v>66</v>
      </c>
      <c r="B3757" s="1">
        <v>45536</v>
      </c>
      <c r="C3757">
        <v>870810</v>
      </c>
      <c r="D3757" t="s">
        <v>176</v>
      </c>
      <c r="E3757">
        <v>669922</v>
      </c>
      <c r="F3757">
        <v>19206</v>
      </c>
      <c r="G3757">
        <v>104628</v>
      </c>
      <c r="H3757">
        <f>_xlfn.XLOOKUP(FACT_IMPORTS[[#This Row],[hts_6]],DIM_PRODUCTS[hts_6],DIM_PRODUCTS[hts_4],,,)</f>
        <v>8708</v>
      </c>
      <c r="I3757" t="str" cm="1">
        <f t="array" ref="I3757">_xlfn.XLOOKUP(FACT_IMPORTS[[#This Row],[country_name]],DIM_COUNTRY[[#All],[Column2]],DIM_COUNTRY[[#All],[Column3]],,,)</f>
        <v>China</v>
      </c>
    </row>
    <row r="3758" spans="1:9" x14ac:dyDescent="0.4">
      <c r="A3758" t="s">
        <v>66</v>
      </c>
      <c r="B3758" s="1">
        <v>45536</v>
      </c>
      <c r="C3758">
        <v>870821</v>
      </c>
      <c r="D3758" t="s">
        <v>176</v>
      </c>
      <c r="E3758">
        <v>29274</v>
      </c>
      <c r="F3758">
        <v>2743</v>
      </c>
      <c r="G3758">
        <v>1396</v>
      </c>
      <c r="H3758">
        <f>_xlfn.XLOOKUP(FACT_IMPORTS[[#This Row],[hts_6]],DIM_PRODUCTS[hts_6],DIM_PRODUCTS[hts_4],,,)</f>
        <v>8708</v>
      </c>
      <c r="I3758" t="str" cm="1">
        <f t="array" ref="I3758">_xlfn.XLOOKUP(FACT_IMPORTS[[#This Row],[country_name]],DIM_COUNTRY[[#All],[Column2]],DIM_COUNTRY[[#All],[Column3]],,,)</f>
        <v>China</v>
      </c>
    </row>
    <row r="3759" spans="1:9" x14ac:dyDescent="0.4">
      <c r="A3759" t="s">
        <v>66</v>
      </c>
      <c r="B3759" s="1">
        <v>45536</v>
      </c>
      <c r="C3759">
        <v>870822</v>
      </c>
      <c r="D3759" t="s">
        <v>176</v>
      </c>
      <c r="E3759">
        <v>789041</v>
      </c>
      <c r="F3759">
        <v>74858</v>
      </c>
      <c r="G3759">
        <v>53556</v>
      </c>
      <c r="H3759">
        <f>_xlfn.XLOOKUP(FACT_IMPORTS[[#This Row],[hts_6]],DIM_PRODUCTS[hts_6],DIM_PRODUCTS[hts_4],,,)</f>
        <v>8708</v>
      </c>
      <c r="I3759" t="str" cm="1">
        <f t="array" ref="I3759">_xlfn.XLOOKUP(FACT_IMPORTS[[#This Row],[country_name]],DIM_COUNTRY[[#All],[Column2]],DIM_COUNTRY[[#All],[Column3]],,,)</f>
        <v>China</v>
      </c>
    </row>
    <row r="3760" spans="1:9" x14ac:dyDescent="0.4">
      <c r="A3760" t="s">
        <v>66</v>
      </c>
      <c r="B3760" s="1">
        <v>45536</v>
      </c>
      <c r="C3760">
        <v>870829</v>
      </c>
      <c r="D3760" t="s">
        <v>176</v>
      </c>
      <c r="E3760">
        <v>16252147</v>
      </c>
      <c r="F3760">
        <v>3084427</v>
      </c>
      <c r="G3760">
        <v>597142</v>
      </c>
      <c r="H3760">
        <f>_xlfn.XLOOKUP(FACT_IMPORTS[[#This Row],[hts_6]],DIM_PRODUCTS[hts_6],DIM_PRODUCTS[hts_4],,,)</f>
        <v>8708</v>
      </c>
      <c r="I3760" t="str" cm="1">
        <f t="array" ref="I3760">_xlfn.XLOOKUP(FACT_IMPORTS[[#This Row],[country_name]],DIM_COUNTRY[[#All],[Column2]],DIM_COUNTRY[[#All],[Column3]],,,)</f>
        <v>China</v>
      </c>
    </row>
    <row r="3761" spans="1:9" x14ac:dyDescent="0.4">
      <c r="A3761" t="s">
        <v>66</v>
      </c>
      <c r="B3761" s="1">
        <v>45536</v>
      </c>
      <c r="C3761">
        <v>870830</v>
      </c>
      <c r="D3761" t="s">
        <v>176</v>
      </c>
      <c r="E3761">
        <v>5943300</v>
      </c>
      <c r="F3761">
        <v>467860</v>
      </c>
      <c r="G3761">
        <v>300751</v>
      </c>
      <c r="H3761">
        <f>_xlfn.XLOOKUP(FACT_IMPORTS[[#This Row],[hts_6]],DIM_PRODUCTS[hts_6],DIM_PRODUCTS[hts_4],,,)</f>
        <v>8708</v>
      </c>
      <c r="I3761" t="str" cm="1">
        <f t="array" ref="I3761">_xlfn.XLOOKUP(FACT_IMPORTS[[#This Row],[country_name]],DIM_COUNTRY[[#All],[Column2]],DIM_COUNTRY[[#All],[Column3]],,,)</f>
        <v>China</v>
      </c>
    </row>
    <row r="3762" spans="1:9" x14ac:dyDescent="0.4">
      <c r="A3762" t="s">
        <v>66</v>
      </c>
      <c r="B3762" s="1">
        <v>45536</v>
      </c>
      <c r="C3762">
        <v>870840</v>
      </c>
      <c r="D3762" t="s">
        <v>176</v>
      </c>
      <c r="E3762">
        <v>3437329</v>
      </c>
      <c r="F3762">
        <v>514692</v>
      </c>
      <c r="G3762">
        <v>90182</v>
      </c>
      <c r="H3762">
        <f>_xlfn.XLOOKUP(FACT_IMPORTS[[#This Row],[hts_6]],DIM_PRODUCTS[hts_6],DIM_PRODUCTS[hts_4],,,)</f>
        <v>8708</v>
      </c>
      <c r="I3762" t="str" cm="1">
        <f t="array" ref="I3762">_xlfn.XLOOKUP(FACT_IMPORTS[[#This Row],[country_name]],DIM_COUNTRY[[#All],[Column2]],DIM_COUNTRY[[#All],[Column3]],,,)</f>
        <v>China</v>
      </c>
    </row>
    <row r="3763" spans="1:9" x14ac:dyDescent="0.4">
      <c r="A3763" t="s">
        <v>66</v>
      </c>
      <c r="B3763" s="1">
        <v>45536</v>
      </c>
      <c r="C3763">
        <v>870850</v>
      </c>
      <c r="D3763" t="s">
        <v>176</v>
      </c>
      <c r="E3763">
        <v>4034968</v>
      </c>
      <c r="F3763">
        <v>784943</v>
      </c>
      <c r="G3763">
        <v>95523</v>
      </c>
      <c r="H3763">
        <f>_xlfn.XLOOKUP(FACT_IMPORTS[[#This Row],[hts_6]],DIM_PRODUCTS[hts_6],DIM_PRODUCTS[hts_4],,,)</f>
        <v>8708</v>
      </c>
      <c r="I3763" t="str" cm="1">
        <f t="array" ref="I3763">_xlfn.XLOOKUP(FACT_IMPORTS[[#This Row],[country_name]],DIM_COUNTRY[[#All],[Column2]],DIM_COUNTRY[[#All],[Column3]],,,)</f>
        <v>China</v>
      </c>
    </row>
    <row r="3764" spans="1:9" x14ac:dyDescent="0.4">
      <c r="A3764" t="s">
        <v>66</v>
      </c>
      <c r="B3764" s="1">
        <v>45536</v>
      </c>
      <c r="C3764">
        <v>870870</v>
      </c>
      <c r="D3764" t="s">
        <v>176</v>
      </c>
      <c r="E3764">
        <v>48390349</v>
      </c>
      <c r="F3764">
        <v>1618529</v>
      </c>
      <c r="G3764">
        <v>2222158</v>
      </c>
      <c r="H3764">
        <f>_xlfn.XLOOKUP(FACT_IMPORTS[[#This Row],[hts_6]],DIM_PRODUCTS[hts_6],DIM_PRODUCTS[hts_4],,,)</f>
        <v>8708</v>
      </c>
      <c r="I3764" t="str" cm="1">
        <f t="array" ref="I3764">_xlfn.XLOOKUP(FACT_IMPORTS[[#This Row],[country_name]],DIM_COUNTRY[[#All],[Column2]],DIM_COUNTRY[[#All],[Column3]],,,)</f>
        <v>China</v>
      </c>
    </row>
    <row r="3765" spans="1:9" x14ac:dyDescent="0.4">
      <c r="A3765" t="s">
        <v>66</v>
      </c>
      <c r="B3765" s="1">
        <v>45536</v>
      </c>
      <c r="C3765">
        <v>870880</v>
      </c>
      <c r="D3765" t="s">
        <v>176</v>
      </c>
      <c r="E3765">
        <v>11139434</v>
      </c>
      <c r="F3765">
        <v>2221329</v>
      </c>
      <c r="G3765">
        <v>440018</v>
      </c>
      <c r="H3765">
        <f>_xlfn.XLOOKUP(FACT_IMPORTS[[#This Row],[hts_6]],DIM_PRODUCTS[hts_6],DIM_PRODUCTS[hts_4],,,)</f>
        <v>8708</v>
      </c>
      <c r="I3765" t="str" cm="1">
        <f t="array" ref="I3765">_xlfn.XLOOKUP(FACT_IMPORTS[[#This Row],[country_name]],DIM_COUNTRY[[#All],[Column2]],DIM_COUNTRY[[#All],[Column3]],,,)</f>
        <v>China</v>
      </c>
    </row>
    <row r="3766" spans="1:9" x14ac:dyDescent="0.4">
      <c r="A3766" t="s">
        <v>66</v>
      </c>
      <c r="B3766" s="1">
        <v>45536</v>
      </c>
      <c r="C3766">
        <v>870891</v>
      </c>
      <c r="D3766" t="s">
        <v>176</v>
      </c>
      <c r="E3766">
        <v>192988</v>
      </c>
      <c r="F3766">
        <v>5028</v>
      </c>
      <c r="G3766">
        <v>29153</v>
      </c>
      <c r="H3766">
        <f>_xlfn.XLOOKUP(FACT_IMPORTS[[#This Row],[hts_6]],DIM_PRODUCTS[hts_6],DIM_PRODUCTS[hts_4],,,)</f>
        <v>8708</v>
      </c>
      <c r="I3766" t="str" cm="1">
        <f t="array" ref="I3766">_xlfn.XLOOKUP(FACT_IMPORTS[[#This Row],[country_name]],DIM_COUNTRY[[#All],[Column2]],DIM_COUNTRY[[#All],[Column3]],,,)</f>
        <v>China</v>
      </c>
    </row>
    <row r="3767" spans="1:9" x14ac:dyDescent="0.4">
      <c r="A3767" t="s">
        <v>66</v>
      </c>
      <c r="B3767" s="1">
        <v>45536</v>
      </c>
      <c r="C3767">
        <v>870892</v>
      </c>
      <c r="D3767" t="s">
        <v>176</v>
      </c>
      <c r="E3767">
        <v>4925560</v>
      </c>
      <c r="F3767">
        <v>982422</v>
      </c>
      <c r="G3767">
        <v>325281</v>
      </c>
      <c r="H3767">
        <f>_xlfn.XLOOKUP(FACT_IMPORTS[[#This Row],[hts_6]],DIM_PRODUCTS[hts_6],DIM_PRODUCTS[hts_4],,,)</f>
        <v>8708</v>
      </c>
      <c r="I3767" t="str" cm="1">
        <f t="array" ref="I3767">_xlfn.XLOOKUP(FACT_IMPORTS[[#This Row],[country_name]],DIM_COUNTRY[[#All],[Column2]],DIM_COUNTRY[[#All],[Column3]],,,)</f>
        <v>China</v>
      </c>
    </row>
    <row r="3768" spans="1:9" x14ac:dyDescent="0.4">
      <c r="A3768" t="s">
        <v>66</v>
      </c>
      <c r="B3768" s="1">
        <v>45536</v>
      </c>
      <c r="C3768">
        <v>870893</v>
      </c>
      <c r="D3768" t="s">
        <v>176</v>
      </c>
      <c r="E3768">
        <v>883736</v>
      </c>
      <c r="F3768">
        <v>289710</v>
      </c>
      <c r="G3768">
        <v>36276</v>
      </c>
      <c r="H3768">
        <f>_xlfn.XLOOKUP(FACT_IMPORTS[[#This Row],[hts_6]],DIM_PRODUCTS[hts_6],DIM_PRODUCTS[hts_4],,,)</f>
        <v>8708</v>
      </c>
      <c r="I3768" t="str" cm="1">
        <f t="array" ref="I3768">_xlfn.XLOOKUP(FACT_IMPORTS[[#This Row],[country_name]],DIM_COUNTRY[[#All],[Column2]],DIM_COUNTRY[[#All],[Column3]],,,)</f>
        <v>China</v>
      </c>
    </row>
    <row r="3769" spans="1:9" x14ac:dyDescent="0.4">
      <c r="A3769" t="s">
        <v>66</v>
      </c>
      <c r="B3769" s="1">
        <v>45536</v>
      </c>
      <c r="C3769">
        <v>870894</v>
      </c>
      <c r="D3769" t="s">
        <v>176</v>
      </c>
      <c r="E3769">
        <v>4779590</v>
      </c>
      <c r="F3769">
        <v>384125</v>
      </c>
      <c r="G3769">
        <v>539179</v>
      </c>
      <c r="H3769">
        <f>_xlfn.XLOOKUP(FACT_IMPORTS[[#This Row],[hts_6]],DIM_PRODUCTS[hts_6],DIM_PRODUCTS[hts_4],,,)</f>
        <v>8708</v>
      </c>
      <c r="I3769" t="str" cm="1">
        <f t="array" ref="I3769">_xlfn.XLOOKUP(FACT_IMPORTS[[#This Row],[country_name]],DIM_COUNTRY[[#All],[Column2]],DIM_COUNTRY[[#All],[Column3]],,,)</f>
        <v>China</v>
      </c>
    </row>
    <row r="3770" spans="1:9" x14ac:dyDescent="0.4">
      <c r="A3770" t="s">
        <v>66</v>
      </c>
      <c r="B3770" s="1">
        <v>45536</v>
      </c>
      <c r="C3770">
        <v>870895</v>
      </c>
      <c r="D3770" t="s">
        <v>176</v>
      </c>
      <c r="E3770">
        <v>77505</v>
      </c>
      <c r="F3770">
        <v>23764</v>
      </c>
      <c r="G3770">
        <v>5319</v>
      </c>
      <c r="H3770">
        <f>_xlfn.XLOOKUP(FACT_IMPORTS[[#This Row],[hts_6]],DIM_PRODUCTS[hts_6],DIM_PRODUCTS[hts_4],,,)</f>
        <v>8708</v>
      </c>
      <c r="I3770" t="str" cm="1">
        <f t="array" ref="I3770">_xlfn.XLOOKUP(FACT_IMPORTS[[#This Row],[country_name]],DIM_COUNTRY[[#All],[Column2]],DIM_COUNTRY[[#All],[Column3]],,,)</f>
        <v>China</v>
      </c>
    </row>
    <row r="3771" spans="1:9" x14ac:dyDescent="0.4">
      <c r="A3771" t="s">
        <v>66</v>
      </c>
      <c r="B3771" s="1">
        <v>45536</v>
      </c>
      <c r="C3771">
        <v>870899</v>
      </c>
      <c r="D3771" t="s">
        <v>176</v>
      </c>
      <c r="E3771">
        <v>8316783</v>
      </c>
      <c r="F3771">
        <v>2465282</v>
      </c>
      <c r="G3771">
        <v>508147</v>
      </c>
      <c r="H3771">
        <f>_xlfn.XLOOKUP(FACT_IMPORTS[[#This Row],[hts_6]],DIM_PRODUCTS[hts_6],DIM_PRODUCTS[hts_4],,,)</f>
        <v>8708</v>
      </c>
      <c r="I3771" t="str" cm="1">
        <f t="array" ref="I3771">_xlfn.XLOOKUP(FACT_IMPORTS[[#This Row],[country_name]],DIM_COUNTRY[[#All],[Column2]],DIM_COUNTRY[[#All],[Column3]],,,)</f>
        <v>China</v>
      </c>
    </row>
    <row r="3772" spans="1:9" x14ac:dyDescent="0.4">
      <c r="A3772" t="s">
        <v>66</v>
      </c>
      <c r="B3772" s="1">
        <v>45536</v>
      </c>
      <c r="C3772">
        <v>940120</v>
      </c>
      <c r="D3772" t="s">
        <v>176</v>
      </c>
      <c r="E3772">
        <v>10307</v>
      </c>
      <c r="F3772">
        <v>10502</v>
      </c>
      <c r="G3772">
        <v>196</v>
      </c>
      <c r="H3772">
        <f>_xlfn.XLOOKUP(FACT_IMPORTS[[#This Row],[hts_6]],DIM_PRODUCTS[hts_6],DIM_PRODUCTS[hts_4],,,)</f>
        <v>9401</v>
      </c>
      <c r="I3772" t="str" cm="1">
        <f t="array" ref="I3772">_xlfn.XLOOKUP(FACT_IMPORTS[[#This Row],[country_name]],DIM_COUNTRY[[#All],[Column2]],DIM_COUNTRY[[#All],[Column3]],,,)</f>
        <v>China</v>
      </c>
    </row>
    <row r="3773" spans="1:9" x14ac:dyDescent="0.4">
      <c r="A3773" t="s">
        <v>66</v>
      </c>
      <c r="B3773" s="1">
        <v>45566</v>
      </c>
      <c r="C3773">
        <v>392630</v>
      </c>
      <c r="D3773" t="s">
        <v>176</v>
      </c>
      <c r="E3773">
        <v>3358146</v>
      </c>
      <c r="F3773">
        <v>199502</v>
      </c>
      <c r="G3773">
        <v>185630</v>
      </c>
      <c r="H3773">
        <f>_xlfn.XLOOKUP(FACT_IMPORTS[[#This Row],[hts_6]],DIM_PRODUCTS[hts_6],DIM_PRODUCTS[hts_4],,,)</f>
        <v>3926</v>
      </c>
      <c r="I3773" t="str" cm="1">
        <f t="array" ref="I3773">_xlfn.XLOOKUP(FACT_IMPORTS[[#This Row],[country_name]],DIM_COUNTRY[[#All],[Column2]],DIM_COUNTRY[[#All],[Column3]],,,)</f>
        <v>China</v>
      </c>
    </row>
    <row r="3774" spans="1:9" x14ac:dyDescent="0.4">
      <c r="A3774" t="s">
        <v>66</v>
      </c>
      <c r="B3774" s="1">
        <v>45566</v>
      </c>
      <c r="C3774">
        <v>401110</v>
      </c>
      <c r="D3774" t="s">
        <v>176</v>
      </c>
      <c r="E3774">
        <v>25771</v>
      </c>
      <c r="F3774">
        <v>244</v>
      </c>
      <c r="G3774">
        <v>333</v>
      </c>
      <c r="H3774">
        <f>_xlfn.XLOOKUP(FACT_IMPORTS[[#This Row],[hts_6]],DIM_PRODUCTS[hts_6],DIM_PRODUCTS[hts_4],,,)</f>
        <v>4011</v>
      </c>
      <c r="I3774" t="str" cm="1">
        <f t="array" ref="I3774">_xlfn.XLOOKUP(FACT_IMPORTS[[#This Row],[country_name]],DIM_COUNTRY[[#All],[Column2]],DIM_COUNTRY[[#All],[Column3]],,,)</f>
        <v>China</v>
      </c>
    </row>
    <row r="3775" spans="1:9" x14ac:dyDescent="0.4">
      <c r="A3775" t="s">
        <v>66</v>
      </c>
      <c r="B3775" s="1">
        <v>45566</v>
      </c>
      <c r="C3775">
        <v>401120</v>
      </c>
      <c r="D3775" t="s">
        <v>176</v>
      </c>
      <c r="E3775">
        <v>190094</v>
      </c>
      <c r="F3775">
        <v>1651</v>
      </c>
      <c r="G3775">
        <v>11001</v>
      </c>
      <c r="H3775">
        <f>_xlfn.XLOOKUP(FACT_IMPORTS[[#This Row],[hts_6]],DIM_PRODUCTS[hts_6],DIM_PRODUCTS[hts_4],,,)</f>
        <v>4011</v>
      </c>
      <c r="I3775" t="str" cm="1">
        <f t="array" ref="I3775">_xlfn.XLOOKUP(FACT_IMPORTS[[#This Row],[country_name]],DIM_COUNTRY[[#All],[Column2]],DIM_COUNTRY[[#All],[Column3]],,,)</f>
        <v>China</v>
      </c>
    </row>
    <row r="3776" spans="1:9" x14ac:dyDescent="0.4">
      <c r="A3776" t="s">
        <v>66</v>
      </c>
      <c r="B3776" s="1">
        <v>45566</v>
      </c>
      <c r="C3776">
        <v>401140</v>
      </c>
      <c r="D3776" t="s">
        <v>176</v>
      </c>
      <c r="E3776">
        <v>4515</v>
      </c>
      <c r="F3776">
        <v>64</v>
      </c>
      <c r="G3776">
        <v>4</v>
      </c>
      <c r="H3776">
        <f>_xlfn.XLOOKUP(FACT_IMPORTS[[#This Row],[hts_6]],DIM_PRODUCTS[hts_6],DIM_PRODUCTS[hts_4],,,)</f>
        <v>4011</v>
      </c>
      <c r="I3776" t="str" cm="1">
        <f t="array" ref="I3776">_xlfn.XLOOKUP(FACT_IMPORTS[[#This Row],[country_name]],DIM_COUNTRY[[#All],[Column2]],DIM_COUNTRY[[#All],[Column3]],,,)</f>
        <v>China</v>
      </c>
    </row>
    <row r="3777" spans="1:9" x14ac:dyDescent="0.4">
      <c r="A3777" t="s">
        <v>66</v>
      </c>
      <c r="B3777" s="1">
        <v>45566</v>
      </c>
      <c r="C3777">
        <v>401190</v>
      </c>
      <c r="D3777" t="s">
        <v>176</v>
      </c>
      <c r="E3777">
        <v>139669</v>
      </c>
      <c r="F3777">
        <v>10993</v>
      </c>
      <c r="G3777">
        <v>18496</v>
      </c>
      <c r="H3777">
        <f>_xlfn.XLOOKUP(FACT_IMPORTS[[#This Row],[hts_6]],DIM_PRODUCTS[hts_6],DIM_PRODUCTS[hts_4],,,)</f>
        <v>4011</v>
      </c>
      <c r="I3777" t="str" cm="1">
        <f t="array" ref="I3777">_xlfn.XLOOKUP(FACT_IMPORTS[[#This Row],[country_name]],DIM_COUNTRY[[#All],[Column2]],DIM_COUNTRY[[#All],[Column3]],,,)</f>
        <v>China</v>
      </c>
    </row>
    <row r="3778" spans="1:9" x14ac:dyDescent="0.4">
      <c r="A3778" t="s">
        <v>66</v>
      </c>
      <c r="B3778" s="1">
        <v>45566</v>
      </c>
      <c r="C3778">
        <v>700711</v>
      </c>
      <c r="D3778" t="s">
        <v>176</v>
      </c>
      <c r="E3778">
        <v>1128616</v>
      </c>
      <c r="F3778">
        <v>85709</v>
      </c>
      <c r="G3778">
        <v>80257</v>
      </c>
      <c r="H3778">
        <f>_xlfn.XLOOKUP(FACT_IMPORTS[[#This Row],[hts_6]],DIM_PRODUCTS[hts_6],DIM_PRODUCTS[hts_4],,,)</f>
        <v>7007</v>
      </c>
      <c r="I3778" t="str" cm="1">
        <f t="array" ref="I3778">_xlfn.XLOOKUP(FACT_IMPORTS[[#This Row],[country_name]],DIM_COUNTRY[[#All],[Column2]],DIM_COUNTRY[[#All],[Column3]],,,)</f>
        <v>China</v>
      </c>
    </row>
    <row r="3779" spans="1:9" x14ac:dyDescent="0.4">
      <c r="A3779" t="s">
        <v>66</v>
      </c>
      <c r="B3779" s="1">
        <v>45566</v>
      </c>
      <c r="C3779">
        <v>700721</v>
      </c>
      <c r="D3779" t="s">
        <v>176</v>
      </c>
      <c r="E3779">
        <v>529011</v>
      </c>
      <c r="F3779">
        <v>12923</v>
      </c>
      <c r="G3779">
        <v>27821</v>
      </c>
      <c r="H3779">
        <f>_xlfn.XLOOKUP(FACT_IMPORTS[[#This Row],[hts_6]],DIM_PRODUCTS[hts_6],DIM_PRODUCTS[hts_4],,,)</f>
        <v>7007</v>
      </c>
      <c r="I3779" t="str" cm="1">
        <f t="array" ref="I3779">_xlfn.XLOOKUP(FACT_IMPORTS[[#This Row],[country_name]],DIM_COUNTRY[[#All],[Column2]],DIM_COUNTRY[[#All],[Column3]],,,)</f>
        <v>China</v>
      </c>
    </row>
    <row r="3780" spans="1:9" x14ac:dyDescent="0.4">
      <c r="A3780" t="s">
        <v>66</v>
      </c>
      <c r="B3780" s="1">
        <v>45566</v>
      </c>
      <c r="C3780">
        <v>700910</v>
      </c>
      <c r="D3780" t="s">
        <v>176</v>
      </c>
      <c r="E3780">
        <v>63615</v>
      </c>
      <c r="F3780">
        <v>10946</v>
      </c>
      <c r="G3780">
        <v>3481</v>
      </c>
      <c r="H3780">
        <f>_xlfn.XLOOKUP(FACT_IMPORTS[[#This Row],[hts_6]],DIM_PRODUCTS[hts_6],DIM_PRODUCTS[hts_4],,,)</f>
        <v>7009</v>
      </c>
      <c r="I3780" t="str" cm="1">
        <f t="array" ref="I3780">_xlfn.XLOOKUP(FACT_IMPORTS[[#This Row],[country_name]],DIM_COUNTRY[[#All],[Column2]],DIM_COUNTRY[[#All],[Column3]],,,)</f>
        <v>China</v>
      </c>
    </row>
    <row r="3781" spans="1:9" x14ac:dyDescent="0.4">
      <c r="A3781" t="s">
        <v>66</v>
      </c>
      <c r="B3781" s="1">
        <v>45566</v>
      </c>
      <c r="C3781">
        <v>732010</v>
      </c>
      <c r="D3781" t="s">
        <v>176</v>
      </c>
      <c r="E3781">
        <v>0</v>
      </c>
      <c r="F3781">
        <v>0</v>
      </c>
      <c r="G3781">
        <v>0</v>
      </c>
      <c r="H3781">
        <f>_xlfn.XLOOKUP(FACT_IMPORTS[[#This Row],[hts_6]],DIM_PRODUCTS[hts_6],DIM_PRODUCTS[hts_4],,,)</f>
        <v>7320</v>
      </c>
      <c r="I3781" t="str" cm="1">
        <f t="array" ref="I3781">_xlfn.XLOOKUP(FACT_IMPORTS[[#This Row],[country_name]],DIM_COUNTRY[[#All],[Column2]],DIM_COUNTRY[[#All],[Column3]],,,)</f>
        <v>China</v>
      </c>
    </row>
    <row r="3782" spans="1:9" x14ac:dyDescent="0.4">
      <c r="A3782" t="s">
        <v>66</v>
      </c>
      <c r="B3782" s="1">
        <v>45566</v>
      </c>
      <c r="C3782">
        <v>830230</v>
      </c>
      <c r="D3782" t="s">
        <v>176</v>
      </c>
      <c r="E3782">
        <v>3803094</v>
      </c>
      <c r="F3782">
        <v>995028</v>
      </c>
      <c r="G3782">
        <v>204478</v>
      </c>
      <c r="H3782">
        <f>_xlfn.XLOOKUP(FACT_IMPORTS[[#This Row],[hts_6]],DIM_PRODUCTS[hts_6],DIM_PRODUCTS[hts_4],,,)</f>
        <v>8302</v>
      </c>
      <c r="I3782" t="str" cm="1">
        <f t="array" ref="I3782">_xlfn.XLOOKUP(FACT_IMPORTS[[#This Row],[country_name]],DIM_COUNTRY[[#All],[Column2]],DIM_COUNTRY[[#All],[Column3]],,,)</f>
        <v>China</v>
      </c>
    </row>
    <row r="3783" spans="1:9" x14ac:dyDescent="0.4">
      <c r="A3783" t="s">
        <v>66</v>
      </c>
      <c r="B3783" s="1">
        <v>45566</v>
      </c>
      <c r="C3783">
        <v>840733</v>
      </c>
      <c r="D3783" t="s">
        <v>176</v>
      </c>
      <c r="E3783">
        <v>0</v>
      </c>
      <c r="F3783">
        <v>0</v>
      </c>
      <c r="G3783">
        <v>0</v>
      </c>
      <c r="H3783">
        <f>_xlfn.XLOOKUP(FACT_IMPORTS[[#This Row],[hts_6]],DIM_PRODUCTS[hts_6],DIM_PRODUCTS[hts_4],,,)</f>
        <v>8407</v>
      </c>
      <c r="I3783" t="str" cm="1">
        <f t="array" ref="I3783">_xlfn.XLOOKUP(FACT_IMPORTS[[#This Row],[country_name]],DIM_COUNTRY[[#All],[Column2]],DIM_COUNTRY[[#All],[Column3]],,,)</f>
        <v>China</v>
      </c>
    </row>
    <row r="3784" spans="1:9" x14ac:dyDescent="0.4">
      <c r="A3784" t="s">
        <v>66</v>
      </c>
      <c r="B3784" s="1">
        <v>45566</v>
      </c>
      <c r="C3784">
        <v>840734</v>
      </c>
      <c r="D3784" t="s">
        <v>176</v>
      </c>
      <c r="E3784">
        <v>104219</v>
      </c>
      <c r="F3784">
        <v>49</v>
      </c>
      <c r="G3784">
        <v>6282</v>
      </c>
      <c r="H3784">
        <f>_xlfn.XLOOKUP(FACT_IMPORTS[[#This Row],[hts_6]],DIM_PRODUCTS[hts_6],DIM_PRODUCTS[hts_4],,,)</f>
        <v>8407</v>
      </c>
      <c r="I3784" t="str" cm="1">
        <f t="array" ref="I3784">_xlfn.XLOOKUP(FACT_IMPORTS[[#This Row],[country_name]],DIM_COUNTRY[[#All],[Column2]],DIM_COUNTRY[[#All],[Column3]],,,)</f>
        <v>China</v>
      </c>
    </row>
    <row r="3785" spans="1:9" x14ac:dyDescent="0.4">
      <c r="A3785" t="s">
        <v>66</v>
      </c>
      <c r="B3785" s="1">
        <v>45566</v>
      </c>
      <c r="C3785">
        <v>840790</v>
      </c>
      <c r="D3785" t="s">
        <v>176</v>
      </c>
      <c r="E3785">
        <v>0</v>
      </c>
      <c r="F3785">
        <v>0</v>
      </c>
      <c r="G3785">
        <v>0</v>
      </c>
      <c r="H3785">
        <f>_xlfn.XLOOKUP(FACT_IMPORTS[[#This Row],[hts_6]],DIM_PRODUCTS[hts_6],DIM_PRODUCTS[hts_4],,,)</f>
        <v>8407</v>
      </c>
      <c r="I3785" t="str" cm="1">
        <f t="array" ref="I3785">_xlfn.XLOOKUP(FACT_IMPORTS[[#This Row],[country_name]],DIM_COUNTRY[[#All],[Column2]],DIM_COUNTRY[[#All],[Column3]],,,)</f>
        <v>China</v>
      </c>
    </row>
    <row r="3786" spans="1:9" x14ac:dyDescent="0.4">
      <c r="A3786" t="s">
        <v>66</v>
      </c>
      <c r="B3786" s="1">
        <v>45566</v>
      </c>
      <c r="C3786">
        <v>840820</v>
      </c>
      <c r="D3786" t="s">
        <v>176</v>
      </c>
      <c r="E3786">
        <v>0</v>
      </c>
      <c r="F3786">
        <v>0</v>
      </c>
      <c r="G3786">
        <v>0</v>
      </c>
      <c r="H3786">
        <f>_xlfn.XLOOKUP(FACT_IMPORTS[[#This Row],[hts_6]],DIM_PRODUCTS[hts_6],DIM_PRODUCTS[hts_4],,,)</f>
        <v>8408</v>
      </c>
      <c r="I3786" t="str" cm="1">
        <f t="array" ref="I3786">_xlfn.XLOOKUP(FACT_IMPORTS[[#This Row],[country_name]],DIM_COUNTRY[[#All],[Column2]],DIM_COUNTRY[[#All],[Column3]],,,)</f>
        <v>China</v>
      </c>
    </row>
    <row r="3787" spans="1:9" x14ac:dyDescent="0.4">
      <c r="A3787" t="s">
        <v>66</v>
      </c>
      <c r="B3787" s="1">
        <v>45566</v>
      </c>
      <c r="C3787">
        <v>840890</v>
      </c>
      <c r="D3787" t="s">
        <v>176</v>
      </c>
      <c r="E3787">
        <v>0</v>
      </c>
      <c r="F3787">
        <v>0</v>
      </c>
      <c r="G3787">
        <v>0</v>
      </c>
      <c r="H3787">
        <f>_xlfn.XLOOKUP(FACT_IMPORTS[[#This Row],[hts_6]],DIM_PRODUCTS[hts_6],DIM_PRODUCTS[hts_4],,,)</f>
        <v>8408</v>
      </c>
      <c r="I3787" t="str" cm="1">
        <f t="array" ref="I3787">_xlfn.XLOOKUP(FACT_IMPORTS[[#This Row],[country_name]],DIM_COUNTRY[[#All],[Column2]],DIM_COUNTRY[[#All],[Column3]],,,)</f>
        <v>China</v>
      </c>
    </row>
    <row r="3788" spans="1:9" x14ac:dyDescent="0.4">
      <c r="A3788" t="s">
        <v>66</v>
      </c>
      <c r="B3788" s="1">
        <v>45566</v>
      </c>
      <c r="C3788">
        <v>840991</v>
      </c>
      <c r="D3788" t="s">
        <v>176</v>
      </c>
      <c r="E3788">
        <v>8647087</v>
      </c>
      <c r="F3788">
        <v>2256221</v>
      </c>
      <c r="G3788">
        <v>801426</v>
      </c>
      <c r="H3788">
        <f>_xlfn.XLOOKUP(FACT_IMPORTS[[#This Row],[hts_6]],DIM_PRODUCTS[hts_6],DIM_PRODUCTS[hts_4],,,)</f>
        <v>8409</v>
      </c>
      <c r="I3788" t="str" cm="1">
        <f t="array" ref="I3788">_xlfn.XLOOKUP(FACT_IMPORTS[[#This Row],[country_name]],DIM_COUNTRY[[#All],[Column2]],DIM_COUNTRY[[#All],[Column3]],,,)</f>
        <v>China</v>
      </c>
    </row>
    <row r="3789" spans="1:9" x14ac:dyDescent="0.4">
      <c r="A3789" t="s">
        <v>66</v>
      </c>
      <c r="B3789" s="1">
        <v>45566</v>
      </c>
      <c r="C3789">
        <v>840999</v>
      </c>
      <c r="D3789" t="s">
        <v>176</v>
      </c>
      <c r="E3789">
        <v>5732745</v>
      </c>
      <c r="F3789">
        <v>676634</v>
      </c>
      <c r="G3789">
        <v>183435</v>
      </c>
      <c r="H3789">
        <f>_xlfn.XLOOKUP(FACT_IMPORTS[[#This Row],[hts_6]],DIM_PRODUCTS[hts_6],DIM_PRODUCTS[hts_4],,,)</f>
        <v>8409</v>
      </c>
      <c r="I3789" t="str" cm="1">
        <f t="array" ref="I3789">_xlfn.XLOOKUP(FACT_IMPORTS[[#This Row],[country_name]],DIM_COUNTRY[[#All],[Column2]],DIM_COUNTRY[[#All],[Column3]],,,)</f>
        <v>China</v>
      </c>
    </row>
    <row r="3790" spans="1:9" x14ac:dyDescent="0.4">
      <c r="A3790" t="s">
        <v>66</v>
      </c>
      <c r="B3790" s="1">
        <v>45566</v>
      </c>
      <c r="C3790">
        <v>841330</v>
      </c>
      <c r="D3790" t="s">
        <v>176</v>
      </c>
      <c r="E3790">
        <v>435712</v>
      </c>
      <c r="F3790">
        <v>16572</v>
      </c>
      <c r="G3790">
        <v>19172</v>
      </c>
      <c r="H3790">
        <f>_xlfn.XLOOKUP(FACT_IMPORTS[[#This Row],[hts_6]],DIM_PRODUCTS[hts_6],DIM_PRODUCTS[hts_4],,,)</f>
        <v>8413</v>
      </c>
      <c r="I3790" t="str" cm="1">
        <f t="array" ref="I3790">_xlfn.XLOOKUP(FACT_IMPORTS[[#This Row],[country_name]],DIM_COUNTRY[[#All],[Column2]],DIM_COUNTRY[[#All],[Column3]],,,)</f>
        <v>China</v>
      </c>
    </row>
    <row r="3791" spans="1:9" x14ac:dyDescent="0.4">
      <c r="A3791" t="s">
        <v>66</v>
      </c>
      <c r="B3791" s="1">
        <v>45566</v>
      </c>
      <c r="C3791">
        <v>841520</v>
      </c>
      <c r="D3791" t="s">
        <v>176</v>
      </c>
      <c r="E3791">
        <v>464563</v>
      </c>
      <c r="F3791">
        <v>758</v>
      </c>
      <c r="G3791">
        <v>6000</v>
      </c>
      <c r="H3791">
        <f>_xlfn.XLOOKUP(FACT_IMPORTS[[#This Row],[hts_6]],DIM_PRODUCTS[hts_6],DIM_PRODUCTS[hts_4],,,)</f>
        <v>8415</v>
      </c>
      <c r="I3791" t="str" cm="1">
        <f t="array" ref="I3791">_xlfn.XLOOKUP(FACT_IMPORTS[[#This Row],[country_name]],DIM_COUNTRY[[#All],[Column2]],DIM_COUNTRY[[#All],[Column3]],,,)</f>
        <v>China</v>
      </c>
    </row>
    <row r="3792" spans="1:9" x14ac:dyDescent="0.4">
      <c r="A3792" t="s">
        <v>66</v>
      </c>
      <c r="B3792" s="1">
        <v>45566</v>
      </c>
      <c r="C3792">
        <v>842132</v>
      </c>
      <c r="D3792" t="s">
        <v>176</v>
      </c>
      <c r="E3792">
        <v>0</v>
      </c>
      <c r="F3792">
        <v>0</v>
      </c>
      <c r="G3792">
        <v>0</v>
      </c>
      <c r="H3792">
        <f>_xlfn.XLOOKUP(FACT_IMPORTS[[#This Row],[hts_6]],DIM_PRODUCTS[hts_6],DIM_PRODUCTS[hts_4],,,)</f>
        <v>8421</v>
      </c>
      <c r="I3792" t="str" cm="1">
        <f t="array" ref="I3792">_xlfn.XLOOKUP(FACT_IMPORTS[[#This Row],[country_name]],DIM_COUNTRY[[#All],[Column2]],DIM_COUNTRY[[#All],[Column3]],,,)</f>
        <v>China</v>
      </c>
    </row>
    <row r="3793" spans="1:9" x14ac:dyDescent="0.4">
      <c r="A3793" t="s">
        <v>66</v>
      </c>
      <c r="B3793" s="1">
        <v>45566</v>
      </c>
      <c r="C3793">
        <v>848210</v>
      </c>
      <c r="D3793" t="s">
        <v>176</v>
      </c>
      <c r="E3793">
        <v>571830</v>
      </c>
      <c r="F3793">
        <v>281923</v>
      </c>
      <c r="G3793">
        <v>18935</v>
      </c>
      <c r="H3793">
        <f>_xlfn.XLOOKUP(FACT_IMPORTS[[#This Row],[hts_6]],DIM_PRODUCTS[hts_6],DIM_PRODUCTS[hts_4],,,)</f>
        <v>8482</v>
      </c>
      <c r="I3793" t="str" cm="1">
        <f t="array" ref="I3793">_xlfn.XLOOKUP(FACT_IMPORTS[[#This Row],[country_name]],DIM_COUNTRY[[#All],[Column2]],DIM_COUNTRY[[#All],[Column3]],,,)</f>
        <v>China</v>
      </c>
    </row>
    <row r="3794" spans="1:9" x14ac:dyDescent="0.4">
      <c r="A3794" t="s">
        <v>66</v>
      </c>
      <c r="B3794" s="1">
        <v>45566</v>
      </c>
      <c r="C3794">
        <v>848220</v>
      </c>
      <c r="D3794" t="s">
        <v>176</v>
      </c>
      <c r="E3794">
        <v>0</v>
      </c>
      <c r="F3794">
        <v>0</v>
      </c>
      <c r="G3794">
        <v>0</v>
      </c>
      <c r="H3794">
        <f>_xlfn.XLOOKUP(FACT_IMPORTS[[#This Row],[hts_6]],DIM_PRODUCTS[hts_6],DIM_PRODUCTS[hts_4],,,)</f>
        <v>8482</v>
      </c>
      <c r="I3794" t="str" cm="1">
        <f t="array" ref="I3794">_xlfn.XLOOKUP(FACT_IMPORTS[[#This Row],[country_name]],DIM_COUNTRY[[#All],[Column2]],DIM_COUNTRY[[#All],[Column3]],,,)</f>
        <v>China</v>
      </c>
    </row>
    <row r="3795" spans="1:9" x14ac:dyDescent="0.4">
      <c r="A3795" t="s">
        <v>66</v>
      </c>
      <c r="B3795" s="1">
        <v>45566</v>
      </c>
      <c r="C3795">
        <v>848310</v>
      </c>
      <c r="D3795" t="s">
        <v>176</v>
      </c>
      <c r="E3795">
        <v>2744596</v>
      </c>
      <c r="F3795">
        <v>97425</v>
      </c>
      <c r="G3795">
        <v>144644</v>
      </c>
      <c r="H3795">
        <f>_xlfn.XLOOKUP(FACT_IMPORTS[[#This Row],[hts_6]],DIM_PRODUCTS[hts_6],DIM_PRODUCTS[hts_4],,,)</f>
        <v>8483</v>
      </c>
      <c r="I3795" t="str" cm="1">
        <f t="array" ref="I3795">_xlfn.XLOOKUP(FACT_IMPORTS[[#This Row],[country_name]],DIM_COUNTRY[[#All],[Column2]],DIM_COUNTRY[[#All],[Column3]],,,)</f>
        <v>China</v>
      </c>
    </row>
    <row r="3796" spans="1:9" x14ac:dyDescent="0.4">
      <c r="A3796" t="s">
        <v>66</v>
      </c>
      <c r="B3796" s="1">
        <v>45566</v>
      </c>
      <c r="C3796">
        <v>850131</v>
      </c>
      <c r="D3796" t="s">
        <v>176</v>
      </c>
      <c r="E3796">
        <v>4010446</v>
      </c>
      <c r="F3796">
        <v>603864</v>
      </c>
      <c r="G3796">
        <v>236571</v>
      </c>
      <c r="H3796">
        <f>_xlfn.XLOOKUP(FACT_IMPORTS[[#This Row],[hts_6]],DIM_PRODUCTS[hts_6],DIM_PRODUCTS[hts_4],,,)</f>
        <v>8501</v>
      </c>
      <c r="I3796" t="str" cm="1">
        <f t="array" ref="I3796">_xlfn.XLOOKUP(FACT_IMPORTS[[#This Row],[country_name]],DIM_COUNTRY[[#All],[Column2]],DIM_COUNTRY[[#All],[Column3]],,,)</f>
        <v>China</v>
      </c>
    </row>
    <row r="3797" spans="1:9" x14ac:dyDescent="0.4">
      <c r="A3797" t="s">
        <v>66</v>
      </c>
      <c r="B3797" s="1">
        <v>45566</v>
      </c>
      <c r="C3797">
        <v>850132</v>
      </c>
      <c r="D3797" t="s">
        <v>176</v>
      </c>
      <c r="E3797">
        <v>7003</v>
      </c>
      <c r="F3797">
        <v>4</v>
      </c>
      <c r="G3797">
        <v>311</v>
      </c>
      <c r="H3797">
        <f>_xlfn.XLOOKUP(FACT_IMPORTS[[#This Row],[hts_6]],DIM_PRODUCTS[hts_6],DIM_PRODUCTS[hts_4],,,)</f>
        <v>8501</v>
      </c>
      <c r="I3797" t="str" cm="1">
        <f t="array" ref="I3797">_xlfn.XLOOKUP(FACT_IMPORTS[[#This Row],[country_name]],DIM_COUNTRY[[#All],[Column2]],DIM_COUNTRY[[#All],[Column3]],,,)</f>
        <v>China</v>
      </c>
    </row>
    <row r="3798" spans="1:9" x14ac:dyDescent="0.4">
      <c r="A3798" t="s">
        <v>66</v>
      </c>
      <c r="B3798" s="1">
        <v>45566</v>
      </c>
      <c r="C3798">
        <v>850133</v>
      </c>
      <c r="D3798" t="s">
        <v>176</v>
      </c>
      <c r="E3798">
        <v>0</v>
      </c>
      <c r="F3798">
        <v>0</v>
      </c>
      <c r="G3798">
        <v>0</v>
      </c>
      <c r="H3798">
        <f>_xlfn.XLOOKUP(FACT_IMPORTS[[#This Row],[hts_6]],DIM_PRODUCTS[hts_6],DIM_PRODUCTS[hts_4],,,)</f>
        <v>8501</v>
      </c>
      <c r="I3798" t="str" cm="1">
        <f t="array" ref="I3798">_xlfn.XLOOKUP(FACT_IMPORTS[[#This Row],[country_name]],DIM_COUNTRY[[#All],[Column2]],DIM_COUNTRY[[#All],[Column3]],,,)</f>
        <v>China</v>
      </c>
    </row>
    <row r="3799" spans="1:9" x14ac:dyDescent="0.4">
      <c r="A3799" t="s">
        <v>66</v>
      </c>
      <c r="B3799" s="1">
        <v>45566</v>
      </c>
      <c r="C3799">
        <v>850152</v>
      </c>
      <c r="D3799" t="s">
        <v>176</v>
      </c>
      <c r="E3799">
        <v>377918</v>
      </c>
      <c r="F3799">
        <v>706</v>
      </c>
      <c r="G3799">
        <v>16719</v>
      </c>
      <c r="H3799">
        <f>_xlfn.XLOOKUP(FACT_IMPORTS[[#This Row],[hts_6]],DIM_PRODUCTS[hts_6],DIM_PRODUCTS[hts_4],,,)</f>
        <v>8501</v>
      </c>
      <c r="I3799" t="str" cm="1">
        <f t="array" ref="I3799">_xlfn.XLOOKUP(FACT_IMPORTS[[#This Row],[country_name]],DIM_COUNTRY[[#All],[Column2]],DIM_COUNTRY[[#All],[Column3]],,,)</f>
        <v>China</v>
      </c>
    </row>
    <row r="3800" spans="1:9" x14ac:dyDescent="0.4">
      <c r="A3800" t="s">
        <v>66</v>
      </c>
      <c r="B3800" s="1">
        <v>45566</v>
      </c>
      <c r="C3800">
        <v>850153</v>
      </c>
      <c r="D3800" t="s">
        <v>176</v>
      </c>
      <c r="E3800">
        <v>67356</v>
      </c>
      <c r="F3800">
        <v>33</v>
      </c>
      <c r="G3800">
        <v>4469</v>
      </c>
      <c r="H3800">
        <f>_xlfn.XLOOKUP(FACT_IMPORTS[[#This Row],[hts_6]],DIM_PRODUCTS[hts_6],DIM_PRODUCTS[hts_4],,,)</f>
        <v>8501</v>
      </c>
      <c r="I3800" t="str" cm="1">
        <f t="array" ref="I3800">_xlfn.XLOOKUP(FACT_IMPORTS[[#This Row],[country_name]],DIM_COUNTRY[[#All],[Column2]],DIM_COUNTRY[[#All],[Column3]],,,)</f>
        <v>China</v>
      </c>
    </row>
    <row r="3801" spans="1:9" x14ac:dyDescent="0.4">
      <c r="A3801" t="s">
        <v>66</v>
      </c>
      <c r="B3801" s="1">
        <v>45566</v>
      </c>
      <c r="C3801">
        <v>850161</v>
      </c>
      <c r="D3801" t="s">
        <v>176</v>
      </c>
      <c r="E3801">
        <v>0</v>
      </c>
      <c r="F3801">
        <v>0</v>
      </c>
      <c r="G3801">
        <v>0</v>
      </c>
      <c r="H3801">
        <f>_xlfn.XLOOKUP(FACT_IMPORTS[[#This Row],[hts_6]],DIM_PRODUCTS[hts_6],DIM_PRODUCTS[hts_4],,,)</f>
        <v>8501</v>
      </c>
      <c r="I3801" t="str" cm="1">
        <f t="array" ref="I3801">_xlfn.XLOOKUP(FACT_IMPORTS[[#This Row],[country_name]],DIM_COUNTRY[[#All],[Column2]],DIM_COUNTRY[[#All],[Column3]],,,)</f>
        <v>China</v>
      </c>
    </row>
    <row r="3802" spans="1:9" x14ac:dyDescent="0.4">
      <c r="A3802" t="s">
        <v>66</v>
      </c>
      <c r="B3802" s="1">
        <v>45566</v>
      </c>
      <c r="C3802">
        <v>850440</v>
      </c>
      <c r="D3802" t="s">
        <v>176</v>
      </c>
      <c r="E3802">
        <v>1049056</v>
      </c>
      <c r="F3802">
        <v>55955</v>
      </c>
      <c r="G3802">
        <v>80014</v>
      </c>
      <c r="H3802">
        <f>_xlfn.XLOOKUP(FACT_IMPORTS[[#This Row],[hts_6]],DIM_PRODUCTS[hts_6],DIM_PRODUCTS[hts_4],,,)</f>
        <v>8504</v>
      </c>
      <c r="I3802" t="str" cm="1">
        <f t="array" ref="I3802">_xlfn.XLOOKUP(FACT_IMPORTS[[#This Row],[country_name]],DIM_COUNTRY[[#All],[Column2]],DIM_COUNTRY[[#All],[Column3]],,,)</f>
        <v>China</v>
      </c>
    </row>
    <row r="3803" spans="1:9" x14ac:dyDescent="0.4">
      <c r="A3803" t="s">
        <v>66</v>
      </c>
      <c r="B3803" s="1">
        <v>45566</v>
      </c>
      <c r="C3803">
        <v>850710</v>
      </c>
      <c r="D3803" t="s">
        <v>176</v>
      </c>
      <c r="E3803">
        <v>78002</v>
      </c>
      <c r="F3803">
        <v>4179</v>
      </c>
      <c r="G3803">
        <v>2792</v>
      </c>
      <c r="H3803">
        <f>_xlfn.XLOOKUP(FACT_IMPORTS[[#This Row],[hts_6]],DIM_PRODUCTS[hts_6],DIM_PRODUCTS[hts_4],,,)</f>
        <v>8507</v>
      </c>
      <c r="I3803" t="str" cm="1">
        <f t="array" ref="I3803">_xlfn.XLOOKUP(FACT_IMPORTS[[#This Row],[country_name]],DIM_COUNTRY[[#All],[Column2]],DIM_COUNTRY[[#All],[Column3]],,,)</f>
        <v>China</v>
      </c>
    </row>
    <row r="3804" spans="1:9" x14ac:dyDescent="0.4">
      <c r="A3804" t="s">
        <v>66</v>
      </c>
      <c r="B3804" s="1">
        <v>45566</v>
      </c>
      <c r="C3804">
        <v>850760</v>
      </c>
      <c r="D3804" t="s">
        <v>176</v>
      </c>
      <c r="E3804">
        <v>654710</v>
      </c>
      <c r="F3804">
        <v>2393</v>
      </c>
      <c r="G3804">
        <v>12581</v>
      </c>
      <c r="H3804">
        <f>_xlfn.XLOOKUP(FACT_IMPORTS[[#This Row],[hts_6]],DIM_PRODUCTS[hts_6],DIM_PRODUCTS[hts_4],,,)</f>
        <v>8507</v>
      </c>
      <c r="I3804" t="str" cm="1">
        <f t="array" ref="I3804">_xlfn.XLOOKUP(FACT_IMPORTS[[#This Row],[country_name]],DIM_COUNTRY[[#All],[Column2]],DIM_COUNTRY[[#All],[Column3]],,,)</f>
        <v>China</v>
      </c>
    </row>
    <row r="3805" spans="1:9" x14ac:dyDescent="0.4">
      <c r="A3805" t="s">
        <v>66</v>
      </c>
      <c r="B3805" s="1">
        <v>45566</v>
      </c>
      <c r="C3805">
        <v>850790</v>
      </c>
      <c r="D3805" t="s">
        <v>176</v>
      </c>
      <c r="E3805">
        <v>368713</v>
      </c>
      <c r="F3805">
        <v>21961</v>
      </c>
      <c r="G3805">
        <v>4660</v>
      </c>
      <c r="H3805">
        <f>_xlfn.XLOOKUP(FACT_IMPORTS[[#This Row],[hts_6]],DIM_PRODUCTS[hts_6],DIM_PRODUCTS[hts_4],,,)</f>
        <v>8507</v>
      </c>
      <c r="I3805" t="str" cm="1">
        <f t="array" ref="I3805">_xlfn.XLOOKUP(FACT_IMPORTS[[#This Row],[country_name]],DIM_COUNTRY[[#All],[Column2]],DIM_COUNTRY[[#All],[Column3]],,,)</f>
        <v>China</v>
      </c>
    </row>
    <row r="3806" spans="1:9" x14ac:dyDescent="0.4">
      <c r="A3806" t="s">
        <v>66</v>
      </c>
      <c r="B3806" s="1">
        <v>45566</v>
      </c>
      <c r="C3806">
        <v>851130</v>
      </c>
      <c r="D3806" t="s">
        <v>176</v>
      </c>
      <c r="E3806">
        <v>73052</v>
      </c>
      <c r="F3806">
        <v>2864</v>
      </c>
      <c r="G3806">
        <v>4883</v>
      </c>
      <c r="H3806">
        <f>_xlfn.XLOOKUP(FACT_IMPORTS[[#This Row],[hts_6]],DIM_PRODUCTS[hts_6],DIM_PRODUCTS[hts_4],,,)</f>
        <v>8511</v>
      </c>
      <c r="I3806" t="str" cm="1">
        <f t="array" ref="I3806">_xlfn.XLOOKUP(FACT_IMPORTS[[#This Row],[country_name]],DIM_COUNTRY[[#All],[Column2]],DIM_COUNTRY[[#All],[Column3]],,,)</f>
        <v>China</v>
      </c>
    </row>
    <row r="3807" spans="1:9" x14ac:dyDescent="0.4">
      <c r="A3807" t="s">
        <v>66</v>
      </c>
      <c r="B3807" s="1">
        <v>45566</v>
      </c>
      <c r="C3807">
        <v>851140</v>
      </c>
      <c r="D3807" t="s">
        <v>176</v>
      </c>
      <c r="E3807">
        <v>261985</v>
      </c>
      <c r="F3807">
        <v>4044</v>
      </c>
      <c r="G3807">
        <v>5207</v>
      </c>
      <c r="H3807">
        <f>_xlfn.XLOOKUP(FACT_IMPORTS[[#This Row],[hts_6]],DIM_PRODUCTS[hts_6],DIM_PRODUCTS[hts_4],,,)</f>
        <v>8511</v>
      </c>
      <c r="I3807" t="str" cm="1">
        <f t="array" ref="I3807">_xlfn.XLOOKUP(FACT_IMPORTS[[#This Row],[country_name]],DIM_COUNTRY[[#All],[Column2]],DIM_COUNTRY[[#All],[Column3]],,,)</f>
        <v>China</v>
      </c>
    </row>
    <row r="3808" spans="1:9" x14ac:dyDescent="0.4">
      <c r="A3808" t="s">
        <v>66</v>
      </c>
      <c r="B3808" s="1">
        <v>45566</v>
      </c>
      <c r="C3808">
        <v>851150</v>
      </c>
      <c r="D3808" t="s">
        <v>176</v>
      </c>
      <c r="E3808">
        <v>361494</v>
      </c>
      <c r="F3808">
        <v>6054</v>
      </c>
      <c r="G3808">
        <v>5784</v>
      </c>
      <c r="H3808">
        <f>_xlfn.XLOOKUP(FACT_IMPORTS[[#This Row],[hts_6]],DIM_PRODUCTS[hts_6],DIM_PRODUCTS[hts_4],,,)</f>
        <v>8511</v>
      </c>
      <c r="I3808" t="str" cm="1">
        <f t="array" ref="I3808">_xlfn.XLOOKUP(FACT_IMPORTS[[#This Row],[country_name]],DIM_COUNTRY[[#All],[Column2]],DIM_COUNTRY[[#All],[Column3]],,,)</f>
        <v>China</v>
      </c>
    </row>
    <row r="3809" spans="1:9" x14ac:dyDescent="0.4">
      <c r="A3809" t="s">
        <v>66</v>
      </c>
      <c r="B3809" s="1">
        <v>45566</v>
      </c>
      <c r="C3809">
        <v>851180</v>
      </c>
      <c r="D3809" t="s">
        <v>176</v>
      </c>
      <c r="E3809">
        <v>4250</v>
      </c>
      <c r="F3809">
        <v>259</v>
      </c>
      <c r="G3809">
        <v>75</v>
      </c>
      <c r="H3809">
        <f>_xlfn.XLOOKUP(FACT_IMPORTS[[#This Row],[hts_6]],DIM_PRODUCTS[hts_6],DIM_PRODUCTS[hts_4],,,)</f>
        <v>8511</v>
      </c>
      <c r="I3809" t="str" cm="1">
        <f t="array" ref="I3809">_xlfn.XLOOKUP(FACT_IMPORTS[[#This Row],[country_name]],DIM_COUNTRY[[#All],[Column2]],DIM_COUNTRY[[#All],[Column3]],,,)</f>
        <v>China</v>
      </c>
    </row>
    <row r="3810" spans="1:9" x14ac:dyDescent="0.4">
      <c r="A3810" t="s">
        <v>66</v>
      </c>
      <c r="B3810" s="1">
        <v>45566</v>
      </c>
      <c r="C3810">
        <v>851190</v>
      </c>
      <c r="D3810" t="s">
        <v>176</v>
      </c>
      <c r="E3810">
        <v>223696</v>
      </c>
      <c r="F3810">
        <v>24562</v>
      </c>
      <c r="G3810">
        <v>8627</v>
      </c>
      <c r="H3810">
        <f>_xlfn.XLOOKUP(FACT_IMPORTS[[#This Row],[hts_6]],DIM_PRODUCTS[hts_6],DIM_PRODUCTS[hts_4],,,)</f>
        <v>8511</v>
      </c>
      <c r="I3810" t="str" cm="1">
        <f t="array" ref="I3810">_xlfn.XLOOKUP(FACT_IMPORTS[[#This Row],[country_name]],DIM_COUNTRY[[#All],[Column2]],DIM_COUNTRY[[#All],[Column3]],,,)</f>
        <v>China</v>
      </c>
    </row>
    <row r="3811" spans="1:9" x14ac:dyDescent="0.4">
      <c r="A3811" t="s">
        <v>66</v>
      </c>
      <c r="B3811" s="1">
        <v>45566</v>
      </c>
      <c r="C3811">
        <v>851220</v>
      </c>
      <c r="D3811" t="s">
        <v>176</v>
      </c>
      <c r="E3811">
        <v>3169113</v>
      </c>
      <c r="F3811">
        <v>499447</v>
      </c>
      <c r="G3811">
        <v>111375</v>
      </c>
      <c r="H3811">
        <f>_xlfn.XLOOKUP(FACT_IMPORTS[[#This Row],[hts_6]],DIM_PRODUCTS[hts_6],DIM_PRODUCTS[hts_4],,,)</f>
        <v>8512</v>
      </c>
      <c r="I3811" t="str" cm="1">
        <f t="array" ref="I3811">_xlfn.XLOOKUP(FACT_IMPORTS[[#This Row],[country_name]],DIM_COUNTRY[[#All],[Column2]],DIM_COUNTRY[[#All],[Column3]],,,)</f>
        <v>China</v>
      </c>
    </row>
    <row r="3812" spans="1:9" x14ac:dyDescent="0.4">
      <c r="A3812" t="s">
        <v>66</v>
      </c>
      <c r="B3812" s="1">
        <v>45566</v>
      </c>
      <c r="C3812">
        <v>851230</v>
      </c>
      <c r="D3812" t="s">
        <v>176</v>
      </c>
      <c r="E3812">
        <v>0</v>
      </c>
      <c r="F3812">
        <v>0</v>
      </c>
      <c r="G3812">
        <v>0</v>
      </c>
      <c r="H3812">
        <f>_xlfn.XLOOKUP(FACT_IMPORTS[[#This Row],[hts_6]],DIM_PRODUCTS[hts_6],DIM_PRODUCTS[hts_4],,,)</f>
        <v>8512</v>
      </c>
      <c r="I3812" t="str" cm="1">
        <f t="array" ref="I3812">_xlfn.XLOOKUP(FACT_IMPORTS[[#This Row],[country_name]],DIM_COUNTRY[[#All],[Column2]],DIM_COUNTRY[[#All],[Column3]],,,)</f>
        <v>China</v>
      </c>
    </row>
    <row r="3813" spans="1:9" x14ac:dyDescent="0.4">
      <c r="A3813" t="s">
        <v>66</v>
      </c>
      <c r="B3813" s="1">
        <v>45566</v>
      </c>
      <c r="C3813">
        <v>851240</v>
      </c>
      <c r="D3813" t="s">
        <v>176</v>
      </c>
      <c r="E3813">
        <v>0</v>
      </c>
      <c r="F3813">
        <v>0</v>
      </c>
      <c r="G3813">
        <v>0</v>
      </c>
      <c r="H3813">
        <f>_xlfn.XLOOKUP(FACT_IMPORTS[[#This Row],[hts_6]],DIM_PRODUCTS[hts_6],DIM_PRODUCTS[hts_4],,,)</f>
        <v>8512</v>
      </c>
      <c r="I3813" t="str" cm="1">
        <f t="array" ref="I3813">_xlfn.XLOOKUP(FACT_IMPORTS[[#This Row],[country_name]],DIM_COUNTRY[[#All],[Column2]],DIM_COUNTRY[[#All],[Column3]],,,)</f>
        <v>China</v>
      </c>
    </row>
    <row r="3814" spans="1:9" x14ac:dyDescent="0.4">
      <c r="A3814" t="s">
        <v>66</v>
      </c>
      <c r="B3814" s="1">
        <v>45566</v>
      </c>
      <c r="C3814">
        <v>851290</v>
      </c>
      <c r="D3814" t="s">
        <v>176</v>
      </c>
      <c r="E3814">
        <v>200173</v>
      </c>
      <c r="F3814">
        <v>23953</v>
      </c>
      <c r="G3814">
        <v>9441</v>
      </c>
      <c r="H3814">
        <f>_xlfn.XLOOKUP(FACT_IMPORTS[[#This Row],[hts_6]],DIM_PRODUCTS[hts_6],DIM_PRODUCTS[hts_4],,,)</f>
        <v>8512</v>
      </c>
      <c r="I3814" t="str" cm="1">
        <f t="array" ref="I3814">_xlfn.XLOOKUP(FACT_IMPORTS[[#This Row],[country_name]],DIM_COUNTRY[[#All],[Column2]],DIM_COUNTRY[[#All],[Column3]],,,)</f>
        <v>China</v>
      </c>
    </row>
    <row r="3815" spans="1:9" x14ac:dyDescent="0.4">
      <c r="A3815" t="s">
        <v>66</v>
      </c>
      <c r="B3815" s="1">
        <v>45566</v>
      </c>
      <c r="C3815">
        <v>854231</v>
      </c>
      <c r="D3815" t="s">
        <v>176</v>
      </c>
      <c r="E3815">
        <v>341638</v>
      </c>
      <c r="F3815">
        <v>100526</v>
      </c>
      <c r="G3815">
        <v>8278</v>
      </c>
      <c r="H3815">
        <f>_xlfn.XLOOKUP(FACT_IMPORTS[[#This Row],[hts_6]],DIM_PRODUCTS[hts_6],DIM_PRODUCTS[hts_4],,,)</f>
        <v>8542</v>
      </c>
      <c r="I3815" t="str" cm="1">
        <f t="array" ref="I3815">_xlfn.XLOOKUP(FACT_IMPORTS[[#This Row],[country_name]],DIM_COUNTRY[[#All],[Column2]],DIM_COUNTRY[[#All],[Column3]],,,)</f>
        <v>China</v>
      </c>
    </row>
    <row r="3816" spans="1:9" x14ac:dyDescent="0.4">
      <c r="A3816" t="s">
        <v>66</v>
      </c>
      <c r="B3816" s="1">
        <v>45566</v>
      </c>
      <c r="C3816">
        <v>854232</v>
      </c>
      <c r="D3816" t="s">
        <v>176</v>
      </c>
      <c r="E3816">
        <v>13850</v>
      </c>
      <c r="F3816">
        <v>4075</v>
      </c>
      <c r="G3816">
        <v>92</v>
      </c>
      <c r="H3816">
        <f>_xlfn.XLOOKUP(FACT_IMPORTS[[#This Row],[hts_6]],DIM_PRODUCTS[hts_6],DIM_PRODUCTS[hts_4],,,)</f>
        <v>8542</v>
      </c>
      <c r="I3816" t="str" cm="1">
        <f t="array" ref="I3816">_xlfn.XLOOKUP(FACT_IMPORTS[[#This Row],[country_name]],DIM_COUNTRY[[#All],[Column2]],DIM_COUNTRY[[#All],[Column3]],,,)</f>
        <v>China</v>
      </c>
    </row>
    <row r="3817" spans="1:9" x14ac:dyDescent="0.4">
      <c r="A3817" t="s">
        <v>66</v>
      </c>
      <c r="B3817" s="1">
        <v>45566</v>
      </c>
      <c r="C3817">
        <v>854233</v>
      </c>
      <c r="D3817" t="s">
        <v>176</v>
      </c>
      <c r="E3817">
        <v>0</v>
      </c>
      <c r="F3817">
        <v>0</v>
      </c>
      <c r="G3817">
        <v>0</v>
      </c>
      <c r="H3817">
        <f>_xlfn.XLOOKUP(FACT_IMPORTS[[#This Row],[hts_6]],DIM_PRODUCTS[hts_6],DIM_PRODUCTS[hts_4],,,)</f>
        <v>8542</v>
      </c>
      <c r="I3817" t="str" cm="1">
        <f t="array" ref="I3817">_xlfn.XLOOKUP(FACT_IMPORTS[[#This Row],[country_name]],DIM_COUNTRY[[#All],[Column2]],DIM_COUNTRY[[#All],[Column3]],,,)</f>
        <v>China</v>
      </c>
    </row>
    <row r="3818" spans="1:9" x14ac:dyDescent="0.4">
      <c r="A3818" t="s">
        <v>66</v>
      </c>
      <c r="B3818" s="1">
        <v>45566</v>
      </c>
      <c r="C3818">
        <v>854239</v>
      </c>
      <c r="D3818" t="s">
        <v>176</v>
      </c>
      <c r="E3818">
        <v>23134</v>
      </c>
      <c r="F3818">
        <v>7957</v>
      </c>
      <c r="G3818">
        <v>375</v>
      </c>
      <c r="H3818">
        <f>_xlfn.XLOOKUP(FACT_IMPORTS[[#This Row],[hts_6]],DIM_PRODUCTS[hts_6],DIM_PRODUCTS[hts_4],,,)</f>
        <v>8542</v>
      </c>
      <c r="I3818" t="str" cm="1">
        <f t="array" ref="I3818">_xlfn.XLOOKUP(FACT_IMPORTS[[#This Row],[country_name]],DIM_COUNTRY[[#All],[Column2]],DIM_COUNTRY[[#All],[Column3]],,,)</f>
        <v>China</v>
      </c>
    </row>
    <row r="3819" spans="1:9" x14ac:dyDescent="0.4">
      <c r="A3819" t="s">
        <v>66</v>
      </c>
      <c r="B3819" s="1">
        <v>45566</v>
      </c>
      <c r="C3819">
        <v>854290</v>
      </c>
      <c r="D3819" t="s">
        <v>176</v>
      </c>
      <c r="E3819">
        <v>0</v>
      </c>
      <c r="F3819">
        <v>0</v>
      </c>
      <c r="G3819">
        <v>0</v>
      </c>
      <c r="H3819">
        <f>_xlfn.XLOOKUP(FACT_IMPORTS[[#This Row],[hts_6]],DIM_PRODUCTS[hts_6],DIM_PRODUCTS[hts_4],,,)</f>
        <v>8542</v>
      </c>
      <c r="I3819" t="str" cm="1">
        <f t="array" ref="I3819">_xlfn.XLOOKUP(FACT_IMPORTS[[#This Row],[country_name]],DIM_COUNTRY[[#All],[Column2]],DIM_COUNTRY[[#All],[Column3]],,,)</f>
        <v>China</v>
      </c>
    </row>
    <row r="3820" spans="1:9" x14ac:dyDescent="0.4">
      <c r="A3820" t="s">
        <v>66</v>
      </c>
      <c r="B3820" s="1">
        <v>45566</v>
      </c>
      <c r="C3820">
        <v>854430</v>
      </c>
      <c r="D3820" t="s">
        <v>176</v>
      </c>
      <c r="E3820">
        <v>968299</v>
      </c>
      <c r="F3820">
        <v>170244</v>
      </c>
      <c r="G3820">
        <v>12767</v>
      </c>
      <c r="H3820">
        <f>_xlfn.XLOOKUP(FACT_IMPORTS[[#This Row],[hts_6]],DIM_PRODUCTS[hts_6],DIM_PRODUCTS[hts_4],,,)</f>
        <v>8544</v>
      </c>
      <c r="I3820" t="str" cm="1">
        <f t="array" ref="I3820">_xlfn.XLOOKUP(FACT_IMPORTS[[#This Row],[country_name]],DIM_COUNTRY[[#All],[Column2]],DIM_COUNTRY[[#All],[Column3]],,,)</f>
        <v>China</v>
      </c>
    </row>
    <row r="3821" spans="1:9" x14ac:dyDescent="0.4">
      <c r="A3821" t="s">
        <v>66</v>
      </c>
      <c r="B3821" s="1">
        <v>45566</v>
      </c>
      <c r="C3821">
        <v>870710</v>
      </c>
      <c r="D3821" t="s">
        <v>176</v>
      </c>
      <c r="E3821">
        <v>0</v>
      </c>
      <c r="F3821">
        <v>0</v>
      </c>
      <c r="G3821">
        <v>0</v>
      </c>
      <c r="H3821">
        <f>_xlfn.XLOOKUP(FACT_IMPORTS[[#This Row],[hts_6]],DIM_PRODUCTS[hts_6],DIM_PRODUCTS[hts_4],,,)</f>
        <v>8707</v>
      </c>
      <c r="I3821" t="str" cm="1">
        <f t="array" ref="I3821">_xlfn.XLOOKUP(FACT_IMPORTS[[#This Row],[country_name]],DIM_COUNTRY[[#All],[Column2]],DIM_COUNTRY[[#All],[Column3]],,,)</f>
        <v>China</v>
      </c>
    </row>
    <row r="3822" spans="1:9" x14ac:dyDescent="0.4">
      <c r="A3822" t="s">
        <v>66</v>
      </c>
      <c r="B3822" s="1">
        <v>45566</v>
      </c>
      <c r="C3822">
        <v>870810</v>
      </c>
      <c r="D3822" t="s">
        <v>176</v>
      </c>
      <c r="E3822">
        <v>641864</v>
      </c>
      <c r="F3822">
        <v>18941</v>
      </c>
      <c r="G3822">
        <v>111759</v>
      </c>
      <c r="H3822">
        <f>_xlfn.XLOOKUP(FACT_IMPORTS[[#This Row],[hts_6]],DIM_PRODUCTS[hts_6],DIM_PRODUCTS[hts_4],,,)</f>
        <v>8708</v>
      </c>
      <c r="I3822" t="str" cm="1">
        <f t="array" ref="I3822">_xlfn.XLOOKUP(FACT_IMPORTS[[#This Row],[country_name]],DIM_COUNTRY[[#All],[Column2]],DIM_COUNTRY[[#All],[Column3]],,,)</f>
        <v>China</v>
      </c>
    </row>
    <row r="3823" spans="1:9" x14ac:dyDescent="0.4">
      <c r="A3823" t="s">
        <v>66</v>
      </c>
      <c r="B3823" s="1">
        <v>45566</v>
      </c>
      <c r="C3823">
        <v>870821</v>
      </c>
      <c r="D3823" t="s">
        <v>176</v>
      </c>
      <c r="E3823">
        <v>16312</v>
      </c>
      <c r="F3823">
        <v>1717</v>
      </c>
      <c r="G3823">
        <v>394</v>
      </c>
      <c r="H3823">
        <f>_xlfn.XLOOKUP(FACT_IMPORTS[[#This Row],[hts_6]],DIM_PRODUCTS[hts_6],DIM_PRODUCTS[hts_4],,,)</f>
        <v>8708</v>
      </c>
      <c r="I3823" t="str" cm="1">
        <f t="array" ref="I3823">_xlfn.XLOOKUP(FACT_IMPORTS[[#This Row],[country_name]],DIM_COUNTRY[[#All],[Column2]],DIM_COUNTRY[[#All],[Column3]],,,)</f>
        <v>China</v>
      </c>
    </row>
    <row r="3824" spans="1:9" x14ac:dyDescent="0.4">
      <c r="A3824" t="s">
        <v>66</v>
      </c>
      <c r="B3824" s="1">
        <v>45566</v>
      </c>
      <c r="C3824">
        <v>870822</v>
      </c>
      <c r="D3824" t="s">
        <v>176</v>
      </c>
      <c r="E3824">
        <v>1078459</v>
      </c>
      <c r="F3824">
        <v>119167</v>
      </c>
      <c r="G3824">
        <v>63877</v>
      </c>
      <c r="H3824">
        <f>_xlfn.XLOOKUP(FACT_IMPORTS[[#This Row],[hts_6]],DIM_PRODUCTS[hts_6],DIM_PRODUCTS[hts_4],,,)</f>
        <v>8708</v>
      </c>
      <c r="I3824" t="str" cm="1">
        <f t="array" ref="I3824">_xlfn.XLOOKUP(FACT_IMPORTS[[#This Row],[country_name]],DIM_COUNTRY[[#All],[Column2]],DIM_COUNTRY[[#All],[Column3]],,,)</f>
        <v>China</v>
      </c>
    </row>
    <row r="3825" spans="1:9" x14ac:dyDescent="0.4">
      <c r="A3825" t="s">
        <v>66</v>
      </c>
      <c r="B3825" s="1">
        <v>45566</v>
      </c>
      <c r="C3825">
        <v>870829</v>
      </c>
      <c r="D3825" t="s">
        <v>176</v>
      </c>
      <c r="E3825">
        <v>13869064</v>
      </c>
      <c r="F3825">
        <v>2780146</v>
      </c>
      <c r="G3825">
        <v>463984</v>
      </c>
      <c r="H3825">
        <f>_xlfn.XLOOKUP(FACT_IMPORTS[[#This Row],[hts_6]],DIM_PRODUCTS[hts_6],DIM_PRODUCTS[hts_4],,,)</f>
        <v>8708</v>
      </c>
      <c r="I3825" t="str" cm="1">
        <f t="array" ref="I3825">_xlfn.XLOOKUP(FACT_IMPORTS[[#This Row],[country_name]],DIM_COUNTRY[[#All],[Column2]],DIM_COUNTRY[[#All],[Column3]],,,)</f>
        <v>China</v>
      </c>
    </row>
    <row r="3826" spans="1:9" x14ac:dyDescent="0.4">
      <c r="A3826" t="s">
        <v>66</v>
      </c>
      <c r="B3826" s="1">
        <v>45566</v>
      </c>
      <c r="C3826">
        <v>870830</v>
      </c>
      <c r="D3826" t="s">
        <v>176</v>
      </c>
      <c r="E3826">
        <v>4739782</v>
      </c>
      <c r="F3826">
        <v>550213</v>
      </c>
      <c r="G3826">
        <v>194785</v>
      </c>
      <c r="H3826">
        <f>_xlfn.XLOOKUP(FACT_IMPORTS[[#This Row],[hts_6]],DIM_PRODUCTS[hts_6],DIM_PRODUCTS[hts_4],,,)</f>
        <v>8708</v>
      </c>
      <c r="I3826" t="str" cm="1">
        <f t="array" ref="I3826">_xlfn.XLOOKUP(FACT_IMPORTS[[#This Row],[country_name]],DIM_COUNTRY[[#All],[Column2]],DIM_COUNTRY[[#All],[Column3]],,,)</f>
        <v>China</v>
      </c>
    </row>
    <row r="3827" spans="1:9" x14ac:dyDescent="0.4">
      <c r="A3827" t="s">
        <v>66</v>
      </c>
      <c r="B3827" s="1">
        <v>45566</v>
      </c>
      <c r="C3827">
        <v>870840</v>
      </c>
      <c r="D3827" t="s">
        <v>176</v>
      </c>
      <c r="E3827">
        <v>3608793</v>
      </c>
      <c r="F3827">
        <v>655438</v>
      </c>
      <c r="G3827">
        <v>97949</v>
      </c>
      <c r="H3827">
        <f>_xlfn.XLOOKUP(FACT_IMPORTS[[#This Row],[hts_6]],DIM_PRODUCTS[hts_6],DIM_PRODUCTS[hts_4],,,)</f>
        <v>8708</v>
      </c>
      <c r="I3827" t="str" cm="1">
        <f t="array" ref="I3827">_xlfn.XLOOKUP(FACT_IMPORTS[[#This Row],[country_name]],DIM_COUNTRY[[#All],[Column2]],DIM_COUNTRY[[#All],[Column3]],,,)</f>
        <v>China</v>
      </c>
    </row>
    <row r="3828" spans="1:9" x14ac:dyDescent="0.4">
      <c r="A3828" t="s">
        <v>66</v>
      </c>
      <c r="B3828" s="1">
        <v>45566</v>
      </c>
      <c r="C3828">
        <v>870850</v>
      </c>
      <c r="D3828" t="s">
        <v>176</v>
      </c>
      <c r="E3828">
        <v>4990879</v>
      </c>
      <c r="F3828">
        <v>517575</v>
      </c>
      <c r="G3828">
        <v>156721</v>
      </c>
      <c r="H3828">
        <f>_xlfn.XLOOKUP(FACT_IMPORTS[[#This Row],[hts_6]],DIM_PRODUCTS[hts_6],DIM_PRODUCTS[hts_4],,,)</f>
        <v>8708</v>
      </c>
      <c r="I3828" t="str" cm="1">
        <f t="array" ref="I3828">_xlfn.XLOOKUP(FACT_IMPORTS[[#This Row],[country_name]],DIM_COUNTRY[[#All],[Column2]],DIM_COUNTRY[[#All],[Column3]],,,)</f>
        <v>China</v>
      </c>
    </row>
    <row r="3829" spans="1:9" x14ac:dyDescent="0.4">
      <c r="A3829" t="s">
        <v>66</v>
      </c>
      <c r="B3829" s="1">
        <v>45566</v>
      </c>
      <c r="C3829">
        <v>870870</v>
      </c>
      <c r="D3829" t="s">
        <v>176</v>
      </c>
      <c r="E3829">
        <v>51886650</v>
      </c>
      <c r="F3829">
        <v>1537715</v>
      </c>
      <c r="G3829">
        <v>3085593</v>
      </c>
      <c r="H3829">
        <f>_xlfn.XLOOKUP(FACT_IMPORTS[[#This Row],[hts_6]],DIM_PRODUCTS[hts_6],DIM_PRODUCTS[hts_4],,,)</f>
        <v>8708</v>
      </c>
      <c r="I3829" t="str" cm="1">
        <f t="array" ref="I3829">_xlfn.XLOOKUP(FACT_IMPORTS[[#This Row],[country_name]],DIM_COUNTRY[[#All],[Column2]],DIM_COUNTRY[[#All],[Column3]],,,)</f>
        <v>China</v>
      </c>
    </row>
    <row r="3830" spans="1:9" x14ac:dyDescent="0.4">
      <c r="A3830" t="s">
        <v>66</v>
      </c>
      <c r="B3830" s="1">
        <v>45566</v>
      </c>
      <c r="C3830">
        <v>870880</v>
      </c>
      <c r="D3830" t="s">
        <v>176</v>
      </c>
      <c r="E3830">
        <v>10033584</v>
      </c>
      <c r="F3830">
        <v>1719813</v>
      </c>
      <c r="G3830">
        <v>247811</v>
      </c>
      <c r="H3830">
        <f>_xlfn.XLOOKUP(FACT_IMPORTS[[#This Row],[hts_6]],DIM_PRODUCTS[hts_6],DIM_PRODUCTS[hts_4],,,)</f>
        <v>8708</v>
      </c>
      <c r="I3830" t="str" cm="1">
        <f t="array" ref="I3830">_xlfn.XLOOKUP(FACT_IMPORTS[[#This Row],[country_name]],DIM_COUNTRY[[#All],[Column2]],DIM_COUNTRY[[#All],[Column3]],,,)</f>
        <v>China</v>
      </c>
    </row>
    <row r="3831" spans="1:9" x14ac:dyDescent="0.4">
      <c r="A3831" t="s">
        <v>66</v>
      </c>
      <c r="B3831" s="1">
        <v>45566</v>
      </c>
      <c r="C3831">
        <v>870891</v>
      </c>
      <c r="D3831" t="s">
        <v>176</v>
      </c>
      <c r="E3831">
        <v>188528</v>
      </c>
      <c r="F3831">
        <v>2309</v>
      </c>
      <c r="G3831">
        <v>5977</v>
      </c>
      <c r="H3831">
        <f>_xlfn.XLOOKUP(FACT_IMPORTS[[#This Row],[hts_6]],DIM_PRODUCTS[hts_6],DIM_PRODUCTS[hts_4],,,)</f>
        <v>8708</v>
      </c>
      <c r="I3831" t="str" cm="1">
        <f t="array" ref="I3831">_xlfn.XLOOKUP(FACT_IMPORTS[[#This Row],[country_name]],DIM_COUNTRY[[#All],[Column2]],DIM_COUNTRY[[#All],[Column3]],,,)</f>
        <v>China</v>
      </c>
    </row>
    <row r="3832" spans="1:9" x14ac:dyDescent="0.4">
      <c r="A3832" t="s">
        <v>66</v>
      </c>
      <c r="B3832" s="1">
        <v>45566</v>
      </c>
      <c r="C3832">
        <v>870892</v>
      </c>
      <c r="D3832" t="s">
        <v>176</v>
      </c>
      <c r="E3832">
        <v>6272897</v>
      </c>
      <c r="F3832">
        <v>1190423</v>
      </c>
      <c r="G3832">
        <v>479686</v>
      </c>
      <c r="H3832">
        <f>_xlfn.XLOOKUP(FACT_IMPORTS[[#This Row],[hts_6]],DIM_PRODUCTS[hts_6],DIM_PRODUCTS[hts_4],,,)</f>
        <v>8708</v>
      </c>
      <c r="I3832" t="str" cm="1">
        <f t="array" ref="I3832">_xlfn.XLOOKUP(FACT_IMPORTS[[#This Row],[country_name]],DIM_COUNTRY[[#All],[Column2]],DIM_COUNTRY[[#All],[Column3]],,,)</f>
        <v>China</v>
      </c>
    </row>
    <row r="3833" spans="1:9" x14ac:dyDescent="0.4">
      <c r="A3833" t="s">
        <v>66</v>
      </c>
      <c r="B3833" s="1">
        <v>45566</v>
      </c>
      <c r="C3833">
        <v>870893</v>
      </c>
      <c r="D3833" t="s">
        <v>176</v>
      </c>
      <c r="E3833">
        <v>667411</v>
      </c>
      <c r="F3833">
        <v>249597</v>
      </c>
      <c r="G3833">
        <v>18992</v>
      </c>
      <c r="H3833">
        <f>_xlfn.XLOOKUP(FACT_IMPORTS[[#This Row],[hts_6]],DIM_PRODUCTS[hts_6],DIM_PRODUCTS[hts_4],,,)</f>
        <v>8708</v>
      </c>
      <c r="I3833" t="str" cm="1">
        <f t="array" ref="I3833">_xlfn.XLOOKUP(FACT_IMPORTS[[#This Row],[country_name]],DIM_COUNTRY[[#All],[Column2]],DIM_COUNTRY[[#All],[Column3]],,,)</f>
        <v>China</v>
      </c>
    </row>
    <row r="3834" spans="1:9" x14ac:dyDescent="0.4">
      <c r="A3834" t="s">
        <v>66</v>
      </c>
      <c r="B3834" s="1">
        <v>45566</v>
      </c>
      <c r="C3834">
        <v>870894</v>
      </c>
      <c r="D3834" t="s">
        <v>176</v>
      </c>
      <c r="E3834">
        <v>3967950</v>
      </c>
      <c r="F3834">
        <v>265880</v>
      </c>
      <c r="G3834">
        <v>535622</v>
      </c>
      <c r="H3834">
        <f>_xlfn.XLOOKUP(FACT_IMPORTS[[#This Row],[hts_6]],DIM_PRODUCTS[hts_6],DIM_PRODUCTS[hts_4],,,)</f>
        <v>8708</v>
      </c>
      <c r="I3834" t="str" cm="1">
        <f t="array" ref="I3834">_xlfn.XLOOKUP(FACT_IMPORTS[[#This Row],[country_name]],DIM_COUNTRY[[#All],[Column2]],DIM_COUNTRY[[#All],[Column3]],,,)</f>
        <v>China</v>
      </c>
    </row>
    <row r="3835" spans="1:9" x14ac:dyDescent="0.4">
      <c r="A3835" t="s">
        <v>66</v>
      </c>
      <c r="B3835" s="1">
        <v>45566</v>
      </c>
      <c r="C3835">
        <v>870895</v>
      </c>
      <c r="D3835" t="s">
        <v>176</v>
      </c>
      <c r="E3835">
        <v>42117</v>
      </c>
      <c r="F3835">
        <v>21692</v>
      </c>
      <c r="G3835">
        <v>1607</v>
      </c>
      <c r="H3835">
        <f>_xlfn.XLOOKUP(FACT_IMPORTS[[#This Row],[hts_6]],DIM_PRODUCTS[hts_6],DIM_PRODUCTS[hts_4],,,)</f>
        <v>8708</v>
      </c>
      <c r="I3835" t="str" cm="1">
        <f t="array" ref="I3835">_xlfn.XLOOKUP(FACT_IMPORTS[[#This Row],[country_name]],DIM_COUNTRY[[#All],[Column2]],DIM_COUNTRY[[#All],[Column3]],,,)</f>
        <v>China</v>
      </c>
    </row>
    <row r="3836" spans="1:9" x14ac:dyDescent="0.4">
      <c r="A3836" t="s">
        <v>66</v>
      </c>
      <c r="B3836" s="1">
        <v>45566</v>
      </c>
      <c r="C3836">
        <v>870899</v>
      </c>
      <c r="D3836" t="s">
        <v>176</v>
      </c>
      <c r="E3836">
        <v>6426224</v>
      </c>
      <c r="F3836">
        <v>1774553</v>
      </c>
      <c r="G3836">
        <v>534181</v>
      </c>
      <c r="H3836">
        <f>_xlfn.XLOOKUP(FACT_IMPORTS[[#This Row],[hts_6]],DIM_PRODUCTS[hts_6],DIM_PRODUCTS[hts_4],,,)</f>
        <v>8708</v>
      </c>
      <c r="I3836" t="str" cm="1">
        <f t="array" ref="I3836">_xlfn.XLOOKUP(FACT_IMPORTS[[#This Row],[country_name]],DIM_COUNTRY[[#All],[Column2]],DIM_COUNTRY[[#All],[Column3]],,,)</f>
        <v>China</v>
      </c>
    </row>
    <row r="3837" spans="1:9" x14ac:dyDescent="0.4">
      <c r="A3837" t="s">
        <v>66</v>
      </c>
      <c r="B3837" s="1">
        <v>45566</v>
      </c>
      <c r="C3837">
        <v>940120</v>
      </c>
      <c r="D3837" t="s">
        <v>176</v>
      </c>
      <c r="E3837">
        <v>27724</v>
      </c>
      <c r="F3837">
        <v>18036</v>
      </c>
      <c r="G3837">
        <v>323</v>
      </c>
      <c r="H3837">
        <f>_xlfn.XLOOKUP(FACT_IMPORTS[[#This Row],[hts_6]],DIM_PRODUCTS[hts_6],DIM_PRODUCTS[hts_4],,,)</f>
        <v>9401</v>
      </c>
      <c r="I3837" t="str" cm="1">
        <f t="array" ref="I3837">_xlfn.XLOOKUP(FACT_IMPORTS[[#This Row],[country_name]],DIM_COUNTRY[[#All],[Column2]],DIM_COUNTRY[[#All],[Column3]],,,)</f>
        <v>China</v>
      </c>
    </row>
    <row r="3838" spans="1:9" x14ac:dyDescent="0.4">
      <c r="A3838" t="s">
        <v>66</v>
      </c>
      <c r="B3838" s="1">
        <v>45597</v>
      </c>
      <c r="C3838">
        <v>392630</v>
      </c>
      <c r="D3838" t="s">
        <v>176</v>
      </c>
      <c r="E3838">
        <v>2422280</v>
      </c>
      <c r="F3838">
        <v>146333</v>
      </c>
      <c r="G3838">
        <v>144330</v>
      </c>
      <c r="H3838">
        <f>_xlfn.XLOOKUP(FACT_IMPORTS[[#This Row],[hts_6]],DIM_PRODUCTS[hts_6],DIM_PRODUCTS[hts_4],,,)</f>
        <v>3926</v>
      </c>
      <c r="I3838" t="str" cm="1">
        <f t="array" ref="I3838">_xlfn.XLOOKUP(FACT_IMPORTS[[#This Row],[country_name]],DIM_COUNTRY[[#All],[Column2]],DIM_COUNTRY[[#All],[Column3]],,,)</f>
        <v>China</v>
      </c>
    </row>
    <row r="3839" spans="1:9" x14ac:dyDescent="0.4">
      <c r="A3839" t="s">
        <v>66</v>
      </c>
      <c r="B3839" s="1">
        <v>45597</v>
      </c>
      <c r="C3839">
        <v>401110</v>
      </c>
      <c r="D3839" t="s">
        <v>176</v>
      </c>
      <c r="E3839">
        <v>20447</v>
      </c>
      <c r="F3839">
        <v>185</v>
      </c>
      <c r="G3839">
        <v>182</v>
      </c>
      <c r="H3839">
        <f>_xlfn.XLOOKUP(FACT_IMPORTS[[#This Row],[hts_6]],DIM_PRODUCTS[hts_6],DIM_PRODUCTS[hts_4],,,)</f>
        <v>4011</v>
      </c>
      <c r="I3839" t="str" cm="1">
        <f t="array" ref="I3839">_xlfn.XLOOKUP(FACT_IMPORTS[[#This Row],[country_name]],DIM_COUNTRY[[#All],[Column2]],DIM_COUNTRY[[#All],[Column3]],,,)</f>
        <v>China</v>
      </c>
    </row>
    <row r="3840" spans="1:9" x14ac:dyDescent="0.4">
      <c r="A3840" t="s">
        <v>66</v>
      </c>
      <c r="B3840" s="1">
        <v>45597</v>
      </c>
      <c r="C3840">
        <v>401120</v>
      </c>
      <c r="D3840" t="s">
        <v>176</v>
      </c>
      <c r="E3840">
        <v>252087</v>
      </c>
      <c r="F3840">
        <v>1756</v>
      </c>
      <c r="G3840">
        <v>24000</v>
      </c>
      <c r="H3840">
        <f>_xlfn.XLOOKUP(FACT_IMPORTS[[#This Row],[hts_6]],DIM_PRODUCTS[hts_6],DIM_PRODUCTS[hts_4],,,)</f>
        <v>4011</v>
      </c>
      <c r="I3840" t="str" cm="1">
        <f t="array" ref="I3840">_xlfn.XLOOKUP(FACT_IMPORTS[[#This Row],[country_name]],DIM_COUNTRY[[#All],[Column2]],DIM_COUNTRY[[#All],[Column3]],,,)</f>
        <v>China</v>
      </c>
    </row>
    <row r="3841" spans="1:9" x14ac:dyDescent="0.4">
      <c r="A3841" t="s">
        <v>66</v>
      </c>
      <c r="B3841" s="1">
        <v>45597</v>
      </c>
      <c r="C3841">
        <v>401140</v>
      </c>
      <c r="D3841" t="s">
        <v>176</v>
      </c>
      <c r="E3841">
        <v>20323</v>
      </c>
      <c r="F3841">
        <v>355</v>
      </c>
      <c r="G3841">
        <v>71</v>
      </c>
      <c r="H3841">
        <f>_xlfn.XLOOKUP(FACT_IMPORTS[[#This Row],[hts_6]],DIM_PRODUCTS[hts_6],DIM_PRODUCTS[hts_4],,,)</f>
        <v>4011</v>
      </c>
      <c r="I3841" t="str" cm="1">
        <f t="array" ref="I3841">_xlfn.XLOOKUP(FACT_IMPORTS[[#This Row],[country_name]],DIM_COUNTRY[[#All],[Column2]],DIM_COUNTRY[[#All],[Column3]],,,)</f>
        <v>China</v>
      </c>
    </row>
    <row r="3842" spans="1:9" x14ac:dyDescent="0.4">
      <c r="A3842" t="s">
        <v>66</v>
      </c>
      <c r="B3842" s="1">
        <v>45597</v>
      </c>
      <c r="C3842">
        <v>401190</v>
      </c>
      <c r="D3842" t="s">
        <v>176</v>
      </c>
      <c r="E3842">
        <v>96185</v>
      </c>
      <c r="F3842">
        <v>904</v>
      </c>
      <c r="G3842">
        <v>781</v>
      </c>
      <c r="H3842">
        <f>_xlfn.XLOOKUP(FACT_IMPORTS[[#This Row],[hts_6]],DIM_PRODUCTS[hts_6],DIM_PRODUCTS[hts_4],,,)</f>
        <v>4011</v>
      </c>
      <c r="I3842" t="str" cm="1">
        <f t="array" ref="I3842">_xlfn.XLOOKUP(FACT_IMPORTS[[#This Row],[country_name]],DIM_COUNTRY[[#All],[Column2]],DIM_COUNTRY[[#All],[Column3]],,,)</f>
        <v>China</v>
      </c>
    </row>
    <row r="3843" spans="1:9" x14ac:dyDescent="0.4">
      <c r="A3843" t="s">
        <v>66</v>
      </c>
      <c r="B3843" s="1">
        <v>45597</v>
      </c>
      <c r="C3843">
        <v>700711</v>
      </c>
      <c r="D3843" t="s">
        <v>176</v>
      </c>
      <c r="E3843">
        <v>465432</v>
      </c>
      <c r="F3843">
        <v>35860</v>
      </c>
      <c r="G3843">
        <v>38669</v>
      </c>
      <c r="H3843">
        <f>_xlfn.XLOOKUP(FACT_IMPORTS[[#This Row],[hts_6]],DIM_PRODUCTS[hts_6],DIM_PRODUCTS[hts_4],,,)</f>
        <v>7007</v>
      </c>
      <c r="I3843" t="str" cm="1">
        <f t="array" ref="I3843">_xlfn.XLOOKUP(FACT_IMPORTS[[#This Row],[country_name]],DIM_COUNTRY[[#All],[Column2]],DIM_COUNTRY[[#All],[Column3]],,,)</f>
        <v>China</v>
      </c>
    </row>
    <row r="3844" spans="1:9" x14ac:dyDescent="0.4">
      <c r="A3844" t="s">
        <v>66</v>
      </c>
      <c r="B3844" s="1">
        <v>45597</v>
      </c>
      <c r="C3844">
        <v>700721</v>
      </c>
      <c r="D3844" t="s">
        <v>176</v>
      </c>
      <c r="E3844">
        <v>335812</v>
      </c>
      <c r="F3844">
        <v>7692</v>
      </c>
      <c r="G3844">
        <v>17023</v>
      </c>
      <c r="H3844">
        <f>_xlfn.XLOOKUP(FACT_IMPORTS[[#This Row],[hts_6]],DIM_PRODUCTS[hts_6],DIM_PRODUCTS[hts_4],,,)</f>
        <v>7007</v>
      </c>
      <c r="I3844" t="str" cm="1">
        <f t="array" ref="I3844">_xlfn.XLOOKUP(FACT_IMPORTS[[#This Row],[country_name]],DIM_COUNTRY[[#All],[Column2]],DIM_COUNTRY[[#All],[Column3]],,,)</f>
        <v>China</v>
      </c>
    </row>
    <row r="3845" spans="1:9" x14ac:dyDescent="0.4">
      <c r="A3845" t="s">
        <v>66</v>
      </c>
      <c r="B3845" s="1">
        <v>45597</v>
      </c>
      <c r="C3845">
        <v>700910</v>
      </c>
      <c r="D3845" t="s">
        <v>176</v>
      </c>
      <c r="E3845">
        <v>234839</v>
      </c>
      <c r="F3845">
        <v>252858</v>
      </c>
      <c r="G3845">
        <v>28228</v>
      </c>
      <c r="H3845">
        <f>_xlfn.XLOOKUP(FACT_IMPORTS[[#This Row],[hts_6]],DIM_PRODUCTS[hts_6],DIM_PRODUCTS[hts_4],,,)</f>
        <v>7009</v>
      </c>
      <c r="I3845" t="str" cm="1">
        <f t="array" ref="I3845">_xlfn.XLOOKUP(FACT_IMPORTS[[#This Row],[country_name]],DIM_COUNTRY[[#All],[Column2]],DIM_COUNTRY[[#All],[Column3]],,,)</f>
        <v>China</v>
      </c>
    </row>
    <row r="3846" spans="1:9" x14ac:dyDescent="0.4">
      <c r="A3846" t="s">
        <v>66</v>
      </c>
      <c r="B3846" s="1">
        <v>45597</v>
      </c>
      <c r="C3846">
        <v>732010</v>
      </c>
      <c r="D3846" t="s">
        <v>176</v>
      </c>
      <c r="E3846">
        <v>0</v>
      </c>
      <c r="F3846">
        <v>0</v>
      </c>
      <c r="G3846">
        <v>0</v>
      </c>
      <c r="H3846">
        <f>_xlfn.XLOOKUP(FACT_IMPORTS[[#This Row],[hts_6]],DIM_PRODUCTS[hts_6],DIM_PRODUCTS[hts_4],,,)</f>
        <v>7320</v>
      </c>
      <c r="I3846" t="str" cm="1">
        <f t="array" ref="I3846">_xlfn.XLOOKUP(FACT_IMPORTS[[#This Row],[country_name]],DIM_COUNTRY[[#All],[Column2]],DIM_COUNTRY[[#All],[Column3]],,,)</f>
        <v>China</v>
      </c>
    </row>
    <row r="3847" spans="1:9" x14ac:dyDescent="0.4">
      <c r="A3847" t="s">
        <v>66</v>
      </c>
      <c r="B3847" s="1">
        <v>45597</v>
      </c>
      <c r="C3847">
        <v>830230</v>
      </c>
      <c r="D3847" t="s">
        <v>176</v>
      </c>
      <c r="E3847">
        <v>2899586</v>
      </c>
      <c r="F3847">
        <v>906193</v>
      </c>
      <c r="G3847">
        <v>143368</v>
      </c>
      <c r="H3847">
        <f>_xlfn.XLOOKUP(FACT_IMPORTS[[#This Row],[hts_6]],DIM_PRODUCTS[hts_6],DIM_PRODUCTS[hts_4],,,)</f>
        <v>8302</v>
      </c>
      <c r="I3847" t="str" cm="1">
        <f t="array" ref="I3847">_xlfn.XLOOKUP(FACT_IMPORTS[[#This Row],[country_name]],DIM_COUNTRY[[#All],[Column2]],DIM_COUNTRY[[#All],[Column3]],,,)</f>
        <v>China</v>
      </c>
    </row>
    <row r="3848" spans="1:9" x14ac:dyDescent="0.4">
      <c r="A3848" t="s">
        <v>66</v>
      </c>
      <c r="B3848" s="1">
        <v>45597</v>
      </c>
      <c r="C3848">
        <v>840733</v>
      </c>
      <c r="D3848" t="s">
        <v>176</v>
      </c>
      <c r="E3848">
        <v>0</v>
      </c>
      <c r="F3848">
        <v>0</v>
      </c>
      <c r="G3848">
        <v>0</v>
      </c>
      <c r="H3848">
        <f>_xlfn.XLOOKUP(FACT_IMPORTS[[#This Row],[hts_6]],DIM_PRODUCTS[hts_6],DIM_PRODUCTS[hts_4],,,)</f>
        <v>8407</v>
      </c>
      <c r="I3848" t="str" cm="1">
        <f t="array" ref="I3848">_xlfn.XLOOKUP(FACT_IMPORTS[[#This Row],[country_name]],DIM_COUNTRY[[#All],[Column2]],DIM_COUNTRY[[#All],[Column3]],,,)</f>
        <v>China</v>
      </c>
    </row>
    <row r="3849" spans="1:9" x14ac:dyDescent="0.4">
      <c r="A3849" t="s">
        <v>66</v>
      </c>
      <c r="B3849" s="1">
        <v>45597</v>
      </c>
      <c r="C3849">
        <v>840734</v>
      </c>
      <c r="D3849" t="s">
        <v>176</v>
      </c>
      <c r="E3849">
        <v>2277285</v>
      </c>
      <c r="F3849">
        <v>1495</v>
      </c>
      <c r="G3849">
        <v>24782</v>
      </c>
      <c r="H3849">
        <f>_xlfn.XLOOKUP(FACT_IMPORTS[[#This Row],[hts_6]],DIM_PRODUCTS[hts_6],DIM_PRODUCTS[hts_4],,,)</f>
        <v>8407</v>
      </c>
      <c r="I3849" t="str" cm="1">
        <f t="array" ref="I3849">_xlfn.XLOOKUP(FACT_IMPORTS[[#This Row],[country_name]],DIM_COUNTRY[[#All],[Column2]],DIM_COUNTRY[[#All],[Column3]],,,)</f>
        <v>China</v>
      </c>
    </row>
    <row r="3850" spans="1:9" x14ac:dyDescent="0.4">
      <c r="A3850" t="s">
        <v>66</v>
      </c>
      <c r="B3850" s="1">
        <v>45597</v>
      </c>
      <c r="C3850">
        <v>840790</v>
      </c>
      <c r="D3850" t="s">
        <v>176</v>
      </c>
      <c r="E3850">
        <v>0</v>
      </c>
      <c r="F3850">
        <v>0</v>
      </c>
      <c r="G3850">
        <v>0</v>
      </c>
      <c r="H3850">
        <f>_xlfn.XLOOKUP(FACT_IMPORTS[[#This Row],[hts_6]],DIM_PRODUCTS[hts_6],DIM_PRODUCTS[hts_4],,,)</f>
        <v>8407</v>
      </c>
      <c r="I3850" t="str" cm="1">
        <f t="array" ref="I3850">_xlfn.XLOOKUP(FACT_IMPORTS[[#This Row],[country_name]],DIM_COUNTRY[[#All],[Column2]],DIM_COUNTRY[[#All],[Column3]],,,)</f>
        <v>China</v>
      </c>
    </row>
    <row r="3851" spans="1:9" x14ac:dyDescent="0.4">
      <c r="A3851" t="s">
        <v>66</v>
      </c>
      <c r="B3851" s="1">
        <v>45597</v>
      </c>
      <c r="C3851">
        <v>840820</v>
      </c>
      <c r="D3851" t="s">
        <v>176</v>
      </c>
      <c r="E3851">
        <v>0</v>
      </c>
      <c r="F3851">
        <v>0</v>
      </c>
      <c r="G3851">
        <v>0</v>
      </c>
      <c r="H3851">
        <f>_xlfn.XLOOKUP(FACT_IMPORTS[[#This Row],[hts_6]],DIM_PRODUCTS[hts_6],DIM_PRODUCTS[hts_4],,,)</f>
        <v>8408</v>
      </c>
      <c r="I3851" t="str" cm="1">
        <f t="array" ref="I3851">_xlfn.XLOOKUP(FACT_IMPORTS[[#This Row],[country_name]],DIM_COUNTRY[[#All],[Column2]],DIM_COUNTRY[[#All],[Column3]],,,)</f>
        <v>China</v>
      </c>
    </row>
    <row r="3852" spans="1:9" x14ac:dyDescent="0.4">
      <c r="A3852" t="s">
        <v>66</v>
      </c>
      <c r="B3852" s="1">
        <v>45597</v>
      </c>
      <c r="C3852">
        <v>840890</v>
      </c>
      <c r="D3852" t="s">
        <v>176</v>
      </c>
      <c r="E3852">
        <v>0</v>
      </c>
      <c r="F3852">
        <v>0</v>
      </c>
      <c r="G3852">
        <v>0</v>
      </c>
      <c r="H3852">
        <f>_xlfn.XLOOKUP(FACT_IMPORTS[[#This Row],[hts_6]],DIM_PRODUCTS[hts_6],DIM_PRODUCTS[hts_4],,,)</f>
        <v>8408</v>
      </c>
      <c r="I3852" t="str" cm="1">
        <f t="array" ref="I3852">_xlfn.XLOOKUP(FACT_IMPORTS[[#This Row],[country_name]],DIM_COUNTRY[[#All],[Column2]],DIM_COUNTRY[[#All],[Column3]],,,)</f>
        <v>China</v>
      </c>
    </row>
    <row r="3853" spans="1:9" x14ac:dyDescent="0.4">
      <c r="A3853" t="s">
        <v>66</v>
      </c>
      <c r="B3853" s="1">
        <v>45597</v>
      </c>
      <c r="C3853">
        <v>840991</v>
      </c>
      <c r="D3853" t="s">
        <v>176</v>
      </c>
      <c r="E3853">
        <v>8421004</v>
      </c>
      <c r="F3853">
        <v>1109511</v>
      </c>
      <c r="G3853">
        <v>362117</v>
      </c>
      <c r="H3853">
        <f>_xlfn.XLOOKUP(FACT_IMPORTS[[#This Row],[hts_6]],DIM_PRODUCTS[hts_6],DIM_PRODUCTS[hts_4],,,)</f>
        <v>8409</v>
      </c>
      <c r="I3853" t="str" cm="1">
        <f t="array" ref="I3853">_xlfn.XLOOKUP(FACT_IMPORTS[[#This Row],[country_name]],DIM_COUNTRY[[#All],[Column2]],DIM_COUNTRY[[#All],[Column3]],,,)</f>
        <v>China</v>
      </c>
    </row>
    <row r="3854" spans="1:9" x14ac:dyDescent="0.4">
      <c r="A3854" t="s">
        <v>66</v>
      </c>
      <c r="B3854" s="1">
        <v>45597</v>
      </c>
      <c r="C3854">
        <v>840999</v>
      </c>
      <c r="D3854" t="s">
        <v>176</v>
      </c>
      <c r="E3854">
        <v>3986688</v>
      </c>
      <c r="F3854">
        <v>600724</v>
      </c>
      <c r="G3854">
        <v>137403</v>
      </c>
      <c r="H3854">
        <f>_xlfn.XLOOKUP(FACT_IMPORTS[[#This Row],[hts_6]],DIM_PRODUCTS[hts_6],DIM_PRODUCTS[hts_4],,,)</f>
        <v>8409</v>
      </c>
      <c r="I3854" t="str" cm="1">
        <f t="array" ref="I3854">_xlfn.XLOOKUP(FACT_IMPORTS[[#This Row],[country_name]],DIM_COUNTRY[[#All],[Column2]],DIM_COUNTRY[[#All],[Column3]],,,)</f>
        <v>China</v>
      </c>
    </row>
    <row r="3855" spans="1:9" x14ac:dyDescent="0.4">
      <c r="A3855" t="s">
        <v>66</v>
      </c>
      <c r="B3855" s="1">
        <v>45597</v>
      </c>
      <c r="C3855">
        <v>841330</v>
      </c>
      <c r="D3855" t="s">
        <v>176</v>
      </c>
      <c r="E3855">
        <v>484296</v>
      </c>
      <c r="F3855">
        <v>10308</v>
      </c>
      <c r="G3855">
        <v>16940</v>
      </c>
      <c r="H3855">
        <f>_xlfn.XLOOKUP(FACT_IMPORTS[[#This Row],[hts_6]],DIM_PRODUCTS[hts_6],DIM_PRODUCTS[hts_4],,,)</f>
        <v>8413</v>
      </c>
      <c r="I3855" t="str" cm="1">
        <f t="array" ref="I3855">_xlfn.XLOOKUP(FACT_IMPORTS[[#This Row],[country_name]],DIM_COUNTRY[[#All],[Column2]],DIM_COUNTRY[[#All],[Column3]],,,)</f>
        <v>China</v>
      </c>
    </row>
    <row r="3856" spans="1:9" x14ac:dyDescent="0.4">
      <c r="A3856" t="s">
        <v>66</v>
      </c>
      <c r="B3856" s="1">
        <v>45597</v>
      </c>
      <c r="C3856">
        <v>841520</v>
      </c>
      <c r="D3856" t="s">
        <v>176</v>
      </c>
      <c r="E3856">
        <v>0</v>
      </c>
      <c r="F3856">
        <v>0</v>
      </c>
      <c r="G3856">
        <v>0</v>
      </c>
      <c r="H3856">
        <f>_xlfn.XLOOKUP(FACT_IMPORTS[[#This Row],[hts_6]],DIM_PRODUCTS[hts_6],DIM_PRODUCTS[hts_4],,,)</f>
        <v>8415</v>
      </c>
      <c r="I3856" t="str" cm="1">
        <f t="array" ref="I3856">_xlfn.XLOOKUP(FACT_IMPORTS[[#This Row],[country_name]],DIM_COUNTRY[[#All],[Column2]],DIM_COUNTRY[[#All],[Column3]],,,)</f>
        <v>China</v>
      </c>
    </row>
    <row r="3857" spans="1:9" x14ac:dyDescent="0.4">
      <c r="A3857" t="s">
        <v>66</v>
      </c>
      <c r="B3857" s="1">
        <v>45597</v>
      </c>
      <c r="C3857">
        <v>842132</v>
      </c>
      <c r="D3857" t="s">
        <v>176</v>
      </c>
      <c r="E3857">
        <v>18530</v>
      </c>
      <c r="F3857">
        <v>18</v>
      </c>
      <c r="G3857">
        <v>326</v>
      </c>
      <c r="H3857">
        <f>_xlfn.XLOOKUP(FACT_IMPORTS[[#This Row],[hts_6]],DIM_PRODUCTS[hts_6],DIM_PRODUCTS[hts_4],,,)</f>
        <v>8421</v>
      </c>
      <c r="I3857" t="str" cm="1">
        <f t="array" ref="I3857">_xlfn.XLOOKUP(FACT_IMPORTS[[#This Row],[country_name]],DIM_COUNTRY[[#All],[Column2]],DIM_COUNTRY[[#All],[Column3]],,,)</f>
        <v>China</v>
      </c>
    </row>
    <row r="3858" spans="1:9" x14ac:dyDescent="0.4">
      <c r="A3858" t="s">
        <v>66</v>
      </c>
      <c r="B3858" s="1">
        <v>45597</v>
      </c>
      <c r="C3858">
        <v>848210</v>
      </c>
      <c r="D3858" t="s">
        <v>176</v>
      </c>
      <c r="E3858">
        <v>826286</v>
      </c>
      <c r="F3858">
        <v>818780</v>
      </c>
      <c r="G3858">
        <v>44502</v>
      </c>
      <c r="H3858">
        <f>_xlfn.XLOOKUP(FACT_IMPORTS[[#This Row],[hts_6]],DIM_PRODUCTS[hts_6],DIM_PRODUCTS[hts_4],,,)</f>
        <v>8482</v>
      </c>
      <c r="I3858" t="str" cm="1">
        <f t="array" ref="I3858">_xlfn.XLOOKUP(FACT_IMPORTS[[#This Row],[country_name]],DIM_COUNTRY[[#All],[Column2]],DIM_COUNTRY[[#All],[Column3]],,,)</f>
        <v>China</v>
      </c>
    </row>
    <row r="3859" spans="1:9" x14ac:dyDescent="0.4">
      <c r="A3859" t="s">
        <v>66</v>
      </c>
      <c r="B3859" s="1">
        <v>45597</v>
      </c>
      <c r="C3859">
        <v>848220</v>
      </c>
      <c r="D3859" t="s">
        <v>176</v>
      </c>
      <c r="E3859">
        <v>7796</v>
      </c>
      <c r="F3859">
        <v>1793</v>
      </c>
      <c r="G3859">
        <v>277</v>
      </c>
      <c r="H3859">
        <f>_xlfn.XLOOKUP(FACT_IMPORTS[[#This Row],[hts_6]],DIM_PRODUCTS[hts_6],DIM_PRODUCTS[hts_4],,,)</f>
        <v>8482</v>
      </c>
      <c r="I3859" t="str" cm="1">
        <f t="array" ref="I3859">_xlfn.XLOOKUP(FACT_IMPORTS[[#This Row],[country_name]],DIM_COUNTRY[[#All],[Column2]],DIM_COUNTRY[[#All],[Column3]],,,)</f>
        <v>China</v>
      </c>
    </row>
    <row r="3860" spans="1:9" x14ac:dyDescent="0.4">
      <c r="A3860" t="s">
        <v>66</v>
      </c>
      <c r="B3860" s="1">
        <v>45597</v>
      </c>
      <c r="C3860">
        <v>848310</v>
      </c>
      <c r="D3860" t="s">
        <v>176</v>
      </c>
      <c r="E3860">
        <v>1795702</v>
      </c>
      <c r="F3860">
        <v>115472</v>
      </c>
      <c r="G3860">
        <v>110857</v>
      </c>
      <c r="H3860">
        <f>_xlfn.XLOOKUP(FACT_IMPORTS[[#This Row],[hts_6]],DIM_PRODUCTS[hts_6],DIM_PRODUCTS[hts_4],,,)</f>
        <v>8483</v>
      </c>
      <c r="I3860" t="str" cm="1">
        <f t="array" ref="I3860">_xlfn.XLOOKUP(FACT_IMPORTS[[#This Row],[country_name]],DIM_COUNTRY[[#All],[Column2]],DIM_COUNTRY[[#All],[Column3]],,,)</f>
        <v>China</v>
      </c>
    </row>
    <row r="3861" spans="1:9" x14ac:dyDescent="0.4">
      <c r="A3861" t="s">
        <v>66</v>
      </c>
      <c r="B3861" s="1">
        <v>45597</v>
      </c>
      <c r="C3861">
        <v>850131</v>
      </c>
      <c r="D3861" t="s">
        <v>176</v>
      </c>
      <c r="E3861">
        <v>1685970</v>
      </c>
      <c r="F3861">
        <v>236842</v>
      </c>
      <c r="G3861">
        <v>67328</v>
      </c>
      <c r="H3861">
        <f>_xlfn.XLOOKUP(FACT_IMPORTS[[#This Row],[hts_6]],DIM_PRODUCTS[hts_6],DIM_PRODUCTS[hts_4],,,)</f>
        <v>8501</v>
      </c>
      <c r="I3861" t="str" cm="1">
        <f t="array" ref="I3861">_xlfn.XLOOKUP(FACT_IMPORTS[[#This Row],[country_name]],DIM_COUNTRY[[#All],[Column2]],DIM_COUNTRY[[#All],[Column3]],,,)</f>
        <v>China</v>
      </c>
    </row>
    <row r="3862" spans="1:9" x14ac:dyDescent="0.4">
      <c r="A3862" t="s">
        <v>66</v>
      </c>
      <c r="B3862" s="1">
        <v>45597</v>
      </c>
      <c r="C3862">
        <v>850132</v>
      </c>
      <c r="D3862" t="s">
        <v>176</v>
      </c>
      <c r="E3862">
        <v>5128</v>
      </c>
      <c r="F3862">
        <v>5</v>
      </c>
      <c r="G3862">
        <v>92</v>
      </c>
      <c r="H3862">
        <f>_xlfn.XLOOKUP(FACT_IMPORTS[[#This Row],[hts_6]],DIM_PRODUCTS[hts_6],DIM_PRODUCTS[hts_4],,,)</f>
        <v>8501</v>
      </c>
      <c r="I3862" t="str" cm="1">
        <f t="array" ref="I3862">_xlfn.XLOOKUP(FACT_IMPORTS[[#This Row],[country_name]],DIM_COUNTRY[[#All],[Column2]],DIM_COUNTRY[[#All],[Column3]],,,)</f>
        <v>China</v>
      </c>
    </row>
    <row r="3863" spans="1:9" x14ac:dyDescent="0.4">
      <c r="A3863" t="s">
        <v>66</v>
      </c>
      <c r="B3863" s="1">
        <v>45597</v>
      </c>
      <c r="C3863">
        <v>850133</v>
      </c>
      <c r="D3863" t="s">
        <v>176</v>
      </c>
      <c r="E3863">
        <v>0</v>
      </c>
      <c r="F3863">
        <v>0</v>
      </c>
      <c r="G3863">
        <v>0</v>
      </c>
      <c r="H3863">
        <f>_xlfn.XLOOKUP(FACT_IMPORTS[[#This Row],[hts_6]],DIM_PRODUCTS[hts_6],DIM_PRODUCTS[hts_4],,,)</f>
        <v>8501</v>
      </c>
      <c r="I3863" t="str" cm="1">
        <f t="array" ref="I3863">_xlfn.XLOOKUP(FACT_IMPORTS[[#This Row],[country_name]],DIM_COUNTRY[[#All],[Column2]],DIM_COUNTRY[[#All],[Column3]],,,)</f>
        <v>China</v>
      </c>
    </row>
    <row r="3864" spans="1:9" x14ac:dyDescent="0.4">
      <c r="A3864" t="s">
        <v>66</v>
      </c>
      <c r="B3864" s="1">
        <v>45597</v>
      </c>
      <c r="C3864">
        <v>850152</v>
      </c>
      <c r="D3864" t="s">
        <v>176</v>
      </c>
      <c r="E3864">
        <v>233731</v>
      </c>
      <c r="F3864">
        <v>455</v>
      </c>
      <c r="G3864">
        <v>4532</v>
      </c>
      <c r="H3864">
        <f>_xlfn.XLOOKUP(FACT_IMPORTS[[#This Row],[hts_6]],DIM_PRODUCTS[hts_6],DIM_PRODUCTS[hts_4],,,)</f>
        <v>8501</v>
      </c>
      <c r="I3864" t="str" cm="1">
        <f t="array" ref="I3864">_xlfn.XLOOKUP(FACT_IMPORTS[[#This Row],[country_name]],DIM_COUNTRY[[#All],[Column2]],DIM_COUNTRY[[#All],[Column3]],,,)</f>
        <v>China</v>
      </c>
    </row>
    <row r="3865" spans="1:9" x14ac:dyDescent="0.4">
      <c r="A3865" t="s">
        <v>66</v>
      </c>
      <c r="B3865" s="1">
        <v>45597</v>
      </c>
      <c r="C3865">
        <v>850153</v>
      </c>
      <c r="D3865" t="s">
        <v>176</v>
      </c>
      <c r="E3865">
        <v>14270</v>
      </c>
      <c r="F3865">
        <v>2</v>
      </c>
      <c r="G3865">
        <v>814</v>
      </c>
      <c r="H3865">
        <f>_xlfn.XLOOKUP(FACT_IMPORTS[[#This Row],[hts_6]],DIM_PRODUCTS[hts_6],DIM_PRODUCTS[hts_4],,,)</f>
        <v>8501</v>
      </c>
      <c r="I3865" t="str" cm="1">
        <f t="array" ref="I3865">_xlfn.XLOOKUP(FACT_IMPORTS[[#This Row],[country_name]],DIM_COUNTRY[[#All],[Column2]],DIM_COUNTRY[[#All],[Column3]],,,)</f>
        <v>China</v>
      </c>
    </row>
    <row r="3866" spans="1:9" x14ac:dyDescent="0.4">
      <c r="A3866" t="s">
        <v>66</v>
      </c>
      <c r="B3866" s="1">
        <v>45597</v>
      </c>
      <c r="C3866">
        <v>850161</v>
      </c>
      <c r="D3866" t="s">
        <v>176</v>
      </c>
      <c r="E3866">
        <v>6900</v>
      </c>
      <c r="F3866">
        <v>255</v>
      </c>
      <c r="G3866">
        <v>2</v>
      </c>
      <c r="H3866">
        <f>_xlfn.XLOOKUP(FACT_IMPORTS[[#This Row],[hts_6]],DIM_PRODUCTS[hts_6],DIM_PRODUCTS[hts_4],,,)</f>
        <v>8501</v>
      </c>
      <c r="I3866" t="str" cm="1">
        <f t="array" ref="I3866">_xlfn.XLOOKUP(FACT_IMPORTS[[#This Row],[country_name]],DIM_COUNTRY[[#All],[Column2]],DIM_COUNTRY[[#All],[Column3]],,,)</f>
        <v>China</v>
      </c>
    </row>
    <row r="3867" spans="1:9" x14ac:dyDescent="0.4">
      <c r="A3867" t="s">
        <v>66</v>
      </c>
      <c r="B3867" s="1">
        <v>45597</v>
      </c>
      <c r="C3867">
        <v>850440</v>
      </c>
      <c r="D3867" t="s">
        <v>176</v>
      </c>
      <c r="E3867">
        <v>842692</v>
      </c>
      <c r="F3867">
        <v>30620</v>
      </c>
      <c r="G3867">
        <v>11571</v>
      </c>
      <c r="H3867">
        <f>_xlfn.XLOOKUP(FACT_IMPORTS[[#This Row],[hts_6]],DIM_PRODUCTS[hts_6],DIM_PRODUCTS[hts_4],,,)</f>
        <v>8504</v>
      </c>
      <c r="I3867" t="str" cm="1">
        <f t="array" ref="I3867">_xlfn.XLOOKUP(FACT_IMPORTS[[#This Row],[country_name]],DIM_COUNTRY[[#All],[Column2]],DIM_COUNTRY[[#All],[Column3]],,,)</f>
        <v>China</v>
      </c>
    </row>
    <row r="3868" spans="1:9" x14ac:dyDescent="0.4">
      <c r="A3868" t="s">
        <v>66</v>
      </c>
      <c r="B3868" s="1">
        <v>45597</v>
      </c>
      <c r="C3868">
        <v>850710</v>
      </c>
      <c r="D3868" t="s">
        <v>176</v>
      </c>
      <c r="E3868">
        <v>16201</v>
      </c>
      <c r="F3868">
        <v>369</v>
      </c>
      <c r="G3868">
        <v>373</v>
      </c>
      <c r="H3868">
        <f>_xlfn.XLOOKUP(FACT_IMPORTS[[#This Row],[hts_6]],DIM_PRODUCTS[hts_6],DIM_PRODUCTS[hts_4],,,)</f>
        <v>8507</v>
      </c>
      <c r="I3868" t="str" cm="1">
        <f t="array" ref="I3868">_xlfn.XLOOKUP(FACT_IMPORTS[[#This Row],[country_name]],DIM_COUNTRY[[#All],[Column2]],DIM_COUNTRY[[#All],[Column3]],,,)</f>
        <v>China</v>
      </c>
    </row>
    <row r="3869" spans="1:9" x14ac:dyDescent="0.4">
      <c r="A3869" t="s">
        <v>66</v>
      </c>
      <c r="B3869" s="1">
        <v>45597</v>
      </c>
      <c r="C3869">
        <v>850760</v>
      </c>
      <c r="D3869" t="s">
        <v>176</v>
      </c>
      <c r="E3869">
        <v>12766455</v>
      </c>
      <c r="F3869">
        <v>8992</v>
      </c>
      <c r="G3869">
        <v>22531</v>
      </c>
      <c r="H3869">
        <f>_xlfn.XLOOKUP(FACT_IMPORTS[[#This Row],[hts_6]],DIM_PRODUCTS[hts_6],DIM_PRODUCTS[hts_4],,,)</f>
        <v>8507</v>
      </c>
      <c r="I3869" t="str" cm="1">
        <f t="array" ref="I3869">_xlfn.XLOOKUP(FACT_IMPORTS[[#This Row],[country_name]],DIM_COUNTRY[[#All],[Column2]],DIM_COUNTRY[[#All],[Column3]],,,)</f>
        <v>China</v>
      </c>
    </row>
    <row r="3870" spans="1:9" x14ac:dyDescent="0.4">
      <c r="A3870" t="s">
        <v>66</v>
      </c>
      <c r="B3870" s="1">
        <v>45597</v>
      </c>
      <c r="C3870">
        <v>850790</v>
      </c>
      <c r="D3870" t="s">
        <v>176</v>
      </c>
      <c r="E3870">
        <v>2341483</v>
      </c>
      <c r="F3870">
        <v>101176</v>
      </c>
      <c r="G3870">
        <v>3848</v>
      </c>
      <c r="H3870">
        <f>_xlfn.XLOOKUP(FACT_IMPORTS[[#This Row],[hts_6]],DIM_PRODUCTS[hts_6],DIM_PRODUCTS[hts_4],,,)</f>
        <v>8507</v>
      </c>
      <c r="I3870" t="str" cm="1">
        <f t="array" ref="I3870">_xlfn.XLOOKUP(FACT_IMPORTS[[#This Row],[country_name]],DIM_COUNTRY[[#All],[Column2]],DIM_COUNTRY[[#All],[Column3]],,,)</f>
        <v>China</v>
      </c>
    </row>
    <row r="3871" spans="1:9" x14ac:dyDescent="0.4">
      <c r="A3871" t="s">
        <v>66</v>
      </c>
      <c r="B3871" s="1">
        <v>45597</v>
      </c>
      <c r="C3871">
        <v>851130</v>
      </c>
      <c r="D3871" t="s">
        <v>176</v>
      </c>
      <c r="E3871">
        <v>55106</v>
      </c>
      <c r="F3871">
        <v>5246</v>
      </c>
      <c r="G3871">
        <v>1764</v>
      </c>
      <c r="H3871">
        <f>_xlfn.XLOOKUP(FACT_IMPORTS[[#This Row],[hts_6]],DIM_PRODUCTS[hts_6],DIM_PRODUCTS[hts_4],,,)</f>
        <v>8511</v>
      </c>
      <c r="I3871" t="str" cm="1">
        <f t="array" ref="I3871">_xlfn.XLOOKUP(FACT_IMPORTS[[#This Row],[country_name]],DIM_COUNTRY[[#All],[Column2]],DIM_COUNTRY[[#All],[Column3]],,,)</f>
        <v>China</v>
      </c>
    </row>
    <row r="3872" spans="1:9" x14ac:dyDescent="0.4">
      <c r="A3872" t="s">
        <v>66</v>
      </c>
      <c r="B3872" s="1">
        <v>45597</v>
      </c>
      <c r="C3872">
        <v>851140</v>
      </c>
      <c r="D3872" t="s">
        <v>176</v>
      </c>
      <c r="E3872">
        <v>258945</v>
      </c>
      <c r="F3872">
        <v>3170</v>
      </c>
      <c r="G3872">
        <v>3165</v>
      </c>
      <c r="H3872">
        <f>_xlfn.XLOOKUP(FACT_IMPORTS[[#This Row],[hts_6]],DIM_PRODUCTS[hts_6],DIM_PRODUCTS[hts_4],,,)</f>
        <v>8511</v>
      </c>
      <c r="I3872" t="str" cm="1">
        <f t="array" ref="I3872">_xlfn.XLOOKUP(FACT_IMPORTS[[#This Row],[country_name]],DIM_COUNTRY[[#All],[Column2]],DIM_COUNTRY[[#All],[Column3]],,,)</f>
        <v>China</v>
      </c>
    </row>
    <row r="3873" spans="1:9" x14ac:dyDescent="0.4">
      <c r="A3873" t="s">
        <v>66</v>
      </c>
      <c r="B3873" s="1">
        <v>45597</v>
      </c>
      <c r="C3873">
        <v>851150</v>
      </c>
      <c r="D3873" t="s">
        <v>176</v>
      </c>
      <c r="E3873">
        <v>68178</v>
      </c>
      <c r="F3873">
        <v>783</v>
      </c>
      <c r="G3873">
        <v>586</v>
      </c>
      <c r="H3873">
        <f>_xlfn.XLOOKUP(FACT_IMPORTS[[#This Row],[hts_6]],DIM_PRODUCTS[hts_6],DIM_PRODUCTS[hts_4],,,)</f>
        <v>8511</v>
      </c>
      <c r="I3873" t="str" cm="1">
        <f t="array" ref="I3873">_xlfn.XLOOKUP(FACT_IMPORTS[[#This Row],[country_name]],DIM_COUNTRY[[#All],[Column2]],DIM_COUNTRY[[#All],[Column3]],,,)</f>
        <v>China</v>
      </c>
    </row>
    <row r="3874" spans="1:9" x14ac:dyDescent="0.4">
      <c r="A3874" t="s">
        <v>66</v>
      </c>
      <c r="B3874" s="1">
        <v>45597</v>
      </c>
      <c r="C3874">
        <v>851180</v>
      </c>
      <c r="D3874" t="s">
        <v>176</v>
      </c>
      <c r="E3874">
        <v>8177</v>
      </c>
      <c r="F3874">
        <v>166</v>
      </c>
      <c r="G3874">
        <v>2</v>
      </c>
      <c r="H3874">
        <f>_xlfn.XLOOKUP(FACT_IMPORTS[[#This Row],[hts_6]],DIM_PRODUCTS[hts_6],DIM_PRODUCTS[hts_4],,,)</f>
        <v>8511</v>
      </c>
      <c r="I3874" t="str" cm="1">
        <f t="array" ref="I3874">_xlfn.XLOOKUP(FACT_IMPORTS[[#This Row],[country_name]],DIM_COUNTRY[[#All],[Column2]],DIM_COUNTRY[[#All],[Column3]],,,)</f>
        <v>China</v>
      </c>
    </row>
    <row r="3875" spans="1:9" x14ac:dyDescent="0.4">
      <c r="A3875" t="s">
        <v>66</v>
      </c>
      <c r="B3875" s="1">
        <v>45597</v>
      </c>
      <c r="C3875">
        <v>851190</v>
      </c>
      <c r="D3875" t="s">
        <v>176</v>
      </c>
      <c r="E3875">
        <v>9600</v>
      </c>
      <c r="F3875">
        <v>2400</v>
      </c>
      <c r="G3875">
        <v>30</v>
      </c>
      <c r="H3875">
        <f>_xlfn.XLOOKUP(FACT_IMPORTS[[#This Row],[hts_6]],DIM_PRODUCTS[hts_6],DIM_PRODUCTS[hts_4],,,)</f>
        <v>8511</v>
      </c>
      <c r="I3875" t="str" cm="1">
        <f t="array" ref="I3875">_xlfn.XLOOKUP(FACT_IMPORTS[[#This Row],[country_name]],DIM_COUNTRY[[#All],[Column2]],DIM_COUNTRY[[#All],[Column3]],,,)</f>
        <v>China</v>
      </c>
    </row>
    <row r="3876" spans="1:9" x14ac:dyDescent="0.4">
      <c r="A3876" t="s">
        <v>66</v>
      </c>
      <c r="B3876" s="1">
        <v>45597</v>
      </c>
      <c r="C3876">
        <v>851220</v>
      </c>
      <c r="D3876" t="s">
        <v>176</v>
      </c>
      <c r="E3876">
        <v>1991728</v>
      </c>
      <c r="F3876">
        <v>297416</v>
      </c>
      <c r="G3876">
        <v>44642</v>
      </c>
      <c r="H3876">
        <f>_xlfn.XLOOKUP(FACT_IMPORTS[[#This Row],[hts_6]],DIM_PRODUCTS[hts_6],DIM_PRODUCTS[hts_4],,,)</f>
        <v>8512</v>
      </c>
      <c r="I3876" t="str" cm="1">
        <f t="array" ref="I3876">_xlfn.XLOOKUP(FACT_IMPORTS[[#This Row],[country_name]],DIM_COUNTRY[[#All],[Column2]],DIM_COUNTRY[[#All],[Column3]],,,)</f>
        <v>China</v>
      </c>
    </row>
    <row r="3877" spans="1:9" x14ac:dyDescent="0.4">
      <c r="A3877" t="s">
        <v>66</v>
      </c>
      <c r="B3877" s="1">
        <v>45597</v>
      </c>
      <c r="C3877">
        <v>851230</v>
      </c>
      <c r="D3877" t="s">
        <v>176</v>
      </c>
      <c r="E3877">
        <v>11864</v>
      </c>
      <c r="F3877">
        <v>907</v>
      </c>
      <c r="G3877">
        <v>236</v>
      </c>
      <c r="H3877">
        <f>_xlfn.XLOOKUP(FACT_IMPORTS[[#This Row],[hts_6]],DIM_PRODUCTS[hts_6],DIM_PRODUCTS[hts_4],,,)</f>
        <v>8512</v>
      </c>
      <c r="I3877" t="str" cm="1">
        <f t="array" ref="I3877">_xlfn.XLOOKUP(FACT_IMPORTS[[#This Row],[country_name]],DIM_COUNTRY[[#All],[Column2]],DIM_COUNTRY[[#All],[Column3]],,,)</f>
        <v>China</v>
      </c>
    </row>
    <row r="3878" spans="1:9" x14ac:dyDescent="0.4">
      <c r="A3878" t="s">
        <v>66</v>
      </c>
      <c r="B3878" s="1">
        <v>45597</v>
      </c>
      <c r="C3878">
        <v>851240</v>
      </c>
      <c r="D3878" t="s">
        <v>176</v>
      </c>
      <c r="E3878">
        <v>3675</v>
      </c>
      <c r="F3878">
        <v>79</v>
      </c>
      <c r="G3878">
        <v>5</v>
      </c>
      <c r="H3878">
        <f>_xlfn.XLOOKUP(FACT_IMPORTS[[#This Row],[hts_6]],DIM_PRODUCTS[hts_6],DIM_PRODUCTS[hts_4],,,)</f>
        <v>8512</v>
      </c>
      <c r="I3878" t="str" cm="1">
        <f t="array" ref="I3878">_xlfn.XLOOKUP(FACT_IMPORTS[[#This Row],[country_name]],DIM_COUNTRY[[#All],[Column2]],DIM_COUNTRY[[#All],[Column3]],,,)</f>
        <v>China</v>
      </c>
    </row>
    <row r="3879" spans="1:9" x14ac:dyDescent="0.4">
      <c r="A3879" t="s">
        <v>66</v>
      </c>
      <c r="B3879" s="1">
        <v>45597</v>
      </c>
      <c r="C3879">
        <v>851290</v>
      </c>
      <c r="D3879" t="s">
        <v>176</v>
      </c>
      <c r="E3879">
        <v>167494</v>
      </c>
      <c r="F3879">
        <v>17464</v>
      </c>
      <c r="G3879">
        <v>9010</v>
      </c>
      <c r="H3879">
        <f>_xlfn.XLOOKUP(FACT_IMPORTS[[#This Row],[hts_6]],DIM_PRODUCTS[hts_6],DIM_PRODUCTS[hts_4],,,)</f>
        <v>8512</v>
      </c>
      <c r="I3879" t="str" cm="1">
        <f t="array" ref="I3879">_xlfn.XLOOKUP(FACT_IMPORTS[[#This Row],[country_name]],DIM_COUNTRY[[#All],[Column2]],DIM_COUNTRY[[#All],[Column3]],,,)</f>
        <v>China</v>
      </c>
    </row>
    <row r="3880" spans="1:9" x14ac:dyDescent="0.4">
      <c r="A3880" t="s">
        <v>66</v>
      </c>
      <c r="B3880" s="1">
        <v>45597</v>
      </c>
      <c r="C3880">
        <v>854231</v>
      </c>
      <c r="D3880" t="s">
        <v>176</v>
      </c>
      <c r="E3880">
        <v>141457</v>
      </c>
      <c r="F3880">
        <v>46035</v>
      </c>
      <c r="G3880">
        <v>7322</v>
      </c>
      <c r="H3880">
        <f>_xlfn.XLOOKUP(FACT_IMPORTS[[#This Row],[hts_6]],DIM_PRODUCTS[hts_6],DIM_PRODUCTS[hts_4],,,)</f>
        <v>8542</v>
      </c>
      <c r="I3880" t="str" cm="1">
        <f t="array" ref="I3880">_xlfn.XLOOKUP(FACT_IMPORTS[[#This Row],[country_name]],DIM_COUNTRY[[#All],[Column2]],DIM_COUNTRY[[#All],[Column3]],,,)</f>
        <v>China</v>
      </c>
    </row>
    <row r="3881" spans="1:9" x14ac:dyDescent="0.4">
      <c r="A3881" t="s">
        <v>66</v>
      </c>
      <c r="B3881" s="1">
        <v>45597</v>
      </c>
      <c r="C3881">
        <v>854232</v>
      </c>
      <c r="D3881" t="s">
        <v>176</v>
      </c>
      <c r="E3881">
        <v>4641</v>
      </c>
      <c r="F3881">
        <v>86</v>
      </c>
      <c r="G3881">
        <v>23</v>
      </c>
      <c r="H3881">
        <f>_xlfn.XLOOKUP(FACT_IMPORTS[[#This Row],[hts_6]],DIM_PRODUCTS[hts_6],DIM_PRODUCTS[hts_4],,,)</f>
        <v>8542</v>
      </c>
      <c r="I3881" t="str" cm="1">
        <f t="array" ref="I3881">_xlfn.XLOOKUP(FACT_IMPORTS[[#This Row],[country_name]],DIM_COUNTRY[[#All],[Column2]],DIM_COUNTRY[[#All],[Column3]],,,)</f>
        <v>China</v>
      </c>
    </row>
    <row r="3882" spans="1:9" x14ac:dyDescent="0.4">
      <c r="A3882" t="s">
        <v>66</v>
      </c>
      <c r="B3882" s="1">
        <v>45597</v>
      </c>
      <c r="C3882">
        <v>854233</v>
      </c>
      <c r="D3882" t="s">
        <v>176</v>
      </c>
      <c r="E3882">
        <v>0</v>
      </c>
      <c r="F3882">
        <v>0</v>
      </c>
      <c r="G3882">
        <v>0</v>
      </c>
      <c r="H3882">
        <f>_xlfn.XLOOKUP(FACT_IMPORTS[[#This Row],[hts_6]],DIM_PRODUCTS[hts_6],DIM_PRODUCTS[hts_4],,,)</f>
        <v>8542</v>
      </c>
      <c r="I3882" t="str" cm="1">
        <f t="array" ref="I3882">_xlfn.XLOOKUP(FACT_IMPORTS[[#This Row],[country_name]],DIM_COUNTRY[[#All],[Column2]],DIM_COUNTRY[[#All],[Column3]],,,)</f>
        <v>China</v>
      </c>
    </row>
    <row r="3883" spans="1:9" x14ac:dyDescent="0.4">
      <c r="A3883" t="s">
        <v>66</v>
      </c>
      <c r="B3883" s="1">
        <v>45597</v>
      </c>
      <c r="C3883">
        <v>854239</v>
      </c>
      <c r="D3883" t="s">
        <v>176</v>
      </c>
      <c r="E3883">
        <v>238456</v>
      </c>
      <c r="F3883">
        <v>135500</v>
      </c>
      <c r="G3883">
        <v>12479</v>
      </c>
      <c r="H3883">
        <f>_xlfn.XLOOKUP(FACT_IMPORTS[[#This Row],[hts_6]],DIM_PRODUCTS[hts_6],DIM_PRODUCTS[hts_4],,,)</f>
        <v>8542</v>
      </c>
      <c r="I3883" t="str" cm="1">
        <f t="array" ref="I3883">_xlfn.XLOOKUP(FACT_IMPORTS[[#This Row],[country_name]],DIM_COUNTRY[[#All],[Column2]],DIM_COUNTRY[[#All],[Column3]],,,)</f>
        <v>China</v>
      </c>
    </row>
    <row r="3884" spans="1:9" x14ac:dyDescent="0.4">
      <c r="A3884" t="s">
        <v>66</v>
      </c>
      <c r="B3884" s="1">
        <v>45597</v>
      </c>
      <c r="C3884">
        <v>854290</v>
      </c>
      <c r="D3884" t="s">
        <v>176</v>
      </c>
      <c r="E3884">
        <v>0</v>
      </c>
      <c r="F3884">
        <v>0</v>
      </c>
      <c r="G3884">
        <v>0</v>
      </c>
      <c r="H3884">
        <f>_xlfn.XLOOKUP(FACT_IMPORTS[[#This Row],[hts_6]],DIM_PRODUCTS[hts_6],DIM_PRODUCTS[hts_4],,,)</f>
        <v>8542</v>
      </c>
      <c r="I3884" t="str" cm="1">
        <f t="array" ref="I3884">_xlfn.XLOOKUP(FACT_IMPORTS[[#This Row],[country_name]],DIM_COUNTRY[[#All],[Column2]],DIM_COUNTRY[[#All],[Column3]],,,)</f>
        <v>China</v>
      </c>
    </row>
    <row r="3885" spans="1:9" x14ac:dyDescent="0.4">
      <c r="A3885" t="s">
        <v>66</v>
      </c>
      <c r="B3885" s="1">
        <v>45597</v>
      </c>
      <c r="C3885">
        <v>854430</v>
      </c>
      <c r="D3885" t="s">
        <v>176</v>
      </c>
      <c r="E3885">
        <v>725455</v>
      </c>
      <c r="F3885">
        <v>79027</v>
      </c>
      <c r="G3885">
        <v>16004</v>
      </c>
      <c r="H3885">
        <f>_xlfn.XLOOKUP(FACT_IMPORTS[[#This Row],[hts_6]],DIM_PRODUCTS[hts_6],DIM_PRODUCTS[hts_4],,,)</f>
        <v>8544</v>
      </c>
      <c r="I3885" t="str" cm="1">
        <f t="array" ref="I3885">_xlfn.XLOOKUP(FACT_IMPORTS[[#This Row],[country_name]],DIM_COUNTRY[[#All],[Column2]],DIM_COUNTRY[[#All],[Column3]],,,)</f>
        <v>China</v>
      </c>
    </row>
    <row r="3886" spans="1:9" x14ac:dyDescent="0.4">
      <c r="A3886" t="s">
        <v>66</v>
      </c>
      <c r="B3886" s="1">
        <v>45597</v>
      </c>
      <c r="C3886">
        <v>870710</v>
      </c>
      <c r="D3886" t="s">
        <v>176</v>
      </c>
      <c r="E3886">
        <v>0</v>
      </c>
      <c r="F3886">
        <v>0</v>
      </c>
      <c r="G3886">
        <v>0</v>
      </c>
      <c r="H3886">
        <f>_xlfn.XLOOKUP(FACT_IMPORTS[[#This Row],[hts_6]],DIM_PRODUCTS[hts_6],DIM_PRODUCTS[hts_4],,,)</f>
        <v>8707</v>
      </c>
      <c r="I3886" t="str" cm="1">
        <f t="array" ref="I3886">_xlfn.XLOOKUP(FACT_IMPORTS[[#This Row],[country_name]],DIM_COUNTRY[[#All],[Column2]],DIM_COUNTRY[[#All],[Column3]],,,)</f>
        <v>China</v>
      </c>
    </row>
    <row r="3887" spans="1:9" x14ac:dyDescent="0.4">
      <c r="A3887" t="s">
        <v>66</v>
      </c>
      <c r="B3887" s="1">
        <v>45597</v>
      </c>
      <c r="C3887">
        <v>870810</v>
      </c>
      <c r="D3887" t="s">
        <v>176</v>
      </c>
      <c r="E3887">
        <v>442000</v>
      </c>
      <c r="F3887">
        <v>15550</v>
      </c>
      <c r="G3887">
        <v>48172</v>
      </c>
      <c r="H3887">
        <f>_xlfn.XLOOKUP(FACT_IMPORTS[[#This Row],[hts_6]],DIM_PRODUCTS[hts_6],DIM_PRODUCTS[hts_4],,,)</f>
        <v>8708</v>
      </c>
      <c r="I3887" t="str" cm="1">
        <f t="array" ref="I3887">_xlfn.XLOOKUP(FACT_IMPORTS[[#This Row],[country_name]],DIM_COUNTRY[[#All],[Column2]],DIM_COUNTRY[[#All],[Column3]],,,)</f>
        <v>China</v>
      </c>
    </row>
    <row r="3888" spans="1:9" x14ac:dyDescent="0.4">
      <c r="A3888" t="s">
        <v>66</v>
      </c>
      <c r="B3888" s="1">
        <v>45597</v>
      </c>
      <c r="C3888">
        <v>870821</v>
      </c>
      <c r="D3888" t="s">
        <v>176</v>
      </c>
      <c r="E3888">
        <v>2356</v>
      </c>
      <c r="F3888">
        <v>111</v>
      </c>
      <c r="G3888">
        <v>3</v>
      </c>
      <c r="H3888">
        <f>_xlfn.XLOOKUP(FACT_IMPORTS[[#This Row],[hts_6]],DIM_PRODUCTS[hts_6],DIM_PRODUCTS[hts_4],,,)</f>
        <v>8708</v>
      </c>
      <c r="I3888" t="str" cm="1">
        <f t="array" ref="I3888">_xlfn.XLOOKUP(FACT_IMPORTS[[#This Row],[country_name]],DIM_COUNTRY[[#All],[Column2]],DIM_COUNTRY[[#All],[Column3]],,,)</f>
        <v>China</v>
      </c>
    </row>
    <row r="3889" spans="1:9" x14ac:dyDescent="0.4">
      <c r="A3889" t="s">
        <v>66</v>
      </c>
      <c r="B3889" s="1">
        <v>45597</v>
      </c>
      <c r="C3889">
        <v>870822</v>
      </c>
      <c r="D3889" t="s">
        <v>176</v>
      </c>
      <c r="E3889">
        <v>758140</v>
      </c>
      <c r="F3889">
        <v>62829</v>
      </c>
      <c r="G3889">
        <v>54387</v>
      </c>
      <c r="H3889">
        <f>_xlfn.XLOOKUP(FACT_IMPORTS[[#This Row],[hts_6]],DIM_PRODUCTS[hts_6],DIM_PRODUCTS[hts_4],,,)</f>
        <v>8708</v>
      </c>
      <c r="I3889" t="str" cm="1">
        <f t="array" ref="I3889">_xlfn.XLOOKUP(FACT_IMPORTS[[#This Row],[country_name]],DIM_COUNTRY[[#All],[Column2]],DIM_COUNTRY[[#All],[Column3]],,,)</f>
        <v>China</v>
      </c>
    </row>
    <row r="3890" spans="1:9" x14ac:dyDescent="0.4">
      <c r="A3890" t="s">
        <v>66</v>
      </c>
      <c r="B3890" s="1">
        <v>45597</v>
      </c>
      <c r="C3890">
        <v>870829</v>
      </c>
      <c r="D3890" t="s">
        <v>176</v>
      </c>
      <c r="E3890">
        <v>11659482</v>
      </c>
      <c r="F3890">
        <v>1629680</v>
      </c>
      <c r="G3890">
        <v>483905</v>
      </c>
      <c r="H3890">
        <f>_xlfn.XLOOKUP(FACT_IMPORTS[[#This Row],[hts_6]],DIM_PRODUCTS[hts_6],DIM_PRODUCTS[hts_4],,,)</f>
        <v>8708</v>
      </c>
      <c r="I3890" t="str" cm="1">
        <f t="array" ref="I3890">_xlfn.XLOOKUP(FACT_IMPORTS[[#This Row],[country_name]],DIM_COUNTRY[[#All],[Column2]],DIM_COUNTRY[[#All],[Column3]],,,)</f>
        <v>China</v>
      </c>
    </row>
    <row r="3891" spans="1:9" x14ac:dyDescent="0.4">
      <c r="A3891" t="s">
        <v>66</v>
      </c>
      <c r="B3891" s="1">
        <v>45597</v>
      </c>
      <c r="C3891">
        <v>870830</v>
      </c>
      <c r="D3891" t="s">
        <v>176</v>
      </c>
      <c r="E3891">
        <v>4507342</v>
      </c>
      <c r="F3891">
        <v>438290</v>
      </c>
      <c r="G3891">
        <v>202517</v>
      </c>
      <c r="H3891">
        <f>_xlfn.XLOOKUP(FACT_IMPORTS[[#This Row],[hts_6]],DIM_PRODUCTS[hts_6],DIM_PRODUCTS[hts_4],,,)</f>
        <v>8708</v>
      </c>
      <c r="I3891" t="str" cm="1">
        <f t="array" ref="I3891">_xlfn.XLOOKUP(FACT_IMPORTS[[#This Row],[country_name]],DIM_COUNTRY[[#All],[Column2]],DIM_COUNTRY[[#All],[Column3]],,,)</f>
        <v>China</v>
      </c>
    </row>
    <row r="3892" spans="1:9" x14ac:dyDescent="0.4">
      <c r="A3892" t="s">
        <v>66</v>
      </c>
      <c r="B3892" s="1">
        <v>45597</v>
      </c>
      <c r="C3892">
        <v>870840</v>
      </c>
      <c r="D3892" t="s">
        <v>176</v>
      </c>
      <c r="E3892">
        <v>2087842</v>
      </c>
      <c r="F3892">
        <v>441327</v>
      </c>
      <c r="G3892">
        <v>62864</v>
      </c>
      <c r="H3892">
        <f>_xlfn.XLOOKUP(FACT_IMPORTS[[#This Row],[hts_6]],DIM_PRODUCTS[hts_6],DIM_PRODUCTS[hts_4],,,)</f>
        <v>8708</v>
      </c>
      <c r="I3892" t="str" cm="1">
        <f t="array" ref="I3892">_xlfn.XLOOKUP(FACT_IMPORTS[[#This Row],[country_name]],DIM_COUNTRY[[#All],[Column2]],DIM_COUNTRY[[#All],[Column3]],,,)</f>
        <v>China</v>
      </c>
    </row>
    <row r="3893" spans="1:9" x14ac:dyDescent="0.4">
      <c r="A3893" t="s">
        <v>66</v>
      </c>
      <c r="B3893" s="1">
        <v>45597</v>
      </c>
      <c r="C3893">
        <v>870850</v>
      </c>
      <c r="D3893" t="s">
        <v>176</v>
      </c>
      <c r="E3893">
        <v>2508596</v>
      </c>
      <c r="F3893">
        <v>584548</v>
      </c>
      <c r="G3893">
        <v>49674</v>
      </c>
      <c r="H3893">
        <f>_xlfn.XLOOKUP(FACT_IMPORTS[[#This Row],[hts_6]],DIM_PRODUCTS[hts_6],DIM_PRODUCTS[hts_4],,,)</f>
        <v>8708</v>
      </c>
      <c r="I3893" t="str" cm="1">
        <f t="array" ref="I3893">_xlfn.XLOOKUP(FACT_IMPORTS[[#This Row],[country_name]],DIM_COUNTRY[[#All],[Column2]],DIM_COUNTRY[[#All],[Column3]],,,)</f>
        <v>China</v>
      </c>
    </row>
    <row r="3894" spans="1:9" x14ac:dyDescent="0.4">
      <c r="A3894" t="s">
        <v>66</v>
      </c>
      <c r="B3894" s="1">
        <v>45597</v>
      </c>
      <c r="C3894">
        <v>870870</v>
      </c>
      <c r="D3894" t="s">
        <v>176</v>
      </c>
      <c r="E3894">
        <v>42885332</v>
      </c>
      <c r="F3894">
        <v>1019526</v>
      </c>
      <c r="G3894">
        <v>4887140</v>
      </c>
      <c r="H3894">
        <f>_xlfn.XLOOKUP(FACT_IMPORTS[[#This Row],[hts_6]],DIM_PRODUCTS[hts_6],DIM_PRODUCTS[hts_4],,,)</f>
        <v>8708</v>
      </c>
      <c r="I3894" t="str" cm="1">
        <f t="array" ref="I3894">_xlfn.XLOOKUP(FACT_IMPORTS[[#This Row],[country_name]],DIM_COUNTRY[[#All],[Column2]],DIM_COUNTRY[[#All],[Column3]],,,)</f>
        <v>China</v>
      </c>
    </row>
    <row r="3895" spans="1:9" x14ac:dyDescent="0.4">
      <c r="A3895" t="s">
        <v>66</v>
      </c>
      <c r="B3895" s="1">
        <v>45597</v>
      </c>
      <c r="C3895">
        <v>870880</v>
      </c>
      <c r="D3895" t="s">
        <v>176</v>
      </c>
      <c r="E3895">
        <v>10293657</v>
      </c>
      <c r="F3895">
        <v>1253784</v>
      </c>
      <c r="G3895">
        <v>159237</v>
      </c>
      <c r="H3895">
        <f>_xlfn.XLOOKUP(FACT_IMPORTS[[#This Row],[hts_6]],DIM_PRODUCTS[hts_6],DIM_PRODUCTS[hts_4],,,)</f>
        <v>8708</v>
      </c>
      <c r="I3895" t="str" cm="1">
        <f t="array" ref="I3895">_xlfn.XLOOKUP(FACT_IMPORTS[[#This Row],[country_name]],DIM_COUNTRY[[#All],[Column2]],DIM_COUNTRY[[#All],[Column3]],,,)</f>
        <v>China</v>
      </c>
    </row>
    <row r="3896" spans="1:9" x14ac:dyDescent="0.4">
      <c r="A3896" t="s">
        <v>66</v>
      </c>
      <c r="B3896" s="1">
        <v>45597</v>
      </c>
      <c r="C3896">
        <v>870891</v>
      </c>
      <c r="D3896" t="s">
        <v>176</v>
      </c>
      <c r="E3896">
        <v>226683</v>
      </c>
      <c r="F3896">
        <v>2608</v>
      </c>
      <c r="G3896">
        <v>16094</v>
      </c>
      <c r="H3896">
        <f>_xlfn.XLOOKUP(FACT_IMPORTS[[#This Row],[hts_6]],DIM_PRODUCTS[hts_6],DIM_PRODUCTS[hts_4],,,)</f>
        <v>8708</v>
      </c>
      <c r="I3896" t="str" cm="1">
        <f t="array" ref="I3896">_xlfn.XLOOKUP(FACT_IMPORTS[[#This Row],[country_name]],DIM_COUNTRY[[#All],[Column2]],DIM_COUNTRY[[#All],[Column3]],,,)</f>
        <v>China</v>
      </c>
    </row>
    <row r="3897" spans="1:9" x14ac:dyDescent="0.4">
      <c r="A3897" t="s">
        <v>66</v>
      </c>
      <c r="B3897" s="1">
        <v>45597</v>
      </c>
      <c r="C3897">
        <v>870892</v>
      </c>
      <c r="D3897" t="s">
        <v>176</v>
      </c>
      <c r="E3897">
        <v>3699610</v>
      </c>
      <c r="F3897">
        <v>646587</v>
      </c>
      <c r="G3897">
        <v>247030</v>
      </c>
      <c r="H3897">
        <f>_xlfn.XLOOKUP(FACT_IMPORTS[[#This Row],[hts_6]],DIM_PRODUCTS[hts_6],DIM_PRODUCTS[hts_4],,,)</f>
        <v>8708</v>
      </c>
      <c r="I3897" t="str" cm="1">
        <f t="array" ref="I3897">_xlfn.XLOOKUP(FACT_IMPORTS[[#This Row],[country_name]],DIM_COUNTRY[[#All],[Column2]],DIM_COUNTRY[[#All],[Column3]],,,)</f>
        <v>China</v>
      </c>
    </row>
    <row r="3898" spans="1:9" x14ac:dyDescent="0.4">
      <c r="A3898" t="s">
        <v>66</v>
      </c>
      <c r="B3898" s="1">
        <v>45597</v>
      </c>
      <c r="C3898">
        <v>870893</v>
      </c>
      <c r="D3898" t="s">
        <v>176</v>
      </c>
      <c r="E3898">
        <v>148219</v>
      </c>
      <c r="F3898">
        <v>67566</v>
      </c>
      <c r="G3898">
        <v>9968</v>
      </c>
      <c r="H3898">
        <f>_xlfn.XLOOKUP(FACT_IMPORTS[[#This Row],[hts_6]],DIM_PRODUCTS[hts_6],DIM_PRODUCTS[hts_4],,,)</f>
        <v>8708</v>
      </c>
      <c r="I3898" t="str" cm="1">
        <f t="array" ref="I3898">_xlfn.XLOOKUP(FACT_IMPORTS[[#This Row],[country_name]],DIM_COUNTRY[[#All],[Column2]],DIM_COUNTRY[[#All],[Column3]],,,)</f>
        <v>China</v>
      </c>
    </row>
    <row r="3899" spans="1:9" x14ac:dyDescent="0.4">
      <c r="A3899" t="s">
        <v>66</v>
      </c>
      <c r="B3899" s="1">
        <v>45597</v>
      </c>
      <c r="C3899">
        <v>870894</v>
      </c>
      <c r="D3899" t="s">
        <v>176</v>
      </c>
      <c r="E3899">
        <v>3150190</v>
      </c>
      <c r="F3899">
        <v>236764</v>
      </c>
      <c r="G3899">
        <v>397457</v>
      </c>
      <c r="H3899">
        <f>_xlfn.XLOOKUP(FACT_IMPORTS[[#This Row],[hts_6]],DIM_PRODUCTS[hts_6],DIM_PRODUCTS[hts_4],,,)</f>
        <v>8708</v>
      </c>
      <c r="I3899" t="str" cm="1">
        <f t="array" ref="I3899">_xlfn.XLOOKUP(FACT_IMPORTS[[#This Row],[country_name]],DIM_COUNTRY[[#All],[Column2]],DIM_COUNTRY[[#All],[Column3]],,,)</f>
        <v>China</v>
      </c>
    </row>
    <row r="3900" spans="1:9" x14ac:dyDescent="0.4">
      <c r="A3900" t="s">
        <v>66</v>
      </c>
      <c r="B3900" s="1">
        <v>45597</v>
      </c>
      <c r="C3900">
        <v>870895</v>
      </c>
      <c r="D3900" t="s">
        <v>176</v>
      </c>
      <c r="E3900">
        <v>11747</v>
      </c>
      <c r="F3900">
        <v>69</v>
      </c>
      <c r="G3900">
        <v>12</v>
      </c>
      <c r="H3900">
        <f>_xlfn.XLOOKUP(FACT_IMPORTS[[#This Row],[hts_6]],DIM_PRODUCTS[hts_6],DIM_PRODUCTS[hts_4],,,)</f>
        <v>8708</v>
      </c>
      <c r="I3900" t="str" cm="1">
        <f t="array" ref="I3900">_xlfn.XLOOKUP(FACT_IMPORTS[[#This Row],[country_name]],DIM_COUNTRY[[#All],[Column2]],DIM_COUNTRY[[#All],[Column3]],,,)</f>
        <v>China</v>
      </c>
    </row>
    <row r="3901" spans="1:9" x14ac:dyDescent="0.4">
      <c r="A3901" t="s">
        <v>66</v>
      </c>
      <c r="B3901" s="1">
        <v>45597</v>
      </c>
      <c r="C3901">
        <v>870899</v>
      </c>
      <c r="D3901" t="s">
        <v>176</v>
      </c>
      <c r="E3901">
        <v>9411351</v>
      </c>
      <c r="F3901">
        <v>1941675</v>
      </c>
      <c r="G3901">
        <v>635105</v>
      </c>
      <c r="H3901">
        <f>_xlfn.XLOOKUP(FACT_IMPORTS[[#This Row],[hts_6]],DIM_PRODUCTS[hts_6],DIM_PRODUCTS[hts_4],,,)</f>
        <v>8708</v>
      </c>
      <c r="I3901" t="str" cm="1">
        <f t="array" ref="I3901">_xlfn.XLOOKUP(FACT_IMPORTS[[#This Row],[country_name]],DIM_COUNTRY[[#All],[Column2]],DIM_COUNTRY[[#All],[Column3]],,,)</f>
        <v>China</v>
      </c>
    </row>
    <row r="3902" spans="1:9" x14ac:dyDescent="0.4">
      <c r="A3902" t="s">
        <v>66</v>
      </c>
      <c r="B3902" s="1">
        <v>45597</v>
      </c>
      <c r="C3902">
        <v>940120</v>
      </c>
      <c r="D3902" t="s">
        <v>176</v>
      </c>
      <c r="E3902">
        <v>7837</v>
      </c>
      <c r="F3902">
        <v>13</v>
      </c>
      <c r="G3902">
        <v>384</v>
      </c>
      <c r="H3902">
        <f>_xlfn.XLOOKUP(FACT_IMPORTS[[#This Row],[hts_6]],DIM_PRODUCTS[hts_6],DIM_PRODUCTS[hts_4],,,)</f>
        <v>9401</v>
      </c>
      <c r="I3902" t="str" cm="1">
        <f t="array" ref="I3902">_xlfn.XLOOKUP(FACT_IMPORTS[[#This Row],[country_name]],DIM_COUNTRY[[#All],[Column2]],DIM_COUNTRY[[#All],[Column3]],,,)</f>
        <v>China</v>
      </c>
    </row>
    <row r="3903" spans="1:9" x14ac:dyDescent="0.4">
      <c r="A3903" t="s">
        <v>66</v>
      </c>
      <c r="B3903" s="1">
        <v>45627</v>
      </c>
      <c r="C3903">
        <v>392630</v>
      </c>
      <c r="D3903" t="s">
        <v>176</v>
      </c>
      <c r="E3903">
        <v>3921946</v>
      </c>
      <c r="F3903">
        <v>176754</v>
      </c>
      <c r="G3903">
        <v>173741</v>
      </c>
      <c r="H3903">
        <f>_xlfn.XLOOKUP(FACT_IMPORTS[[#This Row],[hts_6]],DIM_PRODUCTS[hts_6],DIM_PRODUCTS[hts_4],,,)</f>
        <v>3926</v>
      </c>
      <c r="I3903" t="str" cm="1">
        <f t="array" ref="I3903">_xlfn.XLOOKUP(FACT_IMPORTS[[#This Row],[country_name]],DIM_COUNTRY[[#All],[Column2]],DIM_COUNTRY[[#All],[Column3]],,,)</f>
        <v>China</v>
      </c>
    </row>
    <row r="3904" spans="1:9" x14ac:dyDescent="0.4">
      <c r="A3904" t="s">
        <v>66</v>
      </c>
      <c r="B3904" s="1">
        <v>45627</v>
      </c>
      <c r="C3904">
        <v>401110</v>
      </c>
      <c r="D3904" t="s">
        <v>176</v>
      </c>
      <c r="E3904">
        <v>37591</v>
      </c>
      <c r="F3904">
        <v>793</v>
      </c>
      <c r="G3904">
        <v>3525</v>
      </c>
      <c r="H3904">
        <f>_xlfn.XLOOKUP(FACT_IMPORTS[[#This Row],[hts_6]],DIM_PRODUCTS[hts_6],DIM_PRODUCTS[hts_4],,,)</f>
        <v>4011</v>
      </c>
      <c r="I3904" t="str" cm="1">
        <f t="array" ref="I3904">_xlfn.XLOOKUP(FACT_IMPORTS[[#This Row],[country_name]],DIM_COUNTRY[[#All],[Column2]],DIM_COUNTRY[[#All],[Column3]],,,)</f>
        <v>China</v>
      </c>
    </row>
    <row r="3905" spans="1:9" x14ac:dyDescent="0.4">
      <c r="A3905" t="s">
        <v>66</v>
      </c>
      <c r="B3905" s="1">
        <v>45627</v>
      </c>
      <c r="C3905">
        <v>401120</v>
      </c>
      <c r="D3905" t="s">
        <v>176</v>
      </c>
      <c r="E3905">
        <v>268421</v>
      </c>
      <c r="F3905">
        <v>1478</v>
      </c>
      <c r="G3905">
        <v>24694</v>
      </c>
      <c r="H3905">
        <f>_xlfn.XLOOKUP(FACT_IMPORTS[[#This Row],[hts_6]],DIM_PRODUCTS[hts_6],DIM_PRODUCTS[hts_4],,,)</f>
        <v>4011</v>
      </c>
      <c r="I3905" t="str" cm="1">
        <f t="array" ref="I3905">_xlfn.XLOOKUP(FACT_IMPORTS[[#This Row],[country_name]],DIM_COUNTRY[[#All],[Column2]],DIM_COUNTRY[[#All],[Column3]],,,)</f>
        <v>China</v>
      </c>
    </row>
    <row r="3906" spans="1:9" x14ac:dyDescent="0.4">
      <c r="A3906" t="s">
        <v>66</v>
      </c>
      <c r="B3906" s="1">
        <v>45627</v>
      </c>
      <c r="C3906">
        <v>401140</v>
      </c>
      <c r="D3906" t="s">
        <v>176</v>
      </c>
      <c r="E3906">
        <v>16368</v>
      </c>
      <c r="F3906">
        <v>296</v>
      </c>
      <c r="G3906">
        <v>56</v>
      </c>
      <c r="H3906">
        <f>_xlfn.XLOOKUP(FACT_IMPORTS[[#This Row],[hts_6]],DIM_PRODUCTS[hts_6],DIM_PRODUCTS[hts_4],,,)</f>
        <v>4011</v>
      </c>
      <c r="I3906" t="str" cm="1">
        <f t="array" ref="I3906">_xlfn.XLOOKUP(FACT_IMPORTS[[#This Row],[country_name]],DIM_COUNTRY[[#All],[Column2]],DIM_COUNTRY[[#All],[Column3]],,,)</f>
        <v>China</v>
      </c>
    </row>
    <row r="3907" spans="1:9" x14ac:dyDescent="0.4">
      <c r="A3907" t="s">
        <v>66</v>
      </c>
      <c r="B3907" s="1">
        <v>45627</v>
      </c>
      <c r="C3907">
        <v>401190</v>
      </c>
      <c r="D3907" t="s">
        <v>176</v>
      </c>
      <c r="E3907">
        <v>117566</v>
      </c>
      <c r="F3907">
        <v>2348</v>
      </c>
      <c r="G3907">
        <v>2109</v>
      </c>
      <c r="H3907">
        <f>_xlfn.XLOOKUP(FACT_IMPORTS[[#This Row],[hts_6]],DIM_PRODUCTS[hts_6],DIM_PRODUCTS[hts_4],,,)</f>
        <v>4011</v>
      </c>
      <c r="I3907" t="str" cm="1">
        <f t="array" ref="I3907">_xlfn.XLOOKUP(FACT_IMPORTS[[#This Row],[country_name]],DIM_COUNTRY[[#All],[Column2]],DIM_COUNTRY[[#All],[Column3]],,,)</f>
        <v>China</v>
      </c>
    </row>
    <row r="3908" spans="1:9" x14ac:dyDescent="0.4">
      <c r="A3908" t="s">
        <v>66</v>
      </c>
      <c r="B3908" s="1">
        <v>45627</v>
      </c>
      <c r="C3908">
        <v>700711</v>
      </c>
      <c r="D3908" t="s">
        <v>176</v>
      </c>
      <c r="E3908">
        <v>968780</v>
      </c>
      <c r="F3908">
        <v>74089</v>
      </c>
      <c r="G3908">
        <v>76494</v>
      </c>
      <c r="H3908">
        <f>_xlfn.XLOOKUP(FACT_IMPORTS[[#This Row],[hts_6]],DIM_PRODUCTS[hts_6],DIM_PRODUCTS[hts_4],,,)</f>
        <v>7007</v>
      </c>
      <c r="I3908" t="str" cm="1">
        <f t="array" ref="I3908">_xlfn.XLOOKUP(FACT_IMPORTS[[#This Row],[country_name]],DIM_COUNTRY[[#All],[Column2]],DIM_COUNTRY[[#All],[Column3]],,,)</f>
        <v>China</v>
      </c>
    </row>
    <row r="3909" spans="1:9" x14ac:dyDescent="0.4">
      <c r="A3909" t="s">
        <v>66</v>
      </c>
      <c r="B3909" s="1">
        <v>45627</v>
      </c>
      <c r="C3909">
        <v>700721</v>
      </c>
      <c r="D3909" t="s">
        <v>176</v>
      </c>
      <c r="E3909">
        <v>321214</v>
      </c>
      <c r="F3909">
        <v>7018</v>
      </c>
      <c r="G3909">
        <v>20154</v>
      </c>
      <c r="H3909">
        <f>_xlfn.XLOOKUP(FACT_IMPORTS[[#This Row],[hts_6]],DIM_PRODUCTS[hts_6],DIM_PRODUCTS[hts_4],,,)</f>
        <v>7007</v>
      </c>
      <c r="I3909" t="str" cm="1">
        <f t="array" ref="I3909">_xlfn.XLOOKUP(FACT_IMPORTS[[#This Row],[country_name]],DIM_COUNTRY[[#All],[Column2]],DIM_COUNTRY[[#All],[Column3]],,,)</f>
        <v>China</v>
      </c>
    </row>
    <row r="3910" spans="1:9" x14ac:dyDescent="0.4">
      <c r="A3910" t="s">
        <v>66</v>
      </c>
      <c r="B3910" s="1">
        <v>45627</v>
      </c>
      <c r="C3910">
        <v>700910</v>
      </c>
      <c r="D3910" t="s">
        <v>176</v>
      </c>
      <c r="E3910">
        <v>229910</v>
      </c>
      <c r="F3910">
        <v>199991</v>
      </c>
      <c r="G3910">
        <v>13520</v>
      </c>
      <c r="H3910">
        <f>_xlfn.XLOOKUP(FACT_IMPORTS[[#This Row],[hts_6]],DIM_PRODUCTS[hts_6],DIM_PRODUCTS[hts_4],,,)</f>
        <v>7009</v>
      </c>
      <c r="I3910" t="str" cm="1">
        <f t="array" ref="I3910">_xlfn.XLOOKUP(FACT_IMPORTS[[#This Row],[country_name]],DIM_COUNTRY[[#All],[Column2]],DIM_COUNTRY[[#All],[Column3]],,,)</f>
        <v>China</v>
      </c>
    </row>
    <row r="3911" spans="1:9" x14ac:dyDescent="0.4">
      <c r="A3911" t="s">
        <v>66</v>
      </c>
      <c r="B3911" s="1">
        <v>45627</v>
      </c>
      <c r="C3911">
        <v>732010</v>
      </c>
      <c r="D3911" t="s">
        <v>176</v>
      </c>
      <c r="E3911">
        <v>0</v>
      </c>
      <c r="F3911">
        <v>0</v>
      </c>
      <c r="G3911">
        <v>0</v>
      </c>
      <c r="H3911">
        <f>_xlfn.XLOOKUP(FACT_IMPORTS[[#This Row],[hts_6]],DIM_PRODUCTS[hts_6],DIM_PRODUCTS[hts_4],,,)</f>
        <v>7320</v>
      </c>
      <c r="I3911" t="str" cm="1">
        <f t="array" ref="I3911">_xlfn.XLOOKUP(FACT_IMPORTS[[#This Row],[country_name]],DIM_COUNTRY[[#All],[Column2]],DIM_COUNTRY[[#All],[Column3]],,,)</f>
        <v>China</v>
      </c>
    </row>
    <row r="3912" spans="1:9" x14ac:dyDescent="0.4">
      <c r="A3912" t="s">
        <v>66</v>
      </c>
      <c r="B3912" s="1">
        <v>45627</v>
      </c>
      <c r="C3912">
        <v>830230</v>
      </c>
      <c r="D3912" t="s">
        <v>176</v>
      </c>
      <c r="E3912">
        <v>2601149</v>
      </c>
      <c r="F3912">
        <v>740047</v>
      </c>
      <c r="G3912">
        <v>143392</v>
      </c>
      <c r="H3912">
        <f>_xlfn.XLOOKUP(FACT_IMPORTS[[#This Row],[hts_6]],DIM_PRODUCTS[hts_6],DIM_PRODUCTS[hts_4],,,)</f>
        <v>8302</v>
      </c>
      <c r="I3912" t="str" cm="1">
        <f t="array" ref="I3912">_xlfn.XLOOKUP(FACT_IMPORTS[[#This Row],[country_name]],DIM_COUNTRY[[#All],[Column2]],DIM_COUNTRY[[#All],[Column3]],,,)</f>
        <v>China</v>
      </c>
    </row>
    <row r="3913" spans="1:9" x14ac:dyDescent="0.4">
      <c r="A3913" t="s">
        <v>66</v>
      </c>
      <c r="B3913" s="1">
        <v>45627</v>
      </c>
      <c r="C3913">
        <v>840733</v>
      </c>
      <c r="D3913" t="s">
        <v>176</v>
      </c>
      <c r="E3913">
        <v>0</v>
      </c>
      <c r="F3913">
        <v>0</v>
      </c>
      <c r="G3913">
        <v>0</v>
      </c>
      <c r="H3913">
        <f>_xlfn.XLOOKUP(FACT_IMPORTS[[#This Row],[hts_6]],DIM_PRODUCTS[hts_6],DIM_PRODUCTS[hts_4],,,)</f>
        <v>8407</v>
      </c>
      <c r="I3913" t="str" cm="1">
        <f t="array" ref="I3913">_xlfn.XLOOKUP(FACT_IMPORTS[[#This Row],[country_name]],DIM_COUNTRY[[#All],[Column2]],DIM_COUNTRY[[#All],[Column3]],,,)</f>
        <v>China</v>
      </c>
    </row>
    <row r="3914" spans="1:9" x14ac:dyDescent="0.4">
      <c r="A3914" t="s">
        <v>66</v>
      </c>
      <c r="B3914" s="1">
        <v>45627</v>
      </c>
      <c r="C3914">
        <v>840734</v>
      </c>
      <c r="D3914" t="s">
        <v>176</v>
      </c>
      <c r="E3914">
        <v>811120</v>
      </c>
      <c r="F3914">
        <v>501</v>
      </c>
      <c r="G3914">
        <v>2766</v>
      </c>
      <c r="H3914">
        <f>_xlfn.XLOOKUP(FACT_IMPORTS[[#This Row],[hts_6]],DIM_PRODUCTS[hts_6],DIM_PRODUCTS[hts_4],,,)</f>
        <v>8407</v>
      </c>
      <c r="I3914" t="str" cm="1">
        <f t="array" ref="I3914">_xlfn.XLOOKUP(FACT_IMPORTS[[#This Row],[country_name]],DIM_COUNTRY[[#All],[Column2]],DIM_COUNTRY[[#All],[Column3]],,,)</f>
        <v>China</v>
      </c>
    </row>
    <row r="3915" spans="1:9" x14ac:dyDescent="0.4">
      <c r="A3915" t="s">
        <v>66</v>
      </c>
      <c r="B3915" s="1">
        <v>45627</v>
      </c>
      <c r="C3915">
        <v>840790</v>
      </c>
      <c r="D3915" t="s">
        <v>176</v>
      </c>
      <c r="E3915">
        <v>27456</v>
      </c>
      <c r="F3915">
        <v>528</v>
      </c>
      <c r="G3915">
        <v>500</v>
      </c>
      <c r="H3915">
        <f>_xlfn.XLOOKUP(FACT_IMPORTS[[#This Row],[hts_6]],DIM_PRODUCTS[hts_6],DIM_PRODUCTS[hts_4],,,)</f>
        <v>8407</v>
      </c>
      <c r="I3915" t="str" cm="1">
        <f t="array" ref="I3915">_xlfn.XLOOKUP(FACT_IMPORTS[[#This Row],[country_name]],DIM_COUNTRY[[#All],[Column2]],DIM_COUNTRY[[#All],[Column3]],,,)</f>
        <v>China</v>
      </c>
    </row>
    <row r="3916" spans="1:9" x14ac:dyDescent="0.4">
      <c r="A3916" t="s">
        <v>66</v>
      </c>
      <c r="B3916" s="1">
        <v>45627</v>
      </c>
      <c r="C3916">
        <v>840820</v>
      </c>
      <c r="D3916" t="s">
        <v>176</v>
      </c>
      <c r="E3916">
        <v>0</v>
      </c>
      <c r="F3916">
        <v>0</v>
      </c>
      <c r="G3916">
        <v>0</v>
      </c>
      <c r="H3916">
        <f>_xlfn.XLOOKUP(FACT_IMPORTS[[#This Row],[hts_6]],DIM_PRODUCTS[hts_6],DIM_PRODUCTS[hts_4],,,)</f>
        <v>8408</v>
      </c>
      <c r="I3916" t="str" cm="1">
        <f t="array" ref="I3916">_xlfn.XLOOKUP(FACT_IMPORTS[[#This Row],[country_name]],DIM_COUNTRY[[#All],[Column2]],DIM_COUNTRY[[#All],[Column3]],,,)</f>
        <v>China</v>
      </c>
    </row>
    <row r="3917" spans="1:9" x14ac:dyDescent="0.4">
      <c r="A3917" t="s">
        <v>66</v>
      </c>
      <c r="B3917" s="1">
        <v>45627</v>
      </c>
      <c r="C3917">
        <v>840890</v>
      </c>
      <c r="D3917" t="s">
        <v>176</v>
      </c>
      <c r="E3917">
        <v>0</v>
      </c>
      <c r="F3917">
        <v>0</v>
      </c>
      <c r="G3917">
        <v>0</v>
      </c>
      <c r="H3917">
        <f>_xlfn.XLOOKUP(FACT_IMPORTS[[#This Row],[hts_6]],DIM_PRODUCTS[hts_6],DIM_PRODUCTS[hts_4],,,)</f>
        <v>8408</v>
      </c>
      <c r="I3917" t="str" cm="1">
        <f t="array" ref="I3917">_xlfn.XLOOKUP(FACT_IMPORTS[[#This Row],[country_name]],DIM_COUNTRY[[#All],[Column2]],DIM_COUNTRY[[#All],[Column3]],,,)</f>
        <v>China</v>
      </c>
    </row>
    <row r="3918" spans="1:9" x14ac:dyDescent="0.4">
      <c r="A3918" t="s">
        <v>66</v>
      </c>
      <c r="B3918" s="1">
        <v>45627</v>
      </c>
      <c r="C3918">
        <v>840991</v>
      </c>
      <c r="D3918" t="s">
        <v>176</v>
      </c>
      <c r="E3918">
        <v>7367290</v>
      </c>
      <c r="F3918">
        <v>1374169</v>
      </c>
      <c r="G3918">
        <v>549687</v>
      </c>
      <c r="H3918">
        <f>_xlfn.XLOOKUP(FACT_IMPORTS[[#This Row],[hts_6]],DIM_PRODUCTS[hts_6],DIM_PRODUCTS[hts_4],,,)</f>
        <v>8409</v>
      </c>
      <c r="I3918" t="str" cm="1">
        <f t="array" ref="I3918">_xlfn.XLOOKUP(FACT_IMPORTS[[#This Row],[country_name]],DIM_COUNTRY[[#All],[Column2]],DIM_COUNTRY[[#All],[Column3]],,,)</f>
        <v>China</v>
      </c>
    </row>
    <row r="3919" spans="1:9" x14ac:dyDescent="0.4">
      <c r="A3919" t="s">
        <v>66</v>
      </c>
      <c r="B3919" s="1">
        <v>45627</v>
      </c>
      <c r="C3919">
        <v>840999</v>
      </c>
      <c r="D3919" t="s">
        <v>176</v>
      </c>
      <c r="E3919">
        <v>5833750</v>
      </c>
      <c r="F3919">
        <v>1266342</v>
      </c>
      <c r="G3919">
        <v>273703</v>
      </c>
      <c r="H3919">
        <f>_xlfn.XLOOKUP(FACT_IMPORTS[[#This Row],[hts_6]],DIM_PRODUCTS[hts_6],DIM_PRODUCTS[hts_4],,,)</f>
        <v>8409</v>
      </c>
      <c r="I3919" t="str" cm="1">
        <f t="array" ref="I3919">_xlfn.XLOOKUP(FACT_IMPORTS[[#This Row],[country_name]],DIM_COUNTRY[[#All],[Column2]],DIM_COUNTRY[[#All],[Column3]],,,)</f>
        <v>China</v>
      </c>
    </row>
    <row r="3920" spans="1:9" x14ac:dyDescent="0.4">
      <c r="A3920" t="s">
        <v>66</v>
      </c>
      <c r="B3920" s="1">
        <v>45627</v>
      </c>
      <c r="C3920">
        <v>841330</v>
      </c>
      <c r="D3920" t="s">
        <v>176</v>
      </c>
      <c r="E3920">
        <v>1005286</v>
      </c>
      <c r="F3920">
        <v>31655</v>
      </c>
      <c r="G3920">
        <v>27371</v>
      </c>
      <c r="H3920">
        <f>_xlfn.XLOOKUP(FACT_IMPORTS[[#This Row],[hts_6]],DIM_PRODUCTS[hts_6],DIM_PRODUCTS[hts_4],,,)</f>
        <v>8413</v>
      </c>
      <c r="I3920" t="str" cm="1">
        <f t="array" ref="I3920">_xlfn.XLOOKUP(FACT_IMPORTS[[#This Row],[country_name]],DIM_COUNTRY[[#All],[Column2]],DIM_COUNTRY[[#All],[Column3]],,,)</f>
        <v>China</v>
      </c>
    </row>
    <row r="3921" spans="1:9" x14ac:dyDescent="0.4">
      <c r="A3921" t="s">
        <v>66</v>
      </c>
      <c r="B3921" s="1">
        <v>45627</v>
      </c>
      <c r="C3921">
        <v>841520</v>
      </c>
      <c r="D3921" t="s">
        <v>176</v>
      </c>
      <c r="E3921">
        <v>2725</v>
      </c>
      <c r="F3921">
        <v>1</v>
      </c>
      <c r="G3921">
        <v>200</v>
      </c>
      <c r="H3921">
        <f>_xlfn.XLOOKUP(FACT_IMPORTS[[#This Row],[hts_6]],DIM_PRODUCTS[hts_6],DIM_PRODUCTS[hts_4],,,)</f>
        <v>8415</v>
      </c>
      <c r="I3921" t="str" cm="1">
        <f t="array" ref="I3921">_xlfn.XLOOKUP(FACT_IMPORTS[[#This Row],[country_name]],DIM_COUNTRY[[#All],[Column2]],DIM_COUNTRY[[#All],[Column3]],,,)</f>
        <v>China</v>
      </c>
    </row>
    <row r="3922" spans="1:9" x14ac:dyDescent="0.4">
      <c r="A3922" t="s">
        <v>66</v>
      </c>
      <c r="B3922" s="1">
        <v>45627</v>
      </c>
      <c r="C3922">
        <v>842132</v>
      </c>
      <c r="D3922" t="s">
        <v>176</v>
      </c>
      <c r="E3922">
        <v>12984</v>
      </c>
      <c r="F3922">
        <v>33</v>
      </c>
      <c r="G3922">
        <v>513</v>
      </c>
      <c r="H3922">
        <f>_xlfn.XLOOKUP(FACT_IMPORTS[[#This Row],[hts_6]],DIM_PRODUCTS[hts_6],DIM_PRODUCTS[hts_4],,,)</f>
        <v>8421</v>
      </c>
      <c r="I3922" t="str" cm="1">
        <f t="array" ref="I3922">_xlfn.XLOOKUP(FACT_IMPORTS[[#This Row],[country_name]],DIM_COUNTRY[[#All],[Column2]],DIM_COUNTRY[[#All],[Column3]],,,)</f>
        <v>China</v>
      </c>
    </row>
    <row r="3923" spans="1:9" x14ac:dyDescent="0.4">
      <c r="A3923" t="s">
        <v>66</v>
      </c>
      <c r="B3923" s="1">
        <v>45627</v>
      </c>
      <c r="C3923">
        <v>848210</v>
      </c>
      <c r="D3923" t="s">
        <v>176</v>
      </c>
      <c r="E3923">
        <v>803549</v>
      </c>
      <c r="F3923">
        <v>540965</v>
      </c>
      <c r="G3923">
        <v>49907</v>
      </c>
      <c r="H3923">
        <f>_xlfn.XLOOKUP(FACT_IMPORTS[[#This Row],[hts_6]],DIM_PRODUCTS[hts_6],DIM_PRODUCTS[hts_4],,,)</f>
        <v>8482</v>
      </c>
      <c r="I3923" t="str" cm="1">
        <f t="array" ref="I3923">_xlfn.XLOOKUP(FACT_IMPORTS[[#This Row],[country_name]],DIM_COUNTRY[[#All],[Column2]],DIM_COUNTRY[[#All],[Column3]],,,)</f>
        <v>China</v>
      </c>
    </row>
    <row r="3924" spans="1:9" x14ac:dyDescent="0.4">
      <c r="A3924" t="s">
        <v>66</v>
      </c>
      <c r="B3924" s="1">
        <v>45627</v>
      </c>
      <c r="C3924">
        <v>848220</v>
      </c>
      <c r="D3924" t="s">
        <v>176</v>
      </c>
      <c r="E3924">
        <v>0</v>
      </c>
      <c r="F3924">
        <v>0</v>
      </c>
      <c r="G3924">
        <v>0</v>
      </c>
      <c r="H3924">
        <f>_xlfn.XLOOKUP(FACT_IMPORTS[[#This Row],[hts_6]],DIM_PRODUCTS[hts_6],DIM_PRODUCTS[hts_4],,,)</f>
        <v>8482</v>
      </c>
      <c r="I3924" t="str" cm="1">
        <f t="array" ref="I3924">_xlfn.XLOOKUP(FACT_IMPORTS[[#This Row],[country_name]],DIM_COUNTRY[[#All],[Column2]],DIM_COUNTRY[[#All],[Column3]],,,)</f>
        <v>China</v>
      </c>
    </row>
    <row r="3925" spans="1:9" x14ac:dyDescent="0.4">
      <c r="A3925" t="s">
        <v>66</v>
      </c>
      <c r="B3925" s="1">
        <v>45627</v>
      </c>
      <c r="C3925">
        <v>848310</v>
      </c>
      <c r="D3925" t="s">
        <v>176</v>
      </c>
      <c r="E3925">
        <v>2560834</v>
      </c>
      <c r="F3925">
        <v>206736</v>
      </c>
      <c r="G3925">
        <v>207236</v>
      </c>
      <c r="H3925">
        <f>_xlfn.XLOOKUP(FACT_IMPORTS[[#This Row],[hts_6]],DIM_PRODUCTS[hts_6],DIM_PRODUCTS[hts_4],,,)</f>
        <v>8483</v>
      </c>
      <c r="I3925" t="str" cm="1">
        <f t="array" ref="I3925">_xlfn.XLOOKUP(FACT_IMPORTS[[#This Row],[country_name]],DIM_COUNTRY[[#All],[Column2]],DIM_COUNTRY[[#All],[Column3]],,,)</f>
        <v>China</v>
      </c>
    </row>
    <row r="3926" spans="1:9" x14ac:dyDescent="0.4">
      <c r="A3926" t="s">
        <v>66</v>
      </c>
      <c r="B3926" s="1">
        <v>45627</v>
      </c>
      <c r="C3926">
        <v>850131</v>
      </c>
      <c r="D3926" t="s">
        <v>176</v>
      </c>
      <c r="E3926">
        <v>2677181</v>
      </c>
      <c r="F3926">
        <v>380999</v>
      </c>
      <c r="G3926">
        <v>156456</v>
      </c>
      <c r="H3926">
        <f>_xlfn.XLOOKUP(FACT_IMPORTS[[#This Row],[hts_6]],DIM_PRODUCTS[hts_6],DIM_PRODUCTS[hts_4],,,)</f>
        <v>8501</v>
      </c>
      <c r="I3926" t="str" cm="1">
        <f t="array" ref="I3926">_xlfn.XLOOKUP(FACT_IMPORTS[[#This Row],[country_name]],DIM_COUNTRY[[#All],[Column2]],DIM_COUNTRY[[#All],[Column3]],,,)</f>
        <v>China</v>
      </c>
    </row>
    <row r="3927" spans="1:9" x14ac:dyDescent="0.4">
      <c r="A3927" t="s">
        <v>66</v>
      </c>
      <c r="B3927" s="1">
        <v>45627</v>
      </c>
      <c r="C3927">
        <v>850132</v>
      </c>
      <c r="D3927" t="s">
        <v>176</v>
      </c>
      <c r="E3927">
        <v>0</v>
      </c>
      <c r="F3927">
        <v>0</v>
      </c>
      <c r="G3927">
        <v>0</v>
      </c>
      <c r="H3927">
        <f>_xlfn.XLOOKUP(FACT_IMPORTS[[#This Row],[hts_6]],DIM_PRODUCTS[hts_6],DIM_PRODUCTS[hts_4],,,)</f>
        <v>8501</v>
      </c>
      <c r="I3927" t="str" cm="1">
        <f t="array" ref="I3927">_xlfn.XLOOKUP(FACT_IMPORTS[[#This Row],[country_name]],DIM_COUNTRY[[#All],[Column2]],DIM_COUNTRY[[#All],[Column3]],,,)</f>
        <v>China</v>
      </c>
    </row>
    <row r="3928" spans="1:9" x14ac:dyDescent="0.4">
      <c r="A3928" t="s">
        <v>66</v>
      </c>
      <c r="B3928" s="1">
        <v>45627</v>
      </c>
      <c r="C3928">
        <v>850133</v>
      </c>
      <c r="D3928" t="s">
        <v>176</v>
      </c>
      <c r="E3928">
        <v>0</v>
      </c>
      <c r="F3928">
        <v>0</v>
      </c>
      <c r="G3928">
        <v>0</v>
      </c>
      <c r="H3928">
        <f>_xlfn.XLOOKUP(FACT_IMPORTS[[#This Row],[hts_6]],DIM_PRODUCTS[hts_6],DIM_PRODUCTS[hts_4],,,)</f>
        <v>8501</v>
      </c>
      <c r="I3928" t="str" cm="1">
        <f t="array" ref="I3928">_xlfn.XLOOKUP(FACT_IMPORTS[[#This Row],[country_name]],DIM_COUNTRY[[#All],[Column2]],DIM_COUNTRY[[#All],[Column3]],,,)</f>
        <v>China</v>
      </c>
    </row>
    <row r="3929" spans="1:9" x14ac:dyDescent="0.4">
      <c r="A3929" t="s">
        <v>66</v>
      </c>
      <c r="B3929" s="1">
        <v>45627</v>
      </c>
      <c r="C3929">
        <v>850152</v>
      </c>
      <c r="D3929" t="s">
        <v>176</v>
      </c>
      <c r="E3929">
        <v>398811</v>
      </c>
      <c r="F3929">
        <v>1062</v>
      </c>
      <c r="G3929">
        <v>19157</v>
      </c>
      <c r="H3929">
        <f>_xlfn.XLOOKUP(FACT_IMPORTS[[#This Row],[hts_6]],DIM_PRODUCTS[hts_6],DIM_PRODUCTS[hts_4],,,)</f>
        <v>8501</v>
      </c>
      <c r="I3929" t="str" cm="1">
        <f t="array" ref="I3929">_xlfn.XLOOKUP(FACT_IMPORTS[[#This Row],[country_name]],DIM_COUNTRY[[#All],[Column2]],DIM_COUNTRY[[#All],[Column3]],,,)</f>
        <v>China</v>
      </c>
    </row>
    <row r="3930" spans="1:9" x14ac:dyDescent="0.4">
      <c r="A3930" t="s">
        <v>66</v>
      </c>
      <c r="B3930" s="1">
        <v>45627</v>
      </c>
      <c r="C3930">
        <v>850153</v>
      </c>
      <c r="D3930" t="s">
        <v>176</v>
      </c>
      <c r="E3930">
        <v>6300</v>
      </c>
      <c r="F3930">
        <v>2</v>
      </c>
      <c r="G3930">
        <v>600</v>
      </c>
      <c r="H3930">
        <f>_xlfn.XLOOKUP(FACT_IMPORTS[[#This Row],[hts_6]],DIM_PRODUCTS[hts_6],DIM_PRODUCTS[hts_4],,,)</f>
        <v>8501</v>
      </c>
      <c r="I3930" t="str" cm="1">
        <f t="array" ref="I3930">_xlfn.XLOOKUP(FACT_IMPORTS[[#This Row],[country_name]],DIM_COUNTRY[[#All],[Column2]],DIM_COUNTRY[[#All],[Column3]],,,)</f>
        <v>China</v>
      </c>
    </row>
    <row r="3931" spans="1:9" x14ac:dyDescent="0.4">
      <c r="A3931" t="s">
        <v>66</v>
      </c>
      <c r="B3931" s="1">
        <v>45627</v>
      </c>
      <c r="C3931">
        <v>850161</v>
      </c>
      <c r="D3931" t="s">
        <v>176</v>
      </c>
      <c r="E3931">
        <v>0</v>
      </c>
      <c r="F3931">
        <v>0</v>
      </c>
      <c r="G3931">
        <v>0</v>
      </c>
      <c r="H3931">
        <f>_xlfn.XLOOKUP(FACT_IMPORTS[[#This Row],[hts_6]],DIM_PRODUCTS[hts_6],DIM_PRODUCTS[hts_4],,,)</f>
        <v>8501</v>
      </c>
      <c r="I3931" t="str" cm="1">
        <f t="array" ref="I3931">_xlfn.XLOOKUP(FACT_IMPORTS[[#This Row],[country_name]],DIM_COUNTRY[[#All],[Column2]],DIM_COUNTRY[[#All],[Column3]],,,)</f>
        <v>China</v>
      </c>
    </row>
    <row r="3932" spans="1:9" x14ac:dyDescent="0.4">
      <c r="A3932" t="s">
        <v>66</v>
      </c>
      <c r="B3932" s="1">
        <v>45627</v>
      </c>
      <c r="C3932">
        <v>850440</v>
      </c>
      <c r="D3932" t="s">
        <v>176</v>
      </c>
      <c r="E3932">
        <v>1083358</v>
      </c>
      <c r="F3932">
        <v>82388</v>
      </c>
      <c r="G3932">
        <v>17223</v>
      </c>
      <c r="H3932">
        <f>_xlfn.XLOOKUP(FACT_IMPORTS[[#This Row],[hts_6]],DIM_PRODUCTS[hts_6],DIM_PRODUCTS[hts_4],,,)</f>
        <v>8504</v>
      </c>
      <c r="I3932" t="str" cm="1">
        <f t="array" ref="I3932">_xlfn.XLOOKUP(FACT_IMPORTS[[#This Row],[country_name]],DIM_COUNTRY[[#All],[Column2]],DIM_COUNTRY[[#All],[Column3]],,,)</f>
        <v>China</v>
      </c>
    </row>
    <row r="3933" spans="1:9" x14ac:dyDescent="0.4">
      <c r="A3933" t="s">
        <v>66</v>
      </c>
      <c r="B3933" s="1">
        <v>45627</v>
      </c>
      <c r="C3933">
        <v>850710</v>
      </c>
      <c r="D3933" t="s">
        <v>176</v>
      </c>
      <c r="E3933">
        <v>18021</v>
      </c>
      <c r="F3933">
        <v>484</v>
      </c>
      <c r="G3933">
        <v>1143</v>
      </c>
      <c r="H3933">
        <f>_xlfn.XLOOKUP(FACT_IMPORTS[[#This Row],[hts_6]],DIM_PRODUCTS[hts_6],DIM_PRODUCTS[hts_4],,,)</f>
        <v>8507</v>
      </c>
      <c r="I3933" t="str" cm="1">
        <f t="array" ref="I3933">_xlfn.XLOOKUP(FACT_IMPORTS[[#This Row],[country_name]],DIM_COUNTRY[[#All],[Column2]],DIM_COUNTRY[[#All],[Column3]],,,)</f>
        <v>China</v>
      </c>
    </row>
    <row r="3934" spans="1:9" x14ac:dyDescent="0.4">
      <c r="A3934" t="s">
        <v>66</v>
      </c>
      <c r="B3934" s="1">
        <v>45627</v>
      </c>
      <c r="C3934">
        <v>850760</v>
      </c>
      <c r="D3934" t="s">
        <v>176</v>
      </c>
      <c r="E3934">
        <v>1538591</v>
      </c>
      <c r="F3934">
        <v>8238</v>
      </c>
      <c r="G3934">
        <v>18166</v>
      </c>
      <c r="H3934">
        <f>_xlfn.XLOOKUP(FACT_IMPORTS[[#This Row],[hts_6]],DIM_PRODUCTS[hts_6],DIM_PRODUCTS[hts_4],,,)</f>
        <v>8507</v>
      </c>
      <c r="I3934" t="str" cm="1">
        <f t="array" ref="I3934">_xlfn.XLOOKUP(FACT_IMPORTS[[#This Row],[country_name]],DIM_COUNTRY[[#All],[Column2]],DIM_COUNTRY[[#All],[Column3]],,,)</f>
        <v>China</v>
      </c>
    </row>
    <row r="3935" spans="1:9" x14ac:dyDescent="0.4">
      <c r="A3935" t="s">
        <v>66</v>
      </c>
      <c r="B3935" s="1">
        <v>45627</v>
      </c>
      <c r="C3935">
        <v>850790</v>
      </c>
      <c r="D3935" t="s">
        <v>176</v>
      </c>
      <c r="E3935">
        <v>363552</v>
      </c>
      <c r="F3935">
        <v>23636</v>
      </c>
      <c r="G3935">
        <v>26678</v>
      </c>
      <c r="H3935">
        <f>_xlfn.XLOOKUP(FACT_IMPORTS[[#This Row],[hts_6]],DIM_PRODUCTS[hts_6],DIM_PRODUCTS[hts_4],,,)</f>
        <v>8507</v>
      </c>
      <c r="I3935" t="str" cm="1">
        <f t="array" ref="I3935">_xlfn.XLOOKUP(FACT_IMPORTS[[#This Row],[country_name]],DIM_COUNTRY[[#All],[Column2]],DIM_COUNTRY[[#All],[Column3]],,,)</f>
        <v>China</v>
      </c>
    </row>
    <row r="3936" spans="1:9" x14ac:dyDescent="0.4">
      <c r="A3936" t="s">
        <v>66</v>
      </c>
      <c r="B3936" s="1">
        <v>45627</v>
      </c>
      <c r="C3936">
        <v>851130</v>
      </c>
      <c r="D3936" t="s">
        <v>176</v>
      </c>
      <c r="E3936">
        <v>84067</v>
      </c>
      <c r="F3936">
        <v>3891</v>
      </c>
      <c r="G3936">
        <v>3557</v>
      </c>
      <c r="H3936">
        <f>_xlfn.XLOOKUP(FACT_IMPORTS[[#This Row],[hts_6]],DIM_PRODUCTS[hts_6],DIM_PRODUCTS[hts_4],,,)</f>
        <v>8511</v>
      </c>
      <c r="I3936" t="str" cm="1">
        <f t="array" ref="I3936">_xlfn.XLOOKUP(FACT_IMPORTS[[#This Row],[country_name]],DIM_COUNTRY[[#All],[Column2]],DIM_COUNTRY[[#All],[Column3]],,,)</f>
        <v>China</v>
      </c>
    </row>
    <row r="3937" spans="1:9" x14ac:dyDescent="0.4">
      <c r="A3937" t="s">
        <v>66</v>
      </c>
      <c r="B3937" s="1">
        <v>45627</v>
      </c>
      <c r="C3937">
        <v>851140</v>
      </c>
      <c r="D3937" t="s">
        <v>176</v>
      </c>
      <c r="E3937">
        <v>443111</v>
      </c>
      <c r="F3937">
        <v>11105</v>
      </c>
      <c r="G3937">
        <v>6372</v>
      </c>
      <c r="H3937">
        <f>_xlfn.XLOOKUP(FACT_IMPORTS[[#This Row],[hts_6]],DIM_PRODUCTS[hts_6],DIM_PRODUCTS[hts_4],,,)</f>
        <v>8511</v>
      </c>
      <c r="I3937" t="str" cm="1">
        <f t="array" ref="I3937">_xlfn.XLOOKUP(FACT_IMPORTS[[#This Row],[country_name]],DIM_COUNTRY[[#All],[Column2]],DIM_COUNTRY[[#All],[Column3]],,,)</f>
        <v>China</v>
      </c>
    </row>
    <row r="3938" spans="1:9" x14ac:dyDescent="0.4">
      <c r="A3938" t="s">
        <v>66</v>
      </c>
      <c r="B3938" s="1">
        <v>45627</v>
      </c>
      <c r="C3938">
        <v>851150</v>
      </c>
      <c r="D3938" t="s">
        <v>176</v>
      </c>
      <c r="E3938">
        <v>161630</v>
      </c>
      <c r="F3938">
        <v>1770</v>
      </c>
      <c r="G3938">
        <v>3028</v>
      </c>
      <c r="H3938">
        <f>_xlfn.XLOOKUP(FACT_IMPORTS[[#This Row],[hts_6]],DIM_PRODUCTS[hts_6],DIM_PRODUCTS[hts_4],,,)</f>
        <v>8511</v>
      </c>
      <c r="I3938" t="str" cm="1">
        <f t="array" ref="I3938">_xlfn.XLOOKUP(FACT_IMPORTS[[#This Row],[country_name]],DIM_COUNTRY[[#All],[Column2]],DIM_COUNTRY[[#All],[Column3]],,,)</f>
        <v>China</v>
      </c>
    </row>
    <row r="3939" spans="1:9" x14ac:dyDescent="0.4">
      <c r="A3939" t="s">
        <v>66</v>
      </c>
      <c r="B3939" s="1">
        <v>45627</v>
      </c>
      <c r="C3939">
        <v>851180</v>
      </c>
      <c r="D3939" t="s">
        <v>176</v>
      </c>
      <c r="E3939">
        <v>9577</v>
      </c>
      <c r="F3939">
        <v>230</v>
      </c>
      <c r="G3939">
        <v>3</v>
      </c>
      <c r="H3939">
        <f>_xlfn.XLOOKUP(FACT_IMPORTS[[#This Row],[hts_6]],DIM_PRODUCTS[hts_6],DIM_PRODUCTS[hts_4],,,)</f>
        <v>8511</v>
      </c>
      <c r="I3939" t="str" cm="1">
        <f t="array" ref="I3939">_xlfn.XLOOKUP(FACT_IMPORTS[[#This Row],[country_name]],DIM_COUNTRY[[#All],[Column2]],DIM_COUNTRY[[#All],[Column3]],,,)</f>
        <v>China</v>
      </c>
    </row>
    <row r="3940" spans="1:9" x14ac:dyDescent="0.4">
      <c r="A3940" t="s">
        <v>66</v>
      </c>
      <c r="B3940" s="1">
        <v>45627</v>
      </c>
      <c r="C3940">
        <v>851190</v>
      </c>
      <c r="D3940" t="s">
        <v>176</v>
      </c>
      <c r="E3940">
        <v>48902</v>
      </c>
      <c r="F3940">
        <v>2542</v>
      </c>
      <c r="G3940">
        <v>1356</v>
      </c>
      <c r="H3940">
        <f>_xlfn.XLOOKUP(FACT_IMPORTS[[#This Row],[hts_6]],DIM_PRODUCTS[hts_6],DIM_PRODUCTS[hts_4],,,)</f>
        <v>8511</v>
      </c>
      <c r="I3940" t="str" cm="1">
        <f t="array" ref="I3940">_xlfn.XLOOKUP(FACT_IMPORTS[[#This Row],[country_name]],DIM_COUNTRY[[#All],[Column2]],DIM_COUNTRY[[#All],[Column3]],,,)</f>
        <v>China</v>
      </c>
    </row>
    <row r="3941" spans="1:9" x14ac:dyDescent="0.4">
      <c r="A3941" t="s">
        <v>66</v>
      </c>
      <c r="B3941" s="1">
        <v>45627</v>
      </c>
      <c r="C3941">
        <v>851220</v>
      </c>
      <c r="D3941" t="s">
        <v>176</v>
      </c>
      <c r="E3941">
        <v>2116002</v>
      </c>
      <c r="F3941">
        <v>509190</v>
      </c>
      <c r="G3941">
        <v>119201</v>
      </c>
      <c r="H3941">
        <f>_xlfn.XLOOKUP(FACT_IMPORTS[[#This Row],[hts_6]],DIM_PRODUCTS[hts_6],DIM_PRODUCTS[hts_4],,,)</f>
        <v>8512</v>
      </c>
      <c r="I3941" t="str" cm="1">
        <f t="array" ref="I3941">_xlfn.XLOOKUP(FACT_IMPORTS[[#This Row],[country_name]],DIM_COUNTRY[[#All],[Column2]],DIM_COUNTRY[[#All],[Column3]],,,)</f>
        <v>China</v>
      </c>
    </row>
    <row r="3942" spans="1:9" x14ac:dyDescent="0.4">
      <c r="A3942" t="s">
        <v>66</v>
      </c>
      <c r="B3942" s="1">
        <v>45627</v>
      </c>
      <c r="C3942">
        <v>851230</v>
      </c>
      <c r="D3942" t="s">
        <v>176</v>
      </c>
      <c r="E3942">
        <v>4845</v>
      </c>
      <c r="F3942">
        <v>450</v>
      </c>
      <c r="G3942">
        <v>161</v>
      </c>
      <c r="H3942">
        <f>_xlfn.XLOOKUP(FACT_IMPORTS[[#This Row],[hts_6]],DIM_PRODUCTS[hts_6],DIM_PRODUCTS[hts_4],,,)</f>
        <v>8512</v>
      </c>
      <c r="I3942" t="str" cm="1">
        <f t="array" ref="I3942">_xlfn.XLOOKUP(FACT_IMPORTS[[#This Row],[country_name]],DIM_COUNTRY[[#All],[Column2]],DIM_COUNTRY[[#All],[Column3]],,,)</f>
        <v>China</v>
      </c>
    </row>
    <row r="3943" spans="1:9" x14ac:dyDescent="0.4">
      <c r="A3943" t="s">
        <v>66</v>
      </c>
      <c r="B3943" s="1">
        <v>45627</v>
      </c>
      <c r="C3943">
        <v>851240</v>
      </c>
      <c r="D3943" t="s">
        <v>176</v>
      </c>
      <c r="E3943">
        <v>0</v>
      </c>
      <c r="F3943">
        <v>0</v>
      </c>
      <c r="G3943">
        <v>0</v>
      </c>
      <c r="H3943">
        <f>_xlfn.XLOOKUP(FACT_IMPORTS[[#This Row],[hts_6]],DIM_PRODUCTS[hts_6],DIM_PRODUCTS[hts_4],,,)</f>
        <v>8512</v>
      </c>
      <c r="I3943" t="str" cm="1">
        <f t="array" ref="I3943">_xlfn.XLOOKUP(FACT_IMPORTS[[#This Row],[country_name]],DIM_COUNTRY[[#All],[Column2]],DIM_COUNTRY[[#All],[Column3]],,,)</f>
        <v>China</v>
      </c>
    </row>
    <row r="3944" spans="1:9" x14ac:dyDescent="0.4">
      <c r="A3944" t="s">
        <v>66</v>
      </c>
      <c r="B3944" s="1">
        <v>45627</v>
      </c>
      <c r="C3944">
        <v>851290</v>
      </c>
      <c r="D3944" t="s">
        <v>176</v>
      </c>
      <c r="E3944">
        <v>344325</v>
      </c>
      <c r="F3944">
        <v>17697</v>
      </c>
      <c r="G3944">
        <v>25752</v>
      </c>
      <c r="H3944">
        <f>_xlfn.XLOOKUP(FACT_IMPORTS[[#This Row],[hts_6]],DIM_PRODUCTS[hts_6],DIM_PRODUCTS[hts_4],,,)</f>
        <v>8512</v>
      </c>
      <c r="I3944" t="str" cm="1">
        <f t="array" ref="I3944">_xlfn.XLOOKUP(FACT_IMPORTS[[#This Row],[country_name]],DIM_COUNTRY[[#All],[Column2]],DIM_COUNTRY[[#All],[Column3]],,,)</f>
        <v>China</v>
      </c>
    </row>
    <row r="3945" spans="1:9" x14ac:dyDescent="0.4">
      <c r="A3945" t="s">
        <v>66</v>
      </c>
      <c r="B3945" s="1">
        <v>45627</v>
      </c>
      <c r="C3945">
        <v>854231</v>
      </c>
      <c r="D3945" t="s">
        <v>176</v>
      </c>
      <c r="E3945">
        <v>23285</v>
      </c>
      <c r="F3945">
        <v>8500</v>
      </c>
      <c r="G3945">
        <v>2329</v>
      </c>
      <c r="H3945">
        <f>_xlfn.XLOOKUP(FACT_IMPORTS[[#This Row],[hts_6]],DIM_PRODUCTS[hts_6],DIM_PRODUCTS[hts_4],,,)</f>
        <v>8542</v>
      </c>
      <c r="I3945" t="str" cm="1">
        <f t="array" ref="I3945">_xlfn.XLOOKUP(FACT_IMPORTS[[#This Row],[country_name]],DIM_COUNTRY[[#All],[Column2]],DIM_COUNTRY[[#All],[Column3]],,,)</f>
        <v>China</v>
      </c>
    </row>
    <row r="3946" spans="1:9" x14ac:dyDescent="0.4">
      <c r="A3946" t="s">
        <v>66</v>
      </c>
      <c r="B3946" s="1">
        <v>45627</v>
      </c>
      <c r="C3946">
        <v>854232</v>
      </c>
      <c r="D3946" t="s">
        <v>176</v>
      </c>
      <c r="E3946">
        <v>0</v>
      </c>
      <c r="F3946">
        <v>0</v>
      </c>
      <c r="G3946">
        <v>0</v>
      </c>
      <c r="H3946">
        <f>_xlfn.XLOOKUP(FACT_IMPORTS[[#This Row],[hts_6]],DIM_PRODUCTS[hts_6],DIM_PRODUCTS[hts_4],,,)</f>
        <v>8542</v>
      </c>
      <c r="I3946" t="str" cm="1">
        <f t="array" ref="I3946">_xlfn.XLOOKUP(FACT_IMPORTS[[#This Row],[country_name]],DIM_COUNTRY[[#All],[Column2]],DIM_COUNTRY[[#All],[Column3]],,,)</f>
        <v>China</v>
      </c>
    </row>
    <row r="3947" spans="1:9" x14ac:dyDescent="0.4">
      <c r="A3947" t="s">
        <v>66</v>
      </c>
      <c r="B3947" s="1">
        <v>45627</v>
      </c>
      <c r="C3947">
        <v>854233</v>
      </c>
      <c r="D3947" t="s">
        <v>176</v>
      </c>
      <c r="E3947">
        <v>0</v>
      </c>
      <c r="F3947">
        <v>0</v>
      </c>
      <c r="G3947">
        <v>0</v>
      </c>
      <c r="H3947">
        <f>_xlfn.XLOOKUP(FACT_IMPORTS[[#This Row],[hts_6]],DIM_PRODUCTS[hts_6],DIM_PRODUCTS[hts_4],,,)</f>
        <v>8542</v>
      </c>
      <c r="I3947" t="str" cm="1">
        <f t="array" ref="I3947">_xlfn.XLOOKUP(FACT_IMPORTS[[#This Row],[country_name]],DIM_COUNTRY[[#All],[Column2]],DIM_COUNTRY[[#All],[Column3]],,,)</f>
        <v>China</v>
      </c>
    </row>
    <row r="3948" spans="1:9" x14ac:dyDescent="0.4">
      <c r="A3948" t="s">
        <v>66</v>
      </c>
      <c r="B3948" s="1">
        <v>45627</v>
      </c>
      <c r="C3948">
        <v>854239</v>
      </c>
      <c r="D3948" t="s">
        <v>176</v>
      </c>
      <c r="E3948">
        <v>244844</v>
      </c>
      <c r="F3948">
        <v>166000</v>
      </c>
      <c r="G3948">
        <v>24484</v>
      </c>
      <c r="H3948">
        <f>_xlfn.XLOOKUP(FACT_IMPORTS[[#This Row],[hts_6]],DIM_PRODUCTS[hts_6],DIM_PRODUCTS[hts_4],,,)</f>
        <v>8542</v>
      </c>
      <c r="I3948" t="str" cm="1">
        <f t="array" ref="I3948">_xlfn.XLOOKUP(FACT_IMPORTS[[#This Row],[country_name]],DIM_COUNTRY[[#All],[Column2]],DIM_COUNTRY[[#All],[Column3]],,,)</f>
        <v>China</v>
      </c>
    </row>
    <row r="3949" spans="1:9" x14ac:dyDescent="0.4">
      <c r="A3949" t="s">
        <v>66</v>
      </c>
      <c r="B3949" s="1">
        <v>45627</v>
      </c>
      <c r="C3949">
        <v>854290</v>
      </c>
      <c r="D3949" t="s">
        <v>176</v>
      </c>
      <c r="E3949">
        <v>2706</v>
      </c>
      <c r="F3949">
        <v>240</v>
      </c>
      <c r="G3949">
        <v>1</v>
      </c>
      <c r="H3949">
        <f>_xlfn.XLOOKUP(FACT_IMPORTS[[#This Row],[hts_6]],DIM_PRODUCTS[hts_6],DIM_PRODUCTS[hts_4],,,)</f>
        <v>8542</v>
      </c>
      <c r="I3949" t="str" cm="1">
        <f t="array" ref="I3949">_xlfn.XLOOKUP(FACT_IMPORTS[[#This Row],[country_name]],DIM_COUNTRY[[#All],[Column2]],DIM_COUNTRY[[#All],[Column3]],,,)</f>
        <v>China</v>
      </c>
    </row>
    <row r="3950" spans="1:9" x14ac:dyDescent="0.4">
      <c r="A3950" t="s">
        <v>66</v>
      </c>
      <c r="B3950" s="1">
        <v>45627</v>
      </c>
      <c r="C3950">
        <v>854430</v>
      </c>
      <c r="D3950" t="s">
        <v>176</v>
      </c>
      <c r="E3950">
        <v>523080</v>
      </c>
      <c r="F3950">
        <v>35687</v>
      </c>
      <c r="G3950">
        <v>6406</v>
      </c>
      <c r="H3950">
        <f>_xlfn.XLOOKUP(FACT_IMPORTS[[#This Row],[hts_6]],DIM_PRODUCTS[hts_6],DIM_PRODUCTS[hts_4],,,)</f>
        <v>8544</v>
      </c>
      <c r="I3950" t="str" cm="1">
        <f t="array" ref="I3950">_xlfn.XLOOKUP(FACT_IMPORTS[[#This Row],[country_name]],DIM_COUNTRY[[#All],[Column2]],DIM_COUNTRY[[#All],[Column3]],,,)</f>
        <v>China</v>
      </c>
    </row>
    <row r="3951" spans="1:9" x14ac:dyDescent="0.4">
      <c r="A3951" t="s">
        <v>66</v>
      </c>
      <c r="B3951" s="1">
        <v>45627</v>
      </c>
      <c r="C3951">
        <v>870710</v>
      </c>
      <c r="D3951" t="s">
        <v>176</v>
      </c>
      <c r="E3951">
        <v>0</v>
      </c>
      <c r="F3951">
        <v>0</v>
      </c>
      <c r="G3951">
        <v>0</v>
      </c>
      <c r="H3951">
        <f>_xlfn.XLOOKUP(FACT_IMPORTS[[#This Row],[hts_6]],DIM_PRODUCTS[hts_6],DIM_PRODUCTS[hts_4],,,)</f>
        <v>8707</v>
      </c>
      <c r="I3951" t="str" cm="1">
        <f t="array" ref="I3951">_xlfn.XLOOKUP(FACT_IMPORTS[[#This Row],[country_name]],DIM_COUNTRY[[#All],[Column2]],DIM_COUNTRY[[#All],[Column3]],,,)</f>
        <v>China</v>
      </c>
    </row>
    <row r="3952" spans="1:9" x14ac:dyDescent="0.4">
      <c r="A3952" t="s">
        <v>66</v>
      </c>
      <c r="B3952" s="1">
        <v>45627</v>
      </c>
      <c r="C3952">
        <v>870810</v>
      </c>
      <c r="D3952" t="s">
        <v>176</v>
      </c>
      <c r="E3952">
        <v>691608</v>
      </c>
      <c r="F3952">
        <v>30648</v>
      </c>
      <c r="G3952">
        <v>118320</v>
      </c>
      <c r="H3952">
        <f>_xlfn.XLOOKUP(FACT_IMPORTS[[#This Row],[hts_6]],DIM_PRODUCTS[hts_6],DIM_PRODUCTS[hts_4],,,)</f>
        <v>8708</v>
      </c>
      <c r="I3952" t="str" cm="1">
        <f t="array" ref="I3952">_xlfn.XLOOKUP(FACT_IMPORTS[[#This Row],[country_name]],DIM_COUNTRY[[#All],[Column2]],DIM_COUNTRY[[#All],[Column3]],,,)</f>
        <v>China</v>
      </c>
    </row>
    <row r="3953" spans="1:9" x14ac:dyDescent="0.4">
      <c r="A3953" t="s">
        <v>66</v>
      </c>
      <c r="B3953" s="1">
        <v>45627</v>
      </c>
      <c r="C3953">
        <v>870821</v>
      </c>
      <c r="D3953" t="s">
        <v>176</v>
      </c>
      <c r="E3953">
        <v>0</v>
      </c>
      <c r="F3953">
        <v>0</v>
      </c>
      <c r="G3953">
        <v>0</v>
      </c>
      <c r="H3953">
        <f>_xlfn.XLOOKUP(FACT_IMPORTS[[#This Row],[hts_6]],DIM_PRODUCTS[hts_6],DIM_PRODUCTS[hts_4],,,)</f>
        <v>8708</v>
      </c>
      <c r="I3953" t="str" cm="1">
        <f t="array" ref="I3953">_xlfn.XLOOKUP(FACT_IMPORTS[[#This Row],[country_name]],DIM_COUNTRY[[#All],[Column2]],DIM_COUNTRY[[#All],[Column3]],,,)</f>
        <v>China</v>
      </c>
    </row>
    <row r="3954" spans="1:9" x14ac:dyDescent="0.4">
      <c r="A3954" t="s">
        <v>66</v>
      </c>
      <c r="B3954" s="1">
        <v>45627</v>
      </c>
      <c r="C3954">
        <v>870822</v>
      </c>
      <c r="D3954" t="s">
        <v>176</v>
      </c>
      <c r="E3954">
        <v>890175</v>
      </c>
      <c r="F3954">
        <v>144052</v>
      </c>
      <c r="G3954">
        <v>54528</v>
      </c>
      <c r="H3954">
        <f>_xlfn.XLOOKUP(FACT_IMPORTS[[#This Row],[hts_6]],DIM_PRODUCTS[hts_6],DIM_PRODUCTS[hts_4],,,)</f>
        <v>8708</v>
      </c>
      <c r="I3954" t="str" cm="1">
        <f t="array" ref="I3954">_xlfn.XLOOKUP(FACT_IMPORTS[[#This Row],[country_name]],DIM_COUNTRY[[#All],[Column2]],DIM_COUNTRY[[#All],[Column3]],,,)</f>
        <v>China</v>
      </c>
    </row>
    <row r="3955" spans="1:9" x14ac:dyDescent="0.4">
      <c r="A3955" t="s">
        <v>66</v>
      </c>
      <c r="B3955" s="1">
        <v>45627</v>
      </c>
      <c r="C3955">
        <v>870829</v>
      </c>
      <c r="D3955" t="s">
        <v>176</v>
      </c>
      <c r="E3955">
        <v>12466979</v>
      </c>
      <c r="F3955">
        <v>2925502</v>
      </c>
      <c r="G3955">
        <v>654789</v>
      </c>
      <c r="H3955">
        <f>_xlfn.XLOOKUP(FACT_IMPORTS[[#This Row],[hts_6]],DIM_PRODUCTS[hts_6],DIM_PRODUCTS[hts_4],,,)</f>
        <v>8708</v>
      </c>
      <c r="I3955" t="str" cm="1">
        <f t="array" ref="I3955">_xlfn.XLOOKUP(FACT_IMPORTS[[#This Row],[country_name]],DIM_COUNTRY[[#All],[Column2]],DIM_COUNTRY[[#All],[Column3]],,,)</f>
        <v>China</v>
      </c>
    </row>
    <row r="3956" spans="1:9" x14ac:dyDescent="0.4">
      <c r="A3956" t="s">
        <v>66</v>
      </c>
      <c r="B3956" s="1">
        <v>45627</v>
      </c>
      <c r="C3956">
        <v>870830</v>
      </c>
      <c r="D3956" t="s">
        <v>176</v>
      </c>
      <c r="E3956">
        <v>5263880</v>
      </c>
      <c r="F3956">
        <v>538727</v>
      </c>
      <c r="G3956">
        <v>226605</v>
      </c>
      <c r="H3956">
        <f>_xlfn.XLOOKUP(FACT_IMPORTS[[#This Row],[hts_6]],DIM_PRODUCTS[hts_6],DIM_PRODUCTS[hts_4],,,)</f>
        <v>8708</v>
      </c>
      <c r="I3956" t="str" cm="1">
        <f t="array" ref="I3956">_xlfn.XLOOKUP(FACT_IMPORTS[[#This Row],[country_name]],DIM_COUNTRY[[#All],[Column2]],DIM_COUNTRY[[#All],[Column3]],,,)</f>
        <v>China</v>
      </c>
    </row>
    <row r="3957" spans="1:9" x14ac:dyDescent="0.4">
      <c r="A3957" t="s">
        <v>66</v>
      </c>
      <c r="B3957" s="1">
        <v>45627</v>
      </c>
      <c r="C3957">
        <v>870840</v>
      </c>
      <c r="D3957" t="s">
        <v>176</v>
      </c>
      <c r="E3957">
        <v>2276752</v>
      </c>
      <c r="F3957">
        <v>450499</v>
      </c>
      <c r="G3957">
        <v>87527</v>
      </c>
      <c r="H3957">
        <f>_xlfn.XLOOKUP(FACT_IMPORTS[[#This Row],[hts_6]],DIM_PRODUCTS[hts_6],DIM_PRODUCTS[hts_4],,,)</f>
        <v>8708</v>
      </c>
      <c r="I3957" t="str" cm="1">
        <f t="array" ref="I3957">_xlfn.XLOOKUP(FACT_IMPORTS[[#This Row],[country_name]],DIM_COUNTRY[[#All],[Column2]],DIM_COUNTRY[[#All],[Column3]],,,)</f>
        <v>China</v>
      </c>
    </row>
    <row r="3958" spans="1:9" x14ac:dyDescent="0.4">
      <c r="A3958" t="s">
        <v>66</v>
      </c>
      <c r="B3958" s="1">
        <v>45627</v>
      </c>
      <c r="C3958">
        <v>870850</v>
      </c>
      <c r="D3958" t="s">
        <v>176</v>
      </c>
      <c r="E3958">
        <v>3014360</v>
      </c>
      <c r="F3958">
        <v>461647</v>
      </c>
      <c r="G3958">
        <v>40234</v>
      </c>
      <c r="H3958">
        <f>_xlfn.XLOOKUP(FACT_IMPORTS[[#This Row],[hts_6]],DIM_PRODUCTS[hts_6],DIM_PRODUCTS[hts_4],,,)</f>
        <v>8708</v>
      </c>
      <c r="I3958" t="str" cm="1">
        <f t="array" ref="I3958">_xlfn.XLOOKUP(FACT_IMPORTS[[#This Row],[country_name]],DIM_COUNTRY[[#All],[Column2]],DIM_COUNTRY[[#All],[Column3]],,,)</f>
        <v>China</v>
      </c>
    </row>
    <row r="3959" spans="1:9" x14ac:dyDescent="0.4">
      <c r="A3959" t="s">
        <v>66</v>
      </c>
      <c r="B3959" s="1">
        <v>45627</v>
      </c>
      <c r="C3959">
        <v>870870</v>
      </c>
      <c r="D3959" t="s">
        <v>176</v>
      </c>
      <c r="E3959">
        <v>25832664</v>
      </c>
      <c r="F3959">
        <v>1014357</v>
      </c>
      <c r="G3959">
        <v>2467654</v>
      </c>
      <c r="H3959">
        <f>_xlfn.XLOOKUP(FACT_IMPORTS[[#This Row],[hts_6]],DIM_PRODUCTS[hts_6],DIM_PRODUCTS[hts_4],,,)</f>
        <v>8708</v>
      </c>
      <c r="I3959" t="str" cm="1">
        <f t="array" ref="I3959">_xlfn.XLOOKUP(FACT_IMPORTS[[#This Row],[country_name]],DIM_COUNTRY[[#All],[Column2]],DIM_COUNTRY[[#All],[Column3]],,,)</f>
        <v>China</v>
      </c>
    </row>
    <row r="3960" spans="1:9" x14ac:dyDescent="0.4">
      <c r="A3960" t="s">
        <v>66</v>
      </c>
      <c r="B3960" s="1">
        <v>45627</v>
      </c>
      <c r="C3960">
        <v>870880</v>
      </c>
      <c r="D3960" t="s">
        <v>176</v>
      </c>
      <c r="E3960">
        <v>10015840</v>
      </c>
      <c r="F3960">
        <v>1961621</v>
      </c>
      <c r="G3960">
        <v>165541</v>
      </c>
      <c r="H3960">
        <f>_xlfn.XLOOKUP(FACT_IMPORTS[[#This Row],[hts_6]],DIM_PRODUCTS[hts_6],DIM_PRODUCTS[hts_4],,,)</f>
        <v>8708</v>
      </c>
      <c r="I3960" t="str" cm="1">
        <f t="array" ref="I3960">_xlfn.XLOOKUP(FACT_IMPORTS[[#This Row],[country_name]],DIM_COUNTRY[[#All],[Column2]],DIM_COUNTRY[[#All],[Column3]],,,)</f>
        <v>China</v>
      </c>
    </row>
    <row r="3961" spans="1:9" x14ac:dyDescent="0.4">
      <c r="A3961" t="s">
        <v>66</v>
      </c>
      <c r="B3961" s="1">
        <v>45627</v>
      </c>
      <c r="C3961">
        <v>870891</v>
      </c>
      <c r="D3961" t="s">
        <v>176</v>
      </c>
      <c r="E3961">
        <v>193428</v>
      </c>
      <c r="F3961">
        <v>12907</v>
      </c>
      <c r="G3961">
        <v>5182</v>
      </c>
      <c r="H3961">
        <f>_xlfn.XLOOKUP(FACT_IMPORTS[[#This Row],[hts_6]],DIM_PRODUCTS[hts_6],DIM_PRODUCTS[hts_4],,,)</f>
        <v>8708</v>
      </c>
      <c r="I3961" t="str" cm="1">
        <f t="array" ref="I3961">_xlfn.XLOOKUP(FACT_IMPORTS[[#This Row],[country_name]],DIM_COUNTRY[[#All],[Column2]],DIM_COUNTRY[[#All],[Column3]],,,)</f>
        <v>China</v>
      </c>
    </row>
    <row r="3962" spans="1:9" x14ac:dyDescent="0.4">
      <c r="A3962" t="s">
        <v>66</v>
      </c>
      <c r="B3962" s="1">
        <v>45627</v>
      </c>
      <c r="C3962">
        <v>870892</v>
      </c>
      <c r="D3962" t="s">
        <v>176</v>
      </c>
      <c r="E3962">
        <v>7661785</v>
      </c>
      <c r="F3962">
        <v>1308984</v>
      </c>
      <c r="G3962">
        <v>472698</v>
      </c>
      <c r="H3962">
        <f>_xlfn.XLOOKUP(FACT_IMPORTS[[#This Row],[hts_6]],DIM_PRODUCTS[hts_6],DIM_PRODUCTS[hts_4],,,)</f>
        <v>8708</v>
      </c>
      <c r="I3962" t="str" cm="1">
        <f t="array" ref="I3962">_xlfn.XLOOKUP(FACT_IMPORTS[[#This Row],[country_name]],DIM_COUNTRY[[#All],[Column2]],DIM_COUNTRY[[#All],[Column3]],,,)</f>
        <v>China</v>
      </c>
    </row>
    <row r="3963" spans="1:9" x14ac:dyDescent="0.4">
      <c r="A3963" t="s">
        <v>66</v>
      </c>
      <c r="B3963" s="1">
        <v>45627</v>
      </c>
      <c r="C3963">
        <v>870893</v>
      </c>
      <c r="D3963" t="s">
        <v>176</v>
      </c>
      <c r="E3963">
        <v>121393</v>
      </c>
      <c r="F3963">
        <v>74455</v>
      </c>
      <c r="G3963">
        <v>8962</v>
      </c>
      <c r="H3963">
        <f>_xlfn.XLOOKUP(FACT_IMPORTS[[#This Row],[hts_6]],DIM_PRODUCTS[hts_6],DIM_PRODUCTS[hts_4],,,)</f>
        <v>8708</v>
      </c>
      <c r="I3963" t="str" cm="1">
        <f t="array" ref="I3963">_xlfn.XLOOKUP(FACT_IMPORTS[[#This Row],[country_name]],DIM_COUNTRY[[#All],[Column2]],DIM_COUNTRY[[#All],[Column3]],,,)</f>
        <v>China</v>
      </c>
    </row>
    <row r="3964" spans="1:9" x14ac:dyDescent="0.4">
      <c r="A3964" t="s">
        <v>66</v>
      </c>
      <c r="B3964" s="1">
        <v>45627</v>
      </c>
      <c r="C3964">
        <v>870894</v>
      </c>
      <c r="D3964" t="s">
        <v>176</v>
      </c>
      <c r="E3964">
        <v>4662208</v>
      </c>
      <c r="F3964">
        <v>196987</v>
      </c>
      <c r="G3964">
        <v>759703</v>
      </c>
      <c r="H3964">
        <f>_xlfn.XLOOKUP(FACT_IMPORTS[[#This Row],[hts_6]],DIM_PRODUCTS[hts_6],DIM_PRODUCTS[hts_4],,,)</f>
        <v>8708</v>
      </c>
      <c r="I3964" t="str" cm="1">
        <f t="array" ref="I3964">_xlfn.XLOOKUP(FACT_IMPORTS[[#This Row],[country_name]],DIM_COUNTRY[[#All],[Column2]],DIM_COUNTRY[[#All],[Column3]],,,)</f>
        <v>China</v>
      </c>
    </row>
    <row r="3965" spans="1:9" x14ac:dyDescent="0.4">
      <c r="A3965" t="s">
        <v>66</v>
      </c>
      <c r="B3965" s="1">
        <v>45627</v>
      </c>
      <c r="C3965">
        <v>870895</v>
      </c>
      <c r="D3965" t="s">
        <v>176</v>
      </c>
      <c r="E3965">
        <v>69551</v>
      </c>
      <c r="F3965">
        <v>29037</v>
      </c>
      <c r="G3965">
        <v>1932</v>
      </c>
      <c r="H3965">
        <f>_xlfn.XLOOKUP(FACT_IMPORTS[[#This Row],[hts_6]],DIM_PRODUCTS[hts_6],DIM_PRODUCTS[hts_4],,,)</f>
        <v>8708</v>
      </c>
      <c r="I3965" t="str" cm="1">
        <f t="array" ref="I3965">_xlfn.XLOOKUP(FACT_IMPORTS[[#This Row],[country_name]],DIM_COUNTRY[[#All],[Column2]],DIM_COUNTRY[[#All],[Column3]],,,)</f>
        <v>China</v>
      </c>
    </row>
    <row r="3966" spans="1:9" x14ac:dyDescent="0.4">
      <c r="A3966" t="s">
        <v>66</v>
      </c>
      <c r="B3966" s="1">
        <v>45627</v>
      </c>
      <c r="C3966">
        <v>870899</v>
      </c>
      <c r="D3966" t="s">
        <v>176</v>
      </c>
      <c r="E3966">
        <v>9181362</v>
      </c>
      <c r="F3966">
        <v>2327342</v>
      </c>
      <c r="G3966">
        <v>776261</v>
      </c>
      <c r="H3966">
        <f>_xlfn.XLOOKUP(FACT_IMPORTS[[#This Row],[hts_6]],DIM_PRODUCTS[hts_6],DIM_PRODUCTS[hts_4],,,)</f>
        <v>8708</v>
      </c>
      <c r="I3966" t="str" cm="1">
        <f t="array" ref="I3966">_xlfn.XLOOKUP(FACT_IMPORTS[[#This Row],[country_name]],DIM_COUNTRY[[#All],[Column2]],DIM_COUNTRY[[#All],[Column3]],,,)</f>
        <v>China</v>
      </c>
    </row>
    <row r="3967" spans="1:9" x14ac:dyDescent="0.4">
      <c r="A3967" t="s">
        <v>66</v>
      </c>
      <c r="B3967" s="1">
        <v>45627</v>
      </c>
      <c r="C3967">
        <v>940120</v>
      </c>
      <c r="D3967" t="s">
        <v>176</v>
      </c>
      <c r="E3967">
        <v>43293</v>
      </c>
      <c r="F3967">
        <v>642</v>
      </c>
      <c r="G3967">
        <v>3548</v>
      </c>
      <c r="H3967">
        <f>_xlfn.XLOOKUP(FACT_IMPORTS[[#This Row],[hts_6]],DIM_PRODUCTS[hts_6],DIM_PRODUCTS[hts_4],,,)</f>
        <v>9401</v>
      </c>
      <c r="I3967" t="str" cm="1">
        <f t="array" ref="I3967">_xlfn.XLOOKUP(FACT_IMPORTS[[#This Row],[country_name]],DIM_COUNTRY[[#All],[Column2]],DIM_COUNTRY[[#All],[Column3]],,,)</f>
        <v>China</v>
      </c>
    </row>
    <row r="3968" spans="1:9" x14ac:dyDescent="0.4">
      <c r="A3968" t="s">
        <v>66</v>
      </c>
      <c r="B3968" s="1">
        <v>45658</v>
      </c>
      <c r="C3968">
        <v>392630</v>
      </c>
      <c r="D3968" t="s">
        <v>176</v>
      </c>
      <c r="E3968">
        <v>4168359</v>
      </c>
      <c r="F3968">
        <v>319038</v>
      </c>
      <c r="G3968">
        <v>223834</v>
      </c>
      <c r="H3968">
        <f>_xlfn.XLOOKUP(FACT_IMPORTS[[#This Row],[hts_6]],DIM_PRODUCTS[hts_6],DIM_PRODUCTS[hts_4],,,)</f>
        <v>3926</v>
      </c>
      <c r="I3968" t="str" cm="1">
        <f t="array" ref="I3968">_xlfn.XLOOKUP(FACT_IMPORTS[[#This Row],[country_name]],DIM_COUNTRY[[#All],[Column2]],DIM_COUNTRY[[#All],[Column3]],,,)</f>
        <v>China</v>
      </c>
    </row>
    <row r="3969" spans="1:9" x14ac:dyDescent="0.4">
      <c r="A3969" t="s">
        <v>66</v>
      </c>
      <c r="B3969" s="1">
        <v>45658</v>
      </c>
      <c r="C3969">
        <v>401110</v>
      </c>
      <c r="D3969" t="s">
        <v>176</v>
      </c>
      <c r="E3969">
        <v>13456</v>
      </c>
      <c r="F3969">
        <v>144</v>
      </c>
      <c r="G3969">
        <v>8052</v>
      </c>
      <c r="H3969">
        <f>_xlfn.XLOOKUP(FACT_IMPORTS[[#This Row],[hts_6]],DIM_PRODUCTS[hts_6],DIM_PRODUCTS[hts_4],,,)</f>
        <v>4011</v>
      </c>
      <c r="I3969" t="str" cm="1">
        <f t="array" ref="I3969">_xlfn.XLOOKUP(FACT_IMPORTS[[#This Row],[country_name]],DIM_COUNTRY[[#All],[Column2]],DIM_COUNTRY[[#All],[Column3]],,,)</f>
        <v>China</v>
      </c>
    </row>
    <row r="3970" spans="1:9" x14ac:dyDescent="0.4">
      <c r="A3970" t="s">
        <v>66</v>
      </c>
      <c r="B3970" s="1">
        <v>45658</v>
      </c>
      <c r="C3970">
        <v>401120</v>
      </c>
      <c r="D3970" t="s">
        <v>176</v>
      </c>
      <c r="E3970">
        <v>271936</v>
      </c>
      <c r="F3970">
        <v>2061</v>
      </c>
      <c r="G3970">
        <v>29533</v>
      </c>
      <c r="H3970">
        <f>_xlfn.XLOOKUP(FACT_IMPORTS[[#This Row],[hts_6]],DIM_PRODUCTS[hts_6],DIM_PRODUCTS[hts_4],,,)</f>
        <v>4011</v>
      </c>
      <c r="I3970" t="str" cm="1">
        <f t="array" ref="I3970">_xlfn.XLOOKUP(FACT_IMPORTS[[#This Row],[country_name]],DIM_COUNTRY[[#All],[Column2]],DIM_COUNTRY[[#All],[Column3]],,,)</f>
        <v>China</v>
      </c>
    </row>
    <row r="3971" spans="1:9" x14ac:dyDescent="0.4">
      <c r="A3971" t="s">
        <v>66</v>
      </c>
      <c r="B3971" s="1">
        <v>45658</v>
      </c>
      <c r="C3971">
        <v>401140</v>
      </c>
      <c r="D3971" t="s">
        <v>176</v>
      </c>
      <c r="E3971">
        <v>38716</v>
      </c>
      <c r="F3971">
        <v>750</v>
      </c>
      <c r="G3971">
        <v>118</v>
      </c>
      <c r="H3971">
        <f>_xlfn.XLOOKUP(FACT_IMPORTS[[#This Row],[hts_6]],DIM_PRODUCTS[hts_6],DIM_PRODUCTS[hts_4],,,)</f>
        <v>4011</v>
      </c>
      <c r="I3971" t="str" cm="1">
        <f t="array" ref="I3971">_xlfn.XLOOKUP(FACT_IMPORTS[[#This Row],[country_name]],DIM_COUNTRY[[#All],[Column2]],DIM_COUNTRY[[#All],[Column3]],,,)</f>
        <v>China</v>
      </c>
    </row>
    <row r="3972" spans="1:9" x14ac:dyDescent="0.4">
      <c r="A3972" t="s">
        <v>66</v>
      </c>
      <c r="B3972" s="1">
        <v>45658</v>
      </c>
      <c r="C3972">
        <v>401190</v>
      </c>
      <c r="D3972" t="s">
        <v>176</v>
      </c>
      <c r="E3972">
        <v>181107</v>
      </c>
      <c r="F3972">
        <v>3956</v>
      </c>
      <c r="G3972">
        <v>10569</v>
      </c>
      <c r="H3972">
        <f>_xlfn.XLOOKUP(FACT_IMPORTS[[#This Row],[hts_6]],DIM_PRODUCTS[hts_6],DIM_PRODUCTS[hts_4],,,)</f>
        <v>4011</v>
      </c>
      <c r="I3972" t="str" cm="1">
        <f t="array" ref="I3972">_xlfn.XLOOKUP(FACT_IMPORTS[[#This Row],[country_name]],DIM_COUNTRY[[#All],[Column2]],DIM_COUNTRY[[#All],[Column3]],,,)</f>
        <v>China</v>
      </c>
    </row>
    <row r="3973" spans="1:9" x14ac:dyDescent="0.4">
      <c r="A3973" t="s">
        <v>66</v>
      </c>
      <c r="B3973" s="1">
        <v>45658</v>
      </c>
      <c r="C3973">
        <v>700711</v>
      </c>
      <c r="D3973" t="s">
        <v>176</v>
      </c>
      <c r="E3973">
        <v>1765761</v>
      </c>
      <c r="F3973">
        <v>143555</v>
      </c>
      <c r="G3973">
        <v>119725</v>
      </c>
      <c r="H3973">
        <f>_xlfn.XLOOKUP(FACT_IMPORTS[[#This Row],[hts_6]],DIM_PRODUCTS[hts_6],DIM_PRODUCTS[hts_4],,,)</f>
        <v>7007</v>
      </c>
      <c r="I3973" t="str" cm="1">
        <f t="array" ref="I3973">_xlfn.XLOOKUP(FACT_IMPORTS[[#This Row],[country_name]],DIM_COUNTRY[[#All],[Column2]],DIM_COUNTRY[[#All],[Column3]],,,)</f>
        <v>China</v>
      </c>
    </row>
    <row r="3974" spans="1:9" x14ac:dyDescent="0.4">
      <c r="A3974" t="s">
        <v>66</v>
      </c>
      <c r="B3974" s="1">
        <v>45658</v>
      </c>
      <c r="C3974">
        <v>700721</v>
      </c>
      <c r="D3974" t="s">
        <v>176</v>
      </c>
      <c r="E3974">
        <v>919951</v>
      </c>
      <c r="F3974">
        <v>20079</v>
      </c>
      <c r="G3974">
        <v>49618</v>
      </c>
      <c r="H3974">
        <f>_xlfn.XLOOKUP(FACT_IMPORTS[[#This Row],[hts_6]],DIM_PRODUCTS[hts_6],DIM_PRODUCTS[hts_4],,,)</f>
        <v>7007</v>
      </c>
      <c r="I3974" t="str" cm="1">
        <f t="array" ref="I3974">_xlfn.XLOOKUP(FACT_IMPORTS[[#This Row],[country_name]],DIM_COUNTRY[[#All],[Column2]],DIM_COUNTRY[[#All],[Column3]],,,)</f>
        <v>China</v>
      </c>
    </row>
    <row r="3975" spans="1:9" x14ac:dyDescent="0.4">
      <c r="A3975" t="s">
        <v>66</v>
      </c>
      <c r="B3975" s="1">
        <v>45658</v>
      </c>
      <c r="C3975">
        <v>700910</v>
      </c>
      <c r="D3975" t="s">
        <v>176</v>
      </c>
      <c r="E3975">
        <v>157624</v>
      </c>
      <c r="F3975">
        <v>138745</v>
      </c>
      <c r="G3975">
        <v>18833</v>
      </c>
      <c r="H3975">
        <f>_xlfn.XLOOKUP(FACT_IMPORTS[[#This Row],[hts_6]],DIM_PRODUCTS[hts_6],DIM_PRODUCTS[hts_4],,,)</f>
        <v>7009</v>
      </c>
      <c r="I3975" t="str" cm="1">
        <f t="array" ref="I3975">_xlfn.XLOOKUP(FACT_IMPORTS[[#This Row],[country_name]],DIM_COUNTRY[[#All],[Column2]],DIM_COUNTRY[[#All],[Column3]],,,)</f>
        <v>China</v>
      </c>
    </row>
    <row r="3976" spans="1:9" x14ac:dyDescent="0.4">
      <c r="A3976" t="s">
        <v>66</v>
      </c>
      <c r="B3976" s="1">
        <v>45658</v>
      </c>
      <c r="C3976">
        <v>732010</v>
      </c>
      <c r="D3976" t="s">
        <v>176</v>
      </c>
      <c r="E3976">
        <v>3420</v>
      </c>
      <c r="F3976">
        <v>120</v>
      </c>
      <c r="G3976">
        <v>18</v>
      </c>
      <c r="H3976">
        <f>_xlfn.XLOOKUP(FACT_IMPORTS[[#This Row],[hts_6]],DIM_PRODUCTS[hts_6],DIM_PRODUCTS[hts_4],,,)</f>
        <v>7320</v>
      </c>
      <c r="I3976" t="str" cm="1">
        <f t="array" ref="I3976">_xlfn.XLOOKUP(FACT_IMPORTS[[#This Row],[country_name]],DIM_COUNTRY[[#All],[Column2]],DIM_COUNTRY[[#All],[Column3]],,,)</f>
        <v>China</v>
      </c>
    </row>
    <row r="3977" spans="1:9" x14ac:dyDescent="0.4">
      <c r="A3977" t="s">
        <v>66</v>
      </c>
      <c r="B3977" s="1">
        <v>45658</v>
      </c>
      <c r="C3977">
        <v>830230</v>
      </c>
      <c r="D3977" t="s">
        <v>176</v>
      </c>
      <c r="E3977">
        <v>3415006</v>
      </c>
      <c r="F3977">
        <v>886525</v>
      </c>
      <c r="G3977">
        <v>175415</v>
      </c>
      <c r="H3977">
        <f>_xlfn.XLOOKUP(FACT_IMPORTS[[#This Row],[hts_6]],DIM_PRODUCTS[hts_6],DIM_PRODUCTS[hts_4],,,)</f>
        <v>8302</v>
      </c>
      <c r="I3977" t="str" cm="1">
        <f t="array" ref="I3977">_xlfn.XLOOKUP(FACT_IMPORTS[[#This Row],[country_name]],DIM_COUNTRY[[#All],[Column2]],DIM_COUNTRY[[#All],[Column3]],,,)</f>
        <v>China</v>
      </c>
    </row>
    <row r="3978" spans="1:9" x14ac:dyDescent="0.4">
      <c r="A3978" t="s">
        <v>66</v>
      </c>
      <c r="B3978" s="1">
        <v>45658</v>
      </c>
      <c r="C3978">
        <v>840733</v>
      </c>
      <c r="D3978" t="s">
        <v>176</v>
      </c>
      <c r="E3978">
        <v>0</v>
      </c>
      <c r="F3978">
        <v>0</v>
      </c>
      <c r="G3978">
        <v>0</v>
      </c>
      <c r="H3978">
        <f>_xlfn.XLOOKUP(FACT_IMPORTS[[#This Row],[hts_6]],DIM_PRODUCTS[hts_6],DIM_PRODUCTS[hts_4],,,)</f>
        <v>8407</v>
      </c>
      <c r="I3978" t="str" cm="1">
        <f t="array" ref="I3978">_xlfn.XLOOKUP(FACT_IMPORTS[[#This Row],[country_name]],DIM_COUNTRY[[#All],[Column2]],DIM_COUNTRY[[#All],[Column3]],,,)</f>
        <v>China</v>
      </c>
    </row>
    <row r="3979" spans="1:9" x14ac:dyDescent="0.4">
      <c r="A3979" t="s">
        <v>66</v>
      </c>
      <c r="B3979" s="1">
        <v>45658</v>
      </c>
      <c r="C3979">
        <v>840734</v>
      </c>
      <c r="D3979" t="s">
        <v>176</v>
      </c>
      <c r="E3979">
        <v>40062</v>
      </c>
      <c r="F3979">
        <v>7</v>
      </c>
      <c r="G3979">
        <v>150</v>
      </c>
      <c r="H3979">
        <f>_xlfn.XLOOKUP(FACT_IMPORTS[[#This Row],[hts_6]],DIM_PRODUCTS[hts_6],DIM_PRODUCTS[hts_4],,,)</f>
        <v>8407</v>
      </c>
      <c r="I3979" t="str" cm="1">
        <f t="array" ref="I3979">_xlfn.XLOOKUP(FACT_IMPORTS[[#This Row],[country_name]],DIM_COUNTRY[[#All],[Column2]],DIM_COUNTRY[[#All],[Column3]],,,)</f>
        <v>China</v>
      </c>
    </row>
    <row r="3980" spans="1:9" x14ac:dyDescent="0.4">
      <c r="A3980" t="s">
        <v>66</v>
      </c>
      <c r="B3980" s="1">
        <v>45658</v>
      </c>
      <c r="C3980">
        <v>840790</v>
      </c>
      <c r="D3980" t="s">
        <v>176</v>
      </c>
      <c r="E3980">
        <v>0</v>
      </c>
      <c r="F3980">
        <v>0</v>
      </c>
      <c r="G3980">
        <v>0</v>
      </c>
      <c r="H3980">
        <f>_xlfn.XLOOKUP(FACT_IMPORTS[[#This Row],[hts_6]],DIM_PRODUCTS[hts_6],DIM_PRODUCTS[hts_4],,,)</f>
        <v>8407</v>
      </c>
      <c r="I3980" t="str" cm="1">
        <f t="array" ref="I3980">_xlfn.XLOOKUP(FACT_IMPORTS[[#This Row],[country_name]],DIM_COUNTRY[[#All],[Column2]],DIM_COUNTRY[[#All],[Column3]],,,)</f>
        <v>China</v>
      </c>
    </row>
    <row r="3981" spans="1:9" x14ac:dyDescent="0.4">
      <c r="A3981" t="s">
        <v>66</v>
      </c>
      <c r="B3981" s="1">
        <v>45658</v>
      </c>
      <c r="C3981">
        <v>840820</v>
      </c>
      <c r="D3981" t="s">
        <v>176</v>
      </c>
      <c r="E3981">
        <v>0</v>
      </c>
      <c r="F3981">
        <v>0</v>
      </c>
      <c r="G3981">
        <v>0</v>
      </c>
      <c r="H3981">
        <f>_xlfn.XLOOKUP(FACT_IMPORTS[[#This Row],[hts_6]],DIM_PRODUCTS[hts_6],DIM_PRODUCTS[hts_4],,,)</f>
        <v>8408</v>
      </c>
      <c r="I3981" t="str" cm="1">
        <f t="array" ref="I3981">_xlfn.XLOOKUP(FACT_IMPORTS[[#This Row],[country_name]],DIM_COUNTRY[[#All],[Column2]],DIM_COUNTRY[[#All],[Column3]],,,)</f>
        <v>China</v>
      </c>
    </row>
    <row r="3982" spans="1:9" x14ac:dyDescent="0.4">
      <c r="A3982" t="s">
        <v>66</v>
      </c>
      <c r="B3982" s="1">
        <v>45658</v>
      </c>
      <c r="C3982">
        <v>840890</v>
      </c>
      <c r="D3982" t="s">
        <v>176</v>
      </c>
      <c r="E3982">
        <v>0</v>
      </c>
      <c r="F3982">
        <v>0</v>
      </c>
      <c r="G3982">
        <v>0</v>
      </c>
      <c r="H3982">
        <f>_xlfn.XLOOKUP(FACT_IMPORTS[[#This Row],[hts_6]],DIM_PRODUCTS[hts_6],DIM_PRODUCTS[hts_4],,,)</f>
        <v>8408</v>
      </c>
      <c r="I3982" t="str" cm="1">
        <f t="array" ref="I3982">_xlfn.XLOOKUP(FACT_IMPORTS[[#This Row],[country_name]],DIM_COUNTRY[[#All],[Column2]],DIM_COUNTRY[[#All],[Column3]],,,)</f>
        <v>China</v>
      </c>
    </row>
    <row r="3983" spans="1:9" x14ac:dyDescent="0.4">
      <c r="A3983" t="s">
        <v>66</v>
      </c>
      <c r="B3983" s="1">
        <v>45658</v>
      </c>
      <c r="C3983">
        <v>840991</v>
      </c>
      <c r="D3983" t="s">
        <v>176</v>
      </c>
      <c r="E3983">
        <v>7594239</v>
      </c>
      <c r="F3983">
        <v>1616654</v>
      </c>
      <c r="G3983">
        <v>539950</v>
      </c>
      <c r="H3983">
        <f>_xlfn.XLOOKUP(FACT_IMPORTS[[#This Row],[hts_6]],DIM_PRODUCTS[hts_6],DIM_PRODUCTS[hts_4],,,)</f>
        <v>8409</v>
      </c>
      <c r="I3983" t="str" cm="1">
        <f t="array" ref="I3983">_xlfn.XLOOKUP(FACT_IMPORTS[[#This Row],[country_name]],DIM_COUNTRY[[#All],[Column2]],DIM_COUNTRY[[#All],[Column3]],,,)</f>
        <v>China</v>
      </c>
    </row>
    <row r="3984" spans="1:9" x14ac:dyDescent="0.4">
      <c r="A3984" t="s">
        <v>66</v>
      </c>
      <c r="B3984" s="1">
        <v>45658</v>
      </c>
      <c r="C3984">
        <v>840999</v>
      </c>
      <c r="D3984" t="s">
        <v>176</v>
      </c>
      <c r="E3984">
        <v>5484698</v>
      </c>
      <c r="F3984">
        <v>1068229</v>
      </c>
      <c r="G3984">
        <v>290007</v>
      </c>
      <c r="H3984">
        <f>_xlfn.XLOOKUP(FACT_IMPORTS[[#This Row],[hts_6]],DIM_PRODUCTS[hts_6],DIM_PRODUCTS[hts_4],,,)</f>
        <v>8409</v>
      </c>
      <c r="I3984" t="str" cm="1">
        <f t="array" ref="I3984">_xlfn.XLOOKUP(FACT_IMPORTS[[#This Row],[country_name]],DIM_COUNTRY[[#All],[Column2]],DIM_COUNTRY[[#All],[Column3]],,,)</f>
        <v>China</v>
      </c>
    </row>
    <row r="3985" spans="1:9" x14ac:dyDescent="0.4">
      <c r="A3985" t="s">
        <v>66</v>
      </c>
      <c r="B3985" s="1">
        <v>45658</v>
      </c>
      <c r="C3985">
        <v>841330</v>
      </c>
      <c r="D3985" t="s">
        <v>176</v>
      </c>
      <c r="E3985">
        <v>1114067</v>
      </c>
      <c r="F3985">
        <v>27525</v>
      </c>
      <c r="G3985">
        <v>21222</v>
      </c>
      <c r="H3985">
        <f>_xlfn.XLOOKUP(FACT_IMPORTS[[#This Row],[hts_6]],DIM_PRODUCTS[hts_6],DIM_PRODUCTS[hts_4],,,)</f>
        <v>8413</v>
      </c>
      <c r="I3985" t="str" cm="1">
        <f t="array" ref="I3985">_xlfn.XLOOKUP(FACT_IMPORTS[[#This Row],[country_name]],DIM_COUNTRY[[#All],[Column2]],DIM_COUNTRY[[#All],[Column3]],,,)</f>
        <v>China</v>
      </c>
    </row>
    <row r="3986" spans="1:9" x14ac:dyDescent="0.4">
      <c r="A3986" t="s">
        <v>66</v>
      </c>
      <c r="B3986" s="1">
        <v>45658</v>
      </c>
      <c r="C3986">
        <v>841520</v>
      </c>
      <c r="D3986" t="s">
        <v>176</v>
      </c>
      <c r="E3986">
        <v>0</v>
      </c>
      <c r="F3986">
        <v>0</v>
      </c>
      <c r="G3986">
        <v>0</v>
      </c>
      <c r="H3986">
        <f>_xlfn.XLOOKUP(FACT_IMPORTS[[#This Row],[hts_6]],DIM_PRODUCTS[hts_6],DIM_PRODUCTS[hts_4],,,)</f>
        <v>8415</v>
      </c>
      <c r="I3986" t="str" cm="1">
        <f t="array" ref="I3986">_xlfn.XLOOKUP(FACT_IMPORTS[[#This Row],[country_name]],DIM_COUNTRY[[#All],[Column2]],DIM_COUNTRY[[#All],[Column3]],,,)</f>
        <v>China</v>
      </c>
    </row>
    <row r="3987" spans="1:9" x14ac:dyDescent="0.4">
      <c r="A3987" t="s">
        <v>66</v>
      </c>
      <c r="B3987" s="1">
        <v>45658</v>
      </c>
      <c r="C3987">
        <v>842132</v>
      </c>
      <c r="D3987" t="s">
        <v>176</v>
      </c>
      <c r="E3987">
        <v>100057</v>
      </c>
      <c r="F3987">
        <v>890</v>
      </c>
      <c r="G3987">
        <v>441</v>
      </c>
      <c r="H3987">
        <f>_xlfn.XLOOKUP(FACT_IMPORTS[[#This Row],[hts_6]],DIM_PRODUCTS[hts_6],DIM_PRODUCTS[hts_4],,,)</f>
        <v>8421</v>
      </c>
      <c r="I3987" t="str" cm="1">
        <f t="array" ref="I3987">_xlfn.XLOOKUP(FACT_IMPORTS[[#This Row],[country_name]],DIM_COUNTRY[[#All],[Column2]],DIM_COUNTRY[[#All],[Column3]],,,)</f>
        <v>China</v>
      </c>
    </row>
    <row r="3988" spans="1:9" x14ac:dyDescent="0.4">
      <c r="A3988" t="s">
        <v>66</v>
      </c>
      <c r="B3988" s="1">
        <v>45658</v>
      </c>
      <c r="C3988">
        <v>848210</v>
      </c>
      <c r="D3988" t="s">
        <v>176</v>
      </c>
      <c r="E3988">
        <v>1018575</v>
      </c>
      <c r="F3988">
        <v>738721</v>
      </c>
      <c r="G3988">
        <v>48159</v>
      </c>
      <c r="H3988">
        <f>_xlfn.XLOOKUP(FACT_IMPORTS[[#This Row],[hts_6]],DIM_PRODUCTS[hts_6],DIM_PRODUCTS[hts_4],,,)</f>
        <v>8482</v>
      </c>
      <c r="I3988" t="str" cm="1">
        <f t="array" ref="I3988">_xlfn.XLOOKUP(FACT_IMPORTS[[#This Row],[country_name]],DIM_COUNTRY[[#All],[Column2]],DIM_COUNTRY[[#All],[Column3]],,,)</f>
        <v>China</v>
      </c>
    </row>
    <row r="3989" spans="1:9" x14ac:dyDescent="0.4">
      <c r="A3989" t="s">
        <v>66</v>
      </c>
      <c r="B3989" s="1">
        <v>45658</v>
      </c>
      <c r="C3989">
        <v>848220</v>
      </c>
      <c r="D3989" t="s">
        <v>176</v>
      </c>
      <c r="E3989">
        <v>111154</v>
      </c>
      <c r="F3989">
        <v>100800</v>
      </c>
      <c r="G3989">
        <v>6700</v>
      </c>
      <c r="H3989">
        <f>_xlfn.XLOOKUP(FACT_IMPORTS[[#This Row],[hts_6]],DIM_PRODUCTS[hts_6],DIM_PRODUCTS[hts_4],,,)</f>
        <v>8482</v>
      </c>
      <c r="I3989" t="str" cm="1">
        <f t="array" ref="I3989">_xlfn.XLOOKUP(FACT_IMPORTS[[#This Row],[country_name]],DIM_COUNTRY[[#All],[Column2]],DIM_COUNTRY[[#All],[Column3]],,,)</f>
        <v>China</v>
      </c>
    </row>
    <row r="3990" spans="1:9" x14ac:dyDescent="0.4">
      <c r="A3990" t="s">
        <v>66</v>
      </c>
      <c r="B3990" s="1">
        <v>45658</v>
      </c>
      <c r="C3990">
        <v>848310</v>
      </c>
      <c r="D3990" t="s">
        <v>176</v>
      </c>
      <c r="E3990">
        <v>2413157</v>
      </c>
      <c r="F3990">
        <v>195779</v>
      </c>
      <c r="G3990">
        <v>144797</v>
      </c>
      <c r="H3990">
        <f>_xlfn.XLOOKUP(FACT_IMPORTS[[#This Row],[hts_6]],DIM_PRODUCTS[hts_6],DIM_PRODUCTS[hts_4],,,)</f>
        <v>8483</v>
      </c>
      <c r="I3990" t="str" cm="1">
        <f t="array" ref="I3990">_xlfn.XLOOKUP(FACT_IMPORTS[[#This Row],[country_name]],DIM_COUNTRY[[#All],[Column2]],DIM_COUNTRY[[#All],[Column3]],,,)</f>
        <v>China</v>
      </c>
    </row>
    <row r="3991" spans="1:9" x14ac:dyDescent="0.4">
      <c r="A3991" t="s">
        <v>66</v>
      </c>
      <c r="B3991" s="1">
        <v>45658</v>
      </c>
      <c r="C3991">
        <v>850131</v>
      </c>
      <c r="D3991" t="s">
        <v>176</v>
      </c>
      <c r="E3991">
        <v>2489221</v>
      </c>
      <c r="F3991">
        <v>320312</v>
      </c>
      <c r="G3991">
        <v>129699</v>
      </c>
      <c r="H3991">
        <f>_xlfn.XLOOKUP(FACT_IMPORTS[[#This Row],[hts_6]],DIM_PRODUCTS[hts_6],DIM_PRODUCTS[hts_4],,,)</f>
        <v>8501</v>
      </c>
      <c r="I3991" t="str" cm="1">
        <f t="array" ref="I3991">_xlfn.XLOOKUP(FACT_IMPORTS[[#This Row],[country_name]],DIM_COUNTRY[[#All],[Column2]],DIM_COUNTRY[[#All],[Column3]],,,)</f>
        <v>China</v>
      </c>
    </row>
    <row r="3992" spans="1:9" x14ac:dyDescent="0.4">
      <c r="A3992" t="s">
        <v>66</v>
      </c>
      <c r="B3992" s="1">
        <v>45658</v>
      </c>
      <c r="C3992">
        <v>850132</v>
      </c>
      <c r="D3992" t="s">
        <v>176</v>
      </c>
      <c r="E3992">
        <v>158259</v>
      </c>
      <c r="F3992">
        <v>2725</v>
      </c>
      <c r="G3992">
        <v>5152</v>
      </c>
      <c r="H3992">
        <f>_xlfn.XLOOKUP(FACT_IMPORTS[[#This Row],[hts_6]],DIM_PRODUCTS[hts_6],DIM_PRODUCTS[hts_4],,,)</f>
        <v>8501</v>
      </c>
      <c r="I3992" t="str" cm="1">
        <f t="array" ref="I3992">_xlfn.XLOOKUP(FACT_IMPORTS[[#This Row],[country_name]],DIM_COUNTRY[[#All],[Column2]],DIM_COUNTRY[[#All],[Column3]],,,)</f>
        <v>China</v>
      </c>
    </row>
    <row r="3993" spans="1:9" x14ac:dyDescent="0.4">
      <c r="A3993" t="s">
        <v>66</v>
      </c>
      <c r="B3993" s="1">
        <v>45658</v>
      </c>
      <c r="C3993">
        <v>850133</v>
      </c>
      <c r="D3993" t="s">
        <v>176</v>
      </c>
      <c r="E3993">
        <v>15348</v>
      </c>
      <c r="F3993">
        <v>1</v>
      </c>
      <c r="G3993">
        <v>5000</v>
      </c>
      <c r="H3993">
        <f>_xlfn.XLOOKUP(FACT_IMPORTS[[#This Row],[hts_6]],DIM_PRODUCTS[hts_6],DIM_PRODUCTS[hts_4],,,)</f>
        <v>8501</v>
      </c>
      <c r="I3993" t="str" cm="1">
        <f t="array" ref="I3993">_xlfn.XLOOKUP(FACT_IMPORTS[[#This Row],[country_name]],DIM_COUNTRY[[#All],[Column2]],DIM_COUNTRY[[#All],[Column3]],,,)</f>
        <v>China</v>
      </c>
    </row>
    <row r="3994" spans="1:9" x14ac:dyDescent="0.4">
      <c r="A3994" t="s">
        <v>66</v>
      </c>
      <c r="B3994" s="1">
        <v>45658</v>
      </c>
      <c r="C3994">
        <v>850152</v>
      </c>
      <c r="D3994" t="s">
        <v>176</v>
      </c>
      <c r="E3994">
        <v>841814</v>
      </c>
      <c r="F3994">
        <v>3025</v>
      </c>
      <c r="G3994">
        <v>38222</v>
      </c>
      <c r="H3994">
        <f>_xlfn.XLOOKUP(FACT_IMPORTS[[#This Row],[hts_6]],DIM_PRODUCTS[hts_6],DIM_PRODUCTS[hts_4],,,)</f>
        <v>8501</v>
      </c>
      <c r="I3994" t="str" cm="1">
        <f t="array" ref="I3994">_xlfn.XLOOKUP(FACT_IMPORTS[[#This Row],[country_name]],DIM_COUNTRY[[#All],[Column2]],DIM_COUNTRY[[#All],[Column3]],,,)</f>
        <v>China</v>
      </c>
    </row>
    <row r="3995" spans="1:9" x14ac:dyDescent="0.4">
      <c r="A3995" t="s">
        <v>66</v>
      </c>
      <c r="B3995" s="1">
        <v>45658</v>
      </c>
      <c r="C3995">
        <v>850153</v>
      </c>
      <c r="D3995" t="s">
        <v>176</v>
      </c>
      <c r="E3995">
        <v>9170</v>
      </c>
      <c r="F3995">
        <v>1</v>
      </c>
      <c r="G3995">
        <v>95</v>
      </c>
      <c r="H3995">
        <f>_xlfn.XLOOKUP(FACT_IMPORTS[[#This Row],[hts_6]],DIM_PRODUCTS[hts_6],DIM_PRODUCTS[hts_4],,,)</f>
        <v>8501</v>
      </c>
      <c r="I3995" t="str" cm="1">
        <f t="array" ref="I3995">_xlfn.XLOOKUP(FACT_IMPORTS[[#This Row],[country_name]],DIM_COUNTRY[[#All],[Column2]],DIM_COUNTRY[[#All],[Column3]],,,)</f>
        <v>China</v>
      </c>
    </row>
    <row r="3996" spans="1:9" x14ac:dyDescent="0.4">
      <c r="A3996" t="s">
        <v>66</v>
      </c>
      <c r="B3996" s="1">
        <v>45658</v>
      </c>
      <c r="C3996">
        <v>850161</v>
      </c>
      <c r="D3996" t="s">
        <v>176</v>
      </c>
      <c r="E3996">
        <v>0</v>
      </c>
      <c r="F3996">
        <v>0</v>
      </c>
      <c r="G3996">
        <v>0</v>
      </c>
      <c r="H3996">
        <f>_xlfn.XLOOKUP(FACT_IMPORTS[[#This Row],[hts_6]],DIM_PRODUCTS[hts_6],DIM_PRODUCTS[hts_4],,,)</f>
        <v>8501</v>
      </c>
      <c r="I3996" t="str" cm="1">
        <f t="array" ref="I3996">_xlfn.XLOOKUP(FACT_IMPORTS[[#This Row],[country_name]],DIM_COUNTRY[[#All],[Column2]],DIM_COUNTRY[[#All],[Column3]],,,)</f>
        <v>China</v>
      </c>
    </row>
    <row r="3997" spans="1:9" x14ac:dyDescent="0.4">
      <c r="A3997" t="s">
        <v>66</v>
      </c>
      <c r="B3997" s="1">
        <v>45658</v>
      </c>
      <c r="C3997">
        <v>850440</v>
      </c>
      <c r="D3997" t="s">
        <v>176</v>
      </c>
      <c r="E3997">
        <v>1392613</v>
      </c>
      <c r="F3997">
        <v>89289</v>
      </c>
      <c r="G3997">
        <v>33507</v>
      </c>
      <c r="H3997">
        <f>_xlfn.XLOOKUP(FACT_IMPORTS[[#This Row],[hts_6]],DIM_PRODUCTS[hts_6],DIM_PRODUCTS[hts_4],,,)</f>
        <v>8504</v>
      </c>
      <c r="I3997" t="str" cm="1">
        <f t="array" ref="I3997">_xlfn.XLOOKUP(FACT_IMPORTS[[#This Row],[country_name]],DIM_COUNTRY[[#All],[Column2]],DIM_COUNTRY[[#All],[Column3]],,,)</f>
        <v>China</v>
      </c>
    </row>
    <row r="3998" spans="1:9" x14ac:dyDescent="0.4">
      <c r="A3998" t="s">
        <v>66</v>
      </c>
      <c r="B3998" s="1">
        <v>45658</v>
      </c>
      <c r="C3998">
        <v>850710</v>
      </c>
      <c r="D3998" t="s">
        <v>176</v>
      </c>
      <c r="E3998">
        <v>22873</v>
      </c>
      <c r="F3998">
        <v>546</v>
      </c>
      <c r="G3998">
        <v>317</v>
      </c>
      <c r="H3998">
        <f>_xlfn.XLOOKUP(FACT_IMPORTS[[#This Row],[hts_6]],DIM_PRODUCTS[hts_6],DIM_PRODUCTS[hts_4],,,)</f>
        <v>8507</v>
      </c>
      <c r="I3998" t="str" cm="1">
        <f t="array" ref="I3998">_xlfn.XLOOKUP(FACT_IMPORTS[[#This Row],[country_name]],DIM_COUNTRY[[#All],[Column2]],DIM_COUNTRY[[#All],[Column3]],,,)</f>
        <v>China</v>
      </c>
    </row>
    <row r="3999" spans="1:9" x14ac:dyDescent="0.4">
      <c r="A3999" t="s">
        <v>66</v>
      </c>
      <c r="B3999" s="1">
        <v>45658</v>
      </c>
      <c r="C3999">
        <v>850760</v>
      </c>
      <c r="D3999" t="s">
        <v>176</v>
      </c>
      <c r="E3999">
        <v>2840407</v>
      </c>
      <c r="F3999">
        <v>7339</v>
      </c>
      <c r="G3999">
        <v>14950</v>
      </c>
      <c r="H3999">
        <f>_xlfn.XLOOKUP(FACT_IMPORTS[[#This Row],[hts_6]],DIM_PRODUCTS[hts_6],DIM_PRODUCTS[hts_4],,,)</f>
        <v>8507</v>
      </c>
      <c r="I3999" t="str" cm="1">
        <f t="array" ref="I3999">_xlfn.XLOOKUP(FACT_IMPORTS[[#This Row],[country_name]],DIM_COUNTRY[[#All],[Column2]],DIM_COUNTRY[[#All],[Column3]],,,)</f>
        <v>China</v>
      </c>
    </row>
    <row r="4000" spans="1:9" x14ac:dyDescent="0.4">
      <c r="A4000" t="s">
        <v>66</v>
      </c>
      <c r="B4000" s="1">
        <v>45658</v>
      </c>
      <c r="C4000">
        <v>850790</v>
      </c>
      <c r="D4000" t="s">
        <v>176</v>
      </c>
      <c r="E4000">
        <v>36974</v>
      </c>
      <c r="F4000">
        <v>934</v>
      </c>
      <c r="G4000">
        <v>3426</v>
      </c>
      <c r="H4000">
        <f>_xlfn.XLOOKUP(FACT_IMPORTS[[#This Row],[hts_6]],DIM_PRODUCTS[hts_6],DIM_PRODUCTS[hts_4],,,)</f>
        <v>8507</v>
      </c>
      <c r="I4000" t="str" cm="1">
        <f t="array" ref="I4000">_xlfn.XLOOKUP(FACT_IMPORTS[[#This Row],[country_name]],DIM_COUNTRY[[#All],[Column2]],DIM_COUNTRY[[#All],[Column3]],,,)</f>
        <v>China</v>
      </c>
    </row>
    <row r="4001" spans="1:9" x14ac:dyDescent="0.4">
      <c r="A4001" t="s">
        <v>66</v>
      </c>
      <c r="B4001" s="1">
        <v>45658</v>
      </c>
      <c r="C4001">
        <v>851110</v>
      </c>
      <c r="D4001" t="s">
        <v>176</v>
      </c>
      <c r="E4001">
        <v>0</v>
      </c>
      <c r="F4001">
        <v>0</v>
      </c>
      <c r="G4001">
        <v>0</v>
      </c>
      <c r="H4001">
        <f>_xlfn.XLOOKUP(FACT_IMPORTS[[#This Row],[hts_6]],DIM_PRODUCTS[hts_6],DIM_PRODUCTS[hts_4],,,)</f>
        <v>8511</v>
      </c>
      <c r="I4001" t="str" cm="1">
        <f t="array" ref="I4001">_xlfn.XLOOKUP(FACT_IMPORTS[[#This Row],[country_name]],DIM_COUNTRY[[#All],[Column2]],DIM_COUNTRY[[#All],[Column3]],,,)</f>
        <v>China</v>
      </c>
    </row>
    <row r="4002" spans="1:9" x14ac:dyDescent="0.4">
      <c r="A4002" t="s">
        <v>66</v>
      </c>
      <c r="B4002" s="1">
        <v>45658</v>
      </c>
      <c r="C4002">
        <v>851120</v>
      </c>
      <c r="D4002" t="s">
        <v>176</v>
      </c>
      <c r="E4002">
        <v>0</v>
      </c>
      <c r="F4002">
        <v>0</v>
      </c>
      <c r="G4002">
        <v>0</v>
      </c>
      <c r="H4002">
        <f>_xlfn.XLOOKUP(FACT_IMPORTS[[#This Row],[hts_6]],DIM_PRODUCTS[hts_6],DIM_PRODUCTS[hts_4],,,)</f>
        <v>8511</v>
      </c>
      <c r="I4002" t="str" cm="1">
        <f t="array" ref="I4002">_xlfn.XLOOKUP(FACT_IMPORTS[[#This Row],[country_name]],DIM_COUNTRY[[#All],[Column2]],DIM_COUNTRY[[#All],[Column3]],,,)</f>
        <v>China</v>
      </c>
    </row>
    <row r="4003" spans="1:9" x14ac:dyDescent="0.4">
      <c r="A4003" t="s">
        <v>66</v>
      </c>
      <c r="B4003" s="1">
        <v>45658</v>
      </c>
      <c r="C4003">
        <v>851130</v>
      </c>
      <c r="D4003" t="s">
        <v>176</v>
      </c>
      <c r="E4003">
        <v>26647</v>
      </c>
      <c r="F4003">
        <v>682</v>
      </c>
      <c r="G4003">
        <v>1244</v>
      </c>
      <c r="H4003">
        <f>_xlfn.XLOOKUP(FACT_IMPORTS[[#This Row],[hts_6]],DIM_PRODUCTS[hts_6],DIM_PRODUCTS[hts_4],,,)</f>
        <v>8511</v>
      </c>
      <c r="I4003" t="str" cm="1">
        <f t="array" ref="I4003">_xlfn.XLOOKUP(FACT_IMPORTS[[#This Row],[country_name]],DIM_COUNTRY[[#All],[Column2]],DIM_COUNTRY[[#All],[Column3]],,,)</f>
        <v>China</v>
      </c>
    </row>
    <row r="4004" spans="1:9" x14ac:dyDescent="0.4">
      <c r="A4004" t="s">
        <v>66</v>
      </c>
      <c r="B4004" s="1">
        <v>45658</v>
      </c>
      <c r="C4004">
        <v>851140</v>
      </c>
      <c r="D4004" t="s">
        <v>176</v>
      </c>
      <c r="E4004">
        <v>423137</v>
      </c>
      <c r="F4004">
        <v>6002</v>
      </c>
      <c r="G4004">
        <v>6063</v>
      </c>
      <c r="H4004">
        <f>_xlfn.XLOOKUP(FACT_IMPORTS[[#This Row],[hts_6]],DIM_PRODUCTS[hts_6],DIM_PRODUCTS[hts_4],,,)</f>
        <v>8511</v>
      </c>
      <c r="I4004" t="str" cm="1">
        <f t="array" ref="I4004">_xlfn.XLOOKUP(FACT_IMPORTS[[#This Row],[country_name]],DIM_COUNTRY[[#All],[Column2]],DIM_COUNTRY[[#All],[Column3]],,,)</f>
        <v>China</v>
      </c>
    </row>
    <row r="4005" spans="1:9" x14ac:dyDescent="0.4">
      <c r="A4005" t="s">
        <v>66</v>
      </c>
      <c r="B4005" s="1">
        <v>45658</v>
      </c>
      <c r="C4005">
        <v>851150</v>
      </c>
      <c r="D4005" t="s">
        <v>176</v>
      </c>
      <c r="E4005">
        <v>210813</v>
      </c>
      <c r="F4005">
        <v>3542</v>
      </c>
      <c r="G4005">
        <v>5322</v>
      </c>
      <c r="H4005">
        <f>_xlfn.XLOOKUP(FACT_IMPORTS[[#This Row],[hts_6]],DIM_PRODUCTS[hts_6],DIM_PRODUCTS[hts_4],,,)</f>
        <v>8511</v>
      </c>
      <c r="I4005" t="str" cm="1">
        <f t="array" ref="I4005">_xlfn.XLOOKUP(FACT_IMPORTS[[#This Row],[country_name]],DIM_COUNTRY[[#All],[Column2]],DIM_COUNTRY[[#All],[Column3]],,,)</f>
        <v>China</v>
      </c>
    </row>
    <row r="4006" spans="1:9" x14ac:dyDescent="0.4">
      <c r="A4006" t="s">
        <v>66</v>
      </c>
      <c r="B4006" s="1">
        <v>45658</v>
      </c>
      <c r="C4006">
        <v>851180</v>
      </c>
      <c r="D4006" t="s">
        <v>176</v>
      </c>
      <c r="E4006">
        <v>0</v>
      </c>
      <c r="F4006">
        <v>0</v>
      </c>
      <c r="G4006">
        <v>0</v>
      </c>
      <c r="H4006">
        <f>_xlfn.XLOOKUP(FACT_IMPORTS[[#This Row],[hts_6]],DIM_PRODUCTS[hts_6],DIM_PRODUCTS[hts_4],,,)</f>
        <v>8511</v>
      </c>
      <c r="I4006" t="str" cm="1">
        <f t="array" ref="I4006">_xlfn.XLOOKUP(FACT_IMPORTS[[#This Row],[country_name]],DIM_COUNTRY[[#All],[Column2]],DIM_COUNTRY[[#All],[Column3]],,,)</f>
        <v>China</v>
      </c>
    </row>
    <row r="4007" spans="1:9" x14ac:dyDescent="0.4">
      <c r="A4007" t="s">
        <v>66</v>
      </c>
      <c r="B4007" s="1">
        <v>45658</v>
      </c>
      <c r="C4007">
        <v>851190</v>
      </c>
      <c r="D4007" t="s">
        <v>176</v>
      </c>
      <c r="E4007">
        <v>321447</v>
      </c>
      <c r="F4007">
        <v>37087</v>
      </c>
      <c r="G4007">
        <v>11190</v>
      </c>
      <c r="H4007">
        <f>_xlfn.XLOOKUP(FACT_IMPORTS[[#This Row],[hts_6]],DIM_PRODUCTS[hts_6],DIM_PRODUCTS[hts_4],,,)</f>
        <v>8511</v>
      </c>
      <c r="I4007" t="str" cm="1">
        <f t="array" ref="I4007">_xlfn.XLOOKUP(FACT_IMPORTS[[#This Row],[country_name]],DIM_COUNTRY[[#All],[Column2]],DIM_COUNTRY[[#All],[Column3]],,,)</f>
        <v>China</v>
      </c>
    </row>
    <row r="4008" spans="1:9" x14ac:dyDescent="0.4">
      <c r="A4008" t="s">
        <v>66</v>
      </c>
      <c r="B4008" s="1">
        <v>45658</v>
      </c>
      <c r="C4008">
        <v>851220</v>
      </c>
      <c r="D4008" t="s">
        <v>176</v>
      </c>
      <c r="E4008">
        <v>2876239</v>
      </c>
      <c r="F4008">
        <v>383401</v>
      </c>
      <c r="G4008">
        <v>202526</v>
      </c>
      <c r="H4008">
        <f>_xlfn.XLOOKUP(FACT_IMPORTS[[#This Row],[hts_6]],DIM_PRODUCTS[hts_6],DIM_PRODUCTS[hts_4],,,)</f>
        <v>8512</v>
      </c>
      <c r="I4008" t="str" cm="1">
        <f t="array" ref="I4008">_xlfn.XLOOKUP(FACT_IMPORTS[[#This Row],[country_name]],DIM_COUNTRY[[#All],[Column2]],DIM_COUNTRY[[#All],[Column3]],,,)</f>
        <v>China</v>
      </c>
    </row>
    <row r="4009" spans="1:9" x14ac:dyDescent="0.4">
      <c r="A4009" t="s">
        <v>66</v>
      </c>
      <c r="B4009" s="1">
        <v>45658</v>
      </c>
      <c r="C4009">
        <v>851230</v>
      </c>
      <c r="D4009" t="s">
        <v>176</v>
      </c>
      <c r="E4009">
        <v>30572</v>
      </c>
      <c r="F4009">
        <v>779</v>
      </c>
      <c r="G4009">
        <v>7</v>
      </c>
      <c r="H4009">
        <f>_xlfn.XLOOKUP(FACT_IMPORTS[[#This Row],[hts_6]],DIM_PRODUCTS[hts_6],DIM_PRODUCTS[hts_4],,,)</f>
        <v>8512</v>
      </c>
      <c r="I4009" t="str" cm="1">
        <f t="array" ref="I4009">_xlfn.XLOOKUP(FACT_IMPORTS[[#This Row],[country_name]],DIM_COUNTRY[[#All],[Column2]],DIM_COUNTRY[[#All],[Column3]],,,)</f>
        <v>China</v>
      </c>
    </row>
    <row r="4010" spans="1:9" x14ac:dyDescent="0.4">
      <c r="A4010" t="s">
        <v>66</v>
      </c>
      <c r="B4010" s="1">
        <v>45658</v>
      </c>
      <c r="C4010">
        <v>851240</v>
      </c>
      <c r="D4010" t="s">
        <v>176</v>
      </c>
      <c r="E4010">
        <v>2279</v>
      </c>
      <c r="F4010">
        <v>49</v>
      </c>
      <c r="G4010">
        <v>1</v>
      </c>
      <c r="H4010">
        <f>_xlfn.XLOOKUP(FACT_IMPORTS[[#This Row],[hts_6]],DIM_PRODUCTS[hts_6],DIM_PRODUCTS[hts_4],,,)</f>
        <v>8512</v>
      </c>
      <c r="I4010" t="str" cm="1">
        <f t="array" ref="I4010">_xlfn.XLOOKUP(FACT_IMPORTS[[#This Row],[country_name]],DIM_COUNTRY[[#All],[Column2]],DIM_COUNTRY[[#All],[Column3]],,,)</f>
        <v>China</v>
      </c>
    </row>
    <row r="4011" spans="1:9" x14ac:dyDescent="0.4">
      <c r="A4011" t="s">
        <v>66</v>
      </c>
      <c r="B4011" s="1">
        <v>45658</v>
      </c>
      <c r="C4011">
        <v>851290</v>
      </c>
      <c r="D4011" t="s">
        <v>176</v>
      </c>
      <c r="E4011">
        <v>217875</v>
      </c>
      <c r="F4011">
        <v>26703</v>
      </c>
      <c r="G4011">
        <v>13280</v>
      </c>
      <c r="H4011">
        <f>_xlfn.XLOOKUP(FACT_IMPORTS[[#This Row],[hts_6]],DIM_PRODUCTS[hts_6],DIM_PRODUCTS[hts_4],,,)</f>
        <v>8512</v>
      </c>
      <c r="I4011" t="str" cm="1">
        <f t="array" ref="I4011">_xlfn.XLOOKUP(FACT_IMPORTS[[#This Row],[country_name]],DIM_COUNTRY[[#All],[Column2]],DIM_COUNTRY[[#All],[Column3]],,,)</f>
        <v>China</v>
      </c>
    </row>
    <row r="4012" spans="1:9" x14ac:dyDescent="0.4">
      <c r="A4012" t="s">
        <v>66</v>
      </c>
      <c r="B4012" s="1">
        <v>45658</v>
      </c>
      <c r="C4012">
        <v>854231</v>
      </c>
      <c r="D4012" t="s">
        <v>176</v>
      </c>
      <c r="E4012">
        <v>11544</v>
      </c>
      <c r="F4012">
        <v>3000</v>
      </c>
      <c r="G4012">
        <v>1155</v>
      </c>
      <c r="H4012">
        <f>_xlfn.XLOOKUP(FACT_IMPORTS[[#This Row],[hts_6]],DIM_PRODUCTS[hts_6],DIM_PRODUCTS[hts_4],,,)</f>
        <v>8542</v>
      </c>
      <c r="I4012" t="str" cm="1">
        <f t="array" ref="I4012">_xlfn.XLOOKUP(FACT_IMPORTS[[#This Row],[country_name]],DIM_COUNTRY[[#All],[Column2]],DIM_COUNTRY[[#All],[Column3]],,,)</f>
        <v>China</v>
      </c>
    </row>
    <row r="4013" spans="1:9" x14ac:dyDescent="0.4">
      <c r="A4013" t="s">
        <v>66</v>
      </c>
      <c r="B4013" s="1">
        <v>45658</v>
      </c>
      <c r="C4013">
        <v>854232</v>
      </c>
      <c r="D4013" t="s">
        <v>176</v>
      </c>
      <c r="E4013">
        <v>5168</v>
      </c>
      <c r="F4013">
        <v>1782</v>
      </c>
      <c r="G4013">
        <v>18</v>
      </c>
      <c r="H4013">
        <f>_xlfn.XLOOKUP(FACT_IMPORTS[[#This Row],[hts_6]],DIM_PRODUCTS[hts_6],DIM_PRODUCTS[hts_4],,,)</f>
        <v>8542</v>
      </c>
      <c r="I4013" t="str" cm="1">
        <f t="array" ref="I4013">_xlfn.XLOOKUP(FACT_IMPORTS[[#This Row],[country_name]],DIM_COUNTRY[[#All],[Column2]],DIM_COUNTRY[[#All],[Column3]],,,)</f>
        <v>China</v>
      </c>
    </row>
    <row r="4014" spans="1:9" x14ac:dyDescent="0.4">
      <c r="A4014" t="s">
        <v>66</v>
      </c>
      <c r="B4014" s="1">
        <v>45658</v>
      </c>
      <c r="C4014">
        <v>854233</v>
      </c>
      <c r="D4014" t="s">
        <v>176</v>
      </c>
      <c r="E4014">
        <v>2735</v>
      </c>
      <c r="F4014">
        <v>547</v>
      </c>
      <c r="G4014">
        <v>30</v>
      </c>
      <c r="H4014">
        <f>_xlfn.XLOOKUP(FACT_IMPORTS[[#This Row],[hts_6]],DIM_PRODUCTS[hts_6],DIM_PRODUCTS[hts_4],,,)</f>
        <v>8542</v>
      </c>
      <c r="I4014" t="str" cm="1">
        <f t="array" ref="I4014">_xlfn.XLOOKUP(FACT_IMPORTS[[#This Row],[country_name]],DIM_COUNTRY[[#All],[Column2]],DIM_COUNTRY[[#All],[Column3]],,,)</f>
        <v>China</v>
      </c>
    </row>
    <row r="4015" spans="1:9" x14ac:dyDescent="0.4">
      <c r="A4015" t="s">
        <v>66</v>
      </c>
      <c r="B4015" s="1">
        <v>45658</v>
      </c>
      <c r="C4015">
        <v>854239</v>
      </c>
      <c r="D4015" t="s">
        <v>176</v>
      </c>
      <c r="E4015">
        <v>15920</v>
      </c>
      <c r="F4015">
        <v>28817</v>
      </c>
      <c r="G4015">
        <v>403</v>
      </c>
      <c r="H4015">
        <f>_xlfn.XLOOKUP(FACT_IMPORTS[[#This Row],[hts_6]],DIM_PRODUCTS[hts_6],DIM_PRODUCTS[hts_4],,,)</f>
        <v>8542</v>
      </c>
      <c r="I4015" t="str" cm="1">
        <f t="array" ref="I4015">_xlfn.XLOOKUP(FACT_IMPORTS[[#This Row],[country_name]],DIM_COUNTRY[[#All],[Column2]],DIM_COUNTRY[[#All],[Column3]],,,)</f>
        <v>China</v>
      </c>
    </row>
    <row r="4016" spans="1:9" x14ac:dyDescent="0.4">
      <c r="A4016" t="s">
        <v>66</v>
      </c>
      <c r="B4016" s="1">
        <v>45658</v>
      </c>
      <c r="C4016">
        <v>854290</v>
      </c>
      <c r="D4016" t="s">
        <v>176</v>
      </c>
      <c r="E4016">
        <v>12984</v>
      </c>
      <c r="F4016">
        <v>160</v>
      </c>
      <c r="G4016">
        <v>18</v>
      </c>
      <c r="H4016">
        <f>_xlfn.XLOOKUP(FACT_IMPORTS[[#This Row],[hts_6]],DIM_PRODUCTS[hts_6],DIM_PRODUCTS[hts_4],,,)</f>
        <v>8542</v>
      </c>
      <c r="I4016" t="str" cm="1">
        <f t="array" ref="I4016">_xlfn.XLOOKUP(FACT_IMPORTS[[#This Row],[country_name]],DIM_COUNTRY[[#All],[Column2]],DIM_COUNTRY[[#All],[Column3]],,,)</f>
        <v>China</v>
      </c>
    </row>
    <row r="4017" spans="1:9" x14ac:dyDescent="0.4">
      <c r="A4017" t="s">
        <v>66</v>
      </c>
      <c r="B4017" s="1">
        <v>45658</v>
      </c>
      <c r="C4017">
        <v>854430</v>
      </c>
      <c r="D4017" t="s">
        <v>176</v>
      </c>
      <c r="E4017">
        <v>736801</v>
      </c>
      <c r="F4017">
        <v>108052</v>
      </c>
      <c r="G4017">
        <v>17244</v>
      </c>
      <c r="H4017">
        <f>_xlfn.XLOOKUP(FACT_IMPORTS[[#This Row],[hts_6]],DIM_PRODUCTS[hts_6],DIM_PRODUCTS[hts_4],,,)</f>
        <v>8544</v>
      </c>
      <c r="I4017" t="str" cm="1">
        <f t="array" ref="I4017">_xlfn.XLOOKUP(FACT_IMPORTS[[#This Row],[country_name]],DIM_COUNTRY[[#All],[Column2]],DIM_COUNTRY[[#All],[Column3]],,,)</f>
        <v>China</v>
      </c>
    </row>
    <row r="4018" spans="1:9" x14ac:dyDescent="0.4">
      <c r="A4018" t="s">
        <v>66</v>
      </c>
      <c r="B4018" s="1">
        <v>45658</v>
      </c>
      <c r="C4018">
        <v>870790</v>
      </c>
      <c r="D4018" t="s">
        <v>176</v>
      </c>
      <c r="E4018">
        <v>0</v>
      </c>
      <c r="F4018">
        <v>0</v>
      </c>
      <c r="G4018">
        <v>0</v>
      </c>
      <c r="H4018">
        <f>_xlfn.XLOOKUP(FACT_IMPORTS[[#This Row],[hts_6]],DIM_PRODUCTS[hts_6],DIM_PRODUCTS[hts_4],,,)</f>
        <v>8707</v>
      </c>
      <c r="I4018" t="str" cm="1">
        <f t="array" ref="I4018">_xlfn.XLOOKUP(FACT_IMPORTS[[#This Row],[country_name]],DIM_COUNTRY[[#All],[Column2]],DIM_COUNTRY[[#All],[Column3]],,,)</f>
        <v>China</v>
      </c>
    </row>
    <row r="4019" spans="1:9" x14ac:dyDescent="0.4">
      <c r="A4019" t="s">
        <v>66</v>
      </c>
      <c r="B4019" s="1">
        <v>45658</v>
      </c>
      <c r="C4019">
        <v>870810</v>
      </c>
      <c r="D4019" t="s">
        <v>176</v>
      </c>
      <c r="E4019">
        <v>628789</v>
      </c>
      <c r="F4019">
        <v>28598</v>
      </c>
      <c r="G4019">
        <v>38900</v>
      </c>
      <c r="H4019">
        <f>_xlfn.XLOOKUP(FACT_IMPORTS[[#This Row],[hts_6]],DIM_PRODUCTS[hts_6],DIM_PRODUCTS[hts_4],,,)</f>
        <v>8708</v>
      </c>
      <c r="I4019" t="str" cm="1">
        <f t="array" ref="I4019">_xlfn.XLOOKUP(FACT_IMPORTS[[#This Row],[country_name]],DIM_COUNTRY[[#All],[Column2]],DIM_COUNTRY[[#All],[Column3]],,,)</f>
        <v>China</v>
      </c>
    </row>
    <row r="4020" spans="1:9" x14ac:dyDescent="0.4">
      <c r="A4020" t="s">
        <v>66</v>
      </c>
      <c r="B4020" s="1">
        <v>45658</v>
      </c>
      <c r="C4020">
        <v>870821</v>
      </c>
      <c r="D4020" t="s">
        <v>176</v>
      </c>
      <c r="E4020">
        <v>2473</v>
      </c>
      <c r="F4020">
        <v>73</v>
      </c>
      <c r="G4020">
        <v>1</v>
      </c>
      <c r="H4020">
        <f>_xlfn.XLOOKUP(FACT_IMPORTS[[#This Row],[hts_6]],DIM_PRODUCTS[hts_6],DIM_PRODUCTS[hts_4],,,)</f>
        <v>8708</v>
      </c>
      <c r="I4020" t="str" cm="1">
        <f t="array" ref="I4020">_xlfn.XLOOKUP(FACT_IMPORTS[[#This Row],[country_name]],DIM_COUNTRY[[#All],[Column2]],DIM_COUNTRY[[#All],[Column3]],,,)</f>
        <v>China</v>
      </c>
    </row>
    <row r="4021" spans="1:9" x14ac:dyDescent="0.4">
      <c r="A4021" t="s">
        <v>66</v>
      </c>
      <c r="B4021" s="1">
        <v>45658</v>
      </c>
      <c r="C4021">
        <v>870822</v>
      </c>
      <c r="D4021" t="s">
        <v>176</v>
      </c>
      <c r="E4021">
        <v>1248550</v>
      </c>
      <c r="F4021">
        <v>140512</v>
      </c>
      <c r="G4021">
        <v>76152</v>
      </c>
      <c r="H4021">
        <f>_xlfn.XLOOKUP(FACT_IMPORTS[[#This Row],[hts_6]],DIM_PRODUCTS[hts_6],DIM_PRODUCTS[hts_4],,,)</f>
        <v>8708</v>
      </c>
      <c r="I4021" t="str" cm="1">
        <f t="array" ref="I4021">_xlfn.XLOOKUP(FACT_IMPORTS[[#This Row],[country_name]],DIM_COUNTRY[[#All],[Column2]],DIM_COUNTRY[[#All],[Column3]],,,)</f>
        <v>China</v>
      </c>
    </row>
    <row r="4022" spans="1:9" x14ac:dyDescent="0.4">
      <c r="A4022" t="s">
        <v>66</v>
      </c>
      <c r="B4022" s="1">
        <v>45658</v>
      </c>
      <c r="C4022">
        <v>870829</v>
      </c>
      <c r="D4022" t="s">
        <v>176</v>
      </c>
      <c r="E4022">
        <v>14075614</v>
      </c>
      <c r="F4022">
        <v>3180040</v>
      </c>
      <c r="G4022">
        <v>675655</v>
      </c>
      <c r="H4022">
        <f>_xlfn.XLOOKUP(FACT_IMPORTS[[#This Row],[hts_6]],DIM_PRODUCTS[hts_6],DIM_PRODUCTS[hts_4],,,)</f>
        <v>8708</v>
      </c>
      <c r="I4022" t="str" cm="1">
        <f t="array" ref="I4022">_xlfn.XLOOKUP(FACT_IMPORTS[[#This Row],[country_name]],DIM_COUNTRY[[#All],[Column2]],DIM_COUNTRY[[#All],[Column3]],,,)</f>
        <v>China</v>
      </c>
    </row>
    <row r="4023" spans="1:9" x14ac:dyDescent="0.4">
      <c r="A4023" t="s">
        <v>66</v>
      </c>
      <c r="B4023" s="1">
        <v>45658</v>
      </c>
      <c r="C4023">
        <v>870830</v>
      </c>
      <c r="D4023" t="s">
        <v>176</v>
      </c>
      <c r="E4023">
        <v>8944028</v>
      </c>
      <c r="F4023">
        <v>836273</v>
      </c>
      <c r="G4023">
        <v>244047</v>
      </c>
      <c r="H4023">
        <f>_xlfn.XLOOKUP(FACT_IMPORTS[[#This Row],[hts_6]],DIM_PRODUCTS[hts_6],DIM_PRODUCTS[hts_4],,,)</f>
        <v>8708</v>
      </c>
      <c r="I4023" t="str" cm="1">
        <f t="array" ref="I4023">_xlfn.XLOOKUP(FACT_IMPORTS[[#This Row],[country_name]],DIM_COUNTRY[[#All],[Column2]],DIM_COUNTRY[[#All],[Column3]],,,)</f>
        <v>China</v>
      </c>
    </row>
    <row r="4024" spans="1:9" x14ac:dyDescent="0.4">
      <c r="A4024" t="s">
        <v>66</v>
      </c>
      <c r="B4024" s="1">
        <v>45658</v>
      </c>
      <c r="C4024">
        <v>870840</v>
      </c>
      <c r="D4024" t="s">
        <v>176</v>
      </c>
      <c r="E4024">
        <v>3328314</v>
      </c>
      <c r="F4024">
        <v>547952</v>
      </c>
      <c r="G4024">
        <v>155475</v>
      </c>
      <c r="H4024">
        <f>_xlfn.XLOOKUP(FACT_IMPORTS[[#This Row],[hts_6]],DIM_PRODUCTS[hts_6],DIM_PRODUCTS[hts_4],,,)</f>
        <v>8708</v>
      </c>
      <c r="I4024" t="str" cm="1">
        <f t="array" ref="I4024">_xlfn.XLOOKUP(FACT_IMPORTS[[#This Row],[country_name]],DIM_COUNTRY[[#All],[Column2]],DIM_COUNTRY[[#All],[Column3]],,,)</f>
        <v>China</v>
      </c>
    </row>
    <row r="4025" spans="1:9" x14ac:dyDescent="0.4">
      <c r="A4025" t="s">
        <v>66</v>
      </c>
      <c r="B4025" s="1">
        <v>45658</v>
      </c>
      <c r="C4025">
        <v>870850</v>
      </c>
      <c r="D4025" t="s">
        <v>176</v>
      </c>
      <c r="E4025">
        <v>3375558</v>
      </c>
      <c r="F4025">
        <v>761980</v>
      </c>
      <c r="G4025">
        <v>43684</v>
      </c>
      <c r="H4025">
        <f>_xlfn.XLOOKUP(FACT_IMPORTS[[#This Row],[hts_6]],DIM_PRODUCTS[hts_6],DIM_PRODUCTS[hts_4],,,)</f>
        <v>8708</v>
      </c>
      <c r="I4025" t="str" cm="1">
        <f t="array" ref="I4025">_xlfn.XLOOKUP(FACT_IMPORTS[[#This Row],[country_name]],DIM_COUNTRY[[#All],[Column2]],DIM_COUNTRY[[#All],[Column3]],,,)</f>
        <v>China</v>
      </c>
    </row>
    <row r="4026" spans="1:9" x14ac:dyDescent="0.4">
      <c r="A4026" t="s">
        <v>66</v>
      </c>
      <c r="B4026" s="1">
        <v>45658</v>
      </c>
      <c r="C4026">
        <v>870870</v>
      </c>
      <c r="D4026" t="s">
        <v>176</v>
      </c>
      <c r="E4026">
        <v>55311545</v>
      </c>
      <c r="F4026">
        <v>1427472</v>
      </c>
      <c r="G4026">
        <v>18383442</v>
      </c>
      <c r="H4026">
        <f>_xlfn.XLOOKUP(FACT_IMPORTS[[#This Row],[hts_6]],DIM_PRODUCTS[hts_6],DIM_PRODUCTS[hts_4],,,)</f>
        <v>8708</v>
      </c>
      <c r="I4026" t="str" cm="1">
        <f t="array" ref="I4026">_xlfn.XLOOKUP(FACT_IMPORTS[[#This Row],[country_name]],DIM_COUNTRY[[#All],[Column2]],DIM_COUNTRY[[#All],[Column3]],,,)</f>
        <v>China</v>
      </c>
    </row>
    <row r="4027" spans="1:9" x14ac:dyDescent="0.4">
      <c r="A4027" t="s">
        <v>66</v>
      </c>
      <c r="B4027" s="1">
        <v>45658</v>
      </c>
      <c r="C4027">
        <v>870880</v>
      </c>
      <c r="D4027" t="s">
        <v>176</v>
      </c>
      <c r="E4027">
        <v>13617433</v>
      </c>
      <c r="F4027">
        <v>2444879</v>
      </c>
      <c r="G4027">
        <v>162231</v>
      </c>
      <c r="H4027">
        <f>_xlfn.XLOOKUP(FACT_IMPORTS[[#This Row],[hts_6]],DIM_PRODUCTS[hts_6],DIM_PRODUCTS[hts_4],,,)</f>
        <v>8708</v>
      </c>
      <c r="I4027" t="str" cm="1">
        <f t="array" ref="I4027">_xlfn.XLOOKUP(FACT_IMPORTS[[#This Row],[country_name]],DIM_COUNTRY[[#All],[Column2]],DIM_COUNTRY[[#All],[Column3]],,,)</f>
        <v>China</v>
      </c>
    </row>
    <row r="4028" spans="1:9" x14ac:dyDescent="0.4">
      <c r="A4028" t="s">
        <v>66</v>
      </c>
      <c r="B4028" s="1">
        <v>45658</v>
      </c>
      <c r="C4028">
        <v>870891</v>
      </c>
      <c r="D4028" t="s">
        <v>176</v>
      </c>
      <c r="E4028">
        <v>221929</v>
      </c>
      <c r="F4028">
        <v>3114</v>
      </c>
      <c r="G4028">
        <v>7365</v>
      </c>
      <c r="H4028">
        <f>_xlfn.XLOOKUP(FACT_IMPORTS[[#This Row],[hts_6]],DIM_PRODUCTS[hts_6],DIM_PRODUCTS[hts_4],,,)</f>
        <v>8708</v>
      </c>
      <c r="I4028" t="str" cm="1">
        <f t="array" ref="I4028">_xlfn.XLOOKUP(FACT_IMPORTS[[#This Row],[country_name]],DIM_COUNTRY[[#All],[Column2]],DIM_COUNTRY[[#All],[Column3]],,,)</f>
        <v>China</v>
      </c>
    </row>
    <row r="4029" spans="1:9" x14ac:dyDescent="0.4">
      <c r="A4029" t="s">
        <v>66</v>
      </c>
      <c r="B4029" s="1">
        <v>45658</v>
      </c>
      <c r="C4029">
        <v>870892</v>
      </c>
      <c r="D4029" t="s">
        <v>176</v>
      </c>
      <c r="E4029">
        <v>5636308</v>
      </c>
      <c r="F4029">
        <v>1103807</v>
      </c>
      <c r="G4029">
        <v>412482</v>
      </c>
      <c r="H4029">
        <f>_xlfn.XLOOKUP(FACT_IMPORTS[[#This Row],[hts_6]],DIM_PRODUCTS[hts_6],DIM_PRODUCTS[hts_4],,,)</f>
        <v>8708</v>
      </c>
      <c r="I4029" t="str" cm="1">
        <f t="array" ref="I4029">_xlfn.XLOOKUP(FACT_IMPORTS[[#This Row],[country_name]],DIM_COUNTRY[[#All],[Column2]],DIM_COUNTRY[[#All],[Column3]],,,)</f>
        <v>China</v>
      </c>
    </row>
    <row r="4030" spans="1:9" x14ac:dyDescent="0.4">
      <c r="A4030" t="s">
        <v>66</v>
      </c>
      <c r="B4030" s="1">
        <v>45658</v>
      </c>
      <c r="C4030">
        <v>870893</v>
      </c>
      <c r="D4030" t="s">
        <v>176</v>
      </c>
      <c r="E4030">
        <v>269290</v>
      </c>
      <c r="F4030">
        <v>221882</v>
      </c>
      <c r="G4030">
        <v>23993</v>
      </c>
      <c r="H4030">
        <f>_xlfn.XLOOKUP(FACT_IMPORTS[[#This Row],[hts_6]],DIM_PRODUCTS[hts_6],DIM_PRODUCTS[hts_4],,,)</f>
        <v>8708</v>
      </c>
      <c r="I4030" t="str" cm="1">
        <f t="array" ref="I4030">_xlfn.XLOOKUP(FACT_IMPORTS[[#This Row],[country_name]],DIM_COUNTRY[[#All],[Column2]],DIM_COUNTRY[[#All],[Column3]],,,)</f>
        <v>China</v>
      </c>
    </row>
    <row r="4031" spans="1:9" x14ac:dyDescent="0.4">
      <c r="A4031" t="s">
        <v>66</v>
      </c>
      <c r="B4031" s="1">
        <v>45658</v>
      </c>
      <c r="C4031">
        <v>870894</v>
      </c>
      <c r="D4031" t="s">
        <v>176</v>
      </c>
      <c r="E4031">
        <v>2883289</v>
      </c>
      <c r="F4031">
        <v>220708</v>
      </c>
      <c r="G4031">
        <v>374541</v>
      </c>
      <c r="H4031">
        <f>_xlfn.XLOOKUP(FACT_IMPORTS[[#This Row],[hts_6]],DIM_PRODUCTS[hts_6],DIM_PRODUCTS[hts_4],,,)</f>
        <v>8708</v>
      </c>
      <c r="I4031" t="str" cm="1">
        <f t="array" ref="I4031">_xlfn.XLOOKUP(FACT_IMPORTS[[#This Row],[country_name]],DIM_COUNTRY[[#All],[Column2]],DIM_COUNTRY[[#All],[Column3]],,,)</f>
        <v>China</v>
      </c>
    </row>
    <row r="4032" spans="1:9" x14ac:dyDescent="0.4">
      <c r="A4032" t="s">
        <v>66</v>
      </c>
      <c r="B4032" s="1">
        <v>45658</v>
      </c>
      <c r="C4032">
        <v>870895</v>
      </c>
      <c r="D4032" t="s">
        <v>176</v>
      </c>
      <c r="E4032">
        <v>0</v>
      </c>
      <c r="F4032">
        <v>0</v>
      </c>
      <c r="G4032">
        <v>0</v>
      </c>
      <c r="H4032">
        <f>_xlfn.XLOOKUP(FACT_IMPORTS[[#This Row],[hts_6]],DIM_PRODUCTS[hts_6],DIM_PRODUCTS[hts_4],,,)</f>
        <v>8708</v>
      </c>
      <c r="I4032" t="str" cm="1">
        <f t="array" ref="I4032">_xlfn.XLOOKUP(FACT_IMPORTS[[#This Row],[country_name]],DIM_COUNTRY[[#All],[Column2]],DIM_COUNTRY[[#All],[Column3]],,,)</f>
        <v>China</v>
      </c>
    </row>
    <row r="4033" spans="1:9" x14ac:dyDescent="0.4">
      <c r="A4033" t="s">
        <v>66</v>
      </c>
      <c r="B4033" s="1">
        <v>45658</v>
      </c>
      <c r="C4033">
        <v>870899</v>
      </c>
      <c r="D4033" t="s">
        <v>176</v>
      </c>
      <c r="E4033">
        <v>10466009</v>
      </c>
      <c r="F4033">
        <v>2051773</v>
      </c>
      <c r="G4033">
        <v>867877</v>
      </c>
      <c r="H4033">
        <f>_xlfn.XLOOKUP(FACT_IMPORTS[[#This Row],[hts_6]],DIM_PRODUCTS[hts_6],DIM_PRODUCTS[hts_4],,,)</f>
        <v>8708</v>
      </c>
      <c r="I4033" t="str" cm="1">
        <f t="array" ref="I4033">_xlfn.XLOOKUP(FACT_IMPORTS[[#This Row],[country_name]],DIM_COUNTRY[[#All],[Column2]],DIM_COUNTRY[[#All],[Column3]],,,)</f>
        <v>China</v>
      </c>
    </row>
    <row r="4034" spans="1:9" x14ac:dyDescent="0.4">
      <c r="A4034" t="s">
        <v>66</v>
      </c>
      <c r="B4034" s="1">
        <v>45658</v>
      </c>
      <c r="C4034">
        <v>940120</v>
      </c>
      <c r="D4034" t="s">
        <v>176</v>
      </c>
      <c r="E4034">
        <v>40750</v>
      </c>
      <c r="F4034">
        <v>6069</v>
      </c>
      <c r="G4034">
        <v>7034</v>
      </c>
      <c r="H4034">
        <f>_xlfn.XLOOKUP(FACT_IMPORTS[[#This Row],[hts_6]],DIM_PRODUCTS[hts_6],DIM_PRODUCTS[hts_4],,,)</f>
        <v>9401</v>
      </c>
      <c r="I4034" t="str" cm="1">
        <f t="array" ref="I4034">_xlfn.XLOOKUP(FACT_IMPORTS[[#This Row],[country_name]],DIM_COUNTRY[[#All],[Column2]],DIM_COUNTRY[[#All],[Column3]],,,)</f>
        <v>China</v>
      </c>
    </row>
    <row r="4035" spans="1:9" x14ac:dyDescent="0.4">
      <c r="A4035" t="s">
        <v>66</v>
      </c>
      <c r="B4035" s="1">
        <v>45689</v>
      </c>
      <c r="C4035">
        <v>392630</v>
      </c>
      <c r="D4035" t="s">
        <v>176</v>
      </c>
      <c r="E4035">
        <v>3496645</v>
      </c>
      <c r="F4035">
        <v>196107</v>
      </c>
      <c r="G4035">
        <v>186643</v>
      </c>
      <c r="H4035">
        <f>_xlfn.XLOOKUP(FACT_IMPORTS[[#This Row],[hts_6]],DIM_PRODUCTS[hts_6],DIM_PRODUCTS[hts_4],,,)</f>
        <v>3926</v>
      </c>
      <c r="I4035" t="str" cm="1">
        <f t="array" ref="I4035">_xlfn.XLOOKUP(FACT_IMPORTS[[#This Row],[country_name]],DIM_COUNTRY[[#All],[Column2]],DIM_COUNTRY[[#All],[Column3]],,,)</f>
        <v>China</v>
      </c>
    </row>
    <row r="4036" spans="1:9" x14ac:dyDescent="0.4">
      <c r="A4036" t="s">
        <v>66</v>
      </c>
      <c r="B4036" s="1">
        <v>45689</v>
      </c>
      <c r="C4036">
        <v>401110</v>
      </c>
      <c r="D4036" t="s">
        <v>176</v>
      </c>
      <c r="E4036">
        <v>450</v>
      </c>
      <c r="F4036">
        <v>9</v>
      </c>
      <c r="G4036">
        <v>2344</v>
      </c>
      <c r="H4036">
        <f>_xlfn.XLOOKUP(FACT_IMPORTS[[#This Row],[hts_6]],DIM_PRODUCTS[hts_6],DIM_PRODUCTS[hts_4],,,)</f>
        <v>4011</v>
      </c>
      <c r="I4036" t="str" cm="1">
        <f t="array" ref="I4036">_xlfn.XLOOKUP(FACT_IMPORTS[[#This Row],[country_name]],DIM_COUNTRY[[#All],[Column2]],DIM_COUNTRY[[#All],[Column3]],,,)</f>
        <v>China</v>
      </c>
    </row>
    <row r="4037" spans="1:9" x14ac:dyDescent="0.4">
      <c r="A4037" t="s">
        <v>66</v>
      </c>
      <c r="B4037" s="1">
        <v>45689</v>
      </c>
      <c r="C4037">
        <v>401120</v>
      </c>
      <c r="D4037" t="s">
        <v>176</v>
      </c>
      <c r="E4037">
        <v>293368</v>
      </c>
      <c r="F4037">
        <v>2399</v>
      </c>
      <c r="G4037">
        <v>41000</v>
      </c>
      <c r="H4037">
        <f>_xlfn.XLOOKUP(FACT_IMPORTS[[#This Row],[hts_6]],DIM_PRODUCTS[hts_6],DIM_PRODUCTS[hts_4],,,)</f>
        <v>4011</v>
      </c>
      <c r="I4037" t="str" cm="1">
        <f t="array" ref="I4037">_xlfn.XLOOKUP(FACT_IMPORTS[[#This Row],[country_name]],DIM_COUNTRY[[#All],[Column2]],DIM_COUNTRY[[#All],[Column3]],,,)</f>
        <v>China</v>
      </c>
    </row>
    <row r="4038" spans="1:9" x14ac:dyDescent="0.4">
      <c r="A4038" t="s">
        <v>66</v>
      </c>
      <c r="B4038" s="1">
        <v>45689</v>
      </c>
      <c r="C4038">
        <v>401140</v>
      </c>
      <c r="D4038" t="s">
        <v>176</v>
      </c>
      <c r="E4038">
        <v>19493</v>
      </c>
      <c r="F4038">
        <v>296</v>
      </c>
      <c r="G4038">
        <v>163</v>
      </c>
      <c r="H4038">
        <f>_xlfn.XLOOKUP(FACT_IMPORTS[[#This Row],[hts_6]],DIM_PRODUCTS[hts_6],DIM_PRODUCTS[hts_4],,,)</f>
        <v>4011</v>
      </c>
      <c r="I4038" t="str" cm="1">
        <f t="array" ref="I4038">_xlfn.XLOOKUP(FACT_IMPORTS[[#This Row],[country_name]],DIM_COUNTRY[[#All],[Column2]],DIM_COUNTRY[[#All],[Column3]],,,)</f>
        <v>China</v>
      </c>
    </row>
    <row r="4039" spans="1:9" x14ac:dyDescent="0.4">
      <c r="A4039" t="s">
        <v>66</v>
      </c>
      <c r="B4039" s="1">
        <v>45689</v>
      </c>
      <c r="C4039">
        <v>401190</v>
      </c>
      <c r="D4039" t="s">
        <v>176</v>
      </c>
      <c r="E4039">
        <v>182116</v>
      </c>
      <c r="F4039">
        <v>5291</v>
      </c>
      <c r="G4039">
        <v>9934</v>
      </c>
      <c r="H4039">
        <f>_xlfn.XLOOKUP(FACT_IMPORTS[[#This Row],[hts_6]],DIM_PRODUCTS[hts_6],DIM_PRODUCTS[hts_4],,,)</f>
        <v>4011</v>
      </c>
      <c r="I4039" t="str" cm="1">
        <f t="array" ref="I4039">_xlfn.XLOOKUP(FACT_IMPORTS[[#This Row],[country_name]],DIM_COUNTRY[[#All],[Column2]],DIM_COUNTRY[[#All],[Column3]],,,)</f>
        <v>China</v>
      </c>
    </row>
    <row r="4040" spans="1:9" x14ac:dyDescent="0.4">
      <c r="A4040" t="s">
        <v>66</v>
      </c>
      <c r="B4040" s="1">
        <v>45689</v>
      </c>
      <c r="C4040">
        <v>700711</v>
      </c>
      <c r="D4040" t="s">
        <v>176</v>
      </c>
      <c r="E4040">
        <v>943733</v>
      </c>
      <c r="F4040">
        <v>86399</v>
      </c>
      <c r="G4040">
        <v>62536</v>
      </c>
      <c r="H4040">
        <f>_xlfn.XLOOKUP(FACT_IMPORTS[[#This Row],[hts_6]],DIM_PRODUCTS[hts_6],DIM_PRODUCTS[hts_4],,,)</f>
        <v>7007</v>
      </c>
      <c r="I4040" t="str" cm="1">
        <f t="array" ref="I4040">_xlfn.XLOOKUP(FACT_IMPORTS[[#This Row],[country_name]],DIM_COUNTRY[[#All],[Column2]],DIM_COUNTRY[[#All],[Column3]],,,)</f>
        <v>China</v>
      </c>
    </row>
    <row r="4041" spans="1:9" x14ac:dyDescent="0.4">
      <c r="A4041" t="s">
        <v>66</v>
      </c>
      <c r="B4041" s="1">
        <v>45689</v>
      </c>
      <c r="C4041">
        <v>700721</v>
      </c>
      <c r="D4041" t="s">
        <v>176</v>
      </c>
      <c r="E4041">
        <v>642410</v>
      </c>
      <c r="F4041">
        <v>17070</v>
      </c>
      <c r="G4041">
        <v>30304</v>
      </c>
      <c r="H4041">
        <f>_xlfn.XLOOKUP(FACT_IMPORTS[[#This Row],[hts_6]],DIM_PRODUCTS[hts_6],DIM_PRODUCTS[hts_4],,,)</f>
        <v>7007</v>
      </c>
      <c r="I4041" t="str" cm="1">
        <f t="array" ref="I4041">_xlfn.XLOOKUP(FACT_IMPORTS[[#This Row],[country_name]],DIM_COUNTRY[[#All],[Column2]],DIM_COUNTRY[[#All],[Column3]],,,)</f>
        <v>China</v>
      </c>
    </row>
    <row r="4042" spans="1:9" x14ac:dyDescent="0.4">
      <c r="A4042" t="s">
        <v>66</v>
      </c>
      <c r="B4042" s="1">
        <v>45689</v>
      </c>
      <c r="C4042">
        <v>700910</v>
      </c>
      <c r="D4042" t="s">
        <v>176</v>
      </c>
      <c r="E4042">
        <v>490482</v>
      </c>
      <c r="F4042">
        <v>548342</v>
      </c>
      <c r="G4042">
        <v>62995</v>
      </c>
      <c r="H4042">
        <f>_xlfn.XLOOKUP(FACT_IMPORTS[[#This Row],[hts_6]],DIM_PRODUCTS[hts_6],DIM_PRODUCTS[hts_4],,,)</f>
        <v>7009</v>
      </c>
      <c r="I4042" t="str" cm="1">
        <f t="array" ref="I4042">_xlfn.XLOOKUP(FACT_IMPORTS[[#This Row],[country_name]],DIM_COUNTRY[[#All],[Column2]],DIM_COUNTRY[[#All],[Column3]],,,)</f>
        <v>China</v>
      </c>
    </row>
    <row r="4043" spans="1:9" x14ac:dyDescent="0.4">
      <c r="A4043" t="s">
        <v>66</v>
      </c>
      <c r="B4043" s="1">
        <v>45689</v>
      </c>
      <c r="C4043">
        <v>732010</v>
      </c>
      <c r="D4043" t="s">
        <v>176</v>
      </c>
      <c r="E4043">
        <v>3420</v>
      </c>
      <c r="F4043">
        <v>120</v>
      </c>
      <c r="G4043">
        <v>9</v>
      </c>
      <c r="H4043">
        <f>_xlfn.XLOOKUP(FACT_IMPORTS[[#This Row],[hts_6]],DIM_PRODUCTS[hts_6],DIM_PRODUCTS[hts_4],,,)</f>
        <v>7320</v>
      </c>
      <c r="I4043" t="str" cm="1">
        <f t="array" ref="I4043">_xlfn.XLOOKUP(FACT_IMPORTS[[#This Row],[country_name]],DIM_COUNTRY[[#All],[Column2]],DIM_COUNTRY[[#All],[Column3]],,,)</f>
        <v>China</v>
      </c>
    </row>
    <row r="4044" spans="1:9" x14ac:dyDescent="0.4">
      <c r="A4044" t="s">
        <v>66</v>
      </c>
      <c r="B4044" s="1">
        <v>45689</v>
      </c>
      <c r="C4044">
        <v>830230</v>
      </c>
      <c r="D4044" t="s">
        <v>176</v>
      </c>
      <c r="E4044">
        <v>3497667</v>
      </c>
      <c r="F4044">
        <v>1095239</v>
      </c>
      <c r="G4044">
        <v>180365</v>
      </c>
      <c r="H4044">
        <f>_xlfn.XLOOKUP(FACT_IMPORTS[[#This Row],[hts_6]],DIM_PRODUCTS[hts_6],DIM_PRODUCTS[hts_4],,,)</f>
        <v>8302</v>
      </c>
      <c r="I4044" t="str" cm="1">
        <f t="array" ref="I4044">_xlfn.XLOOKUP(FACT_IMPORTS[[#This Row],[country_name]],DIM_COUNTRY[[#All],[Column2]],DIM_COUNTRY[[#All],[Column3]],,,)</f>
        <v>China</v>
      </c>
    </row>
    <row r="4045" spans="1:9" x14ac:dyDescent="0.4">
      <c r="A4045" t="s">
        <v>66</v>
      </c>
      <c r="B4045" s="1">
        <v>45689</v>
      </c>
      <c r="C4045">
        <v>840733</v>
      </c>
      <c r="D4045" t="s">
        <v>176</v>
      </c>
      <c r="E4045">
        <v>0</v>
      </c>
      <c r="F4045">
        <v>0</v>
      </c>
      <c r="G4045">
        <v>0</v>
      </c>
      <c r="H4045">
        <f>_xlfn.XLOOKUP(FACT_IMPORTS[[#This Row],[hts_6]],DIM_PRODUCTS[hts_6],DIM_PRODUCTS[hts_4],,,)</f>
        <v>8407</v>
      </c>
      <c r="I4045" t="str" cm="1">
        <f t="array" ref="I4045">_xlfn.XLOOKUP(FACT_IMPORTS[[#This Row],[country_name]],DIM_COUNTRY[[#All],[Column2]],DIM_COUNTRY[[#All],[Column3]],,,)</f>
        <v>China</v>
      </c>
    </row>
    <row r="4046" spans="1:9" x14ac:dyDescent="0.4">
      <c r="A4046" t="s">
        <v>66</v>
      </c>
      <c r="B4046" s="1">
        <v>45689</v>
      </c>
      <c r="C4046">
        <v>840734</v>
      </c>
      <c r="D4046" t="s">
        <v>176</v>
      </c>
      <c r="E4046">
        <v>0</v>
      </c>
      <c r="F4046">
        <v>0</v>
      </c>
      <c r="G4046">
        <v>0</v>
      </c>
      <c r="H4046">
        <f>_xlfn.XLOOKUP(FACT_IMPORTS[[#This Row],[hts_6]],DIM_PRODUCTS[hts_6],DIM_PRODUCTS[hts_4],,,)</f>
        <v>8407</v>
      </c>
      <c r="I4046" t="str" cm="1">
        <f t="array" ref="I4046">_xlfn.XLOOKUP(FACT_IMPORTS[[#This Row],[country_name]],DIM_COUNTRY[[#All],[Column2]],DIM_COUNTRY[[#All],[Column3]],,,)</f>
        <v>China</v>
      </c>
    </row>
    <row r="4047" spans="1:9" x14ac:dyDescent="0.4">
      <c r="A4047" t="s">
        <v>66</v>
      </c>
      <c r="B4047" s="1">
        <v>45689</v>
      </c>
      <c r="C4047">
        <v>840790</v>
      </c>
      <c r="D4047" t="s">
        <v>176</v>
      </c>
      <c r="E4047">
        <v>0</v>
      </c>
      <c r="F4047">
        <v>0</v>
      </c>
      <c r="G4047">
        <v>0</v>
      </c>
      <c r="H4047">
        <f>_xlfn.XLOOKUP(FACT_IMPORTS[[#This Row],[hts_6]],DIM_PRODUCTS[hts_6],DIM_PRODUCTS[hts_4],,,)</f>
        <v>8407</v>
      </c>
      <c r="I4047" t="str" cm="1">
        <f t="array" ref="I4047">_xlfn.XLOOKUP(FACT_IMPORTS[[#This Row],[country_name]],DIM_COUNTRY[[#All],[Column2]],DIM_COUNTRY[[#All],[Column3]],,,)</f>
        <v>China</v>
      </c>
    </row>
    <row r="4048" spans="1:9" x14ac:dyDescent="0.4">
      <c r="A4048" t="s">
        <v>66</v>
      </c>
      <c r="B4048" s="1">
        <v>45689</v>
      </c>
      <c r="C4048">
        <v>840820</v>
      </c>
      <c r="D4048" t="s">
        <v>176</v>
      </c>
      <c r="E4048">
        <v>0</v>
      </c>
      <c r="F4048">
        <v>0</v>
      </c>
      <c r="G4048">
        <v>0</v>
      </c>
      <c r="H4048">
        <f>_xlfn.XLOOKUP(FACT_IMPORTS[[#This Row],[hts_6]],DIM_PRODUCTS[hts_6],DIM_PRODUCTS[hts_4],,,)</f>
        <v>8408</v>
      </c>
      <c r="I4048" t="str" cm="1">
        <f t="array" ref="I4048">_xlfn.XLOOKUP(FACT_IMPORTS[[#This Row],[country_name]],DIM_COUNTRY[[#All],[Column2]],DIM_COUNTRY[[#All],[Column3]],,,)</f>
        <v>China</v>
      </c>
    </row>
    <row r="4049" spans="1:9" x14ac:dyDescent="0.4">
      <c r="A4049" t="s">
        <v>66</v>
      </c>
      <c r="B4049" s="1">
        <v>45689</v>
      </c>
      <c r="C4049">
        <v>840890</v>
      </c>
      <c r="D4049" t="s">
        <v>176</v>
      </c>
      <c r="E4049">
        <v>0</v>
      </c>
      <c r="F4049">
        <v>0</v>
      </c>
      <c r="G4049">
        <v>0</v>
      </c>
      <c r="H4049">
        <f>_xlfn.XLOOKUP(FACT_IMPORTS[[#This Row],[hts_6]],DIM_PRODUCTS[hts_6],DIM_PRODUCTS[hts_4],,,)</f>
        <v>8408</v>
      </c>
      <c r="I4049" t="str" cm="1">
        <f t="array" ref="I4049">_xlfn.XLOOKUP(FACT_IMPORTS[[#This Row],[country_name]],DIM_COUNTRY[[#All],[Column2]],DIM_COUNTRY[[#All],[Column3]],,,)</f>
        <v>China</v>
      </c>
    </row>
    <row r="4050" spans="1:9" x14ac:dyDescent="0.4">
      <c r="A4050" t="s">
        <v>66</v>
      </c>
      <c r="B4050" s="1">
        <v>45689</v>
      </c>
      <c r="C4050">
        <v>840991</v>
      </c>
      <c r="D4050" t="s">
        <v>176</v>
      </c>
      <c r="E4050">
        <v>8656561</v>
      </c>
      <c r="F4050">
        <v>2633706</v>
      </c>
      <c r="G4050">
        <v>754935</v>
      </c>
      <c r="H4050">
        <f>_xlfn.XLOOKUP(FACT_IMPORTS[[#This Row],[hts_6]],DIM_PRODUCTS[hts_6],DIM_PRODUCTS[hts_4],,,)</f>
        <v>8409</v>
      </c>
      <c r="I4050" t="str" cm="1">
        <f t="array" ref="I4050">_xlfn.XLOOKUP(FACT_IMPORTS[[#This Row],[country_name]],DIM_COUNTRY[[#All],[Column2]],DIM_COUNTRY[[#All],[Column3]],,,)</f>
        <v>China</v>
      </c>
    </row>
    <row r="4051" spans="1:9" x14ac:dyDescent="0.4">
      <c r="A4051" t="s">
        <v>66</v>
      </c>
      <c r="B4051" s="1">
        <v>45689</v>
      </c>
      <c r="C4051">
        <v>840999</v>
      </c>
      <c r="D4051" t="s">
        <v>176</v>
      </c>
      <c r="E4051">
        <v>4337295</v>
      </c>
      <c r="F4051">
        <v>895611</v>
      </c>
      <c r="G4051">
        <v>171919</v>
      </c>
      <c r="H4051">
        <f>_xlfn.XLOOKUP(FACT_IMPORTS[[#This Row],[hts_6]],DIM_PRODUCTS[hts_6],DIM_PRODUCTS[hts_4],,,)</f>
        <v>8409</v>
      </c>
      <c r="I4051" t="str" cm="1">
        <f t="array" ref="I4051">_xlfn.XLOOKUP(FACT_IMPORTS[[#This Row],[country_name]],DIM_COUNTRY[[#All],[Column2]],DIM_COUNTRY[[#All],[Column3]],,,)</f>
        <v>China</v>
      </c>
    </row>
    <row r="4052" spans="1:9" x14ac:dyDescent="0.4">
      <c r="A4052" t="s">
        <v>66</v>
      </c>
      <c r="B4052" s="1">
        <v>45689</v>
      </c>
      <c r="C4052">
        <v>841330</v>
      </c>
      <c r="D4052" t="s">
        <v>176</v>
      </c>
      <c r="E4052">
        <v>431194</v>
      </c>
      <c r="F4052">
        <v>5631</v>
      </c>
      <c r="G4052">
        <v>16789</v>
      </c>
      <c r="H4052">
        <f>_xlfn.XLOOKUP(FACT_IMPORTS[[#This Row],[hts_6]],DIM_PRODUCTS[hts_6],DIM_PRODUCTS[hts_4],,,)</f>
        <v>8413</v>
      </c>
      <c r="I4052" t="str" cm="1">
        <f t="array" ref="I4052">_xlfn.XLOOKUP(FACT_IMPORTS[[#This Row],[country_name]],DIM_COUNTRY[[#All],[Column2]],DIM_COUNTRY[[#All],[Column3]],,,)</f>
        <v>China</v>
      </c>
    </row>
    <row r="4053" spans="1:9" x14ac:dyDescent="0.4">
      <c r="A4053" t="s">
        <v>66</v>
      </c>
      <c r="B4053" s="1">
        <v>45689</v>
      </c>
      <c r="C4053">
        <v>841520</v>
      </c>
      <c r="D4053" t="s">
        <v>176</v>
      </c>
      <c r="E4053">
        <v>0</v>
      </c>
      <c r="F4053">
        <v>0</v>
      </c>
      <c r="G4053">
        <v>0</v>
      </c>
      <c r="H4053">
        <f>_xlfn.XLOOKUP(FACT_IMPORTS[[#This Row],[hts_6]],DIM_PRODUCTS[hts_6],DIM_PRODUCTS[hts_4],,,)</f>
        <v>8415</v>
      </c>
      <c r="I4053" t="str" cm="1">
        <f t="array" ref="I4053">_xlfn.XLOOKUP(FACT_IMPORTS[[#This Row],[country_name]],DIM_COUNTRY[[#All],[Column2]],DIM_COUNTRY[[#All],[Column3]],,,)</f>
        <v>China</v>
      </c>
    </row>
    <row r="4054" spans="1:9" x14ac:dyDescent="0.4">
      <c r="A4054" t="s">
        <v>66</v>
      </c>
      <c r="B4054" s="1">
        <v>45689</v>
      </c>
      <c r="C4054">
        <v>842132</v>
      </c>
      <c r="D4054" t="s">
        <v>176</v>
      </c>
      <c r="E4054">
        <v>0</v>
      </c>
      <c r="F4054">
        <v>0</v>
      </c>
      <c r="G4054">
        <v>0</v>
      </c>
      <c r="H4054">
        <f>_xlfn.XLOOKUP(FACT_IMPORTS[[#This Row],[hts_6]],DIM_PRODUCTS[hts_6],DIM_PRODUCTS[hts_4],,,)</f>
        <v>8421</v>
      </c>
      <c r="I4054" t="str" cm="1">
        <f t="array" ref="I4054">_xlfn.XLOOKUP(FACT_IMPORTS[[#This Row],[country_name]],DIM_COUNTRY[[#All],[Column2]],DIM_COUNTRY[[#All],[Column3]],,,)</f>
        <v>China</v>
      </c>
    </row>
    <row r="4055" spans="1:9" x14ac:dyDescent="0.4">
      <c r="A4055" t="s">
        <v>66</v>
      </c>
      <c r="B4055" s="1">
        <v>45689</v>
      </c>
      <c r="C4055">
        <v>848210</v>
      </c>
      <c r="D4055" t="s">
        <v>176</v>
      </c>
      <c r="E4055">
        <v>489714</v>
      </c>
      <c r="F4055">
        <v>603760</v>
      </c>
      <c r="G4055">
        <v>12343</v>
      </c>
      <c r="H4055">
        <f>_xlfn.XLOOKUP(FACT_IMPORTS[[#This Row],[hts_6]],DIM_PRODUCTS[hts_6],DIM_PRODUCTS[hts_4],,,)</f>
        <v>8482</v>
      </c>
      <c r="I4055" t="str" cm="1">
        <f t="array" ref="I4055">_xlfn.XLOOKUP(FACT_IMPORTS[[#This Row],[country_name]],DIM_COUNTRY[[#All],[Column2]],DIM_COUNTRY[[#All],[Column3]],,,)</f>
        <v>China</v>
      </c>
    </row>
    <row r="4056" spans="1:9" x14ac:dyDescent="0.4">
      <c r="A4056" t="s">
        <v>66</v>
      </c>
      <c r="B4056" s="1">
        <v>45689</v>
      </c>
      <c r="C4056">
        <v>848220</v>
      </c>
      <c r="D4056" t="s">
        <v>176</v>
      </c>
      <c r="E4056">
        <v>4406</v>
      </c>
      <c r="F4056">
        <v>750</v>
      </c>
      <c r="G4056">
        <v>15</v>
      </c>
      <c r="H4056">
        <f>_xlfn.XLOOKUP(FACT_IMPORTS[[#This Row],[hts_6]],DIM_PRODUCTS[hts_6],DIM_PRODUCTS[hts_4],,,)</f>
        <v>8482</v>
      </c>
      <c r="I4056" t="str" cm="1">
        <f t="array" ref="I4056">_xlfn.XLOOKUP(FACT_IMPORTS[[#This Row],[country_name]],DIM_COUNTRY[[#All],[Column2]],DIM_COUNTRY[[#All],[Column3]],,,)</f>
        <v>China</v>
      </c>
    </row>
    <row r="4057" spans="1:9" x14ac:dyDescent="0.4">
      <c r="A4057" t="s">
        <v>66</v>
      </c>
      <c r="B4057" s="1">
        <v>45689</v>
      </c>
      <c r="C4057">
        <v>848310</v>
      </c>
      <c r="D4057" t="s">
        <v>176</v>
      </c>
      <c r="E4057">
        <v>1717964</v>
      </c>
      <c r="F4057">
        <v>83616</v>
      </c>
      <c r="G4057">
        <v>115941</v>
      </c>
      <c r="H4057">
        <f>_xlfn.XLOOKUP(FACT_IMPORTS[[#This Row],[hts_6]],DIM_PRODUCTS[hts_6],DIM_PRODUCTS[hts_4],,,)</f>
        <v>8483</v>
      </c>
      <c r="I4057" t="str" cm="1">
        <f t="array" ref="I4057">_xlfn.XLOOKUP(FACT_IMPORTS[[#This Row],[country_name]],DIM_COUNTRY[[#All],[Column2]],DIM_COUNTRY[[#All],[Column3]],,,)</f>
        <v>China</v>
      </c>
    </row>
    <row r="4058" spans="1:9" x14ac:dyDescent="0.4">
      <c r="A4058" t="s">
        <v>66</v>
      </c>
      <c r="B4058" s="1">
        <v>45689</v>
      </c>
      <c r="C4058">
        <v>850131</v>
      </c>
      <c r="D4058" t="s">
        <v>176</v>
      </c>
      <c r="E4058">
        <v>2308158</v>
      </c>
      <c r="F4058">
        <v>269040</v>
      </c>
      <c r="G4058">
        <v>99843</v>
      </c>
      <c r="H4058">
        <f>_xlfn.XLOOKUP(FACT_IMPORTS[[#This Row],[hts_6]],DIM_PRODUCTS[hts_6],DIM_PRODUCTS[hts_4],,,)</f>
        <v>8501</v>
      </c>
      <c r="I4058" t="str" cm="1">
        <f t="array" ref="I4058">_xlfn.XLOOKUP(FACT_IMPORTS[[#This Row],[country_name]],DIM_COUNTRY[[#All],[Column2]],DIM_COUNTRY[[#All],[Column3]],,,)</f>
        <v>China</v>
      </c>
    </row>
    <row r="4059" spans="1:9" x14ac:dyDescent="0.4">
      <c r="A4059" t="s">
        <v>66</v>
      </c>
      <c r="B4059" s="1">
        <v>45689</v>
      </c>
      <c r="C4059">
        <v>850132</v>
      </c>
      <c r="D4059" t="s">
        <v>176</v>
      </c>
      <c r="E4059">
        <v>14049</v>
      </c>
      <c r="F4059">
        <v>19</v>
      </c>
      <c r="G4059">
        <v>128</v>
      </c>
      <c r="H4059">
        <f>_xlfn.XLOOKUP(FACT_IMPORTS[[#This Row],[hts_6]],DIM_PRODUCTS[hts_6],DIM_PRODUCTS[hts_4],,,)</f>
        <v>8501</v>
      </c>
      <c r="I4059" t="str" cm="1">
        <f t="array" ref="I4059">_xlfn.XLOOKUP(FACT_IMPORTS[[#This Row],[country_name]],DIM_COUNTRY[[#All],[Column2]],DIM_COUNTRY[[#All],[Column3]],,,)</f>
        <v>China</v>
      </c>
    </row>
    <row r="4060" spans="1:9" x14ac:dyDescent="0.4">
      <c r="A4060" t="s">
        <v>66</v>
      </c>
      <c r="B4060" s="1">
        <v>45689</v>
      </c>
      <c r="C4060">
        <v>850133</v>
      </c>
      <c r="D4060" t="s">
        <v>176</v>
      </c>
      <c r="E4060">
        <v>4560</v>
      </c>
      <c r="F4060">
        <v>4</v>
      </c>
      <c r="G4060">
        <v>54</v>
      </c>
      <c r="H4060">
        <f>_xlfn.XLOOKUP(FACT_IMPORTS[[#This Row],[hts_6]],DIM_PRODUCTS[hts_6],DIM_PRODUCTS[hts_4],,,)</f>
        <v>8501</v>
      </c>
      <c r="I4060" t="str" cm="1">
        <f t="array" ref="I4060">_xlfn.XLOOKUP(FACT_IMPORTS[[#This Row],[country_name]],DIM_COUNTRY[[#All],[Column2]],DIM_COUNTRY[[#All],[Column3]],,,)</f>
        <v>China</v>
      </c>
    </row>
    <row r="4061" spans="1:9" x14ac:dyDescent="0.4">
      <c r="A4061" t="s">
        <v>66</v>
      </c>
      <c r="B4061" s="1">
        <v>45689</v>
      </c>
      <c r="C4061">
        <v>850152</v>
      </c>
      <c r="D4061" t="s">
        <v>176</v>
      </c>
      <c r="E4061">
        <v>428871</v>
      </c>
      <c r="F4061">
        <v>1714</v>
      </c>
      <c r="G4061">
        <v>11611</v>
      </c>
      <c r="H4061">
        <f>_xlfn.XLOOKUP(FACT_IMPORTS[[#This Row],[hts_6]],DIM_PRODUCTS[hts_6],DIM_PRODUCTS[hts_4],,,)</f>
        <v>8501</v>
      </c>
      <c r="I4061" t="str" cm="1">
        <f t="array" ref="I4061">_xlfn.XLOOKUP(FACT_IMPORTS[[#This Row],[country_name]],DIM_COUNTRY[[#All],[Column2]],DIM_COUNTRY[[#All],[Column3]],,,)</f>
        <v>China</v>
      </c>
    </row>
    <row r="4062" spans="1:9" x14ac:dyDescent="0.4">
      <c r="A4062" t="s">
        <v>66</v>
      </c>
      <c r="B4062" s="1">
        <v>45689</v>
      </c>
      <c r="C4062">
        <v>850153</v>
      </c>
      <c r="D4062" t="s">
        <v>176</v>
      </c>
      <c r="E4062">
        <v>253140</v>
      </c>
      <c r="F4062">
        <v>43</v>
      </c>
      <c r="G4062">
        <v>4360</v>
      </c>
      <c r="H4062">
        <f>_xlfn.XLOOKUP(FACT_IMPORTS[[#This Row],[hts_6]],DIM_PRODUCTS[hts_6],DIM_PRODUCTS[hts_4],,,)</f>
        <v>8501</v>
      </c>
      <c r="I4062" t="str" cm="1">
        <f t="array" ref="I4062">_xlfn.XLOOKUP(FACT_IMPORTS[[#This Row],[country_name]],DIM_COUNTRY[[#All],[Column2]],DIM_COUNTRY[[#All],[Column3]],,,)</f>
        <v>China</v>
      </c>
    </row>
    <row r="4063" spans="1:9" x14ac:dyDescent="0.4">
      <c r="A4063" t="s">
        <v>66</v>
      </c>
      <c r="B4063" s="1">
        <v>45689</v>
      </c>
      <c r="C4063">
        <v>850161</v>
      </c>
      <c r="D4063" t="s">
        <v>176</v>
      </c>
      <c r="E4063">
        <v>3674</v>
      </c>
      <c r="F4063">
        <v>72</v>
      </c>
      <c r="G4063">
        <v>1</v>
      </c>
      <c r="H4063">
        <f>_xlfn.XLOOKUP(FACT_IMPORTS[[#This Row],[hts_6]],DIM_PRODUCTS[hts_6],DIM_PRODUCTS[hts_4],,,)</f>
        <v>8501</v>
      </c>
      <c r="I4063" t="str" cm="1">
        <f t="array" ref="I4063">_xlfn.XLOOKUP(FACT_IMPORTS[[#This Row],[country_name]],DIM_COUNTRY[[#All],[Column2]],DIM_COUNTRY[[#All],[Column3]],,,)</f>
        <v>China</v>
      </c>
    </row>
    <row r="4064" spans="1:9" x14ac:dyDescent="0.4">
      <c r="A4064" t="s">
        <v>66</v>
      </c>
      <c r="B4064" s="1">
        <v>45689</v>
      </c>
      <c r="C4064">
        <v>850440</v>
      </c>
      <c r="D4064" t="s">
        <v>176</v>
      </c>
      <c r="E4064">
        <v>1325252</v>
      </c>
      <c r="F4064">
        <v>45641</v>
      </c>
      <c r="G4064">
        <v>26313</v>
      </c>
      <c r="H4064">
        <f>_xlfn.XLOOKUP(FACT_IMPORTS[[#This Row],[hts_6]],DIM_PRODUCTS[hts_6],DIM_PRODUCTS[hts_4],,,)</f>
        <v>8504</v>
      </c>
      <c r="I4064" t="str" cm="1">
        <f t="array" ref="I4064">_xlfn.XLOOKUP(FACT_IMPORTS[[#This Row],[country_name]],DIM_COUNTRY[[#All],[Column2]],DIM_COUNTRY[[#All],[Column3]],,,)</f>
        <v>China</v>
      </c>
    </row>
    <row r="4065" spans="1:9" x14ac:dyDescent="0.4">
      <c r="A4065" t="s">
        <v>66</v>
      </c>
      <c r="B4065" s="1">
        <v>45689</v>
      </c>
      <c r="C4065">
        <v>850710</v>
      </c>
      <c r="D4065" t="s">
        <v>176</v>
      </c>
      <c r="E4065">
        <v>63374</v>
      </c>
      <c r="F4065">
        <v>2856</v>
      </c>
      <c r="G4065">
        <v>2527</v>
      </c>
      <c r="H4065">
        <f>_xlfn.XLOOKUP(FACT_IMPORTS[[#This Row],[hts_6]],DIM_PRODUCTS[hts_6],DIM_PRODUCTS[hts_4],,,)</f>
        <v>8507</v>
      </c>
      <c r="I4065" t="str" cm="1">
        <f t="array" ref="I4065">_xlfn.XLOOKUP(FACT_IMPORTS[[#This Row],[country_name]],DIM_COUNTRY[[#All],[Column2]],DIM_COUNTRY[[#All],[Column3]],,,)</f>
        <v>China</v>
      </c>
    </row>
    <row r="4066" spans="1:9" x14ac:dyDescent="0.4">
      <c r="A4066" t="s">
        <v>66</v>
      </c>
      <c r="B4066" s="1">
        <v>45689</v>
      </c>
      <c r="C4066">
        <v>850760</v>
      </c>
      <c r="D4066" t="s">
        <v>176</v>
      </c>
      <c r="E4066">
        <v>397493</v>
      </c>
      <c r="F4066">
        <v>1063</v>
      </c>
      <c r="G4066">
        <v>9795</v>
      </c>
      <c r="H4066">
        <f>_xlfn.XLOOKUP(FACT_IMPORTS[[#This Row],[hts_6]],DIM_PRODUCTS[hts_6],DIM_PRODUCTS[hts_4],,,)</f>
        <v>8507</v>
      </c>
      <c r="I4066" t="str" cm="1">
        <f t="array" ref="I4066">_xlfn.XLOOKUP(FACT_IMPORTS[[#This Row],[country_name]],DIM_COUNTRY[[#All],[Column2]],DIM_COUNTRY[[#All],[Column3]],,,)</f>
        <v>China</v>
      </c>
    </row>
    <row r="4067" spans="1:9" x14ac:dyDescent="0.4">
      <c r="A4067" t="s">
        <v>66</v>
      </c>
      <c r="B4067" s="1">
        <v>45689</v>
      </c>
      <c r="C4067">
        <v>850790</v>
      </c>
      <c r="D4067" t="s">
        <v>176</v>
      </c>
      <c r="E4067">
        <v>378917</v>
      </c>
      <c r="F4067">
        <v>22467</v>
      </c>
      <c r="G4067">
        <v>5800</v>
      </c>
      <c r="H4067">
        <f>_xlfn.XLOOKUP(FACT_IMPORTS[[#This Row],[hts_6]],DIM_PRODUCTS[hts_6],DIM_PRODUCTS[hts_4],,,)</f>
        <v>8507</v>
      </c>
      <c r="I4067" t="str" cm="1">
        <f t="array" ref="I4067">_xlfn.XLOOKUP(FACT_IMPORTS[[#This Row],[country_name]],DIM_COUNTRY[[#All],[Column2]],DIM_COUNTRY[[#All],[Column3]],,,)</f>
        <v>China</v>
      </c>
    </row>
    <row r="4068" spans="1:9" x14ac:dyDescent="0.4">
      <c r="A4068" t="s">
        <v>66</v>
      </c>
      <c r="B4068" s="1">
        <v>45689</v>
      </c>
      <c r="C4068">
        <v>851110</v>
      </c>
      <c r="D4068" t="s">
        <v>176</v>
      </c>
      <c r="E4068">
        <v>0</v>
      </c>
      <c r="F4068">
        <v>0</v>
      </c>
      <c r="G4068">
        <v>0</v>
      </c>
      <c r="H4068">
        <f>_xlfn.XLOOKUP(FACT_IMPORTS[[#This Row],[hts_6]],DIM_PRODUCTS[hts_6],DIM_PRODUCTS[hts_4],,,)</f>
        <v>8511</v>
      </c>
      <c r="I4068" t="str" cm="1">
        <f t="array" ref="I4068">_xlfn.XLOOKUP(FACT_IMPORTS[[#This Row],[country_name]],DIM_COUNTRY[[#All],[Column2]],DIM_COUNTRY[[#All],[Column3]],,,)</f>
        <v>China</v>
      </c>
    </row>
    <row r="4069" spans="1:9" x14ac:dyDescent="0.4">
      <c r="A4069" t="s">
        <v>66</v>
      </c>
      <c r="B4069" s="1">
        <v>45689</v>
      </c>
      <c r="C4069">
        <v>851120</v>
      </c>
      <c r="D4069" t="s">
        <v>176</v>
      </c>
      <c r="E4069">
        <v>0</v>
      </c>
      <c r="F4069">
        <v>0</v>
      </c>
      <c r="G4069">
        <v>0</v>
      </c>
      <c r="H4069">
        <f>_xlfn.XLOOKUP(FACT_IMPORTS[[#This Row],[hts_6]],DIM_PRODUCTS[hts_6],DIM_PRODUCTS[hts_4],,,)</f>
        <v>8511</v>
      </c>
      <c r="I4069" t="str" cm="1">
        <f t="array" ref="I4069">_xlfn.XLOOKUP(FACT_IMPORTS[[#This Row],[country_name]],DIM_COUNTRY[[#All],[Column2]],DIM_COUNTRY[[#All],[Column3]],,,)</f>
        <v>China</v>
      </c>
    </row>
    <row r="4070" spans="1:9" x14ac:dyDescent="0.4">
      <c r="A4070" t="s">
        <v>66</v>
      </c>
      <c r="B4070" s="1">
        <v>45689</v>
      </c>
      <c r="C4070">
        <v>851130</v>
      </c>
      <c r="D4070" t="s">
        <v>176</v>
      </c>
      <c r="E4070">
        <v>95751</v>
      </c>
      <c r="F4070">
        <v>5665</v>
      </c>
      <c r="G4070">
        <v>4881</v>
      </c>
      <c r="H4070">
        <f>_xlfn.XLOOKUP(FACT_IMPORTS[[#This Row],[hts_6]],DIM_PRODUCTS[hts_6],DIM_PRODUCTS[hts_4],,,)</f>
        <v>8511</v>
      </c>
      <c r="I4070" t="str" cm="1">
        <f t="array" ref="I4070">_xlfn.XLOOKUP(FACT_IMPORTS[[#This Row],[country_name]],DIM_COUNTRY[[#All],[Column2]],DIM_COUNTRY[[#All],[Column3]],,,)</f>
        <v>China</v>
      </c>
    </row>
    <row r="4071" spans="1:9" x14ac:dyDescent="0.4">
      <c r="A4071" t="s">
        <v>66</v>
      </c>
      <c r="B4071" s="1">
        <v>45689</v>
      </c>
      <c r="C4071">
        <v>851140</v>
      </c>
      <c r="D4071" t="s">
        <v>176</v>
      </c>
      <c r="E4071">
        <v>621285</v>
      </c>
      <c r="F4071">
        <v>14343</v>
      </c>
      <c r="G4071">
        <v>3655</v>
      </c>
      <c r="H4071">
        <f>_xlfn.XLOOKUP(FACT_IMPORTS[[#This Row],[hts_6]],DIM_PRODUCTS[hts_6],DIM_PRODUCTS[hts_4],,,)</f>
        <v>8511</v>
      </c>
      <c r="I4071" t="str" cm="1">
        <f t="array" ref="I4071">_xlfn.XLOOKUP(FACT_IMPORTS[[#This Row],[country_name]],DIM_COUNTRY[[#All],[Column2]],DIM_COUNTRY[[#All],[Column3]],,,)</f>
        <v>China</v>
      </c>
    </row>
    <row r="4072" spans="1:9" x14ac:dyDescent="0.4">
      <c r="A4072" t="s">
        <v>66</v>
      </c>
      <c r="B4072" s="1">
        <v>45689</v>
      </c>
      <c r="C4072">
        <v>851150</v>
      </c>
      <c r="D4072" t="s">
        <v>176</v>
      </c>
      <c r="E4072">
        <v>180447</v>
      </c>
      <c r="F4072">
        <v>1397</v>
      </c>
      <c r="G4072">
        <v>6199</v>
      </c>
      <c r="H4072">
        <f>_xlfn.XLOOKUP(FACT_IMPORTS[[#This Row],[hts_6]],DIM_PRODUCTS[hts_6],DIM_PRODUCTS[hts_4],,,)</f>
        <v>8511</v>
      </c>
      <c r="I4072" t="str" cm="1">
        <f t="array" ref="I4072">_xlfn.XLOOKUP(FACT_IMPORTS[[#This Row],[country_name]],DIM_COUNTRY[[#All],[Column2]],DIM_COUNTRY[[#All],[Column3]],,,)</f>
        <v>China</v>
      </c>
    </row>
    <row r="4073" spans="1:9" x14ac:dyDescent="0.4">
      <c r="A4073" t="s">
        <v>66</v>
      </c>
      <c r="B4073" s="1">
        <v>45689</v>
      </c>
      <c r="C4073">
        <v>851180</v>
      </c>
      <c r="D4073" t="s">
        <v>176</v>
      </c>
      <c r="E4073">
        <v>4885</v>
      </c>
      <c r="F4073">
        <v>27</v>
      </c>
      <c r="G4073">
        <v>47</v>
      </c>
      <c r="H4073">
        <f>_xlfn.XLOOKUP(FACT_IMPORTS[[#This Row],[hts_6]],DIM_PRODUCTS[hts_6],DIM_PRODUCTS[hts_4],,,)</f>
        <v>8511</v>
      </c>
      <c r="I4073" t="str" cm="1">
        <f t="array" ref="I4073">_xlfn.XLOOKUP(FACT_IMPORTS[[#This Row],[country_name]],DIM_COUNTRY[[#All],[Column2]],DIM_COUNTRY[[#All],[Column3]],,,)</f>
        <v>China</v>
      </c>
    </row>
    <row r="4074" spans="1:9" x14ac:dyDescent="0.4">
      <c r="A4074" t="s">
        <v>66</v>
      </c>
      <c r="B4074" s="1">
        <v>45689</v>
      </c>
      <c r="C4074">
        <v>851190</v>
      </c>
      <c r="D4074" t="s">
        <v>176</v>
      </c>
      <c r="E4074">
        <v>8175</v>
      </c>
      <c r="F4074">
        <v>780</v>
      </c>
      <c r="G4074">
        <v>211</v>
      </c>
      <c r="H4074">
        <f>_xlfn.XLOOKUP(FACT_IMPORTS[[#This Row],[hts_6]],DIM_PRODUCTS[hts_6],DIM_PRODUCTS[hts_4],,,)</f>
        <v>8511</v>
      </c>
      <c r="I4074" t="str" cm="1">
        <f t="array" ref="I4074">_xlfn.XLOOKUP(FACT_IMPORTS[[#This Row],[country_name]],DIM_COUNTRY[[#All],[Column2]],DIM_COUNTRY[[#All],[Column3]],,,)</f>
        <v>China</v>
      </c>
    </row>
    <row r="4075" spans="1:9" x14ac:dyDescent="0.4">
      <c r="A4075" t="s">
        <v>66</v>
      </c>
      <c r="B4075" s="1">
        <v>45689</v>
      </c>
      <c r="C4075">
        <v>851220</v>
      </c>
      <c r="D4075" t="s">
        <v>176</v>
      </c>
      <c r="E4075">
        <v>2762343</v>
      </c>
      <c r="F4075">
        <v>378915</v>
      </c>
      <c r="G4075">
        <v>71215</v>
      </c>
      <c r="H4075">
        <f>_xlfn.XLOOKUP(FACT_IMPORTS[[#This Row],[hts_6]],DIM_PRODUCTS[hts_6],DIM_PRODUCTS[hts_4],,,)</f>
        <v>8512</v>
      </c>
      <c r="I4075" t="str" cm="1">
        <f t="array" ref="I4075">_xlfn.XLOOKUP(FACT_IMPORTS[[#This Row],[country_name]],DIM_COUNTRY[[#All],[Column2]],DIM_COUNTRY[[#All],[Column3]],,,)</f>
        <v>China</v>
      </c>
    </row>
    <row r="4076" spans="1:9" x14ac:dyDescent="0.4">
      <c r="A4076" t="s">
        <v>66</v>
      </c>
      <c r="B4076" s="1">
        <v>45689</v>
      </c>
      <c r="C4076">
        <v>851230</v>
      </c>
      <c r="D4076" t="s">
        <v>176</v>
      </c>
      <c r="E4076">
        <v>0</v>
      </c>
      <c r="F4076">
        <v>0</v>
      </c>
      <c r="G4076">
        <v>0</v>
      </c>
      <c r="H4076">
        <f>_xlfn.XLOOKUP(FACT_IMPORTS[[#This Row],[hts_6]],DIM_PRODUCTS[hts_6],DIM_PRODUCTS[hts_4],,,)</f>
        <v>8512</v>
      </c>
      <c r="I4076" t="str" cm="1">
        <f t="array" ref="I4076">_xlfn.XLOOKUP(FACT_IMPORTS[[#This Row],[country_name]],DIM_COUNTRY[[#All],[Column2]],DIM_COUNTRY[[#All],[Column3]],,,)</f>
        <v>China</v>
      </c>
    </row>
    <row r="4077" spans="1:9" x14ac:dyDescent="0.4">
      <c r="A4077" t="s">
        <v>66</v>
      </c>
      <c r="B4077" s="1">
        <v>45689</v>
      </c>
      <c r="C4077">
        <v>851240</v>
      </c>
      <c r="D4077" t="s">
        <v>176</v>
      </c>
      <c r="E4077">
        <v>0</v>
      </c>
      <c r="F4077">
        <v>0</v>
      </c>
      <c r="G4077">
        <v>0</v>
      </c>
      <c r="H4077">
        <f>_xlfn.XLOOKUP(FACT_IMPORTS[[#This Row],[hts_6]],DIM_PRODUCTS[hts_6],DIM_PRODUCTS[hts_4],,,)</f>
        <v>8512</v>
      </c>
      <c r="I4077" t="str" cm="1">
        <f t="array" ref="I4077">_xlfn.XLOOKUP(FACT_IMPORTS[[#This Row],[country_name]],DIM_COUNTRY[[#All],[Column2]],DIM_COUNTRY[[#All],[Column3]],,,)</f>
        <v>China</v>
      </c>
    </row>
    <row r="4078" spans="1:9" x14ac:dyDescent="0.4">
      <c r="A4078" t="s">
        <v>66</v>
      </c>
      <c r="B4078" s="1">
        <v>45689</v>
      </c>
      <c r="C4078">
        <v>851290</v>
      </c>
      <c r="D4078" t="s">
        <v>176</v>
      </c>
      <c r="E4078">
        <v>54114</v>
      </c>
      <c r="F4078">
        <v>2824</v>
      </c>
      <c r="G4078">
        <v>8257</v>
      </c>
      <c r="H4078">
        <f>_xlfn.XLOOKUP(FACT_IMPORTS[[#This Row],[hts_6]],DIM_PRODUCTS[hts_6],DIM_PRODUCTS[hts_4],,,)</f>
        <v>8512</v>
      </c>
      <c r="I4078" t="str" cm="1">
        <f t="array" ref="I4078">_xlfn.XLOOKUP(FACT_IMPORTS[[#This Row],[country_name]],DIM_COUNTRY[[#All],[Column2]],DIM_COUNTRY[[#All],[Column3]],,,)</f>
        <v>China</v>
      </c>
    </row>
    <row r="4079" spans="1:9" x14ac:dyDescent="0.4">
      <c r="A4079" t="s">
        <v>66</v>
      </c>
      <c r="B4079" s="1">
        <v>45689</v>
      </c>
      <c r="C4079">
        <v>854231</v>
      </c>
      <c r="D4079" t="s">
        <v>176</v>
      </c>
      <c r="E4079">
        <v>170832</v>
      </c>
      <c r="F4079">
        <v>102505</v>
      </c>
      <c r="G4079">
        <v>5376</v>
      </c>
      <c r="H4079">
        <f>_xlfn.XLOOKUP(FACT_IMPORTS[[#This Row],[hts_6]],DIM_PRODUCTS[hts_6],DIM_PRODUCTS[hts_4],,,)</f>
        <v>8542</v>
      </c>
      <c r="I4079" t="str" cm="1">
        <f t="array" ref="I4079">_xlfn.XLOOKUP(FACT_IMPORTS[[#This Row],[country_name]],DIM_COUNTRY[[#All],[Column2]],DIM_COUNTRY[[#All],[Column3]],,,)</f>
        <v>China</v>
      </c>
    </row>
    <row r="4080" spans="1:9" x14ac:dyDescent="0.4">
      <c r="A4080" t="s">
        <v>66</v>
      </c>
      <c r="B4080" s="1">
        <v>45689</v>
      </c>
      <c r="C4080">
        <v>854232</v>
      </c>
      <c r="D4080" t="s">
        <v>176</v>
      </c>
      <c r="E4080">
        <v>0</v>
      </c>
      <c r="F4080">
        <v>0</v>
      </c>
      <c r="G4080">
        <v>0</v>
      </c>
      <c r="H4080">
        <f>_xlfn.XLOOKUP(FACT_IMPORTS[[#This Row],[hts_6]],DIM_PRODUCTS[hts_6],DIM_PRODUCTS[hts_4],,,)</f>
        <v>8542</v>
      </c>
      <c r="I4080" t="str" cm="1">
        <f t="array" ref="I4080">_xlfn.XLOOKUP(FACT_IMPORTS[[#This Row],[country_name]],DIM_COUNTRY[[#All],[Column2]],DIM_COUNTRY[[#All],[Column3]],,,)</f>
        <v>China</v>
      </c>
    </row>
    <row r="4081" spans="1:9" x14ac:dyDescent="0.4">
      <c r="A4081" t="s">
        <v>66</v>
      </c>
      <c r="B4081" s="1">
        <v>45689</v>
      </c>
      <c r="C4081">
        <v>854233</v>
      </c>
      <c r="D4081" t="s">
        <v>176</v>
      </c>
      <c r="E4081">
        <v>0</v>
      </c>
      <c r="F4081">
        <v>0</v>
      </c>
      <c r="G4081">
        <v>0</v>
      </c>
      <c r="H4081">
        <f>_xlfn.XLOOKUP(FACT_IMPORTS[[#This Row],[hts_6]],DIM_PRODUCTS[hts_6],DIM_PRODUCTS[hts_4],,,)</f>
        <v>8542</v>
      </c>
      <c r="I4081" t="str" cm="1">
        <f t="array" ref="I4081">_xlfn.XLOOKUP(FACT_IMPORTS[[#This Row],[country_name]],DIM_COUNTRY[[#All],[Column2]],DIM_COUNTRY[[#All],[Column3]],,,)</f>
        <v>China</v>
      </c>
    </row>
    <row r="4082" spans="1:9" x14ac:dyDescent="0.4">
      <c r="A4082" t="s">
        <v>66</v>
      </c>
      <c r="B4082" s="1">
        <v>45689</v>
      </c>
      <c r="C4082">
        <v>854239</v>
      </c>
      <c r="D4082" t="s">
        <v>176</v>
      </c>
      <c r="E4082">
        <v>2842</v>
      </c>
      <c r="F4082">
        <v>2000</v>
      </c>
      <c r="G4082">
        <v>284</v>
      </c>
      <c r="H4082">
        <f>_xlfn.XLOOKUP(FACT_IMPORTS[[#This Row],[hts_6]],DIM_PRODUCTS[hts_6],DIM_PRODUCTS[hts_4],,,)</f>
        <v>8542</v>
      </c>
      <c r="I4082" t="str" cm="1">
        <f t="array" ref="I4082">_xlfn.XLOOKUP(FACT_IMPORTS[[#This Row],[country_name]],DIM_COUNTRY[[#All],[Column2]],DIM_COUNTRY[[#All],[Column3]],,,)</f>
        <v>China</v>
      </c>
    </row>
    <row r="4083" spans="1:9" x14ac:dyDescent="0.4">
      <c r="A4083" t="s">
        <v>66</v>
      </c>
      <c r="B4083" s="1">
        <v>45689</v>
      </c>
      <c r="C4083">
        <v>854290</v>
      </c>
      <c r="D4083" t="s">
        <v>176</v>
      </c>
      <c r="E4083">
        <v>0</v>
      </c>
      <c r="F4083">
        <v>0</v>
      </c>
      <c r="G4083">
        <v>0</v>
      </c>
      <c r="H4083">
        <f>_xlfn.XLOOKUP(FACT_IMPORTS[[#This Row],[hts_6]],DIM_PRODUCTS[hts_6],DIM_PRODUCTS[hts_4],,,)</f>
        <v>8542</v>
      </c>
      <c r="I4083" t="str" cm="1">
        <f t="array" ref="I4083">_xlfn.XLOOKUP(FACT_IMPORTS[[#This Row],[country_name]],DIM_COUNTRY[[#All],[Column2]],DIM_COUNTRY[[#All],[Column3]],,,)</f>
        <v>China</v>
      </c>
    </row>
    <row r="4084" spans="1:9" x14ac:dyDescent="0.4">
      <c r="A4084" t="s">
        <v>66</v>
      </c>
      <c r="B4084" s="1">
        <v>45689</v>
      </c>
      <c r="C4084">
        <v>854430</v>
      </c>
      <c r="D4084" t="s">
        <v>176</v>
      </c>
      <c r="E4084">
        <v>304733</v>
      </c>
      <c r="F4084">
        <v>56446</v>
      </c>
      <c r="G4084">
        <v>6088</v>
      </c>
      <c r="H4084">
        <f>_xlfn.XLOOKUP(FACT_IMPORTS[[#This Row],[hts_6]],DIM_PRODUCTS[hts_6],DIM_PRODUCTS[hts_4],,,)</f>
        <v>8544</v>
      </c>
      <c r="I4084" t="str" cm="1">
        <f t="array" ref="I4084">_xlfn.XLOOKUP(FACT_IMPORTS[[#This Row],[country_name]],DIM_COUNTRY[[#All],[Column2]],DIM_COUNTRY[[#All],[Column3]],,,)</f>
        <v>China</v>
      </c>
    </row>
    <row r="4085" spans="1:9" x14ac:dyDescent="0.4">
      <c r="A4085" t="s">
        <v>66</v>
      </c>
      <c r="B4085" s="1">
        <v>45689</v>
      </c>
      <c r="C4085">
        <v>870790</v>
      </c>
      <c r="D4085" t="s">
        <v>176</v>
      </c>
      <c r="E4085">
        <v>0</v>
      </c>
      <c r="F4085">
        <v>0</v>
      </c>
      <c r="G4085">
        <v>0</v>
      </c>
      <c r="H4085">
        <f>_xlfn.XLOOKUP(FACT_IMPORTS[[#This Row],[hts_6]],DIM_PRODUCTS[hts_6],DIM_PRODUCTS[hts_4],,,)</f>
        <v>8707</v>
      </c>
      <c r="I4085" t="str" cm="1">
        <f t="array" ref="I4085">_xlfn.XLOOKUP(FACT_IMPORTS[[#This Row],[country_name]],DIM_COUNTRY[[#All],[Column2]],DIM_COUNTRY[[#All],[Column3]],,,)</f>
        <v>China</v>
      </c>
    </row>
    <row r="4086" spans="1:9" x14ac:dyDescent="0.4">
      <c r="A4086" t="s">
        <v>66</v>
      </c>
      <c r="B4086" s="1">
        <v>45689</v>
      </c>
      <c r="C4086">
        <v>870810</v>
      </c>
      <c r="D4086" t="s">
        <v>176</v>
      </c>
      <c r="E4086">
        <v>390136</v>
      </c>
      <c r="F4086">
        <v>13970</v>
      </c>
      <c r="G4086">
        <v>23947</v>
      </c>
      <c r="H4086">
        <f>_xlfn.XLOOKUP(FACT_IMPORTS[[#This Row],[hts_6]],DIM_PRODUCTS[hts_6],DIM_PRODUCTS[hts_4],,,)</f>
        <v>8708</v>
      </c>
      <c r="I4086" t="str" cm="1">
        <f t="array" ref="I4086">_xlfn.XLOOKUP(FACT_IMPORTS[[#This Row],[country_name]],DIM_COUNTRY[[#All],[Column2]],DIM_COUNTRY[[#All],[Column3]],,,)</f>
        <v>China</v>
      </c>
    </row>
    <row r="4087" spans="1:9" x14ac:dyDescent="0.4">
      <c r="A4087" t="s">
        <v>66</v>
      </c>
      <c r="B4087" s="1">
        <v>45689</v>
      </c>
      <c r="C4087">
        <v>870821</v>
      </c>
      <c r="D4087" t="s">
        <v>176</v>
      </c>
      <c r="E4087">
        <v>6122</v>
      </c>
      <c r="F4087">
        <v>596</v>
      </c>
      <c r="G4087">
        <v>405</v>
      </c>
      <c r="H4087">
        <f>_xlfn.XLOOKUP(FACT_IMPORTS[[#This Row],[hts_6]],DIM_PRODUCTS[hts_6],DIM_PRODUCTS[hts_4],,,)</f>
        <v>8708</v>
      </c>
      <c r="I4087" t="str" cm="1">
        <f t="array" ref="I4087">_xlfn.XLOOKUP(FACT_IMPORTS[[#This Row],[country_name]],DIM_COUNTRY[[#All],[Column2]],DIM_COUNTRY[[#All],[Column3]],,,)</f>
        <v>China</v>
      </c>
    </row>
    <row r="4088" spans="1:9" x14ac:dyDescent="0.4">
      <c r="A4088" t="s">
        <v>66</v>
      </c>
      <c r="B4088" s="1">
        <v>45689</v>
      </c>
      <c r="C4088">
        <v>870822</v>
      </c>
      <c r="D4088" t="s">
        <v>176</v>
      </c>
      <c r="E4088">
        <v>1024695</v>
      </c>
      <c r="F4088">
        <v>130193</v>
      </c>
      <c r="G4088">
        <v>54365</v>
      </c>
      <c r="H4088">
        <f>_xlfn.XLOOKUP(FACT_IMPORTS[[#This Row],[hts_6]],DIM_PRODUCTS[hts_6],DIM_PRODUCTS[hts_4],,,)</f>
        <v>8708</v>
      </c>
      <c r="I4088" t="str" cm="1">
        <f t="array" ref="I4088">_xlfn.XLOOKUP(FACT_IMPORTS[[#This Row],[country_name]],DIM_COUNTRY[[#All],[Column2]],DIM_COUNTRY[[#All],[Column3]],,,)</f>
        <v>China</v>
      </c>
    </row>
    <row r="4089" spans="1:9" x14ac:dyDescent="0.4">
      <c r="A4089" t="s">
        <v>66</v>
      </c>
      <c r="B4089" s="1">
        <v>45689</v>
      </c>
      <c r="C4089">
        <v>870829</v>
      </c>
      <c r="D4089" t="s">
        <v>176</v>
      </c>
      <c r="E4089">
        <v>14598673</v>
      </c>
      <c r="F4089">
        <v>2128010</v>
      </c>
      <c r="G4089">
        <v>684649</v>
      </c>
      <c r="H4089">
        <f>_xlfn.XLOOKUP(FACT_IMPORTS[[#This Row],[hts_6]],DIM_PRODUCTS[hts_6],DIM_PRODUCTS[hts_4],,,)</f>
        <v>8708</v>
      </c>
      <c r="I4089" t="str" cm="1">
        <f t="array" ref="I4089">_xlfn.XLOOKUP(FACT_IMPORTS[[#This Row],[country_name]],DIM_COUNTRY[[#All],[Column2]],DIM_COUNTRY[[#All],[Column3]],,,)</f>
        <v>China</v>
      </c>
    </row>
    <row r="4090" spans="1:9" x14ac:dyDescent="0.4">
      <c r="A4090" t="s">
        <v>66</v>
      </c>
      <c r="B4090" s="1">
        <v>45689</v>
      </c>
      <c r="C4090">
        <v>870830</v>
      </c>
      <c r="D4090" t="s">
        <v>176</v>
      </c>
      <c r="E4090">
        <v>7248073</v>
      </c>
      <c r="F4090">
        <v>712070</v>
      </c>
      <c r="G4090">
        <v>425343</v>
      </c>
      <c r="H4090">
        <f>_xlfn.XLOOKUP(FACT_IMPORTS[[#This Row],[hts_6]],DIM_PRODUCTS[hts_6],DIM_PRODUCTS[hts_4],,,)</f>
        <v>8708</v>
      </c>
      <c r="I4090" t="str" cm="1">
        <f t="array" ref="I4090">_xlfn.XLOOKUP(FACT_IMPORTS[[#This Row],[country_name]],DIM_COUNTRY[[#All],[Column2]],DIM_COUNTRY[[#All],[Column3]],,,)</f>
        <v>China</v>
      </c>
    </row>
    <row r="4091" spans="1:9" x14ac:dyDescent="0.4">
      <c r="A4091" t="s">
        <v>66</v>
      </c>
      <c r="B4091" s="1">
        <v>45689</v>
      </c>
      <c r="C4091">
        <v>870840</v>
      </c>
      <c r="D4091" t="s">
        <v>176</v>
      </c>
      <c r="E4091">
        <v>5174751</v>
      </c>
      <c r="F4091">
        <v>570057</v>
      </c>
      <c r="G4091">
        <v>198241</v>
      </c>
      <c r="H4091">
        <f>_xlfn.XLOOKUP(FACT_IMPORTS[[#This Row],[hts_6]],DIM_PRODUCTS[hts_6],DIM_PRODUCTS[hts_4],,,)</f>
        <v>8708</v>
      </c>
      <c r="I4091" t="str" cm="1">
        <f t="array" ref="I4091">_xlfn.XLOOKUP(FACT_IMPORTS[[#This Row],[country_name]],DIM_COUNTRY[[#All],[Column2]],DIM_COUNTRY[[#All],[Column3]],,,)</f>
        <v>China</v>
      </c>
    </row>
    <row r="4092" spans="1:9" x14ac:dyDescent="0.4">
      <c r="A4092" t="s">
        <v>66</v>
      </c>
      <c r="B4092" s="1">
        <v>45689</v>
      </c>
      <c r="C4092">
        <v>870850</v>
      </c>
      <c r="D4092" t="s">
        <v>176</v>
      </c>
      <c r="E4092">
        <v>2113037</v>
      </c>
      <c r="F4092">
        <v>411666</v>
      </c>
      <c r="G4092">
        <v>59499</v>
      </c>
      <c r="H4092">
        <f>_xlfn.XLOOKUP(FACT_IMPORTS[[#This Row],[hts_6]],DIM_PRODUCTS[hts_6],DIM_PRODUCTS[hts_4],,,)</f>
        <v>8708</v>
      </c>
      <c r="I4092" t="str" cm="1">
        <f t="array" ref="I4092">_xlfn.XLOOKUP(FACT_IMPORTS[[#This Row],[country_name]],DIM_COUNTRY[[#All],[Column2]],DIM_COUNTRY[[#All],[Column3]],,,)</f>
        <v>China</v>
      </c>
    </row>
    <row r="4093" spans="1:9" x14ac:dyDescent="0.4">
      <c r="A4093" t="s">
        <v>66</v>
      </c>
      <c r="B4093" s="1">
        <v>45689</v>
      </c>
      <c r="C4093">
        <v>870870</v>
      </c>
      <c r="D4093" t="s">
        <v>176</v>
      </c>
      <c r="E4093">
        <v>36936434</v>
      </c>
      <c r="F4093">
        <v>929773</v>
      </c>
      <c r="G4093">
        <v>13134397</v>
      </c>
      <c r="H4093">
        <f>_xlfn.XLOOKUP(FACT_IMPORTS[[#This Row],[hts_6]],DIM_PRODUCTS[hts_6],DIM_PRODUCTS[hts_4],,,)</f>
        <v>8708</v>
      </c>
      <c r="I4093" t="str" cm="1">
        <f t="array" ref="I4093">_xlfn.XLOOKUP(FACT_IMPORTS[[#This Row],[country_name]],DIM_COUNTRY[[#All],[Column2]],DIM_COUNTRY[[#All],[Column3]],,,)</f>
        <v>China</v>
      </c>
    </row>
    <row r="4094" spans="1:9" x14ac:dyDescent="0.4">
      <c r="A4094" t="s">
        <v>66</v>
      </c>
      <c r="B4094" s="1">
        <v>45689</v>
      </c>
      <c r="C4094">
        <v>870880</v>
      </c>
      <c r="D4094" t="s">
        <v>176</v>
      </c>
      <c r="E4094">
        <v>11671680</v>
      </c>
      <c r="F4094">
        <v>1935550</v>
      </c>
      <c r="G4094">
        <v>119940</v>
      </c>
      <c r="H4094">
        <f>_xlfn.XLOOKUP(FACT_IMPORTS[[#This Row],[hts_6]],DIM_PRODUCTS[hts_6],DIM_PRODUCTS[hts_4],,,)</f>
        <v>8708</v>
      </c>
      <c r="I4094" t="str" cm="1">
        <f t="array" ref="I4094">_xlfn.XLOOKUP(FACT_IMPORTS[[#This Row],[country_name]],DIM_COUNTRY[[#All],[Column2]],DIM_COUNTRY[[#All],[Column3]],,,)</f>
        <v>China</v>
      </c>
    </row>
    <row r="4095" spans="1:9" x14ac:dyDescent="0.4">
      <c r="A4095" t="s">
        <v>66</v>
      </c>
      <c r="B4095" s="1">
        <v>45689</v>
      </c>
      <c r="C4095">
        <v>870891</v>
      </c>
      <c r="D4095" t="s">
        <v>176</v>
      </c>
      <c r="E4095">
        <v>592073</v>
      </c>
      <c r="F4095">
        <v>14928</v>
      </c>
      <c r="G4095">
        <v>10176</v>
      </c>
      <c r="H4095">
        <f>_xlfn.XLOOKUP(FACT_IMPORTS[[#This Row],[hts_6]],DIM_PRODUCTS[hts_6],DIM_PRODUCTS[hts_4],,,)</f>
        <v>8708</v>
      </c>
      <c r="I4095" t="str" cm="1">
        <f t="array" ref="I4095">_xlfn.XLOOKUP(FACT_IMPORTS[[#This Row],[country_name]],DIM_COUNTRY[[#All],[Column2]],DIM_COUNTRY[[#All],[Column3]],,,)</f>
        <v>China</v>
      </c>
    </row>
    <row r="4096" spans="1:9" x14ac:dyDescent="0.4">
      <c r="A4096" t="s">
        <v>66</v>
      </c>
      <c r="B4096" s="1">
        <v>45689</v>
      </c>
      <c r="C4096">
        <v>870892</v>
      </c>
      <c r="D4096" t="s">
        <v>176</v>
      </c>
      <c r="E4096">
        <v>5700717</v>
      </c>
      <c r="F4096">
        <v>891345</v>
      </c>
      <c r="G4096">
        <v>471736</v>
      </c>
      <c r="H4096">
        <f>_xlfn.XLOOKUP(FACT_IMPORTS[[#This Row],[hts_6]],DIM_PRODUCTS[hts_6],DIM_PRODUCTS[hts_4],,,)</f>
        <v>8708</v>
      </c>
      <c r="I4096" t="str" cm="1">
        <f t="array" ref="I4096">_xlfn.XLOOKUP(FACT_IMPORTS[[#This Row],[country_name]],DIM_COUNTRY[[#All],[Column2]],DIM_COUNTRY[[#All],[Column3]],,,)</f>
        <v>China</v>
      </c>
    </row>
    <row r="4097" spans="1:9" x14ac:dyDescent="0.4">
      <c r="A4097" t="s">
        <v>66</v>
      </c>
      <c r="B4097" s="1">
        <v>45689</v>
      </c>
      <c r="C4097">
        <v>870893</v>
      </c>
      <c r="D4097" t="s">
        <v>176</v>
      </c>
      <c r="E4097">
        <v>684897</v>
      </c>
      <c r="F4097">
        <v>213171</v>
      </c>
      <c r="G4097">
        <v>18806</v>
      </c>
      <c r="H4097">
        <f>_xlfn.XLOOKUP(FACT_IMPORTS[[#This Row],[hts_6]],DIM_PRODUCTS[hts_6],DIM_PRODUCTS[hts_4],,,)</f>
        <v>8708</v>
      </c>
      <c r="I4097" t="str" cm="1">
        <f t="array" ref="I4097">_xlfn.XLOOKUP(FACT_IMPORTS[[#This Row],[country_name]],DIM_COUNTRY[[#All],[Column2]],DIM_COUNTRY[[#All],[Column3]],,,)</f>
        <v>China</v>
      </c>
    </row>
    <row r="4098" spans="1:9" x14ac:dyDescent="0.4">
      <c r="A4098" t="s">
        <v>66</v>
      </c>
      <c r="B4098" s="1">
        <v>45689</v>
      </c>
      <c r="C4098">
        <v>870894</v>
      </c>
      <c r="D4098" t="s">
        <v>176</v>
      </c>
      <c r="E4098">
        <v>3706617</v>
      </c>
      <c r="F4098">
        <v>414504</v>
      </c>
      <c r="G4098">
        <v>394703</v>
      </c>
      <c r="H4098">
        <f>_xlfn.XLOOKUP(FACT_IMPORTS[[#This Row],[hts_6]],DIM_PRODUCTS[hts_6],DIM_PRODUCTS[hts_4],,,)</f>
        <v>8708</v>
      </c>
      <c r="I4098" t="str" cm="1">
        <f t="array" ref="I4098">_xlfn.XLOOKUP(FACT_IMPORTS[[#This Row],[country_name]],DIM_COUNTRY[[#All],[Column2]],DIM_COUNTRY[[#All],[Column3]],,,)</f>
        <v>China</v>
      </c>
    </row>
    <row r="4099" spans="1:9" x14ac:dyDescent="0.4">
      <c r="A4099" t="s">
        <v>66</v>
      </c>
      <c r="B4099" s="1">
        <v>45689</v>
      </c>
      <c r="C4099">
        <v>870895</v>
      </c>
      <c r="D4099" t="s">
        <v>176</v>
      </c>
      <c r="E4099">
        <v>42587</v>
      </c>
      <c r="F4099">
        <v>23128</v>
      </c>
      <c r="G4099">
        <v>1859</v>
      </c>
      <c r="H4099">
        <f>_xlfn.XLOOKUP(FACT_IMPORTS[[#This Row],[hts_6]],DIM_PRODUCTS[hts_6],DIM_PRODUCTS[hts_4],,,)</f>
        <v>8708</v>
      </c>
      <c r="I4099" t="str" cm="1">
        <f t="array" ref="I4099">_xlfn.XLOOKUP(FACT_IMPORTS[[#This Row],[country_name]],DIM_COUNTRY[[#All],[Column2]],DIM_COUNTRY[[#All],[Column3]],,,)</f>
        <v>China</v>
      </c>
    </row>
    <row r="4100" spans="1:9" x14ac:dyDescent="0.4">
      <c r="A4100" t="s">
        <v>66</v>
      </c>
      <c r="B4100" s="1">
        <v>45689</v>
      </c>
      <c r="C4100">
        <v>870899</v>
      </c>
      <c r="D4100" t="s">
        <v>176</v>
      </c>
      <c r="E4100">
        <v>9479904</v>
      </c>
      <c r="F4100">
        <v>2197201</v>
      </c>
      <c r="G4100">
        <v>633557</v>
      </c>
      <c r="H4100">
        <f>_xlfn.XLOOKUP(FACT_IMPORTS[[#This Row],[hts_6]],DIM_PRODUCTS[hts_6],DIM_PRODUCTS[hts_4],,,)</f>
        <v>8708</v>
      </c>
      <c r="I4100" t="str" cm="1">
        <f t="array" ref="I4100">_xlfn.XLOOKUP(FACT_IMPORTS[[#This Row],[country_name]],DIM_COUNTRY[[#All],[Column2]],DIM_COUNTRY[[#All],[Column3]],,,)</f>
        <v>China</v>
      </c>
    </row>
    <row r="4101" spans="1:9" x14ac:dyDescent="0.4">
      <c r="A4101" t="s">
        <v>66</v>
      </c>
      <c r="B4101" s="1">
        <v>45689</v>
      </c>
      <c r="C4101">
        <v>940120</v>
      </c>
      <c r="D4101" t="s">
        <v>176</v>
      </c>
      <c r="E4101">
        <v>89741</v>
      </c>
      <c r="F4101">
        <v>4135</v>
      </c>
      <c r="G4101">
        <v>5192</v>
      </c>
      <c r="H4101">
        <f>_xlfn.XLOOKUP(FACT_IMPORTS[[#This Row],[hts_6]],DIM_PRODUCTS[hts_6],DIM_PRODUCTS[hts_4],,,)</f>
        <v>9401</v>
      </c>
      <c r="I4101" t="str" cm="1">
        <f t="array" ref="I4101">_xlfn.XLOOKUP(FACT_IMPORTS[[#This Row],[country_name]],DIM_COUNTRY[[#All],[Column2]],DIM_COUNTRY[[#All],[Column3]],,,)</f>
        <v>China</v>
      </c>
    </row>
    <row r="4102" spans="1:9" x14ac:dyDescent="0.4">
      <c r="A4102" t="s">
        <v>66</v>
      </c>
      <c r="B4102" s="1">
        <v>45717</v>
      </c>
      <c r="C4102">
        <v>392630</v>
      </c>
      <c r="D4102" t="s">
        <v>176</v>
      </c>
      <c r="E4102">
        <v>3466496</v>
      </c>
      <c r="F4102">
        <v>161147</v>
      </c>
      <c r="G4102">
        <v>153282</v>
      </c>
      <c r="H4102">
        <f>_xlfn.XLOOKUP(FACT_IMPORTS[[#This Row],[hts_6]],DIM_PRODUCTS[hts_6],DIM_PRODUCTS[hts_4],,,)</f>
        <v>3926</v>
      </c>
      <c r="I4102" t="str" cm="1">
        <f t="array" ref="I4102">_xlfn.XLOOKUP(FACT_IMPORTS[[#This Row],[country_name]],DIM_COUNTRY[[#All],[Column2]],DIM_COUNTRY[[#All],[Column3]],,,)</f>
        <v>China</v>
      </c>
    </row>
    <row r="4103" spans="1:9" x14ac:dyDescent="0.4">
      <c r="A4103" t="s">
        <v>66</v>
      </c>
      <c r="B4103" s="1">
        <v>45717</v>
      </c>
      <c r="C4103">
        <v>401110</v>
      </c>
      <c r="D4103" t="s">
        <v>176</v>
      </c>
      <c r="E4103">
        <v>25372</v>
      </c>
      <c r="F4103">
        <v>160</v>
      </c>
      <c r="G4103">
        <v>263</v>
      </c>
      <c r="H4103">
        <f>_xlfn.XLOOKUP(FACT_IMPORTS[[#This Row],[hts_6]],DIM_PRODUCTS[hts_6],DIM_PRODUCTS[hts_4],,,)</f>
        <v>4011</v>
      </c>
      <c r="I4103" t="str" cm="1">
        <f t="array" ref="I4103">_xlfn.XLOOKUP(FACT_IMPORTS[[#This Row],[country_name]],DIM_COUNTRY[[#All],[Column2]],DIM_COUNTRY[[#All],[Column3]],,,)</f>
        <v>China</v>
      </c>
    </row>
    <row r="4104" spans="1:9" x14ac:dyDescent="0.4">
      <c r="A4104" t="s">
        <v>66</v>
      </c>
      <c r="B4104" s="1">
        <v>45717</v>
      </c>
      <c r="C4104">
        <v>401120</v>
      </c>
      <c r="D4104" t="s">
        <v>176</v>
      </c>
      <c r="E4104">
        <v>60367</v>
      </c>
      <c r="F4104">
        <v>525</v>
      </c>
      <c r="G4104">
        <v>5938</v>
      </c>
      <c r="H4104">
        <f>_xlfn.XLOOKUP(FACT_IMPORTS[[#This Row],[hts_6]],DIM_PRODUCTS[hts_6],DIM_PRODUCTS[hts_4],,,)</f>
        <v>4011</v>
      </c>
      <c r="I4104" t="str" cm="1">
        <f t="array" ref="I4104">_xlfn.XLOOKUP(FACT_IMPORTS[[#This Row],[country_name]],DIM_COUNTRY[[#All],[Column2]],DIM_COUNTRY[[#All],[Column3]],,,)</f>
        <v>China</v>
      </c>
    </row>
    <row r="4105" spans="1:9" x14ac:dyDescent="0.4">
      <c r="A4105" t="s">
        <v>66</v>
      </c>
      <c r="B4105" s="1">
        <v>45717</v>
      </c>
      <c r="C4105">
        <v>401140</v>
      </c>
      <c r="D4105" t="s">
        <v>176</v>
      </c>
      <c r="E4105">
        <v>75100</v>
      </c>
      <c r="F4105">
        <v>1258</v>
      </c>
      <c r="G4105">
        <v>263</v>
      </c>
      <c r="H4105">
        <f>_xlfn.XLOOKUP(FACT_IMPORTS[[#This Row],[hts_6]],DIM_PRODUCTS[hts_6],DIM_PRODUCTS[hts_4],,,)</f>
        <v>4011</v>
      </c>
      <c r="I4105" t="str" cm="1">
        <f t="array" ref="I4105">_xlfn.XLOOKUP(FACT_IMPORTS[[#This Row],[country_name]],DIM_COUNTRY[[#All],[Column2]],DIM_COUNTRY[[#All],[Column3]],,,)</f>
        <v>China</v>
      </c>
    </row>
    <row r="4106" spans="1:9" x14ac:dyDescent="0.4">
      <c r="A4106" t="s">
        <v>66</v>
      </c>
      <c r="B4106" s="1">
        <v>45717</v>
      </c>
      <c r="C4106">
        <v>401190</v>
      </c>
      <c r="D4106" t="s">
        <v>176</v>
      </c>
      <c r="E4106">
        <v>245511</v>
      </c>
      <c r="F4106">
        <v>7402</v>
      </c>
      <c r="G4106">
        <v>7395</v>
      </c>
      <c r="H4106">
        <f>_xlfn.XLOOKUP(FACT_IMPORTS[[#This Row],[hts_6]],DIM_PRODUCTS[hts_6],DIM_PRODUCTS[hts_4],,,)</f>
        <v>4011</v>
      </c>
      <c r="I4106" t="str" cm="1">
        <f t="array" ref="I4106">_xlfn.XLOOKUP(FACT_IMPORTS[[#This Row],[country_name]],DIM_COUNTRY[[#All],[Column2]],DIM_COUNTRY[[#All],[Column3]],,,)</f>
        <v>China</v>
      </c>
    </row>
    <row r="4107" spans="1:9" x14ac:dyDescent="0.4">
      <c r="A4107" t="s">
        <v>66</v>
      </c>
      <c r="B4107" s="1">
        <v>45717</v>
      </c>
      <c r="C4107">
        <v>700711</v>
      </c>
      <c r="D4107" t="s">
        <v>176</v>
      </c>
      <c r="E4107">
        <v>1908758</v>
      </c>
      <c r="F4107">
        <v>212781</v>
      </c>
      <c r="G4107">
        <v>262500</v>
      </c>
      <c r="H4107">
        <f>_xlfn.XLOOKUP(FACT_IMPORTS[[#This Row],[hts_6]],DIM_PRODUCTS[hts_6],DIM_PRODUCTS[hts_4],,,)</f>
        <v>7007</v>
      </c>
      <c r="I4107" t="str" cm="1">
        <f t="array" ref="I4107">_xlfn.XLOOKUP(FACT_IMPORTS[[#This Row],[country_name]],DIM_COUNTRY[[#All],[Column2]],DIM_COUNTRY[[#All],[Column3]],,,)</f>
        <v>China</v>
      </c>
    </row>
    <row r="4108" spans="1:9" x14ac:dyDescent="0.4">
      <c r="A4108" t="s">
        <v>66</v>
      </c>
      <c r="B4108" s="1">
        <v>45717</v>
      </c>
      <c r="C4108">
        <v>700721</v>
      </c>
      <c r="D4108" t="s">
        <v>176</v>
      </c>
      <c r="E4108">
        <v>264770</v>
      </c>
      <c r="F4108">
        <v>6172</v>
      </c>
      <c r="G4108">
        <v>38993</v>
      </c>
      <c r="H4108">
        <f>_xlfn.XLOOKUP(FACT_IMPORTS[[#This Row],[hts_6]],DIM_PRODUCTS[hts_6],DIM_PRODUCTS[hts_4],,,)</f>
        <v>7007</v>
      </c>
      <c r="I4108" t="str" cm="1">
        <f t="array" ref="I4108">_xlfn.XLOOKUP(FACT_IMPORTS[[#This Row],[country_name]],DIM_COUNTRY[[#All],[Column2]],DIM_COUNTRY[[#All],[Column3]],,,)</f>
        <v>China</v>
      </c>
    </row>
    <row r="4109" spans="1:9" x14ac:dyDescent="0.4">
      <c r="A4109" t="s">
        <v>66</v>
      </c>
      <c r="B4109" s="1">
        <v>45717</v>
      </c>
      <c r="C4109">
        <v>700910</v>
      </c>
      <c r="D4109" t="s">
        <v>176</v>
      </c>
      <c r="E4109">
        <v>15120</v>
      </c>
      <c r="F4109">
        <v>1232</v>
      </c>
      <c r="G4109">
        <v>2294</v>
      </c>
      <c r="H4109">
        <f>_xlfn.XLOOKUP(FACT_IMPORTS[[#This Row],[hts_6]],DIM_PRODUCTS[hts_6],DIM_PRODUCTS[hts_4],,,)</f>
        <v>7009</v>
      </c>
      <c r="I4109" t="str" cm="1">
        <f t="array" ref="I4109">_xlfn.XLOOKUP(FACT_IMPORTS[[#This Row],[country_name]],DIM_COUNTRY[[#All],[Column2]],DIM_COUNTRY[[#All],[Column3]],,,)</f>
        <v>China</v>
      </c>
    </row>
    <row r="4110" spans="1:9" x14ac:dyDescent="0.4">
      <c r="A4110" t="s">
        <v>66</v>
      </c>
      <c r="B4110" s="1">
        <v>45717</v>
      </c>
      <c r="C4110">
        <v>732010</v>
      </c>
      <c r="D4110" t="s">
        <v>176</v>
      </c>
      <c r="E4110">
        <v>0</v>
      </c>
      <c r="F4110">
        <v>0</v>
      </c>
      <c r="G4110">
        <v>0</v>
      </c>
      <c r="H4110">
        <f>_xlfn.XLOOKUP(FACT_IMPORTS[[#This Row],[hts_6]],DIM_PRODUCTS[hts_6],DIM_PRODUCTS[hts_4],,,)</f>
        <v>7320</v>
      </c>
      <c r="I4110" t="str" cm="1">
        <f t="array" ref="I4110">_xlfn.XLOOKUP(FACT_IMPORTS[[#This Row],[country_name]],DIM_COUNTRY[[#All],[Column2]],DIM_COUNTRY[[#All],[Column3]],,,)</f>
        <v>China</v>
      </c>
    </row>
    <row r="4111" spans="1:9" x14ac:dyDescent="0.4">
      <c r="A4111" t="s">
        <v>66</v>
      </c>
      <c r="B4111" s="1">
        <v>45717</v>
      </c>
      <c r="C4111">
        <v>830230</v>
      </c>
      <c r="D4111" t="s">
        <v>176</v>
      </c>
      <c r="E4111">
        <v>3878197</v>
      </c>
      <c r="F4111">
        <v>1210724</v>
      </c>
      <c r="G4111">
        <v>191006</v>
      </c>
      <c r="H4111">
        <f>_xlfn.XLOOKUP(FACT_IMPORTS[[#This Row],[hts_6]],DIM_PRODUCTS[hts_6],DIM_PRODUCTS[hts_4],,,)</f>
        <v>8302</v>
      </c>
      <c r="I4111" t="str" cm="1">
        <f t="array" ref="I4111">_xlfn.XLOOKUP(FACT_IMPORTS[[#This Row],[country_name]],DIM_COUNTRY[[#All],[Column2]],DIM_COUNTRY[[#All],[Column3]],,,)</f>
        <v>China</v>
      </c>
    </row>
    <row r="4112" spans="1:9" x14ac:dyDescent="0.4">
      <c r="A4112" t="s">
        <v>66</v>
      </c>
      <c r="B4112" s="1">
        <v>45717</v>
      </c>
      <c r="C4112">
        <v>840733</v>
      </c>
      <c r="D4112" t="s">
        <v>176</v>
      </c>
      <c r="E4112">
        <v>0</v>
      </c>
      <c r="F4112">
        <v>0</v>
      </c>
      <c r="G4112">
        <v>0</v>
      </c>
      <c r="H4112">
        <f>_xlfn.XLOOKUP(FACT_IMPORTS[[#This Row],[hts_6]],DIM_PRODUCTS[hts_6],DIM_PRODUCTS[hts_4],,,)</f>
        <v>8407</v>
      </c>
      <c r="I4112" t="str" cm="1">
        <f t="array" ref="I4112">_xlfn.XLOOKUP(FACT_IMPORTS[[#This Row],[country_name]],DIM_COUNTRY[[#All],[Column2]],DIM_COUNTRY[[#All],[Column3]],,,)</f>
        <v>China</v>
      </c>
    </row>
    <row r="4113" spans="1:9" x14ac:dyDescent="0.4">
      <c r="A4113" t="s">
        <v>66</v>
      </c>
      <c r="B4113" s="1">
        <v>45717</v>
      </c>
      <c r="C4113">
        <v>840734</v>
      </c>
      <c r="D4113" t="s">
        <v>176</v>
      </c>
      <c r="E4113">
        <v>0</v>
      </c>
      <c r="F4113">
        <v>0</v>
      </c>
      <c r="G4113">
        <v>0</v>
      </c>
      <c r="H4113">
        <f>_xlfn.XLOOKUP(FACT_IMPORTS[[#This Row],[hts_6]],DIM_PRODUCTS[hts_6],DIM_PRODUCTS[hts_4],,,)</f>
        <v>8407</v>
      </c>
      <c r="I4113" t="str" cm="1">
        <f t="array" ref="I4113">_xlfn.XLOOKUP(FACT_IMPORTS[[#This Row],[country_name]],DIM_COUNTRY[[#All],[Column2]],DIM_COUNTRY[[#All],[Column3]],,,)</f>
        <v>China</v>
      </c>
    </row>
    <row r="4114" spans="1:9" x14ac:dyDescent="0.4">
      <c r="A4114" t="s">
        <v>66</v>
      </c>
      <c r="B4114" s="1">
        <v>45717</v>
      </c>
      <c r="C4114">
        <v>840790</v>
      </c>
      <c r="D4114" t="s">
        <v>176</v>
      </c>
      <c r="E4114">
        <v>0</v>
      </c>
      <c r="F4114">
        <v>0</v>
      </c>
      <c r="G4114">
        <v>0</v>
      </c>
      <c r="H4114">
        <f>_xlfn.XLOOKUP(FACT_IMPORTS[[#This Row],[hts_6]],DIM_PRODUCTS[hts_6],DIM_PRODUCTS[hts_4],,,)</f>
        <v>8407</v>
      </c>
      <c r="I4114" t="str" cm="1">
        <f t="array" ref="I4114">_xlfn.XLOOKUP(FACT_IMPORTS[[#This Row],[country_name]],DIM_COUNTRY[[#All],[Column2]],DIM_COUNTRY[[#All],[Column3]],,,)</f>
        <v>China</v>
      </c>
    </row>
    <row r="4115" spans="1:9" x14ac:dyDescent="0.4">
      <c r="A4115" t="s">
        <v>66</v>
      </c>
      <c r="B4115" s="1">
        <v>45717</v>
      </c>
      <c r="C4115">
        <v>840820</v>
      </c>
      <c r="D4115" t="s">
        <v>176</v>
      </c>
      <c r="E4115">
        <v>0</v>
      </c>
      <c r="F4115">
        <v>0</v>
      </c>
      <c r="G4115">
        <v>0</v>
      </c>
      <c r="H4115">
        <f>_xlfn.XLOOKUP(FACT_IMPORTS[[#This Row],[hts_6]],DIM_PRODUCTS[hts_6],DIM_PRODUCTS[hts_4],,,)</f>
        <v>8408</v>
      </c>
      <c r="I4115" t="str" cm="1">
        <f t="array" ref="I4115">_xlfn.XLOOKUP(FACT_IMPORTS[[#This Row],[country_name]],DIM_COUNTRY[[#All],[Column2]],DIM_COUNTRY[[#All],[Column3]],,,)</f>
        <v>China</v>
      </c>
    </row>
    <row r="4116" spans="1:9" x14ac:dyDescent="0.4">
      <c r="A4116" t="s">
        <v>66</v>
      </c>
      <c r="B4116" s="1">
        <v>45717</v>
      </c>
      <c r="C4116">
        <v>840890</v>
      </c>
      <c r="D4116" t="s">
        <v>176</v>
      </c>
      <c r="E4116">
        <v>0</v>
      </c>
      <c r="F4116">
        <v>0</v>
      </c>
      <c r="G4116">
        <v>0</v>
      </c>
      <c r="H4116">
        <f>_xlfn.XLOOKUP(FACT_IMPORTS[[#This Row],[hts_6]],DIM_PRODUCTS[hts_6],DIM_PRODUCTS[hts_4],,,)</f>
        <v>8408</v>
      </c>
      <c r="I4116" t="str" cm="1">
        <f t="array" ref="I4116">_xlfn.XLOOKUP(FACT_IMPORTS[[#This Row],[country_name]],DIM_COUNTRY[[#All],[Column2]],DIM_COUNTRY[[#All],[Column3]],,,)</f>
        <v>China</v>
      </c>
    </row>
    <row r="4117" spans="1:9" x14ac:dyDescent="0.4">
      <c r="A4117" t="s">
        <v>66</v>
      </c>
      <c r="B4117" s="1">
        <v>45717</v>
      </c>
      <c r="C4117">
        <v>840991</v>
      </c>
      <c r="D4117" t="s">
        <v>176</v>
      </c>
      <c r="E4117">
        <v>5893513</v>
      </c>
      <c r="F4117">
        <v>1300521</v>
      </c>
      <c r="G4117">
        <v>591116</v>
      </c>
      <c r="H4117">
        <f>_xlfn.XLOOKUP(FACT_IMPORTS[[#This Row],[hts_6]],DIM_PRODUCTS[hts_6],DIM_PRODUCTS[hts_4],,,)</f>
        <v>8409</v>
      </c>
      <c r="I4117" t="str" cm="1">
        <f t="array" ref="I4117">_xlfn.XLOOKUP(FACT_IMPORTS[[#This Row],[country_name]],DIM_COUNTRY[[#All],[Column2]],DIM_COUNTRY[[#All],[Column3]],,,)</f>
        <v>China</v>
      </c>
    </row>
    <row r="4118" spans="1:9" x14ac:dyDescent="0.4">
      <c r="A4118" t="s">
        <v>66</v>
      </c>
      <c r="B4118" s="1">
        <v>45717</v>
      </c>
      <c r="C4118">
        <v>840999</v>
      </c>
      <c r="D4118" t="s">
        <v>176</v>
      </c>
      <c r="E4118">
        <v>4750309</v>
      </c>
      <c r="F4118">
        <v>967799</v>
      </c>
      <c r="G4118">
        <v>227980</v>
      </c>
      <c r="H4118">
        <f>_xlfn.XLOOKUP(FACT_IMPORTS[[#This Row],[hts_6]],DIM_PRODUCTS[hts_6],DIM_PRODUCTS[hts_4],,,)</f>
        <v>8409</v>
      </c>
      <c r="I4118" t="str" cm="1">
        <f t="array" ref="I4118">_xlfn.XLOOKUP(FACT_IMPORTS[[#This Row],[country_name]],DIM_COUNTRY[[#All],[Column2]],DIM_COUNTRY[[#All],[Column3]],,,)</f>
        <v>China</v>
      </c>
    </row>
    <row r="4119" spans="1:9" x14ac:dyDescent="0.4">
      <c r="A4119" t="s">
        <v>66</v>
      </c>
      <c r="B4119" s="1">
        <v>45717</v>
      </c>
      <c r="C4119">
        <v>841330</v>
      </c>
      <c r="D4119" t="s">
        <v>176</v>
      </c>
      <c r="E4119">
        <v>893494</v>
      </c>
      <c r="F4119">
        <v>16065</v>
      </c>
      <c r="G4119">
        <v>18418</v>
      </c>
      <c r="H4119">
        <f>_xlfn.XLOOKUP(FACT_IMPORTS[[#This Row],[hts_6]],DIM_PRODUCTS[hts_6],DIM_PRODUCTS[hts_4],,,)</f>
        <v>8413</v>
      </c>
      <c r="I4119" t="str" cm="1">
        <f t="array" ref="I4119">_xlfn.XLOOKUP(FACT_IMPORTS[[#This Row],[country_name]],DIM_COUNTRY[[#All],[Column2]],DIM_COUNTRY[[#All],[Column3]],,,)</f>
        <v>China</v>
      </c>
    </row>
    <row r="4120" spans="1:9" x14ac:dyDescent="0.4">
      <c r="A4120" t="s">
        <v>66</v>
      </c>
      <c r="B4120" s="1">
        <v>45717</v>
      </c>
      <c r="C4120">
        <v>841520</v>
      </c>
      <c r="D4120" t="s">
        <v>176</v>
      </c>
      <c r="E4120">
        <v>0</v>
      </c>
      <c r="F4120">
        <v>0</v>
      </c>
      <c r="G4120">
        <v>0</v>
      </c>
      <c r="H4120">
        <f>_xlfn.XLOOKUP(FACT_IMPORTS[[#This Row],[hts_6]],DIM_PRODUCTS[hts_6],DIM_PRODUCTS[hts_4],,,)</f>
        <v>8415</v>
      </c>
      <c r="I4120" t="str" cm="1">
        <f t="array" ref="I4120">_xlfn.XLOOKUP(FACT_IMPORTS[[#This Row],[country_name]],DIM_COUNTRY[[#All],[Column2]],DIM_COUNTRY[[#All],[Column3]],,,)</f>
        <v>China</v>
      </c>
    </row>
    <row r="4121" spans="1:9" x14ac:dyDescent="0.4">
      <c r="A4121" t="s">
        <v>66</v>
      </c>
      <c r="B4121" s="1">
        <v>45717</v>
      </c>
      <c r="C4121">
        <v>842132</v>
      </c>
      <c r="D4121" t="s">
        <v>176</v>
      </c>
      <c r="E4121">
        <v>0</v>
      </c>
      <c r="F4121">
        <v>0</v>
      </c>
      <c r="G4121">
        <v>0</v>
      </c>
      <c r="H4121">
        <f>_xlfn.XLOOKUP(FACT_IMPORTS[[#This Row],[hts_6]],DIM_PRODUCTS[hts_6],DIM_PRODUCTS[hts_4],,,)</f>
        <v>8421</v>
      </c>
      <c r="I4121" t="str" cm="1">
        <f t="array" ref="I4121">_xlfn.XLOOKUP(FACT_IMPORTS[[#This Row],[country_name]],DIM_COUNTRY[[#All],[Column2]],DIM_COUNTRY[[#All],[Column3]],,,)</f>
        <v>China</v>
      </c>
    </row>
    <row r="4122" spans="1:9" x14ac:dyDescent="0.4">
      <c r="A4122" t="s">
        <v>66</v>
      </c>
      <c r="B4122" s="1">
        <v>45717</v>
      </c>
      <c r="C4122">
        <v>848210</v>
      </c>
      <c r="D4122" t="s">
        <v>176</v>
      </c>
      <c r="E4122">
        <v>750100</v>
      </c>
      <c r="F4122">
        <v>1480875</v>
      </c>
      <c r="G4122">
        <v>42781</v>
      </c>
      <c r="H4122">
        <f>_xlfn.XLOOKUP(FACT_IMPORTS[[#This Row],[hts_6]],DIM_PRODUCTS[hts_6],DIM_PRODUCTS[hts_4],,,)</f>
        <v>8482</v>
      </c>
      <c r="I4122" t="str" cm="1">
        <f t="array" ref="I4122">_xlfn.XLOOKUP(FACT_IMPORTS[[#This Row],[country_name]],DIM_COUNTRY[[#All],[Column2]],DIM_COUNTRY[[#All],[Column3]],,,)</f>
        <v>China</v>
      </c>
    </row>
    <row r="4123" spans="1:9" x14ac:dyDescent="0.4">
      <c r="A4123" t="s">
        <v>66</v>
      </c>
      <c r="B4123" s="1">
        <v>45717</v>
      </c>
      <c r="C4123">
        <v>848220</v>
      </c>
      <c r="D4123" t="s">
        <v>176</v>
      </c>
      <c r="E4123">
        <v>0</v>
      </c>
      <c r="F4123">
        <v>0</v>
      </c>
      <c r="G4123">
        <v>0</v>
      </c>
      <c r="H4123">
        <f>_xlfn.XLOOKUP(FACT_IMPORTS[[#This Row],[hts_6]],DIM_PRODUCTS[hts_6],DIM_PRODUCTS[hts_4],,,)</f>
        <v>8482</v>
      </c>
      <c r="I4123" t="str" cm="1">
        <f t="array" ref="I4123">_xlfn.XLOOKUP(FACT_IMPORTS[[#This Row],[country_name]],DIM_COUNTRY[[#All],[Column2]],DIM_COUNTRY[[#All],[Column3]],,,)</f>
        <v>China</v>
      </c>
    </row>
    <row r="4124" spans="1:9" x14ac:dyDescent="0.4">
      <c r="A4124" t="s">
        <v>66</v>
      </c>
      <c r="B4124" s="1">
        <v>45717</v>
      </c>
      <c r="C4124">
        <v>848310</v>
      </c>
      <c r="D4124" t="s">
        <v>176</v>
      </c>
      <c r="E4124">
        <v>2307879</v>
      </c>
      <c r="F4124">
        <v>190358</v>
      </c>
      <c r="G4124">
        <v>177340</v>
      </c>
      <c r="H4124">
        <f>_xlfn.XLOOKUP(FACT_IMPORTS[[#This Row],[hts_6]],DIM_PRODUCTS[hts_6],DIM_PRODUCTS[hts_4],,,)</f>
        <v>8483</v>
      </c>
      <c r="I4124" t="str" cm="1">
        <f t="array" ref="I4124">_xlfn.XLOOKUP(FACT_IMPORTS[[#This Row],[country_name]],DIM_COUNTRY[[#All],[Column2]],DIM_COUNTRY[[#All],[Column3]],,,)</f>
        <v>China</v>
      </c>
    </row>
    <row r="4125" spans="1:9" x14ac:dyDescent="0.4">
      <c r="A4125" t="s">
        <v>66</v>
      </c>
      <c r="B4125" s="1">
        <v>45717</v>
      </c>
      <c r="C4125">
        <v>850131</v>
      </c>
      <c r="D4125" t="s">
        <v>176</v>
      </c>
      <c r="E4125">
        <v>2569553</v>
      </c>
      <c r="F4125">
        <v>442603</v>
      </c>
      <c r="G4125">
        <v>132527</v>
      </c>
      <c r="H4125">
        <f>_xlfn.XLOOKUP(FACT_IMPORTS[[#This Row],[hts_6]],DIM_PRODUCTS[hts_6],DIM_PRODUCTS[hts_4],,,)</f>
        <v>8501</v>
      </c>
      <c r="I4125" t="str" cm="1">
        <f t="array" ref="I4125">_xlfn.XLOOKUP(FACT_IMPORTS[[#This Row],[country_name]],DIM_COUNTRY[[#All],[Column2]],DIM_COUNTRY[[#All],[Column3]],,,)</f>
        <v>China</v>
      </c>
    </row>
    <row r="4126" spans="1:9" x14ac:dyDescent="0.4">
      <c r="A4126" t="s">
        <v>66</v>
      </c>
      <c r="B4126" s="1">
        <v>45717</v>
      </c>
      <c r="C4126">
        <v>850132</v>
      </c>
      <c r="D4126" t="s">
        <v>176</v>
      </c>
      <c r="E4126">
        <v>114451</v>
      </c>
      <c r="F4126">
        <v>2570</v>
      </c>
      <c r="G4126">
        <v>8468</v>
      </c>
      <c r="H4126">
        <f>_xlfn.XLOOKUP(FACT_IMPORTS[[#This Row],[hts_6]],DIM_PRODUCTS[hts_6],DIM_PRODUCTS[hts_4],,,)</f>
        <v>8501</v>
      </c>
      <c r="I4126" t="str" cm="1">
        <f t="array" ref="I4126">_xlfn.XLOOKUP(FACT_IMPORTS[[#This Row],[country_name]],DIM_COUNTRY[[#All],[Column2]],DIM_COUNTRY[[#All],[Column3]],,,)</f>
        <v>China</v>
      </c>
    </row>
    <row r="4127" spans="1:9" x14ac:dyDescent="0.4">
      <c r="A4127" t="s">
        <v>66</v>
      </c>
      <c r="B4127" s="1">
        <v>45717</v>
      </c>
      <c r="C4127">
        <v>850133</v>
      </c>
      <c r="D4127" t="s">
        <v>176</v>
      </c>
      <c r="E4127">
        <v>2161</v>
      </c>
      <c r="F4127">
        <v>1</v>
      </c>
      <c r="G4127">
        <v>62</v>
      </c>
      <c r="H4127">
        <f>_xlfn.XLOOKUP(FACT_IMPORTS[[#This Row],[hts_6]],DIM_PRODUCTS[hts_6],DIM_PRODUCTS[hts_4],,,)</f>
        <v>8501</v>
      </c>
      <c r="I4127" t="str" cm="1">
        <f t="array" ref="I4127">_xlfn.XLOOKUP(FACT_IMPORTS[[#This Row],[country_name]],DIM_COUNTRY[[#All],[Column2]],DIM_COUNTRY[[#All],[Column3]],,,)</f>
        <v>China</v>
      </c>
    </row>
    <row r="4128" spans="1:9" x14ac:dyDescent="0.4">
      <c r="A4128" t="s">
        <v>66</v>
      </c>
      <c r="B4128" s="1">
        <v>45717</v>
      </c>
      <c r="C4128">
        <v>850152</v>
      </c>
      <c r="D4128" t="s">
        <v>176</v>
      </c>
      <c r="E4128">
        <v>199137</v>
      </c>
      <c r="F4128">
        <v>445</v>
      </c>
      <c r="G4128">
        <v>10860</v>
      </c>
      <c r="H4128">
        <f>_xlfn.XLOOKUP(FACT_IMPORTS[[#This Row],[hts_6]],DIM_PRODUCTS[hts_6],DIM_PRODUCTS[hts_4],,,)</f>
        <v>8501</v>
      </c>
      <c r="I4128" t="str" cm="1">
        <f t="array" ref="I4128">_xlfn.XLOOKUP(FACT_IMPORTS[[#This Row],[country_name]],DIM_COUNTRY[[#All],[Column2]],DIM_COUNTRY[[#All],[Column3]],,,)</f>
        <v>China</v>
      </c>
    </row>
    <row r="4129" spans="1:9" x14ac:dyDescent="0.4">
      <c r="A4129" t="s">
        <v>66</v>
      </c>
      <c r="B4129" s="1">
        <v>45717</v>
      </c>
      <c r="C4129">
        <v>850153</v>
      </c>
      <c r="D4129" t="s">
        <v>176</v>
      </c>
      <c r="E4129">
        <v>5943</v>
      </c>
      <c r="F4129">
        <v>1</v>
      </c>
      <c r="G4129">
        <v>92</v>
      </c>
      <c r="H4129">
        <f>_xlfn.XLOOKUP(FACT_IMPORTS[[#This Row],[hts_6]],DIM_PRODUCTS[hts_6],DIM_PRODUCTS[hts_4],,,)</f>
        <v>8501</v>
      </c>
      <c r="I4129" t="str" cm="1">
        <f t="array" ref="I4129">_xlfn.XLOOKUP(FACT_IMPORTS[[#This Row],[country_name]],DIM_COUNTRY[[#All],[Column2]],DIM_COUNTRY[[#All],[Column3]],,,)</f>
        <v>China</v>
      </c>
    </row>
    <row r="4130" spans="1:9" x14ac:dyDescent="0.4">
      <c r="A4130" t="s">
        <v>66</v>
      </c>
      <c r="B4130" s="1">
        <v>45717</v>
      </c>
      <c r="C4130">
        <v>850161</v>
      </c>
      <c r="D4130" t="s">
        <v>176</v>
      </c>
      <c r="E4130">
        <v>0</v>
      </c>
      <c r="F4130">
        <v>0</v>
      </c>
      <c r="G4130">
        <v>0</v>
      </c>
      <c r="H4130">
        <f>_xlfn.XLOOKUP(FACT_IMPORTS[[#This Row],[hts_6]],DIM_PRODUCTS[hts_6],DIM_PRODUCTS[hts_4],,,)</f>
        <v>8501</v>
      </c>
      <c r="I4130" t="str" cm="1">
        <f t="array" ref="I4130">_xlfn.XLOOKUP(FACT_IMPORTS[[#This Row],[country_name]],DIM_COUNTRY[[#All],[Column2]],DIM_COUNTRY[[#All],[Column3]],,,)</f>
        <v>China</v>
      </c>
    </row>
    <row r="4131" spans="1:9" x14ac:dyDescent="0.4">
      <c r="A4131" t="s">
        <v>66</v>
      </c>
      <c r="B4131" s="1">
        <v>45717</v>
      </c>
      <c r="C4131">
        <v>850440</v>
      </c>
      <c r="D4131" t="s">
        <v>176</v>
      </c>
      <c r="E4131">
        <v>1166032</v>
      </c>
      <c r="F4131">
        <v>26718</v>
      </c>
      <c r="G4131">
        <v>50778</v>
      </c>
      <c r="H4131">
        <f>_xlfn.XLOOKUP(FACT_IMPORTS[[#This Row],[hts_6]],DIM_PRODUCTS[hts_6],DIM_PRODUCTS[hts_4],,,)</f>
        <v>8504</v>
      </c>
      <c r="I4131" t="str" cm="1">
        <f t="array" ref="I4131">_xlfn.XLOOKUP(FACT_IMPORTS[[#This Row],[country_name]],DIM_COUNTRY[[#All],[Column2]],DIM_COUNTRY[[#All],[Column3]],,,)</f>
        <v>China</v>
      </c>
    </row>
    <row r="4132" spans="1:9" x14ac:dyDescent="0.4">
      <c r="A4132" t="s">
        <v>66</v>
      </c>
      <c r="B4132" s="1">
        <v>45717</v>
      </c>
      <c r="C4132">
        <v>850710</v>
      </c>
      <c r="D4132" t="s">
        <v>176</v>
      </c>
      <c r="E4132">
        <v>133357</v>
      </c>
      <c r="F4132">
        <v>5557</v>
      </c>
      <c r="G4132">
        <v>8371</v>
      </c>
      <c r="H4132">
        <f>_xlfn.XLOOKUP(FACT_IMPORTS[[#This Row],[hts_6]],DIM_PRODUCTS[hts_6],DIM_PRODUCTS[hts_4],,,)</f>
        <v>8507</v>
      </c>
      <c r="I4132" t="str" cm="1">
        <f t="array" ref="I4132">_xlfn.XLOOKUP(FACT_IMPORTS[[#This Row],[country_name]],DIM_COUNTRY[[#All],[Column2]],DIM_COUNTRY[[#All],[Column3]],,,)</f>
        <v>China</v>
      </c>
    </row>
    <row r="4133" spans="1:9" x14ac:dyDescent="0.4">
      <c r="A4133" t="s">
        <v>66</v>
      </c>
      <c r="B4133" s="1">
        <v>45717</v>
      </c>
      <c r="C4133">
        <v>850760</v>
      </c>
      <c r="D4133" t="s">
        <v>176</v>
      </c>
      <c r="E4133">
        <v>3574217</v>
      </c>
      <c r="F4133">
        <v>2133</v>
      </c>
      <c r="G4133">
        <v>14541</v>
      </c>
      <c r="H4133">
        <f>_xlfn.XLOOKUP(FACT_IMPORTS[[#This Row],[hts_6]],DIM_PRODUCTS[hts_6],DIM_PRODUCTS[hts_4],,,)</f>
        <v>8507</v>
      </c>
      <c r="I4133" t="str" cm="1">
        <f t="array" ref="I4133">_xlfn.XLOOKUP(FACT_IMPORTS[[#This Row],[country_name]],DIM_COUNTRY[[#All],[Column2]],DIM_COUNTRY[[#All],[Column3]],,,)</f>
        <v>China</v>
      </c>
    </row>
    <row r="4134" spans="1:9" x14ac:dyDescent="0.4">
      <c r="A4134" t="s">
        <v>66</v>
      </c>
      <c r="B4134" s="1">
        <v>45717</v>
      </c>
      <c r="C4134">
        <v>850790</v>
      </c>
      <c r="D4134" t="s">
        <v>176</v>
      </c>
      <c r="E4134">
        <v>25600</v>
      </c>
      <c r="F4134">
        <v>679</v>
      </c>
      <c r="G4134">
        <v>2560</v>
      </c>
      <c r="H4134">
        <f>_xlfn.XLOOKUP(FACT_IMPORTS[[#This Row],[hts_6]],DIM_PRODUCTS[hts_6],DIM_PRODUCTS[hts_4],,,)</f>
        <v>8507</v>
      </c>
      <c r="I4134" t="str" cm="1">
        <f t="array" ref="I4134">_xlfn.XLOOKUP(FACT_IMPORTS[[#This Row],[country_name]],DIM_COUNTRY[[#All],[Column2]],DIM_COUNTRY[[#All],[Column3]],,,)</f>
        <v>China</v>
      </c>
    </row>
    <row r="4135" spans="1:9" x14ac:dyDescent="0.4">
      <c r="A4135" t="s">
        <v>66</v>
      </c>
      <c r="B4135" s="1">
        <v>45717</v>
      </c>
      <c r="C4135">
        <v>851110</v>
      </c>
      <c r="D4135" t="s">
        <v>176</v>
      </c>
      <c r="E4135">
        <v>0</v>
      </c>
      <c r="F4135">
        <v>0</v>
      </c>
      <c r="G4135">
        <v>0</v>
      </c>
      <c r="H4135">
        <f>_xlfn.XLOOKUP(FACT_IMPORTS[[#This Row],[hts_6]],DIM_PRODUCTS[hts_6],DIM_PRODUCTS[hts_4],,,)</f>
        <v>8511</v>
      </c>
      <c r="I4135" t="str" cm="1">
        <f t="array" ref="I4135">_xlfn.XLOOKUP(FACT_IMPORTS[[#This Row],[country_name]],DIM_COUNTRY[[#All],[Column2]],DIM_COUNTRY[[#All],[Column3]],,,)</f>
        <v>China</v>
      </c>
    </row>
    <row r="4136" spans="1:9" x14ac:dyDescent="0.4">
      <c r="A4136" t="s">
        <v>66</v>
      </c>
      <c r="B4136" s="1">
        <v>45717</v>
      </c>
      <c r="C4136">
        <v>851120</v>
      </c>
      <c r="D4136" t="s">
        <v>176</v>
      </c>
      <c r="E4136">
        <v>0</v>
      </c>
      <c r="F4136">
        <v>0</v>
      </c>
      <c r="G4136">
        <v>0</v>
      </c>
      <c r="H4136">
        <f>_xlfn.XLOOKUP(FACT_IMPORTS[[#This Row],[hts_6]],DIM_PRODUCTS[hts_6],DIM_PRODUCTS[hts_4],,,)</f>
        <v>8511</v>
      </c>
      <c r="I4136" t="str" cm="1">
        <f t="array" ref="I4136">_xlfn.XLOOKUP(FACT_IMPORTS[[#This Row],[country_name]],DIM_COUNTRY[[#All],[Column2]],DIM_COUNTRY[[#All],[Column3]],,,)</f>
        <v>China</v>
      </c>
    </row>
    <row r="4137" spans="1:9" x14ac:dyDescent="0.4">
      <c r="A4137" t="s">
        <v>66</v>
      </c>
      <c r="B4137" s="1">
        <v>45717</v>
      </c>
      <c r="C4137">
        <v>851130</v>
      </c>
      <c r="D4137" t="s">
        <v>176</v>
      </c>
      <c r="E4137">
        <v>76387</v>
      </c>
      <c r="F4137">
        <v>4048</v>
      </c>
      <c r="G4137">
        <v>2726</v>
      </c>
      <c r="H4137">
        <f>_xlfn.XLOOKUP(FACT_IMPORTS[[#This Row],[hts_6]],DIM_PRODUCTS[hts_6],DIM_PRODUCTS[hts_4],,,)</f>
        <v>8511</v>
      </c>
      <c r="I4137" t="str" cm="1">
        <f t="array" ref="I4137">_xlfn.XLOOKUP(FACT_IMPORTS[[#This Row],[country_name]],DIM_COUNTRY[[#All],[Column2]],DIM_COUNTRY[[#All],[Column3]],,,)</f>
        <v>China</v>
      </c>
    </row>
    <row r="4138" spans="1:9" x14ac:dyDescent="0.4">
      <c r="A4138" t="s">
        <v>66</v>
      </c>
      <c r="B4138" s="1">
        <v>45717</v>
      </c>
      <c r="C4138">
        <v>851140</v>
      </c>
      <c r="D4138" t="s">
        <v>176</v>
      </c>
      <c r="E4138">
        <v>549355</v>
      </c>
      <c r="F4138">
        <v>8892</v>
      </c>
      <c r="G4138">
        <v>7864</v>
      </c>
      <c r="H4138">
        <f>_xlfn.XLOOKUP(FACT_IMPORTS[[#This Row],[hts_6]],DIM_PRODUCTS[hts_6],DIM_PRODUCTS[hts_4],,,)</f>
        <v>8511</v>
      </c>
      <c r="I4138" t="str" cm="1">
        <f t="array" ref="I4138">_xlfn.XLOOKUP(FACT_IMPORTS[[#This Row],[country_name]],DIM_COUNTRY[[#All],[Column2]],DIM_COUNTRY[[#All],[Column3]],,,)</f>
        <v>China</v>
      </c>
    </row>
    <row r="4139" spans="1:9" x14ac:dyDescent="0.4">
      <c r="A4139" t="s">
        <v>66</v>
      </c>
      <c r="B4139" s="1">
        <v>45717</v>
      </c>
      <c r="C4139">
        <v>851150</v>
      </c>
      <c r="D4139" t="s">
        <v>176</v>
      </c>
      <c r="E4139">
        <v>250408</v>
      </c>
      <c r="F4139">
        <v>4528</v>
      </c>
      <c r="G4139">
        <v>8922</v>
      </c>
      <c r="H4139">
        <f>_xlfn.XLOOKUP(FACT_IMPORTS[[#This Row],[hts_6]],DIM_PRODUCTS[hts_6],DIM_PRODUCTS[hts_4],,,)</f>
        <v>8511</v>
      </c>
      <c r="I4139" t="str" cm="1">
        <f t="array" ref="I4139">_xlfn.XLOOKUP(FACT_IMPORTS[[#This Row],[country_name]],DIM_COUNTRY[[#All],[Column2]],DIM_COUNTRY[[#All],[Column3]],,,)</f>
        <v>China</v>
      </c>
    </row>
    <row r="4140" spans="1:9" x14ac:dyDescent="0.4">
      <c r="A4140" t="s">
        <v>66</v>
      </c>
      <c r="B4140" s="1">
        <v>45717</v>
      </c>
      <c r="C4140">
        <v>851180</v>
      </c>
      <c r="D4140" t="s">
        <v>176</v>
      </c>
      <c r="E4140">
        <v>15234</v>
      </c>
      <c r="F4140">
        <v>922</v>
      </c>
      <c r="G4140">
        <v>354</v>
      </c>
      <c r="H4140">
        <f>_xlfn.XLOOKUP(FACT_IMPORTS[[#This Row],[hts_6]],DIM_PRODUCTS[hts_6],DIM_PRODUCTS[hts_4],,,)</f>
        <v>8511</v>
      </c>
      <c r="I4140" t="str" cm="1">
        <f t="array" ref="I4140">_xlfn.XLOOKUP(FACT_IMPORTS[[#This Row],[country_name]],DIM_COUNTRY[[#All],[Column2]],DIM_COUNTRY[[#All],[Column3]],,,)</f>
        <v>China</v>
      </c>
    </row>
    <row r="4141" spans="1:9" x14ac:dyDescent="0.4">
      <c r="A4141" t="s">
        <v>66</v>
      </c>
      <c r="B4141" s="1">
        <v>45717</v>
      </c>
      <c r="C4141">
        <v>851190</v>
      </c>
      <c r="D4141" t="s">
        <v>176</v>
      </c>
      <c r="E4141">
        <v>26084</v>
      </c>
      <c r="F4141">
        <v>668</v>
      </c>
      <c r="G4141">
        <v>268</v>
      </c>
      <c r="H4141">
        <f>_xlfn.XLOOKUP(FACT_IMPORTS[[#This Row],[hts_6]],DIM_PRODUCTS[hts_6],DIM_PRODUCTS[hts_4],,,)</f>
        <v>8511</v>
      </c>
      <c r="I4141" t="str" cm="1">
        <f t="array" ref="I4141">_xlfn.XLOOKUP(FACT_IMPORTS[[#This Row],[country_name]],DIM_COUNTRY[[#All],[Column2]],DIM_COUNTRY[[#All],[Column3]],,,)</f>
        <v>China</v>
      </c>
    </row>
    <row r="4142" spans="1:9" x14ac:dyDescent="0.4">
      <c r="A4142" t="s">
        <v>66</v>
      </c>
      <c r="B4142" s="1">
        <v>45717</v>
      </c>
      <c r="C4142">
        <v>851220</v>
      </c>
      <c r="D4142" t="s">
        <v>176</v>
      </c>
      <c r="E4142">
        <v>3040933</v>
      </c>
      <c r="F4142">
        <v>287018</v>
      </c>
      <c r="G4142">
        <v>188983</v>
      </c>
      <c r="H4142">
        <f>_xlfn.XLOOKUP(FACT_IMPORTS[[#This Row],[hts_6]],DIM_PRODUCTS[hts_6],DIM_PRODUCTS[hts_4],,,)</f>
        <v>8512</v>
      </c>
      <c r="I4142" t="str" cm="1">
        <f t="array" ref="I4142">_xlfn.XLOOKUP(FACT_IMPORTS[[#This Row],[country_name]],DIM_COUNTRY[[#All],[Column2]],DIM_COUNTRY[[#All],[Column3]],,,)</f>
        <v>China</v>
      </c>
    </row>
    <row r="4143" spans="1:9" x14ac:dyDescent="0.4">
      <c r="A4143" t="s">
        <v>66</v>
      </c>
      <c r="B4143" s="1">
        <v>45717</v>
      </c>
      <c r="C4143">
        <v>851230</v>
      </c>
      <c r="D4143" t="s">
        <v>176</v>
      </c>
      <c r="E4143">
        <v>12056</v>
      </c>
      <c r="F4143">
        <v>2554</v>
      </c>
      <c r="G4143">
        <v>828</v>
      </c>
      <c r="H4143">
        <f>_xlfn.XLOOKUP(FACT_IMPORTS[[#This Row],[hts_6]],DIM_PRODUCTS[hts_6],DIM_PRODUCTS[hts_4],,,)</f>
        <v>8512</v>
      </c>
      <c r="I4143" t="str" cm="1">
        <f t="array" ref="I4143">_xlfn.XLOOKUP(FACT_IMPORTS[[#This Row],[country_name]],DIM_COUNTRY[[#All],[Column2]],DIM_COUNTRY[[#All],[Column3]],,,)</f>
        <v>China</v>
      </c>
    </row>
    <row r="4144" spans="1:9" x14ac:dyDescent="0.4">
      <c r="A4144" t="s">
        <v>66</v>
      </c>
      <c r="B4144" s="1">
        <v>45717</v>
      </c>
      <c r="C4144">
        <v>851240</v>
      </c>
      <c r="D4144" t="s">
        <v>176</v>
      </c>
      <c r="E4144">
        <v>2372</v>
      </c>
      <c r="F4144">
        <v>51</v>
      </c>
      <c r="G4144">
        <v>1</v>
      </c>
      <c r="H4144">
        <f>_xlfn.XLOOKUP(FACT_IMPORTS[[#This Row],[hts_6]],DIM_PRODUCTS[hts_6],DIM_PRODUCTS[hts_4],,,)</f>
        <v>8512</v>
      </c>
      <c r="I4144" t="str" cm="1">
        <f t="array" ref="I4144">_xlfn.XLOOKUP(FACT_IMPORTS[[#This Row],[country_name]],DIM_COUNTRY[[#All],[Column2]],DIM_COUNTRY[[#All],[Column3]],,,)</f>
        <v>China</v>
      </c>
    </row>
    <row r="4145" spans="1:9" x14ac:dyDescent="0.4">
      <c r="A4145" t="s">
        <v>66</v>
      </c>
      <c r="B4145" s="1">
        <v>45717</v>
      </c>
      <c r="C4145">
        <v>851290</v>
      </c>
      <c r="D4145" t="s">
        <v>176</v>
      </c>
      <c r="E4145">
        <v>313921</v>
      </c>
      <c r="F4145">
        <v>26045</v>
      </c>
      <c r="G4145">
        <v>29334</v>
      </c>
      <c r="H4145">
        <f>_xlfn.XLOOKUP(FACT_IMPORTS[[#This Row],[hts_6]],DIM_PRODUCTS[hts_6],DIM_PRODUCTS[hts_4],,,)</f>
        <v>8512</v>
      </c>
      <c r="I4145" t="str" cm="1">
        <f t="array" ref="I4145">_xlfn.XLOOKUP(FACT_IMPORTS[[#This Row],[country_name]],DIM_COUNTRY[[#All],[Column2]],DIM_COUNTRY[[#All],[Column3]],,,)</f>
        <v>China</v>
      </c>
    </row>
    <row r="4146" spans="1:9" x14ac:dyDescent="0.4">
      <c r="A4146" t="s">
        <v>66</v>
      </c>
      <c r="B4146" s="1">
        <v>45717</v>
      </c>
      <c r="C4146">
        <v>854231</v>
      </c>
      <c r="D4146" t="s">
        <v>176</v>
      </c>
      <c r="E4146">
        <v>237036</v>
      </c>
      <c r="F4146">
        <v>116502</v>
      </c>
      <c r="G4146">
        <v>10869</v>
      </c>
      <c r="H4146">
        <f>_xlfn.XLOOKUP(FACT_IMPORTS[[#This Row],[hts_6]],DIM_PRODUCTS[hts_6],DIM_PRODUCTS[hts_4],,,)</f>
        <v>8542</v>
      </c>
      <c r="I4146" t="str" cm="1">
        <f t="array" ref="I4146">_xlfn.XLOOKUP(FACT_IMPORTS[[#This Row],[country_name]],DIM_COUNTRY[[#All],[Column2]],DIM_COUNTRY[[#All],[Column3]],,,)</f>
        <v>China</v>
      </c>
    </row>
    <row r="4147" spans="1:9" x14ac:dyDescent="0.4">
      <c r="A4147" t="s">
        <v>66</v>
      </c>
      <c r="B4147" s="1">
        <v>45717</v>
      </c>
      <c r="C4147">
        <v>854232</v>
      </c>
      <c r="D4147" t="s">
        <v>176</v>
      </c>
      <c r="E4147">
        <v>0</v>
      </c>
      <c r="F4147">
        <v>0</v>
      </c>
      <c r="G4147">
        <v>0</v>
      </c>
      <c r="H4147">
        <f>_xlfn.XLOOKUP(FACT_IMPORTS[[#This Row],[hts_6]],DIM_PRODUCTS[hts_6],DIM_PRODUCTS[hts_4],,,)</f>
        <v>8542</v>
      </c>
      <c r="I4147" t="str" cm="1">
        <f t="array" ref="I4147">_xlfn.XLOOKUP(FACT_IMPORTS[[#This Row],[country_name]],DIM_COUNTRY[[#All],[Column2]],DIM_COUNTRY[[#All],[Column3]],,,)</f>
        <v>China</v>
      </c>
    </row>
    <row r="4148" spans="1:9" x14ac:dyDescent="0.4">
      <c r="A4148" t="s">
        <v>66</v>
      </c>
      <c r="B4148" s="1">
        <v>45717</v>
      </c>
      <c r="C4148">
        <v>854233</v>
      </c>
      <c r="D4148" t="s">
        <v>176</v>
      </c>
      <c r="E4148">
        <v>0</v>
      </c>
      <c r="F4148">
        <v>0</v>
      </c>
      <c r="G4148">
        <v>0</v>
      </c>
      <c r="H4148">
        <f>_xlfn.XLOOKUP(FACT_IMPORTS[[#This Row],[hts_6]],DIM_PRODUCTS[hts_6],DIM_PRODUCTS[hts_4],,,)</f>
        <v>8542</v>
      </c>
      <c r="I4148" t="str" cm="1">
        <f t="array" ref="I4148">_xlfn.XLOOKUP(FACT_IMPORTS[[#This Row],[country_name]],DIM_COUNTRY[[#All],[Column2]],DIM_COUNTRY[[#All],[Column3]],,,)</f>
        <v>China</v>
      </c>
    </row>
    <row r="4149" spans="1:9" x14ac:dyDescent="0.4">
      <c r="A4149" t="s">
        <v>66</v>
      </c>
      <c r="B4149" s="1">
        <v>45717</v>
      </c>
      <c r="C4149">
        <v>854239</v>
      </c>
      <c r="D4149" t="s">
        <v>176</v>
      </c>
      <c r="E4149">
        <v>33055</v>
      </c>
      <c r="F4149">
        <v>16099</v>
      </c>
      <c r="G4149">
        <v>304</v>
      </c>
      <c r="H4149">
        <f>_xlfn.XLOOKUP(FACT_IMPORTS[[#This Row],[hts_6]],DIM_PRODUCTS[hts_6],DIM_PRODUCTS[hts_4],,,)</f>
        <v>8542</v>
      </c>
      <c r="I4149" t="str" cm="1">
        <f t="array" ref="I4149">_xlfn.XLOOKUP(FACT_IMPORTS[[#This Row],[country_name]],DIM_COUNTRY[[#All],[Column2]],DIM_COUNTRY[[#All],[Column3]],,,)</f>
        <v>China</v>
      </c>
    </row>
    <row r="4150" spans="1:9" x14ac:dyDescent="0.4">
      <c r="A4150" t="s">
        <v>66</v>
      </c>
      <c r="B4150" s="1">
        <v>45717</v>
      </c>
      <c r="C4150">
        <v>854290</v>
      </c>
      <c r="D4150" t="s">
        <v>176</v>
      </c>
      <c r="E4150">
        <v>0</v>
      </c>
      <c r="F4150">
        <v>0</v>
      </c>
      <c r="G4150">
        <v>0</v>
      </c>
      <c r="H4150">
        <f>_xlfn.XLOOKUP(FACT_IMPORTS[[#This Row],[hts_6]],DIM_PRODUCTS[hts_6],DIM_PRODUCTS[hts_4],,,)</f>
        <v>8542</v>
      </c>
      <c r="I4150" t="str" cm="1">
        <f t="array" ref="I4150">_xlfn.XLOOKUP(FACT_IMPORTS[[#This Row],[country_name]],DIM_COUNTRY[[#All],[Column2]],DIM_COUNTRY[[#All],[Column3]],,,)</f>
        <v>China</v>
      </c>
    </row>
    <row r="4151" spans="1:9" x14ac:dyDescent="0.4">
      <c r="A4151" t="s">
        <v>66</v>
      </c>
      <c r="B4151" s="1">
        <v>45717</v>
      </c>
      <c r="C4151">
        <v>854430</v>
      </c>
      <c r="D4151" t="s">
        <v>176</v>
      </c>
      <c r="E4151">
        <v>409087</v>
      </c>
      <c r="F4151">
        <v>63960</v>
      </c>
      <c r="G4151">
        <v>2091</v>
      </c>
      <c r="H4151">
        <f>_xlfn.XLOOKUP(FACT_IMPORTS[[#This Row],[hts_6]],DIM_PRODUCTS[hts_6],DIM_PRODUCTS[hts_4],,,)</f>
        <v>8544</v>
      </c>
      <c r="I4151" t="str" cm="1">
        <f t="array" ref="I4151">_xlfn.XLOOKUP(FACT_IMPORTS[[#This Row],[country_name]],DIM_COUNTRY[[#All],[Column2]],DIM_COUNTRY[[#All],[Column3]],,,)</f>
        <v>China</v>
      </c>
    </row>
    <row r="4152" spans="1:9" x14ac:dyDescent="0.4">
      <c r="A4152" t="s">
        <v>66</v>
      </c>
      <c r="B4152" s="1">
        <v>45717</v>
      </c>
      <c r="C4152">
        <v>870790</v>
      </c>
      <c r="D4152" t="s">
        <v>176</v>
      </c>
      <c r="E4152">
        <v>0</v>
      </c>
      <c r="F4152">
        <v>0</v>
      </c>
      <c r="G4152">
        <v>0</v>
      </c>
      <c r="H4152">
        <f>_xlfn.XLOOKUP(FACT_IMPORTS[[#This Row],[hts_6]],DIM_PRODUCTS[hts_6],DIM_PRODUCTS[hts_4],,,)</f>
        <v>8707</v>
      </c>
      <c r="I4152" t="str" cm="1">
        <f t="array" ref="I4152">_xlfn.XLOOKUP(FACT_IMPORTS[[#This Row],[country_name]],DIM_COUNTRY[[#All],[Column2]],DIM_COUNTRY[[#All],[Column3]],,,)</f>
        <v>China</v>
      </c>
    </row>
    <row r="4153" spans="1:9" x14ac:dyDescent="0.4">
      <c r="A4153" t="s">
        <v>66</v>
      </c>
      <c r="B4153" s="1">
        <v>45717</v>
      </c>
      <c r="C4153">
        <v>870810</v>
      </c>
      <c r="D4153" t="s">
        <v>176</v>
      </c>
      <c r="E4153">
        <v>580794</v>
      </c>
      <c r="F4153">
        <v>22607</v>
      </c>
      <c r="G4153">
        <v>62219</v>
      </c>
      <c r="H4153">
        <f>_xlfn.XLOOKUP(FACT_IMPORTS[[#This Row],[hts_6]],DIM_PRODUCTS[hts_6],DIM_PRODUCTS[hts_4],,,)</f>
        <v>8708</v>
      </c>
      <c r="I4153" t="str" cm="1">
        <f t="array" ref="I4153">_xlfn.XLOOKUP(FACT_IMPORTS[[#This Row],[country_name]],DIM_COUNTRY[[#All],[Column2]],DIM_COUNTRY[[#All],[Column3]],,,)</f>
        <v>China</v>
      </c>
    </row>
    <row r="4154" spans="1:9" x14ac:dyDescent="0.4">
      <c r="A4154" t="s">
        <v>66</v>
      </c>
      <c r="B4154" s="1">
        <v>45717</v>
      </c>
      <c r="C4154">
        <v>870821</v>
      </c>
      <c r="D4154" t="s">
        <v>176</v>
      </c>
      <c r="E4154">
        <v>20564</v>
      </c>
      <c r="F4154">
        <v>3077</v>
      </c>
      <c r="G4154">
        <v>828</v>
      </c>
      <c r="H4154">
        <f>_xlfn.XLOOKUP(FACT_IMPORTS[[#This Row],[hts_6]],DIM_PRODUCTS[hts_6],DIM_PRODUCTS[hts_4],,,)</f>
        <v>8708</v>
      </c>
      <c r="I4154" t="str" cm="1">
        <f t="array" ref="I4154">_xlfn.XLOOKUP(FACT_IMPORTS[[#This Row],[country_name]],DIM_COUNTRY[[#All],[Column2]],DIM_COUNTRY[[#All],[Column3]],,,)</f>
        <v>China</v>
      </c>
    </row>
    <row r="4155" spans="1:9" x14ac:dyDescent="0.4">
      <c r="A4155" t="s">
        <v>66</v>
      </c>
      <c r="B4155" s="1">
        <v>45717</v>
      </c>
      <c r="C4155">
        <v>870822</v>
      </c>
      <c r="D4155" t="s">
        <v>176</v>
      </c>
      <c r="E4155">
        <v>1055615</v>
      </c>
      <c r="F4155">
        <v>133715</v>
      </c>
      <c r="G4155">
        <v>110975</v>
      </c>
      <c r="H4155">
        <f>_xlfn.XLOOKUP(FACT_IMPORTS[[#This Row],[hts_6]],DIM_PRODUCTS[hts_6],DIM_PRODUCTS[hts_4],,,)</f>
        <v>8708</v>
      </c>
      <c r="I4155" t="str" cm="1">
        <f t="array" ref="I4155">_xlfn.XLOOKUP(FACT_IMPORTS[[#This Row],[country_name]],DIM_COUNTRY[[#All],[Column2]],DIM_COUNTRY[[#All],[Column3]],,,)</f>
        <v>China</v>
      </c>
    </row>
    <row r="4156" spans="1:9" x14ac:dyDescent="0.4">
      <c r="A4156" t="s">
        <v>66</v>
      </c>
      <c r="B4156" s="1">
        <v>45717</v>
      </c>
      <c r="C4156">
        <v>870829</v>
      </c>
      <c r="D4156" t="s">
        <v>176</v>
      </c>
      <c r="E4156">
        <v>16364159</v>
      </c>
      <c r="F4156">
        <v>2735684</v>
      </c>
      <c r="G4156">
        <v>715420</v>
      </c>
      <c r="H4156">
        <f>_xlfn.XLOOKUP(FACT_IMPORTS[[#This Row],[hts_6]],DIM_PRODUCTS[hts_6],DIM_PRODUCTS[hts_4],,,)</f>
        <v>8708</v>
      </c>
      <c r="I4156" t="str" cm="1">
        <f t="array" ref="I4156">_xlfn.XLOOKUP(FACT_IMPORTS[[#This Row],[country_name]],DIM_COUNTRY[[#All],[Column2]],DIM_COUNTRY[[#All],[Column3]],,,)</f>
        <v>China</v>
      </c>
    </row>
    <row r="4157" spans="1:9" x14ac:dyDescent="0.4">
      <c r="A4157" t="s">
        <v>66</v>
      </c>
      <c r="B4157" s="1">
        <v>45717</v>
      </c>
      <c r="C4157">
        <v>870830</v>
      </c>
      <c r="D4157" t="s">
        <v>176</v>
      </c>
      <c r="E4157">
        <v>6001085</v>
      </c>
      <c r="F4157">
        <v>605908</v>
      </c>
      <c r="G4157">
        <v>142667</v>
      </c>
      <c r="H4157">
        <f>_xlfn.XLOOKUP(FACT_IMPORTS[[#This Row],[hts_6]],DIM_PRODUCTS[hts_6],DIM_PRODUCTS[hts_4],,,)</f>
        <v>8708</v>
      </c>
      <c r="I4157" t="str" cm="1">
        <f t="array" ref="I4157">_xlfn.XLOOKUP(FACT_IMPORTS[[#This Row],[country_name]],DIM_COUNTRY[[#All],[Column2]],DIM_COUNTRY[[#All],[Column3]],,,)</f>
        <v>China</v>
      </c>
    </row>
    <row r="4158" spans="1:9" x14ac:dyDescent="0.4">
      <c r="A4158" t="s">
        <v>66</v>
      </c>
      <c r="B4158" s="1">
        <v>45717</v>
      </c>
      <c r="C4158">
        <v>870840</v>
      </c>
      <c r="D4158" t="s">
        <v>176</v>
      </c>
      <c r="E4158">
        <v>3765941</v>
      </c>
      <c r="F4158">
        <v>755400</v>
      </c>
      <c r="G4158">
        <v>111937</v>
      </c>
      <c r="H4158">
        <f>_xlfn.XLOOKUP(FACT_IMPORTS[[#This Row],[hts_6]],DIM_PRODUCTS[hts_6],DIM_PRODUCTS[hts_4],,,)</f>
        <v>8708</v>
      </c>
      <c r="I4158" t="str" cm="1">
        <f t="array" ref="I4158">_xlfn.XLOOKUP(FACT_IMPORTS[[#This Row],[country_name]],DIM_COUNTRY[[#All],[Column2]],DIM_COUNTRY[[#All],[Column3]],,,)</f>
        <v>China</v>
      </c>
    </row>
    <row r="4159" spans="1:9" x14ac:dyDescent="0.4">
      <c r="A4159" t="s">
        <v>66</v>
      </c>
      <c r="B4159" s="1">
        <v>45717</v>
      </c>
      <c r="C4159">
        <v>870850</v>
      </c>
      <c r="D4159" t="s">
        <v>176</v>
      </c>
      <c r="E4159">
        <v>2958752</v>
      </c>
      <c r="F4159">
        <v>865729</v>
      </c>
      <c r="G4159">
        <v>51980</v>
      </c>
      <c r="H4159">
        <f>_xlfn.XLOOKUP(FACT_IMPORTS[[#This Row],[hts_6]],DIM_PRODUCTS[hts_6],DIM_PRODUCTS[hts_4],,,)</f>
        <v>8708</v>
      </c>
      <c r="I4159" t="str" cm="1">
        <f t="array" ref="I4159">_xlfn.XLOOKUP(FACT_IMPORTS[[#This Row],[country_name]],DIM_COUNTRY[[#All],[Column2]],DIM_COUNTRY[[#All],[Column3]],,,)</f>
        <v>China</v>
      </c>
    </row>
    <row r="4160" spans="1:9" x14ac:dyDescent="0.4">
      <c r="A4160" t="s">
        <v>66</v>
      </c>
      <c r="B4160" s="1">
        <v>45717</v>
      </c>
      <c r="C4160">
        <v>870870</v>
      </c>
      <c r="D4160" t="s">
        <v>176</v>
      </c>
      <c r="E4160">
        <v>57398018</v>
      </c>
      <c r="F4160">
        <v>1357538</v>
      </c>
      <c r="G4160">
        <v>5006545</v>
      </c>
      <c r="H4160">
        <f>_xlfn.XLOOKUP(FACT_IMPORTS[[#This Row],[hts_6]],DIM_PRODUCTS[hts_6],DIM_PRODUCTS[hts_4],,,)</f>
        <v>8708</v>
      </c>
      <c r="I4160" t="str" cm="1">
        <f t="array" ref="I4160">_xlfn.XLOOKUP(FACT_IMPORTS[[#This Row],[country_name]],DIM_COUNTRY[[#All],[Column2]],DIM_COUNTRY[[#All],[Column3]],,,)</f>
        <v>China</v>
      </c>
    </row>
    <row r="4161" spans="1:9" x14ac:dyDescent="0.4">
      <c r="A4161" t="s">
        <v>66</v>
      </c>
      <c r="B4161" s="1">
        <v>45717</v>
      </c>
      <c r="C4161">
        <v>870880</v>
      </c>
      <c r="D4161" t="s">
        <v>176</v>
      </c>
      <c r="E4161">
        <v>12214147</v>
      </c>
      <c r="F4161">
        <v>1996060</v>
      </c>
      <c r="G4161">
        <v>181861</v>
      </c>
      <c r="H4161">
        <f>_xlfn.XLOOKUP(FACT_IMPORTS[[#This Row],[hts_6]],DIM_PRODUCTS[hts_6],DIM_PRODUCTS[hts_4],,,)</f>
        <v>8708</v>
      </c>
      <c r="I4161" t="str" cm="1">
        <f t="array" ref="I4161">_xlfn.XLOOKUP(FACT_IMPORTS[[#This Row],[country_name]],DIM_COUNTRY[[#All],[Column2]],DIM_COUNTRY[[#All],[Column3]],,,)</f>
        <v>China</v>
      </c>
    </row>
    <row r="4162" spans="1:9" x14ac:dyDescent="0.4">
      <c r="A4162" t="s">
        <v>66</v>
      </c>
      <c r="B4162" s="1">
        <v>45717</v>
      </c>
      <c r="C4162">
        <v>870891</v>
      </c>
      <c r="D4162" t="s">
        <v>176</v>
      </c>
      <c r="E4162">
        <v>290652</v>
      </c>
      <c r="F4162">
        <v>6652</v>
      </c>
      <c r="G4162">
        <v>20972</v>
      </c>
      <c r="H4162">
        <f>_xlfn.XLOOKUP(FACT_IMPORTS[[#This Row],[hts_6]],DIM_PRODUCTS[hts_6],DIM_PRODUCTS[hts_4],,,)</f>
        <v>8708</v>
      </c>
      <c r="I4162" t="str" cm="1">
        <f t="array" ref="I4162">_xlfn.XLOOKUP(FACT_IMPORTS[[#This Row],[country_name]],DIM_COUNTRY[[#All],[Column2]],DIM_COUNTRY[[#All],[Column3]],,,)</f>
        <v>China</v>
      </c>
    </row>
    <row r="4163" spans="1:9" x14ac:dyDescent="0.4">
      <c r="A4163" t="s">
        <v>66</v>
      </c>
      <c r="B4163" s="1">
        <v>45717</v>
      </c>
      <c r="C4163">
        <v>870892</v>
      </c>
      <c r="D4163" t="s">
        <v>176</v>
      </c>
      <c r="E4163">
        <v>5605641</v>
      </c>
      <c r="F4163">
        <v>1166102</v>
      </c>
      <c r="G4163">
        <v>453627</v>
      </c>
      <c r="H4163">
        <f>_xlfn.XLOOKUP(FACT_IMPORTS[[#This Row],[hts_6]],DIM_PRODUCTS[hts_6],DIM_PRODUCTS[hts_4],,,)</f>
        <v>8708</v>
      </c>
      <c r="I4163" t="str" cm="1">
        <f t="array" ref="I4163">_xlfn.XLOOKUP(FACT_IMPORTS[[#This Row],[country_name]],DIM_COUNTRY[[#All],[Column2]],DIM_COUNTRY[[#All],[Column3]],,,)</f>
        <v>China</v>
      </c>
    </row>
    <row r="4164" spans="1:9" x14ac:dyDescent="0.4">
      <c r="A4164" t="s">
        <v>66</v>
      </c>
      <c r="B4164" s="1">
        <v>45717</v>
      </c>
      <c r="C4164">
        <v>870893</v>
      </c>
      <c r="D4164" t="s">
        <v>176</v>
      </c>
      <c r="E4164">
        <v>795447</v>
      </c>
      <c r="F4164">
        <v>396708</v>
      </c>
      <c r="G4164">
        <v>34415</v>
      </c>
      <c r="H4164">
        <f>_xlfn.XLOOKUP(FACT_IMPORTS[[#This Row],[hts_6]],DIM_PRODUCTS[hts_6],DIM_PRODUCTS[hts_4],,,)</f>
        <v>8708</v>
      </c>
      <c r="I4164" t="str" cm="1">
        <f t="array" ref="I4164">_xlfn.XLOOKUP(FACT_IMPORTS[[#This Row],[country_name]],DIM_COUNTRY[[#All],[Column2]],DIM_COUNTRY[[#All],[Column3]],,,)</f>
        <v>China</v>
      </c>
    </row>
    <row r="4165" spans="1:9" x14ac:dyDescent="0.4">
      <c r="A4165" t="s">
        <v>66</v>
      </c>
      <c r="B4165" s="1">
        <v>45717</v>
      </c>
      <c r="C4165">
        <v>870894</v>
      </c>
      <c r="D4165" t="s">
        <v>176</v>
      </c>
      <c r="E4165">
        <v>4844137</v>
      </c>
      <c r="F4165">
        <v>377522</v>
      </c>
      <c r="G4165">
        <v>993409</v>
      </c>
      <c r="H4165">
        <f>_xlfn.XLOOKUP(FACT_IMPORTS[[#This Row],[hts_6]],DIM_PRODUCTS[hts_6],DIM_PRODUCTS[hts_4],,,)</f>
        <v>8708</v>
      </c>
      <c r="I4165" t="str" cm="1">
        <f t="array" ref="I4165">_xlfn.XLOOKUP(FACT_IMPORTS[[#This Row],[country_name]],DIM_COUNTRY[[#All],[Column2]],DIM_COUNTRY[[#All],[Column3]],,,)</f>
        <v>China</v>
      </c>
    </row>
    <row r="4166" spans="1:9" x14ac:dyDescent="0.4">
      <c r="A4166" t="s">
        <v>66</v>
      </c>
      <c r="B4166" s="1">
        <v>45717</v>
      </c>
      <c r="C4166">
        <v>870895</v>
      </c>
      <c r="D4166" t="s">
        <v>176</v>
      </c>
      <c r="E4166">
        <v>37051</v>
      </c>
      <c r="F4166">
        <v>18805</v>
      </c>
      <c r="G4166">
        <v>1163</v>
      </c>
      <c r="H4166">
        <f>_xlfn.XLOOKUP(FACT_IMPORTS[[#This Row],[hts_6]],DIM_PRODUCTS[hts_6],DIM_PRODUCTS[hts_4],,,)</f>
        <v>8708</v>
      </c>
      <c r="I4166" t="str" cm="1">
        <f t="array" ref="I4166">_xlfn.XLOOKUP(FACT_IMPORTS[[#This Row],[country_name]],DIM_COUNTRY[[#All],[Column2]],DIM_COUNTRY[[#All],[Column3]],,,)</f>
        <v>China</v>
      </c>
    </row>
    <row r="4167" spans="1:9" x14ac:dyDescent="0.4">
      <c r="A4167" t="s">
        <v>66</v>
      </c>
      <c r="B4167" s="1">
        <v>45717</v>
      </c>
      <c r="C4167">
        <v>870899</v>
      </c>
      <c r="D4167" t="s">
        <v>176</v>
      </c>
      <c r="E4167">
        <v>9246569</v>
      </c>
      <c r="F4167">
        <v>2609725</v>
      </c>
      <c r="G4167">
        <v>669439</v>
      </c>
      <c r="H4167">
        <f>_xlfn.XLOOKUP(FACT_IMPORTS[[#This Row],[hts_6]],DIM_PRODUCTS[hts_6],DIM_PRODUCTS[hts_4],,,)</f>
        <v>8708</v>
      </c>
      <c r="I4167" t="str" cm="1">
        <f t="array" ref="I4167">_xlfn.XLOOKUP(FACT_IMPORTS[[#This Row],[country_name]],DIM_COUNTRY[[#All],[Column2]],DIM_COUNTRY[[#All],[Column3]],,,)</f>
        <v>China</v>
      </c>
    </row>
    <row r="4168" spans="1:9" x14ac:dyDescent="0.4">
      <c r="A4168" t="s">
        <v>66</v>
      </c>
      <c r="B4168" s="1">
        <v>45717</v>
      </c>
      <c r="C4168">
        <v>940120</v>
      </c>
      <c r="D4168" t="s">
        <v>176</v>
      </c>
      <c r="E4168">
        <v>60977</v>
      </c>
      <c r="F4168">
        <v>864</v>
      </c>
      <c r="G4168">
        <v>4251</v>
      </c>
      <c r="H4168">
        <f>_xlfn.XLOOKUP(FACT_IMPORTS[[#This Row],[hts_6]],DIM_PRODUCTS[hts_6],DIM_PRODUCTS[hts_4],,,)</f>
        <v>9401</v>
      </c>
      <c r="I4168" t="str" cm="1">
        <f t="array" ref="I4168">_xlfn.XLOOKUP(FACT_IMPORTS[[#This Row],[country_name]],DIM_COUNTRY[[#All],[Column2]],DIM_COUNTRY[[#All],[Column3]],,,)</f>
        <v>China</v>
      </c>
    </row>
    <row r="4169" spans="1:9" x14ac:dyDescent="0.4">
      <c r="A4169" t="s">
        <v>66</v>
      </c>
      <c r="B4169" s="1">
        <v>45748</v>
      </c>
      <c r="C4169">
        <v>392630</v>
      </c>
      <c r="D4169" t="s">
        <v>176</v>
      </c>
      <c r="E4169">
        <v>3534721</v>
      </c>
      <c r="F4169">
        <v>189104</v>
      </c>
      <c r="G4169">
        <v>179996</v>
      </c>
      <c r="H4169">
        <f>_xlfn.XLOOKUP(FACT_IMPORTS[[#This Row],[hts_6]],DIM_PRODUCTS[hts_6],DIM_PRODUCTS[hts_4],,,)</f>
        <v>3926</v>
      </c>
      <c r="I4169" t="str" cm="1">
        <f t="array" ref="I4169">_xlfn.XLOOKUP(FACT_IMPORTS[[#This Row],[country_name]],DIM_COUNTRY[[#All],[Column2]],DIM_COUNTRY[[#All],[Column3]],,,)</f>
        <v>China</v>
      </c>
    </row>
    <row r="4170" spans="1:9" x14ac:dyDescent="0.4">
      <c r="A4170" t="s">
        <v>66</v>
      </c>
      <c r="B4170" s="1">
        <v>45748</v>
      </c>
      <c r="C4170">
        <v>401110</v>
      </c>
      <c r="D4170" t="s">
        <v>176</v>
      </c>
      <c r="E4170">
        <v>1280</v>
      </c>
      <c r="F4170">
        <v>8</v>
      </c>
      <c r="G4170">
        <v>28</v>
      </c>
      <c r="H4170">
        <f>_xlfn.XLOOKUP(FACT_IMPORTS[[#This Row],[hts_6]],DIM_PRODUCTS[hts_6],DIM_PRODUCTS[hts_4],,,)</f>
        <v>4011</v>
      </c>
      <c r="I4170" t="str" cm="1">
        <f t="array" ref="I4170">_xlfn.XLOOKUP(FACT_IMPORTS[[#This Row],[country_name]],DIM_COUNTRY[[#All],[Column2]],DIM_COUNTRY[[#All],[Column3]],,,)</f>
        <v>China</v>
      </c>
    </row>
    <row r="4171" spans="1:9" x14ac:dyDescent="0.4">
      <c r="A4171" t="s">
        <v>66</v>
      </c>
      <c r="B4171" s="1">
        <v>45748</v>
      </c>
      <c r="C4171">
        <v>401120</v>
      </c>
      <c r="D4171" t="s">
        <v>176</v>
      </c>
      <c r="E4171">
        <v>312855</v>
      </c>
      <c r="F4171">
        <v>2712</v>
      </c>
      <c r="G4171">
        <v>29609</v>
      </c>
      <c r="H4171">
        <f>_xlfn.XLOOKUP(FACT_IMPORTS[[#This Row],[hts_6]],DIM_PRODUCTS[hts_6],DIM_PRODUCTS[hts_4],,,)</f>
        <v>4011</v>
      </c>
      <c r="I4171" t="str" cm="1">
        <f t="array" ref="I4171">_xlfn.XLOOKUP(FACT_IMPORTS[[#This Row],[country_name]],DIM_COUNTRY[[#All],[Column2]],DIM_COUNTRY[[#All],[Column3]],,,)</f>
        <v>China</v>
      </c>
    </row>
    <row r="4172" spans="1:9" x14ac:dyDescent="0.4">
      <c r="A4172" t="s">
        <v>66</v>
      </c>
      <c r="B4172" s="1">
        <v>45748</v>
      </c>
      <c r="C4172">
        <v>401140</v>
      </c>
      <c r="D4172" t="s">
        <v>176</v>
      </c>
      <c r="E4172">
        <v>38716</v>
      </c>
      <c r="F4172">
        <v>692</v>
      </c>
      <c r="G4172">
        <v>91</v>
      </c>
      <c r="H4172">
        <f>_xlfn.XLOOKUP(FACT_IMPORTS[[#This Row],[hts_6]],DIM_PRODUCTS[hts_6],DIM_PRODUCTS[hts_4],,,)</f>
        <v>4011</v>
      </c>
      <c r="I4172" t="str" cm="1">
        <f t="array" ref="I4172">_xlfn.XLOOKUP(FACT_IMPORTS[[#This Row],[country_name]],DIM_COUNTRY[[#All],[Column2]],DIM_COUNTRY[[#All],[Column3]],,,)</f>
        <v>China</v>
      </c>
    </row>
    <row r="4173" spans="1:9" x14ac:dyDescent="0.4">
      <c r="A4173" t="s">
        <v>66</v>
      </c>
      <c r="B4173" s="1">
        <v>45748</v>
      </c>
      <c r="C4173">
        <v>401190</v>
      </c>
      <c r="D4173" t="s">
        <v>176</v>
      </c>
      <c r="E4173">
        <v>397432</v>
      </c>
      <c r="F4173">
        <v>10372</v>
      </c>
      <c r="G4173">
        <v>14532</v>
      </c>
      <c r="H4173">
        <f>_xlfn.XLOOKUP(FACT_IMPORTS[[#This Row],[hts_6]],DIM_PRODUCTS[hts_6],DIM_PRODUCTS[hts_4],,,)</f>
        <v>4011</v>
      </c>
      <c r="I4173" t="str" cm="1">
        <f t="array" ref="I4173">_xlfn.XLOOKUP(FACT_IMPORTS[[#This Row],[country_name]],DIM_COUNTRY[[#All],[Column2]],DIM_COUNTRY[[#All],[Column3]],,,)</f>
        <v>China</v>
      </c>
    </row>
    <row r="4174" spans="1:9" x14ac:dyDescent="0.4">
      <c r="A4174" t="s">
        <v>66</v>
      </c>
      <c r="B4174" s="1">
        <v>45748</v>
      </c>
      <c r="C4174">
        <v>700711</v>
      </c>
      <c r="D4174" t="s">
        <v>176</v>
      </c>
      <c r="E4174">
        <v>1226981</v>
      </c>
      <c r="F4174">
        <v>88280</v>
      </c>
      <c r="G4174">
        <v>85295</v>
      </c>
      <c r="H4174">
        <f>_xlfn.XLOOKUP(FACT_IMPORTS[[#This Row],[hts_6]],DIM_PRODUCTS[hts_6],DIM_PRODUCTS[hts_4],,,)</f>
        <v>7007</v>
      </c>
      <c r="I4174" t="str" cm="1">
        <f t="array" ref="I4174">_xlfn.XLOOKUP(FACT_IMPORTS[[#This Row],[country_name]],DIM_COUNTRY[[#All],[Column2]],DIM_COUNTRY[[#All],[Column3]],,,)</f>
        <v>China</v>
      </c>
    </row>
    <row r="4175" spans="1:9" x14ac:dyDescent="0.4">
      <c r="A4175" t="s">
        <v>66</v>
      </c>
      <c r="B4175" s="1">
        <v>45748</v>
      </c>
      <c r="C4175">
        <v>700721</v>
      </c>
      <c r="D4175" t="s">
        <v>176</v>
      </c>
      <c r="E4175">
        <v>291261</v>
      </c>
      <c r="F4175">
        <v>10509</v>
      </c>
      <c r="G4175">
        <v>22144</v>
      </c>
      <c r="H4175">
        <f>_xlfn.XLOOKUP(FACT_IMPORTS[[#This Row],[hts_6]],DIM_PRODUCTS[hts_6],DIM_PRODUCTS[hts_4],,,)</f>
        <v>7007</v>
      </c>
      <c r="I4175" t="str" cm="1">
        <f t="array" ref="I4175">_xlfn.XLOOKUP(FACT_IMPORTS[[#This Row],[country_name]],DIM_COUNTRY[[#All],[Column2]],DIM_COUNTRY[[#All],[Column3]],,,)</f>
        <v>China</v>
      </c>
    </row>
    <row r="4176" spans="1:9" x14ac:dyDescent="0.4">
      <c r="A4176" t="s">
        <v>66</v>
      </c>
      <c r="B4176" s="1">
        <v>45748</v>
      </c>
      <c r="C4176">
        <v>700910</v>
      </c>
      <c r="D4176" t="s">
        <v>176</v>
      </c>
      <c r="E4176">
        <v>438370</v>
      </c>
      <c r="F4176">
        <v>392910</v>
      </c>
      <c r="G4176">
        <v>48327</v>
      </c>
      <c r="H4176">
        <f>_xlfn.XLOOKUP(FACT_IMPORTS[[#This Row],[hts_6]],DIM_PRODUCTS[hts_6],DIM_PRODUCTS[hts_4],,,)</f>
        <v>7009</v>
      </c>
      <c r="I4176" t="str" cm="1">
        <f t="array" ref="I4176">_xlfn.XLOOKUP(FACT_IMPORTS[[#This Row],[country_name]],DIM_COUNTRY[[#All],[Column2]],DIM_COUNTRY[[#All],[Column3]],,,)</f>
        <v>China</v>
      </c>
    </row>
    <row r="4177" spans="1:9" x14ac:dyDescent="0.4">
      <c r="A4177" t="s">
        <v>66</v>
      </c>
      <c r="B4177" s="1">
        <v>45748</v>
      </c>
      <c r="C4177">
        <v>732010</v>
      </c>
      <c r="D4177" t="s">
        <v>176</v>
      </c>
      <c r="E4177">
        <v>0</v>
      </c>
      <c r="F4177">
        <v>0</v>
      </c>
      <c r="G4177">
        <v>0</v>
      </c>
      <c r="H4177">
        <f>_xlfn.XLOOKUP(FACT_IMPORTS[[#This Row],[hts_6]],DIM_PRODUCTS[hts_6],DIM_PRODUCTS[hts_4],,,)</f>
        <v>7320</v>
      </c>
      <c r="I4177" t="str" cm="1">
        <f t="array" ref="I4177">_xlfn.XLOOKUP(FACT_IMPORTS[[#This Row],[country_name]],DIM_COUNTRY[[#All],[Column2]],DIM_COUNTRY[[#All],[Column3]],,,)</f>
        <v>China</v>
      </c>
    </row>
    <row r="4178" spans="1:9" x14ac:dyDescent="0.4">
      <c r="A4178" t="s">
        <v>66</v>
      </c>
      <c r="B4178" s="1">
        <v>45748</v>
      </c>
      <c r="C4178">
        <v>830230</v>
      </c>
      <c r="D4178" t="s">
        <v>176</v>
      </c>
      <c r="E4178">
        <v>3233736</v>
      </c>
      <c r="F4178">
        <v>955613</v>
      </c>
      <c r="G4178">
        <v>140992</v>
      </c>
      <c r="H4178">
        <f>_xlfn.XLOOKUP(FACT_IMPORTS[[#This Row],[hts_6]],DIM_PRODUCTS[hts_6],DIM_PRODUCTS[hts_4],,,)</f>
        <v>8302</v>
      </c>
      <c r="I4178" t="str" cm="1">
        <f t="array" ref="I4178">_xlfn.XLOOKUP(FACT_IMPORTS[[#This Row],[country_name]],DIM_COUNTRY[[#All],[Column2]],DIM_COUNTRY[[#All],[Column3]],,,)</f>
        <v>China</v>
      </c>
    </row>
    <row r="4179" spans="1:9" x14ac:dyDescent="0.4">
      <c r="A4179" t="s">
        <v>66</v>
      </c>
      <c r="B4179" s="1">
        <v>45748</v>
      </c>
      <c r="C4179">
        <v>840733</v>
      </c>
      <c r="D4179" t="s">
        <v>176</v>
      </c>
      <c r="E4179">
        <v>0</v>
      </c>
      <c r="F4179">
        <v>0</v>
      </c>
      <c r="G4179">
        <v>0</v>
      </c>
      <c r="H4179">
        <f>_xlfn.XLOOKUP(FACT_IMPORTS[[#This Row],[hts_6]],DIM_PRODUCTS[hts_6],DIM_PRODUCTS[hts_4],,,)</f>
        <v>8407</v>
      </c>
      <c r="I4179" t="str" cm="1">
        <f t="array" ref="I4179">_xlfn.XLOOKUP(FACT_IMPORTS[[#This Row],[country_name]],DIM_COUNTRY[[#All],[Column2]],DIM_COUNTRY[[#All],[Column3]],,,)</f>
        <v>China</v>
      </c>
    </row>
    <row r="4180" spans="1:9" x14ac:dyDescent="0.4">
      <c r="A4180" t="s">
        <v>66</v>
      </c>
      <c r="B4180" s="1">
        <v>45748</v>
      </c>
      <c r="C4180">
        <v>840734</v>
      </c>
      <c r="D4180" t="s">
        <v>176</v>
      </c>
      <c r="E4180">
        <v>0</v>
      </c>
      <c r="F4180">
        <v>0</v>
      </c>
      <c r="G4180">
        <v>0</v>
      </c>
      <c r="H4180">
        <f>_xlfn.XLOOKUP(FACT_IMPORTS[[#This Row],[hts_6]],DIM_PRODUCTS[hts_6],DIM_PRODUCTS[hts_4],,,)</f>
        <v>8407</v>
      </c>
      <c r="I4180" t="str" cm="1">
        <f t="array" ref="I4180">_xlfn.XLOOKUP(FACT_IMPORTS[[#This Row],[country_name]],DIM_COUNTRY[[#All],[Column2]],DIM_COUNTRY[[#All],[Column3]],,,)</f>
        <v>China</v>
      </c>
    </row>
    <row r="4181" spans="1:9" x14ac:dyDescent="0.4">
      <c r="A4181" t="s">
        <v>66</v>
      </c>
      <c r="B4181" s="1">
        <v>45748</v>
      </c>
      <c r="C4181">
        <v>840790</v>
      </c>
      <c r="D4181" t="s">
        <v>176</v>
      </c>
      <c r="E4181">
        <v>0</v>
      </c>
      <c r="F4181">
        <v>0</v>
      </c>
      <c r="G4181">
        <v>0</v>
      </c>
      <c r="H4181">
        <f>_xlfn.XLOOKUP(FACT_IMPORTS[[#This Row],[hts_6]],DIM_PRODUCTS[hts_6],DIM_PRODUCTS[hts_4],,,)</f>
        <v>8407</v>
      </c>
      <c r="I4181" t="str" cm="1">
        <f t="array" ref="I4181">_xlfn.XLOOKUP(FACT_IMPORTS[[#This Row],[country_name]],DIM_COUNTRY[[#All],[Column2]],DIM_COUNTRY[[#All],[Column3]],,,)</f>
        <v>China</v>
      </c>
    </row>
    <row r="4182" spans="1:9" x14ac:dyDescent="0.4">
      <c r="A4182" t="s">
        <v>66</v>
      </c>
      <c r="B4182" s="1">
        <v>45748</v>
      </c>
      <c r="C4182">
        <v>840820</v>
      </c>
      <c r="D4182" t="s">
        <v>176</v>
      </c>
      <c r="E4182">
        <v>0</v>
      </c>
      <c r="F4182">
        <v>0</v>
      </c>
      <c r="G4182">
        <v>0</v>
      </c>
      <c r="H4182">
        <f>_xlfn.XLOOKUP(FACT_IMPORTS[[#This Row],[hts_6]],DIM_PRODUCTS[hts_6],DIM_PRODUCTS[hts_4],,,)</f>
        <v>8408</v>
      </c>
      <c r="I4182" t="str" cm="1">
        <f t="array" ref="I4182">_xlfn.XLOOKUP(FACT_IMPORTS[[#This Row],[country_name]],DIM_COUNTRY[[#All],[Column2]],DIM_COUNTRY[[#All],[Column3]],,,)</f>
        <v>China</v>
      </c>
    </row>
    <row r="4183" spans="1:9" x14ac:dyDescent="0.4">
      <c r="A4183" t="s">
        <v>66</v>
      </c>
      <c r="B4183" s="1">
        <v>45748</v>
      </c>
      <c r="C4183">
        <v>840890</v>
      </c>
      <c r="D4183" t="s">
        <v>176</v>
      </c>
      <c r="E4183">
        <v>26395</v>
      </c>
      <c r="F4183">
        <v>1</v>
      </c>
      <c r="G4183">
        <v>38</v>
      </c>
      <c r="H4183">
        <f>_xlfn.XLOOKUP(FACT_IMPORTS[[#This Row],[hts_6]],DIM_PRODUCTS[hts_6],DIM_PRODUCTS[hts_4],,,)</f>
        <v>8408</v>
      </c>
      <c r="I4183" t="str" cm="1">
        <f t="array" ref="I4183">_xlfn.XLOOKUP(FACT_IMPORTS[[#This Row],[country_name]],DIM_COUNTRY[[#All],[Column2]],DIM_COUNTRY[[#All],[Column3]],,,)</f>
        <v>China</v>
      </c>
    </row>
    <row r="4184" spans="1:9" x14ac:dyDescent="0.4">
      <c r="A4184" t="s">
        <v>66</v>
      </c>
      <c r="B4184" s="1">
        <v>45748</v>
      </c>
      <c r="C4184">
        <v>840991</v>
      </c>
      <c r="D4184" t="s">
        <v>176</v>
      </c>
      <c r="E4184">
        <v>9182320</v>
      </c>
      <c r="F4184">
        <v>2084993</v>
      </c>
      <c r="G4184">
        <v>752647</v>
      </c>
      <c r="H4184">
        <f>_xlfn.XLOOKUP(FACT_IMPORTS[[#This Row],[hts_6]],DIM_PRODUCTS[hts_6],DIM_PRODUCTS[hts_4],,,)</f>
        <v>8409</v>
      </c>
      <c r="I4184" t="str" cm="1">
        <f t="array" ref="I4184">_xlfn.XLOOKUP(FACT_IMPORTS[[#This Row],[country_name]],DIM_COUNTRY[[#All],[Column2]],DIM_COUNTRY[[#All],[Column3]],,,)</f>
        <v>China</v>
      </c>
    </row>
    <row r="4185" spans="1:9" x14ac:dyDescent="0.4">
      <c r="A4185" t="s">
        <v>66</v>
      </c>
      <c r="B4185" s="1">
        <v>45748</v>
      </c>
      <c r="C4185">
        <v>840999</v>
      </c>
      <c r="D4185" t="s">
        <v>176</v>
      </c>
      <c r="E4185">
        <v>5571378</v>
      </c>
      <c r="F4185">
        <v>1169424</v>
      </c>
      <c r="G4185">
        <v>251162</v>
      </c>
      <c r="H4185">
        <f>_xlfn.XLOOKUP(FACT_IMPORTS[[#This Row],[hts_6]],DIM_PRODUCTS[hts_6],DIM_PRODUCTS[hts_4],,,)</f>
        <v>8409</v>
      </c>
      <c r="I4185" t="str" cm="1">
        <f t="array" ref="I4185">_xlfn.XLOOKUP(FACT_IMPORTS[[#This Row],[country_name]],DIM_COUNTRY[[#All],[Column2]],DIM_COUNTRY[[#All],[Column3]],,,)</f>
        <v>China</v>
      </c>
    </row>
    <row r="4186" spans="1:9" x14ac:dyDescent="0.4">
      <c r="A4186" t="s">
        <v>66</v>
      </c>
      <c r="B4186" s="1">
        <v>45748</v>
      </c>
      <c r="C4186">
        <v>841330</v>
      </c>
      <c r="D4186" t="s">
        <v>176</v>
      </c>
      <c r="E4186">
        <v>897970</v>
      </c>
      <c r="F4186">
        <v>26601</v>
      </c>
      <c r="G4186">
        <v>31392</v>
      </c>
      <c r="H4186">
        <f>_xlfn.XLOOKUP(FACT_IMPORTS[[#This Row],[hts_6]],DIM_PRODUCTS[hts_6],DIM_PRODUCTS[hts_4],,,)</f>
        <v>8413</v>
      </c>
      <c r="I4186" t="str" cm="1">
        <f t="array" ref="I4186">_xlfn.XLOOKUP(FACT_IMPORTS[[#This Row],[country_name]],DIM_COUNTRY[[#All],[Column2]],DIM_COUNTRY[[#All],[Column3]],,,)</f>
        <v>China</v>
      </c>
    </row>
    <row r="4187" spans="1:9" x14ac:dyDescent="0.4">
      <c r="A4187" t="s">
        <v>66</v>
      </c>
      <c r="B4187" s="1">
        <v>45748</v>
      </c>
      <c r="C4187">
        <v>841520</v>
      </c>
      <c r="D4187" t="s">
        <v>176</v>
      </c>
      <c r="E4187">
        <v>0</v>
      </c>
      <c r="F4187">
        <v>0</v>
      </c>
      <c r="G4187">
        <v>0</v>
      </c>
      <c r="H4187">
        <f>_xlfn.XLOOKUP(FACT_IMPORTS[[#This Row],[hts_6]],DIM_PRODUCTS[hts_6],DIM_PRODUCTS[hts_4],,,)</f>
        <v>8415</v>
      </c>
      <c r="I4187" t="str" cm="1">
        <f t="array" ref="I4187">_xlfn.XLOOKUP(FACT_IMPORTS[[#This Row],[country_name]],DIM_COUNTRY[[#All],[Column2]],DIM_COUNTRY[[#All],[Column3]],,,)</f>
        <v>China</v>
      </c>
    </row>
    <row r="4188" spans="1:9" x14ac:dyDescent="0.4">
      <c r="A4188" t="s">
        <v>66</v>
      </c>
      <c r="B4188" s="1">
        <v>45748</v>
      </c>
      <c r="C4188">
        <v>842132</v>
      </c>
      <c r="D4188" t="s">
        <v>176</v>
      </c>
      <c r="E4188">
        <v>0</v>
      </c>
      <c r="F4188">
        <v>0</v>
      </c>
      <c r="G4188">
        <v>0</v>
      </c>
      <c r="H4188">
        <f>_xlfn.XLOOKUP(FACT_IMPORTS[[#This Row],[hts_6]],DIM_PRODUCTS[hts_6],DIM_PRODUCTS[hts_4],,,)</f>
        <v>8421</v>
      </c>
      <c r="I4188" t="str" cm="1">
        <f t="array" ref="I4188">_xlfn.XLOOKUP(FACT_IMPORTS[[#This Row],[country_name]],DIM_COUNTRY[[#All],[Column2]],DIM_COUNTRY[[#All],[Column3]],,,)</f>
        <v>China</v>
      </c>
    </row>
    <row r="4189" spans="1:9" x14ac:dyDescent="0.4">
      <c r="A4189" t="s">
        <v>66</v>
      </c>
      <c r="B4189" s="1">
        <v>45748</v>
      </c>
      <c r="C4189">
        <v>848210</v>
      </c>
      <c r="D4189" t="s">
        <v>176</v>
      </c>
      <c r="E4189">
        <v>846252</v>
      </c>
      <c r="F4189">
        <v>490493</v>
      </c>
      <c r="G4189">
        <v>40783</v>
      </c>
      <c r="H4189">
        <f>_xlfn.XLOOKUP(FACT_IMPORTS[[#This Row],[hts_6]],DIM_PRODUCTS[hts_6],DIM_PRODUCTS[hts_4],,,)</f>
        <v>8482</v>
      </c>
      <c r="I4189" t="str" cm="1">
        <f t="array" ref="I4189">_xlfn.XLOOKUP(FACT_IMPORTS[[#This Row],[country_name]],DIM_COUNTRY[[#All],[Column2]],DIM_COUNTRY[[#All],[Column3]],,,)</f>
        <v>China</v>
      </c>
    </row>
    <row r="4190" spans="1:9" x14ac:dyDescent="0.4">
      <c r="A4190" t="s">
        <v>66</v>
      </c>
      <c r="B4190" s="1">
        <v>45748</v>
      </c>
      <c r="C4190">
        <v>848220</v>
      </c>
      <c r="D4190" t="s">
        <v>176</v>
      </c>
      <c r="E4190">
        <v>0</v>
      </c>
      <c r="F4190">
        <v>0</v>
      </c>
      <c r="G4190">
        <v>0</v>
      </c>
      <c r="H4190">
        <f>_xlfn.XLOOKUP(FACT_IMPORTS[[#This Row],[hts_6]],DIM_PRODUCTS[hts_6],DIM_PRODUCTS[hts_4],,,)</f>
        <v>8482</v>
      </c>
      <c r="I4190" t="str" cm="1">
        <f t="array" ref="I4190">_xlfn.XLOOKUP(FACT_IMPORTS[[#This Row],[country_name]],DIM_COUNTRY[[#All],[Column2]],DIM_COUNTRY[[#All],[Column3]],,,)</f>
        <v>China</v>
      </c>
    </row>
    <row r="4191" spans="1:9" x14ac:dyDescent="0.4">
      <c r="A4191" t="s">
        <v>66</v>
      </c>
      <c r="B4191" s="1">
        <v>45748</v>
      </c>
      <c r="C4191">
        <v>848310</v>
      </c>
      <c r="D4191" t="s">
        <v>176</v>
      </c>
      <c r="E4191">
        <v>1982786</v>
      </c>
      <c r="F4191">
        <v>102170</v>
      </c>
      <c r="G4191">
        <v>92200</v>
      </c>
      <c r="H4191">
        <f>_xlfn.XLOOKUP(FACT_IMPORTS[[#This Row],[hts_6]],DIM_PRODUCTS[hts_6],DIM_PRODUCTS[hts_4],,,)</f>
        <v>8483</v>
      </c>
      <c r="I4191" t="str" cm="1">
        <f t="array" ref="I4191">_xlfn.XLOOKUP(FACT_IMPORTS[[#This Row],[country_name]],DIM_COUNTRY[[#All],[Column2]],DIM_COUNTRY[[#All],[Column3]],,,)</f>
        <v>China</v>
      </c>
    </row>
    <row r="4192" spans="1:9" x14ac:dyDescent="0.4">
      <c r="A4192" t="s">
        <v>66</v>
      </c>
      <c r="B4192" s="1">
        <v>45748</v>
      </c>
      <c r="C4192">
        <v>850131</v>
      </c>
      <c r="D4192" t="s">
        <v>176</v>
      </c>
      <c r="E4192">
        <v>3969264</v>
      </c>
      <c r="F4192">
        <v>813356</v>
      </c>
      <c r="G4192">
        <v>260662</v>
      </c>
      <c r="H4192">
        <f>_xlfn.XLOOKUP(FACT_IMPORTS[[#This Row],[hts_6]],DIM_PRODUCTS[hts_6],DIM_PRODUCTS[hts_4],,,)</f>
        <v>8501</v>
      </c>
      <c r="I4192" t="str" cm="1">
        <f t="array" ref="I4192">_xlfn.XLOOKUP(FACT_IMPORTS[[#This Row],[country_name]],DIM_COUNTRY[[#All],[Column2]],DIM_COUNTRY[[#All],[Column3]],,,)</f>
        <v>China</v>
      </c>
    </row>
    <row r="4193" spans="1:9" x14ac:dyDescent="0.4">
      <c r="A4193" t="s">
        <v>66</v>
      </c>
      <c r="B4193" s="1">
        <v>45748</v>
      </c>
      <c r="C4193">
        <v>850132</v>
      </c>
      <c r="D4193" t="s">
        <v>176</v>
      </c>
      <c r="E4193">
        <v>61950</v>
      </c>
      <c r="F4193">
        <v>54</v>
      </c>
      <c r="G4193">
        <v>34344</v>
      </c>
      <c r="H4193">
        <f>_xlfn.XLOOKUP(FACT_IMPORTS[[#This Row],[hts_6]],DIM_PRODUCTS[hts_6],DIM_PRODUCTS[hts_4],,,)</f>
        <v>8501</v>
      </c>
      <c r="I4193" t="str" cm="1">
        <f t="array" ref="I4193">_xlfn.XLOOKUP(FACT_IMPORTS[[#This Row],[country_name]],DIM_COUNTRY[[#All],[Column2]],DIM_COUNTRY[[#All],[Column3]],,,)</f>
        <v>China</v>
      </c>
    </row>
    <row r="4194" spans="1:9" x14ac:dyDescent="0.4">
      <c r="A4194" t="s">
        <v>66</v>
      </c>
      <c r="B4194" s="1">
        <v>45748</v>
      </c>
      <c r="C4194">
        <v>850133</v>
      </c>
      <c r="D4194" t="s">
        <v>176</v>
      </c>
      <c r="E4194">
        <v>0</v>
      </c>
      <c r="F4194">
        <v>0</v>
      </c>
      <c r="G4194">
        <v>0</v>
      </c>
      <c r="H4194">
        <f>_xlfn.XLOOKUP(FACT_IMPORTS[[#This Row],[hts_6]],DIM_PRODUCTS[hts_6],DIM_PRODUCTS[hts_4],,,)</f>
        <v>8501</v>
      </c>
      <c r="I4194" t="str" cm="1">
        <f t="array" ref="I4194">_xlfn.XLOOKUP(FACT_IMPORTS[[#This Row],[country_name]],DIM_COUNTRY[[#All],[Column2]],DIM_COUNTRY[[#All],[Column3]],,,)</f>
        <v>China</v>
      </c>
    </row>
    <row r="4195" spans="1:9" x14ac:dyDescent="0.4">
      <c r="A4195" t="s">
        <v>66</v>
      </c>
      <c r="B4195" s="1">
        <v>45748</v>
      </c>
      <c r="C4195">
        <v>850152</v>
      </c>
      <c r="D4195" t="s">
        <v>176</v>
      </c>
      <c r="E4195">
        <v>296350</v>
      </c>
      <c r="F4195">
        <v>1107</v>
      </c>
      <c r="G4195">
        <v>8901</v>
      </c>
      <c r="H4195">
        <f>_xlfn.XLOOKUP(FACT_IMPORTS[[#This Row],[hts_6]],DIM_PRODUCTS[hts_6],DIM_PRODUCTS[hts_4],,,)</f>
        <v>8501</v>
      </c>
      <c r="I4195" t="str" cm="1">
        <f t="array" ref="I4195">_xlfn.XLOOKUP(FACT_IMPORTS[[#This Row],[country_name]],DIM_COUNTRY[[#All],[Column2]],DIM_COUNTRY[[#All],[Column3]],,,)</f>
        <v>China</v>
      </c>
    </row>
    <row r="4196" spans="1:9" x14ac:dyDescent="0.4">
      <c r="A4196" t="s">
        <v>66</v>
      </c>
      <c r="B4196" s="1">
        <v>45748</v>
      </c>
      <c r="C4196">
        <v>850153</v>
      </c>
      <c r="D4196" t="s">
        <v>176</v>
      </c>
      <c r="E4196">
        <v>0</v>
      </c>
      <c r="F4196">
        <v>0</v>
      </c>
      <c r="G4196">
        <v>0</v>
      </c>
      <c r="H4196">
        <f>_xlfn.XLOOKUP(FACT_IMPORTS[[#This Row],[hts_6]],DIM_PRODUCTS[hts_6],DIM_PRODUCTS[hts_4],,,)</f>
        <v>8501</v>
      </c>
      <c r="I4196" t="str" cm="1">
        <f t="array" ref="I4196">_xlfn.XLOOKUP(FACT_IMPORTS[[#This Row],[country_name]],DIM_COUNTRY[[#All],[Column2]],DIM_COUNTRY[[#All],[Column3]],,,)</f>
        <v>China</v>
      </c>
    </row>
    <row r="4197" spans="1:9" x14ac:dyDescent="0.4">
      <c r="A4197" t="s">
        <v>66</v>
      </c>
      <c r="B4197" s="1">
        <v>45748</v>
      </c>
      <c r="C4197">
        <v>850161</v>
      </c>
      <c r="D4197" t="s">
        <v>176</v>
      </c>
      <c r="E4197">
        <v>0</v>
      </c>
      <c r="F4197">
        <v>0</v>
      </c>
      <c r="G4197">
        <v>0</v>
      </c>
      <c r="H4197">
        <f>_xlfn.XLOOKUP(FACT_IMPORTS[[#This Row],[hts_6]],DIM_PRODUCTS[hts_6],DIM_PRODUCTS[hts_4],,,)</f>
        <v>8501</v>
      </c>
      <c r="I4197" t="str" cm="1">
        <f t="array" ref="I4197">_xlfn.XLOOKUP(FACT_IMPORTS[[#This Row],[country_name]],DIM_COUNTRY[[#All],[Column2]],DIM_COUNTRY[[#All],[Column3]],,,)</f>
        <v>China</v>
      </c>
    </row>
    <row r="4198" spans="1:9" x14ac:dyDescent="0.4">
      <c r="A4198" t="s">
        <v>66</v>
      </c>
      <c r="B4198" s="1">
        <v>45748</v>
      </c>
      <c r="C4198">
        <v>850440</v>
      </c>
      <c r="D4198" t="s">
        <v>176</v>
      </c>
      <c r="E4198">
        <v>1896918</v>
      </c>
      <c r="F4198">
        <v>38971</v>
      </c>
      <c r="G4198">
        <v>22442</v>
      </c>
      <c r="H4198">
        <f>_xlfn.XLOOKUP(FACT_IMPORTS[[#This Row],[hts_6]],DIM_PRODUCTS[hts_6],DIM_PRODUCTS[hts_4],,,)</f>
        <v>8504</v>
      </c>
      <c r="I4198" t="str" cm="1">
        <f t="array" ref="I4198">_xlfn.XLOOKUP(FACT_IMPORTS[[#This Row],[country_name]],DIM_COUNTRY[[#All],[Column2]],DIM_COUNTRY[[#All],[Column3]],,,)</f>
        <v>China</v>
      </c>
    </row>
    <row r="4199" spans="1:9" x14ac:dyDescent="0.4">
      <c r="A4199" t="s">
        <v>66</v>
      </c>
      <c r="B4199" s="1">
        <v>45748</v>
      </c>
      <c r="C4199">
        <v>850710</v>
      </c>
      <c r="D4199" t="s">
        <v>176</v>
      </c>
      <c r="E4199">
        <v>12774</v>
      </c>
      <c r="F4199">
        <v>354</v>
      </c>
      <c r="G4199">
        <v>390</v>
      </c>
      <c r="H4199">
        <f>_xlfn.XLOOKUP(FACT_IMPORTS[[#This Row],[hts_6]],DIM_PRODUCTS[hts_6],DIM_PRODUCTS[hts_4],,,)</f>
        <v>8507</v>
      </c>
      <c r="I4199" t="str" cm="1">
        <f t="array" ref="I4199">_xlfn.XLOOKUP(FACT_IMPORTS[[#This Row],[country_name]],DIM_COUNTRY[[#All],[Column2]],DIM_COUNTRY[[#All],[Column3]],,,)</f>
        <v>China</v>
      </c>
    </row>
    <row r="4200" spans="1:9" x14ac:dyDescent="0.4">
      <c r="A4200" t="s">
        <v>66</v>
      </c>
      <c r="B4200" s="1">
        <v>45748</v>
      </c>
      <c r="C4200">
        <v>850760</v>
      </c>
      <c r="D4200" t="s">
        <v>176</v>
      </c>
      <c r="E4200">
        <v>1526421</v>
      </c>
      <c r="F4200">
        <v>2625</v>
      </c>
      <c r="G4200">
        <v>11595</v>
      </c>
      <c r="H4200">
        <f>_xlfn.XLOOKUP(FACT_IMPORTS[[#This Row],[hts_6]],DIM_PRODUCTS[hts_6],DIM_PRODUCTS[hts_4],,,)</f>
        <v>8507</v>
      </c>
      <c r="I4200" t="str" cm="1">
        <f t="array" ref="I4200">_xlfn.XLOOKUP(FACT_IMPORTS[[#This Row],[country_name]],DIM_COUNTRY[[#All],[Column2]],DIM_COUNTRY[[#All],[Column3]],,,)</f>
        <v>China</v>
      </c>
    </row>
    <row r="4201" spans="1:9" x14ac:dyDescent="0.4">
      <c r="A4201" t="s">
        <v>66</v>
      </c>
      <c r="B4201" s="1">
        <v>45748</v>
      </c>
      <c r="C4201">
        <v>850790</v>
      </c>
      <c r="D4201" t="s">
        <v>176</v>
      </c>
      <c r="E4201">
        <v>0</v>
      </c>
      <c r="F4201">
        <v>0</v>
      </c>
      <c r="G4201">
        <v>0</v>
      </c>
      <c r="H4201">
        <f>_xlfn.XLOOKUP(FACT_IMPORTS[[#This Row],[hts_6]],DIM_PRODUCTS[hts_6],DIM_PRODUCTS[hts_4],,,)</f>
        <v>8507</v>
      </c>
      <c r="I4201" t="str" cm="1">
        <f t="array" ref="I4201">_xlfn.XLOOKUP(FACT_IMPORTS[[#This Row],[country_name]],DIM_COUNTRY[[#All],[Column2]],DIM_COUNTRY[[#All],[Column3]],,,)</f>
        <v>China</v>
      </c>
    </row>
    <row r="4202" spans="1:9" x14ac:dyDescent="0.4">
      <c r="A4202" t="s">
        <v>66</v>
      </c>
      <c r="B4202" s="1">
        <v>45748</v>
      </c>
      <c r="C4202">
        <v>851110</v>
      </c>
      <c r="D4202" t="s">
        <v>176</v>
      </c>
      <c r="E4202">
        <v>0</v>
      </c>
      <c r="F4202">
        <v>0</v>
      </c>
      <c r="G4202">
        <v>0</v>
      </c>
      <c r="H4202">
        <f>_xlfn.XLOOKUP(FACT_IMPORTS[[#This Row],[hts_6]],DIM_PRODUCTS[hts_6],DIM_PRODUCTS[hts_4],,,)</f>
        <v>8511</v>
      </c>
      <c r="I4202" t="str" cm="1">
        <f t="array" ref="I4202">_xlfn.XLOOKUP(FACT_IMPORTS[[#This Row],[country_name]],DIM_COUNTRY[[#All],[Column2]],DIM_COUNTRY[[#All],[Column3]],,,)</f>
        <v>China</v>
      </c>
    </row>
    <row r="4203" spans="1:9" x14ac:dyDescent="0.4">
      <c r="A4203" t="s">
        <v>66</v>
      </c>
      <c r="B4203" s="1">
        <v>45748</v>
      </c>
      <c r="C4203">
        <v>851120</v>
      </c>
      <c r="D4203" t="s">
        <v>176</v>
      </c>
      <c r="E4203">
        <v>0</v>
      </c>
      <c r="F4203">
        <v>0</v>
      </c>
      <c r="G4203">
        <v>0</v>
      </c>
      <c r="H4203">
        <f>_xlfn.XLOOKUP(FACT_IMPORTS[[#This Row],[hts_6]],DIM_PRODUCTS[hts_6],DIM_PRODUCTS[hts_4],,,)</f>
        <v>8511</v>
      </c>
      <c r="I4203" t="str" cm="1">
        <f t="array" ref="I4203">_xlfn.XLOOKUP(FACT_IMPORTS[[#This Row],[country_name]],DIM_COUNTRY[[#All],[Column2]],DIM_COUNTRY[[#All],[Column3]],,,)</f>
        <v>China</v>
      </c>
    </row>
    <row r="4204" spans="1:9" x14ac:dyDescent="0.4">
      <c r="A4204" t="s">
        <v>66</v>
      </c>
      <c r="B4204" s="1">
        <v>45748</v>
      </c>
      <c r="C4204">
        <v>851130</v>
      </c>
      <c r="D4204" t="s">
        <v>176</v>
      </c>
      <c r="E4204">
        <v>70696</v>
      </c>
      <c r="F4204">
        <v>2358</v>
      </c>
      <c r="G4204">
        <v>3926</v>
      </c>
      <c r="H4204">
        <f>_xlfn.XLOOKUP(FACT_IMPORTS[[#This Row],[hts_6]],DIM_PRODUCTS[hts_6],DIM_PRODUCTS[hts_4],,,)</f>
        <v>8511</v>
      </c>
      <c r="I4204" t="str" cm="1">
        <f t="array" ref="I4204">_xlfn.XLOOKUP(FACT_IMPORTS[[#This Row],[country_name]],DIM_COUNTRY[[#All],[Column2]],DIM_COUNTRY[[#All],[Column3]],,,)</f>
        <v>China</v>
      </c>
    </row>
    <row r="4205" spans="1:9" x14ac:dyDescent="0.4">
      <c r="A4205" t="s">
        <v>66</v>
      </c>
      <c r="B4205" s="1">
        <v>45748</v>
      </c>
      <c r="C4205">
        <v>851140</v>
      </c>
      <c r="D4205" t="s">
        <v>176</v>
      </c>
      <c r="E4205">
        <v>53385</v>
      </c>
      <c r="F4205">
        <v>281</v>
      </c>
      <c r="G4205">
        <v>67</v>
      </c>
      <c r="H4205">
        <f>_xlfn.XLOOKUP(FACT_IMPORTS[[#This Row],[hts_6]],DIM_PRODUCTS[hts_6],DIM_PRODUCTS[hts_4],,,)</f>
        <v>8511</v>
      </c>
      <c r="I4205" t="str" cm="1">
        <f t="array" ref="I4205">_xlfn.XLOOKUP(FACT_IMPORTS[[#This Row],[country_name]],DIM_COUNTRY[[#All],[Column2]],DIM_COUNTRY[[#All],[Column3]],,,)</f>
        <v>China</v>
      </c>
    </row>
    <row r="4206" spans="1:9" x14ac:dyDescent="0.4">
      <c r="A4206" t="s">
        <v>66</v>
      </c>
      <c r="B4206" s="1">
        <v>45748</v>
      </c>
      <c r="C4206">
        <v>851150</v>
      </c>
      <c r="D4206" t="s">
        <v>176</v>
      </c>
      <c r="E4206">
        <v>162976</v>
      </c>
      <c r="F4206">
        <v>1790</v>
      </c>
      <c r="G4206">
        <v>6076</v>
      </c>
      <c r="H4206">
        <f>_xlfn.XLOOKUP(FACT_IMPORTS[[#This Row],[hts_6]],DIM_PRODUCTS[hts_6],DIM_PRODUCTS[hts_4],,,)</f>
        <v>8511</v>
      </c>
      <c r="I4206" t="str" cm="1">
        <f t="array" ref="I4206">_xlfn.XLOOKUP(FACT_IMPORTS[[#This Row],[country_name]],DIM_COUNTRY[[#All],[Column2]],DIM_COUNTRY[[#All],[Column3]],,,)</f>
        <v>China</v>
      </c>
    </row>
    <row r="4207" spans="1:9" x14ac:dyDescent="0.4">
      <c r="A4207" t="s">
        <v>66</v>
      </c>
      <c r="B4207" s="1">
        <v>45748</v>
      </c>
      <c r="C4207">
        <v>851180</v>
      </c>
      <c r="D4207" t="s">
        <v>176</v>
      </c>
      <c r="E4207">
        <v>2029</v>
      </c>
      <c r="F4207">
        <v>38</v>
      </c>
      <c r="G4207">
        <v>1</v>
      </c>
      <c r="H4207">
        <f>_xlfn.XLOOKUP(FACT_IMPORTS[[#This Row],[hts_6]],DIM_PRODUCTS[hts_6],DIM_PRODUCTS[hts_4],,,)</f>
        <v>8511</v>
      </c>
      <c r="I4207" t="str" cm="1">
        <f t="array" ref="I4207">_xlfn.XLOOKUP(FACT_IMPORTS[[#This Row],[country_name]],DIM_COUNTRY[[#All],[Column2]],DIM_COUNTRY[[#All],[Column3]],,,)</f>
        <v>China</v>
      </c>
    </row>
    <row r="4208" spans="1:9" x14ac:dyDescent="0.4">
      <c r="A4208" t="s">
        <v>66</v>
      </c>
      <c r="B4208" s="1">
        <v>45748</v>
      </c>
      <c r="C4208">
        <v>851190</v>
      </c>
      <c r="D4208" t="s">
        <v>176</v>
      </c>
      <c r="E4208">
        <v>194155</v>
      </c>
      <c r="F4208">
        <v>20524</v>
      </c>
      <c r="G4208">
        <v>4847</v>
      </c>
      <c r="H4208">
        <f>_xlfn.XLOOKUP(FACT_IMPORTS[[#This Row],[hts_6]],DIM_PRODUCTS[hts_6],DIM_PRODUCTS[hts_4],,,)</f>
        <v>8511</v>
      </c>
      <c r="I4208" t="str" cm="1">
        <f t="array" ref="I4208">_xlfn.XLOOKUP(FACT_IMPORTS[[#This Row],[country_name]],DIM_COUNTRY[[#All],[Column2]],DIM_COUNTRY[[#All],[Column3]],,,)</f>
        <v>China</v>
      </c>
    </row>
    <row r="4209" spans="1:9" x14ac:dyDescent="0.4">
      <c r="A4209" t="s">
        <v>66</v>
      </c>
      <c r="B4209" s="1">
        <v>45748</v>
      </c>
      <c r="C4209">
        <v>851220</v>
      </c>
      <c r="D4209" t="s">
        <v>176</v>
      </c>
      <c r="E4209">
        <v>3279885</v>
      </c>
      <c r="F4209">
        <v>617528</v>
      </c>
      <c r="G4209">
        <v>105937</v>
      </c>
      <c r="H4209">
        <f>_xlfn.XLOOKUP(FACT_IMPORTS[[#This Row],[hts_6]],DIM_PRODUCTS[hts_6],DIM_PRODUCTS[hts_4],,,)</f>
        <v>8512</v>
      </c>
      <c r="I4209" t="str" cm="1">
        <f t="array" ref="I4209">_xlfn.XLOOKUP(FACT_IMPORTS[[#This Row],[country_name]],DIM_COUNTRY[[#All],[Column2]],DIM_COUNTRY[[#All],[Column3]],,,)</f>
        <v>China</v>
      </c>
    </row>
    <row r="4210" spans="1:9" x14ac:dyDescent="0.4">
      <c r="A4210" t="s">
        <v>66</v>
      </c>
      <c r="B4210" s="1">
        <v>45748</v>
      </c>
      <c r="C4210">
        <v>851230</v>
      </c>
      <c r="D4210" t="s">
        <v>176</v>
      </c>
      <c r="E4210">
        <v>20433</v>
      </c>
      <c r="F4210">
        <v>9068</v>
      </c>
      <c r="G4210">
        <v>1576</v>
      </c>
      <c r="H4210">
        <f>_xlfn.XLOOKUP(FACT_IMPORTS[[#This Row],[hts_6]],DIM_PRODUCTS[hts_6],DIM_PRODUCTS[hts_4],,,)</f>
        <v>8512</v>
      </c>
      <c r="I4210" t="str" cm="1">
        <f t="array" ref="I4210">_xlfn.XLOOKUP(FACT_IMPORTS[[#This Row],[country_name]],DIM_COUNTRY[[#All],[Column2]],DIM_COUNTRY[[#All],[Column3]],,,)</f>
        <v>China</v>
      </c>
    </row>
    <row r="4211" spans="1:9" x14ac:dyDescent="0.4">
      <c r="A4211" t="s">
        <v>66</v>
      </c>
      <c r="B4211" s="1">
        <v>45748</v>
      </c>
      <c r="C4211">
        <v>851240</v>
      </c>
      <c r="D4211" t="s">
        <v>176</v>
      </c>
      <c r="E4211">
        <v>0</v>
      </c>
      <c r="F4211">
        <v>0</v>
      </c>
      <c r="G4211">
        <v>0</v>
      </c>
      <c r="H4211">
        <f>_xlfn.XLOOKUP(FACT_IMPORTS[[#This Row],[hts_6]],DIM_PRODUCTS[hts_6],DIM_PRODUCTS[hts_4],,,)</f>
        <v>8512</v>
      </c>
      <c r="I4211" t="str" cm="1">
        <f t="array" ref="I4211">_xlfn.XLOOKUP(FACT_IMPORTS[[#This Row],[country_name]],DIM_COUNTRY[[#All],[Column2]],DIM_COUNTRY[[#All],[Column3]],,,)</f>
        <v>China</v>
      </c>
    </row>
    <row r="4212" spans="1:9" x14ac:dyDescent="0.4">
      <c r="A4212" t="s">
        <v>66</v>
      </c>
      <c r="B4212" s="1">
        <v>45748</v>
      </c>
      <c r="C4212">
        <v>851290</v>
      </c>
      <c r="D4212" t="s">
        <v>176</v>
      </c>
      <c r="E4212">
        <v>490893</v>
      </c>
      <c r="F4212">
        <v>27923</v>
      </c>
      <c r="G4212">
        <v>36145</v>
      </c>
      <c r="H4212">
        <f>_xlfn.XLOOKUP(FACT_IMPORTS[[#This Row],[hts_6]],DIM_PRODUCTS[hts_6],DIM_PRODUCTS[hts_4],,,)</f>
        <v>8512</v>
      </c>
      <c r="I4212" t="str" cm="1">
        <f t="array" ref="I4212">_xlfn.XLOOKUP(FACT_IMPORTS[[#This Row],[country_name]],DIM_COUNTRY[[#All],[Column2]],DIM_COUNTRY[[#All],[Column3]],,,)</f>
        <v>China</v>
      </c>
    </row>
    <row r="4213" spans="1:9" x14ac:dyDescent="0.4">
      <c r="A4213" t="s">
        <v>66</v>
      </c>
      <c r="B4213" s="1">
        <v>45748</v>
      </c>
      <c r="C4213">
        <v>854231</v>
      </c>
      <c r="D4213" t="s">
        <v>176</v>
      </c>
      <c r="E4213">
        <v>342920</v>
      </c>
      <c r="F4213">
        <v>93400</v>
      </c>
      <c r="G4213">
        <v>6250</v>
      </c>
      <c r="H4213">
        <f>_xlfn.XLOOKUP(FACT_IMPORTS[[#This Row],[hts_6]],DIM_PRODUCTS[hts_6],DIM_PRODUCTS[hts_4],,,)</f>
        <v>8542</v>
      </c>
      <c r="I4213" t="str" cm="1">
        <f t="array" ref="I4213">_xlfn.XLOOKUP(FACT_IMPORTS[[#This Row],[country_name]],DIM_COUNTRY[[#All],[Column2]],DIM_COUNTRY[[#All],[Column3]],,,)</f>
        <v>China</v>
      </c>
    </row>
    <row r="4214" spans="1:9" x14ac:dyDescent="0.4">
      <c r="A4214" t="s">
        <v>66</v>
      </c>
      <c r="B4214" s="1">
        <v>45748</v>
      </c>
      <c r="C4214">
        <v>854232</v>
      </c>
      <c r="D4214" t="s">
        <v>176</v>
      </c>
      <c r="E4214">
        <v>2114</v>
      </c>
      <c r="F4214">
        <v>469</v>
      </c>
      <c r="G4214">
        <v>33</v>
      </c>
      <c r="H4214">
        <f>_xlfn.XLOOKUP(FACT_IMPORTS[[#This Row],[hts_6]],DIM_PRODUCTS[hts_6],DIM_PRODUCTS[hts_4],,,)</f>
        <v>8542</v>
      </c>
      <c r="I4214" t="str" cm="1">
        <f t="array" ref="I4214">_xlfn.XLOOKUP(FACT_IMPORTS[[#This Row],[country_name]],DIM_COUNTRY[[#All],[Column2]],DIM_COUNTRY[[#All],[Column3]],,,)</f>
        <v>China</v>
      </c>
    </row>
    <row r="4215" spans="1:9" x14ac:dyDescent="0.4">
      <c r="A4215" t="s">
        <v>66</v>
      </c>
      <c r="B4215" s="1">
        <v>45748</v>
      </c>
      <c r="C4215">
        <v>854233</v>
      </c>
      <c r="D4215" t="s">
        <v>176</v>
      </c>
      <c r="E4215">
        <v>0</v>
      </c>
      <c r="F4215">
        <v>0</v>
      </c>
      <c r="G4215">
        <v>0</v>
      </c>
      <c r="H4215">
        <f>_xlfn.XLOOKUP(FACT_IMPORTS[[#This Row],[hts_6]],DIM_PRODUCTS[hts_6],DIM_PRODUCTS[hts_4],,,)</f>
        <v>8542</v>
      </c>
      <c r="I4215" t="str" cm="1">
        <f t="array" ref="I4215">_xlfn.XLOOKUP(FACT_IMPORTS[[#This Row],[country_name]],DIM_COUNTRY[[#All],[Column2]],DIM_COUNTRY[[#All],[Column3]],,,)</f>
        <v>China</v>
      </c>
    </row>
    <row r="4216" spans="1:9" x14ac:dyDescent="0.4">
      <c r="A4216" t="s">
        <v>66</v>
      </c>
      <c r="B4216" s="1">
        <v>45748</v>
      </c>
      <c r="C4216">
        <v>854239</v>
      </c>
      <c r="D4216" t="s">
        <v>176</v>
      </c>
      <c r="E4216">
        <v>125467</v>
      </c>
      <c r="F4216">
        <v>27200</v>
      </c>
      <c r="G4216">
        <v>5007</v>
      </c>
      <c r="H4216">
        <f>_xlfn.XLOOKUP(FACT_IMPORTS[[#This Row],[hts_6]],DIM_PRODUCTS[hts_6],DIM_PRODUCTS[hts_4],,,)</f>
        <v>8542</v>
      </c>
      <c r="I4216" t="str" cm="1">
        <f t="array" ref="I4216">_xlfn.XLOOKUP(FACT_IMPORTS[[#This Row],[country_name]],DIM_COUNTRY[[#All],[Column2]],DIM_COUNTRY[[#All],[Column3]],,,)</f>
        <v>China</v>
      </c>
    </row>
    <row r="4217" spans="1:9" x14ac:dyDescent="0.4">
      <c r="A4217" t="s">
        <v>66</v>
      </c>
      <c r="B4217" s="1">
        <v>45748</v>
      </c>
      <c r="C4217">
        <v>854290</v>
      </c>
      <c r="D4217" t="s">
        <v>176</v>
      </c>
      <c r="E4217">
        <v>5000</v>
      </c>
      <c r="F4217">
        <v>2</v>
      </c>
      <c r="G4217">
        <v>40</v>
      </c>
      <c r="H4217">
        <f>_xlfn.XLOOKUP(FACT_IMPORTS[[#This Row],[hts_6]],DIM_PRODUCTS[hts_6],DIM_PRODUCTS[hts_4],,,)</f>
        <v>8542</v>
      </c>
      <c r="I4217" t="str" cm="1">
        <f t="array" ref="I4217">_xlfn.XLOOKUP(FACT_IMPORTS[[#This Row],[country_name]],DIM_COUNTRY[[#All],[Column2]],DIM_COUNTRY[[#All],[Column3]],,,)</f>
        <v>China</v>
      </c>
    </row>
    <row r="4218" spans="1:9" x14ac:dyDescent="0.4">
      <c r="A4218" t="s">
        <v>66</v>
      </c>
      <c r="B4218" s="1">
        <v>45748</v>
      </c>
      <c r="C4218">
        <v>854430</v>
      </c>
      <c r="D4218" t="s">
        <v>176</v>
      </c>
      <c r="E4218">
        <v>499302</v>
      </c>
      <c r="F4218">
        <v>64639</v>
      </c>
      <c r="G4218">
        <v>2132</v>
      </c>
      <c r="H4218">
        <f>_xlfn.XLOOKUP(FACT_IMPORTS[[#This Row],[hts_6]],DIM_PRODUCTS[hts_6],DIM_PRODUCTS[hts_4],,,)</f>
        <v>8544</v>
      </c>
      <c r="I4218" t="str" cm="1">
        <f t="array" ref="I4218">_xlfn.XLOOKUP(FACT_IMPORTS[[#This Row],[country_name]],DIM_COUNTRY[[#All],[Column2]],DIM_COUNTRY[[#All],[Column3]],,,)</f>
        <v>China</v>
      </c>
    </row>
    <row r="4219" spans="1:9" x14ac:dyDescent="0.4">
      <c r="A4219" t="s">
        <v>66</v>
      </c>
      <c r="B4219" s="1">
        <v>45748</v>
      </c>
      <c r="C4219">
        <v>870790</v>
      </c>
      <c r="D4219" t="s">
        <v>176</v>
      </c>
      <c r="E4219">
        <v>0</v>
      </c>
      <c r="F4219">
        <v>0</v>
      </c>
      <c r="G4219">
        <v>0</v>
      </c>
      <c r="H4219">
        <f>_xlfn.XLOOKUP(FACT_IMPORTS[[#This Row],[hts_6]],DIM_PRODUCTS[hts_6],DIM_PRODUCTS[hts_4],,,)</f>
        <v>8707</v>
      </c>
      <c r="I4219" t="str" cm="1">
        <f t="array" ref="I4219">_xlfn.XLOOKUP(FACT_IMPORTS[[#This Row],[country_name]],DIM_COUNTRY[[#All],[Column2]],DIM_COUNTRY[[#All],[Column3]],,,)</f>
        <v>China</v>
      </c>
    </row>
    <row r="4220" spans="1:9" x14ac:dyDescent="0.4">
      <c r="A4220" t="s">
        <v>66</v>
      </c>
      <c r="B4220" s="1">
        <v>45748</v>
      </c>
      <c r="C4220">
        <v>870810</v>
      </c>
      <c r="D4220" t="s">
        <v>176</v>
      </c>
      <c r="E4220">
        <v>713926</v>
      </c>
      <c r="F4220">
        <v>40499</v>
      </c>
      <c r="G4220">
        <v>68559</v>
      </c>
      <c r="H4220">
        <f>_xlfn.XLOOKUP(FACT_IMPORTS[[#This Row],[hts_6]],DIM_PRODUCTS[hts_6],DIM_PRODUCTS[hts_4],,,)</f>
        <v>8708</v>
      </c>
      <c r="I4220" t="str" cm="1">
        <f t="array" ref="I4220">_xlfn.XLOOKUP(FACT_IMPORTS[[#This Row],[country_name]],DIM_COUNTRY[[#All],[Column2]],DIM_COUNTRY[[#All],[Column3]],,,)</f>
        <v>China</v>
      </c>
    </row>
    <row r="4221" spans="1:9" x14ac:dyDescent="0.4">
      <c r="A4221" t="s">
        <v>66</v>
      </c>
      <c r="B4221" s="1">
        <v>45748</v>
      </c>
      <c r="C4221">
        <v>870821</v>
      </c>
      <c r="D4221" t="s">
        <v>176</v>
      </c>
      <c r="E4221">
        <v>0</v>
      </c>
      <c r="F4221">
        <v>0</v>
      </c>
      <c r="G4221">
        <v>0</v>
      </c>
      <c r="H4221">
        <f>_xlfn.XLOOKUP(FACT_IMPORTS[[#This Row],[hts_6]],DIM_PRODUCTS[hts_6],DIM_PRODUCTS[hts_4],,,)</f>
        <v>8708</v>
      </c>
      <c r="I4221" t="str" cm="1">
        <f t="array" ref="I4221">_xlfn.XLOOKUP(FACT_IMPORTS[[#This Row],[country_name]],DIM_COUNTRY[[#All],[Column2]],DIM_COUNTRY[[#All],[Column3]],,,)</f>
        <v>China</v>
      </c>
    </row>
    <row r="4222" spans="1:9" x14ac:dyDescent="0.4">
      <c r="A4222" t="s">
        <v>66</v>
      </c>
      <c r="B4222" s="1">
        <v>45748</v>
      </c>
      <c r="C4222">
        <v>870822</v>
      </c>
      <c r="D4222" t="s">
        <v>176</v>
      </c>
      <c r="E4222">
        <v>845517</v>
      </c>
      <c r="F4222">
        <v>102696</v>
      </c>
      <c r="G4222">
        <v>73134</v>
      </c>
      <c r="H4222">
        <f>_xlfn.XLOOKUP(FACT_IMPORTS[[#This Row],[hts_6]],DIM_PRODUCTS[hts_6],DIM_PRODUCTS[hts_4],,,)</f>
        <v>8708</v>
      </c>
      <c r="I4222" t="str" cm="1">
        <f t="array" ref="I4222">_xlfn.XLOOKUP(FACT_IMPORTS[[#This Row],[country_name]],DIM_COUNTRY[[#All],[Column2]],DIM_COUNTRY[[#All],[Column3]],,,)</f>
        <v>China</v>
      </c>
    </row>
    <row r="4223" spans="1:9" x14ac:dyDescent="0.4">
      <c r="A4223" t="s">
        <v>66</v>
      </c>
      <c r="B4223" s="1">
        <v>45748</v>
      </c>
      <c r="C4223">
        <v>870829</v>
      </c>
      <c r="D4223" t="s">
        <v>176</v>
      </c>
      <c r="E4223">
        <v>15579418</v>
      </c>
      <c r="F4223">
        <v>2913981</v>
      </c>
      <c r="G4223">
        <v>697202</v>
      </c>
      <c r="H4223">
        <f>_xlfn.XLOOKUP(FACT_IMPORTS[[#This Row],[hts_6]],DIM_PRODUCTS[hts_6],DIM_PRODUCTS[hts_4],,,)</f>
        <v>8708</v>
      </c>
      <c r="I4223" t="str" cm="1">
        <f t="array" ref="I4223">_xlfn.XLOOKUP(FACT_IMPORTS[[#This Row],[country_name]],DIM_COUNTRY[[#All],[Column2]],DIM_COUNTRY[[#All],[Column3]],,,)</f>
        <v>China</v>
      </c>
    </row>
    <row r="4224" spans="1:9" x14ac:dyDescent="0.4">
      <c r="A4224" t="s">
        <v>66</v>
      </c>
      <c r="B4224" s="1">
        <v>45748</v>
      </c>
      <c r="C4224">
        <v>870830</v>
      </c>
      <c r="D4224" t="s">
        <v>176</v>
      </c>
      <c r="E4224">
        <v>5240968</v>
      </c>
      <c r="F4224">
        <v>351096</v>
      </c>
      <c r="G4224">
        <v>214381</v>
      </c>
      <c r="H4224">
        <f>_xlfn.XLOOKUP(FACT_IMPORTS[[#This Row],[hts_6]],DIM_PRODUCTS[hts_6],DIM_PRODUCTS[hts_4],,,)</f>
        <v>8708</v>
      </c>
      <c r="I4224" t="str" cm="1">
        <f t="array" ref="I4224">_xlfn.XLOOKUP(FACT_IMPORTS[[#This Row],[country_name]],DIM_COUNTRY[[#All],[Column2]],DIM_COUNTRY[[#All],[Column3]],,,)</f>
        <v>China</v>
      </c>
    </row>
    <row r="4225" spans="1:9" x14ac:dyDescent="0.4">
      <c r="A4225" t="s">
        <v>66</v>
      </c>
      <c r="B4225" s="1">
        <v>45748</v>
      </c>
      <c r="C4225">
        <v>870840</v>
      </c>
      <c r="D4225" t="s">
        <v>176</v>
      </c>
      <c r="E4225">
        <v>2339929</v>
      </c>
      <c r="F4225">
        <v>440122</v>
      </c>
      <c r="G4225">
        <v>72780</v>
      </c>
      <c r="H4225">
        <f>_xlfn.XLOOKUP(FACT_IMPORTS[[#This Row],[hts_6]],DIM_PRODUCTS[hts_6],DIM_PRODUCTS[hts_4],,,)</f>
        <v>8708</v>
      </c>
      <c r="I4225" t="str" cm="1">
        <f t="array" ref="I4225">_xlfn.XLOOKUP(FACT_IMPORTS[[#This Row],[country_name]],DIM_COUNTRY[[#All],[Column2]],DIM_COUNTRY[[#All],[Column3]],,,)</f>
        <v>China</v>
      </c>
    </row>
    <row r="4226" spans="1:9" x14ac:dyDescent="0.4">
      <c r="A4226" t="s">
        <v>66</v>
      </c>
      <c r="B4226" s="1">
        <v>45748</v>
      </c>
      <c r="C4226">
        <v>870850</v>
      </c>
      <c r="D4226" t="s">
        <v>176</v>
      </c>
      <c r="E4226">
        <v>3264204</v>
      </c>
      <c r="F4226">
        <v>931468</v>
      </c>
      <c r="G4226">
        <v>63399</v>
      </c>
      <c r="H4226">
        <f>_xlfn.XLOOKUP(FACT_IMPORTS[[#This Row],[hts_6]],DIM_PRODUCTS[hts_6],DIM_PRODUCTS[hts_4],,,)</f>
        <v>8708</v>
      </c>
      <c r="I4226" t="str" cm="1">
        <f t="array" ref="I4226">_xlfn.XLOOKUP(FACT_IMPORTS[[#This Row],[country_name]],DIM_COUNTRY[[#All],[Column2]],DIM_COUNTRY[[#All],[Column3]],,,)</f>
        <v>China</v>
      </c>
    </row>
    <row r="4227" spans="1:9" x14ac:dyDescent="0.4">
      <c r="A4227" t="s">
        <v>66</v>
      </c>
      <c r="B4227" s="1">
        <v>45748</v>
      </c>
      <c r="C4227">
        <v>870870</v>
      </c>
      <c r="D4227" t="s">
        <v>176</v>
      </c>
      <c r="E4227">
        <v>39136893</v>
      </c>
      <c r="F4227">
        <v>1861597</v>
      </c>
      <c r="G4227">
        <v>5466859</v>
      </c>
      <c r="H4227">
        <f>_xlfn.XLOOKUP(FACT_IMPORTS[[#This Row],[hts_6]],DIM_PRODUCTS[hts_6],DIM_PRODUCTS[hts_4],,,)</f>
        <v>8708</v>
      </c>
      <c r="I4227" t="str" cm="1">
        <f t="array" ref="I4227">_xlfn.XLOOKUP(FACT_IMPORTS[[#This Row],[country_name]],DIM_COUNTRY[[#All],[Column2]],DIM_COUNTRY[[#All],[Column3]],,,)</f>
        <v>China</v>
      </c>
    </row>
    <row r="4228" spans="1:9" x14ac:dyDescent="0.4">
      <c r="A4228" t="s">
        <v>66</v>
      </c>
      <c r="B4228" s="1">
        <v>45748</v>
      </c>
      <c r="C4228">
        <v>870880</v>
      </c>
      <c r="D4228" t="s">
        <v>176</v>
      </c>
      <c r="E4228">
        <v>7095209</v>
      </c>
      <c r="F4228">
        <v>1926736</v>
      </c>
      <c r="G4228">
        <v>121858</v>
      </c>
      <c r="H4228">
        <f>_xlfn.XLOOKUP(FACT_IMPORTS[[#This Row],[hts_6]],DIM_PRODUCTS[hts_6],DIM_PRODUCTS[hts_4],,,)</f>
        <v>8708</v>
      </c>
      <c r="I4228" t="str" cm="1">
        <f t="array" ref="I4228">_xlfn.XLOOKUP(FACT_IMPORTS[[#This Row],[country_name]],DIM_COUNTRY[[#All],[Column2]],DIM_COUNTRY[[#All],[Column3]],,,)</f>
        <v>China</v>
      </c>
    </row>
    <row r="4229" spans="1:9" x14ac:dyDescent="0.4">
      <c r="A4229" t="s">
        <v>66</v>
      </c>
      <c r="B4229" s="1">
        <v>45748</v>
      </c>
      <c r="C4229">
        <v>870891</v>
      </c>
      <c r="D4229" t="s">
        <v>176</v>
      </c>
      <c r="E4229">
        <v>32627</v>
      </c>
      <c r="F4229">
        <v>10459</v>
      </c>
      <c r="G4229">
        <v>2271</v>
      </c>
      <c r="H4229">
        <f>_xlfn.XLOOKUP(FACT_IMPORTS[[#This Row],[hts_6]],DIM_PRODUCTS[hts_6],DIM_PRODUCTS[hts_4],,,)</f>
        <v>8708</v>
      </c>
      <c r="I4229" t="str" cm="1">
        <f t="array" ref="I4229">_xlfn.XLOOKUP(FACT_IMPORTS[[#This Row],[country_name]],DIM_COUNTRY[[#All],[Column2]],DIM_COUNTRY[[#All],[Column3]],,,)</f>
        <v>China</v>
      </c>
    </row>
    <row r="4230" spans="1:9" x14ac:dyDescent="0.4">
      <c r="A4230" t="s">
        <v>66</v>
      </c>
      <c r="B4230" s="1">
        <v>45748</v>
      </c>
      <c r="C4230">
        <v>870892</v>
      </c>
      <c r="D4230" t="s">
        <v>176</v>
      </c>
      <c r="E4230">
        <v>6198180</v>
      </c>
      <c r="F4230">
        <v>1301857</v>
      </c>
      <c r="G4230">
        <v>501581</v>
      </c>
      <c r="H4230">
        <f>_xlfn.XLOOKUP(FACT_IMPORTS[[#This Row],[hts_6]],DIM_PRODUCTS[hts_6],DIM_PRODUCTS[hts_4],,,)</f>
        <v>8708</v>
      </c>
      <c r="I4230" t="str" cm="1">
        <f t="array" ref="I4230">_xlfn.XLOOKUP(FACT_IMPORTS[[#This Row],[country_name]],DIM_COUNTRY[[#All],[Column2]],DIM_COUNTRY[[#All],[Column3]],,,)</f>
        <v>China</v>
      </c>
    </row>
    <row r="4231" spans="1:9" x14ac:dyDescent="0.4">
      <c r="A4231" t="s">
        <v>66</v>
      </c>
      <c r="B4231" s="1">
        <v>45748</v>
      </c>
      <c r="C4231">
        <v>870893</v>
      </c>
      <c r="D4231" t="s">
        <v>176</v>
      </c>
      <c r="E4231">
        <v>201873</v>
      </c>
      <c r="F4231">
        <v>221486</v>
      </c>
      <c r="G4231">
        <v>21021</v>
      </c>
      <c r="H4231">
        <f>_xlfn.XLOOKUP(FACT_IMPORTS[[#This Row],[hts_6]],DIM_PRODUCTS[hts_6],DIM_PRODUCTS[hts_4],,,)</f>
        <v>8708</v>
      </c>
      <c r="I4231" t="str" cm="1">
        <f t="array" ref="I4231">_xlfn.XLOOKUP(FACT_IMPORTS[[#This Row],[country_name]],DIM_COUNTRY[[#All],[Column2]],DIM_COUNTRY[[#All],[Column3]],,,)</f>
        <v>China</v>
      </c>
    </row>
    <row r="4232" spans="1:9" x14ac:dyDescent="0.4">
      <c r="A4232" t="s">
        <v>66</v>
      </c>
      <c r="B4232" s="1">
        <v>45748</v>
      </c>
      <c r="C4232">
        <v>870894</v>
      </c>
      <c r="D4232" t="s">
        <v>176</v>
      </c>
      <c r="E4232">
        <v>6183230</v>
      </c>
      <c r="F4232">
        <v>277572</v>
      </c>
      <c r="G4232">
        <v>1097680</v>
      </c>
      <c r="H4232">
        <f>_xlfn.XLOOKUP(FACT_IMPORTS[[#This Row],[hts_6]],DIM_PRODUCTS[hts_6],DIM_PRODUCTS[hts_4],,,)</f>
        <v>8708</v>
      </c>
      <c r="I4232" t="str" cm="1">
        <f t="array" ref="I4232">_xlfn.XLOOKUP(FACT_IMPORTS[[#This Row],[country_name]],DIM_COUNTRY[[#All],[Column2]],DIM_COUNTRY[[#All],[Column3]],,,)</f>
        <v>China</v>
      </c>
    </row>
    <row r="4233" spans="1:9" x14ac:dyDescent="0.4">
      <c r="A4233" t="s">
        <v>66</v>
      </c>
      <c r="B4233" s="1">
        <v>45748</v>
      </c>
      <c r="C4233">
        <v>870895</v>
      </c>
      <c r="D4233" t="s">
        <v>176</v>
      </c>
      <c r="E4233">
        <v>0</v>
      </c>
      <c r="F4233">
        <v>0</v>
      </c>
      <c r="G4233">
        <v>0</v>
      </c>
      <c r="H4233">
        <f>_xlfn.XLOOKUP(FACT_IMPORTS[[#This Row],[hts_6]],DIM_PRODUCTS[hts_6],DIM_PRODUCTS[hts_4],,,)</f>
        <v>8708</v>
      </c>
      <c r="I4233" t="str" cm="1">
        <f t="array" ref="I4233">_xlfn.XLOOKUP(FACT_IMPORTS[[#This Row],[country_name]],DIM_COUNTRY[[#All],[Column2]],DIM_COUNTRY[[#All],[Column3]],,,)</f>
        <v>China</v>
      </c>
    </row>
    <row r="4234" spans="1:9" x14ac:dyDescent="0.4">
      <c r="A4234" t="s">
        <v>66</v>
      </c>
      <c r="B4234" s="1">
        <v>45748</v>
      </c>
      <c r="C4234">
        <v>870899</v>
      </c>
      <c r="D4234" t="s">
        <v>176</v>
      </c>
      <c r="E4234">
        <v>11068266</v>
      </c>
      <c r="F4234">
        <v>2940060</v>
      </c>
      <c r="G4234">
        <v>827241</v>
      </c>
      <c r="H4234">
        <f>_xlfn.XLOOKUP(FACT_IMPORTS[[#This Row],[hts_6]],DIM_PRODUCTS[hts_6],DIM_PRODUCTS[hts_4],,,)</f>
        <v>8708</v>
      </c>
      <c r="I4234" t="str" cm="1">
        <f t="array" ref="I4234">_xlfn.XLOOKUP(FACT_IMPORTS[[#This Row],[country_name]],DIM_COUNTRY[[#All],[Column2]],DIM_COUNTRY[[#All],[Column3]],,,)</f>
        <v>China</v>
      </c>
    </row>
    <row r="4235" spans="1:9" x14ac:dyDescent="0.4">
      <c r="A4235" t="s">
        <v>66</v>
      </c>
      <c r="B4235" s="1">
        <v>45748</v>
      </c>
      <c r="C4235">
        <v>940120</v>
      </c>
      <c r="D4235" t="s">
        <v>176</v>
      </c>
      <c r="E4235">
        <v>68738</v>
      </c>
      <c r="F4235">
        <v>13522</v>
      </c>
      <c r="G4235">
        <v>9272</v>
      </c>
      <c r="H4235">
        <f>_xlfn.XLOOKUP(FACT_IMPORTS[[#This Row],[hts_6]],DIM_PRODUCTS[hts_6],DIM_PRODUCTS[hts_4],,,)</f>
        <v>9401</v>
      </c>
      <c r="I4235" t="str" cm="1">
        <f t="array" ref="I4235">_xlfn.XLOOKUP(FACT_IMPORTS[[#This Row],[country_name]],DIM_COUNTRY[[#All],[Column2]],DIM_COUNTRY[[#All],[Column3]],,,)</f>
        <v>China</v>
      </c>
    </row>
    <row r="4236" spans="1:9" x14ac:dyDescent="0.4">
      <c r="A4236" t="s">
        <v>66</v>
      </c>
      <c r="B4236" s="1">
        <v>45778</v>
      </c>
      <c r="C4236">
        <v>392630</v>
      </c>
      <c r="D4236" t="s">
        <v>176</v>
      </c>
      <c r="E4236">
        <v>1786542</v>
      </c>
      <c r="F4236">
        <v>87533</v>
      </c>
      <c r="G4236">
        <v>79659</v>
      </c>
      <c r="H4236">
        <f>_xlfn.XLOOKUP(FACT_IMPORTS[[#This Row],[hts_6]],DIM_PRODUCTS[hts_6],DIM_PRODUCTS[hts_4],,,)</f>
        <v>3926</v>
      </c>
      <c r="I4236" t="str" cm="1">
        <f t="array" ref="I4236">_xlfn.XLOOKUP(FACT_IMPORTS[[#This Row],[country_name]],DIM_COUNTRY[[#All],[Column2]],DIM_COUNTRY[[#All],[Column3]],,,)</f>
        <v>China</v>
      </c>
    </row>
    <row r="4237" spans="1:9" x14ac:dyDescent="0.4">
      <c r="A4237" t="s">
        <v>66</v>
      </c>
      <c r="B4237" s="1">
        <v>45778</v>
      </c>
      <c r="C4237">
        <v>401110</v>
      </c>
      <c r="D4237" t="s">
        <v>176</v>
      </c>
      <c r="E4237">
        <v>16500</v>
      </c>
      <c r="F4237">
        <v>275</v>
      </c>
      <c r="G4237">
        <v>98</v>
      </c>
      <c r="H4237">
        <f>_xlfn.XLOOKUP(FACT_IMPORTS[[#This Row],[hts_6]],DIM_PRODUCTS[hts_6],DIM_PRODUCTS[hts_4],,,)</f>
        <v>4011</v>
      </c>
      <c r="I4237" t="str" cm="1">
        <f t="array" ref="I4237">_xlfn.XLOOKUP(FACT_IMPORTS[[#This Row],[country_name]],DIM_COUNTRY[[#All],[Column2]],DIM_COUNTRY[[#All],[Column3]],,,)</f>
        <v>China</v>
      </c>
    </row>
    <row r="4238" spans="1:9" x14ac:dyDescent="0.4">
      <c r="A4238" t="s">
        <v>66</v>
      </c>
      <c r="B4238" s="1">
        <v>45778</v>
      </c>
      <c r="C4238">
        <v>401120</v>
      </c>
      <c r="D4238" t="s">
        <v>176</v>
      </c>
      <c r="E4238">
        <v>89429</v>
      </c>
      <c r="F4238">
        <v>651</v>
      </c>
      <c r="G4238">
        <v>9631</v>
      </c>
      <c r="H4238">
        <f>_xlfn.XLOOKUP(FACT_IMPORTS[[#This Row],[hts_6]],DIM_PRODUCTS[hts_6],DIM_PRODUCTS[hts_4],,,)</f>
        <v>4011</v>
      </c>
      <c r="I4238" t="str" cm="1">
        <f t="array" ref="I4238">_xlfn.XLOOKUP(FACT_IMPORTS[[#This Row],[country_name]],DIM_COUNTRY[[#All],[Column2]],DIM_COUNTRY[[#All],[Column3]],,,)</f>
        <v>China</v>
      </c>
    </row>
    <row r="4239" spans="1:9" x14ac:dyDescent="0.4">
      <c r="A4239" t="s">
        <v>66</v>
      </c>
      <c r="B4239" s="1">
        <v>45778</v>
      </c>
      <c r="C4239">
        <v>401140</v>
      </c>
      <c r="D4239" t="s">
        <v>176</v>
      </c>
      <c r="E4239">
        <v>51293</v>
      </c>
      <c r="F4239">
        <v>899</v>
      </c>
      <c r="G4239">
        <v>75</v>
      </c>
      <c r="H4239">
        <f>_xlfn.XLOOKUP(FACT_IMPORTS[[#This Row],[hts_6]],DIM_PRODUCTS[hts_6],DIM_PRODUCTS[hts_4],,,)</f>
        <v>4011</v>
      </c>
      <c r="I4239" t="str" cm="1">
        <f t="array" ref="I4239">_xlfn.XLOOKUP(FACT_IMPORTS[[#This Row],[country_name]],DIM_COUNTRY[[#All],[Column2]],DIM_COUNTRY[[#All],[Column3]],,,)</f>
        <v>China</v>
      </c>
    </row>
    <row r="4240" spans="1:9" x14ac:dyDescent="0.4">
      <c r="A4240" t="s">
        <v>66</v>
      </c>
      <c r="B4240" s="1">
        <v>45778</v>
      </c>
      <c r="C4240">
        <v>401190</v>
      </c>
      <c r="D4240" t="s">
        <v>176</v>
      </c>
      <c r="E4240">
        <v>69982</v>
      </c>
      <c r="F4240">
        <v>1020</v>
      </c>
      <c r="G4240">
        <v>2447</v>
      </c>
      <c r="H4240">
        <f>_xlfn.XLOOKUP(FACT_IMPORTS[[#This Row],[hts_6]],DIM_PRODUCTS[hts_6],DIM_PRODUCTS[hts_4],,,)</f>
        <v>4011</v>
      </c>
      <c r="I4240" t="str" cm="1">
        <f t="array" ref="I4240">_xlfn.XLOOKUP(FACT_IMPORTS[[#This Row],[country_name]],DIM_COUNTRY[[#All],[Column2]],DIM_COUNTRY[[#All],[Column3]],,,)</f>
        <v>China</v>
      </c>
    </row>
    <row r="4241" spans="1:9" x14ac:dyDescent="0.4">
      <c r="A4241" t="s">
        <v>66</v>
      </c>
      <c r="B4241" s="1">
        <v>45778</v>
      </c>
      <c r="C4241">
        <v>700711</v>
      </c>
      <c r="D4241" t="s">
        <v>176</v>
      </c>
      <c r="E4241">
        <v>405258</v>
      </c>
      <c r="F4241">
        <v>33718</v>
      </c>
      <c r="G4241">
        <v>25329</v>
      </c>
      <c r="H4241">
        <f>_xlfn.XLOOKUP(FACT_IMPORTS[[#This Row],[hts_6]],DIM_PRODUCTS[hts_6],DIM_PRODUCTS[hts_4],,,)</f>
        <v>7007</v>
      </c>
      <c r="I4241" t="str" cm="1">
        <f t="array" ref="I4241">_xlfn.XLOOKUP(FACT_IMPORTS[[#This Row],[country_name]],DIM_COUNTRY[[#All],[Column2]],DIM_COUNTRY[[#All],[Column3]],,,)</f>
        <v>China</v>
      </c>
    </row>
    <row r="4242" spans="1:9" x14ac:dyDescent="0.4">
      <c r="A4242" t="s">
        <v>66</v>
      </c>
      <c r="B4242" s="1">
        <v>45778</v>
      </c>
      <c r="C4242">
        <v>700721</v>
      </c>
      <c r="D4242" t="s">
        <v>176</v>
      </c>
      <c r="E4242">
        <v>2379</v>
      </c>
      <c r="F4242">
        <v>75</v>
      </c>
      <c r="G4242">
        <v>50</v>
      </c>
      <c r="H4242">
        <f>_xlfn.XLOOKUP(FACT_IMPORTS[[#This Row],[hts_6]],DIM_PRODUCTS[hts_6],DIM_PRODUCTS[hts_4],,,)</f>
        <v>7007</v>
      </c>
      <c r="I4242" t="str" cm="1">
        <f t="array" ref="I4242">_xlfn.XLOOKUP(FACT_IMPORTS[[#This Row],[country_name]],DIM_COUNTRY[[#All],[Column2]],DIM_COUNTRY[[#All],[Column3]],,,)</f>
        <v>China</v>
      </c>
    </row>
    <row r="4243" spans="1:9" x14ac:dyDescent="0.4">
      <c r="A4243" t="s">
        <v>66</v>
      </c>
      <c r="B4243" s="1">
        <v>45778</v>
      </c>
      <c r="C4243">
        <v>700910</v>
      </c>
      <c r="D4243" t="s">
        <v>176</v>
      </c>
      <c r="E4243">
        <v>340245</v>
      </c>
      <c r="F4243">
        <v>400040</v>
      </c>
      <c r="G4243">
        <v>42844</v>
      </c>
      <c r="H4243">
        <f>_xlfn.XLOOKUP(FACT_IMPORTS[[#This Row],[hts_6]],DIM_PRODUCTS[hts_6],DIM_PRODUCTS[hts_4],,,)</f>
        <v>7009</v>
      </c>
      <c r="I4243" t="str" cm="1">
        <f t="array" ref="I4243">_xlfn.XLOOKUP(FACT_IMPORTS[[#This Row],[country_name]],DIM_COUNTRY[[#All],[Column2]],DIM_COUNTRY[[#All],[Column3]],,,)</f>
        <v>China</v>
      </c>
    </row>
    <row r="4244" spans="1:9" x14ac:dyDescent="0.4">
      <c r="A4244" t="s">
        <v>66</v>
      </c>
      <c r="B4244" s="1">
        <v>45778</v>
      </c>
      <c r="C4244">
        <v>732010</v>
      </c>
      <c r="D4244" t="s">
        <v>176</v>
      </c>
      <c r="E4244">
        <v>0</v>
      </c>
      <c r="F4244">
        <v>0</v>
      </c>
      <c r="G4244">
        <v>0</v>
      </c>
      <c r="H4244">
        <f>_xlfn.XLOOKUP(FACT_IMPORTS[[#This Row],[hts_6]],DIM_PRODUCTS[hts_6],DIM_PRODUCTS[hts_4],,,)</f>
        <v>7320</v>
      </c>
      <c r="I4244" t="str" cm="1">
        <f t="array" ref="I4244">_xlfn.XLOOKUP(FACT_IMPORTS[[#This Row],[country_name]],DIM_COUNTRY[[#All],[Column2]],DIM_COUNTRY[[#All],[Column3]],,,)</f>
        <v>China</v>
      </c>
    </row>
    <row r="4245" spans="1:9" x14ac:dyDescent="0.4">
      <c r="A4245" t="s">
        <v>66</v>
      </c>
      <c r="B4245" s="1">
        <v>45778</v>
      </c>
      <c r="C4245">
        <v>830230</v>
      </c>
      <c r="D4245" t="s">
        <v>176</v>
      </c>
      <c r="E4245">
        <v>3178340</v>
      </c>
      <c r="F4245">
        <v>993649</v>
      </c>
      <c r="G4245">
        <v>174143</v>
      </c>
      <c r="H4245">
        <f>_xlfn.XLOOKUP(FACT_IMPORTS[[#This Row],[hts_6]],DIM_PRODUCTS[hts_6],DIM_PRODUCTS[hts_4],,,)</f>
        <v>8302</v>
      </c>
      <c r="I4245" t="str" cm="1">
        <f t="array" ref="I4245">_xlfn.XLOOKUP(FACT_IMPORTS[[#This Row],[country_name]],DIM_COUNTRY[[#All],[Column2]],DIM_COUNTRY[[#All],[Column3]],,,)</f>
        <v>China</v>
      </c>
    </row>
    <row r="4246" spans="1:9" x14ac:dyDescent="0.4">
      <c r="A4246" t="s">
        <v>66</v>
      </c>
      <c r="B4246" s="1">
        <v>45778</v>
      </c>
      <c r="C4246">
        <v>840733</v>
      </c>
      <c r="D4246" t="s">
        <v>176</v>
      </c>
      <c r="E4246">
        <v>0</v>
      </c>
      <c r="F4246">
        <v>0</v>
      </c>
      <c r="G4246">
        <v>0</v>
      </c>
      <c r="H4246">
        <f>_xlfn.XLOOKUP(FACT_IMPORTS[[#This Row],[hts_6]],DIM_PRODUCTS[hts_6],DIM_PRODUCTS[hts_4],,,)</f>
        <v>8407</v>
      </c>
      <c r="I4246" t="str" cm="1">
        <f t="array" ref="I4246">_xlfn.XLOOKUP(FACT_IMPORTS[[#This Row],[country_name]],DIM_COUNTRY[[#All],[Column2]],DIM_COUNTRY[[#All],[Column3]],,,)</f>
        <v>China</v>
      </c>
    </row>
    <row r="4247" spans="1:9" x14ac:dyDescent="0.4">
      <c r="A4247" t="s">
        <v>66</v>
      </c>
      <c r="B4247" s="1">
        <v>45778</v>
      </c>
      <c r="C4247">
        <v>840734</v>
      </c>
      <c r="D4247" t="s">
        <v>176</v>
      </c>
      <c r="E4247">
        <v>4378571</v>
      </c>
      <c r="F4247">
        <v>3072</v>
      </c>
      <c r="G4247">
        <v>243118</v>
      </c>
      <c r="H4247">
        <f>_xlfn.XLOOKUP(FACT_IMPORTS[[#This Row],[hts_6]],DIM_PRODUCTS[hts_6],DIM_PRODUCTS[hts_4],,,)</f>
        <v>8407</v>
      </c>
      <c r="I4247" t="str" cm="1">
        <f t="array" ref="I4247">_xlfn.XLOOKUP(FACT_IMPORTS[[#This Row],[country_name]],DIM_COUNTRY[[#All],[Column2]],DIM_COUNTRY[[#All],[Column3]],,,)</f>
        <v>China</v>
      </c>
    </row>
    <row r="4248" spans="1:9" x14ac:dyDescent="0.4">
      <c r="A4248" t="s">
        <v>66</v>
      </c>
      <c r="B4248" s="1">
        <v>45778</v>
      </c>
      <c r="C4248">
        <v>840790</v>
      </c>
      <c r="D4248" t="s">
        <v>176</v>
      </c>
      <c r="E4248">
        <v>73222</v>
      </c>
      <c r="F4248">
        <v>1163</v>
      </c>
      <c r="G4248">
        <v>2222</v>
      </c>
      <c r="H4248">
        <f>_xlfn.XLOOKUP(FACT_IMPORTS[[#This Row],[hts_6]],DIM_PRODUCTS[hts_6],DIM_PRODUCTS[hts_4],,,)</f>
        <v>8407</v>
      </c>
      <c r="I4248" t="str" cm="1">
        <f t="array" ref="I4248">_xlfn.XLOOKUP(FACT_IMPORTS[[#This Row],[country_name]],DIM_COUNTRY[[#All],[Column2]],DIM_COUNTRY[[#All],[Column3]],,,)</f>
        <v>China</v>
      </c>
    </row>
    <row r="4249" spans="1:9" x14ac:dyDescent="0.4">
      <c r="A4249" t="s">
        <v>66</v>
      </c>
      <c r="B4249" s="1">
        <v>45778</v>
      </c>
      <c r="C4249">
        <v>840820</v>
      </c>
      <c r="D4249" t="s">
        <v>176</v>
      </c>
      <c r="E4249">
        <v>0</v>
      </c>
      <c r="F4249">
        <v>0</v>
      </c>
      <c r="G4249">
        <v>0</v>
      </c>
      <c r="H4249">
        <f>_xlfn.XLOOKUP(FACT_IMPORTS[[#This Row],[hts_6]],DIM_PRODUCTS[hts_6],DIM_PRODUCTS[hts_4],,,)</f>
        <v>8408</v>
      </c>
      <c r="I4249" t="str" cm="1">
        <f t="array" ref="I4249">_xlfn.XLOOKUP(FACT_IMPORTS[[#This Row],[country_name]],DIM_COUNTRY[[#All],[Column2]],DIM_COUNTRY[[#All],[Column3]],,,)</f>
        <v>China</v>
      </c>
    </row>
    <row r="4250" spans="1:9" x14ac:dyDescent="0.4">
      <c r="A4250" t="s">
        <v>66</v>
      </c>
      <c r="B4250" s="1">
        <v>45778</v>
      </c>
      <c r="C4250">
        <v>840890</v>
      </c>
      <c r="D4250" t="s">
        <v>176</v>
      </c>
      <c r="E4250">
        <v>0</v>
      </c>
      <c r="F4250">
        <v>0</v>
      </c>
      <c r="G4250">
        <v>0</v>
      </c>
      <c r="H4250">
        <f>_xlfn.XLOOKUP(FACT_IMPORTS[[#This Row],[hts_6]],DIM_PRODUCTS[hts_6],DIM_PRODUCTS[hts_4],,,)</f>
        <v>8408</v>
      </c>
      <c r="I4250" t="str" cm="1">
        <f t="array" ref="I4250">_xlfn.XLOOKUP(FACT_IMPORTS[[#This Row],[country_name]],DIM_COUNTRY[[#All],[Column2]],DIM_COUNTRY[[#All],[Column3]],,,)</f>
        <v>China</v>
      </c>
    </row>
    <row r="4251" spans="1:9" x14ac:dyDescent="0.4">
      <c r="A4251" t="s">
        <v>66</v>
      </c>
      <c r="B4251" s="1">
        <v>45778</v>
      </c>
      <c r="C4251">
        <v>840991</v>
      </c>
      <c r="D4251" t="s">
        <v>176</v>
      </c>
      <c r="E4251">
        <v>6872451</v>
      </c>
      <c r="F4251">
        <v>1462295</v>
      </c>
      <c r="G4251">
        <v>509942</v>
      </c>
      <c r="H4251">
        <f>_xlfn.XLOOKUP(FACT_IMPORTS[[#This Row],[hts_6]],DIM_PRODUCTS[hts_6],DIM_PRODUCTS[hts_4],,,)</f>
        <v>8409</v>
      </c>
      <c r="I4251" t="str" cm="1">
        <f t="array" ref="I4251">_xlfn.XLOOKUP(FACT_IMPORTS[[#This Row],[country_name]],DIM_COUNTRY[[#All],[Column2]],DIM_COUNTRY[[#All],[Column3]],,,)</f>
        <v>China</v>
      </c>
    </row>
    <row r="4252" spans="1:9" x14ac:dyDescent="0.4">
      <c r="A4252" t="s">
        <v>66</v>
      </c>
      <c r="B4252" s="1">
        <v>45778</v>
      </c>
      <c r="C4252">
        <v>840999</v>
      </c>
      <c r="D4252" t="s">
        <v>176</v>
      </c>
      <c r="E4252">
        <v>4356227</v>
      </c>
      <c r="F4252">
        <v>838365</v>
      </c>
      <c r="G4252">
        <v>191800</v>
      </c>
      <c r="H4252">
        <f>_xlfn.XLOOKUP(FACT_IMPORTS[[#This Row],[hts_6]],DIM_PRODUCTS[hts_6],DIM_PRODUCTS[hts_4],,,)</f>
        <v>8409</v>
      </c>
      <c r="I4252" t="str" cm="1">
        <f t="array" ref="I4252">_xlfn.XLOOKUP(FACT_IMPORTS[[#This Row],[country_name]],DIM_COUNTRY[[#All],[Column2]],DIM_COUNTRY[[#All],[Column3]],,,)</f>
        <v>China</v>
      </c>
    </row>
    <row r="4253" spans="1:9" x14ac:dyDescent="0.4">
      <c r="A4253" t="s">
        <v>66</v>
      </c>
      <c r="B4253" s="1">
        <v>45778</v>
      </c>
      <c r="C4253">
        <v>841330</v>
      </c>
      <c r="D4253" t="s">
        <v>176</v>
      </c>
      <c r="E4253">
        <v>426206</v>
      </c>
      <c r="F4253">
        <v>18511</v>
      </c>
      <c r="G4253">
        <v>21177</v>
      </c>
      <c r="H4253">
        <f>_xlfn.XLOOKUP(FACT_IMPORTS[[#This Row],[hts_6]],DIM_PRODUCTS[hts_6],DIM_PRODUCTS[hts_4],,,)</f>
        <v>8413</v>
      </c>
      <c r="I4253" t="str" cm="1">
        <f t="array" ref="I4253">_xlfn.XLOOKUP(FACT_IMPORTS[[#This Row],[country_name]],DIM_COUNTRY[[#All],[Column2]],DIM_COUNTRY[[#All],[Column3]],,,)</f>
        <v>China</v>
      </c>
    </row>
    <row r="4254" spans="1:9" x14ac:dyDescent="0.4">
      <c r="A4254" t="s">
        <v>66</v>
      </c>
      <c r="B4254" s="1">
        <v>45778</v>
      </c>
      <c r="C4254">
        <v>841520</v>
      </c>
      <c r="D4254" t="s">
        <v>176</v>
      </c>
      <c r="E4254">
        <v>49419</v>
      </c>
      <c r="F4254">
        <v>88670</v>
      </c>
      <c r="G4254">
        <v>2595</v>
      </c>
      <c r="H4254">
        <f>_xlfn.XLOOKUP(FACT_IMPORTS[[#This Row],[hts_6]],DIM_PRODUCTS[hts_6],DIM_PRODUCTS[hts_4],,,)</f>
        <v>8415</v>
      </c>
      <c r="I4254" t="str" cm="1">
        <f t="array" ref="I4254">_xlfn.XLOOKUP(FACT_IMPORTS[[#This Row],[country_name]],DIM_COUNTRY[[#All],[Column2]],DIM_COUNTRY[[#All],[Column3]],,,)</f>
        <v>China</v>
      </c>
    </row>
    <row r="4255" spans="1:9" x14ac:dyDescent="0.4">
      <c r="A4255" t="s">
        <v>66</v>
      </c>
      <c r="B4255" s="1">
        <v>45778</v>
      </c>
      <c r="C4255">
        <v>842132</v>
      </c>
      <c r="D4255" t="s">
        <v>176</v>
      </c>
      <c r="E4255">
        <v>9857</v>
      </c>
      <c r="F4255">
        <v>25</v>
      </c>
      <c r="G4255">
        <v>250</v>
      </c>
      <c r="H4255">
        <f>_xlfn.XLOOKUP(FACT_IMPORTS[[#This Row],[hts_6]],DIM_PRODUCTS[hts_6],DIM_PRODUCTS[hts_4],,,)</f>
        <v>8421</v>
      </c>
      <c r="I4255" t="str" cm="1">
        <f t="array" ref="I4255">_xlfn.XLOOKUP(FACT_IMPORTS[[#This Row],[country_name]],DIM_COUNTRY[[#All],[Column2]],DIM_COUNTRY[[#All],[Column3]],,,)</f>
        <v>China</v>
      </c>
    </row>
    <row r="4256" spans="1:9" x14ac:dyDescent="0.4">
      <c r="A4256" t="s">
        <v>66</v>
      </c>
      <c r="B4256" s="1">
        <v>45778</v>
      </c>
      <c r="C4256">
        <v>848210</v>
      </c>
      <c r="D4256" t="s">
        <v>176</v>
      </c>
      <c r="E4256">
        <v>462464</v>
      </c>
      <c r="F4256">
        <v>367087</v>
      </c>
      <c r="G4256">
        <v>20691</v>
      </c>
      <c r="H4256">
        <f>_xlfn.XLOOKUP(FACT_IMPORTS[[#This Row],[hts_6]],DIM_PRODUCTS[hts_6],DIM_PRODUCTS[hts_4],,,)</f>
        <v>8482</v>
      </c>
      <c r="I4256" t="str" cm="1">
        <f t="array" ref="I4256">_xlfn.XLOOKUP(FACT_IMPORTS[[#This Row],[country_name]],DIM_COUNTRY[[#All],[Column2]],DIM_COUNTRY[[#All],[Column3]],,,)</f>
        <v>China</v>
      </c>
    </row>
    <row r="4257" spans="1:9" x14ac:dyDescent="0.4">
      <c r="A4257" t="s">
        <v>66</v>
      </c>
      <c r="B4257" s="1">
        <v>45778</v>
      </c>
      <c r="C4257">
        <v>848220</v>
      </c>
      <c r="D4257" t="s">
        <v>176</v>
      </c>
      <c r="E4257">
        <v>0</v>
      </c>
      <c r="F4257">
        <v>0</v>
      </c>
      <c r="G4257">
        <v>0</v>
      </c>
      <c r="H4257">
        <f>_xlfn.XLOOKUP(FACT_IMPORTS[[#This Row],[hts_6]],DIM_PRODUCTS[hts_6],DIM_PRODUCTS[hts_4],,,)</f>
        <v>8482</v>
      </c>
      <c r="I4257" t="str" cm="1">
        <f t="array" ref="I4257">_xlfn.XLOOKUP(FACT_IMPORTS[[#This Row],[country_name]],DIM_COUNTRY[[#All],[Column2]],DIM_COUNTRY[[#All],[Column3]],,,)</f>
        <v>China</v>
      </c>
    </row>
    <row r="4258" spans="1:9" x14ac:dyDescent="0.4">
      <c r="A4258" t="s">
        <v>66</v>
      </c>
      <c r="B4258" s="1">
        <v>45778</v>
      </c>
      <c r="C4258">
        <v>848310</v>
      </c>
      <c r="D4258" t="s">
        <v>176</v>
      </c>
      <c r="E4258">
        <v>1614352</v>
      </c>
      <c r="F4258">
        <v>335669</v>
      </c>
      <c r="G4258">
        <v>127040</v>
      </c>
      <c r="H4258">
        <f>_xlfn.XLOOKUP(FACT_IMPORTS[[#This Row],[hts_6]],DIM_PRODUCTS[hts_6],DIM_PRODUCTS[hts_4],,,)</f>
        <v>8483</v>
      </c>
      <c r="I4258" t="str" cm="1">
        <f t="array" ref="I4258">_xlfn.XLOOKUP(FACT_IMPORTS[[#This Row],[country_name]],DIM_COUNTRY[[#All],[Column2]],DIM_COUNTRY[[#All],[Column3]],,,)</f>
        <v>China</v>
      </c>
    </row>
    <row r="4259" spans="1:9" x14ac:dyDescent="0.4">
      <c r="A4259" t="s">
        <v>66</v>
      </c>
      <c r="B4259" s="1">
        <v>45778</v>
      </c>
      <c r="C4259">
        <v>850131</v>
      </c>
      <c r="D4259" t="s">
        <v>176</v>
      </c>
      <c r="E4259">
        <v>2185261</v>
      </c>
      <c r="F4259">
        <v>277000</v>
      </c>
      <c r="G4259">
        <v>97207</v>
      </c>
      <c r="H4259">
        <f>_xlfn.XLOOKUP(FACT_IMPORTS[[#This Row],[hts_6]],DIM_PRODUCTS[hts_6],DIM_PRODUCTS[hts_4],,,)</f>
        <v>8501</v>
      </c>
      <c r="I4259" t="str" cm="1">
        <f t="array" ref="I4259">_xlfn.XLOOKUP(FACT_IMPORTS[[#This Row],[country_name]],DIM_COUNTRY[[#All],[Column2]],DIM_COUNTRY[[#All],[Column3]],,,)</f>
        <v>China</v>
      </c>
    </row>
    <row r="4260" spans="1:9" x14ac:dyDescent="0.4">
      <c r="A4260" t="s">
        <v>66</v>
      </c>
      <c r="B4260" s="1">
        <v>45778</v>
      </c>
      <c r="C4260">
        <v>850132</v>
      </c>
      <c r="D4260" t="s">
        <v>176</v>
      </c>
      <c r="E4260">
        <v>31350</v>
      </c>
      <c r="F4260">
        <v>14</v>
      </c>
      <c r="G4260">
        <v>418</v>
      </c>
      <c r="H4260">
        <f>_xlfn.XLOOKUP(FACT_IMPORTS[[#This Row],[hts_6]],DIM_PRODUCTS[hts_6],DIM_PRODUCTS[hts_4],,,)</f>
        <v>8501</v>
      </c>
      <c r="I4260" t="str" cm="1">
        <f t="array" ref="I4260">_xlfn.XLOOKUP(FACT_IMPORTS[[#This Row],[country_name]],DIM_COUNTRY[[#All],[Column2]],DIM_COUNTRY[[#All],[Column3]],,,)</f>
        <v>China</v>
      </c>
    </row>
    <row r="4261" spans="1:9" x14ac:dyDescent="0.4">
      <c r="A4261" t="s">
        <v>66</v>
      </c>
      <c r="B4261" s="1">
        <v>45778</v>
      </c>
      <c r="C4261">
        <v>850133</v>
      </c>
      <c r="D4261" t="s">
        <v>176</v>
      </c>
      <c r="E4261">
        <v>0</v>
      </c>
      <c r="F4261">
        <v>0</v>
      </c>
      <c r="G4261">
        <v>0</v>
      </c>
      <c r="H4261">
        <f>_xlfn.XLOOKUP(FACT_IMPORTS[[#This Row],[hts_6]],DIM_PRODUCTS[hts_6],DIM_PRODUCTS[hts_4],,,)</f>
        <v>8501</v>
      </c>
      <c r="I4261" t="str" cm="1">
        <f t="array" ref="I4261">_xlfn.XLOOKUP(FACT_IMPORTS[[#This Row],[country_name]],DIM_COUNTRY[[#All],[Column2]],DIM_COUNTRY[[#All],[Column3]],,,)</f>
        <v>China</v>
      </c>
    </row>
    <row r="4262" spans="1:9" x14ac:dyDescent="0.4">
      <c r="A4262" t="s">
        <v>66</v>
      </c>
      <c r="B4262" s="1">
        <v>45778</v>
      </c>
      <c r="C4262">
        <v>850152</v>
      </c>
      <c r="D4262" t="s">
        <v>176</v>
      </c>
      <c r="E4262">
        <v>238417</v>
      </c>
      <c r="F4262">
        <v>793</v>
      </c>
      <c r="G4262">
        <v>7482</v>
      </c>
      <c r="H4262">
        <f>_xlfn.XLOOKUP(FACT_IMPORTS[[#This Row],[hts_6]],DIM_PRODUCTS[hts_6],DIM_PRODUCTS[hts_4],,,)</f>
        <v>8501</v>
      </c>
      <c r="I4262" t="str" cm="1">
        <f t="array" ref="I4262">_xlfn.XLOOKUP(FACT_IMPORTS[[#This Row],[country_name]],DIM_COUNTRY[[#All],[Column2]],DIM_COUNTRY[[#All],[Column3]],,,)</f>
        <v>China</v>
      </c>
    </row>
    <row r="4263" spans="1:9" x14ac:dyDescent="0.4">
      <c r="A4263" t="s">
        <v>66</v>
      </c>
      <c r="B4263" s="1">
        <v>45778</v>
      </c>
      <c r="C4263">
        <v>850153</v>
      </c>
      <c r="D4263" t="s">
        <v>176</v>
      </c>
      <c r="E4263">
        <v>3733</v>
      </c>
      <c r="F4263">
        <v>1</v>
      </c>
      <c r="G4263">
        <v>5</v>
      </c>
      <c r="H4263">
        <f>_xlfn.XLOOKUP(FACT_IMPORTS[[#This Row],[hts_6]],DIM_PRODUCTS[hts_6],DIM_PRODUCTS[hts_4],,,)</f>
        <v>8501</v>
      </c>
      <c r="I4263" t="str" cm="1">
        <f t="array" ref="I4263">_xlfn.XLOOKUP(FACT_IMPORTS[[#This Row],[country_name]],DIM_COUNTRY[[#All],[Column2]],DIM_COUNTRY[[#All],[Column3]],,,)</f>
        <v>China</v>
      </c>
    </row>
    <row r="4264" spans="1:9" x14ac:dyDescent="0.4">
      <c r="A4264" t="s">
        <v>66</v>
      </c>
      <c r="B4264" s="1">
        <v>45778</v>
      </c>
      <c r="C4264">
        <v>850161</v>
      </c>
      <c r="D4264" t="s">
        <v>176</v>
      </c>
      <c r="E4264">
        <v>0</v>
      </c>
      <c r="F4264">
        <v>0</v>
      </c>
      <c r="G4264">
        <v>0</v>
      </c>
      <c r="H4264">
        <f>_xlfn.XLOOKUP(FACT_IMPORTS[[#This Row],[hts_6]],DIM_PRODUCTS[hts_6],DIM_PRODUCTS[hts_4],,,)</f>
        <v>8501</v>
      </c>
      <c r="I4264" t="str" cm="1">
        <f t="array" ref="I4264">_xlfn.XLOOKUP(FACT_IMPORTS[[#This Row],[country_name]],DIM_COUNTRY[[#All],[Column2]],DIM_COUNTRY[[#All],[Column3]],,,)</f>
        <v>China</v>
      </c>
    </row>
    <row r="4265" spans="1:9" x14ac:dyDescent="0.4">
      <c r="A4265" t="s">
        <v>66</v>
      </c>
      <c r="B4265" s="1">
        <v>45778</v>
      </c>
      <c r="C4265">
        <v>850440</v>
      </c>
      <c r="D4265" t="s">
        <v>176</v>
      </c>
      <c r="E4265">
        <v>1334496</v>
      </c>
      <c r="F4265">
        <v>24390</v>
      </c>
      <c r="G4265">
        <v>11358</v>
      </c>
      <c r="H4265">
        <f>_xlfn.XLOOKUP(FACT_IMPORTS[[#This Row],[hts_6]],DIM_PRODUCTS[hts_6],DIM_PRODUCTS[hts_4],,,)</f>
        <v>8504</v>
      </c>
      <c r="I4265" t="str" cm="1">
        <f t="array" ref="I4265">_xlfn.XLOOKUP(FACT_IMPORTS[[#This Row],[country_name]],DIM_COUNTRY[[#All],[Column2]],DIM_COUNTRY[[#All],[Column3]],,,)</f>
        <v>China</v>
      </c>
    </row>
    <row r="4266" spans="1:9" x14ac:dyDescent="0.4">
      <c r="A4266" t="s">
        <v>66</v>
      </c>
      <c r="B4266" s="1">
        <v>45778</v>
      </c>
      <c r="C4266">
        <v>850710</v>
      </c>
      <c r="D4266" t="s">
        <v>176</v>
      </c>
      <c r="E4266">
        <v>173258</v>
      </c>
      <c r="F4266">
        <v>6251</v>
      </c>
      <c r="G4266">
        <v>5940</v>
      </c>
      <c r="H4266">
        <f>_xlfn.XLOOKUP(FACT_IMPORTS[[#This Row],[hts_6]],DIM_PRODUCTS[hts_6],DIM_PRODUCTS[hts_4],,,)</f>
        <v>8507</v>
      </c>
      <c r="I4266" t="str" cm="1">
        <f t="array" ref="I4266">_xlfn.XLOOKUP(FACT_IMPORTS[[#This Row],[country_name]],DIM_COUNTRY[[#All],[Column2]],DIM_COUNTRY[[#All],[Column3]],,,)</f>
        <v>China</v>
      </c>
    </row>
    <row r="4267" spans="1:9" x14ac:dyDescent="0.4">
      <c r="A4267" t="s">
        <v>66</v>
      </c>
      <c r="B4267" s="1">
        <v>45778</v>
      </c>
      <c r="C4267">
        <v>850760</v>
      </c>
      <c r="D4267" t="s">
        <v>176</v>
      </c>
      <c r="E4267">
        <v>2061395</v>
      </c>
      <c r="F4267">
        <v>1136</v>
      </c>
      <c r="G4267">
        <v>7598</v>
      </c>
      <c r="H4267">
        <f>_xlfn.XLOOKUP(FACT_IMPORTS[[#This Row],[hts_6]],DIM_PRODUCTS[hts_6],DIM_PRODUCTS[hts_4],,,)</f>
        <v>8507</v>
      </c>
      <c r="I4267" t="str" cm="1">
        <f t="array" ref="I4267">_xlfn.XLOOKUP(FACT_IMPORTS[[#This Row],[country_name]],DIM_COUNTRY[[#All],[Column2]],DIM_COUNTRY[[#All],[Column3]],,,)</f>
        <v>China</v>
      </c>
    </row>
    <row r="4268" spans="1:9" x14ac:dyDescent="0.4">
      <c r="A4268" t="s">
        <v>66</v>
      </c>
      <c r="B4268" s="1">
        <v>45778</v>
      </c>
      <c r="C4268">
        <v>850790</v>
      </c>
      <c r="D4268" t="s">
        <v>176</v>
      </c>
      <c r="E4268">
        <v>6810</v>
      </c>
      <c r="F4268">
        <v>25</v>
      </c>
      <c r="G4268">
        <v>681</v>
      </c>
      <c r="H4268">
        <f>_xlfn.XLOOKUP(FACT_IMPORTS[[#This Row],[hts_6]],DIM_PRODUCTS[hts_6],DIM_PRODUCTS[hts_4],,,)</f>
        <v>8507</v>
      </c>
      <c r="I4268" t="str" cm="1">
        <f t="array" ref="I4268">_xlfn.XLOOKUP(FACT_IMPORTS[[#This Row],[country_name]],DIM_COUNTRY[[#All],[Column2]],DIM_COUNTRY[[#All],[Column3]],,,)</f>
        <v>China</v>
      </c>
    </row>
    <row r="4269" spans="1:9" x14ac:dyDescent="0.4">
      <c r="A4269" t="s">
        <v>66</v>
      </c>
      <c r="B4269" s="1">
        <v>45778</v>
      </c>
      <c r="C4269">
        <v>851110</v>
      </c>
      <c r="D4269" t="s">
        <v>176</v>
      </c>
      <c r="E4269">
        <v>0</v>
      </c>
      <c r="F4269">
        <v>0</v>
      </c>
      <c r="G4269">
        <v>0</v>
      </c>
      <c r="H4269">
        <f>_xlfn.XLOOKUP(FACT_IMPORTS[[#This Row],[hts_6]],DIM_PRODUCTS[hts_6],DIM_PRODUCTS[hts_4],,,)</f>
        <v>8511</v>
      </c>
      <c r="I4269" t="str" cm="1">
        <f t="array" ref="I4269">_xlfn.XLOOKUP(FACT_IMPORTS[[#This Row],[country_name]],DIM_COUNTRY[[#All],[Column2]],DIM_COUNTRY[[#All],[Column3]],,,)</f>
        <v>China</v>
      </c>
    </row>
    <row r="4270" spans="1:9" x14ac:dyDescent="0.4">
      <c r="A4270" t="s">
        <v>66</v>
      </c>
      <c r="B4270" s="1">
        <v>45778</v>
      </c>
      <c r="C4270">
        <v>851120</v>
      </c>
      <c r="D4270" t="s">
        <v>176</v>
      </c>
      <c r="E4270">
        <v>0</v>
      </c>
      <c r="F4270">
        <v>0</v>
      </c>
      <c r="G4270">
        <v>0</v>
      </c>
      <c r="H4270">
        <f>_xlfn.XLOOKUP(FACT_IMPORTS[[#This Row],[hts_6]],DIM_PRODUCTS[hts_6],DIM_PRODUCTS[hts_4],,,)</f>
        <v>8511</v>
      </c>
      <c r="I4270" t="str" cm="1">
        <f t="array" ref="I4270">_xlfn.XLOOKUP(FACT_IMPORTS[[#This Row],[country_name]],DIM_COUNTRY[[#All],[Column2]],DIM_COUNTRY[[#All],[Column3]],,,)</f>
        <v>China</v>
      </c>
    </row>
    <row r="4271" spans="1:9" x14ac:dyDescent="0.4">
      <c r="A4271" t="s">
        <v>66</v>
      </c>
      <c r="B4271" s="1">
        <v>45778</v>
      </c>
      <c r="C4271">
        <v>851130</v>
      </c>
      <c r="D4271" t="s">
        <v>176</v>
      </c>
      <c r="E4271">
        <v>30747</v>
      </c>
      <c r="F4271">
        <v>3286</v>
      </c>
      <c r="G4271">
        <v>1757</v>
      </c>
      <c r="H4271">
        <f>_xlfn.XLOOKUP(FACT_IMPORTS[[#This Row],[hts_6]],DIM_PRODUCTS[hts_6],DIM_PRODUCTS[hts_4],,,)</f>
        <v>8511</v>
      </c>
      <c r="I4271" t="str" cm="1">
        <f t="array" ref="I4271">_xlfn.XLOOKUP(FACT_IMPORTS[[#This Row],[country_name]],DIM_COUNTRY[[#All],[Column2]],DIM_COUNTRY[[#All],[Column3]],,,)</f>
        <v>China</v>
      </c>
    </row>
    <row r="4272" spans="1:9" x14ac:dyDescent="0.4">
      <c r="A4272" t="s">
        <v>66</v>
      </c>
      <c r="B4272" s="1">
        <v>45778</v>
      </c>
      <c r="C4272">
        <v>851140</v>
      </c>
      <c r="D4272" t="s">
        <v>176</v>
      </c>
      <c r="E4272">
        <v>132969</v>
      </c>
      <c r="F4272">
        <v>2243</v>
      </c>
      <c r="G4272">
        <v>1717</v>
      </c>
      <c r="H4272">
        <f>_xlfn.XLOOKUP(FACT_IMPORTS[[#This Row],[hts_6]],DIM_PRODUCTS[hts_6],DIM_PRODUCTS[hts_4],,,)</f>
        <v>8511</v>
      </c>
      <c r="I4272" t="str" cm="1">
        <f t="array" ref="I4272">_xlfn.XLOOKUP(FACT_IMPORTS[[#This Row],[country_name]],DIM_COUNTRY[[#All],[Column2]],DIM_COUNTRY[[#All],[Column3]],,,)</f>
        <v>China</v>
      </c>
    </row>
    <row r="4273" spans="1:9" x14ac:dyDescent="0.4">
      <c r="A4273" t="s">
        <v>66</v>
      </c>
      <c r="B4273" s="1">
        <v>45778</v>
      </c>
      <c r="C4273">
        <v>851150</v>
      </c>
      <c r="D4273" t="s">
        <v>176</v>
      </c>
      <c r="E4273">
        <v>128854</v>
      </c>
      <c r="F4273">
        <v>1068</v>
      </c>
      <c r="G4273">
        <v>1046</v>
      </c>
      <c r="H4273">
        <f>_xlfn.XLOOKUP(FACT_IMPORTS[[#This Row],[hts_6]],DIM_PRODUCTS[hts_6],DIM_PRODUCTS[hts_4],,,)</f>
        <v>8511</v>
      </c>
      <c r="I4273" t="str" cm="1">
        <f t="array" ref="I4273">_xlfn.XLOOKUP(FACT_IMPORTS[[#This Row],[country_name]],DIM_COUNTRY[[#All],[Column2]],DIM_COUNTRY[[#All],[Column3]],,,)</f>
        <v>China</v>
      </c>
    </row>
    <row r="4274" spans="1:9" x14ac:dyDescent="0.4">
      <c r="A4274" t="s">
        <v>66</v>
      </c>
      <c r="B4274" s="1">
        <v>45778</v>
      </c>
      <c r="C4274">
        <v>851180</v>
      </c>
      <c r="D4274" t="s">
        <v>176</v>
      </c>
      <c r="E4274">
        <v>9340</v>
      </c>
      <c r="F4274">
        <v>175</v>
      </c>
      <c r="G4274">
        <v>3</v>
      </c>
      <c r="H4274">
        <f>_xlfn.XLOOKUP(FACT_IMPORTS[[#This Row],[hts_6]],DIM_PRODUCTS[hts_6],DIM_PRODUCTS[hts_4],,,)</f>
        <v>8511</v>
      </c>
      <c r="I4274" t="str" cm="1">
        <f t="array" ref="I4274">_xlfn.XLOOKUP(FACT_IMPORTS[[#This Row],[country_name]],DIM_COUNTRY[[#All],[Column2]],DIM_COUNTRY[[#All],[Column3]],,,)</f>
        <v>China</v>
      </c>
    </row>
    <row r="4275" spans="1:9" x14ac:dyDescent="0.4">
      <c r="A4275" t="s">
        <v>66</v>
      </c>
      <c r="B4275" s="1">
        <v>45778</v>
      </c>
      <c r="C4275">
        <v>851190</v>
      </c>
      <c r="D4275" t="s">
        <v>176</v>
      </c>
      <c r="E4275">
        <v>2280</v>
      </c>
      <c r="F4275">
        <v>622</v>
      </c>
      <c r="G4275">
        <v>8</v>
      </c>
      <c r="H4275">
        <f>_xlfn.XLOOKUP(FACT_IMPORTS[[#This Row],[hts_6]],DIM_PRODUCTS[hts_6],DIM_PRODUCTS[hts_4],,,)</f>
        <v>8511</v>
      </c>
      <c r="I4275" t="str" cm="1">
        <f t="array" ref="I4275">_xlfn.XLOOKUP(FACT_IMPORTS[[#This Row],[country_name]],DIM_COUNTRY[[#All],[Column2]],DIM_COUNTRY[[#All],[Column3]],,,)</f>
        <v>China</v>
      </c>
    </row>
    <row r="4276" spans="1:9" x14ac:dyDescent="0.4">
      <c r="A4276" t="s">
        <v>66</v>
      </c>
      <c r="B4276" s="1">
        <v>45778</v>
      </c>
      <c r="C4276">
        <v>851220</v>
      </c>
      <c r="D4276" t="s">
        <v>176</v>
      </c>
      <c r="E4276">
        <v>3107909</v>
      </c>
      <c r="F4276">
        <v>382147</v>
      </c>
      <c r="G4276">
        <v>88349</v>
      </c>
      <c r="H4276">
        <f>_xlfn.XLOOKUP(FACT_IMPORTS[[#This Row],[hts_6]],DIM_PRODUCTS[hts_6],DIM_PRODUCTS[hts_4],,,)</f>
        <v>8512</v>
      </c>
      <c r="I4276" t="str" cm="1">
        <f t="array" ref="I4276">_xlfn.XLOOKUP(FACT_IMPORTS[[#This Row],[country_name]],DIM_COUNTRY[[#All],[Column2]],DIM_COUNTRY[[#All],[Column3]],,,)</f>
        <v>China</v>
      </c>
    </row>
    <row r="4277" spans="1:9" x14ac:dyDescent="0.4">
      <c r="A4277" t="s">
        <v>66</v>
      </c>
      <c r="B4277" s="1">
        <v>45778</v>
      </c>
      <c r="C4277">
        <v>851230</v>
      </c>
      <c r="D4277" t="s">
        <v>176</v>
      </c>
      <c r="E4277">
        <v>24001</v>
      </c>
      <c r="F4277">
        <v>2201</v>
      </c>
      <c r="G4277">
        <v>122</v>
      </c>
      <c r="H4277">
        <f>_xlfn.XLOOKUP(FACT_IMPORTS[[#This Row],[hts_6]],DIM_PRODUCTS[hts_6],DIM_PRODUCTS[hts_4],,,)</f>
        <v>8512</v>
      </c>
      <c r="I4277" t="str" cm="1">
        <f t="array" ref="I4277">_xlfn.XLOOKUP(FACT_IMPORTS[[#This Row],[country_name]],DIM_COUNTRY[[#All],[Column2]],DIM_COUNTRY[[#All],[Column3]],,,)</f>
        <v>China</v>
      </c>
    </row>
    <row r="4278" spans="1:9" x14ac:dyDescent="0.4">
      <c r="A4278" t="s">
        <v>66</v>
      </c>
      <c r="B4278" s="1">
        <v>45778</v>
      </c>
      <c r="C4278">
        <v>851240</v>
      </c>
      <c r="D4278" t="s">
        <v>176</v>
      </c>
      <c r="E4278">
        <v>2702</v>
      </c>
      <c r="F4278">
        <v>181</v>
      </c>
      <c r="G4278">
        <v>9</v>
      </c>
      <c r="H4278">
        <f>_xlfn.XLOOKUP(FACT_IMPORTS[[#This Row],[hts_6]],DIM_PRODUCTS[hts_6],DIM_PRODUCTS[hts_4],,,)</f>
        <v>8512</v>
      </c>
      <c r="I4278" t="str" cm="1">
        <f t="array" ref="I4278">_xlfn.XLOOKUP(FACT_IMPORTS[[#This Row],[country_name]],DIM_COUNTRY[[#All],[Column2]],DIM_COUNTRY[[#All],[Column3]],,,)</f>
        <v>China</v>
      </c>
    </row>
    <row r="4279" spans="1:9" x14ac:dyDescent="0.4">
      <c r="A4279" t="s">
        <v>66</v>
      </c>
      <c r="B4279" s="1">
        <v>45778</v>
      </c>
      <c r="C4279">
        <v>851290</v>
      </c>
      <c r="D4279" t="s">
        <v>176</v>
      </c>
      <c r="E4279">
        <v>317604</v>
      </c>
      <c r="F4279">
        <v>21403</v>
      </c>
      <c r="G4279">
        <v>15371</v>
      </c>
      <c r="H4279">
        <f>_xlfn.XLOOKUP(FACT_IMPORTS[[#This Row],[hts_6]],DIM_PRODUCTS[hts_6],DIM_PRODUCTS[hts_4],,,)</f>
        <v>8512</v>
      </c>
      <c r="I4279" t="str" cm="1">
        <f t="array" ref="I4279">_xlfn.XLOOKUP(FACT_IMPORTS[[#This Row],[country_name]],DIM_COUNTRY[[#All],[Column2]],DIM_COUNTRY[[#All],[Column3]],,,)</f>
        <v>China</v>
      </c>
    </row>
    <row r="4280" spans="1:9" x14ac:dyDescent="0.4">
      <c r="A4280" t="s">
        <v>66</v>
      </c>
      <c r="B4280" s="1">
        <v>45778</v>
      </c>
      <c r="C4280">
        <v>854231</v>
      </c>
      <c r="D4280" t="s">
        <v>176</v>
      </c>
      <c r="E4280">
        <v>62670</v>
      </c>
      <c r="F4280">
        <v>18000</v>
      </c>
      <c r="G4280">
        <v>4112</v>
      </c>
      <c r="H4280">
        <f>_xlfn.XLOOKUP(FACT_IMPORTS[[#This Row],[hts_6]],DIM_PRODUCTS[hts_6],DIM_PRODUCTS[hts_4],,,)</f>
        <v>8542</v>
      </c>
      <c r="I4280" t="str" cm="1">
        <f t="array" ref="I4280">_xlfn.XLOOKUP(FACT_IMPORTS[[#This Row],[country_name]],DIM_COUNTRY[[#All],[Column2]],DIM_COUNTRY[[#All],[Column3]],,,)</f>
        <v>China</v>
      </c>
    </row>
    <row r="4281" spans="1:9" x14ac:dyDescent="0.4">
      <c r="A4281" t="s">
        <v>66</v>
      </c>
      <c r="B4281" s="1">
        <v>45778</v>
      </c>
      <c r="C4281">
        <v>854232</v>
      </c>
      <c r="D4281" t="s">
        <v>176</v>
      </c>
      <c r="E4281">
        <v>0</v>
      </c>
      <c r="F4281">
        <v>0</v>
      </c>
      <c r="G4281">
        <v>0</v>
      </c>
      <c r="H4281">
        <f>_xlfn.XLOOKUP(FACT_IMPORTS[[#This Row],[hts_6]],DIM_PRODUCTS[hts_6],DIM_PRODUCTS[hts_4],,,)</f>
        <v>8542</v>
      </c>
      <c r="I4281" t="str" cm="1">
        <f t="array" ref="I4281">_xlfn.XLOOKUP(FACT_IMPORTS[[#This Row],[country_name]],DIM_COUNTRY[[#All],[Column2]],DIM_COUNTRY[[#All],[Column3]],,,)</f>
        <v>China</v>
      </c>
    </row>
    <row r="4282" spans="1:9" x14ac:dyDescent="0.4">
      <c r="A4282" t="s">
        <v>66</v>
      </c>
      <c r="B4282" s="1">
        <v>45778</v>
      </c>
      <c r="C4282">
        <v>854233</v>
      </c>
      <c r="D4282" t="s">
        <v>176</v>
      </c>
      <c r="E4282">
        <v>0</v>
      </c>
      <c r="F4282">
        <v>0</v>
      </c>
      <c r="G4282">
        <v>0</v>
      </c>
      <c r="H4282">
        <f>_xlfn.XLOOKUP(FACT_IMPORTS[[#This Row],[hts_6]],DIM_PRODUCTS[hts_6],DIM_PRODUCTS[hts_4],,,)</f>
        <v>8542</v>
      </c>
      <c r="I4282" t="str" cm="1">
        <f t="array" ref="I4282">_xlfn.XLOOKUP(FACT_IMPORTS[[#This Row],[country_name]],DIM_COUNTRY[[#All],[Column2]],DIM_COUNTRY[[#All],[Column3]],,,)</f>
        <v>China</v>
      </c>
    </row>
    <row r="4283" spans="1:9" x14ac:dyDescent="0.4">
      <c r="A4283" t="s">
        <v>66</v>
      </c>
      <c r="B4283" s="1">
        <v>45778</v>
      </c>
      <c r="C4283">
        <v>854239</v>
      </c>
      <c r="D4283" t="s">
        <v>176</v>
      </c>
      <c r="E4283">
        <v>12450</v>
      </c>
      <c r="F4283">
        <v>6000</v>
      </c>
      <c r="G4283">
        <v>1245</v>
      </c>
      <c r="H4283">
        <f>_xlfn.XLOOKUP(FACT_IMPORTS[[#This Row],[hts_6]],DIM_PRODUCTS[hts_6],DIM_PRODUCTS[hts_4],,,)</f>
        <v>8542</v>
      </c>
      <c r="I4283" t="str" cm="1">
        <f t="array" ref="I4283">_xlfn.XLOOKUP(FACT_IMPORTS[[#This Row],[country_name]],DIM_COUNTRY[[#All],[Column2]],DIM_COUNTRY[[#All],[Column3]],,,)</f>
        <v>China</v>
      </c>
    </row>
    <row r="4284" spans="1:9" x14ac:dyDescent="0.4">
      <c r="A4284" t="s">
        <v>66</v>
      </c>
      <c r="B4284" s="1">
        <v>45778</v>
      </c>
      <c r="C4284">
        <v>854290</v>
      </c>
      <c r="D4284" t="s">
        <v>176</v>
      </c>
      <c r="E4284">
        <v>2852</v>
      </c>
      <c r="F4284">
        <v>14</v>
      </c>
      <c r="G4284">
        <v>2</v>
      </c>
      <c r="H4284">
        <f>_xlfn.XLOOKUP(FACT_IMPORTS[[#This Row],[hts_6]],DIM_PRODUCTS[hts_6],DIM_PRODUCTS[hts_4],,,)</f>
        <v>8542</v>
      </c>
      <c r="I4284" t="str" cm="1">
        <f t="array" ref="I4284">_xlfn.XLOOKUP(FACT_IMPORTS[[#This Row],[country_name]],DIM_COUNTRY[[#All],[Column2]],DIM_COUNTRY[[#All],[Column3]],,,)</f>
        <v>China</v>
      </c>
    </row>
    <row r="4285" spans="1:9" x14ac:dyDescent="0.4">
      <c r="A4285" t="s">
        <v>66</v>
      </c>
      <c r="B4285" s="1">
        <v>45778</v>
      </c>
      <c r="C4285">
        <v>854430</v>
      </c>
      <c r="D4285" t="s">
        <v>176</v>
      </c>
      <c r="E4285">
        <v>469259</v>
      </c>
      <c r="F4285">
        <v>44249</v>
      </c>
      <c r="G4285">
        <v>5304</v>
      </c>
      <c r="H4285">
        <f>_xlfn.XLOOKUP(FACT_IMPORTS[[#This Row],[hts_6]],DIM_PRODUCTS[hts_6],DIM_PRODUCTS[hts_4],,,)</f>
        <v>8544</v>
      </c>
      <c r="I4285" t="str" cm="1">
        <f t="array" ref="I4285">_xlfn.XLOOKUP(FACT_IMPORTS[[#This Row],[country_name]],DIM_COUNTRY[[#All],[Column2]],DIM_COUNTRY[[#All],[Column3]],,,)</f>
        <v>China</v>
      </c>
    </row>
    <row r="4286" spans="1:9" x14ac:dyDescent="0.4">
      <c r="A4286" t="s">
        <v>66</v>
      </c>
      <c r="B4286" s="1">
        <v>45778</v>
      </c>
      <c r="C4286">
        <v>870790</v>
      </c>
      <c r="D4286" t="s">
        <v>176</v>
      </c>
      <c r="E4286">
        <v>4285</v>
      </c>
      <c r="F4286">
        <v>1</v>
      </c>
      <c r="G4286">
        <v>3000</v>
      </c>
      <c r="H4286">
        <f>_xlfn.XLOOKUP(FACT_IMPORTS[[#This Row],[hts_6]],DIM_PRODUCTS[hts_6],DIM_PRODUCTS[hts_4],,,)</f>
        <v>8707</v>
      </c>
      <c r="I4286" t="str" cm="1">
        <f t="array" ref="I4286">_xlfn.XLOOKUP(FACT_IMPORTS[[#This Row],[country_name]],DIM_COUNTRY[[#All],[Column2]],DIM_COUNTRY[[#All],[Column3]],,,)</f>
        <v>China</v>
      </c>
    </row>
    <row r="4287" spans="1:9" x14ac:dyDescent="0.4">
      <c r="A4287" t="s">
        <v>66</v>
      </c>
      <c r="B4287" s="1">
        <v>45778</v>
      </c>
      <c r="C4287">
        <v>870810</v>
      </c>
      <c r="D4287" t="s">
        <v>176</v>
      </c>
      <c r="E4287">
        <v>995726</v>
      </c>
      <c r="F4287">
        <v>23887</v>
      </c>
      <c r="G4287">
        <v>120497</v>
      </c>
      <c r="H4287">
        <f>_xlfn.XLOOKUP(FACT_IMPORTS[[#This Row],[hts_6]],DIM_PRODUCTS[hts_6],DIM_PRODUCTS[hts_4],,,)</f>
        <v>8708</v>
      </c>
      <c r="I4287" t="str" cm="1">
        <f t="array" ref="I4287">_xlfn.XLOOKUP(FACT_IMPORTS[[#This Row],[country_name]],DIM_COUNTRY[[#All],[Column2]],DIM_COUNTRY[[#All],[Column3]],,,)</f>
        <v>China</v>
      </c>
    </row>
    <row r="4288" spans="1:9" x14ac:dyDescent="0.4">
      <c r="A4288" t="s">
        <v>66</v>
      </c>
      <c r="B4288" s="1">
        <v>45778</v>
      </c>
      <c r="C4288">
        <v>870821</v>
      </c>
      <c r="D4288" t="s">
        <v>176</v>
      </c>
      <c r="E4288">
        <v>8206</v>
      </c>
      <c r="F4288">
        <v>258</v>
      </c>
      <c r="G4288">
        <v>2</v>
      </c>
      <c r="H4288">
        <f>_xlfn.XLOOKUP(FACT_IMPORTS[[#This Row],[hts_6]],DIM_PRODUCTS[hts_6],DIM_PRODUCTS[hts_4],,,)</f>
        <v>8708</v>
      </c>
      <c r="I4288" t="str" cm="1">
        <f t="array" ref="I4288">_xlfn.XLOOKUP(FACT_IMPORTS[[#This Row],[country_name]],DIM_COUNTRY[[#All],[Column2]],DIM_COUNTRY[[#All],[Column3]],,,)</f>
        <v>China</v>
      </c>
    </row>
    <row r="4289" spans="1:9" x14ac:dyDescent="0.4">
      <c r="A4289" t="s">
        <v>66</v>
      </c>
      <c r="B4289" s="1">
        <v>45778</v>
      </c>
      <c r="C4289">
        <v>870822</v>
      </c>
      <c r="D4289" t="s">
        <v>176</v>
      </c>
      <c r="E4289">
        <v>2038106</v>
      </c>
      <c r="F4289">
        <v>405835</v>
      </c>
      <c r="G4289">
        <v>198370</v>
      </c>
      <c r="H4289">
        <f>_xlfn.XLOOKUP(FACT_IMPORTS[[#This Row],[hts_6]],DIM_PRODUCTS[hts_6],DIM_PRODUCTS[hts_4],,,)</f>
        <v>8708</v>
      </c>
      <c r="I4289" t="str" cm="1">
        <f t="array" ref="I4289">_xlfn.XLOOKUP(FACT_IMPORTS[[#This Row],[country_name]],DIM_COUNTRY[[#All],[Column2]],DIM_COUNTRY[[#All],[Column3]],,,)</f>
        <v>China</v>
      </c>
    </row>
    <row r="4290" spans="1:9" x14ac:dyDescent="0.4">
      <c r="A4290" t="s">
        <v>66</v>
      </c>
      <c r="B4290" s="1">
        <v>45778</v>
      </c>
      <c r="C4290">
        <v>870829</v>
      </c>
      <c r="D4290" t="s">
        <v>176</v>
      </c>
      <c r="E4290">
        <v>15526442</v>
      </c>
      <c r="F4290">
        <v>2731333</v>
      </c>
      <c r="G4290">
        <v>812328</v>
      </c>
      <c r="H4290">
        <f>_xlfn.XLOOKUP(FACT_IMPORTS[[#This Row],[hts_6]],DIM_PRODUCTS[hts_6],DIM_PRODUCTS[hts_4],,,)</f>
        <v>8708</v>
      </c>
      <c r="I4290" t="str" cm="1">
        <f t="array" ref="I4290">_xlfn.XLOOKUP(FACT_IMPORTS[[#This Row],[country_name]],DIM_COUNTRY[[#All],[Column2]],DIM_COUNTRY[[#All],[Column3]],,,)</f>
        <v>China</v>
      </c>
    </row>
    <row r="4291" spans="1:9" x14ac:dyDescent="0.4">
      <c r="A4291" t="s">
        <v>66</v>
      </c>
      <c r="B4291" s="1">
        <v>45778</v>
      </c>
      <c r="C4291">
        <v>870830</v>
      </c>
      <c r="D4291" t="s">
        <v>176</v>
      </c>
      <c r="E4291">
        <v>2911559</v>
      </c>
      <c r="F4291">
        <v>364238</v>
      </c>
      <c r="G4291">
        <v>123109</v>
      </c>
      <c r="H4291">
        <f>_xlfn.XLOOKUP(FACT_IMPORTS[[#This Row],[hts_6]],DIM_PRODUCTS[hts_6],DIM_PRODUCTS[hts_4],,,)</f>
        <v>8708</v>
      </c>
      <c r="I4291" t="str" cm="1">
        <f t="array" ref="I4291">_xlfn.XLOOKUP(FACT_IMPORTS[[#This Row],[country_name]],DIM_COUNTRY[[#All],[Column2]],DIM_COUNTRY[[#All],[Column3]],,,)</f>
        <v>China</v>
      </c>
    </row>
    <row r="4292" spans="1:9" x14ac:dyDescent="0.4">
      <c r="A4292" t="s">
        <v>66</v>
      </c>
      <c r="B4292" s="1">
        <v>45778</v>
      </c>
      <c r="C4292">
        <v>870840</v>
      </c>
      <c r="D4292" t="s">
        <v>176</v>
      </c>
      <c r="E4292">
        <v>2609361</v>
      </c>
      <c r="F4292">
        <v>576791</v>
      </c>
      <c r="G4292">
        <v>76816</v>
      </c>
      <c r="H4292">
        <f>_xlfn.XLOOKUP(FACT_IMPORTS[[#This Row],[hts_6]],DIM_PRODUCTS[hts_6],DIM_PRODUCTS[hts_4],,,)</f>
        <v>8708</v>
      </c>
      <c r="I4292" t="str" cm="1">
        <f t="array" ref="I4292">_xlfn.XLOOKUP(FACT_IMPORTS[[#This Row],[country_name]],DIM_COUNTRY[[#All],[Column2]],DIM_COUNTRY[[#All],[Column3]],,,)</f>
        <v>China</v>
      </c>
    </row>
    <row r="4293" spans="1:9" x14ac:dyDescent="0.4">
      <c r="A4293" t="s">
        <v>66</v>
      </c>
      <c r="B4293" s="1">
        <v>45778</v>
      </c>
      <c r="C4293">
        <v>870850</v>
      </c>
      <c r="D4293" t="s">
        <v>176</v>
      </c>
      <c r="E4293">
        <v>2752111</v>
      </c>
      <c r="F4293">
        <v>557649</v>
      </c>
      <c r="G4293">
        <v>50788</v>
      </c>
      <c r="H4293">
        <f>_xlfn.XLOOKUP(FACT_IMPORTS[[#This Row],[hts_6]],DIM_PRODUCTS[hts_6],DIM_PRODUCTS[hts_4],,,)</f>
        <v>8708</v>
      </c>
      <c r="I4293" t="str" cm="1">
        <f t="array" ref="I4293">_xlfn.XLOOKUP(FACT_IMPORTS[[#This Row],[country_name]],DIM_COUNTRY[[#All],[Column2]],DIM_COUNTRY[[#All],[Column3]],,,)</f>
        <v>China</v>
      </c>
    </row>
    <row r="4294" spans="1:9" x14ac:dyDescent="0.4">
      <c r="A4294" t="s">
        <v>66</v>
      </c>
      <c r="B4294" s="1">
        <v>45778</v>
      </c>
      <c r="C4294">
        <v>870870</v>
      </c>
      <c r="D4294" t="s">
        <v>176</v>
      </c>
      <c r="E4294">
        <v>32904115</v>
      </c>
      <c r="F4294">
        <v>1247189</v>
      </c>
      <c r="G4294">
        <v>8782567</v>
      </c>
      <c r="H4294">
        <f>_xlfn.XLOOKUP(FACT_IMPORTS[[#This Row],[hts_6]],DIM_PRODUCTS[hts_6],DIM_PRODUCTS[hts_4],,,)</f>
        <v>8708</v>
      </c>
      <c r="I4294" t="str" cm="1">
        <f t="array" ref="I4294">_xlfn.XLOOKUP(FACT_IMPORTS[[#This Row],[country_name]],DIM_COUNTRY[[#All],[Column2]],DIM_COUNTRY[[#All],[Column3]],,,)</f>
        <v>China</v>
      </c>
    </row>
    <row r="4295" spans="1:9" x14ac:dyDescent="0.4">
      <c r="A4295" t="s">
        <v>66</v>
      </c>
      <c r="B4295" s="1">
        <v>45778</v>
      </c>
      <c r="C4295">
        <v>870880</v>
      </c>
      <c r="D4295" t="s">
        <v>176</v>
      </c>
      <c r="E4295">
        <v>10992080</v>
      </c>
      <c r="F4295">
        <v>1934595</v>
      </c>
      <c r="G4295">
        <v>199399</v>
      </c>
      <c r="H4295">
        <f>_xlfn.XLOOKUP(FACT_IMPORTS[[#This Row],[hts_6]],DIM_PRODUCTS[hts_6],DIM_PRODUCTS[hts_4],,,)</f>
        <v>8708</v>
      </c>
      <c r="I4295" t="str" cm="1">
        <f t="array" ref="I4295">_xlfn.XLOOKUP(FACT_IMPORTS[[#This Row],[country_name]],DIM_COUNTRY[[#All],[Column2]],DIM_COUNTRY[[#All],[Column3]],,,)</f>
        <v>China</v>
      </c>
    </row>
    <row r="4296" spans="1:9" x14ac:dyDescent="0.4">
      <c r="A4296" t="s">
        <v>66</v>
      </c>
      <c r="B4296" s="1">
        <v>45778</v>
      </c>
      <c r="C4296">
        <v>870891</v>
      </c>
      <c r="D4296" t="s">
        <v>176</v>
      </c>
      <c r="E4296">
        <v>250090</v>
      </c>
      <c r="F4296">
        <v>834871</v>
      </c>
      <c r="G4296">
        <v>23661</v>
      </c>
      <c r="H4296">
        <f>_xlfn.XLOOKUP(FACT_IMPORTS[[#This Row],[hts_6]],DIM_PRODUCTS[hts_6],DIM_PRODUCTS[hts_4],,,)</f>
        <v>8708</v>
      </c>
      <c r="I4296" t="str" cm="1">
        <f t="array" ref="I4296">_xlfn.XLOOKUP(FACT_IMPORTS[[#This Row],[country_name]],DIM_COUNTRY[[#All],[Column2]],DIM_COUNTRY[[#All],[Column3]],,,)</f>
        <v>China</v>
      </c>
    </row>
    <row r="4297" spans="1:9" x14ac:dyDescent="0.4">
      <c r="A4297" t="s">
        <v>66</v>
      </c>
      <c r="B4297" s="1">
        <v>45778</v>
      </c>
      <c r="C4297">
        <v>870892</v>
      </c>
      <c r="D4297" t="s">
        <v>176</v>
      </c>
      <c r="E4297">
        <v>5958445</v>
      </c>
      <c r="F4297">
        <v>1191930</v>
      </c>
      <c r="G4297">
        <v>541218</v>
      </c>
      <c r="H4297">
        <f>_xlfn.XLOOKUP(FACT_IMPORTS[[#This Row],[hts_6]],DIM_PRODUCTS[hts_6],DIM_PRODUCTS[hts_4],,,)</f>
        <v>8708</v>
      </c>
      <c r="I4297" t="str" cm="1">
        <f t="array" ref="I4297">_xlfn.XLOOKUP(FACT_IMPORTS[[#This Row],[country_name]],DIM_COUNTRY[[#All],[Column2]],DIM_COUNTRY[[#All],[Column3]],,,)</f>
        <v>China</v>
      </c>
    </row>
    <row r="4298" spans="1:9" x14ac:dyDescent="0.4">
      <c r="A4298" t="s">
        <v>66</v>
      </c>
      <c r="B4298" s="1">
        <v>45778</v>
      </c>
      <c r="C4298">
        <v>870893</v>
      </c>
      <c r="D4298" t="s">
        <v>176</v>
      </c>
      <c r="E4298">
        <v>419689</v>
      </c>
      <c r="F4298">
        <v>102936</v>
      </c>
      <c r="G4298">
        <v>13955</v>
      </c>
      <c r="H4298">
        <f>_xlfn.XLOOKUP(FACT_IMPORTS[[#This Row],[hts_6]],DIM_PRODUCTS[hts_6],DIM_PRODUCTS[hts_4],,,)</f>
        <v>8708</v>
      </c>
      <c r="I4298" t="str" cm="1">
        <f t="array" ref="I4298">_xlfn.XLOOKUP(FACT_IMPORTS[[#This Row],[country_name]],DIM_COUNTRY[[#All],[Column2]],DIM_COUNTRY[[#All],[Column3]],,,)</f>
        <v>China</v>
      </c>
    </row>
    <row r="4299" spans="1:9" x14ac:dyDescent="0.4">
      <c r="A4299" t="s">
        <v>66</v>
      </c>
      <c r="B4299" s="1">
        <v>45778</v>
      </c>
      <c r="C4299">
        <v>870894</v>
      </c>
      <c r="D4299" t="s">
        <v>176</v>
      </c>
      <c r="E4299">
        <v>3929463</v>
      </c>
      <c r="F4299">
        <v>826128</v>
      </c>
      <c r="G4299">
        <v>553120</v>
      </c>
      <c r="H4299">
        <f>_xlfn.XLOOKUP(FACT_IMPORTS[[#This Row],[hts_6]],DIM_PRODUCTS[hts_6],DIM_PRODUCTS[hts_4],,,)</f>
        <v>8708</v>
      </c>
      <c r="I4299" t="str" cm="1">
        <f t="array" ref="I4299">_xlfn.XLOOKUP(FACT_IMPORTS[[#This Row],[country_name]],DIM_COUNTRY[[#All],[Column2]],DIM_COUNTRY[[#All],[Column3]],,,)</f>
        <v>China</v>
      </c>
    </row>
    <row r="4300" spans="1:9" x14ac:dyDescent="0.4">
      <c r="A4300" t="s">
        <v>66</v>
      </c>
      <c r="B4300" s="1">
        <v>45778</v>
      </c>
      <c r="C4300">
        <v>870895</v>
      </c>
      <c r="D4300" t="s">
        <v>176</v>
      </c>
      <c r="E4300">
        <v>82267</v>
      </c>
      <c r="F4300">
        <v>2594</v>
      </c>
      <c r="G4300">
        <v>822</v>
      </c>
      <c r="H4300">
        <f>_xlfn.XLOOKUP(FACT_IMPORTS[[#This Row],[hts_6]],DIM_PRODUCTS[hts_6],DIM_PRODUCTS[hts_4],,,)</f>
        <v>8708</v>
      </c>
      <c r="I4300" t="str" cm="1">
        <f t="array" ref="I4300">_xlfn.XLOOKUP(FACT_IMPORTS[[#This Row],[country_name]],DIM_COUNTRY[[#All],[Column2]],DIM_COUNTRY[[#All],[Column3]],,,)</f>
        <v>China</v>
      </c>
    </row>
    <row r="4301" spans="1:9" x14ac:dyDescent="0.4">
      <c r="A4301" t="s">
        <v>66</v>
      </c>
      <c r="B4301" s="1">
        <v>45778</v>
      </c>
      <c r="C4301">
        <v>870899</v>
      </c>
      <c r="D4301" t="s">
        <v>176</v>
      </c>
      <c r="E4301">
        <v>9985040</v>
      </c>
      <c r="F4301">
        <v>4448961</v>
      </c>
      <c r="G4301">
        <v>700161</v>
      </c>
      <c r="H4301">
        <f>_xlfn.XLOOKUP(FACT_IMPORTS[[#This Row],[hts_6]],DIM_PRODUCTS[hts_6],DIM_PRODUCTS[hts_4],,,)</f>
        <v>8708</v>
      </c>
      <c r="I4301" t="str" cm="1">
        <f t="array" ref="I4301">_xlfn.XLOOKUP(FACT_IMPORTS[[#This Row],[country_name]],DIM_COUNTRY[[#All],[Column2]],DIM_COUNTRY[[#All],[Column3]],,,)</f>
        <v>China</v>
      </c>
    </row>
    <row r="4302" spans="1:9" x14ac:dyDescent="0.4">
      <c r="A4302" t="s">
        <v>66</v>
      </c>
      <c r="B4302" s="1">
        <v>45778</v>
      </c>
      <c r="C4302">
        <v>940120</v>
      </c>
      <c r="D4302" t="s">
        <v>176</v>
      </c>
      <c r="E4302">
        <v>6375</v>
      </c>
      <c r="F4302">
        <v>17</v>
      </c>
      <c r="G4302">
        <v>1907</v>
      </c>
      <c r="H4302">
        <f>_xlfn.XLOOKUP(FACT_IMPORTS[[#This Row],[hts_6]],DIM_PRODUCTS[hts_6],DIM_PRODUCTS[hts_4],,,)</f>
        <v>9401</v>
      </c>
      <c r="I4302" t="str" cm="1">
        <f t="array" ref="I4302">_xlfn.XLOOKUP(FACT_IMPORTS[[#This Row],[country_name]],DIM_COUNTRY[[#All],[Column2]],DIM_COUNTRY[[#All],[Column3]],,,)</f>
        <v>China</v>
      </c>
    </row>
    <row r="4303" spans="1:9" x14ac:dyDescent="0.4">
      <c r="A4303" t="s">
        <v>66</v>
      </c>
      <c r="B4303" s="1">
        <v>45809</v>
      </c>
      <c r="C4303">
        <v>392630</v>
      </c>
      <c r="D4303" t="s">
        <v>176</v>
      </c>
      <c r="E4303">
        <v>787123</v>
      </c>
      <c r="F4303">
        <v>80915</v>
      </c>
      <c r="G4303">
        <v>51963</v>
      </c>
      <c r="H4303">
        <f>_xlfn.XLOOKUP(FACT_IMPORTS[[#This Row],[hts_6]],DIM_PRODUCTS[hts_6],DIM_PRODUCTS[hts_4],,,)</f>
        <v>3926</v>
      </c>
      <c r="I4303" t="str" cm="1">
        <f t="array" ref="I4303">_xlfn.XLOOKUP(FACT_IMPORTS[[#This Row],[country_name]],DIM_COUNTRY[[#All],[Column2]],DIM_COUNTRY[[#All],[Column3]],,,)</f>
        <v>China</v>
      </c>
    </row>
    <row r="4304" spans="1:9" x14ac:dyDescent="0.4">
      <c r="A4304" t="s">
        <v>66</v>
      </c>
      <c r="B4304" s="1">
        <v>45809</v>
      </c>
      <c r="C4304">
        <v>401110</v>
      </c>
      <c r="D4304" t="s">
        <v>176</v>
      </c>
      <c r="E4304">
        <v>3993</v>
      </c>
      <c r="F4304">
        <v>59</v>
      </c>
      <c r="G4304">
        <v>161</v>
      </c>
      <c r="H4304">
        <f>_xlfn.XLOOKUP(FACT_IMPORTS[[#This Row],[hts_6]],DIM_PRODUCTS[hts_6],DIM_PRODUCTS[hts_4],,,)</f>
        <v>4011</v>
      </c>
      <c r="I4304" t="str" cm="1">
        <f t="array" ref="I4304">_xlfn.XLOOKUP(FACT_IMPORTS[[#This Row],[country_name]],DIM_COUNTRY[[#All],[Column2]],DIM_COUNTRY[[#All],[Column3]],,,)</f>
        <v>China</v>
      </c>
    </row>
    <row r="4305" spans="1:9" x14ac:dyDescent="0.4">
      <c r="A4305" t="s">
        <v>66</v>
      </c>
      <c r="B4305" s="1">
        <v>45809</v>
      </c>
      <c r="C4305">
        <v>401120</v>
      </c>
      <c r="D4305" t="s">
        <v>176</v>
      </c>
      <c r="E4305">
        <v>43623</v>
      </c>
      <c r="F4305">
        <v>325</v>
      </c>
      <c r="G4305">
        <v>4025</v>
      </c>
      <c r="H4305">
        <f>_xlfn.XLOOKUP(FACT_IMPORTS[[#This Row],[hts_6]],DIM_PRODUCTS[hts_6],DIM_PRODUCTS[hts_4],,,)</f>
        <v>4011</v>
      </c>
      <c r="I4305" t="str" cm="1">
        <f t="array" ref="I4305">_xlfn.XLOOKUP(FACT_IMPORTS[[#This Row],[country_name]],DIM_COUNTRY[[#All],[Column2]],DIM_COUNTRY[[#All],[Column3]],,,)</f>
        <v>China</v>
      </c>
    </row>
    <row r="4306" spans="1:9" x14ac:dyDescent="0.4">
      <c r="A4306" t="s">
        <v>66</v>
      </c>
      <c r="B4306" s="1">
        <v>45809</v>
      </c>
      <c r="C4306">
        <v>401140</v>
      </c>
      <c r="D4306" t="s">
        <v>176</v>
      </c>
      <c r="E4306">
        <v>53018</v>
      </c>
      <c r="F4306">
        <v>899</v>
      </c>
      <c r="G4306">
        <v>66</v>
      </c>
      <c r="H4306">
        <f>_xlfn.XLOOKUP(FACT_IMPORTS[[#This Row],[hts_6]],DIM_PRODUCTS[hts_6],DIM_PRODUCTS[hts_4],,,)</f>
        <v>4011</v>
      </c>
      <c r="I4306" t="str" cm="1">
        <f t="array" ref="I4306">_xlfn.XLOOKUP(FACT_IMPORTS[[#This Row],[country_name]],DIM_COUNTRY[[#All],[Column2]],DIM_COUNTRY[[#All],[Column3]],,,)</f>
        <v>China</v>
      </c>
    </row>
    <row r="4307" spans="1:9" x14ac:dyDescent="0.4">
      <c r="A4307" t="s">
        <v>66</v>
      </c>
      <c r="B4307" s="1">
        <v>45809</v>
      </c>
      <c r="C4307">
        <v>401190</v>
      </c>
      <c r="D4307" t="s">
        <v>176</v>
      </c>
      <c r="E4307">
        <v>108385</v>
      </c>
      <c r="F4307">
        <v>5726</v>
      </c>
      <c r="G4307">
        <v>2846</v>
      </c>
      <c r="H4307">
        <f>_xlfn.XLOOKUP(FACT_IMPORTS[[#This Row],[hts_6]],DIM_PRODUCTS[hts_6],DIM_PRODUCTS[hts_4],,,)</f>
        <v>4011</v>
      </c>
      <c r="I4307" t="str" cm="1">
        <f t="array" ref="I4307">_xlfn.XLOOKUP(FACT_IMPORTS[[#This Row],[country_name]],DIM_COUNTRY[[#All],[Column2]],DIM_COUNTRY[[#All],[Column3]],,,)</f>
        <v>China</v>
      </c>
    </row>
    <row r="4308" spans="1:9" x14ac:dyDescent="0.4">
      <c r="A4308" t="s">
        <v>66</v>
      </c>
      <c r="B4308" s="1">
        <v>45809</v>
      </c>
      <c r="C4308">
        <v>700711</v>
      </c>
      <c r="D4308" t="s">
        <v>176</v>
      </c>
      <c r="E4308">
        <v>224045</v>
      </c>
      <c r="F4308">
        <v>14672</v>
      </c>
      <c r="G4308">
        <v>58647</v>
      </c>
      <c r="H4308">
        <f>_xlfn.XLOOKUP(FACT_IMPORTS[[#This Row],[hts_6]],DIM_PRODUCTS[hts_6],DIM_PRODUCTS[hts_4],,,)</f>
        <v>7007</v>
      </c>
      <c r="I4308" t="str" cm="1">
        <f t="array" ref="I4308">_xlfn.XLOOKUP(FACT_IMPORTS[[#This Row],[country_name]],DIM_COUNTRY[[#All],[Column2]],DIM_COUNTRY[[#All],[Column3]],,,)</f>
        <v>China</v>
      </c>
    </row>
    <row r="4309" spans="1:9" x14ac:dyDescent="0.4">
      <c r="A4309" t="s">
        <v>66</v>
      </c>
      <c r="B4309" s="1">
        <v>45809</v>
      </c>
      <c r="C4309">
        <v>700721</v>
      </c>
      <c r="D4309" t="s">
        <v>176</v>
      </c>
      <c r="E4309">
        <v>53667</v>
      </c>
      <c r="F4309">
        <v>650</v>
      </c>
      <c r="G4309">
        <v>8888</v>
      </c>
      <c r="H4309">
        <f>_xlfn.XLOOKUP(FACT_IMPORTS[[#This Row],[hts_6]],DIM_PRODUCTS[hts_6],DIM_PRODUCTS[hts_4],,,)</f>
        <v>7007</v>
      </c>
      <c r="I4309" t="str" cm="1">
        <f t="array" ref="I4309">_xlfn.XLOOKUP(FACT_IMPORTS[[#This Row],[country_name]],DIM_COUNTRY[[#All],[Column2]],DIM_COUNTRY[[#All],[Column3]],,,)</f>
        <v>China</v>
      </c>
    </row>
    <row r="4310" spans="1:9" x14ac:dyDescent="0.4">
      <c r="A4310" t="s">
        <v>66</v>
      </c>
      <c r="B4310" s="1">
        <v>45809</v>
      </c>
      <c r="C4310">
        <v>700910</v>
      </c>
      <c r="D4310" t="s">
        <v>176</v>
      </c>
      <c r="E4310">
        <v>238775</v>
      </c>
      <c r="F4310">
        <v>266851</v>
      </c>
      <c r="G4310">
        <v>32485</v>
      </c>
      <c r="H4310">
        <f>_xlfn.XLOOKUP(FACT_IMPORTS[[#This Row],[hts_6]],DIM_PRODUCTS[hts_6],DIM_PRODUCTS[hts_4],,,)</f>
        <v>7009</v>
      </c>
      <c r="I4310" t="str" cm="1">
        <f t="array" ref="I4310">_xlfn.XLOOKUP(FACT_IMPORTS[[#This Row],[country_name]],DIM_COUNTRY[[#All],[Column2]],DIM_COUNTRY[[#All],[Column3]],,,)</f>
        <v>China</v>
      </c>
    </row>
    <row r="4311" spans="1:9" x14ac:dyDescent="0.4">
      <c r="A4311" t="s">
        <v>66</v>
      </c>
      <c r="B4311" s="1">
        <v>45809</v>
      </c>
      <c r="C4311">
        <v>732010</v>
      </c>
      <c r="D4311" t="s">
        <v>176</v>
      </c>
      <c r="E4311">
        <v>0</v>
      </c>
      <c r="F4311">
        <v>0</v>
      </c>
      <c r="G4311">
        <v>0</v>
      </c>
      <c r="H4311">
        <f>_xlfn.XLOOKUP(FACT_IMPORTS[[#This Row],[hts_6]],DIM_PRODUCTS[hts_6],DIM_PRODUCTS[hts_4],,,)</f>
        <v>7320</v>
      </c>
      <c r="I4311" t="str" cm="1">
        <f t="array" ref="I4311">_xlfn.XLOOKUP(FACT_IMPORTS[[#This Row],[country_name]],DIM_COUNTRY[[#All],[Column2]],DIM_COUNTRY[[#All],[Column3]],,,)</f>
        <v>China</v>
      </c>
    </row>
    <row r="4312" spans="1:9" x14ac:dyDescent="0.4">
      <c r="A4312" t="s">
        <v>66</v>
      </c>
      <c r="B4312" s="1">
        <v>45809</v>
      </c>
      <c r="C4312">
        <v>830230</v>
      </c>
      <c r="D4312" t="s">
        <v>176</v>
      </c>
      <c r="E4312">
        <v>3070472</v>
      </c>
      <c r="F4312">
        <v>883051</v>
      </c>
      <c r="G4312">
        <v>198319</v>
      </c>
      <c r="H4312">
        <f>_xlfn.XLOOKUP(FACT_IMPORTS[[#This Row],[hts_6]],DIM_PRODUCTS[hts_6],DIM_PRODUCTS[hts_4],,,)</f>
        <v>8302</v>
      </c>
      <c r="I4312" t="str" cm="1">
        <f t="array" ref="I4312">_xlfn.XLOOKUP(FACT_IMPORTS[[#This Row],[country_name]],DIM_COUNTRY[[#All],[Column2]],DIM_COUNTRY[[#All],[Column3]],,,)</f>
        <v>China</v>
      </c>
    </row>
    <row r="4313" spans="1:9" x14ac:dyDescent="0.4">
      <c r="A4313" t="s">
        <v>66</v>
      </c>
      <c r="B4313" s="1">
        <v>45809</v>
      </c>
      <c r="C4313">
        <v>840733</v>
      </c>
      <c r="D4313" t="s">
        <v>176</v>
      </c>
      <c r="E4313">
        <v>0</v>
      </c>
      <c r="F4313">
        <v>0</v>
      </c>
      <c r="G4313">
        <v>0</v>
      </c>
      <c r="H4313">
        <f>_xlfn.XLOOKUP(FACT_IMPORTS[[#This Row],[hts_6]],DIM_PRODUCTS[hts_6],DIM_PRODUCTS[hts_4],,,)</f>
        <v>8407</v>
      </c>
      <c r="I4313" t="str" cm="1">
        <f t="array" ref="I4313">_xlfn.XLOOKUP(FACT_IMPORTS[[#This Row],[country_name]],DIM_COUNTRY[[#All],[Column2]],DIM_COUNTRY[[#All],[Column3]],,,)</f>
        <v>China</v>
      </c>
    </row>
    <row r="4314" spans="1:9" x14ac:dyDescent="0.4">
      <c r="A4314" t="s">
        <v>66</v>
      </c>
      <c r="B4314" s="1">
        <v>45809</v>
      </c>
      <c r="C4314">
        <v>840734</v>
      </c>
      <c r="D4314" t="s">
        <v>176</v>
      </c>
      <c r="E4314">
        <v>0</v>
      </c>
      <c r="F4314">
        <v>0</v>
      </c>
      <c r="G4314">
        <v>0</v>
      </c>
      <c r="H4314">
        <f>_xlfn.XLOOKUP(FACT_IMPORTS[[#This Row],[hts_6]],DIM_PRODUCTS[hts_6],DIM_PRODUCTS[hts_4],,,)</f>
        <v>8407</v>
      </c>
      <c r="I4314" t="str" cm="1">
        <f t="array" ref="I4314">_xlfn.XLOOKUP(FACT_IMPORTS[[#This Row],[country_name]],DIM_COUNTRY[[#All],[Column2]],DIM_COUNTRY[[#All],[Column3]],,,)</f>
        <v>China</v>
      </c>
    </row>
    <row r="4315" spans="1:9" x14ac:dyDescent="0.4">
      <c r="A4315" t="s">
        <v>66</v>
      </c>
      <c r="B4315" s="1">
        <v>45809</v>
      </c>
      <c r="C4315">
        <v>840790</v>
      </c>
      <c r="D4315" t="s">
        <v>176</v>
      </c>
      <c r="E4315">
        <v>288783</v>
      </c>
      <c r="F4315">
        <v>4248</v>
      </c>
      <c r="G4315">
        <v>11000</v>
      </c>
      <c r="H4315">
        <f>_xlfn.XLOOKUP(FACT_IMPORTS[[#This Row],[hts_6]],DIM_PRODUCTS[hts_6],DIM_PRODUCTS[hts_4],,,)</f>
        <v>8407</v>
      </c>
      <c r="I4315" t="str" cm="1">
        <f t="array" ref="I4315">_xlfn.XLOOKUP(FACT_IMPORTS[[#This Row],[country_name]],DIM_COUNTRY[[#All],[Column2]],DIM_COUNTRY[[#All],[Column3]],,,)</f>
        <v>China</v>
      </c>
    </row>
    <row r="4316" spans="1:9" x14ac:dyDescent="0.4">
      <c r="A4316" t="s">
        <v>66</v>
      </c>
      <c r="B4316" s="1">
        <v>45809</v>
      </c>
      <c r="C4316">
        <v>840820</v>
      </c>
      <c r="D4316" t="s">
        <v>176</v>
      </c>
      <c r="E4316">
        <v>442445</v>
      </c>
      <c r="F4316">
        <v>41</v>
      </c>
      <c r="G4316">
        <v>19625</v>
      </c>
      <c r="H4316">
        <f>_xlfn.XLOOKUP(FACT_IMPORTS[[#This Row],[hts_6]],DIM_PRODUCTS[hts_6],DIM_PRODUCTS[hts_4],,,)</f>
        <v>8408</v>
      </c>
      <c r="I4316" t="str" cm="1">
        <f t="array" ref="I4316">_xlfn.XLOOKUP(FACT_IMPORTS[[#This Row],[country_name]],DIM_COUNTRY[[#All],[Column2]],DIM_COUNTRY[[#All],[Column3]],,,)</f>
        <v>China</v>
      </c>
    </row>
    <row r="4317" spans="1:9" x14ac:dyDescent="0.4">
      <c r="A4317" t="s">
        <v>66</v>
      </c>
      <c r="B4317" s="1">
        <v>45809</v>
      </c>
      <c r="C4317">
        <v>840890</v>
      </c>
      <c r="D4317" t="s">
        <v>176</v>
      </c>
      <c r="E4317">
        <v>0</v>
      </c>
      <c r="F4317">
        <v>0</v>
      </c>
      <c r="G4317">
        <v>0</v>
      </c>
      <c r="H4317">
        <f>_xlfn.XLOOKUP(FACT_IMPORTS[[#This Row],[hts_6]],DIM_PRODUCTS[hts_6],DIM_PRODUCTS[hts_4],,,)</f>
        <v>8408</v>
      </c>
      <c r="I4317" t="str" cm="1">
        <f t="array" ref="I4317">_xlfn.XLOOKUP(FACT_IMPORTS[[#This Row],[country_name]],DIM_COUNTRY[[#All],[Column2]],DIM_COUNTRY[[#All],[Column3]],,,)</f>
        <v>China</v>
      </c>
    </row>
    <row r="4318" spans="1:9" x14ac:dyDescent="0.4">
      <c r="A4318" t="s">
        <v>66</v>
      </c>
      <c r="B4318" s="1">
        <v>45809</v>
      </c>
      <c r="C4318">
        <v>840991</v>
      </c>
      <c r="D4318" t="s">
        <v>176</v>
      </c>
      <c r="E4318">
        <v>5310929</v>
      </c>
      <c r="F4318">
        <v>1808616</v>
      </c>
      <c r="G4318">
        <v>468028</v>
      </c>
      <c r="H4318">
        <f>_xlfn.XLOOKUP(FACT_IMPORTS[[#This Row],[hts_6]],DIM_PRODUCTS[hts_6],DIM_PRODUCTS[hts_4],,,)</f>
        <v>8409</v>
      </c>
      <c r="I4318" t="str" cm="1">
        <f t="array" ref="I4318">_xlfn.XLOOKUP(FACT_IMPORTS[[#This Row],[country_name]],DIM_COUNTRY[[#All],[Column2]],DIM_COUNTRY[[#All],[Column3]],,,)</f>
        <v>China</v>
      </c>
    </row>
    <row r="4319" spans="1:9" x14ac:dyDescent="0.4">
      <c r="A4319" t="s">
        <v>66</v>
      </c>
      <c r="B4319" s="1">
        <v>45809</v>
      </c>
      <c r="C4319">
        <v>840999</v>
      </c>
      <c r="D4319" t="s">
        <v>176</v>
      </c>
      <c r="E4319">
        <v>4590828</v>
      </c>
      <c r="F4319">
        <v>672217</v>
      </c>
      <c r="G4319">
        <v>58923</v>
      </c>
      <c r="H4319">
        <f>_xlfn.XLOOKUP(FACT_IMPORTS[[#This Row],[hts_6]],DIM_PRODUCTS[hts_6],DIM_PRODUCTS[hts_4],,,)</f>
        <v>8409</v>
      </c>
      <c r="I4319" t="str" cm="1">
        <f t="array" ref="I4319">_xlfn.XLOOKUP(FACT_IMPORTS[[#This Row],[country_name]],DIM_COUNTRY[[#All],[Column2]],DIM_COUNTRY[[#All],[Column3]],,,)</f>
        <v>China</v>
      </c>
    </row>
    <row r="4320" spans="1:9" x14ac:dyDescent="0.4">
      <c r="A4320" t="s">
        <v>66</v>
      </c>
      <c r="B4320" s="1">
        <v>45809</v>
      </c>
      <c r="C4320">
        <v>841330</v>
      </c>
      <c r="D4320" t="s">
        <v>176</v>
      </c>
      <c r="E4320">
        <v>535328</v>
      </c>
      <c r="F4320">
        <v>25838</v>
      </c>
      <c r="G4320">
        <v>23597</v>
      </c>
      <c r="H4320">
        <f>_xlfn.XLOOKUP(FACT_IMPORTS[[#This Row],[hts_6]],DIM_PRODUCTS[hts_6],DIM_PRODUCTS[hts_4],,,)</f>
        <v>8413</v>
      </c>
      <c r="I4320" t="str" cm="1">
        <f t="array" ref="I4320">_xlfn.XLOOKUP(FACT_IMPORTS[[#This Row],[country_name]],DIM_COUNTRY[[#All],[Column2]],DIM_COUNTRY[[#All],[Column3]],,,)</f>
        <v>China</v>
      </c>
    </row>
    <row r="4321" spans="1:9" x14ac:dyDescent="0.4">
      <c r="A4321" t="s">
        <v>66</v>
      </c>
      <c r="B4321" s="1">
        <v>45809</v>
      </c>
      <c r="C4321">
        <v>841520</v>
      </c>
      <c r="D4321" t="s">
        <v>176</v>
      </c>
      <c r="E4321">
        <v>206543</v>
      </c>
      <c r="F4321">
        <v>1459</v>
      </c>
      <c r="G4321">
        <v>9589</v>
      </c>
      <c r="H4321">
        <f>_xlfn.XLOOKUP(FACT_IMPORTS[[#This Row],[hts_6]],DIM_PRODUCTS[hts_6],DIM_PRODUCTS[hts_4],,,)</f>
        <v>8415</v>
      </c>
      <c r="I4321" t="str" cm="1">
        <f t="array" ref="I4321">_xlfn.XLOOKUP(FACT_IMPORTS[[#This Row],[country_name]],DIM_COUNTRY[[#All],[Column2]],DIM_COUNTRY[[#All],[Column3]],,,)</f>
        <v>China</v>
      </c>
    </row>
    <row r="4322" spans="1:9" x14ac:dyDescent="0.4">
      <c r="A4322" t="s">
        <v>66</v>
      </c>
      <c r="B4322" s="1">
        <v>45809</v>
      </c>
      <c r="C4322">
        <v>842132</v>
      </c>
      <c r="D4322" t="s">
        <v>176</v>
      </c>
      <c r="E4322">
        <v>2228</v>
      </c>
      <c r="F4322">
        <v>5</v>
      </c>
      <c r="G4322">
        <v>511</v>
      </c>
      <c r="H4322">
        <f>_xlfn.XLOOKUP(FACT_IMPORTS[[#This Row],[hts_6]],DIM_PRODUCTS[hts_6],DIM_PRODUCTS[hts_4],,,)</f>
        <v>8421</v>
      </c>
      <c r="I4322" t="str" cm="1">
        <f t="array" ref="I4322">_xlfn.XLOOKUP(FACT_IMPORTS[[#This Row],[country_name]],DIM_COUNTRY[[#All],[Column2]],DIM_COUNTRY[[#All],[Column3]],,,)</f>
        <v>China</v>
      </c>
    </row>
    <row r="4323" spans="1:9" x14ac:dyDescent="0.4">
      <c r="A4323" t="s">
        <v>66</v>
      </c>
      <c r="B4323" s="1">
        <v>45809</v>
      </c>
      <c r="C4323">
        <v>848210</v>
      </c>
      <c r="D4323" t="s">
        <v>176</v>
      </c>
      <c r="E4323">
        <v>454963</v>
      </c>
      <c r="F4323">
        <v>373418</v>
      </c>
      <c r="G4323">
        <v>5409</v>
      </c>
      <c r="H4323">
        <f>_xlfn.XLOOKUP(FACT_IMPORTS[[#This Row],[hts_6]],DIM_PRODUCTS[hts_6],DIM_PRODUCTS[hts_4],,,)</f>
        <v>8482</v>
      </c>
      <c r="I4323" t="str" cm="1">
        <f t="array" ref="I4323">_xlfn.XLOOKUP(FACT_IMPORTS[[#This Row],[country_name]],DIM_COUNTRY[[#All],[Column2]],DIM_COUNTRY[[#All],[Column3]],,,)</f>
        <v>China</v>
      </c>
    </row>
    <row r="4324" spans="1:9" x14ac:dyDescent="0.4">
      <c r="A4324" t="s">
        <v>66</v>
      </c>
      <c r="B4324" s="1">
        <v>45809</v>
      </c>
      <c r="C4324">
        <v>848220</v>
      </c>
      <c r="D4324" t="s">
        <v>176</v>
      </c>
      <c r="E4324">
        <v>14404</v>
      </c>
      <c r="F4324">
        <v>408</v>
      </c>
      <c r="G4324">
        <v>827</v>
      </c>
      <c r="H4324">
        <f>_xlfn.XLOOKUP(FACT_IMPORTS[[#This Row],[hts_6]],DIM_PRODUCTS[hts_6],DIM_PRODUCTS[hts_4],,,)</f>
        <v>8482</v>
      </c>
      <c r="I4324" t="str" cm="1">
        <f t="array" ref="I4324">_xlfn.XLOOKUP(FACT_IMPORTS[[#This Row],[country_name]],DIM_COUNTRY[[#All],[Column2]],DIM_COUNTRY[[#All],[Column3]],,,)</f>
        <v>China</v>
      </c>
    </row>
    <row r="4325" spans="1:9" x14ac:dyDescent="0.4">
      <c r="A4325" t="s">
        <v>66</v>
      </c>
      <c r="B4325" s="1">
        <v>45809</v>
      </c>
      <c r="C4325">
        <v>848310</v>
      </c>
      <c r="D4325" t="s">
        <v>176</v>
      </c>
      <c r="E4325">
        <v>1866580</v>
      </c>
      <c r="F4325">
        <v>281183</v>
      </c>
      <c r="G4325">
        <v>111378</v>
      </c>
      <c r="H4325">
        <f>_xlfn.XLOOKUP(FACT_IMPORTS[[#This Row],[hts_6]],DIM_PRODUCTS[hts_6],DIM_PRODUCTS[hts_4],,,)</f>
        <v>8483</v>
      </c>
      <c r="I4325" t="str" cm="1">
        <f t="array" ref="I4325">_xlfn.XLOOKUP(FACT_IMPORTS[[#This Row],[country_name]],DIM_COUNTRY[[#All],[Column2]],DIM_COUNTRY[[#All],[Column3]],,,)</f>
        <v>China</v>
      </c>
    </row>
    <row r="4326" spans="1:9" x14ac:dyDescent="0.4">
      <c r="A4326" t="s">
        <v>66</v>
      </c>
      <c r="B4326" s="1">
        <v>45809</v>
      </c>
      <c r="C4326">
        <v>850131</v>
      </c>
      <c r="D4326" t="s">
        <v>176</v>
      </c>
      <c r="E4326">
        <v>1411634</v>
      </c>
      <c r="F4326">
        <v>241172</v>
      </c>
      <c r="G4326">
        <v>89830</v>
      </c>
      <c r="H4326">
        <f>_xlfn.XLOOKUP(FACT_IMPORTS[[#This Row],[hts_6]],DIM_PRODUCTS[hts_6],DIM_PRODUCTS[hts_4],,,)</f>
        <v>8501</v>
      </c>
      <c r="I4326" t="str" cm="1">
        <f t="array" ref="I4326">_xlfn.XLOOKUP(FACT_IMPORTS[[#This Row],[country_name]],DIM_COUNTRY[[#All],[Column2]],DIM_COUNTRY[[#All],[Column3]],,,)</f>
        <v>China</v>
      </c>
    </row>
    <row r="4327" spans="1:9" x14ac:dyDescent="0.4">
      <c r="A4327" t="s">
        <v>66</v>
      </c>
      <c r="B4327" s="1">
        <v>45809</v>
      </c>
      <c r="C4327">
        <v>850132</v>
      </c>
      <c r="D4327" t="s">
        <v>176</v>
      </c>
      <c r="E4327">
        <v>0</v>
      </c>
      <c r="F4327">
        <v>0</v>
      </c>
      <c r="G4327">
        <v>0</v>
      </c>
      <c r="H4327">
        <f>_xlfn.XLOOKUP(FACT_IMPORTS[[#This Row],[hts_6]],DIM_PRODUCTS[hts_6],DIM_PRODUCTS[hts_4],,,)</f>
        <v>8501</v>
      </c>
      <c r="I4327" t="str" cm="1">
        <f t="array" ref="I4327">_xlfn.XLOOKUP(FACT_IMPORTS[[#This Row],[country_name]],DIM_COUNTRY[[#All],[Column2]],DIM_COUNTRY[[#All],[Column3]],,,)</f>
        <v>China</v>
      </c>
    </row>
    <row r="4328" spans="1:9" x14ac:dyDescent="0.4">
      <c r="A4328" t="s">
        <v>66</v>
      </c>
      <c r="B4328" s="1">
        <v>45809</v>
      </c>
      <c r="C4328">
        <v>850133</v>
      </c>
      <c r="D4328" t="s">
        <v>176</v>
      </c>
      <c r="E4328">
        <v>0</v>
      </c>
      <c r="F4328">
        <v>0</v>
      </c>
      <c r="G4328">
        <v>0</v>
      </c>
      <c r="H4328">
        <f>_xlfn.XLOOKUP(FACT_IMPORTS[[#This Row],[hts_6]],DIM_PRODUCTS[hts_6],DIM_PRODUCTS[hts_4],,,)</f>
        <v>8501</v>
      </c>
      <c r="I4328" t="str" cm="1">
        <f t="array" ref="I4328">_xlfn.XLOOKUP(FACT_IMPORTS[[#This Row],[country_name]],DIM_COUNTRY[[#All],[Column2]],DIM_COUNTRY[[#All],[Column3]],,,)</f>
        <v>China</v>
      </c>
    </row>
    <row r="4329" spans="1:9" x14ac:dyDescent="0.4">
      <c r="A4329" t="s">
        <v>66</v>
      </c>
      <c r="B4329" s="1">
        <v>45809</v>
      </c>
      <c r="C4329">
        <v>850152</v>
      </c>
      <c r="D4329" t="s">
        <v>176</v>
      </c>
      <c r="E4329">
        <v>283596</v>
      </c>
      <c r="F4329">
        <v>521</v>
      </c>
      <c r="G4329">
        <v>5915</v>
      </c>
      <c r="H4329">
        <f>_xlfn.XLOOKUP(FACT_IMPORTS[[#This Row],[hts_6]],DIM_PRODUCTS[hts_6],DIM_PRODUCTS[hts_4],,,)</f>
        <v>8501</v>
      </c>
      <c r="I4329" t="str" cm="1">
        <f t="array" ref="I4329">_xlfn.XLOOKUP(FACT_IMPORTS[[#This Row],[country_name]],DIM_COUNTRY[[#All],[Column2]],DIM_COUNTRY[[#All],[Column3]],,,)</f>
        <v>China</v>
      </c>
    </row>
    <row r="4330" spans="1:9" x14ac:dyDescent="0.4">
      <c r="A4330" t="s">
        <v>66</v>
      </c>
      <c r="B4330" s="1">
        <v>45809</v>
      </c>
      <c r="C4330">
        <v>850153</v>
      </c>
      <c r="D4330" t="s">
        <v>176</v>
      </c>
      <c r="E4330">
        <v>0</v>
      </c>
      <c r="F4330">
        <v>0</v>
      </c>
      <c r="G4330">
        <v>0</v>
      </c>
      <c r="H4330">
        <f>_xlfn.XLOOKUP(FACT_IMPORTS[[#This Row],[hts_6]],DIM_PRODUCTS[hts_6],DIM_PRODUCTS[hts_4],,,)</f>
        <v>8501</v>
      </c>
      <c r="I4330" t="str" cm="1">
        <f t="array" ref="I4330">_xlfn.XLOOKUP(FACT_IMPORTS[[#This Row],[country_name]],DIM_COUNTRY[[#All],[Column2]],DIM_COUNTRY[[#All],[Column3]],,,)</f>
        <v>China</v>
      </c>
    </row>
    <row r="4331" spans="1:9" x14ac:dyDescent="0.4">
      <c r="A4331" t="s">
        <v>66</v>
      </c>
      <c r="B4331" s="1">
        <v>45809</v>
      </c>
      <c r="C4331">
        <v>850161</v>
      </c>
      <c r="D4331" t="s">
        <v>176</v>
      </c>
      <c r="E4331">
        <v>0</v>
      </c>
      <c r="F4331">
        <v>0</v>
      </c>
      <c r="G4331">
        <v>0</v>
      </c>
      <c r="H4331">
        <f>_xlfn.XLOOKUP(FACT_IMPORTS[[#This Row],[hts_6]],DIM_PRODUCTS[hts_6],DIM_PRODUCTS[hts_4],,,)</f>
        <v>8501</v>
      </c>
      <c r="I4331" t="str" cm="1">
        <f t="array" ref="I4331">_xlfn.XLOOKUP(FACT_IMPORTS[[#This Row],[country_name]],DIM_COUNTRY[[#All],[Column2]],DIM_COUNTRY[[#All],[Column3]],,,)</f>
        <v>China</v>
      </c>
    </row>
    <row r="4332" spans="1:9" x14ac:dyDescent="0.4">
      <c r="A4332" t="s">
        <v>66</v>
      </c>
      <c r="B4332" s="1">
        <v>45809</v>
      </c>
      <c r="C4332">
        <v>850440</v>
      </c>
      <c r="D4332" t="s">
        <v>176</v>
      </c>
      <c r="E4332">
        <v>1601805</v>
      </c>
      <c r="F4332">
        <v>52840</v>
      </c>
      <c r="G4332">
        <v>30924</v>
      </c>
      <c r="H4332">
        <f>_xlfn.XLOOKUP(FACT_IMPORTS[[#This Row],[hts_6]],DIM_PRODUCTS[hts_6],DIM_PRODUCTS[hts_4],,,)</f>
        <v>8504</v>
      </c>
      <c r="I4332" t="str" cm="1">
        <f t="array" ref="I4332">_xlfn.XLOOKUP(FACT_IMPORTS[[#This Row],[country_name]],DIM_COUNTRY[[#All],[Column2]],DIM_COUNTRY[[#All],[Column3]],,,)</f>
        <v>China</v>
      </c>
    </row>
    <row r="4333" spans="1:9" x14ac:dyDescent="0.4">
      <c r="A4333" t="s">
        <v>66</v>
      </c>
      <c r="B4333" s="1">
        <v>45809</v>
      </c>
      <c r="C4333">
        <v>850710</v>
      </c>
      <c r="D4333" t="s">
        <v>176</v>
      </c>
      <c r="E4333">
        <v>42829</v>
      </c>
      <c r="F4333">
        <v>988</v>
      </c>
      <c r="G4333">
        <v>579</v>
      </c>
      <c r="H4333">
        <f>_xlfn.XLOOKUP(FACT_IMPORTS[[#This Row],[hts_6]],DIM_PRODUCTS[hts_6],DIM_PRODUCTS[hts_4],,,)</f>
        <v>8507</v>
      </c>
      <c r="I4333" t="str" cm="1">
        <f t="array" ref="I4333">_xlfn.XLOOKUP(FACT_IMPORTS[[#This Row],[country_name]],DIM_COUNTRY[[#All],[Column2]],DIM_COUNTRY[[#All],[Column3]],,,)</f>
        <v>China</v>
      </c>
    </row>
    <row r="4334" spans="1:9" x14ac:dyDescent="0.4">
      <c r="A4334" t="s">
        <v>66</v>
      </c>
      <c r="B4334" s="1">
        <v>45809</v>
      </c>
      <c r="C4334">
        <v>850760</v>
      </c>
      <c r="D4334" t="s">
        <v>176</v>
      </c>
      <c r="E4334">
        <v>1201429</v>
      </c>
      <c r="F4334">
        <v>13555</v>
      </c>
      <c r="G4334">
        <v>45245</v>
      </c>
      <c r="H4334">
        <f>_xlfn.XLOOKUP(FACT_IMPORTS[[#This Row],[hts_6]],DIM_PRODUCTS[hts_6],DIM_PRODUCTS[hts_4],,,)</f>
        <v>8507</v>
      </c>
      <c r="I4334" t="str" cm="1">
        <f t="array" ref="I4334">_xlfn.XLOOKUP(FACT_IMPORTS[[#This Row],[country_name]],DIM_COUNTRY[[#All],[Column2]],DIM_COUNTRY[[#All],[Column3]],,,)</f>
        <v>China</v>
      </c>
    </row>
    <row r="4335" spans="1:9" x14ac:dyDescent="0.4">
      <c r="A4335" t="s">
        <v>66</v>
      </c>
      <c r="B4335" s="1">
        <v>45809</v>
      </c>
      <c r="C4335">
        <v>850790</v>
      </c>
      <c r="D4335" t="s">
        <v>176</v>
      </c>
      <c r="E4335">
        <v>0</v>
      </c>
      <c r="F4335">
        <v>0</v>
      </c>
      <c r="G4335">
        <v>0</v>
      </c>
      <c r="H4335">
        <f>_xlfn.XLOOKUP(FACT_IMPORTS[[#This Row],[hts_6]],DIM_PRODUCTS[hts_6],DIM_PRODUCTS[hts_4],,,)</f>
        <v>8507</v>
      </c>
      <c r="I4335" t="str" cm="1">
        <f t="array" ref="I4335">_xlfn.XLOOKUP(FACT_IMPORTS[[#This Row],[country_name]],DIM_COUNTRY[[#All],[Column2]],DIM_COUNTRY[[#All],[Column3]],,,)</f>
        <v>China</v>
      </c>
    </row>
    <row r="4336" spans="1:9" x14ac:dyDescent="0.4">
      <c r="A4336" t="s">
        <v>66</v>
      </c>
      <c r="B4336" s="1">
        <v>45809</v>
      </c>
      <c r="C4336">
        <v>851110</v>
      </c>
      <c r="D4336" t="s">
        <v>176</v>
      </c>
      <c r="E4336">
        <v>0</v>
      </c>
      <c r="F4336">
        <v>0</v>
      </c>
      <c r="G4336">
        <v>0</v>
      </c>
      <c r="H4336">
        <f>_xlfn.XLOOKUP(FACT_IMPORTS[[#This Row],[hts_6]],DIM_PRODUCTS[hts_6],DIM_PRODUCTS[hts_4],,,)</f>
        <v>8511</v>
      </c>
      <c r="I4336" t="str" cm="1">
        <f t="array" ref="I4336">_xlfn.XLOOKUP(FACT_IMPORTS[[#This Row],[country_name]],DIM_COUNTRY[[#All],[Column2]],DIM_COUNTRY[[#All],[Column3]],,,)</f>
        <v>China</v>
      </c>
    </row>
    <row r="4337" spans="1:9" x14ac:dyDescent="0.4">
      <c r="A4337" t="s">
        <v>66</v>
      </c>
      <c r="B4337" s="1">
        <v>45809</v>
      </c>
      <c r="C4337">
        <v>851120</v>
      </c>
      <c r="D4337" t="s">
        <v>176</v>
      </c>
      <c r="E4337">
        <v>0</v>
      </c>
      <c r="F4337">
        <v>0</v>
      </c>
      <c r="G4337">
        <v>0</v>
      </c>
      <c r="H4337">
        <f>_xlfn.XLOOKUP(FACT_IMPORTS[[#This Row],[hts_6]],DIM_PRODUCTS[hts_6],DIM_PRODUCTS[hts_4],,,)</f>
        <v>8511</v>
      </c>
      <c r="I4337" t="str" cm="1">
        <f t="array" ref="I4337">_xlfn.XLOOKUP(FACT_IMPORTS[[#This Row],[country_name]],DIM_COUNTRY[[#All],[Column2]],DIM_COUNTRY[[#All],[Column3]],,,)</f>
        <v>China</v>
      </c>
    </row>
    <row r="4338" spans="1:9" x14ac:dyDescent="0.4">
      <c r="A4338" t="s">
        <v>66</v>
      </c>
      <c r="B4338" s="1">
        <v>45809</v>
      </c>
      <c r="C4338">
        <v>851130</v>
      </c>
      <c r="D4338" t="s">
        <v>176</v>
      </c>
      <c r="E4338">
        <v>7286</v>
      </c>
      <c r="F4338">
        <v>363</v>
      </c>
      <c r="G4338">
        <v>43</v>
      </c>
      <c r="H4338">
        <f>_xlfn.XLOOKUP(FACT_IMPORTS[[#This Row],[hts_6]],DIM_PRODUCTS[hts_6],DIM_PRODUCTS[hts_4],,,)</f>
        <v>8511</v>
      </c>
      <c r="I4338" t="str" cm="1">
        <f t="array" ref="I4338">_xlfn.XLOOKUP(FACT_IMPORTS[[#This Row],[country_name]],DIM_COUNTRY[[#All],[Column2]],DIM_COUNTRY[[#All],[Column3]],,,)</f>
        <v>China</v>
      </c>
    </row>
    <row r="4339" spans="1:9" x14ac:dyDescent="0.4">
      <c r="A4339" t="s">
        <v>66</v>
      </c>
      <c r="B4339" s="1">
        <v>45809</v>
      </c>
      <c r="C4339">
        <v>851140</v>
      </c>
      <c r="D4339" t="s">
        <v>176</v>
      </c>
      <c r="E4339">
        <v>323975</v>
      </c>
      <c r="F4339">
        <v>5522</v>
      </c>
      <c r="G4339">
        <v>8241</v>
      </c>
      <c r="H4339">
        <f>_xlfn.XLOOKUP(FACT_IMPORTS[[#This Row],[hts_6]],DIM_PRODUCTS[hts_6],DIM_PRODUCTS[hts_4],,,)</f>
        <v>8511</v>
      </c>
      <c r="I4339" t="str" cm="1">
        <f t="array" ref="I4339">_xlfn.XLOOKUP(FACT_IMPORTS[[#This Row],[country_name]],DIM_COUNTRY[[#All],[Column2]],DIM_COUNTRY[[#All],[Column3]],,,)</f>
        <v>China</v>
      </c>
    </row>
    <row r="4340" spans="1:9" x14ac:dyDescent="0.4">
      <c r="A4340" t="s">
        <v>66</v>
      </c>
      <c r="B4340" s="1">
        <v>45809</v>
      </c>
      <c r="C4340">
        <v>851150</v>
      </c>
      <c r="D4340" t="s">
        <v>176</v>
      </c>
      <c r="E4340">
        <v>212873</v>
      </c>
      <c r="F4340">
        <v>3886</v>
      </c>
      <c r="G4340">
        <v>2440</v>
      </c>
      <c r="H4340">
        <f>_xlfn.XLOOKUP(FACT_IMPORTS[[#This Row],[hts_6]],DIM_PRODUCTS[hts_6],DIM_PRODUCTS[hts_4],,,)</f>
        <v>8511</v>
      </c>
      <c r="I4340" t="str" cm="1">
        <f t="array" ref="I4340">_xlfn.XLOOKUP(FACT_IMPORTS[[#This Row],[country_name]],DIM_COUNTRY[[#All],[Column2]],DIM_COUNTRY[[#All],[Column3]],,,)</f>
        <v>China</v>
      </c>
    </row>
    <row r="4341" spans="1:9" x14ac:dyDescent="0.4">
      <c r="A4341" t="s">
        <v>66</v>
      </c>
      <c r="B4341" s="1">
        <v>45809</v>
      </c>
      <c r="C4341">
        <v>851180</v>
      </c>
      <c r="D4341" t="s">
        <v>176</v>
      </c>
      <c r="E4341">
        <v>12382</v>
      </c>
      <c r="F4341">
        <v>364</v>
      </c>
      <c r="G4341">
        <v>33</v>
      </c>
      <c r="H4341">
        <f>_xlfn.XLOOKUP(FACT_IMPORTS[[#This Row],[hts_6]],DIM_PRODUCTS[hts_6],DIM_PRODUCTS[hts_4],,,)</f>
        <v>8511</v>
      </c>
      <c r="I4341" t="str" cm="1">
        <f t="array" ref="I4341">_xlfn.XLOOKUP(FACT_IMPORTS[[#This Row],[country_name]],DIM_COUNTRY[[#All],[Column2]],DIM_COUNTRY[[#All],[Column3]],,,)</f>
        <v>China</v>
      </c>
    </row>
    <row r="4342" spans="1:9" x14ac:dyDescent="0.4">
      <c r="A4342" t="s">
        <v>66</v>
      </c>
      <c r="B4342" s="1">
        <v>45809</v>
      </c>
      <c r="C4342">
        <v>851190</v>
      </c>
      <c r="D4342" t="s">
        <v>176</v>
      </c>
      <c r="E4342">
        <v>3308</v>
      </c>
      <c r="F4342">
        <v>12</v>
      </c>
      <c r="G4342">
        <v>45</v>
      </c>
      <c r="H4342">
        <f>_xlfn.XLOOKUP(FACT_IMPORTS[[#This Row],[hts_6]],DIM_PRODUCTS[hts_6],DIM_PRODUCTS[hts_4],,,)</f>
        <v>8511</v>
      </c>
      <c r="I4342" t="str" cm="1">
        <f t="array" ref="I4342">_xlfn.XLOOKUP(FACT_IMPORTS[[#This Row],[country_name]],DIM_COUNTRY[[#All],[Column2]],DIM_COUNTRY[[#All],[Column3]],,,)</f>
        <v>China</v>
      </c>
    </row>
    <row r="4343" spans="1:9" x14ac:dyDescent="0.4">
      <c r="A4343" t="s">
        <v>66</v>
      </c>
      <c r="B4343" s="1">
        <v>45809</v>
      </c>
      <c r="C4343">
        <v>851220</v>
      </c>
      <c r="D4343" t="s">
        <v>176</v>
      </c>
      <c r="E4343">
        <v>3591264</v>
      </c>
      <c r="F4343">
        <v>567014</v>
      </c>
      <c r="G4343">
        <v>63645</v>
      </c>
      <c r="H4343">
        <f>_xlfn.XLOOKUP(FACT_IMPORTS[[#This Row],[hts_6]],DIM_PRODUCTS[hts_6],DIM_PRODUCTS[hts_4],,,)</f>
        <v>8512</v>
      </c>
      <c r="I4343" t="str" cm="1">
        <f t="array" ref="I4343">_xlfn.XLOOKUP(FACT_IMPORTS[[#This Row],[country_name]],DIM_COUNTRY[[#All],[Column2]],DIM_COUNTRY[[#All],[Column3]],,,)</f>
        <v>China</v>
      </c>
    </row>
    <row r="4344" spans="1:9" x14ac:dyDescent="0.4">
      <c r="A4344" t="s">
        <v>66</v>
      </c>
      <c r="B4344" s="1">
        <v>45809</v>
      </c>
      <c r="C4344">
        <v>851230</v>
      </c>
      <c r="D4344" t="s">
        <v>176</v>
      </c>
      <c r="E4344">
        <v>5022</v>
      </c>
      <c r="F4344">
        <v>1204</v>
      </c>
      <c r="G4344">
        <v>52</v>
      </c>
      <c r="H4344">
        <f>_xlfn.XLOOKUP(FACT_IMPORTS[[#This Row],[hts_6]],DIM_PRODUCTS[hts_6],DIM_PRODUCTS[hts_4],,,)</f>
        <v>8512</v>
      </c>
      <c r="I4344" t="str" cm="1">
        <f t="array" ref="I4344">_xlfn.XLOOKUP(FACT_IMPORTS[[#This Row],[country_name]],DIM_COUNTRY[[#All],[Column2]],DIM_COUNTRY[[#All],[Column3]],,,)</f>
        <v>China</v>
      </c>
    </row>
    <row r="4345" spans="1:9" x14ac:dyDescent="0.4">
      <c r="A4345" t="s">
        <v>66</v>
      </c>
      <c r="B4345" s="1">
        <v>45809</v>
      </c>
      <c r="C4345">
        <v>851240</v>
      </c>
      <c r="D4345" t="s">
        <v>176</v>
      </c>
      <c r="E4345">
        <v>107426</v>
      </c>
      <c r="F4345">
        <v>8928</v>
      </c>
      <c r="G4345">
        <v>79584</v>
      </c>
      <c r="H4345">
        <f>_xlfn.XLOOKUP(FACT_IMPORTS[[#This Row],[hts_6]],DIM_PRODUCTS[hts_6],DIM_PRODUCTS[hts_4],,,)</f>
        <v>8512</v>
      </c>
      <c r="I4345" t="str" cm="1">
        <f t="array" ref="I4345">_xlfn.XLOOKUP(FACT_IMPORTS[[#This Row],[country_name]],DIM_COUNTRY[[#All],[Column2]],DIM_COUNTRY[[#All],[Column3]],,,)</f>
        <v>China</v>
      </c>
    </row>
    <row r="4346" spans="1:9" x14ac:dyDescent="0.4">
      <c r="A4346" t="s">
        <v>66</v>
      </c>
      <c r="B4346" s="1">
        <v>45809</v>
      </c>
      <c r="C4346">
        <v>851290</v>
      </c>
      <c r="D4346" t="s">
        <v>176</v>
      </c>
      <c r="E4346">
        <v>227708</v>
      </c>
      <c r="F4346">
        <v>15832</v>
      </c>
      <c r="G4346">
        <v>7279</v>
      </c>
      <c r="H4346">
        <f>_xlfn.XLOOKUP(FACT_IMPORTS[[#This Row],[hts_6]],DIM_PRODUCTS[hts_6],DIM_PRODUCTS[hts_4],,,)</f>
        <v>8512</v>
      </c>
      <c r="I4346" t="str" cm="1">
        <f t="array" ref="I4346">_xlfn.XLOOKUP(FACT_IMPORTS[[#This Row],[country_name]],DIM_COUNTRY[[#All],[Column2]],DIM_COUNTRY[[#All],[Column3]],,,)</f>
        <v>China</v>
      </c>
    </row>
    <row r="4347" spans="1:9" x14ac:dyDescent="0.4">
      <c r="A4347" t="s">
        <v>66</v>
      </c>
      <c r="B4347" s="1">
        <v>45809</v>
      </c>
      <c r="C4347">
        <v>854231</v>
      </c>
      <c r="D4347" t="s">
        <v>176</v>
      </c>
      <c r="E4347">
        <v>8064</v>
      </c>
      <c r="F4347">
        <v>2</v>
      </c>
      <c r="G4347">
        <v>13</v>
      </c>
      <c r="H4347">
        <f>_xlfn.XLOOKUP(FACT_IMPORTS[[#This Row],[hts_6]],DIM_PRODUCTS[hts_6],DIM_PRODUCTS[hts_4],,,)</f>
        <v>8542</v>
      </c>
      <c r="I4347" t="str" cm="1">
        <f t="array" ref="I4347">_xlfn.XLOOKUP(FACT_IMPORTS[[#This Row],[country_name]],DIM_COUNTRY[[#All],[Column2]],DIM_COUNTRY[[#All],[Column3]],,,)</f>
        <v>China</v>
      </c>
    </row>
    <row r="4348" spans="1:9" x14ac:dyDescent="0.4">
      <c r="A4348" t="s">
        <v>66</v>
      </c>
      <c r="B4348" s="1">
        <v>45809</v>
      </c>
      <c r="C4348">
        <v>854232</v>
      </c>
      <c r="D4348" t="s">
        <v>176</v>
      </c>
      <c r="E4348">
        <v>0</v>
      </c>
      <c r="F4348">
        <v>0</v>
      </c>
      <c r="G4348">
        <v>0</v>
      </c>
      <c r="H4348">
        <f>_xlfn.XLOOKUP(FACT_IMPORTS[[#This Row],[hts_6]],DIM_PRODUCTS[hts_6],DIM_PRODUCTS[hts_4],,,)</f>
        <v>8542</v>
      </c>
      <c r="I4348" t="str" cm="1">
        <f t="array" ref="I4348">_xlfn.XLOOKUP(FACT_IMPORTS[[#This Row],[country_name]],DIM_COUNTRY[[#All],[Column2]],DIM_COUNTRY[[#All],[Column3]],,,)</f>
        <v>China</v>
      </c>
    </row>
    <row r="4349" spans="1:9" x14ac:dyDescent="0.4">
      <c r="A4349" t="s">
        <v>66</v>
      </c>
      <c r="B4349" s="1">
        <v>45809</v>
      </c>
      <c r="C4349">
        <v>854233</v>
      </c>
      <c r="D4349" t="s">
        <v>176</v>
      </c>
      <c r="E4349">
        <v>0</v>
      </c>
      <c r="F4349">
        <v>0</v>
      </c>
      <c r="G4349">
        <v>0</v>
      </c>
      <c r="H4349">
        <f>_xlfn.XLOOKUP(FACT_IMPORTS[[#This Row],[hts_6]],DIM_PRODUCTS[hts_6],DIM_PRODUCTS[hts_4],,,)</f>
        <v>8542</v>
      </c>
      <c r="I4349" t="str" cm="1">
        <f t="array" ref="I4349">_xlfn.XLOOKUP(FACT_IMPORTS[[#This Row],[country_name]],DIM_COUNTRY[[#All],[Column2]],DIM_COUNTRY[[#All],[Column3]],,,)</f>
        <v>China</v>
      </c>
    </row>
    <row r="4350" spans="1:9" x14ac:dyDescent="0.4">
      <c r="A4350" t="s">
        <v>66</v>
      </c>
      <c r="B4350" s="1">
        <v>45809</v>
      </c>
      <c r="C4350">
        <v>854239</v>
      </c>
      <c r="D4350" t="s">
        <v>176</v>
      </c>
      <c r="E4350">
        <v>30248</v>
      </c>
      <c r="F4350">
        <v>90000</v>
      </c>
      <c r="G4350">
        <v>61</v>
      </c>
      <c r="H4350">
        <f>_xlfn.XLOOKUP(FACT_IMPORTS[[#This Row],[hts_6]],DIM_PRODUCTS[hts_6],DIM_PRODUCTS[hts_4],,,)</f>
        <v>8542</v>
      </c>
      <c r="I4350" t="str" cm="1">
        <f t="array" ref="I4350">_xlfn.XLOOKUP(FACT_IMPORTS[[#This Row],[country_name]],DIM_COUNTRY[[#All],[Column2]],DIM_COUNTRY[[#All],[Column3]],,,)</f>
        <v>China</v>
      </c>
    </row>
    <row r="4351" spans="1:9" x14ac:dyDescent="0.4">
      <c r="A4351" t="s">
        <v>66</v>
      </c>
      <c r="B4351" s="1">
        <v>45809</v>
      </c>
      <c r="C4351">
        <v>854290</v>
      </c>
      <c r="D4351" t="s">
        <v>176</v>
      </c>
      <c r="E4351">
        <v>0</v>
      </c>
      <c r="F4351">
        <v>0</v>
      </c>
      <c r="G4351">
        <v>0</v>
      </c>
      <c r="H4351">
        <f>_xlfn.XLOOKUP(FACT_IMPORTS[[#This Row],[hts_6]],DIM_PRODUCTS[hts_6],DIM_PRODUCTS[hts_4],,,)</f>
        <v>8542</v>
      </c>
      <c r="I4351" t="str" cm="1">
        <f t="array" ref="I4351">_xlfn.XLOOKUP(FACT_IMPORTS[[#This Row],[country_name]],DIM_COUNTRY[[#All],[Column2]],DIM_COUNTRY[[#All],[Column3]],,,)</f>
        <v>China</v>
      </c>
    </row>
    <row r="4352" spans="1:9" x14ac:dyDescent="0.4">
      <c r="A4352" t="s">
        <v>66</v>
      </c>
      <c r="B4352" s="1">
        <v>45809</v>
      </c>
      <c r="C4352">
        <v>854430</v>
      </c>
      <c r="D4352" t="s">
        <v>176</v>
      </c>
      <c r="E4352">
        <v>389298</v>
      </c>
      <c r="F4352">
        <v>32634</v>
      </c>
      <c r="G4352">
        <v>6877</v>
      </c>
      <c r="H4352">
        <f>_xlfn.XLOOKUP(FACT_IMPORTS[[#This Row],[hts_6]],DIM_PRODUCTS[hts_6],DIM_PRODUCTS[hts_4],,,)</f>
        <v>8544</v>
      </c>
      <c r="I4352" t="str" cm="1">
        <f t="array" ref="I4352">_xlfn.XLOOKUP(FACT_IMPORTS[[#This Row],[country_name]],DIM_COUNTRY[[#All],[Column2]],DIM_COUNTRY[[#All],[Column3]],,,)</f>
        <v>China</v>
      </c>
    </row>
    <row r="4353" spans="1:9" x14ac:dyDescent="0.4">
      <c r="A4353" t="s">
        <v>66</v>
      </c>
      <c r="B4353" s="1">
        <v>45809</v>
      </c>
      <c r="C4353">
        <v>870790</v>
      </c>
      <c r="D4353" t="s">
        <v>176</v>
      </c>
      <c r="E4353">
        <v>0</v>
      </c>
      <c r="F4353">
        <v>0</v>
      </c>
      <c r="G4353">
        <v>0</v>
      </c>
      <c r="H4353">
        <f>_xlfn.XLOOKUP(FACT_IMPORTS[[#This Row],[hts_6]],DIM_PRODUCTS[hts_6],DIM_PRODUCTS[hts_4],,,)</f>
        <v>8707</v>
      </c>
      <c r="I4353" t="str" cm="1">
        <f t="array" ref="I4353">_xlfn.XLOOKUP(FACT_IMPORTS[[#This Row],[country_name]],DIM_COUNTRY[[#All],[Column2]],DIM_COUNTRY[[#All],[Column3]],,,)</f>
        <v>China</v>
      </c>
    </row>
    <row r="4354" spans="1:9" x14ac:dyDescent="0.4">
      <c r="A4354" t="s">
        <v>66</v>
      </c>
      <c r="B4354" s="1">
        <v>45809</v>
      </c>
      <c r="C4354">
        <v>870810</v>
      </c>
      <c r="D4354" t="s">
        <v>176</v>
      </c>
      <c r="E4354">
        <v>521889</v>
      </c>
      <c r="F4354">
        <v>24983</v>
      </c>
      <c r="G4354">
        <v>43934</v>
      </c>
      <c r="H4354">
        <f>_xlfn.XLOOKUP(FACT_IMPORTS[[#This Row],[hts_6]],DIM_PRODUCTS[hts_6],DIM_PRODUCTS[hts_4],,,)</f>
        <v>8708</v>
      </c>
      <c r="I4354" t="str" cm="1">
        <f t="array" ref="I4354">_xlfn.XLOOKUP(FACT_IMPORTS[[#This Row],[country_name]],DIM_COUNTRY[[#All],[Column2]],DIM_COUNTRY[[#All],[Column3]],,,)</f>
        <v>China</v>
      </c>
    </row>
    <row r="4355" spans="1:9" x14ac:dyDescent="0.4">
      <c r="A4355" t="s">
        <v>66</v>
      </c>
      <c r="B4355" s="1">
        <v>45809</v>
      </c>
      <c r="C4355">
        <v>870821</v>
      </c>
      <c r="D4355" t="s">
        <v>176</v>
      </c>
      <c r="E4355">
        <v>4846</v>
      </c>
      <c r="F4355">
        <v>237</v>
      </c>
      <c r="G4355">
        <v>49</v>
      </c>
      <c r="H4355">
        <f>_xlfn.XLOOKUP(FACT_IMPORTS[[#This Row],[hts_6]],DIM_PRODUCTS[hts_6],DIM_PRODUCTS[hts_4],,,)</f>
        <v>8708</v>
      </c>
      <c r="I4355" t="str" cm="1">
        <f t="array" ref="I4355">_xlfn.XLOOKUP(FACT_IMPORTS[[#This Row],[country_name]],DIM_COUNTRY[[#All],[Column2]],DIM_COUNTRY[[#All],[Column3]],,,)</f>
        <v>China</v>
      </c>
    </row>
    <row r="4356" spans="1:9" x14ac:dyDescent="0.4">
      <c r="A4356" t="s">
        <v>66</v>
      </c>
      <c r="B4356" s="1">
        <v>45809</v>
      </c>
      <c r="C4356">
        <v>870822</v>
      </c>
      <c r="D4356" t="s">
        <v>176</v>
      </c>
      <c r="E4356">
        <v>2247718</v>
      </c>
      <c r="F4356">
        <v>368945</v>
      </c>
      <c r="G4356">
        <v>478133</v>
      </c>
      <c r="H4356">
        <f>_xlfn.XLOOKUP(FACT_IMPORTS[[#This Row],[hts_6]],DIM_PRODUCTS[hts_6],DIM_PRODUCTS[hts_4],,,)</f>
        <v>8708</v>
      </c>
      <c r="I4356" t="str" cm="1">
        <f t="array" ref="I4356">_xlfn.XLOOKUP(FACT_IMPORTS[[#This Row],[country_name]],DIM_COUNTRY[[#All],[Column2]],DIM_COUNTRY[[#All],[Column3]],,,)</f>
        <v>China</v>
      </c>
    </row>
    <row r="4357" spans="1:9" x14ac:dyDescent="0.4">
      <c r="A4357" t="s">
        <v>66</v>
      </c>
      <c r="B4357" s="1">
        <v>45809</v>
      </c>
      <c r="C4357">
        <v>870829</v>
      </c>
      <c r="D4357" t="s">
        <v>176</v>
      </c>
      <c r="E4357">
        <v>15730763</v>
      </c>
      <c r="F4357">
        <v>3179610</v>
      </c>
      <c r="G4357">
        <v>902406</v>
      </c>
      <c r="H4357">
        <f>_xlfn.XLOOKUP(FACT_IMPORTS[[#This Row],[hts_6]],DIM_PRODUCTS[hts_6],DIM_PRODUCTS[hts_4],,,)</f>
        <v>8708</v>
      </c>
      <c r="I4357" t="str" cm="1">
        <f t="array" ref="I4357">_xlfn.XLOOKUP(FACT_IMPORTS[[#This Row],[country_name]],DIM_COUNTRY[[#All],[Column2]],DIM_COUNTRY[[#All],[Column3]],,,)</f>
        <v>China</v>
      </c>
    </row>
    <row r="4358" spans="1:9" x14ac:dyDescent="0.4">
      <c r="A4358" t="s">
        <v>66</v>
      </c>
      <c r="B4358" s="1">
        <v>45809</v>
      </c>
      <c r="C4358">
        <v>870830</v>
      </c>
      <c r="D4358" t="s">
        <v>176</v>
      </c>
      <c r="E4358">
        <v>4139507</v>
      </c>
      <c r="F4358">
        <v>614604</v>
      </c>
      <c r="G4358">
        <v>160827</v>
      </c>
      <c r="H4358">
        <f>_xlfn.XLOOKUP(FACT_IMPORTS[[#This Row],[hts_6]],DIM_PRODUCTS[hts_6],DIM_PRODUCTS[hts_4],,,)</f>
        <v>8708</v>
      </c>
      <c r="I4358" t="str" cm="1">
        <f t="array" ref="I4358">_xlfn.XLOOKUP(FACT_IMPORTS[[#This Row],[country_name]],DIM_COUNTRY[[#All],[Column2]],DIM_COUNTRY[[#All],[Column3]],,,)</f>
        <v>China</v>
      </c>
    </row>
    <row r="4359" spans="1:9" x14ac:dyDescent="0.4">
      <c r="A4359" t="s">
        <v>66</v>
      </c>
      <c r="B4359" s="1">
        <v>45809</v>
      </c>
      <c r="C4359">
        <v>870840</v>
      </c>
      <c r="D4359" t="s">
        <v>176</v>
      </c>
      <c r="E4359">
        <v>3030213</v>
      </c>
      <c r="F4359">
        <v>646296</v>
      </c>
      <c r="G4359">
        <v>112706</v>
      </c>
      <c r="H4359">
        <f>_xlfn.XLOOKUP(FACT_IMPORTS[[#This Row],[hts_6]],DIM_PRODUCTS[hts_6],DIM_PRODUCTS[hts_4],,,)</f>
        <v>8708</v>
      </c>
      <c r="I4359" t="str" cm="1">
        <f t="array" ref="I4359">_xlfn.XLOOKUP(FACT_IMPORTS[[#This Row],[country_name]],DIM_COUNTRY[[#All],[Column2]],DIM_COUNTRY[[#All],[Column3]],,,)</f>
        <v>China</v>
      </c>
    </row>
    <row r="4360" spans="1:9" x14ac:dyDescent="0.4">
      <c r="A4360" t="s">
        <v>66</v>
      </c>
      <c r="B4360" s="1">
        <v>45809</v>
      </c>
      <c r="C4360">
        <v>870850</v>
      </c>
      <c r="D4360" t="s">
        <v>176</v>
      </c>
      <c r="E4360">
        <v>2603069</v>
      </c>
      <c r="F4360">
        <v>562440</v>
      </c>
      <c r="G4360">
        <v>53474</v>
      </c>
      <c r="H4360">
        <f>_xlfn.XLOOKUP(FACT_IMPORTS[[#This Row],[hts_6]],DIM_PRODUCTS[hts_6],DIM_PRODUCTS[hts_4],,,)</f>
        <v>8708</v>
      </c>
      <c r="I4360" t="str" cm="1">
        <f t="array" ref="I4360">_xlfn.XLOOKUP(FACT_IMPORTS[[#This Row],[country_name]],DIM_COUNTRY[[#All],[Column2]],DIM_COUNTRY[[#All],[Column3]],,,)</f>
        <v>China</v>
      </c>
    </row>
    <row r="4361" spans="1:9" x14ac:dyDescent="0.4">
      <c r="A4361" t="s">
        <v>66</v>
      </c>
      <c r="B4361" s="1">
        <v>45809</v>
      </c>
      <c r="C4361">
        <v>870870</v>
      </c>
      <c r="D4361" t="s">
        <v>176</v>
      </c>
      <c r="E4361">
        <v>39357830</v>
      </c>
      <c r="F4361">
        <v>1812253</v>
      </c>
      <c r="G4361">
        <v>8326641</v>
      </c>
      <c r="H4361">
        <f>_xlfn.XLOOKUP(FACT_IMPORTS[[#This Row],[hts_6]],DIM_PRODUCTS[hts_6],DIM_PRODUCTS[hts_4],,,)</f>
        <v>8708</v>
      </c>
      <c r="I4361" t="str" cm="1">
        <f t="array" ref="I4361">_xlfn.XLOOKUP(FACT_IMPORTS[[#This Row],[country_name]],DIM_COUNTRY[[#All],[Column2]],DIM_COUNTRY[[#All],[Column3]],,,)</f>
        <v>China</v>
      </c>
    </row>
    <row r="4362" spans="1:9" x14ac:dyDescent="0.4">
      <c r="A4362" t="s">
        <v>66</v>
      </c>
      <c r="B4362" s="1">
        <v>45809</v>
      </c>
      <c r="C4362">
        <v>870880</v>
      </c>
      <c r="D4362" t="s">
        <v>176</v>
      </c>
      <c r="E4362">
        <v>6652170</v>
      </c>
      <c r="F4362">
        <v>1893824</v>
      </c>
      <c r="G4362">
        <v>108680</v>
      </c>
      <c r="H4362">
        <f>_xlfn.XLOOKUP(FACT_IMPORTS[[#This Row],[hts_6]],DIM_PRODUCTS[hts_6],DIM_PRODUCTS[hts_4],,,)</f>
        <v>8708</v>
      </c>
      <c r="I4362" t="str" cm="1">
        <f t="array" ref="I4362">_xlfn.XLOOKUP(FACT_IMPORTS[[#This Row],[country_name]],DIM_COUNTRY[[#All],[Column2]],DIM_COUNTRY[[#All],[Column3]],,,)</f>
        <v>China</v>
      </c>
    </row>
    <row r="4363" spans="1:9" x14ac:dyDescent="0.4">
      <c r="A4363" t="s">
        <v>66</v>
      </c>
      <c r="B4363" s="1">
        <v>45809</v>
      </c>
      <c r="C4363">
        <v>870891</v>
      </c>
      <c r="D4363" t="s">
        <v>176</v>
      </c>
      <c r="E4363">
        <v>131521</v>
      </c>
      <c r="F4363">
        <v>2601</v>
      </c>
      <c r="G4363">
        <v>1252</v>
      </c>
      <c r="H4363">
        <f>_xlfn.XLOOKUP(FACT_IMPORTS[[#This Row],[hts_6]],DIM_PRODUCTS[hts_6],DIM_PRODUCTS[hts_4],,,)</f>
        <v>8708</v>
      </c>
      <c r="I4363" t="str" cm="1">
        <f t="array" ref="I4363">_xlfn.XLOOKUP(FACT_IMPORTS[[#This Row],[country_name]],DIM_COUNTRY[[#All],[Column2]],DIM_COUNTRY[[#All],[Column3]],,,)</f>
        <v>China</v>
      </c>
    </row>
    <row r="4364" spans="1:9" x14ac:dyDescent="0.4">
      <c r="A4364" t="s">
        <v>66</v>
      </c>
      <c r="B4364" s="1">
        <v>45809</v>
      </c>
      <c r="C4364">
        <v>870892</v>
      </c>
      <c r="D4364" t="s">
        <v>176</v>
      </c>
      <c r="E4364">
        <v>4348768</v>
      </c>
      <c r="F4364">
        <v>892990</v>
      </c>
      <c r="G4364">
        <v>294397</v>
      </c>
      <c r="H4364">
        <f>_xlfn.XLOOKUP(FACT_IMPORTS[[#This Row],[hts_6]],DIM_PRODUCTS[hts_6],DIM_PRODUCTS[hts_4],,,)</f>
        <v>8708</v>
      </c>
      <c r="I4364" t="str" cm="1">
        <f t="array" ref="I4364">_xlfn.XLOOKUP(FACT_IMPORTS[[#This Row],[country_name]],DIM_COUNTRY[[#All],[Column2]],DIM_COUNTRY[[#All],[Column3]],,,)</f>
        <v>China</v>
      </c>
    </row>
    <row r="4365" spans="1:9" x14ac:dyDescent="0.4">
      <c r="A4365" t="s">
        <v>66</v>
      </c>
      <c r="B4365" s="1">
        <v>45809</v>
      </c>
      <c r="C4365">
        <v>870893</v>
      </c>
      <c r="D4365" t="s">
        <v>176</v>
      </c>
      <c r="E4365">
        <v>235903</v>
      </c>
      <c r="F4365">
        <v>45898</v>
      </c>
      <c r="G4365">
        <v>20703</v>
      </c>
      <c r="H4365">
        <f>_xlfn.XLOOKUP(FACT_IMPORTS[[#This Row],[hts_6]],DIM_PRODUCTS[hts_6],DIM_PRODUCTS[hts_4],,,)</f>
        <v>8708</v>
      </c>
      <c r="I4365" t="str" cm="1">
        <f t="array" ref="I4365">_xlfn.XLOOKUP(FACT_IMPORTS[[#This Row],[country_name]],DIM_COUNTRY[[#All],[Column2]],DIM_COUNTRY[[#All],[Column3]],,,)</f>
        <v>China</v>
      </c>
    </row>
    <row r="4366" spans="1:9" x14ac:dyDescent="0.4">
      <c r="A4366" t="s">
        <v>66</v>
      </c>
      <c r="B4366" s="1">
        <v>45809</v>
      </c>
      <c r="C4366">
        <v>870894</v>
      </c>
      <c r="D4366" t="s">
        <v>176</v>
      </c>
      <c r="E4366">
        <v>3650568</v>
      </c>
      <c r="F4366">
        <v>298056</v>
      </c>
      <c r="G4366">
        <v>280118</v>
      </c>
      <c r="H4366">
        <f>_xlfn.XLOOKUP(FACT_IMPORTS[[#This Row],[hts_6]],DIM_PRODUCTS[hts_6],DIM_PRODUCTS[hts_4],,,)</f>
        <v>8708</v>
      </c>
      <c r="I4366" t="str" cm="1">
        <f t="array" ref="I4366">_xlfn.XLOOKUP(FACT_IMPORTS[[#This Row],[country_name]],DIM_COUNTRY[[#All],[Column2]],DIM_COUNTRY[[#All],[Column3]],,,)</f>
        <v>China</v>
      </c>
    </row>
    <row r="4367" spans="1:9" x14ac:dyDescent="0.4">
      <c r="A4367" t="s">
        <v>66</v>
      </c>
      <c r="B4367" s="1">
        <v>45809</v>
      </c>
      <c r="C4367">
        <v>870895</v>
      </c>
      <c r="D4367" t="s">
        <v>176</v>
      </c>
      <c r="E4367">
        <v>46976</v>
      </c>
      <c r="F4367">
        <v>328</v>
      </c>
      <c r="G4367">
        <v>65</v>
      </c>
      <c r="H4367">
        <f>_xlfn.XLOOKUP(FACT_IMPORTS[[#This Row],[hts_6]],DIM_PRODUCTS[hts_6],DIM_PRODUCTS[hts_4],,,)</f>
        <v>8708</v>
      </c>
      <c r="I4367" t="str" cm="1">
        <f t="array" ref="I4367">_xlfn.XLOOKUP(FACT_IMPORTS[[#This Row],[country_name]],DIM_COUNTRY[[#All],[Column2]],DIM_COUNTRY[[#All],[Column3]],,,)</f>
        <v>China</v>
      </c>
    </row>
    <row r="4368" spans="1:9" x14ac:dyDescent="0.4">
      <c r="A4368" t="s">
        <v>66</v>
      </c>
      <c r="B4368" s="1">
        <v>45809</v>
      </c>
      <c r="C4368">
        <v>870899</v>
      </c>
      <c r="D4368" t="s">
        <v>176</v>
      </c>
      <c r="E4368">
        <v>8621000</v>
      </c>
      <c r="F4368">
        <v>2050347</v>
      </c>
      <c r="G4368">
        <v>529756</v>
      </c>
      <c r="H4368">
        <f>_xlfn.XLOOKUP(FACT_IMPORTS[[#This Row],[hts_6]],DIM_PRODUCTS[hts_6],DIM_PRODUCTS[hts_4],,,)</f>
        <v>8708</v>
      </c>
      <c r="I4368" t="str" cm="1">
        <f t="array" ref="I4368">_xlfn.XLOOKUP(FACT_IMPORTS[[#This Row],[country_name]],DIM_COUNTRY[[#All],[Column2]],DIM_COUNTRY[[#All],[Column3]],,,)</f>
        <v>China</v>
      </c>
    </row>
    <row r="4369" spans="1:9" x14ac:dyDescent="0.4">
      <c r="A4369" t="s">
        <v>66</v>
      </c>
      <c r="B4369" s="1">
        <v>45809</v>
      </c>
      <c r="C4369">
        <v>940120</v>
      </c>
      <c r="D4369" t="s">
        <v>176</v>
      </c>
      <c r="E4369">
        <v>16441</v>
      </c>
      <c r="F4369">
        <v>37</v>
      </c>
      <c r="G4369">
        <v>2660</v>
      </c>
      <c r="H4369">
        <f>_xlfn.XLOOKUP(FACT_IMPORTS[[#This Row],[hts_6]],DIM_PRODUCTS[hts_6],DIM_PRODUCTS[hts_4],,,)</f>
        <v>9401</v>
      </c>
      <c r="I4369" t="str" cm="1">
        <f t="array" ref="I4369">_xlfn.XLOOKUP(FACT_IMPORTS[[#This Row],[country_name]],DIM_COUNTRY[[#All],[Column2]],DIM_COUNTRY[[#All],[Column3]],,,)</f>
        <v>China</v>
      </c>
    </row>
    <row r="4370" spans="1:9" x14ac:dyDescent="0.4">
      <c r="A4370" t="s">
        <v>66</v>
      </c>
      <c r="B4370" s="1">
        <v>45839</v>
      </c>
      <c r="C4370">
        <v>392630</v>
      </c>
      <c r="D4370" t="s">
        <v>176</v>
      </c>
      <c r="E4370">
        <v>1541402</v>
      </c>
      <c r="F4370">
        <v>195694</v>
      </c>
      <c r="G4370">
        <v>95614</v>
      </c>
      <c r="H4370">
        <f>_xlfn.XLOOKUP(FACT_IMPORTS[[#This Row],[hts_6]],DIM_PRODUCTS[hts_6],DIM_PRODUCTS[hts_4],,,)</f>
        <v>3926</v>
      </c>
      <c r="I4370" t="str" cm="1">
        <f t="array" ref="I4370">_xlfn.XLOOKUP(FACT_IMPORTS[[#This Row],[country_name]],DIM_COUNTRY[[#All],[Column2]],DIM_COUNTRY[[#All],[Column3]],,,)</f>
        <v>China</v>
      </c>
    </row>
    <row r="4371" spans="1:9" x14ac:dyDescent="0.4">
      <c r="A4371" t="s">
        <v>66</v>
      </c>
      <c r="B4371" s="1">
        <v>45839</v>
      </c>
      <c r="C4371">
        <v>401110</v>
      </c>
      <c r="D4371" t="s">
        <v>176</v>
      </c>
      <c r="E4371">
        <v>75811</v>
      </c>
      <c r="F4371">
        <v>475</v>
      </c>
      <c r="G4371">
        <v>151</v>
      </c>
      <c r="H4371">
        <f>_xlfn.XLOOKUP(FACT_IMPORTS[[#This Row],[hts_6]],DIM_PRODUCTS[hts_6],DIM_PRODUCTS[hts_4],,,)</f>
        <v>4011</v>
      </c>
      <c r="I4371" t="str" cm="1">
        <f t="array" ref="I4371">_xlfn.XLOOKUP(FACT_IMPORTS[[#This Row],[country_name]],DIM_COUNTRY[[#All],[Column2]],DIM_COUNTRY[[#All],[Column3]],,,)</f>
        <v>China</v>
      </c>
    </row>
    <row r="4372" spans="1:9" x14ac:dyDescent="0.4">
      <c r="A4372" t="s">
        <v>66</v>
      </c>
      <c r="B4372" s="1">
        <v>45839</v>
      </c>
      <c r="C4372">
        <v>401120</v>
      </c>
      <c r="D4372" t="s">
        <v>176</v>
      </c>
      <c r="E4372">
        <v>0</v>
      </c>
      <c r="F4372">
        <v>0</v>
      </c>
      <c r="G4372">
        <v>0</v>
      </c>
      <c r="H4372">
        <f>_xlfn.XLOOKUP(FACT_IMPORTS[[#This Row],[hts_6]],DIM_PRODUCTS[hts_6],DIM_PRODUCTS[hts_4],,,)</f>
        <v>4011</v>
      </c>
      <c r="I4372" t="str" cm="1">
        <f t="array" ref="I4372">_xlfn.XLOOKUP(FACT_IMPORTS[[#This Row],[country_name]],DIM_COUNTRY[[#All],[Column2]],DIM_COUNTRY[[#All],[Column3]],,,)</f>
        <v>China</v>
      </c>
    </row>
    <row r="4373" spans="1:9" x14ac:dyDescent="0.4">
      <c r="A4373" t="s">
        <v>66</v>
      </c>
      <c r="B4373" s="1">
        <v>45839</v>
      </c>
      <c r="C4373">
        <v>401140</v>
      </c>
      <c r="D4373" t="s">
        <v>176</v>
      </c>
      <c r="E4373">
        <v>38098</v>
      </c>
      <c r="F4373">
        <v>562</v>
      </c>
      <c r="G4373">
        <v>21</v>
      </c>
      <c r="H4373">
        <f>_xlfn.XLOOKUP(FACT_IMPORTS[[#This Row],[hts_6]],DIM_PRODUCTS[hts_6],DIM_PRODUCTS[hts_4],,,)</f>
        <v>4011</v>
      </c>
      <c r="I4373" t="str" cm="1">
        <f t="array" ref="I4373">_xlfn.XLOOKUP(FACT_IMPORTS[[#This Row],[country_name]],DIM_COUNTRY[[#All],[Column2]],DIM_COUNTRY[[#All],[Column3]],,,)</f>
        <v>China</v>
      </c>
    </row>
    <row r="4374" spans="1:9" x14ac:dyDescent="0.4">
      <c r="A4374" t="s">
        <v>66</v>
      </c>
      <c r="B4374" s="1">
        <v>45839</v>
      </c>
      <c r="C4374">
        <v>401190</v>
      </c>
      <c r="D4374" t="s">
        <v>176</v>
      </c>
      <c r="E4374">
        <v>53792</v>
      </c>
      <c r="F4374">
        <v>523</v>
      </c>
      <c r="G4374">
        <v>310</v>
      </c>
      <c r="H4374">
        <f>_xlfn.XLOOKUP(FACT_IMPORTS[[#This Row],[hts_6]],DIM_PRODUCTS[hts_6],DIM_PRODUCTS[hts_4],,,)</f>
        <v>4011</v>
      </c>
      <c r="I4374" t="str" cm="1">
        <f t="array" ref="I4374">_xlfn.XLOOKUP(FACT_IMPORTS[[#This Row],[country_name]],DIM_COUNTRY[[#All],[Column2]],DIM_COUNTRY[[#All],[Column3]],,,)</f>
        <v>China</v>
      </c>
    </row>
    <row r="4375" spans="1:9" x14ac:dyDescent="0.4">
      <c r="A4375" t="s">
        <v>66</v>
      </c>
      <c r="B4375" s="1">
        <v>45839</v>
      </c>
      <c r="C4375">
        <v>700711</v>
      </c>
      <c r="D4375" t="s">
        <v>176</v>
      </c>
      <c r="E4375">
        <v>267147</v>
      </c>
      <c r="F4375">
        <v>23914</v>
      </c>
      <c r="G4375">
        <v>37710</v>
      </c>
      <c r="H4375">
        <f>_xlfn.XLOOKUP(FACT_IMPORTS[[#This Row],[hts_6]],DIM_PRODUCTS[hts_6],DIM_PRODUCTS[hts_4],,,)</f>
        <v>7007</v>
      </c>
      <c r="I4375" t="str" cm="1">
        <f t="array" ref="I4375">_xlfn.XLOOKUP(FACT_IMPORTS[[#This Row],[country_name]],DIM_COUNTRY[[#All],[Column2]],DIM_COUNTRY[[#All],[Column3]],,,)</f>
        <v>China</v>
      </c>
    </row>
    <row r="4376" spans="1:9" x14ac:dyDescent="0.4">
      <c r="A4376" t="s">
        <v>66</v>
      </c>
      <c r="B4376" s="1">
        <v>45839</v>
      </c>
      <c r="C4376">
        <v>700721</v>
      </c>
      <c r="D4376" t="s">
        <v>176</v>
      </c>
      <c r="E4376">
        <v>112612</v>
      </c>
      <c r="F4376">
        <v>4501</v>
      </c>
      <c r="G4376">
        <v>11250</v>
      </c>
      <c r="H4376">
        <f>_xlfn.XLOOKUP(FACT_IMPORTS[[#This Row],[hts_6]],DIM_PRODUCTS[hts_6],DIM_PRODUCTS[hts_4],,,)</f>
        <v>7007</v>
      </c>
      <c r="I4376" t="str" cm="1">
        <f t="array" ref="I4376">_xlfn.XLOOKUP(FACT_IMPORTS[[#This Row],[country_name]],DIM_COUNTRY[[#All],[Column2]],DIM_COUNTRY[[#All],[Column3]],,,)</f>
        <v>China</v>
      </c>
    </row>
    <row r="4377" spans="1:9" x14ac:dyDescent="0.4">
      <c r="A4377" t="s">
        <v>66</v>
      </c>
      <c r="B4377" s="1">
        <v>45839</v>
      </c>
      <c r="C4377">
        <v>700910</v>
      </c>
      <c r="D4377" t="s">
        <v>176</v>
      </c>
      <c r="E4377">
        <v>126568</v>
      </c>
      <c r="F4377">
        <v>8117</v>
      </c>
      <c r="G4377">
        <v>2526</v>
      </c>
      <c r="H4377">
        <f>_xlfn.XLOOKUP(FACT_IMPORTS[[#This Row],[hts_6]],DIM_PRODUCTS[hts_6],DIM_PRODUCTS[hts_4],,,)</f>
        <v>7009</v>
      </c>
      <c r="I4377" t="str" cm="1">
        <f t="array" ref="I4377">_xlfn.XLOOKUP(FACT_IMPORTS[[#This Row],[country_name]],DIM_COUNTRY[[#All],[Column2]],DIM_COUNTRY[[#All],[Column3]],,,)</f>
        <v>China</v>
      </c>
    </row>
    <row r="4378" spans="1:9" x14ac:dyDescent="0.4">
      <c r="A4378" t="s">
        <v>66</v>
      </c>
      <c r="B4378" s="1">
        <v>45839</v>
      </c>
      <c r="C4378">
        <v>732010</v>
      </c>
      <c r="D4378" t="s">
        <v>176</v>
      </c>
      <c r="E4378">
        <v>0</v>
      </c>
      <c r="F4378">
        <v>0</v>
      </c>
      <c r="G4378">
        <v>0</v>
      </c>
      <c r="H4378">
        <f>_xlfn.XLOOKUP(FACT_IMPORTS[[#This Row],[hts_6]],DIM_PRODUCTS[hts_6],DIM_PRODUCTS[hts_4],,,)</f>
        <v>7320</v>
      </c>
      <c r="I4378" t="str" cm="1">
        <f t="array" ref="I4378">_xlfn.XLOOKUP(FACT_IMPORTS[[#This Row],[country_name]],DIM_COUNTRY[[#All],[Column2]],DIM_COUNTRY[[#All],[Column3]],,,)</f>
        <v>China</v>
      </c>
    </row>
    <row r="4379" spans="1:9" x14ac:dyDescent="0.4">
      <c r="A4379" t="s">
        <v>66</v>
      </c>
      <c r="B4379" s="1">
        <v>45839</v>
      </c>
      <c r="C4379">
        <v>830230</v>
      </c>
      <c r="D4379" t="s">
        <v>176</v>
      </c>
      <c r="E4379">
        <v>3696261</v>
      </c>
      <c r="F4379">
        <v>1067646</v>
      </c>
      <c r="G4379">
        <v>225201</v>
      </c>
      <c r="H4379">
        <f>_xlfn.XLOOKUP(FACT_IMPORTS[[#This Row],[hts_6]],DIM_PRODUCTS[hts_6],DIM_PRODUCTS[hts_4],,,)</f>
        <v>8302</v>
      </c>
      <c r="I4379" t="str" cm="1">
        <f t="array" ref="I4379">_xlfn.XLOOKUP(FACT_IMPORTS[[#This Row],[country_name]],DIM_COUNTRY[[#All],[Column2]],DIM_COUNTRY[[#All],[Column3]],,,)</f>
        <v>China</v>
      </c>
    </row>
    <row r="4380" spans="1:9" x14ac:dyDescent="0.4">
      <c r="A4380" t="s">
        <v>66</v>
      </c>
      <c r="B4380" s="1">
        <v>45839</v>
      </c>
      <c r="C4380">
        <v>840733</v>
      </c>
      <c r="D4380" t="s">
        <v>176</v>
      </c>
      <c r="E4380">
        <v>0</v>
      </c>
      <c r="F4380">
        <v>0</v>
      </c>
      <c r="G4380">
        <v>0</v>
      </c>
      <c r="H4380">
        <f>_xlfn.XLOOKUP(FACT_IMPORTS[[#This Row],[hts_6]],DIM_PRODUCTS[hts_6],DIM_PRODUCTS[hts_4],,,)</f>
        <v>8407</v>
      </c>
      <c r="I4380" t="str" cm="1">
        <f t="array" ref="I4380">_xlfn.XLOOKUP(FACT_IMPORTS[[#This Row],[country_name]],DIM_COUNTRY[[#All],[Column2]],DIM_COUNTRY[[#All],[Column3]],,,)</f>
        <v>China</v>
      </c>
    </row>
    <row r="4381" spans="1:9" x14ac:dyDescent="0.4">
      <c r="A4381" t="s">
        <v>66</v>
      </c>
      <c r="B4381" s="1">
        <v>45839</v>
      </c>
      <c r="C4381">
        <v>840734</v>
      </c>
      <c r="D4381" t="s">
        <v>176</v>
      </c>
      <c r="E4381">
        <v>2330915</v>
      </c>
      <c r="F4381">
        <v>1539</v>
      </c>
      <c r="G4381">
        <v>233092</v>
      </c>
      <c r="H4381">
        <f>_xlfn.XLOOKUP(FACT_IMPORTS[[#This Row],[hts_6]],DIM_PRODUCTS[hts_6],DIM_PRODUCTS[hts_4],,,)</f>
        <v>8407</v>
      </c>
      <c r="I4381" t="str" cm="1">
        <f t="array" ref="I4381">_xlfn.XLOOKUP(FACT_IMPORTS[[#This Row],[country_name]],DIM_COUNTRY[[#All],[Column2]],DIM_COUNTRY[[#All],[Column3]],,,)</f>
        <v>China</v>
      </c>
    </row>
    <row r="4382" spans="1:9" x14ac:dyDescent="0.4">
      <c r="A4382" t="s">
        <v>66</v>
      </c>
      <c r="B4382" s="1">
        <v>45839</v>
      </c>
      <c r="C4382">
        <v>840790</v>
      </c>
      <c r="D4382" t="s">
        <v>176</v>
      </c>
      <c r="E4382">
        <v>0</v>
      </c>
      <c r="F4382">
        <v>0</v>
      </c>
      <c r="G4382">
        <v>0</v>
      </c>
      <c r="H4382">
        <f>_xlfn.XLOOKUP(FACT_IMPORTS[[#This Row],[hts_6]],DIM_PRODUCTS[hts_6],DIM_PRODUCTS[hts_4],,,)</f>
        <v>8407</v>
      </c>
      <c r="I4382" t="str" cm="1">
        <f t="array" ref="I4382">_xlfn.XLOOKUP(FACT_IMPORTS[[#This Row],[country_name]],DIM_COUNTRY[[#All],[Column2]],DIM_COUNTRY[[#All],[Column3]],,,)</f>
        <v>China</v>
      </c>
    </row>
    <row r="4383" spans="1:9" x14ac:dyDescent="0.4">
      <c r="A4383" t="s">
        <v>66</v>
      </c>
      <c r="B4383" s="1">
        <v>45839</v>
      </c>
      <c r="C4383">
        <v>840820</v>
      </c>
      <c r="D4383" t="s">
        <v>176</v>
      </c>
      <c r="E4383">
        <v>75540</v>
      </c>
      <c r="F4383">
        <v>7</v>
      </c>
      <c r="G4383">
        <v>3399</v>
      </c>
      <c r="H4383">
        <f>_xlfn.XLOOKUP(FACT_IMPORTS[[#This Row],[hts_6]],DIM_PRODUCTS[hts_6],DIM_PRODUCTS[hts_4],,,)</f>
        <v>8408</v>
      </c>
      <c r="I4383" t="str" cm="1">
        <f t="array" ref="I4383">_xlfn.XLOOKUP(FACT_IMPORTS[[#This Row],[country_name]],DIM_COUNTRY[[#All],[Column2]],DIM_COUNTRY[[#All],[Column3]],,,)</f>
        <v>China</v>
      </c>
    </row>
    <row r="4384" spans="1:9" x14ac:dyDescent="0.4">
      <c r="A4384" t="s">
        <v>66</v>
      </c>
      <c r="B4384" s="1">
        <v>45839</v>
      </c>
      <c r="C4384">
        <v>840890</v>
      </c>
      <c r="D4384" t="s">
        <v>176</v>
      </c>
      <c r="E4384">
        <v>0</v>
      </c>
      <c r="F4384">
        <v>0</v>
      </c>
      <c r="G4384">
        <v>0</v>
      </c>
      <c r="H4384">
        <f>_xlfn.XLOOKUP(FACT_IMPORTS[[#This Row],[hts_6]],DIM_PRODUCTS[hts_6],DIM_PRODUCTS[hts_4],,,)</f>
        <v>8408</v>
      </c>
      <c r="I4384" t="str" cm="1">
        <f t="array" ref="I4384">_xlfn.XLOOKUP(FACT_IMPORTS[[#This Row],[country_name]],DIM_COUNTRY[[#All],[Column2]],DIM_COUNTRY[[#All],[Column3]],,,)</f>
        <v>China</v>
      </c>
    </row>
    <row r="4385" spans="1:9" x14ac:dyDescent="0.4">
      <c r="A4385" t="s">
        <v>66</v>
      </c>
      <c r="B4385" s="1">
        <v>45839</v>
      </c>
      <c r="C4385">
        <v>840991</v>
      </c>
      <c r="D4385" t="s">
        <v>176</v>
      </c>
      <c r="E4385">
        <v>7292399</v>
      </c>
      <c r="F4385">
        <v>2372923</v>
      </c>
      <c r="G4385">
        <v>1022605</v>
      </c>
      <c r="H4385">
        <f>_xlfn.XLOOKUP(FACT_IMPORTS[[#This Row],[hts_6]],DIM_PRODUCTS[hts_6],DIM_PRODUCTS[hts_4],,,)</f>
        <v>8409</v>
      </c>
      <c r="I4385" t="str" cm="1">
        <f t="array" ref="I4385">_xlfn.XLOOKUP(FACT_IMPORTS[[#This Row],[country_name]],DIM_COUNTRY[[#All],[Column2]],DIM_COUNTRY[[#All],[Column3]],,,)</f>
        <v>China</v>
      </c>
    </row>
    <row r="4386" spans="1:9" x14ac:dyDescent="0.4">
      <c r="A4386" t="s">
        <v>66</v>
      </c>
      <c r="B4386" s="1">
        <v>45839</v>
      </c>
      <c r="C4386">
        <v>840999</v>
      </c>
      <c r="D4386" t="s">
        <v>176</v>
      </c>
      <c r="E4386">
        <v>4001093</v>
      </c>
      <c r="F4386">
        <v>656122</v>
      </c>
      <c r="G4386">
        <v>95682</v>
      </c>
      <c r="H4386">
        <f>_xlfn.XLOOKUP(FACT_IMPORTS[[#This Row],[hts_6]],DIM_PRODUCTS[hts_6],DIM_PRODUCTS[hts_4],,,)</f>
        <v>8409</v>
      </c>
      <c r="I4386" t="str" cm="1">
        <f t="array" ref="I4386">_xlfn.XLOOKUP(FACT_IMPORTS[[#This Row],[country_name]],DIM_COUNTRY[[#All],[Column2]],DIM_COUNTRY[[#All],[Column3]],,,)</f>
        <v>China</v>
      </c>
    </row>
    <row r="4387" spans="1:9" x14ac:dyDescent="0.4">
      <c r="A4387" t="s">
        <v>66</v>
      </c>
      <c r="B4387" s="1">
        <v>45839</v>
      </c>
      <c r="C4387">
        <v>841330</v>
      </c>
      <c r="D4387" t="s">
        <v>176</v>
      </c>
      <c r="E4387">
        <v>780908</v>
      </c>
      <c r="F4387">
        <v>15611</v>
      </c>
      <c r="G4387">
        <v>16149</v>
      </c>
      <c r="H4387">
        <f>_xlfn.XLOOKUP(FACT_IMPORTS[[#This Row],[hts_6]],DIM_PRODUCTS[hts_6],DIM_PRODUCTS[hts_4],,,)</f>
        <v>8413</v>
      </c>
      <c r="I4387" t="str" cm="1">
        <f t="array" ref="I4387">_xlfn.XLOOKUP(FACT_IMPORTS[[#This Row],[country_name]],DIM_COUNTRY[[#All],[Column2]],DIM_COUNTRY[[#All],[Column3]],,,)</f>
        <v>China</v>
      </c>
    </row>
    <row r="4388" spans="1:9" x14ac:dyDescent="0.4">
      <c r="A4388" t="s">
        <v>66</v>
      </c>
      <c r="B4388" s="1">
        <v>45839</v>
      </c>
      <c r="C4388">
        <v>841520</v>
      </c>
      <c r="D4388" t="s">
        <v>176</v>
      </c>
      <c r="E4388">
        <v>8894</v>
      </c>
      <c r="F4388">
        <v>10</v>
      </c>
      <c r="G4388">
        <v>6000</v>
      </c>
      <c r="H4388">
        <f>_xlfn.XLOOKUP(FACT_IMPORTS[[#This Row],[hts_6]],DIM_PRODUCTS[hts_6],DIM_PRODUCTS[hts_4],,,)</f>
        <v>8415</v>
      </c>
      <c r="I4388" t="str" cm="1">
        <f t="array" ref="I4388">_xlfn.XLOOKUP(FACT_IMPORTS[[#This Row],[country_name]],DIM_COUNTRY[[#All],[Column2]],DIM_COUNTRY[[#All],[Column3]],,,)</f>
        <v>China</v>
      </c>
    </row>
    <row r="4389" spans="1:9" x14ac:dyDescent="0.4">
      <c r="A4389" t="s">
        <v>66</v>
      </c>
      <c r="B4389" s="1">
        <v>45839</v>
      </c>
      <c r="C4389">
        <v>842132</v>
      </c>
      <c r="D4389" t="s">
        <v>176</v>
      </c>
      <c r="E4389">
        <v>8170</v>
      </c>
      <c r="F4389">
        <v>2</v>
      </c>
      <c r="G4389">
        <v>473</v>
      </c>
      <c r="H4389">
        <f>_xlfn.XLOOKUP(FACT_IMPORTS[[#This Row],[hts_6]],DIM_PRODUCTS[hts_6],DIM_PRODUCTS[hts_4],,,)</f>
        <v>8421</v>
      </c>
      <c r="I4389" t="str" cm="1">
        <f t="array" ref="I4389">_xlfn.XLOOKUP(FACT_IMPORTS[[#This Row],[country_name]],DIM_COUNTRY[[#All],[Column2]],DIM_COUNTRY[[#All],[Column3]],,,)</f>
        <v>China</v>
      </c>
    </row>
    <row r="4390" spans="1:9" x14ac:dyDescent="0.4">
      <c r="A4390" t="s">
        <v>66</v>
      </c>
      <c r="B4390" s="1">
        <v>45839</v>
      </c>
      <c r="C4390">
        <v>848210</v>
      </c>
      <c r="D4390" t="s">
        <v>176</v>
      </c>
      <c r="E4390">
        <v>770443</v>
      </c>
      <c r="F4390">
        <v>688113</v>
      </c>
      <c r="G4390">
        <v>54326</v>
      </c>
      <c r="H4390">
        <f>_xlfn.XLOOKUP(FACT_IMPORTS[[#This Row],[hts_6]],DIM_PRODUCTS[hts_6],DIM_PRODUCTS[hts_4],,,)</f>
        <v>8482</v>
      </c>
      <c r="I4390" t="str" cm="1">
        <f t="array" ref="I4390">_xlfn.XLOOKUP(FACT_IMPORTS[[#This Row],[country_name]],DIM_COUNTRY[[#All],[Column2]],DIM_COUNTRY[[#All],[Column3]],,,)</f>
        <v>China</v>
      </c>
    </row>
    <row r="4391" spans="1:9" x14ac:dyDescent="0.4">
      <c r="A4391" t="s">
        <v>66</v>
      </c>
      <c r="B4391" s="1">
        <v>45839</v>
      </c>
      <c r="C4391">
        <v>848220</v>
      </c>
      <c r="D4391" t="s">
        <v>176</v>
      </c>
      <c r="E4391">
        <v>2171</v>
      </c>
      <c r="F4391">
        <v>246</v>
      </c>
      <c r="G4391">
        <v>4</v>
      </c>
      <c r="H4391">
        <f>_xlfn.XLOOKUP(FACT_IMPORTS[[#This Row],[hts_6]],DIM_PRODUCTS[hts_6],DIM_PRODUCTS[hts_4],,,)</f>
        <v>8482</v>
      </c>
      <c r="I4391" t="str" cm="1">
        <f t="array" ref="I4391">_xlfn.XLOOKUP(FACT_IMPORTS[[#This Row],[country_name]],DIM_COUNTRY[[#All],[Column2]],DIM_COUNTRY[[#All],[Column3]],,,)</f>
        <v>China</v>
      </c>
    </row>
    <row r="4392" spans="1:9" x14ac:dyDescent="0.4">
      <c r="A4392" t="s">
        <v>66</v>
      </c>
      <c r="B4392" s="1">
        <v>45839</v>
      </c>
      <c r="C4392">
        <v>848310</v>
      </c>
      <c r="D4392" t="s">
        <v>176</v>
      </c>
      <c r="E4392">
        <v>2080809</v>
      </c>
      <c r="F4392">
        <v>468622</v>
      </c>
      <c r="G4392">
        <v>154757</v>
      </c>
      <c r="H4392">
        <f>_xlfn.XLOOKUP(FACT_IMPORTS[[#This Row],[hts_6]],DIM_PRODUCTS[hts_6],DIM_PRODUCTS[hts_4],,,)</f>
        <v>8483</v>
      </c>
      <c r="I4392" t="str" cm="1">
        <f t="array" ref="I4392">_xlfn.XLOOKUP(FACT_IMPORTS[[#This Row],[country_name]],DIM_COUNTRY[[#All],[Column2]],DIM_COUNTRY[[#All],[Column3]],,,)</f>
        <v>China</v>
      </c>
    </row>
    <row r="4393" spans="1:9" x14ac:dyDescent="0.4">
      <c r="A4393" t="s">
        <v>66</v>
      </c>
      <c r="B4393" s="1">
        <v>45839</v>
      </c>
      <c r="C4393">
        <v>850131</v>
      </c>
      <c r="D4393" t="s">
        <v>176</v>
      </c>
      <c r="E4393">
        <v>3275271</v>
      </c>
      <c r="F4393">
        <v>668204</v>
      </c>
      <c r="G4393">
        <v>194461</v>
      </c>
      <c r="H4393">
        <f>_xlfn.XLOOKUP(FACT_IMPORTS[[#This Row],[hts_6]],DIM_PRODUCTS[hts_6],DIM_PRODUCTS[hts_4],,,)</f>
        <v>8501</v>
      </c>
      <c r="I4393" t="str" cm="1">
        <f t="array" ref="I4393">_xlfn.XLOOKUP(FACT_IMPORTS[[#This Row],[country_name]],DIM_COUNTRY[[#All],[Column2]],DIM_COUNTRY[[#All],[Column3]],,,)</f>
        <v>China</v>
      </c>
    </row>
    <row r="4394" spans="1:9" x14ac:dyDescent="0.4">
      <c r="A4394" t="s">
        <v>66</v>
      </c>
      <c r="B4394" s="1">
        <v>45839</v>
      </c>
      <c r="C4394">
        <v>850132</v>
      </c>
      <c r="D4394" t="s">
        <v>176</v>
      </c>
      <c r="E4394">
        <v>4852</v>
      </c>
      <c r="F4394">
        <v>1</v>
      </c>
      <c r="G4394">
        <v>200</v>
      </c>
      <c r="H4394">
        <f>_xlfn.XLOOKUP(FACT_IMPORTS[[#This Row],[hts_6]],DIM_PRODUCTS[hts_6],DIM_PRODUCTS[hts_4],,,)</f>
        <v>8501</v>
      </c>
      <c r="I4394" t="str" cm="1">
        <f t="array" ref="I4394">_xlfn.XLOOKUP(FACT_IMPORTS[[#This Row],[country_name]],DIM_COUNTRY[[#All],[Column2]],DIM_COUNTRY[[#All],[Column3]],,,)</f>
        <v>China</v>
      </c>
    </row>
    <row r="4395" spans="1:9" x14ac:dyDescent="0.4">
      <c r="A4395" t="s">
        <v>66</v>
      </c>
      <c r="B4395" s="1">
        <v>45839</v>
      </c>
      <c r="C4395">
        <v>850133</v>
      </c>
      <c r="D4395" t="s">
        <v>176</v>
      </c>
      <c r="E4395">
        <v>0</v>
      </c>
      <c r="F4395">
        <v>0</v>
      </c>
      <c r="G4395">
        <v>0</v>
      </c>
      <c r="H4395">
        <f>_xlfn.XLOOKUP(FACT_IMPORTS[[#This Row],[hts_6]],DIM_PRODUCTS[hts_6],DIM_PRODUCTS[hts_4],,,)</f>
        <v>8501</v>
      </c>
      <c r="I4395" t="str" cm="1">
        <f t="array" ref="I4395">_xlfn.XLOOKUP(FACT_IMPORTS[[#This Row],[country_name]],DIM_COUNTRY[[#All],[Column2]],DIM_COUNTRY[[#All],[Column3]],,,)</f>
        <v>China</v>
      </c>
    </row>
    <row r="4396" spans="1:9" x14ac:dyDescent="0.4">
      <c r="A4396" t="s">
        <v>66</v>
      </c>
      <c r="B4396" s="1">
        <v>45839</v>
      </c>
      <c r="C4396">
        <v>850152</v>
      </c>
      <c r="D4396" t="s">
        <v>176</v>
      </c>
      <c r="E4396">
        <v>348292</v>
      </c>
      <c r="F4396">
        <v>764</v>
      </c>
      <c r="G4396">
        <v>7748</v>
      </c>
      <c r="H4396">
        <f>_xlfn.XLOOKUP(FACT_IMPORTS[[#This Row],[hts_6]],DIM_PRODUCTS[hts_6],DIM_PRODUCTS[hts_4],,,)</f>
        <v>8501</v>
      </c>
      <c r="I4396" t="str" cm="1">
        <f t="array" ref="I4396">_xlfn.XLOOKUP(FACT_IMPORTS[[#This Row],[country_name]],DIM_COUNTRY[[#All],[Column2]],DIM_COUNTRY[[#All],[Column3]],,,)</f>
        <v>China</v>
      </c>
    </row>
    <row r="4397" spans="1:9" x14ac:dyDescent="0.4">
      <c r="A4397" t="s">
        <v>66</v>
      </c>
      <c r="B4397" s="1">
        <v>45839</v>
      </c>
      <c r="C4397">
        <v>850153</v>
      </c>
      <c r="D4397" t="s">
        <v>176</v>
      </c>
      <c r="E4397">
        <v>9663</v>
      </c>
      <c r="F4397">
        <v>2</v>
      </c>
      <c r="G4397">
        <v>229</v>
      </c>
      <c r="H4397">
        <f>_xlfn.XLOOKUP(FACT_IMPORTS[[#This Row],[hts_6]],DIM_PRODUCTS[hts_6],DIM_PRODUCTS[hts_4],,,)</f>
        <v>8501</v>
      </c>
      <c r="I4397" t="str" cm="1">
        <f t="array" ref="I4397">_xlfn.XLOOKUP(FACT_IMPORTS[[#This Row],[country_name]],DIM_COUNTRY[[#All],[Column2]],DIM_COUNTRY[[#All],[Column3]],,,)</f>
        <v>China</v>
      </c>
    </row>
    <row r="4398" spans="1:9" x14ac:dyDescent="0.4">
      <c r="A4398" t="s">
        <v>66</v>
      </c>
      <c r="B4398" s="1">
        <v>45839</v>
      </c>
      <c r="C4398">
        <v>850161</v>
      </c>
      <c r="D4398" t="s">
        <v>176</v>
      </c>
      <c r="E4398">
        <v>2563</v>
      </c>
      <c r="F4398">
        <v>128</v>
      </c>
      <c r="G4398">
        <v>1</v>
      </c>
      <c r="H4398">
        <f>_xlfn.XLOOKUP(FACT_IMPORTS[[#This Row],[hts_6]],DIM_PRODUCTS[hts_6],DIM_PRODUCTS[hts_4],,,)</f>
        <v>8501</v>
      </c>
      <c r="I4398" t="str" cm="1">
        <f t="array" ref="I4398">_xlfn.XLOOKUP(FACT_IMPORTS[[#This Row],[country_name]],DIM_COUNTRY[[#All],[Column2]],DIM_COUNTRY[[#All],[Column3]],,,)</f>
        <v>China</v>
      </c>
    </row>
    <row r="4399" spans="1:9" x14ac:dyDescent="0.4">
      <c r="A4399" t="s">
        <v>66</v>
      </c>
      <c r="B4399" s="1">
        <v>45839</v>
      </c>
      <c r="C4399">
        <v>850440</v>
      </c>
      <c r="D4399" t="s">
        <v>176</v>
      </c>
      <c r="E4399">
        <v>855420</v>
      </c>
      <c r="F4399">
        <v>35125</v>
      </c>
      <c r="G4399">
        <v>22743</v>
      </c>
      <c r="H4399">
        <f>_xlfn.XLOOKUP(FACT_IMPORTS[[#This Row],[hts_6]],DIM_PRODUCTS[hts_6],DIM_PRODUCTS[hts_4],,,)</f>
        <v>8504</v>
      </c>
      <c r="I4399" t="str" cm="1">
        <f t="array" ref="I4399">_xlfn.XLOOKUP(FACT_IMPORTS[[#This Row],[country_name]],DIM_COUNTRY[[#All],[Column2]],DIM_COUNTRY[[#All],[Column3]],,,)</f>
        <v>China</v>
      </c>
    </row>
    <row r="4400" spans="1:9" x14ac:dyDescent="0.4">
      <c r="A4400" t="s">
        <v>66</v>
      </c>
      <c r="B4400" s="1">
        <v>45839</v>
      </c>
      <c r="C4400">
        <v>850710</v>
      </c>
      <c r="D4400" t="s">
        <v>176</v>
      </c>
      <c r="E4400">
        <v>31052</v>
      </c>
      <c r="F4400">
        <v>1043</v>
      </c>
      <c r="G4400">
        <v>494</v>
      </c>
      <c r="H4400">
        <f>_xlfn.XLOOKUP(FACT_IMPORTS[[#This Row],[hts_6]],DIM_PRODUCTS[hts_6],DIM_PRODUCTS[hts_4],,,)</f>
        <v>8507</v>
      </c>
      <c r="I4400" t="str" cm="1">
        <f t="array" ref="I4400">_xlfn.XLOOKUP(FACT_IMPORTS[[#This Row],[country_name]],DIM_COUNTRY[[#All],[Column2]],DIM_COUNTRY[[#All],[Column3]],,,)</f>
        <v>China</v>
      </c>
    </row>
    <row r="4401" spans="1:9" x14ac:dyDescent="0.4">
      <c r="A4401" t="s">
        <v>66</v>
      </c>
      <c r="B4401" s="1">
        <v>45839</v>
      </c>
      <c r="C4401">
        <v>850760</v>
      </c>
      <c r="D4401" t="s">
        <v>176</v>
      </c>
      <c r="E4401">
        <v>742465</v>
      </c>
      <c r="F4401">
        <v>8781</v>
      </c>
      <c r="G4401">
        <v>6540</v>
      </c>
      <c r="H4401">
        <f>_xlfn.XLOOKUP(FACT_IMPORTS[[#This Row],[hts_6]],DIM_PRODUCTS[hts_6],DIM_PRODUCTS[hts_4],,,)</f>
        <v>8507</v>
      </c>
      <c r="I4401" t="str" cm="1">
        <f t="array" ref="I4401">_xlfn.XLOOKUP(FACT_IMPORTS[[#This Row],[country_name]],DIM_COUNTRY[[#All],[Column2]],DIM_COUNTRY[[#All],[Column3]],,,)</f>
        <v>China</v>
      </c>
    </row>
    <row r="4402" spans="1:9" x14ac:dyDescent="0.4">
      <c r="A4402" t="s">
        <v>66</v>
      </c>
      <c r="B4402" s="1">
        <v>45839</v>
      </c>
      <c r="C4402">
        <v>850790</v>
      </c>
      <c r="D4402" t="s">
        <v>176</v>
      </c>
      <c r="E4402">
        <v>1188582</v>
      </c>
      <c r="F4402">
        <v>26294</v>
      </c>
      <c r="G4402">
        <v>13332</v>
      </c>
      <c r="H4402">
        <f>_xlfn.XLOOKUP(FACT_IMPORTS[[#This Row],[hts_6]],DIM_PRODUCTS[hts_6],DIM_PRODUCTS[hts_4],,,)</f>
        <v>8507</v>
      </c>
      <c r="I4402" t="str" cm="1">
        <f t="array" ref="I4402">_xlfn.XLOOKUP(FACT_IMPORTS[[#This Row],[country_name]],DIM_COUNTRY[[#All],[Column2]],DIM_COUNTRY[[#All],[Column3]],,,)</f>
        <v>China</v>
      </c>
    </row>
    <row r="4403" spans="1:9" x14ac:dyDescent="0.4">
      <c r="A4403" t="s">
        <v>66</v>
      </c>
      <c r="B4403" s="1">
        <v>45839</v>
      </c>
      <c r="C4403">
        <v>851110</v>
      </c>
      <c r="D4403" t="s">
        <v>176</v>
      </c>
      <c r="E4403">
        <v>0</v>
      </c>
      <c r="F4403">
        <v>0</v>
      </c>
      <c r="G4403">
        <v>0</v>
      </c>
      <c r="H4403">
        <f>_xlfn.XLOOKUP(FACT_IMPORTS[[#This Row],[hts_6]],DIM_PRODUCTS[hts_6],DIM_PRODUCTS[hts_4],,,)</f>
        <v>8511</v>
      </c>
      <c r="I4403" t="str" cm="1">
        <f t="array" ref="I4403">_xlfn.XLOOKUP(FACT_IMPORTS[[#This Row],[country_name]],DIM_COUNTRY[[#All],[Column2]],DIM_COUNTRY[[#All],[Column3]],,,)</f>
        <v>China</v>
      </c>
    </row>
    <row r="4404" spans="1:9" x14ac:dyDescent="0.4">
      <c r="A4404" t="s">
        <v>66</v>
      </c>
      <c r="B4404" s="1">
        <v>45839</v>
      </c>
      <c r="C4404">
        <v>851120</v>
      </c>
      <c r="D4404" t="s">
        <v>176</v>
      </c>
      <c r="E4404">
        <v>0</v>
      </c>
      <c r="F4404">
        <v>0</v>
      </c>
      <c r="G4404">
        <v>0</v>
      </c>
      <c r="H4404">
        <f>_xlfn.XLOOKUP(FACT_IMPORTS[[#This Row],[hts_6]],DIM_PRODUCTS[hts_6],DIM_PRODUCTS[hts_4],,,)</f>
        <v>8511</v>
      </c>
      <c r="I4404" t="str" cm="1">
        <f t="array" ref="I4404">_xlfn.XLOOKUP(FACT_IMPORTS[[#This Row],[country_name]],DIM_COUNTRY[[#All],[Column2]],DIM_COUNTRY[[#All],[Column3]],,,)</f>
        <v>China</v>
      </c>
    </row>
    <row r="4405" spans="1:9" x14ac:dyDescent="0.4">
      <c r="A4405" t="s">
        <v>66</v>
      </c>
      <c r="B4405" s="1">
        <v>45839</v>
      </c>
      <c r="C4405">
        <v>851130</v>
      </c>
      <c r="D4405" t="s">
        <v>176</v>
      </c>
      <c r="E4405">
        <v>8799</v>
      </c>
      <c r="F4405">
        <v>2340</v>
      </c>
      <c r="G4405">
        <v>2936</v>
      </c>
      <c r="H4405">
        <f>_xlfn.XLOOKUP(FACT_IMPORTS[[#This Row],[hts_6]],DIM_PRODUCTS[hts_6],DIM_PRODUCTS[hts_4],,,)</f>
        <v>8511</v>
      </c>
      <c r="I4405" t="str" cm="1">
        <f t="array" ref="I4405">_xlfn.XLOOKUP(FACT_IMPORTS[[#This Row],[country_name]],DIM_COUNTRY[[#All],[Column2]],DIM_COUNTRY[[#All],[Column3]],,,)</f>
        <v>China</v>
      </c>
    </row>
    <row r="4406" spans="1:9" x14ac:dyDescent="0.4">
      <c r="A4406" t="s">
        <v>66</v>
      </c>
      <c r="B4406" s="1">
        <v>45839</v>
      </c>
      <c r="C4406">
        <v>851140</v>
      </c>
      <c r="D4406" t="s">
        <v>176</v>
      </c>
      <c r="E4406">
        <v>231048</v>
      </c>
      <c r="F4406">
        <v>4532</v>
      </c>
      <c r="G4406">
        <v>5484</v>
      </c>
      <c r="H4406">
        <f>_xlfn.XLOOKUP(FACT_IMPORTS[[#This Row],[hts_6]],DIM_PRODUCTS[hts_6],DIM_PRODUCTS[hts_4],,,)</f>
        <v>8511</v>
      </c>
      <c r="I4406" t="str" cm="1">
        <f t="array" ref="I4406">_xlfn.XLOOKUP(FACT_IMPORTS[[#This Row],[country_name]],DIM_COUNTRY[[#All],[Column2]],DIM_COUNTRY[[#All],[Column3]],,,)</f>
        <v>China</v>
      </c>
    </row>
    <row r="4407" spans="1:9" x14ac:dyDescent="0.4">
      <c r="A4407" t="s">
        <v>66</v>
      </c>
      <c r="B4407" s="1">
        <v>45839</v>
      </c>
      <c r="C4407">
        <v>851150</v>
      </c>
      <c r="D4407" t="s">
        <v>176</v>
      </c>
      <c r="E4407">
        <v>111053</v>
      </c>
      <c r="F4407">
        <v>1944</v>
      </c>
      <c r="G4407">
        <v>4496</v>
      </c>
      <c r="H4407">
        <f>_xlfn.XLOOKUP(FACT_IMPORTS[[#This Row],[hts_6]],DIM_PRODUCTS[hts_6],DIM_PRODUCTS[hts_4],,,)</f>
        <v>8511</v>
      </c>
      <c r="I4407" t="str" cm="1">
        <f t="array" ref="I4407">_xlfn.XLOOKUP(FACT_IMPORTS[[#This Row],[country_name]],DIM_COUNTRY[[#All],[Column2]],DIM_COUNTRY[[#All],[Column3]],,,)</f>
        <v>China</v>
      </c>
    </row>
    <row r="4408" spans="1:9" x14ac:dyDescent="0.4">
      <c r="A4408" t="s">
        <v>66</v>
      </c>
      <c r="B4408" s="1">
        <v>45839</v>
      </c>
      <c r="C4408">
        <v>851180</v>
      </c>
      <c r="D4408" t="s">
        <v>176</v>
      </c>
      <c r="E4408">
        <v>0</v>
      </c>
      <c r="F4408">
        <v>0</v>
      </c>
      <c r="G4408">
        <v>0</v>
      </c>
      <c r="H4408">
        <f>_xlfn.XLOOKUP(FACT_IMPORTS[[#This Row],[hts_6]],DIM_PRODUCTS[hts_6],DIM_PRODUCTS[hts_4],,,)</f>
        <v>8511</v>
      </c>
      <c r="I4408" t="str" cm="1">
        <f t="array" ref="I4408">_xlfn.XLOOKUP(FACT_IMPORTS[[#This Row],[country_name]],DIM_COUNTRY[[#All],[Column2]],DIM_COUNTRY[[#All],[Column3]],,,)</f>
        <v>China</v>
      </c>
    </row>
    <row r="4409" spans="1:9" x14ac:dyDescent="0.4">
      <c r="A4409" t="s">
        <v>66</v>
      </c>
      <c r="B4409" s="1">
        <v>45839</v>
      </c>
      <c r="C4409">
        <v>851190</v>
      </c>
      <c r="D4409" t="s">
        <v>176</v>
      </c>
      <c r="E4409">
        <v>11664</v>
      </c>
      <c r="F4409">
        <v>1299</v>
      </c>
      <c r="G4409">
        <v>5000</v>
      </c>
      <c r="H4409">
        <f>_xlfn.XLOOKUP(FACT_IMPORTS[[#This Row],[hts_6]],DIM_PRODUCTS[hts_6],DIM_PRODUCTS[hts_4],,,)</f>
        <v>8511</v>
      </c>
      <c r="I4409" t="str" cm="1">
        <f t="array" ref="I4409">_xlfn.XLOOKUP(FACT_IMPORTS[[#This Row],[country_name]],DIM_COUNTRY[[#All],[Column2]],DIM_COUNTRY[[#All],[Column3]],,,)</f>
        <v>China</v>
      </c>
    </row>
    <row r="4410" spans="1:9" x14ac:dyDescent="0.4">
      <c r="A4410" t="s">
        <v>66</v>
      </c>
      <c r="B4410" s="1">
        <v>45839</v>
      </c>
      <c r="C4410">
        <v>851220</v>
      </c>
      <c r="D4410" t="s">
        <v>176</v>
      </c>
      <c r="E4410">
        <v>3282413</v>
      </c>
      <c r="F4410">
        <v>562765</v>
      </c>
      <c r="G4410">
        <v>175025</v>
      </c>
      <c r="H4410">
        <f>_xlfn.XLOOKUP(FACT_IMPORTS[[#This Row],[hts_6]],DIM_PRODUCTS[hts_6],DIM_PRODUCTS[hts_4],,,)</f>
        <v>8512</v>
      </c>
      <c r="I4410" t="str" cm="1">
        <f t="array" ref="I4410">_xlfn.XLOOKUP(FACT_IMPORTS[[#This Row],[country_name]],DIM_COUNTRY[[#All],[Column2]],DIM_COUNTRY[[#All],[Column3]],,,)</f>
        <v>China</v>
      </c>
    </row>
    <row r="4411" spans="1:9" x14ac:dyDescent="0.4">
      <c r="A4411" t="s">
        <v>66</v>
      </c>
      <c r="B4411" s="1">
        <v>45839</v>
      </c>
      <c r="C4411">
        <v>851230</v>
      </c>
      <c r="D4411" t="s">
        <v>176</v>
      </c>
      <c r="E4411">
        <v>23222</v>
      </c>
      <c r="F4411">
        <v>514</v>
      </c>
      <c r="G4411">
        <v>125</v>
      </c>
      <c r="H4411">
        <f>_xlfn.XLOOKUP(FACT_IMPORTS[[#This Row],[hts_6]],DIM_PRODUCTS[hts_6],DIM_PRODUCTS[hts_4],,,)</f>
        <v>8512</v>
      </c>
      <c r="I4411" t="str" cm="1">
        <f t="array" ref="I4411">_xlfn.XLOOKUP(FACT_IMPORTS[[#This Row],[country_name]],DIM_COUNTRY[[#All],[Column2]],DIM_COUNTRY[[#All],[Column3]],,,)</f>
        <v>China</v>
      </c>
    </row>
    <row r="4412" spans="1:9" x14ac:dyDescent="0.4">
      <c r="A4412" t="s">
        <v>66</v>
      </c>
      <c r="B4412" s="1">
        <v>45839</v>
      </c>
      <c r="C4412">
        <v>851240</v>
      </c>
      <c r="D4412" t="s">
        <v>176</v>
      </c>
      <c r="E4412">
        <v>391528</v>
      </c>
      <c r="F4412">
        <v>32300</v>
      </c>
      <c r="G4412">
        <v>325525</v>
      </c>
      <c r="H4412">
        <f>_xlfn.XLOOKUP(FACT_IMPORTS[[#This Row],[hts_6]],DIM_PRODUCTS[hts_6],DIM_PRODUCTS[hts_4],,,)</f>
        <v>8512</v>
      </c>
      <c r="I4412" t="str" cm="1">
        <f t="array" ref="I4412">_xlfn.XLOOKUP(FACT_IMPORTS[[#This Row],[country_name]],DIM_COUNTRY[[#All],[Column2]],DIM_COUNTRY[[#All],[Column3]],,,)</f>
        <v>China</v>
      </c>
    </row>
    <row r="4413" spans="1:9" x14ac:dyDescent="0.4">
      <c r="A4413" t="s">
        <v>66</v>
      </c>
      <c r="B4413" s="1">
        <v>45839</v>
      </c>
      <c r="C4413">
        <v>851290</v>
      </c>
      <c r="D4413" t="s">
        <v>176</v>
      </c>
      <c r="E4413">
        <v>401666</v>
      </c>
      <c r="F4413">
        <v>74662</v>
      </c>
      <c r="G4413">
        <v>31799</v>
      </c>
      <c r="H4413">
        <f>_xlfn.XLOOKUP(FACT_IMPORTS[[#This Row],[hts_6]],DIM_PRODUCTS[hts_6],DIM_PRODUCTS[hts_4],,,)</f>
        <v>8512</v>
      </c>
      <c r="I4413" t="str" cm="1">
        <f t="array" ref="I4413">_xlfn.XLOOKUP(FACT_IMPORTS[[#This Row],[country_name]],DIM_COUNTRY[[#All],[Column2]],DIM_COUNTRY[[#All],[Column3]],,,)</f>
        <v>China</v>
      </c>
    </row>
    <row r="4414" spans="1:9" x14ac:dyDescent="0.4">
      <c r="A4414" t="s">
        <v>66</v>
      </c>
      <c r="B4414" s="1">
        <v>45839</v>
      </c>
      <c r="C4414">
        <v>854231</v>
      </c>
      <c r="D4414" t="s">
        <v>176</v>
      </c>
      <c r="E4414">
        <v>0</v>
      </c>
      <c r="F4414">
        <v>0</v>
      </c>
      <c r="G4414">
        <v>0</v>
      </c>
      <c r="H4414">
        <f>_xlfn.XLOOKUP(FACT_IMPORTS[[#This Row],[hts_6]],DIM_PRODUCTS[hts_6],DIM_PRODUCTS[hts_4],,,)</f>
        <v>8542</v>
      </c>
      <c r="I4414" t="str" cm="1">
        <f t="array" ref="I4414">_xlfn.XLOOKUP(FACT_IMPORTS[[#This Row],[country_name]],DIM_COUNTRY[[#All],[Column2]],DIM_COUNTRY[[#All],[Column3]],,,)</f>
        <v>China</v>
      </c>
    </row>
    <row r="4415" spans="1:9" x14ac:dyDescent="0.4">
      <c r="A4415" t="s">
        <v>66</v>
      </c>
      <c r="B4415" s="1">
        <v>45839</v>
      </c>
      <c r="C4415">
        <v>854232</v>
      </c>
      <c r="D4415" t="s">
        <v>176</v>
      </c>
      <c r="E4415">
        <v>28480</v>
      </c>
      <c r="F4415">
        <v>8000</v>
      </c>
      <c r="G4415">
        <v>2848</v>
      </c>
      <c r="H4415">
        <f>_xlfn.XLOOKUP(FACT_IMPORTS[[#This Row],[hts_6]],DIM_PRODUCTS[hts_6],DIM_PRODUCTS[hts_4],,,)</f>
        <v>8542</v>
      </c>
      <c r="I4415" t="str" cm="1">
        <f t="array" ref="I4415">_xlfn.XLOOKUP(FACT_IMPORTS[[#This Row],[country_name]],DIM_COUNTRY[[#All],[Column2]],DIM_COUNTRY[[#All],[Column3]],,,)</f>
        <v>China</v>
      </c>
    </row>
    <row r="4416" spans="1:9" x14ac:dyDescent="0.4">
      <c r="A4416" t="s">
        <v>66</v>
      </c>
      <c r="B4416" s="1">
        <v>45839</v>
      </c>
      <c r="C4416">
        <v>854233</v>
      </c>
      <c r="D4416" t="s">
        <v>176</v>
      </c>
      <c r="E4416">
        <v>0</v>
      </c>
      <c r="F4416">
        <v>0</v>
      </c>
      <c r="G4416">
        <v>0</v>
      </c>
      <c r="H4416">
        <f>_xlfn.XLOOKUP(FACT_IMPORTS[[#This Row],[hts_6]],DIM_PRODUCTS[hts_6],DIM_PRODUCTS[hts_4],,,)</f>
        <v>8542</v>
      </c>
      <c r="I4416" t="str" cm="1">
        <f t="array" ref="I4416">_xlfn.XLOOKUP(FACT_IMPORTS[[#This Row],[country_name]],DIM_COUNTRY[[#All],[Column2]],DIM_COUNTRY[[#All],[Column3]],,,)</f>
        <v>China</v>
      </c>
    </row>
    <row r="4417" spans="1:9" x14ac:dyDescent="0.4">
      <c r="A4417" t="s">
        <v>66</v>
      </c>
      <c r="B4417" s="1">
        <v>45839</v>
      </c>
      <c r="C4417">
        <v>854239</v>
      </c>
      <c r="D4417" t="s">
        <v>176</v>
      </c>
      <c r="E4417">
        <v>7562</v>
      </c>
      <c r="F4417">
        <v>4000</v>
      </c>
      <c r="G4417">
        <v>756</v>
      </c>
      <c r="H4417">
        <f>_xlfn.XLOOKUP(FACT_IMPORTS[[#This Row],[hts_6]],DIM_PRODUCTS[hts_6],DIM_PRODUCTS[hts_4],,,)</f>
        <v>8542</v>
      </c>
      <c r="I4417" t="str" cm="1">
        <f t="array" ref="I4417">_xlfn.XLOOKUP(FACT_IMPORTS[[#This Row],[country_name]],DIM_COUNTRY[[#All],[Column2]],DIM_COUNTRY[[#All],[Column3]],,,)</f>
        <v>China</v>
      </c>
    </row>
    <row r="4418" spans="1:9" x14ac:dyDescent="0.4">
      <c r="A4418" t="s">
        <v>66</v>
      </c>
      <c r="B4418" s="1">
        <v>45839</v>
      </c>
      <c r="C4418">
        <v>854290</v>
      </c>
      <c r="D4418" t="s">
        <v>176</v>
      </c>
      <c r="E4418">
        <v>0</v>
      </c>
      <c r="F4418">
        <v>0</v>
      </c>
      <c r="G4418">
        <v>0</v>
      </c>
      <c r="H4418">
        <f>_xlfn.XLOOKUP(FACT_IMPORTS[[#This Row],[hts_6]],DIM_PRODUCTS[hts_6],DIM_PRODUCTS[hts_4],,,)</f>
        <v>8542</v>
      </c>
      <c r="I4418" t="str" cm="1">
        <f t="array" ref="I4418">_xlfn.XLOOKUP(FACT_IMPORTS[[#This Row],[country_name]],DIM_COUNTRY[[#All],[Column2]],DIM_COUNTRY[[#All],[Column3]],,,)</f>
        <v>China</v>
      </c>
    </row>
    <row r="4419" spans="1:9" x14ac:dyDescent="0.4">
      <c r="A4419" t="s">
        <v>66</v>
      </c>
      <c r="B4419" s="1">
        <v>45839</v>
      </c>
      <c r="C4419">
        <v>854430</v>
      </c>
      <c r="D4419" t="s">
        <v>176</v>
      </c>
      <c r="E4419">
        <v>595386</v>
      </c>
      <c r="F4419">
        <v>30776</v>
      </c>
      <c r="G4419">
        <v>3972</v>
      </c>
      <c r="H4419">
        <f>_xlfn.XLOOKUP(FACT_IMPORTS[[#This Row],[hts_6]],DIM_PRODUCTS[hts_6],DIM_PRODUCTS[hts_4],,,)</f>
        <v>8544</v>
      </c>
      <c r="I4419" t="str" cm="1">
        <f t="array" ref="I4419">_xlfn.XLOOKUP(FACT_IMPORTS[[#This Row],[country_name]],DIM_COUNTRY[[#All],[Column2]],DIM_COUNTRY[[#All],[Column3]],,,)</f>
        <v>China</v>
      </c>
    </row>
    <row r="4420" spans="1:9" x14ac:dyDescent="0.4">
      <c r="A4420" t="s">
        <v>66</v>
      </c>
      <c r="B4420" s="1">
        <v>45839</v>
      </c>
      <c r="C4420">
        <v>870790</v>
      </c>
      <c r="D4420" t="s">
        <v>176</v>
      </c>
      <c r="E4420">
        <v>0</v>
      </c>
      <c r="F4420">
        <v>0</v>
      </c>
      <c r="G4420">
        <v>0</v>
      </c>
      <c r="H4420">
        <f>_xlfn.XLOOKUP(FACT_IMPORTS[[#This Row],[hts_6]],DIM_PRODUCTS[hts_6],DIM_PRODUCTS[hts_4],,,)</f>
        <v>8707</v>
      </c>
      <c r="I4420" t="str" cm="1">
        <f t="array" ref="I4420">_xlfn.XLOOKUP(FACT_IMPORTS[[#This Row],[country_name]],DIM_COUNTRY[[#All],[Column2]],DIM_COUNTRY[[#All],[Column3]],,,)</f>
        <v>China</v>
      </c>
    </row>
    <row r="4421" spans="1:9" x14ac:dyDescent="0.4">
      <c r="A4421" t="s">
        <v>66</v>
      </c>
      <c r="B4421" s="1">
        <v>45839</v>
      </c>
      <c r="C4421">
        <v>870810</v>
      </c>
      <c r="D4421" t="s">
        <v>176</v>
      </c>
      <c r="E4421">
        <v>587820</v>
      </c>
      <c r="F4421">
        <v>23867</v>
      </c>
      <c r="G4421">
        <v>127664</v>
      </c>
      <c r="H4421">
        <f>_xlfn.XLOOKUP(FACT_IMPORTS[[#This Row],[hts_6]],DIM_PRODUCTS[hts_6],DIM_PRODUCTS[hts_4],,,)</f>
        <v>8708</v>
      </c>
      <c r="I4421" t="str" cm="1">
        <f t="array" ref="I4421">_xlfn.XLOOKUP(FACT_IMPORTS[[#This Row],[country_name]],DIM_COUNTRY[[#All],[Column2]],DIM_COUNTRY[[#All],[Column3]],,,)</f>
        <v>China</v>
      </c>
    </row>
    <row r="4422" spans="1:9" x14ac:dyDescent="0.4">
      <c r="A4422" t="s">
        <v>66</v>
      </c>
      <c r="B4422" s="1">
        <v>45839</v>
      </c>
      <c r="C4422">
        <v>870821</v>
      </c>
      <c r="D4422" t="s">
        <v>176</v>
      </c>
      <c r="E4422">
        <v>0</v>
      </c>
      <c r="F4422">
        <v>0</v>
      </c>
      <c r="G4422">
        <v>0</v>
      </c>
      <c r="H4422">
        <f>_xlfn.XLOOKUP(FACT_IMPORTS[[#This Row],[hts_6]],DIM_PRODUCTS[hts_6],DIM_PRODUCTS[hts_4],,,)</f>
        <v>8708</v>
      </c>
      <c r="I4422" t="str" cm="1">
        <f t="array" ref="I4422">_xlfn.XLOOKUP(FACT_IMPORTS[[#This Row],[country_name]],DIM_COUNTRY[[#All],[Column2]],DIM_COUNTRY[[#All],[Column3]],,,)</f>
        <v>China</v>
      </c>
    </row>
    <row r="4423" spans="1:9" x14ac:dyDescent="0.4">
      <c r="A4423" t="s">
        <v>66</v>
      </c>
      <c r="B4423" s="1">
        <v>45839</v>
      </c>
      <c r="C4423">
        <v>870822</v>
      </c>
      <c r="D4423" t="s">
        <v>176</v>
      </c>
      <c r="E4423">
        <v>2310157</v>
      </c>
      <c r="F4423">
        <v>502940</v>
      </c>
      <c r="G4423">
        <v>455300</v>
      </c>
      <c r="H4423">
        <f>_xlfn.XLOOKUP(FACT_IMPORTS[[#This Row],[hts_6]],DIM_PRODUCTS[hts_6],DIM_PRODUCTS[hts_4],,,)</f>
        <v>8708</v>
      </c>
      <c r="I4423" t="str" cm="1">
        <f t="array" ref="I4423">_xlfn.XLOOKUP(FACT_IMPORTS[[#This Row],[country_name]],DIM_COUNTRY[[#All],[Column2]],DIM_COUNTRY[[#All],[Column3]],,,)</f>
        <v>China</v>
      </c>
    </row>
    <row r="4424" spans="1:9" x14ac:dyDescent="0.4">
      <c r="A4424" t="s">
        <v>66</v>
      </c>
      <c r="B4424" s="1">
        <v>45839</v>
      </c>
      <c r="C4424">
        <v>870829</v>
      </c>
      <c r="D4424" t="s">
        <v>176</v>
      </c>
      <c r="E4424">
        <v>18071249</v>
      </c>
      <c r="F4424">
        <v>3758210</v>
      </c>
      <c r="G4424">
        <v>999121</v>
      </c>
      <c r="H4424">
        <f>_xlfn.XLOOKUP(FACT_IMPORTS[[#This Row],[hts_6]],DIM_PRODUCTS[hts_6],DIM_PRODUCTS[hts_4],,,)</f>
        <v>8708</v>
      </c>
      <c r="I4424" t="str" cm="1">
        <f t="array" ref="I4424">_xlfn.XLOOKUP(FACT_IMPORTS[[#This Row],[country_name]],DIM_COUNTRY[[#All],[Column2]],DIM_COUNTRY[[#All],[Column3]],,,)</f>
        <v>China</v>
      </c>
    </row>
    <row r="4425" spans="1:9" x14ac:dyDescent="0.4">
      <c r="A4425" t="s">
        <v>66</v>
      </c>
      <c r="B4425" s="1">
        <v>45839</v>
      </c>
      <c r="C4425">
        <v>870830</v>
      </c>
      <c r="D4425" t="s">
        <v>176</v>
      </c>
      <c r="E4425">
        <v>3947915</v>
      </c>
      <c r="F4425">
        <v>774802</v>
      </c>
      <c r="G4425">
        <v>263697</v>
      </c>
      <c r="H4425">
        <f>_xlfn.XLOOKUP(FACT_IMPORTS[[#This Row],[hts_6]],DIM_PRODUCTS[hts_6],DIM_PRODUCTS[hts_4],,,)</f>
        <v>8708</v>
      </c>
      <c r="I4425" t="str" cm="1">
        <f t="array" ref="I4425">_xlfn.XLOOKUP(FACT_IMPORTS[[#This Row],[country_name]],DIM_COUNTRY[[#All],[Column2]],DIM_COUNTRY[[#All],[Column3]],,,)</f>
        <v>China</v>
      </c>
    </row>
    <row r="4426" spans="1:9" x14ac:dyDescent="0.4">
      <c r="A4426" t="s">
        <v>66</v>
      </c>
      <c r="B4426" s="1">
        <v>45839</v>
      </c>
      <c r="C4426">
        <v>870840</v>
      </c>
      <c r="D4426" t="s">
        <v>176</v>
      </c>
      <c r="E4426">
        <v>3722015</v>
      </c>
      <c r="F4426">
        <v>610574</v>
      </c>
      <c r="G4426">
        <v>143665</v>
      </c>
      <c r="H4426">
        <f>_xlfn.XLOOKUP(FACT_IMPORTS[[#This Row],[hts_6]],DIM_PRODUCTS[hts_6],DIM_PRODUCTS[hts_4],,,)</f>
        <v>8708</v>
      </c>
      <c r="I4426" t="str" cm="1">
        <f t="array" ref="I4426">_xlfn.XLOOKUP(FACT_IMPORTS[[#This Row],[country_name]],DIM_COUNTRY[[#All],[Column2]],DIM_COUNTRY[[#All],[Column3]],,,)</f>
        <v>China</v>
      </c>
    </row>
    <row r="4427" spans="1:9" x14ac:dyDescent="0.4">
      <c r="A4427" t="s">
        <v>66</v>
      </c>
      <c r="B4427" s="1">
        <v>45839</v>
      </c>
      <c r="C4427">
        <v>870850</v>
      </c>
      <c r="D4427" t="s">
        <v>176</v>
      </c>
      <c r="E4427">
        <v>2750073</v>
      </c>
      <c r="F4427">
        <v>549958</v>
      </c>
      <c r="G4427">
        <v>29531</v>
      </c>
      <c r="H4427">
        <f>_xlfn.XLOOKUP(FACT_IMPORTS[[#This Row],[hts_6]],DIM_PRODUCTS[hts_6],DIM_PRODUCTS[hts_4],,,)</f>
        <v>8708</v>
      </c>
      <c r="I4427" t="str" cm="1">
        <f t="array" ref="I4427">_xlfn.XLOOKUP(FACT_IMPORTS[[#This Row],[country_name]],DIM_COUNTRY[[#All],[Column2]],DIM_COUNTRY[[#All],[Column3]],,,)</f>
        <v>China</v>
      </c>
    </row>
    <row r="4428" spans="1:9" x14ac:dyDescent="0.4">
      <c r="A4428" t="s">
        <v>66</v>
      </c>
      <c r="B4428" s="1">
        <v>45839</v>
      </c>
      <c r="C4428">
        <v>870870</v>
      </c>
      <c r="D4428" t="s">
        <v>176</v>
      </c>
      <c r="E4428">
        <v>54873983</v>
      </c>
      <c r="F4428">
        <v>1538088</v>
      </c>
      <c r="G4428">
        <v>5045241</v>
      </c>
      <c r="H4428">
        <f>_xlfn.XLOOKUP(FACT_IMPORTS[[#This Row],[hts_6]],DIM_PRODUCTS[hts_6],DIM_PRODUCTS[hts_4],,,)</f>
        <v>8708</v>
      </c>
      <c r="I4428" t="str" cm="1">
        <f t="array" ref="I4428">_xlfn.XLOOKUP(FACT_IMPORTS[[#This Row],[country_name]],DIM_COUNTRY[[#All],[Column2]],DIM_COUNTRY[[#All],[Column3]],,,)</f>
        <v>China</v>
      </c>
    </row>
    <row r="4429" spans="1:9" x14ac:dyDescent="0.4">
      <c r="A4429" t="s">
        <v>66</v>
      </c>
      <c r="B4429" s="1">
        <v>45839</v>
      </c>
      <c r="C4429">
        <v>870880</v>
      </c>
      <c r="D4429" t="s">
        <v>176</v>
      </c>
      <c r="E4429">
        <v>8251693</v>
      </c>
      <c r="F4429">
        <v>2655878</v>
      </c>
      <c r="G4429">
        <v>168151</v>
      </c>
      <c r="H4429">
        <f>_xlfn.XLOOKUP(FACT_IMPORTS[[#This Row],[hts_6]],DIM_PRODUCTS[hts_6],DIM_PRODUCTS[hts_4],,,)</f>
        <v>8708</v>
      </c>
      <c r="I4429" t="str" cm="1">
        <f t="array" ref="I4429">_xlfn.XLOOKUP(FACT_IMPORTS[[#This Row],[country_name]],DIM_COUNTRY[[#All],[Column2]],DIM_COUNTRY[[#All],[Column3]],,,)</f>
        <v>China</v>
      </c>
    </row>
    <row r="4430" spans="1:9" x14ac:dyDescent="0.4">
      <c r="A4430" t="s">
        <v>66</v>
      </c>
      <c r="B4430" s="1">
        <v>45839</v>
      </c>
      <c r="C4430">
        <v>870891</v>
      </c>
      <c r="D4430" t="s">
        <v>176</v>
      </c>
      <c r="E4430">
        <v>115469</v>
      </c>
      <c r="F4430">
        <v>8900</v>
      </c>
      <c r="G4430">
        <v>3510</v>
      </c>
      <c r="H4430">
        <f>_xlfn.XLOOKUP(FACT_IMPORTS[[#This Row],[hts_6]],DIM_PRODUCTS[hts_6],DIM_PRODUCTS[hts_4],,,)</f>
        <v>8708</v>
      </c>
      <c r="I4430" t="str" cm="1">
        <f t="array" ref="I4430">_xlfn.XLOOKUP(FACT_IMPORTS[[#This Row],[country_name]],DIM_COUNTRY[[#All],[Column2]],DIM_COUNTRY[[#All],[Column3]],,,)</f>
        <v>China</v>
      </c>
    </row>
    <row r="4431" spans="1:9" x14ac:dyDescent="0.4">
      <c r="A4431" t="s">
        <v>66</v>
      </c>
      <c r="B4431" s="1">
        <v>45839</v>
      </c>
      <c r="C4431">
        <v>870892</v>
      </c>
      <c r="D4431" t="s">
        <v>176</v>
      </c>
      <c r="E4431">
        <v>5948234</v>
      </c>
      <c r="F4431">
        <v>1181180</v>
      </c>
      <c r="G4431">
        <v>414164</v>
      </c>
      <c r="H4431">
        <f>_xlfn.XLOOKUP(FACT_IMPORTS[[#This Row],[hts_6]],DIM_PRODUCTS[hts_6],DIM_PRODUCTS[hts_4],,,)</f>
        <v>8708</v>
      </c>
      <c r="I4431" t="str" cm="1">
        <f t="array" ref="I4431">_xlfn.XLOOKUP(FACT_IMPORTS[[#This Row],[country_name]],DIM_COUNTRY[[#All],[Column2]],DIM_COUNTRY[[#All],[Column3]],,,)</f>
        <v>China</v>
      </c>
    </row>
    <row r="4432" spans="1:9" x14ac:dyDescent="0.4">
      <c r="A4432" t="s">
        <v>66</v>
      </c>
      <c r="B4432" s="1">
        <v>45839</v>
      </c>
      <c r="C4432">
        <v>870893</v>
      </c>
      <c r="D4432" t="s">
        <v>176</v>
      </c>
      <c r="E4432">
        <v>125425</v>
      </c>
      <c r="F4432">
        <v>70877</v>
      </c>
      <c r="G4432">
        <v>12557</v>
      </c>
      <c r="H4432">
        <f>_xlfn.XLOOKUP(FACT_IMPORTS[[#This Row],[hts_6]],DIM_PRODUCTS[hts_6],DIM_PRODUCTS[hts_4],,,)</f>
        <v>8708</v>
      </c>
      <c r="I4432" t="str" cm="1">
        <f t="array" ref="I4432">_xlfn.XLOOKUP(FACT_IMPORTS[[#This Row],[country_name]],DIM_COUNTRY[[#All],[Column2]],DIM_COUNTRY[[#All],[Column3]],,,)</f>
        <v>China</v>
      </c>
    </row>
    <row r="4433" spans="1:9" x14ac:dyDescent="0.4">
      <c r="A4433" t="s">
        <v>66</v>
      </c>
      <c r="B4433" s="1">
        <v>45839</v>
      </c>
      <c r="C4433">
        <v>870894</v>
      </c>
      <c r="D4433" t="s">
        <v>176</v>
      </c>
      <c r="E4433">
        <v>6762619</v>
      </c>
      <c r="F4433">
        <v>275309</v>
      </c>
      <c r="G4433">
        <v>1030471</v>
      </c>
      <c r="H4433">
        <f>_xlfn.XLOOKUP(FACT_IMPORTS[[#This Row],[hts_6]],DIM_PRODUCTS[hts_6],DIM_PRODUCTS[hts_4],,,)</f>
        <v>8708</v>
      </c>
      <c r="I4433" t="str" cm="1">
        <f t="array" ref="I4433">_xlfn.XLOOKUP(FACT_IMPORTS[[#This Row],[country_name]],DIM_COUNTRY[[#All],[Column2]],DIM_COUNTRY[[#All],[Column3]],,,)</f>
        <v>China</v>
      </c>
    </row>
    <row r="4434" spans="1:9" x14ac:dyDescent="0.4">
      <c r="A4434" t="s">
        <v>66</v>
      </c>
      <c r="B4434" s="1">
        <v>45839</v>
      </c>
      <c r="C4434">
        <v>870895</v>
      </c>
      <c r="D4434" t="s">
        <v>176</v>
      </c>
      <c r="E4434">
        <v>21334</v>
      </c>
      <c r="F4434">
        <v>178</v>
      </c>
      <c r="G4434">
        <v>388</v>
      </c>
      <c r="H4434">
        <f>_xlfn.XLOOKUP(FACT_IMPORTS[[#This Row],[hts_6]],DIM_PRODUCTS[hts_6],DIM_PRODUCTS[hts_4],,,)</f>
        <v>8708</v>
      </c>
      <c r="I4434" t="str" cm="1">
        <f t="array" ref="I4434">_xlfn.XLOOKUP(FACT_IMPORTS[[#This Row],[country_name]],DIM_COUNTRY[[#All],[Column2]],DIM_COUNTRY[[#All],[Column3]],,,)</f>
        <v>China</v>
      </c>
    </row>
    <row r="4435" spans="1:9" x14ac:dyDescent="0.4">
      <c r="A4435" t="s">
        <v>66</v>
      </c>
      <c r="B4435" s="1">
        <v>45839</v>
      </c>
      <c r="C4435">
        <v>870899</v>
      </c>
      <c r="D4435" t="s">
        <v>176</v>
      </c>
      <c r="E4435">
        <v>9676668</v>
      </c>
      <c r="F4435">
        <v>3158202</v>
      </c>
      <c r="G4435">
        <v>630624</v>
      </c>
      <c r="H4435">
        <f>_xlfn.XLOOKUP(FACT_IMPORTS[[#This Row],[hts_6]],DIM_PRODUCTS[hts_6],DIM_PRODUCTS[hts_4],,,)</f>
        <v>8708</v>
      </c>
      <c r="I4435" t="str" cm="1">
        <f t="array" ref="I4435">_xlfn.XLOOKUP(FACT_IMPORTS[[#This Row],[country_name]],DIM_COUNTRY[[#All],[Column2]],DIM_COUNTRY[[#All],[Column3]],,,)</f>
        <v>China</v>
      </c>
    </row>
    <row r="4436" spans="1:9" x14ac:dyDescent="0.4">
      <c r="A4436" t="s">
        <v>66</v>
      </c>
      <c r="B4436" s="1">
        <v>45839</v>
      </c>
      <c r="C4436">
        <v>940120</v>
      </c>
      <c r="D4436" t="s">
        <v>176</v>
      </c>
      <c r="E4436">
        <v>43002</v>
      </c>
      <c r="F4436">
        <v>839</v>
      </c>
      <c r="G4436">
        <v>4721</v>
      </c>
      <c r="H4436">
        <f>_xlfn.XLOOKUP(FACT_IMPORTS[[#This Row],[hts_6]],DIM_PRODUCTS[hts_6],DIM_PRODUCTS[hts_4],,,)</f>
        <v>9401</v>
      </c>
      <c r="I4436" t="str" cm="1">
        <f t="array" ref="I4436">_xlfn.XLOOKUP(FACT_IMPORTS[[#This Row],[country_name]],DIM_COUNTRY[[#All],[Column2]],DIM_COUNTRY[[#All],[Column3]],,,)</f>
        <v>China</v>
      </c>
    </row>
    <row r="4437" spans="1:9" x14ac:dyDescent="0.4">
      <c r="A4437" t="s">
        <v>66</v>
      </c>
      <c r="B4437" s="1">
        <v>45870</v>
      </c>
      <c r="C4437">
        <v>392630</v>
      </c>
      <c r="D4437" t="s">
        <v>176</v>
      </c>
      <c r="E4437">
        <v>1638727</v>
      </c>
      <c r="F4437">
        <v>145009</v>
      </c>
      <c r="G4437">
        <v>128278</v>
      </c>
      <c r="H4437">
        <f>_xlfn.XLOOKUP(FACT_IMPORTS[[#This Row],[hts_6]],DIM_PRODUCTS[hts_6],DIM_PRODUCTS[hts_4],,,)</f>
        <v>3926</v>
      </c>
      <c r="I4437" t="str" cm="1">
        <f t="array" ref="I4437">_xlfn.XLOOKUP(FACT_IMPORTS[[#This Row],[country_name]],DIM_COUNTRY[[#All],[Column2]],DIM_COUNTRY[[#All],[Column3]],,,)</f>
        <v>China</v>
      </c>
    </row>
    <row r="4438" spans="1:9" x14ac:dyDescent="0.4">
      <c r="A4438" t="s">
        <v>66</v>
      </c>
      <c r="B4438" s="1">
        <v>45870</v>
      </c>
      <c r="C4438">
        <v>401110</v>
      </c>
      <c r="D4438" t="s">
        <v>176</v>
      </c>
      <c r="E4438">
        <v>6147</v>
      </c>
      <c r="F4438">
        <v>110</v>
      </c>
      <c r="G4438">
        <v>73</v>
      </c>
      <c r="H4438">
        <f>_xlfn.XLOOKUP(FACT_IMPORTS[[#This Row],[hts_6]],DIM_PRODUCTS[hts_6],DIM_PRODUCTS[hts_4],,,)</f>
        <v>4011</v>
      </c>
      <c r="I4438" t="str" cm="1">
        <f t="array" ref="I4438">_xlfn.XLOOKUP(FACT_IMPORTS[[#This Row],[country_name]],DIM_COUNTRY[[#All],[Column2]],DIM_COUNTRY[[#All],[Column3]],,,)</f>
        <v>China</v>
      </c>
    </row>
    <row r="4439" spans="1:9" x14ac:dyDescent="0.4">
      <c r="A4439" t="s">
        <v>66</v>
      </c>
      <c r="B4439" s="1">
        <v>45870</v>
      </c>
      <c r="C4439">
        <v>401120</v>
      </c>
      <c r="D4439" t="s">
        <v>176</v>
      </c>
      <c r="E4439">
        <v>166567</v>
      </c>
      <c r="F4439">
        <v>1183</v>
      </c>
      <c r="G4439">
        <v>6000</v>
      </c>
      <c r="H4439">
        <f>_xlfn.XLOOKUP(FACT_IMPORTS[[#This Row],[hts_6]],DIM_PRODUCTS[hts_6],DIM_PRODUCTS[hts_4],,,)</f>
        <v>4011</v>
      </c>
      <c r="I4439" t="str" cm="1">
        <f t="array" ref="I4439">_xlfn.XLOOKUP(FACT_IMPORTS[[#This Row],[country_name]],DIM_COUNTRY[[#All],[Column2]],DIM_COUNTRY[[#All],[Column3]],,,)</f>
        <v>China</v>
      </c>
    </row>
    <row r="4440" spans="1:9" x14ac:dyDescent="0.4">
      <c r="A4440" t="s">
        <v>66</v>
      </c>
      <c r="B4440" s="1">
        <v>45870</v>
      </c>
      <c r="C4440">
        <v>401140</v>
      </c>
      <c r="D4440" t="s">
        <v>176</v>
      </c>
      <c r="E4440">
        <v>11450</v>
      </c>
      <c r="F4440">
        <v>171</v>
      </c>
      <c r="G4440">
        <v>11</v>
      </c>
      <c r="H4440">
        <f>_xlfn.XLOOKUP(FACT_IMPORTS[[#This Row],[hts_6]],DIM_PRODUCTS[hts_6],DIM_PRODUCTS[hts_4],,,)</f>
        <v>4011</v>
      </c>
      <c r="I4440" t="str" cm="1">
        <f t="array" ref="I4440">_xlfn.XLOOKUP(FACT_IMPORTS[[#This Row],[country_name]],DIM_COUNTRY[[#All],[Column2]],DIM_COUNTRY[[#All],[Column3]],,,)</f>
        <v>China</v>
      </c>
    </row>
    <row r="4441" spans="1:9" x14ac:dyDescent="0.4">
      <c r="A4441" t="s">
        <v>66</v>
      </c>
      <c r="B4441" s="1">
        <v>45870</v>
      </c>
      <c r="C4441">
        <v>401190</v>
      </c>
      <c r="D4441" t="s">
        <v>176</v>
      </c>
      <c r="E4441">
        <v>66361</v>
      </c>
      <c r="F4441">
        <v>1306</v>
      </c>
      <c r="G4441">
        <v>6200</v>
      </c>
      <c r="H4441">
        <f>_xlfn.XLOOKUP(FACT_IMPORTS[[#This Row],[hts_6]],DIM_PRODUCTS[hts_6],DIM_PRODUCTS[hts_4],,,)</f>
        <v>4011</v>
      </c>
      <c r="I4441" t="str" cm="1">
        <f t="array" ref="I4441">_xlfn.XLOOKUP(FACT_IMPORTS[[#This Row],[country_name]],DIM_COUNTRY[[#All],[Column2]],DIM_COUNTRY[[#All],[Column3]],,,)</f>
        <v>China</v>
      </c>
    </row>
    <row r="4442" spans="1:9" x14ac:dyDescent="0.4">
      <c r="A4442" t="s">
        <v>66</v>
      </c>
      <c r="B4442" s="1">
        <v>45870</v>
      </c>
      <c r="C4442">
        <v>700711</v>
      </c>
      <c r="D4442" t="s">
        <v>176</v>
      </c>
      <c r="E4442">
        <v>196939</v>
      </c>
      <c r="F4442">
        <v>32788</v>
      </c>
      <c r="G4442">
        <v>51158</v>
      </c>
      <c r="H4442">
        <f>_xlfn.XLOOKUP(FACT_IMPORTS[[#This Row],[hts_6]],DIM_PRODUCTS[hts_6],DIM_PRODUCTS[hts_4],,,)</f>
        <v>7007</v>
      </c>
      <c r="I4442" t="str" cm="1">
        <f t="array" ref="I4442">_xlfn.XLOOKUP(FACT_IMPORTS[[#This Row],[country_name]],DIM_COUNTRY[[#All],[Column2]],DIM_COUNTRY[[#All],[Column3]],,,)</f>
        <v>China</v>
      </c>
    </row>
    <row r="4443" spans="1:9" x14ac:dyDescent="0.4">
      <c r="A4443" t="s">
        <v>66</v>
      </c>
      <c r="B4443" s="1">
        <v>45870</v>
      </c>
      <c r="C4443">
        <v>700721</v>
      </c>
      <c r="D4443" t="s">
        <v>176</v>
      </c>
      <c r="E4443">
        <v>26391</v>
      </c>
      <c r="F4443">
        <v>790</v>
      </c>
      <c r="G4443">
        <v>962</v>
      </c>
      <c r="H4443">
        <f>_xlfn.XLOOKUP(FACT_IMPORTS[[#This Row],[hts_6]],DIM_PRODUCTS[hts_6],DIM_PRODUCTS[hts_4],,,)</f>
        <v>7007</v>
      </c>
      <c r="I4443" t="str" cm="1">
        <f t="array" ref="I4443">_xlfn.XLOOKUP(FACT_IMPORTS[[#This Row],[country_name]],DIM_COUNTRY[[#All],[Column2]],DIM_COUNTRY[[#All],[Column3]],,,)</f>
        <v>China</v>
      </c>
    </row>
    <row r="4444" spans="1:9" x14ac:dyDescent="0.4">
      <c r="A4444" t="s">
        <v>66</v>
      </c>
      <c r="B4444" s="1">
        <v>45870</v>
      </c>
      <c r="C4444">
        <v>700910</v>
      </c>
      <c r="D4444" t="s">
        <v>176</v>
      </c>
      <c r="E4444">
        <v>394817</v>
      </c>
      <c r="F4444">
        <v>381655</v>
      </c>
      <c r="G4444">
        <v>31334</v>
      </c>
      <c r="H4444">
        <f>_xlfn.XLOOKUP(FACT_IMPORTS[[#This Row],[hts_6]],DIM_PRODUCTS[hts_6],DIM_PRODUCTS[hts_4],,,)</f>
        <v>7009</v>
      </c>
      <c r="I4444" t="str" cm="1">
        <f t="array" ref="I4444">_xlfn.XLOOKUP(FACT_IMPORTS[[#This Row],[country_name]],DIM_COUNTRY[[#All],[Column2]],DIM_COUNTRY[[#All],[Column3]],,,)</f>
        <v>China</v>
      </c>
    </row>
    <row r="4445" spans="1:9" x14ac:dyDescent="0.4">
      <c r="A4445" t="s">
        <v>66</v>
      </c>
      <c r="B4445" s="1">
        <v>45870</v>
      </c>
      <c r="C4445">
        <v>732010</v>
      </c>
      <c r="D4445" t="s">
        <v>176</v>
      </c>
      <c r="E4445">
        <v>0</v>
      </c>
      <c r="F4445">
        <v>0</v>
      </c>
      <c r="G4445">
        <v>0</v>
      </c>
      <c r="H4445">
        <f>_xlfn.XLOOKUP(FACT_IMPORTS[[#This Row],[hts_6]],DIM_PRODUCTS[hts_6],DIM_PRODUCTS[hts_4],,,)</f>
        <v>7320</v>
      </c>
      <c r="I4445" t="str" cm="1">
        <f t="array" ref="I4445">_xlfn.XLOOKUP(FACT_IMPORTS[[#This Row],[country_name]],DIM_COUNTRY[[#All],[Column2]],DIM_COUNTRY[[#All],[Column3]],,,)</f>
        <v>China</v>
      </c>
    </row>
    <row r="4446" spans="1:9" x14ac:dyDescent="0.4">
      <c r="A4446" t="s">
        <v>66</v>
      </c>
      <c r="B4446" s="1">
        <v>45870</v>
      </c>
      <c r="C4446">
        <v>830230</v>
      </c>
      <c r="D4446" t="s">
        <v>176</v>
      </c>
      <c r="E4446">
        <v>3632606</v>
      </c>
      <c r="F4446">
        <v>1097068</v>
      </c>
      <c r="G4446">
        <v>166880</v>
      </c>
      <c r="H4446">
        <f>_xlfn.XLOOKUP(FACT_IMPORTS[[#This Row],[hts_6]],DIM_PRODUCTS[hts_6],DIM_PRODUCTS[hts_4],,,)</f>
        <v>8302</v>
      </c>
      <c r="I4446" t="str" cm="1">
        <f t="array" ref="I4446">_xlfn.XLOOKUP(FACT_IMPORTS[[#This Row],[country_name]],DIM_COUNTRY[[#All],[Column2]],DIM_COUNTRY[[#All],[Column3]],,,)</f>
        <v>China</v>
      </c>
    </row>
    <row r="4447" spans="1:9" x14ac:dyDescent="0.4">
      <c r="A4447" t="s">
        <v>66</v>
      </c>
      <c r="B4447" s="1">
        <v>45870</v>
      </c>
      <c r="C4447">
        <v>840733</v>
      </c>
      <c r="D4447" t="s">
        <v>176</v>
      </c>
      <c r="E4447">
        <v>0</v>
      </c>
      <c r="F4447">
        <v>0</v>
      </c>
      <c r="G4447">
        <v>0</v>
      </c>
      <c r="H4447">
        <f>_xlfn.XLOOKUP(FACT_IMPORTS[[#This Row],[hts_6]],DIM_PRODUCTS[hts_6],DIM_PRODUCTS[hts_4],,,)</f>
        <v>8407</v>
      </c>
      <c r="I4447" t="str" cm="1">
        <f t="array" ref="I4447">_xlfn.XLOOKUP(FACT_IMPORTS[[#This Row],[country_name]],DIM_COUNTRY[[#All],[Column2]],DIM_COUNTRY[[#All],[Column3]],,,)</f>
        <v>China</v>
      </c>
    </row>
    <row r="4448" spans="1:9" x14ac:dyDescent="0.4">
      <c r="A4448" t="s">
        <v>66</v>
      </c>
      <c r="B4448" s="1">
        <v>45870</v>
      </c>
      <c r="C4448">
        <v>840734</v>
      </c>
      <c r="D4448" t="s">
        <v>176</v>
      </c>
      <c r="E4448">
        <v>1177088</v>
      </c>
      <c r="F4448">
        <v>768</v>
      </c>
      <c r="G4448">
        <v>117709</v>
      </c>
      <c r="H4448">
        <f>_xlfn.XLOOKUP(FACT_IMPORTS[[#This Row],[hts_6]],DIM_PRODUCTS[hts_6],DIM_PRODUCTS[hts_4],,,)</f>
        <v>8407</v>
      </c>
      <c r="I4448" t="str" cm="1">
        <f t="array" ref="I4448">_xlfn.XLOOKUP(FACT_IMPORTS[[#This Row],[country_name]],DIM_COUNTRY[[#All],[Column2]],DIM_COUNTRY[[#All],[Column3]],,,)</f>
        <v>China</v>
      </c>
    </row>
    <row r="4449" spans="1:9" x14ac:dyDescent="0.4">
      <c r="A4449" t="s">
        <v>66</v>
      </c>
      <c r="B4449" s="1">
        <v>45870</v>
      </c>
      <c r="C4449">
        <v>840790</v>
      </c>
      <c r="D4449" t="s">
        <v>176</v>
      </c>
      <c r="E4449">
        <v>2542</v>
      </c>
      <c r="F4449">
        <v>1</v>
      </c>
      <c r="G4449">
        <v>215</v>
      </c>
      <c r="H4449">
        <f>_xlfn.XLOOKUP(FACT_IMPORTS[[#This Row],[hts_6]],DIM_PRODUCTS[hts_6],DIM_PRODUCTS[hts_4],,,)</f>
        <v>8407</v>
      </c>
      <c r="I4449" t="str" cm="1">
        <f t="array" ref="I4449">_xlfn.XLOOKUP(FACT_IMPORTS[[#This Row],[country_name]],DIM_COUNTRY[[#All],[Column2]],DIM_COUNTRY[[#All],[Column3]],,,)</f>
        <v>China</v>
      </c>
    </row>
    <row r="4450" spans="1:9" x14ac:dyDescent="0.4">
      <c r="A4450" t="s">
        <v>66</v>
      </c>
      <c r="B4450" s="1">
        <v>45870</v>
      </c>
      <c r="C4450">
        <v>840820</v>
      </c>
      <c r="D4450" t="s">
        <v>176</v>
      </c>
      <c r="E4450">
        <v>0</v>
      </c>
      <c r="F4450">
        <v>0</v>
      </c>
      <c r="G4450">
        <v>0</v>
      </c>
      <c r="H4450">
        <f>_xlfn.XLOOKUP(FACT_IMPORTS[[#This Row],[hts_6]],DIM_PRODUCTS[hts_6],DIM_PRODUCTS[hts_4],,,)</f>
        <v>8408</v>
      </c>
      <c r="I4450" t="str" cm="1">
        <f t="array" ref="I4450">_xlfn.XLOOKUP(FACT_IMPORTS[[#This Row],[country_name]],DIM_COUNTRY[[#All],[Column2]],DIM_COUNTRY[[#All],[Column3]],,,)</f>
        <v>China</v>
      </c>
    </row>
    <row r="4451" spans="1:9" x14ac:dyDescent="0.4">
      <c r="A4451" t="s">
        <v>66</v>
      </c>
      <c r="B4451" s="1">
        <v>45870</v>
      </c>
      <c r="C4451">
        <v>840890</v>
      </c>
      <c r="D4451" t="s">
        <v>176</v>
      </c>
      <c r="E4451">
        <v>0</v>
      </c>
      <c r="F4451">
        <v>0</v>
      </c>
      <c r="G4451">
        <v>0</v>
      </c>
      <c r="H4451">
        <f>_xlfn.XLOOKUP(FACT_IMPORTS[[#This Row],[hts_6]],DIM_PRODUCTS[hts_6],DIM_PRODUCTS[hts_4],,,)</f>
        <v>8408</v>
      </c>
      <c r="I4451" t="str" cm="1">
        <f t="array" ref="I4451">_xlfn.XLOOKUP(FACT_IMPORTS[[#This Row],[country_name]],DIM_COUNTRY[[#All],[Column2]],DIM_COUNTRY[[#All],[Column3]],,,)</f>
        <v>China</v>
      </c>
    </row>
    <row r="4452" spans="1:9" x14ac:dyDescent="0.4">
      <c r="A4452" t="s">
        <v>66</v>
      </c>
      <c r="B4452" s="1">
        <v>45870</v>
      </c>
      <c r="C4452">
        <v>840991</v>
      </c>
      <c r="D4452" t="s">
        <v>176</v>
      </c>
      <c r="E4452">
        <v>6371251</v>
      </c>
      <c r="F4452">
        <v>2286276</v>
      </c>
      <c r="G4452">
        <v>876171</v>
      </c>
      <c r="H4452">
        <f>_xlfn.XLOOKUP(FACT_IMPORTS[[#This Row],[hts_6]],DIM_PRODUCTS[hts_6],DIM_PRODUCTS[hts_4],,,)</f>
        <v>8409</v>
      </c>
      <c r="I4452" t="str" cm="1">
        <f t="array" ref="I4452">_xlfn.XLOOKUP(FACT_IMPORTS[[#This Row],[country_name]],DIM_COUNTRY[[#All],[Column2]],DIM_COUNTRY[[#All],[Column3]],,,)</f>
        <v>China</v>
      </c>
    </row>
    <row r="4453" spans="1:9" x14ac:dyDescent="0.4">
      <c r="A4453" t="s">
        <v>66</v>
      </c>
      <c r="B4453" s="1">
        <v>45870</v>
      </c>
      <c r="C4453">
        <v>840999</v>
      </c>
      <c r="D4453" t="s">
        <v>176</v>
      </c>
      <c r="E4453">
        <v>3527154</v>
      </c>
      <c r="F4453">
        <v>596259</v>
      </c>
      <c r="G4453">
        <v>84940</v>
      </c>
      <c r="H4453">
        <f>_xlfn.XLOOKUP(FACT_IMPORTS[[#This Row],[hts_6]],DIM_PRODUCTS[hts_6],DIM_PRODUCTS[hts_4],,,)</f>
        <v>8409</v>
      </c>
      <c r="I4453" t="str" cm="1">
        <f t="array" ref="I4453">_xlfn.XLOOKUP(FACT_IMPORTS[[#This Row],[country_name]],DIM_COUNTRY[[#All],[Column2]],DIM_COUNTRY[[#All],[Column3]],,,)</f>
        <v>China</v>
      </c>
    </row>
    <row r="4454" spans="1:9" x14ac:dyDescent="0.4">
      <c r="A4454" t="s">
        <v>66</v>
      </c>
      <c r="B4454" s="1">
        <v>45870</v>
      </c>
      <c r="C4454">
        <v>841330</v>
      </c>
      <c r="D4454" t="s">
        <v>176</v>
      </c>
      <c r="E4454">
        <v>414901</v>
      </c>
      <c r="F4454">
        <v>15193</v>
      </c>
      <c r="G4454">
        <v>14689</v>
      </c>
      <c r="H4454">
        <f>_xlfn.XLOOKUP(FACT_IMPORTS[[#This Row],[hts_6]],DIM_PRODUCTS[hts_6],DIM_PRODUCTS[hts_4],,,)</f>
        <v>8413</v>
      </c>
      <c r="I4454" t="str" cm="1">
        <f t="array" ref="I4454">_xlfn.XLOOKUP(FACT_IMPORTS[[#This Row],[country_name]],DIM_COUNTRY[[#All],[Column2]],DIM_COUNTRY[[#All],[Column3]],,,)</f>
        <v>China</v>
      </c>
    </row>
    <row r="4455" spans="1:9" x14ac:dyDescent="0.4">
      <c r="A4455" t="s">
        <v>66</v>
      </c>
      <c r="B4455" s="1">
        <v>45870</v>
      </c>
      <c r="C4455">
        <v>841520</v>
      </c>
      <c r="D4455" t="s">
        <v>176</v>
      </c>
      <c r="E4455">
        <v>10398</v>
      </c>
      <c r="F4455">
        <v>16</v>
      </c>
      <c r="G4455">
        <v>148</v>
      </c>
      <c r="H4455">
        <f>_xlfn.XLOOKUP(FACT_IMPORTS[[#This Row],[hts_6]],DIM_PRODUCTS[hts_6],DIM_PRODUCTS[hts_4],,,)</f>
        <v>8415</v>
      </c>
      <c r="I4455" t="str" cm="1">
        <f t="array" ref="I4455">_xlfn.XLOOKUP(FACT_IMPORTS[[#This Row],[country_name]],DIM_COUNTRY[[#All],[Column2]],DIM_COUNTRY[[#All],[Column3]],,,)</f>
        <v>China</v>
      </c>
    </row>
    <row r="4456" spans="1:9" x14ac:dyDescent="0.4">
      <c r="A4456" t="s">
        <v>66</v>
      </c>
      <c r="B4456" s="1">
        <v>45870</v>
      </c>
      <c r="C4456">
        <v>842132</v>
      </c>
      <c r="D4456" t="s">
        <v>176</v>
      </c>
      <c r="E4456">
        <v>0</v>
      </c>
      <c r="F4456">
        <v>0</v>
      </c>
      <c r="G4456">
        <v>0</v>
      </c>
      <c r="H4456">
        <f>_xlfn.XLOOKUP(FACT_IMPORTS[[#This Row],[hts_6]],DIM_PRODUCTS[hts_6],DIM_PRODUCTS[hts_4],,,)</f>
        <v>8421</v>
      </c>
      <c r="I4456" t="str" cm="1">
        <f t="array" ref="I4456">_xlfn.XLOOKUP(FACT_IMPORTS[[#This Row],[country_name]],DIM_COUNTRY[[#All],[Column2]],DIM_COUNTRY[[#All],[Column3]],,,)</f>
        <v>China</v>
      </c>
    </row>
    <row r="4457" spans="1:9" x14ac:dyDescent="0.4">
      <c r="A4457" t="s">
        <v>66</v>
      </c>
      <c r="B4457" s="1">
        <v>45870</v>
      </c>
      <c r="C4457">
        <v>848210</v>
      </c>
      <c r="D4457" t="s">
        <v>176</v>
      </c>
      <c r="E4457">
        <v>594553</v>
      </c>
      <c r="F4457">
        <v>443815</v>
      </c>
      <c r="G4457">
        <v>28017</v>
      </c>
      <c r="H4457">
        <f>_xlfn.XLOOKUP(FACT_IMPORTS[[#This Row],[hts_6]],DIM_PRODUCTS[hts_6],DIM_PRODUCTS[hts_4],,,)</f>
        <v>8482</v>
      </c>
      <c r="I4457" t="str" cm="1">
        <f t="array" ref="I4457">_xlfn.XLOOKUP(FACT_IMPORTS[[#This Row],[country_name]],DIM_COUNTRY[[#All],[Column2]],DIM_COUNTRY[[#All],[Column3]],,,)</f>
        <v>China</v>
      </c>
    </row>
    <row r="4458" spans="1:9" x14ac:dyDescent="0.4">
      <c r="A4458" t="s">
        <v>66</v>
      </c>
      <c r="B4458" s="1">
        <v>45870</v>
      </c>
      <c r="C4458">
        <v>848220</v>
      </c>
      <c r="D4458" t="s">
        <v>176</v>
      </c>
      <c r="E4458">
        <v>117211</v>
      </c>
      <c r="F4458">
        <v>114563</v>
      </c>
      <c r="G4458">
        <v>7391</v>
      </c>
      <c r="H4458">
        <f>_xlfn.XLOOKUP(FACT_IMPORTS[[#This Row],[hts_6]],DIM_PRODUCTS[hts_6],DIM_PRODUCTS[hts_4],,,)</f>
        <v>8482</v>
      </c>
      <c r="I4458" t="str" cm="1">
        <f t="array" ref="I4458">_xlfn.XLOOKUP(FACT_IMPORTS[[#This Row],[country_name]],DIM_COUNTRY[[#All],[Column2]],DIM_COUNTRY[[#All],[Column3]],,,)</f>
        <v>China</v>
      </c>
    </row>
    <row r="4459" spans="1:9" x14ac:dyDescent="0.4">
      <c r="A4459" t="s">
        <v>66</v>
      </c>
      <c r="B4459" s="1">
        <v>45870</v>
      </c>
      <c r="C4459">
        <v>848310</v>
      </c>
      <c r="D4459" t="s">
        <v>176</v>
      </c>
      <c r="E4459">
        <v>2592743</v>
      </c>
      <c r="F4459">
        <v>527291</v>
      </c>
      <c r="G4459">
        <v>182290</v>
      </c>
      <c r="H4459">
        <f>_xlfn.XLOOKUP(FACT_IMPORTS[[#This Row],[hts_6]],DIM_PRODUCTS[hts_6],DIM_PRODUCTS[hts_4],,,)</f>
        <v>8483</v>
      </c>
      <c r="I4459" t="str" cm="1">
        <f t="array" ref="I4459">_xlfn.XLOOKUP(FACT_IMPORTS[[#This Row],[country_name]],DIM_COUNTRY[[#All],[Column2]],DIM_COUNTRY[[#All],[Column3]],,,)</f>
        <v>China</v>
      </c>
    </row>
    <row r="4460" spans="1:9" x14ac:dyDescent="0.4">
      <c r="A4460" t="s">
        <v>66</v>
      </c>
      <c r="B4460" s="1">
        <v>45870</v>
      </c>
      <c r="C4460">
        <v>850131</v>
      </c>
      <c r="D4460" t="s">
        <v>176</v>
      </c>
      <c r="E4460">
        <v>2704265</v>
      </c>
      <c r="F4460">
        <v>360796</v>
      </c>
      <c r="G4460">
        <v>117236</v>
      </c>
      <c r="H4460">
        <f>_xlfn.XLOOKUP(FACT_IMPORTS[[#This Row],[hts_6]],DIM_PRODUCTS[hts_6],DIM_PRODUCTS[hts_4],,,)</f>
        <v>8501</v>
      </c>
      <c r="I4460" t="str" cm="1">
        <f t="array" ref="I4460">_xlfn.XLOOKUP(FACT_IMPORTS[[#This Row],[country_name]],DIM_COUNTRY[[#All],[Column2]],DIM_COUNTRY[[#All],[Column3]],,,)</f>
        <v>China</v>
      </c>
    </row>
    <row r="4461" spans="1:9" x14ac:dyDescent="0.4">
      <c r="A4461" t="s">
        <v>66</v>
      </c>
      <c r="B4461" s="1">
        <v>45870</v>
      </c>
      <c r="C4461">
        <v>850132</v>
      </c>
      <c r="D4461" t="s">
        <v>176</v>
      </c>
      <c r="E4461">
        <v>10863</v>
      </c>
      <c r="F4461">
        <v>17</v>
      </c>
      <c r="G4461">
        <v>132</v>
      </c>
      <c r="H4461">
        <f>_xlfn.XLOOKUP(FACT_IMPORTS[[#This Row],[hts_6]],DIM_PRODUCTS[hts_6],DIM_PRODUCTS[hts_4],,,)</f>
        <v>8501</v>
      </c>
      <c r="I4461" t="str" cm="1">
        <f t="array" ref="I4461">_xlfn.XLOOKUP(FACT_IMPORTS[[#This Row],[country_name]],DIM_COUNTRY[[#All],[Column2]],DIM_COUNTRY[[#All],[Column3]],,,)</f>
        <v>China</v>
      </c>
    </row>
    <row r="4462" spans="1:9" x14ac:dyDescent="0.4">
      <c r="A4462" t="s">
        <v>66</v>
      </c>
      <c r="B4462" s="1">
        <v>45870</v>
      </c>
      <c r="C4462">
        <v>850133</v>
      </c>
      <c r="D4462" t="s">
        <v>176</v>
      </c>
      <c r="E4462">
        <v>2476</v>
      </c>
      <c r="F4462">
        <v>1</v>
      </c>
      <c r="G4462">
        <v>250</v>
      </c>
      <c r="H4462">
        <f>_xlfn.XLOOKUP(FACT_IMPORTS[[#This Row],[hts_6]],DIM_PRODUCTS[hts_6],DIM_PRODUCTS[hts_4],,,)</f>
        <v>8501</v>
      </c>
      <c r="I4462" t="str" cm="1">
        <f t="array" ref="I4462">_xlfn.XLOOKUP(FACT_IMPORTS[[#This Row],[country_name]],DIM_COUNTRY[[#All],[Column2]],DIM_COUNTRY[[#All],[Column3]],,,)</f>
        <v>China</v>
      </c>
    </row>
    <row r="4463" spans="1:9" x14ac:dyDescent="0.4">
      <c r="A4463" t="s">
        <v>66</v>
      </c>
      <c r="B4463" s="1">
        <v>45870</v>
      </c>
      <c r="C4463">
        <v>850152</v>
      </c>
      <c r="D4463" t="s">
        <v>176</v>
      </c>
      <c r="E4463">
        <v>582796</v>
      </c>
      <c r="F4463">
        <v>1942</v>
      </c>
      <c r="G4463">
        <v>14649</v>
      </c>
      <c r="H4463">
        <f>_xlfn.XLOOKUP(FACT_IMPORTS[[#This Row],[hts_6]],DIM_PRODUCTS[hts_6],DIM_PRODUCTS[hts_4],,,)</f>
        <v>8501</v>
      </c>
      <c r="I4463" t="str" cm="1">
        <f t="array" ref="I4463">_xlfn.XLOOKUP(FACT_IMPORTS[[#This Row],[country_name]],DIM_COUNTRY[[#All],[Column2]],DIM_COUNTRY[[#All],[Column3]],,,)</f>
        <v>China</v>
      </c>
    </row>
    <row r="4464" spans="1:9" x14ac:dyDescent="0.4">
      <c r="A4464" t="s">
        <v>66</v>
      </c>
      <c r="B4464" s="1">
        <v>45870</v>
      </c>
      <c r="C4464">
        <v>850153</v>
      </c>
      <c r="D4464" t="s">
        <v>176</v>
      </c>
      <c r="E4464">
        <v>0</v>
      </c>
      <c r="F4464">
        <v>0</v>
      </c>
      <c r="G4464">
        <v>0</v>
      </c>
      <c r="H4464">
        <f>_xlfn.XLOOKUP(FACT_IMPORTS[[#This Row],[hts_6]],DIM_PRODUCTS[hts_6],DIM_PRODUCTS[hts_4],,,)</f>
        <v>8501</v>
      </c>
      <c r="I4464" t="str" cm="1">
        <f t="array" ref="I4464">_xlfn.XLOOKUP(FACT_IMPORTS[[#This Row],[country_name]],DIM_COUNTRY[[#All],[Column2]],DIM_COUNTRY[[#All],[Column3]],,,)</f>
        <v>China</v>
      </c>
    </row>
    <row r="4465" spans="1:9" x14ac:dyDescent="0.4">
      <c r="A4465" t="s">
        <v>66</v>
      </c>
      <c r="B4465" s="1">
        <v>45870</v>
      </c>
      <c r="C4465">
        <v>850161</v>
      </c>
      <c r="D4465" t="s">
        <v>176</v>
      </c>
      <c r="E4465">
        <v>0</v>
      </c>
      <c r="F4465">
        <v>0</v>
      </c>
      <c r="G4465">
        <v>0</v>
      </c>
      <c r="H4465">
        <f>_xlfn.XLOOKUP(FACT_IMPORTS[[#This Row],[hts_6]],DIM_PRODUCTS[hts_6],DIM_PRODUCTS[hts_4],,,)</f>
        <v>8501</v>
      </c>
      <c r="I4465" t="str" cm="1">
        <f t="array" ref="I4465">_xlfn.XLOOKUP(FACT_IMPORTS[[#This Row],[country_name]],DIM_COUNTRY[[#All],[Column2]],DIM_COUNTRY[[#All],[Column3]],,,)</f>
        <v>China</v>
      </c>
    </row>
    <row r="4466" spans="1:9" x14ac:dyDescent="0.4">
      <c r="A4466" t="s">
        <v>66</v>
      </c>
      <c r="B4466" s="1">
        <v>45870</v>
      </c>
      <c r="C4466">
        <v>850440</v>
      </c>
      <c r="D4466" t="s">
        <v>176</v>
      </c>
      <c r="E4466">
        <v>743932</v>
      </c>
      <c r="F4466">
        <v>17246</v>
      </c>
      <c r="G4466">
        <v>22231</v>
      </c>
      <c r="H4466">
        <f>_xlfn.XLOOKUP(FACT_IMPORTS[[#This Row],[hts_6]],DIM_PRODUCTS[hts_6],DIM_PRODUCTS[hts_4],,,)</f>
        <v>8504</v>
      </c>
      <c r="I4466" t="str" cm="1">
        <f t="array" ref="I4466">_xlfn.XLOOKUP(FACT_IMPORTS[[#This Row],[country_name]],DIM_COUNTRY[[#All],[Column2]],DIM_COUNTRY[[#All],[Column3]],,,)</f>
        <v>China</v>
      </c>
    </row>
    <row r="4467" spans="1:9" x14ac:dyDescent="0.4">
      <c r="A4467" t="s">
        <v>66</v>
      </c>
      <c r="B4467" s="1">
        <v>45870</v>
      </c>
      <c r="C4467">
        <v>850710</v>
      </c>
      <c r="D4467" t="s">
        <v>176</v>
      </c>
      <c r="E4467">
        <v>29342</v>
      </c>
      <c r="F4467">
        <v>716</v>
      </c>
      <c r="G4467">
        <v>715</v>
      </c>
      <c r="H4467">
        <f>_xlfn.XLOOKUP(FACT_IMPORTS[[#This Row],[hts_6]],DIM_PRODUCTS[hts_6],DIM_PRODUCTS[hts_4],,,)</f>
        <v>8507</v>
      </c>
      <c r="I4467" t="str" cm="1">
        <f t="array" ref="I4467">_xlfn.XLOOKUP(FACT_IMPORTS[[#This Row],[country_name]],DIM_COUNTRY[[#All],[Column2]],DIM_COUNTRY[[#All],[Column3]],,,)</f>
        <v>China</v>
      </c>
    </row>
    <row r="4468" spans="1:9" x14ac:dyDescent="0.4">
      <c r="A4468" t="s">
        <v>66</v>
      </c>
      <c r="B4468" s="1">
        <v>45870</v>
      </c>
      <c r="C4468">
        <v>850760</v>
      </c>
      <c r="D4468" t="s">
        <v>176</v>
      </c>
      <c r="E4468">
        <v>691283</v>
      </c>
      <c r="F4468">
        <v>13468</v>
      </c>
      <c r="G4468">
        <v>19600</v>
      </c>
      <c r="H4468">
        <f>_xlfn.XLOOKUP(FACT_IMPORTS[[#This Row],[hts_6]],DIM_PRODUCTS[hts_6],DIM_PRODUCTS[hts_4],,,)</f>
        <v>8507</v>
      </c>
      <c r="I4468" t="str" cm="1">
        <f t="array" ref="I4468">_xlfn.XLOOKUP(FACT_IMPORTS[[#This Row],[country_name]],DIM_COUNTRY[[#All],[Column2]],DIM_COUNTRY[[#All],[Column3]],,,)</f>
        <v>China</v>
      </c>
    </row>
    <row r="4469" spans="1:9" x14ac:dyDescent="0.4">
      <c r="A4469" t="s">
        <v>66</v>
      </c>
      <c r="B4469" s="1">
        <v>45870</v>
      </c>
      <c r="C4469">
        <v>850790</v>
      </c>
      <c r="D4469" t="s">
        <v>176</v>
      </c>
      <c r="E4469">
        <v>57388</v>
      </c>
      <c r="F4469">
        <v>784</v>
      </c>
      <c r="G4469">
        <v>5985</v>
      </c>
      <c r="H4469">
        <f>_xlfn.XLOOKUP(FACT_IMPORTS[[#This Row],[hts_6]],DIM_PRODUCTS[hts_6],DIM_PRODUCTS[hts_4],,,)</f>
        <v>8507</v>
      </c>
      <c r="I4469" t="str" cm="1">
        <f t="array" ref="I4469">_xlfn.XLOOKUP(FACT_IMPORTS[[#This Row],[country_name]],DIM_COUNTRY[[#All],[Column2]],DIM_COUNTRY[[#All],[Column3]],,,)</f>
        <v>China</v>
      </c>
    </row>
    <row r="4470" spans="1:9" x14ac:dyDescent="0.4">
      <c r="A4470" t="s">
        <v>66</v>
      </c>
      <c r="B4470" s="1">
        <v>45870</v>
      </c>
      <c r="C4470">
        <v>851110</v>
      </c>
      <c r="D4470" t="s">
        <v>176</v>
      </c>
      <c r="E4470">
        <v>0</v>
      </c>
      <c r="F4470">
        <v>0</v>
      </c>
      <c r="G4470">
        <v>0</v>
      </c>
      <c r="H4470">
        <f>_xlfn.XLOOKUP(FACT_IMPORTS[[#This Row],[hts_6]],DIM_PRODUCTS[hts_6],DIM_PRODUCTS[hts_4],,,)</f>
        <v>8511</v>
      </c>
      <c r="I4470" t="str" cm="1">
        <f t="array" ref="I4470">_xlfn.XLOOKUP(FACT_IMPORTS[[#This Row],[country_name]],DIM_COUNTRY[[#All],[Column2]],DIM_COUNTRY[[#All],[Column3]],,,)</f>
        <v>China</v>
      </c>
    </row>
    <row r="4471" spans="1:9" x14ac:dyDescent="0.4">
      <c r="A4471" t="s">
        <v>66</v>
      </c>
      <c r="B4471" s="1">
        <v>45870</v>
      </c>
      <c r="C4471">
        <v>851120</v>
      </c>
      <c r="D4471" t="s">
        <v>176</v>
      </c>
      <c r="E4471">
        <v>7072</v>
      </c>
      <c r="F4471">
        <v>167</v>
      </c>
      <c r="G4471">
        <v>18</v>
      </c>
      <c r="H4471">
        <f>_xlfn.XLOOKUP(FACT_IMPORTS[[#This Row],[hts_6]],DIM_PRODUCTS[hts_6],DIM_PRODUCTS[hts_4],,,)</f>
        <v>8511</v>
      </c>
      <c r="I4471" t="str" cm="1">
        <f t="array" ref="I4471">_xlfn.XLOOKUP(FACT_IMPORTS[[#This Row],[country_name]],DIM_COUNTRY[[#All],[Column2]],DIM_COUNTRY[[#All],[Column3]],,,)</f>
        <v>China</v>
      </c>
    </row>
    <row r="4472" spans="1:9" x14ac:dyDescent="0.4">
      <c r="A4472" t="s">
        <v>66</v>
      </c>
      <c r="B4472" s="1">
        <v>45870</v>
      </c>
      <c r="C4472">
        <v>851130</v>
      </c>
      <c r="D4472" t="s">
        <v>176</v>
      </c>
      <c r="E4472">
        <v>21667</v>
      </c>
      <c r="F4472">
        <v>2969</v>
      </c>
      <c r="G4472">
        <v>1482</v>
      </c>
      <c r="H4472">
        <f>_xlfn.XLOOKUP(FACT_IMPORTS[[#This Row],[hts_6]],DIM_PRODUCTS[hts_6],DIM_PRODUCTS[hts_4],,,)</f>
        <v>8511</v>
      </c>
      <c r="I4472" t="str" cm="1">
        <f t="array" ref="I4472">_xlfn.XLOOKUP(FACT_IMPORTS[[#This Row],[country_name]],DIM_COUNTRY[[#All],[Column2]],DIM_COUNTRY[[#All],[Column3]],,,)</f>
        <v>China</v>
      </c>
    </row>
    <row r="4473" spans="1:9" x14ac:dyDescent="0.4">
      <c r="A4473" t="s">
        <v>66</v>
      </c>
      <c r="B4473" s="1">
        <v>45870</v>
      </c>
      <c r="C4473">
        <v>851140</v>
      </c>
      <c r="D4473" t="s">
        <v>176</v>
      </c>
      <c r="E4473">
        <v>616889</v>
      </c>
      <c r="F4473">
        <v>9983</v>
      </c>
      <c r="G4473">
        <v>5769</v>
      </c>
      <c r="H4473">
        <f>_xlfn.XLOOKUP(FACT_IMPORTS[[#This Row],[hts_6]],DIM_PRODUCTS[hts_6],DIM_PRODUCTS[hts_4],,,)</f>
        <v>8511</v>
      </c>
      <c r="I4473" t="str" cm="1">
        <f t="array" ref="I4473">_xlfn.XLOOKUP(FACT_IMPORTS[[#This Row],[country_name]],DIM_COUNTRY[[#All],[Column2]],DIM_COUNTRY[[#All],[Column3]],,,)</f>
        <v>China</v>
      </c>
    </row>
    <row r="4474" spans="1:9" x14ac:dyDescent="0.4">
      <c r="A4474" t="s">
        <v>66</v>
      </c>
      <c r="B4474" s="1">
        <v>45870</v>
      </c>
      <c r="C4474">
        <v>851150</v>
      </c>
      <c r="D4474" t="s">
        <v>176</v>
      </c>
      <c r="E4474">
        <v>247721</v>
      </c>
      <c r="F4474">
        <v>3424</v>
      </c>
      <c r="G4474">
        <v>3453</v>
      </c>
      <c r="H4474">
        <f>_xlfn.XLOOKUP(FACT_IMPORTS[[#This Row],[hts_6]],DIM_PRODUCTS[hts_6],DIM_PRODUCTS[hts_4],,,)</f>
        <v>8511</v>
      </c>
      <c r="I4474" t="str" cm="1">
        <f t="array" ref="I4474">_xlfn.XLOOKUP(FACT_IMPORTS[[#This Row],[country_name]],DIM_COUNTRY[[#All],[Column2]],DIM_COUNTRY[[#All],[Column3]],,,)</f>
        <v>China</v>
      </c>
    </row>
    <row r="4475" spans="1:9" x14ac:dyDescent="0.4">
      <c r="A4475" t="s">
        <v>66</v>
      </c>
      <c r="B4475" s="1">
        <v>45870</v>
      </c>
      <c r="C4475">
        <v>851180</v>
      </c>
      <c r="D4475" t="s">
        <v>176</v>
      </c>
      <c r="E4475">
        <v>0</v>
      </c>
      <c r="F4475">
        <v>0</v>
      </c>
      <c r="G4475">
        <v>0</v>
      </c>
      <c r="H4475">
        <f>_xlfn.XLOOKUP(FACT_IMPORTS[[#This Row],[hts_6]],DIM_PRODUCTS[hts_6],DIM_PRODUCTS[hts_4],,,)</f>
        <v>8511</v>
      </c>
      <c r="I4475" t="str" cm="1">
        <f t="array" ref="I4475">_xlfn.XLOOKUP(FACT_IMPORTS[[#This Row],[country_name]],DIM_COUNTRY[[#All],[Column2]],DIM_COUNTRY[[#All],[Column3]],,,)</f>
        <v>China</v>
      </c>
    </row>
    <row r="4476" spans="1:9" x14ac:dyDescent="0.4">
      <c r="A4476" t="s">
        <v>66</v>
      </c>
      <c r="B4476" s="1">
        <v>45870</v>
      </c>
      <c r="C4476">
        <v>851190</v>
      </c>
      <c r="D4476" t="s">
        <v>176</v>
      </c>
      <c r="E4476">
        <v>47570</v>
      </c>
      <c r="F4476">
        <v>21497</v>
      </c>
      <c r="G4476">
        <v>239</v>
      </c>
      <c r="H4476">
        <f>_xlfn.XLOOKUP(FACT_IMPORTS[[#This Row],[hts_6]],DIM_PRODUCTS[hts_6],DIM_PRODUCTS[hts_4],,,)</f>
        <v>8511</v>
      </c>
      <c r="I4476" t="str" cm="1">
        <f t="array" ref="I4476">_xlfn.XLOOKUP(FACT_IMPORTS[[#This Row],[country_name]],DIM_COUNTRY[[#All],[Column2]],DIM_COUNTRY[[#All],[Column3]],,,)</f>
        <v>China</v>
      </c>
    </row>
    <row r="4477" spans="1:9" x14ac:dyDescent="0.4">
      <c r="A4477" t="s">
        <v>66</v>
      </c>
      <c r="B4477" s="1">
        <v>45870</v>
      </c>
      <c r="C4477">
        <v>851220</v>
      </c>
      <c r="D4477" t="s">
        <v>176</v>
      </c>
      <c r="E4477">
        <v>2728250</v>
      </c>
      <c r="F4477">
        <v>231188</v>
      </c>
      <c r="G4477">
        <v>132643</v>
      </c>
      <c r="H4477">
        <f>_xlfn.XLOOKUP(FACT_IMPORTS[[#This Row],[hts_6]],DIM_PRODUCTS[hts_6],DIM_PRODUCTS[hts_4],,,)</f>
        <v>8512</v>
      </c>
      <c r="I4477" t="str" cm="1">
        <f t="array" ref="I4477">_xlfn.XLOOKUP(FACT_IMPORTS[[#This Row],[country_name]],DIM_COUNTRY[[#All],[Column2]],DIM_COUNTRY[[#All],[Column3]],,,)</f>
        <v>China</v>
      </c>
    </row>
    <row r="4478" spans="1:9" x14ac:dyDescent="0.4">
      <c r="A4478" t="s">
        <v>66</v>
      </c>
      <c r="B4478" s="1">
        <v>45870</v>
      </c>
      <c r="C4478">
        <v>851230</v>
      </c>
      <c r="D4478" t="s">
        <v>176</v>
      </c>
      <c r="E4478">
        <v>4176</v>
      </c>
      <c r="F4478">
        <v>269</v>
      </c>
      <c r="G4478">
        <v>129</v>
      </c>
      <c r="H4478">
        <f>_xlfn.XLOOKUP(FACT_IMPORTS[[#This Row],[hts_6]],DIM_PRODUCTS[hts_6],DIM_PRODUCTS[hts_4],,,)</f>
        <v>8512</v>
      </c>
      <c r="I4478" t="str" cm="1">
        <f t="array" ref="I4478">_xlfn.XLOOKUP(FACT_IMPORTS[[#This Row],[country_name]],DIM_COUNTRY[[#All],[Column2]],DIM_COUNTRY[[#All],[Column3]],,,)</f>
        <v>China</v>
      </c>
    </row>
    <row r="4479" spans="1:9" x14ac:dyDescent="0.4">
      <c r="A4479" t="s">
        <v>66</v>
      </c>
      <c r="B4479" s="1">
        <v>45870</v>
      </c>
      <c r="C4479">
        <v>851240</v>
      </c>
      <c r="D4479" t="s">
        <v>176</v>
      </c>
      <c r="E4479">
        <v>204750</v>
      </c>
      <c r="F4479">
        <v>16896</v>
      </c>
      <c r="G4479">
        <v>181346</v>
      </c>
      <c r="H4479">
        <f>_xlfn.XLOOKUP(FACT_IMPORTS[[#This Row],[hts_6]],DIM_PRODUCTS[hts_6],DIM_PRODUCTS[hts_4],,,)</f>
        <v>8512</v>
      </c>
      <c r="I4479" t="str" cm="1">
        <f t="array" ref="I4479">_xlfn.XLOOKUP(FACT_IMPORTS[[#This Row],[country_name]],DIM_COUNTRY[[#All],[Column2]],DIM_COUNTRY[[#All],[Column3]],,,)</f>
        <v>China</v>
      </c>
    </row>
    <row r="4480" spans="1:9" x14ac:dyDescent="0.4">
      <c r="A4480" t="s">
        <v>66</v>
      </c>
      <c r="B4480" s="1">
        <v>45870</v>
      </c>
      <c r="C4480">
        <v>851290</v>
      </c>
      <c r="D4480" t="s">
        <v>176</v>
      </c>
      <c r="E4480">
        <v>233808</v>
      </c>
      <c r="F4480">
        <v>46658</v>
      </c>
      <c r="G4480">
        <v>23766</v>
      </c>
      <c r="H4480">
        <f>_xlfn.XLOOKUP(FACT_IMPORTS[[#This Row],[hts_6]],DIM_PRODUCTS[hts_6],DIM_PRODUCTS[hts_4],,,)</f>
        <v>8512</v>
      </c>
      <c r="I4480" t="str" cm="1">
        <f t="array" ref="I4480">_xlfn.XLOOKUP(FACT_IMPORTS[[#This Row],[country_name]],DIM_COUNTRY[[#All],[Column2]],DIM_COUNTRY[[#All],[Column3]],,,)</f>
        <v>China</v>
      </c>
    </row>
    <row r="4481" spans="1:9" x14ac:dyDescent="0.4">
      <c r="A4481" t="s">
        <v>66</v>
      </c>
      <c r="B4481" s="1">
        <v>45870</v>
      </c>
      <c r="C4481">
        <v>854231</v>
      </c>
      <c r="D4481" t="s">
        <v>176</v>
      </c>
      <c r="E4481">
        <v>4800</v>
      </c>
      <c r="F4481">
        <v>3</v>
      </c>
      <c r="G4481">
        <v>60</v>
      </c>
      <c r="H4481">
        <f>_xlfn.XLOOKUP(FACT_IMPORTS[[#This Row],[hts_6]],DIM_PRODUCTS[hts_6],DIM_PRODUCTS[hts_4],,,)</f>
        <v>8542</v>
      </c>
      <c r="I4481" t="str" cm="1">
        <f t="array" ref="I4481">_xlfn.XLOOKUP(FACT_IMPORTS[[#This Row],[country_name]],DIM_COUNTRY[[#All],[Column2]],DIM_COUNTRY[[#All],[Column3]],,,)</f>
        <v>China</v>
      </c>
    </row>
    <row r="4482" spans="1:9" x14ac:dyDescent="0.4">
      <c r="A4482" t="s">
        <v>66</v>
      </c>
      <c r="B4482" s="1">
        <v>45870</v>
      </c>
      <c r="C4482">
        <v>854232</v>
      </c>
      <c r="D4482" t="s">
        <v>176</v>
      </c>
      <c r="E4482">
        <v>35600</v>
      </c>
      <c r="F4482">
        <v>10000</v>
      </c>
      <c r="G4482">
        <v>356</v>
      </c>
      <c r="H4482">
        <f>_xlfn.XLOOKUP(FACT_IMPORTS[[#This Row],[hts_6]],DIM_PRODUCTS[hts_6],DIM_PRODUCTS[hts_4],,,)</f>
        <v>8542</v>
      </c>
      <c r="I4482" t="str" cm="1">
        <f t="array" ref="I4482">_xlfn.XLOOKUP(FACT_IMPORTS[[#This Row],[country_name]],DIM_COUNTRY[[#All],[Column2]],DIM_COUNTRY[[#All],[Column3]],,,)</f>
        <v>China</v>
      </c>
    </row>
    <row r="4483" spans="1:9" x14ac:dyDescent="0.4">
      <c r="A4483" t="s">
        <v>66</v>
      </c>
      <c r="B4483" s="1">
        <v>45870</v>
      </c>
      <c r="C4483">
        <v>854233</v>
      </c>
      <c r="D4483" t="s">
        <v>176</v>
      </c>
      <c r="E4483">
        <v>0</v>
      </c>
      <c r="F4483">
        <v>0</v>
      </c>
      <c r="G4483">
        <v>0</v>
      </c>
      <c r="H4483">
        <f>_xlfn.XLOOKUP(FACT_IMPORTS[[#This Row],[hts_6]],DIM_PRODUCTS[hts_6],DIM_PRODUCTS[hts_4],,,)</f>
        <v>8542</v>
      </c>
      <c r="I4483" t="str" cm="1">
        <f t="array" ref="I4483">_xlfn.XLOOKUP(FACT_IMPORTS[[#This Row],[country_name]],DIM_COUNTRY[[#All],[Column2]],DIM_COUNTRY[[#All],[Column3]],,,)</f>
        <v>China</v>
      </c>
    </row>
    <row r="4484" spans="1:9" x14ac:dyDescent="0.4">
      <c r="A4484" t="s">
        <v>66</v>
      </c>
      <c r="B4484" s="1">
        <v>45870</v>
      </c>
      <c r="C4484">
        <v>854239</v>
      </c>
      <c r="D4484" t="s">
        <v>176</v>
      </c>
      <c r="E4484">
        <v>8818</v>
      </c>
      <c r="F4484">
        <v>43000</v>
      </c>
      <c r="G4484">
        <v>300</v>
      </c>
      <c r="H4484">
        <f>_xlfn.XLOOKUP(FACT_IMPORTS[[#This Row],[hts_6]],DIM_PRODUCTS[hts_6],DIM_PRODUCTS[hts_4],,,)</f>
        <v>8542</v>
      </c>
      <c r="I4484" t="str" cm="1">
        <f t="array" ref="I4484">_xlfn.XLOOKUP(FACT_IMPORTS[[#This Row],[country_name]],DIM_COUNTRY[[#All],[Column2]],DIM_COUNTRY[[#All],[Column3]],,,)</f>
        <v>China</v>
      </c>
    </row>
    <row r="4485" spans="1:9" x14ac:dyDescent="0.4">
      <c r="A4485" t="s">
        <v>66</v>
      </c>
      <c r="B4485" s="1">
        <v>45870</v>
      </c>
      <c r="C4485">
        <v>854290</v>
      </c>
      <c r="D4485" t="s">
        <v>176</v>
      </c>
      <c r="E4485">
        <v>0</v>
      </c>
      <c r="F4485">
        <v>0</v>
      </c>
      <c r="G4485">
        <v>0</v>
      </c>
      <c r="H4485">
        <f>_xlfn.XLOOKUP(FACT_IMPORTS[[#This Row],[hts_6]],DIM_PRODUCTS[hts_6],DIM_PRODUCTS[hts_4],,,)</f>
        <v>8542</v>
      </c>
      <c r="I4485" t="str" cm="1">
        <f t="array" ref="I4485">_xlfn.XLOOKUP(FACT_IMPORTS[[#This Row],[country_name]],DIM_COUNTRY[[#All],[Column2]],DIM_COUNTRY[[#All],[Column3]],,,)</f>
        <v>China</v>
      </c>
    </row>
    <row r="4486" spans="1:9" x14ac:dyDescent="0.4">
      <c r="A4486" t="s">
        <v>66</v>
      </c>
      <c r="B4486" s="1">
        <v>45870</v>
      </c>
      <c r="C4486">
        <v>854430</v>
      </c>
      <c r="D4486" t="s">
        <v>176</v>
      </c>
      <c r="E4486">
        <v>1066804</v>
      </c>
      <c r="F4486">
        <v>39961</v>
      </c>
      <c r="G4486">
        <v>12475</v>
      </c>
      <c r="H4486">
        <f>_xlfn.XLOOKUP(FACT_IMPORTS[[#This Row],[hts_6]],DIM_PRODUCTS[hts_6],DIM_PRODUCTS[hts_4],,,)</f>
        <v>8544</v>
      </c>
      <c r="I4486" t="str" cm="1">
        <f t="array" ref="I4486">_xlfn.XLOOKUP(FACT_IMPORTS[[#This Row],[country_name]],DIM_COUNTRY[[#All],[Column2]],DIM_COUNTRY[[#All],[Column3]],,,)</f>
        <v>China</v>
      </c>
    </row>
    <row r="4487" spans="1:9" x14ac:dyDescent="0.4">
      <c r="A4487" t="s">
        <v>66</v>
      </c>
      <c r="B4487" s="1">
        <v>45870</v>
      </c>
      <c r="C4487">
        <v>870790</v>
      </c>
      <c r="D4487" t="s">
        <v>176</v>
      </c>
      <c r="E4487">
        <v>0</v>
      </c>
      <c r="F4487">
        <v>0</v>
      </c>
      <c r="G4487">
        <v>0</v>
      </c>
      <c r="H4487">
        <f>_xlfn.XLOOKUP(FACT_IMPORTS[[#This Row],[hts_6]],DIM_PRODUCTS[hts_6],DIM_PRODUCTS[hts_4],,,)</f>
        <v>8707</v>
      </c>
      <c r="I4487" t="str" cm="1">
        <f t="array" ref="I4487">_xlfn.XLOOKUP(FACT_IMPORTS[[#This Row],[country_name]],DIM_COUNTRY[[#All],[Column2]],DIM_COUNTRY[[#All],[Column3]],,,)</f>
        <v>China</v>
      </c>
    </row>
    <row r="4488" spans="1:9" x14ac:dyDescent="0.4">
      <c r="A4488" t="s">
        <v>66</v>
      </c>
      <c r="B4488" s="1">
        <v>45870</v>
      </c>
      <c r="C4488">
        <v>870810</v>
      </c>
      <c r="D4488" t="s">
        <v>176</v>
      </c>
      <c r="E4488">
        <v>999378</v>
      </c>
      <c r="F4488">
        <v>22146</v>
      </c>
      <c r="G4488">
        <v>89026</v>
      </c>
      <c r="H4488">
        <f>_xlfn.XLOOKUP(FACT_IMPORTS[[#This Row],[hts_6]],DIM_PRODUCTS[hts_6],DIM_PRODUCTS[hts_4],,,)</f>
        <v>8708</v>
      </c>
      <c r="I4488" t="str" cm="1">
        <f t="array" ref="I4488">_xlfn.XLOOKUP(FACT_IMPORTS[[#This Row],[country_name]],DIM_COUNTRY[[#All],[Column2]],DIM_COUNTRY[[#All],[Column3]],,,)</f>
        <v>China</v>
      </c>
    </row>
    <row r="4489" spans="1:9" x14ac:dyDescent="0.4">
      <c r="A4489" t="s">
        <v>66</v>
      </c>
      <c r="B4489" s="1">
        <v>45870</v>
      </c>
      <c r="C4489">
        <v>870821</v>
      </c>
      <c r="D4489" t="s">
        <v>176</v>
      </c>
      <c r="E4489">
        <v>10517</v>
      </c>
      <c r="F4489">
        <v>367</v>
      </c>
      <c r="G4489">
        <v>6</v>
      </c>
      <c r="H4489">
        <f>_xlfn.XLOOKUP(FACT_IMPORTS[[#This Row],[hts_6]],DIM_PRODUCTS[hts_6],DIM_PRODUCTS[hts_4],,,)</f>
        <v>8708</v>
      </c>
      <c r="I4489" t="str" cm="1">
        <f t="array" ref="I4489">_xlfn.XLOOKUP(FACT_IMPORTS[[#This Row],[country_name]],DIM_COUNTRY[[#All],[Column2]],DIM_COUNTRY[[#All],[Column3]],,,)</f>
        <v>China</v>
      </c>
    </row>
    <row r="4490" spans="1:9" x14ac:dyDescent="0.4">
      <c r="A4490" t="s">
        <v>66</v>
      </c>
      <c r="B4490" s="1">
        <v>45870</v>
      </c>
      <c r="C4490">
        <v>870822</v>
      </c>
      <c r="D4490" t="s">
        <v>176</v>
      </c>
      <c r="E4490">
        <v>2181380</v>
      </c>
      <c r="F4490">
        <v>358953</v>
      </c>
      <c r="G4490">
        <v>479974</v>
      </c>
      <c r="H4490">
        <f>_xlfn.XLOOKUP(FACT_IMPORTS[[#This Row],[hts_6]],DIM_PRODUCTS[hts_6],DIM_PRODUCTS[hts_4],,,)</f>
        <v>8708</v>
      </c>
      <c r="I4490" t="str" cm="1">
        <f t="array" ref="I4490">_xlfn.XLOOKUP(FACT_IMPORTS[[#This Row],[country_name]],DIM_COUNTRY[[#All],[Column2]],DIM_COUNTRY[[#All],[Column3]],,,)</f>
        <v>China</v>
      </c>
    </row>
    <row r="4491" spans="1:9" x14ac:dyDescent="0.4">
      <c r="A4491" t="s">
        <v>66</v>
      </c>
      <c r="B4491" s="1">
        <v>45870</v>
      </c>
      <c r="C4491">
        <v>870829</v>
      </c>
      <c r="D4491" t="s">
        <v>176</v>
      </c>
      <c r="E4491">
        <v>16104424</v>
      </c>
      <c r="F4491">
        <v>3327073</v>
      </c>
      <c r="G4491">
        <v>796664</v>
      </c>
      <c r="H4491">
        <f>_xlfn.XLOOKUP(FACT_IMPORTS[[#This Row],[hts_6]],DIM_PRODUCTS[hts_6],DIM_PRODUCTS[hts_4],,,)</f>
        <v>8708</v>
      </c>
      <c r="I4491" t="str" cm="1">
        <f t="array" ref="I4491">_xlfn.XLOOKUP(FACT_IMPORTS[[#This Row],[country_name]],DIM_COUNTRY[[#All],[Column2]],DIM_COUNTRY[[#All],[Column3]],,,)</f>
        <v>China</v>
      </c>
    </row>
    <row r="4492" spans="1:9" x14ac:dyDescent="0.4">
      <c r="A4492" t="s">
        <v>66</v>
      </c>
      <c r="B4492" s="1">
        <v>45870</v>
      </c>
      <c r="C4492">
        <v>870830</v>
      </c>
      <c r="D4492" t="s">
        <v>176</v>
      </c>
      <c r="E4492">
        <v>4379851</v>
      </c>
      <c r="F4492">
        <v>468812</v>
      </c>
      <c r="G4492">
        <v>177375</v>
      </c>
      <c r="H4492">
        <f>_xlfn.XLOOKUP(FACT_IMPORTS[[#This Row],[hts_6]],DIM_PRODUCTS[hts_6],DIM_PRODUCTS[hts_4],,,)</f>
        <v>8708</v>
      </c>
      <c r="I4492" t="str" cm="1">
        <f t="array" ref="I4492">_xlfn.XLOOKUP(FACT_IMPORTS[[#This Row],[country_name]],DIM_COUNTRY[[#All],[Column2]],DIM_COUNTRY[[#All],[Column3]],,,)</f>
        <v>China</v>
      </c>
    </row>
    <row r="4493" spans="1:9" x14ac:dyDescent="0.4">
      <c r="A4493" t="s">
        <v>66</v>
      </c>
      <c r="B4493" s="1">
        <v>45870</v>
      </c>
      <c r="C4493">
        <v>870840</v>
      </c>
      <c r="D4493" t="s">
        <v>176</v>
      </c>
      <c r="E4493">
        <v>3064878</v>
      </c>
      <c r="F4493">
        <v>646427</v>
      </c>
      <c r="G4493">
        <v>130489</v>
      </c>
      <c r="H4493">
        <f>_xlfn.XLOOKUP(FACT_IMPORTS[[#This Row],[hts_6]],DIM_PRODUCTS[hts_6],DIM_PRODUCTS[hts_4],,,)</f>
        <v>8708</v>
      </c>
      <c r="I4493" t="str" cm="1">
        <f t="array" ref="I4493">_xlfn.XLOOKUP(FACT_IMPORTS[[#This Row],[country_name]],DIM_COUNTRY[[#All],[Column2]],DIM_COUNTRY[[#All],[Column3]],,,)</f>
        <v>China</v>
      </c>
    </row>
    <row r="4494" spans="1:9" x14ac:dyDescent="0.4">
      <c r="A4494" t="s">
        <v>66</v>
      </c>
      <c r="B4494" s="1">
        <v>45870</v>
      </c>
      <c r="C4494">
        <v>870850</v>
      </c>
      <c r="D4494" t="s">
        <v>176</v>
      </c>
      <c r="E4494">
        <v>3800519</v>
      </c>
      <c r="F4494">
        <v>898829</v>
      </c>
      <c r="G4494">
        <v>63940</v>
      </c>
      <c r="H4494">
        <f>_xlfn.XLOOKUP(FACT_IMPORTS[[#This Row],[hts_6]],DIM_PRODUCTS[hts_6],DIM_PRODUCTS[hts_4],,,)</f>
        <v>8708</v>
      </c>
      <c r="I4494" t="str" cm="1">
        <f t="array" ref="I4494">_xlfn.XLOOKUP(FACT_IMPORTS[[#This Row],[country_name]],DIM_COUNTRY[[#All],[Column2]],DIM_COUNTRY[[#All],[Column3]],,,)</f>
        <v>China</v>
      </c>
    </row>
    <row r="4495" spans="1:9" x14ac:dyDescent="0.4">
      <c r="A4495" t="s">
        <v>66</v>
      </c>
      <c r="B4495" s="1">
        <v>45870</v>
      </c>
      <c r="C4495">
        <v>870870</v>
      </c>
      <c r="D4495" t="s">
        <v>176</v>
      </c>
      <c r="E4495">
        <v>61888071</v>
      </c>
      <c r="F4495">
        <v>1568893</v>
      </c>
      <c r="G4495">
        <v>5950647</v>
      </c>
      <c r="H4495">
        <f>_xlfn.XLOOKUP(FACT_IMPORTS[[#This Row],[hts_6]],DIM_PRODUCTS[hts_6],DIM_PRODUCTS[hts_4],,,)</f>
        <v>8708</v>
      </c>
      <c r="I4495" t="str" cm="1">
        <f t="array" ref="I4495">_xlfn.XLOOKUP(FACT_IMPORTS[[#This Row],[country_name]],DIM_COUNTRY[[#All],[Column2]],DIM_COUNTRY[[#All],[Column3]],,,)</f>
        <v>China</v>
      </c>
    </row>
    <row r="4496" spans="1:9" x14ac:dyDescent="0.4">
      <c r="A4496" t="s">
        <v>66</v>
      </c>
      <c r="B4496" s="1">
        <v>45870</v>
      </c>
      <c r="C4496">
        <v>870880</v>
      </c>
      <c r="D4496" t="s">
        <v>176</v>
      </c>
      <c r="E4496">
        <v>7767352</v>
      </c>
      <c r="F4496">
        <v>2530942</v>
      </c>
      <c r="G4496">
        <v>191063</v>
      </c>
      <c r="H4496">
        <f>_xlfn.XLOOKUP(FACT_IMPORTS[[#This Row],[hts_6]],DIM_PRODUCTS[hts_6],DIM_PRODUCTS[hts_4],,,)</f>
        <v>8708</v>
      </c>
      <c r="I4496" t="str" cm="1">
        <f t="array" ref="I4496">_xlfn.XLOOKUP(FACT_IMPORTS[[#This Row],[country_name]],DIM_COUNTRY[[#All],[Column2]],DIM_COUNTRY[[#All],[Column3]],,,)</f>
        <v>China</v>
      </c>
    </row>
    <row r="4497" spans="1:9" x14ac:dyDescent="0.4">
      <c r="A4497" t="s">
        <v>66</v>
      </c>
      <c r="B4497" s="1">
        <v>45870</v>
      </c>
      <c r="C4497">
        <v>870891</v>
      </c>
      <c r="D4497" t="s">
        <v>176</v>
      </c>
      <c r="E4497">
        <v>219247</v>
      </c>
      <c r="F4497">
        <v>6203</v>
      </c>
      <c r="G4497">
        <v>18624</v>
      </c>
      <c r="H4497">
        <f>_xlfn.XLOOKUP(FACT_IMPORTS[[#This Row],[hts_6]],DIM_PRODUCTS[hts_6],DIM_PRODUCTS[hts_4],,,)</f>
        <v>8708</v>
      </c>
      <c r="I4497" t="str" cm="1">
        <f t="array" ref="I4497">_xlfn.XLOOKUP(FACT_IMPORTS[[#This Row],[country_name]],DIM_COUNTRY[[#All],[Column2]],DIM_COUNTRY[[#All],[Column3]],,,)</f>
        <v>China</v>
      </c>
    </row>
    <row r="4498" spans="1:9" x14ac:dyDescent="0.4">
      <c r="A4498" t="s">
        <v>66</v>
      </c>
      <c r="B4498" s="1">
        <v>45870</v>
      </c>
      <c r="C4498">
        <v>870892</v>
      </c>
      <c r="D4498" t="s">
        <v>176</v>
      </c>
      <c r="E4498">
        <v>6500197</v>
      </c>
      <c r="F4498">
        <v>1435077</v>
      </c>
      <c r="G4498">
        <v>537273</v>
      </c>
      <c r="H4498">
        <f>_xlfn.XLOOKUP(FACT_IMPORTS[[#This Row],[hts_6]],DIM_PRODUCTS[hts_6],DIM_PRODUCTS[hts_4],,,)</f>
        <v>8708</v>
      </c>
      <c r="I4498" t="str" cm="1">
        <f t="array" ref="I4498">_xlfn.XLOOKUP(FACT_IMPORTS[[#This Row],[country_name]],DIM_COUNTRY[[#All],[Column2]],DIM_COUNTRY[[#All],[Column3]],,,)</f>
        <v>China</v>
      </c>
    </row>
    <row r="4499" spans="1:9" x14ac:dyDescent="0.4">
      <c r="A4499" t="s">
        <v>66</v>
      </c>
      <c r="B4499" s="1">
        <v>45870</v>
      </c>
      <c r="C4499">
        <v>870893</v>
      </c>
      <c r="D4499" t="s">
        <v>176</v>
      </c>
      <c r="E4499">
        <v>348436</v>
      </c>
      <c r="F4499">
        <v>115661</v>
      </c>
      <c r="G4499">
        <v>13404</v>
      </c>
      <c r="H4499">
        <f>_xlfn.XLOOKUP(FACT_IMPORTS[[#This Row],[hts_6]],DIM_PRODUCTS[hts_6],DIM_PRODUCTS[hts_4],,,)</f>
        <v>8708</v>
      </c>
      <c r="I4499" t="str" cm="1">
        <f t="array" ref="I4499">_xlfn.XLOOKUP(FACT_IMPORTS[[#This Row],[country_name]],DIM_COUNTRY[[#All],[Column2]],DIM_COUNTRY[[#All],[Column3]],,,)</f>
        <v>China</v>
      </c>
    </row>
    <row r="4500" spans="1:9" x14ac:dyDescent="0.4">
      <c r="A4500" t="s">
        <v>66</v>
      </c>
      <c r="B4500" s="1">
        <v>45870</v>
      </c>
      <c r="C4500">
        <v>870894</v>
      </c>
      <c r="D4500" t="s">
        <v>176</v>
      </c>
      <c r="E4500">
        <v>8299837</v>
      </c>
      <c r="F4500">
        <v>412630</v>
      </c>
      <c r="G4500">
        <v>1023385</v>
      </c>
      <c r="H4500">
        <f>_xlfn.XLOOKUP(FACT_IMPORTS[[#This Row],[hts_6]],DIM_PRODUCTS[hts_6],DIM_PRODUCTS[hts_4],,,)</f>
        <v>8708</v>
      </c>
      <c r="I4500" t="str" cm="1">
        <f t="array" ref="I4500">_xlfn.XLOOKUP(FACT_IMPORTS[[#This Row],[country_name]],DIM_COUNTRY[[#All],[Column2]],DIM_COUNTRY[[#All],[Column3]],,,)</f>
        <v>China</v>
      </c>
    </row>
    <row r="4501" spans="1:9" x14ac:dyDescent="0.4">
      <c r="A4501" t="s">
        <v>66</v>
      </c>
      <c r="B4501" s="1">
        <v>45870</v>
      </c>
      <c r="C4501">
        <v>870895</v>
      </c>
      <c r="D4501" t="s">
        <v>176</v>
      </c>
      <c r="E4501">
        <v>6332</v>
      </c>
      <c r="F4501">
        <v>44</v>
      </c>
      <c r="G4501">
        <v>36</v>
      </c>
      <c r="H4501">
        <f>_xlfn.XLOOKUP(FACT_IMPORTS[[#This Row],[hts_6]],DIM_PRODUCTS[hts_6],DIM_PRODUCTS[hts_4],,,)</f>
        <v>8708</v>
      </c>
      <c r="I4501" t="str" cm="1">
        <f t="array" ref="I4501">_xlfn.XLOOKUP(FACT_IMPORTS[[#This Row],[country_name]],DIM_COUNTRY[[#All],[Column2]],DIM_COUNTRY[[#All],[Column3]],,,)</f>
        <v>China</v>
      </c>
    </row>
    <row r="4502" spans="1:9" x14ac:dyDescent="0.4">
      <c r="A4502" t="s">
        <v>66</v>
      </c>
      <c r="B4502" s="1">
        <v>45870</v>
      </c>
      <c r="C4502">
        <v>870899</v>
      </c>
      <c r="D4502" t="s">
        <v>176</v>
      </c>
      <c r="E4502">
        <v>9826930</v>
      </c>
      <c r="F4502">
        <v>3270962</v>
      </c>
      <c r="G4502">
        <v>713185</v>
      </c>
      <c r="H4502">
        <f>_xlfn.XLOOKUP(FACT_IMPORTS[[#This Row],[hts_6]],DIM_PRODUCTS[hts_6],DIM_PRODUCTS[hts_4],,,)</f>
        <v>8708</v>
      </c>
      <c r="I4502" t="str" cm="1">
        <f t="array" ref="I4502">_xlfn.XLOOKUP(FACT_IMPORTS[[#This Row],[country_name]],DIM_COUNTRY[[#All],[Column2]],DIM_COUNTRY[[#All],[Column3]],,,)</f>
        <v>China</v>
      </c>
    </row>
    <row r="4503" spans="1:9" x14ac:dyDescent="0.4">
      <c r="A4503" t="s">
        <v>66</v>
      </c>
      <c r="B4503" s="1">
        <v>45870</v>
      </c>
      <c r="C4503">
        <v>940120</v>
      </c>
      <c r="D4503" t="s">
        <v>176</v>
      </c>
      <c r="E4503">
        <v>54821</v>
      </c>
      <c r="F4503">
        <v>4519</v>
      </c>
      <c r="G4503">
        <v>5543</v>
      </c>
      <c r="H4503">
        <f>_xlfn.XLOOKUP(FACT_IMPORTS[[#This Row],[hts_6]],DIM_PRODUCTS[hts_6],DIM_PRODUCTS[hts_4],,,)</f>
        <v>9401</v>
      </c>
      <c r="I4503" t="str" cm="1">
        <f t="array" ref="I4503">_xlfn.XLOOKUP(FACT_IMPORTS[[#This Row],[country_name]],DIM_COUNTRY[[#All],[Column2]],DIM_COUNTRY[[#All],[Column3]],,,)</f>
        <v>China</v>
      </c>
    </row>
    <row r="4504" spans="1:9" x14ac:dyDescent="0.4">
      <c r="A4504" t="s">
        <v>66</v>
      </c>
      <c r="B4504" s="1">
        <v>45901</v>
      </c>
      <c r="C4504">
        <v>392630</v>
      </c>
      <c r="D4504" t="s">
        <v>176</v>
      </c>
      <c r="E4504">
        <v>1143569</v>
      </c>
      <c r="F4504">
        <v>157779</v>
      </c>
      <c r="G4504">
        <v>125645</v>
      </c>
      <c r="H4504">
        <f>_xlfn.XLOOKUP(FACT_IMPORTS[[#This Row],[hts_6]],DIM_PRODUCTS[hts_6],DIM_PRODUCTS[hts_4],,,)</f>
        <v>3926</v>
      </c>
      <c r="I4504" t="str" cm="1">
        <f t="array" ref="I4504">_xlfn.XLOOKUP(FACT_IMPORTS[[#This Row],[country_name]],DIM_COUNTRY[[#All],[Column2]],DIM_COUNTRY[[#All],[Column3]],,,)</f>
        <v>China</v>
      </c>
    </row>
    <row r="4505" spans="1:9" x14ac:dyDescent="0.4">
      <c r="A4505" t="s">
        <v>66</v>
      </c>
      <c r="B4505" s="1">
        <v>45901</v>
      </c>
      <c r="C4505">
        <v>401110</v>
      </c>
      <c r="D4505" t="s">
        <v>176</v>
      </c>
      <c r="E4505">
        <v>7854</v>
      </c>
      <c r="F4505">
        <v>103</v>
      </c>
      <c r="G4505">
        <v>118</v>
      </c>
      <c r="H4505">
        <f>_xlfn.XLOOKUP(FACT_IMPORTS[[#This Row],[hts_6]],DIM_PRODUCTS[hts_6],DIM_PRODUCTS[hts_4],,,)</f>
        <v>4011</v>
      </c>
      <c r="I4505" t="str" cm="1">
        <f t="array" ref="I4505">_xlfn.XLOOKUP(FACT_IMPORTS[[#This Row],[country_name]],DIM_COUNTRY[[#All],[Column2]],DIM_COUNTRY[[#All],[Column3]],,,)</f>
        <v>China</v>
      </c>
    </row>
    <row r="4506" spans="1:9" x14ac:dyDescent="0.4">
      <c r="A4506" t="s">
        <v>66</v>
      </c>
      <c r="B4506" s="1">
        <v>45901</v>
      </c>
      <c r="C4506">
        <v>401120</v>
      </c>
      <c r="D4506" t="s">
        <v>176</v>
      </c>
      <c r="E4506">
        <v>240933</v>
      </c>
      <c r="F4506">
        <v>1999</v>
      </c>
      <c r="G4506">
        <v>21473</v>
      </c>
      <c r="H4506">
        <f>_xlfn.XLOOKUP(FACT_IMPORTS[[#This Row],[hts_6]],DIM_PRODUCTS[hts_6],DIM_PRODUCTS[hts_4],,,)</f>
        <v>4011</v>
      </c>
      <c r="I4506" t="str" cm="1">
        <f t="array" ref="I4506">_xlfn.XLOOKUP(FACT_IMPORTS[[#This Row],[country_name]],DIM_COUNTRY[[#All],[Column2]],DIM_COUNTRY[[#All],[Column3]],,,)</f>
        <v>China</v>
      </c>
    </row>
    <row r="4507" spans="1:9" x14ac:dyDescent="0.4">
      <c r="A4507" t="s">
        <v>66</v>
      </c>
      <c r="B4507" s="1">
        <v>45901</v>
      </c>
      <c r="C4507">
        <v>401140</v>
      </c>
      <c r="D4507" t="s">
        <v>176</v>
      </c>
      <c r="E4507">
        <v>10496</v>
      </c>
      <c r="F4507">
        <v>207</v>
      </c>
      <c r="G4507">
        <v>15</v>
      </c>
      <c r="H4507">
        <f>_xlfn.XLOOKUP(FACT_IMPORTS[[#This Row],[hts_6]],DIM_PRODUCTS[hts_6],DIM_PRODUCTS[hts_4],,,)</f>
        <v>4011</v>
      </c>
      <c r="I4507" t="str" cm="1">
        <f t="array" ref="I4507">_xlfn.XLOOKUP(FACT_IMPORTS[[#This Row],[country_name]],DIM_COUNTRY[[#All],[Column2]],DIM_COUNTRY[[#All],[Column3]],,,)</f>
        <v>China</v>
      </c>
    </row>
    <row r="4508" spans="1:9" x14ac:dyDescent="0.4">
      <c r="A4508" t="s">
        <v>66</v>
      </c>
      <c r="B4508" s="1">
        <v>45901</v>
      </c>
      <c r="C4508">
        <v>401190</v>
      </c>
      <c r="D4508" t="s">
        <v>176</v>
      </c>
      <c r="E4508">
        <v>100437</v>
      </c>
      <c r="F4508">
        <v>2481</v>
      </c>
      <c r="G4508">
        <v>2551</v>
      </c>
      <c r="H4508">
        <f>_xlfn.XLOOKUP(FACT_IMPORTS[[#This Row],[hts_6]],DIM_PRODUCTS[hts_6],DIM_PRODUCTS[hts_4],,,)</f>
        <v>4011</v>
      </c>
      <c r="I4508" t="str" cm="1">
        <f t="array" ref="I4508">_xlfn.XLOOKUP(FACT_IMPORTS[[#This Row],[country_name]],DIM_COUNTRY[[#All],[Column2]],DIM_COUNTRY[[#All],[Column3]],,,)</f>
        <v>China</v>
      </c>
    </row>
    <row r="4509" spans="1:9" x14ac:dyDescent="0.4">
      <c r="A4509" t="s">
        <v>66</v>
      </c>
      <c r="B4509" s="1">
        <v>45901</v>
      </c>
      <c r="C4509">
        <v>700711</v>
      </c>
      <c r="D4509" t="s">
        <v>176</v>
      </c>
      <c r="E4509">
        <v>274426</v>
      </c>
      <c r="F4509">
        <v>18982</v>
      </c>
      <c r="G4509">
        <v>39340</v>
      </c>
      <c r="H4509">
        <f>_xlfn.XLOOKUP(FACT_IMPORTS[[#This Row],[hts_6]],DIM_PRODUCTS[hts_6],DIM_PRODUCTS[hts_4],,,)</f>
        <v>7007</v>
      </c>
      <c r="I4509" t="str" cm="1">
        <f t="array" ref="I4509">_xlfn.XLOOKUP(FACT_IMPORTS[[#This Row],[country_name]],DIM_COUNTRY[[#All],[Column2]],DIM_COUNTRY[[#All],[Column3]],,,)</f>
        <v>China</v>
      </c>
    </row>
    <row r="4510" spans="1:9" x14ac:dyDescent="0.4">
      <c r="A4510" t="s">
        <v>66</v>
      </c>
      <c r="B4510" s="1">
        <v>45901</v>
      </c>
      <c r="C4510">
        <v>700721</v>
      </c>
      <c r="D4510" t="s">
        <v>176</v>
      </c>
      <c r="E4510">
        <v>44843</v>
      </c>
      <c r="F4510">
        <v>1344</v>
      </c>
      <c r="G4510">
        <v>1619</v>
      </c>
      <c r="H4510">
        <f>_xlfn.XLOOKUP(FACT_IMPORTS[[#This Row],[hts_6]],DIM_PRODUCTS[hts_6],DIM_PRODUCTS[hts_4],,,)</f>
        <v>7007</v>
      </c>
      <c r="I4510" t="str" cm="1">
        <f t="array" ref="I4510">_xlfn.XLOOKUP(FACT_IMPORTS[[#This Row],[country_name]],DIM_COUNTRY[[#All],[Column2]],DIM_COUNTRY[[#All],[Column3]],,,)</f>
        <v>China</v>
      </c>
    </row>
    <row r="4511" spans="1:9" x14ac:dyDescent="0.4">
      <c r="A4511" t="s">
        <v>66</v>
      </c>
      <c r="B4511" s="1">
        <v>45901</v>
      </c>
      <c r="C4511">
        <v>700910</v>
      </c>
      <c r="D4511" t="s">
        <v>176</v>
      </c>
      <c r="E4511">
        <v>340971</v>
      </c>
      <c r="F4511">
        <v>263326</v>
      </c>
      <c r="G4511">
        <v>31963</v>
      </c>
      <c r="H4511">
        <f>_xlfn.XLOOKUP(FACT_IMPORTS[[#This Row],[hts_6]],DIM_PRODUCTS[hts_6],DIM_PRODUCTS[hts_4],,,)</f>
        <v>7009</v>
      </c>
      <c r="I4511" t="str" cm="1">
        <f t="array" ref="I4511">_xlfn.XLOOKUP(FACT_IMPORTS[[#This Row],[country_name]],DIM_COUNTRY[[#All],[Column2]],DIM_COUNTRY[[#All],[Column3]],,,)</f>
        <v>China</v>
      </c>
    </row>
    <row r="4512" spans="1:9" x14ac:dyDescent="0.4">
      <c r="A4512" t="s">
        <v>66</v>
      </c>
      <c r="B4512" s="1">
        <v>45901</v>
      </c>
      <c r="C4512">
        <v>732010</v>
      </c>
      <c r="D4512" t="s">
        <v>176</v>
      </c>
      <c r="E4512">
        <v>0</v>
      </c>
      <c r="F4512">
        <v>0</v>
      </c>
      <c r="G4512">
        <v>0</v>
      </c>
      <c r="H4512">
        <f>_xlfn.XLOOKUP(FACT_IMPORTS[[#This Row],[hts_6]],DIM_PRODUCTS[hts_6],DIM_PRODUCTS[hts_4],,,)</f>
        <v>7320</v>
      </c>
      <c r="I4512" t="str" cm="1">
        <f t="array" ref="I4512">_xlfn.XLOOKUP(FACT_IMPORTS[[#This Row],[country_name]],DIM_COUNTRY[[#All],[Column2]],DIM_COUNTRY[[#All],[Column3]],,,)</f>
        <v>China</v>
      </c>
    </row>
    <row r="4513" spans="1:9" x14ac:dyDescent="0.4">
      <c r="A4513" t="s">
        <v>66</v>
      </c>
      <c r="B4513" s="1">
        <v>45901</v>
      </c>
      <c r="C4513">
        <v>830230</v>
      </c>
      <c r="D4513" t="s">
        <v>176</v>
      </c>
      <c r="E4513">
        <v>2918952</v>
      </c>
      <c r="F4513">
        <v>966592</v>
      </c>
      <c r="G4513">
        <v>133783</v>
      </c>
      <c r="H4513">
        <f>_xlfn.XLOOKUP(FACT_IMPORTS[[#This Row],[hts_6]],DIM_PRODUCTS[hts_6],DIM_PRODUCTS[hts_4],,,)</f>
        <v>8302</v>
      </c>
      <c r="I4513" t="str" cm="1">
        <f t="array" ref="I4513">_xlfn.XLOOKUP(FACT_IMPORTS[[#This Row],[country_name]],DIM_COUNTRY[[#All],[Column2]],DIM_COUNTRY[[#All],[Column3]],,,)</f>
        <v>China</v>
      </c>
    </row>
    <row r="4514" spans="1:9" x14ac:dyDescent="0.4">
      <c r="A4514" t="s">
        <v>66</v>
      </c>
      <c r="B4514" s="1">
        <v>45901</v>
      </c>
      <c r="C4514">
        <v>840733</v>
      </c>
      <c r="D4514" t="s">
        <v>176</v>
      </c>
      <c r="E4514">
        <v>2381</v>
      </c>
      <c r="F4514">
        <v>1</v>
      </c>
      <c r="G4514">
        <v>6</v>
      </c>
      <c r="H4514">
        <f>_xlfn.XLOOKUP(FACT_IMPORTS[[#This Row],[hts_6]],DIM_PRODUCTS[hts_6],DIM_PRODUCTS[hts_4],,,)</f>
        <v>8407</v>
      </c>
      <c r="I4514" t="str" cm="1">
        <f t="array" ref="I4514">_xlfn.XLOOKUP(FACT_IMPORTS[[#This Row],[country_name]],DIM_COUNTRY[[#All],[Column2]],DIM_COUNTRY[[#All],[Column3]],,,)</f>
        <v>China</v>
      </c>
    </row>
    <row r="4515" spans="1:9" x14ac:dyDescent="0.4">
      <c r="A4515" t="s">
        <v>66</v>
      </c>
      <c r="B4515" s="1">
        <v>45901</v>
      </c>
      <c r="C4515">
        <v>840734</v>
      </c>
      <c r="D4515" t="s">
        <v>176</v>
      </c>
      <c r="E4515">
        <v>2354176</v>
      </c>
      <c r="F4515">
        <v>1536</v>
      </c>
      <c r="G4515">
        <v>235418</v>
      </c>
      <c r="H4515">
        <f>_xlfn.XLOOKUP(FACT_IMPORTS[[#This Row],[hts_6]],DIM_PRODUCTS[hts_6],DIM_PRODUCTS[hts_4],,,)</f>
        <v>8407</v>
      </c>
      <c r="I4515" t="str" cm="1">
        <f t="array" ref="I4515">_xlfn.XLOOKUP(FACT_IMPORTS[[#This Row],[country_name]],DIM_COUNTRY[[#All],[Column2]],DIM_COUNTRY[[#All],[Column3]],,,)</f>
        <v>China</v>
      </c>
    </row>
    <row r="4516" spans="1:9" x14ac:dyDescent="0.4">
      <c r="A4516" t="s">
        <v>66</v>
      </c>
      <c r="B4516" s="1">
        <v>45901</v>
      </c>
      <c r="C4516">
        <v>840790</v>
      </c>
      <c r="D4516" t="s">
        <v>176</v>
      </c>
      <c r="E4516">
        <v>0</v>
      </c>
      <c r="F4516">
        <v>0</v>
      </c>
      <c r="G4516">
        <v>0</v>
      </c>
      <c r="H4516">
        <f>_xlfn.XLOOKUP(FACT_IMPORTS[[#This Row],[hts_6]],DIM_PRODUCTS[hts_6],DIM_PRODUCTS[hts_4],,,)</f>
        <v>8407</v>
      </c>
      <c r="I4516" t="str" cm="1">
        <f t="array" ref="I4516">_xlfn.XLOOKUP(FACT_IMPORTS[[#This Row],[country_name]],DIM_COUNTRY[[#All],[Column2]],DIM_COUNTRY[[#All],[Column3]],,,)</f>
        <v>China</v>
      </c>
    </row>
    <row r="4517" spans="1:9" x14ac:dyDescent="0.4">
      <c r="A4517" t="s">
        <v>66</v>
      </c>
      <c r="B4517" s="1">
        <v>45901</v>
      </c>
      <c r="C4517">
        <v>840820</v>
      </c>
      <c r="D4517" t="s">
        <v>176</v>
      </c>
      <c r="E4517">
        <v>0</v>
      </c>
      <c r="F4517">
        <v>0</v>
      </c>
      <c r="G4517">
        <v>0</v>
      </c>
      <c r="H4517">
        <f>_xlfn.XLOOKUP(FACT_IMPORTS[[#This Row],[hts_6]],DIM_PRODUCTS[hts_6],DIM_PRODUCTS[hts_4],,,)</f>
        <v>8408</v>
      </c>
      <c r="I4517" t="str" cm="1">
        <f t="array" ref="I4517">_xlfn.XLOOKUP(FACT_IMPORTS[[#This Row],[country_name]],DIM_COUNTRY[[#All],[Column2]],DIM_COUNTRY[[#All],[Column3]],,,)</f>
        <v>China</v>
      </c>
    </row>
    <row r="4518" spans="1:9" x14ac:dyDescent="0.4">
      <c r="A4518" t="s">
        <v>66</v>
      </c>
      <c r="B4518" s="1">
        <v>45901</v>
      </c>
      <c r="C4518">
        <v>840890</v>
      </c>
      <c r="D4518" t="s">
        <v>176</v>
      </c>
      <c r="E4518">
        <v>20333</v>
      </c>
      <c r="F4518">
        <v>1</v>
      </c>
      <c r="G4518">
        <v>65</v>
      </c>
      <c r="H4518">
        <f>_xlfn.XLOOKUP(FACT_IMPORTS[[#This Row],[hts_6]],DIM_PRODUCTS[hts_6],DIM_PRODUCTS[hts_4],,,)</f>
        <v>8408</v>
      </c>
      <c r="I4518" t="str" cm="1">
        <f t="array" ref="I4518">_xlfn.XLOOKUP(FACT_IMPORTS[[#This Row],[country_name]],DIM_COUNTRY[[#All],[Column2]],DIM_COUNTRY[[#All],[Column3]],,,)</f>
        <v>China</v>
      </c>
    </row>
    <row r="4519" spans="1:9" x14ac:dyDescent="0.4">
      <c r="A4519" t="s">
        <v>66</v>
      </c>
      <c r="B4519" s="1">
        <v>45901</v>
      </c>
      <c r="C4519">
        <v>840991</v>
      </c>
      <c r="D4519" t="s">
        <v>176</v>
      </c>
      <c r="E4519">
        <v>6399915</v>
      </c>
      <c r="F4519">
        <v>2596659</v>
      </c>
      <c r="G4519">
        <v>878077</v>
      </c>
      <c r="H4519">
        <f>_xlfn.XLOOKUP(FACT_IMPORTS[[#This Row],[hts_6]],DIM_PRODUCTS[hts_6],DIM_PRODUCTS[hts_4],,,)</f>
        <v>8409</v>
      </c>
      <c r="I4519" t="str" cm="1">
        <f t="array" ref="I4519">_xlfn.XLOOKUP(FACT_IMPORTS[[#This Row],[country_name]],DIM_COUNTRY[[#All],[Column2]],DIM_COUNTRY[[#All],[Column3]],,,)</f>
        <v>China</v>
      </c>
    </row>
    <row r="4520" spans="1:9" x14ac:dyDescent="0.4">
      <c r="A4520" t="s">
        <v>66</v>
      </c>
      <c r="B4520" s="1">
        <v>45901</v>
      </c>
      <c r="C4520">
        <v>840999</v>
      </c>
      <c r="D4520" t="s">
        <v>176</v>
      </c>
      <c r="E4520">
        <v>4256343</v>
      </c>
      <c r="F4520">
        <v>777876</v>
      </c>
      <c r="G4520">
        <v>112316</v>
      </c>
      <c r="H4520">
        <f>_xlfn.XLOOKUP(FACT_IMPORTS[[#This Row],[hts_6]],DIM_PRODUCTS[hts_6],DIM_PRODUCTS[hts_4],,,)</f>
        <v>8409</v>
      </c>
      <c r="I4520" t="str" cm="1">
        <f t="array" ref="I4520">_xlfn.XLOOKUP(FACT_IMPORTS[[#This Row],[country_name]],DIM_COUNTRY[[#All],[Column2]],DIM_COUNTRY[[#All],[Column3]],,,)</f>
        <v>China</v>
      </c>
    </row>
    <row r="4521" spans="1:9" x14ac:dyDescent="0.4">
      <c r="A4521" t="s">
        <v>66</v>
      </c>
      <c r="B4521" s="1">
        <v>45901</v>
      </c>
      <c r="C4521">
        <v>841330</v>
      </c>
      <c r="D4521" t="s">
        <v>176</v>
      </c>
      <c r="E4521">
        <v>441651</v>
      </c>
      <c r="F4521">
        <v>12480</v>
      </c>
      <c r="G4521">
        <v>14382</v>
      </c>
      <c r="H4521">
        <f>_xlfn.XLOOKUP(FACT_IMPORTS[[#This Row],[hts_6]],DIM_PRODUCTS[hts_6],DIM_PRODUCTS[hts_4],,,)</f>
        <v>8413</v>
      </c>
      <c r="I4521" t="str" cm="1">
        <f t="array" ref="I4521">_xlfn.XLOOKUP(FACT_IMPORTS[[#This Row],[country_name]],DIM_COUNTRY[[#All],[Column2]],DIM_COUNTRY[[#All],[Column3]],,,)</f>
        <v>China</v>
      </c>
    </row>
    <row r="4522" spans="1:9" x14ac:dyDescent="0.4">
      <c r="A4522" t="s">
        <v>66</v>
      </c>
      <c r="B4522" s="1">
        <v>45901</v>
      </c>
      <c r="C4522">
        <v>841520</v>
      </c>
      <c r="D4522" t="s">
        <v>176</v>
      </c>
      <c r="E4522">
        <v>83037</v>
      </c>
      <c r="F4522">
        <v>132</v>
      </c>
      <c r="G4522">
        <v>5625</v>
      </c>
      <c r="H4522">
        <f>_xlfn.XLOOKUP(FACT_IMPORTS[[#This Row],[hts_6]],DIM_PRODUCTS[hts_6],DIM_PRODUCTS[hts_4],,,)</f>
        <v>8415</v>
      </c>
      <c r="I4522" t="str" cm="1">
        <f t="array" ref="I4522">_xlfn.XLOOKUP(FACT_IMPORTS[[#This Row],[country_name]],DIM_COUNTRY[[#All],[Column2]],DIM_COUNTRY[[#All],[Column3]],,,)</f>
        <v>China</v>
      </c>
    </row>
    <row r="4523" spans="1:9" x14ac:dyDescent="0.4">
      <c r="A4523" t="s">
        <v>66</v>
      </c>
      <c r="B4523" s="1">
        <v>45901</v>
      </c>
      <c r="C4523">
        <v>842132</v>
      </c>
      <c r="D4523" t="s">
        <v>176</v>
      </c>
      <c r="E4523">
        <v>16749</v>
      </c>
      <c r="F4523">
        <v>16</v>
      </c>
      <c r="G4523">
        <v>1675</v>
      </c>
      <c r="H4523">
        <f>_xlfn.XLOOKUP(FACT_IMPORTS[[#This Row],[hts_6]],DIM_PRODUCTS[hts_6],DIM_PRODUCTS[hts_4],,,)</f>
        <v>8421</v>
      </c>
      <c r="I4523" t="str" cm="1">
        <f t="array" ref="I4523">_xlfn.XLOOKUP(FACT_IMPORTS[[#This Row],[country_name]],DIM_COUNTRY[[#All],[Column2]],DIM_COUNTRY[[#All],[Column3]],,,)</f>
        <v>China</v>
      </c>
    </row>
    <row r="4524" spans="1:9" x14ac:dyDescent="0.4">
      <c r="A4524" t="s">
        <v>66</v>
      </c>
      <c r="B4524" s="1">
        <v>45901</v>
      </c>
      <c r="C4524">
        <v>848210</v>
      </c>
      <c r="D4524" t="s">
        <v>176</v>
      </c>
      <c r="E4524">
        <v>520218</v>
      </c>
      <c r="F4524">
        <v>435209</v>
      </c>
      <c r="G4524">
        <v>28584</v>
      </c>
      <c r="H4524">
        <f>_xlfn.XLOOKUP(FACT_IMPORTS[[#This Row],[hts_6]],DIM_PRODUCTS[hts_6],DIM_PRODUCTS[hts_4],,,)</f>
        <v>8482</v>
      </c>
      <c r="I4524" t="str" cm="1">
        <f t="array" ref="I4524">_xlfn.XLOOKUP(FACT_IMPORTS[[#This Row],[country_name]],DIM_COUNTRY[[#All],[Column2]],DIM_COUNTRY[[#All],[Column3]],,,)</f>
        <v>China</v>
      </c>
    </row>
    <row r="4525" spans="1:9" x14ac:dyDescent="0.4">
      <c r="A4525" t="s">
        <v>66</v>
      </c>
      <c r="B4525" s="1">
        <v>45901</v>
      </c>
      <c r="C4525">
        <v>848220</v>
      </c>
      <c r="D4525" t="s">
        <v>176</v>
      </c>
      <c r="E4525">
        <v>7135</v>
      </c>
      <c r="F4525">
        <v>211</v>
      </c>
      <c r="G4525">
        <v>243</v>
      </c>
      <c r="H4525">
        <f>_xlfn.XLOOKUP(FACT_IMPORTS[[#This Row],[hts_6]],DIM_PRODUCTS[hts_6],DIM_PRODUCTS[hts_4],,,)</f>
        <v>8482</v>
      </c>
      <c r="I4525" t="str" cm="1">
        <f t="array" ref="I4525">_xlfn.XLOOKUP(FACT_IMPORTS[[#This Row],[country_name]],DIM_COUNTRY[[#All],[Column2]],DIM_COUNTRY[[#All],[Column3]],,,)</f>
        <v>China</v>
      </c>
    </row>
    <row r="4526" spans="1:9" x14ac:dyDescent="0.4">
      <c r="A4526" t="s">
        <v>66</v>
      </c>
      <c r="B4526" s="1">
        <v>45901</v>
      </c>
      <c r="C4526">
        <v>848310</v>
      </c>
      <c r="D4526" t="s">
        <v>176</v>
      </c>
      <c r="E4526">
        <v>2416579</v>
      </c>
      <c r="F4526">
        <v>464890</v>
      </c>
      <c r="G4526">
        <v>130892</v>
      </c>
      <c r="H4526">
        <f>_xlfn.XLOOKUP(FACT_IMPORTS[[#This Row],[hts_6]],DIM_PRODUCTS[hts_6],DIM_PRODUCTS[hts_4],,,)</f>
        <v>8483</v>
      </c>
      <c r="I4526" t="str" cm="1">
        <f t="array" ref="I4526">_xlfn.XLOOKUP(FACT_IMPORTS[[#This Row],[country_name]],DIM_COUNTRY[[#All],[Column2]],DIM_COUNTRY[[#All],[Column3]],,,)</f>
        <v>China</v>
      </c>
    </row>
    <row r="4527" spans="1:9" x14ac:dyDescent="0.4">
      <c r="A4527" t="s">
        <v>66</v>
      </c>
      <c r="B4527" s="1">
        <v>45901</v>
      </c>
      <c r="C4527">
        <v>850131</v>
      </c>
      <c r="D4527" t="s">
        <v>176</v>
      </c>
      <c r="E4527">
        <v>2444623</v>
      </c>
      <c r="F4527">
        <v>381328</v>
      </c>
      <c r="G4527">
        <v>114992</v>
      </c>
      <c r="H4527">
        <f>_xlfn.XLOOKUP(FACT_IMPORTS[[#This Row],[hts_6]],DIM_PRODUCTS[hts_6],DIM_PRODUCTS[hts_4],,,)</f>
        <v>8501</v>
      </c>
      <c r="I4527" t="str" cm="1">
        <f t="array" ref="I4527">_xlfn.XLOOKUP(FACT_IMPORTS[[#This Row],[country_name]],DIM_COUNTRY[[#All],[Column2]],DIM_COUNTRY[[#All],[Column3]],,,)</f>
        <v>China</v>
      </c>
    </row>
    <row r="4528" spans="1:9" x14ac:dyDescent="0.4">
      <c r="A4528" t="s">
        <v>66</v>
      </c>
      <c r="B4528" s="1">
        <v>45901</v>
      </c>
      <c r="C4528">
        <v>850132</v>
      </c>
      <c r="D4528" t="s">
        <v>176</v>
      </c>
      <c r="E4528">
        <v>14742</v>
      </c>
      <c r="F4528">
        <v>85</v>
      </c>
      <c r="G4528">
        <v>365</v>
      </c>
      <c r="H4528">
        <f>_xlfn.XLOOKUP(FACT_IMPORTS[[#This Row],[hts_6]],DIM_PRODUCTS[hts_6],DIM_PRODUCTS[hts_4],,,)</f>
        <v>8501</v>
      </c>
      <c r="I4528" t="str" cm="1">
        <f t="array" ref="I4528">_xlfn.XLOOKUP(FACT_IMPORTS[[#This Row],[country_name]],DIM_COUNTRY[[#All],[Column2]],DIM_COUNTRY[[#All],[Column3]],,,)</f>
        <v>China</v>
      </c>
    </row>
    <row r="4529" spans="1:9" x14ac:dyDescent="0.4">
      <c r="A4529" t="s">
        <v>66</v>
      </c>
      <c r="B4529" s="1">
        <v>45901</v>
      </c>
      <c r="C4529">
        <v>850133</v>
      </c>
      <c r="D4529" t="s">
        <v>176</v>
      </c>
      <c r="E4529">
        <v>0</v>
      </c>
      <c r="F4529">
        <v>0</v>
      </c>
      <c r="G4529">
        <v>0</v>
      </c>
      <c r="H4529">
        <f>_xlfn.XLOOKUP(FACT_IMPORTS[[#This Row],[hts_6]],DIM_PRODUCTS[hts_6],DIM_PRODUCTS[hts_4],,,)</f>
        <v>8501</v>
      </c>
      <c r="I4529" t="str" cm="1">
        <f t="array" ref="I4529">_xlfn.XLOOKUP(FACT_IMPORTS[[#This Row],[country_name]],DIM_COUNTRY[[#All],[Column2]],DIM_COUNTRY[[#All],[Column3]],,,)</f>
        <v>China</v>
      </c>
    </row>
    <row r="4530" spans="1:9" x14ac:dyDescent="0.4">
      <c r="A4530" t="s">
        <v>66</v>
      </c>
      <c r="B4530" s="1">
        <v>45901</v>
      </c>
      <c r="C4530">
        <v>850152</v>
      </c>
      <c r="D4530" t="s">
        <v>176</v>
      </c>
      <c r="E4530">
        <v>181766</v>
      </c>
      <c r="F4530">
        <v>591</v>
      </c>
      <c r="G4530">
        <v>6169</v>
      </c>
      <c r="H4530">
        <f>_xlfn.XLOOKUP(FACT_IMPORTS[[#This Row],[hts_6]],DIM_PRODUCTS[hts_6],DIM_PRODUCTS[hts_4],,,)</f>
        <v>8501</v>
      </c>
      <c r="I4530" t="str" cm="1">
        <f t="array" ref="I4530">_xlfn.XLOOKUP(FACT_IMPORTS[[#This Row],[country_name]],DIM_COUNTRY[[#All],[Column2]],DIM_COUNTRY[[#All],[Column3]],,,)</f>
        <v>China</v>
      </c>
    </row>
    <row r="4531" spans="1:9" x14ac:dyDescent="0.4">
      <c r="A4531" t="s">
        <v>66</v>
      </c>
      <c r="B4531" s="1">
        <v>45901</v>
      </c>
      <c r="C4531">
        <v>850153</v>
      </c>
      <c r="D4531" t="s">
        <v>176</v>
      </c>
      <c r="E4531">
        <v>3000</v>
      </c>
      <c r="F4531">
        <v>1</v>
      </c>
      <c r="G4531">
        <v>5</v>
      </c>
      <c r="H4531">
        <f>_xlfn.XLOOKUP(FACT_IMPORTS[[#This Row],[hts_6]],DIM_PRODUCTS[hts_6],DIM_PRODUCTS[hts_4],,,)</f>
        <v>8501</v>
      </c>
      <c r="I4531" t="str" cm="1">
        <f t="array" ref="I4531">_xlfn.XLOOKUP(FACT_IMPORTS[[#This Row],[country_name]],DIM_COUNTRY[[#All],[Column2]],DIM_COUNTRY[[#All],[Column3]],,,)</f>
        <v>China</v>
      </c>
    </row>
    <row r="4532" spans="1:9" x14ac:dyDescent="0.4">
      <c r="A4532" t="s">
        <v>66</v>
      </c>
      <c r="B4532" s="1">
        <v>45901</v>
      </c>
      <c r="C4532">
        <v>850161</v>
      </c>
      <c r="D4532" t="s">
        <v>176</v>
      </c>
      <c r="E4532">
        <v>0</v>
      </c>
      <c r="F4532">
        <v>0</v>
      </c>
      <c r="G4532">
        <v>0</v>
      </c>
      <c r="H4532">
        <f>_xlfn.XLOOKUP(FACT_IMPORTS[[#This Row],[hts_6]],DIM_PRODUCTS[hts_6],DIM_PRODUCTS[hts_4],,,)</f>
        <v>8501</v>
      </c>
      <c r="I4532" t="str" cm="1">
        <f t="array" ref="I4532">_xlfn.XLOOKUP(FACT_IMPORTS[[#This Row],[country_name]],DIM_COUNTRY[[#All],[Column2]],DIM_COUNTRY[[#All],[Column3]],,,)</f>
        <v>China</v>
      </c>
    </row>
    <row r="4533" spans="1:9" x14ac:dyDescent="0.4">
      <c r="A4533" t="s">
        <v>66</v>
      </c>
      <c r="B4533" s="1">
        <v>45901</v>
      </c>
      <c r="C4533">
        <v>850440</v>
      </c>
      <c r="D4533" t="s">
        <v>176</v>
      </c>
      <c r="E4533">
        <v>818404</v>
      </c>
      <c r="F4533">
        <v>26388</v>
      </c>
      <c r="G4533">
        <v>32804</v>
      </c>
      <c r="H4533">
        <f>_xlfn.XLOOKUP(FACT_IMPORTS[[#This Row],[hts_6]],DIM_PRODUCTS[hts_6],DIM_PRODUCTS[hts_4],,,)</f>
        <v>8504</v>
      </c>
      <c r="I4533" t="str" cm="1">
        <f t="array" ref="I4533">_xlfn.XLOOKUP(FACT_IMPORTS[[#This Row],[country_name]],DIM_COUNTRY[[#All],[Column2]],DIM_COUNTRY[[#All],[Column3]],,,)</f>
        <v>China</v>
      </c>
    </row>
    <row r="4534" spans="1:9" x14ac:dyDescent="0.4">
      <c r="A4534" t="s">
        <v>66</v>
      </c>
      <c r="B4534" s="1">
        <v>45901</v>
      </c>
      <c r="C4534">
        <v>850710</v>
      </c>
      <c r="D4534" t="s">
        <v>176</v>
      </c>
      <c r="E4534">
        <v>48818</v>
      </c>
      <c r="F4534">
        <v>623</v>
      </c>
      <c r="G4534">
        <v>476</v>
      </c>
      <c r="H4534">
        <f>_xlfn.XLOOKUP(FACT_IMPORTS[[#This Row],[hts_6]],DIM_PRODUCTS[hts_6],DIM_PRODUCTS[hts_4],,,)</f>
        <v>8507</v>
      </c>
      <c r="I4534" t="str" cm="1">
        <f t="array" ref="I4534">_xlfn.XLOOKUP(FACT_IMPORTS[[#This Row],[country_name]],DIM_COUNTRY[[#All],[Column2]],DIM_COUNTRY[[#All],[Column3]],,,)</f>
        <v>China</v>
      </c>
    </row>
    <row r="4535" spans="1:9" x14ac:dyDescent="0.4">
      <c r="A4535" t="s">
        <v>66</v>
      </c>
      <c r="B4535" s="1">
        <v>45901</v>
      </c>
      <c r="C4535">
        <v>850760</v>
      </c>
      <c r="D4535" t="s">
        <v>176</v>
      </c>
      <c r="E4535">
        <v>524023</v>
      </c>
      <c r="F4535">
        <v>17976</v>
      </c>
      <c r="G4535">
        <v>13114</v>
      </c>
      <c r="H4535">
        <f>_xlfn.XLOOKUP(FACT_IMPORTS[[#This Row],[hts_6]],DIM_PRODUCTS[hts_6],DIM_PRODUCTS[hts_4],,,)</f>
        <v>8507</v>
      </c>
      <c r="I4535" t="str" cm="1">
        <f t="array" ref="I4535">_xlfn.XLOOKUP(FACT_IMPORTS[[#This Row],[country_name]],DIM_COUNTRY[[#All],[Column2]],DIM_COUNTRY[[#All],[Column3]],,,)</f>
        <v>China</v>
      </c>
    </row>
    <row r="4536" spans="1:9" x14ac:dyDescent="0.4">
      <c r="A4536" t="s">
        <v>66</v>
      </c>
      <c r="B4536" s="1">
        <v>45901</v>
      </c>
      <c r="C4536">
        <v>850790</v>
      </c>
      <c r="D4536" t="s">
        <v>176</v>
      </c>
      <c r="E4536">
        <v>0</v>
      </c>
      <c r="F4536">
        <v>0</v>
      </c>
      <c r="G4536">
        <v>0</v>
      </c>
      <c r="H4536">
        <f>_xlfn.XLOOKUP(FACT_IMPORTS[[#This Row],[hts_6]],DIM_PRODUCTS[hts_6],DIM_PRODUCTS[hts_4],,,)</f>
        <v>8507</v>
      </c>
      <c r="I4536" t="str" cm="1">
        <f t="array" ref="I4536">_xlfn.XLOOKUP(FACT_IMPORTS[[#This Row],[country_name]],DIM_COUNTRY[[#All],[Column2]],DIM_COUNTRY[[#All],[Column3]],,,)</f>
        <v>China</v>
      </c>
    </row>
    <row r="4537" spans="1:9" x14ac:dyDescent="0.4">
      <c r="A4537" t="s">
        <v>66</v>
      </c>
      <c r="B4537" s="1">
        <v>45901</v>
      </c>
      <c r="C4537">
        <v>851110</v>
      </c>
      <c r="D4537" t="s">
        <v>176</v>
      </c>
      <c r="E4537">
        <v>0</v>
      </c>
      <c r="F4537">
        <v>0</v>
      </c>
      <c r="G4537">
        <v>0</v>
      </c>
      <c r="H4537">
        <f>_xlfn.XLOOKUP(FACT_IMPORTS[[#This Row],[hts_6]],DIM_PRODUCTS[hts_6],DIM_PRODUCTS[hts_4],,,)</f>
        <v>8511</v>
      </c>
      <c r="I4537" t="str" cm="1">
        <f t="array" ref="I4537">_xlfn.XLOOKUP(FACT_IMPORTS[[#This Row],[country_name]],DIM_COUNTRY[[#All],[Column2]],DIM_COUNTRY[[#All],[Column3]],,,)</f>
        <v>China</v>
      </c>
    </row>
    <row r="4538" spans="1:9" x14ac:dyDescent="0.4">
      <c r="A4538" t="s">
        <v>66</v>
      </c>
      <c r="B4538" s="1">
        <v>45901</v>
      </c>
      <c r="C4538">
        <v>851120</v>
      </c>
      <c r="D4538" t="s">
        <v>176</v>
      </c>
      <c r="E4538">
        <v>0</v>
      </c>
      <c r="F4538">
        <v>0</v>
      </c>
      <c r="G4538">
        <v>0</v>
      </c>
      <c r="H4538">
        <f>_xlfn.XLOOKUP(FACT_IMPORTS[[#This Row],[hts_6]],DIM_PRODUCTS[hts_6],DIM_PRODUCTS[hts_4],,,)</f>
        <v>8511</v>
      </c>
      <c r="I4538" t="str" cm="1">
        <f t="array" ref="I4538">_xlfn.XLOOKUP(FACT_IMPORTS[[#This Row],[country_name]],DIM_COUNTRY[[#All],[Column2]],DIM_COUNTRY[[#All],[Column3]],,,)</f>
        <v>China</v>
      </c>
    </row>
    <row r="4539" spans="1:9" x14ac:dyDescent="0.4">
      <c r="A4539" t="s">
        <v>66</v>
      </c>
      <c r="B4539" s="1">
        <v>45901</v>
      </c>
      <c r="C4539">
        <v>851130</v>
      </c>
      <c r="D4539" t="s">
        <v>176</v>
      </c>
      <c r="E4539">
        <v>18496</v>
      </c>
      <c r="F4539">
        <v>2541</v>
      </c>
      <c r="G4539">
        <v>664</v>
      </c>
      <c r="H4539">
        <f>_xlfn.XLOOKUP(FACT_IMPORTS[[#This Row],[hts_6]],DIM_PRODUCTS[hts_6],DIM_PRODUCTS[hts_4],,,)</f>
        <v>8511</v>
      </c>
      <c r="I4539" t="str" cm="1">
        <f t="array" ref="I4539">_xlfn.XLOOKUP(FACT_IMPORTS[[#This Row],[country_name]],DIM_COUNTRY[[#All],[Column2]],DIM_COUNTRY[[#All],[Column3]],,,)</f>
        <v>China</v>
      </c>
    </row>
    <row r="4540" spans="1:9" x14ac:dyDescent="0.4">
      <c r="A4540" t="s">
        <v>66</v>
      </c>
      <c r="B4540" s="1">
        <v>45901</v>
      </c>
      <c r="C4540">
        <v>851140</v>
      </c>
      <c r="D4540" t="s">
        <v>176</v>
      </c>
      <c r="E4540">
        <v>147644</v>
      </c>
      <c r="F4540">
        <v>2657</v>
      </c>
      <c r="G4540">
        <v>6942</v>
      </c>
      <c r="H4540">
        <f>_xlfn.XLOOKUP(FACT_IMPORTS[[#This Row],[hts_6]],DIM_PRODUCTS[hts_6],DIM_PRODUCTS[hts_4],,,)</f>
        <v>8511</v>
      </c>
      <c r="I4540" t="str" cm="1">
        <f t="array" ref="I4540">_xlfn.XLOOKUP(FACT_IMPORTS[[#This Row],[country_name]],DIM_COUNTRY[[#All],[Column2]],DIM_COUNTRY[[#All],[Column3]],,,)</f>
        <v>China</v>
      </c>
    </row>
    <row r="4541" spans="1:9" x14ac:dyDescent="0.4">
      <c r="A4541" t="s">
        <v>66</v>
      </c>
      <c r="B4541" s="1">
        <v>45901</v>
      </c>
      <c r="C4541">
        <v>851150</v>
      </c>
      <c r="D4541" t="s">
        <v>176</v>
      </c>
      <c r="E4541">
        <v>154998</v>
      </c>
      <c r="F4541">
        <v>1679</v>
      </c>
      <c r="G4541">
        <v>3307</v>
      </c>
      <c r="H4541">
        <f>_xlfn.XLOOKUP(FACT_IMPORTS[[#This Row],[hts_6]],DIM_PRODUCTS[hts_6],DIM_PRODUCTS[hts_4],,,)</f>
        <v>8511</v>
      </c>
      <c r="I4541" t="str" cm="1">
        <f t="array" ref="I4541">_xlfn.XLOOKUP(FACT_IMPORTS[[#This Row],[country_name]],DIM_COUNTRY[[#All],[Column2]],DIM_COUNTRY[[#All],[Column3]],,,)</f>
        <v>China</v>
      </c>
    </row>
    <row r="4542" spans="1:9" x14ac:dyDescent="0.4">
      <c r="A4542" t="s">
        <v>66</v>
      </c>
      <c r="B4542" s="1">
        <v>45901</v>
      </c>
      <c r="C4542">
        <v>851180</v>
      </c>
      <c r="D4542" t="s">
        <v>176</v>
      </c>
      <c r="E4542">
        <v>9471</v>
      </c>
      <c r="F4542">
        <v>103</v>
      </c>
      <c r="G4542">
        <v>193</v>
      </c>
      <c r="H4542">
        <f>_xlfn.XLOOKUP(FACT_IMPORTS[[#This Row],[hts_6]],DIM_PRODUCTS[hts_6],DIM_PRODUCTS[hts_4],,,)</f>
        <v>8511</v>
      </c>
      <c r="I4542" t="str" cm="1">
        <f t="array" ref="I4542">_xlfn.XLOOKUP(FACT_IMPORTS[[#This Row],[country_name]],DIM_COUNTRY[[#All],[Column2]],DIM_COUNTRY[[#All],[Column3]],,,)</f>
        <v>China</v>
      </c>
    </row>
    <row r="4543" spans="1:9" x14ac:dyDescent="0.4">
      <c r="A4543" t="s">
        <v>66</v>
      </c>
      <c r="B4543" s="1">
        <v>45901</v>
      </c>
      <c r="C4543">
        <v>851190</v>
      </c>
      <c r="D4543" t="s">
        <v>176</v>
      </c>
      <c r="E4543">
        <v>138617</v>
      </c>
      <c r="F4543">
        <v>21929</v>
      </c>
      <c r="G4543">
        <v>3960</v>
      </c>
      <c r="H4543">
        <f>_xlfn.XLOOKUP(FACT_IMPORTS[[#This Row],[hts_6]],DIM_PRODUCTS[hts_6],DIM_PRODUCTS[hts_4],,,)</f>
        <v>8511</v>
      </c>
      <c r="I4543" t="str" cm="1">
        <f t="array" ref="I4543">_xlfn.XLOOKUP(FACT_IMPORTS[[#This Row],[country_name]],DIM_COUNTRY[[#All],[Column2]],DIM_COUNTRY[[#All],[Column3]],,,)</f>
        <v>China</v>
      </c>
    </row>
    <row r="4544" spans="1:9" x14ac:dyDescent="0.4">
      <c r="A4544" t="s">
        <v>66</v>
      </c>
      <c r="B4544" s="1">
        <v>45901</v>
      </c>
      <c r="C4544">
        <v>851220</v>
      </c>
      <c r="D4544" t="s">
        <v>176</v>
      </c>
      <c r="E4544">
        <v>3125881</v>
      </c>
      <c r="F4544">
        <v>499634</v>
      </c>
      <c r="G4544">
        <v>70925</v>
      </c>
      <c r="H4544">
        <f>_xlfn.XLOOKUP(FACT_IMPORTS[[#This Row],[hts_6]],DIM_PRODUCTS[hts_6],DIM_PRODUCTS[hts_4],,,)</f>
        <v>8512</v>
      </c>
      <c r="I4544" t="str" cm="1">
        <f t="array" ref="I4544">_xlfn.XLOOKUP(FACT_IMPORTS[[#This Row],[country_name]],DIM_COUNTRY[[#All],[Column2]],DIM_COUNTRY[[#All],[Column3]],,,)</f>
        <v>China</v>
      </c>
    </row>
    <row r="4545" spans="1:9" x14ac:dyDescent="0.4">
      <c r="A4545" t="s">
        <v>66</v>
      </c>
      <c r="B4545" s="1">
        <v>45901</v>
      </c>
      <c r="C4545">
        <v>851230</v>
      </c>
      <c r="D4545" t="s">
        <v>176</v>
      </c>
      <c r="E4545">
        <v>0</v>
      </c>
      <c r="F4545">
        <v>0</v>
      </c>
      <c r="G4545">
        <v>0</v>
      </c>
      <c r="H4545">
        <f>_xlfn.XLOOKUP(FACT_IMPORTS[[#This Row],[hts_6]],DIM_PRODUCTS[hts_6],DIM_PRODUCTS[hts_4],,,)</f>
        <v>8512</v>
      </c>
      <c r="I4545" t="str" cm="1">
        <f t="array" ref="I4545">_xlfn.XLOOKUP(FACT_IMPORTS[[#This Row],[country_name]],DIM_COUNTRY[[#All],[Column2]],DIM_COUNTRY[[#All],[Column3]],,,)</f>
        <v>China</v>
      </c>
    </row>
    <row r="4546" spans="1:9" x14ac:dyDescent="0.4">
      <c r="A4546" t="s">
        <v>66</v>
      </c>
      <c r="B4546" s="1">
        <v>45901</v>
      </c>
      <c r="C4546">
        <v>851240</v>
      </c>
      <c r="D4546" t="s">
        <v>176</v>
      </c>
      <c r="E4546">
        <v>282153</v>
      </c>
      <c r="F4546">
        <v>23424</v>
      </c>
      <c r="G4546">
        <v>231284</v>
      </c>
      <c r="H4546">
        <f>_xlfn.XLOOKUP(FACT_IMPORTS[[#This Row],[hts_6]],DIM_PRODUCTS[hts_6],DIM_PRODUCTS[hts_4],,,)</f>
        <v>8512</v>
      </c>
      <c r="I4546" t="str" cm="1">
        <f t="array" ref="I4546">_xlfn.XLOOKUP(FACT_IMPORTS[[#This Row],[country_name]],DIM_COUNTRY[[#All],[Column2]],DIM_COUNTRY[[#All],[Column3]],,,)</f>
        <v>China</v>
      </c>
    </row>
    <row r="4547" spans="1:9" x14ac:dyDescent="0.4">
      <c r="A4547" t="s">
        <v>66</v>
      </c>
      <c r="B4547" s="1">
        <v>45901</v>
      </c>
      <c r="C4547">
        <v>851290</v>
      </c>
      <c r="D4547" t="s">
        <v>176</v>
      </c>
      <c r="E4547">
        <v>80475</v>
      </c>
      <c r="F4547">
        <v>39050</v>
      </c>
      <c r="G4547">
        <v>9842</v>
      </c>
      <c r="H4547">
        <f>_xlfn.XLOOKUP(FACT_IMPORTS[[#This Row],[hts_6]],DIM_PRODUCTS[hts_6],DIM_PRODUCTS[hts_4],,,)</f>
        <v>8512</v>
      </c>
      <c r="I4547" t="str" cm="1">
        <f t="array" ref="I4547">_xlfn.XLOOKUP(FACT_IMPORTS[[#This Row],[country_name]],DIM_COUNTRY[[#All],[Column2]],DIM_COUNTRY[[#All],[Column3]],,,)</f>
        <v>China</v>
      </c>
    </row>
    <row r="4548" spans="1:9" x14ac:dyDescent="0.4">
      <c r="A4548" t="s">
        <v>66</v>
      </c>
      <c r="B4548" s="1">
        <v>45901</v>
      </c>
      <c r="C4548">
        <v>854231</v>
      </c>
      <c r="D4548" t="s">
        <v>176</v>
      </c>
      <c r="E4548">
        <v>5000</v>
      </c>
      <c r="F4548">
        <v>40</v>
      </c>
      <c r="G4548">
        <v>954</v>
      </c>
      <c r="H4548">
        <f>_xlfn.XLOOKUP(FACT_IMPORTS[[#This Row],[hts_6]],DIM_PRODUCTS[hts_6],DIM_PRODUCTS[hts_4],,,)</f>
        <v>8542</v>
      </c>
      <c r="I4548" t="str" cm="1">
        <f t="array" ref="I4548">_xlfn.XLOOKUP(FACT_IMPORTS[[#This Row],[country_name]],DIM_COUNTRY[[#All],[Column2]],DIM_COUNTRY[[#All],[Column3]],,,)</f>
        <v>China</v>
      </c>
    </row>
    <row r="4549" spans="1:9" x14ac:dyDescent="0.4">
      <c r="A4549" t="s">
        <v>66</v>
      </c>
      <c r="B4549" s="1">
        <v>45901</v>
      </c>
      <c r="C4549">
        <v>854232</v>
      </c>
      <c r="D4549" t="s">
        <v>176</v>
      </c>
      <c r="E4549">
        <v>0</v>
      </c>
      <c r="F4549">
        <v>0</v>
      </c>
      <c r="G4549">
        <v>0</v>
      </c>
      <c r="H4549">
        <f>_xlfn.XLOOKUP(FACT_IMPORTS[[#This Row],[hts_6]],DIM_PRODUCTS[hts_6],DIM_PRODUCTS[hts_4],,,)</f>
        <v>8542</v>
      </c>
      <c r="I4549" t="str" cm="1">
        <f t="array" ref="I4549">_xlfn.XLOOKUP(FACT_IMPORTS[[#This Row],[country_name]],DIM_COUNTRY[[#All],[Column2]],DIM_COUNTRY[[#All],[Column3]],,,)</f>
        <v>China</v>
      </c>
    </row>
    <row r="4550" spans="1:9" x14ac:dyDescent="0.4">
      <c r="A4550" t="s">
        <v>66</v>
      </c>
      <c r="B4550" s="1">
        <v>45901</v>
      </c>
      <c r="C4550">
        <v>854233</v>
      </c>
      <c r="D4550" t="s">
        <v>176</v>
      </c>
      <c r="E4550">
        <v>0</v>
      </c>
      <c r="F4550">
        <v>0</v>
      </c>
      <c r="G4550">
        <v>0</v>
      </c>
      <c r="H4550">
        <f>_xlfn.XLOOKUP(FACT_IMPORTS[[#This Row],[hts_6]],DIM_PRODUCTS[hts_6],DIM_PRODUCTS[hts_4],,,)</f>
        <v>8542</v>
      </c>
      <c r="I4550" t="str" cm="1">
        <f t="array" ref="I4550">_xlfn.XLOOKUP(FACT_IMPORTS[[#This Row],[country_name]],DIM_COUNTRY[[#All],[Column2]],DIM_COUNTRY[[#All],[Column3]],,,)</f>
        <v>China</v>
      </c>
    </row>
    <row r="4551" spans="1:9" x14ac:dyDescent="0.4">
      <c r="A4551" t="s">
        <v>66</v>
      </c>
      <c r="B4551" s="1">
        <v>45901</v>
      </c>
      <c r="C4551">
        <v>854239</v>
      </c>
      <c r="D4551" t="s">
        <v>176</v>
      </c>
      <c r="E4551">
        <v>7434</v>
      </c>
      <c r="F4551">
        <v>39000</v>
      </c>
      <c r="G4551">
        <v>140</v>
      </c>
      <c r="H4551">
        <f>_xlfn.XLOOKUP(FACT_IMPORTS[[#This Row],[hts_6]],DIM_PRODUCTS[hts_6],DIM_PRODUCTS[hts_4],,,)</f>
        <v>8542</v>
      </c>
      <c r="I4551" t="str" cm="1">
        <f t="array" ref="I4551">_xlfn.XLOOKUP(FACT_IMPORTS[[#This Row],[country_name]],DIM_COUNTRY[[#All],[Column2]],DIM_COUNTRY[[#All],[Column3]],,,)</f>
        <v>China</v>
      </c>
    </row>
    <row r="4552" spans="1:9" x14ac:dyDescent="0.4">
      <c r="A4552" t="s">
        <v>66</v>
      </c>
      <c r="B4552" s="1">
        <v>45901</v>
      </c>
      <c r="C4552">
        <v>854290</v>
      </c>
      <c r="D4552" t="s">
        <v>176</v>
      </c>
      <c r="E4552">
        <v>0</v>
      </c>
      <c r="F4552">
        <v>0</v>
      </c>
      <c r="G4552">
        <v>0</v>
      </c>
      <c r="H4552">
        <f>_xlfn.XLOOKUP(FACT_IMPORTS[[#This Row],[hts_6]],DIM_PRODUCTS[hts_6],DIM_PRODUCTS[hts_4],,,)</f>
        <v>8542</v>
      </c>
      <c r="I4552" t="str" cm="1">
        <f t="array" ref="I4552">_xlfn.XLOOKUP(FACT_IMPORTS[[#This Row],[country_name]],DIM_COUNTRY[[#All],[Column2]],DIM_COUNTRY[[#All],[Column3]],,,)</f>
        <v>China</v>
      </c>
    </row>
    <row r="4553" spans="1:9" x14ac:dyDescent="0.4">
      <c r="A4553" t="s">
        <v>66</v>
      </c>
      <c r="B4553" s="1">
        <v>45901</v>
      </c>
      <c r="C4553">
        <v>854430</v>
      </c>
      <c r="D4553" t="s">
        <v>176</v>
      </c>
      <c r="E4553">
        <v>365537</v>
      </c>
      <c r="F4553">
        <v>14465</v>
      </c>
      <c r="G4553">
        <v>2545</v>
      </c>
      <c r="H4553">
        <f>_xlfn.XLOOKUP(FACT_IMPORTS[[#This Row],[hts_6]],DIM_PRODUCTS[hts_6],DIM_PRODUCTS[hts_4],,,)</f>
        <v>8544</v>
      </c>
      <c r="I4553" t="str" cm="1">
        <f t="array" ref="I4553">_xlfn.XLOOKUP(FACT_IMPORTS[[#This Row],[country_name]],DIM_COUNTRY[[#All],[Column2]],DIM_COUNTRY[[#All],[Column3]],,,)</f>
        <v>China</v>
      </c>
    </row>
    <row r="4554" spans="1:9" x14ac:dyDescent="0.4">
      <c r="A4554" t="s">
        <v>66</v>
      </c>
      <c r="B4554" s="1">
        <v>45901</v>
      </c>
      <c r="C4554">
        <v>870790</v>
      </c>
      <c r="D4554" t="s">
        <v>176</v>
      </c>
      <c r="E4554">
        <v>0</v>
      </c>
      <c r="F4554">
        <v>0</v>
      </c>
      <c r="G4554">
        <v>0</v>
      </c>
      <c r="H4554">
        <f>_xlfn.XLOOKUP(FACT_IMPORTS[[#This Row],[hts_6]],DIM_PRODUCTS[hts_6],DIM_PRODUCTS[hts_4],,,)</f>
        <v>8707</v>
      </c>
      <c r="I4554" t="str" cm="1">
        <f t="array" ref="I4554">_xlfn.XLOOKUP(FACT_IMPORTS[[#This Row],[country_name]],DIM_COUNTRY[[#All],[Column2]],DIM_COUNTRY[[#All],[Column3]],,,)</f>
        <v>China</v>
      </c>
    </row>
    <row r="4555" spans="1:9" x14ac:dyDescent="0.4">
      <c r="A4555" t="s">
        <v>66</v>
      </c>
      <c r="B4555" s="1">
        <v>45901</v>
      </c>
      <c r="C4555">
        <v>870810</v>
      </c>
      <c r="D4555" t="s">
        <v>176</v>
      </c>
      <c r="E4555">
        <v>524503</v>
      </c>
      <c r="F4555">
        <v>17903</v>
      </c>
      <c r="G4555">
        <v>29090</v>
      </c>
      <c r="H4555">
        <f>_xlfn.XLOOKUP(FACT_IMPORTS[[#This Row],[hts_6]],DIM_PRODUCTS[hts_6],DIM_PRODUCTS[hts_4],,,)</f>
        <v>8708</v>
      </c>
      <c r="I4555" t="str" cm="1">
        <f t="array" ref="I4555">_xlfn.XLOOKUP(FACT_IMPORTS[[#This Row],[country_name]],DIM_COUNTRY[[#All],[Column2]],DIM_COUNTRY[[#All],[Column3]],,,)</f>
        <v>China</v>
      </c>
    </row>
    <row r="4556" spans="1:9" x14ac:dyDescent="0.4">
      <c r="A4556" t="s">
        <v>66</v>
      </c>
      <c r="B4556" s="1">
        <v>45901</v>
      </c>
      <c r="C4556">
        <v>870821</v>
      </c>
      <c r="D4556" t="s">
        <v>176</v>
      </c>
      <c r="E4556">
        <v>2589</v>
      </c>
      <c r="F4556">
        <v>78</v>
      </c>
      <c r="G4556">
        <v>1</v>
      </c>
      <c r="H4556">
        <f>_xlfn.XLOOKUP(FACT_IMPORTS[[#This Row],[hts_6]],DIM_PRODUCTS[hts_6],DIM_PRODUCTS[hts_4],,,)</f>
        <v>8708</v>
      </c>
      <c r="I4556" t="str" cm="1">
        <f t="array" ref="I4556">_xlfn.XLOOKUP(FACT_IMPORTS[[#This Row],[country_name]],DIM_COUNTRY[[#All],[Column2]],DIM_COUNTRY[[#All],[Column3]],,,)</f>
        <v>China</v>
      </c>
    </row>
    <row r="4557" spans="1:9" x14ac:dyDescent="0.4">
      <c r="A4557" t="s">
        <v>66</v>
      </c>
      <c r="B4557" s="1">
        <v>45901</v>
      </c>
      <c r="C4557">
        <v>870822</v>
      </c>
      <c r="D4557" t="s">
        <v>176</v>
      </c>
      <c r="E4557">
        <v>2510317</v>
      </c>
      <c r="F4557">
        <v>500190</v>
      </c>
      <c r="G4557">
        <v>507305</v>
      </c>
      <c r="H4557">
        <f>_xlfn.XLOOKUP(FACT_IMPORTS[[#This Row],[hts_6]],DIM_PRODUCTS[hts_6],DIM_PRODUCTS[hts_4],,,)</f>
        <v>8708</v>
      </c>
      <c r="I4557" t="str" cm="1">
        <f t="array" ref="I4557">_xlfn.XLOOKUP(FACT_IMPORTS[[#This Row],[country_name]],DIM_COUNTRY[[#All],[Column2]],DIM_COUNTRY[[#All],[Column3]],,,)</f>
        <v>China</v>
      </c>
    </row>
    <row r="4558" spans="1:9" x14ac:dyDescent="0.4">
      <c r="A4558" t="s">
        <v>66</v>
      </c>
      <c r="B4558" s="1">
        <v>45901</v>
      </c>
      <c r="C4558">
        <v>870829</v>
      </c>
      <c r="D4558" t="s">
        <v>176</v>
      </c>
      <c r="E4558">
        <v>16848155</v>
      </c>
      <c r="F4558">
        <v>3107756</v>
      </c>
      <c r="G4558">
        <v>748713</v>
      </c>
      <c r="H4558">
        <f>_xlfn.XLOOKUP(FACT_IMPORTS[[#This Row],[hts_6]],DIM_PRODUCTS[hts_6],DIM_PRODUCTS[hts_4],,,)</f>
        <v>8708</v>
      </c>
      <c r="I4558" t="str" cm="1">
        <f t="array" ref="I4558">_xlfn.XLOOKUP(FACT_IMPORTS[[#This Row],[country_name]],DIM_COUNTRY[[#All],[Column2]],DIM_COUNTRY[[#All],[Column3]],,,)</f>
        <v>China</v>
      </c>
    </row>
    <row r="4559" spans="1:9" x14ac:dyDescent="0.4">
      <c r="A4559" t="s">
        <v>66</v>
      </c>
      <c r="B4559" s="1">
        <v>45901</v>
      </c>
      <c r="C4559">
        <v>870830</v>
      </c>
      <c r="D4559" t="s">
        <v>176</v>
      </c>
      <c r="E4559">
        <v>4684698</v>
      </c>
      <c r="F4559">
        <v>570974</v>
      </c>
      <c r="G4559">
        <v>124581</v>
      </c>
      <c r="H4559">
        <f>_xlfn.XLOOKUP(FACT_IMPORTS[[#This Row],[hts_6]],DIM_PRODUCTS[hts_6],DIM_PRODUCTS[hts_4],,,)</f>
        <v>8708</v>
      </c>
      <c r="I4559" t="str" cm="1">
        <f t="array" ref="I4559">_xlfn.XLOOKUP(FACT_IMPORTS[[#This Row],[country_name]],DIM_COUNTRY[[#All],[Column2]],DIM_COUNTRY[[#All],[Column3]],,,)</f>
        <v>China</v>
      </c>
    </row>
    <row r="4560" spans="1:9" x14ac:dyDescent="0.4">
      <c r="A4560" t="s">
        <v>66</v>
      </c>
      <c r="B4560" s="1">
        <v>45901</v>
      </c>
      <c r="C4560">
        <v>870840</v>
      </c>
      <c r="D4560" t="s">
        <v>176</v>
      </c>
      <c r="E4560">
        <v>2944226</v>
      </c>
      <c r="F4560">
        <v>655229</v>
      </c>
      <c r="G4560">
        <v>97242</v>
      </c>
      <c r="H4560">
        <f>_xlfn.XLOOKUP(FACT_IMPORTS[[#This Row],[hts_6]],DIM_PRODUCTS[hts_6],DIM_PRODUCTS[hts_4],,,)</f>
        <v>8708</v>
      </c>
      <c r="I4560" t="str" cm="1">
        <f t="array" ref="I4560">_xlfn.XLOOKUP(FACT_IMPORTS[[#This Row],[country_name]],DIM_COUNTRY[[#All],[Column2]],DIM_COUNTRY[[#All],[Column3]],,,)</f>
        <v>China</v>
      </c>
    </row>
    <row r="4561" spans="1:9" x14ac:dyDescent="0.4">
      <c r="A4561" t="s">
        <v>66</v>
      </c>
      <c r="B4561" s="1">
        <v>45901</v>
      </c>
      <c r="C4561">
        <v>870850</v>
      </c>
      <c r="D4561" t="s">
        <v>176</v>
      </c>
      <c r="E4561">
        <v>2458818</v>
      </c>
      <c r="F4561">
        <v>462880</v>
      </c>
      <c r="G4561">
        <v>130879</v>
      </c>
      <c r="H4561">
        <f>_xlfn.XLOOKUP(FACT_IMPORTS[[#This Row],[hts_6]],DIM_PRODUCTS[hts_6],DIM_PRODUCTS[hts_4],,,)</f>
        <v>8708</v>
      </c>
      <c r="I4561" t="str" cm="1">
        <f t="array" ref="I4561">_xlfn.XLOOKUP(FACT_IMPORTS[[#This Row],[country_name]],DIM_COUNTRY[[#All],[Column2]],DIM_COUNTRY[[#All],[Column3]],,,)</f>
        <v>China</v>
      </c>
    </row>
    <row r="4562" spans="1:9" x14ac:dyDescent="0.4">
      <c r="A4562" t="s">
        <v>66</v>
      </c>
      <c r="B4562" s="1">
        <v>45901</v>
      </c>
      <c r="C4562">
        <v>870870</v>
      </c>
      <c r="D4562" t="s">
        <v>176</v>
      </c>
      <c r="E4562">
        <v>79787877</v>
      </c>
      <c r="F4562">
        <v>1668220</v>
      </c>
      <c r="G4562">
        <v>7797563</v>
      </c>
      <c r="H4562">
        <f>_xlfn.XLOOKUP(FACT_IMPORTS[[#This Row],[hts_6]],DIM_PRODUCTS[hts_6],DIM_PRODUCTS[hts_4],,,)</f>
        <v>8708</v>
      </c>
      <c r="I4562" t="str" cm="1">
        <f t="array" ref="I4562">_xlfn.XLOOKUP(FACT_IMPORTS[[#This Row],[country_name]],DIM_COUNTRY[[#All],[Column2]],DIM_COUNTRY[[#All],[Column3]],,,)</f>
        <v>China</v>
      </c>
    </row>
    <row r="4563" spans="1:9" x14ac:dyDescent="0.4">
      <c r="A4563" t="s">
        <v>66</v>
      </c>
      <c r="B4563" s="1">
        <v>45901</v>
      </c>
      <c r="C4563">
        <v>870880</v>
      </c>
      <c r="D4563" t="s">
        <v>176</v>
      </c>
      <c r="E4563">
        <v>6373072</v>
      </c>
      <c r="F4563">
        <v>2634557</v>
      </c>
      <c r="G4563">
        <v>155815</v>
      </c>
      <c r="H4563">
        <f>_xlfn.XLOOKUP(FACT_IMPORTS[[#This Row],[hts_6]],DIM_PRODUCTS[hts_6],DIM_PRODUCTS[hts_4],,,)</f>
        <v>8708</v>
      </c>
      <c r="I4563" t="str" cm="1">
        <f t="array" ref="I4563">_xlfn.XLOOKUP(FACT_IMPORTS[[#This Row],[country_name]],DIM_COUNTRY[[#All],[Column2]],DIM_COUNTRY[[#All],[Column3]],,,)</f>
        <v>China</v>
      </c>
    </row>
    <row r="4564" spans="1:9" x14ac:dyDescent="0.4">
      <c r="A4564" t="s">
        <v>66</v>
      </c>
      <c r="B4564" s="1">
        <v>45901</v>
      </c>
      <c r="C4564">
        <v>870891</v>
      </c>
      <c r="D4564" t="s">
        <v>176</v>
      </c>
      <c r="E4564">
        <v>89454</v>
      </c>
      <c r="F4564">
        <v>925</v>
      </c>
      <c r="G4564">
        <v>3236</v>
      </c>
      <c r="H4564">
        <f>_xlfn.XLOOKUP(FACT_IMPORTS[[#This Row],[hts_6]],DIM_PRODUCTS[hts_6],DIM_PRODUCTS[hts_4],,,)</f>
        <v>8708</v>
      </c>
      <c r="I4564" t="str" cm="1">
        <f t="array" ref="I4564">_xlfn.XLOOKUP(FACT_IMPORTS[[#This Row],[country_name]],DIM_COUNTRY[[#All],[Column2]],DIM_COUNTRY[[#All],[Column3]],,,)</f>
        <v>China</v>
      </c>
    </row>
    <row r="4565" spans="1:9" x14ac:dyDescent="0.4">
      <c r="A4565" t="s">
        <v>66</v>
      </c>
      <c r="B4565" s="1">
        <v>45901</v>
      </c>
      <c r="C4565">
        <v>870892</v>
      </c>
      <c r="D4565" t="s">
        <v>176</v>
      </c>
      <c r="E4565">
        <v>5122747</v>
      </c>
      <c r="F4565">
        <v>1146993</v>
      </c>
      <c r="G4565">
        <v>329317</v>
      </c>
      <c r="H4565">
        <f>_xlfn.XLOOKUP(FACT_IMPORTS[[#This Row],[hts_6]],DIM_PRODUCTS[hts_6],DIM_PRODUCTS[hts_4],,,)</f>
        <v>8708</v>
      </c>
      <c r="I4565" t="str" cm="1">
        <f t="array" ref="I4565">_xlfn.XLOOKUP(FACT_IMPORTS[[#This Row],[country_name]],DIM_COUNTRY[[#All],[Column2]],DIM_COUNTRY[[#All],[Column3]],,,)</f>
        <v>China</v>
      </c>
    </row>
    <row r="4566" spans="1:9" x14ac:dyDescent="0.4">
      <c r="A4566" t="s">
        <v>66</v>
      </c>
      <c r="B4566" s="1">
        <v>45901</v>
      </c>
      <c r="C4566">
        <v>870893</v>
      </c>
      <c r="D4566" t="s">
        <v>176</v>
      </c>
      <c r="E4566">
        <v>365518</v>
      </c>
      <c r="F4566">
        <v>50590</v>
      </c>
      <c r="G4566">
        <v>17237</v>
      </c>
      <c r="H4566">
        <f>_xlfn.XLOOKUP(FACT_IMPORTS[[#This Row],[hts_6]],DIM_PRODUCTS[hts_6],DIM_PRODUCTS[hts_4],,,)</f>
        <v>8708</v>
      </c>
      <c r="I4566" t="str" cm="1">
        <f t="array" ref="I4566">_xlfn.XLOOKUP(FACT_IMPORTS[[#This Row],[country_name]],DIM_COUNTRY[[#All],[Column2]],DIM_COUNTRY[[#All],[Column3]],,,)</f>
        <v>China</v>
      </c>
    </row>
    <row r="4567" spans="1:9" x14ac:dyDescent="0.4">
      <c r="A4567" t="s">
        <v>66</v>
      </c>
      <c r="B4567" s="1">
        <v>45901</v>
      </c>
      <c r="C4567">
        <v>870894</v>
      </c>
      <c r="D4567" t="s">
        <v>176</v>
      </c>
      <c r="E4567">
        <v>6261985</v>
      </c>
      <c r="F4567">
        <v>345651</v>
      </c>
      <c r="G4567">
        <v>769617</v>
      </c>
      <c r="H4567">
        <f>_xlfn.XLOOKUP(FACT_IMPORTS[[#This Row],[hts_6]],DIM_PRODUCTS[hts_6],DIM_PRODUCTS[hts_4],,,)</f>
        <v>8708</v>
      </c>
      <c r="I4567" t="str" cm="1">
        <f t="array" ref="I4567">_xlfn.XLOOKUP(FACT_IMPORTS[[#This Row],[country_name]],DIM_COUNTRY[[#All],[Column2]],DIM_COUNTRY[[#All],[Column3]],,,)</f>
        <v>China</v>
      </c>
    </row>
    <row r="4568" spans="1:9" x14ac:dyDescent="0.4">
      <c r="A4568" t="s">
        <v>66</v>
      </c>
      <c r="B4568" s="1">
        <v>45901</v>
      </c>
      <c r="C4568">
        <v>870895</v>
      </c>
      <c r="D4568" t="s">
        <v>176</v>
      </c>
      <c r="E4568">
        <v>64968</v>
      </c>
      <c r="F4568">
        <v>37664</v>
      </c>
      <c r="G4568">
        <v>5221</v>
      </c>
      <c r="H4568">
        <f>_xlfn.XLOOKUP(FACT_IMPORTS[[#This Row],[hts_6]],DIM_PRODUCTS[hts_6],DIM_PRODUCTS[hts_4],,,)</f>
        <v>8708</v>
      </c>
      <c r="I4568" t="str" cm="1">
        <f t="array" ref="I4568">_xlfn.XLOOKUP(FACT_IMPORTS[[#This Row],[country_name]],DIM_COUNTRY[[#All],[Column2]],DIM_COUNTRY[[#All],[Column3]],,,)</f>
        <v>China</v>
      </c>
    </row>
    <row r="4569" spans="1:9" x14ac:dyDescent="0.4">
      <c r="A4569" t="s">
        <v>66</v>
      </c>
      <c r="B4569" s="1">
        <v>45901</v>
      </c>
      <c r="C4569">
        <v>870899</v>
      </c>
      <c r="D4569" t="s">
        <v>176</v>
      </c>
      <c r="E4569">
        <v>7706262</v>
      </c>
      <c r="F4569">
        <v>3073295</v>
      </c>
      <c r="G4569">
        <v>665874</v>
      </c>
      <c r="H4569">
        <f>_xlfn.XLOOKUP(FACT_IMPORTS[[#This Row],[hts_6]],DIM_PRODUCTS[hts_6],DIM_PRODUCTS[hts_4],,,)</f>
        <v>8708</v>
      </c>
      <c r="I4569" t="str" cm="1">
        <f t="array" ref="I4569">_xlfn.XLOOKUP(FACT_IMPORTS[[#This Row],[country_name]],DIM_COUNTRY[[#All],[Column2]],DIM_COUNTRY[[#All],[Column3]],,,)</f>
        <v>China</v>
      </c>
    </row>
    <row r="4570" spans="1:9" x14ac:dyDescent="0.4">
      <c r="A4570" t="s">
        <v>66</v>
      </c>
      <c r="B4570" s="1">
        <v>45901</v>
      </c>
      <c r="C4570">
        <v>940120</v>
      </c>
      <c r="D4570" t="s">
        <v>176</v>
      </c>
      <c r="E4570">
        <v>68375</v>
      </c>
      <c r="F4570">
        <v>2038</v>
      </c>
      <c r="G4570">
        <v>5658</v>
      </c>
      <c r="H4570">
        <f>_xlfn.XLOOKUP(FACT_IMPORTS[[#This Row],[hts_6]],DIM_PRODUCTS[hts_6],DIM_PRODUCTS[hts_4],,,)</f>
        <v>9401</v>
      </c>
      <c r="I4570" t="str" cm="1">
        <f t="array" ref="I4570">_xlfn.XLOOKUP(FACT_IMPORTS[[#This Row],[country_name]],DIM_COUNTRY[[#All],[Column2]],DIM_COUNTRY[[#All],[Column3]],,,)</f>
        <v>China</v>
      </c>
    </row>
    <row r="4571" spans="1:9" x14ac:dyDescent="0.4">
      <c r="A4571" t="s">
        <v>66</v>
      </c>
      <c r="B4571" s="1">
        <v>45931</v>
      </c>
      <c r="C4571">
        <v>392630</v>
      </c>
      <c r="D4571" t="s">
        <v>176</v>
      </c>
      <c r="E4571">
        <v>1529007</v>
      </c>
      <c r="F4571">
        <v>146928</v>
      </c>
      <c r="G4571">
        <v>99989</v>
      </c>
      <c r="H4571">
        <f>_xlfn.XLOOKUP(FACT_IMPORTS[[#This Row],[hts_6]],DIM_PRODUCTS[hts_6],DIM_PRODUCTS[hts_4],,,)</f>
        <v>3926</v>
      </c>
      <c r="I4571" t="str" cm="1">
        <f t="array" ref="I4571">_xlfn.XLOOKUP(FACT_IMPORTS[[#This Row],[country_name]],DIM_COUNTRY[[#All],[Column2]],DIM_COUNTRY[[#All],[Column3]],,,)</f>
        <v>China</v>
      </c>
    </row>
    <row r="4572" spans="1:9" x14ac:dyDescent="0.4">
      <c r="A4572" t="s">
        <v>66</v>
      </c>
      <c r="B4572" s="1">
        <v>45931</v>
      </c>
      <c r="C4572">
        <v>401110</v>
      </c>
      <c r="D4572" t="s">
        <v>176</v>
      </c>
      <c r="E4572">
        <v>9952</v>
      </c>
      <c r="F4572">
        <v>169</v>
      </c>
      <c r="G4572">
        <v>170</v>
      </c>
      <c r="H4572">
        <f>_xlfn.XLOOKUP(FACT_IMPORTS[[#This Row],[hts_6]],DIM_PRODUCTS[hts_6],DIM_PRODUCTS[hts_4],,,)</f>
        <v>4011</v>
      </c>
      <c r="I4572" t="str" cm="1">
        <f t="array" ref="I4572">_xlfn.XLOOKUP(FACT_IMPORTS[[#This Row],[country_name]],DIM_COUNTRY[[#All],[Column2]],DIM_COUNTRY[[#All],[Column3]],,,)</f>
        <v>China</v>
      </c>
    </row>
    <row r="4573" spans="1:9" x14ac:dyDescent="0.4">
      <c r="A4573" t="s">
        <v>66</v>
      </c>
      <c r="B4573" s="1">
        <v>45931</v>
      </c>
      <c r="C4573">
        <v>401120</v>
      </c>
      <c r="D4573" t="s">
        <v>176</v>
      </c>
      <c r="E4573">
        <v>45472</v>
      </c>
      <c r="F4573">
        <v>360</v>
      </c>
      <c r="G4573">
        <v>3000</v>
      </c>
      <c r="H4573">
        <f>_xlfn.XLOOKUP(FACT_IMPORTS[[#This Row],[hts_6]],DIM_PRODUCTS[hts_6],DIM_PRODUCTS[hts_4],,,)</f>
        <v>4011</v>
      </c>
      <c r="I4573" t="str" cm="1">
        <f t="array" ref="I4573">_xlfn.XLOOKUP(FACT_IMPORTS[[#This Row],[country_name]],DIM_COUNTRY[[#All],[Column2]],DIM_COUNTRY[[#All],[Column3]],,,)</f>
        <v>China</v>
      </c>
    </row>
    <row r="4574" spans="1:9" x14ac:dyDescent="0.4">
      <c r="A4574" t="s">
        <v>66</v>
      </c>
      <c r="B4574" s="1">
        <v>45931</v>
      </c>
      <c r="C4574">
        <v>401140</v>
      </c>
      <c r="D4574" t="s">
        <v>176</v>
      </c>
      <c r="E4574">
        <v>3719</v>
      </c>
      <c r="F4574">
        <v>87</v>
      </c>
      <c r="G4574">
        <v>7</v>
      </c>
      <c r="H4574">
        <f>_xlfn.XLOOKUP(FACT_IMPORTS[[#This Row],[hts_6]],DIM_PRODUCTS[hts_6],DIM_PRODUCTS[hts_4],,,)</f>
        <v>4011</v>
      </c>
      <c r="I4574" t="str" cm="1">
        <f t="array" ref="I4574">_xlfn.XLOOKUP(FACT_IMPORTS[[#This Row],[country_name]],DIM_COUNTRY[[#All],[Column2]],DIM_COUNTRY[[#All],[Column3]],,,)</f>
        <v>China</v>
      </c>
    </row>
    <row r="4575" spans="1:9" x14ac:dyDescent="0.4">
      <c r="A4575" t="s">
        <v>66</v>
      </c>
      <c r="B4575" s="1">
        <v>45931</v>
      </c>
      <c r="C4575">
        <v>401190</v>
      </c>
      <c r="D4575" t="s">
        <v>176</v>
      </c>
      <c r="E4575">
        <v>50177</v>
      </c>
      <c r="F4575">
        <v>3725</v>
      </c>
      <c r="G4575">
        <v>1678</v>
      </c>
      <c r="H4575">
        <f>_xlfn.XLOOKUP(FACT_IMPORTS[[#This Row],[hts_6]],DIM_PRODUCTS[hts_6],DIM_PRODUCTS[hts_4],,,)</f>
        <v>4011</v>
      </c>
      <c r="I4575" t="str" cm="1">
        <f t="array" ref="I4575">_xlfn.XLOOKUP(FACT_IMPORTS[[#This Row],[country_name]],DIM_COUNTRY[[#All],[Column2]],DIM_COUNTRY[[#All],[Column3]],,,)</f>
        <v>China</v>
      </c>
    </row>
    <row r="4576" spans="1:9" x14ac:dyDescent="0.4">
      <c r="A4576" t="s">
        <v>66</v>
      </c>
      <c r="B4576" s="1">
        <v>45931</v>
      </c>
      <c r="C4576">
        <v>700711</v>
      </c>
      <c r="D4576" t="s">
        <v>176</v>
      </c>
      <c r="E4576">
        <v>253888</v>
      </c>
      <c r="F4576">
        <v>22731</v>
      </c>
      <c r="G4576">
        <v>60366</v>
      </c>
      <c r="H4576">
        <f>_xlfn.XLOOKUP(FACT_IMPORTS[[#This Row],[hts_6]],DIM_PRODUCTS[hts_6],DIM_PRODUCTS[hts_4],,,)</f>
        <v>7007</v>
      </c>
      <c r="I4576" t="str" cm="1">
        <f t="array" ref="I4576">_xlfn.XLOOKUP(FACT_IMPORTS[[#This Row],[country_name]],DIM_COUNTRY[[#All],[Column2]],DIM_COUNTRY[[#All],[Column3]],,,)</f>
        <v>China</v>
      </c>
    </row>
    <row r="4577" spans="1:9" x14ac:dyDescent="0.4">
      <c r="A4577" t="s">
        <v>66</v>
      </c>
      <c r="B4577" s="1">
        <v>45931</v>
      </c>
      <c r="C4577">
        <v>700721</v>
      </c>
      <c r="D4577" t="s">
        <v>176</v>
      </c>
      <c r="E4577">
        <v>22775</v>
      </c>
      <c r="F4577">
        <v>669</v>
      </c>
      <c r="G4577">
        <v>593</v>
      </c>
      <c r="H4577">
        <f>_xlfn.XLOOKUP(FACT_IMPORTS[[#This Row],[hts_6]],DIM_PRODUCTS[hts_6],DIM_PRODUCTS[hts_4],,,)</f>
        <v>7007</v>
      </c>
      <c r="I4577" t="str" cm="1">
        <f t="array" ref="I4577">_xlfn.XLOOKUP(FACT_IMPORTS[[#This Row],[country_name]],DIM_COUNTRY[[#All],[Column2]],DIM_COUNTRY[[#All],[Column3]],,,)</f>
        <v>China</v>
      </c>
    </row>
    <row r="4578" spans="1:9" x14ac:dyDescent="0.4">
      <c r="A4578" t="s">
        <v>66</v>
      </c>
      <c r="B4578" s="1">
        <v>45931</v>
      </c>
      <c r="C4578">
        <v>700910</v>
      </c>
      <c r="D4578" t="s">
        <v>176</v>
      </c>
      <c r="E4578">
        <v>337033</v>
      </c>
      <c r="F4578">
        <v>267778</v>
      </c>
      <c r="G4578">
        <v>21956</v>
      </c>
      <c r="H4578">
        <f>_xlfn.XLOOKUP(FACT_IMPORTS[[#This Row],[hts_6]],DIM_PRODUCTS[hts_6],DIM_PRODUCTS[hts_4],,,)</f>
        <v>7009</v>
      </c>
      <c r="I4578" t="str" cm="1">
        <f t="array" ref="I4578">_xlfn.XLOOKUP(FACT_IMPORTS[[#This Row],[country_name]],DIM_COUNTRY[[#All],[Column2]],DIM_COUNTRY[[#All],[Column3]],,,)</f>
        <v>China</v>
      </c>
    </row>
    <row r="4579" spans="1:9" x14ac:dyDescent="0.4">
      <c r="A4579" t="s">
        <v>66</v>
      </c>
      <c r="B4579" s="1">
        <v>45931</v>
      </c>
      <c r="C4579">
        <v>732010</v>
      </c>
      <c r="D4579" t="s">
        <v>176</v>
      </c>
      <c r="E4579">
        <v>0</v>
      </c>
      <c r="F4579">
        <v>0</v>
      </c>
      <c r="G4579">
        <v>0</v>
      </c>
      <c r="H4579">
        <f>_xlfn.XLOOKUP(FACT_IMPORTS[[#This Row],[hts_6]],DIM_PRODUCTS[hts_6],DIM_PRODUCTS[hts_4],,,)</f>
        <v>7320</v>
      </c>
      <c r="I4579" t="str" cm="1">
        <f t="array" ref="I4579">_xlfn.XLOOKUP(FACT_IMPORTS[[#This Row],[country_name]],DIM_COUNTRY[[#All],[Column2]],DIM_COUNTRY[[#All],[Column3]],,,)</f>
        <v>China</v>
      </c>
    </row>
    <row r="4580" spans="1:9" x14ac:dyDescent="0.4">
      <c r="A4580" t="s">
        <v>66</v>
      </c>
      <c r="B4580" s="1">
        <v>45931</v>
      </c>
      <c r="C4580">
        <v>830230</v>
      </c>
      <c r="D4580" t="s">
        <v>176</v>
      </c>
      <c r="E4580">
        <v>3054828</v>
      </c>
      <c r="F4580">
        <v>1035553</v>
      </c>
      <c r="G4580">
        <v>146587</v>
      </c>
      <c r="H4580">
        <f>_xlfn.XLOOKUP(FACT_IMPORTS[[#This Row],[hts_6]],DIM_PRODUCTS[hts_6],DIM_PRODUCTS[hts_4],,,)</f>
        <v>8302</v>
      </c>
      <c r="I4580" t="str" cm="1">
        <f t="array" ref="I4580">_xlfn.XLOOKUP(FACT_IMPORTS[[#This Row],[country_name]],DIM_COUNTRY[[#All],[Column2]],DIM_COUNTRY[[#All],[Column3]],,,)</f>
        <v>China</v>
      </c>
    </row>
    <row r="4581" spans="1:9" x14ac:dyDescent="0.4">
      <c r="A4581" t="s">
        <v>66</v>
      </c>
      <c r="B4581" s="1">
        <v>45931</v>
      </c>
      <c r="C4581">
        <v>840733</v>
      </c>
      <c r="D4581" t="s">
        <v>176</v>
      </c>
      <c r="E4581">
        <v>0</v>
      </c>
      <c r="F4581">
        <v>0</v>
      </c>
      <c r="G4581">
        <v>0</v>
      </c>
      <c r="H4581">
        <f>_xlfn.XLOOKUP(FACT_IMPORTS[[#This Row],[hts_6]],DIM_PRODUCTS[hts_6],DIM_PRODUCTS[hts_4],,,)</f>
        <v>8407</v>
      </c>
      <c r="I4581" t="str" cm="1">
        <f t="array" ref="I4581">_xlfn.XLOOKUP(FACT_IMPORTS[[#This Row],[country_name]],DIM_COUNTRY[[#All],[Column2]],DIM_COUNTRY[[#All],[Column3]],,,)</f>
        <v>China</v>
      </c>
    </row>
    <row r="4582" spans="1:9" x14ac:dyDescent="0.4">
      <c r="A4582" t="s">
        <v>66</v>
      </c>
      <c r="B4582" s="1">
        <v>45931</v>
      </c>
      <c r="C4582">
        <v>840734</v>
      </c>
      <c r="D4582" t="s">
        <v>176</v>
      </c>
      <c r="E4582">
        <v>1471360</v>
      </c>
      <c r="F4582">
        <v>960</v>
      </c>
      <c r="G4582">
        <v>147136</v>
      </c>
      <c r="H4582">
        <f>_xlfn.XLOOKUP(FACT_IMPORTS[[#This Row],[hts_6]],DIM_PRODUCTS[hts_6],DIM_PRODUCTS[hts_4],,,)</f>
        <v>8407</v>
      </c>
      <c r="I4582" t="str" cm="1">
        <f t="array" ref="I4582">_xlfn.XLOOKUP(FACT_IMPORTS[[#This Row],[country_name]],DIM_COUNTRY[[#All],[Column2]],DIM_COUNTRY[[#All],[Column3]],,,)</f>
        <v>China</v>
      </c>
    </row>
    <row r="4583" spans="1:9" x14ac:dyDescent="0.4">
      <c r="A4583" t="s">
        <v>66</v>
      </c>
      <c r="B4583" s="1">
        <v>45931</v>
      </c>
      <c r="C4583">
        <v>840790</v>
      </c>
      <c r="D4583" t="s">
        <v>176</v>
      </c>
      <c r="E4583">
        <v>0</v>
      </c>
      <c r="F4583">
        <v>0</v>
      </c>
      <c r="G4583">
        <v>0</v>
      </c>
      <c r="H4583">
        <f>_xlfn.XLOOKUP(FACT_IMPORTS[[#This Row],[hts_6]],DIM_PRODUCTS[hts_6],DIM_PRODUCTS[hts_4],,,)</f>
        <v>8407</v>
      </c>
      <c r="I4583" t="str" cm="1">
        <f t="array" ref="I4583">_xlfn.XLOOKUP(FACT_IMPORTS[[#This Row],[country_name]],DIM_COUNTRY[[#All],[Column2]],DIM_COUNTRY[[#All],[Column3]],,,)</f>
        <v>China</v>
      </c>
    </row>
    <row r="4584" spans="1:9" x14ac:dyDescent="0.4">
      <c r="A4584" t="s">
        <v>66</v>
      </c>
      <c r="B4584" s="1">
        <v>45931</v>
      </c>
      <c r="C4584">
        <v>840820</v>
      </c>
      <c r="D4584" t="s">
        <v>176</v>
      </c>
      <c r="E4584">
        <v>0</v>
      </c>
      <c r="F4584">
        <v>0</v>
      </c>
      <c r="G4584">
        <v>0</v>
      </c>
      <c r="H4584">
        <f>_xlfn.XLOOKUP(FACT_IMPORTS[[#This Row],[hts_6]],DIM_PRODUCTS[hts_6],DIM_PRODUCTS[hts_4],,,)</f>
        <v>8408</v>
      </c>
      <c r="I4584" t="str" cm="1">
        <f t="array" ref="I4584">_xlfn.XLOOKUP(FACT_IMPORTS[[#This Row],[country_name]],DIM_COUNTRY[[#All],[Column2]],DIM_COUNTRY[[#All],[Column3]],,,)</f>
        <v>China</v>
      </c>
    </row>
    <row r="4585" spans="1:9" x14ac:dyDescent="0.4">
      <c r="A4585" t="s">
        <v>66</v>
      </c>
      <c r="B4585" s="1">
        <v>45931</v>
      </c>
      <c r="C4585">
        <v>840890</v>
      </c>
      <c r="D4585" t="s">
        <v>176</v>
      </c>
      <c r="E4585">
        <v>0</v>
      </c>
      <c r="F4585">
        <v>0</v>
      </c>
      <c r="G4585">
        <v>0</v>
      </c>
      <c r="H4585">
        <f>_xlfn.XLOOKUP(FACT_IMPORTS[[#This Row],[hts_6]],DIM_PRODUCTS[hts_6],DIM_PRODUCTS[hts_4],,,)</f>
        <v>8408</v>
      </c>
      <c r="I4585" t="str" cm="1">
        <f t="array" ref="I4585">_xlfn.XLOOKUP(FACT_IMPORTS[[#This Row],[country_name]],DIM_COUNTRY[[#All],[Column2]],DIM_COUNTRY[[#All],[Column3]],,,)</f>
        <v>China</v>
      </c>
    </row>
    <row r="4586" spans="1:9" x14ac:dyDescent="0.4">
      <c r="A4586" t="s">
        <v>66</v>
      </c>
      <c r="B4586" s="1">
        <v>45931</v>
      </c>
      <c r="C4586">
        <v>840991</v>
      </c>
      <c r="D4586" t="s">
        <v>176</v>
      </c>
      <c r="E4586">
        <v>8581702</v>
      </c>
      <c r="F4586">
        <v>2901845</v>
      </c>
      <c r="G4586">
        <v>1149829</v>
      </c>
      <c r="H4586">
        <f>_xlfn.XLOOKUP(FACT_IMPORTS[[#This Row],[hts_6]],DIM_PRODUCTS[hts_6],DIM_PRODUCTS[hts_4],,,)</f>
        <v>8409</v>
      </c>
      <c r="I4586" t="str" cm="1">
        <f t="array" ref="I4586">_xlfn.XLOOKUP(FACT_IMPORTS[[#This Row],[country_name]],DIM_COUNTRY[[#All],[Column2]],DIM_COUNTRY[[#All],[Column3]],,,)</f>
        <v>China</v>
      </c>
    </row>
    <row r="4587" spans="1:9" x14ac:dyDescent="0.4">
      <c r="A4587" t="s">
        <v>66</v>
      </c>
      <c r="B4587" s="1">
        <v>45931</v>
      </c>
      <c r="C4587">
        <v>840999</v>
      </c>
      <c r="D4587" t="s">
        <v>176</v>
      </c>
      <c r="E4587">
        <v>3788702</v>
      </c>
      <c r="F4587">
        <v>521457</v>
      </c>
      <c r="G4587">
        <v>79171</v>
      </c>
      <c r="H4587">
        <f>_xlfn.XLOOKUP(FACT_IMPORTS[[#This Row],[hts_6]],DIM_PRODUCTS[hts_6],DIM_PRODUCTS[hts_4],,,)</f>
        <v>8409</v>
      </c>
      <c r="I4587" t="str" cm="1">
        <f t="array" ref="I4587">_xlfn.XLOOKUP(FACT_IMPORTS[[#This Row],[country_name]],DIM_COUNTRY[[#All],[Column2]],DIM_COUNTRY[[#All],[Column3]],,,)</f>
        <v>China</v>
      </c>
    </row>
    <row r="4588" spans="1:9" x14ac:dyDescent="0.4">
      <c r="A4588" t="s">
        <v>66</v>
      </c>
      <c r="B4588" s="1">
        <v>45931</v>
      </c>
      <c r="C4588">
        <v>841330</v>
      </c>
      <c r="D4588" t="s">
        <v>176</v>
      </c>
      <c r="E4588">
        <v>320760</v>
      </c>
      <c r="F4588">
        <v>22688</v>
      </c>
      <c r="G4588">
        <v>13782</v>
      </c>
      <c r="H4588">
        <f>_xlfn.XLOOKUP(FACT_IMPORTS[[#This Row],[hts_6]],DIM_PRODUCTS[hts_6],DIM_PRODUCTS[hts_4],,,)</f>
        <v>8413</v>
      </c>
      <c r="I4588" t="str" cm="1">
        <f t="array" ref="I4588">_xlfn.XLOOKUP(FACT_IMPORTS[[#This Row],[country_name]],DIM_COUNTRY[[#All],[Column2]],DIM_COUNTRY[[#All],[Column3]],,,)</f>
        <v>China</v>
      </c>
    </row>
    <row r="4589" spans="1:9" x14ac:dyDescent="0.4">
      <c r="A4589" t="s">
        <v>66</v>
      </c>
      <c r="B4589" s="1">
        <v>45931</v>
      </c>
      <c r="C4589">
        <v>841520</v>
      </c>
      <c r="D4589" t="s">
        <v>176</v>
      </c>
      <c r="E4589">
        <v>39037</v>
      </c>
      <c r="F4589">
        <v>42</v>
      </c>
      <c r="G4589">
        <v>159</v>
      </c>
      <c r="H4589">
        <f>_xlfn.XLOOKUP(FACT_IMPORTS[[#This Row],[hts_6]],DIM_PRODUCTS[hts_6],DIM_PRODUCTS[hts_4],,,)</f>
        <v>8415</v>
      </c>
      <c r="I4589" t="str" cm="1">
        <f t="array" ref="I4589">_xlfn.XLOOKUP(FACT_IMPORTS[[#This Row],[country_name]],DIM_COUNTRY[[#All],[Column2]],DIM_COUNTRY[[#All],[Column3]],,,)</f>
        <v>China</v>
      </c>
    </row>
    <row r="4590" spans="1:9" x14ac:dyDescent="0.4">
      <c r="A4590" t="s">
        <v>66</v>
      </c>
      <c r="B4590" s="1">
        <v>45931</v>
      </c>
      <c r="C4590">
        <v>842132</v>
      </c>
      <c r="D4590" t="s">
        <v>176</v>
      </c>
      <c r="E4590">
        <v>0</v>
      </c>
      <c r="F4590">
        <v>0</v>
      </c>
      <c r="G4590">
        <v>0</v>
      </c>
      <c r="H4590">
        <f>_xlfn.XLOOKUP(FACT_IMPORTS[[#This Row],[hts_6]],DIM_PRODUCTS[hts_6],DIM_PRODUCTS[hts_4],,,)</f>
        <v>8421</v>
      </c>
      <c r="I4590" t="str" cm="1">
        <f t="array" ref="I4590">_xlfn.XLOOKUP(FACT_IMPORTS[[#This Row],[country_name]],DIM_COUNTRY[[#All],[Column2]],DIM_COUNTRY[[#All],[Column3]],,,)</f>
        <v>China</v>
      </c>
    </row>
    <row r="4591" spans="1:9" x14ac:dyDescent="0.4">
      <c r="A4591" t="s">
        <v>66</v>
      </c>
      <c r="B4591" s="1">
        <v>45931</v>
      </c>
      <c r="C4591">
        <v>848210</v>
      </c>
      <c r="D4591" t="s">
        <v>176</v>
      </c>
      <c r="E4591">
        <v>579699</v>
      </c>
      <c r="F4591">
        <v>492895</v>
      </c>
      <c r="G4591">
        <v>19451</v>
      </c>
      <c r="H4591">
        <f>_xlfn.XLOOKUP(FACT_IMPORTS[[#This Row],[hts_6]],DIM_PRODUCTS[hts_6],DIM_PRODUCTS[hts_4],,,)</f>
        <v>8482</v>
      </c>
      <c r="I4591" t="str" cm="1">
        <f t="array" ref="I4591">_xlfn.XLOOKUP(FACT_IMPORTS[[#This Row],[country_name]],DIM_COUNTRY[[#All],[Column2]],DIM_COUNTRY[[#All],[Column3]],,,)</f>
        <v>China</v>
      </c>
    </row>
    <row r="4592" spans="1:9" x14ac:dyDescent="0.4">
      <c r="A4592" t="s">
        <v>66</v>
      </c>
      <c r="B4592" s="1">
        <v>45931</v>
      </c>
      <c r="C4592">
        <v>848220</v>
      </c>
      <c r="D4592" t="s">
        <v>176</v>
      </c>
      <c r="E4592">
        <v>112910</v>
      </c>
      <c r="F4592">
        <v>115300</v>
      </c>
      <c r="G4592">
        <v>6990</v>
      </c>
      <c r="H4592">
        <f>_xlfn.XLOOKUP(FACT_IMPORTS[[#This Row],[hts_6]],DIM_PRODUCTS[hts_6],DIM_PRODUCTS[hts_4],,,)</f>
        <v>8482</v>
      </c>
      <c r="I4592" t="str" cm="1">
        <f t="array" ref="I4592">_xlfn.XLOOKUP(FACT_IMPORTS[[#This Row],[country_name]],DIM_COUNTRY[[#All],[Column2]],DIM_COUNTRY[[#All],[Column3]],,,)</f>
        <v>China</v>
      </c>
    </row>
    <row r="4593" spans="1:9" x14ac:dyDescent="0.4">
      <c r="A4593" t="s">
        <v>66</v>
      </c>
      <c r="B4593" s="1">
        <v>45931</v>
      </c>
      <c r="C4593">
        <v>848310</v>
      </c>
      <c r="D4593" t="s">
        <v>176</v>
      </c>
      <c r="E4593">
        <v>2370185</v>
      </c>
      <c r="F4593">
        <v>477666</v>
      </c>
      <c r="G4593">
        <v>134796</v>
      </c>
      <c r="H4593">
        <f>_xlfn.XLOOKUP(FACT_IMPORTS[[#This Row],[hts_6]],DIM_PRODUCTS[hts_6],DIM_PRODUCTS[hts_4],,,)</f>
        <v>8483</v>
      </c>
      <c r="I4593" t="str" cm="1">
        <f t="array" ref="I4593">_xlfn.XLOOKUP(FACT_IMPORTS[[#This Row],[country_name]],DIM_COUNTRY[[#All],[Column2]],DIM_COUNTRY[[#All],[Column3]],,,)</f>
        <v>China</v>
      </c>
    </row>
    <row r="4594" spans="1:9" x14ac:dyDescent="0.4">
      <c r="A4594" t="s">
        <v>66</v>
      </c>
      <c r="B4594" s="1">
        <v>45931</v>
      </c>
      <c r="C4594">
        <v>850131</v>
      </c>
      <c r="D4594" t="s">
        <v>176</v>
      </c>
      <c r="E4594">
        <v>2029910</v>
      </c>
      <c r="F4594">
        <v>335926</v>
      </c>
      <c r="G4594">
        <v>93773</v>
      </c>
      <c r="H4594">
        <f>_xlfn.XLOOKUP(FACT_IMPORTS[[#This Row],[hts_6]],DIM_PRODUCTS[hts_6],DIM_PRODUCTS[hts_4],,,)</f>
        <v>8501</v>
      </c>
      <c r="I4594" t="str" cm="1">
        <f t="array" ref="I4594">_xlfn.XLOOKUP(FACT_IMPORTS[[#This Row],[country_name]],DIM_COUNTRY[[#All],[Column2]],DIM_COUNTRY[[#All],[Column3]],,,)</f>
        <v>China</v>
      </c>
    </row>
    <row r="4595" spans="1:9" x14ac:dyDescent="0.4">
      <c r="A4595" t="s">
        <v>66</v>
      </c>
      <c r="B4595" s="1">
        <v>45931</v>
      </c>
      <c r="C4595">
        <v>850132</v>
      </c>
      <c r="D4595" t="s">
        <v>176</v>
      </c>
      <c r="E4595">
        <v>0</v>
      </c>
      <c r="F4595">
        <v>0</v>
      </c>
      <c r="G4595">
        <v>0</v>
      </c>
      <c r="H4595">
        <f>_xlfn.XLOOKUP(FACT_IMPORTS[[#This Row],[hts_6]],DIM_PRODUCTS[hts_6],DIM_PRODUCTS[hts_4],,,)</f>
        <v>8501</v>
      </c>
      <c r="I4595" t="str" cm="1">
        <f t="array" ref="I4595">_xlfn.XLOOKUP(FACT_IMPORTS[[#This Row],[country_name]],DIM_COUNTRY[[#All],[Column2]],DIM_COUNTRY[[#All],[Column3]],,,)</f>
        <v>China</v>
      </c>
    </row>
    <row r="4596" spans="1:9" x14ac:dyDescent="0.4">
      <c r="A4596" t="s">
        <v>66</v>
      </c>
      <c r="B4596" s="1">
        <v>45931</v>
      </c>
      <c r="C4596">
        <v>850133</v>
      </c>
      <c r="D4596" t="s">
        <v>176</v>
      </c>
      <c r="E4596">
        <v>0</v>
      </c>
      <c r="F4596">
        <v>0</v>
      </c>
      <c r="G4596">
        <v>0</v>
      </c>
      <c r="H4596">
        <f>_xlfn.XLOOKUP(FACT_IMPORTS[[#This Row],[hts_6]],DIM_PRODUCTS[hts_6],DIM_PRODUCTS[hts_4],,,)</f>
        <v>8501</v>
      </c>
      <c r="I4596" t="str" cm="1">
        <f t="array" ref="I4596">_xlfn.XLOOKUP(FACT_IMPORTS[[#This Row],[country_name]],DIM_COUNTRY[[#All],[Column2]],DIM_COUNTRY[[#All],[Column3]],,,)</f>
        <v>China</v>
      </c>
    </row>
    <row r="4597" spans="1:9" x14ac:dyDescent="0.4">
      <c r="A4597" t="s">
        <v>66</v>
      </c>
      <c r="B4597" s="1">
        <v>45931</v>
      </c>
      <c r="C4597">
        <v>850152</v>
      </c>
      <c r="D4597" t="s">
        <v>176</v>
      </c>
      <c r="E4597">
        <v>286859</v>
      </c>
      <c r="F4597">
        <v>340</v>
      </c>
      <c r="G4597">
        <v>6511</v>
      </c>
      <c r="H4597">
        <f>_xlfn.XLOOKUP(FACT_IMPORTS[[#This Row],[hts_6]],DIM_PRODUCTS[hts_6],DIM_PRODUCTS[hts_4],,,)</f>
        <v>8501</v>
      </c>
      <c r="I4597" t="str" cm="1">
        <f t="array" ref="I4597">_xlfn.XLOOKUP(FACT_IMPORTS[[#This Row],[country_name]],DIM_COUNTRY[[#All],[Column2]],DIM_COUNTRY[[#All],[Column3]],,,)</f>
        <v>China</v>
      </c>
    </row>
    <row r="4598" spans="1:9" x14ac:dyDescent="0.4">
      <c r="A4598" t="s">
        <v>66</v>
      </c>
      <c r="B4598" s="1">
        <v>45931</v>
      </c>
      <c r="C4598">
        <v>850153</v>
      </c>
      <c r="D4598" t="s">
        <v>176</v>
      </c>
      <c r="E4598">
        <v>0</v>
      </c>
      <c r="F4598">
        <v>0</v>
      </c>
      <c r="G4598">
        <v>0</v>
      </c>
      <c r="H4598">
        <f>_xlfn.XLOOKUP(FACT_IMPORTS[[#This Row],[hts_6]],DIM_PRODUCTS[hts_6],DIM_PRODUCTS[hts_4],,,)</f>
        <v>8501</v>
      </c>
      <c r="I4598" t="str" cm="1">
        <f t="array" ref="I4598">_xlfn.XLOOKUP(FACT_IMPORTS[[#This Row],[country_name]],DIM_COUNTRY[[#All],[Column2]],DIM_COUNTRY[[#All],[Column3]],,,)</f>
        <v>China</v>
      </c>
    </row>
    <row r="4599" spans="1:9" x14ac:dyDescent="0.4">
      <c r="A4599" t="s">
        <v>66</v>
      </c>
      <c r="B4599" s="1">
        <v>45931</v>
      </c>
      <c r="C4599">
        <v>850161</v>
      </c>
      <c r="D4599" t="s">
        <v>176</v>
      </c>
      <c r="E4599">
        <v>0</v>
      </c>
      <c r="F4599">
        <v>0</v>
      </c>
      <c r="G4599">
        <v>0</v>
      </c>
      <c r="H4599">
        <f>_xlfn.XLOOKUP(FACT_IMPORTS[[#This Row],[hts_6]],DIM_PRODUCTS[hts_6],DIM_PRODUCTS[hts_4],,,)</f>
        <v>8501</v>
      </c>
      <c r="I4599" t="str" cm="1">
        <f t="array" ref="I4599">_xlfn.XLOOKUP(FACT_IMPORTS[[#This Row],[country_name]],DIM_COUNTRY[[#All],[Column2]],DIM_COUNTRY[[#All],[Column3]],,,)</f>
        <v>China</v>
      </c>
    </row>
    <row r="4600" spans="1:9" x14ac:dyDescent="0.4">
      <c r="A4600" t="s">
        <v>66</v>
      </c>
      <c r="B4600" s="1">
        <v>45931</v>
      </c>
      <c r="C4600">
        <v>850440</v>
      </c>
      <c r="D4600" t="s">
        <v>176</v>
      </c>
      <c r="E4600">
        <v>1031319</v>
      </c>
      <c r="F4600">
        <v>32412</v>
      </c>
      <c r="G4600">
        <v>26551</v>
      </c>
      <c r="H4600">
        <f>_xlfn.XLOOKUP(FACT_IMPORTS[[#This Row],[hts_6]],DIM_PRODUCTS[hts_6],DIM_PRODUCTS[hts_4],,,)</f>
        <v>8504</v>
      </c>
      <c r="I4600" t="str" cm="1">
        <f t="array" ref="I4600">_xlfn.XLOOKUP(FACT_IMPORTS[[#This Row],[country_name]],DIM_COUNTRY[[#All],[Column2]],DIM_COUNTRY[[#All],[Column3]],,,)</f>
        <v>China</v>
      </c>
    </row>
    <row r="4601" spans="1:9" x14ac:dyDescent="0.4">
      <c r="A4601" t="s">
        <v>66</v>
      </c>
      <c r="B4601" s="1">
        <v>45931</v>
      </c>
      <c r="C4601">
        <v>850710</v>
      </c>
      <c r="D4601" t="s">
        <v>176</v>
      </c>
      <c r="E4601">
        <v>40553</v>
      </c>
      <c r="F4601">
        <v>629</v>
      </c>
      <c r="G4601">
        <v>1119</v>
      </c>
      <c r="H4601">
        <f>_xlfn.XLOOKUP(FACT_IMPORTS[[#This Row],[hts_6]],DIM_PRODUCTS[hts_6],DIM_PRODUCTS[hts_4],,,)</f>
        <v>8507</v>
      </c>
      <c r="I4601" t="str" cm="1">
        <f t="array" ref="I4601">_xlfn.XLOOKUP(FACT_IMPORTS[[#This Row],[country_name]],DIM_COUNTRY[[#All],[Column2]],DIM_COUNTRY[[#All],[Column3]],,,)</f>
        <v>China</v>
      </c>
    </row>
    <row r="4602" spans="1:9" x14ac:dyDescent="0.4">
      <c r="A4602" t="s">
        <v>66</v>
      </c>
      <c r="B4602" s="1">
        <v>45931</v>
      </c>
      <c r="C4602">
        <v>850760</v>
      </c>
      <c r="D4602" t="s">
        <v>176</v>
      </c>
      <c r="E4602">
        <v>1393260</v>
      </c>
      <c r="F4602">
        <v>11765</v>
      </c>
      <c r="G4602">
        <v>23878</v>
      </c>
      <c r="H4602">
        <f>_xlfn.XLOOKUP(FACT_IMPORTS[[#This Row],[hts_6]],DIM_PRODUCTS[hts_6],DIM_PRODUCTS[hts_4],,,)</f>
        <v>8507</v>
      </c>
      <c r="I4602" t="str" cm="1">
        <f t="array" ref="I4602">_xlfn.XLOOKUP(FACT_IMPORTS[[#This Row],[country_name]],DIM_COUNTRY[[#All],[Column2]],DIM_COUNTRY[[#All],[Column3]],,,)</f>
        <v>China</v>
      </c>
    </row>
    <row r="4603" spans="1:9" x14ac:dyDescent="0.4">
      <c r="A4603" t="s">
        <v>66</v>
      </c>
      <c r="B4603" s="1">
        <v>45931</v>
      </c>
      <c r="C4603">
        <v>850790</v>
      </c>
      <c r="D4603" t="s">
        <v>176</v>
      </c>
      <c r="E4603">
        <v>10497</v>
      </c>
      <c r="F4603">
        <v>50</v>
      </c>
      <c r="G4603">
        <v>1500</v>
      </c>
      <c r="H4603">
        <f>_xlfn.XLOOKUP(FACT_IMPORTS[[#This Row],[hts_6]],DIM_PRODUCTS[hts_6],DIM_PRODUCTS[hts_4],,,)</f>
        <v>8507</v>
      </c>
      <c r="I4603" t="str" cm="1">
        <f t="array" ref="I4603">_xlfn.XLOOKUP(FACT_IMPORTS[[#This Row],[country_name]],DIM_COUNTRY[[#All],[Column2]],DIM_COUNTRY[[#All],[Column3]],,,)</f>
        <v>China</v>
      </c>
    </row>
    <row r="4604" spans="1:9" x14ac:dyDescent="0.4">
      <c r="A4604" t="s">
        <v>66</v>
      </c>
      <c r="B4604" s="1">
        <v>45931</v>
      </c>
      <c r="C4604">
        <v>851110</v>
      </c>
      <c r="D4604" t="s">
        <v>176</v>
      </c>
      <c r="E4604">
        <v>53007</v>
      </c>
      <c r="F4604">
        <v>1559</v>
      </c>
      <c r="G4604">
        <v>3275</v>
      </c>
      <c r="H4604">
        <f>_xlfn.XLOOKUP(FACT_IMPORTS[[#This Row],[hts_6]],DIM_PRODUCTS[hts_6],DIM_PRODUCTS[hts_4],,,)</f>
        <v>8511</v>
      </c>
      <c r="I4604" t="str" cm="1">
        <f t="array" ref="I4604">_xlfn.XLOOKUP(FACT_IMPORTS[[#This Row],[country_name]],DIM_COUNTRY[[#All],[Column2]],DIM_COUNTRY[[#All],[Column3]],,,)</f>
        <v>China</v>
      </c>
    </row>
    <row r="4605" spans="1:9" x14ac:dyDescent="0.4">
      <c r="A4605" t="s">
        <v>66</v>
      </c>
      <c r="B4605" s="1">
        <v>45931</v>
      </c>
      <c r="C4605">
        <v>851120</v>
      </c>
      <c r="D4605" t="s">
        <v>176</v>
      </c>
      <c r="E4605">
        <v>0</v>
      </c>
      <c r="F4605">
        <v>0</v>
      </c>
      <c r="G4605">
        <v>0</v>
      </c>
      <c r="H4605">
        <f>_xlfn.XLOOKUP(FACT_IMPORTS[[#This Row],[hts_6]],DIM_PRODUCTS[hts_6],DIM_PRODUCTS[hts_4],,,)</f>
        <v>8511</v>
      </c>
      <c r="I4605" t="str" cm="1">
        <f t="array" ref="I4605">_xlfn.XLOOKUP(FACT_IMPORTS[[#This Row],[country_name]],DIM_COUNTRY[[#All],[Column2]],DIM_COUNTRY[[#All],[Column3]],,,)</f>
        <v>China</v>
      </c>
    </row>
    <row r="4606" spans="1:9" x14ac:dyDescent="0.4">
      <c r="A4606" t="s">
        <v>66</v>
      </c>
      <c r="B4606" s="1">
        <v>45931</v>
      </c>
      <c r="C4606">
        <v>851130</v>
      </c>
      <c r="D4606" t="s">
        <v>176</v>
      </c>
      <c r="E4606">
        <v>62325</v>
      </c>
      <c r="F4606">
        <v>2950</v>
      </c>
      <c r="G4606">
        <v>3547</v>
      </c>
      <c r="H4606">
        <f>_xlfn.XLOOKUP(FACT_IMPORTS[[#This Row],[hts_6]],DIM_PRODUCTS[hts_6],DIM_PRODUCTS[hts_4],,,)</f>
        <v>8511</v>
      </c>
      <c r="I4606" t="str" cm="1">
        <f t="array" ref="I4606">_xlfn.XLOOKUP(FACT_IMPORTS[[#This Row],[country_name]],DIM_COUNTRY[[#All],[Column2]],DIM_COUNTRY[[#All],[Column3]],,,)</f>
        <v>China</v>
      </c>
    </row>
    <row r="4607" spans="1:9" x14ac:dyDescent="0.4">
      <c r="A4607" t="s">
        <v>66</v>
      </c>
      <c r="B4607" s="1">
        <v>45931</v>
      </c>
      <c r="C4607">
        <v>851140</v>
      </c>
      <c r="D4607" t="s">
        <v>176</v>
      </c>
      <c r="E4607">
        <v>218950</v>
      </c>
      <c r="F4607">
        <v>4425</v>
      </c>
      <c r="G4607">
        <v>4239</v>
      </c>
      <c r="H4607">
        <f>_xlfn.XLOOKUP(FACT_IMPORTS[[#This Row],[hts_6]],DIM_PRODUCTS[hts_6],DIM_PRODUCTS[hts_4],,,)</f>
        <v>8511</v>
      </c>
      <c r="I4607" t="str" cm="1">
        <f t="array" ref="I4607">_xlfn.XLOOKUP(FACT_IMPORTS[[#This Row],[country_name]],DIM_COUNTRY[[#All],[Column2]],DIM_COUNTRY[[#All],[Column3]],,,)</f>
        <v>China</v>
      </c>
    </row>
    <row r="4608" spans="1:9" x14ac:dyDescent="0.4">
      <c r="A4608" t="s">
        <v>66</v>
      </c>
      <c r="B4608" s="1">
        <v>45931</v>
      </c>
      <c r="C4608">
        <v>851150</v>
      </c>
      <c r="D4608" t="s">
        <v>176</v>
      </c>
      <c r="E4608">
        <v>111212</v>
      </c>
      <c r="F4608">
        <v>1335</v>
      </c>
      <c r="G4608">
        <v>1601</v>
      </c>
      <c r="H4608">
        <f>_xlfn.XLOOKUP(FACT_IMPORTS[[#This Row],[hts_6]],DIM_PRODUCTS[hts_6],DIM_PRODUCTS[hts_4],,,)</f>
        <v>8511</v>
      </c>
      <c r="I4608" t="str" cm="1">
        <f t="array" ref="I4608">_xlfn.XLOOKUP(FACT_IMPORTS[[#This Row],[country_name]],DIM_COUNTRY[[#All],[Column2]],DIM_COUNTRY[[#All],[Column3]],,,)</f>
        <v>China</v>
      </c>
    </row>
    <row r="4609" spans="1:9" x14ac:dyDescent="0.4">
      <c r="A4609" t="s">
        <v>66</v>
      </c>
      <c r="B4609" s="1">
        <v>45931</v>
      </c>
      <c r="C4609">
        <v>851180</v>
      </c>
      <c r="D4609" t="s">
        <v>176</v>
      </c>
      <c r="E4609">
        <v>0</v>
      </c>
      <c r="F4609">
        <v>0</v>
      </c>
      <c r="G4609">
        <v>0</v>
      </c>
      <c r="H4609">
        <f>_xlfn.XLOOKUP(FACT_IMPORTS[[#This Row],[hts_6]],DIM_PRODUCTS[hts_6],DIM_PRODUCTS[hts_4],,,)</f>
        <v>8511</v>
      </c>
      <c r="I4609" t="str" cm="1">
        <f t="array" ref="I4609">_xlfn.XLOOKUP(FACT_IMPORTS[[#This Row],[country_name]],DIM_COUNTRY[[#All],[Column2]],DIM_COUNTRY[[#All],[Column3]],,,)</f>
        <v>China</v>
      </c>
    </row>
    <row r="4610" spans="1:9" x14ac:dyDescent="0.4">
      <c r="A4610" t="s">
        <v>66</v>
      </c>
      <c r="B4610" s="1">
        <v>45931</v>
      </c>
      <c r="C4610">
        <v>851190</v>
      </c>
      <c r="D4610" t="s">
        <v>176</v>
      </c>
      <c r="E4610">
        <v>13432</v>
      </c>
      <c r="F4610">
        <v>1344</v>
      </c>
      <c r="G4610">
        <v>660</v>
      </c>
      <c r="H4610">
        <f>_xlfn.XLOOKUP(FACT_IMPORTS[[#This Row],[hts_6]],DIM_PRODUCTS[hts_6],DIM_PRODUCTS[hts_4],,,)</f>
        <v>8511</v>
      </c>
      <c r="I4610" t="str" cm="1">
        <f t="array" ref="I4610">_xlfn.XLOOKUP(FACT_IMPORTS[[#This Row],[country_name]],DIM_COUNTRY[[#All],[Column2]],DIM_COUNTRY[[#All],[Column3]],,,)</f>
        <v>China</v>
      </c>
    </row>
    <row r="4611" spans="1:9" x14ac:dyDescent="0.4">
      <c r="A4611" t="s">
        <v>66</v>
      </c>
      <c r="B4611" s="1">
        <v>45931</v>
      </c>
      <c r="C4611">
        <v>851220</v>
      </c>
      <c r="D4611" t="s">
        <v>176</v>
      </c>
      <c r="E4611">
        <v>2461765</v>
      </c>
      <c r="F4611">
        <v>365629</v>
      </c>
      <c r="G4611">
        <v>88837</v>
      </c>
      <c r="H4611">
        <f>_xlfn.XLOOKUP(FACT_IMPORTS[[#This Row],[hts_6]],DIM_PRODUCTS[hts_6],DIM_PRODUCTS[hts_4],,,)</f>
        <v>8512</v>
      </c>
      <c r="I4611" t="str" cm="1">
        <f t="array" ref="I4611">_xlfn.XLOOKUP(FACT_IMPORTS[[#This Row],[country_name]],DIM_COUNTRY[[#All],[Column2]],DIM_COUNTRY[[#All],[Column3]],,,)</f>
        <v>China</v>
      </c>
    </row>
    <row r="4612" spans="1:9" x14ac:dyDescent="0.4">
      <c r="A4612" t="s">
        <v>66</v>
      </c>
      <c r="B4612" s="1">
        <v>45931</v>
      </c>
      <c r="C4612">
        <v>851230</v>
      </c>
      <c r="D4612" t="s">
        <v>176</v>
      </c>
      <c r="E4612">
        <v>21856</v>
      </c>
      <c r="F4612">
        <v>10174</v>
      </c>
      <c r="G4612">
        <v>2823</v>
      </c>
      <c r="H4612">
        <f>_xlfn.XLOOKUP(FACT_IMPORTS[[#This Row],[hts_6]],DIM_PRODUCTS[hts_6],DIM_PRODUCTS[hts_4],,,)</f>
        <v>8512</v>
      </c>
      <c r="I4612" t="str" cm="1">
        <f t="array" ref="I4612">_xlfn.XLOOKUP(FACT_IMPORTS[[#This Row],[country_name]],DIM_COUNTRY[[#All],[Column2]],DIM_COUNTRY[[#All],[Column3]],,,)</f>
        <v>China</v>
      </c>
    </row>
    <row r="4613" spans="1:9" x14ac:dyDescent="0.4">
      <c r="A4613" t="s">
        <v>66</v>
      </c>
      <c r="B4613" s="1">
        <v>45931</v>
      </c>
      <c r="C4613">
        <v>851240</v>
      </c>
      <c r="D4613" t="s">
        <v>176</v>
      </c>
      <c r="E4613">
        <v>176536</v>
      </c>
      <c r="F4613">
        <v>20864</v>
      </c>
      <c r="G4613">
        <v>127798</v>
      </c>
      <c r="H4613">
        <f>_xlfn.XLOOKUP(FACT_IMPORTS[[#This Row],[hts_6]],DIM_PRODUCTS[hts_6],DIM_PRODUCTS[hts_4],,,)</f>
        <v>8512</v>
      </c>
      <c r="I4613" t="str" cm="1">
        <f t="array" ref="I4613">_xlfn.XLOOKUP(FACT_IMPORTS[[#This Row],[country_name]],DIM_COUNTRY[[#All],[Column2]],DIM_COUNTRY[[#All],[Column3]],,,)</f>
        <v>China</v>
      </c>
    </row>
    <row r="4614" spans="1:9" x14ac:dyDescent="0.4">
      <c r="A4614" t="s">
        <v>66</v>
      </c>
      <c r="B4614" s="1">
        <v>45931</v>
      </c>
      <c r="C4614">
        <v>851290</v>
      </c>
      <c r="D4614" t="s">
        <v>176</v>
      </c>
      <c r="E4614">
        <v>386684</v>
      </c>
      <c r="F4614">
        <v>44155</v>
      </c>
      <c r="G4614">
        <v>10365</v>
      </c>
      <c r="H4614">
        <f>_xlfn.XLOOKUP(FACT_IMPORTS[[#This Row],[hts_6]],DIM_PRODUCTS[hts_6],DIM_PRODUCTS[hts_4],,,)</f>
        <v>8512</v>
      </c>
      <c r="I4614" t="str" cm="1">
        <f t="array" ref="I4614">_xlfn.XLOOKUP(FACT_IMPORTS[[#This Row],[country_name]],DIM_COUNTRY[[#All],[Column2]],DIM_COUNTRY[[#All],[Column3]],,,)</f>
        <v>China</v>
      </c>
    </row>
    <row r="4615" spans="1:9" x14ac:dyDescent="0.4">
      <c r="A4615" t="s">
        <v>66</v>
      </c>
      <c r="B4615" s="1">
        <v>45931</v>
      </c>
      <c r="C4615">
        <v>854231</v>
      </c>
      <c r="D4615" t="s">
        <v>176</v>
      </c>
      <c r="E4615">
        <v>7134</v>
      </c>
      <c r="F4615">
        <v>50</v>
      </c>
      <c r="G4615">
        <v>60</v>
      </c>
      <c r="H4615">
        <f>_xlfn.XLOOKUP(FACT_IMPORTS[[#This Row],[hts_6]],DIM_PRODUCTS[hts_6],DIM_PRODUCTS[hts_4],,,)</f>
        <v>8542</v>
      </c>
      <c r="I4615" t="str" cm="1">
        <f t="array" ref="I4615">_xlfn.XLOOKUP(FACT_IMPORTS[[#This Row],[country_name]],DIM_COUNTRY[[#All],[Column2]],DIM_COUNTRY[[#All],[Column3]],,,)</f>
        <v>China</v>
      </c>
    </row>
    <row r="4616" spans="1:9" x14ac:dyDescent="0.4">
      <c r="A4616" t="s">
        <v>66</v>
      </c>
      <c r="B4616" s="1">
        <v>45931</v>
      </c>
      <c r="C4616">
        <v>854232</v>
      </c>
      <c r="D4616" t="s">
        <v>176</v>
      </c>
      <c r="E4616">
        <v>65262</v>
      </c>
      <c r="F4616">
        <v>14800</v>
      </c>
      <c r="G4616">
        <v>5763</v>
      </c>
      <c r="H4616">
        <f>_xlfn.XLOOKUP(FACT_IMPORTS[[#This Row],[hts_6]],DIM_PRODUCTS[hts_6],DIM_PRODUCTS[hts_4],,,)</f>
        <v>8542</v>
      </c>
      <c r="I4616" t="str" cm="1">
        <f t="array" ref="I4616">_xlfn.XLOOKUP(FACT_IMPORTS[[#This Row],[country_name]],DIM_COUNTRY[[#All],[Column2]],DIM_COUNTRY[[#All],[Column3]],,,)</f>
        <v>China</v>
      </c>
    </row>
    <row r="4617" spans="1:9" x14ac:dyDescent="0.4">
      <c r="A4617" t="s">
        <v>66</v>
      </c>
      <c r="B4617" s="1">
        <v>45931</v>
      </c>
      <c r="C4617">
        <v>854233</v>
      </c>
      <c r="D4617" t="s">
        <v>176</v>
      </c>
      <c r="E4617">
        <v>0</v>
      </c>
      <c r="F4617">
        <v>0</v>
      </c>
      <c r="G4617">
        <v>0</v>
      </c>
      <c r="H4617">
        <f>_xlfn.XLOOKUP(FACT_IMPORTS[[#This Row],[hts_6]],DIM_PRODUCTS[hts_6],DIM_PRODUCTS[hts_4],,,)</f>
        <v>8542</v>
      </c>
      <c r="I4617" t="str" cm="1">
        <f t="array" ref="I4617">_xlfn.XLOOKUP(FACT_IMPORTS[[#This Row],[country_name]],DIM_COUNTRY[[#All],[Column2]],DIM_COUNTRY[[#All],[Column3]],,,)</f>
        <v>China</v>
      </c>
    </row>
    <row r="4618" spans="1:9" x14ac:dyDescent="0.4">
      <c r="A4618" t="s">
        <v>66</v>
      </c>
      <c r="B4618" s="1">
        <v>45931</v>
      </c>
      <c r="C4618">
        <v>854239</v>
      </c>
      <c r="D4618" t="s">
        <v>176</v>
      </c>
      <c r="E4618">
        <v>7218</v>
      </c>
      <c r="F4618">
        <v>33000</v>
      </c>
      <c r="G4618">
        <v>113</v>
      </c>
      <c r="H4618">
        <f>_xlfn.XLOOKUP(FACT_IMPORTS[[#This Row],[hts_6]],DIM_PRODUCTS[hts_6],DIM_PRODUCTS[hts_4],,,)</f>
        <v>8542</v>
      </c>
      <c r="I4618" t="str" cm="1">
        <f t="array" ref="I4618">_xlfn.XLOOKUP(FACT_IMPORTS[[#This Row],[country_name]],DIM_COUNTRY[[#All],[Column2]],DIM_COUNTRY[[#All],[Column3]],,,)</f>
        <v>China</v>
      </c>
    </row>
    <row r="4619" spans="1:9" x14ac:dyDescent="0.4">
      <c r="A4619" t="s">
        <v>66</v>
      </c>
      <c r="B4619" s="1">
        <v>45931</v>
      </c>
      <c r="C4619">
        <v>854290</v>
      </c>
      <c r="D4619" t="s">
        <v>176</v>
      </c>
      <c r="E4619">
        <v>7095</v>
      </c>
      <c r="F4619">
        <v>5</v>
      </c>
      <c r="G4619">
        <v>10</v>
      </c>
      <c r="H4619">
        <f>_xlfn.XLOOKUP(FACT_IMPORTS[[#This Row],[hts_6]],DIM_PRODUCTS[hts_6],DIM_PRODUCTS[hts_4],,,)</f>
        <v>8542</v>
      </c>
      <c r="I4619" t="str" cm="1">
        <f t="array" ref="I4619">_xlfn.XLOOKUP(FACT_IMPORTS[[#This Row],[country_name]],DIM_COUNTRY[[#All],[Column2]],DIM_COUNTRY[[#All],[Column3]],,,)</f>
        <v>China</v>
      </c>
    </row>
    <row r="4620" spans="1:9" x14ac:dyDescent="0.4">
      <c r="A4620" t="s">
        <v>66</v>
      </c>
      <c r="B4620" s="1">
        <v>45931</v>
      </c>
      <c r="C4620">
        <v>854430</v>
      </c>
      <c r="D4620" t="s">
        <v>176</v>
      </c>
      <c r="E4620">
        <v>574988</v>
      </c>
      <c r="F4620">
        <v>47123</v>
      </c>
      <c r="G4620">
        <v>6893</v>
      </c>
      <c r="H4620">
        <f>_xlfn.XLOOKUP(FACT_IMPORTS[[#This Row],[hts_6]],DIM_PRODUCTS[hts_6],DIM_PRODUCTS[hts_4],,,)</f>
        <v>8544</v>
      </c>
      <c r="I4620" t="str" cm="1">
        <f t="array" ref="I4620">_xlfn.XLOOKUP(FACT_IMPORTS[[#This Row],[country_name]],DIM_COUNTRY[[#All],[Column2]],DIM_COUNTRY[[#All],[Column3]],,,)</f>
        <v>China</v>
      </c>
    </row>
    <row r="4621" spans="1:9" x14ac:dyDescent="0.4">
      <c r="A4621" t="s">
        <v>66</v>
      </c>
      <c r="B4621" s="1">
        <v>45931</v>
      </c>
      <c r="C4621">
        <v>870790</v>
      </c>
      <c r="D4621" t="s">
        <v>176</v>
      </c>
      <c r="E4621">
        <v>0</v>
      </c>
      <c r="F4621">
        <v>0</v>
      </c>
      <c r="G4621">
        <v>0</v>
      </c>
      <c r="H4621">
        <f>_xlfn.XLOOKUP(FACT_IMPORTS[[#This Row],[hts_6]],DIM_PRODUCTS[hts_6],DIM_PRODUCTS[hts_4],,,)</f>
        <v>8707</v>
      </c>
      <c r="I4621" t="str" cm="1">
        <f t="array" ref="I4621">_xlfn.XLOOKUP(FACT_IMPORTS[[#This Row],[country_name]],DIM_COUNTRY[[#All],[Column2]],DIM_COUNTRY[[#All],[Column3]],,,)</f>
        <v>China</v>
      </c>
    </row>
    <row r="4622" spans="1:9" x14ac:dyDescent="0.4">
      <c r="A4622" t="s">
        <v>66</v>
      </c>
      <c r="B4622" s="1">
        <v>45931</v>
      </c>
      <c r="C4622">
        <v>870810</v>
      </c>
      <c r="D4622" t="s">
        <v>176</v>
      </c>
      <c r="E4622">
        <v>946344</v>
      </c>
      <c r="F4622">
        <v>35770</v>
      </c>
      <c r="G4622">
        <v>116493</v>
      </c>
      <c r="H4622">
        <f>_xlfn.XLOOKUP(FACT_IMPORTS[[#This Row],[hts_6]],DIM_PRODUCTS[hts_6],DIM_PRODUCTS[hts_4],,,)</f>
        <v>8708</v>
      </c>
      <c r="I4622" t="str" cm="1">
        <f t="array" ref="I4622">_xlfn.XLOOKUP(FACT_IMPORTS[[#This Row],[country_name]],DIM_COUNTRY[[#All],[Column2]],DIM_COUNTRY[[#All],[Column3]],,,)</f>
        <v>China</v>
      </c>
    </row>
    <row r="4623" spans="1:9" x14ac:dyDescent="0.4">
      <c r="A4623" t="s">
        <v>66</v>
      </c>
      <c r="B4623" s="1">
        <v>45931</v>
      </c>
      <c r="C4623">
        <v>870821</v>
      </c>
      <c r="D4623" t="s">
        <v>176</v>
      </c>
      <c r="E4623">
        <v>13465</v>
      </c>
      <c r="F4623">
        <v>489</v>
      </c>
      <c r="G4623">
        <v>8</v>
      </c>
      <c r="H4623">
        <f>_xlfn.XLOOKUP(FACT_IMPORTS[[#This Row],[hts_6]],DIM_PRODUCTS[hts_6],DIM_PRODUCTS[hts_4],,,)</f>
        <v>8708</v>
      </c>
      <c r="I4623" t="str" cm="1">
        <f t="array" ref="I4623">_xlfn.XLOOKUP(FACT_IMPORTS[[#This Row],[country_name]],DIM_COUNTRY[[#All],[Column2]],DIM_COUNTRY[[#All],[Column3]],,,)</f>
        <v>China</v>
      </c>
    </row>
    <row r="4624" spans="1:9" x14ac:dyDescent="0.4">
      <c r="A4624" t="s">
        <v>66</v>
      </c>
      <c r="B4624" s="1">
        <v>45931</v>
      </c>
      <c r="C4624">
        <v>870822</v>
      </c>
      <c r="D4624" t="s">
        <v>176</v>
      </c>
      <c r="E4624">
        <v>2447547</v>
      </c>
      <c r="F4624">
        <v>533900</v>
      </c>
      <c r="G4624">
        <v>570516</v>
      </c>
      <c r="H4624">
        <f>_xlfn.XLOOKUP(FACT_IMPORTS[[#This Row],[hts_6]],DIM_PRODUCTS[hts_6],DIM_PRODUCTS[hts_4],,,)</f>
        <v>8708</v>
      </c>
      <c r="I4624" t="str" cm="1">
        <f t="array" ref="I4624">_xlfn.XLOOKUP(FACT_IMPORTS[[#This Row],[country_name]],DIM_COUNTRY[[#All],[Column2]],DIM_COUNTRY[[#All],[Column3]],,,)</f>
        <v>China</v>
      </c>
    </row>
    <row r="4625" spans="1:9" x14ac:dyDescent="0.4">
      <c r="A4625" t="s">
        <v>66</v>
      </c>
      <c r="B4625" s="1">
        <v>45931</v>
      </c>
      <c r="C4625">
        <v>870829</v>
      </c>
      <c r="D4625" t="s">
        <v>176</v>
      </c>
      <c r="E4625">
        <v>17284544</v>
      </c>
      <c r="F4625">
        <v>3520749</v>
      </c>
      <c r="G4625">
        <v>776939</v>
      </c>
      <c r="H4625">
        <f>_xlfn.XLOOKUP(FACT_IMPORTS[[#This Row],[hts_6]],DIM_PRODUCTS[hts_6],DIM_PRODUCTS[hts_4],,,)</f>
        <v>8708</v>
      </c>
      <c r="I4625" t="str" cm="1">
        <f t="array" ref="I4625">_xlfn.XLOOKUP(FACT_IMPORTS[[#This Row],[country_name]],DIM_COUNTRY[[#All],[Column2]],DIM_COUNTRY[[#All],[Column3]],,,)</f>
        <v>China</v>
      </c>
    </row>
    <row r="4626" spans="1:9" x14ac:dyDescent="0.4">
      <c r="A4626" t="s">
        <v>66</v>
      </c>
      <c r="B4626" s="1">
        <v>45931</v>
      </c>
      <c r="C4626">
        <v>870830</v>
      </c>
      <c r="D4626" t="s">
        <v>176</v>
      </c>
      <c r="E4626">
        <v>3743601</v>
      </c>
      <c r="F4626">
        <v>551761</v>
      </c>
      <c r="G4626">
        <v>124470</v>
      </c>
      <c r="H4626">
        <f>_xlfn.XLOOKUP(FACT_IMPORTS[[#This Row],[hts_6]],DIM_PRODUCTS[hts_6],DIM_PRODUCTS[hts_4],,,)</f>
        <v>8708</v>
      </c>
      <c r="I4626" t="str" cm="1">
        <f t="array" ref="I4626">_xlfn.XLOOKUP(FACT_IMPORTS[[#This Row],[country_name]],DIM_COUNTRY[[#All],[Column2]],DIM_COUNTRY[[#All],[Column3]],,,)</f>
        <v>China</v>
      </c>
    </row>
    <row r="4627" spans="1:9" x14ac:dyDescent="0.4">
      <c r="A4627" t="s">
        <v>66</v>
      </c>
      <c r="B4627" s="1">
        <v>45931</v>
      </c>
      <c r="C4627">
        <v>870840</v>
      </c>
      <c r="D4627" t="s">
        <v>176</v>
      </c>
      <c r="E4627">
        <v>3437658</v>
      </c>
      <c r="F4627">
        <v>735808</v>
      </c>
      <c r="G4627">
        <v>105667</v>
      </c>
      <c r="H4627">
        <f>_xlfn.XLOOKUP(FACT_IMPORTS[[#This Row],[hts_6]],DIM_PRODUCTS[hts_6],DIM_PRODUCTS[hts_4],,,)</f>
        <v>8708</v>
      </c>
      <c r="I4627" t="str" cm="1">
        <f t="array" ref="I4627">_xlfn.XLOOKUP(FACT_IMPORTS[[#This Row],[country_name]],DIM_COUNTRY[[#All],[Column2]],DIM_COUNTRY[[#All],[Column3]],,,)</f>
        <v>China</v>
      </c>
    </row>
    <row r="4628" spans="1:9" x14ac:dyDescent="0.4">
      <c r="A4628" t="s">
        <v>66</v>
      </c>
      <c r="B4628" s="1">
        <v>45931</v>
      </c>
      <c r="C4628">
        <v>870850</v>
      </c>
      <c r="D4628" t="s">
        <v>176</v>
      </c>
      <c r="E4628">
        <v>3669908</v>
      </c>
      <c r="F4628">
        <v>602907</v>
      </c>
      <c r="G4628">
        <v>91124</v>
      </c>
      <c r="H4628">
        <f>_xlfn.XLOOKUP(FACT_IMPORTS[[#This Row],[hts_6]],DIM_PRODUCTS[hts_6],DIM_PRODUCTS[hts_4],,,)</f>
        <v>8708</v>
      </c>
      <c r="I4628" t="str" cm="1">
        <f t="array" ref="I4628">_xlfn.XLOOKUP(FACT_IMPORTS[[#This Row],[country_name]],DIM_COUNTRY[[#All],[Column2]],DIM_COUNTRY[[#All],[Column3]],,,)</f>
        <v>China</v>
      </c>
    </row>
    <row r="4629" spans="1:9" x14ac:dyDescent="0.4">
      <c r="A4629" t="s">
        <v>66</v>
      </c>
      <c r="B4629" s="1">
        <v>45931</v>
      </c>
      <c r="C4629">
        <v>870870</v>
      </c>
      <c r="D4629" t="s">
        <v>176</v>
      </c>
      <c r="E4629">
        <v>47121379</v>
      </c>
      <c r="F4629">
        <v>1345204</v>
      </c>
      <c r="G4629">
        <v>4143650</v>
      </c>
      <c r="H4629">
        <f>_xlfn.XLOOKUP(FACT_IMPORTS[[#This Row],[hts_6]],DIM_PRODUCTS[hts_6],DIM_PRODUCTS[hts_4],,,)</f>
        <v>8708</v>
      </c>
      <c r="I4629" t="str" cm="1">
        <f t="array" ref="I4629">_xlfn.XLOOKUP(FACT_IMPORTS[[#This Row],[country_name]],DIM_COUNTRY[[#All],[Column2]],DIM_COUNTRY[[#All],[Column3]],,,)</f>
        <v>China</v>
      </c>
    </row>
    <row r="4630" spans="1:9" x14ac:dyDescent="0.4">
      <c r="A4630" t="s">
        <v>66</v>
      </c>
      <c r="B4630" s="1">
        <v>45931</v>
      </c>
      <c r="C4630">
        <v>870880</v>
      </c>
      <c r="D4630" t="s">
        <v>176</v>
      </c>
      <c r="E4630">
        <v>6748454</v>
      </c>
      <c r="F4630">
        <v>2843459</v>
      </c>
      <c r="G4630">
        <v>168587</v>
      </c>
      <c r="H4630">
        <f>_xlfn.XLOOKUP(FACT_IMPORTS[[#This Row],[hts_6]],DIM_PRODUCTS[hts_6],DIM_PRODUCTS[hts_4],,,)</f>
        <v>8708</v>
      </c>
      <c r="I4630" t="str" cm="1">
        <f t="array" ref="I4630">_xlfn.XLOOKUP(FACT_IMPORTS[[#This Row],[country_name]],DIM_COUNTRY[[#All],[Column2]],DIM_COUNTRY[[#All],[Column3]],,,)</f>
        <v>China</v>
      </c>
    </row>
    <row r="4631" spans="1:9" x14ac:dyDescent="0.4">
      <c r="A4631" t="s">
        <v>66</v>
      </c>
      <c r="B4631" s="1">
        <v>45931</v>
      </c>
      <c r="C4631">
        <v>870891</v>
      </c>
      <c r="D4631" t="s">
        <v>176</v>
      </c>
      <c r="E4631">
        <v>178180</v>
      </c>
      <c r="F4631">
        <v>6969</v>
      </c>
      <c r="G4631">
        <v>17761</v>
      </c>
      <c r="H4631">
        <f>_xlfn.XLOOKUP(FACT_IMPORTS[[#This Row],[hts_6]],DIM_PRODUCTS[hts_6],DIM_PRODUCTS[hts_4],,,)</f>
        <v>8708</v>
      </c>
      <c r="I4631" t="str" cm="1">
        <f t="array" ref="I4631">_xlfn.XLOOKUP(FACT_IMPORTS[[#This Row],[country_name]],DIM_COUNTRY[[#All],[Column2]],DIM_COUNTRY[[#All],[Column3]],,,)</f>
        <v>China</v>
      </c>
    </row>
    <row r="4632" spans="1:9" x14ac:dyDescent="0.4">
      <c r="A4632" t="s">
        <v>66</v>
      </c>
      <c r="B4632" s="1">
        <v>45931</v>
      </c>
      <c r="C4632">
        <v>870892</v>
      </c>
      <c r="D4632" t="s">
        <v>176</v>
      </c>
      <c r="E4632">
        <v>5681612</v>
      </c>
      <c r="F4632">
        <v>1347740</v>
      </c>
      <c r="G4632">
        <v>415848</v>
      </c>
      <c r="H4632">
        <f>_xlfn.XLOOKUP(FACT_IMPORTS[[#This Row],[hts_6]],DIM_PRODUCTS[hts_6],DIM_PRODUCTS[hts_4],,,)</f>
        <v>8708</v>
      </c>
      <c r="I4632" t="str" cm="1">
        <f t="array" ref="I4632">_xlfn.XLOOKUP(FACT_IMPORTS[[#This Row],[country_name]],DIM_COUNTRY[[#All],[Column2]],DIM_COUNTRY[[#All],[Column3]],,,)</f>
        <v>China</v>
      </c>
    </row>
    <row r="4633" spans="1:9" x14ac:dyDescent="0.4">
      <c r="A4633" t="s">
        <v>66</v>
      </c>
      <c r="B4633" s="1">
        <v>45931</v>
      </c>
      <c r="C4633">
        <v>870893</v>
      </c>
      <c r="D4633" t="s">
        <v>176</v>
      </c>
      <c r="E4633">
        <v>198961</v>
      </c>
      <c r="F4633">
        <v>28410</v>
      </c>
      <c r="G4633">
        <v>12303</v>
      </c>
      <c r="H4633">
        <f>_xlfn.XLOOKUP(FACT_IMPORTS[[#This Row],[hts_6]],DIM_PRODUCTS[hts_6],DIM_PRODUCTS[hts_4],,,)</f>
        <v>8708</v>
      </c>
      <c r="I4633" t="str" cm="1">
        <f t="array" ref="I4633">_xlfn.XLOOKUP(FACT_IMPORTS[[#This Row],[country_name]],DIM_COUNTRY[[#All],[Column2]],DIM_COUNTRY[[#All],[Column3]],,,)</f>
        <v>China</v>
      </c>
    </row>
    <row r="4634" spans="1:9" x14ac:dyDescent="0.4">
      <c r="A4634" t="s">
        <v>66</v>
      </c>
      <c r="B4634" s="1">
        <v>45931</v>
      </c>
      <c r="C4634">
        <v>870894</v>
      </c>
      <c r="D4634" t="s">
        <v>176</v>
      </c>
      <c r="E4634">
        <v>5177253</v>
      </c>
      <c r="F4634">
        <v>384424</v>
      </c>
      <c r="G4634">
        <v>659944</v>
      </c>
      <c r="H4634">
        <f>_xlfn.XLOOKUP(FACT_IMPORTS[[#This Row],[hts_6]],DIM_PRODUCTS[hts_6],DIM_PRODUCTS[hts_4],,,)</f>
        <v>8708</v>
      </c>
      <c r="I4634" t="str" cm="1">
        <f t="array" ref="I4634">_xlfn.XLOOKUP(FACT_IMPORTS[[#This Row],[country_name]],DIM_COUNTRY[[#All],[Column2]],DIM_COUNTRY[[#All],[Column3]],,,)</f>
        <v>China</v>
      </c>
    </row>
    <row r="4635" spans="1:9" x14ac:dyDescent="0.4">
      <c r="A4635" t="s">
        <v>66</v>
      </c>
      <c r="B4635" s="1">
        <v>45931</v>
      </c>
      <c r="C4635">
        <v>870895</v>
      </c>
      <c r="D4635" t="s">
        <v>176</v>
      </c>
      <c r="E4635">
        <v>24261</v>
      </c>
      <c r="F4635">
        <v>169</v>
      </c>
      <c r="G4635">
        <v>121</v>
      </c>
      <c r="H4635">
        <f>_xlfn.XLOOKUP(FACT_IMPORTS[[#This Row],[hts_6]],DIM_PRODUCTS[hts_6],DIM_PRODUCTS[hts_4],,,)</f>
        <v>8708</v>
      </c>
      <c r="I4635" t="str" cm="1">
        <f t="array" ref="I4635">_xlfn.XLOOKUP(FACT_IMPORTS[[#This Row],[country_name]],DIM_COUNTRY[[#All],[Column2]],DIM_COUNTRY[[#All],[Column3]],,,)</f>
        <v>China</v>
      </c>
    </row>
    <row r="4636" spans="1:9" x14ac:dyDescent="0.4">
      <c r="A4636" t="s">
        <v>66</v>
      </c>
      <c r="B4636" s="1">
        <v>45931</v>
      </c>
      <c r="C4636">
        <v>870899</v>
      </c>
      <c r="D4636" t="s">
        <v>176</v>
      </c>
      <c r="E4636">
        <v>9569911</v>
      </c>
      <c r="F4636">
        <v>2897063</v>
      </c>
      <c r="G4636">
        <v>724778</v>
      </c>
      <c r="H4636">
        <f>_xlfn.XLOOKUP(FACT_IMPORTS[[#This Row],[hts_6]],DIM_PRODUCTS[hts_6],DIM_PRODUCTS[hts_4],,,)</f>
        <v>8708</v>
      </c>
      <c r="I4636" t="str" cm="1">
        <f t="array" ref="I4636">_xlfn.XLOOKUP(FACT_IMPORTS[[#This Row],[country_name]],DIM_COUNTRY[[#All],[Column2]],DIM_COUNTRY[[#All],[Column3]],,,)</f>
        <v>China</v>
      </c>
    </row>
    <row r="4637" spans="1:9" x14ac:dyDescent="0.4">
      <c r="A4637" t="s">
        <v>66</v>
      </c>
      <c r="B4637" s="1">
        <v>45931</v>
      </c>
      <c r="C4637">
        <v>940120</v>
      </c>
      <c r="D4637" t="s">
        <v>176</v>
      </c>
      <c r="E4637">
        <v>38828</v>
      </c>
      <c r="F4637">
        <v>537</v>
      </c>
      <c r="G4637">
        <v>2398</v>
      </c>
      <c r="H4637">
        <f>_xlfn.XLOOKUP(FACT_IMPORTS[[#This Row],[hts_6]],DIM_PRODUCTS[hts_6],DIM_PRODUCTS[hts_4],,,)</f>
        <v>9401</v>
      </c>
      <c r="I4637" t="str" cm="1">
        <f t="array" ref="I4637">_xlfn.XLOOKUP(FACT_IMPORTS[[#This Row],[country_name]],DIM_COUNTRY[[#All],[Column2]],DIM_COUNTRY[[#All],[Column3]],,,)</f>
        <v>China</v>
      </c>
    </row>
    <row r="4638" spans="1:9" x14ac:dyDescent="0.4">
      <c r="A4638" t="s">
        <v>68</v>
      </c>
      <c r="B4638" s="1">
        <v>44927</v>
      </c>
      <c r="C4638">
        <v>392630</v>
      </c>
      <c r="D4638" t="s">
        <v>176</v>
      </c>
      <c r="E4638">
        <v>147045</v>
      </c>
      <c r="F4638">
        <v>68690</v>
      </c>
      <c r="G4638">
        <v>8964</v>
      </c>
      <c r="H4638">
        <f>_xlfn.XLOOKUP(FACT_IMPORTS[[#This Row],[hts_6]],DIM_PRODUCTS[hts_6],DIM_PRODUCTS[hts_4],,,)</f>
        <v>3926</v>
      </c>
      <c r="I4638" t="str" cm="1">
        <f t="array" ref="I4638">_xlfn.XLOOKUP(FACT_IMPORTS[[#This Row],[country_name]],DIM_COUNTRY[[#All],[Column2]],DIM_COUNTRY[[#All],[Column3]],,,)</f>
        <v>Major_Non-USMCA_Non-China</v>
      </c>
    </row>
    <row r="4639" spans="1:9" x14ac:dyDescent="0.4">
      <c r="A4639" t="s">
        <v>68</v>
      </c>
      <c r="B4639" s="1">
        <v>44927</v>
      </c>
      <c r="C4639">
        <v>401110</v>
      </c>
      <c r="D4639" t="s">
        <v>176</v>
      </c>
      <c r="E4639">
        <v>29043</v>
      </c>
      <c r="F4639">
        <v>189</v>
      </c>
      <c r="G4639">
        <v>779</v>
      </c>
      <c r="H4639">
        <f>_xlfn.XLOOKUP(FACT_IMPORTS[[#This Row],[hts_6]],DIM_PRODUCTS[hts_6],DIM_PRODUCTS[hts_4],,,)</f>
        <v>4011</v>
      </c>
      <c r="I4639" t="str" cm="1">
        <f t="array" ref="I4639">_xlfn.XLOOKUP(FACT_IMPORTS[[#This Row],[country_name]],DIM_COUNTRY[[#All],[Column2]],DIM_COUNTRY[[#All],[Column3]],,,)</f>
        <v>Major_Non-USMCA_Non-China</v>
      </c>
    </row>
    <row r="4640" spans="1:9" x14ac:dyDescent="0.4">
      <c r="A4640" t="s">
        <v>68</v>
      </c>
      <c r="B4640" s="1">
        <v>44927</v>
      </c>
      <c r="C4640">
        <v>401120</v>
      </c>
      <c r="D4640" t="s">
        <v>176</v>
      </c>
      <c r="E4640">
        <v>2575</v>
      </c>
      <c r="F4640">
        <v>18</v>
      </c>
      <c r="G4640">
        <v>3500</v>
      </c>
      <c r="H4640">
        <f>_xlfn.XLOOKUP(FACT_IMPORTS[[#This Row],[hts_6]],DIM_PRODUCTS[hts_6],DIM_PRODUCTS[hts_4],,,)</f>
        <v>4011</v>
      </c>
      <c r="I4640" t="str" cm="1">
        <f t="array" ref="I4640">_xlfn.XLOOKUP(FACT_IMPORTS[[#This Row],[country_name]],DIM_COUNTRY[[#All],[Column2]],DIM_COUNTRY[[#All],[Column3]],,,)</f>
        <v>Major_Non-USMCA_Non-China</v>
      </c>
    </row>
    <row r="4641" spans="1:9" x14ac:dyDescent="0.4">
      <c r="A4641" t="s">
        <v>68</v>
      </c>
      <c r="B4641" s="1">
        <v>44927</v>
      </c>
      <c r="C4641">
        <v>401140</v>
      </c>
      <c r="D4641" t="s">
        <v>176</v>
      </c>
      <c r="E4641">
        <v>0</v>
      </c>
      <c r="F4641">
        <v>0</v>
      </c>
      <c r="G4641">
        <v>0</v>
      </c>
      <c r="H4641">
        <f>_xlfn.XLOOKUP(FACT_IMPORTS[[#This Row],[hts_6]],DIM_PRODUCTS[hts_6],DIM_PRODUCTS[hts_4],,,)</f>
        <v>4011</v>
      </c>
      <c r="I4641" t="str" cm="1">
        <f t="array" ref="I4641">_xlfn.XLOOKUP(FACT_IMPORTS[[#This Row],[country_name]],DIM_COUNTRY[[#All],[Column2]],DIM_COUNTRY[[#All],[Column3]],,,)</f>
        <v>Major_Non-USMCA_Non-China</v>
      </c>
    </row>
    <row r="4642" spans="1:9" x14ac:dyDescent="0.4">
      <c r="A4642" t="s">
        <v>68</v>
      </c>
      <c r="B4642" s="1">
        <v>44927</v>
      </c>
      <c r="C4642">
        <v>401190</v>
      </c>
      <c r="D4642" t="s">
        <v>176</v>
      </c>
      <c r="E4642">
        <v>0</v>
      </c>
      <c r="F4642">
        <v>0</v>
      </c>
      <c r="G4642">
        <v>0</v>
      </c>
      <c r="H4642">
        <f>_xlfn.XLOOKUP(FACT_IMPORTS[[#This Row],[hts_6]],DIM_PRODUCTS[hts_6],DIM_PRODUCTS[hts_4],,,)</f>
        <v>4011</v>
      </c>
      <c r="I4642" t="str" cm="1">
        <f t="array" ref="I4642">_xlfn.XLOOKUP(FACT_IMPORTS[[#This Row],[country_name]],DIM_COUNTRY[[#All],[Column2]],DIM_COUNTRY[[#All],[Column3]],,,)</f>
        <v>Major_Non-USMCA_Non-China</v>
      </c>
    </row>
    <row r="4643" spans="1:9" x14ac:dyDescent="0.4">
      <c r="A4643" t="s">
        <v>68</v>
      </c>
      <c r="B4643" s="1">
        <v>44927</v>
      </c>
      <c r="C4643">
        <v>700711</v>
      </c>
      <c r="D4643" t="s">
        <v>176</v>
      </c>
      <c r="E4643">
        <v>0</v>
      </c>
      <c r="F4643">
        <v>0</v>
      </c>
      <c r="G4643">
        <v>0</v>
      </c>
      <c r="H4643">
        <f>_xlfn.XLOOKUP(FACT_IMPORTS[[#This Row],[hts_6]],DIM_PRODUCTS[hts_6],DIM_PRODUCTS[hts_4],,,)</f>
        <v>7007</v>
      </c>
      <c r="I4643" t="str" cm="1">
        <f t="array" ref="I4643">_xlfn.XLOOKUP(FACT_IMPORTS[[#This Row],[country_name]],DIM_COUNTRY[[#All],[Column2]],DIM_COUNTRY[[#All],[Column3]],,,)</f>
        <v>Major_Non-USMCA_Non-China</v>
      </c>
    </row>
    <row r="4644" spans="1:9" x14ac:dyDescent="0.4">
      <c r="A4644" t="s">
        <v>68</v>
      </c>
      <c r="B4644" s="1">
        <v>44927</v>
      </c>
      <c r="C4644">
        <v>700721</v>
      </c>
      <c r="D4644" t="s">
        <v>176</v>
      </c>
      <c r="E4644">
        <v>0</v>
      </c>
      <c r="F4644">
        <v>0</v>
      </c>
      <c r="G4644">
        <v>0</v>
      </c>
      <c r="H4644">
        <f>_xlfn.XLOOKUP(FACT_IMPORTS[[#This Row],[hts_6]],DIM_PRODUCTS[hts_6],DIM_PRODUCTS[hts_4],,,)</f>
        <v>7007</v>
      </c>
      <c r="I4644" t="str" cm="1">
        <f t="array" ref="I4644">_xlfn.XLOOKUP(FACT_IMPORTS[[#This Row],[country_name]],DIM_COUNTRY[[#All],[Column2]],DIM_COUNTRY[[#All],[Column3]],,,)</f>
        <v>Major_Non-USMCA_Non-China</v>
      </c>
    </row>
    <row r="4645" spans="1:9" x14ac:dyDescent="0.4">
      <c r="A4645" t="s">
        <v>68</v>
      </c>
      <c r="B4645" s="1">
        <v>44927</v>
      </c>
      <c r="C4645">
        <v>732010</v>
      </c>
      <c r="D4645" t="s">
        <v>176</v>
      </c>
      <c r="E4645">
        <v>0</v>
      </c>
      <c r="F4645">
        <v>0</v>
      </c>
      <c r="G4645">
        <v>0</v>
      </c>
      <c r="H4645">
        <f>_xlfn.XLOOKUP(FACT_IMPORTS[[#This Row],[hts_6]],DIM_PRODUCTS[hts_6],DIM_PRODUCTS[hts_4],,,)</f>
        <v>7320</v>
      </c>
      <c r="I4645" t="str" cm="1">
        <f t="array" ref="I4645">_xlfn.XLOOKUP(FACT_IMPORTS[[#This Row],[country_name]],DIM_COUNTRY[[#All],[Column2]],DIM_COUNTRY[[#All],[Column3]],,,)</f>
        <v>Major_Non-USMCA_Non-China</v>
      </c>
    </row>
    <row r="4646" spans="1:9" x14ac:dyDescent="0.4">
      <c r="A4646" t="s">
        <v>68</v>
      </c>
      <c r="B4646" s="1">
        <v>44927</v>
      </c>
      <c r="C4646">
        <v>830230</v>
      </c>
      <c r="D4646" t="s">
        <v>176</v>
      </c>
      <c r="E4646">
        <v>580909</v>
      </c>
      <c r="F4646">
        <v>180462</v>
      </c>
      <c r="G4646">
        <v>53212</v>
      </c>
      <c r="H4646">
        <f>_xlfn.XLOOKUP(FACT_IMPORTS[[#This Row],[hts_6]],DIM_PRODUCTS[hts_6],DIM_PRODUCTS[hts_4],,,)</f>
        <v>8302</v>
      </c>
      <c r="I4646" t="str" cm="1">
        <f t="array" ref="I4646">_xlfn.XLOOKUP(FACT_IMPORTS[[#This Row],[country_name]],DIM_COUNTRY[[#All],[Column2]],DIM_COUNTRY[[#All],[Column3]],,,)</f>
        <v>Major_Non-USMCA_Non-China</v>
      </c>
    </row>
    <row r="4647" spans="1:9" x14ac:dyDescent="0.4">
      <c r="A4647" t="s">
        <v>68</v>
      </c>
      <c r="B4647" s="1">
        <v>44927</v>
      </c>
      <c r="C4647">
        <v>840731</v>
      </c>
      <c r="D4647" t="s">
        <v>176</v>
      </c>
      <c r="E4647">
        <v>0</v>
      </c>
      <c r="F4647">
        <v>0</v>
      </c>
      <c r="G4647">
        <v>0</v>
      </c>
      <c r="H4647">
        <f>_xlfn.XLOOKUP(FACT_IMPORTS[[#This Row],[hts_6]],DIM_PRODUCTS[hts_6],DIM_PRODUCTS[hts_4],,,)</f>
        <v>8407</v>
      </c>
      <c r="I4647" t="str" cm="1">
        <f t="array" ref="I4647">_xlfn.XLOOKUP(FACT_IMPORTS[[#This Row],[country_name]],DIM_COUNTRY[[#All],[Column2]],DIM_COUNTRY[[#All],[Column3]],,,)</f>
        <v>Major_Non-USMCA_Non-China</v>
      </c>
    </row>
    <row r="4648" spans="1:9" x14ac:dyDescent="0.4">
      <c r="A4648" t="s">
        <v>68</v>
      </c>
      <c r="B4648" s="1">
        <v>44927</v>
      </c>
      <c r="C4648">
        <v>840733</v>
      </c>
      <c r="D4648" t="s">
        <v>176</v>
      </c>
      <c r="E4648">
        <v>11136</v>
      </c>
      <c r="F4648">
        <v>12</v>
      </c>
      <c r="G4648">
        <v>258</v>
      </c>
      <c r="H4648">
        <f>_xlfn.XLOOKUP(FACT_IMPORTS[[#This Row],[hts_6]],DIM_PRODUCTS[hts_6],DIM_PRODUCTS[hts_4],,,)</f>
        <v>8407</v>
      </c>
      <c r="I4648" t="str" cm="1">
        <f t="array" ref="I4648">_xlfn.XLOOKUP(FACT_IMPORTS[[#This Row],[country_name]],DIM_COUNTRY[[#All],[Column2]],DIM_COUNTRY[[#All],[Column3]],,,)</f>
        <v>Major_Non-USMCA_Non-China</v>
      </c>
    </row>
    <row r="4649" spans="1:9" x14ac:dyDescent="0.4">
      <c r="A4649" t="s">
        <v>68</v>
      </c>
      <c r="B4649" s="1">
        <v>44927</v>
      </c>
      <c r="C4649">
        <v>840734</v>
      </c>
      <c r="D4649" t="s">
        <v>176</v>
      </c>
      <c r="E4649">
        <v>31696</v>
      </c>
      <c r="F4649">
        <v>30</v>
      </c>
      <c r="G4649">
        <v>697</v>
      </c>
      <c r="H4649">
        <f>_xlfn.XLOOKUP(FACT_IMPORTS[[#This Row],[hts_6]],DIM_PRODUCTS[hts_6],DIM_PRODUCTS[hts_4],,,)</f>
        <v>8407</v>
      </c>
      <c r="I4649" t="str" cm="1">
        <f t="array" ref="I4649">_xlfn.XLOOKUP(FACT_IMPORTS[[#This Row],[country_name]],DIM_COUNTRY[[#All],[Column2]],DIM_COUNTRY[[#All],[Column3]],,,)</f>
        <v>Major_Non-USMCA_Non-China</v>
      </c>
    </row>
    <row r="4650" spans="1:9" x14ac:dyDescent="0.4">
      <c r="A4650" t="s">
        <v>68</v>
      </c>
      <c r="B4650" s="1">
        <v>44927</v>
      </c>
      <c r="C4650">
        <v>840790</v>
      </c>
      <c r="D4650" t="s">
        <v>176</v>
      </c>
      <c r="E4650">
        <v>0</v>
      </c>
      <c r="F4650">
        <v>0</v>
      </c>
      <c r="G4650">
        <v>0</v>
      </c>
      <c r="H4650">
        <f>_xlfn.XLOOKUP(FACT_IMPORTS[[#This Row],[hts_6]],DIM_PRODUCTS[hts_6],DIM_PRODUCTS[hts_4],,,)</f>
        <v>8407</v>
      </c>
      <c r="I4650" t="str" cm="1">
        <f t="array" ref="I4650">_xlfn.XLOOKUP(FACT_IMPORTS[[#This Row],[country_name]],DIM_COUNTRY[[#All],[Column2]],DIM_COUNTRY[[#All],[Column3]],,,)</f>
        <v>Major_Non-USMCA_Non-China</v>
      </c>
    </row>
    <row r="4651" spans="1:9" x14ac:dyDescent="0.4">
      <c r="A4651" t="s">
        <v>68</v>
      </c>
      <c r="B4651" s="1">
        <v>44927</v>
      </c>
      <c r="C4651">
        <v>840820</v>
      </c>
      <c r="D4651" t="s">
        <v>176</v>
      </c>
      <c r="E4651">
        <v>0</v>
      </c>
      <c r="F4651">
        <v>0</v>
      </c>
      <c r="G4651">
        <v>0</v>
      </c>
      <c r="H4651">
        <f>_xlfn.XLOOKUP(FACT_IMPORTS[[#This Row],[hts_6]],DIM_PRODUCTS[hts_6],DIM_PRODUCTS[hts_4],,,)</f>
        <v>8408</v>
      </c>
      <c r="I4651" t="str" cm="1">
        <f t="array" ref="I4651">_xlfn.XLOOKUP(FACT_IMPORTS[[#This Row],[country_name]],DIM_COUNTRY[[#All],[Column2]],DIM_COUNTRY[[#All],[Column3]],,,)</f>
        <v>Major_Non-USMCA_Non-China</v>
      </c>
    </row>
    <row r="4652" spans="1:9" x14ac:dyDescent="0.4">
      <c r="A4652" t="s">
        <v>68</v>
      </c>
      <c r="B4652" s="1">
        <v>44927</v>
      </c>
      <c r="C4652">
        <v>840890</v>
      </c>
      <c r="D4652" t="s">
        <v>176</v>
      </c>
      <c r="E4652">
        <v>67998</v>
      </c>
      <c r="F4652">
        <v>3</v>
      </c>
      <c r="G4652">
        <v>1503</v>
      </c>
      <c r="H4652">
        <f>_xlfn.XLOOKUP(FACT_IMPORTS[[#This Row],[hts_6]],DIM_PRODUCTS[hts_6],DIM_PRODUCTS[hts_4],,,)</f>
        <v>8408</v>
      </c>
      <c r="I4652" t="str" cm="1">
        <f t="array" ref="I4652">_xlfn.XLOOKUP(FACT_IMPORTS[[#This Row],[country_name]],DIM_COUNTRY[[#All],[Column2]],DIM_COUNTRY[[#All],[Column3]],,,)</f>
        <v>Major_Non-USMCA_Non-China</v>
      </c>
    </row>
    <row r="4653" spans="1:9" x14ac:dyDescent="0.4">
      <c r="A4653" t="s">
        <v>68</v>
      </c>
      <c r="B4653" s="1">
        <v>44927</v>
      </c>
      <c r="C4653">
        <v>840991</v>
      </c>
      <c r="D4653" t="s">
        <v>176</v>
      </c>
      <c r="E4653">
        <v>1002948</v>
      </c>
      <c r="F4653">
        <v>47187</v>
      </c>
      <c r="G4653">
        <v>20865</v>
      </c>
      <c r="H4653">
        <f>_xlfn.XLOOKUP(FACT_IMPORTS[[#This Row],[hts_6]],DIM_PRODUCTS[hts_6],DIM_PRODUCTS[hts_4],,,)</f>
        <v>8409</v>
      </c>
      <c r="I4653" t="str" cm="1">
        <f t="array" ref="I4653">_xlfn.XLOOKUP(FACT_IMPORTS[[#This Row],[country_name]],DIM_COUNTRY[[#All],[Column2]],DIM_COUNTRY[[#All],[Column3]],,,)</f>
        <v>Major_Non-USMCA_Non-China</v>
      </c>
    </row>
    <row r="4654" spans="1:9" x14ac:dyDescent="0.4">
      <c r="A4654" t="s">
        <v>68</v>
      </c>
      <c r="B4654" s="1">
        <v>44927</v>
      </c>
      <c r="C4654">
        <v>840999</v>
      </c>
      <c r="D4654" t="s">
        <v>176</v>
      </c>
      <c r="E4654">
        <v>11156692</v>
      </c>
      <c r="F4654">
        <v>1576957</v>
      </c>
      <c r="G4654">
        <v>269387</v>
      </c>
      <c r="H4654">
        <f>_xlfn.XLOOKUP(FACT_IMPORTS[[#This Row],[hts_6]],DIM_PRODUCTS[hts_6],DIM_PRODUCTS[hts_4],,,)</f>
        <v>8409</v>
      </c>
      <c r="I4654" t="str" cm="1">
        <f t="array" ref="I4654">_xlfn.XLOOKUP(FACT_IMPORTS[[#This Row],[country_name]],DIM_COUNTRY[[#All],[Column2]],DIM_COUNTRY[[#All],[Column3]],,,)</f>
        <v>Major_Non-USMCA_Non-China</v>
      </c>
    </row>
    <row r="4655" spans="1:9" x14ac:dyDescent="0.4">
      <c r="A4655" t="s">
        <v>68</v>
      </c>
      <c r="B4655" s="1">
        <v>44927</v>
      </c>
      <c r="C4655">
        <v>841330</v>
      </c>
      <c r="D4655" t="s">
        <v>176</v>
      </c>
      <c r="E4655">
        <v>4105666</v>
      </c>
      <c r="F4655">
        <v>32152</v>
      </c>
      <c r="G4655">
        <v>18338</v>
      </c>
      <c r="H4655">
        <f>_xlfn.XLOOKUP(FACT_IMPORTS[[#This Row],[hts_6]],DIM_PRODUCTS[hts_6],DIM_PRODUCTS[hts_4],,,)</f>
        <v>8413</v>
      </c>
      <c r="I4655" t="str" cm="1">
        <f t="array" ref="I4655">_xlfn.XLOOKUP(FACT_IMPORTS[[#This Row],[country_name]],DIM_COUNTRY[[#All],[Column2]],DIM_COUNTRY[[#All],[Column3]],,,)</f>
        <v>Major_Non-USMCA_Non-China</v>
      </c>
    </row>
    <row r="4656" spans="1:9" x14ac:dyDescent="0.4">
      <c r="A4656" t="s">
        <v>68</v>
      </c>
      <c r="B4656" s="1">
        <v>44927</v>
      </c>
      <c r="C4656">
        <v>841520</v>
      </c>
      <c r="D4656" t="s">
        <v>176</v>
      </c>
      <c r="E4656">
        <v>0</v>
      </c>
      <c r="F4656">
        <v>0</v>
      </c>
      <c r="G4656">
        <v>0</v>
      </c>
      <c r="H4656">
        <f>_xlfn.XLOOKUP(FACT_IMPORTS[[#This Row],[hts_6]],DIM_PRODUCTS[hts_6],DIM_PRODUCTS[hts_4],,,)</f>
        <v>8415</v>
      </c>
      <c r="I4656" t="str" cm="1">
        <f t="array" ref="I4656">_xlfn.XLOOKUP(FACT_IMPORTS[[#This Row],[country_name]],DIM_COUNTRY[[#All],[Column2]],DIM_COUNTRY[[#All],[Column3]],,,)</f>
        <v>Major_Non-USMCA_Non-China</v>
      </c>
    </row>
    <row r="4657" spans="1:9" x14ac:dyDescent="0.4">
      <c r="A4657" t="s">
        <v>68</v>
      </c>
      <c r="B4657" s="1">
        <v>44927</v>
      </c>
      <c r="C4657">
        <v>842132</v>
      </c>
      <c r="D4657" t="s">
        <v>176</v>
      </c>
      <c r="E4657">
        <v>383373</v>
      </c>
      <c r="F4657">
        <v>768</v>
      </c>
      <c r="G4657">
        <v>1280</v>
      </c>
      <c r="H4657">
        <f>_xlfn.XLOOKUP(FACT_IMPORTS[[#This Row],[hts_6]],DIM_PRODUCTS[hts_6],DIM_PRODUCTS[hts_4],,,)</f>
        <v>8421</v>
      </c>
      <c r="I4657" t="str" cm="1">
        <f t="array" ref="I4657">_xlfn.XLOOKUP(FACT_IMPORTS[[#This Row],[country_name]],DIM_COUNTRY[[#All],[Column2]],DIM_COUNTRY[[#All],[Column3]],,,)</f>
        <v>Major_Non-USMCA_Non-China</v>
      </c>
    </row>
    <row r="4658" spans="1:9" x14ac:dyDescent="0.4">
      <c r="A4658" t="s">
        <v>68</v>
      </c>
      <c r="B4658" s="1">
        <v>44927</v>
      </c>
      <c r="C4658">
        <v>848210</v>
      </c>
      <c r="D4658" t="s">
        <v>176</v>
      </c>
      <c r="E4658">
        <v>331842</v>
      </c>
      <c r="F4658">
        <v>1100</v>
      </c>
      <c r="G4658">
        <v>17268</v>
      </c>
      <c r="H4658">
        <f>_xlfn.XLOOKUP(FACT_IMPORTS[[#This Row],[hts_6]],DIM_PRODUCTS[hts_6],DIM_PRODUCTS[hts_4],,,)</f>
        <v>8482</v>
      </c>
      <c r="I4658" t="str" cm="1">
        <f t="array" ref="I4658">_xlfn.XLOOKUP(FACT_IMPORTS[[#This Row],[country_name]],DIM_COUNTRY[[#All],[Column2]],DIM_COUNTRY[[#All],[Column3]],,,)</f>
        <v>Major_Non-USMCA_Non-China</v>
      </c>
    </row>
    <row r="4659" spans="1:9" x14ac:dyDescent="0.4">
      <c r="A4659" t="s">
        <v>68</v>
      </c>
      <c r="B4659" s="1">
        <v>44927</v>
      </c>
      <c r="C4659">
        <v>848220</v>
      </c>
      <c r="D4659" t="s">
        <v>176</v>
      </c>
      <c r="E4659">
        <v>169927</v>
      </c>
      <c r="F4659">
        <v>13039</v>
      </c>
      <c r="G4659">
        <v>2816</v>
      </c>
      <c r="H4659">
        <f>_xlfn.XLOOKUP(FACT_IMPORTS[[#This Row],[hts_6]],DIM_PRODUCTS[hts_6],DIM_PRODUCTS[hts_4],,,)</f>
        <v>8482</v>
      </c>
      <c r="I4659" t="str" cm="1">
        <f t="array" ref="I4659">_xlfn.XLOOKUP(FACT_IMPORTS[[#This Row],[country_name]],DIM_COUNTRY[[#All],[Column2]],DIM_COUNTRY[[#All],[Column3]],,,)</f>
        <v>Major_Non-USMCA_Non-China</v>
      </c>
    </row>
    <row r="4660" spans="1:9" x14ac:dyDescent="0.4">
      <c r="A4660" t="s">
        <v>68</v>
      </c>
      <c r="B4660" s="1">
        <v>44927</v>
      </c>
      <c r="C4660">
        <v>848310</v>
      </c>
      <c r="D4660" t="s">
        <v>176</v>
      </c>
      <c r="E4660">
        <v>2227845</v>
      </c>
      <c r="F4660">
        <v>15084</v>
      </c>
      <c r="G4660">
        <v>24207</v>
      </c>
      <c r="H4660">
        <f>_xlfn.XLOOKUP(FACT_IMPORTS[[#This Row],[hts_6]],DIM_PRODUCTS[hts_6],DIM_PRODUCTS[hts_4],,,)</f>
        <v>8483</v>
      </c>
      <c r="I4660" t="str" cm="1">
        <f t="array" ref="I4660">_xlfn.XLOOKUP(FACT_IMPORTS[[#This Row],[country_name]],DIM_COUNTRY[[#All],[Column2]],DIM_COUNTRY[[#All],[Column3]],,,)</f>
        <v>Major_Non-USMCA_Non-China</v>
      </c>
    </row>
    <row r="4661" spans="1:9" x14ac:dyDescent="0.4">
      <c r="A4661" t="s">
        <v>68</v>
      </c>
      <c r="B4661" s="1">
        <v>44927</v>
      </c>
      <c r="C4661">
        <v>850131</v>
      </c>
      <c r="D4661" t="s">
        <v>176</v>
      </c>
      <c r="E4661">
        <v>190674</v>
      </c>
      <c r="F4661">
        <v>34097</v>
      </c>
      <c r="G4661">
        <v>5131</v>
      </c>
      <c r="H4661">
        <f>_xlfn.XLOOKUP(FACT_IMPORTS[[#This Row],[hts_6]],DIM_PRODUCTS[hts_6],DIM_PRODUCTS[hts_4],,,)</f>
        <v>8501</v>
      </c>
      <c r="I4661" t="str" cm="1">
        <f t="array" ref="I4661">_xlfn.XLOOKUP(FACT_IMPORTS[[#This Row],[country_name]],DIM_COUNTRY[[#All],[Column2]],DIM_COUNTRY[[#All],[Column3]],,,)</f>
        <v>Major_Non-USMCA_Non-China</v>
      </c>
    </row>
    <row r="4662" spans="1:9" x14ac:dyDescent="0.4">
      <c r="A4662" t="s">
        <v>68</v>
      </c>
      <c r="B4662" s="1">
        <v>44927</v>
      </c>
      <c r="C4662">
        <v>850132</v>
      </c>
      <c r="D4662" t="s">
        <v>176</v>
      </c>
      <c r="E4662">
        <v>105192</v>
      </c>
      <c r="F4662">
        <v>17</v>
      </c>
      <c r="G4662">
        <v>336</v>
      </c>
      <c r="H4662">
        <f>_xlfn.XLOOKUP(FACT_IMPORTS[[#This Row],[hts_6]],DIM_PRODUCTS[hts_6],DIM_PRODUCTS[hts_4],,,)</f>
        <v>8501</v>
      </c>
      <c r="I4662" t="str" cm="1">
        <f t="array" ref="I4662">_xlfn.XLOOKUP(FACT_IMPORTS[[#This Row],[country_name]],DIM_COUNTRY[[#All],[Column2]],DIM_COUNTRY[[#All],[Column3]],,,)</f>
        <v>Major_Non-USMCA_Non-China</v>
      </c>
    </row>
    <row r="4663" spans="1:9" x14ac:dyDescent="0.4">
      <c r="A4663" t="s">
        <v>68</v>
      </c>
      <c r="B4663" s="1">
        <v>44927</v>
      </c>
      <c r="C4663">
        <v>850133</v>
      </c>
      <c r="D4663" t="s">
        <v>176</v>
      </c>
      <c r="E4663">
        <v>161968</v>
      </c>
      <c r="F4663">
        <v>2</v>
      </c>
      <c r="G4663">
        <v>9115</v>
      </c>
      <c r="H4663">
        <f>_xlfn.XLOOKUP(FACT_IMPORTS[[#This Row],[hts_6]],DIM_PRODUCTS[hts_6],DIM_PRODUCTS[hts_4],,,)</f>
        <v>8501</v>
      </c>
      <c r="I4663" t="str" cm="1">
        <f t="array" ref="I4663">_xlfn.XLOOKUP(FACT_IMPORTS[[#This Row],[country_name]],DIM_COUNTRY[[#All],[Column2]],DIM_COUNTRY[[#All],[Column3]],,,)</f>
        <v>Major_Non-USMCA_Non-China</v>
      </c>
    </row>
    <row r="4664" spans="1:9" x14ac:dyDescent="0.4">
      <c r="A4664" t="s">
        <v>68</v>
      </c>
      <c r="B4664" s="1">
        <v>44927</v>
      </c>
      <c r="C4664">
        <v>850134</v>
      </c>
      <c r="D4664" t="s">
        <v>176</v>
      </c>
      <c r="E4664">
        <v>0</v>
      </c>
      <c r="F4664">
        <v>0</v>
      </c>
      <c r="G4664">
        <v>0</v>
      </c>
      <c r="H4664">
        <f>_xlfn.XLOOKUP(FACT_IMPORTS[[#This Row],[hts_6]],DIM_PRODUCTS[hts_6],DIM_PRODUCTS[hts_4],,,)</f>
        <v>8501</v>
      </c>
      <c r="I4664" t="str" cm="1">
        <f t="array" ref="I4664">_xlfn.XLOOKUP(FACT_IMPORTS[[#This Row],[country_name]],DIM_COUNTRY[[#All],[Column2]],DIM_COUNTRY[[#All],[Column3]],,,)</f>
        <v>Major_Non-USMCA_Non-China</v>
      </c>
    </row>
    <row r="4665" spans="1:9" x14ac:dyDescent="0.4">
      <c r="A4665" t="s">
        <v>68</v>
      </c>
      <c r="B4665" s="1">
        <v>44927</v>
      </c>
      <c r="C4665">
        <v>850152</v>
      </c>
      <c r="D4665" t="s">
        <v>176</v>
      </c>
      <c r="E4665">
        <v>296170</v>
      </c>
      <c r="F4665">
        <v>326</v>
      </c>
      <c r="G4665">
        <v>8894</v>
      </c>
      <c r="H4665">
        <f>_xlfn.XLOOKUP(FACT_IMPORTS[[#This Row],[hts_6]],DIM_PRODUCTS[hts_6],DIM_PRODUCTS[hts_4],,,)</f>
        <v>8501</v>
      </c>
      <c r="I4665" t="str" cm="1">
        <f t="array" ref="I4665">_xlfn.XLOOKUP(FACT_IMPORTS[[#This Row],[country_name]],DIM_COUNTRY[[#All],[Column2]],DIM_COUNTRY[[#All],[Column3]],,,)</f>
        <v>Major_Non-USMCA_Non-China</v>
      </c>
    </row>
    <row r="4666" spans="1:9" x14ac:dyDescent="0.4">
      <c r="A4666" t="s">
        <v>68</v>
      </c>
      <c r="B4666" s="1">
        <v>44927</v>
      </c>
      <c r="C4666">
        <v>850153</v>
      </c>
      <c r="D4666" t="s">
        <v>176</v>
      </c>
      <c r="E4666">
        <v>216979</v>
      </c>
      <c r="F4666">
        <v>6</v>
      </c>
      <c r="G4666">
        <v>3745</v>
      </c>
      <c r="H4666">
        <f>_xlfn.XLOOKUP(FACT_IMPORTS[[#This Row],[hts_6]],DIM_PRODUCTS[hts_6],DIM_PRODUCTS[hts_4],,,)</f>
        <v>8501</v>
      </c>
      <c r="I4666" t="str" cm="1">
        <f t="array" ref="I4666">_xlfn.XLOOKUP(FACT_IMPORTS[[#This Row],[country_name]],DIM_COUNTRY[[#All],[Column2]],DIM_COUNTRY[[#All],[Column3]],,,)</f>
        <v>Major_Non-USMCA_Non-China</v>
      </c>
    </row>
    <row r="4667" spans="1:9" x14ac:dyDescent="0.4">
      <c r="A4667" t="s">
        <v>68</v>
      </c>
      <c r="B4667" s="1">
        <v>44927</v>
      </c>
      <c r="C4667">
        <v>850161</v>
      </c>
      <c r="D4667" t="s">
        <v>176</v>
      </c>
      <c r="E4667">
        <v>3377</v>
      </c>
      <c r="F4667">
        <v>1</v>
      </c>
      <c r="G4667">
        <v>300</v>
      </c>
      <c r="H4667">
        <f>_xlfn.XLOOKUP(FACT_IMPORTS[[#This Row],[hts_6]],DIM_PRODUCTS[hts_6],DIM_PRODUCTS[hts_4],,,)</f>
        <v>8501</v>
      </c>
      <c r="I4667" t="str" cm="1">
        <f t="array" ref="I4667">_xlfn.XLOOKUP(FACT_IMPORTS[[#This Row],[country_name]],DIM_COUNTRY[[#All],[Column2]],DIM_COUNTRY[[#All],[Column3]],,,)</f>
        <v>Major_Non-USMCA_Non-China</v>
      </c>
    </row>
    <row r="4668" spans="1:9" x14ac:dyDescent="0.4">
      <c r="A4668" t="s">
        <v>68</v>
      </c>
      <c r="B4668" s="1">
        <v>44927</v>
      </c>
      <c r="C4668">
        <v>850440</v>
      </c>
      <c r="D4668" t="s">
        <v>176</v>
      </c>
      <c r="E4668">
        <v>1507544</v>
      </c>
      <c r="F4668">
        <v>2368</v>
      </c>
      <c r="G4668">
        <v>14708</v>
      </c>
      <c r="H4668">
        <f>_xlfn.XLOOKUP(FACT_IMPORTS[[#This Row],[hts_6]],DIM_PRODUCTS[hts_6],DIM_PRODUCTS[hts_4],,,)</f>
        <v>8504</v>
      </c>
      <c r="I4668" t="str" cm="1">
        <f t="array" ref="I4668">_xlfn.XLOOKUP(FACT_IMPORTS[[#This Row],[country_name]],DIM_COUNTRY[[#All],[Column2]],DIM_COUNTRY[[#All],[Column3]],,,)</f>
        <v>Major_Non-USMCA_Non-China</v>
      </c>
    </row>
    <row r="4669" spans="1:9" x14ac:dyDescent="0.4">
      <c r="A4669" t="s">
        <v>68</v>
      </c>
      <c r="B4669" s="1">
        <v>44927</v>
      </c>
      <c r="C4669">
        <v>850710</v>
      </c>
      <c r="D4669" t="s">
        <v>176</v>
      </c>
      <c r="E4669">
        <v>0</v>
      </c>
      <c r="F4669">
        <v>0</v>
      </c>
      <c r="G4669">
        <v>0</v>
      </c>
      <c r="H4669">
        <f>_xlfn.XLOOKUP(FACT_IMPORTS[[#This Row],[hts_6]],DIM_PRODUCTS[hts_6],DIM_PRODUCTS[hts_4],,,)</f>
        <v>8507</v>
      </c>
      <c r="I4669" t="str" cm="1">
        <f t="array" ref="I4669">_xlfn.XLOOKUP(FACT_IMPORTS[[#This Row],[country_name]],DIM_COUNTRY[[#All],[Column2]],DIM_COUNTRY[[#All],[Column3]],,,)</f>
        <v>Major_Non-USMCA_Non-China</v>
      </c>
    </row>
    <row r="4670" spans="1:9" x14ac:dyDescent="0.4">
      <c r="A4670" t="s">
        <v>68</v>
      </c>
      <c r="B4670" s="1">
        <v>44927</v>
      </c>
      <c r="C4670">
        <v>850760</v>
      </c>
      <c r="D4670" t="s">
        <v>176</v>
      </c>
      <c r="E4670">
        <v>594446</v>
      </c>
      <c r="F4670">
        <v>531</v>
      </c>
      <c r="G4670">
        <v>13027</v>
      </c>
      <c r="H4670">
        <f>_xlfn.XLOOKUP(FACT_IMPORTS[[#This Row],[hts_6]],DIM_PRODUCTS[hts_6],DIM_PRODUCTS[hts_4],,,)</f>
        <v>8507</v>
      </c>
      <c r="I4670" t="str" cm="1">
        <f t="array" ref="I4670">_xlfn.XLOOKUP(FACT_IMPORTS[[#This Row],[country_name]],DIM_COUNTRY[[#All],[Column2]],DIM_COUNTRY[[#All],[Column3]],,,)</f>
        <v>Major_Non-USMCA_Non-China</v>
      </c>
    </row>
    <row r="4671" spans="1:9" x14ac:dyDescent="0.4">
      <c r="A4671" t="s">
        <v>68</v>
      </c>
      <c r="B4671" s="1">
        <v>44927</v>
      </c>
      <c r="C4671">
        <v>850790</v>
      </c>
      <c r="D4671" t="s">
        <v>176</v>
      </c>
      <c r="E4671">
        <v>1267749</v>
      </c>
      <c r="F4671">
        <v>81161</v>
      </c>
      <c r="G4671">
        <v>48929</v>
      </c>
      <c r="H4671">
        <f>_xlfn.XLOOKUP(FACT_IMPORTS[[#This Row],[hts_6]],DIM_PRODUCTS[hts_6],DIM_PRODUCTS[hts_4],,,)</f>
        <v>8507</v>
      </c>
      <c r="I4671" t="str" cm="1">
        <f t="array" ref="I4671">_xlfn.XLOOKUP(FACT_IMPORTS[[#This Row],[country_name]],DIM_COUNTRY[[#All],[Column2]],DIM_COUNTRY[[#All],[Column3]],,,)</f>
        <v>Major_Non-USMCA_Non-China</v>
      </c>
    </row>
    <row r="4672" spans="1:9" x14ac:dyDescent="0.4">
      <c r="A4672" t="s">
        <v>68</v>
      </c>
      <c r="B4672" s="1">
        <v>44927</v>
      </c>
      <c r="C4672">
        <v>851110</v>
      </c>
      <c r="D4672" t="s">
        <v>176</v>
      </c>
      <c r="E4672">
        <v>91609</v>
      </c>
      <c r="F4672">
        <v>591</v>
      </c>
      <c r="G4672">
        <v>2095</v>
      </c>
      <c r="H4672">
        <f>_xlfn.XLOOKUP(FACT_IMPORTS[[#This Row],[hts_6]],DIM_PRODUCTS[hts_6],DIM_PRODUCTS[hts_4],,,)</f>
        <v>8511</v>
      </c>
      <c r="I4672" t="str" cm="1">
        <f t="array" ref="I4672">_xlfn.XLOOKUP(FACT_IMPORTS[[#This Row],[country_name]],DIM_COUNTRY[[#All],[Column2]],DIM_COUNTRY[[#All],[Column3]],,,)</f>
        <v>Major_Non-USMCA_Non-China</v>
      </c>
    </row>
    <row r="4673" spans="1:9" x14ac:dyDescent="0.4">
      <c r="A4673" t="s">
        <v>68</v>
      </c>
      <c r="B4673" s="1">
        <v>44927</v>
      </c>
      <c r="C4673">
        <v>851120</v>
      </c>
      <c r="D4673" t="s">
        <v>176</v>
      </c>
      <c r="E4673">
        <v>0</v>
      </c>
      <c r="F4673">
        <v>0</v>
      </c>
      <c r="G4673">
        <v>0</v>
      </c>
      <c r="H4673">
        <f>_xlfn.XLOOKUP(FACT_IMPORTS[[#This Row],[hts_6]],DIM_PRODUCTS[hts_6],DIM_PRODUCTS[hts_4],,,)</f>
        <v>8511</v>
      </c>
      <c r="I4673" t="str" cm="1">
        <f t="array" ref="I4673">_xlfn.XLOOKUP(FACT_IMPORTS[[#This Row],[country_name]],DIM_COUNTRY[[#All],[Column2]],DIM_COUNTRY[[#All],[Column3]],,,)</f>
        <v>Major_Non-USMCA_Non-China</v>
      </c>
    </row>
    <row r="4674" spans="1:9" x14ac:dyDescent="0.4">
      <c r="A4674" t="s">
        <v>68</v>
      </c>
      <c r="B4674" s="1">
        <v>44927</v>
      </c>
      <c r="C4674">
        <v>851130</v>
      </c>
      <c r="D4674" t="s">
        <v>176</v>
      </c>
      <c r="E4674">
        <v>12241</v>
      </c>
      <c r="F4674">
        <v>299</v>
      </c>
      <c r="G4674">
        <v>500</v>
      </c>
      <c r="H4674">
        <f>_xlfn.XLOOKUP(FACT_IMPORTS[[#This Row],[hts_6]],DIM_PRODUCTS[hts_6],DIM_PRODUCTS[hts_4],,,)</f>
        <v>8511</v>
      </c>
      <c r="I4674" t="str" cm="1">
        <f t="array" ref="I4674">_xlfn.XLOOKUP(FACT_IMPORTS[[#This Row],[country_name]],DIM_COUNTRY[[#All],[Column2]],DIM_COUNTRY[[#All],[Column3]],,,)</f>
        <v>Major_Non-USMCA_Non-China</v>
      </c>
    </row>
    <row r="4675" spans="1:9" x14ac:dyDescent="0.4">
      <c r="A4675" t="s">
        <v>68</v>
      </c>
      <c r="B4675" s="1">
        <v>44927</v>
      </c>
      <c r="C4675">
        <v>851140</v>
      </c>
      <c r="D4675" t="s">
        <v>176</v>
      </c>
      <c r="E4675">
        <v>0</v>
      </c>
      <c r="F4675">
        <v>0</v>
      </c>
      <c r="G4675">
        <v>0</v>
      </c>
      <c r="H4675">
        <f>_xlfn.XLOOKUP(FACT_IMPORTS[[#This Row],[hts_6]],DIM_PRODUCTS[hts_6],DIM_PRODUCTS[hts_4],,,)</f>
        <v>8511</v>
      </c>
      <c r="I4675" t="str" cm="1">
        <f t="array" ref="I4675">_xlfn.XLOOKUP(FACT_IMPORTS[[#This Row],[country_name]],DIM_COUNTRY[[#All],[Column2]],DIM_COUNTRY[[#All],[Column3]],,,)</f>
        <v>Major_Non-USMCA_Non-China</v>
      </c>
    </row>
    <row r="4676" spans="1:9" x14ac:dyDescent="0.4">
      <c r="A4676" t="s">
        <v>68</v>
      </c>
      <c r="B4676" s="1">
        <v>44927</v>
      </c>
      <c r="C4676">
        <v>851150</v>
      </c>
      <c r="D4676" t="s">
        <v>176</v>
      </c>
      <c r="E4676">
        <v>0</v>
      </c>
      <c r="F4676">
        <v>0</v>
      </c>
      <c r="G4676">
        <v>0</v>
      </c>
      <c r="H4676">
        <f>_xlfn.XLOOKUP(FACT_IMPORTS[[#This Row],[hts_6]],DIM_PRODUCTS[hts_6],DIM_PRODUCTS[hts_4],,,)</f>
        <v>8511</v>
      </c>
      <c r="I4676" t="str" cm="1">
        <f t="array" ref="I4676">_xlfn.XLOOKUP(FACT_IMPORTS[[#This Row],[country_name]],DIM_COUNTRY[[#All],[Column2]],DIM_COUNTRY[[#All],[Column3]],,,)</f>
        <v>Major_Non-USMCA_Non-China</v>
      </c>
    </row>
    <row r="4677" spans="1:9" x14ac:dyDescent="0.4">
      <c r="A4677" t="s">
        <v>68</v>
      </c>
      <c r="B4677" s="1">
        <v>44927</v>
      </c>
      <c r="C4677">
        <v>851180</v>
      </c>
      <c r="D4677" t="s">
        <v>176</v>
      </c>
      <c r="E4677">
        <v>92056</v>
      </c>
      <c r="F4677">
        <v>2901</v>
      </c>
      <c r="G4677">
        <v>1866</v>
      </c>
      <c r="H4677">
        <f>_xlfn.XLOOKUP(FACT_IMPORTS[[#This Row],[hts_6]],DIM_PRODUCTS[hts_6],DIM_PRODUCTS[hts_4],,,)</f>
        <v>8511</v>
      </c>
      <c r="I4677" t="str" cm="1">
        <f t="array" ref="I4677">_xlfn.XLOOKUP(FACT_IMPORTS[[#This Row],[country_name]],DIM_COUNTRY[[#All],[Column2]],DIM_COUNTRY[[#All],[Column3]],,,)</f>
        <v>Major_Non-USMCA_Non-China</v>
      </c>
    </row>
    <row r="4678" spans="1:9" x14ac:dyDescent="0.4">
      <c r="A4678" t="s">
        <v>68</v>
      </c>
      <c r="B4678" s="1">
        <v>44927</v>
      </c>
      <c r="C4678">
        <v>851190</v>
      </c>
      <c r="D4678" t="s">
        <v>176</v>
      </c>
      <c r="E4678">
        <v>0</v>
      </c>
      <c r="F4678">
        <v>0</v>
      </c>
      <c r="G4678">
        <v>0</v>
      </c>
      <c r="H4678">
        <f>_xlfn.XLOOKUP(FACT_IMPORTS[[#This Row],[hts_6]],DIM_PRODUCTS[hts_6],DIM_PRODUCTS[hts_4],,,)</f>
        <v>8511</v>
      </c>
      <c r="I4678" t="str" cm="1">
        <f t="array" ref="I4678">_xlfn.XLOOKUP(FACT_IMPORTS[[#This Row],[country_name]],DIM_COUNTRY[[#All],[Column2]],DIM_COUNTRY[[#All],[Column3]],,,)</f>
        <v>Major_Non-USMCA_Non-China</v>
      </c>
    </row>
    <row r="4679" spans="1:9" x14ac:dyDescent="0.4">
      <c r="A4679" t="s">
        <v>68</v>
      </c>
      <c r="B4679" s="1">
        <v>44927</v>
      </c>
      <c r="C4679">
        <v>851220</v>
      </c>
      <c r="D4679" t="s">
        <v>176</v>
      </c>
      <c r="E4679">
        <v>138068</v>
      </c>
      <c r="F4679">
        <v>14117</v>
      </c>
      <c r="G4679">
        <v>3961</v>
      </c>
      <c r="H4679">
        <f>_xlfn.XLOOKUP(FACT_IMPORTS[[#This Row],[hts_6]],DIM_PRODUCTS[hts_6],DIM_PRODUCTS[hts_4],,,)</f>
        <v>8512</v>
      </c>
      <c r="I4679" t="str" cm="1">
        <f t="array" ref="I4679">_xlfn.XLOOKUP(FACT_IMPORTS[[#This Row],[country_name]],DIM_COUNTRY[[#All],[Column2]],DIM_COUNTRY[[#All],[Column3]],,,)</f>
        <v>Major_Non-USMCA_Non-China</v>
      </c>
    </row>
    <row r="4680" spans="1:9" x14ac:dyDescent="0.4">
      <c r="A4680" t="s">
        <v>68</v>
      </c>
      <c r="B4680" s="1">
        <v>44927</v>
      </c>
      <c r="C4680">
        <v>851230</v>
      </c>
      <c r="D4680" t="s">
        <v>176</v>
      </c>
      <c r="E4680">
        <v>0</v>
      </c>
      <c r="F4680">
        <v>0</v>
      </c>
      <c r="G4680">
        <v>0</v>
      </c>
      <c r="H4680">
        <f>_xlfn.XLOOKUP(FACT_IMPORTS[[#This Row],[hts_6]],DIM_PRODUCTS[hts_6],DIM_PRODUCTS[hts_4],,,)</f>
        <v>8512</v>
      </c>
      <c r="I4680" t="str" cm="1">
        <f t="array" ref="I4680">_xlfn.XLOOKUP(FACT_IMPORTS[[#This Row],[country_name]],DIM_COUNTRY[[#All],[Column2]],DIM_COUNTRY[[#All],[Column3]],,,)</f>
        <v>Major_Non-USMCA_Non-China</v>
      </c>
    </row>
    <row r="4681" spans="1:9" x14ac:dyDescent="0.4">
      <c r="A4681" t="s">
        <v>68</v>
      </c>
      <c r="B4681" s="1">
        <v>44927</v>
      </c>
      <c r="C4681">
        <v>851290</v>
      </c>
      <c r="D4681" t="s">
        <v>176</v>
      </c>
      <c r="E4681">
        <v>0</v>
      </c>
      <c r="F4681">
        <v>0</v>
      </c>
      <c r="G4681">
        <v>0</v>
      </c>
      <c r="H4681">
        <f>_xlfn.XLOOKUP(FACT_IMPORTS[[#This Row],[hts_6]],DIM_PRODUCTS[hts_6],DIM_PRODUCTS[hts_4],,,)</f>
        <v>8512</v>
      </c>
      <c r="I4681" t="str" cm="1">
        <f t="array" ref="I4681">_xlfn.XLOOKUP(FACT_IMPORTS[[#This Row],[country_name]],DIM_COUNTRY[[#All],[Column2]],DIM_COUNTRY[[#All],[Column3]],,,)</f>
        <v>Major_Non-USMCA_Non-China</v>
      </c>
    </row>
    <row r="4682" spans="1:9" x14ac:dyDescent="0.4">
      <c r="A4682" t="s">
        <v>68</v>
      </c>
      <c r="B4682" s="1">
        <v>44927</v>
      </c>
      <c r="C4682">
        <v>854231</v>
      </c>
      <c r="D4682" t="s">
        <v>176</v>
      </c>
      <c r="E4682">
        <v>88798</v>
      </c>
      <c r="F4682">
        <v>109</v>
      </c>
      <c r="G4682">
        <v>2276</v>
      </c>
      <c r="H4682">
        <f>_xlfn.XLOOKUP(FACT_IMPORTS[[#This Row],[hts_6]],DIM_PRODUCTS[hts_6],DIM_PRODUCTS[hts_4],,,)</f>
        <v>8542</v>
      </c>
      <c r="I4682" t="str" cm="1">
        <f t="array" ref="I4682">_xlfn.XLOOKUP(FACT_IMPORTS[[#This Row],[country_name]],DIM_COUNTRY[[#All],[Column2]],DIM_COUNTRY[[#All],[Column3]],,,)</f>
        <v>Major_Non-USMCA_Non-China</v>
      </c>
    </row>
    <row r="4683" spans="1:9" x14ac:dyDescent="0.4">
      <c r="A4683" t="s">
        <v>68</v>
      </c>
      <c r="B4683" s="1">
        <v>44927</v>
      </c>
      <c r="C4683">
        <v>854232</v>
      </c>
      <c r="D4683" t="s">
        <v>176</v>
      </c>
      <c r="E4683">
        <v>0</v>
      </c>
      <c r="F4683">
        <v>0</v>
      </c>
      <c r="G4683">
        <v>0</v>
      </c>
      <c r="H4683">
        <f>_xlfn.XLOOKUP(FACT_IMPORTS[[#This Row],[hts_6]],DIM_PRODUCTS[hts_6],DIM_PRODUCTS[hts_4],,,)</f>
        <v>8542</v>
      </c>
      <c r="I4683" t="str" cm="1">
        <f t="array" ref="I4683">_xlfn.XLOOKUP(FACT_IMPORTS[[#This Row],[country_name]],DIM_COUNTRY[[#All],[Column2]],DIM_COUNTRY[[#All],[Column3]],,,)</f>
        <v>Major_Non-USMCA_Non-China</v>
      </c>
    </row>
    <row r="4684" spans="1:9" x14ac:dyDescent="0.4">
      <c r="A4684" t="s">
        <v>68</v>
      </c>
      <c r="B4684" s="1">
        <v>44927</v>
      </c>
      <c r="C4684">
        <v>854233</v>
      </c>
      <c r="D4684" t="s">
        <v>176</v>
      </c>
      <c r="E4684">
        <v>0</v>
      </c>
      <c r="F4684">
        <v>0</v>
      </c>
      <c r="G4684">
        <v>0</v>
      </c>
      <c r="H4684">
        <f>_xlfn.XLOOKUP(FACT_IMPORTS[[#This Row],[hts_6]],DIM_PRODUCTS[hts_6],DIM_PRODUCTS[hts_4],,,)</f>
        <v>8542</v>
      </c>
      <c r="I4684" t="str" cm="1">
        <f t="array" ref="I4684">_xlfn.XLOOKUP(FACT_IMPORTS[[#This Row],[country_name]],DIM_COUNTRY[[#All],[Column2]],DIM_COUNTRY[[#All],[Column3]],,,)</f>
        <v>Major_Non-USMCA_Non-China</v>
      </c>
    </row>
    <row r="4685" spans="1:9" x14ac:dyDescent="0.4">
      <c r="A4685" t="s">
        <v>68</v>
      </c>
      <c r="B4685" s="1">
        <v>44927</v>
      </c>
      <c r="C4685">
        <v>854239</v>
      </c>
      <c r="D4685" t="s">
        <v>176</v>
      </c>
      <c r="E4685">
        <v>0</v>
      </c>
      <c r="F4685">
        <v>0</v>
      </c>
      <c r="G4685">
        <v>0</v>
      </c>
      <c r="H4685">
        <f>_xlfn.XLOOKUP(FACT_IMPORTS[[#This Row],[hts_6]],DIM_PRODUCTS[hts_6],DIM_PRODUCTS[hts_4],,,)</f>
        <v>8542</v>
      </c>
      <c r="I4685" t="str" cm="1">
        <f t="array" ref="I4685">_xlfn.XLOOKUP(FACT_IMPORTS[[#This Row],[country_name]],DIM_COUNTRY[[#All],[Column2]],DIM_COUNTRY[[#All],[Column3]],,,)</f>
        <v>Major_Non-USMCA_Non-China</v>
      </c>
    </row>
    <row r="4686" spans="1:9" x14ac:dyDescent="0.4">
      <c r="A4686" t="s">
        <v>68</v>
      </c>
      <c r="B4686" s="1">
        <v>44927</v>
      </c>
      <c r="C4686">
        <v>854290</v>
      </c>
      <c r="D4686" t="s">
        <v>176</v>
      </c>
      <c r="E4686">
        <v>3365</v>
      </c>
      <c r="F4686">
        <v>6</v>
      </c>
      <c r="G4686">
        <v>6</v>
      </c>
      <c r="H4686">
        <f>_xlfn.XLOOKUP(FACT_IMPORTS[[#This Row],[hts_6]],DIM_PRODUCTS[hts_6],DIM_PRODUCTS[hts_4],,,)</f>
        <v>8542</v>
      </c>
      <c r="I4686" t="str" cm="1">
        <f t="array" ref="I4686">_xlfn.XLOOKUP(FACT_IMPORTS[[#This Row],[country_name]],DIM_COUNTRY[[#All],[Column2]],DIM_COUNTRY[[#All],[Column3]],,,)</f>
        <v>Major_Non-USMCA_Non-China</v>
      </c>
    </row>
    <row r="4687" spans="1:9" x14ac:dyDescent="0.4">
      <c r="A4687" t="s">
        <v>68</v>
      </c>
      <c r="B4687" s="1">
        <v>44927</v>
      </c>
      <c r="C4687">
        <v>854430</v>
      </c>
      <c r="D4687" t="s">
        <v>176</v>
      </c>
      <c r="E4687">
        <v>314404</v>
      </c>
      <c r="F4687">
        <v>13633</v>
      </c>
      <c r="G4687">
        <v>5244</v>
      </c>
      <c r="H4687">
        <f>_xlfn.XLOOKUP(FACT_IMPORTS[[#This Row],[hts_6]],DIM_PRODUCTS[hts_6],DIM_PRODUCTS[hts_4],,,)</f>
        <v>8544</v>
      </c>
      <c r="I4687" t="str" cm="1">
        <f t="array" ref="I4687">_xlfn.XLOOKUP(FACT_IMPORTS[[#This Row],[country_name]],DIM_COUNTRY[[#All],[Column2]],DIM_COUNTRY[[#All],[Column3]],,,)</f>
        <v>Major_Non-USMCA_Non-China</v>
      </c>
    </row>
    <row r="4688" spans="1:9" x14ac:dyDescent="0.4">
      <c r="A4688" t="s">
        <v>68</v>
      </c>
      <c r="B4688" s="1">
        <v>44927</v>
      </c>
      <c r="C4688">
        <v>870790</v>
      </c>
      <c r="D4688" t="s">
        <v>176</v>
      </c>
      <c r="E4688">
        <v>0</v>
      </c>
      <c r="F4688">
        <v>0</v>
      </c>
      <c r="G4688">
        <v>0</v>
      </c>
      <c r="H4688">
        <f>_xlfn.XLOOKUP(FACT_IMPORTS[[#This Row],[hts_6]],DIM_PRODUCTS[hts_6],DIM_PRODUCTS[hts_4],,,)</f>
        <v>8707</v>
      </c>
      <c r="I4688" t="str" cm="1">
        <f t="array" ref="I4688">_xlfn.XLOOKUP(FACT_IMPORTS[[#This Row],[country_name]],DIM_COUNTRY[[#All],[Column2]],DIM_COUNTRY[[#All],[Column3]],,,)</f>
        <v>Major_Non-USMCA_Non-China</v>
      </c>
    </row>
    <row r="4689" spans="1:9" x14ac:dyDescent="0.4">
      <c r="A4689" t="s">
        <v>68</v>
      </c>
      <c r="B4689" s="1">
        <v>44927</v>
      </c>
      <c r="C4689">
        <v>870810</v>
      </c>
      <c r="D4689" t="s">
        <v>176</v>
      </c>
      <c r="E4689">
        <v>17185</v>
      </c>
      <c r="F4689">
        <v>363</v>
      </c>
      <c r="G4689">
        <v>222</v>
      </c>
      <c r="H4689">
        <f>_xlfn.XLOOKUP(FACT_IMPORTS[[#This Row],[hts_6]],DIM_PRODUCTS[hts_6],DIM_PRODUCTS[hts_4],,,)</f>
        <v>8708</v>
      </c>
      <c r="I4689" t="str" cm="1">
        <f t="array" ref="I4689">_xlfn.XLOOKUP(FACT_IMPORTS[[#This Row],[country_name]],DIM_COUNTRY[[#All],[Column2]],DIM_COUNTRY[[#All],[Column3]],,,)</f>
        <v>Major_Non-USMCA_Non-China</v>
      </c>
    </row>
    <row r="4690" spans="1:9" x14ac:dyDescent="0.4">
      <c r="A4690" t="s">
        <v>68</v>
      </c>
      <c r="B4690" s="1">
        <v>44927</v>
      </c>
      <c r="C4690">
        <v>870822</v>
      </c>
      <c r="D4690" t="s">
        <v>176</v>
      </c>
      <c r="E4690">
        <v>24090</v>
      </c>
      <c r="F4690">
        <v>160</v>
      </c>
      <c r="G4690">
        <v>3</v>
      </c>
      <c r="H4690">
        <f>_xlfn.XLOOKUP(FACT_IMPORTS[[#This Row],[hts_6]],DIM_PRODUCTS[hts_6],DIM_PRODUCTS[hts_4],,,)</f>
        <v>8708</v>
      </c>
      <c r="I4690" t="str" cm="1">
        <f t="array" ref="I4690">_xlfn.XLOOKUP(FACT_IMPORTS[[#This Row],[country_name]],DIM_COUNTRY[[#All],[Column2]],DIM_COUNTRY[[#All],[Column3]],,,)</f>
        <v>Major_Non-USMCA_Non-China</v>
      </c>
    </row>
    <row r="4691" spans="1:9" x14ac:dyDescent="0.4">
      <c r="A4691" t="s">
        <v>68</v>
      </c>
      <c r="B4691" s="1">
        <v>44927</v>
      </c>
      <c r="C4691">
        <v>870829</v>
      </c>
      <c r="D4691" t="s">
        <v>176</v>
      </c>
      <c r="E4691">
        <v>1475571</v>
      </c>
      <c r="F4691">
        <v>875481</v>
      </c>
      <c r="G4691">
        <v>37896</v>
      </c>
      <c r="H4691">
        <f>_xlfn.XLOOKUP(FACT_IMPORTS[[#This Row],[hts_6]],DIM_PRODUCTS[hts_6],DIM_PRODUCTS[hts_4],,,)</f>
        <v>8708</v>
      </c>
      <c r="I4691" t="str" cm="1">
        <f t="array" ref="I4691">_xlfn.XLOOKUP(FACT_IMPORTS[[#This Row],[country_name]],DIM_COUNTRY[[#All],[Column2]],DIM_COUNTRY[[#All],[Column3]],,,)</f>
        <v>Major_Non-USMCA_Non-China</v>
      </c>
    </row>
    <row r="4692" spans="1:9" x14ac:dyDescent="0.4">
      <c r="A4692" t="s">
        <v>68</v>
      </c>
      <c r="B4692" s="1">
        <v>44927</v>
      </c>
      <c r="C4692">
        <v>870830</v>
      </c>
      <c r="D4692" t="s">
        <v>176</v>
      </c>
      <c r="E4692">
        <v>147922</v>
      </c>
      <c r="F4692">
        <v>16157</v>
      </c>
      <c r="G4692">
        <v>3563</v>
      </c>
      <c r="H4692">
        <f>_xlfn.XLOOKUP(FACT_IMPORTS[[#This Row],[hts_6]],DIM_PRODUCTS[hts_6],DIM_PRODUCTS[hts_4],,,)</f>
        <v>8708</v>
      </c>
      <c r="I4692" t="str" cm="1">
        <f t="array" ref="I4692">_xlfn.XLOOKUP(FACT_IMPORTS[[#This Row],[country_name]],DIM_COUNTRY[[#All],[Column2]],DIM_COUNTRY[[#All],[Column3]],,,)</f>
        <v>Major_Non-USMCA_Non-China</v>
      </c>
    </row>
    <row r="4693" spans="1:9" x14ac:dyDescent="0.4">
      <c r="A4693" t="s">
        <v>68</v>
      </c>
      <c r="B4693" s="1">
        <v>44927</v>
      </c>
      <c r="C4693">
        <v>870840</v>
      </c>
      <c r="D4693" t="s">
        <v>176</v>
      </c>
      <c r="E4693">
        <v>106577179</v>
      </c>
      <c r="F4693">
        <v>820018</v>
      </c>
      <c r="G4693">
        <v>166706</v>
      </c>
      <c r="H4693">
        <f>_xlfn.XLOOKUP(FACT_IMPORTS[[#This Row],[hts_6]],DIM_PRODUCTS[hts_6],DIM_PRODUCTS[hts_4],,,)</f>
        <v>8708</v>
      </c>
      <c r="I4693" t="str" cm="1">
        <f t="array" ref="I4693">_xlfn.XLOOKUP(FACT_IMPORTS[[#This Row],[country_name]],DIM_COUNTRY[[#All],[Column2]],DIM_COUNTRY[[#All],[Column3]],,,)</f>
        <v>Major_Non-USMCA_Non-China</v>
      </c>
    </row>
    <row r="4694" spans="1:9" x14ac:dyDescent="0.4">
      <c r="A4694" t="s">
        <v>68</v>
      </c>
      <c r="B4694" s="1">
        <v>44927</v>
      </c>
      <c r="C4694">
        <v>870850</v>
      </c>
      <c r="D4694" t="s">
        <v>176</v>
      </c>
      <c r="E4694">
        <v>9070458</v>
      </c>
      <c r="F4694">
        <v>576695</v>
      </c>
      <c r="G4694">
        <v>114308</v>
      </c>
      <c r="H4694">
        <f>_xlfn.XLOOKUP(FACT_IMPORTS[[#This Row],[hts_6]],DIM_PRODUCTS[hts_6],DIM_PRODUCTS[hts_4],,,)</f>
        <v>8708</v>
      </c>
      <c r="I4694" t="str" cm="1">
        <f t="array" ref="I4694">_xlfn.XLOOKUP(FACT_IMPORTS[[#This Row],[country_name]],DIM_COUNTRY[[#All],[Column2]],DIM_COUNTRY[[#All],[Column3]],,,)</f>
        <v>Major_Non-USMCA_Non-China</v>
      </c>
    </row>
    <row r="4695" spans="1:9" x14ac:dyDescent="0.4">
      <c r="A4695" t="s">
        <v>68</v>
      </c>
      <c r="B4695" s="1">
        <v>44927</v>
      </c>
      <c r="C4695">
        <v>870870</v>
      </c>
      <c r="D4695" t="s">
        <v>176</v>
      </c>
      <c r="E4695">
        <v>14450</v>
      </c>
      <c r="F4695">
        <v>120</v>
      </c>
      <c r="G4695">
        <v>247</v>
      </c>
      <c r="H4695">
        <f>_xlfn.XLOOKUP(FACT_IMPORTS[[#This Row],[hts_6]],DIM_PRODUCTS[hts_6],DIM_PRODUCTS[hts_4],,,)</f>
        <v>8708</v>
      </c>
      <c r="I4695" t="str" cm="1">
        <f t="array" ref="I4695">_xlfn.XLOOKUP(FACT_IMPORTS[[#This Row],[country_name]],DIM_COUNTRY[[#All],[Column2]],DIM_COUNTRY[[#All],[Column3]],,,)</f>
        <v>Major_Non-USMCA_Non-China</v>
      </c>
    </row>
    <row r="4696" spans="1:9" x14ac:dyDescent="0.4">
      <c r="A4696" t="s">
        <v>68</v>
      </c>
      <c r="B4696" s="1">
        <v>44927</v>
      </c>
      <c r="C4696">
        <v>870880</v>
      </c>
      <c r="D4696" t="s">
        <v>176</v>
      </c>
      <c r="E4696">
        <v>1284568</v>
      </c>
      <c r="F4696">
        <v>1010345</v>
      </c>
      <c r="G4696">
        <v>65229</v>
      </c>
      <c r="H4696">
        <f>_xlfn.XLOOKUP(FACT_IMPORTS[[#This Row],[hts_6]],DIM_PRODUCTS[hts_6],DIM_PRODUCTS[hts_4],,,)</f>
        <v>8708</v>
      </c>
      <c r="I4696" t="str" cm="1">
        <f t="array" ref="I4696">_xlfn.XLOOKUP(FACT_IMPORTS[[#This Row],[country_name]],DIM_COUNTRY[[#All],[Column2]],DIM_COUNTRY[[#All],[Column3]],,,)</f>
        <v>Major_Non-USMCA_Non-China</v>
      </c>
    </row>
    <row r="4697" spans="1:9" x14ac:dyDescent="0.4">
      <c r="A4697" t="s">
        <v>68</v>
      </c>
      <c r="B4697" s="1">
        <v>44927</v>
      </c>
      <c r="C4697">
        <v>870891</v>
      </c>
      <c r="D4697" t="s">
        <v>176</v>
      </c>
      <c r="E4697">
        <v>55047</v>
      </c>
      <c r="F4697">
        <v>398</v>
      </c>
      <c r="G4697">
        <v>3634</v>
      </c>
      <c r="H4697">
        <f>_xlfn.XLOOKUP(FACT_IMPORTS[[#This Row],[hts_6]],DIM_PRODUCTS[hts_6],DIM_PRODUCTS[hts_4],,,)</f>
        <v>8708</v>
      </c>
      <c r="I4697" t="str" cm="1">
        <f t="array" ref="I4697">_xlfn.XLOOKUP(FACT_IMPORTS[[#This Row],[country_name]],DIM_COUNTRY[[#All],[Column2]],DIM_COUNTRY[[#All],[Column3]],,,)</f>
        <v>Major_Non-USMCA_Non-China</v>
      </c>
    </row>
    <row r="4698" spans="1:9" x14ac:dyDescent="0.4">
      <c r="A4698" t="s">
        <v>68</v>
      </c>
      <c r="B4698" s="1">
        <v>44927</v>
      </c>
      <c r="C4698">
        <v>870892</v>
      </c>
      <c r="D4698" t="s">
        <v>176</v>
      </c>
      <c r="E4698">
        <v>48421</v>
      </c>
      <c r="F4698">
        <v>794</v>
      </c>
      <c r="G4698">
        <v>6339</v>
      </c>
      <c r="H4698">
        <f>_xlfn.XLOOKUP(FACT_IMPORTS[[#This Row],[hts_6]],DIM_PRODUCTS[hts_6],DIM_PRODUCTS[hts_4],,,)</f>
        <v>8708</v>
      </c>
      <c r="I4698" t="str" cm="1">
        <f t="array" ref="I4698">_xlfn.XLOOKUP(FACT_IMPORTS[[#This Row],[country_name]],DIM_COUNTRY[[#All],[Column2]],DIM_COUNTRY[[#All],[Column3]],,,)</f>
        <v>Major_Non-USMCA_Non-China</v>
      </c>
    </row>
    <row r="4699" spans="1:9" x14ac:dyDescent="0.4">
      <c r="A4699" t="s">
        <v>68</v>
      </c>
      <c r="B4699" s="1">
        <v>44927</v>
      </c>
      <c r="C4699">
        <v>870893</v>
      </c>
      <c r="D4699" t="s">
        <v>176</v>
      </c>
      <c r="E4699">
        <v>186894</v>
      </c>
      <c r="F4699">
        <v>1308</v>
      </c>
      <c r="G4699">
        <v>3470</v>
      </c>
      <c r="H4699">
        <f>_xlfn.XLOOKUP(FACT_IMPORTS[[#This Row],[hts_6]],DIM_PRODUCTS[hts_6],DIM_PRODUCTS[hts_4],,,)</f>
        <v>8708</v>
      </c>
      <c r="I4699" t="str" cm="1">
        <f t="array" ref="I4699">_xlfn.XLOOKUP(FACT_IMPORTS[[#This Row],[country_name]],DIM_COUNTRY[[#All],[Column2]],DIM_COUNTRY[[#All],[Column3]],,,)</f>
        <v>Major_Non-USMCA_Non-China</v>
      </c>
    </row>
    <row r="4700" spans="1:9" x14ac:dyDescent="0.4">
      <c r="A4700" t="s">
        <v>68</v>
      </c>
      <c r="B4700" s="1">
        <v>44927</v>
      </c>
      <c r="C4700">
        <v>870894</v>
      </c>
      <c r="D4700" t="s">
        <v>176</v>
      </c>
      <c r="E4700">
        <v>177505</v>
      </c>
      <c r="F4700">
        <v>506</v>
      </c>
      <c r="G4700">
        <v>3258</v>
      </c>
      <c r="H4700">
        <f>_xlfn.XLOOKUP(FACT_IMPORTS[[#This Row],[hts_6]],DIM_PRODUCTS[hts_6],DIM_PRODUCTS[hts_4],,,)</f>
        <v>8708</v>
      </c>
      <c r="I4700" t="str" cm="1">
        <f t="array" ref="I4700">_xlfn.XLOOKUP(FACT_IMPORTS[[#This Row],[country_name]],DIM_COUNTRY[[#All],[Column2]],DIM_COUNTRY[[#All],[Column3]],,,)</f>
        <v>Major_Non-USMCA_Non-China</v>
      </c>
    </row>
    <row r="4701" spans="1:9" x14ac:dyDescent="0.4">
      <c r="A4701" t="s">
        <v>68</v>
      </c>
      <c r="B4701" s="1">
        <v>44927</v>
      </c>
      <c r="C4701">
        <v>870895</v>
      </c>
      <c r="D4701" t="s">
        <v>176</v>
      </c>
      <c r="E4701">
        <v>15210</v>
      </c>
      <c r="F4701">
        <v>1677</v>
      </c>
      <c r="G4701">
        <v>1847</v>
      </c>
      <c r="H4701">
        <f>_xlfn.XLOOKUP(FACT_IMPORTS[[#This Row],[hts_6]],DIM_PRODUCTS[hts_6],DIM_PRODUCTS[hts_4],,,)</f>
        <v>8708</v>
      </c>
      <c r="I4701" t="str" cm="1">
        <f t="array" ref="I4701">_xlfn.XLOOKUP(FACT_IMPORTS[[#This Row],[country_name]],DIM_COUNTRY[[#All],[Column2]],DIM_COUNTRY[[#All],[Column3]],,,)</f>
        <v>Major_Non-USMCA_Non-China</v>
      </c>
    </row>
    <row r="4702" spans="1:9" x14ac:dyDescent="0.4">
      <c r="A4702" t="s">
        <v>68</v>
      </c>
      <c r="B4702" s="1">
        <v>44927</v>
      </c>
      <c r="C4702">
        <v>870899</v>
      </c>
      <c r="D4702" t="s">
        <v>176</v>
      </c>
      <c r="E4702">
        <v>1931260</v>
      </c>
      <c r="F4702">
        <v>574489</v>
      </c>
      <c r="G4702">
        <v>34577</v>
      </c>
      <c r="H4702">
        <f>_xlfn.XLOOKUP(FACT_IMPORTS[[#This Row],[hts_6]],DIM_PRODUCTS[hts_6],DIM_PRODUCTS[hts_4],,,)</f>
        <v>8708</v>
      </c>
      <c r="I4702" t="str" cm="1">
        <f t="array" ref="I4702">_xlfn.XLOOKUP(FACT_IMPORTS[[#This Row],[country_name]],DIM_COUNTRY[[#All],[Column2]],DIM_COUNTRY[[#All],[Column3]],,,)</f>
        <v>Major_Non-USMCA_Non-China</v>
      </c>
    </row>
    <row r="4703" spans="1:9" x14ac:dyDescent="0.4">
      <c r="A4703" t="s">
        <v>68</v>
      </c>
      <c r="B4703" s="1">
        <v>44927</v>
      </c>
      <c r="C4703">
        <v>940120</v>
      </c>
      <c r="D4703" t="s">
        <v>176</v>
      </c>
      <c r="E4703">
        <v>75194</v>
      </c>
      <c r="F4703">
        <v>52</v>
      </c>
      <c r="G4703">
        <v>3885</v>
      </c>
      <c r="H4703">
        <f>_xlfn.XLOOKUP(FACT_IMPORTS[[#This Row],[hts_6]],DIM_PRODUCTS[hts_6],DIM_PRODUCTS[hts_4],,,)</f>
        <v>9401</v>
      </c>
      <c r="I4703" t="str" cm="1">
        <f t="array" ref="I4703">_xlfn.XLOOKUP(FACT_IMPORTS[[#This Row],[country_name]],DIM_COUNTRY[[#All],[Column2]],DIM_COUNTRY[[#All],[Column3]],,,)</f>
        <v>Major_Non-USMCA_Non-China</v>
      </c>
    </row>
    <row r="4704" spans="1:9" x14ac:dyDescent="0.4">
      <c r="A4704" t="s">
        <v>68</v>
      </c>
      <c r="B4704" s="1">
        <v>44958</v>
      </c>
      <c r="C4704">
        <v>392630</v>
      </c>
      <c r="D4704" t="s">
        <v>176</v>
      </c>
      <c r="E4704">
        <v>242838</v>
      </c>
      <c r="F4704">
        <v>28955</v>
      </c>
      <c r="G4704">
        <v>7227</v>
      </c>
      <c r="H4704">
        <f>_xlfn.XLOOKUP(FACT_IMPORTS[[#This Row],[hts_6]],DIM_PRODUCTS[hts_6],DIM_PRODUCTS[hts_4],,,)</f>
        <v>3926</v>
      </c>
      <c r="I4704" t="str" cm="1">
        <f t="array" ref="I4704">_xlfn.XLOOKUP(FACT_IMPORTS[[#This Row],[country_name]],DIM_COUNTRY[[#All],[Column2]],DIM_COUNTRY[[#All],[Column3]],,,)</f>
        <v>Major_Non-USMCA_Non-China</v>
      </c>
    </row>
    <row r="4705" spans="1:9" x14ac:dyDescent="0.4">
      <c r="A4705" t="s">
        <v>68</v>
      </c>
      <c r="B4705" s="1">
        <v>44958</v>
      </c>
      <c r="C4705">
        <v>401110</v>
      </c>
      <c r="D4705" t="s">
        <v>176</v>
      </c>
      <c r="E4705">
        <v>0</v>
      </c>
      <c r="F4705">
        <v>0</v>
      </c>
      <c r="G4705">
        <v>0</v>
      </c>
      <c r="H4705">
        <f>_xlfn.XLOOKUP(FACT_IMPORTS[[#This Row],[hts_6]],DIM_PRODUCTS[hts_6],DIM_PRODUCTS[hts_4],,,)</f>
        <v>4011</v>
      </c>
      <c r="I4705" t="str" cm="1">
        <f t="array" ref="I4705">_xlfn.XLOOKUP(FACT_IMPORTS[[#This Row],[country_name]],DIM_COUNTRY[[#All],[Column2]],DIM_COUNTRY[[#All],[Column3]],,,)</f>
        <v>Major_Non-USMCA_Non-China</v>
      </c>
    </row>
    <row r="4706" spans="1:9" x14ac:dyDescent="0.4">
      <c r="A4706" t="s">
        <v>68</v>
      </c>
      <c r="B4706" s="1">
        <v>44958</v>
      </c>
      <c r="C4706">
        <v>401120</v>
      </c>
      <c r="D4706" t="s">
        <v>176</v>
      </c>
      <c r="E4706">
        <v>0</v>
      </c>
      <c r="F4706">
        <v>0</v>
      </c>
      <c r="G4706">
        <v>0</v>
      </c>
      <c r="H4706">
        <f>_xlfn.XLOOKUP(FACT_IMPORTS[[#This Row],[hts_6]],DIM_PRODUCTS[hts_6],DIM_PRODUCTS[hts_4],,,)</f>
        <v>4011</v>
      </c>
      <c r="I4706" t="str" cm="1">
        <f t="array" ref="I4706">_xlfn.XLOOKUP(FACT_IMPORTS[[#This Row],[country_name]],DIM_COUNTRY[[#All],[Column2]],DIM_COUNTRY[[#All],[Column3]],,,)</f>
        <v>Major_Non-USMCA_Non-China</v>
      </c>
    </row>
    <row r="4707" spans="1:9" x14ac:dyDescent="0.4">
      <c r="A4707" t="s">
        <v>68</v>
      </c>
      <c r="B4707" s="1">
        <v>44958</v>
      </c>
      <c r="C4707">
        <v>401140</v>
      </c>
      <c r="D4707" t="s">
        <v>176</v>
      </c>
      <c r="E4707">
        <v>1200</v>
      </c>
      <c r="F4707">
        <v>4</v>
      </c>
      <c r="G4707">
        <v>386</v>
      </c>
      <c r="H4707">
        <f>_xlfn.XLOOKUP(FACT_IMPORTS[[#This Row],[hts_6]],DIM_PRODUCTS[hts_6],DIM_PRODUCTS[hts_4],,,)</f>
        <v>4011</v>
      </c>
      <c r="I4707" t="str" cm="1">
        <f t="array" ref="I4707">_xlfn.XLOOKUP(FACT_IMPORTS[[#This Row],[country_name]],DIM_COUNTRY[[#All],[Column2]],DIM_COUNTRY[[#All],[Column3]],,,)</f>
        <v>Major_Non-USMCA_Non-China</v>
      </c>
    </row>
    <row r="4708" spans="1:9" x14ac:dyDescent="0.4">
      <c r="A4708" t="s">
        <v>68</v>
      </c>
      <c r="B4708" s="1">
        <v>44958</v>
      </c>
      <c r="C4708">
        <v>401190</v>
      </c>
      <c r="D4708" t="s">
        <v>176</v>
      </c>
      <c r="E4708">
        <v>65629</v>
      </c>
      <c r="F4708">
        <v>2256</v>
      </c>
      <c r="G4708">
        <v>6000</v>
      </c>
      <c r="H4708">
        <f>_xlfn.XLOOKUP(FACT_IMPORTS[[#This Row],[hts_6]],DIM_PRODUCTS[hts_6],DIM_PRODUCTS[hts_4],,,)</f>
        <v>4011</v>
      </c>
      <c r="I4708" t="str" cm="1">
        <f t="array" ref="I4708">_xlfn.XLOOKUP(FACT_IMPORTS[[#This Row],[country_name]],DIM_COUNTRY[[#All],[Column2]],DIM_COUNTRY[[#All],[Column3]],,,)</f>
        <v>Major_Non-USMCA_Non-China</v>
      </c>
    </row>
    <row r="4709" spans="1:9" x14ac:dyDescent="0.4">
      <c r="A4709" t="s">
        <v>68</v>
      </c>
      <c r="B4709" s="1">
        <v>44958</v>
      </c>
      <c r="C4709">
        <v>700711</v>
      </c>
      <c r="D4709" t="s">
        <v>176</v>
      </c>
      <c r="E4709">
        <v>0</v>
      </c>
      <c r="F4709">
        <v>0</v>
      </c>
      <c r="G4709">
        <v>0</v>
      </c>
      <c r="H4709">
        <f>_xlfn.XLOOKUP(FACT_IMPORTS[[#This Row],[hts_6]],DIM_PRODUCTS[hts_6],DIM_PRODUCTS[hts_4],,,)</f>
        <v>7007</v>
      </c>
      <c r="I4709" t="str" cm="1">
        <f t="array" ref="I4709">_xlfn.XLOOKUP(FACT_IMPORTS[[#This Row],[country_name]],DIM_COUNTRY[[#All],[Column2]],DIM_COUNTRY[[#All],[Column3]],,,)</f>
        <v>Major_Non-USMCA_Non-China</v>
      </c>
    </row>
    <row r="4710" spans="1:9" x14ac:dyDescent="0.4">
      <c r="A4710" t="s">
        <v>68</v>
      </c>
      <c r="B4710" s="1">
        <v>44958</v>
      </c>
      <c r="C4710">
        <v>700721</v>
      </c>
      <c r="D4710" t="s">
        <v>176</v>
      </c>
      <c r="E4710">
        <v>0</v>
      </c>
      <c r="F4710">
        <v>0</v>
      </c>
      <c r="G4710">
        <v>0</v>
      </c>
      <c r="H4710">
        <f>_xlfn.XLOOKUP(FACT_IMPORTS[[#This Row],[hts_6]],DIM_PRODUCTS[hts_6],DIM_PRODUCTS[hts_4],,,)</f>
        <v>7007</v>
      </c>
      <c r="I4710" t="str" cm="1">
        <f t="array" ref="I4710">_xlfn.XLOOKUP(FACT_IMPORTS[[#This Row],[country_name]],DIM_COUNTRY[[#All],[Column2]],DIM_COUNTRY[[#All],[Column3]],,,)</f>
        <v>Major_Non-USMCA_Non-China</v>
      </c>
    </row>
    <row r="4711" spans="1:9" x14ac:dyDescent="0.4">
      <c r="A4711" t="s">
        <v>68</v>
      </c>
      <c r="B4711" s="1">
        <v>44958</v>
      </c>
      <c r="C4711">
        <v>732010</v>
      </c>
      <c r="D4711" t="s">
        <v>176</v>
      </c>
      <c r="E4711">
        <v>7536</v>
      </c>
      <c r="F4711">
        <v>112</v>
      </c>
      <c r="G4711">
        <v>242</v>
      </c>
      <c r="H4711">
        <f>_xlfn.XLOOKUP(FACT_IMPORTS[[#This Row],[hts_6]],DIM_PRODUCTS[hts_6],DIM_PRODUCTS[hts_4],,,)</f>
        <v>7320</v>
      </c>
      <c r="I4711" t="str" cm="1">
        <f t="array" ref="I4711">_xlfn.XLOOKUP(FACT_IMPORTS[[#This Row],[country_name]],DIM_COUNTRY[[#All],[Column2]],DIM_COUNTRY[[#All],[Column3]],,,)</f>
        <v>Major_Non-USMCA_Non-China</v>
      </c>
    </row>
    <row r="4712" spans="1:9" x14ac:dyDescent="0.4">
      <c r="A4712" t="s">
        <v>68</v>
      </c>
      <c r="B4712" s="1">
        <v>44958</v>
      </c>
      <c r="C4712">
        <v>830230</v>
      </c>
      <c r="D4712" t="s">
        <v>176</v>
      </c>
      <c r="E4712">
        <v>297271</v>
      </c>
      <c r="F4712">
        <v>84195</v>
      </c>
      <c r="G4712">
        <v>14413</v>
      </c>
      <c r="H4712">
        <f>_xlfn.XLOOKUP(FACT_IMPORTS[[#This Row],[hts_6]],DIM_PRODUCTS[hts_6],DIM_PRODUCTS[hts_4],,,)</f>
        <v>8302</v>
      </c>
      <c r="I4712" t="str" cm="1">
        <f t="array" ref="I4712">_xlfn.XLOOKUP(FACT_IMPORTS[[#This Row],[country_name]],DIM_COUNTRY[[#All],[Column2]],DIM_COUNTRY[[#All],[Column3]],,,)</f>
        <v>Major_Non-USMCA_Non-China</v>
      </c>
    </row>
    <row r="4713" spans="1:9" x14ac:dyDescent="0.4">
      <c r="A4713" t="s">
        <v>68</v>
      </c>
      <c r="B4713" s="1">
        <v>44958</v>
      </c>
      <c r="C4713">
        <v>840731</v>
      </c>
      <c r="D4713" t="s">
        <v>176</v>
      </c>
      <c r="E4713">
        <v>0</v>
      </c>
      <c r="F4713">
        <v>0</v>
      </c>
      <c r="G4713">
        <v>0</v>
      </c>
      <c r="H4713">
        <f>_xlfn.XLOOKUP(FACT_IMPORTS[[#This Row],[hts_6]],DIM_PRODUCTS[hts_6],DIM_PRODUCTS[hts_4],,,)</f>
        <v>8407</v>
      </c>
      <c r="I4713" t="str" cm="1">
        <f t="array" ref="I4713">_xlfn.XLOOKUP(FACT_IMPORTS[[#This Row],[country_name]],DIM_COUNTRY[[#All],[Column2]],DIM_COUNTRY[[#All],[Column3]],,,)</f>
        <v>Major_Non-USMCA_Non-China</v>
      </c>
    </row>
    <row r="4714" spans="1:9" x14ac:dyDescent="0.4">
      <c r="A4714" t="s">
        <v>68</v>
      </c>
      <c r="B4714" s="1">
        <v>44958</v>
      </c>
      <c r="C4714">
        <v>840733</v>
      </c>
      <c r="D4714" t="s">
        <v>176</v>
      </c>
      <c r="E4714">
        <v>0</v>
      </c>
      <c r="F4714">
        <v>0</v>
      </c>
      <c r="G4714">
        <v>0</v>
      </c>
      <c r="H4714">
        <f>_xlfn.XLOOKUP(FACT_IMPORTS[[#This Row],[hts_6]],DIM_PRODUCTS[hts_6],DIM_PRODUCTS[hts_4],,,)</f>
        <v>8407</v>
      </c>
      <c r="I4714" t="str" cm="1">
        <f t="array" ref="I4714">_xlfn.XLOOKUP(FACT_IMPORTS[[#This Row],[country_name]],DIM_COUNTRY[[#All],[Column2]],DIM_COUNTRY[[#All],[Column3]],,,)</f>
        <v>Major_Non-USMCA_Non-China</v>
      </c>
    </row>
    <row r="4715" spans="1:9" x14ac:dyDescent="0.4">
      <c r="A4715" t="s">
        <v>68</v>
      </c>
      <c r="B4715" s="1">
        <v>44958</v>
      </c>
      <c r="C4715">
        <v>840734</v>
      </c>
      <c r="D4715" t="s">
        <v>176</v>
      </c>
      <c r="E4715">
        <v>19061</v>
      </c>
      <c r="F4715">
        <v>9</v>
      </c>
      <c r="G4715">
        <v>346</v>
      </c>
      <c r="H4715">
        <f>_xlfn.XLOOKUP(FACT_IMPORTS[[#This Row],[hts_6]],DIM_PRODUCTS[hts_6],DIM_PRODUCTS[hts_4],,,)</f>
        <v>8407</v>
      </c>
      <c r="I4715" t="str" cm="1">
        <f t="array" ref="I4715">_xlfn.XLOOKUP(FACT_IMPORTS[[#This Row],[country_name]],DIM_COUNTRY[[#All],[Column2]],DIM_COUNTRY[[#All],[Column3]],,,)</f>
        <v>Major_Non-USMCA_Non-China</v>
      </c>
    </row>
    <row r="4716" spans="1:9" x14ac:dyDescent="0.4">
      <c r="A4716" t="s">
        <v>68</v>
      </c>
      <c r="B4716" s="1">
        <v>44958</v>
      </c>
      <c r="C4716">
        <v>840790</v>
      </c>
      <c r="D4716" t="s">
        <v>176</v>
      </c>
      <c r="E4716">
        <v>0</v>
      </c>
      <c r="F4716">
        <v>0</v>
      </c>
      <c r="G4716">
        <v>0</v>
      </c>
      <c r="H4716">
        <f>_xlfn.XLOOKUP(FACT_IMPORTS[[#This Row],[hts_6]],DIM_PRODUCTS[hts_6],DIM_PRODUCTS[hts_4],,,)</f>
        <v>8407</v>
      </c>
      <c r="I4716" t="str" cm="1">
        <f t="array" ref="I4716">_xlfn.XLOOKUP(FACT_IMPORTS[[#This Row],[country_name]],DIM_COUNTRY[[#All],[Column2]],DIM_COUNTRY[[#All],[Column3]],,,)</f>
        <v>Major_Non-USMCA_Non-China</v>
      </c>
    </row>
    <row r="4717" spans="1:9" x14ac:dyDescent="0.4">
      <c r="A4717" t="s">
        <v>68</v>
      </c>
      <c r="B4717" s="1">
        <v>44958</v>
      </c>
      <c r="C4717">
        <v>840820</v>
      </c>
      <c r="D4717" t="s">
        <v>176</v>
      </c>
      <c r="E4717">
        <v>0</v>
      </c>
      <c r="F4717">
        <v>0</v>
      </c>
      <c r="G4717">
        <v>0</v>
      </c>
      <c r="H4717">
        <f>_xlfn.XLOOKUP(FACT_IMPORTS[[#This Row],[hts_6]],DIM_PRODUCTS[hts_6],DIM_PRODUCTS[hts_4],,,)</f>
        <v>8408</v>
      </c>
      <c r="I4717" t="str" cm="1">
        <f t="array" ref="I4717">_xlfn.XLOOKUP(FACT_IMPORTS[[#This Row],[country_name]],DIM_COUNTRY[[#All],[Column2]],DIM_COUNTRY[[#All],[Column3]],,,)</f>
        <v>Major_Non-USMCA_Non-China</v>
      </c>
    </row>
    <row r="4718" spans="1:9" x14ac:dyDescent="0.4">
      <c r="A4718" t="s">
        <v>68</v>
      </c>
      <c r="B4718" s="1">
        <v>44958</v>
      </c>
      <c r="C4718">
        <v>840890</v>
      </c>
      <c r="D4718" t="s">
        <v>176</v>
      </c>
      <c r="E4718">
        <v>1155960</v>
      </c>
      <c r="F4718">
        <v>218</v>
      </c>
      <c r="G4718">
        <v>29825</v>
      </c>
      <c r="H4718">
        <f>_xlfn.XLOOKUP(FACT_IMPORTS[[#This Row],[hts_6]],DIM_PRODUCTS[hts_6],DIM_PRODUCTS[hts_4],,,)</f>
        <v>8408</v>
      </c>
      <c r="I4718" t="str" cm="1">
        <f t="array" ref="I4718">_xlfn.XLOOKUP(FACT_IMPORTS[[#This Row],[country_name]],DIM_COUNTRY[[#All],[Column2]],DIM_COUNTRY[[#All],[Column3]],,,)</f>
        <v>Major_Non-USMCA_Non-China</v>
      </c>
    </row>
    <row r="4719" spans="1:9" x14ac:dyDescent="0.4">
      <c r="A4719" t="s">
        <v>68</v>
      </c>
      <c r="B4719" s="1">
        <v>44958</v>
      </c>
      <c r="C4719">
        <v>840991</v>
      </c>
      <c r="D4719" t="s">
        <v>176</v>
      </c>
      <c r="E4719">
        <v>352608</v>
      </c>
      <c r="F4719">
        <v>45633</v>
      </c>
      <c r="G4719">
        <v>17721</v>
      </c>
      <c r="H4719">
        <f>_xlfn.XLOOKUP(FACT_IMPORTS[[#This Row],[hts_6]],DIM_PRODUCTS[hts_6],DIM_PRODUCTS[hts_4],,,)</f>
        <v>8409</v>
      </c>
      <c r="I4719" t="str" cm="1">
        <f t="array" ref="I4719">_xlfn.XLOOKUP(FACT_IMPORTS[[#This Row],[country_name]],DIM_COUNTRY[[#All],[Column2]],DIM_COUNTRY[[#All],[Column3]],,,)</f>
        <v>Major_Non-USMCA_Non-China</v>
      </c>
    </row>
    <row r="4720" spans="1:9" x14ac:dyDescent="0.4">
      <c r="A4720" t="s">
        <v>68</v>
      </c>
      <c r="B4720" s="1">
        <v>44958</v>
      </c>
      <c r="C4720">
        <v>840999</v>
      </c>
      <c r="D4720" t="s">
        <v>176</v>
      </c>
      <c r="E4720">
        <v>19770665</v>
      </c>
      <c r="F4720">
        <v>2855026</v>
      </c>
      <c r="G4720">
        <v>406796</v>
      </c>
      <c r="H4720">
        <f>_xlfn.XLOOKUP(FACT_IMPORTS[[#This Row],[hts_6]],DIM_PRODUCTS[hts_6],DIM_PRODUCTS[hts_4],,,)</f>
        <v>8409</v>
      </c>
      <c r="I4720" t="str" cm="1">
        <f t="array" ref="I4720">_xlfn.XLOOKUP(FACT_IMPORTS[[#This Row],[country_name]],DIM_COUNTRY[[#All],[Column2]],DIM_COUNTRY[[#All],[Column3]],,,)</f>
        <v>Major_Non-USMCA_Non-China</v>
      </c>
    </row>
    <row r="4721" spans="1:9" x14ac:dyDescent="0.4">
      <c r="A4721" t="s">
        <v>68</v>
      </c>
      <c r="B4721" s="1">
        <v>44958</v>
      </c>
      <c r="C4721">
        <v>841330</v>
      </c>
      <c r="D4721" t="s">
        <v>176</v>
      </c>
      <c r="E4721">
        <v>8143131</v>
      </c>
      <c r="F4721">
        <v>56014</v>
      </c>
      <c r="G4721">
        <v>19743</v>
      </c>
      <c r="H4721">
        <f>_xlfn.XLOOKUP(FACT_IMPORTS[[#This Row],[hts_6]],DIM_PRODUCTS[hts_6],DIM_PRODUCTS[hts_4],,,)</f>
        <v>8413</v>
      </c>
      <c r="I4721" t="str" cm="1">
        <f t="array" ref="I4721">_xlfn.XLOOKUP(FACT_IMPORTS[[#This Row],[country_name]],DIM_COUNTRY[[#All],[Column2]],DIM_COUNTRY[[#All],[Column3]],,,)</f>
        <v>Major_Non-USMCA_Non-China</v>
      </c>
    </row>
    <row r="4722" spans="1:9" x14ac:dyDescent="0.4">
      <c r="A4722" t="s">
        <v>68</v>
      </c>
      <c r="B4722" s="1">
        <v>44958</v>
      </c>
      <c r="C4722">
        <v>841520</v>
      </c>
      <c r="D4722" t="s">
        <v>176</v>
      </c>
      <c r="E4722">
        <v>0</v>
      </c>
      <c r="F4722">
        <v>0</v>
      </c>
      <c r="G4722">
        <v>0</v>
      </c>
      <c r="H4722">
        <f>_xlfn.XLOOKUP(FACT_IMPORTS[[#This Row],[hts_6]],DIM_PRODUCTS[hts_6],DIM_PRODUCTS[hts_4],,,)</f>
        <v>8415</v>
      </c>
      <c r="I4722" t="str" cm="1">
        <f t="array" ref="I4722">_xlfn.XLOOKUP(FACT_IMPORTS[[#This Row],[country_name]],DIM_COUNTRY[[#All],[Column2]],DIM_COUNTRY[[#All],[Column3]],,,)</f>
        <v>Major_Non-USMCA_Non-China</v>
      </c>
    </row>
    <row r="4723" spans="1:9" x14ac:dyDescent="0.4">
      <c r="A4723" t="s">
        <v>68</v>
      </c>
      <c r="B4723" s="1">
        <v>44958</v>
      </c>
      <c r="C4723">
        <v>842132</v>
      </c>
      <c r="D4723" t="s">
        <v>176</v>
      </c>
      <c r="E4723">
        <v>74192</v>
      </c>
      <c r="F4723">
        <v>187</v>
      </c>
      <c r="G4723">
        <v>857</v>
      </c>
      <c r="H4723">
        <f>_xlfn.XLOOKUP(FACT_IMPORTS[[#This Row],[hts_6]],DIM_PRODUCTS[hts_6],DIM_PRODUCTS[hts_4],,,)</f>
        <v>8421</v>
      </c>
      <c r="I4723" t="str" cm="1">
        <f t="array" ref="I4723">_xlfn.XLOOKUP(FACT_IMPORTS[[#This Row],[country_name]],DIM_COUNTRY[[#All],[Column2]],DIM_COUNTRY[[#All],[Column3]],,,)</f>
        <v>Major_Non-USMCA_Non-China</v>
      </c>
    </row>
    <row r="4724" spans="1:9" x14ac:dyDescent="0.4">
      <c r="A4724" t="s">
        <v>68</v>
      </c>
      <c r="B4724" s="1">
        <v>44958</v>
      </c>
      <c r="C4724">
        <v>848210</v>
      </c>
      <c r="D4724" t="s">
        <v>176</v>
      </c>
      <c r="E4724">
        <v>646289</v>
      </c>
      <c r="F4724">
        <v>11471</v>
      </c>
      <c r="G4724">
        <v>5792</v>
      </c>
      <c r="H4724">
        <f>_xlfn.XLOOKUP(FACT_IMPORTS[[#This Row],[hts_6]],DIM_PRODUCTS[hts_6],DIM_PRODUCTS[hts_4],,,)</f>
        <v>8482</v>
      </c>
      <c r="I4724" t="str" cm="1">
        <f t="array" ref="I4724">_xlfn.XLOOKUP(FACT_IMPORTS[[#This Row],[country_name]],DIM_COUNTRY[[#All],[Column2]],DIM_COUNTRY[[#All],[Column3]],,,)</f>
        <v>Major_Non-USMCA_Non-China</v>
      </c>
    </row>
    <row r="4725" spans="1:9" x14ac:dyDescent="0.4">
      <c r="A4725" t="s">
        <v>68</v>
      </c>
      <c r="B4725" s="1">
        <v>44958</v>
      </c>
      <c r="C4725">
        <v>848220</v>
      </c>
      <c r="D4725" t="s">
        <v>176</v>
      </c>
      <c r="E4725">
        <v>448273</v>
      </c>
      <c r="F4725">
        <v>31773</v>
      </c>
      <c r="G4725">
        <v>6801</v>
      </c>
      <c r="H4725">
        <f>_xlfn.XLOOKUP(FACT_IMPORTS[[#This Row],[hts_6]],DIM_PRODUCTS[hts_6],DIM_PRODUCTS[hts_4],,,)</f>
        <v>8482</v>
      </c>
      <c r="I4725" t="str" cm="1">
        <f t="array" ref="I4725">_xlfn.XLOOKUP(FACT_IMPORTS[[#This Row],[country_name]],DIM_COUNTRY[[#All],[Column2]],DIM_COUNTRY[[#All],[Column3]],,,)</f>
        <v>Major_Non-USMCA_Non-China</v>
      </c>
    </row>
    <row r="4726" spans="1:9" x14ac:dyDescent="0.4">
      <c r="A4726" t="s">
        <v>68</v>
      </c>
      <c r="B4726" s="1">
        <v>44958</v>
      </c>
      <c r="C4726">
        <v>848310</v>
      </c>
      <c r="D4726" t="s">
        <v>176</v>
      </c>
      <c r="E4726">
        <v>3080356</v>
      </c>
      <c r="F4726">
        <v>23432</v>
      </c>
      <c r="G4726">
        <v>27011</v>
      </c>
      <c r="H4726">
        <f>_xlfn.XLOOKUP(FACT_IMPORTS[[#This Row],[hts_6]],DIM_PRODUCTS[hts_6],DIM_PRODUCTS[hts_4],,,)</f>
        <v>8483</v>
      </c>
      <c r="I4726" t="str" cm="1">
        <f t="array" ref="I4726">_xlfn.XLOOKUP(FACT_IMPORTS[[#This Row],[country_name]],DIM_COUNTRY[[#All],[Column2]],DIM_COUNTRY[[#All],[Column3]],,,)</f>
        <v>Major_Non-USMCA_Non-China</v>
      </c>
    </row>
    <row r="4727" spans="1:9" x14ac:dyDescent="0.4">
      <c r="A4727" t="s">
        <v>68</v>
      </c>
      <c r="B4727" s="1">
        <v>44958</v>
      </c>
      <c r="C4727">
        <v>850131</v>
      </c>
      <c r="D4727" t="s">
        <v>176</v>
      </c>
      <c r="E4727">
        <v>150244</v>
      </c>
      <c r="F4727">
        <v>27861</v>
      </c>
      <c r="G4727">
        <v>3697</v>
      </c>
      <c r="H4727">
        <f>_xlfn.XLOOKUP(FACT_IMPORTS[[#This Row],[hts_6]],DIM_PRODUCTS[hts_6],DIM_PRODUCTS[hts_4],,,)</f>
        <v>8501</v>
      </c>
      <c r="I4727" t="str" cm="1">
        <f t="array" ref="I4727">_xlfn.XLOOKUP(FACT_IMPORTS[[#This Row],[country_name]],DIM_COUNTRY[[#All],[Column2]],DIM_COUNTRY[[#All],[Column3]],,,)</f>
        <v>Major_Non-USMCA_Non-China</v>
      </c>
    </row>
    <row r="4728" spans="1:9" x14ac:dyDescent="0.4">
      <c r="A4728" t="s">
        <v>68</v>
      </c>
      <c r="B4728" s="1">
        <v>44958</v>
      </c>
      <c r="C4728">
        <v>850132</v>
      </c>
      <c r="D4728" t="s">
        <v>176</v>
      </c>
      <c r="E4728">
        <v>459036</v>
      </c>
      <c r="F4728">
        <v>38</v>
      </c>
      <c r="G4728">
        <v>2092</v>
      </c>
      <c r="H4728">
        <f>_xlfn.XLOOKUP(FACT_IMPORTS[[#This Row],[hts_6]],DIM_PRODUCTS[hts_6],DIM_PRODUCTS[hts_4],,,)</f>
        <v>8501</v>
      </c>
      <c r="I4728" t="str" cm="1">
        <f t="array" ref="I4728">_xlfn.XLOOKUP(FACT_IMPORTS[[#This Row],[country_name]],DIM_COUNTRY[[#All],[Column2]],DIM_COUNTRY[[#All],[Column3]],,,)</f>
        <v>Major_Non-USMCA_Non-China</v>
      </c>
    </row>
    <row r="4729" spans="1:9" x14ac:dyDescent="0.4">
      <c r="A4729" t="s">
        <v>68</v>
      </c>
      <c r="B4729" s="1">
        <v>44958</v>
      </c>
      <c r="C4729">
        <v>850133</v>
      </c>
      <c r="D4729" t="s">
        <v>176</v>
      </c>
      <c r="E4729">
        <v>4742</v>
      </c>
      <c r="F4729">
        <v>2</v>
      </c>
      <c r="G4729">
        <v>94</v>
      </c>
      <c r="H4729">
        <f>_xlfn.XLOOKUP(FACT_IMPORTS[[#This Row],[hts_6]],DIM_PRODUCTS[hts_6],DIM_PRODUCTS[hts_4],,,)</f>
        <v>8501</v>
      </c>
      <c r="I4729" t="str" cm="1">
        <f t="array" ref="I4729">_xlfn.XLOOKUP(FACT_IMPORTS[[#This Row],[country_name]],DIM_COUNTRY[[#All],[Column2]],DIM_COUNTRY[[#All],[Column3]],,,)</f>
        <v>Major_Non-USMCA_Non-China</v>
      </c>
    </row>
    <row r="4730" spans="1:9" x14ac:dyDescent="0.4">
      <c r="A4730" t="s">
        <v>68</v>
      </c>
      <c r="B4730" s="1">
        <v>44958</v>
      </c>
      <c r="C4730">
        <v>850134</v>
      </c>
      <c r="D4730" t="s">
        <v>176</v>
      </c>
      <c r="E4730">
        <v>177395</v>
      </c>
      <c r="F4730">
        <v>6</v>
      </c>
      <c r="G4730">
        <v>2152</v>
      </c>
      <c r="H4730">
        <f>_xlfn.XLOOKUP(FACT_IMPORTS[[#This Row],[hts_6]],DIM_PRODUCTS[hts_6],DIM_PRODUCTS[hts_4],,,)</f>
        <v>8501</v>
      </c>
      <c r="I4730" t="str" cm="1">
        <f t="array" ref="I4730">_xlfn.XLOOKUP(FACT_IMPORTS[[#This Row],[country_name]],DIM_COUNTRY[[#All],[Column2]],DIM_COUNTRY[[#All],[Column3]],,,)</f>
        <v>Major_Non-USMCA_Non-China</v>
      </c>
    </row>
    <row r="4731" spans="1:9" x14ac:dyDescent="0.4">
      <c r="A4731" t="s">
        <v>68</v>
      </c>
      <c r="B4731" s="1">
        <v>44958</v>
      </c>
      <c r="C4731">
        <v>850152</v>
      </c>
      <c r="D4731" t="s">
        <v>176</v>
      </c>
      <c r="E4731">
        <v>820663</v>
      </c>
      <c r="F4731">
        <v>710</v>
      </c>
      <c r="G4731">
        <v>24338</v>
      </c>
      <c r="H4731">
        <f>_xlfn.XLOOKUP(FACT_IMPORTS[[#This Row],[hts_6]],DIM_PRODUCTS[hts_6],DIM_PRODUCTS[hts_4],,,)</f>
        <v>8501</v>
      </c>
      <c r="I4731" t="str" cm="1">
        <f t="array" ref="I4731">_xlfn.XLOOKUP(FACT_IMPORTS[[#This Row],[country_name]],DIM_COUNTRY[[#All],[Column2]],DIM_COUNTRY[[#All],[Column3]],,,)</f>
        <v>Major_Non-USMCA_Non-China</v>
      </c>
    </row>
    <row r="4732" spans="1:9" x14ac:dyDescent="0.4">
      <c r="A4732" t="s">
        <v>68</v>
      </c>
      <c r="B4732" s="1">
        <v>44958</v>
      </c>
      <c r="C4732">
        <v>850153</v>
      </c>
      <c r="D4732" t="s">
        <v>176</v>
      </c>
      <c r="E4732">
        <v>549090</v>
      </c>
      <c r="F4732">
        <v>7</v>
      </c>
      <c r="G4732">
        <v>10009</v>
      </c>
      <c r="H4732">
        <f>_xlfn.XLOOKUP(FACT_IMPORTS[[#This Row],[hts_6]],DIM_PRODUCTS[hts_6],DIM_PRODUCTS[hts_4],,,)</f>
        <v>8501</v>
      </c>
      <c r="I4732" t="str" cm="1">
        <f t="array" ref="I4732">_xlfn.XLOOKUP(FACT_IMPORTS[[#This Row],[country_name]],DIM_COUNTRY[[#All],[Column2]],DIM_COUNTRY[[#All],[Column3]],,,)</f>
        <v>Major_Non-USMCA_Non-China</v>
      </c>
    </row>
    <row r="4733" spans="1:9" x14ac:dyDescent="0.4">
      <c r="A4733" t="s">
        <v>68</v>
      </c>
      <c r="B4733" s="1">
        <v>44958</v>
      </c>
      <c r="C4733">
        <v>850161</v>
      </c>
      <c r="D4733" t="s">
        <v>176</v>
      </c>
      <c r="E4733">
        <v>2047</v>
      </c>
      <c r="F4733">
        <v>1</v>
      </c>
      <c r="G4733">
        <v>24</v>
      </c>
      <c r="H4733">
        <f>_xlfn.XLOOKUP(FACT_IMPORTS[[#This Row],[hts_6]],DIM_PRODUCTS[hts_6],DIM_PRODUCTS[hts_4],,,)</f>
        <v>8501</v>
      </c>
      <c r="I4733" t="str" cm="1">
        <f t="array" ref="I4733">_xlfn.XLOOKUP(FACT_IMPORTS[[#This Row],[country_name]],DIM_COUNTRY[[#All],[Column2]],DIM_COUNTRY[[#All],[Column3]],,,)</f>
        <v>Major_Non-USMCA_Non-China</v>
      </c>
    </row>
    <row r="4734" spans="1:9" x14ac:dyDescent="0.4">
      <c r="A4734" t="s">
        <v>68</v>
      </c>
      <c r="B4734" s="1">
        <v>44958</v>
      </c>
      <c r="C4734">
        <v>850440</v>
      </c>
      <c r="D4734" t="s">
        <v>176</v>
      </c>
      <c r="E4734">
        <v>372916</v>
      </c>
      <c r="F4734">
        <v>166</v>
      </c>
      <c r="G4734">
        <v>4993</v>
      </c>
      <c r="H4734">
        <f>_xlfn.XLOOKUP(FACT_IMPORTS[[#This Row],[hts_6]],DIM_PRODUCTS[hts_6],DIM_PRODUCTS[hts_4],,,)</f>
        <v>8504</v>
      </c>
      <c r="I4734" t="str" cm="1">
        <f t="array" ref="I4734">_xlfn.XLOOKUP(FACT_IMPORTS[[#This Row],[country_name]],DIM_COUNTRY[[#All],[Column2]],DIM_COUNTRY[[#All],[Column3]],,,)</f>
        <v>Major_Non-USMCA_Non-China</v>
      </c>
    </row>
    <row r="4735" spans="1:9" x14ac:dyDescent="0.4">
      <c r="A4735" t="s">
        <v>68</v>
      </c>
      <c r="B4735" s="1">
        <v>44958</v>
      </c>
      <c r="C4735">
        <v>850710</v>
      </c>
      <c r="D4735" t="s">
        <v>176</v>
      </c>
      <c r="E4735">
        <v>0</v>
      </c>
      <c r="F4735">
        <v>0</v>
      </c>
      <c r="G4735">
        <v>0</v>
      </c>
      <c r="H4735">
        <f>_xlfn.XLOOKUP(FACT_IMPORTS[[#This Row],[hts_6]],DIM_PRODUCTS[hts_6],DIM_PRODUCTS[hts_4],,,)</f>
        <v>8507</v>
      </c>
      <c r="I4735" t="str" cm="1">
        <f t="array" ref="I4735">_xlfn.XLOOKUP(FACT_IMPORTS[[#This Row],[country_name]],DIM_COUNTRY[[#All],[Column2]],DIM_COUNTRY[[#All],[Column3]],,,)</f>
        <v>Major_Non-USMCA_Non-China</v>
      </c>
    </row>
    <row r="4736" spans="1:9" x14ac:dyDescent="0.4">
      <c r="A4736" t="s">
        <v>68</v>
      </c>
      <c r="B4736" s="1">
        <v>44958</v>
      </c>
      <c r="C4736">
        <v>850760</v>
      </c>
      <c r="D4736" t="s">
        <v>176</v>
      </c>
      <c r="E4736">
        <v>1085053</v>
      </c>
      <c r="F4736">
        <v>623</v>
      </c>
      <c r="G4736">
        <v>15333</v>
      </c>
      <c r="H4736">
        <f>_xlfn.XLOOKUP(FACT_IMPORTS[[#This Row],[hts_6]],DIM_PRODUCTS[hts_6],DIM_PRODUCTS[hts_4],,,)</f>
        <v>8507</v>
      </c>
      <c r="I4736" t="str" cm="1">
        <f t="array" ref="I4736">_xlfn.XLOOKUP(FACT_IMPORTS[[#This Row],[country_name]],DIM_COUNTRY[[#All],[Column2]],DIM_COUNTRY[[#All],[Column3]],,,)</f>
        <v>Major_Non-USMCA_Non-China</v>
      </c>
    </row>
    <row r="4737" spans="1:9" x14ac:dyDescent="0.4">
      <c r="A4737" t="s">
        <v>68</v>
      </c>
      <c r="B4737" s="1">
        <v>44958</v>
      </c>
      <c r="C4737">
        <v>850790</v>
      </c>
      <c r="D4737" t="s">
        <v>176</v>
      </c>
      <c r="E4737">
        <v>545735</v>
      </c>
      <c r="F4737">
        <v>25544</v>
      </c>
      <c r="G4737">
        <v>13405</v>
      </c>
      <c r="H4737">
        <f>_xlfn.XLOOKUP(FACT_IMPORTS[[#This Row],[hts_6]],DIM_PRODUCTS[hts_6],DIM_PRODUCTS[hts_4],,,)</f>
        <v>8507</v>
      </c>
      <c r="I4737" t="str" cm="1">
        <f t="array" ref="I4737">_xlfn.XLOOKUP(FACT_IMPORTS[[#This Row],[country_name]],DIM_COUNTRY[[#All],[Column2]],DIM_COUNTRY[[#All],[Column3]],,,)</f>
        <v>Major_Non-USMCA_Non-China</v>
      </c>
    </row>
    <row r="4738" spans="1:9" x14ac:dyDescent="0.4">
      <c r="A4738" t="s">
        <v>68</v>
      </c>
      <c r="B4738" s="1">
        <v>44958</v>
      </c>
      <c r="C4738">
        <v>851110</v>
      </c>
      <c r="D4738" t="s">
        <v>176</v>
      </c>
      <c r="E4738">
        <v>15873</v>
      </c>
      <c r="F4738">
        <v>84</v>
      </c>
      <c r="G4738">
        <v>358</v>
      </c>
      <c r="H4738">
        <f>_xlfn.XLOOKUP(FACT_IMPORTS[[#This Row],[hts_6]],DIM_PRODUCTS[hts_6],DIM_PRODUCTS[hts_4],,,)</f>
        <v>8511</v>
      </c>
      <c r="I4738" t="str" cm="1">
        <f t="array" ref="I4738">_xlfn.XLOOKUP(FACT_IMPORTS[[#This Row],[country_name]],DIM_COUNTRY[[#All],[Column2]],DIM_COUNTRY[[#All],[Column3]],,,)</f>
        <v>Major_Non-USMCA_Non-China</v>
      </c>
    </row>
    <row r="4739" spans="1:9" x14ac:dyDescent="0.4">
      <c r="A4739" t="s">
        <v>68</v>
      </c>
      <c r="B4739" s="1">
        <v>44958</v>
      </c>
      <c r="C4739">
        <v>851120</v>
      </c>
      <c r="D4739" t="s">
        <v>176</v>
      </c>
      <c r="E4739">
        <v>0</v>
      </c>
      <c r="F4739">
        <v>0</v>
      </c>
      <c r="G4739">
        <v>0</v>
      </c>
      <c r="H4739">
        <f>_xlfn.XLOOKUP(FACT_IMPORTS[[#This Row],[hts_6]],DIM_PRODUCTS[hts_6],DIM_PRODUCTS[hts_4],,,)</f>
        <v>8511</v>
      </c>
      <c r="I4739" t="str" cm="1">
        <f t="array" ref="I4739">_xlfn.XLOOKUP(FACT_IMPORTS[[#This Row],[country_name]],DIM_COUNTRY[[#All],[Column2]],DIM_COUNTRY[[#All],[Column3]],,,)</f>
        <v>Major_Non-USMCA_Non-China</v>
      </c>
    </row>
    <row r="4740" spans="1:9" x14ac:dyDescent="0.4">
      <c r="A4740" t="s">
        <v>68</v>
      </c>
      <c r="B4740" s="1">
        <v>44958</v>
      </c>
      <c r="C4740">
        <v>851130</v>
      </c>
      <c r="D4740" t="s">
        <v>176</v>
      </c>
      <c r="E4740">
        <v>0</v>
      </c>
      <c r="F4740">
        <v>0</v>
      </c>
      <c r="G4740">
        <v>0</v>
      </c>
      <c r="H4740">
        <f>_xlfn.XLOOKUP(FACT_IMPORTS[[#This Row],[hts_6]],DIM_PRODUCTS[hts_6],DIM_PRODUCTS[hts_4],,,)</f>
        <v>8511</v>
      </c>
      <c r="I4740" t="str" cm="1">
        <f t="array" ref="I4740">_xlfn.XLOOKUP(FACT_IMPORTS[[#This Row],[country_name]],DIM_COUNTRY[[#All],[Column2]],DIM_COUNTRY[[#All],[Column3]],,,)</f>
        <v>Major_Non-USMCA_Non-China</v>
      </c>
    </row>
    <row r="4741" spans="1:9" x14ac:dyDescent="0.4">
      <c r="A4741" t="s">
        <v>68</v>
      </c>
      <c r="B4741" s="1">
        <v>44958</v>
      </c>
      <c r="C4741">
        <v>851140</v>
      </c>
      <c r="D4741" t="s">
        <v>176</v>
      </c>
      <c r="E4741">
        <v>0</v>
      </c>
      <c r="F4741">
        <v>0</v>
      </c>
      <c r="G4741">
        <v>0</v>
      </c>
      <c r="H4741">
        <f>_xlfn.XLOOKUP(FACT_IMPORTS[[#This Row],[hts_6]],DIM_PRODUCTS[hts_6],DIM_PRODUCTS[hts_4],,,)</f>
        <v>8511</v>
      </c>
      <c r="I4741" t="str" cm="1">
        <f t="array" ref="I4741">_xlfn.XLOOKUP(FACT_IMPORTS[[#This Row],[country_name]],DIM_COUNTRY[[#All],[Column2]],DIM_COUNTRY[[#All],[Column3]],,,)</f>
        <v>Major_Non-USMCA_Non-China</v>
      </c>
    </row>
    <row r="4742" spans="1:9" x14ac:dyDescent="0.4">
      <c r="A4742" t="s">
        <v>68</v>
      </c>
      <c r="B4742" s="1">
        <v>44958</v>
      </c>
      <c r="C4742">
        <v>851150</v>
      </c>
      <c r="D4742" t="s">
        <v>176</v>
      </c>
      <c r="E4742">
        <v>0</v>
      </c>
      <c r="F4742">
        <v>0</v>
      </c>
      <c r="G4742">
        <v>0</v>
      </c>
      <c r="H4742">
        <f>_xlfn.XLOOKUP(FACT_IMPORTS[[#This Row],[hts_6]],DIM_PRODUCTS[hts_6],DIM_PRODUCTS[hts_4],,,)</f>
        <v>8511</v>
      </c>
      <c r="I4742" t="str" cm="1">
        <f t="array" ref="I4742">_xlfn.XLOOKUP(FACT_IMPORTS[[#This Row],[country_name]],DIM_COUNTRY[[#All],[Column2]],DIM_COUNTRY[[#All],[Column3]],,,)</f>
        <v>Major_Non-USMCA_Non-China</v>
      </c>
    </row>
    <row r="4743" spans="1:9" x14ac:dyDescent="0.4">
      <c r="A4743" t="s">
        <v>68</v>
      </c>
      <c r="B4743" s="1">
        <v>44958</v>
      </c>
      <c r="C4743">
        <v>851180</v>
      </c>
      <c r="D4743" t="s">
        <v>176</v>
      </c>
      <c r="E4743">
        <v>123762</v>
      </c>
      <c r="F4743">
        <v>1295</v>
      </c>
      <c r="G4743">
        <v>234</v>
      </c>
      <c r="H4743">
        <f>_xlfn.XLOOKUP(FACT_IMPORTS[[#This Row],[hts_6]],DIM_PRODUCTS[hts_6],DIM_PRODUCTS[hts_4],,,)</f>
        <v>8511</v>
      </c>
      <c r="I4743" t="str" cm="1">
        <f t="array" ref="I4743">_xlfn.XLOOKUP(FACT_IMPORTS[[#This Row],[country_name]],DIM_COUNTRY[[#All],[Column2]],DIM_COUNTRY[[#All],[Column3]],,,)</f>
        <v>Major_Non-USMCA_Non-China</v>
      </c>
    </row>
    <row r="4744" spans="1:9" x14ac:dyDescent="0.4">
      <c r="A4744" t="s">
        <v>68</v>
      </c>
      <c r="B4744" s="1">
        <v>44958</v>
      </c>
      <c r="C4744">
        <v>851190</v>
      </c>
      <c r="D4744" t="s">
        <v>176</v>
      </c>
      <c r="E4744">
        <v>0</v>
      </c>
      <c r="F4744">
        <v>0</v>
      </c>
      <c r="G4744">
        <v>0</v>
      </c>
      <c r="H4744">
        <f>_xlfn.XLOOKUP(FACT_IMPORTS[[#This Row],[hts_6]],DIM_PRODUCTS[hts_6],DIM_PRODUCTS[hts_4],,,)</f>
        <v>8511</v>
      </c>
      <c r="I4744" t="str" cm="1">
        <f t="array" ref="I4744">_xlfn.XLOOKUP(FACT_IMPORTS[[#This Row],[country_name]],DIM_COUNTRY[[#All],[Column2]],DIM_COUNTRY[[#All],[Column3]],,,)</f>
        <v>Major_Non-USMCA_Non-China</v>
      </c>
    </row>
    <row r="4745" spans="1:9" x14ac:dyDescent="0.4">
      <c r="A4745" t="s">
        <v>68</v>
      </c>
      <c r="B4745" s="1">
        <v>44958</v>
      </c>
      <c r="C4745">
        <v>851220</v>
      </c>
      <c r="D4745" t="s">
        <v>176</v>
      </c>
      <c r="E4745">
        <v>33902</v>
      </c>
      <c r="F4745">
        <v>4320</v>
      </c>
      <c r="G4745">
        <v>658</v>
      </c>
      <c r="H4745">
        <f>_xlfn.XLOOKUP(FACT_IMPORTS[[#This Row],[hts_6]],DIM_PRODUCTS[hts_6],DIM_PRODUCTS[hts_4],,,)</f>
        <v>8512</v>
      </c>
      <c r="I4745" t="str" cm="1">
        <f t="array" ref="I4745">_xlfn.XLOOKUP(FACT_IMPORTS[[#This Row],[country_name]],DIM_COUNTRY[[#All],[Column2]],DIM_COUNTRY[[#All],[Column3]],,,)</f>
        <v>Major_Non-USMCA_Non-China</v>
      </c>
    </row>
    <row r="4746" spans="1:9" x14ac:dyDescent="0.4">
      <c r="A4746" t="s">
        <v>68</v>
      </c>
      <c r="B4746" s="1">
        <v>44958</v>
      </c>
      <c r="C4746">
        <v>851230</v>
      </c>
      <c r="D4746" t="s">
        <v>176</v>
      </c>
      <c r="E4746">
        <v>0</v>
      </c>
      <c r="F4746">
        <v>0</v>
      </c>
      <c r="G4746">
        <v>0</v>
      </c>
      <c r="H4746">
        <f>_xlfn.XLOOKUP(FACT_IMPORTS[[#This Row],[hts_6]],DIM_PRODUCTS[hts_6],DIM_PRODUCTS[hts_4],,,)</f>
        <v>8512</v>
      </c>
      <c r="I4746" t="str" cm="1">
        <f t="array" ref="I4746">_xlfn.XLOOKUP(FACT_IMPORTS[[#This Row],[country_name]],DIM_COUNTRY[[#All],[Column2]],DIM_COUNTRY[[#All],[Column3]],,,)</f>
        <v>Major_Non-USMCA_Non-China</v>
      </c>
    </row>
    <row r="4747" spans="1:9" x14ac:dyDescent="0.4">
      <c r="A4747" t="s">
        <v>68</v>
      </c>
      <c r="B4747" s="1">
        <v>44958</v>
      </c>
      <c r="C4747">
        <v>851290</v>
      </c>
      <c r="D4747" t="s">
        <v>176</v>
      </c>
      <c r="E4747">
        <v>0</v>
      </c>
      <c r="F4747">
        <v>0</v>
      </c>
      <c r="G4747">
        <v>0</v>
      </c>
      <c r="H4747">
        <f>_xlfn.XLOOKUP(FACT_IMPORTS[[#This Row],[hts_6]],DIM_PRODUCTS[hts_6],DIM_PRODUCTS[hts_4],,,)</f>
        <v>8512</v>
      </c>
      <c r="I4747" t="str" cm="1">
        <f t="array" ref="I4747">_xlfn.XLOOKUP(FACT_IMPORTS[[#This Row],[country_name]],DIM_COUNTRY[[#All],[Column2]],DIM_COUNTRY[[#All],[Column3]],,,)</f>
        <v>Major_Non-USMCA_Non-China</v>
      </c>
    </row>
    <row r="4748" spans="1:9" x14ac:dyDescent="0.4">
      <c r="A4748" t="s">
        <v>68</v>
      </c>
      <c r="B4748" s="1">
        <v>44958</v>
      </c>
      <c r="C4748">
        <v>854231</v>
      </c>
      <c r="D4748" t="s">
        <v>176</v>
      </c>
      <c r="E4748">
        <v>62541</v>
      </c>
      <c r="F4748">
        <v>87</v>
      </c>
      <c r="G4748">
        <v>1137</v>
      </c>
      <c r="H4748">
        <f>_xlfn.XLOOKUP(FACT_IMPORTS[[#This Row],[hts_6]],DIM_PRODUCTS[hts_6],DIM_PRODUCTS[hts_4],,,)</f>
        <v>8542</v>
      </c>
      <c r="I4748" t="str" cm="1">
        <f t="array" ref="I4748">_xlfn.XLOOKUP(FACT_IMPORTS[[#This Row],[country_name]],DIM_COUNTRY[[#All],[Column2]],DIM_COUNTRY[[#All],[Column3]],,,)</f>
        <v>Major_Non-USMCA_Non-China</v>
      </c>
    </row>
    <row r="4749" spans="1:9" x14ac:dyDescent="0.4">
      <c r="A4749" t="s">
        <v>68</v>
      </c>
      <c r="B4749" s="1">
        <v>44958</v>
      </c>
      <c r="C4749">
        <v>854232</v>
      </c>
      <c r="D4749" t="s">
        <v>176</v>
      </c>
      <c r="E4749">
        <v>33519</v>
      </c>
      <c r="F4749">
        <v>62</v>
      </c>
      <c r="G4749">
        <v>995</v>
      </c>
      <c r="H4749">
        <f>_xlfn.XLOOKUP(FACT_IMPORTS[[#This Row],[hts_6]],DIM_PRODUCTS[hts_6],DIM_PRODUCTS[hts_4],,,)</f>
        <v>8542</v>
      </c>
      <c r="I4749" t="str" cm="1">
        <f t="array" ref="I4749">_xlfn.XLOOKUP(FACT_IMPORTS[[#This Row],[country_name]],DIM_COUNTRY[[#All],[Column2]],DIM_COUNTRY[[#All],[Column3]],,,)</f>
        <v>Major_Non-USMCA_Non-China</v>
      </c>
    </row>
    <row r="4750" spans="1:9" x14ac:dyDescent="0.4">
      <c r="A4750" t="s">
        <v>68</v>
      </c>
      <c r="B4750" s="1">
        <v>44958</v>
      </c>
      <c r="C4750">
        <v>854233</v>
      </c>
      <c r="D4750" t="s">
        <v>176</v>
      </c>
      <c r="E4750">
        <v>0</v>
      </c>
      <c r="F4750">
        <v>0</v>
      </c>
      <c r="G4750">
        <v>0</v>
      </c>
      <c r="H4750">
        <f>_xlfn.XLOOKUP(FACT_IMPORTS[[#This Row],[hts_6]],DIM_PRODUCTS[hts_6],DIM_PRODUCTS[hts_4],,,)</f>
        <v>8542</v>
      </c>
      <c r="I4750" t="str" cm="1">
        <f t="array" ref="I4750">_xlfn.XLOOKUP(FACT_IMPORTS[[#This Row],[country_name]],DIM_COUNTRY[[#All],[Column2]],DIM_COUNTRY[[#All],[Column3]],,,)</f>
        <v>Major_Non-USMCA_Non-China</v>
      </c>
    </row>
    <row r="4751" spans="1:9" x14ac:dyDescent="0.4">
      <c r="A4751" t="s">
        <v>68</v>
      </c>
      <c r="B4751" s="1">
        <v>44958</v>
      </c>
      <c r="C4751">
        <v>854239</v>
      </c>
      <c r="D4751" t="s">
        <v>176</v>
      </c>
      <c r="E4751">
        <v>7645</v>
      </c>
      <c r="F4751">
        <v>1</v>
      </c>
      <c r="G4751">
        <v>97</v>
      </c>
      <c r="H4751">
        <f>_xlfn.XLOOKUP(FACT_IMPORTS[[#This Row],[hts_6]],DIM_PRODUCTS[hts_6],DIM_PRODUCTS[hts_4],,,)</f>
        <v>8542</v>
      </c>
      <c r="I4751" t="str" cm="1">
        <f t="array" ref="I4751">_xlfn.XLOOKUP(FACT_IMPORTS[[#This Row],[country_name]],DIM_COUNTRY[[#All],[Column2]],DIM_COUNTRY[[#All],[Column3]],,,)</f>
        <v>Major_Non-USMCA_Non-China</v>
      </c>
    </row>
    <row r="4752" spans="1:9" x14ac:dyDescent="0.4">
      <c r="A4752" t="s">
        <v>68</v>
      </c>
      <c r="B4752" s="1">
        <v>44958</v>
      </c>
      <c r="C4752">
        <v>854290</v>
      </c>
      <c r="D4752" t="s">
        <v>176</v>
      </c>
      <c r="E4752">
        <v>0</v>
      </c>
      <c r="F4752">
        <v>0</v>
      </c>
      <c r="G4752">
        <v>0</v>
      </c>
      <c r="H4752">
        <f>_xlfn.XLOOKUP(FACT_IMPORTS[[#This Row],[hts_6]],DIM_PRODUCTS[hts_6],DIM_PRODUCTS[hts_4],,,)</f>
        <v>8542</v>
      </c>
      <c r="I4752" t="str" cm="1">
        <f t="array" ref="I4752">_xlfn.XLOOKUP(FACT_IMPORTS[[#This Row],[country_name]],DIM_COUNTRY[[#All],[Column2]],DIM_COUNTRY[[#All],[Column3]],,,)</f>
        <v>Major_Non-USMCA_Non-China</v>
      </c>
    </row>
    <row r="4753" spans="1:9" x14ac:dyDescent="0.4">
      <c r="A4753" t="s">
        <v>68</v>
      </c>
      <c r="B4753" s="1">
        <v>44958</v>
      </c>
      <c r="C4753">
        <v>854430</v>
      </c>
      <c r="D4753" t="s">
        <v>176</v>
      </c>
      <c r="E4753">
        <v>223601</v>
      </c>
      <c r="F4753">
        <v>14384</v>
      </c>
      <c r="G4753">
        <v>3666</v>
      </c>
      <c r="H4753">
        <f>_xlfn.XLOOKUP(FACT_IMPORTS[[#This Row],[hts_6]],DIM_PRODUCTS[hts_6],DIM_PRODUCTS[hts_4],,,)</f>
        <v>8544</v>
      </c>
      <c r="I4753" t="str" cm="1">
        <f t="array" ref="I4753">_xlfn.XLOOKUP(FACT_IMPORTS[[#This Row],[country_name]],DIM_COUNTRY[[#All],[Column2]],DIM_COUNTRY[[#All],[Column3]],,,)</f>
        <v>Major_Non-USMCA_Non-China</v>
      </c>
    </row>
    <row r="4754" spans="1:9" x14ac:dyDescent="0.4">
      <c r="A4754" t="s">
        <v>68</v>
      </c>
      <c r="B4754" s="1">
        <v>44958</v>
      </c>
      <c r="C4754">
        <v>870790</v>
      </c>
      <c r="D4754" t="s">
        <v>176</v>
      </c>
      <c r="E4754">
        <v>0</v>
      </c>
      <c r="F4754">
        <v>0</v>
      </c>
      <c r="G4754">
        <v>0</v>
      </c>
      <c r="H4754">
        <f>_xlfn.XLOOKUP(FACT_IMPORTS[[#This Row],[hts_6]],DIM_PRODUCTS[hts_6],DIM_PRODUCTS[hts_4],,,)</f>
        <v>8707</v>
      </c>
      <c r="I4754" t="str" cm="1">
        <f t="array" ref="I4754">_xlfn.XLOOKUP(FACT_IMPORTS[[#This Row],[country_name]],DIM_COUNTRY[[#All],[Column2]],DIM_COUNTRY[[#All],[Column3]],,,)</f>
        <v>Major_Non-USMCA_Non-China</v>
      </c>
    </row>
    <row r="4755" spans="1:9" x14ac:dyDescent="0.4">
      <c r="A4755" t="s">
        <v>68</v>
      </c>
      <c r="B4755" s="1">
        <v>44958</v>
      </c>
      <c r="C4755">
        <v>870810</v>
      </c>
      <c r="D4755" t="s">
        <v>176</v>
      </c>
      <c r="E4755">
        <v>35148</v>
      </c>
      <c r="F4755">
        <v>686</v>
      </c>
      <c r="G4755">
        <v>566</v>
      </c>
      <c r="H4755">
        <f>_xlfn.XLOOKUP(FACT_IMPORTS[[#This Row],[hts_6]],DIM_PRODUCTS[hts_6],DIM_PRODUCTS[hts_4],,,)</f>
        <v>8708</v>
      </c>
      <c r="I4755" t="str" cm="1">
        <f t="array" ref="I4755">_xlfn.XLOOKUP(FACT_IMPORTS[[#This Row],[country_name]],DIM_COUNTRY[[#All],[Column2]],DIM_COUNTRY[[#All],[Column3]],,,)</f>
        <v>Major_Non-USMCA_Non-China</v>
      </c>
    </row>
    <row r="4756" spans="1:9" x14ac:dyDescent="0.4">
      <c r="A4756" t="s">
        <v>68</v>
      </c>
      <c r="B4756" s="1">
        <v>44958</v>
      </c>
      <c r="C4756">
        <v>870822</v>
      </c>
      <c r="D4756" t="s">
        <v>176</v>
      </c>
      <c r="E4756">
        <v>29529</v>
      </c>
      <c r="F4756">
        <v>223</v>
      </c>
      <c r="G4756">
        <v>2</v>
      </c>
      <c r="H4756">
        <f>_xlfn.XLOOKUP(FACT_IMPORTS[[#This Row],[hts_6]],DIM_PRODUCTS[hts_6],DIM_PRODUCTS[hts_4],,,)</f>
        <v>8708</v>
      </c>
      <c r="I4756" t="str" cm="1">
        <f t="array" ref="I4756">_xlfn.XLOOKUP(FACT_IMPORTS[[#This Row],[country_name]],DIM_COUNTRY[[#All],[Column2]],DIM_COUNTRY[[#All],[Column3]],,,)</f>
        <v>Major_Non-USMCA_Non-China</v>
      </c>
    </row>
    <row r="4757" spans="1:9" x14ac:dyDescent="0.4">
      <c r="A4757" t="s">
        <v>68</v>
      </c>
      <c r="B4757" s="1">
        <v>44958</v>
      </c>
      <c r="C4757">
        <v>870829</v>
      </c>
      <c r="D4757" t="s">
        <v>176</v>
      </c>
      <c r="E4757">
        <v>908710</v>
      </c>
      <c r="F4757">
        <v>376160</v>
      </c>
      <c r="G4757">
        <v>17666</v>
      </c>
      <c r="H4757">
        <f>_xlfn.XLOOKUP(FACT_IMPORTS[[#This Row],[hts_6]],DIM_PRODUCTS[hts_6],DIM_PRODUCTS[hts_4],,,)</f>
        <v>8708</v>
      </c>
      <c r="I4757" t="str" cm="1">
        <f t="array" ref="I4757">_xlfn.XLOOKUP(FACT_IMPORTS[[#This Row],[country_name]],DIM_COUNTRY[[#All],[Column2]],DIM_COUNTRY[[#All],[Column3]],,,)</f>
        <v>Major_Non-USMCA_Non-China</v>
      </c>
    </row>
    <row r="4758" spans="1:9" x14ac:dyDescent="0.4">
      <c r="A4758" t="s">
        <v>68</v>
      </c>
      <c r="B4758" s="1">
        <v>44958</v>
      </c>
      <c r="C4758">
        <v>870830</v>
      </c>
      <c r="D4758" t="s">
        <v>176</v>
      </c>
      <c r="E4758">
        <v>105523</v>
      </c>
      <c r="F4758">
        <v>3615</v>
      </c>
      <c r="G4758">
        <v>4234</v>
      </c>
      <c r="H4758">
        <f>_xlfn.XLOOKUP(FACT_IMPORTS[[#This Row],[hts_6]],DIM_PRODUCTS[hts_6],DIM_PRODUCTS[hts_4],,,)</f>
        <v>8708</v>
      </c>
      <c r="I4758" t="str" cm="1">
        <f t="array" ref="I4758">_xlfn.XLOOKUP(FACT_IMPORTS[[#This Row],[country_name]],DIM_COUNTRY[[#All],[Column2]],DIM_COUNTRY[[#All],[Column3]],,,)</f>
        <v>Major_Non-USMCA_Non-China</v>
      </c>
    </row>
    <row r="4759" spans="1:9" x14ac:dyDescent="0.4">
      <c r="A4759" t="s">
        <v>68</v>
      </c>
      <c r="B4759" s="1">
        <v>44958</v>
      </c>
      <c r="C4759">
        <v>870840</v>
      </c>
      <c r="D4759" t="s">
        <v>176</v>
      </c>
      <c r="E4759">
        <v>65666763</v>
      </c>
      <c r="F4759">
        <v>886259</v>
      </c>
      <c r="G4759">
        <v>476218</v>
      </c>
      <c r="H4759">
        <f>_xlfn.XLOOKUP(FACT_IMPORTS[[#This Row],[hts_6]],DIM_PRODUCTS[hts_6],DIM_PRODUCTS[hts_4],,,)</f>
        <v>8708</v>
      </c>
      <c r="I4759" t="str" cm="1">
        <f t="array" ref="I4759">_xlfn.XLOOKUP(FACT_IMPORTS[[#This Row],[country_name]],DIM_COUNTRY[[#All],[Column2]],DIM_COUNTRY[[#All],[Column3]],,,)</f>
        <v>Major_Non-USMCA_Non-China</v>
      </c>
    </row>
    <row r="4760" spans="1:9" x14ac:dyDescent="0.4">
      <c r="A4760" t="s">
        <v>68</v>
      </c>
      <c r="B4760" s="1">
        <v>44958</v>
      </c>
      <c r="C4760">
        <v>870850</v>
      </c>
      <c r="D4760" t="s">
        <v>176</v>
      </c>
      <c r="E4760">
        <v>12511573</v>
      </c>
      <c r="F4760">
        <v>854355</v>
      </c>
      <c r="G4760">
        <v>134213</v>
      </c>
      <c r="H4760">
        <f>_xlfn.XLOOKUP(FACT_IMPORTS[[#This Row],[hts_6]],DIM_PRODUCTS[hts_6],DIM_PRODUCTS[hts_4],,,)</f>
        <v>8708</v>
      </c>
      <c r="I4760" t="str" cm="1">
        <f t="array" ref="I4760">_xlfn.XLOOKUP(FACT_IMPORTS[[#This Row],[country_name]],DIM_COUNTRY[[#All],[Column2]],DIM_COUNTRY[[#All],[Column3]],,,)</f>
        <v>Major_Non-USMCA_Non-China</v>
      </c>
    </row>
    <row r="4761" spans="1:9" x14ac:dyDescent="0.4">
      <c r="A4761" t="s">
        <v>68</v>
      </c>
      <c r="B4761" s="1">
        <v>44958</v>
      </c>
      <c r="C4761">
        <v>870870</v>
      </c>
      <c r="D4761" t="s">
        <v>176</v>
      </c>
      <c r="E4761">
        <v>27719</v>
      </c>
      <c r="F4761">
        <v>483</v>
      </c>
      <c r="G4761">
        <v>171</v>
      </c>
      <c r="H4761">
        <f>_xlfn.XLOOKUP(FACT_IMPORTS[[#This Row],[hts_6]],DIM_PRODUCTS[hts_6],DIM_PRODUCTS[hts_4],,,)</f>
        <v>8708</v>
      </c>
      <c r="I4761" t="str" cm="1">
        <f t="array" ref="I4761">_xlfn.XLOOKUP(FACT_IMPORTS[[#This Row],[country_name]],DIM_COUNTRY[[#All],[Column2]],DIM_COUNTRY[[#All],[Column3]],,,)</f>
        <v>Major_Non-USMCA_Non-China</v>
      </c>
    </row>
    <row r="4762" spans="1:9" x14ac:dyDescent="0.4">
      <c r="A4762" t="s">
        <v>68</v>
      </c>
      <c r="B4762" s="1">
        <v>44958</v>
      </c>
      <c r="C4762">
        <v>870880</v>
      </c>
      <c r="D4762" t="s">
        <v>176</v>
      </c>
      <c r="E4762">
        <v>335739</v>
      </c>
      <c r="F4762">
        <v>385404</v>
      </c>
      <c r="G4762">
        <v>13060</v>
      </c>
      <c r="H4762">
        <f>_xlfn.XLOOKUP(FACT_IMPORTS[[#This Row],[hts_6]],DIM_PRODUCTS[hts_6],DIM_PRODUCTS[hts_4],,,)</f>
        <v>8708</v>
      </c>
      <c r="I4762" t="str" cm="1">
        <f t="array" ref="I4762">_xlfn.XLOOKUP(FACT_IMPORTS[[#This Row],[country_name]],DIM_COUNTRY[[#All],[Column2]],DIM_COUNTRY[[#All],[Column3]],,,)</f>
        <v>Major_Non-USMCA_Non-China</v>
      </c>
    </row>
    <row r="4763" spans="1:9" x14ac:dyDescent="0.4">
      <c r="A4763" t="s">
        <v>68</v>
      </c>
      <c r="B4763" s="1">
        <v>44958</v>
      </c>
      <c r="C4763">
        <v>870891</v>
      </c>
      <c r="D4763" t="s">
        <v>176</v>
      </c>
      <c r="E4763">
        <v>189062</v>
      </c>
      <c r="F4763">
        <v>687</v>
      </c>
      <c r="G4763">
        <v>45916</v>
      </c>
      <c r="H4763">
        <f>_xlfn.XLOOKUP(FACT_IMPORTS[[#This Row],[hts_6]],DIM_PRODUCTS[hts_6],DIM_PRODUCTS[hts_4],,,)</f>
        <v>8708</v>
      </c>
      <c r="I4763" t="str" cm="1">
        <f t="array" ref="I4763">_xlfn.XLOOKUP(FACT_IMPORTS[[#This Row],[country_name]],DIM_COUNTRY[[#All],[Column2]],DIM_COUNTRY[[#All],[Column3]],,,)</f>
        <v>Major_Non-USMCA_Non-China</v>
      </c>
    </row>
    <row r="4764" spans="1:9" x14ac:dyDescent="0.4">
      <c r="A4764" t="s">
        <v>68</v>
      </c>
      <c r="B4764" s="1">
        <v>44958</v>
      </c>
      <c r="C4764">
        <v>870892</v>
      </c>
      <c r="D4764" t="s">
        <v>176</v>
      </c>
      <c r="E4764">
        <v>180583</v>
      </c>
      <c r="F4764">
        <v>3742</v>
      </c>
      <c r="G4764">
        <v>12211</v>
      </c>
      <c r="H4764">
        <f>_xlfn.XLOOKUP(FACT_IMPORTS[[#This Row],[hts_6]],DIM_PRODUCTS[hts_6],DIM_PRODUCTS[hts_4],,,)</f>
        <v>8708</v>
      </c>
      <c r="I4764" t="str" cm="1">
        <f t="array" ref="I4764">_xlfn.XLOOKUP(FACT_IMPORTS[[#This Row],[country_name]],DIM_COUNTRY[[#All],[Column2]],DIM_COUNTRY[[#All],[Column3]],,,)</f>
        <v>Major_Non-USMCA_Non-China</v>
      </c>
    </row>
    <row r="4765" spans="1:9" x14ac:dyDescent="0.4">
      <c r="A4765" t="s">
        <v>68</v>
      </c>
      <c r="B4765" s="1">
        <v>44958</v>
      </c>
      <c r="C4765">
        <v>870893</v>
      </c>
      <c r="D4765" t="s">
        <v>176</v>
      </c>
      <c r="E4765">
        <v>248092</v>
      </c>
      <c r="F4765">
        <v>799</v>
      </c>
      <c r="G4765">
        <v>2466</v>
      </c>
      <c r="H4765">
        <f>_xlfn.XLOOKUP(FACT_IMPORTS[[#This Row],[hts_6]],DIM_PRODUCTS[hts_6],DIM_PRODUCTS[hts_4],,,)</f>
        <v>8708</v>
      </c>
      <c r="I4765" t="str" cm="1">
        <f t="array" ref="I4765">_xlfn.XLOOKUP(FACT_IMPORTS[[#This Row],[country_name]],DIM_COUNTRY[[#All],[Column2]],DIM_COUNTRY[[#All],[Column3]],,,)</f>
        <v>Major_Non-USMCA_Non-China</v>
      </c>
    </row>
    <row r="4766" spans="1:9" x14ac:dyDescent="0.4">
      <c r="A4766" t="s">
        <v>68</v>
      </c>
      <c r="B4766" s="1">
        <v>44958</v>
      </c>
      <c r="C4766">
        <v>870894</v>
      </c>
      <c r="D4766" t="s">
        <v>176</v>
      </c>
      <c r="E4766">
        <v>132569</v>
      </c>
      <c r="F4766">
        <v>999</v>
      </c>
      <c r="G4766">
        <v>2786</v>
      </c>
      <c r="H4766">
        <f>_xlfn.XLOOKUP(FACT_IMPORTS[[#This Row],[hts_6]],DIM_PRODUCTS[hts_6],DIM_PRODUCTS[hts_4],,,)</f>
        <v>8708</v>
      </c>
      <c r="I4766" t="str" cm="1">
        <f t="array" ref="I4766">_xlfn.XLOOKUP(FACT_IMPORTS[[#This Row],[country_name]],DIM_COUNTRY[[#All],[Column2]],DIM_COUNTRY[[#All],[Column3]],,,)</f>
        <v>Major_Non-USMCA_Non-China</v>
      </c>
    </row>
    <row r="4767" spans="1:9" x14ac:dyDescent="0.4">
      <c r="A4767" t="s">
        <v>68</v>
      </c>
      <c r="B4767" s="1">
        <v>44958</v>
      </c>
      <c r="C4767">
        <v>870895</v>
      </c>
      <c r="D4767" t="s">
        <v>176</v>
      </c>
      <c r="E4767">
        <v>18476</v>
      </c>
      <c r="F4767">
        <v>2037</v>
      </c>
      <c r="G4767">
        <v>5040</v>
      </c>
      <c r="H4767">
        <f>_xlfn.XLOOKUP(FACT_IMPORTS[[#This Row],[hts_6]],DIM_PRODUCTS[hts_6],DIM_PRODUCTS[hts_4],,,)</f>
        <v>8708</v>
      </c>
      <c r="I4767" t="str" cm="1">
        <f t="array" ref="I4767">_xlfn.XLOOKUP(FACT_IMPORTS[[#This Row],[country_name]],DIM_COUNTRY[[#All],[Column2]],DIM_COUNTRY[[#All],[Column3]],,,)</f>
        <v>Major_Non-USMCA_Non-China</v>
      </c>
    </row>
    <row r="4768" spans="1:9" x14ac:dyDescent="0.4">
      <c r="A4768" t="s">
        <v>68</v>
      </c>
      <c r="B4768" s="1">
        <v>44958</v>
      </c>
      <c r="C4768">
        <v>870899</v>
      </c>
      <c r="D4768" t="s">
        <v>176</v>
      </c>
      <c r="E4768">
        <v>1866149</v>
      </c>
      <c r="F4768">
        <v>435723</v>
      </c>
      <c r="G4768">
        <v>35740</v>
      </c>
      <c r="H4768">
        <f>_xlfn.XLOOKUP(FACT_IMPORTS[[#This Row],[hts_6]],DIM_PRODUCTS[hts_6],DIM_PRODUCTS[hts_4],,,)</f>
        <v>8708</v>
      </c>
      <c r="I4768" t="str" cm="1">
        <f t="array" ref="I4768">_xlfn.XLOOKUP(FACT_IMPORTS[[#This Row],[country_name]],DIM_COUNTRY[[#All],[Column2]],DIM_COUNTRY[[#All],[Column3]],,,)</f>
        <v>Major_Non-USMCA_Non-China</v>
      </c>
    </row>
    <row r="4769" spans="1:9" x14ac:dyDescent="0.4">
      <c r="A4769" t="s">
        <v>68</v>
      </c>
      <c r="B4769" s="1">
        <v>44958</v>
      </c>
      <c r="C4769">
        <v>940120</v>
      </c>
      <c r="D4769" t="s">
        <v>176</v>
      </c>
      <c r="E4769">
        <v>116287</v>
      </c>
      <c r="F4769">
        <v>69</v>
      </c>
      <c r="G4769">
        <v>3175</v>
      </c>
      <c r="H4769">
        <f>_xlfn.XLOOKUP(FACT_IMPORTS[[#This Row],[hts_6]],DIM_PRODUCTS[hts_6],DIM_PRODUCTS[hts_4],,,)</f>
        <v>9401</v>
      </c>
      <c r="I4769" t="str" cm="1">
        <f t="array" ref="I4769">_xlfn.XLOOKUP(FACT_IMPORTS[[#This Row],[country_name]],DIM_COUNTRY[[#All],[Column2]],DIM_COUNTRY[[#All],[Column3]],,,)</f>
        <v>Major_Non-USMCA_Non-China</v>
      </c>
    </row>
    <row r="4770" spans="1:9" x14ac:dyDescent="0.4">
      <c r="A4770" t="s">
        <v>68</v>
      </c>
      <c r="B4770" s="1">
        <v>44986</v>
      </c>
      <c r="C4770">
        <v>392630</v>
      </c>
      <c r="D4770" t="s">
        <v>176</v>
      </c>
      <c r="E4770">
        <v>203875</v>
      </c>
      <c r="F4770">
        <v>28603</v>
      </c>
      <c r="G4770">
        <v>7308</v>
      </c>
      <c r="H4770">
        <f>_xlfn.XLOOKUP(FACT_IMPORTS[[#This Row],[hts_6]],DIM_PRODUCTS[hts_6],DIM_PRODUCTS[hts_4],,,)</f>
        <v>3926</v>
      </c>
      <c r="I4770" t="str" cm="1">
        <f t="array" ref="I4770">_xlfn.XLOOKUP(FACT_IMPORTS[[#This Row],[country_name]],DIM_COUNTRY[[#All],[Column2]],DIM_COUNTRY[[#All],[Column3]],,,)</f>
        <v>Major_Non-USMCA_Non-China</v>
      </c>
    </row>
    <row r="4771" spans="1:9" x14ac:dyDescent="0.4">
      <c r="A4771" t="s">
        <v>68</v>
      </c>
      <c r="B4771" s="1">
        <v>44986</v>
      </c>
      <c r="C4771">
        <v>401110</v>
      </c>
      <c r="D4771" t="s">
        <v>176</v>
      </c>
      <c r="E4771">
        <v>9055</v>
      </c>
      <c r="F4771">
        <v>39</v>
      </c>
      <c r="G4771">
        <v>574</v>
      </c>
      <c r="H4771">
        <f>_xlfn.XLOOKUP(FACT_IMPORTS[[#This Row],[hts_6]],DIM_PRODUCTS[hts_6],DIM_PRODUCTS[hts_4],,,)</f>
        <v>4011</v>
      </c>
      <c r="I4771" t="str" cm="1">
        <f t="array" ref="I4771">_xlfn.XLOOKUP(FACT_IMPORTS[[#This Row],[country_name]],DIM_COUNTRY[[#All],[Column2]],DIM_COUNTRY[[#All],[Column3]],,,)</f>
        <v>Major_Non-USMCA_Non-China</v>
      </c>
    </row>
    <row r="4772" spans="1:9" x14ac:dyDescent="0.4">
      <c r="A4772" t="s">
        <v>68</v>
      </c>
      <c r="B4772" s="1">
        <v>44986</v>
      </c>
      <c r="C4772">
        <v>401120</v>
      </c>
      <c r="D4772" t="s">
        <v>176</v>
      </c>
      <c r="E4772">
        <v>0</v>
      </c>
      <c r="F4772">
        <v>0</v>
      </c>
      <c r="G4772">
        <v>0</v>
      </c>
      <c r="H4772">
        <f>_xlfn.XLOOKUP(FACT_IMPORTS[[#This Row],[hts_6]],DIM_PRODUCTS[hts_6],DIM_PRODUCTS[hts_4],,,)</f>
        <v>4011</v>
      </c>
      <c r="I4772" t="str" cm="1">
        <f t="array" ref="I4772">_xlfn.XLOOKUP(FACT_IMPORTS[[#This Row],[country_name]],DIM_COUNTRY[[#All],[Column2]],DIM_COUNTRY[[#All],[Column3]],,,)</f>
        <v>Major_Non-USMCA_Non-China</v>
      </c>
    </row>
    <row r="4773" spans="1:9" x14ac:dyDescent="0.4">
      <c r="A4773" t="s">
        <v>68</v>
      </c>
      <c r="B4773" s="1">
        <v>44986</v>
      </c>
      <c r="C4773">
        <v>401140</v>
      </c>
      <c r="D4773" t="s">
        <v>176</v>
      </c>
      <c r="E4773">
        <v>0</v>
      </c>
      <c r="F4773">
        <v>0</v>
      </c>
      <c r="G4773">
        <v>0</v>
      </c>
      <c r="H4773">
        <f>_xlfn.XLOOKUP(FACT_IMPORTS[[#This Row],[hts_6]],DIM_PRODUCTS[hts_6],DIM_PRODUCTS[hts_4],,,)</f>
        <v>4011</v>
      </c>
      <c r="I4773" t="str" cm="1">
        <f t="array" ref="I4773">_xlfn.XLOOKUP(FACT_IMPORTS[[#This Row],[country_name]],DIM_COUNTRY[[#All],[Column2]],DIM_COUNTRY[[#All],[Column3]],,,)</f>
        <v>Major_Non-USMCA_Non-China</v>
      </c>
    </row>
    <row r="4774" spans="1:9" x14ac:dyDescent="0.4">
      <c r="A4774" t="s">
        <v>68</v>
      </c>
      <c r="B4774" s="1">
        <v>44986</v>
      </c>
      <c r="C4774">
        <v>401190</v>
      </c>
      <c r="D4774" t="s">
        <v>176</v>
      </c>
      <c r="E4774">
        <v>2979</v>
      </c>
      <c r="F4774">
        <v>1</v>
      </c>
      <c r="G4774">
        <v>32</v>
      </c>
      <c r="H4774">
        <f>_xlfn.XLOOKUP(FACT_IMPORTS[[#This Row],[hts_6]],DIM_PRODUCTS[hts_6],DIM_PRODUCTS[hts_4],,,)</f>
        <v>4011</v>
      </c>
      <c r="I4774" t="str" cm="1">
        <f t="array" ref="I4774">_xlfn.XLOOKUP(FACT_IMPORTS[[#This Row],[country_name]],DIM_COUNTRY[[#All],[Column2]],DIM_COUNTRY[[#All],[Column3]],,,)</f>
        <v>Major_Non-USMCA_Non-China</v>
      </c>
    </row>
    <row r="4775" spans="1:9" x14ac:dyDescent="0.4">
      <c r="A4775" t="s">
        <v>68</v>
      </c>
      <c r="B4775" s="1">
        <v>44986</v>
      </c>
      <c r="C4775">
        <v>700711</v>
      </c>
      <c r="D4775" t="s">
        <v>176</v>
      </c>
      <c r="E4775">
        <v>0</v>
      </c>
      <c r="F4775">
        <v>0</v>
      </c>
      <c r="G4775">
        <v>0</v>
      </c>
      <c r="H4775">
        <f>_xlfn.XLOOKUP(FACT_IMPORTS[[#This Row],[hts_6]],DIM_PRODUCTS[hts_6],DIM_PRODUCTS[hts_4],,,)</f>
        <v>7007</v>
      </c>
      <c r="I4775" t="str" cm="1">
        <f t="array" ref="I4775">_xlfn.XLOOKUP(FACT_IMPORTS[[#This Row],[country_name]],DIM_COUNTRY[[#All],[Column2]],DIM_COUNTRY[[#All],[Column3]],,,)</f>
        <v>Major_Non-USMCA_Non-China</v>
      </c>
    </row>
    <row r="4776" spans="1:9" x14ac:dyDescent="0.4">
      <c r="A4776" t="s">
        <v>68</v>
      </c>
      <c r="B4776" s="1">
        <v>44986</v>
      </c>
      <c r="C4776">
        <v>700721</v>
      </c>
      <c r="D4776" t="s">
        <v>176</v>
      </c>
      <c r="E4776">
        <v>0</v>
      </c>
      <c r="F4776">
        <v>0</v>
      </c>
      <c r="G4776">
        <v>0</v>
      </c>
      <c r="H4776">
        <f>_xlfn.XLOOKUP(FACT_IMPORTS[[#This Row],[hts_6]],DIM_PRODUCTS[hts_6],DIM_PRODUCTS[hts_4],,,)</f>
        <v>7007</v>
      </c>
      <c r="I4776" t="str" cm="1">
        <f t="array" ref="I4776">_xlfn.XLOOKUP(FACT_IMPORTS[[#This Row],[country_name]],DIM_COUNTRY[[#All],[Column2]],DIM_COUNTRY[[#All],[Column3]],,,)</f>
        <v>Major_Non-USMCA_Non-China</v>
      </c>
    </row>
    <row r="4777" spans="1:9" x14ac:dyDescent="0.4">
      <c r="A4777" t="s">
        <v>68</v>
      </c>
      <c r="B4777" s="1">
        <v>44986</v>
      </c>
      <c r="C4777">
        <v>732010</v>
      </c>
      <c r="D4777" t="s">
        <v>176</v>
      </c>
      <c r="E4777">
        <v>0</v>
      </c>
      <c r="F4777">
        <v>0</v>
      </c>
      <c r="G4777">
        <v>0</v>
      </c>
      <c r="H4777">
        <f>_xlfn.XLOOKUP(FACT_IMPORTS[[#This Row],[hts_6]],DIM_PRODUCTS[hts_6],DIM_PRODUCTS[hts_4],,,)</f>
        <v>7320</v>
      </c>
      <c r="I4777" t="str" cm="1">
        <f t="array" ref="I4777">_xlfn.XLOOKUP(FACT_IMPORTS[[#This Row],[country_name]],DIM_COUNTRY[[#All],[Column2]],DIM_COUNTRY[[#All],[Column3]],,,)</f>
        <v>Major_Non-USMCA_Non-China</v>
      </c>
    </row>
    <row r="4778" spans="1:9" x14ac:dyDescent="0.4">
      <c r="A4778" t="s">
        <v>68</v>
      </c>
      <c r="B4778" s="1">
        <v>44986</v>
      </c>
      <c r="C4778">
        <v>830230</v>
      </c>
      <c r="D4778" t="s">
        <v>176</v>
      </c>
      <c r="E4778">
        <v>196002</v>
      </c>
      <c r="F4778">
        <v>47879</v>
      </c>
      <c r="G4778">
        <v>14036</v>
      </c>
      <c r="H4778">
        <f>_xlfn.XLOOKUP(FACT_IMPORTS[[#This Row],[hts_6]],DIM_PRODUCTS[hts_6],DIM_PRODUCTS[hts_4],,,)</f>
        <v>8302</v>
      </c>
      <c r="I4778" t="str" cm="1">
        <f t="array" ref="I4778">_xlfn.XLOOKUP(FACT_IMPORTS[[#This Row],[country_name]],DIM_COUNTRY[[#All],[Column2]],DIM_COUNTRY[[#All],[Column3]],,,)</f>
        <v>Major_Non-USMCA_Non-China</v>
      </c>
    </row>
    <row r="4779" spans="1:9" x14ac:dyDescent="0.4">
      <c r="A4779" t="s">
        <v>68</v>
      </c>
      <c r="B4779" s="1">
        <v>44986</v>
      </c>
      <c r="C4779">
        <v>840731</v>
      </c>
      <c r="D4779" t="s">
        <v>176</v>
      </c>
      <c r="E4779">
        <v>0</v>
      </c>
      <c r="F4779">
        <v>0</v>
      </c>
      <c r="G4779">
        <v>0</v>
      </c>
      <c r="H4779">
        <f>_xlfn.XLOOKUP(FACT_IMPORTS[[#This Row],[hts_6]],DIM_PRODUCTS[hts_6],DIM_PRODUCTS[hts_4],,,)</f>
        <v>8407</v>
      </c>
      <c r="I4779" t="str" cm="1">
        <f t="array" ref="I4779">_xlfn.XLOOKUP(FACT_IMPORTS[[#This Row],[country_name]],DIM_COUNTRY[[#All],[Column2]],DIM_COUNTRY[[#All],[Column3]],,,)</f>
        <v>Major_Non-USMCA_Non-China</v>
      </c>
    </row>
    <row r="4780" spans="1:9" x14ac:dyDescent="0.4">
      <c r="A4780" t="s">
        <v>68</v>
      </c>
      <c r="B4780" s="1">
        <v>44986</v>
      </c>
      <c r="C4780">
        <v>840733</v>
      </c>
      <c r="D4780" t="s">
        <v>176</v>
      </c>
      <c r="E4780">
        <v>3000</v>
      </c>
      <c r="F4780">
        <v>1</v>
      </c>
      <c r="G4780">
        <v>200</v>
      </c>
      <c r="H4780">
        <f>_xlfn.XLOOKUP(FACT_IMPORTS[[#This Row],[hts_6]],DIM_PRODUCTS[hts_6],DIM_PRODUCTS[hts_4],,,)</f>
        <v>8407</v>
      </c>
      <c r="I4780" t="str" cm="1">
        <f t="array" ref="I4780">_xlfn.XLOOKUP(FACT_IMPORTS[[#This Row],[country_name]],DIM_COUNTRY[[#All],[Column2]],DIM_COUNTRY[[#All],[Column3]],,,)</f>
        <v>Major_Non-USMCA_Non-China</v>
      </c>
    </row>
    <row r="4781" spans="1:9" x14ac:dyDescent="0.4">
      <c r="A4781" t="s">
        <v>68</v>
      </c>
      <c r="B4781" s="1">
        <v>44986</v>
      </c>
      <c r="C4781">
        <v>840734</v>
      </c>
      <c r="D4781" t="s">
        <v>176</v>
      </c>
      <c r="E4781">
        <v>2067</v>
      </c>
      <c r="F4781">
        <v>1</v>
      </c>
      <c r="G4781">
        <v>100</v>
      </c>
      <c r="H4781">
        <f>_xlfn.XLOOKUP(FACT_IMPORTS[[#This Row],[hts_6]],DIM_PRODUCTS[hts_6],DIM_PRODUCTS[hts_4],,,)</f>
        <v>8407</v>
      </c>
      <c r="I4781" t="str" cm="1">
        <f t="array" ref="I4781">_xlfn.XLOOKUP(FACT_IMPORTS[[#This Row],[country_name]],DIM_COUNTRY[[#All],[Column2]],DIM_COUNTRY[[#All],[Column3]],,,)</f>
        <v>Major_Non-USMCA_Non-China</v>
      </c>
    </row>
    <row r="4782" spans="1:9" x14ac:dyDescent="0.4">
      <c r="A4782" t="s">
        <v>68</v>
      </c>
      <c r="B4782" s="1">
        <v>44986</v>
      </c>
      <c r="C4782">
        <v>840790</v>
      </c>
      <c r="D4782" t="s">
        <v>176</v>
      </c>
      <c r="E4782">
        <v>0</v>
      </c>
      <c r="F4782">
        <v>0</v>
      </c>
      <c r="G4782">
        <v>0</v>
      </c>
      <c r="H4782">
        <f>_xlfn.XLOOKUP(FACT_IMPORTS[[#This Row],[hts_6]],DIM_PRODUCTS[hts_6],DIM_PRODUCTS[hts_4],,,)</f>
        <v>8407</v>
      </c>
      <c r="I4782" t="str" cm="1">
        <f t="array" ref="I4782">_xlfn.XLOOKUP(FACT_IMPORTS[[#This Row],[country_name]],DIM_COUNTRY[[#All],[Column2]],DIM_COUNTRY[[#All],[Column3]],,,)</f>
        <v>Major_Non-USMCA_Non-China</v>
      </c>
    </row>
    <row r="4783" spans="1:9" x14ac:dyDescent="0.4">
      <c r="A4783" t="s">
        <v>68</v>
      </c>
      <c r="B4783" s="1">
        <v>44986</v>
      </c>
      <c r="C4783">
        <v>840820</v>
      </c>
      <c r="D4783" t="s">
        <v>176</v>
      </c>
      <c r="E4783">
        <v>0</v>
      </c>
      <c r="F4783">
        <v>0</v>
      </c>
      <c r="G4783">
        <v>0</v>
      </c>
      <c r="H4783">
        <f>_xlfn.XLOOKUP(FACT_IMPORTS[[#This Row],[hts_6]],DIM_PRODUCTS[hts_6],DIM_PRODUCTS[hts_4],,,)</f>
        <v>8408</v>
      </c>
      <c r="I4783" t="str" cm="1">
        <f t="array" ref="I4783">_xlfn.XLOOKUP(FACT_IMPORTS[[#This Row],[country_name]],DIM_COUNTRY[[#All],[Column2]],DIM_COUNTRY[[#All],[Column3]],,,)</f>
        <v>Major_Non-USMCA_Non-China</v>
      </c>
    </row>
    <row r="4784" spans="1:9" x14ac:dyDescent="0.4">
      <c r="A4784" t="s">
        <v>68</v>
      </c>
      <c r="B4784" s="1">
        <v>44986</v>
      </c>
      <c r="C4784">
        <v>840890</v>
      </c>
      <c r="D4784" t="s">
        <v>176</v>
      </c>
      <c r="E4784">
        <v>0</v>
      </c>
      <c r="F4784">
        <v>0</v>
      </c>
      <c r="G4784">
        <v>0</v>
      </c>
      <c r="H4784">
        <f>_xlfn.XLOOKUP(FACT_IMPORTS[[#This Row],[hts_6]],DIM_PRODUCTS[hts_6],DIM_PRODUCTS[hts_4],,,)</f>
        <v>8408</v>
      </c>
      <c r="I4784" t="str" cm="1">
        <f t="array" ref="I4784">_xlfn.XLOOKUP(FACT_IMPORTS[[#This Row],[country_name]],DIM_COUNTRY[[#All],[Column2]],DIM_COUNTRY[[#All],[Column3]],,,)</f>
        <v>Major_Non-USMCA_Non-China</v>
      </c>
    </row>
    <row r="4785" spans="1:9" x14ac:dyDescent="0.4">
      <c r="A4785" t="s">
        <v>68</v>
      </c>
      <c r="B4785" s="1">
        <v>44986</v>
      </c>
      <c r="C4785">
        <v>840991</v>
      </c>
      <c r="D4785" t="s">
        <v>176</v>
      </c>
      <c r="E4785">
        <v>463051</v>
      </c>
      <c r="F4785">
        <v>70040</v>
      </c>
      <c r="G4785">
        <v>20875</v>
      </c>
      <c r="H4785">
        <f>_xlfn.XLOOKUP(FACT_IMPORTS[[#This Row],[hts_6]],DIM_PRODUCTS[hts_6],DIM_PRODUCTS[hts_4],,,)</f>
        <v>8409</v>
      </c>
      <c r="I4785" t="str" cm="1">
        <f t="array" ref="I4785">_xlfn.XLOOKUP(FACT_IMPORTS[[#This Row],[country_name]],DIM_COUNTRY[[#All],[Column2]],DIM_COUNTRY[[#All],[Column3]],,,)</f>
        <v>Major_Non-USMCA_Non-China</v>
      </c>
    </row>
    <row r="4786" spans="1:9" x14ac:dyDescent="0.4">
      <c r="A4786" t="s">
        <v>68</v>
      </c>
      <c r="B4786" s="1">
        <v>44986</v>
      </c>
      <c r="C4786">
        <v>840999</v>
      </c>
      <c r="D4786" t="s">
        <v>176</v>
      </c>
      <c r="E4786">
        <v>17324289</v>
      </c>
      <c r="F4786">
        <v>2301295</v>
      </c>
      <c r="G4786">
        <v>333917</v>
      </c>
      <c r="H4786">
        <f>_xlfn.XLOOKUP(FACT_IMPORTS[[#This Row],[hts_6]],DIM_PRODUCTS[hts_6],DIM_PRODUCTS[hts_4],,,)</f>
        <v>8409</v>
      </c>
      <c r="I4786" t="str" cm="1">
        <f t="array" ref="I4786">_xlfn.XLOOKUP(FACT_IMPORTS[[#This Row],[country_name]],DIM_COUNTRY[[#All],[Column2]],DIM_COUNTRY[[#All],[Column3]],,,)</f>
        <v>Major_Non-USMCA_Non-China</v>
      </c>
    </row>
    <row r="4787" spans="1:9" x14ac:dyDescent="0.4">
      <c r="A4787" t="s">
        <v>68</v>
      </c>
      <c r="B4787" s="1">
        <v>44986</v>
      </c>
      <c r="C4787">
        <v>841330</v>
      </c>
      <c r="D4787" t="s">
        <v>176</v>
      </c>
      <c r="E4787">
        <v>9517293</v>
      </c>
      <c r="F4787">
        <v>72070</v>
      </c>
      <c r="G4787">
        <v>44265</v>
      </c>
      <c r="H4787">
        <f>_xlfn.XLOOKUP(FACT_IMPORTS[[#This Row],[hts_6]],DIM_PRODUCTS[hts_6],DIM_PRODUCTS[hts_4],,,)</f>
        <v>8413</v>
      </c>
      <c r="I4787" t="str" cm="1">
        <f t="array" ref="I4787">_xlfn.XLOOKUP(FACT_IMPORTS[[#This Row],[country_name]],DIM_COUNTRY[[#All],[Column2]],DIM_COUNTRY[[#All],[Column3]],,,)</f>
        <v>Major_Non-USMCA_Non-China</v>
      </c>
    </row>
    <row r="4788" spans="1:9" x14ac:dyDescent="0.4">
      <c r="A4788" t="s">
        <v>68</v>
      </c>
      <c r="B4788" s="1">
        <v>44986</v>
      </c>
      <c r="C4788">
        <v>841520</v>
      </c>
      <c r="D4788" t="s">
        <v>176</v>
      </c>
      <c r="E4788">
        <v>0</v>
      </c>
      <c r="F4788">
        <v>0</v>
      </c>
      <c r="G4788">
        <v>0</v>
      </c>
      <c r="H4788">
        <f>_xlfn.XLOOKUP(FACT_IMPORTS[[#This Row],[hts_6]],DIM_PRODUCTS[hts_6],DIM_PRODUCTS[hts_4],,,)</f>
        <v>8415</v>
      </c>
      <c r="I4788" t="str" cm="1">
        <f t="array" ref="I4788">_xlfn.XLOOKUP(FACT_IMPORTS[[#This Row],[country_name]],DIM_COUNTRY[[#All],[Column2]],DIM_COUNTRY[[#All],[Column3]],,,)</f>
        <v>Major_Non-USMCA_Non-China</v>
      </c>
    </row>
    <row r="4789" spans="1:9" x14ac:dyDescent="0.4">
      <c r="A4789" t="s">
        <v>68</v>
      </c>
      <c r="B4789" s="1">
        <v>44986</v>
      </c>
      <c r="C4789">
        <v>842132</v>
      </c>
      <c r="D4789" t="s">
        <v>176</v>
      </c>
      <c r="E4789">
        <v>221453</v>
      </c>
      <c r="F4789">
        <v>398</v>
      </c>
      <c r="G4789">
        <v>393</v>
      </c>
      <c r="H4789">
        <f>_xlfn.XLOOKUP(FACT_IMPORTS[[#This Row],[hts_6]],DIM_PRODUCTS[hts_6],DIM_PRODUCTS[hts_4],,,)</f>
        <v>8421</v>
      </c>
      <c r="I4789" t="str" cm="1">
        <f t="array" ref="I4789">_xlfn.XLOOKUP(FACT_IMPORTS[[#This Row],[country_name]],DIM_COUNTRY[[#All],[Column2]],DIM_COUNTRY[[#All],[Column3]],,,)</f>
        <v>Major_Non-USMCA_Non-China</v>
      </c>
    </row>
    <row r="4790" spans="1:9" x14ac:dyDescent="0.4">
      <c r="A4790" t="s">
        <v>68</v>
      </c>
      <c r="B4790" s="1">
        <v>44986</v>
      </c>
      <c r="C4790">
        <v>848210</v>
      </c>
      <c r="D4790" t="s">
        <v>176</v>
      </c>
      <c r="E4790">
        <v>163663</v>
      </c>
      <c r="F4790">
        <v>2260</v>
      </c>
      <c r="G4790">
        <v>4549</v>
      </c>
      <c r="H4790">
        <f>_xlfn.XLOOKUP(FACT_IMPORTS[[#This Row],[hts_6]],DIM_PRODUCTS[hts_6],DIM_PRODUCTS[hts_4],,,)</f>
        <v>8482</v>
      </c>
      <c r="I4790" t="str" cm="1">
        <f t="array" ref="I4790">_xlfn.XLOOKUP(FACT_IMPORTS[[#This Row],[country_name]],DIM_COUNTRY[[#All],[Column2]],DIM_COUNTRY[[#All],[Column3]],,,)</f>
        <v>Major_Non-USMCA_Non-China</v>
      </c>
    </row>
    <row r="4791" spans="1:9" x14ac:dyDescent="0.4">
      <c r="A4791" t="s">
        <v>68</v>
      </c>
      <c r="B4791" s="1">
        <v>44986</v>
      </c>
      <c r="C4791">
        <v>848220</v>
      </c>
      <c r="D4791" t="s">
        <v>176</v>
      </c>
      <c r="E4791">
        <v>136714</v>
      </c>
      <c r="F4791">
        <v>10124</v>
      </c>
      <c r="G4791">
        <v>1782</v>
      </c>
      <c r="H4791">
        <f>_xlfn.XLOOKUP(FACT_IMPORTS[[#This Row],[hts_6]],DIM_PRODUCTS[hts_6],DIM_PRODUCTS[hts_4],,,)</f>
        <v>8482</v>
      </c>
      <c r="I4791" t="str" cm="1">
        <f t="array" ref="I4791">_xlfn.XLOOKUP(FACT_IMPORTS[[#This Row],[country_name]],DIM_COUNTRY[[#All],[Column2]],DIM_COUNTRY[[#All],[Column3]],,,)</f>
        <v>Major_Non-USMCA_Non-China</v>
      </c>
    </row>
    <row r="4792" spans="1:9" x14ac:dyDescent="0.4">
      <c r="A4792" t="s">
        <v>68</v>
      </c>
      <c r="B4792" s="1">
        <v>44986</v>
      </c>
      <c r="C4792">
        <v>848310</v>
      </c>
      <c r="D4792" t="s">
        <v>176</v>
      </c>
      <c r="E4792">
        <v>2817449</v>
      </c>
      <c r="F4792">
        <v>36377</v>
      </c>
      <c r="G4792">
        <v>23548</v>
      </c>
      <c r="H4792">
        <f>_xlfn.XLOOKUP(FACT_IMPORTS[[#This Row],[hts_6]],DIM_PRODUCTS[hts_6],DIM_PRODUCTS[hts_4],,,)</f>
        <v>8483</v>
      </c>
      <c r="I4792" t="str" cm="1">
        <f t="array" ref="I4792">_xlfn.XLOOKUP(FACT_IMPORTS[[#This Row],[country_name]],DIM_COUNTRY[[#All],[Column2]],DIM_COUNTRY[[#All],[Column3]],,,)</f>
        <v>Major_Non-USMCA_Non-China</v>
      </c>
    </row>
    <row r="4793" spans="1:9" x14ac:dyDescent="0.4">
      <c r="A4793" t="s">
        <v>68</v>
      </c>
      <c r="B4793" s="1">
        <v>44986</v>
      </c>
      <c r="C4793">
        <v>850131</v>
      </c>
      <c r="D4793" t="s">
        <v>176</v>
      </c>
      <c r="E4793">
        <v>94438</v>
      </c>
      <c r="F4793">
        <v>701</v>
      </c>
      <c r="G4793">
        <v>754</v>
      </c>
      <c r="H4793">
        <f>_xlfn.XLOOKUP(FACT_IMPORTS[[#This Row],[hts_6]],DIM_PRODUCTS[hts_6],DIM_PRODUCTS[hts_4],,,)</f>
        <v>8501</v>
      </c>
      <c r="I4793" t="str" cm="1">
        <f t="array" ref="I4793">_xlfn.XLOOKUP(FACT_IMPORTS[[#This Row],[country_name]],DIM_COUNTRY[[#All],[Column2]],DIM_COUNTRY[[#All],[Column3]],,,)</f>
        <v>Major_Non-USMCA_Non-China</v>
      </c>
    </row>
    <row r="4794" spans="1:9" x14ac:dyDescent="0.4">
      <c r="A4794" t="s">
        <v>68</v>
      </c>
      <c r="B4794" s="1">
        <v>44986</v>
      </c>
      <c r="C4794">
        <v>850132</v>
      </c>
      <c r="D4794" t="s">
        <v>176</v>
      </c>
      <c r="E4794">
        <v>184089</v>
      </c>
      <c r="F4794">
        <v>28</v>
      </c>
      <c r="G4794">
        <v>1255</v>
      </c>
      <c r="H4794">
        <f>_xlfn.XLOOKUP(FACT_IMPORTS[[#This Row],[hts_6]],DIM_PRODUCTS[hts_6],DIM_PRODUCTS[hts_4],,,)</f>
        <v>8501</v>
      </c>
      <c r="I4794" t="str" cm="1">
        <f t="array" ref="I4794">_xlfn.XLOOKUP(FACT_IMPORTS[[#This Row],[country_name]],DIM_COUNTRY[[#All],[Column2]],DIM_COUNTRY[[#All],[Column3]],,,)</f>
        <v>Major_Non-USMCA_Non-China</v>
      </c>
    </row>
    <row r="4795" spans="1:9" x14ac:dyDescent="0.4">
      <c r="A4795" t="s">
        <v>68</v>
      </c>
      <c r="B4795" s="1">
        <v>44986</v>
      </c>
      <c r="C4795">
        <v>850133</v>
      </c>
      <c r="D4795" t="s">
        <v>176</v>
      </c>
      <c r="E4795">
        <v>0</v>
      </c>
      <c r="F4795">
        <v>0</v>
      </c>
      <c r="G4795">
        <v>0</v>
      </c>
      <c r="H4795">
        <f>_xlfn.XLOOKUP(FACT_IMPORTS[[#This Row],[hts_6]],DIM_PRODUCTS[hts_6],DIM_PRODUCTS[hts_4],,,)</f>
        <v>8501</v>
      </c>
      <c r="I4795" t="str" cm="1">
        <f t="array" ref="I4795">_xlfn.XLOOKUP(FACT_IMPORTS[[#This Row],[country_name]],DIM_COUNTRY[[#All],[Column2]],DIM_COUNTRY[[#All],[Column3]],,,)</f>
        <v>Major_Non-USMCA_Non-China</v>
      </c>
    </row>
    <row r="4796" spans="1:9" x14ac:dyDescent="0.4">
      <c r="A4796" t="s">
        <v>68</v>
      </c>
      <c r="B4796" s="1">
        <v>44986</v>
      </c>
      <c r="C4796">
        <v>850134</v>
      </c>
      <c r="D4796" t="s">
        <v>176</v>
      </c>
      <c r="E4796">
        <v>47881</v>
      </c>
      <c r="F4796">
        <v>2</v>
      </c>
      <c r="G4796">
        <v>1831</v>
      </c>
      <c r="H4796">
        <f>_xlfn.XLOOKUP(FACT_IMPORTS[[#This Row],[hts_6]],DIM_PRODUCTS[hts_6],DIM_PRODUCTS[hts_4],,,)</f>
        <v>8501</v>
      </c>
      <c r="I4796" t="str" cm="1">
        <f t="array" ref="I4796">_xlfn.XLOOKUP(FACT_IMPORTS[[#This Row],[country_name]],DIM_COUNTRY[[#All],[Column2]],DIM_COUNTRY[[#All],[Column3]],,,)</f>
        <v>Major_Non-USMCA_Non-China</v>
      </c>
    </row>
    <row r="4797" spans="1:9" x14ac:dyDescent="0.4">
      <c r="A4797" t="s">
        <v>68</v>
      </c>
      <c r="B4797" s="1">
        <v>44986</v>
      </c>
      <c r="C4797">
        <v>850152</v>
      </c>
      <c r="D4797" t="s">
        <v>176</v>
      </c>
      <c r="E4797">
        <v>475759</v>
      </c>
      <c r="F4797">
        <v>451</v>
      </c>
      <c r="G4797">
        <v>15892</v>
      </c>
      <c r="H4797">
        <f>_xlfn.XLOOKUP(FACT_IMPORTS[[#This Row],[hts_6]],DIM_PRODUCTS[hts_6],DIM_PRODUCTS[hts_4],,,)</f>
        <v>8501</v>
      </c>
      <c r="I4797" t="str" cm="1">
        <f t="array" ref="I4797">_xlfn.XLOOKUP(FACT_IMPORTS[[#This Row],[country_name]],DIM_COUNTRY[[#All],[Column2]],DIM_COUNTRY[[#All],[Column3]],,,)</f>
        <v>Major_Non-USMCA_Non-China</v>
      </c>
    </row>
    <row r="4798" spans="1:9" x14ac:dyDescent="0.4">
      <c r="A4798" t="s">
        <v>68</v>
      </c>
      <c r="B4798" s="1">
        <v>44986</v>
      </c>
      <c r="C4798">
        <v>850153</v>
      </c>
      <c r="D4798" t="s">
        <v>176</v>
      </c>
      <c r="E4798">
        <v>318455</v>
      </c>
      <c r="F4798">
        <v>16</v>
      </c>
      <c r="G4798">
        <v>9471</v>
      </c>
      <c r="H4798">
        <f>_xlfn.XLOOKUP(FACT_IMPORTS[[#This Row],[hts_6]],DIM_PRODUCTS[hts_6],DIM_PRODUCTS[hts_4],,,)</f>
        <v>8501</v>
      </c>
      <c r="I4798" t="str" cm="1">
        <f t="array" ref="I4798">_xlfn.XLOOKUP(FACT_IMPORTS[[#This Row],[country_name]],DIM_COUNTRY[[#All],[Column2]],DIM_COUNTRY[[#All],[Column3]],,,)</f>
        <v>Major_Non-USMCA_Non-China</v>
      </c>
    </row>
    <row r="4799" spans="1:9" x14ac:dyDescent="0.4">
      <c r="A4799" t="s">
        <v>68</v>
      </c>
      <c r="B4799" s="1">
        <v>44986</v>
      </c>
      <c r="C4799">
        <v>850161</v>
      </c>
      <c r="D4799" t="s">
        <v>176</v>
      </c>
      <c r="E4799">
        <v>0</v>
      </c>
      <c r="F4799">
        <v>0</v>
      </c>
      <c r="G4799">
        <v>0</v>
      </c>
      <c r="H4799">
        <f>_xlfn.XLOOKUP(FACT_IMPORTS[[#This Row],[hts_6]],DIM_PRODUCTS[hts_6],DIM_PRODUCTS[hts_4],,,)</f>
        <v>8501</v>
      </c>
      <c r="I4799" t="str" cm="1">
        <f t="array" ref="I4799">_xlfn.XLOOKUP(FACT_IMPORTS[[#This Row],[country_name]],DIM_COUNTRY[[#All],[Column2]],DIM_COUNTRY[[#All],[Column3]],,,)</f>
        <v>Major_Non-USMCA_Non-China</v>
      </c>
    </row>
    <row r="4800" spans="1:9" x14ac:dyDescent="0.4">
      <c r="A4800" t="s">
        <v>68</v>
      </c>
      <c r="B4800" s="1">
        <v>44986</v>
      </c>
      <c r="C4800">
        <v>850440</v>
      </c>
      <c r="D4800" t="s">
        <v>176</v>
      </c>
      <c r="E4800">
        <v>564219</v>
      </c>
      <c r="F4800">
        <v>494</v>
      </c>
      <c r="G4800">
        <v>11308</v>
      </c>
      <c r="H4800">
        <f>_xlfn.XLOOKUP(FACT_IMPORTS[[#This Row],[hts_6]],DIM_PRODUCTS[hts_6],DIM_PRODUCTS[hts_4],,,)</f>
        <v>8504</v>
      </c>
      <c r="I4800" t="str" cm="1">
        <f t="array" ref="I4800">_xlfn.XLOOKUP(FACT_IMPORTS[[#This Row],[country_name]],DIM_COUNTRY[[#All],[Column2]],DIM_COUNTRY[[#All],[Column3]],,,)</f>
        <v>Major_Non-USMCA_Non-China</v>
      </c>
    </row>
    <row r="4801" spans="1:9" x14ac:dyDescent="0.4">
      <c r="A4801" t="s">
        <v>68</v>
      </c>
      <c r="B4801" s="1">
        <v>44986</v>
      </c>
      <c r="C4801">
        <v>850710</v>
      </c>
      <c r="D4801" t="s">
        <v>176</v>
      </c>
      <c r="E4801">
        <v>4208</v>
      </c>
      <c r="F4801">
        <v>20</v>
      </c>
      <c r="G4801">
        <v>2356</v>
      </c>
      <c r="H4801">
        <f>_xlfn.XLOOKUP(FACT_IMPORTS[[#This Row],[hts_6]],DIM_PRODUCTS[hts_6],DIM_PRODUCTS[hts_4],,,)</f>
        <v>8507</v>
      </c>
      <c r="I4801" t="str" cm="1">
        <f t="array" ref="I4801">_xlfn.XLOOKUP(FACT_IMPORTS[[#This Row],[country_name]],DIM_COUNTRY[[#All],[Column2]],DIM_COUNTRY[[#All],[Column3]],,,)</f>
        <v>Major_Non-USMCA_Non-China</v>
      </c>
    </row>
    <row r="4802" spans="1:9" x14ac:dyDescent="0.4">
      <c r="A4802" t="s">
        <v>68</v>
      </c>
      <c r="B4802" s="1">
        <v>44986</v>
      </c>
      <c r="C4802">
        <v>850760</v>
      </c>
      <c r="D4802" t="s">
        <v>176</v>
      </c>
      <c r="E4802">
        <v>1501760</v>
      </c>
      <c r="F4802">
        <v>2603</v>
      </c>
      <c r="G4802">
        <v>11392</v>
      </c>
      <c r="H4802">
        <f>_xlfn.XLOOKUP(FACT_IMPORTS[[#This Row],[hts_6]],DIM_PRODUCTS[hts_6],DIM_PRODUCTS[hts_4],,,)</f>
        <v>8507</v>
      </c>
      <c r="I4802" t="str" cm="1">
        <f t="array" ref="I4802">_xlfn.XLOOKUP(FACT_IMPORTS[[#This Row],[country_name]],DIM_COUNTRY[[#All],[Column2]],DIM_COUNTRY[[#All],[Column3]],,,)</f>
        <v>Major_Non-USMCA_Non-China</v>
      </c>
    </row>
    <row r="4803" spans="1:9" x14ac:dyDescent="0.4">
      <c r="A4803" t="s">
        <v>68</v>
      </c>
      <c r="B4803" s="1">
        <v>44986</v>
      </c>
      <c r="C4803">
        <v>850790</v>
      </c>
      <c r="D4803" t="s">
        <v>176</v>
      </c>
      <c r="E4803">
        <v>254371</v>
      </c>
      <c r="F4803">
        <v>11739</v>
      </c>
      <c r="G4803">
        <v>8425</v>
      </c>
      <c r="H4803">
        <f>_xlfn.XLOOKUP(FACT_IMPORTS[[#This Row],[hts_6]],DIM_PRODUCTS[hts_6],DIM_PRODUCTS[hts_4],,,)</f>
        <v>8507</v>
      </c>
      <c r="I4803" t="str" cm="1">
        <f t="array" ref="I4803">_xlfn.XLOOKUP(FACT_IMPORTS[[#This Row],[country_name]],DIM_COUNTRY[[#All],[Column2]],DIM_COUNTRY[[#All],[Column3]],,,)</f>
        <v>Major_Non-USMCA_Non-China</v>
      </c>
    </row>
    <row r="4804" spans="1:9" x14ac:dyDescent="0.4">
      <c r="A4804" t="s">
        <v>68</v>
      </c>
      <c r="B4804" s="1">
        <v>44986</v>
      </c>
      <c r="C4804">
        <v>851110</v>
      </c>
      <c r="D4804" t="s">
        <v>176</v>
      </c>
      <c r="E4804">
        <v>0</v>
      </c>
      <c r="F4804">
        <v>0</v>
      </c>
      <c r="G4804">
        <v>0</v>
      </c>
      <c r="H4804">
        <f>_xlfn.XLOOKUP(FACT_IMPORTS[[#This Row],[hts_6]],DIM_PRODUCTS[hts_6],DIM_PRODUCTS[hts_4],,,)</f>
        <v>8511</v>
      </c>
      <c r="I4804" t="str" cm="1">
        <f t="array" ref="I4804">_xlfn.XLOOKUP(FACT_IMPORTS[[#This Row],[country_name]],DIM_COUNTRY[[#All],[Column2]],DIM_COUNTRY[[#All],[Column3]],,,)</f>
        <v>Major_Non-USMCA_Non-China</v>
      </c>
    </row>
    <row r="4805" spans="1:9" x14ac:dyDescent="0.4">
      <c r="A4805" t="s">
        <v>68</v>
      </c>
      <c r="B4805" s="1">
        <v>44986</v>
      </c>
      <c r="C4805">
        <v>851120</v>
      </c>
      <c r="D4805" t="s">
        <v>176</v>
      </c>
      <c r="E4805">
        <v>0</v>
      </c>
      <c r="F4805">
        <v>0</v>
      </c>
      <c r="G4805">
        <v>0</v>
      </c>
      <c r="H4805">
        <f>_xlfn.XLOOKUP(FACT_IMPORTS[[#This Row],[hts_6]],DIM_PRODUCTS[hts_6],DIM_PRODUCTS[hts_4],,,)</f>
        <v>8511</v>
      </c>
      <c r="I4805" t="str" cm="1">
        <f t="array" ref="I4805">_xlfn.XLOOKUP(FACT_IMPORTS[[#This Row],[country_name]],DIM_COUNTRY[[#All],[Column2]],DIM_COUNTRY[[#All],[Column3]],,,)</f>
        <v>Major_Non-USMCA_Non-China</v>
      </c>
    </row>
    <row r="4806" spans="1:9" x14ac:dyDescent="0.4">
      <c r="A4806" t="s">
        <v>68</v>
      </c>
      <c r="B4806" s="1">
        <v>44986</v>
      </c>
      <c r="C4806">
        <v>851130</v>
      </c>
      <c r="D4806" t="s">
        <v>176</v>
      </c>
      <c r="E4806">
        <v>10485</v>
      </c>
      <c r="F4806">
        <v>304</v>
      </c>
      <c r="G4806">
        <v>163</v>
      </c>
      <c r="H4806">
        <f>_xlfn.XLOOKUP(FACT_IMPORTS[[#This Row],[hts_6]],DIM_PRODUCTS[hts_6],DIM_PRODUCTS[hts_4],,,)</f>
        <v>8511</v>
      </c>
      <c r="I4806" t="str" cm="1">
        <f t="array" ref="I4806">_xlfn.XLOOKUP(FACT_IMPORTS[[#This Row],[country_name]],DIM_COUNTRY[[#All],[Column2]],DIM_COUNTRY[[#All],[Column3]],,,)</f>
        <v>Major_Non-USMCA_Non-China</v>
      </c>
    </row>
    <row r="4807" spans="1:9" x14ac:dyDescent="0.4">
      <c r="A4807" t="s">
        <v>68</v>
      </c>
      <c r="B4807" s="1">
        <v>44986</v>
      </c>
      <c r="C4807">
        <v>851140</v>
      </c>
      <c r="D4807" t="s">
        <v>176</v>
      </c>
      <c r="E4807">
        <v>0</v>
      </c>
      <c r="F4807">
        <v>0</v>
      </c>
      <c r="G4807">
        <v>0</v>
      </c>
      <c r="H4807">
        <f>_xlfn.XLOOKUP(FACT_IMPORTS[[#This Row],[hts_6]],DIM_PRODUCTS[hts_6],DIM_PRODUCTS[hts_4],,,)</f>
        <v>8511</v>
      </c>
      <c r="I4807" t="str" cm="1">
        <f t="array" ref="I4807">_xlfn.XLOOKUP(FACT_IMPORTS[[#This Row],[country_name]],DIM_COUNTRY[[#All],[Column2]],DIM_COUNTRY[[#All],[Column3]],,,)</f>
        <v>Major_Non-USMCA_Non-China</v>
      </c>
    </row>
    <row r="4808" spans="1:9" x14ac:dyDescent="0.4">
      <c r="A4808" t="s">
        <v>68</v>
      </c>
      <c r="B4808" s="1">
        <v>44986</v>
      </c>
      <c r="C4808">
        <v>851150</v>
      </c>
      <c r="D4808" t="s">
        <v>176</v>
      </c>
      <c r="E4808">
        <v>10394</v>
      </c>
      <c r="F4808">
        <v>65</v>
      </c>
      <c r="G4808">
        <v>362</v>
      </c>
      <c r="H4808">
        <f>_xlfn.XLOOKUP(FACT_IMPORTS[[#This Row],[hts_6]],DIM_PRODUCTS[hts_6],DIM_PRODUCTS[hts_4],,,)</f>
        <v>8511</v>
      </c>
      <c r="I4808" t="str" cm="1">
        <f t="array" ref="I4808">_xlfn.XLOOKUP(FACT_IMPORTS[[#This Row],[country_name]],DIM_COUNTRY[[#All],[Column2]],DIM_COUNTRY[[#All],[Column3]],,,)</f>
        <v>Major_Non-USMCA_Non-China</v>
      </c>
    </row>
    <row r="4809" spans="1:9" x14ac:dyDescent="0.4">
      <c r="A4809" t="s">
        <v>68</v>
      </c>
      <c r="B4809" s="1">
        <v>44986</v>
      </c>
      <c r="C4809">
        <v>851180</v>
      </c>
      <c r="D4809" t="s">
        <v>176</v>
      </c>
      <c r="E4809">
        <v>18597</v>
      </c>
      <c r="F4809">
        <v>95</v>
      </c>
      <c r="G4809">
        <v>74</v>
      </c>
      <c r="H4809">
        <f>_xlfn.XLOOKUP(FACT_IMPORTS[[#This Row],[hts_6]],DIM_PRODUCTS[hts_6],DIM_PRODUCTS[hts_4],,,)</f>
        <v>8511</v>
      </c>
      <c r="I4809" t="str" cm="1">
        <f t="array" ref="I4809">_xlfn.XLOOKUP(FACT_IMPORTS[[#This Row],[country_name]],DIM_COUNTRY[[#All],[Column2]],DIM_COUNTRY[[#All],[Column3]],,,)</f>
        <v>Major_Non-USMCA_Non-China</v>
      </c>
    </row>
    <row r="4810" spans="1:9" x14ac:dyDescent="0.4">
      <c r="A4810" t="s">
        <v>68</v>
      </c>
      <c r="B4810" s="1">
        <v>44986</v>
      </c>
      <c r="C4810">
        <v>851190</v>
      </c>
      <c r="D4810" t="s">
        <v>176</v>
      </c>
      <c r="E4810">
        <v>21671</v>
      </c>
      <c r="F4810">
        <v>130</v>
      </c>
      <c r="G4810">
        <v>337</v>
      </c>
      <c r="H4810">
        <f>_xlfn.XLOOKUP(FACT_IMPORTS[[#This Row],[hts_6]],DIM_PRODUCTS[hts_6],DIM_PRODUCTS[hts_4],,,)</f>
        <v>8511</v>
      </c>
      <c r="I4810" t="str" cm="1">
        <f t="array" ref="I4810">_xlfn.XLOOKUP(FACT_IMPORTS[[#This Row],[country_name]],DIM_COUNTRY[[#All],[Column2]],DIM_COUNTRY[[#All],[Column3]],,,)</f>
        <v>Major_Non-USMCA_Non-China</v>
      </c>
    </row>
    <row r="4811" spans="1:9" x14ac:dyDescent="0.4">
      <c r="A4811" t="s">
        <v>68</v>
      </c>
      <c r="B4811" s="1">
        <v>44986</v>
      </c>
      <c r="C4811">
        <v>851220</v>
      </c>
      <c r="D4811" t="s">
        <v>176</v>
      </c>
      <c r="E4811">
        <v>46327</v>
      </c>
      <c r="F4811">
        <v>5142</v>
      </c>
      <c r="G4811">
        <v>588</v>
      </c>
      <c r="H4811">
        <f>_xlfn.XLOOKUP(FACT_IMPORTS[[#This Row],[hts_6]],DIM_PRODUCTS[hts_6],DIM_PRODUCTS[hts_4],,,)</f>
        <v>8512</v>
      </c>
      <c r="I4811" t="str" cm="1">
        <f t="array" ref="I4811">_xlfn.XLOOKUP(FACT_IMPORTS[[#This Row],[country_name]],DIM_COUNTRY[[#All],[Column2]],DIM_COUNTRY[[#All],[Column3]],,,)</f>
        <v>Major_Non-USMCA_Non-China</v>
      </c>
    </row>
    <row r="4812" spans="1:9" x14ac:dyDescent="0.4">
      <c r="A4812" t="s">
        <v>68</v>
      </c>
      <c r="B4812" s="1">
        <v>44986</v>
      </c>
      <c r="C4812">
        <v>851230</v>
      </c>
      <c r="D4812" t="s">
        <v>176</v>
      </c>
      <c r="E4812">
        <v>0</v>
      </c>
      <c r="F4812">
        <v>0</v>
      </c>
      <c r="G4812">
        <v>0</v>
      </c>
      <c r="H4812">
        <f>_xlfn.XLOOKUP(FACT_IMPORTS[[#This Row],[hts_6]],DIM_PRODUCTS[hts_6],DIM_PRODUCTS[hts_4],,,)</f>
        <v>8512</v>
      </c>
      <c r="I4812" t="str" cm="1">
        <f t="array" ref="I4812">_xlfn.XLOOKUP(FACT_IMPORTS[[#This Row],[country_name]],DIM_COUNTRY[[#All],[Column2]],DIM_COUNTRY[[#All],[Column3]],,,)</f>
        <v>Major_Non-USMCA_Non-China</v>
      </c>
    </row>
    <row r="4813" spans="1:9" x14ac:dyDescent="0.4">
      <c r="A4813" t="s">
        <v>68</v>
      </c>
      <c r="B4813" s="1">
        <v>44986</v>
      </c>
      <c r="C4813">
        <v>851290</v>
      </c>
      <c r="D4813" t="s">
        <v>176</v>
      </c>
      <c r="E4813">
        <v>0</v>
      </c>
      <c r="F4813">
        <v>0</v>
      </c>
      <c r="G4813">
        <v>0</v>
      </c>
      <c r="H4813">
        <f>_xlfn.XLOOKUP(FACT_IMPORTS[[#This Row],[hts_6]],DIM_PRODUCTS[hts_6],DIM_PRODUCTS[hts_4],,,)</f>
        <v>8512</v>
      </c>
      <c r="I4813" t="str" cm="1">
        <f t="array" ref="I4813">_xlfn.XLOOKUP(FACT_IMPORTS[[#This Row],[country_name]],DIM_COUNTRY[[#All],[Column2]],DIM_COUNTRY[[#All],[Column3]],,,)</f>
        <v>Major_Non-USMCA_Non-China</v>
      </c>
    </row>
    <row r="4814" spans="1:9" x14ac:dyDescent="0.4">
      <c r="A4814" t="s">
        <v>68</v>
      </c>
      <c r="B4814" s="1">
        <v>44986</v>
      </c>
      <c r="C4814">
        <v>854231</v>
      </c>
      <c r="D4814" t="s">
        <v>176</v>
      </c>
      <c r="E4814">
        <v>53210</v>
      </c>
      <c r="F4814">
        <v>86</v>
      </c>
      <c r="G4814">
        <v>1663</v>
      </c>
      <c r="H4814">
        <f>_xlfn.XLOOKUP(FACT_IMPORTS[[#This Row],[hts_6]],DIM_PRODUCTS[hts_6],DIM_PRODUCTS[hts_4],,,)</f>
        <v>8542</v>
      </c>
      <c r="I4814" t="str" cm="1">
        <f t="array" ref="I4814">_xlfn.XLOOKUP(FACT_IMPORTS[[#This Row],[country_name]],DIM_COUNTRY[[#All],[Column2]],DIM_COUNTRY[[#All],[Column3]],,,)</f>
        <v>Major_Non-USMCA_Non-China</v>
      </c>
    </row>
    <row r="4815" spans="1:9" x14ac:dyDescent="0.4">
      <c r="A4815" t="s">
        <v>68</v>
      </c>
      <c r="B4815" s="1">
        <v>44986</v>
      </c>
      <c r="C4815">
        <v>854232</v>
      </c>
      <c r="D4815" t="s">
        <v>176</v>
      </c>
      <c r="E4815">
        <v>28643</v>
      </c>
      <c r="F4815">
        <v>1645</v>
      </c>
      <c r="G4815">
        <v>16</v>
      </c>
      <c r="H4815">
        <f>_xlfn.XLOOKUP(FACT_IMPORTS[[#This Row],[hts_6]],DIM_PRODUCTS[hts_6],DIM_PRODUCTS[hts_4],,,)</f>
        <v>8542</v>
      </c>
      <c r="I4815" t="str" cm="1">
        <f t="array" ref="I4815">_xlfn.XLOOKUP(FACT_IMPORTS[[#This Row],[country_name]],DIM_COUNTRY[[#All],[Column2]],DIM_COUNTRY[[#All],[Column3]],,,)</f>
        <v>Major_Non-USMCA_Non-China</v>
      </c>
    </row>
    <row r="4816" spans="1:9" x14ac:dyDescent="0.4">
      <c r="A4816" t="s">
        <v>68</v>
      </c>
      <c r="B4816" s="1">
        <v>44986</v>
      </c>
      <c r="C4816">
        <v>854233</v>
      </c>
      <c r="D4816" t="s">
        <v>176</v>
      </c>
      <c r="E4816">
        <v>0</v>
      </c>
      <c r="F4816">
        <v>0</v>
      </c>
      <c r="G4816">
        <v>0</v>
      </c>
      <c r="H4816">
        <f>_xlfn.XLOOKUP(FACT_IMPORTS[[#This Row],[hts_6]],DIM_PRODUCTS[hts_6],DIM_PRODUCTS[hts_4],,,)</f>
        <v>8542</v>
      </c>
      <c r="I4816" t="str" cm="1">
        <f t="array" ref="I4816">_xlfn.XLOOKUP(FACT_IMPORTS[[#This Row],[country_name]],DIM_COUNTRY[[#All],[Column2]],DIM_COUNTRY[[#All],[Column3]],,,)</f>
        <v>Major_Non-USMCA_Non-China</v>
      </c>
    </row>
    <row r="4817" spans="1:9" x14ac:dyDescent="0.4">
      <c r="A4817" t="s">
        <v>68</v>
      </c>
      <c r="B4817" s="1">
        <v>44986</v>
      </c>
      <c r="C4817">
        <v>854239</v>
      </c>
      <c r="D4817" t="s">
        <v>176</v>
      </c>
      <c r="E4817">
        <v>0</v>
      </c>
      <c r="F4817">
        <v>0</v>
      </c>
      <c r="G4817">
        <v>0</v>
      </c>
      <c r="H4817">
        <f>_xlfn.XLOOKUP(FACT_IMPORTS[[#This Row],[hts_6]],DIM_PRODUCTS[hts_6],DIM_PRODUCTS[hts_4],,,)</f>
        <v>8542</v>
      </c>
      <c r="I4817" t="str" cm="1">
        <f t="array" ref="I4817">_xlfn.XLOOKUP(FACT_IMPORTS[[#This Row],[country_name]],DIM_COUNTRY[[#All],[Column2]],DIM_COUNTRY[[#All],[Column3]],,,)</f>
        <v>Major_Non-USMCA_Non-China</v>
      </c>
    </row>
    <row r="4818" spans="1:9" x14ac:dyDescent="0.4">
      <c r="A4818" t="s">
        <v>68</v>
      </c>
      <c r="B4818" s="1">
        <v>44986</v>
      </c>
      <c r="C4818">
        <v>854290</v>
      </c>
      <c r="D4818" t="s">
        <v>176</v>
      </c>
      <c r="E4818">
        <v>5381</v>
      </c>
      <c r="F4818">
        <v>12</v>
      </c>
      <c r="G4818">
        <v>99</v>
      </c>
      <c r="H4818">
        <f>_xlfn.XLOOKUP(FACT_IMPORTS[[#This Row],[hts_6]],DIM_PRODUCTS[hts_6],DIM_PRODUCTS[hts_4],,,)</f>
        <v>8542</v>
      </c>
      <c r="I4818" t="str" cm="1">
        <f t="array" ref="I4818">_xlfn.XLOOKUP(FACT_IMPORTS[[#This Row],[country_name]],DIM_COUNTRY[[#All],[Column2]],DIM_COUNTRY[[#All],[Column3]],,,)</f>
        <v>Major_Non-USMCA_Non-China</v>
      </c>
    </row>
    <row r="4819" spans="1:9" x14ac:dyDescent="0.4">
      <c r="A4819" t="s">
        <v>68</v>
      </c>
      <c r="B4819" s="1">
        <v>44986</v>
      </c>
      <c r="C4819">
        <v>854430</v>
      </c>
      <c r="D4819" t="s">
        <v>176</v>
      </c>
      <c r="E4819">
        <v>176574</v>
      </c>
      <c r="F4819">
        <v>11290</v>
      </c>
      <c r="G4819">
        <v>3327</v>
      </c>
      <c r="H4819">
        <f>_xlfn.XLOOKUP(FACT_IMPORTS[[#This Row],[hts_6]],DIM_PRODUCTS[hts_6],DIM_PRODUCTS[hts_4],,,)</f>
        <v>8544</v>
      </c>
      <c r="I4819" t="str" cm="1">
        <f t="array" ref="I4819">_xlfn.XLOOKUP(FACT_IMPORTS[[#This Row],[country_name]],DIM_COUNTRY[[#All],[Column2]],DIM_COUNTRY[[#All],[Column3]],,,)</f>
        <v>Major_Non-USMCA_Non-China</v>
      </c>
    </row>
    <row r="4820" spans="1:9" x14ac:dyDescent="0.4">
      <c r="A4820" t="s">
        <v>68</v>
      </c>
      <c r="B4820" s="1">
        <v>44986</v>
      </c>
      <c r="C4820">
        <v>870790</v>
      </c>
      <c r="D4820" t="s">
        <v>176</v>
      </c>
      <c r="E4820">
        <v>0</v>
      </c>
      <c r="F4820">
        <v>0</v>
      </c>
      <c r="G4820">
        <v>0</v>
      </c>
      <c r="H4820">
        <f>_xlfn.XLOOKUP(FACT_IMPORTS[[#This Row],[hts_6]],DIM_PRODUCTS[hts_6],DIM_PRODUCTS[hts_4],,,)</f>
        <v>8707</v>
      </c>
      <c r="I4820" t="str" cm="1">
        <f t="array" ref="I4820">_xlfn.XLOOKUP(FACT_IMPORTS[[#This Row],[country_name]],DIM_COUNTRY[[#All],[Column2]],DIM_COUNTRY[[#All],[Column3]],,,)</f>
        <v>Major_Non-USMCA_Non-China</v>
      </c>
    </row>
    <row r="4821" spans="1:9" x14ac:dyDescent="0.4">
      <c r="A4821" t="s">
        <v>68</v>
      </c>
      <c r="B4821" s="1">
        <v>44986</v>
      </c>
      <c r="C4821">
        <v>870810</v>
      </c>
      <c r="D4821" t="s">
        <v>176</v>
      </c>
      <c r="E4821">
        <v>23481</v>
      </c>
      <c r="F4821">
        <v>353</v>
      </c>
      <c r="G4821">
        <v>227</v>
      </c>
      <c r="H4821">
        <f>_xlfn.XLOOKUP(FACT_IMPORTS[[#This Row],[hts_6]],DIM_PRODUCTS[hts_6],DIM_PRODUCTS[hts_4],,,)</f>
        <v>8708</v>
      </c>
      <c r="I4821" t="str" cm="1">
        <f t="array" ref="I4821">_xlfn.XLOOKUP(FACT_IMPORTS[[#This Row],[country_name]],DIM_COUNTRY[[#All],[Column2]],DIM_COUNTRY[[#All],[Column3]],,,)</f>
        <v>Major_Non-USMCA_Non-China</v>
      </c>
    </row>
    <row r="4822" spans="1:9" x14ac:dyDescent="0.4">
      <c r="A4822" t="s">
        <v>68</v>
      </c>
      <c r="B4822" s="1">
        <v>44986</v>
      </c>
      <c r="C4822">
        <v>870822</v>
      </c>
      <c r="D4822" t="s">
        <v>176</v>
      </c>
      <c r="E4822">
        <v>105373</v>
      </c>
      <c r="F4822">
        <v>726</v>
      </c>
      <c r="G4822">
        <v>3</v>
      </c>
      <c r="H4822">
        <f>_xlfn.XLOOKUP(FACT_IMPORTS[[#This Row],[hts_6]],DIM_PRODUCTS[hts_6],DIM_PRODUCTS[hts_4],,,)</f>
        <v>8708</v>
      </c>
      <c r="I4822" t="str" cm="1">
        <f t="array" ref="I4822">_xlfn.XLOOKUP(FACT_IMPORTS[[#This Row],[country_name]],DIM_COUNTRY[[#All],[Column2]],DIM_COUNTRY[[#All],[Column3]],,,)</f>
        <v>Major_Non-USMCA_Non-China</v>
      </c>
    </row>
    <row r="4823" spans="1:9" x14ac:dyDescent="0.4">
      <c r="A4823" t="s">
        <v>68</v>
      </c>
      <c r="B4823" s="1">
        <v>44986</v>
      </c>
      <c r="C4823">
        <v>870829</v>
      </c>
      <c r="D4823" t="s">
        <v>176</v>
      </c>
      <c r="E4823">
        <v>1161207</v>
      </c>
      <c r="F4823">
        <v>1176507</v>
      </c>
      <c r="G4823">
        <v>29428</v>
      </c>
      <c r="H4823">
        <f>_xlfn.XLOOKUP(FACT_IMPORTS[[#This Row],[hts_6]],DIM_PRODUCTS[hts_6],DIM_PRODUCTS[hts_4],,,)</f>
        <v>8708</v>
      </c>
      <c r="I4823" t="str" cm="1">
        <f t="array" ref="I4823">_xlfn.XLOOKUP(FACT_IMPORTS[[#This Row],[country_name]],DIM_COUNTRY[[#All],[Column2]],DIM_COUNTRY[[#All],[Column3]],,,)</f>
        <v>Major_Non-USMCA_Non-China</v>
      </c>
    </row>
    <row r="4824" spans="1:9" x14ac:dyDescent="0.4">
      <c r="A4824" t="s">
        <v>68</v>
      </c>
      <c r="B4824" s="1">
        <v>44986</v>
      </c>
      <c r="C4824">
        <v>870830</v>
      </c>
      <c r="D4824" t="s">
        <v>176</v>
      </c>
      <c r="E4824">
        <v>111692</v>
      </c>
      <c r="F4824">
        <v>1760</v>
      </c>
      <c r="G4824">
        <v>5233</v>
      </c>
      <c r="H4824">
        <f>_xlfn.XLOOKUP(FACT_IMPORTS[[#This Row],[hts_6]],DIM_PRODUCTS[hts_6],DIM_PRODUCTS[hts_4],,,)</f>
        <v>8708</v>
      </c>
      <c r="I4824" t="str" cm="1">
        <f t="array" ref="I4824">_xlfn.XLOOKUP(FACT_IMPORTS[[#This Row],[country_name]],DIM_COUNTRY[[#All],[Column2]],DIM_COUNTRY[[#All],[Column3]],,,)</f>
        <v>Major_Non-USMCA_Non-China</v>
      </c>
    </row>
    <row r="4825" spans="1:9" x14ac:dyDescent="0.4">
      <c r="A4825" t="s">
        <v>68</v>
      </c>
      <c r="B4825" s="1">
        <v>44986</v>
      </c>
      <c r="C4825">
        <v>870840</v>
      </c>
      <c r="D4825" t="s">
        <v>176</v>
      </c>
      <c r="E4825">
        <v>82704498</v>
      </c>
      <c r="F4825">
        <v>909757</v>
      </c>
      <c r="G4825">
        <v>163099</v>
      </c>
      <c r="H4825">
        <f>_xlfn.XLOOKUP(FACT_IMPORTS[[#This Row],[hts_6]],DIM_PRODUCTS[hts_6],DIM_PRODUCTS[hts_4],,,)</f>
        <v>8708</v>
      </c>
      <c r="I4825" t="str" cm="1">
        <f t="array" ref="I4825">_xlfn.XLOOKUP(FACT_IMPORTS[[#This Row],[country_name]],DIM_COUNTRY[[#All],[Column2]],DIM_COUNTRY[[#All],[Column3]],,,)</f>
        <v>Major_Non-USMCA_Non-China</v>
      </c>
    </row>
    <row r="4826" spans="1:9" x14ac:dyDescent="0.4">
      <c r="A4826" t="s">
        <v>68</v>
      </c>
      <c r="B4826" s="1">
        <v>44986</v>
      </c>
      <c r="C4826">
        <v>870850</v>
      </c>
      <c r="D4826" t="s">
        <v>176</v>
      </c>
      <c r="E4826">
        <v>15998367</v>
      </c>
      <c r="F4826">
        <v>843831</v>
      </c>
      <c r="G4826">
        <v>413384</v>
      </c>
      <c r="H4826">
        <f>_xlfn.XLOOKUP(FACT_IMPORTS[[#This Row],[hts_6]],DIM_PRODUCTS[hts_6],DIM_PRODUCTS[hts_4],,,)</f>
        <v>8708</v>
      </c>
      <c r="I4826" t="str" cm="1">
        <f t="array" ref="I4826">_xlfn.XLOOKUP(FACT_IMPORTS[[#This Row],[country_name]],DIM_COUNTRY[[#All],[Column2]],DIM_COUNTRY[[#All],[Column3]],,,)</f>
        <v>Major_Non-USMCA_Non-China</v>
      </c>
    </row>
    <row r="4827" spans="1:9" x14ac:dyDescent="0.4">
      <c r="A4827" t="s">
        <v>68</v>
      </c>
      <c r="B4827" s="1">
        <v>44986</v>
      </c>
      <c r="C4827">
        <v>870870</v>
      </c>
      <c r="D4827" t="s">
        <v>176</v>
      </c>
      <c r="E4827">
        <v>16413</v>
      </c>
      <c r="F4827">
        <v>57</v>
      </c>
      <c r="G4827">
        <v>832</v>
      </c>
      <c r="H4827">
        <f>_xlfn.XLOOKUP(FACT_IMPORTS[[#This Row],[hts_6]],DIM_PRODUCTS[hts_6],DIM_PRODUCTS[hts_4],,,)</f>
        <v>8708</v>
      </c>
      <c r="I4827" t="str" cm="1">
        <f t="array" ref="I4827">_xlfn.XLOOKUP(FACT_IMPORTS[[#This Row],[country_name]],DIM_COUNTRY[[#All],[Column2]],DIM_COUNTRY[[#All],[Column3]],,,)</f>
        <v>Major_Non-USMCA_Non-China</v>
      </c>
    </row>
    <row r="4828" spans="1:9" x14ac:dyDescent="0.4">
      <c r="A4828" t="s">
        <v>68</v>
      </c>
      <c r="B4828" s="1">
        <v>44986</v>
      </c>
      <c r="C4828">
        <v>870880</v>
      </c>
      <c r="D4828" t="s">
        <v>176</v>
      </c>
      <c r="E4828">
        <v>904469</v>
      </c>
      <c r="F4828">
        <v>676624</v>
      </c>
      <c r="G4828">
        <v>36305</v>
      </c>
      <c r="H4828">
        <f>_xlfn.XLOOKUP(FACT_IMPORTS[[#This Row],[hts_6]],DIM_PRODUCTS[hts_6],DIM_PRODUCTS[hts_4],,,)</f>
        <v>8708</v>
      </c>
      <c r="I4828" t="str" cm="1">
        <f t="array" ref="I4828">_xlfn.XLOOKUP(FACT_IMPORTS[[#This Row],[country_name]],DIM_COUNTRY[[#All],[Column2]],DIM_COUNTRY[[#All],[Column3]],,,)</f>
        <v>Major_Non-USMCA_Non-China</v>
      </c>
    </row>
    <row r="4829" spans="1:9" x14ac:dyDescent="0.4">
      <c r="A4829" t="s">
        <v>68</v>
      </c>
      <c r="B4829" s="1">
        <v>44986</v>
      </c>
      <c r="C4829">
        <v>870891</v>
      </c>
      <c r="D4829" t="s">
        <v>176</v>
      </c>
      <c r="E4829">
        <v>65761</v>
      </c>
      <c r="F4829">
        <v>15432</v>
      </c>
      <c r="G4829">
        <v>15967</v>
      </c>
      <c r="H4829">
        <f>_xlfn.XLOOKUP(FACT_IMPORTS[[#This Row],[hts_6]],DIM_PRODUCTS[hts_6],DIM_PRODUCTS[hts_4],,,)</f>
        <v>8708</v>
      </c>
      <c r="I4829" t="str" cm="1">
        <f t="array" ref="I4829">_xlfn.XLOOKUP(FACT_IMPORTS[[#This Row],[country_name]],DIM_COUNTRY[[#All],[Column2]],DIM_COUNTRY[[#All],[Column3]],,,)</f>
        <v>Major_Non-USMCA_Non-China</v>
      </c>
    </row>
    <row r="4830" spans="1:9" x14ac:dyDescent="0.4">
      <c r="A4830" t="s">
        <v>68</v>
      </c>
      <c r="B4830" s="1">
        <v>44986</v>
      </c>
      <c r="C4830">
        <v>870892</v>
      </c>
      <c r="D4830" t="s">
        <v>176</v>
      </c>
      <c r="E4830">
        <v>57487</v>
      </c>
      <c r="F4830">
        <v>662</v>
      </c>
      <c r="G4830">
        <v>5266</v>
      </c>
      <c r="H4830">
        <f>_xlfn.XLOOKUP(FACT_IMPORTS[[#This Row],[hts_6]],DIM_PRODUCTS[hts_6],DIM_PRODUCTS[hts_4],,,)</f>
        <v>8708</v>
      </c>
      <c r="I4830" t="str" cm="1">
        <f t="array" ref="I4830">_xlfn.XLOOKUP(FACT_IMPORTS[[#This Row],[country_name]],DIM_COUNTRY[[#All],[Column2]],DIM_COUNTRY[[#All],[Column3]],,,)</f>
        <v>Major_Non-USMCA_Non-China</v>
      </c>
    </row>
    <row r="4831" spans="1:9" x14ac:dyDescent="0.4">
      <c r="A4831" t="s">
        <v>68</v>
      </c>
      <c r="B4831" s="1">
        <v>44986</v>
      </c>
      <c r="C4831">
        <v>870893</v>
      </c>
      <c r="D4831" t="s">
        <v>176</v>
      </c>
      <c r="E4831">
        <v>274675</v>
      </c>
      <c r="F4831">
        <v>7985</v>
      </c>
      <c r="G4831">
        <v>2532</v>
      </c>
      <c r="H4831">
        <f>_xlfn.XLOOKUP(FACT_IMPORTS[[#This Row],[hts_6]],DIM_PRODUCTS[hts_6],DIM_PRODUCTS[hts_4],,,)</f>
        <v>8708</v>
      </c>
      <c r="I4831" t="str" cm="1">
        <f t="array" ref="I4831">_xlfn.XLOOKUP(FACT_IMPORTS[[#This Row],[country_name]],DIM_COUNTRY[[#All],[Column2]],DIM_COUNTRY[[#All],[Column3]],,,)</f>
        <v>Major_Non-USMCA_Non-China</v>
      </c>
    </row>
    <row r="4832" spans="1:9" x14ac:dyDescent="0.4">
      <c r="A4832" t="s">
        <v>68</v>
      </c>
      <c r="B4832" s="1">
        <v>44986</v>
      </c>
      <c r="C4832">
        <v>870894</v>
      </c>
      <c r="D4832" t="s">
        <v>176</v>
      </c>
      <c r="E4832">
        <v>11084</v>
      </c>
      <c r="F4832">
        <v>19</v>
      </c>
      <c r="G4832">
        <v>641</v>
      </c>
      <c r="H4832">
        <f>_xlfn.XLOOKUP(FACT_IMPORTS[[#This Row],[hts_6]],DIM_PRODUCTS[hts_6],DIM_PRODUCTS[hts_4],,,)</f>
        <v>8708</v>
      </c>
      <c r="I4832" t="str" cm="1">
        <f t="array" ref="I4832">_xlfn.XLOOKUP(FACT_IMPORTS[[#This Row],[country_name]],DIM_COUNTRY[[#All],[Column2]],DIM_COUNTRY[[#All],[Column3]],,,)</f>
        <v>Major_Non-USMCA_Non-China</v>
      </c>
    </row>
    <row r="4833" spans="1:9" x14ac:dyDescent="0.4">
      <c r="A4833" t="s">
        <v>68</v>
      </c>
      <c r="B4833" s="1">
        <v>44986</v>
      </c>
      <c r="C4833">
        <v>870895</v>
      </c>
      <c r="D4833" t="s">
        <v>176</v>
      </c>
      <c r="E4833">
        <v>7719</v>
      </c>
      <c r="F4833">
        <v>851</v>
      </c>
      <c r="G4833">
        <v>401</v>
      </c>
      <c r="H4833">
        <f>_xlfn.XLOOKUP(FACT_IMPORTS[[#This Row],[hts_6]],DIM_PRODUCTS[hts_6],DIM_PRODUCTS[hts_4],,,)</f>
        <v>8708</v>
      </c>
      <c r="I4833" t="str" cm="1">
        <f t="array" ref="I4833">_xlfn.XLOOKUP(FACT_IMPORTS[[#This Row],[country_name]],DIM_COUNTRY[[#All],[Column2]],DIM_COUNTRY[[#All],[Column3]],,,)</f>
        <v>Major_Non-USMCA_Non-China</v>
      </c>
    </row>
    <row r="4834" spans="1:9" x14ac:dyDescent="0.4">
      <c r="A4834" t="s">
        <v>68</v>
      </c>
      <c r="B4834" s="1">
        <v>44986</v>
      </c>
      <c r="C4834">
        <v>870899</v>
      </c>
      <c r="D4834" t="s">
        <v>176</v>
      </c>
      <c r="E4834">
        <v>2492472</v>
      </c>
      <c r="F4834">
        <v>491145</v>
      </c>
      <c r="G4834">
        <v>40847</v>
      </c>
      <c r="H4834">
        <f>_xlfn.XLOOKUP(FACT_IMPORTS[[#This Row],[hts_6]],DIM_PRODUCTS[hts_6],DIM_PRODUCTS[hts_4],,,)</f>
        <v>8708</v>
      </c>
      <c r="I4834" t="str" cm="1">
        <f t="array" ref="I4834">_xlfn.XLOOKUP(FACT_IMPORTS[[#This Row],[country_name]],DIM_COUNTRY[[#All],[Column2]],DIM_COUNTRY[[#All],[Column3]],,,)</f>
        <v>Major_Non-USMCA_Non-China</v>
      </c>
    </row>
    <row r="4835" spans="1:9" x14ac:dyDescent="0.4">
      <c r="A4835" t="s">
        <v>68</v>
      </c>
      <c r="B4835" s="1">
        <v>44986</v>
      </c>
      <c r="C4835">
        <v>940120</v>
      </c>
      <c r="D4835" t="s">
        <v>176</v>
      </c>
      <c r="E4835">
        <v>52173</v>
      </c>
      <c r="F4835">
        <v>31</v>
      </c>
      <c r="G4835">
        <v>1972</v>
      </c>
      <c r="H4835">
        <f>_xlfn.XLOOKUP(FACT_IMPORTS[[#This Row],[hts_6]],DIM_PRODUCTS[hts_6],DIM_PRODUCTS[hts_4],,,)</f>
        <v>9401</v>
      </c>
      <c r="I4835" t="str" cm="1">
        <f t="array" ref="I4835">_xlfn.XLOOKUP(FACT_IMPORTS[[#This Row],[country_name]],DIM_COUNTRY[[#All],[Column2]],DIM_COUNTRY[[#All],[Column3]],,,)</f>
        <v>Major_Non-USMCA_Non-China</v>
      </c>
    </row>
    <row r="4836" spans="1:9" x14ac:dyDescent="0.4">
      <c r="A4836" t="s">
        <v>68</v>
      </c>
      <c r="B4836" s="1">
        <v>45017</v>
      </c>
      <c r="C4836">
        <v>392630</v>
      </c>
      <c r="D4836" t="s">
        <v>176</v>
      </c>
      <c r="E4836">
        <v>506423</v>
      </c>
      <c r="F4836">
        <v>27439</v>
      </c>
      <c r="G4836">
        <v>14426</v>
      </c>
      <c r="H4836">
        <f>_xlfn.XLOOKUP(FACT_IMPORTS[[#This Row],[hts_6]],DIM_PRODUCTS[hts_6],DIM_PRODUCTS[hts_4],,,)</f>
        <v>3926</v>
      </c>
      <c r="I4836" t="str" cm="1">
        <f t="array" ref="I4836">_xlfn.XLOOKUP(FACT_IMPORTS[[#This Row],[country_name]],DIM_COUNTRY[[#All],[Column2]],DIM_COUNTRY[[#All],[Column3]],,,)</f>
        <v>Major_Non-USMCA_Non-China</v>
      </c>
    </row>
    <row r="4837" spans="1:9" x14ac:dyDescent="0.4">
      <c r="A4837" t="s">
        <v>68</v>
      </c>
      <c r="B4837" s="1">
        <v>45017</v>
      </c>
      <c r="C4837">
        <v>401110</v>
      </c>
      <c r="D4837" t="s">
        <v>176</v>
      </c>
      <c r="E4837">
        <v>65589</v>
      </c>
      <c r="F4837">
        <v>358</v>
      </c>
      <c r="G4837">
        <v>232</v>
      </c>
      <c r="H4837">
        <f>_xlfn.XLOOKUP(FACT_IMPORTS[[#This Row],[hts_6]],DIM_PRODUCTS[hts_6],DIM_PRODUCTS[hts_4],,,)</f>
        <v>4011</v>
      </c>
      <c r="I4837" t="str" cm="1">
        <f t="array" ref="I4837">_xlfn.XLOOKUP(FACT_IMPORTS[[#This Row],[country_name]],DIM_COUNTRY[[#All],[Column2]],DIM_COUNTRY[[#All],[Column3]],,,)</f>
        <v>Major_Non-USMCA_Non-China</v>
      </c>
    </row>
    <row r="4838" spans="1:9" x14ac:dyDescent="0.4">
      <c r="A4838" t="s">
        <v>68</v>
      </c>
      <c r="B4838" s="1">
        <v>45017</v>
      </c>
      <c r="C4838">
        <v>401120</v>
      </c>
      <c r="D4838" t="s">
        <v>176</v>
      </c>
      <c r="E4838">
        <v>670</v>
      </c>
      <c r="F4838">
        <v>4</v>
      </c>
      <c r="G4838">
        <v>424</v>
      </c>
      <c r="H4838">
        <f>_xlfn.XLOOKUP(FACT_IMPORTS[[#This Row],[hts_6]],DIM_PRODUCTS[hts_6],DIM_PRODUCTS[hts_4],,,)</f>
        <v>4011</v>
      </c>
      <c r="I4838" t="str" cm="1">
        <f t="array" ref="I4838">_xlfn.XLOOKUP(FACT_IMPORTS[[#This Row],[country_name]],DIM_COUNTRY[[#All],[Column2]],DIM_COUNTRY[[#All],[Column3]],,,)</f>
        <v>Major_Non-USMCA_Non-China</v>
      </c>
    </row>
    <row r="4839" spans="1:9" x14ac:dyDescent="0.4">
      <c r="A4839" t="s">
        <v>68</v>
      </c>
      <c r="B4839" s="1">
        <v>45017</v>
      </c>
      <c r="C4839">
        <v>401140</v>
      </c>
      <c r="D4839" t="s">
        <v>176</v>
      </c>
      <c r="E4839">
        <v>0</v>
      </c>
      <c r="F4839">
        <v>0</v>
      </c>
      <c r="G4839">
        <v>0</v>
      </c>
      <c r="H4839">
        <f>_xlfn.XLOOKUP(FACT_IMPORTS[[#This Row],[hts_6]],DIM_PRODUCTS[hts_6],DIM_PRODUCTS[hts_4],,,)</f>
        <v>4011</v>
      </c>
      <c r="I4839" t="str" cm="1">
        <f t="array" ref="I4839">_xlfn.XLOOKUP(FACT_IMPORTS[[#This Row],[country_name]],DIM_COUNTRY[[#All],[Column2]],DIM_COUNTRY[[#All],[Column3]],,,)</f>
        <v>Major_Non-USMCA_Non-China</v>
      </c>
    </row>
    <row r="4840" spans="1:9" x14ac:dyDescent="0.4">
      <c r="A4840" t="s">
        <v>68</v>
      </c>
      <c r="B4840" s="1">
        <v>45017</v>
      </c>
      <c r="C4840">
        <v>401190</v>
      </c>
      <c r="D4840" t="s">
        <v>176</v>
      </c>
      <c r="E4840">
        <v>12628</v>
      </c>
      <c r="F4840">
        <v>408</v>
      </c>
      <c r="G4840">
        <v>900</v>
      </c>
      <c r="H4840">
        <f>_xlfn.XLOOKUP(FACT_IMPORTS[[#This Row],[hts_6]],DIM_PRODUCTS[hts_6],DIM_PRODUCTS[hts_4],,,)</f>
        <v>4011</v>
      </c>
      <c r="I4840" t="str" cm="1">
        <f t="array" ref="I4840">_xlfn.XLOOKUP(FACT_IMPORTS[[#This Row],[country_name]],DIM_COUNTRY[[#All],[Column2]],DIM_COUNTRY[[#All],[Column3]],,,)</f>
        <v>Major_Non-USMCA_Non-China</v>
      </c>
    </row>
    <row r="4841" spans="1:9" x14ac:dyDescent="0.4">
      <c r="A4841" t="s">
        <v>68</v>
      </c>
      <c r="B4841" s="1">
        <v>45017</v>
      </c>
      <c r="C4841">
        <v>700711</v>
      </c>
      <c r="D4841" t="s">
        <v>176</v>
      </c>
      <c r="E4841">
        <v>0</v>
      </c>
      <c r="F4841">
        <v>0</v>
      </c>
      <c r="G4841">
        <v>0</v>
      </c>
      <c r="H4841">
        <f>_xlfn.XLOOKUP(FACT_IMPORTS[[#This Row],[hts_6]],DIM_PRODUCTS[hts_6],DIM_PRODUCTS[hts_4],,,)</f>
        <v>7007</v>
      </c>
      <c r="I4841" t="str" cm="1">
        <f t="array" ref="I4841">_xlfn.XLOOKUP(FACT_IMPORTS[[#This Row],[country_name]],DIM_COUNTRY[[#All],[Column2]],DIM_COUNTRY[[#All],[Column3]],,,)</f>
        <v>Major_Non-USMCA_Non-China</v>
      </c>
    </row>
    <row r="4842" spans="1:9" x14ac:dyDescent="0.4">
      <c r="A4842" t="s">
        <v>68</v>
      </c>
      <c r="B4842" s="1">
        <v>45017</v>
      </c>
      <c r="C4842">
        <v>700721</v>
      </c>
      <c r="D4842" t="s">
        <v>176</v>
      </c>
      <c r="E4842">
        <v>0</v>
      </c>
      <c r="F4842">
        <v>0</v>
      </c>
      <c r="G4842">
        <v>0</v>
      </c>
      <c r="H4842">
        <f>_xlfn.XLOOKUP(FACT_IMPORTS[[#This Row],[hts_6]],DIM_PRODUCTS[hts_6],DIM_PRODUCTS[hts_4],,,)</f>
        <v>7007</v>
      </c>
      <c r="I4842" t="str" cm="1">
        <f t="array" ref="I4842">_xlfn.XLOOKUP(FACT_IMPORTS[[#This Row],[country_name]],DIM_COUNTRY[[#All],[Column2]],DIM_COUNTRY[[#All],[Column3]],,,)</f>
        <v>Major_Non-USMCA_Non-China</v>
      </c>
    </row>
    <row r="4843" spans="1:9" x14ac:dyDescent="0.4">
      <c r="A4843" t="s">
        <v>68</v>
      </c>
      <c r="B4843" s="1">
        <v>45017</v>
      </c>
      <c r="C4843">
        <v>732010</v>
      </c>
      <c r="D4843" t="s">
        <v>176</v>
      </c>
      <c r="E4843">
        <v>0</v>
      </c>
      <c r="F4843">
        <v>0</v>
      </c>
      <c r="G4843">
        <v>0</v>
      </c>
      <c r="H4843">
        <f>_xlfn.XLOOKUP(FACT_IMPORTS[[#This Row],[hts_6]],DIM_PRODUCTS[hts_6],DIM_PRODUCTS[hts_4],,,)</f>
        <v>7320</v>
      </c>
      <c r="I4843" t="str" cm="1">
        <f t="array" ref="I4843">_xlfn.XLOOKUP(FACT_IMPORTS[[#This Row],[country_name]],DIM_COUNTRY[[#All],[Column2]],DIM_COUNTRY[[#All],[Column3]],,,)</f>
        <v>Major_Non-USMCA_Non-China</v>
      </c>
    </row>
    <row r="4844" spans="1:9" x14ac:dyDescent="0.4">
      <c r="A4844" t="s">
        <v>68</v>
      </c>
      <c r="B4844" s="1">
        <v>45017</v>
      </c>
      <c r="C4844">
        <v>830230</v>
      </c>
      <c r="D4844" t="s">
        <v>176</v>
      </c>
      <c r="E4844">
        <v>393302</v>
      </c>
      <c r="F4844">
        <v>104616</v>
      </c>
      <c r="G4844">
        <v>27323</v>
      </c>
      <c r="H4844">
        <f>_xlfn.XLOOKUP(FACT_IMPORTS[[#This Row],[hts_6]],DIM_PRODUCTS[hts_6],DIM_PRODUCTS[hts_4],,,)</f>
        <v>8302</v>
      </c>
      <c r="I4844" t="str" cm="1">
        <f t="array" ref="I4844">_xlfn.XLOOKUP(FACT_IMPORTS[[#This Row],[country_name]],DIM_COUNTRY[[#All],[Column2]],DIM_COUNTRY[[#All],[Column3]],,,)</f>
        <v>Major_Non-USMCA_Non-China</v>
      </c>
    </row>
    <row r="4845" spans="1:9" x14ac:dyDescent="0.4">
      <c r="A4845" t="s">
        <v>68</v>
      </c>
      <c r="B4845" s="1">
        <v>45017</v>
      </c>
      <c r="C4845">
        <v>840731</v>
      </c>
      <c r="D4845" t="s">
        <v>176</v>
      </c>
      <c r="E4845">
        <v>0</v>
      </c>
      <c r="F4845">
        <v>0</v>
      </c>
      <c r="G4845">
        <v>0</v>
      </c>
      <c r="H4845">
        <f>_xlfn.XLOOKUP(FACT_IMPORTS[[#This Row],[hts_6]],DIM_PRODUCTS[hts_6],DIM_PRODUCTS[hts_4],,,)</f>
        <v>8407</v>
      </c>
      <c r="I4845" t="str" cm="1">
        <f t="array" ref="I4845">_xlfn.XLOOKUP(FACT_IMPORTS[[#This Row],[country_name]],DIM_COUNTRY[[#All],[Column2]],DIM_COUNTRY[[#All],[Column3]],,,)</f>
        <v>Major_Non-USMCA_Non-China</v>
      </c>
    </row>
    <row r="4846" spans="1:9" x14ac:dyDescent="0.4">
      <c r="A4846" t="s">
        <v>68</v>
      </c>
      <c r="B4846" s="1">
        <v>45017</v>
      </c>
      <c r="C4846">
        <v>840733</v>
      </c>
      <c r="D4846" t="s">
        <v>176</v>
      </c>
      <c r="E4846">
        <v>0</v>
      </c>
      <c r="F4846">
        <v>0</v>
      </c>
      <c r="G4846">
        <v>0</v>
      </c>
      <c r="H4846">
        <f>_xlfn.XLOOKUP(FACT_IMPORTS[[#This Row],[hts_6]],DIM_PRODUCTS[hts_6],DIM_PRODUCTS[hts_4],,,)</f>
        <v>8407</v>
      </c>
      <c r="I4846" t="str" cm="1">
        <f t="array" ref="I4846">_xlfn.XLOOKUP(FACT_IMPORTS[[#This Row],[country_name]],DIM_COUNTRY[[#All],[Column2]],DIM_COUNTRY[[#All],[Column3]],,,)</f>
        <v>Major_Non-USMCA_Non-China</v>
      </c>
    </row>
    <row r="4847" spans="1:9" x14ac:dyDescent="0.4">
      <c r="A4847" t="s">
        <v>68</v>
      </c>
      <c r="B4847" s="1">
        <v>45017</v>
      </c>
      <c r="C4847">
        <v>840734</v>
      </c>
      <c r="D4847" t="s">
        <v>176</v>
      </c>
      <c r="E4847">
        <v>3500</v>
      </c>
      <c r="F4847">
        <v>1</v>
      </c>
      <c r="G4847">
        <v>160</v>
      </c>
      <c r="H4847">
        <f>_xlfn.XLOOKUP(FACT_IMPORTS[[#This Row],[hts_6]],DIM_PRODUCTS[hts_6],DIM_PRODUCTS[hts_4],,,)</f>
        <v>8407</v>
      </c>
      <c r="I4847" t="str" cm="1">
        <f t="array" ref="I4847">_xlfn.XLOOKUP(FACT_IMPORTS[[#This Row],[country_name]],DIM_COUNTRY[[#All],[Column2]],DIM_COUNTRY[[#All],[Column3]],,,)</f>
        <v>Major_Non-USMCA_Non-China</v>
      </c>
    </row>
    <row r="4848" spans="1:9" x14ac:dyDescent="0.4">
      <c r="A4848" t="s">
        <v>68</v>
      </c>
      <c r="B4848" s="1">
        <v>45017</v>
      </c>
      <c r="C4848">
        <v>840790</v>
      </c>
      <c r="D4848" t="s">
        <v>176</v>
      </c>
      <c r="E4848">
        <v>0</v>
      </c>
      <c r="F4848">
        <v>0</v>
      </c>
      <c r="G4848">
        <v>0</v>
      </c>
      <c r="H4848">
        <f>_xlfn.XLOOKUP(FACT_IMPORTS[[#This Row],[hts_6]],DIM_PRODUCTS[hts_6],DIM_PRODUCTS[hts_4],,,)</f>
        <v>8407</v>
      </c>
      <c r="I4848" t="str" cm="1">
        <f t="array" ref="I4848">_xlfn.XLOOKUP(FACT_IMPORTS[[#This Row],[country_name]],DIM_COUNTRY[[#All],[Column2]],DIM_COUNTRY[[#All],[Column3]],,,)</f>
        <v>Major_Non-USMCA_Non-China</v>
      </c>
    </row>
    <row r="4849" spans="1:9" x14ac:dyDescent="0.4">
      <c r="A4849" t="s">
        <v>68</v>
      </c>
      <c r="B4849" s="1">
        <v>45017</v>
      </c>
      <c r="C4849">
        <v>840820</v>
      </c>
      <c r="D4849" t="s">
        <v>176</v>
      </c>
      <c r="E4849">
        <v>118683</v>
      </c>
      <c r="F4849">
        <v>4</v>
      </c>
      <c r="G4849">
        <v>10144</v>
      </c>
      <c r="H4849">
        <f>_xlfn.XLOOKUP(FACT_IMPORTS[[#This Row],[hts_6]],DIM_PRODUCTS[hts_6],DIM_PRODUCTS[hts_4],,,)</f>
        <v>8408</v>
      </c>
      <c r="I4849" t="str" cm="1">
        <f t="array" ref="I4849">_xlfn.XLOOKUP(FACT_IMPORTS[[#This Row],[country_name]],DIM_COUNTRY[[#All],[Column2]],DIM_COUNTRY[[#All],[Column3]],,,)</f>
        <v>Major_Non-USMCA_Non-China</v>
      </c>
    </row>
    <row r="4850" spans="1:9" x14ac:dyDescent="0.4">
      <c r="A4850" t="s">
        <v>68</v>
      </c>
      <c r="B4850" s="1">
        <v>45017</v>
      </c>
      <c r="C4850">
        <v>840890</v>
      </c>
      <c r="D4850" t="s">
        <v>176</v>
      </c>
      <c r="E4850">
        <v>0</v>
      </c>
      <c r="F4850">
        <v>0</v>
      </c>
      <c r="G4850">
        <v>0</v>
      </c>
      <c r="H4850">
        <f>_xlfn.XLOOKUP(FACT_IMPORTS[[#This Row],[hts_6]],DIM_PRODUCTS[hts_6],DIM_PRODUCTS[hts_4],,,)</f>
        <v>8408</v>
      </c>
      <c r="I4850" t="str" cm="1">
        <f t="array" ref="I4850">_xlfn.XLOOKUP(FACT_IMPORTS[[#This Row],[country_name]],DIM_COUNTRY[[#All],[Column2]],DIM_COUNTRY[[#All],[Column3]],,,)</f>
        <v>Major_Non-USMCA_Non-China</v>
      </c>
    </row>
    <row r="4851" spans="1:9" x14ac:dyDescent="0.4">
      <c r="A4851" t="s">
        <v>68</v>
      </c>
      <c r="B4851" s="1">
        <v>45017</v>
      </c>
      <c r="C4851">
        <v>840991</v>
      </c>
      <c r="D4851" t="s">
        <v>176</v>
      </c>
      <c r="E4851">
        <v>766839</v>
      </c>
      <c r="F4851">
        <v>88427</v>
      </c>
      <c r="G4851">
        <v>38055</v>
      </c>
      <c r="H4851">
        <f>_xlfn.XLOOKUP(FACT_IMPORTS[[#This Row],[hts_6]],DIM_PRODUCTS[hts_6],DIM_PRODUCTS[hts_4],,,)</f>
        <v>8409</v>
      </c>
      <c r="I4851" t="str" cm="1">
        <f t="array" ref="I4851">_xlfn.XLOOKUP(FACT_IMPORTS[[#This Row],[country_name]],DIM_COUNTRY[[#All],[Column2]],DIM_COUNTRY[[#All],[Column3]],,,)</f>
        <v>Major_Non-USMCA_Non-China</v>
      </c>
    </row>
    <row r="4852" spans="1:9" x14ac:dyDescent="0.4">
      <c r="A4852" t="s">
        <v>68</v>
      </c>
      <c r="B4852" s="1">
        <v>45017</v>
      </c>
      <c r="C4852">
        <v>840999</v>
      </c>
      <c r="D4852" t="s">
        <v>176</v>
      </c>
      <c r="E4852">
        <v>24161968</v>
      </c>
      <c r="F4852">
        <v>3721770</v>
      </c>
      <c r="G4852">
        <v>545946</v>
      </c>
      <c r="H4852">
        <f>_xlfn.XLOOKUP(FACT_IMPORTS[[#This Row],[hts_6]],DIM_PRODUCTS[hts_6],DIM_PRODUCTS[hts_4],,,)</f>
        <v>8409</v>
      </c>
      <c r="I4852" t="str" cm="1">
        <f t="array" ref="I4852">_xlfn.XLOOKUP(FACT_IMPORTS[[#This Row],[country_name]],DIM_COUNTRY[[#All],[Column2]],DIM_COUNTRY[[#All],[Column3]],,,)</f>
        <v>Major_Non-USMCA_Non-China</v>
      </c>
    </row>
    <row r="4853" spans="1:9" x14ac:dyDescent="0.4">
      <c r="A4853" t="s">
        <v>68</v>
      </c>
      <c r="B4853" s="1">
        <v>45017</v>
      </c>
      <c r="C4853">
        <v>841330</v>
      </c>
      <c r="D4853" t="s">
        <v>176</v>
      </c>
      <c r="E4853">
        <v>1516054</v>
      </c>
      <c r="F4853">
        <v>19448</v>
      </c>
      <c r="G4853">
        <v>10561</v>
      </c>
      <c r="H4853">
        <f>_xlfn.XLOOKUP(FACT_IMPORTS[[#This Row],[hts_6]],DIM_PRODUCTS[hts_6],DIM_PRODUCTS[hts_4],,,)</f>
        <v>8413</v>
      </c>
      <c r="I4853" t="str" cm="1">
        <f t="array" ref="I4853">_xlfn.XLOOKUP(FACT_IMPORTS[[#This Row],[country_name]],DIM_COUNTRY[[#All],[Column2]],DIM_COUNTRY[[#All],[Column3]],,,)</f>
        <v>Major_Non-USMCA_Non-China</v>
      </c>
    </row>
    <row r="4854" spans="1:9" x14ac:dyDescent="0.4">
      <c r="A4854" t="s">
        <v>68</v>
      </c>
      <c r="B4854" s="1">
        <v>45017</v>
      </c>
      <c r="C4854">
        <v>841520</v>
      </c>
      <c r="D4854" t="s">
        <v>176</v>
      </c>
      <c r="E4854">
        <v>0</v>
      </c>
      <c r="F4854">
        <v>0</v>
      </c>
      <c r="G4854">
        <v>0</v>
      </c>
      <c r="H4854">
        <f>_xlfn.XLOOKUP(FACT_IMPORTS[[#This Row],[hts_6]],DIM_PRODUCTS[hts_6],DIM_PRODUCTS[hts_4],,,)</f>
        <v>8415</v>
      </c>
      <c r="I4854" t="str" cm="1">
        <f t="array" ref="I4854">_xlfn.XLOOKUP(FACT_IMPORTS[[#This Row],[country_name]],DIM_COUNTRY[[#All],[Column2]],DIM_COUNTRY[[#All],[Column3]],,,)</f>
        <v>Major_Non-USMCA_Non-China</v>
      </c>
    </row>
    <row r="4855" spans="1:9" x14ac:dyDescent="0.4">
      <c r="A4855" t="s">
        <v>68</v>
      </c>
      <c r="B4855" s="1">
        <v>45017</v>
      </c>
      <c r="C4855">
        <v>842132</v>
      </c>
      <c r="D4855" t="s">
        <v>176</v>
      </c>
      <c r="E4855">
        <v>18597</v>
      </c>
      <c r="F4855">
        <v>38</v>
      </c>
      <c r="G4855">
        <v>23</v>
      </c>
      <c r="H4855">
        <f>_xlfn.XLOOKUP(FACT_IMPORTS[[#This Row],[hts_6]],DIM_PRODUCTS[hts_6],DIM_PRODUCTS[hts_4],,,)</f>
        <v>8421</v>
      </c>
      <c r="I4855" t="str" cm="1">
        <f t="array" ref="I4855">_xlfn.XLOOKUP(FACT_IMPORTS[[#This Row],[country_name]],DIM_COUNTRY[[#All],[Column2]],DIM_COUNTRY[[#All],[Column3]],,,)</f>
        <v>Major_Non-USMCA_Non-China</v>
      </c>
    </row>
    <row r="4856" spans="1:9" x14ac:dyDescent="0.4">
      <c r="A4856" t="s">
        <v>68</v>
      </c>
      <c r="B4856" s="1">
        <v>45017</v>
      </c>
      <c r="C4856">
        <v>848210</v>
      </c>
      <c r="D4856" t="s">
        <v>176</v>
      </c>
      <c r="E4856">
        <v>221073</v>
      </c>
      <c r="F4856">
        <v>2808</v>
      </c>
      <c r="G4856">
        <v>1359</v>
      </c>
      <c r="H4856">
        <f>_xlfn.XLOOKUP(FACT_IMPORTS[[#This Row],[hts_6]],DIM_PRODUCTS[hts_6],DIM_PRODUCTS[hts_4],,,)</f>
        <v>8482</v>
      </c>
      <c r="I4856" t="str" cm="1">
        <f t="array" ref="I4856">_xlfn.XLOOKUP(FACT_IMPORTS[[#This Row],[country_name]],DIM_COUNTRY[[#All],[Column2]],DIM_COUNTRY[[#All],[Column3]],,,)</f>
        <v>Major_Non-USMCA_Non-China</v>
      </c>
    </row>
    <row r="4857" spans="1:9" x14ac:dyDescent="0.4">
      <c r="A4857" t="s">
        <v>68</v>
      </c>
      <c r="B4857" s="1">
        <v>45017</v>
      </c>
      <c r="C4857">
        <v>848220</v>
      </c>
      <c r="D4857" t="s">
        <v>176</v>
      </c>
      <c r="E4857">
        <v>494174</v>
      </c>
      <c r="F4857">
        <v>35361</v>
      </c>
      <c r="G4857">
        <v>5808</v>
      </c>
      <c r="H4857">
        <f>_xlfn.XLOOKUP(FACT_IMPORTS[[#This Row],[hts_6]],DIM_PRODUCTS[hts_6],DIM_PRODUCTS[hts_4],,,)</f>
        <v>8482</v>
      </c>
      <c r="I4857" t="str" cm="1">
        <f t="array" ref="I4857">_xlfn.XLOOKUP(FACT_IMPORTS[[#This Row],[country_name]],DIM_COUNTRY[[#All],[Column2]],DIM_COUNTRY[[#All],[Column3]],,,)</f>
        <v>Major_Non-USMCA_Non-China</v>
      </c>
    </row>
    <row r="4858" spans="1:9" x14ac:dyDescent="0.4">
      <c r="A4858" t="s">
        <v>68</v>
      </c>
      <c r="B4858" s="1">
        <v>45017</v>
      </c>
      <c r="C4858">
        <v>848310</v>
      </c>
      <c r="D4858" t="s">
        <v>176</v>
      </c>
      <c r="E4858">
        <v>4257980</v>
      </c>
      <c r="F4858">
        <v>37913</v>
      </c>
      <c r="G4858">
        <v>37944</v>
      </c>
      <c r="H4858">
        <f>_xlfn.XLOOKUP(FACT_IMPORTS[[#This Row],[hts_6]],DIM_PRODUCTS[hts_6],DIM_PRODUCTS[hts_4],,,)</f>
        <v>8483</v>
      </c>
      <c r="I4858" t="str" cm="1">
        <f t="array" ref="I4858">_xlfn.XLOOKUP(FACT_IMPORTS[[#This Row],[country_name]],DIM_COUNTRY[[#All],[Column2]],DIM_COUNTRY[[#All],[Column3]],,,)</f>
        <v>Major_Non-USMCA_Non-China</v>
      </c>
    </row>
    <row r="4859" spans="1:9" x14ac:dyDescent="0.4">
      <c r="A4859" t="s">
        <v>68</v>
      </c>
      <c r="B4859" s="1">
        <v>45017</v>
      </c>
      <c r="C4859">
        <v>850131</v>
      </c>
      <c r="D4859" t="s">
        <v>176</v>
      </c>
      <c r="E4859">
        <v>118716</v>
      </c>
      <c r="F4859">
        <v>985</v>
      </c>
      <c r="G4859">
        <v>639</v>
      </c>
      <c r="H4859">
        <f>_xlfn.XLOOKUP(FACT_IMPORTS[[#This Row],[hts_6]],DIM_PRODUCTS[hts_6],DIM_PRODUCTS[hts_4],,,)</f>
        <v>8501</v>
      </c>
      <c r="I4859" t="str" cm="1">
        <f t="array" ref="I4859">_xlfn.XLOOKUP(FACT_IMPORTS[[#This Row],[country_name]],DIM_COUNTRY[[#All],[Column2]],DIM_COUNTRY[[#All],[Column3]],,,)</f>
        <v>Major_Non-USMCA_Non-China</v>
      </c>
    </row>
    <row r="4860" spans="1:9" x14ac:dyDescent="0.4">
      <c r="A4860" t="s">
        <v>68</v>
      </c>
      <c r="B4860" s="1">
        <v>45017</v>
      </c>
      <c r="C4860">
        <v>850132</v>
      </c>
      <c r="D4860" t="s">
        <v>176</v>
      </c>
      <c r="E4860">
        <v>418487</v>
      </c>
      <c r="F4860">
        <v>24</v>
      </c>
      <c r="G4860">
        <v>1747</v>
      </c>
      <c r="H4860">
        <f>_xlfn.XLOOKUP(FACT_IMPORTS[[#This Row],[hts_6]],DIM_PRODUCTS[hts_6],DIM_PRODUCTS[hts_4],,,)</f>
        <v>8501</v>
      </c>
      <c r="I4860" t="str" cm="1">
        <f t="array" ref="I4860">_xlfn.XLOOKUP(FACT_IMPORTS[[#This Row],[country_name]],DIM_COUNTRY[[#All],[Column2]],DIM_COUNTRY[[#All],[Column3]],,,)</f>
        <v>Major_Non-USMCA_Non-China</v>
      </c>
    </row>
    <row r="4861" spans="1:9" x14ac:dyDescent="0.4">
      <c r="A4861" t="s">
        <v>68</v>
      </c>
      <c r="B4861" s="1">
        <v>45017</v>
      </c>
      <c r="C4861">
        <v>850133</v>
      </c>
      <c r="D4861" t="s">
        <v>176</v>
      </c>
      <c r="E4861">
        <v>407400</v>
      </c>
      <c r="F4861">
        <v>269</v>
      </c>
      <c r="G4861">
        <v>5037</v>
      </c>
      <c r="H4861">
        <f>_xlfn.XLOOKUP(FACT_IMPORTS[[#This Row],[hts_6]],DIM_PRODUCTS[hts_6],DIM_PRODUCTS[hts_4],,,)</f>
        <v>8501</v>
      </c>
      <c r="I4861" t="str" cm="1">
        <f t="array" ref="I4861">_xlfn.XLOOKUP(FACT_IMPORTS[[#This Row],[country_name]],DIM_COUNTRY[[#All],[Column2]],DIM_COUNTRY[[#All],[Column3]],,,)</f>
        <v>Major_Non-USMCA_Non-China</v>
      </c>
    </row>
    <row r="4862" spans="1:9" x14ac:dyDescent="0.4">
      <c r="A4862" t="s">
        <v>68</v>
      </c>
      <c r="B4862" s="1">
        <v>45017</v>
      </c>
      <c r="C4862">
        <v>850134</v>
      </c>
      <c r="D4862" t="s">
        <v>176</v>
      </c>
      <c r="E4862">
        <v>5048</v>
      </c>
      <c r="F4862">
        <v>2</v>
      </c>
      <c r="G4862">
        <v>28</v>
      </c>
      <c r="H4862">
        <f>_xlfn.XLOOKUP(FACT_IMPORTS[[#This Row],[hts_6]],DIM_PRODUCTS[hts_6],DIM_PRODUCTS[hts_4],,,)</f>
        <v>8501</v>
      </c>
      <c r="I4862" t="str" cm="1">
        <f t="array" ref="I4862">_xlfn.XLOOKUP(FACT_IMPORTS[[#This Row],[country_name]],DIM_COUNTRY[[#All],[Column2]],DIM_COUNTRY[[#All],[Column3]],,,)</f>
        <v>Major_Non-USMCA_Non-China</v>
      </c>
    </row>
    <row r="4863" spans="1:9" x14ac:dyDescent="0.4">
      <c r="A4863" t="s">
        <v>68</v>
      </c>
      <c r="B4863" s="1">
        <v>45017</v>
      </c>
      <c r="C4863">
        <v>850152</v>
      </c>
      <c r="D4863" t="s">
        <v>176</v>
      </c>
      <c r="E4863">
        <v>394955</v>
      </c>
      <c r="F4863">
        <v>442</v>
      </c>
      <c r="G4863">
        <v>19090</v>
      </c>
      <c r="H4863">
        <f>_xlfn.XLOOKUP(FACT_IMPORTS[[#This Row],[hts_6]],DIM_PRODUCTS[hts_6],DIM_PRODUCTS[hts_4],,,)</f>
        <v>8501</v>
      </c>
      <c r="I4863" t="str" cm="1">
        <f t="array" ref="I4863">_xlfn.XLOOKUP(FACT_IMPORTS[[#This Row],[country_name]],DIM_COUNTRY[[#All],[Column2]],DIM_COUNTRY[[#All],[Column3]],,,)</f>
        <v>Major_Non-USMCA_Non-China</v>
      </c>
    </row>
    <row r="4864" spans="1:9" x14ac:dyDescent="0.4">
      <c r="A4864" t="s">
        <v>68</v>
      </c>
      <c r="B4864" s="1">
        <v>45017</v>
      </c>
      <c r="C4864">
        <v>850153</v>
      </c>
      <c r="D4864" t="s">
        <v>176</v>
      </c>
      <c r="E4864">
        <v>170127</v>
      </c>
      <c r="F4864">
        <v>12</v>
      </c>
      <c r="G4864">
        <v>3826</v>
      </c>
      <c r="H4864">
        <f>_xlfn.XLOOKUP(FACT_IMPORTS[[#This Row],[hts_6]],DIM_PRODUCTS[hts_6],DIM_PRODUCTS[hts_4],,,)</f>
        <v>8501</v>
      </c>
      <c r="I4864" t="str" cm="1">
        <f t="array" ref="I4864">_xlfn.XLOOKUP(FACT_IMPORTS[[#This Row],[country_name]],DIM_COUNTRY[[#All],[Column2]],DIM_COUNTRY[[#All],[Column3]],,,)</f>
        <v>Major_Non-USMCA_Non-China</v>
      </c>
    </row>
    <row r="4865" spans="1:9" x14ac:dyDescent="0.4">
      <c r="A4865" t="s">
        <v>68</v>
      </c>
      <c r="B4865" s="1">
        <v>45017</v>
      </c>
      <c r="C4865">
        <v>850161</v>
      </c>
      <c r="D4865" t="s">
        <v>176</v>
      </c>
      <c r="E4865">
        <v>0</v>
      </c>
      <c r="F4865">
        <v>0</v>
      </c>
      <c r="G4865">
        <v>0</v>
      </c>
      <c r="H4865">
        <f>_xlfn.XLOOKUP(FACT_IMPORTS[[#This Row],[hts_6]],DIM_PRODUCTS[hts_6],DIM_PRODUCTS[hts_4],,,)</f>
        <v>8501</v>
      </c>
      <c r="I4865" t="str" cm="1">
        <f t="array" ref="I4865">_xlfn.XLOOKUP(FACT_IMPORTS[[#This Row],[country_name]],DIM_COUNTRY[[#All],[Column2]],DIM_COUNTRY[[#All],[Column3]],,,)</f>
        <v>Major_Non-USMCA_Non-China</v>
      </c>
    </row>
    <row r="4866" spans="1:9" x14ac:dyDescent="0.4">
      <c r="A4866" t="s">
        <v>68</v>
      </c>
      <c r="B4866" s="1">
        <v>45017</v>
      </c>
      <c r="C4866">
        <v>850440</v>
      </c>
      <c r="D4866" t="s">
        <v>176</v>
      </c>
      <c r="E4866">
        <v>538557</v>
      </c>
      <c r="F4866">
        <v>1109</v>
      </c>
      <c r="G4866">
        <v>9897</v>
      </c>
      <c r="H4866">
        <f>_xlfn.XLOOKUP(FACT_IMPORTS[[#This Row],[hts_6]],DIM_PRODUCTS[hts_6],DIM_PRODUCTS[hts_4],,,)</f>
        <v>8504</v>
      </c>
      <c r="I4866" t="str" cm="1">
        <f t="array" ref="I4866">_xlfn.XLOOKUP(FACT_IMPORTS[[#This Row],[country_name]],DIM_COUNTRY[[#All],[Column2]],DIM_COUNTRY[[#All],[Column3]],,,)</f>
        <v>Major_Non-USMCA_Non-China</v>
      </c>
    </row>
    <row r="4867" spans="1:9" x14ac:dyDescent="0.4">
      <c r="A4867" t="s">
        <v>68</v>
      </c>
      <c r="B4867" s="1">
        <v>45017</v>
      </c>
      <c r="C4867">
        <v>850710</v>
      </c>
      <c r="D4867" t="s">
        <v>176</v>
      </c>
      <c r="E4867">
        <v>0</v>
      </c>
      <c r="F4867">
        <v>0</v>
      </c>
      <c r="G4867">
        <v>0</v>
      </c>
      <c r="H4867">
        <f>_xlfn.XLOOKUP(FACT_IMPORTS[[#This Row],[hts_6]],DIM_PRODUCTS[hts_6],DIM_PRODUCTS[hts_4],,,)</f>
        <v>8507</v>
      </c>
      <c r="I4867" t="str" cm="1">
        <f t="array" ref="I4867">_xlfn.XLOOKUP(FACT_IMPORTS[[#This Row],[country_name]],DIM_COUNTRY[[#All],[Column2]],DIM_COUNTRY[[#All],[Column3]],,,)</f>
        <v>Major_Non-USMCA_Non-China</v>
      </c>
    </row>
    <row r="4868" spans="1:9" x14ac:dyDescent="0.4">
      <c r="A4868" t="s">
        <v>68</v>
      </c>
      <c r="B4868" s="1">
        <v>45017</v>
      </c>
      <c r="C4868">
        <v>850760</v>
      </c>
      <c r="D4868" t="s">
        <v>176</v>
      </c>
      <c r="E4868">
        <v>652807</v>
      </c>
      <c r="F4868">
        <v>14517</v>
      </c>
      <c r="G4868">
        <v>8461</v>
      </c>
      <c r="H4868">
        <f>_xlfn.XLOOKUP(FACT_IMPORTS[[#This Row],[hts_6]],DIM_PRODUCTS[hts_6],DIM_PRODUCTS[hts_4],,,)</f>
        <v>8507</v>
      </c>
      <c r="I4868" t="str" cm="1">
        <f t="array" ref="I4868">_xlfn.XLOOKUP(FACT_IMPORTS[[#This Row],[country_name]],DIM_COUNTRY[[#All],[Column2]],DIM_COUNTRY[[#All],[Column3]],,,)</f>
        <v>Major_Non-USMCA_Non-China</v>
      </c>
    </row>
    <row r="4869" spans="1:9" x14ac:dyDescent="0.4">
      <c r="A4869" t="s">
        <v>68</v>
      </c>
      <c r="B4869" s="1">
        <v>45017</v>
      </c>
      <c r="C4869">
        <v>850790</v>
      </c>
      <c r="D4869" t="s">
        <v>176</v>
      </c>
      <c r="E4869">
        <v>1971434</v>
      </c>
      <c r="F4869">
        <v>149343</v>
      </c>
      <c r="G4869">
        <v>32392</v>
      </c>
      <c r="H4869">
        <f>_xlfn.XLOOKUP(FACT_IMPORTS[[#This Row],[hts_6]],DIM_PRODUCTS[hts_6],DIM_PRODUCTS[hts_4],,,)</f>
        <v>8507</v>
      </c>
      <c r="I4869" t="str" cm="1">
        <f t="array" ref="I4869">_xlfn.XLOOKUP(FACT_IMPORTS[[#This Row],[country_name]],DIM_COUNTRY[[#All],[Column2]],DIM_COUNTRY[[#All],[Column3]],,,)</f>
        <v>Major_Non-USMCA_Non-China</v>
      </c>
    </row>
    <row r="4870" spans="1:9" x14ac:dyDescent="0.4">
      <c r="A4870" t="s">
        <v>68</v>
      </c>
      <c r="B4870" s="1">
        <v>45017</v>
      </c>
      <c r="C4870">
        <v>851110</v>
      </c>
      <c r="D4870" t="s">
        <v>176</v>
      </c>
      <c r="E4870">
        <v>18178</v>
      </c>
      <c r="F4870">
        <v>117</v>
      </c>
      <c r="G4870">
        <v>1152</v>
      </c>
      <c r="H4870">
        <f>_xlfn.XLOOKUP(FACT_IMPORTS[[#This Row],[hts_6]],DIM_PRODUCTS[hts_6],DIM_PRODUCTS[hts_4],,,)</f>
        <v>8511</v>
      </c>
      <c r="I4870" t="str" cm="1">
        <f t="array" ref="I4870">_xlfn.XLOOKUP(FACT_IMPORTS[[#This Row],[country_name]],DIM_COUNTRY[[#All],[Column2]],DIM_COUNTRY[[#All],[Column3]],,,)</f>
        <v>Major_Non-USMCA_Non-China</v>
      </c>
    </row>
    <row r="4871" spans="1:9" x14ac:dyDescent="0.4">
      <c r="A4871" t="s">
        <v>68</v>
      </c>
      <c r="B4871" s="1">
        <v>45017</v>
      </c>
      <c r="C4871">
        <v>851120</v>
      </c>
      <c r="D4871" t="s">
        <v>176</v>
      </c>
      <c r="E4871">
        <v>12507</v>
      </c>
      <c r="F4871">
        <v>156</v>
      </c>
      <c r="G4871">
        <v>500</v>
      </c>
      <c r="H4871">
        <f>_xlfn.XLOOKUP(FACT_IMPORTS[[#This Row],[hts_6]],DIM_PRODUCTS[hts_6],DIM_PRODUCTS[hts_4],,,)</f>
        <v>8511</v>
      </c>
      <c r="I4871" t="str" cm="1">
        <f t="array" ref="I4871">_xlfn.XLOOKUP(FACT_IMPORTS[[#This Row],[country_name]],DIM_COUNTRY[[#All],[Column2]],DIM_COUNTRY[[#All],[Column3]],,,)</f>
        <v>Major_Non-USMCA_Non-China</v>
      </c>
    </row>
    <row r="4872" spans="1:9" x14ac:dyDescent="0.4">
      <c r="A4872" t="s">
        <v>68</v>
      </c>
      <c r="B4872" s="1">
        <v>45017</v>
      </c>
      <c r="C4872">
        <v>851130</v>
      </c>
      <c r="D4872" t="s">
        <v>176</v>
      </c>
      <c r="E4872">
        <v>2794</v>
      </c>
      <c r="F4872">
        <v>60</v>
      </c>
      <c r="G4872">
        <v>300</v>
      </c>
      <c r="H4872">
        <f>_xlfn.XLOOKUP(FACT_IMPORTS[[#This Row],[hts_6]],DIM_PRODUCTS[hts_6],DIM_PRODUCTS[hts_4],,,)</f>
        <v>8511</v>
      </c>
      <c r="I4872" t="str" cm="1">
        <f t="array" ref="I4872">_xlfn.XLOOKUP(FACT_IMPORTS[[#This Row],[country_name]],DIM_COUNTRY[[#All],[Column2]],DIM_COUNTRY[[#All],[Column3]],,,)</f>
        <v>Major_Non-USMCA_Non-China</v>
      </c>
    </row>
    <row r="4873" spans="1:9" x14ac:dyDescent="0.4">
      <c r="A4873" t="s">
        <v>68</v>
      </c>
      <c r="B4873" s="1">
        <v>45017</v>
      </c>
      <c r="C4873">
        <v>851140</v>
      </c>
      <c r="D4873" t="s">
        <v>176</v>
      </c>
      <c r="E4873">
        <v>0</v>
      </c>
      <c r="F4873">
        <v>0</v>
      </c>
      <c r="G4873">
        <v>0</v>
      </c>
      <c r="H4873">
        <f>_xlfn.XLOOKUP(FACT_IMPORTS[[#This Row],[hts_6]],DIM_PRODUCTS[hts_6],DIM_PRODUCTS[hts_4],,,)</f>
        <v>8511</v>
      </c>
      <c r="I4873" t="str" cm="1">
        <f t="array" ref="I4873">_xlfn.XLOOKUP(FACT_IMPORTS[[#This Row],[country_name]],DIM_COUNTRY[[#All],[Column2]],DIM_COUNTRY[[#All],[Column3]],,,)</f>
        <v>Major_Non-USMCA_Non-China</v>
      </c>
    </row>
    <row r="4874" spans="1:9" x14ac:dyDescent="0.4">
      <c r="A4874" t="s">
        <v>68</v>
      </c>
      <c r="B4874" s="1">
        <v>45017</v>
      </c>
      <c r="C4874">
        <v>851150</v>
      </c>
      <c r="D4874" t="s">
        <v>176</v>
      </c>
      <c r="E4874">
        <v>18818</v>
      </c>
      <c r="F4874">
        <v>702</v>
      </c>
      <c r="G4874">
        <v>1208</v>
      </c>
      <c r="H4874">
        <f>_xlfn.XLOOKUP(FACT_IMPORTS[[#This Row],[hts_6]],DIM_PRODUCTS[hts_6],DIM_PRODUCTS[hts_4],,,)</f>
        <v>8511</v>
      </c>
      <c r="I4874" t="str" cm="1">
        <f t="array" ref="I4874">_xlfn.XLOOKUP(FACT_IMPORTS[[#This Row],[country_name]],DIM_COUNTRY[[#All],[Column2]],DIM_COUNTRY[[#All],[Column3]],,,)</f>
        <v>Major_Non-USMCA_Non-China</v>
      </c>
    </row>
    <row r="4875" spans="1:9" x14ac:dyDescent="0.4">
      <c r="A4875" t="s">
        <v>68</v>
      </c>
      <c r="B4875" s="1">
        <v>45017</v>
      </c>
      <c r="C4875">
        <v>851180</v>
      </c>
      <c r="D4875" t="s">
        <v>176</v>
      </c>
      <c r="E4875">
        <v>371812</v>
      </c>
      <c r="F4875">
        <v>20978</v>
      </c>
      <c r="G4875">
        <v>1450</v>
      </c>
      <c r="H4875">
        <f>_xlfn.XLOOKUP(FACT_IMPORTS[[#This Row],[hts_6]],DIM_PRODUCTS[hts_6],DIM_PRODUCTS[hts_4],,,)</f>
        <v>8511</v>
      </c>
      <c r="I4875" t="str" cm="1">
        <f t="array" ref="I4875">_xlfn.XLOOKUP(FACT_IMPORTS[[#This Row],[country_name]],DIM_COUNTRY[[#All],[Column2]],DIM_COUNTRY[[#All],[Column3]],,,)</f>
        <v>Major_Non-USMCA_Non-China</v>
      </c>
    </row>
    <row r="4876" spans="1:9" x14ac:dyDescent="0.4">
      <c r="A4876" t="s">
        <v>68</v>
      </c>
      <c r="B4876" s="1">
        <v>45017</v>
      </c>
      <c r="C4876">
        <v>851190</v>
      </c>
      <c r="D4876" t="s">
        <v>176</v>
      </c>
      <c r="E4876">
        <v>0</v>
      </c>
      <c r="F4876">
        <v>0</v>
      </c>
      <c r="G4876">
        <v>0</v>
      </c>
      <c r="H4876">
        <f>_xlfn.XLOOKUP(FACT_IMPORTS[[#This Row],[hts_6]],DIM_PRODUCTS[hts_6],DIM_PRODUCTS[hts_4],,,)</f>
        <v>8511</v>
      </c>
      <c r="I4876" t="str" cm="1">
        <f t="array" ref="I4876">_xlfn.XLOOKUP(FACT_IMPORTS[[#This Row],[country_name]],DIM_COUNTRY[[#All],[Column2]],DIM_COUNTRY[[#All],[Column3]],,,)</f>
        <v>Major_Non-USMCA_Non-China</v>
      </c>
    </row>
    <row r="4877" spans="1:9" x14ac:dyDescent="0.4">
      <c r="A4877" t="s">
        <v>68</v>
      </c>
      <c r="B4877" s="1">
        <v>45017</v>
      </c>
      <c r="C4877">
        <v>851220</v>
      </c>
      <c r="D4877" t="s">
        <v>176</v>
      </c>
      <c r="E4877">
        <v>25639</v>
      </c>
      <c r="F4877">
        <v>7920</v>
      </c>
      <c r="G4877">
        <v>149</v>
      </c>
      <c r="H4877">
        <f>_xlfn.XLOOKUP(FACT_IMPORTS[[#This Row],[hts_6]],DIM_PRODUCTS[hts_6],DIM_PRODUCTS[hts_4],,,)</f>
        <v>8512</v>
      </c>
      <c r="I4877" t="str" cm="1">
        <f t="array" ref="I4877">_xlfn.XLOOKUP(FACT_IMPORTS[[#This Row],[country_name]],DIM_COUNTRY[[#All],[Column2]],DIM_COUNTRY[[#All],[Column3]],,,)</f>
        <v>Major_Non-USMCA_Non-China</v>
      </c>
    </row>
    <row r="4878" spans="1:9" x14ac:dyDescent="0.4">
      <c r="A4878" t="s">
        <v>68</v>
      </c>
      <c r="B4878" s="1">
        <v>45017</v>
      </c>
      <c r="C4878">
        <v>851230</v>
      </c>
      <c r="D4878" t="s">
        <v>176</v>
      </c>
      <c r="E4878">
        <v>0</v>
      </c>
      <c r="F4878">
        <v>0</v>
      </c>
      <c r="G4878">
        <v>0</v>
      </c>
      <c r="H4878">
        <f>_xlfn.XLOOKUP(FACT_IMPORTS[[#This Row],[hts_6]],DIM_PRODUCTS[hts_6],DIM_PRODUCTS[hts_4],,,)</f>
        <v>8512</v>
      </c>
      <c r="I4878" t="str" cm="1">
        <f t="array" ref="I4878">_xlfn.XLOOKUP(FACT_IMPORTS[[#This Row],[country_name]],DIM_COUNTRY[[#All],[Column2]],DIM_COUNTRY[[#All],[Column3]],,,)</f>
        <v>Major_Non-USMCA_Non-China</v>
      </c>
    </row>
    <row r="4879" spans="1:9" x14ac:dyDescent="0.4">
      <c r="A4879" t="s">
        <v>68</v>
      </c>
      <c r="B4879" s="1">
        <v>45017</v>
      </c>
      <c r="C4879">
        <v>851290</v>
      </c>
      <c r="D4879" t="s">
        <v>176</v>
      </c>
      <c r="E4879">
        <v>0</v>
      </c>
      <c r="F4879">
        <v>0</v>
      </c>
      <c r="G4879">
        <v>0</v>
      </c>
      <c r="H4879">
        <f>_xlfn.XLOOKUP(FACT_IMPORTS[[#This Row],[hts_6]],DIM_PRODUCTS[hts_6],DIM_PRODUCTS[hts_4],,,)</f>
        <v>8512</v>
      </c>
      <c r="I4879" t="str" cm="1">
        <f t="array" ref="I4879">_xlfn.XLOOKUP(FACT_IMPORTS[[#This Row],[country_name]],DIM_COUNTRY[[#All],[Column2]],DIM_COUNTRY[[#All],[Column3]],,,)</f>
        <v>Major_Non-USMCA_Non-China</v>
      </c>
    </row>
    <row r="4880" spans="1:9" x14ac:dyDescent="0.4">
      <c r="A4880" t="s">
        <v>68</v>
      </c>
      <c r="B4880" s="1">
        <v>45017</v>
      </c>
      <c r="C4880">
        <v>854231</v>
      </c>
      <c r="D4880" t="s">
        <v>176</v>
      </c>
      <c r="E4880">
        <v>86643</v>
      </c>
      <c r="F4880">
        <v>6141</v>
      </c>
      <c r="G4880">
        <v>2567</v>
      </c>
      <c r="H4880">
        <f>_xlfn.XLOOKUP(FACT_IMPORTS[[#This Row],[hts_6]],DIM_PRODUCTS[hts_6],DIM_PRODUCTS[hts_4],,,)</f>
        <v>8542</v>
      </c>
      <c r="I4880" t="str" cm="1">
        <f t="array" ref="I4880">_xlfn.XLOOKUP(FACT_IMPORTS[[#This Row],[country_name]],DIM_COUNTRY[[#All],[Column2]],DIM_COUNTRY[[#All],[Column3]],,,)</f>
        <v>Major_Non-USMCA_Non-China</v>
      </c>
    </row>
    <row r="4881" spans="1:9" x14ac:dyDescent="0.4">
      <c r="A4881" t="s">
        <v>68</v>
      </c>
      <c r="B4881" s="1">
        <v>45017</v>
      </c>
      <c r="C4881">
        <v>854232</v>
      </c>
      <c r="D4881" t="s">
        <v>176</v>
      </c>
      <c r="E4881">
        <v>3331</v>
      </c>
      <c r="F4881">
        <v>4</v>
      </c>
      <c r="G4881">
        <v>9</v>
      </c>
      <c r="H4881">
        <f>_xlfn.XLOOKUP(FACT_IMPORTS[[#This Row],[hts_6]],DIM_PRODUCTS[hts_6],DIM_PRODUCTS[hts_4],,,)</f>
        <v>8542</v>
      </c>
      <c r="I4881" t="str" cm="1">
        <f t="array" ref="I4881">_xlfn.XLOOKUP(FACT_IMPORTS[[#This Row],[country_name]],DIM_COUNTRY[[#All],[Column2]],DIM_COUNTRY[[#All],[Column3]],,,)</f>
        <v>Major_Non-USMCA_Non-China</v>
      </c>
    </row>
    <row r="4882" spans="1:9" x14ac:dyDescent="0.4">
      <c r="A4882" t="s">
        <v>68</v>
      </c>
      <c r="B4882" s="1">
        <v>45017</v>
      </c>
      <c r="C4882">
        <v>854233</v>
      </c>
      <c r="D4882" t="s">
        <v>176</v>
      </c>
      <c r="E4882">
        <v>0</v>
      </c>
      <c r="F4882">
        <v>0</v>
      </c>
      <c r="G4882">
        <v>0</v>
      </c>
      <c r="H4882">
        <f>_xlfn.XLOOKUP(FACT_IMPORTS[[#This Row],[hts_6]],DIM_PRODUCTS[hts_6],DIM_PRODUCTS[hts_4],,,)</f>
        <v>8542</v>
      </c>
      <c r="I4882" t="str" cm="1">
        <f t="array" ref="I4882">_xlfn.XLOOKUP(FACT_IMPORTS[[#This Row],[country_name]],DIM_COUNTRY[[#All],[Column2]],DIM_COUNTRY[[#All],[Column3]],,,)</f>
        <v>Major_Non-USMCA_Non-China</v>
      </c>
    </row>
    <row r="4883" spans="1:9" x14ac:dyDescent="0.4">
      <c r="A4883" t="s">
        <v>68</v>
      </c>
      <c r="B4883" s="1">
        <v>45017</v>
      </c>
      <c r="C4883">
        <v>854239</v>
      </c>
      <c r="D4883" t="s">
        <v>176</v>
      </c>
      <c r="E4883">
        <v>42308</v>
      </c>
      <c r="F4883">
        <v>20</v>
      </c>
      <c r="G4883">
        <v>459</v>
      </c>
      <c r="H4883">
        <f>_xlfn.XLOOKUP(FACT_IMPORTS[[#This Row],[hts_6]],DIM_PRODUCTS[hts_6],DIM_PRODUCTS[hts_4],,,)</f>
        <v>8542</v>
      </c>
      <c r="I4883" t="str" cm="1">
        <f t="array" ref="I4883">_xlfn.XLOOKUP(FACT_IMPORTS[[#This Row],[country_name]],DIM_COUNTRY[[#All],[Column2]],DIM_COUNTRY[[#All],[Column3]],,,)</f>
        <v>Major_Non-USMCA_Non-China</v>
      </c>
    </row>
    <row r="4884" spans="1:9" x14ac:dyDescent="0.4">
      <c r="A4884" t="s">
        <v>68</v>
      </c>
      <c r="B4884" s="1">
        <v>45017</v>
      </c>
      <c r="C4884">
        <v>854290</v>
      </c>
      <c r="D4884" t="s">
        <v>176</v>
      </c>
      <c r="E4884">
        <v>4383</v>
      </c>
      <c r="F4884">
        <v>5</v>
      </c>
      <c r="G4884">
        <v>351</v>
      </c>
      <c r="H4884">
        <f>_xlfn.XLOOKUP(FACT_IMPORTS[[#This Row],[hts_6]],DIM_PRODUCTS[hts_6],DIM_PRODUCTS[hts_4],,,)</f>
        <v>8542</v>
      </c>
      <c r="I4884" t="str" cm="1">
        <f t="array" ref="I4884">_xlfn.XLOOKUP(FACT_IMPORTS[[#This Row],[country_name]],DIM_COUNTRY[[#All],[Column2]],DIM_COUNTRY[[#All],[Column3]],,,)</f>
        <v>Major_Non-USMCA_Non-China</v>
      </c>
    </row>
    <row r="4885" spans="1:9" x14ac:dyDescent="0.4">
      <c r="A4885" t="s">
        <v>68</v>
      </c>
      <c r="B4885" s="1">
        <v>45017</v>
      </c>
      <c r="C4885">
        <v>854430</v>
      </c>
      <c r="D4885" t="s">
        <v>176</v>
      </c>
      <c r="E4885">
        <v>609904</v>
      </c>
      <c r="F4885">
        <v>57233</v>
      </c>
      <c r="G4885">
        <v>5477</v>
      </c>
      <c r="H4885">
        <f>_xlfn.XLOOKUP(FACT_IMPORTS[[#This Row],[hts_6]],DIM_PRODUCTS[hts_6],DIM_PRODUCTS[hts_4],,,)</f>
        <v>8544</v>
      </c>
      <c r="I4885" t="str" cm="1">
        <f t="array" ref="I4885">_xlfn.XLOOKUP(FACT_IMPORTS[[#This Row],[country_name]],DIM_COUNTRY[[#All],[Column2]],DIM_COUNTRY[[#All],[Column3]],,,)</f>
        <v>Major_Non-USMCA_Non-China</v>
      </c>
    </row>
    <row r="4886" spans="1:9" x14ac:dyDescent="0.4">
      <c r="A4886" t="s">
        <v>68</v>
      </c>
      <c r="B4886" s="1">
        <v>45017</v>
      </c>
      <c r="C4886">
        <v>870790</v>
      </c>
      <c r="D4886" t="s">
        <v>176</v>
      </c>
      <c r="E4886">
        <v>0</v>
      </c>
      <c r="F4886">
        <v>0</v>
      </c>
      <c r="G4886">
        <v>0</v>
      </c>
      <c r="H4886">
        <f>_xlfn.XLOOKUP(FACT_IMPORTS[[#This Row],[hts_6]],DIM_PRODUCTS[hts_6],DIM_PRODUCTS[hts_4],,,)</f>
        <v>8707</v>
      </c>
      <c r="I4886" t="str" cm="1">
        <f t="array" ref="I4886">_xlfn.XLOOKUP(FACT_IMPORTS[[#This Row],[country_name]],DIM_COUNTRY[[#All],[Column2]],DIM_COUNTRY[[#All],[Column3]],,,)</f>
        <v>Major_Non-USMCA_Non-China</v>
      </c>
    </row>
    <row r="4887" spans="1:9" x14ac:dyDescent="0.4">
      <c r="A4887" t="s">
        <v>68</v>
      </c>
      <c r="B4887" s="1">
        <v>45017</v>
      </c>
      <c r="C4887">
        <v>870810</v>
      </c>
      <c r="D4887" t="s">
        <v>176</v>
      </c>
      <c r="E4887">
        <v>21224</v>
      </c>
      <c r="F4887">
        <v>270</v>
      </c>
      <c r="G4887">
        <v>251</v>
      </c>
      <c r="H4887">
        <f>_xlfn.XLOOKUP(FACT_IMPORTS[[#This Row],[hts_6]],DIM_PRODUCTS[hts_6],DIM_PRODUCTS[hts_4],,,)</f>
        <v>8708</v>
      </c>
      <c r="I4887" t="str" cm="1">
        <f t="array" ref="I4887">_xlfn.XLOOKUP(FACT_IMPORTS[[#This Row],[country_name]],DIM_COUNTRY[[#All],[Column2]],DIM_COUNTRY[[#All],[Column3]],,,)</f>
        <v>Major_Non-USMCA_Non-China</v>
      </c>
    </row>
    <row r="4888" spans="1:9" x14ac:dyDescent="0.4">
      <c r="A4888" t="s">
        <v>68</v>
      </c>
      <c r="B4888" s="1">
        <v>45017</v>
      </c>
      <c r="C4888">
        <v>870822</v>
      </c>
      <c r="D4888" t="s">
        <v>176</v>
      </c>
      <c r="E4888">
        <v>87423</v>
      </c>
      <c r="F4888">
        <v>607</v>
      </c>
      <c r="G4888">
        <v>2</v>
      </c>
      <c r="H4888">
        <f>_xlfn.XLOOKUP(FACT_IMPORTS[[#This Row],[hts_6]],DIM_PRODUCTS[hts_6],DIM_PRODUCTS[hts_4],,,)</f>
        <v>8708</v>
      </c>
      <c r="I4888" t="str" cm="1">
        <f t="array" ref="I4888">_xlfn.XLOOKUP(FACT_IMPORTS[[#This Row],[country_name]],DIM_COUNTRY[[#All],[Column2]],DIM_COUNTRY[[#All],[Column3]],,,)</f>
        <v>Major_Non-USMCA_Non-China</v>
      </c>
    </row>
    <row r="4889" spans="1:9" x14ac:dyDescent="0.4">
      <c r="A4889" t="s">
        <v>68</v>
      </c>
      <c r="B4889" s="1">
        <v>45017</v>
      </c>
      <c r="C4889">
        <v>870829</v>
      </c>
      <c r="D4889" t="s">
        <v>176</v>
      </c>
      <c r="E4889">
        <v>2028540</v>
      </c>
      <c r="F4889">
        <v>1196801</v>
      </c>
      <c r="G4889">
        <v>97384</v>
      </c>
      <c r="H4889">
        <f>_xlfn.XLOOKUP(FACT_IMPORTS[[#This Row],[hts_6]],DIM_PRODUCTS[hts_6],DIM_PRODUCTS[hts_4],,,)</f>
        <v>8708</v>
      </c>
      <c r="I4889" t="str" cm="1">
        <f t="array" ref="I4889">_xlfn.XLOOKUP(FACT_IMPORTS[[#This Row],[country_name]],DIM_COUNTRY[[#All],[Column2]],DIM_COUNTRY[[#All],[Column3]],,,)</f>
        <v>Major_Non-USMCA_Non-China</v>
      </c>
    </row>
    <row r="4890" spans="1:9" x14ac:dyDescent="0.4">
      <c r="A4890" t="s">
        <v>68</v>
      </c>
      <c r="B4890" s="1">
        <v>45017</v>
      </c>
      <c r="C4890">
        <v>870830</v>
      </c>
      <c r="D4890" t="s">
        <v>176</v>
      </c>
      <c r="E4890">
        <v>164431</v>
      </c>
      <c r="F4890">
        <v>34149</v>
      </c>
      <c r="G4890">
        <v>3691</v>
      </c>
      <c r="H4890">
        <f>_xlfn.XLOOKUP(FACT_IMPORTS[[#This Row],[hts_6]],DIM_PRODUCTS[hts_6],DIM_PRODUCTS[hts_4],,,)</f>
        <v>8708</v>
      </c>
      <c r="I4890" t="str" cm="1">
        <f t="array" ref="I4890">_xlfn.XLOOKUP(FACT_IMPORTS[[#This Row],[country_name]],DIM_COUNTRY[[#All],[Column2]],DIM_COUNTRY[[#All],[Column3]],,,)</f>
        <v>Major_Non-USMCA_Non-China</v>
      </c>
    </row>
    <row r="4891" spans="1:9" x14ac:dyDescent="0.4">
      <c r="A4891" t="s">
        <v>68</v>
      </c>
      <c r="B4891" s="1">
        <v>45017</v>
      </c>
      <c r="C4891">
        <v>870840</v>
      </c>
      <c r="D4891" t="s">
        <v>176</v>
      </c>
      <c r="E4891">
        <v>107185484</v>
      </c>
      <c r="F4891">
        <v>1596017</v>
      </c>
      <c r="G4891">
        <v>234668</v>
      </c>
      <c r="H4891">
        <f>_xlfn.XLOOKUP(FACT_IMPORTS[[#This Row],[hts_6]],DIM_PRODUCTS[hts_6],DIM_PRODUCTS[hts_4],,,)</f>
        <v>8708</v>
      </c>
      <c r="I4891" t="str" cm="1">
        <f t="array" ref="I4891">_xlfn.XLOOKUP(FACT_IMPORTS[[#This Row],[country_name]],DIM_COUNTRY[[#All],[Column2]],DIM_COUNTRY[[#All],[Column3]],,,)</f>
        <v>Major_Non-USMCA_Non-China</v>
      </c>
    </row>
    <row r="4892" spans="1:9" x14ac:dyDescent="0.4">
      <c r="A4892" t="s">
        <v>68</v>
      </c>
      <c r="B4892" s="1">
        <v>45017</v>
      </c>
      <c r="C4892">
        <v>870850</v>
      </c>
      <c r="D4892" t="s">
        <v>176</v>
      </c>
      <c r="E4892">
        <v>17905639</v>
      </c>
      <c r="F4892">
        <v>748314</v>
      </c>
      <c r="G4892">
        <v>560920</v>
      </c>
      <c r="H4892">
        <f>_xlfn.XLOOKUP(FACT_IMPORTS[[#This Row],[hts_6]],DIM_PRODUCTS[hts_6],DIM_PRODUCTS[hts_4],,,)</f>
        <v>8708</v>
      </c>
      <c r="I4892" t="str" cm="1">
        <f t="array" ref="I4892">_xlfn.XLOOKUP(FACT_IMPORTS[[#This Row],[country_name]],DIM_COUNTRY[[#All],[Column2]],DIM_COUNTRY[[#All],[Column3]],,,)</f>
        <v>Major_Non-USMCA_Non-China</v>
      </c>
    </row>
    <row r="4893" spans="1:9" x14ac:dyDescent="0.4">
      <c r="A4893" t="s">
        <v>68</v>
      </c>
      <c r="B4893" s="1">
        <v>45017</v>
      </c>
      <c r="C4893">
        <v>870870</v>
      </c>
      <c r="D4893" t="s">
        <v>176</v>
      </c>
      <c r="E4893">
        <v>0</v>
      </c>
      <c r="F4893">
        <v>0</v>
      </c>
      <c r="G4893">
        <v>0</v>
      </c>
      <c r="H4893">
        <f>_xlfn.XLOOKUP(FACT_IMPORTS[[#This Row],[hts_6]],DIM_PRODUCTS[hts_6],DIM_PRODUCTS[hts_4],,,)</f>
        <v>8708</v>
      </c>
      <c r="I4893" t="str" cm="1">
        <f t="array" ref="I4893">_xlfn.XLOOKUP(FACT_IMPORTS[[#This Row],[country_name]],DIM_COUNTRY[[#All],[Column2]],DIM_COUNTRY[[#All],[Column3]],,,)</f>
        <v>Major_Non-USMCA_Non-China</v>
      </c>
    </row>
    <row r="4894" spans="1:9" x14ac:dyDescent="0.4">
      <c r="A4894" t="s">
        <v>68</v>
      </c>
      <c r="B4894" s="1">
        <v>45017</v>
      </c>
      <c r="C4894">
        <v>870880</v>
      </c>
      <c r="D4894" t="s">
        <v>176</v>
      </c>
      <c r="E4894">
        <v>426170</v>
      </c>
      <c r="F4894">
        <v>280937</v>
      </c>
      <c r="G4894">
        <v>24438</v>
      </c>
      <c r="H4894">
        <f>_xlfn.XLOOKUP(FACT_IMPORTS[[#This Row],[hts_6]],DIM_PRODUCTS[hts_6],DIM_PRODUCTS[hts_4],,,)</f>
        <v>8708</v>
      </c>
      <c r="I4894" t="str" cm="1">
        <f t="array" ref="I4894">_xlfn.XLOOKUP(FACT_IMPORTS[[#This Row],[country_name]],DIM_COUNTRY[[#All],[Column2]],DIM_COUNTRY[[#All],[Column3]],,,)</f>
        <v>Major_Non-USMCA_Non-China</v>
      </c>
    </row>
    <row r="4895" spans="1:9" x14ac:dyDescent="0.4">
      <c r="A4895" t="s">
        <v>68</v>
      </c>
      <c r="B4895" s="1">
        <v>45017</v>
      </c>
      <c r="C4895">
        <v>870891</v>
      </c>
      <c r="D4895" t="s">
        <v>176</v>
      </c>
      <c r="E4895">
        <v>57105</v>
      </c>
      <c r="F4895">
        <v>103</v>
      </c>
      <c r="G4895">
        <v>2346</v>
      </c>
      <c r="H4895">
        <f>_xlfn.XLOOKUP(FACT_IMPORTS[[#This Row],[hts_6]],DIM_PRODUCTS[hts_6],DIM_PRODUCTS[hts_4],,,)</f>
        <v>8708</v>
      </c>
      <c r="I4895" t="str" cm="1">
        <f t="array" ref="I4895">_xlfn.XLOOKUP(FACT_IMPORTS[[#This Row],[country_name]],DIM_COUNTRY[[#All],[Column2]],DIM_COUNTRY[[#All],[Column3]],,,)</f>
        <v>Major_Non-USMCA_Non-China</v>
      </c>
    </row>
    <row r="4896" spans="1:9" x14ac:dyDescent="0.4">
      <c r="A4896" t="s">
        <v>68</v>
      </c>
      <c r="B4896" s="1">
        <v>45017</v>
      </c>
      <c r="C4896">
        <v>870892</v>
      </c>
      <c r="D4896" t="s">
        <v>176</v>
      </c>
      <c r="E4896">
        <v>65432</v>
      </c>
      <c r="F4896">
        <v>1443</v>
      </c>
      <c r="G4896">
        <v>10053</v>
      </c>
      <c r="H4896">
        <f>_xlfn.XLOOKUP(FACT_IMPORTS[[#This Row],[hts_6]],DIM_PRODUCTS[hts_6],DIM_PRODUCTS[hts_4],,,)</f>
        <v>8708</v>
      </c>
      <c r="I4896" t="str" cm="1">
        <f t="array" ref="I4896">_xlfn.XLOOKUP(FACT_IMPORTS[[#This Row],[country_name]],DIM_COUNTRY[[#All],[Column2]],DIM_COUNTRY[[#All],[Column3]],,,)</f>
        <v>Major_Non-USMCA_Non-China</v>
      </c>
    </row>
    <row r="4897" spans="1:9" x14ac:dyDescent="0.4">
      <c r="A4897" t="s">
        <v>68</v>
      </c>
      <c r="B4897" s="1">
        <v>45017</v>
      </c>
      <c r="C4897">
        <v>870893</v>
      </c>
      <c r="D4897" t="s">
        <v>176</v>
      </c>
      <c r="E4897">
        <v>632211</v>
      </c>
      <c r="F4897">
        <v>11469</v>
      </c>
      <c r="G4897">
        <v>6963</v>
      </c>
      <c r="H4897">
        <f>_xlfn.XLOOKUP(FACT_IMPORTS[[#This Row],[hts_6]],DIM_PRODUCTS[hts_6],DIM_PRODUCTS[hts_4],,,)</f>
        <v>8708</v>
      </c>
      <c r="I4897" t="str" cm="1">
        <f t="array" ref="I4897">_xlfn.XLOOKUP(FACT_IMPORTS[[#This Row],[country_name]],DIM_COUNTRY[[#All],[Column2]],DIM_COUNTRY[[#All],[Column3]],,,)</f>
        <v>Major_Non-USMCA_Non-China</v>
      </c>
    </row>
    <row r="4898" spans="1:9" x14ac:dyDescent="0.4">
      <c r="A4898" t="s">
        <v>68</v>
      </c>
      <c r="B4898" s="1">
        <v>45017</v>
      </c>
      <c r="C4898">
        <v>870894</v>
      </c>
      <c r="D4898" t="s">
        <v>176</v>
      </c>
      <c r="E4898">
        <v>53416</v>
      </c>
      <c r="F4898">
        <v>129</v>
      </c>
      <c r="G4898">
        <v>1273</v>
      </c>
      <c r="H4898">
        <f>_xlfn.XLOOKUP(FACT_IMPORTS[[#This Row],[hts_6]],DIM_PRODUCTS[hts_6],DIM_PRODUCTS[hts_4],,,)</f>
        <v>8708</v>
      </c>
      <c r="I4898" t="str" cm="1">
        <f t="array" ref="I4898">_xlfn.XLOOKUP(FACT_IMPORTS[[#This Row],[country_name]],DIM_COUNTRY[[#All],[Column2]],DIM_COUNTRY[[#All],[Column3]],,,)</f>
        <v>Major_Non-USMCA_Non-China</v>
      </c>
    </row>
    <row r="4899" spans="1:9" x14ac:dyDescent="0.4">
      <c r="A4899" t="s">
        <v>68</v>
      </c>
      <c r="B4899" s="1">
        <v>45017</v>
      </c>
      <c r="C4899">
        <v>870895</v>
      </c>
      <c r="D4899" t="s">
        <v>176</v>
      </c>
      <c r="E4899">
        <v>0</v>
      </c>
      <c r="F4899">
        <v>0</v>
      </c>
      <c r="G4899">
        <v>0</v>
      </c>
      <c r="H4899">
        <f>_xlfn.XLOOKUP(FACT_IMPORTS[[#This Row],[hts_6]],DIM_PRODUCTS[hts_6],DIM_PRODUCTS[hts_4],,,)</f>
        <v>8708</v>
      </c>
      <c r="I4899" t="str" cm="1">
        <f t="array" ref="I4899">_xlfn.XLOOKUP(FACT_IMPORTS[[#This Row],[country_name]],DIM_COUNTRY[[#All],[Column2]],DIM_COUNTRY[[#All],[Column3]],,,)</f>
        <v>Major_Non-USMCA_Non-China</v>
      </c>
    </row>
    <row r="4900" spans="1:9" x14ac:dyDescent="0.4">
      <c r="A4900" t="s">
        <v>68</v>
      </c>
      <c r="B4900" s="1">
        <v>45017</v>
      </c>
      <c r="C4900">
        <v>870899</v>
      </c>
      <c r="D4900" t="s">
        <v>176</v>
      </c>
      <c r="E4900">
        <v>3073062</v>
      </c>
      <c r="F4900">
        <v>515751</v>
      </c>
      <c r="G4900">
        <v>51626</v>
      </c>
      <c r="H4900">
        <f>_xlfn.XLOOKUP(FACT_IMPORTS[[#This Row],[hts_6]],DIM_PRODUCTS[hts_6],DIM_PRODUCTS[hts_4],,,)</f>
        <v>8708</v>
      </c>
      <c r="I4900" t="str" cm="1">
        <f t="array" ref="I4900">_xlfn.XLOOKUP(FACT_IMPORTS[[#This Row],[country_name]],DIM_COUNTRY[[#All],[Column2]],DIM_COUNTRY[[#All],[Column3]],,,)</f>
        <v>Major_Non-USMCA_Non-China</v>
      </c>
    </row>
    <row r="4901" spans="1:9" x14ac:dyDescent="0.4">
      <c r="A4901" t="s">
        <v>68</v>
      </c>
      <c r="B4901" s="1">
        <v>45017</v>
      </c>
      <c r="C4901">
        <v>940120</v>
      </c>
      <c r="D4901" t="s">
        <v>176</v>
      </c>
      <c r="E4901">
        <v>152185</v>
      </c>
      <c r="F4901">
        <v>82</v>
      </c>
      <c r="G4901">
        <v>3361</v>
      </c>
      <c r="H4901">
        <f>_xlfn.XLOOKUP(FACT_IMPORTS[[#This Row],[hts_6]],DIM_PRODUCTS[hts_6],DIM_PRODUCTS[hts_4],,,)</f>
        <v>9401</v>
      </c>
      <c r="I4901" t="str" cm="1">
        <f t="array" ref="I4901">_xlfn.XLOOKUP(FACT_IMPORTS[[#This Row],[country_name]],DIM_COUNTRY[[#All],[Column2]],DIM_COUNTRY[[#All],[Column3]],,,)</f>
        <v>Major_Non-USMCA_Non-China</v>
      </c>
    </row>
    <row r="4902" spans="1:9" x14ac:dyDescent="0.4">
      <c r="A4902" t="s">
        <v>68</v>
      </c>
      <c r="B4902" s="1">
        <v>45047</v>
      </c>
      <c r="C4902">
        <v>392630</v>
      </c>
      <c r="D4902" t="s">
        <v>176</v>
      </c>
      <c r="E4902">
        <v>209932</v>
      </c>
      <c r="F4902">
        <v>6613</v>
      </c>
      <c r="G4902">
        <v>8862</v>
      </c>
      <c r="H4902">
        <f>_xlfn.XLOOKUP(FACT_IMPORTS[[#This Row],[hts_6]],DIM_PRODUCTS[hts_6],DIM_PRODUCTS[hts_4],,,)</f>
        <v>3926</v>
      </c>
      <c r="I4902" t="str" cm="1">
        <f t="array" ref="I4902">_xlfn.XLOOKUP(FACT_IMPORTS[[#This Row],[country_name]],DIM_COUNTRY[[#All],[Column2]],DIM_COUNTRY[[#All],[Column3]],,,)</f>
        <v>Major_Non-USMCA_Non-China</v>
      </c>
    </row>
    <row r="4903" spans="1:9" x14ac:dyDescent="0.4">
      <c r="A4903" t="s">
        <v>68</v>
      </c>
      <c r="B4903" s="1">
        <v>45047</v>
      </c>
      <c r="C4903">
        <v>401110</v>
      </c>
      <c r="D4903" t="s">
        <v>176</v>
      </c>
      <c r="E4903">
        <v>365</v>
      </c>
      <c r="F4903">
        <v>4</v>
      </c>
      <c r="G4903">
        <v>100</v>
      </c>
      <c r="H4903">
        <f>_xlfn.XLOOKUP(FACT_IMPORTS[[#This Row],[hts_6]],DIM_PRODUCTS[hts_6],DIM_PRODUCTS[hts_4],,,)</f>
        <v>4011</v>
      </c>
      <c r="I4903" t="str" cm="1">
        <f t="array" ref="I4903">_xlfn.XLOOKUP(FACT_IMPORTS[[#This Row],[country_name]],DIM_COUNTRY[[#All],[Column2]],DIM_COUNTRY[[#All],[Column3]],,,)</f>
        <v>Major_Non-USMCA_Non-China</v>
      </c>
    </row>
    <row r="4904" spans="1:9" x14ac:dyDescent="0.4">
      <c r="A4904" t="s">
        <v>68</v>
      </c>
      <c r="B4904" s="1">
        <v>45047</v>
      </c>
      <c r="C4904">
        <v>401120</v>
      </c>
      <c r="D4904" t="s">
        <v>176</v>
      </c>
      <c r="E4904">
        <v>0</v>
      </c>
      <c r="F4904">
        <v>0</v>
      </c>
      <c r="G4904">
        <v>0</v>
      </c>
      <c r="H4904">
        <f>_xlfn.XLOOKUP(FACT_IMPORTS[[#This Row],[hts_6]],DIM_PRODUCTS[hts_6],DIM_PRODUCTS[hts_4],,,)</f>
        <v>4011</v>
      </c>
      <c r="I4904" t="str" cm="1">
        <f t="array" ref="I4904">_xlfn.XLOOKUP(FACT_IMPORTS[[#This Row],[country_name]],DIM_COUNTRY[[#All],[Column2]],DIM_COUNTRY[[#All],[Column3]],,,)</f>
        <v>Major_Non-USMCA_Non-China</v>
      </c>
    </row>
    <row r="4905" spans="1:9" x14ac:dyDescent="0.4">
      <c r="A4905" t="s">
        <v>68</v>
      </c>
      <c r="B4905" s="1">
        <v>45047</v>
      </c>
      <c r="C4905">
        <v>401140</v>
      </c>
      <c r="D4905" t="s">
        <v>176</v>
      </c>
      <c r="E4905">
        <v>0</v>
      </c>
      <c r="F4905">
        <v>0</v>
      </c>
      <c r="G4905">
        <v>0</v>
      </c>
      <c r="H4905">
        <f>_xlfn.XLOOKUP(FACT_IMPORTS[[#This Row],[hts_6]],DIM_PRODUCTS[hts_6],DIM_PRODUCTS[hts_4],,,)</f>
        <v>4011</v>
      </c>
      <c r="I4905" t="str" cm="1">
        <f t="array" ref="I4905">_xlfn.XLOOKUP(FACT_IMPORTS[[#This Row],[country_name]],DIM_COUNTRY[[#All],[Column2]],DIM_COUNTRY[[#All],[Column3]],,,)</f>
        <v>Major_Non-USMCA_Non-China</v>
      </c>
    </row>
    <row r="4906" spans="1:9" x14ac:dyDescent="0.4">
      <c r="A4906" t="s">
        <v>68</v>
      </c>
      <c r="B4906" s="1">
        <v>45047</v>
      </c>
      <c r="C4906">
        <v>401190</v>
      </c>
      <c r="D4906" t="s">
        <v>176</v>
      </c>
      <c r="E4906">
        <v>65980</v>
      </c>
      <c r="F4906">
        <v>2256</v>
      </c>
      <c r="G4906">
        <v>6000</v>
      </c>
      <c r="H4906">
        <f>_xlfn.XLOOKUP(FACT_IMPORTS[[#This Row],[hts_6]],DIM_PRODUCTS[hts_6],DIM_PRODUCTS[hts_4],,,)</f>
        <v>4011</v>
      </c>
      <c r="I4906" t="str" cm="1">
        <f t="array" ref="I4906">_xlfn.XLOOKUP(FACT_IMPORTS[[#This Row],[country_name]],DIM_COUNTRY[[#All],[Column2]],DIM_COUNTRY[[#All],[Column3]],,,)</f>
        <v>Major_Non-USMCA_Non-China</v>
      </c>
    </row>
    <row r="4907" spans="1:9" x14ac:dyDescent="0.4">
      <c r="A4907" t="s">
        <v>68</v>
      </c>
      <c r="B4907" s="1">
        <v>45047</v>
      </c>
      <c r="C4907">
        <v>700711</v>
      </c>
      <c r="D4907" t="s">
        <v>176</v>
      </c>
      <c r="E4907">
        <v>0</v>
      </c>
      <c r="F4907">
        <v>0</v>
      </c>
      <c r="G4907">
        <v>0</v>
      </c>
      <c r="H4907">
        <f>_xlfn.XLOOKUP(FACT_IMPORTS[[#This Row],[hts_6]],DIM_PRODUCTS[hts_6],DIM_PRODUCTS[hts_4],,,)</f>
        <v>7007</v>
      </c>
      <c r="I4907" t="str" cm="1">
        <f t="array" ref="I4907">_xlfn.XLOOKUP(FACT_IMPORTS[[#This Row],[country_name]],DIM_COUNTRY[[#All],[Column2]],DIM_COUNTRY[[#All],[Column3]],,,)</f>
        <v>Major_Non-USMCA_Non-China</v>
      </c>
    </row>
    <row r="4908" spans="1:9" x14ac:dyDescent="0.4">
      <c r="A4908" t="s">
        <v>68</v>
      </c>
      <c r="B4908" s="1">
        <v>45047</v>
      </c>
      <c r="C4908">
        <v>700721</v>
      </c>
      <c r="D4908" t="s">
        <v>176</v>
      </c>
      <c r="E4908">
        <v>0</v>
      </c>
      <c r="F4908">
        <v>0</v>
      </c>
      <c r="G4908">
        <v>0</v>
      </c>
      <c r="H4908">
        <f>_xlfn.XLOOKUP(FACT_IMPORTS[[#This Row],[hts_6]],DIM_PRODUCTS[hts_6],DIM_PRODUCTS[hts_4],,,)</f>
        <v>7007</v>
      </c>
      <c r="I4908" t="str" cm="1">
        <f t="array" ref="I4908">_xlfn.XLOOKUP(FACT_IMPORTS[[#This Row],[country_name]],DIM_COUNTRY[[#All],[Column2]],DIM_COUNTRY[[#All],[Column3]],,,)</f>
        <v>Major_Non-USMCA_Non-China</v>
      </c>
    </row>
    <row r="4909" spans="1:9" x14ac:dyDescent="0.4">
      <c r="A4909" t="s">
        <v>68</v>
      </c>
      <c r="B4909" s="1">
        <v>45047</v>
      </c>
      <c r="C4909">
        <v>732010</v>
      </c>
      <c r="D4909" t="s">
        <v>176</v>
      </c>
      <c r="E4909">
        <v>0</v>
      </c>
      <c r="F4909">
        <v>0</v>
      </c>
      <c r="G4909">
        <v>0</v>
      </c>
      <c r="H4909">
        <f>_xlfn.XLOOKUP(FACT_IMPORTS[[#This Row],[hts_6]],DIM_PRODUCTS[hts_6],DIM_PRODUCTS[hts_4],,,)</f>
        <v>7320</v>
      </c>
      <c r="I4909" t="str" cm="1">
        <f t="array" ref="I4909">_xlfn.XLOOKUP(FACT_IMPORTS[[#This Row],[country_name]],DIM_COUNTRY[[#All],[Column2]],DIM_COUNTRY[[#All],[Column3]],,,)</f>
        <v>Major_Non-USMCA_Non-China</v>
      </c>
    </row>
    <row r="4910" spans="1:9" x14ac:dyDescent="0.4">
      <c r="A4910" t="s">
        <v>68</v>
      </c>
      <c r="B4910" s="1">
        <v>45047</v>
      </c>
      <c r="C4910">
        <v>830230</v>
      </c>
      <c r="D4910" t="s">
        <v>176</v>
      </c>
      <c r="E4910">
        <v>185111</v>
      </c>
      <c r="F4910">
        <v>39911</v>
      </c>
      <c r="G4910">
        <v>10269</v>
      </c>
      <c r="H4910">
        <f>_xlfn.XLOOKUP(FACT_IMPORTS[[#This Row],[hts_6]],DIM_PRODUCTS[hts_6],DIM_PRODUCTS[hts_4],,,)</f>
        <v>8302</v>
      </c>
      <c r="I4910" t="str" cm="1">
        <f t="array" ref="I4910">_xlfn.XLOOKUP(FACT_IMPORTS[[#This Row],[country_name]],DIM_COUNTRY[[#All],[Column2]],DIM_COUNTRY[[#All],[Column3]],,,)</f>
        <v>Major_Non-USMCA_Non-China</v>
      </c>
    </row>
    <row r="4911" spans="1:9" x14ac:dyDescent="0.4">
      <c r="A4911" t="s">
        <v>68</v>
      </c>
      <c r="B4911" s="1">
        <v>45047</v>
      </c>
      <c r="C4911">
        <v>840731</v>
      </c>
      <c r="D4911" t="s">
        <v>176</v>
      </c>
      <c r="E4911">
        <v>0</v>
      </c>
      <c r="F4911">
        <v>0</v>
      </c>
      <c r="G4911">
        <v>0</v>
      </c>
      <c r="H4911">
        <f>_xlfn.XLOOKUP(FACT_IMPORTS[[#This Row],[hts_6]],DIM_PRODUCTS[hts_6],DIM_PRODUCTS[hts_4],,,)</f>
        <v>8407</v>
      </c>
      <c r="I4911" t="str" cm="1">
        <f t="array" ref="I4911">_xlfn.XLOOKUP(FACT_IMPORTS[[#This Row],[country_name]],DIM_COUNTRY[[#All],[Column2]],DIM_COUNTRY[[#All],[Column3]],,,)</f>
        <v>Major_Non-USMCA_Non-China</v>
      </c>
    </row>
    <row r="4912" spans="1:9" x14ac:dyDescent="0.4">
      <c r="A4912" t="s">
        <v>68</v>
      </c>
      <c r="B4912" s="1">
        <v>45047</v>
      </c>
      <c r="C4912">
        <v>840733</v>
      </c>
      <c r="D4912" t="s">
        <v>176</v>
      </c>
      <c r="E4912">
        <v>0</v>
      </c>
      <c r="F4912">
        <v>0</v>
      </c>
      <c r="G4912">
        <v>0</v>
      </c>
      <c r="H4912">
        <f>_xlfn.XLOOKUP(FACT_IMPORTS[[#This Row],[hts_6]],DIM_PRODUCTS[hts_6],DIM_PRODUCTS[hts_4],,,)</f>
        <v>8407</v>
      </c>
      <c r="I4912" t="str" cm="1">
        <f t="array" ref="I4912">_xlfn.XLOOKUP(FACT_IMPORTS[[#This Row],[country_name]],DIM_COUNTRY[[#All],[Column2]],DIM_COUNTRY[[#All],[Column3]],,,)</f>
        <v>Major_Non-USMCA_Non-China</v>
      </c>
    </row>
    <row r="4913" spans="1:9" x14ac:dyDescent="0.4">
      <c r="A4913" t="s">
        <v>68</v>
      </c>
      <c r="B4913" s="1">
        <v>45047</v>
      </c>
      <c r="C4913">
        <v>840734</v>
      </c>
      <c r="D4913" t="s">
        <v>176</v>
      </c>
      <c r="E4913">
        <v>0</v>
      </c>
      <c r="F4913">
        <v>0</v>
      </c>
      <c r="G4913">
        <v>0</v>
      </c>
      <c r="H4913">
        <f>_xlfn.XLOOKUP(FACT_IMPORTS[[#This Row],[hts_6]],DIM_PRODUCTS[hts_6],DIM_PRODUCTS[hts_4],,,)</f>
        <v>8407</v>
      </c>
      <c r="I4913" t="str" cm="1">
        <f t="array" ref="I4913">_xlfn.XLOOKUP(FACT_IMPORTS[[#This Row],[country_name]],DIM_COUNTRY[[#All],[Column2]],DIM_COUNTRY[[#All],[Column3]],,,)</f>
        <v>Major_Non-USMCA_Non-China</v>
      </c>
    </row>
    <row r="4914" spans="1:9" x14ac:dyDescent="0.4">
      <c r="A4914" t="s">
        <v>68</v>
      </c>
      <c r="B4914" s="1">
        <v>45047</v>
      </c>
      <c r="C4914">
        <v>840790</v>
      </c>
      <c r="D4914" t="s">
        <v>176</v>
      </c>
      <c r="E4914">
        <v>0</v>
      </c>
      <c r="F4914">
        <v>0</v>
      </c>
      <c r="G4914">
        <v>0</v>
      </c>
      <c r="H4914">
        <f>_xlfn.XLOOKUP(FACT_IMPORTS[[#This Row],[hts_6]],DIM_PRODUCTS[hts_6],DIM_PRODUCTS[hts_4],,,)</f>
        <v>8407</v>
      </c>
      <c r="I4914" t="str" cm="1">
        <f t="array" ref="I4914">_xlfn.XLOOKUP(FACT_IMPORTS[[#This Row],[country_name]],DIM_COUNTRY[[#All],[Column2]],DIM_COUNTRY[[#All],[Column3]],,,)</f>
        <v>Major_Non-USMCA_Non-China</v>
      </c>
    </row>
    <row r="4915" spans="1:9" x14ac:dyDescent="0.4">
      <c r="A4915" t="s">
        <v>68</v>
      </c>
      <c r="B4915" s="1">
        <v>45047</v>
      </c>
      <c r="C4915">
        <v>840820</v>
      </c>
      <c r="D4915" t="s">
        <v>176</v>
      </c>
      <c r="E4915">
        <v>104352</v>
      </c>
      <c r="F4915">
        <v>3</v>
      </c>
      <c r="G4915">
        <v>17501</v>
      </c>
      <c r="H4915">
        <f>_xlfn.XLOOKUP(FACT_IMPORTS[[#This Row],[hts_6]],DIM_PRODUCTS[hts_6],DIM_PRODUCTS[hts_4],,,)</f>
        <v>8408</v>
      </c>
      <c r="I4915" t="str" cm="1">
        <f t="array" ref="I4915">_xlfn.XLOOKUP(FACT_IMPORTS[[#This Row],[country_name]],DIM_COUNTRY[[#All],[Column2]],DIM_COUNTRY[[#All],[Column3]],,,)</f>
        <v>Major_Non-USMCA_Non-China</v>
      </c>
    </row>
    <row r="4916" spans="1:9" x14ac:dyDescent="0.4">
      <c r="A4916" t="s">
        <v>68</v>
      </c>
      <c r="B4916" s="1">
        <v>45047</v>
      </c>
      <c r="C4916">
        <v>840890</v>
      </c>
      <c r="D4916" t="s">
        <v>176</v>
      </c>
      <c r="E4916">
        <v>5210</v>
      </c>
      <c r="F4916">
        <v>1</v>
      </c>
      <c r="G4916">
        <v>50</v>
      </c>
      <c r="H4916">
        <f>_xlfn.XLOOKUP(FACT_IMPORTS[[#This Row],[hts_6]],DIM_PRODUCTS[hts_6],DIM_PRODUCTS[hts_4],,,)</f>
        <v>8408</v>
      </c>
      <c r="I4916" t="str" cm="1">
        <f t="array" ref="I4916">_xlfn.XLOOKUP(FACT_IMPORTS[[#This Row],[country_name]],DIM_COUNTRY[[#All],[Column2]],DIM_COUNTRY[[#All],[Column3]],,,)</f>
        <v>Major_Non-USMCA_Non-China</v>
      </c>
    </row>
    <row r="4917" spans="1:9" x14ac:dyDescent="0.4">
      <c r="A4917" t="s">
        <v>68</v>
      </c>
      <c r="B4917" s="1">
        <v>45047</v>
      </c>
      <c r="C4917">
        <v>840991</v>
      </c>
      <c r="D4917" t="s">
        <v>176</v>
      </c>
      <c r="E4917">
        <v>489144</v>
      </c>
      <c r="F4917">
        <v>95949</v>
      </c>
      <c r="G4917">
        <v>24495</v>
      </c>
      <c r="H4917">
        <f>_xlfn.XLOOKUP(FACT_IMPORTS[[#This Row],[hts_6]],DIM_PRODUCTS[hts_6],DIM_PRODUCTS[hts_4],,,)</f>
        <v>8409</v>
      </c>
      <c r="I4917" t="str" cm="1">
        <f t="array" ref="I4917">_xlfn.XLOOKUP(FACT_IMPORTS[[#This Row],[country_name]],DIM_COUNTRY[[#All],[Column2]],DIM_COUNTRY[[#All],[Column3]],,,)</f>
        <v>Major_Non-USMCA_Non-China</v>
      </c>
    </row>
    <row r="4918" spans="1:9" x14ac:dyDescent="0.4">
      <c r="A4918" t="s">
        <v>68</v>
      </c>
      <c r="B4918" s="1">
        <v>45047</v>
      </c>
      <c r="C4918">
        <v>840999</v>
      </c>
      <c r="D4918" t="s">
        <v>176</v>
      </c>
      <c r="E4918">
        <v>21027981</v>
      </c>
      <c r="F4918">
        <v>3173613</v>
      </c>
      <c r="G4918">
        <v>460320</v>
      </c>
      <c r="H4918">
        <f>_xlfn.XLOOKUP(FACT_IMPORTS[[#This Row],[hts_6]],DIM_PRODUCTS[hts_6],DIM_PRODUCTS[hts_4],,,)</f>
        <v>8409</v>
      </c>
      <c r="I4918" t="str" cm="1">
        <f t="array" ref="I4918">_xlfn.XLOOKUP(FACT_IMPORTS[[#This Row],[country_name]],DIM_COUNTRY[[#All],[Column2]],DIM_COUNTRY[[#All],[Column3]],,,)</f>
        <v>Major_Non-USMCA_Non-China</v>
      </c>
    </row>
    <row r="4919" spans="1:9" x14ac:dyDescent="0.4">
      <c r="A4919" t="s">
        <v>68</v>
      </c>
      <c r="B4919" s="1">
        <v>45047</v>
      </c>
      <c r="C4919">
        <v>841330</v>
      </c>
      <c r="D4919" t="s">
        <v>176</v>
      </c>
      <c r="E4919">
        <v>3843584</v>
      </c>
      <c r="F4919">
        <v>33811</v>
      </c>
      <c r="G4919">
        <v>18809</v>
      </c>
      <c r="H4919">
        <f>_xlfn.XLOOKUP(FACT_IMPORTS[[#This Row],[hts_6]],DIM_PRODUCTS[hts_6],DIM_PRODUCTS[hts_4],,,)</f>
        <v>8413</v>
      </c>
      <c r="I4919" t="str" cm="1">
        <f t="array" ref="I4919">_xlfn.XLOOKUP(FACT_IMPORTS[[#This Row],[country_name]],DIM_COUNTRY[[#All],[Column2]],DIM_COUNTRY[[#All],[Column3]],,,)</f>
        <v>Major_Non-USMCA_Non-China</v>
      </c>
    </row>
    <row r="4920" spans="1:9" x14ac:dyDescent="0.4">
      <c r="A4920" t="s">
        <v>68</v>
      </c>
      <c r="B4920" s="1">
        <v>45047</v>
      </c>
      <c r="C4920">
        <v>841520</v>
      </c>
      <c r="D4920" t="s">
        <v>176</v>
      </c>
      <c r="E4920">
        <v>0</v>
      </c>
      <c r="F4920">
        <v>0</v>
      </c>
      <c r="G4920">
        <v>0</v>
      </c>
      <c r="H4920">
        <f>_xlfn.XLOOKUP(FACT_IMPORTS[[#This Row],[hts_6]],DIM_PRODUCTS[hts_6],DIM_PRODUCTS[hts_4],,,)</f>
        <v>8415</v>
      </c>
      <c r="I4920" t="str" cm="1">
        <f t="array" ref="I4920">_xlfn.XLOOKUP(FACT_IMPORTS[[#This Row],[country_name]],DIM_COUNTRY[[#All],[Column2]],DIM_COUNTRY[[#All],[Column3]],,,)</f>
        <v>Major_Non-USMCA_Non-China</v>
      </c>
    </row>
    <row r="4921" spans="1:9" x14ac:dyDescent="0.4">
      <c r="A4921" t="s">
        <v>68</v>
      </c>
      <c r="B4921" s="1">
        <v>45047</v>
      </c>
      <c r="C4921">
        <v>842132</v>
      </c>
      <c r="D4921" t="s">
        <v>176</v>
      </c>
      <c r="E4921">
        <v>81101</v>
      </c>
      <c r="F4921">
        <v>147</v>
      </c>
      <c r="G4921">
        <v>100</v>
      </c>
      <c r="H4921">
        <f>_xlfn.XLOOKUP(FACT_IMPORTS[[#This Row],[hts_6]],DIM_PRODUCTS[hts_6],DIM_PRODUCTS[hts_4],,,)</f>
        <v>8421</v>
      </c>
      <c r="I4921" t="str" cm="1">
        <f t="array" ref="I4921">_xlfn.XLOOKUP(FACT_IMPORTS[[#This Row],[country_name]],DIM_COUNTRY[[#All],[Column2]],DIM_COUNTRY[[#All],[Column3]],,,)</f>
        <v>Major_Non-USMCA_Non-China</v>
      </c>
    </row>
    <row r="4922" spans="1:9" x14ac:dyDescent="0.4">
      <c r="A4922" t="s">
        <v>68</v>
      </c>
      <c r="B4922" s="1">
        <v>45047</v>
      </c>
      <c r="C4922">
        <v>848210</v>
      </c>
      <c r="D4922" t="s">
        <v>176</v>
      </c>
      <c r="E4922">
        <v>63644</v>
      </c>
      <c r="F4922">
        <v>238</v>
      </c>
      <c r="G4922">
        <v>1159</v>
      </c>
      <c r="H4922">
        <f>_xlfn.XLOOKUP(FACT_IMPORTS[[#This Row],[hts_6]],DIM_PRODUCTS[hts_6],DIM_PRODUCTS[hts_4],,,)</f>
        <v>8482</v>
      </c>
      <c r="I4922" t="str" cm="1">
        <f t="array" ref="I4922">_xlfn.XLOOKUP(FACT_IMPORTS[[#This Row],[country_name]],DIM_COUNTRY[[#All],[Column2]],DIM_COUNTRY[[#All],[Column3]],,,)</f>
        <v>Major_Non-USMCA_Non-China</v>
      </c>
    </row>
    <row r="4923" spans="1:9" x14ac:dyDescent="0.4">
      <c r="A4923" t="s">
        <v>68</v>
      </c>
      <c r="B4923" s="1">
        <v>45047</v>
      </c>
      <c r="C4923">
        <v>848220</v>
      </c>
      <c r="D4923" t="s">
        <v>176</v>
      </c>
      <c r="E4923">
        <v>263587</v>
      </c>
      <c r="F4923">
        <v>17308</v>
      </c>
      <c r="G4923">
        <v>3438</v>
      </c>
      <c r="H4923">
        <f>_xlfn.XLOOKUP(FACT_IMPORTS[[#This Row],[hts_6]],DIM_PRODUCTS[hts_6],DIM_PRODUCTS[hts_4],,,)</f>
        <v>8482</v>
      </c>
      <c r="I4923" t="str" cm="1">
        <f t="array" ref="I4923">_xlfn.XLOOKUP(FACT_IMPORTS[[#This Row],[country_name]],DIM_COUNTRY[[#All],[Column2]],DIM_COUNTRY[[#All],[Column3]],,,)</f>
        <v>Major_Non-USMCA_Non-China</v>
      </c>
    </row>
    <row r="4924" spans="1:9" x14ac:dyDescent="0.4">
      <c r="A4924" t="s">
        <v>68</v>
      </c>
      <c r="B4924" s="1">
        <v>45047</v>
      </c>
      <c r="C4924">
        <v>848310</v>
      </c>
      <c r="D4924" t="s">
        <v>176</v>
      </c>
      <c r="E4924">
        <v>3511562</v>
      </c>
      <c r="F4924">
        <v>25546</v>
      </c>
      <c r="G4924">
        <v>30005</v>
      </c>
      <c r="H4924">
        <f>_xlfn.XLOOKUP(FACT_IMPORTS[[#This Row],[hts_6]],DIM_PRODUCTS[hts_6],DIM_PRODUCTS[hts_4],,,)</f>
        <v>8483</v>
      </c>
      <c r="I4924" t="str" cm="1">
        <f t="array" ref="I4924">_xlfn.XLOOKUP(FACT_IMPORTS[[#This Row],[country_name]],DIM_COUNTRY[[#All],[Column2]],DIM_COUNTRY[[#All],[Column3]],,,)</f>
        <v>Major_Non-USMCA_Non-China</v>
      </c>
    </row>
    <row r="4925" spans="1:9" x14ac:dyDescent="0.4">
      <c r="A4925" t="s">
        <v>68</v>
      </c>
      <c r="B4925" s="1">
        <v>45047</v>
      </c>
      <c r="C4925">
        <v>850131</v>
      </c>
      <c r="D4925" t="s">
        <v>176</v>
      </c>
      <c r="E4925">
        <v>251236</v>
      </c>
      <c r="F4925">
        <v>2450</v>
      </c>
      <c r="G4925">
        <v>1286</v>
      </c>
      <c r="H4925">
        <f>_xlfn.XLOOKUP(FACT_IMPORTS[[#This Row],[hts_6]],DIM_PRODUCTS[hts_6],DIM_PRODUCTS[hts_4],,,)</f>
        <v>8501</v>
      </c>
      <c r="I4925" t="str" cm="1">
        <f t="array" ref="I4925">_xlfn.XLOOKUP(FACT_IMPORTS[[#This Row],[country_name]],DIM_COUNTRY[[#All],[Column2]],DIM_COUNTRY[[#All],[Column3]],,,)</f>
        <v>Major_Non-USMCA_Non-China</v>
      </c>
    </row>
    <row r="4926" spans="1:9" x14ac:dyDescent="0.4">
      <c r="A4926" t="s">
        <v>68</v>
      </c>
      <c r="B4926" s="1">
        <v>45047</v>
      </c>
      <c r="C4926">
        <v>850132</v>
      </c>
      <c r="D4926" t="s">
        <v>176</v>
      </c>
      <c r="E4926">
        <v>1049334</v>
      </c>
      <c r="F4926">
        <v>518</v>
      </c>
      <c r="G4926">
        <v>1482</v>
      </c>
      <c r="H4926">
        <f>_xlfn.XLOOKUP(FACT_IMPORTS[[#This Row],[hts_6]],DIM_PRODUCTS[hts_6],DIM_PRODUCTS[hts_4],,,)</f>
        <v>8501</v>
      </c>
      <c r="I4926" t="str" cm="1">
        <f t="array" ref="I4926">_xlfn.XLOOKUP(FACT_IMPORTS[[#This Row],[country_name]],DIM_COUNTRY[[#All],[Column2]],DIM_COUNTRY[[#All],[Column3]],,,)</f>
        <v>Major_Non-USMCA_Non-China</v>
      </c>
    </row>
    <row r="4927" spans="1:9" x14ac:dyDescent="0.4">
      <c r="A4927" t="s">
        <v>68</v>
      </c>
      <c r="B4927" s="1">
        <v>45047</v>
      </c>
      <c r="C4927">
        <v>850133</v>
      </c>
      <c r="D4927" t="s">
        <v>176</v>
      </c>
      <c r="E4927">
        <v>212240</v>
      </c>
      <c r="F4927">
        <v>2</v>
      </c>
      <c r="G4927">
        <v>11522</v>
      </c>
      <c r="H4927">
        <f>_xlfn.XLOOKUP(FACT_IMPORTS[[#This Row],[hts_6]],DIM_PRODUCTS[hts_6],DIM_PRODUCTS[hts_4],,,)</f>
        <v>8501</v>
      </c>
      <c r="I4927" t="str" cm="1">
        <f t="array" ref="I4927">_xlfn.XLOOKUP(FACT_IMPORTS[[#This Row],[country_name]],DIM_COUNTRY[[#All],[Column2]],DIM_COUNTRY[[#All],[Column3]],,,)</f>
        <v>Major_Non-USMCA_Non-China</v>
      </c>
    </row>
    <row r="4928" spans="1:9" x14ac:dyDescent="0.4">
      <c r="A4928" t="s">
        <v>68</v>
      </c>
      <c r="B4928" s="1">
        <v>45047</v>
      </c>
      <c r="C4928">
        <v>850134</v>
      </c>
      <c r="D4928" t="s">
        <v>176</v>
      </c>
      <c r="E4928">
        <v>0</v>
      </c>
      <c r="F4928">
        <v>0</v>
      </c>
      <c r="G4928">
        <v>0</v>
      </c>
      <c r="H4928">
        <f>_xlfn.XLOOKUP(FACT_IMPORTS[[#This Row],[hts_6]],DIM_PRODUCTS[hts_6],DIM_PRODUCTS[hts_4],,,)</f>
        <v>8501</v>
      </c>
      <c r="I4928" t="str" cm="1">
        <f t="array" ref="I4928">_xlfn.XLOOKUP(FACT_IMPORTS[[#This Row],[country_name]],DIM_COUNTRY[[#All],[Column2]],DIM_COUNTRY[[#All],[Column3]],,,)</f>
        <v>Major_Non-USMCA_Non-China</v>
      </c>
    </row>
    <row r="4929" spans="1:9" x14ac:dyDescent="0.4">
      <c r="A4929" t="s">
        <v>68</v>
      </c>
      <c r="B4929" s="1">
        <v>45047</v>
      </c>
      <c r="C4929">
        <v>850152</v>
      </c>
      <c r="D4929" t="s">
        <v>176</v>
      </c>
      <c r="E4929">
        <v>693389</v>
      </c>
      <c r="F4929">
        <v>359</v>
      </c>
      <c r="G4929">
        <v>19440</v>
      </c>
      <c r="H4929">
        <f>_xlfn.XLOOKUP(FACT_IMPORTS[[#This Row],[hts_6]],DIM_PRODUCTS[hts_6],DIM_PRODUCTS[hts_4],,,)</f>
        <v>8501</v>
      </c>
      <c r="I4929" t="str" cm="1">
        <f t="array" ref="I4929">_xlfn.XLOOKUP(FACT_IMPORTS[[#This Row],[country_name]],DIM_COUNTRY[[#All],[Column2]],DIM_COUNTRY[[#All],[Column3]],,,)</f>
        <v>Major_Non-USMCA_Non-China</v>
      </c>
    </row>
    <row r="4930" spans="1:9" x14ac:dyDescent="0.4">
      <c r="A4930" t="s">
        <v>68</v>
      </c>
      <c r="B4930" s="1">
        <v>45047</v>
      </c>
      <c r="C4930">
        <v>850153</v>
      </c>
      <c r="D4930" t="s">
        <v>176</v>
      </c>
      <c r="E4930">
        <v>126177</v>
      </c>
      <c r="F4930">
        <v>8</v>
      </c>
      <c r="G4930">
        <v>4064</v>
      </c>
      <c r="H4930">
        <f>_xlfn.XLOOKUP(FACT_IMPORTS[[#This Row],[hts_6]],DIM_PRODUCTS[hts_6],DIM_PRODUCTS[hts_4],,,)</f>
        <v>8501</v>
      </c>
      <c r="I4930" t="str" cm="1">
        <f t="array" ref="I4930">_xlfn.XLOOKUP(FACT_IMPORTS[[#This Row],[country_name]],DIM_COUNTRY[[#All],[Column2]],DIM_COUNTRY[[#All],[Column3]],,,)</f>
        <v>Major_Non-USMCA_Non-China</v>
      </c>
    </row>
    <row r="4931" spans="1:9" x14ac:dyDescent="0.4">
      <c r="A4931" t="s">
        <v>68</v>
      </c>
      <c r="B4931" s="1">
        <v>45047</v>
      </c>
      <c r="C4931">
        <v>850161</v>
      </c>
      <c r="D4931" t="s">
        <v>176</v>
      </c>
      <c r="E4931">
        <v>0</v>
      </c>
      <c r="F4931">
        <v>0</v>
      </c>
      <c r="G4931">
        <v>0</v>
      </c>
      <c r="H4931">
        <f>_xlfn.XLOOKUP(FACT_IMPORTS[[#This Row],[hts_6]],DIM_PRODUCTS[hts_6],DIM_PRODUCTS[hts_4],,,)</f>
        <v>8501</v>
      </c>
      <c r="I4931" t="str" cm="1">
        <f t="array" ref="I4931">_xlfn.XLOOKUP(FACT_IMPORTS[[#This Row],[country_name]],DIM_COUNTRY[[#All],[Column2]],DIM_COUNTRY[[#All],[Column3]],,,)</f>
        <v>Major_Non-USMCA_Non-China</v>
      </c>
    </row>
    <row r="4932" spans="1:9" x14ac:dyDescent="0.4">
      <c r="A4932" t="s">
        <v>68</v>
      </c>
      <c r="B4932" s="1">
        <v>45047</v>
      </c>
      <c r="C4932">
        <v>850440</v>
      </c>
      <c r="D4932" t="s">
        <v>176</v>
      </c>
      <c r="E4932">
        <v>571179</v>
      </c>
      <c r="F4932">
        <v>222</v>
      </c>
      <c r="G4932">
        <v>10418</v>
      </c>
      <c r="H4932">
        <f>_xlfn.XLOOKUP(FACT_IMPORTS[[#This Row],[hts_6]],DIM_PRODUCTS[hts_6],DIM_PRODUCTS[hts_4],,,)</f>
        <v>8504</v>
      </c>
      <c r="I4932" t="str" cm="1">
        <f t="array" ref="I4932">_xlfn.XLOOKUP(FACT_IMPORTS[[#This Row],[country_name]],DIM_COUNTRY[[#All],[Column2]],DIM_COUNTRY[[#All],[Column3]],,,)</f>
        <v>Major_Non-USMCA_Non-China</v>
      </c>
    </row>
    <row r="4933" spans="1:9" x14ac:dyDescent="0.4">
      <c r="A4933" t="s">
        <v>68</v>
      </c>
      <c r="B4933" s="1">
        <v>45047</v>
      </c>
      <c r="C4933">
        <v>850710</v>
      </c>
      <c r="D4933" t="s">
        <v>176</v>
      </c>
      <c r="E4933">
        <v>0</v>
      </c>
      <c r="F4933">
        <v>0</v>
      </c>
      <c r="G4933">
        <v>0</v>
      </c>
      <c r="H4933">
        <f>_xlfn.XLOOKUP(FACT_IMPORTS[[#This Row],[hts_6]],DIM_PRODUCTS[hts_6],DIM_PRODUCTS[hts_4],,,)</f>
        <v>8507</v>
      </c>
      <c r="I4933" t="str" cm="1">
        <f t="array" ref="I4933">_xlfn.XLOOKUP(FACT_IMPORTS[[#This Row],[country_name]],DIM_COUNTRY[[#All],[Column2]],DIM_COUNTRY[[#All],[Column3]],,,)</f>
        <v>Major_Non-USMCA_Non-China</v>
      </c>
    </row>
    <row r="4934" spans="1:9" x14ac:dyDescent="0.4">
      <c r="A4934" t="s">
        <v>68</v>
      </c>
      <c r="B4934" s="1">
        <v>45047</v>
      </c>
      <c r="C4934">
        <v>850760</v>
      </c>
      <c r="D4934" t="s">
        <v>176</v>
      </c>
      <c r="E4934">
        <v>824114</v>
      </c>
      <c r="F4934">
        <v>194</v>
      </c>
      <c r="G4934">
        <v>3865</v>
      </c>
      <c r="H4934">
        <f>_xlfn.XLOOKUP(FACT_IMPORTS[[#This Row],[hts_6]],DIM_PRODUCTS[hts_6],DIM_PRODUCTS[hts_4],,,)</f>
        <v>8507</v>
      </c>
      <c r="I4934" t="str" cm="1">
        <f t="array" ref="I4934">_xlfn.XLOOKUP(FACT_IMPORTS[[#This Row],[country_name]],DIM_COUNTRY[[#All],[Column2]],DIM_COUNTRY[[#All],[Column3]],,,)</f>
        <v>Major_Non-USMCA_Non-China</v>
      </c>
    </row>
    <row r="4935" spans="1:9" x14ac:dyDescent="0.4">
      <c r="A4935" t="s">
        <v>68</v>
      </c>
      <c r="B4935" s="1">
        <v>45047</v>
      </c>
      <c r="C4935">
        <v>850790</v>
      </c>
      <c r="D4935" t="s">
        <v>176</v>
      </c>
      <c r="E4935">
        <v>1449535</v>
      </c>
      <c r="F4935">
        <v>114040</v>
      </c>
      <c r="G4935">
        <v>25255</v>
      </c>
      <c r="H4935">
        <f>_xlfn.XLOOKUP(FACT_IMPORTS[[#This Row],[hts_6]],DIM_PRODUCTS[hts_6],DIM_PRODUCTS[hts_4],,,)</f>
        <v>8507</v>
      </c>
      <c r="I4935" t="str" cm="1">
        <f t="array" ref="I4935">_xlfn.XLOOKUP(FACT_IMPORTS[[#This Row],[country_name]],DIM_COUNTRY[[#All],[Column2]],DIM_COUNTRY[[#All],[Column3]],,,)</f>
        <v>Major_Non-USMCA_Non-China</v>
      </c>
    </row>
    <row r="4936" spans="1:9" x14ac:dyDescent="0.4">
      <c r="A4936" t="s">
        <v>68</v>
      </c>
      <c r="B4936" s="1">
        <v>45047</v>
      </c>
      <c r="C4936">
        <v>851110</v>
      </c>
      <c r="D4936" t="s">
        <v>176</v>
      </c>
      <c r="E4936">
        <v>7646</v>
      </c>
      <c r="F4936">
        <v>1</v>
      </c>
      <c r="G4936">
        <v>230</v>
      </c>
      <c r="H4936">
        <f>_xlfn.XLOOKUP(FACT_IMPORTS[[#This Row],[hts_6]],DIM_PRODUCTS[hts_6],DIM_PRODUCTS[hts_4],,,)</f>
        <v>8511</v>
      </c>
      <c r="I4936" t="str" cm="1">
        <f t="array" ref="I4936">_xlfn.XLOOKUP(FACT_IMPORTS[[#This Row],[country_name]],DIM_COUNTRY[[#All],[Column2]],DIM_COUNTRY[[#All],[Column3]],,,)</f>
        <v>Major_Non-USMCA_Non-China</v>
      </c>
    </row>
    <row r="4937" spans="1:9" x14ac:dyDescent="0.4">
      <c r="A4937" t="s">
        <v>68</v>
      </c>
      <c r="B4937" s="1">
        <v>45047</v>
      </c>
      <c r="C4937">
        <v>851120</v>
      </c>
      <c r="D4937" t="s">
        <v>176</v>
      </c>
      <c r="E4937">
        <v>0</v>
      </c>
      <c r="F4937">
        <v>0</v>
      </c>
      <c r="G4937">
        <v>0</v>
      </c>
      <c r="H4937">
        <f>_xlfn.XLOOKUP(FACT_IMPORTS[[#This Row],[hts_6]],DIM_PRODUCTS[hts_6],DIM_PRODUCTS[hts_4],,,)</f>
        <v>8511</v>
      </c>
      <c r="I4937" t="str" cm="1">
        <f t="array" ref="I4937">_xlfn.XLOOKUP(FACT_IMPORTS[[#This Row],[country_name]],DIM_COUNTRY[[#All],[Column2]],DIM_COUNTRY[[#All],[Column3]],,,)</f>
        <v>Major_Non-USMCA_Non-China</v>
      </c>
    </row>
    <row r="4938" spans="1:9" x14ac:dyDescent="0.4">
      <c r="A4938" t="s">
        <v>68</v>
      </c>
      <c r="B4938" s="1">
        <v>45047</v>
      </c>
      <c r="C4938">
        <v>851130</v>
      </c>
      <c r="D4938" t="s">
        <v>176</v>
      </c>
      <c r="E4938">
        <v>0</v>
      </c>
      <c r="F4938">
        <v>0</v>
      </c>
      <c r="G4938">
        <v>0</v>
      </c>
      <c r="H4938">
        <f>_xlfn.XLOOKUP(FACT_IMPORTS[[#This Row],[hts_6]],DIM_PRODUCTS[hts_6],DIM_PRODUCTS[hts_4],,,)</f>
        <v>8511</v>
      </c>
      <c r="I4938" t="str" cm="1">
        <f t="array" ref="I4938">_xlfn.XLOOKUP(FACT_IMPORTS[[#This Row],[country_name]],DIM_COUNTRY[[#All],[Column2]],DIM_COUNTRY[[#All],[Column3]],,,)</f>
        <v>Major_Non-USMCA_Non-China</v>
      </c>
    </row>
    <row r="4939" spans="1:9" x14ac:dyDescent="0.4">
      <c r="A4939" t="s">
        <v>68</v>
      </c>
      <c r="B4939" s="1">
        <v>45047</v>
      </c>
      <c r="C4939">
        <v>851140</v>
      </c>
      <c r="D4939" t="s">
        <v>176</v>
      </c>
      <c r="E4939">
        <v>0</v>
      </c>
      <c r="F4939">
        <v>0</v>
      </c>
      <c r="G4939">
        <v>0</v>
      </c>
      <c r="H4939">
        <f>_xlfn.XLOOKUP(FACT_IMPORTS[[#This Row],[hts_6]],DIM_PRODUCTS[hts_6],DIM_PRODUCTS[hts_4],,,)</f>
        <v>8511</v>
      </c>
      <c r="I4939" t="str" cm="1">
        <f t="array" ref="I4939">_xlfn.XLOOKUP(FACT_IMPORTS[[#This Row],[country_name]],DIM_COUNTRY[[#All],[Column2]],DIM_COUNTRY[[#All],[Column3]],,,)</f>
        <v>Major_Non-USMCA_Non-China</v>
      </c>
    </row>
    <row r="4940" spans="1:9" x14ac:dyDescent="0.4">
      <c r="A4940" t="s">
        <v>68</v>
      </c>
      <c r="B4940" s="1">
        <v>45047</v>
      </c>
      <c r="C4940">
        <v>851150</v>
      </c>
      <c r="D4940" t="s">
        <v>176</v>
      </c>
      <c r="E4940">
        <v>2350</v>
      </c>
      <c r="F4940">
        <v>3</v>
      </c>
      <c r="G4940">
        <v>5</v>
      </c>
      <c r="H4940">
        <f>_xlfn.XLOOKUP(FACT_IMPORTS[[#This Row],[hts_6]],DIM_PRODUCTS[hts_6],DIM_PRODUCTS[hts_4],,,)</f>
        <v>8511</v>
      </c>
      <c r="I4940" t="str" cm="1">
        <f t="array" ref="I4940">_xlfn.XLOOKUP(FACT_IMPORTS[[#This Row],[country_name]],DIM_COUNTRY[[#All],[Column2]],DIM_COUNTRY[[#All],[Column3]],,,)</f>
        <v>Major_Non-USMCA_Non-China</v>
      </c>
    </row>
    <row r="4941" spans="1:9" x14ac:dyDescent="0.4">
      <c r="A4941" t="s">
        <v>68</v>
      </c>
      <c r="B4941" s="1">
        <v>45047</v>
      </c>
      <c r="C4941">
        <v>851180</v>
      </c>
      <c r="D4941" t="s">
        <v>176</v>
      </c>
      <c r="E4941">
        <v>442359</v>
      </c>
      <c r="F4941">
        <v>32466</v>
      </c>
      <c r="G4941">
        <v>2401</v>
      </c>
      <c r="H4941">
        <f>_xlfn.XLOOKUP(FACT_IMPORTS[[#This Row],[hts_6]],DIM_PRODUCTS[hts_6],DIM_PRODUCTS[hts_4],,,)</f>
        <v>8511</v>
      </c>
      <c r="I4941" t="str" cm="1">
        <f t="array" ref="I4941">_xlfn.XLOOKUP(FACT_IMPORTS[[#This Row],[country_name]],DIM_COUNTRY[[#All],[Column2]],DIM_COUNTRY[[#All],[Column3]],,,)</f>
        <v>Major_Non-USMCA_Non-China</v>
      </c>
    </row>
    <row r="4942" spans="1:9" x14ac:dyDescent="0.4">
      <c r="A4942" t="s">
        <v>68</v>
      </c>
      <c r="B4942" s="1">
        <v>45047</v>
      </c>
      <c r="C4942">
        <v>851190</v>
      </c>
      <c r="D4942" t="s">
        <v>176</v>
      </c>
      <c r="E4942">
        <v>0</v>
      </c>
      <c r="F4942">
        <v>0</v>
      </c>
      <c r="G4942">
        <v>0</v>
      </c>
      <c r="H4942">
        <f>_xlfn.XLOOKUP(FACT_IMPORTS[[#This Row],[hts_6]],DIM_PRODUCTS[hts_6],DIM_PRODUCTS[hts_4],,,)</f>
        <v>8511</v>
      </c>
      <c r="I4942" t="str" cm="1">
        <f t="array" ref="I4942">_xlfn.XLOOKUP(FACT_IMPORTS[[#This Row],[country_name]],DIM_COUNTRY[[#All],[Column2]],DIM_COUNTRY[[#All],[Column3]],,,)</f>
        <v>Major_Non-USMCA_Non-China</v>
      </c>
    </row>
    <row r="4943" spans="1:9" x14ac:dyDescent="0.4">
      <c r="A4943" t="s">
        <v>68</v>
      </c>
      <c r="B4943" s="1">
        <v>45047</v>
      </c>
      <c r="C4943">
        <v>851220</v>
      </c>
      <c r="D4943" t="s">
        <v>176</v>
      </c>
      <c r="E4943">
        <v>83331</v>
      </c>
      <c r="F4943">
        <v>13110</v>
      </c>
      <c r="G4943">
        <v>623</v>
      </c>
      <c r="H4943">
        <f>_xlfn.XLOOKUP(FACT_IMPORTS[[#This Row],[hts_6]],DIM_PRODUCTS[hts_6],DIM_PRODUCTS[hts_4],,,)</f>
        <v>8512</v>
      </c>
      <c r="I4943" t="str" cm="1">
        <f t="array" ref="I4943">_xlfn.XLOOKUP(FACT_IMPORTS[[#This Row],[country_name]],DIM_COUNTRY[[#All],[Column2]],DIM_COUNTRY[[#All],[Column3]],,,)</f>
        <v>Major_Non-USMCA_Non-China</v>
      </c>
    </row>
    <row r="4944" spans="1:9" x14ac:dyDescent="0.4">
      <c r="A4944" t="s">
        <v>68</v>
      </c>
      <c r="B4944" s="1">
        <v>45047</v>
      </c>
      <c r="C4944">
        <v>851230</v>
      </c>
      <c r="D4944" t="s">
        <v>176</v>
      </c>
      <c r="E4944">
        <v>0</v>
      </c>
      <c r="F4944">
        <v>0</v>
      </c>
      <c r="G4944">
        <v>0</v>
      </c>
      <c r="H4944">
        <f>_xlfn.XLOOKUP(FACT_IMPORTS[[#This Row],[hts_6]],DIM_PRODUCTS[hts_6],DIM_PRODUCTS[hts_4],,,)</f>
        <v>8512</v>
      </c>
      <c r="I4944" t="str" cm="1">
        <f t="array" ref="I4944">_xlfn.XLOOKUP(FACT_IMPORTS[[#This Row],[country_name]],DIM_COUNTRY[[#All],[Column2]],DIM_COUNTRY[[#All],[Column3]],,,)</f>
        <v>Major_Non-USMCA_Non-China</v>
      </c>
    </row>
    <row r="4945" spans="1:9" x14ac:dyDescent="0.4">
      <c r="A4945" t="s">
        <v>68</v>
      </c>
      <c r="B4945" s="1">
        <v>45047</v>
      </c>
      <c r="C4945">
        <v>851290</v>
      </c>
      <c r="D4945" t="s">
        <v>176</v>
      </c>
      <c r="E4945">
        <v>0</v>
      </c>
      <c r="F4945">
        <v>0</v>
      </c>
      <c r="G4945">
        <v>0</v>
      </c>
      <c r="H4945">
        <f>_xlfn.XLOOKUP(FACT_IMPORTS[[#This Row],[hts_6]],DIM_PRODUCTS[hts_6],DIM_PRODUCTS[hts_4],,,)</f>
        <v>8512</v>
      </c>
      <c r="I4945" t="str" cm="1">
        <f t="array" ref="I4945">_xlfn.XLOOKUP(FACT_IMPORTS[[#This Row],[country_name]],DIM_COUNTRY[[#All],[Column2]],DIM_COUNTRY[[#All],[Column3]],,,)</f>
        <v>Major_Non-USMCA_Non-China</v>
      </c>
    </row>
    <row r="4946" spans="1:9" x14ac:dyDescent="0.4">
      <c r="A4946" t="s">
        <v>68</v>
      </c>
      <c r="B4946" s="1">
        <v>45047</v>
      </c>
      <c r="C4946">
        <v>854231</v>
      </c>
      <c r="D4946" t="s">
        <v>176</v>
      </c>
      <c r="E4946">
        <v>90199</v>
      </c>
      <c r="F4946">
        <v>108</v>
      </c>
      <c r="G4946">
        <v>1692</v>
      </c>
      <c r="H4946">
        <f>_xlfn.XLOOKUP(FACT_IMPORTS[[#This Row],[hts_6]],DIM_PRODUCTS[hts_6],DIM_PRODUCTS[hts_4],,,)</f>
        <v>8542</v>
      </c>
      <c r="I4946" t="str" cm="1">
        <f t="array" ref="I4946">_xlfn.XLOOKUP(FACT_IMPORTS[[#This Row],[country_name]],DIM_COUNTRY[[#All],[Column2]],DIM_COUNTRY[[#All],[Column3]],,,)</f>
        <v>Major_Non-USMCA_Non-China</v>
      </c>
    </row>
    <row r="4947" spans="1:9" x14ac:dyDescent="0.4">
      <c r="A4947" t="s">
        <v>68</v>
      </c>
      <c r="B4947" s="1">
        <v>45047</v>
      </c>
      <c r="C4947">
        <v>854232</v>
      </c>
      <c r="D4947" t="s">
        <v>176</v>
      </c>
      <c r="E4947">
        <v>2390</v>
      </c>
      <c r="F4947">
        <v>2</v>
      </c>
      <c r="G4947">
        <v>6</v>
      </c>
      <c r="H4947">
        <f>_xlfn.XLOOKUP(FACT_IMPORTS[[#This Row],[hts_6]],DIM_PRODUCTS[hts_6],DIM_PRODUCTS[hts_4],,,)</f>
        <v>8542</v>
      </c>
      <c r="I4947" t="str" cm="1">
        <f t="array" ref="I4947">_xlfn.XLOOKUP(FACT_IMPORTS[[#This Row],[country_name]],DIM_COUNTRY[[#All],[Column2]],DIM_COUNTRY[[#All],[Column3]],,,)</f>
        <v>Major_Non-USMCA_Non-China</v>
      </c>
    </row>
    <row r="4948" spans="1:9" x14ac:dyDescent="0.4">
      <c r="A4948" t="s">
        <v>68</v>
      </c>
      <c r="B4948" s="1">
        <v>45047</v>
      </c>
      <c r="C4948">
        <v>854233</v>
      </c>
      <c r="D4948" t="s">
        <v>176</v>
      </c>
      <c r="E4948">
        <v>0</v>
      </c>
      <c r="F4948">
        <v>0</v>
      </c>
      <c r="G4948">
        <v>0</v>
      </c>
      <c r="H4948">
        <f>_xlfn.XLOOKUP(FACT_IMPORTS[[#This Row],[hts_6]],DIM_PRODUCTS[hts_6],DIM_PRODUCTS[hts_4],,,)</f>
        <v>8542</v>
      </c>
      <c r="I4948" t="str" cm="1">
        <f t="array" ref="I4948">_xlfn.XLOOKUP(FACT_IMPORTS[[#This Row],[country_name]],DIM_COUNTRY[[#All],[Column2]],DIM_COUNTRY[[#All],[Column3]],,,)</f>
        <v>Major_Non-USMCA_Non-China</v>
      </c>
    </row>
    <row r="4949" spans="1:9" x14ac:dyDescent="0.4">
      <c r="A4949" t="s">
        <v>68</v>
      </c>
      <c r="B4949" s="1">
        <v>45047</v>
      </c>
      <c r="C4949">
        <v>854239</v>
      </c>
      <c r="D4949" t="s">
        <v>176</v>
      </c>
      <c r="E4949">
        <v>0</v>
      </c>
      <c r="F4949">
        <v>0</v>
      </c>
      <c r="G4949">
        <v>0</v>
      </c>
      <c r="H4949">
        <f>_xlfn.XLOOKUP(FACT_IMPORTS[[#This Row],[hts_6]],DIM_PRODUCTS[hts_6],DIM_PRODUCTS[hts_4],,,)</f>
        <v>8542</v>
      </c>
      <c r="I4949" t="str" cm="1">
        <f t="array" ref="I4949">_xlfn.XLOOKUP(FACT_IMPORTS[[#This Row],[country_name]],DIM_COUNTRY[[#All],[Column2]],DIM_COUNTRY[[#All],[Column3]],,,)</f>
        <v>Major_Non-USMCA_Non-China</v>
      </c>
    </row>
    <row r="4950" spans="1:9" x14ac:dyDescent="0.4">
      <c r="A4950" t="s">
        <v>68</v>
      </c>
      <c r="B4950" s="1">
        <v>45047</v>
      </c>
      <c r="C4950">
        <v>854290</v>
      </c>
      <c r="D4950" t="s">
        <v>176</v>
      </c>
      <c r="E4950">
        <v>0</v>
      </c>
      <c r="F4950">
        <v>0</v>
      </c>
      <c r="G4950">
        <v>0</v>
      </c>
      <c r="H4950">
        <f>_xlfn.XLOOKUP(FACT_IMPORTS[[#This Row],[hts_6]],DIM_PRODUCTS[hts_6],DIM_PRODUCTS[hts_4],,,)</f>
        <v>8542</v>
      </c>
      <c r="I4950" t="str" cm="1">
        <f t="array" ref="I4950">_xlfn.XLOOKUP(FACT_IMPORTS[[#This Row],[country_name]],DIM_COUNTRY[[#All],[Column2]],DIM_COUNTRY[[#All],[Column3]],,,)</f>
        <v>Major_Non-USMCA_Non-China</v>
      </c>
    </row>
    <row r="4951" spans="1:9" x14ac:dyDescent="0.4">
      <c r="A4951" t="s">
        <v>68</v>
      </c>
      <c r="B4951" s="1">
        <v>45047</v>
      </c>
      <c r="C4951">
        <v>854430</v>
      </c>
      <c r="D4951" t="s">
        <v>176</v>
      </c>
      <c r="E4951">
        <v>382765</v>
      </c>
      <c r="F4951">
        <v>25273</v>
      </c>
      <c r="G4951">
        <v>3664</v>
      </c>
      <c r="H4951">
        <f>_xlfn.XLOOKUP(FACT_IMPORTS[[#This Row],[hts_6]],DIM_PRODUCTS[hts_6],DIM_PRODUCTS[hts_4],,,)</f>
        <v>8544</v>
      </c>
      <c r="I4951" t="str" cm="1">
        <f t="array" ref="I4951">_xlfn.XLOOKUP(FACT_IMPORTS[[#This Row],[country_name]],DIM_COUNTRY[[#All],[Column2]],DIM_COUNTRY[[#All],[Column3]],,,)</f>
        <v>Major_Non-USMCA_Non-China</v>
      </c>
    </row>
    <row r="4952" spans="1:9" x14ac:dyDescent="0.4">
      <c r="A4952" t="s">
        <v>68</v>
      </c>
      <c r="B4952" s="1">
        <v>45047</v>
      </c>
      <c r="C4952">
        <v>870790</v>
      </c>
      <c r="D4952" t="s">
        <v>176</v>
      </c>
      <c r="E4952">
        <v>0</v>
      </c>
      <c r="F4952">
        <v>0</v>
      </c>
      <c r="G4952">
        <v>0</v>
      </c>
      <c r="H4952">
        <f>_xlfn.XLOOKUP(FACT_IMPORTS[[#This Row],[hts_6]],DIM_PRODUCTS[hts_6],DIM_PRODUCTS[hts_4],,,)</f>
        <v>8707</v>
      </c>
      <c r="I4952" t="str" cm="1">
        <f t="array" ref="I4952">_xlfn.XLOOKUP(FACT_IMPORTS[[#This Row],[country_name]],DIM_COUNTRY[[#All],[Column2]],DIM_COUNTRY[[#All],[Column3]],,,)</f>
        <v>Major_Non-USMCA_Non-China</v>
      </c>
    </row>
    <row r="4953" spans="1:9" x14ac:dyDescent="0.4">
      <c r="A4953" t="s">
        <v>68</v>
      </c>
      <c r="B4953" s="1">
        <v>45047</v>
      </c>
      <c r="C4953">
        <v>870810</v>
      </c>
      <c r="D4953" t="s">
        <v>176</v>
      </c>
      <c r="E4953">
        <v>24925</v>
      </c>
      <c r="F4953">
        <v>444</v>
      </c>
      <c r="G4953">
        <v>186</v>
      </c>
      <c r="H4953">
        <f>_xlfn.XLOOKUP(FACT_IMPORTS[[#This Row],[hts_6]],DIM_PRODUCTS[hts_6],DIM_PRODUCTS[hts_4],,,)</f>
        <v>8708</v>
      </c>
      <c r="I4953" t="str" cm="1">
        <f t="array" ref="I4953">_xlfn.XLOOKUP(FACT_IMPORTS[[#This Row],[country_name]],DIM_COUNTRY[[#All],[Column2]],DIM_COUNTRY[[#All],[Column3]],,,)</f>
        <v>Major_Non-USMCA_Non-China</v>
      </c>
    </row>
    <row r="4954" spans="1:9" x14ac:dyDescent="0.4">
      <c r="A4954" t="s">
        <v>68</v>
      </c>
      <c r="B4954" s="1">
        <v>45047</v>
      </c>
      <c r="C4954">
        <v>870822</v>
      </c>
      <c r="D4954" t="s">
        <v>176</v>
      </c>
      <c r="E4954">
        <v>113063</v>
      </c>
      <c r="F4954">
        <v>612</v>
      </c>
      <c r="G4954">
        <v>1</v>
      </c>
      <c r="H4954">
        <f>_xlfn.XLOOKUP(FACT_IMPORTS[[#This Row],[hts_6]],DIM_PRODUCTS[hts_6],DIM_PRODUCTS[hts_4],,,)</f>
        <v>8708</v>
      </c>
      <c r="I4954" t="str" cm="1">
        <f t="array" ref="I4954">_xlfn.XLOOKUP(FACT_IMPORTS[[#This Row],[country_name]],DIM_COUNTRY[[#All],[Column2]],DIM_COUNTRY[[#All],[Column3]],,,)</f>
        <v>Major_Non-USMCA_Non-China</v>
      </c>
    </row>
    <row r="4955" spans="1:9" x14ac:dyDescent="0.4">
      <c r="A4955" t="s">
        <v>68</v>
      </c>
      <c r="B4955" s="1">
        <v>45047</v>
      </c>
      <c r="C4955">
        <v>870829</v>
      </c>
      <c r="D4955" t="s">
        <v>176</v>
      </c>
      <c r="E4955">
        <v>1798297</v>
      </c>
      <c r="F4955">
        <v>1071767</v>
      </c>
      <c r="G4955">
        <v>46799</v>
      </c>
      <c r="H4955">
        <f>_xlfn.XLOOKUP(FACT_IMPORTS[[#This Row],[hts_6]],DIM_PRODUCTS[hts_6],DIM_PRODUCTS[hts_4],,,)</f>
        <v>8708</v>
      </c>
      <c r="I4955" t="str" cm="1">
        <f t="array" ref="I4955">_xlfn.XLOOKUP(FACT_IMPORTS[[#This Row],[country_name]],DIM_COUNTRY[[#All],[Column2]],DIM_COUNTRY[[#All],[Column3]],,,)</f>
        <v>Major_Non-USMCA_Non-China</v>
      </c>
    </row>
    <row r="4956" spans="1:9" x14ac:dyDescent="0.4">
      <c r="A4956" t="s">
        <v>68</v>
      </c>
      <c r="B4956" s="1">
        <v>45047</v>
      </c>
      <c r="C4956">
        <v>870830</v>
      </c>
      <c r="D4956" t="s">
        <v>176</v>
      </c>
      <c r="E4956">
        <v>77577</v>
      </c>
      <c r="F4956">
        <v>419</v>
      </c>
      <c r="G4956">
        <v>795</v>
      </c>
      <c r="H4956">
        <f>_xlfn.XLOOKUP(FACT_IMPORTS[[#This Row],[hts_6]],DIM_PRODUCTS[hts_6],DIM_PRODUCTS[hts_4],,,)</f>
        <v>8708</v>
      </c>
      <c r="I4956" t="str" cm="1">
        <f t="array" ref="I4956">_xlfn.XLOOKUP(FACT_IMPORTS[[#This Row],[country_name]],DIM_COUNTRY[[#All],[Column2]],DIM_COUNTRY[[#All],[Column3]],,,)</f>
        <v>Major_Non-USMCA_Non-China</v>
      </c>
    </row>
    <row r="4957" spans="1:9" x14ac:dyDescent="0.4">
      <c r="A4957" t="s">
        <v>68</v>
      </c>
      <c r="B4957" s="1">
        <v>45047</v>
      </c>
      <c r="C4957">
        <v>870840</v>
      </c>
      <c r="D4957" t="s">
        <v>176</v>
      </c>
      <c r="E4957">
        <v>83252008</v>
      </c>
      <c r="F4957">
        <v>951526</v>
      </c>
      <c r="G4957">
        <v>165228</v>
      </c>
      <c r="H4957">
        <f>_xlfn.XLOOKUP(FACT_IMPORTS[[#This Row],[hts_6]],DIM_PRODUCTS[hts_6],DIM_PRODUCTS[hts_4],,,)</f>
        <v>8708</v>
      </c>
      <c r="I4957" t="str" cm="1">
        <f t="array" ref="I4957">_xlfn.XLOOKUP(FACT_IMPORTS[[#This Row],[country_name]],DIM_COUNTRY[[#All],[Column2]],DIM_COUNTRY[[#All],[Column3]],,,)</f>
        <v>Major_Non-USMCA_Non-China</v>
      </c>
    </row>
    <row r="4958" spans="1:9" x14ac:dyDescent="0.4">
      <c r="A4958" t="s">
        <v>68</v>
      </c>
      <c r="B4958" s="1">
        <v>45047</v>
      </c>
      <c r="C4958">
        <v>870850</v>
      </c>
      <c r="D4958" t="s">
        <v>176</v>
      </c>
      <c r="E4958">
        <v>14653149</v>
      </c>
      <c r="F4958">
        <v>692123</v>
      </c>
      <c r="G4958">
        <v>267957</v>
      </c>
      <c r="H4958">
        <f>_xlfn.XLOOKUP(FACT_IMPORTS[[#This Row],[hts_6]],DIM_PRODUCTS[hts_6],DIM_PRODUCTS[hts_4],,,)</f>
        <v>8708</v>
      </c>
      <c r="I4958" t="str" cm="1">
        <f t="array" ref="I4958">_xlfn.XLOOKUP(FACT_IMPORTS[[#This Row],[country_name]],DIM_COUNTRY[[#All],[Column2]],DIM_COUNTRY[[#All],[Column3]],,,)</f>
        <v>Major_Non-USMCA_Non-China</v>
      </c>
    </row>
    <row r="4959" spans="1:9" x14ac:dyDescent="0.4">
      <c r="A4959" t="s">
        <v>68</v>
      </c>
      <c r="B4959" s="1">
        <v>45047</v>
      </c>
      <c r="C4959">
        <v>870870</v>
      </c>
      <c r="D4959" t="s">
        <v>176</v>
      </c>
      <c r="E4959">
        <v>7628</v>
      </c>
      <c r="F4959">
        <v>20</v>
      </c>
      <c r="G4959">
        <v>385</v>
      </c>
      <c r="H4959">
        <f>_xlfn.XLOOKUP(FACT_IMPORTS[[#This Row],[hts_6]],DIM_PRODUCTS[hts_6],DIM_PRODUCTS[hts_4],,,)</f>
        <v>8708</v>
      </c>
      <c r="I4959" t="str" cm="1">
        <f t="array" ref="I4959">_xlfn.XLOOKUP(FACT_IMPORTS[[#This Row],[country_name]],DIM_COUNTRY[[#All],[Column2]],DIM_COUNTRY[[#All],[Column3]],,,)</f>
        <v>Major_Non-USMCA_Non-China</v>
      </c>
    </row>
    <row r="4960" spans="1:9" x14ac:dyDescent="0.4">
      <c r="A4960" t="s">
        <v>68</v>
      </c>
      <c r="B4960" s="1">
        <v>45047</v>
      </c>
      <c r="C4960">
        <v>870880</v>
      </c>
      <c r="D4960" t="s">
        <v>176</v>
      </c>
      <c r="E4960">
        <v>876482</v>
      </c>
      <c r="F4960">
        <v>612485</v>
      </c>
      <c r="G4960">
        <v>38356</v>
      </c>
      <c r="H4960">
        <f>_xlfn.XLOOKUP(FACT_IMPORTS[[#This Row],[hts_6]],DIM_PRODUCTS[hts_6],DIM_PRODUCTS[hts_4],,,)</f>
        <v>8708</v>
      </c>
      <c r="I4960" t="str" cm="1">
        <f t="array" ref="I4960">_xlfn.XLOOKUP(FACT_IMPORTS[[#This Row],[country_name]],DIM_COUNTRY[[#All],[Column2]],DIM_COUNTRY[[#All],[Column3]],,,)</f>
        <v>Major_Non-USMCA_Non-China</v>
      </c>
    </row>
    <row r="4961" spans="1:9" x14ac:dyDescent="0.4">
      <c r="A4961" t="s">
        <v>68</v>
      </c>
      <c r="B4961" s="1">
        <v>45047</v>
      </c>
      <c r="C4961">
        <v>870891</v>
      </c>
      <c r="D4961" t="s">
        <v>176</v>
      </c>
      <c r="E4961">
        <v>190774</v>
      </c>
      <c r="F4961">
        <v>5192</v>
      </c>
      <c r="G4961">
        <v>7228</v>
      </c>
      <c r="H4961">
        <f>_xlfn.XLOOKUP(FACT_IMPORTS[[#This Row],[hts_6]],DIM_PRODUCTS[hts_6],DIM_PRODUCTS[hts_4],,,)</f>
        <v>8708</v>
      </c>
      <c r="I4961" t="str" cm="1">
        <f t="array" ref="I4961">_xlfn.XLOOKUP(FACT_IMPORTS[[#This Row],[country_name]],DIM_COUNTRY[[#All],[Column2]],DIM_COUNTRY[[#All],[Column3]],,,)</f>
        <v>Major_Non-USMCA_Non-China</v>
      </c>
    </row>
    <row r="4962" spans="1:9" x14ac:dyDescent="0.4">
      <c r="A4962" t="s">
        <v>68</v>
      </c>
      <c r="B4962" s="1">
        <v>45047</v>
      </c>
      <c r="C4962">
        <v>870892</v>
      </c>
      <c r="D4962" t="s">
        <v>176</v>
      </c>
      <c r="E4962">
        <v>38166</v>
      </c>
      <c r="F4962">
        <v>12788</v>
      </c>
      <c r="G4962">
        <v>5577</v>
      </c>
      <c r="H4962">
        <f>_xlfn.XLOOKUP(FACT_IMPORTS[[#This Row],[hts_6]],DIM_PRODUCTS[hts_6],DIM_PRODUCTS[hts_4],,,)</f>
        <v>8708</v>
      </c>
      <c r="I4962" t="str" cm="1">
        <f t="array" ref="I4962">_xlfn.XLOOKUP(FACT_IMPORTS[[#This Row],[country_name]],DIM_COUNTRY[[#All],[Column2]],DIM_COUNTRY[[#All],[Column3]],,,)</f>
        <v>Major_Non-USMCA_Non-China</v>
      </c>
    </row>
    <row r="4963" spans="1:9" x14ac:dyDescent="0.4">
      <c r="A4963" t="s">
        <v>68</v>
      </c>
      <c r="B4963" s="1">
        <v>45047</v>
      </c>
      <c r="C4963">
        <v>870893</v>
      </c>
      <c r="D4963" t="s">
        <v>176</v>
      </c>
      <c r="E4963">
        <v>429774</v>
      </c>
      <c r="F4963">
        <v>1397</v>
      </c>
      <c r="G4963">
        <v>2525</v>
      </c>
      <c r="H4963">
        <f>_xlfn.XLOOKUP(FACT_IMPORTS[[#This Row],[hts_6]],DIM_PRODUCTS[hts_6],DIM_PRODUCTS[hts_4],,,)</f>
        <v>8708</v>
      </c>
      <c r="I4963" t="str" cm="1">
        <f t="array" ref="I4963">_xlfn.XLOOKUP(FACT_IMPORTS[[#This Row],[country_name]],DIM_COUNTRY[[#All],[Column2]],DIM_COUNTRY[[#All],[Column3]],,,)</f>
        <v>Major_Non-USMCA_Non-China</v>
      </c>
    </row>
    <row r="4964" spans="1:9" x14ac:dyDescent="0.4">
      <c r="A4964" t="s">
        <v>68</v>
      </c>
      <c r="B4964" s="1">
        <v>45047</v>
      </c>
      <c r="C4964">
        <v>870894</v>
      </c>
      <c r="D4964" t="s">
        <v>176</v>
      </c>
      <c r="E4964">
        <v>42609</v>
      </c>
      <c r="F4964">
        <v>565</v>
      </c>
      <c r="G4964">
        <v>2395</v>
      </c>
      <c r="H4964">
        <f>_xlfn.XLOOKUP(FACT_IMPORTS[[#This Row],[hts_6]],DIM_PRODUCTS[hts_6],DIM_PRODUCTS[hts_4],,,)</f>
        <v>8708</v>
      </c>
      <c r="I4964" t="str" cm="1">
        <f t="array" ref="I4964">_xlfn.XLOOKUP(FACT_IMPORTS[[#This Row],[country_name]],DIM_COUNTRY[[#All],[Column2]],DIM_COUNTRY[[#All],[Column3]],,,)</f>
        <v>Major_Non-USMCA_Non-China</v>
      </c>
    </row>
    <row r="4965" spans="1:9" x14ac:dyDescent="0.4">
      <c r="A4965" t="s">
        <v>68</v>
      </c>
      <c r="B4965" s="1">
        <v>45047</v>
      </c>
      <c r="C4965">
        <v>870895</v>
      </c>
      <c r="D4965" t="s">
        <v>176</v>
      </c>
      <c r="E4965">
        <v>9769</v>
      </c>
      <c r="F4965">
        <v>1077</v>
      </c>
      <c r="G4965">
        <v>4303</v>
      </c>
      <c r="H4965">
        <f>_xlfn.XLOOKUP(FACT_IMPORTS[[#This Row],[hts_6]],DIM_PRODUCTS[hts_6],DIM_PRODUCTS[hts_4],,,)</f>
        <v>8708</v>
      </c>
      <c r="I4965" t="str" cm="1">
        <f t="array" ref="I4965">_xlfn.XLOOKUP(FACT_IMPORTS[[#This Row],[country_name]],DIM_COUNTRY[[#All],[Column2]],DIM_COUNTRY[[#All],[Column3]],,,)</f>
        <v>Major_Non-USMCA_Non-China</v>
      </c>
    </row>
    <row r="4966" spans="1:9" x14ac:dyDescent="0.4">
      <c r="A4966" t="s">
        <v>68</v>
      </c>
      <c r="B4966" s="1">
        <v>45047</v>
      </c>
      <c r="C4966">
        <v>870899</v>
      </c>
      <c r="D4966" t="s">
        <v>176</v>
      </c>
      <c r="E4966">
        <v>3231538</v>
      </c>
      <c r="F4966">
        <v>726178</v>
      </c>
      <c r="G4966">
        <v>32456</v>
      </c>
      <c r="H4966">
        <f>_xlfn.XLOOKUP(FACT_IMPORTS[[#This Row],[hts_6]],DIM_PRODUCTS[hts_6],DIM_PRODUCTS[hts_4],,,)</f>
        <v>8708</v>
      </c>
      <c r="I4966" t="str" cm="1">
        <f t="array" ref="I4966">_xlfn.XLOOKUP(FACT_IMPORTS[[#This Row],[country_name]],DIM_COUNTRY[[#All],[Column2]],DIM_COUNTRY[[#All],[Column3]],,,)</f>
        <v>Major_Non-USMCA_Non-China</v>
      </c>
    </row>
    <row r="4967" spans="1:9" x14ac:dyDescent="0.4">
      <c r="A4967" t="s">
        <v>68</v>
      </c>
      <c r="B4967" s="1">
        <v>45047</v>
      </c>
      <c r="C4967">
        <v>940120</v>
      </c>
      <c r="D4967" t="s">
        <v>176</v>
      </c>
      <c r="E4967">
        <v>18693</v>
      </c>
      <c r="F4967">
        <v>16</v>
      </c>
      <c r="G4967">
        <v>448</v>
      </c>
      <c r="H4967">
        <f>_xlfn.XLOOKUP(FACT_IMPORTS[[#This Row],[hts_6]],DIM_PRODUCTS[hts_6],DIM_PRODUCTS[hts_4],,,)</f>
        <v>9401</v>
      </c>
      <c r="I4967" t="str" cm="1">
        <f t="array" ref="I4967">_xlfn.XLOOKUP(FACT_IMPORTS[[#This Row],[country_name]],DIM_COUNTRY[[#All],[Column2]],DIM_COUNTRY[[#All],[Column3]],,,)</f>
        <v>Major_Non-USMCA_Non-China</v>
      </c>
    </row>
    <row r="4968" spans="1:9" x14ac:dyDescent="0.4">
      <c r="A4968" t="s">
        <v>68</v>
      </c>
      <c r="B4968" s="1">
        <v>45078</v>
      </c>
      <c r="C4968">
        <v>392630</v>
      </c>
      <c r="D4968" t="s">
        <v>176</v>
      </c>
      <c r="E4968">
        <v>218734</v>
      </c>
      <c r="F4968">
        <v>25291</v>
      </c>
      <c r="G4968">
        <v>4124</v>
      </c>
      <c r="H4968">
        <f>_xlfn.XLOOKUP(FACT_IMPORTS[[#This Row],[hts_6]],DIM_PRODUCTS[hts_6],DIM_PRODUCTS[hts_4],,,)</f>
        <v>3926</v>
      </c>
      <c r="I4968" t="str" cm="1">
        <f t="array" ref="I4968">_xlfn.XLOOKUP(FACT_IMPORTS[[#This Row],[country_name]],DIM_COUNTRY[[#All],[Column2]],DIM_COUNTRY[[#All],[Column3]],,,)</f>
        <v>Major_Non-USMCA_Non-China</v>
      </c>
    </row>
    <row r="4969" spans="1:9" x14ac:dyDescent="0.4">
      <c r="A4969" t="s">
        <v>68</v>
      </c>
      <c r="B4969" s="1">
        <v>45078</v>
      </c>
      <c r="C4969">
        <v>401110</v>
      </c>
      <c r="D4969" t="s">
        <v>176</v>
      </c>
      <c r="E4969">
        <v>89061</v>
      </c>
      <c r="F4969">
        <v>548</v>
      </c>
      <c r="G4969">
        <v>2227</v>
      </c>
      <c r="H4969">
        <f>_xlfn.XLOOKUP(FACT_IMPORTS[[#This Row],[hts_6]],DIM_PRODUCTS[hts_6],DIM_PRODUCTS[hts_4],,,)</f>
        <v>4011</v>
      </c>
      <c r="I4969" t="str" cm="1">
        <f t="array" ref="I4969">_xlfn.XLOOKUP(FACT_IMPORTS[[#This Row],[country_name]],DIM_COUNTRY[[#All],[Column2]],DIM_COUNTRY[[#All],[Column3]],,,)</f>
        <v>Major_Non-USMCA_Non-China</v>
      </c>
    </row>
    <row r="4970" spans="1:9" x14ac:dyDescent="0.4">
      <c r="A4970" t="s">
        <v>68</v>
      </c>
      <c r="B4970" s="1">
        <v>45078</v>
      </c>
      <c r="C4970">
        <v>401120</v>
      </c>
      <c r="D4970" t="s">
        <v>176</v>
      </c>
      <c r="E4970">
        <v>0</v>
      </c>
      <c r="F4970">
        <v>0</v>
      </c>
      <c r="G4970">
        <v>0</v>
      </c>
      <c r="H4970">
        <f>_xlfn.XLOOKUP(FACT_IMPORTS[[#This Row],[hts_6]],DIM_PRODUCTS[hts_6],DIM_PRODUCTS[hts_4],,,)</f>
        <v>4011</v>
      </c>
      <c r="I4970" t="str" cm="1">
        <f t="array" ref="I4970">_xlfn.XLOOKUP(FACT_IMPORTS[[#This Row],[country_name]],DIM_COUNTRY[[#All],[Column2]],DIM_COUNTRY[[#All],[Column3]],,,)</f>
        <v>Major_Non-USMCA_Non-China</v>
      </c>
    </row>
    <row r="4971" spans="1:9" x14ac:dyDescent="0.4">
      <c r="A4971" t="s">
        <v>68</v>
      </c>
      <c r="B4971" s="1">
        <v>45078</v>
      </c>
      <c r="C4971">
        <v>401140</v>
      </c>
      <c r="D4971" t="s">
        <v>176</v>
      </c>
      <c r="E4971">
        <v>0</v>
      </c>
      <c r="F4971">
        <v>0</v>
      </c>
      <c r="G4971">
        <v>0</v>
      </c>
      <c r="H4971">
        <f>_xlfn.XLOOKUP(FACT_IMPORTS[[#This Row],[hts_6]],DIM_PRODUCTS[hts_6],DIM_PRODUCTS[hts_4],,,)</f>
        <v>4011</v>
      </c>
      <c r="I4971" t="str" cm="1">
        <f t="array" ref="I4971">_xlfn.XLOOKUP(FACT_IMPORTS[[#This Row],[country_name]],DIM_COUNTRY[[#All],[Column2]],DIM_COUNTRY[[#All],[Column3]],,,)</f>
        <v>Major_Non-USMCA_Non-China</v>
      </c>
    </row>
    <row r="4972" spans="1:9" x14ac:dyDescent="0.4">
      <c r="A4972" t="s">
        <v>68</v>
      </c>
      <c r="B4972" s="1">
        <v>45078</v>
      </c>
      <c r="C4972">
        <v>401190</v>
      </c>
      <c r="D4972" t="s">
        <v>176</v>
      </c>
      <c r="E4972">
        <v>0</v>
      </c>
      <c r="F4972">
        <v>0</v>
      </c>
      <c r="G4972">
        <v>0</v>
      </c>
      <c r="H4972">
        <f>_xlfn.XLOOKUP(FACT_IMPORTS[[#This Row],[hts_6]],DIM_PRODUCTS[hts_6],DIM_PRODUCTS[hts_4],,,)</f>
        <v>4011</v>
      </c>
      <c r="I4972" t="str" cm="1">
        <f t="array" ref="I4972">_xlfn.XLOOKUP(FACT_IMPORTS[[#This Row],[country_name]],DIM_COUNTRY[[#All],[Column2]],DIM_COUNTRY[[#All],[Column3]],,,)</f>
        <v>Major_Non-USMCA_Non-China</v>
      </c>
    </row>
    <row r="4973" spans="1:9" x14ac:dyDescent="0.4">
      <c r="A4973" t="s">
        <v>68</v>
      </c>
      <c r="B4973" s="1">
        <v>45078</v>
      </c>
      <c r="C4973">
        <v>700711</v>
      </c>
      <c r="D4973" t="s">
        <v>176</v>
      </c>
      <c r="E4973">
        <v>7392</v>
      </c>
      <c r="F4973">
        <v>336</v>
      </c>
      <c r="G4973">
        <v>370</v>
      </c>
      <c r="H4973">
        <f>_xlfn.XLOOKUP(FACT_IMPORTS[[#This Row],[hts_6]],DIM_PRODUCTS[hts_6],DIM_PRODUCTS[hts_4],,,)</f>
        <v>7007</v>
      </c>
      <c r="I4973" t="str" cm="1">
        <f t="array" ref="I4973">_xlfn.XLOOKUP(FACT_IMPORTS[[#This Row],[country_name]],DIM_COUNTRY[[#All],[Column2]],DIM_COUNTRY[[#All],[Column3]],,,)</f>
        <v>Major_Non-USMCA_Non-China</v>
      </c>
    </row>
    <row r="4974" spans="1:9" x14ac:dyDescent="0.4">
      <c r="A4974" t="s">
        <v>68</v>
      </c>
      <c r="B4974" s="1">
        <v>45078</v>
      </c>
      <c r="C4974">
        <v>700721</v>
      </c>
      <c r="D4974" t="s">
        <v>176</v>
      </c>
      <c r="E4974">
        <v>2473</v>
      </c>
      <c r="F4974">
        <v>3</v>
      </c>
      <c r="G4974">
        <v>10</v>
      </c>
      <c r="H4974">
        <f>_xlfn.XLOOKUP(FACT_IMPORTS[[#This Row],[hts_6]],DIM_PRODUCTS[hts_6],DIM_PRODUCTS[hts_4],,,)</f>
        <v>7007</v>
      </c>
      <c r="I4974" t="str" cm="1">
        <f t="array" ref="I4974">_xlfn.XLOOKUP(FACT_IMPORTS[[#This Row],[country_name]],DIM_COUNTRY[[#All],[Column2]],DIM_COUNTRY[[#All],[Column3]],,,)</f>
        <v>Major_Non-USMCA_Non-China</v>
      </c>
    </row>
    <row r="4975" spans="1:9" x14ac:dyDescent="0.4">
      <c r="A4975" t="s">
        <v>68</v>
      </c>
      <c r="B4975" s="1">
        <v>45078</v>
      </c>
      <c r="C4975">
        <v>732010</v>
      </c>
      <c r="D4975" t="s">
        <v>176</v>
      </c>
      <c r="E4975">
        <v>0</v>
      </c>
      <c r="F4975">
        <v>0</v>
      </c>
      <c r="G4975">
        <v>0</v>
      </c>
      <c r="H4975">
        <f>_xlfn.XLOOKUP(FACT_IMPORTS[[#This Row],[hts_6]],DIM_PRODUCTS[hts_6],DIM_PRODUCTS[hts_4],,,)</f>
        <v>7320</v>
      </c>
      <c r="I4975" t="str" cm="1">
        <f t="array" ref="I4975">_xlfn.XLOOKUP(FACT_IMPORTS[[#This Row],[country_name]],DIM_COUNTRY[[#All],[Column2]],DIM_COUNTRY[[#All],[Column3]],,,)</f>
        <v>Major_Non-USMCA_Non-China</v>
      </c>
    </row>
    <row r="4976" spans="1:9" x14ac:dyDescent="0.4">
      <c r="A4976" t="s">
        <v>68</v>
      </c>
      <c r="B4976" s="1">
        <v>45078</v>
      </c>
      <c r="C4976">
        <v>830230</v>
      </c>
      <c r="D4976" t="s">
        <v>176</v>
      </c>
      <c r="E4976">
        <v>302682</v>
      </c>
      <c r="F4976">
        <v>68144</v>
      </c>
      <c r="G4976">
        <v>20194</v>
      </c>
      <c r="H4976">
        <f>_xlfn.XLOOKUP(FACT_IMPORTS[[#This Row],[hts_6]],DIM_PRODUCTS[hts_6],DIM_PRODUCTS[hts_4],,,)</f>
        <v>8302</v>
      </c>
      <c r="I4976" t="str" cm="1">
        <f t="array" ref="I4976">_xlfn.XLOOKUP(FACT_IMPORTS[[#This Row],[country_name]],DIM_COUNTRY[[#All],[Column2]],DIM_COUNTRY[[#All],[Column3]],,,)</f>
        <v>Major_Non-USMCA_Non-China</v>
      </c>
    </row>
    <row r="4977" spans="1:9" x14ac:dyDescent="0.4">
      <c r="A4977" t="s">
        <v>68</v>
      </c>
      <c r="B4977" s="1">
        <v>45078</v>
      </c>
      <c r="C4977">
        <v>840731</v>
      </c>
      <c r="D4977" t="s">
        <v>176</v>
      </c>
      <c r="E4977">
        <v>0</v>
      </c>
      <c r="F4977">
        <v>0</v>
      </c>
      <c r="G4977">
        <v>0</v>
      </c>
      <c r="H4977">
        <f>_xlfn.XLOOKUP(FACT_IMPORTS[[#This Row],[hts_6]],DIM_PRODUCTS[hts_6],DIM_PRODUCTS[hts_4],,,)</f>
        <v>8407</v>
      </c>
      <c r="I4977" t="str" cm="1">
        <f t="array" ref="I4977">_xlfn.XLOOKUP(FACT_IMPORTS[[#This Row],[country_name]],DIM_COUNTRY[[#All],[Column2]],DIM_COUNTRY[[#All],[Column3]],,,)</f>
        <v>Major_Non-USMCA_Non-China</v>
      </c>
    </row>
    <row r="4978" spans="1:9" x14ac:dyDescent="0.4">
      <c r="A4978" t="s">
        <v>68</v>
      </c>
      <c r="B4978" s="1">
        <v>45078</v>
      </c>
      <c r="C4978">
        <v>840733</v>
      </c>
      <c r="D4978" t="s">
        <v>176</v>
      </c>
      <c r="E4978">
        <v>0</v>
      </c>
      <c r="F4978">
        <v>0</v>
      </c>
      <c r="G4978">
        <v>0</v>
      </c>
      <c r="H4978">
        <f>_xlfn.XLOOKUP(FACT_IMPORTS[[#This Row],[hts_6]],DIM_PRODUCTS[hts_6],DIM_PRODUCTS[hts_4],,,)</f>
        <v>8407</v>
      </c>
      <c r="I4978" t="str" cm="1">
        <f t="array" ref="I4978">_xlfn.XLOOKUP(FACT_IMPORTS[[#This Row],[country_name]],DIM_COUNTRY[[#All],[Column2]],DIM_COUNTRY[[#All],[Column3]],,,)</f>
        <v>Major_Non-USMCA_Non-China</v>
      </c>
    </row>
    <row r="4979" spans="1:9" x14ac:dyDescent="0.4">
      <c r="A4979" t="s">
        <v>68</v>
      </c>
      <c r="B4979" s="1">
        <v>45078</v>
      </c>
      <c r="C4979">
        <v>840734</v>
      </c>
      <c r="D4979" t="s">
        <v>176</v>
      </c>
      <c r="E4979">
        <v>25000</v>
      </c>
      <c r="F4979">
        <v>2</v>
      </c>
      <c r="G4979">
        <v>534</v>
      </c>
      <c r="H4979">
        <f>_xlfn.XLOOKUP(FACT_IMPORTS[[#This Row],[hts_6]],DIM_PRODUCTS[hts_6],DIM_PRODUCTS[hts_4],,,)</f>
        <v>8407</v>
      </c>
      <c r="I4979" t="str" cm="1">
        <f t="array" ref="I4979">_xlfn.XLOOKUP(FACT_IMPORTS[[#This Row],[country_name]],DIM_COUNTRY[[#All],[Column2]],DIM_COUNTRY[[#All],[Column3]],,,)</f>
        <v>Major_Non-USMCA_Non-China</v>
      </c>
    </row>
    <row r="4980" spans="1:9" x14ac:dyDescent="0.4">
      <c r="A4980" t="s">
        <v>68</v>
      </c>
      <c r="B4980" s="1">
        <v>45078</v>
      </c>
      <c r="C4980">
        <v>840790</v>
      </c>
      <c r="D4980" t="s">
        <v>176</v>
      </c>
      <c r="E4980">
        <v>0</v>
      </c>
      <c r="F4980">
        <v>0</v>
      </c>
      <c r="G4980">
        <v>0</v>
      </c>
      <c r="H4980">
        <f>_xlfn.XLOOKUP(FACT_IMPORTS[[#This Row],[hts_6]],DIM_PRODUCTS[hts_6],DIM_PRODUCTS[hts_4],,,)</f>
        <v>8407</v>
      </c>
      <c r="I4980" t="str" cm="1">
        <f t="array" ref="I4980">_xlfn.XLOOKUP(FACT_IMPORTS[[#This Row],[country_name]],DIM_COUNTRY[[#All],[Column2]],DIM_COUNTRY[[#All],[Column3]],,,)</f>
        <v>Major_Non-USMCA_Non-China</v>
      </c>
    </row>
    <row r="4981" spans="1:9" x14ac:dyDescent="0.4">
      <c r="A4981" t="s">
        <v>68</v>
      </c>
      <c r="B4981" s="1">
        <v>45078</v>
      </c>
      <c r="C4981">
        <v>840820</v>
      </c>
      <c r="D4981" t="s">
        <v>176</v>
      </c>
      <c r="E4981">
        <v>0</v>
      </c>
      <c r="F4981">
        <v>0</v>
      </c>
      <c r="G4981">
        <v>0</v>
      </c>
      <c r="H4981">
        <f>_xlfn.XLOOKUP(FACT_IMPORTS[[#This Row],[hts_6]],DIM_PRODUCTS[hts_6],DIM_PRODUCTS[hts_4],,,)</f>
        <v>8408</v>
      </c>
      <c r="I4981" t="str" cm="1">
        <f t="array" ref="I4981">_xlfn.XLOOKUP(FACT_IMPORTS[[#This Row],[country_name]],DIM_COUNTRY[[#All],[Column2]],DIM_COUNTRY[[#All],[Column3]],,,)</f>
        <v>Major_Non-USMCA_Non-China</v>
      </c>
    </row>
    <row r="4982" spans="1:9" x14ac:dyDescent="0.4">
      <c r="A4982" t="s">
        <v>68</v>
      </c>
      <c r="B4982" s="1">
        <v>45078</v>
      </c>
      <c r="C4982">
        <v>840890</v>
      </c>
      <c r="D4982" t="s">
        <v>176</v>
      </c>
      <c r="E4982">
        <v>34429</v>
      </c>
      <c r="F4982">
        <v>1</v>
      </c>
      <c r="G4982">
        <v>100</v>
      </c>
      <c r="H4982">
        <f>_xlfn.XLOOKUP(FACT_IMPORTS[[#This Row],[hts_6]],DIM_PRODUCTS[hts_6],DIM_PRODUCTS[hts_4],,,)</f>
        <v>8408</v>
      </c>
      <c r="I4982" t="str" cm="1">
        <f t="array" ref="I4982">_xlfn.XLOOKUP(FACT_IMPORTS[[#This Row],[country_name]],DIM_COUNTRY[[#All],[Column2]],DIM_COUNTRY[[#All],[Column3]],,,)</f>
        <v>Major_Non-USMCA_Non-China</v>
      </c>
    </row>
    <row r="4983" spans="1:9" x14ac:dyDescent="0.4">
      <c r="A4983" t="s">
        <v>68</v>
      </c>
      <c r="B4983" s="1">
        <v>45078</v>
      </c>
      <c r="C4983">
        <v>840991</v>
      </c>
      <c r="D4983" t="s">
        <v>176</v>
      </c>
      <c r="E4983">
        <v>731871</v>
      </c>
      <c r="F4983">
        <v>30468</v>
      </c>
      <c r="G4983">
        <v>20531</v>
      </c>
      <c r="H4983">
        <f>_xlfn.XLOOKUP(FACT_IMPORTS[[#This Row],[hts_6]],DIM_PRODUCTS[hts_6],DIM_PRODUCTS[hts_4],,,)</f>
        <v>8409</v>
      </c>
      <c r="I4983" t="str" cm="1">
        <f t="array" ref="I4983">_xlfn.XLOOKUP(FACT_IMPORTS[[#This Row],[country_name]],DIM_COUNTRY[[#All],[Column2]],DIM_COUNTRY[[#All],[Column3]],,,)</f>
        <v>Major_Non-USMCA_Non-China</v>
      </c>
    </row>
    <row r="4984" spans="1:9" x14ac:dyDescent="0.4">
      <c r="A4984" t="s">
        <v>68</v>
      </c>
      <c r="B4984" s="1">
        <v>45078</v>
      </c>
      <c r="C4984">
        <v>840999</v>
      </c>
      <c r="D4984" t="s">
        <v>176</v>
      </c>
      <c r="E4984">
        <v>21331883</v>
      </c>
      <c r="F4984">
        <v>3269673</v>
      </c>
      <c r="G4984">
        <v>429740</v>
      </c>
      <c r="H4984">
        <f>_xlfn.XLOOKUP(FACT_IMPORTS[[#This Row],[hts_6]],DIM_PRODUCTS[hts_6],DIM_PRODUCTS[hts_4],,,)</f>
        <v>8409</v>
      </c>
      <c r="I4984" t="str" cm="1">
        <f t="array" ref="I4984">_xlfn.XLOOKUP(FACT_IMPORTS[[#This Row],[country_name]],DIM_COUNTRY[[#All],[Column2]],DIM_COUNTRY[[#All],[Column3]],,,)</f>
        <v>Major_Non-USMCA_Non-China</v>
      </c>
    </row>
    <row r="4985" spans="1:9" x14ac:dyDescent="0.4">
      <c r="A4985" t="s">
        <v>68</v>
      </c>
      <c r="B4985" s="1">
        <v>45078</v>
      </c>
      <c r="C4985">
        <v>841330</v>
      </c>
      <c r="D4985" t="s">
        <v>176</v>
      </c>
      <c r="E4985">
        <v>872966</v>
      </c>
      <c r="F4985">
        <v>13400</v>
      </c>
      <c r="G4985">
        <v>7307</v>
      </c>
      <c r="H4985">
        <f>_xlfn.XLOOKUP(FACT_IMPORTS[[#This Row],[hts_6]],DIM_PRODUCTS[hts_6],DIM_PRODUCTS[hts_4],,,)</f>
        <v>8413</v>
      </c>
      <c r="I4985" t="str" cm="1">
        <f t="array" ref="I4985">_xlfn.XLOOKUP(FACT_IMPORTS[[#This Row],[country_name]],DIM_COUNTRY[[#All],[Column2]],DIM_COUNTRY[[#All],[Column3]],,,)</f>
        <v>Major_Non-USMCA_Non-China</v>
      </c>
    </row>
    <row r="4986" spans="1:9" x14ac:dyDescent="0.4">
      <c r="A4986" t="s">
        <v>68</v>
      </c>
      <c r="B4986" s="1">
        <v>45078</v>
      </c>
      <c r="C4986">
        <v>841520</v>
      </c>
      <c r="D4986" t="s">
        <v>176</v>
      </c>
      <c r="E4986">
        <v>0</v>
      </c>
      <c r="F4986">
        <v>0</v>
      </c>
      <c r="G4986">
        <v>0</v>
      </c>
      <c r="H4986">
        <f>_xlfn.XLOOKUP(FACT_IMPORTS[[#This Row],[hts_6]],DIM_PRODUCTS[hts_6],DIM_PRODUCTS[hts_4],,,)</f>
        <v>8415</v>
      </c>
      <c r="I4986" t="str" cm="1">
        <f t="array" ref="I4986">_xlfn.XLOOKUP(FACT_IMPORTS[[#This Row],[country_name]],DIM_COUNTRY[[#All],[Column2]],DIM_COUNTRY[[#All],[Column3]],,,)</f>
        <v>Major_Non-USMCA_Non-China</v>
      </c>
    </row>
    <row r="4987" spans="1:9" x14ac:dyDescent="0.4">
      <c r="A4987" t="s">
        <v>68</v>
      </c>
      <c r="B4987" s="1">
        <v>45078</v>
      </c>
      <c r="C4987">
        <v>842132</v>
      </c>
      <c r="D4987" t="s">
        <v>176</v>
      </c>
      <c r="E4987">
        <v>66758</v>
      </c>
      <c r="F4987">
        <v>81</v>
      </c>
      <c r="G4987">
        <v>296</v>
      </c>
      <c r="H4987">
        <f>_xlfn.XLOOKUP(FACT_IMPORTS[[#This Row],[hts_6]],DIM_PRODUCTS[hts_6],DIM_PRODUCTS[hts_4],,,)</f>
        <v>8421</v>
      </c>
      <c r="I4987" t="str" cm="1">
        <f t="array" ref="I4987">_xlfn.XLOOKUP(FACT_IMPORTS[[#This Row],[country_name]],DIM_COUNTRY[[#All],[Column2]],DIM_COUNTRY[[#All],[Column3]],,,)</f>
        <v>Major_Non-USMCA_Non-China</v>
      </c>
    </row>
    <row r="4988" spans="1:9" x14ac:dyDescent="0.4">
      <c r="A4988" t="s">
        <v>68</v>
      </c>
      <c r="B4988" s="1">
        <v>45078</v>
      </c>
      <c r="C4988">
        <v>848210</v>
      </c>
      <c r="D4988" t="s">
        <v>176</v>
      </c>
      <c r="E4988">
        <v>349772</v>
      </c>
      <c r="F4988">
        <v>6203</v>
      </c>
      <c r="G4988">
        <v>1351</v>
      </c>
      <c r="H4988">
        <f>_xlfn.XLOOKUP(FACT_IMPORTS[[#This Row],[hts_6]],DIM_PRODUCTS[hts_6],DIM_PRODUCTS[hts_4],,,)</f>
        <v>8482</v>
      </c>
      <c r="I4988" t="str" cm="1">
        <f t="array" ref="I4988">_xlfn.XLOOKUP(FACT_IMPORTS[[#This Row],[country_name]],DIM_COUNTRY[[#All],[Column2]],DIM_COUNTRY[[#All],[Column3]],,,)</f>
        <v>Major_Non-USMCA_Non-China</v>
      </c>
    </row>
    <row r="4989" spans="1:9" x14ac:dyDescent="0.4">
      <c r="A4989" t="s">
        <v>68</v>
      </c>
      <c r="B4989" s="1">
        <v>45078</v>
      </c>
      <c r="C4989">
        <v>848220</v>
      </c>
      <c r="D4989" t="s">
        <v>176</v>
      </c>
      <c r="E4989">
        <v>362749</v>
      </c>
      <c r="F4989">
        <v>23049</v>
      </c>
      <c r="G4989">
        <v>4250</v>
      </c>
      <c r="H4989">
        <f>_xlfn.XLOOKUP(FACT_IMPORTS[[#This Row],[hts_6]],DIM_PRODUCTS[hts_6],DIM_PRODUCTS[hts_4],,,)</f>
        <v>8482</v>
      </c>
      <c r="I4989" t="str" cm="1">
        <f t="array" ref="I4989">_xlfn.XLOOKUP(FACT_IMPORTS[[#This Row],[country_name]],DIM_COUNTRY[[#All],[Column2]],DIM_COUNTRY[[#All],[Column3]],,,)</f>
        <v>Major_Non-USMCA_Non-China</v>
      </c>
    </row>
    <row r="4990" spans="1:9" x14ac:dyDescent="0.4">
      <c r="A4990" t="s">
        <v>68</v>
      </c>
      <c r="B4990" s="1">
        <v>45078</v>
      </c>
      <c r="C4990">
        <v>848310</v>
      </c>
      <c r="D4990" t="s">
        <v>176</v>
      </c>
      <c r="E4990">
        <v>3851726</v>
      </c>
      <c r="F4990">
        <v>29988</v>
      </c>
      <c r="G4990">
        <v>38134</v>
      </c>
      <c r="H4990">
        <f>_xlfn.XLOOKUP(FACT_IMPORTS[[#This Row],[hts_6]],DIM_PRODUCTS[hts_6],DIM_PRODUCTS[hts_4],,,)</f>
        <v>8483</v>
      </c>
      <c r="I4990" t="str" cm="1">
        <f t="array" ref="I4990">_xlfn.XLOOKUP(FACT_IMPORTS[[#This Row],[country_name]],DIM_COUNTRY[[#All],[Column2]],DIM_COUNTRY[[#All],[Column3]],,,)</f>
        <v>Major_Non-USMCA_Non-China</v>
      </c>
    </row>
    <row r="4991" spans="1:9" x14ac:dyDescent="0.4">
      <c r="A4991" t="s">
        <v>68</v>
      </c>
      <c r="B4991" s="1">
        <v>45078</v>
      </c>
      <c r="C4991">
        <v>850131</v>
      </c>
      <c r="D4991" t="s">
        <v>176</v>
      </c>
      <c r="E4991">
        <v>138426</v>
      </c>
      <c r="F4991">
        <v>1378</v>
      </c>
      <c r="G4991">
        <v>1196</v>
      </c>
      <c r="H4991">
        <f>_xlfn.XLOOKUP(FACT_IMPORTS[[#This Row],[hts_6]],DIM_PRODUCTS[hts_6],DIM_PRODUCTS[hts_4],,,)</f>
        <v>8501</v>
      </c>
      <c r="I4991" t="str" cm="1">
        <f t="array" ref="I4991">_xlfn.XLOOKUP(FACT_IMPORTS[[#This Row],[country_name]],DIM_COUNTRY[[#All],[Column2]],DIM_COUNTRY[[#All],[Column3]],,,)</f>
        <v>Major_Non-USMCA_Non-China</v>
      </c>
    </row>
    <row r="4992" spans="1:9" x14ac:dyDescent="0.4">
      <c r="A4992" t="s">
        <v>68</v>
      </c>
      <c r="B4992" s="1">
        <v>45078</v>
      </c>
      <c r="C4992">
        <v>850132</v>
      </c>
      <c r="D4992" t="s">
        <v>176</v>
      </c>
      <c r="E4992">
        <v>372163</v>
      </c>
      <c r="F4992">
        <v>28</v>
      </c>
      <c r="G4992">
        <v>1068</v>
      </c>
      <c r="H4992">
        <f>_xlfn.XLOOKUP(FACT_IMPORTS[[#This Row],[hts_6]],DIM_PRODUCTS[hts_6],DIM_PRODUCTS[hts_4],,,)</f>
        <v>8501</v>
      </c>
      <c r="I4992" t="str" cm="1">
        <f t="array" ref="I4992">_xlfn.XLOOKUP(FACT_IMPORTS[[#This Row],[country_name]],DIM_COUNTRY[[#All],[Column2]],DIM_COUNTRY[[#All],[Column3]],,,)</f>
        <v>Major_Non-USMCA_Non-China</v>
      </c>
    </row>
    <row r="4993" spans="1:9" x14ac:dyDescent="0.4">
      <c r="A4993" t="s">
        <v>68</v>
      </c>
      <c r="B4993" s="1">
        <v>45078</v>
      </c>
      <c r="C4993">
        <v>850133</v>
      </c>
      <c r="D4993" t="s">
        <v>176</v>
      </c>
      <c r="E4993">
        <v>10637</v>
      </c>
      <c r="F4993">
        <v>1</v>
      </c>
      <c r="G4993">
        <v>40</v>
      </c>
      <c r="H4993">
        <f>_xlfn.XLOOKUP(FACT_IMPORTS[[#This Row],[hts_6]],DIM_PRODUCTS[hts_6],DIM_PRODUCTS[hts_4],,,)</f>
        <v>8501</v>
      </c>
      <c r="I4993" t="str" cm="1">
        <f t="array" ref="I4993">_xlfn.XLOOKUP(FACT_IMPORTS[[#This Row],[country_name]],DIM_COUNTRY[[#All],[Column2]],DIM_COUNTRY[[#All],[Column3]],,,)</f>
        <v>Major_Non-USMCA_Non-China</v>
      </c>
    </row>
    <row r="4994" spans="1:9" x14ac:dyDescent="0.4">
      <c r="A4994" t="s">
        <v>68</v>
      </c>
      <c r="B4994" s="1">
        <v>45078</v>
      </c>
      <c r="C4994">
        <v>850134</v>
      </c>
      <c r="D4994" t="s">
        <v>176</v>
      </c>
      <c r="E4994">
        <v>0</v>
      </c>
      <c r="F4994">
        <v>0</v>
      </c>
      <c r="G4994">
        <v>0</v>
      </c>
      <c r="H4994">
        <f>_xlfn.XLOOKUP(FACT_IMPORTS[[#This Row],[hts_6]],DIM_PRODUCTS[hts_6],DIM_PRODUCTS[hts_4],,,)</f>
        <v>8501</v>
      </c>
      <c r="I4994" t="str" cm="1">
        <f t="array" ref="I4994">_xlfn.XLOOKUP(FACT_IMPORTS[[#This Row],[country_name]],DIM_COUNTRY[[#All],[Column2]],DIM_COUNTRY[[#All],[Column3]],,,)</f>
        <v>Major_Non-USMCA_Non-China</v>
      </c>
    </row>
    <row r="4995" spans="1:9" x14ac:dyDescent="0.4">
      <c r="A4995" t="s">
        <v>68</v>
      </c>
      <c r="B4995" s="1">
        <v>45078</v>
      </c>
      <c r="C4995">
        <v>850152</v>
      </c>
      <c r="D4995" t="s">
        <v>176</v>
      </c>
      <c r="E4995">
        <v>648259</v>
      </c>
      <c r="F4995">
        <v>549</v>
      </c>
      <c r="G4995">
        <v>20678</v>
      </c>
      <c r="H4995">
        <f>_xlfn.XLOOKUP(FACT_IMPORTS[[#This Row],[hts_6]],DIM_PRODUCTS[hts_6],DIM_PRODUCTS[hts_4],,,)</f>
        <v>8501</v>
      </c>
      <c r="I4995" t="str" cm="1">
        <f t="array" ref="I4995">_xlfn.XLOOKUP(FACT_IMPORTS[[#This Row],[country_name]],DIM_COUNTRY[[#All],[Column2]],DIM_COUNTRY[[#All],[Column3]],,,)</f>
        <v>Major_Non-USMCA_Non-China</v>
      </c>
    </row>
    <row r="4996" spans="1:9" x14ac:dyDescent="0.4">
      <c r="A4996" t="s">
        <v>68</v>
      </c>
      <c r="B4996" s="1">
        <v>45078</v>
      </c>
      <c r="C4996">
        <v>850153</v>
      </c>
      <c r="D4996" t="s">
        <v>176</v>
      </c>
      <c r="E4996">
        <v>309423</v>
      </c>
      <c r="F4996">
        <v>17</v>
      </c>
      <c r="G4996">
        <v>16493</v>
      </c>
      <c r="H4996">
        <f>_xlfn.XLOOKUP(FACT_IMPORTS[[#This Row],[hts_6]],DIM_PRODUCTS[hts_6],DIM_PRODUCTS[hts_4],,,)</f>
        <v>8501</v>
      </c>
      <c r="I4996" t="str" cm="1">
        <f t="array" ref="I4996">_xlfn.XLOOKUP(FACT_IMPORTS[[#This Row],[country_name]],DIM_COUNTRY[[#All],[Column2]],DIM_COUNTRY[[#All],[Column3]],,,)</f>
        <v>Major_Non-USMCA_Non-China</v>
      </c>
    </row>
    <row r="4997" spans="1:9" x14ac:dyDescent="0.4">
      <c r="A4997" t="s">
        <v>68</v>
      </c>
      <c r="B4997" s="1">
        <v>45078</v>
      </c>
      <c r="C4997">
        <v>850161</v>
      </c>
      <c r="D4997" t="s">
        <v>176</v>
      </c>
      <c r="E4997">
        <v>0</v>
      </c>
      <c r="F4997">
        <v>0</v>
      </c>
      <c r="G4997">
        <v>0</v>
      </c>
      <c r="H4997">
        <f>_xlfn.XLOOKUP(FACT_IMPORTS[[#This Row],[hts_6]],DIM_PRODUCTS[hts_6],DIM_PRODUCTS[hts_4],,,)</f>
        <v>8501</v>
      </c>
      <c r="I4997" t="str" cm="1">
        <f t="array" ref="I4997">_xlfn.XLOOKUP(FACT_IMPORTS[[#This Row],[country_name]],DIM_COUNTRY[[#All],[Column2]],DIM_COUNTRY[[#All],[Column3]],,,)</f>
        <v>Major_Non-USMCA_Non-China</v>
      </c>
    </row>
    <row r="4998" spans="1:9" x14ac:dyDescent="0.4">
      <c r="A4998" t="s">
        <v>68</v>
      </c>
      <c r="B4998" s="1">
        <v>45078</v>
      </c>
      <c r="C4998">
        <v>850440</v>
      </c>
      <c r="D4998" t="s">
        <v>176</v>
      </c>
      <c r="E4998">
        <v>968592</v>
      </c>
      <c r="F4998">
        <v>231</v>
      </c>
      <c r="G4998">
        <v>15836</v>
      </c>
      <c r="H4998">
        <f>_xlfn.XLOOKUP(FACT_IMPORTS[[#This Row],[hts_6]],DIM_PRODUCTS[hts_6],DIM_PRODUCTS[hts_4],,,)</f>
        <v>8504</v>
      </c>
      <c r="I4998" t="str" cm="1">
        <f t="array" ref="I4998">_xlfn.XLOOKUP(FACT_IMPORTS[[#This Row],[country_name]],DIM_COUNTRY[[#All],[Column2]],DIM_COUNTRY[[#All],[Column3]],,,)</f>
        <v>Major_Non-USMCA_Non-China</v>
      </c>
    </row>
    <row r="4999" spans="1:9" x14ac:dyDescent="0.4">
      <c r="A4999" t="s">
        <v>68</v>
      </c>
      <c r="B4999" s="1">
        <v>45078</v>
      </c>
      <c r="C4999">
        <v>850710</v>
      </c>
      <c r="D4999" t="s">
        <v>176</v>
      </c>
      <c r="E4999">
        <v>0</v>
      </c>
      <c r="F4999">
        <v>0</v>
      </c>
      <c r="G4999">
        <v>0</v>
      </c>
      <c r="H4999">
        <f>_xlfn.XLOOKUP(FACT_IMPORTS[[#This Row],[hts_6]],DIM_PRODUCTS[hts_6],DIM_PRODUCTS[hts_4],,,)</f>
        <v>8507</v>
      </c>
      <c r="I4999" t="str" cm="1">
        <f t="array" ref="I4999">_xlfn.XLOOKUP(FACT_IMPORTS[[#This Row],[country_name]],DIM_COUNTRY[[#All],[Column2]],DIM_COUNTRY[[#All],[Column3]],,,)</f>
        <v>Major_Non-USMCA_Non-China</v>
      </c>
    </row>
    <row r="5000" spans="1:9" x14ac:dyDescent="0.4">
      <c r="A5000" t="s">
        <v>68</v>
      </c>
      <c r="B5000" s="1">
        <v>45078</v>
      </c>
      <c r="C5000">
        <v>850760</v>
      </c>
      <c r="D5000" t="s">
        <v>176</v>
      </c>
      <c r="E5000">
        <v>2570167</v>
      </c>
      <c r="F5000">
        <v>996</v>
      </c>
      <c r="G5000">
        <v>19452</v>
      </c>
      <c r="H5000">
        <f>_xlfn.XLOOKUP(FACT_IMPORTS[[#This Row],[hts_6]],DIM_PRODUCTS[hts_6],DIM_PRODUCTS[hts_4],,,)</f>
        <v>8507</v>
      </c>
      <c r="I5000" t="str" cm="1">
        <f t="array" ref="I5000">_xlfn.XLOOKUP(FACT_IMPORTS[[#This Row],[country_name]],DIM_COUNTRY[[#All],[Column2]],DIM_COUNTRY[[#All],[Column3]],,,)</f>
        <v>Major_Non-USMCA_Non-China</v>
      </c>
    </row>
    <row r="5001" spans="1:9" x14ac:dyDescent="0.4">
      <c r="A5001" t="s">
        <v>68</v>
      </c>
      <c r="B5001" s="1">
        <v>45078</v>
      </c>
      <c r="C5001">
        <v>850790</v>
      </c>
      <c r="D5001" t="s">
        <v>176</v>
      </c>
      <c r="E5001">
        <v>889934</v>
      </c>
      <c r="F5001">
        <v>75615</v>
      </c>
      <c r="G5001">
        <v>20917</v>
      </c>
      <c r="H5001">
        <f>_xlfn.XLOOKUP(FACT_IMPORTS[[#This Row],[hts_6]],DIM_PRODUCTS[hts_6],DIM_PRODUCTS[hts_4],,,)</f>
        <v>8507</v>
      </c>
      <c r="I5001" t="str" cm="1">
        <f t="array" ref="I5001">_xlfn.XLOOKUP(FACT_IMPORTS[[#This Row],[country_name]],DIM_COUNTRY[[#All],[Column2]],DIM_COUNTRY[[#All],[Column3]],,,)</f>
        <v>Major_Non-USMCA_Non-China</v>
      </c>
    </row>
    <row r="5002" spans="1:9" x14ac:dyDescent="0.4">
      <c r="A5002" t="s">
        <v>68</v>
      </c>
      <c r="B5002" s="1">
        <v>45078</v>
      </c>
      <c r="C5002">
        <v>851110</v>
      </c>
      <c r="D5002" t="s">
        <v>176</v>
      </c>
      <c r="E5002">
        <v>2275</v>
      </c>
      <c r="F5002">
        <v>15</v>
      </c>
      <c r="G5002">
        <v>80</v>
      </c>
      <c r="H5002">
        <f>_xlfn.XLOOKUP(FACT_IMPORTS[[#This Row],[hts_6]],DIM_PRODUCTS[hts_6],DIM_PRODUCTS[hts_4],,,)</f>
        <v>8511</v>
      </c>
      <c r="I5002" t="str" cm="1">
        <f t="array" ref="I5002">_xlfn.XLOOKUP(FACT_IMPORTS[[#This Row],[country_name]],DIM_COUNTRY[[#All],[Column2]],DIM_COUNTRY[[#All],[Column3]],,,)</f>
        <v>Major_Non-USMCA_Non-China</v>
      </c>
    </row>
    <row r="5003" spans="1:9" x14ac:dyDescent="0.4">
      <c r="A5003" t="s">
        <v>68</v>
      </c>
      <c r="B5003" s="1">
        <v>45078</v>
      </c>
      <c r="C5003">
        <v>851120</v>
      </c>
      <c r="D5003" t="s">
        <v>176</v>
      </c>
      <c r="E5003">
        <v>5114</v>
      </c>
      <c r="F5003">
        <v>64</v>
      </c>
      <c r="G5003">
        <v>113</v>
      </c>
      <c r="H5003">
        <f>_xlfn.XLOOKUP(FACT_IMPORTS[[#This Row],[hts_6]],DIM_PRODUCTS[hts_6],DIM_PRODUCTS[hts_4],,,)</f>
        <v>8511</v>
      </c>
      <c r="I5003" t="str" cm="1">
        <f t="array" ref="I5003">_xlfn.XLOOKUP(FACT_IMPORTS[[#This Row],[country_name]],DIM_COUNTRY[[#All],[Column2]],DIM_COUNTRY[[#All],[Column3]],,,)</f>
        <v>Major_Non-USMCA_Non-China</v>
      </c>
    </row>
    <row r="5004" spans="1:9" x14ac:dyDescent="0.4">
      <c r="A5004" t="s">
        <v>68</v>
      </c>
      <c r="B5004" s="1">
        <v>45078</v>
      </c>
      <c r="C5004">
        <v>851130</v>
      </c>
      <c r="D5004" t="s">
        <v>176</v>
      </c>
      <c r="E5004">
        <v>11368</v>
      </c>
      <c r="F5004">
        <v>227</v>
      </c>
      <c r="G5004">
        <v>288</v>
      </c>
      <c r="H5004">
        <f>_xlfn.XLOOKUP(FACT_IMPORTS[[#This Row],[hts_6]],DIM_PRODUCTS[hts_6],DIM_PRODUCTS[hts_4],,,)</f>
        <v>8511</v>
      </c>
      <c r="I5004" t="str" cm="1">
        <f t="array" ref="I5004">_xlfn.XLOOKUP(FACT_IMPORTS[[#This Row],[country_name]],DIM_COUNTRY[[#All],[Column2]],DIM_COUNTRY[[#All],[Column3]],,,)</f>
        <v>Major_Non-USMCA_Non-China</v>
      </c>
    </row>
    <row r="5005" spans="1:9" x14ac:dyDescent="0.4">
      <c r="A5005" t="s">
        <v>68</v>
      </c>
      <c r="B5005" s="1">
        <v>45078</v>
      </c>
      <c r="C5005">
        <v>851140</v>
      </c>
      <c r="D5005" t="s">
        <v>176</v>
      </c>
      <c r="E5005">
        <v>5047</v>
      </c>
      <c r="F5005">
        <v>4</v>
      </c>
      <c r="G5005">
        <v>5</v>
      </c>
      <c r="H5005">
        <f>_xlfn.XLOOKUP(FACT_IMPORTS[[#This Row],[hts_6]],DIM_PRODUCTS[hts_6],DIM_PRODUCTS[hts_4],,,)</f>
        <v>8511</v>
      </c>
      <c r="I5005" t="str" cm="1">
        <f t="array" ref="I5005">_xlfn.XLOOKUP(FACT_IMPORTS[[#This Row],[country_name]],DIM_COUNTRY[[#All],[Column2]],DIM_COUNTRY[[#All],[Column3]],,,)</f>
        <v>Major_Non-USMCA_Non-China</v>
      </c>
    </row>
    <row r="5006" spans="1:9" x14ac:dyDescent="0.4">
      <c r="A5006" t="s">
        <v>68</v>
      </c>
      <c r="B5006" s="1">
        <v>45078</v>
      </c>
      <c r="C5006">
        <v>851150</v>
      </c>
      <c r="D5006" t="s">
        <v>176</v>
      </c>
      <c r="E5006">
        <v>2123</v>
      </c>
      <c r="F5006">
        <v>10</v>
      </c>
      <c r="G5006">
        <v>375</v>
      </c>
      <c r="H5006">
        <f>_xlfn.XLOOKUP(FACT_IMPORTS[[#This Row],[hts_6]],DIM_PRODUCTS[hts_6],DIM_PRODUCTS[hts_4],,,)</f>
        <v>8511</v>
      </c>
      <c r="I5006" t="str" cm="1">
        <f t="array" ref="I5006">_xlfn.XLOOKUP(FACT_IMPORTS[[#This Row],[country_name]],DIM_COUNTRY[[#All],[Column2]],DIM_COUNTRY[[#All],[Column3]],,,)</f>
        <v>Major_Non-USMCA_Non-China</v>
      </c>
    </row>
    <row r="5007" spans="1:9" x14ac:dyDescent="0.4">
      <c r="A5007" t="s">
        <v>68</v>
      </c>
      <c r="B5007" s="1">
        <v>45078</v>
      </c>
      <c r="C5007">
        <v>851180</v>
      </c>
      <c r="D5007" t="s">
        <v>176</v>
      </c>
      <c r="E5007">
        <v>321308</v>
      </c>
      <c r="F5007">
        <v>26755</v>
      </c>
      <c r="G5007">
        <v>1123</v>
      </c>
      <c r="H5007">
        <f>_xlfn.XLOOKUP(FACT_IMPORTS[[#This Row],[hts_6]],DIM_PRODUCTS[hts_6],DIM_PRODUCTS[hts_4],,,)</f>
        <v>8511</v>
      </c>
      <c r="I5007" t="str" cm="1">
        <f t="array" ref="I5007">_xlfn.XLOOKUP(FACT_IMPORTS[[#This Row],[country_name]],DIM_COUNTRY[[#All],[Column2]],DIM_COUNTRY[[#All],[Column3]],,,)</f>
        <v>Major_Non-USMCA_Non-China</v>
      </c>
    </row>
    <row r="5008" spans="1:9" x14ac:dyDescent="0.4">
      <c r="A5008" t="s">
        <v>68</v>
      </c>
      <c r="B5008" s="1">
        <v>45078</v>
      </c>
      <c r="C5008">
        <v>851190</v>
      </c>
      <c r="D5008" t="s">
        <v>176</v>
      </c>
      <c r="E5008">
        <v>8144</v>
      </c>
      <c r="F5008">
        <v>76</v>
      </c>
      <c r="G5008">
        <v>181</v>
      </c>
      <c r="H5008">
        <f>_xlfn.XLOOKUP(FACT_IMPORTS[[#This Row],[hts_6]],DIM_PRODUCTS[hts_6],DIM_PRODUCTS[hts_4],,,)</f>
        <v>8511</v>
      </c>
      <c r="I5008" t="str" cm="1">
        <f t="array" ref="I5008">_xlfn.XLOOKUP(FACT_IMPORTS[[#This Row],[country_name]],DIM_COUNTRY[[#All],[Column2]],DIM_COUNTRY[[#All],[Column3]],,,)</f>
        <v>Major_Non-USMCA_Non-China</v>
      </c>
    </row>
    <row r="5009" spans="1:9" x14ac:dyDescent="0.4">
      <c r="A5009" t="s">
        <v>68</v>
      </c>
      <c r="B5009" s="1">
        <v>45078</v>
      </c>
      <c r="C5009">
        <v>851220</v>
      </c>
      <c r="D5009" t="s">
        <v>176</v>
      </c>
      <c r="E5009">
        <v>88119</v>
      </c>
      <c r="F5009">
        <v>12283</v>
      </c>
      <c r="G5009">
        <v>1686</v>
      </c>
      <c r="H5009">
        <f>_xlfn.XLOOKUP(FACT_IMPORTS[[#This Row],[hts_6]],DIM_PRODUCTS[hts_6],DIM_PRODUCTS[hts_4],,,)</f>
        <v>8512</v>
      </c>
      <c r="I5009" t="str" cm="1">
        <f t="array" ref="I5009">_xlfn.XLOOKUP(FACT_IMPORTS[[#This Row],[country_name]],DIM_COUNTRY[[#All],[Column2]],DIM_COUNTRY[[#All],[Column3]],,,)</f>
        <v>Major_Non-USMCA_Non-China</v>
      </c>
    </row>
    <row r="5010" spans="1:9" x14ac:dyDescent="0.4">
      <c r="A5010" t="s">
        <v>68</v>
      </c>
      <c r="B5010" s="1">
        <v>45078</v>
      </c>
      <c r="C5010">
        <v>851230</v>
      </c>
      <c r="D5010" t="s">
        <v>176</v>
      </c>
      <c r="E5010">
        <v>0</v>
      </c>
      <c r="F5010">
        <v>0</v>
      </c>
      <c r="G5010">
        <v>0</v>
      </c>
      <c r="H5010">
        <f>_xlfn.XLOOKUP(FACT_IMPORTS[[#This Row],[hts_6]],DIM_PRODUCTS[hts_6],DIM_PRODUCTS[hts_4],,,)</f>
        <v>8512</v>
      </c>
      <c r="I5010" t="str" cm="1">
        <f t="array" ref="I5010">_xlfn.XLOOKUP(FACT_IMPORTS[[#This Row],[country_name]],DIM_COUNTRY[[#All],[Column2]],DIM_COUNTRY[[#All],[Column3]],,,)</f>
        <v>Major_Non-USMCA_Non-China</v>
      </c>
    </row>
    <row r="5011" spans="1:9" x14ac:dyDescent="0.4">
      <c r="A5011" t="s">
        <v>68</v>
      </c>
      <c r="B5011" s="1">
        <v>45078</v>
      </c>
      <c r="C5011">
        <v>851290</v>
      </c>
      <c r="D5011" t="s">
        <v>176</v>
      </c>
      <c r="E5011">
        <v>4241</v>
      </c>
      <c r="F5011">
        <v>97</v>
      </c>
      <c r="G5011">
        <v>900</v>
      </c>
      <c r="H5011">
        <f>_xlfn.XLOOKUP(FACT_IMPORTS[[#This Row],[hts_6]],DIM_PRODUCTS[hts_6],DIM_PRODUCTS[hts_4],,,)</f>
        <v>8512</v>
      </c>
      <c r="I5011" t="str" cm="1">
        <f t="array" ref="I5011">_xlfn.XLOOKUP(FACT_IMPORTS[[#This Row],[country_name]],DIM_COUNTRY[[#All],[Column2]],DIM_COUNTRY[[#All],[Column3]],,,)</f>
        <v>Major_Non-USMCA_Non-China</v>
      </c>
    </row>
    <row r="5012" spans="1:9" x14ac:dyDescent="0.4">
      <c r="A5012" t="s">
        <v>68</v>
      </c>
      <c r="B5012" s="1">
        <v>45078</v>
      </c>
      <c r="C5012">
        <v>854231</v>
      </c>
      <c r="D5012" t="s">
        <v>176</v>
      </c>
      <c r="E5012">
        <v>18840</v>
      </c>
      <c r="F5012">
        <v>21</v>
      </c>
      <c r="G5012">
        <v>692</v>
      </c>
      <c r="H5012">
        <f>_xlfn.XLOOKUP(FACT_IMPORTS[[#This Row],[hts_6]],DIM_PRODUCTS[hts_6],DIM_PRODUCTS[hts_4],,,)</f>
        <v>8542</v>
      </c>
      <c r="I5012" t="str" cm="1">
        <f t="array" ref="I5012">_xlfn.XLOOKUP(FACT_IMPORTS[[#This Row],[country_name]],DIM_COUNTRY[[#All],[Column2]],DIM_COUNTRY[[#All],[Column3]],,,)</f>
        <v>Major_Non-USMCA_Non-China</v>
      </c>
    </row>
    <row r="5013" spans="1:9" x14ac:dyDescent="0.4">
      <c r="A5013" t="s">
        <v>68</v>
      </c>
      <c r="B5013" s="1">
        <v>45078</v>
      </c>
      <c r="C5013">
        <v>854232</v>
      </c>
      <c r="D5013" t="s">
        <v>176</v>
      </c>
      <c r="E5013">
        <v>5064</v>
      </c>
      <c r="F5013">
        <v>25</v>
      </c>
      <c r="G5013">
        <v>128</v>
      </c>
      <c r="H5013">
        <f>_xlfn.XLOOKUP(FACT_IMPORTS[[#This Row],[hts_6]],DIM_PRODUCTS[hts_6],DIM_PRODUCTS[hts_4],,,)</f>
        <v>8542</v>
      </c>
      <c r="I5013" t="str" cm="1">
        <f t="array" ref="I5013">_xlfn.XLOOKUP(FACT_IMPORTS[[#This Row],[country_name]],DIM_COUNTRY[[#All],[Column2]],DIM_COUNTRY[[#All],[Column3]],,,)</f>
        <v>Major_Non-USMCA_Non-China</v>
      </c>
    </row>
    <row r="5014" spans="1:9" x14ac:dyDescent="0.4">
      <c r="A5014" t="s">
        <v>68</v>
      </c>
      <c r="B5014" s="1">
        <v>45078</v>
      </c>
      <c r="C5014">
        <v>854233</v>
      </c>
      <c r="D5014" t="s">
        <v>176</v>
      </c>
      <c r="E5014">
        <v>0</v>
      </c>
      <c r="F5014">
        <v>0</v>
      </c>
      <c r="G5014">
        <v>0</v>
      </c>
      <c r="H5014">
        <f>_xlfn.XLOOKUP(FACT_IMPORTS[[#This Row],[hts_6]],DIM_PRODUCTS[hts_6],DIM_PRODUCTS[hts_4],,,)</f>
        <v>8542</v>
      </c>
      <c r="I5014" t="str" cm="1">
        <f t="array" ref="I5014">_xlfn.XLOOKUP(FACT_IMPORTS[[#This Row],[country_name]],DIM_COUNTRY[[#All],[Column2]],DIM_COUNTRY[[#All],[Column3]],,,)</f>
        <v>Major_Non-USMCA_Non-China</v>
      </c>
    </row>
    <row r="5015" spans="1:9" x14ac:dyDescent="0.4">
      <c r="A5015" t="s">
        <v>68</v>
      </c>
      <c r="B5015" s="1">
        <v>45078</v>
      </c>
      <c r="C5015">
        <v>854239</v>
      </c>
      <c r="D5015" t="s">
        <v>176</v>
      </c>
      <c r="E5015">
        <v>0</v>
      </c>
      <c r="F5015">
        <v>0</v>
      </c>
      <c r="G5015">
        <v>0</v>
      </c>
      <c r="H5015">
        <f>_xlfn.XLOOKUP(FACT_IMPORTS[[#This Row],[hts_6]],DIM_PRODUCTS[hts_6],DIM_PRODUCTS[hts_4],,,)</f>
        <v>8542</v>
      </c>
      <c r="I5015" t="str" cm="1">
        <f t="array" ref="I5015">_xlfn.XLOOKUP(FACT_IMPORTS[[#This Row],[country_name]],DIM_COUNTRY[[#All],[Column2]],DIM_COUNTRY[[#All],[Column3]],,,)</f>
        <v>Major_Non-USMCA_Non-China</v>
      </c>
    </row>
    <row r="5016" spans="1:9" x14ac:dyDescent="0.4">
      <c r="A5016" t="s">
        <v>68</v>
      </c>
      <c r="B5016" s="1">
        <v>45078</v>
      </c>
      <c r="C5016">
        <v>854290</v>
      </c>
      <c r="D5016" t="s">
        <v>176</v>
      </c>
      <c r="E5016">
        <v>2252</v>
      </c>
      <c r="F5016">
        <v>2</v>
      </c>
      <c r="G5016">
        <v>35</v>
      </c>
      <c r="H5016">
        <f>_xlfn.XLOOKUP(FACT_IMPORTS[[#This Row],[hts_6]],DIM_PRODUCTS[hts_6],DIM_PRODUCTS[hts_4],,,)</f>
        <v>8542</v>
      </c>
      <c r="I5016" t="str" cm="1">
        <f t="array" ref="I5016">_xlfn.XLOOKUP(FACT_IMPORTS[[#This Row],[country_name]],DIM_COUNTRY[[#All],[Column2]],DIM_COUNTRY[[#All],[Column3]],,,)</f>
        <v>Major_Non-USMCA_Non-China</v>
      </c>
    </row>
    <row r="5017" spans="1:9" x14ac:dyDescent="0.4">
      <c r="A5017" t="s">
        <v>68</v>
      </c>
      <c r="B5017" s="1">
        <v>45078</v>
      </c>
      <c r="C5017">
        <v>854430</v>
      </c>
      <c r="D5017" t="s">
        <v>176</v>
      </c>
      <c r="E5017">
        <v>424503</v>
      </c>
      <c r="F5017">
        <v>23635</v>
      </c>
      <c r="G5017">
        <v>4517</v>
      </c>
      <c r="H5017">
        <f>_xlfn.XLOOKUP(FACT_IMPORTS[[#This Row],[hts_6]],DIM_PRODUCTS[hts_6],DIM_PRODUCTS[hts_4],,,)</f>
        <v>8544</v>
      </c>
      <c r="I5017" t="str" cm="1">
        <f t="array" ref="I5017">_xlfn.XLOOKUP(FACT_IMPORTS[[#This Row],[country_name]],DIM_COUNTRY[[#All],[Column2]],DIM_COUNTRY[[#All],[Column3]],,,)</f>
        <v>Major_Non-USMCA_Non-China</v>
      </c>
    </row>
    <row r="5018" spans="1:9" x14ac:dyDescent="0.4">
      <c r="A5018" t="s">
        <v>68</v>
      </c>
      <c r="B5018" s="1">
        <v>45078</v>
      </c>
      <c r="C5018">
        <v>870790</v>
      </c>
      <c r="D5018" t="s">
        <v>176</v>
      </c>
      <c r="E5018">
        <v>0</v>
      </c>
      <c r="F5018">
        <v>0</v>
      </c>
      <c r="G5018">
        <v>0</v>
      </c>
      <c r="H5018">
        <f>_xlfn.XLOOKUP(FACT_IMPORTS[[#This Row],[hts_6]],DIM_PRODUCTS[hts_6],DIM_PRODUCTS[hts_4],,,)</f>
        <v>8707</v>
      </c>
      <c r="I5018" t="str" cm="1">
        <f t="array" ref="I5018">_xlfn.XLOOKUP(FACT_IMPORTS[[#This Row],[country_name]],DIM_COUNTRY[[#All],[Column2]],DIM_COUNTRY[[#All],[Column3]],,,)</f>
        <v>Major_Non-USMCA_Non-China</v>
      </c>
    </row>
    <row r="5019" spans="1:9" x14ac:dyDescent="0.4">
      <c r="A5019" t="s">
        <v>68</v>
      </c>
      <c r="B5019" s="1">
        <v>45078</v>
      </c>
      <c r="C5019">
        <v>870810</v>
      </c>
      <c r="D5019" t="s">
        <v>176</v>
      </c>
      <c r="E5019">
        <v>37857</v>
      </c>
      <c r="F5019">
        <v>537</v>
      </c>
      <c r="G5019">
        <v>362</v>
      </c>
      <c r="H5019">
        <f>_xlfn.XLOOKUP(FACT_IMPORTS[[#This Row],[hts_6]],DIM_PRODUCTS[hts_6],DIM_PRODUCTS[hts_4],,,)</f>
        <v>8708</v>
      </c>
      <c r="I5019" t="str" cm="1">
        <f t="array" ref="I5019">_xlfn.XLOOKUP(FACT_IMPORTS[[#This Row],[country_name]],DIM_COUNTRY[[#All],[Column2]],DIM_COUNTRY[[#All],[Column3]],,,)</f>
        <v>Major_Non-USMCA_Non-China</v>
      </c>
    </row>
    <row r="5020" spans="1:9" x14ac:dyDescent="0.4">
      <c r="A5020" t="s">
        <v>68</v>
      </c>
      <c r="B5020" s="1">
        <v>45078</v>
      </c>
      <c r="C5020">
        <v>870822</v>
      </c>
      <c r="D5020" t="s">
        <v>176</v>
      </c>
      <c r="E5020">
        <v>28102</v>
      </c>
      <c r="F5020">
        <v>94</v>
      </c>
      <c r="G5020">
        <v>4</v>
      </c>
      <c r="H5020">
        <f>_xlfn.XLOOKUP(FACT_IMPORTS[[#This Row],[hts_6]],DIM_PRODUCTS[hts_6],DIM_PRODUCTS[hts_4],,,)</f>
        <v>8708</v>
      </c>
      <c r="I5020" t="str" cm="1">
        <f t="array" ref="I5020">_xlfn.XLOOKUP(FACT_IMPORTS[[#This Row],[country_name]],DIM_COUNTRY[[#All],[Column2]],DIM_COUNTRY[[#All],[Column3]],,,)</f>
        <v>Major_Non-USMCA_Non-China</v>
      </c>
    </row>
    <row r="5021" spans="1:9" x14ac:dyDescent="0.4">
      <c r="A5021" t="s">
        <v>68</v>
      </c>
      <c r="B5021" s="1">
        <v>45078</v>
      </c>
      <c r="C5021">
        <v>870829</v>
      </c>
      <c r="D5021" t="s">
        <v>176</v>
      </c>
      <c r="E5021">
        <v>1940536</v>
      </c>
      <c r="F5021">
        <v>1475031</v>
      </c>
      <c r="G5021">
        <v>75469</v>
      </c>
      <c r="H5021">
        <f>_xlfn.XLOOKUP(FACT_IMPORTS[[#This Row],[hts_6]],DIM_PRODUCTS[hts_6],DIM_PRODUCTS[hts_4],,,)</f>
        <v>8708</v>
      </c>
      <c r="I5021" t="str" cm="1">
        <f t="array" ref="I5021">_xlfn.XLOOKUP(FACT_IMPORTS[[#This Row],[country_name]],DIM_COUNTRY[[#All],[Column2]],DIM_COUNTRY[[#All],[Column3]],,,)</f>
        <v>Major_Non-USMCA_Non-China</v>
      </c>
    </row>
    <row r="5022" spans="1:9" x14ac:dyDescent="0.4">
      <c r="A5022" t="s">
        <v>68</v>
      </c>
      <c r="B5022" s="1">
        <v>45078</v>
      </c>
      <c r="C5022">
        <v>870830</v>
      </c>
      <c r="D5022" t="s">
        <v>176</v>
      </c>
      <c r="E5022">
        <v>125989</v>
      </c>
      <c r="F5022">
        <v>1734</v>
      </c>
      <c r="G5022">
        <v>4465</v>
      </c>
      <c r="H5022">
        <f>_xlfn.XLOOKUP(FACT_IMPORTS[[#This Row],[hts_6]],DIM_PRODUCTS[hts_6],DIM_PRODUCTS[hts_4],,,)</f>
        <v>8708</v>
      </c>
      <c r="I5022" t="str" cm="1">
        <f t="array" ref="I5022">_xlfn.XLOOKUP(FACT_IMPORTS[[#This Row],[country_name]],DIM_COUNTRY[[#All],[Column2]],DIM_COUNTRY[[#All],[Column3]],,,)</f>
        <v>Major_Non-USMCA_Non-China</v>
      </c>
    </row>
    <row r="5023" spans="1:9" x14ac:dyDescent="0.4">
      <c r="A5023" t="s">
        <v>68</v>
      </c>
      <c r="B5023" s="1">
        <v>45078</v>
      </c>
      <c r="C5023">
        <v>870840</v>
      </c>
      <c r="D5023" t="s">
        <v>176</v>
      </c>
      <c r="E5023">
        <v>58763950</v>
      </c>
      <c r="F5023">
        <v>1078295</v>
      </c>
      <c r="G5023">
        <v>154248</v>
      </c>
      <c r="H5023">
        <f>_xlfn.XLOOKUP(FACT_IMPORTS[[#This Row],[hts_6]],DIM_PRODUCTS[hts_6],DIM_PRODUCTS[hts_4],,,)</f>
        <v>8708</v>
      </c>
      <c r="I5023" t="str" cm="1">
        <f t="array" ref="I5023">_xlfn.XLOOKUP(FACT_IMPORTS[[#This Row],[country_name]],DIM_COUNTRY[[#All],[Column2]],DIM_COUNTRY[[#All],[Column3]],,,)</f>
        <v>Major_Non-USMCA_Non-China</v>
      </c>
    </row>
    <row r="5024" spans="1:9" x14ac:dyDescent="0.4">
      <c r="A5024" t="s">
        <v>68</v>
      </c>
      <c r="B5024" s="1">
        <v>45078</v>
      </c>
      <c r="C5024">
        <v>870850</v>
      </c>
      <c r="D5024" t="s">
        <v>176</v>
      </c>
      <c r="E5024">
        <v>11102478</v>
      </c>
      <c r="F5024">
        <v>738505</v>
      </c>
      <c r="G5024">
        <v>271679</v>
      </c>
      <c r="H5024">
        <f>_xlfn.XLOOKUP(FACT_IMPORTS[[#This Row],[hts_6]],DIM_PRODUCTS[hts_6],DIM_PRODUCTS[hts_4],,,)</f>
        <v>8708</v>
      </c>
      <c r="I5024" t="str" cm="1">
        <f t="array" ref="I5024">_xlfn.XLOOKUP(FACT_IMPORTS[[#This Row],[country_name]],DIM_COUNTRY[[#All],[Column2]],DIM_COUNTRY[[#All],[Column3]],,,)</f>
        <v>Major_Non-USMCA_Non-China</v>
      </c>
    </row>
    <row r="5025" spans="1:9" x14ac:dyDescent="0.4">
      <c r="A5025" t="s">
        <v>68</v>
      </c>
      <c r="B5025" s="1">
        <v>45078</v>
      </c>
      <c r="C5025">
        <v>870870</v>
      </c>
      <c r="D5025" t="s">
        <v>176</v>
      </c>
      <c r="E5025">
        <v>3156</v>
      </c>
      <c r="F5025">
        <v>23</v>
      </c>
      <c r="G5025">
        <v>12</v>
      </c>
      <c r="H5025">
        <f>_xlfn.XLOOKUP(FACT_IMPORTS[[#This Row],[hts_6]],DIM_PRODUCTS[hts_6],DIM_PRODUCTS[hts_4],,,)</f>
        <v>8708</v>
      </c>
      <c r="I5025" t="str" cm="1">
        <f t="array" ref="I5025">_xlfn.XLOOKUP(FACT_IMPORTS[[#This Row],[country_name]],DIM_COUNTRY[[#All],[Column2]],DIM_COUNTRY[[#All],[Column3]],,,)</f>
        <v>Major_Non-USMCA_Non-China</v>
      </c>
    </row>
    <row r="5026" spans="1:9" x14ac:dyDescent="0.4">
      <c r="A5026" t="s">
        <v>68</v>
      </c>
      <c r="B5026" s="1">
        <v>45078</v>
      </c>
      <c r="C5026">
        <v>870880</v>
      </c>
      <c r="D5026" t="s">
        <v>176</v>
      </c>
      <c r="E5026">
        <v>1532062</v>
      </c>
      <c r="F5026">
        <v>805482</v>
      </c>
      <c r="G5026">
        <v>36503</v>
      </c>
      <c r="H5026">
        <f>_xlfn.XLOOKUP(FACT_IMPORTS[[#This Row],[hts_6]],DIM_PRODUCTS[hts_6],DIM_PRODUCTS[hts_4],,,)</f>
        <v>8708</v>
      </c>
      <c r="I5026" t="str" cm="1">
        <f t="array" ref="I5026">_xlfn.XLOOKUP(FACT_IMPORTS[[#This Row],[country_name]],DIM_COUNTRY[[#All],[Column2]],DIM_COUNTRY[[#All],[Column3]],,,)</f>
        <v>Major_Non-USMCA_Non-China</v>
      </c>
    </row>
    <row r="5027" spans="1:9" x14ac:dyDescent="0.4">
      <c r="A5027" t="s">
        <v>68</v>
      </c>
      <c r="B5027" s="1">
        <v>45078</v>
      </c>
      <c r="C5027">
        <v>870891</v>
      </c>
      <c r="D5027" t="s">
        <v>176</v>
      </c>
      <c r="E5027">
        <v>98179</v>
      </c>
      <c r="F5027">
        <v>169</v>
      </c>
      <c r="G5027">
        <v>2777</v>
      </c>
      <c r="H5027">
        <f>_xlfn.XLOOKUP(FACT_IMPORTS[[#This Row],[hts_6]],DIM_PRODUCTS[hts_6],DIM_PRODUCTS[hts_4],,,)</f>
        <v>8708</v>
      </c>
      <c r="I5027" t="str" cm="1">
        <f t="array" ref="I5027">_xlfn.XLOOKUP(FACT_IMPORTS[[#This Row],[country_name]],DIM_COUNTRY[[#All],[Column2]],DIM_COUNTRY[[#All],[Column3]],,,)</f>
        <v>Major_Non-USMCA_Non-China</v>
      </c>
    </row>
    <row r="5028" spans="1:9" x14ac:dyDescent="0.4">
      <c r="A5028" t="s">
        <v>68</v>
      </c>
      <c r="B5028" s="1">
        <v>45078</v>
      </c>
      <c r="C5028">
        <v>870892</v>
      </c>
      <c r="D5028" t="s">
        <v>176</v>
      </c>
      <c r="E5028">
        <v>25613</v>
      </c>
      <c r="F5028">
        <v>324</v>
      </c>
      <c r="G5028">
        <v>103</v>
      </c>
      <c r="H5028">
        <f>_xlfn.XLOOKUP(FACT_IMPORTS[[#This Row],[hts_6]],DIM_PRODUCTS[hts_6],DIM_PRODUCTS[hts_4],,,)</f>
        <v>8708</v>
      </c>
      <c r="I5028" t="str" cm="1">
        <f t="array" ref="I5028">_xlfn.XLOOKUP(FACT_IMPORTS[[#This Row],[country_name]],DIM_COUNTRY[[#All],[Column2]],DIM_COUNTRY[[#All],[Column3]],,,)</f>
        <v>Major_Non-USMCA_Non-China</v>
      </c>
    </row>
    <row r="5029" spans="1:9" x14ac:dyDescent="0.4">
      <c r="A5029" t="s">
        <v>68</v>
      </c>
      <c r="B5029" s="1">
        <v>45078</v>
      </c>
      <c r="C5029">
        <v>870893</v>
      </c>
      <c r="D5029" t="s">
        <v>176</v>
      </c>
      <c r="E5029">
        <v>537324</v>
      </c>
      <c r="F5029">
        <v>17721</v>
      </c>
      <c r="G5029">
        <v>4155</v>
      </c>
      <c r="H5029">
        <f>_xlfn.XLOOKUP(FACT_IMPORTS[[#This Row],[hts_6]],DIM_PRODUCTS[hts_6],DIM_PRODUCTS[hts_4],,,)</f>
        <v>8708</v>
      </c>
      <c r="I5029" t="str" cm="1">
        <f t="array" ref="I5029">_xlfn.XLOOKUP(FACT_IMPORTS[[#This Row],[country_name]],DIM_COUNTRY[[#All],[Column2]],DIM_COUNTRY[[#All],[Column3]],,,)</f>
        <v>Major_Non-USMCA_Non-China</v>
      </c>
    </row>
    <row r="5030" spans="1:9" x14ac:dyDescent="0.4">
      <c r="A5030" t="s">
        <v>68</v>
      </c>
      <c r="B5030" s="1">
        <v>45078</v>
      </c>
      <c r="C5030">
        <v>870894</v>
      </c>
      <c r="D5030" t="s">
        <v>176</v>
      </c>
      <c r="E5030">
        <v>48718</v>
      </c>
      <c r="F5030">
        <v>7426</v>
      </c>
      <c r="G5030">
        <v>4409</v>
      </c>
      <c r="H5030">
        <f>_xlfn.XLOOKUP(FACT_IMPORTS[[#This Row],[hts_6]],DIM_PRODUCTS[hts_6],DIM_PRODUCTS[hts_4],,,)</f>
        <v>8708</v>
      </c>
      <c r="I5030" t="str" cm="1">
        <f t="array" ref="I5030">_xlfn.XLOOKUP(FACT_IMPORTS[[#This Row],[country_name]],DIM_COUNTRY[[#All],[Column2]],DIM_COUNTRY[[#All],[Column3]],,,)</f>
        <v>Major_Non-USMCA_Non-China</v>
      </c>
    </row>
    <row r="5031" spans="1:9" x14ac:dyDescent="0.4">
      <c r="A5031" t="s">
        <v>68</v>
      </c>
      <c r="B5031" s="1">
        <v>45078</v>
      </c>
      <c r="C5031">
        <v>870895</v>
      </c>
      <c r="D5031" t="s">
        <v>176</v>
      </c>
      <c r="E5031">
        <v>3691</v>
      </c>
      <c r="F5031">
        <v>407</v>
      </c>
      <c r="G5031">
        <v>1658</v>
      </c>
      <c r="H5031">
        <f>_xlfn.XLOOKUP(FACT_IMPORTS[[#This Row],[hts_6]],DIM_PRODUCTS[hts_6],DIM_PRODUCTS[hts_4],,,)</f>
        <v>8708</v>
      </c>
      <c r="I5031" t="str" cm="1">
        <f t="array" ref="I5031">_xlfn.XLOOKUP(FACT_IMPORTS[[#This Row],[country_name]],DIM_COUNTRY[[#All],[Column2]],DIM_COUNTRY[[#All],[Column3]],,,)</f>
        <v>Major_Non-USMCA_Non-China</v>
      </c>
    </row>
    <row r="5032" spans="1:9" x14ac:dyDescent="0.4">
      <c r="A5032" t="s">
        <v>68</v>
      </c>
      <c r="B5032" s="1">
        <v>45078</v>
      </c>
      <c r="C5032">
        <v>870899</v>
      </c>
      <c r="D5032" t="s">
        <v>176</v>
      </c>
      <c r="E5032">
        <v>3171283</v>
      </c>
      <c r="F5032">
        <v>791885</v>
      </c>
      <c r="G5032">
        <v>32465</v>
      </c>
      <c r="H5032">
        <f>_xlfn.XLOOKUP(FACT_IMPORTS[[#This Row],[hts_6]],DIM_PRODUCTS[hts_6],DIM_PRODUCTS[hts_4],,,)</f>
        <v>8708</v>
      </c>
      <c r="I5032" t="str" cm="1">
        <f t="array" ref="I5032">_xlfn.XLOOKUP(FACT_IMPORTS[[#This Row],[country_name]],DIM_COUNTRY[[#All],[Column2]],DIM_COUNTRY[[#All],[Column3]],,,)</f>
        <v>Major_Non-USMCA_Non-China</v>
      </c>
    </row>
    <row r="5033" spans="1:9" x14ac:dyDescent="0.4">
      <c r="A5033" t="s">
        <v>68</v>
      </c>
      <c r="B5033" s="1">
        <v>45078</v>
      </c>
      <c r="C5033">
        <v>940120</v>
      </c>
      <c r="D5033" t="s">
        <v>176</v>
      </c>
      <c r="E5033">
        <v>209773</v>
      </c>
      <c r="F5033">
        <v>120</v>
      </c>
      <c r="G5033">
        <v>7164</v>
      </c>
      <c r="H5033">
        <f>_xlfn.XLOOKUP(FACT_IMPORTS[[#This Row],[hts_6]],DIM_PRODUCTS[hts_6],DIM_PRODUCTS[hts_4],,,)</f>
        <v>9401</v>
      </c>
      <c r="I5033" t="str" cm="1">
        <f t="array" ref="I5033">_xlfn.XLOOKUP(FACT_IMPORTS[[#This Row],[country_name]],DIM_COUNTRY[[#All],[Column2]],DIM_COUNTRY[[#All],[Column3]],,,)</f>
        <v>Major_Non-USMCA_Non-China</v>
      </c>
    </row>
    <row r="5034" spans="1:9" x14ac:dyDescent="0.4">
      <c r="A5034" t="s">
        <v>68</v>
      </c>
      <c r="B5034" s="1">
        <v>45108</v>
      </c>
      <c r="C5034">
        <v>392630</v>
      </c>
      <c r="D5034" t="s">
        <v>176</v>
      </c>
      <c r="E5034">
        <v>229142</v>
      </c>
      <c r="F5034">
        <v>5992</v>
      </c>
      <c r="G5034">
        <v>6274</v>
      </c>
      <c r="H5034">
        <f>_xlfn.XLOOKUP(FACT_IMPORTS[[#This Row],[hts_6]],DIM_PRODUCTS[hts_6],DIM_PRODUCTS[hts_4],,,)</f>
        <v>3926</v>
      </c>
      <c r="I5034" t="str" cm="1">
        <f t="array" ref="I5034">_xlfn.XLOOKUP(FACT_IMPORTS[[#This Row],[country_name]],DIM_COUNTRY[[#All],[Column2]],DIM_COUNTRY[[#All],[Column3]],,,)</f>
        <v>Major_Non-USMCA_Non-China</v>
      </c>
    </row>
    <row r="5035" spans="1:9" x14ac:dyDescent="0.4">
      <c r="A5035" t="s">
        <v>68</v>
      </c>
      <c r="B5035" s="1">
        <v>45108</v>
      </c>
      <c r="C5035">
        <v>401110</v>
      </c>
      <c r="D5035" t="s">
        <v>176</v>
      </c>
      <c r="E5035">
        <v>63854</v>
      </c>
      <c r="F5035">
        <v>358</v>
      </c>
      <c r="G5035">
        <v>5176</v>
      </c>
      <c r="H5035">
        <f>_xlfn.XLOOKUP(FACT_IMPORTS[[#This Row],[hts_6]],DIM_PRODUCTS[hts_6],DIM_PRODUCTS[hts_4],,,)</f>
        <v>4011</v>
      </c>
      <c r="I5035" t="str" cm="1">
        <f t="array" ref="I5035">_xlfn.XLOOKUP(FACT_IMPORTS[[#This Row],[country_name]],DIM_COUNTRY[[#All],[Column2]],DIM_COUNTRY[[#All],[Column3]],,,)</f>
        <v>Major_Non-USMCA_Non-China</v>
      </c>
    </row>
    <row r="5036" spans="1:9" x14ac:dyDescent="0.4">
      <c r="A5036" t="s">
        <v>68</v>
      </c>
      <c r="B5036" s="1">
        <v>45108</v>
      </c>
      <c r="C5036">
        <v>401120</v>
      </c>
      <c r="D5036" t="s">
        <v>176</v>
      </c>
      <c r="E5036">
        <v>0</v>
      </c>
      <c r="F5036">
        <v>0</v>
      </c>
      <c r="G5036">
        <v>0</v>
      </c>
      <c r="H5036">
        <f>_xlfn.XLOOKUP(FACT_IMPORTS[[#This Row],[hts_6]],DIM_PRODUCTS[hts_6],DIM_PRODUCTS[hts_4],,,)</f>
        <v>4011</v>
      </c>
      <c r="I5036" t="str" cm="1">
        <f t="array" ref="I5036">_xlfn.XLOOKUP(FACT_IMPORTS[[#This Row],[country_name]],DIM_COUNTRY[[#All],[Column2]],DIM_COUNTRY[[#All],[Column3]],,,)</f>
        <v>Major_Non-USMCA_Non-China</v>
      </c>
    </row>
    <row r="5037" spans="1:9" x14ac:dyDescent="0.4">
      <c r="A5037" t="s">
        <v>68</v>
      </c>
      <c r="B5037" s="1">
        <v>45108</v>
      </c>
      <c r="C5037">
        <v>401140</v>
      </c>
      <c r="D5037" t="s">
        <v>176</v>
      </c>
      <c r="E5037">
        <v>0</v>
      </c>
      <c r="F5037">
        <v>0</v>
      </c>
      <c r="G5037">
        <v>0</v>
      </c>
      <c r="H5037">
        <f>_xlfn.XLOOKUP(FACT_IMPORTS[[#This Row],[hts_6]],DIM_PRODUCTS[hts_6],DIM_PRODUCTS[hts_4],,,)</f>
        <v>4011</v>
      </c>
      <c r="I5037" t="str" cm="1">
        <f t="array" ref="I5037">_xlfn.XLOOKUP(FACT_IMPORTS[[#This Row],[country_name]],DIM_COUNTRY[[#All],[Column2]],DIM_COUNTRY[[#All],[Column3]],,,)</f>
        <v>Major_Non-USMCA_Non-China</v>
      </c>
    </row>
    <row r="5038" spans="1:9" x14ac:dyDescent="0.4">
      <c r="A5038" t="s">
        <v>68</v>
      </c>
      <c r="B5038" s="1">
        <v>45108</v>
      </c>
      <c r="C5038">
        <v>401190</v>
      </c>
      <c r="D5038" t="s">
        <v>176</v>
      </c>
      <c r="E5038">
        <v>953</v>
      </c>
      <c r="F5038">
        <v>2</v>
      </c>
      <c r="G5038">
        <v>2</v>
      </c>
      <c r="H5038">
        <f>_xlfn.XLOOKUP(FACT_IMPORTS[[#This Row],[hts_6]],DIM_PRODUCTS[hts_6],DIM_PRODUCTS[hts_4],,,)</f>
        <v>4011</v>
      </c>
      <c r="I5038" t="str" cm="1">
        <f t="array" ref="I5038">_xlfn.XLOOKUP(FACT_IMPORTS[[#This Row],[country_name]],DIM_COUNTRY[[#All],[Column2]],DIM_COUNTRY[[#All],[Column3]],,,)</f>
        <v>Major_Non-USMCA_Non-China</v>
      </c>
    </row>
    <row r="5039" spans="1:9" x14ac:dyDescent="0.4">
      <c r="A5039" t="s">
        <v>68</v>
      </c>
      <c r="B5039" s="1">
        <v>45108</v>
      </c>
      <c r="C5039">
        <v>700711</v>
      </c>
      <c r="D5039" t="s">
        <v>176</v>
      </c>
      <c r="E5039">
        <v>0</v>
      </c>
      <c r="F5039">
        <v>0</v>
      </c>
      <c r="G5039">
        <v>0</v>
      </c>
      <c r="H5039">
        <f>_xlfn.XLOOKUP(FACT_IMPORTS[[#This Row],[hts_6]],DIM_PRODUCTS[hts_6],DIM_PRODUCTS[hts_4],,,)</f>
        <v>7007</v>
      </c>
      <c r="I5039" t="str" cm="1">
        <f t="array" ref="I5039">_xlfn.XLOOKUP(FACT_IMPORTS[[#This Row],[country_name]],DIM_COUNTRY[[#All],[Column2]],DIM_COUNTRY[[#All],[Column3]],,,)</f>
        <v>Major_Non-USMCA_Non-China</v>
      </c>
    </row>
    <row r="5040" spans="1:9" x14ac:dyDescent="0.4">
      <c r="A5040" t="s">
        <v>68</v>
      </c>
      <c r="B5040" s="1">
        <v>45108</v>
      </c>
      <c r="C5040">
        <v>700721</v>
      </c>
      <c r="D5040" t="s">
        <v>176</v>
      </c>
      <c r="E5040">
        <v>0</v>
      </c>
      <c r="F5040">
        <v>0</v>
      </c>
      <c r="G5040">
        <v>0</v>
      </c>
      <c r="H5040">
        <f>_xlfn.XLOOKUP(FACT_IMPORTS[[#This Row],[hts_6]],DIM_PRODUCTS[hts_6],DIM_PRODUCTS[hts_4],,,)</f>
        <v>7007</v>
      </c>
      <c r="I5040" t="str" cm="1">
        <f t="array" ref="I5040">_xlfn.XLOOKUP(FACT_IMPORTS[[#This Row],[country_name]],DIM_COUNTRY[[#All],[Column2]],DIM_COUNTRY[[#All],[Column3]],,,)</f>
        <v>Major_Non-USMCA_Non-China</v>
      </c>
    </row>
    <row r="5041" spans="1:9" x14ac:dyDescent="0.4">
      <c r="A5041" t="s">
        <v>68</v>
      </c>
      <c r="B5041" s="1">
        <v>45108</v>
      </c>
      <c r="C5041">
        <v>732010</v>
      </c>
      <c r="D5041" t="s">
        <v>176</v>
      </c>
      <c r="E5041">
        <v>182671</v>
      </c>
      <c r="F5041">
        <v>6455</v>
      </c>
      <c r="G5041">
        <v>275</v>
      </c>
      <c r="H5041">
        <f>_xlfn.XLOOKUP(FACT_IMPORTS[[#This Row],[hts_6]],DIM_PRODUCTS[hts_6],DIM_PRODUCTS[hts_4],,,)</f>
        <v>7320</v>
      </c>
      <c r="I5041" t="str" cm="1">
        <f t="array" ref="I5041">_xlfn.XLOOKUP(FACT_IMPORTS[[#This Row],[country_name]],DIM_COUNTRY[[#All],[Column2]],DIM_COUNTRY[[#All],[Column3]],,,)</f>
        <v>Major_Non-USMCA_Non-China</v>
      </c>
    </row>
    <row r="5042" spans="1:9" x14ac:dyDescent="0.4">
      <c r="A5042" t="s">
        <v>68</v>
      </c>
      <c r="B5042" s="1">
        <v>45108</v>
      </c>
      <c r="C5042">
        <v>830230</v>
      </c>
      <c r="D5042" t="s">
        <v>176</v>
      </c>
      <c r="E5042">
        <v>241332</v>
      </c>
      <c r="F5042">
        <v>64167</v>
      </c>
      <c r="G5042">
        <v>13567</v>
      </c>
      <c r="H5042">
        <f>_xlfn.XLOOKUP(FACT_IMPORTS[[#This Row],[hts_6]],DIM_PRODUCTS[hts_6],DIM_PRODUCTS[hts_4],,,)</f>
        <v>8302</v>
      </c>
      <c r="I5042" t="str" cm="1">
        <f t="array" ref="I5042">_xlfn.XLOOKUP(FACT_IMPORTS[[#This Row],[country_name]],DIM_COUNTRY[[#All],[Column2]],DIM_COUNTRY[[#All],[Column3]],,,)</f>
        <v>Major_Non-USMCA_Non-China</v>
      </c>
    </row>
    <row r="5043" spans="1:9" x14ac:dyDescent="0.4">
      <c r="A5043" t="s">
        <v>68</v>
      </c>
      <c r="B5043" s="1">
        <v>45108</v>
      </c>
      <c r="C5043">
        <v>840731</v>
      </c>
      <c r="D5043" t="s">
        <v>176</v>
      </c>
      <c r="E5043">
        <v>0</v>
      </c>
      <c r="F5043">
        <v>0</v>
      </c>
      <c r="G5043">
        <v>0</v>
      </c>
      <c r="H5043">
        <f>_xlfn.XLOOKUP(FACT_IMPORTS[[#This Row],[hts_6]],DIM_PRODUCTS[hts_6],DIM_PRODUCTS[hts_4],,,)</f>
        <v>8407</v>
      </c>
      <c r="I5043" t="str" cm="1">
        <f t="array" ref="I5043">_xlfn.XLOOKUP(FACT_IMPORTS[[#This Row],[country_name]],DIM_COUNTRY[[#All],[Column2]],DIM_COUNTRY[[#All],[Column3]],,,)</f>
        <v>Major_Non-USMCA_Non-China</v>
      </c>
    </row>
    <row r="5044" spans="1:9" x14ac:dyDescent="0.4">
      <c r="A5044" t="s">
        <v>68</v>
      </c>
      <c r="B5044" s="1">
        <v>45108</v>
      </c>
      <c r="C5044">
        <v>840733</v>
      </c>
      <c r="D5044" t="s">
        <v>176</v>
      </c>
      <c r="E5044">
        <v>0</v>
      </c>
      <c r="F5044">
        <v>0</v>
      </c>
      <c r="G5044">
        <v>0</v>
      </c>
      <c r="H5044">
        <f>_xlfn.XLOOKUP(FACT_IMPORTS[[#This Row],[hts_6]],DIM_PRODUCTS[hts_6],DIM_PRODUCTS[hts_4],,,)</f>
        <v>8407</v>
      </c>
      <c r="I5044" t="str" cm="1">
        <f t="array" ref="I5044">_xlfn.XLOOKUP(FACT_IMPORTS[[#This Row],[country_name]],DIM_COUNTRY[[#All],[Column2]],DIM_COUNTRY[[#All],[Column3]],,,)</f>
        <v>Major_Non-USMCA_Non-China</v>
      </c>
    </row>
    <row r="5045" spans="1:9" x14ac:dyDescent="0.4">
      <c r="A5045" t="s">
        <v>68</v>
      </c>
      <c r="B5045" s="1">
        <v>45108</v>
      </c>
      <c r="C5045">
        <v>840734</v>
      </c>
      <c r="D5045" t="s">
        <v>176</v>
      </c>
      <c r="E5045">
        <v>46738</v>
      </c>
      <c r="F5045">
        <v>11</v>
      </c>
      <c r="G5045">
        <v>371</v>
      </c>
      <c r="H5045">
        <f>_xlfn.XLOOKUP(FACT_IMPORTS[[#This Row],[hts_6]],DIM_PRODUCTS[hts_6],DIM_PRODUCTS[hts_4],,,)</f>
        <v>8407</v>
      </c>
      <c r="I5045" t="str" cm="1">
        <f t="array" ref="I5045">_xlfn.XLOOKUP(FACT_IMPORTS[[#This Row],[country_name]],DIM_COUNTRY[[#All],[Column2]],DIM_COUNTRY[[#All],[Column3]],,,)</f>
        <v>Major_Non-USMCA_Non-China</v>
      </c>
    </row>
    <row r="5046" spans="1:9" x14ac:dyDescent="0.4">
      <c r="A5046" t="s">
        <v>68</v>
      </c>
      <c r="B5046" s="1">
        <v>45108</v>
      </c>
      <c r="C5046">
        <v>840790</v>
      </c>
      <c r="D5046" t="s">
        <v>176</v>
      </c>
      <c r="E5046">
        <v>0</v>
      </c>
      <c r="F5046">
        <v>0</v>
      </c>
      <c r="G5046">
        <v>0</v>
      </c>
      <c r="H5046">
        <f>_xlfn.XLOOKUP(FACT_IMPORTS[[#This Row],[hts_6]],DIM_PRODUCTS[hts_6],DIM_PRODUCTS[hts_4],,,)</f>
        <v>8407</v>
      </c>
      <c r="I5046" t="str" cm="1">
        <f t="array" ref="I5046">_xlfn.XLOOKUP(FACT_IMPORTS[[#This Row],[country_name]],DIM_COUNTRY[[#All],[Column2]],DIM_COUNTRY[[#All],[Column3]],,,)</f>
        <v>Major_Non-USMCA_Non-China</v>
      </c>
    </row>
    <row r="5047" spans="1:9" x14ac:dyDescent="0.4">
      <c r="A5047" t="s">
        <v>68</v>
      </c>
      <c r="B5047" s="1">
        <v>45108</v>
      </c>
      <c r="C5047">
        <v>840820</v>
      </c>
      <c r="D5047" t="s">
        <v>176</v>
      </c>
      <c r="E5047">
        <v>0</v>
      </c>
      <c r="F5047">
        <v>0</v>
      </c>
      <c r="G5047">
        <v>0</v>
      </c>
      <c r="H5047">
        <f>_xlfn.XLOOKUP(FACT_IMPORTS[[#This Row],[hts_6]],DIM_PRODUCTS[hts_6],DIM_PRODUCTS[hts_4],,,)</f>
        <v>8408</v>
      </c>
      <c r="I5047" t="str" cm="1">
        <f t="array" ref="I5047">_xlfn.XLOOKUP(FACT_IMPORTS[[#This Row],[country_name]],DIM_COUNTRY[[#All],[Column2]],DIM_COUNTRY[[#All],[Column3]],,,)</f>
        <v>Major_Non-USMCA_Non-China</v>
      </c>
    </row>
    <row r="5048" spans="1:9" x14ac:dyDescent="0.4">
      <c r="A5048" t="s">
        <v>68</v>
      </c>
      <c r="B5048" s="1">
        <v>45108</v>
      </c>
      <c r="C5048">
        <v>840890</v>
      </c>
      <c r="D5048" t="s">
        <v>176</v>
      </c>
      <c r="E5048">
        <v>86037</v>
      </c>
      <c r="F5048">
        <v>5</v>
      </c>
      <c r="G5048">
        <v>3617</v>
      </c>
      <c r="H5048">
        <f>_xlfn.XLOOKUP(FACT_IMPORTS[[#This Row],[hts_6]],DIM_PRODUCTS[hts_6],DIM_PRODUCTS[hts_4],,,)</f>
        <v>8408</v>
      </c>
      <c r="I5048" t="str" cm="1">
        <f t="array" ref="I5048">_xlfn.XLOOKUP(FACT_IMPORTS[[#This Row],[country_name]],DIM_COUNTRY[[#All],[Column2]],DIM_COUNTRY[[#All],[Column3]],,,)</f>
        <v>Major_Non-USMCA_Non-China</v>
      </c>
    </row>
    <row r="5049" spans="1:9" x14ac:dyDescent="0.4">
      <c r="A5049" t="s">
        <v>68</v>
      </c>
      <c r="B5049" s="1">
        <v>45108</v>
      </c>
      <c r="C5049">
        <v>840991</v>
      </c>
      <c r="D5049" t="s">
        <v>176</v>
      </c>
      <c r="E5049">
        <v>494538</v>
      </c>
      <c r="F5049">
        <v>88072</v>
      </c>
      <c r="G5049">
        <v>19720</v>
      </c>
      <c r="H5049">
        <f>_xlfn.XLOOKUP(FACT_IMPORTS[[#This Row],[hts_6]],DIM_PRODUCTS[hts_6],DIM_PRODUCTS[hts_4],,,)</f>
        <v>8409</v>
      </c>
      <c r="I5049" t="str" cm="1">
        <f t="array" ref="I5049">_xlfn.XLOOKUP(FACT_IMPORTS[[#This Row],[country_name]],DIM_COUNTRY[[#All],[Column2]],DIM_COUNTRY[[#All],[Column3]],,,)</f>
        <v>Major_Non-USMCA_Non-China</v>
      </c>
    </row>
    <row r="5050" spans="1:9" x14ac:dyDescent="0.4">
      <c r="A5050" t="s">
        <v>68</v>
      </c>
      <c r="B5050" s="1">
        <v>45108</v>
      </c>
      <c r="C5050">
        <v>840999</v>
      </c>
      <c r="D5050" t="s">
        <v>176</v>
      </c>
      <c r="E5050">
        <v>22751362</v>
      </c>
      <c r="F5050">
        <v>3387697</v>
      </c>
      <c r="G5050">
        <v>465061</v>
      </c>
      <c r="H5050">
        <f>_xlfn.XLOOKUP(FACT_IMPORTS[[#This Row],[hts_6]],DIM_PRODUCTS[hts_6],DIM_PRODUCTS[hts_4],,,)</f>
        <v>8409</v>
      </c>
      <c r="I5050" t="str" cm="1">
        <f t="array" ref="I5050">_xlfn.XLOOKUP(FACT_IMPORTS[[#This Row],[country_name]],DIM_COUNTRY[[#All],[Column2]],DIM_COUNTRY[[#All],[Column3]],,,)</f>
        <v>Major_Non-USMCA_Non-China</v>
      </c>
    </row>
    <row r="5051" spans="1:9" x14ac:dyDescent="0.4">
      <c r="A5051" t="s">
        <v>68</v>
      </c>
      <c r="B5051" s="1">
        <v>45108</v>
      </c>
      <c r="C5051">
        <v>841330</v>
      </c>
      <c r="D5051" t="s">
        <v>176</v>
      </c>
      <c r="E5051">
        <v>876430</v>
      </c>
      <c r="F5051">
        <v>16817</v>
      </c>
      <c r="G5051">
        <v>12119</v>
      </c>
      <c r="H5051">
        <f>_xlfn.XLOOKUP(FACT_IMPORTS[[#This Row],[hts_6]],DIM_PRODUCTS[hts_6],DIM_PRODUCTS[hts_4],,,)</f>
        <v>8413</v>
      </c>
      <c r="I5051" t="str" cm="1">
        <f t="array" ref="I5051">_xlfn.XLOOKUP(FACT_IMPORTS[[#This Row],[country_name]],DIM_COUNTRY[[#All],[Column2]],DIM_COUNTRY[[#All],[Column3]],,,)</f>
        <v>Major_Non-USMCA_Non-China</v>
      </c>
    </row>
    <row r="5052" spans="1:9" x14ac:dyDescent="0.4">
      <c r="A5052" t="s">
        <v>68</v>
      </c>
      <c r="B5052" s="1">
        <v>45108</v>
      </c>
      <c r="C5052">
        <v>841520</v>
      </c>
      <c r="D5052" t="s">
        <v>176</v>
      </c>
      <c r="E5052">
        <v>3912</v>
      </c>
      <c r="F5052">
        <v>20</v>
      </c>
      <c r="G5052">
        <v>7</v>
      </c>
      <c r="H5052">
        <f>_xlfn.XLOOKUP(FACT_IMPORTS[[#This Row],[hts_6]],DIM_PRODUCTS[hts_6],DIM_PRODUCTS[hts_4],,,)</f>
        <v>8415</v>
      </c>
      <c r="I5052" t="str" cm="1">
        <f t="array" ref="I5052">_xlfn.XLOOKUP(FACT_IMPORTS[[#This Row],[country_name]],DIM_COUNTRY[[#All],[Column2]],DIM_COUNTRY[[#All],[Column3]],,,)</f>
        <v>Major_Non-USMCA_Non-China</v>
      </c>
    </row>
    <row r="5053" spans="1:9" x14ac:dyDescent="0.4">
      <c r="A5053" t="s">
        <v>68</v>
      </c>
      <c r="B5053" s="1">
        <v>45108</v>
      </c>
      <c r="C5053">
        <v>842132</v>
      </c>
      <c r="D5053" t="s">
        <v>176</v>
      </c>
      <c r="E5053">
        <v>53021</v>
      </c>
      <c r="F5053">
        <v>13</v>
      </c>
      <c r="G5053">
        <v>1414</v>
      </c>
      <c r="H5053">
        <f>_xlfn.XLOOKUP(FACT_IMPORTS[[#This Row],[hts_6]],DIM_PRODUCTS[hts_6],DIM_PRODUCTS[hts_4],,,)</f>
        <v>8421</v>
      </c>
      <c r="I5053" t="str" cm="1">
        <f t="array" ref="I5053">_xlfn.XLOOKUP(FACT_IMPORTS[[#This Row],[country_name]],DIM_COUNTRY[[#All],[Column2]],DIM_COUNTRY[[#All],[Column3]],,,)</f>
        <v>Major_Non-USMCA_Non-China</v>
      </c>
    </row>
    <row r="5054" spans="1:9" x14ac:dyDescent="0.4">
      <c r="A5054" t="s">
        <v>68</v>
      </c>
      <c r="B5054" s="1">
        <v>45108</v>
      </c>
      <c r="C5054">
        <v>848210</v>
      </c>
      <c r="D5054" t="s">
        <v>176</v>
      </c>
      <c r="E5054">
        <v>96227</v>
      </c>
      <c r="F5054">
        <v>435</v>
      </c>
      <c r="G5054">
        <v>2796</v>
      </c>
      <c r="H5054">
        <f>_xlfn.XLOOKUP(FACT_IMPORTS[[#This Row],[hts_6]],DIM_PRODUCTS[hts_6],DIM_PRODUCTS[hts_4],,,)</f>
        <v>8482</v>
      </c>
      <c r="I5054" t="str" cm="1">
        <f t="array" ref="I5054">_xlfn.XLOOKUP(FACT_IMPORTS[[#This Row],[country_name]],DIM_COUNTRY[[#All],[Column2]],DIM_COUNTRY[[#All],[Column3]],,,)</f>
        <v>Major_Non-USMCA_Non-China</v>
      </c>
    </row>
    <row r="5055" spans="1:9" x14ac:dyDescent="0.4">
      <c r="A5055" t="s">
        <v>68</v>
      </c>
      <c r="B5055" s="1">
        <v>45108</v>
      </c>
      <c r="C5055">
        <v>848220</v>
      </c>
      <c r="D5055" t="s">
        <v>176</v>
      </c>
      <c r="E5055">
        <v>7958</v>
      </c>
      <c r="F5055">
        <v>4</v>
      </c>
      <c r="G5055">
        <v>503</v>
      </c>
      <c r="H5055">
        <f>_xlfn.XLOOKUP(FACT_IMPORTS[[#This Row],[hts_6]],DIM_PRODUCTS[hts_6],DIM_PRODUCTS[hts_4],,,)</f>
        <v>8482</v>
      </c>
      <c r="I5055" t="str" cm="1">
        <f t="array" ref="I5055">_xlfn.XLOOKUP(FACT_IMPORTS[[#This Row],[country_name]],DIM_COUNTRY[[#All],[Column2]],DIM_COUNTRY[[#All],[Column3]],,,)</f>
        <v>Major_Non-USMCA_Non-China</v>
      </c>
    </row>
    <row r="5056" spans="1:9" x14ac:dyDescent="0.4">
      <c r="A5056" t="s">
        <v>68</v>
      </c>
      <c r="B5056" s="1">
        <v>45108</v>
      </c>
      <c r="C5056">
        <v>848310</v>
      </c>
      <c r="D5056" t="s">
        <v>176</v>
      </c>
      <c r="E5056">
        <v>4105326</v>
      </c>
      <c r="F5056">
        <v>25018</v>
      </c>
      <c r="G5056">
        <v>33946</v>
      </c>
      <c r="H5056">
        <f>_xlfn.XLOOKUP(FACT_IMPORTS[[#This Row],[hts_6]],DIM_PRODUCTS[hts_6],DIM_PRODUCTS[hts_4],,,)</f>
        <v>8483</v>
      </c>
      <c r="I5056" t="str" cm="1">
        <f t="array" ref="I5056">_xlfn.XLOOKUP(FACT_IMPORTS[[#This Row],[country_name]],DIM_COUNTRY[[#All],[Column2]],DIM_COUNTRY[[#All],[Column3]],,,)</f>
        <v>Major_Non-USMCA_Non-China</v>
      </c>
    </row>
    <row r="5057" spans="1:9" x14ac:dyDescent="0.4">
      <c r="A5057" t="s">
        <v>68</v>
      </c>
      <c r="B5057" s="1">
        <v>45108</v>
      </c>
      <c r="C5057">
        <v>850131</v>
      </c>
      <c r="D5057" t="s">
        <v>176</v>
      </c>
      <c r="E5057">
        <v>93183</v>
      </c>
      <c r="F5057">
        <v>175</v>
      </c>
      <c r="G5057">
        <v>809</v>
      </c>
      <c r="H5057">
        <f>_xlfn.XLOOKUP(FACT_IMPORTS[[#This Row],[hts_6]],DIM_PRODUCTS[hts_6],DIM_PRODUCTS[hts_4],,,)</f>
        <v>8501</v>
      </c>
      <c r="I5057" t="str" cm="1">
        <f t="array" ref="I5057">_xlfn.XLOOKUP(FACT_IMPORTS[[#This Row],[country_name]],DIM_COUNTRY[[#All],[Column2]],DIM_COUNTRY[[#All],[Column3]],,,)</f>
        <v>Major_Non-USMCA_Non-China</v>
      </c>
    </row>
    <row r="5058" spans="1:9" x14ac:dyDescent="0.4">
      <c r="A5058" t="s">
        <v>68</v>
      </c>
      <c r="B5058" s="1">
        <v>45108</v>
      </c>
      <c r="C5058">
        <v>850132</v>
      </c>
      <c r="D5058" t="s">
        <v>176</v>
      </c>
      <c r="E5058">
        <v>172365</v>
      </c>
      <c r="F5058">
        <v>16</v>
      </c>
      <c r="G5058">
        <v>681</v>
      </c>
      <c r="H5058">
        <f>_xlfn.XLOOKUP(FACT_IMPORTS[[#This Row],[hts_6]],DIM_PRODUCTS[hts_6],DIM_PRODUCTS[hts_4],,,)</f>
        <v>8501</v>
      </c>
      <c r="I5058" t="str" cm="1">
        <f t="array" ref="I5058">_xlfn.XLOOKUP(FACT_IMPORTS[[#This Row],[country_name]],DIM_COUNTRY[[#All],[Column2]],DIM_COUNTRY[[#All],[Column3]],,,)</f>
        <v>Major_Non-USMCA_Non-China</v>
      </c>
    </row>
    <row r="5059" spans="1:9" x14ac:dyDescent="0.4">
      <c r="A5059" t="s">
        <v>68</v>
      </c>
      <c r="B5059" s="1">
        <v>45108</v>
      </c>
      <c r="C5059">
        <v>850133</v>
      </c>
      <c r="D5059" t="s">
        <v>176</v>
      </c>
      <c r="E5059">
        <v>0</v>
      </c>
      <c r="F5059">
        <v>0</v>
      </c>
      <c r="G5059">
        <v>0</v>
      </c>
      <c r="H5059">
        <f>_xlfn.XLOOKUP(FACT_IMPORTS[[#This Row],[hts_6]],DIM_PRODUCTS[hts_6],DIM_PRODUCTS[hts_4],,,)</f>
        <v>8501</v>
      </c>
      <c r="I5059" t="str" cm="1">
        <f t="array" ref="I5059">_xlfn.XLOOKUP(FACT_IMPORTS[[#This Row],[country_name]],DIM_COUNTRY[[#All],[Column2]],DIM_COUNTRY[[#All],[Column3]],,,)</f>
        <v>Major_Non-USMCA_Non-China</v>
      </c>
    </row>
    <row r="5060" spans="1:9" x14ac:dyDescent="0.4">
      <c r="A5060" t="s">
        <v>68</v>
      </c>
      <c r="B5060" s="1">
        <v>45108</v>
      </c>
      <c r="C5060">
        <v>850134</v>
      </c>
      <c r="D5060" t="s">
        <v>176</v>
      </c>
      <c r="E5060">
        <v>0</v>
      </c>
      <c r="F5060">
        <v>0</v>
      </c>
      <c r="G5060">
        <v>0</v>
      </c>
      <c r="H5060">
        <f>_xlfn.XLOOKUP(FACT_IMPORTS[[#This Row],[hts_6]],DIM_PRODUCTS[hts_6],DIM_PRODUCTS[hts_4],,,)</f>
        <v>8501</v>
      </c>
      <c r="I5060" t="str" cm="1">
        <f t="array" ref="I5060">_xlfn.XLOOKUP(FACT_IMPORTS[[#This Row],[country_name]],DIM_COUNTRY[[#All],[Column2]],DIM_COUNTRY[[#All],[Column3]],,,)</f>
        <v>Major_Non-USMCA_Non-China</v>
      </c>
    </row>
    <row r="5061" spans="1:9" x14ac:dyDescent="0.4">
      <c r="A5061" t="s">
        <v>68</v>
      </c>
      <c r="B5061" s="1">
        <v>45108</v>
      </c>
      <c r="C5061">
        <v>850152</v>
      </c>
      <c r="D5061" t="s">
        <v>176</v>
      </c>
      <c r="E5061">
        <v>572459</v>
      </c>
      <c r="F5061">
        <v>425</v>
      </c>
      <c r="G5061">
        <v>18322</v>
      </c>
      <c r="H5061">
        <f>_xlfn.XLOOKUP(FACT_IMPORTS[[#This Row],[hts_6]],DIM_PRODUCTS[hts_6],DIM_PRODUCTS[hts_4],,,)</f>
        <v>8501</v>
      </c>
      <c r="I5061" t="str" cm="1">
        <f t="array" ref="I5061">_xlfn.XLOOKUP(FACT_IMPORTS[[#This Row],[country_name]],DIM_COUNTRY[[#All],[Column2]],DIM_COUNTRY[[#All],[Column3]],,,)</f>
        <v>Major_Non-USMCA_Non-China</v>
      </c>
    </row>
    <row r="5062" spans="1:9" x14ac:dyDescent="0.4">
      <c r="A5062" t="s">
        <v>68</v>
      </c>
      <c r="B5062" s="1">
        <v>45108</v>
      </c>
      <c r="C5062">
        <v>850153</v>
      </c>
      <c r="D5062" t="s">
        <v>176</v>
      </c>
      <c r="E5062">
        <v>1641255</v>
      </c>
      <c r="F5062">
        <v>90</v>
      </c>
      <c r="G5062">
        <v>18285</v>
      </c>
      <c r="H5062">
        <f>_xlfn.XLOOKUP(FACT_IMPORTS[[#This Row],[hts_6]],DIM_PRODUCTS[hts_6],DIM_PRODUCTS[hts_4],,,)</f>
        <v>8501</v>
      </c>
      <c r="I5062" t="str" cm="1">
        <f t="array" ref="I5062">_xlfn.XLOOKUP(FACT_IMPORTS[[#This Row],[country_name]],DIM_COUNTRY[[#All],[Column2]],DIM_COUNTRY[[#All],[Column3]],,,)</f>
        <v>Major_Non-USMCA_Non-China</v>
      </c>
    </row>
    <row r="5063" spans="1:9" x14ac:dyDescent="0.4">
      <c r="A5063" t="s">
        <v>68</v>
      </c>
      <c r="B5063" s="1">
        <v>45108</v>
      </c>
      <c r="C5063">
        <v>850161</v>
      </c>
      <c r="D5063" t="s">
        <v>176</v>
      </c>
      <c r="E5063">
        <v>0</v>
      </c>
      <c r="F5063">
        <v>0</v>
      </c>
      <c r="G5063">
        <v>0</v>
      </c>
      <c r="H5063">
        <f>_xlfn.XLOOKUP(FACT_IMPORTS[[#This Row],[hts_6]],DIM_PRODUCTS[hts_6],DIM_PRODUCTS[hts_4],,,)</f>
        <v>8501</v>
      </c>
      <c r="I5063" t="str" cm="1">
        <f t="array" ref="I5063">_xlfn.XLOOKUP(FACT_IMPORTS[[#This Row],[country_name]],DIM_COUNTRY[[#All],[Column2]],DIM_COUNTRY[[#All],[Column3]],,,)</f>
        <v>Major_Non-USMCA_Non-China</v>
      </c>
    </row>
    <row r="5064" spans="1:9" x14ac:dyDescent="0.4">
      <c r="A5064" t="s">
        <v>68</v>
      </c>
      <c r="B5064" s="1">
        <v>45108</v>
      </c>
      <c r="C5064">
        <v>850440</v>
      </c>
      <c r="D5064" t="s">
        <v>176</v>
      </c>
      <c r="E5064">
        <v>418713</v>
      </c>
      <c r="F5064">
        <v>280</v>
      </c>
      <c r="G5064">
        <v>15439</v>
      </c>
      <c r="H5064">
        <f>_xlfn.XLOOKUP(FACT_IMPORTS[[#This Row],[hts_6]],DIM_PRODUCTS[hts_6],DIM_PRODUCTS[hts_4],,,)</f>
        <v>8504</v>
      </c>
      <c r="I5064" t="str" cm="1">
        <f t="array" ref="I5064">_xlfn.XLOOKUP(FACT_IMPORTS[[#This Row],[country_name]],DIM_COUNTRY[[#All],[Column2]],DIM_COUNTRY[[#All],[Column3]],,,)</f>
        <v>Major_Non-USMCA_Non-China</v>
      </c>
    </row>
    <row r="5065" spans="1:9" x14ac:dyDescent="0.4">
      <c r="A5065" t="s">
        <v>68</v>
      </c>
      <c r="B5065" s="1">
        <v>45108</v>
      </c>
      <c r="C5065">
        <v>850710</v>
      </c>
      <c r="D5065" t="s">
        <v>176</v>
      </c>
      <c r="E5065">
        <v>0</v>
      </c>
      <c r="F5065">
        <v>0</v>
      </c>
      <c r="G5065">
        <v>0</v>
      </c>
      <c r="H5065">
        <f>_xlfn.XLOOKUP(FACT_IMPORTS[[#This Row],[hts_6]],DIM_PRODUCTS[hts_6],DIM_PRODUCTS[hts_4],,,)</f>
        <v>8507</v>
      </c>
      <c r="I5065" t="str" cm="1">
        <f t="array" ref="I5065">_xlfn.XLOOKUP(FACT_IMPORTS[[#This Row],[country_name]],DIM_COUNTRY[[#All],[Column2]],DIM_COUNTRY[[#All],[Column3]],,,)</f>
        <v>Major_Non-USMCA_Non-China</v>
      </c>
    </row>
    <row r="5066" spans="1:9" x14ac:dyDescent="0.4">
      <c r="A5066" t="s">
        <v>68</v>
      </c>
      <c r="B5066" s="1">
        <v>45108</v>
      </c>
      <c r="C5066">
        <v>850760</v>
      </c>
      <c r="D5066" t="s">
        <v>176</v>
      </c>
      <c r="E5066">
        <v>2953568</v>
      </c>
      <c r="F5066">
        <v>554</v>
      </c>
      <c r="G5066">
        <v>19574</v>
      </c>
      <c r="H5066">
        <f>_xlfn.XLOOKUP(FACT_IMPORTS[[#This Row],[hts_6]],DIM_PRODUCTS[hts_6],DIM_PRODUCTS[hts_4],,,)</f>
        <v>8507</v>
      </c>
      <c r="I5066" t="str" cm="1">
        <f t="array" ref="I5066">_xlfn.XLOOKUP(FACT_IMPORTS[[#This Row],[country_name]],DIM_COUNTRY[[#All],[Column2]],DIM_COUNTRY[[#All],[Column3]],,,)</f>
        <v>Major_Non-USMCA_Non-China</v>
      </c>
    </row>
    <row r="5067" spans="1:9" x14ac:dyDescent="0.4">
      <c r="A5067" t="s">
        <v>68</v>
      </c>
      <c r="B5067" s="1">
        <v>45108</v>
      </c>
      <c r="C5067">
        <v>850790</v>
      </c>
      <c r="D5067" t="s">
        <v>176</v>
      </c>
      <c r="E5067">
        <v>1093352</v>
      </c>
      <c r="F5067">
        <v>97132</v>
      </c>
      <c r="G5067">
        <v>35778</v>
      </c>
      <c r="H5067">
        <f>_xlfn.XLOOKUP(FACT_IMPORTS[[#This Row],[hts_6]],DIM_PRODUCTS[hts_6],DIM_PRODUCTS[hts_4],,,)</f>
        <v>8507</v>
      </c>
      <c r="I5067" t="str" cm="1">
        <f t="array" ref="I5067">_xlfn.XLOOKUP(FACT_IMPORTS[[#This Row],[country_name]],DIM_COUNTRY[[#All],[Column2]],DIM_COUNTRY[[#All],[Column3]],,,)</f>
        <v>Major_Non-USMCA_Non-China</v>
      </c>
    </row>
    <row r="5068" spans="1:9" x14ac:dyDescent="0.4">
      <c r="A5068" t="s">
        <v>68</v>
      </c>
      <c r="B5068" s="1">
        <v>45108</v>
      </c>
      <c r="C5068">
        <v>851110</v>
      </c>
      <c r="D5068" t="s">
        <v>176</v>
      </c>
      <c r="E5068">
        <v>66110</v>
      </c>
      <c r="F5068">
        <v>413</v>
      </c>
      <c r="G5068">
        <v>928</v>
      </c>
      <c r="H5068">
        <f>_xlfn.XLOOKUP(FACT_IMPORTS[[#This Row],[hts_6]],DIM_PRODUCTS[hts_6],DIM_PRODUCTS[hts_4],,,)</f>
        <v>8511</v>
      </c>
      <c r="I5068" t="str" cm="1">
        <f t="array" ref="I5068">_xlfn.XLOOKUP(FACT_IMPORTS[[#This Row],[country_name]],DIM_COUNTRY[[#All],[Column2]],DIM_COUNTRY[[#All],[Column3]],,,)</f>
        <v>Major_Non-USMCA_Non-China</v>
      </c>
    </row>
    <row r="5069" spans="1:9" x14ac:dyDescent="0.4">
      <c r="A5069" t="s">
        <v>68</v>
      </c>
      <c r="B5069" s="1">
        <v>45108</v>
      </c>
      <c r="C5069">
        <v>851120</v>
      </c>
      <c r="D5069" t="s">
        <v>176</v>
      </c>
      <c r="E5069">
        <v>0</v>
      </c>
      <c r="F5069">
        <v>0</v>
      </c>
      <c r="G5069">
        <v>0</v>
      </c>
      <c r="H5069">
        <f>_xlfn.XLOOKUP(FACT_IMPORTS[[#This Row],[hts_6]],DIM_PRODUCTS[hts_6],DIM_PRODUCTS[hts_4],,,)</f>
        <v>8511</v>
      </c>
      <c r="I5069" t="str" cm="1">
        <f t="array" ref="I5069">_xlfn.XLOOKUP(FACT_IMPORTS[[#This Row],[country_name]],DIM_COUNTRY[[#All],[Column2]],DIM_COUNTRY[[#All],[Column3]],,,)</f>
        <v>Major_Non-USMCA_Non-China</v>
      </c>
    </row>
    <row r="5070" spans="1:9" x14ac:dyDescent="0.4">
      <c r="A5070" t="s">
        <v>68</v>
      </c>
      <c r="B5070" s="1">
        <v>45108</v>
      </c>
      <c r="C5070">
        <v>851130</v>
      </c>
      <c r="D5070" t="s">
        <v>176</v>
      </c>
      <c r="E5070">
        <v>0</v>
      </c>
      <c r="F5070">
        <v>0</v>
      </c>
      <c r="G5070">
        <v>0</v>
      </c>
      <c r="H5070">
        <f>_xlfn.XLOOKUP(FACT_IMPORTS[[#This Row],[hts_6]],DIM_PRODUCTS[hts_6],DIM_PRODUCTS[hts_4],,,)</f>
        <v>8511</v>
      </c>
      <c r="I5070" t="str" cm="1">
        <f t="array" ref="I5070">_xlfn.XLOOKUP(FACT_IMPORTS[[#This Row],[country_name]],DIM_COUNTRY[[#All],[Column2]],DIM_COUNTRY[[#All],[Column3]],,,)</f>
        <v>Major_Non-USMCA_Non-China</v>
      </c>
    </row>
    <row r="5071" spans="1:9" x14ac:dyDescent="0.4">
      <c r="A5071" t="s">
        <v>68</v>
      </c>
      <c r="B5071" s="1">
        <v>45108</v>
      </c>
      <c r="C5071">
        <v>851140</v>
      </c>
      <c r="D5071" t="s">
        <v>176</v>
      </c>
      <c r="E5071">
        <v>16732</v>
      </c>
      <c r="F5071">
        <v>230</v>
      </c>
      <c r="G5071">
        <v>361</v>
      </c>
      <c r="H5071">
        <f>_xlfn.XLOOKUP(FACT_IMPORTS[[#This Row],[hts_6]],DIM_PRODUCTS[hts_6],DIM_PRODUCTS[hts_4],,,)</f>
        <v>8511</v>
      </c>
      <c r="I5071" t="str" cm="1">
        <f t="array" ref="I5071">_xlfn.XLOOKUP(FACT_IMPORTS[[#This Row],[country_name]],DIM_COUNTRY[[#All],[Column2]],DIM_COUNTRY[[#All],[Column3]],,,)</f>
        <v>Major_Non-USMCA_Non-China</v>
      </c>
    </row>
    <row r="5072" spans="1:9" x14ac:dyDescent="0.4">
      <c r="A5072" t="s">
        <v>68</v>
      </c>
      <c r="B5072" s="1">
        <v>45108</v>
      </c>
      <c r="C5072">
        <v>851150</v>
      </c>
      <c r="D5072" t="s">
        <v>176</v>
      </c>
      <c r="E5072">
        <v>17471</v>
      </c>
      <c r="F5072">
        <v>5</v>
      </c>
      <c r="G5072">
        <v>338</v>
      </c>
      <c r="H5072">
        <f>_xlfn.XLOOKUP(FACT_IMPORTS[[#This Row],[hts_6]],DIM_PRODUCTS[hts_6],DIM_PRODUCTS[hts_4],,,)</f>
        <v>8511</v>
      </c>
      <c r="I5072" t="str" cm="1">
        <f t="array" ref="I5072">_xlfn.XLOOKUP(FACT_IMPORTS[[#This Row],[country_name]],DIM_COUNTRY[[#All],[Column2]],DIM_COUNTRY[[#All],[Column3]],,,)</f>
        <v>Major_Non-USMCA_Non-China</v>
      </c>
    </row>
    <row r="5073" spans="1:9" x14ac:dyDescent="0.4">
      <c r="A5073" t="s">
        <v>68</v>
      </c>
      <c r="B5073" s="1">
        <v>45108</v>
      </c>
      <c r="C5073">
        <v>851180</v>
      </c>
      <c r="D5073" t="s">
        <v>176</v>
      </c>
      <c r="E5073">
        <v>92480</v>
      </c>
      <c r="F5073">
        <v>4449</v>
      </c>
      <c r="G5073">
        <v>244</v>
      </c>
      <c r="H5073">
        <f>_xlfn.XLOOKUP(FACT_IMPORTS[[#This Row],[hts_6]],DIM_PRODUCTS[hts_6],DIM_PRODUCTS[hts_4],,,)</f>
        <v>8511</v>
      </c>
      <c r="I5073" t="str" cm="1">
        <f t="array" ref="I5073">_xlfn.XLOOKUP(FACT_IMPORTS[[#This Row],[country_name]],DIM_COUNTRY[[#All],[Column2]],DIM_COUNTRY[[#All],[Column3]],,,)</f>
        <v>Major_Non-USMCA_Non-China</v>
      </c>
    </row>
    <row r="5074" spans="1:9" x14ac:dyDescent="0.4">
      <c r="A5074" t="s">
        <v>68</v>
      </c>
      <c r="B5074" s="1">
        <v>45108</v>
      </c>
      <c r="C5074">
        <v>851190</v>
      </c>
      <c r="D5074" t="s">
        <v>176</v>
      </c>
      <c r="E5074">
        <v>3490</v>
      </c>
      <c r="F5074">
        <v>84</v>
      </c>
      <c r="G5074">
        <v>89</v>
      </c>
      <c r="H5074">
        <f>_xlfn.XLOOKUP(FACT_IMPORTS[[#This Row],[hts_6]],DIM_PRODUCTS[hts_6],DIM_PRODUCTS[hts_4],,,)</f>
        <v>8511</v>
      </c>
      <c r="I5074" t="str" cm="1">
        <f t="array" ref="I5074">_xlfn.XLOOKUP(FACT_IMPORTS[[#This Row],[country_name]],DIM_COUNTRY[[#All],[Column2]],DIM_COUNTRY[[#All],[Column3]],,,)</f>
        <v>Major_Non-USMCA_Non-China</v>
      </c>
    </row>
    <row r="5075" spans="1:9" x14ac:dyDescent="0.4">
      <c r="A5075" t="s">
        <v>68</v>
      </c>
      <c r="B5075" s="1">
        <v>45108</v>
      </c>
      <c r="C5075">
        <v>851220</v>
      </c>
      <c r="D5075" t="s">
        <v>176</v>
      </c>
      <c r="E5075">
        <v>246506</v>
      </c>
      <c r="F5075">
        <v>46454</v>
      </c>
      <c r="G5075">
        <v>892</v>
      </c>
      <c r="H5075">
        <f>_xlfn.XLOOKUP(FACT_IMPORTS[[#This Row],[hts_6]],DIM_PRODUCTS[hts_6],DIM_PRODUCTS[hts_4],,,)</f>
        <v>8512</v>
      </c>
      <c r="I5075" t="str" cm="1">
        <f t="array" ref="I5075">_xlfn.XLOOKUP(FACT_IMPORTS[[#This Row],[country_name]],DIM_COUNTRY[[#All],[Column2]],DIM_COUNTRY[[#All],[Column3]],,,)</f>
        <v>Major_Non-USMCA_Non-China</v>
      </c>
    </row>
    <row r="5076" spans="1:9" x14ac:dyDescent="0.4">
      <c r="A5076" t="s">
        <v>68</v>
      </c>
      <c r="B5076" s="1">
        <v>45108</v>
      </c>
      <c r="C5076">
        <v>851230</v>
      </c>
      <c r="D5076" t="s">
        <v>176</v>
      </c>
      <c r="E5076">
        <v>0</v>
      </c>
      <c r="F5076">
        <v>0</v>
      </c>
      <c r="G5076">
        <v>0</v>
      </c>
      <c r="H5076">
        <f>_xlfn.XLOOKUP(FACT_IMPORTS[[#This Row],[hts_6]],DIM_PRODUCTS[hts_6],DIM_PRODUCTS[hts_4],,,)</f>
        <v>8512</v>
      </c>
      <c r="I5076" t="str" cm="1">
        <f t="array" ref="I5076">_xlfn.XLOOKUP(FACT_IMPORTS[[#This Row],[country_name]],DIM_COUNTRY[[#All],[Column2]],DIM_COUNTRY[[#All],[Column3]],,,)</f>
        <v>Major_Non-USMCA_Non-China</v>
      </c>
    </row>
    <row r="5077" spans="1:9" x14ac:dyDescent="0.4">
      <c r="A5077" t="s">
        <v>68</v>
      </c>
      <c r="B5077" s="1">
        <v>45108</v>
      </c>
      <c r="C5077">
        <v>851290</v>
      </c>
      <c r="D5077" t="s">
        <v>176</v>
      </c>
      <c r="E5077">
        <v>0</v>
      </c>
      <c r="F5077">
        <v>0</v>
      </c>
      <c r="G5077">
        <v>0</v>
      </c>
      <c r="H5077">
        <f>_xlfn.XLOOKUP(FACT_IMPORTS[[#This Row],[hts_6]],DIM_PRODUCTS[hts_6],DIM_PRODUCTS[hts_4],,,)</f>
        <v>8512</v>
      </c>
      <c r="I5077" t="str" cm="1">
        <f t="array" ref="I5077">_xlfn.XLOOKUP(FACT_IMPORTS[[#This Row],[country_name]],DIM_COUNTRY[[#All],[Column2]],DIM_COUNTRY[[#All],[Column3]],,,)</f>
        <v>Major_Non-USMCA_Non-China</v>
      </c>
    </row>
    <row r="5078" spans="1:9" x14ac:dyDescent="0.4">
      <c r="A5078" t="s">
        <v>68</v>
      </c>
      <c r="B5078" s="1">
        <v>45108</v>
      </c>
      <c r="C5078">
        <v>854231</v>
      </c>
      <c r="D5078" t="s">
        <v>176</v>
      </c>
      <c r="E5078">
        <v>69406</v>
      </c>
      <c r="F5078">
        <v>2440</v>
      </c>
      <c r="G5078">
        <v>2199</v>
      </c>
      <c r="H5078">
        <f>_xlfn.XLOOKUP(FACT_IMPORTS[[#This Row],[hts_6]],DIM_PRODUCTS[hts_6],DIM_PRODUCTS[hts_4],,,)</f>
        <v>8542</v>
      </c>
      <c r="I5078" t="str" cm="1">
        <f t="array" ref="I5078">_xlfn.XLOOKUP(FACT_IMPORTS[[#This Row],[country_name]],DIM_COUNTRY[[#All],[Column2]],DIM_COUNTRY[[#All],[Column3]],,,)</f>
        <v>Major_Non-USMCA_Non-China</v>
      </c>
    </row>
    <row r="5079" spans="1:9" x14ac:dyDescent="0.4">
      <c r="A5079" t="s">
        <v>68</v>
      </c>
      <c r="B5079" s="1">
        <v>45108</v>
      </c>
      <c r="C5079">
        <v>854232</v>
      </c>
      <c r="D5079" t="s">
        <v>176</v>
      </c>
      <c r="E5079">
        <v>0</v>
      </c>
      <c r="F5079">
        <v>0</v>
      </c>
      <c r="G5079">
        <v>0</v>
      </c>
      <c r="H5079">
        <f>_xlfn.XLOOKUP(FACT_IMPORTS[[#This Row],[hts_6]],DIM_PRODUCTS[hts_6],DIM_PRODUCTS[hts_4],,,)</f>
        <v>8542</v>
      </c>
      <c r="I5079" t="str" cm="1">
        <f t="array" ref="I5079">_xlfn.XLOOKUP(FACT_IMPORTS[[#This Row],[country_name]],DIM_COUNTRY[[#All],[Column2]],DIM_COUNTRY[[#All],[Column3]],,,)</f>
        <v>Major_Non-USMCA_Non-China</v>
      </c>
    </row>
    <row r="5080" spans="1:9" x14ac:dyDescent="0.4">
      <c r="A5080" t="s">
        <v>68</v>
      </c>
      <c r="B5080" s="1">
        <v>45108</v>
      </c>
      <c r="C5080">
        <v>854233</v>
      </c>
      <c r="D5080" t="s">
        <v>176</v>
      </c>
      <c r="E5080">
        <v>19021</v>
      </c>
      <c r="F5080">
        <v>1</v>
      </c>
      <c r="G5080">
        <v>500</v>
      </c>
      <c r="H5080">
        <f>_xlfn.XLOOKUP(FACT_IMPORTS[[#This Row],[hts_6]],DIM_PRODUCTS[hts_6],DIM_PRODUCTS[hts_4],,,)</f>
        <v>8542</v>
      </c>
      <c r="I5080" t="str" cm="1">
        <f t="array" ref="I5080">_xlfn.XLOOKUP(FACT_IMPORTS[[#This Row],[country_name]],DIM_COUNTRY[[#All],[Column2]],DIM_COUNTRY[[#All],[Column3]],,,)</f>
        <v>Major_Non-USMCA_Non-China</v>
      </c>
    </row>
    <row r="5081" spans="1:9" x14ac:dyDescent="0.4">
      <c r="A5081" t="s">
        <v>68</v>
      </c>
      <c r="B5081" s="1">
        <v>45108</v>
      </c>
      <c r="C5081">
        <v>854239</v>
      </c>
      <c r="D5081" t="s">
        <v>176</v>
      </c>
      <c r="E5081">
        <v>0</v>
      </c>
      <c r="F5081">
        <v>0</v>
      </c>
      <c r="G5081">
        <v>0</v>
      </c>
      <c r="H5081">
        <f>_xlfn.XLOOKUP(FACT_IMPORTS[[#This Row],[hts_6]],DIM_PRODUCTS[hts_6],DIM_PRODUCTS[hts_4],,,)</f>
        <v>8542</v>
      </c>
      <c r="I5081" t="str" cm="1">
        <f t="array" ref="I5081">_xlfn.XLOOKUP(FACT_IMPORTS[[#This Row],[country_name]],DIM_COUNTRY[[#All],[Column2]],DIM_COUNTRY[[#All],[Column3]],,,)</f>
        <v>Major_Non-USMCA_Non-China</v>
      </c>
    </row>
    <row r="5082" spans="1:9" x14ac:dyDescent="0.4">
      <c r="A5082" t="s">
        <v>68</v>
      </c>
      <c r="B5082" s="1">
        <v>45108</v>
      </c>
      <c r="C5082">
        <v>854290</v>
      </c>
      <c r="D5082" t="s">
        <v>176</v>
      </c>
      <c r="E5082">
        <v>2976</v>
      </c>
      <c r="F5082">
        <v>2</v>
      </c>
      <c r="G5082">
        <v>23</v>
      </c>
      <c r="H5082">
        <f>_xlfn.XLOOKUP(FACT_IMPORTS[[#This Row],[hts_6]],DIM_PRODUCTS[hts_6],DIM_PRODUCTS[hts_4],,,)</f>
        <v>8542</v>
      </c>
      <c r="I5082" t="str" cm="1">
        <f t="array" ref="I5082">_xlfn.XLOOKUP(FACT_IMPORTS[[#This Row],[country_name]],DIM_COUNTRY[[#All],[Column2]],DIM_COUNTRY[[#All],[Column3]],,,)</f>
        <v>Major_Non-USMCA_Non-China</v>
      </c>
    </row>
    <row r="5083" spans="1:9" x14ac:dyDescent="0.4">
      <c r="A5083" t="s">
        <v>68</v>
      </c>
      <c r="B5083" s="1">
        <v>45108</v>
      </c>
      <c r="C5083">
        <v>854430</v>
      </c>
      <c r="D5083" t="s">
        <v>176</v>
      </c>
      <c r="E5083">
        <v>376959</v>
      </c>
      <c r="F5083">
        <v>28776</v>
      </c>
      <c r="G5083">
        <v>3983</v>
      </c>
      <c r="H5083">
        <f>_xlfn.XLOOKUP(FACT_IMPORTS[[#This Row],[hts_6]],DIM_PRODUCTS[hts_6],DIM_PRODUCTS[hts_4],,,)</f>
        <v>8544</v>
      </c>
      <c r="I5083" t="str" cm="1">
        <f t="array" ref="I5083">_xlfn.XLOOKUP(FACT_IMPORTS[[#This Row],[country_name]],DIM_COUNTRY[[#All],[Column2]],DIM_COUNTRY[[#All],[Column3]],,,)</f>
        <v>Major_Non-USMCA_Non-China</v>
      </c>
    </row>
    <row r="5084" spans="1:9" x14ac:dyDescent="0.4">
      <c r="A5084" t="s">
        <v>68</v>
      </c>
      <c r="B5084" s="1">
        <v>45108</v>
      </c>
      <c r="C5084">
        <v>870790</v>
      </c>
      <c r="D5084" t="s">
        <v>176</v>
      </c>
      <c r="E5084">
        <v>0</v>
      </c>
      <c r="F5084">
        <v>0</v>
      </c>
      <c r="G5084">
        <v>0</v>
      </c>
      <c r="H5084">
        <f>_xlfn.XLOOKUP(FACT_IMPORTS[[#This Row],[hts_6]],DIM_PRODUCTS[hts_6],DIM_PRODUCTS[hts_4],,,)</f>
        <v>8707</v>
      </c>
      <c r="I5084" t="str" cm="1">
        <f t="array" ref="I5084">_xlfn.XLOOKUP(FACT_IMPORTS[[#This Row],[country_name]],DIM_COUNTRY[[#All],[Column2]],DIM_COUNTRY[[#All],[Column3]],,,)</f>
        <v>Major_Non-USMCA_Non-China</v>
      </c>
    </row>
    <row r="5085" spans="1:9" x14ac:dyDescent="0.4">
      <c r="A5085" t="s">
        <v>68</v>
      </c>
      <c r="B5085" s="1">
        <v>45108</v>
      </c>
      <c r="C5085">
        <v>870810</v>
      </c>
      <c r="D5085" t="s">
        <v>176</v>
      </c>
      <c r="E5085">
        <v>160948</v>
      </c>
      <c r="F5085">
        <v>1396</v>
      </c>
      <c r="G5085">
        <v>4826</v>
      </c>
      <c r="H5085">
        <f>_xlfn.XLOOKUP(FACT_IMPORTS[[#This Row],[hts_6]],DIM_PRODUCTS[hts_6],DIM_PRODUCTS[hts_4],,,)</f>
        <v>8708</v>
      </c>
      <c r="I5085" t="str" cm="1">
        <f t="array" ref="I5085">_xlfn.XLOOKUP(FACT_IMPORTS[[#This Row],[country_name]],DIM_COUNTRY[[#All],[Column2]],DIM_COUNTRY[[#All],[Column3]],,,)</f>
        <v>Major_Non-USMCA_Non-China</v>
      </c>
    </row>
    <row r="5086" spans="1:9" x14ac:dyDescent="0.4">
      <c r="A5086" t="s">
        <v>68</v>
      </c>
      <c r="B5086" s="1">
        <v>45108</v>
      </c>
      <c r="C5086">
        <v>870822</v>
      </c>
      <c r="D5086" t="s">
        <v>176</v>
      </c>
      <c r="E5086">
        <v>174794</v>
      </c>
      <c r="F5086">
        <v>839</v>
      </c>
      <c r="G5086">
        <v>7</v>
      </c>
      <c r="H5086">
        <f>_xlfn.XLOOKUP(FACT_IMPORTS[[#This Row],[hts_6]],DIM_PRODUCTS[hts_6],DIM_PRODUCTS[hts_4],,,)</f>
        <v>8708</v>
      </c>
      <c r="I5086" t="str" cm="1">
        <f t="array" ref="I5086">_xlfn.XLOOKUP(FACT_IMPORTS[[#This Row],[country_name]],DIM_COUNTRY[[#All],[Column2]],DIM_COUNTRY[[#All],[Column3]],,,)</f>
        <v>Major_Non-USMCA_Non-China</v>
      </c>
    </row>
    <row r="5087" spans="1:9" x14ac:dyDescent="0.4">
      <c r="A5087" t="s">
        <v>68</v>
      </c>
      <c r="B5087" s="1">
        <v>45108</v>
      </c>
      <c r="C5087">
        <v>870829</v>
      </c>
      <c r="D5087" t="s">
        <v>176</v>
      </c>
      <c r="E5087">
        <v>1852464</v>
      </c>
      <c r="F5087">
        <v>1265187</v>
      </c>
      <c r="G5087">
        <v>133453</v>
      </c>
      <c r="H5087">
        <f>_xlfn.XLOOKUP(FACT_IMPORTS[[#This Row],[hts_6]],DIM_PRODUCTS[hts_6],DIM_PRODUCTS[hts_4],,,)</f>
        <v>8708</v>
      </c>
      <c r="I5087" t="str" cm="1">
        <f t="array" ref="I5087">_xlfn.XLOOKUP(FACT_IMPORTS[[#This Row],[country_name]],DIM_COUNTRY[[#All],[Column2]],DIM_COUNTRY[[#All],[Column3]],,,)</f>
        <v>Major_Non-USMCA_Non-China</v>
      </c>
    </row>
    <row r="5088" spans="1:9" x14ac:dyDescent="0.4">
      <c r="A5088" t="s">
        <v>68</v>
      </c>
      <c r="B5088" s="1">
        <v>45108</v>
      </c>
      <c r="C5088">
        <v>870830</v>
      </c>
      <c r="D5088" t="s">
        <v>176</v>
      </c>
      <c r="E5088">
        <v>235393</v>
      </c>
      <c r="F5088">
        <v>55773</v>
      </c>
      <c r="G5088">
        <v>5136</v>
      </c>
      <c r="H5088">
        <f>_xlfn.XLOOKUP(FACT_IMPORTS[[#This Row],[hts_6]],DIM_PRODUCTS[hts_6],DIM_PRODUCTS[hts_4],,,)</f>
        <v>8708</v>
      </c>
      <c r="I5088" t="str" cm="1">
        <f t="array" ref="I5088">_xlfn.XLOOKUP(FACT_IMPORTS[[#This Row],[country_name]],DIM_COUNTRY[[#All],[Column2]],DIM_COUNTRY[[#All],[Column3]],,,)</f>
        <v>Major_Non-USMCA_Non-China</v>
      </c>
    </row>
    <row r="5089" spans="1:9" x14ac:dyDescent="0.4">
      <c r="A5089" t="s">
        <v>68</v>
      </c>
      <c r="B5089" s="1">
        <v>45108</v>
      </c>
      <c r="C5089">
        <v>870840</v>
      </c>
      <c r="D5089" t="s">
        <v>176</v>
      </c>
      <c r="E5089">
        <v>59727874</v>
      </c>
      <c r="F5089">
        <v>922872</v>
      </c>
      <c r="G5089">
        <v>180659</v>
      </c>
      <c r="H5089">
        <f>_xlfn.XLOOKUP(FACT_IMPORTS[[#This Row],[hts_6]],DIM_PRODUCTS[hts_6],DIM_PRODUCTS[hts_4],,,)</f>
        <v>8708</v>
      </c>
      <c r="I5089" t="str" cm="1">
        <f t="array" ref="I5089">_xlfn.XLOOKUP(FACT_IMPORTS[[#This Row],[country_name]],DIM_COUNTRY[[#All],[Column2]],DIM_COUNTRY[[#All],[Column3]],,,)</f>
        <v>Major_Non-USMCA_Non-China</v>
      </c>
    </row>
    <row r="5090" spans="1:9" x14ac:dyDescent="0.4">
      <c r="A5090" t="s">
        <v>68</v>
      </c>
      <c r="B5090" s="1">
        <v>45108</v>
      </c>
      <c r="C5090">
        <v>870850</v>
      </c>
      <c r="D5090" t="s">
        <v>176</v>
      </c>
      <c r="E5090">
        <v>12855518</v>
      </c>
      <c r="F5090">
        <v>753598</v>
      </c>
      <c r="G5090">
        <v>233925</v>
      </c>
      <c r="H5090">
        <f>_xlfn.XLOOKUP(FACT_IMPORTS[[#This Row],[hts_6]],DIM_PRODUCTS[hts_6],DIM_PRODUCTS[hts_4],,,)</f>
        <v>8708</v>
      </c>
      <c r="I5090" t="str" cm="1">
        <f t="array" ref="I5090">_xlfn.XLOOKUP(FACT_IMPORTS[[#This Row],[country_name]],DIM_COUNTRY[[#All],[Column2]],DIM_COUNTRY[[#All],[Column3]],,,)</f>
        <v>Major_Non-USMCA_Non-China</v>
      </c>
    </row>
    <row r="5091" spans="1:9" x14ac:dyDescent="0.4">
      <c r="A5091" t="s">
        <v>68</v>
      </c>
      <c r="B5091" s="1">
        <v>45108</v>
      </c>
      <c r="C5091">
        <v>870870</v>
      </c>
      <c r="D5091" t="s">
        <v>176</v>
      </c>
      <c r="E5091">
        <v>14020</v>
      </c>
      <c r="F5091">
        <v>60</v>
      </c>
      <c r="G5091">
        <v>1367</v>
      </c>
      <c r="H5091">
        <f>_xlfn.XLOOKUP(FACT_IMPORTS[[#This Row],[hts_6]],DIM_PRODUCTS[hts_6],DIM_PRODUCTS[hts_4],,,)</f>
        <v>8708</v>
      </c>
      <c r="I5091" t="str" cm="1">
        <f t="array" ref="I5091">_xlfn.XLOOKUP(FACT_IMPORTS[[#This Row],[country_name]],DIM_COUNTRY[[#All],[Column2]],DIM_COUNTRY[[#All],[Column3]],,,)</f>
        <v>Major_Non-USMCA_Non-China</v>
      </c>
    </row>
    <row r="5092" spans="1:9" x14ac:dyDescent="0.4">
      <c r="A5092" t="s">
        <v>68</v>
      </c>
      <c r="B5092" s="1">
        <v>45108</v>
      </c>
      <c r="C5092">
        <v>870880</v>
      </c>
      <c r="D5092" t="s">
        <v>176</v>
      </c>
      <c r="E5092">
        <v>1726614</v>
      </c>
      <c r="F5092">
        <v>479364</v>
      </c>
      <c r="G5092">
        <v>26613</v>
      </c>
      <c r="H5092">
        <f>_xlfn.XLOOKUP(FACT_IMPORTS[[#This Row],[hts_6]],DIM_PRODUCTS[hts_6],DIM_PRODUCTS[hts_4],,,)</f>
        <v>8708</v>
      </c>
      <c r="I5092" t="str" cm="1">
        <f t="array" ref="I5092">_xlfn.XLOOKUP(FACT_IMPORTS[[#This Row],[country_name]],DIM_COUNTRY[[#All],[Column2]],DIM_COUNTRY[[#All],[Column3]],,,)</f>
        <v>Major_Non-USMCA_Non-China</v>
      </c>
    </row>
    <row r="5093" spans="1:9" x14ac:dyDescent="0.4">
      <c r="A5093" t="s">
        <v>68</v>
      </c>
      <c r="B5093" s="1">
        <v>45108</v>
      </c>
      <c r="C5093">
        <v>870891</v>
      </c>
      <c r="D5093" t="s">
        <v>176</v>
      </c>
      <c r="E5093">
        <v>210152</v>
      </c>
      <c r="F5093">
        <v>1150439</v>
      </c>
      <c r="G5093">
        <v>10724</v>
      </c>
      <c r="H5093">
        <f>_xlfn.XLOOKUP(FACT_IMPORTS[[#This Row],[hts_6]],DIM_PRODUCTS[hts_6],DIM_PRODUCTS[hts_4],,,)</f>
        <v>8708</v>
      </c>
      <c r="I5093" t="str" cm="1">
        <f t="array" ref="I5093">_xlfn.XLOOKUP(FACT_IMPORTS[[#This Row],[country_name]],DIM_COUNTRY[[#All],[Column2]],DIM_COUNTRY[[#All],[Column3]],,,)</f>
        <v>Major_Non-USMCA_Non-China</v>
      </c>
    </row>
    <row r="5094" spans="1:9" x14ac:dyDescent="0.4">
      <c r="A5094" t="s">
        <v>68</v>
      </c>
      <c r="B5094" s="1">
        <v>45108</v>
      </c>
      <c r="C5094">
        <v>870892</v>
      </c>
      <c r="D5094" t="s">
        <v>176</v>
      </c>
      <c r="E5094">
        <v>202988</v>
      </c>
      <c r="F5094">
        <v>99638</v>
      </c>
      <c r="G5094">
        <v>12329</v>
      </c>
      <c r="H5094">
        <f>_xlfn.XLOOKUP(FACT_IMPORTS[[#This Row],[hts_6]],DIM_PRODUCTS[hts_6],DIM_PRODUCTS[hts_4],,,)</f>
        <v>8708</v>
      </c>
      <c r="I5094" t="str" cm="1">
        <f t="array" ref="I5094">_xlfn.XLOOKUP(FACT_IMPORTS[[#This Row],[country_name]],DIM_COUNTRY[[#All],[Column2]],DIM_COUNTRY[[#All],[Column3]],,,)</f>
        <v>Major_Non-USMCA_Non-China</v>
      </c>
    </row>
    <row r="5095" spans="1:9" x14ac:dyDescent="0.4">
      <c r="A5095" t="s">
        <v>68</v>
      </c>
      <c r="B5095" s="1">
        <v>45108</v>
      </c>
      <c r="C5095">
        <v>870893</v>
      </c>
      <c r="D5095" t="s">
        <v>176</v>
      </c>
      <c r="E5095">
        <v>454851</v>
      </c>
      <c r="F5095">
        <v>1249</v>
      </c>
      <c r="G5095">
        <v>3189</v>
      </c>
      <c r="H5095">
        <f>_xlfn.XLOOKUP(FACT_IMPORTS[[#This Row],[hts_6]],DIM_PRODUCTS[hts_6],DIM_PRODUCTS[hts_4],,,)</f>
        <v>8708</v>
      </c>
      <c r="I5095" t="str" cm="1">
        <f t="array" ref="I5095">_xlfn.XLOOKUP(FACT_IMPORTS[[#This Row],[country_name]],DIM_COUNTRY[[#All],[Column2]],DIM_COUNTRY[[#All],[Column3]],,,)</f>
        <v>Major_Non-USMCA_Non-China</v>
      </c>
    </row>
    <row r="5096" spans="1:9" x14ac:dyDescent="0.4">
      <c r="A5096" t="s">
        <v>68</v>
      </c>
      <c r="B5096" s="1">
        <v>45108</v>
      </c>
      <c r="C5096">
        <v>870894</v>
      </c>
      <c r="D5096" t="s">
        <v>176</v>
      </c>
      <c r="E5096">
        <v>81469</v>
      </c>
      <c r="F5096">
        <v>56464</v>
      </c>
      <c r="G5096">
        <v>5191</v>
      </c>
      <c r="H5096">
        <f>_xlfn.XLOOKUP(FACT_IMPORTS[[#This Row],[hts_6]],DIM_PRODUCTS[hts_6],DIM_PRODUCTS[hts_4],,,)</f>
        <v>8708</v>
      </c>
      <c r="I5096" t="str" cm="1">
        <f t="array" ref="I5096">_xlfn.XLOOKUP(FACT_IMPORTS[[#This Row],[country_name]],DIM_COUNTRY[[#All],[Column2]],DIM_COUNTRY[[#All],[Column3]],,,)</f>
        <v>Major_Non-USMCA_Non-China</v>
      </c>
    </row>
    <row r="5097" spans="1:9" x14ac:dyDescent="0.4">
      <c r="A5097" t="s">
        <v>68</v>
      </c>
      <c r="B5097" s="1">
        <v>45108</v>
      </c>
      <c r="C5097">
        <v>870895</v>
      </c>
      <c r="D5097" t="s">
        <v>176</v>
      </c>
      <c r="E5097">
        <v>9605</v>
      </c>
      <c r="F5097">
        <v>1059</v>
      </c>
      <c r="G5097">
        <v>116</v>
      </c>
      <c r="H5097">
        <f>_xlfn.XLOOKUP(FACT_IMPORTS[[#This Row],[hts_6]],DIM_PRODUCTS[hts_6],DIM_PRODUCTS[hts_4],,,)</f>
        <v>8708</v>
      </c>
      <c r="I5097" t="str" cm="1">
        <f t="array" ref="I5097">_xlfn.XLOOKUP(FACT_IMPORTS[[#This Row],[country_name]],DIM_COUNTRY[[#All],[Column2]],DIM_COUNTRY[[#All],[Column3]],,,)</f>
        <v>Major_Non-USMCA_Non-China</v>
      </c>
    </row>
    <row r="5098" spans="1:9" x14ac:dyDescent="0.4">
      <c r="A5098" t="s">
        <v>68</v>
      </c>
      <c r="B5098" s="1">
        <v>45108</v>
      </c>
      <c r="C5098">
        <v>870899</v>
      </c>
      <c r="D5098" t="s">
        <v>176</v>
      </c>
      <c r="E5098">
        <v>5033105</v>
      </c>
      <c r="F5098">
        <v>543700</v>
      </c>
      <c r="G5098">
        <v>52102</v>
      </c>
      <c r="H5098">
        <f>_xlfn.XLOOKUP(FACT_IMPORTS[[#This Row],[hts_6]],DIM_PRODUCTS[hts_6],DIM_PRODUCTS[hts_4],,,)</f>
        <v>8708</v>
      </c>
      <c r="I5098" t="str" cm="1">
        <f t="array" ref="I5098">_xlfn.XLOOKUP(FACT_IMPORTS[[#This Row],[country_name]],DIM_COUNTRY[[#All],[Column2]],DIM_COUNTRY[[#All],[Column3]],,,)</f>
        <v>Major_Non-USMCA_Non-China</v>
      </c>
    </row>
    <row r="5099" spans="1:9" x14ac:dyDescent="0.4">
      <c r="A5099" t="s">
        <v>68</v>
      </c>
      <c r="B5099" s="1">
        <v>45108</v>
      </c>
      <c r="C5099">
        <v>940120</v>
      </c>
      <c r="D5099" t="s">
        <v>176</v>
      </c>
      <c r="E5099">
        <v>42430</v>
      </c>
      <c r="F5099">
        <v>39</v>
      </c>
      <c r="G5099">
        <v>1045</v>
      </c>
      <c r="H5099">
        <f>_xlfn.XLOOKUP(FACT_IMPORTS[[#This Row],[hts_6]],DIM_PRODUCTS[hts_6],DIM_PRODUCTS[hts_4],,,)</f>
        <v>9401</v>
      </c>
      <c r="I5099" t="str" cm="1">
        <f t="array" ref="I5099">_xlfn.XLOOKUP(FACT_IMPORTS[[#This Row],[country_name]],DIM_COUNTRY[[#All],[Column2]],DIM_COUNTRY[[#All],[Column3]],,,)</f>
        <v>Major_Non-USMCA_Non-China</v>
      </c>
    </row>
    <row r="5100" spans="1:9" x14ac:dyDescent="0.4">
      <c r="A5100" t="s">
        <v>68</v>
      </c>
      <c r="B5100" s="1">
        <v>45139</v>
      </c>
      <c r="C5100">
        <v>392630</v>
      </c>
      <c r="D5100" t="s">
        <v>176</v>
      </c>
      <c r="E5100">
        <v>68095</v>
      </c>
      <c r="F5100">
        <v>38699</v>
      </c>
      <c r="G5100">
        <v>2160</v>
      </c>
      <c r="H5100">
        <f>_xlfn.XLOOKUP(FACT_IMPORTS[[#This Row],[hts_6]],DIM_PRODUCTS[hts_6],DIM_PRODUCTS[hts_4],,,)</f>
        <v>3926</v>
      </c>
      <c r="I5100" t="str" cm="1">
        <f t="array" ref="I5100">_xlfn.XLOOKUP(FACT_IMPORTS[[#This Row],[country_name]],DIM_COUNTRY[[#All],[Column2]],DIM_COUNTRY[[#All],[Column3]],,,)</f>
        <v>Major_Non-USMCA_Non-China</v>
      </c>
    </row>
    <row r="5101" spans="1:9" x14ac:dyDescent="0.4">
      <c r="A5101" t="s">
        <v>68</v>
      </c>
      <c r="B5101" s="1">
        <v>45139</v>
      </c>
      <c r="C5101">
        <v>401110</v>
      </c>
      <c r="D5101" t="s">
        <v>176</v>
      </c>
      <c r="E5101">
        <v>42570</v>
      </c>
      <c r="F5101">
        <v>258</v>
      </c>
      <c r="G5101">
        <v>12569</v>
      </c>
      <c r="H5101">
        <f>_xlfn.XLOOKUP(FACT_IMPORTS[[#This Row],[hts_6]],DIM_PRODUCTS[hts_6],DIM_PRODUCTS[hts_4],,,)</f>
        <v>4011</v>
      </c>
      <c r="I5101" t="str" cm="1">
        <f t="array" ref="I5101">_xlfn.XLOOKUP(FACT_IMPORTS[[#This Row],[country_name]],DIM_COUNTRY[[#All],[Column2]],DIM_COUNTRY[[#All],[Column3]],,,)</f>
        <v>Major_Non-USMCA_Non-China</v>
      </c>
    </row>
    <row r="5102" spans="1:9" x14ac:dyDescent="0.4">
      <c r="A5102" t="s">
        <v>68</v>
      </c>
      <c r="B5102" s="1">
        <v>45139</v>
      </c>
      <c r="C5102">
        <v>401120</v>
      </c>
      <c r="D5102" t="s">
        <v>176</v>
      </c>
      <c r="E5102">
        <v>520625</v>
      </c>
      <c r="F5102">
        <v>1513</v>
      </c>
      <c r="G5102">
        <v>1965</v>
      </c>
      <c r="H5102">
        <f>_xlfn.XLOOKUP(FACT_IMPORTS[[#This Row],[hts_6]],DIM_PRODUCTS[hts_6],DIM_PRODUCTS[hts_4],,,)</f>
        <v>4011</v>
      </c>
      <c r="I5102" t="str" cm="1">
        <f t="array" ref="I5102">_xlfn.XLOOKUP(FACT_IMPORTS[[#This Row],[country_name]],DIM_COUNTRY[[#All],[Column2]],DIM_COUNTRY[[#All],[Column3]],,,)</f>
        <v>Major_Non-USMCA_Non-China</v>
      </c>
    </row>
    <row r="5103" spans="1:9" x14ac:dyDescent="0.4">
      <c r="A5103" t="s">
        <v>68</v>
      </c>
      <c r="B5103" s="1">
        <v>45139</v>
      </c>
      <c r="C5103">
        <v>401140</v>
      </c>
      <c r="D5103" t="s">
        <v>176</v>
      </c>
      <c r="E5103">
        <v>0</v>
      </c>
      <c r="F5103">
        <v>0</v>
      </c>
      <c r="G5103">
        <v>0</v>
      </c>
      <c r="H5103">
        <f>_xlfn.XLOOKUP(FACT_IMPORTS[[#This Row],[hts_6]],DIM_PRODUCTS[hts_6],DIM_PRODUCTS[hts_4],,,)</f>
        <v>4011</v>
      </c>
      <c r="I5103" t="str" cm="1">
        <f t="array" ref="I5103">_xlfn.XLOOKUP(FACT_IMPORTS[[#This Row],[country_name]],DIM_COUNTRY[[#All],[Column2]],DIM_COUNTRY[[#All],[Column3]],,,)</f>
        <v>Major_Non-USMCA_Non-China</v>
      </c>
    </row>
    <row r="5104" spans="1:9" x14ac:dyDescent="0.4">
      <c r="A5104" t="s">
        <v>68</v>
      </c>
      <c r="B5104" s="1">
        <v>45139</v>
      </c>
      <c r="C5104">
        <v>401190</v>
      </c>
      <c r="D5104" t="s">
        <v>176</v>
      </c>
      <c r="E5104">
        <v>68101</v>
      </c>
      <c r="F5104">
        <v>2256</v>
      </c>
      <c r="G5104">
        <v>6000</v>
      </c>
      <c r="H5104">
        <f>_xlfn.XLOOKUP(FACT_IMPORTS[[#This Row],[hts_6]],DIM_PRODUCTS[hts_6],DIM_PRODUCTS[hts_4],,,)</f>
        <v>4011</v>
      </c>
      <c r="I5104" t="str" cm="1">
        <f t="array" ref="I5104">_xlfn.XLOOKUP(FACT_IMPORTS[[#This Row],[country_name]],DIM_COUNTRY[[#All],[Column2]],DIM_COUNTRY[[#All],[Column3]],,,)</f>
        <v>Major_Non-USMCA_Non-China</v>
      </c>
    </row>
    <row r="5105" spans="1:9" x14ac:dyDescent="0.4">
      <c r="A5105" t="s">
        <v>68</v>
      </c>
      <c r="B5105" s="1">
        <v>45139</v>
      </c>
      <c r="C5105">
        <v>700711</v>
      </c>
      <c r="D5105" t="s">
        <v>176</v>
      </c>
      <c r="E5105">
        <v>0</v>
      </c>
      <c r="F5105">
        <v>0</v>
      </c>
      <c r="G5105">
        <v>0</v>
      </c>
      <c r="H5105">
        <f>_xlfn.XLOOKUP(FACT_IMPORTS[[#This Row],[hts_6]],DIM_PRODUCTS[hts_6],DIM_PRODUCTS[hts_4],,,)</f>
        <v>7007</v>
      </c>
      <c r="I5105" t="str" cm="1">
        <f t="array" ref="I5105">_xlfn.XLOOKUP(FACT_IMPORTS[[#This Row],[country_name]],DIM_COUNTRY[[#All],[Column2]],DIM_COUNTRY[[#All],[Column3]],,,)</f>
        <v>Major_Non-USMCA_Non-China</v>
      </c>
    </row>
    <row r="5106" spans="1:9" x14ac:dyDescent="0.4">
      <c r="A5106" t="s">
        <v>68</v>
      </c>
      <c r="B5106" s="1">
        <v>45139</v>
      </c>
      <c r="C5106">
        <v>700721</v>
      </c>
      <c r="D5106" t="s">
        <v>176</v>
      </c>
      <c r="E5106">
        <v>15742</v>
      </c>
      <c r="F5106">
        <v>12</v>
      </c>
      <c r="G5106">
        <v>22</v>
      </c>
      <c r="H5106">
        <f>_xlfn.XLOOKUP(FACT_IMPORTS[[#This Row],[hts_6]],DIM_PRODUCTS[hts_6],DIM_PRODUCTS[hts_4],,,)</f>
        <v>7007</v>
      </c>
      <c r="I5106" t="str" cm="1">
        <f t="array" ref="I5106">_xlfn.XLOOKUP(FACT_IMPORTS[[#This Row],[country_name]],DIM_COUNTRY[[#All],[Column2]],DIM_COUNTRY[[#All],[Column3]],,,)</f>
        <v>Major_Non-USMCA_Non-China</v>
      </c>
    </row>
    <row r="5107" spans="1:9" x14ac:dyDescent="0.4">
      <c r="A5107" t="s">
        <v>68</v>
      </c>
      <c r="B5107" s="1">
        <v>45139</v>
      </c>
      <c r="C5107">
        <v>732010</v>
      </c>
      <c r="D5107" t="s">
        <v>176</v>
      </c>
      <c r="E5107">
        <v>0</v>
      </c>
      <c r="F5107">
        <v>0</v>
      </c>
      <c r="G5107">
        <v>0</v>
      </c>
      <c r="H5107">
        <f>_xlfn.XLOOKUP(FACT_IMPORTS[[#This Row],[hts_6]],DIM_PRODUCTS[hts_6],DIM_PRODUCTS[hts_4],,,)</f>
        <v>7320</v>
      </c>
      <c r="I5107" t="str" cm="1">
        <f t="array" ref="I5107">_xlfn.XLOOKUP(FACT_IMPORTS[[#This Row],[country_name]],DIM_COUNTRY[[#All],[Column2]],DIM_COUNTRY[[#All],[Column3]],,,)</f>
        <v>Major_Non-USMCA_Non-China</v>
      </c>
    </row>
    <row r="5108" spans="1:9" x14ac:dyDescent="0.4">
      <c r="A5108" t="s">
        <v>68</v>
      </c>
      <c r="B5108" s="1">
        <v>45139</v>
      </c>
      <c r="C5108">
        <v>830230</v>
      </c>
      <c r="D5108" t="s">
        <v>176</v>
      </c>
      <c r="E5108">
        <v>560273</v>
      </c>
      <c r="F5108">
        <v>185073</v>
      </c>
      <c r="G5108">
        <v>46657</v>
      </c>
      <c r="H5108">
        <f>_xlfn.XLOOKUP(FACT_IMPORTS[[#This Row],[hts_6]],DIM_PRODUCTS[hts_6],DIM_PRODUCTS[hts_4],,,)</f>
        <v>8302</v>
      </c>
      <c r="I5108" t="str" cm="1">
        <f t="array" ref="I5108">_xlfn.XLOOKUP(FACT_IMPORTS[[#This Row],[country_name]],DIM_COUNTRY[[#All],[Column2]],DIM_COUNTRY[[#All],[Column3]],,,)</f>
        <v>Major_Non-USMCA_Non-China</v>
      </c>
    </row>
    <row r="5109" spans="1:9" x14ac:dyDescent="0.4">
      <c r="A5109" t="s">
        <v>68</v>
      </c>
      <c r="B5109" s="1">
        <v>45139</v>
      </c>
      <c r="C5109">
        <v>840731</v>
      </c>
      <c r="D5109" t="s">
        <v>176</v>
      </c>
      <c r="E5109">
        <v>9655</v>
      </c>
      <c r="F5109">
        <v>4</v>
      </c>
      <c r="G5109">
        <v>515</v>
      </c>
      <c r="H5109">
        <f>_xlfn.XLOOKUP(FACT_IMPORTS[[#This Row],[hts_6]],DIM_PRODUCTS[hts_6],DIM_PRODUCTS[hts_4],,,)</f>
        <v>8407</v>
      </c>
      <c r="I5109" t="str" cm="1">
        <f t="array" ref="I5109">_xlfn.XLOOKUP(FACT_IMPORTS[[#This Row],[country_name]],DIM_COUNTRY[[#All],[Column2]],DIM_COUNTRY[[#All],[Column3]],,,)</f>
        <v>Major_Non-USMCA_Non-China</v>
      </c>
    </row>
    <row r="5110" spans="1:9" x14ac:dyDescent="0.4">
      <c r="A5110" t="s">
        <v>68</v>
      </c>
      <c r="B5110" s="1">
        <v>45139</v>
      </c>
      <c r="C5110">
        <v>840733</v>
      </c>
      <c r="D5110" t="s">
        <v>176</v>
      </c>
      <c r="E5110">
        <v>0</v>
      </c>
      <c r="F5110">
        <v>0</v>
      </c>
      <c r="G5110">
        <v>0</v>
      </c>
      <c r="H5110">
        <f>_xlfn.XLOOKUP(FACT_IMPORTS[[#This Row],[hts_6]],DIM_PRODUCTS[hts_6],DIM_PRODUCTS[hts_4],,,)</f>
        <v>8407</v>
      </c>
      <c r="I5110" t="str" cm="1">
        <f t="array" ref="I5110">_xlfn.XLOOKUP(FACT_IMPORTS[[#This Row],[country_name]],DIM_COUNTRY[[#All],[Column2]],DIM_COUNTRY[[#All],[Column3]],,,)</f>
        <v>Major_Non-USMCA_Non-China</v>
      </c>
    </row>
    <row r="5111" spans="1:9" x14ac:dyDescent="0.4">
      <c r="A5111" t="s">
        <v>68</v>
      </c>
      <c r="B5111" s="1">
        <v>45139</v>
      </c>
      <c r="C5111">
        <v>840734</v>
      </c>
      <c r="D5111" t="s">
        <v>176</v>
      </c>
      <c r="E5111">
        <v>44428</v>
      </c>
      <c r="F5111">
        <v>9</v>
      </c>
      <c r="G5111">
        <v>772</v>
      </c>
      <c r="H5111">
        <f>_xlfn.XLOOKUP(FACT_IMPORTS[[#This Row],[hts_6]],DIM_PRODUCTS[hts_6],DIM_PRODUCTS[hts_4],,,)</f>
        <v>8407</v>
      </c>
      <c r="I5111" t="str" cm="1">
        <f t="array" ref="I5111">_xlfn.XLOOKUP(FACT_IMPORTS[[#This Row],[country_name]],DIM_COUNTRY[[#All],[Column2]],DIM_COUNTRY[[#All],[Column3]],,,)</f>
        <v>Major_Non-USMCA_Non-China</v>
      </c>
    </row>
    <row r="5112" spans="1:9" x14ac:dyDescent="0.4">
      <c r="A5112" t="s">
        <v>68</v>
      </c>
      <c r="B5112" s="1">
        <v>45139</v>
      </c>
      <c r="C5112">
        <v>840790</v>
      </c>
      <c r="D5112" t="s">
        <v>176</v>
      </c>
      <c r="E5112">
        <v>4716</v>
      </c>
      <c r="F5112">
        <v>4</v>
      </c>
      <c r="G5112">
        <v>252</v>
      </c>
      <c r="H5112">
        <f>_xlfn.XLOOKUP(FACT_IMPORTS[[#This Row],[hts_6]],DIM_PRODUCTS[hts_6],DIM_PRODUCTS[hts_4],,,)</f>
        <v>8407</v>
      </c>
      <c r="I5112" t="str" cm="1">
        <f t="array" ref="I5112">_xlfn.XLOOKUP(FACT_IMPORTS[[#This Row],[country_name]],DIM_COUNTRY[[#All],[Column2]],DIM_COUNTRY[[#All],[Column3]],,,)</f>
        <v>Major_Non-USMCA_Non-China</v>
      </c>
    </row>
    <row r="5113" spans="1:9" x14ac:dyDescent="0.4">
      <c r="A5113" t="s">
        <v>68</v>
      </c>
      <c r="B5113" s="1">
        <v>45139</v>
      </c>
      <c r="C5113">
        <v>840820</v>
      </c>
      <c r="D5113" t="s">
        <v>176</v>
      </c>
      <c r="E5113">
        <v>235303</v>
      </c>
      <c r="F5113">
        <v>12</v>
      </c>
      <c r="G5113">
        <v>45765</v>
      </c>
      <c r="H5113">
        <f>_xlfn.XLOOKUP(FACT_IMPORTS[[#This Row],[hts_6]],DIM_PRODUCTS[hts_6],DIM_PRODUCTS[hts_4],,,)</f>
        <v>8408</v>
      </c>
      <c r="I5113" t="str" cm="1">
        <f t="array" ref="I5113">_xlfn.XLOOKUP(FACT_IMPORTS[[#This Row],[country_name]],DIM_COUNTRY[[#All],[Column2]],DIM_COUNTRY[[#All],[Column3]],,,)</f>
        <v>Major_Non-USMCA_Non-China</v>
      </c>
    </row>
    <row r="5114" spans="1:9" x14ac:dyDescent="0.4">
      <c r="A5114" t="s">
        <v>68</v>
      </c>
      <c r="B5114" s="1">
        <v>45139</v>
      </c>
      <c r="C5114">
        <v>840890</v>
      </c>
      <c r="D5114" t="s">
        <v>176</v>
      </c>
      <c r="E5114">
        <v>509709</v>
      </c>
      <c r="F5114">
        <v>17</v>
      </c>
      <c r="G5114">
        <v>21368</v>
      </c>
      <c r="H5114">
        <f>_xlfn.XLOOKUP(FACT_IMPORTS[[#This Row],[hts_6]],DIM_PRODUCTS[hts_6],DIM_PRODUCTS[hts_4],,,)</f>
        <v>8408</v>
      </c>
      <c r="I5114" t="str" cm="1">
        <f t="array" ref="I5114">_xlfn.XLOOKUP(FACT_IMPORTS[[#This Row],[country_name]],DIM_COUNTRY[[#All],[Column2]],DIM_COUNTRY[[#All],[Column3]],,,)</f>
        <v>Major_Non-USMCA_Non-China</v>
      </c>
    </row>
    <row r="5115" spans="1:9" x14ac:dyDescent="0.4">
      <c r="A5115" t="s">
        <v>68</v>
      </c>
      <c r="B5115" s="1">
        <v>45139</v>
      </c>
      <c r="C5115">
        <v>840991</v>
      </c>
      <c r="D5115" t="s">
        <v>176</v>
      </c>
      <c r="E5115">
        <v>583145</v>
      </c>
      <c r="F5115">
        <v>51439</v>
      </c>
      <c r="G5115">
        <v>17334</v>
      </c>
      <c r="H5115">
        <f>_xlfn.XLOOKUP(FACT_IMPORTS[[#This Row],[hts_6]],DIM_PRODUCTS[hts_6],DIM_PRODUCTS[hts_4],,,)</f>
        <v>8409</v>
      </c>
      <c r="I5115" t="str" cm="1">
        <f t="array" ref="I5115">_xlfn.XLOOKUP(FACT_IMPORTS[[#This Row],[country_name]],DIM_COUNTRY[[#All],[Column2]],DIM_COUNTRY[[#All],[Column3]],,,)</f>
        <v>Major_Non-USMCA_Non-China</v>
      </c>
    </row>
    <row r="5116" spans="1:9" x14ac:dyDescent="0.4">
      <c r="A5116" t="s">
        <v>68</v>
      </c>
      <c r="B5116" s="1">
        <v>45139</v>
      </c>
      <c r="C5116">
        <v>840999</v>
      </c>
      <c r="D5116" t="s">
        <v>176</v>
      </c>
      <c r="E5116">
        <v>35004554</v>
      </c>
      <c r="F5116">
        <v>4858823</v>
      </c>
      <c r="G5116">
        <v>716464</v>
      </c>
      <c r="H5116">
        <f>_xlfn.XLOOKUP(FACT_IMPORTS[[#This Row],[hts_6]],DIM_PRODUCTS[hts_6],DIM_PRODUCTS[hts_4],,,)</f>
        <v>8409</v>
      </c>
      <c r="I5116" t="str" cm="1">
        <f t="array" ref="I5116">_xlfn.XLOOKUP(FACT_IMPORTS[[#This Row],[country_name]],DIM_COUNTRY[[#All],[Column2]],DIM_COUNTRY[[#All],[Column3]],,,)</f>
        <v>Major_Non-USMCA_Non-China</v>
      </c>
    </row>
    <row r="5117" spans="1:9" x14ac:dyDescent="0.4">
      <c r="A5117" t="s">
        <v>68</v>
      </c>
      <c r="B5117" s="1">
        <v>45139</v>
      </c>
      <c r="C5117">
        <v>841330</v>
      </c>
      <c r="D5117" t="s">
        <v>176</v>
      </c>
      <c r="E5117">
        <v>2029950</v>
      </c>
      <c r="F5117">
        <v>18347</v>
      </c>
      <c r="G5117">
        <v>17004</v>
      </c>
      <c r="H5117">
        <f>_xlfn.XLOOKUP(FACT_IMPORTS[[#This Row],[hts_6]],DIM_PRODUCTS[hts_6],DIM_PRODUCTS[hts_4],,,)</f>
        <v>8413</v>
      </c>
      <c r="I5117" t="str" cm="1">
        <f t="array" ref="I5117">_xlfn.XLOOKUP(FACT_IMPORTS[[#This Row],[country_name]],DIM_COUNTRY[[#All],[Column2]],DIM_COUNTRY[[#All],[Column3]],,,)</f>
        <v>Major_Non-USMCA_Non-China</v>
      </c>
    </row>
    <row r="5118" spans="1:9" x14ac:dyDescent="0.4">
      <c r="A5118" t="s">
        <v>68</v>
      </c>
      <c r="B5118" s="1">
        <v>45139</v>
      </c>
      <c r="C5118">
        <v>841520</v>
      </c>
      <c r="D5118" t="s">
        <v>176</v>
      </c>
      <c r="E5118">
        <v>0</v>
      </c>
      <c r="F5118">
        <v>0</v>
      </c>
      <c r="G5118">
        <v>0</v>
      </c>
      <c r="H5118">
        <f>_xlfn.XLOOKUP(FACT_IMPORTS[[#This Row],[hts_6]],DIM_PRODUCTS[hts_6],DIM_PRODUCTS[hts_4],,,)</f>
        <v>8415</v>
      </c>
      <c r="I5118" t="str" cm="1">
        <f t="array" ref="I5118">_xlfn.XLOOKUP(FACT_IMPORTS[[#This Row],[country_name]],DIM_COUNTRY[[#All],[Column2]],DIM_COUNTRY[[#All],[Column3]],,,)</f>
        <v>Major_Non-USMCA_Non-China</v>
      </c>
    </row>
    <row r="5119" spans="1:9" x14ac:dyDescent="0.4">
      <c r="A5119" t="s">
        <v>68</v>
      </c>
      <c r="B5119" s="1">
        <v>45139</v>
      </c>
      <c r="C5119">
        <v>842132</v>
      </c>
      <c r="D5119" t="s">
        <v>176</v>
      </c>
      <c r="E5119">
        <v>275129</v>
      </c>
      <c r="F5119">
        <v>503</v>
      </c>
      <c r="G5119">
        <v>1502</v>
      </c>
      <c r="H5119">
        <f>_xlfn.XLOOKUP(FACT_IMPORTS[[#This Row],[hts_6]],DIM_PRODUCTS[hts_6],DIM_PRODUCTS[hts_4],,,)</f>
        <v>8421</v>
      </c>
      <c r="I5119" t="str" cm="1">
        <f t="array" ref="I5119">_xlfn.XLOOKUP(FACT_IMPORTS[[#This Row],[country_name]],DIM_COUNTRY[[#All],[Column2]],DIM_COUNTRY[[#All],[Column3]],,,)</f>
        <v>Major_Non-USMCA_Non-China</v>
      </c>
    </row>
    <row r="5120" spans="1:9" x14ac:dyDescent="0.4">
      <c r="A5120" t="s">
        <v>68</v>
      </c>
      <c r="B5120" s="1">
        <v>45139</v>
      </c>
      <c r="C5120">
        <v>848210</v>
      </c>
      <c r="D5120" t="s">
        <v>176</v>
      </c>
      <c r="E5120">
        <v>110609</v>
      </c>
      <c r="F5120">
        <v>658</v>
      </c>
      <c r="G5120">
        <v>4210</v>
      </c>
      <c r="H5120">
        <f>_xlfn.XLOOKUP(FACT_IMPORTS[[#This Row],[hts_6]],DIM_PRODUCTS[hts_6],DIM_PRODUCTS[hts_4],,,)</f>
        <v>8482</v>
      </c>
      <c r="I5120" t="str" cm="1">
        <f t="array" ref="I5120">_xlfn.XLOOKUP(FACT_IMPORTS[[#This Row],[country_name]],DIM_COUNTRY[[#All],[Column2]],DIM_COUNTRY[[#All],[Column3]],,,)</f>
        <v>Major_Non-USMCA_Non-China</v>
      </c>
    </row>
    <row r="5121" spans="1:9" x14ac:dyDescent="0.4">
      <c r="A5121" t="s">
        <v>68</v>
      </c>
      <c r="B5121" s="1">
        <v>45139</v>
      </c>
      <c r="C5121">
        <v>848220</v>
      </c>
      <c r="D5121" t="s">
        <v>176</v>
      </c>
      <c r="E5121">
        <v>15809</v>
      </c>
      <c r="F5121">
        <v>3</v>
      </c>
      <c r="G5121">
        <v>833</v>
      </c>
      <c r="H5121">
        <f>_xlfn.XLOOKUP(FACT_IMPORTS[[#This Row],[hts_6]],DIM_PRODUCTS[hts_6],DIM_PRODUCTS[hts_4],,,)</f>
        <v>8482</v>
      </c>
      <c r="I5121" t="str" cm="1">
        <f t="array" ref="I5121">_xlfn.XLOOKUP(FACT_IMPORTS[[#This Row],[country_name]],DIM_COUNTRY[[#All],[Column2]],DIM_COUNTRY[[#All],[Column3]],,,)</f>
        <v>Major_Non-USMCA_Non-China</v>
      </c>
    </row>
    <row r="5122" spans="1:9" x14ac:dyDescent="0.4">
      <c r="A5122" t="s">
        <v>68</v>
      </c>
      <c r="B5122" s="1">
        <v>45139</v>
      </c>
      <c r="C5122">
        <v>848310</v>
      </c>
      <c r="D5122" t="s">
        <v>176</v>
      </c>
      <c r="E5122">
        <v>5437495</v>
      </c>
      <c r="F5122">
        <v>34303</v>
      </c>
      <c r="G5122">
        <v>46569</v>
      </c>
      <c r="H5122">
        <f>_xlfn.XLOOKUP(FACT_IMPORTS[[#This Row],[hts_6]],DIM_PRODUCTS[hts_6],DIM_PRODUCTS[hts_4],,,)</f>
        <v>8483</v>
      </c>
      <c r="I5122" t="str" cm="1">
        <f t="array" ref="I5122">_xlfn.XLOOKUP(FACT_IMPORTS[[#This Row],[country_name]],DIM_COUNTRY[[#All],[Column2]],DIM_COUNTRY[[#All],[Column3]],,,)</f>
        <v>Major_Non-USMCA_Non-China</v>
      </c>
    </row>
    <row r="5123" spans="1:9" x14ac:dyDescent="0.4">
      <c r="A5123" t="s">
        <v>68</v>
      </c>
      <c r="B5123" s="1">
        <v>45139</v>
      </c>
      <c r="C5123">
        <v>850131</v>
      </c>
      <c r="D5123" t="s">
        <v>176</v>
      </c>
      <c r="E5123">
        <v>127232</v>
      </c>
      <c r="F5123">
        <v>692</v>
      </c>
      <c r="G5123">
        <v>934</v>
      </c>
      <c r="H5123">
        <f>_xlfn.XLOOKUP(FACT_IMPORTS[[#This Row],[hts_6]],DIM_PRODUCTS[hts_6],DIM_PRODUCTS[hts_4],,,)</f>
        <v>8501</v>
      </c>
      <c r="I5123" t="str" cm="1">
        <f t="array" ref="I5123">_xlfn.XLOOKUP(FACT_IMPORTS[[#This Row],[country_name]],DIM_COUNTRY[[#All],[Column2]],DIM_COUNTRY[[#All],[Column3]],,,)</f>
        <v>Major_Non-USMCA_Non-China</v>
      </c>
    </row>
    <row r="5124" spans="1:9" x14ac:dyDescent="0.4">
      <c r="A5124" t="s">
        <v>68</v>
      </c>
      <c r="B5124" s="1">
        <v>45139</v>
      </c>
      <c r="C5124">
        <v>850132</v>
      </c>
      <c r="D5124" t="s">
        <v>176</v>
      </c>
      <c r="E5124">
        <v>171486</v>
      </c>
      <c r="F5124">
        <v>34</v>
      </c>
      <c r="G5124">
        <v>548</v>
      </c>
      <c r="H5124">
        <f>_xlfn.XLOOKUP(FACT_IMPORTS[[#This Row],[hts_6]],DIM_PRODUCTS[hts_6],DIM_PRODUCTS[hts_4],,,)</f>
        <v>8501</v>
      </c>
      <c r="I5124" t="str" cm="1">
        <f t="array" ref="I5124">_xlfn.XLOOKUP(FACT_IMPORTS[[#This Row],[country_name]],DIM_COUNTRY[[#All],[Column2]],DIM_COUNTRY[[#All],[Column3]],,,)</f>
        <v>Major_Non-USMCA_Non-China</v>
      </c>
    </row>
    <row r="5125" spans="1:9" x14ac:dyDescent="0.4">
      <c r="A5125" t="s">
        <v>68</v>
      </c>
      <c r="B5125" s="1">
        <v>45139</v>
      </c>
      <c r="C5125">
        <v>850133</v>
      </c>
      <c r="D5125" t="s">
        <v>176</v>
      </c>
      <c r="E5125">
        <v>29635</v>
      </c>
      <c r="F5125">
        <v>1</v>
      </c>
      <c r="G5125">
        <v>2000</v>
      </c>
      <c r="H5125">
        <f>_xlfn.XLOOKUP(FACT_IMPORTS[[#This Row],[hts_6]],DIM_PRODUCTS[hts_6],DIM_PRODUCTS[hts_4],,,)</f>
        <v>8501</v>
      </c>
      <c r="I5125" t="str" cm="1">
        <f t="array" ref="I5125">_xlfn.XLOOKUP(FACT_IMPORTS[[#This Row],[country_name]],DIM_COUNTRY[[#All],[Column2]],DIM_COUNTRY[[#All],[Column3]],,,)</f>
        <v>Major_Non-USMCA_Non-China</v>
      </c>
    </row>
    <row r="5126" spans="1:9" x14ac:dyDescent="0.4">
      <c r="A5126" t="s">
        <v>68</v>
      </c>
      <c r="B5126" s="1">
        <v>45139</v>
      </c>
      <c r="C5126">
        <v>850134</v>
      </c>
      <c r="D5126" t="s">
        <v>176</v>
      </c>
      <c r="E5126">
        <v>0</v>
      </c>
      <c r="F5126">
        <v>0</v>
      </c>
      <c r="G5126">
        <v>0</v>
      </c>
      <c r="H5126">
        <f>_xlfn.XLOOKUP(FACT_IMPORTS[[#This Row],[hts_6]],DIM_PRODUCTS[hts_6],DIM_PRODUCTS[hts_4],,,)</f>
        <v>8501</v>
      </c>
      <c r="I5126" t="str" cm="1">
        <f t="array" ref="I5126">_xlfn.XLOOKUP(FACT_IMPORTS[[#This Row],[country_name]],DIM_COUNTRY[[#All],[Column2]],DIM_COUNTRY[[#All],[Column3]],,,)</f>
        <v>Major_Non-USMCA_Non-China</v>
      </c>
    </row>
    <row r="5127" spans="1:9" x14ac:dyDescent="0.4">
      <c r="A5127" t="s">
        <v>68</v>
      </c>
      <c r="B5127" s="1">
        <v>45139</v>
      </c>
      <c r="C5127">
        <v>850152</v>
      </c>
      <c r="D5127" t="s">
        <v>176</v>
      </c>
      <c r="E5127">
        <v>445230</v>
      </c>
      <c r="F5127">
        <v>317</v>
      </c>
      <c r="G5127">
        <v>13968</v>
      </c>
      <c r="H5127">
        <f>_xlfn.XLOOKUP(FACT_IMPORTS[[#This Row],[hts_6]],DIM_PRODUCTS[hts_6],DIM_PRODUCTS[hts_4],,,)</f>
        <v>8501</v>
      </c>
      <c r="I5127" t="str" cm="1">
        <f t="array" ref="I5127">_xlfn.XLOOKUP(FACT_IMPORTS[[#This Row],[country_name]],DIM_COUNTRY[[#All],[Column2]],DIM_COUNTRY[[#All],[Column3]],,,)</f>
        <v>Major_Non-USMCA_Non-China</v>
      </c>
    </row>
    <row r="5128" spans="1:9" x14ac:dyDescent="0.4">
      <c r="A5128" t="s">
        <v>68</v>
      </c>
      <c r="B5128" s="1">
        <v>45139</v>
      </c>
      <c r="C5128">
        <v>850153</v>
      </c>
      <c r="D5128" t="s">
        <v>176</v>
      </c>
      <c r="E5128">
        <v>740506</v>
      </c>
      <c r="F5128">
        <v>73</v>
      </c>
      <c r="G5128">
        <v>22654</v>
      </c>
      <c r="H5128">
        <f>_xlfn.XLOOKUP(FACT_IMPORTS[[#This Row],[hts_6]],DIM_PRODUCTS[hts_6],DIM_PRODUCTS[hts_4],,,)</f>
        <v>8501</v>
      </c>
      <c r="I5128" t="str" cm="1">
        <f t="array" ref="I5128">_xlfn.XLOOKUP(FACT_IMPORTS[[#This Row],[country_name]],DIM_COUNTRY[[#All],[Column2]],DIM_COUNTRY[[#All],[Column3]],,,)</f>
        <v>Major_Non-USMCA_Non-China</v>
      </c>
    </row>
    <row r="5129" spans="1:9" x14ac:dyDescent="0.4">
      <c r="A5129" t="s">
        <v>68</v>
      </c>
      <c r="B5129" s="1">
        <v>45139</v>
      </c>
      <c r="C5129">
        <v>850161</v>
      </c>
      <c r="D5129" t="s">
        <v>176</v>
      </c>
      <c r="E5129">
        <v>0</v>
      </c>
      <c r="F5129">
        <v>0</v>
      </c>
      <c r="G5129">
        <v>0</v>
      </c>
      <c r="H5129">
        <f>_xlfn.XLOOKUP(FACT_IMPORTS[[#This Row],[hts_6]],DIM_PRODUCTS[hts_6],DIM_PRODUCTS[hts_4],,,)</f>
        <v>8501</v>
      </c>
      <c r="I5129" t="str" cm="1">
        <f t="array" ref="I5129">_xlfn.XLOOKUP(FACT_IMPORTS[[#This Row],[country_name]],DIM_COUNTRY[[#All],[Column2]],DIM_COUNTRY[[#All],[Column3]],,,)</f>
        <v>Major_Non-USMCA_Non-China</v>
      </c>
    </row>
    <row r="5130" spans="1:9" x14ac:dyDescent="0.4">
      <c r="A5130" t="s">
        <v>68</v>
      </c>
      <c r="B5130" s="1">
        <v>45139</v>
      </c>
      <c r="C5130">
        <v>850440</v>
      </c>
      <c r="D5130" t="s">
        <v>176</v>
      </c>
      <c r="E5130">
        <v>524519</v>
      </c>
      <c r="F5130">
        <v>263</v>
      </c>
      <c r="G5130">
        <v>15921</v>
      </c>
      <c r="H5130">
        <f>_xlfn.XLOOKUP(FACT_IMPORTS[[#This Row],[hts_6]],DIM_PRODUCTS[hts_6],DIM_PRODUCTS[hts_4],,,)</f>
        <v>8504</v>
      </c>
      <c r="I5130" t="str" cm="1">
        <f t="array" ref="I5130">_xlfn.XLOOKUP(FACT_IMPORTS[[#This Row],[country_name]],DIM_COUNTRY[[#All],[Column2]],DIM_COUNTRY[[#All],[Column3]],,,)</f>
        <v>Major_Non-USMCA_Non-China</v>
      </c>
    </row>
    <row r="5131" spans="1:9" x14ac:dyDescent="0.4">
      <c r="A5131" t="s">
        <v>68</v>
      </c>
      <c r="B5131" s="1">
        <v>45139</v>
      </c>
      <c r="C5131">
        <v>850710</v>
      </c>
      <c r="D5131" t="s">
        <v>176</v>
      </c>
      <c r="E5131">
        <v>0</v>
      </c>
      <c r="F5131">
        <v>0</v>
      </c>
      <c r="G5131">
        <v>0</v>
      </c>
      <c r="H5131">
        <f>_xlfn.XLOOKUP(FACT_IMPORTS[[#This Row],[hts_6]],DIM_PRODUCTS[hts_6],DIM_PRODUCTS[hts_4],,,)</f>
        <v>8507</v>
      </c>
      <c r="I5131" t="str" cm="1">
        <f t="array" ref="I5131">_xlfn.XLOOKUP(FACT_IMPORTS[[#This Row],[country_name]],DIM_COUNTRY[[#All],[Column2]],DIM_COUNTRY[[#All],[Column3]],,,)</f>
        <v>Major_Non-USMCA_Non-China</v>
      </c>
    </row>
    <row r="5132" spans="1:9" x14ac:dyDescent="0.4">
      <c r="A5132" t="s">
        <v>68</v>
      </c>
      <c r="B5132" s="1">
        <v>45139</v>
      </c>
      <c r="C5132">
        <v>850760</v>
      </c>
      <c r="D5132" t="s">
        <v>176</v>
      </c>
      <c r="E5132">
        <v>1341271</v>
      </c>
      <c r="F5132">
        <v>13223</v>
      </c>
      <c r="G5132">
        <v>12653</v>
      </c>
      <c r="H5132">
        <f>_xlfn.XLOOKUP(FACT_IMPORTS[[#This Row],[hts_6]],DIM_PRODUCTS[hts_6],DIM_PRODUCTS[hts_4],,,)</f>
        <v>8507</v>
      </c>
      <c r="I5132" t="str" cm="1">
        <f t="array" ref="I5132">_xlfn.XLOOKUP(FACT_IMPORTS[[#This Row],[country_name]],DIM_COUNTRY[[#All],[Column2]],DIM_COUNTRY[[#All],[Column3]],,,)</f>
        <v>Major_Non-USMCA_Non-China</v>
      </c>
    </row>
    <row r="5133" spans="1:9" x14ac:dyDescent="0.4">
      <c r="A5133" t="s">
        <v>68</v>
      </c>
      <c r="B5133" s="1">
        <v>45139</v>
      </c>
      <c r="C5133">
        <v>850790</v>
      </c>
      <c r="D5133" t="s">
        <v>176</v>
      </c>
      <c r="E5133">
        <v>1933721</v>
      </c>
      <c r="F5133">
        <v>181055</v>
      </c>
      <c r="G5133">
        <v>29453</v>
      </c>
      <c r="H5133">
        <f>_xlfn.XLOOKUP(FACT_IMPORTS[[#This Row],[hts_6]],DIM_PRODUCTS[hts_6],DIM_PRODUCTS[hts_4],,,)</f>
        <v>8507</v>
      </c>
      <c r="I5133" t="str" cm="1">
        <f t="array" ref="I5133">_xlfn.XLOOKUP(FACT_IMPORTS[[#This Row],[country_name]],DIM_COUNTRY[[#All],[Column2]],DIM_COUNTRY[[#All],[Column3]],,,)</f>
        <v>Major_Non-USMCA_Non-China</v>
      </c>
    </row>
    <row r="5134" spans="1:9" x14ac:dyDescent="0.4">
      <c r="A5134" t="s">
        <v>68</v>
      </c>
      <c r="B5134" s="1">
        <v>45139</v>
      </c>
      <c r="C5134">
        <v>851110</v>
      </c>
      <c r="D5134" t="s">
        <v>176</v>
      </c>
      <c r="E5134">
        <v>38496</v>
      </c>
      <c r="F5134">
        <v>44</v>
      </c>
      <c r="G5134">
        <v>202</v>
      </c>
      <c r="H5134">
        <f>_xlfn.XLOOKUP(FACT_IMPORTS[[#This Row],[hts_6]],DIM_PRODUCTS[hts_6],DIM_PRODUCTS[hts_4],,,)</f>
        <v>8511</v>
      </c>
      <c r="I5134" t="str" cm="1">
        <f t="array" ref="I5134">_xlfn.XLOOKUP(FACT_IMPORTS[[#This Row],[country_name]],DIM_COUNTRY[[#All],[Column2]],DIM_COUNTRY[[#All],[Column3]],,,)</f>
        <v>Major_Non-USMCA_Non-China</v>
      </c>
    </row>
    <row r="5135" spans="1:9" x14ac:dyDescent="0.4">
      <c r="A5135" t="s">
        <v>68</v>
      </c>
      <c r="B5135" s="1">
        <v>45139</v>
      </c>
      <c r="C5135">
        <v>851120</v>
      </c>
      <c r="D5135" t="s">
        <v>176</v>
      </c>
      <c r="E5135">
        <v>0</v>
      </c>
      <c r="F5135">
        <v>0</v>
      </c>
      <c r="G5135">
        <v>0</v>
      </c>
      <c r="H5135">
        <f>_xlfn.XLOOKUP(FACT_IMPORTS[[#This Row],[hts_6]],DIM_PRODUCTS[hts_6],DIM_PRODUCTS[hts_4],,,)</f>
        <v>8511</v>
      </c>
      <c r="I5135" t="str" cm="1">
        <f t="array" ref="I5135">_xlfn.XLOOKUP(FACT_IMPORTS[[#This Row],[country_name]],DIM_COUNTRY[[#All],[Column2]],DIM_COUNTRY[[#All],[Column3]],,,)</f>
        <v>Major_Non-USMCA_Non-China</v>
      </c>
    </row>
    <row r="5136" spans="1:9" x14ac:dyDescent="0.4">
      <c r="A5136" t="s">
        <v>68</v>
      </c>
      <c r="B5136" s="1">
        <v>45139</v>
      </c>
      <c r="C5136">
        <v>851130</v>
      </c>
      <c r="D5136" t="s">
        <v>176</v>
      </c>
      <c r="E5136">
        <v>5558</v>
      </c>
      <c r="F5136">
        <v>120</v>
      </c>
      <c r="G5136">
        <v>300</v>
      </c>
      <c r="H5136">
        <f>_xlfn.XLOOKUP(FACT_IMPORTS[[#This Row],[hts_6]],DIM_PRODUCTS[hts_6],DIM_PRODUCTS[hts_4],,,)</f>
        <v>8511</v>
      </c>
      <c r="I5136" t="str" cm="1">
        <f t="array" ref="I5136">_xlfn.XLOOKUP(FACT_IMPORTS[[#This Row],[country_name]],DIM_COUNTRY[[#All],[Column2]],DIM_COUNTRY[[#All],[Column3]],,,)</f>
        <v>Major_Non-USMCA_Non-China</v>
      </c>
    </row>
    <row r="5137" spans="1:9" x14ac:dyDescent="0.4">
      <c r="A5137" t="s">
        <v>68</v>
      </c>
      <c r="B5137" s="1">
        <v>45139</v>
      </c>
      <c r="C5137">
        <v>851140</v>
      </c>
      <c r="D5137" t="s">
        <v>176</v>
      </c>
      <c r="E5137">
        <v>2126</v>
      </c>
      <c r="F5137">
        <v>2</v>
      </c>
      <c r="G5137">
        <v>58</v>
      </c>
      <c r="H5137">
        <f>_xlfn.XLOOKUP(FACT_IMPORTS[[#This Row],[hts_6]],DIM_PRODUCTS[hts_6],DIM_PRODUCTS[hts_4],,,)</f>
        <v>8511</v>
      </c>
      <c r="I5137" t="str" cm="1">
        <f t="array" ref="I5137">_xlfn.XLOOKUP(FACT_IMPORTS[[#This Row],[country_name]],DIM_COUNTRY[[#All],[Column2]],DIM_COUNTRY[[#All],[Column3]],,,)</f>
        <v>Major_Non-USMCA_Non-China</v>
      </c>
    </row>
    <row r="5138" spans="1:9" x14ac:dyDescent="0.4">
      <c r="A5138" t="s">
        <v>68</v>
      </c>
      <c r="B5138" s="1">
        <v>45139</v>
      </c>
      <c r="C5138">
        <v>851150</v>
      </c>
      <c r="D5138" t="s">
        <v>176</v>
      </c>
      <c r="E5138">
        <v>12182</v>
      </c>
      <c r="F5138">
        <v>1</v>
      </c>
      <c r="G5138">
        <v>775</v>
      </c>
      <c r="H5138">
        <f>_xlfn.XLOOKUP(FACT_IMPORTS[[#This Row],[hts_6]],DIM_PRODUCTS[hts_6],DIM_PRODUCTS[hts_4],,,)</f>
        <v>8511</v>
      </c>
      <c r="I5138" t="str" cm="1">
        <f t="array" ref="I5138">_xlfn.XLOOKUP(FACT_IMPORTS[[#This Row],[country_name]],DIM_COUNTRY[[#All],[Column2]],DIM_COUNTRY[[#All],[Column3]],,,)</f>
        <v>Major_Non-USMCA_Non-China</v>
      </c>
    </row>
    <row r="5139" spans="1:9" x14ac:dyDescent="0.4">
      <c r="A5139" t="s">
        <v>68</v>
      </c>
      <c r="B5139" s="1">
        <v>45139</v>
      </c>
      <c r="C5139">
        <v>851180</v>
      </c>
      <c r="D5139" t="s">
        <v>176</v>
      </c>
      <c r="E5139">
        <v>318506</v>
      </c>
      <c r="F5139">
        <v>13986</v>
      </c>
      <c r="G5139">
        <v>225</v>
      </c>
      <c r="H5139">
        <f>_xlfn.XLOOKUP(FACT_IMPORTS[[#This Row],[hts_6]],DIM_PRODUCTS[hts_6],DIM_PRODUCTS[hts_4],,,)</f>
        <v>8511</v>
      </c>
      <c r="I5139" t="str" cm="1">
        <f t="array" ref="I5139">_xlfn.XLOOKUP(FACT_IMPORTS[[#This Row],[country_name]],DIM_COUNTRY[[#All],[Column2]],DIM_COUNTRY[[#All],[Column3]],,,)</f>
        <v>Major_Non-USMCA_Non-China</v>
      </c>
    </row>
    <row r="5140" spans="1:9" x14ac:dyDescent="0.4">
      <c r="A5140" t="s">
        <v>68</v>
      </c>
      <c r="B5140" s="1">
        <v>45139</v>
      </c>
      <c r="C5140">
        <v>851190</v>
      </c>
      <c r="D5140" t="s">
        <v>176</v>
      </c>
      <c r="E5140">
        <v>0</v>
      </c>
      <c r="F5140">
        <v>0</v>
      </c>
      <c r="G5140">
        <v>0</v>
      </c>
      <c r="H5140">
        <f>_xlfn.XLOOKUP(FACT_IMPORTS[[#This Row],[hts_6]],DIM_PRODUCTS[hts_6],DIM_PRODUCTS[hts_4],,,)</f>
        <v>8511</v>
      </c>
      <c r="I5140" t="str" cm="1">
        <f t="array" ref="I5140">_xlfn.XLOOKUP(FACT_IMPORTS[[#This Row],[country_name]],DIM_COUNTRY[[#All],[Column2]],DIM_COUNTRY[[#All],[Column3]],,,)</f>
        <v>Major_Non-USMCA_Non-China</v>
      </c>
    </row>
    <row r="5141" spans="1:9" x14ac:dyDescent="0.4">
      <c r="A5141" t="s">
        <v>68</v>
      </c>
      <c r="B5141" s="1">
        <v>45139</v>
      </c>
      <c r="C5141">
        <v>851220</v>
      </c>
      <c r="D5141" t="s">
        <v>176</v>
      </c>
      <c r="E5141">
        <v>64696</v>
      </c>
      <c r="F5141">
        <v>16358</v>
      </c>
      <c r="G5141">
        <v>1066</v>
      </c>
      <c r="H5141">
        <f>_xlfn.XLOOKUP(FACT_IMPORTS[[#This Row],[hts_6]],DIM_PRODUCTS[hts_6],DIM_PRODUCTS[hts_4],,,)</f>
        <v>8512</v>
      </c>
      <c r="I5141" t="str" cm="1">
        <f t="array" ref="I5141">_xlfn.XLOOKUP(FACT_IMPORTS[[#This Row],[country_name]],DIM_COUNTRY[[#All],[Column2]],DIM_COUNTRY[[#All],[Column3]],,,)</f>
        <v>Major_Non-USMCA_Non-China</v>
      </c>
    </row>
    <row r="5142" spans="1:9" x14ac:dyDescent="0.4">
      <c r="A5142" t="s">
        <v>68</v>
      </c>
      <c r="B5142" s="1">
        <v>45139</v>
      </c>
      <c r="C5142">
        <v>851230</v>
      </c>
      <c r="D5142" t="s">
        <v>176</v>
      </c>
      <c r="E5142">
        <v>0</v>
      </c>
      <c r="F5142">
        <v>0</v>
      </c>
      <c r="G5142">
        <v>0</v>
      </c>
      <c r="H5142">
        <f>_xlfn.XLOOKUP(FACT_IMPORTS[[#This Row],[hts_6]],DIM_PRODUCTS[hts_6],DIM_PRODUCTS[hts_4],,,)</f>
        <v>8512</v>
      </c>
      <c r="I5142" t="str" cm="1">
        <f t="array" ref="I5142">_xlfn.XLOOKUP(FACT_IMPORTS[[#This Row],[country_name]],DIM_COUNTRY[[#All],[Column2]],DIM_COUNTRY[[#All],[Column3]],,,)</f>
        <v>Major_Non-USMCA_Non-China</v>
      </c>
    </row>
    <row r="5143" spans="1:9" x14ac:dyDescent="0.4">
      <c r="A5143" t="s">
        <v>68</v>
      </c>
      <c r="B5143" s="1">
        <v>45139</v>
      </c>
      <c r="C5143">
        <v>851290</v>
      </c>
      <c r="D5143" t="s">
        <v>176</v>
      </c>
      <c r="E5143">
        <v>0</v>
      </c>
      <c r="F5143">
        <v>0</v>
      </c>
      <c r="G5143">
        <v>0</v>
      </c>
      <c r="H5143">
        <f>_xlfn.XLOOKUP(FACT_IMPORTS[[#This Row],[hts_6]],DIM_PRODUCTS[hts_6],DIM_PRODUCTS[hts_4],,,)</f>
        <v>8512</v>
      </c>
      <c r="I5143" t="str" cm="1">
        <f t="array" ref="I5143">_xlfn.XLOOKUP(FACT_IMPORTS[[#This Row],[country_name]],DIM_COUNTRY[[#All],[Column2]],DIM_COUNTRY[[#All],[Column3]],,,)</f>
        <v>Major_Non-USMCA_Non-China</v>
      </c>
    </row>
    <row r="5144" spans="1:9" x14ac:dyDescent="0.4">
      <c r="A5144" t="s">
        <v>68</v>
      </c>
      <c r="B5144" s="1">
        <v>45139</v>
      </c>
      <c r="C5144">
        <v>854231</v>
      </c>
      <c r="D5144" t="s">
        <v>176</v>
      </c>
      <c r="E5144">
        <v>61014</v>
      </c>
      <c r="F5144">
        <v>95</v>
      </c>
      <c r="G5144">
        <v>1330</v>
      </c>
      <c r="H5144">
        <f>_xlfn.XLOOKUP(FACT_IMPORTS[[#This Row],[hts_6]],DIM_PRODUCTS[hts_6],DIM_PRODUCTS[hts_4],,,)</f>
        <v>8542</v>
      </c>
      <c r="I5144" t="str" cm="1">
        <f t="array" ref="I5144">_xlfn.XLOOKUP(FACT_IMPORTS[[#This Row],[country_name]],DIM_COUNTRY[[#All],[Column2]],DIM_COUNTRY[[#All],[Column3]],,,)</f>
        <v>Major_Non-USMCA_Non-China</v>
      </c>
    </row>
    <row r="5145" spans="1:9" x14ac:dyDescent="0.4">
      <c r="A5145" t="s">
        <v>68</v>
      </c>
      <c r="B5145" s="1">
        <v>45139</v>
      </c>
      <c r="C5145">
        <v>854232</v>
      </c>
      <c r="D5145" t="s">
        <v>176</v>
      </c>
      <c r="E5145">
        <v>0</v>
      </c>
      <c r="F5145">
        <v>0</v>
      </c>
      <c r="G5145">
        <v>0</v>
      </c>
      <c r="H5145">
        <f>_xlfn.XLOOKUP(FACT_IMPORTS[[#This Row],[hts_6]],DIM_PRODUCTS[hts_6],DIM_PRODUCTS[hts_4],,,)</f>
        <v>8542</v>
      </c>
      <c r="I5145" t="str" cm="1">
        <f t="array" ref="I5145">_xlfn.XLOOKUP(FACT_IMPORTS[[#This Row],[country_name]],DIM_COUNTRY[[#All],[Column2]],DIM_COUNTRY[[#All],[Column3]],,,)</f>
        <v>Major_Non-USMCA_Non-China</v>
      </c>
    </row>
    <row r="5146" spans="1:9" x14ac:dyDescent="0.4">
      <c r="A5146" t="s">
        <v>68</v>
      </c>
      <c r="B5146" s="1">
        <v>45139</v>
      </c>
      <c r="C5146">
        <v>854233</v>
      </c>
      <c r="D5146" t="s">
        <v>176</v>
      </c>
      <c r="E5146">
        <v>0</v>
      </c>
      <c r="F5146">
        <v>0</v>
      </c>
      <c r="G5146">
        <v>0</v>
      </c>
      <c r="H5146">
        <f>_xlfn.XLOOKUP(FACT_IMPORTS[[#This Row],[hts_6]],DIM_PRODUCTS[hts_6],DIM_PRODUCTS[hts_4],,,)</f>
        <v>8542</v>
      </c>
      <c r="I5146" t="str" cm="1">
        <f t="array" ref="I5146">_xlfn.XLOOKUP(FACT_IMPORTS[[#This Row],[country_name]],DIM_COUNTRY[[#All],[Column2]],DIM_COUNTRY[[#All],[Column3]],,,)</f>
        <v>Major_Non-USMCA_Non-China</v>
      </c>
    </row>
    <row r="5147" spans="1:9" x14ac:dyDescent="0.4">
      <c r="A5147" t="s">
        <v>68</v>
      </c>
      <c r="B5147" s="1">
        <v>45139</v>
      </c>
      <c r="C5147">
        <v>854239</v>
      </c>
      <c r="D5147" t="s">
        <v>176</v>
      </c>
      <c r="E5147">
        <v>0</v>
      </c>
      <c r="F5147">
        <v>0</v>
      </c>
      <c r="G5147">
        <v>0</v>
      </c>
      <c r="H5147">
        <f>_xlfn.XLOOKUP(FACT_IMPORTS[[#This Row],[hts_6]],DIM_PRODUCTS[hts_6],DIM_PRODUCTS[hts_4],,,)</f>
        <v>8542</v>
      </c>
      <c r="I5147" t="str" cm="1">
        <f t="array" ref="I5147">_xlfn.XLOOKUP(FACT_IMPORTS[[#This Row],[country_name]],DIM_COUNTRY[[#All],[Column2]],DIM_COUNTRY[[#All],[Column3]],,,)</f>
        <v>Major_Non-USMCA_Non-China</v>
      </c>
    </row>
    <row r="5148" spans="1:9" x14ac:dyDescent="0.4">
      <c r="A5148" t="s">
        <v>68</v>
      </c>
      <c r="B5148" s="1">
        <v>45139</v>
      </c>
      <c r="C5148">
        <v>854290</v>
      </c>
      <c r="D5148" t="s">
        <v>176</v>
      </c>
      <c r="E5148">
        <v>5629</v>
      </c>
      <c r="F5148">
        <v>5</v>
      </c>
      <c r="G5148">
        <v>99</v>
      </c>
      <c r="H5148">
        <f>_xlfn.XLOOKUP(FACT_IMPORTS[[#This Row],[hts_6]],DIM_PRODUCTS[hts_6],DIM_PRODUCTS[hts_4],,,)</f>
        <v>8542</v>
      </c>
      <c r="I5148" t="str" cm="1">
        <f t="array" ref="I5148">_xlfn.XLOOKUP(FACT_IMPORTS[[#This Row],[country_name]],DIM_COUNTRY[[#All],[Column2]],DIM_COUNTRY[[#All],[Column3]],,,)</f>
        <v>Major_Non-USMCA_Non-China</v>
      </c>
    </row>
    <row r="5149" spans="1:9" x14ac:dyDescent="0.4">
      <c r="A5149" t="s">
        <v>68</v>
      </c>
      <c r="B5149" s="1">
        <v>45139</v>
      </c>
      <c r="C5149">
        <v>854430</v>
      </c>
      <c r="D5149" t="s">
        <v>176</v>
      </c>
      <c r="E5149">
        <v>445108</v>
      </c>
      <c r="F5149">
        <v>25969</v>
      </c>
      <c r="G5149">
        <v>3015</v>
      </c>
      <c r="H5149">
        <f>_xlfn.XLOOKUP(FACT_IMPORTS[[#This Row],[hts_6]],DIM_PRODUCTS[hts_6],DIM_PRODUCTS[hts_4],,,)</f>
        <v>8544</v>
      </c>
      <c r="I5149" t="str" cm="1">
        <f t="array" ref="I5149">_xlfn.XLOOKUP(FACT_IMPORTS[[#This Row],[country_name]],DIM_COUNTRY[[#All],[Column2]],DIM_COUNTRY[[#All],[Column3]],,,)</f>
        <v>Major_Non-USMCA_Non-China</v>
      </c>
    </row>
    <row r="5150" spans="1:9" x14ac:dyDescent="0.4">
      <c r="A5150" t="s">
        <v>68</v>
      </c>
      <c r="B5150" s="1">
        <v>45139</v>
      </c>
      <c r="C5150">
        <v>870790</v>
      </c>
      <c r="D5150" t="s">
        <v>176</v>
      </c>
      <c r="E5150">
        <v>0</v>
      </c>
      <c r="F5150">
        <v>0</v>
      </c>
      <c r="G5150">
        <v>0</v>
      </c>
      <c r="H5150">
        <f>_xlfn.XLOOKUP(FACT_IMPORTS[[#This Row],[hts_6]],DIM_PRODUCTS[hts_6],DIM_PRODUCTS[hts_4],,,)</f>
        <v>8707</v>
      </c>
      <c r="I5150" t="str" cm="1">
        <f t="array" ref="I5150">_xlfn.XLOOKUP(FACT_IMPORTS[[#This Row],[country_name]],DIM_COUNTRY[[#All],[Column2]],DIM_COUNTRY[[#All],[Column3]],,,)</f>
        <v>Major_Non-USMCA_Non-China</v>
      </c>
    </row>
    <row r="5151" spans="1:9" x14ac:dyDescent="0.4">
      <c r="A5151" t="s">
        <v>68</v>
      </c>
      <c r="B5151" s="1">
        <v>45139</v>
      </c>
      <c r="C5151">
        <v>870810</v>
      </c>
      <c r="D5151" t="s">
        <v>176</v>
      </c>
      <c r="E5151">
        <v>45923</v>
      </c>
      <c r="F5151">
        <v>7118</v>
      </c>
      <c r="G5151">
        <v>963</v>
      </c>
      <c r="H5151">
        <f>_xlfn.XLOOKUP(FACT_IMPORTS[[#This Row],[hts_6]],DIM_PRODUCTS[hts_6],DIM_PRODUCTS[hts_4],,,)</f>
        <v>8708</v>
      </c>
      <c r="I5151" t="str" cm="1">
        <f t="array" ref="I5151">_xlfn.XLOOKUP(FACT_IMPORTS[[#This Row],[country_name]],DIM_COUNTRY[[#All],[Column2]],DIM_COUNTRY[[#All],[Column3]],,,)</f>
        <v>Major_Non-USMCA_Non-China</v>
      </c>
    </row>
    <row r="5152" spans="1:9" x14ac:dyDescent="0.4">
      <c r="A5152" t="s">
        <v>68</v>
      </c>
      <c r="B5152" s="1">
        <v>45139</v>
      </c>
      <c r="C5152">
        <v>870822</v>
      </c>
      <c r="D5152" t="s">
        <v>176</v>
      </c>
      <c r="E5152">
        <v>310152</v>
      </c>
      <c r="F5152">
        <v>1567</v>
      </c>
      <c r="G5152">
        <v>4</v>
      </c>
      <c r="H5152">
        <f>_xlfn.XLOOKUP(FACT_IMPORTS[[#This Row],[hts_6]],DIM_PRODUCTS[hts_6],DIM_PRODUCTS[hts_4],,,)</f>
        <v>8708</v>
      </c>
      <c r="I5152" t="str" cm="1">
        <f t="array" ref="I5152">_xlfn.XLOOKUP(FACT_IMPORTS[[#This Row],[country_name]],DIM_COUNTRY[[#All],[Column2]],DIM_COUNTRY[[#All],[Column3]],,,)</f>
        <v>Major_Non-USMCA_Non-China</v>
      </c>
    </row>
    <row r="5153" spans="1:9" x14ac:dyDescent="0.4">
      <c r="A5153" t="s">
        <v>68</v>
      </c>
      <c r="B5153" s="1">
        <v>45139</v>
      </c>
      <c r="C5153">
        <v>870829</v>
      </c>
      <c r="D5153" t="s">
        <v>176</v>
      </c>
      <c r="E5153">
        <v>3752513</v>
      </c>
      <c r="F5153">
        <v>1426143</v>
      </c>
      <c r="G5153">
        <v>71412</v>
      </c>
      <c r="H5153">
        <f>_xlfn.XLOOKUP(FACT_IMPORTS[[#This Row],[hts_6]],DIM_PRODUCTS[hts_6],DIM_PRODUCTS[hts_4],,,)</f>
        <v>8708</v>
      </c>
      <c r="I5153" t="str" cm="1">
        <f t="array" ref="I5153">_xlfn.XLOOKUP(FACT_IMPORTS[[#This Row],[country_name]],DIM_COUNTRY[[#All],[Column2]],DIM_COUNTRY[[#All],[Column3]],,,)</f>
        <v>Major_Non-USMCA_Non-China</v>
      </c>
    </row>
    <row r="5154" spans="1:9" x14ac:dyDescent="0.4">
      <c r="A5154" t="s">
        <v>68</v>
      </c>
      <c r="B5154" s="1">
        <v>45139</v>
      </c>
      <c r="C5154">
        <v>870830</v>
      </c>
      <c r="D5154" t="s">
        <v>176</v>
      </c>
      <c r="E5154">
        <v>278613</v>
      </c>
      <c r="F5154">
        <v>42153</v>
      </c>
      <c r="G5154">
        <v>3930</v>
      </c>
      <c r="H5154">
        <f>_xlfn.XLOOKUP(FACT_IMPORTS[[#This Row],[hts_6]],DIM_PRODUCTS[hts_6],DIM_PRODUCTS[hts_4],,,)</f>
        <v>8708</v>
      </c>
      <c r="I5154" t="str" cm="1">
        <f t="array" ref="I5154">_xlfn.XLOOKUP(FACT_IMPORTS[[#This Row],[country_name]],DIM_COUNTRY[[#All],[Column2]],DIM_COUNTRY[[#All],[Column3]],,,)</f>
        <v>Major_Non-USMCA_Non-China</v>
      </c>
    </row>
    <row r="5155" spans="1:9" x14ac:dyDescent="0.4">
      <c r="A5155" t="s">
        <v>68</v>
      </c>
      <c r="B5155" s="1">
        <v>45139</v>
      </c>
      <c r="C5155">
        <v>870840</v>
      </c>
      <c r="D5155" t="s">
        <v>176</v>
      </c>
      <c r="E5155">
        <v>42462176</v>
      </c>
      <c r="F5155">
        <v>1006281</v>
      </c>
      <c r="G5155">
        <v>184362</v>
      </c>
      <c r="H5155">
        <f>_xlfn.XLOOKUP(FACT_IMPORTS[[#This Row],[hts_6]],DIM_PRODUCTS[hts_6],DIM_PRODUCTS[hts_4],,,)</f>
        <v>8708</v>
      </c>
      <c r="I5155" t="str" cm="1">
        <f t="array" ref="I5155">_xlfn.XLOOKUP(FACT_IMPORTS[[#This Row],[country_name]],DIM_COUNTRY[[#All],[Column2]],DIM_COUNTRY[[#All],[Column3]],,,)</f>
        <v>Major_Non-USMCA_Non-China</v>
      </c>
    </row>
    <row r="5156" spans="1:9" x14ac:dyDescent="0.4">
      <c r="A5156" t="s">
        <v>68</v>
      </c>
      <c r="B5156" s="1">
        <v>45139</v>
      </c>
      <c r="C5156">
        <v>870850</v>
      </c>
      <c r="D5156" t="s">
        <v>176</v>
      </c>
      <c r="E5156">
        <v>9657864</v>
      </c>
      <c r="F5156">
        <v>738271</v>
      </c>
      <c r="G5156">
        <v>206172</v>
      </c>
      <c r="H5156">
        <f>_xlfn.XLOOKUP(FACT_IMPORTS[[#This Row],[hts_6]],DIM_PRODUCTS[hts_6],DIM_PRODUCTS[hts_4],,,)</f>
        <v>8708</v>
      </c>
      <c r="I5156" t="str" cm="1">
        <f t="array" ref="I5156">_xlfn.XLOOKUP(FACT_IMPORTS[[#This Row],[country_name]],DIM_COUNTRY[[#All],[Column2]],DIM_COUNTRY[[#All],[Column3]],,,)</f>
        <v>Major_Non-USMCA_Non-China</v>
      </c>
    </row>
    <row r="5157" spans="1:9" x14ac:dyDescent="0.4">
      <c r="A5157" t="s">
        <v>68</v>
      </c>
      <c r="B5157" s="1">
        <v>45139</v>
      </c>
      <c r="C5157">
        <v>870870</v>
      </c>
      <c r="D5157" t="s">
        <v>176</v>
      </c>
      <c r="E5157">
        <v>8287</v>
      </c>
      <c r="F5157">
        <v>38</v>
      </c>
      <c r="G5157">
        <v>440</v>
      </c>
      <c r="H5157">
        <f>_xlfn.XLOOKUP(FACT_IMPORTS[[#This Row],[hts_6]],DIM_PRODUCTS[hts_6],DIM_PRODUCTS[hts_4],,,)</f>
        <v>8708</v>
      </c>
      <c r="I5157" t="str" cm="1">
        <f t="array" ref="I5157">_xlfn.XLOOKUP(FACT_IMPORTS[[#This Row],[country_name]],DIM_COUNTRY[[#All],[Column2]],DIM_COUNTRY[[#All],[Column3]],,,)</f>
        <v>Major_Non-USMCA_Non-China</v>
      </c>
    </row>
    <row r="5158" spans="1:9" x14ac:dyDescent="0.4">
      <c r="A5158" t="s">
        <v>68</v>
      </c>
      <c r="B5158" s="1">
        <v>45139</v>
      </c>
      <c r="C5158">
        <v>870880</v>
      </c>
      <c r="D5158" t="s">
        <v>176</v>
      </c>
      <c r="E5158">
        <v>2676256</v>
      </c>
      <c r="F5158">
        <v>624705</v>
      </c>
      <c r="G5158">
        <v>43083</v>
      </c>
      <c r="H5158">
        <f>_xlfn.XLOOKUP(FACT_IMPORTS[[#This Row],[hts_6]],DIM_PRODUCTS[hts_6],DIM_PRODUCTS[hts_4],,,)</f>
        <v>8708</v>
      </c>
      <c r="I5158" t="str" cm="1">
        <f t="array" ref="I5158">_xlfn.XLOOKUP(FACT_IMPORTS[[#This Row],[country_name]],DIM_COUNTRY[[#All],[Column2]],DIM_COUNTRY[[#All],[Column3]],,,)</f>
        <v>Major_Non-USMCA_Non-China</v>
      </c>
    </row>
    <row r="5159" spans="1:9" x14ac:dyDescent="0.4">
      <c r="A5159" t="s">
        <v>68</v>
      </c>
      <c r="B5159" s="1">
        <v>45139</v>
      </c>
      <c r="C5159">
        <v>870891</v>
      </c>
      <c r="D5159" t="s">
        <v>176</v>
      </c>
      <c r="E5159">
        <v>76846</v>
      </c>
      <c r="F5159">
        <v>147</v>
      </c>
      <c r="G5159">
        <v>4313</v>
      </c>
      <c r="H5159">
        <f>_xlfn.XLOOKUP(FACT_IMPORTS[[#This Row],[hts_6]],DIM_PRODUCTS[hts_6],DIM_PRODUCTS[hts_4],,,)</f>
        <v>8708</v>
      </c>
      <c r="I5159" t="str" cm="1">
        <f t="array" ref="I5159">_xlfn.XLOOKUP(FACT_IMPORTS[[#This Row],[country_name]],DIM_COUNTRY[[#All],[Column2]],DIM_COUNTRY[[#All],[Column3]],,,)</f>
        <v>Major_Non-USMCA_Non-China</v>
      </c>
    </row>
    <row r="5160" spans="1:9" x14ac:dyDescent="0.4">
      <c r="A5160" t="s">
        <v>68</v>
      </c>
      <c r="B5160" s="1">
        <v>45139</v>
      </c>
      <c r="C5160">
        <v>870892</v>
      </c>
      <c r="D5160" t="s">
        <v>176</v>
      </c>
      <c r="E5160">
        <v>139868</v>
      </c>
      <c r="F5160">
        <v>28704</v>
      </c>
      <c r="G5160">
        <v>2277</v>
      </c>
      <c r="H5160">
        <f>_xlfn.XLOOKUP(FACT_IMPORTS[[#This Row],[hts_6]],DIM_PRODUCTS[hts_6],DIM_PRODUCTS[hts_4],,,)</f>
        <v>8708</v>
      </c>
      <c r="I5160" t="str" cm="1">
        <f t="array" ref="I5160">_xlfn.XLOOKUP(FACT_IMPORTS[[#This Row],[country_name]],DIM_COUNTRY[[#All],[Column2]],DIM_COUNTRY[[#All],[Column3]],,,)</f>
        <v>Major_Non-USMCA_Non-China</v>
      </c>
    </row>
    <row r="5161" spans="1:9" x14ac:dyDescent="0.4">
      <c r="A5161" t="s">
        <v>68</v>
      </c>
      <c r="B5161" s="1">
        <v>45139</v>
      </c>
      <c r="C5161">
        <v>870893</v>
      </c>
      <c r="D5161" t="s">
        <v>176</v>
      </c>
      <c r="E5161">
        <v>780978</v>
      </c>
      <c r="F5161">
        <v>5649</v>
      </c>
      <c r="G5161">
        <v>4560</v>
      </c>
      <c r="H5161">
        <f>_xlfn.XLOOKUP(FACT_IMPORTS[[#This Row],[hts_6]],DIM_PRODUCTS[hts_6],DIM_PRODUCTS[hts_4],,,)</f>
        <v>8708</v>
      </c>
      <c r="I5161" t="str" cm="1">
        <f t="array" ref="I5161">_xlfn.XLOOKUP(FACT_IMPORTS[[#This Row],[country_name]],DIM_COUNTRY[[#All],[Column2]],DIM_COUNTRY[[#All],[Column3]],,,)</f>
        <v>Major_Non-USMCA_Non-China</v>
      </c>
    </row>
    <row r="5162" spans="1:9" x14ac:dyDescent="0.4">
      <c r="A5162" t="s">
        <v>68</v>
      </c>
      <c r="B5162" s="1">
        <v>45139</v>
      </c>
      <c r="C5162">
        <v>870894</v>
      </c>
      <c r="D5162" t="s">
        <v>176</v>
      </c>
      <c r="E5162">
        <v>31248</v>
      </c>
      <c r="F5162">
        <v>7139</v>
      </c>
      <c r="G5162">
        <v>1753</v>
      </c>
      <c r="H5162">
        <f>_xlfn.XLOOKUP(FACT_IMPORTS[[#This Row],[hts_6]],DIM_PRODUCTS[hts_6],DIM_PRODUCTS[hts_4],,,)</f>
        <v>8708</v>
      </c>
      <c r="I5162" t="str" cm="1">
        <f t="array" ref="I5162">_xlfn.XLOOKUP(FACT_IMPORTS[[#This Row],[country_name]],DIM_COUNTRY[[#All],[Column2]],DIM_COUNTRY[[#All],[Column3]],,,)</f>
        <v>Major_Non-USMCA_Non-China</v>
      </c>
    </row>
    <row r="5163" spans="1:9" x14ac:dyDescent="0.4">
      <c r="A5163" t="s">
        <v>68</v>
      </c>
      <c r="B5163" s="1">
        <v>45139</v>
      </c>
      <c r="C5163">
        <v>870895</v>
      </c>
      <c r="D5163" t="s">
        <v>176</v>
      </c>
      <c r="E5163">
        <v>8571</v>
      </c>
      <c r="F5163">
        <v>945</v>
      </c>
      <c r="G5163">
        <v>397</v>
      </c>
      <c r="H5163">
        <f>_xlfn.XLOOKUP(FACT_IMPORTS[[#This Row],[hts_6]],DIM_PRODUCTS[hts_6],DIM_PRODUCTS[hts_4],,,)</f>
        <v>8708</v>
      </c>
      <c r="I5163" t="str" cm="1">
        <f t="array" ref="I5163">_xlfn.XLOOKUP(FACT_IMPORTS[[#This Row],[country_name]],DIM_COUNTRY[[#All],[Column2]],DIM_COUNTRY[[#All],[Column3]],,,)</f>
        <v>Major_Non-USMCA_Non-China</v>
      </c>
    </row>
    <row r="5164" spans="1:9" x14ac:dyDescent="0.4">
      <c r="A5164" t="s">
        <v>68</v>
      </c>
      <c r="B5164" s="1">
        <v>45139</v>
      </c>
      <c r="C5164">
        <v>870899</v>
      </c>
      <c r="D5164" t="s">
        <v>176</v>
      </c>
      <c r="E5164">
        <v>4644543</v>
      </c>
      <c r="F5164">
        <v>532768</v>
      </c>
      <c r="G5164">
        <v>54580</v>
      </c>
      <c r="H5164">
        <f>_xlfn.XLOOKUP(FACT_IMPORTS[[#This Row],[hts_6]],DIM_PRODUCTS[hts_6],DIM_PRODUCTS[hts_4],,,)</f>
        <v>8708</v>
      </c>
      <c r="I5164" t="str" cm="1">
        <f t="array" ref="I5164">_xlfn.XLOOKUP(FACT_IMPORTS[[#This Row],[country_name]],DIM_COUNTRY[[#All],[Column2]],DIM_COUNTRY[[#All],[Column3]],,,)</f>
        <v>Major_Non-USMCA_Non-China</v>
      </c>
    </row>
    <row r="5165" spans="1:9" x14ac:dyDescent="0.4">
      <c r="A5165" t="s">
        <v>68</v>
      </c>
      <c r="B5165" s="1">
        <v>45139</v>
      </c>
      <c r="C5165">
        <v>940120</v>
      </c>
      <c r="D5165" t="s">
        <v>176</v>
      </c>
      <c r="E5165">
        <v>278825</v>
      </c>
      <c r="F5165">
        <v>167</v>
      </c>
      <c r="G5165">
        <v>5355</v>
      </c>
      <c r="H5165">
        <f>_xlfn.XLOOKUP(FACT_IMPORTS[[#This Row],[hts_6]],DIM_PRODUCTS[hts_6],DIM_PRODUCTS[hts_4],,,)</f>
        <v>9401</v>
      </c>
      <c r="I5165" t="str" cm="1">
        <f t="array" ref="I5165">_xlfn.XLOOKUP(FACT_IMPORTS[[#This Row],[country_name]],DIM_COUNTRY[[#All],[Column2]],DIM_COUNTRY[[#All],[Column3]],,,)</f>
        <v>Major_Non-USMCA_Non-China</v>
      </c>
    </row>
    <row r="5166" spans="1:9" x14ac:dyDescent="0.4">
      <c r="A5166" t="s">
        <v>68</v>
      </c>
      <c r="B5166" s="1">
        <v>45170</v>
      </c>
      <c r="C5166">
        <v>392630</v>
      </c>
      <c r="D5166" t="s">
        <v>176</v>
      </c>
      <c r="E5166">
        <v>159421</v>
      </c>
      <c r="F5166">
        <v>9078</v>
      </c>
      <c r="G5166">
        <v>2535</v>
      </c>
      <c r="H5166">
        <f>_xlfn.XLOOKUP(FACT_IMPORTS[[#This Row],[hts_6]],DIM_PRODUCTS[hts_6],DIM_PRODUCTS[hts_4],,,)</f>
        <v>3926</v>
      </c>
      <c r="I5166" t="str" cm="1">
        <f t="array" ref="I5166">_xlfn.XLOOKUP(FACT_IMPORTS[[#This Row],[country_name]],DIM_COUNTRY[[#All],[Column2]],DIM_COUNTRY[[#All],[Column3]],,,)</f>
        <v>Major_Non-USMCA_Non-China</v>
      </c>
    </row>
    <row r="5167" spans="1:9" x14ac:dyDescent="0.4">
      <c r="A5167" t="s">
        <v>68</v>
      </c>
      <c r="B5167" s="1">
        <v>45170</v>
      </c>
      <c r="C5167">
        <v>401110</v>
      </c>
      <c r="D5167" t="s">
        <v>176</v>
      </c>
      <c r="E5167">
        <v>3977</v>
      </c>
      <c r="F5167">
        <v>31</v>
      </c>
      <c r="G5167">
        <v>4</v>
      </c>
      <c r="H5167">
        <f>_xlfn.XLOOKUP(FACT_IMPORTS[[#This Row],[hts_6]],DIM_PRODUCTS[hts_6],DIM_PRODUCTS[hts_4],,,)</f>
        <v>4011</v>
      </c>
      <c r="I5167" t="str" cm="1">
        <f t="array" ref="I5167">_xlfn.XLOOKUP(FACT_IMPORTS[[#This Row],[country_name]],DIM_COUNTRY[[#All],[Column2]],DIM_COUNTRY[[#All],[Column3]],,,)</f>
        <v>Major_Non-USMCA_Non-China</v>
      </c>
    </row>
    <row r="5168" spans="1:9" x14ac:dyDescent="0.4">
      <c r="A5168" t="s">
        <v>68</v>
      </c>
      <c r="B5168" s="1">
        <v>45170</v>
      </c>
      <c r="C5168">
        <v>401120</v>
      </c>
      <c r="D5168" t="s">
        <v>176</v>
      </c>
      <c r="E5168">
        <v>18293</v>
      </c>
      <c r="F5168">
        <v>53</v>
      </c>
      <c r="G5168">
        <v>20</v>
      </c>
      <c r="H5168">
        <f>_xlfn.XLOOKUP(FACT_IMPORTS[[#This Row],[hts_6]],DIM_PRODUCTS[hts_6],DIM_PRODUCTS[hts_4],,,)</f>
        <v>4011</v>
      </c>
      <c r="I5168" t="str" cm="1">
        <f t="array" ref="I5168">_xlfn.XLOOKUP(FACT_IMPORTS[[#This Row],[country_name]],DIM_COUNTRY[[#All],[Column2]],DIM_COUNTRY[[#All],[Column3]],,,)</f>
        <v>Major_Non-USMCA_Non-China</v>
      </c>
    </row>
    <row r="5169" spans="1:9" x14ac:dyDescent="0.4">
      <c r="A5169" t="s">
        <v>68</v>
      </c>
      <c r="B5169" s="1">
        <v>45170</v>
      </c>
      <c r="C5169">
        <v>401140</v>
      </c>
      <c r="D5169" t="s">
        <v>176</v>
      </c>
      <c r="E5169">
        <v>0</v>
      </c>
      <c r="F5169">
        <v>0</v>
      </c>
      <c r="G5169">
        <v>0</v>
      </c>
      <c r="H5169">
        <f>_xlfn.XLOOKUP(FACT_IMPORTS[[#This Row],[hts_6]],DIM_PRODUCTS[hts_6],DIM_PRODUCTS[hts_4],,,)</f>
        <v>4011</v>
      </c>
      <c r="I5169" t="str" cm="1">
        <f t="array" ref="I5169">_xlfn.XLOOKUP(FACT_IMPORTS[[#This Row],[country_name]],DIM_COUNTRY[[#All],[Column2]],DIM_COUNTRY[[#All],[Column3]],,,)</f>
        <v>Major_Non-USMCA_Non-China</v>
      </c>
    </row>
    <row r="5170" spans="1:9" x14ac:dyDescent="0.4">
      <c r="A5170" t="s">
        <v>68</v>
      </c>
      <c r="B5170" s="1">
        <v>45170</v>
      </c>
      <c r="C5170">
        <v>401190</v>
      </c>
      <c r="D5170" t="s">
        <v>176</v>
      </c>
      <c r="E5170">
        <v>0</v>
      </c>
      <c r="F5170">
        <v>0</v>
      </c>
      <c r="G5170">
        <v>0</v>
      </c>
      <c r="H5170">
        <f>_xlfn.XLOOKUP(FACT_IMPORTS[[#This Row],[hts_6]],DIM_PRODUCTS[hts_6],DIM_PRODUCTS[hts_4],,,)</f>
        <v>4011</v>
      </c>
      <c r="I5170" t="str" cm="1">
        <f t="array" ref="I5170">_xlfn.XLOOKUP(FACT_IMPORTS[[#This Row],[country_name]],DIM_COUNTRY[[#All],[Column2]],DIM_COUNTRY[[#All],[Column3]],,,)</f>
        <v>Major_Non-USMCA_Non-China</v>
      </c>
    </row>
    <row r="5171" spans="1:9" x14ac:dyDescent="0.4">
      <c r="A5171" t="s">
        <v>68</v>
      </c>
      <c r="B5171" s="1">
        <v>45170</v>
      </c>
      <c r="C5171">
        <v>700711</v>
      </c>
      <c r="D5171" t="s">
        <v>176</v>
      </c>
      <c r="E5171">
        <v>0</v>
      </c>
      <c r="F5171">
        <v>0</v>
      </c>
      <c r="G5171">
        <v>0</v>
      </c>
      <c r="H5171">
        <f>_xlfn.XLOOKUP(FACT_IMPORTS[[#This Row],[hts_6]],DIM_PRODUCTS[hts_6],DIM_PRODUCTS[hts_4],,,)</f>
        <v>7007</v>
      </c>
      <c r="I5171" t="str" cm="1">
        <f t="array" ref="I5171">_xlfn.XLOOKUP(FACT_IMPORTS[[#This Row],[country_name]],DIM_COUNTRY[[#All],[Column2]],DIM_COUNTRY[[#All],[Column3]],,,)</f>
        <v>Major_Non-USMCA_Non-China</v>
      </c>
    </row>
    <row r="5172" spans="1:9" x14ac:dyDescent="0.4">
      <c r="A5172" t="s">
        <v>68</v>
      </c>
      <c r="B5172" s="1">
        <v>45170</v>
      </c>
      <c r="C5172">
        <v>700721</v>
      </c>
      <c r="D5172" t="s">
        <v>176</v>
      </c>
      <c r="E5172">
        <v>0</v>
      </c>
      <c r="F5172">
        <v>0</v>
      </c>
      <c r="G5172">
        <v>0</v>
      </c>
      <c r="H5172">
        <f>_xlfn.XLOOKUP(FACT_IMPORTS[[#This Row],[hts_6]],DIM_PRODUCTS[hts_6],DIM_PRODUCTS[hts_4],,,)</f>
        <v>7007</v>
      </c>
      <c r="I5172" t="str" cm="1">
        <f t="array" ref="I5172">_xlfn.XLOOKUP(FACT_IMPORTS[[#This Row],[country_name]],DIM_COUNTRY[[#All],[Column2]],DIM_COUNTRY[[#All],[Column3]],,,)</f>
        <v>Major_Non-USMCA_Non-China</v>
      </c>
    </row>
    <row r="5173" spans="1:9" x14ac:dyDescent="0.4">
      <c r="A5173" t="s">
        <v>68</v>
      </c>
      <c r="B5173" s="1">
        <v>45170</v>
      </c>
      <c r="C5173">
        <v>732010</v>
      </c>
      <c r="D5173" t="s">
        <v>176</v>
      </c>
      <c r="E5173">
        <v>0</v>
      </c>
      <c r="F5173">
        <v>0</v>
      </c>
      <c r="G5173">
        <v>0</v>
      </c>
      <c r="H5173">
        <f>_xlfn.XLOOKUP(FACT_IMPORTS[[#This Row],[hts_6]],DIM_PRODUCTS[hts_6],DIM_PRODUCTS[hts_4],,,)</f>
        <v>7320</v>
      </c>
      <c r="I5173" t="str" cm="1">
        <f t="array" ref="I5173">_xlfn.XLOOKUP(FACT_IMPORTS[[#This Row],[country_name]],DIM_COUNTRY[[#All],[Column2]],DIM_COUNTRY[[#All],[Column3]],,,)</f>
        <v>Major_Non-USMCA_Non-China</v>
      </c>
    </row>
    <row r="5174" spans="1:9" x14ac:dyDescent="0.4">
      <c r="A5174" t="s">
        <v>68</v>
      </c>
      <c r="B5174" s="1">
        <v>45170</v>
      </c>
      <c r="C5174">
        <v>830230</v>
      </c>
      <c r="D5174" t="s">
        <v>176</v>
      </c>
      <c r="E5174">
        <v>220057</v>
      </c>
      <c r="F5174">
        <v>54615</v>
      </c>
      <c r="G5174">
        <v>14262</v>
      </c>
      <c r="H5174">
        <f>_xlfn.XLOOKUP(FACT_IMPORTS[[#This Row],[hts_6]],DIM_PRODUCTS[hts_6],DIM_PRODUCTS[hts_4],,,)</f>
        <v>8302</v>
      </c>
      <c r="I5174" t="str" cm="1">
        <f t="array" ref="I5174">_xlfn.XLOOKUP(FACT_IMPORTS[[#This Row],[country_name]],DIM_COUNTRY[[#All],[Column2]],DIM_COUNTRY[[#All],[Column3]],,,)</f>
        <v>Major_Non-USMCA_Non-China</v>
      </c>
    </row>
    <row r="5175" spans="1:9" x14ac:dyDescent="0.4">
      <c r="A5175" t="s">
        <v>68</v>
      </c>
      <c r="B5175" s="1">
        <v>45170</v>
      </c>
      <c r="C5175">
        <v>840731</v>
      </c>
      <c r="D5175" t="s">
        <v>176</v>
      </c>
      <c r="E5175">
        <v>0</v>
      </c>
      <c r="F5175">
        <v>0</v>
      </c>
      <c r="G5175">
        <v>0</v>
      </c>
      <c r="H5175">
        <f>_xlfn.XLOOKUP(FACT_IMPORTS[[#This Row],[hts_6]],DIM_PRODUCTS[hts_6],DIM_PRODUCTS[hts_4],,,)</f>
        <v>8407</v>
      </c>
      <c r="I5175" t="str" cm="1">
        <f t="array" ref="I5175">_xlfn.XLOOKUP(FACT_IMPORTS[[#This Row],[country_name]],DIM_COUNTRY[[#All],[Column2]],DIM_COUNTRY[[#All],[Column3]],,,)</f>
        <v>Major_Non-USMCA_Non-China</v>
      </c>
    </row>
    <row r="5176" spans="1:9" x14ac:dyDescent="0.4">
      <c r="A5176" t="s">
        <v>68</v>
      </c>
      <c r="B5176" s="1">
        <v>45170</v>
      </c>
      <c r="C5176">
        <v>840733</v>
      </c>
      <c r="D5176" t="s">
        <v>176</v>
      </c>
      <c r="E5176">
        <v>0</v>
      </c>
      <c r="F5176">
        <v>0</v>
      </c>
      <c r="G5176">
        <v>0</v>
      </c>
      <c r="H5176">
        <f>_xlfn.XLOOKUP(FACT_IMPORTS[[#This Row],[hts_6]],DIM_PRODUCTS[hts_6],DIM_PRODUCTS[hts_4],,,)</f>
        <v>8407</v>
      </c>
      <c r="I5176" t="str" cm="1">
        <f t="array" ref="I5176">_xlfn.XLOOKUP(FACT_IMPORTS[[#This Row],[country_name]],DIM_COUNTRY[[#All],[Column2]],DIM_COUNTRY[[#All],[Column3]],,,)</f>
        <v>Major_Non-USMCA_Non-China</v>
      </c>
    </row>
    <row r="5177" spans="1:9" x14ac:dyDescent="0.4">
      <c r="A5177" t="s">
        <v>68</v>
      </c>
      <c r="B5177" s="1">
        <v>45170</v>
      </c>
      <c r="C5177">
        <v>840734</v>
      </c>
      <c r="D5177" t="s">
        <v>176</v>
      </c>
      <c r="E5177">
        <v>14380</v>
      </c>
      <c r="F5177">
        <v>9</v>
      </c>
      <c r="G5177">
        <v>239</v>
      </c>
      <c r="H5177">
        <f>_xlfn.XLOOKUP(FACT_IMPORTS[[#This Row],[hts_6]],DIM_PRODUCTS[hts_6],DIM_PRODUCTS[hts_4],,,)</f>
        <v>8407</v>
      </c>
      <c r="I5177" t="str" cm="1">
        <f t="array" ref="I5177">_xlfn.XLOOKUP(FACT_IMPORTS[[#This Row],[country_name]],DIM_COUNTRY[[#All],[Column2]],DIM_COUNTRY[[#All],[Column3]],,,)</f>
        <v>Major_Non-USMCA_Non-China</v>
      </c>
    </row>
    <row r="5178" spans="1:9" x14ac:dyDescent="0.4">
      <c r="A5178" t="s">
        <v>68</v>
      </c>
      <c r="B5178" s="1">
        <v>45170</v>
      </c>
      <c r="C5178">
        <v>840790</v>
      </c>
      <c r="D5178" t="s">
        <v>176</v>
      </c>
      <c r="E5178">
        <v>0</v>
      </c>
      <c r="F5178">
        <v>0</v>
      </c>
      <c r="G5178">
        <v>0</v>
      </c>
      <c r="H5178">
        <f>_xlfn.XLOOKUP(FACT_IMPORTS[[#This Row],[hts_6]],DIM_PRODUCTS[hts_6],DIM_PRODUCTS[hts_4],,,)</f>
        <v>8407</v>
      </c>
      <c r="I5178" t="str" cm="1">
        <f t="array" ref="I5178">_xlfn.XLOOKUP(FACT_IMPORTS[[#This Row],[country_name]],DIM_COUNTRY[[#All],[Column2]],DIM_COUNTRY[[#All],[Column3]],,,)</f>
        <v>Major_Non-USMCA_Non-China</v>
      </c>
    </row>
    <row r="5179" spans="1:9" x14ac:dyDescent="0.4">
      <c r="A5179" t="s">
        <v>68</v>
      </c>
      <c r="B5179" s="1">
        <v>45170</v>
      </c>
      <c r="C5179">
        <v>840820</v>
      </c>
      <c r="D5179" t="s">
        <v>176</v>
      </c>
      <c r="E5179">
        <v>197731</v>
      </c>
      <c r="F5179">
        <v>7</v>
      </c>
      <c r="G5179">
        <v>28215</v>
      </c>
      <c r="H5179">
        <f>_xlfn.XLOOKUP(FACT_IMPORTS[[#This Row],[hts_6]],DIM_PRODUCTS[hts_6],DIM_PRODUCTS[hts_4],,,)</f>
        <v>8408</v>
      </c>
      <c r="I5179" t="str" cm="1">
        <f t="array" ref="I5179">_xlfn.XLOOKUP(FACT_IMPORTS[[#This Row],[country_name]],DIM_COUNTRY[[#All],[Column2]],DIM_COUNTRY[[#All],[Column3]],,,)</f>
        <v>Major_Non-USMCA_Non-China</v>
      </c>
    </row>
    <row r="5180" spans="1:9" x14ac:dyDescent="0.4">
      <c r="A5180" t="s">
        <v>68</v>
      </c>
      <c r="B5180" s="1">
        <v>45170</v>
      </c>
      <c r="C5180">
        <v>840890</v>
      </c>
      <c r="D5180" t="s">
        <v>176</v>
      </c>
      <c r="E5180">
        <v>113821</v>
      </c>
      <c r="F5180">
        <v>9</v>
      </c>
      <c r="G5180">
        <v>830</v>
      </c>
      <c r="H5180">
        <f>_xlfn.XLOOKUP(FACT_IMPORTS[[#This Row],[hts_6]],DIM_PRODUCTS[hts_6],DIM_PRODUCTS[hts_4],,,)</f>
        <v>8408</v>
      </c>
      <c r="I5180" t="str" cm="1">
        <f t="array" ref="I5180">_xlfn.XLOOKUP(FACT_IMPORTS[[#This Row],[country_name]],DIM_COUNTRY[[#All],[Column2]],DIM_COUNTRY[[#All],[Column3]],,,)</f>
        <v>Major_Non-USMCA_Non-China</v>
      </c>
    </row>
    <row r="5181" spans="1:9" x14ac:dyDescent="0.4">
      <c r="A5181" t="s">
        <v>68</v>
      </c>
      <c r="B5181" s="1">
        <v>45170</v>
      </c>
      <c r="C5181">
        <v>840991</v>
      </c>
      <c r="D5181" t="s">
        <v>176</v>
      </c>
      <c r="E5181">
        <v>674928</v>
      </c>
      <c r="F5181">
        <v>55185</v>
      </c>
      <c r="G5181">
        <v>16229</v>
      </c>
      <c r="H5181">
        <f>_xlfn.XLOOKUP(FACT_IMPORTS[[#This Row],[hts_6]],DIM_PRODUCTS[hts_6],DIM_PRODUCTS[hts_4],,,)</f>
        <v>8409</v>
      </c>
      <c r="I5181" t="str" cm="1">
        <f t="array" ref="I5181">_xlfn.XLOOKUP(FACT_IMPORTS[[#This Row],[country_name]],DIM_COUNTRY[[#All],[Column2]],DIM_COUNTRY[[#All],[Column3]],,,)</f>
        <v>Major_Non-USMCA_Non-China</v>
      </c>
    </row>
    <row r="5182" spans="1:9" x14ac:dyDescent="0.4">
      <c r="A5182" t="s">
        <v>68</v>
      </c>
      <c r="B5182" s="1">
        <v>45170</v>
      </c>
      <c r="C5182">
        <v>840999</v>
      </c>
      <c r="D5182" t="s">
        <v>176</v>
      </c>
      <c r="E5182">
        <v>25868809</v>
      </c>
      <c r="F5182">
        <v>3538179</v>
      </c>
      <c r="G5182">
        <v>526171</v>
      </c>
      <c r="H5182">
        <f>_xlfn.XLOOKUP(FACT_IMPORTS[[#This Row],[hts_6]],DIM_PRODUCTS[hts_6],DIM_PRODUCTS[hts_4],,,)</f>
        <v>8409</v>
      </c>
      <c r="I5182" t="str" cm="1">
        <f t="array" ref="I5182">_xlfn.XLOOKUP(FACT_IMPORTS[[#This Row],[country_name]],DIM_COUNTRY[[#All],[Column2]],DIM_COUNTRY[[#All],[Column3]],,,)</f>
        <v>Major_Non-USMCA_Non-China</v>
      </c>
    </row>
    <row r="5183" spans="1:9" x14ac:dyDescent="0.4">
      <c r="A5183" t="s">
        <v>68</v>
      </c>
      <c r="B5183" s="1">
        <v>45170</v>
      </c>
      <c r="C5183">
        <v>841330</v>
      </c>
      <c r="D5183" t="s">
        <v>176</v>
      </c>
      <c r="E5183">
        <v>3539049</v>
      </c>
      <c r="F5183">
        <v>30736</v>
      </c>
      <c r="G5183">
        <v>20945</v>
      </c>
      <c r="H5183">
        <f>_xlfn.XLOOKUP(FACT_IMPORTS[[#This Row],[hts_6]],DIM_PRODUCTS[hts_6],DIM_PRODUCTS[hts_4],,,)</f>
        <v>8413</v>
      </c>
      <c r="I5183" t="str" cm="1">
        <f t="array" ref="I5183">_xlfn.XLOOKUP(FACT_IMPORTS[[#This Row],[country_name]],DIM_COUNTRY[[#All],[Column2]],DIM_COUNTRY[[#All],[Column3]],,,)</f>
        <v>Major_Non-USMCA_Non-China</v>
      </c>
    </row>
    <row r="5184" spans="1:9" x14ac:dyDescent="0.4">
      <c r="A5184" t="s">
        <v>68</v>
      </c>
      <c r="B5184" s="1">
        <v>45170</v>
      </c>
      <c r="C5184">
        <v>841520</v>
      </c>
      <c r="D5184" t="s">
        <v>176</v>
      </c>
      <c r="E5184">
        <v>3717</v>
      </c>
      <c r="F5184">
        <v>12</v>
      </c>
      <c r="G5184">
        <v>1</v>
      </c>
      <c r="H5184">
        <f>_xlfn.XLOOKUP(FACT_IMPORTS[[#This Row],[hts_6]],DIM_PRODUCTS[hts_6],DIM_PRODUCTS[hts_4],,,)</f>
        <v>8415</v>
      </c>
      <c r="I5184" t="str" cm="1">
        <f t="array" ref="I5184">_xlfn.XLOOKUP(FACT_IMPORTS[[#This Row],[country_name]],DIM_COUNTRY[[#All],[Column2]],DIM_COUNTRY[[#All],[Column3]],,,)</f>
        <v>Major_Non-USMCA_Non-China</v>
      </c>
    </row>
    <row r="5185" spans="1:9" x14ac:dyDescent="0.4">
      <c r="A5185" t="s">
        <v>68</v>
      </c>
      <c r="B5185" s="1">
        <v>45170</v>
      </c>
      <c r="C5185">
        <v>842132</v>
      </c>
      <c r="D5185" t="s">
        <v>176</v>
      </c>
      <c r="E5185">
        <v>319933</v>
      </c>
      <c r="F5185">
        <v>208</v>
      </c>
      <c r="G5185">
        <v>9390</v>
      </c>
      <c r="H5185">
        <f>_xlfn.XLOOKUP(FACT_IMPORTS[[#This Row],[hts_6]],DIM_PRODUCTS[hts_6],DIM_PRODUCTS[hts_4],,,)</f>
        <v>8421</v>
      </c>
      <c r="I5185" t="str" cm="1">
        <f t="array" ref="I5185">_xlfn.XLOOKUP(FACT_IMPORTS[[#This Row],[country_name]],DIM_COUNTRY[[#All],[Column2]],DIM_COUNTRY[[#All],[Column3]],,,)</f>
        <v>Major_Non-USMCA_Non-China</v>
      </c>
    </row>
    <row r="5186" spans="1:9" x14ac:dyDescent="0.4">
      <c r="A5186" t="s">
        <v>68</v>
      </c>
      <c r="B5186" s="1">
        <v>45170</v>
      </c>
      <c r="C5186">
        <v>848210</v>
      </c>
      <c r="D5186" t="s">
        <v>176</v>
      </c>
      <c r="E5186">
        <v>119888</v>
      </c>
      <c r="F5186">
        <v>1339</v>
      </c>
      <c r="G5186">
        <v>1127</v>
      </c>
      <c r="H5186">
        <f>_xlfn.XLOOKUP(FACT_IMPORTS[[#This Row],[hts_6]],DIM_PRODUCTS[hts_6],DIM_PRODUCTS[hts_4],,,)</f>
        <v>8482</v>
      </c>
      <c r="I5186" t="str" cm="1">
        <f t="array" ref="I5186">_xlfn.XLOOKUP(FACT_IMPORTS[[#This Row],[country_name]],DIM_COUNTRY[[#All],[Column2]],DIM_COUNTRY[[#All],[Column3]],,,)</f>
        <v>Major_Non-USMCA_Non-China</v>
      </c>
    </row>
    <row r="5187" spans="1:9" x14ac:dyDescent="0.4">
      <c r="A5187" t="s">
        <v>68</v>
      </c>
      <c r="B5187" s="1">
        <v>45170</v>
      </c>
      <c r="C5187">
        <v>848220</v>
      </c>
      <c r="D5187" t="s">
        <v>176</v>
      </c>
      <c r="E5187">
        <v>13631</v>
      </c>
      <c r="F5187">
        <v>29</v>
      </c>
      <c r="G5187">
        <v>765</v>
      </c>
      <c r="H5187">
        <f>_xlfn.XLOOKUP(FACT_IMPORTS[[#This Row],[hts_6]],DIM_PRODUCTS[hts_6],DIM_PRODUCTS[hts_4],,,)</f>
        <v>8482</v>
      </c>
      <c r="I5187" t="str" cm="1">
        <f t="array" ref="I5187">_xlfn.XLOOKUP(FACT_IMPORTS[[#This Row],[country_name]],DIM_COUNTRY[[#All],[Column2]],DIM_COUNTRY[[#All],[Column3]],,,)</f>
        <v>Major_Non-USMCA_Non-China</v>
      </c>
    </row>
    <row r="5188" spans="1:9" x14ac:dyDescent="0.4">
      <c r="A5188" t="s">
        <v>68</v>
      </c>
      <c r="B5188" s="1">
        <v>45170</v>
      </c>
      <c r="C5188">
        <v>848310</v>
      </c>
      <c r="D5188" t="s">
        <v>176</v>
      </c>
      <c r="E5188">
        <v>3602153</v>
      </c>
      <c r="F5188">
        <v>37578</v>
      </c>
      <c r="G5188">
        <v>45381</v>
      </c>
      <c r="H5188">
        <f>_xlfn.XLOOKUP(FACT_IMPORTS[[#This Row],[hts_6]],DIM_PRODUCTS[hts_6],DIM_PRODUCTS[hts_4],,,)</f>
        <v>8483</v>
      </c>
      <c r="I5188" t="str" cm="1">
        <f t="array" ref="I5188">_xlfn.XLOOKUP(FACT_IMPORTS[[#This Row],[country_name]],DIM_COUNTRY[[#All],[Column2]],DIM_COUNTRY[[#All],[Column3]],,,)</f>
        <v>Major_Non-USMCA_Non-China</v>
      </c>
    </row>
    <row r="5189" spans="1:9" x14ac:dyDescent="0.4">
      <c r="A5189" t="s">
        <v>68</v>
      </c>
      <c r="B5189" s="1">
        <v>45170</v>
      </c>
      <c r="C5189">
        <v>850131</v>
      </c>
      <c r="D5189" t="s">
        <v>176</v>
      </c>
      <c r="E5189">
        <v>204768</v>
      </c>
      <c r="F5189">
        <v>1010</v>
      </c>
      <c r="G5189">
        <v>1829</v>
      </c>
      <c r="H5189">
        <f>_xlfn.XLOOKUP(FACT_IMPORTS[[#This Row],[hts_6]],DIM_PRODUCTS[hts_6],DIM_PRODUCTS[hts_4],,,)</f>
        <v>8501</v>
      </c>
      <c r="I5189" t="str" cm="1">
        <f t="array" ref="I5189">_xlfn.XLOOKUP(FACT_IMPORTS[[#This Row],[country_name]],DIM_COUNTRY[[#All],[Column2]],DIM_COUNTRY[[#All],[Column3]],,,)</f>
        <v>Major_Non-USMCA_Non-China</v>
      </c>
    </row>
    <row r="5190" spans="1:9" x14ac:dyDescent="0.4">
      <c r="A5190" t="s">
        <v>68</v>
      </c>
      <c r="B5190" s="1">
        <v>45170</v>
      </c>
      <c r="C5190">
        <v>850132</v>
      </c>
      <c r="D5190" t="s">
        <v>176</v>
      </c>
      <c r="E5190">
        <v>155126</v>
      </c>
      <c r="F5190">
        <v>30</v>
      </c>
      <c r="G5190">
        <v>567</v>
      </c>
      <c r="H5190">
        <f>_xlfn.XLOOKUP(FACT_IMPORTS[[#This Row],[hts_6]],DIM_PRODUCTS[hts_6],DIM_PRODUCTS[hts_4],,,)</f>
        <v>8501</v>
      </c>
      <c r="I5190" t="str" cm="1">
        <f t="array" ref="I5190">_xlfn.XLOOKUP(FACT_IMPORTS[[#This Row],[country_name]],DIM_COUNTRY[[#All],[Column2]],DIM_COUNTRY[[#All],[Column3]],,,)</f>
        <v>Major_Non-USMCA_Non-China</v>
      </c>
    </row>
    <row r="5191" spans="1:9" x14ac:dyDescent="0.4">
      <c r="A5191" t="s">
        <v>68</v>
      </c>
      <c r="B5191" s="1">
        <v>45170</v>
      </c>
      <c r="C5191">
        <v>850133</v>
      </c>
      <c r="D5191" t="s">
        <v>176</v>
      </c>
      <c r="E5191">
        <v>0</v>
      </c>
      <c r="F5191">
        <v>0</v>
      </c>
      <c r="G5191">
        <v>0</v>
      </c>
      <c r="H5191">
        <f>_xlfn.XLOOKUP(FACT_IMPORTS[[#This Row],[hts_6]],DIM_PRODUCTS[hts_6],DIM_PRODUCTS[hts_4],,,)</f>
        <v>8501</v>
      </c>
      <c r="I5191" t="str" cm="1">
        <f t="array" ref="I5191">_xlfn.XLOOKUP(FACT_IMPORTS[[#This Row],[country_name]],DIM_COUNTRY[[#All],[Column2]],DIM_COUNTRY[[#All],[Column3]],,,)</f>
        <v>Major_Non-USMCA_Non-China</v>
      </c>
    </row>
    <row r="5192" spans="1:9" x14ac:dyDescent="0.4">
      <c r="A5192" t="s">
        <v>68</v>
      </c>
      <c r="B5192" s="1">
        <v>45170</v>
      </c>
      <c r="C5192">
        <v>850134</v>
      </c>
      <c r="D5192" t="s">
        <v>176</v>
      </c>
      <c r="E5192">
        <v>0</v>
      </c>
      <c r="F5192">
        <v>0</v>
      </c>
      <c r="G5192">
        <v>0</v>
      </c>
      <c r="H5192">
        <f>_xlfn.XLOOKUP(FACT_IMPORTS[[#This Row],[hts_6]],DIM_PRODUCTS[hts_6],DIM_PRODUCTS[hts_4],,,)</f>
        <v>8501</v>
      </c>
      <c r="I5192" t="str" cm="1">
        <f t="array" ref="I5192">_xlfn.XLOOKUP(FACT_IMPORTS[[#This Row],[country_name]],DIM_COUNTRY[[#All],[Column2]],DIM_COUNTRY[[#All],[Column3]],,,)</f>
        <v>Major_Non-USMCA_Non-China</v>
      </c>
    </row>
    <row r="5193" spans="1:9" x14ac:dyDescent="0.4">
      <c r="A5193" t="s">
        <v>68</v>
      </c>
      <c r="B5193" s="1">
        <v>45170</v>
      </c>
      <c r="C5193">
        <v>850152</v>
      </c>
      <c r="D5193" t="s">
        <v>176</v>
      </c>
      <c r="E5193">
        <v>686740</v>
      </c>
      <c r="F5193">
        <v>736</v>
      </c>
      <c r="G5193">
        <v>33708</v>
      </c>
      <c r="H5193">
        <f>_xlfn.XLOOKUP(FACT_IMPORTS[[#This Row],[hts_6]],DIM_PRODUCTS[hts_6],DIM_PRODUCTS[hts_4],,,)</f>
        <v>8501</v>
      </c>
      <c r="I5193" t="str" cm="1">
        <f t="array" ref="I5193">_xlfn.XLOOKUP(FACT_IMPORTS[[#This Row],[country_name]],DIM_COUNTRY[[#All],[Column2]],DIM_COUNTRY[[#All],[Column3]],,,)</f>
        <v>Major_Non-USMCA_Non-China</v>
      </c>
    </row>
    <row r="5194" spans="1:9" x14ac:dyDescent="0.4">
      <c r="A5194" t="s">
        <v>68</v>
      </c>
      <c r="B5194" s="1">
        <v>45170</v>
      </c>
      <c r="C5194">
        <v>850153</v>
      </c>
      <c r="D5194" t="s">
        <v>176</v>
      </c>
      <c r="E5194">
        <v>577974</v>
      </c>
      <c r="F5194">
        <v>35</v>
      </c>
      <c r="G5194">
        <v>27828</v>
      </c>
      <c r="H5194">
        <f>_xlfn.XLOOKUP(FACT_IMPORTS[[#This Row],[hts_6]],DIM_PRODUCTS[hts_6],DIM_PRODUCTS[hts_4],,,)</f>
        <v>8501</v>
      </c>
      <c r="I5194" t="str" cm="1">
        <f t="array" ref="I5194">_xlfn.XLOOKUP(FACT_IMPORTS[[#This Row],[country_name]],DIM_COUNTRY[[#All],[Column2]],DIM_COUNTRY[[#All],[Column3]],,,)</f>
        <v>Major_Non-USMCA_Non-China</v>
      </c>
    </row>
    <row r="5195" spans="1:9" x14ac:dyDescent="0.4">
      <c r="A5195" t="s">
        <v>68</v>
      </c>
      <c r="B5195" s="1">
        <v>45170</v>
      </c>
      <c r="C5195">
        <v>850161</v>
      </c>
      <c r="D5195" t="s">
        <v>176</v>
      </c>
      <c r="E5195">
        <v>0</v>
      </c>
      <c r="F5195">
        <v>0</v>
      </c>
      <c r="G5195">
        <v>0</v>
      </c>
      <c r="H5195">
        <f>_xlfn.XLOOKUP(FACT_IMPORTS[[#This Row],[hts_6]],DIM_PRODUCTS[hts_6],DIM_PRODUCTS[hts_4],,,)</f>
        <v>8501</v>
      </c>
      <c r="I5195" t="str" cm="1">
        <f t="array" ref="I5195">_xlfn.XLOOKUP(FACT_IMPORTS[[#This Row],[country_name]],DIM_COUNTRY[[#All],[Column2]],DIM_COUNTRY[[#All],[Column3]],,,)</f>
        <v>Major_Non-USMCA_Non-China</v>
      </c>
    </row>
    <row r="5196" spans="1:9" x14ac:dyDescent="0.4">
      <c r="A5196" t="s">
        <v>68</v>
      </c>
      <c r="B5196" s="1">
        <v>45170</v>
      </c>
      <c r="C5196">
        <v>850440</v>
      </c>
      <c r="D5196" t="s">
        <v>176</v>
      </c>
      <c r="E5196">
        <v>599489</v>
      </c>
      <c r="F5196">
        <v>505</v>
      </c>
      <c r="G5196">
        <v>26082</v>
      </c>
      <c r="H5196">
        <f>_xlfn.XLOOKUP(FACT_IMPORTS[[#This Row],[hts_6]],DIM_PRODUCTS[hts_6],DIM_PRODUCTS[hts_4],,,)</f>
        <v>8504</v>
      </c>
      <c r="I5196" t="str" cm="1">
        <f t="array" ref="I5196">_xlfn.XLOOKUP(FACT_IMPORTS[[#This Row],[country_name]],DIM_COUNTRY[[#All],[Column2]],DIM_COUNTRY[[#All],[Column3]],,,)</f>
        <v>Major_Non-USMCA_Non-China</v>
      </c>
    </row>
    <row r="5197" spans="1:9" x14ac:dyDescent="0.4">
      <c r="A5197" t="s">
        <v>68</v>
      </c>
      <c r="B5197" s="1">
        <v>45170</v>
      </c>
      <c r="C5197">
        <v>850710</v>
      </c>
      <c r="D5197" t="s">
        <v>176</v>
      </c>
      <c r="E5197">
        <v>0</v>
      </c>
      <c r="F5197">
        <v>0</v>
      </c>
      <c r="G5197">
        <v>0</v>
      </c>
      <c r="H5197">
        <f>_xlfn.XLOOKUP(FACT_IMPORTS[[#This Row],[hts_6]],DIM_PRODUCTS[hts_6],DIM_PRODUCTS[hts_4],,,)</f>
        <v>8507</v>
      </c>
      <c r="I5197" t="str" cm="1">
        <f t="array" ref="I5197">_xlfn.XLOOKUP(FACT_IMPORTS[[#This Row],[country_name]],DIM_COUNTRY[[#All],[Column2]],DIM_COUNTRY[[#All],[Column3]],,,)</f>
        <v>Major_Non-USMCA_Non-China</v>
      </c>
    </row>
    <row r="5198" spans="1:9" x14ac:dyDescent="0.4">
      <c r="A5198" t="s">
        <v>68</v>
      </c>
      <c r="B5198" s="1">
        <v>45170</v>
      </c>
      <c r="C5198">
        <v>850760</v>
      </c>
      <c r="D5198" t="s">
        <v>176</v>
      </c>
      <c r="E5198">
        <v>1546140</v>
      </c>
      <c r="F5198">
        <v>428</v>
      </c>
      <c r="G5198">
        <v>4722</v>
      </c>
      <c r="H5198">
        <f>_xlfn.XLOOKUP(FACT_IMPORTS[[#This Row],[hts_6]],DIM_PRODUCTS[hts_6],DIM_PRODUCTS[hts_4],,,)</f>
        <v>8507</v>
      </c>
      <c r="I5198" t="str" cm="1">
        <f t="array" ref="I5198">_xlfn.XLOOKUP(FACT_IMPORTS[[#This Row],[country_name]],DIM_COUNTRY[[#All],[Column2]],DIM_COUNTRY[[#All],[Column3]],,,)</f>
        <v>Major_Non-USMCA_Non-China</v>
      </c>
    </row>
    <row r="5199" spans="1:9" x14ac:dyDescent="0.4">
      <c r="A5199" t="s">
        <v>68</v>
      </c>
      <c r="B5199" s="1">
        <v>45170</v>
      </c>
      <c r="C5199">
        <v>850790</v>
      </c>
      <c r="D5199" t="s">
        <v>176</v>
      </c>
      <c r="E5199">
        <v>1054456</v>
      </c>
      <c r="F5199">
        <v>110921</v>
      </c>
      <c r="G5199">
        <v>18630</v>
      </c>
      <c r="H5199">
        <f>_xlfn.XLOOKUP(FACT_IMPORTS[[#This Row],[hts_6]],DIM_PRODUCTS[hts_6],DIM_PRODUCTS[hts_4],,,)</f>
        <v>8507</v>
      </c>
      <c r="I5199" t="str" cm="1">
        <f t="array" ref="I5199">_xlfn.XLOOKUP(FACT_IMPORTS[[#This Row],[country_name]],DIM_COUNTRY[[#All],[Column2]],DIM_COUNTRY[[#All],[Column3]],,,)</f>
        <v>Major_Non-USMCA_Non-China</v>
      </c>
    </row>
    <row r="5200" spans="1:9" x14ac:dyDescent="0.4">
      <c r="A5200" t="s">
        <v>68</v>
      </c>
      <c r="B5200" s="1">
        <v>45170</v>
      </c>
      <c r="C5200">
        <v>851110</v>
      </c>
      <c r="D5200" t="s">
        <v>176</v>
      </c>
      <c r="E5200">
        <v>6456</v>
      </c>
      <c r="F5200">
        <v>1</v>
      </c>
      <c r="G5200">
        <v>287</v>
      </c>
      <c r="H5200">
        <f>_xlfn.XLOOKUP(FACT_IMPORTS[[#This Row],[hts_6]],DIM_PRODUCTS[hts_6],DIM_PRODUCTS[hts_4],,,)</f>
        <v>8511</v>
      </c>
      <c r="I5200" t="str" cm="1">
        <f t="array" ref="I5200">_xlfn.XLOOKUP(FACT_IMPORTS[[#This Row],[country_name]],DIM_COUNTRY[[#All],[Column2]],DIM_COUNTRY[[#All],[Column3]],,,)</f>
        <v>Major_Non-USMCA_Non-China</v>
      </c>
    </row>
    <row r="5201" spans="1:9" x14ac:dyDescent="0.4">
      <c r="A5201" t="s">
        <v>68</v>
      </c>
      <c r="B5201" s="1">
        <v>45170</v>
      </c>
      <c r="C5201">
        <v>851120</v>
      </c>
      <c r="D5201" t="s">
        <v>176</v>
      </c>
      <c r="E5201">
        <v>9364</v>
      </c>
      <c r="F5201">
        <v>118</v>
      </c>
      <c r="G5201">
        <v>148</v>
      </c>
      <c r="H5201">
        <f>_xlfn.XLOOKUP(FACT_IMPORTS[[#This Row],[hts_6]],DIM_PRODUCTS[hts_6],DIM_PRODUCTS[hts_4],,,)</f>
        <v>8511</v>
      </c>
      <c r="I5201" t="str" cm="1">
        <f t="array" ref="I5201">_xlfn.XLOOKUP(FACT_IMPORTS[[#This Row],[country_name]],DIM_COUNTRY[[#All],[Column2]],DIM_COUNTRY[[#All],[Column3]],,,)</f>
        <v>Major_Non-USMCA_Non-China</v>
      </c>
    </row>
    <row r="5202" spans="1:9" x14ac:dyDescent="0.4">
      <c r="A5202" t="s">
        <v>68</v>
      </c>
      <c r="B5202" s="1">
        <v>45170</v>
      </c>
      <c r="C5202">
        <v>851130</v>
      </c>
      <c r="D5202" t="s">
        <v>176</v>
      </c>
      <c r="E5202">
        <v>22277</v>
      </c>
      <c r="F5202">
        <v>417</v>
      </c>
      <c r="G5202">
        <v>352</v>
      </c>
      <c r="H5202">
        <f>_xlfn.XLOOKUP(FACT_IMPORTS[[#This Row],[hts_6]],DIM_PRODUCTS[hts_6],DIM_PRODUCTS[hts_4],,,)</f>
        <v>8511</v>
      </c>
      <c r="I5202" t="str" cm="1">
        <f t="array" ref="I5202">_xlfn.XLOOKUP(FACT_IMPORTS[[#This Row],[country_name]],DIM_COUNTRY[[#All],[Column2]],DIM_COUNTRY[[#All],[Column3]],,,)</f>
        <v>Major_Non-USMCA_Non-China</v>
      </c>
    </row>
    <row r="5203" spans="1:9" x14ac:dyDescent="0.4">
      <c r="A5203" t="s">
        <v>68</v>
      </c>
      <c r="B5203" s="1">
        <v>45170</v>
      </c>
      <c r="C5203">
        <v>851140</v>
      </c>
      <c r="D5203" t="s">
        <v>176</v>
      </c>
      <c r="E5203">
        <v>0</v>
      </c>
      <c r="F5203">
        <v>0</v>
      </c>
      <c r="G5203">
        <v>0</v>
      </c>
      <c r="H5203">
        <f>_xlfn.XLOOKUP(FACT_IMPORTS[[#This Row],[hts_6]],DIM_PRODUCTS[hts_6],DIM_PRODUCTS[hts_4],,,)</f>
        <v>8511</v>
      </c>
      <c r="I5203" t="str" cm="1">
        <f t="array" ref="I5203">_xlfn.XLOOKUP(FACT_IMPORTS[[#This Row],[country_name]],DIM_COUNTRY[[#All],[Column2]],DIM_COUNTRY[[#All],[Column3]],,,)</f>
        <v>Major_Non-USMCA_Non-China</v>
      </c>
    </row>
    <row r="5204" spans="1:9" x14ac:dyDescent="0.4">
      <c r="A5204" t="s">
        <v>68</v>
      </c>
      <c r="B5204" s="1">
        <v>45170</v>
      </c>
      <c r="C5204">
        <v>851150</v>
      </c>
      <c r="D5204" t="s">
        <v>176</v>
      </c>
      <c r="E5204">
        <v>0</v>
      </c>
      <c r="F5204">
        <v>0</v>
      </c>
      <c r="G5204">
        <v>0</v>
      </c>
      <c r="H5204">
        <f>_xlfn.XLOOKUP(FACT_IMPORTS[[#This Row],[hts_6]],DIM_PRODUCTS[hts_6],DIM_PRODUCTS[hts_4],,,)</f>
        <v>8511</v>
      </c>
      <c r="I5204" t="str" cm="1">
        <f t="array" ref="I5204">_xlfn.XLOOKUP(FACT_IMPORTS[[#This Row],[country_name]],DIM_COUNTRY[[#All],[Column2]],DIM_COUNTRY[[#All],[Column3]],,,)</f>
        <v>Major_Non-USMCA_Non-China</v>
      </c>
    </row>
    <row r="5205" spans="1:9" x14ac:dyDescent="0.4">
      <c r="A5205" t="s">
        <v>68</v>
      </c>
      <c r="B5205" s="1">
        <v>45170</v>
      </c>
      <c r="C5205">
        <v>851180</v>
      </c>
      <c r="D5205" t="s">
        <v>176</v>
      </c>
      <c r="E5205">
        <v>661810</v>
      </c>
      <c r="F5205">
        <v>37772</v>
      </c>
      <c r="G5205">
        <v>4338</v>
      </c>
      <c r="H5205">
        <f>_xlfn.XLOOKUP(FACT_IMPORTS[[#This Row],[hts_6]],DIM_PRODUCTS[hts_6],DIM_PRODUCTS[hts_4],,,)</f>
        <v>8511</v>
      </c>
      <c r="I5205" t="str" cm="1">
        <f t="array" ref="I5205">_xlfn.XLOOKUP(FACT_IMPORTS[[#This Row],[country_name]],DIM_COUNTRY[[#All],[Column2]],DIM_COUNTRY[[#All],[Column3]],,,)</f>
        <v>Major_Non-USMCA_Non-China</v>
      </c>
    </row>
    <row r="5206" spans="1:9" x14ac:dyDescent="0.4">
      <c r="A5206" t="s">
        <v>68</v>
      </c>
      <c r="B5206" s="1">
        <v>45170</v>
      </c>
      <c r="C5206">
        <v>851190</v>
      </c>
      <c r="D5206" t="s">
        <v>176</v>
      </c>
      <c r="E5206">
        <v>16161</v>
      </c>
      <c r="F5206">
        <v>360</v>
      </c>
      <c r="G5206">
        <v>389</v>
      </c>
      <c r="H5206">
        <f>_xlfn.XLOOKUP(FACT_IMPORTS[[#This Row],[hts_6]],DIM_PRODUCTS[hts_6],DIM_PRODUCTS[hts_4],,,)</f>
        <v>8511</v>
      </c>
      <c r="I5206" t="str" cm="1">
        <f t="array" ref="I5206">_xlfn.XLOOKUP(FACT_IMPORTS[[#This Row],[country_name]],DIM_COUNTRY[[#All],[Column2]],DIM_COUNTRY[[#All],[Column3]],,,)</f>
        <v>Major_Non-USMCA_Non-China</v>
      </c>
    </row>
    <row r="5207" spans="1:9" x14ac:dyDescent="0.4">
      <c r="A5207" t="s">
        <v>68</v>
      </c>
      <c r="B5207" s="1">
        <v>45170</v>
      </c>
      <c r="C5207">
        <v>851220</v>
      </c>
      <c r="D5207" t="s">
        <v>176</v>
      </c>
      <c r="E5207">
        <v>38401</v>
      </c>
      <c r="F5207">
        <v>10920</v>
      </c>
      <c r="G5207">
        <v>100</v>
      </c>
      <c r="H5207">
        <f>_xlfn.XLOOKUP(FACT_IMPORTS[[#This Row],[hts_6]],DIM_PRODUCTS[hts_6],DIM_PRODUCTS[hts_4],,,)</f>
        <v>8512</v>
      </c>
      <c r="I5207" t="str" cm="1">
        <f t="array" ref="I5207">_xlfn.XLOOKUP(FACT_IMPORTS[[#This Row],[country_name]],DIM_COUNTRY[[#All],[Column2]],DIM_COUNTRY[[#All],[Column3]],,,)</f>
        <v>Major_Non-USMCA_Non-China</v>
      </c>
    </row>
    <row r="5208" spans="1:9" x14ac:dyDescent="0.4">
      <c r="A5208" t="s">
        <v>68</v>
      </c>
      <c r="B5208" s="1">
        <v>45170</v>
      </c>
      <c r="C5208">
        <v>851230</v>
      </c>
      <c r="D5208" t="s">
        <v>176</v>
      </c>
      <c r="E5208">
        <v>0</v>
      </c>
      <c r="F5208">
        <v>0</v>
      </c>
      <c r="G5208">
        <v>0</v>
      </c>
      <c r="H5208">
        <f>_xlfn.XLOOKUP(FACT_IMPORTS[[#This Row],[hts_6]],DIM_PRODUCTS[hts_6],DIM_PRODUCTS[hts_4],,,)</f>
        <v>8512</v>
      </c>
      <c r="I5208" t="str" cm="1">
        <f t="array" ref="I5208">_xlfn.XLOOKUP(FACT_IMPORTS[[#This Row],[country_name]],DIM_COUNTRY[[#All],[Column2]],DIM_COUNTRY[[#All],[Column3]],,,)</f>
        <v>Major_Non-USMCA_Non-China</v>
      </c>
    </row>
    <row r="5209" spans="1:9" x14ac:dyDescent="0.4">
      <c r="A5209" t="s">
        <v>68</v>
      </c>
      <c r="B5209" s="1">
        <v>45170</v>
      </c>
      <c r="C5209">
        <v>851290</v>
      </c>
      <c r="D5209" t="s">
        <v>176</v>
      </c>
      <c r="E5209">
        <v>8311</v>
      </c>
      <c r="F5209">
        <v>377</v>
      </c>
      <c r="G5209">
        <v>19</v>
      </c>
      <c r="H5209">
        <f>_xlfn.XLOOKUP(FACT_IMPORTS[[#This Row],[hts_6]],DIM_PRODUCTS[hts_6],DIM_PRODUCTS[hts_4],,,)</f>
        <v>8512</v>
      </c>
      <c r="I5209" t="str" cm="1">
        <f t="array" ref="I5209">_xlfn.XLOOKUP(FACT_IMPORTS[[#This Row],[country_name]],DIM_COUNTRY[[#All],[Column2]],DIM_COUNTRY[[#All],[Column3]],,,)</f>
        <v>Major_Non-USMCA_Non-China</v>
      </c>
    </row>
    <row r="5210" spans="1:9" x14ac:dyDescent="0.4">
      <c r="A5210" t="s">
        <v>68</v>
      </c>
      <c r="B5210" s="1">
        <v>45170</v>
      </c>
      <c r="C5210">
        <v>854231</v>
      </c>
      <c r="D5210" t="s">
        <v>176</v>
      </c>
      <c r="E5210">
        <v>46824</v>
      </c>
      <c r="F5210">
        <v>62</v>
      </c>
      <c r="G5210">
        <v>1284</v>
      </c>
      <c r="H5210">
        <f>_xlfn.XLOOKUP(FACT_IMPORTS[[#This Row],[hts_6]],DIM_PRODUCTS[hts_6],DIM_PRODUCTS[hts_4],,,)</f>
        <v>8542</v>
      </c>
      <c r="I5210" t="str" cm="1">
        <f t="array" ref="I5210">_xlfn.XLOOKUP(FACT_IMPORTS[[#This Row],[country_name]],DIM_COUNTRY[[#All],[Column2]],DIM_COUNTRY[[#All],[Column3]],,,)</f>
        <v>Major_Non-USMCA_Non-China</v>
      </c>
    </row>
    <row r="5211" spans="1:9" x14ac:dyDescent="0.4">
      <c r="A5211" t="s">
        <v>68</v>
      </c>
      <c r="B5211" s="1">
        <v>45170</v>
      </c>
      <c r="C5211">
        <v>854232</v>
      </c>
      <c r="D5211" t="s">
        <v>176</v>
      </c>
      <c r="E5211">
        <v>2211</v>
      </c>
      <c r="F5211">
        <v>3</v>
      </c>
      <c r="G5211">
        <v>92</v>
      </c>
      <c r="H5211">
        <f>_xlfn.XLOOKUP(FACT_IMPORTS[[#This Row],[hts_6]],DIM_PRODUCTS[hts_6],DIM_PRODUCTS[hts_4],,,)</f>
        <v>8542</v>
      </c>
      <c r="I5211" t="str" cm="1">
        <f t="array" ref="I5211">_xlfn.XLOOKUP(FACT_IMPORTS[[#This Row],[country_name]],DIM_COUNTRY[[#All],[Column2]],DIM_COUNTRY[[#All],[Column3]],,,)</f>
        <v>Major_Non-USMCA_Non-China</v>
      </c>
    </row>
    <row r="5212" spans="1:9" x14ac:dyDescent="0.4">
      <c r="A5212" t="s">
        <v>68</v>
      </c>
      <c r="B5212" s="1">
        <v>45170</v>
      </c>
      <c r="C5212">
        <v>854233</v>
      </c>
      <c r="D5212" t="s">
        <v>176</v>
      </c>
      <c r="E5212">
        <v>0</v>
      </c>
      <c r="F5212">
        <v>0</v>
      </c>
      <c r="G5212">
        <v>0</v>
      </c>
      <c r="H5212">
        <f>_xlfn.XLOOKUP(FACT_IMPORTS[[#This Row],[hts_6]],DIM_PRODUCTS[hts_6],DIM_PRODUCTS[hts_4],,,)</f>
        <v>8542</v>
      </c>
      <c r="I5212" t="str" cm="1">
        <f t="array" ref="I5212">_xlfn.XLOOKUP(FACT_IMPORTS[[#This Row],[country_name]],DIM_COUNTRY[[#All],[Column2]],DIM_COUNTRY[[#All],[Column3]],,,)</f>
        <v>Major_Non-USMCA_Non-China</v>
      </c>
    </row>
    <row r="5213" spans="1:9" x14ac:dyDescent="0.4">
      <c r="A5213" t="s">
        <v>68</v>
      </c>
      <c r="B5213" s="1">
        <v>45170</v>
      </c>
      <c r="C5213">
        <v>854239</v>
      </c>
      <c r="D5213" t="s">
        <v>176</v>
      </c>
      <c r="E5213">
        <v>0</v>
      </c>
      <c r="F5213">
        <v>0</v>
      </c>
      <c r="G5213">
        <v>0</v>
      </c>
      <c r="H5213">
        <f>_xlfn.XLOOKUP(FACT_IMPORTS[[#This Row],[hts_6]],DIM_PRODUCTS[hts_6],DIM_PRODUCTS[hts_4],,,)</f>
        <v>8542</v>
      </c>
      <c r="I5213" t="str" cm="1">
        <f t="array" ref="I5213">_xlfn.XLOOKUP(FACT_IMPORTS[[#This Row],[country_name]],DIM_COUNTRY[[#All],[Column2]],DIM_COUNTRY[[#All],[Column3]],,,)</f>
        <v>Major_Non-USMCA_Non-China</v>
      </c>
    </row>
    <row r="5214" spans="1:9" x14ac:dyDescent="0.4">
      <c r="A5214" t="s">
        <v>68</v>
      </c>
      <c r="B5214" s="1">
        <v>45170</v>
      </c>
      <c r="C5214">
        <v>854290</v>
      </c>
      <c r="D5214" t="s">
        <v>176</v>
      </c>
      <c r="E5214">
        <v>17279</v>
      </c>
      <c r="F5214">
        <v>18</v>
      </c>
      <c r="G5214">
        <v>1360</v>
      </c>
      <c r="H5214">
        <f>_xlfn.XLOOKUP(FACT_IMPORTS[[#This Row],[hts_6]],DIM_PRODUCTS[hts_6],DIM_PRODUCTS[hts_4],,,)</f>
        <v>8542</v>
      </c>
      <c r="I5214" t="str" cm="1">
        <f t="array" ref="I5214">_xlfn.XLOOKUP(FACT_IMPORTS[[#This Row],[country_name]],DIM_COUNTRY[[#All],[Column2]],DIM_COUNTRY[[#All],[Column3]],,,)</f>
        <v>Major_Non-USMCA_Non-China</v>
      </c>
    </row>
    <row r="5215" spans="1:9" x14ac:dyDescent="0.4">
      <c r="A5215" t="s">
        <v>68</v>
      </c>
      <c r="B5215" s="1">
        <v>45170</v>
      </c>
      <c r="C5215">
        <v>854430</v>
      </c>
      <c r="D5215" t="s">
        <v>176</v>
      </c>
      <c r="E5215">
        <v>456432</v>
      </c>
      <c r="F5215">
        <v>28018</v>
      </c>
      <c r="G5215">
        <v>4483</v>
      </c>
      <c r="H5215">
        <f>_xlfn.XLOOKUP(FACT_IMPORTS[[#This Row],[hts_6]],DIM_PRODUCTS[hts_6],DIM_PRODUCTS[hts_4],,,)</f>
        <v>8544</v>
      </c>
      <c r="I5215" t="str" cm="1">
        <f t="array" ref="I5215">_xlfn.XLOOKUP(FACT_IMPORTS[[#This Row],[country_name]],DIM_COUNTRY[[#All],[Column2]],DIM_COUNTRY[[#All],[Column3]],,,)</f>
        <v>Major_Non-USMCA_Non-China</v>
      </c>
    </row>
    <row r="5216" spans="1:9" x14ac:dyDescent="0.4">
      <c r="A5216" t="s">
        <v>68</v>
      </c>
      <c r="B5216" s="1">
        <v>45170</v>
      </c>
      <c r="C5216">
        <v>870790</v>
      </c>
      <c r="D5216" t="s">
        <v>176</v>
      </c>
      <c r="E5216">
        <v>0</v>
      </c>
      <c r="F5216">
        <v>0</v>
      </c>
      <c r="G5216">
        <v>0</v>
      </c>
      <c r="H5216">
        <f>_xlfn.XLOOKUP(FACT_IMPORTS[[#This Row],[hts_6]],DIM_PRODUCTS[hts_6],DIM_PRODUCTS[hts_4],,,)</f>
        <v>8707</v>
      </c>
      <c r="I5216" t="str" cm="1">
        <f t="array" ref="I5216">_xlfn.XLOOKUP(FACT_IMPORTS[[#This Row],[country_name]],DIM_COUNTRY[[#All],[Column2]],DIM_COUNTRY[[#All],[Column3]],,,)</f>
        <v>Major_Non-USMCA_Non-China</v>
      </c>
    </row>
    <row r="5217" spans="1:9" x14ac:dyDescent="0.4">
      <c r="A5217" t="s">
        <v>68</v>
      </c>
      <c r="B5217" s="1">
        <v>45170</v>
      </c>
      <c r="C5217">
        <v>870810</v>
      </c>
      <c r="D5217" t="s">
        <v>176</v>
      </c>
      <c r="E5217">
        <v>26020</v>
      </c>
      <c r="F5217">
        <v>7022</v>
      </c>
      <c r="G5217">
        <v>643</v>
      </c>
      <c r="H5217">
        <f>_xlfn.XLOOKUP(FACT_IMPORTS[[#This Row],[hts_6]],DIM_PRODUCTS[hts_6],DIM_PRODUCTS[hts_4],,,)</f>
        <v>8708</v>
      </c>
      <c r="I5217" t="str" cm="1">
        <f t="array" ref="I5217">_xlfn.XLOOKUP(FACT_IMPORTS[[#This Row],[country_name]],DIM_COUNTRY[[#All],[Column2]],DIM_COUNTRY[[#All],[Column3]],,,)</f>
        <v>Major_Non-USMCA_Non-China</v>
      </c>
    </row>
    <row r="5218" spans="1:9" x14ac:dyDescent="0.4">
      <c r="A5218" t="s">
        <v>68</v>
      </c>
      <c r="B5218" s="1">
        <v>45170</v>
      </c>
      <c r="C5218">
        <v>870822</v>
      </c>
      <c r="D5218" t="s">
        <v>176</v>
      </c>
      <c r="E5218">
        <v>170527</v>
      </c>
      <c r="F5218">
        <v>856</v>
      </c>
      <c r="G5218">
        <v>3</v>
      </c>
      <c r="H5218">
        <f>_xlfn.XLOOKUP(FACT_IMPORTS[[#This Row],[hts_6]],DIM_PRODUCTS[hts_6],DIM_PRODUCTS[hts_4],,,)</f>
        <v>8708</v>
      </c>
      <c r="I5218" t="str" cm="1">
        <f t="array" ref="I5218">_xlfn.XLOOKUP(FACT_IMPORTS[[#This Row],[country_name]],DIM_COUNTRY[[#All],[Column2]],DIM_COUNTRY[[#All],[Column3]],,,)</f>
        <v>Major_Non-USMCA_Non-China</v>
      </c>
    </row>
    <row r="5219" spans="1:9" x14ac:dyDescent="0.4">
      <c r="A5219" t="s">
        <v>68</v>
      </c>
      <c r="B5219" s="1">
        <v>45170</v>
      </c>
      <c r="C5219">
        <v>870829</v>
      </c>
      <c r="D5219" t="s">
        <v>176</v>
      </c>
      <c r="E5219">
        <v>2415558</v>
      </c>
      <c r="F5219">
        <v>1126868</v>
      </c>
      <c r="G5219">
        <v>35115</v>
      </c>
      <c r="H5219">
        <f>_xlfn.XLOOKUP(FACT_IMPORTS[[#This Row],[hts_6]],DIM_PRODUCTS[hts_6],DIM_PRODUCTS[hts_4],,,)</f>
        <v>8708</v>
      </c>
      <c r="I5219" t="str" cm="1">
        <f t="array" ref="I5219">_xlfn.XLOOKUP(FACT_IMPORTS[[#This Row],[country_name]],DIM_COUNTRY[[#All],[Column2]],DIM_COUNTRY[[#All],[Column3]],,,)</f>
        <v>Major_Non-USMCA_Non-China</v>
      </c>
    </row>
    <row r="5220" spans="1:9" x14ac:dyDescent="0.4">
      <c r="A5220" t="s">
        <v>68</v>
      </c>
      <c r="B5220" s="1">
        <v>45170</v>
      </c>
      <c r="C5220">
        <v>870830</v>
      </c>
      <c r="D5220" t="s">
        <v>176</v>
      </c>
      <c r="E5220">
        <v>503549</v>
      </c>
      <c r="F5220">
        <v>623983</v>
      </c>
      <c r="G5220">
        <v>9705</v>
      </c>
      <c r="H5220">
        <f>_xlfn.XLOOKUP(FACT_IMPORTS[[#This Row],[hts_6]],DIM_PRODUCTS[hts_6],DIM_PRODUCTS[hts_4],,,)</f>
        <v>8708</v>
      </c>
      <c r="I5220" t="str" cm="1">
        <f t="array" ref="I5220">_xlfn.XLOOKUP(FACT_IMPORTS[[#This Row],[country_name]],DIM_COUNTRY[[#All],[Column2]],DIM_COUNTRY[[#All],[Column3]],,,)</f>
        <v>Major_Non-USMCA_Non-China</v>
      </c>
    </row>
    <row r="5221" spans="1:9" x14ac:dyDescent="0.4">
      <c r="A5221" t="s">
        <v>68</v>
      </c>
      <c r="B5221" s="1">
        <v>45170</v>
      </c>
      <c r="C5221">
        <v>870840</v>
      </c>
      <c r="D5221" t="s">
        <v>176</v>
      </c>
      <c r="E5221">
        <v>63054734</v>
      </c>
      <c r="F5221">
        <v>1003723</v>
      </c>
      <c r="G5221">
        <v>133198</v>
      </c>
      <c r="H5221">
        <f>_xlfn.XLOOKUP(FACT_IMPORTS[[#This Row],[hts_6]],DIM_PRODUCTS[hts_6],DIM_PRODUCTS[hts_4],,,)</f>
        <v>8708</v>
      </c>
      <c r="I5221" t="str" cm="1">
        <f t="array" ref="I5221">_xlfn.XLOOKUP(FACT_IMPORTS[[#This Row],[country_name]],DIM_COUNTRY[[#All],[Column2]],DIM_COUNTRY[[#All],[Column3]],,,)</f>
        <v>Major_Non-USMCA_Non-China</v>
      </c>
    </row>
    <row r="5222" spans="1:9" x14ac:dyDescent="0.4">
      <c r="A5222" t="s">
        <v>68</v>
      </c>
      <c r="B5222" s="1">
        <v>45170</v>
      </c>
      <c r="C5222">
        <v>870850</v>
      </c>
      <c r="D5222" t="s">
        <v>176</v>
      </c>
      <c r="E5222">
        <v>9562839</v>
      </c>
      <c r="F5222">
        <v>830002</v>
      </c>
      <c r="G5222">
        <v>140748</v>
      </c>
      <c r="H5222">
        <f>_xlfn.XLOOKUP(FACT_IMPORTS[[#This Row],[hts_6]],DIM_PRODUCTS[hts_6],DIM_PRODUCTS[hts_4],,,)</f>
        <v>8708</v>
      </c>
      <c r="I5222" t="str" cm="1">
        <f t="array" ref="I5222">_xlfn.XLOOKUP(FACT_IMPORTS[[#This Row],[country_name]],DIM_COUNTRY[[#All],[Column2]],DIM_COUNTRY[[#All],[Column3]],,,)</f>
        <v>Major_Non-USMCA_Non-China</v>
      </c>
    </row>
    <row r="5223" spans="1:9" x14ac:dyDescent="0.4">
      <c r="A5223" t="s">
        <v>68</v>
      </c>
      <c r="B5223" s="1">
        <v>45170</v>
      </c>
      <c r="C5223">
        <v>870870</v>
      </c>
      <c r="D5223" t="s">
        <v>176</v>
      </c>
      <c r="E5223">
        <v>3528</v>
      </c>
      <c r="F5223">
        <v>23</v>
      </c>
      <c r="G5223">
        <v>20</v>
      </c>
      <c r="H5223">
        <f>_xlfn.XLOOKUP(FACT_IMPORTS[[#This Row],[hts_6]],DIM_PRODUCTS[hts_6],DIM_PRODUCTS[hts_4],,,)</f>
        <v>8708</v>
      </c>
      <c r="I5223" t="str" cm="1">
        <f t="array" ref="I5223">_xlfn.XLOOKUP(FACT_IMPORTS[[#This Row],[country_name]],DIM_COUNTRY[[#All],[Column2]],DIM_COUNTRY[[#All],[Column3]],,,)</f>
        <v>Major_Non-USMCA_Non-China</v>
      </c>
    </row>
    <row r="5224" spans="1:9" x14ac:dyDescent="0.4">
      <c r="A5224" t="s">
        <v>68</v>
      </c>
      <c r="B5224" s="1">
        <v>45170</v>
      </c>
      <c r="C5224">
        <v>870880</v>
      </c>
      <c r="D5224" t="s">
        <v>176</v>
      </c>
      <c r="E5224">
        <v>1898019</v>
      </c>
      <c r="F5224">
        <v>556042</v>
      </c>
      <c r="G5224">
        <v>27326</v>
      </c>
      <c r="H5224">
        <f>_xlfn.XLOOKUP(FACT_IMPORTS[[#This Row],[hts_6]],DIM_PRODUCTS[hts_6],DIM_PRODUCTS[hts_4],,,)</f>
        <v>8708</v>
      </c>
      <c r="I5224" t="str" cm="1">
        <f t="array" ref="I5224">_xlfn.XLOOKUP(FACT_IMPORTS[[#This Row],[country_name]],DIM_COUNTRY[[#All],[Column2]],DIM_COUNTRY[[#All],[Column3]],,,)</f>
        <v>Major_Non-USMCA_Non-China</v>
      </c>
    </row>
    <row r="5225" spans="1:9" x14ac:dyDescent="0.4">
      <c r="A5225" t="s">
        <v>68</v>
      </c>
      <c r="B5225" s="1">
        <v>45170</v>
      </c>
      <c r="C5225">
        <v>870891</v>
      </c>
      <c r="D5225" t="s">
        <v>176</v>
      </c>
      <c r="E5225">
        <v>16725</v>
      </c>
      <c r="F5225">
        <v>194</v>
      </c>
      <c r="G5225">
        <v>727</v>
      </c>
      <c r="H5225">
        <f>_xlfn.XLOOKUP(FACT_IMPORTS[[#This Row],[hts_6]],DIM_PRODUCTS[hts_6],DIM_PRODUCTS[hts_4],,,)</f>
        <v>8708</v>
      </c>
      <c r="I5225" t="str" cm="1">
        <f t="array" ref="I5225">_xlfn.XLOOKUP(FACT_IMPORTS[[#This Row],[country_name]],DIM_COUNTRY[[#All],[Column2]],DIM_COUNTRY[[#All],[Column3]],,,)</f>
        <v>Major_Non-USMCA_Non-China</v>
      </c>
    </row>
    <row r="5226" spans="1:9" x14ac:dyDescent="0.4">
      <c r="A5226" t="s">
        <v>68</v>
      </c>
      <c r="B5226" s="1">
        <v>45170</v>
      </c>
      <c r="C5226">
        <v>870892</v>
      </c>
      <c r="D5226" t="s">
        <v>176</v>
      </c>
      <c r="E5226">
        <v>68253</v>
      </c>
      <c r="F5226">
        <v>74229</v>
      </c>
      <c r="G5226">
        <v>6120</v>
      </c>
      <c r="H5226">
        <f>_xlfn.XLOOKUP(FACT_IMPORTS[[#This Row],[hts_6]],DIM_PRODUCTS[hts_6],DIM_PRODUCTS[hts_4],,,)</f>
        <v>8708</v>
      </c>
      <c r="I5226" t="str" cm="1">
        <f t="array" ref="I5226">_xlfn.XLOOKUP(FACT_IMPORTS[[#This Row],[country_name]],DIM_COUNTRY[[#All],[Column2]],DIM_COUNTRY[[#All],[Column3]],,,)</f>
        <v>Major_Non-USMCA_Non-China</v>
      </c>
    </row>
    <row r="5227" spans="1:9" x14ac:dyDescent="0.4">
      <c r="A5227" t="s">
        <v>68</v>
      </c>
      <c r="B5227" s="1">
        <v>45170</v>
      </c>
      <c r="C5227">
        <v>870893</v>
      </c>
      <c r="D5227" t="s">
        <v>176</v>
      </c>
      <c r="E5227">
        <v>633310</v>
      </c>
      <c r="F5227">
        <v>1683</v>
      </c>
      <c r="G5227">
        <v>7232</v>
      </c>
      <c r="H5227">
        <f>_xlfn.XLOOKUP(FACT_IMPORTS[[#This Row],[hts_6]],DIM_PRODUCTS[hts_6],DIM_PRODUCTS[hts_4],,,)</f>
        <v>8708</v>
      </c>
      <c r="I5227" t="str" cm="1">
        <f t="array" ref="I5227">_xlfn.XLOOKUP(FACT_IMPORTS[[#This Row],[country_name]],DIM_COUNTRY[[#All],[Column2]],DIM_COUNTRY[[#All],[Column3]],,,)</f>
        <v>Major_Non-USMCA_Non-China</v>
      </c>
    </row>
    <row r="5228" spans="1:9" x14ac:dyDescent="0.4">
      <c r="A5228" t="s">
        <v>68</v>
      </c>
      <c r="B5228" s="1">
        <v>45170</v>
      </c>
      <c r="C5228">
        <v>870894</v>
      </c>
      <c r="D5228" t="s">
        <v>176</v>
      </c>
      <c r="E5228">
        <v>136639</v>
      </c>
      <c r="F5228">
        <v>12491</v>
      </c>
      <c r="G5228">
        <v>5791</v>
      </c>
      <c r="H5228">
        <f>_xlfn.XLOOKUP(FACT_IMPORTS[[#This Row],[hts_6]],DIM_PRODUCTS[hts_6],DIM_PRODUCTS[hts_4],,,)</f>
        <v>8708</v>
      </c>
      <c r="I5228" t="str" cm="1">
        <f t="array" ref="I5228">_xlfn.XLOOKUP(FACT_IMPORTS[[#This Row],[country_name]],DIM_COUNTRY[[#All],[Column2]],DIM_COUNTRY[[#All],[Column3]],,,)</f>
        <v>Major_Non-USMCA_Non-China</v>
      </c>
    </row>
    <row r="5229" spans="1:9" x14ac:dyDescent="0.4">
      <c r="A5229" t="s">
        <v>68</v>
      </c>
      <c r="B5229" s="1">
        <v>45170</v>
      </c>
      <c r="C5229">
        <v>870895</v>
      </c>
      <c r="D5229" t="s">
        <v>176</v>
      </c>
      <c r="E5229">
        <v>22729</v>
      </c>
      <c r="F5229">
        <v>2506</v>
      </c>
      <c r="G5229">
        <v>297</v>
      </c>
      <c r="H5229">
        <f>_xlfn.XLOOKUP(FACT_IMPORTS[[#This Row],[hts_6]],DIM_PRODUCTS[hts_6],DIM_PRODUCTS[hts_4],,,)</f>
        <v>8708</v>
      </c>
      <c r="I5229" t="str" cm="1">
        <f t="array" ref="I5229">_xlfn.XLOOKUP(FACT_IMPORTS[[#This Row],[country_name]],DIM_COUNTRY[[#All],[Column2]],DIM_COUNTRY[[#All],[Column3]],,,)</f>
        <v>Major_Non-USMCA_Non-China</v>
      </c>
    </row>
    <row r="5230" spans="1:9" x14ac:dyDescent="0.4">
      <c r="A5230" t="s">
        <v>68</v>
      </c>
      <c r="B5230" s="1">
        <v>45170</v>
      </c>
      <c r="C5230">
        <v>870899</v>
      </c>
      <c r="D5230" t="s">
        <v>176</v>
      </c>
      <c r="E5230">
        <v>4652840</v>
      </c>
      <c r="F5230">
        <v>523422</v>
      </c>
      <c r="G5230">
        <v>54176</v>
      </c>
      <c r="H5230">
        <f>_xlfn.XLOOKUP(FACT_IMPORTS[[#This Row],[hts_6]],DIM_PRODUCTS[hts_6],DIM_PRODUCTS[hts_4],,,)</f>
        <v>8708</v>
      </c>
      <c r="I5230" t="str" cm="1">
        <f t="array" ref="I5230">_xlfn.XLOOKUP(FACT_IMPORTS[[#This Row],[country_name]],DIM_COUNTRY[[#All],[Column2]],DIM_COUNTRY[[#All],[Column3]],,,)</f>
        <v>Major_Non-USMCA_Non-China</v>
      </c>
    </row>
    <row r="5231" spans="1:9" x14ac:dyDescent="0.4">
      <c r="A5231" t="s">
        <v>68</v>
      </c>
      <c r="B5231" s="1">
        <v>45170</v>
      </c>
      <c r="C5231">
        <v>940120</v>
      </c>
      <c r="D5231" t="s">
        <v>176</v>
      </c>
      <c r="E5231">
        <v>114458</v>
      </c>
      <c r="F5231">
        <v>70</v>
      </c>
      <c r="G5231">
        <v>5987</v>
      </c>
      <c r="H5231">
        <f>_xlfn.XLOOKUP(FACT_IMPORTS[[#This Row],[hts_6]],DIM_PRODUCTS[hts_6],DIM_PRODUCTS[hts_4],,,)</f>
        <v>9401</v>
      </c>
      <c r="I5231" t="str" cm="1">
        <f t="array" ref="I5231">_xlfn.XLOOKUP(FACT_IMPORTS[[#This Row],[country_name]],DIM_COUNTRY[[#All],[Column2]],DIM_COUNTRY[[#All],[Column3]],,,)</f>
        <v>Major_Non-USMCA_Non-China</v>
      </c>
    </row>
    <row r="5232" spans="1:9" x14ac:dyDescent="0.4">
      <c r="A5232" t="s">
        <v>68</v>
      </c>
      <c r="B5232" s="1">
        <v>45200</v>
      </c>
      <c r="C5232">
        <v>392630</v>
      </c>
      <c r="D5232" t="s">
        <v>176</v>
      </c>
      <c r="E5232">
        <v>231183</v>
      </c>
      <c r="F5232">
        <v>12889</v>
      </c>
      <c r="G5232">
        <v>12357</v>
      </c>
      <c r="H5232">
        <f>_xlfn.XLOOKUP(FACT_IMPORTS[[#This Row],[hts_6]],DIM_PRODUCTS[hts_6],DIM_PRODUCTS[hts_4],,,)</f>
        <v>3926</v>
      </c>
      <c r="I5232" t="str" cm="1">
        <f t="array" ref="I5232">_xlfn.XLOOKUP(FACT_IMPORTS[[#This Row],[country_name]],DIM_COUNTRY[[#All],[Column2]],DIM_COUNTRY[[#All],[Column3]],,,)</f>
        <v>Major_Non-USMCA_Non-China</v>
      </c>
    </row>
    <row r="5233" spans="1:9" x14ac:dyDescent="0.4">
      <c r="A5233" t="s">
        <v>68</v>
      </c>
      <c r="B5233" s="1">
        <v>45200</v>
      </c>
      <c r="C5233">
        <v>401110</v>
      </c>
      <c r="D5233" t="s">
        <v>176</v>
      </c>
      <c r="E5233">
        <v>16081</v>
      </c>
      <c r="F5233">
        <v>95</v>
      </c>
      <c r="G5233">
        <v>512</v>
      </c>
      <c r="H5233">
        <f>_xlfn.XLOOKUP(FACT_IMPORTS[[#This Row],[hts_6]],DIM_PRODUCTS[hts_6],DIM_PRODUCTS[hts_4],,,)</f>
        <v>4011</v>
      </c>
      <c r="I5233" t="str" cm="1">
        <f t="array" ref="I5233">_xlfn.XLOOKUP(FACT_IMPORTS[[#This Row],[country_name]],DIM_COUNTRY[[#All],[Column2]],DIM_COUNTRY[[#All],[Column3]],,,)</f>
        <v>Major_Non-USMCA_Non-China</v>
      </c>
    </row>
    <row r="5234" spans="1:9" x14ac:dyDescent="0.4">
      <c r="A5234" t="s">
        <v>68</v>
      </c>
      <c r="B5234" s="1">
        <v>45200</v>
      </c>
      <c r="C5234">
        <v>401120</v>
      </c>
      <c r="D5234" t="s">
        <v>176</v>
      </c>
      <c r="E5234">
        <v>102685</v>
      </c>
      <c r="F5234">
        <v>296</v>
      </c>
      <c r="G5234">
        <v>218</v>
      </c>
      <c r="H5234">
        <f>_xlfn.XLOOKUP(FACT_IMPORTS[[#This Row],[hts_6]],DIM_PRODUCTS[hts_6],DIM_PRODUCTS[hts_4],,,)</f>
        <v>4011</v>
      </c>
      <c r="I5234" t="str" cm="1">
        <f t="array" ref="I5234">_xlfn.XLOOKUP(FACT_IMPORTS[[#This Row],[country_name]],DIM_COUNTRY[[#All],[Column2]],DIM_COUNTRY[[#All],[Column3]],,,)</f>
        <v>Major_Non-USMCA_Non-China</v>
      </c>
    </row>
    <row r="5235" spans="1:9" x14ac:dyDescent="0.4">
      <c r="A5235" t="s">
        <v>68</v>
      </c>
      <c r="B5235" s="1">
        <v>45200</v>
      </c>
      <c r="C5235">
        <v>401140</v>
      </c>
      <c r="D5235" t="s">
        <v>176</v>
      </c>
      <c r="E5235">
        <v>0</v>
      </c>
      <c r="F5235">
        <v>0</v>
      </c>
      <c r="G5235">
        <v>0</v>
      </c>
      <c r="H5235">
        <f>_xlfn.XLOOKUP(FACT_IMPORTS[[#This Row],[hts_6]],DIM_PRODUCTS[hts_6],DIM_PRODUCTS[hts_4],,,)</f>
        <v>4011</v>
      </c>
      <c r="I5235" t="str" cm="1">
        <f t="array" ref="I5235">_xlfn.XLOOKUP(FACT_IMPORTS[[#This Row],[country_name]],DIM_COUNTRY[[#All],[Column2]],DIM_COUNTRY[[#All],[Column3]],,,)</f>
        <v>Major_Non-USMCA_Non-China</v>
      </c>
    </row>
    <row r="5236" spans="1:9" x14ac:dyDescent="0.4">
      <c r="A5236" t="s">
        <v>68</v>
      </c>
      <c r="B5236" s="1">
        <v>45200</v>
      </c>
      <c r="C5236">
        <v>401190</v>
      </c>
      <c r="D5236" t="s">
        <v>176</v>
      </c>
      <c r="E5236">
        <v>0</v>
      </c>
      <c r="F5236">
        <v>0</v>
      </c>
      <c r="G5236">
        <v>0</v>
      </c>
      <c r="H5236">
        <f>_xlfn.XLOOKUP(FACT_IMPORTS[[#This Row],[hts_6]],DIM_PRODUCTS[hts_6],DIM_PRODUCTS[hts_4],,,)</f>
        <v>4011</v>
      </c>
      <c r="I5236" t="str" cm="1">
        <f t="array" ref="I5236">_xlfn.XLOOKUP(FACT_IMPORTS[[#This Row],[country_name]],DIM_COUNTRY[[#All],[Column2]],DIM_COUNTRY[[#All],[Column3]],,,)</f>
        <v>Major_Non-USMCA_Non-China</v>
      </c>
    </row>
    <row r="5237" spans="1:9" x14ac:dyDescent="0.4">
      <c r="A5237" t="s">
        <v>68</v>
      </c>
      <c r="B5237" s="1">
        <v>45200</v>
      </c>
      <c r="C5237">
        <v>700711</v>
      </c>
      <c r="D5237" t="s">
        <v>176</v>
      </c>
      <c r="E5237">
        <v>0</v>
      </c>
      <c r="F5237">
        <v>0</v>
      </c>
      <c r="G5237">
        <v>0</v>
      </c>
      <c r="H5237">
        <f>_xlfn.XLOOKUP(FACT_IMPORTS[[#This Row],[hts_6]],DIM_PRODUCTS[hts_6],DIM_PRODUCTS[hts_4],,,)</f>
        <v>7007</v>
      </c>
      <c r="I5237" t="str" cm="1">
        <f t="array" ref="I5237">_xlfn.XLOOKUP(FACT_IMPORTS[[#This Row],[country_name]],DIM_COUNTRY[[#All],[Column2]],DIM_COUNTRY[[#All],[Column3]],,,)</f>
        <v>Major_Non-USMCA_Non-China</v>
      </c>
    </row>
    <row r="5238" spans="1:9" x14ac:dyDescent="0.4">
      <c r="A5238" t="s">
        <v>68</v>
      </c>
      <c r="B5238" s="1">
        <v>45200</v>
      </c>
      <c r="C5238">
        <v>700721</v>
      </c>
      <c r="D5238" t="s">
        <v>176</v>
      </c>
      <c r="E5238">
        <v>0</v>
      </c>
      <c r="F5238">
        <v>0</v>
      </c>
      <c r="G5238">
        <v>0</v>
      </c>
      <c r="H5238">
        <f>_xlfn.XLOOKUP(FACT_IMPORTS[[#This Row],[hts_6]],DIM_PRODUCTS[hts_6],DIM_PRODUCTS[hts_4],,,)</f>
        <v>7007</v>
      </c>
      <c r="I5238" t="str" cm="1">
        <f t="array" ref="I5238">_xlfn.XLOOKUP(FACT_IMPORTS[[#This Row],[country_name]],DIM_COUNTRY[[#All],[Column2]],DIM_COUNTRY[[#All],[Column3]],,,)</f>
        <v>Major_Non-USMCA_Non-China</v>
      </c>
    </row>
    <row r="5239" spans="1:9" x14ac:dyDescent="0.4">
      <c r="A5239" t="s">
        <v>68</v>
      </c>
      <c r="B5239" s="1">
        <v>45200</v>
      </c>
      <c r="C5239">
        <v>732010</v>
      </c>
      <c r="D5239" t="s">
        <v>176</v>
      </c>
      <c r="E5239">
        <v>33806</v>
      </c>
      <c r="F5239">
        <v>12823</v>
      </c>
      <c r="G5239">
        <v>1026</v>
      </c>
      <c r="H5239">
        <f>_xlfn.XLOOKUP(FACT_IMPORTS[[#This Row],[hts_6]],DIM_PRODUCTS[hts_6],DIM_PRODUCTS[hts_4],,,)</f>
        <v>7320</v>
      </c>
      <c r="I5239" t="str" cm="1">
        <f t="array" ref="I5239">_xlfn.XLOOKUP(FACT_IMPORTS[[#This Row],[country_name]],DIM_COUNTRY[[#All],[Column2]],DIM_COUNTRY[[#All],[Column3]],,,)</f>
        <v>Major_Non-USMCA_Non-China</v>
      </c>
    </row>
    <row r="5240" spans="1:9" x14ac:dyDescent="0.4">
      <c r="A5240" t="s">
        <v>68</v>
      </c>
      <c r="B5240" s="1">
        <v>45200</v>
      </c>
      <c r="C5240">
        <v>830230</v>
      </c>
      <c r="D5240" t="s">
        <v>176</v>
      </c>
      <c r="E5240">
        <v>320846</v>
      </c>
      <c r="F5240">
        <v>79967</v>
      </c>
      <c r="G5240">
        <v>16831</v>
      </c>
      <c r="H5240">
        <f>_xlfn.XLOOKUP(FACT_IMPORTS[[#This Row],[hts_6]],DIM_PRODUCTS[hts_6],DIM_PRODUCTS[hts_4],,,)</f>
        <v>8302</v>
      </c>
      <c r="I5240" t="str" cm="1">
        <f t="array" ref="I5240">_xlfn.XLOOKUP(FACT_IMPORTS[[#This Row],[country_name]],DIM_COUNTRY[[#All],[Column2]],DIM_COUNTRY[[#All],[Column3]],,,)</f>
        <v>Major_Non-USMCA_Non-China</v>
      </c>
    </row>
    <row r="5241" spans="1:9" x14ac:dyDescent="0.4">
      <c r="A5241" t="s">
        <v>68</v>
      </c>
      <c r="B5241" s="1">
        <v>45200</v>
      </c>
      <c r="C5241">
        <v>840731</v>
      </c>
      <c r="D5241" t="s">
        <v>176</v>
      </c>
      <c r="E5241">
        <v>0</v>
      </c>
      <c r="F5241">
        <v>0</v>
      </c>
      <c r="G5241">
        <v>0</v>
      </c>
      <c r="H5241">
        <f>_xlfn.XLOOKUP(FACT_IMPORTS[[#This Row],[hts_6]],DIM_PRODUCTS[hts_6],DIM_PRODUCTS[hts_4],,,)</f>
        <v>8407</v>
      </c>
      <c r="I5241" t="str" cm="1">
        <f t="array" ref="I5241">_xlfn.XLOOKUP(FACT_IMPORTS[[#This Row],[country_name]],DIM_COUNTRY[[#All],[Column2]],DIM_COUNTRY[[#All],[Column3]],,,)</f>
        <v>Major_Non-USMCA_Non-China</v>
      </c>
    </row>
    <row r="5242" spans="1:9" x14ac:dyDescent="0.4">
      <c r="A5242" t="s">
        <v>68</v>
      </c>
      <c r="B5242" s="1">
        <v>45200</v>
      </c>
      <c r="C5242">
        <v>840733</v>
      </c>
      <c r="D5242" t="s">
        <v>176</v>
      </c>
      <c r="E5242">
        <v>0</v>
      </c>
      <c r="F5242">
        <v>0</v>
      </c>
      <c r="G5242">
        <v>0</v>
      </c>
      <c r="H5242">
        <f>_xlfn.XLOOKUP(FACT_IMPORTS[[#This Row],[hts_6]],DIM_PRODUCTS[hts_6],DIM_PRODUCTS[hts_4],,,)</f>
        <v>8407</v>
      </c>
      <c r="I5242" t="str" cm="1">
        <f t="array" ref="I5242">_xlfn.XLOOKUP(FACT_IMPORTS[[#This Row],[country_name]],DIM_COUNTRY[[#All],[Column2]],DIM_COUNTRY[[#All],[Column3]],,,)</f>
        <v>Major_Non-USMCA_Non-China</v>
      </c>
    </row>
    <row r="5243" spans="1:9" x14ac:dyDescent="0.4">
      <c r="A5243" t="s">
        <v>68</v>
      </c>
      <c r="B5243" s="1">
        <v>45200</v>
      </c>
      <c r="C5243">
        <v>840734</v>
      </c>
      <c r="D5243" t="s">
        <v>176</v>
      </c>
      <c r="E5243">
        <v>0</v>
      </c>
      <c r="F5243">
        <v>0</v>
      </c>
      <c r="G5243">
        <v>0</v>
      </c>
      <c r="H5243">
        <f>_xlfn.XLOOKUP(FACT_IMPORTS[[#This Row],[hts_6]],DIM_PRODUCTS[hts_6],DIM_PRODUCTS[hts_4],,,)</f>
        <v>8407</v>
      </c>
      <c r="I5243" t="str" cm="1">
        <f t="array" ref="I5243">_xlfn.XLOOKUP(FACT_IMPORTS[[#This Row],[country_name]],DIM_COUNTRY[[#All],[Column2]],DIM_COUNTRY[[#All],[Column3]],,,)</f>
        <v>Major_Non-USMCA_Non-China</v>
      </c>
    </row>
    <row r="5244" spans="1:9" x14ac:dyDescent="0.4">
      <c r="A5244" t="s">
        <v>68</v>
      </c>
      <c r="B5244" s="1">
        <v>45200</v>
      </c>
      <c r="C5244">
        <v>840790</v>
      </c>
      <c r="D5244" t="s">
        <v>176</v>
      </c>
      <c r="E5244">
        <v>6584</v>
      </c>
      <c r="F5244">
        <v>2</v>
      </c>
      <c r="G5244">
        <v>17</v>
      </c>
      <c r="H5244">
        <f>_xlfn.XLOOKUP(FACT_IMPORTS[[#This Row],[hts_6]],DIM_PRODUCTS[hts_6],DIM_PRODUCTS[hts_4],,,)</f>
        <v>8407</v>
      </c>
      <c r="I5244" t="str" cm="1">
        <f t="array" ref="I5244">_xlfn.XLOOKUP(FACT_IMPORTS[[#This Row],[country_name]],DIM_COUNTRY[[#All],[Column2]],DIM_COUNTRY[[#All],[Column3]],,,)</f>
        <v>Major_Non-USMCA_Non-China</v>
      </c>
    </row>
    <row r="5245" spans="1:9" x14ac:dyDescent="0.4">
      <c r="A5245" t="s">
        <v>68</v>
      </c>
      <c r="B5245" s="1">
        <v>45200</v>
      </c>
      <c r="C5245">
        <v>840820</v>
      </c>
      <c r="D5245" t="s">
        <v>176</v>
      </c>
      <c r="E5245">
        <v>0</v>
      </c>
      <c r="F5245">
        <v>0</v>
      </c>
      <c r="G5245">
        <v>0</v>
      </c>
      <c r="H5245">
        <f>_xlfn.XLOOKUP(FACT_IMPORTS[[#This Row],[hts_6]],DIM_PRODUCTS[hts_6],DIM_PRODUCTS[hts_4],,,)</f>
        <v>8408</v>
      </c>
      <c r="I5245" t="str" cm="1">
        <f t="array" ref="I5245">_xlfn.XLOOKUP(FACT_IMPORTS[[#This Row],[country_name]],DIM_COUNTRY[[#All],[Column2]],DIM_COUNTRY[[#All],[Column3]],,,)</f>
        <v>Major_Non-USMCA_Non-China</v>
      </c>
    </row>
    <row r="5246" spans="1:9" x14ac:dyDescent="0.4">
      <c r="A5246" t="s">
        <v>68</v>
      </c>
      <c r="B5246" s="1">
        <v>45200</v>
      </c>
      <c r="C5246">
        <v>840890</v>
      </c>
      <c r="D5246" t="s">
        <v>176</v>
      </c>
      <c r="E5246">
        <v>515053</v>
      </c>
      <c r="F5246">
        <v>19</v>
      </c>
      <c r="G5246">
        <v>8579</v>
      </c>
      <c r="H5246">
        <f>_xlfn.XLOOKUP(FACT_IMPORTS[[#This Row],[hts_6]],DIM_PRODUCTS[hts_6],DIM_PRODUCTS[hts_4],,,)</f>
        <v>8408</v>
      </c>
      <c r="I5246" t="str" cm="1">
        <f t="array" ref="I5246">_xlfn.XLOOKUP(FACT_IMPORTS[[#This Row],[country_name]],DIM_COUNTRY[[#All],[Column2]],DIM_COUNTRY[[#All],[Column3]],,,)</f>
        <v>Major_Non-USMCA_Non-China</v>
      </c>
    </row>
    <row r="5247" spans="1:9" x14ac:dyDescent="0.4">
      <c r="A5247" t="s">
        <v>68</v>
      </c>
      <c r="B5247" s="1">
        <v>45200</v>
      </c>
      <c r="C5247">
        <v>840991</v>
      </c>
      <c r="D5247" t="s">
        <v>176</v>
      </c>
      <c r="E5247">
        <v>1033875</v>
      </c>
      <c r="F5247">
        <v>62287</v>
      </c>
      <c r="G5247">
        <v>28378</v>
      </c>
      <c r="H5247">
        <f>_xlfn.XLOOKUP(FACT_IMPORTS[[#This Row],[hts_6]],DIM_PRODUCTS[hts_6],DIM_PRODUCTS[hts_4],,,)</f>
        <v>8409</v>
      </c>
      <c r="I5247" t="str" cm="1">
        <f t="array" ref="I5247">_xlfn.XLOOKUP(FACT_IMPORTS[[#This Row],[country_name]],DIM_COUNTRY[[#All],[Column2]],DIM_COUNTRY[[#All],[Column3]],,,)</f>
        <v>Major_Non-USMCA_Non-China</v>
      </c>
    </row>
    <row r="5248" spans="1:9" x14ac:dyDescent="0.4">
      <c r="A5248" t="s">
        <v>68</v>
      </c>
      <c r="B5248" s="1">
        <v>45200</v>
      </c>
      <c r="C5248">
        <v>840999</v>
      </c>
      <c r="D5248" t="s">
        <v>176</v>
      </c>
      <c r="E5248">
        <v>22875521</v>
      </c>
      <c r="F5248">
        <v>2979317</v>
      </c>
      <c r="G5248">
        <v>489692</v>
      </c>
      <c r="H5248">
        <f>_xlfn.XLOOKUP(FACT_IMPORTS[[#This Row],[hts_6]],DIM_PRODUCTS[hts_6],DIM_PRODUCTS[hts_4],,,)</f>
        <v>8409</v>
      </c>
      <c r="I5248" t="str" cm="1">
        <f t="array" ref="I5248">_xlfn.XLOOKUP(FACT_IMPORTS[[#This Row],[country_name]],DIM_COUNTRY[[#All],[Column2]],DIM_COUNTRY[[#All],[Column3]],,,)</f>
        <v>Major_Non-USMCA_Non-China</v>
      </c>
    </row>
    <row r="5249" spans="1:9" x14ac:dyDescent="0.4">
      <c r="A5249" t="s">
        <v>68</v>
      </c>
      <c r="B5249" s="1">
        <v>45200</v>
      </c>
      <c r="C5249">
        <v>841330</v>
      </c>
      <c r="D5249" t="s">
        <v>176</v>
      </c>
      <c r="E5249">
        <v>2627292</v>
      </c>
      <c r="F5249">
        <v>21480</v>
      </c>
      <c r="G5249">
        <v>33074</v>
      </c>
      <c r="H5249">
        <f>_xlfn.XLOOKUP(FACT_IMPORTS[[#This Row],[hts_6]],DIM_PRODUCTS[hts_6],DIM_PRODUCTS[hts_4],,,)</f>
        <v>8413</v>
      </c>
      <c r="I5249" t="str" cm="1">
        <f t="array" ref="I5249">_xlfn.XLOOKUP(FACT_IMPORTS[[#This Row],[country_name]],DIM_COUNTRY[[#All],[Column2]],DIM_COUNTRY[[#All],[Column3]],,,)</f>
        <v>Major_Non-USMCA_Non-China</v>
      </c>
    </row>
    <row r="5250" spans="1:9" x14ac:dyDescent="0.4">
      <c r="A5250" t="s">
        <v>68</v>
      </c>
      <c r="B5250" s="1">
        <v>45200</v>
      </c>
      <c r="C5250">
        <v>841520</v>
      </c>
      <c r="D5250" t="s">
        <v>176</v>
      </c>
      <c r="E5250">
        <v>0</v>
      </c>
      <c r="F5250">
        <v>0</v>
      </c>
      <c r="G5250">
        <v>0</v>
      </c>
      <c r="H5250">
        <f>_xlfn.XLOOKUP(FACT_IMPORTS[[#This Row],[hts_6]],DIM_PRODUCTS[hts_6],DIM_PRODUCTS[hts_4],,,)</f>
        <v>8415</v>
      </c>
      <c r="I5250" t="str" cm="1">
        <f t="array" ref="I5250">_xlfn.XLOOKUP(FACT_IMPORTS[[#This Row],[country_name]],DIM_COUNTRY[[#All],[Column2]],DIM_COUNTRY[[#All],[Column3]],,,)</f>
        <v>Major_Non-USMCA_Non-China</v>
      </c>
    </row>
    <row r="5251" spans="1:9" x14ac:dyDescent="0.4">
      <c r="A5251" t="s">
        <v>68</v>
      </c>
      <c r="B5251" s="1">
        <v>45200</v>
      </c>
      <c r="C5251">
        <v>842132</v>
      </c>
      <c r="D5251" t="s">
        <v>176</v>
      </c>
      <c r="E5251">
        <v>209523</v>
      </c>
      <c r="F5251">
        <v>314</v>
      </c>
      <c r="G5251">
        <v>6005</v>
      </c>
      <c r="H5251">
        <f>_xlfn.XLOOKUP(FACT_IMPORTS[[#This Row],[hts_6]],DIM_PRODUCTS[hts_6],DIM_PRODUCTS[hts_4],,,)</f>
        <v>8421</v>
      </c>
      <c r="I5251" t="str" cm="1">
        <f t="array" ref="I5251">_xlfn.XLOOKUP(FACT_IMPORTS[[#This Row],[country_name]],DIM_COUNTRY[[#All],[Column2]],DIM_COUNTRY[[#All],[Column3]],,,)</f>
        <v>Major_Non-USMCA_Non-China</v>
      </c>
    </row>
    <row r="5252" spans="1:9" x14ac:dyDescent="0.4">
      <c r="A5252" t="s">
        <v>68</v>
      </c>
      <c r="B5252" s="1">
        <v>45200</v>
      </c>
      <c r="C5252">
        <v>848210</v>
      </c>
      <c r="D5252" t="s">
        <v>176</v>
      </c>
      <c r="E5252">
        <v>239584</v>
      </c>
      <c r="F5252">
        <v>669</v>
      </c>
      <c r="G5252">
        <v>9251</v>
      </c>
      <c r="H5252">
        <f>_xlfn.XLOOKUP(FACT_IMPORTS[[#This Row],[hts_6]],DIM_PRODUCTS[hts_6],DIM_PRODUCTS[hts_4],,,)</f>
        <v>8482</v>
      </c>
      <c r="I5252" t="str" cm="1">
        <f t="array" ref="I5252">_xlfn.XLOOKUP(FACT_IMPORTS[[#This Row],[country_name]],DIM_COUNTRY[[#All],[Column2]],DIM_COUNTRY[[#All],[Column3]],,,)</f>
        <v>Major_Non-USMCA_Non-China</v>
      </c>
    </row>
    <row r="5253" spans="1:9" x14ac:dyDescent="0.4">
      <c r="A5253" t="s">
        <v>68</v>
      </c>
      <c r="B5253" s="1">
        <v>45200</v>
      </c>
      <c r="C5253">
        <v>848220</v>
      </c>
      <c r="D5253" t="s">
        <v>176</v>
      </c>
      <c r="E5253">
        <v>28606</v>
      </c>
      <c r="F5253">
        <v>45</v>
      </c>
      <c r="G5253">
        <v>930</v>
      </c>
      <c r="H5253">
        <f>_xlfn.XLOOKUP(FACT_IMPORTS[[#This Row],[hts_6]],DIM_PRODUCTS[hts_6],DIM_PRODUCTS[hts_4],,,)</f>
        <v>8482</v>
      </c>
      <c r="I5253" t="str" cm="1">
        <f t="array" ref="I5253">_xlfn.XLOOKUP(FACT_IMPORTS[[#This Row],[country_name]],DIM_COUNTRY[[#All],[Column2]],DIM_COUNTRY[[#All],[Column3]],,,)</f>
        <v>Major_Non-USMCA_Non-China</v>
      </c>
    </row>
    <row r="5254" spans="1:9" x14ac:dyDescent="0.4">
      <c r="A5254" t="s">
        <v>68</v>
      </c>
      <c r="B5254" s="1">
        <v>45200</v>
      </c>
      <c r="C5254">
        <v>848310</v>
      </c>
      <c r="D5254" t="s">
        <v>176</v>
      </c>
      <c r="E5254">
        <v>4111058</v>
      </c>
      <c r="F5254">
        <v>22785</v>
      </c>
      <c r="G5254">
        <v>48727</v>
      </c>
      <c r="H5254">
        <f>_xlfn.XLOOKUP(FACT_IMPORTS[[#This Row],[hts_6]],DIM_PRODUCTS[hts_6],DIM_PRODUCTS[hts_4],,,)</f>
        <v>8483</v>
      </c>
      <c r="I5254" t="str" cm="1">
        <f t="array" ref="I5254">_xlfn.XLOOKUP(FACT_IMPORTS[[#This Row],[country_name]],DIM_COUNTRY[[#All],[Column2]],DIM_COUNTRY[[#All],[Column3]],,,)</f>
        <v>Major_Non-USMCA_Non-China</v>
      </c>
    </row>
    <row r="5255" spans="1:9" x14ac:dyDescent="0.4">
      <c r="A5255" t="s">
        <v>68</v>
      </c>
      <c r="B5255" s="1">
        <v>45200</v>
      </c>
      <c r="C5255">
        <v>850131</v>
      </c>
      <c r="D5255" t="s">
        <v>176</v>
      </c>
      <c r="E5255">
        <v>109767</v>
      </c>
      <c r="F5255">
        <v>207</v>
      </c>
      <c r="G5255">
        <v>1940</v>
      </c>
      <c r="H5255">
        <f>_xlfn.XLOOKUP(FACT_IMPORTS[[#This Row],[hts_6]],DIM_PRODUCTS[hts_6],DIM_PRODUCTS[hts_4],,,)</f>
        <v>8501</v>
      </c>
      <c r="I5255" t="str" cm="1">
        <f t="array" ref="I5255">_xlfn.XLOOKUP(FACT_IMPORTS[[#This Row],[country_name]],DIM_COUNTRY[[#All],[Column2]],DIM_COUNTRY[[#All],[Column3]],,,)</f>
        <v>Major_Non-USMCA_Non-China</v>
      </c>
    </row>
    <row r="5256" spans="1:9" x14ac:dyDescent="0.4">
      <c r="A5256" t="s">
        <v>68</v>
      </c>
      <c r="B5256" s="1">
        <v>45200</v>
      </c>
      <c r="C5256">
        <v>850132</v>
      </c>
      <c r="D5256" t="s">
        <v>176</v>
      </c>
      <c r="E5256">
        <v>88467</v>
      </c>
      <c r="F5256">
        <v>12</v>
      </c>
      <c r="G5256">
        <v>493</v>
      </c>
      <c r="H5256">
        <f>_xlfn.XLOOKUP(FACT_IMPORTS[[#This Row],[hts_6]],DIM_PRODUCTS[hts_6],DIM_PRODUCTS[hts_4],,,)</f>
        <v>8501</v>
      </c>
      <c r="I5256" t="str" cm="1">
        <f t="array" ref="I5256">_xlfn.XLOOKUP(FACT_IMPORTS[[#This Row],[country_name]],DIM_COUNTRY[[#All],[Column2]],DIM_COUNTRY[[#All],[Column3]],,,)</f>
        <v>Major_Non-USMCA_Non-China</v>
      </c>
    </row>
    <row r="5257" spans="1:9" x14ac:dyDescent="0.4">
      <c r="A5257" t="s">
        <v>68</v>
      </c>
      <c r="B5257" s="1">
        <v>45200</v>
      </c>
      <c r="C5257">
        <v>850133</v>
      </c>
      <c r="D5257" t="s">
        <v>176</v>
      </c>
      <c r="E5257">
        <v>0</v>
      </c>
      <c r="F5257">
        <v>0</v>
      </c>
      <c r="G5257">
        <v>0</v>
      </c>
      <c r="H5257">
        <f>_xlfn.XLOOKUP(FACT_IMPORTS[[#This Row],[hts_6]],DIM_PRODUCTS[hts_6],DIM_PRODUCTS[hts_4],,,)</f>
        <v>8501</v>
      </c>
      <c r="I5257" t="str" cm="1">
        <f t="array" ref="I5257">_xlfn.XLOOKUP(FACT_IMPORTS[[#This Row],[country_name]],DIM_COUNTRY[[#All],[Column2]],DIM_COUNTRY[[#All],[Column3]],,,)</f>
        <v>Major_Non-USMCA_Non-China</v>
      </c>
    </row>
    <row r="5258" spans="1:9" x14ac:dyDescent="0.4">
      <c r="A5258" t="s">
        <v>68</v>
      </c>
      <c r="B5258" s="1">
        <v>45200</v>
      </c>
      <c r="C5258">
        <v>850134</v>
      </c>
      <c r="D5258" t="s">
        <v>176</v>
      </c>
      <c r="E5258">
        <v>0</v>
      </c>
      <c r="F5258">
        <v>0</v>
      </c>
      <c r="G5258">
        <v>0</v>
      </c>
      <c r="H5258">
        <f>_xlfn.XLOOKUP(FACT_IMPORTS[[#This Row],[hts_6]],DIM_PRODUCTS[hts_6],DIM_PRODUCTS[hts_4],,,)</f>
        <v>8501</v>
      </c>
      <c r="I5258" t="str" cm="1">
        <f t="array" ref="I5258">_xlfn.XLOOKUP(FACT_IMPORTS[[#This Row],[country_name]],DIM_COUNTRY[[#All],[Column2]],DIM_COUNTRY[[#All],[Column3]],,,)</f>
        <v>Major_Non-USMCA_Non-China</v>
      </c>
    </row>
    <row r="5259" spans="1:9" x14ac:dyDescent="0.4">
      <c r="A5259" t="s">
        <v>68</v>
      </c>
      <c r="B5259" s="1">
        <v>45200</v>
      </c>
      <c r="C5259">
        <v>850152</v>
      </c>
      <c r="D5259" t="s">
        <v>176</v>
      </c>
      <c r="E5259">
        <v>683323</v>
      </c>
      <c r="F5259">
        <v>400</v>
      </c>
      <c r="G5259">
        <v>21412</v>
      </c>
      <c r="H5259">
        <f>_xlfn.XLOOKUP(FACT_IMPORTS[[#This Row],[hts_6]],DIM_PRODUCTS[hts_6],DIM_PRODUCTS[hts_4],,,)</f>
        <v>8501</v>
      </c>
      <c r="I5259" t="str" cm="1">
        <f t="array" ref="I5259">_xlfn.XLOOKUP(FACT_IMPORTS[[#This Row],[country_name]],DIM_COUNTRY[[#All],[Column2]],DIM_COUNTRY[[#All],[Column3]],,,)</f>
        <v>Major_Non-USMCA_Non-China</v>
      </c>
    </row>
    <row r="5260" spans="1:9" x14ac:dyDescent="0.4">
      <c r="A5260" t="s">
        <v>68</v>
      </c>
      <c r="B5260" s="1">
        <v>45200</v>
      </c>
      <c r="C5260">
        <v>850153</v>
      </c>
      <c r="D5260" t="s">
        <v>176</v>
      </c>
      <c r="E5260">
        <v>19378</v>
      </c>
      <c r="F5260">
        <v>2</v>
      </c>
      <c r="G5260">
        <v>130</v>
      </c>
      <c r="H5260">
        <f>_xlfn.XLOOKUP(FACT_IMPORTS[[#This Row],[hts_6]],DIM_PRODUCTS[hts_6],DIM_PRODUCTS[hts_4],,,)</f>
        <v>8501</v>
      </c>
      <c r="I5260" t="str" cm="1">
        <f t="array" ref="I5260">_xlfn.XLOOKUP(FACT_IMPORTS[[#This Row],[country_name]],DIM_COUNTRY[[#All],[Column2]],DIM_COUNTRY[[#All],[Column3]],,,)</f>
        <v>Major_Non-USMCA_Non-China</v>
      </c>
    </row>
    <row r="5261" spans="1:9" x14ac:dyDescent="0.4">
      <c r="A5261" t="s">
        <v>68</v>
      </c>
      <c r="B5261" s="1">
        <v>45200</v>
      </c>
      <c r="C5261">
        <v>850161</v>
      </c>
      <c r="D5261" t="s">
        <v>176</v>
      </c>
      <c r="E5261">
        <v>22389</v>
      </c>
      <c r="F5261">
        <v>1</v>
      </c>
      <c r="G5261">
        <v>300</v>
      </c>
      <c r="H5261">
        <f>_xlfn.XLOOKUP(FACT_IMPORTS[[#This Row],[hts_6]],DIM_PRODUCTS[hts_6],DIM_PRODUCTS[hts_4],,,)</f>
        <v>8501</v>
      </c>
      <c r="I5261" t="str" cm="1">
        <f t="array" ref="I5261">_xlfn.XLOOKUP(FACT_IMPORTS[[#This Row],[country_name]],DIM_COUNTRY[[#All],[Column2]],DIM_COUNTRY[[#All],[Column3]],,,)</f>
        <v>Major_Non-USMCA_Non-China</v>
      </c>
    </row>
    <row r="5262" spans="1:9" x14ac:dyDescent="0.4">
      <c r="A5262" t="s">
        <v>68</v>
      </c>
      <c r="B5262" s="1">
        <v>45200</v>
      </c>
      <c r="C5262">
        <v>850440</v>
      </c>
      <c r="D5262" t="s">
        <v>176</v>
      </c>
      <c r="E5262">
        <v>1167165</v>
      </c>
      <c r="F5262">
        <v>488</v>
      </c>
      <c r="G5262">
        <v>15457</v>
      </c>
      <c r="H5262">
        <f>_xlfn.XLOOKUP(FACT_IMPORTS[[#This Row],[hts_6]],DIM_PRODUCTS[hts_6],DIM_PRODUCTS[hts_4],,,)</f>
        <v>8504</v>
      </c>
      <c r="I5262" t="str" cm="1">
        <f t="array" ref="I5262">_xlfn.XLOOKUP(FACT_IMPORTS[[#This Row],[country_name]],DIM_COUNTRY[[#All],[Column2]],DIM_COUNTRY[[#All],[Column3]],,,)</f>
        <v>Major_Non-USMCA_Non-China</v>
      </c>
    </row>
    <row r="5263" spans="1:9" x14ac:dyDescent="0.4">
      <c r="A5263" t="s">
        <v>68</v>
      </c>
      <c r="B5263" s="1">
        <v>45200</v>
      </c>
      <c r="C5263">
        <v>850710</v>
      </c>
      <c r="D5263" t="s">
        <v>176</v>
      </c>
      <c r="E5263">
        <v>0</v>
      </c>
      <c r="F5263">
        <v>0</v>
      </c>
      <c r="G5263">
        <v>0</v>
      </c>
      <c r="H5263">
        <f>_xlfn.XLOOKUP(FACT_IMPORTS[[#This Row],[hts_6]],DIM_PRODUCTS[hts_6],DIM_PRODUCTS[hts_4],,,)</f>
        <v>8507</v>
      </c>
      <c r="I5263" t="str" cm="1">
        <f t="array" ref="I5263">_xlfn.XLOOKUP(FACT_IMPORTS[[#This Row],[country_name]],DIM_COUNTRY[[#All],[Column2]],DIM_COUNTRY[[#All],[Column3]],,,)</f>
        <v>Major_Non-USMCA_Non-China</v>
      </c>
    </row>
    <row r="5264" spans="1:9" x14ac:dyDescent="0.4">
      <c r="A5264" t="s">
        <v>68</v>
      </c>
      <c r="B5264" s="1">
        <v>45200</v>
      </c>
      <c r="C5264">
        <v>850760</v>
      </c>
      <c r="D5264" t="s">
        <v>176</v>
      </c>
      <c r="E5264">
        <v>3508947</v>
      </c>
      <c r="F5264">
        <v>1244</v>
      </c>
      <c r="G5264">
        <v>38750</v>
      </c>
      <c r="H5264">
        <f>_xlfn.XLOOKUP(FACT_IMPORTS[[#This Row],[hts_6]],DIM_PRODUCTS[hts_6],DIM_PRODUCTS[hts_4],,,)</f>
        <v>8507</v>
      </c>
      <c r="I5264" t="str" cm="1">
        <f t="array" ref="I5264">_xlfn.XLOOKUP(FACT_IMPORTS[[#This Row],[country_name]],DIM_COUNTRY[[#All],[Column2]],DIM_COUNTRY[[#All],[Column3]],,,)</f>
        <v>Major_Non-USMCA_Non-China</v>
      </c>
    </row>
    <row r="5265" spans="1:9" x14ac:dyDescent="0.4">
      <c r="A5265" t="s">
        <v>68</v>
      </c>
      <c r="B5265" s="1">
        <v>45200</v>
      </c>
      <c r="C5265">
        <v>850790</v>
      </c>
      <c r="D5265" t="s">
        <v>176</v>
      </c>
      <c r="E5265">
        <v>1477902</v>
      </c>
      <c r="F5265">
        <v>146442</v>
      </c>
      <c r="G5265">
        <v>20900</v>
      </c>
      <c r="H5265">
        <f>_xlfn.XLOOKUP(FACT_IMPORTS[[#This Row],[hts_6]],DIM_PRODUCTS[hts_6],DIM_PRODUCTS[hts_4],,,)</f>
        <v>8507</v>
      </c>
      <c r="I5265" t="str" cm="1">
        <f t="array" ref="I5265">_xlfn.XLOOKUP(FACT_IMPORTS[[#This Row],[country_name]],DIM_COUNTRY[[#All],[Column2]],DIM_COUNTRY[[#All],[Column3]],,,)</f>
        <v>Major_Non-USMCA_Non-China</v>
      </c>
    </row>
    <row r="5266" spans="1:9" x14ac:dyDescent="0.4">
      <c r="A5266" t="s">
        <v>68</v>
      </c>
      <c r="B5266" s="1">
        <v>45200</v>
      </c>
      <c r="C5266">
        <v>851110</v>
      </c>
      <c r="D5266" t="s">
        <v>176</v>
      </c>
      <c r="E5266">
        <v>8888</v>
      </c>
      <c r="F5266">
        <v>1</v>
      </c>
      <c r="G5266">
        <v>19</v>
      </c>
      <c r="H5266">
        <f>_xlfn.XLOOKUP(FACT_IMPORTS[[#This Row],[hts_6]],DIM_PRODUCTS[hts_6],DIM_PRODUCTS[hts_4],,,)</f>
        <v>8511</v>
      </c>
      <c r="I5266" t="str" cm="1">
        <f t="array" ref="I5266">_xlfn.XLOOKUP(FACT_IMPORTS[[#This Row],[country_name]],DIM_COUNTRY[[#All],[Column2]],DIM_COUNTRY[[#All],[Column3]],,,)</f>
        <v>Major_Non-USMCA_Non-China</v>
      </c>
    </row>
    <row r="5267" spans="1:9" x14ac:dyDescent="0.4">
      <c r="A5267" t="s">
        <v>68</v>
      </c>
      <c r="B5267" s="1">
        <v>45200</v>
      </c>
      <c r="C5267">
        <v>851120</v>
      </c>
      <c r="D5267" t="s">
        <v>176</v>
      </c>
      <c r="E5267">
        <v>0</v>
      </c>
      <c r="F5267">
        <v>0</v>
      </c>
      <c r="G5267">
        <v>0</v>
      </c>
      <c r="H5267">
        <f>_xlfn.XLOOKUP(FACT_IMPORTS[[#This Row],[hts_6]],DIM_PRODUCTS[hts_6],DIM_PRODUCTS[hts_4],,,)</f>
        <v>8511</v>
      </c>
      <c r="I5267" t="str" cm="1">
        <f t="array" ref="I5267">_xlfn.XLOOKUP(FACT_IMPORTS[[#This Row],[country_name]],DIM_COUNTRY[[#All],[Column2]],DIM_COUNTRY[[#All],[Column3]],,,)</f>
        <v>Major_Non-USMCA_Non-China</v>
      </c>
    </row>
    <row r="5268" spans="1:9" x14ac:dyDescent="0.4">
      <c r="A5268" t="s">
        <v>68</v>
      </c>
      <c r="B5268" s="1">
        <v>45200</v>
      </c>
      <c r="C5268">
        <v>851130</v>
      </c>
      <c r="D5268" t="s">
        <v>176</v>
      </c>
      <c r="E5268">
        <v>0</v>
      </c>
      <c r="F5268">
        <v>0</v>
      </c>
      <c r="G5268">
        <v>0</v>
      </c>
      <c r="H5268">
        <f>_xlfn.XLOOKUP(FACT_IMPORTS[[#This Row],[hts_6]],DIM_PRODUCTS[hts_6],DIM_PRODUCTS[hts_4],,,)</f>
        <v>8511</v>
      </c>
      <c r="I5268" t="str" cm="1">
        <f t="array" ref="I5268">_xlfn.XLOOKUP(FACT_IMPORTS[[#This Row],[country_name]],DIM_COUNTRY[[#All],[Column2]],DIM_COUNTRY[[#All],[Column3]],,,)</f>
        <v>Major_Non-USMCA_Non-China</v>
      </c>
    </row>
    <row r="5269" spans="1:9" x14ac:dyDescent="0.4">
      <c r="A5269" t="s">
        <v>68</v>
      </c>
      <c r="B5269" s="1">
        <v>45200</v>
      </c>
      <c r="C5269">
        <v>851140</v>
      </c>
      <c r="D5269" t="s">
        <v>176</v>
      </c>
      <c r="E5269">
        <v>0</v>
      </c>
      <c r="F5269">
        <v>0</v>
      </c>
      <c r="G5269">
        <v>0</v>
      </c>
      <c r="H5269">
        <f>_xlfn.XLOOKUP(FACT_IMPORTS[[#This Row],[hts_6]],DIM_PRODUCTS[hts_6],DIM_PRODUCTS[hts_4],,,)</f>
        <v>8511</v>
      </c>
      <c r="I5269" t="str" cm="1">
        <f t="array" ref="I5269">_xlfn.XLOOKUP(FACT_IMPORTS[[#This Row],[country_name]],DIM_COUNTRY[[#All],[Column2]],DIM_COUNTRY[[#All],[Column3]],,,)</f>
        <v>Major_Non-USMCA_Non-China</v>
      </c>
    </row>
    <row r="5270" spans="1:9" x14ac:dyDescent="0.4">
      <c r="A5270" t="s">
        <v>68</v>
      </c>
      <c r="B5270" s="1">
        <v>45200</v>
      </c>
      <c r="C5270">
        <v>851150</v>
      </c>
      <c r="D5270" t="s">
        <v>176</v>
      </c>
      <c r="E5270">
        <v>5289</v>
      </c>
      <c r="F5270">
        <v>72</v>
      </c>
      <c r="G5270">
        <v>19</v>
      </c>
      <c r="H5270">
        <f>_xlfn.XLOOKUP(FACT_IMPORTS[[#This Row],[hts_6]],DIM_PRODUCTS[hts_6],DIM_PRODUCTS[hts_4],,,)</f>
        <v>8511</v>
      </c>
      <c r="I5270" t="str" cm="1">
        <f t="array" ref="I5270">_xlfn.XLOOKUP(FACT_IMPORTS[[#This Row],[country_name]],DIM_COUNTRY[[#All],[Column2]],DIM_COUNTRY[[#All],[Column3]],,,)</f>
        <v>Major_Non-USMCA_Non-China</v>
      </c>
    </row>
    <row r="5271" spans="1:9" x14ac:dyDescent="0.4">
      <c r="A5271" t="s">
        <v>68</v>
      </c>
      <c r="B5271" s="1">
        <v>45200</v>
      </c>
      <c r="C5271">
        <v>851180</v>
      </c>
      <c r="D5271" t="s">
        <v>176</v>
      </c>
      <c r="E5271">
        <v>343887</v>
      </c>
      <c r="F5271">
        <v>19731</v>
      </c>
      <c r="G5271">
        <v>11634</v>
      </c>
      <c r="H5271">
        <f>_xlfn.XLOOKUP(FACT_IMPORTS[[#This Row],[hts_6]],DIM_PRODUCTS[hts_6],DIM_PRODUCTS[hts_4],,,)</f>
        <v>8511</v>
      </c>
      <c r="I5271" t="str" cm="1">
        <f t="array" ref="I5271">_xlfn.XLOOKUP(FACT_IMPORTS[[#This Row],[country_name]],DIM_COUNTRY[[#All],[Column2]],DIM_COUNTRY[[#All],[Column3]],,,)</f>
        <v>Major_Non-USMCA_Non-China</v>
      </c>
    </row>
    <row r="5272" spans="1:9" x14ac:dyDescent="0.4">
      <c r="A5272" t="s">
        <v>68</v>
      </c>
      <c r="B5272" s="1">
        <v>45200</v>
      </c>
      <c r="C5272">
        <v>851190</v>
      </c>
      <c r="D5272" t="s">
        <v>176</v>
      </c>
      <c r="E5272">
        <v>11286</v>
      </c>
      <c r="F5272">
        <v>273</v>
      </c>
      <c r="G5272">
        <v>36</v>
      </c>
      <c r="H5272">
        <f>_xlfn.XLOOKUP(FACT_IMPORTS[[#This Row],[hts_6]],DIM_PRODUCTS[hts_6],DIM_PRODUCTS[hts_4],,,)</f>
        <v>8511</v>
      </c>
      <c r="I5272" t="str" cm="1">
        <f t="array" ref="I5272">_xlfn.XLOOKUP(FACT_IMPORTS[[#This Row],[country_name]],DIM_COUNTRY[[#All],[Column2]],DIM_COUNTRY[[#All],[Column3]],,,)</f>
        <v>Major_Non-USMCA_Non-China</v>
      </c>
    </row>
    <row r="5273" spans="1:9" x14ac:dyDescent="0.4">
      <c r="A5273" t="s">
        <v>68</v>
      </c>
      <c r="B5273" s="1">
        <v>45200</v>
      </c>
      <c r="C5273">
        <v>851220</v>
      </c>
      <c r="D5273" t="s">
        <v>176</v>
      </c>
      <c r="E5273">
        <v>63299</v>
      </c>
      <c r="F5273">
        <v>14558</v>
      </c>
      <c r="G5273">
        <v>608</v>
      </c>
      <c r="H5273">
        <f>_xlfn.XLOOKUP(FACT_IMPORTS[[#This Row],[hts_6]],DIM_PRODUCTS[hts_6],DIM_PRODUCTS[hts_4],,,)</f>
        <v>8512</v>
      </c>
      <c r="I5273" t="str" cm="1">
        <f t="array" ref="I5273">_xlfn.XLOOKUP(FACT_IMPORTS[[#This Row],[country_name]],DIM_COUNTRY[[#All],[Column2]],DIM_COUNTRY[[#All],[Column3]],,,)</f>
        <v>Major_Non-USMCA_Non-China</v>
      </c>
    </row>
    <row r="5274" spans="1:9" x14ac:dyDescent="0.4">
      <c r="A5274" t="s">
        <v>68</v>
      </c>
      <c r="B5274" s="1">
        <v>45200</v>
      </c>
      <c r="C5274">
        <v>851230</v>
      </c>
      <c r="D5274" t="s">
        <v>176</v>
      </c>
      <c r="E5274">
        <v>5302</v>
      </c>
      <c r="F5274">
        <v>26</v>
      </c>
      <c r="G5274">
        <v>19</v>
      </c>
      <c r="H5274">
        <f>_xlfn.XLOOKUP(FACT_IMPORTS[[#This Row],[hts_6]],DIM_PRODUCTS[hts_6],DIM_PRODUCTS[hts_4],,,)</f>
        <v>8512</v>
      </c>
      <c r="I5274" t="str" cm="1">
        <f t="array" ref="I5274">_xlfn.XLOOKUP(FACT_IMPORTS[[#This Row],[country_name]],DIM_COUNTRY[[#All],[Column2]],DIM_COUNTRY[[#All],[Column3]],,,)</f>
        <v>Major_Non-USMCA_Non-China</v>
      </c>
    </row>
    <row r="5275" spans="1:9" x14ac:dyDescent="0.4">
      <c r="A5275" t="s">
        <v>68</v>
      </c>
      <c r="B5275" s="1">
        <v>45200</v>
      </c>
      <c r="C5275">
        <v>851290</v>
      </c>
      <c r="D5275" t="s">
        <v>176</v>
      </c>
      <c r="E5275">
        <v>0</v>
      </c>
      <c r="F5275">
        <v>0</v>
      </c>
      <c r="G5275">
        <v>0</v>
      </c>
      <c r="H5275">
        <f>_xlfn.XLOOKUP(FACT_IMPORTS[[#This Row],[hts_6]],DIM_PRODUCTS[hts_6],DIM_PRODUCTS[hts_4],,,)</f>
        <v>8512</v>
      </c>
      <c r="I5275" t="str" cm="1">
        <f t="array" ref="I5275">_xlfn.XLOOKUP(FACT_IMPORTS[[#This Row],[country_name]],DIM_COUNTRY[[#All],[Column2]],DIM_COUNTRY[[#All],[Column3]],,,)</f>
        <v>Major_Non-USMCA_Non-China</v>
      </c>
    </row>
    <row r="5276" spans="1:9" x14ac:dyDescent="0.4">
      <c r="A5276" t="s">
        <v>68</v>
      </c>
      <c r="B5276" s="1">
        <v>45200</v>
      </c>
      <c r="C5276">
        <v>854231</v>
      </c>
      <c r="D5276" t="s">
        <v>176</v>
      </c>
      <c r="E5276">
        <v>62412</v>
      </c>
      <c r="F5276">
        <v>68</v>
      </c>
      <c r="G5276">
        <v>1299</v>
      </c>
      <c r="H5276">
        <f>_xlfn.XLOOKUP(FACT_IMPORTS[[#This Row],[hts_6]],DIM_PRODUCTS[hts_6],DIM_PRODUCTS[hts_4],,,)</f>
        <v>8542</v>
      </c>
      <c r="I5276" t="str" cm="1">
        <f t="array" ref="I5276">_xlfn.XLOOKUP(FACT_IMPORTS[[#This Row],[country_name]],DIM_COUNTRY[[#All],[Column2]],DIM_COUNTRY[[#All],[Column3]],,,)</f>
        <v>Major_Non-USMCA_Non-China</v>
      </c>
    </row>
    <row r="5277" spans="1:9" x14ac:dyDescent="0.4">
      <c r="A5277" t="s">
        <v>68</v>
      </c>
      <c r="B5277" s="1">
        <v>45200</v>
      </c>
      <c r="C5277">
        <v>854232</v>
      </c>
      <c r="D5277" t="s">
        <v>176</v>
      </c>
      <c r="E5277">
        <v>2194</v>
      </c>
      <c r="F5277">
        <v>3</v>
      </c>
      <c r="G5277">
        <v>44</v>
      </c>
      <c r="H5277">
        <f>_xlfn.XLOOKUP(FACT_IMPORTS[[#This Row],[hts_6]],DIM_PRODUCTS[hts_6],DIM_PRODUCTS[hts_4],,,)</f>
        <v>8542</v>
      </c>
      <c r="I5277" t="str" cm="1">
        <f t="array" ref="I5277">_xlfn.XLOOKUP(FACT_IMPORTS[[#This Row],[country_name]],DIM_COUNTRY[[#All],[Column2]],DIM_COUNTRY[[#All],[Column3]],,,)</f>
        <v>Major_Non-USMCA_Non-China</v>
      </c>
    </row>
    <row r="5278" spans="1:9" x14ac:dyDescent="0.4">
      <c r="A5278" t="s">
        <v>68</v>
      </c>
      <c r="B5278" s="1">
        <v>45200</v>
      </c>
      <c r="C5278">
        <v>854233</v>
      </c>
      <c r="D5278" t="s">
        <v>176</v>
      </c>
      <c r="E5278">
        <v>0</v>
      </c>
      <c r="F5278">
        <v>0</v>
      </c>
      <c r="G5278">
        <v>0</v>
      </c>
      <c r="H5278">
        <f>_xlfn.XLOOKUP(FACT_IMPORTS[[#This Row],[hts_6]],DIM_PRODUCTS[hts_6],DIM_PRODUCTS[hts_4],,,)</f>
        <v>8542</v>
      </c>
      <c r="I5278" t="str" cm="1">
        <f t="array" ref="I5278">_xlfn.XLOOKUP(FACT_IMPORTS[[#This Row],[country_name]],DIM_COUNTRY[[#All],[Column2]],DIM_COUNTRY[[#All],[Column3]],,,)</f>
        <v>Major_Non-USMCA_Non-China</v>
      </c>
    </row>
    <row r="5279" spans="1:9" x14ac:dyDescent="0.4">
      <c r="A5279" t="s">
        <v>68</v>
      </c>
      <c r="B5279" s="1">
        <v>45200</v>
      </c>
      <c r="C5279">
        <v>854239</v>
      </c>
      <c r="D5279" t="s">
        <v>176</v>
      </c>
      <c r="E5279">
        <v>2490</v>
      </c>
      <c r="F5279">
        <v>670</v>
      </c>
      <c r="G5279">
        <v>27</v>
      </c>
      <c r="H5279">
        <f>_xlfn.XLOOKUP(FACT_IMPORTS[[#This Row],[hts_6]],DIM_PRODUCTS[hts_6],DIM_PRODUCTS[hts_4],,,)</f>
        <v>8542</v>
      </c>
      <c r="I5279" t="str" cm="1">
        <f t="array" ref="I5279">_xlfn.XLOOKUP(FACT_IMPORTS[[#This Row],[country_name]],DIM_COUNTRY[[#All],[Column2]],DIM_COUNTRY[[#All],[Column3]],,,)</f>
        <v>Major_Non-USMCA_Non-China</v>
      </c>
    </row>
    <row r="5280" spans="1:9" x14ac:dyDescent="0.4">
      <c r="A5280" t="s">
        <v>68</v>
      </c>
      <c r="B5280" s="1">
        <v>45200</v>
      </c>
      <c r="C5280">
        <v>854290</v>
      </c>
      <c r="D5280" t="s">
        <v>176</v>
      </c>
      <c r="E5280">
        <v>3921</v>
      </c>
      <c r="F5280">
        <v>5</v>
      </c>
      <c r="G5280">
        <v>65</v>
      </c>
      <c r="H5280">
        <f>_xlfn.XLOOKUP(FACT_IMPORTS[[#This Row],[hts_6]],DIM_PRODUCTS[hts_6],DIM_PRODUCTS[hts_4],,,)</f>
        <v>8542</v>
      </c>
      <c r="I5280" t="str" cm="1">
        <f t="array" ref="I5280">_xlfn.XLOOKUP(FACT_IMPORTS[[#This Row],[country_name]],DIM_COUNTRY[[#All],[Column2]],DIM_COUNTRY[[#All],[Column3]],,,)</f>
        <v>Major_Non-USMCA_Non-China</v>
      </c>
    </row>
    <row r="5281" spans="1:9" x14ac:dyDescent="0.4">
      <c r="A5281" t="s">
        <v>68</v>
      </c>
      <c r="B5281" s="1">
        <v>45200</v>
      </c>
      <c r="C5281">
        <v>854430</v>
      </c>
      <c r="D5281" t="s">
        <v>176</v>
      </c>
      <c r="E5281">
        <v>256066</v>
      </c>
      <c r="F5281">
        <v>15428</v>
      </c>
      <c r="G5281">
        <v>2111</v>
      </c>
      <c r="H5281">
        <f>_xlfn.XLOOKUP(FACT_IMPORTS[[#This Row],[hts_6]],DIM_PRODUCTS[hts_6],DIM_PRODUCTS[hts_4],,,)</f>
        <v>8544</v>
      </c>
      <c r="I5281" t="str" cm="1">
        <f t="array" ref="I5281">_xlfn.XLOOKUP(FACT_IMPORTS[[#This Row],[country_name]],DIM_COUNTRY[[#All],[Column2]],DIM_COUNTRY[[#All],[Column3]],,,)</f>
        <v>Major_Non-USMCA_Non-China</v>
      </c>
    </row>
    <row r="5282" spans="1:9" x14ac:dyDescent="0.4">
      <c r="A5282" t="s">
        <v>68</v>
      </c>
      <c r="B5282" s="1">
        <v>45200</v>
      </c>
      <c r="C5282">
        <v>870790</v>
      </c>
      <c r="D5282" t="s">
        <v>176</v>
      </c>
      <c r="E5282">
        <v>15234</v>
      </c>
      <c r="F5282">
        <v>1</v>
      </c>
      <c r="G5282">
        <v>1</v>
      </c>
      <c r="H5282">
        <f>_xlfn.XLOOKUP(FACT_IMPORTS[[#This Row],[hts_6]],DIM_PRODUCTS[hts_6],DIM_PRODUCTS[hts_4],,,)</f>
        <v>8707</v>
      </c>
      <c r="I5282" t="str" cm="1">
        <f t="array" ref="I5282">_xlfn.XLOOKUP(FACT_IMPORTS[[#This Row],[country_name]],DIM_COUNTRY[[#All],[Column2]],DIM_COUNTRY[[#All],[Column3]],,,)</f>
        <v>Major_Non-USMCA_Non-China</v>
      </c>
    </row>
    <row r="5283" spans="1:9" x14ac:dyDescent="0.4">
      <c r="A5283" t="s">
        <v>68</v>
      </c>
      <c r="B5283" s="1">
        <v>45200</v>
      </c>
      <c r="C5283">
        <v>870810</v>
      </c>
      <c r="D5283" t="s">
        <v>176</v>
      </c>
      <c r="E5283">
        <v>37413</v>
      </c>
      <c r="F5283">
        <v>13785</v>
      </c>
      <c r="G5283">
        <v>1157</v>
      </c>
      <c r="H5283">
        <f>_xlfn.XLOOKUP(FACT_IMPORTS[[#This Row],[hts_6]],DIM_PRODUCTS[hts_6],DIM_PRODUCTS[hts_4],,,)</f>
        <v>8708</v>
      </c>
      <c r="I5283" t="str" cm="1">
        <f t="array" ref="I5283">_xlfn.XLOOKUP(FACT_IMPORTS[[#This Row],[country_name]],DIM_COUNTRY[[#All],[Column2]],DIM_COUNTRY[[#All],[Column3]],,,)</f>
        <v>Major_Non-USMCA_Non-China</v>
      </c>
    </row>
    <row r="5284" spans="1:9" x14ac:dyDescent="0.4">
      <c r="A5284" t="s">
        <v>68</v>
      </c>
      <c r="B5284" s="1">
        <v>45200</v>
      </c>
      <c r="C5284">
        <v>870822</v>
      </c>
      <c r="D5284" t="s">
        <v>176</v>
      </c>
      <c r="E5284">
        <v>170815</v>
      </c>
      <c r="F5284">
        <v>879</v>
      </c>
      <c r="G5284">
        <v>4</v>
      </c>
      <c r="H5284">
        <f>_xlfn.XLOOKUP(FACT_IMPORTS[[#This Row],[hts_6]],DIM_PRODUCTS[hts_6],DIM_PRODUCTS[hts_4],,,)</f>
        <v>8708</v>
      </c>
      <c r="I5284" t="str" cm="1">
        <f t="array" ref="I5284">_xlfn.XLOOKUP(FACT_IMPORTS[[#This Row],[country_name]],DIM_COUNTRY[[#All],[Column2]],DIM_COUNTRY[[#All],[Column3]],,,)</f>
        <v>Major_Non-USMCA_Non-China</v>
      </c>
    </row>
    <row r="5285" spans="1:9" x14ac:dyDescent="0.4">
      <c r="A5285" t="s">
        <v>68</v>
      </c>
      <c r="B5285" s="1">
        <v>45200</v>
      </c>
      <c r="C5285">
        <v>870829</v>
      </c>
      <c r="D5285" t="s">
        <v>176</v>
      </c>
      <c r="E5285">
        <v>1733522</v>
      </c>
      <c r="F5285">
        <v>521532</v>
      </c>
      <c r="G5285">
        <v>32109</v>
      </c>
      <c r="H5285">
        <f>_xlfn.XLOOKUP(FACT_IMPORTS[[#This Row],[hts_6]],DIM_PRODUCTS[hts_6],DIM_PRODUCTS[hts_4],,,)</f>
        <v>8708</v>
      </c>
      <c r="I5285" t="str" cm="1">
        <f t="array" ref="I5285">_xlfn.XLOOKUP(FACT_IMPORTS[[#This Row],[country_name]],DIM_COUNTRY[[#All],[Column2]],DIM_COUNTRY[[#All],[Column3]],,,)</f>
        <v>Major_Non-USMCA_Non-China</v>
      </c>
    </row>
    <row r="5286" spans="1:9" x14ac:dyDescent="0.4">
      <c r="A5286" t="s">
        <v>68</v>
      </c>
      <c r="B5286" s="1">
        <v>45200</v>
      </c>
      <c r="C5286">
        <v>870830</v>
      </c>
      <c r="D5286" t="s">
        <v>176</v>
      </c>
      <c r="E5286">
        <v>167694</v>
      </c>
      <c r="F5286">
        <v>11511</v>
      </c>
      <c r="G5286">
        <v>4571</v>
      </c>
      <c r="H5286">
        <f>_xlfn.XLOOKUP(FACT_IMPORTS[[#This Row],[hts_6]],DIM_PRODUCTS[hts_6],DIM_PRODUCTS[hts_4],,,)</f>
        <v>8708</v>
      </c>
      <c r="I5286" t="str" cm="1">
        <f t="array" ref="I5286">_xlfn.XLOOKUP(FACT_IMPORTS[[#This Row],[country_name]],DIM_COUNTRY[[#All],[Column2]],DIM_COUNTRY[[#All],[Column3]],,,)</f>
        <v>Major_Non-USMCA_Non-China</v>
      </c>
    </row>
    <row r="5287" spans="1:9" x14ac:dyDescent="0.4">
      <c r="A5287" t="s">
        <v>68</v>
      </c>
      <c r="B5287" s="1">
        <v>45200</v>
      </c>
      <c r="C5287">
        <v>870840</v>
      </c>
      <c r="D5287" t="s">
        <v>176</v>
      </c>
      <c r="E5287">
        <v>54903711</v>
      </c>
      <c r="F5287">
        <v>1163460</v>
      </c>
      <c r="G5287">
        <v>145483</v>
      </c>
      <c r="H5287">
        <f>_xlfn.XLOOKUP(FACT_IMPORTS[[#This Row],[hts_6]],DIM_PRODUCTS[hts_6],DIM_PRODUCTS[hts_4],,,)</f>
        <v>8708</v>
      </c>
      <c r="I5287" t="str" cm="1">
        <f t="array" ref="I5287">_xlfn.XLOOKUP(FACT_IMPORTS[[#This Row],[country_name]],DIM_COUNTRY[[#All],[Column2]],DIM_COUNTRY[[#All],[Column3]],,,)</f>
        <v>Major_Non-USMCA_Non-China</v>
      </c>
    </row>
    <row r="5288" spans="1:9" x14ac:dyDescent="0.4">
      <c r="A5288" t="s">
        <v>68</v>
      </c>
      <c r="B5288" s="1">
        <v>45200</v>
      </c>
      <c r="C5288">
        <v>870850</v>
      </c>
      <c r="D5288" t="s">
        <v>176</v>
      </c>
      <c r="E5288">
        <v>9729741</v>
      </c>
      <c r="F5288">
        <v>586791</v>
      </c>
      <c r="G5288">
        <v>122786</v>
      </c>
      <c r="H5288">
        <f>_xlfn.XLOOKUP(FACT_IMPORTS[[#This Row],[hts_6]],DIM_PRODUCTS[hts_6],DIM_PRODUCTS[hts_4],,,)</f>
        <v>8708</v>
      </c>
      <c r="I5288" t="str" cm="1">
        <f t="array" ref="I5288">_xlfn.XLOOKUP(FACT_IMPORTS[[#This Row],[country_name]],DIM_COUNTRY[[#All],[Column2]],DIM_COUNTRY[[#All],[Column3]],,,)</f>
        <v>Major_Non-USMCA_Non-China</v>
      </c>
    </row>
    <row r="5289" spans="1:9" x14ac:dyDescent="0.4">
      <c r="A5289" t="s">
        <v>68</v>
      </c>
      <c r="B5289" s="1">
        <v>45200</v>
      </c>
      <c r="C5289">
        <v>870870</v>
      </c>
      <c r="D5289" t="s">
        <v>176</v>
      </c>
      <c r="E5289">
        <v>6942</v>
      </c>
      <c r="F5289">
        <v>1</v>
      </c>
      <c r="G5289">
        <v>250</v>
      </c>
      <c r="H5289">
        <f>_xlfn.XLOOKUP(FACT_IMPORTS[[#This Row],[hts_6]],DIM_PRODUCTS[hts_6],DIM_PRODUCTS[hts_4],,,)</f>
        <v>8708</v>
      </c>
      <c r="I5289" t="str" cm="1">
        <f t="array" ref="I5289">_xlfn.XLOOKUP(FACT_IMPORTS[[#This Row],[country_name]],DIM_COUNTRY[[#All],[Column2]],DIM_COUNTRY[[#All],[Column3]],,,)</f>
        <v>Major_Non-USMCA_Non-China</v>
      </c>
    </row>
    <row r="5290" spans="1:9" x14ac:dyDescent="0.4">
      <c r="A5290" t="s">
        <v>68</v>
      </c>
      <c r="B5290" s="1">
        <v>45200</v>
      </c>
      <c r="C5290">
        <v>870880</v>
      </c>
      <c r="D5290" t="s">
        <v>176</v>
      </c>
      <c r="E5290">
        <v>1408268</v>
      </c>
      <c r="F5290">
        <v>726247</v>
      </c>
      <c r="G5290">
        <v>30768</v>
      </c>
      <c r="H5290">
        <f>_xlfn.XLOOKUP(FACT_IMPORTS[[#This Row],[hts_6]],DIM_PRODUCTS[hts_6],DIM_PRODUCTS[hts_4],,,)</f>
        <v>8708</v>
      </c>
      <c r="I5290" t="str" cm="1">
        <f t="array" ref="I5290">_xlfn.XLOOKUP(FACT_IMPORTS[[#This Row],[country_name]],DIM_COUNTRY[[#All],[Column2]],DIM_COUNTRY[[#All],[Column3]],,,)</f>
        <v>Major_Non-USMCA_Non-China</v>
      </c>
    </row>
    <row r="5291" spans="1:9" x14ac:dyDescent="0.4">
      <c r="A5291" t="s">
        <v>68</v>
      </c>
      <c r="B5291" s="1">
        <v>45200</v>
      </c>
      <c r="C5291">
        <v>870891</v>
      </c>
      <c r="D5291" t="s">
        <v>176</v>
      </c>
      <c r="E5291">
        <v>0</v>
      </c>
      <c r="F5291">
        <v>0</v>
      </c>
      <c r="G5291">
        <v>0</v>
      </c>
      <c r="H5291">
        <f>_xlfn.XLOOKUP(FACT_IMPORTS[[#This Row],[hts_6]],DIM_PRODUCTS[hts_6],DIM_PRODUCTS[hts_4],,,)</f>
        <v>8708</v>
      </c>
      <c r="I5291" t="str" cm="1">
        <f t="array" ref="I5291">_xlfn.XLOOKUP(FACT_IMPORTS[[#This Row],[country_name]],DIM_COUNTRY[[#All],[Column2]],DIM_COUNTRY[[#All],[Column3]],,,)</f>
        <v>Major_Non-USMCA_Non-China</v>
      </c>
    </row>
    <row r="5292" spans="1:9" x14ac:dyDescent="0.4">
      <c r="A5292" t="s">
        <v>68</v>
      </c>
      <c r="B5292" s="1">
        <v>45200</v>
      </c>
      <c r="C5292">
        <v>870892</v>
      </c>
      <c r="D5292" t="s">
        <v>176</v>
      </c>
      <c r="E5292">
        <v>478053</v>
      </c>
      <c r="F5292">
        <v>75035</v>
      </c>
      <c r="G5292">
        <v>17116</v>
      </c>
      <c r="H5292">
        <f>_xlfn.XLOOKUP(FACT_IMPORTS[[#This Row],[hts_6]],DIM_PRODUCTS[hts_6],DIM_PRODUCTS[hts_4],,,)</f>
        <v>8708</v>
      </c>
      <c r="I5292" t="str" cm="1">
        <f t="array" ref="I5292">_xlfn.XLOOKUP(FACT_IMPORTS[[#This Row],[country_name]],DIM_COUNTRY[[#All],[Column2]],DIM_COUNTRY[[#All],[Column3]],,,)</f>
        <v>Major_Non-USMCA_Non-China</v>
      </c>
    </row>
    <row r="5293" spans="1:9" x14ac:dyDescent="0.4">
      <c r="A5293" t="s">
        <v>68</v>
      </c>
      <c r="B5293" s="1">
        <v>45200</v>
      </c>
      <c r="C5293">
        <v>870893</v>
      </c>
      <c r="D5293" t="s">
        <v>176</v>
      </c>
      <c r="E5293">
        <v>450916</v>
      </c>
      <c r="F5293">
        <v>1422</v>
      </c>
      <c r="G5293">
        <v>4439</v>
      </c>
      <c r="H5293">
        <f>_xlfn.XLOOKUP(FACT_IMPORTS[[#This Row],[hts_6]],DIM_PRODUCTS[hts_6],DIM_PRODUCTS[hts_4],,,)</f>
        <v>8708</v>
      </c>
      <c r="I5293" t="str" cm="1">
        <f t="array" ref="I5293">_xlfn.XLOOKUP(FACT_IMPORTS[[#This Row],[country_name]],DIM_COUNTRY[[#All],[Column2]],DIM_COUNTRY[[#All],[Column3]],,,)</f>
        <v>Major_Non-USMCA_Non-China</v>
      </c>
    </row>
    <row r="5294" spans="1:9" x14ac:dyDescent="0.4">
      <c r="A5294" t="s">
        <v>68</v>
      </c>
      <c r="B5294" s="1">
        <v>45200</v>
      </c>
      <c r="C5294">
        <v>870894</v>
      </c>
      <c r="D5294" t="s">
        <v>176</v>
      </c>
      <c r="E5294">
        <v>84813</v>
      </c>
      <c r="F5294">
        <v>28960</v>
      </c>
      <c r="G5294">
        <v>6930</v>
      </c>
      <c r="H5294">
        <f>_xlfn.XLOOKUP(FACT_IMPORTS[[#This Row],[hts_6]],DIM_PRODUCTS[hts_6],DIM_PRODUCTS[hts_4],,,)</f>
        <v>8708</v>
      </c>
      <c r="I5294" t="str" cm="1">
        <f t="array" ref="I5294">_xlfn.XLOOKUP(FACT_IMPORTS[[#This Row],[country_name]],DIM_COUNTRY[[#All],[Column2]],DIM_COUNTRY[[#All],[Column3]],,,)</f>
        <v>Major_Non-USMCA_Non-China</v>
      </c>
    </row>
    <row r="5295" spans="1:9" x14ac:dyDescent="0.4">
      <c r="A5295" t="s">
        <v>68</v>
      </c>
      <c r="B5295" s="1">
        <v>45200</v>
      </c>
      <c r="C5295">
        <v>870895</v>
      </c>
      <c r="D5295" t="s">
        <v>176</v>
      </c>
      <c r="E5295">
        <v>23673</v>
      </c>
      <c r="F5295">
        <v>2610</v>
      </c>
      <c r="G5295">
        <v>890</v>
      </c>
      <c r="H5295">
        <f>_xlfn.XLOOKUP(FACT_IMPORTS[[#This Row],[hts_6]],DIM_PRODUCTS[hts_6],DIM_PRODUCTS[hts_4],,,)</f>
        <v>8708</v>
      </c>
      <c r="I5295" t="str" cm="1">
        <f t="array" ref="I5295">_xlfn.XLOOKUP(FACT_IMPORTS[[#This Row],[country_name]],DIM_COUNTRY[[#All],[Column2]],DIM_COUNTRY[[#All],[Column3]],,,)</f>
        <v>Major_Non-USMCA_Non-China</v>
      </c>
    </row>
    <row r="5296" spans="1:9" x14ac:dyDescent="0.4">
      <c r="A5296" t="s">
        <v>68</v>
      </c>
      <c r="B5296" s="1">
        <v>45200</v>
      </c>
      <c r="C5296">
        <v>870899</v>
      </c>
      <c r="D5296" t="s">
        <v>176</v>
      </c>
      <c r="E5296">
        <v>4885510</v>
      </c>
      <c r="F5296">
        <v>480244</v>
      </c>
      <c r="G5296">
        <v>43162</v>
      </c>
      <c r="H5296">
        <f>_xlfn.XLOOKUP(FACT_IMPORTS[[#This Row],[hts_6]],DIM_PRODUCTS[hts_6],DIM_PRODUCTS[hts_4],,,)</f>
        <v>8708</v>
      </c>
      <c r="I5296" t="str" cm="1">
        <f t="array" ref="I5296">_xlfn.XLOOKUP(FACT_IMPORTS[[#This Row],[country_name]],DIM_COUNTRY[[#All],[Column2]],DIM_COUNTRY[[#All],[Column3]],,,)</f>
        <v>Major_Non-USMCA_Non-China</v>
      </c>
    </row>
    <row r="5297" spans="1:9" x14ac:dyDescent="0.4">
      <c r="A5297" t="s">
        <v>68</v>
      </c>
      <c r="B5297" s="1">
        <v>45200</v>
      </c>
      <c r="C5297">
        <v>940120</v>
      </c>
      <c r="D5297" t="s">
        <v>176</v>
      </c>
      <c r="E5297">
        <v>282106</v>
      </c>
      <c r="F5297">
        <v>172</v>
      </c>
      <c r="G5297">
        <v>8375</v>
      </c>
      <c r="H5297">
        <f>_xlfn.XLOOKUP(FACT_IMPORTS[[#This Row],[hts_6]],DIM_PRODUCTS[hts_6],DIM_PRODUCTS[hts_4],,,)</f>
        <v>9401</v>
      </c>
      <c r="I5297" t="str" cm="1">
        <f t="array" ref="I5297">_xlfn.XLOOKUP(FACT_IMPORTS[[#This Row],[country_name]],DIM_COUNTRY[[#All],[Column2]],DIM_COUNTRY[[#All],[Column3]],,,)</f>
        <v>Major_Non-USMCA_Non-China</v>
      </c>
    </row>
    <row r="5298" spans="1:9" x14ac:dyDescent="0.4">
      <c r="A5298" t="s">
        <v>68</v>
      </c>
      <c r="B5298" s="1">
        <v>45231</v>
      </c>
      <c r="C5298">
        <v>392630</v>
      </c>
      <c r="D5298" t="s">
        <v>176</v>
      </c>
      <c r="E5298">
        <v>184058</v>
      </c>
      <c r="F5298">
        <v>12392</v>
      </c>
      <c r="G5298">
        <v>11128</v>
      </c>
      <c r="H5298">
        <f>_xlfn.XLOOKUP(FACT_IMPORTS[[#This Row],[hts_6]],DIM_PRODUCTS[hts_6],DIM_PRODUCTS[hts_4],,,)</f>
        <v>3926</v>
      </c>
      <c r="I5298" t="str" cm="1">
        <f t="array" ref="I5298">_xlfn.XLOOKUP(FACT_IMPORTS[[#This Row],[country_name]],DIM_COUNTRY[[#All],[Column2]],DIM_COUNTRY[[#All],[Column3]],,,)</f>
        <v>Major_Non-USMCA_Non-China</v>
      </c>
    </row>
    <row r="5299" spans="1:9" x14ac:dyDescent="0.4">
      <c r="A5299" t="s">
        <v>68</v>
      </c>
      <c r="B5299" s="1">
        <v>45231</v>
      </c>
      <c r="C5299">
        <v>401110</v>
      </c>
      <c r="D5299" t="s">
        <v>176</v>
      </c>
      <c r="E5299">
        <v>37935</v>
      </c>
      <c r="F5299">
        <v>386</v>
      </c>
      <c r="G5299">
        <v>456</v>
      </c>
      <c r="H5299">
        <f>_xlfn.XLOOKUP(FACT_IMPORTS[[#This Row],[hts_6]],DIM_PRODUCTS[hts_6],DIM_PRODUCTS[hts_4],,,)</f>
        <v>4011</v>
      </c>
      <c r="I5299" t="str" cm="1">
        <f t="array" ref="I5299">_xlfn.XLOOKUP(FACT_IMPORTS[[#This Row],[country_name]],DIM_COUNTRY[[#All],[Column2]],DIM_COUNTRY[[#All],[Column3]],,,)</f>
        <v>Major_Non-USMCA_Non-China</v>
      </c>
    </row>
    <row r="5300" spans="1:9" x14ac:dyDescent="0.4">
      <c r="A5300" t="s">
        <v>68</v>
      </c>
      <c r="B5300" s="1">
        <v>45231</v>
      </c>
      <c r="C5300">
        <v>401120</v>
      </c>
      <c r="D5300" t="s">
        <v>176</v>
      </c>
      <c r="E5300">
        <v>0</v>
      </c>
      <c r="F5300">
        <v>0</v>
      </c>
      <c r="G5300">
        <v>0</v>
      </c>
      <c r="H5300">
        <f>_xlfn.XLOOKUP(FACT_IMPORTS[[#This Row],[hts_6]],DIM_PRODUCTS[hts_6],DIM_PRODUCTS[hts_4],,,)</f>
        <v>4011</v>
      </c>
      <c r="I5300" t="str" cm="1">
        <f t="array" ref="I5300">_xlfn.XLOOKUP(FACT_IMPORTS[[#This Row],[country_name]],DIM_COUNTRY[[#All],[Column2]],DIM_COUNTRY[[#All],[Column3]],,,)</f>
        <v>Major_Non-USMCA_Non-China</v>
      </c>
    </row>
    <row r="5301" spans="1:9" x14ac:dyDescent="0.4">
      <c r="A5301" t="s">
        <v>68</v>
      </c>
      <c r="B5301" s="1">
        <v>45231</v>
      </c>
      <c r="C5301">
        <v>401140</v>
      </c>
      <c r="D5301" t="s">
        <v>176</v>
      </c>
      <c r="E5301">
        <v>0</v>
      </c>
      <c r="F5301">
        <v>0</v>
      </c>
      <c r="G5301">
        <v>0</v>
      </c>
      <c r="H5301">
        <f>_xlfn.XLOOKUP(FACT_IMPORTS[[#This Row],[hts_6]],DIM_PRODUCTS[hts_6],DIM_PRODUCTS[hts_4],,,)</f>
        <v>4011</v>
      </c>
      <c r="I5301" t="str" cm="1">
        <f t="array" ref="I5301">_xlfn.XLOOKUP(FACT_IMPORTS[[#This Row],[country_name]],DIM_COUNTRY[[#All],[Column2]],DIM_COUNTRY[[#All],[Column3]],,,)</f>
        <v>Major_Non-USMCA_Non-China</v>
      </c>
    </row>
    <row r="5302" spans="1:9" x14ac:dyDescent="0.4">
      <c r="A5302" t="s">
        <v>68</v>
      </c>
      <c r="B5302" s="1">
        <v>45231</v>
      </c>
      <c r="C5302">
        <v>401190</v>
      </c>
      <c r="D5302" t="s">
        <v>176</v>
      </c>
      <c r="E5302">
        <v>0</v>
      </c>
      <c r="F5302">
        <v>0</v>
      </c>
      <c r="G5302">
        <v>0</v>
      </c>
      <c r="H5302">
        <f>_xlfn.XLOOKUP(FACT_IMPORTS[[#This Row],[hts_6]],DIM_PRODUCTS[hts_6],DIM_PRODUCTS[hts_4],,,)</f>
        <v>4011</v>
      </c>
      <c r="I5302" t="str" cm="1">
        <f t="array" ref="I5302">_xlfn.XLOOKUP(FACT_IMPORTS[[#This Row],[country_name]],DIM_COUNTRY[[#All],[Column2]],DIM_COUNTRY[[#All],[Column3]],,,)</f>
        <v>Major_Non-USMCA_Non-China</v>
      </c>
    </row>
    <row r="5303" spans="1:9" x14ac:dyDescent="0.4">
      <c r="A5303" t="s">
        <v>68</v>
      </c>
      <c r="B5303" s="1">
        <v>45231</v>
      </c>
      <c r="C5303">
        <v>700711</v>
      </c>
      <c r="D5303" t="s">
        <v>176</v>
      </c>
      <c r="E5303">
        <v>0</v>
      </c>
      <c r="F5303">
        <v>0</v>
      </c>
      <c r="G5303">
        <v>0</v>
      </c>
      <c r="H5303">
        <f>_xlfn.XLOOKUP(FACT_IMPORTS[[#This Row],[hts_6]],DIM_PRODUCTS[hts_6],DIM_PRODUCTS[hts_4],,,)</f>
        <v>7007</v>
      </c>
      <c r="I5303" t="str" cm="1">
        <f t="array" ref="I5303">_xlfn.XLOOKUP(FACT_IMPORTS[[#This Row],[country_name]],DIM_COUNTRY[[#All],[Column2]],DIM_COUNTRY[[#All],[Column3]],,,)</f>
        <v>Major_Non-USMCA_Non-China</v>
      </c>
    </row>
    <row r="5304" spans="1:9" x14ac:dyDescent="0.4">
      <c r="A5304" t="s">
        <v>68</v>
      </c>
      <c r="B5304" s="1">
        <v>45231</v>
      </c>
      <c r="C5304">
        <v>700721</v>
      </c>
      <c r="D5304" t="s">
        <v>176</v>
      </c>
      <c r="E5304">
        <v>0</v>
      </c>
      <c r="F5304">
        <v>0</v>
      </c>
      <c r="G5304">
        <v>0</v>
      </c>
      <c r="H5304">
        <f>_xlfn.XLOOKUP(FACT_IMPORTS[[#This Row],[hts_6]],DIM_PRODUCTS[hts_6],DIM_PRODUCTS[hts_4],,,)</f>
        <v>7007</v>
      </c>
      <c r="I5304" t="str" cm="1">
        <f t="array" ref="I5304">_xlfn.XLOOKUP(FACT_IMPORTS[[#This Row],[country_name]],DIM_COUNTRY[[#All],[Column2]],DIM_COUNTRY[[#All],[Column3]],,,)</f>
        <v>Major_Non-USMCA_Non-China</v>
      </c>
    </row>
    <row r="5305" spans="1:9" x14ac:dyDescent="0.4">
      <c r="A5305" t="s">
        <v>68</v>
      </c>
      <c r="B5305" s="1">
        <v>45231</v>
      </c>
      <c r="C5305">
        <v>732010</v>
      </c>
      <c r="D5305" t="s">
        <v>176</v>
      </c>
      <c r="E5305">
        <v>17091</v>
      </c>
      <c r="F5305">
        <v>1127</v>
      </c>
      <c r="G5305">
        <v>621</v>
      </c>
      <c r="H5305">
        <f>_xlfn.XLOOKUP(FACT_IMPORTS[[#This Row],[hts_6]],DIM_PRODUCTS[hts_6],DIM_PRODUCTS[hts_4],,,)</f>
        <v>7320</v>
      </c>
      <c r="I5305" t="str" cm="1">
        <f t="array" ref="I5305">_xlfn.XLOOKUP(FACT_IMPORTS[[#This Row],[country_name]],DIM_COUNTRY[[#All],[Column2]],DIM_COUNTRY[[#All],[Column3]],,,)</f>
        <v>Major_Non-USMCA_Non-China</v>
      </c>
    </row>
    <row r="5306" spans="1:9" x14ac:dyDescent="0.4">
      <c r="A5306" t="s">
        <v>68</v>
      </c>
      <c r="B5306" s="1">
        <v>45231</v>
      </c>
      <c r="C5306">
        <v>830230</v>
      </c>
      <c r="D5306" t="s">
        <v>176</v>
      </c>
      <c r="E5306">
        <v>217968</v>
      </c>
      <c r="F5306">
        <v>74388</v>
      </c>
      <c r="G5306">
        <v>11643</v>
      </c>
      <c r="H5306">
        <f>_xlfn.XLOOKUP(FACT_IMPORTS[[#This Row],[hts_6]],DIM_PRODUCTS[hts_6],DIM_PRODUCTS[hts_4],,,)</f>
        <v>8302</v>
      </c>
      <c r="I5306" t="str" cm="1">
        <f t="array" ref="I5306">_xlfn.XLOOKUP(FACT_IMPORTS[[#This Row],[country_name]],DIM_COUNTRY[[#All],[Column2]],DIM_COUNTRY[[#All],[Column3]],,,)</f>
        <v>Major_Non-USMCA_Non-China</v>
      </c>
    </row>
    <row r="5307" spans="1:9" x14ac:dyDescent="0.4">
      <c r="A5307" t="s">
        <v>68</v>
      </c>
      <c r="B5307" s="1">
        <v>45231</v>
      </c>
      <c r="C5307">
        <v>840731</v>
      </c>
      <c r="D5307" t="s">
        <v>176</v>
      </c>
      <c r="E5307">
        <v>0</v>
      </c>
      <c r="F5307">
        <v>0</v>
      </c>
      <c r="G5307">
        <v>0</v>
      </c>
      <c r="H5307">
        <f>_xlfn.XLOOKUP(FACT_IMPORTS[[#This Row],[hts_6]],DIM_PRODUCTS[hts_6],DIM_PRODUCTS[hts_4],,,)</f>
        <v>8407</v>
      </c>
      <c r="I5307" t="str" cm="1">
        <f t="array" ref="I5307">_xlfn.XLOOKUP(FACT_IMPORTS[[#This Row],[country_name]],DIM_COUNTRY[[#All],[Column2]],DIM_COUNTRY[[#All],[Column3]],,,)</f>
        <v>Major_Non-USMCA_Non-China</v>
      </c>
    </row>
    <row r="5308" spans="1:9" x14ac:dyDescent="0.4">
      <c r="A5308" t="s">
        <v>68</v>
      </c>
      <c r="B5308" s="1">
        <v>45231</v>
      </c>
      <c r="C5308">
        <v>840733</v>
      </c>
      <c r="D5308" t="s">
        <v>176</v>
      </c>
      <c r="E5308">
        <v>0</v>
      </c>
      <c r="F5308">
        <v>0</v>
      </c>
      <c r="G5308">
        <v>0</v>
      </c>
      <c r="H5308">
        <f>_xlfn.XLOOKUP(FACT_IMPORTS[[#This Row],[hts_6]],DIM_PRODUCTS[hts_6],DIM_PRODUCTS[hts_4],,,)</f>
        <v>8407</v>
      </c>
      <c r="I5308" t="str" cm="1">
        <f t="array" ref="I5308">_xlfn.XLOOKUP(FACT_IMPORTS[[#This Row],[country_name]],DIM_COUNTRY[[#All],[Column2]],DIM_COUNTRY[[#All],[Column3]],,,)</f>
        <v>Major_Non-USMCA_Non-China</v>
      </c>
    </row>
    <row r="5309" spans="1:9" x14ac:dyDescent="0.4">
      <c r="A5309" t="s">
        <v>68</v>
      </c>
      <c r="B5309" s="1">
        <v>45231</v>
      </c>
      <c r="C5309">
        <v>840734</v>
      </c>
      <c r="D5309" t="s">
        <v>176</v>
      </c>
      <c r="E5309">
        <v>10316</v>
      </c>
      <c r="F5309">
        <v>4</v>
      </c>
      <c r="G5309">
        <v>286</v>
      </c>
      <c r="H5309">
        <f>_xlfn.XLOOKUP(FACT_IMPORTS[[#This Row],[hts_6]],DIM_PRODUCTS[hts_6],DIM_PRODUCTS[hts_4],,,)</f>
        <v>8407</v>
      </c>
      <c r="I5309" t="str" cm="1">
        <f t="array" ref="I5309">_xlfn.XLOOKUP(FACT_IMPORTS[[#This Row],[country_name]],DIM_COUNTRY[[#All],[Column2]],DIM_COUNTRY[[#All],[Column3]],,,)</f>
        <v>Major_Non-USMCA_Non-China</v>
      </c>
    </row>
    <row r="5310" spans="1:9" x14ac:dyDescent="0.4">
      <c r="A5310" t="s">
        <v>68</v>
      </c>
      <c r="B5310" s="1">
        <v>45231</v>
      </c>
      <c r="C5310">
        <v>840790</v>
      </c>
      <c r="D5310" t="s">
        <v>176</v>
      </c>
      <c r="E5310">
        <v>0</v>
      </c>
      <c r="F5310">
        <v>0</v>
      </c>
      <c r="G5310">
        <v>0</v>
      </c>
      <c r="H5310">
        <f>_xlfn.XLOOKUP(FACT_IMPORTS[[#This Row],[hts_6]],DIM_PRODUCTS[hts_6],DIM_PRODUCTS[hts_4],,,)</f>
        <v>8407</v>
      </c>
      <c r="I5310" t="str" cm="1">
        <f t="array" ref="I5310">_xlfn.XLOOKUP(FACT_IMPORTS[[#This Row],[country_name]],DIM_COUNTRY[[#All],[Column2]],DIM_COUNTRY[[#All],[Column3]],,,)</f>
        <v>Major_Non-USMCA_Non-China</v>
      </c>
    </row>
    <row r="5311" spans="1:9" x14ac:dyDescent="0.4">
      <c r="A5311" t="s">
        <v>68</v>
      </c>
      <c r="B5311" s="1">
        <v>45231</v>
      </c>
      <c r="C5311">
        <v>840820</v>
      </c>
      <c r="D5311" t="s">
        <v>176</v>
      </c>
      <c r="E5311">
        <v>4817</v>
      </c>
      <c r="F5311">
        <v>1</v>
      </c>
      <c r="G5311">
        <v>80</v>
      </c>
      <c r="H5311">
        <f>_xlfn.XLOOKUP(FACT_IMPORTS[[#This Row],[hts_6]],DIM_PRODUCTS[hts_6],DIM_PRODUCTS[hts_4],,,)</f>
        <v>8408</v>
      </c>
      <c r="I5311" t="str" cm="1">
        <f t="array" ref="I5311">_xlfn.XLOOKUP(FACT_IMPORTS[[#This Row],[country_name]],DIM_COUNTRY[[#All],[Column2]],DIM_COUNTRY[[#All],[Column3]],,,)</f>
        <v>Major_Non-USMCA_Non-China</v>
      </c>
    </row>
    <row r="5312" spans="1:9" x14ac:dyDescent="0.4">
      <c r="A5312" t="s">
        <v>68</v>
      </c>
      <c r="B5312" s="1">
        <v>45231</v>
      </c>
      <c r="C5312">
        <v>840890</v>
      </c>
      <c r="D5312" t="s">
        <v>176</v>
      </c>
      <c r="E5312">
        <v>504824</v>
      </c>
      <c r="F5312">
        <v>19</v>
      </c>
      <c r="G5312">
        <v>17858</v>
      </c>
      <c r="H5312">
        <f>_xlfn.XLOOKUP(FACT_IMPORTS[[#This Row],[hts_6]],DIM_PRODUCTS[hts_6],DIM_PRODUCTS[hts_4],,,)</f>
        <v>8408</v>
      </c>
      <c r="I5312" t="str" cm="1">
        <f t="array" ref="I5312">_xlfn.XLOOKUP(FACT_IMPORTS[[#This Row],[country_name]],DIM_COUNTRY[[#All],[Column2]],DIM_COUNTRY[[#All],[Column3]],,,)</f>
        <v>Major_Non-USMCA_Non-China</v>
      </c>
    </row>
    <row r="5313" spans="1:9" x14ac:dyDescent="0.4">
      <c r="A5313" t="s">
        <v>68</v>
      </c>
      <c r="B5313" s="1">
        <v>45231</v>
      </c>
      <c r="C5313">
        <v>840991</v>
      </c>
      <c r="D5313" t="s">
        <v>176</v>
      </c>
      <c r="E5313">
        <v>1065716</v>
      </c>
      <c r="F5313">
        <v>40399</v>
      </c>
      <c r="G5313">
        <v>23106</v>
      </c>
      <c r="H5313">
        <f>_xlfn.XLOOKUP(FACT_IMPORTS[[#This Row],[hts_6]],DIM_PRODUCTS[hts_6],DIM_PRODUCTS[hts_4],,,)</f>
        <v>8409</v>
      </c>
      <c r="I5313" t="str" cm="1">
        <f t="array" ref="I5313">_xlfn.XLOOKUP(FACT_IMPORTS[[#This Row],[country_name]],DIM_COUNTRY[[#All],[Column2]],DIM_COUNTRY[[#All],[Column3]],,,)</f>
        <v>Major_Non-USMCA_Non-China</v>
      </c>
    </row>
    <row r="5314" spans="1:9" x14ac:dyDescent="0.4">
      <c r="A5314" t="s">
        <v>68</v>
      </c>
      <c r="B5314" s="1">
        <v>45231</v>
      </c>
      <c r="C5314">
        <v>840999</v>
      </c>
      <c r="D5314" t="s">
        <v>176</v>
      </c>
      <c r="E5314">
        <v>25018954</v>
      </c>
      <c r="F5314">
        <v>3467458</v>
      </c>
      <c r="G5314">
        <v>527180</v>
      </c>
      <c r="H5314">
        <f>_xlfn.XLOOKUP(FACT_IMPORTS[[#This Row],[hts_6]],DIM_PRODUCTS[hts_6],DIM_PRODUCTS[hts_4],,,)</f>
        <v>8409</v>
      </c>
      <c r="I5314" t="str" cm="1">
        <f t="array" ref="I5314">_xlfn.XLOOKUP(FACT_IMPORTS[[#This Row],[country_name]],DIM_COUNTRY[[#All],[Column2]],DIM_COUNTRY[[#All],[Column3]],,,)</f>
        <v>Major_Non-USMCA_Non-China</v>
      </c>
    </row>
    <row r="5315" spans="1:9" x14ac:dyDescent="0.4">
      <c r="A5315" t="s">
        <v>68</v>
      </c>
      <c r="B5315" s="1">
        <v>45231</v>
      </c>
      <c r="C5315">
        <v>841330</v>
      </c>
      <c r="D5315" t="s">
        <v>176</v>
      </c>
      <c r="E5315">
        <v>11185074</v>
      </c>
      <c r="F5315">
        <v>81242</v>
      </c>
      <c r="G5315">
        <v>42349</v>
      </c>
      <c r="H5315">
        <f>_xlfn.XLOOKUP(FACT_IMPORTS[[#This Row],[hts_6]],DIM_PRODUCTS[hts_6],DIM_PRODUCTS[hts_4],,,)</f>
        <v>8413</v>
      </c>
      <c r="I5315" t="str" cm="1">
        <f t="array" ref="I5315">_xlfn.XLOOKUP(FACT_IMPORTS[[#This Row],[country_name]],DIM_COUNTRY[[#All],[Column2]],DIM_COUNTRY[[#All],[Column3]],,,)</f>
        <v>Major_Non-USMCA_Non-China</v>
      </c>
    </row>
    <row r="5316" spans="1:9" x14ac:dyDescent="0.4">
      <c r="A5316" t="s">
        <v>68</v>
      </c>
      <c r="B5316" s="1">
        <v>45231</v>
      </c>
      <c r="C5316">
        <v>841520</v>
      </c>
      <c r="D5316" t="s">
        <v>176</v>
      </c>
      <c r="E5316">
        <v>0</v>
      </c>
      <c r="F5316">
        <v>0</v>
      </c>
      <c r="G5316">
        <v>0</v>
      </c>
      <c r="H5316">
        <f>_xlfn.XLOOKUP(FACT_IMPORTS[[#This Row],[hts_6]],DIM_PRODUCTS[hts_6],DIM_PRODUCTS[hts_4],,,)</f>
        <v>8415</v>
      </c>
      <c r="I5316" t="str" cm="1">
        <f t="array" ref="I5316">_xlfn.XLOOKUP(FACT_IMPORTS[[#This Row],[country_name]],DIM_COUNTRY[[#All],[Column2]],DIM_COUNTRY[[#All],[Column3]],,,)</f>
        <v>Major_Non-USMCA_Non-China</v>
      </c>
    </row>
    <row r="5317" spans="1:9" x14ac:dyDescent="0.4">
      <c r="A5317" t="s">
        <v>68</v>
      </c>
      <c r="B5317" s="1">
        <v>45231</v>
      </c>
      <c r="C5317">
        <v>842132</v>
      </c>
      <c r="D5317" t="s">
        <v>176</v>
      </c>
      <c r="E5317">
        <v>286224</v>
      </c>
      <c r="F5317">
        <v>506</v>
      </c>
      <c r="G5317">
        <v>6162</v>
      </c>
      <c r="H5317">
        <f>_xlfn.XLOOKUP(FACT_IMPORTS[[#This Row],[hts_6]],DIM_PRODUCTS[hts_6],DIM_PRODUCTS[hts_4],,,)</f>
        <v>8421</v>
      </c>
      <c r="I5317" t="str" cm="1">
        <f t="array" ref="I5317">_xlfn.XLOOKUP(FACT_IMPORTS[[#This Row],[country_name]],DIM_COUNTRY[[#All],[Column2]],DIM_COUNTRY[[#All],[Column3]],,,)</f>
        <v>Major_Non-USMCA_Non-China</v>
      </c>
    </row>
    <row r="5318" spans="1:9" x14ac:dyDescent="0.4">
      <c r="A5318" t="s">
        <v>68</v>
      </c>
      <c r="B5318" s="1">
        <v>45231</v>
      </c>
      <c r="C5318">
        <v>848210</v>
      </c>
      <c r="D5318" t="s">
        <v>176</v>
      </c>
      <c r="E5318">
        <v>241095</v>
      </c>
      <c r="F5318">
        <v>2996</v>
      </c>
      <c r="G5318">
        <v>6860</v>
      </c>
      <c r="H5318">
        <f>_xlfn.XLOOKUP(FACT_IMPORTS[[#This Row],[hts_6]],DIM_PRODUCTS[hts_6],DIM_PRODUCTS[hts_4],,,)</f>
        <v>8482</v>
      </c>
      <c r="I5318" t="str" cm="1">
        <f t="array" ref="I5318">_xlfn.XLOOKUP(FACT_IMPORTS[[#This Row],[country_name]],DIM_COUNTRY[[#All],[Column2]],DIM_COUNTRY[[#All],[Column3]],,,)</f>
        <v>Major_Non-USMCA_Non-China</v>
      </c>
    </row>
    <row r="5319" spans="1:9" x14ac:dyDescent="0.4">
      <c r="A5319" t="s">
        <v>68</v>
      </c>
      <c r="B5319" s="1">
        <v>45231</v>
      </c>
      <c r="C5319">
        <v>848220</v>
      </c>
      <c r="D5319" t="s">
        <v>176</v>
      </c>
      <c r="E5319">
        <v>0</v>
      </c>
      <c r="F5319">
        <v>0</v>
      </c>
      <c r="G5319">
        <v>0</v>
      </c>
      <c r="H5319">
        <f>_xlfn.XLOOKUP(FACT_IMPORTS[[#This Row],[hts_6]],DIM_PRODUCTS[hts_6],DIM_PRODUCTS[hts_4],,,)</f>
        <v>8482</v>
      </c>
      <c r="I5319" t="str" cm="1">
        <f t="array" ref="I5319">_xlfn.XLOOKUP(FACT_IMPORTS[[#This Row],[country_name]],DIM_COUNTRY[[#All],[Column2]],DIM_COUNTRY[[#All],[Column3]],,,)</f>
        <v>Major_Non-USMCA_Non-China</v>
      </c>
    </row>
    <row r="5320" spans="1:9" x14ac:dyDescent="0.4">
      <c r="A5320" t="s">
        <v>68</v>
      </c>
      <c r="B5320" s="1">
        <v>45231</v>
      </c>
      <c r="C5320">
        <v>848310</v>
      </c>
      <c r="D5320" t="s">
        <v>176</v>
      </c>
      <c r="E5320">
        <v>4244829</v>
      </c>
      <c r="F5320">
        <v>42142</v>
      </c>
      <c r="G5320">
        <v>39820</v>
      </c>
      <c r="H5320">
        <f>_xlfn.XLOOKUP(FACT_IMPORTS[[#This Row],[hts_6]],DIM_PRODUCTS[hts_6],DIM_PRODUCTS[hts_4],,,)</f>
        <v>8483</v>
      </c>
      <c r="I5320" t="str" cm="1">
        <f t="array" ref="I5320">_xlfn.XLOOKUP(FACT_IMPORTS[[#This Row],[country_name]],DIM_COUNTRY[[#All],[Column2]],DIM_COUNTRY[[#All],[Column3]],,,)</f>
        <v>Major_Non-USMCA_Non-China</v>
      </c>
    </row>
    <row r="5321" spans="1:9" x14ac:dyDescent="0.4">
      <c r="A5321" t="s">
        <v>68</v>
      </c>
      <c r="B5321" s="1">
        <v>45231</v>
      </c>
      <c r="C5321">
        <v>850131</v>
      </c>
      <c r="D5321" t="s">
        <v>176</v>
      </c>
      <c r="E5321">
        <v>175374</v>
      </c>
      <c r="F5321">
        <v>1467</v>
      </c>
      <c r="G5321">
        <v>879</v>
      </c>
      <c r="H5321">
        <f>_xlfn.XLOOKUP(FACT_IMPORTS[[#This Row],[hts_6]],DIM_PRODUCTS[hts_6],DIM_PRODUCTS[hts_4],,,)</f>
        <v>8501</v>
      </c>
      <c r="I5321" t="str" cm="1">
        <f t="array" ref="I5321">_xlfn.XLOOKUP(FACT_IMPORTS[[#This Row],[country_name]],DIM_COUNTRY[[#All],[Column2]],DIM_COUNTRY[[#All],[Column3]],,,)</f>
        <v>Major_Non-USMCA_Non-China</v>
      </c>
    </row>
    <row r="5322" spans="1:9" x14ac:dyDescent="0.4">
      <c r="A5322" t="s">
        <v>68</v>
      </c>
      <c r="B5322" s="1">
        <v>45231</v>
      </c>
      <c r="C5322">
        <v>850132</v>
      </c>
      <c r="D5322" t="s">
        <v>176</v>
      </c>
      <c r="E5322">
        <v>452153</v>
      </c>
      <c r="F5322">
        <v>33</v>
      </c>
      <c r="G5322">
        <v>1307</v>
      </c>
      <c r="H5322">
        <f>_xlfn.XLOOKUP(FACT_IMPORTS[[#This Row],[hts_6]],DIM_PRODUCTS[hts_6],DIM_PRODUCTS[hts_4],,,)</f>
        <v>8501</v>
      </c>
      <c r="I5322" t="str" cm="1">
        <f t="array" ref="I5322">_xlfn.XLOOKUP(FACT_IMPORTS[[#This Row],[country_name]],DIM_COUNTRY[[#All],[Column2]],DIM_COUNTRY[[#All],[Column3]],,,)</f>
        <v>Major_Non-USMCA_Non-China</v>
      </c>
    </row>
    <row r="5323" spans="1:9" x14ac:dyDescent="0.4">
      <c r="A5323" t="s">
        <v>68</v>
      </c>
      <c r="B5323" s="1">
        <v>45231</v>
      </c>
      <c r="C5323">
        <v>850133</v>
      </c>
      <c r="D5323" t="s">
        <v>176</v>
      </c>
      <c r="E5323">
        <v>0</v>
      </c>
      <c r="F5323">
        <v>0</v>
      </c>
      <c r="G5323">
        <v>0</v>
      </c>
      <c r="H5323">
        <f>_xlfn.XLOOKUP(FACT_IMPORTS[[#This Row],[hts_6]],DIM_PRODUCTS[hts_6],DIM_PRODUCTS[hts_4],,,)</f>
        <v>8501</v>
      </c>
      <c r="I5323" t="str" cm="1">
        <f t="array" ref="I5323">_xlfn.XLOOKUP(FACT_IMPORTS[[#This Row],[country_name]],DIM_COUNTRY[[#All],[Column2]],DIM_COUNTRY[[#All],[Column3]],,,)</f>
        <v>Major_Non-USMCA_Non-China</v>
      </c>
    </row>
    <row r="5324" spans="1:9" x14ac:dyDescent="0.4">
      <c r="A5324" t="s">
        <v>68</v>
      </c>
      <c r="B5324" s="1">
        <v>45231</v>
      </c>
      <c r="C5324">
        <v>850134</v>
      </c>
      <c r="D5324" t="s">
        <v>176</v>
      </c>
      <c r="E5324">
        <v>0</v>
      </c>
      <c r="F5324">
        <v>0</v>
      </c>
      <c r="G5324">
        <v>0</v>
      </c>
      <c r="H5324">
        <f>_xlfn.XLOOKUP(FACT_IMPORTS[[#This Row],[hts_6]],DIM_PRODUCTS[hts_6],DIM_PRODUCTS[hts_4],,,)</f>
        <v>8501</v>
      </c>
      <c r="I5324" t="str" cm="1">
        <f t="array" ref="I5324">_xlfn.XLOOKUP(FACT_IMPORTS[[#This Row],[country_name]],DIM_COUNTRY[[#All],[Column2]],DIM_COUNTRY[[#All],[Column3]],,,)</f>
        <v>Major_Non-USMCA_Non-China</v>
      </c>
    </row>
    <row r="5325" spans="1:9" x14ac:dyDescent="0.4">
      <c r="A5325" t="s">
        <v>68</v>
      </c>
      <c r="B5325" s="1">
        <v>45231</v>
      </c>
      <c r="C5325">
        <v>850152</v>
      </c>
      <c r="D5325" t="s">
        <v>176</v>
      </c>
      <c r="E5325">
        <v>575821</v>
      </c>
      <c r="F5325">
        <v>551</v>
      </c>
      <c r="G5325">
        <v>28249</v>
      </c>
      <c r="H5325">
        <f>_xlfn.XLOOKUP(FACT_IMPORTS[[#This Row],[hts_6]],DIM_PRODUCTS[hts_6],DIM_PRODUCTS[hts_4],,,)</f>
        <v>8501</v>
      </c>
      <c r="I5325" t="str" cm="1">
        <f t="array" ref="I5325">_xlfn.XLOOKUP(FACT_IMPORTS[[#This Row],[country_name]],DIM_COUNTRY[[#All],[Column2]],DIM_COUNTRY[[#All],[Column3]],,,)</f>
        <v>Major_Non-USMCA_Non-China</v>
      </c>
    </row>
    <row r="5326" spans="1:9" x14ac:dyDescent="0.4">
      <c r="A5326" t="s">
        <v>68</v>
      </c>
      <c r="B5326" s="1">
        <v>45231</v>
      </c>
      <c r="C5326">
        <v>850153</v>
      </c>
      <c r="D5326" t="s">
        <v>176</v>
      </c>
      <c r="E5326">
        <v>199946</v>
      </c>
      <c r="F5326">
        <v>10</v>
      </c>
      <c r="G5326">
        <v>11026</v>
      </c>
      <c r="H5326">
        <f>_xlfn.XLOOKUP(FACT_IMPORTS[[#This Row],[hts_6]],DIM_PRODUCTS[hts_6],DIM_PRODUCTS[hts_4],,,)</f>
        <v>8501</v>
      </c>
      <c r="I5326" t="str" cm="1">
        <f t="array" ref="I5326">_xlfn.XLOOKUP(FACT_IMPORTS[[#This Row],[country_name]],DIM_COUNTRY[[#All],[Column2]],DIM_COUNTRY[[#All],[Column3]],,,)</f>
        <v>Major_Non-USMCA_Non-China</v>
      </c>
    </row>
    <row r="5327" spans="1:9" x14ac:dyDescent="0.4">
      <c r="A5327" t="s">
        <v>68</v>
      </c>
      <c r="B5327" s="1">
        <v>45231</v>
      </c>
      <c r="C5327">
        <v>850161</v>
      </c>
      <c r="D5327" t="s">
        <v>176</v>
      </c>
      <c r="E5327">
        <v>9828</v>
      </c>
      <c r="F5327">
        <v>3</v>
      </c>
      <c r="G5327">
        <v>403</v>
      </c>
      <c r="H5327">
        <f>_xlfn.XLOOKUP(FACT_IMPORTS[[#This Row],[hts_6]],DIM_PRODUCTS[hts_6],DIM_PRODUCTS[hts_4],,,)</f>
        <v>8501</v>
      </c>
      <c r="I5327" t="str" cm="1">
        <f t="array" ref="I5327">_xlfn.XLOOKUP(FACT_IMPORTS[[#This Row],[country_name]],DIM_COUNTRY[[#All],[Column2]],DIM_COUNTRY[[#All],[Column3]],,,)</f>
        <v>Major_Non-USMCA_Non-China</v>
      </c>
    </row>
    <row r="5328" spans="1:9" x14ac:dyDescent="0.4">
      <c r="A5328" t="s">
        <v>68</v>
      </c>
      <c r="B5328" s="1">
        <v>45231</v>
      </c>
      <c r="C5328">
        <v>850440</v>
      </c>
      <c r="D5328" t="s">
        <v>176</v>
      </c>
      <c r="E5328">
        <v>620996</v>
      </c>
      <c r="F5328">
        <v>200</v>
      </c>
      <c r="G5328">
        <v>17991</v>
      </c>
      <c r="H5328">
        <f>_xlfn.XLOOKUP(FACT_IMPORTS[[#This Row],[hts_6]],DIM_PRODUCTS[hts_6],DIM_PRODUCTS[hts_4],,,)</f>
        <v>8504</v>
      </c>
      <c r="I5328" t="str" cm="1">
        <f t="array" ref="I5328">_xlfn.XLOOKUP(FACT_IMPORTS[[#This Row],[country_name]],DIM_COUNTRY[[#All],[Column2]],DIM_COUNTRY[[#All],[Column3]],,,)</f>
        <v>Major_Non-USMCA_Non-China</v>
      </c>
    </row>
    <row r="5329" spans="1:9" x14ac:dyDescent="0.4">
      <c r="A5329" t="s">
        <v>68</v>
      </c>
      <c r="B5329" s="1">
        <v>45231</v>
      </c>
      <c r="C5329">
        <v>850710</v>
      </c>
      <c r="D5329" t="s">
        <v>176</v>
      </c>
      <c r="E5329">
        <v>0</v>
      </c>
      <c r="F5329">
        <v>0</v>
      </c>
      <c r="G5329">
        <v>0</v>
      </c>
      <c r="H5329">
        <f>_xlfn.XLOOKUP(FACT_IMPORTS[[#This Row],[hts_6]],DIM_PRODUCTS[hts_6],DIM_PRODUCTS[hts_4],,,)</f>
        <v>8507</v>
      </c>
      <c r="I5329" t="str" cm="1">
        <f t="array" ref="I5329">_xlfn.XLOOKUP(FACT_IMPORTS[[#This Row],[country_name]],DIM_COUNTRY[[#All],[Column2]],DIM_COUNTRY[[#All],[Column3]],,,)</f>
        <v>Major_Non-USMCA_Non-China</v>
      </c>
    </row>
    <row r="5330" spans="1:9" x14ac:dyDescent="0.4">
      <c r="A5330" t="s">
        <v>68</v>
      </c>
      <c r="B5330" s="1">
        <v>45231</v>
      </c>
      <c r="C5330">
        <v>850760</v>
      </c>
      <c r="D5330" t="s">
        <v>176</v>
      </c>
      <c r="E5330">
        <v>868541</v>
      </c>
      <c r="F5330">
        <v>2070</v>
      </c>
      <c r="G5330">
        <v>20052</v>
      </c>
      <c r="H5330">
        <f>_xlfn.XLOOKUP(FACT_IMPORTS[[#This Row],[hts_6]],DIM_PRODUCTS[hts_6],DIM_PRODUCTS[hts_4],,,)</f>
        <v>8507</v>
      </c>
      <c r="I5330" t="str" cm="1">
        <f t="array" ref="I5330">_xlfn.XLOOKUP(FACT_IMPORTS[[#This Row],[country_name]],DIM_COUNTRY[[#All],[Column2]],DIM_COUNTRY[[#All],[Column3]],,,)</f>
        <v>Major_Non-USMCA_Non-China</v>
      </c>
    </row>
    <row r="5331" spans="1:9" x14ac:dyDescent="0.4">
      <c r="A5331" t="s">
        <v>68</v>
      </c>
      <c r="B5331" s="1">
        <v>45231</v>
      </c>
      <c r="C5331">
        <v>850790</v>
      </c>
      <c r="D5331" t="s">
        <v>176</v>
      </c>
      <c r="E5331">
        <v>815121</v>
      </c>
      <c r="F5331">
        <v>78107</v>
      </c>
      <c r="G5331">
        <v>14664</v>
      </c>
      <c r="H5331">
        <f>_xlfn.XLOOKUP(FACT_IMPORTS[[#This Row],[hts_6]],DIM_PRODUCTS[hts_6],DIM_PRODUCTS[hts_4],,,)</f>
        <v>8507</v>
      </c>
      <c r="I5331" t="str" cm="1">
        <f t="array" ref="I5331">_xlfn.XLOOKUP(FACT_IMPORTS[[#This Row],[country_name]],DIM_COUNTRY[[#All],[Column2]],DIM_COUNTRY[[#All],[Column3]],,,)</f>
        <v>Major_Non-USMCA_Non-China</v>
      </c>
    </row>
    <row r="5332" spans="1:9" x14ac:dyDescent="0.4">
      <c r="A5332" t="s">
        <v>68</v>
      </c>
      <c r="B5332" s="1">
        <v>45231</v>
      </c>
      <c r="C5332">
        <v>851110</v>
      </c>
      <c r="D5332" t="s">
        <v>176</v>
      </c>
      <c r="E5332">
        <v>98642</v>
      </c>
      <c r="F5332">
        <v>636</v>
      </c>
      <c r="G5332">
        <v>1302</v>
      </c>
      <c r="H5332">
        <f>_xlfn.XLOOKUP(FACT_IMPORTS[[#This Row],[hts_6]],DIM_PRODUCTS[hts_6],DIM_PRODUCTS[hts_4],,,)</f>
        <v>8511</v>
      </c>
      <c r="I5332" t="str" cm="1">
        <f t="array" ref="I5332">_xlfn.XLOOKUP(FACT_IMPORTS[[#This Row],[country_name]],DIM_COUNTRY[[#All],[Column2]],DIM_COUNTRY[[#All],[Column3]],,,)</f>
        <v>Major_Non-USMCA_Non-China</v>
      </c>
    </row>
    <row r="5333" spans="1:9" x14ac:dyDescent="0.4">
      <c r="A5333" t="s">
        <v>68</v>
      </c>
      <c r="B5333" s="1">
        <v>45231</v>
      </c>
      <c r="C5333">
        <v>851120</v>
      </c>
      <c r="D5333" t="s">
        <v>176</v>
      </c>
      <c r="E5333">
        <v>0</v>
      </c>
      <c r="F5333">
        <v>0</v>
      </c>
      <c r="G5333">
        <v>0</v>
      </c>
      <c r="H5333">
        <f>_xlfn.XLOOKUP(FACT_IMPORTS[[#This Row],[hts_6]],DIM_PRODUCTS[hts_6],DIM_PRODUCTS[hts_4],,,)</f>
        <v>8511</v>
      </c>
      <c r="I5333" t="str" cm="1">
        <f t="array" ref="I5333">_xlfn.XLOOKUP(FACT_IMPORTS[[#This Row],[country_name]],DIM_COUNTRY[[#All],[Column2]],DIM_COUNTRY[[#All],[Column3]],,,)</f>
        <v>Major_Non-USMCA_Non-China</v>
      </c>
    </row>
    <row r="5334" spans="1:9" x14ac:dyDescent="0.4">
      <c r="A5334" t="s">
        <v>68</v>
      </c>
      <c r="B5334" s="1">
        <v>45231</v>
      </c>
      <c r="C5334">
        <v>851130</v>
      </c>
      <c r="D5334" t="s">
        <v>176</v>
      </c>
      <c r="E5334">
        <v>0</v>
      </c>
      <c r="F5334">
        <v>0</v>
      </c>
      <c r="G5334">
        <v>0</v>
      </c>
      <c r="H5334">
        <f>_xlfn.XLOOKUP(FACT_IMPORTS[[#This Row],[hts_6]],DIM_PRODUCTS[hts_6],DIM_PRODUCTS[hts_4],,,)</f>
        <v>8511</v>
      </c>
      <c r="I5334" t="str" cm="1">
        <f t="array" ref="I5334">_xlfn.XLOOKUP(FACT_IMPORTS[[#This Row],[country_name]],DIM_COUNTRY[[#All],[Column2]],DIM_COUNTRY[[#All],[Column3]],,,)</f>
        <v>Major_Non-USMCA_Non-China</v>
      </c>
    </row>
    <row r="5335" spans="1:9" x14ac:dyDescent="0.4">
      <c r="A5335" t="s">
        <v>68</v>
      </c>
      <c r="B5335" s="1">
        <v>45231</v>
      </c>
      <c r="C5335">
        <v>851140</v>
      </c>
      <c r="D5335" t="s">
        <v>176</v>
      </c>
      <c r="E5335">
        <v>0</v>
      </c>
      <c r="F5335">
        <v>0</v>
      </c>
      <c r="G5335">
        <v>0</v>
      </c>
      <c r="H5335">
        <f>_xlfn.XLOOKUP(FACT_IMPORTS[[#This Row],[hts_6]],DIM_PRODUCTS[hts_6],DIM_PRODUCTS[hts_4],,,)</f>
        <v>8511</v>
      </c>
      <c r="I5335" t="str" cm="1">
        <f t="array" ref="I5335">_xlfn.XLOOKUP(FACT_IMPORTS[[#This Row],[country_name]],DIM_COUNTRY[[#All],[Column2]],DIM_COUNTRY[[#All],[Column3]],,,)</f>
        <v>Major_Non-USMCA_Non-China</v>
      </c>
    </row>
    <row r="5336" spans="1:9" x14ac:dyDescent="0.4">
      <c r="A5336" t="s">
        <v>68</v>
      </c>
      <c r="B5336" s="1">
        <v>45231</v>
      </c>
      <c r="C5336">
        <v>851150</v>
      </c>
      <c r="D5336" t="s">
        <v>176</v>
      </c>
      <c r="E5336">
        <v>13023</v>
      </c>
      <c r="F5336">
        <v>17</v>
      </c>
      <c r="G5336">
        <v>458</v>
      </c>
      <c r="H5336">
        <f>_xlfn.XLOOKUP(FACT_IMPORTS[[#This Row],[hts_6]],DIM_PRODUCTS[hts_6],DIM_PRODUCTS[hts_4],,,)</f>
        <v>8511</v>
      </c>
      <c r="I5336" t="str" cm="1">
        <f t="array" ref="I5336">_xlfn.XLOOKUP(FACT_IMPORTS[[#This Row],[country_name]],DIM_COUNTRY[[#All],[Column2]],DIM_COUNTRY[[#All],[Column3]],,,)</f>
        <v>Major_Non-USMCA_Non-China</v>
      </c>
    </row>
    <row r="5337" spans="1:9" x14ac:dyDescent="0.4">
      <c r="A5337" t="s">
        <v>68</v>
      </c>
      <c r="B5337" s="1">
        <v>45231</v>
      </c>
      <c r="C5337">
        <v>851180</v>
      </c>
      <c r="D5337" t="s">
        <v>176</v>
      </c>
      <c r="E5337">
        <v>200856</v>
      </c>
      <c r="F5337">
        <v>5492</v>
      </c>
      <c r="G5337">
        <v>461</v>
      </c>
      <c r="H5337">
        <f>_xlfn.XLOOKUP(FACT_IMPORTS[[#This Row],[hts_6]],DIM_PRODUCTS[hts_6],DIM_PRODUCTS[hts_4],,,)</f>
        <v>8511</v>
      </c>
      <c r="I5337" t="str" cm="1">
        <f t="array" ref="I5337">_xlfn.XLOOKUP(FACT_IMPORTS[[#This Row],[country_name]],DIM_COUNTRY[[#All],[Column2]],DIM_COUNTRY[[#All],[Column3]],,,)</f>
        <v>Major_Non-USMCA_Non-China</v>
      </c>
    </row>
    <row r="5338" spans="1:9" x14ac:dyDescent="0.4">
      <c r="A5338" t="s">
        <v>68</v>
      </c>
      <c r="B5338" s="1">
        <v>45231</v>
      </c>
      <c r="C5338">
        <v>851190</v>
      </c>
      <c r="D5338" t="s">
        <v>176</v>
      </c>
      <c r="E5338">
        <v>10983</v>
      </c>
      <c r="F5338">
        <v>24</v>
      </c>
      <c r="G5338">
        <v>310</v>
      </c>
      <c r="H5338">
        <f>_xlfn.XLOOKUP(FACT_IMPORTS[[#This Row],[hts_6]],DIM_PRODUCTS[hts_6],DIM_PRODUCTS[hts_4],,,)</f>
        <v>8511</v>
      </c>
      <c r="I5338" t="str" cm="1">
        <f t="array" ref="I5338">_xlfn.XLOOKUP(FACT_IMPORTS[[#This Row],[country_name]],DIM_COUNTRY[[#All],[Column2]],DIM_COUNTRY[[#All],[Column3]],,,)</f>
        <v>Major_Non-USMCA_Non-China</v>
      </c>
    </row>
    <row r="5339" spans="1:9" x14ac:dyDescent="0.4">
      <c r="A5339" t="s">
        <v>68</v>
      </c>
      <c r="B5339" s="1">
        <v>45231</v>
      </c>
      <c r="C5339">
        <v>851220</v>
      </c>
      <c r="D5339" t="s">
        <v>176</v>
      </c>
      <c r="E5339">
        <v>228228</v>
      </c>
      <c r="F5339">
        <v>27769</v>
      </c>
      <c r="G5339">
        <v>740</v>
      </c>
      <c r="H5339">
        <f>_xlfn.XLOOKUP(FACT_IMPORTS[[#This Row],[hts_6]],DIM_PRODUCTS[hts_6],DIM_PRODUCTS[hts_4],,,)</f>
        <v>8512</v>
      </c>
      <c r="I5339" t="str" cm="1">
        <f t="array" ref="I5339">_xlfn.XLOOKUP(FACT_IMPORTS[[#This Row],[country_name]],DIM_COUNTRY[[#All],[Column2]],DIM_COUNTRY[[#All],[Column3]],,,)</f>
        <v>Major_Non-USMCA_Non-China</v>
      </c>
    </row>
    <row r="5340" spans="1:9" x14ac:dyDescent="0.4">
      <c r="A5340" t="s">
        <v>68</v>
      </c>
      <c r="B5340" s="1">
        <v>45231</v>
      </c>
      <c r="C5340">
        <v>851230</v>
      </c>
      <c r="D5340" t="s">
        <v>176</v>
      </c>
      <c r="E5340">
        <v>7706</v>
      </c>
      <c r="F5340">
        <v>68</v>
      </c>
      <c r="G5340">
        <v>153</v>
      </c>
      <c r="H5340">
        <f>_xlfn.XLOOKUP(FACT_IMPORTS[[#This Row],[hts_6]],DIM_PRODUCTS[hts_6],DIM_PRODUCTS[hts_4],,,)</f>
        <v>8512</v>
      </c>
      <c r="I5340" t="str" cm="1">
        <f t="array" ref="I5340">_xlfn.XLOOKUP(FACT_IMPORTS[[#This Row],[country_name]],DIM_COUNTRY[[#All],[Column2]],DIM_COUNTRY[[#All],[Column3]],,,)</f>
        <v>Major_Non-USMCA_Non-China</v>
      </c>
    </row>
    <row r="5341" spans="1:9" x14ac:dyDescent="0.4">
      <c r="A5341" t="s">
        <v>68</v>
      </c>
      <c r="B5341" s="1">
        <v>45231</v>
      </c>
      <c r="C5341">
        <v>851290</v>
      </c>
      <c r="D5341" t="s">
        <v>176</v>
      </c>
      <c r="E5341">
        <v>6431</v>
      </c>
      <c r="F5341">
        <v>293</v>
      </c>
      <c r="G5341">
        <v>22</v>
      </c>
      <c r="H5341">
        <f>_xlfn.XLOOKUP(FACT_IMPORTS[[#This Row],[hts_6]],DIM_PRODUCTS[hts_6],DIM_PRODUCTS[hts_4],,,)</f>
        <v>8512</v>
      </c>
      <c r="I5341" t="str" cm="1">
        <f t="array" ref="I5341">_xlfn.XLOOKUP(FACT_IMPORTS[[#This Row],[country_name]],DIM_COUNTRY[[#All],[Column2]],DIM_COUNTRY[[#All],[Column3]],,,)</f>
        <v>Major_Non-USMCA_Non-China</v>
      </c>
    </row>
    <row r="5342" spans="1:9" x14ac:dyDescent="0.4">
      <c r="A5342" t="s">
        <v>68</v>
      </c>
      <c r="B5342" s="1">
        <v>45231</v>
      </c>
      <c r="C5342">
        <v>854231</v>
      </c>
      <c r="D5342" t="s">
        <v>176</v>
      </c>
      <c r="E5342">
        <v>56305</v>
      </c>
      <c r="F5342">
        <v>59</v>
      </c>
      <c r="G5342">
        <v>1204</v>
      </c>
      <c r="H5342">
        <f>_xlfn.XLOOKUP(FACT_IMPORTS[[#This Row],[hts_6]],DIM_PRODUCTS[hts_6],DIM_PRODUCTS[hts_4],,,)</f>
        <v>8542</v>
      </c>
      <c r="I5342" t="str" cm="1">
        <f t="array" ref="I5342">_xlfn.XLOOKUP(FACT_IMPORTS[[#This Row],[country_name]],DIM_COUNTRY[[#All],[Column2]],DIM_COUNTRY[[#All],[Column3]],,,)</f>
        <v>Major_Non-USMCA_Non-China</v>
      </c>
    </row>
    <row r="5343" spans="1:9" x14ac:dyDescent="0.4">
      <c r="A5343" t="s">
        <v>68</v>
      </c>
      <c r="B5343" s="1">
        <v>45231</v>
      </c>
      <c r="C5343">
        <v>854232</v>
      </c>
      <c r="D5343" t="s">
        <v>176</v>
      </c>
      <c r="E5343">
        <v>0</v>
      </c>
      <c r="F5343">
        <v>0</v>
      </c>
      <c r="G5343">
        <v>0</v>
      </c>
      <c r="H5343">
        <f>_xlfn.XLOOKUP(FACT_IMPORTS[[#This Row],[hts_6]],DIM_PRODUCTS[hts_6],DIM_PRODUCTS[hts_4],,,)</f>
        <v>8542</v>
      </c>
      <c r="I5343" t="str" cm="1">
        <f t="array" ref="I5343">_xlfn.XLOOKUP(FACT_IMPORTS[[#This Row],[country_name]],DIM_COUNTRY[[#All],[Column2]],DIM_COUNTRY[[#All],[Column3]],,,)</f>
        <v>Major_Non-USMCA_Non-China</v>
      </c>
    </row>
    <row r="5344" spans="1:9" x14ac:dyDescent="0.4">
      <c r="A5344" t="s">
        <v>68</v>
      </c>
      <c r="B5344" s="1">
        <v>45231</v>
      </c>
      <c r="C5344">
        <v>854233</v>
      </c>
      <c r="D5344" t="s">
        <v>176</v>
      </c>
      <c r="E5344">
        <v>5987</v>
      </c>
      <c r="F5344">
        <v>1</v>
      </c>
      <c r="G5344">
        <v>24</v>
      </c>
      <c r="H5344">
        <f>_xlfn.XLOOKUP(FACT_IMPORTS[[#This Row],[hts_6]],DIM_PRODUCTS[hts_6],DIM_PRODUCTS[hts_4],,,)</f>
        <v>8542</v>
      </c>
      <c r="I5344" t="str" cm="1">
        <f t="array" ref="I5344">_xlfn.XLOOKUP(FACT_IMPORTS[[#This Row],[country_name]],DIM_COUNTRY[[#All],[Column2]],DIM_COUNTRY[[#All],[Column3]],,,)</f>
        <v>Major_Non-USMCA_Non-China</v>
      </c>
    </row>
    <row r="5345" spans="1:9" x14ac:dyDescent="0.4">
      <c r="A5345" t="s">
        <v>68</v>
      </c>
      <c r="B5345" s="1">
        <v>45231</v>
      </c>
      <c r="C5345">
        <v>854239</v>
      </c>
      <c r="D5345" t="s">
        <v>176</v>
      </c>
      <c r="E5345">
        <v>0</v>
      </c>
      <c r="F5345">
        <v>0</v>
      </c>
      <c r="G5345">
        <v>0</v>
      </c>
      <c r="H5345">
        <f>_xlfn.XLOOKUP(FACT_IMPORTS[[#This Row],[hts_6]],DIM_PRODUCTS[hts_6],DIM_PRODUCTS[hts_4],,,)</f>
        <v>8542</v>
      </c>
      <c r="I5345" t="str" cm="1">
        <f t="array" ref="I5345">_xlfn.XLOOKUP(FACT_IMPORTS[[#This Row],[country_name]],DIM_COUNTRY[[#All],[Column2]],DIM_COUNTRY[[#All],[Column3]],,,)</f>
        <v>Major_Non-USMCA_Non-China</v>
      </c>
    </row>
    <row r="5346" spans="1:9" x14ac:dyDescent="0.4">
      <c r="A5346" t="s">
        <v>68</v>
      </c>
      <c r="B5346" s="1">
        <v>45231</v>
      </c>
      <c r="C5346">
        <v>854290</v>
      </c>
      <c r="D5346" t="s">
        <v>176</v>
      </c>
      <c r="E5346">
        <v>4125</v>
      </c>
      <c r="F5346">
        <v>14</v>
      </c>
      <c r="G5346">
        <v>54</v>
      </c>
      <c r="H5346">
        <f>_xlfn.XLOOKUP(FACT_IMPORTS[[#This Row],[hts_6]],DIM_PRODUCTS[hts_6],DIM_PRODUCTS[hts_4],,,)</f>
        <v>8542</v>
      </c>
      <c r="I5346" t="str" cm="1">
        <f t="array" ref="I5346">_xlfn.XLOOKUP(FACT_IMPORTS[[#This Row],[country_name]],DIM_COUNTRY[[#All],[Column2]],DIM_COUNTRY[[#All],[Column3]],,,)</f>
        <v>Major_Non-USMCA_Non-China</v>
      </c>
    </row>
    <row r="5347" spans="1:9" x14ac:dyDescent="0.4">
      <c r="A5347" t="s">
        <v>68</v>
      </c>
      <c r="B5347" s="1">
        <v>45231</v>
      </c>
      <c r="C5347">
        <v>854430</v>
      </c>
      <c r="D5347" t="s">
        <v>176</v>
      </c>
      <c r="E5347">
        <v>253206</v>
      </c>
      <c r="F5347">
        <v>16933</v>
      </c>
      <c r="G5347">
        <v>1623</v>
      </c>
      <c r="H5347">
        <f>_xlfn.XLOOKUP(FACT_IMPORTS[[#This Row],[hts_6]],DIM_PRODUCTS[hts_6],DIM_PRODUCTS[hts_4],,,)</f>
        <v>8544</v>
      </c>
      <c r="I5347" t="str" cm="1">
        <f t="array" ref="I5347">_xlfn.XLOOKUP(FACT_IMPORTS[[#This Row],[country_name]],DIM_COUNTRY[[#All],[Column2]],DIM_COUNTRY[[#All],[Column3]],,,)</f>
        <v>Major_Non-USMCA_Non-China</v>
      </c>
    </row>
    <row r="5348" spans="1:9" x14ac:dyDescent="0.4">
      <c r="A5348" t="s">
        <v>68</v>
      </c>
      <c r="B5348" s="1">
        <v>45231</v>
      </c>
      <c r="C5348">
        <v>870790</v>
      </c>
      <c r="D5348" t="s">
        <v>176</v>
      </c>
      <c r="E5348">
        <v>0</v>
      </c>
      <c r="F5348">
        <v>0</v>
      </c>
      <c r="G5348">
        <v>0</v>
      </c>
      <c r="H5348">
        <f>_xlfn.XLOOKUP(FACT_IMPORTS[[#This Row],[hts_6]],DIM_PRODUCTS[hts_6],DIM_PRODUCTS[hts_4],,,)</f>
        <v>8707</v>
      </c>
      <c r="I5348" t="str" cm="1">
        <f t="array" ref="I5348">_xlfn.XLOOKUP(FACT_IMPORTS[[#This Row],[country_name]],DIM_COUNTRY[[#All],[Column2]],DIM_COUNTRY[[#All],[Column3]],,,)</f>
        <v>Major_Non-USMCA_Non-China</v>
      </c>
    </row>
    <row r="5349" spans="1:9" x14ac:dyDescent="0.4">
      <c r="A5349" t="s">
        <v>68</v>
      </c>
      <c r="B5349" s="1">
        <v>45231</v>
      </c>
      <c r="C5349">
        <v>870810</v>
      </c>
      <c r="D5349" t="s">
        <v>176</v>
      </c>
      <c r="E5349">
        <v>19849</v>
      </c>
      <c r="F5349">
        <v>6953</v>
      </c>
      <c r="G5349">
        <v>193</v>
      </c>
      <c r="H5349">
        <f>_xlfn.XLOOKUP(FACT_IMPORTS[[#This Row],[hts_6]],DIM_PRODUCTS[hts_6],DIM_PRODUCTS[hts_4],,,)</f>
        <v>8708</v>
      </c>
      <c r="I5349" t="str" cm="1">
        <f t="array" ref="I5349">_xlfn.XLOOKUP(FACT_IMPORTS[[#This Row],[country_name]],DIM_COUNTRY[[#All],[Column2]],DIM_COUNTRY[[#All],[Column3]],,,)</f>
        <v>Major_Non-USMCA_Non-China</v>
      </c>
    </row>
    <row r="5350" spans="1:9" x14ac:dyDescent="0.4">
      <c r="A5350" t="s">
        <v>68</v>
      </c>
      <c r="B5350" s="1">
        <v>45231</v>
      </c>
      <c r="C5350">
        <v>870822</v>
      </c>
      <c r="D5350" t="s">
        <v>176</v>
      </c>
      <c r="E5350">
        <v>99385</v>
      </c>
      <c r="F5350">
        <v>398</v>
      </c>
      <c r="G5350">
        <v>1</v>
      </c>
      <c r="H5350">
        <f>_xlfn.XLOOKUP(FACT_IMPORTS[[#This Row],[hts_6]],DIM_PRODUCTS[hts_6],DIM_PRODUCTS[hts_4],,,)</f>
        <v>8708</v>
      </c>
      <c r="I5350" t="str" cm="1">
        <f t="array" ref="I5350">_xlfn.XLOOKUP(FACT_IMPORTS[[#This Row],[country_name]],DIM_COUNTRY[[#All],[Column2]],DIM_COUNTRY[[#All],[Column3]],,,)</f>
        <v>Major_Non-USMCA_Non-China</v>
      </c>
    </row>
    <row r="5351" spans="1:9" x14ac:dyDescent="0.4">
      <c r="A5351" t="s">
        <v>68</v>
      </c>
      <c r="B5351" s="1">
        <v>45231</v>
      </c>
      <c r="C5351">
        <v>870829</v>
      </c>
      <c r="D5351" t="s">
        <v>176</v>
      </c>
      <c r="E5351">
        <v>1425240</v>
      </c>
      <c r="F5351">
        <v>501020</v>
      </c>
      <c r="G5351">
        <v>26345</v>
      </c>
      <c r="H5351">
        <f>_xlfn.XLOOKUP(FACT_IMPORTS[[#This Row],[hts_6]],DIM_PRODUCTS[hts_6],DIM_PRODUCTS[hts_4],,,)</f>
        <v>8708</v>
      </c>
      <c r="I5351" t="str" cm="1">
        <f t="array" ref="I5351">_xlfn.XLOOKUP(FACT_IMPORTS[[#This Row],[country_name]],DIM_COUNTRY[[#All],[Column2]],DIM_COUNTRY[[#All],[Column3]],,,)</f>
        <v>Major_Non-USMCA_Non-China</v>
      </c>
    </row>
    <row r="5352" spans="1:9" x14ac:dyDescent="0.4">
      <c r="A5352" t="s">
        <v>68</v>
      </c>
      <c r="B5352" s="1">
        <v>45231</v>
      </c>
      <c r="C5352">
        <v>870830</v>
      </c>
      <c r="D5352" t="s">
        <v>176</v>
      </c>
      <c r="E5352">
        <v>222644</v>
      </c>
      <c r="F5352">
        <v>111746</v>
      </c>
      <c r="G5352">
        <v>7581</v>
      </c>
      <c r="H5352">
        <f>_xlfn.XLOOKUP(FACT_IMPORTS[[#This Row],[hts_6]],DIM_PRODUCTS[hts_6],DIM_PRODUCTS[hts_4],,,)</f>
        <v>8708</v>
      </c>
      <c r="I5352" t="str" cm="1">
        <f t="array" ref="I5352">_xlfn.XLOOKUP(FACT_IMPORTS[[#This Row],[country_name]],DIM_COUNTRY[[#All],[Column2]],DIM_COUNTRY[[#All],[Column3]],,,)</f>
        <v>Major_Non-USMCA_Non-China</v>
      </c>
    </row>
    <row r="5353" spans="1:9" x14ac:dyDescent="0.4">
      <c r="A5353" t="s">
        <v>68</v>
      </c>
      <c r="B5353" s="1">
        <v>45231</v>
      </c>
      <c r="C5353">
        <v>870840</v>
      </c>
      <c r="D5353" t="s">
        <v>176</v>
      </c>
      <c r="E5353">
        <v>65216793</v>
      </c>
      <c r="F5353">
        <v>920353</v>
      </c>
      <c r="G5353">
        <v>142572</v>
      </c>
      <c r="H5353">
        <f>_xlfn.XLOOKUP(FACT_IMPORTS[[#This Row],[hts_6]],DIM_PRODUCTS[hts_6],DIM_PRODUCTS[hts_4],,,)</f>
        <v>8708</v>
      </c>
      <c r="I5353" t="str" cm="1">
        <f t="array" ref="I5353">_xlfn.XLOOKUP(FACT_IMPORTS[[#This Row],[country_name]],DIM_COUNTRY[[#All],[Column2]],DIM_COUNTRY[[#All],[Column3]],,,)</f>
        <v>Major_Non-USMCA_Non-China</v>
      </c>
    </row>
    <row r="5354" spans="1:9" x14ac:dyDescent="0.4">
      <c r="A5354" t="s">
        <v>68</v>
      </c>
      <c r="B5354" s="1">
        <v>45231</v>
      </c>
      <c r="C5354">
        <v>870850</v>
      </c>
      <c r="D5354" t="s">
        <v>176</v>
      </c>
      <c r="E5354">
        <v>9915168</v>
      </c>
      <c r="F5354">
        <v>469581</v>
      </c>
      <c r="G5354">
        <v>122680</v>
      </c>
      <c r="H5354">
        <f>_xlfn.XLOOKUP(FACT_IMPORTS[[#This Row],[hts_6]],DIM_PRODUCTS[hts_6],DIM_PRODUCTS[hts_4],,,)</f>
        <v>8708</v>
      </c>
      <c r="I5354" t="str" cm="1">
        <f t="array" ref="I5354">_xlfn.XLOOKUP(FACT_IMPORTS[[#This Row],[country_name]],DIM_COUNTRY[[#All],[Column2]],DIM_COUNTRY[[#All],[Column3]],,,)</f>
        <v>Major_Non-USMCA_Non-China</v>
      </c>
    </row>
    <row r="5355" spans="1:9" x14ac:dyDescent="0.4">
      <c r="A5355" t="s">
        <v>68</v>
      </c>
      <c r="B5355" s="1">
        <v>45231</v>
      </c>
      <c r="C5355">
        <v>870870</v>
      </c>
      <c r="D5355" t="s">
        <v>176</v>
      </c>
      <c r="E5355">
        <v>8065</v>
      </c>
      <c r="F5355">
        <v>100</v>
      </c>
      <c r="G5355">
        <v>66</v>
      </c>
      <c r="H5355">
        <f>_xlfn.XLOOKUP(FACT_IMPORTS[[#This Row],[hts_6]],DIM_PRODUCTS[hts_6],DIM_PRODUCTS[hts_4],,,)</f>
        <v>8708</v>
      </c>
      <c r="I5355" t="str" cm="1">
        <f t="array" ref="I5355">_xlfn.XLOOKUP(FACT_IMPORTS[[#This Row],[country_name]],DIM_COUNTRY[[#All],[Column2]],DIM_COUNTRY[[#All],[Column3]],,,)</f>
        <v>Major_Non-USMCA_Non-China</v>
      </c>
    </row>
    <row r="5356" spans="1:9" x14ac:dyDescent="0.4">
      <c r="A5356" t="s">
        <v>68</v>
      </c>
      <c r="B5356" s="1">
        <v>45231</v>
      </c>
      <c r="C5356">
        <v>870880</v>
      </c>
      <c r="D5356" t="s">
        <v>176</v>
      </c>
      <c r="E5356">
        <v>1697880</v>
      </c>
      <c r="F5356">
        <v>713206</v>
      </c>
      <c r="G5356">
        <v>28166</v>
      </c>
      <c r="H5356">
        <f>_xlfn.XLOOKUP(FACT_IMPORTS[[#This Row],[hts_6]],DIM_PRODUCTS[hts_6],DIM_PRODUCTS[hts_4],,,)</f>
        <v>8708</v>
      </c>
      <c r="I5356" t="str" cm="1">
        <f t="array" ref="I5356">_xlfn.XLOOKUP(FACT_IMPORTS[[#This Row],[country_name]],DIM_COUNTRY[[#All],[Column2]],DIM_COUNTRY[[#All],[Column3]],,,)</f>
        <v>Major_Non-USMCA_Non-China</v>
      </c>
    </row>
    <row r="5357" spans="1:9" x14ac:dyDescent="0.4">
      <c r="A5357" t="s">
        <v>68</v>
      </c>
      <c r="B5357" s="1">
        <v>45231</v>
      </c>
      <c r="C5357">
        <v>870891</v>
      </c>
      <c r="D5357" t="s">
        <v>176</v>
      </c>
      <c r="E5357">
        <v>207352</v>
      </c>
      <c r="F5357">
        <v>605</v>
      </c>
      <c r="G5357">
        <v>10494</v>
      </c>
      <c r="H5357">
        <f>_xlfn.XLOOKUP(FACT_IMPORTS[[#This Row],[hts_6]],DIM_PRODUCTS[hts_6],DIM_PRODUCTS[hts_4],,,)</f>
        <v>8708</v>
      </c>
      <c r="I5357" t="str" cm="1">
        <f t="array" ref="I5357">_xlfn.XLOOKUP(FACT_IMPORTS[[#This Row],[country_name]],DIM_COUNTRY[[#All],[Column2]],DIM_COUNTRY[[#All],[Column3]],,,)</f>
        <v>Major_Non-USMCA_Non-China</v>
      </c>
    </row>
    <row r="5358" spans="1:9" x14ac:dyDescent="0.4">
      <c r="A5358" t="s">
        <v>68</v>
      </c>
      <c r="B5358" s="1">
        <v>45231</v>
      </c>
      <c r="C5358">
        <v>870892</v>
      </c>
      <c r="D5358" t="s">
        <v>176</v>
      </c>
      <c r="E5358">
        <v>78498</v>
      </c>
      <c r="F5358">
        <v>92677</v>
      </c>
      <c r="G5358">
        <v>5704</v>
      </c>
      <c r="H5358">
        <f>_xlfn.XLOOKUP(FACT_IMPORTS[[#This Row],[hts_6]],DIM_PRODUCTS[hts_6],DIM_PRODUCTS[hts_4],,,)</f>
        <v>8708</v>
      </c>
      <c r="I5358" t="str" cm="1">
        <f t="array" ref="I5358">_xlfn.XLOOKUP(FACT_IMPORTS[[#This Row],[country_name]],DIM_COUNTRY[[#All],[Column2]],DIM_COUNTRY[[#All],[Column3]],,,)</f>
        <v>Major_Non-USMCA_Non-China</v>
      </c>
    </row>
    <row r="5359" spans="1:9" x14ac:dyDescent="0.4">
      <c r="A5359" t="s">
        <v>68</v>
      </c>
      <c r="B5359" s="1">
        <v>45231</v>
      </c>
      <c r="C5359">
        <v>870893</v>
      </c>
      <c r="D5359" t="s">
        <v>176</v>
      </c>
      <c r="E5359">
        <v>582614</v>
      </c>
      <c r="F5359">
        <v>60368</v>
      </c>
      <c r="G5359">
        <v>12711</v>
      </c>
      <c r="H5359">
        <f>_xlfn.XLOOKUP(FACT_IMPORTS[[#This Row],[hts_6]],DIM_PRODUCTS[hts_6],DIM_PRODUCTS[hts_4],,,)</f>
        <v>8708</v>
      </c>
      <c r="I5359" t="str" cm="1">
        <f t="array" ref="I5359">_xlfn.XLOOKUP(FACT_IMPORTS[[#This Row],[country_name]],DIM_COUNTRY[[#All],[Column2]],DIM_COUNTRY[[#All],[Column3]],,,)</f>
        <v>Major_Non-USMCA_Non-China</v>
      </c>
    </row>
    <row r="5360" spans="1:9" x14ac:dyDescent="0.4">
      <c r="A5360" t="s">
        <v>68</v>
      </c>
      <c r="B5360" s="1">
        <v>45231</v>
      </c>
      <c r="C5360">
        <v>870894</v>
      </c>
      <c r="D5360" t="s">
        <v>176</v>
      </c>
      <c r="E5360">
        <v>74724</v>
      </c>
      <c r="F5360">
        <v>4308</v>
      </c>
      <c r="G5360">
        <v>1824</v>
      </c>
      <c r="H5360">
        <f>_xlfn.XLOOKUP(FACT_IMPORTS[[#This Row],[hts_6]],DIM_PRODUCTS[hts_6],DIM_PRODUCTS[hts_4],,,)</f>
        <v>8708</v>
      </c>
      <c r="I5360" t="str" cm="1">
        <f t="array" ref="I5360">_xlfn.XLOOKUP(FACT_IMPORTS[[#This Row],[country_name]],DIM_COUNTRY[[#All],[Column2]],DIM_COUNTRY[[#All],[Column3]],,,)</f>
        <v>Major_Non-USMCA_Non-China</v>
      </c>
    </row>
    <row r="5361" spans="1:9" x14ac:dyDescent="0.4">
      <c r="A5361" t="s">
        <v>68</v>
      </c>
      <c r="B5361" s="1">
        <v>45231</v>
      </c>
      <c r="C5361">
        <v>870895</v>
      </c>
      <c r="D5361" t="s">
        <v>176</v>
      </c>
      <c r="E5361">
        <v>22485</v>
      </c>
      <c r="F5361">
        <v>2479</v>
      </c>
      <c r="G5361">
        <v>1323</v>
      </c>
      <c r="H5361">
        <f>_xlfn.XLOOKUP(FACT_IMPORTS[[#This Row],[hts_6]],DIM_PRODUCTS[hts_6],DIM_PRODUCTS[hts_4],,,)</f>
        <v>8708</v>
      </c>
      <c r="I5361" t="str" cm="1">
        <f t="array" ref="I5361">_xlfn.XLOOKUP(FACT_IMPORTS[[#This Row],[country_name]],DIM_COUNTRY[[#All],[Column2]],DIM_COUNTRY[[#All],[Column3]],,,)</f>
        <v>Major_Non-USMCA_Non-China</v>
      </c>
    </row>
    <row r="5362" spans="1:9" x14ac:dyDescent="0.4">
      <c r="A5362" t="s">
        <v>68</v>
      </c>
      <c r="B5362" s="1">
        <v>45231</v>
      </c>
      <c r="C5362">
        <v>870899</v>
      </c>
      <c r="D5362" t="s">
        <v>176</v>
      </c>
      <c r="E5362">
        <v>4391324</v>
      </c>
      <c r="F5362">
        <v>558683</v>
      </c>
      <c r="G5362">
        <v>43134</v>
      </c>
      <c r="H5362">
        <f>_xlfn.XLOOKUP(FACT_IMPORTS[[#This Row],[hts_6]],DIM_PRODUCTS[hts_6],DIM_PRODUCTS[hts_4],,,)</f>
        <v>8708</v>
      </c>
      <c r="I5362" t="str" cm="1">
        <f t="array" ref="I5362">_xlfn.XLOOKUP(FACT_IMPORTS[[#This Row],[country_name]],DIM_COUNTRY[[#All],[Column2]],DIM_COUNTRY[[#All],[Column3]],,,)</f>
        <v>Major_Non-USMCA_Non-China</v>
      </c>
    </row>
    <row r="5363" spans="1:9" x14ac:dyDescent="0.4">
      <c r="A5363" t="s">
        <v>68</v>
      </c>
      <c r="B5363" s="1">
        <v>45231</v>
      </c>
      <c r="C5363">
        <v>940120</v>
      </c>
      <c r="D5363" t="s">
        <v>176</v>
      </c>
      <c r="E5363">
        <v>172328</v>
      </c>
      <c r="F5363">
        <v>93</v>
      </c>
      <c r="G5363">
        <v>2329</v>
      </c>
      <c r="H5363">
        <f>_xlfn.XLOOKUP(FACT_IMPORTS[[#This Row],[hts_6]],DIM_PRODUCTS[hts_6],DIM_PRODUCTS[hts_4],,,)</f>
        <v>9401</v>
      </c>
      <c r="I5363" t="str" cm="1">
        <f t="array" ref="I5363">_xlfn.XLOOKUP(FACT_IMPORTS[[#This Row],[country_name]],DIM_COUNTRY[[#All],[Column2]],DIM_COUNTRY[[#All],[Column3]],,,)</f>
        <v>Major_Non-USMCA_Non-China</v>
      </c>
    </row>
    <row r="5364" spans="1:9" x14ac:dyDescent="0.4">
      <c r="A5364" t="s">
        <v>68</v>
      </c>
      <c r="B5364" s="1">
        <v>45261</v>
      </c>
      <c r="C5364">
        <v>392630</v>
      </c>
      <c r="D5364" t="s">
        <v>176</v>
      </c>
      <c r="E5364">
        <v>240576</v>
      </c>
      <c r="F5364">
        <v>38712</v>
      </c>
      <c r="G5364">
        <v>6003</v>
      </c>
      <c r="H5364">
        <f>_xlfn.XLOOKUP(FACT_IMPORTS[[#This Row],[hts_6]],DIM_PRODUCTS[hts_6],DIM_PRODUCTS[hts_4],,,)</f>
        <v>3926</v>
      </c>
      <c r="I5364" t="str" cm="1">
        <f t="array" ref="I5364">_xlfn.XLOOKUP(FACT_IMPORTS[[#This Row],[country_name]],DIM_COUNTRY[[#All],[Column2]],DIM_COUNTRY[[#All],[Column3]],,,)</f>
        <v>Major_Non-USMCA_Non-China</v>
      </c>
    </row>
    <row r="5365" spans="1:9" x14ac:dyDescent="0.4">
      <c r="A5365" t="s">
        <v>68</v>
      </c>
      <c r="B5365" s="1">
        <v>45261</v>
      </c>
      <c r="C5365">
        <v>401110</v>
      </c>
      <c r="D5365" t="s">
        <v>176</v>
      </c>
      <c r="E5365">
        <v>64388</v>
      </c>
      <c r="F5365">
        <v>454</v>
      </c>
      <c r="G5365">
        <v>2621</v>
      </c>
      <c r="H5365">
        <f>_xlfn.XLOOKUP(FACT_IMPORTS[[#This Row],[hts_6]],DIM_PRODUCTS[hts_6],DIM_PRODUCTS[hts_4],,,)</f>
        <v>4011</v>
      </c>
      <c r="I5365" t="str" cm="1">
        <f t="array" ref="I5365">_xlfn.XLOOKUP(FACT_IMPORTS[[#This Row],[country_name]],DIM_COUNTRY[[#All],[Column2]],DIM_COUNTRY[[#All],[Column3]],,,)</f>
        <v>Major_Non-USMCA_Non-China</v>
      </c>
    </row>
    <row r="5366" spans="1:9" x14ac:dyDescent="0.4">
      <c r="A5366" t="s">
        <v>68</v>
      </c>
      <c r="B5366" s="1">
        <v>45261</v>
      </c>
      <c r="C5366">
        <v>401120</v>
      </c>
      <c r="D5366" t="s">
        <v>176</v>
      </c>
      <c r="E5366">
        <v>0</v>
      </c>
      <c r="F5366">
        <v>0</v>
      </c>
      <c r="G5366">
        <v>0</v>
      </c>
      <c r="H5366">
        <f>_xlfn.XLOOKUP(FACT_IMPORTS[[#This Row],[hts_6]],DIM_PRODUCTS[hts_6],DIM_PRODUCTS[hts_4],,,)</f>
        <v>4011</v>
      </c>
      <c r="I5366" t="str" cm="1">
        <f t="array" ref="I5366">_xlfn.XLOOKUP(FACT_IMPORTS[[#This Row],[country_name]],DIM_COUNTRY[[#All],[Column2]],DIM_COUNTRY[[#All],[Column3]],,,)</f>
        <v>Major_Non-USMCA_Non-China</v>
      </c>
    </row>
    <row r="5367" spans="1:9" x14ac:dyDescent="0.4">
      <c r="A5367" t="s">
        <v>68</v>
      </c>
      <c r="B5367" s="1">
        <v>45261</v>
      </c>
      <c r="C5367">
        <v>401140</v>
      </c>
      <c r="D5367" t="s">
        <v>176</v>
      </c>
      <c r="E5367">
        <v>0</v>
      </c>
      <c r="F5367">
        <v>0</v>
      </c>
      <c r="G5367">
        <v>0</v>
      </c>
      <c r="H5367">
        <f>_xlfn.XLOOKUP(FACT_IMPORTS[[#This Row],[hts_6]],DIM_PRODUCTS[hts_6],DIM_PRODUCTS[hts_4],,,)</f>
        <v>4011</v>
      </c>
      <c r="I5367" t="str" cm="1">
        <f t="array" ref="I5367">_xlfn.XLOOKUP(FACT_IMPORTS[[#This Row],[country_name]],DIM_COUNTRY[[#All],[Column2]],DIM_COUNTRY[[#All],[Column3]],,,)</f>
        <v>Major_Non-USMCA_Non-China</v>
      </c>
    </row>
    <row r="5368" spans="1:9" x14ac:dyDescent="0.4">
      <c r="A5368" t="s">
        <v>68</v>
      </c>
      <c r="B5368" s="1">
        <v>45261</v>
      </c>
      <c r="C5368">
        <v>401190</v>
      </c>
      <c r="D5368" t="s">
        <v>176</v>
      </c>
      <c r="E5368">
        <v>0</v>
      </c>
      <c r="F5368">
        <v>0</v>
      </c>
      <c r="G5368">
        <v>0</v>
      </c>
      <c r="H5368">
        <f>_xlfn.XLOOKUP(FACT_IMPORTS[[#This Row],[hts_6]],DIM_PRODUCTS[hts_6],DIM_PRODUCTS[hts_4],,,)</f>
        <v>4011</v>
      </c>
      <c r="I5368" t="str" cm="1">
        <f t="array" ref="I5368">_xlfn.XLOOKUP(FACT_IMPORTS[[#This Row],[country_name]],DIM_COUNTRY[[#All],[Column2]],DIM_COUNTRY[[#All],[Column3]],,,)</f>
        <v>Major_Non-USMCA_Non-China</v>
      </c>
    </row>
    <row r="5369" spans="1:9" x14ac:dyDescent="0.4">
      <c r="A5369" t="s">
        <v>68</v>
      </c>
      <c r="B5369" s="1">
        <v>45261</v>
      </c>
      <c r="C5369">
        <v>700711</v>
      </c>
      <c r="D5369" t="s">
        <v>176</v>
      </c>
      <c r="E5369">
        <v>20525</v>
      </c>
      <c r="F5369">
        <v>80</v>
      </c>
      <c r="G5369">
        <v>35</v>
      </c>
      <c r="H5369">
        <f>_xlfn.XLOOKUP(FACT_IMPORTS[[#This Row],[hts_6]],DIM_PRODUCTS[hts_6],DIM_PRODUCTS[hts_4],,,)</f>
        <v>7007</v>
      </c>
      <c r="I5369" t="str" cm="1">
        <f t="array" ref="I5369">_xlfn.XLOOKUP(FACT_IMPORTS[[#This Row],[country_name]],DIM_COUNTRY[[#All],[Column2]],DIM_COUNTRY[[#All],[Column3]],,,)</f>
        <v>Major_Non-USMCA_Non-China</v>
      </c>
    </row>
    <row r="5370" spans="1:9" x14ac:dyDescent="0.4">
      <c r="A5370" t="s">
        <v>68</v>
      </c>
      <c r="B5370" s="1">
        <v>45261</v>
      </c>
      <c r="C5370">
        <v>700721</v>
      </c>
      <c r="D5370" t="s">
        <v>176</v>
      </c>
      <c r="E5370">
        <v>0</v>
      </c>
      <c r="F5370">
        <v>0</v>
      </c>
      <c r="G5370">
        <v>0</v>
      </c>
      <c r="H5370">
        <f>_xlfn.XLOOKUP(FACT_IMPORTS[[#This Row],[hts_6]],DIM_PRODUCTS[hts_6],DIM_PRODUCTS[hts_4],,,)</f>
        <v>7007</v>
      </c>
      <c r="I5370" t="str" cm="1">
        <f t="array" ref="I5370">_xlfn.XLOOKUP(FACT_IMPORTS[[#This Row],[country_name]],DIM_COUNTRY[[#All],[Column2]],DIM_COUNTRY[[#All],[Column3]],,,)</f>
        <v>Major_Non-USMCA_Non-China</v>
      </c>
    </row>
    <row r="5371" spans="1:9" x14ac:dyDescent="0.4">
      <c r="A5371" t="s">
        <v>68</v>
      </c>
      <c r="B5371" s="1">
        <v>45261</v>
      </c>
      <c r="C5371">
        <v>732010</v>
      </c>
      <c r="D5371" t="s">
        <v>176</v>
      </c>
      <c r="E5371">
        <v>0</v>
      </c>
      <c r="F5371">
        <v>0</v>
      </c>
      <c r="G5371">
        <v>0</v>
      </c>
      <c r="H5371">
        <f>_xlfn.XLOOKUP(FACT_IMPORTS[[#This Row],[hts_6]],DIM_PRODUCTS[hts_6],DIM_PRODUCTS[hts_4],,,)</f>
        <v>7320</v>
      </c>
      <c r="I5371" t="str" cm="1">
        <f t="array" ref="I5371">_xlfn.XLOOKUP(FACT_IMPORTS[[#This Row],[country_name]],DIM_COUNTRY[[#All],[Column2]],DIM_COUNTRY[[#All],[Column3]],,,)</f>
        <v>Major_Non-USMCA_Non-China</v>
      </c>
    </row>
    <row r="5372" spans="1:9" x14ac:dyDescent="0.4">
      <c r="A5372" t="s">
        <v>68</v>
      </c>
      <c r="B5372" s="1">
        <v>45261</v>
      </c>
      <c r="C5372">
        <v>830230</v>
      </c>
      <c r="D5372" t="s">
        <v>176</v>
      </c>
      <c r="E5372">
        <v>206468</v>
      </c>
      <c r="F5372">
        <v>53865</v>
      </c>
      <c r="G5372">
        <v>13008</v>
      </c>
      <c r="H5372">
        <f>_xlfn.XLOOKUP(FACT_IMPORTS[[#This Row],[hts_6]],DIM_PRODUCTS[hts_6],DIM_PRODUCTS[hts_4],,,)</f>
        <v>8302</v>
      </c>
      <c r="I5372" t="str" cm="1">
        <f t="array" ref="I5372">_xlfn.XLOOKUP(FACT_IMPORTS[[#This Row],[country_name]],DIM_COUNTRY[[#All],[Column2]],DIM_COUNTRY[[#All],[Column3]],,,)</f>
        <v>Major_Non-USMCA_Non-China</v>
      </c>
    </row>
    <row r="5373" spans="1:9" x14ac:dyDescent="0.4">
      <c r="A5373" t="s">
        <v>68</v>
      </c>
      <c r="B5373" s="1">
        <v>45261</v>
      </c>
      <c r="C5373">
        <v>840731</v>
      </c>
      <c r="D5373" t="s">
        <v>176</v>
      </c>
      <c r="E5373">
        <v>0</v>
      </c>
      <c r="F5373">
        <v>0</v>
      </c>
      <c r="G5373">
        <v>0</v>
      </c>
      <c r="H5373">
        <f>_xlfn.XLOOKUP(FACT_IMPORTS[[#This Row],[hts_6]],DIM_PRODUCTS[hts_6],DIM_PRODUCTS[hts_4],,,)</f>
        <v>8407</v>
      </c>
      <c r="I5373" t="str" cm="1">
        <f t="array" ref="I5373">_xlfn.XLOOKUP(FACT_IMPORTS[[#This Row],[country_name]],DIM_COUNTRY[[#All],[Column2]],DIM_COUNTRY[[#All],[Column3]],,,)</f>
        <v>Major_Non-USMCA_Non-China</v>
      </c>
    </row>
    <row r="5374" spans="1:9" x14ac:dyDescent="0.4">
      <c r="A5374" t="s">
        <v>68</v>
      </c>
      <c r="B5374" s="1">
        <v>45261</v>
      </c>
      <c r="C5374">
        <v>840733</v>
      </c>
      <c r="D5374" t="s">
        <v>176</v>
      </c>
      <c r="E5374">
        <v>0</v>
      </c>
      <c r="F5374">
        <v>0</v>
      </c>
      <c r="G5374">
        <v>0</v>
      </c>
      <c r="H5374">
        <f>_xlfn.XLOOKUP(FACT_IMPORTS[[#This Row],[hts_6]],DIM_PRODUCTS[hts_6],DIM_PRODUCTS[hts_4],,,)</f>
        <v>8407</v>
      </c>
      <c r="I5374" t="str" cm="1">
        <f t="array" ref="I5374">_xlfn.XLOOKUP(FACT_IMPORTS[[#This Row],[country_name]],DIM_COUNTRY[[#All],[Column2]],DIM_COUNTRY[[#All],[Column3]],,,)</f>
        <v>Major_Non-USMCA_Non-China</v>
      </c>
    </row>
    <row r="5375" spans="1:9" x14ac:dyDescent="0.4">
      <c r="A5375" t="s">
        <v>68</v>
      </c>
      <c r="B5375" s="1">
        <v>45261</v>
      </c>
      <c r="C5375">
        <v>840734</v>
      </c>
      <c r="D5375" t="s">
        <v>176</v>
      </c>
      <c r="E5375">
        <v>17634</v>
      </c>
      <c r="F5375">
        <v>8</v>
      </c>
      <c r="G5375">
        <v>175</v>
      </c>
      <c r="H5375">
        <f>_xlfn.XLOOKUP(FACT_IMPORTS[[#This Row],[hts_6]],DIM_PRODUCTS[hts_6],DIM_PRODUCTS[hts_4],,,)</f>
        <v>8407</v>
      </c>
      <c r="I5375" t="str" cm="1">
        <f t="array" ref="I5375">_xlfn.XLOOKUP(FACT_IMPORTS[[#This Row],[country_name]],DIM_COUNTRY[[#All],[Column2]],DIM_COUNTRY[[#All],[Column3]],,,)</f>
        <v>Major_Non-USMCA_Non-China</v>
      </c>
    </row>
    <row r="5376" spans="1:9" x14ac:dyDescent="0.4">
      <c r="A5376" t="s">
        <v>68</v>
      </c>
      <c r="B5376" s="1">
        <v>45261</v>
      </c>
      <c r="C5376">
        <v>840790</v>
      </c>
      <c r="D5376" t="s">
        <v>176</v>
      </c>
      <c r="E5376">
        <v>0</v>
      </c>
      <c r="F5376">
        <v>0</v>
      </c>
      <c r="G5376">
        <v>0</v>
      </c>
      <c r="H5376">
        <f>_xlfn.XLOOKUP(FACT_IMPORTS[[#This Row],[hts_6]],DIM_PRODUCTS[hts_6],DIM_PRODUCTS[hts_4],,,)</f>
        <v>8407</v>
      </c>
      <c r="I5376" t="str" cm="1">
        <f t="array" ref="I5376">_xlfn.XLOOKUP(FACT_IMPORTS[[#This Row],[country_name]],DIM_COUNTRY[[#All],[Column2]],DIM_COUNTRY[[#All],[Column3]],,,)</f>
        <v>Major_Non-USMCA_Non-China</v>
      </c>
    </row>
    <row r="5377" spans="1:9" x14ac:dyDescent="0.4">
      <c r="A5377" t="s">
        <v>68</v>
      </c>
      <c r="B5377" s="1">
        <v>45261</v>
      </c>
      <c r="C5377">
        <v>840820</v>
      </c>
      <c r="D5377" t="s">
        <v>176</v>
      </c>
      <c r="E5377">
        <v>0</v>
      </c>
      <c r="F5377">
        <v>0</v>
      </c>
      <c r="G5377">
        <v>0</v>
      </c>
      <c r="H5377">
        <f>_xlfn.XLOOKUP(FACT_IMPORTS[[#This Row],[hts_6]],DIM_PRODUCTS[hts_6],DIM_PRODUCTS[hts_4],,,)</f>
        <v>8408</v>
      </c>
      <c r="I5377" t="str" cm="1">
        <f t="array" ref="I5377">_xlfn.XLOOKUP(FACT_IMPORTS[[#This Row],[country_name]],DIM_COUNTRY[[#All],[Column2]],DIM_COUNTRY[[#All],[Column3]],,,)</f>
        <v>Major_Non-USMCA_Non-China</v>
      </c>
    </row>
    <row r="5378" spans="1:9" x14ac:dyDescent="0.4">
      <c r="A5378" t="s">
        <v>68</v>
      </c>
      <c r="B5378" s="1">
        <v>45261</v>
      </c>
      <c r="C5378">
        <v>840890</v>
      </c>
      <c r="D5378" t="s">
        <v>176</v>
      </c>
      <c r="E5378">
        <v>155104</v>
      </c>
      <c r="F5378">
        <v>5</v>
      </c>
      <c r="G5378">
        <v>3929</v>
      </c>
      <c r="H5378">
        <f>_xlfn.XLOOKUP(FACT_IMPORTS[[#This Row],[hts_6]],DIM_PRODUCTS[hts_6],DIM_PRODUCTS[hts_4],,,)</f>
        <v>8408</v>
      </c>
      <c r="I5378" t="str" cm="1">
        <f t="array" ref="I5378">_xlfn.XLOOKUP(FACT_IMPORTS[[#This Row],[country_name]],DIM_COUNTRY[[#All],[Column2]],DIM_COUNTRY[[#All],[Column3]],,,)</f>
        <v>Major_Non-USMCA_Non-China</v>
      </c>
    </row>
    <row r="5379" spans="1:9" x14ac:dyDescent="0.4">
      <c r="A5379" t="s">
        <v>68</v>
      </c>
      <c r="B5379" s="1">
        <v>45261</v>
      </c>
      <c r="C5379">
        <v>840991</v>
      </c>
      <c r="D5379" t="s">
        <v>176</v>
      </c>
      <c r="E5379">
        <v>629424</v>
      </c>
      <c r="F5379">
        <v>35465</v>
      </c>
      <c r="G5379">
        <v>22613</v>
      </c>
      <c r="H5379">
        <f>_xlfn.XLOOKUP(FACT_IMPORTS[[#This Row],[hts_6]],DIM_PRODUCTS[hts_6],DIM_PRODUCTS[hts_4],,,)</f>
        <v>8409</v>
      </c>
      <c r="I5379" t="str" cm="1">
        <f t="array" ref="I5379">_xlfn.XLOOKUP(FACT_IMPORTS[[#This Row],[country_name]],DIM_COUNTRY[[#All],[Column2]],DIM_COUNTRY[[#All],[Column3]],,,)</f>
        <v>Major_Non-USMCA_Non-China</v>
      </c>
    </row>
    <row r="5380" spans="1:9" x14ac:dyDescent="0.4">
      <c r="A5380" t="s">
        <v>68</v>
      </c>
      <c r="B5380" s="1">
        <v>45261</v>
      </c>
      <c r="C5380">
        <v>840999</v>
      </c>
      <c r="D5380" t="s">
        <v>176</v>
      </c>
      <c r="E5380">
        <v>26232192</v>
      </c>
      <c r="F5380">
        <v>4014158</v>
      </c>
      <c r="G5380">
        <v>616535</v>
      </c>
      <c r="H5380">
        <f>_xlfn.XLOOKUP(FACT_IMPORTS[[#This Row],[hts_6]],DIM_PRODUCTS[hts_6],DIM_PRODUCTS[hts_4],,,)</f>
        <v>8409</v>
      </c>
      <c r="I5380" t="str" cm="1">
        <f t="array" ref="I5380">_xlfn.XLOOKUP(FACT_IMPORTS[[#This Row],[country_name]],DIM_COUNTRY[[#All],[Column2]],DIM_COUNTRY[[#All],[Column3]],,,)</f>
        <v>Major_Non-USMCA_Non-China</v>
      </c>
    </row>
    <row r="5381" spans="1:9" x14ac:dyDescent="0.4">
      <c r="A5381" t="s">
        <v>68</v>
      </c>
      <c r="B5381" s="1">
        <v>45261</v>
      </c>
      <c r="C5381">
        <v>841330</v>
      </c>
      <c r="D5381" t="s">
        <v>176</v>
      </c>
      <c r="E5381">
        <v>9019706</v>
      </c>
      <c r="F5381">
        <v>60551</v>
      </c>
      <c r="G5381">
        <v>37567</v>
      </c>
      <c r="H5381">
        <f>_xlfn.XLOOKUP(FACT_IMPORTS[[#This Row],[hts_6]],DIM_PRODUCTS[hts_6],DIM_PRODUCTS[hts_4],,,)</f>
        <v>8413</v>
      </c>
      <c r="I5381" t="str" cm="1">
        <f t="array" ref="I5381">_xlfn.XLOOKUP(FACT_IMPORTS[[#This Row],[country_name]],DIM_COUNTRY[[#All],[Column2]],DIM_COUNTRY[[#All],[Column3]],,,)</f>
        <v>Major_Non-USMCA_Non-China</v>
      </c>
    </row>
    <row r="5382" spans="1:9" x14ac:dyDescent="0.4">
      <c r="A5382" t="s">
        <v>68</v>
      </c>
      <c r="B5382" s="1">
        <v>45261</v>
      </c>
      <c r="C5382">
        <v>841520</v>
      </c>
      <c r="D5382" t="s">
        <v>176</v>
      </c>
      <c r="E5382">
        <v>0</v>
      </c>
      <c r="F5382">
        <v>0</v>
      </c>
      <c r="G5382">
        <v>0</v>
      </c>
      <c r="H5382">
        <f>_xlfn.XLOOKUP(FACT_IMPORTS[[#This Row],[hts_6]],DIM_PRODUCTS[hts_6],DIM_PRODUCTS[hts_4],,,)</f>
        <v>8415</v>
      </c>
      <c r="I5382" t="str" cm="1">
        <f t="array" ref="I5382">_xlfn.XLOOKUP(FACT_IMPORTS[[#This Row],[country_name]],DIM_COUNTRY[[#All],[Column2]],DIM_COUNTRY[[#All],[Column3]],,,)</f>
        <v>Major_Non-USMCA_Non-China</v>
      </c>
    </row>
    <row r="5383" spans="1:9" x14ac:dyDescent="0.4">
      <c r="A5383" t="s">
        <v>68</v>
      </c>
      <c r="B5383" s="1">
        <v>45261</v>
      </c>
      <c r="C5383">
        <v>842132</v>
      </c>
      <c r="D5383" t="s">
        <v>176</v>
      </c>
      <c r="E5383">
        <v>100219</v>
      </c>
      <c r="F5383">
        <v>147</v>
      </c>
      <c r="G5383">
        <v>1820</v>
      </c>
      <c r="H5383">
        <f>_xlfn.XLOOKUP(FACT_IMPORTS[[#This Row],[hts_6]],DIM_PRODUCTS[hts_6],DIM_PRODUCTS[hts_4],,,)</f>
        <v>8421</v>
      </c>
      <c r="I5383" t="str" cm="1">
        <f t="array" ref="I5383">_xlfn.XLOOKUP(FACT_IMPORTS[[#This Row],[country_name]],DIM_COUNTRY[[#All],[Column2]],DIM_COUNTRY[[#All],[Column3]],,,)</f>
        <v>Major_Non-USMCA_Non-China</v>
      </c>
    </row>
    <row r="5384" spans="1:9" x14ac:dyDescent="0.4">
      <c r="A5384" t="s">
        <v>68</v>
      </c>
      <c r="B5384" s="1">
        <v>45261</v>
      </c>
      <c r="C5384">
        <v>848210</v>
      </c>
      <c r="D5384" t="s">
        <v>176</v>
      </c>
      <c r="E5384">
        <v>117129</v>
      </c>
      <c r="F5384">
        <v>539</v>
      </c>
      <c r="G5384">
        <v>1481</v>
      </c>
      <c r="H5384">
        <f>_xlfn.XLOOKUP(FACT_IMPORTS[[#This Row],[hts_6]],DIM_PRODUCTS[hts_6],DIM_PRODUCTS[hts_4],,,)</f>
        <v>8482</v>
      </c>
      <c r="I5384" t="str" cm="1">
        <f t="array" ref="I5384">_xlfn.XLOOKUP(FACT_IMPORTS[[#This Row],[country_name]],DIM_COUNTRY[[#All],[Column2]],DIM_COUNTRY[[#All],[Column3]],,,)</f>
        <v>Major_Non-USMCA_Non-China</v>
      </c>
    </row>
    <row r="5385" spans="1:9" x14ac:dyDescent="0.4">
      <c r="A5385" t="s">
        <v>68</v>
      </c>
      <c r="B5385" s="1">
        <v>45261</v>
      </c>
      <c r="C5385">
        <v>848220</v>
      </c>
      <c r="D5385" t="s">
        <v>176</v>
      </c>
      <c r="E5385">
        <v>20031</v>
      </c>
      <c r="F5385">
        <v>36</v>
      </c>
      <c r="G5385">
        <v>131</v>
      </c>
      <c r="H5385">
        <f>_xlfn.XLOOKUP(FACT_IMPORTS[[#This Row],[hts_6]],DIM_PRODUCTS[hts_6],DIM_PRODUCTS[hts_4],,,)</f>
        <v>8482</v>
      </c>
      <c r="I5385" t="str" cm="1">
        <f t="array" ref="I5385">_xlfn.XLOOKUP(FACT_IMPORTS[[#This Row],[country_name]],DIM_COUNTRY[[#All],[Column2]],DIM_COUNTRY[[#All],[Column3]],,,)</f>
        <v>Major_Non-USMCA_Non-China</v>
      </c>
    </row>
    <row r="5386" spans="1:9" x14ac:dyDescent="0.4">
      <c r="A5386" t="s">
        <v>68</v>
      </c>
      <c r="B5386" s="1">
        <v>45261</v>
      </c>
      <c r="C5386">
        <v>848310</v>
      </c>
      <c r="D5386" t="s">
        <v>176</v>
      </c>
      <c r="E5386">
        <v>3630857</v>
      </c>
      <c r="F5386">
        <v>20436</v>
      </c>
      <c r="G5386">
        <v>26189</v>
      </c>
      <c r="H5386">
        <f>_xlfn.XLOOKUP(FACT_IMPORTS[[#This Row],[hts_6]],DIM_PRODUCTS[hts_6],DIM_PRODUCTS[hts_4],,,)</f>
        <v>8483</v>
      </c>
      <c r="I5386" t="str" cm="1">
        <f t="array" ref="I5386">_xlfn.XLOOKUP(FACT_IMPORTS[[#This Row],[country_name]],DIM_COUNTRY[[#All],[Column2]],DIM_COUNTRY[[#All],[Column3]],,,)</f>
        <v>Major_Non-USMCA_Non-China</v>
      </c>
    </row>
    <row r="5387" spans="1:9" x14ac:dyDescent="0.4">
      <c r="A5387" t="s">
        <v>68</v>
      </c>
      <c r="B5387" s="1">
        <v>45261</v>
      </c>
      <c r="C5387">
        <v>850131</v>
      </c>
      <c r="D5387" t="s">
        <v>176</v>
      </c>
      <c r="E5387">
        <v>128545</v>
      </c>
      <c r="F5387">
        <v>1002</v>
      </c>
      <c r="G5387">
        <v>598</v>
      </c>
      <c r="H5387">
        <f>_xlfn.XLOOKUP(FACT_IMPORTS[[#This Row],[hts_6]],DIM_PRODUCTS[hts_6],DIM_PRODUCTS[hts_4],,,)</f>
        <v>8501</v>
      </c>
      <c r="I5387" t="str" cm="1">
        <f t="array" ref="I5387">_xlfn.XLOOKUP(FACT_IMPORTS[[#This Row],[country_name]],DIM_COUNTRY[[#All],[Column2]],DIM_COUNTRY[[#All],[Column3]],,,)</f>
        <v>Major_Non-USMCA_Non-China</v>
      </c>
    </row>
    <row r="5388" spans="1:9" x14ac:dyDescent="0.4">
      <c r="A5388" t="s">
        <v>68</v>
      </c>
      <c r="B5388" s="1">
        <v>45261</v>
      </c>
      <c r="C5388">
        <v>850132</v>
      </c>
      <c r="D5388" t="s">
        <v>176</v>
      </c>
      <c r="E5388">
        <v>168412</v>
      </c>
      <c r="F5388">
        <v>20</v>
      </c>
      <c r="G5388">
        <v>760</v>
      </c>
      <c r="H5388">
        <f>_xlfn.XLOOKUP(FACT_IMPORTS[[#This Row],[hts_6]],DIM_PRODUCTS[hts_6],DIM_PRODUCTS[hts_4],,,)</f>
        <v>8501</v>
      </c>
      <c r="I5388" t="str" cm="1">
        <f t="array" ref="I5388">_xlfn.XLOOKUP(FACT_IMPORTS[[#This Row],[country_name]],DIM_COUNTRY[[#All],[Column2]],DIM_COUNTRY[[#All],[Column3]],,,)</f>
        <v>Major_Non-USMCA_Non-China</v>
      </c>
    </row>
    <row r="5389" spans="1:9" x14ac:dyDescent="0.4">
      <c r="A5389" t="s">
        <v>68</v>
      </c>
      <c r="B5389" s="1">
        <v>45261</v>
      </c>
      <c r="C5389">
        <v>850133</v>
      </c>
      <c r="D5389" t="s">
        <v>176</v>
      </c>
      <c r="E5389">
        <v>0</v>
      </c>
      <c r="F5389">
        <v>0</v>
      </c>
      <c r="G5389">
        <v>0</v>
      </c>
      <c r="H5389">
        <f>_xlfn.XLOOKUP(FACT_IMPORTS[[#This Row],[hts_6]],DIM_PRODUCTS[hts_6],DIM_PRODUCTS[hts_4],,,)</f>
        <v>8501</v>
      </c>
      <c r="I5389" t="str" cm="1">
        <f t="array" ref="I5389">_xlfn.XLOOKUP(FACT_IMPORTS[[#This Row],[country_name]],DIM_COUNTRY[[#All],[Column2]],DIM_COUNTRY[[#All],[Column3]],,,)</f>
        <v>Major_Non-USMCA_Non-China</v>
      </c>
    </row>
    <row r="5390" spans="1:9" x14ac:dyDescent="0.4">
      <c r="A5390" t="s">
        <v>68</v>
      </c>
      <c r="B5390" s="1">
        <v>45261</v>
      </c>
      <c r="C5390">
        <v>850134</v>
      </c>
      <c r="D5390" t="s">
        <v>176</v>
      </c>
      <c r="E5390">
        <v>0</v>
      </c>
      <c r="F5390">
        <v>0</v>
      </c>
      <c r="G5390">
        <v>0</v>
      </c>
      <c r="H5390">
        <f>_xlfn.XLOOKUP(FACT_IMPORTS[[#This Row],[hts_6]],DIM_PRODUCTS[hts_6],DIM_PRODUCTS[hts_4],,,)</f>
        <v>8501</v>
      </c>
      <c r="I5390" t="str" cm="1">
        <f t="array" ref="I5390">_xlfn.XLOOKUP(FACT_IMPORTS[[#This Row],[country_name]],DIM_COUNTRY[[#All],[Column2]],DIM_COUNTRY[[#All],[Column3]],,,)</f>
        <v>Major_Non-USMCA_Non-China</v>
      </c>
    </row>
    <row r="5391" spans="1:9" x14ac:dyDescent="0.4">
      <c r="A5391" t="s">
        <v>68</v>
      </c>
      <c r="B5391" s="1">
        <v>45261</v>
      </c>
      <c r="C5391">
        <v>850152</v>
      </c>
      <c r="D5391" t="s">
        <v>176</v>
      </c>
      <c r="E5391">
        <v>495705</v>
      </c>
      <c r="F5391">
        <v>336</v>
      </c>
      <c r="G5391">
        <v>17579</v>
      </c>
      <c r="H5391">
        <f>_xlfn.XLOOKUP(FACT_IMPORTS[[#This Row],[hts_6]],DIM_PRODUCTS[hts_6],DIM_PRODUCTS[hts_4],,,)</f>
        <v>8501</v>
      </c>
      <c r="I5391" t="str" cm="1">
        <f t="array" ref="I5391">_xlfn.XLOOKUP(FACT_IMPORTS[[#This Row],[country_name]],DIM_COUNTRY[[#All],[Column2]],DIM_COUNTRY[[#All],[Column3]],,,)</f>
        <v>Major_Non-USMCA_Non-China</v>
      </c>
    </row>
    <row r="5392" spans="1:9" x14ac:dyDescent="0.4">
      <c r="A5392" t="s">
        <v>68</v>
      </c>
      <c r="B5392" s="1">
        <v>45261</v>
      </c>
      <c r="C5392">
        <v>850153</v>
      </c>
      <c r="D5392" t="s">
        <v>176</v>
      </c>
      <c r="E5392">
        <v>1382055</v>
      </c>
      <c r="F5392">
        <v>140</v>
      </c>
      <c r="G5392">
        <v>14935</v>
      </c>
      <c r="H5392">
        <f>_xlfn.XLOOKUP(FACT_IMPORTS[[#This Row],[hts_6]],DIM_PRODUCTS[hts_6],DIM_PRODUCTS[hts_4],,,)</f>
        <v>8501</v>
      </c>
      <c r="I5392" t="str" cm="1">
        <f t="array" ref="I5392">_xlfn.XLOOKUP(FACT_IMPORTS[[#This Row],[country_name]],DIM_COUNTRY[[#All],[Column2]],DIM_COUNTRY[[#All],[Column3]],,,)</f>
        <v>Major_Non-USMCA_Non-China</v>
      </c>
    </row>
    <row r="5393" spans="1:9" x14ac:dyDescent="0.4">
      <c r="A5393" t="s">
        <v>68</v>
      </c>
      <c r="B5393" s="1">
        <v>45261</v>
      </c>
      <c r="C5393">
        <v>850161</v>
      </c>
      <c r="D5393" t="s">
        <v>176</v>
      </c>
      <c r="E5393">
        <v>2634</v>
      </c>
      <c r="F5393">
        <v>1</v>
      </c>
      <c r="G5393">
        <v>57</v>
      </c>
      <c r="H5393">
        <f>_xlfn.XLOOKUP(FACT_IMPORTS[[#This Row],[hts_6]],DIM_PRODUCTS[hts_6],DIM_PRODUCTS[hts_4],,,)</f>
        <v>8501</v>
      </c>
      <c r="I5393" t="str" cm="1">
        <f t="array" ref="I5393">_xlfn.XLOOKUP(FACT_IMPORTS[[#This Row],[country_name]],DIM_COUNTRY[[#All],[Column2]],DIM_COUNTRY[[#All],[Column3]],,,)</f>
        <v>Major_Non-USMCA_Non-China</v>
      </c>
    </row>
    <row r="5394" spans="1:9" x14ac:dyDescent="0.4">
      <c r="A5394" t="s">
        <v>68</v>
      </c>
      <c r="B5394" s="1">
        <v>45261</v>
      </c>
      <c r="C5394">
        <v>850440</v>
      </c>
      <c r="D5394" t="s">
        <v>176</v>
      </c>
      <c r="E5394">
        <v>558961</v>
      </c>
      <c r="F5394">
        <v>231</v>
      </c>
      <c r="G5394">
        <v>12334</v>
      </c>
      <c r="H5394">
        <f>_xlfn.XLOOKUP(FACT_IMPORTS[[#This Row],[hts_6]],DIM_PRODUCTS[hts_6],DIM_PRODUCTS[hts_4],,,)</f>
        <v>8504</v>
      </c>
      <c r="I5394" t="str" cm="1">
        <f t="array" ref="I5394">_xlfn.XLOOKUP(FACT_IMPORTS[[#This Row],[country_name]],DIM_COUNTRY[[#All],[Column2]],DIM_COUNTRY[[#All],[Column3]],,,)</f>
        <v>Major_Non-USMCA_Non-China</v>
      </c>
    </row>
    <row r="5395" spans="1:9" x14ac:dyDescent="0.4">
      <c r="A5395" t="s">
        <v>68</v>
      </c>
      <c r="B5395" s="1">
        <v>45261</v>
      </c>
      <c r="C5395">
        <v>850710</v>
      </c>
      <c r="D5395" t="s">
        <v>176</v>
      </c>
      <c r="E5395">
        <v>0</v>
      </c>
      <c r="F5395">
        <v>0</v>
      </c>
      <c r="G5395">
        <v>0</v>
      </c>
      <c r="H5395">
        <f>_xlfn.XLOOKUP(FACT_IMPORTS[[#This Row],[hts_6]],DIM_PRODUCTS[hts_6],DIM_PRODUCTS[hts_4],,,)</f>
        <v>8507</v>
      </c>
      <c r="I5395" t="str" cm="1">
        <f t="array" ref="I5395">_xlfn.XLOOKUP(FACT_IMPORTS[[#This Row],[country_name]],DIM_COUNTRY[[#All],[Column2]],DIM_COUNTRY[[#All],[Column3]],,,)</f>
        <v>Major_Non-USMCA_Non-China</v>
      </c>
    </row>
    <row r="5396" spans="1:9" x14ac:dyDescent="0.4">
      <c r="A5396" t="s">
        <v>68</v>
      </c>
      <c r="B5396" s="1">
        <v>45261</v>
      </c>
      <c r="C5396">
        <v>850760</v>
      </c>
      <c r="D5396" t="s">
        <v>176</v>
      </c>
      <c r="E5396">
        <v>1703107</v>
      </c>
      <c r="F5396">
        <v>2775</v>
      </c>
      <c r="G5396">
        <v>27462</v>
      </c>
      <c r="H5396">
        <f>_xlfn.XLOOKUP(FACT_IMPORTS[[#This Row],[hts_6]],DIM_PRODUCTS[hts_6],DIM_PRODUCTS[hts_4],,,)</f>
        <v>8507</v>
      </c>
      <c r="I5396" t="str" cm="1">
        <f t="array" ref="I5396">_xlfn.XLOOKUP(FACT_IMPORTS[[#This Row],[country_name]],DIM_COUNTRY[[#All],[Column2]],DIM_COUNTRY[[#All],[Column3]],,,)</f>
        <v>Major_Non-USMCA_Non-China</v>
      </c>
    </row>
    <row r="5397" spans="1:9" x14ac:dyDescent="0.4">
      <c r="A5397" t="s">
        <v>68</v>
      </c>
      <c r="B5397" s="1">
        <v>45261</v>
      </c>
      <c r="C5397">
        <v>850790</v>
      </c>
      <c r="D5397" t="s">
        <v>176</v>
      </c>
      <c r="E5397">
        <v>90906</v>
      </c>
      <c r="F5397">
        <v>3720</v>
      </c>
      <c r="G5397">
        <v>3548</v>
      </c>
      <c r="H5397">
        <f>_xlfn.XLOOKUP(FACT_IMPORTS[[#This Row],[hts_6]],DIM_PRODUCTS[hts_6],DIM_PRODUCTS[hts_4],,,)</f>
        <v>8507</v>
      </c>
      <c r="I5397" t="str" cm="1">
        <f t="array" ref="I5397">_xlfn.XLOOKUP(FACT_IMPORTS[[#This Row],[country_name]],DIM_COUNTRY[[#All],[Column2]],DIM_COUNTRY[[#All],[Column3]],,,)</f>
        <v>Major_Non-USMCA_Non-China</v>
      </c>
    </row>
    <row r="5398" spans="1:9" x14ac:dyDescent="0.4">
      <c r="A5398" t="s">
        <v>68</v>
      </c>
      <c r="B5398" s="1">
        <v>45261</v>
      </c>
      <c r="C5398">
        <v>851110</v>
      </c>
      <c r="D5398" t="s">
        <v>176</v>
      </c>
      <c r="E5398">
        <v>31156</v>
      </c>
      <c r="F5398">
        <v>43</v>
      </c>
      <c r="G5398">
        <v>166</v>
      </c>
      <c r="H5398">
        <f>_xlfn.XLOOKUP(FACT_IMPORTS[[#This Row],[hts_6]],DIM_PRODUCTS[hts_6],DIM_PRODUCTS[hts_4],,,)</f>
        <v>8511</v>
      </c>
      <c r="I5398" t="str" cm="1">
        <f t="array" ref="I5398">_xlfn.XLOOKUP(FACT_IMPORTS[[#This Row],[country_name]],DIM_COUNTRY[[#All],[Column2]],DIM_COUNTRY[[#All],[Column3]],,,)</f>
        <v>Major_Non-USMCA_Non-China</v>
      </c>
    </row>
    <row r="5399" spans="1:9" x14ac:dyDescent="0.4">
      <c r="A5399" t="s">
        <v>68</v>
      </c>
      <c r="B5399" s="1">
        <v>45261</v>
      </c>
      <c r="C5399">
        <v>851120</v>
      </c>
      <c r="D5399" t="s">
        <v>176</v>
      </c>
      <c r="E5399">
        <v>0</v>
      </c>
      <c r="F5399">
        <v>0</v>
      </c>
      <c r="G5399">
        <v>0</v>
      </c>
      <c r="H5399">
        <f>_xlfn.XLOOKUP(FACT_IMPORTS[[#This Row],[hts_6]],DIM_PRODUCTS[hts_6],DIM_PRODUCTS[hts_4],,,)</f>
        <v>8511</v>
      </c>
      <c r="I5399" t="str" cm="1">
        <f t="array" ref="I5399">_xlfn.XLOOKUP(FACT_IMPORTS[[#This Row],[country_name]],DIM_COUNTRY[[#All],[Column2]],DIM_COUNTRY[[#All],[Column3]],,,)</f>
        <v>Major_Non-USMCA_Non-China</v>
      </c>
    </row>
    <row r="5400" spans="1:9" x14ac:dyDescent="0.4">
      <c r="A5400" t="s">
        <v>68</v>
      </c>
      <c r="B5400" s="1">
        <v>45261</v>
      </c>
      <c r="C5400">
        <v>851130</v>
      </c>
      <c r="D5400" t="s">
        <v>176</v>
      </c>
      <c r="E5400">
        <v>2850</v>
      </c>
      <c r="F5400">
        <v>31</v>
      </c>
      <c r="G5400">
        <v>205</v>
      </c>
      <c r="H5400">
        <f>_xlfn.XLOOKUP(FACT_IMPORTS[[#This Row],[hts_6]],DIM_PRODUCTS[hts_6],DIM_PRODUCTS[hts_4],,,)</f>
        <v>8511</v>
      </c>
      <c r="I5400" t="str" cm="1">
        <f t="array" ref="I5400">_xlfn.XLOOKUP(FACT_IMPORTS[[#This Row],[country_name]],DIM_COUNTRY[[#All],[Column2]],DIM_COUNTRY[[#All],[Column3]],,,)</f>
        <v>Major_Non-USMCA_Non-China</v>
      </c>
    </row>
    <row r="5401" spans="1:9" x14ac:dyDescent="0.4">
      <c r="A5401" t="s">
        <v>68</v>
      </c>
      <c r="B5401" s="1">
        <v>45261</v>
      </c>
      <c r="C5401">
        <v>851140</v>
      </c>
      <c r="D5401" t="s">
        <v>176</v>
      </c>
      <c r="E5401">
        <v>7526</v>
      </c>
      <c r="F5401">
        <v>100</v>
      </c>
      <c r="G5401">
        <v>23</v>
      </c>
      <c r="H5401">
        <f>_xlfn.XLOOKUP(FACT_IMPORTS[[#This Row],[hts_6]],DIM_PRODUCTS[hts_6],DIM_PRODUCTS[hts_4],,,)</f>
        <v>8511</v>
      </c>
      <c r="I5401" t="str" cm="1">
        <f t="array" ref="I5401">_xlfn.XLOOKUP(FACT_IMPORTS[[#This Row],[country_name]],DIM_COUNTRY[[#All],[Column2]],DIM_COUNTRY[[#All],[Column3]],,,)</f>
        <v>Major_Non-USMCA_Non-China</v>
      </c>
    </row>
    <row r="5402" spans="1:9" x14ac:dyDescent="0.4">
      <c r="A5402" t="s">
        <v>68</v>
      </c>
      <c r="B5402" s="1">
        <v>45261</v>
      </c>
      <c r="C5402">
        <v>851150</v>
      </c>
      <c r="D5402" t="s">
        <v>176</v>
      </c>
      <c r="E5402">
        <v>2586</v>
      </c>
      <c r="F5402">
        <v>1</v>
      </c>
      <c r="G5402">
        <v>68</v>
      </c>
      <c r="H5402">
        <f>_xlfn.XLOOKUP(FACT_IMPORTS[[#This Row],[hts_6]],DIM_PRODUCTS[hts_6],DIM_PRODUCTS[hts_4],,,)</f>
        <v>8511</v>
      </c>
      <c r="I5402" t="str" cm="1">
        <f t="array" ref="I5402">_xlfn.XLOOKUP(FACT_IMPORTS[[#This Row],[country_name]],DIM_COUNTRY[[#All],[Column2]],DIM_COUNTRY[[#All],[Column3]],,,)</f>
        <v>Major_Non-USMCA_Non-China</v>
      </c>
    </row>
    <row r="5403" spans="1:9" x14ac:dyDescent="0.4">
      <c r="A5403" t="s">
        <v>68</v>
      </c>
      <c r="B5403" s="1">
        <v>45261</v>
      </c>
      <c r="C5403">
        <v>851180</v>
      </c>
      <c r="D5403" t="s">
        <v>176</v>
      </c>
      <c r="E5403">
        <v>247423</v>
      </c>
      <c r="F5403">
        <v>2538</v>
      </c>
      <c r="G5403">
        <v>882</v>
      </c>
      <c r="H5403">
        <f>_xlfn.XLOOKUP(FACT_IMPORTS[[#This Row],[hts_6]],DIM_PRODUCTS[hts_6],DIM_PRODUCTS[hts_4],,,)</f>
        <v>8511</v>
      </c>
      <c r="I5403" t="str" cm="1">
        <f t="array" ref="I5403">_xlfn.XLOOKUP(FACT_IMPORTS[[#This Row],[country_name]],DIM_COUNTRY[[#All],[Column2]],DIM_COUNTRY[[#All],[Column3]],,,)</f>
        <v>Major_Non-USMCA_Non-China</v>
      </c>
    </row>
    <row r="5404" spans="1:9" x14ac:dyDescent="0.4">
      <c r="A5404" t="s">
        <v>68</v>
      </c>
      <c r="B5404" s="1">
        <v>45261</v>
      </c>
      <c r="C5404">
        <v>851190</v>
      </c>
      <c r="D5404" t="s">
        <v>176</v>
      </c>
      <c r="E5404">
        <v>0</v>
      </c>
      <c r="F5404">
        <v>0</v>
      </c>
      <c r="G5404">
        <v>0</v>
      </c>
      <c r="H5404">
        <f>_xlfn.XLOOKUP(FACT_IMPORTS[[#This Row],[hts_6]],DIM_PRODUCTS[hts_6],DIM_PRODUCTS[hts_4],,,)</f>
        <v>8511</v>
      </c>
      <c r="I5404" t="str" cm="1">
        <f t="array" ref="I5404">_xlfn.XLOOKUP(FACT_IMPORTS[[#This Row],[country_name]],DIM_COUNTRY[[#All],[Column2]],DIM_COUNTRY[[#All],[Column3]],,,)</f>
        <v>Major_Non-USMCA_Non-China</v>
      </c>
    </row>
    <row r="5405" spans="1:9" x14ac:dyDescent="0.4">
      <c r="A5405" t="s">
        <v>68</v>
      </c>
      <c r="B5405" s="1">
        <v>45261</v>
      </c>
      <c r="C5405">
        <v>851220</v>
      </c>
      <c r="D5405" t="s">
        <v>176</v>
      </c>
      <c r="E5405">
        <v>195933</v>
      </c>
      <c r="F5405">
        <v>14623</v>
      </c>
      <c r="G5405">
        <v>673</v>
      </c>
      <c r="H5405">
        <f>_xlfn.XLOOKUP(FACT_IMPORTS[[#This Row],[hts_6]],DIM_PRODUCTS[hts_6],DIM_PRODUCTS[hts_4],,,)</f>
        <v>8512</v>
      </c>
      <c r="I5405" t="str" cm="1">
        <f t="array" ref="I5405">_xlfn.XLOOKUP(FACT_IMPORTS[[#This Row],[country_name]],DIM_COUNTRY[[#All],[Column2]],DIM_COUNTRY[[#All],[Column3]],,,)</f>
        <v>Major_Non-USMCA_Non-China</v>
      </c>
    </row>
    <row r="5406" spans="1:9" x14ac:dyDescent="0.4">
      <c r="A5406" t="s">
        <v>68</v>
      </c>
      <c r="B5406" s="1">
        <v>45261</v>
      </c>
      <c r="C5406">
        <v>851230</v>
      </c>
      <c r="D5406" t="s">
        <v>176</v>
      </c>
      <c r="E5406">
        <v>0</v>
      </c>
      <c r="F5406">
        <v>0</v>
      </c>
      <c r="G5406">
        <v>0</v>
      </c>
      <c r="H5406">
        <f>_xlfn.XLOOKUP(FACT_IMPORTS[[#This Row],[hts_6]],DIM_PRODUCTS[hts_6],DIM_PRODUCTS[hts_4],,,)</f>
        <v>8512</v>
      </c>
      <c r="I5406" t="str" cm="1">
        <f t="array" ref="I5406">_xlfn.XLOOKUP(FACT_IMPORTS[[#This Row],[country_name]],DIM_COUNTRY[[#All],[Column2]],DIM_COUNTRY[[#All],[Column3]],,,)</f>
        <v>Major_Non-USMCA_Non-China</v>
      </c>
    </row>
    <row r="5407" spans="1:9" x14ac:dyDescent="0.4">
      <c r="A5407" t="s">
        <v>68</v>
      </c>
      <c r="B5407" s="1">
        <v>45261</v>
      </c>
      <c r="C5407">
        <v>851290</v>
      </c>
      <c r="D5407" t="s">
        <v>176</v>
      </c>
      <c r="E5407">
        <v>0</v>
      </c>
      <c r="F5407">
        <v>0</v>
      </c>
      <c r="G5407">
        <v>0</v>
      </c>
      <c r="H5407">
        <f>_xlfn.XLOOKUP(FACT_IMPORTS[[#This Row],[hts_6]],DIM_PRODUCTS[hts_6],DIM_PRODUCTS[hts_4],,,)</f>
        <v>8512</v>
      </c>
      <c r="I5407" t="str" cm="1">
        <f t="array" ref="I5407">_xlfn.XLOOKUP(FACT_IMPORTS[[#This Row],[country_name]],DIM_COUNTRY[[#All],[Column2]],DIM_COUNTRY[[#All],[Column3]],,,)</f>
        <v>Major_Non-USMCA_Non-China</v>
      </c>
    </row>
    <row r="5408" spans="1:9" x14ac:dyDescent="0.4">
      <c r="A5408" t="s">
        <v>68</v>
      </c>
      <c r="B5408" s="1">
        <v>45261</v>
      </c>
      <c r="C5408">
        <v>854231</v>
      </c>
      <c r="D5408" t="s">
        <v>176</v>
      </c>
      <c r="E5408">
        <v>64951</v>
      </c>
      <c r="F5408">
        <v>111</v>
      </c>
      <c r="G5408">
        <v>1629</v>
      </c>
      <c r="H5408">
        <f>_xlfn.XLOOKUP(FACT_IMPORTS[[#This Row],[hts_6]],DIM_PRODUCTS[hts_6],DIM_PRODUCTS[hts_4],,,)</f>
        <v>8542</v>
      </c>
      <c r="I5408" t="str" cm="1">
        <f t="array" ref="I5408">_xlfn.XLOOKUP(FACT_IMPORTS[[#This Row],[country_name]],DIM_COUNTRY[[#All],[Column2]],DIM_COUNTRY[[#All],[Column3]],,,)</f>
        <v>Major_Non-USMCA_Non-China</v>
      </c>
    </row>
    <row r="5409" spans="1:9" x14ac:dyDescent="0.4">
      <c r="A5409" t="s">
        <v>68</v>
      </c>
      <c r="B5409" s="1">
        <v>45261</v>
      </c>
      <c r="C5409">
        <v>854232</v>
      </c>
      <c r="D5409" t="s">
        <v>176</v>
      </c>
      <c r="E5409">
        <v>6792</v>
      </c>
      <c r="F5409">
        <v>70</v>
      </c>
      <c r="G5409">
        <v>24</v>
      </c>
      <c r="H5409">
        <f>_xlfn.XLOOKUP(FACT_IMPORTS[[#This Row],[hts_6]],DIM_PRODUCTS[hts_6],DIM_PRODUCTS[hts_4],,,)</f>
        <v>8542</v>
      </c>
      <c r="I5409" t="str" cm="1">
        <f t="array" ref="I5409">_xlfn.XLOOKUP(FACT_IMPORTS[[#This Row],[country_name]],DIM_COUNTRY[[#All],[Column2]],DIM_COUNTRY[[#All],[Column3]],,,)</f>
        <v>Major_Non-USMCA_Non-China</v>
      </c>
    </row>
    <row r="5410" spans="1:9" x14ac:dyDescent="0.4">
      <c r="A5410" t="s">
        <v>68</v>
      </c>
      <c r="B5410" s="1">
        <v>45261</v>
      </c>
      <c r="C5410">
        <v>854233</v>
      </c>
      <c r="D5410" t="s">
        <v>176</v>
      </c>
      <c r="E5410">
        <v>0</v>
      </c>
      <c r="F5410">
        <v>0</v>
      </c>
      <c r="G5410">
        <v>0</v>
      </c>
      <c r="H5410">
        <f>_xlfn.XLOOKUP(FACT_IMPORTS[[#This Row],[hts_6]],DIM_PRODUCTS[hts_6],DIM_PRODUCTS[hts_4],,,)</f>
        <v>8542</v>
      </c>
      <c r="I5410" t="str" cm="1">
        <f t="array" ref="I5410">_xlfn.XLOOKUP(FACT_IMPORTS[[#This Row],[country_name]],DIM_COUNTRY[[#All],[Column2]],DIM_COUNTRY[[#All],[Column3]],,,)</f>
        <v>Major_Non-USMCA_Non-China</v>
      </c>
    </row>
    <row r="5411" spans="1:9" x14ac:dyDescent="0.4">
      <c r="A5411" t="s">
        <v>68</v>
      </c>
      <c r="B5411" s="1">
        <v>45261</v>
      </c>
      <c r="C5411">
        <v>854239</v>
      </c>
      <c r="D5411" t="s">
        <v>176</v>
      </c>
      <c r="E5411">
        <v>0</v>
      </c>
      <c r="F5411">
        <v>0</v>
      </c>
      <c r="G5411">
        <v>0</v>
      </c>
      <c r="H5411">
        <f>_xlfn.XLOOKUP(FACT_IMPORTS[[#This Row],[hts_6]],DIM_PRODUCTS[hts_6],DIM_PRODUCTS[hts_4],,,)</f>
        <v>8542</v>
      </c>
      <c r="I5411" t="str" cm="1">
        <f t="array" ref="I5411">_xlfn.XLOOKUP(FACT_IMPORTS[[#This Row],[country_name]],DIM_COUNTRY[[#All],[Column2]],DIM_COUNTRY[[#All],[Column3]],,,)</f>
        <v>Major_Non-USMCA_Non-China</v>
      </c>
    </row>
    <row r="5412" spans="1:9" x14ac:dyDescent="0.4">
      <c r="A5412" t="s">
        <v>68</v>
      </c>
      <c r="B5412" s="1">
        <v>45261</v>
      </c>
      <c r="C5412">
        <v>854290</v>
      </c>
      <c r="D5412" t="s">
        <v>176</v>
      </c>
      <c r="E5412">
        <v>0</v>
      </c>
      <c r="F5412">
        <v>0</v>
      </c>
      <c r="G5412">
        <v>0</v>
      </c>
      <c r="H5412">
        <f>_xlfn.XLOOKUP(FACT_IMPORTS[[#This Row],[hts_6]],DIM_PRODUCTS[hts_6],DIM_PRODUCTS[hts_4],,,)</f>
        <v>8542</v>
      </c>
      <c r="I5412" t="str" cm="1">
        <f t="array" ref="I5412">_xlfn.XLOOKUP(FACT_IMPORTS[[#This Row],[country_name]],DIM_COUNTRY[[#All],[Column2]],DIM_COUNTRY[[#All],[Column3]],,,)</f>
        <v>Major_Non-USMCA_Non-China</v>
      </c>
    </row>
    <row r="5413" spans="1:9" x14ac:dyDescent="0.4">
      <c r="A5413" t="s">
        <v>68</v>
      </c>
      <c r="B5413" s="1">
        <v>45261</v>
      </c>
      <c r="C5413">
        <v>854430</v>
      </c>
      <c r="D5413" t="s">
        <v>176</v>
      </c>
      <c r="E5413">
        <v>207134</v>
      </c>
      <c r="F5413">
        <v>10253</v>
      </c>
      <c r="G5413">
        <v>3640</v>
      </c>
      <c r="H5413">
        <f>_xlfn.XLOOKUP(FACT_IMPORTS[[#This Row],[hts_6]],DIM_PRODUCTS[hts_6],DIM_PRODUCTS[hts_4],,,)</f>
        <v>8544</v>
      </c>
      <c r="I5413" t="str" cm="1">
        <f t="array" ref="I5413">_xlfn.XLOOKUP(FACT_IMPORTS[[#This Row],[country_name]],DIM_COUNTRY[[#All],[Column2]],DIM_COUNTRY[[#All],[Column3]],,,)</f>
        <v>Major_Non-USMCA_Non-China</v>
      </c>
    </row>
    <row r="5414" spans="1:9" x14ac:dyDescent="0.4">
      <c r="A5414" t="s">
        <v>68</v>
      </c>
      <c r="B5414" s="1">
        <v>45261</v>
      </c>
      <c r="C5414">
        <v>870790</v>
      </c>
      <c r="D5414" t="s">
        <v>176</v>
      </c>
      <c r="E5414">
        <v>0</v>
      </c>
      <c r="F5414">
        <v>0</v>
      </c>
      <c r="G5414">
        <v>0</v>
      </c>
      <c r="H5414">
        <f>_xlfn.XLOOKUP(FACT_IMPORTS[[#This Row],[hts_6]],DIM_PRODUCTS[hts_6],DIM_PRODUCTS[hts_4],,,)</f>
        <v>8707</v>
      </c>
      <c r="I5414" t="str" cm="1">
        <f t="array" ref="I5414">_xlfn.XLOOKUP(FACT_IMPORTS[[#This Row],[country_name]],DIM_COUNTRY[[#All],[Column2]],DIM_COUNTRY[[#All],[Column3]],,,)</f>
        <v>Major_Non-USMCA_Non-China</v>
      </c>
    </row>
    <row r="5415" spans="1:9" x14ac:dyDescent="0.4">
      <c r="A5415" t="s">
        <v>68</v>
      </c>
      <c r="B5415" s="1">
        <v>45261</v>
      </c>
      <c r="C5415">
        <v>870810</v>
      </c>
      <c r="D5415" t="s">
        <v>176</v>
      </c>
      <c r="E5415">
        <v>10310</v>
      </c>
      <c r="F5415">
        <v>176</v>
      </c>
      <c r="G5415">
        <v>40</v>
      </c>
      <c r="H5415">
        <f>_xlfn.XLOOKUP(FACT_IMPORTS[[#This Row],[hts_6]],DIM_PRODUCTS[hts_6],DIM_PRODUCTS[hts_4],,,)</f>
        <v>8708</v>
      </c>
      <c r="I5415" t="str" cm="1">
        <f t="array" ref="I5415">_xlfn.XLOOKUP(FACT_IMPORTS[[#This Row],[country_name]],DIM_COUNTRY[[#All],[Column2]],DIM_COUNTRY[[#All],[Column3]],,,)</f>
        <v>Major_Non-USMCA_Non-China</v>
      </c>
    </row>
    <row r="5416" spans="1:9" x14ac:dyDescent="0.4">
      <c r="A5416" t="s">
        <v>68</v>
      </c>
      <c r="B5416" s="1">
        <v>45261</v>
      </c>
      <c r="C5416">
        <v>870822</v>
      </c>
      <c r="D5416" t="s">
        <v>176</v>
      </c>
      <c r="E5416">
        <v>0</v>
      </c>
      <c r="F5416">
        <v>0</v>
      </c>
      <c r="G5416">
        <v>0</v>
      </c>
      <c r="H5416">
        <f>_xlfn.XLOOKUP(FACT_IMPORTS[[#This Row],[hts_6]],DIM_PRODUCTS[hts_6],DIM_PRODUCTS[hts_4],,,)</f>
        <v>8708</v>
      </c>
      <c r="I5416" t="str" cm="1">
        <f t="array" ref="I5416">_xlfn.XLOOKUP(FACT_IMPORTS[[#This Row],[country_name]],DIM_COUNTRY[[#All],[Column2]],DIM_COUNTRY[[#All],[Column3]],,,)</f>
        <v>Major_Non-USMCA_Non-China</v>
      </c>
    </row>
    <row r="5417" spans="1:9" x14ac:dyDescent="0.4">
      <c r="A5417" t="s">
        <v>68</v>
      </c>
      <c r="B5417" s="1">
        <v>45261</v>
      </c>
      <c r="C5417">
        <v>870829</v>
      </c>
      <c r="D5417" t="s">
        <v>176</v>
      </c>
      <c r="E5417">
        <v>2332676</v>
      </c>
      <c r="F5417">
        <v>649429</v>
      </c>
      <c r="G5417">
        <v>119335</v>
      </c>
      <c r="H5417">
        <f>_xlfn.XLOOKUP(FACT_IMPORTS[[#This Row],[hts_6]],DIM_PRODUCTS[hts_6],DIM_PRODUCTS[hts_4],,,)</f>
        <v>8708</v>
      </c>
      <c r="I5417" t="str" cm="1">
        <f t="array" ref="I5417">_xlfn.XLOOKUP(FACT_IMPORTS[[#This Row],[country_name]],DIM_COUNTRY[[#All],[Column2]],DIM_COUNTRY[[#All],[Column3]],,,)</f>
        <v>Major_Non-USMCA_Non-China</v>
      </c>
    </row>
    <row r="5418" spans="1:9" x14ac:dyDescent="0.4">
      <c r="A5418" t="s">
        <v>68</v>
      </c>
      <c r="B5418" s="1">
        <v>45261</v>
      </c>
      <c r="C5418">
        <v>870830</v>
      </c>
      <c r="D5418" t="s">
        <v>176</v>
      </c>
      <c r="E5418">
        <v>304526</v>
      </c>
      <c r="F5418">
        <v>227234</v>
      </c>
      <c r="G5418">
        <v>8659</v>
      </c>
      <c r="H5418">
        <f>_xlfn.XLOOKUP(FACT_IMPORTS[[#This Row],[hts_6]],DIM_PRODUCTS[hts_6],DIM_PRODUCTS[hts_4],,,)</f>
        <v>8708</v>
      </c>
      <c r="I5418" t="str" cm="1">
        <f t="array" ref="I5418">_xlfn.XLOOKUP(FACT_IMPORTS[[#This Row],[country_name]],DIM_COUNTRY[[#All],[Column2]],DIM_COUNTRY[[#All],[Column3]],,,)</f>
        <v>Major_Non-USMCA_Non-China</v>
      </c>
    </row>
    <row r="5419" spans="1:9" x14ac:dyDescent="0.4">
      <c r="A5419" t="s">
        <v>68</v>
      </c>
      <c r="B5419" s="1">
        <v>45261</v>
      </c>
      <c r="C5419">
        <v>870840</v>
      </c>
      <c r="D5419" t="s">
        <v>176</v>
      </c>
      <c r="E5419">
        <v>57508445</v>
      </c>
      <c r="F5419">
        <v>990339</v>
      </c>
      <c r="G5419">
        <v>144429</v>
      </c>
      <c r="H5419">
        <f>_xlfn.XLOOKUP(FACT_IMPORTS[[#This Row],[hts_6]],DIM_PRODUCTS[hts_6],DIM_PRODUCTS[hts_4],,,)</f>
        <v>8708</v>
      </c>
      <c r="I5419" t="str" cm="1">
        <f t="array" ref="I5419">_xlfn.XLOOKUP(FACT_IMPORTS[[#This Row],[country_name]],DIM_COUNTRY[[#All],[Column2]],DIM_COUNTRY[[#All],[Column3]],,,)</f>
        <v>Major_Non-USMCA_Non-China</v>
      </c>
    </row>
    <row r="5420" spans="1:9" x14ac:dyDescent="0.4">
      <c r="A5420" t="s">
        <v>68</v>
      </c>
      <c r="B5420" s="1">
        <v>45261</v>
      </c>
      <c r="C5420">
        <v>870850</v>
      </c>
      <c r="D5420" t="s">
        <v>176</v>
      </c>
      <c r="E5420">
        <v>10332847</v>
      </c>
      <c r="F5420">
        <v>471501</v>
      </c>
      <c r="G5420">
        <v>139376</v>
      </c>
      <c r="H5420">
        <f>_xlfn.XLOOKUP(FACT_IMPORTS[[#This Row],[hts_6]],DIM_PRODUCTS[hts_6],DIM_PRODUCTS[hts_4],,,)</f>
        <v>8708</v>
      </c>
      <c r="I5420" t="str" cm="1">
        <f t="array" ref="I5420">_xlfn.XLOOKUP(FACT_IMPORTS[[#This Row],[country_name]],DIM_COUNTRY[[#All],[Column2]],DIM_COUNTRY[[#All],[Column3]],,,)</f>
        <v>Major_Non-USMCA_Non-China</v>
      </c>
    </row>
    <row r="5421" spans="1:9" x14ac:dyDescent="0.4">
      <c r="A5421" t="s">
        <v>68</v>
      </c>
      <c r="B5421" s="1">
        <v>45261</v>
      </c>
      <c r="C5421">
        <v>870870</v>
      </c>
      <c r="D5421" t="s">
        <v>176</v>
      </c>
      <c r="E5421">
        <v>4448</v>
      </c>
      <c r="F5421">
        <v>37</v>
      </c>
      <c r="G5421">
        <v>256</v>
      </c>
      <c r="H5421">
        <f>_xlfn.XLOOKUP(FACT_IMPORTS[[#This Row],[hts_6]],DIM_PRODUCTS[hts_6],DIM_PRODUCTS[hts_4],,,)</f>
        <v>8708</v>
      </c>
      <c r="I5421" t="str" cm="1">
        <f t="array" ref="I5421">_xlfn.XLOOKUP(FACT_IMPORTS[[#This Row],[country_name]],DIM_COUNTRY[[#All],[Column2]],DIM_COUNTRY[[#All],[Column3]],,,)</f>
        <v>Major_Non-USMCA_Non-China</v>
      </c>
    </row>
    <row r="5422" spans="1:9" x14ac:dyDescent="0.4">
      <c r="A5422" t="s">
        <v>68</v>
      </c>
      <c r="B5422" s="1">
        <v>45261</v>
      </c>
      <c r="C5422">
        <v>870880</v>
      </c>
      <c r="D5422" t="s">
        <v>176</v>
      </c>
      <c r="E5422">
        <v>1342639</v>
      </c>
      <c r="F5422">
        <v>554826</v>
      </c>
      <c r="G5422">
        <v>19303</v>
      </c>
      <c r="H5422">
        <f>_xlfn.XLOOKUP(FACT_IMPORTS[[#This Row],[hts_6]],DIM_PRODUCTS[hts_6],DIM_PRODUCTS[hts_4],,,)</f>
        <v>8708</v>
      </c>
      <c r="I5422" t="str" cm="1">
        <f t="array" ref="I5422">_xlfn.XLOOKUP(FACT_IMPORTS[[#This Row],[country_name]],DIM_COUNTRY[[#All],[Column2]],DIM_COUNTRY[[#All],[Column3]],,,)</f>
        <v>Major_Non-USMCA_Non-China</v>
      </c>
    </row>
    <row r="5423" spans="1:9" x14ac:dyDescent="0.4">
      <c r="A5423" t="s">
        <v>68</v>
      </c>
      <c r="B5423" s="1">
        <v>45261</v>
      </c>
      <c r="C5423">
        <v>870891</v>
      </c>
      <c r="D5423" t="s">
        <v>176</v>
      </c>
      <c r="E5423">
        <v>102766</v>
      </c>
      <c r="F5423">
        <v>80021</v>
      </c>
      <c r="G5423">
        <v>10996</v>
      </c>
      <c r="H5423">
        <f>_xlfn.XLOOKUP(FACT_IMPORTS[[#This Row],[hts_6]],DIM_PRODUCTS[hts_6],DIM_PRODUCTS[hts_4],,,)</f>
        <v>8708</v>
      </c>
      <c r="I5423" t="str" cm="1">
        <f t="array" ref="I5423">_xlfn.XLOOKUP(FACT_IMPORTS[[#This Row],[country_name]],DIM_COUNTRY[[#All],[Column2]],DIM_COUNTRY[[#All],[Column3]],,,)</f>
        <v>Major_Non-USMCA_Non-China</v>
      </c>
    </row>
    <row r="5424" spans="1:9" x14ac:dyDescent="0.4">
      <c r="A5424" t="s">
        <v>68</v>
      </c>
      <c r="B5424" s="1">
        <v>45261</v>
      </c>
      <c r="C5424">
        <v>870892</v>
      </c>
      <c r="D5424" t="s">
        <v>176</v>
      </c>
      <c r="E5424">
        <v>149251</v>
      </c>
      <c r="F5424">
        <v>33679</v>
      </c>
      <c r="G5424">
        <v>6362</v>
      </c>
      <c r="H5424">
        <f>_xlfn.XLOOKUP(FACT_IMPORTS[[#This Row],[hts_6]],DIM_PRODUCTS[hts_6],DIM_PRODUCTS[hts_4],,,)</f>
        <v>8708</v>
      </c>
      <c r="I5424" t="str" cm="1">
        <f t="array" ref="I5424">_xlfn.XLOOKUP(FACT_IMPORTS[[#This Row],[country_name]],DIM_COUNTRY[[#All],[Column2]],DIM_COUNTRY[[#All],[Column3]],,,)</f>
        <v>Major_Non-USMCA_Non-China</v>
      </c>
    </row>
    <row r="5425" spans="1:9" x14ac:dyDescent="0.4">
      <c r="A5425" t="s">
        <v>68</v>
      </c>
      <c r="B5425" s="1">
        <v>45261</v>
      </c>
      <c r="C5425">
        <v>870893</v>
      </c>
      <c r="D5425" t="s">
        <v>176</v>
      </c>
      <c r="E5425">
        <v>536311</v>
      </c>
      <c r="F5425">
        <v>190318</v>
      </c>
      <c r="G5425">
        <v>9800</v>
      </c>
      <c r="H5425">
        <f>_xlfn.XLOOKUP(FACT_IMPORTS[[#This Row],[hts_6]],DIM_PRODUCTS[hts_6],DIM_PRODUCTS[hts_4],,,)</f>
        <v>8708</v>
      </c>
      <c r="I5425" t="str" cm="1">
        <f t="array" ref="I5425">_xlfn.XLOOKUP(FACT_IMPORTS[[#This Row],[country_name]],DIM_COUNTRY[[#All],[Column2]],DIM_COUNTRY[[#All],[Column3]],,,)</f>
        <v>Major_Non-USMCA_Non-China</v>
      </c>
    </row>
    <row r="5426" spans="1:9" x14ac:dyDescent="0.4">
      <c r="A5426" t="s">
        <v>68</v>
      </c>
      <c r="B5426" s="1">
        <v>45261</v>
      </c>
      <c r="C5426">
        <v>870894</v>
      </c>
      <c r="D5426" t="s">
        <v>176</v>
      </c>
      <c r="E5426">
        <v>87736</v>
      </c>
      <c r="F5426">
        <v>27281</v>
      </c>
      <c r="G5426">
        <v>4685</v>
      </c>
      <c r="H5426">
        <f>_xlfn.XLOOKUP(FACT_IMPORTS[[#This Row],[hts_6]],DIM_PRODUCTS[hts_6],DIM_PRODUCTS[hts_4],,,)</f>
        <v>8708</v>
      </c>
      <c r="I5426" t="str" cm="1">
        <f t="array" ref="I5426">_xlfn.XLOOKUP(FACT_IMPORTS[[#This Row],[country_name]],DIM_COUNTRY[[#All],[Column2]],DIM_COUNTRY[[#All],[Column3]],,,)</f>
        <v>Major_Non-USMCA_Non-China</v>
      </c>
    </row>
    <row r="5427" spans="1:9" x14ac:dyDescent="0.4">
      <c r="A5427" t="s">
        <v>68</v>
      </c>
      <c r="B5427" s="1">
        <v>45261</v>
      </c>
      <c r="C5427">
        <v>870895</v>
      </c>
      <c r="D5427" t="s">
        <v>176</v>
      </c>
      <c r="E5427">
        <v>7591</v>
      </c>
      <c r="F5427">
        <v>201</v>
      </c>
      <c r="G5427">
        <v>600</v>
      </c>
      <c r="H5427">
        <f>_xlfn.XLOOKUP(FACT_IMPORTS[[#This Row],[hts_6]],DIM_PRODUCTS[hts_6],DIM_PRODUCTS[hts_4],,,)</f>
        <v>8708</v>
      </c>
      <c r="I5427" t="str" cm="1">
        <f t="array" ref="I5427">_xlfn.XLOOKUP(FACT_IMPORTS[[#This Row],[country_name]],DIM_COUNTRY[[#All],[Column2]],DIM_COUNTRY[[#All],[Column3]],,,)</f>
        <v>Major_Non-USMCA_Non-China</v>
      </c>
    </row>
    <row r="5428" spans="1:9" x14ac:dyDescent="0.4">
      <c r="A5428" t="s">
        <v>68</v>
      </c>
      <c r="B5428" s="1">
        <v>45261</v>
      </c>
      <c r="C5428">
        <v>870899</v>
      </c>
      <c r="D5428" t="s">
        <v>176</v>
      </c>
      <c r="E5428">
        <v>5647011</v>
      </c>
      <c r="F5428">
        <v>475913</v>
      </c>
      <c r="G5428">
        <v>41452</v>
      </c>
      <c r="H5428">
        <f>_xlfn.XLOOKUP(FACT_IMPORTS[[#This Row],[hts_6]],DIM_PRODUCTS[hts_6],DIM_PRODUCTS[hts_4],,,)</f>
        <v>8708</v>
      </c>
      <c r="I5428" t="str" cm="1">
        <f t="array" ref="I5428">_xlfn.XLOOKUP(FACT_IMPORTS[[#This Row],[country_name]],DIM_COUNTRY[[#All],[Column2]],DIM_COUNTRY[[#All],[Column3]],,,)</f>
        <v>Major_Non-USMCA_Non-China</v>
      </c>
    </row>
    <row r="5429" spans="1:9" x14ac:dyDescent="0.4">
      <c r="A5429" t="s">
        <v>68</v>
      </c>
      <c r="B5429" s="1">
        <v>45261</v>
      </c>
      <c r="C5429">
        <v>940120</v>
      </c>
      <c r="D5429" t="s">
        <v>176</v>
      </c>
      <c r="E5429">
        <v>222007</v>
      </c>
      <c r="F5429">
        <v>109</v>
      </c>
      <c r="G5429">
        <v>4287</v>
      </c>
      <c r="H5429">
        <f>_xlfn.XLOOKUP(FACT_IMPORTS[[#This Row],[hts_6]],DIM_PRODUCTS[hts_6],DIM_PRODUCTS[hts_4],,,)</f>
        <v>9401</v>
      </c>
      <c r="I5429" t="str" cm="1">
        <f t="array" ref="I5429">_xlfn.XLOOKUP(FACT_IMPORTS[[#This Row],[country_name]],DIM_COUNTRY[[#All],[Column2]],DIM_COUNTRY[[#All],[Column3]],,,)</f>
        <v>Major_Non-USMCA_Non-China</v>
      </c>
    </row>
    <row r="5430" spans="1:9" x14ac:dyDescent="0.4">
      <c r="A5430" t="s">
        <v>68</v>
      </c>
      <c r="B5430" s="1">
        <v>45292</v>
      </c>
      <c r="C5430">
        <v>392630</v>
      </c>
      <c r="D5430" t="s">
        <v>176</v>
      </c>
      <c r="E5430">
        <v>128131</v>
      </c>
      <c r="F5430">
        <v>8607</v>
      </c>
      <c r="G5430">
        <v>3517</v>
      </c>
      <c r="H5430">
        <f>_xlfn.XLOOKUP(FACT_IMPORTS[[#This Row],[hts_6]],DIM_PRODUCTS[hts_6],DIM_PRODUCTS[hts_4],,,)</f>
        <v>3926</v>
      </c>
      <c r="I5430" t="str" cm="1">
        <f t="array" ref="I5430">_xlfn.XLOOKUP(FACT_IMPORTS[[#This Row],[country_name]],DIM_COUNTRY[[#All],[Column2]],DIM_COUNTRY[[#All],[Column3]],,,)</f>
        <v>Major_Non-USMCA_Non-China</v>
      </c>
    </row>
    <row r="5431" spans="1:9" x14ac:dyDescent="0.4">
      <c r="A5431" t="s">
        <v>68</v>
      </c>
      <c r="B5431" s="1">
        <v>45292</v>
      </c>
      <c r="C5431">
        <v>401110</v>
      </c>
      <c r="D5431" t="s">
        <v>176</v>
      </c>
      <c r="E5431">
        <v>0</v>
      </c>
      <c r="F5431">
        <v>0</v>
      </c>
      <c r="G5431">
        <v>0</v>
      </c>
      <c r="H5431">
        <f>_xlfn.XLOOKUP(FACT_IMPORTS[[#This Row],[hts_6]],DIM_PRODUCTS[hts_6],DIM_PRODUCTS[hts_4],,,)</f>
        <v>4011</v>
      </c>
      <c r="I5431" t="str" cm="1">
        <f t="array" ref="I5431">_xlfn.XLOOKUP(FACT_IMPORTS[[#This Row],[country_name]],DIM_COUNTRY[[#All],[Column2]],DIM_COUNTRY[[#All],[Column3]],,,)</f>
        <v>Major_Non-USMCA_Non-China</v>
      </c>
    </row>
    <row r="5432" spans="1:9" x14ac:dyDescent="0.4">
      <c r="A5432" t="s">
        <v>68</v>
      </c>
      <c r="B5432" s="1">
        <v>45292</v>
      </c>
      <c r="C5432">
        <v>401120</v>
      </c>
      <c r="D5432" t="s">
        <v>176</v>
      </c>
      <c r="E5432">
        <v>176923</v>
      </c>
      <c r="F5432">
        <v>510</v>
      </c>
      <c r="G5432">
        <v>152</v>
      </c>
      <c r="H5432">
        <f>_xlfn.XLOOKUP(FACT_IMPORTS[[#This Row],[hts_6]],DIM_PRODUCTS[hts_6],DIM_PRODUCTS[hts_4],,,)</f>
        <v>4011</v>
      </c>
      <c r="I5432" t="str" cm="1">
        <f t="array" ref="I5432">_xlfn.XLOOKUP(FACT_IMPORTS[[#This Row],[country_name]],DIM_COUNTRY[[#All],[Column2]],DIM_COUNTRY[[#All],[Column3]],,,)</f>
        <v>Major_Non-USMCA_Non-China</v>
      </c>
    </row>
    <row r="5433" spans="1:9" x14ac:dyDescent="0.4">
      <c r="A5433" t="s">
        <v>68</v>
      </c>
      <c r="B5433" s="1">
        <v>45292</v>
      </c>
      <c r="C5433">
        <v>401190</v>
      </c>
      <c r="D5433" t="s">
        <v>176</v>
      </c>
      <c r="E5433">
        <v>5003</v>
      </c>
      <c r="F5433">
        <v>168</v>
      </c>
      <c r="G5433">
        <v>750</v>
      </c>
      <c r="H5433">
        <f>_xlfn.XLOOKUP(FACT_IMPORTS[[#This Row],[hts_6]],DIM_PRODUCTS[hts_6],DIM_PRODUCTS[hts_4],,,)</f>
        <v>4011</v>
      </c>
      <c r="I5433" t="str" cm="1">
        <f t="array" ref="I5433">_xlfn.XLOOKUP(FACT_IMPORTS[[#This Row],[country_name]],DIM_COUNTRY[[#All],[Column2]],DIM_COUNTRY[[#All],[Column3]],,,)</f>
        <v>Major_Non-USMCA_Non-China</v>
      </c>
    </row>
    <row r="5434" spans="1:9" x14ac:dyDescent="0.4">
      <c r="A5434" t="s">
        <v>68</v>
      </c>
      <c r="B5434" s="1">
        <v>45292</v>
      </c>
      <c r="C5434">
        <v>700711</v>
      </c>
      <c r="D5434" t="s">
        <v>176</v>
      </c>
      <c r="E5434">
        <v>0</v>
      </c>
      <c r="F5434">
        <v>0</v>
      </c>
      <c r="G5434">
        <v>0</v>
      </c>
      <c r="H5434">
        <f>_xlfn.XLOOKUP(FACT_IMPORTS[[#This Row],[hts_6]],DIM_PRODUCTS[hts_6],DIM_PRODUCTS[hts_4],,,)</f>
        <v>7007</v>
      </c>
      <c r="I5434" t="str" cm="1">
        <f t="array" ref="I5434">_xlfn.XLOOKUP(FACT_IMPORTS[[#This Row],[country_name]],DIM_COUNTRY[[#All],[Column2]],DIM_COUNTRY[[#All],[Column3]],,,)</f>
        <v>Major_Non-USMCA_Non-China</v>
      </c>
    </row>
    <row r="5435" spans="1:9" x14ac:dyDescent="0.4">
      <c r="A5435" t="s">
        <v>68</v>
      </c>
      <c r="B5435" s="1">
        <v>45292</v>
      </c>
      <c r="C5435">
        <v>700721</v>
      </c>
      <c r="D5435" t="s">
        <v>176</v>
      </c>
      <c r="E5435">
        <v>0</v>
      </c>
      <c r="F5435">
        <v>0</v>
      </c>
      <c r="G5435">
        <v>0</v>
      </c>
      <c r="H5435">
        <f>_xlfn.XLOOKUP(FACT_IMPORTS[[#This Row],[hts_6]],DIM_PRODUCTS[hts_6],DIM_PRODUCTS[hts_4],,,)</f>
        <v>7007</v>
      </c>
      <c r="I5435" t="str" cm="1">
        <f t="array" ref="I5435">_xlfn.XLOOKUP(FACT_IMPORTS[[#This Row],[country_name]],DIM_COUNTRY[[#All],[Column2]],DIM_COUNTRY[[#All],[Column3]],,,)</f>
        <v>Major_Non-USMCA_Non-China</v>
      </c>
    </row>
    <row r="5436" spans="1:9" x14ac:dyDescent="0.4">
      <c r="A5436" t="s">
        <v>68</v>
      </c>
      <c r="B5436" s="1">
        <v>45292</v>
      </c>
      <c r="C5436">
        <v>700910</v>
      </c>
      <c r="D5436" t="s">
        <v>176</v>
      </c>
      <c r="E5436">
        <v>0</v>
      </c>
      <c r="F5436">
        <v>0</v>
      </c>
      <c r="G5436">
        <v>0</v>
      </c>
      <c r="H5436">
        <f>_xlfn.XLOOKUP(FACT_IMPORTS[[#This Row],[hts_6]],DIM_PRODUCTS[hts_6],DIM_PRODUCTS[hts_4],,,)</f>
        <v>7009</v>
      </c>
      <c r="I5436" t="str" cm="1">
        <f t="array" ref="I5436">_xlfn.XLOOKUP(FACT_IMPORTS[[#This Row],[country_name]],DIM_COUNTRY[[#All],[Column2]],DIM_COUNTRY[[#All],[Column3]],,,)</f>
        <v>Major_Non-USMCA_Non-China</v>
      </c>
    </row>
    <row r="5437" spans="1:9" x14ac:dyDescent="0.4">
      <c r="A5437" t="s">
        <v>68</v>
      </c>
      <c r="B5437" s="1">
        <v>45292</v>
      </c>
      <c r="C5437">
        <v>732010</v>
      </c>
      <c r="D5437" t="s">
        <v>176</v>
      </c>
      <c r="E5437">
        <v>0</v>
      </c>
      <c r="F5437">
        <v>0</v>
      </c>
      <c r="G5437">
        <v>0</v>
      </c>
      <c r="H5437">
        <f>_xlfn.XLOOKUP(FACT_IMPORTS[[#This Row],[hts_6]],DIM_PRODUCTS[hts_6],DIM_PRODUCTS[hts_4],,,)</f>
        <v>7320</v>
      </c>
      <c r="I5437" t="str" cm="1">
        <f t="array" ref="I5437">_xlfn.XLOOKUP(FACT_IMPORTS[[#This Row],[country_name]],DIM_COUNTRY[[#All],[Column2]],DIM_COUNTRY[[#All],[Column3]],,,)</f>
        <v>Major_Non-USMCA_Non-China</v>
      </c>
    </row>
    <row r="5438" spans="1:9" x14ac:dyDescent="0.4">
      <c r="A5438" t="s">
        <v>68</v>
      </c>
      <c r="B5438" s="1">
        <v>45292</v>
      </c>
      <c r="C5438">
        <v>830230</v>
      </c>
      <c r="D5438" t="s">
        <v>176</v>
      </c>
      <c r="E5438">
        <v>331497</v>
      </c>
      <c r="F5438">
        <v>84049</v>
      </c>
      <c r="G5438">
        <v>17348</v>
      </c>
      <c r="H5438">
        <f>_xlfn.XLOOKUP(FACT_IMPORTS[[#This Row],[hts_6]],DIM_PRODUCTS[hts_6],DIM_PRODUCTS[hts_4],,,)</f>
        <v>8302</v>
      </c>
      <c r="I5438" t="str" cm="1">
        <f t="array" ref="I5438">_xlfn.XLOOKUP(FACT_IMPORTS[[#This Row],[country_name]],DIM_COUNTRY[[#All],[Column2]],DIM_COUNTRY[[#All],[Column3]],,,)</f>
        <v>Major_Non-USMCA_Non-China</v>
      </c>
    </row>
    <row r="5439" spans="1:9" x14ac:dyDescent="0.4">
      <c r="A5439" t="s">
        <v>68</v>
      </c>
      <c r="B5439" s="1">
        <v>45292</v>
      </c>
      <c r="C5439">
        <v>840731</v>
      </c>
      <c r="D5439" t="s">
        <v>176</v>
      </c>
      <c r="E5439">
        <v>0</v>
      </c>
      <c r="F5439">
        <v>0</v>
      </c>
      <c r="G5439">
        <v>0</v>
      </c>
      <c r="H5439">
        <f>_xlfn.XLOOKUP(FACT_IMPORTS[[#This Row],[hts_6]],DIM_PRODUCTS[hts_6],DIM_PRODUCTS[hts_4],,,)</f>
        <v>8407</v>
      </c>
      <c r="I5439" t="str" cm="1">
        <f t="array" ref="I5439">_xlfn.XLOOKUP(FACT_IMPORTS[[#This Row],[country_name]],DIM_COUNTRY[[#All],[Column2]],DIM_COUNTRY[[#All],[Column3]],,,)</f>
        <v>Major_Non-USMCA_Non-China</v>
      </c>
    </row>
    <row r="5440" spans="1:9" x14ac:dyDescent="0.4">
      <c r="A5440" t="s">
        <v>68</v>
      </c>
      <c r="B5440" s="1">
        <v>45292</v>
      </c>
      <c r="C5440">
        <v>840734</v>
      </c>
      <c r="D5440" t="s">
        <v>176</v>
      </c>
      <c r="E5440">
        <v>34073</v>
      </c>
      <c r="F5440">
        <v>9</v>
      </c>
      <c r="G5440">
        <v>565</v>
      </c>
      <c r="H5440">
        <f>_xlfn.XLOOKUP(FACT_IMPORTS[[#This Row],[hts_6]],DIM_PRODUCTS[hts_6],DIM_PRODUCTS[hts_4],,,)</f>
        <v>8407</v>
      </c>
      <c r="I5440" t="str" cm="1">
        <f t="array" ref="I5440">_xlfn.XLOOKUP(FACT_IMPORTS[[#This Row],[country_name]],DIM_COUNTRY[[#All],[Column2]],DIM_COUNTRY[[#All],[Column3]],,,)</f>
        <v>Major_Non-USMCA_Non-China</v>
      </c>
    </row>
    <row r="5441" spans="1:9" x14ac:dyDescent="0.4">
      <c r="A5441" t="s">
        <v>68</v>
      </c>
      <c r="B5441" s="1">
        <v>45292</v>
      </c>
      <c r="C5441">
        <v>840790</v>
      </c>
      <c r="D5441" t="s">
        <v>176</v>
      </c>
      <c r="E5441">
        <v>0</v>
      </c>
      <c r="F5441">
        <v>0</v>
      </c>
      <c r="G5441">
        <v>0</v>
      </c>
      <c r="H5441">
        <f>_xlfn.XLOOKUP(FACT_IMPORTS[[#This Row],[hts_6]],DIM_PRODUCTS[hts_6],DIM_PRODUCTS[hts_4],,,)</f>
        <v>8407</v>
      </c>
      <c r="I5441" t="str" cm="1">
        <f t="array" ref="I5441">_xlfn.XLOOKUP(FACT_IMPORTS[[#This Row],[country_name]],DIM_COUNTRY[[#All],[Column2]],DIM_COUNTRY[[#All],[Column3]],,,)</f>
        <v>Major_Non-USMCA_Non-China</v>
      </c>
    </row>
    <row r="5442" spans="1:9" x14ac:dyDescent="0.4">
      <c r="A5442" t="s">
        <v>68</v>
      </c>
      <c r="B5442" s="1">
        <v>45292</v>
      </c>
      <c r="C5442">
        <v>840820</v>
      </c>
      <c r="D5442" t="s">
        <v>176</v>
      </c>
      <c r="E5442">
        <v>0</v>
      </c>
      <c r="F5442">
        <v>0</v>
      </c>
      <c r="G5442">
        <v>0</v>
      </c>
      <c r="H5442">
        <f>_xlfn.XLOOKUP(FACT_IMPORTS[[#This Row],[hts_6]],DIM_PRODUCTS[hts_6],DIM_PRODUCTS[hts_4],,,)</f>
        <v>8408</v>
      </c>
      <c r="I5442" t="str" cm="1">
        <f t="array" ref="I5442">_xlfn.XLOOKUP(FACT_IMPORTS[[#This Row],[country_name]],DIM_COUNTRY[[#All],[Column2]],DIM_COUNTRY[[#All],[Column3]],,,)</f>
        <v>Major_Non-USMCA_Non-China</v>
      </c>
    </row>
    <row r="5443" spans="1:9" x14ac:dyDescent="0.4">
      <c r="A5443" t="s">
        <v>68</v>
      </c>
      <c r="B5443" s="1">
        <v>45292</v>
      </c>
      <c r="C5443">
        <v>840890</v>
      </c>
      <c r="D5443" t="s">
        <v>176</v>
      </c>
      <c r="E5443">
        <v>122646</v>
      </c>
      <c r="F5443">
        <v>5</v>
      </c>
      <c r="G5443">
        <v>10358</v>
      </c>
      <c r="H5443">
        <f>_xlfn.XLOOKUP(FACT_IMPORTS[[#This Row],[hts_6]],DIM_PRODUCTS[hts_6],DIM_PRODUCTS[hts_4],,,)</f>
        <v>8408</v>
      </c>
      <c r="I5443" t="str" cm="1">
        <f t="array" ref="I5443">_xlfn.XLOOKUP(FACT_IMPORTS[[#This Row],[country_name]],DIM_COUNTRY[[#All],[Column2]],DIM_COUNTRY[[#All],[Column3]],,,)</f>
        <v>Major_Non-USMCA_Non-China</v>
      </c>
    </row>
    <row r="5444" spans="1:9" x14ac:dyDescent="0.4">
      <c r="A5444" t="s">
        <v>68</v>
      </c>
      <c r="B5444" s="1">
        <v>45292</v>
      </c>
      <c r="C5444">
        <v>840991</v>
      </c>
      <c r="D5444" t="s">
        <v>176</v>
      </c>
      <c r="E5444">
        <v>975211</v>
      </c>
      <c r="F5444">
        <v>81747</v>
      </c>
      <c r="G5444">
        <v>22499</v>
      </c>
      <c r="H5444">
        <f>_xlfn.XLOOKUP(FACT_IMPORTS[[#This Row],[hts_6]],DIM_PRODUCTS[hts_6],DIM_PRODUCTS[hts_4],,,)</f>
        <v>8409</v>
      </c>
      <c r="I5444" t="str" cm="1">
        <f t="array" ref="I5444">_xlfn.XLOOKUP(FACT_IMPORTS[[#This Row],[country_name]],DIM_COUNTRY[[#All],[Column2]],DIM_COUNTRY[[#All],[Column3]],,,)</f>
        <v>Major_Non-USMCA_Non-China</v>
      </c>
    </row>
    <row r="5445" spans="1:9" x14ac:dyDescent="0.4">
      <c r="A5445" t="s">
        <v>68</v>
      </c>
      <c r="B5445" s="1">
        <v>45292</v>
      </c>
      <c r="C5445">
        <v>840999</v>
      </c>
      <c r="D5445" t="s">
        <v>176</v>
      </c>
      <c r="E5445">
        <v>16943747</v>
      </c>
      <c r="F5445">
        <v>2130867</v>
      </c>
      <c r="G5445">
        <v>302734</v>
      </c>
      <c r="H5445">
        <f>_xlfn.XLOOKUP(FACT_IMPORTS[[#This Row],[hts_6]],DIM_PRODUCTS[hts_6],DIM_PRODUCTS[hts_4],,,)</f>
        <v>8409</v>
      </c>
      <c r="I5445" t="str" cm="1">
        <f t="array" ref="I5445">_xlfn.XLOOKUP(FACT_IMPORTS[[#This Row],[country_name]],DIM_COUNTRY[[#All],[Column2]],DIM_COUNTRY[[#All],[Column3]],,,)</f>
        <v>Major_Non-USMCA_Non-China</v>
      </c>
    </row>
    <row r="5446" spans="1:9" x14ac:dyDescent="0.4">
      <c r="A5446" t="s">
        <v>68</v>
      </c>
      <c r="B5446" s="1">
        <v>45292</v>
      </c>
      <c r="C5446">
        <v>841330</v>
      </c>
      <c r="D5446" t="s">
        <v>176</v>
      </c>
      <c r="E5446">
        <v>9840544</v>
      </c>
      <c r="F5446">
        <v>74680</v>
      </c>
      <c r="G5446">
        <v>26615</v>
      </c>
      <c r="H5446">
        <f>_xlfn.XLOOKUP(FACT_IMPORTS[[#This Row],[hts_6]],DIM_PRODUCTS[hts_6],DIM_PRODUCTS[hts_4],,,)</f>
        <v>8413</v>
      </c>
      <c r="I5446" t="str" cm="1">
        <f t="array" ref="I5446">_xlfn.XLOOKUP(FACT_IMPORTS[[#This Row],[country_name]],DIM_COUNTRY[[#All],[Column2]],DIM_COUNTRY[[#All],[Column3]],,,)</f>
        <v>Major_Non-USMCA_Non-China</v>
      </c>
    </row>
    <row r="5447" spans="1:9" x14ac:dyDescent="0.4">
      <c r="A5447" t="s">
        <v>68</v>
      </c>
      <c r="B5447" s="1">
        <v>45292</v>
      </c>
      <c r="C5447">
        <v>841520</v>
      </c>
      <c r="D5447" t="s">
        <v>176</v>
      </c>
      <c r="E5447">
        <v>0</v>
      </c>
      <c r="F5447">
        <v>0</v>
      </c>
      <c r="G5447">
        <v>0</v>
      </c>
      <c r="H5447">
        <f>_xlfn.XLOOKUP(FACT_IMPORTS[[#This Row],[hts_6]],DIM_PRODUCTS[hts_6],DIM_PRODUCTS[hts_4],,,)</f>
        <v>8415</v>
      </c>
      <c r="I5447" t="str" cm="1">
        <f t="array" ref="I5447">_xlfn.XLOOKUP(FACT_IMPORTS[[#This Row],[country_name]],DIM_COUNTRY[[#All],[Column2]],DIM_COUNTRY[[#All],[Column3]],,,)</f>
        <v>Major_Non-USMCA_Non-China</v>
      </c>
    </row>
    <row r="5448" spans="1:9" x14ac:dyDescent="0.4">
      <c r="A5448" t="s">
        <v>68</v>
      </c>
      <c r="B5448" s="1">
        <v>45292</v>
      </c>
      <c r="C5448">
        <v>842132</v>
      </c>
      <c r="D5448" t="s">
        <v>176</v>
      </c>
      <c r="E5448">
        <v>160188</v>
      </c>
      <c r="F5448">
        <v>156</v>
      </c>
      <c r="G5448">
        <v>10360</v>
      </c>
      <c r="H5448">
        <f>_xlfn.XLOOKUP(FACT_IMPORTS[[#This Row],[hts_6]],DIM_PRODUCTS[hts_6],DIM_PRODUCTS[hts_4],,,)</f>
        <v>8421</v>
      </c>
      <c r="I5448" t="str" cm="1">
        <f t="array" ref="I5448">_xlfn.XLOOKUP(FACT_IMPORTS[[#This Row],[country_name]],DIM_COUNTRY[[#All],[Column2]],DIM_COUNTRY[[#All],[Column3]],,,)</f>
        <v>Major_Non-USMCA_Non-China</v>
      </c>
    </row>
    <row r="5449" spans="1:9" x14ac:dyDescent="0.4">
      <c r="A5449" t="s">
        <v>68</v>
      </c>
      <c r="B5449" s="1">
        <v>45292</v>
      </c>
      <c r="C5449">
        <v>848210</v>
      </c>
      <c r="D5449" t="s">
        <v>176</v>
      </c>
      <c r="E5449">
        <v>182165</v>
      </c>
      <c r="F5449">
        <v>15417</v>
      </c>
      <c r="G5449">
        <v>7878</v>
      </c>
      <c r="H5449">
        <f>_xlfn.XLOOKUP(FACT_IMPORTS[[#This Row],[hts_6]],DIM_PRODUCTS[hts_6],DIM_PRODUCTS[hts_4],,,)</f>
        <v>8482</v>
      </c>
      <c r="I5449" t="str" cm="1">
        <f t="array" ref="I5449">_xlfn.XLOOKUP(FACT_IMPORTS[[#This Row],[country_name]],DIM_COUNTRY[[#All],[Column2]],DIM_COUNTRY[[#All],[Column3]],,,)</f>
        <v>Major_Non-USMCA_Non-China</v>
      </c>
    </row>
    <row r="5450" spans="1:9" x14ac:dyDescent="0.4">
      <c r="A5450" t="s">
        <v>68</v>
      </c>
      <c r="B5450" s="1">
        <v>45292</v>
      </c>
      <c r="C5450">
        <v>848220</v>
      </c>
      <c r="D5450" t="s">
        <v>176</v>
      </c>
      <c r="E5450">
        <v>0</v>
      </c>
      <c r="F5450">
        <v>0</v>
      </c>
      <c r="G5450">
        <v>0</v>
      </c>
      <c r="H5450">
        <f>_xlfn.XLOOKUP(FACT_IMPORTS[[#This Row],[hts_6]],DIM_PRODUCTS[hts_6],DIM_PRODUCTS[hts_4],,,)</f>
        <v>8482</v>
      </c>
      <c r="I5450" t="str" cm="1">
        <f t="array" ref="I5450">_xlfn.XLOOKUP(FACT_IMPORTS[[#This Row],[country_name]],DIM_COUNTRY[[#All],[Column2]],DIM_COUNTRY[[#All],[Column3]],,,)</f>
        <v>Major_Non-USMCA_Non-China</v>
      </c>
    </row>
    <row r="5451" spans="1:9" x14ac:dyDescent="0.4">
      <c r="A5451" t="s">
        <v>68</v>
      </c>
      <c r="B5451" s="1">
        <v>45292</v>
      </c>
      <c r="C5451">
        <v>848310</v>
      </c>
      <c r="D5451" t="s">
        <v>176</v>
      </c>
      <c r="E5451">
        <v>3410956</v>
      </c>
      <c r="F5451">
        <v>25857</v>
      </c>
      <c r="G5451">
        <v>26987</v>
      </c>
      <c r="H5451">
        <f>_xlfn.XLOOKUP(FACT_IMPORTS[[#This Row],[hts_6]],DIM_PRODUCTS[hts_6],DIM_PRODUCTS[hts_4],,,)</f>
        <v>8483</v>
      </c>
      <c r="I5451" t="str" cm="1">
        <f t="array" ref="I5451">_xlfn.XLOOKUP(FACT_IMPORTS[[#This Row],[country_name]],DIM_COUNTRY[[#All],[Column2]],DIM_COUNTRY[[#All],[Column3]],,,)</f>
        <v>Major_Non-USMCA_Non-China</v>
      </c>
    </row>
    <row r="5452" spans="1:9" x14ac:dyDescent="0.4">
      <c r="A5452" t="s">
        <v>68</v>
      </c>
      <c r="B5452" s="1">
        <v>45292</v>
      </c>
      <c r="C5452">
        <v>850131</v>
      </c>
      <c r="D5452" t="s">
        <v>176</v>
      </c>
      <c r="E5452">
        <v>76364</v>
      </c>
      <c r="F5452">
        <v>796</v>
      </c>
      <c r="G5452">
        <v>204</v>
      </c>
      <c r="H5452">
        <f>_xlfn.XLOOKUP(FACT_IMPORTS[[#This Row],[hts_6]],DIM_PRODUCTS[hts_6],DIM_PRODUCTS[hts_4],,,)</f>
        <v>8501</v>
      </c>
      <c r="I5452" t="str" cm="1">
        <f t="array" ref="I5452">_xlfn.XLOOKUP(FACT_IMPORTS[[#This Row],[country_name]],DIM_COUNTRY[[#All],[Column2]],DIM_COUNTRY[[#All],[Column3]],,,)</f>
        <v>Major_Non-USMCA_Non-China</v>
      </c>
    </row>
    <row r="5453" spans="1:9" x14ac:dyDescent="0.4">
      <c r="A5453" t="s">
        <v>68</v>
      </c>
      <c r="B5453" s="1">
        <v>45292</v>
      </c>
      <c r="C5453">
        <v>850132</v>
      </c>
      <c r="D5453" t="s">
        <v>176</v>
      </c>
      <c r="E5453">
        <v>246644</v>
      </c>
      <c r="F5453">
        <v>30</v>
      </c>
      <c r="G5453">
        <v>7260</v>
      </c>
      <c r="H5453">
        <f>_xlfn.XLOOKUP(FACT_IMPORTS[[#This Row],[hts_6]],DIM_PRODUCTS[hts_6],DIM_PRODUCTS[hts_4],,,)</f>
        <v>8501</v>
      </c>
      <c r="I5453" t="str" cm="1">
        <f t="array" ref="I5453">_xlfn.XLOOKUP(FACT_IMPORTS[[#This Row],[country_name]],DIM_COUNTRY[[#All],[Column2]],DIM_COUNTRY[[#All],[Column3]],,,)</f>
        <v>Major_Non-USMCA_Non-China</v>
      </c>
    </row>
    <row r="5454" spans="1:9" x14ac:dyDescent="0.4">
      <c r="A5454" t="s">
        <v>68</v>
      </c>
      <c r="B5454" s="1">
        <v>45292</v>
      </c>
      <c r="C5454">
        <v>850133</v>
      </c>
      <c r="D5454" t="s">
        <v>176</v>
      </c>
      <c r="E5454">
        <v>158838</v>
      </c>
      <c r="F5454">
        <v>2</v>
      </c>
      <c r="G5454">
        <v>5000</v>
      </c>
      <c r="H5454">
        <f>_xlfn.XLOOKUP(FACT_IMPORTS[[#This Row],[hts_6]],DIM_PRODUCTS[hts_6],DIM_PRODUCTS[hts_4],,,)</f>
        <v>8501</v>
      </c>
      <c r="I5454" t="str" cm="1">
        <f t="array" ref="I5454">_xlfn.XLOOKUP(FACT_IMPORTS[[#This Row],[country_name]],DIM_COUNTRY[[#All],[Column2]],DIM_COUNTRY[[#All],[Column3]],,,)</f>
        <v>Major_Non-USMCA_Non-China</v>
      </c>
    </row>
    <row r="5455" spans="1:9" x14ac:dyDescent="0.4">
      <c r="A5455" t="s">
        <v>68</v>
      </c>
      <c r="B5455" s="1">
        <v>45292</v>
      </c>
      <c r="C5455">
        <v>850134</v>
      </c>
      <c r="D5455" t="s">
        <v>176</v>
      </c>
      <c r="E5455">
        <v>0</v>
      </c>
      <c r="F5455">
        <v>0</v>
      </c>
      <c r="G5455">
        <v>0</v>
      </c>
      <c r="H5455">
        <f>_xlfn.XLOOKUP(FACT_IMPORTS[[#This Row],[hts_6]],DIM_PRODUCTS[hts_6],DIM_PRODUCTS[hts_4],,,)</f>
        <v>8501</v>
      </c>
      <c r="I5455" t="str" cm="1">
        <f t="array" ref="I5455">_xlfn.XLOOKUP(FACT_IMPORTS[[#This Row],[country_name]],DIM_COUNTRY[[#All],[Column2]],DIM_COUNTRY[[#All],[Column3]],,,)</f>
        <v>Major_Non-USMCA_Non-China</v>
      </c>
    </row>
    <row r="5456" spans="1:9" x14ac:dyDescent="0.4">
      <c r="A5456" t="s">
        <v>68</v>
      </c>
      <c r="B5456" s="1">
        <v>45292</v>
      </c>
      <c r="C5456">
        <v>850152</v>
      </c>
      <c r="D5456" t="s">
        <v>176</v>
      </c>
      <c r="E5456">
        <v>330721</v>
      </c>
      <c r="F5456">
        <v>2183</v>
      </c>
      <c r="G5456">
        <v>15515</v>
      </c>
      <c r="H5456">
        <f>_xlfn.XLOOKUP(FACT_IMPORTS[[#This Row],[hts_6]],DIM_PRODUCTS[hts_6],DIM_PRODUCTS[hts_4],,,)</f>
        <v>8501</v>
      </c>
      <c r="I5456" t="str" cm="1">
        <f t="array" ref="I5456">_xlfn.XLOOKUP(FACT_IMPORTS[[#This Row],[country_name]],DIM_COUNTRY[[#All],[Column2]],DIM_COUNTRY[[#All],[Column3]],,,)</f>
        <v>Major_Non-USMCA_Non-China</v>
      </c>
    </row>
    <row r="5457" spans="1:9" x14ac:dyDescent="0.4">
      <c r="A5457" t="s">
        <v>68</v>
      </c>
      <c r="B5457" s="1">
        <v>45292</v>
      </c>
      <c r="C5457">
        <v>850153</v>
      </c>
      <c r="D5457" t="s">
        <v>176</v>
      </c>
      <c r="E5457">
        <v>793331</v>
      </c>
      <c r="F5457">
        <v>11</v>
      </c>
      <c r="G5457">
        <v>14988</v>
      </c>
      <c r="H5457">
        <f>_xlfn.XLOOKUP(FACT_IMPORTS[[#This Row],[hts_6]],DIM_PRODUCTS[hts_6],DIM_PRODUCTS[hts_4],,,)</f>
        <v>8501</v>
      </c>
      <c r="I5457" t="str" cm="1">
        <f t="array" ref="I5457">_xlfn.XLOOKUP(FACT_IMPORTS[[#This Row],[country_name]],DIM_COUNTRY[[#All],[Column2]],DIM_COUNTRY[[#All],[Column3]],,,)</f>
        <v>Major_Non-USMCA_Non-China</v>
      </c>
    </row>
    <row r="5458" spans="1:9" x14ac:dyDescent="0.4">
      <c r="A5458" t="s">
        <v>68</v>
      </c>
      <c r="B5458" s="1">
        <v>45292</v>
      </c>
      <c r="C5458">
        <v>850161</v>
      </c>
      <c r="D5458" t="s">
        <v>176</v>
      </c>
      <c r="E5458">
        <v>6204</v>
      </c>
      <c r="F5458">
        <v>1</v>
      </c>
      <c r="G5458">
        <v>300</v>
      </c>
      <c r="H5458">
        <f>_xlfn.XLOOKUP(FACT_IMPORTS[[#This Row],[hts_6]],DIM_PRODUCTS[hts_6],DIM_PRODUCTS[hts_4],,,)</f>
        <v>8501</v>
      </c>
      <c r="I5458" t="str" cm="1">
        <f t="array" ref="I5458">_xlfn.XLOOKUP(FACT_IMPORTS[[#This Row],[country_name]],DIM_COUNTRY[[#All],[Column2]],DIM_COUNTRY[[#All],[Column3]],,,)</f>
        <v>Major_Non-USMCA_Non-China</v>
      </c>
    </row>
    <row r="5459" spans="1:9" x14ac:dyDescent="0.4">
      <c r="A5459" t="s">
        <v>68</v>
      </c>
      <c r="B5459" s="1">
        <v>45292</v>
      </c>
      <c r="C5459">
        <v>850440</v>
      </c>
      <c r="D5459" t="s">
        <v>176</v>
      </c>
      <c r="E5459">
        <v>598132</v>
      </c>
      <c r="F5459">
        <v>479</v>
      </c>
      <c r="G5459">
        <v>17099</v>
      </c>
      <c r="H5459">
        <f>_xlfn.XLOOKUP(FACT_IMPORTS[[#This Row],[hts_6]],DIM_PRODUCTS[hts_6],DIM_PRODUCTS[hts_4],,,)</f>
        <v>8504</v>
      </c>
      <c r="I5459" t="str" cm="1">
        <f t="array" ref="I5459">_xlfn.XLOOKUP(FACT_IMPORTS[[#This Row],[country_name]],DIM_COUNTRY[[#All],[Column2]],DIM_COUNTRY[[#All],[Column3]],,,)</f>
        <v>Major_Non-USMCA_Non-China</v>
      </c>
    </row>
    <row r="5460" spans="1:9" x14ac:dyDescent="0.4">
      <c r="A5460" t="s">
        <v>68</v>
      </c>
      <c r="B5460" s="1">
        <v>45292</v>
      </c>
      <c r="C5460">
        <v>850710</v>
      </c>
      <c r="D5460" t="s">
        <v>176</v>
      </c>
      <c r="E5460">
        <v>0</v>
      </c>
      <c r="F5460">
        <v>0</v>
      </c>
      <c r="G5460">
        <v>0</v>
      </c>
      <c r="H5460">
        <f>_xlfn.XLOOKUP(FACT_IMPORTS[[#This Row],[hts_6]],DIM_PRODUCTS[hts_6],DIM_PRODUCTS[hts_4],,,)</f>
        <v>8507</v>
      </c>
      <c r="I5460" t="str" cm="1">
        <f t="array" ref="I5460">_xlfn.XLOOKUP(FACT_IMPORTS[[#This Row],[country_name]],DIM_COUNTRY[[#All],[Column2]],DIM_COUNTRY[[#All],[Column3]],,,)</f>
        <v>Major_Non-USMCA_Non-China</v>
      </c>
    </row>
    <row r="5461" spans="1:9" x14ac:dyDescent="0.4">
      <c r="A5461" t="s">
        <v>68</v>
      </c>
      <c r="B5461" s="1">
        <v>45292</v>
      </c>
      <c r="C5461">
        <v>850760</v>
      </c>
      <c r="D5461" t="s">
        <v>176</v>
      </c>
      <c r="E5461">
        <v>2182198</v>
      </c>
      <c r="F5461">
        <v>3950</v>
      </c>
      <c r="G5461">
        <v>6010</v>
      </c>
      <c r="H5461">
        <f>_xlfn.XLOOKUP(FACT_IMPORTS[[#This Row],[hts_6]],DIM_PRODUCTS[hts_6],DIM_PRODUCTS[hts_4],,,)</f>
        <v>8507</v>
      </c>
      <c r="I5461" t="str" cm="1">
        <f t="array" ref="I5461">_xlfn.XLOOKUP(FACT_IMPORTS[[#This Row],[country_name]],DIM_COUNTRY[[#All],[Column2]],DIM_COUNTRY[[#All],[Column3]],,,)</f>
        <v>Major_Non-USMCA_Non-China</v>
      </c>
    </row>
    <row r="5462" spans="1:9" x14ac:dyDescent="0.4">
      <c r="A5462" t="s">
        <v>68</v>
      </c>
      <c r="B5462" s="1">
        <v>45292</v>
      </c>
      <c r="C5462">
        <v>850790</v>
      </c>
      <c r="D5462" t="s">
        <v>176</v>
      </c>
      <c r="E5462">
        <v>122368</v>
      </c>
      <c r="F5462">
        <v>6593</v>
      </c>
      <c r="G5462">
        <v>5428</v>
      </c>
      <c r="H5462">
        <f>_xlfn.XLOOKUP(FACT_IMPORTS[[#This Row],[hts_6]],DIM_PRODUCTS[hts_6],DIM_PRODUCTS[hts_4],,,)</f>
        <v>8507</v>
      </c>
      <c r="I5462" t="str" cm="1">
        <f t="array" ref="I5462">_xlfn.XLOOKUP(FACT_IMPORTS[[#This Row],[country_name]],DIM_COUNTRY[[#All],[Column2]],DIM_COUNTRY[[#All],[Column3]],,,)</f>
        <v>Major_Non-USMCA_Non-China</v>
      </c>
    </row>
    <row r="5463" spans="1:9" x14ac:dyDescent="0.4">
      <c r="A5463" t="s">
        <v>68</v>
      </c>
      <c r="B5463" s="1">
        <v>45292</v>
      </c>
      <c r="C5463">
        <v>851110</v>
      </c>
      <c r="D5463" t="s">
        <v>176</v>
      </c>
      <c r="E5463">
        <v>0</v>
      </c>
      <c r="F5463">
        <v>0</v>
      </c>
      <c r="G5463">
        <v>0</v>
      </c>
      <c r="H5463">
        <f>_xlfn.XLOOKUP(FACT_IMPORTS[[#This Row],[hts_6]],DIM_PRODUCTS[hts_6],DIM_PRODUCTS[hts_4],,,)</f>
        <v>8511</v>
      </c>
      <c r="I5463" t="str" cm="1">
        <f t="array" ref="I5463">_xlfn.XLOOKUP(FACT_IMPORTS[[#This Row],[country_name]],DIM_COUNTRY[[#All],[Column2]],DIM_COUNTRY[[#All],[Column3]],,,)</f>
        <v>Major_Non-USMCA_Non-China</v>
      </c>
    </row>
    <row r="5464" spans="1:9" x14ac:dyDescent="0.4">
      <c r="A5464" t="s">
        <v>68</v>
      </c>
      <c r="B5464" s="1">
        <v>45292</v>
      </c>
      <c r="C5464">
        <v>851120</v>
      </c>
      <c r="D5464" t="s">
        <v>176</v>
      </c>
      <c r="E5464">
        <v>30758</v>
      </c>
      <c r="F5464">
        <v>633</v>
      </c>
      <c r="G5464">
        <v>205</v>
      </c>
      <c r="H5464">
        <f>_xlfn.XLOOKUP(FACT_IMPORTS[[#This Row],[hts_6]],DIM_PRODUCTS[hts_6],DIM_PRODUCTS[hts_4],,,)</f>
        <v>8511</v>
      </c>
      <c r="I5464" t="str" cm="1">
        <f t="array" ref="I5464">_xlfn.XLOOKUP(FACT_IMPORTS[[#This Row],[country_name]],DIM_COUNTRY[[#All],[Column2]],DIM_COUNTRY[[#All],[Column3]],,,)</f>
        <v>Major_Non-USMCA_Non-China</v>
      </c>
    </row>
    <row r="5465" spans="1:9" x14ac:dyDescent="0.4">
      <c r="A5465" t="s">
        <v>68</v>
      </c>
      <c r="B5465" s="1">
        <v>45292</v>
      </c>
      <c r="C5465">
        <v>851130</v>
      </c>
      <c r="D5465" t="s">
        <v>176</v>
      </c>
      <c r="E5465">
        <v>22820</v>
      </c>
      <c r="F5465">
        <v>529</v>
      </c>
      <c r="G5465">
        <v>152</v>
      </c>
      <c r="H5465">
        <f>_xlfn.XLOOKUP(FACT_IMPORTS[[#This Row],[hts_6]],DIM_PRODUCTS[hts_6],DIM_PRODUCTS[hts_4],,,)</f>
        <v>8511</v>
      </c>
      <c r="I5465" t="str" cm="1">
        <f t="array" ref="I5465">_xlfn.XLOOKUP(FACT_IMPORTS[[#This Row],[country_name]],DIM_COUNTRY[[#All],[Column2]],DIM_COUNTRY[[#All],[Column3]],,,)</f>
        <v>Major_Non-USMCA_Non-China</v>
      </c>
    </row>
    <row r="5466" spans="1:9" x14ac:dyDescent="0.4">
      <c r="A5466" t="s">
        <v>68</v>
      </c>
      <c r="B5466" s="1">
        <v>45292</v>
      </c>
      <c r="C5466">
        <v>851140</v>
      </c>
      <c r="D5466" t="s">
        <v>176</v>
      </c>
      <c r="E5466">
        <v>0</v>
      </c>
      <c r="F5466">
        <v>0</v>
      </c>
      <c r="G5466">
        <v>0</v>
      </c>
      <c r="H5466">
        <f>_xlfn.XLOOKUP(FACT_IMPORTS[[#This Row],[hts_6]],DIM_PRODUCTS[hts_6],DIM_PRODUCTS[hts_4],,,)</f>
        <v>8511</v>
      </c>
      <c r="I5466" t="str" cm="1">
        <f t="array" ref="I5466">_xlfn.XLOOKUP(FACT_IMPORTS[[#This Row],[country_name]],DIM_COUNTRY[[#All],[Column2]],DIM_COUNTRY[[#All],[Column3]],,,)</f>
        <v>Major_Non-USMCA_Non-China</v>
      </c>
    </row>
    <row r="5467" spans="1:9" x14ac:dyDescent="0.4">
      <c r="A5467" t="s">
        <v>68</v>
      </c>
      <c r="B5467" s="1">
        <v>45292</v>
      </c>
      <c r="C5467">
        <v>851150</v>
      </c>
      <c r="D5467" t="s">
        <v>176</v>
      </c>
      <c r="E5467">
        <v>0</v>
      </c>
      <c r="F5467">
        <v>0</v>
      </c>
      <c r="G5467">
        <v>0</v>
      </c>
      <c r="H5467">
        <f>_xlfn.XLOOKUP(FACT_IMPORTS[[#This Row],[hts_6]],DIM_PRODUCTS[hts_6],DIM_PRODUCTS[hts_4],,,)</f>
        <v>8511</v>
      </c>
      <c r="I5467" t="str" cm="1">
        <f t="array" ref="I5467">_xlfn.XLOOKUP(FACT_IMPORTS[[#This Row],[country_name]],DIM_COUNTRY[[#All],[Column2]],DIM_COUNTRY[[#All],[Column3]],,,)</f>
        <v>Major_Non-USMCA_Non-China</v>
      </c>
    </row>
    <row r="5468" spans="1:9" x14ac:dyDescent="0.4">
      <c r="A5468" t="s">
        <v>68</v>
      </c>
      <c r="B5468" s="1">
        <v>45292</v>
      </c>
      <c r="C5468">
        <v>851180</v>
      </c>
      <c r="D5468" t="s">
        <v>176</v>
      </c>
      <c r="E5468">
        <v>99253</v>
      </c>
      <c r="F5468">
        <v>490</v>
      </c>
      <c r="G5468">
        <v>413</v>
      </c>
      <c r="H5468">
        <f>_xlfn.XLOOKUP(FACT_IMPORTS[[#This Row],[hts_6]],DIM_PRODUCTS[hts_6],DIM_PRODUCTS[hts_4],,,)</f>
        <v>8511</v>
      </c>
      <c r="I5468" t="str" cm="1">
        <f t="array" ref="I5468">_xlfn.XLOOKUP(FACT_IMPORTS[[#This Row],[country_name]],DIM_COUNTRY[[#All],[Column2]],DIM_COUNTRY[[#All],[Column3]],,,)</f>
        <v>Major_Non-USMCA_Non-China</v>
      </c>
    </row>
    <row r="5469" spans="1:9" x14ac:dyDescent="0.4">
      <c r="A5469" t="s">
        <v>68</v>
      </c>
      <c r="B5469" s="1">
        <v>45292</v>
      </c>
      <c r="C5469">
        <v>851190</v>
      </c>
      <c r="D5469" t="s">
        <v>176</v>
      </c>
      <c r="E5469">
        <v>21627</v>
      </c>
      <c r="F5469">
        <v>196</v>
      </c>
      <c r="G5469">
        <v>144</v>
      </c>
      <c r="H5469">
        <f>_xlfn.XLOOKUP(FACT_IMPORTS[[#This Row],[hts_6]],DIM_PRODUCTS[hts_6],DIM_PRODUCTS[hts_4],,,)</f>
        <v>8511</v>
      </c>
      <c r="I5469" t="str" cm="1">
        <f t="array" ref="I5469">_xlfn.XLOOKUP(FACT_IMPORTS[[#This Row],[country_name]],DIM_COUNTRY[[#All],[Column2]],DIM_COUNTRY[[#All],[Column3]],,,)</f>
        <v>Major_Non-USMCA_Non-China</v>
      </c>
    </row>
    <row r="5470" spans="1:9" x14ac:dyDescent="0.4">
      <c r="A5470" t="s">
        <v>68</v>
      </c>
      <c r="B5470" s="1">
        <v>45292</v>
      </c>
      <c r="C5470">
        <v>851220</v>
      </c>
      <c r="D5470" t="s">
        <v>176</v>
      </c>
      <c r="E5470">
        <v>33636</v>
      </c>
      <c r="F5470">
        <v>1168</v>
      </c>
      <c r="G5470">
        <v>1618</v>
      </c>
      <c r="H5470">
        <f>_xlfn.XLOOKUP(FACT_IMPORTS[[#This Row],[hts_6]],DIM_PRODUCTS[hts_6],DIM_PRODUCTS[hts_4],,,)</f>
        <v>8512</v>
      </c>
      <c r="I5470" t="str" cm="1">
        <f t="array" ref="I5470">_xlfn.XLOOKUP(FACT_IMPORTS[[#This Row],[country_name]],DIM_COUNTRY[[#All],[Column2]],DIM_COUNTRY[[#All],[Column3]],,,)</f>
        <v>Major_Non-USMCA_Non-China</v>
      </c>
    </row>
    <row r="5471" spans="1:9" x14ac:dyDescent="0.4">
      <c r="A5471" t="s">
        <v>68</v>
      </c>
      <c r="B5471" s="1">
        <v>45292</v>
      </c>
      <c r="C5471">
        <v>851230</v>
      </c>
      <c r="D5471" t="s">
        <v>176</v>
      </c>
      <c r="E5471">
        <v>0</v>
      </c>
      <c r="F5471">
        <v>0</v>
      </c>
      <c r="G5471">
        <v>0</v>
      </c>
      <c r="H5471">
        <f>_xlfn.XLOOKUP(FACT_IMPORTS[[#This Row],[hts_6]],DIM_PRODUCTS[hts_6],DIM_PRODUCTS[hts_4],,,)</f>
        <v>8512</v>
      </c>
      <c r="I5471" t="str" cm="1">
        <f t="array" ref="I5471">_xlfn.XLOOKUP(FACT_IMPORTS[[#This Row],[country_name]],DIM_COUNTRY[[#All],[Column2]],DIM_COUNTRY[[#All],[Column3]],,,)</f>
        <v>Major_Non-USMCA_Non-China</v>
      </c>
    </row>
    <row r="5472" spans="1:9" x14ac:dyDescent="0.4">
      <c r="A5472" t="s">
        <v>68</v>
      </c>
      <c r="B5472" s="1">
        <v>45292</v>
      </c>
      <c r="C5472">
        <v>851240</v>
      </c>
      <c r="D5472" t="s">
        <v>176</v>
      </c>
      <c r="E5472">
        <v>0</v>
      </c>
      <c r="F5472">
        <v>0</v>
      </c>
      <c r="G5472">
        <v>0</v>
      </c>
      <c r="H5472">
        <f>_xlfn.XLOOKUP(FACT_IMPORTS[[#This Row],[hts_6]],DIM_PRODUCTS[hts_6],DIM_PRODUCTS[hts_4],,,)</f>
        <v>8512</v>
      </c>
      <c r="I5472" t="str" cm="1">
        <f t="array" ref="I5472">_xlfn.XLOOKUP(FACT_IMPORTS[[#This Row],[country_name]],DIM_COUNTRY[[#All],[Column2]],DIM_COUNTRY[[#All],[Column3]],,,)</f>
        <v>Major_Non-USMCA_Non-China</v>
      </c>
    </row>
    <row r="5473" spans="1:9" x14ac:dyDescent="0.4">
      <c r="A5473" t="s">
        <v>68</v>
      </c>
      <c r="B5473" s="1">
        <v>45292</v>
      </c>
      <c r="C5473">
        <v>851290</v>
      </c>
      <c r="D5473" t="s">
        <v>176</v>
      </c>
      <c r="E5473">
        <v>0</v>
      </c>
      <c r="F5473">
        <v>0</v>
      </c>
      <c r="G5473">
        <v>0</v>
      </c>
      <c r="H5473">
        <f>_xlfn.XLOOKUP(FACT_IMPORTS[[#This Row],[hts_6]],DIM_PRODUCTS[hts_6],DIM_PRODUCTS[hts_4],,,)</f>
        <v>8512</v>
      </c>
      <c r="I5473" t="str" cm="1">
        <f t="array" ref="I5473">_xlfn.XLOOKUP(FACT_IMPORTS[[#This Row],[country_name]],DIM_COUNTRY[[#All],[Column2]],DIM_COUNTRY[[#All],[Column3]],,,)</f>
        <v>Major_Non-USMCA_Non-China</v>
      </c>
    </row>
    <row r="5474" spans="1:9" x14ac:dyDescent="0.4">
      <c r="A5474" t="s">
        <v>68</v>
      </c>
      <c r="B5474" s="1">
        <v>45292</v>
      </c>
      <c r="C5474">
        <v>854231</v>
      </c>
      <c r="D5474" t="s">
        <v>176</v>
      </c>
      <c r="E5474">
        <v>33616</v>
      </c>
      <c r="F5474">
        <v>9</v>
      </c>
      <c r="G5474">
        <v>394</v>
      </c>
      <c r="H5474">
        <f>_xlfn.XLOOKUP(FACT_IMPORTS[[#This Row],[hts_6]],DIM_PRODUCTS[hts_6],DIM_PRODUCTS[hts_4],,,)</f>
        <v>8542</v>
      </c>
      <c r="I5474" t="str" cm="1">
        <f t="array" ref="I5474">_xlfn.XLOOKUP(FACT_IMPORTS[[#This Row],[country_name]],DIM_COUNTRY[[#All],[Column2]],DIM_COUNTRY[[#All],[Column3]],,,)</f>
        <v>Major_Non-USMCA_Non-China</v>
      </c>
    </row>
    <row r="5475" spans="1:9" x14ac:dyDescent="0.4">
      <c r="A5475" t="s">
        <v>68</v>
      </c>
      <c r="B5475" s="1">
        <v>45292</v>
      </c>
      <c r="C5475">
        <v>854233</v>
      </c>
      <c r="D5475" t="s">
        <v>176</v>
      </c>
      <c r="E5475">
        <v>0</v>
      </c>
      <c r="F5475">
        <v>0</v>
      </c>
      <c r="G5475">
        <v>0</v>
      </c>
      <c r="H5475">
        <f>_xlfn.XLOOKUP(FACT_IMPORTS[[#This Row],[hts_6]],DIM_PRODUCTS[hts_6],DIM_PRODUCTS[hts_4],,,)</f>
        <v>8542</v>
      </c>
      <c r="I5475" t="str" cm="1">
        <f t="array" ref="I5475">_xlfn.XLOOKUP(FACT_IMPORTS[[#This Row],[country_name]],DIM_COUNTRY[[#All],[Column2]],DIM_COUNTRY[[#All],[Column3]],,,)</f>
        <v>Major_Non-USMCA_Non-China</v>
      </c>
    </row>
    <row r="5476" spans="1:9" x14ac:dyDescent="0.4">
      <c r="A5476" t="s">
        <v>68</v>
      </c>
      <c r="B5476" s="1">
        <v>45292</v>
      </c>
      <c r="C5476">
        <v>854239</v>
      </c>
      <c r="D5476" t="s">
        <v>176</v>
      </c>
      <c r="E5476">
        <v>11779</v>
      </c>
      <c r="F5476">
        <v>2100</v>
      </c>
      <c r="G5476">
        <v>1580</v>
      </c>
      <c r="H5476">
        <f>_xlfn.XLOOKUP(FACT_IMPORTS[[#This Row],[hts_6]],DIM_PRODUCTS[hts_6],DIM_PRODUCTS[hts_4],,,)</f>
        <v>8542</v>
      </c>
      <c r="I5476" t="str" cm="1">
        <f t="array" ref="I5476">_xlfn.XLOOKUP(FACT_IMPORTS[[#This Row],[country_name]],DIM_COUNTRY[[#All],[Column2]],DIM_COUNTRY[[#All],[Column3]],,,)</f>
        <v>Major_Non-USMCA_Non-China</v>
      </c>
    </row>
    <row r="5477" spans="1:9" x14ac:dyDescent="0.4">
      <c r="A5477" t="s">
        <v>68</v>
      </c>
      <c r="B5477" s="1">
        <v>45292</v>
      </c>
      <c r="C5477">
        <v>854290</v>
      </c>
      <c r="D5477" t="s">
        <v>176</v>
      </c>
      <c r="E5477">
        <v>0</v>
      </c>
      <c r="F5477">
        <v>0</v>
      </c>
      <c r="G5477">
        <v>0</v>
      </c>
      <c r="H5477">
        <f>_xlfn.XLOOKUP(FACT_IMPORTS[[#This Row],[hts_6]],DIM_PRODUCTS[hts_6],DIM_PRODUCTS[hts_4],,,)</f>
        <v>8542</v>
      </c>
      <c r="I5477" t="str" cm="1">
        <f t="array" ref="I5477">_xlfn.XLOOKUP(FACT_IMPORTS[[#This Row],[country_name]],DIM_COUNTRY[[#All],[Column2]],DIM_COUNTRY[[#All],[Column3]],,,)</f>
        <v>Major_Non-USMCA_Non-China</v>
      </c>
    </row>
    <row r="5478" spans="1:9" x14ac:dyDescent="0.4">
      <c r="A5478" t="s">
        <v>68</v>
      </c>
      <c r="B5478" s="1">
        <v>45292</v>
      </c>
      <c r="C5478">
        <v>854430</v>
      </c>
      <c r="D5478" t="s">
        <v>176</v>
      </c>
      <c r="E5478">
        <v>309919</v>
      </c>
      <c r="F5478">
        <v>11063</v>
      </c>
      <c r="G5478">
        <v>5560</v>
      </c>
      <c r="H5478">
        <f>_xlfn.XLOOKUP(FACT_IMPORTS[[#This Row],[hts_6]],DIM_PRODUCTS[hts_6],DIM_PRODUCTS[hts_4],,,)</f>
        <v>8544</v>
      </c>
      <c r="I5478" t="str" cm="1">
        <f t="array" ref="I5478">_xlfn.XLOOKUP(FACT_IMPORTS[[#This Row],[country_name]],DIM_COUNTRY[[#All],[Column2]],DIM_COUNTRY[[#All],[Column3]],,,)</f>
        <v>Major_Non-USMCA_Non-China</v>
      </c>
    </row>
    <row r="5479" spans="1:9" x14ac:dyDescent="0.4">
      <c r="A5479" t="s">
        <v>68</v>
      </c>
      <c r="B5479" s="1">
        <v>45292</v>
      </c>
      <c r="C5479">
        <v>870790</v>
      </c>
      <c r="D5479" t="s">
        <v>176</v>
      </c>
      <c r="E5479">
        <v>0</v>
      </c>
      <c r="F5479">
        <v>0</v>
      </c>
      <c r="G5479">
        <v>0</v>
      </c>
      <c r="H5479">
        <f>_xlfn.XLOOKUP(FACT_IMPORTS[[#This Row],[hts_6]],DIM_PRODUCTS[hts_6],DIM_PRODUCTS[hts_4],,,)</f>
        <v>8707</v>
      </c>
      <c r="I5479" t="str" cm="1">
        <f t="array" ref="I5479">_xlfn.XLOOKUP(FACT_IMPORTS[[#This Row],[country_name]],DIM_COUNTRY[[#All],[Column2]],DIM_COUNTRY[[#All],[Column3]],,,)</f>
        <v>Major_Non-USMCA_Non-China</v>
      </c>
    </row>
    <row r="5480" spans="1:9" x14ac:dyDescent="0.4">
      <c r="A5480" t="s">
        <v>68</v>
      </c>
      <c r="B5480" s="1">
        <v>45292</v>
      </c>
      <c r="C5480">
        <v>870810</v>
      </c>
      <c r="D5480" t="s">
        <v>176</v>
      </c>
      <c r="E5480">
        <v>0</v>
      </c>
      <c r="F5480">
        <v>0</v>
      </c>
      <c r="G5480">
        <v>0</v>
      </c>
      <c r="H5480">
        <f>_xlfn.XLOOKUP(FACT_IMPORTS[[#This Row],[hts_6]],DIM_PRODUCTS[hts_6],DIM_PRODUCTS[hts_4],,,)</f>
        <v>8708</v>
      </c>
      <c r="I5480" t="str" cm="1">
        <f t="array" ref="I5480">_xlfn.XLOOKUP(FACT_IMPORTS[[#This Row],[country_name]],DIM_COUNTRY[[#All],[Column2]],DIM_COUNTRY[[#All],[Column3]],,,)</f>
        <v>Major_Non-USMCA_Non-China</v>
      </c>
    </row>
    <row r="5481" spans="1:9" x14ac:dyDescent="0.4">
      <c r="A5481" t="s">
        <v>68</v>
      </c>
      <c r="B5481" s="1">
        <v>45292</v>
      </c>
      <c r="C5481">
        <v>870821</v>
      </c>
      <c r="D5481" t="s">
        <v>176</v>
      </c>
      <c r="E5481">
        <v>0</v>
      </c>
      <c r="F5481">
        <v>0</v>
      </c>
      <c r="G5481">
        <v>0</v>
      </c>
      <c r="H5481">
        <f>_xlfn.XLOOKUP(FACT_IMPORTS[[#This Row],[hts_6]],DIM_PRODUCTS[hts_6],DIM_PRODUCTS[hts_4],,,)</f>
        <v>8708</v>
      </c>
      <c r="I5481" t="str" cm="1">
        <f t="array" ref="I5481">_xlfn.XLOOKUP(FACT_IMPORTS[[#This Row],[country_name]],DIM_COUNTRY[[#All],[Column2]],DIM_COUNTRY[[#All],[Column3]],,,)</f>
        <v>Major_Non-USMCA_Non-China</v>
      </c>
    </row>
    <row r="5482" spans="1:9" x14ac:dyDescent="0.4">
      <c r="A5482" t="s">
        <v>68</v>
      </c>
      <c r="B5482" s="1">
        <v>45292</v>
      </c>
      <c r="C5482">
        <v>870822</v>
      </c>
      <c r="D5482" t="s">
        <v>176</v>
      </c>
      <c r="E5482">
        <v>0</v>
      </c>
      <c r="F5482">
        <v>0</v>
      </c>
      <c r="G5482">
        <v>0</v>
      </c>
      <c r="H5482">
        <f>_xlfn.XLOOKUP(FACT_IMPORTS[[#This Row],[hts_6]],DIM_PRODUCTS[hts_6],DIM_PRODUCTS[hts_4],,,)</f>
        <v>8708</v>
      </c>
      <c r="I5482" t="str" cm="1">
        <f t="array" ref="I5482">_xlfn.XLOOKUP(FACT_IMPORTS[[#This Row],[country_name]],DIM_COUNTRY[[#All],[Column2]],DIM_COUNTRY[[#All],[Column3]],,,)</f>
        <v>Major_Non-USMCA_Non-China</v>
      </c>
    </row>
    <row r="5483" spans="1:9" x14ac:dyDescent="0.4">
      <c r="A5483" t="s">
        <v>68</v>
      </c>
      <c r="B5483" s="1">
        <v>45292</v>
      </c>
      <c r="C5483">
        <v>870829</v>
      </c>
      <c r="D5483" t="s">
        <v>176</v>
      </c>
      <c r="E5483">
        <v>2721170</v>
      </c>
      <c r="F5483">
        <v>802811</v>
      </c>
      <c r="G5483">
        <v>34016</v>
      </c>
      <c r="H5483">
        <f>_xlfn.XLOOKUP(FACT_IMPORTS[[#This Row],[hts_6]],DIM_PRODUCTS[hts_6],DIM_PRODUCTS[hts_4],,,)</f>
        <v>8708</v>
      </c>
      <c r="I5483" t="str" cm="1">
        <f t="array" ref="I5483">_xlfn.XLOOKUP(FACT_IMPORTS[[#This Row],[country_name]],DIM_COUNTRY[[#All],[Column2]],DIM_COUNTRY[[#All],[Column3]],,,)</f>
        <v>Major_Non-USMCA_Non-China</v>
      </c>
    </row>
    <row r="5484" spans="1:9" x14ac:dyDescent="0.4">
      <c r="A5484" t="s">
        <v>68</v>
      </c>
      <c r="B5484" s="1">
        <v>45292</v>
      </c>
      <c r="C5484">
        <v>870830</v>
      </c>
      <c r="D5484" t="s">
        <v>176</v>
      </c>
      <c r="E5484">
        <v>358023</v>
      </c>
      <c r="F5484">
        <v>325439</v>
      </c>
      <c r="G5484">
        <v>12770</v>
      </c>
      <c r="H5484">
        <f>_xlfn.XLOOKUP(FACT_IMPORTS[[#This Row],[hts_6]],DIM_PRODUCTS[hts_6],DIM_PRODUCTS[hts_4],,,)</f>
        <v>8708</v>
      </c>
      <c r="I5484" t="str" cm="1">
        <f t="array" ref="I5484">_xlfn.XLOOKUP(FACT_IMPORTS[[#This Row],[country_name]],DIM_COUNTRY[[#All],[Column2]],DIM_COUNTRY[[#All],[Column3]],,,)</f>
        <v>Major_Non-USMCA_Non-China</v>
      </c>
    </row>
    <row r="5485" spans="1:9" x14ac:dyDescent="0.4">
      <c r="A5485" t="s">
        <v>68</v>
      </c>
      <c r="B5485" s="1">
        <v>45292</v>
      </c>
      <c r="C5485">
        <v>870840</v>
      </c>
      <c r="D5485" t="s">
        <v>176</v>
      </c>
      <c r="E5485">
        <v>75772535</v>
      </c>
      <c r="F5485">
        <v>874059</v>
      </c>
      <c r="G5485">
        <v>136442</v>
      </c>
      <c r="H5485">
        <f>_xlfn.XLOOKUP(FACT_IMPORTS[[#This Row],[hts_6]],DIM_PRODUCTS[hts_6],DIM_PRODUCTS[hts_4],,,)</f>
        <v>8708</v>
      </c>
      <c r="I5485" t="str" cm="1">
        <f t="array" ref="I5485">_xlfn.XLOOKUP(FACT_IMPORTS[[#This Row],[country_name]],DIM_COUNTRY[[#All],[Column2]],DIM_COUNTRY[[#All],[Column3]],,,)</f>
        <v>Major_Non-USMCA_Non-China</v>
      </c>
    </row>
    <row r="5486" spans="1:9" x14ac:dyDescent="0.4">
      <c r="A5486" t="s">
        <v>68</v>
      </c>
      <c r="B5486" s="1">
        <v>45292</v>
      </c>
      <c r="C5486">
        <v>870850</v>
      </c>
      <c r="D5486" t="s">
        <v>176</v>
      </c>
      <c r="E5486">
        <v>8291218</v>
      </c>
      <c r="F5486">
        <v>488834</v>
      </c>
      <c r="G5486">
        <v>134552</v>
      </c>
      <c r="H5486">
        <f>_xlfn.XLOOKUP(FACT_IMPORTS[[#This Row],[hts_6]],DIM_PRODUCTS[hts_6],DIM_PRODUCTS[hts_4],,,)</f>
        <v>8708</v>
      </c>
      <c r="I5486" t="str" cm="1">
        <f t="array" ref="I5486">_xlfn.XLOOKUP(FACT_IMPORTS[[#This Row],[country_name]],DIM_COUNTRY[[#All],[Column2]],DIM_COUNTRY[[#All],[Column3]],,,)</f>
        <v>Major_Non-USMCA_Non-China</v>
      </c>
    </row>
    <row r="5487" spans="1:9" x14ac:dyDescent="0.4">
      <c r="A5487" t="s">
        <v>68</v>
      </c>
      <c r="B5487" s="1">
        <v>45292</v>
      </c>
      <c r="C5487">
        <v>870870</v>
      </c>
      <c r="D5487" t="s">
        <v>176</v>
      </c>
      <c r="E5487">
        <v>11735</v>
      </c>
      <c r="F5487">
        <v>51</v>
      </c>
      <c r="G5487">
        <v>97</v>
      </c>
      <c r="H5487">
        <f>_xlfn.XLOOKUP(FACT_IMPORTS[[#This Row],[hts_6]],DIM_PRODUCTS[hts_6],DIM_PRODUCTS[hts_4],,,)</f>
        <v>8708</v>
      </c>
      <c r="I5487" t="str" cm="1">
        <f t="array" ref="I5487">_xlfn.XLOOKUP(FACT_IMPORTS[[#This Row],[country_name]],DIM_COUNTRY[[#All],[Column2]],DIM_COUNTRY[[#All],[Column3]],,,)</f>
        <v>Major_Non-USMCA_Non-China</v>
      </c>
    </row>
    <row r="5488" spans="1:9" x14ac:dyDescent="0.4">
      <c r="A5488" t="s">
        <v>68</v>
      </c>
      <c r="B5488" s="1">
        <v>45292</v>
      </c>
      <c r="C5488">
        <v>870880</v>
      </c>
      <c r="D5488" t="s">
        <v>176</v>
      </c>
      <c r="E5488">
        <v>1743563</v>
      </c>
      <c r="F5488">
        <v>706998</v>
      </c>
      <c r="G5488">
        <v>30662</v>
      </c>
      <c r="H5488">
        <f>_xlfn.XLOOKUP(FACT_IMPORTS[[#This Row],[hts_6]],DIM_PRODUCTS[hts_6],DIM_PRODUCTS[hts_4],,,)</f>
        <v>8708</v>
      </c>
      <c r="I5488" t="str" cm="1">
        <f t="array" ref="I5488">_xlfn.XLOOKUP(FACT_IMPORTS[[#This Row],[country_name]],DIM_COUNTRY[[#All],[Column2]],DIM_COUNTRY[[#All],[Column3]],,,)</f>
        <v>Major_Non-USMCA_Non-China</v>
      </c>
    </row>
    <row r="5489" spans="1:9" x14ac:dyDescent="0.4">
      <c r="A5489" t="s">
        <v>68</v>
      </c>
      <c r="B5489" s="1">
        <v>45292</v>
      </c>
      <c r="C5489">
        <v>870891</v>
      </c>
      <c r="D5489" t="s">
        <v>176</v>
      </c>
      <c r="E5489">
        <v>102571</v>
      </c>
      <c r="F5489">
        <v>5226</v>
      </c>
      <c r="G5489">
        <v>6965</v>
      </c>
      <c r="H5489">
        <f>_xlfn.XLOOKUP(FACT_IMPORTS[[#This Row],[hts_6]],DIM_PRODUCTS[hts_6],DIM_PRODUCTS[hts_4],,,)</f>
        <v>8708</v>
      </c>
      <c r="I5489" t="str" cm="1">
        <f t="array" ref="I5489">_xlfn.XLOOKUP(FACT_IMPORTS[[#This Row],[country_name]],DIM_COUNTRY[[#All],[Column2]],DIM_COUNTRY[[#All],[Column3]],,,)</f>
        <v>Major_Non-USMCA_Non-China</v>
      </c>
    </row>
    <row r="5490" spans="1:9" x14ac:dyDescent="0.4">
      <c r="A5490" t="s">
        <v>68</v>
      </c>
      <c r="B5490" s="1">
        <v>45292</v>
      </c>
      <c r="C5490">
        <v>870892</v>
      </c>
      <c r="D5490" t="s">
        <v>176</v>
      </c>
      <c r="E5490">
        <v>198167</v>
      </c>
      <c r="F5490">
        <v>61709</v>
      </c>
      <c r="G5490">
        <v>8100</v>
      </c>
      <c r="H5490">
        <f>_xlfn.XLOOKUP(FACT_IMPORTS[[#This Row],[hts_6]],DIM_PRODUCTS[hts_6],DIM_PRODUCTS[hts_4],,,)</f>
        <v>8708</v>
      </c>
      <c r="I5490" t="str" cm="1">
        <f t="array" ref="I5490">_xlfn.XLOOKUP(FACT_IMPORTS[[#This Row],[country_name]],DIM_COUNTRY[[#All],[Column2]],DIM_COUNTRY[[#All],[Column3]],,,)</f>
        <v>Major_Non-USMCA_Non-China</v>
      </c>
    </row>
    <row r="5491" spans="1:9" x14ac:dyDescent="0.4">
      <c r="A5491" t="s">
        <v>68</v>
      </c>
      <c r="B5491" s="1">
        <v>45292</v>
      </c>
      <c r="C5491">
        <v>870893</v>
      </c>
      <c r="D5491" t="s">
        <v>176</v>
      </c>
      <c r="E5491">
        <v>530515</v>
      </c>
      <c r="F5491">
        <v>7804</v>
      </c>
      <c r="G5491">
        <v>5524</v>
      </c>
      <c r="H5491">
        <f>_xlfn.XLOOKUP(FACT_IMPORTS[[#This Row],[hts_6]],DIM_PRODUCTS[hts_6],DIM_PRODUCTS[hts_4],,,)</f>
        <v>8708</v>
      </c>
      <c r="I5491" t="str" cm="1">
        <f t="array" ref="I5491">_xlfn.XLOOKUP(FACT_IMPORTS[[#This Row],[country_name]],DIM_COUNTRY[[#All],[Column2]],DIM_COUNTRY[[#All],[Column3]],,,)</f>
        <v>Major_Non-USMCA_Non-China</v>
      </c>
    </row>
    <row r="5492" spans="1:9" x14ac:dyDescent="0.4">
      <c r="A5492" t="s">
        <v>68</v>
      </c>
      <c r="B5492" s="1">
        <v>45292</v>
      </c>
      <c r="C5492">
        <v>870894</v>
      </c>
      <c r="D5492" t="s">
        <v>176</v>
      </c>
      <c r="E5492">
        <v>92966</v>
      </c>
      <c r="F5492">
        <v>21080</v>
      </c>
      <c r="G5492">
        <v>2816</v>
      </c>
      <c r="H5492">
        <f>_xlfn.XLOOKUP(FACT_IMPORTS[[#This Row],[hts_6]],DIM_PRODUCTS[hts_6],DIM_PRODUCTS[hts_4],,,)</f>
        <v>8708</v>
      </c>
      <c r="I5492" t="str" cm="1">
        <f t="array" ref="I5492">_xlfn.XLOOKUP(FACT_IMPORTS[[#This Row],[country_name]],DIM_COUNTRY[[#All],[Column2]],DIM_COUNTRY[[#All],[Column3]],,,)</f>
        <v>Major_Non-USMCA_Non-China</v>
      </c>
    </row>
    <row r="5493" spans="1:9" x14ac:dyDescent="0.4">
      <c r="A5493" t="s">
        <v>68</v>
      </c>
      <c r="B5493" s="1">
        <v>45292</v>
      </c>
      <c r="C5493">
        <v>870895</v>
      </c>
      <c r="D5493" t="s">
        <v>176</v>
      </c>
      <c r="E5493">
        <v>8889</v>
      </c>
      <c r="F5493">
        <v>980</v>
      </c>
      <c r="G5493">
        <v>1092</v>
      </c>
      <c r="H5493">
        <f>_xlfn.XLOOKUP(FACT_IMPORTS[[#This Row],[hts_6]],DIM_PRODUCTS[hts_6],DIM_PRODUCTS[hts_4],,,)</f>
        <v>8708</v>
      </c>
      <c r="I5493" t="str" cm="1">
        <f t="array" ref="I5493">_xlfn.XLOOKUP(FACT_IMPORTS[[#This Row],[country_name]],DIM_COUNTRY[[#All],[Column2]],DIM_COUNTRY[[#All],[Column3]],,,)</f>
        <v>Major_Non-USMCA_Non-China</v>
      </c>
    </row>
    <row r="5494" spans="1:9" x14ac:dyDescent="0.4">
      <c r="A5494" t="s">
        <v>68</v>
      </c>
      <c r="B5494" s="1">
        <v>45292</v>
      </c>
      <c r="C5494">
        <v>870899</v>
      </c>
      <c r="D5494" t="s">
        <v>176</v>
      </c>
      <c r="E5494">
        <v>6876189</v>
      </c>
      <c r="F5494">
        <v>693111</v>
      </c>
      <c r="G5494">
        <v>54885</v>
      </c>
      <c r="H5494">
        <f>_xlfn.XLOOKUP(FACT_IMPORTS[[#This Row],[hts_6]],DIM_PRODUCTS[hts_6],DIM_PRODUCTS[hts_4],,,)</f>
        <v>8708</v>
      </c>
      <c r="I5494" t="str" cm="1">
        <f t="array" ref="I5494">_xlfn.XLOOKUP(FACT_IMPORTS[[#This Row],[country_name]],DIM_COUNTRY[[#All],[Column2]],DIM_COUNTRY[[#All],[Column3]],,,)</f>
        <v>Major_Non-USMCA_Non-China</v>
      </c>
    </row>
    <row r="5495" spans="1:9" x14ac:dyDescent="0.4">
      <c r="A5495" t="s">
        <v>68</v>
      </c>
      <c r="B5495" s="1">
        <v>45292</v>
      </c>
      <c r="C5495">
        <v>940120</v>
      </c>
      <c r="D5495" t="s">
        <v>176</v>
      </c>
      <c r="E5495">
        <v>195268</v>
      </c>
      <c r="F5495">
        <v>117</v>
      </c>
      <c r="G5495">
        <v>5456</v>
      </c>
      <c r="H5495">
        <f>_xlfn.XLOOKUP(FACT_IMPORTS[[#This Row],[hts_6]],DIM_PRODUCTS[hts_6],DIM_PRODUCTS[hts_4],,,)</f>
        <v>9401</v>
      </c>
      <c r="I5495" t="str" cm="1">
        <f t="array" ref="I5495">_xlfn.XLOOKUP(FACT_IMPORTS[[#This Row],[country_name]],DIM_COUNTRY[[#All],[Column2]],DIM_COUNTRY[[#All],[Column3]],,,)</f>
        <v>Major_Non-USMCA_Non-China</v>
      </c>
    </row>
    <row r="5496" spans="1:9" x14ac:dyDescent="0.4">
      <c r="A5496" t="s">
        <v>68</v>
      </c>
      <c r="B5496" s="1">
        <v>45323</v>
      </c>
      <c r="C5496">
        <v>392630</v>
      </c>
      <c r="D5496" t="s">
        <v>176</v>
      </c>
      <c r="E5496">
        <v>134173</v>
      </c>
      <c r="F5496">
        <v>9917</v>
      </c>
      <c r="G5496">
        <v>11680</v>
      </c>
      <c r="H5496">
        <f>_xlfn.XLOOKUP(FACT_IMPORTS[[#This Row],[hts_6]],DIM_PRODUCTS[hts_6],DIM_PRODUCTS[hts_4],,,)</f>
        <v>3926</v>
      </c>
      <c r="I5496" t="str" cm="1">
        <f t="array" ref="I5496">_xlfn.XLOOKUP(FACT_IMPORTS[[#This Row],[country_name]],DIM_COUNTRY[[#All],[Column2]],DIM_COUNTRY[[#All],[Column3]],,,)</f>
        <v>Major_Non-USMCA_Non-China</v>
      </c>
    </row>
    <row r="5497" spans="1:9" x14ac:dyDescent="0.4">
      <c r="A5497" t="s">
        <v>68</v>
      </c>
      <c r="B5497" s="1">
        <v>45323</v>
      </c>
      <c r="C5497">
        <v>401110</v>
      </c>
      <c r="D5497" t="s">
        <v>176</v>
      </c>
      <c r="E5497">
        <v>26291</v>
      </c>
      <c r="F5497">
        <v>124</v>
      </c>
      <c r="G5497">
        <v>709</v>
      </c>
      <c r="H5497">
        <f>_xlfn.XLOOKUP(FACT_IMPORTS[[#This Row],[hts_6]],DIM_PRODUCTS[hts_6],DIM_PRODUCTS[hts_4],,,)</f>
        <v>4011</v>
      </c>
      <c r="I5497" t="str" cm="1">
        <f t="array" ref="I5497">_xlfn.XLOOKUP(FACT_IMPORTS[[#This Row],[country_name]],DIM_COUNTRY[[#All],[Column2]],DIM_COUNTRY[[#All],[Column3]],,,)</f>
        <v>Major_Non-USMCA_Non-China</v>
      </c>
    </row>
    <row r="5498" spans="1:9" x14ac:dyDescent="0.4">
      <c r="A5498" t="s">
        <v>68</v>
      </c>
      <c r="B5498" s="1">
        <v>45323</v>
      </c>
      <c r="C5498">
        <v>401120</v>
      </c>
      <c r="D5498" t="s">
        <v>176</v>
      </c>
      <c r="E5498">
        <v>14514</v>
      </c>
      <c r="F5498">
        <v>47</v>
      </c>
      <c r="G5498">
        <v>15</v>
      </c>
      <c r="H5498">
        <f>_xlfn.XLOOKUP(FACT_IMPORTS[[#This Row],[hts_6]],DIM_PRODUCTS[hts_6],DIM_PRODUCTS[hts_4],,,)</f>
        <v>4011</v>
      </c>
      <c r="I5498" t="str" cm="1">
        <f t="array" ref="I5498">_xlfn.XLOOKUP(FACT_IMPORTS[[#This Row],[country_name]],DIM_COUNTRY[[#All],[Column2]],DIM_COUNTRY[[#All],[Column3]],,,)</f>
        <v>Major_Non-USMCA_Non-China</v>
      </c>
    </row>
    <row r="5499" spans="1:9" x14ac:dyDescent="0.4">
      <c r="A5499" t="s">
        <v>68</v>
      </c>
      <c r="B5499" s="1">
        <v>45323</v>
      </c>
      <c r="C5499">
        <v>401190</v>
      </c>
      <c r="D5499" t="s">
        <v>176</v>
      </c>
      <c r="E5499">
        <v>67984</v>
      </c>
      <c r="F5499">
        <v>2256</v>
      </c>
      <c r="G5499">
        <v>6000</v>
      </c>
      <c r="H5499">
        <f>_xlfn.XLOOKUP(FACT_IMPORTS[[#This Row],[hts_6]],DIM_PRODUCTS[hts_6],DIM_PRODUCTS[hts_4],,,)</f>
        <v>4011</v>
      </c>
      <c r="I5499" t="str" cm="1">
        <f t="array" ref="I5499">_xlfn.XLOOKUP(FACT_IMPORTS[[#This Row],[country_name]],DIM_COUNTRY[[#All],[Column2]],DIM_COUNTRY[[#All],[Column3]],,,)</f>
        <v>Major_Non-USMCA_Non-China</v>
      </c>
    </row>
    <row r="5500" spans="1:9" x14ac:dyDescent="0.4">
      <c r="A5500" t="s">
        <v>68</v>
      </c>
      <c r="B5500" s="1">
        <v>45323</v>
      </c>
      <c r="C5500">
        <v>700711</v>
      </c>
      <c r="D5500" t="s">
        <v>176</v>
      </c>
      <c r="E5500">
        <v>0</v>
      </c>
      <c r="F5500">
        <v>0</v>
      </c>
      <c r="G5500">
        <v>0</v>
      </c>
      <c r="H5500">
        <f>_xlfn.XLOOKUP(FACT_IMPORTS[[#This Row],[hts_6]],DIM_PRODUCTS[hts_6],DIM_PRODUCTS[hts_4],,,)</f>
        <v>7007</v>
      </c>
      <c r="I5500" t="str" cm="1">
        <f t="array" ref="I5500">_xlfn.XLOOKUP(FACT_IMPORTS[[#This Row],[country_name]],DIM_COUNTRY[[#All],[Column2]],DIM_COUNTRY[[#All],[Column3]],,,)</f>
        <v>Major_Non-USMCA_Non-China</v>
      </c>
    </row>
    <row r="5501" spans="1:9" x14ac:dyDescent="0.4">
      <c r="A5501" t="s">
        <v>68</v>
      </c>
      <c r="B5501" s="1">
        <v>45323</v>
      </c>
      <c r="C5501">
        <v>700721</v>
      </c>
      <c r="D5501" t="s">
        <v>176</v>
      </c>
      <c r="E5501">
        <v>0</v>
      </c>
      <c r="F5501">
        <v>0</v>
      </c>
      <c r="G5501">
        <v>0</v>
      </c>
      <c r="H5501">
        <f>_xlfn.XLOOKUP(FACT_IMPORTS[[#This Row],[hts_6]],DIM_PRODUCTS[hts_6],DIM_PRODUCTS[hts_4],,,)</f>
        <v>7007</v>
      </c>
      <c r="I5501" t="str" cm="1">
        <f t="array" ref="I5501">_xlfn.XLOOKUP(FACT_IMPORTS[[#This Row],[country_name]],DIM_COUNTRY[[#All],[Column2]],DIM_COUNTRY[[#All],[Column3]],,,)</f>
        <v>Major_Non-USMCA_Non-China</v>
      </c>
    </row>
    <row r="5502" spans="1:9" x14ac:dyDescent="0.4">
      <c r="A5502" t="s">
        <v>68</v>
      </c>
      <c r="B5502" s="1">
        <v>45323</v>
      </c>
      <c r="C5502">
        <v>700910</v>
      </c>
      <c r="D5502" t="s">
        <v>176</v>
      </c>
      <c r="E5502">
        <v>0</v>
      </c>
      <c r="F5502">
        <v>0</v>
      </c>
      <c r="G5502">
        <v>0</v>
      </c>
      <c r="H5502">
        <f>_xlfn.XLOOKUP(FACT_IMPORTS[[#This Row],[hts_6]],DIM_PRODUCTS[hts_6],DIM_PRODUCTS[hts_4],,,)</f>
        <v>7009</v>
      </c>
      <c r="I5502" t="str" cm="1">
        <f t="array" ref="I5502">_xlfn.XLOOKUP(FACT_IMPORTS[[#This Row],[country_name]],DIM_COUNTRY[[#All],[Column2]],DIM_COUNTRY[[#All],[Column3]],,,)</f>
        <v>Major_Non-USMCA_Non-China</v>
      </c>
    </row>
    <row r="5503" spans="1:9" x14ac:dyDescent="0.4">
      <c r="A5503" t="s">
        <v>68</v>
      </c>
      <c r="B5503" s="1">
        <v>45323</v>
      </c>
      <c r="C5503">
        <v>732010</v>
      </c>
      <c r="D5503" t="s">
        <v>176</v>
      </c>
      <c r="E5503">
        <v>12750</v>
      </c>
      <c r="F5503">
        <v>5519</v>
      </c>
      <c r="G5503">
        <v>3282</v>
      </c>
      <c r="H5503">
        <f>_xlfn.XLOOKUP(FACT_IMPORTS[[#This Row],[hts_6]],DIM_PRODUCTS[hts_6],DIM_PRODUCTS[hts_4],,,)</f>
        <v>7320</v>
      </c>
      <c r="I5503" t="str" cm="1">
        <f t="array" ref="I5503">_xlfn.XLOOKUP(FACT_IMPORTS[[#This Row],[country_name]],DIM_COUNTRY[[#All],[Column2]],DIM_COUNTRY[[#All],[Column3]],,,)</f>
        <v>Major_Non-USMCA_Non-China</v>
      </c>
    </row>
    <row r="5504" spans="1:9" x14ac:dyDescent="0.4">
      <c r="A5504" t="s">
        <v>68</v>
      </c>
      <c r="B5504" s="1">
        <v>45323</v>
      </c>
      <c r="C5504">
        <v>830230</v>
      </c>
      <c r="D5504" t="s">
        <v>176</v>
      </c>
      <c r="E5504">
        <v>274269</v>
      </c>
      <c r="F5504">
        <v>74908</v>
      </c>
      <c r="G5504">
        <v>22683</v>
      </c>
      <c r="H5504">
        <f>_xlfn.XLOOKUP(FACT_IMPORTS[[#This Row],[hts_6]],DIM_PRODUCTS[hts_6],DIM_PRODUCTS[hts_4],,,)</f>
        <v>8302</v>
      </c>
      <c r="I5504" t="str" cm="1">
        <f t="array" ref="I5504">_xlfn.XLOOKUP(FACT_IMPORTS[[#This Row],[country_name]],DIM_COUNTRY[[#All],[Column2]],DIM_COUNTRY[[#All],[Column3]],,,)</f>
        <v>Major_Non-USMCA_Non-China</v>
      </c>
    </row>
    <row r="5505" spans="1:9" x14ac:dyDescent="0.4">
      <c r="A5505" t="s">
        <v>68</v>
      </c>
      <c r="B5505" s="1">
        <v>45323</v>
      </c>
      <c r="C5505">
        <v>840731</v>
      </c>
      <c r="D5505" t="s">
        <v>176</v>
      </c>
      <c r="E5505">
        <v>0</v>
      </c>
      <c r="F5505">
        <v>0</v>
      </c>
      <c r="G5505">
        <v>0</v>
      </c>
      <c r="H5505">
        <f>_xlfn.XLOOKUP(FACT_IMPORTS[[#This Row],[hts_6]],DIM_PRODUCTS[hts_6],DIM_PRODUCTS[hts_4],,,)</f>
        <v>8407</v>
      </c>
      <c r="I5505" t="str" cm="1">
        <f t="array" ref="I5505">_xlfn.XLOOKUP(FACT_IMPORTS[[#This Row],[country_name]],DIM_COUNTRY[[#All],[Column2]],DIM_COUNTRY[[#All],[Column3]],,,)</f>
        <v>Major_Non-USMCA_Non-China</v>
      </c>
    </row>
    <row r="5506" spans="1:9" x14ac:dyDescent="0.4">
      <c r="A5506" t="s">
        <v>68</v>
      </c>
      <c r="B5506" s="1">
        <v>45323</v>
      </c>
      <c r="C5506">
        <v>840734</v>
      </c>
      <c r="D5506" t="s">
        <v>176</v>
      </c>
      <c r="E5506">
        <v>4638</v>
      </c>
      <c r="F5506">
        <v>1</v>
      </c>
      <c r="G5506">
        <v>38</v>
      </c>
      <c r="H5506">
        <f>_xlfn.XLOOKUP(FACT_IMPORTS[[#This Row],[hts_6]],DIM_PRODUCTS[hts_6],DIM_PRODUCTS[hts_4],,,)</f>
        <v>8407</v>
      </c>
      <c r="I5506" t="str" cm="1">
        <f t="array" ref="I5506">_xlfn.XLOOKUP(FACT_IMPORTS[[#This Row],[country_name]],DIM_COUNTRY[[#All],[Column2]],DIM_COUNTRY[[#All],[Column3]],,,)</f>
        <v>Major_Non-USMCA_Non-China</v>
      </c>
    </row>
    <row r="5507" spans="1:9" x14ac:dyDescent="0.4">
      <c r="A5507" t="s">
        <v>68</v>
      </c>
      <c r="B5507" s="1">
        <v>45323</v>
      </c>
      <c r="C5507">
        <v>840790</v>
      </c>
      <c r="D5507" t="s">
        <v>176</v>
      </c>
      <c r="E5507">
        <v>0</v>
      </c>
      <c r="F5507">
        <v>0</v>
      </c>
      <c r="G5507">
        <v>0</v>
      </c>
      <c r="H5507">
        <f>_xlfn.XLOOKUP(FACT_IMPORTS[[#This Row],[hts_6]],DIM_PRODUCTS[hts_6],DIM_PRODUCTS[hts_4],,,)</f>
        <v>8407</v>
      </c>
      <c r="I5507" t="str" cm="1">
        <f t="array" ref="I5507">_xlfn.XLOOKUP(FACT_IMPORTS[[#This Row],[country_name]],DIM_COUNTRY[[#All],[Column2]],DIM_COUNTRY[[#All],[Column3]],,,)</f>
        <v>Major_Non-USMCA_Non-China</v>
      </c>
    </row>
    <row r="5508" spans="1:9" x14ac:dyDescent="0.4">
      <c r="A5508" t="s">
        <v>68</v>
      </c>
      <c r="B5508" s="1">
        <v>45323</v>
      </c>
      <c r="C5508">
        <v>840820</v>
      </c>
      <c r="D5508" t="s">
        <v>176</v>
      </c>
      <c r="E5508">
        <v>81279</v>
      </c>
      <c r="F5508">
        <v>4</v>
      </c>
      <c r="G5508">
        <v>4122</v>
      </c>
      <c r="H5508">
        <f>_xlfn.XLOOKUP(FACT_IMPORTS[[#This Row],[hts_6]],DIM_PRODUCTS[hts_6],DIM_PRODUCTS[hts_4],,,)</f>
        <v>8408</v>
      </c>
      <c r="I5508" t="str" cm="1">
        <f t="array" ref="I5508">_xlfn.XLOOKUP(FACT_IMPORTS[[#This Row],[country_name]],DIM_COUNTRY[[#All],[Column2]],DIM_COUNTRY[[#All],[Column3]],,,)</f>
        <v>Major_Non-USMCA_Non-China</v>
      </c>
    </row>
    <row r="5509" spans="1:9" x14ac:dyDescent="0.4">
      <c r="A5509" t="s">
        <v>68</v>
      </c>
      <c r="B5509" s="1">
        <v>45323</v>
      </c>
      <c r="C5509">
        <v>840890</v>
      </c>
      <c r="D5509" t="s">
        <v>176</v>
      </c>
      <c r="E5509">
        <v>31770</v>
      </c>
      <c r="F5509">
        <v>2</v>
      </c>
      <c r="G5509">
        <v>4023</v>
      </c>
      <c r="H5509">
        <f>_xlfn.XLOOKUP(FACT_IMPORTS[[#This Row],[hts_6]],DIM_PRODUCTS[hts_6],DIM_PRODUCTS[hts_4],,,)</f>
        <v>8408</v>
      </c>
      <c r="I5509" t="str" cm="1">
        <f t="array" ref="I5509">_xlfn.XLOOKUP(FACT_IMPORTS[[#This Row],[country_name]],DIM_COUNTRY[[#All],[Column2]],DIM_COUNTRY[[#All],[Column3]],,,)</f>
        <v>Major_Non-USMCA_Non-China</v>
      </c>
    </row>
    <row r="5510" spans="1:9" x14ac:dyDescent="0.4">
      <c r="A5510" t="s">
        <v>68</v>
      </c>
      <c r="B5510" s="1">
        <v>45323</v>
      </c>
      <c r="C5510">
        <v>840991</v>
      </c>
      <c r="D5510" t="s">
        <v>176</v>
      </c>
      <c r="E5510">
        <v>792774</v>
      </c>
      <c r="F5510">
        <v>107375</v>
      </c>
      <c r="G5510">
        <v>19914</v>
      </c>
      <c r="H5510">
        <f>_xlfn.XLOOKUP(FACT_IMPORTS[[#This Row],[hts_6]],DIM_PRODUCTS[hts_6],DIM_PRODUCTS[hts_4],,,)</f>
        <v>8409</v>
      </c>
      <c r="I5510" t="str" cm="1">
        <f t="array" ref="I5510">_xlfn.XLOOKUP(FACT_IMPORTS[[#This Row],[country_name]],DIM_COUNTRY[[#All],[Column2]],DIM_COUNTRY[[#All],[Column3]],,,)</f>
        <v>Major_Non-USMCA_Non-China</v>
      </c>
    </row>
    <row r="5511" spans="1:9" x14ac:dyDescent="0.4">
      <c r="A5511" t="s">
        <v>68</v>
      </c>
      <c r="B5511" s="1">
        <v>45323</v>
      </c>
      <c r="C5511">
        <v>840999</v>
      </c>
      <c r="D5511" t="s">
        <v>176</v>
      </c>
      <c r="E5511">
        <v>20061304</v>
      </c>
      <c r="F5511">
        <v>2733919</v>
      </c>
      <c r="G5511">
        <v>389909</v>
      </c>
      <c r="H5511">
        <f>_xlfn.XLOOKUP(FACT_IMPORTS[[#This Row],[hts_6]],DIM_PRODUCTS[hts_6],DIM_PRODUCTS[hts_4],,,)</f>
        <v>8409</v>
      </c>
      <c r="I5511" t="str" cm="1">
        <f t="array" ref="I5511">_xlfn.XLOOKUP(FACT_IMPORTS[[#This Row],[country_name]],DIM_COUNTRY[[#All],[Column2]],DIM_COUNTRY[[#All],[Column3]],,,)</f>
        <v>Major_Non-USMCA_Non-China</v>
      </c>
    </row>
    <row r="5512" spans="1:9" x14ac:dyDescent="0.4">
      <c r="A5512" t="s">
        <v>68</v>
      </c>
      <c r="B5512" s="1">
        <v>45323</v>
      </c>
      <c r="C5512">
        <v>841330</v>
      </c>
      <c r="D5512" t="s">
        <v>176</v>
      </c>
      <c r="E5512">
        <v>11611069</v>
      </c>
      <c r="F5512">
        <v>85773</v>
      </c>
      <c r="G5512">
        <v>17831</v>
      </c>
      <c r="H5512">
        <f>_xlfn.XLOOKUP(FACT_IMPORTS[[#This Row],[hts_6]],DIM_PRODUCTS[hts_6],DIM_PRODUCTS[hts_4],,,)</f>
        <v>8413</v>
      </c>
      <c r="I5512" t="str" cm="1">
        <f t="array" ref="I5512">_xlfn.XLOOKUP(FACT_IMPORTS[[#This Row],[country_name]],DIM_COUNTRY[[#All],[Column2]],DIM_COUNTRY[[#All],[Column3]],,,)</f>
        <v>Major_Non-USMCA_Non-China</v>
      </c>
    </row>
    <row r="5513" spans="1:9" x14ac:dyDescent="0.4">
      <c r="A5513" t="s">
        <v>68</v>
      </c>
      <c r="B5513" s="1">
        <v>45323</v>
      </c>
      <c r="C5513">
        <v>841520</v>
      </c>
      <c r="D5513" t="s">
        <v>176</v>
      </c>
      <c r="E5513">
        <v>0</v>
      </c>
      <c r="F5513">
        <v>0</v>
      </c>
      <c r="G5513">
        <v>0</v>
      </c>
      <c r="H5513">
        <f>_xlfn.XLOOKUP(FACT_IMPORTS[[#This Row],[hts_6]],DIM_PRODUCTS[hts_6],DIM_PRODUCTS[hts_4],,,)</f>
        <v>8415</v>
      </c>
      <c r="I5513" t="str" cm="1">
        <f t="array" ref="I5513">_xlfn.XLOOKUP(FACT_IMPORTS[[#This Row],[country_name]],DIM_COUNTRY[[#All],[Column2]],DIM_COUNTRY[[#All],[Column3]],,,)</f>
        <v>Major_Non-USMCA_Non-China</v>
      </c>
    </row>
    <row r="5514" spans="1:9" x14ac:dyDescent="0.4">
      <c r="A5514" t="s">
        <v>68</v>
      </c>
      <c r="B5514" s="1">
        <v>45323</v>
      </c>
      <c r="C5514">
        <v>842132</v>
      </c>
      <c r="D5514" t="s">
        <v>176</v>
      </c>
      <c r="E5514">
        <v>246759</v>
      </c>
      <c r="F5514">
        <v>312</v>
      </c>
      <c r="G5514">
        <v>9343</v>
      </c>
      <c r="H5514">
        <f>_xlfn.XLOOKUP(FACT_IMPORTS[[#This Row],[hts_6]],DIM_PRODUCTS[hts_6],DIM_PRODUCTS[hts_4],,,)</f>
        <v>8421</v>
      </c>
      <c r="I5514" t="str" cm="1">
        <f t="array" ref="I5514">_xlfn.XLOOKUP(FACT_IMPORTS[[#This Row],[country_name]],DIM_COUNTRY[[#All],[Column2]],DIM_COUNTRY[[#All],[Column3]],,,)</f>
        <v>Major_Non-USMCA_Non-China</v>
      </c>
    </row>
    <row r="5515" spans="1:9" x14ac:dyDescent="0.4">
      <c r="A5515" t="s">
        <v>68</v>
      </c>
      <c r="B5515" s="1">
        <v>45323</v>
      </c>
      <c r="C5515">
        <v>848210</v>
      </c>
      <c r="D5515" t="s">
        <v>176</v>
      </c>
      <c r="E5515">
        <v>147075</v>
      </c>
      <c r="F5515">
        <v>2153</v>
      </c>
      <c r="G5515">
        <v>1741</v>
      </c>
      <c r="H5515">
        <f>_xlfn.XLOOKUP(FACT_IMPORTS[[#This Row],[hts_6]],DIM_PRODUCTS[hts_6],DIM_PRODUCTS[hts_4],,,)</f>
        <v>8482</v>
      </c>
      <c r="I5515" t="str" cm="1">
        <f t="array" ref="I5515">_xlfn.XLOOKUP(FACT_IMPORTS[[#This Row],[country_name]],DIM_COUNTRY[[#All],[Column2]],DIM_COUNTRY[[#All],[Column3]],,,)</f>
        <v>Major_Non-USMCA_Non-China</v>
      </c>
    </row>
    <row r="5516" spans="1:9" x14ac:dyDescent="0.4">
      <c r="A5516" t="s">
        <v>68</v>
      </c>
      <c r="B5516" s="1">
        <v>45323</v>
      </c>
      <c r="C5516">
        <v>848220</v>
      </c>
      <c r="D5516" t="s">
        <v>176</v>
      </c>
      <c r="E5516">
        <v>81562</v>
      </c>
      <c r="F5516">
        <v>2880</v>
      </c>
      <c r="G5516">
        <v>1127</v>
      </c>
      <c r="H5516">
        <f>_xlfn.XLOOKUP(FACT_IMPORTS[[#This Row],[hts_6]],DIM_PRODUCTS[hts_6],DIM_PRODUCTS[hts_4],,,)</f>
        <v>8482</v>
      </c>
      <c r="I5516" t="str" cm="1">
        <f t="array" ref="I5516">_xlfn.XLOOKUP(FACT_IMPORTS[[#This Row],[country_name]],DIM_COUNTRY[[#All],[Column2]],DIM_COUNTRY[[#All],[Column3]],,,)</f>
        <v>Major_Non-USMCA_Non-China</v>
      </c>
    </row>
    <row r="5517" spans="1:9" x14ac:dyDescent="0.4">
      <c r="A5517" t="s">
        <v>68</v>
      </c>
      <c r="B5517" s="1">
        <v>45323</v>
      </c>
      <c r="C5517">
        <v>848310</v>
      </c>
      <c r="D5517" t="s">
        <v>176</v>
      </c>
      <c r="E5517">
        <v>3784381</v>
      </c>
      <c r="F5517">
        <v>26183</v>
      </c>
      <c r="G5517">
        <v>26796</v>
      </c>
      <c r="H5517">
        <f>_xlfn.XLOOKUP(FACT_IMPORTS[[#This Row],[hts_6]],DIM_PRODUCTS[hts_6],DIM_PRODUCTS[hts_4],,,)</f>
        <v>8483</v>
      </c>
      <c r="I5517" t="str" cm="1">
        <f t="array" ref="I5517">_xlfn.XLOOKUP(FACT_IMPORTS[[#This Row],[country_name]],DIM_COUNTRY[[#All],[Column2]],DIM_COUNTRY[[#All],[Column3]],,,)</f>
        <v>Major_Non-USMCA_Non-China</v>
      </c>
    </row>
    <row r="5518" spans="1:9" x14ac:dyDescent="0.4">
      <c r="A5518" t="s">
        <v>68</v>
      </c>
      <c r="B5518" s="1">
        <v>45323</v>
      </c>
      <c r="C5518">
        <v>850131</v>
      </c>
      <c r="D5518" t="s">
        <v>176</v>
      </c>
      <c r="E5518">
        <v>162589</v>
      </c>
      <c r="F5518">
        <v>1471</v>
      </c>
      <c r="G5518">
        <v>517</v>
      </c>
      <c r="H5518">
        <f>_xlfn.XLOOKUP(FACT_IMPORTS[[#This Row],[hts_6]],DIM_PRODUCTS[hts_6],DIM_PRODUCTS[hts_4],,,)</f>
        <v>8501</v>
      </c>
      <c r="I5518" t="str" cm="1">
        <f t="array" ref="I5518">_xlfn.XLOOKUP(FACT_IMPORTS[[#This Row],[country_name]],DIM_COUNTRY[[#All],[Column2]],DIM_COUNTRY[[#All],[Column3]],,,)</f>
        <v>Major_Non-USMCA_Non-China</v>
      </c>
    </row>
    <row r="5519" spans="1:9" x14ac:dyDescent="0.4">
      <c r="A5519" t="s">
        <v>68</v>
      </c>
      <c r="B5519" s="1">
        <v>45323</v>
      </c>
      <c r="C5519">
        <v>850132</v>
      </c>
      <c r="D5519" t="s">
        <v>176</v>
      </c>
      <c r="E5519">
        <v>136661</v>
      </c>
      <c r="F5519">
        <v>25</v>
      </c>
      <c r="G5519">
        <v>668</v>
      </c>
      <c r="H5519">
        <f>_xlfn.XLOOKUP(FACT_IMPORTS[[#This Row],[hts_6]],DIM_PRODUCTS[hts_6],DIM_PRODUCTS[hts_4],,,)</f>
        <v>8501</v>
      </c>
      <c r="I5519" t="str" cm="1">
        <f t="array" ref="I5519">_xlfn.XLOOKUP(FACT_IMPORTS[[#This Row],[country_name]],DIM_COUNTRY[[#All],[Column2]],DIM_COUNTRY[[#All],[Column3]],,,)</f>
        <v>Major_Non-USMCA_Non-China</v>
      </c>
    </row>
    <row r="5520" spans="1:9" x14ac:dyDescent="0.4">
      <c r="A5520" t="s">
        <v>68</v>
      </c>
      <c r="B5520" s="1">
        <v>45323</v>
      </c>
      <c r="C5520">
        <v>850133</v>
      </c>
      <c r="D5520" t="s">
        <v>176</v>
      </c>
      <c r="E5520">
        <v>3000</v>
      </c>
      <c r="F5520">
        <v>1</v>
      </c>
      <c r="G5520">
        <v>19</v>
      </c>
      <c r="H5520">
        <f>_xlfn.XLOOKUP(FACT_IMPORTS[[#This Row],[hts_6]],DIM_PRODUCTS[hts_6],DIM_PRODUCTS[hts_4],,,)</f>
        <v>8501</v>
      </c>
      <c r="I5520" t="str" cm="1">
        <f t="array" ref="I5520">_xlfn.XLOOKUP(FACT_IMPORTS[[#This Row],[country_name]],DIM_COUNTRY[[#All],[Column2]],DIM_COUNTRY[[#All],[Column3]],,,)</f>
        <v>Major_Non-USMCA_Non-China</v>
      </c>
    </row>
    <row r="5521" spans="1:9" x14ac:dyDescent="0.4">
      <c r="A5521" t="s">
        <v>68</v>
      </c>
      <c r="B5521" s="1">
        <v>45323</v>
      </c>
      <c r="C5521">
        <v>850134</v>
      </c>
      <c r="D5521" t="s">
        <v>176</v>
      </c>
      <c r="E5521">
        <v>0</v>
      </c>
      <c r="F5521">
        <v>0</v>
      </c>
      <c r="G5521">
        <v>0</v>
      </c>
      <c r="H5521">
        <f>_xlfn.XLOOKUP(FACT_IMPORTS[[#This Row],[hts_6]],DIM_PRODUCTS[hts_6],DIM_PRODUCTS[hts_4],,,)</f>
        <v>8501</v>
      </c>
      <c r="I5521" t="str" cm="1">
        <f t="array" ref="I5521">_xlfn.XLOOKUP(FACT_IMPORTS[[#This Row],[country_name]],DIM_COUNTRY[[#All],[Column2]],DIM_COUNTRY[[#All],[Column3]],,,)</f>
        <v>Major_Non-USMCA_Non-China</v>
      </c>
    </row>
    <row r="5522" spans="1:9" x14ac:dyDescent="0.4">
      <c r="A5522" t="s">
        <v>68</v>
      </c>
      <c r="B5522" s="1">
        <v>45323</v>
      </c>
      <c r="C5522">
        <v>850152</v>
      </c>
      <c r="D5522" t="s">
        <v>176</v>
      </c>
      <c r="E5522">
        <v>879088</v>
      </c>
      <c r="F5522">
        <v>599</v>
      </c>
      <c r="G5522">
        <v>16908</v>
      </c>
      <c r="H5522">
        <f>_xlfn.XLOOKUP(FACT_IMPORTS[[#This Row],[hts_6]],DIM_PRODUCTS[hts_6],DIM_PRODUCTS[hts_4],,,)</f>
        <v>8501</v>
      </c>
      <c r="I5522" t="str" cm="1">
        <f t="array" ref="I5522">_xlfn.XLOOKUP(FACT_IMPORTS[[#This Row],[country_name]],DIM_COUNTRY[[#All],[Column2]],DIM_COUNTRY[[#All],[Column3]],,,)</f>
        <v>Major_Non-USMCA_Non-China</v>
      </c>
    </row>
    <row r="5523" spans="1:9" x14ac:dyDescent="0.4">
      <c r="A5523" t="s">
        <v>68</v>
      </c>
      <c r="B5523" s="1">
        <v>45323</v>
      </c>
      <c r="C5523">
        <v>850153</v>
      </c>
      <c r="D5523" t="s">
        <v>176</v>
      </c>
      <c r="E5523">
        <v>189673</v>
      </c>
      <c r="F5523">
        <v>13</v>
      </c>
      <c r="G5523">
        <v>7119</v>
      </c>
      <c r="H5523">
        <f>_xlfn.XLOOKUP(FACT_IMPORTS[[#This Row],[hts_6]],DIM_PRODUCTS[hts_6],DIM_PRODUCTS[hts_4],,,)</f>
        <v>8501</v>
      </c>
      <c r="I5523" t="str" cm="1">
        <f t="array" ref="I5523">_xlfn.XLOOKUP(FACT_IMPORTS[[#This Row],[country_name]],DIM_COUNTRY[[#All],[Column2]],DIM_COUNTRY[[#All],[Column3]],,,)</f>
        <v>Major_Non-USMCA_Non-China</v>
      </c>
    </row>
    <row r="5524" spans="1:9" x14ac:dyDescent="0.4">
      <c r="A5524" t="s">
        <v>68</v>
      </c>
      <c r="B5524" s="1">
        <v>45323</v>
      </c>
      <c r="C5524">
        <v>850161</v>
      </c>
      <c r="D5524" t="s">
        <v>176</v>
      </c>
      <c r="E5524">
        <v>6204</v>
      </c>
      <c r="F5524">
        <v>1</v>
      </c>
      <c r="G5524">
        <v>500</v>
      </c>
      <c r="H5524">
        <f>_xlfn.XLOOKUP(FACT_IMPORTS[[#This Row],[hts_6]],DIM_PRODUCTS[hts_6],DIM_PRODUCTS[hts_4],,,)</f>
        <v>8501</v>
      </c>
      <c r="I5524" t="str" cm="1">
        <f t="array" ref="I5524">_xlfn.XLOOKUP(FACT_IMPORTS[[#This Row],[country_name]],DIM_COUNTRY[[#All],[Column2]],DIM_COUNTRY[[#All],[Column3]],,,)</f>
        <v>Major_Non-USMCA_Non-China</v>
      </c>
    </row>
    <row r="5525" spans="1:9" x14ac:dyDescent="0.4">
      <c r="A5525" t="s">
        <v>68</v>
      </c>
      <c r="B5525" s="1">
        <v>45323</v>
      </c>
      <c r="C5525">
        <v>850440</v>
      </c>
      <c r="D5525" t="s">
        <v>176</v>
      </c>
      <c r="E5525">
        <v>980597</v>
      </c>
      <c r="F5525">
        <v>173</v>
      </c>
      <c r="G5525">
        <v>14569</v>
      </c>
      <c r="H5525">
        <f>_xlfn.XLOOKUP(FACT_IMPORTS[[#This Row],[hts_6]],DIM_PRODUCTS[hts_6],DIM_PRODUCTS[hts_4],,,)</f>
        <v>8504</v>
      </c>
      <c r="I5525" t="str" cm="1">
        <f t="array" ref="I5525">_xlfn.XLOOKUP(FACT_IMPORTS[[#This Row],[country_name]],DIM_COUNTRY[[#All],[Column2]],DIM_COUNTRY[[#All],[Column3]],,,)</f>
        <v>Major_Non-USMCA_Non-China</v>
      </c>
    </row>
    <row r="5526" spans="1:9" x14ac:dyDescent="0.4">
      <c r="A5526" t="s">
        <v>68</v>
      </c>
      <c r="B5526" s="1">
        <v>45323</v>
      </c>
      <c r="C5526">
        <v>850710</v>
      </c>
      <c r="D5526" t="s">
        <v>176</v>
      </c>
      <c r="E5526">
        <v>0</v>
      </c>
      <c r="F5526">
        <v>0</v>
      </c>
      <c r="G5526">
        <v>0</v>
      </c>
      <c r="H5526">
        <f>_xlfn.XLOOKUP(FACT_IMPORTS[[#This Row],[hts_6]],DIM_PRODUCTS[hts_6],DIM_PRODUCTS[hts_4],,,)</f>
        <v>8507</v>
      </c>
      <c r="I5526" t="str" cm="1">
        <f t="array" ref="I5526">_xlfn.XLOOKUP(FACT_IMPORTS[[#This Row],[country_name]],DIM_COUNTRY[[#All],[Column2]],DIM_COUNTRY[[#All],[Column3]],,,)</f>
        <v>Major_Non-USMCA_Non-China</v>
      </c>
    </row>
    <row r="5527" spans="1:9" x14ac:dyDescent="0.4">
      <c r="A5527" t="s">
        <v>68</v>
      </c>
      <c r="B5527" s="1">
        <v>45323</v>
      </c>
      <c r="C5527">
        <v>850760</v>
      </c>
      <c r="D5527" t="s">
        <v>176</v>
      </c>
      <c r="E5527">
        <v>284067</v>
      </c>
      <c r="F5527">
        <v>201</v>
      </c>
      <c r="G5527">
        <v>4445</v>
      </c>
      <c r="H5527">
        <f>_xlfn.XLOOKUP(FACT_IMPORTS[[#This Row],[hts_6]],DIM_PRODUCTS[hts_6],DIM_PRODUCTS[hts_4],,,)</f>
        <v>8507</v>
      </c>
      <c r="I5527" t="str" cm="1">
        <f t="array" ref="I5527">_xlfn.XLOOKUP(FACT_IMPORTS[[#This Row],[country_name]],DIM_COUNTRY[[#All],[Column2]],DIM_COUNTRY[[#All],[Column3]],,,)</f>
        <v>Major_Non-USMCA_Non-China</v>
      </c>
    </row>
    <row r="5528" spans="1:9" x14ac:dyDescent="0.4">
      <c r="A5528" t="s">
        <v>68</v>
      </c>
      <c r="B5528" s="1">
        <v>45323</v>
      </c>
      <c r="C5528">
        <v>850790</v>
      </c>
      <c r="D5528" t="s">
        <v>176</v>
      </c>
      <c r="E5528">
        <v>137051</v>
      </c>
      <c r="F5528">
        <v>7290</v>
      </c>
      <c r="G5528">
        <v>6078</v>
      </c>
      <c r="H5528">
        <f>_xlfn.XLOOKUP(FACT_IMPORTS[[#This Row],[hts_6]],DIM_PRODUCTS[hts_6],DIM_PRODUCTS[hts_4],,,)</f>
        <v>8507</v>
      </c>
      <c r="I5528" t="str" cm="1">
        <f t="array" ref="I5528">_xlfn.XLOOKUP(FACT_IMPORTS[[#This Row],[country_name]],DIM_COUNTRY[[#All],[Column2]],DIM_COUNTRY[[#All],[Column3]],,,)</f>
        <v>Major_Non-USMCA_Non-China</v>
      </c>
    </row>
    <row r="5529" spans="1:9" x14ac:dyDescent="0.4">
      <c r="A5529" t="s">
        <v>68</v>
      </c>
      <c r="B5529" s="1">
        <v>45323</v>
      </c>
      <c r="C5529">
        <v>851110</v>
      </c>
      <c r="D5529" t="s">
        <v>176</v>
      </c>
      <c r="E5529">
        <v>2685</v>
      </c>
      <c r="F5529">
        <v>7</v>
      </c>
      <c r="G5529">
        <v>17</v>
      </c>
      <c r="H5529">
        <f>_xlfn.XLOOKUP(FACT_IMPORTS[[#This Row],[hts_6]],DIM_PRODUCTS[hts_6],DIM_PRODUCTS[hts_4],,,)</f>
        <v>8511</v>
      </c>
      <c r="I5529" t="str" cm="1">
        <f t="array" ref="I5529">_xlfn.XLOOKUP(FACT_IMPORTS[[#This Row],[country_name]],DIM_COUNTRY[[#All],[Column2]],DIM_COUNTRY[[#All],[Column3]],,,)</f>
        <v>Major_Non-USMCA_Non-China</v>
      </c>
    </row>
    <row r="5530" spans="1:9" x14ac:dyDescent="0.4">
      <c r="A5530" t="s">
        <v>68</v>
      </c>
      <c r="B5530" s="1">
        <v>45323</v>
      </c>
      <c r="C5530">
        <v>851120</v>
      </c>
      <c r="D5530" t="s">
        <v>176</v>
      </c>
      <c r="E5530">
        <v>0</v>
      </c>
      <c r="F5530">
        <v>0</v>
      </c>
      <c r="G5530">
        <v>0</v>
      </c>
      <c r="H5530">
        <f>_xlfn.XLOOKUP(FACT_IMPORTS[[#This Row],[hts_6]],DIM_PRODUCTS[hts_6],DIM_PRODUCTS[hts_4],,,)</f>
        <v>8511</v>
      </c>
      <c r="I5530" t="str" cm="1">
        <f t="array" ref="I5530">_xlfn.XLOOKUP(FACT_IMPORTS[[#This Row],[country_name]],DIM_COUNTRY[[#All],[Column2]],DIM_COUNTRY[[#All],[Column3]],,,)</f>
        <v>Major_Non-USMCA_Non-China</v>
      </c>
    </row>
    <row r="5531" spans="1:9" x14ac:dyDescent="0.4">
      <c r="A5531" t="s">
        <v>68</v>
      </c>
      <c r="B5531" s="1">
        <v>45323</v>
      </c>
      <c r="C5531">
        <v>851130</v>
      </c>
      <c r="D5531" t="s">
        <v>176</v>
      </c>
      <c r="E5531">
        <v>0</v>
      </c>
      <c r="F5531">
        <v>0</v>
      </c>
      <c r="G5531">
        <v>0</v>
      </c>
      <c r="H5531">
        <f>_xlfn.XLOOKUP(FACT_IMPORTS[[#This Row],[hts_6]],DIM_PRODUCTS[hts_6],DIM_PRODUCTS[hts_4],,,)</f>
        <v>8511</v>
      </c>
      <c r="I5531" t="str" cm="1">
        <f t="array" ref="I5531">_xlfn.XLOOKUP(FACT_IMPORTS[[#This Row],[country_name]],DIM_COUNTRY[[#All],[Column2]],DIM_COUNTRY[[#All],[Column3]],,,)</f>
        <v>Major_Non-USMCA_Non-China</v>
      </c>
    </row>
    <row r="5532" spans="1:9" x14ac:dyDescent="0.4">
      <c r="A5532" t="s">
        <v>68</v>
      </c>
      <c r="B5532" s="1">
        <v>45323</v>
      </c>
      <c r="C5532">
        <v>851140</v>
      </c>
      <c r="D5532" t="s">
        <v>176</v>
      </c>
      <c r="E5532">
        <v>0</v>
      </c>
      <c r="F5532">
        <v>0</v>
      </c>
      <c r="G5532">
        <v>0</v>
      </c>
      <c r="H5532">
        <f>_xlfn.XLOOKUP(FACT_IMPORTS[[#This Row],[hts_6]],DIM_PRODUCTS[hts_6],DIM_PRODUCTS[hts_4],,,)</f>
        <v>8511</v>
      </c>
      <c r="I5532" t="str" cm="1">
        <f t="array" ref="I5532">_xlfn.XLOOKUP(FACT_IMPORTS[[#This Row],[country_name]],DIM_COUNTRY[[#All],[Column2]],DIM_COUNTRY[[#All],[Column3]],,,)</f>
        <v>Major_Non-USMCA_Non-China</v>
      </c>
    </row>
    <row r="5533" spans="1:9" x14ac:dyDescent="0.4">
      <c r="A5533" t="s">
        <v>68</v>
      </c>
      <c r="B5533" s="1">
        <v>45323</v>
      </c>
      <c r="C5533">
        <v>851150</v>
      </c>
      <c r="D5533" t="s">
        <v>176</v>
      </c>
      <c r="E5533">
        <v>0</v>
      </c>
      <c r="F5533">
        <v>0</v>
      </c>
      <c r="G5533">
        <v>0</v>
      </c>
      <c r="H5533">
        <f>_xlfn.XLOOKUP(FACT_IMPORTS[[#This Row],[hts_6]],DIM_PRODUCTS[hts_6],DIM_PRODUCTS[hts_4],,,)</f>
        <v>8511</v>
      </c>
      <c r="I5533" t="str" cm="1">
        <f t="array" ref="I5533">_xlfn.XLOOKUP(FACT_IMPORTS[[#This Row],[country_name]],DIM_COUNTRY[[#All],[Column2]],DIM_COUNTRY[[#All],[Column3]],,,)</f>
        <v>Major_Non-USMCA_Non-China</v>
      </c>
    </row>
    <row r="5534" spans="1:9" x14ac:dyDescent="0.4">
      <c r="A5534" t="s">
        <v>68</v>
      </c>
      <c r="B5534" s="1">
        <v>45323</v>
      </c>
      <c r="C5534">
        <v>851180</v>
      </c>
      <c r="D5534" t="s">
        <v>176</v>
      </c>
      <c r="E5534">
        <v>182312</v>
      </c>
      <c r="F5534">
        <v>887</v>
      </c>
      <c r="G5534">
        <v>1144</v>
      </c>
      <c r="H5534">
        <f>_xlfn.XLOOKUP(FACT_IMPORTS[[#This Row],[hts_6]],DIM_PRODUCTS[hts_6],DIM_PRODUCTS[hts_4],,,)</f>
        <v>8511</v>
      </c>
      <c r="I5534" t="str" cm="1">
        <f t="array" ref="I5534">_xlfn.XLOOKUP(FACT_IMPORTS[[#This Row],[country_name]],DIM_COUNTRY[[#All],[Column2]],DIM_COUNTRY[[#All],[Column3]],,,)</f>
        <v>Major_Non-USMCA_Non-China</v>
      </c>
    </row>
    <row r="5535" spans="1:9" x14ac:dyDescent="0.4">
      <c r="A5535" t="s">
        <v>68</v>
      </c>
      <c r="B5535" s="1">
        <v>45323</v>
      </c>
      <c r="C5535">
        <v>851190</v>
      </c>
      <c r="D5535" t="s">
        <v>176</v>
      </c>
      <c r="E5535">
        <v>3246</v>
      </c>
      <c r="F5535">
        <v>25</v>
      </c>
      <c r="G5535">
        <v>250</v>
      </c>
      <c r="H5535">
        <f>_xlfn.XLOOKUP(FACT_IMPORTS[[#This Row],[hts_6]],DIM_PRODUCTS[hts_6],DIM_PRODUCTS[hts_4],,,)</f>
        <v>8511</v>
      </c>
      <c r="I5535" t="str" cm="1">
        <f t="array" ref="I5535">_xlfn.XLOOKUP(FACT_IMPORTS[[#This Row],[country_name]],DIM_COUNTRY[[#All],[Column2]],DIM_COUNTRY[[#All],[Column3]],,,)</f>
        <v>Major_Non-USMCA_Non-China</v>
      </c>
    </row>
    <row r="5536" spans="1:9" x14ac:dyDescent="0.4">
      <c r="A5536" t="s">
        <v>68</v>
      </c>
      <c r="B5536" s="1">
        <v>45323</v>
      </c>
      <c r="C5536">
        <v>851220</v>
      </c>
      <c r="D5536" t="s">
        <v>176</v>
      </c>
      <c r="E5536">
        <v>71796</v>
      </c>
      <c r="F5536">
        <v>1983</v>
      </c>
      <c r="G5536">
        <v>863</v>
      </c>
      <c r="H5536">
        <f>_xlfn.XLOOKUP(FACT_IMPORTS[[#This Row],[hts_6]],DIM_PRODUCTS[hts_6],DIM_PRODUCTS[hts_4],,,)</f>
        <v>8512</v>
      </c>
      <c r="I5536" t="str" cm="1">
        <f t="array" ref="I5536">_xlfn.XLOOKUP(FACT_IMPORTS[[#This Row],[country_name]],DIM_COUNTRY[[#All],[Column2]],DIM_COUNTRY[[#All],[Column3]],,,)</f>
        <v>Major_Non-USMCA_Non-China</v>
      </c>
    </row>
    <row r="5537" spans="1:9" x14ac:dyDescent="0.4">
      <c r="A5537" t="s">
        <v>68</v>
      </c>
      <c r="B5537" s="1">
        <v>45323</v>
      </c>
      <c r="C5537">
        <v>851230</v>
      </c>
      <c r="D5537" t="s">
        <v>176</v>
      </c>
      <c r="E5537">
        <v>0</v>
      </c>
      <c r="F5537">
        <v>0</v>
      </c>
      <c r="G5537">
        <v>0</v>
      </c>
      <c r="H5537">
        <f>_xlfn.XLOOKUP(FACT_IMPORTS[[#This Row],[hts_6]],DIM_PRODUCTS[hts_6],DIM_PRODUCTS[hts_4],,,)</f>
        <v>8512</v>
      </c>
      <c r="I5537" t="str" cm="1">
        <f t="array" ref="I5537">_xlfn.XLOOKUP(FACT_IMPORTS[[#This Row],[country_name]],DIM_COUNTRY[[#All],[Column2]],DIM_COUNTRY[[#All],[Column3]],,,)</f>
        <v>Major_Non-USMCA_Non-China</v>
      </c>
    </row>
    <row r="5538" spans="1:9" x14ac:dyDescent="0.4">
      <c r="A5538" t="s">
        <v>68</v>
      </c>
      <c r="B5538" s="1">
        <v>45323</v>
      </c>
      <c r="C5538">
        <v>851240</v>
      </c>
      <c r="D5538" t="s">
        <v>176</v>
      </c>
      <c r="E5538">
        <v>0</v>
      </c>
      <c r="F5538">
        <v>0</v>
      </c>
      <c r="G5538">
        <v>0</v>
      </c>
      <c r="H5538">
        <f>_xlfn.XLOOKUP(FACT_IMPORTS[[#This Row],[hts_6]],DIM_PRODUCTS[hts_6],DIM_PRODUCTS[hts_4],,,)</f>
        <v>8512</v>
      </c>
      <c r="I5538" t="str" cm="1">
        <f t="array" ref="I5538">_xlfn.XLOOKUP(FACT_IMPORTS[[#This Row],[country_name]],DIM_COUNTRY[[#All],[Column2]],DIM_COUNTRY[[#All],[Column3]],,,)</f>
        <v>Major_Non-USMCA_Non-China</v>
      </c>
    </row>
    <row r="5539" spans="1:9" x14ac:dyDescent="0.4">
      <c r="A5539" t="s">
        <v>68</v>
      </c>
      <c r="B5539" s="1">
        <v>45323</v>
      </c>
      <c r="C5539">
        <v>851290</v>
      </c>
      <c r="D5539" t="s">
        <v>176</v>
      </c>
      <c r="E5539">
        <v>62250</v>
      </c>
      <c r="F5539">
        <v>18</v>
      </c>
      <c r="G5539">
        <v>1300</v>
      </c>
      <c r="H5539">
        <f>_xlfn.XLOOKUP(FACT_IMPORTS[[#This Row],[hts_6]],DIM_PRODUCTS[hts_6],DIM_PRODUCTS[hts_4],,,)</f>
        <v>8512</v>
      </c>
      <c r="I5539" t="str" cm="1">
        <f t="array" ref="I5539">_xlfn.XLOOKUP(FACT_IMPORTS[[#This Row],[country_name]],DIM_COUNTRY[[#All],[Column2]],DIM_COUNTRY[[#All],[Column3]],,,)</f>
        <v>Major_Non-USMCA_Non-China</v>
      </c>
    </row>
    <row r="5540" spans="1:9" x14ac:dyDescent="0.4">
      <c r="A5540" t="s">
        <v>68</v>
      </c>
      <c r="B5540" s="1">
        <v>45323</v>
      </c>
      <c r="C5540">
        <v>854231</v>
      </c>
      <c r="D5540" t="s">
        <v>176</v>
      </c>
      <c r="E5540">
        <v>41980</v>
      </c>
      <c r="F5540">
        <v>63</v>
      </c>
      <c r="G5540">
        <v>1346</v>
      </c>
      <c r="H5540">
        <f>_xlfn.XLOOKUP(FACT_IMPORTS[[#This Row],[hts_6]],DIM_PRODUCTS[hts_6],DIM_PRODUCTS[hts_4],,,)</f>
        <v>8542</v>
      </c>
      <c r="I5540" t="str" cm="1">
        <f t="array" ref="I5540">_xlfn.XLOOKUP(FACT_IMPORTS[[#This Row],[country_name]],DIM_COUNTRY[[#All],[Column2]],DIM_COUNTRY[[#All],[Column3]],,,)</f>
        <v>Major_Non-USMCA_Non-China</v>
      </c>
    </row>
    <row r="5541" spans="1:9" x14ac:dyDescent="0.4">
      <c r="A5541" t="s">
        <v>68</v>
      </c>
      <c r="B5541" s="1">
        <v>45323</v>
      </c>
      <c r="C5541">
        <v>854233</v>
      </c>
      <c r="D5541" t="s">
        <v>176</v>
      </c>
      <c r="E5541">
        <v>11645</v>
      </c>
      <c r="F5541">
        <v>1</v>
      </c>
      <c r="G5541">
        <v>5</v>
      </c>
      <c r="H5541">
        <f>_xlfn.XLOOKUP(FACT_IMPORTS[[#This Row],[hts_6]],DIM_PRODUCTS[hts_6],DIM_PRODUCTS[hts_4],,,)</f>
        <v>8542</v>
      </c>
      <c r="I5541" t="str" cm="1">
        <f t="array" ref="I5541">_xlfn.XLOOKUP(FACT_IMPORTS[[#This Row],[country_name]],DIM_COUNTRY[[#All],[Column2]],DIM_COUNTRY[[#All],[Column3]],,,)</f>
        <v>Major_Non-USMCA_Non-China</v>
      </c>
    </row>
    <row r="5542" spans="1:9" x14ac:dyDescent="0.4">
      <c r="A5542" t="s">
        <v>68</v>
      </c>
      <c r="B5542" s="1">
        <v>45323</v>
      </c>
      <c r="C5542">
        <v>854239</v>
      </c>
      <c r="D5542" t="s">
        <v>176</v>
      </c>
      <c r="E5542">
        <v>0</v>
      </c>
      <c r="F5542">
        <v>0</v>
      </c>
      <c r="G5542">
        <v>0</v>
      </c>
      <c r="H5542">
        <f>_xlfn.XLOOKUP(FACT_IMPORTS[[#This Row],[hts_6]],DIM_PRODUCTS[hts_6],DIM_PRODUCTS[hts_4],,,)</f>
        <v>8542</v>
      </c>
      <c r="I5542" t="str" cm="1">
        <f t="array" ref="I5542">_xlfn.XLOOKUP(FACT_IMPORTS[[#This Row],[country_name]],DIM_COUNTRY[[#All],[Column2]],DIM_COUNTRY[[#All],[Column3]],,,)</f>
        <v>Major_Non-USMCA_Non-China</v>
      </c>
    </row>
    <row r="5543" spans="1:9" x14ac:dyDescent="0.4">
      <c r="A5543" t="s">
        <v>68</v>
      </c>
      <c r="B5543" s="1">
        <v>45323</v>
      </c>
      <c r="C5543">
        <v>854290</v>
      </c>
      <c r="D5543" t="s">
        <v>176</v>
      </c>
      <c r="E5543">
        <v>0</v>
      </c>
      <c r="F5543">
        <v>0</v>
      </c>
      <c r="G5543">
        <v>0</v>
      </c>
      <c r="H5543">
        <f>_xlfn.XLOOKUP(FACT_IMPORTS[[#This Row],[hts_6]],DIM_PRODUCTS[hts_6],DIM_PRODUCTS[hts_4],,,)</f>
        <v>8542</v>
      </c>
      <c r="I5543" t="str" cm="1">
        <f t="array" ref="I5543">_xlfn.XLOOKUP(FACT_IMPORTS[[#This Row],[country_name]],DIM_COUNTRY[[#All],[Column2]],DIM_COUNTRY[[#All],[Column3]],,,)</f>
        <v>Major_Non-USMCA_Non-China</v>
      </c>
    </row>
    <row r="5544" spans="1:9" x14ac:dyDescent="0.4">
      <c r="A5544" t="s">
        <v>68</v>
      </c>
      <c r="B5544" s="1">
        <v>45323</v>
      </c>
      <c r="C5544">
        <v>854430</v>
      </c>
      <c r="D5544" t="s">
        <v>176</v>
      </c>
      <c r="E5544">
        <v>393421</v>
      </c>
      <c r="F5544">
        <v>22380</v>
      </c>
      <c r="G5544">
        <v>11578</v>
      </c>
      <c r="H5544">
        <f>_xlfn.XLOOKUP(FACT_IMPORTS[[#This Row],[hts_6]],DIM_PRODUCTS[hts_6],DIM_PRODUCTS[hts_4],,,)</f>
        <v>8544</v>
      </c>
      <c r="I5544" t="str" cm="1">
        <f t="array" ref="I5544">_xlfn.XLOOKUP(FACT_IMPORTS[[#This Row],[country_name]],DIM_COUNTRY[[#All],[Column2]],DIM_COUNTRY[[#All],[Column3]],,,)</f>
        <v>Major_Non-USMCA_Non-China</v>
      </c>
    </row>
    <row r="5545" spans="1:9" x14ac:dyDescent="0.4">
      <c r="A5545" t="s">
        <v>68</v>
      </c>
      <c r="B5545" s="1">
        <v>45323</v>
      </c>
      <c r="C5545">
        <v>870790</v>
      </c>
      <c r="D5545" t="s">
        <v>176</v>
      </c>
      <c r="E5545">
        <v>40360</v>
      </c>
      <c r="F5545">
        <v>3</v>
      </c>
      <c r="G5545">
        <v>49</v>
      </c>
      <c r="H5545">
        <f>_xlfn.XLOOKUP(FACT_IMPORTS[[#This Row],[hts_6]],DIM_PRODUCTS[hts_6],DIM_PRODUCTS[hts_4],,,)</f>
        <v>8707</v>
      </c>
      <c r="I5545" t="str" cm="1">
        <f t="array" ref="I5545">_xlfn.XLOOKUP(FACT_IMPORTS[[#This Row],[country_name]],DIM_COUNTRY[[#All],[Column2]],DIM_COUNTRY[[#All],[Column3]],,,)</f>
        <v>Major_Non-USMCA_Non-China</v>
      </c>
    </row>
    <row r="5546" spans="1:9" x14ac:dyDescent="0.4">
      <c r="A5546" t="s">
        <v>68</v>
      </c>
      <c r="B5546" s="1">
        <v>45323</v>
      </c>
      <c r="C5546">
        <v>870810</v>
      </c>
      <c r="D5546" t="s">
        <v>176</v>
      </c>
      <c r="E5546">
        <v>6516</v>
      </c>
      <c r="F5546">
        <v>54</v>
      </c>
      <c r="G5546">
        <v>87</v>
      </c>
      <c r="H5546">
        <f>_xlfn.XLOOKUP(FACT_IMPORTS[[#This Row],[hts_6]],DIM_PRODUCTS[hts_6],DIM_PRODUCTS[hts_4],,,)</f>
        <v>8708</v>
      </c>
      <c r="I5546" t="str" cm="1">
        <f t="array" ref="I5546">_xlfn.XLOOKUP(FACT_IMPORTS[[#This Row],[country_name]],DIM_COUNTRY[[#All],[Column2]],DIM_COUNTRY[[#All],[Column3]],,,)</f>
        <v>Major_Non-USMCA_Non-China</v>
      </c>
    </row>
    <row r="5547" spans="1:9" x14ac:dyDescent="0.4">
      <c r="A5547" t="s">
        <v>68</v>
      </c>
      <c r="B5547" s="1">
        <v>45323</v>
      </c>
      <c r="C5547">
        <v>870821</v>
      </c>
      <c r="D5547" t="s">
        <v>176</v>
      </c>
      <c r="E5547">
        <v>0</v>
      </c>
      <c r="F5547">
        <v>0</v>
      </c>
      <c r="G5547">
        <v>0</v>
      </c>
      <c r="H5547">
        <f>_xlfn.XLOOKUP(FACT_IMPORTS[[#This Row],[hts_6]],DIM_PRODUCTS[hts_6],DIM_PRODUCTS[hts_4],,,)</f>
        <v>8708</v>
      </c>
      <c r="I5547" t="str" cm="1">
        <f t="array" ref="I5547">_xlfn.XLOOKUP(FACT_IMPORTS[[#This Row],[country_name]],DIM_COUNTRY[[#All],[Column2]],DIM_COUNTRY[[#All],[Column3]],,,)</f>
        <v>Major_Non-USMCA_Non-China</v>
      </c>
    </row>
    <row r="5548" spans="1:9" x14ac:dyDescent="0.4">
      <c r="A5548" t="s">
        <v>68</v>
      </c>
      <c r="B5548" s="1">
        <v>45323</v>
      </c>
      <c r="C5548">
        <v>870822</v>
      </c>
      <c r="D5548" t="s">
        <v>176</v>
      </c>
      <c r="E5548">
        <v>6314</v>
      </c>
      <c r="F5548">
        <v>34</v>
      </c>
      <c r="G5548">
        <v>2</v>
      </c>
      <c r="H5548">
        <f>_xlfn.XLOOKUP(FACT_IMPORTS[[#This Row],[hts_6]],DIM_PRODUCTS[hts_6],DIM_PRODUCTS[hts_4],,,)</f>
        <v>8708</v>
      </c>
      <c r="I5548" t="str" cm="1">
        <f t="array" ref="I5548">_xlfn.XLOOKUP(FACT_IMPORTS[[#This Row],[country_name]],DIM_COUNTRY[[#All],[Column2]],DIM_COUNTRY[[#All],[Column3]],,,)</f>
        <v>Major_Non-USMCA_Non-China</v>
      </c>
    </row>
    <row r="5549" spans="1:9" x14ac:dyDescent="0.4">
      <c r="A5549" t="s">
        <v>68</v>
      </c>
      <c r="B5549" s="1">
        <v>45323</v>
      </c>
      <c r="C5549">
        <v>870829</v>
      </c>
      <c r="D5549" t="s">
        <v>176</v>
      </c>
      <c r="E5549">
        <v>1321332</v>
      </c>
      <c r="F5549">
        <v>662561</v>
      </c>
      <c r="G5549">
        <v>32013</v>
      </c>
      <c r="H5549">
        <f>_xlfn.XLOOKUP(FACT_IMPORTS[[#This Row],[hts_6]],DIM_PRODUCTS[hts_6],DIM_PRODUCTS[hts_4],,,)</f>
        <v>8708</v>
      </c>
      <c r="I5549" t="str" cm="1">
        <f t="array" ref="I5549">_xlfn.XLOOKUP(FACT_IMPORTS[[#This Row],[country_name]],DIM_COUNTRY[[#All],[Column2]],DIM_COUNTRY[[#All],[Column3]],,,)</f>
        <v>Major_Non-USMCA_Non-China</v>
      </c>
    </row>
    <row r="5550" spans="1:9" x14ac:dyDescent="0.4">
      <c r="A5550" t="s">
        <v>68</v>
      </c>
      <c r="B5550" s="1">
        <v>45323</v>
      </c>
      <c r="C5550">
        <v>870830</v>
      </c>
      <c r="D5550" t="s">
        <v>176</v>
      </c>
      <c r="E5550">
        <v>379696</v>
      </c>
      <c r="F5550">
        <v>448957</v>
      </c>
      <c r="G5550">
        <v>13462</v>
      </c>
      <c r="H5550">
        <f>_xlfn.XLOOKUP(FACT_IMPORTS[[#This Row],[hts_6]],DIM_PRODUCTS[hts_6],DIM_PRODUCTS[hts_4],,,)</f>
        <v>8708</v>
      </c>
      <c r="I5550" t="str" cm="1">
        <f t="array" ref="I5550">_xlfn.XLOOKUP(FACT_IMPORTS[[#This Row],[country_name]],DIM_COUNTRY[[#All],[Column2]],DIM_COUNTRY[[#All],[Column3]],,,)</f>
        <v>Major_Non-USMCA_Non-China</v>
      </c>
    </row>
    <row r="5551" spans="1:9" x14ac:dyDescent="0.4">
      <c r="A5551" t="s">
        <v>68</v>
      </c>
      <c r="B5551" s="1">
        <v>45323</v>
      </c>
      <c r="C5551">
        <v>870840</v>
      </c>
      <c r="D5551" t="s">
        <v>176</v>
      </c>
      <c r="E5551">
        <v>69105609</v>
      </c>
      <c r="F5551">
        <v>489978</v>
      </c>
      <c r="G5551">
        <v>76103</v>
      </c>
      <c r="H5551">
        <f>_xlfn.XLOOKUP(FACT_IMPORTS[[#This Row],[hts_6]],DIM_PRODUCTS[hts_6],DIM_PRODUCTS[hts_4],,,)</f>
        <v>8708</v>
      </c>
      <c r="I5551" t="str" cm="1">
        <f t="array" ref="I5551">_xlfn.XLOOKUP(FACT_IMPORTS[[#This Row],[country_name]],DIM_COUNTRY[[#All],[Column2]],DIM_COUNTRY[[#All],[Column3]],,,)</f>
        <v>Major_Non-USMCA_Non-China</v>
      </c>
    </row>
    <row r="5552" spans="1:9" x14ac:dyDescent="0.4">
      <c r="A5552" t="s">
        <v>68</v>
      </c>
      <c r="B5552" s="1">
        <v>45323</v>
      </c>
      <c r="C5552">
        <v>870850</v>
      </c>
      <c r="D5552" t="s">
        <v>176</v>
      </c>
      <c r="E5552">
        <v>8534184</v>
      </c>
      <c r="F5552">
        <v>426575</v>
      </c>
      <c r="G5552">
        <v>150347</v>
      </c>
      <c r="H5552">
        <f>_xlfn.XLOOKUP(FACT_IMPORTS[[#This Row],[hts_6]],DIM_PRODUCTS[hts_6],DIM_PRODUCTS[hts_4],,,)</f>
        <v>8708</v>
      </c>
      <c r="I5552" t="str" cm="1">
        <f t="array" ref="I5552">_xlfn.XLOOKUP(FACT_IMPORTS[[#This Row],[country_name]],DIM_COUNTRY[[#All],[Column2]],DIM_COUNTRY[[#All],[Column3]],,,)</f>
        <v>Major_Non-USMCA_Non-China</v>
      </c>
    </row>
    <row r="5553" spans="1:9" x14ac:dyDescent="0.4">
      <c r="A5553" t="s">
        <v>68</v>
      </c>
      <c r="B5553" s="1">
        <v>45323</v>
      </c>
      <c r="C5553">
        <v>870870</v>
      </c>
      <c r="D5553" t="s">
        <v>176</v>
      </c>
      <c r="E5553">
        <v>0</v>
      </c>
      <c r="F5553">
        <v>0</v>
      </c>
      <c r="G5553">
        <v>0</v>
      </c>
      <c r="H5553">
        <f>_xlfn.XLOOKUP(FACT_IMPORTS[[#This Row],[hts_6]],DIM_PRODUCTS[hts_6],DIM_PRODUCTS[hts_4],,,)</f>
        <v>8708</v>
      </c>
      <c r="I5553" t="str" cm="1">
        <f t="array" ref="I5553">_xlfn.XLOOKUP(FACT_IMPORTS[[#This Row],[country_name]],DIM_COUNTRY[[#All],[Column2]],DIM_COUNTRY[[#All],[Column3]],,,)</f>
        <v>Major_Non-USMCA_Non-China</v>
      </c>
    </row>
    <row r="5554" spans="1:9" x14ac:dyDescent="0.4">
      <c r="A5554" t="s">
        <v>68</v>
      </c>
      <c r="B5554" s="1">
        <v>45323</v>
      </c>
      <c r="C5554">
        <v>870880</v>
      </c>
      <c r="D5554" t="s">
        <v>176</v>
      </c>
      <c r="E5554">
        <v>1145460</v>
      </c>
      <c r="F5554">
        <v>582016</v>
      </c>
      <c r="G5554">
        <v>31785</v>
      </c>
      <c r="H5554">
        <f>_xlfn.XLOOKUP(FACT_IMPORTS[[#This Row],[hts_6]],DIM_PRODUCTS[hts_6],DIM_PRODUCTS[hts_4],,,)</f>
        <v>8708</v>
      </c>
      <c r="I5554" t="str" cm="1">
        <f t="array" ref="I5554">_xlfn.XLOOKUP(FACT_IMPORTS[[#This Row],[country_name]],DIM_COUNTRY[[#All],[Column2]],DIM_COUNTRY[[#All],[Column3]],,,)</f>
        <v>Major_Non-USMCA_Non-China</v>
      </c>
    </row>
    <row r="5555" spans="1:9" x14ac:dyDescent="0.4">
      <c r="A5555" t="s">
        <v>68</v>
      </c>
      <c r="B5555" s="1">
        <v>45323</v>
      </c>
      <c r="C5555">
        <v>870891</v>
      </c>
      <c r="D5555" t="s">
        <v>176</v>
      </c>
      <c r="E5555">
        <v>208030</v>
      </c>
      <c r="F5555">
        <v>6001</v>
      </c>
      <c r="G5555">
        <v>13819</v>
      </c>
      <c r="H5555">
        <f>_xlfn.XLOOKUP(FACT_IMPORTS[[#This Row],[hts_6]],DIM_PRODUCTS[hts_6],DIM_PRODUCTS[hts_4],,,)</f>
        <v>8708</v>
      </c>
      <c r="I5555" t="str" cm="1">
        <f t="array" ref="I5555">_xlfn.XLOOKUP(FACT_IMPORTS[[#This Row],[country_name]],DIM_COUNTRY[[#All],[Column2]],DIM_COUNTRY[[#All],[Column3]],,,)</f>
        <v>Major_Non-USMCA_Non-China</v>
      </c>
    </row>
    <row r="5556" spans="1:9" x14ac:dyDescent="0.4">
      <c r="A5556" t="s">
        <v>68</v>
      </c>
      <c r="B5556" s="1">
        <v>45323</v>
      </c>
      <c r="C5556">
        <v>870892</v>
      </c>
      <c r="D5556" t="s">
        <v>176</v>
      </c>
      <c r="E5556">
        <v>146131</v>
      </c>
      <c r="F5556">
        <v>59387</v>
      </c>
      <c r="G5556">
        <v>32825</v>
      </c>
      <c r="H5556">
        <f>_xlfn.XLOOKUP(FACT_IMPORTS[[#This Row],[hts_6]],DIM_PRODUCTS[hts_6],DIM_PRODUCTS[hts_4],,,)</f>
        <v>8708</v>
      </c>
      <c r="I5556" t="str" cm="1">
        <f t="array" ref="I5556">_xlfn.XLOOKUP(FACT_IMPORTS[[#This Row],[country_name]],DIM_COUNTRY[[#All],[Column2]],DIM_COUNTRY[[#All],[Column3]],,,)</f>
        <v>Major_Non-USMCA_Non-China</v>
      </c>
    </row>
    <row r="5557" spans="1:9" x14ac:dyDescent="0.4">
      <c r="A5557" t="s">
        <v>68</v>
      </c>
      <c r="B5557" s="1">
        <v>45323</v>
      </c>
      <c r="C5557">
        <v>870893</v>
      </c>
      <c r="D5557" t="s">
        <v>176</v>
      </c>
      <c r="E5557">
        <v>425521</v>
      </c>
      <c r="F5557">
        <v>15300</v>
      </c>
      <c r="G5557">
        <v>3302</v>
      </c>
      <c r="H5557">
        <f>_xlfn.XLOOKUP(FACT_IMPORTS[[#This Row],[hts_6]],DIM_PRODUCTS[hts_6],DIM_PRODUCTS[hts_4],,,)</f>
        <v>8708</v>
      </c>
      <c r="I5557" t="str" cm="1">
        <f t="array" ref="I5557">_xlfn.XLOOKUP(FACT_IMPORTS[[#This Row],[country_name]],DIM_COUNTRY[[#All],[Column2]],DIM_COUNTRY[[#All],[Column3]],,,)</f>
        <v>Major_Non-USMCA_Non-China</v>
      </c>
    </row>
    <row r="5558" spans="1:9" x14ac:dyDescent="0.4">
      <c r="A5558" t="s">
        <v>68</v>
      </c>
      <c r="B5558" s="1">
        <v>45323</v>
      </c>
      <c r="C5558">
        <v>870894</v>
      </c>
      <c r="D5558" t="s">
        <v>176</v>
      </c>
      <c r="E5558">
        <v>442963</v>
      </c>
      <c r="F5558">
        <v>24245</v>
      </c>
      <c r="G5558">
        <v>9959</v>
      </c>
      <c r="H5558">
        <f>_xlfn.XLOOKUP(FACT_IMPORTS[[#This Row],[hts_6]],DIM_PRODUCTS[hts_6],DIM_PRODUCTS[hts_4],,,)</f>
        <v>8708</v>
      </c>
      <c r="I5558" t="str" cm="1">
        <f t="array" ref="I5558">_xlfn.XLOOKUP(FACT_IMPORTS[[#This Row],[country_name]],DIM_COUNTRY[[#All],[Column2]],DIM_COUNTRY[[#All],[Column3]],,,)</f>
        <v>Major_Non-USMCA_Non-China</v>
      </c>
    </row>
    <row r="5559" spans="1:9" x14ac:dyDescent="0.4">
      <c r="A5559" t="s">
        <v>68</v>
      </c>
      <c r="B5559" s="1">
        <v>45323</v>
      </c>
      <c r="C5559">
        <v>870895</v>
      </c>
      <c r="D5559" t="s">
        <v>176</v>
      </c>
      <c r="E5559">
        <v>17133</v>
      </c>
      <c r="F5559">
        <v>1889</v>
      </c>
      <c r="G5559">
        <v>2300</v>
      </c>
      <c r="H5559">
        <f>_xlfn.XLOOKUP(FACT_IMPORTS[[#This Row],[hts_6]],DIM_PRODUCTS[hts_6],DIM_PRODUCTS[hts_4],,,)</f>
        <v>8708</v>
      </c>
      <c r="I5559" t="str" cm="1">
        <f t="array" ref="I5559">_xlfn.XLOOKUP(FACT_IMPORTS[[#This Row],[country_name]],DIM_COUNTRY[[#All],[Column2]],DIM_COUNTRY[[#All],[Column3]],,,)</f>
        <v>Major_Non-USMCA_Non-China</v>
      </c>
    </row>
    <row r="5560" spans="1:9" x14ac:dyDescent="0.4">
      <c r="A5560" t="s">
        <v>68</v>
      </c>
      <c r="B5560" s="1">
        <v>45323</v>
      </c>
      <c r="C5560">
        <v>870899</v>
      </c>
      <c r="D5560" t="s">
        <v>176</v>
      </c>
      <c r="E5560">
        <v>3000286</v>
      </c>
      <c r="F5560">
        <v>679371</v>
      </c>
      <c r="G5560">
        <v>37954</v>
      </c>
      <c r="H5560">
        <f>_xlfn.XLOOKUP(FACT_IMPORTS[[#This Row],[hts_6]],DIM_PRODUCTS[hts_6],DIM_PRODUCTS[hts_4],,,)</f>
        <v>8708</v>
      </c>
      <c r="I5560" t="str" cm="1">
        <f t="array" ref="I5560">_xlfn.XLOOKUP(FACT_IMPORTS[[#This Row],[country_name]],DIM_COUNTRY[[#All],[Column2]],DIM_COUNTRY[[#All],[Column3]],,,)</f>
        <v>Major_Non-USMCA_Non-China</v>
      </c>
    </row>
    <row r="5561" spans="1:9" x14ac:dyDescent="0.4">
      <c r="A5561" t="s">
        <v>68</v>
      </c>
      <c r="B5561" s="1">
        <v>45323</v>
      </c>
      <c r="C5561">
        <v>940120</v>
      </c>
      <c r="D5561" t="s">
        <v>176</v>
      </c>
      <c r="E5561">
        <v>428164</v>
      </c>
      <c r="F5561">
        <v>232</v>
      </c>
      <c r="G5561">
        <v>9462</v>
      </c>
      <c r="H5561">
        <f>_xlfn.XLOOKUP(FACT_IMPORTS[[#This Row],[hts_6]],DIM_PRODUCTS[hts_6],DIM_PRODUCTS[hts_4],,,)</f>
        <v>9401</v>
      </c>
      <c r="I5561" t="str" cm="1">
        <f t="array" ref="I5561">_xlfn.XLOOKUP(FACT_IMPORTS[[#This Row],[country_name]],DIM_COUNTRY[[#All],[Column2]],DIM_COUNTRY[[#All],[Column3]],,,)</f>
        <v>Major_Non-USMCA_Non-China</v>
      </c>
    </row>
    <row r="5562" spans="1:9" x14ac:dyDescent="0.4">
      <c r="A5562" t="s">
        <v>68</v>
      </c>
      <c r="B5562" s="1">
        <v>45352</v>
      </c>
      <c r="C5562">
        <v>392630</v>
      </c>
      <c r="D5562" t="s">
        <v>176</v>
      </c>
      <c r="E5562">
        <v>120444</v>
      </c>
      <c r="F5562">
        <v>41104</v>
      </c>
      <c r="G5562">
        <v>12986</v>
      </c>
      <c r="H5562">
        <f>_xlfn.XLOOKUP(FACT_IMPORTS[[#This Row],[hts_6]],DIM_PRODUCTS[hts_6],DIM_PRODUCTS[hts_4],,,)</f>
        <v>3926</v>
      </c>
      <c r="I5562" t="str" cm="1">
        <f t="array" ref="I5562">_xlfn.XLOOKUP(FACT_IMPORTS[[#This Row],[country_name]],DIM_COUNTRY[[#All],[Column2]],DIM_COUNTRY[[#All],[Column3]],,,)</f>
        <v>Major_Non-USMCA_Non-China</v>
      </c>
    </row>
    <row r="5563" spans="1:9" x14ac:dyDescent="0.4">
      <c r="A5563" t="s">
        <v>68</v>
      </c>
      <c r="B5563" s="1">
        <v>45352</v>
      </c>
      <c r="C5563">
        <v>401110</v>
      </c>
      <c r="D5563" t="s">
        <v>176</v>
      </c>
      <c r="E5563">
        <v>13782</v>
      </c>
      <c r="F5563">
        <v>32</v>
      </c>
      <c r="G5563">
        <v>3</v>
      </c>
      <c r="H5563">
        <f>_xlfn.XLOOKUP(FACT_IMPORTS[[#This Row],[hts_6]],DIM_PRODUCTS[hts_6],DIM_PRODUCTS[hts_4],,,)</f>
        <v>4011</v>
      </c>
      <c r="I5563" t="str" cm="1">
        <f t="array" ref="I5563">_xlfn.XLOOKUP(FACT_IMPORTS[[#This Row],[country_name]],DIM_COUNTRY[[#All],[Column2]],DIM_COUNTRY[[#All],[Column3]],,,)</f>
        <v>Major_Non-USMCA_Non-China</v>
      </c>
    </row>
    <row r="5564" spans="1:9" x14ac:dyDescent="0.4">
      <c r="A5564" t="s">
        <v>68</v>
      </c>
      <c r="B5564" s="1">
        <v>45352</v>
      </c>
      <c r="C5564">
        <v>401120</v>
      </c>
      <c r="D5564" t="s">
        <v>176</v>
      </c>
      <c r="E5564">
        <v>35809</v>
      </c>
      <c r="F5564">
        <v>121</v>
      </c>
      <c r="G5564">
        <v>35</v>
      </c>
      <c r="H5564">
        <f>_xlfn.XLOOKUP(FACT_IMPORTS[[#This Row],[hts_6]],DIM_PRODUCTS[hts_6],DIM_PRODUCTS[hts_4],,,)</f>
        <v>4011</v>
      </c>
      <c r="I5564" t="str" cm="1">
        <f t="array" ref="I5564">_xlfn.XLOOKUP(FACT_IMPORTS[[#This Row],[country_name]],DIM_COUNTRY[[#All],[Column2]],DIM_COUNTRY[[#All],[Column3]],,,)</f>
        <v>Major_Non-USMCA_Non-China</v>
      </c>
    </row>
    <row r="5565" spans="1:9" x14ac:dyDescent="0.4">
      <c r="A5565" t="s">
        <v>68</v>
      </c>
      <c r="B5565" s="1">
        <v>45352</v>
      </c>
      <c r="C5565">
        <v>401190</v>
      </c>
      <c r="D5565" t="s">
        <v>176</v>
      </c>
      <c r="E5565">
        <v>67476</v>
      </c>
      <c r="F5565">
        <v>2256</v>
      </c>
      <c r="G5565">
        <v>6000</v>
      </c>
      <c r="H5565">
        <f>_xlfn.XLOOKUP(FACT_IMPORTS[[#This Row],[hts_6]],DIM_PRODUCTS[hts_6],DIM_PRODUCTS[hts_4],,,)</f>
        <v>4011</v>
      </c>
      <c r="I5565" t="str" cm="1">
        <f t="array" ref="I5565">_xlfn.XLOOKUP(FACT_IMPORTS[[#This Row],[country_name]],DIM_COUNTRY[[#All],[Column2]],DIM_COUNTRY[[#All],[Column3]],,,)</f>
        <v>Major_Non-USMCA_Non-China</v>
      </c>
    </row>
    <row r="5566" spans="1:9" x14ac:dyDescent="0.4">
      <c r="A5566" t="s">
        <v>68</v>
      </c>
      <c r="B5566" s="1">
        <v>45352</v>
      </c>
      <c r="C5566">
        <v>700711</v>
      </c>
      <c r="D5566" t="s">
        <v>176</v>
      </c>
      <c r="E5566">
        <v>0</v>
      </c>
      <c r="F5566">
        <v>0</v>
      </c>
      <c r="G5566">
        <v>0</v>
      </c>
      <c r="H5566">
        <f>_xlfn.XLOOKUP(FACT_IMPORTS[[#This Row],[hts_6]],DIM_PRODUCTS[hts_6],DIM_PRODUCTS[hts_4],,,)</f>
        <v>7007</v>
      </c>
      <c r="I5566" t="str" cm="1">
        <f t="array" ref="I5566">_xlfn.XLOOKUP(FACT_IMPORTS[[#This Row],[country_name]],DIM_COUNTRY[[#All],[Column2]],DIM_COUNTRY[[#All],[Column3]],,,)</f>
        <v>Major_Non-USMCA_Non-China</v>
      </c>
    </row>
    <row r="5567" spans="1:9" x14ac:dyDescent="0.4">
      <c r="A5567" t="s">
        <v>68</v>
      </c>
      <c r="B5567" s="1">
        <v>45352</v>
      </c>
      <c r="C5567">
        <v>700721</v>
      </c>
      <c r="D5567" t="s">
        <v>176</v>
      </c>
      <c r="E5567">
        <v>0</v>
      </c>
      <c r="F5567">
        <v>0</v>
      </c>
      <c r="G5567">
        <v>0</v>
      </c>
      <c r="H5567">
        <f>_xlfn.XLOOKUP(FACT_IMPORTS[[#This Row],[hts_6]],DIM_PRODUCTS[hts_6],DIM_PRODUCTS[hts_4],,,)</f>
        <v>7007</v>
      </c>
      <c r="I5567" t="str" cm="1">
        <f t="array" ref="I5567">_xlfn.XLOOKUP(FACT_IMPORTS[[#This Row],[country_name]],DIM_COUNTRY[[#All],[Column2]],DIM_COUNTRY[[#All],[Column3]],,,)</f>
        <v>Major_Non-USMCA_Non-China</v>
      </c>
    </row>
    <row r="5568" spans="1:9" x14ac:dyDescent="0.4">
      <c r="A5568" t="s">
        <v>68</v>
      </c>
      <c r="B5568" s="1">
        <v>45352</v>
      </c>
      <c r="C5568">
        <v>700910</v>
      </c>
      <c r="D5568" t="s">
        <v>176</v>
      </c>
      <c r="E5568">
        <v>0</v>
      </c>
      <c r="F5568">
        <v>0</v>
      </c>
      <c r="G5568">
        <v>0</v>
      </c>
      <c r="H5568">
        <f>_xlfn.XLOOKUP(FACT_IMPORTS[[#This Row],[hts_6]],DIM_PRODUCTS[hts_6],DIM_PRODUCTS[hts_4],,,)</f>
        <v>7009</v>
      </c>
      <c r="I5568" t="str" cm="1">
        <f t="array" ref="I5568">_xlfn.XLOOKUP(FACT_IMPORTS[[#This Row],[country_name]],DIM_COUNTRY[[#All],[Column2]],DIM_COUNTRY[[#All],[Column3]],,,)</f>
        <v>Major_Non-USMCA_Non-China</v>
      </c>
    </row>
    <row r="5569" spans="1:9" x14ac:dyDescent="0.4">
      <c r="A5569" t="s">
        <v>68</v>
      </c>
      <c r="B5569" s="1">
        <v>45352</v>
      </c>
      <c r="C5569">
        <v>732010</v>
      </c>
      <c r="D5569" t="s">
        <v>176</v>
      </c>
      <c r="E5569">
        <v>7908</v>
      </c>
      <c r="F5569">
        <v>90</v>
      </c>
      <c r="G5569">
        <v>128</v>
      </c>
      <c r="H5569">
        <f>_xlfn.XLOOKUP(FACT_IMPORTS[[#This Row],[hts_6]],DIM_PRODUCTS[hts_6],DIM_PRODUCTS[hts_4],,,)</f>
        <v>7320</v>
      </c>
      <c r="I5569" t="str" cm="1">
        <f t="array" ref="I5569">_xlfn.XLOOKUP(FACT_IMPORTS[[#This Row],[country_name]],DIM_COUNTRY[[#All],[Column2]],DIM_COUNTRY[[#All],[Column3]],,,)</f>
        <v>Major_Non-USMCA_Non-China</v>
      </c>
    </row>
    <row r="5570" spans="1:9" x14ac:dyDescent="0.4">
      <c r="A5570" t="s">
        <v>68</v>
      </c>
      <c r="B5570" s="1">
        <v>45352</v>
      </c>
      <c r="C5570">
        <v>830230</v>
      </c>
      <c r="D5570" t="s">
        <v>176</v>
      </c>
      <c r="E5570">
        <v>418104</v>
      </c>
      <c r="F5570">
        <v>118647</v>
      </c>
      <c r="G5570">
        <v>24966</v>
      </c>
      <c r="H5570">
        <f>_xlfn.XLOOKUP(FACT_IMPORTS[[#This Row],[hts_6]],DIM_PRODUCTS[hts_6],DIM_PRODUCTS[hts_4],,,)</f>
        <v>8302</v>
      </c>
      <c r="I5570" t="str" cm="1">
        <f t="array" ref="I5570">_xlfn.XLOOKUP(FACT_IMPORTS[[#This Row],[country_name]],DIM_COUNTRY[[#All],[Column2]],DIM_COUNTRY[[#All],[Column3]],,,)</f>
        <v>Major_Non-USMCA_Non-China</v>
      </c>
    </row>
    <row r="5571" spans="1:9" x14ac:dyDescent="0.4">
      <c r="A5571" t="s">
        <v>68</v>
      </c>
      <c r="B5571" s="1">
        <v>45352</v>
      </c>
      <c r="C5571">
        <v>840731</v>
      </c>
      <c r="D5571" t="s">
        <v>176</v>
      </c>
      <c r="E5571">
        <v>0</v>
      </c>
      <c r="F5571">
        <v>0</v>
      </c>
      <c r="G5571">
        <v>0</v>
      </c>
      <c r="H5571">
        <f>_xlfn.XLOOKUP(FACT_IMPORTS[[#This Row],[hts_6]],DIM_PRODUCTS[hts_6],DIM_PRODUCTS[hts_4],,,)</f>
        <v>8407</v>
      </c>
      <c r="I5571" t="str" cm="1">
        <f t="array" ref="I5571">_xlfn.XLOOKUP(FACT_IMPORTS[[#This Row],[country_name]],DIM_COUNTRY[[#All],[Column2]],DIM_COUNTRY[[#All],[Column3]],,,)</f>
        <v>Major_Non-USMCA_Non-China</v>
      </c>
    </row>
    <row r="5572" spans="1:9" x14ac:dyDescent="0.4">
      <c r="A5572" t="s">
        <v>68</v>
      </c>
      <c r="B5572" s="1">
        <v>45352</v>
      </c>
      <c r="C5572">
        <v>840734</v>
      </c>
      <c r="D5572" t="s">
        <v>176</v>
      </c>
      <c r="E5572">
        <v>27220</v>
      </c>
      <c r="F5572">
        <v>1</v>
      </c>
      <c r="G5572">
        <v>800</v>
      </c>
      <c r="H5572">
        <f>_xlfn.XLOOKUP(FACT_IMPORTS[[#This Row],[hts_6]],DIM_PRODUCTS[hts_6],DIM_PRODUCTS[hts_4],,,)</f>
        <v>8407</v>
      </c>
      <c r="I5572" t="str" cm="1">
        <f t="array" ref="I5572">_xlfn.XLOOKUP(FACT_IMPORTS[[#This Row],[country_name]],DIM_COUNTRY[[#All],[Column2]],DIM_COUNTRY[[#All],[Column3]],,,)</f>
        <v>Major_Non-USMCA_Non-China</v>
      </c>
    </row>
    <row r="5573" spans="1:9" x14ac:dyDescent="0.4">
      <c r="A5573" t="s">
        <v>68</v>
      </c>
      <c r="B5573" s="1">
        <v>45352</v>
      </c>
      <c r="C5573">
        <v>840790</v>
      </c>
      <c r="D5573" t="s">
        <v>176</v>
      </c>
      <c r="E5573">
        <v>0</v>
      </c>
      <c r="F5573">
        <v>0</v>
      </c>
      <c r="G5573">
        <v>0</v>
      </c>
      <c r="H5573">
        <f>_xlfn.XLOOKUP(FACT_IMPORTS[[#This Row],[hts_6]],DIM_PRODUCTS[hts_6],DIM_PRODUCTS[hts_4],,,)</f>
        <v>8407</v>
      </c>
      <c r="I5573" t="str" cm="1">
        <f t="array" ref="I5573">_xlfn.XLOOKUP(FACT_IMPORTS[[#This Row],[country_name]],DIM_COUNTRY[[#All],[Column2]],DIM_COUNTRY[[#All],[Column3]],,,)</f>
        <v>Major_Non-USMCA_Non-China</v>
      </c>
    </row>
    <row r="5574" spans="1:9" x14ac:dyDescent="0.4">
      <c r="A5574" t="s">
        <v>68</v>
      </c>
      <c r="B5574" s="1">
        <v>45352</v>
      </c>
      <c r="C5574">
        <v>840820</v>
      </c>
      <c r="D5574" t="s">
        <v>176</v>
      </c>
      <c r="E5574">
        <v>0</v>
      </c>
      <c r="F5574">
        <v>0</v>
      </c>
      <c r="G5574">
        <v>0</v>
      </c>
      <c r="H5574">
        <f>_xlfn.XLOOKUP(FACT_IMPORTS[[#This Row],[hts_6]],DIM_PRODUCTS[hts_6],DIM_PRODUCTS[hts_4],,,)</f>
        <v>8408</v>
      </c>
      <c r="I5574" t="str" cm="1">
        <f t="array" ref="I5574">_xlfn.XLOOKUP(FACT_IMPORTS[[#This Row],[country_name]],DIM_COUNTRY[[#All],[Column2]],DIM_COUNTRY[[#All],[Column3]],,,)</f>
        <v>Major_Non-USMCA_Non-China</v>
      </c>
    </row>
    <row r="5575" spans="1:9" x14ac:dyDescent="0.4">
      <c r="A5575" t="s">
        <v>68</v>
      </c>
      <c r="B5575" s="1">
        <v>45352</v>
      </c>
      <c r="C5575">
        <v>840890</v>
      </c>
      <c r="D5575" t="s">
        <v>176</v>
      </c>
      <c r="E5575">
        <v>373926</v>
      </c>
      <c r="F5575">
        <v>30</v>
      </c>
      <c r="G5575">
        <v>1345</v>
      </c>
      <c r="H5575">
        <f>_xlfn.XLOOKUP(FACT_IMPORTS[[#This Row],[hts_6]],DIM_PRODUCTS[hts_6],DIM_PRODUCTS[hts_4],,,)</f>
        <v>8408</v>
      </c>
      <c r="I5575" t="str" cm="1">
        <f t="array" ref="I5575">_xlfn.XLOOKUP(FACT_IMPORTS[[#This Row],[country_name]],DIM_COUNTRY[[#All],[Column2]],DIM_COUNTRY[[#All],[Column3]],,,)</f>
        <v>Major_Non-USMCA_Non-China</v>
      </c>
    </row>
    <row r="5576" spans="1:9" x14ac:dyDescent="0.4">
      <c r="A5576" t="s">
        <v>68</v>
      </c>
      <c r="B5576" s="1">
        <v>45352</v>
      </c>
      <c r="C5576">
        <v>840991</v>
      </c>
      <c r="D5576" t="s">
        <v>176</v>
      </c>
      <c r="E5576">
        <v>1056884</v>
      </c>
      <c r="F5576">
        <v>145729</v>
      </c>
      <c r="G5576">
        <v>32908</v>
      </c>
      <c r="H5576">
        <f>_xlfn.XLOOKUP(FACT_IMPORTS[[#This Row],[hts_6]],DIM_PRODUCTS[hts_6],DIM_PRODUCTS[hts_4],,,)</f>
        <v>8409</v>
      </c>
      <c r="I5576" t="str" cm="1">
        <f t="array" ref="I5576">_xlfn.XLOOKUP(FACT_IMPORTS[[#This Row],[country_name]],DIM_COUNTRY[[#All],[Column2]],DIM_COUNTRY[[#All],[Column3]],,,)</f>
        <v>Major_Non-USMCA_Non-China</v>
      </c>
    </row>
    <row r="5577" spans="1:9" x14ac:dyDescent="0.4">
      <c r="A5577" t="s">
        <v>68</v>
      </c>
      <c r="B5577" s="1">
        <v>45352</v>
      </c>
      <c r="C5577">
        <v>840999</v>
      </c>
      <c r="D5577" t="s">
        <v>176</v>
      </c>
      <c r="E5577">
        <v>28987963</v>
      </c>
      <c r="F5577">
        <v>4152093</v>
      </c>
      <c r="G5577">
        <v>581490</v>
      </c>
      <c r="H5577">
        <f>_xlfn.XLOOKUP(FACT_IMPORTS[[#This Row],[hts_6]],DIM_PRODUCTS[hts_6],DIM_PRODUCTS[hts_4],,,)</f>
        <v>8409</v>
      </c>
      <c r="I5577" t="str" cm="1">
        <f t="array" ref="I5577">_xlfn.XLOOKUP(FACT_IMPORTS[[#This Row],[country_name]],DIM_COUNTRY[[#All],[Column2]],DIM_COUNTRY[[#All],[Column3]],,,)</f>
        <v>Major_Non-USMCA_Non-China</v>
      </c>
    </row>
    <row r="5578" spans="1:9" x14ac:dyDescent="0.4">
      <c r="A5578" t="s">
        <v>68</v>
      </c>
      <c r="B5578" s="1">
        <v>45352</v>
      </c>
      <c r="C5578">
        <v>841330</v>
      </c>
      <c r="D5578" t="s">
        <v>176</v>
      </c>
      <c r="E5578">
        <v>9825447</v>
      </c>
      <c r="F5578">
        <v>67828</v>
      </c>
      <c r="G5578">
        <v>22986</v>
      </c>
      <c r="H5578">
        <f>_xlfn.XLOOKUP(FACT_IMPORTS[[#This Row],[hts_6]],DIM_PRODUCTS[hts_6],DIM_PRODUCTS[hts_4],,,)</f>
        <v>8413</v>
      </c>
      <c r="I5578" t="str" cm="1">
        <f t="array" ref="I5578">_xlfn.XLOOKUP(FACT_IMPORTS[[#This Row],[country_name]],DIM_COUNTRY[[#All],[Column2]],DIM_COUNTRY[[#All],[Column3]],,,)</f>
        <v>Major_Non-USMCA_Non-China</v>
      </c>
    </row>
    <row r="5579" spans="1:9" x14ac:dyDescent="0.4">
      <c r="A5579" t="s">
        <v>68</v>
      </c>
      <c r="B5579" s="1">
        <v>45352</v>
      </c>
      <c r="C5579">
        <v>841520</v>
      </c>
      <c r="D5579" t="s">
        <v>176</v>
      </c>
      <c r="E5579">
        <v>0</v>
      </c>
      <c r="F5579">
        <v>0</v>
      </c>
      <c r="G5579">
        <v>0</v>
      </c>
      <c r="H5579">
        <f>_xlfn.XLOOKUP(FACT_IMPORTS[[#This Row],[hts_6]],DIM_PRODUCTS[hts_6],DIM_PRODUCTS[hts_4],,,)</f>
        <v>8415</v>
      </c>
      <c r="I5579" t="str" cm="1">
        <f t="array" ref="I5579">_xlfn.XLOOKUP(FACT_IMPORTS[[#This Row],[country_name]],DIM_COUNTRY[[#All],[Column2]],DIM_COUNTRY[[#All],[Column3]],,,)</f>
        <v>Major_Non-USMCA_Non-China</v>
      </c>
    </row>
    <row r="5580" spans="1:9" x14ac:dyDescent="0.4">
      <c r="A5580" t="s">
        <v>68</v>
      </c>
      <c r="B5580" s="1">
        <v>45352</v>
      </c>
      <c r="C5580">
        <v>842132</v>
      </c>
      <c r="D5580" t="s">
        <v>176</v>
      </c>
      <c r="E5580">
        <v>121332</v>
      </c>
      <c r="F5580">
        <v>153</v>
      </c>
      <c r="G5580">
        <v>5629</v>
      </c>
      <c r="H5580">
        <f>_xlfn.XLOOKUP(FACT_IMPORTS[[#This Row],[hts_6]],DIM_PRODUCTS[hts_6],DIM_PRODUCTS[hts_4],,,)</f>
        <v>8421</v>
      </c>
      <c r="I5580" t="str" cm="1">
        <f t="array" ref="I5580">_xlfn.XLOOKUP(FACT_IMPORTS[[#This Row],[country_name]],DIM_COUNTRY[[#All],[Column2]],DIM_COUNTRY[[#All],[Column3]],,,)</f>
        <v>Major_Non-USMCA_Non-China</v>
      </c>
    </row>
    <row r="5581" spans="1:9" x14ac:dyDescent="0.4">
      <c r="A5581" t="s">
        <v>68</v>
      </c>
      <c r="B5581" s="1">
        <v>45352</v>
      </c>
      <c r="C5581">
        <v>848210</v>
      </c>
      <c r="D5581" t="s">
        <v>176</v>
      </c>
      <c r="E5581">
        <v>376633</v>
      </c>
      <c r="F5581">
        <v>7896</v>
      </c>
      <c r="G5581">
        <v>4102</v>
      </c>
      <c r="H5581">
        <f>_xlfn.XLOOKUP(FACT_IMPORTS[[#This Row],[hts_6]],DIM_PRODUCTS[hts_6],DIM_PRODUCTS[hts_4],,,)</f>
        <v>8482</v>
      </c>
      <c r="I5581" t="str" cm="1">
        <f t="array" ref="I5581">_xlfn.XLOOKUP(FACT_IMPORTS[[#This Row],[country_name]],DIM_COUNTRY[[#All],[Column2]],DIM_COUNTRY[[#All],[Column3]],,,)</f>
        <v>Major_Non-USMCA_Non-China</v>
      </c>
    </row>
    <row r="5582" spans="1:9" x14ac:dyDescent="0.4">
      <c r="A5582" t="s">
        <v>68</v>
      </c>
      <c r="B5582" s="1">
        <v>45352</v>
      </c>
      <c r="C5582">
        <v>848220</v>
      </c>
      <c r="D5582" t="s">
        <v>176</v>
      </c>
      <c r="E5582">
        <v>44489</v>
      </c>
      <c r="F5582">
        <v>50</v>
      </c>
      <c r="G5582">
        <v>165</v>
      </c>
      <c r="H5582">
        <f>_xlfn.XLOOKUP(FACT_IMPORTS[[#This Row],[hts_6]],DIM_PRODUCTS[hts_6],DIM_PRODUCTS[hts_4],,,)</f>
        <v>8482</v>
      </c>
      <c r="I5582" t="str" cm="1">
        <f t="array" ref="I5582">_xlfn.XLOOKUP(FACT_IMPORTS[[#This Row],[country_name]],DIM_COUNTRY[[#All],[Column2]],DIM_COUNTRY[[#All],[Column3]],,,)</f>
        <v>Major_Non-USMCA_Non-China</v>
      </c>
    </row>
    <row r="5583" spans="1:9" x14ac:dyDescent="0.4">
      <c r="A5583" t="s">
        <v>68</v>
      </c>
      <c r="B5583" s="1">
        <v>45352</v>
      </c>
      <c r="C5583">
        <v>848310</v>
      </c>
      <c r="D5583" t="s">
        <v>176</v>
      </c>
      <c r="E5583">
        <v>4992043</v>
      </c>
      <c r="F5583">
        <v>29978</v>
      </c>
      <c r="G5583">
        <v>50121</v>
      </c>
      <c r="H5583">
        <f>_xlfn.XLOOKUP(FACT_IMPORTS[[#This Row],[hts_6]],DIM_PRODUCTS[hts_6],DIM_PRODUCTS[hts_4],,,)</f>
        <v>8483</v>
      </c>
      <c r="I5583" t="str" cm="1">
        <f t="array" ref="I5583">_xlfn.XLOOKUP(FACT_IMPORTS[[#This Row],[country_name]],DIM_COUNTRY[[#All],[Column2]],DIM_COUNTRY[[#All],[Column3]],,,)</f>
        <v>Major_Non-USMCA_Non-China</v>
      </c>
    </row>
    <row r="5584" spans="1:9" x14ac:dyDescent="0.4">
      <c r="A5584" t="s">
        <v>68</v>
      </c>
      <c r="B5584" s="1">
        <v>45352</v>
      </c>
      <c r="C5584">
        <v>850131</v>
      </c>
      <c r="D5584" t="s">
        <v>176</v>
      </c>
      <c r="E5584">
        <v>157206</v>
      </c>
      <c r="F5584">
        <v>1509</v>
      </c>
      <c r="G5584">
        <v>1863</v>
      </c>
      <c r="H5584">
        <f>_xlfn.XLOOKUP(FACT_IMPORTS[[#This Row],[hts_6]],DIM_PRODUCTS[hts_6],DIM_PRODUCTS[hts_4],,,)</f>
        <v>8501</v>
      </c>
      <c r="I5584" t="str" cm="1">
        <f t="array" ref="I5584">_xlfn.XLOOKUP(FACT_IMPORTS[[#This Row],[country_name]],DIM_COUNTRY[[#All],[Column2]],DIM_COUNTRY[[#All],[Column3]],,,)</f>
        <v>Major_Non-USMCA_Non-China</v>
      </c>
    </row>
    <row r="5585" spans="1:9" x14ac:dyDescent="0.4">
      <c r="A5585" t="s">
        <v>68</v>
      </c>
      <c r="B5585" s="1">
        <v>45352</v>
      </c>
      <c r="C5585">
        <v>850132</v>
      </c>
      <c r="D5585" t="s">
        <v>176</v>
      </c>
      <c r="E5585">
        <v>196486</v>
      </c>
      <c r="F5585">
        <v>26</v>
      </c>
      <c r="G5585">
        <v>1245</v>
      </c>
      <c r="H5585">
        <f>_xlfn.XLOOKUP(FACT_IMPORTS[[#This Row],[hts_6]],DIM_PRODUCTS[hts_6],DIM_PRODUCTS[hts_4],,,)</f>
        <v>8501</v>
      </c>
      <c r="I5585" t="str" cm="1">
        <f t="array" ref="I5585">_xlfn.XLOOKUP(FACT_IMPORTS[[#This Row],[country_name]],DIM_COUNTRY[[#All],[Column2]],DIM_COUNTRY[[#All],[Column3]],,,)</f>
        <v>Major_Non-USMCA_Non-China</v>
      </c>
    </row>
    <row r="5586" spans="1:9" x14ac:dyDescent="0.4">
      <c r="A5586" t="s">
        <v>68</v>
      </c>
      <c r="B5586" s="1">
        <v>45352</v>
      </c>
      <c r="C5586">
        <v>850133</v>
      </c>
      <c r="D5586" t="s">
        <v>176</v>
      </c>
      <c r="E5586">
        <v>494829</v>
      </c>
      <c r="F5586">
        <v>123</v>
      </c>
      <c r="G5586">
        <v>3690</v>
      </c>
      <c r="H5586">
        <f>_xlfn.XLOOKUP(FACT_IMPORTS[[#This Row],[hts_6]],DIM_PRODUCTS[hts_6],DIM_PRODUCTS[hts_4],,,)</f>
        <v>8501</v>
      </c>
      <c r="I5586" t="str" cm="1">
        <f t="array" ref="I5586">_xlfn.XLOOKUP(FACT_IMPORTS[[#This Row],[country_name]],DIM_COUNTRY[[#All],[Column2]],DIM_COUNTRY[[#All],[Column3]],,,)</f>
        <v>Major_Non-USMCA_Non-China</v>
      </c>
    </row>
    <row r="5587" spans="1:9" x14ac:dyDescent="0.4">
      <c r="A5587" t="s">
        <v>68</v>
      </c>
      <c r="B5587" s="1">
        <v>45352</v>
      </c>
      <c r="C5587">
        <v>850134</v>
      </c>
      <c r="D5587" t="s">
        <v>176</v>
      </c>
      <c r="E5587">
        <v>0</v>
      </c>
      <c r="F5587">
        <v>0</v>
      </c>
      <c r="G5587">
        <v>0</v>
      </c>
      <c r="H5587">
        <f>_xlfn.XLOOKUP(FACT_IMPORTS[[#This Row],[hts_6]],DIM_PRODUCTS[hts_6],DIM_PRODUCTS[hts_4],,,)</f>
        <v>8501</v>
      </c>
      <c r="I5587" t="str" cm="1">
        <f t="array" ref="I5587">_xlfn.XLOOKUP(FACT_IMPORTS[[#This Row],[country_name]],DIM_COUNTRY[[#All],[Column2]],DIM_COUNTRY[[#All],[Column3]],,,)</f>
        <v>Major_Non-USMCA_Non-China</v>
      </c>
    </row>
    <row r="5588" spans="1:9" x14ac:dyDescent="0.4">
      <c r="A5588" t="s">
        <v>68</v>
      </c>
      <c r="B5588" s="1">
        <v>45352</v>
      </c>
      <c r="C5588">
        <v>850152</v>
      </c>
      <c r="D5588" t="s">
        <v>176</v>
      </c>
      <c r="E5588">
        <v>612755</v>
      </c>
      <c r="F5588">
        <v>389</v>
      </c>
      <c r="G5588">
        <v>15286</v>
      </c>
      <c r="H5588">
        <f>_xlfn.XLOOKUP(FACT_IMPORTS[[#This Row],[hts_6]],DIM_PRODUCTS[hts_6],DIM_PRODUCTS[hts_4],,,)</f>
        <v>8501</v>
      </c>
      <c r="I5588" t="str" cm="1">
        <f t="array" ref="I5588">_xlfn.XLOOKUP(FACT_IMPORTS[[#This Row],[country_name]],DIM_COUNTRY[[#All],[Column2]],DIM_COUNTRY[[#All],[Column3]],,,)</f>
        <v>Major_Non-USMCA_Non-China</v>
      </c>
    </row>
    <row r="5589" spans="1:9" x14ac:dyDescent="0.4">
      <c r="A5589" t="s">
        <v>68</v>
      </c>
      <c r="B5589" s="1">
        <v>45352</v>
      </c>
      <c r="C5589">
        <v>850153</v>
      </c>
      <c r="D5589" t="s">
        <v>176</v>
      </c>
      <c r="E5589">
        <v>695297</v>
      </c>
      <c r="F5589">
        <v>43</v>
      </c>
      <c r="G5589">
        <v>39392</v>
      </c>
      <c r="H5589">
        <f>_xlfn.XLOOKUP(FACT_IMPORTS[[#This Row],[hts_6]],DIM_PRODUCTS[hts_6],DIM_PRODUCTS[hts_4],,,)</f>
        <v>8501</v>
      </c>
      <c r="I5589" t="str" cm="1">
        <f t="array" ref="I5589">_xlfn.XLOOKUP(FACT_IMPORTS[[#This Row],[country_name]],DIM_COUNTRY[[#All],[Column2]],DIM_COUNTRY[[#All],[Column3]],,,)</f>
        <v>Major_Non-USMCA_Non-China</v>
      </c>
    </row>
    <row r="5590" spans="1:9" x14ac:dyDescent="0.4">
      <c r="A5590" t="s">
        <v>68</v>
      </c>
      <c r="B5590" s="1">
        <v>45352</v>
      </c>
      <c r="C5590">
        <v>850161</v>
      </c>
      <c r="D5590" t="s">
        <v>176</v>
      </c>
      <c r="E5590">
        <v>0</v>
      </c>
      <c r="F5590">
        <v>0</v>
      </c>
      <c r="G5590">
        <v>0</v>
      </c>
      <c r="H5590">
        <f>_xlfn.XLOOKUP(FACT_IMPORTS[[#This Row],[hts_6]],DIM_PRODUCTS[hts_6],DIM_PRODUCTS[hts_4],,,)</f>
        <v>8501</v>
      </c>
      <c r="I5590" t="str" cm="1">
        <f t="array" ref="I5590">_xlfn.XLOOKUP(FACT_IMPORTS[[#This Row],[country_name]],DIM_COUNTRY[[#All],[Column2]],DIM_COUNTRY[[#All],[Column3]],,,)</f>
        <v>Major_Non-USMCA_Non-China</v>
      </c>
    </row>
    <row r="5591" spans="1:9" x14ac:dyDescent="0.4">
      <c r="A5591" t="s">
        <v>68</v>
      </c>
      <c r="B5591" s="1">
        <v>45352</v>
      </c>
      <c r="C5591">
        <v>850440</v>
      </c>
      <c r="D5591" t="s">
        <v>176</v>
      </c>
      <c r="E5591">
        <v>568644</v>
      </c>
      <c r="F5591">
        <v>856</v>
      </c>
      <c r="G5591">
        <v>23671</v>
      </c>
      <c r="H5591">
        <f>_xlfn.XLOOKUP(FACT_IMPORTS[[#This Row],[hts_6]],DIM_PRODUCTS[hts_6],DIM_PRODUCTS[hts_4],,,)</f>
        <v>8504</v>
      </c>
      <c r="I5591" t="str" cm="1">
        <f t="array" ref="I5591">_xlfn.XLOOKUP(FACT_IMPORTS[[#This Row],[country_name]],DIM_COUNTRY[[#All],[Column2]],DIM_COUNTRY[[#All],[Column3]],,,)</f>
        <v>Major_Non-USMCA_Non-China</v>
      </c>
    </row>
    <row r="5592" spans="1:9" x14ac:dyDescent="0.4">
      <c r="A5592" t="s">
        <v>68</v>
      </c>
      <c r="B5592" s="1">
        <v>45352</v>
      </c>
      <c r="C5592">
        <v>850710</v>
      </c>
      <c r="D5592" t="s">
        <v>176</v>
      </c>
      <c r="E5592">
        <v>0</v>
      </c>
      <c r="F5592">
        <v>0</v>
      </c>
      <c r="G5592">
        <v>0</v>
      </c>
      <c r="H5592">
        <f>_xlfn.XLOOKUP(FACT_IMPORTS[[#This Row],[hts_6]],DIM_PRODUCTS[hts_6],DIM_PRODUCTS[hts_4],,,)</f>
        <v>8507</v>
      </c>
      <c r="I5592" t="str" cm="1">
        <f t="array" ref="I5592">_xlfn.XLOOKUP(FACT_IMPORTS[[#This Row],[country_name]],DIM_COUNTRY[[#All],[Column2]],DIM_COUNTRY[[#All],[Column3]],,,)</f>
        <v>Major_Non-USMCA_Non-China</v>
      </c>
    </row>
    <row r="5593" spans="1:9" x14ac:dyDescent="0.4">
      <c r="A5593" t="s">
        <v>68</v>
      </c>
      <c r="B5593" s="1">
        <v>45352</v>
      </c>
      <c r="C5593">
        <v>850760</v>
      </c>
      <c r="D5593" t="s">
        <v>176</v>
      </c>
      <c r="E5593">
        <v>740411</v>
      </c>
      <c r="F5593">
        <v>3434</v>
      </c>
      <c r="G5593">
        <v>10815</v>
      </c>
      <c r="H5593">
        <f>_xlfn.XLOOKUP(FACT_IMPORTS[[#This Row],[hts_6]],DIM_PRODUCTS[hts_6],DIM_PRODUCTS[hts_4],,,)</f>
        <v>8507</v>
      </c>
      <c r="I5593" t="str" cm="1">
        <f t="array" ref="I5593">_xlfn.XLOOKUP(FACT_IMPORTS[[#This Row],[country_name]],DIM_COUNTRY[[#All],[Column2]],DIM_COUNTRY[[#All],[Column3]],,,)</f>
        <v>Major_Non-USMCA_Non-China</v>
      </c>
    </row>
    <row r="5594" spans="1:9" x14ac:dyDescent="0.4">
      <c r="A5594" t="s">
        <v>68</v>
      </c>
      <c r="B5594" s="1">
        <v>45352</v>
      </c>
      <c r="C5594">
        <v>850790</v>
      </c>
      <c r="D5594" t="s">
        <v>176</v>
      </c>
      <c r="E5594">
        <v>380200</v>
      </c>
      <c r="F5594">
        <v>14090</v>
      </c>
      <c r="G5594">
        <v>11785</v>
      </c>
      <c r="H5594">
        <f>_xlfn.XLOOKUP(FACT_IMPORTS[[#This Row],[hts_6]],DIM_PRODUCTS[hts_6],DIM_PRODUCTS[hts_4],,,)</f>
        <v>8507</v>
      </c>
      <c r="I5594" t="str" cm="1">
        <f t="array" ref="I5594">_xlfn.XLOOKUP(FACT_IMPORTS[[#This Row],[country_name]],DIM_COUNTRY[[#All],[Column2]],DIM_COUNTRY[[#All],[Column3]],,,)</f>
        <v>Major_Non-USMCA_Non-China</v>
      </c>
    </row>
    <row r="5595" spans="1:9" x14ac:dyDescent="0.4">
      <c r="A5595" t="s">
        <v>68</v>
      </c>
      <c r="B5595" s="1">
        <v>45352</v>
      </c>
      <c r="C5595">
        <v>851110</v>
      </c>
      <c r="D5595" t="s">
        <v>176</v>
      </c>
      <c r="E5595">
        <v>2284</v>
      </c>
      <c r="F5595">
        <v>6</v>
      </c>
      <c r="G5595">
        <v>9</v>
      </c>
      <c r="H5595">
        <f>_xlfn.XLOOKUP(FACT_IMPORTS[[#This Row],[hts_6]],DIM_PRODUCTS[hts_6],DIM_PRODUCTS[hts_4],,,)</f>
        <v>8511</v>
      </c>
      <c r="I5595" t="str" cm="1">
        <f t="array" ref="I5595">_xlfn.XLOOKUP(FACT_IMPORTS[[#This Row],[country_name]],DIM_COUNTRY[[#All],[Column2]],DIM_COUNTRY[[#All],[Column3]],,,)</f>
        <v>Major_Non-USMCA_Non-China</v>
      </c>
    </row>
    <row r="5596" spans="1:9" x14ac:dyDescent="0.4">
      <c r="A5596" t="s">
        <v>68</v>
      </c>
      <c r="B5596" s="1">
        <v>45352</v>
      </c>
      <c r="C5596">
        <v>851120</v>
      </c>
      <c r="D5596" t="s">
        <v>176</v>
      </c>
      <c r="E5596">
        <v>20478</v>
      </c>
      <c r="F5596">
        <v>383</v>
      </c>
      <c r="G5596">
        <v>293</v>
      </c>
      <c r="H5596">
        <f>_xlfn.XLOOKUP(FACT_IMPORTS[[#This Row],[hts_6]],DIM_PRODUCTS[hts_6],DIM_PRODUCTS[hts_4],,,)</f>
        <v>8511</v>
      </c>
      <c r="I5596" t="str" cm="1">
        <f t="array" ref="I5596">_xlfn.XLOOKUP(FACT_IMPORTS[[#This Row],[country_name]],DIM_COUNTRY[[#All],[Column2]],DIM_COUNTRY[[#All],[Column3]],,,)</f>
        <v>Major_Non-USMCA_Non-China</v>
      </c>
    </row>
    <row r="5597" spans="1:9" x14ac:dyDescent="0.4">
      <c r="A5597" t="s">
        <v>68</v>
      </c>
      <c r="B5597" s="1">
        <v>45352</v>
      </c>
      <c r="C5597">
        <v>851130</v>
      </c>
      <c r="D5597" t="s">
        <v>176</v>
      </c>
      <c r="E5597">
        <v>9272</v>
      </c>
      <c r="F5597">
        <v>210</v>
      </c>
      <c r="G5597">
        <v>133</v>
      </c>
      <c r="H5597">
        <f>_xlfn.XLOOKUP(FACT_IMPORTS[[#This Row],[hts_6]],DIM_PRODUCTS[hts_6],DIM_PRODUCTS[hts_4],,,)</f>
        <v>8511</v>
      </c>
      <c r="I5597" t="str" cm="1">
        <f t="array" ref="I5597">_xlfn.XLOOKUP(FACT_IMPORTS[[#This Row],[country_name]],DIM_COUNTRY[[#All],[Column2]],DIM_COUNTRY[[#All],[Column3]],,,)</f>
        <v>Major_Non-USMCA_Non-China</v>
      </c>
    </row>
    <row r="5598" spans="1:9" x14ac:dyDescent="0.4">
      <c r="A5598" t="s">
        <v>68</v>
      </c>
      <c r="B5598" s="1">
        <v>45352</v>
      </c>
      <c r="C5598">
        <v>851140</v>
      </c>
      <c r="D5598" t="s">
        <v>176</v>
      </c>
      <c r="E5598">
        <v>0</v>
      </c>
      <c r="F5598">
        <v>0</v>
      </c>
      <c r="G5598">
        <v>0</v>
      </c>
      <c r="H5598">
        <f>_xlfn.XLOOKUP(FACT_IMPORTS[[#This Row],[hts_6]],DIM_PRODUCTS[hts_6],DIM_PRODUCTS[hts_4],,,)</f>
        <v>8511</v>
      </c>
      <c r="I5598" t="str" cm="1">
        <f t="array" ref="I5598">_xlfn.XLOOKUP(FACT_IMPORTS[[#This Row],[country_name]],DIM_COUNTRY[[#All],[Column2]],DIM_COUNTRY[[#All],[Column3]],,,)</f>
        <v>Major_Non-USMCA_Non-China</v>
      </c>
    </row>
    <row r="5599" spans="1:9" x14ac:dyDescent="0.4">
      <c r="A5599" t="s">
        <v>68</v>
      </c>
      <c r="B5599" s="1">
        <v>45352</v>
      </c>
      <c r="C5599">
        <v>851150</v>
      </c>
      <c r="D5599" t="s">
        <v>176</v>
      </c>
      <c r="E5599">
        <v>0</v>
      </c>
      <c r="F5599">
        <v>0</v>
      </c>
      <c r="G5599">
        <v>0</v>
      </c>
      <c r="H5599">
        <f>_xlfn.XLOOKUP(FACT_IMPORTS[[#This Row],[hts_6]],DIM_PRODUCTS[hts_6],DIM_PRODUCTS[hts_4],,,)</f>
        <v>8511</v>
      </c>
      <c r="I5599" t="str" cm="1">
        <f t="array" ref="I5599">_xlfn.XLOOKUP(FACT_IMPORTS[[#This Row],[country_name]],DIM_COUNTRY[[#All],[Column2]],DIM_COUNTRY[[#All],[Column3]],,,)</f>
        <v>Major_Non-USMCA_Non-China</v>
      </c>
    </row>
    <row r="5600" spans="1:9" x14ac:dyDescent="0.4">
      <c r="A5600" t="s">
        <v>68</v>
      </c>
      <c r="B5600" s="1">
        <v>45352</v>
      </c>
      <c r="C5600">
        <v>851180</v>
      </c>
      <c r="D5600" t="s">
        <v>176</v>
      </c>
      <c r="E5600">
        <v>465931</v>
      </c>
      <c r="F5600">
        <v>3483</v>
      </c>
      <c r="G5600">
        <v>913</v>
      </c>
      <c r="H5600">
        <f>_xlfn.XLOOKUP(FACT_IMPORTS[[#This Row],[hts_6]],DIM_PRODUCTS[hts_6],DIM_PRODUCTS[hts_4],,,)</f>
        <v>8511</v>
      </c>
      <c r="I5600" t="str" cm="1">
        <f t="array" ref="I5600">_xlfn.XLOOKUP(FACT_IMPORTS[[#This Row],[country_name]],DIM_COUNTRY[[#All],[Column2]],DIM_COUNTRY[[#All],[Column3]],,,)</f>
        <v>Major_Non-USMCA_Non-China</v>
      </c>
    </row>
    <row r="5601" spans="1:9" x14ac:dyDescent="0.4">
      <c r="A5601" t="s">
        <v>68</v>
      </c>
      <c r="B5601" s="1">
        <v>45352</v>
      </c>
      <c r="C5601">
        <v>851190</v>
      </c>
      <c r="D5601" t="s">
        <v>176</v>
      </c>
      <c r="E5601">
        <v>5159</v>
      </c>
      <c r="F5601">
        <v>44</v>
      </c>
      <c r="G5601">
        <v>74</v>
      </c>
      <c r="H5601">
        <f>_xlfn.XLOOKUP(FACT_IMPORTS[[#This Row],[hts_6]],DIM_PRODUCTS[hts_6],DIM_PRODUCTS[hts_4],,,)</f>
        <v>8511</v>
      </c>
      <c r="I5601" t="str" cm="1">
        <f t="array" ref="I5601">_xlfn.XLOOKUP(FACT_IMPORTS[[#This Row],[country_name]],DIM_COUNTRY[[#All],[Column2]],DIM_COUNTRY[[#All],[Column3]],,,)</f>
        <v>Major_Non-USMCA_Non-China</v>
      </c>
    </row>
    <row r="5602" spans="1:9" x14ac:dyDescent="0.4">
      <c r="A5602" t="s">
        <v>68</v>
      </c>
      <c r="B5602" s="1">
        <v>45352</v>
      </c>
      <c r="C5602">
        <v>851220</v>
      </c>
      <c r="D5602" t="s">
        <v>176</v>
      </c>
      <c r="E5602">
        <v>4084</v>
      </c>
      <c r="F5602">
        <v>18</v>
      </c>
      <c r="G5602">
        <v>1</v>
      </c>
      <c r="H5602">
        <f>_xlfn.XLOOKUP(FACT_IMPORTS[[#This Row],[hts_6]],DIM_PRODUCTS[hts_6],DIM_PRODUCTS[hts_4],,,)</f>
        <v>8512</v>
      </c>
      <c r="I5602" t="str" cm="1">
        <f t="array" ref="I5602">_xlfn.XLOOKUP(FACT_IMPORTS[[#This Row],[country_name]],DIM_COUNTRY[[#All],[Column2]],DIM_COUNTRY[[#All],[Column3]],,,)</f>
        <v>Major_Non-USMCA_Non-China</v>
      </c>
    </row>
    <row r="5603" spans="1:9" x14ac:dyDescent="0.4">
      <c r="A5603" t="s">
        <v>68</v>
      </c>
      <c r="B5603" s="1">
        <v>45352</v>
      </c>
      <c r="C5603">
        <v>851230</v>
      </c>
      <c r="D5603" t="s">
        <v>176</v>
      </c>
      <c r="E5603">
        <v>0</v>
      </c>
      <c r="F5603">
        <v>0</v>
      </c>
      <c r="G5603">
        <v>0</v>
      </c>
      <c r="H5603">
        <f>_xlfn.XLOOKUP(FACT_IMPORTS[[#This Row],[hts_6]],DIM_PRODUCTS[hts_6],DIM_PRODUCTS[hts_4],,,)</f>
        <v>8512</v>
      </c>
      <c r="I5603" t="str" cm="1">
        <f t="array" ref="I5603">_xlfn.XLOOKUP(FACT_IMPORTS[[#This Row],[country_name]],DIM_COUNTRY[[#All],[Column2]],DIM_COUNTRY[[#All],[Column3]],,,)</f>
        <v>Major_Non-USMCA_Non-China</v>
      </c>
    </row>
    <row r="5604" spans="1:9" x14ac:dyDescent="0.4">
      <c r="A5604" t="s">
        <v>68</v>
      </c>
      <c r="B5604" s="1">
        <v>45352</v>
      </c>
      <c r="C5604">
        <v>851240</v>
      </c>
      <c r="D5604" t="s">
        <v>176</v>
      </c>
      <c r="E5604">
        <v>0</v>
      </c>
      <c r="F5604">
        <v>0</v>
      </c>
      <c r="G5604">
        <v>0</v>
      </c>
      <c r="H5604">
        <f>_xlfn.XLOOKUP(FACT_IMPORTS[[#This Row],[hts_6]],DIM_PRODUCTS[hts_6],DIM_PRODUCTS[hts_4],,,)</f>
        <v>8512</v>
      </c>
      <c r="I5604" t="str" cm="1">
        <f t="array" ref="I5604">_xlfn.XLOOKUP(FACT_IMPORTS[[#This Row],[country_name]],DIM_COUNTRY[[#All],[Column2]],DIM_COUNTRY[[#All],[Column3]],,,)</f>
        <v>Major_Non-USMCA_Non-China</v>
      </c>
    </row>
    <row r="5605" spans="1:9" x14ac:dyDescent="0.4">
      <c r="A5605" t="s">
        <v>68</v>
      </c>
      <c r="B5605" s="1">
        <v>45352</v>
      </c>
      <c r="C5605">
        <v>851290</v>
      </c>
      <c r="D5605" t="s">
        <v>176</v>
      </c>
      <c r="E5605">
        <v>47780</v>
      </c>
      <c r="F5605">
        <v>22</v>
      </c>
      <c r="G5605">
        <v>950</v>
      </c>
      <c r="H5605">
        <f>_xlfn.XLOOKUP(FACT_IMPORTS[[#This Row],[hts_6]],DIM_PRODUCTS[hts_6],DIM_PRODUCTS[hts_4],,,)</f>
        <v>8512</v>
      </c>
      <c r="I5605" t="str" cm="1">
        <f t="array" ref="I5605">_xlfn.XLOOKUP(FACT_IMPORTS[[#This Row],[country_name]],DIM_COUNTRY[[#All],[Column2]],DIM_COUNTRY[[#All],[Column3]],,,)</f>
        <v>Major_Non-USMCA_Non-China</v>
      </c>
    </row>
    <row r="5606" spans="1:9" x14ac:dyDescent="0.4">
      <c r="A5606" t="s">
        <v>68</v>
      </c>
      <c r="B5606" s="1">
        <v>45352</v>
      </c>
      <c r="C5606">
        <v>854231</v>
      </c>
      <c r="D5606" t="s">
        <v>176</v>
      </c>
      <c r="E5606">
        <v>4865</v>
      </c>
      <c r="F5606">
        <v>1</v>
      </c>
      <c r="G5606">
        <v>14</v>
      </c>
      <c r="H5606">
        <f>_xlfn.XLOOKUP(FACT_IMPORTS[[#This Row],[hts_6]],DIM_PRODUCTS[hts_6],DIM_PRODUCTS[hts_4],,,)</f>
        <v>8542</v>
      </c>
      <c r="I5606" t="str" cm="1">
        <f t="array" ref="I5606">_xlfn.XLOOKUP(FACT_IMPORTS[[#This Row],[country_name]],DIM_COUNTRY[[#All],[Column2]],DIM_COUNTRY[[#All],[Column3]],,,)</f>
        <v>Major_Non-USMCA_Non-China</v>
      </c>
    </row>
    <row r="5607" spans="1:9" x14ac:dyDescent="0.4">
      <c r="A5607" t="s">
        <v>68</v>
      </c>
      <c r="B5607" s="1">
        <v>45352</v>
      </c>
      <c r="C5607">
        <v>854233</v>
      </c>
      <c r="D5607" t="s">
        <v>176</v>
      </c>
      <c r="E5607">
        <v>0</v>
      </c>
      <c r="F5607">
        <v>0</v>
      </c>
      <c r="G5607">
        <v>0</v>
      </c>
      <c r="H5607">
        <f>_xlfn.XLOOKUP(FACT_IMPORTS[[#This Row],[hts_6]],DIM_PRODUCTS[hts_6],DIM_PRODUCTS[hts_4],,,)</f>
        <v>8542</v>
      </c>
      <c r="I5607" t="str" cm="1">
        <f t="array" ref="I5607">_xlfn.XLOOKUP(FACT_IMPORTS[[#This Row],[country_name]],DIM_COUNTRY[[#All],[Column2]],DIM_COUNTRY[[#All],[Column3]],,,)</f>
        <v>Major_Non-USMCA_Non-China</v>
      </c>
    </row>
    <row r="5608" spans="1:9" x14ac:dyDescent="0.4">
      <c r="A5608" t="s">
        <v>68</v>
      </c>
      <c r="B5608" s="1">
        <v>45352</v>
      </c>
      <c r="C5608">
        <v>854239</v>
      </c>
      <c r="D5608" t="s">
        <v>176</v>
      </c>
      <c r="E5608">
        <v>0</v>
      </c>
      <c r="F5608">
        <v>0</v>
      </c>
      <c r="G5608">
        <v>0</v>
      </c>
      <c r="H5608">
        <f>_xlfn.XLOOKUP(FACT_IMPORTS[[#This Row],[hts_6]],DIM_PRODUCTS[hts_6],DIM_PRODUCTS[hts_4],,,)</f>
        <v>8542</v>
      </c>
      <c r="I5608" t="str" cm="1">
        <f t="array" ref="I5608">_xlfn.XLOOKUP(FACT_IMPORTS[[#This Row],[country_name]],DIM_COUNTRY[[#All],[Column2]],DIM_COUNTRY[[#All],[Column3]],,,)</f>
        <v>Major_Non-USMCA_Non-China</v>
      </c>
    </row>
    <row r="5609" spans="1:9" x14ac:dyDescent="0.4">
      <c r="A5609" t="s">
        <v>68</v>
      </c>
      <c r="B5609" s="1">
        <v>45352</v>
      </c>
      <c r="C5609">
        <v>854290</v>
      </c>
      <c r="D5609" t="s">
        <v>176</v>
      </c>
      <c r="E5609">
        <v>0</v>
      </c>
      <c r="F5609">
        <v>0</v>
      </c>
      <c r="G5609">
        <v>0</v>
      </c>
      <c r="H5609">
        <f>_xlfn.XLOOKUP(FACT_IMPORTS[[#This Row],[hts_6]],DIM_PRODUCTS[hts_6],DIM_PRODUCTS[hts_4],,,)</f>
        <v>8542</v>
      </c>
      <c r="I5609" t="str" cm="1">
        <f t="array" ref="I5609">_xlfn.XLOOKUP(FACT_IMPORTS[[#This Row],[country_name]],DIM_COUNTRY[[#All],[Column2]],DIM_COUNTRY[[#All],[Column3]],,,)</f>
        <v>Major_Non-USMCA_Non-China</v>
      </c>
    </row>
    <row r="5610" spans="1:9" x14ac:dyDescent="0.4">
      <c r="A5610" t="s">
        <v>68</v>
      </c>
      <c r="B5610" s="1">
        <v>45352</v>
      </c>
      <c r="C5610">
        <v>854430</v>
      </c>
      <c r="D5610" t="s">
        <v>176</v>
      </c>
      <c r="E5610">
        <v>260854</v>
      </c>
      <c r="F5610">
        <v>12888</v>
      </c>
      <c r="G5610">
        <v>9355</v>
      </c>
      <c r="H5610">
        <f>_xlfn.XLOOKUP(FACT_IMPORTS[[#This Row],[hts_6]],DIM_PRODUCTS[hts_6],DIM_PRODUCTS[hts_4],,,)</f>
        <v>8544</v>
      </c>
      <c r="I5610" t="str" cm="1">
        <f t="array" ref="I5610">_xlfn.XLOOKUP(FACT_IMPORTS[[#This Row],[country_name]],DIM_COUNTRY[[#All],[Column2]],DIM_COUNTRY[[#All],[Column3]],,,)</f>
        <v>Major_Non-USMCA_Non-China</v>
      </c>
    </row>
    <row r="5611" spans="1:9" x14ac:dyDescent="0.4">
      <c r="A5611" t="s">
        <v>68</v>
      </c>
      <c r="B5611" s="1">
        <v>45352</v>
      </c>
      <c r="C5611">
        <v>870790</v>
      </c>
      <c r="D5611" t="s">
        <v>176</v>
      </c>
      <c r="E5611">
        <v>0</v>
      </c>
      <c r="F5611">
        <v>0</v>
      </c>
      <c r="G5611">
        <v>0</v>
      </c>
      <c r="H5611">
        <f>_xlfn.XLOOKUP(FACT_IMPORTS[[#This Row],[hts_6]],DIM_PRODUCTS[hts_6],DIM_PRODUCTS[hts_4],,,)</f>
        <v>8707</v>
      </c>
      <c r="I5611" t="str" cm="1">
        <f t="array" ref="I5611">_xlfn.XLOOKUP(FACT_IMPORTS[[#This Row],[country_name]],DIM_COUNTRY[[#All],[Column2]],DIM_COUNTRY[[#All],[Column3]],,,)</f>
        <v>Major_Non-USMCA_Non-China</v>
      </c>
    </row>
    <row r="5612" spans="1:9" x14ac:dyDescent="0.4">
      <c r="A5612" t="s">
        <v>68</v>
      </c>
      <c r="B5612" s="1">
        <v>45352</v>
      </c>
      <c r="C5612">
        <v>870810</v>
      </c>
      <c r="D5612" t="s">
        <v>176</v>
      </c>
      <c r="E5612">
        <v>12859</v>
      </c>
      <c r="F5612">
        <v>250</v>
      </c>
      <c r="G5612">
        <v>138</v>
      </c>
      <c r="H5612">
        <f>_xlfn.XLOOKUP(FACT_IMPORTS[[#This Row],[hts_6]],DIM_PRODUCTS[hts_6],DIM_PRODUCTS[hts_4],,,)</f>
        <v>8708</v>
      </c>
      <c r="I5612" t="str" cm="1">
        <f t="array" ref="I5612">_xlfn.XLOOKUP(FACT_IMPORTS[[#This Row],[country_name]],DIM_COUNTRY[[#All],[Column2]],DIM_COUNTRY[[#All],[Column3]],,,)</f>
        <v>Major_Non-USMCA_Non-China</v>
      </c>
    </row>
    <row r="5613" spans="1:9" x14ac:dyDescent="0.4">
      <c r="A5613" t="s">
        <v>68</v>
      </c>
      <c r="B5613" s="1">
        <v>45352</v>
      </c>
      <c r="C5613">
        <v>870821</v>
      </c>
      <c r="D5613" t="s">
        <v>176</v>
      </c>
      <c r="E5613">
        <v>0</v>
      </c>
      <c r="F5613">
        <v>0</v>
      </c>
      <c r="G5613">
        <v>0</v>
      </c>
      <c r="H5613">
        <f>_xlfn.XLOOKUP(FACT_IMPORTS[[#This Row],[hts_6]],DIM_PRODUCTS[hts_6],DIM_PRODUCTS[hts_4],,,)</f>
        <v>8708</v>
      </c>
      <c r="I5613" t="str" cm="1">
        <f t="array" ref="I5613">_xlfn.XLOOKUP(FACT_IMPORTS[[#This Row],[country_name]],DIM_COUNTRY[[#All],[Column2]],DIM_COUNTRY[[#All],[Column3]],,,)</f>
        <v>Major_Non-USMCA_Non-China</v>
      </c>
    </row>
    <row r="5614" spans="1:9" x14ac:dyDescent="0.4">
      <c r="A5614" t="s">
        <v>68</v>
      </c>
      <c r="B5614" s="1">
        <v>45352</v>
      </c>
      <c r="C5614">
        <v>870822</v>
      </c>
      <c r="D5614" t="s">
        <v>176</v>
      </c>
      <c r="E5614">
        <v>0</v>
      </c>
      <c r="F5614">
        <v>0</v>
      </c>
      <c r="G5614">
        <v>0</v>
      </c>
      <c r="H5614">
        <f>_xlfn.XLOOKUP(FACT_IMPORTS[[#This Row],[hts_6]],DIM_PRODUCTS[hts_6],DIM_PRODUCTS[hts_4],,,)</f>
        <v>8708</v>
      </c>
      <c r="I5614" t="str" cm="1">
        <f t="array" ref="I5614">_xlfn.XLOOKUP(FACT_IMPORTS[[#This Row],[country_name]],DIM_COUNTRY[[#All],[Column2]],DIM_COUNTRY[[#All],[Column3]],,,)</f>
        <v>Major_Non-USMCA_Non-China</v>
      </c>
    </row>
    <row r="5615" spans="1:9" x14ac:dyDescent="0.4">
      <c r="A5615" t="s">
        <v>68</v>
      </c>
      <c r="B5615" s="1">
        <v>45352</v>
      </c>
      <c r="C5615">
        <v>870829</v>
      </c>
      <c r="D5615" t="s">
        <v>176</v>
      </c>
      <c r="E5615">
        <v>2311516</v>
      </c>
      <c r="F5615">
        <v>853781</v>
      </c>
      <c r="G5615">
        <v>45585</v>
      </c>
      <c r="H5615">
        <f>_xlfn.XLOOKUP(FACT_IMPORTS[[#This Row],[hts_6]],DIM_PRODUCTS[hts_6],DIM_PRODUCTS[hts_4],,,)</f>
        <v>8708</v>
      </c>
      <c r="I5615" t="str" cm="1">
        <f t="array" ref="I5615">_xlfn.XLOOKUP(FACT_IMPORTS[[#This Row],[country_name]],DIM_COUNTRY[[#All],[Column2]],DIM_COUNTRY[[#All],[Column3]],,,)</f>
        <v>Major_Non-USMCA_Non-China</v>
      </c>
    </row>
    <row r="5616" spans="1:9" x14ac:dyDescent="0.4">
      <c r="A5616" t="s">
        <v>68</v>
      </c>
      <c r="B5616" s="1">
        <v>45352</v>
      </c>
      <c r="C5616">
        <v>870830</v>
      </c>
      <c r="D5616" t="s">
        <v>176</v>
      </c>
      <c r="E5616">
        <v>330779</v>
      </c>
      <c r="F5616">
        <v>253413</v>
      </c>
      <c r="G5616">
        <v>11038</v>
      </c>
      <c r="H5616">
        <f>_xlfn.XLOOKUP(FACT_IMPORTS[[#This Row],[hts_6]],DIM_PRODUCTS[hts_6],DIM_PRODUCTS[hts_4],,,)</f>
        <v>8708</v>
      </c>
      <c r="I5616" t="str" cm="1">
        <f t="array" ref="I5616">_xlfn.XLOOKUP(FACT_IMPORTS[[#This Row],[country_name]],DIM_COUNTRY[[#All],[Column2]],DIM_COUNTRY[[#All],[Column3]],,,)</f>
        <v>Major_Non-USMCA_Non-China</v>
      </c>
    </row>
    <row r="5617" spans="1:9" x14ac:dyDescent="0.4">
      <c r="A5617" t="s">
        <v>68</v>
      </c>
      <c r="B5617" s="1">
        <v>45352</v>
      </c>
      <c r="C5617">
        <v>870840</v>
      </c>
      <c r="D5617" t="s">
        <v>176</v>
      </c>
      <c r="E5617">
        <v>109986085</v>
      </c>
      <c r="F5617">
        <v>1270435</v>
      </c>
      <c r="G5617">
        <v>185380</v>
      </c>
      <c r="H5617">
        <f>_xlfn.XLOOKUP(FACT_IMPORTS[[#This Row],[hts_6]],DIM_PRODUCTS[hts_6],DIM_PRODUCTS[hts_4],,,)</f>
        <v>8708</v>
      </c>
      <c r="I5617" t="str" cm="1">
        <f t="array" ref="I5617">_xlfn.XLOOKUP(FACT_IMPORTS[[#This Row],[country_name]],DIM_COUNTRY[[#All],[Column2]],DIM_COUNTRY[[#All],[Column3]],,,)</f>
        <v>Major_Non-USMCA_Non-China</v>
      </c>
    </row>
    <row r="5618" spans="1:9" x14ac:dyDescent="0.4">
      <c r="A5618" t="s">
        <v>68</v>
      </c>
      <c r="B5618" s="1">
        <v>45352</v>
      </c>
      <c r="C5618">
        <v>870850</v>
      </c>
      <c r="D5618" t="s">
        <v>176</v>
      </c>
      <c r="E5618">
        <v>13164916</v>
      </c>
      <c r="F5618">
        <v>732383</v>
      </c>
      <c r="G5618">
        <v>254714</v>
      </c>
      <c r="H5618">
        <f>_xlfn.XLOOKUP(FACT_IMPORTS[[#This Row],[hts_6]],DIM_PRODUCTS[hts_6],DIM_PRODUCTS[hts_4],,,)</f>
        <v>8708</v>
      </c>
      <c r="I5618" t="str" cm="1">
        <f t="array" ref="I5618">_xlfn.XLOOKUP(FACT_IMPORTS[[#This Row],[country_name]],DIM_COUNTRY[[#All],[Column2]],DIM_COUNTRY[[#All],[Column3]],,,)</f>
        <v>Major_Non-USMCA_Non-China</v>
      </c>
    </row>
    <row r="5619" spans="1:9" x14ac:dyDescent="0.4">
      <c r="A5619" t="s">
        <v>68</v>
      </c>
      <c r="B5619" s="1">
        <v>45352</v>
      </c>
      <c r="C5619">
        <v>870870</v>
      </c>
      <c r="D5619" t="s">
        <v>176</v>
      </c>
      <c r="E5619">
        <v>10380</v>
      </c>
      <c r="F5619">
        <v>52</v>
      </c>
      <c r="G5619">
        <v>128</v>
      </c>
      <c r="H5619">
        <f>_xlfn.XLOOKUP(FACT_IMPORTS[[#This Row],[hts_6]],DIM_PRODUCTS[hts_6],DIM_PRODUCTS[hts_4],,,)</f>
        <v>8708</v>
      </c>
      <c r="I5619" t="str" cm="1">
        <f t="array" ref="I5619">_xlfn.XLOOKUP(FACT_IMPORTS[[#This Row],[country_name]],DIM_COUNTRY[[#All],[Column2]],DIM_COUNTRY[[#All],[Column3]],,,)</f>
        <v>Major_Non-USMCA_Non-China</v>
      </c>
    </row>
    <row r="5620" spans="1:9" x14ac:dyDescent="0.4">
      <c r="A5620" t="s">
        <v>68</v>
      </c>
      <c r="B5620" s="1">
        <v>45352</v>
      </c>
      <c r="C5620">
        <v>870880</v>
      </c>
      <c r="D5620" t="s">
        <v>176</v>
      </c>
      <c r="E5620">
        <v>3064454</v>
      </c>
      <c r="F5620">
        <v>1197932</v>
      </c>
      <c r="G5620">
        <v>54072</v>
      </c>
      <c r="H5620">
        <f>_xlfn.XLOOKUP(FACT_IMPORTS[[#This Row],[hts_6]],DIM_PRODUCTS[hts_6],DIM_PRODUCTS[hts_4],,,)</f>
        <v>8708</v>
      </c>
      <c r="I5620" t="str" cm="1">
        <f t="array" ref="I5620">_xlfn.XLOOKUP(FACT_IMPORTS[[#This Row],[country_name]],DIM_COUNTRY[[#All],[Column2]],DIM_COUNTRY[[#All],[Column3]],,,)</f>
        <v>Major_Non-USMCA_Non-China</v>
      </c>
    </row>
    <row r="5621" spans="1:9" x14ac:dyDescent="0.4">
      <c r="A5621" t="s">
        <v>68</v>
      </c>
      <c r="B5621" s="1">
        <v>45352</v>
      </c>
      <c r="C5621">
        <v>870891</v>
      </c>
      <c r="D5621" t="s">
        <v>176</v>
      </c>
      <c r="E5621">
        <v>15900</v>
      </c>
      <c r="F5621">
        <v>336</v>
      </c>
      <c r="G5621">
        <v>976</v>
      </c>
      <c r="H5621">
        <f>_xlfn.XLOOKUP(FACT_IMPORTS[[#This Row],[hts_6]],DIM_PRODUCTS[hts_6],DIM_PRODUCTS[hts_4],,,)</f>
        <v>8708</v>
      </c>
      <c r="I5621" t="str" cm="1">
        <f t="array" ref="I5621">_xlfn.XLOOKUP(FACT_IMPORTS[[#This Row],[country_name]],DIM_COUNTRY[[#All],[Column2]],DIM_COUNTRY[[#All],[Column3]],,,)</f>
        <v>Major_Non-USMCA_Non-China</v>
      </c>
    </row>
    <row r="5622" spans="1:9" x14ac:dyDescent="0.4">
      <c r="A5622" t="s">
        <v>68</v>
      </c>
      <c r="B5622" s="1">
        <v>45352</v>
      </c>
      <c r="C5622">
        <v>870892</v>
      </c>
      <c r="D5622" t="s">
        <v>176</v>
      </c>
      <c r="E5622">
        <v>229046</v>
      </c>
      <c r="F5622">
        <v>57232</v>
      </c>
      <c r="G5622">
        <v>8992</v>
      </c>
      <c r="H5622">
        <f>_xlfn.XLOOKUP(FACT_IMPORTS[[#This Row],[hts_6]],DIM_PRODUCTS[hts_6],DIM_PRODUCTS[hts_4],,,)</f>
        <v>8708</v>
      </c>
      <c r="I5622" t="str" cm="1">
        <f t="array" ref="I5622">_xlfn.XLOOKUP(FACT_IMPORTS[[#This Row],[country_name]],DIM_COUNTRY[[#All],[Column2]],DIM_COUNTRY[[#All],[Column3]],,,)</f>
        <v>Major_Non-USMCA_Non-China</v>
      </c>
    </row>
    <row r="5623" spans="1:9" x14ac:dyDescent="0.4">
      <c r="A5623" t="s">
        <v>68</v>
      </c>
      <c r="B5623" s="1">
        <v>45352</v>
      </c>
      <c r="C5623">
        <v>870893</v>
      </c>
      <c r="D5623" t="s">
        <v>176</v>
      </c>
      <c r="E5623">
        <v>821009</v>
      </c>
      <c r="F5623">
        <v>2288</v>
      </c>
      <c r="G5623">
        <v>3729</v>
      </c>
      <c r="H5623">
        <f>_xlfn.XLOOKUP(FACT_IMPORTS[[#This Row],[hts_6]],DIM_PRODUCTS[hts_6],DIM_PRODUCTS[hts_4],,,)</f>
        <v>8708</v>
      </c>
      <c r="I5623" t="str" cm="1">
        <f t="array" ref="I5623">_xlfn.XLOOKUP(FACT_IMPORTS[[#This Row],[country_name]],DIM_COUNTRY[[#All],[Column2]],DIM_COUNTRY[[#All],[Column3]],,,)</f>
        <v>Major_Non-USMCA_Non-China</v>
      </c>
    </row>
    <row r="5624" spans="1:9" x14ac:dyDescent="0.4">
      <c r="A5624" t="s">
        <v>68</v>
      </c>
      <c r="B5624" s="1">
        <v>45352</v>
      </c>
      <c r="C5624">
        <v>870894</v>
      </c>
      <c r="D5624" t="s">
        <v>176</v>
      </c>
      <c r="E5624">
        <v>215146</v>
      </c>
      <c r="F5624">
        <v>14718</v>
      </c>
      <c r="G5624">
        <v>8976</v>
      </c>
      <c r="H5624">
        <f>_xlfn.XLOOKUP(FACT_IMPORTS[[#This Row],[hts_6]],DIM_PRODUCTS[hts_6],DIM_PRODUCTS[hts_4],,,)</f>
        <v>8708</v>
      </c>
      <c r="I5624" t="str" cm="1">
        <f t="array" ref="I5624">_xlfn.XLOOKUP(FACT_IMPORTS[[#This Row],[country_name]],DIM_COUNTRY[[#All],[Column2]],DIM_COUNTRY[[#All],[Column3]],,,)</f>
        <v>Major_Non-USMCA_Non-China</v>
      </c>
    </row>
    <row r="5625" spans="1:9" x14ac:dyDescent="0.4">
      <c r="A5625" t="s">
        <v>68</v>
      </c>
      <c r="B5625" s="1">
        <v>45352</v>
      </c>
      <c r="C5625">
        <v>870895</v>
      </c>
      <c r="D5625" t="s">
        <v>176</v>
      </c>
      <c r="E5625">
        <v>6830</v>
      </c>
      <c r="F5625">
        <v>753</v>
      </c>
      <c r="G5625">
        <v>962</v>
      </c>
      <c r="H5625">
        <f>_xlfn.XLOOKUP(FACT_IMPORTS[[#This Row],[hts_6]],DIM_PRODUCTS[hts_6],DIM_PRODUCTS[hts_4],,,)</f>
        <v>8708</v>
      </c>
      <c r="I5625" t="str" cm="1">
        <f t="array" ref="I5625">_xlfn.XLOOKUP(FACT_IMPORTS[[#This Row],[country_name]],DIM_COUNTRY[[#All],[Column2]],DIM_COUNTRY[[#All],[Column3]],,,)</f>
        <v>Major_Non-USMCA_Non-China</v>
      </c>
    </row>
    <row r="5626" spans="1:9" x14ac:dyDescent="0.4">
      <c r="A5626" t="s">
        <v>68</v>
      </c>
      <c r="B5626" s="1">
        <v>45352</v>
      </c>
      <c r="C5626">
        <v>870899</v>
      </c>
      <c r="D5626" t="s">
        <v>176</v>
      </c>
      <c r="E5626">
        <v>4237520</v>
      </c>
      <c r="F5626">
        <v>637043</v>
      </c>
      <c r="G5626">
        <v>82036</v>
      </c>
      <c r="H5626">
        <f>_xlfn.XLOOKUP(FACT_IMPORTS[[#This Row],[hts_6]],DIM_PRODUCTS[hts_6],DIM_PRODUCTS[hts_4],,,)</f>
        <v>8708</v>
      </c>
      <c r="I5626" t="str" cm="1">
        <f t="array" ref="I5626">_xlfn.XLOOKUP(FACT_IMPORTS[[#This Row],[country_name]],DIM_COUNTRY[[#All],[Column2]],DIM_COUNTRY[[#All],[Column3]],,,)</f>
        <v>Major_Non-USMCA_Non-China</v>
      </c>
    </row>
    <row r="5627" spans="1:9" x14ac:dyDescent="0.4">
      <c r="A5627" t="s">
        <v>68</v>
      </c>
      <c r="B5627" s="1">
        <v>45352</v>
      </c>
      <c r="C5627">
        <v>940120</v>
      </c>
      <c r="D5627" t="s">
        <v>176</v>
      </c>
      <c r="E5627">
        <v>463140</v>
      </c>
      <c r="F5627">
        <v>206</v>
      </c>
      <c r="G5627">
        <v>9061</v>
      </c>
      <c r="H5627">
        <f>_xlfn.XLOOKUP(FACT_IMPORTS[[#This Row],[hts_6]],DIM_PRODUCTS[hts_6],DIM_PRODUCTS[hts_4],,,)</f>
        <v>9401</v>
      </c>
      <c r="I5627" t="str" cm="1">
        <f t="array" ref="I5627">_xlfn.XLOOKUP(FACT_IMPORTS[[#This Row],[country_name]],DIM_COUNTRY[[#All],[Column2]],DIM_COUNTRY[[#All],[Column3]],,,)</f>
        <v>Major_Non-USMCA_Non-China</v>
      </c>
    </row>
    <row r="5628" spans="1:9" x14ac:dyDescent="0.4">
      <c r="A5628" t="s">
        <v>68</v>
      </c>
      <c r="B5628" s="1">
        <v>45383</v>
      </c>
      <c r="C5628">
        <v>392630</v>
      </c>
      <c r="D5628" t="s">
        <v>176</v>
      </c>
      <c r="E5628">
        <v>104765</v>
      </c>
      <c r="F5628">
        <v>8116</v>
      </c>
      <c r="G5628">
        <v>5047</v>
      </c>
      <c r="H5628">
        <f>_xlfn.XLOOKUP(FACT_IMPORTS[[#This Row],[hts_6]],DIM_PRODUCTS[hts_6],DIM_PRODUCTS[hts_4],,,)</f>
        <v>3926</v>
      </c>
      <c r="I5628" t="str" cm="1">
        <f t="array" ref="I5628">_xlfn.XLOOKUP(FACT_IMPORTS[[#This Row],[country_name]],DIM_COUNTRY[[#All],[Column2]],DIM_COUNTRY[[#All],[Column3]],,,)</f>
        <v>Major_Non-USMCA_Non-China</v>
      </c>
    </row>
    <row r="5629" spans="1:9" x14ac:dyDescent="0.4">
      <c r="A5629" t="s">
        <v>68</v>
      </c>
      <c r="B5629" s="1">
        <v>45383</v>
      </c>
      <c r="C5629">
        <v>401110</v>
      </c>
      <c r="D5629" t="s">
        <v>176</v>
      </c>
      <c r="E5629">
        <v>79770</v>
      </c>
      <c r="F5629">
        <v>354</v>
      </c>
      <c r="G5629">
        <v>1451</v>
      </c>
      <c r="H5629">
        <f>_xlfn.XLOOKUP(FACT_IMPORTS[[#This Row],[hts_6]],DIM_PRODUCTS[hts_6],DIM_PRODUCTS[hts_4],,,)</f>
        <v>4011</v>
      </c>
      <c r="I5629" t="str" cm="1">
        <f t="array" ref="I5629">_xlfn.XLOOKUP(FACT_IMPORTS[[#This Row],[country_name]],DIM_COUNTRY[[#All],[Column2]],DIM_COUNTRY[[#All],[Column3]],,,)</f>
        <v>Major_Non-USMCA_Non-China</v>
      </c>
    </row>
    <row r="5630" spans="1:9" x14ac:dyDescent="0.4">
      <c r="A5630" t="s">
        <v>68</v>
      </c>
      <c r="B5630" s="1">
        <v>45383</v>
      </c>
      <c r="C5630">
        <v>401120</v>
      </c>
      <c r="D5630" t="s">
        <v>176</v>
      </c>
      <c r="E5630">
        <v>0</v>
      </c>
      <c r="F5630">
        <v>0</v>
      </c>
      <c r="G5630">
        <v>0</v>
      </c>
      <c r="H5630">
        <f>_xlfn.XLOOKUP(FACT_IMPORTS[[#This Row],[hts_6]],DIM_PRODUCTS[hts_6],DIM_PRODUCTS[hts_4],,,)</f>
        <v>4011</v>
      </c>
      <c r="I5630" t="str" cm="1">
        <f t="array" ref="I5630">_xlfn.XLOOKUP(FACT_IMPORTS[[#This Row],[country_name]],DIM_COUNTRY[[#All],[Column2]],DIM_COUNTRY[[#All],[Column3]],,,)</f>
        <v>Major_Non-USMCA_Non-China</v>
      </c>
    </row>
    <row r="5631" spans="1:9" x14ac:dyDescent="0.4">
      <c r="A5631" t="s">
        <v>68</v>
      </c>
      <c r="B5631" s="1">
        <v>45383</v>
      </c>
      <c r="C5631">
        <v>401190</v>
      </c>
      <c r="D5631" t="s">
        <v>176</v>
      </c>
      <c r="E5631">
        <v>0</v>
      </c>
      <c r="F5631">
        <v>0</v>
      </c>
      <c r="G5631">
        <v>0</v>
      </c>
      <c r="H5631">
        <f>_xlfn.XLOOKUP(FACT_IMPORTS[[#This Row],[hts_6]],DIM_PRODUCTS[hts_6],DIM_PRODUCTS[hts_4],,,)</f>
        <v>4011</v>
      </c>
      <c r="I5631" t="str" cm="1">
        <f t="array" ref="I5631">_xlfn.XLOOKUP(FACT_IMPORTS[[#This Row],[country_name]],DIM_COUNTRY[[#All],[Column2]],DIM_COUNTRY[[#All],[Column3]],,,)</f>
        <v>Major_Non-USMCA_Non-China</v>
      </c>
    </row>
    <row r="5632" spans="1:9" x14ac:dyDescent="0.4">
      <c r="A5632" t="s">
        <v>68</v>
      </c>
      <c r="B5632" s="1">
        <v>45383</v>
      </c>
      <c r="C5632">
        <v>700711</v>
      </c>
      <c r="D5632" t="s">
        <v>176</v>
      </c>
      <c r="E5632">
        <v>0</v>
      </c>
      <c r="F5632">
        <v>0</v>
      </c>
      <c r="G5632">
        <v>0</v>
      </c>
      <c r="H5632">
        <f>_xlfn.XLOOKUP(FACT_IMPORTS[[#This Row],[hts_6]],DIM_PRODUCTS[hts_6],DIM_PRODUCTS[hts_4],,,)</f>
        <v>7007</v>
      </c>
      <c r="I5632" t="str" cm="1">
        <f t="array" ref="I5632">_xlfn.XLOOKUP(FACT_IMPORTS[[#This Row],[country_name]],DIM_COUNTRY[[#All],[Column2]],DIM_COUNTRY[[#All],[Column3]],,,)</f>
        <v>Major_Non-USMCA_Non-China</v>
      </c>
    </row>
    <row r="5633" spans="1:9" x14ac:dyDescent="0.4">
      <c r="A5633" t="s">
        <v>68</v>
      </c>
      <c r="B5633" s="1">
        <v>45383</v>
      </c>
      <c r="C5633">
        <v>700721</v>
      </c>
      <c r="D5633" t="s">
        <v>176</v>
      </c>
      <c r="E5633">
        <v>0</v>
      </c>
      <c r="F5633">
        <v>0</v>
      </c>
      <c r="G5633">
        <v>0</v>
      </c>
      <c r="H5633">
        <f>_xlfn.XLOOKUP(FACT_IMPORTS[[#This Row],[hts_6]],DIM_PRODUCTS[hts_6],DIM_PRODUCTS[hts_4],,,)</f>
        <v>7007</v>
      </c>
      <c r="I5633" t="str" cm="1">
        <f t="array" ref="I5633">_xlfn.XLOOKUP(FACT_IMPORTS[[#This Row],[country_name]],DIM_COUNTRY[[#All],[Column2]],DIM_COUNTRY[[#All],[Column3]],,,)</f>
        <v>Major_Non-USMCA_Non-China</v>
      </c>
    </row>
    <row r="5634" spans="1:9" x14ac:dyDescent="0.4">
      <c r="A5634" t="s">
        <v>68</v>
      </c>
      <c r="B5634" s="1">
        <v>45383</v>
      </c>
      <c r="C5634">
        <v>700910</v>
      </c>
      <c r="D5634" t="s">
        <v>176</v>
      </c>
      <c r="E5634">
        <v>0</v>
      </c>
      <c r="F5634">
        <v>0</v>
      </c>
      <c r="G5634">
        <v>0</v>
      </c>
      <c r="H5634">
        <f>_xlfn.XLOOKUP(FACT_IMPORTS[[#This Row],[hts_6]],DIM_PRODUCTS[hts_6],DIM_PRODUCTS[hts_4],,,)</f>
        <v>7009</v>
      </c>
      <c r="I5634" t="str" cm="1">
        <f t="array" ref="I5634">_xlfn.XLOOKUP(FACT_IMPORTS[[#This Row],[country_name]],DIM_COUNTRY[[#All],[Column2]],DIM_COUNTRY[[#All],[Column3]],,,)</f>
        <v>Major_Non-USMCA_Non-China</v>
      </c>
    </row>
    <row r="5635" spans="1:9" x14ac:dyDescent="0.4">
      <c r="A5635" t="s">
        <v>68</v>
      </c>
      <c r="B5635" s="1">
        <v>45383</v>
      </c>
      <c r="C5635">
        <v>732010</v>
      </c>
      <c r="D5635" t="s">
        <v>176</v>
      </c>
      <c r="E5635">
        <v>0</v>
      </c>
      <c r="F5635">
        <v>0</v>
      </c>
      <c r="G5635">
        <v>0</v>
      </c>
      <c r="H5635">
        <f>_xlfn.XLOOKUP(FACT_IMPORTS[[#This Row],[hts_6]],DIM_PRODUCTS[hts_6],DIM_PRODUCTS[hts_4],,,)</f>
        <v>7320</v>
      </c>
      <c r="I5635" t="str" cm="1">
        <f t="array" ref="I5635">_xlfn.XLOOKUP(FACT_IMPORTS[[#This Row],[country_name]],DIM_COUNTRY[[#All],[Column2]],DIM_COUNTRY[[#All],[Column3]],,,)</f>
        <v>Major_Non-USMCA_Non-China</v>
      </c>
    </row>
    <row r="5636" spans="1:9" x14ac:dyDescent="0.4">
      <c r="A5636" t="s">
        <v>68</v>
      </c>
      <c r="B5636" s="1">
        <v>45383</v>
      </c>
      <c r="C5636">
        <v>830230</v>
      </c>
      <c r="D5636" t="s">
        <v>176</v>
      </c>
      <c r="E5636">
        <v>425097</v>
      </c>
      <c r="F5636">
        <v>85984</v>
      </c>
      <c r="G5636">
        <v>36611</v>
      </c>
      <c r="H5636">
        <f>_xlfn.XLOOKUP(FACT_IMPORTS[[#This Row],[hts_6]],DIM_PRODUCTS[hts_6],DIM_PRODUCTS[hts_4],,,)</f>
        <v>8302</v>
      </c>
      <c r="I5636" t="str" cm="1">
        <f t="array" ref="I5636">_xlfn.XLOOKUP(FACT_IMPORTS[[#This Row],[country_name]],DIM_COUNTRY[[#All],[Column2]],DIM_COUNTRY[[#All],[Column3]],,,)</f>
        <v>Major_Non-USMCA_Non-China</v>
      </c>
    </row>
    <row r="5637" spans="1:9" x14ac:dyDescent="0.4">
      <c r="A5637" t="s">
        <v>68</v>
      </c>
      <c r="B5637" s="1">
        <v>45383</v>
      </c>
      <c r="C5637">
        <v>840731</v>
      </c>
      <c r="D5637" t="s">
        <v>176</v>
      </c>
      <c r="E5637">
        <v>0</v>
      </c>
      <c r="F5637">
        <v>0</v>
      </c>
      <c r="G5637">
        <v>0</v>
      </c>
      <c r="H5637">
        <f>_xlfn.XLOOKUP(FACT_IMPORTS[[#This Row],[hts_6]],DIM_PRODUCTS[hts_6],DIM_PRODUCTS[hts_4],,,)</f>
        <v>8407</v>
      </c>
      <c r="I5637" t="str" cm="1">
        <f t="array" ref="I5637">_xlfn.XLOOKUP(FACT_IMPORTS[[#This Row],[country_name]],DIM_COUNTRY[[#All],[Column2]],DIM_COUNTRY[[#All],[Column3]],,,)</f>
        <v>Major_Non-USMCA_Non-China</v>
      </c>
    </row>
    <row r="5638" spans="1:9" x14ac:dyDescent="0.4">
      <c r="A5638" t="s">
        <v>68</v>
      </c>
      <c r="B5638" s="1">
        <v>45383</v>
      </c>
      <c r="C5638">
        <v>840734</v>
      </c>
      <c r="D5638" t="s">
        <v>176</v>
      </c>
      <c r="E5638">
        <v>209942</v>
      </c>
      <c r="F5638">
        <v>52</v>
      </c>
      <c r="G5638">
        <v>445</v>
      </c>
      <c r="H5638">
        <f>_xlfn.XLOOKUP(FACT_IMPORTS[[#This Row],[hts_6]],DIM_PRODUCTS[hts_6],DIM_PRODUCTS[hts_4],,,)</f>
        <v>8407</v>
      </c>
      <c r="I5638" t="str" cm="1">
        <f t="array" ref="I5638">_xlfn.XLOOKUP(FACT_IMPORTS[[#This Row],[country_name]],DIM_COUNTRY[[#All],[Column2]],DIM_COUNTRY[[#All],[Column3]],,,)</f>
        <v>Major_Non-USMCA_Non-China</v>
      </c>
    </row>
    <row r="5639" spans="1:9" x14ac:dyDescent="0.4">
      <c r="A5639" t="s">
        <v>68</v>
      </c>
      <c r="B5639" s="1">
        <v>45383</v>
      </c>
      <c r="C5639">
        <v>840790</v>
      </c>
      <c r="D5639" t="s">
        <v>176</v>
      </c>
      <c r="E5639">
        <v>0</v>
      </c>
      <c r="F5639">
        <v>0</v>
      </c>
      <c r="G5639">
        <v>0</v>
      </c>
      <c r="H5639">
        <f>_xlfn.XLOOKUP(FACT_IMPORTS[[#This Row],[hts_6]],DIM_PRODUCTS[hts_6],DIM_PRODUCTS[hts_4],,,)</f>
        <v>8407</v>
      </c>
      <c r="I5639" t="str" cm="1">
        <f t="array" ref="I5639">_xlfn.XLOOKUP(FACT_IMPORTS[[#This Row],[country_name]],DIM_COUNTRY[[#All],[Column2]],DIM_COUNTRY[[#All],[Column3]],,,)</f>
        <v>Major_Non-USMCA_Non-China</v>
      </c>
    </row>
    <row r="5640" spans="1:9" x14ac:dyDescent="0.4">
      <c r="A5640" t="s">
        <v>68</v>
      </c>
      <c r="B5640" s="1">
        <v>45383</v>
      </c>
      <c r="C5640">
        <v>840820</v>
      </c>
      <c r="D5640" t="s">
        <v>176</v>
      </c>
      <c r="E5640">
        <v>65740</v>
      </c>
      <c r="F5640">
        <v>2</v>
      </c>
      <c r="G5640">
        <v>325</v>
      </c>
      <c r="H5640">
        <f>_xlfn.XLOOKUP(FACT_IMPORTS[[#This Row],[hts_6]],DIM_PRODUCTS[hts_6],DIM_PRODUCTS[hts_4],,,)</f>
        <v>8408</v>
      </c>
      <c r="I5640" t="str" cm="1">
        <f t="array" ref="I5640">_xlfn.XLOOKUP(FACT_IMPORTS[[#This Row],[country_name]],DIM_COUNTRY[[#All],[Column2]],DIM_COUNTRY[[#All],[Column3]],,,)</f>
        <v>Major_Non-USMCA_Non-China</v>
      </c>
    </row>
    <row r="5641" spans="1:9" x14ac:dyDescent="0.4">
      <c r="A5641" t="s">
        <v>68</v>
      </c>
      <c r="B5641" s="1">
        <v>45383</v>
      </c>
      <c r="C5641">
        <v>840890</v>
      </c>
      <c r="D5641" t="s">
        <v>176</v>
      </c>
      <c r="E5641">
        <v>18468</v>
      </c>
      <c r="F5641">
        <v>1</v>
      </c>
      <c r="G5641">
        <v>3549</v>
      </c>
      <c r="H5641">
        <f>_xlfn.XLOOKUP(FACT_IMPORTS[[#This Row],[hts_6]],DIM_PRODUCTS[hts_6],DIM_PRODUCTS[hts_4],,,)</f>
        <v>8408</v>
      </c>
      <c r="I5641" t="str" cm="1">
        <f t="array" ref="I5641">_xlfn.XLOOKUP(FACT_IMPORTS[[#This Row],[country_name]],DIM_COUNTRY[[#All],[Column2]],DIM_COUNTRY[[#All],[Column3]],,,)</f>
        <v>Major_Non-USMCA_Non-China</v>
      </c>
    </row>
    <row r="5642" spans="1:9" x14ac:dyDescent="0.4">
      <c r="A5642" t="s">
        <v>68</v>
      </c>
      <c r="B5642" s="1">
        <v>45383</v>
      </c>
      <c r="C5642">
        <v>840991</v>
      </c>
      <c r="D5642" t="s">
        <v>176</v>
      </c>
      <c r="E5642">
        <v>838109</v>
      </c>
      <c r="F5642">
        <v>82038</v>
      </c>
      <c r="G5642">
        <v>24132</v>
      </c>
      <c r="H5642">
        <f>_xlfn.XLOOKUP(FACT_IMPORTS[[#This Row],[hts_6]],DIM_PRODUCTS[hts_6],DIM_PRODUCTS[hts_4],,,)</f>
        <v>8409</v>
      </c>
      <c r="I5642" t="str" cm="1">
        <f t="array" ref="I5642">_xlfn.XLOOKUP(FACT_IMPORTS[[#This Row],[country_name]],DIM_COUNTRY[[#All],[Column2]],DIM_COUNTRY[[#All],[Column3]],,,)</f>
        <v>Major_Non-USMCA_Non-China</v>
      </c>
    </row>
    <row r="5643" spans="1:9" x14ac:dyDescent="0.4">
      <c r="A5643" t="s">
        <v>68</v>
      </c>
      <c r="B5643" s="1">
        <v>45383</v>
      </c>
      <c r="C5643">
        <v>840999</v>
      </c>
      <c r="D5643" t="s">
        <v>176</v>
      </c>
      <c r="E5643">
        <v>27447303</v>
      </c>
      <c r="F5643">
        <v>3762234</v>
      </c>
      <c r="G5643">
        <v>661778</v>
      </c>
      <c r="H5643">
        <f>_xlfn.XLOOKUP(FACT_IMPORTS[[#This Row],[hts_6]],DIM_PRODUCTS[hts_6],DIM_PRODUCTS[hts_4],,,)</f>
        <v>8409</v>
      </c>
      <c r="I5643" t="str" cm="1">
        <f t="array" ref="I5643">_xlfn.XLOOKUP(FACT_IMPORTS[[#This Row],[country_name]],DIM_COUNTRY[[#All],[Column2]],DIM_COUNTRY[[#All],[Column3]],,,)</f>
        <v>Major_Non-USMCA_Non-China</v>
      </c>
    </row>
    <row r="5644" spans="1:9" x14ac:dyDescent="0.4">
      <c r="A5644" t="s">
        <v>68</v>
      </c>
      <c r="B5644" s="1">
        <v>45383</v>
      </c>
      <c r="C5644">
        <v>841330</v>
      </c>
      <c r="D5644" t="s">
        <v>176</v>
      </c>
      <c r="E5644">
        <v>9206316</v>
      </c>
      <c r="F5644">
        <v>65008</v>
      </c>
      <c r="G5644">
        <v>20442</v>
      </c>
      <c r="H5644">
        <f>_xlfn.XLOOKUP(FACT_IMPORTS[[#This Row],[hts_6]],DIM_PRODUCTS[hts_6],DIM_PRODUCTS[hts_4],,,)</f>
        <v>8413</v>
      </c>
      <c r="I5644" t="str" cm="1">
        <f t="array" ref="I5644">_xlfn.XLOOKUP(FACT_IMPORTS[[#This Row],[country_name]],DIM_COUNTRY[[#All],[Column2]],DIM_COUNTRY[[#All],[Column3]],,,)</f>
        <v>Major_Non-USMCA_Non-China</v>
      </c>
    </row>
    <row r="5645" spans="1:9" x14ac:dyDescent="0.4">
      <c r="A5645" t="s">
        <v>68</v>
      </c>
      <c r="B5645" s="1">
        <v>45383</v>
      </c>
      <c r="C5645">
        <v>841520</v>
      </c>
      <c r="D5645" t="s">
        <v>176</v>
      </c>
      <c r="E5645">
        <v>0</v>
      </c>
      <c r="F5645">
        <v>0</v>
      </c>
      <c r="G5645">
        <v>0</v>
      </c>
      <c r="H5645">
        <f>_xlfn.XLOOKUP(FACT_IMPORTS[[#This Row],[hts_6]],DIM_PRODUCTS[hts_6],DIM_PRODUCTS[hts_4],,,)</f>
        <v>8415</v>
      </c>
      <c r="I5645" t="str" cm="1">
        <f t="array" ref="I5645">_xlfn.XLOOKUP(FACT_IMPORTS[[#This Row],[country_name]],DIM_COUNTRY[[#All],[Column2]],DIM_COUNTRY[[#All],[Column3]],,,)</f>
        <v>Major_Non-USMCA_Non-China</v>
      </c>
    </row>
    <row r="5646" spans="1:9" x14ac:dyDescent="0.4">
      <c r="A5646" t="s">
        <v>68</v>
      </c>
      <c r="B5646" s="1">
        <v>45383</v>
      </c>
      <c r="C5646">
        <v>842132</v>
      </c>
      <c r="D5646" t="s">
        <v>176</v>
      </c>
      <c r="E5646">
        <v>70863</v>
      </c>
      <c r="F5646">
        <v>84</v>
      </c>
      <c r="G5646">
        <v>3362</v>
      </c>
      <c r="H5646">
        <f>_xlfn.XLOOKUP(FACT_IMPORTS[[#This Row],[hts_6]],DIM_PRODUCTS[hts_6],DIM_PRODUCTS[hts_4],,,)</f>
        <v>8421</v>
      </c>
      <c r="I5646" t="str" cm="1">
        <f t="array" ref="I5646">_xlfn.XLOOKUP(FACT_IMPORTS[[#This Row],[country_name]],DIM_COUNTRY[[#All],[Column2]],DIM_COUNTRY[[#All],[Column3]],,,)</f>
        <v>Major_Non-USMCA_Non-China</v>
      </c>
    </row>
    <row r="5647" spans="1:9" x14ac:dyDescent="0.4">
      <c r="A5647" t="s">
        <v>68</v>
      </c>
      <c r="B5647" s="1">
        <v>45383</v>
      </c>
      <c r="C5647">
        <v>848210</v>
      </c>
      <c r="D5647" t="s">
        <v>176</v>
      </c>
      <c r="E5647">
        <v>381663</v>
      </c>
      <c r="F5647">
        <v>4476</v>
      </c>
      <c r="G5647">
        <v>7729</v>
      </c>
      <c r="H5647">
        <f>_xlfn.XLOOKUP(FACT_IMPORTS[[#This Row],[hts_6]],DIM_PRODUCTS[hts_6],DIM_PRODUCTS[hts_4],,,)</f>
        <v>8482</v>
      </c>
      <c r="I5647" t="str" cm="1">
        <f t="array" ref="I5647">_xlfn.XLOOKUP(FACT_IMPORTS[[#This Row],[country_name]],DIM_COUNTRY[[#All],[Column2]],DIM_COUNTRY[[#All],[Column3]],,,)</f>
        <v>Major_Non-USMCA_Non-China</v>
      </c>
    </row>
    <row r="5648" spans="1:9" x14ac:dyDescent="0.4">
      <c r="A5648" t="s">
        <v>68</v>
      </c>
      <c r="B5648" s="1">
        <v>45383</v>
      </c>
      <c r="C5648">
        <v>848220</v>
      </c>
      <c r="D5648" t="s">
        <v>176</v>
      </c>
      <c r="E5648">
        <v>10433</v>
      </c>
      <c r="F5648">
        <v>11</v>
      </c>
      <c r="G5648">
        <v>91</v>
      </c>
      <c r="H5648">
        <f>_xlfn.XLOOKUP(FACT_IMPORTS[[#This Row],[hts_6]],DIM_PRODUCTS[hts_6],DIM_PRODUCTS[hts_4],,,)</f>
        <v>8482</v>
      </c>
      <c r="I5648" t="str" cm="1">
        <f t="array" ref="I5648">_xlfn.XLOOKUP(FACT_IMPORTS[[#This Row],[country_name]],DIM_COUNTRY[[#All],[Column2]],DIM_COUNTRY[[#All],[Column3]],,,)</f>
        <v>Major_Non-USMCA_Non-China</v>
      </c>
    </row>
    <row r="5649" spans="1:9" x14ac:dyDescent="0.4">
      <c r="A5649" t="s">
        <v>68</v>
      </c>
      <c r="B5649" s="1">
        <v>45383</v>
      </c>
      <c r="C5649">
        <v>848310</v>
      </c>
      <c r="D5649" t="s">
        <v>176</v>
      </c>
      <c r="E5649">
        <v>4334902</v>
      </c>
      <c r="F5649">
        <v>30060</v>
      </c>
      <c r="G5649">
        <v>38473</v>
      </c>
      <c r="H5649">
        <f>_xlfn.XLOOKUP(FACT_IMPORTS[[#This Row],[hts_6]],DIM_PRODUCTS[hts_6],DIM_PRODUCTS[hts_4],,,)</f>
        <v>8483</v>
      </c>
      <c r="I5649" t="str" cm="1">
        <f t="array" ref="I5649">_xlfn.XLOOKUP(FACT_IMPORTS[[#This Row],[country_name]],DIM_COUNTRY[[#All],[Column2]],DIM_COUNTRY[[#All],[Column3]],,,)</f>
        <v>Major_Non-USMCA_Non-China</v>
      </c>
    </row>
    <row r="5650" spans="1:9" x14ac:dyDescent="0.4">
      <c r="A5650" t="s">
        <v>68</v>
      </c>
      <c r="B5650" s="1">
        <v>45383</v>
      </c>
      <c r="C5650">
        <v>850131</v>
      </c>
      <c r="D5650" t="s">
        <v>176</v>
      </c>
      <c r="E5650">
        <v>294854</v>
      </c>
      <c r="F5650">
        <v>2052</v>
      </c>
      <c r="G5650">
        <v>455</v>
      </c>
      <c r="H5650">
        <f>_xlfn.XLOOKUP(FACT_IMPORTS[[#This Row],[hts_6]],DIM_PRODUCTS[hts_6],DIM_PRODUCTS[hts_4],,,)</f>
        <v>8501</v>
      </c>
      <c r="I5650" t="str" cm="1">
        <f t="array" ref="I5650">_xlfn.XLOOKUP(FACT_IMPORTS[[#This Row],[country_name]],DIM_COUNTRY[[#All],[Column2]],DIM_COUNTRY[[#All],[Column3]],,,)</f>
        <v>Major_Non-USMCA_Non-China</v>
      </c>
    </row>
    <row r="5651" spans="1:9" x14ac:dyDescent="0.4">
      <c r="A5651" t="s">
        <v>68</v>
      </c>
      <c r="B5651" s="1">
        <v>45383</v>
      </c>
      <c r="C5651">
        <v>850132</v>
      </c>
      <c r="D5651" t="s">
        <v>176</v>
      </c>
      <c r="E5651">
        <v>75146</v>
      </c>
      <c r="F5651">
        <v>29</v>
      </c>
      <c r="G5651">
        <v>826</v>
      </c>
      <c r="H5651">
        <f>_xlfn.XLOOKUP(FACT_IMPORTS[[#This Row],[hts_6]],DIM_PRODUCTS[hts_6],DIM_PRODUCTS[hts_4],,,)</f>
        <v>8501</v>
      </c>
      <c r="I5651" t="str" cm="1">
        <f t="array" ref="I5651">_xlfn.XLOOKUP(FACT_IMPORTS[[#This Row],[country_name]],DIM_COUNTRY[[#All],[Column2]],DIM_COUNTRY[[#All],[Column3]],,,)</f>
        <v>Major_Non-USMCA_Non-China</v>
      </c>
    </row>
    <row r="5652" spans="1:9" x14ac:dyDescent="0.4">
      <c r="A5652" t="s">
        <v>68</v>
      </c>
      <c r="B5652" s="1">
        <v>45383</v>
      </c>
      <c r="C5652">
        <v>850133</v>
      </c>
      <c r="D5652" t="s">
        <v>176</v>
      </c>
      <c r="E5652">
        <v>0</v>
      </c>
      <c r="F5652">
        <v>0</v>
      </c>
      <c r="G5652">
        <v>0</v>
      </c>
      <c r="H5652">
        <f>_xlfn.XLOOKUP(FACT_IMPORTS[[#This Row],[hts_6]],DIM_PRODUCTS[hts_6],DIM_PRODUCTS[hts_4],,,)</f>
        <v>8501</v>
      </c>
      <c r="I5652" t="str" cm="1">
        <f t="array" ref="I5652">_xlfn.XLOOKUP(FACT_IMPORTS[[#This Row],[country_name]],DIM_COUNTRY[[#All],[Column2]],DIM_COUNTRY[[#All],[Column3]],,,)</f>
        <v>Major_Non-USMCA_Non-China</v>
      </c>
    </row>
    <row r="5653" spans="1:9" x14ac:dyDescent="0.4">
      <c r="A5653" t="s">
        <v>68</v>
      </c>
      <c r="B5653" s="1">
        <v>45383</v>
      </c>
      <c r="C5653">
        <v>850134</v>
      </c>
      <c r="D5653" t="s">
        <v>176</v>
      </c>
      <c r="E5653">
        <v>0</v>
      </c>
      <c r="F5653">
        <v>0</v>
      </c>
      <c r="G5653">
        <v>0</v>
      </c>
      <c r="H5653">
        <f>_xlfn.XLOOKUP(FACT_IMPORTS[[#This Row],[hts_6]],DIM_PRODUCTS[hts_6],DIM_PRODUCTS[hts_4],,,)</f>
        <v>8501</v>
      </c>
      <c r="I5653" t="str" cm="1">
        <f t="array" ref="I5653">_xlfn.XLOOKUP(FACT_IMPORTS[[#This Row],[country_name]],DIM_COUNTRY[[#All],[Column2]],DIM_COUNTRY[[#All],[Column3]],,,)</f>
        <v>Major_Non-USMCA_Non-China</v>
      </c>
    </row>
    <row r="5654" spans="1:9" x14ac:dyDescent="0.4">
      <c r="A5654" t="s">
        <v>68</v>
      </c>
      <c r="B5654" s="1">
        <v>45383</v>
      </c>
      <c r="C5654">
        <v>850152</v>
      </c>
      <c r="D5654" t="s">
        <v>176</v>
      </c>
      <c r="E5654">
        <v>545708</v>
      </c>
      <c r="F5654">
        <v>376</v>
      </c>
      <c r="G5654">
        <v>14012</v>
      </c>
      <c r="H5654">
        <f>_xlfn.XLOOKUP(FACT_IMPORTS[[#This Row],[hts_6]],DIM_PRODUCTS[hts_6],DIM_PRODUCTS[hts_4],,,)</f>
        <v>8501</v>
      </c>
      <c r="I5654" t="str" cm="1">
        <f t="array" ref="I5654">_xlfn.XLOOKUP(FACT_IMPORTS[[#This Row],[country_name]],DIM_COUNTRY[[#All],[Column2]],DIM_COUNTRY[[#All],[Column3]],,,)</f>
        <v>Major_Non-USMCA_Non-China</v>
      </c>
    </row>
    <row r="5655" spans="1:9" x14ac:dyDescent="0.4">
      <c r="A5655" t="s">
        <v>68</v>
      </c>
      <c r="B5655" s="1">
        <v>45383</v>
      </c>
      <c r="C5655">
        <v>850153</v>
      </c>
      <c r="D5655" t="s">
        <v>176</v>
      </c>
      <c r="E5655">
        <v>781541</v>
      </c>
      <c r="F5655">
        <v>55</v>
      </c>
      <c r="G5655">
        <v>4812</v>
      </c>
      <c r="H5655">
        <f>_xlfn.XLOOKUP(FACT_IMPORTS[[#This Row],[hts_6]],DIM_PRODUCTS[hts_6],DIM_PRODUCTS[hts_4],,,)</f>
        <v>8501</v>
      </c>
      <c r="I5655" t="str" cm="1">
        <f t="array" ref="I5655">_xlfn.XLOOKUP(FACT_IMPORTS[[#This Row],[country_name]],DIM_COUNTRY[[#All],[Column2]],DIM_COUNTRY[[#All],[Column3]],,,)</f>
        <v>Major_Non-USMCA_Non-China</v>
      </c>
    </row>
    <row r="5656" spans="1:9" x14ac:dyDescent="0.4">
      <c r="A5656" t="s">
        <v>68</v>
      </c>
      <c r="B5656" s="1">
        <v>45383</v>
      </c>
      <c r="C5656">
        <v>850161</v>
      </c>
      <c r="D5656" t="s">
        <v>176</v>
      </c>
      <c r="E5656">
        <v>0</v>
      </c>
      <c r="F5656">
        <v>0</v>
      </c>
      <c r="G5656">
        <v>0</v>
      </c>
      <c r="H5656">
        <f>_xlfn.XLOOKUP(FACT_IMPORTS[[#This Row],[hts_6]],DIM_PRODUCTS[hts_6],DIM_PRODUCTS[hts_4],,,)</f>
        <v>8501</v>
      </c>
      <c r="I5656" t="str" cm="1">
        <f t="array" ref="I5656">_xlfn.XLOOKUP(FACT_IMPORTS[[#This Row],[country_name]],DIM_COUNTRY[[#All],[Column2]],DIM_COUNTRY[[#All],[Column3]],,,)</f>
        <v>Major_Non-USMCA_Non-China</v>
      </c>
    </row>
    <row r="5657" spans="1:9" x14ac:dyDescent="0.4">
      <c r="A5657" t="s">
        <v>68</v>
      </c>
      <c r="B5657" s="1">
        <v>45383</v>
      </c>
      <c r="C5657">
        <v>850440</v>
      </c>
      <c r="D5657" t="s">
        <v>176</v>
      </c>
      <c r="E5657">
        <v>429581</v>
      </c>
      <c r="F5657">
        <v>366</v>
      </c>
      <c r="G5657">
        <v>14432</v>
      </c>
      <c r="H5657">
        <f>_xlfn.XLOOKUP(FACT_IMPORTS[[#This Row],[hts_6]],DIM_PRODUCTS[hts_6],DIM_PRODUCTS[hts_4],,,)</f>
        <v>8504</v>
      </c>
      <c r="I5657" t="str" cm="1">
        <f t="array" ref="I5657">_xlfn.XLOOKUP(FACT_IMPORTS[[#This Row],[country_name]],DIM_COUNTRY[[#All],[Column2]],DIM_COUNTRY[[#All],[Column3]],,,)</f>
        <v>Major_Non-USMCA_Non-China</v>
      </c>
    </row>
    <row r="5658" spans="1:9" x14ac:dyDescent="0.4">
      <c r="A5658" t="s">
        <v>68</v>
      </c>
      <c r="B5658" s="1">
        <v>45383</v>
      </c>
      <c r="C5658">
        <v>850710</v>
      </c>
      <c r="D5658" t="s">
        <v>176</v>
      </c>
      <c r="E5658">
        <v>0</v>
      </c>
      <c r="F5658">
        <v>0</v>
      </c>
      <c r="G5658">
        <v>0</v>
      </c>
      <c r="H5658">
        <f>_xlfn.XLOOKUP(FACT_IMPORTS[[#This Row],[hts_6]],DIM_PRODUCTS[hts_6],DIM_PRODUCTS[hts_4],,,)</f>
        <v>8507</v>
      </c>
      <c r="I5658" t="str" cm="1">
        <f t="array" ref="I5658">_xlfn.XLOOKUP(FACT_IMPORTS[[#This Row],[country_name]],DIM_COUNTRY[[#All],[Column2]],DIM_COUNTRY[[#All],[Column3]],,,)</f>
        <v>Major_Non-USMCA_Non-China</v>
      </c>
    </row>
    <row r="5659" spans="1:9" x14ac:dyDescent="0.4">
      <c r="A5659" t="s">
        <v>68</v>
      </c>
      <c r="B5659" s="1">
        <v>45383</v>
      </c>
      <c r="C5659">
        <v>850760</v>
      </c>
      <c r="D5659" t="s">
        <v>176</v>
      </c>
      <c r="E5659">
        <v>1000095</v>
      </c>
      <c r="F5659">
        <v>46181</v>
      </c>
      <c r="G5659">
        <v>7152</v>
      </c>
      <c r="H5659">
        <f>_xlfn.XLOOKUP(FACT_IMPORTS[[#This Row],[hts_6]],DIM_PRODUCTS[hts_6],DIM_PRODUCTS[hts_4],,,)</f>
        <v>8507</v>
      </c>
      <c r="I5659" t="str" cm="1">
        <f t="array" ref="I5659">_xlfn.XLOOKUP(FACT_IMPORTS[[#This Row],[country_name]],DIM_COUNTRY[[#All],[Column2]],DIM_COUNTRY[[#All],[Column3]],,,)</f>
        <v>Major_Non-USMCA_Non-China</v>
      </c>
    </row>
    <row r="5660" spans="1:9" x14ac:dyDescent="0.4">
      <c r="A5660" t="s">
        <v>68</v>
      </c>
      <c r="B5660" s="1">
        <v>45383</v>
      </c>
      <c r="C5660">
        <v>850790</v>
      </c>
      <c r="D5660" t="s">
        <v>176</v>
      </c>
      <c r="E5660">
        <v>238525</v>
      </c>
      <c r="F5660">
        <v>14614</v>
      </c>
      <c r="G5660">
        <v>10150</v>
      </c>
      <c r="H5660">
        <f>_xlfn.XLOOKUP(FACT_IMPORTS[[#This Row],[hts_6]],DIM_PRODUCTS[hts_6],DIM_PRODUCTS[hts_4],,,)</f>
        <v>8507</v>
      </c>
      <c r="I5660" t="str" cm="1">
        <f t="array" ref="I5660">_xlfn.XLOOKUP(FACT_IMPORTS[[#This Row],[country_name]],DIM_COUNTRY[[#All],[Column2]],DIM_COUNTRY[[#All],[Column3]],,,)</f>
        <v>Major_Non-USMCA_Non-China</v>
      </c>
    </row>
    <row r="5661" spans="1:9" x14ac:dyDescent="0.4">
      <c r="A5661" t="s">
        <v>68</v>
      </c>
      <c r="B5661" s="1">
        <v>45383</v>
      </c>
      <c r="C5661">
        <v>851110</v>
      </c>
      <c r="D5661" t="s">
        <v>176</v>
      </c>
      <c r="E5661">
        <v>31185</v>
      </c>
      <c r="F5661">
        <v>43</v>
      </c>
      <c r="G5661">
        <v>29</v>
      </c>
      <c r="H5661">
        <f>_xlfn.XLOOKUP(FACT_IMPORTS[[#This Row],[hts_6]],DIM_PRODUCTS[hts_6],DIM_PRODUCTS[hts_4],,,)</f>
        <v>8511</v>
      </c>
      <c r="I5661" t="str" cm="1">
        <f t="array" ref="I5661">_xlfn.XLOOKUP(FACT_IMPORTS[[#This Row],[country_name]],DIM_COUNTRY[[#All],[Column2]],DIM_COUNTRY[[#All],[Column3]],,,)</f>
        <v>Major_Non-USMCA_Non-China</v>
      </c>
    </row>
    <row r="5662" spans="1:9" x14ac:dyDescent="0.4">
      <c r="A5662" t="s">
        <v>68</v>
      </c>
      <c r="B5662" s="1">
        <v>45383</v>
      </c>
      <c r="C5662">
        <v>851120</v>
      </c>
      <c r="D5662" t="s">
        <v>176</v>
      </c>
      <c r="E5662">
        <v>0</v>
      </c>
      <c r="F5662">
        <v>0</v>
      </c>
      <c r="G5662">
        <v>0</v>
      </c>
      <c r="H5662">
        <f>_xlfn.XLOOKUP(FACT_IMPORTS[[#This Row],[hts_6]],DIM_PRODUCTS[hts_6],DIM_PRODUCTS[hts_4],,,)</f>
        <v>8511</v>
      </c>
      <c r="I5662" t="str" cm="1">
        <f t="array" ref="I5662">_xlfn.XLOOKUP(FACT_IMPORTS[[#This Row],[country_name]],DIM_COUNTRY[[#All],[Column2]],DIM_COUNTRY[[#All],[Column3]],,,)</f>
        <v>Major_Non-USMCA_Non-China</v>
      </c>
    </row>
    <row r="5663" spans="1:9" x14ac:dyDescent="0.4">
      <c r="A5663" t="s">
        <v>68</v>
      </c>
      <c r="B5663" s="1">
        <v>45383</v>
      </c>
      <c r="C5663">
        <v>851130</v>
      </c>
      <c r="D5663" t="s">
        <v>176</v>
      </c>
      <c r="E5663">
        <v>12062</v>
      </c>
      <c r="F5663">
        <v>258</v>
      </c>
      <c r="G5663">
        <v>300</v>
      </c>
      <c r="H5663">
        <f>_xlfn.XLOOKUP(FACT_IMPORTS[[#This Row],[hts_6]],DIM_PRODUCTS[hts_6],DIM_PRODUCTS[hts_4],,,)</f>
        <v>8511</v>
      </c>
      <c r="I5663" t="str" cm="1">
        <f t="array" ref="I5663">_xlfn.XLOOKUP(FACT_IMPORTS[[#This Row],[country_name]],DIM_COUNTRY[[#All],[Column2]],DIM_COUNTRY[[#All],[Column3]],,,)</f>
        <v>Major_Non-USMCA_Non-China</v>
      </c>
    </row>
    <row r="5664" spans="1:9" x14ac:dyDescent="0.4">
      <c r="A5664" t="s">
        <v>68</v>
      </c>
      <c r="B5664" s="1">
        <v>45383</v>
      </c>
      <c r="C5664">
        <v>851140</v>
      </c>
      <c r="D5664" t="s">
        <v>176</v>
      </c>
      <c r="E5664">
        <v>12577</v>
      </c>
      <c r="F5664">
        <v>4</v>
      </c>
      <c r="G5664">
        <v>227</v>
      </c>
      <c r="H5664">
        <f>_xlfn.XLOOKUP(FACT_IMPORTS[[#This Row],[hts_6]],DIM_PRODUCTS[hts_6],DIM_PRODUCTS[hts_4],,,)</f>
        <v>8511</v>
      </c>
      <c r="I5664" t="str" cm="1">
        <f t="array" ref="I5664">_xlfn.XLOOKUP(FACT_IMPORTS[[#This Row],[country_name]],DIM_COUNTRY[[#All],[Column2]],DIM_COUNTRY[[#All],[Column3]],,,)</f>
        <v>Major_Non-USMCA_Non-China</v>
      </c>
    </row>
    <row r="5665" spans="1:9" x14ac:dyDescent="0.4">
      <c r="A5665" t="s">
        <v>68</v>
      </c>
      <c r="B5665" s="1">
        <v>45383</v>
      </c>
      <c r="C5665">
        <v>851150</v>
      </c>
      <c r="D5665" t="s">
        <v>176</v>
      </c>
      <c r="E5665">
        <v>0</v>
      </c>
      <c r="F5665">
        <v>0</v>
      </c>
      <c r="G5665">
        <v>0</v>
      </c>
      <c r="H5665">
        <f>_xlfn.XLOOKUP(FACT_IMPORTS[[#This Row],[hts_6]],DIM_PRODUCTS[hts_6],DIM_PRODUCTS[hts_4],,,)</f>
        <v>8511</v>
      </c>
      <c r="I5665" t="str" cm="1">
        <f t="array" ref="I5665">_xlfn.XLOOKUP(FACT_IMPORTS[[#This Row],[country_name]],DIM_COUNTRY[[#All],[Column2]],DIM_COUNTRY[[#All],[Column3]],,,)</f>
        <v>Major_Non-USMCA_Non-China</v>
      </c>
    </row>
    <row r="5666" spans="1:9" x14ac:dyDescent="0.4">
      <c r="A5666" t="s">
        <v>68</v>
      </c>
      <c r="B5666" s="1">
        <v>45383</v>
      </c>
      <c r="C5666">
        <v>851180</v>
      </c>
      <c r="D5666" t="s">
        <v>176</v>
      </c>
      <c r="E5666">
        <v>222595</v>
      </c>
      <c r="F5666">
        <v>1378</v>
      </c>
      <c r="G5666">
        <v>615</v>
      </c>
      <c r="H5666">
        <f>_xlfn.XLOOKUP(FACT_IMPORTS[[#This Row],[hts_6]],DIM_PRODUCTS[hts_6],DIM_PRODUCTS[hts_4],,,)</f>
        <v>8511</v>
      </c>
      <c r="I5666" t="str" cm="1">
        <f t="array" ref="I5666">_xlfn.XLOOKUP(FACT_IMPORTS[[#This Row],[country_name]],DIM_COUNTRY[[#All],[Column2]],DIM_COUNTRY[[#All],[Column3]],,,)</f>
        <v>Major_Non-USMCA_Non-China</v>
      </c>
    </row>
    <row r="5667" spans="1:9" x14ac:dyDescent="0.4">
      <c r="A5667" t="s">
        <v>68</v>
      </c>
      <c r="B5667" s="1">
        <v>45383</v>
      </c>
      <c r="C5667">
        <v>851190</v>
      </c>
      <c r="D5667" t="s">
        <v>176</v>
      </c>
      <c r="E5667">
        <v>0</v>
      </c>
      <c r="F5667">
        <v>0</v>
      </c>
      <c r="G5667">
        <v>0</v>
      </c>
      <c r="H5667">
        <f>_xlfn.XLOOKUP(FACT_IMPORTS[[#This Row],[hts_6]],DIM_PRODUCTS[hts_6],DIM_PRODUCTS[hts_4],,,)</f>
        <v>8511</v>
      </c>
      <c r="I5667" t="str" cm="1">
        <f t="array" ref="I5667">_xlfn.XLOOKUP(FACT_IMPORTS[[#This Row],[country_name]],DIM_COUNTRY[[#All],[Column2]],DIM_COUNTRY[[#All],[Column3]],,,)</f>
        <v>Major_Non-USMCA_Non-China</v>
      </c>
    </row>
    <row r="5668" spans="1:9" x14ac:dyDescent="0.4">
      <c r="A5668" t="s">
        <v>68</v>
      </c>
      <c r="B5668" s="1">
        <v>45383</v>
      </c>
      <c r="C5668">
        <v>851220</v>
      </c>
      <c r="D5668" t="s">
        <v>176</v>
      </c>
      <c r="E5668">
        <v>103356</v>
      </c>
      <c r="F5668">
        <v>6715</v>
      </c>
      <c r="G5668">
        <v>589</v>
      </c>
      <c r="H5668">
        <f>_xlfn.XLOOKUP(FACT_IMPORTS[[#This Row],[hts_6]],DIM_PRODUCTS[hts_6],DIM_PRODUCTS[hts_4],,,)</f>
        <v>8512</v>
      </c>
      <c r="I5668" t="str" cm="1">
        <f t="array" ref="I5668">_xlfn.XLOOKUP(FACT_IMPORTS[[#This Row],[country_name]],DIM_COUNTRY[[#All],[Column2]],DIM_COUNTRY[[#All],[Column3]],,,)</f>
        <v>Major_Non-USMCA_Non-China</v>
      </c>
    </row>
    <row r="5669" spans="1:9" x14ac:dyDescent="0.4">
      <c r="A5669" t="s">
        <v>68</v>
      </c>
      <c r="B5669" s="1">
        <v>45383</v>
      </c>
      <c r="C5669">
        <v>851230</v>
      </c>
      <c r="D5669" t="s">
        <v>176</v>
      </c>
      <c r="E5669">
        <v>0</v>
      </c>
      <c r="F5669">
        <v>0</v>
      </c>
      <c r="G5669">
        <v>0</v>
      </c>
      <c r="H5669">
        <f>_xlfn.XLOOKUP(FACT_IMPORTS[[#This Row],[hts_6]],DIM_PRODUCTS[hts_6],DIM_PRODUCTS[hts_4],,,)</f>
        <v>8512</v>
      </c>
      <c r="I5669" t="str" cm="1">
        <f t="array" ref="I5669">_xlfn.XLOOKUP(FACT_IMPORTS[[#This Row],[country_name]],DIM_COUNTRY[[#All],[Column2]],DIM_COUNTRY[[#All],[Column3]],,,)</f>
        <v>Major_Non-USMCA_Non-China</v>
      </c>
    </row>
    <row r="5670" spans="1:9" x14ac:dyDescent="0.4">
      <c r="A5670" t="s">
        <v>68</v>
      </c>
      <c r="B5670" s="1">
        <v>45383</v>
      </c>
      <c r="C5670">
        <v>851240</v>
      </c>
      <c r="D5670" t="s">
        <v>176</v>
      </c>
      <c r="E5670">
        <v>0</v>
      </c>
      <c r="F5670">
        <v>0</v>
      </c>
      <c r="G5670">
        <v>0</v>
      </c>
      <c r="H5670">
        <f>_xlfn.XLOOKUP(FACT_IMPORTS[[#This Row],[hts_6]],DIM_PRODUCTS[hts_6],DIM_PRODUCTS[hts_4],,,)</f>
        <v>8512</v>
      </c>
      <c r="I5670" t="str" cm="1">
        <f t="array" ref="I5670">_xlfn.XLOOKUP(FACT_IMPORTS[[#This Row],[country_name]],DIM_COUNTRY[[#All],[Column2]],DIM_COUNTRY[[#All],[Column3]],,,)</f>
        <v>Major_Non-USMCA_Non-China</v>
      </c>
    </row>
    <row r="5671" spans="1:9" x14ac:dyDescent="0.4">
      <c r="A5671" t="s">
        <v>68</v>
      </c>
      <c r="B5671" s="1">
        <v>45383</v>
      </c>
      <c r="C5671">
        <v>851290</v>
      </c>
      <c r="D5671" t="s">
        <v>176</v>
      </c>
      <c r="E5671">
        <v>0</v>
      </c>
      <c r="F5671">
        <v>0</v>
      </c>
      <c r="G5671">
        <v>0</v>
      </c>
      <c r="H5671">
        <f>_xlfn.XLOOKUP(FACT_IMPORTS[[#This Row],[hts_6]],DIM_PRODUCTS[hts_6],DIM_PRODUCTS[hts_4],,,)</f>
        <v>8512</v>
      </c>
      <c r="I5671" t="str" cm="1">
        <f t="array" ref="I5671">_xlfn.XLOOKUP(FACT_IMPORTS[[#This Row],[country_name]],DIM_COUNTRY[[#All],[Column2]],DIM_COUNTRY[[#All],[Column3]],,,)</f>
        <v>Major_Non-USMCA_Non-China</v>
      </c>
    </row>
    <row r="5672" spans="1:9" x14ac:dyDescent="0.4">
      <c r="A5672" t="s">
        <v>68</v>
      </c>
      <c r="B5672" s="1">
        <v>45383</v>
      </c>
      <c r="C5672">
        <v>854231</v>
      </c>
      <c r="D5672" t="s">
        <v>176</v>
      </c>
      <c r="E5672">
        <v>15685</v>
      </c>
      <c r="F5672">
        <v>10</v>
      </c>
      <c r="G5672">
        <v>61</v>
      </c>
      <c r="H5672">
        <f>_xlfn.XLOOKUP(FACT_IMPORTS[[#This Row],[hts_6]],DIM_PRODUCTS[hts_6],DIM_PRODUCTS[hts_4],,,)</f>
        <v>8542</v>
      </c>
      <c r="I5672" t="str" cm="1">
        <f t="array" ref="I5672">_xlfn.XLOOKUP(FACT_IMPORTS[[#This Row],[country_name]],DIM_COUNTRY[[#All],[Column2]],DIM_COUNTRY[[#All],[Column3]],,,)</f>
        <v>Major_Non-USMCA_Non-China</v>
      </c>
    </row>
    <row r="5673" spans="1:9" x14ac:dyDescent="0.4">
      <c r="A5673" t="s">
        <v>68</v>
      </c>
      <c r="B5673" s="1">
        <v>45383</v>
      </c>
      <c r="C5673">
        <v>854233</v>
      </c>
      <c r="D5673" t="s">
        <v>176</v>
      </c>
      <c r="E5673">
        <v>0</v>
      </c>
      <c r="F5673">
        <v>0</v>
      </c>
      <c r="G5673">
        <v>0</v>
      </c>
      <c r="H5673">
        <f>_xlfn.XLOOKUP(FACT_IMPORTS[[#This Row],[hts_6]],DIM_PRODUCTS[hts_6],DIM_PRODUCTS[hts_4],,,)</f>
        <v>8542</v>
      </c>
      <c r="I5673" t="str" cm="1">
        <f t="array" ref="I5673">_xlfn.XLOOKUP(FACT_IMPORTS[[#This Row],[country_name]],DIM_COUNTRY[[#All],[Column2]],DIM_COUNTRY[[#All],[Column3]],,,)</f>
        <v>Major_Non-USMCA_Non-China</v>
      </c>
    </row>
    <row r="5674" spans="1:9" x14ac:dyDescent="0.4">
      <c r="A5674" t="s">
        <v>68</v>
      </c>
      <c r="B5674" s="1">
        <v>45383</v>
      </c>
      <c r="C5674">
        <v>854239</v>
      </c>
      <c r="D5674" t="s">
        <v>176</v>
      </c>
      <c r="E5674">
        <v>85374</v>
      </c>
      <c r="F5674">
        <v>44</v>
      </c>
      <c r="G5674">
        <v>1177</v>
      </c>
      <c r="H5674">
        <f>_xlfn.XLOOKUP(FACT_IMPORTS[[#This Row],[hts_6]],DIM_PRODUCTS[hts_6],DIM_PRODUCTS[hts_4],,,)</f>
        <v>8542</v>
      </c>
      <c r="I5674" t="str" cm="1">
        <f t="array" ref="I5674">_xlfn.XLOOKUP(FACT_IMPORTS[[#This Row],[country_name]],DIM_COUNTRY[[#All],[Column2]],DIM_COUNTRY[[#All],[Column3]],,,)</f>
        <v>Major_Non-USMCA_Non-China</v>
      </c>
    </row>
    <row r="5675" spans="1:9" x14ac:dyDescent="0.4">
      <c r="A5675" t="s">
        <v>68</v>
      </c>
      <c r="B5675" s="1">
        <v>45383</v>
      </c>
      <c r="C5675">
        <v>854290</v>
      </c>
      <c r="D5675" t="s">
        <v>176</v>
      </c>
      <c r="E5675">
        <v>0</v>
      </c>
      <c r="F5675">
        <v>0</v>
      </c>
      <c r="G5675">
        <v>0</v>
      </c>
      <c r="H5675">
        <f>_xlfn.XLOOKUP(FACT_IMPORTS[[#This Row],[hts_6]],DIM_PRODUCTS[hts_6],DIM_PRODUCTS[hts_4],,,)</f>
        <v>8542</v>
      </c>
      <c r="I5675" t="str" cm="1">
        <f t="array" ref="I5675">_xlfn.XLOOKUP(FACT_IMPORTS[[#This Row],[country_name]],DIM_COUNTRY[[#All],[Column2]],DIM_COUNTRY[[#All],[Column3]],,,)</f>
        <v>Major_Non-USMCA_Non-China</v>
      </c>
    </row>
    <row r="5676" spans="1:9" x14ac:dyDescent="0.4">
      <c r="A5676" t="s">
        <v>68</v>
      </c>
      <c r="B5676" s="1">
        <v>45383</v>
      </c>
      <c r="C5676">
        <v>854430</v>
      </c>
      <c r="D5676" t="s">
        <v>176</v>
      </c>
      <c r="E5676">
        <v>229711</v>
      </c>
      <c r="F5676">
        <v>13774</v>
      </c>
      <c r="G5676">
        <v>2591</v>
      </c>
      <c r="H5676">
        <f>_xlfn.XLOOKUP(FACT_IMPORTS[[#This Row],[hts_6]],DIM_PRODUCTS[hts_6],DIM_PRODUCTS[hts_4],,,)</f>
        <v>8544</v>
      </c>
      <c r="I5676" t="str" cm="1">
        <f t="array" ref="I5676">_xlfn.XLOOKUP(FACT_IMPORTS[[#This Row],[country_name]],DIM_COUNTRY[[#All],[Column2]],DIM_COUNTRY[[#All],[Column3]],,,)</f>
        <v>Major_Non-USMCA_Non-China</v>
      </c>
    </row>
    <row r="5677" spans="1:9" x14ac:dyDescent="0.4">
      <c r="A5677" t="s">
        <v>68</v>
      </c>
      <c r="B5677" s="1">
        <v>45383</v>
      </c>
      <c r="C5677">
        <v>870790</v>
      </c>
      <c r="D5677" t="s">
        <v>176</v>
      </c>
      <c r="E5677">
        <v>0</v>
      </c>
      <c r="F5677">
        <v>0</v>
      </c>
      <c r="G5677">
        <v>0</v>
      </c>
      <c r="H5677">
        <f>_xlfn.XLOOKUP(FACT_IMPORTS[[#This Row],[hts_6]],DIM_PRODUCTS[hts_6],DIM_PRODUCTS[hts_4],,,)</f>
        <v>8707</v>
      </c>
      <c r="I5677" t="str" cm="1">
        <f t="array" ref="I5677">_xlfn.XLOOKUP(FACT_IMPORTS[[#This Row],[country_name]],DIM_COUNTRY[[#All],[Column2]],DIM_COUNTRY[[#All],[Column3]],,,)</f>
        <v>Major_Non-USMCA_Non-China</v>
      </c>
    </row>
    <row r="5678" spans="1:9" x14ac:dyDescent="0.4">
      <c r="A5678" t="s">
        <v>68</v>
      </c>
      <c r="B5678" s="1">
        <v>45383</v>
      </c>
      <c r="C5678">
        <v>870810</v>
      </c>
      <c r="D5678" t="s">
        <v>176</v>
      </c>
      <c r="E5678">
        <v>78121</v>
      </c>
      <c r="F5678">
        <v>25606</v>
      </c>
      <c r="G5678">
        <v>3881</v>
      </c>
      <c r="H5678">
        <f>_xlfn.XLOOKUP(FACT_IMPORTS[[#This Row],[hts_6]],DIM_PRODUCTS[hts_6],DIM_PRODUCTS[hts_4],,,)</f>
        <v>8708</v>
      </c>
      <c r="I5678" t="str" cm="1">
        <f t="array" ref="I5678">_xlfn.XLOOKUP(FACT_IMPORTS[[#This Row],[country_name]],DIM_COUNTRY[[#All],[Column2]],DIM_COUNTRY[[#All],[Column3]],,,)</f>
        <v>Major_Non-USMCA_Non-China</v>
      </c>
    </row>
    <row r="5679" spans="1:9" x14ac:dyDescent="0.4">
      <c r="A5679" t="s">
        <v>68</v>
      </c>
      <c r="B5679" s="1">
        <v>45383</v>
      </c>
      <c r="C5679">
        <v>870821</v>
      </c>
      <c r="D5679" t="s">
        <v>176</v>
      </c>
      <c r="E5679">
        <v>2893</v>
      </c>
      <c r="F5679">
        <v>92</v>
      </c>
      <c r="G5679">
        <v>11</v>
      </c>
      <c r="H5679">
        <f>_xlfn.XLOOKUP(FACT_IMPORTS[[#This Row],[hts_6]],DIM_PRODUCTS[hts_6],DIM_PRODUCTS[hts_4],,,)</f>
        <v>8708</v>
      </c>
      <c r="I5679" t="str" cm="1">
        <f t="array" ref="I5679">_xlfn.XLOOKUP(FACT_IMPORTS[[#This Row],[country_name]],DIM_COUNTRY[[#All],[Column2]],DIM_COUNTRY[[#All],[Column3]],,,)</f>
        <v>Major_Non-USMCA_Non-China</v>
      </c>
    </row>
    <row r="5680" spans="1:9" x14ac:dyDescent="0.4">
      <c r="A5680" t="s">
        <v>68</v>
      </c>
      <c r="B5680" s="1">
        <v>45383</v>
      </c>
      <c r="C5680">
        <v>870822</v>
      </c>
      <c r="D5680" t="s">
        <v>176</v>
      </c>
      <c r="E5680">
        <v>0</v>
      </c>
      <c r="F5680">
        <v>0</v>
      </c>
      <c r="G5680">
        <v>0</v>
      </c>
      <c r="H5680">
        <f>_xlfn.XLOOKUP(FACT_IMPORTS[[#This Row],[hts_6]],DIM_PRODUCTS[hts_6],DIM_PRODUCTS[hts_4],,,)</f>
        <v>8708</v>
      </c>
      <c r="I5680" t="str" cm="1">
        <f t="array" ref="I5680">_xlfn.XLOOKUP(FACT_IMPORTS[[#This Row],[country_name]],DIM_COUNTRY[[#All],[Column2]],DIM_COUNTRY[[#All],[Column3]],,,)</f>
        <v>Major_Non-USMCA_Non-China</v>
      </c>
    </row>
    <row r="5681" spans="1:9" x14ac:dyDescent="0.4">
      <c r="A5681" t="s">
        <v>68</v>
      </c>
      <c r="B5681" s="1">
        <v>45383</v>
      </c>
      <c r="C5681">
        <v>870829</v>
      </c>
      <c r="D5681" t="s">
        <v>176</v>
      </c>
      <c r="E5681">
        <v>1362385</v>
      </c>
      <c r="F5681">
        <v>380527</v>
      </c>
      <c r="G5681">
        <v>67153</v>
      </c>
      <c r="H5681">
        <f>_xlfn.XLOOKUP(FACT_IMPORTS[[#This Row],[hts_6]],DIM_PRODUCTS[hts_6],DIM_PRODUCTS[hts_4],,,)</f>
        <v>8708</v>
      </c>
      <c r="I5681" t="str" cm="1">
        <f t="array" ref="I5681">_xlfn.XLOOKUP(FACT_IMPORTS[[#This Row],[country_name]],DIM_COUNTRY[[#All],[Column2]],DIM_COUNTRY[[#All],[Column3]],,,)</f>
        <v>Major_Non-USMCA_Non-China</v>
      </c>
    </row>
    <row r="5682" spans="1:9" x14ac:dyDescent="0.4">
      <c r="A5682" t="s">
        <v>68</v>
      </c>
      <c r="B5682" s="1">
        <v>45383</v>
      </c>
      <c r="C5682">
        <v>870830</v>
      </c>
      <c r="D5682" t="s">
        <v>176</v>
      </c>
      <c r="E5682">
        <v>144167</v>
      </c>
      <c r="F5682">
        <v>23001</v>
      </c>
      <c r="G5682">
        <v>16354</v>
      </c>
      <c r="H5682">
        <f>_xlfn.XLOOKUP(FACT_IMPORTS[[#This Row],[hts_6]],DIM_PRODUCTS[hts_6],DIM_PRODUCTS[hts_4],,,)</f>
        <v>8708</v>
      </c>
      <c r="I5682" t="str" cm="1">
        <f t="array" ref="I5682">_xlfn.XLOOKUP(FACT_IMPORTS[[#This Row],[country_name]],DIM_COUNTRY[[#All],[Column2]],DIM_COUNTRY[[#All],[Column3]],,,)</f>
        <v>Major_Non-USMCA_Non-China</v>
      </c>
    </row>
    <row r="5683" spans="1:9" x14ac:dyDescent="0.4">
      <c r="A5683" t="s">
        <v>68</v>
      </c>
      <c r="B5683" s="1">
        <v>45383</v>
      </c>
      <c r="C5683">
        <v>870840</v>
      </c>
      <c r="D5683" t="s">
        <v>176</v>
      </c>
      <c r="E5683">
        <v>87119483</v>
      </c>
      <c r="F5683">
        <v>1062487</v>
      </c>
      <c r="G5683">
        <v>155042</v>
      </c>
      <c r="H5683">
        <f>_xlfn.XLOOKUP(FACT_IMPORTS[[#This Row],[hts_6]],DIM_PRODUCTS[hts_6],DIM_PRODUCTS[hts_4],,,)</f>
        <v>8708</v>
      </c>
      <c r="I5683" t="str" cm="1">
        <f t="array" ref="I5683">_xlfn.XLOOKUP(FACT_IMPORTS[[#This Row],[country_name]],DIM_COUNTRY[[#All],[Column2]],DIM_COUNTRY[[#All],[Column3]],,,)</f>
        <v>Major_Non-USMCA_Non-China</v>
      </c>
    </row>
    <row r="5684" spans="1:9" x14ac:dyDescent="0.4">
      <c r="A5684" t="s">
        <v>68</v>
      </c>
      <c r="B5684" s="1">
        <v>45383</v>
      </c>
      <c r="C5684">
        <v>870850</v>
      </c>
      <c r="D5684" t="s">
        <v>176</v>
      </c>
      <c r="E5684">
        <v>10762776</v>
      </c>
      <c r="F5684">
        <v>488552</v>
      </c>
      <c r="G5684">
        <v>145135</v>
      </c>
      <c r="H5684">
        <f>_xlfn.XLOOKUP(FACT_IMPORTS[[#This Row],[hts_6]],DIM_PRODUCTS[hts_6],DIM_PRODUCTS[hts_4],,,)</f>
        <v>8708</v>
      </c>
      <c r="I5684" t="str" cm="1">
        <f t="array" ref="I5684">_xlfn.XLOOKUP(FACT_IMPORTS[[#This Row],[country_name]],DIM_COUNTRY[[#All],[Column2]],DIM_COUNTRY[[#All],[Column3]],,,)</f>
        <v>Major_Non-USMCA_Non-China</v>
      </c>
    </row>
    <row r="5685" spans="1:9" x14ac:dyDescent="0.4">
      <c r="A5685" t="s">
        <v>68</v>
      </c>
      <c r="B5685" s="1">
        <v>45383</v>
      </c>
      <c r="C5685">
        <v>870870</v>
      </c>
      <c r="D5685" t="s">
        <v>176</v>
      </c>
      <c r="E5685">
        <v>4262</v>
      </c>
      <c r="F5685">
        <v>16</v>
      </c>
      <c r="G5685">
        <v>2003</v>
      </c>
      <c r="H5685">
        <f>_xlfn.XLOOKUP(FACT_IMPORTS[[#This Row],[hts_6]],DIM_PRODUCTS[hts_6],DIM_PRODUCTS[hts_4],,,)</f>
        <v>8708</v>
      </c>
      <c r="I5685" t="str" cm="1">
        <f t="array" ref="I5685">_xlfn.XLOOKUP(FACT_IMPORTS[[#This Row],[country_name]],DIM_COUNTRY[[#All],[Column2]],DIM_COUNTRY[[#All],[Column3]],,,)</f>
        <v>Major_Non-USMCA_Non-China</v>
      </c>
    </row>
    <row r="5686" spans="1:9" x14ac:dyDescent="0.4">
      <c r="A5686" t="s">
        <v>68</v>
      </c>
      <c r="B5686" s="1">
        <v>45383</v>
      </c>
      <c r="C5686">
        <v>870880</v>
      </c>
      <c r="D5686" t="s">
        <v>176</v>
      </c>
      <c r="E5686">
        <v>1961900</v>
      </c>
      <c r="F5686">
        <v>754809</v>
      </c>
      <c r="G5686">
        <v>38914</v>
      </c>
      <c r="H5686">
        <f>_xlfn.XLOOKUP(FACT_IMPORTS[[#This Row],[hts_6]],DIM_PRODUCTS[hts_6],DIM_PRODUCTS[hts_4],,,)</f>
        <v>8708</v>
      </c>
      <c r="I5686" t="str" cm="1">
        <f t="array" ref="I5686">_xlfn.XLOOKUP(FACT_IMPORTS[[#This Row],[country_name]],DIM_COUNTRY[[#All],[Column2]],DIM_COUNTRY[[#All],[Column3]],,,)</f>
        <v>Major_Non-USMCA_Non-China</v>
      </c>
    </row>
    <row r="5687" spans="1:9" x14ac:dyDescent="0.4">
      <c r="A5687" t="s">
        <v>68</v>
      </c>
      <c r="B5687" s="1">
        <v>45383</v>
      </c>
      <c r="C5687">
        <v>870891</v>
      </c>
      <c r="D5687" t="s">
        <v>176</v>
      </c>
      <c r="E5687">
        <v>16441</v>
      </c>
      <c r="F5687">
        <v>241</v>
      </c>
      <c r="G5687">
        <v>416</v>
      </c>
      <c r="H5687">
        <f>_xlfn.XLOOKUP(FACT_IMPORTS[[#This Row],[hts_6]],DIM_PRODUCTS[hts_6],DIM_PRODUCTS[hts_4],,,)</f>
        <v>8708</v>
      </c>
      <c r="I5687" t="str" cm="1">
        <f t="array" ref="I5687">_xlfn.XLOOKUP(FACT_IMPORTS[[#This Row],[country_name]],DIM_COUNTRY[[#All],[Column2]],DIM_COUNTRY[[#All],[Column3]],,,)</f>
        <v>Major_Non-USMCA_Non-China</v>
      </c>
    </row>
    <row r="5688" spans="1:9" x14ac:dyDescent="0.4">
      <c r="A5688" t="s">
        <v>68</v>
      </c>
      <c r="B5688" s="1">
        <v>45383</v>
      </c>
      <c r="C5688">
        <v>870892</v>
      </c>
      <c r="D5688" t="s">
        <v>176</v>
      </c>
      <c r="E5688">
        <v>271176</v>
      </c>
      <c r="F5688">
        <v>102901</v>
      </c>
      <c r="G5688">
        <v>25502</v>
      </c>
      <c r="H5688">
        <f>_xlfn.XLOOKUP(FACT_IMPORTS[[#This Row],[hts_6]],DIM_PRODUCTS[hts_6],DIM_PRODUCTS[hts_4],,,)</f>
        <v>8708</v>
      </c>
      <c r="I5688" t="str" cm="1">
        <f t="array" ref="I5688">_xlfn.XLOOKUP(FACT_IMPORTS[[#This Row],[country_name]],DIM_COUNTRY[[#All],[Column2]],DIM_COUNTRY[[#All],[Column3]],,,)</f>
        <v>Major_Non-USMCA_Non-China</v>
      </c>
    </row>
    <row r="5689" spans="1:9" x14ac:dyDescent="0.4">
      <c r="A5689" t="s">
        <v>68</v>
      </c>
      <c r="B5689" s="1">
        <v>45383</v>
      </c>
      <c r="C5689">
        <v>870893</v>
      </c>
      <c r="D5689" t="s">
        <v>176</v>
      </c>
      <c r="E5689">
        <v>883814</v>
      </c>
      <c r="F5689">
        <v>2725</v>
      </c>
      <c r="G5689">
        <v>10806</v>
      </c>
      <c r="H5689">
        <f>_xlfn.XLOOKUP(FACT_IMPORTS[[#This Row],[hts_6]],DIM_PRODUCTS[hts_6],DIM_PRODUCTS[hts_4],,,)</f>
        <v>8708</v>
      </c>
      <c r="I5689" t="str" cm="1">
        <f t="array" ref="I5689">_xlfn.XLOOKUP(FACT_IMPORTS[[#This Row],[country_name]],DIM_COUNTRY[[#All],[Column2]],DIM_COUNTRY[[#All],[Column3]],,,)</f>
        <v>Major_Non-USMCA_Non-China</v>
      </c>
    </row>
    <row r="5690" spans="1:9" x14ac:dyDescent="0.4">
      <c r="A5690" t="s">
        <v>68</v>
      </c>
      <c r="B5690" s="1">
        <v>45383</v>
      </c>
      <c r="C5690">
        <v>870894</v>
      </c>
      <c r="D5690" t="s">
        <v>176</v>
      </c>
      <c r="E5690">
        <v>341421</v>
      </c>
      <c r="F5690">
        <v>17675</v>
      </c>
      <c r="G5690">
        <v>11343</v>
      </c>
      <c r="H5690">
        <f>_xlfn.XLOOKUP(FACT_IMPORTS[[#This Row],[hts_6]],DIM_PRODUCTS[hts_6],DIM_PRODUCTS[hts_4],,,)</f>
        <v>8708</v>
      </c>
      <c r="I5690" t="str" cm="1">
        <f t="array" ref="I5690">_xlfn.XLOOKUP(FACT_IMPORTS[[#This Row],[country_name]],DIM_COUNTRY[[#All],[Column2]],DIM_COUNTRY[[#All],[Column3]],,,)</f>
        <v>Major_Non-USMCA_Non-China</v>
      </c>
    </row>
    <row r="5691" spans="1:9" x14ac:dyDescent="0.4">
      <c r="A5691" t="s">
        <v>68</v>
      </c>
      <c r="B5691" s="1">
        <v>45383</v>
      </c>
      <c r="C5691">
        <v>870895</v>
      </c>
      <c r="D5691" t="s">
        <v>176</v>
      </c>
      <c r="E5691">
        <v>0</v>
      </c>
      <c r="F5691">
        <v>0</v>
      </c>
      <c r="G5691">
        <v>0</v>
      </c>
      <c r="H5691">
        <f>_xlfn.XLOOKUP(FACT_IMPORTS[[#This Row],[hts_6]],DIM_PRODUCTS[hts_6],DIM_PRODUCTS[hts_4],,,)</f>
        <v>8708</v>
      </c>
      <c r="I5691" t="str" cm="1">
        <f t="array" ref="I5691">_xlfn.XLOOKUP(FACT_IMPORTS[[#This Row],[country_name]],DIM_COUNTRY[[#All],[Column2]],DIM_COUNTRY[[#All],[Column3]],,,)</f>
        <v>Major_Non-USMCA_Non-China</v>
      </c>
    </row>
    <row r="5692" spans="1:9" x14ac:dyDescent="0.4">
      <c r="A5692" t="s">
        <v>68</v>
      </c>
      <c r="B5692" s="1">
        <v>45383</v>
      </c>
      <c r="C5692">
        <v>870899</v>
      </c>
      <c r="D5692" t="s">
        <v>176</v>
      </c>
      <c r="E5692">
        <v>3767749</v>
      </c>
      <c r="F5692">
        <v>548254</v>
      </c>
      <c r="G5692">
        <v>50218</v>
      </c>
      <c r="H5692">
        <f>_xlfn.XLOOKUP(FACT_IMPORTS[[#This Row],[hts_6]],DIM_PRODUCTS[hts_6],DIM_PRODUCTS[hts_4],,,)</f>
        <v>8708</v>
      </c>
      <c r="I5692" t="str" cm="1">
        <f t="array" ref="I5692">_xlfn.XLOOKUP(FACT_IMPORTS[[#This Row],[country_name]],DIM_COUNTRY[[#All],[Column2]],DIM_COUNTRY[[#All],[Column3]],,,)</f>
        <v>Major_Non-USMCA_Non-China</v>
      </c>
    </row>
    <row r="5693" spans="1:9" x14ac:dyDescent="0.4">
      <c r="A5693" t="s">
        <v>68</v>
      </c>
      <c r="B5693" s="1">
        <v>45383</v>
      </c>
      <c r="C5693">
        <v>940120</v>
      </c>
      <c r="D5693" t="s">
        <v>176</v>
      </c>
      <c r="E5693">
        <v>240067</v>
      </c>
      <c r="F5693">
        <v>142</v>
      </c>
      <c r="G5693">
        <v>4586</v>
      </c>
      <c r="H5693">
        <f>_xlfn.XLOOKUP(FACT_IMPORTS[[#This Row],[hts_6]],DIM_PRODUCTS[hts_6],DIM_PRODUCTS[hts_4],,,)</f>
        <v>9401</v>
      </c>
      <c r="I5693" t="str" cm="1">
        <f t="array" ref="I5693">_xlfn.XLOOKUP(FACT_IMPORTS[[#This Row],[country_name]],DIM_COUNTRY[[#All],[Column2]],DIM_COUNTRY[[#All],[Column3]],,,)</f>
        <v>Major_Non-USMCA_Non-China</v>
      </c>
    </row>
    <row r="5694" spans="1:9" x14ac:dyDescent="0.4">
      <c r="A5694" t="s">
        <v>68</v>
      </c>
      <c r="B5694" s="1">
        <v>45413</v>
      </c>
      <c r="C5694">
        <v>392630</v>
      </c>
      <c r="D5694" t="s">
        <v>176</v>
      </c>
      <c r="E5694">
        <v>115616</v>
      </c>
      <c r="F5694">
        <v>44977</v>
      </c>
      <c r="G5694">
        <v>3209</v>
      </c>
      <c r="H5694">
        <f>_xlfn.XLOOKUP(FACT_IMPORTS[[#This Row],[hts_6]],DIM_PRODUCTS[hts_6],DIM_PRODUCTS[hts_4],,,)</f>
        <v>3926</v>
      </c>
      <c r="I5694" t="str" cm="1">
        <f t="array" ref="I5694">_xlfn.XLOOKUP(FACT_IMPORTS[[#This Row],[country_name]],DIM_COUNTRY[[#All],[Column2]],DIM_COUNTRY[[#All],[Column3]],,,)</f>
        <v>Major_Non-USMCA_Non-China</v>
      </c>
    </row>
    <row r="5695" spans="1:9" x14ac:dyDescent="0.4">
      <c r="A5695" t="s">
        <v>68</v>
      </c>
      <c r="B5695" s="1">
        <v>45413</v>
      </c>
      <c r="C5695">
        <v>401110</v>
      </c>
      <c r="D5695" t="s">
        <v>176</v>
      </c>
      <c r="E5695">
        <v>471087</v>
      </c>
      <c r="F5695">
        <v>5441</v>
      </c>
      <c r="G5695">
        <v>1878</v>
      </c>
      <c r="H5695">
        <f>_xlfn.XLOOKUP(FACT_IMPORTS[[#This Row],[hts_6]],DIM_PRODUCTS[hts_6],DIM_PRODUCTS[hts_4],,,)</f>
        <v>4011</v>
      </c>
      <c r="I5695" t="str" cm="1">
        <f t="array" ref="I5695">_xlfn.XLOOKUP(FACT_IMPORTS[[#This Row],[country_name]],DIM_COUNTRY[[#All],[Column2]],DIM_COUNTRY[[#All],[Column3]],,,)</f>
        <v>Major_Non-USMCA_Non-China</v>
      </c>
    </row>
    <row r="5696" spans="1:9" x14ac:dyDescent="0.4">
      <c r="A5696" t="s">
        <v>68</v>
      </c>
      <c r="B5696" s="1">
        <v>45413</v>
      </c>
      <c r="C5696">
        <v>401120</v>
      </c>
      <c r="D5696" t="s">
        <v>176</v>
      </c>
      <c r="E5696">
        <v>27785</v>
      </c>
      <c r="F5696">
        <v>185</v>
      </c>
      <c r="G5696">
        <v>35</v>
      </c>
      <c r="H5696">
        <f>_xlfn.XLOOKUP(FACT_IMPORTS[[#This Row],[hts_6]],DIM_PRODUCTS[hts_6],DIM_PRODUCTS[hts_4],,,)</f>
        <v>4011</v>
      </c>
      <c r="I5696" t="str" cm="1">
        <f t="array" ref="I5696">_xlfn.XLOOKUP(FACT_IMPORTS[[#This Row],[country_name]],DIM_COUNTRY[[#All],[Column2]],DIM_COUNTRY[[#All],[Column3]],,,)</f>
        <v>Major_Non-USMCA_Non-China</v>
      </c>
    </row>
    <row r="5697" spans="1:9" x14ac:dyDescent="0.4">
      <c r="A5697" t="s">
        <v>68</v>
      </c>
      <c r="B5697" s="1">
        <v>45413</v>
      </c>
      <c r="C5697">
        <v>401190</v>
      </c>
      <c r="D5697" t="s">
        <v>176</v>
      </c>
      <c r="E5697">
        <v>0</v>
      </c>
      <c r="F5697">
        <v>0</v>
      </c>
      <c r="G5697">
        <v>0</v>
      </c>
      <c r="H5697">
        <f>_xlfn.XLOOKUP(FACT_IMPORTS[[#This Row],[hts_6]],DIM_PRODUCTS[hts_6],DIM_PRODUCTS[hts_4],,,)</f>
        <v>4011</v>
      </c>
      <c r="I5697" t="str" cm="1">
        <f t="array" ref="I5697">_xlfn.XLOOKUP(FACT_IMPORTS[[#This Row],[country_name]],DIM_COUNTRY[[#All],[Column2]],DIM_COUNTRY[[#All],[Column3]],,,)</f>
        <v>Major_Non-USMCA_Non-China</v>
      </c>
    </row>
    <row r="5698" spans="1:9" x14ac:dyDescent="0.4">
      <c r="A5698" t="s">
        <v>68</v>
      </c>
      <c r="B5698" s="1">
        <v>45413</v>
      </c>
      <c r="C5698">
        <v>700711</v>
      </c>
      <c r="D5698" t="s">
        <v>176</v>
      </c>
      <c r="E5698">
        <v>0</v>
      </c>
      <c r="F5698">
        <v>0</v>
      </c>
      <c r="G5698">
        <v>0</v>
      </c>
      <c r="H5698">
        <f>_xlfn.XLOOKUP(FACT_IMPORTS[[#This Row],[hts_6]],DIM_PRODUCTS[hts_6],DIM_PRODUCTS[hts_4],,,)</f>
        <v>7007</v>
      </c>
      <c r="I5698" t="str" cm="1">
        <f t="array" ref="I5698">_xlfn.XLOOKUP(FACT_IMPORTS[[#This Row],[country_name]],DIM_COUNTRY[[#All],[Column2]],DIM_COUNTRY[[#All],[Column3]],,,)</f>
        <v>Major_Non-USMCA_Non-China</v>
      </c>
    </row>
    <row r="5699" spans="1:9" x14ac:dyDescent="0.4">
      <c r="A5699" t="s">
        <v>68</v>
      </c>
      <c r="B5699" s="1">
        <v>45413</v>
      </c>
      <c r="C5699">
        <v>700721</v>
      </c>
      <c r="D5699" t="s">
        <v>176</v>
      </c>
      <c r="E5699">
        <v>15742</v>
      </c>
      <c r="F5699">
        <v>12</v>
      </c>
      <c r="G5699">
        <v>63</v>
      </c>
      <c r="H5699">
        <f>_xlfn.XLOOKUP(FACT_IMPORTS[[#This Row],[hts_6]],DIM_PRODUCTS[hts_6],DIM_PRODUCTS[hts_4],,,)</f>
        <v>7007</v>
      </c>
      <c r="I5699" t="str" cm="1">
        <f t="array" ref="I5699">_xlfn.XLOOKUP(FACT_IMPORTS[[#This Row],[country_name]],DIM_COUNTRY[[#All],[Column2]],DIM_COUNTRY[[#All],[Column3]],,,)</f>
        <v>Major_Non-USMCA_Non-China</v>
      </c>
    </row>
    <row r="5700" spans="1:9" x14ac:dyDescent="0.4">
      <c r="A5700" t="s">
        <v>68</v>
      </c>
      <c r="B5700" s="1">
        <v>45413</v>
      </c>
      <c r="C5700">
        <v>700910</v>
      </c>
      <c r="D5700" t="s">
        <v>176</v>
      </c>
      <c r="E5700">
        <v>0</v>
      </c>
      <c r="F5700">
        <v>0</v>
      </c>
      <c r="G5700">
        <v>0</v>
      </c>
      <c r="H5700">
        <f>_xlfn.XLOOKUP(FACT_IMPORTS[[#This Row],[hts_6]],DIM_PRODUCTS[hts_6],DIM_PRODUCTS[hts_4],,,)</f>
        <v>7009</v>
      </c>
      <c r="I5700" t="str" cm="1">
        <f t="array" ref="I5700">_xlfn.XLOOKUP(FACT_IMPORTS[[#This Row],[country_name]],DIM_COUNTRY[[#All],[Column2]],DIM_COUNTRY[[#All],[Column3]],,,)</f>
        <v>Major_Non-USMCA_Non-China</v>
      </c>
    </row>
    <row r="5701" spans="1:9" x14ac:dyDescent="0.4">
      <c r="A5701" t="s">
        <v>68</v>
      </c>
      <c r="B5701" s="1">
        <v>45413</v>
      </c>
      <c r="C5701">
        <v>732010</v>
      </c>
      <c r="D5701" t="s">
        <v>176</v>
      </c>
      <c r="E5701">
        <v>13264</v>
      </c>
      <c r="F5701">
        <v>70</v>
      </c>
      <c r="G5701">
        <v>798</v>
      </c>
      <c r="H5701">
        <f>_xlfn.XLOOKUP(FACT_IMPORTS[[#This Row],[hts_6]],DIM_PRODUCTS[hts_6],DIM_PRODUCTS[hts_4],,,)</f>
        <v>7320</v>
      </c>
      <c r="I5701" t="str" cm="1">
        <f t="array" ref="I5701">_xlfn.XLOOKUP(FACT_IMPORTS[[#This Row],[country_name]],DIM_COUNTRY[[#All],[Column2]],DIM_COUNTRY[[#All],[Column3]],,,)</f>
        <v>Major_Non-USMCA_Non-China</v>
      </c>
    </row>
    <row r="5702" spans="1:9" x14ac:dyDescent="0.4">
      <c r="A5702" t="s">
        <v>68</v>
      </c>
      <c r="B5702" s="1">
        <v>45413</v>
      </c>
      <c r="C5702">
        <v>830230</v>
      </c>
      <c r="D5702" t="s">
        <v>176</v>
      </c>
      <c r="E5702">
        <v>346631</v>
      </c>
      <c r="F5702">
        <v>98755</v>
      </c>
      <c r="G5702">
        <v>33043</v>
      </c>
      <c r="H5702">
        <f>_xlfn.XLOOKUP(FACT_IMPORTS[[#This Row],[hts_6]],DIM_PRODUCTS[hts_6],DIM_PRODUCTS[hts_4],,,)</f>
        <v>8302</v>
      </c>
      <c r="I5702" t="str" cm="1">
        <f t="array" ref="I5702">_xlfn.XLOOKUP(FACT_IMPORTS[[#This Row],[country_name]],DIM_COUNTRY[[#All],[Column2]],DIM_COUNTRY[[#All],[Column3]],,,)</f>
        <v>Major_Non-USMCA_Non-China</v>
      </c>
    </row>
    <row r="5703" spans="1:9" x14ac:dyDescent="0.4">
      <c r="A5703" t="s">
        <v>68</v>
      </c>
      <c r="B5703" s="1">
        <v>45413</v>
      </c>
      <c r="C5703">
        <v>840731</v>
      </c>
      <c r="D5703" t="s">
        <v>176</v>
      </c>
      <c r="E5703">
        <v>0</v>
      </c>
      <c r="F5703">
        <v>0</v>
      </c>
      <c r="G5703">
        <v>0</v>
      </c>
      <c r="H5703">
        <f>_xlfn.XLOOKUP(FACT_IMPORTS[[#This Row],[hts_6]],DIM_PRODUCTS[hts_6],DIM_PRODUCTS[hts_4],,,)</f>
        <v>8407</v>
      </c>
      <c r="I5703" t="str" cm="1">
        <f t="array" ref="I5703">_xlfn.XLOOKUP(FACT_IMPORTS[[#This Row],[country_name]],DIM_COUNTRY[[#All],[Column2]],DIM_COUNTRY[[#All],[Column3]],,,)</f>
        <v>Major_Non-USMCA_Non-China</v>
      </c>
    </row>
    <row r="5704" spans="1:9" x14ac:dyDescent="0.4">
      <c r="A5704" t="s">
        <v>68</v>
      </c>
      <c r="B5704" s="1">
        <v>45413</v>
      </c>
      <c r="C5704">
        <v>840734</v>
      </c>
      <c r="D5704" t="s">
        <v>176</v>
      </c>
      <c r="E5704">
        <v>8004</v>
      </c>
      <c r="F5704">
        <v>2</v>
      </c>
      <c r="G5704">
        <v>78</v>
      </c>
      <c r="H5704">
        <f>_xlfn.XLOOKUP(FACT_IMPORTS[[#This Row],[hts_6]],DIM_PRODUCTS[hts_6],DIM_PRODUCTS[hts_4],,,)</f>
        <v>8407</v>
      </c>
      <c r="I5704" t="str" cm="1">
        <f t="array" ref="I5704">_xlfn.XLOOKUP(FACT_IMPORTS[[#This Row],[country_name]],DIM_COUNTRY[[#All],[Column2]],DIM_COUNTRY[[#All],[Column3]],,,)</f>
        <v>Major_Non-USMCA_Non-China</v>
      </c>
    </row>
    <row r="5705" spans="1:9" x14ac:dyDescent="0.4">
      <c r="A5705" t="s">
        <v>68</v>
      </c>
      <c r="B5705" s="1">
        <v>45413</v>
      </c>
      <c r="C5705">
        <v>840790</v>
      </c>
      <c r="D5705" t="s">
        <v>176</v>
      </c>
      <c r="E5705">
        <v>0</v>
      </c>
      <c r="F5705">
        <v>0</v>
      </c>
      <c r="G5705">
        <v>0</v>
      </c>
      <c r="H5705">
        <f>_xlfn.XLOOKUP(FACT_IMPORTS[[#This Row],[hts_6]],DIM_PRODUCTS[hts_6],DIM_PRODUCTS[hts_4],,,)</f>
        <v>8407</v>
      </c>
      <c r="I5705" t="str" cm="1">
        <f t="array" ref="I5705">_xlfn.XLOOKUP(FACT_IMPORTS[[#This Row],[country_name]],DIM_COUNTRY[[#All],[Column2]],DIM_COUNTRY[[#All],[Column3]],,,)</f>
        <v>Major_Non-USMCA_Non-China</v>
      </c>
    </row>
    <row r="5706" spans="1:9" x14ac:dyDescent="0.4">
      <c r="A5706" t="s">
        <v>68</v>
      </c>
      <c r="B5706" s="1">
        <v>45413</v>
      </c>
      <c r="C5706">
        <v>840820</v>
      </c>
      <c r="D5706" t="s">
        <v>176</v>
      </c>
      <c r="E5706">
        <v>30142</v>
      </c>
      <c r="F5706">
        <v>1</v>
      </c>
      <c r="G5706">
        <v>100</v>
      </c>
      <c r="H5706">
        <f>_xlfn.XLOOKUP(FACT_IMPORTS[[#This Row],[hts_6]],DIM_PRODUCTS[hts_6],DIM_PRODUCTS[hts_4],,,)</f>
        <v>8408</v>
      </c>
      <c r="I5706" t="str" cm="1">
        <f t="array" ref="I5706">_xlfn.XLOOKUP(FACT_IMPORTS[[#This Row],[country_name]],DIM_COUNTRY[[#All],[Column2]],DIM_COUNTRY[[#All],[Column3]],,,)</f>
        <v>Major_Non-USMCA_Non-China</v>
      </c>
    </row>
    <row r="5707" spans="1:9" x14ac:dyDescent="0.4">
      <c r="A5707" t="s">
        <v>68</v>
      </c>
      <c r="B5707" s="1">
        <v>45413</v>
      </c>
      <c r="C5707">
        <v>840890</v>
      </c>
      <c r="D5707" t="s">
        <v>176</v>
      </c>
      <c r="E5707">
        <v>197721</v>
      </c>
      <c r="F5707">
        <v>14</v>
      </c>
      <c r="G5707">
        <v>9352</v>
      </c>
      <c r="H5707">
        <f>_xlfn.XLOOKUP(FACT_IMPORTS[[#This Row],[hts_6]],DIM_PRODUCTS[hts_6],DIM_PRODUCTS[hts_4],,,)</f>
        <v>8408</v>
      </c>
      <c r="I5707" t="str" cm="1">
        <f t="array" ref="I5707">_xlfn.XLOOKUP(FACT_IMPORTS[[#This Row],[country_name]],DIM_COUNTRY[[#All],[Column2]],DIM_COUNTRY[[#All],[Column3]],,,)</f>
        <v>Major_Non-USMCA_Non-China</v>
      </c>
    </row>
    <row r="5708" spans="1:9" x14ac:dyDescent="0.4">
      <c r="A5708" t="s">
        <v>68</v>
      </c>
      <c r="B5708" s="1">
        <v>45413</v>
      </c>
      <c r="C5708">
        <v>840991</v>
      </c>
      <c r="D5708" t="s">
        <v>176</v>
      </c>
      <c r="E5708">
        <v>737805</v>
      </c>
      <c r="F5708">
        <v>51833</v>
      </c>
      <c r="G5708">
        <v>14938</v>
      </c>
      <c r="H5708">
        <f>_xlfn.XLOOKUP(FACT_IMPORTS[[#This Row],[hts_6]],DIM_PRODUCTS[hts_6],DIM_PRODUCTS[hts_4],,,)</f>
        <v>8409</v>
      </c>
      <c r="I5708" t="str" cm="1">
        <f t="array" ref="I5708">_xlfn.XLOOKUP(FACT_IMPORTS[[#This Row],[country_name]],DIM_COUNTRY[[#All],[Column2]],DIM_COUNTRY[[#All],[Column3]],,,)</f>
        <v>Major_Non-USMCA_Non-China</v>
      </c>
    </row>
    <row r="5709" spans="1:9" x14ac:dyDescent="0.4">
      <c r="A5709" t="s">
        <v>68</v>
      </c>
      <c r="B5709" s="1">
        <v>45413</v>
      </c>
      <c r="C5709">
        <v>840999</v>
      </c>
      <c r="D5709" t="s">
        <v>176</v>
      </c>
      <c r="E5709">
        <v>22000614</v>
      </c>
      <c r="F5709">
        <v>2854716</v>
      </c>
      <c r="G5709">
        <v>407645</v>
      </c>
      <c r="H5709">
        <f>_xlfn.XLOOKUP(FACT_IMPORTS[[#This Row],[hts_6]],DIM_PRODUCTS[hts_6],DIM_PRODUCTS[hts_4],,,)</f>
        <v>8409</v>
      </c>
      <c r="I5709" t="str" cm="1">
        <f t="array" ref="I5709">_xlfn.XLOOKUP(FACT_IMPORTS[[#This Row],[country_name]],DIM_COUNTRY[[#All],[Column2]],DIM_COUNTRY[[#All],[Column3]],,,)</f>
        <v>Major_Non-USMCA_Non-China</v>
      </c>
    </row>
    <row r="5710" spans="1:9" x14ac:dyDescent="0.4">
      <c r="A5710" t="s">
        <v>68</v>
      </c>
      <c r="B5710" s="1">
        <v>45413</v>
      </c>
      <c r="C5710">
        <v>841330</v>
      </c>
      <c r="D5710" t="s">
        <v>176</v>
      </c>
      <c r="E5710">
        <v>7860227</v>
      </c>
      <c r="F5710">
        <v>53275</v>
      </c>
      <c r="G5710">
        <v>19189</v>
      </c>
      <c r="H5710">
        <f>_xlfn.XLOOKUP(FACT_IMPORTS[[#This Row],[hts_6]],DIM_PRODUCTS[hts_6],DIM_PRODUCTS[hts_4],,,)</f>
        <v>8413</v>
      </c>
      <c r="I5710" t="str" cm="1">
        <f t="array" ref="I5710">_xlfn.XLOOKUP(FACT_IMPORTS[[#This Row],[country_name]],DIM_COUNTRY[[#All],[Column2]],DIM_COUNTRY[[#All],[Column3]],,,)</f>
        <v>Major_Non-USMCA_Non-China</v>
      </c>
    </row>
    <row r="5711" spans="1:9" x14ac:dyDescent="0.4">
      <c r="A5711" t="s">
        <v>68</v>
      </c>
      <c r="B5711" s="1">
        <v>45413</v>
      </c>
      <c r="C5711">
        <v>841520</v>
      </c>
      <c r="D5711" t="s">
        <v>176</v>
      </c>
      <c r="E5711">
        <v>0</v>
      </c>
      <c r="F5711">
        <v>0</v>
      </c>
      <c r="G5711">
        <v>0</v>
      </c>
      <c r="H5711">
        <f>_xlfn.XLOOKUP(FACT_IMPORTS[[#This Row],[hts_6]],DIM_PRODUCTS[hts_6],DIM_PRODUCTS[hts_4],,,)</f>
        <v>8415</v>
      </c>
      <c r="I5711" t="str" cm="1">
        <f t="array" ref="I5711">_xlfn.XLOOKUP(FACT_IMPORTS[[#This Row],[country_name]],DIM_COUNTRY[[#All],[Column2]],DIM_COUNTRY[[#All],[Column3]],,,)</f>
        <v>Major_Non-USMCA_Non-China</v>
      </c>
    </row>
    <row r="5712" spans="1:9" x14ac:dyDescent="0.4">
      <c r="A5712" t="s">
        <v>68</v>
      </c>
      <c r="B5712" s="1">
        <v>45413</v>
      </c>
      <c r="C5712">
        <v>842132</v>
      </c>
      <c r="D5712" t="s">
        <v>176</v>
      </c>
      <c r="E5712">
        <v>358629</v>
      </c>
      <c r="F5712">
        <v>633</v>
      </c>
      <c r="G5712">
        <v>1823</v>
      </c>
      <c r="H5712">
        <f>_xlfn.XLOOKUP(FACT_IMPORTS[[#This Row],[hts_6]],DIM_PRODUCTS[hts_6],DIM_PRODUCTS[hts_4],,,)</f>
        <v>8421</v>
      </c>
      <c r="I5712" t="str" cm="1">
        <f t="array" ref="I5712">_xlfn.XLOOKUP(FACT_IMPORTS[[#This Row],[country_name]],DIM_COUNTRY[[#All],[Column2]],DIM_COUNTRY[[#All],[Column3]],,,)</f>
        <v>Major_Non-USMCA_Non-China</v>
      </c>
    </row>
    <row r="5713" spans="1:9" x14ac:dyDescent="0.4">
      <c r="A5713" t="s">
        <v>68</v>
      </c>
      <c r="B5713" s="1">
        <v>45413</v>
      </c>
      <c r="C5713">
        <v>848210</v>
      </c>
      <c r="D5713" t="s">
        <v>176</v>
      </c>
      <c r="E5713">
        <v>332034</v>
      </c>
      <c r="F5713">
        <v>6407</v>
      </c>
      <c r="G5713">
        <v>3628</v>
      </c>
      <c r="H5713">
        <f>_xlfn.XLOOKUP(FACT_IMPORTS[[#This Row],[hts_6]],DIM_PRODUCTS[hts_6],DIM_PRODUCTS[hts_4],,,)</f>
        <v>8482</v>
      </c>
      <c r="I5713" t="str" cm="1">
        <f t="array" ref="I5713">_xlfn.XLOOKUP(FACT_IMPORTS[[#This Row],[country_name]],DIM_COUNTRY[[#All],[Column2]],DIM_COUNTRY[[#All],[Column3]],,,)</f>
        <v>Major_Non-USMCA_Non-China</v>
      </c>
    </row>
    <row r="5714" spans="1:9" x14ac:dyDescent="0.4">
      <c r="A5714" t="s">
        <v>68</v>
      </c>
      <c r="B5714" s="1">
        <v>45413</v>
      </c>
      <c r="C5714">
        <v>848220</v>
      </c>
      <c r="D5714" t="s">
        <v>176</v>
      </c>
      <c r="E5714">
        <v>55292</v>
      </c>
      <c r="F5714">
        <v>5027</v>
      </c>
      <c r="G5714">
        <v>3249</v>
      </c>
      <c r="H5714">
        <f>_xlfn.XLOOKUP(FACT_IMPORTS[[#This Row],[hts_6]],DIM_PRODUCTS[hts_6],DIM_PRODUCTS[hts_4],,,)</f>
        <v>8482</v>
      </c>
      <c r="I5714" t="str" cm="1">
        <f t="array" ref="I5714">_xlfn.XLOOKUP(FACT_IMPORTS[[#This Row],[country_name]],DIM_COUNTRY[[#All],[Column2]],DIM_COUNTRY[[#All],[Column3]],,,)</f>
        <v>Major_Non-USMCA_Non-China</v>
      </c>
    </row>
    <row r="5715" spans="1:9" x14ac:dyDescent="0.4">
      <c r="A5715" t="s">
        <v>68</v>
      </c>
      <c r="B5715" s="1">
        <v>45413</v>
      </c>
      <c r="C5715">
        <v>848310</v>
      </c>
      <c r="D5715" t="s">
        <v>176</v>
      </c>
      <c r="E5715">
        <v>2756907</v>
      </c>
      <c r="F5715">
        <v>18897</v>
      </c>
      <c r="G5715">
        <v>25313</v>
      </c>
      <c r="H5715">
        <f>_xlfn.XLOOKUP(FACT_IMPORTS[[#This Row],[hts_6]],DIM_PRODUCTS[hts_6],DIM_PRODUCTS[hts_4],,,)</f>
        <v>8483</v>
      </c>
      <c r="I5715" t="str" cm="1">
        <f t="array" ref="I5715">_xlfn.XLOOKUP(FACT_IMPORTS[[#This Row],[country_name]],DIM_COUNTRY[[#All],[Column2]],DIM_COUNTRY[[#All],[Column3]],,,)</f>
        <v>Major_Non-USMCA_Non-China</v>
      </c>
    </row>
    <row r="5716" spans="1:9" x14ac:dyDescent="0.4">
      <c r="A5716" t="s">
        <v>68</v>
      </c>
      <c r="B5716" s="1">
        <v>45413</v>
      </c>
      <c r="C5716">
        <v>850131</v>
      </c>
      <c r="D5716" t="s">
        <v>176</v>
      </c>
      <c r="E5716">
        <v>300499</v>
      </c>
      <c r="F5716">
        <v>2758</v>
      </c>
      <c r="G5716">
        <v>838</v>
      </c>
      <c r="H5716">
        <f>_xlfn.XLOOKUP(FACT_IMPORTS[[#This Row],[hts_6]],DIM_PRODUCTS[hts_6],DIM_PRODUCTS[hts_4],,,)</f>
        <v>8501</v>
      </c>
      <c r="I5716" t="str" cm="1">
        <f t="array" ref="I5716">_xlfn.XLOOKUP(FACT_IMPORTS[[#This Row],[country_name]],DIM_COUNTRY[[#All],[Column2]],DIM_COUNTRY[[#All],[Column3]],,,)</f>
        <v>Major_Non-USMCA_Non-China</v>
      </c>
    </row>
    <row r="5717" spans="1:9" x14ac:dyDescent="0.4">
      <c r="A5717" t="s">
        <v>68</v>
      </c>
      <c r="B5717" s="1">
        <v>45413</v>
      </c>
      <c r="C5717">
        <v>850132</v>
      </c>
      <c r="D5717" t="s">
        <v>176</v>
      </c>
      <c r="E5717">
        <v>69846</v>
      </c>
      <c r="F5717">
        <v>14</v>
      </c>
      <c r="G5717">
        <v>298</v>
      </c>
      <c r="H5717">
        <f>_xlfn.XLOOKUP(FACT_IMPORTS[[#This Row],[hts_6]],DIM_PRODUCTS[hts_6],DIM_PRODUCTS[hts_4],,,)</f>
        <v>8501</v>
      </c>
      <c r="I5717" t="str" cm="1">
        <f t="array" ref="I5717">_xlfn.XLOOKUP(FACT_IMPORTS[[#This Row],[country_name]],DIM_COUNTRY[[#All],[Column2]],DIM_COUNTRY[[#All],[Column3]],,,)</f>
        <v>Major_Non-USMCA_Non-China</v>
      </c>
    </row>
    <row r="5718" spans="1:9" x14ac:dyDescent="0.4">
      <c r="A5718" t="s">
        <v>68</v>
      </c>
      <c r="B5718" s="1">
        <v>45413</v>
      </c>
      <c r="C5718">
        <v>850133</v>
      </c>
      <c r="D5718" t="s">
        <v>176</v>
      </c>
      <c r="E5718">
        <v>0</v>
      </c>
      <c r="F5718">
        <v>0</v>
      </c>
      <c r="G5718">
        <v>0</v>
      </c>
      <c r="H5718">
        <f>_xlfn.XLOOKUP(FACT_IMPORTS[[#This Row],[hts_6]],DIM_PRODUCTS[hts_6],DIM_PRODUCTS[hts_4],,,)</f>
        <v>8501</v>
      </c>
      <c r="I5718" t="str" cm="1">
        <f t="array" ref="I5718">_xlfn.XLOOKUP(FACT_IMPORTS[[#This Row],[country_name]],DIM_COUNTRY[[#All],[Column2]],DIM_COUNTRY[[#All],[Column3]],,,)</f>
        <v>Major_Non-USMCA_Non-China</v>
      </c>
    </row>
    <row r="5719" spans="1:9" x14ac:dyDescent="0.4">
      <c r="A5719" t="s">
        <v>68</v>
      </c>
      <c r="B5719" s="1">
        <v>45413</v>
      </c>
      <c r="C5719">
        <v>850134</v>
      </c>
      <c r="D5719" t="s">
        <v>176</v>
      </c>
      <c r="E5719">
        <v>0</v>
      </c>
      <c r="F5719">
        <v>0</v>
      </c>
      <c r="G5719">
        <v>0</v>
      </c>
      <c r="H5719">
        <f>_xlfn.XLOOKUP(FACT_IMPORTS[[#This Row],[hts_6]],DIM_PRODUCTS[hts_6],DIM_PRODUCTS[hts_4],,,)</f>
        <v>8501</v>
      </c>
      <c r="I5719" t="str" cm="1">
        <f t="array" ref="I5719">_xlfn.XLOOKUP(FACT_IMPORTS[[#This Row],[country_name]],DIM_COUNTRY[[#All],[Column2]],DIM_COUNTRY[[#All],[Column3]],,,)</f>
        <v>Major_Non-USMCA_Non-China</v>
      </c>
    </row>
    <row r="5720" spans="1:9" x14ac:dyDescent="0.4">
      <c r="A5720" t="s">
        <v>68</v>
      </c>
      <c r="B5720" s="1">
        <v>45413</v>
      </c>
      <c r="C5720">
        <v>850152</v>
      </c>
      <c r="D5720" t="s">
        <v>176</v>
      </c>
      <c r="E5720">
        <v>589633</v>
      </c>
      <c r="F5720">
        <v>1062</v>
      </c>
      <c r="G5720">
        <v>24801</v>
      </c>
      <c r="H5720">
        <f>_xlfn.XLOOKUP(FACT_IMPORTS[[#This Row],[hts_6]],DIM_PRODUCTS[hts_6],DIM_PRODUCTS[hts_4],,,)</f>
        <v>8501</v>
      </c>
      <c r="I5720" t="str" cm="1">
        <f t="array" ref="I5720">_xlfn.XLOOKUP(FACT_IMPORTS[[#This Row],[country_name]],DIM_COUNTRY[[#All],[Column2]],DIM_COUNTRY[[#All],[Column3]],,,)</f>
        <v>Major_Non-USMCA_Non-China</v>
      </c>
    </row>
    <row r="5721" spans="1:9" x14ac:dyDescent="0.4">
      <c r="A5721" t="s">
        <v>68</v>
      </c>
      <c r="B5721" s="1">
        <v>45413</v>
      </c>
      <c r="C5721">
        <v>850153</v>
      </c>
      <c r="D5721" t="s">
        <v>176</v>
      </c>
      <c r="E5721">
        <v>217690</v>
      </c>
      <c r="F5721">
        <v>58</v>
      </c>
      <c r="G5721">
        <v>7680</v>
      </c>
      <c r="H5721">
        <f>_xlfn.XLOOKUP(FACT_IMPORTS[[#This Row],[hts_6]],DIM_PRODUCTS[hts_6],DIM_PRODUCTS[hts_4],,,)</f>
        <v>8501</v>
      </c>
      <c r="I5721" t="str" cm="1">
        <f t="array" ref="I5721">_xlfn.XLOOKUP(FACT_IMPORTS[[#This Row],[country_name]],DIM_COUNTRY[[#All],[Column2]],DIM_COUNTRY[[#All],[Column3]],,,)</f>
        <v>Major_Non-USMCA_Non-China</v>
      </c>
    </row>
    <row r="5722" spans="1:9" x14ac:dyDescent="0.4">
      <c r="A5722" t="s">
        <v>68</v>
      </c>
      <c r="B5722" s="1">
        <v>45413</v>
      </c>
      <c r="C5722">
        <v>850161</v>
      </c>
      <c r="D5722" t="s">
        <v>176</v>
      </c>
      <c r="E5722">
        <v>4053</v>
      </c>
      <c r="F5722">
        <v>63</v>
      </c>
      <c r="G5722">
        <v>950</v>
      </c>
      <c r="H5722">
        <f>_xlfn.XLOOKUP(FACT_IMPORTS[[#This Row],[hts_6]],DIM_PRODUCTS[hts_6],DIM_PRODUCTS[hts_4],,,)</f>
        <v>8501</v>
      </c>
      <c r="I5722" t="str" cm="1">
        <f t="array" ref="I5722">_xlfn.XLOOKUP(FACT_IMPORTS[[#This Row],[country_name]],DIM_COUNTRY[[#All],[Column2]],DIM_COUNTRY[[#All],[Column3]],,,)</f>
        <v>Major_Non-USMCA_Non-China</v>
      </c>
    </row>
    <row r="5723" spans="1:9" x14ac:dyDescent="0.4">
      <c r="A5723" t="s">
        <v>68</v>
      </c>
      <c r="B5723" s="1">
        <v>45413</v>
      </c>
      <c r="C5723">
        <v>850440</v>
      </c>
      <c r="D5723" t="s">
        <v>176</v>
      </c>
      <c r="E5723">
        <v>604134</v>
      </c>
      <c r="F5723">
        <v>2044</v>
      </c>
      <c r="G5723">
        <v>23501</v>
      </c>
      <c r="H5723">
        <f>_xlfn.XLOOKUP(FACT_IMPORTS[[#This Row],[hts_6]],DIM_PRODUCTS[hts_6],DIM_PRODUCTS[hts_4],,,)</f>
        <v>8504</v>
      </c>
      <c r="I5723" t="str" cm="1">
        <f t="array" ref="I5723">_xlfn.XLOOKUP(FACT_IMPORTS[[#This Row],[country_name]],DIM_COUNTRY[[#All],[Column2]],DIM_COUNTRY[[#All],[Column3]],,,)</f>
        <v>Major_Non-USMCA_Non-China</v>
      </c>
    </row>
    <row r="5724" spans="1:9" x14ac:dyDescent="0.4">
      <c r="A5724" t="s">
        <v>68</v>
      </c>
      <c r="B5724" s="1">
        <v>45413</v>
      </c>
      <c r="C5724">
        <v>850710</v>
      </c>
      <c r="D5724" t="s">
        <v>176</v>
      </c>
      <c r="E5724">
        <v>0</v>
      </c>
      <c r="F5724">
        <v>0</v>
      </c>
      <c r="G5724">
        <v>0</v>
      </c>
      <c r="H5724">
        <f>_xlfn.XLOOKUP(FACT_IMPORTS[[#This Row],[hts_6]],DIM_PRODUCTS[hts_6],DIM_PRODUCTS[hts_4],,,)</f>
        <v>8507</v>
      </c>
      <c r="I5724" t="str" cm="1">
        <f t="array" ref="I5724">_xlfn.XLOOKUP(FACT_IMPORTS[[#This Row],[country_name]],DIM_COUNTRY[[#All],[Column2]],DIM_COUNTRY[[#All],[Column3]],,,)</f>
        <v>Major_Non-USMCA_Non-China</v>
      </c>
    </row>
    <row r="5725" spans="1:9" x14ac:dyDescent="0.4">
      <c r="A5725" t="s">
        <v>68</v>
      </c>
      <c r="B5725" s="1">
        <v>45413</v>
      </c>
      <c r="C5725">
        <v>850760</v>
      </c>
      <c r="D5725" t="s">
        <v>176</v>
      </c>
      <c r="E5725">
        <v>1272189</v>
      </c>
      <c r="F5725">
        <v>565</v>
      </c>
      <c r="G5725">
        <v>4064</v>
      </c>
      <c r="H5725">
        <f>_xlfn.XLOOKUP(FACT_IMPORTS[[#This Row],[hts_6]],DIM_PRODUCTS[hts_6],DIM_PRODUCTS[hts_4],,,)</f>
        <v>8507</v>
      </c>
      <c r="I5725" t="str" cm="1">
        <f t="array" ref="I5725">_xlfn.XLOOKUP(FACT_IMPORTS[[#This Row],[country_name]],DIM_COUNTRY[[#All],[Column2]],DIM_COUNTRY[[#All],[Column3]],,,)</f>
        <v>Major_Non-USMCA_Non-China</v>
      </c>
    </row>
    <row r="5726" spans="1:9" x14ac:dyDescent="0.4">
      <c r="A5726" t="s">
        <v>68</v>
      </c>
      <c r="B5726" s="1">
        <v>45413</v>
      </c>
      <c r="C5726">
        <v>850790</v>
      </c>
      <c r="D5726" t="s">
        <v>176</v>
      </c>
      <c r="E5726">
        <v>396728</v>
      </c>
      <c r="F5726">
        <v>31961</v>
      </c>
      <c r="G5726">
        <v>12174</v>
      </c>
      <c r="H5726">
        <f>_xlfn.XLOOKUP(FACT_IMPORTS[[#This Row],[hts_6]],DIM_PRODUCTS[hts_6],DIM_PRODUCTS[hts_4],,,)</f>
        <v>8507</v>
      </c>
      <c r="I5726" t="str" cm="1">
        <f t="array" ref="I5726">_xlfn.XLOOKUP(FACT_IMPORTS[[#This Row],[country_name]],DIM_COUNTRY[[#All],[Column2]],DIM_COUNTRY[[#All],[Column3]],,,)</f>
        <v>Major_Non-USMCA_Non-China</v>
      </c>
    </row>
    <row r="5727" spans="1:9" x14ac:dyDescent="0.4">
      <c r="A5727" t="s">
        <v>68</v>
      </c>
      <c r="B5727" s="1">
        <v>45413</v>
      </c>
      <c r="C5727">
        <v>851110</v>
      </c>
      <c r="D5727" t="s">
        <v>176</v>
      </c>
      <c r="E5727">
        <v>0</v>
      </c>
      <c r="F5727">
        <v>0</v>
      </c>
      <c r="G5727">
        <v>0</v>
      </c>
      <c r="H5727">
        <f>_xlfn.XLOOKUP(FACT_IMPORTS[[#This Row],[hts_6]],DIM_PRODUCTS[hts_6],DIM_PRODUCTS[hts_4],,,)</f>
        <v>8511</v>
      </c>
      <c r="I5727" t="str" cm="1">
        <f t="array" ref="I5727">_xlfn.XLOOKUP(FACT_IMPORTS[[#This Row],[country_name]],DIM_COUNTRY[[#All],[Column2]],DIM_COUNTRY[[#All],[Column3]],,,)</f>
        <v>Major_Non-USMCA_Non-China</v>
      </c>
    </row>
    <row r="5728" spans="1:9" x14ac:dyDescent="0.4">
      <c r="A5728" t="s">
        <v>68</v>
      </c>
      <c r="B5728" s="1">
        <v>45413</v>
      </c>
      <c r="C5728">
        <v>851120</v>
      </c>
      <c r="D5728" t="s">
        <v>176</v>
      </c>
      <c r="E5728">
        <v>0</v>
      </c>
      <c r="F5728">
        <v>0</v>
      </c>
      <c r="G5728">
        <v>0</v>
      </c>
      <c r="H5728">
        <f>_xlfn.XLOOKUP(FACT_IMPORTS[[#This Row],[hts_6]],DIM_PRODUCTS[hts_6],DIM_PRODUCTS[hts_4],,,)</f>
        <v>8511</v>
      </c>
      <c r="I5728" t="str" cm="1">
        <f t="array" ref="I5728">_xlfn.XLOOKUP(FACT_IMPORTS[[#This Row],[country_name]],DIM_COUNTRY[[#All],[Column2]],DIM_COUNTRY[[#All],[Column3]],,,)</f>
        <v>Major_Non-USMCA_Non-China</v>
      </c>
    </row>
    <row r="5729" spans="1:9" x14ac:dyDescent="0.4">
      <c r="A5729" t="s">
        <v>68</v>
      </c>
      <c r="B5729" s="1">
        <v>45413</v>
      </c>
      <c r="C5729">
        <v>851130</v>
      </c>
      <c r="D5729" t="s">
        <v>176</v>
      </c>
      <c r="E5729">
        <v>0</v>
      </c>
      <c r="F5729">
        <v>0</v>
      </c>
      <c r="G5729">
        <v>0</v>
      </c>
      <c r="H5729">
        <f>_xlfn.XLOOKUP(FACT_IMPORTS[[#This Row],[hts_6]],DIM_PRODUCTS[hts_6],DIM_PRODUCTS[hts_4],,,)</f>
        <v>8511</v>
      </c>
      <c r="I5729" t="str" cm="1">
        <f t="array" ref="I5729">_xlfn.XLOOKUP(FACT_IMPORTS[[#This Row],[country_name]],DIM_COUNTRY[[#All],[Column2]],DIM_COUNTRY[[#All],[Column3]],,,)</f>
        <v>Major_Non-USMCA_Non-China</v>
      </c>
    </row>
    <row r="5730" spans="1:9" x14ac:dyDescent="0.4">
      <c r="A5730" t="s">
        <v>68</v>
      </c>
      <c r="B5730" s="1">
        <v>45413</v>
      </c>
      <c r="C5730">
        <v>851140</v>
      </c>
      <c r="D5730" t="s">
        <v>176</v>
      </c>
      <c r="E5730">
        <v>0</v>
      </c>
      <c r="F5730">
        <v>0</v>
      </c>
      <c r="G5730">
        <v>0</v>
      </c>
      <c r="H5730">
        <f>_xlfn.XLOOKUP(FACT_IMPORTS[[#This Row],[hts_6]],DIM_PRODUCTS[hts_6],DIM_PRODUCTS[hts_4],,,)</f>
        <v>8511</v>
      </c>
      <c r="I5730" t="str" cm="1">
        <f t="array" ref="I5730">_xlfn.XLOOKUP(FACT_IMPORTS[[#This Row],[country_name]],DIM_COUNTRY[[#All],[Column2]],DIM_COUNTRY[[#All],[Column3]],,,)</f>
        <v>Major_Non-USMCA_Non-China</v>
      </c>
    </row>
    <row r="5731" spans="1:9" x14ac:dyDescent="0.4">
      <c r="A5731" t="s">
        <v>68</v>
      </c>
      <c r="B5731" s="1">
        <v>45413</v>
      </c>
      <c r="C5731">
        <v>851150</v>
      </c>
      <c r="D5731" t="s">
        <v>176</v>
      </c>
      <c r="E5731">
        <v>0</v>
      </c>
      <c r="F5731">
        <v>0</v>
      </c>
      <c r="G5731">
        <v>0</v>
      </c>
      <c r="H5731">
        <f>_xlfn.XLOOKUP(FACT_IMPORTS[[#This Row],[hts_6]],DIM_PRODUCTS[hts_6],DIM_PRODUCTS[hts_4],,,)</f>
        <v>8511</v>
      </c>
      <c r="I5731" t="str" cm="1">
        <f t="array" ref="I5731">_xlfn.XLOOKUP(FACT_IMPORTS[[#This Row],[country_name]],DIM_COUNTRY[[#All],[Column2]],DIM_COUNTRY[[#All],[Column3]],,,)</f>
        <v>Major_Non-USMCA_Non-China</v>
      </c>
    </row>
    <row r="5732" spans="1:9" x14ac:dyDescent="0.4">
      <c r="A5732" t="s">
        <v>68</v>
      </c>
      <c r="B5732" s="1">
        <v>45413</v>
      </c>
      <c r="C5732">
        <v>851180</v>
      </c>
      <c r="D5732" t="s">
        <v>176</v>
      </c>
      <c r="E5732">
        <v>624336</v>
      </c>
      <c r="F5732">
        <v>4202</v>
      </c>
      <c r="G5732">
        <v>1548</v>
      </c>
      <c r="H5732">
        <f>_xlfn.XLOOKUP(FACT_IMPORTS[[#This Row],[hts_6]],DIM_PRODUCTS[hts_6],DIM_PRODUCTS[hts_4],,,)</f>
        <v>8511</v>
      </c>
      <c r="I5732" t="str" cm="1">
        <f t="array" ref="I5732">_xlfn.XLOOKUP(FACT_IMPORTS[[#This Row],[country_name]],DIM_COUNTRY[[#All],[Column2]],DIM_COUNTRY[[#All],[Column3]],,,)</f>
        <v>Major_Non-USMCA_Non-China</v>
      </c>
    </row>
    <row r="5733" spans="1:9" x14ac:dyDescent="0.4">
      <c r="A5733" t="s">
        <v>68</v>
      </c>
      <c r="B5733" s="1">
        <v>45413</v>
      </c>
      <c r="C5733">
        <v>851190</v>
      </c>
      <c r="D5733" t="s">
        <v>176</v>
      </c>
      <c r="E5733">
        <v>0</v>
      </c>
      <c r="F5733">
        <v>0</v>
      </c>
      <c r="G5733">
        <v>0</v>
      </c>
      <c r="H5733">
        <f>_xlfn.XLOOKUP(FACT_IMPORTS[[#This Row],[hts_6]],DIM_PRODUCTS[hts_6],DIM_PRODUCTS[hts_4],,,)</f>
        <v>8511</v>
      </c>
      <c r="I5733" t="str" cm="1">
        <f t="array" ref="I5733">_xlfn.XLOOKUP(FACT_IMPORTS[[#This Row],[country_name]],DIM_COUNTRY[[#All],[Column2]],DIM_COUNTRY[[#All],[Column3]],,,)</f>
        <v>Major_Non-USMCA_Non-China</v>
      </c>
    </row>
    <row r="5734" spans="1:9" x14ac:dyDescent="0.4">
      <c r="A5734" t="s">
        <v>68</v>
      </c>
      <c r="B5734" s="1">
        <v>45413</v>
      </c>
      <c r="C5734">
        <v>851220</v>
      </c>
      <c r="D5734" t="s">
        <v>176</v>
      </c>
      <c r="E5734">
        <v>81954</v>
      </c>
      <c r="F5734">
        <v>2748</v>
      </c>
      <c r="G5734">
        <v>591</v>
      </c>
      <c r="H5734">
        <f>_xlfn.XLOOKUP(FACT_IMPORTS[[#This Row],[hts_6]],DIM_PRODUCTS[hts_6],DIM_PRODUCTS[hts_4],,,)</f>
        <v>8512</v>
      </c>
      <c r="I5734" t="str" cm="1">
        <f t="array" ref="I5734">_xlfn.XLOOKUP(FACT_IMPORTS[[#This Row],[country_name]],DIM_COUNTRY[[#All],[Column2]],DIM_COUNTRY[[#All],[Column3]],,,)</f>
        <v>Major_Non-USMCA_Non-China</v>
      </c>
    </row>
    <row r="5735" spans="1:9" x14ac:dyDescent="0.4">
      <c r="A5735" t="s">
        <v>68</v>
      </c>
      <c r="B5735" s="1">
        <v>45413</v>
      </c>
      <c r="C5735">
        <v>851230</v>
      </c>
      <c r="D5735" t="s">
        <v>176</v>
      </c>
      <c r="E5735">
        <v>0</v>
      </c>
      <c r="F5735">
        <v>0</v>
      </c>
      <c r="G5735">
        <v>0</v>
      </c>
      <c r="H5735">
        <f>_xlfn.XLOOKUP(FACT_IMPORTS[[#This Row],[hts_6]],DIM_PRODUCTS[hts_6],DIM_PRODUCTS[hts_4],,,)</f>
        <v>8512</v>
      </c>
      <c r="I5735" t="str" cm="1">
        <f t="array" ref="I5735">_xlfn.XLOOKUP(FACT_IMPORTS[[#This Row],[country_name]],DIM_COUNTRY[[#All],[Column2]],DIM_COUNTRY[[#All],[Column3]],,,)</f>
        <v>Major_Non-USMCA_Non-China</v>
      </c>
    </row>
    <row r="5736" spans="1:9" x14ac:dyDescent="0.4">
      <c r="A5736" t="s">
        <v>68</v>
      </c>
      <c r="B5736" s="1">
        <v>45413</v>
      </c>
      <c r="C5736">
        <v>851240</v>
      </c>
      <c r="D5736" t="s">
        <v>176</v>
      </c>
      <c r="E5736">
        <v>0</v>
      </c>
      <c r="F5736">
        <v>0</v>
      </c>
      <c r="G5736">
        <v>0</v>
      </c>
      <c r="H5736">
        <f>_xlfn.XLOOKUP(FACT_IMPORTS[[#This Row],[hts_6]],DIM_PRODUCTS[hts_6],DIM_PRODUCTS[hts_4],,,)</f>
        <v>8512</v>
      </c>
      <c r="I5736" t="str" cm="1">
        <f t="array" ref="I5736">_xlfn.XLOOKUP(FACT_IMPORTS[[#This Row],[country_name]],DIM_COUNTRY[[#All],[Column2]],DIM_COUNTRY[[#All],[Column3]],,,)</f>
        <v>Major_Non-USMCA_Non-China</v>
      </c>
    </row>
    <row r="5737" spans="1:9" x14ac:dyDescent="0.4">
      <c r="A5737" t="s">
        <v>68</v>
      </c>
      <c r="B5737" s="1">
        <v>45413</v>
      </c>
      <c r="C5737">
        <v>851290</v>
      </c>
      <c r="D5737" t="s">
        <v>176</v>
      </c>
      <c r="E5737">
        <v>0</v>
      </c>
      <c r="F5737">
        <v>0</v>
      </c>
      <c r="G5737">
        <v>0</v>
      </c>
      <c r="H5737">
        <f>_xlfn.XLOOKUP(FACT_IMPORTS[[#This Row],[hts_6]],DIM_PRODUCTS[hts_6],DIM_PRODUCTS[hts_4],,,)</f>
        <v>8512</v>
      </c>
      <c r="I5737" t="str" cm="1">
        <f t="array" ref="I5737">_xlfn.XLOOKUP(FACT_IMPORTS[[#This Row],[country_name]],DIM_COUNTRY[[#All],[Column2]],DIM_COUNTRY[[#All],[Column3]],,,)</f>
        <v>Major_Non-USMCA_Non-China</v>
      </c>
    </row>
    <row r="5738" spans="1:9" x14ac:dyDescent="0.4">
      <c r="A5738" t="s">
        <v>68</v>
      </c>
      <c r="B5738" s="1">
        <v>45413</v>
      </c>
      <c r="C5738">
        <v>854231</v>
      </c>
      <c r="D5738" t="s">
        <v>176</v>
      </c>
      <c r="E5738">
        <v>33453</v>
      </c>
      <c r="F5738">
        <v>28</v>
      </c>
      <c r="G5738">
        <v>1294</v>
      </c>
      <c r="H5738">
        <f>_xlfn.XLOOKUP(FACT_IMPORTS[[#This Row],[hts_6]],DIM_PRODUCTS[hts_6],DIM_PRODUCTS[hts_4],,,)</f>
        <v>8542</v>
      </c>
      <c r="I5738" t="str" cm="1">
        <f t="array" ref="I5738">_xlfn.XLOOKUP(FACT_IMPORTS[[#This Row],[country_name]],DIM_COUNTRY[[#All],[Column2]],DIM_COUNTRY[[#All],[Column3]],,,)</f>
        <v>Major_Non-USMCA_Non-China</v>
      </c>
    </row>
    <row r="5739" spans="1:9" x14ac:dyDescent="0.4">
      <c r="A5739" t="s">
        <v>68</v>
      </c>
      <c r="B5739" s="1">
        <v>45413</v>
      </c>
      <c r="C5739">
        <v>854233</v>
      </c>
      <c r="D5739" t="s">
        <v>176</v>
      </c>
      <c r="E5739">
        <v>0</v>
      </c>
      <c r="F5739">
        <v>0</v>
      </c>
      <c r="G5739">
        <v>0</v>
      </c>
      <c r="H5739">
        <f>_xlfn.XLOOKUP(FACT_IMPORTS[[#This Row],[hts_6]],DIM_PRODUCTS[hts_6],DIM_PRODUCTS[hts_4],,,)</f>
        <v>8542</v>
      </c>
      <c r="I5739" t="str" cm="1">
        <f t="array" ref="I5739">_xlfn.XLOOKUP(FACT_IMPORTS[[#This Row],[country_name]],DIM_COUNTRY[[#All],[Column2]],DIM_COUNTRY[[#All],[Column3]],,,)</f>
        <v>Major_Non-USMCA_Non-China</v>
      </c>
    </row>
    <row r="5740" spans="1:9" x14ac:dyDescent="0.4">
      <c r="A5740" t="s">
        <v>68</v>
      </c>
      <c r="B5740" s="1">
        <v>45413</v>
      </c>
      <c r="C5740">
        <v>854239</v>
      </c>
      <c r="D5740" t="s">
        <v>176</v>
      </c>
      <c r="E5740">
        <v>84856</v>
      </c>
      <c r="F5740">
        <v>52</v>
      </c>
      <c r="G5740">
        <v>912</v>
      </c>
      <c r="H5740">
        <f>_xlfn.XLOOKUP(FACT_IMPORTS[[#This Row],[hts_6]],DIM_PRODUCTS[hts_6],DIM_PRODUCTS[hts_4],,,)</f>
        <v>8542</v>
      </c>
      <c r="I5740" t="str" cm="1">
        <f t="array" ref="I5740">_xlfn.XLOOKUP(FACT_IMPORTS[[#This Row],[country_name]],DIM_COUNTRY[[#All],[Column2]],DIM_COUNTRY[[#All],[Column3]],,,)</f>
        <v>Major_Non-USMCA_Non-China</v>
      </c>
    </row>
    <row r="5741" spans="1:9" x14ac:dyDescent="0.4">
      <c r="A5741" t="s">
        <v>68</v>
      </c>
      <c r="B5741" s="1">
        <v>45413</v>
      </c>
      <c r="C5741">
        <v>854290</v>
      </c>
      <c r="D5741" t="s">
        <v>176</v>
      </c>
      <c r="E5741">
        <v>0</v>
      </c>
      <c r="F5741">
        <v>0</v>
      </c>
      <c r="G5741">
        <v>0</v>
      </c>
      <c r="H5741">
        <f>_xlfn.XLOOKUP(FACT_IMPORTS[[#This Row],[hts_6]],DIM_PRODUCTS[hts_6],DIM_PRODUCTS[hts_4],,,)</f>
        <v>8542</v>
      </c>
      <c r="I5741" t="str" cm="1">
        <f t="array" ref="I5741">_xlfn.XLOOKUP(FACT_IMPORTS[[#This Row],[country_name]],DIM_COUNTRY[[#All],[Column2]],DIM_COUNTRY[[#All],[Column3]],,,)</f>
        <v>Major_Non-USMCA_Non-China</v>
      </c>
    </row>
    <row r="5742" spans="1:9" x14ac:dyDescent="0.4">
      <c r="A5742" t="s">
        <v>68</v>
      </c>
      <c r="B5742" s="1">
        <v>45413</v>
      </c>
      <c r="C5742">
        <v>854430</v>
      </c>
      <c r="D5742" t="s">
        <v>176</v>
      </c>
      <c r="E5742">
        <v>307691</v>
      </c>
      <c r="F5742">
        <v>12501</v>
      </c>
      <c r="G5742">
        <v>2813</v>
      </c>
      <c r="H5742">
        <f>_xlfn.XLOOKUP(FACT_IMPORTS[[#This Row],[hts_6]],DIM_PRODUCTS[hts_6],DIM_PRODUCTS[hts_4],,,)</f>
        <v>8544</v>
      </c>
      <c r="I5742" t="str" cm="1">
        <f t="array" ref="I5742">_xlfn.XLOOKUP(FACT_IMPORTS[[#This Row],[country_name]],DIM_COUNTRY[[#All],[Column2]],DIM_COUNTRY[[#All],[Column3]],,,)</f>
        <v>Major_Non-USMCA_Non-China</v>
      </c>
    </row>
    <row r="5743" spans="1:9" x14ac:dyDescent="0.4">
      <c r="A5743" t="s">
        <v>68</v>
      </c>
      <c r="B5743" s="1">
        <v>45413</v>
      </c>
      <c r="C5743">
        <v>870790</v>
      </c>
      <c r="D5743" t="s">
        <v>176</v>
      </c>
      <c r="E5743">
        <v>0</v>
      </c>
      <c r="F5743">
        <v>0</v>
      </c>
      <c r="G5743">
        <v>0</v>
      </c>
      <c r="H5743">
        <f>_xlfn.XLOOKUP(FACT_IMPORTS[[#This Row],[hts_6]],DIM_PRODUCTS[hts_6],DIM_PRODUCTS[hts_4],,,)</f>
        <v>8707</v>
      </c>
      <c r="I5743" t="str" cm="1">
        <f t="array" ref="I5743">_xlfn.XLOOKUP(FACT_IMPORTS[[#This Row],[country_name]],DIM_COUNTRY[[#All],[Column2]],DIM_COUNTRY[[#All],[Column3]],,,)</f>
        <v>Major_Non-USMCA_Non-China</v>
      </c>
    </row>
    <row r="5744" spans="1:9" x14ac:dyDescent="0.4">
      <c r="A5744" t="s">
        <v>68</v>
      </c>
      <c r="B5744" s="1">
        <v>45413</v>
      </c>
      <c r="C5744">
        <v>870810</v>
      </c>
      <c r="D5744" t="s">
        <v>176</v>
      </c>
      <c r="E5744">
        <v>65752</v>
      </c>
      <c r="F5744">
        <v>979</v>
      </c>
      <c r="G5744">
        <v>2063</v>
      </c>
      <c r="H5744">
        <f>_xlfn.XLOOKUP(FACT_IMPORTS[[#This Row],[hts_6]],DIM_PRODUCTS[hts_6],DIM_PRODUCTS[hts_4],,,)</f>
        <v>8708</v>
      </c>
      <c r="I5744" t="str" cm="1">
        <f t="array" ref="I5744">_xlfn.XLOOKUP(FACT_IMPORTS[[#This Row],[country_name]],DIM_COUNTRY[[#All],[Column2]],DIM_COUNTRY[[#All],[Column3]],,,)</f>
        <v>Major_Non-USMCA_Non-China</v>
      </c>
    </row>
    <row r="5745" spans="1:9" x14ac:dyDescent="0.4">
      <c r="A5745" t="s">
        <v>68</v>
      </c>
      <c r="B5745" s="1">
        <v>45413</v>
      </c>
      <c r="C5745">
        <v>870821</v>
      </c>
      <c r="D5745" t="s">
        <v>176</v>
      </c>
      <c r="E5745">
        <v>0</v>
      </c>
      <c r="F5745">
        <v>0</v>
      </c>
      <c r="G5745">
        <v>0</v>
      </c>
      <c r="H5745">
        <f>_xlfn.XLOOKUP(FACT_IMPORTS[[#This Row],[hts_6]],DIM_PRODUCTS[hts_6],DIM_PRODUCTS[hts_4],,,)</f>
        <v>8708</v>
      </c>
      <c r="I5745" t="str" cm="1">
        <f t="array" ref="I5745">_xlfn.XLOOKUP(FACT_IMPORTS[[#This Row],[country_name]],DIM_COUNTRY[[#All],[Column2]],DIM_COUNTRY[[#All],[Column3]],,,)</f>
        <v>Major_Non-USMCA_Non-China</v>
      </c>
    </row>
    <row r="5746" spans="1:9" x14ac:dyDescent="0.4">
      <c r="A5746" t="s">
        <v>68</v>
      </c>
      <c r="B5746" s="1">
        <v>45413</v>
      </c>
      <c r="C5746">
        <v>870822</v>
      </c>
      <c r="D5746" t="s">
        <v>176</v>
      </c>
      <c r="E5746">
        <v>0</v>
      </c>
      <c r="F5746">
        <v>0</v>
      </c>
      <c r="G5746">
        <v>0</v>
      </c>
      <c r="H5746">
        <f>_xlfn.XLOOKUP(FACT_IMPORTS[[#This Row],[hts_6]],DIM_PRODUCTS[hts_6],DIM_PRODUCTS[hts_4],,,)</f>
        <v>8708</v>
      </c>
      <c r="I5746" t="str" cm="1">
        <f t="array" ref="I5746">_xlfn.XLOOKUP(FACT_IMPORTS[[#This Row],[country_name]],DIM_COUNTRY[[#All],[Column2]],DIM_COUNTRY[[#All],[Column3]],,,)</f>
        <v>Major_Non-USMCA_Non-China</v>
      </c>
    </row>
    <row r="5747" spans="1:9" x14ac:dyDescent="0.4">
      <c r="A5747" t="s">
        <v>68</v>
      </c>
      <c r="B5747" s="1">
        <v>45413</v>
      </c>
      <c r="C5747">
        <v>870829</v>
      </c>
      <c r="D5747" t="s">
        <v>176</v>
      </c>
      <c r="E5747">
        <v>1724985</v>
      </c>
      <c r="F5747">
        <v>849542</v>
      </c>
      <c r="G5747">
        <v>46757</v>
      </c>
      <c r="H5747">
        <f>_xlfn.XLOOKUP(FACT_IMPORTS[[#This Row],[hts_6]],DIM_PRODUCTS[hts_6],DIM_PRODUCTS[hts_4],,,)</f>
        <v>8708</v>
      </c>
      <c r="I5747" t="str" cm="1">
        <f t="array" ref="I5747">_xlfn.XLOOKUP(FACT_IMPORTS[[#This Row],[country_name]],DIM_COUNTRY[[#All],[Column2]],DIM_COUNTRY[[#All],[Column3]],,,)</f>
        <v>Major_Non-USMCA_Non-China</v>
      </c>
    </row>
    <row r="5748" spans="1:9" x14ac:dyDescent="0.4">
      <c r="A5748" t="s">
        <v>68</v>
      </c>
      <c r="B5748" s="1">
        <v>45413</v>
      </c>
      <c r="C5748">
        <v>870830</v>
      </c>
      <c r="D5748" t="s">
        <v>176</v>
      </c>
      <c r="E5748">
        <v>379462</v>
      </c>
      <c r="F5748">
        <v>33238</v>
      </c>
      <c r="G5748">
        <v>7271</v>
      </c>
      <c r="H5748">
        <f>_xlfn.XLOOKUP(FACT_IMPORTS[[#This Row],[hts_6]],DIM_PRODUCTS[hts_6],DIM_PRODUCTS[hts_4],,,)</f>
        <v>8708</v>
      </c>
      <c r="I5748" t="str" cm="1">
        <f t="array" ref="I5748">_xlfn.XLOOKUP(FACT_IMPORTS[[#This Row],[country_name]],DIM_COUNTRY[[#All],[Column2]],DIM_COUNTRY[[#All],[Column3]],,,)</f>
        <v>Major_Non-USMCA_Non-China</v>
      </c>
    </row>
    <row r="5749" spans="1:9" x14ac:dyDescent="0.4">
      <c r="A5749" t="s">
        <v>68</v>
      </c>
      <c r="B5749" s="1">
        <v>45413</v>
      </c>
      <c r="C5749">
        <v>870840</v>
      </c>
      <c r="D5749" t="s">
        <v>176</v>
      </c>
      <c r="E5749">
        <v>94301377</v>
      </c>
      <c r="F5749">
        <v>887569</v>
      </c>
      <c r="G5749">
        <v>170488</v>
      </c>
      <c r="H5749">
        <f>_xlfn.XLOOKUP(FACT_IMPORTS[[#This Row],[hts_6]],DIM_PRODUCTS[hts_6],DIM_PRODUCTS[hts_4],,,)</f>
        <v>8708</v>
      </c>
      <c r="I5749" t="str" cm="1">
        <f t="array" ref="I5749">_xlfn.XLOOKUP(FACT_IMPORTS[[#This Row],[country_name]],DIM_COUNTRY[[#All],[Column2]],DIM_COUNTRY[[#All],[Column3]],,,)</f>
        <v>Major_Non-USMCA_Non-China</v>
      </c>
    </row>
    <row r="5750" spans="1:9" x14ac:dyDescent="0.4">
      <c r="A5750" t="s">
        <v>68</v>
      </c>
      <c r="B5750" s="1">
        <v>45413</v>
      </c>
      <c r="C5750">
        <v>870850</v>
      </c>
      <c r="D5750" t="s">
        <v>176</v>
      </c>
      <c r="E5750">
        <v>10900991</v>
      </c>
      <c r="F5750">
        <v>532556</v>
      </c>
      <c r="G5750">
        <v>116895</v>
      </c>
      <c r="H5750">
        <f>_xlfn.XLOOKUP(FACT_IMPORTS[[#This Row],[hts_6]],DIM_PRODUCTS[hts_6],DIM_PRODUCTS[hts_4],,,)</f>
        <v>8708</v>
      </c>
      <c r="I5750" t="str" cm="1">
        <f t="array" ref="I5750">_xlfn.XLOOKUP(FACT_IMPORTS[[#This Row],[country_name]],DIM_COUNTRY[[#All],[Column2]],DIM_COUNTRY[[#All],[Column3]],,,)</f>
        <v>Major_Non-USMCA_Non-China</v>
      </c>
    </row>
    <row r="5751" spans="1:9" x14ac:dyDescent="0.4">
      <c r="A5751" t="s">
        <v>68</v>
      </c>
      <c r="B5751" s="1">
        <v>45413</v>
      </c>
      <c r="C5751">
        <v>870870</v>
      </c>
      <c r="D5751" t="s">
        <v>176</v>
      </c>
      <c r="E5751">
        <v>6364</v>
      </c>
      <c r="F5751">
        <v>17</v>
      </c>
      <c r="G5751">
        <v>208</v>
      </c>
      <c r="H5751">
        <f>_xlfn.XLOOKUP(FACT_IMPORTS[[#This Row],[hts_6]],DIM_PRODUCTS[hts_6],DIM_PRODUCTS[hts_4],,,)</f>
        <v>8708</v>
      </c>
      <c r="I5751" t="str" cm="1">
        <f t="array" ref="I5751">_xlfn.XLOOKUP(FACT_IMPORTS[[#This Row],[country_name]],DIM_COUNTRY[[#All],[Column2]],DIM_COUNTRY[[#All],[Column3]],,,)</f>
        <v>Major_Non-USMCA_Non-China</v>
      </c>
    </row>
    <row r="5752" spans="1:9" x14ac:dyDescent="0.4">
      <c r="A5752" t="s">
        <v>68</v>
      </c>
      <c r="B5752" s="1">
        <v>45413</v>
      </c>
      <c r="C5752">
        <v>870880</v>
      </c>
      <c r="D5752" t="s">
        <v>176</v>
      </c>
      <c r="E5752">
        <v>1438094</v>
      </c>
      <c r="F5752">
        <v>530126</v>
      </c>
      <c r="G5752">
        <v>19495</v>
      </c>
      <c r="H5752">
        <f>_xlfn.XLOOKUP(FACT_IMPORTS[[#This Row],[hts_6]],DIM_PRODUCTS[hts_6],DIM_PRODUCTS[hts_4],,,)</f>
        <v>8708</v>
      </c>
      <c r="I5752" t="str" cm="1">
        <f t="array" ref="I5752">_xlfn.XLOOKUP(FACT_IMPORTS[[#This Row],[country_name]],DIM_COUNTRY[[#All],[Column2]],DIM_COUNTRY[[#All],[Column3]],,,)</f>
        <v>Major_Non-USMCA_Non-China</v>
      </c>
    </row>
    <row r="5753" spans="1:9" x14ac:dyDescent="0.4">
      <c r="A5753" t="s">
        <v>68</v>
      </c>
      <c r="B5753" s="1">
        <v>45413</v>
      </c>
      <c r="C5753">
        <v>870891</v>
      </c>
      <c r="D5753" t="s">
        <v>176</v>
      </c>
      <c r="E5753">
        <v>77355</v>
      </c>
      <c r="F5753">
        <v>279</v>
      </c>
      <c r="G5753">
        <v>3595</v>
      </c>
      <c r="H5753">
        <f>_xlfn.XLOOKUP(FACT_IMPORTS[[#This Row],[hts_6]],DIM_PRODUCTS[hts_6],DIM_PRODUCTS[hts_4],,,)</f>
        <v>8708</v>
      </c>
      <c r="I5753" t="str" cm="1">
        <f t="array" ref="I5753">_xlfn.XLOOKUP(FACT_IMPORTS[[#This Row],[country_name]],DIM_COUNTRY[[#All],[Column2]],DIM_COUNTRY[[#All],[Column3]],,,)</f>
        <v>Major_Non-USMCA_Non-China</v>
      </c>
    </row>
    <row r="5754" spans="1:9" x14ac:dyDescent="0.4">
      <c r="A5754" t="s">
        <v>68</v>
      </c>
      <c r="B5754" s="1">
        <v>45413</v>
      </c>
      <c r="C5754">
        <v>870892</v>
      </c>
      <c r="D5754" t="s">
        <v>176</v>
      </c>
      <c r="E5754">
        <v>134282</v>
      </c>
      <c r="F5754">
        <v>51158</v>
      </c>
      <c r="G5754">
        <v>5594</v>
      </c>
      <c r="H5754">
        <f>_xlfn.XLOOKUP(FACT_IMPORTS[[#This Row],[hts_6]],DIM_PRODUCTS[hts_6],DIM_PRODUCTS[hts_4],,,)</f>
        <v>8708</v>
      </c>
      <c r="I5754" t="str" cm="1">
        <f t="array" ref="I5754">_xlfn.XLOOKUP(FACT_IMPORTS[[#This Row],[country_name]],DIM_COUNTRY[[#All],[Column2]],DIM_COUNTRY[[#All],[Column3]],,,)</f>
        <v>Major_Non-USMCA_Non-China</v>
      </c>
    </row>
    <row r="5755" spans="1:9" x14ac:dyDescent="0.4">
      <c r="A5755" t="s">
        <v>68</v>
      </c>
      <c r="B5755" s="1">
        <v>45413</v>
      </c>
      <c r="C5755">
        <v>870893</v>
      </c>
      <c r="D5755" t="s">
        <v>176</v>
      </c>
      <c r="E5755">
        <v>621731</v>
      </c>
      <c r="F5755">
        <v>10239</v>
      </c>
      <c r="G5755">
        <v>13093</v>
      </c>
      <c r="H5755">
        <f>_xlfn.XLOOKUP(FACT_IMPORTS[[#This Row],[hts_6]],DIM_PRODUCTS[hts_6],DIM_PRODUCTS[hts_4],,,)</f>
        <v>8708</v>
      </c>
      <c r="I5755" t="str" cm="1">
        <f t="array" ref="I5755">_xlfn.XLOOKUP(FACT_IMPORTS[[#This Row],[country_name]],DIM_COUNTRY[[#All],[Column2]],DIM_COUNTRY[[#All],[Column3]],,,)</f>
        <v>Major_Non-USMCA_Non-China</v>
      </c>
    </row>
    <row r="5756" spans="1:9" x14ac:dyDescent="0.4">
      <c r="A5756" t="s">
        <v>68</v>
      </c>
      <c r="B5756" s="1">
        <v>45413</v>
      </c>
      <c r="C5756">
        <v>870894</v>
      </c>
      <c r="D5756" t="s">
        <v>176</v>
      </c>
      <c r="E5756">
        <v>133135</v>
      </c>
      <c r="F5756">
        <v>17551</v>
      </c>
      <c r="G5756">
        <v>7223</v>
      </c>
      <c r="H5756">
        <f>_xlfn.XLOOKUP(FACT_IMPORTS[[#This Row],[hts_6]],DIM_PRODUCTS[hts_6],DIM_PRODUCTS[hts_4],,,)</f>
        <v>8708</v>
      </c>
      <c r="I5756" t="str" cm="1">
        <f t="array" ref="I5756">_xlfn.XLOOKUP(FACT_IMPORTS[[#This Row],[country_name]],DIM_COUNTRY[[#All],[Column2]],DIM_COUNTRY[[#All],[Column3]],,,)</f>
        <v>Major_Non-USMCA_Non-China</v>
      </c>
    </row>
    <row r="5757" spans="1:9" x14ac:dyDescent="0.4">
      <c r="A5757" t="s">
        <v>68</v>
      </c>
      <c r="B5757" s="1">
        <v>45413</v>
      </c>
      <c r="C5757">
        <v>870895</v>
      </c>
      <c r="D5757" t="s">
        <v>176</v>
      </c>
      <c r="E5757">
        <v>11764</v>
      </c>
      <c r="F5757">
        <v>1297</v>
      </c>
      <c r="G5757">
        <v>1257</v>
      </c>
      <c r="H5757">
        <f>_xlfn.XLOOKUP(FACT_IMPORTS[[#This Row],[hts_6]],DIM_PRODUCTS[hts_6],DIM_PRODUCTS[hts_4],,,)</f>
        <v>8708</v>
      </c>
      <c r="I5757" t="str" cm="1">
        <f t="array" ref="I5757">_xlfn.XLOOKUP(FACT_IMPORTS[[#This Row],[country_name]],DIM_COUNTRY[[#All],[Column2]],DIM_COUNTRY[[#All],[Column3]],,,)</f>
        <v>Major_Non-USMCA_Non-China</v>
      </c>
    </row>
    <row r="5758" spans="1:9" x14ac:dyDescent="0.4">
      <c r="A5758" t="s">
        <v>68</v>
      </c>
      <c r="B5758" s="1">
        <v>45413</v>
      </c>
      <c r="C5758">
        <v>870899</v>
      </c>
      <c r="D5758" t="s">
        <v>176</v>
      </c>
      <c r="E5758">
        <v>4130415</v>
      </c>
      <c r="F5758">
        <v>649240</v>
      </c>
      <c r="G5758">
        <v>40931</v>
      </c>
      <c r="H5758">
        <f>_xlfn.XLOOKUP(FACT_IMPORTS[[#This Row],[hts_6]],DIM_PRODUCTS[hts_6],DIM_PRODUCTS[hts_4],,,)</f>
        <v>8708</v>
      </c>
      <c r="I5758" t="str" cm="1">
        <f t="array" ref="I5758">_xlfn.XLOOKUP(FACT_IMPORTS[[#This Row],[country_name]],DIM_COUNTRY[[#All],[Column2]],DIM_COUNTRY[[#All],[Column3]],,,)</f>
        <v>Major_Non-USMCA_Non-China</v>
      </c>
    </row>
    <row r="5759" spans="1:9" x14ac:dyDescent="0.4">
      <c r="A5759" t="s">
        <v>68</v>
      </c>
      <c r="B5759" s="1">
        <v>45413</v>
      </c>
      <c r="C5759">
        <v>940120</v>
      </c>
      <c r="D5759" t="s">
        <v>176</v>
      </c>
      <c r="E5759">
        <v>119878</v>
      </c>
      <c r="F5759">
        <v>114</v>
      </c>
      <c r="G5759">
        <v>4894</v>
      </c>
      <c r="H5759">
        <f>_xlfn.XLOOKUP(FACT_IMPORTS[[#This Row],[hts_6]],DIM_PRODUCTS[hts_6],DIM_PRODUCTS[hts_4],,,)</f>
        <v>9401</v>
      </c>
      <c r="I5759" t="str" cm="1">
        <f t="array" ref="I5759">_xlfn.XLOOKUP(FACT_IMPORTS[[#This Row],[country_name]],DIM_COUNTRY[[#All],[Column2]],DIM_COUNTRY[[#All],[Column3]],,,)</f>
        <v>Major_Non-USMCA_Non-China</v>
      </c>
    </row>
    <row r="5760" spans="1:9" x14ac:dyDescent="0.4">
      <c r="A5760" t="s">
        <v>68</v>
      </c>
      <c r="B5760" s="1">
        <v>45444</v>
      </c>
      <c r="C5760">
        <v>392630</v>
      </c>
      <c r="D5760" t="s">
        <v>176</v>
      </c>
      <c r="E5760">
        <v>38139</v>
      </c>
      <c r="F5760">
        <v>1972</v>
      </c>
      <c r="G5760">
        <v>1023</v>
      </c>
      <c r="H5760">
        <f>_xlfn.XLOOKUP(FACT_IMPORTS[[#This Row],[hts_6]],DIM_PRODUCTS[hts_6],DIM_PRODUCTS[hts_4],,,)</f>
        <v>3926</v>
      </c>
      <c r="I5760" t="str" cm="1">
        <f t="array" ref="I5760">_xlfn.XLOOKUP(FACT_IMPORTS[[#This Row],[country_name]],DIM_COUNTRY[[#All],[Column2]],DIM_COUNTRY[[#All],[Column3]],,,)</f>
        <v>Major_Non-USMCA_Non-China</v>
      </c>
    </row>
    <row r="5761" spans="1:9" x14ac:dyDescent="0.4">
      <c r="A5761" t="s">
        <v>68</v>
      </c>
      <c r="B5761" s="1">
        <v>45444</v>
      </c>
      <c r="C5761">
        <v>401110</v>
      </c>
      <c r="D5761" t="s">
        <v>176</v>
      </c>
      <c r="E5761">
        <v>188512</v>
      </c>
      <c r="F5761">
        <v>1589</v>
      </c>
      <c r="G5761">
        <v>2451</v>
      </c>
      <c r="H5761">
        <f>_xlfn.XLOOKUP(FACT_IMPORTS[[#This Row],[hts_6]],DIM_PRODUCTS[hts_6],DIM_PRODUCTS[hts_4],,,)</f>
        <v>4011</v>
      </c>
      <c r="I5761" t="str" cm="1">
        <f t="array" ref="I5761">_xlfn.XLOOKUP(FACT_IMPORTS[[#This Row],[country_name]],DIM_COUNTRY[[#All],[Column2]],DIM_COUNTRY[[#All],[Column3]],,,)</f>
        <v>Major_Non-USMCA_Non-China</v>
      </c>
    </row>
    <row r="5762" spans="1:9" x14ac:dyDescent="0.4">
      <c r="A5762" t="s">
        <v>68</v>
      </c>
      <c r="B5762" s="1">
        <v>45444</v>
      </c>
      <c r="C5762">
        <v>401120</v>
      </c>
      <c r="D5762" t="s">
        <v>176</v>
      </c>
      <c r="E5762">
        <v>0</v>
      </c>
      <c r="F5762">
        <v>0</v>
      </c>
      <c r="G5762">
        <v>0</v>
      </c>
      <c r="H5762">
        <f>_xlfn.XLOOKUP(FACT_IMPORTS[[#This Row],[hts_6]],DIM_PRODUCTS[hts_6],DIM_PRODUCTS[hts_4],,,)</f>
        <v>4011</v>
      </c>
      <c r="I5762" t="str" cm="1">
        <f t="array" ref="I5762">_xlfn.XLOOKUP(FACT_IMPORTS[[#This Row],[country_name]],DIM_COUNTRY[[#All],[Column2]],DIM_COUNTRY[[#All],[Column3]],,,)</f>
        <v>Major_Non-USMCA_Non-China</v>
      </c>
    </row>
    <row r="5763" spans="1:9" x14ac:dyDescent="0.4">
      <c r="A5763" t="s">
        <v>68</v>
      </c>
      <c r="B5763" s="1">
        <v>45444</v>
      </c>
      <c r="C5763">
        <v>401190</v>
      </c>
      <c r="D5763" t="s">
        <v>176</v>
      </c>
      <c r="E5763">
        <v>67983</v>
      </c>
      <c r="F5763">
        <v>2256</v>
      </c>
      <c r="G5763">
        <v>6000</v>
      </c>
      <c r="H5763">
        <f>_xlfn.XLOOKUP(FACT_IMPORTS[[#This Row],[hts_6]],DIM_PRODUCTS[hts_6],DIM_PRODUCTS[hts_4],,,)</f>
        <v>4011</v>
      </c>
      <c r="I5763" t="str" cm="1">
        <f t="array" ref="I5763">_xlfn.XLOOKUP(FACT_IMPORTS[[#This Row],[country_name]],DIM_COUNTRY[[#All],[Column2]],DIM_COUNTRY[[#All],[Column3]],,,)</f>
        <v>Major_Non-USMCA_Non-China</v>
      </c>
    </row>
    <row r="5764" spans="1:9" x14ac:dyDescent="0.4">
      <c r="A5764" t="s">
        <v>68</v>
      </c>
      <c r="B5764" s="1">
        <v>45444</v>
      </c>
      <c r="C5764">
        <v>700711</v>
      </c>
      <c r="D5764" t="s">
        <v>176</v>
      </c>
      <c r="E5764">
        <v>0</v>
      </c>
      <c r="F5764">
        <v>0</v>
      </c>
      <c r="G5764">
        <v>0</v>
      </c>
      <c r="H5764">
        <f>_xlfn.XLOOKUP(FACT_IMPORTS[[#This Row],[hts_6]],DIM_PRODUCTS[hts_6],DIM_PRODUCTS[hts_4],,,)</f>
        <v>7007</v>
      </c>
      <c r="I5764" t="str" cm="1">
        <f t="array" ref="I5764">_xlfn.XLOOKUP(FACT_IMPORTS[[#This Row],[country_name]],DIM_COUNTRY[[#All],[Column2]],DIM_COUNTRY[[#All],[Column3]],,,)</f>
        <v>Major_Non-USMCA_Non-China</v>
      </c>
    </row>
    <row r="5765" spans="1:9" x14ac:dyDescent="0.4">
      <c r="A5765" t="s">
        <v>68</v>
      </c>
      <c r="B5765" s="1">
        <v>45444</v>
      </c>
      <c r="C5765">
        <v>700721</v>
      </c>
      <c r="D5765" t="s">
        <v>176</v>
      </c>
      <c r="E5765">
        <v>0</v>
      </c>
      <c r="F5765">
        <v>0</v>
      </c>
      <c r="G5765">
        <v>0</v>
      </c>
      <c r="H5765">
        <f>_xlfn.XLOOKUP(FACT_IMPORTS[[#This Row],[hts_6]],DIM_PRODUCTS[hts_6],DIM_PRODUCTS[hts_4],,,)</f>
        <v>7007</v>
      </c>
      <c r="I5765" t="str" cm="1">
        <f t="array" ref="I5765">_xlfn.XLOOKUP(FACT_IMPORTS[[#This Row],[country_name]],DIM_COUNTRY[[#All],[Column2]],DIM_COUNTRY[[#All],[Column3]],,,)</f>
        <v>Major_Non-USMCA_Non-China</v>
      </c>
    </row>
    <row r="5766" spans="1:9" x14ac:dyDescent="0.4">
      <c r="A5766" t="s">
        <v>68</v>
      </c>
      <c r="B5766" s="1">
        <v>45444</v>
      </c>
      <c r="C5766">
        <v>700910</v>
      </c>
      <c r="D5766" t="s">
        <v>176</v>
      </c>
      <c r="E5766">
        <v>6060</v>
      </c>
      <c r="F5766">
        <v>117</v>
      </c>
      <c r="G5766">
        <v>273</v>
      </c>
      <c r="H5766">
        <f>_xlfn.XLOOKUP(FACT_IMPORTS[[#This Row],[hts_6]],DIM_PRODUCTS[hts_6],DIM_PRODUCTS[hts_4],,,)</f>
        <v>7009</v>
      </c>
      <c r="I5766" t="str" cm="1">
        <f t="array" ref="I5766">_xlfn.XLOOKUP(FACT_IMPORTS[[#This Row],[country_name]],DIM_COUNTRY[[#All],[Column2]],DIM_COUNTRY[[#All],[Column3]],,,)</f>
        <v>Major_Non-USMCA_Non-China</v>
      </c>
    </row>
    <row r="5767" spans="1:9" x14ac:dyDescent="0.4">
      <c r="A5767" t="s">
        <v>68</v>
      </c>
      <c r="B5767" s="1">
        <v>45444</v>
      </c>
      <c r="C5767">
        <v>732010</v>
      </c>
      <c r="D5767" t="s">
        <v>176</v>
      </c>
      <c r="E5767">
        <v>0</v>
      </c>
      <c r="F5767">
        <v>0</v>
      </c>
      <c r="G5767">
        <v>0</v>
      </c>
      <c r="H5767">
        <f>_xlfn.XLOOKUP(FACT_IMPORTS[[#This Row],[hts_6]],DIM_PRODUCTS[hts_6],DIM_PRODUCTS[hts_4],,,)</f>
        <v>7320</v>
      </c>
      <c r="I5767" t="str" cm="1">
        <f t="array" ref="I5767">_xlfn.XLOOKUP(FACT_IMPORTS[[#This Row],[country_name]],DIM_COUNTRY[[#All],[Column2]],DIM_COUNTRY[[#All],[Column3]],,,)</f>
        <v>Major_Non-USMCA_Non-China</v>
      </c>
    </row>
    <row r="5768" spans="1:9" x14ac:dyDescent="0.4">
      <c r="A5768" t="s">
        <v>68</v>
      </c>
      <c r="B5768" s="1">
        <v>45444</v>
      </c>
      <c r="C5768">
        <v>830230</v>
      </c>
      <c r="D5768" t="s">
        <v>176</v>
      </c>
      <c r="E5768">
        <v>233838</v>
      </c>
      <c r="F5768">
        <v>67486</v>
      </c>
      <c r="G5768">
        <v>31542</v>
      </c>
      <c r="H5768">
        <f>_xlfn.XLOOKUP(FACT_IMPORTS[[#This Row],[hts_6]],DIM_PRODUCTS[hts_6],DIM_PRODUCTS[hts_4],,,)</f>
        <v>8302</v>
      </c>
      <c r="I5768" t="str" cm="1">
        <f t="array" ref="I5768">_xlfn.XLOOKUP(FACT_IMPORTS[[#This Row],[country_name]],DIM_COUNTRY[[#All],[Column2]],DIM_COUNTRY[[#All],[Column3]],,,)</f>
        <v>Major_Non-USMCA_Non-China</v>
      </c>
    </row>
    <row r="5769" spans="1:9" x14ac:dyDescent="0.4">
      <c r="A5769" t="s">
        <v>68</v>
      </c>
      <c r="B5769" s="1">
        <v>45444</v>
      </c>
      <c r="C5769">
        <v>840731</v>
      </c>
      <c r="D5769" t="s">
        <v>176</v>
      </c>
      <c r="E5769">
        <v>9440</v>
      </c>
      <c r="F5769">
        <v>4</v>
      </c>
      <c r="G5769">
        <v>754</v>
      </c>
      <c r="H5769">
        <f>_xlfn.XLOOKUP(FACT_IMPORTS[[#This Row],[hts_6]],DIM_PRODUCTS[hts_6],DIM_PRODUCTS[hts_4],,,)</f>
        <v>8407</v>
      </c>
      <c r="I5769" t="str" cm="1">
        <f t="array" ref="I5769">_xlfn.XLOOKUP(FACT_IMPORTS[[#This Row],[country_name]],DIM_COUNTRY[[#All],[Column2]],DIM_COUNTRY[[#All],[Column3]],,,)</f>
        <v>Major_Non-USMCA_Non-China</v>
      </c>
    </row>
    <row r="5770" spans="1:9" x14ac:dyDescent="0.4">
      <c r="A5770" t="s">
        <v>68</v>
      </c>
      <c r="B5770" s="1">
        <v>45444</v>
      </c>
      <c r="C5770">
        <v>840734</v>
      </c>
      <c r="D5770" t="s">
        <v>176</v>
      </c>
      <c r="E5770">
        <v>26338</v>
      </c>
      <c r="F5770">
        <v>1</v>
      </c>
      <c r="G5770">
        <v>80</v>
      </c>
      <c r="H5770">
        <f>_xlfn.XLOOKUP(FACT_IMPORTS[[#This Row],[hts_6]],DIM_PRODUCTS[hts_6],DIM_PRODUCTS[hts_4],,,)</f>
        <v>8407</v>
      </c>
      <c r="I5770" t="str" cm="1">
        <f t="array" ref="I5770">_xlfn.XLOOKUP(FACT_IMPORTS[[#This Row],[country_name]],DIM_COUNTRY[[#All],[Column2]],DIM_COUNTRY[[#All],[Column3]],,,)</f>
        <v>Major_Non-USMCA_Non-China</v>
      </c>
    </row>
    <row r="5771" spans="1:9" x14ac:dyDescent="0.4">
      <c r="A5771" t="s">
        <v>68</v>
      </c>
      <c r="B5771" s="1">
        <v>45444</v>
      </c>
      <c r="C5771">
        <v>840790</v>
      </c>
      <c r="D5771" t="s">
        <v>176</v>
      </c>
      <c r="E5771">
        <v>0</v>
      </c>
      <c r="F5771">
        <v>0</v>
      </c>
      <c r="G5771">
        <v>0</v>
      </c>
      <c r="H5771">
        <f>_xlfn.XLOOKUP(FACT_IMPORTS[[#This Row],[hts_6]],DIM_PRODUCTS[hts_6],DIM_PRODUCTS[hts_4],,,)</f>
        <v>8407</v>
      </c>
      <c r="I5771" t="str" cm="1">
        <f t="array" ref="I5771">_xlfn.XLOOKUP(FACT_IMPORTS[[#This Row],[country_name]],DIM_COUNTRY[[#All],[Column2]],DIM_COUNTRY[[#All],[Column3]],,,)</f>
        <v>Major_Non-USMCA_Non-China</v>
      </c>
    </row>
    <row r="5772" spans="1:9" x14ac:dyDescent="0.4">
      <c r="A5772" t="s">
        <v>68</v>
      </c>
      <c r="B5772" s="1">
        <v>45444</v>
      </c>
      <c r="C5772">
        <v>840820</v>
      </c>
      <c r="D5772" t="s">
        <v>176</v>
      </c>
      <c r="E5772">
        <v>0</v>
      </c>
      <c r="F5772">
        <v>0</v>
      </c>
      <c r="G5772">
        <v>0</v>
      </c>
      <c r="H5772">
        <f>_xlfn.XLOOKUP(FACT_IMPORTS[[#This Row],[hts_6]],DIM_PRODUCTS[hts_6],DIM_PRODUCTS[hts_4],,,)</f>
        <v>8408</v>
      </c>
      <c r="I5772" t="str" cm="1">
        <f t="array" ref="I5772">_xlfn.XLOOKUP(FACT_IMPORTS[[#This Row],[country_name]],DIM_COUNTRY[[#All],[Column2]],DIM_COUNTRY[[#All],[Column3]],,,)</f>
        <v>Major_Non-USMCA_Non-China</v>
      </c>
    </row>
    <row r="5773" spans="1:9" x14ac:dyDescent="0.4">
      <c r="A5773" t="s">
        <v>68</v>
      </c>
      <c r="B5773" s="1">
        <v>45444</v>
      </c>
      <c r="C5773">
        <v>840890</v>
      </c>
      <c r="D5773" t="s">
        <v>176</v>
      </c>
      <c r="E5773">
        <v>34537</v>
      </c>
      <c r="F5773">
        <v>17</v>
      </c>
      <c r="G5773">
        <v>2599</v>
      </c>
      <c r="H5773">
        <f>_xlfn.XLOOKUP(FACT_IMPORTS[[#This Row],[hts_6]],DIM_PRODUCTS[hts_6],DIM_PRODUCTS[hts_4],,,)</f>
        <v>8408</v>
      </c>
      <c r="I5773" t="str" cm="1">
        <f t="array" ref="I5773">_xlfn.XLOOKUP(FACT_IMPORTS[[#This Row],[country_name]],DIM_COUNTRY[[#All],[Column2]],DIM_COUNTRY[[#All],[Column3]],,,)</f>
        <v>Major_Non-USMCA_Non-China</v>
      </c>
    </row>
    <row r="5774" spans="1:9" x14ac:dyDescent="0.4">
      <c r="A5774" t="s">
        <v>68</v>
      </c>
      <c r="B5774" s="1">
        <v>45444</v>
      </c>
      <c r="C5774">
        <v>840991</v>
      </c>
      <c r="D5774" t="s">
        <v>176</v>
      </c>
      <c r="E5774">
        <v>863995</v>
      </c>
      <c r="F5774">
        <v>38290</v>
      </c>
      <c r="G5774">
        <v>4044</v>
      </c>
      <c r="H5774">
        <f>_xlfn.XLOOKUP(FACT_IMPORTS[[#This Row],[hts_6]],DIM_PRODUCTS[hts_6],DIM_PRODUCTS[hts_4],,,)</f>
        <v>8409</v>
      </c>
      <c r="I5774" t="str" cm="1">
        <f t="array" ref="I5774">_xlfn.XLOOKUP(FACT_IMPORTS[[#This Row],[country_name]],DIM_COUNTRY[[#All],[Column2]],DIM_COUNTRY[[#All],[Column3]],,,)</f>
        <v>Major_Non-USMCA_Non-China</v>
      </c>
    </row>
    <row r="5775" spans="1:9" x14ac:dyDescent="0.4">
      <c r="A5775" t="s">
        <v>68</v>
      </c>
      <c r="B5775" s="1">
        <v>45444</v>
      </c>
      <c r="C5775">
        <v>840999</v>
      </c>
      <c r="D5775" t="s">
        <v>176</v>
      </c>
      <c r="E5775">
        <v>19547237</v>
      </c>
      <c r="F5775">
        <v>2593070</v>
      </c>
      <c r="G5775">
        <v>369663</v>
      </c>
      <c r="H5775">
        <f>_xlfn.XLOOKUP(FACT_IMPORTS[[#This Row],[hts_6]],DIM_PRODUCTS[hts_6],DIM_PRODUCTS[hts_4],,,)</f>
        <v>8409</v>
      </c>
      <c r="I5775" t="str" cm="1">
        <f t="array" ref="I5775">_xlfn.XLOOKUP(FACT_IMPORTS[[#This Row],[country_name]],DIM_COUNTRY[[#All],[Column2]],DIM_COUNTRY[[#All],[Column3]],,,)</f>
        <v>Major_Non-USMCA_Non-China</v>
      </c>
    </row>
    <row r="5776" spans="1:9" x14ac:dyDescent="0.4">
      <c r="A5776" t="s">
        <v>68</v>
      </c>
      <c r="B5776" s="1">
        <v>45444</v>
      </c>
      <c r="C5776">
        <v>841330</v>
      </c>
      <c r="D5776" t="s">
        <v>176</v>
      </c>
      <c r="E5776">
        <v>12382499</v>
      </c>
      <c r="F5776">
        <v>79676</v>
      </c>
      <c r="G5776">
        <v>24953</v>
      </c>
      <c r="H5776">
        <f>_xlfn.XLOOKUP(FACT_IMPORTS[[#This Row],[hts_6]],DIM_PRODUCTS[hts_6],DIM_PRODUCTS[hts_4],,,)</f>
        <v>8413</v>
      </c>
      <c r="I5776" t="str" cm="1">
        <f t="array" ref="I5776">_xlfn.XLOOKUP(FACT_IMPORTS[[#This Row],[country_name]],DIM_COUNTRY[[#All],[Column2]],DIM_COUNTRY[[#All],[Column3]],,,)</f>
        <v>Major_Non-USMCA_Non-China</v>
      </c>
    </row>
    <row r="5777" spans="1:9" x14ac:dyDescent="0.4">
      <c r="A5777" t="s">
        <v>68</v>
      </c>
      <c r="B5777" s="1">
        <v>45444</v>
      </c>
      <c r="C5777">
        <v>841520</v>
      </c>
      <c r="D5777" t="s">
        <v>176</v>
      </c>
      <c r="E5777">
        <v>0</v>
      </c>
      <c r="F5777">
        <v>0</v>
      </c>
      <c r="G5777">
        <v>0</v>
      </c>
      <c r="H5777">
        <f>_xlfn.XLOOKUP(FACT_IMPORTS[[#This Row],[hts_6]],DIM_PRODUCTS[hts_6],DIM_PRODUCTS[hts_4],,,)</f>
        <v>8415</v>
      </c>
      <c r="I5777" t="str" cm="1">
        <f t="array" ref="I5777">_xlfn.XLOOKUP(FACT_IMPORTS[[#This Row],[country_name]],DIM_COUNTRY[[#All],[Column2]],DIM_COUNTRY[[#All],[Column3]],,,)</f>
        <v>Major_Non-USMCA_Non-China</v>
      </c>
    </row>
    <row r="5778" spans="1:9" x14ac:dyDescent="0.4">
      <c r="A5778" t="s">
        <v>68</v>
      </c>
      <c r="B5778" s="1">
        <v>45444</v>
      </c>
      <c r="C5778">
        <v>842132</v>
      </c>
      <c r="D5778" t="s">
        <v>176</v>
      </c>
      <c r="E5778">
        <v>4490</v>
      </c>
      <c r="F5778">
        <v>25</v>
      </c>
      <c r="G5778">
        <v>152</v>
      </c>
      <c r="H5778">
        <f>_xlfn.XLOOKUP(FACT_IMPORTS[[#This Row],[hts_6]],DIM_PRODUCTS[hts_6],DIM_PRODUCTS[hts_4],,,)</f>
        <v>8421</v>
      </c>
      <c r="I5778" t="str" cm="1">
        <f t="array" ref="I5778">_xlfn.XLOOKUP(FACT_IMPORTS[[#This Row],[country_name]],DIM_COUNTRY[[#All],[Column2]],DIM_COUNTRY[[#All],[Column3]],,,)</f>
        <v>Major_Non-USMCA_Non-China</v>
      </c>
    </row>
    <row r="5779" spans="1:9" x14ac:dyDescent="0.4">
      <c r="A5779" t="s">
        <v>68</v>
      </c>
      <c r="B5779" s="1">
        <v>45444</v>
      </c>
      <c r="C5779">
        <v>848210</v>
      </c>
      <c r="D5779" t="s">
        <v>176</v>
      </c>
      <c r="E5779">
        <v>364303</v>
      </c>
      <c r="F5779">
        <v>7137</v>
      </c>
      <c r="G5779">
        <v>1139</v>
      </c>
      <c r="H5779">
        <f>_xlfn.XLOOKUP(FACT_IMPORTS[[#This Row],[hts_6]],DIM_PRODUCTS[hts_6],DIM_PRODUCTS[hts_4],,,)</f>
        <v>8482</v>
      </c>
      <c r="I5779" t="str" cm="1">
        <f t="array" ref="I5779">_xlfn.XLOOKUP(FACT_IMPORTS[[#This Row],[country_name]],DIM_COUNTRY[[#All],[Column2]],DIM_COUNTRY[[#All],[Column3]],,,)</f>
        <v>Major_Non-USMCA_Non-China</v>
      </c>
    </row>
    <row r="5780" spans="1:9" x14ac:dyDescent="0.4">
      <c r="A5780" t="s">
        <v>68</v>
      </c>
      <c r="B5780" s="1">
        <v>45444</v>
      </c>
      <c r="C5780">
        <v>848220</v>
      </c>
      <c r="D5780" t="s">
        <v>176</v>
      </c>
      <c r="E5780">
        <v>32682</v>
      </c>
      <c r="F5780">
        <v>3888</v>
      </c>
      <c r="G5780">
        <v>306</v>
      </c>
      <c r="H5780">
        <f>_xlfn.XLOOKUP(FACT_IMPORTS[[#This Row],[hts_6]],DIM_PRODUCTS[hts_6],DIM_PRODUCTS[hts_4],,,)</f>
        <v>8482</v>
      </c>
      <c r="I5780" t="str" cm="1">
        <f t="array" ref="I5780">_xlfn.XLOOKUP(FACT_IMPORTS[[#This Row],[country_name]],DIM_COUNTRY[[#All],[Column2]],DIM_COUNTRY[[#All],[Column3]],,,)</f>
        <v>Major_Non-USMCA_Non-China</v>
      </c>
    </row>
    <row r="5781" spans="1:9" x14ac:dyDescent="0.4">
      <c r="A5781" t="s">
        <v>68</v>
      </c>
      <c r="B5781" s="1">
        <v>45444</v>
      </c>
      <c r="C5781">
        <v>848310</v>
      </c>
      <c r="D5781" t="s">
        <v>176</v>
      </c>
      <c r="E5781">
        <v>3554801</v>
      </c>
      <c r="F5781">
        <v>22439</v>
      </c>
      <c r="G5781">
        <v>32696</v>
      </c>
      <c r="H5781">
        <f>_xlfn.XLOOKUP(FACT_IMPORTS[[#This Row],[hts_6]],DIM_PRODUCTS[hts_6],DIM_PRODUCTS[hts_4],,,)</f>
        <v>8483</v>
      </c>
      <c r="I5781" t="str" cm="1">
        <f t="array" ref="I5781">_xlfn.XLOOKUP(FACT_IMPORTS[[#This Row],[country_name]],DIM_COUNTRY[[#All],[Column2]],DIM_COUNTRY[[#All],[Column3]],,,)</f>
        <v>Major_Non-USMCA_Non-China</v>
      </c>
    </row>
    <row r="5782" spans="1:9" x14ac:dyDescent="0.4">
      <c r="A5782" t="s">
        <v>68</v>
      </c>
      <c r="B5782" s="1">
        <v>45444</v>
      </c>
      <c r="C5782">
        <v>850131</v>
      </c>
      <c r="D5782" t="s">
        <v>176</v>
      </c>
      <c r="E5782">
        <v>134445</v>
      </c>
      <c r="F5782">
        <v>990</v>
      </c>
      <c r="G5782">
        <v>312</v>
      </c>
      <c r="H5782">
        <f>_xlfn.XLOOKUP(FACT_IMPORTS[[#This Row],[hts_6]],DIM_PRODUCTS[hts_6],DIM_PRODUCTS[hts_4],,,)</f>
        <v>8501</v>
      </c>
      <c r="I5782" t="str" cm="1">
        <f t="array" ref="I5782">_xlfn.XLOOKUP(FACT_IMPORTS[[#This Row],[country_name]],DIM_COUNTRY[[#All],[Column2]],DIM_COUNTRY[[#All],[Column3]],,,)</f>
        <v>Major_Non-USMCA_Non-China</v>
      </c>
    </row>
    <row r="5783" spans="1:9" x14ac:dyDescent="0.4">
      <c r="A5783" t="s">
        <v>68</v>
      </c>
      <c r="B5783" s="1">
        <v>45444</v>
      </c>
      <c r="C5783">
        <v>850132</v>
      </c>
      <c r="D5783" t="s">
        <v>176</v>
      </c>
      <c r="E5783">
        <v>103340</v>
      </c>
      <c r="F5783">
        <v>17</v>
      </c>
      <c r="G5783">
        <v>697</v>
      </c>
      <c r="H5783">
        <f>_xlfn.XLOOKUP(FACT_IMPORTS[[#This Row],[hts_6]],DIM_PRODUCTS[hts_6],DIM_PRODUCTS[hts_4],,,)</f>
        <v>8501</v>
      </c>
      <c r="I5783" t="str" cm="1">
        <f t="array" ref="I5783">_xlfn.XLOOKUP(FACT_IMPORTS[[#This Row],[country_name]],DIM_COUNTRY[[#All],[Column2]],DIM_COUNTRY[[#All],[Column3]],,,)</f>
        <v>Major_Non-USMCA_Non-China</v>
      </c>
    </row>
    <row r="5784" spans="1:9" x14ac:dyDescent="0.4">
      <c r="A5784" t="s">
        <v>68</v>
      </c>
      <c r="B5784" s="1">
        <v>45444</v>
      </c>
      <c r="C5784">
        <v>850133</v>
      </c>
      <c r="D5784" t="s">
        <v>176</v>
      </c>
      <c r="E5784">
        <v>0</v>
      </c>
      <c r="F5784">
        <v>0</v>
      </c>
      <c r="G5784">
        <v>0</v>
      </c>
      <c r="H5784">
        <f>_xlfn.XLOOKUP(FACT_IMPORTS[[#This Row],[hts_6]],DIM_PRODUCTS[hts_6],DIM_PRODUCTS[hts_4],,,)</f>
        <v>8501</v>
      </c>
      <c r="I5784" t="str" cm="1">
        <f t="array" ref="I5784">_xlfn.XLOOKUP(FACT_IMPORTS[[#This Row],[country_name]],DIM_COUNTRY[[#All],[Column2]],DIM_COUNTRY[[#All],[Column3]],,,)</f>
        <v>Major_Non-USMCA_Non-China</v>
      </c>
    </row>
    <row r="5785" spans="1:9" x14ac:dyDescent="0.4">
      <c r="A5785" t="s">
        <v>68</v>
      </c>
      <c r="B5785" s="1">
        <v>45444</v>
      </c>
      <c r="C5785">
        <v>850134</v>
      </c>
      <c r="D5785" t="s">
        <v>176</v>
      </c>
      <c r="E5785">
        <v>0</v>
      </c>
      <c r="F5785">
        <v>0</v>
      </c>
      <c r="G5785">
        <v>0</v>
      </c>
      <c r="H5785">
        <f>_xlfn.XLOOKUP(FACT_IMPORTS[[#This Row],[hts_6]],DIM_PRODUCTS[hts_6],DIM_PRODUCTS[hts_4],,,)</f>
        <v>8501</v>
      </c>
      <c r="I5785" t="str" cm="1">
        <f t="array" ref="I5785">_xlfn.XLOOKUP(FACT_IMPORTS[[#This Row],[country_name]],DIM_COUNTRY[[#All],[Column2]],DIM_COUNTRY[[#All],[Column3]],,,)</f>
        <v>Major_Non-USMCA_Non-China</v>
      </c>
    </row>
    <row r="5786" spans="1:9" x14ac:dyDescent="0.4">
      <c r="A5786" t="s">
        <v>68</v>
      </c>
      <c r="B5786" s="1">
        <v>45444</v>
      </c>
      <c r="C5786">
        <v>850152</v>
      </c>
      <c r="D5786" t="s">
        <v>176</v>
      </c>
      <c r="E5786">
        <v>456375</v>
      </c>
      <c r="F5786">
        <v>271</v>
      </c>
      <c r="G5786">
        <v>15338</v>
      </c>
      <c r="H5786">
        <f>_xlfn.XLOOKUP(FACT_IMPORTS[[#This Row],[hts_6]],DIM_PRODUCTS[hts_6],DIM_PRODUCTS[hts_4],,,)</f>
        <v>8501</v>
      </c>
      <c r="I5786" t="str" cm="1">
        <f t="array" ref="I5786">_xlfn.XLOOKUP(FACT_IMPORTS[[#This Row],[country_name]],DIM_COUNTRY[[#All],[Column2]],DIM_COUNTRY[[#All],[Column3]],,,)</f>
        <v>Major_Non-USMCA_Non-China</v>
      </c>
    </row>
    <row r="5787" spans="1:9" x14ac:dyDescent="0.4">
      <c r="A5787" t="s">
        <v>68</v>
      </c>
      <c r="B5787" s="1">
        <v>45444</v>
      </c>
      <c r="C5787">
        <v>850153</v>
      </c>
      <c r="D5787" t="s">
        <v>176</v>
      </c>
      <c r="E5787">
        <v>279338</v>
      </c>
      <c r="F5787">
        <v>21</v>
      </c>
      <c r="G5787">
        <v>3115</v>
      </c>
      <c r="H5787">
        <f>_xlfn.XLOOKUP(FACT_IMPORTS[[#This Row],[hts_6]],DIM_PRODUCTS[hts_6],DIM_PRODUCTS[hts_4],,,)</f>
        <v>8501</v>
      </c>
      <c r="I5787" t="str" cm="1">
        <f t="array" ref="I5787">_xlfn.XLOOKUP(FACT_IMPORTS[[#This Row],[country_name]],DIM_COUNTRY[[#All],[Column2]],DIM_COUNTRY[[#All],[Column3]],,,)</f>
        <v>Major_Non-USMCA_Non-China</v>
      </c>
    </row>
    <row r="5788" spans="1:9" x14ac:dyDescent="0.4">
      <c r="A5788" t="s">
        <v>68</v>
      </c>
      <c r="B5788" s="1">
        <v>45444</v>
      </c>
      <c r="C5788">
        <v>850161</v>
      </c>
      <c r="D5788" t="s">
        <v>176</v>
      </c>
      <c r="E5788">
        <v>0</v>
      </c>
      <c r="F5788">
        <v>0</v>
      </c>
      <c r="G5788">
        <v>0</v>
      </c>
      <c r="H5788">
        <f>_xlfn.XLOOKUP(FACT_IMPORTS[[#This Row],[hts_6]],DIM_PRODUCTS[hts_6],DIM_PRODUCTS[hts_4],,,)</f>
        <v>8501</v>
      </c>
      <c r="I5788" t="str" cm="1">
        <f t="array" ref="I5788">_xlfn.XLOOKUP(FACT_IMPORTS[[#This Row],[country_name]],DIM_COUNTRY[[#All],[Column2]],DIM_COUNTRY[[#All],[Column3]],,,)</f>
        <v>Major_Non-USMCA_Non-China</v>
      </c>
    </row>
    <row r="5789" spans="1:9" x14ac:dyDescent="0.4">
      <c r="A5789" t="s">
        <v>68</v>
      </c>
      <c r="B5789" s="1">
        <v>45444</v>
      </c>
      <c r="C5789">
        <v>850440</v>
      </c>
      <c r="D5789" t="s">
        <v>176</v>
      </c>
      <c r="E5789">
        <v>573048</v>
      </c>
      <c r="F5789">
        <v>268</v>
      </c>
      <c r="G5789">
        <v>18287</v>
      </c>
      <c r="H5789">
        <f>_xlfn.XLOOKUP(FACT_IMPORTS[[#This Row],[hts_6]],DIM_PRODUCTS[hts_6],DIM_PRODUCTS[hts_4],,,)</f>
        <v>8504</v>
      </c>
      <c r="I5789" t="str" cm="1">
        <f t="array" ref="I5789">_xlfn.XLOOKUP(FACT_IMPORTS[[#This Row],[country_name]],DIM_COUNTRY[[#All],[Column2]],DIM_COUNTRY[[#All],[Column3]],,,)</f>
        <v>Major_Non-USMCA_Non-China</v>
      </c>
    </row>
    <row r="5790" spans="1:9" x14ac:dyDescent="0.4">
      <c r="A5790" t="s">
        <v>68</v>
      </c>
      <c r="B5790" s="1">
        <v>45444</v>
      </c>
      <c r="C5790">
        <v>850710</v>
      </c>
      <c r="D5790" t="s">
        <v>176</v>
      </c>
      <c r="E5790">
        <v>0</v>
      </c>
      <c r="F5790">
        <v>0</v>
      </c>
      <c r="G5790">
        <v>0</v>
      </c>
      <c r="H5790">
        <f>_xlfn.XLOOKUP(FACT_IMPORTS[[#This Row],[hts_6]],DIM_PRODUCTS[hts_6],DIM_PRODUCTS[hts_4],,,)</f>
        <v>8507</v>
      </c>
      <c r="I5790" t="str" cm="1">
        <f t="array" ref="I5790">_xlfn.XLOOKUP(FACT_IMPORTS[[#This Row],[country_name]],DIM_COUNTRY[[#All],[Column2]],DIM_COUNTRY[[#All],[Column3]],,,)</f>
        <v>Major_Non-USMCA_Non-China</v>
      </c>
    </row>
    <row r="5791" spans="1:9" x14ac:dyDescent="0.4">
      <c r="A5791" t="s">
        <v>68</v>
      </c>
      <c r="B5791" s="1">
        <v>45444</v>
      </c>
      <c r="C5791">
        <v>850760</v>
      </c>
      <c r="D5791" t="s">
        <v>176</v>
      </c>
      <c r="E5791">
        <v>449488</v>
      </c>
      <c r="F5791">
        <v>26140</v>
      </c>
      <c r="G5791">
        <v>5371</v>
      </c>
      <c r="H5791">
        <f>_xlfn.XLOOKUP(FACT_IMPORTS[[#This Row],[hts_6]],DIM_PRODUCTS[hts_6],DIM_PRODUCTS[hts_4],,,)</f>
        <v>8507</v>
      </c>
      <c r="I5791" t="str" cm="1">
        <f t="array" ref="I5791">_xlfn.XLOOKUP(FACT_IMPORTS[[#This Row],[country_name]],DIM_COUNTRY[[#All],[Column2]],DIM_COUNTRY[[#All],[Column3]],,,)</f>
        <v>Major_Non-USMCA_Non-China</v>
      </c>
    </row>
    <row r="5792" spans="1:9" x14ac:dyDescent="0.4">
      <c r="A5792" t="s">
        <v>68</v>
      </c>
      <c r="B5792" s="1">
        <v>45444</v>
      </c>
      <c r="C5792">
        <v>850790</v>
      </c>
      <c r="D5792" t="s">
        <v>176</v>
      </c>
      <c r="E5792">
        <v>338941</v>
      </c>
      <c r="F5792">
        <v>31119</v>
      </c>
      <c r="G5792">
        <v>14371</v>
      </c>
      <c r="H5792">
        <f>_xlfn.XLOOKUP(FACT_IMPORTS[[#This Row],[hts_6]],DIM_PRODUCTS[hts_6],DIM_PRODUCTS[hts_4],,,)</f>
        <v>8507</v>
      </c>
      <c r="I5792" t="str" cm="1">
        <f t="array" ref="I5792">_xlfn.XLOOKUP(FACT_IMPORTS[[#This Row],[country_name]],DIM_COUNTRY[[#All],[Column2]],DIM_COUNTRY[[#All],[Column3]],,,)</f>
        <v>Major_Non-USMCA_Non-China</v>
      </c>
    </row>
    <row r="5793" spans="1:9" x14ac:dyDescent="0.4">
      <c r="A5793" t="s">
        <v>68</v>
      </c>
      <c r="B5793" s="1">
        <v>45444</v>
      </c>
      <c r="C5793">
        <v>851110</v>
      </c>
      <c r="D5793" t="s">
        <v>176</v>
      </c>
      <c r="E5793">
        <v>3157</v>
      </c>
      <c r="F5793">
        <v>7</v>
      </c>
      <c r="G5793">
        <v>13</v>
      </c>
      <c r="H5793">
        <f>_xlfn.XLOOKUP(FACT_IMPORTS[[#This Row],[hts_6]],DIM_PRODUCTS[hts_6],DIM_PRODUCTS[hts_4],,,)</f>
        <v>8511</v>
      </c>
      <c r="I5793" t="str" cm="1">
        <f t="array" ref="I5793">_xlfn.XLOOKUP(FACT_IMPORTS[[#This Row],[country_name]],DIM_COUNTRY[[#All],[Column2]],DIM_COUNTRY[[#All],[Column3]],,,)</f>
        <v>Major_Non-USMCA_Non-China</v>
      </c>
    </row>
    <row r="5794" spans="1:9" x14ac:dyDescent="0.4">
      <c r="A5794" t="s">
        <v>68</v>
      </c>
      <c r="B5794" s="1">
        <v>45444</v>
      </c>
      <c r="C5794">
        <v>851120</v>
      </c>
      <c r="D5794" t="s">
        <v>176</v>
      </c>
      <c r="E5794">
        <v>0</v>
      </c>
      <c r="F5794">
        <v>0</v>
      </c>
      <c r="G5794">
        <v>0</v>
      </c>
      <c r="H5794">
        <f>_xlfn.XLOOKUP(FACT_IMPORTS[[#This Row],[hts_6]],DIM_PRODUCTS[hts_6],DIM_PRODUCTS[hts_4],,,)</f>
        <v>8511</v>
      </c>
      <c r="I5794" t="str" cm="1">
        <f t="array" ref="I5794">_xlfn.XLOOKUP(FACT_IMPORTS[[#This Row],[country_name]],DIM_COUNTRY[[#All],[Column2]],DIM_COUNTRY[[#All],[Column3]],,,)</f>
        <v>Major_Non-USMCA_Non-China</v>
      </c>
    </row>
    <row r="5795" spans="1:9" x14ac:dyDescent="0.4">
      <c r="A5795" t="s">
        <v>68</v>
      </c>
      <c r="B5795" s="1">
        <v>45444</v>
      </c>
      <c r="C5795">
        <v>851130</v>
      </c>
      <c r="D5795" t="s">
        <v>176</v>
      </c>
      <c r="E5795">
        <v>0</v>
      </c>
      <c r="F5795">
        <v>0</v>
      </c>
      <c r="G5795">
        <v>0</v>
      </c>
      <c r="H5795">
        <f>_xlfn.XLOOKUP(FACT_IMPORTS[[#This Row],[hts_6]],DIM_PRODUCTS[hts_6],DIM_PRODUCTS[hts_4],,,)</f>
        <v>8511</v>
      </c>
      <c r="I5795" t="str" cm="1">
        <f t="array" ref="I5795">_xlfn.XLOOKUP(FACT_IMPORTS[[#This Row],[country_name]],DIM_COUNTRY[[#All],[Column2]],DIM_COUNTRY[[#All],[Column3]],,,)</f>
        <v>Major_Non-USMCA_Non-China</v>
      </c>
    </row>
    <row r="5796" spans="1:9" x14ac:dyDescent="0.4">
      <c r="A5796" t="s">
        <v>68</v>
      </c>
      <c r="B5796" s="1">
        <v>45444</v>
      </c>
      <c r="C5796">
        <v>851140</v>
      </c>
      <c r="D5796" t="s">
        <v>176</v>
      </c>
      <c r="E5796">
        <v>0</v>
      </c>
      <c r="F5796">
        <v>0</v>
      </c>
      <c r="G5796">
        <v>0</v>
      </c>
      <c r="H5796">
        <f>_xlfn.XLOOKUP(FACT_IMPORTS[[#This Row],[hts_6]],DIM_PRODUCTS[hts_6],DIM_PRODUCTS[hts_4],,,)</f>
        <v>8511</v>
      </c>
      <c r="I5796" t="str" cm="1">
        <f t="array" ref="I5796">_xlfn.XLOOKUP(FACT_IMPORTS[[#This Row],[country_name]],DIM_COUNTRY[[#All],[Column2]],DIM_COUNTRY[[#All],[Column3]],,,)</f>
        <v>Major_Non-USMCA_Non-China</v>
      </c>
    </row>
    <row r="5797" spans="1:9" x14ac:dyDescent="0.4">
      <c r="A5797" t="s">
        <v>68</v>
      </c>
      <c r="B5797" s="1">
        <v>45444</v>
      </c>
      <c r="C5797">
        <v>851150</v>
      </c>
      <c r="D5797" t="s">
        <v>176</v>
      </c>
      <c r="E5797">
        <v>0</v>
      </c>
      <c r="F5797">
        <v>0</v>
      </c>
      <c r="G5797">
        <v>0</v>
      </c>
      <c r="H5797">
        <f>_xlfn.XLOOKUP(FACT_IMPORTS[[#This Row],[hts_6]],DIM_PRODUCTS[hts_6],DIM_PRODUCTS[hts_4],,,)</f>
        <v>8511</v>
      </c>
      <c r="I5797" t="str" cm="1">
        <f t="array" ref="I5797">_xlfn.XLOOKUP(FACT_IMPORTS[[#This Row],[country_name]],DIM_COUNTRY[[#All],[Column2]],DIM_COUNTRY[[#All],[Column3]],,,)</f>
        <v>Major_Non-USMCA_Non-China</v>
      </c>
    </row>
    <row r="5798" spans="1:9" x14ac:dyDescent="0.4">
      <c r="A5798" t="s">
        <v>68</v>
      </c>
      <c r="B5798" s="1">
        <v>45444</v>
      </c>
      <c r="C5798">
        <v>851180</v>
      </c>
      <c r="D5798" t="s">
        <v>176</v>
      </c>
      <c r="E5798">
        <v>302459</v>
      </c>
      <c r="F5798">
        <v>2046</v>
      </c>
      <c r="G5798">
        <v>895</v>
      </c>
      <c r="H5798">
        <f>_xlfn.XLOOKUP(FACT_IMPORTS[[#This Row],[hts_6]],DIM_PRODUCTS[hts_6],DIM_PRODUCTS[hts_4],,,)</f>
        <v>8511</v>
      </c>
      <c r="I5798" t="str" cm="1">
        <f t="array" ref="I5798">_xlfn.XLOOKUP(FACT_IMPORTS[[#This Row],[country_name]],DIM_COUNTRY[[#All],[Column2]],DIM_COUNTRY[[#All],[Column3]],,,)</f>
        <v>Major_Non-USMCA_Non-China</v>
      </c>
    </row>
    <row r="5799" spans="1:9" x14ac:dyDescent="0.4">
      <c r="A5799" t="s">
        <v>68</v>
      </c>
      <c r="B5799" s="1">
        <v>45444</v>
      </c>
      <c r="C5799">
        <v>851190</v>
      </c>
      <c r="D5799" t="s">
        <v>176</v>
      </c>
      <c r="E5799">
        <v>0</v>
      </c>
      <c r="F5799">
        <v>0</v>
      </c>
      <c r="G5799">
        <v>0</v>
      </c>
      <c r="H5799">
        <f>_xlfn.XLOOKUP(FACT_IMPORTS[[#This Row],[hts_6]],DIM_PRODUCTS[hts_6],DIM_PRODUCTS[hts_4],,,)</f>
        <v>8511</v>
      </c>
      <c r="I5799" t="str" cm="1">
        <f t="array" ref="I5799">_xlfn.XLOOKUP(FACT_IMPORTS[[#This Row],[country_name]],DIM_COUNTRY[[#All],[Column2]],DIM_COUNTRY[[#All],[Column3]],,,)</f>
        <v>Major_Non-USMCA_Non-China</v>
      </c>
    </row>
    <row r="5800" spans="1:9" x14ac:dyDescent="0.4">
      <c r="A5800" t="s">
        <v>68</v>
      </c>
      <c r="B5800" s="1">
        <v>45444</v>
      </c>
      <c r="C5800">
        <v>851220</v>
      </c>
      <c r="D5800" t="s">
        <v>176</v>
      </c>
      <c r="E5800">
        <v>0</v>
      </c>
      <c r="F5800">
        <v>0</v>
      </c>
      <c r="G5800">
        <v>0</v>
      </c>
      <c r="H5800">
        <f>_xlfn.XLOOKUP(FACT_IMPORTS[[#This Row],[hts_6]],DIM_PRODUCTS[hts_6],DIM_PRODUCTS[hts_4],,,)</f>
        <v>8512</v>
      </c>
      <c r="I5800" t="str" cm="1">
        <f t="array" ref="I5800">_xlfn.XLOOKUP(FACT_IMPORTS[[#This Row],[country_name]],DIM_COUNTRY[[#All],[Column2]],DIM_COUNTRY[[#All],[Column3]],,,)</f>
        <v>Major_Non-USMCA_Non-China</v>
      </c>
    </row>
    <row r="5801" spans="1:9" x14ac:dyDescent="0.4">
      <c r="A5801" t="s">
        <v>68</v>
      </c>
      <c r="B5801" s="1">
        <v>45444</v>
      </c>
      <c r="C5801">
        <v>851230</v>
      </c>
      <c r="D5801" t="s">
        <v>176</v>
      </c>
      <c r="E5801">
        <v>9774</v>
      </c>
      <c r="F5801">
        <v>85</v>
      </c>
      <c r="G5801">
        <v>179</v>
      </c>
      <c r="H5801">
        <f>_xlfn.XLOOKUP(FACT_IMPORTS[[#This Row],[hts_6]],DIM_PRODUCTS[hts_6],DIM_PRODUCTS[hts_4],,,)</f>
        <v>8512</v>
      </c>
      <c r="I5801" t="str" cm="1">
        <f t="array" ref="I5801">_xlfn.XLOOKUP(FACT_IMPORTS[[#This Row],[country_name]],DIM_COUNTRY[[#All],[Column2]],DIM_COUNTRY[[#All],[Column3]],,,)</f>
        <v>Major_Non-USMCA_Non-China</v>
      </c>
    </row>
    <row r="5802" spans="1:9" x14ac:dyDescent="0.4">
      <c r="A5802" t="s">
        <v>68</v>
      </c>
      <c r="B5802" s="1">
        <v>45444</v>
      </c>
      <c r="C5802">
        <v>851240</v>
      </c>
      <c r="D5802" t="s">
        <v>176</v>
      </c>
      <c r="E5802">
        <v>0</v>
      </c>
      <c r="F5802">
        <v>0</v>
      </c>
      <c r="G5802">
        <v>0</v>
      </c>
      <c r="H5802">
        <f>_xlfn.XLOOKUP(FACT_IMPORTS[[#This Row],[hts_6]],DIM_PRODUCTS[hts_6],DIM_PRODUCTS[hts_4],,,)</f>
        <v>8512</v>
      </c>
      <c r="I5802" t="str" cm="1">
        <f t="array" ref="I5802">_xlfn.XLOOKUP(FACT_IMPORTS[[#This Row],[country_name]],DIM_COUNTRY[[#All],[Column2]],DIM_COUNTRY[[#All],[Column3]],,,)</f>
        <v>Major_Non-USMCA_Non-China</v>
      </c>
    </row>
    <row r="5803" spans="1:9" x14ac:dyDescent="0.4">
      <c r="A5803" t="s">
        <v>68</v>
      </c>
      <c r="B5803" s="1">
        <v>45444</v>
      </c>
      <c r="C5803">
        <v>851290</v>
      </c>
      <c r="D5803" t="s">
        <v>176</v>
      </c>
      <c r="E5803">
        <v>0</v>
      </c>
      <c r="F5803">
        <v>0</v>
      </c>
      <c r="G5803">
        <v>0</v>
      </c>
      <c r="H5803">
        <f>_xlfn.XLOOKUP(FACT_IMPORTS[[#This Row],[hts_6]],DIM_PRODUCTS[hts_6],DIM_PRODUCTS[hts_4],,,)</f>
        <v>8512</v>
      </c>
      <c r="I5803" t="str" cm="1">
        <f t="array" ref="I5803">_xlfn.XLOOKUP(FACT_IMPORTS[[#This Row],[country_name]],DIM_COUNTRY[[#All],[Column2]],DIM_COUNTRY[[#All],[Column3]],,,)</f>
        <v>Major_Non-USMCA_Non-China</v>
      </c>
    </row>
    <row r="5804" spans="1:9" x14ac:dyDescent="0.4">
      <c r="A5804" t="s">
        <v>68</v>
      </c>
      <c r="B5804" s="1">
        <v>45444</v>
      </c>
      <c r="C5804">
        <v>854231</v>
      </c>
      <c r="D5804" t="s">
        <v>176</v>
      </c>
      <c r="E5804">
        <v>32767</v>
      </c>
      <c r="F5804">
        <v>18</v>
      </c>
      <c r="G5804">
        <v>203</v>
      </c>
      <c r="H5804">
        <f>_xlfn.XLOOKUP(FACT_IMPORTS[[#This Row],[hts_6]],DIM_PRODUCTS[hts_6],DIM_PRODUCTS[hts_4],,,)</f>
        <v>8542</v>
      </c>
      <c r="I5804" t="str" cm="1">
        <f t="array" ref="I5804">_xlfn.XLOOKUP(FACT_IMPORTS[[#This Row],[country_name]],DIM_COUNTRY[[#All],[Column2]],DIM_COUNTRY[[#All],[Column3]],,,)</f>
        <v>Major_Non-USMCA_Non-China</v>
      </c>
    </row>
    <row r="5805" spans="1:9" x14ac:dyDescent="0.4">
      <c r="A5805" t="s">
        <v>68</v>
      </c>
      <c r="B5805" s="1">
        <v>45444</v>
      </c>
      <c r="C5805">
        <v>854233</v>
      </c>
      <c r="D5805" t="s">
        <v>176</v>
      </c>
      <c r="E5805">
        <v>9450</v>
      </c>
      <c r="F5805">
        <v>35</v>
      </c>
      <c r="G5805">
        <v>62</v>
      </c>
      <c r="H5805">
        <f>_xlfn.XLOOKUP(FACT_IMPORTS[[#This Row],[hts_6]],DIM_PRODUCTS[hts_6],DIM_PRODUCTS[hts_4],,,)</f>
        <v>8542</v>
      </c>
      <c r="I5805" t="str" cm="1">
        <f t="array" ref="I5805">_xlfn.XLOOKUP(FACT_IMPORTS[[#This Row],[country_name]],DIM_COUNTRY[[#All],[Column2]],DIM_COUNTRY[[#All],[Column3]],,,)</f>
        <v>Major_Non-USMCA_Non-China</v>
      </c>
    </row>
    <row r="5806" spans="1:9" x14ac:dyDescent="0.4">
      <c r="A5806" t="s">
        <v>68</v>
      </c>
      <c r="B5806" s="1">
        <v>45444</v>
      </c>
      <c r="C5806">
        <v>854239</v>
      </c>
      <c r="D5806" t="s">
        <v>176</v>
      </c>
      <c r="E5806">
        <v>3561</v>
      </c>
      <c r="F5806">
        <v>8</v>
      </c>
      <c r="G5806">
        <v>48</v>
      </c>
      <c r="H5806">
        <f>_xlfn.XLOOKUP(FACT_IMPORTS[[#This Row],[hts_6]],DIM_PRODUCTS[hts_6],DIM_PRODUCTS[hts_4],,,)</f>
        <v>8542</v>
      </c>
      <c r="I5806" t="str" cm="1">
        <f t="array" ref="I5806">_xlfn.XLOOKUP(FACT_IMPORTS[[#This Row],[country_name]],DIM_COUNTRY[[#All],[Column2]],DIM_COUNTRY[[#All],[Column3]],,,)</f>
        <v>Major_Non-USMCA_Non-China</v>
      </c>
    </row>
    <row r="5807" spans="1:9" x14ac:dyDescent="0.4">
      <c r="A5807" t="s">
        <v>68</v>
      </c>
      <c r="B5807" s="1">
        <v>45444</v>
      </c>
      <c r="C5807">
        <v>854290</v>
      </c>
      <c r="D5807" t="s">
        <v>176</v>
      </c>
      <c r="E5807">
        <v>6213</v>
      </c>
      <c r="F5807">
        <v>2</v>
      </c>
      <c r="G5807">
        <v>168</v>
      </c>
      <c r="H5807">
        <f>_xlfn.XLOOKUP(FACT_IMPORTS[[#This Row],[hts_6]],DIM_PRODUCTS[hts_6],DIM_PRODUCTS[hts_4],,,)</f>
        <v>8542</v>
      </c>
      <c r="I5807" t="str" cm="1">
        <f t="array" ref="I5807">_xlfn.XLOOKUP(FACT_IMPORTS[[#This Row],[country_name]],DIM_COUNTRY[[#All],[Column2]],DIM_COUNTRY[[#All],[Column3]],,,)</f>
        <v>Major_Non-USMCA_Non-China</v>
      </c>
    </row>
    <row r="5808" spans="1:9" x14ac:dyDescent="0.4">
      <c r="A5808" t="s">
        <v>68</v>
      </c>
      <c r="B5808" s="1">
        <v>45444</v>
      </c>
      <c r="C5808">
        <v>854430</v>
      </c>
      <c r="D5808" t="s">
        <v>176</v>
      </c>
      <c r="E5808">
        <v>303425</v>
      </c>
      <c r="F5808">
        <v>17806</v>
      </c>
      <c r="G5808">
        <v>6225</v>
      </c>
      <c r="H5808">
        <f>_xlfn.XLOOKUP(FACT_IMPORTS[[#This Row],[hts_6]],DIM_PRODUCTS[hts_6],DIM_PRODUCTS[hts_4],,,)</f>
        <v>8544</v>
      </c>
      <c r="I5808" t="str" cm="1">
        <f t="array" ref="I5808">_xlfn.XLOOKUP(FACT_IMPORTS[[#This Row],[country_name]],DIM_COUNTRY[[#All],[Column2]],DIM_COUNTRY[[#All],[Column3]],,,)</f>
        <v>Major_Non-USMCA_Non-China</v>
      </c>
    </row>
    <row r="5809" spans="1:9" x14ac:dyDescent="0.4">
      <c r="A5809" t="s">
        <v>68</v>
      </c>
      <c r="B5809" s="1">
        <v>45444</v>
      </c>
      <c r="C5809">
        <v>870790</v>
      </c>
      <c r="D5809" t="s">
        <v>176</v>
      </c>
      <c r="E5809">
        <v>0</v>
      </c>
      <c r="F5809">
        <v>0</v>
      </c>
      <c r="G5809">
        <v>0</v>
      </c>
      <c r="H5809">
        <f>_xlfn.XLOOKUP(FACT_IMPORTS[[#This Row],[hts_6]],DIM_PRODUCTS[hts_6],DIM_PRODUCTS[hts_4],,,)</f>
        <v>8707</v>
      </c>
      <c r="I5809" t="str" cm="1">
        <f t="array" ref="I5809">_xlfn.XLOOKUP(FACT_IMPORTS[[#This Row],[country_name]],DIM_COUNTRY[[#All],[Column2]],DIM_COUNTRY[[#All],[Column3]],,,)</f>
        <v>Major_Non-USMCA_Non-China</v>
      </c>
    </row>
    <row r="5810" spans="1:9" x14ac:dyDescent="0.4">
      <c r="A5810" t="s">
        <v>68</v>
      </c>
      <c r="B5810" s="1">
        <v>45444</v>
      </c>
      <c r="C5810">
        <v>870810</v>
      </c>
      <c r="D5810" t="s">
        <v>176</v>
      </c>
      <c r="E5810">
        <v>34452</v>
      </c>
      <c r="F5810">
        <v>614</v>
      </c>
      <c r="G5810">
        <v>608</v>
      </c>
      <c r="H5810">
        <f>_xlfn.XLOOKUP(FACT_IMPORTS[[#This Row],[hts_6]],DIM_PRODUCTS[hts_6],DIM_PRODUCTS[hts_4],,,)</f>
        <v>8708</v>
      </c>
      <c r="I5810" t="str" cm="1">
        <f t="array" ref="I5810">_xlfn.XLOOKUP(FACT_IMPORTS[[#This Row],[country_name]],DIM_COUNTRY[[#All],[Column2]],DIM_COUNTRY[[#All],[Column3]],,,)</f>
        <v>Major_Non-USMCA_Non-China</v>
      </c>
    </row>
    <row r="5811" spans="1:9" x14ac:dyDescent="0.4">
      <c r="A5811" t="s">
        <v>68</v>
      </c>
      <c r="B5811" s="1">
        <v>45444</v>
      </c>
      <c r="C5811">
        <v>870821</v>
      </c>
      <c r="D5811" t="s">
        <v>176</v>
      </c>
      <c r="E5811">
        <v>0</v>
      </c>
      <c r="F5811">
        <v>0</v>
      </c>
      <c r="G5811">
        <v>0</v>
      </c>
      <c r="H5811">
        <f>_xlfn.XLOOKUP(FACT_IMPORTS[[#This Row],[hts_6]],DIM_PRODUCTS[hts_6],DIM_PRODUCTS[hts_4],,,)</f>
        <v>8708</v>
      </c>
      <c r="I5811" t="str" cm="1">
        <f t="array" ref="I5811">_xlfn.XLOOKUP(FACT_IMPORTS[[#This Row],[country_name]],DIM_COUNTRY[[#All],[Column2]],DIM_COUNTRY[[#All],[Column3]],,,)</f>
        <v>Major_Non-USMCA_Non-China</v>
      </c>
    </row>
    <row r="5812" spans="1:9" x14ac:dyDescent="0.4">
      <c r="A5812" t="s">
        <v>68</v>
      </c>
      <c r="B5812" s="1">
        <v>45444</v>
      </c>
      <c r="C5812">
        <v>870822</v>
      </c>
      <c r="D5812" t="s">
        <v>176</v>
      </c>
      <c r="E5812">
        <v>0</v>
      </c>
      <c r="F5812">
        <v>0</v>
      </c>
      <c r="G5812">
        <v>0</v>
      </c>
      <c r="H5812">
        <f>_xlfn.XLOOKUP(FACT_IMPORTS[[#This Row],[hts_6]],DIM_PRODUCTS[hts_6],DIM_PRODUCTS[hts_4],,,)</f>
        <v>8708</v>
      </c>
      <c r="I5812" t="str" cm="1">
        <f t="array" ref="I5812">_xlfn.XLOOKUP(FACT_IMPORTS[[#This Row],[country_name]],DIM_COUNTRY[[#All],[Column2]],DIM_COUNTRY[[#All],[Column3]],,,)</f>
        <v>Major_Non-USMCA_Non-China</v>
      </c>
    </row>
    <row r="5813" spans="1:9" x14ac:dyDescent="0.4">
      <c r="A5813" t="s">
        <v>68</v>
      </c>
      <c r="B5813" s="1">
        <v>45444</v>
      </c>
      <c r="C5813">
        <v>870829</v>
      </c>
      <c r="D5813" t="s">
        <v>176</v>
      </c>
      <c r="E5813">
        <v>1126609</v>
      </c>
      <c r="F5813">
        <v>541238</v>
      </c>
      <c r="G5813">
        <v>25149</v>
      </c>
      <c r="H5813">
        <f>_xlfn.XLOOKUP(FACT_IMPORTS[[#This Row],[hts_6]],DIM_PRODUCTS[hts_6],DIM_PRODUCTS[hts_4],,,)</f>
        <v>8708</v>
      </c>
      <c r="I5813" t="str" cm="1">
        <f t="array" ref="I5813">_xlfn.XLOOKUP(FACT_IMPORTS[[#This Row],[country_name]],DIM_COUNTRY[[#All],[Column2]],DIM_COUNTRY[[#All],[Column3]],,,)</f>
        <v>Major_Non-USMCA_Non-China</v>
      </c>
    </row>
    <row r="5814" spans="1:9" x14ac:dyDescent="0.4">
      <c r="A5814" t="s">
        <v>68</v>
      </c>
      <c r="B5814" s="1">
        <v>45444</v>
      </c>
      <c r="C5814">
        <v>870830</v>
      </c>
      <c r="D5814" t="s">
        <v>176</v>
      </c>
      <c r="E5814">
        <v>196601</v>
      </c>
      <c r="F5814">
        <v>35289</v>
      </c>
      <c r="G5814">
        <v>5727</v>
      </c>
      <c r="H5814">
        <f>_xlfn.XLOOKUP(FACT_IMPORTS[[#This Row],[hts_6]],DIM_PRODUCTS[hts_6],DIM_PRODUCTS[hts_4],,,)</f>
        <v>8708</v>
      </c>
      <c r="I5814" t="str" cm="1">
        <f t="array" ref="I5814">_xlfn.XLOOKUP(FACT_IMPORTS[[#This Row],[country_name]],DIM_COUNTRY[[#All],[Column2]],DIM_COUNTRY[[#All],[Column3]],,,)</f>
        <v>Major_Non-USMCA_Non-China</v>
      </c>
    </row>
    <row r="5815" spans="1:9" x14ac:dyDescent="0.4">
      <c r="A5815" t="s">
        <v>68</v>
      </c>
      <c r="B5815" s="1">
        <v>45444</v>
      </c>
      <c r="C5815">
        <v>870840</v>
      </c>
      <c r="D5815" t="s">
        <v>176</v>
      </c>
      <c r="E5815">
        <v>54855459</v>
      </c>
      <c r="F5815">
        <v>660434</v>
      </c>
      <c r="G5815">
        <v>111956</v>
      </c>
      <c r="H5815">
        <f>_xlfn.XLOOKUP(FACT_IMPORTS[[#This Row],[hts_6]],DIM_PRODUCTS[hts_6],DIM_PRODUCTS[hts_4],,,)</f>
        <v>8708</v>
      </c>
      <c r="I5815" t="str" cm="1">
        <f t="array" ref="I5815">_xlfn.XLOOKUP(FACT_IMPORTS[[#This Row],[country_name]],DIM_COUNTRY[[#All],[Column2]],DIM_COUNTRY[[#All],[Column3]],,,)</f>
        <v>Major_Non-USMCA_Non-China</v>
      </c>
    </row>
    <row r="5816" spans="1:9" x14ac:dyDescent="0.4">
      <c r="A5816" t="s">
        <v>68</v>
      </c>
      <c r="B5816" s="1">
        <v>45444</v>
      </c>
      <c r="C5816">
        <v>870850</v>
      </c>
      <c r="D5816" t="s">
        <v>176</v>
      </c>
      <c r="E5816">
        <v>9703501</v>
      </c>
      <c r="F5816">
        <v>365132</v>
      </c>
      <c r="G5816">
        <v>93366</v>
      </c>
      <c r="H5816">
        <f>_xlfn.XLOOKUP(FACT_IMPORTS[[#This Row],[hts_6]],DIM_PRODUCTS[hts_6],DIM_PRODUCTS[hts_4],,,)</f>
        <v>8708</v>
      </c>
      <c r="I5816" t="str" cm="1">
        <f t="array" ref="I5816">_xlfn.XLOOKUP(FACT_IMPORTS[[#This Row],[country_name]],DIM_COUNTRY[[#All],[Column2]],DIM_COUNTRY[[#All],[Column3]],,,)</f>
        <v>Major_Non-USMCA_Non-China</v>
      </c>
    </row>
    <row r="5817" spans="1:9" x14ac:dyDescent="0.4">
      <c r="A5817" t="s">
        <v>68</v>
      </c>
      <c r="B5817" s="1">
        <v>45444</v>
      </c>
      <c r="C5817">
        <v>870870</v>
      </c>
      <c r="D5817" t="s">
        <v>176</v>
      </c>
      <c r="E5817">
        <v>8582</v>
      </c>
      <c r="F5817">
        <v>33</v>
      </c>
      <c r="G5817">
        <v>215</v>
      </c>
      <c r="H5817">
        <f>_xlfn.XLOOKUP(FACT_IMPORTS[[#This Row],[hts_6]],DIM_PRODUCTS[hts_6],DIM_PRODUCTS[hts_4],,,)</f>
        <v>8708</v>
      </c>
      <c r="I5817" t="str" cm="1">
        <f t="array" ref="I5817">_xlfn.XLOOKUP(FACT_IMPORTS[[#This Row],[country_name]],DIM_COUNTRY[[#All],[Column2]],DIM_COUNTRY[[#All],[Column3]],,,)</f>
        <v>Major_Non-USMCA_Non-China</v>
      </c>
    </row>
    <row r="5818" spans="1:9" x14ac:dyDescent="0.4">
      <c r="A5818" t="s">
        <v>68</v>
      </c>
      <c r="B5818" s="1">
        <v>45444</v>
      </c>
      <c r="C5818">
        <v>870880</v>
      </c>
      <c r="D5818" t="s">
        <v>176</v>
      </c>
      <c r="E5818">
        <v>547988</v>
      </c>
      <c r="F5818">
        <v>110582</v>
      </c>
      <c r="G5818">
        <v>5961</v>
      </c>
      <c r="H5818">
        <f>_xlfn.XLOOKUP(FACT_IMPORTS[[#This Row],[hts_6]],DIM_PRODUCTS[hts_6],DIM_PRODUCTS[hts_4],,,)</f>
        <v>8708</v>
      </c>
      <c r="I5818" t="str" cm="1">
        <f t="array" ref="I5818">_xlfn.XLOOKUP(FACT_IMPORTS[[#This Row],[country_name]],DIM_COUNTRY[[#All],[Column2]],DIM_COUNTRY[[#All],[Column3]],,,)</f>
        <v>Major_Non-USMCA_Non-China</v>
      </c>
    </row>
    <row r="5819" spans="1:9" x14ac:dyDescent="0.4">
      <c r="A5819" t="s">
        <v>68</v>
      </c>
      <c r="B5819" s="1">
        <v>45444</v>
      </c>
      <c r="C5819">
        <v>870891</v>
      </c>
      <c r="D5819" t="s">
        <v>176</v>
      </c>
      <c r="E5819">
        <v>99172</v>
      </c>
      <c r="F5819">
        <v>436</v>
      </c>
      <c r="G5819">
        <v>3479</v>
      </c>
      <c r="H5819">
        <f>_xlfn.XLOOKUP(FACT_IMPORTS[[#This Row],[hts_6]],DIM_PRODUCTS[hts_6],DIM_PRODUCTS[hts_4],,,)</f>
        <v>8708</v>
      </c>
      <c r="I5819" t="str" cm="1">
        <f t="array" ref="I5819">_xlfn.XLOOKUP(FACT_IMPORTS[[#This Row],[country_name]],DIM_COUNTRY[[#All],[Column2]],DIM_COUNTRY[[#All],[Column3]],,,)</f>
        <v>Major_Non-USMCA_Non-China</v>
      </c>
    </row>
    <row r="5820" spans="1:9" x14ac:dyDescent="0.4">
      <c r="A5820" t="s">
        <v>68</v>
      </c>
      <c r="B5820" s="1">
        <v>45444</v>
      </c>
      <c r="C5820">
        <v>870892</v>
      </c>
      <c r="D5820" t="s">
        <v>176</v>
      </c>
      <c r="E5820">
        <v>67486</v>
      </c>
      <c r="F5820">
        <v>16457</v>
      </c>
      <c r="G5820">
        <v>4848</v>
      </c>
      <c r="H5820">
        <f>_xlfn.XLOOKUP(FACT_IMPORTS[[#This Row],[hts_6]],DIM_PRODUCTS[hts_6],DIM_PRODUCTS[hts_4],,,)</f>
        <v>8708</v>
      </c>
      <c r="I5820" t="str" cm="1">
        <f t="array" ref="I5820">_xlfn.XLOOKUP(FACT_IMPORTS[[#This Row],[country_name]],DIM_COUNTRY[[#All],[Column2]],DIM_COUNTRY[[#All],[Column3]],,,)</f>
        <v>Major_Non-USMCA_Non-China</v>
      </c>
    </row>
    <row r="5821" spans="1:9" x14ac:dyDescent="0.4">
      <c r="A5821" t="s">
        <v>68</v>
      </c>
      <c r="B5821" s="1">
        <v>45444</v>
      </c>
      <c r="C5821">
        <v>870893</v>
      </c>
      <c r="D5821" t="s">
        <v>176</v>
      </c>
      <c r="E5821">
        <v>430889</v>
      </c>
      <c r="F5821">
        <v>1130</v>
      </c>
      <c r="G5821">
        <v>3748</v>
      </c>
      <c r="H5821">
        <f>_xlfn.XLOOKUP(FACT_IMPORTS[[#This Row],[hts_6]],DIM_PRODUCTS[hts_6],DIM_PRODUCTS[hts_4],,,)</f>
        <v>8708</v>
      </c>
      <c r="I5821" t="str" cm="1">
        <f t="array" ref="I5821">_xlfn.XLOOKUP(FACT_IMPORTS[[#This Row],[country_name]],DIM_COUNTRY[[#All],[Column2]],DIM_COUNTRY[[#All],[Column3]],,,)</f>
        <v>Major_Non-USMCA_Non-China</v>
      </c>
    </row>
    <row r="5822" spans="1:9" x14ac:dyDescent="0.4">
      <c r="A5822" t="s">
        <v>68</v>
      </c>
      <c r="B5822" s="1">
        <v>45444</v>
      </c>
      <c r="C5822">
        <v>870894</v>
      </c>
      <c r="D5822" t="s">
        <v>176</v>
      </c>
      <c r="E5822">
        <v>252366</v>
      </c>
      <c r="F5822">
        <v>23316</v>
      </c>
      <c r="G5822">
        <v>8657</v>
      </c>
      <c r="H5822">
        <f>_xlfn.XLOOKUP(FACT_IMPORTS[[#This Row],[hts_6]],DIM_PRODUCTS[hts_6],DIM_PRODUCTS[hts_4],,,)</f>
        <v>8708</v>
      </c>
      <c r="I5822" t="str" cm="1">
        <f t="array" ref="I5822">_xlfn.XLOOKUP(FACT_IMPORTS[[#This Row],[country_name]],DIM_COUNTRY[[#All],[Column2]],DIM_COUNTRY[[#All],[Column3]],,,)</f>
        <v>Major_Non-USMCA_Non-China</v>
      </c>
    </row>
    <row r="5823" spans="1:9" x14ac:dyDescent="0.4">
      <c r="A5823" t="s">
        <v>68</v>
      </c>
      <c r="B5823" s="1">
        <v>45444</v>
      </c>
      <c r="C5823">
        <v>870895</v>
      </c>
      <c r="D5823" t="s">
        <v>176</v>
      </c>
      <c r="E5823">
        <v>28029</v>
      </c>
      <c r="F5823">
        <v>855</v>
      </c>
      <c r="G5823">
        <v>790</v>
      </c>
      <c r="H5823">
        <f>_xlfn.XLOOKUP(FACT_IMPORTS[[#This Row],[hts_6]],DIM_PRODUCTS[hts_6],DIM_PRODUCTS[hts_4],,,)</f>
        <v>8708</v>
      </c>
      <c r="I5823" t="str" cm="1">
        <f t="array" ref="I5823">_xlfn.XLOOKUP(FACT_IMPORTS[[#This Row],[country_name]],DIM_COUNTRY[[#All],[Column2]],DIM_COUNTRY[[#All],[Column3]],,,)</f>
        <v>Major_Non-USMCA_Non-China</v>
      </c>
    </row>
    <row r="5824" spans="1:9" x14ac:dyDescent="0.4">
      <c r="A5824" t="s">
        <v>68</v>
      </c>
      <c r="B5824" s="1">
        <v>45444</v>
      </c>
      <c r="C5824">
        <v>870899</v>
      </c>
      <c r="D5824" t="s">
        <v>176</v>
      </c>
      <c r="E5824">
        <v>4994367</v>
      </c>
      <c r="F5824">
        <v>599609</v>
      </c>
      <c r="G5824">
        <v>70180</v>
      </c>
      <c r="H5824">
        <f>_xlfn.XLOOKUP(FACT_IMPORTS[[#This Row],[hts_6]],DIM_PRODUCTS[hts_6],DIM_PRODUCTS[hts_4],,,)</f>
        <v>8708</v>
      </c>
      <c r="I5824" t="str" cm="1">
        <f t="array" ref="I5824">_xlfn.XLOOKUP(FACT_IMPORTS[[#This Row],[country_name]],DIM_COUNTRY[[#All],[Column2]],DIM_COUNTRY[[#All],[Column3]],,,)</f>
        <v>Major_Non-USMCA_Non-China</v>
      </c>
    </row>
    <row r="5825" spans="1:9" x14ac:dyDescent="0.4">
      <c r="A5825" t="s">
        <v>68</v>
      </c>
      <c r="B5825" s="1">
        <v>45444</v>
      </c>
      <c r="C5825">
        <v>940120</v>
      </c>
      <c r="D5825" t="s">
        <v>176</v>
      </c>
      <c r="E5825">
        <v>62683</v>
      </c>
      <c r="F5825">
        <v>76</v>
      </c>
      <c r="G5825">
        <v>2300</v>
      </c>
      <c r="H5825">
        <f>_xlfn.XLOOKUP(FACT_IMPORTS[[#This Row],[hts_6]],DIM_PRODUCTS[hts_6],DIM_PRODUCTS[hts_4],,,)</f>
        <v>9401</v>
      </c>
      <c r="I5825" t="str" cm="1">
        <f t="array" ref="I5825">_xlfn.XLOOKUP(FACT_IMPORTS[[#This Row],[country_name]],DIM_COUNTRY[[#All],[Column2]],DIM_COUNTRY[[#All],[Column3]],,,)</f>
        <v>Major_Non-USMCA_Non-China</v>
      </c>
    </row>
    <row r="5826" spans="1:9" x14ac:dyDescent="0.4">
      <c r="A5826" t="s">
        <v>68</v>
      </c>
      <c r="B5826" s="1">
        <v>45474</v>
      </c>
      <c r="C5826">
        <v>392630</v>
      </c>
      <c r="D5826" t="s">
        <v>176</v>
      </c>
      <c r="E5826">
        <v>259690</v>
      </c>
      <c r="F5826">
        <v>17167</v>
      </c>
      <c r="G5826">
        <v>8399</v>
      </c>
      <c r="H5826">
        <f>_xlfn.XLOOKUP(FACT_IMPORTS[[#This Row],[hts_6]],DIM_PRODUCTS[hts_6],DIM_PRODUCTS[hts_4],,,)</f>
        <v>3926</v>
      </c>
      <c r="I5826" t="str" cm="1">
        <f t="array" ref="I5826">_xlfn.XLOOKUP(FACT_IMPORTS[[#This Row],[country_name]],DIM_COUNTRY[[#All],[Column2]],DIM_COUNTRY[[#All],[Column3]],,,)</f>
        <v>Major_Non-USMCA_Non-China</v>
      </c>
    </row>
    <row r="5827" spans="1:9" x14ac:dyDescent="0.4">
      <c r="A5827" t="s">
        <v>68</v>
      </c>
      <c r="B5827" s="1">
        <v>45474</v>
      </c>
      <c r="C5827">
        <v>401110</v>
      </c>
      <c r="D5827" t="s">
        <v>176</v>
      </c>
      <c r="E5827">
        <v>16548</v>
      </c>
      <c r="F5827">
        <v>82</v>
      </c>
      <c r="G5827">
        <v>382</v>
      </c>
      <c r="H5827">
        <f>_xlfn.XLOOKUP(FACT_IMPORTS[[#This Row],[hts_6]],DIM_PRODUCTS[hts_6],DIM_PRODUCTS[hts_4],,,)</f>
        <v>4011</v>
      </c>
      <c r="I5827" t="str" cm="1">
        <f t="array" ref="I5827">_xlfn.XLOOKUP(FACT_IMPORTS[[#This Row],[country_name]],DIM_COUNTRY[[#All],[Column2]],DIM_COUNTRY[[#All],[Column3]],,,)</f>
        <v>Major_Non-USMCA_Non-China</v>
      </c>
    </row>
    <row r="5828" spans="1:9" x14ac:dyDescent="0.4">
      <c r="A5828" t="s">
        <v>68</v>
      </c>
      <c r="B5828" s="1">
        <v>45474</v>
      </c>
      <c r="C5828">
        <v>401120</v>
      </c>
      <c r="D5828" t="s">
        <v>176</v>
      </c>
      <c r="E5828">
        <v>46495</v>
      </c>
      <c r="F5828">
        <v>165</v>
      </c>
      <c r="G5828">
        <v>49</v>
      </c>
      <c r="H5828">
        <f>_xlfn.XLOOKUP(FACT_IMPORTS[[#This Row],[hts_6]],DIM_PRODUCTS[hts_6],DIM_PRODUCTS[hts_4],,,)</f>
        <v>4011</v>
      </c>
      <c r="I5828" t="str" cm="1">
        <f t="array" ref="I5828">_xlfn.XLOOKUP(FACT_IMPORTS[[#This Row],[country_name]],DIM_COUNTRY[[#All],[Column2]],DIM_COUNTRY[[#All],[Column3]],,,)</f>
        <v>Major_Non-USMCA_Non-China</v>
      </c>
    </row>
    <row r="5829" spans="1:9" x14ac:dyDescent="0.4">
      <c r="A5829" t="s">
        <v>68</v>
      </c>
      <c r="B5829" s="1">
        <v>45474</v>
      </c>
      <c r="C5829">
        <v>401190</v>
      </c>
      <c r="D5829" t="s">
        <v>176</v>
      </c>
      <c r="E5829">
        <v>0</v>
      </c>
      <c r="F5829">
        <v>0</v>
      </c>
      <c r="G5829">
        <v>0</v>
      </c>
      <c r="H5829">
        <f>_xlfn.XLOOKUP(FACT_IMPORTS[[#This Row],[hts_6]],DIM_PRODUCTS[hts_6],DIM_PRODUCTS[hts_4],,,)</f>
        <v>4011</v>
      </c>
      <c r="I5829" t="str" cm="1">
        <f t="array" ref="I5829">_xlfn.XLOOKUP(FACT_IMPORTS[[#This Row],[country_name]],DIM_COUNTRY[[#All],[Column2]],DIM_COUNTRY[[#All],[Column3]],,,)</f>
        <v>Major_Non-USMCA_Non-China</v>
      </c>
    </row>
    <row r="5830" spans="1:9" x14ac:dyDescent="0.4">
      <c r="A5830" t="s">
        <v>68</v>
      </c>
      <c r="B5830" s="1">
        <v>45474</v>
      </c>
      <c r="C5830">
        <v>700711</v>
      </c>
      <c r="D5830" t="s">
        <v>176</v>
      </c>
      <c r="E5830">
        <v>0</v>
      </c>
      <c r="F5830">
        <v>0</v>
      </c>
      <c r="G5830">
        <v>0</v>
      </c>
      <c r="H5830">
        <f>_xlfn.XLOOKUP(FACT_IMPORTS[[#This Row],[hts_6]],DIM_PRODUCTS[hts_6],DIM_PRODUCTS[hts_4],,,)</f>
        <v>7007</v>
      </c>
      <c r="I5830" t="str" cm="1">
        <f t="array" ref="I5830">_xlfn.XLOOKUP(FACT_IMPORTS[[#This Row],[country_name]],DIM_COUNTRY[[#All],[Column2]],DIM_COUNTRY[[#All],[Column3]],,,)</f>
        <v>Major_Non-USMCA_Non-China</v>
      </c>
    </row>
    <row r="5831" spans="1:9" x14ac:dyDescent="0.4">
      <c r="A5831" t="s">
        <v>68</v>
      </c>
      <c r="B5831" s="1">
        <v>45474</v>
      </c>
      <c r="C5831">
        <v>700721</v>
      </c>
      <c r="D5831" t="s">
        <v>176</v>
      </c>
      <c r="E5831">
        <v>0</v>
      </c>
      <c r="F5831">
        <v>0</v>
      </c>
      <c r="G5831">
        <v>0</v>
      </c>
      <c r="H5831">
        <f>_xlfn.XLOOKUP(FACT_IMPORTS[[#This Row],[hts_6]],DIM_PRODUCTS[hts_6],DIM_PRODUCTS[hts_4],,,)</f>
        <v>7007</v>
      </c>
      <c r="I5831" t="str" cm="1">
        <f t="array" ref="I5831">_xlfn.XLOOKUP(FACT_IMPORTS[[#This Row],[country_name]],DIM_COUNTRY[[#All],[Column2]],DIM_COUNTRY[[#All],[Column3]],,,)</f>
        <v>Major_Non-USMCA_Non-China</v>
      </c>
    </row>
    <row r="5832" spans="1:9" x14ac:dyDescent="0.4">
      <c r="A5832" t="s">
        <v>68</v>
      </c>
      <c r="B5832" s="1">
        <v>45474</v>
      </c>
      <c r="C5832">
        <v>700910</v>
      </c>
      <c r="D5832" t="s">
        <v>176</v>
      </c>
      <c r="E5832">
        <v>0</v>
      </c>
      <c r="F5832">
        <v>0</v>
      </c>
      <c r="G5832">
        <v>0</v>
      </c>
      <c r="H5832">
        <f>_xlfn.XLOOKUP(FACT_IMPORTS[[#This Row],[hts_6]],DIM_PRODUCTS[hts_6],DIM_PRODUCTS[hts_4],,,)</f>
        <v>7009</v>
      </c>
      <c r="I5832" t="str" cm="1">
        <f t="array" ref="I5832">_xlfn.XLOOKUP(FACT_IMPORTS[[#This Row],[country_name]],DIM_COUNTRY[[#All],[Column2]],DIM_COUNTRY[[#All],[Column3]],,,)</f>
        <v>Major_Non-USMCA_Non-China</v>
      </c>
    </row>
    <row r="5833" spans="1:9" x14ac:dyDescent="0.4">
      <c r="A5833" t="s">
        <v>68</v>
      </c>
      <c r="B5833" s="1">
        <v>45474</v>
      </c>
      <c r="C5833">
        <v>732010</v>
      </c>
      <c r="D5833" t="s">
        <v>176</v>
      </c>
      <c r="E5833">
        <v>13242</v>
      </c>
      <c r="F5833">
        <v>173</v>
      </c>
      <c r="G5833">
        <v>467</v>
      </c>
      <c r="H5833">
        <f>_xlfn.XLOOKUP(FACT_IMPORTS[[#This Row],[hts_6]],DIM_PRODUCTS[hts_6],DIM_PRODUCTS[hts_4],,,)</f>
        <v>7320</v>
      </c>
      <c r="I5833" t="str" cm="1">
        <f t="array" ref="I5833">_xlfn.XLOOKUP(FACT_IMPORTS[[#This Row],[country_name]],DIM_COUNTRY[[#All],[Column2]],DIM_COUNTRY[[#All],[Column3]],,,)</f>
        <v>Major_Non-USMCA_Non-China</v>
      </c>
    </row>
    <row r="5834" spans="1:9" x14ac:dyDescent="0.4">
      <c r="A5834" t="s">
        <v>68</v>
      </c>
      <c r="B5834" s="1">
        <v>45474</v>
      </c>
      <c r="C5834">
        <v>830230</v>
      </c>
      <c r="D5834" t="s">
        <v>176</v>
      </c>
      <c r="E5834">
        <v>313279</v>
      </c>
      <c r="F5834">
        <v>71353</v>
      </c>
      <c r="G5834">
        <v>18381</v>
      </c>
      <c r="H5834">
        <f>_xlfn.XLOOKUP(FACT_IMPORTS[[#This Row],[hts_6]],DIM_PRODUCTS[hts_6],DIM_PRODUCTS[hts_4],,,)</f>
        <v>8302</v>
      </c>
      <c r="I5834" t="str" cm="1">
        <f t="array" ref="I5834">_xlfn.XLOOKUP(FACT_IMPORTS[[#This Row],[country_name]],DIM_COUNTRY[[#All],[Column2]],DIM_COUNTRY[[#All],[Column3]],,,)</f>
        <v>Major_Non-USMCA_Non-China</v>
      </c>
    </row>
    <row r="5835" spans="1:9" x14ac:dyDescent="0.4">
      <c r="A5835" t="s">
        <v>68</v>
      </c>
      <c r="B5835" s="1">
        <v>45474</v>
      </c>
      <c r="C5835">
        <v>840731</v>
      </c>
      <c r="D5835" t="s">
        <v>176</v>
      </c>
      <c r="E5835">
        <v>0</v>
      </c>
      <c r="F5835">
        <v>0</v>
      </c>
      <c r="G5835">
        <v>0</v>
      </c>
      <c r="H5835">
        <f>_xlfn.XLOOKUP(FACT_IMPORTS[[#This Row],[hts_6]],DIM_PRODUCTS[hts_6],DIM_PRODUCTS[hts_4],,,)</f>
        <v>8407</v>
      </c>
      <c r="I5835" t="str" cm="1">
        <f t="array" ref="I5835">_xlfn.XLOOKUP(FACT_IMPORTS[[#This Row],[country_name]],DIM_COUNTRY[[#All],[Column2]],DIM_COUNTRY[[#All],[Column3]],,,)</f>
        <v>Major_Non-USMCA_Non-China</v>
      </c>
    </row>
    <row r="5836" spans="1:9" x14ac:dyDescent="0.4">
      <c r="A5836" t="s">
        <v>68</v>
      </c>
      <c r="B5836" s="1">
        <v>45474</v>
      </c>
      <c r="C5836">
        <v>840734</v>
      </c>
      <c r="D5836" t="s">
        <v>176</v>
      </c>
      <c r="E5836">
        <v>92591</v>
      </c>
      <c r="F5836">
        <v>23</v>
      </c>
      <c r="G5836">
        <v>216</v>
      </c>
      <c r="H5836">
        <f>_xlfn.XLOOKUP(FACT_IMPORTS[[#This Row],[hts_6]],DIM_PRODUCTS[hts_6],DIM_PRODUCTS[hts_4],,,)</f>
        <v>8407</v>
      </c>
      <c r="I5836" t="str" cm="1">
        <f t="array" ref="I5836">_xlfn.XLOOKUP(FACT_IMPORTS[[#This Row],[country_name]],DIM_COUNTRY[[#All],[Column2]],DIM_COUNTRY[[#All],[Column3]],,,)</f>
        <v>Major_Non-USMCA_Non-China</v>
      </c>
    </row>
    <row r="5837" spans="1:9" x14ac:dyDescent="0.4">
      <c r="A5837" t="s">
        <v>68</v>
      </c>
      <c r="B5837" s="1">
        <v>45474</v>
      </c>
      <c r="C5837">
        <v>840790</v>
      </c>
      <c r="D5837" t="s">
        <v>176</v>
      </c>
      <c r="E5837">
        <v>0</v>
      </c>
      <c r="F5837">
        <v>0</v>
      </c>
      <c r="G5837">
        <v>0</v>
      </c>
      <c r="H5837">
        <f>_xlfn.XLOOKUP(FACT_IMPORTS[[#This Row],[hts_6]],DIM_PRODUCTS[hts_6],DIM_PRODUCTS[hts_4],,,)</f>
        <v>8407</v>
      </c>
      <c r="I5837" t="str" cm="1">
        <f t="array" ref="I5837">_xlfn.XLOOKUP(FACT_IMPORTS[[#This Row],[country_name]],DIM_COUNTRY[[#All],[Column2]],DIM_COUNTRY[[#All],[Column3]],,,)</f>
        <v>Major_Non-USMCA_Non-China</v>
      </c>
    </row>
    <row r="5838" spans="1:9" x14ac:dyDescent="0.4">
      <c r="A5838" t="s">
        <v>68</v>
      </c>
      <c r="B5838" s="1">
        <v>45474</v>
      </c>
      <c r="C5838">
        <v>840820</v>
      </c>
      <c r="D5838" t="s">
        <v>176</v>
      </c>
      <c r="E5838">
        <v>80104</v>
      </c>
      <c r="F5838">
        <v>4</v>
      </c>
      <c r="G5838">
        <v>1436</v>
      </c>
      <c r="H5838">
        <f>_xlfn.XLOOKUP(FACT_IMPORTS[[#This Row],[hts_6]],DIM_PRODUCTS[hts_6],DIM_PRODUCTS[hts_4],,,)</f>
        <v>8408</v>
      </c>
      <c r="I5838" t="str" cm="1">
        <f t="array" ref="I5838">_xlfn.XLOOKUP(FACT_IMPORTS[[#This Row],[country_name]],DIM_COUNTRY[[#All],[Column2]],DIM_COUNTRY[[#All],[Column3]],,,)</f>
        <v>Major_Non-USMCA_Non-China</v>
      </c>
    </row>
    <row r="5839" spans="1:9" x14ac:dyDescent="0.4">
      <c r="A5839" t="s">
        <v>68</v>
      </c>
      <c r="B5839" s="1">
        <v>45474</v>
      </c>
      <c r="C5839">
        <v>840890</v>
      </c>
      <c r="D5839" t="s">
        <v>176</v>
      </c>
      <c r="E5839">
        <v>3800</v>
      </c>
      <c r="F5839">
        <v>1</v>
      </c>
      <c r="G5839">
        <v>465</v>
      </c>
      <c r="H5839">
        <f>_xlfn.XLOOKUP(FACT_IMPORTS[[#This Row],[hts_6]],DIM_PRODUCTS[hts_6],DIM_PRODUCTS[hts_4],,,)</f>
        <v>8408</v>
      </c>
      <c r="I5839" t="str" cm="1">
        <f t="array" ref="I5839">_xlfn.XLOOKUP(FACT_IMPORTS[[#This Row],[country_name]],DIM_COUNTRY[[#All],[Column2]],DIM_COUNTRY[[#All],[Column3]],,,)</f>
        <v>Major_Non-USMCA_Non-China</v>
      </c>
    </row>
    <row r="5840" spans="1:9" x14ac:dyDescent="0.4">
      <c r="A5840" t="s">
        <v>68</v>
      </c>
      <c r="B5840" s="1">
        <v>45474</v>
      </c>
      <c r="C5840">
        <v>840991</v>
      </c>
      <c r="D5840" t="s">
        <v>176</v>
      </c>
      <c r="E5840">
        <v>777793</v>
      </c>
      <c r="F5840">
        <v>51031</v>
      </c>
      <c r="G5840">
        <v>14688</v>
      </c>
      <c r="H5840">
        <f>_xlfn.XLOOKUP(FACT_IMPORTS[[#This Row],[hts_6]],DIM_PRODUCTS[hts_6],DIM_PRODUCTS[hts_4],,,)</f>
        <v>8409</v>
      </c>
      <c r="I5840" t="str" cm="1">
        <f t="array" ref="I5840">_xlfn.XLOOKUP(FACT_IMPORTS[[#This Row],[country_name]],DIM_COUNTRY[[#All],[Column2]],DIM_COUNTRY[[#All],[Column3]],,,)</f>
        <v>Major_Non-USMCA_Non-China</v>
      </c>
    </row>
    <row r="5841" spans="1:9" x14ac:dyDescent="0.4">
      <c r="A5841" t="s">
        <v>68</v>
      </c>
      <c r="B5841" s="1">
        <v>45474</v>
      </c>
      <c r="C5841">
        <v>840999</v>
      </c>
      <c r="D5841" t="s">
        <v>176</v>
      </c>
      <c r="E5841">
        <v>29651567</v>
      </c>
      <c r="F5841">
        <v>3917324</v>
      </c>
      <c r="G5841">
        <v>551808</v>
      </c>
      <c r="H5841">
        <f>_xlfn.XLOOKUP(FACT_IMPORTS[[#This Row],[hts_6]],DIM_PRODUCTS[hts_6],DIM_PRODUCTS[hts_4],,,)</f>
        <v>8409</v>
      </c>
      <c r="I5841" t="str" cm="1">
        <f t="array" ref="I5841">_xlfn.XLOOKUP(FACT_IMPORTS[[#This Row],[country_name]],DIM_COUNTRY[[#All],[Column2]],DIM_COUNTRY[[#All],[Column3]],,,)</f>
        <v>Major_Non-USMCA_Non-China</v>
      </c>
    </row>
    <row r="5842" spans="1:9" x14ac:dyDescent="0.4">
      <c r="A5842" t="s">
        <v>68</v>
      </c>
      <c r="B5842" s="1">
        <v>45474</v>
      </c>
      <c r="C5842">
        <v>841330</v>
      </c>
      <c r="D5842" t="s">
        <v>176</v>
      </c>
      <c r="E5842">
        <v>12526835</v>
      </c>
      <c r="F5842">
        <v>78880</v>
      </c>
      <c r="G5842">
        <v>34451</v>
      </c>
      <c r="H5842">
        <f>_xlfn.XLOOKUP(FACT_IMPORTS[[#This Row],[hts_6]],DIM_PRODUCTS[hts_6],DIM_PRODUCTS[hts_4],,,)</f>
        <v>8413</v>
      </c>
      <c r="I5842" t="str" cm="1">
        <f t="array" ref="I5842">_xlfn.XLOOKUP(FACT_IMPORTS[[#This Row],[country_name]],DIM_COUNTRY[[#All],[Column2]],DIM_COUNTRY[[#All],[Column3]],,,)</f>
        <v>Major_Non-USMCA_Non-China</v>
      </c>
    </row>
    <row r="5843" spans="1:9" x14ac:dyDescent="0.4">
      <c r="A5843" t="s">
        <v>68</v>
      </c>
      <c r="B5843" s="1">
        <v>45474</v>
      </c>
      <c r="C5843">
        <v>841520</v>
      </c>
      <c r="D5843" t="s">
        <v>176</v>
      </c>
      <c r="E5843">
        <v>0</v>
      </c>
      <c r="F5843">
        <v>0</v>
      </c>
      <c r="G5843">
        <v>0</v>
      </c>
      <c r="H5843">
        <f>_xlfn.XLOOKUP(FACT_IMPORTS[[#This Row],[hts_6]],DIM_PRODUCTS[hts_6],DIM_PRODUCTS[hts_4],,,)</f>
        <v>8415</v>
      </c>
      <c r="I5843" t="str" cm="1">
        <f t="array" ref="I5843">_xlfn.XLOOKUP(FACT_IMPORTS[[#This Row],[country_name]],DIM_COUNTRY[[#All],[Column2]],DIM_COUNTRY[[#All],[Column3]],,,)</f>
        <v>Major_Non-USMCA_Non-China</v>
      </c>
    </row>
    <row r="5844" spans="1:9" x14ac:dyDescent="0.4">
      <c r="A5844" t="s">
        <v>68</v>
      </c>
      <c r="B5844" s="1">
        <v>45474</v>
      </c>
      <c r="C5844">
        <v>842132</v>
      </c>
      <c r="D5844" t="s">
        <v>176</v>
      </c>
      <c r="E5844">
        <v>410080</v>
      </c>
      <c r="F5844">
        <v>789</v>
      </c>
      <c r="G5844">
        <v>3050</v>
      </c>
      <c r="H5844">
        <f>_xlfn.XLOOKUP(FACT_IMPORTS[[#This Row],[hts_6]],DIM_PRODUCTS[hts_6],DIM_PRODUCTS[hts_4],,,)</f>
        <v>8421</v>
      </c>
      <c r="I5844" t="str" cm="1">
        <f t="array" ref="I5844">_xlfn.XLOOKUP(FACT_IMPORTS[[#This Row],[country_name]],DIM_COUNTRY[[#All],[Column2]],DIM_COUNTRY[[#All],[Column3]],,,)</f>
        <v>Major_Non-USMCA_Non-China</v>
      </c>
    </row>
    <row r="5845" spans="1:9" x14ac:dyDescent="0.4">
      <c r="A5845" t="s">
        <v>68</v>
      </c>
      <c r="B5845" s="1">
        <v>45474</v>
      </c>
      <c r="C5845">
        <v>848210</v>
      </c>
      <c r="D5845" t="s">
        <v>176</v>
      </c>
      <c r="E5845">
        <v>417100</v>
      </c>
      <c r="F5845">
        <v>4071</v>
      </c>
      <c r="G5845">
        <v>14877</v>
      </c>
      <c r="H5845">
        <f>_xlfn.XLOOKUP(FACT_IMPORTS[[#This Row],[hts_6]],DIM_PRODUCTS[hts_6],DIM_PRODUCTS[hts_4],,,)</f>
        <v>8482</v>
      </c>
      <c r="I5845" t="str" cm="1">
        <f t="array" ref="I5845">_xlfn.XLOOKUP(FACT_IMPORTS[[#This Row],[country_name]],DIM_COUNTRY[[#All],[Column2]],DIM_COUNTRY[[#All],[Column3]],,,)</f>
        <v>Major_Non-USMCA_Non-China</v>
      </c>
    </row>
    <row r="5846" spans="1:9" x14ac:dyDescent="0.4">
      <c r="A5846" t="s">
        <v>68</v>
      </c>
      <c r="B5846" s="1">
        <v>45474</v>
      </c>
      <c r="C5846">
        <v>848220</v>
      </c>
      <c r="D5846" t="s">
        <v>176</v>
      </c>
      <c r="E5846">
        <v>244667</v>
      </c>
      <c r="F5846">
        <v>10379</v>
      </c>
      <c r="G5846">
        <v>3082</v>
      </c>
      <c r="H5846">
        <f>_xlfn.XLOOKUP(FACT_IMPORTS[[#This Row],[hts_6]],DIM_PRODUCTS[hts_6],DIM_PRODUCTS[hts_4],,,)</f>
        <v>8482</v>
      </c>
      <c r="I5846" t="str" cm="1">
        <f t="array" ref="I5846">_xlfn.XLOOKUP(FACT_IMPORTS[[#This Row],[country_name]],DIM_COUNTRY[[#All],[Column2]],DIM_COUNTRY[[#All],[Column3]],,,)</f>
        <v>Major_Non-USMCA_Non-China</v>
      </c>
    </row>
    <row r="5847" spans="1:9" x14ac:dyDescent="0.4">
      <c r="A5847" t="s">
        <v>68</v>
      </c>
      <c r="B5847" s="1">
        <v>45474</v>
      </c>
      <c r="C5847">
        <v>848310</v>
      </c>
      <c r="D5847" t="s">
        <v>176</v>
      </c>
      <c r="E5847">
        <v>5289624</v>
      </c>
      <c r="F5847">
        <v>36807</v>
      </c>
      <c r="G5847">
        <v>41290</v>
      </c>
      <c r="H5847">
        <f>_xlfn.XLOOKUP(FACT_IMPORTS[[#This Row],[hts_6]],DIM_PRODUCTS[hts_6],DIM_PRODUCTS[hts_4],,,)</f>
        <v>8483</v>
      </c>
      <c r="I5847" t="str" cm="1">
        <f t="array" ref="I5847">_xlfn.XLOOKUP(FACT_IMPORTS[[#This Row],[country_name]],DIM_COUNTRY[[#All],[Column2]],DIM_COUNTRY[[#All],[Column3]],,,)</f>
        <v>Major_Non-USMCA_Non-China</v>
      </c>
    </row>
    <row r="5848" spans="1:9" x14ac:dyDescent="0.4">
      <c r="A5848" t="s">
        <v>68</v>
      </c>
      <c r="B5848" s="1">
        <v>45474</v>
      </c>
      <c r="C5848">
        <v>850131</v>
      </c>
      <c r="D5848" t="s">
        <v>176</v>
      </c>
      <c r="E5848">
        <v>297228</v>
      </c>
      <c r="F5848">
        <v>4709</v>
      </c>
      <c r="G5848">
        <v>334</v>
      </c>
      <c r="H5848">
        <f>_xlfn.XLOOKUP(FACT_IMPORTS[[#This Row],[hts_6]],DIM_PRODUCTS[hts_6],DIM_PRODUCTS[hts_4],,,)</f>
        <v>8501</v>
      </c>
      <c r="I5848" t="str" cm="1">
        <f t="array" ref="I5848">_xlfn.XLOOKUP(FACT_IMPORTS[[#This Row],[country_name]],DIM_COUNTRY[[#All],[Column2]],DIM_COUNTRY[[#All],[Column3]],,,)</f>
        <v>Major_Non-USMCA_Non-China</v>
      </c>
    </row>
    <row r="5849" spans="1:9" x14ac:dyDescent="0.4">
      <c r="A5849" t="s">
        <v>68</v>
      </c>
      <c r="B5849" s="1">
        <v>45474</v>
      </c>
      <c r="C5849">
        <v>850132</v>
      </c>
      <c r="D5849" t="s">
        <v>176</v>
      </c>
      <c r="E5849">
        <v>32788</v>
      </c>
      <c r="F5849">
        <v>9</v>
      </c>
      <c r="G5849">
        <v>85</v>
      </c>
      <c r="H5849">
        <f>_xlfn.XLOOKUP(FACT_IMPORTS[[#This Row],[hts_6]],DIM_PRODUCTS[hts_6],DIM_PRODUCTS[hts_4],,,)</f>
        <v>8501</v>
      </c>
      <c r="I5849" t="str" cm="1">
        <f t="array" ref="I5849">_xlfn.XLOOKUP(FACT_IMPORTS[[#This Row],[country_name]],DIM_COUNTRY[[#All],[Column2]],DIM_COUNTRY[[#All],[Column3]],,,)</f>
        <v>Major_Non-USMCA_Non-China</v>
      </c>
    </row>
    <row r="5850" spans="1:9" x14ac:dyDescent="0.4">
      <c r="A5850" t="s">
        <v>68</v>
      </c>
      <c r="B5850" s="1">
        <v>45474</v>
      </c>
      <c r="C5850">
        <v>850133</v>
      </c>
      <c r="D5850" t="s">
        <v>176</v>
      </c>
      <c r="E5850">
        <v>0</v>
      </c>
      <c r="F5850">
        <v>0</v>
      </c>
      <c r="G5850">
        <v>0</v>
      </c>
      <c r="H5850">
        <f>_xlfn.XLOOKUP(FACT_IMPORTS[[#This Row],[hts_6]],DIM_PRODUCTS[hts_6],DIM_PRODUCTS[hts_4],,,)</f>
        <v>8501</v>
      </c>
      <c r="I5850" t="str" cm="1">
        <f t="array" ref="I5850">_xlfn.XLOOKUP(FACT_IMPORTS[[#This Row],[country_name]],DIM_COUNTRY[[#All],[Column2]],DIM_COUNTRY[[#All],[Column3]],,,)</f>
        <v>Major_Non-USMCA_Non-China</v>
      </c>
    </row>
    <row r="5851" spans="1:9" x14ac:dyDescent="0.4">
      <c r="A5851" t="s">
        <v>68</v>
      </c>
      <c r="B5851" s="1">
        <v>45474</v>
      </c>
      <c r="C5851">
        <v>850134</v>
      </c>
      <c r="D5851" t="s">
        <v>176</v>
      </c>
      <c r="E5851">
        <v>0</v>
      </c>
      <c r="F5851">
        <v>0</v>
      </c>
      <c r="G5851">
        <v>0</v>
      </c>
      <c r="H5851">
        <f>_xlfn.XLOOKUP(FACT_IMPORTS[[#This Row],[hts_6]],DIM_PRODUCTS[hts_6],DIM_PRODUCTS[hts_4],,,)</f>
        <v>8501</v>
      </c>
      <c r="I5851" t="str" cm="1">
        <f t="array" ref="I5851">_xlfn.XLOOKUP(FACT_IMPORTS[[#This Row],[country_name]],DIM_COUNTRY[[#All],[Column2]],DIM_COUNTRY[[#All],[Column3]],,,)</f>
        <v>Major_Non-USMCA_Non-China</v>
      </c>
    </row>
    <row r="5852" spans="1:9" x14ac:dyDescent="0.4">
      <c r="A5852" t="s">
        <v>68</v>
      </c>
      <c r="B5852" s="1">
        <v>45474</v>
      </c>
      <c r="C5852">
        <v>850152</v>
      </c>
      <c r="D5852" t="s">
        <v>176</v>
      </c>
      <c r="E5852">
        <v>613851</v>
      </c>
      <c r="F5852">
        <v>339</v>
      </c>
      <c r="G5852">
        <v>17636</v>
      </c>
      <c r="H5852">
        <f>_xlfn.XLOOKUP(FACT_IMPORTS[[#This Row],[hts_6]],DIM_PRODUCTS[hts_6],DIM_PRODUCTS[hts_4],,,)</f>
        <v>8501</v>
      </c>
      <c r="I5852" t="str" cm="1">
        <f t="array" ref="I5852">_xlfn.XLOOKUP(FACT_IMPORTS[[#This Row],[country_name]],DIM_COUNTRY[[#All],[Column2]],DIM_COUNTRY[[#All],[Column3]],,,)</f>
        <v>Major_Non-USMCA_Non-China</v>
      </c>
    </row>
    <row r="5853" spans="1:9" x14ac:dyDescent="0.4">
      <c r="A5853" t="s">
        <v>68</v>
      </c>
      <c r="B5853" s="1">
        <v>45474</v>
      </c>
      <c r="C5853">
        <v>850153</v>
      </c>
      <c r="D5853" t="s">
        <v>176</v>
      </c>
      <c r="E5853">
        <v>240725</v>
      </c>
      <c r="F5853">
        <v>27</v>
      </c>
      <c r="G5853">
        <v>7545</v>
      </c>
      <c r="H5853">
        <f>_xlfn.XLOOKUP(FACT_IMPORTS[[#This Row],[hts_6]],DIM_PRODUCTS[hts_6],DIM_PRODUCTS[hts_4],,,)</f>
        <v>8501</v>
      </c>
      <c r="I5853" t="str" cm="1">
        <f t="array" ref="I5853">_xlfn.XLOOKUP(FACT_IMPORTS[[#This Row],[country_name]],DIM_COUNTRY[[#All],[Column2]],DIM_COUNTRY[[#All],[Column3]],,,)</f>
        <v>Major_Non-USMCA_Non-China</v>
      </c>
    </row>
    <row r="5854" spans="1:9" x14ac:dyDescent="0.4">
      <c r="A5854" t="s">
        <v>68</v>
      </c>
      <c r="B5854" s="1">
        <v>45474</v>
      </c>
      <c r="C5854">
        <v>850161</v>
      </c>
      <c r="D5854" t="s">
        <v>176</v>
      </c>
      <c r="E5854">
        <v>11295</v>
      </c>
      <c r="F5854">
        <v>3</v>
      </c>
      <c r="G5854">
        <v>353</v>
      </c>
      <c r="H5854">
        <f>_xlfn.XLOOKUP(FACT_IMPORTS[[#This Row],[hts_6]],DIM_PRODUCTS[hts_6],DIM_PRODUCTS[hts_4],,,)</f>
        <v>8501</v>
      </c>
      <c r="I5854" t="str" cm="1">
        <f t="array" ref="I5854">_xlfn.XLOOKUP(FACT_IMPORTS[[#This Row],[country_name]],DIM_COUNTRY[[#All],[Column2]],DIM_COUNTRY[[#All],[Column3]],,,)</f>
        <v>Major_Non-USMCA_Non-China</v>
      </c>
    </row>
    <row r="5855" spans="1:9" x14ac:dyDescent="0.4">
      <c r="A5855" t="s">
        <v>68</v>
      </c>
      <c r="B5855" s="1">
        <v>45474</v>
      </c>
      <c r="C5855">
        <v>850440</v>
      </c>
      <c r="D5855" t="s">
        <v>176</v>
      </c>
      <c r="E5855">
        <v>510359</v>
      </c>
      <c r="F5855">
        <v>190</v>
      </c>
      <c r="G5855">
        <v>11735</v>
      </c>
      <c r="H5855">
        <f>_xlfn.XLOOKUP(FACT_IMPORTS[[#This Row],[hts_6]],DIM_PRODUCTS[hts_6],DIM_PRODUCTS[hts_4],,,)</f>
        <v>8504</v>
      </c>
      <c r="I5855" t="str" cm="1">
        <f t="array" ref="I5855">_xlfn.XLOOKUP(FACT_IMPORTS[[#This Row],[country_name]],DIM_COUNTRY[[#All],[Column2]],DIM_COUNTRY[[#All],[Column3]],,,)</f>
        <v>Major_Non-USMCA_Non-China</v>
      </c>
    </row>
    <row r="5856" spans="1:9" x14ac:dyDescent="0.4">
      <c r="A5856" t="s">
        <v>68</v>
      </c>
      <c r="B5856" s="1">
        <v>45474</v>
      </c>
      <c r="C5856">
        <v>850710</v>
      </c>
      <c r="D5856" t="s">
        <v>176</v>
      </c>
      <c r="E5856">
        <v>0</v>
      </c>
      <c r="F5856">
        <v>0</v>
      </c>
      <c r="G5856">
        <v>0</v>
      </c>
      <c r="H5856">
        <f>_xlfn.XLOOKUP(FACT_IMPORTS[[#This Row],[hts_6]],DIM_PRODUCTS[hts_6],DIM_PRODUCTS[hts_4],,,)</f>
        <v>8507</v>
      </c>
      <c r="I5856" t="str" cm="1">
        <f t="array" ref="I5856">_xlfn.XLOOKUP(FACT_IMPORTS[[#This Row],[country_name]],DIM_COUNTRY[[#All],[Column2]],DIM_COUNTRY[[#All],[Column3]],,,)</f>
        <v>Major_Non-USMCA_Non-China</v>
      </c>
    </row>
    <row r="5857" spans="1:9" x14ac:dyDescent="0.4">
      <c r="A5857" t="s">
        <v>68</v>
      </c>
      <c r="B5857" s="1">
        <v>45474</v>
      </c>
      <c r="C5857">
        <v>850760</v>
      </c>
      <c r="D5857" t="s">
        <v>176</v>
      </c>
      <c r="E5857">
        <v>784455</v>
      </c>
      <c r="F5857">
        <v>1531</v>
      </c>
      <c r="G5857">
        <v>2454</v>
      </c>
      <c r="H5857">
        <f>_xlfn.XLOOKUP(FACT_IMPORTS[[#This Row],[hts_6]],DIM_PRODUCTS[hts_6],DIM_PRODUCTS[hts_4],,,)</f>
        <v>8507</v>
      </c>
      <c r="I5857" t="str" cm="1">
        <f t="array" ref="I5857">_xlfn.XLOOKUP(FACT_IMPORTS[[#This Row],[country_name]],DIM_COUNTRY[[#All],[Column2]],DIM_COUNTRY[[#All],[Column3]],,,)</f>
        <v>Major_Non-USMCA_Non-China</v>
      </c>
    </row>
    <row r="5858" spans="1:9" x14ac:dyDescent="0.4">
      <c r="A5858" t="s">
        <v>68</v>
      </c>
      <c r="B5858" s="1">
        <v>45474</v>
      </c>
      <c r="C5858">
        <v>850790</v>
      </c>
      <c r="D5858" t="s">
        <v>176</v>
      </c>
      <c r="E5858">
        <v>372071</v>
      </c>
      <c r="F5858">
        <v>32904</v>
      </c>
      <c r="G5858">
        <v>12001</v>
      </c>
      <c r="H5858">
        <f>_xlfn.XLOOKUP(FACT_IMPORTS[[#This Row],[hts_6]],DIM_PRODUCTS[hts_6],DIM_PRODUCTS[hts_4],,,)</f>
        <v>8507</v>
      </c>
      <c r="I5858" t="str" cm="1">
        <f t="array" ref="I5858">_xlfn.XLOOKUP(FACT_IMPORTS[[#This Row],[country_name]],DIM_COUNTRY[[#All],[Column2]],DIM_COUNTRY[[#All],[Column3]],,,)</f>
        <v>Major_Non-USMCA_Non-China</v>
      </c>
    </row>
    <row r="5859" spans="1:9" x14ac:dyDescent="0.4">
      <c r="A5859" t="s">
        <v>68</v>
      </c>
      <c r="B5859" s="1">
        <v>45474</v>
      </c>
      <c r="C5859">
        <v>851110</v>
      </c>
      <c r="D5859" t="s">
        <v>176</v>
      </c>
      <c r="E5859">
        <v>75577</v>
      </c>
      <c r="F5859">
        <v>488</v>
      </c>
      <c r="G5859">
        <v>909</v>
      </c>
      <c r="H5859">
        <f>_xlfn.XLOOKUP(FACT_IMPORTS[[#This Row],[hts_6]],DIM_PRODUCTS[hts_6],DIM_PRODUCTS[hts_4],,,)</f>
        <v>8511</v>
      </c>
      <c r="I5859" t="str" cm="1">
        <f t="array" ref="I5859">_xlfn.XLOOKUP(FACT_IMPORTS[[#This Row],[country_name]],DIM_COUNTRY[[#All],[Column2]],DIM_COUNTRY[[#All],[Column3]],,,)</f>
        <v>Major_Non-USMCA_Non-China</v>
      </c>
    </row>
    <row r="5860" spans="1:9" x14ac:dyDescent="0.4">
      <c r="A5860" t="s">
        <v>68</v>
      </c>
      <c r="B5860" s="1">
        <v>45474</v>
      </c>
      <c r="C5860">
        <v>851120</v>
      </c>
      <c r="D5860" t="s">
        <v>176</v>
      </c>
      <c r="E5860">
        <v>9890</v>
      </c>
      <c r="F5860">
        <v>310</v>
      </c>
      <c r="G5860">
        <v>117</v>
      </c>
      <c r="H5860">
        <f>_xlfn.XLOOKUP(FACT_IMPORTS[[#This Row],[hts_6]],DIM_PRODUCTS[hts_6],DIM_PRODUCTS[hts_4],,,)</f>
        <v>8511</v>
      </c>
      <c r="I5860" t="str" cm="1">
        <f t="array" ref="I5860">_xlfn.XLOOKUP(FACT_IMPORTS[[#This Row],[country_name]],DIM_COUNTRY[[#All],[Column2]],DIM_COUNTRY[[#All],[Column3]],,,)</f>
        <v>Major_Non-USMCA_Non-China</v>
      </c>
    </row>
    <row r="5861" spans="1:9" x14ac:dyDescent="0.4">
      <c r="A5861" t="s">
        <v>68</v>
      </c>
      <c r="B5861" s="1">
        <v>45474</v>
      </c>
      <c r="C5861">
        <v>851130</v>
      </c>
      <c r="D5861" t="s">
        <v>176</v>
      </c>
      <c r="E5861">
        <v>12847</v>
      </c>
      <c r="F5861">
        <v>314</v>
      </c>
      <c r="G5861">
        <v>151</v>
      </c>
      <c r="H5861">
        <f>_xlfn.XLOOKUP(FACT_IMPORTS[[#This Row],[hts_6]],DIM_PRODUCTS[hts_6],DIM_PRODUCTS[hts_4],,,)</f>
        <v>8511</v>
      </c>
      <c r="I5861" t="str" cm="1">
        <f t="array" ref="I5861">_xlfn.XLOOKUP(FACT_IMPORTS[[#This Row],[country_name]],DIM_COUNTRY[[#All],[Column2]],DIM_COUNTRY[[#All],[Column3]],,,)</f>
        <v>Major_Non-USMCA_Non-China</v>
      </c>
    </row>
    <row r="5862" spans="1:9" x14ac:dyDescent="0.4">
      <c r="A5862" t="s">
        <v>68</v>
      </c>
      <c r="B5862" s="1">
        <v>45474</v>
      </c>
      <c r="C5862">
        <v>851140</v>
      </c>
      <c r="D5862" t="s">
        <v>176</v>
      </c>
      <c r="E5862">
        <v>30860</v>
      </c>
      <c r="F5862">
        <v>97</v>
      </c>
      <c r="G5862">
        <v>301</v>
      </c>
      <c r="H5862">
        <f>_xlfn.XLOOKUP(FACT_IMPORTS[[#This Row],[hts_6]],DIM_PRODUCTS[hts_6],DIM_PRODUCTS[hts_4],,,)</f>
        <v>8511</v>
      </c>
      <c r="I5862" t="str" cm="1">
        <f t="array" ref="I5862">_xlfn.XLOOKUP(FACT_IMPORTS[[#This Row],[country_name]],DIM_COUNTRY[[#All],[Column2]],DIM_COUNTRY[[#All],[Column3]],,,)</f>
        <v>Major_Non-USMCA_Non-China</v>
      </c>
    </row>
    <row r="5863" spans="1:9" x14ac:dyDescent="0.4">
      <c r="A5863" t="s">
        <v>68</v>
      </c>
      <c r="B5863" s="1">
        <v>45474</v>
      </c>
      <c r="C5863">
        <v>851150</v>
      </c>
      <c r="D5863" t="s">
        <v>176</v>
      </c>
      <c r="E5863">
        <v>0</v>
      </c>
      <c r="F5863">
        <v>0</v>
      </c>
      <c r="G5863">
        <v>0</v>
      </c>
      <c r="H5863">
        <f>_xlfn.XLOOKUP(FACT_IMPORTS[[#This Row],[hts_6]],DIM_PRODUCTS[hts_6],DIM_PRODUCTS[hts_4],,,)</f>
        <v>8511</v>
      </c>
      <c r="I5863" t="str" cm="1">
        <f t="array" ref="I5863">_xlfn.XLOOKUP(FACT_IMPORTS[[#This Row],[country_name]],DIM_COUNTRY[[#All],[Column2]],DIM_COUNTRY[[#All],[Column3]],,,)</f>
        <v>Major_Non-USMCA_Non-China</v>
      </c>
    </row>
    <row r="5864" spans="1:9" x14ac:dyDescent="0.4">
      <c r="A5864" t="s">
        <v>68</v>
      </c>
      <c r="B5864" s="1">
        <v>45474</v>
      </c>
      <c r="C5864">
        <v>851180</v>
      </c>
      <c r="D5864" t="s">
        <v>176</v>
      </c>
      <c r="E5864">
        <v>414869</v>
      </c>
      <c r="F5864">
        <v>2857</v>
      </c>
      <c r="G5864">
        <v>1200</v>
      </c>
      <c r="H5864">
        <f>_xlfn.XLOOKUP(FACT_IMPORTS[[#This Row],[hts_6]],DIM_PRODUCTS[hts_6],DIM_PRODUCTS[hts_4],,,)</f>
        <v>8511</v>
      </c>
      <c r="I5864" t="str" cm="1">
        <f t="array" ref="I5864">_xlfn.XLOOKUP(FACT_IMPORTS[[#This Row],[country_name]],DIM_COUNTRY[[#All],[Column2]],DIM_COUNTRY[[#All],[Column3]],,,)</f>
        <v>Major_Non-USMCA_Non-China</v>
      </c>
    </row>
    <row r="5865" spans="1:9" x14ac:dyDescent="0.4">
      <c r="A5865" t="s">
        <v>68</v>
      </c>
      <c r="B5865" s="1">
        <v>45474</v>
      </c>
      <c r="C5865">
        <v>851190</v>
      </c>
      <c r="D5865" t="s">
        <v>176</v>
      </c>
      <c r="E5865">
        <v>19669</v>
      </c>
      <c r="F5865">
        <v>114</v>
      </c>
      <c r="G5865">
        <v>232</v>
      </c>
      <c r="H5865">
        <f>_xlfn.XLOOKUP(FACT_IMPORTS[[#This Row],[hts_6]],DIM_PRODUCTS[hts_6],DIM_PRODUCTS[hts_4],,,)</f>
        <v>8511</v>
      </c>
      <c r="I5865" t="str" cm="1">
        <f t="array" ref="I5865">_xlfn.XLOOKUP(FACT_IMPORTS[[#This Row],[country_name]],DIM_COUNTRY[[#All],[Column2]],DIM_COUNTRY[[#All],[Column3]],,,)</f>
        <v>Major_Non-USMCA_Non-China</v>
      </c>
    </row>
    <row r="5866" spans="1:9" x14ac:dyDescent="0.4">
      <c r="A5866" t="s">
        <v>68</v>
      </c>
      <c r="B5866" s="1">
        <v>45474</v>
      </c>
      <c r="C5866">
        <v>851220</v>
      </c>
      <c r="D5866" t="s">
        <v>176</v>
      </c>
      <c r="E5866">
        <v>118240</v>
      </c>
      <c r="F5866">
        <v>5545</v>
      </c>
      <c r="G5866">
        <v>11824</v>
      </c>
      <c r="H5866">
        <f>_xlfn.XLOOKUP(FACT_IMPORTS[[#This Row],[hts_6]],DIM_PRODUCTS[hts_6],DIM_PRODUCTS[hts_4],,,)</f>
        <v>8512</v>
      </c>
      <c r="I5866" t="str" cm="1">
        <f t="array" ref="I5866">_xlfn.XLOOKUP(FACT_IMPORTS[[#This Row],[country_name]],DIM_COUNTRY[[#All],[Column2]],DIM_COUNTRY[[#All],[Column3]],,,)</f>
        <v>Major_Non-USMCA_Non-China</v>
      </c>
    </row>
    <row r="5867" spans="1:9" x14ac:dyDescent="0.4">
      <c r="A5867" t="s">
        <v>68</v>
      </c>
      <c r="B5867" s="1">
        <v>45474</v>
      </c>
      <c r="C5867">
        <v>851230</v>
      </c>
      <c r="D5867" t="s">
        <v>176</v>
      </c>
      <c r="E5867">
        <v>4787</v>
      </c>
      <c r="F5867">
        <v>352</v>
      </c>
      <c r="G5867">
        <v>27</v>
      </c>
      <c r="H5867">
        <f>_xlfn.XLOOKUP(FACT_IMPORTS[[#This Row],[hts_6]],DIM_PRODUCTS[hts_6],DIM_PRODUCTS[hts_4],,,)</f>
        <v>8512</v>
      </c>
      <c r="I5867" t="str" cm="1">
        <f t="array" ref="I5867">_xlfn.XLOOKUP(FACT_IMPORTS[[#This Row],[country_name]],DIM_COUNTRY[[#All],[Column2]],DIM_COUNTRY[[#All],[Column3]],,,)</f>
        <v>Major_Non-USMCA_Non-China</v>
      </c>
    </row>
    <row r="5868" spans="1:9" x14ac:dyDescent="0.4">
      <c r="A5868" t="s">
        <v>68</v>
      </c>
      <c r="B5868" s="1">
        <v>45474</v>
      </c>
      <c r="C5868">
        <v>851240</v>
      </c>
      <c r="D5868" t="s">
        <v>176</v>
      </c>
      <c r="E5868">
        <v>0</v>
      </c>
      <c r="F5868">
        <v>0</v>
      </c>
      <c r="G5868">
        <v>0</v>
      </c>
      <c r="H5868">
        <f>_xlfn.XLOOKUP(FACT_IMPORTS[[#This Row],[hts_6]],DIM_PRODUCTS[hts_6],DIM_PRODUCTS[hts_4],,,)</f>
        <v>8512</v>
      </c>
      <c r="I5868" t="str" cm="1">
        <f t="array" ref="I5868">_xlfn.XLOOKUP(FACT_IMPORTS[[#This Row],[country_name]],DIM_COUNTRY[[#All],[Column2]],DIM_COUNTRY[[#All],[Column3]],,,)</f>
        <v>Major_Non-USMCA_Non-China</v>
      </c>
    </row>
    <row r="5869" spans="1:9" x14ac:dyDescent="0.4">
      <c r="A5869" t="s">
        <v>68</v>
      </c>
      <c r="B5869" s="1">
        <v>45474</v>
      </c>
      <c r="C5869">
        <v>851290</v>
      </c>
      <c r="D5869" t="s">
        <v>176</v>
      </c>
      <c r="E5869">
        <v>4194</v>
      </c>
      <c r="F5869">
        <v>102</v>
      </c>
      <c r="G5869">
        <v>900</v>
      </c>
      <c r="H5869">
        <f>_xlfn.XLOOKUP(FACT_IMPORTS[[#This Row],[hts_6]],DIM_PRODUCTS[hts_6],DIM_PRODUCTS[hts_4],,,)</f>
        <v>8512</v>
      </c>
      <c r="I5869" t="str" cm="1">
        <f t="array" ref="I5869">_xlfn.XLOOKUP(FACT_IMPORTS[[#This Row],[country_name]],DIM_COUNTRY[[#All],[Column2]],DIM_COUNTRY[[#All],[Column3]],,,)</f>
        <v>Major_Non-USMCA_Non-China</v>
      </c>
    </row>
    <row r="5870" spans="1:9" x14ac:dyDescent="0.4">
      <c r="A5870" t="s">
        <v>68</v>
      </c>
      <c r="B5870" s="1">
        <v>45474</v>
      </c>
      <c r="C5870">
        <v>854231</v>
      </c>
      <c r="D5870" t="s">
        <v>176</v>
      </c>
      <c r="E5870">
        <v>11360</v>
      </c>
      <c r="F5870">
        <v>17</v>
      </c>
      <c r="G5870">
        <v>198</v>
      </c>
      <c r="H5870">
        <f>_xlfn.XLOOKUP(FACT_IMPORTS[[#This Row],[hts_6]],DIM_PRODUCTS[hts_6],DIM_PRODUCTS[hts_4],,,)</f>
        <v>8542</v>
      </c>
      <c r="I5870" t="str" cm="1">
        <f t="array" ref="I5870">_xlfn.XLOOKUP(FACT_IMPORTS[[#This Row],[country_name]],DIM_COUNTRY[[#All],[Column2]],DIM_COUNTRY[[#All],[Column3]],,,)</f>
        <v>Major_Non-USMCA_Non-China</v>
      </c>
    </row>
    <row r="5871" spans="1:9" x14ac:dyDescent="0.4">
      <c r="A5871" t="s">
        <v>68</v>
      </c>
      <c r="B5871" s="1">
        <v>45474</v>
      </c>
      <c r="C5871">
        <v>854233</v>
      </c>
      <c r="D5871" t="s">
        <v>176</v>
      </c>
      <c r="E5871">
        <v>0</v>
      </c>
      <c r="F5871">
        <v>0</v>
      </c>
      <c r="G5871">
        <v>0</v>
      </c>
      <c r="H5871">
        <f>_xlfn.XLOOKUP(FACT_IMPORTS[[#This Row],[hts_6]],DIM_PRODUCTS[hts_6],DIM_PRODUCTS[hts_4],,,)</f>
        <v>8542</v>
      </c>
      <c r="I5871" t="str" cm="1">
        <f t="array" ref="I5871">_xlfn.XLOOKUP(FACT_IMPORTS[[#This Row],[country_name]],DIM_COUNTRY[[#All],[Column2]],DIM_COUNTRY[[#All],[Column3]],,,)</f>
        <v>Major_Non-USMCA_Non-China</v>
      </c>
    </row>
    <row r="5872" spans="1:9" x14ac:dyDescent="0.4">
      <c r="A5872" t="s">
        <v>68</v>
      </c>
      <c r="B5872" s="1">
        <v>45474</v>
      </c>
      <c r="C5872">
        <v>854239</v>
      </c>
      <c r="D5872" t="s">
        <v>176</v>
      </c>
      <c r="E5872">
        <v>55656</v>
      </c>
      <c r="F5872">
        <v>34</v>
      </c>
      <c r="G5872">
        <v>313</v>
      </c>
      <c r="H5872">
        <f>_xlfn.XLOOKUP(FACT_IMPORTS[[#This Row],[hts_6]],DIM_PRODUCTS[hts_6],DIM_PRODUCTS[hts_4],,,)</f>
        <v>8542</v>
      </c>
      <c r="I5872" t="str" cm="1">
        <f t="array" ref="I5872">_xlfn.XLOOKUP(FACT_IMPORTS[[#This Row],[country_name]],DIM_COUNTRY[[#All],[Column2]],DIM_COUNTRY[[#All],[Column3]],,,)</f>
        <v>Major_Non-USMCA_Non-China</v>
      </c>
    </row>
    <row r="5873" spans="1:9" x14ac:dyDescent="0.4">
      <c r="A5873" t="s">
        <v>68</v>
      </c>
      <c r="B5873" s="1">
        <v>45474</v>
      </c>
      <c r="C5873">
        <v>854290</v>
      </c>
      <c r="D5873" t="s">
        <v>176</v>
      </c>
      <c r="E5873">
        <v>0</v>
      </c>
      <c r="F5873">
        <v>0</v>
      </c>
      <c r="G5873">
        <v>0</v>
      </c>
      <c r="H5873">
        <f>_xlfn.XLOOKUP(FACT_IMPORTS[[#This Row],[hts_6]],DIM_PRODUCTS[hts_6],DIM_PRODUCTS[hts_4],,,)</f>
        <v>8542</v>
      </c>
      <c r="I5873" t="str" cm="1">
        <f t="array" ref="I5873">_xlfn.XLOOKUP(FACT_IMPORTS[[#This Row],[country_name]],DIM_COUNTRY[[#All],[Column2]],DIM_COUNTRY[[#All],[Column3]],,,)</f>
        <v>Major_Non-USMCA_Non-China</v>
      </c>
    </row>
    <row r="5874" spans="1:9" x14ac:dyDescent="0.4">
      <c r="A5874" t="s">
        <v>68</v>
      </c>
      <c r="B5874" s="1">
        <v>45474</v>
      </c>
      <c r="C5874">
        <v>854430</v>
      </c>
      <c r="D5874" t="s">
        <v>176</v>
      </c>
      <c r="E5874">
        <v>116126</v>
      </c>
      <c r="F5874">
        <v>4884</v>
      </c>
      <c r="G5874">
        <v>1809</v>
      </c>
      <c r="H5874">
        <f>_xlfn.XLOOKUP(FACT_IMPORTS[[#This Row],[hts_6]],DIM_PRODUCTS[hts_6],DIM_PRODUCTS[hts_4],,,)</f>
        <v>8544</v>
      </c>
      <c r="I5874" t="str" cm="1">
        <f t="array" ref="I5874">_xlfn.XLOOKUP(FACT_IMPORTS[[#This Row],[country_name]],DIM_COUNTRY[[#All],[Column2]],DIM_COUNTRY[[#All],[Column3]],,,)</f>
        <v>Major_Non-USMCA_Non-China</v>
      </c>
    </row>
    <row r="5875" spans="1:9" x14ac:dyDescent="0.4">
      <c r="A5875" t="s">
        <v>68</v>
      </c>
      <c r="B5875" s="1">
        <v>45474</v>
      </c>
      <c r="C5875">
        <v>870790</v>
      </c>
      <c r="D5875" t="s">
        <v>176</v>
      </c>
      <c r="E5875">
        <v>0</v>
      </c>
      <c r="F5875">
        <v>0</v>
      </c>
      <c r="G5875">
        <v>0</v>
      </c>
      <c r="H5875">
        <f>_xlfn.XLOOKUP(FACT_IMPORTS[[#This Row],[hts_6]],DIM_PRODUCTS[hts_6],DIM_PRODUCTS[hts_4],,,)</f>
        <v>8707</v>
      </c>
      <c r="I5875" t="str" cm="1">
        <f t="array" ref="I5875">_xlfn.XLOOKUP(FACT_IMPORTS[[#This Row],[country_name]],DIM_COUNTRY[[#All],[Column2]],DIM_COUNTRY[[#All],[Column3]],,,)</f>
        <v>Major_Non-USMCA_Non-China</v>
      </c>
    </row>
    <row r="5876" spans="1:9" x14ac:dyDescent="0.4">
      <c r="A5876" t="s">
        <v>68</v>
      </c>
      <c r="B5876" s="1">
        <v>45474</v>
      </c>
      <c r="C5876">
        <v>870810</v>
      </c>
      <c r="D5876" t="s">
        <v>176</v>
      </c>
      <c r="E5876">
        <v>32713</v>
      </c>
      <c r="F5876">
        <v>462</v>
      </c>
      <c r="G5876">
        <v>492</v>
      </c>
      <c r="H5876">
        <f>_xlfn.XLOOKUP(FACT_IMPORTS[[#This Row],[hts_6]],DIM_PRODUCTS[hts_6],DIM_PRODUCTS[hts_4],,,)</f>
        <v>8708</v>
      </c>
      <c r="I5876" t="str" cm="1">
        <f t="array" ref="I5876">_xlfn.XLOOKUP(FACT_IMPORTS[[#This Row],[country_name]],DIM_COUNTRY[[#All],[Column2]],DIM_COUNTRY[[#All],[Column3]],,,)</f>
        <v>Major_Non-USMCA_Non-China</v>
      </c>
    </row>
    <row r="5877" spans="1:9" x14ac:dyDescent="0.4">
      <c r="A5877" t="s">
        <v>68</v>
      </c>
      <c r="B5877" s="1">
        <v>45474</v>
      </c>
      <c r="C5877">
        <v>870821</v>
      </c>
      <c r="D5877" t="s">
        <v>176</v>
      </c>
      <c r="E5877">
        <v>2893</v>
      </c>
      <c r="F5877">
        <v>123</v>
      </c>
      <c r="G5877">
        <v>5</v>
      </c>
      <c r="H5877">
        <f>_xlfn.XLOOKUP(FACT_IMPORTS[[#This Row],[hts_6]],DIM_PRODUCTS[hts_6],DIM_PRODUCTS[hts_4],,,)</f>
        <v>8708</v>
      </c>
      <c r="I5877" t="str" cm="1">
        <f t="array" ref="I5877">_xlfn.XLOOKUP(FACT_IMPORTS[[#This Row],[country_name]],DIM_COUNTRY[[#All],[Column2]],DIM_COUNTRY[[#All],[Column3]],,,)</f>
        <v>Major_Non-USMCA_Non-China</v>
      </c>
    </row>
    <row r="5878" spans="1:9" x14ac:dyDescent="0.4">
      <c r="A5878" t="s">
        <v>68</v>
      </c>
      <c r="B5878" s="1">
        <v>45474</v>
      </c>
      <c r="C5878">
        <v>870822</v>
      </c>
      <c r="D5878" t="s">
        <v>176</v>
      </c>
      <c r="E5878">
        <v>0</v>
      </c>
      <c r="F5878">
        <v>0</v>
      </c>
      <c r="G5878">
        <v>0</v>
      </c>
      <c r="H5878">
        <f>_xlfn.XLOOKUP(FACT_IMPORTS[[#This Row],[hts_6]],DIM_PRODUCTS[hts_6],DIM_PRODUCTS[hts_4],,,)</f>
        <v>8708</v>
      </c>
      <c r="I5878" t="str" cm="1">
        <f t="array" ref="I5878">_xlfn.XLOOKUP(FACT_IMPORTS[[#This Row],[country_name]],DIM_COUNTRY[[#All],[Column2]],DIM_COUNTRY[[#All],[Column3]],,,)</f>
        <v>Major_Non-USMCA_Non-China</v>
      </c>
    </row>
    <row r="5879" spans="1:9" x14ac:dyDescent="0.4">
      <c r="A5879" t="s">
        <v>68</v>
      </c>
      <c r="B5879" s="1">
        <v>45474</v>
      </c>
      <c r="C5879">
        <v>870829</v>
      </c>
      <c r="D5879" t="s">
        <v>176</v>
      </c>
      <c r="E5879">
        <v>1567397</v>
      </c>
      <c r="F5879">
        <v>536141</v>
      </c>
      <c r="G5879">
        <v>31224</v>
      </c>
      <c r="H5879">
        <f>_xlfn.XLOOKUP(FACT_IMPORTS[[#This Row],[hts_6]],DIM_PRODUCTS[hts_6],DIM_PRODUCTS[hts_4],,,)</f>
        <v>8708</v>
      </c>
      <c r="I5879" t="str" cm="1">
        <f t="array" ref="I5879">_xlfn.XLOOKUP(FACT_IMPORTS[[#This Row],[country_name]],DIM_COUNTRY[[#All],[Column2]],DIM_COUNTRY[[#All],[Column3]],,,)</f>
        <v>Major_Non-USMCA_Non-China</v>
      </c>
    </row>
    <row r="5880" spans="1:9" x14ac:dyDescent="0.4">
      <c r="A5880" t="s">
        <v>68</v>
      </c>
      <c r="B5880" s="1">
        <v>45474</v>
      </c>
      <c r="C5880">
        <v>870830</v>
      </c>
      <c r="D5880" t="s">
        <v>176</v>
      </c>
      <c r="E5880">
        <v>320004</v>
      </c>
      <c r="F5880">
        <v>76308</v>
      </c>
      <c r="G5880">
        <v>6215</v>
      </c>
      <c r="H5880">
        <f>_xlfn.XLOOKUP(FACT_IMPORTS[[#This Row],[hts_6]],DIM_PRODUCTS[hts_6],DIM_PRODUCTS[hts_4],,,)</f>
        <v>8708</v>
      </c>
      <c r="I5880" t="str" cm="1">
        <f t="array" ref="I5880">_xlfn.XLOOKUP(FACT_IMPORTS[[#This Row],[country_name]],DIM_COUNTRY[[#All],[Column2]],DIM_COUNTRY[[#All],[Column3]],,,)</f>
        <v>Major_Non-USMCA_Non-China</v>
      </c>
    </row>
    <row r="5881" spans="1:9" x14ac:dyDescent="0.4">
      <c r="A5881" t="s">
        <v>68</v>
      </c>
      <c r="B5881" s="1">
        <v>45474</v>
      </c>
      <c r="C5881">
        <v>870840</v>
      </c>
      <c r="D5881" t="s">
        <v>176</v>
      </c>
      <c r="E5881">
        <v>50032810</v>
      </c>
      <c r="F5881">
        <v>1373276</v>
      </c>
      <c r="G5881">
        <v>163249</v>
      </c>
      <c r="H5881">
        <f>_xlfn.XLOOKUP(FACT_IMPORTS[[#This Row],[hts_6]],DIM_PRODUCTS[hts_6],DIM_PRODUCTS[hts_4],,,)</f>
        <v>8708</v>
      </c>
      <c r="I5881" t="str" cm="1">
        <f t="array" ref="I5881">_xlfn.XLOOKUP(FACT_IMPORTS[[#This Row],[country_name]],DIM_COUNTRY[[#All],[Column2]],DIM_COUNTRY[[#All],[Column3]],,,)</f>
        <v>Major_Non-USMCA_Non-China</v>
      </c>
    </row>
    <row r="5882" spans="1:9" x14ac:dyDescent="0.4">
      <c r="A5882" t="s">
        <v>68</v>
      </c>
      <c r="B5882" s="1">
        <v>45474</v>
      </c>
      <c r="C5882">
        <v>870850</v>
      </c>
      <c r="D5882" t="s">
        <v>176</v>
      </c>
      <c r="E5882">
        <v>12478602</v>
      </c>
      <c r="F5882">
        <v>411599</v>
      </c>
      <c r="G5882">
        <v>133385</v>
      </c>
      <c r="H5882">
        <f>_xlfn.XLOOKUP(FACT_IMPORTS[[#This Row],[hts_6]],DIM_PRODUCTS[hts_6],DIM_PRODUCTS[hts_4],,,)</f>
        <v>8708</v>
      </c>
      <c r="I5882" t="str" cm="1">
        <f t="array" ref="I5882">_xlfn.XLOOKUP(FACT_IMPORTS[[#This Row],[country_name]],DIM_COUNTRY[[#All],[Column2]],DIM_COUNTRY[[#All],[Column3]],,,)</f>
        <v>Major_Non-USMCA_Non-China</v>
      </c>
    </row>
    <row r="5883" spans="1:9" x14ac:dyDescent="0.4">
      <c r="A5883" t="s">
        <v>68</v>
      </c>
      <c r="B5883" s="1">
        <v>45474</v>
      </c>
      <c r="C5883">
        <v>870870</v>
      </c>
      <c r="D5883" t="s">
        <v>176</v>
      </c>
      <c r="E5883">
        <v>20276</v>
      </c>
      <c r="F5883">
        <v>188</v>
      </c>
      <c r="G5883">
        <v>717</v>
      </c>
      <c r="H5883">
        <f>_xlfn.XLOOKUP(FACT_IMPORTS[[#This Row],[hts_6]],DIM_PRODUCTS[hts_6],DIM_PRODUCTS[hts_4],,,)</f>
        <v>8708</v>
      </c>
      <c r="I5883" t="str" cm="1">
        <f t="array" ref="I5883">_xlfn.XLOOKUP(FACT_IMPORTS[[#This Row],[country_name]],DIM_COUNTRY[[#All],[Column2]],DIM_COUNTRY[[#All],[Column3]],,,)</f>
        <v>Major_Non-USMCA_Non-China</v>
      </c>
    </row>
    <row r="5884" spans="1:9" x14ac:dyDescent="0.4">
      <c r="A5884" t="s">
        <v>68</v>
      </c>
      <c r="B5884" s="1">
        <v>45474</v>
      </c>
      <c r="C5884">
        <v>870880</v>
      </c>
      <c r="D5884" t="s">
        <v>176</v>
      </c>
      <c r="E5884">
        <v>2011678</v>
      </c>
      <c r="F5884">
        <v>503857</v>
      </c>
      <c r="G5884">
        <v>26036</v>
      </c>
      <c r="H5884">
        <f>_xlfn.XLOOKUP(FACT_IMPORTS[[#This Row],[hts_6]],DIM_PRODUCTS[hts_6],DIM_PRODUCTS[hts_4],,,)</f>
        <v>8708</v>
      </c>
      <c r="I5884" t="str" cm="1">
        <f t="array" ref="I5884">_xlfn.XLOOKUP(FACT_IMPORTS[[#This Row],[country_name]],DIM_COUNTRY[[#All],[Column2]],DIM_COUNTRY[[#All],[Column3]],,,)</f>
        <v>Major_Non-USMCA_Non-China</v>
      </c>
    </row>
    <row r="5885" spans="1:9" x14ac:dyDescent="0.4">
      <c r="A5885" t="s">
        <v>68</v>
      </c>
      <c r="B5885" s="1">
        <v>45474</v>
      </c>
      <c r="C5885">
        <v>870891</v>
      </c>
      <c r="D5885" t="s">
        <v>176</v>
      </c>
      <c r="E5885">
        <v>0</v>
      </c>
      <c r="F5885">
        <v>0</v>
      </c>
      <c r="G5885">
        <v>0</v>
      </c>
      <c r="H5885">
        <f>_xlfn.XLOOKUP(FACT_IMPORTS[[#This Row],[hts_6]],DIM_PRODUCTS[hts_6],DIM_PRODUCTS[hts_4],,,)</f>
        <v>8708</v>
      </c>
      <c r="I5885" t="str" cm="1">
        <f t="array" ref="I5885">_xlfn.XLOOKUP(FACT_IMPORTS[[#This Row],[country_name]],DIM_COUNTRY[[#All],[Column2]],DIM_COUNTRY[[#All],[Column3]],,,)</f>
        <v>Major_Non-USMCA_Non-China</v>
      </c>
    </row>
    <row r="5886" spans="1:9" x14ac:dyDescent="0.4">
      <c r="A5886" t="s">
        <v>68</v>
      </c>
      <c r="B5886" s="1">
        <v>45474</v>
      </c>
      <c r="C5886">
        <v>870892</v>
      </c>
      <c r="D5886" t="s">
        <v>176</v>
      </c>
      <c r="E5886">
        <v>375149</v>
      </c>
      <c r="F5886">
        <v>158578</v>
      </c>
      <c r="G5886">
        <v>14010</v>
      </c>
      <c r="H5886">
        <f>_xlfn.XLOOKUP(FACT_IMPORTS[[#This Row],[hts_6]],DIM_PRODUCTS[hts_6],DIM_PRODUCTS[hts_4],,,)</f>
        <v>8708</v>
      </c>
      <c r="I5886" t="str" cm="1">
        <f t="array" ref="I5886">_xlfn.XLOOKUP(FACT_IMPORTS[[#This Row],[country_name]],DIM_COUNTRY[[#All],[Column2]],DIM_COUNTRY[[#All],[Column3]],,,)</f>
        <v>Major_Non-USMCA_Non-China</v>
      </c>
    </row>
    <row r="5887" spans="1:9" x14ac:dyDescent="0.4">
      <c r="A5887" t="s">
        <v>68</v>
      </c>
      <c r="B5887" s="1">
        <v>45474</v>
      </c>
      <c r="C5887">
        <v>870893</v>
      </c>
      <c r="D5887" t="s">
        <v>176</v>
      </c>
      <c r="E5887">
        <v>1056391</v>
      </c>
      <c r="F5887">
        <v>5624</v>
      </c>
      <c r="G5887">
        <v>7256</v>
      </c>
      <c r="H5887">
        <f>_xlfn.XLOOKUP(FACT_IMPORTS[[#This Row],[hts_6]],DIM_PRODUCTS[hts_6],DIM_PRODUCTS[hts_4],,,)</f>
        <v>8708</v>
      </c>
      <c r="I5887" t="str" cm="1">
        <f t="array" ref="I5887">_xlfn.XLOOKUP(FACT_IMPORTS[[#This Row],[country_name]],DIM_COUNTRY[[#All],[Column2]],DIM_COUNTRY[[#All],[Column3]],,,)</f>
        <v>Major_Non-USMCA_Non-China</v>
      </c>
    </row>
    <row r="5888" spans="1:9" x14ac:dyDescent="0.4">
      <c r="A5888" t="s">
        <v>68</v>
      </c>
      <c r="B5888" s="1">
        <v>45474</v>
      </c>
      <c r="C5888">
        <v>870894</v>
      </c>
      <c r="D5888" t="s">
        <v>176</v>
      </c>
      <c r="E5888">
        <v>191690</v>
      </c>
      <c r="F5888">
        <v>1391</v>
      </c>
      <c r="G5888">
        <v>3861</v>
      </c>
      <c r="H5888">
        <f>_xlfn.XLOOKUP(FACT_IMPORTS[[#This Row],[hts_6]],DIM_PRODUCTS[hts_6],DIM_PRODUCTS[hts_4],,,)</f>
        <v>8708</v>
      </c>
      <c r="I5888" t="str" cm="1">
        <f t="array" ref="I5888">_xlfn.XLOOKUP(FACT_IMPORTS[[#This Row],[country_name]],DIM_COUNTRY[[#All],[Column2]],DIM_COUNTRY[[#All],[Column3]],,,)</f>
        <v>Major_Non-USMCA_Non-China</v>
      </c>
    </row>
    <row r="5889" spans="1:9" x14ac:dyDescent="0.4">
      <c r="A5889" t="s">
        <v>68</v>
      </c>
      <c r="B5889" s="1">
        <v>45474</v>
      </c>
      <c r="C5889">
        <v>870895</v>
      </c>
      <c r="D5889" t="s">
        <v>176</v>
      </c>
      <c r="E5889">
        <v>0</v>
      </c>
      <c r="F5889">
        <v>0</v>
      </c>
      <c r="G5889">
        <v>0</v>
      </c>
      <c r="H5889">
        <f>_xlfn.XLOOKUP(FACT_IMPORTS[[#This Row],[hts_6]],DIM_PRODUCTS[hts_6],DIM_PRODUCTS[hts_4],,,)</f>
        <v>8708</v>
      </c>
      <c r="I5889" t="str" cm="1">
        <f t="array" ref="I5889">_xlfn.XLOOKUP(FACT_IMPORTS[[#This Row],[country_name]],DIM_COUNTRY[[#All],[Column2]],DIM_COUNTRY[[#All],[Column3]],,,)</f>
        <v>Major_Non-USMCA_Non-China</v>
      </c>
    </row>
    <row r="5890" spans="1:9" x14ac:dyDescent="0.4">
      <c r="A5890" t="s">
        <v>68</v>
      </c>
      <c r="B5890" s="1">
        <v>45474</v>
      </c>
      <c r="C5890">
        <v>870899</v>
      </c>
      <c r="D5890" t="s">
        <v>176</v>
      </c>
      <c r="E5890">
        <v>4409956</v>
      </c>
      <c r="F5890">
        <v>468717</v>
      </c>
      <c r="G5890">
        <v>64545</v>
      </c>
      <c r="H5890">
        <f>_xlfn.XLOOKUP(FACT_IMPORTS[[#This Row],[hts_6]],DIM_PRODUCTS[hts_6],DIM_PRODUCTS[hts_4],,,)</f>
        <v>8708</v>
      </c>
      <c r="I5890" t="str" cm="1">
        <f t="array" ref="I5890">_xlfn.XLOOKUP(FACT_IMPORTS[[#This Row],[country_name]],DIM_COUNTRY[[#All],[Column2]],DIM_COUNTRY[[#All],[Column3]],,,)</f>
        <v>Major_Non-USMCA_Non-China</v>
      </c>
    </row>
    <row r="5891" spans="1:9" x14ac:dyDescent="0.4">
      <c r="A5891" t="s">
        <v>68</v>
      </c>
      <c r="B5891" s="1">
        <v>45474</v>
      </c>
      <c r="C5891">
        <v>940120</v>
      </c>
      <c r="D5891" t="s">
        <v>176</v>
      </c>
      <c r="E5891">
        <v>121826</v>
      </c>
      <c r="F5891">
        <v>187</v>
      </c>
      <c r="G5891">
        <v>10259</v>
      </c>
      <c r="H5891">
        <f>_xlfn.XLOOKUP(FACT_IMPORTS[[#This Row],[hts_6]],DIM_PRODUCTS[hts_6],DIM_PRODUCTS[hts_4],,,)</f>
        <v>9401</v>
      </c>
      <c r="I5891" t="str" cm="1">
        <f t="array" ref="I5891">_xlfn.XLOOKUP(FACT_IMPORTS[[#This Row],[country_name]],DIM_COUNTRY[[#All],[Column2]],DIM_COUNTRY[[#All],[Column3]],,,)</f>
        <v>Major_Non-USMCA_Non-China</v>
      </c>
    </row>
    <row r="5892" spans="1:9" x14ac:dyDescent="0.4">
      <c r="A5892" t="s">
        <v>68</v>
      </c>
      <c r="B5892" s="1">
        <v>45505</v>
      </c>
      <c r="C5892">
        <v>392630</v>
      </c>
      <c r="D5892" t="s">
        <v>176</v>
      </c>
      <c r="E5892">
        <v>188148</v>
      </c>
      <c r="F5892">
        <v>15035</v>
      </c>
      <c r="G5892">
        <v>5471</v>
      </c>
      <c r="H5892">
        <f>_xlfn.XLOOKUP(FACT_IMPORTS[[#This Row],[hts_6]],DIM_PRODUCTS[hts_6],DIM_PRODUCTS[hts_4],,,)</f>
        <v>3926</v>
      </c>
      <c r="I5892" t="str" cm="1">
        <f t="array" ref="I5892">_xlfn.XLOOKUP(FACT_IMPORTS[[#This Row],[country_name]],DIM_COUNTRY[[#All],[Column2]],DIM_COUNTRY[[#All],[Column3]],,,)</f>
        <v>Major_Non-USMCA_Non-China</v>
      </c>
    </row>
    <row r="5893" spans="1:9" x14ac:dyDescent="0.4">
      <c r="A5893" t="s">
        <v>68</v>
      </c>
      <c r="B5893" s="1">
        <v>45505</v>
      </c>
      <c r="C5893">
        <v>401110</v>
      </c>
      <c r="D5893" t="s">
        <v>176</v>
      </c>
      <c r="E5893">
        <v>20935</v>
      </c>
      <c r="F5893">
        <v>52</v>
      </c>
      <c r="G5893">
        <v>4</v>
      </c>
      <c r="H5893">
        <f>_xlfn.XLOOKUP(FACT_IMPORTS[[#This Row],[hts_6]],DIM_PRODUCTS[hts_6],DIM_PRODUCTS[hts_4],,,)</f>
        <v>4011</v>
      </c>
      <c r="I5893" t="str" cm="1">
        <f t="array" ref="I5893">_xlfn.XLOOKUP(FACT_IMPORTS[[#This Row],[country_name]],DIM_COUNTRY[[#All],[Column2]],DIM_COUNTRY[[#All],[Column3]],,,)</f>
        <v>Major_Non-USMCA_Non-China</v>
      </c>
    </row>
    <row r="5894" spans="1:9" x14ac:dyDescent="0.4">
      <c r="A5894" t="s">
        <v>68</v>
      </c>
      <c r="B5894" s="1">
        <v>45505</v>
      </c>
      <c r="C5894">
        <v>401120</v>
      </c>
      <c r="D5894" t="s">
        <v>176</v>
      </c>
      <c r="E5894">
        <v>32597</v>
      </c>
      <c r="F5894">
        <v>71</v>
      </c>
      <c r="G5894">
        <v>21</v>
      </c>
      <c r="H5894">
        <f>_xlfn.XLOOKUP(FACT_IMPORTS[[#This Row],[hts_6]],DIM_PRODUCTS[hts_6],DIM_PRODUCTS[hts_4],,,)</f>
        <v>4011</v>
      </c>
      <c r="I5894" t="str" cm="1">
        <f t="array" ref="I5894">_xlfn.XLOOKUP(FACT_IMPORTS[[#This Row],[country_name]],DIM_COUNTRY[[#All],[Column2]],DIM_COUNTRY[[#All],[Column3]],,,)</f>
        <v>Major_Non-USMCA_Non-China</v>
      </c>
    </row>
    <row r="5895" spans="1:9" x14ac:dyDescent="0.4">
      <c r="A5895" t="s">
        <v>68</v>
      </c>
      <c r="B5895" s="1">
        <v>45505</v>
      </c>
      <c r="C5895">
        <v>401190</v>
      </c>
      <c r="D5895" t="s">
        <v>176</v>
      </c>
      <c r="E5895">
        <v>11973</v>
      </c>
      <c r="F5895">
        <v>384</v>
      </c>
      <c r="G5895">
        <v>1746</v>
      </c>
      <c r="H5895">
        <f>_xlfn.XLOOKUP(FACT_IMPORTS[[#This Row],[hts_6]],DIM_PRODUCTS[hts_6],DIM_PRODUCTS[hts_4],,,)</f>
        <v>4011</v>
      </c>
      <c r="I5895" t="str" cm="1">
        <f t="array" ref="I5895">_xlfn.XLOOKUP(FACT_IMPORTS[[#This Row],[country_name]],DIM_COUNTRY[[#All],[Column2]],DIM_COUNTRY[[#All],[Column3]],,,)</f>
        <v>Major_Non-USMCA_Non-China</v>
      </c>
    </row>
    <row r="5896" spans="1:9" x14ac:dyDescent="0.4">
      <c r="A5896" t="s">
        <v>68</v>
      </c>
      <c r="B5896" s="1">
        <v>45505</v>
      </c>
      <c r="C5896">
        <v>700711</v>
      </c>
      <c r="D5896" t="s">
        <v>176</v>
      </c>
      <c r="E5896">
        <v>4541</v>
      </c>
      <c r="F5896">
        <v>1</v>
      </c>
      <c r="G5896">
        <v>54</v>
      </c>
      <c r="H5896">
        <f>_xlfn.XLOOKUP(FACT_IMPORTS[[#This Row],[hts_6]],DIM_PRODUCTS[hts_6],DIM_PRODUCTS[hts_4],,,)</f>
        <v>7007</v>
      </c>
      <c r="I5896" t="str" cm="1">
        <f t="array" ref="I5896">_xlfn.XLOOKUP(FACT_IMPORTS[[#This Row],[country_name]],DIM_COUNTRY[[#All],[Column2]],DIM_COUNTRY[[#All],[Column3]],,,)</f>
        <v>Major_Non-USMCA_Non-China</v>
      </c>
    </row>
    <row r="5897" spans="1:9" x14ac:dyDescent="0.4">
      <c r="A5897" t="s">
        <v>68</v>
      </c>
      <c r="B5897" s="1">
        <v>45505</v>
      </c>
      <c r="C5897">
        <v>700721</v>
      </c>
      <c r="D5897" t="s">
        <v>176</v>
      </c>
      <c r="E5897">
        <v>0</v>
      </c>
      <c r="F5897">
        <v>0</v>
      </c>
      <c r="G5897">
        <v>0</v>
      </c>
      <c r="H5897">
        <f>_xlfn.XLOOKUP(FACT_IMPORTS[[#This Row],[hts_6]],DIM_PRODUCTS[hts_6],DIM_PRODUCTS[hts_4],,,)</f>
        <v>7007</v>
      </c>
      <c r="I5897" t="str" cm="1">
        <f t="array" ref="I5897">_xlfn.XLOOKUP(FACT_IMPORTS[[#This Row],[country_name]],DIM_COUNTRY[[#All],[Column2]],DIM_COUNTRY[[#All],[Column3]],,,)</f>
        <v>Major_Non-USMCA_Non-China</v>
      </c>
    </row>
    <row r="5898" spans="1:9" x14ac:dyDescent="0.4">
      <c r="A5898" t="s">
        <v>68</v>
      </c>
      <c r="B5898" s="1">
        <v>45505</v>
      </c>
      <c r="C5898">
        <v>700910</v>
      </c>
      <c r="D5898" t="s">
        <v>176</v>
      </c>
      <c r="E5898">
        <v>0</v>
      </c>
      <c r="F5898">
        <v>0</v>
      </c>
      <c r="G5898">
        <v>0</v>
      </c>
      <c r="H5898">
        <f>_xlfn.XLOOKUP(FACT_IMPORTS[[#This Row],[hts_6]],DIM_PRODUCTS[hts_6],DIM_PRODUCTS[hts_4],,,)</f>
        <v>7009</v>
      </c>
      <c r="I5898" t="str" cm="1">
        <f t="array" ref="I5898">_xlfn.XLOOKUP(FACT_IMPORTS[[#This Row],[country_name]],DIM_COUNTRY[[#All],[Column2]],DIM_COUNTRY[[#All],[Column3]],,,)</f>
        <v>Major_Non-USMCA_Non-China</v>
      </c>
    </row>
    <row r="5899" spans="1:9" x14ac:dyDescent="0.4">
      <c r="A5899" t="s">
        <v>68</v>
      </c>
      <c r="B5899" s="1">
        <v>45505</v>
      </c>
      <c r="C5899">
        <v>732010</v>
      </c>
      <c r="D5899" t="s">
        <v>176</v>
      </c>
      <c r="E5899">
        <v>8160</v>
      </c>
      <c r="F5899">
        <v>70</v>
      </c>
      <c r="G5899">
        <v>188</v>
      </c>
      <c r="H5899">
        <f>_xlfn.XLOOKUP(FACT_IMPORTS[[#This Row],[hts_6]],DIM_PRODUCTS[hts_6],DIM_PRODUCTS[hts_4],,,)</f>
        <v>7320</v>
      </c>
      <c r="I5899" t="str" cm="1">
        <f t="array" ref="I5899">_xlfn.XLOOKUP(FACT_IMPORTS[[#This Row],[country_name]],DIM_COUNTRY[[#All],[Column2]],DIM_COUNTRY[[#All],[Column3]],,,)</f>
        <v>Major_Non-USMCA_Non-China</v>
      </c>
    </row>
    <row r="5900" spans="1:9" x14ac:dyDescent="0.4">
      <c r="A5900" t="s">
        <v>68</v>
      </c>
      <c r="B5900" s="1">
        <v>45505</v>
      </c>
      <c r="C5900">
        <v>830230</v>
      </c>
      <c r="D5900" t="s">
        <v>176</v>
      </c>
      <c r="E5900">
        <v>389949</v>
      </c>
      <c r="F5900">
        <v>106860</v>
      </c>
      <c r="G5900">
        <v>37187</v>
      </c>
      <c r="H5900">
        <f>_xlfn.XLOOKUP(FACT_IMPORTS[[#This Row],[hts_6]],DIM_PRODUCTS[hts_6],DIM_PRODUCTS[hts_4],,,)</f>
        <v>8302</v>
      </c>
      <c r="I5900" t="str" cm="1">
        <f t="array" ref="I5900">_xlfn.XLOOKUP(FACT_IMPORTS[[#This Row],[country_name]],DIM_COUNTRY[[#All],[Column2]],DIM_COUNTRY[[#All],[Column3]],,,)</f>
        <v>Major_Non-USMCA_Non-China</v>
      </c>
    </row>
    <row r="5901" spans="1:9" x14ac:dyDescent="0.4">
      <c r="A5901" t="s">
        <v>68</v>
      </c>
      <c r="B5901" s="1">
        <v>45505</v>
      </c>
      <c r="C5901">
        <v>840731</v>
      </c>
      <c r="D5901" t="s">
        <v>176</v>
      </c>
      <c r="E5901">
        <v>0</v>
      </c>
      <c r="F5901">
        <v>0</v>
      </c>
      <c r="G5901">
        <v>0</v>
      </c>
      <c r="H5901">
        <f>_xlfn.XLOOKUP(FACT_IMPORTS[[#This Row],[hts_6]],DIM_PRODUCTS[hts_6],DIM_PRODUCTS[hts_4],,,)</f>
        <v>8407</v>
      </c>
      <c r="I5901" t="str" cm="1">
        <f t="array" ref="I5901">_xlfn.XLOOKUP(FACT_IMPORTS[[#This Row],[country_name]],DIM_COUNTRY[[#All],[Column2]],DIM_COUNTRY[[#All],[Column3]],,,)</f>
        <v>Major_Non-USMCA_Non-China</v>
      </c>
    </row>
    <row r="5902" spans="1:9" x14ac:dyDescent="0.4">
      <c r="A5902" t="s">
        <v>68</v>
      </c>
      <c r="B5902" s="1">
        <v>45505</v>
      </c>
      <c r="C5902">
        <v>840734</v>
      </c>
      <c r="D5902" t="s">
        <v>176</v>
      </c>
      <c r="E5902">
        <v>60920</v>
      </c>
      <c r="F5902">
        <v>14</v>
      </c>
      <c r="G5902">
        <v>435</v>
      </c>
      <c r="H5902">
        <f>_xlfn.XLOOKUP(FACT_IMPORTS[[#This Row],[hts_6]],DIM_PRODUCTS[hts_6],DIM_PRODUCTS[hts_4],,,)</f>
        <v>8407</v>
      </c>
      <c r="I5902" t="str" cm="1">
        <f t="array" ref="I5902">_xlfn.XLOOKUP(FACT_IMPORTS[[#This Row],[country_name]],DIM_COUNTRY[[#All],[Column2]],DIM_COUNTRY[[#All],[Column3]],,,)</f>
        <v>Major_Non-USMCA_Non-China</v>
      </c>
    </row>
    <row r="5903" spans="1:9" x14ac:dyDescent="0.4">
      <c r="A5903" t="s">
        <v>68</v>
      </c>
      <c r="B5903" s="1">
        <v>45505</v>
      </c>
      <c r="C5903">
        <v>840790</v>
      </c>
      <c r="D5903" t="s">
        <v>176</v>
      </c>
      <c r="E5903">
        <v>0</v>
      </c>
      <c r="F5903">
        <v>0</v>
      </c>
      <c r="G5903">
        <v>0</v>
      </c>
      <c r="H5903">
        <f>_xlfn.XLOOKUP(FACT_IMPORTS[[#This Row],[hts_6]],DIM_PRODUCTS[hts_6],DIM_PRODUCTS[hts_4],,,)</f>
        <v>8407</v>
      </c>
      <c r="I5903" t="str" cm="1">
        <f t="array" ref="I5903">_xlfn.XLOOKUP(FACT_IMPORTS[[#This Row],[country_name]],DIM_COUNTRY[[#All],[Column2]],DIM_COUNTRY[[#All],[Column3]],,,)</f>
        <v>Major_Non-USMCA_Non-China</v>
      </c>
    </row>
    <row r="5904" spans="1:9" x14ac:dyDescent="0.4">
      <c r="A5904" t="s">
        <v>68</v>
      </c>
      <c r="B5904" s="1">
        <v>45505</v>
      </c>
      <c r="C5904">
        <v>840820</v>
      </c>
      <c r="D5904" t="s">
        <v>176</v>
      </c>
      <c r="E5904">
        <v>0</v>
      </c>
      <c r="F5904">
        <v>0</v>
      </c>
      <c r="G5904">
        <v>0</v>
      </c>
      <c r="H5904">
        <f>_xlfn.XLOOKUP(FACT_IMPORTS[[#This Row],[hts_6]],DIM_PRODUCTS[hts_6],DIM_PRODUCTS[hts_4],,,)</f>
        <v>8408</v>
      </c>
      <c r="I5904" t="str" cm="1">
        <f t="array" ref="I5904">_xlfn.XLOOKUP(FACT_IMPORTS[[#This Row],[country_name]],DIM_COUNTRY[[#All],[Column2]],DIM_COUNTRY[[#All],[Column3]],,,)</f>
        <v>Major_Non-USMCA_Non-China</v>
      </c>
    </row>
    <row r="5905" spans="1:9" x14ac:dyDescent="0.4">
      <c r="A5905" t="s">
        <v>68</v>
      </c>
      <c r="B5905" s="1">
        <v>45505</v>
      </c>
      <c r="C5905">
        <v>840890</v>
      </c>
      <c r="D5905" t="s">
        <v>176</v>
      </c>
      <c r="E5905">
        <v>35306</v>
      </c>
      <c r="F5905">
        <v>1</v>
      </c>
      <c r="G5905">
        <v>2354</v>
      </c>
      <c r="H5905">
        <f>_xlfn.XLOOKUP(FACT_IMPORTS[[#This Row],[hts_6]],DIM_PRODUCTS[hts_6],DIM_PRODUCTS[hts_4],,,)</f>
        <v>8408</v>
      </c>
      <c r="I5905" t="str" cm="1">
        <f t="array" ref="I5905">_xlfn.XLOOKUP(FACT_IMPORTS[[#This Row],[country_name]],DIM_COUNTRY[[#All],[Column2]],DIM_COUNTRY[[#All],[Column3]],,,)</f>
        <v>Major_Non-USMCA_Non-China</v>
      </c>
    </row>
    <row r="5906" spans="1:9" x14ac:dyDescent="0.4">
      <c r="A5906" t="s">
        <v>68</v>
      </c>
      <c r="B5906" s="1">
        <v>45505</v>
      </c>
      <c r="C5906">
        <v>840991</v>
      </c>
      <c r="D5906" t="s">
        <v>176</v>
      </c>
      <c r="E5906">
        <v>930494</v>
      </c>
      <c r="F5906">
        <v>86727</v>
      </c>
      <c r="G5906">
        <v>19191</v>
      </c>
      <c r="H5906">
        <f>_xlfn.XLOOKUP(FACT_IMPORTS[[#This Row],[hts_6]],DIM_PRODUCTS[hts_6],DIM_PRODUCTS[hts_4],,,)</f>
        <v>8409</v>
      </c>
      <c r="I5906" t="str" cm="1">
        <f t="array" ref="I5906">_xlfn.XLOOKUP(FACT_IMPORTS[[#This Row],[country_name]],DIM_COUNTRY[[#All],[Column2]],DIM_COUNTRY[[#All],[Column3]],,,)</f>
        <v>Major_Non-USMCA_Non-China</v>
      </c>
    </row>
    <row r="5907" spans="1:9" x14ac:dyDescent="0.4">
      <c r="A5907" t="s">
        <v>68</v>
      </c>
      <c r="B5907" s="1">
        <v>45505</v>
      </c>
      <c r="C5907">
        <v>840999</v>
      </c>
      <c r="D5907" t="s">
        <v>176</v>
      </c>
      <c r="E5907">
        <v>28465214</v>
      </c>
      <c r="F5907">
        <v>3394944</v>
      </c>
      <c r="G5907">
        <v>479333</v>
      </c>
      <c r="H5907">
        <f>_xlfn.XLOOKUP(FACT_IMPORTS[[#This Row],[hts_6]],DIM_PRODUCTS[hts_6],DIM_PRODUCTS[hts_4],,,)</f>
        <v>8409</v>
      </c>
      <c r="I5907" t="str" cm="1">
        <f t="array" ref="I5907">_xlfn.XLOOKUP(FACT_IMPORTS[[#This Row],[country_name]],DIM_COUNTRY[[#All],[Column2]],DIM_COUNTRY[[#All],[Column3]],,,)</f>
        <v>Major_Non-USMCA_Non-China</v>
      </c>
    </row>
    <row r="5908" spans="1:9" x14ac:dyDescent="0.4">
      <c r="A5908" t="s">
        <v>68</v>
      </c>
      <c r="B5908" s="1">
        <v>45505</v>
      </c>
      <c r="C5908">
        <v>841330</v>
      </c>
      <c r="D5908" t="s">
        <v>176</v>
      </c>
      <c r="E5908">
        <v>11930705</v>
      </c>
      <c r="F5908">
        <v>76703</v>
      </c>
      <c r="G5908">
        <v>42843</v>
      </c>
      <c r="H5908">
        <f>_xlfn.XLOOKUP(FACT_IMPORTS[[#This Row],[hts_6]],DIM_PRODUCTS[hts_6],DIM_PRODUCTS[hts_4],,,)</f>
        <v>8413</v>
      </c>
      <c r="I5908" t="str" cm="1">
        <f t="array" ref="I5908">_xlfn.XLOOKUP(FACT_IMPORTS[[#This Row],[country_name]],DIM_COUNTRY[[#All],[Column2]],DIM_COUNTRY[[#All],[Column3]],,,)</f>
        <v>Major_Non-USMCA_Non-China</v>
      </c>
    </row>
    <row r="5909" spans="1:9" x14ac:dyDescent="0.4">
      <c r="A5909" t="s">
        <v>68</v>
      </c>
      <c r="B5909" s="1">
        <v>45505</v>
      </c>
      <c r="C5909">
        <v>841520</v>
      </c>
      <c r="D5909" t="s">
        <v>176</v>
      </c>
      <c r="E5909">
        <v>0</v>
      </c>
      <c r="F5909">
        <v>0</v>
      </c>
      <c r="G5909">
        <v>0</v>
      </c>
      <c r="H5909">
        <f>_xlfn.XLOOKUP(FACT_IMPORTS[[#This Row],[hts_6]],DIM_PRODUCTS[hts_6],DIM_PRODUCTS[hts_4],,,)</f>
        <v>8415</v>
      </c>
      <c r="I5909" t="str" cm="1">
        <f t="array" ref="I5909">_xlfn.XLOOKUP(FACT_IMPORTS[[#This Row],[country_name]],DIM_COUNTRY[[#All],[Column2]],DIM_COUNTRY[[#All],[Column3]],,,)</f>
        <v>Major_Non-USMCA_Non-China</v>
      </c>
    </row>
    <row r="5910" spans="1:9" x14ac:dyDescent="0.4">
      <c r="A5910" t="s">
        <v>68</v>
      </c>
      <c r="B5910" s="1">
        <v>45505</v>
      </c>
      <c r="C5910">
        <v>842132</v>
      </c>
      <c r="D5910" t="s">
        <v>176</v>
      </c>
      <c r="E5910">
        <v>110484</v>
      </c>
      <c r="F5910">
        <v>36</v>
      </c>
      <c r="G5910">
        <v>301</v>
      </c>
      <c r="H5910">
        <f>_xlfn.XLOOKUP(FACT_IMPORTS[[#This Row],[hts_6]],DIM_PRODUCTS[hts_6],DIM_PRODUCTS[hts_4],,,)</f>
        <v>8421</v>
      </c>
      <c r="I5910" t="str" cm="1">
        <f t="array" ref="I5910">_xlfn.XLOOKUP(FACT_IMPORTS[[#This Row],[country_name]],DIM_COUNTRY[[#All],[Column2]],DIM_COUNTRY[[#All],[Column3]],,,)</f>
        <v>Major_Non-USMCA_Non-China</v>
      </c>
    </row>
    <row r="5911" spans="1:9" x14ac:dyDescent="0.4">
      <c r="A5911" t="s">
        <v>68</v>
      </c>
      <c r="B5911" s="1">
        <v>45505</v>
      </c>
      <c r="C5911">
        <v>848210</v>
      </c>
      <c r="D5911" t="s">
        <v>176</v>
      </c>
      <c r="E5911">
        <v>261977</v>
      </c>
      <c r="F5911">
        <v>3970</v>
      </c>
      <c r="G5911">
        <v>4605</v>
      </c>
      <c r="H5911">
        <f>_xlfn.XLOOKUP(FACT_IMPORTS[[#This Row],[hts_6]],DIM_PRODUCTS[hts_6],DIM_PRODUCTS[hts_4],,,)</f>
        <v>8482</v>
      </c>
      <c r="I5911" t="str" cm="1">
        <f t="array" ref="I5911">_xlfn.XLOOKUP(FACT_IMPORTS[[#This Row],[country_name]],DIM_COUNTRY[[#All],[Column2]],DIM_COUNTRY[[#All],[Column3]],,,)</f>
        <v>Major_Non-USMCA_Non-China</v>
      </c>
    </row>
    <row r="5912" spans="1:9" x14ac:dyDescent="0.4">
      <c r="A5912" t="s">
        <v>68</v>
      </c>
      <c r="B5912" s="1">
        <v>45505</v>
      </c>
      <c r="C5912">
        <v>848220</v>
      </c>
      <c r="D5912" t="s">
        <v>176</v>
      </c>
      <c r="E5912">
        <v>98389</v>
      </c>
      <c r="F5912">
        <v>4746</v>
      </c>
      <c r="G5912">
        <v>1250</v>
      </c>
      <c r="H5912">
        <f>_xlfn.XLOOKUP(FACT_IMPORTS[[#This Row],[hts_6]],DIM_PRODUCTS[hts_6],DIM_PRODUCTS[hts_4],,,)</f>
        <v>8482</v>
      </c>
      <c r="I5912" t="str" cm="1">
        <f t="array" ref="I5912">_xlfn.XLOOKUP(FACT_IMPORTS[[#This Row],[country_name]],DIM_COUNTRY[[#All],[Column2]],DIM_COUNTRY[[#All],[Column3]],,,)</f>
        <v>Major_Non-USMCA_Non-China</v>
      </c>
    </row>
    <row r="5913" spans="1:9" x14ac:dyDescent="0.4">
      <c r="A5913" t="s">
        <v>68</v>
      </c>
      <c r="B5913" s="1">
        <v>45505</v>
      </c>
      <c r="C5913">
        <v>848310</v>
      </c>
      <c r="D5913" t="s">
        <v>176</v>
      </c>
      <c r="E5913">
        <v>4410917</v>
      </c>
      <c r="F5913">
        <v>46647</v>
      </c>
      <c r="G5913">
        <v>45194</v>
      </c>
      <c r="H5913">
        <f>_xlfn.XLOOKUP(FACT_IMPORTS[[#This Row],[hts_6]],DIM_PRODUCTS[hts_6],DIM_PRODUCTS[hts_4],,,)</f>
        <v>8483</v>
      </c>
      <c r="I5913" t="str" cm="1">
        <f t="array" ref="I5913">_xlfn.XLOOKUP(FACT_IMPORTS[[#This Row],[country_name]],DIM_COUNTRY[[#All],[Column2]],DIM_COUNTRY[[#All],[Column3]],,,)</f>
        <v>Major_Non-USMCA_Non-China</v>
      </c>
    </row>
    <row r="5914" spans="1:9" x14ac:dyDescent="0.4">
      <c r="A5914" t="s">
        <v>68</v>
      </c>
      <c r="B5914" s="1">
        <v>45505</v>
      </c>
      <c r="C5914">
        <v>850131</v>
      </c>
      <c r="D5914" t="s">
        <v>176</v>
      </c>
      <c r="E5914">
        <v>109791</v>
      </c>
      <c r="F5914">
        <v>2684</v>
      </c>
      <c r="G5914">
        <v>3410</v>
      </c>
      <c r="H5914">
        <f>_xlfn.XLOOKUP(FACT_IMPORTS[[#This Row],[hts_6]],DIM_PRODUCTS[hts_6],DIM_PRODUCTS[hts_4],,,)</f>
        <v>8501</v>
      </c>
      <c r="I5914" t="str" cm="1">
        <f t="array" ref="I5914">_xlfn.XLOOKUP(FACT_IMPORTS[[#This Row],[country_name]],DIM_COUNTRY[[#All],[Column2]],DIM_COUNTRY[[#All],[Column3]],,,)</f>
        <v>Major_Non-USMCA_Non-China</v>
      </c>
    </row>
    <row r="5915" spans="1:9" x14ac:dyDescent="0.4">
      <c r="A5915" t="s">
        <v>68</v>
      </c>
      <c r="B5915" s="1">
        <v>45505</v>
      </c>
      <c r="C5915">
        <v>850132</v>
      </c>
      <c r="D5915" t="s">
        <v>176</v>
      </c>
      <c r="E5915">
        <v>55853</v>
      </c>
      <c r="F5915">
        <v>18</v>
      </c>
      <c r="G5915">
        <v>491</v>
      </c>
      <c r="H5915">
        <f>_xlfn.XLOOKUP(FACT_IMPORTS[[#This Row],[hts_6]],DIM_PRODUCTS[hts_6],DIM_PRODUCTS[hts_4],,,)</f>
        <v>8501</v>
      </c>
      <c r="I5915" t="str" cm="1">
        <f t="array" ref="I5915">_xlfn.XLOOKUP(FACT_IMPORTS[[#This Row],[country_name]],DIM_COUNTRY[[#All],[Column2]],DIM_COUNTRY[[#All],[Column3]],,,)</f>
        <v>Major_Non-USMCA_Non-China</v>
      </c>
    </row>
    <row r="5916" spans="1:9" x14ac:dyDescent="0.4">
      <c r="A5916" t="s">
        <v>68</v>
      </c>
      <c r="B5916" s="1">
        <v>45505</v>
      </c>
      <c r="C5916">
        <v>850133</v>
      </c>
      <c r="D5916" t="s">
        <v>176</v>
      </c>
      <c r="E5916">
        <v>0</v>
      </c>
      <c r="F5916">
        <v>0</v>
      </c>
      <c r="G5916">
        <v>0</v>
      </c>
      <c r="H5916">
        <f>_xlfn.XLOOKUP(FACT_IMPORTS[[#This Row],[hts_6]],DIM_PRODUCTS[hts_6],DIM_PRODUCTS[hts_4],,,)</f>
        <v>8501</v>
      </c>
      <c r="I5916" t="str" cm="1">
        <f t="array" ref="I5916">_xlfn.XLOOKUP(FACT_IMPORTS[[#This Row],[country_name]],DIM_COUNTRY[[#All],[Column2]],DIM_COUNTRY[[#All],[Column3]],,,)</f>
        <v>Major_Non-USMCA_Non-China</v>
      </c>
    </row>
    <row r="5917" spans="1:9" x14ac:dyDescent="0.4">
      <c r="A5917" t="s">
        <v>68</v>
      </c>
      <c r="B5917" s="1">
        <v>45505</v>
      </c>
      <c r="C5917">
        <v>850134</v>
      </c>
      <c r="D5917" t="s">
        <v>176</v>
      </c>
      <c r="E5917">
        <v>0</v>
      </c>
      <c r="F5917">
        <v>0</v>
      </c>
      <c r="G5917">
        <v>0</v>
      </c>
      <c r="H5917">
        <f>_xlfn.XLOOKUP(FACT_IMPORTS[[#This Row],[hts_6]],DIM_PRODUCTS[hts_6],DIM_PRODUCTS[hts_4],,,)</f>
        <v>8501</v>
      </c>
      <c r="I5917" t="str" cm="1">
        <f t="array" ref="I5917">_xlfn.XLOOKUP(FACT_IMPORTS[[#This Row],[country_name]],DIM_COUNTRY[[#All],[Column2]],DIM_COUNTRY[[#All],[Column3]],,,)</f>
        <v>Major_Non-USMCA_Non-China</v>
      </c>
    </row>
    <row r="5918" spans="1:9" x14ac:dyDescent="0.4">
      <c r="A5918" t="s">
        <v>68</v>
      </c>
      <c r="B5918" s="1">
        <v>45505</v>
      </c>
      <c r="C5918">
        <v>850152</v>
      </c>
      <c r="D5918" t="s">
        <v>176</v>
      </c>
      <c r="E5918">
        <v>1063584</v>
      </c>
      <c r="F5918">
        <v>17911</v>
      </c>
      <c r="G5918">
        <v>24745</v>
      </c>
      <c r="H5918">
        <f>_xlfn.XLOOKUP(FACT_IMPORTS[[#This Row],[hts_6]],DIM_PRODUCTS[hts_6],DIM_PRODUCTS[hts_4],,,)</f>
        <v>8501</v>
      </c>
      <c r="I5918" t="str" cm="1">
        <f t="array" ref="I5918">_xlfn.XLOOKUP(FACT_IMPORTS[[#This Row],[country_name]],DIM_COUNTRY[[#All],[Column2]],DIM_COUNTRY[[#All],[Column3]],,,)</f>
        <v>Major_Non-USMCA_Non-China</v>
      </c>
    </row>
    <row r="5919" spans="1:9" x14ac:dyDescent="0.4">
      <c r="A5919" t="s">
        <v>68</v>
      </c>
      <c r="B5919" s="1">
        <v>45505</v>
      </c>
      <c r="C5919">
        <v>850153</v>
      </c>
      <c r="D5919" t="s">
        <v>176</v>
      </c>
      <c r="E5919">
        <v>156216</v>
      </c>
      <c r="F5919">
        <v>20</v>
      </c>
      <c r="G5919">
        <v>5314</v>
      </c>
      <c r="H5919">
        <f>_xlfn.XLOOKUP(FACT_IMPORTS[[#This Row],[hts_6]],DIM_PRODUCTS[hts_6],DIM_PRODUCTS[hts_4],,,)</f>
        <v>8501</v>
      </c>
      <c r="I5919" t="str" cm="1">
        <f t="array" ref="I5919">_xlfn.XLOOKUP(FACT_IMPORTS[[#This Row],[country_name]],DIM_COUNTRY[[#All],[Column2]],DIM_COUNTRY[[#All],[Column3]],,,)</f>
        <v>Major_Non-USMCA_Non-China</v>
      </c>
    </row>
    <row r="5920" spans="1:9" x14ac:dyDescent="0.4">
      <c r="A5920" t="s">
        <v>68</v>
      </c>
      <c r="B5920" s="1">
        <v>45505</v>
      </c>
      <c r="C5920">
        <v>850161</v>
      </c>
      <c r="D5920" t="s">
        <v>176</v>
      </c>
      <c r="E5920">
        <v>0</v>
      </c>
      <c r="F5920">
        <v>0</v>
      </c>
      <c r="G5920">
        <v>0</v>
      </c>
      <c r="H5920">
        <f>_xlfn.XLOOKUP(FACT_IMPORTS[[#This Row],[hts_6]],DIM_PRODUCTS[hts_6],DIM_PRODUCTS[hts_4],,,)</f>
        <v>8501</v>
      </c>
      <c r="I5920" t="str" cm="1">
        <f t="array" ref="I5920">_xlfn.XLOOKUP(FACT_IMPORTS[[#This Row],[country_name]],DIM_COUNTRY[[#All],[Column2]],DIM_COUNTRY[[#All],[Column3]],,,)</f>
        <v>Major_Non-USMCA_Non-China</v>
      </c>
    </row>
    <row r="5921" spans="1:9" x14ac:dyDescent="0.4">
      <c r="A5921" t="s">
        <v>68</v>
      </c>
      <c r="B5921" s="1">
        <v>45505</v>
      </c>
      <c r="C5921">
        <v>850440</v>
      </c>
      <c r="D5921" t="s">
        <v>176</v>
      </c>
      <c r="E5921">
        <v>545803</v>
      </c>
      <c r="F5921">
        <v>1657</v>
      </c>
      <c r="G5921">
        <v>6708</v>
      </c>
      <c r="H5921">
        <f>_xlfn.XLOOKUP(FACT_IMPORTS[[#This Row],[hts_6]],DIM_PRODUCTS[hts_6],DIM_PRODUCTS[hts_4],,,)</f>
        <v>8504</v>
      </c>
      <c r="I5921" t="str" cm="1">
        <f t="array" ref="I5921">_xlfn.XLOOKUP(FACT_IMPORTS[[#This Row],[country_name]],DIM_COUNTRY[[#All],[Column2]],DIM_COUNTRY[[#All],[Column3]],,,)</f>
        <v>Major_Non-USMCA_Non-China</v>
      </c>
    </row>
    <row r="5922" spans="1:9" x14ac:dyDescent="0.4">
      <c r="A5922" t="s">
        <v>68</v>
      </c>
      <c r="B5922" s="1">
        <v>45505</v>
      </c>
      <c r="C5922">
        <v>850710</v>
      </c>
      <c r="D5922" t="s">
        <v>176</v>
      </c>
      <c r="E5922">
        <v>0</v>
      </c>
      <c r="F5922">
        <v>0</v>
      </c>
      <c r="G5922">
        <v>0</v>
      </c>
      <c r="H5922">
        <f>_xlfn.XLOOKUP(FACT_IMPORTS[[#This Row],[hts_6]],DIM_PRODUCTS[hts_6],DIM_PRODUCTS[hts_4],,,)</f>
        <v>8507</v>
      </c>
      <c r="I5922" t="str" cm="1">
        <f t="array" ref="I5922">_xlfn.XLOOKUP(FACT_IMPORTS[[#This Row],[country_name]],DIM_COUNTRY[[#All],[Column2]],DIM_COUNTRY[[#All],[Column3]],,,)</f>
        <v>Major_Non-USMCA_Non-China</v>
      </c>
    </row>
    <row r="5923" spans="1:9" x14ac:dyDescent="0.4">
      <c r="A5923" t="s">
        <v>68</v>
      </c>
      <c r="B5923" s="1">
        <v>45505</v>
      </c>
      <c r="C5923">
        <v>850760</v>
      </c>
      <c r="D5923" t="s">
        <v>176</v>
      </c>
      <c r="E5923">
        <v>1007262</v>
      </c>
      <c r="F5923">
        <v>359</v>
      </c>
      <c r="G5923">
        <v>11315</v>
      </c>
      <c r="H5923">
        <f>_xlfn.XLOOKUP(FACT_IMPORTS[[#This Row],[hts_6]],DIM_PRODUCTS[hts_6],DIM_PRODUCTS[hts_4],,,)</f>
        <v>8507</v>
      </c>
      <c r="I5923" t="str" cm="1">
        <f t="array" ref="I5923">_xlfn.XLOOKUP(FACT_IMPORTS[[#This Row],[country_name]],DIM_COUNTRY[[#All],[Column2]],DIM_COUNTRY[[#All],[Column3]],,,)</f>
        <v>Major_Non-USMCA_Non-China</v>
      </c>
    </row>
    <row r="5924" spans="1:9" x14ac:dyDescent="0.4">
      <c r="A5924" t="s">
        <v>68</v>
      </c>
      <c r="B5924" s="1">
        <v>45505</v>
      </c>
      <c r="C5924">
        <v>850790</v>
      </c>
      <c r="D5924" t="s">
        <v>176</v>
      </c>
      <c r="E5924">
        <v>508978</v>
      </c>
      <c r="F5924">
        <v>37771</v>
      </c>
      <c r="G5924">
        <v>53854</v>
      </c>
      <c r="H5924">
        <f>_xlfn.XLOOKUP(FACT_IMPORTS[[#This Row],[hts_6]],DIM_PRODUCTS[hts_6],DIM_PRODUCTS[hts_4],,,)</f>
        <v>8507</v>
      </c>
      <c r="I5924" t="str" cm="1">
        <f t="array" ref="I5924">_xlfn.XLOOKUP(FACT_IMPORTS[[#This Row],[country_name]],DIM_COUNTRY[[#All],[Column2]],DIM_COUNTRY[[#All],[Column3]],,,)</f>
        <v>Major_Non-USMCA_Non-China</v>
      </c>
    </row>
    <row r="5925" spans="1:9" x14ac:dyDescent="0.4">
      <c r="A5925" t="s">
        <v>68</v>
      </c>
      <c r="B5925" s="1">
        <v>45505</v>
      </c>
      <c r="C5925">
        <v>851110</v>
      </c>
      <c r="D5925" t="s">
        <v>176</v>
      </c>
      <c r="E5925">
        <v>218022</v>
      </c>
      <c r="F5925">
        <v>1407</v>
      </c>
      <c r="G5925">
        <v>1495</v>
      </c>
      <c r="H5925">
        <f>_xlfn.XLOOKUP(FACT_IMPORTS[[#This Row],[hts_6]],DIM_PRODUCTS[hts_6],DIM_PRODUCTS[hts_4],,,)</f>
        <v>8511</v>
      </c>
      <c r="I5925" t="str" cm="1">
        <f t="array" ref="I5925">_xlfn.XLOOKUP(FACT_IMPORTS[[#This Row],[country_name]],DIM_COUNTRY[[#All],[Column2]],DIM_COUNTRY[[#All],[Column3]],,,)</f>
        <v>Major_Non-USMCA_Non-China</v>
      </c>
    </row>
    <row r="5926" spans="1:9" x14ac:dyDescent="0.4">
      <c r="A5926" t="s">
        <v>68</v>
      </c>
      <c r="B5926" s="1">
        <v>45505</v>
      </c>
      <c r="C5926">
        <v>851120</v>
      </c>
      <c r="D5926" t="s">
        <v>176</v>
      </c>
      <c r="E5926">
        <v>0</v>
      </c>
      <c r="F5926">
        <v>0</v>
      </c>
      <c r="G5926">
        <v>0</v>
      </c>
      <c r="H5926">
        <f>_xlfn.XLOOKUP(FACT_IMPORTS[[#This Row],[hts_6]],DIM_PRODUCTS[hts_6],DIM_PRODUCTS[hts_4],,,)</f>
        <v>8511</v>
      </c>
      <c r="I5926" t="str" cm="1">
        <f t="array" ref="I5926">_xlfn.XLOOKUP(FACT_IMPORTS[[#This Row],[country_name]],DIM_COUNTRY[[#All],[Column2]],DIM_COUNTRY[[#All],[Column3]],,,)</f>
        <v>Major_Non-USMCA_Non-China</v>
      </c>
    </row>
    <row r="5927" spans="1:9" x14ac:dyDescent="0.4">
      <c r="A5927" t="s">
        <v>68</v>
      </c>
      <c r="B5927" s="1">
        <v>45505</v>
      </c>
      <c r="C5927">
        <v>851130</v>
      </c>
      <c r="D5927" t="s">
        <v>176</v>
      </c>
      <c r="E5927">
        <v>0</v>
      </c>
      <c r="F5927">
        <v>0</v>
      </c>
      <c r="G5927">
        <v>0</v>
      </c>
      <c r="H5927">
        <f>_xlfn.XLOOKUP(FACT_IMPORTS[[#This Row],[hts_6]],DIM_PRODUCTS[hts_6],DIM_PRODUCTS[hts_4],,,)</f>
        <v>8511</v>
      </c>
      <c r="I5927" t="str" cm="1">
        <f t="array" ref="I5927">_xlfn.XLOOKUP(FACT_IMPORTS[[#This Row],[country_name]],DIM_COUNTRY[[#All],[Column2]],DIM_COUNTRY[[#All],[Column3]],,,)</f>
        <v>Major_Non-USMCA_Non-China</v>
      </c>
    </row>
    <row r="5928" spans="1:9" x14ac:dyDescent="0.4">
      <c r="A5928" t="s">
        <v>68</v>
      </c>
      <c r="B5928" s="1">
        <v>45505</v>
      </c>
      <c r="C5928">
        <v>851140</v>
      </c>
      <c r="D5928" t="s">
        <v>176</v>
      </c>
      <c r="E5928">
        <v>13104</v>
      </c>
      <c r="F5928">
        <v>4</v>
      </c>
      <c r="G5928">
        <v>889</v>
      </c>
      <c r="H5928">
        <f>_xlfn.XLOOKUP(FACT_IMPORTS[[#This Row],[hts_6]],DIM_PRODUCTS[hts_6],DIM_PRODUCTS[hts_4],,,)</f>
        <v>8511</v>
      </c>
      <c r="I5928" t="str" cm="1">
        <f t="array" ref="I5928">_xlfn.XLOOKUP(FACT_IMPORTS[[#This Row],[country_name]],DIM_COUNTRY[[#All],[Column2]],DIM_COUNTRY[[#All],[Column3]],,,)</f>
        <v>Major_Non-USMCA_Non-China</v>
      </c>
    </row>
    <row r="5929" spans="1:9" x14ac:dyDescent="0.4">
      <c r="A5929" t="s">
        <v>68</v>
      </c>
      <c r="B5929" s="1">
        <v>45505</v>
      </c>
      <c r="C5929">
        <v>851150</v>
      </c>
      <c r="D5929" t="s">
        <v>176</v>
      </c>
      <c r="E5929">
        <v>30390</v>
      </c>
      <c r="F5929">
        <v>6</v>
      </c>
      <c r="G5929">
        <v>170</v>
      </c>
      <c r="H5929">
        <f>_xlfn.XLOOKUP(FACT_IMPORTS[[#This Row],[hts_6]],DIM_PRODUCTS[hts_6],DIM_PRODUCTS[hts_4],,,)</f>
        <v>8511</v>
      </c>
      <c r="I5929" t="str" cm="1">
        <f t="array" ref="I5929">_xlfn.XLOOKUP(FACT_IMPORTS[[#This Row],[country_name]],DIM_COUNTRY[[#All],[Column2]],DIM_COUNTRY[[#All],[Column3]],,,)</f>
        <v>Major_Non-USMCA_Non-China</v>
      </c>
    </row>
    <row r="5930" spans="1:9" x14ac:dyDescent="0.4">
      <c r="A5930" t="s">
        <v>68</v>
      </c>
      <c r="B5930" s="1">
        <v>45505</v>
      </c>
      <c r="C5930">
        <v>851180</v>
      </c>
      <c r="D5930" t="s">
        <v>176</v>
      </c>
      <c r="E5930">
        <v>311700</v>
      </c>
      <c r="F5930">
        <v>3217</v>
      </c>
      <c r="G5930">
        <v>2267</v>
      </c>
      <c r="H5930">
        <f>_xlfn.XLOOKUP(FACT_IMPORTS[[#This Row],[hts_6]],DIM_PRODUCTS[hts_6],DIM_PRODUCTS[hts_4],,,)</f>
        <v>8511</v>
      </c>
      <c r="I5930" t="str" cm="1">
        <f t="array" ref="I5930">_xlfn.XLOOKUP(FACT_IMPORTS[[#This Row],[country_name]],DIM_COUNTRY[[#All],[Column2]],DIM_COUNTRY[[#All],[Column3]],,,)</f>
        <v>Major_Non-USMCA_Non-China</v>
      </c>
    </row>
    <row r="5931" spans="1:9" x14ac:dyDescent="0.4">
      <c r="A5931" t="s">
        <v>68</v>
      </c>
      <c r="B5931" s="1">
        <v>45505</v>
      </c>
      <c r="C5931">
        <v>851190</v>
      </c>
      <c r="D5931" t="s">
        <v>176</v>
      </c>
      <c r="E5931">
        <v>0</v>
      </c>
      <c r="F5931">
        <v>0</v>
      </c>
      <c r="G5931">
        <v>0</v>
      </c>
      <c r="H5931">
        <f>_xlfn.XLOOKUP(FACT_IMPORTS[[#This Row],[hts_6]],DIM_PRODUCTS[hts_6],DIM_PRODUCTS[hts_4],,,)</f>
        <v>8511</v>
      </c>
      <c r="I5931" t="str" cm="1">
        <f t="array" ref="I5931">_xlfn.XLOOKUP(FACT_IMPORTS[[#This Row],[country_name]],DIM_COUNTRY[[#All],[Column2]],DIM_COUNTRY[[#All],[Column3]],,,)</f>
        <v>Major_Non-USMCA_Non-China</v>
      </c>
    </row>
    <row r="5932" spans="1:9" x14ac:dyDescent="0.4">
      <c r="A5932" t="s">
        <v>68</v>
      </c>
      <c r="B5932" s="1">
        <v>45505</v>
      </c>
      <c r="C5932">
        <v>851220</v>
      </c>
      <c r="D5932" t="s">
        <v>176</v>
      </c>
      <c r="E5932">
        <v>32965</v>
      </c>
      <c r="F5932">
        <v>30960</v>
      </c>
      <c r="G5932">
        <v>3297</v>
      </c>
      <c r="H5932">
        <f>_xlfn.XLOOKUP(FACT_IMPORTS[[#This Row],[hts_6]],DIM_PRODUCTS[hts_6],DIM_PRODUCTS[hts_4],,,)</f>
        <v>8512</v>
      </c>
      <c r="I5932" t="str" cm="1">
        <f t="array" ref="I5932">_xlfn.XLOOKUP(FACT_IMPORTS[[#This Row],[country_name]],DIM_COUNTRY[[#All],[Column2]],DIM_COUNTRY[[#All],[Column3]],,,)</f>
        <v>Major_Non-USMCA_Non-China</v>
      </c>
    </row>
    <row r="5933" spans="1:9" x14ac:dyDescent="0.4">
      <c r="A5933" t="s">
        <v>68</v>
      </c>
      <c r="B5933" s="1">
        <v>45505</v>
      </c>
      <c r="C5933">
        <v>851230</v>
      </c>
      <c r="D5933" t="s">
        <v>176</v>
      </c>
      <c r="E5933">
        <v>0</v>
      </c>
      <c r="F5933">
        <v>0</v>
      </c>
      <c r="G5933">
        <v>0</v>
      </c>
      <c r="H5933">
        <f>_xlfn.XLOOKUP(FACT_IMPORTS[[#This Row],[hts_6]],DIM_PRODUCTS[hts_6],DIM_PRODUCTS[hts_4],,,)</f>
        <v>8512</v>
      </c>
      <c r="I5933" t="str" cm="1">
        <f t="array" ref="I5933">_xlfn.XLOOKUP(FACT_IMPORTS[[#This Row],[country_name]],DIM_COUNTRY[[#All],[Column2]],DIM_COUNTRY[[#All],[Column3]],,,)</f>
        <v>Major_Non-USMCA_Non-China</v>
      </c>
    </row>
    <row r="5934" spans="1:9" x14ac:dyDescent="0.4">
      <c r="A5934" t="s">
        <v>68</v>
      </c>
      <c r="B5934" s="1">
        <v>45505</v>
      </c>
      <c r="C5934">
        <v>851240</v>
      </c>
      <c r="D5934" t="s">
        <v>176</v>
      </c>
      <c r="E5934">
        <v>0</v>
      </c>
      <c r="F5934">
        <v>0</v>
      </c>
      <c r="G5934">
        <v>0</v>
      </c>
      <c r="H5934">
        <f>_xlfn.XLOOKUP(FACT_IMPORTS[[#This Row],[hts_6]],DIM_PRODUCTS[hts_6],DIM_PRODUCTS[hts_4],,,)</f>
        <v>8512</v>
      </c>
      <c r="I5934" t="str" cm="1">
        <f t="array" ref="I5934">_xlfn.XLOOKUP(FACT_IMPORTS[[#This Row],[country_name]],DIM_COUNTRY[[#All],[Column2]],DIM_COUNTRY[[#All],[Column3]],,,)</f>
        <v>Major_Non-USMCA_Non-China</v>
      </c>
    </row>
    <row r="5935" spans="1:9" x14ac:dyDescent="0.4">
      <c r="A5935" t="s">
        <v>68</v>
      </c>
      <c r="B5935" s="1">
        <v>45505</v>
      </c>
      <c r="C5935">
        <v>851290</v>
      </c>
      <c r="D5935" t="s">
        <v>176</v>
      </c>
      <c r="E5935">
        <v>0</v>
      </c>
      <c r="F5935">
        <v>0</v>
      </c>
      <c r="G5935">
        <v>0</v>
      </c>
      <c r="H5935">
        <f>_xlfn.XLOOKUP(FACT_IMPORTS[[#This Row],[hts_6]],DIM_PRODUCTS[hts_6],DIM_PRODUCTS[hts_4],,,)</f>
        <v>8512</v>
      </c>
      <c r="I5935" t="str" cm="1">
        <f t="array" ref="I5935">_xlfn.XLOOKUP(FACT_IMPORTS[[#This Row],[country_name]],DIM_COUNTRY[[#All],[Column2]],DIM_COUNTRY[[#All],[Column3]],,,)</f>
        <v>Major_Non-USMCA_Non-China</v>
      </c>
    </row>
    <row r="5936" spans="1:9" x14ac:dyDescent="0.4">
      <c r="A5936" t="s">
        <v>68</v>
      </c>
      <c r="B5936" s="1">
        <v>45505</v>
      </c>
      <c r="C5936">
        <v>854231</v>
      </c>
      <c r="D5936" t="s">
        <v>176</v>
      </c>
      <c r="E5936">
        <v>37519</v>
      </c>
      <c r="F5936">
        <v>26</v>
      </c>
      <c r="G5936">
        <v>964</v>
      </c>
      <c r="H5936">
        <f>_xlfn.XLOOKUP(FACT_IMPORTS[[#This Row],[hts_6]],DIM_PRODUCTS[hts_6],DIM_PRODUCTS[hts_4],,,)</f>
        <v>8542</v>
      </c>
      <c r="I5936" t="str" cm="1">
        <f t="array" ref="I5936">_xlfn.XLOOKUP(FACT_IMPORTS[[#This Row],[country_name]],DIM_COUNTRY[[#All],[Column2]],DIM_COUNTRY[[#All],[Column3]],,,)</f>
        <v>Major_Non-USMCA_Non-China</v>
      </c>
    </row>
    <row r="5937" spans="1:9" x14ac:dyDescent="0.4">
      <c r="A5937" t="s">
        <v>68</v>
      </c>
      <c r="B5937" s="1">
        <v>45505</v>
      </c>
      <c r="C5937">
        <v>854233</v>
      </c>
      <c r="D5937" t="s">
        <v>176</v>
      </c>
      <c r="E5937">
        <v>0</v>
      </c>
      <c r="F5937">
        <v>0</v>
      </c>
      <c r="G5937">
        <v>0</v>
      </c>
      <c r="H5937">
        <f>_xlfn.XLOOKUP(FACT_IMPORTS[[#This Row],[hts_6]],DIM_PRODUCTS[hts_6],DIM_PRODUCTS[hts_4],,,)</f>
        <v>8542</v>
      </c>
      <c r="I5937" t="str" cm="1">
        <f t="array" ref="I5937">_xlfn.XLOOKUP(FACT_IMPORTS[[#This Row],[country_name]],DIM_COUNTRY[[#All],[Column2]],DIM_COUNTRY[[#All],[Column3]],,,)</f>
        <v>Major_Non-USMCA_Non-China</v>
      </c>
    </row>
    <row r="5938" spans="1:9" x14ac:dyDescent="0.4">
      <c r="A5938" t="s">
        <v>68</v>
      </c>
      <c r="B5938" s="1">
        <v>45505</v>
      </c>
      <c r="C5938">
        <v>854239</v>
      </c>
      <c r="D5938" t="s">
        <v>176</v>
      </c>
      <c r="E5938">
        <v>2400</v>
      </c>
      <c r="F5938">
        <v>1</v>
      </c>
      <c r="G5938">
        <v>48</v>
      </c>
      <c r="H5938">
        <f>_xlfn.XLOOKUP(FACT_IMPORTS[[#This Row],[hts_6]],DIM_PRODUCTS[hts_6],DIM_PRODUCTS[hts_4],,,)</f>
        <v>8542</v>
      </c>
      <c r="I5938" t="str" cm="1">
        <f t="array" ref="I5938">_xlfn.XLOOKUP(FACT_IMPORTS[[#This Row],[country_name]],DIM_COUNTRY[[#All],[Column2]],DIM_COUNTRY[[#All],[Column3]],,,)</f>
        <v>Major_Non-USMCA_Non-China</v>
      </c>
    </row>
    <row r="5939" spans="1:9" x14ac:dyDescent="0.4">
      <c r="A5939" t="s">
        <v>68</v>
      </c>
      <c r="B5939" s="1">
        <v>45505</v>
      </c>
      <c r="C5939">
        <v>854290</v>
      </c>
      <c r="D5939" t="s">
        <v>176</v>
      </c>
      <c r="E5939">
        <v>16009</v>
      </c>
      <c r="F5939">
        <v>10</v>
      </c>
      <c r="G5939">
        <v>207</v>
      </c>
      <c r="H5939">
        <f>_xlfn.XLOOKUP(FACT_IMPORTS[[#This Row],[hts_6]],DIM_PRODUCTS[hts_6],DIM_PRODUCTS[hts_4],,,)</f>
        <v>8542</v>
      </c>
      <c r="I5939" t="str" cm="1">
        <f t="array" ref="I5939">_xlfn.XLOOKUP(FACT_IMPORTS[[#This Row],[country_name]],DIM_COUNTRY[[#All],[Column2]],DIM_COUNTRY[[#All],[Column3]],,,)</f>
        <v>Major_Non-USMCA_Non-China</v>
      </c>
    </row>
    <row r="5940" spans="1:9" x14ac:dyDescent="0.4">
      <c r="A5940" t="s">
        <v>68</v>
      </c>
      <c r="B5940" s="1">
        <v>45505</v>
      </c>
      <c r="C5940">
        <v>854430</v>
      </c>
      <c r="D5940" t="s">
        <v>176</v>
      </c>
      <c r="E5940">
        <v>512523</v>
      </c>
      <c r="F5940">
        <v>27047</v>
      </c>
      <c r="G5940">
        <v>8105</v>
      </c>
      <c r="H5940">
        <f>_xlfn.XLOOKUP(FACT_IMPORTS[[#This Row],[hts_6]],DIM_PRODUCTS[hts_6],DIM_PRODUCTS[hts_4],,,)</f>
        <v>8544</v>
      </c>
      <c r="I5940" t="str" cm="1">
        <f t="array" ref="I5940">_xlfn.XLOOKUP(FACT_IMPORTS[[#This Row],[country_name]],DIM_COUNTRY[[#All],[Column2]],DIM_COUNTRY[[#All],[Column3]],,,)</f>
        <v>Major_Non-USMCA_Non-China</v>
      </c>
    </row>
    <row r="5941" spans="1:9" x14ac:dyDescent="0.4">
      <c r="A5941" t="s">
        <v>68</v>
      </c>
      <c r="B5941" s="1">
        <v>45505</v>
      </c>
      <c r="C5941">
        <v>870790</v>
      </c>
      <c r="D5941" t="s">
        <v>176</v>
      </c>
      <c r="E5941">
        <v>0</v>
      </c>
      <c r="F5941">
        <v>0</v>
      </c>
      <c r="G5941">
        <v>0</v>
      </c>
      <c r="H5941">
        <f>_xlfn.XLOOKUP(FACT_IMPORTS[[#This Row],[hts_6]],DIM_PRODUCTS[hts_6],DIM_PRODUCTS[hts_4],,,)</f>
        <v>8707</v>
      </c>
      <c r="I5941" t="str" cm="1">
        <f t="array" ref="I5941">_xlfn.XLOOKUP(FACT_IMPORTS[[#This Row],[country_name]],DIM_COUNTRY[[#All],[Column2]],DIM_COUNTRY[[#All],[Column3]],,,)</f>
        <v>Major_Non-USMCA_Non-China</v>
      </c>
    </row>
    <row r="5942" spans="1:9" x14ac:dyDescent="0.4">
      <c r="A5942" t="s">
        <v>68</v>
      </c>
      <c r="B5942" s="1">
        <v>45505</v>
      </c>
      <c r="C5942">
        <v>870810</v>
      </c>
      <c r="D5942" t="s">
        <v>176</v>
      </c>
      <c r="E5942">
        <v>37352</v>
      </c>
      <c r="F5942">
        <v>422</v>
      </c>
      <c r="G5942">
        <v>347</v>
      </c>
      <c r="H5942">
        <f>_xlfn.XLOOKUP(FACT_IMPORTS[[#This Row],[hts_6]],DIM_PRODUCTS[hts_6],DIM_PRODUCTS[hts_4],,,)</f>
        <v>8708</v>
      </c>
      <c r="I5942" t="str" cm="1">
        <f t="array" ref="I5942">_xlfn.XLOOKUP(FACT_IMPORTS[[#This Row],[country_name]],DIM_COUNTRY[[#All],[Column2]],DIM_COUNTRY[[#All],[Column3]],,,)</f>
        <v>Major_Non-USMCA_Non-China</v>
      </c>
    </row>
    <row r="5943" spans="1:9" x14ac:dyDescent="0.4">
      <c r="A5943" t="s">
        <v>68</v>
      </c>
      <c r="B5943" s="1">
        <v>45505</v>
      </c>
      <c r="C5943">
        <v>870821</v>
      </c>
      <c r="D5943" t="s">
        <v>176</v>
      </c>
      <c r="E5943">
        <v>0</v>
      </c>
      <c r="F5943">
        <v>0</v>
      </c>
      <c r="G5943">
        <v>0</v>
      </c>
      <c r="H5943">
        <f>_xlfn.XLOOKUP(FACT_IMPORTS[[#This Row],[hts_6]],DIM_PRODUCTS[hts_6],DIM_PRODUCTS[hts_4],,,)</f>
        <v>8708</v>
      </c>
      <c r="I5943" t="str" cm="1">
        <f t="array" ref="I5943">_xlfn.XLOOKUP(FACT_IMPORTS[[#This Row],[country_name]],DIM_COUNTRY[[#All],[Column2]],DIM_COUNTRY[[#All],[Column3]],,,)</f>
        <v>Major_Non-USMCA_Non-China</v>
      </c>
    </row>
    <row r="5944" spans="1:9" x14ac:dyDescent="0.4">
      <c r="A5944" t="s">
        <v>68</v>
      </c>
      <c r="B5944" s="1">
        <v>45505</v>
      </c>
      <c r="C5944">
        <v>870822</v>
      </c>
      <c r="D5944" t="s">
        <v>176</v>
      </c>
      <c r="E5944">
        <v>0</v>
      </c>
      <c r="F5944">
        <v>0</v>
      </c>
      <c r="G5944">
        <v>0</v>
      </c>
      <c r="H5944">
        <f>_xlfn.XLOOKUP(FACT_IMPORTS[[#This Row],[hts_6]],DIM_PRODUCTS[hts_6],DIM_PRODUCTS[hts_4],,,)</f>
        <v>8708</v>
      </c>
      <c r="I5944" t="str" cm="1">
        <f t="array" ref="I5944">_xlfn.XLOOKUP(FACT_IMPORTS[[#This Row],[country_name]],DIM_COUNTRY[[#All],[Column2]],DIM_COUNTRY[[#All],[Column3]],,,)</f>
        <v>Major_Non-USMCA_Non-China</v>
      </c>
    </row>
    <row r="5945" spans="1:9" x14ac:dyDescent="0.4">
      <c r="A5945" t="s">
        <v>68</v>
      </c>
      <c r="B5945" s="1">
        <v>45505</v>
      </c>
      <c r="C5945">
        <v>870829</v>
      </c>
      <c r="D5945" t="s">
        <v>176</v>
      </c>
      <c r="E5945">
        <v>1468921</v>
      </c>
      <c r="F5945">
        <v>1667213</v>
      </c>
      <c r="G5945">
        <v>37227</v>
      </c>
      <c r="H5945">
        <f>_xlfn.XLOOKUP(FACT_IMPORTS[[#This Row],[hts_6]],DIM_PRODUCTS[hts_6],DIM_PRODUCTS[hts_4],,,)</f>
        <v>8708</v>
      </c>
      <c r="I5945" t="str" cm="1">
        <f t="array" ref="I5945">_xlfn.XLOOKUP(FACT_IMPORTS[[#This Row],[country_name]],DIM_COUNTRY[[#All],[Column2]],DIM_COUNTRY[[#All],[Column3]],,,)</f>
        <v>Major_Non-USMCA_Non-China</v>
      </c>
    </row>
    <row r="5946" spans="1:9" x14ac:dyDescent="0.4">
      <c r="A5946" t="s">
        <v>68</v>
      </c>
      <c r="B5946" s="1">
        <v>45505</v>
      </c>
      <c r="C5946">
        <v>870830</v>
      </c>
      <c r="D5946" t="s">
        <v>176</v>
      </c>
      <c r="E5946">
        <v>352433</v>
      </c>
      <c r="F5946">
        <v>73806</v>
      </c>
      <c r="G5946">
        <v>6986</v>
      </c>
      <c r="H5946">
        <f>_xlfn.XLOOKUP(FACT_IMPORTS[[#This Row],[hts_6]],DIM_PRODUCTS[hts_6],DIM_PRODUCTS[hts_4],,,)</f>
        <v>8708</v>
      </c>
      <c r="I5946" t="str" cm="1">
        <f t="array" ref="I5946">_xlfn.XLOOKUP(FACT_IMPORTS[[#This Row],[country_name]],DIM_COUNTRY[[#All],[Column2]],DIM_COUNTRY[[#All],[Column3]],,,)</f>
        <v>Major_Non-USMCA_Non-China</v>
      </c>
    </row>
    <row r="5947" spans="1:9" x14ac:dyDescent="0.4">
      <c r="A5947" t="s">
        <v>68</v>
      </c>
      <c r="B5947" s="1">
        <v>45505</v>
      </c>
      <c r="C5947">
        <v>870840</v>
      </c>
      <c r="D5947" t="s">
        <v>176</v>
      </c>
      <c r="E5947">
        <v>40663338</v>
      </c>
      <c r="F5947">
        <v>572204</v>
      </c>
      <c r="G5947">
        <v>110588</v>
      </c>
      <c r="H5947">
        <f>_xlfn.XLOOKUP(FACT_IMPORTS[[#This Row],[hts_6]],DIM_PRODUCTS[hts_6],DIM_PRODUCTS[hts_4],,,)</f>
        <v>8708</v>
      </c>
      <c r="I5947" t="str" cm="1">
        <f t="array" ref="I5947">_xlfn.XLOOKUP(FACT_IMPORTS[[#This Row],[country_name]],DIM_COUNTRY[[#All],[Column2]],DIM_COUNTRY[[#All],[Column3]],,,)</f>
        <v>Major_Non-USMCA_Non-China</v>
      </c>
    </row>
    <row r="5948" spans="1:9" x14ac:dyDescent="0.4">
      <c r="A5948" t="s">
        <v>68</v>
      </c>
      <c r="B5948" s="1">
        <v>45505</v>
      </c>
      <c r="C5948">
        <v>870850</v>
      </c>
      <c r="D5948" t="s">
        <v>176</v>
      </c>
      <c r="E5948">
        <v>9264766</v>
      </c>
      <c r="F5948">
        <v>530230</v>
      </c>
      <c r="G5948">
        <v>143206</v>
      </c>
      <c r="H5948">
        <f>_xlfn.XLOOKUP(FACT_IMPORTS[[#This Row],[hts_6]],DIM_PRODUCTS[hts_6],DIM_PRODUCTS[hts_4],,,)</f>
        <v>8708</v>
      </c>
      <c r="I5948" t="str" cm="1">
        <f t="array" ref="I5948">_xlfn.XLOOKUP(FACT_IMPORTS[[#This Row],[country_name]],DIM_COUNTRY[[#All],[Column2]],DIM_COUNTRY[[#All],[Column3]],,,)</f>
        <v>Major_Non-USMCA_Non-China</v>
      </c>
    </row>
    <row r="5949" spans="1:9" x14ac:dyDescent="0.4">
      <c r="A5949" t="s">
        <v>68</v>
      </c>
      <c r="B5949" s="1">
        <v>45505</v>
      </c>
      <c r="C5949">
        <v>870870</v>
      </c>
      <c r="D5949" t="s">
        <v>176</v>
      </c>
      <c r="E5949">
        <v>22043</v>
      </c>
      <c r="F5949">
        <v>65</v>
      </c>
      <c r="G5949">
        <v>2884</v>
      </c>
      <c r="H5949">
        <f>_xlfn.XLOOKUP(FACT_IMPORTS[[#This Row],[hts_6]],DIM_PRODUCTS[hts_6],DIM_PRODUCTS[hts_4],,,)</f>
        <v>8708</v>
      </c>
      <c r="I5949" t="str" cm="1">
        <f t="array" ref="I5949">_xlfn.XLOOKUP(FACT_IMPORTS[[#This Row],[country_name]],DIM_COUNTRY[[#All],[Column2]],DIM_COUNTRY[[#All],[Column3]],,,)</f>
        <v>Major_Non-USMCA_Non-China</v>
      </c>
    </row>
    <row r="5950" spans="1:9" x14ac:dyDescent="0.4">
      <c r="A5950" t="s">
        <v>68</v>
      </c>
      <c r="B5950" s="1">
        <v>45505</v>
      </c>
      <c r="C5950">
        <v>870880</v>
      </c>
      <c r="D5950" t="s">
        <v>176</v>
      </c>
      <c r="E5950">
        <v>699510</v>
      </c>
      <c r="F5950">
        <v>612589</v>
      </c>
      <c r="G5950">
        <v>23727</v>
      </c>
      <c r="H5950">
        <f>_xlfn.XLOOKUP(FACT_IMPORTS[[#This Row],[hts_6]],DIM_PRODUCTS[hts_6],DIM_PRODUCTS[hts_4],,,)</f>
        <v>8708</v>
      </c>
      <c r="I5950" t="str" cm="1">
        <f t="array" ref="I5950">_xlfn.XLOOKUP(FACT_IMPORTS[[#This Row],[country_name]],DIM_COUNTRY[[#All],[Column2]],DIM_COUNTRY[[#All],[Column3]],,,)</f>
        <v>Major_Non-USMCA_Non-China</v>
      </c>
    </row>
    <row r="5951" spans="1:9" x14ac:dyDescent="0.4">
      <c r="A5951" t="s">
        <v>68</v>
      </c>
      <c r="B5951" s="1">
        <v>45505</v>
      </c>
      <c r="C5951">
        <v>870891</v>
      </c>
      <c r="D5951" t="s">
        <v>176</v>
      </c>
      <c r="E5951">
        <v>21059</v>
      </c>
      <c r="F5951">
        <v>384</v>
      </c>
      <c r="G5951">
        <v>690</v>
      </c>
      <c r="H5951">
        <f>_xlfn.XLOOKUP(FACT_IMPORTS[[#This Row],[hts_6]],DIM_PRODUCTS[hts_6],DIM_PRODUCTS[hts_4],,,)</f>
        <v>8708</v>
      </c>
      <c r="I5951" t="str" cm="1">
        <f t="array" ref="I5951">_xlfn.XLOOKUP(FACT_IMPORTS[[#This Row],[country_name]],DIM_COUNTRY[[#All],[Column2]],DIM_COUNTRY[[#All],[Column3]],,,)</f>
        <v>Major_Non-USMCA_Non-China</v>
      </c>
    </row>
    <row r="5952" spans="1:9" x14ac:dyDescent="0.4">
      <c r="A5952" t="s">
        <v>68</v>
      </c>
      <c r="B5952" s="1">
        <v>45505</v>
      </c>
      <c r="C5952">
        <v>870892</v>
      </c>
      <c r="D5952" t="s">
        <v>176</v>
      </c>
      <c r="E5952">
        <v>256356</v>
      </c>
      <c r="F5952">
        <v>93798</v>
      </c>
      <c r="G5952">
        <v>9475</v>
      </c>
      <c r="H5952">
        <f>_xlfn.XLOOKUP(FACT_IMPORTS[[#This Row],[hts_6]],DIM_PRODUCTS[hts_6],DIM_PRODUCTS[hts_4],,,)</f>
        <v>8708</v>
      </c>
      <c r="I5952" t="str" cm="1">
        <f t="array" ref="I5952">_xlfn.XLOOKUP(FACT_IMPORTS[[#This Row],[country_name]],DIM_COUNTRY[[#All],[Column2]],DIM_COUNTRY[[#All],[Column3]],,,)</f>
        <v>Major_Non-USMCA_Non-China</v>
      </c>
    </row>
    <row r="5953" spans="1:9" x14ac:dyDescent="0.4">
      <c r="A5953" t="s">
        <v>68</v>
      </c>
      <c r="B5953" s="1">
        <v>45505</v>
      </c>
      <c r="C5953">
        <v>870893</v>
      </c>
      <c r="D5953" t="s">
        <v>176</v>
      </c>
      <c r="E5953">
        <v>506025</v>
      </c>
      <c r="F5953">
        <v>1500</v>
      </c>
      <c r="G5953">
        <v>2503</v>
      </c>
      <c r="H5953">
        <f>_xlfn.XLOOKUP(FACT_IMPORTS[[#This Row],[hts_6]],DIM_PRODUCTS[hts_6],DIM_PRODUCTS[hts_4],,,)</f>
        <v>8708</v>
      </c>
      <c r="I5953" t="str" cm="1">
        <f t="array" ref="I5953">_xlfn.XLOOKUP(FACT_IMPORTS[[#This Row],[country_name]],DIM_COUNTRY[[#All],[Column2]],DIM_COUNTRY[[#All],[Column3]],,,)</f>
        <v>Major_Non-USMCA_Non-China</v>
      </c>
    </row>
    <row r="5954" spans="1:9" x14ac:dyDescent="0.4">
      <c r="A5954" t="s">
        <v>68</v>
      </c>
      <c r="B5954" s="1">
        <v>45505</v>
      </c>
      <c r="C5954">
        <v>870894</v>
      </c>
      <c r="D5954" t="s">
        <v>176</v>
      </c>
      <c r="E5954">
        <v>424067</v>
      </c>
      <c r="F5954">
        <v>1199</v>
      </c>
      <c r="G5954">
        <v>5939</v>
      </c>
      <c r="H5954">
        <f>_xlfn.XLOOKUP(FACT_IMPORTS[[#This Row],[hts_6]],DIM_PRODUCTS[hts_6],DIM_PRODUCTS[hts_4],,,)</f>
        <v>8708</v>
      </c>
      <c r="I5954" t="str" cm="1">
        <f t="array" ref="I5954">_xlfn.XLOOKUP(FACT_IMPORTS[[#This Row],[country_name]],DIM_COUNTRY[[#All],[Column2]],DIM_COUNTRY[[#All],[Column3]],,,)</f>
        <v>Major_Non-USMCA_Non-China</v>
      </c>
    </row>
    <row r="5955" spans="1:9" x14ac:dyDescent="0.4">
      <c r="A5955" t="s">
        <v>68</v>
      </c>
      <c r="B5955" s="1">
        <v>45505</v>
      </c>
      <c r="C5955">
        <v>870895</v>
      </c>
      <c r="D5955" t="s">
        <v>176</v>
      </c>
      <c r="E5955">
        <v>0</v>
      </c>
      <c r="F5955">
        <v>0</v>
      </c>
      <c r="G5955">
        <v>0</v>
      </c>
      <c r="H5955">
        <f>_xlfn.XLOOKUP(FACT_IMPORTS[[#This Row],[hts_6]],DIM_PRODUCTS[hts_6],DIM_PRODUCTS[hts_4],,,)</f>
        <v>8708</v>
      </c>
      <c r="I5955" t="str" cm="1">
        <f t="array" ref="I5955">_xlfn.XLOOKUP(FACT_IMPORTS[[#This Row],[country_name]],DIM_COUNTRY[[#All],[Column2]],DIM_COUNTRY[[#All],[Column3]],,,)</f>
        <v>Major_Non-USMCA_Non-China</v>
      </c>
    </row>
    <row r="5956" spans="1:9" x14ac:dyDescent="0.4">
      <c r="A5956" t="s">
        <v>68</v>
      </c>
      <c r="B5956" s="1">
        <v>45505</v>
      </c>
      <c r="C5956">
        <v>870899</v>
      </c>
      <c r="D5956" t="s">
        <v>176</v>
      </c>
      <c r="E5956">
        <v>2942324</v>
      </c>
      <c r="F5956">
        <v>428749</v>
      </c>
      <c r="G5956">
        <v>35374</v>
      </c>
      <c r="H5956">
        <f>_xlfn.XLOOKUP(FACT_IMPORTS[[#This Row],[hts_6]],DIM_PRODUCTS[hts_6],DIM_PRODUCTS[hts_4],,,)</f>
        <v>8708</v>
      </c>
      <c r="I5956" t="str" cm="1">
        <f t="array" ref="I5956">_xlfn.XLOOKUP(FACT_IMPORTS[[#This Row],[country_name]],DIM_COUNTRY[[#All],[Column2]],DIM_COUNTRY[[#All],[Column3]],,,)</f>
        <v>Major_Non-USMCA_Non-China</v>
      </c>
    </row>
    <row r="5957" spans="1:9" x14ac:dyDescent="0.4">
      <c r="A5957" t="s">
        <v>68</v>
      </c>
      <c r="B5957" s="1">
        <v>45505</v>
      </c>
      <c r="C5957">
        <v>940120</v>
      </c>
      <c r="D5957" t="s">
        <v>176</v>
      </c>
      <c r="E5957">
        <v>34386</v>
      </c>
      <c r="F5957">
        <v>33</v>
      </c>
      <c r="G5957">
        <v>4567</v>
      </c>
      <c r="H5957">
        <f>_xlfn.XLOOKUP(FACT_IMPORTS[[#This Row],[hts_6]],DIM_PRODUCTS[hts_6],DIM_PRODUCTS[hts_4],,,)</f>
        <v>9401</v>
      </c>
      <c r="I5957" t="str" cm="1">
        <f t="array" ref="I5957">_xlfn.XLOOKUP(FACT_IMPORTS[[#This Row],[country_name]],DIM_COUNTRY[[#All],[Column2]],DIM_COUNTRY[[#All],[Column3]],,,)</f>
        <v>Major_Non-USMCA_Non-China</v>
      </c>
    </row>
    <row r="5958" spans="1:9" x14ac:dyDescent="0.4">
      <c r="A5958" t="s">
        <v>68</v>
      </c>
      <c r="B5958" s="1">
        <v>45536</v>
      </c>
      <c r="C5958">
        <v>392630</v>
      </c>
      <c r="D5958" t="s">
        <v>176</v>
      </c>
      <c r="E5958">
        <v>186140</v>
      </c>
      <c r="F5958">
        <v>18599</v>
      </c>
      <c r="G5958">
        <v>8352</v>
      </c>
      <c r="H5958">
        <f>_xlfn.XLOOKUP(FACT_IMPORTS[[#This Row],[hts_6]],DIM_PRODUCTS[hts_6],DIM_PRODUCTS[hts_4],,,)</f>
        <v>3926</v>
      </c>
      <c r="I5958" t="str" cm="1">
        <f t="array" ref="I5958">_xlfn.XLOOKUP(FACT_IMPORTS[[#This Row],[country_name]],DIM_COUNTRY[[#All],[Column2]],DIM_COUNTRY[[#All],[Column3]],,,)</f>
        <v>Major_Non-USMCA_Non-China</v>
      </c>
    </row>
    <row r="5959" spans="1:9" x14ac:dyDescent="0.4">
      <c r="A5959" t="s">
        <v>68</v>
      </c>
      <c r="B5959" s="1">
        <v>45536</v>
      </c>
      <c r="C5959">
        <v>401110</v>
      </c>
      <c r="D5959" t="s">
        <v>176</v>
      </c>
      <c r="E5959">
        <v>111899</v>
      </c>
      <c r="F5959">
        <v>751</v>
      </c>
      <c r="G5959">
        <v>3029</v>
      </c>
      <c r="H5959">
        <f>_xlfn.XLOOKUP(FACT_IMPORTS[[#This Row],[hts_6]],DIM_PRODUCTS[hts_6],DIM_PRODUCTS[hts_4],,,)</f>
        <v>4011</v>
      </c>
      <c r="I5959" t="str" cm="1">
        <f t="array" ref="I5959">_xlfn.XLOOKUP(FACT_IMPORTS[[#This Row],[country_name]],DIM_COUNTRY[[#All],[Column2]],DIM_COUNTRY[[#All],[Column3]],,,)</f>
        <v>Major_Non-USMCA_Non-China</v>
      </c>
    </row>
    <row r="5960" spans="1:9" x14ac:dyDescent="0.4">
      <c r="A5960" t="s">
        <v>68</v>
      </c>
      <c r="B5960" s="1">
        <v>45536</v>
      </c>
      <c r="C5960">
        <v>401120</v>
      </c>
      <c r="D5960" t="s">
        <v>176</v>
      </c>
      <c r="E5960">
        <v>87691</v>
      </c>
      <c r="F5960">
        <v>191</v>
      </c>
      <c r="G5960">
        <v>78</v>
      </c>
      <c r="H5960">
        <f>_xlfn.XLOOKUP(FACT_IMPORTS[[#This Row],[hts_6]],DIM_PRODUCTS[hts_6],DIM_PRODUCTS[hts_4],,,)</f>
        <v>4011</v>
      </c>
      <c r="I5960" t="str" cm="1">
        <f t="array" ref="I5960">_xlfn.XLOOKUP(FACT_IMPORTS[[#This Row],[country_name]],DIM_COUNTRY[[#All],[Column2]],DIM_COUNTRY[[#All],[Column3]],,,)</f>
        <v>Major_Non-USMCA_Non-China</v>
      </c>
    </row>
    <row r="5961" spans="1:9" x14ac:dyDescent="0.4">
      <c r="A5961" t="s">
        <v>68</v>
      </c>
      <c r="B5961" s="1">
        <v>45536</v>
      </c>
      <c r="C5961">
        <v>401190</v>
      </c>
      <c r="D5961" t="s">
        <v>176</v>
      </c>
      <c r="E5961">
        <v>0</v>
      </c>
      <c r="F5961">
        <v>0</v>
      </c>
      <c r="G5961">
        <v>0</v>
      </c>
      <c r="H5961">
        <f>_xlfn.XLOOKUP(FACT_IMPORTS[[#This Row],[hts_6]],DIM_PRODUCTS[hts_6],DIM_PRODUCTS[hts_4],,,)</f>
        <v>4011</v>
      </c>
      <c r="I5961" t="str" cm="1">
        <f t="array" ref="I5961">_xlfn.XLOOKUP(FACT_IMPORTS[[#This Row],[country_name]],DIM_COUNTRY[[#All],[Column2]],DIM_COUNTRY[[#All],[Column3]],,,)</f>
        <v>Major_Non-USMCA_Non-China</v>
      </c>
    </row>
    <row r="5962" spans="1:9" x14ac:dyDescent="0.4">
      <c r="A5962" t="s">
        <v>68</v>
      </c>
      <c r="B5962" s="1">
        <v>45536</v>
      </c>
      <c r="C5962">
        <v>700711</v>
      </c>
      <c r="D5962" t="s">
        <v>176</v>
      </c>
      <c r="E5962">
        <v>0</v>
      </c>
      <c r="F5962">
        <v>0</v>
      </c>
      <c r="G5962">
        <v>0</v>
      </c>
      <c r="H5962">
        <f>_xlfn.XLOOKUP(FACT_IMPORTS[[#This Row],[hts_6]],DIM_PRODUCTS[hts_6],DIM_PRODUCTS[hts_4],,,)</f>
        <v>7007</v>
      </c>
      <c r="I5962" t="str" cm="1">
        <f t="array" ref="I5962">_xlfn.XLOOKUP(FACT_IMPORTS[[#This Row],[country_name]],DIM_COUNTRY[[#All],[Column2]],DIM_COUNTRY[[#All],[Column3]],,,)</f>
        <v>Major_Non-USMCA_Non-China</v>
      </c>
    </row>
    <row r="5963" spans="1:9" x14ac:dyDescent="0.4">
      <c r="A5963" t="s">
        <v>68</v>
      </c>
      <c r="B5963" s="1">
        <v>45536</v>
      </c>
      <c r="C5963">
        <v>700721</v>
      </c>
      <c r="D5963" t="s">
        <v>176</v>
      </c>
      <c r="E5963">
        <v>0</v>
      </c>
      <c r="F5963">
        <v>0</v>
      </c>
      <c r="G5963">
        <v>0</v>
      </c>
      <c r="H5963">
        <f>_xlfn.XLOOKUP(FACT_IMPORTS[[#This Row],[hts_6]],DIM_PRODUCTS[hts_6],DIM_PRODUCTS[hts_4],,,)</f>
        <v>7007</v>
      </c>
      <c r="I5963" t="str" cm="1">
        <f t="array" ref="I5963">_xlfn.XLOOKUP(FACT_IMPORTS[[#This Row],[country_name]],DIM_COUNTRY[[#All],[Column2]],DIM_COUNTRY[[#All],[Column3]],,,)</f>
        <v>Major_Non-USMCA_Non-China</v>
      </c>
    </row>
    <row r="5964" spans="1:9" x14ac:dyDescent="0.4">
      <c r="A5964" t="s">
        <v>68</v>
      </c>
      <c r="B5964" s="1">
        <v>45536</v>
      </c>
      <c r="C5964">
        <v>700910</v>
      </c>
      <c r="D5964" t="s">
        <v>176</v>
      </c>
      <c r="E5964">
        <v>0</v>
      </c>
      <c r="F5964">
        <v>0</v>
      </c>
      <c r="G5964">
        <v>0</v>
      </c>
      <c r="H5964">
        <f>_xlfn.XLOOKUP(FACT_IMPORTS[[#This Row],[hts_6]],DIM_PRODUCTS[hts_6],DIM_PRODUCTS[hts_4],,,)</f>
        <v>7009</v>
      </c>
      <c r="I5964" t="str" cm="1">
        <f t="array" ref="I5964">_xlfn.XLOOKUP(FACT_IMPORTS[[#This Row],[country_name]],DIM_COUNTRY[[#All],[Column2]],DIM_COUNTRY[[#All],[Column3]],,,)</f>
        <v>Major_Non-USMCA_Non-China</v>
      </c>
    </row>
    <row r="5965" spans="1:9" x14ac:dyDescent="0.4">
      <c r="A5965" t="s">
        <v>68</v>
      </c>
      <c r="B5965" s="1">
        <v>45536</v>
      </c>
      <c r="C5965">
        <v>732010</v>
      </c>
      <c r="D5965" t="s">
        <v>176</v>
      </c>
      <c r="E5965">
        <v>137809</v>
      </c>
      <c r="F5965">
        <v>4704</v>
      </c>
      <c r="G5965">
        <v>2880</v>
      </c>
      <c r="H5965">
        <f>_xlfn.XLOOKUP(FACT_IMPORTS[[#This Row],[hts_6]],DIM_PRODUCTS[hts_6],DIM_PRODUCTS[hts_4],,,)</f>
        <v>7320</v>
      </c>
      <c r="I5965" t="str" cm="1">
        <f t="array" ref="I5965">_xlfn.XLOOKUP(FACT_IMPORTS[[#This Row],[country_name]],DIM_COUNTRY[[#All],[Column2]],DIM_COUNTRY[[#All],[Column3]],,,)</f>
        <v>Major_Non-USMCA_Non-China</v>
      </c>
    </row>
    <row r="5966" spans="1:9" x14ac:dyDescent="0.4">
      <c r="A5966" t="s">
        <v>68</v>
      </c>
      <c r="B5966" s="1">
        <v>45536</v>
      </c>
      <c r="C5966">
        <v>830230</v>
      </c>
      <c r="D5966" t="s">
        <v>176</v>
      </c>
      <c r="E5966">
        <v>307237</v>
      </c>
      <c r="F5966">
        <v>46279</v>
      </c>
      <c r="G5966">
        <v>14272</v>
      </c>
      <c r="H5966">
        <f>_xlfn.XLOOKUP(FACT_IMPORTS[[#This Row],[hts_6]],DIM_PRODUCTS[hts_6],DIM_PRODUCTS[hts_4],,,)</f>
        <v>8302</v>
      </c>
      <c r="I5966" t="str" cm="1">
        <f t="array" ref="I5966">_xlfn.XLOOKUP(FACT_IMPORTS[[#This Row],[country_name]],DIM_COUNTRY[[#All],[Column2]],DIM_COUNTRY[[#All],[Column3]],,,)</f>
        <v>Major_Non-USMCA_Non-China</v>
      </c>
    </row>
    <row r="5967" spans="1:9" x14ac:dyDescent="0.4">
      <c r="A5967" t="s">
        <v>68</v>
      </c>
      <c r="B5967" s="1">
        <v>45536</v>
      </c>
      <c r="C5967">
        <v>840731</v>
      </c>
      <c r="D5967" t="s">
        <v>176</v>
      </c>
      <c r="E5967">
        <v>0</v>
      </c>
      <c r="F5967">
        <v>0</v>
      </c>
      <c r="G5967">
        <v>0</v>
      </c>
      <c r="H5967">
        <f>_xlfn.XLOOKUP(FACT_IMPORTS[[#This Row],[hts_6]],DIM_PRODUCTS[hts_6],DIM_PRODUCTS[hts_4],,,)</f>
        <v>8407</v>
      </c>
      <c r="I5967" t="str" cm="1">
        <f t="array" ref="I5967">_xlfn.XLOOKUP(FACT_IMPORTS[[#This Row],[country_name]],DIM_COUNTRY[[#All],[Column2]],DIM_COUNTRY[[#All],[Column3]],,,)</f>
        <v>Major_Non-USMCA_Non-China</v>
      </c>
    </row>
    <row r="5968" spans="1:9" x14ac:dyDescent="0.4">
      <c r="A5968" t="s">
        <v>68</v>
      </c>
      <c r="B5968" s="1">
        <v>45536</v>
      </c>
      <c r="C5968">
        <v>840734</v>
      </c>
      <c r="D5968" t="s">
        <v>176</v>
      </c>
      <c r="E5968">
        <v>80333</v>
      </c>
      <c r="F5968">
        <v>13</v>
      </c>
      <c r="G5968">
        <v>1234</v>
      </c>
      <c r="H5968">
        <f>_xlfn.XLOOKUP(FACT_IMPORTS[[#This Row],[hts_6]],DIM_PRODUCTS[hts_6],DIM_PRODUCTS[hts_4],,,)</f>
        <v>8407</v>
      </c>
      <c r="I5968" t="str" cm="1">
        <f t="array" ref="I5968">_xlfn.XLOOKUP(FACT_IMPORTS[[#This Row],[country_name]],DIM_COUNTRY[[#All],[Column2]],DIM_COUNTRY[[#All],[Column3]],,,)</f>
        <v>Major_Non-USMCA_Non-China</v>
      </c>
    </row>
    <row r="5969" spans="1:9" x14ac:dyDescent="0.4">
      <c r="A5969" t="s">
        <v>68</v>
      </c>
      <c r="B5969" s="1">
        <v>45536</v>
      </c>
      <c r="C5969">
        <v>840790</v>
      </c>
      <c r="D5969" t="s">
        <v>176</v>
      </c>
      <c r="E5969">
        <v>0</v>
      </c>
      <c r="F5969">
        <v>0</v>
      </c>
      <c r="G5969">
        <v>0</v>
      </c>
      <c r="H5969">
        <f>_xlfn.XLOOKUP(FACT_IMPORTS[[#This Row],[hts_6]],DIM_PRODUCTS[hts_6],DIM_PRODUCTS[hts_4],,,)</f>
        <v>8407</v>
      </c>
      <c r="I5969" t="str" cm="1">
        <f t="array" ref="I5969">_xlfn.XLOOKUP(FACT_IMPORTS[[#This Row],[country_name]],DIM_COUNTRY[[#All],[Column2]],DIM_COUNTRY[[#All],[Column3]],,,)</f>
        <v>Major_Non-USMCA_Non-China</v>
      </c>
    </row>
    <row r="5970" spans="1:9" x14ac:dyDescent="0.4">
      <c r="A5970" t="s">
        <v>68</v>
      </c>
      <c r="B5970" s="1">
        <v>45536</v>
      </c>
      <c r="C5970">
        <v>840820</v>
      </c>
      <c r="D5970" t="s">
        <v>176</v>
      </c>
      <c r="E5970">
        <v>58172</v>
      </c>
      <c r="F5970">
        <v>5</v>
      </c>
      <c r="G5970">
        <v>1303</v>
      </c>
      <c r="H5970">
        <f>_xlfn.XLOOKUP(FACT_IMPORTS[[#This Row],[hts_6]],DIM_PRODUCTS[hts_6],DIM_PRODUCTS[hts_4],,,)</f>
        <v>8408</v>
      </c>
      <c r="I5970" t="str" cm="1">
        <f t="array" ref="I5970">_xlfn.XLOOKUP(FACT_IMPORTS[[#This Row],[country_name]],DIM_COUNTRY[[#All],[Column2]],DIM_COUNTRY[[#All],[Column3]],,,)</f>
        <v>Major_Non-USMCA_Non-China</v>
      </c>
    </row>
    <row r="5971" spans="1:9" x14ac:dyDescent="0.4">
      <c r="A5971" t="s">
        <v>68</v>
      </c>
      <c r="B5971" s="1">
        <v>45536</v>
      </c>
      <c r="C5971">
        <v>840890</v>
      </c>
      <c r="D5971" t="s">
        <v>176</v>
      </c>
      <c r="E5971">
        <v>26690</v>
      </c>
      <c r="F5971">
        <v>2</v>
      </c>
      <c r="G5971">
        <v>200</v>
      </c>
      <c r="H5971">
        <f>_xlfn.XLOOKUP(FACT_IMPORTS[[#This Row],[hts_6]],DIM_PRODUCTS[hts_6],DIM_PRODUCTS[hts_4],,,)</f>
        <v>8408</v>
      </c>
      <c r="I5971" t="str" cm="1">
        <f t="array" ref="I5971">_xlfn.XLOOKUP(FACT_IMPORTS[[#This Row],[country_name]],DIM_COUNTRY[[#All],[Column2]],DIM_COUNTRY[[#All],[Column3]],,,)</f>
        <v>Major_Non-USMCA_Non-China</v>
      </c>
    </row>
    <row r="5972" spans="1:9" x14ac:dyDescent="0.4">
      <c r="A5972" t="s">
        <v>68</v>
      </c>
      <c r="B5972" s="1">
        <v>45536</v>
      </c>
      <c r="C5972">
        <v>840991</v>
      </c>
      <c r="D5972" t="s">
        <v>176</v>
      </c>
      <c r="E5972">
        <v>710635</v>
      </c>
      <c r="F5972">
        <v>41878</v>
      </c>
      <c r="G5972">
        <v>13430</v>
      </c>
      <c r="H5972">
        <f>_xlfn.XLOOKUP(FACT_IMPORTS[[#This Row],[hts_6]],DIM_PRODUCTS[hts_6],DIM_PRODUCTS[hts_4],,,)</f>
        <v>8409</v>
      </c>
      <c r="I5972" t="str" cm="1">
        <f t="array" ref="I5972">_xlfn.XLOOKUP(FACT_IMPORTS[[#This Row],[country_name]],DIM_COUNTRY[[#All],[Column2]],DIM_COUNTRY[[#All],[Column3]],,,)</f>
        <v>Major_Non-USMCA_Non-China</v>
      </c>
    </row>
    <row r="5973" spans="1:9" x14ac:dyDescent="0.4">
      <c r="A5973" t="s">
        <v>68</v>
      </c>
      <c r="B5973" s="1">
        <v>45536</v>
      </c>
      <c r="C5973">
        <v>840999</v>
      </c>
      <c r="D5973" t="s">
        <v>176</v>
      </c>
      <c r="E5973">
        <v>24199936</v>
      </c>
      <c r="F5973">
        <v>2950000</v>
      </c>
      <c r="G5973">
        <v>431084</v>
      </c>
      <c r="H5973">
        <f>_xlfn.XLOOKUP(FACT_IMPORTS[[#This Row],[hts_6]],DIM_PRODUCTS[hts_6],DIM_PRODUCTS[hts_4],,,)</f>
        <v>8409</v>
      </c>
      <c r="I5973" t="str" cm="1">
        <f t="array" ref="I5973">_xlfn.XLOOKUP(FACT_IMPORTS[[#This Row],[country_name]],DIM_COUNTRY[[#All],[Column2]],DIM_COUNTRY[[#All],[Column3]],,,)</f>
        <v>Major_Non-USMCA_Non-China</v>
      </c>
    </row>
    <row r="5974" spans="1:9" x14ac:dyDescent="0.4">
      <c r="A5974" t="s">
        <v>68</v>
      </c>
      <c r="B5974" s="1">
        <v>45536</v>
      </c>
      <c r="C5974">
        <v>841330</v>
      </c>
      <c r="D5974" t="s">
        <v>176</v>
      </c>
      <c r="E5974">
        <v>10140534</v>
      </c>
      <c r="F5974">
        <v>74347</v>
      </c>
      <c r="G5974">
        <v>32817</v>
      </c>
      <c r="H5974">
        <f>_xlfn.XLOOKUP(FACT_IMPORTS[[#This Row],[hts_6]],DIM_PRODUCTS[hts_6],DIM_PRODUCTS[hts_4],,,)</f>
        <v>8413</v>
      </c>
      <c r="I5974" t="str" cm="1">
        <f t="array" ref="I5974">_xlfn.XLOOKUP(FACT_IMPORTS[[#This Row],[country_name]],DIM_COUNTRY[[#All],[Column2]],DIM_COUNTRY[[#All],[Column3]],,,)</f>
        <v>Major_Non-USMCA_Non-China</v>
      </c>
    </row>
    <row r="5975" spans="1:9" x14ac:dyDescent="0.4">
      <c r="A5975" t="s">
        <v>68</v>
      </c>
      <c r="B5975" s="1">
        <v>45536</v>
      </c>
      <c r="C5975">
        <v>841520</v>
      </c>
      <c r="D5975" t="s">
        <v>176</v>
      </c>
      <c r="E5975">
        <v>0</v>
      </c>
      <c r="F5975">
        <v>0</v>
      </c>
      <c r="G5975">
        <v>0</v>
      </c>
      <c r="H5975">
        <f>_xlfn.XLOOKUP(FACT_IMPORTS[[#This Row],[hts_6]],DIM_PRODUCTS[hts_6],DIM_PRODUCTS[hts_4],,,)</f>
        <v>8415</v>
      </c>
      <c r="I5975" t="str" cm="1">
        <f t="array" ref="I5975">_xlfn.XLOOKUP(FACT_IMPORTS[[#This Row],[country_name]],DIM_COUNTRY[[#All],[Column2]],DIM_COUNTRY[[#All],[Column3]],,,)</f>
        <v>Major_Non-USMCA_Non-China</v>
      </c>
    </row>
    <row r="5976" spans="1:9" x14ac:dyDescent="0.4">
      <c r="A5976" t="s">
        <v>68</v>
      </c>
      <c r="B5976" s="1">
        <v>45536</v>
      </c>
      <c r="C5976">
        <v>842132</v>
      </c>
      <c r="D5976" t="s">
        <v>176</v>
      </c>
      <c r="E5976">
        <v>252229</v>
      </c>
      <c r="F5976">
        <v>435</v>
      </c>
      <c r="G5976">
        <v>880</v>
      </c>
      <c r="H5976">
        <f>_xlfn.XLOOKUP(FACT_IMPORTS[[#This Row],[hts_6]],DIM_PRODUCTS[hts_6],DIM_PRODUCTS[hts_4],,,)</f>
        <v>8421</v>
      </c>
      <c r="I5976" t="str" cm="1">
        <f t="array" ref="I5976">_xlfn.XLOOKUP(FACT_IMPORTS[[#This Row],[country_name]],DIM_COUNTRY[[#All],[Column2]],DIM_COUNTRY[[#All],[Column3]],,,)</f>
        <v>Major_Non-USMCA_Non-China</v>
      </c>
    </row>
    <row r="5977" spans="1:9" x14ac:dyDescent="0.4">
      <c r="A5977" t="s">
        <v>68</v>
      </c>
      <c r="B5977" s="1">
        <v>45536</v>
      </c>
      <c r="C5977">
        <v>848210</v>
      </c>
      <c r="D5977" t="s">
        <v>176</v>
      </c>
      <c r="E5977">
        <v>475142</v>
      </c>
      <c r="F5977">
        <v>7340</v>
      </c>
      <c r="G5977">
        <v>1646</v>
      </c>
      <c r="H5977">
        <f>_xlfn.XLOOKUP(FACT_IMPORTS[[#This Row],[hts_6]],DIM_PRODUCTS[hts_6],DIM_PRODUCTS[hts_4],,,)</f>
        <v>8482</v>
      </c>
      <c r="I5977" t="str" cm="1">
        <f t="array" ref="I5977">_xlfn.XLOOKUP(FACT_IMPORTS[[#This Row],[country_name]],DIM_COUNTRY[[#All],[Column2]],DIM_COUNTRY[[#All],[Column3]],,,)</f>
        <v>Major_Non-USMCA_Non-China</v>
      </c>
    </row>
    <row r="5978" spans="1:9" x14ac:dyDescent="0.4">
      <c r="A5978" t="s">
        <v>68</v>
      </c>
      <c r="B5978" s="1">
        <v>45536</v>
      </c>
      <c r="C5978">
        <v>848220</v>
      </c>
      <c r="D5978" t="s">
        <v>176</v>
      </c>
      <c r="E5978">
        <v>60786</v>
      </c>
      <c r="F5978">
        <v>3300</v>
      </c>
      <c r="G5978">
        <v>608</v>
      </c>
      <c r="H5978">
        <f>_xlfn.XLOOKUP(FACT_IMPORTS[[#This Row],[hts_6]],DIM_PRODUCTS[hts_6],DIM_PRODUCTS[hts_4],,,)</f>
        <v>8482</v>
      </c>
      <c r="I5978" t="str" cm="1">
        <f t="array" ref="I5978">_xlfn.XLOOKUP(FACT_IMPORTS[[#This Row],[country_name]],DIM_COUNTRY[[#All],[Column2]],DIM_COUNTRY[[#All],[Column3]],,,)</f>
        <v>Major_Non-USMCA_Non-China</v>
      </c>
    </row>
    <row r="5979" spans="1:9" x14ac:dyDescent="0.4">
      <c r="A5979" t="s">
        <v>68</v>
      </c>
      <c r="B5979" s="1">
        <v>45536</v>
      </c>
      <c r="C5979">
        <v>848310</v>
      </c>
      <c r="D5979" t="s">
        <v>176</v>
      </c>
      <c r="E5979">
        <v>5129368</v>
      </c>
      <c r="F5979">
        <v>27601</v>
      </c>
      <c r="G5979">
        <v>42968</v>
      </c>
      <c r="H5979">
        <f>_xlfn.XLOOKUP(FACT_IMPORTS[[#This Row],[hts_6]],DIM_PRODUCTS[hts_6],DIM_PRODUCTS[hts_4],,,)</f>
        <v>8483</v>
      </c>
      <c r="I5979" t="str" cm="1">
        <f t="array" ref="I5979">_xlfn.XLOOKUP(FACT_IMPORTS[[#This Row],[country_name]],DIM_COUNTRY[[#All],[Column2]],DIM_COUNTRY[[#All],[Column3]],,,)</f>
        <v>Major_Non-USMCA_Non-China</v>
      </c>
    </row>
    <row r="5980" spans="1:9" x14ac:dyDescent="0.4">
      <c r="A5980" t="s">
        <v>68</v>
      </c>
      <c r="B5980" s="1">
        <v>45536</v>
      </c>
      <c r="C5980">
        <v>850131</v>
      </c>
      <c r="D5980" t="s">
        <v>176</v>
      </c>
      <c r="E5980">
        <v>262449</v>
      </c>
      <c r="F5980">
        <v>4208</v>
      </c>
      <c r="G5980">
        <v>426</v>
      </c>
      <c r="H5980">
        <f>_xlfn.XLOOKUP(FACT_IMPORTS[[#This Row],[hts_6]],DIM_PRODUCTS[hts_6],DIM_PRODUCTS[hts_4],,,)</f>
        <v>8501</v>
      </c>
      <c r="I5980" t="str" cm="1">
        <f t="array" ref="I5980">_xlfn.XLOOKUP(FACT_IMPORTS[[#This Row],[country_name]],DIM_COUNTRY[[#All],[Column2]],DIM_COUNTRY[[#All],[Column3]],,,)</f>
        <v>Major_Non-USMCA_Non-China</v>
      </c>
    </row>
    <row r="5981" spans="1:9" x14ac:dyDescent="0.4">
      <c r="A5981" t="s">
        <v>68</v>
      </c>
      <c r="B5981" s="1">
        <v>45536</v>
      </c>
      <c r="C5981">
        <v>850132</v>
      </c>
      <c r="D5981" t="s">
        <v>176</v>
      </c>
      <c r="E5981">
        <v>120235</v>
      </c>
      <c r="F5981">
        <v>20</v>
      </c>
      <c r="G5981">
        <v>460</v>
      </c>
      <c r="H5981">
        <f>_xlfn.XLOOKUP(FACT_IMPORTS[[#This Row],[hts_6]],DIM_PRODUCTS[hts_6],DIM_PRODUCTS[hts_4],,,)</f>
        <v>8501</v>
      </c>
      <c r="I5981" t="str" cm="1">
        <f t="array" ref="I5981">_xlfn.XLOOKUP(FACT_IMPORTS[[#This Row],[country_name]],DIM_COUNTRY[[#All],[Column2]],DIM_COUNTRY[[#All],[Column3]],,,)</f>
        <v>Major_Non-USMCA_Non-China</v>
      </c>
    </row>
    <row r="5982" spans="1:9" x14ac:dyDescent="0.4">
      <c r="A5982" t="s">
        <v>68</v>
      </c>
      <c r="B5982" s="1">
        <v>45536</v>
      </c>
      <c r="C5982">
        <v>850133</v>
      </c>
      <c r="D5982" t="s">
        <v>176</v>
      </c>
      <c r="E5982">
        <v>54610</v>
      </c>
      <c r="F5982">
        <v>6</v>
      </c>
      <c r="G5982">
        <v>612</v>
      </c>
      <c r="H5982">
        <f>_xlfn.XLOOKUP(FACT_IMPORTS[[#This Row],[hts_6]],DIM_PRODUCTS[hts_6],DIM_PRODUCTS[hts_4],,,)</f>
        <v>8501</v>
      </c>
      <c r="I5982" t="str" cm="1">
        <f t="array" ref="I5982">_xlfn.XLOOKUP(FACT_IMPORTS[[#This Row],[country_name]],DIM_COUNTRY[[#All],[Column2]],DIM_COUNTRY[[#All],[Column3]],,,)</f>
        <v>Major_Non-USMCA_Non-China</v>
      </c>
    </row>
    <row r="5983" spans="1:9" x14ac:dyDescent="0.4">
      <c r="A5983" t="s">
        <v>68</v>
      </c>
      <c r="B5983" s="1">
        <v>45536</v>
      </c>
      <c r="C5983">
        <v>850134</v>
      </c>
      <c r="D5983" t="s">
        <v>176</v>
      </c>
      <c r="E5983">
        <v>20000</v>
      </c>
      <c r="F5983">
        <v>1</v>
      </c>
      <c r="G5983">
        <v>300</v>
      </c>
      <c r="H5983">
        <f>_xlfn.XLOOKUP(FACT_IMPORTS[[#This Row],[hts_6]],DIM_PRODUCTS[hts_6],DIM_PRODUCTS[hts_4],,,)</f>
        <v>8501</v>
      </c>
      <c r="I5983" t="str" cm="1">
        <f t="array" ref="I5983">_xlfn.XLOOKUP(FACT_IMPORTS[[#This Row],[country_name]],DIM_COUNTRY[[#All],[Column2]],DIM_COUNTRY[[#All],[Column3]],,,)</f>
        <v>Major_Non-USMCA_Non-China</v>
      </c>
    </row>
    <row r="5984" spans="1:9" x14ac:dyDescent="0.4">
      <c r="A5984" t="s">
        <v>68</v>
      </c>
      <c r="B5984" s="1">
        <v>45536</v>
      </c>
      <c r="C5984">
        <v>850152</v>
      </c>
      <c r="D5984" t="s">
        <v>176</v>
      </c>
      <c r="E5984">
        <v>707635</v>
      </c>
      <c r="F5984">
        <v>6600</v>
      </c>
      <c r="G5984">
        <v>16375</v>
      </c>
      <c r="H5984">
        <f>_xlfn.XLOOKUP(FACT_IMPORTS[[#This Row],[hts_6]],DIM_PRODUCTS[hts_6],DIM_PRODUCTS[hts_4],,,)</f>
        <v>8501</v>
      </c>
      <c r="I5984" t="str" cm="1">
        <f t="array" ref="I5984">_xlfn.XLOOKUP(FACT_IMPORTS[[#This Row],[country_name]],DIM_COUNTRY[[#All],[Column2]],DIM_COUNTRY[[#All],[Column3]],,,)</f>
        <v>Major_Non-USMCA_Non-China</v>
      </c>
    </row>
    <row r="5985" spans="1:9" x14ac:dyDescent="0.4">
      <c r="A5985" t="s">
        <v>68</v>
      </c>
      <c r="B5985" s="1">
        <v>45536</v>
      </c>
      <c r="C5985">
        <v>850153</v>
      </c>
      <c r="D5985" t="s">
        <v>176</v>
      </c>
      <c r="E5985">
        <v>409294</v>
      </c>
      <c r="F5985">
        <v>93</v>
      </c>
      <c r="G5985">
        <v>18263</v>
      </c>
      <c r="H5985">
        <f>_xlfn.XLOOKUP(FACT_IMPORTS[[#This Row],[hts_6]],DIM_PRODUCTS[hts_6],DIM_PRODUCTS[hts_4],,,)</f>
        <v>8501</v>
      </c>
      <c r="I5985" t="str" cm="1">
        <f t="array" ref="I5985">_xlfn.XLOOKUP(FACT_IMPORTS[[#This Row],[country_name]],DIM_COUNTRY[[#All],[Column2]],DIM_COUNTRY[[#All],[Column3]],,,)</f>
        <v>Major_Non-USMCA_Non-China</v>
      </c>
    </row>
    <row r="5986" spans="1:9" x14ac:dyDescent="0.4">
      <c r="A5986" t="s">
        <v>68</v>
      </c>
      <c r="B5986" s="1">
        <v>45536</v>
      </c>
      <c r="C5986">
        <v>850161</v>
      </c>
      <c r="D5986" t="s">
        <v>176</v>
      </c>
      <c r="E5986">
        <v>0</v>
      </c>
      <c r="F5986">
        <v>0</v>
      </c>
      <c r="G5986">
        <v>0</v>
      </c>
      <c r="H5986">
        <f>_xlfn.XLOOKUP(FACT_IMPORTS[[#This Row],[hts_6]],DIM_PRODUCTS[hts_6],DIM_PRODUCTS[hts_4],,,)</f>
        <v>8501</v>
      </c>
      <c r="I5986" t="str" cm="1">
        <f t="array" ref="I5986">_xlfn.XLOOKUP(FACT_IMPORTS[[#This Row],[country_name]],DIM_COUNTRY[[#All],[Column2]],DIM_COUNTRY[[#All],[Column3]],,,)</f>
        <v>Major_Non-USMCA_Non-China</v>
      </c>
    </row>
    <row r="5987" spans="1:9" x14ac:dyDescent="0.4">
      <c r="A5987" t="s">
        <v>68</v>
      </c>
      <c r="B5987" s="1">
        <v>45536</v>
      </c>
      <c r="C5987">
        <v>850440</v>
      </c>
      <c r="D5987" t="s">
        <v>176</v>
      </c>
      <c r="E5987">
        <v>882502</v>
      </c>
      <c r="F5987">
        <v>5330</v>
      </c>
      <c r="G5987">
        <v>15713</v>
      </c>
      <c r="H5987">
        <f>_xlfn.XLOOKUP(FACT_IMPORTS[[#This Row],[hts_6]],DIM_PRODUCTS[hts_6],DIM_PRODUCTS[hts_4],,,)</f>
        <v>8504</v>
      </c>
      <c r="I5987" t="str" cm="1">
        <f t="array" ref="I5987">_xlfn.XLOOKUP(FACT_IMPORTS[[#This Row],[country_name]],DIM_COUNTRY[[#All],[Column2]],DIM_COUNTRY[[#All],[Column3]],,,)</f>
        <v>Major_Non-USMCA_Non-China</v>
      </c>
    </row>
    <row r="5988" spans="1:9" x14ac:dyDescent="0.4">
      <c r="A5988" t="s">
        <v>68</v>
      </c>
      <c r="B5988" s="1">
        <v>45536</v>
      </c>
      <c r="C5988">
        <v>850710</v>
      </c>
      <c r="D5988" t="s">
        <v>176</v>
      </c>
      <c r="E5988">
        <v>0</v>
      </c>
      <c r="F5988">
        <v>0</v>
      </c>
      <c r="G5988">
        <v>0</v>
      </c>
      <c r="H5988">
        <f>_xlfn.XLOOKUP(FACT_IMPORTS[[#This Row],[hts_6]],DIM_PRODUCTS[hts_6],DIM_PRODUCTS[hts_4],,,)</f>
        <v>8507</v>
      </c>
      <c r="I5988" t="str" cm="1">
        <f t="array" ref="I5988">_xlfn.XLOOKUP(FACT_IMPORTS[[#This Row],[country_name]],DIM_COUNTRY[[#All],[Column2]],DIM_COUNTRY[[#All],[Column3]],,,)</f>
        <v>Major_Non-USMCA_Non-China</v>
      </c>
    </row>
    <row r="5989" spans="1:9" x14ac:dyDescent="0.4">
      <c r="A5989" t="s">
        <v>68</v>
      </c>
      <c r="B5989" s="1">
        <v>45536</v>
      </c>
      <c r="C5989">
        <v>850760</v>
      </c>
      <c r="D5989" t="s">
        <v>176</v>
      </c>
      <c r="E5989">
        <v>646494</v>
      </c>
      <c r="F5989">
        <v>1205</v>
      </c>
      <c r="G5989">
        <v>6938</v>
      </c>
      <c r="H5989">
        <f>_xlfn.XLOOKUP(FACT_IMPORTS[[#This Row],[hts_6]],DIM_PRODUCTS[hts_6],DIM_PRODUCTS[hts_4],,,)</f>
        <v>8507</v>
      </c>
      <c r="I5989" t="str" cm="1">
        <f t="array" ref="I5989">_xlfn.XLOOKUP(FACT_IMPORTS[[#This Row],[country_name]],DIM_COUNTRY[[#All],[Column2]],DIM_COUNTRY[[#All],[Column3]],,,)</f>
        <v>Major_Non-USMCA_Non-China</v>
      </c>
    </row>
    <row r="5990" spans="1:9" x14ac:dyDescent="0.4">
      <c r="A5990" t="s">
        <v>68</v>
      </c>
      <c r="B5990" s="1">
        <v>45536</v>
      </c>
      <c r="C5990">
        <v>850790</v>
      </c>
      <c r="D5990" t="s">
        <v>176</v>
      </c>
      <c r="E5990">
        <v>530301</v>
      </c>
      <c r="F5990">
        <v>32364</v>
      </c>
      <c r="G5990">
        <v>76220</v>
      </c>
      <c r="H5990">
        <f>_xlfn.XLOOKUP(FACT_IMPORTS[[#This Row],[hts_6]],DIM_PRODUCTS[hts_6],DIM_PRODUCTS[hts_4],,,)</f>
        <v>8507</v>
      </c>
      <c r="I5990" t="str" cm="1">
        <f t="array" ref="I5990">_xlfn.XLOOKUP(FACT_IMPORTS[[#This Row],[country_name]],DIM_COUNTRY[[#All],[Column2]],DIM_COUNTRY[[#All],[Column3]],,,)</f>
        <v>Major_Non-USMCA_Non-China</v>
      </c>
    </row>
    <row r="5991" spans="1:9" x14ac:dyDescent="0.4">
      <c r="A5991" t="s">
        <v>68</v>
      </c>
      <c r="B5991" s="1">
        <v>45536</v>
      </c>
      <c r="C5991">
        <v>851110</v>
      </c>
      <c r="D5991" t="s">
        <v>176</v>
      </c>
      <c r="E5991">
        <v>14164</v>
      </c>
      <c r="F5991">
        <v>18</v>
      </c>
      <c r="G5991">
        <v>234</v>
      </c>
      <c r="H5991">
        <f>_xlfn.XLOOKUP(FACT_IMPORTS[[#This Row],[hts_6]],DIM_PRODUCTS[hts_6],DIM_PRODUCTS[hts_4],,,)</f>
        <v>8511</v>
      </c>
      <c r="I5991" t="str" cm="1">
        <f t="array" ref="I5991">_xlfn.XLOOKUP(FACT_IMPORTS[[#This Row],[country_name]],DIM_COUNTRY[[#All],[Column2]],DIM_COUNTRY[[#All],[Column3]],,,)</f>
        <v>Major_Non-USMCA_Non-China</v>
      </c>
    </row>
    <row r="5992" spans="1:9" x14ac:dyDescent="0.4">
      <c r="A5992" t="s">
        <v>68</v>
      </c>
      <c r="B5992" s="1">
        <v>45536</v>
      </c>
      <c r="C5992">
        <v>851120</v>
      </c>
      <c r="D5992" t="s">
        <v>176</v>
      </c>
      <c r="E5992">
        <v>0</v>
      </c>
      <c r="F5992">
        <v>0</v>
      </c>
      <c r="G5992">
        <v>0</v>
      </c>
      <c r="H5992">
        <f>_xlfn.XLOOKUP(FACT_IMPORTS[[#This Row],[hts_6]],DIM_PRODUCTS[hts_6],DIM_PRODUCTS[hts_4],,,)</f>
        <v>8511</v>
      </c>
      <c r="I5992" t="str" cm="1">
        <f t="array" ref="I5992">_xlfn.XLOOKUP(FACT_IMPORTS[[#This Row],[country_name]],DIM_COUNTRY[[#All],[Column2]],DIM_COUNTRY[[#All],[Column3]],,,)</f>
        <v>Major_Non-USMCA_Non-China</v>
      </c>
    </row>
    <row r="5993" spans="1:9" x14ac:dyDescent="0.4">
      <c r="A5993" t="s">
        <v>68</v>
      </c>
      <c r="B5993" s="1">
        <v>45536</v>
      </c>
      <c r="C5993">
        <v>851130</v>
      </c>
      <c r="D5993" t="s">
        <v>176</v>
      </c>
      <c r="E5993">
        <v>0</v>
      </c>
      <c r="F5993">
        <v>0</v>
      </c>
      <c r="G5993">
        <v>0</v>
      </c>
      <c r="H5993">
        <f>_xlfn.XLOOKUP(FACT_IMPORTS[[#This Row],[hts_6]],DIM_PRODUCTS[hts_6],DIM_PRODUCTS[hts_4],,,)</f>
        <v>8511</v>
      </c>
      <c r="I5993" t="str" cm="1">
        <f t="array" ref="I5993">_xlfn.XLOOKUP(FACT_IMPORTS[[#This Row],[country_name]],DIM_COUNTRY[[#All],[Column2]],DIM_COUNTRY[[#All],[Column3]],,,)</f>
        <v>Major_Non-USMCA_Non-China</v>
      </c>
    </row>
    <row r="5994" spans="1:9" x14ac:dyDescent="0.4">
      <c r="A5994" t="s">
        <v>68</v>
      </c>
      <c r="B5994" s="1">
        <v>45536</v>
      </c>
      <c r="C5994">
        <v>851140</v>
      </c>
      <c r="D5994" t="s">
        <v>176</v>
      </c>
      <c r="E5994">
        <v>0</v>
      </c>
      <c r="F5994">
        <v>0</v>
      </c>
      <c r="G5994">
        <v>0</v>
      </c>
      <c r="H5994">
        <f>_xlfn.XLOOKUP(FACT_IMPORTS[[#This Row],[hts_6]],DIM_PRODUCTS[hts_6],DIM_PRODUCTS[hts_4],,,)</f>
        <v>8511</v>
      </c>
      <c r="I5994" t="str" cm="1">
        <f t="array" ref="I5994">_xlfn.XLOOKUP(FACT_IMPORTS[[#This Row],[country_name]],DIM_COUNTRY[[#All],[Column2]],DIM_COUNTRY[[#All],[Column3]],,,)</f>
        <v>Major_Non-USMCA_Non-China</v>
      </c>
    </row>
    <row r="5995" spans="1:9" x14ac:dyDescent="0.4">
      <c r="A5995" t="s">
        <v>68</v>
      </c>
      <c r="B5995" s="1">
        <v>45536</v>
      </c>
      <c r="C5995">
        <v>851150</v>
      </c>
      <c r="D5995" t="s">
        <v>176</v>
      </c>
      <c r="E5995">
        <v>0</v>
      </c>
      <c r="F5995">
        <v>0</v>
      </c>
      <c r="G5995">
        <v>0</v>
      </c>
      <c r="H5995">
        <f>_xlfn.XLOOKUP(FACT_IMPORTS[[#This Row],[hts_6]],DIM_PRODUCTS[hts_6],DIM_PRODUCTS[hts_4],,,)</f>
        <v>8511</v>
      </c>
      <c r="I5995" t="str" cm="1">
        <f t="array" ref="I5995">_xlfn.XLOOKUP(FACT_IMPORTS[[#This Row],[country_name]],DIM_COUNTRY[[#All],[Column2]],DIM_COUNTRY[[#All],[Column3]],,,)</f>
        <v>Major_Non-USMCA_Non-China</v>
      </c>
    </row>
    <row r="5996" spans="1:9" x14ac:dyDescent="0.4">
      <c r="A5996" t="s">
        <v>68</v>
      </c>
      <c r="B5996" s="1">
        <v>45536</v>
      </c>
      <c r="C5996">
        <v>851180</v>
      </c>
      <c r="D5996" t="s">
        <v>176</v>
      </c>
      <c r="E5996">
        <v>386082</v>
      </c>
      <c r="F5996">
        <v>4903</v>
      </c>
      <c r="G5996">
        <v>1609</v>
      </c>
      <c r="H5996">
        <f>_xlfn.XLOOKUP(FACT_IMPORTS[[#This Row],[hts_6]],DIM_PRODUCTS[hts_6],DIM_PRODUCTS[hts_4],,,)</f>
        <v>8511</v>
      </c>
      <c r="I5996" t="str" cm="1">
        <f t="array" ref="I5996">_xlfn.XLOOKUP(FACT_IMPORTS[[#This Row],[country_name]],DIM_COUNTRY[[#All],[Column2]],DIM_COUNTRY[[#All],[Column3]],,,)</f>
        <v>Major_Non-USMCA_Non-China</v>
      </c>
    </row>
    <row r="5997" spans="1:9" x14ac:dyDescent="0.4">
      <c r="A5997" t="s">
        <v>68</v>
      </c>
      <c r="B5997" s="1">
        <v>45536</v>
      </c>
      <c r="C5997">
        <v>851190</v>
      </c>
      <c r="D5997" t="s">
        <v>176</v>
      </c>
      <c r="E5997">
        <v>0</v>
      </c>
      <c r="F5997">
        <v>0</v>
      </c>
      <c r="G5997">
        <v>0</v>
      </c>
      <c r="H5997">
        <f>_xlfn.XLOOKUP(FACT_IMPORTS[[#This Row],[hts_6]],DIM_PRODUCTS[hts_6],DIM_PRODUCTS[hts_4],,,)</f>
        <v>8511</v>
      </c>
      <c r="I5997" t="str" cm="1">
        <f t="array" ref="I5997">_xlfn.XLOOKUP(FACT_IMPORTS[[#This Row],[country_name]],DIM_COUNTRY[[#All],[Column2]],DIM_COUNTRY[[#All],[Column3]],,,)</f>
        <v>Major_Non-USMCA_Non-China</v>
      </c>
    </row>
    <row r="5998" spans="1:9" x14ac:dyDescent="0.4">
      <c r="A5998" t="s">
        <v>68</v>
      </c>
      <c r="B5998" s="1">
        <v>45536</v>
      </c>
      <c r="C5998">
        <v>851220</v>
      </c>
      <c r="D5998" t="s">
        <v>176</v>
      </c>
      <c r="E5998">
        <v>208631</v>
      </c>
      <c r="F5998">
        <v>52189</v>
      </c>
      <c r="G5998">
        <v>13510</v>
      </c>
      <c r="H5998">
        <f>_xlfn.XLOOKUP(FACT_IMPORTS[[#This Row],[hts_6]],DIM_PRODUCTS[hts_6],DIM_PRODUCTS[hts_4],,,)</f>
        <v>8512</v>
      </c>
      <c r="I5998" t="str" cm="1">
        <f t="array" ref="I5998">_xlfn.XLOOKUP(FACT_IMPORTS[[#This Row],[country_name]],DIM_COUNTRY[[#All],[Column2]],DIM_COUNTRY[[#All],[Column3]],,,)</f>
        <v>Major_Non-USMCA_Non-China</v>
      </c>
    </row>
    <row r="5999" spans="1:9" x14ac:dyDescent="0.4">
      <c r="A5999" t="s">
        <v>68</v>
      </c>
      <c r="B5999" s="1">
        <v>45536</v>
      </c>
      <c r="C5999">
        <v>851230</v>
      </c>
      <c r="D5999" t="s">
        <v>176</v>
      </c>
      <c r="E5999">
        <v>0</v>
      </c>
      <c r="F5999">
        <v>0</v>
      </c>
      <c r="G5999">
        <v>0</v>
      </c>
      <c r="H5999">
        <f>_xlfn.XLOOKUP(FACT_IMPORTS[[#This Row],[hts_6]],DIM_PRODUCTS[hts_6],DIM_PRODUCTS[hts_4],,,)</f>
        <v>8512</v>
      </c>
      <c r="I5999" t="str" cm="1">
        <f t="array" ref="I5999">_xlfn.XLOOKUP(FACT_IMPORTS[[#This Row],[country_name]],DIM_COUNTRY[[#All],[Column2]],DIM_COUNTRY[[#All],[Column3]],,,)</f>
        <v>Major_Non-USMCA_Non-China</v>
      </c>
    </row>
    <row r="6000" spans="1:9" x14ac:dyDescent="0.4">
      <c r="A6000" t="s">
        <v>68</v>
      </c>
      <c r="B6000" s="1">
        <v>45536</v>
      </c>
      <c r="C6000">
        <v>851240</v>
      </c>
      <c r="D6000" t="s">
        <v>176</v>
      </c>
      <c r="E6000">
        <v>9284</v>
      </c>
      <c r="F6000">
        <v>300</v>
      </c>
      <c r="G6000">
        <v>154</v>
      </c>
      <c r="H6000">
        <f>_xlfn.XLOOKUP(FACT_IMPORTS[[#This Row],[hts_6]],DIM_PRODUCTS[hts_6],DIM_PRODUCTS[hts_4],,,)</f>
        <v>8512</v>
      </c>
      <c r="I6000" t="str" cm="1">
        <f t="array" ref="I6000">_xlfn.XLOOKUP(FACT_IMPORTS[[#This Row],[country_name]],DIM_COUNTRY[[#All],[Column2]],DIM_COUNTRY[[#All],[Column3]],,,)</f>
        <v>Major_Non-USMCA_Non-China</v>
      </c>
    </row>
    <row r="6001" spans="1:9" x14ac:dyDescent="0.4">
      <c r="A6001" t="s">
        <v>68</v>
      </c>
      <c r="B6001" s="1">
        <v>45536</v>
      </c>
      <c r="C6001">
        <v>851290</v>
      </c>
      <c r="D6001" t="s">
        <v>176</v>
      </c>
      <c r="E6001">
        <v>90269</v>
      </c>
      <c r="F6001">
        <v>1307</v>
      </c>
      <c r="G6001">
        <v>1623</v>
      </c>
      <c r="H6001">
        <f>_xlfn.XLOOKUP(FACT_IMPORTS[[#This Row],[hts_6]],DIM_PRODUCTS[hts_6],DIM_PRODUCTS[hts_4],,,)</f>
        <v>8512</v>
      </c>
      <c r="I6001" t="str" cm="1">
        <f t="array" ref="I6001">_xlfn.XLOOKUP(FACT_IMPORTS[[#This Row],[country_name]],DIM_COUNTRY[[#All],[Column2]],DIM_COUNTRY[[#All],[Column3]],,,)</f>
        <v>Major_Non-USMCA_Non-China</v>
      </c>
    </row>
    <row r="6002" spans="1:9" x14ac:dyDescent="0.4">
      <c r="A6002" t="s">
        <v>68</v>
      </c>
      <c r="B6002" s="1">
        <v>45536</v>
      </c>
      <c r="C6002">
        <v>854231</v>
      </c>
      <c r="D6002" t="s">
        <v>176</v>
      </c>
      <c r="E6002">
        <v>21350</v>
      </c>
      <c r="F6002">
        <v>32</v>
      </c>
      <c r="G6002">
        <v>284</v>
      </c>
      <c r="H6002">
        <f>_xlfn.XLOOKUP(FACT_IMPORTS[[#This Row],[hts_6]],DIM_PRODUCTS[hts_6],DIM_PRODUCTS[hts_4],,,)</f>
        <v>8542</v>
      </c>
      <c r="I6002" t="str" cm="1">
        <f t="array" ref="I6002">_xlfn.XLOOKUP(FACT_IMPORTS[[#This Row],[country_name]],DIM_COUNTRY[[#All],[Column2]],DIM_COUNTRY[[#All],[Column3]],,,)</f>
        <v>Major_Non-USMCA_Non-China</v>
      </c>
    </row>
    <row r="6003" spans="1:9" x14ac:dyDescent="0.4">
      <c r="A6003" t="s">
        <v>68</v>
      </c>
      <c r="B6003" s="1">
        <v>45536</v>
      </c>
      <c r="C6003">
        <v>854233</v>
      </c>
      <c r="D6003" t="s">
        <v>176</v>
      </c>
      <c r="E6003">
        <v>79285</v>
      </c>
      <c r="F6003">
        <v>4</v>
      </c>
      <c r="G6003">
        <v>77</v>
      </c>
      <c r="H6003">
        <f>_xlfn.XLOOKUP(FACT_IMPORTS[[#This Row],[hts_6]],DIM_PRODUCTS[hts_6],DIM_PRODUCTS[hts_4],,,)</f>
        <v>8542</v>
      </c>
      <c r="I6003" t="str" cm="1">
        <f t="array" ref="I6003">_xlfn.XLOOKUP(FACT_IMPORTS[[#This Row],[country_name]],DIM_COUNTRY[[#All],[Column2]],DIM_COUNTRY[[#All],[Column3]],,,)</f>
        <v>Major_Non-USMCA_Non-China</v>
      </c>
    </row>
    <row r="6004" spans="1:9" x14ac:dyDescent="0.4">
      <c r="A6004" t="s">
        <v>68</v>
      </c>
      <c r="B6004" s="1">
        <v>45536</v>
      </c>
      <c r="C6004">
        <v>854239</v>
      </c>
      <c r="D6004" t="s">
        <v>176</v>
      </c>
      <c r="E6004">
        <v>38229</v>
      </c>
      <c r="F6004">
        <v>23</v>
      </c>
      <c r="G6004">
        <v>541</v>
      </c>
      <c r="H6004">
        <f>_xlfn.XLOOKUP(FACT_IMPORTS[[#This Row],[hts_6]],DIM_PRODUCTS[hts_6],DIM_PRODUCTS[hts_4],,,)</f>
        <v>8542</v>
      </c>
      <c r="I6004" t="str" cm="1">
        <f t="array" ref="I6004">_xlfn.XLOOKUP(FACT_IMPORTS[[#This Row],[country_name]],DIM_COUNTRY[[#All],[Column2]],DIM_COUNTRY[[#All],[Column3]],,,)</f>
        <v>Major_Non-USMCA_Non-China</v>
      </c>
    </row>
    <row r="6005" spans="1:9" x14ac:dyDescent="0.4">
      <c r="A6005" t="s">
        <v>68</v>
      </c>
      <c r="B6005" s="1">
        <v>45536</v>
      </c>
      <c r="C6005">
        <v>854290</v>
      </c>
      <c r="D6005" t="s">
        <v>176</v>
      </c>
      <c r="E6005">
        <v>12844</v>
      </c>
      <c r="F6005">
        <v>10</v>
      </c>
      <c r="G6005">
        <v>731</v>
      </c>
      <c r="H6005">
        <f>_xlfn.XLOOKUP(FACT_IMPORTS[[#This Row],[hts_6]],DIM_PRODUCTS[hts_6],DIM_PRODUCTS[hts_4],,,)</f>
        <v>8542</v>
      </c>
      <c r="I6005" t="str" cm="1">
        <f t="array" ref="I6005">_xlfn.XLOOKUP(FACT_IMPORTS[[#This Row],[country_name]],DIM_COUNTRY[[#All],[Column2]],DIM_COUNTRY[[#All],[Column3]],,,)</f>
        <v>Major_Non-USMCA_Non-China</v>
      </c>
    </row>
    <row r="6006" spans="1:9" x14ac:dyDescent="0.4">
      <c r="A6006" t="s">
        <v>68</v>
      </c>
      <c r="B6006" s="1">
        <v>45536</v>
      </c>
      <c r="C6006">
        <v>854430</v>
      </c>
      <c r="D6006" t="s">
        <v>176</v>
      </c>
      <c r="E6006">
        <v>218923</v>
      </c>
      <c r="F6006">
        <v>10241</v>
      </c>
      <c r="G6006">
        <v>1747</v>
      </c>
      <c r="H6006">
        <f>_xlfn.XLOOKUP(FACT_IMPORTS[[#This Row],[hts_6]],DIM_PRODUCTS[hts_6],DIM_PRODUCTS[hts_4],,,)</f>
        <v>8544</v>
      </c>
      <c r="I6006" t="str" cm="1">
        <f t="array" ref="I6006">_xlfn.XLOOKUP(FACT_IMPORTS[[#This Row],[country_name]],DIM_COUNTRY[[#All],[Column2]],DIM_COUNTRY[[#All],[Column3]],,,)</f>
        <v>Major_Non-USMCA_Non-China</v>
      </c>
    </row>
    <row r="6007" spans="1:9" x14ac:dyDescent="0.4">
      <c r="A6007" t="s">
        <v>68</v>
      </c>
      <c r="B6007" s="1">
        <v>45536</v>
      </c>
      <c r="C6007">
        <v>870790</v>
      </c>
      <c r="D6007" t="s">
        <v>176</v>
      </c>
      <c r="E6007">
        <v>0</v>
      </c>
      <c r="F6007">
        <v>0</v>
      </c>
      <c r="G6007">
        <v>0</v>
      </c>
      <c r="H6007">
        <f>_xlfn.XLOOKUP(FACT_IMPORTS[[#This Row],[hts_6]],DIM_PRODUCTS[hts_6],DIM_PRODUCTS[hts_4],,,)</f>
        <v>8707</v>
      </c>
      <c r="I6007" t="str" cm="1">
        <f t="array" ref="I6007">_xlfn.XLOOKUP(FACT_IMPORTS[[#This Row],[country_name]],DIM_COUNTRY[[#All],[Column2]],DIM_COUNTRY[[#All],[Column3]],,,)</f>
        <v>Major_Non-USMCA_Non-China</v>
      </c>
    </row>
    <row r="6008" spans="1:9" x14ac:dyDescent="0.4">
      <c r="A6008" t="s">
        <v>68</v>
      </c>
      <c r="B6008" s="1">
        <v>45536</v>
      </c>
      <c r="C6008">
        <v>870810</v>
      </c>
      <c r="D6008" t="s">
        <v>176</v>
      </c>
      <c r="E6008">
        <v>11435</v>
      </c>
      <c r="F6008">
        <v>124</v>
      </c>
      <c r="G6008">
        <v>491</v>
      </c>
      <c r="H6008">
        <f>_xlfn.XLOOKUP(FACT_IMPORTS[[#This Row],[hts_6]],DIM_PRODUCTS[hts_6],DIM_PRODUCTS[hts_4],,,)</f>
        <v>8708</v>
      </c>
      <c r="I6008" t="str" cm="1">
        <f t="array" ref="I6008">_xlfn.XLOOKUP(FACT_IMPORTS[[#This Row],[country_name]],DIM_COUNTRY[[#All],[Column2]],DIM_COUNTRY[[#All],[Column3]],,,)</f>
        <v>Major_Non-USMCA_Non-China</v>
      </c>
    </row>
    <row r="6009" spans="1:9" x14ac:dyDescent="0.4">
      <c r="A6009" t="s">
        <v>68</v>
      </c>
      <c r="B6009" s="1">
        <v>45536</v>
      </c>
      <c r="C6009">
        <v>870821</v>
      </c>
      <c r="D6009" t="s">
        <v>176</v>
      </c>
      <c r="E6009">
        <v>0</v>
      </c>
      <c r="F6009">
        <v>0</v>
      </c>
      <c r="G6009">
        <v>0</v>
      </c>
      <c r="H6009">
        <f>_xlfn.XLOOKUP(FACT_IMPORTS[[#This Row],[hts_6]],DIM_PRODUCTS[hts_6],DIM_PRODUCTS[hts_4],,,)</f>
        <v>8708</v>
      </c>
      <c r="I6009" t="str" cm="1">
        <f t="array" ref="I6009">_xlfn.XLOOKUP(FACT_IMPORTS[[#This Row],[country_name]],DIM_COUNTRY[[#All],[Column2]],DIM_COUNTRY[[#All],[Column3]],,,)</f>
        <v>Major_Non-USMCA_Non-China</v>
      </c>
    </row>
    <row r="6010" spans="1:9" x14ac:dyDescent="0.4">
      <c r="A6010" t="s">
        <v>68</v>
      </c>
      <c r="B6010" s="1">
        <v>45536</v>
      </c>
      <c r="C6010">
        <v>870822</v>
      </c>
      <c r="D6010" t="s">
        <v>176</v>
      </c>
      <c r="E6010">
        <v>0</v>
      </c>
      <c r="F6010">
        <v>0</v>
      </c>
      <c r="G6010">
        <v>0</v>
      </c>
      <c r="H6010">
        <f>_xlfn.XLOOKUP(FACT_IMPORTS[[#This Row],[hts_6]],DIM_PRODUCTS[hts_6],DIM_PRODUCTS[hts_4],,,)</f>
        <v>8708</v>
      </c>
      <c r="I6010" t="str" cm="1">
        <f t="array" ref="I6010">_xlfn.XLOOKUP(FACT_IMPORTS[[#This Row],[country_name]],DIM_COUNTRY[[#All],[Column2]],DIM_COUNTRY[[#All],[Column3]],,,)</f>
        <v>Major_Non-USMCA_Non-China</v>
      </c>
    </row>
    <row r="6011" spans="1:9" x14ac:dyDescent="0.4">
      <c r="A6011" t="s">
        <v>68</v>
      </c>
      <c r="B6011" s="1">
        <v>45536</v>
      </c>
      <c r="C6011">
        <v>870829</v>
      </c>
      <c r="D6011" t="s">
        <v>176</v>
      </c>
      <c r="E6011">
        <v>2507371</v>
      </c>
      <c r="F6011">
        <v>1082243</v>
      </c>
      <c r="G6011">
        <v>36084</v>
      </c>
      <c r="H6011">
        <f>_xlfn.XLOOKUP(FACT_IMPORTS[[#This Row],[hts_6]],DIM_PRODUCTS[hts_6],DIM_PRODUCTS[hts_4],,,)</f>
        <v>8708</v>
      </c>
      <c r="I6011" t="str" cm="1">
        <f t="array" ref="I6011">_xlfn.XLOOKUP(FACT_IMPORTS[[#This Row],[country_name]],DIM_COUNTRY[[#All],[Column2]],DIM_COUNTRY[[#All],[Column3]],,,)</f>
        <v>Major_Non-USMCA_Non-China</v>
      </c>
    </row>
    <row r="6012" spans="1:9" x14ac:dyDescent="0.4">
      <c r="A6012" t="s">
        <v>68</v>
      </c>
      <c r="B6012" s="1">
        <v>45536</v>
      </c>
      <c r="C6012">
        <v>870830</v>
      </c>
      <c r="D6012" t="s">
        <v>176</v>
      </c>
      <c r="E6012">
        <v>282821</v>
      </c>
      <c r="F6012">
        <v>46948</v>
      </c>
      <c r="G6012">
        <v>6795</v>
      </c>
      <c r="H6012">
        <f>_xlfn.XLOOKUP(FACT_IMPORTS[[#This Row],[hts_6]],DIM_PRODUCTS[hts_6],DIM_PRODUCTS[hts_4],,,)</f>
        <v>8708</v>
      </c>
      <c r="I6012" t="str" cm="1">
        <f t="array" ref="I6012">_xlfn.XLOOKUP(FACT_IMPORTS[[#This Row],[country_name]],DIM_COUNTRY[[#All],[Column2]],DIM_COUNTRY[[#All],[Column3]],,,)</f>
        <v>Major_Non-USMCA_Non-China</v>
      </c>
    </row>
    <row r="6013" spans="1:9" x14ac:dyDescent="0.4">
      <c r="A6013" t="s">
        <v>68</v>
      </c>
      <c r="B6013" s="1">
        <v>45536</v>
      </c>
      <c r="C6013">
        <v>870840</v>
      </c>
      <c r="D6013" t="s">
        <v>176</v>
      </c>
      <c r="E6013">
        <v>40757477</v>
      </c>
      <c r="F6013">
        <v>859661</v>
      </c>
      <c r="G6013">
        <v>125917</v>
      </c>
      <c r="H6013">
        <f>_xlfn.XLOOKUP(FACT_IMPORTS[[#This Row],[hts_6]],DIM_PRODUCTS[hts_6],DIM_PRODUCTS[hts_4],,,)</f>
        <v>8708</v>
      </c>
      <c r="I6013" t="str" cm="1">
        <f t="array" ref="I6013">_xlfn.XLOOKUP(FACT_IMPORTS[[#This Row],[country_name]],DIM_COUNTRY[[#All],[Column2]],DIM_COUNTRY[[#All],[Column3]],,,)</f>
        <v>Major_Non-USMCA_Non-China</v>
      </c>
    </row>
    <row r="6014" spans="1:9" x14ac:dyDescent="0.4">
      <c r="A6014" t="s">
        <v>68</v>
      </c>
      <c r="B6014" s="1">
        <v>45536</v>
      </c>
      <c r="C6014">
        <v>870850</v>
      </c>
      <c r="D6014" t="s">
        <v>176</v>
      </c>
      <c r="E6014">
        <v>8061951</v>
      </c>
      <c r="F6014">
        <v>438038</v>
      </c>
      <c r="G6014">
        <v>101846</v>
      </c>
      <c r="H6014">
        <f>_xlfn.XLOOKUP(FACT_IMPORTS[[#This Row],[hts_6]],DIM_PRODUCTS[hts_6],DIM_PRODUCTS[hts_4],,,)</f>
        <v>8708</v>
      </c>
      <c r="I6014" t="str" cm="1">
        <f t="array" ref="I6014">_xlfn.XLOOKUP(FACT_IMPORTS[[#This Row],[country_name]],DIM_COUNTRY[[#All],[Column2]],DIM_COUNTRY[[#All],[Column3]],,,)</f>
        <v>Major_Non-USMCA_Non-China</v>
      </c>
    </row>
    <row r="6015" spans="1:9" x14ac:dyDescent="0.4">
      <c r="A6015" t="s">
        <v>68</v>
      </c>
      <c r="B6015" s="1">
        <v>45536</v>
      </c>
      <c r="C6015">
        <v>870870</v>
      </c>
      <c r="D6015" t="s">
        <v>176</v>
      </c>
      <c r="E6015">
        <v>7442</v>
      </c>
      <c r="F6015">
        <v>98</v>
      </c>
      <c r="G6015">
        <v>51</v>
      </c>
      <c r="H6015">
        <f>_xlfn.XLOOKUP(FACT_IMPORTS[[#This Row],[hts_6]],DIM_PRODUCTS[hts_6],DIM_PRODUCTS[hts_4],,,)</f>
        <v>8708</v>
      </c>
      <c r="I6015" t="str" cm="1">
        <f t="array" ref="I6015">_xlfn.XLOOKUP(FACT_IMPORTS[[#This Row],[country_name]],DIM_COUNTRY[[#All],[Column2]],DIM_COUNTRY[[#All],[Column3]],,,)</f>
        <v>Major_Non-USMCA_Non-China</v>
      </c>
    </row>
    <row r="6016" spans="1:9" x14ac:dyDescent="0.4">
      <c r="A6016" t="s">
        <v>68</v>
      </c>
      <c r="B6016" s="1">
        <v>45536</v>
      </c>
      <c r="C6016">
        <v>870880</v>
      </c>
      <c r="D6016" t="s">
        <v>176</v>
      </c>
      <c r="E6016">
        <v>238893</v>
      </c>
      <c r="F6016">
        <v>488432</v>
      </c>
      <c r="G6016">
        <v>9039</v>
      </c>
      <c r="H6016">
        <f>_xlfn.XLOOKUP(FACT_IMPORTS[[#This Row],[hts_6]],DIM_PRODUCTS[hts_6],DIM_PRODUCTS[hts_4],,,)</f>
        <v>8708</v>
      </c>
      <c r="I6016" t="str" cm="1">
        <f t="array" ref="I6016">_xlfn.XLOOKUP(FACT_IMPORTS[[#This Row],[country_name]],DIM_COUNTRY[[#All],[Column2]],DIM_COUNTRY[[#All],[Column3]],,,)</f>
        <v>Major_Non-USMCA_Non-China</v>
      </c>
    </row>
    <row r="6017" spans="1:9" x14ac:dyDescent="0.4">
      <c r="A6017" t="s">
        <v>68</v>
      </c>
      <c r="B6017" s="1">
        <v>45536</v>
      </c>
      <c r="C6017">
        <v>870891</v>
      </c>
      <c r="D6017" t="s">
        <v>176</v>
      </c>
      <c r="E6017">
        <v>77302</v>
      </c>
      <c r="F6017">
        <v>131</v>
      </c>
      <c r="G6017">
        <v>2942</v>
      </c>
      <c r="H6017">
        <f>_xlfn.XLOOKUP(FACT_IMPORTS[[#This Row],[hts_6]],DIM_PRODUCTS[hts_6],DIM_PRODUCTS[hts_4],,,)</f>
        <v>8708</v>
      </c>
      <c r="I6017" t="str" cm="1">
        <f t="array" ref="I6017">_xlfn.XLOOKUP(FACT_IMPORTS[[#This Row],[country_name]],DIM_COUNTRY[[#All],[Column2]],DIM_COUNTRY[[#All],[Column3]],,,)</f>
        <v>Major_Non-USMCA_Non-China</v>
      </c>
    </row>
    <row r="6018" spans="1:9" x14ac:dyDescent="0.4">
      <c r="A6018" t="s">
        <v>68</v>
      </c>
      <c r="B6018" s="1">
        <v>45536</v>
      </c>
      <c r="C6018">
        <v>870892</v>
      </c>
      <c r="D6018" t="s">
        <v>176</v>
      </c>
      <c r="E6018">
        <v>47480</v>
      </c>
      <c r="F6018">
        <v>10102</v>
      </c>
      <c r="G6018">
        <v>10224</v>
      </c>
      <c r="H6018">
        <f>_xlfn.XLOOKUP(FACT_IMPORTS[[#This Row],[hts_6]],DIM_PRODUCTS[hts_6],DIM_PRODUCTS[hts_4],,,)</f>
        <v>8708</v>
      </c>
      <c r="I6018" t="str" cm="1">
        <f t="array" ref="I6018">_xlfn.XLOOKUP(FACT_IMPORTS[[#This Row],[country_name]],DIM_COUNTRY[[#All],[Column2]],DIM_COUNTRY[[#All],[Column3]],,,)</f>
        <v>Major_Non-USMCA_Non-China</v>
      </c>
    </row>
    <row r="6019" spans="1:9" x14ac:dyDescent="0.4">
      <c r="A6019" t="s">
        <v>68</v>
      </c>
      <c r="B6019" s="1">
        <v>45536</v>
      </c>
      <c r="C6019">
        <v>870893</v>
      </c>
      <c r="D6019" t="s">
        <v>176</v>
      </c>
      <c r="E6019">
        <v>750205</v>
      </c>
      <c r="F6019">
        <v>116680</v>
      </c>
      <c r="G6019">
        <v>8187</v>
      </c>
      <c r="H6019">
        <f>_xlfn.XLOOKUP(FACT_IMPORTS[[#This Row],[hts_6]],DIM_PRODUCTS[hts_6],DIM_PRODUCTS[hts_4],,,)</f>
        <v>8708</v>
      </c>
      <c r="I6019" t="str" cm="1">
        <f t="array" ref="I6019">_xlfn.XLOOKUP(FACT_IMPORTS[[#This Row],[country_name]],DIM_COUNTRY[[#All],[Column2]],DIM_COUNTRY[[#All],[Column3]],,,)</f>
        <v>Major_Non-USMCA_Non-China</v>
      </c>
    </row>
    <row r="6020" spans="1:9" x14ac:dyDescent="0.4">
      <c r="A6020" t="s">
        <v>68</v>
      </c>
      <c r="B6020" s="1">
        <v>45536</v>
      </c>
      <c r="C6020">
        <v>870894</v>
      </c>
      <c r="D6020" t="s">
        <v>176</v>
      </c>
      <c r="E6020">
        <v>820183</v>
      </c>
      <c r="F6020">
        <v>2451</v>
      </c>
      <c r="G6020">
        <v>10723</v>
      </c>
      <c r="H6020">
        <f>_xlfn.XLOOKUP(FACT_IMPORTS[[#This Row],[hts_6]],DIM_PRODUCTS[hts_6],DIM_PRODUCTS[hts_4],,,)</f>
        <v>8708</v>
      </c>
      <c r="I6020" t="str" cm="1">
        <f t="array" ref="I6020">_xlfn.XLOOKUP(FACT_IMPORTS[[#This Row],[country_name]],DIM_COUNTRY[[#All],[Column2]],DIM_COUNTRY[[#All],[Column3]],,,)</f>
        <v>Major_Non-USMCA_Non-China</v>
      </c>
    </row>
    <row r="6021" spans="1:9" x14ac:dyDescent="0.4">
      <c r="A6021" t="s">
        <v>68</v>
      </c>
      <c r="B6021" s="1">
        <v>45536</v>
      </c>
      <c r="C6021">
        <v>870895</v>
      </c>
      <c r="D6021" t="s">
        <v>176</v>
      </c>
      <c r="E6021">
        <v>0</v>
      </c>
      <c r="F6021">
        <v>0</v>
      </c>
      <c r="G6021">
        <v>0</v>
      </c>
      <c r="H6021">
        <f>_xlfn.XLOOKUP(FACT_IMPORTS[[#This Row],[hts_6]],DIM_PRODUCTS[hts_6],DIM_PRODUCTS[hts_4],,,)</f>
        <v>8708</v>
      </c>
      <c r="I6021" t="str" cm="1">
        <f t="array" ref="I6021">_xlfn.XLOOKUP(FACT_IMPORTS[[#This Row],[country_name]],DIM_COUNTRY[[#All],[Column2]],DIM_COUNTRY[[#All],[Column3]],,,)</f>
        <v>Major_Non-USMCA_Non-China</v>
      </c>
    </row>
    <row r="6022" spans="1:9" x14ac:dyDescent="0.4">
      <c r="A6022" t="s">
        <v>68</v>
      </c>
      <c r="B6022" s="1">
        <v>45536</v>
      </c>
      <c r="C6022">
        <v>870899</v>
      </c>
      <c r="D6022" t="s">
        <v>176</v>
      </c>
      <c r="E6022">
        <v>2621816</v>
      </c>
      <c r="F6022">
        <v>556628</v>
      </c>
      <c r="G6022">
        <v>33978</v>
      </c>
      <c r="H6022">
        <f>_xlfn.XLOOKUP(FACT_IMPORTS[[#This Row],[hts_6]],DIM_PRODUCTS[hts_6],DIM_PRODUCTS[hts_4],,,)</f>
        <v>8708</v>
      </c>
      <c r="I6022" t="str" cm="1">
        <f t="array" ref="I6022">_xlfn.XLOOKUP(FACT_IMPORTS[[#This Row],[country_name]],DIM_COUNTRY[[#All],[Column2]],DIM_COUNTRY[[#All],[Column3]],,,)</f>
        <v>Major_Non-USMCA_Non-China</v>
      </c>
    </row>
    <row r="6023" spans="1:9" x14ac:dyDescent="0.4">
      <c r="A6023" t="s">
        <v>68</v>
      </c>
      <c r="B6023" s="1">
        <v>45536</v>
      </c>
      <c r="C6023">
        <v>940120</v>
      </c>
      <c r="D6023" t="s">
        <v>176</v>
      </c>
      <c r="E6023">
        <v>49075</v>
      </c>
      <c r="F6023">
        <v>46</v>
      </c>
      <c r="G6023">
        <v>2139</v>
      </c>
      <c r="H6023">
        <f>_xlfn.XLOOKUP(FACT_IMPORTS[[#This Row],[hts_6]],DIM_PRODUCTS[hts_6],DIM_PRODUCTS[hts_4],,,)</f>
        <v>9401</v>
      </c>
      <c r="I6023" t="str" cm="1">
        <f t="array" ref="I6023">_xlfn.XLOOKUP(FACT_IMPORTS[[#This Row],[country_name]],DIM_COUNTRY[[#All],[Column2]],DIM_COUNTRY[[#All],[Column3]],,,)</f>
        <v>Major_Non-USMCA_Non-China</v>
      </c>
    </row>
    <row r="6024" spans="1:9" x14ac:dyDescent="0.4">
      <c r="A6024" t="s">
        <v>68</v>
      </c>
      <c r="B6024" s="1">
        <v>45566</v>
      </c>
      <c r="C6024">
        <v>392630</v>
      </c>
      <c r="D6024" t="s">
        <v>176</v>
      </c>
      <c r="E6024">
        <v>180889</v>
      </c>
      <c r="F6024">
        <v>9390</v>
      </c>
      <c r="G6024">
        <v>14032</v>
      </c>
      <c r="H6024">
        <f>_xlfn.XLOOKUP(FACT_IMPORTS[[#This Row],[hts_6]],DIM_PRODUCTS[hts_6],DIM_PRODUCTS[hts_4],,,)</f>
        <v>3926</v>
      </c>
      <c r="I6024" t="str" cm="1">
        <f t="array" ref="I6024">_xlfn.XLOOKUP(FACT_IMPORTS[[#This Row],[country_name]],DIM_COUNTRY[[#All],[Column2]],DIM_COUNTRY[[#All],[Column3]],,,)</f>
        <v>Major_Non-USMCA_Non-China</v>
      </c>
    </row>
    <row r="6025" spans="1:9" x14ac:dyDescent="0.4">
      <c r="A6025" t="s">
        <v>68</v>
      </c>
      <c r="B6025" s="1">
        <v>45566</v>
      </c>
      <c r="C6025">
        <v>401110</v>
      </c>
      <c r="D6025" t="s">
        <v>176</v>
      </c>
      <c r="E6025">
        <v>48324</v>
      </c>
      <c r="F6025">
        <v>352</v>
      </c>
      <c r="G6025">
        <v>418</v>
      </c>
      <c r="H6025">
        <f>_xlfn.XLOOKUP(FACT_IMPORTS[[#This Row],[hts_6]],DIM_PRODUCTS[hts_6],DIM_PRODUCTS[hts_4],,,)</f>
        <v>4011</v>
      </c>
      <c r="I6025" t="str" cm="1">
        <f t="array" ref="I6025">_xlfn.XLOOKUP(FACT_IMPORTS[[#This Row],[country_name]],DIM_COUNTRY[[#All],[Column2]],DIM_COUNTRY[[#All],[Column3]],,,)</f>
        <v>Major_Non-USMCA_Non-China</v>
      </c>
    </row>
    <row r="6026" spans="1:9" x14ac:dyDescent="0.4">
      <c r="A6026" t="s">
        <v>68</v>
      </c>
      <c r="B6026" s="1">
        <v>45566</v>
      </c>
      <c r="C6026">
        <v>401120</v>
      </c>
      <c r="D6026" t="s">
        <v>176</v>
      </c>
      <c r="E6026">
        <v>24627</v>
      </c>
      <c r="F6026">
        <v>234</v>
      </c>
      <c r="G6026">
        <v>37</v>
      </c>
      <c r="H6026">
        <f>_xlfn.XLOOKUP(FACT_IMPORTS[[#This Row],[hts_6]],DIM_PRODUCTS[hts_6],DIM_PRODUCTS[hts_4],,,)</f>
        <v>4011</v>
      </c>
      <c r="I6026" t="str" cm="1">
        <f t="array" ref="I6026">_xlfn.XLOOKUP(FACT_IMPORTS[[#This Row],[country_name]],DIM_COUNTRY[[#All],[Column2]],DIM_COUNTRY[[#All],[Column3]],,,)</f>
        <v>Major_Non-USMCA_Non-China</v>
      </c>
    </row>
    <row r="6027" spans="1:9" x14ac:dyDescent="0.4">
      <c r="A6027" t="s">
        <v>68</v>
      </c>
      <c r="B6027" s="1">
        <v>45566</v>
      </c>
      <c r="C6027">
        <v>401190</v>
      </c>
      <c r="D6027" t="s">
        <v>176</v>
      </c>
      <c r="E6027">
        <v>0</v>
      </c>
      <c r="F6027">
        <v>0</v>
      </c>
      <c r="G6027">
        <v>0</v>
      </c>
      <c r="H6027">
        <f>_xlfn.XLOOKUP(FACT_IMPORTS[[#This Row],[hts_6]],DIM_PRODUCTS[hts_6],DIM_PRODUCTS[hts_4],,,)</f>
        <v>4011</v>
      </c>
      <c r="I6027" t="str" cm="1">
        <f t="array" ref="I6027">_xlfn.XLOOKUP(FACT_IMPORTS[[#This Row],[country_name]],DIM_COUNTRY[[#All],[Column2]],DIM_COUNTRY[[#All],[Column3]],,,)</f>
        <v>Major_Non-USMCA_Non-China</v>
      </c>
    </row>
    <row r="6028" spans="1:9" x14ac:dyDescent="0.4">
      <c r="A6028" t="s">
        <v>68</v>
      </c>
      <c r="B6028" s="1">
        <v>45566</v>
      </c>
      <c r="C6028">
        <v>700711</v>
      </c>
      <c r="D6028" t="s">
        <v>176</v>
      </c>
      <c r="E6028">
        <v>0</v>
      </c>
      <c r="F6028">
        <v>0</v>
      </c>
      <c r="G6028">
        <v>0</v>
      </c>
      <c r="H6028">
        <f>_xlfn.XLOOKUP(FACT_IMPORTS[[#This Row],[hts_6]],DIM_PRODUCTS[hts_6],DIM_PRODUCTS[hts_4],,,)</f>
        <v>7007</v>
      </c>
      <c r="I6028" t="str" cm="1">
        <f t="array" ref="I6028">_xlfn.XLOOKUP(FACT_IMPORTS[[#This Row],[country_name]],DIM_COUNTRY[[#All],[Column2]],DIM_COUNTRY[[#All],[Column3]],,,)</f>
        <v>Major_Non-USMCA_Non-China</v>
      </c>
    </row>
    <row r="6029" spans="1:9" x14ac:dyDescent="0.4">
      <c r="A6029" t="s">
        <v>68</v>
      </c>
      <c r="B6029" s="1">
        <v>45566</v>
      </c>
      <c r="C6029">
        <v>700721</v>
      </c>
      <c r="D6029" t="s">
        <v>176</v>
      </c>
      <c r="E6029">
        <v>0</v>
      </c>
      <c r="F6029">
        <v>0</v>
      </c>
      <c r="G6029">
        <v>0</v>
      </c>
      <c r="H6029">
        <f>_xlfn.XLOOKUP(FACT_IMPORTS[[#This Row],[hts_6]],DIM_PRODUCTS[hts_6],DIM_PRODUCTS[hts_4],,,)</f>
        <v>7007</v>
      </c>
      <c r="I6029" t="str" cm="1">
        <f t="array" ref="I6029">_xlfn.XLOOKUP(FACT_IMPORTS[[#This Row],[country_name]],DIM_COUNTRY[[#All],[Column2]],DIM_COUNTRY[[#All],[Column3]],,,)</f>
        <v>Major_Non-USMCA_Non-China</v>
      </c>
    </row>
    <row r="6030" spans="1:9" x14ac:dyDescent="0.4">
      <c r="A6030" t="s">
        <v>68</v>
      </c>
      <c r="B6030" s="1">
        <v>45566</v>
      </c>
      <c r="C6030">
        <v>700910</v>
      </c>
      <c r="D6030" t="s">
        <v>176</v>
      </c>
      <c r="E6030">
        <v>0</v>
      </c>
      <c r="F6030">
        <v>0</v>
      </c>
      <c r="G6030">
        <v>0</v>
      </c>
      <c r="H6030">
        <f>_xlfn.XLOOKUP(FACT_IMPORTS[[#This Row],[hts_6]],DIM_PRODUCTS[hts_6],DIM_PRODUCTS[hts_4],,,)</f>
        <v>7009</v>
      </c>
      <c r="I6030" t="str" cm="1">
        <f t="array" ref="I6030">_xlfn.XLOOKUP(FACT_IMPORTS[[#This Row],[country_name]],DIM_COUNTRY[[#All],[Column2]],DIM_COUNTRY[[#All],[Column3]],,,)</f>
        <v>Major_Non-USMCA_Non-China</v>
      </c>
    </row>
    <row r="6031" spans="1:9" x14ac:dyDescent="0.4">
      <c r="A6031" t="s">
        <v>68</v>
      </c>
      <c r="B6031" s="1">
        <v>45566</v>
      </c>
      <c r="C6031">
        <v>732010</v>
      </c>
      <c r="D6031" t="s">
        <v>176</v>
      </c>
      <c r="E6031">
        <v>0</v>
      </c>
      <c r="F6031">
        <v>0</v>
      </c>
      <c r="G6031">
        <v>0</v>
      </c>
      <c r="H6031">
        <f>_xlfn.XLOOKUP(FACT_IMPORTS[[#This Row],[hts_6]],DIM_PRODUCTS[hts_6],DIM_PRODUCTS[hts_4],,,)</f>
        <v>7320</v>
      </c>
      <c r="I6031" t="str" cm="1">
        <f t="array" ref="I6031">_xlfn.XLOOKUP(FACT_IMPORTS[[#This Row],[country_name]],DIM_COUNTRY[[#All],[Column2]],DIM_COUNTRY[[#All],[Column3]],,,)</f>
        <v>Major_Non-USMCA_Non-China</v>
      </c>
    </row>
    <row r="6032" spans="1:9" x14ac:dyDescent="0.4">
      <c r="A6032" t="s">
        <v>68</v>
      </c>
      <c r="B6032" s="1">
        <v>45566</v>
      </c>
      <c r="C6032">
        <v>830230</v>
      </c>
      <c r="D6032" t="s">
        <v>176</v>
      </c>
      <c r="E6032">
        <v>432684</v>
      </c>
      <c r="F6032">
        <v>117447</v>
      </c>
      <c r="G6032">
        <v>55684</v>
      </c>
      <c r="H6032">
        <f>_xlfn.XLOOKUP(FACT_IMPORTS[[#This Row],[hts_6]],DIM_PRODUCTS[hts_6],DIM_PRODUCTS[hts_4],,,)</f>
        <v>8302</v>
      </c>
      <c r="I6032" t="str" cm="1">
        <f t="array" ref="I6032">_xlfn.XLOOKUP(FACT_IMPORTS[[#This Row],[country_name]],DIM_COUNTRY[[#All],[Column2]],DIM_COUNTRY[[#All],[Column3]],,,)</f>
        <v>Major_Non-USMCA_Non-China</v>
      </c>
    </row>
    <row r="6033" spans="1:9" x14ac:dyDescent="0.4">
      <c r="A6033" t="s">
        <v>68</v>
      </c>
      <c r="B6033" s="1">
        <v>45566</v>
      </c>
      <c r="C6033">
        <v>840731</v>
      </c>
      <c r="D6033" t="s">
        <v>176</v>
      </c>
      <c r="E6033">
        <v>0</v>
      </c>
      <c r="F6033">
        <v>0</v>
      </c>
      <c r="G6033">
        <v>0</v>
      </c>
      <c r="H6033">
        <f>_xlfn.XLOOKUP(FACT_IMPORTS[[#This Row],[hts_6]],DIM_PRODUCTS[hts_6],DIM_PRODUCTS[hts_4],,,)</f>
        <v>8407</v>
      </c>
      <c r="I6033" t="str" cm="1">
        <f t="array" ref="I6033">_xlfn.XLOOKUP(FACT_IMPORTS[[#This Row],[country_name]],DIM_COUNTRY[[#All],[Column2]],DIM_COUNTRY[[#All],[Column3]],,,)</f>
        <v>Major_Non-USMCA_Non-China</v>
      </c>
    </row>
    <row r="6034" spans="1:9" x14ac:dyDescent="0.4">
      <c r="A6034" t="s">
        <v>68</v>
      </c>
      <c r="B6034" s="1">
        <v>45566</v>
      </c>
      <c r="C6034">
        <v>840734</v>
      </c>
      <c r="D6034" t="s">
        <v>176</v>
      </c>
      <c r="E6034">
        <v>3800</v>
      </c>
      <c r="F6034">
        <v>1</v>
      </c>
      <c r="G6034">
        <v>168</v>
      </c>
      <c r="H6034">
        <f>_xlfn.XLOOKUP(FACT_IMPORTS[[#This Row],[hts_6]],DIM_PRODUCTS[hts_6],DIM_PRODUCTS[hts_4],,,)</f>
        <v>8407</v>
      </c>
      <c r="I6034" t="str" cm="1">
        <f t="array" ref="I6034">_xlfn.XLOOKUP(FACT_IMPORTS[[#This Row],[country_name]],DIM_COUNTRY[[#All],[Column2]],DIM_COUNTRY[[#All],[Column3]],,,)</f>
        <v>Major_Non-USMCA_Non-China</v>
      </c>
    </row>
    <row r="6035" spans="1:9" x14ac:dyDescent="0.4">
      <c r="A6035" t="s">
        <v>68</v>
      </c>
      <c r="B6035" s="1">
        <v>45566</v>
      </c>
      <c r="C6035">
        <v>840790</v>
      </c>
      <c r="D6035" t="s">
        <v>176</v>
      </c>
      <c r="E6035">
        <v>2035</v>
      </c>
      <c r="F6035">
        <v>1</v>
      </c>
      <c r="G6035">
        <v>204</v>
      </c>
      <c r="H6035">
        <f>_xlfn.XLOOKUP(FACT_IMPORTS[[#This Row],[hts_6]],DIM_PRODUCTS[hts_6],DIM_PRODUCTS[hts_4],,,)</f>
        <v>8407</v>
      </c>
      <c r="I6035" t="str" cm="1">
        <f t="array" ref="I6035">_xlfn.XLOOKUP(FACT_IMPORTS[[#This Row],[country_name]],DIM_COUNTRY[[#All],[Column2]],DIM_COUNTRY[[#All],[Column3]],,,)</f>
        <v>Major_Non-USMCA_Non-China</v>
      </c>
    </row>
    <row r="6036" spans="1:9" x14ac:dyDescent="0.4">
      <c r="A6036" t="s">
        <v>68</v>
      </c>
      <c r="B6036" s="1">
        <v>45566</v>
      </c>
      <c r="C6036">
        <v>840820</v>
      </c>
      <c r="D6036" t="s">
        <v>176</v>
      </c>
      <c r="E6036">
        <v>0</v>
      </c>
      <c r="F6036">
        <v>0</v>
      </c>
      <c r="G6036">
        <v>0</v>
      </c>
      <c r="H6036">
        <f>_xlfn.XLOOKUP(FACT_IMPORTS[[#This Row],[hts_6]],DIM_PRODUCTS[hts_6],DIM_PRODUCTS[hts_4],,,)</f>
        <v>8408</v>
      </c>
      <c r="I6036" t="str" cm="1">
        <f t="array" ref="I6036">_xlfn.XLOOKUP(FACT_IMPORTS[[#This Row],[country_name]],DIM_COUNTRY[[#All],[Column2]],DIM_COUNTRY[[#All],[Column3]],,,)</f>
        <v>Major_Non-USMCA_Non-China</v>
      </c>
    </row>
    <row r="6037" spans="1:9" x14ac:dyDescent="0.4">
      <c r="A6037" t="s">
        <v>68</v>
      </c>
      <c r="B6037" s="1">
        <v>45566</v>
      </c>
      <c r="C6037">
        <v>840890</v>
      </c>
      <c r="D6037" t="s">
        <v>176</v>
      </c>
      <c r="E6037">
        <v>0</v>
      </c>
      <c r="F6037">
        <v>0</v>
      </c>
      <c r="G6037">
        <v>0</v>
      </c>
      <c r="H6037">
        <f>_xlfn.XLOOKUP(FACT_IMPORTS[[#This Row],[hts_6]],DIM_PRODUCTS[hts_6],DIM_PRODUCTS[hts_4],,,)</f>
        <v>8408</v>
      </c>
      <c r="I6037" t="str" cm="1">
        <f t="array" ref="I6037">_xlfn.XLOOKUP(FACT_IMPORTS[[#This Row],[country_name]],DIM_COUNTRY[[#All],[Column2]],DIM_COUNTRY[[#All],[Column3]],,,)</f>
        <v>Major_Non-USMCA_Non-China</v>
      </c>
    </row>
    <row r="6038" spans="1:9" x14ac:dyDescent="0.4">
      <c r="A6038" t="s">
        <v>68</v>
      </c>
      <c r="B6038" s="1">
        <v>45566</v>
      </c>
      <c r="C6038">
        <v>840991</v>
      </c>
      <c r="D6038" t="s">
        <v>176</v>
      </c>
      <c r="E6038">
        <v>547413</v>
      </c>
      <c r="F6038">
        <v>78999</v>
      </c>
      <c r="G6038">
        <v>11668</v>
      </c>
      <c r="H6038">
        <f>_xlfn.XLOOKUP(FACT_IMPORTS[[#This Row],[hts_6]],DIM_PRODUCTS[hts_6],DIM_PRODUCTS[hts_4],,,)</f>
        <v>8409</v>
      </c>
      <c r="I6038" t="str" cm="1">
        <f t="array" ref="I6038">_xlfn.XLOOKUP(FACT_IMPORTS[[#This Row],[country_name]],DIM_COUNTRY[[#All],[Column2]],DIM_COUNTRY[[#All],[Column3]],,,)</f>
        <v>Major_Non-USMCA_Non-China</v>
      </c>
    </row>
    <row r="6039" spans="1:9" x14ac:dyDescent="0.4">
      <c r="A6039" t="s">
        <v>68</v>
      </c>
      <c r="B6039" s="1">
        <v>45566</v>
      </c>
      <c r="C6039">
        <v>840999</v>
      </c>
      <c r="D6039" t="s">
        <v>176</v>
      </c>
      <c r="E6039">
        <v>16535132</v>
      </c>
      <c r="F6039">
        <v>1808462</v>
      </c>
      <c r="G6039">
        <v>329455</v>
      </c>
      <c r="H6039">
        <f>_xlfn.XLOOKUP(FACT_IMPORTS[[#This Row],[hts_6]],DIM_PRODUCTS[hts_6],DIM_PRODUCTS[hts_4],,,)</f>
        <v>8409</v>
      </c>
      <c r="I6039" t="str" cm="1">
        <f t="array" ref="I6039">_xlfn.XLOOKUP(FACT_IMPORTS[[#This Row],[country_name]],DIM_COUNTRY[[#All],[Column2]],DIM_COUNTRY[[#All],[Column3]],,,)</f>
        <v>Major_Non-USMCA_Non-China</v>
      </c>
    </row>
    <row r="6040" spans="1:9" x14ac:dyDescent="0.4">
      <c r="A6040" t="s">
        <v>68</v>
      </c>
      <c r="B6040" s="1">
        <v>45566</v>
      </c>
      <c r="C6040">
        <v>841330</v>
      </c>
      <c r="D6040" t="s">
        <v>176</v>
      </c>
      <c r="E6040">
        <v>12746000</v>
      </c>
      <c r="F6040">
        <v>87690</v>
      </c>
      <c r="G6040">
        <v>35650</v>
      </c>
      <c r="H6040">
        <f>_xlfn.XLOOKUP(FACT_IMPORTS[[#This Row],[hts_6]],DIM_PRODUCTS[hts_6],DIM_PRODUCTS[hts_4],,,)</f>
        <v>8413</v>
      </c>
      <c r="I6040" t="str" cm="1">
        <f t="array" ref="I6040">_xlfn.XLOOKUP(FACT_IMPORTS[[#This Row],[country_name]],DIM_COUNTRY[[#All],[Column2]],DIM_COUNTRY[[#All],[Column3]],,,)</f>
        <v>Major_Non-USMCA_Non-China</v>
      </c>
    </row>
    <row r="6041" spans="1:9" x14ac:dyDescent="0.4">
      <c r="A6041" t="s">
        <v>68</v>
      </c>
      <c r="B6041" s="1">
        <v>45566</v>
      </c>
      <c r="C6041">
        <v>841520</v>
      </c>
      <c r="D6041" t="s">
        <v>176</v>
      </c>
      <c r="E6041">
        <v>7745</v>
      </c>
      <c r="F6041">
        <v>25</v>
      </c>
      <c r="G6041">
        <v>1</v>
      </c>
      <c r="H6041">
        <f>_xlfn.XLOOKUP(FACT_IMPORTS[[#This Row],[hts_6]],DIM_PRODUCTS[hts_6],DIM_PRODUCTS[hts_4],,,)</f>
        <v>8415</v>
      </c>
      <c r="I6041" t="str" cm="1">
        <f t="array" ref="I6041">_xlfn.XLOOKUP(FACT_IMPORTS[[#This Row],[country_name]],DIM_COUNTRY[[#All],[Column2]],DIM_COUNTRY[[#All],[Column3]],,,)</f>
        <v>Major_Non-USMCA_Non-China</v>
      </c>
    </row>
    <row r="6042" spans="1:9" x14ac:dyDescent="0.4">
      <c r="A6042" t="s">
        <v>68</v>
      </c>
      <c r="B6042" s="1">
        <v>45566</v>
      </c>
      <c r="C6042">
        <v>842132</v>
      </c>
      <c r="D6042" t="s">
        <v>176</v>
      </c>
      <c r="E6042">
        <v>105409</v>
      </c>
      <c r="F6042">
        <v>216</v>
      </c>
      <c r="G6042">
        <v>191</v>
      </c>
      <c r="H6042">
        <f>_xlfn.XLOOKUP(FACT_IMPORTS[[#This Row],[hts_6]],DIM_PRODUCTS[hts_6],DIM_PRODUCTS[hts_4],,,)</f>
        <v>8421</v>
      </c>
      <c r="I6042" t="str" cm="1">
        <f t="array" ref="I6042">_xlfn.XLOOKUP(FACT_IMPORTS[[#This Row],[country_name]],DIM_COUNTRY[[#All],[Column2]],DIM_COUNTRY[[#All],[Column3]],,,)</f>
        <v>Major_Non-USMCA_Non-China</v>
      </c>
    </row>
    <row r="6043" spans="1:9" x14ac:dyDescent="0.4">
      <c r="A6043" t="s">
        <v>68</v>
      </c>
      <c r="B6043" s="1">
        <v>45566</v>
      </c>
      <c r="C6043">
        <v>848210</v>
      </c>
      <c r="D6043" t="s">
        <v>176</v>
      </c>
      <c r="E6043">
        <v>158919</v>
      </c>
      <c r="F6043">
        <v>1034</v>
      </c>
      <c r="G6043">
        <v>7916</v>
      </c>
      <c r="H6043">
        <f>_xlfn.XLOOKUP(FACT_IMPORTS[[#This Row],[hts_6]],DIM_PRODUCTS[hts_6],DIM_PRODUCTS[hts_4],,,)</f>
        <v>8482</v>
      </c>
      <c r="I6043" t="str" cm="1">
        <f t="array" ref="I6043">_xlfn.XLOOKUP(FACT_IMPORTS[[#This Row],[country_name]],DIM_COUNTRY[[#All],[Column2]],DIM_COUNTRY[[#All],[Column3]],,,)</f>
        <v>Major_Non-USMCA_Non-China</v>
      </c>
    </row>
    <row r="6044" spans="1:9" x14ac:dyDescent="0.4">
      <c r="A6044" t="s">
        <v>68</v>
      </c>
      <c r="B6044" s="1">
        <v>45566</v>
      </c>
      <c r="C6044">
        <v>848220</v>
      </c>
      <c r="D6044" t="s">
        <v>176</v>
      </c>
      <c r="E6044">
        <v>126217</v>
      </c>
      <c r="F6044">
        <v>6626</v>
      </c>
      <c r="G6044">
        <v>1139</v>
      </c>
      <c r="H6044">
        <f>_xlfn.XLOOKUP(FACT_IMPORTS[[#This Row],[hts_6]],DIM_PRODUCTS[hts_6],DIM_PRODUCTS[hts_4],,,)</f>
        <v>8482</v>
      </c>
      <c r="I6044" t="str" cm="1">
        <f t="array" ref="I6044">_xlfn.XLOOKUP(FACT_IMPORTS[[#This Row],[country_name]],DIM_COUNTRY[[#All],[Column2]],DIM_COUNTRY[[#All],[Column3]],,,)</f>
        <v>Major_Non-USMCA_Non-China</v>
      </c>
    </row>
    <row r="6045" spans="1:9" x14ac:dyDescent="0.4">
      <c r="A6045" t="s">
        <v>68</v>
      </c>
      <c r="B6045" s="1">
        <v>45566</v>
      </c>
      <c r="C6045">
        <v>848310</v>
      </c>
      <c r="D6045" t="s">
        <v>176</v>
      </c>
      <c r="E6045">
        <v>2685927</v>
      </c>
      <c r="F6045">
        <v>14857</v>
      </c>
      <c r="G6045">
        <v>20156</v>
      </c>
      <c r="H6045">
        <f>_xlfn.XLOOKUP(FACT_IMPORTS[[#This Row],[hts_6]],DIM_PRODUCTS[hts_6],DIM_PRODUCTS[hts_4],,,)</f>
        <v>8483</v>
      </c>
      <c r="I6045" t="str" cm="1">
        <f t="array" ref="I6045">_xlfn.XLOOKUP(FACT_IMPORTS[[#This Row],[country_name]],DIM_COUNTRY[[#All],[Column2]],DIM_COUNTRY[[#All],[Column3]],,,)</f>
        <v>Major_Non-USMCA_Non-China</v>
      </c>
    </row>
    <row r="6046" spans="1:9" x14ac:dyDescent="0.4">
      <c r="A6046" t="s">
        <v>68</v>
      </c>
      <c r="B6046" s="1">
        <v>45566</v>
      </c>
      <c r="C6046">
        <v>850131</v>
      </c>
      <c r="D6046" t="s">
        <v>176</v>
      </c>
      <c r="E6046">
        <v>658380</v>
      </c>
      <c r="F6046">
        <v>5206</v>
      </c>
      <c r="G6046">
        <v>7344</v>
      </c>
      <c r="H6046">
        <f>_xlfn.XLOOKUP(FACT_IMPORTS[[#This Row],[hts_6]],DIM_PRODUCTS[hts_6],DIM_PRODUCTS[hts_4],,,)</f>
        <v>8501</v>
      </c>
      <c r="I6046" t="str" cm="1">
        <f t="array" ref="I6046">_xlfn.XLOOKUP(FACT_IMPORTS[[#This Row],[country_name]],DIM_COUNTRY[[#All],[Column2]],DIM_COUNTRY[[#All],[Column3]],,,)</f>
        <v>Major_Non-USMCA_Non-China</v>
      </c>
    </row>
    <row r="6047" spans="1:9" x14ac:dyDescent="0.4">
      <c r="A6047" t="s">
        <v>68</v>
      </c>
      <c r="B6047" s="1">
        <v>45566</v>
      </c>
      <c r="C6047">
        <v>850132</v>
      </c>
      <c r="D6047" t="s">
        <v>176</v>
      </c>
      <c r="E6047">
        <v>157736</v>
      </c>
      <c r="F6047">
        <v>28</v>
      </c>
      <c r="G6047">
        <v>2603</v>
      </c>
      <c r="H6047">
        <f>_xlfn.XLOOKUP(FACT_IMPORTS[[#This Row],[hts_6]],DIM_PRODUCTS[hts_6],DIM_PRODUCTS[hts_4],,,)</f>
        <v>8501</v>
      </c>
      <c r="I6047" t="str" cm="1">
        <f t="array" ref="I6047">_xlfn.XLOOKUP(FACT_IMPORTS[[#This Row],[country_name]],DIM_COUNTRY[[#All],[Column2]],DIM_COUNTRY[[#All],[Column3]],,,)</f>
        <v>Major_Non-USMCA_Non-China</v>
      </c>
    </row>
    <row r="6048" spans="1:9" x14ac:dyDescent="0.4">
      <c r="A6048" t="s">
        <v>68</v>
      </c>
      <c r="B6048" s="1">
        <v>45566</v>
      </c>
      <c r="C6048">
        <v>850133</v>
      </c>
      <c r="D6048" t="s">
        <v>176</v>
      </c>
      <c r="E6048">
        <v>107008</v>
      </c>
      <c r="F6048">
        <v>13</v>
      </c>
      <c r="G6048">
        <v>1068</v>
      </c>
      <c r="H6048">
        <f>_xlfn.XLOOKUP(FACT_IMPORTS[[#This Row],[hts_6]],DIM_PRODUCTS[hts_6],DIM_PRODUCTS[hts_4],,,)</f>
        <v>8501</v>
      </c>
      <c r="I6048" t="str" cm="1">
        <f t="array" ref="I6048">_xlfn.XLOOKUP(FACT_IMPORTS[[#This Row],[country_name]],DIM_COUNTRY[[#All],[Column2]],DIM_COUNTRY[[#All],[Column3]],,,)</f>
        <v>Major_Non-USMCA_Non-China</v>
      </c>
    </row>
    <row r="6049" spans="1:9" x14ac:dyDescent="0.4">
      <c r="A6049" t="s">
        <v>68</v>
      </c>
      <c r="B6049" s="1">
        <v>45566</v>
      </c>
      <c r="C6049">
        <v>850134</v>
      </c>
      <c r="D6049" t="s">
        <v>176</v>
      </c>
      <c r="E6049">
        <v>249471</v>
      </c>
      <c r="F6049">
        <v>3</v>
      </c>
      <c r="G6049">
        <v>2250</v>
      </c>
      <c r="H6049">
        <f>_xlfn.XLOOKUP(FACT_IMPORTS[[#This Row],[hts_6]],DIM_PRODUCTS[hts_6],DIM_PRODUCTS[hts_4],,,)</f>
        <v>8501</v>
      </c>
      <c r="I6049" t="str" cm="1">
        <f t="array" ref="I6049">_xlfn.XLOOKUP(FACT_IMPORTS[[#This Row],[country_name]],DIM_COUNTRY[[#All],[Column2]],DIM_COUNTRY[[#All],[Column3]],,,)</f>
        <v>Major_Non-USMCA_Non-China</v>
      </c>
    </row>
    <row r="6050" spans="1:9" x14ac:dyDescent="0.4">
      <c r="A6050" t="s">
        <v>68</v>
      </c>
      <c r="B6050" s="1">
        <v>45566</v>
      </c>
      <c r="C6050">
        <v>850152</v>
      </c>
      <c r="D6050" t="s">
        <v>176</v>
      </c>
      <c r="E6050">
        <v>796718</v>
      </c>
      <c r="F6050">
        <v>459</v>
      </c>
      <c r="G6050">
        <v>22096</v>
      </c>
      <c r="H6050">
        <f>_xlfn.XLOOKUP(FACT_IMPORTS[[#This Row],[hts_6]],DIM_PRODUCTS[hts_6],DIM_PRODUCTS[hts_4],,,)</f>
        <v>8501</v>
      </c>
      <c r="I6050" t="str" cm="1">
        <f t="array" ref="I6050">_xlfn.XLOOKUP(FACT_IMPORTS[[#This Row],[country_name]],DIM_COUNTRY[[#All],[Column2]],DIM_COUNTRY[[#All],[Column3]],,,)</f>
        <v>Major_Non-USMCA_Non-China</v>
      </c>
    </row>
    <row r="6051" spans="1:9" x14ac:dyDescent="0.4">
      <c r="A6051" t="s">
        <v>68</v>
      </c>
      <c r="B6051" s="1">
        <v>45566</v>
      </c>
      <c r="C6051">
        <v>850153</v>
      </c>
      <c r="D6051" t="s">
        <v>176</v>
      </c>
      <c r="E6051">
        <v>1247285</v>
      </c>
      <c r="F6051">
        <v>117</v>
      </c>
      <c r="G6051">
        <v>15039</v>
      </c>
      <c r="H6051">
        <f>_xlfn.XLOOKUP(FACT_IMPORTS[[#This Row],[hts_6]],DIM_PRODUCTS[hts_6],DIM_PRODUCTS[hts_4],,,)</f>
        <v>8501</v>
      </c>
      <c r="I6051" t="str" cm="1">
        <f t="array" ref="I6051">_xlfn.XLOOKUP(FACT_IMPORTS[[#This Row],[country_name]],DIM_COUNTRY[[#All],[Column2]],DIM_COUNTRY[[#All],[Column3]],,,)</f>
        <v>Major_Non-USMCA_Non-China</v>
      </c>
    </row>
    <row r="6052" spans="1:9" x14ac:dyDescent="0.4">
      <c r="A6052" t="s">
        <v>68</v>
      </c>
      <c r="B6052" s="1">
        <v>45566</v>
      </c>
      <c r="C6052">
        <v>850161</v>
      </c>
      <c r="D6052" t="s">
        <v>176</v>
      </c>
      <c r="E6052">
        <v>0</v>
      </c>
      <c r="F6052">
        <v>0</v>
      </c>
      <c r="G6052">
        <v>0</v>
      </c>
      <c r="H6052">
        <f>_xlfn.XLOOKUP(FACT_IMPORTS[[#This Row],[hts_6]],DIM_PRODUCTS[hts_6],DIM_PRODUCTS[hts_4],,,)</f>
        <v>8501</v>
      </c>
      <c r="I6052" t="str" cm="1">
        <f t="array" ref="I6052">_xlfn.XLOOKUP(FACT_IMPORTS[[#This Row],[country_name]],DIM_COUNTRY[[#All],[Column2]],DIM_COUNTRY[[#All],[Column3]],,,)</f>
        <v>Major_Non-USMCA_Non-China</v>
      </c>
    </row>
    <row r="6053" spans="1:9" x14ac:dyDescent="0.4">
      <c r="A6053" t="s">
        <v>68</v>
      </c>
      <c r="B6053" s="1">
        <v>45566</v>
      </c>
      <c r="C6053">
        <v>850440</v>
      </c>
      <c r="D6053" t="s">
        <v>176</v>
      </c>
      <c r="E6053">
        <v>525186</v>
      </c>
      <c r="F6053">
        <v>231</v>
      </c>
      <c r="G6053">
        <v>20241</v>
      </c>
      <c r="H6053">
        <f>_xlfn.XLOOKUP(FACT_IMPORTS[[#This Row],[hts_6]],DIM_PRODUCTS[hts_6],DIM_PRODUCTS[hts_4],,,)</f>
        <v>8504</v>
      </c>
      <c r="I6053" t="str" cm="1">
        <f t="array" ref="I6053">_xlfn.XLOOKUP(FACT_IMPORTS[[#This Row],[country_name]],DIM_COUNTRY[[#All],[Column2]],DIM_COUNTRY[[#All],[Column3]],,,)</f>
        <v>Major_Non-USMCA_Non-China</v>
      </c>
    </row>
    <row r="6054" spans="1:9" x14ac:dyDescent="0.4">
      <c r="A6054" t="s">
        <v>68</v>
      </c>
      <c r="B6054" s="1">
        <v>45566</v>
      </c>
      <c r="C6054">
        <v>850710</v>
      </c>
      <c r="D6054" t="s">
        <v>176</v>
      </c>
      <c r="E6054">
        <v>0</v>
      </c>
      <c r="F6054">
        <v>0</v>
      </c>
      <c r="G6054">
        <v>0</v>
      </c>
      <c r="H6054">
        <f>_xlfn.XLOOKUP(FACT_IMPORTS[[#This Row],[hts_6]],DIM_PRODUCTS[hts_6],DIM_PRODUCTS[hts_4],,,)</f>
        <v>8507</v>
      </c>
      <c r="I6054" t="str" cm="1">
        <f t="array" ref="I6054">_xlfn.XLOOKUP(FACT_IMPORTS[[#This Row],[country_name]],DIM_COUNTRY[[#All],[Column2]],DIM_COUNTRY[[#All],[Column3]],,,)</f>
        <v>Major_Non-USMCA_Non-China</v>
      </c>
    </row>
    <row r="6055" spans="1:9" x14ac:dyDescent="0.4">
      <c r="A6055" t="s">
        <v>68</v>
      </c>
      <c r="B6055" s="1">
        <v>45566</v>
      </c>
      <c r="C6055">
        <v>850760</v>
      </c>
      <c r="D6055" t="s">
        <v>176</v>
      </c>
      <c r="E6055">
        <v>608330</v>
      </c>
      <c r="F6055">
        <v>2238</v>
      </c>
      <c r="G6055">
        <v>2996</v>
      </c>
      <c r="H6055">
        <f>_xlfn.XLOOKUP(FACT_IMPORTS[[#This Row],[hts_6]],DIM_PRODUCTS[hts_6],DIM_PRODUCTS[hts_4],,,)</f>
        <v>8507</v>
      </c>
      <c r="I6055" t="str" cm="1">
        <f t="array" ref="I6055">_xlfn.XLOOKUP(FACT_IMPORTS[[#This Row],[country_name]],DIM_COUNTRY[[#All],[Column2]],DIM_COUNTRY[[#All],[Column3]],,,)</f>
        <v>Major_Non-USMCA_Non-China</v>
      </c>
    </row>
    <row r="6056" spans="1:9" x14ac:dyDescent="0.4">
      <c r="A6056" t="s">
        <v>68</v>
      </c>
      <c r="B6056" s="1">
        <v>45566</v>
      </c>
      <c r="C6056">
        <v>850790</v>
      </c>
      <c r="D6056" t="s">
        <v>176</v>
      </c>
      <c r="E6056">
        <v>774507</v>
      </c>
      <c r="F6056">
        <v>61430</v>
      </c>
      <c r="G6056">
        <v>58067</v>
      </c>
      <c r="H6056">
        <f>_xlfn.XLOOKUP(FACT_IMPORTS[[#This Row],[hts_6]],DIM_PRODUCTS[hts_6],DIM_PRODUCTS[hts_4],,,)</f>
        <v>8507</v>
      </c>
      <c r="I6056" t="str" cm="1">
        <f t="array" ref="I6056">_xlfn.XLOOKUP(FACT_IMPORTS[[#This Row],[country_name]],DIM_COUNTRY[[#All],[Column2]],DIM_COUNTRY[[#All],[Column3]],,,)</f>
        <v>Major_Non-USMCA_Non-China</v>
      </c>
    </row>
    <row r="6057" spans="1:9" x14ac:dyDescent="0.4">
      <c r="A6057" t="s">
        <v>68</v>
      </c>
      <c r="B6057" s="1">
        <v>45566</v>
      </c>
      <c r="C6057">
        <v>851110</v>
      </c>
      <c r="D6057" t="s">
        <v>176</v>
      </c>
      <c r="E6057">
        <v>0</v>
      </c>
      <c r="F6057">
        <v>0</v>
      </c>
      <c r="G6057">
        <v>0</v>
      </c>
      <c r="H6057">
        <f>_xlfn.XLOOKUP(FACT_IMPORTS[[#This Row],[hts_6]],DIM_PRODUCTS[hts_6],DIM_PRODUCTS[hts_4],,,)</f>
        <v>8511</v>
      </c>
      <c r="I6057" t="str" cm="1">
        <f t="array" ref="I6057">_xlfn.XLOOKUP(FACT_IMPORTS[[#This Row],[country_name]],DIM_COUNTRY[[#All],[Column2]],DIM_COUNTRY[[#All],[Column3]],,,)</f>
        <v>Major_Non-USMCA_Non-China</v>
      </c>
    </row>
    <row r="6058" spans="1:9" x14ac:dyDescent="0.4">
      <c r="A6058" t="s">
        <v>68</v>
      </c>
      <c r="B6058" s="1">
        <v>45566</v>
      </c>
      <c r="C6058">
        <v>851120</v>
      </c>
      <c r="D6058" t="s">
        <v>176</v>
      </c>
      <c r="E6058">
        <v>14475</v>
      </c>
      <c r="F6058">
        <v>319</v>
      </c>
      <c r="G6058">
        <v>188</v>
      </c>
      <c r="H6058">
        <f>_xlfn.XLOOKUP(FACT_IMPORTS[[#This Row],[hts_6]],DIM_PRODUCTS[hts_6],DIM_PRODUCTS[hts_4],,,)</f>
        <v>8511</v>
      </c>
      <c r="I6058" t="str" cm="1">
        <f t="array" ref="I6058">_xlfn.XLOOKUP(FACT_IMPORTS[[#This Row],[country_name]],DIM_COUNTRY[[#All],[Column2]],DIM_COUNTRY[[#All],[Column3]],,,)</f>
        <v>Major_Non-USMCA_Non-China</v>
      </c>
    </row>
    <row r="6059" spans="1:9" x14ac:dyDescent="0.4">
      <c r="A6059" t="s">
        <v>68</v>
      </c>
      <c r="B6059" s="1">
        <v>45566</v>
      </c>
      <c r="C6059">
        <v>851130</v>
      </c>
      <c r="D6059" t="s">
        <v>176</v>
      </c>
      <c r="E6059">
        <v>12236</v>
      </c>
      <c r="F6059">
        <v>318</v>
      </c>
      <c r="G6059">
        <v>159</v>
      </c>
      <c r="H6059">
        <f>_xlfn.XLOOKUP(FACT_IMPORTS[[#This Row],[hts_6]],DIM_PRODUCTS[hts_6],DIM_PRODUCTS[hts_4],,,)</f>
        <v>8511</v>
      </c>
      <c r="I6059" t="str" cm="1">
        <f t="array" ref="I6059">_xlfn.XLOOKUP(FACT_IMPORTS[[#This Row],[country_name]],DIM_COUNTRY[[#All],[Column2]],DIM_COUNTRY[[#All],[Column3]],,,)</f>
        <v>Major_Non-USMCA_Non-China</v>
      </c>
    </row>
    <row r="6060" spans="1:9" x14ac:dyDescent="0.4">
      <c r="A6060" t="s">
        <v>68</v>
      </c>
      <c r="B6060" s="1">
        <v>45566</v>
      </c>
      <c r="C6060">
        <v>851140</v>
      </c>
      <c r="D6060" t="s">
        <v>176</v>
      </c>
      <c r="E6060">
        <v>425936</v>
      </c>
      <c r="F6060">
        <v>60</v>
      </c>
      <c r="G6060">
        <v>905</v>
      </c>
      <c r="H6060">
        <f>_xlfn.XLOOKUP(FACT_IMPORTS[[#This Row],[hts_6]],DIM_PRODUCTS[hts_6],DIM_PRODUCTS[hts_4],,,)</f>
        <v>8511</v>
      </c>
      <c r="I6060" t="str" cm="1">
        <f t="array" ref="I6060">_xlfn.XLOOKUP(FACT_IMPORTS[[#This Row],[country_name]],DIM_COUNTRY[[#All],[Column2]],DIM_COUNTRY[[#All],[Column3]],,,)</f>
        <v>Major_Non-USMCA_Non-China</v>
      </c>
    </row>
    <row r="6061" spans="1:9" x14ac:dyDescent="0.4">
      <c r="A6061" t="s">
        <v>68</v>
      </c>
      <c r="B6061" s="1">
        <v>45566</v>
      </c>
      <c r="C6061">
        <v>851150</v>
      </c>
      <c r="D6061" t="s">
        <v>176</v>
      </c>
      <c r="E6061">
        <v>5966</v>
      </c>
      <c r="F6061">
        <v>8</v>
      </c>
      <c r="G6061">
        <v>1</v>
      </c>
      <c r="H6061">
        <f>_xlfn.XLOOKUP(FACT_IMPORTS[[#This Row],[hts_6]],DIM_PRODUCTS[hts_6],DIM_PRODUCTS[hts_4],,,)</f>
        <v>8511</v>
      </c>
      <c r="I6061" t="str" cm="1">
        <f t="array" ref="I6061">_xlfn.XLOOKUP(FACT_IMPORTS[[#This Row],[country_name]],DIM_COUNTRY[[#All],[Column2]],DIM_COUNTRY[[#All],[Column3]],,,)</f>
        <v>Major_Non-USMCA_Non-China</v>
      </c>
    </row>
    <row r="6062" spans="1:9" x14ac:dyDescent="0.4">
      <c r="A6062" t="s">
        <v>68</v>
      </c>
      <c r="B6062" s="1">
        <v>45566</v>
      </c>
      <c r="C6062">
        <v>851180</v>
      </c>
      <c r="D6062" t="s">
        <v>176</v>
      </c>
      <c r="E6062">
        <v>120974</v>
      </c>
      <c r="F6062">
        <v>1851</v>
      </c>
      <c r="G6062">
        <v>663</v>
      </c>
      <c r="H6062">
        <f>_xlfn.XLOOKUP(FACT_IMPORTS[[#This Row],[hts_6]],DIM_PRODUCTS[hts_6],DIM_PRODUCTS[hts_4],,,)</f>
        <v>8511</v>
      </c>
      <c r="I6062" t="str" cm="1">
        <f t="array" ref="I6062">_xlfn.XLOOKUP(FACT_IMPORTS[[#This Row],[country_name]],DIM_COUNTRY[[#All],[Column2]],DIM_COUNTRY[[#All],[Column3]],,,)</f>
        <v>Major_Non-USMCA_Non-China</v>
      </c>
    </row>
    <row r="6063" spans="1:9" x14ac:dyDescent="0.4">
      <c r="A6063" t="s">
        <v>68</v>
      </c>
      <c r="B6063" s="1">
        <v>45566</v>
      </c>
      <c r="C6063">
        <v>851190</v>
      </c>
      <c r="D6063" t="s">
        <v>176</v>
      </c>
      <c r="E6063">
        <v>11822</v>
      </c>
      <c r="F6063">
        <v>116</v>
      </c>
      <c r="G6063">
        <v>153</v>
      </c>
      <c r="H6063">
        <f>_xlfn.XLOOKUP(FACT_IMPORTS[[#This Row],[hts_6]],DIM_PRODUCTS[hts_6],DIM_PRODUCTS[hts_4],,,)</f>
        <v>8511</v>
      </c>
      <c r="I6063" t="str" cm="1">
        <f t="array" ref="I6063">_xlfn.XLOOKUP(FACT_IMPORTS[[#This Row],[country_name]],DIM_COUNTRY[[#All],[Column2]],DIM_COUNTRY[[#All],[Column3]],,,)</f>
        <v>Major_Non-USMCA_Non-China</v>
      </c>
    </row>
    <row r="6064" spans="1:9" x14ac:dyDescent="0.4">
      <c r="A6064" t="s">
        <v>68</v>
      </c>
      <c r="B6064" s="1">
        <v>45566</v>
      </c>
      <c r="C6064">
        <v>851220</v>
      </c>
      <c r="D6064" t="s">
        <v>176</v>
      </c>
      <c r="E6064">
        <v>166779</v>
      </c>
      <c r="F6064">
        <v>34446</v>
      </c>
      <c r="G6064">
        <v>5461</v>
      </c>
      <c r="H6064">
        <f>_xlfn.XLOOKUP(FACT_IMPORTS[[#This Row],[hts_6]],DIM_PRODUCTS[hts_6],DIM_PRODUCTS[hts_4],,,)</f>
        <v>8512</v>
      </c>
      <c r="I6064" t="str" cm="1">
        <f t="array" ref="I6064">_xlfn.XLOOKUP(FACT_IMPORTS[[#This Row],[country_name]],DIM_COUNTRY[[#All],[Column2]],DIM_COUNTRY[[#All],[Column3]],,,)</f>
        <v>Major_Non-USMCA_Non-China</v>
      </c>
    </row>
    <row r="6065" spans="1:9" x14ac:dyDescent="0.4">
      <c r="A6065" t="s">
        <v>68</v>
      </c>
      <c r="B6065" s="1">
        <v>45566</v>
      </c>
      <c r="C6065">
        <v>851230</v>
      </c>
      <c r="D6065" t="s">
        <v>176</v>
      </c>
      <c r="E6065">
        <v>0</v>
      </c>
      <c r="F6065">
        <v>0</v>
      </c>
      <c r="G6065">
        <v>0</v>
      </c>
      <c r="H6065">
        <f>_xlfn.XLOOKUP(FACT_IMPORTS[[#This Row],[hts_6]],DIM_PRODUCTS[hts_6],DIM_PRODUCTS[hts_4],,,)</f>
        <v>8512</v>
      </c>
      <c r="I6065" t="str" cm="1">
        <f t="array" ref="I6065">_xlfn.XLOOKUP(FACT_IMPORTS[[#This Row],[country_name]],DIM_COUNTRY[[#All],[Column2]],DIM_COUNTRY[[#All],[Column3]],,,)</f>
        <v>Major_Non-USMCA_Non-China</v>
      </c>
    </row>
    <row r="6066" spans="1:9" x14ac:dyDescent="0.4">
      <c r="A6066" t="s">
        <v>68</v>
      </c>
      <c r="B6066" s="1">
        <v>45566</v>
      </c>
      <c r="C6066">
        <v>851240</v>
      </c>
      <c r="D6066" t="s">
        <v>176</v>
      </c>
      <c r="E6066">
        <v>0</v>
      </c>
      <c r="F6066">
        <v>0</v>
      </c>
      <c r="G6066">
        <v>0</v>
      </c>
      <c r="H6066">
        <f>_xlfn.XLOOKUP(FACT_IMPORTS[[#This Row],[hts_6]],DIM_PRODUCTS[hts_6],DIM_PRODUCTS[hts_4],,,)</f>
        <v>8512</v>
      </c>
      <c r="I6066" t="str" cm="1">
        <f t="array" ref="I6066">_xlfn.XLOOKUP(FACT_IMPORTS[[#This Row],[country_name]],DIM_COUNTRY[[#All],[Column2]],DIM_COUNTRY[[#All],[Column3]],,,)</f>
        <v>Major_Non-USMCA_Non-China</v>
      </c>
    </row>
    <row r="6067" spans="1:9" x14ac:dyDescent="0.4">
      <c r="A6067" t="s">
        <v>68</v>
      </c>
      <c r="B6067" s="1">
        <v>45566</v>
      </c>
      <c r="C6067">
        <v>851290</v>
      </c>
      <c r="D6067" t="s">
        <v>176</v>
      </c>
      <c r="E6067">
        <v>7570</v>
      </c>
      <c r="F6067">
        <v>112</v>
      </c>
      <c r="G6067">
        <v>78</v>
      </c>
      <c r="H6067">
        <f>_xlfn.XLOOKUP(FACT_IMPORTS[[#This Row],[hts_6]],DIM_PRODUCTS[hts_6],DIM_PRODUCTS[hts_4],,,)</f>
        <v>8512</v>
      </c>
      <c r="I6067" t="str" cm="1">
        <f t="array" ref="I6067">_xlfn.XLOOKUP(FACT_IMPORTS[[#This Row],[country_name]],DIM_COUNTRY[[#All],[Column2]],DIM_COUNTRY[[#All],[Column3]],,,)</f>
        <v>Major_Non-USMCA_Non-China</v>
      </c>
    </row>
    <row r="6068" spans="1:9" x14ac:dyDescent="0.4">
      <c r="A6068" t="s">
        <v>68</v>
      </c>
      <c r="B6068" s="1">
        <v>45566</v>
      </c>
      <c r="C6068">
        <v>854231</v>
      </c>
      <c r="D6068" t="s">
        <v>176</v>
      </c>
      <c r="E6068">
        <v>9723</v>
      </c>
      <c r="F6068">
        <v>7</v>
      </c>
      <c r="G6068">
        <v>70</v>
      </c>
      <c r="H6068">
        <f>_xlfn.XLOOKUP(FACT_IMPORTS[[#This Row],[hts_6]],DIM_PRODUCTS[hts_6],DIM_PRODUCTS[hts_4],,,)</f>
        <v>8542</v>
      </c>
      <c r="I6068" t="str" cm="1">
        <f t="array" ref="I6068">_xlfn.XLOOKUP(FACT_IMPORTS[[#This Row],[country_name]],DIM_COUNTRY[[#All],[Column2]],DIM_COUNTRY[[#All],[Column3]],,,)</f>
        <v>Major_Non-USMCA_Non-China</v>
      </c>
    </row>
    <row r="6069" spans="1:9" x14ac:dyDescent="0.4">
      <c r="A6069" t="s">
        <v>68</v>
      </c>
      <c r="B6069" s="1">
        <v>45566</v>
      </c>
      <c r="C6069">
        <v>854233</v>
      </c>
      <c r="D6069" t="s">
        <v>176</v>
      </c>
      <c r="E6069">
        <v>0</v>
      </c>
      <c r="F6069">
        <v>0</v>
      </c>
      <c r="G6069">
        <v>0</v>
      </c>
      <c r="H6069">
        <f>_xlfn.XLOOKUP(FACT_IMPORTS[[#This Row],[hts_6]],DIM_PRODUCTS[hts_6],DIM_PRODUCTS[hts_4],,,)</f>
        <v>8542</v>
      </c>
      <c r="I6069" t="str" cm="1">
        <f t="array" ref="I6069">_xlfn.XLOOKUP(FACT_IMPORTS[[#This Row],[country_name]],DIM_COUNTRY[[#All],[Column2]],DIM_COUNTRY[[#All],[Column3]],,,)</f>
        <v>Major_Non-USMCA_Non-China</v>
      </c>
    </row>
    <row r="6070" spans="1:9" x14ac:dyDescent="0.4">
      <c r="A6070" t="s">
        <v>68</v>
      </c>
      <c r="B6070" s="1">
        <v>45566</v>
      </c>
      <c r="C6070">
        <v>854239</v>
      </c>
      <c r="D6070" t="s">
        <v>176</v>
      </c>
      <c r="E6070">
        <v>49365</v>
      </c>
      <c r="F6070">
        <v>30</v>
      </c>
      <c r="G6070">
        <v>871</v>
      </c>
      <c r="H6070">
        <f>_xlfn.XLOOKUP(FACT_IMPORTS[[#This Row],[hts_6]],DIM_PRODUCTS[hts_6],DIM_PRODUCTS[hts_4],,,)</f>
        <v>8542</v>
      </c>
      <c r="I6070" t="str" cm="1">
        <f t="array" ref="I6070">_xlfn.XLOOKUP(FACT_IMPORTS[[#This Row],[country_name]],DIM_COUNTRY[[#All],[Column2]],DIM_COUNTRY[[#All],[Column3]],,,)</f>
        <v>Major_Non-USMCA_Non-China</v>
      </c>
    </row>
    <row r="6071" spans="1:9" x14ac:dyDescent="0.4">
      <c r="A6071" t="s">
        <v>68</v>
      </c>
      <c r="B6071" s="1">
        <v>45566</v>
      </c>
      <c r="C6071">
        <v>854290</v>
      </c>
      <c r="D6071" t="s">
        <v>176</v>
      </c>
      <c r="E6071">
        <v>0</v>
      </c>
      <c r="F6071">
        <v>0</v>
      </c>
      <c r="G6071">
        <v>0</v>
      </c>
      <c r="H6071">
        <f>_xlfn.XLOOKUP(FACT_IMPORTS[[#This Row],[hts_6]],DIM_PRODUCTS[hts_6],DIM_PRODUCTS[hts_4],,,)</f>
        <v>8542</v>
      </c>
      <c r="I6071" t="str" cm="1">
        <f t="array" ref="I6071">_xlfn.XLOOKUP(FACT_IMPORTS[[#This Row],[country_name]],DIM_COUNTRY[[#All],[Column2]],DIM_COUNTRY[[#All],[Column3]],,,)</f>
        <v>Major_Non-USMCA_Non-China</v>
      </c>
    </row>
    <row r="6072" spans="1:9" x14ac:dyDescent="0.4">
      <c r="A6072" t="s">
        <v>68</v>
      </c>
      <c r="B6072" s="1">
        <v>45566</v>
      </c>
      <c r="C6072">
        <v>854430</v>
      </c>
      <c r="D6072" t="s">
        <v>176</v>
      </c>
      <c r="E6072">
        <v>191700</v>
      </c>
      <c r="F6072">
        <v>12072</v>
      </c>
      <c r="G6072">
        <v>1109</v>
      </c>
      <c r="H6072">
        <f>_xlfn.XLOOKUP(FACT_IMPORTS[[#This Row],[hts_6]],DIM_PRODUCTS[hts_6],DIM_PRODUCTS[hts_4],,,)</f>
        <v>8544</v>
      </c>
      <c r="I6072" t="str" cm="1">
        <f t="array" ref="I6072">_xlfn.XLOOKUP(FACT_IMPORTS[[#This Row],[country_name]],DIM_COUNTRY[[#All],[Column2]],DIM_COUNTRY[[#All],[Column3]],,,)</f>
        <v>Major_Non-USMCA_Non-China</v>
      </c>
    </row>
    <row r="6073" spans="1:9" x14ac:dyDescent="0.4">
      <c r="A6073" t="s">
        <v>68</v>
      </c>
      <c r="B6073" s="1">
        <v>45566</v>
      </c>
      <c r="C6073">
        <v>870790</v>
      </c>
      <c r="D6073" t="s">
        <v>176</v>
      </c>
      <c r="E6073">
        <v>0</v>
      </c>
      <c r="F6073">
        <v>0</v>
      </c>
      <c r="G6073">
        <v>0</v>
      </c>
      <c r="H6073">
        <f>_xlfn.XLOOKUP(FACT_IMPORTS[[#This Row],[hts_6]],DIM_PRODUCTS[hts_6],DIM_PRODUCTS[hts_4],,,)</f>
        <v>8707</v>
      </c>
      <c r="I6073" t="str" cm="1">
        <f t="array" ref="I6073">_xlfn.XLOOKUP(FACT_IMPORTS[[#This Row],[country_name]],DIM_COUNTRY[[#All],[Column2]],DIM_COUNTRY[[#All],[Column3]],,,)</f>
        <v>Major_Non-USMCA_Non-China</v>
      </c>
    </row>
    <row r="6074" spans="1:9" x14ac:dyDescent="0.4">
      <c r="A6074" t="s">
        <v>68</v>
      </c>
      <c r="B6074" s="1">
        <v>45566</v>
      </c>
      <c r="C6074">
        <v>870810</v>
      </c>
      <c r="D6074" t="s">
        <v>176</v>
      </c>
      <c r="E6074">
        <v>8023</v>
      </c>
      <c r="F6074">
        <v>142</v>
      </c>
      <c r="G6074">
        <v>180</v>
      </c>
      <c r="H6074">
        <f>_xlfn.XLOOKUP(FACT_IMPORTS[[#This Row],[hts_6]],DIM_PRODUCTS[hts_6],DIM_PRODUCTS[hts_4],,,)</f>
        <v>8708</v>
      </c>
      <c r="I6074" t="str" cm="1">
        <f t="array" ref="I6074">_xlfn.XLOOKUP(FACT_IMPORTS[[#This Row],[country_name]],DIM_COUNTRY[[#All],[Column2]],DIM_COUNTRY[[#All],[Column3]],,,)</f>
        <v>Major_Non-USMCA_Non-China</v>
      </c>
    </row>
    <row r="6075" spans="1:9" x14ac:dyDescent="0.4">
      <c r="A6075" t="s">
        <v>68</v>
      </c>
      <c r="B6075" s="1">
        <v>45566</v>
      </c>
      <c r="C6075">
        <v>870821</v>
      </c>
      <c r="D6075" t="s">
        <v>176</v>
      </c>
      <c r="E6075">
        <v>0</v>
      </c>
      <c r="F6075">
        <v>0</v>
      </c>
      <c r="G6075">
        <v>0</v>
      </c>
      <c r="H6075">
        <f>_xlfn.XLOOKUP(FACT_IMPORTS[[#This Row],[hts_6]],DIM_PRODUCTS[hts_6],DIM_PRODUCTS[hts_4],,,)</f>
        <v>8708</v>
      </c>
      <c r="I6075" t="str" cm="1">
        <f t="array" ref="I6075">_xlfn.XLOOKUP(FACT_IMPORTS[[#This Row],[country_name]],DIM_COUNTRY[[#All],[Column2]],DIM_COUNTRY[[#All],[Column3]],,,)</f>
        <v>Major_Non-USMCA_Non-China</v>
      </c>
    </row>
    <row r="6076" spans="1:9" x14ac:dyDescent="0.4">
      <c r="A6076" t="s">
        <v>68</v>
      </c>
      <c r="B6076" s="1">
        <v>45566</v>
      </c>
      <c r="C6076">
        <v>870822</v>
      </c>
      <c r="D6076" t="s">
        <v>176</v>
      </c>
      <c r="E6076">
        <v>0</v>
      </c>
      <c r="F6076">
        <v>0</v>
      </c>
      <c r="G6076">
        <v>0</v>
      </c>
      <c r="H6076">
        <f>_xlfn.XLOOKUP(FACT_IMPORTS[[#This Row],[hts_6]],DIM_PRODUCTS[hts_6],DIM_PRODUCTS[hts_4],,,)</f>
        <v>8708</v>
      </c>
      <c r="I6076" t="str" cm="1">
        <f t="array" ref="I6076">_xlfn.XLOOKUP(FACT_IMPORTS[[#This Row],[country_name]],DIM_COUNTRY[[#All],[Column2]],DIM_COUNTRY[[#All],[Column3]],,,)</f>
        <v>Major_Non-USMCA_Non-China</v>
      </c>
    </row>
    <row r="6077" spans="1:9" x14ac:dyDescent="0.4">
      <c r="A6077" t="s">
        <v>68</v>
      </c>
      <c r="B6077" s="1">
        <v>45566</v>
      </c>
      <c r="C6077">
        <v>870829</v>
      </c>
      <c r="D6077" t="s">
        <v>176</v>
      </c>
      <c r="E6077">
        <v>1871667</v>
      </c>
      <c r="F6077">
        <v>1517644</v>
      </c>
      <c r="G6077">
        <v>29813</v>
      </c>
      <c r="H6077">
        <f>_xlfn.XLOOKUP(FACT_IMPORTS[[#This Row],[hts_6]],DIM_PRODUCTS[hts_6],DIM_PRODUCTS[hts_4],,,)</f>
        <v>8708</v>
      </c>
      <c r="I6077" t="str" cm="1">
        <f t="array" ref="I6077">_xlfn.XLOOKUP(FACT_IMPORTS[[#This Row],[country_name]],DIM_COUNTRY[[#All],[Column2]],DIM_COUNTRY[[#All],[Column3]],,,)</f>
        <v>Major_Non-USMCA_Non-China</v>
      </c>
    </row>
    <row r="6078" spans="1:9" x14ac:dyDescent="0.4">
      <c r="A6078" t="s">
        <v>68</v>
      </c>
      <c r="B6078" s="1">
        <v>45566</v>
      </c>
      <c r="C6078">
        <v>870830</v>
      </c>
      <c r="D6078" t="s">
        <v>176</v>
      </c>
      <c r="E6078">
        <v>179379</v>
      </c>
      <c r="F6078">
        <v>12249</v>
      </c>
      <c r="G6078">
        <v>4454</v>
      </c>
      <c r="H6078">
        <f>_xlfn.XLOOKUP(FACT_IMPORTS[[#This Row],[hts_6]],DIM_PRODUCTS[hts_6],DIM_PRODUCTS[hts_4],,,)</f>
        <v>8708</v>
      </c>
      <c r="I6078" t="str" cm="1">
        <f t="array" ref="I6078">_xlfn.XLOOKUP(FACT_IMPORTS[[#This Row],[country_name]],DIM_COUNTRY[[#All],[Column2]],DIM_COUNTRY[[#All],[Column3]],,,)</f>
        <v>Major_Non-USMCA_Non-China</v>
      </c>
    </row>
    <row r="6079" spans="1:9" x14ac:dyDescent="0.4">
      <c r="A6079" t="s">
        <v>68</v>
      </c>
      <c r="B6079" s="1">
        <v>45566</v>
      </c>
      <c r="C6079">
        <v>870840</v>
      </c>
      <c r="D6079" t="s">
        <v>176</v>
      </c>
      <c r="E6079">
        <v>31235055</v>
      </c>
      <c r="F6079">
        <v>446275</v>
      </c>
      <c r="G6079">
        <v>91191</v>
      </c>
      <c r="H6079">
        <f>_xlfn.XLOOKUP(FACT_IMPORTS[[#This Row],[hts_6]],DIM_PRODUCTS[hts_6],DIM_PRODUCTS[hts_4],,,)</f>
        <v>8708</v>
      </c>
      <c r="I6079" t="str" cm="1">
        <f t="array" ref="I6079">_xlfn.XLOOKUP(FACT_IMPORTS[[#This Row],[country_name]],DIM_COUNTRY[[#All],[Column2]],DIM_COUNTRY[[#All],[Column3]],,,)</f>
        <v>Major_Non-USMCA_Non-China</v>
      </c>
    </row>
    <row r="6080" spans="1:9" x14ac:dyDescent="0.4">
      <c r="A6080" t="s">
        <v>68</v>
      </c>
      <c r="B6080" s="1">
        <v>45566</v>
      </c>
      <c r="C6080">
        <v>870850</v>
      </c>
      <c r="D6080" t="s">
        <v>176</v>
      </c>
      <c r="E6080">
        <v>10115770</v>
      </c>
      <c r="F6080">
        <v>259762</v>
      </c>
      <c r="G6080">
        <v>96735</v>
      </c>
      <c r="H6080">
        <f>_xlfn.XLOOKUP(FACT_IMPORTS[[#This Row],[hts_6]],DIM_PRODUCTS[hts_6],DIM_PRODUCTS[hts_4],,,)</f>
        <v>8708</v>
      </c>
      <c r="I6080" t="str" cm="1">
        <f t="array" ref="I6080">_xlfn.XLOOKUP(FACT_IMPORTS[[#This Row],[country_name]],DIM_COUNTRY[[#All],[Column2]],DIM_COUNTRY[[#All],[Column3]],,,)</f>
        <v>Major_Non-USMCA_Non-China</v>
      </c>
    </row>
    <row r="6081" spans="1:9" x14ac:dyDescent="0.4">
      <c r="A6081" t="s">
        <v>68</v>
      </c>
      <c r="B6081" s="1">
        <v>45566</v>
      </c>
      <c r="C6081">
        <v>870870</v>
      </c>
      <c r="D6081" t="s">
        <v>176</v>
      </c>
      <c r="E6081">
        <v>4641</v>
      </c>
      <c r="F6081">
        <v>128</v>
      </c>
      <c r="G6081">
        <v>241</v>
      </c>
      <c r="H6081">
        <f>_xlfn.XLOOKUP(FACT_IMPORTS[[#This Row],[hts_6]],DIM_PRODUCTS[hts_6],DIM_PRODUCTS[hts_4],,,)</f>
        <v>8708</v>
      </c>
      <c r="I6081" t="str" cm="1">
        <f t="array" ref="I6081">_xlfn.XLOOKUP(FACT_IMPORTS[[#This Row],[country_name]],DIM_COUNTRY[[#All],[Column2]],DIM_COUNTRY[[#All],[Column3]],,,)</f>
        <v>Major_Non-USMCA_Non-China</v>
      </c>
    </row>
    <row r="6082" spans="1:9" x14ac:dyDescent="0.4">
      <c r="A6082" t="s">
        <v>68</v>
      </c>
      <c r="B6082" s="1">
        <v>45566</v>
      </c>
      <c r="C6082">
        <v>870880</v>
      </c>
      <c r="D6082" t="s">
        <v>176</v>
      </c>
      <c r="E6082">
        <v>692177</v>
      </c>
      <c r="F6082">
        <v>594079</v>
      </c>
      <c r="G6082">
        <v>23232</v>
      </c>
      <c r="H6082">
        <f>_xlfn.XLOOKUP(FACT_IMPORTS[[#This Row],[hts_6]],DIM_PRODUCTS[hts_6],DIM_PRODUCTS[hts_4],,,)</f>
        <v>8708</v>
      </c>
      <c r="I6082" t="str" cm="1">
        <f t="array" ref="I6082">_xlfn.XLOOKUP(FACT_IMPORTS[[#This Row],[country_name]],DIM_COUNTRY[[#All],[Column2]],DIM_COUNTRY[[#All],[Column3]],,,)</f>
        <v>Major_Non-USMCA_Non-China</v>
      </c>
    </row>
    <row r="6083" spans="1:9" x14ac:dyDescent="0.4">
      <c r="A6083" t="s">
        <v>68</v>
      </c>
      <c r="B6083" s="1">
        <v>45566</v>
      </c>
      <c r="C6083">
        <v>870891</v>
      </c>
      <c r="D6083" t="s">
        <v>176</v>
      </c>
      <c r="E6083">
        <v>21122</v>
      </c>
      <c r="F6083">
        <v>448</v>
      </c>
      <c r="G6083">
        <v>1057</v>
      </c>
      <c r="H6083">
        <f>_xlfn.XLOOKUP(FACT_IMPORTS[[#This Row],[hts_6]],DIM_PRODUCTS[hts_6],DIM_PRODUCTS[hts_4],,,)</f>
        <v>8708</v>
      </c>
      <c r="I6083" t="str" cm="1">
        <f t="array" ref="I6083">_xlfn.XLOOKUP(FACT_IMPORTS[[#This Row],[country_name]],DIM_COUNTRY[[#All],[Column2]],DIM_COUNTRY[[#All],[Column3]],,,)</f>
        <v>Major_Non-USMCA_Non-China</v>
      </c>
    </row>
    <row r="6084" spans="1:9" x14ac:dyDescent="0.4">
      <c r="A6084" t="s">
        <v>68</v>
      </c>
      <c r="B6084" s="1">
        <v>45566</v>
      </c>
      <c r="C6084">
        <v>870892</v>
      </c>
      <c r="D6084" t="s">
        <v>176</v>
      </c>
      <c r="E6084">
        <v>356528</v>
      </c>
      <c r="F6084">
        <v>61564</v>
      </c>
      <c r="G6084">
        <v>14819</v>
      </c>
      <c r="H6084">
        <f>_xlfn.XLOOKUP(FACT_IMPORTS[[#This Row],[hts_6]],DIM_PRODUCTS[hts_6],DIM_PRODUCTS[hts_4],,,)</f>
        <v>8708</v>
      </c>
      <c r="I6084" t="str" cm="1">
        <f t="array" ref="I6084">_xlfn.XLOOKUP(FACT_IMPORTS[[#This Row],[country_name]],DIM_COUNTRY[[#All],[Column2]],DIM_COUNTRY[[#All],[Column3]],,,)</f>
        <v>Major_Non-USMCA_Non-China</v>
      </c>
    </row>
    <row r="6085" spans="1:9" x14ac:dyDescent="0.4">
      <c r="A6085" t="s">
        <v>68</v>
      </c>
      <c r="B6085" s="1">
        <v>45566</v>
      </c>
      <c r="C6085">
        <v>870893</v>
      </c>
      <c r="D6085" t="s">
        <v>176</v>
      </c>
      <c r="E6085">
        <v>425451</v>
      </c>
      <c r="F6085">
        <v>1621</v>
      </c>
      <c r="G6085">
        <v>3609</v>
      </c>
      <c r="H6085">
        <f>_xlfn.XLOOKUP(FACT_IMPORTS[[#This Row],[hts_6]],DIM_PRODUCTS[hts_6],DIM_PRODUCTS[hts_4],,,)</f>
        <v>8708</v>
      </c>
      <c r="I6085" t="str" cm="1">
        <f t="array" ref="I6085">_xlfn.XLOOKUP(FACT_IMPORTS[[#This Row],[country_name]],DIM_COUNTRY[[#All],[Column2]],DIM_COUNTRY[[#All],[Column3]],,,)</f>
        <v>Major_Non-USMCA_Non-China</v>
      </c>
    </row>
    <row r="6086" spans="1:9" x14ac:dyDescent="0.4">
      <c r="A6086" t="s">
        <v>68</v>
      </c>
      <c r="B6086" s="1">
        <v>45566</v>
      </c>
      <c r="C6086">
        <v>870894</v>
      </c>
      <c r="D6086" t="s">
        <v>176</v>
      </c>
      <c r="E6086">
        <v>1145962</v>
      </c>
      <c r="F6086">
        <v>15419</v>
      </c>
      <c r="G6086">
        <v>10018</v>
      </c>
      <c r="H6086">
        <f>_xlfn.XLOOKUP(FACT_IMPORTS[[#This Row],[hts_6]],DIM_PRODUCTS[hts_6],DIM_PRODUCTS[hts_4],,,)</f>
        <v>8708</v>
      </c>
      <c r="I6086" t="str" cm="1">
        <f t="array" ref="I6086">_xlfn.XLOOKUP(FACT_IMPORTS[[#This Row],[country_name]],DIM_COUNTRY[[#All],[Column2]],DIM_COUNTRY[[#All],[Column3]],,,)</f>
        <v>Major_Non-USMCA_Non-China</v>
      </c>
    </row>
    <row r="6087" spans="1:9" x14ac:dyDescent="0.4">
      <c r="A6087" t="s">
        <v>68</v>
      </c>
      <c r="B6087" s="1">
        <v>45566</v>
      </c>
      <c r="C6087">
        <v>870895</v>
      </c>
      <c r="D6087" t="s">
        <v>176</v>
      </c>
      <c r="E6087">
        <v>0</v>
      </c>
      <c r="F6087">
        <v>0</v>
      </c>
      <c r="G6087">
        <v>0</v>
      </c>
      <c r="H6087">
        <f>_xlfn.XLOOKUP(FACT_IMPORTS[[#This Row],[hts_6]],DIM_PRODUCTS[hts_6],DIM_PRODUCTS[hts_4],,,)</f>
        <v>8708</v>
      </c>
      <c r="I6087" t="str" cm="1">
        <f t="array" ref="I6087">_xlfn.XLOOKUP(FACT_IMPORTS[[#This Row],[country_name]],DIM_COUNTRY[[#All],[Column2]],DIM_COUNTRY[[#All],[Column3]],,,)</f>
        <v>Major_Non-USMCA_Non-China</v>
      </c>
    </row>
    <row r="6088" spans="1:9" x14ac:dyDescent="0.4">
      <c r="A6088" t="s">
        <v>68</v>
      </c>
      <c r="B6088" s="1">
        <v>45566</v>
      </c>
      <c r="C6088">
        <v>870899</v>
      </c>
      <c r="D6088" t="s">
        <v>176</v>
      </c>
      <c r="E6088">
        <v>2225361</v>
      </c>
      <c r="F6088">
        <v>383422</v>
      </c>
      <c r="G6088">
        <v>38836</v>
      </c>
      <c r="H6088">
        <f>_xlfn.XLOOKUP(FACT_IMPORTS[[#This Row],[hts_6]],DIM_PRODUCTS[hts_6],DIM_PRODUCTS[hts_4],,,)</f>
        <v>8708</v>
      </c>
      <c r="I6088" t="str" cm="1">
        <f t="array" ref="I6088">_xlfn.XLOOKUP(FACT_IMPORTS[[#This Row],[country_name]],DIM_COUNTRY[[#All],[Column2]],DIM_COUNTRY[[#All],[Column3]],,,)</f>
        <v>Major_Non-USMCA_Non-China</v>
      </c>
    </row>
    <row r="6089" spans="1:9" x14ac:dyDescent="0.4">
      <c r="A6089" t="s">
        <v>68</v>
      </c>
      <c r="B6089" s="1">
        <v>45566</v>
      </c>
      <c r="C6089">
        <v>940120</v>
      </c>
      <c r="D6089" t="s">
        <v>176</v>
      </c>
      <c r="E6089">
        <v>23933</v>
      </c>
      <c r="F6089">
        <v>38</v>
      </c>
      <c r="G6089">
        <v>351</v>
      </c>
      <c r="H6089">
        <f>_xlfn.XLOOKUP(FACT_IMPORTS[[#This Row],[hts_6]],DIM_PRODUCTS[hts_6],DIM_PRODUCTS[hts_4],,,)</f>
        <v>9401</v>
      </c>
      <c r="I6089" t="str" cm="1">
        <f t="array" ref="I6089">_xlfn.XLOOKUP(FACT_IMPORTS[[#This Row],[country_name]],DIM_COUNTRY[[#All],[Column2]],DIM_COUNTRY[[#All],[Column3]],,,)</f>
        <v>Major_Non-USMCA_Non-China</v>
      </c>
    </row>
    <row r="6090" spans="1:9" x14ac:dyDescent="0.4">
      <c r="A6090" t="s">
        <v>68</v>
      </c>
      <c r="B6090" s="1">
        <v>45597</v>
      </c>
      <c r="C6090">
        <v>392630</v>
      </c>
      <c r="D6090" t="s">
        <v>176</v>
      </c>
      <c r="E6090">
        <v>233309</v>
      </c>
      <c r="F6090">
        <v>8935</v>
      </c>
      <c r="G6090">
        <v>12012</v>
      </c>
      <c r="H6090">
        <f>_xlfn.XLOOKUP(FACT_IMPORTS[[#This Row],[hts_6]],DIM_PRODUCTS[hts_6],DIM_PRODUCTS[hts_4],,,)</f>
        <v>3926</v>
      </c>
      <c r="I6090" t="str" cm="1">
        <f t="array" ref="I6090">_xlfn.XLOOKUP(FACT_IMPORTS[[#This Row],[country_name]],DIM_COUNTRY[[#All],[Column2]],DIM_COUNTRY[[#All],[Column3]],,,)</f>
        <v>Major_Non-USMCA_Non-China</v>
      </c>
    </row>
    <row r="6091" spans="1:9" x14ac:dyDescent="0.4">
      <c r="A6091" t="s">
        <v>68</v>
      </c>
      <c r="B6091" s="1">
        <v>45597</v>
      </c>
      <c r="C6091">
        <v>401110</v>
      </c>
      <c r="D6091" t="s">
        <v>176</v>
      </c>
      <c r="E6091">
        <v>11187</v>
      </c>
      <c r="F6091">
        <v>62</v>
      </c>
      <c r="G6091">
        <v>51</v>
      </c>
      <c r="H6091">
        <f>_xlfn.XLOOKUP(FACT_IMPORTS[[#This Row],[hts_6]],DIM_PRODUCTS[hts_6],DIM_PRODUCTS[hts_4],,,)</f>
        <v>4011</v>
      </c>
      <c r="I6091" t="str" cm="1">
        <f t="array" ref="I6091">_xlfn.XLOOKUP(FACT_IMPORTS[[#This Row],[country_name]],DIM_COUNTRY[[#All],[Column2]],DIM_COUNTRY[[#All],[Column3]],,,)</f>
        <v>Major_Non-USMCA_Non-China</v>
      </c>
    </row>
    <row r="6092" spans="1:9" x14ac:dyDescent="0.4">
      <c r="A6092" t="s">
        <v>68</v>
      </c>
      <c r="B6092" s="1">
        <v>45597</v>
      </c>
      <c r="C6092">
        <v>401120</v>
      </c>
      <c r="D6092" t="s">
        <v>176</v>
      </c>
      <c r="E6092">
        <v>1889</v>
      </c>
      <c r="F6092">
        <v>16</v>
      </c>
      <c r="G6092">
        <v>2</v>
      </c>
      <c r="H6092">
        <f>_xlfn.XLOOKUP(FACT_IMPORTS[[#This Row],[hts_6]],DIM_PRODUCTS[hts_6],DIM_PRODUCTS[hts_4],,,)</f>
        <v>4011</v>
      </c>
      <c r="I6092" t="str" cm="1">
        <f t="array" ref="I6092">_xlfn.XLOOKUP(FACT_IMPORTS[[#This Row],[country_name]],DIM_COUNTRY[[#All],[Column2]],DIM_COUNTRY[[#All],[Column3]],,,)</f>
        <v>Major_Non-USMCA_Non-China</v>
      </c>
    </row>
    <row r="6093" spans="1:9" x14ac:dyDescent="0.4">
      <c r="A6093" t="s">
        <v>68</v>
      </c>
      <c r="B6093" s="1">
        <v>45597</v>
      </c>
      <c r="C6093">
        <v>401190</v>
      </c>
      <c r="D6093" t="s">
        <v>176</v>
      </c>
      <c r="E6093">
        <v>0</v>
      </c>
      <c r="F6093">
        <v>0</v>
      </c>
      <c r="G6093">
        <v>0</v>
      </c>
      <c r="H6093">
        <f>_xlfn.XLOOKUP(FACT_IMPORTS[[#This Row],[hts_6]],DIM_PRODUCTS[hts_6],DIM_PRODUCTS[hts_4],,,)</f>
        <v>4011</v>
      </c>
      <c r="I6093" t="str" cm="1">
        <f t="array" ref="I6093">_xlfn.XLOOKUP(FACT_IMPORTS[[#This Row],[country_name]],DIM_COUNTRY[[#All],[Column2]],DIM_COUNTRY[[#All],[Column3]],,,)</f>
        <v>Major_Non-USMCA_Non-China</v>
      </c>
    </row>
    <row r="6094" spans="1:9" x14ac:dyDescent="0.4">
      <c r="A6094" t="s">
        <v>68</v>
      </c>
      <c r="B6094" s="1">
        <v>45597</v>
      </c>
      <c r="C6094">
        <v>700711</v>
      </c>
      <c r="D6094" t="s">
        <v>176</v>
      </c>
      <c r="E6094">
        <v>0</v>
      </c>
      <c r="F6094">
        <v>0</v>
      </c>
      <c r="G6094">
        <v>0</v>
      </c>
      <c r="H6094">
        <f>_xlfn.XLOOKUP(FACT_IMPORTS[[#This Row],[hts_6]],DIM_PRODUCTS[hts_6],DIM_PRODUCTS[hts_4],,,)</f>
        <v>7007</v>
      </c>
      <c r="I6094" t="str" cm="1">
        <f t="array" ref="I6094">_xlfn.XLOOKUP(FACT_IMPORTS[[#This Row],[country_name]],DIM_COUNTRY[[#All],[Column2]],DIM_COUNTRY[[#All],[Column3]],,,)</f>
        <v>Major_Non-USMCA_Non-China</v>
      </c>
    </row>
    <row r="6095" spans="1:9" x14ac:dyDescent="0.4">
      <c r="A6095" t="s">
        <v>68</v>
      </c>
      <c r="B6095" s="1">
        <v>45597</v>
      </c>
      <c r="C6095">
        <v>700721</v>
      </c>
      <c r="D6095" t="s">
        <v>176</v>
      </c>
      <c r="E6095">
        <v>0</v>
      </c>
      <c r="F6095">
        <v>0</v>
      </c>
      <c r="G6095">
        <v>0</v>
      </c>
      <c r="H6095">
        <f>_xlfn.XLOOKUP(FACT_IMPORTS[[#This Row],[hts_6]],DIM_PRODUCTS[hts_6],DIM_PRODUCTS[hts_4],,,)</f>
        <v>7007</v>
      </c>
      <c r="I6095" t="str" cm="1">
        <f t="array" ref="I6095">_xlfn.XLOOKUP(FACT_IMPORTS[[#This Row],[country_name]],DIM_COUNTRY[[#All],[Column2]],DIM_COUNTRY[[#All],[Column3]],,,)</f>
        <v>Major_Non-USMCA_Non-China</v>
      </c>
    </row>
    <row r="6096" spans="1:9" x14ac:dyDescent="0.4">
      <c r="A6096" t="s">
        <v>68</v>
      </c>
      <c r="B6096" s="1">
        <v>45597</v>
      </c>
      <c r="C6096">
        <v>700910</v>
      </c>
      <c r="D6096" t="s">
        <v>176</v>
      </c>
      <c r="E6096">
        <v>0</v>
      </c>
      <c r="F6096">
        <v>0</v>
      </c>
      <c r="G6096">
        <v>0</v>
      </c>
      <c r="H6096">
        <f>_xlfn.XLOOKUP(FACT_IMPORTS[[#This Row],[hts_6]],DIM_PRODUCTS[hts_6],DIM_PRODUCTS[hts_4],,,)</f>
        <v>7009</v>
      </c>
      <c r="I6096" t="str" cm="1">
        <f t="array" ref="I6096">_xlfn.XLOOKUP(FACT_IMPORTS[[#This Row],[country_name]],DIM_COUNTRY[[#All],[Column2]],DIM_COUNTRY[[#All],[Column3]],,,)</f>
        <v>Major_Non-USMCA_Non-China</v>
      </c>
    </row>
    <row r="6097" spans="1:9" x14ac:dyDescent="0.4">
      <c r="A6097" t="s">
        <v>68</v>
      </c>
      <c r="B6097" s="1">
        <v>45597</v>
      </c>
      <c r="C6097">
        <v>732010</v>
      </c>
      <c r="D6097" t="s">
        <v>176</v>
      </c>
      <c r="E6097">
        <v>2826</v>
      </c>
      <c r="F6097">
        <v>42</v>
      </c>
      <c r="G6097">
        <v>138</v>
      </c>
      <c r="H6097">
        <f>_xlfn.XLOOKUP(FACT_IMPORTS[[#This Row],[hts_6]],DIM_PRODUCTS[hts_6],DIM_PRODUCTS[hts_4],,,)</f>
        <v>7320</v>
      </c>
      <c r="I6097" t="str" cm="1">
        <f t="array" ref="I6097">_xlfn.XLOOKUP(FACT_IMPORTS[[#This Row],[country_name]],DIM_COUNTRY[[#All],[Column2]],DIM_COUNTRY[[#All],[Column3]],,,)</f>
        <v>Major_Non-USMCA_Non-China</v>
      </c>
    </row>
    <row r="6098" spans="1:9" x14ac:dyDescent="0.4">
      <c r="A6098" t="s">
        <v>68</v>
      </c>
      <c r="B6098" s="1">
        <v>45597</v>
      </c>
      <c r="C6098">
        <v>830230</v>
      </c>
      <c r="D6098" t="s">
        <v>176</v>
      </c>
      <c r="E6098">
        <v>299443</v>
      </c>
      <c r="F6098">
        <v>39929</v>
      </c>
      <c r="G6098">
        <v>9815</v>
      </c>
      <c r="H6098">
        <f>_xlfn.XLOOKUP(FACT_IMPORTS[[#This Row],[hts_6]],DIM_PRODUCTS[hts_6],DIM_PRODUCTS[hts_4],,,)</f>
        <v>8302</v>
      </c>
      <c r="I6098" t="str" cm="1">
        <f t="array" ref="I6098">_xlfn.XLOOKUP(FACT_IMPORTS[[#This Row],[country_name]],DIM_COUNTRY[[#All],[Column2]],DIM_COUNTRY[[#All],[Column3]],,,)</f>
        <v>Major_Non-USMCA_Non-China</v>
      </c>
    </row>
    <row r="6099" spans="1:9" x14ac:dyDescent="0.4">
      <c r="A6099" t="s">
        <v>68</v>
      </c>
      <c r="B6099" s="1">
        <v>45597</v>
      </c>
      <c r="C6099">
        <v>840731</v>
      </c>
      <c r="D6099" t="s">
        <v>176</v>
      </c>
      <c r="E6099">
        <v>0</v>
      </c>
      <c r="F6099">
        <v>0</v>
      </c>
      <c r="G6099">
        <v>0</v>
      </c>
      <c r="H6099">
        <f>_xlfn.XLOOKUP(FACT_IMPORTS[[#This Row],[hts_6]],DIM_PRODUCTS[hts_6],DIM_PRODUCTS[hts_4],,,)</f>
        <v>8407</v>
      </c>
      <c r="I6099" t="str" cm="1">
        <f t="array" ref="I6099">_xlfn.XLOOKUP(FACT_IMPORTS[[#This Row],[country_name]],DIM_COUNTRY[[#All],[Column2]],DIM_COUNTRY[[#All],[Column3]],,,)</f>
        <v>Major_Non-USMCA_Non-China</v>
      </c>
    </row>
    <row r="6100" spans="1:9" x14ac:dyDescent="0.4">
      <c r="A6100" t="s">
        <v>68</v>
      </c>
      <c r="B6100" s="1">
        <v>45597</v>
      </c>
      <c r="C6100">
        <v>840734</v>
      </c>
      <c r="D6100" t="s">
        <v>176</v>
      </c>
      <c r="E6100">
        <v>61109</v>
      </c>
      <c r="F6100">
        <v>10</v>
      </c>
      <c r="G6100">
        <v>1551</v>
      </c>
      <c r="H6100">
        <f>_xlfn.XLOOKUP(FACT_IMPORTS[[#This Row],[hts_6]],DIM_PRODUCTS[hts_6],DIM_PRODUCTS[hts_4],,,)</f>
        <v>8407</v>
      </c>
      <c r="I6100" t="str" cm="1">
        <f t="array" ref="I6100">_xlfn.XLOOKUP(FACT_IMPORTS[[#This Row],[country_name]],DIM_COUNTRY[[#All],[Column2]],DIM_COUNTRY[[#All],[Column3]],,,)</f>
        <v>Major_Non-USMCA_Non-China</v>
      </c>
    </row>
    <row r="6101" spans="1:9" x14ac:dyDescent="0.4">
      <c r="A6101" t="s">
        <v>68</v>
      </c>
      <c r="B6101" s="1">
        <v>45597</v>
      </c>
      <c r="C6101">
        <v>840790</v>
      </c>
      <c r="D6101" t="s">
        <v>176</v>
      </c>
      <c r="E6101">
        <v>0</v>
      </c>
      <c r="F6101">
        <v>0</v>
      </c>
      <c r="G6101">
        <v>0</v>
      </c>
      <c r="H6101">
        <f>_xlfn.XLOOKUP(FACT_IMPORTS[[#This Row],[hts_6]],DIM_PRODUCTS[hts_6],DIM_PRODUCTS[hts_4],,,)</f>
        <v>8407</v>
      </c>
      <c r="I6101" t="str" cm="1">
        <f t="array" ref="I6101">_xlfn.XLOOKUP(FACT_IMPORTS[[#This Row],[country_name]],DIM_COUNTRY[[#All],[Column2]],DIM_COUNTRY[[#All],[Column3]],,,)</f>
        <v>Major_Non-USMCA_Non-China</v>
      </c>
    </row>
    <row r="6102" spans="1:9" x14ac:dyDescent="0.4">
      <c r="A6102" t="s">
        <v>68</v>
      </c>
      <c r="B6102" s="1">
        <v>45597</v>
      </c>
      <c r="C6102">
        <v>840820</v>
      </c>
      <c r="D6102" t="s">
        <v>176</v>
      </c>
      <c r="E6102">
        <v>40765</v>
      </c>
      <c r="F6102">
        <v>1</v>
      </c>
      <c r="G6102">
        <v>86</v>
      </c>
      <c r="H6102">
        <f>_xlfn.XLOOKUP(FACT_IMPORTS[[#This Row],[hts_6]],DIM_PRODUCTS[hts_6],DIM_PRODUCTS[hts_4],,,)</f>
        <v>8408</v>
      </c>
      <c r="I6102" t="str" cm="1">
        <f t="array" ref="I6102">_xlfn.XLOOKUP(FACT_IMPORTS[[#This Row],[country_name]],DIM_COUNTRY[[#All],[Column2]],DIM_COUNTRY[[#All],[Column3]],,,)</f>
        <v>Major_Non-USMCA_Non-China</v>
      </c>
    </row>
    <row r="6103" spans="1:9" x14ac:dyDescent="0.4">
      <c r="A6103" t="s">
        <v>68</v>
      </c>
      <c r="B6103" s="1">
        <v>45597</v>
      </c>
      <c r="C6103">
        <v>840890</v>
      </c>
      <c r="D6103" t="s">
        <v>176</v>
      </c>
      <c r="E6103">
        <v>0</v>
      </c>
      <c r="F6103">
        <v>0</v>
      </c>
      <c r="G6103">
        <v>0</v>
      </c>
      <c r="H6103">
        <f>_xlfn.XLOOKUP(FACT_IMPORTS[[#This Row],[hts_6]],DIM_PRODUCTS[hts_6],DIM_PRODUCTS[hts_4],,,)</f>
        <v>8408</v>
      </c>
      <c r="I6103" t="str" cm="1">
        <f t="array" ref="I6103">_xlfn.XLOOKUP(FACT_IMPORTS[[#This Row],[country_name]],DIM_COUNTRY[[#All],[Column2]],DIM_COUNTRY[[#All],[Column3]],,,)</f>
        <v>Major_Non-USMCA_Non-China</v>
      </c>
    </row>
    <row r="6104" spans="1:9" x14ac:dyDescent="0.4">
      <c r="A6104" t="s">
        <v>68</v>
      </c>
      <c r="B6104" s="1">
        <v>45597</v>
      </c>
      <c r="C6104">
        <v>840991</v>
      </c>
      <c r="D6104" t="s">
        <v>176</v>
      </c>
      <c r="E6104">
        <v>586254</v>
      </c>
      <c r="F6104">
        <v>19852</v>
      </c>
      <c r="G6104">
        <v>14193</v>
      </c>
      <c r="H6104">
        <f>_xlfn.XLOOKUP(FACT_IMPORTS[[#This Row],[hts_6]],DIM_PRODUCTS[hts_6],DIM_PRODUCTS[hts_4],,,)</f>
        <v>8409</v>
      </c>
      <c r="I6104" t="str" cm="1">
        <f t="array" ref="I6104">_xlfn.XLOOKUP(FACT_IMPORTS[[#This Row],[country_name]],DIM_COUNTRY[[#All],[Column2]],DIM_COUNTRY[[#All],[Column3]],,,)</f>
        <v>Major_Non-USMCA_Non-China</v>
      </c>
    </row>
    <row r="6105" spans="1:9" x14ac:dyDescent="0.4">
      <c r="A6105" t="s">
        <v>68</v>
      </c>
      <c r="B6105" s="1">
        <v>45597</v>
      </c>
      <c r="C6105">
        <v>840999</v>
      </c>
      <c r="D6105" t="s">
        <v>176</v>
      </c>
      <c r="E6105">
        <v>26444619</v>
      </c>
      <c r="F6105">
        <v>3118103</v>
      </c>
      <c r="G6105">
        <v>540333</v>
      </c>
      <c r="H6105">
        <f>_xlfn.XLOOKUP(FACT_IMPORTS[[#This Row],[hts_6]],DIM_PRODUCTS[hts_6],DIM_PRODUCTS[hts_4],,,)</f>
        <v>8409</v>
      </c>
      <c r="I6105" t="str" cm="1">
        <f t="array" ref="I6105">_xlfn.XLOOKUP(FACT_IMPORTS[[#This Row],[country_name]],DIM_COUNTRY[[#All],[Column2]],DIM_COUNTRY[[#All],[Column3]],,,)</f>
        <v>Major_Non-USMCA_Non-China</v>
      </c>
    </row>
    <row r="6106" spans="1:9" x14ac:dyDescent="0.4">
      <c r="A6106" t="s">
        <v>68</v>
      </c>
      <c r="B6106" s="1">
        <v>45597</v>
      </c>
      <c r="C6106">
        <v>841330</v>
      </c>
      <c r="D6106" t="s">
        <v>176</v>
      </c>
      <c r="E6106">
        <v>15869975</v>
      </c>
      <c r="F6106">
        <v>99453</v>
      </c>
      <c r="G6106">
        <v>45485</v>
      </c>
      <c r="H6106">
        <f>_xlfn.XLOOKUP(FACT_IMPORTS[[#This Row],[hts_6]],DIM_PRODUCTS[hts_6],DIM_PRODUCTS[hts_4],,,)</f>
        <v>8413</v>
      </c>
      <c r="I6106" t="str" cm="1">
        <f t="array" ref="I6106">_xlfn.XLOOKUP(FACT_IMPORTS[[#This Row],[country_name]],DIM_COUNTRY[[#All],[Column2]],DIM_COUNTRY[[#All],[Column3]],,,)</f>
        <v>Major_Non-USMCA_Non-China</v>
      </c>
    </row>
    <row r="6107" spans="1:9" x14ac:dyDescent="0.4">
      <c r="A6107" t="s">
        <v>68</v>
      </c>
      <c r="B6107" s="1">
        <v>45597</v>
      </c>
      <c r="C6107">
        <v>841520</v>
      </c>
      <c r="D6107" t="s">
        <v>176</v>
      </c>
      <c r="E6107">
        <v>0</v>
      </c>
      <c r="F6107">
        <v>0</v>
      </c>
      <c r="G6107">
        <v>0</v>
      </c>
      <c r="H6107">
        <f>_xlfn.XLOOKUP(FACT_IMPORTS[[#This Row],[hts_6]],DIM_PRODUCTS[hts_6],DIM_PRODUCTS[hts_4],,,)</f>
        <v>8415</v>
      </c>
      <c r="I6107" t="str" cm="1">
        <f t="array" ref="I6107">_xlfn.XLOOKUP(FACT_IMPORTS[[#This Row],[country_name]],DIM_COUNTRY[[#All],[Column2]],DIM_COUNTRY[[#All],[Column3]],,,)</f>
        <v>Major_Non-USMCA_Non-China</v>
      </c>
    </row>
    <row r="6108" spans="1:9" x14ac:dyDescent="0.4">
      <c r="A6108" t="s">
        <v>68</v>
      </c>
      <c r="B6108" s="1">
        <v>45597</v>
      </c>
      <c r="C6108">
        <v>842132</v>
      </c>
      <c r="D6108" t="s">
        <v>176</v>
      </c>
      <c r="E6108">
        <v>9423</v>
      </c>
      <c r="F6108">
        <v>9</v>
      </c>
      <c r="G6108">
        <v>219</v>
      </c>
      <c r="H6108">
        <f>_xlfn.XLOOKUP(FACT_IMPORTS[[#This Row],[hts_6]],DIM_PRODUCTS[hts_6],DIM_PRODUCTS[hts_4],,,)</f>
        <v>8421</v>
      </c>
      <c r="I6108" t="str" cm="1">
        <f t="array" ref="I6108">_xlfn.XLOOKUP(FACT_IMPORTS[[#This Row],[country_name]],DIM_COUNTRY[[#All],[Column2]],DIM_COUNTRY[[#All],[Column3]],,,)</f>
        <v>Major_Non-USMCA_Non-China</v>
      </c>
    </row>
    <row r="6109" spans="1:9" x14ac:dyDescent="0.4">
      <c r="A6109" t="s">
        <v>68</v>
      </c>
      <c r="B6109" s="1">
        <v>45597</v>
      </c>
      <c r="C6109">
        <v>848210</v>
      </c>
      <c r="D6109" t="s">
        <v>176</v>
      </c>
      <c r="E6109">
        <v>495852</v>
      </c>
      <c r="F6109">
        <v>11017</v>
      </c>
      <c r="G6109">
        <v>6083</v>
      </c>
      <c r="H6109">
        <f>_xlfn.XLOOKUP(FACT_IMPORTS[[#This Row],[hts_6]],DIM_PRODUCTS[hts_6],DIM_PRODUCTS[hts_4],,,)</f>
        <v>8482</v>
      </c>
      <c r="I6109" t="str" cm="1">
        <f t="array" ref="I6109">_xlfn.XLOOKUP(FACT_IMPORTS[[#This Row],[country_name]],DIM_COUNTRY[[#All],[Column2]],DIM_COUNTRY[[#All],[Column3]],,,)</f>
        <v>Major_Non-USMCA_Non-China</v>
      </c>
    </row>
    <row r="6110" spans="1:9" x14ac:dyDescent="0.4">
      <c r="A6110" t="s">
        <v>68</v>
      </c>
      <c r="B6110" s="1">
        <v>45597</v>
      </c>
      <c r="C6110">
        <v>848220</v>
      </c>
      <c r="D6110" t="s">
        <v>176</v>
      </c>
      <c r="E6110">
        <v>210501</v>
      </c>
      <c r="F6110">
        <v>11301</v>
      </c>
      <c r="G6110">
        <v>6907</v>
      </c>
      <c r="H6110">
        <f>_xlfn.XLOOKUP(FACT_IMPORTS[[#This Row],[hts_6]],DIM_PRODUCTS[hts_6],DIM_PRODUCTS[hts_4],,,)</f>
        <v>8482</v>
      </c>
      <c r="I6110" t="str" cm="1">
        <f t="array" ref="I6110">_xlfn.XLOOKUP(FACT_IMPORTS[[#This Row],[country_name]],DIM_COUNTRY[[#All],[Column2]],DIM_COUNTRY[[#All],[Column3]],,,)</f>
        <v>Major_Non-USMCA_Non-China</v>
      </c>
    </row>
    <row r="6111" spans="1:9" x14ac:dyDescent="0.4">
      <c r="A6111" t="s">
        <v>68</v>
      </c>
      <c r="B6111" s="1">
        <v>45597</v>
      </c>
      <c r="C6111">
        <v>848310</v>
      </c>
      <c r="D6111" t="s">
        <v>176</v>
      </c>
      <c r="E6111">
        <v>4135377</v>
      </c>
      <c r="F6111">
        <v>19540</v>
      </c>
      <c r="G6111">
        <v>43765</v>
      </c>
      <c r="H6111">
        <f>_xlfn.XLOOKUP(FACT_IMPORTS[[#This Row],[hts_6]],DIM_PRODUCTS[hts_6],DIM_PRODUCTS[hts_4],,,)</f>
        <v>8483</v>
      </c>
      <c r="I6111" t="str" cm="1">
        <f t="array" ref="I6111">_xlfn.XLOOKUP(FACT_IMPORTS[[#This Row],[country_name]],DIM_COUNTRY[[#All],[Column2]],DIM_COUNTRY[[#All],[Column3]],,,)</f>
        <v>Major_Non-USMCA_Non-China</v>
      </c>
    </row>
    <row r="6112" spans="1:9" x14ac:dyDescent="0.4">
      <c r="A6112" t="s">
        <v>68</v>
      </c>
      <c r="B6112" s="1">
        <v>45597</v>
      </c>
      <c r="C6112">
        <v>850131</v>
      </c>
      <c r="D6112" t="s">
        <v>176</v>
      </c>
      <c r="E6112">
        <v>250761</v>
      </c>
      <c r="F6112">
        <v>3631</v>
      </c>
      <c r="G6112">
        <v>867</v>
      </c>
      <c r="H6112">
        <f>_xlfn.XLOOKUP(FACT_IMPORTS[[#This Row],[hts_6]],DIM_PRODUCTS[hts_6],DIM_PRODUCTS[hts_4],,,)</f>
        <v>8501</v>
      </c>
      <c r="I6112" t="str" cm="1">
        <f t="array" ref="I6112">_xlfn.XLOOKUP(FACT_IMPORTS[[#This Row],[country_name]],DIM_COUNTRY[[#All],[Column2]],DIM_COUNTRY[[#All],[Column3]],,,)</f>
        <v>Major_Non-USMCA_Non-China</v>
      </c>
    </row>
    <row r="6113" spans="1:9" x14ac:dyDescent="0.4">
      <c r="A6113" t="s">
        <v>68</v>
      </c>
      <c r="B6113" s="1">
        <v>45597</v>
      </c>
      <c r="C6113">
        <v>850132</v>
      </c>
      <c r="D6113" t="s">
        <v>176</v>
      </c>
      <c r="E6113">
        <v>73514</v>
      </c>
      <c r="F6113">
        <v>16</v>
      </c>
      <c r="G6113">
        <v>257</v>
      </c>
      <c r="H6113">
        <f>_xlfn.XLOOKUP(FACT_IMPORTS[[#This Row],[hts_6]],DIM_PRODUCTS[hts_6],DIM_PRODUCTS[hts_4],,,)</f>
        <v>8501</v>
      </c>
      <c r="I6113" t="str" cm="1">
        <f t="array" ref="I6113">_xlfn.XLOOKUP(FACT_IMPORTS[[#This Row],[country_name]],DIM_COUNTRY[[#All],[Column2]],DIM_COUNTRY[[#All],[Column3]],,,)</f>
        <v>Major_Non-USMCA_Non-China</v>
      </c>
    </row>
    <row r="6114" spans="1:9" x14ac:dyDescent="0.4">
      <c r="A6114" t="s">
        <v>68</v>
      </c>
      <c r="B6114" s="1">
        <v>45597</v>
      </c>
      <c r="C6114">
        <v>850133</v>
      </c>
      <c r="D6114" t="s">
        <v>176</v>
      </c>
      <c r="E6114">
        <v>52402</v>
      </c>
      <c r="F6114">
        <v>6</v>
      </c>
      <c r="G6114">
        <v>544</v>
      </c>
      <c r="H6114">
        <f>_xlfn.XLOOKUP(FACT_IMPORTS[[#This Row],[hts_6]],DIM_PRODUCTS[hts_6],DIM_PRODUCTS[hts_4],,,)</f>
        <v>8501</v>
      </c>
      <c r="I6114" t="str" cm="1">
        <f t="array" ref="I6114">_xlfn.XLOOKUP(FACT_IMPORTS[[#This Row],[country_name]],DIM_COUNTRY[[#All],[Column2]],DIM_COUNTRY[[#All],[Column3]],,,)</f>
        <v>Major_Non-USMCA_Non-China</v>
      </c>
    </row>
    <row r="6115" spans="1:9" x14ac:dyDescent="0.4">
      <c r="A6115" t="s">
        <v>68</v>
      </c>
      <c r="B6115" s="1">
        <v>45597</v>
      </c>
      <c r="C6115">
        <v>850134</v>
      </c>
      <c r="D6115" t="s">
        <v>176</v>
      </c>
      <c r="E6115">
        <v>0</v>
      </c>
      <c r="F6115">
        <v>0</v>
      </c>
      <c r="G6115">
        <v>0</v>
      </c>
      <c r="H6115">
        <f>_xlfn.XLOOKUP(FACT_IMPORTS[[#This Row],[hts_6]],DIM_PRODUCTS[hts_6],DIM_PRODUCTS[hts_4],,,)</f>
        <v>8501</v>
      </c>
      <c r="I6115" t="str" cm="1">
        <f t="array" ref="I6115">_xlfn.XLOOKUP(FACT_IMPORTS[[#This Row],[country_name]],DIM_COUNTRY[[#All],[Column2]],DIM_COUNTRY[[#All],[Column3]],,,)</f>
        <v>Major_Non-USMCA_Non-China</v>
      </c>
    </row>
    <row r="6116" spans="1:9" x14ac:dyDescent="0.4">
      <c r="A6116" t="s">
        <v>68</v>
      </c>
      <c r="B6116" s="1">
        <v>45597</v>
      </c>
      <c r="C6116">
        <v>850152</v>
      </c>
      <c r="D6116" t="s">
        <v>176</v>
      </c>
      <c r="E6116">
        <v>396203</v>
      </c>
      <c r="F6116">
        <v>355</v>
      </c>
      <c r="G6116">
        <v>17053</v>
      </c>
      <c r="H6116">
        <f>_xlfn.XLOOKUP(FACT_IMPORTS[[#This Row],[hts_6]],DIM_PRODUCTS[hts_6],DIM_PRODUCTS[hts_4],,,)</f>
        <v>8501</v>
      </c>
      <c r="I6116" t="str" cm="1">
        <f t="array" ref="I6116">_xlfn.XLOOKUP(FACT_IMPORTS[[#This Row],[country_name]],DIM_COUNTRY[[#All],[Column2]],DIM_COUNTRY[[#All],[Column3]],,,)</f>
        <v>Major_Non-USMCA_Non-China</v>
      </c>
    </row>
    <row r="6117" spans="1:9" x14ac:dyDescent="0.4">
      <c r="A6117" t="s">
        <v>68</v>
      </c>
      <c r="B6117" s="1">
        <v>45597</v>
      </c>
      <c r="C6117">
        <v>850153</v>
      </c>
      <c r="D6117" t="s">
        <v>176</v>
      </c>
      <c r="E6117">
        <v>1528796</v>
      </c>
      <c r="F6117">
        <v>149</v>
      </c>
      <c r="G6117">
        <v>18836</v>
      </c>
      <c r="H6117">
        <f>_xlfn.XLOOKUP(FACT_IMPORTS[[#This Row],[hts_6]],DIM_PRODUCTS[hts_6],DIM_PRODUCTS[hts_4],,,)</f>
        <v>8501</v>
      </c>
      <c r="I6117" t="str" cm="1">
        <f t="array" ref="I6117">_xlfn.XLOOKUP(FACT_IMPORTS[[#This Row],[country_name]],DIM_COUNTRY[[#All],[Column2]],DIM_COUNTRY[[#All],[Column3]],,,)</f>
        <v>Major_Non-USMCA_Non-China</v>
      </c>
    </row>
    <row r="6118" spans="1:9" x14ac:dyDescent="0.4">
      <c r="A6118" t="s">
        <v>68</v>
      </c>
      <c r="B6118" s="1">
        <v>45597</v>
      </c>
      <c r="C6118">
        <v>850161</v>
      </c>
      <c r="D6118" t="s">
        <v>176</v>
      </c>
      <c r="E6118">
        <v>0</v>
      </c>
      <c r="F6118">
        <v>0</v>
      </c>
      <c r="G6118">
        <v>0</v>
      </c>
      <c r="H6118">
        <f>_xlfn.XLOOKUP(FACT_IMPORTS[[#This Row],[hts_6]],DIM_PRODUCTS[hts_6],DIM_PRODUCTS[hts_4],,,)</f>
        <v>8501</v>
      </c>
      <c r="I6118" t="str" cm="1">
        <f t="array" ref="I6118">_xlfn.XLOOKUP(FACT_IMPORTS[[#This Row],[country_name]],DIM_COUNTRY[[#All],[Column2]],DIM_COUNTRY[[#All],[Column3]],,,)</f>
        <v>Major_Non-USMCA_Non-China</v>
      </c>
    </row>
    <row r="6119" spans="1:9" x14ac:dyDescent="0.4">
      <c r="A6119" t="s">
        <v>68</v>
      </c>
      <c r="B6119" s="1">
        <v>45597</v>
      </c>
      <c r="C6119">
        <v>850440</v>
      </c>
      <c r="D6119" t="s">
        <v>176</v>
      </c>
      <c r="E6119">
        <v>600510</v>
      </c>
      <c r="F6119">
        <v>201</v>
      </c>
      <c r="G6119">
        <v>34068</v>
      </c>
      <c r="H6119">
        <f>_xlfn.XLOOKUP(FACT_IMPORTS[[#This Row],[hts_6]],DIM_PRODUCTS[hts_6],DIM_PRODUCTS[hts_4],,,)</f>
        <v>8504</v>
      </c>
      <c r="I6119" t="str" cm="1">
        <f t="array" ref="I6119">_xlfn.XLOOKUP(FACT_IMPORTS[[#This Row],[country_name]],DIM_COUNTRY[[#All],[Column2]],DIM_COUNTRY[[#All],[Column3]],,,)</f>
        <v>Major_Non-USMCA_Non-China</v>
      </c>
    </row>
    <row r="6120" spans="1:9" x14ac:dyDescent="0.4">
      <c r="A6120" t="s">
        <v>68</v>
      </c>
      <c r="B6120" s="1">
        <v>45597</v>
      </c>
      <c r="C6120">
        <v>850710</v>
      </c>
      <c r="D6120" t="s">
        <v>176</v>
      </c>
      <c r="E6120">
        <v>39755</v>
      </c>
      <c r="F6120">
        <v>27</v>
      </c>
      <c r="G6120">
        <v>95</v>
      </c>
      <c r="H6120">
        <f>_xlfn.XLOOKUP(FACT_IMPORTS[[#This Row],[hts_6]],DIM_PRODUCTS[hts_6],DIM_PRODUCTS[hts_4],,,)</f>
        <v>8507</v>
      </c>
      <c r="I6120" t="str" cm="1">
        <f t="array" ref="I6120">_xlfn.XLOOKUP(FACT_IMPORTS[[#This Row],[country_name]],DIM_COUNTRY[[#All],[Column2]],DIM_COUNTRY[[#All],[Column3]],,,)</f>
        <v>Major_Non-USMCA_Non-China</v>
      </c>
    </row>
    <row r="6121" spans="1:9" x14ac:dyDescent="0.4">
      <c r="A6121" t="s">
        <v>68</v>
      </c>
      <c r="B6121" s="1">
        <v>45597</v>
      </c>
      <c r="C6121">
        <v>850760</v>
      </c>
      <c r="D6121" t="s">
        <v>176</v>
      </c>
      <c r="E6121">
        <v>502923</v>
      </c>
      <c r="F6121">
        <v>152</v>
      </c>
      <c r="G6121">
        <v>1358</v>
      </c>
      <c r="H6121">
        <f>_xlfn.XLOOKUP(FACT_IMPORTS[[#This Row],[hts_6]],DIM_PRODUCTS[hts_6],DIM_PRODUCTS[hts_4],,,)</f>
        <v>8507</v>
      </c>
      <c r="I6121" t="str" cm="1">
        <f t="array" ref="I6121">_xlfn.XLOOKUP(FACT_IMPORTS[[#This Row],[country_name]],DIM_COUNTRY[[#All],[Column2]],DIM_COUNTRY[[#All],[Column3]],,,)</f>
        <v>Major_Non-USMCA_Non-China</v>
      </c>
    </row>
    <row r="6122" spans="1:9" x14ac:dyDescent="0.4">
      <c r="A6122" t="s">
        <v>68</v>
      </c>
      <c r="B6122" s="1">
        <v>45597</v>
      </c>
      <c r="C6122">
        <v>850790</v>
      </c>
      <c r="D6122" t="s">
        <v>176</v>
      </c>
      <c r="E6122">
        <v>325968</v>
      </c>
      <c r="F6122">
        <v>23970</v>
      </c>
      <c r="G6122">
        <v>22017</v>
      </c>
      <c r="H6122">
        <f>_xlfn.XLOOKUP(FACT_IMPORTS[[#This Row],[hts_6]],DIM_PRODUCTS[hts_6],DIM_PRODUCTS[hts_4],,,)</f>
        <v>8507</v>
      </c>
      <c r="I6122" t="str" cm="1">
        <f t="array" ref="I6122">_xlfn.XLOOKUP(FACT_IMPORTS[[#This Row],[country_name]],DIM_COUNTRY[[#All],[Column2]],DIM_COUNTRY[[#All],[Column3]],,,)</f>
        <v>Major_Non-USMCA_Non-China</v>
      </c>
    </row>
    <row r="6123" spans="1:9" x14ac:dyDescent="0.4">
      <c r="A6123" t="s">
        <v>68</v>
      </c>
      <c r="B6123" s="1">
        <v>45597</v>
      </c>
      <c r="C6123">
        <v>851110</v>
      </c>
      <c r="D6123" t="s">
        <v>176</v>
      </c>
      <c r="E6123">
        <v>17211</v>
      </c>
      <c r="F6123">
        <v>77</v>
      </c>
      <c r="G6123">
        <v>259</v>
      </c>
      <c r="H6123">
        <f>_xlfn.XLOOKUP(FACT_IMPORTS[[#This Row],[hts_6]],DIM_PRODUCTS[hts_6],DIM_PRODUCTS[hts_4],,,)</f>
        <v>8511</v>
      </c>
      <c r="I6123" t="str" cm="1">
        <f t="array" ref="I6123">_xlfn.XLOOKUP(FACT_IMPORTS[[#This Row],[country_name]],DIM_COUNTRY[[#All],[Column2]],DIM_COUNTRY[[#All],[Column3]],,,)</f>
        <v>Major_Non-USMCA_Non-China</v>
      </c>
    </row>
    <row r="6124" spans="1:9" x14ac:dyDescent="0.4">
      <c r="A6124" t="s">
        <v>68</v>
      </c>
      <c r="B6124" s="1">
        <v>45597</v>
      </c>
      <c r="C6124">
        <v>851120</v>
      </c>
      <c r="D6124" t="s">
        <v>176</v>
      </c>
      <c r="E6124">
        <v>0</v>
      </c>
      <c r="F6124">
        <v>0</v>
      </c>
      <c r="G6124">
        <v>0</v>
      </c>
      <c r="H6124">
        <f>_xlfn.XLOOKUP(FACT_IMPORTS[[#This Row],[hts_6]],DIM_PRODUCTS[hts_6],DIM_PRODUCTS[hts_4],,,)</f>
        <v>8511</v>
      </c>
      <c r="I6124" t="str" cm="1">
        <f t="array" ref="I6124">_xlfn.XLOOKUP(FACT_IMPORTS[[#This Row],[country_name]],DIM_COUNTRY[[#All],[Column2]],DIM_COUNTRY[[#All],[Column3]],,,)</f>
        <v>Major_Non-USMCA_Non-China</v>
      </c>
    </row>
    <row r="6125" spans="1:9" x14ac:dyDescent="0.4">
      <c r="A6125" t="s">
        <v>68</v>
      </c>
      <c r="B6125" s="1">
        <v>45597</v>
      </c>
      <c r="C6125">
        <v>851130</v>
      </c>
      <c r="D6125" t="s">
        <v>176</v>
      </c>
      <c r="E6125">
        <v>2324</v>
      </c>
      <c r="F6125">
        <v>65</v>
      </c>
      <c r="G6125">
        <v>19</v>
      </c>
      <c r="H6125">
        <f>_xlfn.XLOOKUP(FACT_IMPORTS[[#This Row],[hts_6]],DIM_PRODUCTS[hts_6],DIM_PRODUCTS[hts_4],,,)</f>
        <v>8511</v>
      </c>
      <c r="I6125" t="str" cm="1">
        <f t="array" ref="I6125">_xlfn.XLOOKUP(FACT_IMPORTS[[#This Row],[country_name]],DIM_COUNTRY[[#All],[Column2]],DIM_COUNTRY[[#All],[Column3]],,,)</f>
        <v>Major_Non-USMCA_Non-China</v>
      </c>
    </row>
    <row r="6126" spans="1:9" x14ac:dyDescent="0.4">
      <c r="A6126" t="s">
        <v>68</v>
      </c>
      <c r="B6126" s="1">
        <v>45597</v>
      </c>
      <c r="C6126">
        <v>851140</v>
      </c>
      <c r="D6126" t="s">
        <v>176</v>
      </c>
      <c r="E6126">
        <v>0</v>
      </c>
      <c r="F6126">
        <v>0</v>
      </c>
      <c r="G6126">
        <v>0</v>
      </c>
      <c r="H6126">
        <f>_xlfn.XLOOKUP(FACT_IMPORTS[[#This Row],[hts_6]],DIM_PRODUCTS[hts_6],DIM_PRODUCTS[hts_4],,,)</f>
        <v>8511</v>
      </c>
      <c r="I6126" t="str" cm="1">
        <f t="array" ref="I6126">_xlfn.XLOOKUP(FACT_IMPORTS[[#This Row],[country_name]],DIM_COUNTRY[[#All],[Column2]],DIM_COUNTRY[[#All],[Column3]],,,)</f>
        <v>Major_Non-USMCA_Non-China</v>
      </c>
    </row>
    <row r="6127" spans="1:9" x14ac:dyDescent="0.4">
      <c r="A6127" t="s">
        <v>68</v>
      </c>
      <c r="B6127" s="1">
        <v>45597</v>
      </c>
      <c r="C6127">
        <v>851150</v>
      </c>
      <c r="D6127" t="s">
        <v>176</v>
      </c>
      <c r="E6127">
        <v>13669</v>
      </c>
      <c r="F6127">
        <v>2</v>
      </c>
      <c r="G6127">
        <v>32</v>
      </c>
      <c r="H6127">
        <f>_xlfn.XLOOKUP(FACT_IMPORTS[[#This Row],[hts_6]],DIM_PRODUCTS[hts_6],DIM_PRODUCTS[hts_4],,,)</f>
        <v>8511</v>
      </c>
      <c r="I6127" t="str" cm="1">
        <f t="array" ref="I6127">_xlfn.XLOOKUP(FACT_IMPORTS[[#This Row],[country_name]],DIM_COUNTRY[[#All],[Column2]],DIM_COUNTRY[[#All],[Column3]],,,)</f>
        <v>Major_Non-USMCA_Non-China</v>
      </c>
    </row>
    <row r="6128" spans="1:9" x14ac:dyDescent="0.4">
      <c r="A6128" t="s">
        <v>68</v>
      </c>
      <c r="B6128" s="1">
        <v>45597</v>
      </c>
      <c r="C6128">
        <v>851180</v>
      </c>
      <c r="D6128" t="s">
        <v>176</v>
      </c>
      <c r="E6128">
        <v>81420</v>
      </c>
      <c r="F6128">
        <v>368</v>
      </c>
      <c r="G6128">
        <v>300</v>
      </c>
      <c r="H6128">
        <f>_xlfn.XLOOKUP(FACT_IMPORTS[[#This Row],[hts_6]],DIM_PRODUCTS[hts_6],DIM_PRODUCTS[hts_4],,,)</f>
        <v>8511</v>
      </c>
      <c r="I6128" t="str" cm="1">
        <f t="array" ref="I6128">_xlfn.XLOOKUP(FACT_IMPORTS[[#This Row],[country_name]],DIM_COUNTRY[[#All],[Column2]],DIM_COUNTRY[[#All],[Column3]],,,)</f>
        <v>Major_Non-USMCA_Non-China</v>
      </c>
    </row>
    <row r="6129" spans="1:9" x14ac:dyDescent="0.4">
      <c r="A6129" t="s">
        <v>68</v>
      </c>
      <c r="B6129" s="1">
        <v>45597</v>
      </c>
      <c r="C6129">
        <v>851190</v>
      </c>
      <c r="D6129" t="s">
        <v>176</v>
      </c>
      <c r="E6129">
        <v>0</v>
      </c>
      <c r="F6129">
        <v>0</v>
      </c>
      <c r="G6129">
        <v>0</v>
      </c>
      <c r="H6129">
        <f>_xlfn.XLOOKUP(FACT_IMPORTS[[#This Row],[hts_6]],DIM_PRODUCTS[hts_6],DIM_PRODUCTS[hts_4],,,)</f>
        <v>8511</v>
      </c>
      <c r="I6129" t="str" cm="1">
        <f t="array" ref="I6129">_xlfn.XLOOKUP(FACT_IMPORTS[[#This Row],[country_name]],DIM_COUNTRY[[#All],[Column2]],DIM_COUNTRY[[#All],[Column3]],,,)</f>
        <v>Major_Non-USMCA_Non-China</v>
      </c>
    </row>
    <row r="6130" spans="1:9" x14ac:dyDescent="0.4">
      <c r="A6130" t="s">
        <v>68</v>
      </c>
      <c r="B6130" s="1">
        <v>45597</v>
      </c>
      <c r="C6130">
        <v>851220</v>
      </c>
      <c r="D6130" t="s">
        <v>176</v>
      </c>
      <c r="E6130">
        <v>217394</v>
      </c>
      <c r="F6130">
        <v>19063</v>
      </c>
      <c r="G6130">
        <v>4912</v>
      </c>
      <c r="H6130">
        <f>_xlfn.XLOOKUP(FACT_IMPORTS[[#This Row],[hts_6]],DIM_PRODUCTS[hts_6],DIM_PRODUCTS[hts_4],,,)</f>
        <v>8512</v>
      </c>
      <c r="I6130" t="str" cm="1">
        <f t="array" ref="I6130">_xlfn.XLOOKUP(FACT_IMPORTS[[#This Row],[country_name]],DIM_COUNTRY[[#All],[Column2]],DIM_COUNTRY[[#All],[Column3]],,,)</f>
        <v>Major_Non-USMCA_Non-China</v>
      </c>
    </row>
    <row r="6131" spans="1:9" x14ac:dyDescent="0.4">
      <c r="A6131" t="s">
        <v>68</v>
      </c>
      <c r="B6131" s="1">
        <v>45597</v>
      </c>
      <c r="C6131">
        <v>851230</v>
      </c>
      <c r="D6131" t="s">
        <v>176</v>
      </c>
      <c r="E6131">
        <v>0</v>
      </c>
      <c r="F6131">
        <v>0</v>
      </c>
      <c r="G6131">
        <v>0</v>
      </c>
      <c r="H6131">
        <f>_xlfn.XLOOKUP(FACT_IMPORTS[[#This Row],[hts_6]],DIM_PRODUCTS[hts_6],DIM_PRODUCTS[hts_4],,,)</f>
        <v>8512</v>
      </c>
      <c r="I6131" t="str" cm="1">
        <f t="array" ref="I6131">_xlfn.XLOOKUP(FACT_IMPORTS[[#This Row],[country_name]],DIM_COUNTRY[[#All],[Column2]],DIM_COUNTRY[[#All],[Column3]],,,)</f>
        <v>Major_Non-USMCA_Non-China</v>
      </c>
    </row>
    <row r="6132" spans="1:9" x14ac:dyDescent="0.4">
      <c r="A6132" t="s">
        <v>68</v>
      </c>
      <c r="B6132" s="1">
        <v>45597</v>
      </c>
      <c r="C6132">
        <v>851240</v>
      </c>
      <c r="D6132" t="s">
        <v>176</v>
      </c>
      <c r="E6132">
        <v>6410</v>
      </c>
      <c r="F6132">
        <v>210</v>
      </c>
      <c r="G6132">
        <v>82</v>
      </c>
      <c r="H6132">
        <f>_xlfn.XLOOKUP(FACT_IMPORTS[[#This Row],[hts_6]],DIM_PRODUCTS[hts_6],DIM_PRODUCTS[hts_4],,,)</f>
        <v>8512</v>
      </c>
      <c r="I6132" t="str" cm="1">
        <f t="array" ref="I6132">_xlfn.XLOOKUP(FACT_IMPORTS[[#This Row],[country_name]],DIM_COUNTRY[[#All],[Column2]],DIM_COUNTRY[[#All],[Column3]],,,)</f>
        <v>Major_Non-USMCA_Non-China</v>
      </c>
    </row>
    <row r="6133" spans="1:9" x14ac:dyDescent="0.4">
      <c r="A6133" t="s">
        <v>68</v>
      </c>
      <c r="B6133" s="1">
        <v>45597</v>
      </c>
      <c r="C6133">
        <v>851290</v>
      </c>
      <c r="D6133" t="s">
        <v>176</v>
      </c>
      <c r="E6133">
        <v>78884</v>
      </c>
      <c r="F6133">
        <v>729</v>
      </c>
      <c r="G6133">
        <v>2157</v>
      </c>
      <c r="H6133">
        <f>_xlfn.XLOOKUP(FACT_IMPORTS[[#This Row],[hts_6]],DIM_PRODUCTS[hts_6],DIM_PRODUCTS[hts_4],,,)</f>
        <v>8512</v>
      </c>
      <c r="I6133" t="str" cm="1">
        <f t="array" ref="I6133">_xlfn.XLOOKUP(FACT_IMPORTS[[#This Row],[country_name]],DIM_COUNTRY[[#All],[Column2]],DIM_COUNTRY[[#All],[Column3]],,,)</f>
        <v>Major_Non-USMCA_Non-China</v>
      </c>
    </row>
    <row r="6134" spans="1:9" x14ac:dyDescent="0.4">
      <c r="A6134" t="s">
        <v>68</v>
      </c>
      <c r="B6134" s="1">
        <v>45597</v>
      </c>
      <c r="C6134">
        <v>854231</v>
      </c>
      <c r="D6134" t="s">
        <v>176</v>
      </c>
      <c r="E6134">
        <v>4200</v>
      </c>
      <c r="F6134">
        <v>6</v>
      </c>
      <c r="G6134">
        <v>15</v>
      </c>
      <c r="H6134">
        <f>_xlfn.XLOOKUP(FACT_IMPORTS[[#This Row],[hts_6]],DIM_PRODUCTS[hts_6],DIM_PRODUCTS[hts_4],,,)</f>
        <v>8542</v>
      </c>
      <c r="I6134" t="str" cm="1">
        <f t="array" ref="I6134">_xlfn.XLOOKUP(FACT_IMPORTS[[#This Row],[country_name]],DIM_COUNTRY[[#All],[Column2]],DIM_COUNTRY[[#All],[Column3]],,,)</f>
        <v>Major_Non-USMCA_Non-China</v>
      </c>
    </row>
    <row r="6135" spans="1:9" x14ac:dyDescent="0.4">
      <c r="A6135" t="s">
        <v>68</v>
      </c>
      <c r="B6135" s="1">
        <v>45597</v>
      </c>
      <c r="C6135">
        <v>854233</v>
      </c>
      <c r="D6135" t="s">
        <v>176</v>
      </c>
      <c r="E6135">
        <v>0</v>
      </c>
      <c r="F6135">
        <v>0</v>
      </c>
      <c r="G6135">
        <v>0</v>
      </c>
      <c r="H6135">
        <f>_xlfn.XLOOKUP(FACT_IMPORTS[[#This Row],[hts_6]],DIM_PRODUCTS[hts_6],DIM_PRODUCTS[hts_4],,,)</f>
        <v>8542</v>
      </c>
      <c r="I6135" t="str" cm="1">
        <f t="array" ref="I6135">_xlfn.XLOOKUP(FACT_IMPORTS[[#This Row],[country_name]],DIM_COUNTRY[[#All],[Column2]],DIM_COUNTRY[[#All],[Column3]],,,)</f>
        <v>Major_Non-USMCA_Non-China</v>
      </c>
    </row>
    <row r="6136" spans="1:9" x14ac:dyDescent="0.4">
      <c r="A6136" t="s">
        <v>68</v>
      </c>
      <c r="B6136" s="1">
        <v>45597</v>
      </c>
      <c r="C6136">
        <v>854239</v>
      </c>
      <c r="D6136" t="s">
        <v>176</v>
      </c>
      <c r="E6136">
        <v>12092</v>
      </c>
      <c r="F6136">
        <v>2</v>
      </c>
      <c r="G6136">
        <v>428</v>
      </c>
      <c r="H6136">
        <f>_xlfn.XLOOKUP(FACT_IMPORTS[[#This Row],[hts_6]],DIM_PRODUCTS[hts_6],DIM_PRODUCTS[hts_4],,,)</f>
        <v>8542</v>
      </c>
      <c r="I6136" t="str" cm="1">
        <f t="array" ref="I6136">_xlfn.XLOOKUP(FACT_IMPORTS[[#This Row],[country_name]],DIM_COUNTRY[[#All],[Column2]],DIM_COUNTRY[[#All],[Column3]],,,)</f>
        <v>Major_Non-USMCA_Non-China</v>
      </c>
    </row>
    <row r="6137" spans="1:9" x14ac:dyDescent="0.4">
      <c r="A6137" t="s">
        <v>68</v>
      </c>
      <c r="B6137" s="1">
        <v>45597</v>
      </c>
      <c r="C6137">
        <v>854290</v>
      </c>
      <c r="D6137" t="s">
        <v>176</v>
      </c>
      <c r="E6137">
        <v>0</v>
      </c>
      <c r="F6137">
        <v>0</v>
      </c>
      <c r="G6137">
        <v>0</v>
      </c>
      <c r="H6137">
        <f>_xlfn.XLOOKUP(FACT_IMPORTS[[#This Row],[hts_6]],DIM_PRODUCTS[hts_6],DIM_PRODUCTS[hts_4],,,)</f>
        <v>8542</v>
      </c>
      <c r="I6137" t="str" cm="1">
        <f t="array" ref="I6137">_xlfn.XLOOKUP(FACT_IMPORTS[[#This Row],[country_name]],DIM_COUNTRY[[#All],[Column2]],DIM_COUNTRY[[#All],[Column3]],,,)</f>
        <v>Major_Non-USMCA_Non-China</v>
      </c>
    </row>
    <row r="6138" spans="1:9" x14ac:dyDescent="0.4">
      <c r="A6138" t="s">
        <v>68</v>
      </c>
      <c r="B6138" s="1">
        <v>45597</v>
      </c>
      <c r="C6138">
        <v>854430</v>
      </c>
      <c r="D6138" t="s">
        <v>176</v>
      </c>
      <c r="E6138">
        <v>393074</v>
      </c>
      <c r="F6138">
        <v>23153</v>
      </c>
      <c r="G6138">
        <v>2616</v>
      </c>
      <c r="H6138">
        <f>_xlfn.XLOOKUP(FACT_IMPORTS[[#This Row],[hts_6]],DIM_PRODUCTS[hts_6],DIM_PRODUCTS[hts_4],,,)</f>
        <v>8544</v>
      </c>
      <c r="I6138" t="str" cm="1">
        <f t="array" ref="I6138">_xlfn.XLOOKUP(FACT_IMPORTS[[#This Row],[country_name]],DIM_COUNTRY[[#All],[Column2]],DIM_COUNTRY[[#All],[Column3]],,,)</f>
        <v>Major_Non-USMCA_Non-China</v>
      </c>
    </row>
    <row r="6139" spans="1:9" x14ac:dyDescent="0.4">
      <c r="A6139" t="s">
        <v>68</v>
      </c>
      <c r="B6139" s="1">
        <v>45597</v>
      </c>
      <c r="C6139">
        <v>870790</v>
      </c>
      <c r="D6139" t="s">
        <v>176</v>
      </c>
      <c r="E6139">
        <v>91249</v>
      </c>
      <c r="F6139">
        <v>5</v>
      </c>
      <c r="G6139">
        <v>1000</v>
      </c>
      <c r="H6139">
        <f>_xlfn.XLOOKUP(FACT_IMPORTS[[#This Row],[hts_6]],DIM_PRODUCTS[hts_6],DIM_PRODUCTS[hts_4],,,)</f>
        <v>8707</v>
      </c>
      <c r="I6139" t="str" cm="1">
        <f t="array" ref="I6139">_xlfn.XLOOKUP(FACT_IMPORTS[[#This Row],[country_name]],DIM_COUNTRY[[#All],[Column2]],DIM_COUNTRY[[#All],[Column3]],,,)</f>
        <v>Major_Non-USMCA_Non-China</v>
      </c>
    </row>
    <row r="6140" spans="1:9" x14ac:dyDescent="0.4">
      <c r="A6140" t="s">
        <v>68</v>
      </c>
      <c r="B6140" s="1">
        <v>45597</v>
      </c>
      <c r="C6140">
        <v>870810</v>
      </c>
      <c r="D6140" t="s">
        <v>176</v>
      </c>
      <c r="E6140">
        <v>28173</v>
      </c>
      <c r="F6140">
        <v>298</v>
      </c>
      <c r="G6140">
        <v>960</v>
      </c>
      <c r="H6140">
        <f>_xlfn.XLOOKUP(FACT_IMPORTS[[#This Row],[hts_6]],DIM_PRODUCTS[hts_6],DIM_PRODUCTS[hts_4],,,)</f>
        <v>8708</v>
      </c>
      <c r="I6140" t="str" cm="1">
        <f t="array" ref="I6140">_xlfn.XLOOKUP(FACT_IMPORTS[[#This Row],[country_name]],DIM_COUNTRY[[#All],[Column2]],DIM_COUNTRY[[#All],[Column3]],,,)</f>
        <v>Major_Non-USMCA_Non-China</v>
      </c>
    </row>
    <row r="6141" spans="1:9" x14ac:dyDescent="0.4">
      <c r="A6141" t="s">
        <v>68</v>
      </c>
      <c r="B6141" s="1">
        <v>45597</v>
      </c>
      <c r="C6141">
        <v>870821</v>
      </c>
      <c r="D6141" t="s">
        <v>176</v>
      </c>
      <c r="E6141">
        <v>0</v>
      </c>
      <c r="F6141">
        <v>0</v>
      </c>
      <c r="G6141">
        <v>0</v>
      </c>
      <c r="H6141">
        <f>_xlfn.XLOOKUP(FACT_IMPORTS[[#This Row],[hts_6]],DIM_PRODUCTS[hts_6],DIM_PRODUCTS[hts_4],,,)</f>
        <v>8708</v>
      </c>
      <c r="I6141" t="str" cm="1">
        <f t="array" ref="I6141">_xlfn.XLOOKUP(FACT_IMPORTS[[#This Row],[country_name]],DIM_COUNTRY[[#All],[Column2]],DIM_COUNTRY[[#All],[Column3]],,,)</f>
        <v>Major_Non-USMCA_Non-China</v>
      </c>
    </row>
    <row r="6142" spans="1:9" x14ac:dyDescent="0.4">
      <c r="A6142" t="s">
        <v>68</v>
      </c>
      <c r="B6142" s="1">
        <v>45597</v>
      </c>
      <c r="C6142">
        <v>870822</v>
      </c>
      <c r="D6142" t="s">
        <v>176</v>
      </c>
      <c r="E6142">
        <v>0</v>
      </c>
      <c r="F6142">
        <v>0</v>
      </c>
      <c r="G6142">
        <v>0</v>
      </c>
      <c r="H6142">
        <f>_xlfn.XLOOKUP(FACT_IMPORTS[[#This Row],[hts_6]],DIM_PRODUCTS[hts_6],DIM_PRODUCTS[hts_4],,,)</f>
        <v>8708</v>
      </c>
      <c r="I6142" t="str" cm="1">
        <f t="array" ref="I6142">_xlfn.XLOOKUP(FACT_IMPORTS[[#This Row],[country_name]],DIM_COUNTRY[[#All],[Column2]],DIM_COUNTRY[[#All],[Column3]],,,)</f>
        <v>Major_Non-USMCA_Non-China</v>
      </c>
    </row>
    <row r="6143" spans="1:9" x14ac:dyDescent="0.4">
      <c r="A6143" t="s">
        <v>68</v>
      </c>
      <c r="B6143" s="1">
        <v>45597</v>
      </c>
      <c r="C6143">
        <v>870829</v>
      </c>
      <c r="D6143" t="s">
        <v>176</v>
      </c>
      <c r="E6143">
        <v>1692305</v>
      </c>
      <c r="F6143">
        <v>942836</v>
      </c>
      <c r="G6143">
        <v>38453</v>
      </c>
      <c r="H6143">
        <f>_xlfn.XLOOKUP(FACT_IMPORTS[[#This Row],[hts_6]],DIM_PRODUCTS[hts_6],DIM_PRODUCTS[hts_4],,,)</f>
        <v>8708</v>
      </c>
      <c r="I6143" t="str" cm="1">
        <f t="array" ref="I6143">_xlfn.XLOOKUP(FACT_IMPORTS[[#This Row],[country_name]],DIM_COUNTRY[[#All],[Column2]],DIM_COUNTRY[[#All],[Column3]],,,)</f>
        <v>Major_Non-USMCA_Non-China</v>
      </c>
    </row>
    <row r="6144" spans="1:9" x14ac:dyDescent="0.4">
      <c r="A6144" t="s">
        <v>68</v>
      </c>
      <c r="B6144" s="1">
        <v>45597</v>
      </c>
      <c r="C6144">
        <v>870830</v>
      </c>
      <c r="D6144" t="s">
        <v>176</v>
      </c>
      <c r="E6144">
        <v>367553</v>
      </c>
      <c r="F6144">
        <v>3563</v>
      </c>
      <c r="G6144">
        <v>6923</v>
      </c>
      <c r="H6144">
        <f>_xlfn.XLOOKUP(FACT_IMPORTS[[#This Row],[hts_6]],DIM_PRODUCTS[hts_6],DIM_PRODUCTS[hts_4],,,)</f>
        <v>8708</v>
      </c>
      <c r="I6144" t="str" cm="1">
        <f t="array" ref="I6144">_xlfn.XLOOKUP(FACT_IMPORTS[[#This Row],[country_name]],DIM_COUNTRY[[#All],[Column2]],DIM_COUNTRY[[#All],[Column3]],,,)</f>
        <v>Major_Non-USMCA_Non-China</v>
      </c>
    </row>
    <row r="6145" spans="1:9" x14ac:dyDescent="0.4">
      <c r="A6145" t="s">
        <v>68</v>
      </c>
      <c r="B6145" s="1">
        <v>45597</v>
      </c>
      <c r="C6145">
        <v>870840</v>
      </c>
      <c r="D6145" t="s">
        <v>176</v>
      </c>
      <c r="E6145">
        <v>17037708</v>
      </c>
      <c r="F6145">
        <v>675607</v>
      </c>
      <c r="G6145">
        <v>91367</v>
      </c>
      <c r="H6145">
        <f>_xlfn.XLOOKUP(FACT_IMPORTS[[#This Row],[hts_6]],DIM_PRODUCTS[hts_6],DIM_PRODUCTS[hts_4],,,)</f>
        <v>8708</v>
      </c>
      <c r="I6145" t="str" cm="1">
        <f t="array" ref="I6145">_xlfn.XLOOKUP(FACT_IMPORTS[[#This Row],[country_name]],DIM_COUNTRY[[#All],[Column2]],DIM_COUNTRY[[#All],[Column3]],,,)</f>
        <v>Major_Non-USMCA_Non-China</v>
      </c>
    </row>
    <row r="6146" spans="1:9" x14ac:dyDescent="0.4">
      <c r="A6146" t="s">
        <v>68</v>
      </c>
      <c r="B6146" s="1">
        <v>45597</v>
      </c>
      <c r="C6146">
        <v>870850</v>
      </c>
      <c r="D6146" t="s">
        <v>176</v>
      </c>
      <c r="E6146">
        <v>8735345</v>
      </c>
      <c r="F6146">
        <v>407005</v>
      </c>
      <c r="G6146">
        <v>110768</v>
      </c>
      <c r="H6146">
        <f>_xlfn.XLOOKUP(FACT_IMPORTS[[#This Row],[hts_6]],DIM_PRODUCTS[hts_6],DIM_PRODUCTS[hts_4],,,)</f>
        <v>8708</v>
      </c>
      <c r="I6146" t="str" cm="1">
        <f t="array" ref="I6146">_xlfn.XLOOKUP(FACT_IMPORTS[[#This Row],[country_name]],DIM_COUNTRY[[#All],[Column2]],DIM_COUNTRY[[#All],[Column3]],,,)</f>
        <v>Major_Non-USMCA_Non-China</v>
      </c>
    </row>
    <row r="6147" spans="1:9" x14ac:dyDescent="0.4">
      <c r="A6147" t="s">
        <v>68</v>
      </c>
      <c r="B6147" s="1">
        <v>45597</v>
      </c>
      <c r="C6147">
        <v>870870</v>
      </c>
      <c r="D6147" t="s">
        <v>176</v>
      </c>
      <c r="E6147">
        <v>26361</v>
      </c>
      <c r="F6147">
        <v>345</v>
      </c>
      <c r="G6147">
        <v>1079</v>
      </c>
      <c r="H6147">
        <f>_xlfn.XLOOKUP(FACT_IMPORTS[[#This Row],[hts_6]],DIM_PRODUCTS[hts_6],DIM_PRODUCTS[hts_4],,,)</f>
        <v>8708</v>
      </c>
      <c r="I6147" t="str" cm="1">
        <f t="array" ref="I6147">_xlfn.XLOOKUP(FACT_IMPORTS[[#This Row],[country_name]],DIM_COUNTRY[[#All],[Column2]],DIM_COUNTRY[[#All],[Column3]],,,)</f>
        <v>Major_Non-USMCA_Non-China</v>
      </c>
    </row>
    <row r="6148" spans="1:9" x14ac:dyDescent="0.4">
      <c r="A6148" t="s">
        <v>68</v>
      </c>
      <c r="B6148" s="1">
        <v>45597</v>
      </c>
      <c r="C6148">
        <v>870880</v>
      </c>
      <c r="D6148" t="s">
        <v>176</v>
      </c>
      <c r="E6148">
        <v>356896</v>
      </c>
      <c r="F6148">
        <v>483548</v>
      </c>
      <c r="G6148">
        <v>17613</v>
      </c>
      <c r="H6148">
        <f>_xlfn.XLOOKUP(FACT_IMPORTS[[#This Row],[hts_6]],DIM_PRODUCTS[hts_6],DIM_PRODUCTS[hts_4],,,)</f>
        <v>8708</v>
      </c>
      <c r="I6148" t="str" cm="1">
        <f t="array" ref="I6148">_xlfn.XLOOKUP(FACT_IMPORTS[[#This Row],[country_name]],DIM_COUNTRY[[#All],[Column2]],DIM_COUNTRY[[#All],[Column3]],,,)</f>
        <v>Major_Non-USMCA_Non-China</v>
      </c>
    </row>
    <row r="6149" spans="1:9" x14ac:dyDescent="0.4">
      <c r="A6149" t="s">
        <v>68</v>
      </c>
      <c r="B6149" s="1">
        <v>45597</v>
      </c>
      <c r="C6149">
        <v>870891</v>
      </c>
      <c r="D6149" t="s">
        <v>176</v>
      </c>
      <c r="E6149">
        <v>29048</v>
      </c>
      <c r="F6149">
        <v>147</v>
      </c>
      <c r="G6149">
        <v>366</v>
      </c>
      <c r="H6149">
        <f>_xlfn.XLOOKUP(FACT_IMPORTS[[#This Row],[hts_6]],DIM_PRODUCTS[hts_6],DIM_PRODUCTS[hts_4],,,)</f>
        <v>8708</v>
      </c>
      <c r="I6149" t="str" cm="1">
        <f t="array" ref="I6149">_xlfn.XLOOKUP(FACT_IMPORTS[[#This Row],[country_name]],DIM_COUNTRY[[#All],[Column2]],DIM_COUNTRY[[#All],[Column3]],,,)</f>
        <v>Major_Non-USMCA_Non-China</v>
      </c>
    </row>
    <row r="6150" spans="1:9" x14ac:dyDescent="0.4">
      <c r="A6150" t="s">
        <v>68</v>
      </c>
      <c r="B6150" s="1">
        <v>45597</v>
      </c>
      <c r="C6150">
        <v>870892</v>
      </c>
      <c r="D6150" t="s">
        <v>176</v>
      </c>
      <c r="E6150">
        <v>125864</v>
      </c>
      <c r="F6150">
        <v>86647</v>
      </c>
      <c r="G6150">
        <v>11121</v>
      </c>
      <c r="H6150">
        <f>_xlfn.XLOOKUP(FACT_IMPORTS[[#This Row],[hts_6]],DIM_PRODUCTS[hts_6],DIM_PRODUCTS[hts_4],,,)</f>
        <v>8708</v>
      </c>
      <c r="I6150" t="str" cm="1">
        <f t="array" ref="I6150">_xlfn.XLOOKUP(FACT_IMPORTS[[#This Row],[country_name]],DIM_COUNTRY[[#All],[Column2]],DIM_COUNTRY[[#All],[Column3]],,,)</f>
        <v>Major_Non-USMCA_Non-China</v>
      </c>
    </row>
    <row r="6151" spans="1:9" x14ac:dyDescent="0.4">
      <c r="A6151" t="s">
        <v>68</v>
      </c>
      <c r="B6151" s="1">
        <v>45597</v>
      </c>
      <c r="C6151">
        <v>870893</v>
      </c>
      <c r="D6151" t="s">
        <v>176</v>
      </c>
      <c r="E6151">
        <v>1114635</v>
      </c>
      <c r="F6151">
        <v>2830</v>
      </c>
      <c r="G6151">
        <v>13943</v>
      </c>
      <c r="H6151">
        <f>_xlfn.XLOOKUP(FACT_IMPORTS[[#This Row],[hts_6]],DIM_PRODUCTS[hts_6],DIM_PRODUCTS[hts_4],,,)</f>
        <v>8708</v>
      </c>
      <c r="I6151" t="str" cm="1">
        <f t="array" ref="I6151">_xlfn.XLOOKUP(FACT_IMPORTS[[#This Row],[country_name]],DIM_COUNTRY[[#All],[Column2]],DIM_COUNTRY[[#All],[Column3]],,,)</f>
        <v>Major_Non-USMCA_Non-China</v>
      </c>
    </row>
    <row r="6152" spans="1:9" x14ac:dyDescent="0.4">
      <c r="A6152" t="s">
        <v>68</v>
      </c>
      <c r="B6152" s="1">
        <v>45597</v>
      </c>
      <c r="C6152">
        <v>870894</v>
      </c>
      <c r="D6152" t="s">
        <v>176</v>
      </c>
      <c r="E6152">
        <v>296804</v>
      </c>
      <c r="F6152">
        <v>1256</v>
      </c>
      <c r="G6152">
        <v>2528</v>
      </c>
      <c r="H6152">
        <f>_xlfn.XLOOKUP(FACT_IMPORTS[[#This Row],[hts_6]],DIM_PRODUCTS[hts_6],DIM_PRODUCTS[hts_4],,,)</f>
        <v>8708</v>
      </c>
      <c r="I6152" t="str" cm="1">
        <f t="array" ref="I6152">_xlfn.XLOOKUP(FACT_IMPORTS[[#This Row],[country_name]],DIM_COUNTRY[[#All],[Column2]],DIM_COUNTRY[[#All],[Column3]],,,)</f>
        <v>Major_Non-USMCA_Non-China</v>
      </c>
    </row>
    <row r="6153" spans="1:9" x14ac:dyDescent="0.4">
      <c r="A6153" t="s">
        <v>68</v>
      </c>
      <c r="B6153" s="1">
        <v>45597</v>
      </c>
      <c r="C6153">
        <v>870895</v>
      </c>
      <c r="D6153" t="s">
        <v>176</v>
      </c>
      <c r="E6153">
        <v>0</v>
      </c>
      <c r="F6153">
        <v>0</v>
      </c>
      <c r="G6153">
        <v>0</v>
      </c>
      <c r="H6153">
        <f>_xlfn.XLOOKUP(FACT_IMPORTS[[#This Row],[hts_6]],DIM_PRODUCTS[hts_6],DIM_PRODUCTS[hts_4],,,)</f>
        <v>8708</v>
      </c>
      <c r="I6153" t="str" cm="1">
        <f t="array" ref="I6153">_xlfn.XLOOKUP(FACT_IMPORTS[[#This Row],[country_name]],DIM_COUNTRY[[#All],[Column2]],DIM_COUNTRY[[#All],[Column3]],,,)</f>
        <v>Major_Non-USMCA_Non-China</v>
      </c>
    </row>
    <row r="6154" spans="1:9" x14ac:dyDescent="0.4">
      <c r="A6154" t="s">
        <v>68</v>
      </c>
      <c r="B6154" s="1">
        <v>45597</v>
      </c>
      <c r="C6154">
        <v>870899</v>
      </c>
      <c r="D6154" t="s">
        <v>176</v>
      </c>
      <c r="E6154">
        <v>2792366</v>
      </c>
      <c r="F6154">
        <v>397885</v>
      </c>
      <c r="G6154">
        <v>36424</v>
      </c>
      <c r="H6154">
        <f>_xlfn.XLOOKUP(FACT_IMPORTS[[#This Row],[hts_6]],DIM_PRODUCTS[hts_6],DIM_PRODUCTS[hts_4],,,)</f>
        <v>8708</v>
      </c>
      <c r="I6154" t="str" cm="1">
        <f t="array" ref="I6154">_xlfn.XLOOKUP(FACT_IMPORTS[[#This Row],[country_name]],DIM_COUNTRY[[#All],[Column2]],DIM_COUNTRY[[#All],[Column3]],,,)</f>
        <v>Major_Non-USMCA_Non-China</v>
      </c>
    </row>
    <row r="6155" spans="1:9" x14ac:dyDescent="0.4">
      <c r="A6155" t="s">
        <v>68</v>
      </c>
      <c r="B6155" s="1">
        <v>45597</v>
      </c>
      <c r="C6155">
        <v>940120</v>
      </c>
      <c r="D6155" t="s">
        <v>176</v>
      </c>
      <c r="E6155">
        <v>30866</v>
      </c>
      <c r="F6155">
        <v>48</v>
      </c>
      <c r="G6155">
        <v>196</v>
      </c>
      <c r="H6155">
        <f>_xlfn.XLOOKUP(FACT_IMPORTS[[#This Row],[hts_6]],DIM_PRODUCTS[hts_6],DIM_PRODUCTS[hts_4],,,)</f>
        <v>9401</v>
      </c>
      <c r="I6155" t="str" cm="1">
        <f t="array" ref="I6155">_xlfn.XLOOKUP(FACT_IMPORTS[[#This Row],[country_name]],DIM_COUNTRY[[#All],[Column2]],DIM_COUNTRY[[#All],[Column3]],,,)</f>
        <v>Major_Non-USMCA_Non-China</v>
      </c>
    </row>
    <row r="6156" spans="1:9" x14ac:dyDescent="0.4">
      <c r="A6156" t="s">
        <v>68</v>
      </c>
      <c r="B6156" s="1">
        <v>45627</v>
      </c>
      <c r="C6156">
        <v>392630</v>
      </c>
      <c r="D6156" t="s">
        <v>176</v>
      </c>
      <c r="E6156">
        <v>212308</v>
      </c>
      <c r="F6156">
        <v>12121</v>
      </c>
      <c r="G6156">
        <v>14471</v>
      </c>
      <c r="H6156">
        <f>_xlfn.XLOOKUP(FACT_IMPORTS[[#This Row],[hts_6]],DIM_PRODUCTS[hts_6],DIM_PRODUCTS[hts_4],,,)</f>
        <v>3926</v>
      </c>
      <c r="I6156" t="str" cm="1">
        <f t="array" ref="I6156">_xlfn.XLOOKUP(FACT_IMPORTS[[#This Row],[country_name]],DIM_COUNTRY[[#All],[Column2]],DIM_COUNTRY[[#All],[Column3]],,,)</f>
        <v>Major_Non-USMCA_Non-China</v>
      </c>
    </row>
    <row r="6157" spans="1:9" x14ac:dyDescent="0.4">
      <c r="A6157" t="s">
        <v>68</v>
      </c>
      <c r="B6157" s="1">
        <v>45627</v>
      </c>
      <c r="C6157">
        <v>401110</v>
      </c>
      <c r="D6157" t="s">
        <v>176</v>
      </c>
      <c r="E6157">
        <v>15954</v>
      </c>
      <c r="F6157">
        <v>70</v>
      </c>
      <c r="G6157">
        <v>1323</v>
      </c>
      <c r="H6157">
        <f>_xlfn.XLOOKUP(FACT_IMPORTS[[#This Row],[hts_6]],DIM_PRODUCTS[hts_6],DIM_PRODUCTS[hts_4],,,)</f>
        <v>4011</v>
      </c>
      <c r="I6157" t="str" cm="1">
        <f t="array" ref="I6157">_xlfn.XLOOKUP(FACT_IMPORTS[[#This Row],[country_name]],DIM_COUNTRY[[#All],[Column2]],DIM_COUNTRY[[#All],[Column3]],,,)</f>
        <v>Major_Non-USMCA_Non-China</v>
      </c>
    </row>
    <row r="6158" spans="1:9" x14ac:dyDescent="0.4">
      <c r="A6158" t="s">
        <v>68</v>
      </c>
      <c r="B6158" s="1">
        <v>45627</v>
      </c>
      <c r="C6158">
        <v>401120</v>
      </c>
      <c r="D6158" t="s">
        <v>176</v>
      </c>
      <c r="E6158">
        <v>0</v>
      </c>
      <c r="F6158">
        <v>0</v>
      </c>
      <c r="G6158">
        <v>0</v>
      </c>
      <c r="H6158">
        <f>_xlfn.XLOOKUP(FACT_IMPORTS[[#This Row],[hts_6]],DIM_PRODUCTS[hts_6],DIM_PRODUCTS[hts_4],,,)</f>
        <v>4011</v>
      </c>
      <c r="I6158" t="str" cm="1">
        <f t="array" ref="I6158">_xlfn.XLOOKUP(FACT_IMPORTS[[#This Row],[country_name]],DIM_COUNTRY[[#All],[Column2]],DIM_COUNTRY[[#All],[Column3]],,,)</f>
        <v>Major_Non-USMCA_Non-China</v>
      </c>
    </row>
    <row r="6159" spans="1:9" x14ac:dyDescent="0.4">
      <c r="A6159" t="s">
        <v>68</v>
      </c>
      <c r="B6159" s="1">
        <v>45627</v>
      </c>
      <c r="C6159">
        <v>401190</v>
      </c>
      <c r="D6159" t="s">
        <v>176</v>
      </c>
      <c r="E6159">
        <v>14605</v>
      </c>
      <c r="F6159">
        <v>504</v>
      </c>
      <c r="G6159">
        <v>2970</v>
      </c>
      <c r="H6159">
        <f>_xlfn.XLOOKUP(FACT_IMPORTS[[#This Row],[hts_6]],DIM_PRODUCTS[hts_6],DIM_PRODUCTS[hts_4],,,)</f>
        <v>4011</v>
      </c>
      <c r="I6159" t="str" cm="1">
        <f t="array" ref="I6159">_xlfn.XLOOKUP(FACT_IMPORTS[[#This Row],[country_name]],DIM_COUNTRY[[#All],[Column2]],DIM_COUNTRY[[#All],[Column3]],,,)</f>
        <v>Major_Non-USMCA_Non-China</v>
      </c>
    </row>
    <row r="6160" spans="1:9" x14ac:dyDescent="0.4">
      <c r="A6160" t="s">
        <v>68</v>
      </c>
      <c r="B6160" s="1">
        <v>45627</v>
      </c>
      <c r="C6160">
        <v>700711</v>
      </c>
      <c r="D6160" t="s">
        <v>176</v>
      </c>
      <c r="E6160">
        <v>0</v>
      </c>
      <c r="F6160">
        <v>0</v>
      </c>
      <c r="G6160">
        <v>0</v>
      </c>
      <c r="H6160">
        <f>_xlfn.XLOOKUP(FACT_IMPORTS[[#This Row],[hts_6]],DIM_PRODUCTS[hts_6],DIM_PRODUCTS[hts_4],,,)</f>
        <v>7007</v>
      </c>
      <c r="I6160" t="str" cm="1">
        <f t="array" ref="I6160">_xlfn.XLOOKUP(FACT_IMPORTS[[#This Row],[country_name]],DIM_COUNTRY[[#All],[Column2]],DIM_COUNTRY[[#All],[Column3]],,,)</f>
        <v>Major_Non-USMCA_Non-China</v>
      </c>
    </row>
    <row r="6161" spans="1:9" x14ac:dyDescent="0.4">
      <c r="A6161" t="s">
        <v>68</v>
      </c>
      <c r="B6161" s="1">
        <v>45627</v>
      </c>
      <c r="C6161">
        <v>700721</v>
      </c>
      <c r="D6161" t="s">
        <v>176</v>
      </c>
      <c r="E6161">
        <v>0</v>
      </c>
      <c r="F6161">
        <v>0</v>
      </c>
      <c r="G6161">
        <v>0</v>
      </c>
      <c r="H6161">
        <f>_xlfn.XLOOKUP(FACT_IMPORTS[[#This Row],[hts_6]],DIM_PRODUCTS[hts_6],DIM_PRODUCTS[hts_4],,,)</f>
        <v>7007</v>
      </c>
      <c r="I6161" t="str" cm="1">
        <f t="array" ref="I6161">_xlfn.XLOOKUP(FACT_IMPORTS[[#This Row],[country_name]],DIM_COUNTRY[[#All],[Column2]],DIM_COUNTRY[[#All],[Column3]],,,)</f>
        <v>Major_Non-USMCA_Non-China</v>
      </c>
    </row>
    <row r="6162" spans="1:9" x14ac:dyDescent="0.4">
      <c r="A6162" t="s">
        <v>68</v>
      </c>
      <c r="B6162" s="1">
        <v>45627</v>
      </c>
      <c r="C6162">
        <v>700910</v>
      </c>
      <c r="D6162" t="s">
        <v>176</v>
      </c>
      <c r="E6162">
        <v>0</v>
      </c>
      <c r="F6162">
        <v>0</v>
      </c>
      <c r="G6162">
        <v>0</v>
      </c>
      <c r="H6162">
        <f>_xlfn.XLOOKUP(FACT_IMPORTS[[#This Row],[hts_6]],DIM_PRODUCTS[hts_6],DIM_PRODUCTS[hts_4],,,)</f>
        <v>7009</v>
      </c>
      <c r="I6162" t="str" cm="1">
        <f t="array" ref="I6162">_xlfn.XLOOKUP(FACT_IMPORTS[[#This Row],[country_name]],DIM_COUNTRY[[#All],[Column2]],DIM_COUNTRY[[#All],[Column3]],,,)</f>
        <v>Major_Non-USMCA_Non-China</v>
      </c>
    </row>
    <row r="6163" spans="1:9" x14ac:dyDescent="0.4">
      <c r="A6163" t="s">
        <v>68</v>
      </c>
      <c r="B6163" s="1">
        <v>45627</v>
      </c>
      <c r="C6163">
        <v>732010</v>
      </c>
      <c r="D6163" t="s">
        <v>176</v>
      </c>
      <c r="E6163">
        <v>0</v>
      </c>
      <c r="F6163">
        <v>0</v>
      </c>
      <c r="G6163">
        <v>0</v>
      </c>
      <c r="H6163">
        <f>_xlfn.XLOOKUP(FACT_IMPORTS[[#This Row],[hts_6]],DIM_PRODUCTS[hts_6],DIM_PRODUCTS[hts_4],,,)</f>
        <v>7320</v>
      </c>
      <c r="I6163" t="str" cm="1">
        <f t="array" ref="I6163">_xlfn.XLOOKUP(FACT_IMPORTS[[#This Row],[country_name]],DIM_COUNTRY[[#All],[Column2]],DIM_COUNTRY[[#All],[Column3]],,,)</f>
        <v>Major_Non-USMCA_Non-China</v>
      </c>
    </row>
    <row r="6164" spans="1:9" x14ac:dyDescent="0.4">
      <c r="A6164" t="s">
        <v>68</v>
      </c>
      <c r="B6164" s="1">
        <v>45627</v>
      </c>
      <c r="C6164">
        <v>830230</v>
      </c>
      <c r="D6164" t="s">
        <v>176</v>
      </c>
      <c r="E6164">
        <v>169232</v>
      </c>
      <c r="F6164">
        <v>25410</v>
      </c>
      <c r="G6164">
        <v>5531</v>
      </c>
      <c r="H6164">
        <f>_xlfn.XLOOKUP(FACT_IMPORTS[[#This Row],[hts_6]],DIM_PRODUCTS[hts_6],DIM_PRODUCTS[hts_4],,,)</f>
        <v>8302</v>
      </c>
      <c r="I6164" t="str" cm="1">
        <f t="array" ref="I6164">_xlfn.XLOOKUP(FACT_IMPORTS[[#This Row],[country_name]],DIM_COUNTRY[[#All],[Column2]],DIM_COUNTRY[[#All],[Column3]],,,)</f>
        <v>Major_Non-USMCA_Non-China</v>
      </c>
    </row>
    <row r="6165" spans="1:9" x14ac:dyDescent="0.4">
      <c r="A6165" t="s">
        <v>68</v>
      </c>
      <c r="B6165" s="1">
        <v>45627</v>
      </c>
      <c r="C6165">
        <v>840731</v>
      </c>
      <c r="D6165" t="s">
        <v>176</v>
      </c>
      <c r="E6165">
        <v>0</v>
      </c>
      <c r="F6165">
        <v>0</v>
      </c>
      <c r="G6165">
        <v>0</v>
      </c>
      <c r="H6165">
        <f>_xlfn.XLOOKUP(FACT_IMPORTS[[#This Row],[hts_6]],DIM_PRODUCTS[hts_6],DIM_PRODUCTS[hts_4],,,)</f>
        <v>8407</v>
      </c>
      <c r="I6165" t="str" cm="1">
        <f t="array" ref="I6165">_xlfn.XLOOKUP(FACT_IMPORTS[[#This Row],[country_name]],DIM_COUNTRY[[#All],[Column2]],DIM_COUNTRY[[#All],[Column3]],,,)</f>
        <v>Major_Non-USMCA_Non-China</v>
      </c>
    </row>
    <row r="6166" spans="1:9" x14ac:dyDescent="0.4">
      <c r="A6166" t="s">
        <v>68</v>
      </c>
      <c r="B6166" s="1">
        <v>45627</v>
      </c>
      <c r="C6166">
        <v>840734</v>
      </c>
      <c r="D6166" t="s">
        <v>176</v>
      </c>
      <c r="E6166">
        <v>0</v>
      </c>
      <c r="F6166">
        <v>0</v>
      </c>
      <c r="G6166">
        <v>0</v>
      </c>
      <c r="H6166">
        <f>_xlfn.XLOOKUP(FACT_IMPORTS[[#This Row],[hts_6]],DIM_PRODUCTS[hts_6],DIM_PRODUCTS[hts_4],,,)</f>
        <v>8407</v>
      </c>
      <c r="I6166" t="str" cm="1">
        <f t="array" ref="I6166">_xlfn.XLOOKUP(FACT_IMPORTS[[#This Row],[country_name]],DIM_COUNTRY[[#All],[Column2]],DIM_COUNTRY[[#All],[Column3]],,,)</f>
        <v>Major_Non-USMCA_Non-China</v>
      </c>
    </row>
    <row r="6167" spans="1:9" x14ac:dyDescent="0.4">
      <c r="A6167" t="s">
        <v>68</v>
      </c>
      <c r="B6167" s="1">
        <v>45627</v>
      </c>
      <c r="C6167">
        <v>840790</v>
      </c>
      <c r="D6167" t="s">
        <v>176</v>
      </c>
      <c r="E6167">
        <v>0</v>
      </c>
      <c r="F6167">
        <v>0</v>
      </c>
      <c r="G6167">
        <v>0</v>
      </c>
      <c r="H6167">
        <f>_xlfn.XLOOKUP(FACT_IMPORTS[[#This Row],[hts_6]],DIM_PRODUCTS[hts_6],DIM_PRODUCTS[hts_4],,,)</f>
        <v>8407</v>
      </c>
      <c r="I6167" t="str" cm="1">
        <f t="array" ref="I6167">_xlfn.XLOOKUP(FACT_IMPORTS[[#This Row],[country_name]],DIM_COUNTRY[[#All],[Column2]],DIM_COUNTRY[[#All],[Column3]],,,)</f>
        <v>Major_Non-USMCA_Non-China</v>
      </c>
    </row>
    <row r="6168" spans="1:9" x14ac:dyDescent="0.4">
      <c r="A6168" t="s">
        <v>68</v>
      </c>
      <c r="B6168" s="1">
        <v>45627</v>
      </c>
      <c r="C6168">
        <v>840820</v>
      </c>
      <c r="D6168" t="s">
        <v>176</v>
      </c>
      <c r="E6168">
        <v>40765</v>
      </c>
      <c r="F6168">
        <v>1</v>
      </c>
      <c r="G6168">
        <v>81</v>
      </c>
      <c r="H6168">
        <f>_xlfn.XLOOKUP(FACT_IMPORTS[[#This Row],[hts_6]],DIM_PRODUCTS[hts_6],DIM_PRODUCTS[hts_4],,,)</f>
        <v>8408</v>
      </c>
      <c r="I6168" t="str" cm="1">
        <f t="array" ref="I6168">_xlfn.XLOOKUP(FACT_IMPORTS[[#This Row],[country_name]],DIM_COUNTRY[[#All],[Column2]],DIM_COUNTRY[[#All],[Column3]],,,)</f>
        <v>Major_Non-USMCA_Non-China</v>
      </c>
    </row>
    <row r="6169" spans="1:9" x14ac:dyDescent="0.4">
      <c r="A6169" t="s">
        <v>68</v>
      </c>
      <c r="B6169" s="1">
        <v>45627</v>
      </c>
      <c r="C6169">
        <v>840890</v>
      </c>
      <c r="D6169" t="s">
        <v>176</v>
      </c>
      <c r="E6169">
        <v>0</v>
      </c>
      <c r="F6169">
        <v>0</v>
      </c>
      <c r="G6169">
        <v>0</v>
      </c>
      <c r="H6169">
        <f>_xlfn.XLOOKUP(FACT_IMPORTS[[#This Row],[hts_6]],DIM_PRODUCTS[hts_6],DIM_PRODUCTS[hts_4],,,)</f>
        <v>8408</v>
      </c>
      <c r="I6169" t="str" cm="1">
        <f t="array" ref="I6169">_xlfn.XLOOKUP(FACT_IMPORTS[[#This Row],[country_name]],DIM_COUNTRY[[#All],[Column2]],DIM_COUNTRY[[#All],[Column3]],,,)</f>
        <v>Major_Non-USMCA_Non-China</v>
      </c>
    </row>
    <row r="6170" spans="1:9" x14ac:dyDescent="0.4">
      <c r="A6170" t="s">
        <v>68</v>
      </c>
      <c r="B6170" s="1">
        <v>45627</v>
      </c>
      <c r="C6170">
        <v>840991</v>
      </c>
      <c r="D6170" t="s">
        <v>176</v>
      </c>
      <c r="E6170">
        <v>882228</v>
      </c>
      <c r="F6170">
        <v>97764</v>
      </c>
      <c r="G6170">
        <v>22033</v>
      </c>
      <c r="H6170">
        <f>_xlfn.XLOOKUP(FACT_IMPORTS[[#This Row],[hts_6]],DIM_PRODUCTS[hts_6],DIM_PRODUCTS[hts_4],,,)</f>
        <v>8409</v>
      </c>
      <c r="I6170" t="str" cm="1">
        <f t="array" ref="I6170">_xlfn.XLOOKUP(FACT_IMPORTS[[#This Row],[country_name]],DIM_COUNTRY[[#All],[Column2]],DIM_COUNTRY[[#All],[Column3]],,,)</f>
        <v>Major_Non-USMCA_Non-China</v>
      </c>
    </row>
    <row r="6171" spans="1:9" x14ac:dyDescent="0.4">
      <c r="A6171" t="s">
        <v>68</v>
      </c>
      <c r="B6171" s="1">
        <v>45627</v>
      </c>
      <c r="C6171">
        <v>840999</v>
      </c>
      <c r="D6171" t="s">
        <v>176</v>
      </c>
      <c r="E6171">
        <v>21162171</v>
      </c>
      <c r="F6171">
        <v>2686837</v>
      </c>
      <c r="G6171">
        <v>452578</v>
      </c>
      <c r="H6171">
        <f>_xlfn.XLOOKUP(FACT_IMPORTS[[#This Row],[hts_6]],DIM_PRODUCTS[hts_6],DIM_PRODUCTS[hts_4],,,)</f>
        <v>8409</v>
      </c>
      <c r="I6171" t="str" cm="1">
        <f t="array" ref="I6171">_xlfn.XLOOKUP(FACT_IMPORTS[[#This Row],[country_name]],DIM_COUNTRY[[#All],[Column2]],DIM_COUNTRY[[#All],[Column3]],,,)</f>
        <v>Major_Non-USMCA_Non-China</v>
      </c>
    </row>
    <row r="6172" spans="1:9" x14ac:dyDescent="0.4">
      <c r="A6172" t="s">
        <v>68</v>
      </c>
      <c r="B6172" s="1">
        <v>45627</v>
      </c>
      <c r="C6172">
        <v>841330</v>
      </c>
      <c r="D6172" t="s">
        <v>176</v>
      </c>
      <c r="E6172">
        <v>7861244</v>
      </c>
      <c r="F6172">
        <v>52510</v>
      </c>
      <c r="G6172">
        <v>25478</v>
      </c>
      <c r="H6172">
        <f>_xlfn.XLOOKUP(FACT_IMPORTS[[#This Row],[hts_6]],DIM_PRODUCTS[hts_6],DIM_PRODUCTS[hts_4],,,)</f>
        <v>8413</v>
      </c>
      <c r="I6172" t="str" cm="1">
        <f t="array" ref="I6172">_xlfn.XLOOKUP(FACT_IMPORTS[[#This Row],[country_name]],DIM_COUNTRY[[#All],[Column2]],DIM_COUNTRY[[#All],[Column3]],,,)</f>
        <v>Major_Non-USMCA_Non-China</v>
      </c>
    </row>
    <row r="6173" spans="1:9" x14ac:dyDescent="0.4">
      <c r="A6173" t="s">
        <v>68</v>
      </c>
      <c r="B6173" s="1">
        <v>45627</v>
      </c>
      <c r="C6173">
        <v>841520</v>
      </c>
      <c r="D6173" t="s">
        <v>176</v>
      </c>
      <c r="E6173">
        <v>0</v>
      </c>
      <c r="F6173">
        <v>0</v>
      </c>
      <c r="G6173">
        <v>0</v>
      </c>
      <c r="H6173">
        <f>_xlfn.XLOOKUP(FACT_IMPORTS[[#This Row],[hts_6]],DIM_PRODUCTS[hts_6],DIM_PRODUCTS[hts_4],,,)</f>
        <v>8415</v>
      </c>
      <c r="I6173" t="str" cm="1">
        <f t="array" ref="I6173">_xlfn.XLOOKUP(FACT_IMPORTS[[#This Row],[country_name]],DIM_COUNTRY[[#All],[Column2]],DIM_COUNTRY[[#All],[Column3]],,,)</f>
        <v>Major_Non-USMCA_Non-China</v>
      </c>
    </row>
    <row r="6174" spans="1:9" x14ac:dyDescent="0.4">
      <c r="A6174" t="s">
        <v>68</v>
      </c>
      <c r="B6174" s="1">
        <v>45627</v>
      </c>
      <c r="C6174">
        <v>842132</v>
      </c>
      <c r="D6174" t="s">
        <v>176</v>
      </c>
      <c r="E6174">
        <v>169726</v>
      </c>
      <c r="F6174">
        <v>39</v>
      </c>
      <c r="G6174">
        <v>535</v>
      </c>
      <c r="H6174">
        <f>_xlfn.XLOOKUP(FACT_IMPORTS[[#This Row],[hts_6]],DIM_PRODUCTS[hts_6],DIM_PRODUCTS[hts_4],,,)</f>
        <v>8421</v>
      </c>
      <c r="I6174" t="str" cm="1">
        <f t="array" ref="I6174">_xlfn.XLOOKUP(FACT_IMPORTS[[#This Row],[country_name]],DIM_COUNTRY[[#All],[Column2]],DIM_COUNTRY[[#All],[Column3]],,,)</f>
        <v>Major_Non-USMCA_Non-China</v>
      </c>
    </row>
    <row r="6175" spans="1:9" x14ac:dyDescent="0.4">
      <c r="A6175" t="s">
        <v>68</v>
      </c>
      <c r="B6175" s="1">
        <v>45627</v>
      </c>
      <c r="C6175">
        <v>848210</v>
      </c>
      <c r="D6175" t="s">
        <v>176</v>
      </c>
      <c r="E6175">
        <v>883649</v>
      </c>
      <c r="F6175">
        <v>10393</v>
      </c>
      <c r="G6175">
        <v>9094</v>
      </c>
      <c r="H6175">
        <f>_xlfn.XLOOKUP(FACT_IMPORTS[[#This Row],[hts_6]],DIM_PRODUCTS[hts_6],DIM_PRODUCTS[hts_4],,,)</f>
        <v>8482</v>
      </c>
      <c r="I6175" t="str" cm="1">
        <f t="array" ref="I6175">_xlfn.XLOOKUP(FACT_IMPORTS[[#This Row],[country_name]],DIM_COUNTRY[[#All],[Column2]],DIM_COUNTRY[[#All],[Column3]],,,)</f>
        <v>Major_Non-USMCA_Non-China</v>
      </c>
    </row>
    <row r="6176" spans="1:9" x14ac:dyDescent="0.4">
      <c r="A6176" t="s">
        <v>68</v>
      </c>
      <c r="B6176" s="1">
        <v>45627</v>
      </c>
      <c r="C6176">
        <v>848220</v>
      </c>
      <c r="D6176" t="s">
        <v>176</v>
      </c>
      <c r="E6176">
        <v>136773</v>
      </c>
      <c r="F6176">
        <v>4271</v>
      </c>
      <c r="G6176">
        <v>6475</v>
      </c>
      <c r="H6176">
        <f>_xlfn.XLOOKUP(FACT_IMPORTS[[#This Row],[hts_6]],DIM_PRODUCTS[hts_6],DIM_PRODUCTS[hts_4],,,)</f>
        <v>8482</v>
      </c>
      <c r="I6176" t="str" cm="1">
        <f t="array" ref="I6176">_xlfn.XLOOKUP(FACT_IMPORTS[[#This Row],[country_name]],DIM_COUNTRY[[#All],[Column2]],DIM_COUNTRY[[#All],[Column3]],,,)</f>
        <v>Major_Non-USMCA_Non-China</v>
      </c>
    </row>
    <row r="6177" spans="1:9" x14ac:dyDescent="0.4">
      <c r="A6177" t="s">
        <v>68</v>
      </c>
      <c r="B6177" s="1">
        <v>45627</v>
      </c>
      <c r="C6177">
        <v>848310</v>
      </c>
      <c r="D6177" t="s">
        <v>176</v>
      </c>
      <c r="E6177">
        <v>5573274</v>
      </c>
      <c r="F6177">
        <v>41782</v>
      </c>
      <c r="G6177">
        <v>47751</v>
      </c>
      <c r="H6177">
        <f>_xlfn.XLOOKUP(FACT_IMPORTS[[#This Row],[hts_6]],DIM_PRODUCTS[hts_6],DIM_PRODUCTS[hts_4],,,)</f>
        <v>8483</v>
      </c>
      <c r="I6177" t="str" cm="1">
        <f t="array" ref="I6177">_xlfn.XLOOKUP(FACT_IMPORTS[[#This Row],[country_name]],DIM_COUNTRY[[#All],[Column2]],DIM_COUNTRY[[#All],[Column3]],,,)</f>
        <v>Major_Non-USMCA_Non-China</v>
      </c>
    </row>
    <row r="6178" spans="1:9" x14ac:dyDescent="0.4">
      <c r="A6178" t="s">
        <v>68</v>
      </c>
      <c r="B6178" s="1">
        <v>45627</v>
      </c>
      <c r="C6178">
        <v>850131</v>
      </c>
      <c r="D6178" t="s">
        <v>176</v>
      </c>
      <c r="E6178">
        <v>472928</v>
      </c>
      <c r="F6178">
        <v>8051</v>
      </c>
      <c r="G6178">
        <v>1254</v>
      </c>
      <c r="H6178">
        <f>_xlfn.XLOOKUP(FACT_IMPORTS[[#This Row],[hts_6]],DIM_PRODUCTS[hts_6],DIM_PRODUCTS[hts_4],,,)</f>
        <v>8501</v>
      </c>
      <c r="I6178" t="str" cm="1">
        <f t="array" ref="I6178">_xlfn.XLOOKUP(FACT_IMPORTS[[#This Row],[country_name]],DIM_COUNTRY[[#All],[Column2]],DIM_COUNTRY[[#All],[Column3]],,,)</f>
        <v>Major_Non-USMCA_Non-China</v>
      </c>
    </row>
    <row r="6179" spans="1:9" x14ac:dyDescent="0.4">
      <c r="A6179" t="s">
        <v>68</v>
      </c>
      <c r="B6179" s="1">
        <v>45627</v>
      </c>
      <c r="C6179">
        <v>850132</v>
      </c>
      <c r="D6179" t="s">
        <v>176</v>
      </c>
      <c r="E6179">
        <v>282460</v>
      </c>
      <c r="F6179">
        <v>41</v>
      </c>
      <c r="G6179">
        <v>1019</v>
      </c>
      <c r="H6179">
        <f>_xlfn.XLOOKUP(FACT_IMPORTS[[#This Row],[hts_6]],DIM_PRODUCTS[hts_6],DIM_PRODUCTS[hts_4],,,)</f>
        <v>8501</v>
      </c>
      <c r="I6179" t="str" cm="1">
        <f t="array" ref="I6179">_xlfn.XLOOKUP(FACT_IMPORTS[[#This Row],[country_name]],DIM_COUNTRY[[#All],[Column2]],DIM_COUNTRY[[#All],[Column3]],,,)</f>
        <v>Major_Non-USMCA_Non-China</v>
      </c>
    </row>
    <row r="6180" spans="1:9" x14ac:dyDescent="0.4">
      <c r="A6180" t="s">
        <v>68</v>
      </c>
      <c r="B6180" s="1">
        <v>45627</v>
      </c>
      <c r="C6180">
        <v>850133</v>
      </c>
      <c r="D6180" t="s">
        <v>176</v>
      </c>
      <c r="E6180">
        <v>0</v>
      </c>
      <c r="F6180">
        <v>0</v>
      </c>
      <c r="G6180">
        <v>0</v>
      </c>
      <c r="H6180">
        <f>_xlfn.XLOOKUP(FACT_IMPORTS[[#This Row],[hts_6]],DIM_PRODUCTS[hts_6],DIM_PRODUCTS[hts_4],,,)</f>
        <v>8501</v>
      </c>
      <c r="I6180" t="str" cm="1">
        <f t="array" ref="I6180">_xlfn.XLOOKUP(FACT_IMPORTS[[#This Row],[country_name]],DIM_COUNTRY[[#All],[Column2]],DIM_COUNTRY[[#All],[Column3]],,,)</f>
        <v>Major_Non-USMCA_Non-China</v>
      </c>
    </row>
    <row r="6181" spans="1:9" x14ac:dyDescent="0.4">
      <c r="A6181" t="s">
        <v>68</v>
      </c>
      <c r="B6181" s="1">
        <v>45627</v>
      </c>
      <c r="C6181">
        <v>850134</v>
      </c>
      <c r="D6181" t="s">
        <v>176</v>
      </c>
      <c r="E6181">
        <v>0</v>
      </c>
      <c r="F6181">
        <v>0</v>
      </c>
      <c r="G6181">
        <v>0</v>
      </c>
      <c r="H6181">
        <f>_xlfn.XLOOKUP(FACT_IMPORTS[[#This Row],[hts_6]],DIM_PRODUCTS[hts_6],DIM_PRODUCTS[hts_4],,,)</f>
        <v>8501</v>
      </c>
      <c r="I6181" t="str" cm="1">
        <f t="array" ref="I6181">_xlfn.XLOOKUP(FACT_IMPORTS[[#This Row],[country_name]],DIM_COUNTRY[[#All],[Column2]],DIM_COUNTRY[[#All],[Column3]],,,)</f>
        <v>Major_Non-USMCA_Non-China</v>
      </c>
    </row>
    <row r="6182" spans="1:9" x14ac:dyDescent="0.4">
      <c r="A6182" t="s">
        <v>68</v>
      </c>
      <c r="B6182" s="1">
        <v>45627</v>
      </c>
      <c r="C6182">
        <v>850152</v>
      </c>
      <c r="D6182" t="s">
        <v>176</v>
      </c>
      <c r="E6182">
        <v>418787</v>
      </c>
      <c r="F6182">
        <v>220</v>
      </c>
      <c r="G6182">
        <v>13556</v>
      </c>
      <c r="H6182">
        <f>_xlfn.XLOOKUP(FACT_IMPORTS[[#This Row],[hts_6]],DIM_PRODUCTS[hts_6],DIM_PRODUCTS[hts_4],,,)</f>
        <v>8501</v>
      </c>
      <c r="I6182" t="str" cm="1">
        <f t="array" ref="I6182">_xlfn.XLOOKUP(FACT_IMPORTS[[#This Row],[country_name]],DIM_COUNTRY[[#All],[Column2]],DIM_COUNTRY[[#All],[Column3]],,,)</f>
        <v>Major_Non-USMCA_Non-China</v>
      </c>
    </row>
    <row r="6183" spans="1:9" x14ac:dyDescent="0.4">
      <c r="A6183" t="s">
        <v>68</v>
      </c>
      <c r="B6183" s="1">
        <v>45627</v>
      </c>
      <c r="C6183">
        <v>850153</v>
      </c>
      <c r="D6183" t="s">
        <v>176</v>
      </c>
      <c r="E6183">
        <v>1141521</v>
      </c>
      <c r="F6183">
        <v>90</v>
      </c>
      <c r="G6183">
        <v>17201</v>
      </c>
      <c r="H6183">
        <f>_xlfn.XLOOKUP(FACT_IMPORTS[[#This Row],[hts_6]],DIM_PRODUCTS[hts_6],DIM_PRODUCTS[hts_4],,,)</f>
        <v>8501</v>
      </c>
      <c r="I6183" t="str" cm="1">
        <f t="array" ref="I6183">_xlfn.XLOOKUP(FACT_IMPORTS[[#This Row],[country_name]],DIM_COUNTRY[[#All],[Column2]],DIM_COUNTRY[[#All],[Column3]],,,)</f>
        <v>Major_Non-USMCA_Non-China</v>
      </c>
    </row>
    <row r="6184" spans="1:9" x14ac:dyDescent="0.4">
      <c r="A6184" t="s">
        <v>68</v>
      </c>
      <c r="B6184" s="1">
        <v>45627</v>
      </c>
      <c r="C6184">
        <v>850161</v>
      </c>
      <c r="D6184" t="s">
        <v>176</v>
      </c>
      <c r="E6184">
        <v>0</v>
      </c>
      <c r="F6184">
        <v>0</v>
      </c>
      <c r="G6184">
        <v>0</v>
      </c>
      <c r="H6184">
        <f>_xlfn.XLOOKUP(FACT_IMPORTS[[#This Row],[hts_6]],DIM_PRODUCTS[hts_6],DIM_PRODUCTS[hts_4],,,)</f>
        <v>8501</v>
      </c>
      <c r="I6184" t="str" cm="1">
        <f t="array" ref="I6184">_xlfn.XLOOKUP(FACT_IMPORTS[[#This Row],[country_name]],DIM_COUNTRY[[#All],[Column2]],DIM_COUNTRY[[#All],[Column3]],,,)</f>
        <v>Major_Non-USMCA_Non-China</v>
      </c>
    </row>
    <row r="6185" spans="1:9" x14ac:dyDescent="0.4">
      <c r="A6185" t="s">
        <v>68</v>
      </c>
      <c r="B6185" s="1">
        <v>45627</v>
      </c>
      <c r="C6185">
        <v>850440</v>
      </c>
      <c r="D6185" t="s">
        <v>176</v>
      </c>
      <c r="E6185">
        <v>329601</v>
      </c>
      <c r="F6185">
        <v>1618</v>
      </c>
      <c r="G6185">
        <v>5652</v>
      </c>
      <c r="H6185">
        <f>_xlfn.XLOOKUP(FACT_IMPORTS[[#This Row],[hts_6]],DIM_PRODUCTS[hts_6],DIM_PRODUCTS[hts_4],,,)</f>
        <v>8504</v>
      </c>
      <c r="I6185" t="str" cm="1">
        <f t="array" ref="I6185">_xlfn.XLOOKUP(FACT_IMPORTS[[#This Row],[country_name]],DIM_COUNTRY[[#All],[Column2]],DIM_COUNTRY[[#All],[Column3]],,,)</f>
        <v>Major_Non-USMCA_Non-China</v>
      </c>
    </row>
    <row r="6186" spans="1:9" x14ac:dyDescent="0.4">
      <c r="A6186" t="s">
        <v>68</v>
      </c>
      <c r="B6186" s="1">
        <v>45627</v>
      </c>
      <c r="C6186">
        <v>850710</v>
      </c>
      <c r="D6186" t="s">
        <v>176</v>
      </c>
      <c r="E6186">
        <v>0</v>
      </c>
      <c r="F6186">
        <v>0</v>
      </c>
      <c r="G6186">
        <v>0</v>
      </c>
      <c r="H6186">
        <f>_xlfn.XLOOKUP(FACT_IMPORTS[[#This Row],[hts_6]],DIM_PRODUCTS[hts_6],DIM_PRODUCTS[hts_4],,,)</f>
        <v>8507</v>
      </c>
      <c r="I6186" t="str" cm="1">
        <f t="array" ref="I6186">_xlfn.XLOOKUP(FACT_IMPORTS[[#This Row],[country_name]],DIM_COUNTRY[[#All],[Column2]],DIM_COUNTRY[[#All],[Column3]],,,)</f>
        <v>Major_Non-USMCA_Non-China</v>
      </c>
    </row>
    <row r="6187" spans="1:9" x14ac:dyDescent="0.4">
      <c r="A6187" t="s">
        <v>68</v>
      </c>
      <c r="B6187" s="1">
        <v>45627</v>
      </c>
      <c r="C6187">
        <v>850760</v>
      </c>
      <c r="D6187" t="s">
        <v>176</v>
      </c>
      <c r="E6187">
        <v>965230</v>
      </c>
      <c r="F6187">
        <v>744</v>
      </c>
      <c r="G6187">
        <v>13416</v>
      </c>
      <c r="H6187">
        <f>_xlfn.XLOOKUP(FACT_IMPORTS[[#This Row],[hts_6]],DIM_PRODUCTS[hts_6],DIM_PRODUCTS[hts_4],,,)</f>
        <v>8507</v>
      </c>
      <c r="I6187" t="str" cm="1">
        <f t="array" ref="I6187">_xlfn.XLOOKUP(FACT_IMPORTS[[#This Row],[country_name]],DIM_COUNTRY[[#All],[Column2]],DIM_COUNTRY[[#All],[Column3]],,,)</f>
        <v>Major_Non-USMCA_Non-China</v>
      </c>
    </row>
    <row r="6188" spans="1:9" x14ac:dyDescent="0.4">
      <c r="A6188" t="s">
        <v>68</v>
      </c>
      <c r="B6188" s="1">
        <v>45627</v>
      </c>
      <c r="C6188">
        <v>850790</v>
      </c>
      <c r="D6188" t="s">
        <v>176</v>
      </c>
      <c r="E6188">
        <v>1246076</v>
      </c>
      <c r="F6188">
        <v>86588</v>
      </c>
      <c r="G6188">
        <v>73788</v>
      </c>
      <c r="H6188">
        <f>_xlfn.XLOOKUP(FACT_IMPORTS[[#This Row],[hts_6]],DIM_PRODUCTS[hts_6],DIM_PRODUCTS[hts_4],,,)</f>
        <v>8507</v>
      </c>
      <c r="I6188" t="str" cm="1">
        <f t="array" ref="I6188">_xlfn.XLOOKUP(FACT_IMPORTS[[#This Row],[country_name]],DIM_COUNTRY[[#All],[Column2]],DIM_COUNTRY[[#All],[Column3]],,,)</f>
        <v>Major_Non-USMCA_Non-China</v>
      </c>
    </row>
    <row r="6189" spans="1:9" x14ac:dyDescent="0.4">
      <c r="A6189" t="s">
        <v>68</v>
      </c>
      <c r="B6189" s="1">
        <v>45627</v>
      </c>
      <c r="C6189">
        <v>851110</v>
      </c>
      <c r="D6189" t="s">
        <v>176</v>
      </c>
      <c r="E6189">
        <v>0</v>
      </c>
      <c r="F6189">
        <v>0</v>
      </c>
      <c r="G6189">
        <v>0</v>
      </c>
      <c r="H6189">
        <f>_xlfn.XLOOKUP(FACT_IMPORTS[[#This Row],[hts_6]],DIM_PRODUCTS[hts_6],DIM_PRODUCTS[hts_4],,,)</f>
        <v>8511</v>
      </c>
      <c r="I6189" t="str" cm="1">
        <f t="array" ref="I6189">_xlfn.XLOOKUP(FACT_IMPORTS[[#This Row],[country_name]],DIM_COUNTRY[[#All],[Column2]],DIM_COUNTRY[[#All],[Column3]],,,)</f>
        <v>Major_Non-USMCA_Non-China</v>
      </c>
    </row>
    <row r="6190" spans="1:9" x14ac:dyDescent="0.4">
      <c r="A6190" t="s">
        <v>68</v>
      </c>
      <c r="B6190" s="1">
        <v>45627</v>
      </c>
      <c r="C6190">
        <v>851120</v>
      </c>
      <c r="D6190" t="s">
        <v>176</v>
      </c>
      <c r="E6190">
        <v>0</v>
      </c>
      <c r="F6190">
        <v>0</v>
      </c>
      <c r="G6190">
        <v>0</v>
      </c>
      <c r="H6190">
        <f>_xlfn.XLOOKUP(FACT_IMPORTS[[#This Row],[hts_6]],DIM_PRODUCTS[hts_6],DIM_PRODUCTS[hts_4],,,)</f>
        <v>8511</v>
      </c>
      <c r="I6190" t="str" cm="1">
        <f t="array" ref="I6190">_xlfn.XLOOKUP(FACT_IMPORTS[[#This Row],[country_name]],DIM_COUNTRY[[#All],[Column2]],DIM_COUNTRY[[#All],[Column3]],,,)</f>
        <v>Major_Non-USMCA_Non-China</v>
      </c>
    </row>
    <row r="6191" spans="1:9" x14ac:dyDescent="0.4">
      <c r="A6191" t="s">
        <v>68</v>
      </c>
      <c r="B6191" s="1">
        <v>45627</v>
      </c>
      <c r="C6191">
        <v>851130</v>
      </c>
      <c r="D6191" t="s">
        <v>176</v>
      </c>
      <c r="E6191">
        <v>4129</v>
      </c>
      <c r="F6191">
        <v>214</v>
      </c>
      <c r="G6191">
        <v>90</v>
      </c>
      <c r="H6191">
        <f>_xlfn.XLOOKUP(FACT_IMPORTS[[#This Row],[hts_6]],DIM_PRODUCTS[hts_6],DIM_PRODUCTS[hts_4],,,)</f>
        <v>8511</v>
      </c>
      <c r="I6191" t="str" cm="1">
        <f t="array" ref="I6191">_xlfn.XLOOKUP(FACT_IMPORTS[[#This Row],[country_name]],DIM_COUNTRY[[#All],[Column2]],DIM_COUNTRY[[#All],[Column3]],,,)</f>
        <v>Major_Non-USMCA_Non-China</v>
      </c>
    </row>
    <row r="6192" spans="1:9" x14ac:dyDescent="0.4">
      <c r="A6192" t="s">
        <v>68</v>
      </c>
      <c r="B6192" s="1">
        <v>45627</v>
      </c>
      <c r="C6192">
        <v>851140</v>
      </c>
      <c r="D6192" t="s">
        <v>176</v>
      </c>
      <c r="E6192">
        <v>0</v>
      </c>
      <c r="F6192">
        <v>0</v>
      </c>
      <c r="G6192">
        <v>0</v>
      </c>
      <c r="H6192">
        <f>_xlfn.XLOOKUP(FACT_IMPORTS[[#This Row],[hts_6]],DIM_PRODUCTS[hts_6],DIM_PRODUCTS[hts_4],,,)</f>
        <v>8511</v>
      </c>
      <c r="I6192" t="str" cm="1">
        <f t="array" ref="I6192">_xlfn.XLOOKUP(FACT_IMPORTS[[#This Row],[country_name]],DIM_COUNTRY[[#All],[Column2]],DIM_COUNTRY[[#All],[Column3]],,,)</f>
        <v>Major_Non-USMCA_Non-China</v>
      </c>
    </row>
    <row r="6193" spans="1:9" x14ac:dyDescent="0.4">
      <c r="A6193" t="s">
        <v>68</v>
      </c>
      <c r="B6193" s="1">
        <v>45627</v>
      </c>
      <c r="C6193">
        <v>851150</v>
      </c>
      <c r="D6193" t="s">
        <v>176</v>
      </c>
      <c r="E6193">
        <v>7399</v>
      </c>
      <c r="F6193">
        <v>1</v>
      </c>
      <c r="G6193">
        <v>9</v>
      </c>
      <c r="H6193">
        <f>_xlfn.XLOOKUP(FACT_IMPORTS[[#This Row],[hts_6]],DIM_PRODUCTS[hts_6],DIM_PRODUCTS[hts_4],,,)</f>
        <v>8511</v>
      </c>
      <c r="I6193" t="str" cm="1">
        <f t="array" ref="I6193">_xlfn.XLOOKUP(FACT_IMPORTS[[#This Row],[country_name]],DIM_COUNTRY[[#All],[Column2]],DIM_COUNTRY[[#All],[Column3]],,,)</f>
        <v>Major_Non-USMCA_Non-China</v>
      </c>
    </row>
    <row r="6194" spans="1:9" x14ac:dyDescent="0.4">
      <c r="A6194" t="s">
        <v>68</v>
      </c>
      <c r="B6194" s="1">
        <v>45627</v>
      </c>
      <c r="C6194">
        <v>851180</v>
      </c>
      <c r="D6194" t="s">
        <v>176</v>
      </c>
      <c r="E6194">
        <v>294954</v>
      </c>
      <c r="F6194">
        <v>1361</v>
      </c>
      <c r="G6194">
        <v>521</v>
      </c>
      <c r="H6194">
        <f>_xlfn.XLOOKUP(FACT_IMPORTS[[#This Row],[hts_6]],DIM_PRODUCTS[hts_6],DIM_PRODUCTS[hts_4],,,)</f>
        <v>8511</v>
      </c>
      <c r="I6194" t="str" cm="1">
        <f t="array" ref="I6194">_xlfn.XLOOKUP(FACT_IMPORTS[[#This Row],[country_name]],DIM_COUNTRY[[#All],[Column2]],DIM_COUNTRY[[#All],[Column3]],,,)</f>
        <v>Major_Non-USMCA_Non-China</v>
      </c>
    </row>
    <row r="6195" spans="1:9" x14ac:dyDescent="0.4">
      <c r="A6195" t="s">
        <v>68</v>
      </c>
      <c r="B6195" s="1">
        <v>45627</v>
      </c>
      <c r="C6195">
        <v>851190</v>
      </c>
      <c r="D6195" t="s">
        <v>176</v>
      </c>
      <c r="E6195">
        <v>0</v>
      </c>
      <c r="F6195">
        <v>0</v>
      </c>
      <c r="G6195">
        <v>0</v>
      </c>
      <c r="H6195">
        <f>_xlfn.XLOOKUP(FACT_IMPORTS[[#This Row],[hts_6]],DIM_PRODUCTS[hts_6],DIM_PRODUCTS[hts_4],,,)</f>
        <v>8511</v>
      </c>
      <c r="I6195" t="str" cm="1">
        <f t="array" ref="I6195">_xlfn.XLOOKUP(FACT_IMPORTS[[#This Row],[country_name]],DIM_COUNTRY[[#All],[Column2]],DIM_COUNTRY[[#All],[Column3]],,,)</f>
        <v>Major_Non-USMCA_Non-China</v>
      </c>
    </row>
    <row r="6196" spans="1:9" x14ac:dyDescent="0.4">
      <c r="A6196" t="s">
        <v>68</v>
      </c>
      <c r="B6196" s="1">
        <v>45627</v>
      </c>
      <c r="C6196">
        <v>851220</v>
      </c>
      <c r="D6196" t="s">
        <v>176</v>
      </c>
      <c r="E6196">
        <v>62990</v>
      </c>
      <c r="F6196">
        <v>6537</v>
      </c>
      <c r="G6196">
        <v>3174</v>
      </c>
      <c r="H6196">
        <f>_xlfn.XLOOKUP(FACT_IMPORTS[[#This Row],[hts_6]],DIM_PRODUCTS[hts_6],DIM_PRODUCTS[hts_4],,,)</f>
        <v>8512</v>
      </c>
      <c r="I6196" t="str" cm="1">
        <f t="array" ref="I6196">_xlfn.XLOOKUP(FACT_IMPORTS[[#This Row],[country_name]],DIM_COUNTRY[[#All],[Column2]],DIM_COUNTRY[[#All],[Column3]],,,)</f>
        <v>Major_Non-USMCA_Non-China</v>
      </c>
    </row>
    <row r="6197" spans="1:9" x14ac:dyDescent="0.4">
      <c r="A6197" t="s">
        <v>68</v>
      </c>
      <c r="B6197" s="1">
        <v>45627</v>
      </c>
      <c r="C6197">
        <v>851230</v>
      </c>
      <c r="D6197" t="s">
        <v>176</v>
      </c>
      <c r="E6197">
        <v>2974</v>
      </c>
      <c r="F6197">
        <v>26</v>
      </c>
      <c r="G6197">
        <v>34</v>
      </c>
      <c r="H6197">
        <f>_xlfn.XLOOKUP(FACT_IMPORTS[[#This Row],[hts_6]],DIM_PRODUCTS[hts_6],DIM_PRODUCTS[hts_4],,,)</f>
        <v>8512</v>
      </c>
      <c r="I6197" t="str" cm="1">
        <f t="array" ref="I6197">_xlfn.XLOOKUP(FACT_IMPORTS[[#This Row],[country_name]],DIM_COUNTRY[[#All],[Column2]],DIM_COUNTRY[[#All],[Column3]],,,)</f>
        <v>Major_Non-USMCA_Non-China</v>
      </c>
    </row>
    <row r="6198" spans="1:9" x14ac:dyDescent="0.4">
      <c r="A6198" t="s">
        <v>68</v>
      </c>
      <c r="B6198" s="1">
        <v>45627</v>
      </c>
      <c r="C6198">
        <v>851240</v>
      </c>
      <c r="D6198" t="s">
        <v>176</v>
      </c>
      <c r="E6198">
        <v>0</v>
      </c>
      <c r="F6198">
        <v>0</v>
      </c>
      <c r="G6198">
        <v>0</v>
      </c>
      <c r="H6198">
        <f>_xlfn.XLOOKUP(FACT_IMPORTS[[#This Row],[hts_6]],DIM_PRODUCTS[hts_6],DIM_PRODUCTS[hts_4],,,)</f>
        <v>8512</v>
      </c>
      <c r="I6198" t="str" cm="1">
        <f t="array" ref="I6198">_xlfn.XLOOKUP(FACT_IMPORTS[[#This Row],[country_name]],DIM_COUNTRY[[#All],[Column2]],DIM_COUNTRY[[#All],[Column3]],,,)</f>
        <v>Major_Non-USMCA_Non-China</v>
      </c>
    </row>
    <row r="6199" spans="1:9" x14ac:dyDescent="0.4">
      <c r="A6199" t="s">
        <v>68</v>
      </c>
      <c r="B6199" s="1">
        <v>45627</v>
      </c>
      <c r="C6199">
        <v>851290</v>
      </c>
      <c r="D6199" t="s">
        <v>176</v>
      </c>
      <c r="E6199">
        <v>0</v>
      </c>
      <c r="F6199">
        <v>0</v>
      </c>
      <c r="G6199">
        <v>0</v>
      </c>
      <c r="H6199">
        <f>_xlfn.XLOOKUP(FACT_IMPORTS[[#This Row],[hts_6]],DIM_PRODUCTS[hts_6],DIM_PRODUCTS[hts_4],,,)</f>
        <v>8512</v>
      </c>
      <c r="I6199" t="str" cm="1">
        <f t="array" ref="I6199">_xlfn.XLOOKUP(FACT_IMPORTS[[#This Row],[country_name]],DIM_COUNTRY[[#All],[Column2]],DIM_COUNTRY[[#All],[Column3]],,,)</f>
        <v>Major_Non-USMCA_Non-China</v>
      </c>
    </row>
    <row r="6200" spans="1:9" x14ac:dyDescent="0.4">
      <c r="A6200" t="s">
        <v>68</v>
      </c>
      <c r="B6200" s="1">
        <v>45627</v>
      </c>
      <c r="C6200">
        <v>854231</v>
      </c>
      <c r="D6200" t="s">
        <v>176</v>
      </c>
      <c r="E6200">
        <v>64666</v>
      </c>
      <c r="F6200">
        <v>16950</v>
      </c>
      <c r="G6200">
        <v>1706</v>
      </c>
      <c r="H6200">
        <f>_xlfn.XLOOKUP(FACT_IMPORTS[[#This Row],[hts_6]],DIM_PRODUCTS[hts_6],DIM_PRODUCTS[hts_4],,,)</f>
        <v>8542</v>
      </c>
      <c r="I6200" t="str" cm="1">
        <f t="array" ref="I6200">_xlfn.XLOOKUP(FACT_IMPORTS[[#This Row],[country_name]],DIM_COUNTRY[[#All],[Column2]],DIM_COUNTRY[[#All],[Column3]],,,)</f>
        <v>Major_Non-USMCA_Non-China</v>
      </c>
    </row>
    <row r="6201" spans="1:9" x14ac:dyDescent="0.4">
      <c r="A6201" t="s">
        <v>68</v>
      </c>
      <c r="B6201" s="1">
        <v>45627</v>
      </c>
      <c r="C6201">
        <v>854233</v>
      </c>
      <c r="D6201" t="s">
        <v>176</v>
      </c>
      <c r="E6201">
        <v>0</v>
      </c>
      <c r="F6201">
        <v>0</v>
      </c>
      <c r="G6201">
        <v>0</v>
      </c>
      <c r="H6201">
        <f>_xlfn.XLOOKUP(FACT_IMPORTS[[#This Row],[hts_6]],DIM_PRODUCTS[hts_6],DIM_PRODUCTS[hts_4],,,)</f>
        <v>8542</v>
      </c>
      <c r="I6201" t="str" cm="1">
        <f t="array" ref="I6201">_xlfn.XLOOKUP(FACT_IMPORTS[[#This Row],[country_name]],DIM_COUNTRY[[#All],[Column2]],DIM_COUNTRY[[#All],[Column3]],,,)</f>
        <v>Major_Non-USMCA_Non-China</v>
      </c>
    </row>
    <row r="6202" spans="1:9" x14ac:dyDescent="0.4">
      <c r="A6202" t="s">
        <v>68</v>
      </c>
      <c r="B6202" s="1">
        <v>45627</v>
      </c>
      <c r="C6202">
        <v>854239</v>
      </c>
      <c r="D6202" t="s">
        <v>176</v>
      </c>
      <c r="E6202">
        <v>0</v>
      </c>
      <c r="F6202">
        <v>0</v>
      </c>
      <c r="G6202">
        <v>0</v>
      </c>
      <c r="H6202">
        <f>_xlfn.XLOOKUP(FACT_IMPORTS[[#This Row],[hts_6]],DIM_PRODUCTS[hts_6],DIM_PRODUCTS[hts_4],,,)</f>
        <v>8542</v>
      </c>
      <c r="I6202" t="str" cm="1">
        <f t="array" ref="I6202">_xlfn.XLOOKUP(FACT_IMPORTS[[#This Row],[country_name]],DIM_COUNTRY[[#All],[Column2]],DIM_COUNTRY[[#All],[Column3]],,,)</f>
        <v>Major_Non-USMCA_Non-China</v>
      </c>
    </row>
    <row r="6203" spans="1:9" x14ac:dyDescent="0.4">
      <c r="A6203" t="s">
        <v>68</v>
      </c>
      <c r="B6203" s="1">
        <v>45627</v>
      </c>
      <c r="C6203">
        <v>854290</v>
      </c>
      <c r="D6203" t="s">
        <v>176</v>
      </c>
      <c r="E6203">
        <v>8407</v>
      </c>
      <c r="F6203">
        <v>12</v>
      </c>
      <c r="G6203">
        <v>115</v>
      </c>
      <c r="H6203">
        <f>_xlfn.XLOOKUP(FACT_IMPORTS[[#This Row],[hts_6]],DIM_PRODUCTS[hts_6],DIM_PRODUCTS[hts_4],,,)</f>
        <v>8542</v>
      </c>
      <c r="I6203" t="str" cm="1">
        <f t="array" ref="I6203">_xlfn.XLOOKUP(FACT_IMPORTS[[#This Row],[country_name]],DIM_COUNTRY[[#All],[Column2]],DIM_COUNTRY[[#All],[Column3]],,,)</f>
        <v>Major_Non-USMCA_Non-China</v>
      </c>
    </row>
    <row r="6204" spans="1:9" x14ac:dyDescent="0.4">
      <c r="A6204" t="s">
        <v>68</v>
      </c>
      <c r="B6204" s="1">
        <v>45627</v>
      </c>
      <c r="C6204">
        <v>854430</v>
      </c>
      <c r="D6204" t="s">
        <v>176</v>
      </c>
      <c r="E6204">
        <v>300959</v>
      </c>
      <c r="F6204">
        <v>7780</v>
      </c>
      <c r="G6204">
        <v>5629</v>
      </c>
      <c r="H6204">
        <f>_xlfn.XLOOKUP(FACT_IMPORTS[[#This Row],[hts_6]],DIM_PRODUCTS[hts_6],DIM_PRODUCTS[hts_4],,,)</f>
        <v>8544</v>
      </c>
      <c r="I6204" t="str" cm="1">
        <f t="array" ref="I6204">_xlfn.XLOOKUP(FACT_IMPORTS[[#This Row],[country_name]],DIM_COUNTRY[[#All],[Column2]],DIM_COUNTRY[[#All],[Column3]],,,)</f>
        <v>Major_Non-USMCA_Non-China</v>
      </c>
    </row>
    <row r="6205" spans="1:9" x14ac:dyDescent="0.4">
      <c r="A6205" t="s">
        <v>68</v>
      </c>
      <c r="B6205" s="1">
        <v>45627</v>
      </c>
      <c r="C6205">
        <v>870790</v>
      </c>
      <c r="D6205" t="s">
        <v>176</v>
      </c>
      <c r="E6205">
        <v>0</v>
      </c>
      <c r="F6205">
        <v>0</v>
      </c>
      <c r="G6205">
        <v>0</v>
      </c>
      <c r="H6205">
        <f>_xlfn.XLOOKUP(FACT_IMPORTS[[#This Row],[hts_6]],DIM_PRODUCTS[hts_6],DIM_PRODUCTS[hts_4],,,)</f>
        <v>8707</v>
      </c>
      <c r="I6205" t="str" cm="1">
        <f t="array" ref="I6205">_xlfn.XLOOKUP(FACT_IMPORTS[[#This Row],[country_name]],DIM_COUNTRY[[#All],[Column2]],DIM_COUNTRY[[#All],[Column3]],,,)</f>
        <v>Major_Non-USMCA_Non-China</v>
      </c>
    </row>
    <row r="6206" spans="1:9" x14ac:dyDescent="0.4">
      <c r="A6206" t="s">
        <v>68</v>
      </c>
      <c r="B6206" s="1">
        <v>45627</v>
      </c>
      <c r="C6206">
        <v>870810</v>
      </c>
      <c r="D6206" t="s">
        <v>176</v>
      </c>
      <c r="E6206">
        <v>13600</v>
      </c>
      <c r="F6206">
        <v>122</v>
      </c>
      <c r="G6206">
        <v>724</v>
      </c>
      <c r="H6206">
        <f>_xlfn.XLOOKUP(FACT_IMPORTS[[#This Row],[hts_6]],DIM_PRODUCTS[hts_6],DIM_PRODUCTS[hts_4],,,)</f>
        <v>8708</v>
      </c>
      <c r="I6206" t="str" cm="1">
        <f t="array" ref="I6206">_xlfn.XLOOKUP(FACT_IMPORTS[[#This Row],[country_name]],DIM_COUNTRY[[#All],[Column2]],DIM_COUNTRY[[#All],[Column3]],,,)</f>
        <v>Major_Non-USMCA_Non-China</v>
      </c>
    </row>
    <row r="6207" spans="1:9" x14ac:dyDescent="0.4">
      <c r="A6207" t="s">
        <v>68</v>
      </c>
      <c r="B6207" s="1">
        <v>45627</v>
      </c>
      <c r="C6207">
        <v>870821</v>
      </c>
      <c r="D6207" t="s">
        <v>176</v>
      </c>
      <c r="E6207">
        <v>0</v>
      </c>
      <c r="F6207">
        <v>0</v>
      </c>
      <c r="G6207">
        <v>0</v>
      </c>
      <c r="H6207">
        <f>_xlfn.XLOOKUP(FACT_IMPORTS[[#This Row],[hts_6]],DIM_PRODUCTS[hts_6],DIM_PRODUCTS[hts_4],,,)</f>
        <v>8708</v>
      </c>
      <c r="I6207" t="str" cm="1">
        <f t="array" ref="I6207">_xlfn.XLOOKUP(FACT_IMPORTS[[#This Row],[country_name]],DIM_COUNTRY[[#All],[Column2]],DIM_COUNTRY[[#All],[Column3]],,,)</f>
        <v>Major_Non-USMCA_Non-China</v>
      </c>
    </row>
    <row r="6208" spans="1:9" x14ac:dyDescent="0.4">
      <c r="A6208" t="s">
        <v>68</v>
      </c>
      <c r="B6208" s="1">
        <v>45627</v>
      </c>
      <c r="C6208">
        <v>870822</v>
      </c>
      <c r="D6208" t="s">
        <v>176</v>
      </c>
      <c r="E6208">
        <v>0</v>
      </c>
      <c r="F6208">
        <v>0</v>
      </c>
      <c r="G6208">
        <v>0</v>
      </c>
      <c r="H6208">
        <f>_xlfn.XLOOKUP(FACT_IMPORTS[[#This Row],[hts_6]],DIM_PRODUCTS[hts_6],DIM_PRODUCTS[hts_4],,,)</f>
        <v>8708</v>
      </c>
      <c r="I6208" t="str" cm="1">
        <f t="array" ref="I6208">_xlfn.XLOOKUP(FACT_IMPORTS[[#This Row],[country_name]],DIM_COUNTRY[[#All],[Column2]],DIM_COUNTRY[[#All],[Column3]],,,)</f>
        <v>Major_Non-USMCA_Non-China</v>
      </c>
    </row>
    <row r="6209" spans="1:9" x14ac:dyDescent="0.4">
      <c r="A6209" t="s">
        <v>68</v>
      </c>
      <c r="B6209" s="1">
        <v>45627</v>
      </c>
      <c r="C6209">
        <v>870829</v>
      </c>
      <c r="D6209" t="s">
        <v>176</v>
      </c>
      <c r="E6209">
        <v>1620900</v>
      </c>
      <c r="F6209">
        <v>811531</v>
      </c>
      <c r="G6209">
        <v>41085</v>
      </c>
      <c r="H6209">
        <f>_xlfn.XLOOKUP(FACT_IMPORTS[[#This Row],[hts_6]],DIM_PRODUCTS[hts_6],DIM_PRODUCTS[hts_4],,,)</f>
        <v>8708</v>
      </c>
      <c r="I6209" t="str" cm="1">
        <f t="array" ref="I6209">_xlfn.XLOOKUP(FACT_IMPORTS[[#This Row],[country_name]],DIM_COUNTRY[[#All],[Column2]],DIM_COUNTRY[[#All],[Column3]],,,)</f>
        <v>Major_Non-USMCA_Non-China</v>
      </c>
    </row>
    <row r="6210" spans="1:9" x14ac:dyDescent="0.4">
      <c r="A6210" t="s">
        <v>68</v>
      </c>
      <c r="B6210" s="1">
        <v>45627</v>
      </c>
      <c r="C6210">
        <v>870830</v>
      </c>
      <c r="D6210" t="s">
        <v>176</v>
      </c>
      <c r="E6210">
        <v>164033</v>
      </c>
      <c r="F6210">
        <v>36803</v>
      </c>
      <c r="G6210">
        <v>3684</v>
      </c>
      <c r="H6210">
        <f>_xlfn.XLOOKUP(FACT_IMPORTS[[#This Row],[hts_6]],DIM_PRODUCTS[hts_6],DIM_PRODUCTS[hts_4],,,)</f>
        <v>8708</v>
      </c>
      <c r="I6210" t="str" cm="1">
        <f t="array" ref="I6210">_xlfn.XLOOKUP(FACT_IMPORTS[[#This Row],[country_name]],DIM_COUNTRY[[#All],[Column2]],DIM_COUNTRY[[#All],[Column3]],,,)</f>
        <v>Major_Non-USMCA_Non-China</v>
      </c>
    </row>
    <row r="6211" spans="1:9" x14ac:dyDescent="0.4">
      <c r="A6211" t="s">
        <v>68</v>
      </c>
      <c r="B6211" s="1">
        <v>45627</v>
      </c>
      <c r="C6211">
        <v>870840</v>
      </c>
      <c r="D6211" t="s">
        <v>176</v>
      </c>
      <c r="E6211">
        <v>11170848</v>
      </c>
      <c r="F6211">
        <v>384907</v>
      </c>
      <c r="G6211">
        <v>65925</v>
      </c>
      <c r="H6211">
        <f>_xlfn.XLOOKUP(FACT_IMPORTS[[#This Row],[hts_6]],DIM_PRODUCTS[hts_6],DIM_PRODUCTS[hts_4],,,)</f>
        <v>8708</v>
      </c>
      <c r="I6211" t="str" cm="1">
        <f t="array" ref="I6211">_xlfn.XLOOKUP(FACT_IMPORTS[[#This Row],[country_name]],DIM_COUNTRY[[#All],[Column2]],DIM_COUNTRY[[#All],[Column3]],,,)</f>
        <v>Major_Non-USMCA_Non-China</v>
      </c>
    </row>
    <row r="6212" spans="1:9" x14ac:dyDescent="0.4">
      <c r="A6212" t="s">
        <v>68</v>
      </c>
      <c r="B6212" s="1">
        <v>45627</v>
      </c>
      <c r="C6212">
        <v>870850</v>
      </c>
      <c r="D6212" t="s">
        <v>176</v>
      </c>
      <c r="E6212">
        <v>8133746</v>
      </c>
      <c r="F6212">
        <v>220738</v>
      </c>
      <c r="G6212">
        <v>113961</v>
      </c>
      <c r="H6212">
        <f>_xlfn.XLOOKUP(FACT_IMPORTS[[#This Row],[hts_6]],DIM_PRODUCTS[hts_6],DIM_PRODUCTS[hts_4],,,)</f>
        <v>8708</v>
      </c>
      <c r="I6212" t="str" cm="1">
        <f t="array" ref="I6212">_xlfn.XLOOKUP(FACT_IMPORTS[[#This Row],[country_name]],DIM_COUNTRY[[#All],[Column2]],DIM_COUNTRY[[#All],[Column3]],,,)</f>
        <v>Major_Non-USMCA_Non-China</v>
      </c>
    </row>
    <row r="6213" spans="1:9" x14ac:dyDescent="0.4">
      <c r="A6213" t="s">
        <v>68</v>
      </c>
      <c r="B6213" s="1">
        <v>45627</v>
      </c>
      <c r="C6213">
        <v>870870</v>
      </c>
      <c r="D6213" t="s">
        <v>176</v>
      </c>
      <c r="E6213">
        <v>13050</v>
      </c>
      <c r="F6213">
        <v>245</v>
      </c>
      <c r="G6213">
        <v>686</v>
      </c>
      <c r="H6213">
        <f>_xlfn.XLOOKUP(FACT_IMPORTS[[#This Row],[hts_6]],DIM_PRODUCTS[hts_6],DIM_PRODUCTS[hts_4],,,)</f>
        <v>8708</v>
      </c>
      <c r="I6213" t="str" cm="1">
        <f t="array" ref="I6213">_xlfn.XLOOKUP(FACT_IMPORTS[[#This Row],[country_name]],DIM_COUNTRY[[#All],[Column2]],DIM_COUNTRY[[#All],[Column3]],,,)</f>
        <v>Major_Non-USMCA_Non-China</v>
      </c>
    </row>
    <row r="6214" spans="1:9" x14ac:dyDescent="0.4">
      <c r="A6214" t="s">
        <v>68</v>
      </c>
      <c r="B6214" s="1">
        <v>45627</v>
      </c>
      <c r="C6214">
        <v>870880</v>
      </c>
      <c r="D6214" t="s">
        <v>176</v>
      </c>
      <c r="E6214">
        <v>1157717</v>
      </c>
      <c r="F6214">
        <v>501778</v>
      </c>
      <c r="G6214">
        <v>18906</v>
      </c>
      <c r="H6214">
        <f>_xlfn.XLOOKUP(FACT_IMPORTS[[#This Row],[hts_6]],DIM_PRODUCTS[hts_6],DIM_PRODUCTS[hts_4],,,)</f>
        <v>8708</v>
      </c>
      <c r="I6214" t="str" cm="1">
        <f t="array" ref="I6214">_xlfn.XLOOKUP(FACT_IMPORTS[[#This Row],[country_name]],DIM_COUNTRY[[#All],[Column2]],DIM_COUNTRY[[#All],[Column3]],,,)</f>
        <v>Major_Non-USMCA_Non-China</v>
      </c>
    </row>
    <row r="6215" spans="1:9" x14ac:dyDescent="0.4">
      <c r="A6215" t="s">
        <v>68</v>
      </c>
      <c r="B6215" s="1">
        <v>45627</v>
      </c>
      <c r="C6215">
        <v>870891</v>
      </c>
      <c r="D6215" t="s">
        <v>176</v>
      </c>
      <c r="E6215">
        <v>36229</v>
      </c>
      <c r="F6215">
        <v>577</v>
      </c>
      <c r="G6215">
        <v>449</v>
      </c>
      <c r="H6215">
        <f>_xlfn.XLOOKUP(FACT_IMPORTS[[#This Row],[hts_6]],DIM_PRODUCTS[hts_6],DIM_PRODUCTS[hts_4],,,)</f>
        <v>8708</v>
      </c>
      <c r="I6215" t="str" cm="1">
        <f t="array" ref="I6215">_xlfn.XLOOKUP(FACT_IMPORTS[[#This Row],[country_name]],DIM_COUNTRY[[#All],[Column2]],DIM_COUNTRY[[#All],[Column3]],,,)</f>
        <v>Major_Non-USMCA_Non-China</v>
      </c>
    </row>
    <row r="6216" spans="1:9" x14ac:dyDescent="0.4">
      <c r="A6216" t="s">
        <v>68</v>
      </c>
      <c r="B6216" s="1">
        <v>45627</v>
      </c>
      <c r="C6216">
        <v>870892</v>
      </c>
      <c r="D6216" t="s">
        <v>176</v>
      </c>
      <c r="E6216">
        <v>183585</v>
      </c>
      <c r="F6216">
        <v>89471</v>
      </c>
      <c r="G6216">
        <v>5512</v>
      </c>
      <c r="H6216">
        <f>_xlfn.XLOOKUP(FACT_IMPORTS[[#This Row],[hts_6]],DIM_PRODUCTS[hts_6],DIM_PRODUCTS[hts_4],,,)</f>
        <v>8708</v>
      </c>
      <c r="I6216" t="str" cm="1">
        <f t="array" ref="I6216">_xlfn.XLOOKUP(FACT_IMPORTS[[#This Row],[country_name]],DIM_COUNTRY[[#All],[Column2]],DIM_COUNTRY[[#All],[Column3]],,,)</f>
        <v>Major_Non-USMCA_Non-China</v>
      </c>
    </row>
    <row r="6217" spans="1:9" x14ac:dyDescent="0.4">
      <c r="A6217" t="s">
        <v>68</v>
      </c>
      <c r="B6217" s="1">
        <v>45627</v>
      </c>
      <c r="C6217">
        <v>870893</v>
      </c>
      <c r="D6217" t="s">
        <v>176</v>
      </c>
      <c r="E6217">
        <v>503089</v>
      </c>
      <c r="F6217">
        <v>1927</v>
      </c>
      <c r="G6217">
        <v>4190</v>
      </c>
      <c r="H6217">
        <f>_xlfn.XLOOKUP(FACT_IMPORTS[[#This Row],[hts_6]],DIM_PRODUCTS[hts_6],DIM_PRODUCTS[hts_4],,,)</f>
        <v>8708</v>
      </c>
      <c r="I6217" t="str" cm="1">
        <f t="array" ref="I6217">_xlfn.XLOOKUP(FACT_IMPORTS[[#This Row],[country_name]],DIM_COUNTRY[[#All],[Column2]],DIM_COUNTRY[[#All],[Column3]],,,)</f>
        <v>Major_Non-USMCA_Non-China</v>
      </c>
    </row>
    <row r="6218" spans="1:9" x14ac:dyDescent="0.4">
      <c r="A6218" t="s">
        <v>68</v>
      </c>
      <c r="B6218" s="1">
        <v>45627</v>
      </c>
      <c r="C6218">
        <v>870894</v>
      </c>
      <c r="D6218" t="s">
        <v>176</v>
      </c>
      <c r="E6218">
        <v>133641</v>
      </c>
      <c r="F6218">
        <v>1933</v>
      </c>
      <c r="G6218">
        <v>1604</v>
      </c>
      <c r="H6218">
        <f>_xlfn.XLOOKUP(FACT_IMPORTS[[#This Row],[hts_6]],DIM_PRODUCTS[hts_6],DIM_PRODUCTS[hts_4],,,)</f>
        <v>8708</v>
      </c>
      <c r="I6218" t="str" cm="1">
        <f t="array" ref="I6218">_xlfn.XLOOKUP(FACT_IMPORTS[[#This Row],[country_name]],DIM_COUNTRY[[#All],[Column2]],DIM_COUNTRY[[#All],[Column3]],,,)</f>
        <v>Major_Non-USMCA_Non-China</v>
      </c>
    </row>
    <row r="6219" spans="1:9" x14ac:dyDescent="0.4">
      <c r="A6219" t="s">
        <v>68</v>
      </c>
      <c r="B6219" s="1">
        <v>45627</v>
      </c>
      <c r="C6219">
        <v>870895</v>
      </c>
      <c r="D6219" t="s">
        <v>176</v>
      </c>
      <c r="E6219">
        <v>0</v>
      </c>
      <c r="F6219">
        <v>0</v>
      </c>
      <c r="G6219">
        <v>0</v>
      </c>
      <c r="H6219">
        <f>_xlfn.XLOOKUP(FACT_IMPORTS[[#This Row],[hts_6]],DIM_PRODUCTS[hts_6],DIM_PRODUCTS[hts_4],,,)</f>
        <v>8708</v>
      </c>
      <c r="I6219" t="str" cm="1">
        <f t="array" ref="I6219">_xlfn.XLOOKUP(FACT_IMPORTS[[#This Row],[country_name]],DIM_COUNTRY[[#All],[Column2]],DIM_COUNTRY[[#All],[Column3]],,,)</f>
        <v>Major_Non-USMCA_Non-China</v>
      </c>
    </row>
    <row r="6220" spans="1:9" x14ac:dyDescent="0.4">
      <c r="A6220" t="s">
        <v>68</v>
      </c>
      <c r="B6220" s="1">
        <v>45627</v>
      </c>
      <c r="C6220">
        <v>870899</v>
      </c>
      <c r="D6220" t="s">
        <v>176</v>
      </c>
      <c r="E6220">
        <v>2565731</v>
      </c>
      <c r="F6220">
        <v>427099</v>
      </c>
      <c r="G6220">
        <v>46406</v>
      </c>
      <c r="H6220">
        <f>_xlfn.XLOOKUP(FACT_IMPORTS[[#This Row],[hts_6]],DIM_PRODUCTS[hts_6],DIM_PRODUCTS[hts_4],,,)</f>
        <v>8708</v>
      </c>
      <c r="I6220" t="str" cm="1">
        <f t="array" ref="I6220">_xlfn.XLOOKUP(FACT_IMPORTS[[#This Row],[country_name]],DIM_COUNTRY[[#All],[Column2]],DIM_COUNTRY[[#All],[Column3]],,,)</f>
        <v>Major_Non-USMCA_Non-China</v>
      </c>
    </row>
    <row r="6221" spans="1:9" x14ac:dyDescent="0.4">
      <c r="A6221" t="s">
        <v>68</v>
      </c>
      <c r="B6221" s="1">
        <v>45627</v>
      </c>
      <c r="C6221">
        <v>940120</v>
      </c>
      <c r="D6221" t="s">
        <v>176</v>
      </c>
      <c r="E6221">
        <v>24077</v>
      </c>
      <c r="F6221">
        <v>37</v>
      </c>
      <c r="G6221">
        <v>499</v>
      </c>
      <c r="H6221">
        <f>_xlfn.XLOOKUP(FACT_IMPORTS[[#This Row],[hts_6]],DIM_PRODUCTS[hts_6],DIM_PRODUCTS[hts_4],,,)</f>
        <v>9401</v>
      </c>
      <c r="I6221" t="str" cm="1">
        <f t="array" ref="I6221">_xlfn.XLOOKUP(FACT_IMPORTS[[#This Row],[country_name]],DIM_COUNTRY[[#All],[Column2]],DIM_COUNTRY[[#All],[Column3]],,,)</f>
        <v>Major_Non-USMCA_Non-China</v>
      </c>
    </row>
    <row r="6222" spans="1:9" x14ac:dyDescent="0.4">
      <c r="A6222" t="s">
        <v>68</v>
      </c>
      <c r="B6222" s="1">
        <v>45658</v>
      </c>
      <c r="C6222">
        <v>392630</v>
      </c>
      <c r="D6222" t="s">
        <v>176</v>
      </c>
      <c r="E6222">
        <v>100819</v>
      </c>
      <c r="F6222">
        <v>5290</v>
      </c>
      <c r="G6222">
        <v>6836</v>
      </c>
      <c r="H6222">
        <f>_xlfn.XLOOKUP(FACT_IMPORTS[[#This Row],[hts_6]],DIM_PRODUCTS[hts_6],DIM_PRODUCTS[hts_4],,,)</f>
        <v>3926</v>
      </c>
      <c r="I6222" t="str" cm="1">
        <f t="array" ref="I6222">_xlfn.XLOOKUP(FACT_IMPORTS[[#This Row],[country_name]],DIM_COUNTRY[[#All],[Column2]],DIM_COUNTRY[[#All],[Column3]],,,)</f>
        <v>Major_Non-USMCA_Non-China</v>
      </c>
    </row>
    <row r="6223" spans="1:9" x14ac:dyDescent="0.4">
      <c r="A6223" t="s">
        <v>68</v>
      </c>
      <c r="B6223" s="1">
        <v>45658</v>
      </c>
      <c r="C6223">
        <v>401110</v>
      </c>
      <c r="D6223" t="s">
        <v>176</v>
      </c>
      <c r="E6223">
        <v>1966</v>
      </c>
      <c r="F6223">
        <v>4</v>
      </c>
      <c r="G6223">
        <v>39</v>
      </c>
      <c r="H6223">
        <f>_xlfn.XLOOKUP(FACT_IMPORTS[[#This Row],[hts_6]],DIM_PRODUCTS[hts_6],DIM_PRODUCTS[hts_4],,,)</f>
        <v>4011</v>
      </c>
      <c r="I6223" t="str" cm="1">
        <f t="array" ref="I6223">_xlfn.XLOOKUP(FACT_IMPORTS[[#This Row],[country_name]],DIM_COUNTRY[[#All],[Column2]],DIM_COUNTRY[[#All],[Column3]],,,)</f>
        <v>Major_Non-USMCA_Non-China</v>
      </c>
    </row>
    <row r="6224" spans="1:9" x14ac:dyDescent="0.4">
      <c r="A6224" t="s">
        <v>68</v>
      </c>
      <c r="B6224" s="1">
        <v>45658</v>
      </c>
      <c r="C6224">
        <v>401120</v>
      </c>
      <c r="D6224" t="s">
        <v>176</v>
      </c>
      <c r="E6224">
        <v>3000</v>
      </c>
      <c r="F6224">
        <v>12</v>
      </c>
      <c r="G6224">
        <v>110</v>
      </c>
      <c r="H6224">
        <f>_xlfn.XLOOKUP(FACT_IMPORTS[[#This Row],[hts_6]],DIM_PRODUCTS[hts_6],DIM_PRODUCTS[hts_4],,,)</f>
        <v>4011</v>
      </c>
      <c r="I6224" t="str" cm="1">
        <f t="array" ref="I6224">_xlfn.XLOOKUP(FACT_IMPORTS[[#This Row],[country_name]],DIM_COUNTRY[[#All],[Column2]],DIM_COUNTRY[[#All],[Column3]],,,)</f>
        <v>Major_Non-USMCA_Non-China</v>
      </c>
    </row>
    <row r="6225" spans="1:9" x14ac:dyDescent="0.4">
      <c r="A6225" t="s">
        <v>68</v>
      </c>
      <c r="B6225" s="1">
        <v>45658</v>
      </c>
      <c r="C6225">
        <v>401190</v>
      </c>
      <c r="D6225" t="s">
        <v>176</v>
      </c>
      <c r="E6225">
        <v>9166</v>
      </c>
      <c r="F6225">
        <v>312</v>
      </c>
      <c r="G6225">
        <v>2301</v>
      </c>
      <c r="H6225">
        <f>_xlfn.XLOOKUP(FACT_IMPORTS[[#This Row],[hts_6]],DIM_PRODUCTS[hts_6],DIM_PRODUCTS[hts_4],,,)</f>
        <v>4011</v>
      </c>
      <c r="I6225" t="str" cm="1">
        <f t="array" ref="I6225">_xlfn.XLOOKUP(FACT_IMPORTS[[#This Row],[country_name]],DIM_COUNTRY[[#All],[Column2]],DIM_COUNTRY[[#All],[Column3]],,,)</f>
        <v>Major_Non-USMCA_Non-China</v>
      </c>
    </row>
    <row r="6226" spans="1:9" x14ac:dyDescent="0.4">
      <c r="A6226" t="s">
        <v>68</v>
      </c>
      <c r="B6226" s="1">
        <v>45658</v>
      </c>
      <c r="C6226">
        <v>700711</v>
      </c>
      <c r="D6226" t="s">
        <v>176</v>
      </c>
      <c r="E6226">
        <v>0</v>
      </c>
      <c r="F6226">
        <v>0</v>
      </c>
      <c r="G6226">
        <v>0</v>
      </c>
      <c r="H6226">
        <f>_xlfn.XLOOKUP(FACT_IMPORTS[[#This Row],[hts_6]],DIM_PRODUCTS[hts_6],DIM_PRODUCTS[hts_4],,,)</f>
        <v>7007</v>
      </c>
      <c r="I6226" t="str" cm="1">
        <f t="array" ref="I6226">_xlfn.XLOOKUP(FACT_IMPORTS[[#This Row],[country_name]],DIM_COUNTRY[[#All],[Column2]],DIM_COUNTRY[[#All],[Column3]],,,)</f>
        <v>Major_Non-USMCA_Non-China</v>
      </c>
    </row>
    <row r="6227" spans="1:9" x14ac:dyDescent="0.4">
      <c r="A6227" t="s">
        <v>68</v>
      </c>
      <c r="B6227" s="1">
        <v>45658</v>
      </c>
      <c r="C6227">
        <v>700721</v>
      </c>
      <c r="D6227" t="s">
        <v>176</v>
      </c>
      <c r="E6227">
        <v>0</v>
      </c>
      <c r="F6227">
        <v>0</v>
      </c>
      <c r="G6227">
        <v>0</v>
      </c>
      <c r="H6227">
        <f>_xlfn.XLOOKUP(FACT_IMPORTS[[#This Row],[hts_6]],DIM_PRODUCTS[hts_6],DIM_PRODUCTS[hts_4],,,)</f>
        <v>7007</v>
      </c>
      <c r="I6227" t="str" cm="1">
        <f t="array" ref="I6227">_xlfn.XLOOKUP(FACT_IMPORTS[[#This Row],[country_name]],DIM_COUNTRY[[#All],[Column2]],DIM_COUNTRY[[#All],[Column3]],,,)</f>
        <v>Major_Non-USMCA_Non-China</v>
      </c>
    </row>
    <row r="6228" spans="1:9" x14ac:dyDescent="0.4">
      <c r="A6228" t="s">
        <v>68</v>
      </c>
      <c r="B6228" s="1">
        <v>45658</v>
      </c>
      <c r="C6228">
        <v>700910</v>
      </c>
      <c r="D6228" t="s">
        <v>176</v>
      </c>
      <c r="E6228">
        <v>0</v>
      </c>
      <c r="F6228">
        <v>0</v>
      </c>
      <c r="G6228">
        <v>0</v>
      </c>
      <c r="H6228">
        <f>_xlfn.XLOOKUP(FACT_IMPORTS[[#This Row],[hts_6]],DIM_PRODUCTS[hts_6],DIM_PRODUCTS[hts_4],,,)</f>
        <v>7009</v>
      </c>
      <c r="I6228" t="str" cm="1">
        <f t="array" ref="I6228">_xlfn.XLOOKUP(FACT_IMPORTS[[#This Row],[country_name]],DIM_COUNTRY[[#All],[Column2]],DIM_COUNTRY[[#All],[Column3]],,,)</f>
        <v>Major_Non-USMCA_Non-China</v>
      </c>
    </row>
    <row r="6229" spans="1:9" x14ac:dyDescent="0.4">
      <c r="A6229" t="s">
        <v>68</v>
      </c>
      <c r="B6229" s="1">
        <v>45658</v>
      </c>
      <c r="C6229">
        <v>732010</v>
      </c>
      <c r="D6229" t="s">
        <v>176</v>
      </c>
      <c r="E6229">
        <v>2826</v>
      </c>
      <c r="F6229">
        <v>42</v>
      </c>
      <c r="G6229">
        <v>79</v>
      </c>
      <c r="H6229">
        <f>_xlfn.XLOOKUP(FACT_IMPORTS[[#This Row],[hts_6]],DIM_PRODUCTS[hts_6],DIM_PRODUCTS[hts_4],,,)</f>
        <v>7320</v>
      </c>
      <c r="I6229" t="str" cm="1">
        <f t="array" ref="I6229">_xlfn.XLOOKUP(FACT_IMPORTS[[#This Row],[country_name]],DIM_COUNTRY[[#All],[Column2]],DIM_COUNTRY[[#All],[Column3]],,,)</f>
        <v>Major_Non-USMCA_Non-China</v>
      </c>
    </row>
    <row r="6230" spans="1:9" x14ac:dyDescent="0.4">
      <c r="A6230" t="s">
        <v>68</v>
      </c>
      <c r="B6230" s="1">
        <v>45658</v>
      </c>
      <c r="C6230">
        <v>830230</v>
      </c>
      <c r="D6230" t="s">
        <v>176</v>
      </c>
      <c r="E6230">
        <v>455606</v>
      </c>
      <c r="F6230">
        <v>97772</v>
      </c>
      <c r="G6230">
        <v>20555</v>
      </c>
      <c r="H6230">
        <f>_xlfn.XLOOKUP(FACT_IMPORTS[[#This Row],[hts_6]],DIM_PRODUCTS[hts_6],DIM_PRODUCTS[hts_4],,,)</f>
        <v>8302</v>
      </c>
      <c r="I6230" t="str" cm="1">
        <f t="array" ref="I6230">_xlfn.XLOOKUP(FACT_IMPORTS[[#This Row],[country_name]],DIM_COUNTRY[[#All],[Column2]],DIM_COUNTRY[[#All],[Column3]],,,)</f>
        <v>Major_Non-USMCA_Non-China</v>
      </c>
    </row>
    <row r="6231" spans="1:9" x14ac:dyDescent="0.4">
      <c r="A6231" t="s">
        <v>68</v>
      </c>
      <c r="B6231" s="1">
        <v>45658</v>
      </c>
      <c r="C6231">
        <v>840734</v>
      </c>
      <c r="D6231" t="s">
        <v>176</v>
      </c>
      <c r="E6231">
        <v>0</v>
      </c>
      <c r="F6231">
        <v>0</v>
      </c>
      <c r="G6231">
        <v>0</v>
      </c>
      <c r="H6231">
        <f>_xlfn.XLOOKUP(FACT_IMPORTS[[#This Row],[hts_6]],DIM_PRODUCTS[hts_6],DIM_PRODUCTS[hts_4],,,)</f>
        <v>8407</v>
      </c>
      <c r="I6231" t="str" cm="1">
        <f t="array" ref="I6231">_xlfn.XLOOKUP(FACT_IMPORTS[[#This Row],[country_name]],DIM_COUNTRY[[#All],[Column2]],DIM_COUNTRY[[#All],[Column3]],,,)</f>
        <v>Major_Non-USMCA_Non-China</v>
      </c>
    </row>
    <row r="6232" spans="1:9" x14ac:dyDescent="0.4">
      <c r="A6232" t="s">
        <v>68</v>
      </c>
      <c r="B6232" s="1">
        <v>45658</v>
      </c>
      <c r="C6232">
        <v>840820</v>
      </c>
      <c r="D6232" t="s">
        <v>176</v>
      </c>
      <c r="E6232">
        <v>10000</v>
      </c>
      <c r="F6232">
        <v>1</v>
      </c>
      <c r="G6232">
        <v>2500</v>
      </c>
      <c r="H6232">
        <f>_xlfn.XLOOKUP(FACT_IMPORTS[[#This Row],[hts_6]],DIM_PRODUCTS[hts_6],DIM_PRODUCTS[hts_4],,,)</f>
        <v>8408</v>
      </c>
      <c r="I6232" t="str" cm="1">
        <f t="array" ref="I6232">_xlfn.XLOOKUP(FACT_IMPORTS[[#This Row],[country_name]],DIM_COUNTRY[[#All],[Column2]],DIM_COUNTRY[[#All],[Column3]],,,)</f>
        <v>Major_Non-USMCA_Non-China</v>
      </c>
    </row>
    <row r="6233" spans="1:9" x14ac:dyDescent="0.4">
      <c r="A6233" t="s">
        <v>68</v>
      </c>
      <c r="B6233" s="1">
        <v>45658</v>
      </c>
      <c r="C6233">
        <v>840890</v>
      </c>
      <c r="D6233" t="s">
        <v>176</v>
      </c>
      <c r="E6233">
        <v>212381</v>
      </c>
      <c r="F6233">
        <v>7</v>
      </c>
      <c r="G6233">
        <v>5686</v>
      </c>
      <c r="H6233">
        <f>_xlfn.XLOOKUP(FACT_IMPORTS[[#This Row],[hts_6]],DIM_PRODUCTS[hts_6],DIM_PRODUCTS[hts_4],,,)</f>
        <v>8408</v>
      </c>
      <c r="I6233" t="str" cm="1">
        <f t="array" ref="I6233">_xlfn.XLOOKUP(FACT_IMPORTS[[#This Row],[country_name]],DIM_COUNTRY[[#All],[Column2]],DIM_COUNTRY[[#All],[Column3]],,,)</f>
        <v>Major_Non-USMCA_Non-China</v>
      </c>
    </row>
    <row r="6234" spans="1:9" x14ac:dyDescent="0.4">
      <c r="A6234" t="s">
        <v>68</v>
      </c>
      <c r="B6234" s="1">
        <v>45658</v>
      </c>
      <c r="C6234">
        <v>840991</v>
      </c>
      <c r="D6234" t="s">
        <v>176</v>
      </c>
      <c r="E6234">
        <v>444670</v>
      </c>
      <c r="F6234">
        <v>39200</v>
      </c>
      <c r="G6234">
        <v>18545</v>
      </c>
      <c r="H6234">
        <f>_xlfn.XLOOKUP(FACT_IMPORTS[[#This Row],[hts_6]],DIM_PRODUCTS[hts_6],DIM_PRODUCTS[hts_4],,,)</f>
        <v>8409</v>
      </c>
      <c r="I6234" t="str" cm="1">
        <f t="array" ref="I6234">_xlfn.XLOOKUP(FACT_IMPORTS[[#This Row],[country_name]],DIM_COUNTRY[[#All],[Column2]],DIM_COUNTRY[[#All],[Column3]],,,)</f>
        <v>Major_Non-USMCA_Non-China</v>
      </c>
    </row>
    <row r="6235" spans="1:9" x14ac:dyDescent="0.4">
      <c r="A6235" t="s">
        <v>68</v>
      </c>
      <c r="B6235" s="1">
        <v>45658</v>
      </c>
      <c r="C6235">
        <v>840999</v>
      </c>
      <c r="D6235" t="s">
        <v>176</v>
      </c>
      <c r="E6235">
        <v>12257849</v>
      </c>
      <c r="F6235">
        <v>902143</v>
      </c>
      <c r="G6235">
        <v>314822</v>
      </c>
      <c r="H6235">
        <f>_xlfn.XLOOKUP(FACT_IMPORTS[[#This Row],[hts_6]],DIM_PRODUCTS[hts_6],DIM_PRODUCTS[hts_4],,,)</f>
        <v>8409</v>
      </c>
      <c r="I6235" t="str" cm="1">
        <f t="array" ref="I6235">_xlfn.XLOOKUP(FACT_IMPORTS[[#This Row],[country_name]],DIM_COUNTRY[[#All],[Column2]],DIM_COUNTRY[[#All],[Column3]],,,)</f>
        <v>Major_Non-USMCA_Non-China</v>
      </c>
    </row>
    <row r="6236" spans="1:9" x14ac:dyDescent="0.4">
      <c r="A6236" t="s">
        <v>68</v>
      </c>
      <c r="B6236" s="1">
        <v>45658</v>
      </c>
      <c r="C6236">
        <v>841330</v>
      </c>
      <c r="D6236" t="s">
        <v>176</v>
      </c>
      <c r="E6236">
        <v>6682427</v>
      </c>
      <c r="F6236">
        <v>50203</v>
      </c>
      <c r="G6236">
        <v>28776</v>
      </c>
      <c r="H6236">
        <f>_xlfn.XLOOKUP(FACT_IMPORTS[[#This Row],[hts_6]],DIM_PRODUCTS[hts_6],DIM_PRODUCTS[hts_4],,,)</f>
        <v>8413</v>
      </c>
      <c r="I6236" t="str" cm="1">
        <f t="array" ref="I6236">_xlfn.XLOOKUP(FACT_IMPORTS[[#This Row],[country_name]],DIM_COUNTRY[[#All],[Column2]],DIM_COUNTRY[[#All],[Column3]],,,)</f>
        <v>Major_Non-USMCA_Non-China</v>
      </c>
    </row>
    <row r="6237" spans="1:9" x14ac:dyDescent="0.4">
      <c r="A6237" t="s">
        <v>68</v>
      </c>
      <c r="B6237" s="1">
        <v>45658</v>
      </c>
      <c r="C6237">
        <v>841520</v>
      </c>
      <c r="D6237" t="s">
        <v>176</v>
      </c>
      <c r="E6237">
        <v>0</v>
      </c>
      <c r="F6237">
        <v>0</v>
      </c>
      <c r="G6237">
        <v>0</v>
      </c>
      <c r="H6237">
        <f>_xlfn.XLOOKUP(FACT_IMPORTS[[#This Row],[hts_6]],DIM_PRODUCTS[hts_6],DIM_PRODUCTS[hts_4],,,)</f>
        <v>8415</v>
      </c>
      <c r="I6237" t="str" cm="1">
        <f t="array" ref="I6237">_xlfn.XLOOKUP(FACT_IMPORTS[[#This Row],[country_name]],DIM_COUNTRY[[#All],[Column2]],DIM_COUNTRY[[#All],[Column3]],,,)</f>
        <v>Major_Non-USMCA_Non-China</v>
      </c>
    </row>
    <row r="6238" spans="1:9" x14ac:dyDescent="0.4">
      <c r="A6238" t="s">
        <v>68</v>
      </c>
      <c r="B6238" s="1">
        <v>45658</v>
      </c>
      <c r="C6238">
        <v>842132</v>
      </c>
      <c r="D6238" t="s">
        <v>176</v>
      </c>
      <c r="E6238">
        <v>60792</v>
      </c>
      <c r="F6238">
        <v>311</v>
      </c>
      <c r="G6238">
        <v>791</v>
      </c>
      <c r="H6238">
        <f>_xlfn.XLOOKUP(FACT_IMPORTS[[#This Row],[hts_6]],DIM_PRODUCTS[hts_6],DIM_PRODUCTS[hts_4],,,)</f>
        <v>8421</v>
      </c>
      <c r="I6238" t="str" cm="1">
        <f t="array" ref="I6238">_xlfn.XLOOKUP(FACT_IMPORTS[[#This Row],[country_name]],DIM_COUNTRY[[#All],[Column2]],DIM_COUNTRY[[#All],[Column3]],,,)</f>
        <v>Major_Non-USMCA_Non-China</v>
      </c>
    </row>
    <row r="6239" spans="1:9" x14ac:dyDescent="0.4">
      <c r="A6239" t="s">
        <v>68</v>
      </c>
      <c r="B6239" s="1">
        <v>45658</v>
      </c>
      <c r="C6239">
        <v>848210</v>
      </c>
      <c r="D6239" t="s">
        <v>176</v>
      </c>
      <c r="E6239">
        <v>294527</v>
      </c>
      <c r="F6239">
        <v>2326</v>
      </c>
      <c r="G6239">
        <v>9225</v>
      </c>
      <c r="H6239">
        <f>_xlfn.XLOOKUP(FACT_IMPORTS[[#This Row],[hts_6]],DIM_PRODUCTS[hts_6],DIM_PRODUCTS[hts_4],,,)</f>
        <v>8482</v>
      </c>
      <c r="I6239" t="str" cm="1">
        <f t="array" ref="I6239">_xlfn.XLOOKUP(FACT_IMPORTS[[#This Row],[country_name]],DIM_COUNTRY[[#All],[Column2]],DIM_COUNTRY[[#All],[Column3]],,,)</f>
        <v>Major_Non-USMCA_Non-China</v>
      </c>
    </row>
    <row r="6240" spans="1:9" x14ac:dyDescent="0.4">
      <c r="A6240" t="s">
        <v>68</v>
      </c>
      <c r="B6240" s="1">
        <v>45658</v>
      </c>
      <c r="C6240">
        <v>848220</v>
      </c>
      <c r="D6240" t="s">
        <v>176</v>
      </c>
      <c r="E6240">
        <v>170394</v>
      </c>
      <c r="F6240">
        <v>5844</v>
      </c>
      <c r="G6240">
        <v>2961</v>
      </c>
      <c r="H6240">
        <f>_xlfn.XLOOKUP(FACT_IMPORTS[[#This Row],[hts_6]],DIM_PRODUCTS[hts_6],DIM_PRODUCTS[hts_4],,,)</f>
        <v>8482</v>
      </c>
      <c r="I6240" t="str" cm="1">
        <f t="array" ref="I6240">_xlfn.XLOOKUP(FACT_IMPORTS[[#This Row],[country_name]],DIM_COUNTRY[[#All],[Column2]],DIM_COUNTRY[[#All],[Column3]],,,)</f>
        <v>Major_Non-USMCA_Non-China</v>
      </c>
    </row>
    <row r="6241" spans="1:9" x14ac:dyDescent="0.4">
      <c r="A6241" t="s">
        <v>68</v>
      </c>
      <c r="B6241" s="1">
        <v>45658</v>
      </c>
      <c r="C6241">
        <v>848310</v>
      </c>
      <c r="D6241" t="s">
        <v>176</v>
      </c>
      <c r="E6241">
        <v>1804244</v>
      </c>
      <c r="F6241">
        <v>16598</v>
      </c>
      <c r="G6241">
        <v>18268</v>
      </c>
      <c r="H6241">
        <f>_xlfn.XLOOKUP(FACT_IMPORTS[[#This Row],[hts_6]],DIM_PRODUCTS[hts_6],DIM_PRODUCTS[hts_4],,,)</f>
        <v>8483</v>
      </c>
      <c r="I6241" t="str" cm="1">
        <f t="array" ref="I6241">_xlfn.XLOOKUP(FACT_IMPORTS[[#This Row],[country_name]],DIM_COUNTRY[[#All],[Column2]],DIM_COUNTRY[[#All],[Column3]],,,)</f>
        <v>Major_Non-USMCA_Non-China</v>
      </c>
    </row>
    <row r="6242" spans="1:9" x14ac:dyDescent="0.4">
      <c r="A6242" t="s">
        <v>68</v>
      </c>
      <c r="B6242" s="1">
        <v>45658</v>
      </c>
      <c r="C6242">
        <v>850131</v>
      </c>
      <c r="D6242" t="s">
        <v>176</v>
      </c>
      <c r="E6242">
        <v>212750</v>
      </c>
      <c r="F6242">
        <v>2446</v>
      </c>
      <c r="G6242">
        <v>1344</v>
      </c>
      <c r="H6242">
        <f>_xlfn.XLOOKUP(FACT_IMPORTS[[#This Row],[hts_6]],DIM_PRODUCTS[hts_6],DIM_PRODUCTS[hts_4],,,)</f>
        <v>8501</v>
      </c>
      <c r="I6242" t="str" cm="1">
        <f t="array" ref="I6242">_xlfn.XLOOKUP(FACT_IMPORTS[[#This Row],[country_name]],DIM_COUNTRY[[#All],[Column2]],DIM_COUNTRY[[#All],[Column3]],,,)</f>
        <v>Major_Non-USMCA_Non-China</v>
      </c>
    </row>
    <row r="6243" spans="1:9" x14ac:dyDescent="0.4">
      <c r="A6243" t="s">
        <v>68</v>
      </c>
      <c r="B6243" s="1">
        <v>45658</v>
      </c>
      <c r="C6243">
        <v>850132</v>
      </c>
      <c r="D6243" t="s">
        <v>176</v>
      </c>
      <c r="E6243">
        <v>130424</v>
      </c>
      <c r="F6243">
        <v>21</v>
      </c>
      <c r="G6243">
        <v>846</v>
      </c>
      <c r="H6243">
        <f>_xlfn.XLOOKUP(FACT_IMPORTS[[#This Row],[hts_6]],DIM_PRODUCTS[hts_6],DIM_PRODUCTS[hts_4],,,)</f>
        <v>8501</v>
      </c>
      <c r="I6243" t="str" cm="1">
        <f t="array" ref="I6243">_xlfn.XLOOKUP(FACT_IMPORTS[[#This Row],[country_name]],DIM_COUNTRY[[#All],[Column2]],DIM_COUNTRY[[#All],[Column3]],,,)</f>
        <v>Major_Non-USMCA_Non-China</v>
      </c>
    </row>
    <row r="6244" spans="1:9" x14ac:dyDescent="0.4">
      <c r="A6244" t="s">
        <v>68</v>
      </c>
      <c r="B6244" s="1">
        <v>45658</v>
      </c>
      <c r="C6244">
        <v>850133</v>
      </c>
      <c r="D6244" t="s">
        <v>176</v>
      </c>
      <c r="E6244">
        <v>0</v>
      </c>
      <c r="F6244">
        <v>0</v>
      </c>
      <c r="G6244">
        <v>0</v>
      </c>
      <c r="H6244">
        <f>_xlfn.XLOOKUP(FACT_IMPORTS[[#This Row],[hts_6]],DIM_PRODUCTS[hts_6],DIM_PRODUCTS[hts_4],,,)</f>
        <v>8501</v>
      </c>
      <c r="I6244" t="str" cm="1">
        <f t="array" ref="I6244">_xlfn.XLOOKUP(FACT_IMPORTS[[#This Row],[country_name]],DIM_COUNTRY[[#All],[Column2]],DIM_COUNTRY[[#All],[Column3]],,,)</f>
        <v>Major_Non-USMCA_Non-China</v>
      </c>
    </row>
    <row r="6245" spans="1:9" x14ac:dyDescent="0.4">
      <c r="A6245" t="s">
        <v>68</v>
      </c>
      <c r="B6245" s="1">
        <v>45658</v>
      </c>
      <c r="C6245">
        <v>850134</v>
      </c>
      <c r="D6245" t="s">
        <v>176</v>
      </c>
      <c r="E6245">
        <v>0</v>
      </c>
      <c r="F6245">
        <v>0</v>
      </c>
      <c r="G6245">
        <v>0</v>
      </c>
      <c r="H6245">
        <f>_xlfn.XLOOKUP(FACT_IMPORTS[[#This Row],[hts_6]],DIM_PRODUCTS[hts_6],DIM_PRODUCTS[hts_4],,,)</f>
        <v>8501</v>
      </c>
      <c r="I6245" t="str" cm="1">
        <f t="array" ref="I6245">_xlfn.XLOOKUP(FACT_IMPORTS[[#This Row],[country_name]],DIM_COUNTRY[[#All],[Column2]],DIM_COUNTRY[[#All],[Column3]],,,)</f>
        <v>Major_Non-USMCA_Non-China</v>
      </c>
    </row>
    <row r="6246" spans="1:9" x14ac:dyDescent="0.4">
      <c r="A6246" t="s">
        <v>68</v>
      </c>
      <c r="B6246" s="1">
        <v>45658</v>
      </c>
      <c r="C6246">
        <v>850152</v>
      </c>
      <c r="D6246" t="s">
        <v>176</v>
      </c>
      <c r="E6246">
        <v>371191</v>
      </c>
      <c r="F6246">
        <v>211</v>
      </c>
      <c r="G6246">
        <v>10118</v>
      </c>
      <c r="H6246">
        <f>_xlfn.XLOOKUP(FACT_IMPORTS[[#This Row],[hts_6]],DIM_PRODUCTS[hts_6],DIM_PRODUCTS[hts_4],,,)</f>
        <v>8501</v>
      </c>
      <c r="I6246" t="str" cm="1">
        <f t="array" ref="I6246">_xlfn.XLOOKUP(FACT_IMPORTS[[#This Row],[country_name]],DIM_COUNTRY[[#All],[Column2]],DIM_COUNTRY[[#All],[Column3]],,,)</f>
        <v>Major_Non-USMCA_Non-China</v>
      </c>
    </row>
    <row r="6247" spans="1:9" x14ac:dyDescent="0.4">
      <c r="A6247" t="s">
        <v>68</v>
      </c>
      <c r="B6247" s="1">
        <v>45658</v>
      </c>
      <c r="C6247">
        <v>850153</v>
      </c>
      <c r="D6247" t="s">
        <v>176</v>
      </c>
      <c r="E6247">
        <v>791967</v>
      </c>
      <c r="F6247">
        <v>84</v>
      </c>
      <c r="G6247">
        <v>8177</v>
      </c>
      <c r="H6247">
        <f>_xlfn.XLOOKUP(FACT_IMPORTS[[#This Row],[hts_6]],DIM_PRODUCTS[hts_6],DIM_PRODUCTS[hts_4],,,)</f>
        <v>8501</v>
      </c>
      <c r="I6247" t="str" cm="1">
        <f t="array" ref="I6247">_xlfn.XLOOKUP(FACT_IMPORTS[[#This Row],[country_name]],DIM_COUNTRY[[#All],[Column2]],DIM_COUNTRY[[#All],[Column3]],,,)</f>
        <v>Major_Non-USMCA_Non-China</v>
      </c>
    </row>
    <row r="6248" spans="1:9" x14ac:dyDescent="0.4">
      <c r="A6248" t="s">
        <v>68</v>
      </c>
      <c r="B6248" s="1">
        <v>45658</v>
      </c>
      <c r="C6248">
        <v>850161</v>
      </c>
      <c r="D6248" t="s">
        <v>176</v>
      </c>
      <c r="E6248">
        <v>0</v>
      </c>
      <c r="F6248">
        <v>0</v>
      </c>
      <c r="G6248">
        <v>0</v>
      </c>
      <c r="H6248">
        <f>_xlfn.XLOOKUP(FACT_IMPORTS[[#This Row],[hts_6]],DIM_PRODUCTS[hts_6],DIM_PRODUCTS[hts_4],,,)</f>
        <v>8501</v>
      </c>
      <c r="I6248" t="str" cm="1">
        <f t="array" ref="I6248">_xlfn.XLOOKUP(FACT_IMPORTS[[#This Row],[country_name]],DIM_COUNTRY[[#All],[Column2]],DIM_COUNTRY[[#All],[Column3]],,,)</f>
        <v>Major_Non-USMCA_Non-China</v>
      </c>
    </row>
    <row r="6249" spans="1:9" x14ac:dyDescent="0.4">
      <c r="A6249" t="s">
        <v>68</v>
      </c>
      <c r="B6249" s="1">
        <v>45658</v>
      </c>
      <c r="C6249">
        <v>850440</v>
      </c>
      <c r="D6249" t="s">
        <v>176</v>
      </c>
      <c r="E6249">
        <v>1332584</v>
      </c>
      <c r="F6249">
        <v>954</v>
      </c>
      <c r="G6249">
        <v>29796</v>
      </c>
      <c r="H6249">
        <f>_xlfn.XLOOKUP(FACT_IMPORTS[[#This Row],[hts_6]],DIM_PRODUCTS[hts_6],DIM_PRODUCTS[hts_4],,,)</f>
        <v>8504</v>
      </c>
      <c r="I6249" t="str" cm="1">
        <f t="array" ref="I6249">_xlfn.XLOOKUP(FACT_IMPORTS[[#This Row],[country_name]],DIM_COUNTRY[[#All],[Column2]],DIM_COUNTRY[[#All],[Column3]],,,)</f>
        <v>Major_Non-USMCA_Non-China</v>
      </c>
    </row>
    <row r="6250" spans="1:9" x14ac:dyDescent="0.4">
      <c r="A6250" t="s">
        <v>68</v>
      </c>
      <c r="B6250" s="1">
        <v>45658</v>
      </c>
      <c r="C6250">
        <v>850710</v>
      </c>
      <c r="D6250" t="s">
        <v>176</v>
      </c>
      <c r="E6250">
        <v>0</v>
      </c>
      <c r="F6250">
        <v>0</v>
      </c>
      <c r="G6250">
        <v>0</v>
      </c>
      <c r="H6250">
        <f>_xlfn.XLOOKUP(FACT_IMPORTS[[#This Row],[hts_6]],DIM_PRODUCTS[hts_6],DIM_PRODUCTS[hts_4],,,)</f>
        <v>8507</v>
      </c>
      <c r="I6250" t="str" cm="1">
        <f t="array" ref="I6250">_xlfn.XLOOKUP(FACT_IMPORTS[[#This Row],[country_name]],DIM_COUNTRY[[#All],[Column2]],DIM_COUNTRY[[#All],[Column3]],,,)</f>
        <v>Major_Non-USMCA_Non-China</v>
      </c>
    </row>
    <row r="6251" spans="1:9" x14ac:dyDescent="0.4">
      <c r="A6251" t="s">
        <v>68</v>
      </c>
      <c r="B6251" s="1">
        <v>45658</v>
      </c>
      <c r="C6251">
        <v>850760</v>
      </c>
      <c r="D6251" t="s">
        <v>176</v>
      </c>
      <c r="E6251">
        <v>2093080</v>
      </c>
      <c r="F6251">
        <v>16208</v>
      </c>
      <c r="G6251">
        <v>12557</v>
      </c>
      <c r="H6251">
        <f>_xlfn.XLOOKUP(FACT_IMPORTS[[#This Row],[hts_6]],DIM_PRODUCTS[hts_6],DIM_PRODUCTS[hts_4],,,)</f>
        <v>8507</v>
      </c>
      <c r="I6251" t="str" cm="1">
        <f t="array" ref="I6251">_xlfn.XLOOKUP(FACT_IMPORTS[[#This Row],[country_name]],DIM_COUNTRY[[#All],[Column2]],DIM_COUNTRY[[#All],[Column3]],,,)</f>
        <v>Major_Non-USMCA_Non-China</v>
      </c>
    </row>
    <row r="6252" spans="1:9" x14ac:dyDescent="0.4">
      <c r="A6252" t="s">
        <v>68</v>
      </c>
      <c r="B6252" s="1">
        <v>45658</v>
      </c>
      <c r="C6252">
        <v>850790</v>
      </c>
      <c r="D6252" t="s">
        <v>176</v>
      </c>
      <c r="E6252">
        <v>1356513</v>
      </c>
      <c r="F6252">
        <v>9891</v>
      </c>
      <c r="G6252">
        <v>6954</v>
      </c>
      <c r="H6252">
        <f>_xlfn.XLOOKUP(FACT_IMPORTS[[#This Row],[hts_6]],DIM_PRODUCTS[hts_6],DIM_PRODUCTS[hts_4],,,)</f>
        <v>8507</v>
      </c>
      <c r="I6252" t="str" cm="1">
        <f t="array" ref="I6252">_xlfn.XLOOKUP(FACT_IMPORTS[[#This Row],[country_name]],DIM_COUNTRY[[#All],[Column2]],DIM_COUNTRY[[#All],[Column3]],,,)</f>
        <v>Major_Non-USMCA_Non-China</v>
      </c>
    </row>
    <row r="6253" spans="1:9" x14ac:dyDescent="0.4">
      <c r="A6253" t="s">
        <v>68</v>
      </c>
      <c r="B6253" s="1">
        <v>45658</v>
      </c>
      <c r="C6253">
        <v>851110</v>
      </c>
      <c r="D6253" t="s">
        <v>176</v>
      </c>
      <c r="E6253">
        <v>30277</v>
      </c>
      <c r="F6253">
        <v>43</v>
      </c>
      <c r="G6253">
        <v>48</v>
      </c>
      <c r="H6253">
        <f>_xlfn.XLOOKUP(FACT_IMPORTS[[#This Row],[hts_6]],DIM_PRODUCTS[hts_6],DIM_PRODUCTS[hts_4],,,)</f>
        <v>8511</v>
      </c>
      <c r="I6253" t="str" cm="1">
        <f t="array" ref="I6253">_xlfn.XLOOKUP(FACT_IMPORTS[[#This Row],[country_name]],DIM_COUNTRY[[#All],[Column2]],DIM_COUNTRY[[#All],[Column3]],,,)</f>
        <v>Major_Non-USMCA_Non-China</v>
      </c>
    </row>
    <row r="6254" spans="1:9" x14ac:dyDescent="0.4">
      <c r="A6254" t="s">
        <v>68</v>
      </c>
      <c r="B6254" s="1">
        <v>45658</v>
      </c>
      <c r="C6254">
        <v>851130</v>
      </c>
      <c r="D6254" t="s">
        <v>176</v>
      </c>
      <c r="E6254">
        <v>18550</v>
      </c>
      <c r="F6254">
        <v>529</v>
      </c>
      <c r="G6254">
        <v>1273</v>
      </c>
      <c r="H6254">
        <f>_xlfn.XLOOKUP(FACT_IMPORTS[[#This Row],[hts_6]],DIM_PRODUCTS[hts_6],DIM_PRODUCTS[hts_4],,,)</f>
        <v>8511</v>
      </c>
      <c r="I6254" t="str" cm="1">
        <f t="array" ref="I6254">_xlfn.XLOOKUP(FACT_IMPORTS[[#This Row],[country_name]],DIM_COUNTRY[[#All],[Column2]],DIM_COUNTRY[[#All],[Column3]],,,)</f>
        <v>Major_Non-USMCA_Non-China</v>
      </c>
    </row>
    <row r="6255" spans="1:9" x14ac:dyDescent="0.4">
      <c r="A6255" t="s">
        <v>68</v>
      </c>
      <c r="B6255" s="1">
        <v>45658</v>
      </c>
      <c r="C6255">
        <v>851140</v>
      </c>
      <c r="D6255" t="s">
        <v>176</v>
      </c>
      <c r="E6255">
        <v>6368</v>
      </c>
      <c r="F6255">
        <v>4</v>
      </c>
      <c r="G6255">
        <v>45</v>
      </c>
      <c r="H6255">
        <f>_xlfn.XLOOKUP(FACT_IMPORTS[[#This Row],[hts_6]],DIM_PRODUCTS[hts_6],DIM_PRODUCTS[hts_4],,,)</f>
        <v>8511</v>
      </c>
      <c r="I6255" t="str" cm="1">
        <f t="array" ref="I6255">_xlfn.XLOOKUP(FACT_IMPORTS[[#This Row],[country_name]],DIM_COUNTRY[[#All],[Column2]],DIM_COUNTRY[[#All],[Column3]],,,)</f>
        <v>Major_Non-USMCA_Non-China</v>
      </c>
    </row>
    <row r="6256" spans="1:9" x14ac:dyDescent="0.4">
      <c r="A6256" t="s">
        <v>68</v>
      </c>
      <c r="B6256" s="1">
        <v>45658</v>
      </c>
      <c r="C6256">
        <v>851150</v>
      </c>
      <c r="D6256" t="s">
        <v>176</v>
      </c>
      <c r="E6256">
        <v>0</v>
      </c>
      <c r="F6256">
        <v>0</v>
      </c>
      <c r="G6256">
        <v>0</v>
      </c>
      <c r="H6256">
        <f>_xlfn.XLOOKUP(FACT_IMPORTS[[#This Row],[hts_6]],DIM_PRODUCTS[hts_6],DIM_PRODUCTS[hts_4],,,)</f>
        <v>8511</v>
      </c>
      <c r="I6256" t="str" cm="1">
        <f t="array" ref="I6256">_xlfn.XLOOKUP(FACT_IMPORTS[[#This Row],[country_name]],DIM_COUNTRY[[#All],[Column2]],DIM_COUNTRY[[#All],[Column3]],,,)</f>
        <v>Major_Non-USMCA_Non-China</v>
      </c>
    </row>
    <row r="6257" spans="1:9" x14ac:dyDescent="0.4">
      <c r="A6257" t="s">
        <v>68</v>
      </c>
      <c r="B6257" s="1">
        <v>45658</v>
      </c>
      <c r="C6257">
        <v>851180</v>
      </c>
      <c r="D6257" t="s">
        <v>176</v>
      </c>
      <c r="E6257">
        <v>165932</v>
      </c>
      <c r="F6257">
        <v>759</v>
      </c>
      <c r="G6257">
        <v>254</v>
      </c>
      <c r="H6257">
        <f>_xlfn.XLOOKUP(FACT_IMPORTS[[#This Row],[hts_6]],DIM_PRODUCTS[hts_6],DIM_PRODUCTS[hts_4],,,)</f>
        <v>8511</v>
      </c>
      <c r="I6257" t="str" cm="1">
        <f t="array" ref="I6257">_xlfn.XLOOKUP(FACT_IMPORTS[[#This Row],[country_name]],DIM_COUNTRY[[#All],[Column2]],DIM_COUNTRY[[#All],[Column3]],,,)</f>
        <v>Major_Non-USMCA_Non-China</v>
      </c>
    </row>
    <row r="6258" spans="1:9" x14ac:dyDescent="0.4">
      <c r="A6258" t="s">
        <v>68</v>
      </c>
      <c r="B6258" s="1">
        <v>45658</v>
      </c>
      <c r="C6258">
        <v>851190</v>
      </c>
      <c r="D6258" t="s">
        <v>176</v>
      </c>
      <c r="E6258">
        <v>20742</v>
      </c>
      <c r="F6258">
        <v>10782</v>
      </c>
      <c r="G6258">
        <v>208</v>
      </c>
      <c r="H6258">
        <f>_xlfn.XLOOKUP(FACT_IMPORTS[[#This Row],[hts_6]],DIM_PRODUCTS[hts_6],DIM_PRODUCTS[hts_4],,,)</f>
        <v>8511</v>
      </c>
      <c r="I6258" t="str" cm="1">
        <f t="array" ref="I6258">_xlfn.XLOOKUP(FACT_IMPORTS[[#This Row],[country_name]],DIM_COUNTRY[[#All],[Column2]],DIM_COUNTRY[[#All],[Column3]],,,)</f>
        <v>Major_Non-USMCA_Non-China</v>
      </c>
    </row>
    <row r="6259" spans="1:9" x14ac:dyDescent="0.4">
      <c r="A6259" t="s">
        <v>68</v>
      </c>
      <c r="B6259" s="1">
        <v>45658</v>
      </c>
      <c r="C6259">
        <v>851220</v>
      </c>
      <c r="D6259" t="s">
        <v>176</v>
      </c>
      <c r="E6259">
        <v>27743</v>
      </c>
      <c r="F6259">
        <v>2645</v>
      </c>
      <c r="G6259">
        <v>2811</v>
      </c>
      <c r="H6259">
        <f>_xlfn.XLOOKUP(FACT_IMPORTS[[#This Row],[hts_6]],DIM_PRODUCTS[hts_6],DIM_PRODUCTS[hts_4],,,)</f>
        <v>8512</v>
      </c>
      <c r="I6259" t="str" cm="1">
        <f t="array" ref="I6259">_xlfn.XLOOKUP(FACT_IMPORTS[[#This Row],[country_name]],DIM_COUNTRY[[#All],[Column2]],DIM_COUNTRY[[#All],[Column3]],,,)</f>
        <v>Major_Non-USMCA_Non-China</v>
      </c>
    </row>
    <row r="6260" spans="1:9" x14ac:dyDescent="0.4">
      <c r="A6260" t="s">
        <v>68</v>
      </c>
      <c r="B6260" s="1">
        <v>45658</v>
      </c>
      <c r="C6260">
        <v>851230</v>
      </c>
      <c r="D6260" t="s">
        <v>176</v>
      </c>
      <c r="E6260">
        <v>0</v>
      </c>
      <c r="F6260">
        <v>0</v>
      </c>
      <c r="G6260">
        <v>0</v>
      </c>
      <c r="H6260">
        <f>_xlfn.XLOOKUP(FACT_IMPORTS[[#This Row],[hts_6]],DIM_PRODUCTS[hts_6],DIM_PRODUCTS[hts_4],,,)</f>
        <v>8512</v>
      </c>
      <c r="I6260" t="str" cm="1">
        <f t="array" ref="I6260">_xlfn.XLOOKUP(FACT_IMPORTS[[#This Row],[country_name]],DIM_COUNTRY[[#All],[Column2]],DIM_COUNTRY[[#All],[Column3]],,,)</f>
        <v>Major_Non-USMCA_Non-China</v>
      </c>
    </row>
    <row r="6261" spans="1:9" x14ac:dyDescent="0.4">
      <c r="A6261" t="s">
        <v>68</v>
      </c>
      <c r="B6261" s="1">
        <v>45658</v>
      </c>
      <c r="C6261">
        <v>851290</v>
      </c>
      <c r="D6261" t="s">
        <v>176</v>
      </c>
      <c r="E6261">
        <v>0</v>
      </c>
      <c r="F6261">
        <v>0</v>
      </c>
      <c r="G6261">
        <v>0</v>
      </c>
      <c r="H6261">
        <f>_xlfn.XLOOKUP(FACT_IMPORTS[[#This Row],[hts_6]],DIM_PRODUCTS[hts_6],DIM_PRODUCTS[hts_4],,,)</f>
        <v>8512</v>
      </c>
      <c r="I6261" t="str" cm="1">
        <f t="array" ref="I6261">_xlfn.XLOOKUP(FACT_IMPORTS[[#This Row],[country_name]],DIM_COUNTRY[[#All],[Column2]],DIM_COUNTRY[[#All],[Column3]],,,)</f>
        <v>Major_Non-USMCA_Non-China</v>
      </c>
    </row>
    <row r="6262" spans="1:9" x14ac:dyDescent="0.4">
      <c r="A6262" t="s">
        <v>68</v>
      </c>
      <c r="B6262" s="1">
        <v>45658</v>
      </c>
      <c r="C6262">
        <v>854231</v>
      </c>
      <c r="D6262" t="s">
        <v>176</v>
      </c>
      <c r="E6262">
        <v>44580</v>
      </c>
      <c r="F6262">
        <v>69</v>
      </c>
      <c r="G6262">
        <v>472</v>
      </c>
      <c r="H6262">
        <f>_xlfn.XLOOKUP(FACT_IMPORTS[[#This Row],[hts_6]],DIM_PRODUCTS[hts_6],DIM_PRODUCTS[hts_4],,,)</f>
        <v>8542</v>
      </c>
      <c r="I6262" t="str" cm="1">
        <f t="array" ref="I6262">_xlfn.XLOOKUP(FACT_IMPORTS[[#This Row],[country_name]],DIM_COUNTRY[[#All],[Column2]],DIM_COUNTRY[[#All],[Column3]],,,)</f>
        <v>Major_Non-USMCA_Non-China</v>
      </c>
    </row>
    <row r="6263" spans="1:9" x14ac:dyDescent="0.4">
      <c r="A6263" t="s">
        <v>68</v>
      </c>
      <c r="B6263" s="1">
        <v>45658</v>
      </c>
      <c r="C6263">
        <v>854232</v>
      </c>
      <c r="D6263" t="s">
        <v>176</v>
      </c>
      <c r="E6263">
        <v>5247</v>
      </c>
      <c r="F6263">
        <v>22</v>
      </c>
      <c r="G6263">
        <v>31</v>
      </c>
      <c r="H6263">
        <f>_xlfn.XLOOKUP(FACT_IMPORTS[[#This Row],[hts_6]],DIM_PRODUCTS[hts_6],DIM_PRODUCTS[hts_4],,,)</f>
        <v>8542</v>
      </c>
      <c r="I6263" t="str" cm="1">
        <f t="array" ref="I6263">_xlfn.XLOOKUP(FACT_IMPORTS[[#This Row],[country_name]],DIM_COUNTRY[[#All],[Column2]],DIM_COUNTRY[[#All],[Column3]],,,)</f>
        <v>Major_Non-USMCA_Non-China</v>
      </c>
    </row>
    <row r="6264" spans="1:9" x14ac:dyDescent="0.4">
      <c r="A6264" t="s">
        <v>68</v>
      </c>
      <c r="B6264" s="1">
        <v>45658</v>
      </c>
      <c r="C6264">
        <v>854233</v>
      </c>
      <c r="D6264" t="s">
        <v>176</v>
      </c>
      <c r="E6264">
        <v>0</v>
      </c>
      <c r="F6264">
        <v>0</v>
      </c>
      <c r="G6264">
        <v>0</v>
      </c>
      <c r="H6264">
        <f>_xlfn.XLOOKUP(FACT_IMPORTS[[#This Row],[hts_6]],DIM_PRODUCTS[hts_6],DIM_PRODUCTS[hts_4],,,)</f>
        <v>8542</v>
      </c>
      <c r="I6264" t="str" cm="1">
        <f t="array" ref="I6264">_xlfn.XLOOKUP(FACT_IMPORTS[[#This Row],[country_name]],DIM_COUNTRY[[#All],[Column2]],DIM_COUNTRY[[#All],[Column3]],,,)</f>
        <v>Major_Non-USMCA_Non-China</v>
      </c>
    </row>
    <row r="6265" spans="1:9" x14ac:dyDescent="0.4">
      <c r="A6265" t="s">
        <v>68</v>
      </c>
      <c r="B6265" s="1">
        <v>45658</v>
      </c>
      <c r="C6265">
        <v>854239</v>
      </c>
      <c r="D6265" t="s">
        <v>176</v>
      </c>
      <c r="E6265">
        <v>0</v>
      </c>
      <c r="F6265">
        <v>0</v>
      </c>
      <c r="G6265">
        <v>0</v>
      </c>
      <c r="H6265">
        <f>_xlfn.XLOOKUP(FACT_IMPORTS[[#This Row],[hts_6]],DIM_PRODUCTS[hts_6],DIM_PRODUCTS[hts_4],,,)</f>
        <v>8542</v>
      </c>
      <c r="I6265" t="str" cm="1">
        <f t="array" ref="I6265">_xlfn.XLOOKUP(FACT_IMPORTS[[#This Row],[country_name]],DIM_COUNTRY[[#All],[Column2]],DIM_COUNTRY[[#All],[Column3]],,,)</f>
        <v>Major_Non-USMCA_Non-China</v>
      </c>
    </row>
    <row r="6266" spans="1:9" x14ac:dyDescent="0.4">
      <c r="A6266" t="s">
        <v>68</v>
      </c>
      <c r="B6266" s="1">
        <v>45658</v>
      </c>
      <c r="C6266">
        <v>854290</v>
      </c>
      <c r="D6266" t="s">
        <v>176</v>
      </c>
      <c r="E6266">
        <v>10242</v>
      </c>
      <c r="F6266">
        <v>11</v>
      </c>
      <c r="G6266">
        <v>83</v>
      </c>
      <c r="H6266">
        <f>_xlfn.XLOOKUP(FACT_IMPORTS[[#This Row],[hts_6]],DIM_PRODUCTS[hts_6],DIM_PRODUCTS[hts_4],,,)</f>
        <v>8542</v>
      </c>
      <c r="I6266" t="str" cm="1">
        <f t="array" ref="I6266">_xlfn.XLOOKUP(FACT_IMPORTS[[#This Row],[country_name]],DIM_COUNTRY[[#All],[Column2]],DIM_COUNTRY[[#All],[Column3]],,,)</f>
        <v>Major_Non-USMCA_Non-China</v>
      </c>
    </row>
    <row r="6267" spans="1:9" x14ac:dyDescent="0.4">
      <c r="A6267" t="s">
        <v>68</v>
      </c>
      <c r="B6267" s="1">
        <v>45658</v>
      </c>
      <c r="C6267">
        <v>854430</v>
      </c>
      <c r="D6267" t="s">
        <v>176</v>
      </c>
      <c r="E6267">
        <v>497070</v>
      </c>
      <c r="F6267">
        <v>20734</v>
      </c>
      <c r="G6267">
        <v>4066</v>
      </c>
      <c r="H6267">
        <f>_xlfn.XLOOKUP(FACT_IMPORTS[[#This Row],[hts_6]],DIM_PRODUCTS[hts_6],DIM_PRODUCTS[hts_4],,,)</f>
        <v>8544</v>
      </c>
      <c r="I6267" t="str" cm="1">
        <f t="array" ref="I6267">_xlfn.XLOOKUP(FACT_IMPORTS[[#This Row],[country_name]],DIM_COUNTRY[[#All],[Column2]],DIM_COUNTRY[[#All],[Column3]],,,)</f>
        <v>Major_Non-USMCA_Non-China</v>
      </c>
    </row>
    <row r="6268" spans="1:9" x14ac:dyDescent="0.4">
      <c r="A6268" t="s">
        <v>68</v>
      </c>
      <c r="B6268" s="1">
        <v>45658</v>
      </c>
      <c r="C6268">
        <v>870710</v>
      </c>
      <c r="D6268" t="s">
        <v>176</v>
      </c>
      <c r="E6268">
        <v>0</v>
      </c>
      <c r="F6268">
        <v>0</v>
      </c>
      <c r="G6268">
        <v>0</v>
      </c>
      <c r="H6268">
        <f>_xlfn.XLOOKUP(FACT_IMPORTS[[#This Row],[hts_6]],DIM_PRODUCTS[hts_6],DIM_PRODUCTS[hts_4],,,)</f>
        <v>8707</v>
      </c>
      <c r="I6268" t="str" cm="1">
        <f t="array" ref="I6268">_xlfn.XLOOKUP(FACT_IMPORTS[[#This Row],[country_name]],DIM_COUNTRY[[#All],[Column2]],DIM_COUNTRY[[#All],[Column3]],,,)</f>
        <v>Major_Non-USMCA_Non-China</v>
      </c>
    </row>
    <row r="6269" spans="1:9" x14ac:dyDescent="0.4">
      <c r="A6269" t="s">
        <v>68</v>
      </c>
      <c r="B6269" s="1">
        <v>45658</v>
      </c>
      <c r="C6269">
        <v>870790</v>
      </c>
      <c r="D6269" t="s">
        <v>176</v>
      </c>
      <c r="E6269">
        <v>0</v>
      </c>
      <c r="F6269">
        <v>0</v>
      </c>
      <c r="G6269">
        <v>0</v>
      </c>
      <c r="H6269">
        <f>_xlfn.XLOOKUP(FACT_IMPORTS[[#This Row],[hts_6]],DIM_PRODUCTS[hts_6],DIM_PRODUCTS[hts_4],,,)</f>
        <v>8707</v>
      </c>
      <c r="I6269" t="str" cm="1">
        <f t="array" ref="I6269">_xlfn.XLOOKUP(FACT_IMPORTS[[#This Row],[country_name]],DIM_COUNTRY[[#All],[Column2]],DIM_COUNTRY[[#All],[Column3]],,,)</f>
        <v>Major_Non-USMCA_Non-China</v>
      </c>
    </row>
    <row r="6270" spans="1:9" x14ac:dyDescent="0.4">
      <c r="A6270" t="s">
        <v>68</v>
      </c>
      <c r="B6270" s="1">
        <v>45658</v>
      </c>
      <c r="C6270">
        <v>870810</v>
      </c>
      <c r="D6270" t="s">
        <v>176</v>
      </c>
      <c r="E6270">
        <v>6071</v>
      </c>
      <c r="F6270">
        <v>88</v>
      </c>
      <c r="G6270">
        <v>20</v>
      </c>
      <c r="H6270">
        <f>_xlfn.XLOOKUP(FACT_IMPORTS[[#This Row],[hts_6]],DIM_PRODUCTS[hts_6],DIM_PRODUCTS[hts_4],,,)</f>
        <v>8708</v>
      </c>
      <c r="I6270" t="str" cm="1">
        <f t="array" ref="I6270">_xlfn.XLOOKUP(FACT_IMPORTS[[#This Row],[country_name]],DIM_COUNTRY[[#All],[Column2]],DIM_COUNTRY[[#All],[Column3]],,,)</f>
        <v>Major_Non-USMCA_Non-China</v>
      </c>
    </row>
    <row r="6271" spans="1:9" x14ac:dyDescent="0.4">
      <c r="A6271" t="s">
        <v>68</v>
      </c>
      <c r="B6271" s="1">
        <v>45658</v>
      </c>
      <c r="C6271">
        <v>870821</v>
      </c>
      <c r="D6271" t="s">
        <v>176</v>
      </c>
      <c r="E6271">
        <v>0</v>
      </c>
      <c r="F6271">
        <v>0</v>
      </c>
      <c r="G6271">
        <v>0</v>
      </c>
      <c r="H6271">
        <f>_xlfn.XLOOKUP(FACT_IMPORTS[[#This Row],[hts_6]],DIM_PRODUCTS[hts_6],DIM_PRODUCTS[hts_4],,,)</f>
        <v>8708</v>
      </c>
      <c r="I6271" t="str" cm="1">
        <f t="array" ref="I6271">_xlfn.XLOOKUP(FACT_IMPORTS[[#This Row],[country_name]],DIM_COUNTRY[[#All],[Column2]],DIM_COUNTRY[[#All],[Column3]],,,)</f>
        <v>Major_Non-USMCA_Non-China</v>
      </c>
    </row>
    <row r="6272" spans="1:9" x14ac:dyDescent="0.4">
      <c r="A6272" t="s">
        <v>68</v>
      </c>
      <c r="B6272" s="1">
        <v>45658</v>
      </c>
      <c r="C6272">
        <v>870822</v>
      </c>
      <c r="D6272" t="s">
        <v>176</v>
      </c>
      <c r="E6272">
        <v>0</v>
      </c>
      <c r="F6272">
        <v>0</v>
      </c>
      <c r="G6272">
        <v>0</v>
      </c>
      <c r="H6272">
        <f>_xlfn.XLOOKUP(FACT_IMPORTS[[#This Row],[hts_6]],DIM_PRODUCTS[hts_6],DIM_PRODUCTS[hts_4],,,)</f>
        <v>8708</v>
      </c>
      <c r="I6272" t="str" cm="1">
        <f t="array" ref="I6272">_xlfn.XLOOKUP(FACT_IMPORTS[[#This Row],[country_name]],DIM_COUNTRY[[#All],[Column2]],DIM_COUNTRY[[#All],[Column3]],,,)</f>
        <v>Major_Non-USMCA_Non-China</v>
      </c>
    </row>
    <row r="6273" spans="1:9" x14ac:dyDescent="0.4">
      <c r="A6273" t="s">
        <v>68</v>
      </c>
      <c r="B6273" s="1">
        <v>45658</v>
      </c>
      <c r="C6273">
        <v>870829</v>
      </c>
      <c r="D6273" t="s">
        <v>176</v>
      </c>
      <c r="E6273">
        <v>1946862</v>
      </c>
      <c r="F6273">
        <v>980464</v>
      </c>
      <c r="G6273">
        <v>53553</v>
      </c>
      <c r="H6273">
        <f>_xlfn.XLOOKUP(FACT_IMPORTS[[#This Row],[hts_6]],DIM_PRODUCTS[hts_6],DIM_PRODUCTS[hts_4],,,)</f>
        <v>8708</v>
      </c>
      <c r="I6273" t="str" cm="1">
        <f t="array" ref="I6273">_xlfn.XLOOKUP(FACT_IMPORTS[[#This Row],[country_name]],DIM_COUNTRY[[#All],[Column2]],DIM_COUNTRY[[#All],[Column3]],,,)</f>
        <v>Major_Non-USMCA_Non-China</v>
      </c>
    </row>
    <row r="6274" spans="1:9" x14ac:dyDescent="0.4">
      <c r="A6274" t="s">
        <v>68</v>
      </c>
      <c r="B6274" s="1">
        <v>45658</v>
      </c>
      <c r="C6274">
        <v>870830</v>
      </c>
      <c r="D6274" t="s">
        <v>176</v>
      </c>
      <c r="E6274">
        <v>457961</v>
      </c>
      <c r="F6274">
        <v>2474</v>
      </c>
      <c r="G6274">
        <v>5412</v>
      </c>
      <c r="H6274">
        <f>_xlfn.XLOOKUP(FACT_IMPORTS[[#This Row],[hts_6]],DIM_PRODUCTS[hts_6],DIM_PRODUCTS[hts_4],,,)</f>
        <v>8708</v>
      </c>
      <c r="I6274" t="str" cm="1">
        <f t="array" ref="I6274">_xlfn.XLOOKUP(FACT_IMPORTS[[#This Row],[country_name]],DIM_COUNTRY[[#All],[Column2]],DIM_COUNTRY[[#All],[Column3]],,,)</f>
        <v>Major_Non-USMCA_Non-China</v>
      </c>
    </row>
    <row r="6275" spans="1:9" x14ac:dyDescent="0.4">
      <c r="A6275" t="s">
        <v>68</v>
      </c>
      <c r="B6275" s="1">
        <v>45658</v>
      </c>
      <c r="C6275">
        <v>870840</v>
      </c>
      <c r="D6275" t="s">
        <v>176</v>
      </c>
      <c r="E6275">
        <v>9814649</v>
      </c>
      <c r="F6275">
        <v>553617</v>
      </c>
      <c r="G6275">
        <v>68698</v>
      </c>
      <c r="H6275">
        <f>_xlfn.XLOOKUP(FACT_IMPORTS[[#This Row],[hts_6]],DIM_PRODUCTS[hts_6],DIM_PRODUCTS[hts_4],,,)</f>
        <v>8708</v>
      </c>
      <c r="I6275" t="str" cm="1">
        <f t="array" ref="I6275">_xlfn.XLOOKUP(FACT_IMPORTS[[#This Row],[country_name]],DIM_COUNTRY[[#All],[Column2]],DIM_COUNTRY[[#All],[Column3]],,,)</f>
        <v>Major_Non-USMCA_Non-China</v>
      </c>
    </row>
    <row r="6276" spans="1:9" x14ac:dyDescent="0.4">
      <c r="A6276" t="s">
        <v>68</v>
      </c>
      <c r="B6276" s="1">
        <v>45658</v>
      </c>
      <c r="C6276">
        <v>870850</v>
      </c>
      <c r="D6276" t="s">
        <v>176</v>
      </c>
      <c r="E6276">
        <v>6604724</v>
      </c>
      <c r="F6276">
        <v>210961</v>
      </c>
      <c r="G6276">
        <v>97363</v>
      </c>
      <c r="H6276">
        <f>_xlfn.XLOOKUP(FACT_IMPORTS[[#This Row],[hts_6]],DIM_PRODUCTS[hts_6],DIM_PRODUCTS[hts_4],,,)</f>
        <v>8708</v>
      </c>
      <c r="I6276" t="str" cm="1">
        <f t="array" ref="I6276">_xlfn.XLOOKUP(FACT_IMPORTS[[#This Row],[country_name]],DIM_COUNTRY[[#All],[Column2]],DIM_COUNTRY[[#All],[Column3]],,,)</f>
        <v>Major_Non-USMCA_Non-China</v>
      </c>
    </row>
    <row r="6277" spans="1:9" x14ac:dyDescent="0.4">
      <c r="A6277" t="s">
        <v>68</v>
      </c>
      <c r="B6277" s="1">
        <v>45658</v>
      </c>
      <c r="C6277">
        <v>870870</v>
      </c>
      <c r="D6277" t="s">
        <v>176</v>
      </c>
      <c r="E6277">
        <v>0</v>
      </c>
      <c r="F6277">
        <v>0</v>
      </c>
      <c r="G6277">
        <v>0</v>
      </c>
      <c r="H6277">
        <f>_xlfn.XLOOKUP(FACT_IMPORTS[[#This Row],[hts_6]],DIM_PRODUCTS[hts_6],DIM_PRODUCTS[hts_4],,,)</f>
        <v>8708</v>
      </c>
      <c r="I6277" t="str" cm="1">
        <f t="array" ref="I6277">_xlfn.XLOOKUP(FACT_IMPORTS[[#This Row],[country_name]],DIM_COUNTRY[[#All],[Column2]],DIM_COUNTRY[[#All],[Column3]],,,)</f>
        <v>Major_Non-USMCA_Non-China</v>
      </c>
    </row>
    <row r="6278" spans="1:9" x14ac:dyDescent="0.4">
      <c r="A6278" t="s">
        <v>68</v>
      </c>
      <c r="B6278" s="1">
        <v>45658</v>
      </c>
      <c r="C6278">
        <v>870880</v>
      </c>
      <c r="D6278" t="s">
        <v>176</v>
      </c>
      <c r="E6278">
        <v>684284</v>
      </c>
      <c r="F6278">
        <v>396506</v>
      </c>
      <c r="G6278">
        <v>20733</v>
      </c>
      <c r="H6278">
        <f>_xlfn.XLOOKUP(FACT_IMPORTS[[#This Row],[hts_6]],DIM_PRODUCTS[hts_6],DIM_PRODUCTS[hts_4],,,)</f>
        <v>8708</v>
      </c>
      <c r="I6278" t="str" cm="1">
        <f t="array" ref="I6278">_xlfn.XLOOKUP(FACT_IMPORTS[[#This Row],[country_name]],DIM_COUNTRY[[#All],[Column2]],DIM_COUNTRY[[#All],[Column3]],,,)</f>
        <v>Major_Non-USMCA_Non-China</v>
      </c>
    </row>
    <row r="6279" spans="1:9" x14ac:dyDescent="0.4">
      <c r="A6279" t="s">
        <v>68</v>
      </c>
      <c r="B6279" s="1">
        <v>45658</v>
      </c>
      <c r="C6279">
        <v>870891</v>
      </c>
      <c r="D6279" t="s">
        <v>176</v>
      </c>
      <c r="E6279">
        <v>7478</v>
      </c>
      <c r="F6279">
        <v>6</v>
      </c>
      <c r="G6279">
        <v>17</v>
      </c>
      <c r="H6279">
        <f>_xlfn.XLOOKUP(FACT_IMPORTS[[#This Row],[hts_6]],DIM_PRODUCTS[hts_6],DIM_PRODUCTS[hts_4],,,)</f>
        <v>8708</v>
      </c>
      <c r="I6279" t="str" cm="1">
        <f t="array" ref="I6279">_xlfn.XLOOKUP(FACT_IMPORTS[[#This Row],[country_name]],DIM_COUNTRY[[#All],[Column2]],DIM_COUNTRY[[#All],[Column3]],,,)</f>
        <v>Major_Non-USMCA_Non-China</v>
      </c>
    </row>
    <row r="6280" spans="1:9" x14ac:dyDescent="0.4">
      <c r="A6280" t="s">
        <v>68</v>
      </c>
      <c r="B6280" s="1">
        <v>45658</v>
      </c>
      <c r="C6280">
        <v>870892</v>
      </c>
      <c r="D6280" t="s">
        <v>176</v>
      </c>
      <c r="E6280">
        <v>158893</v>
      </c>
      <c r="F6280">
        <v>40970</v>
      </c>
      <c r="G6280">
        <v>15930</v>
      </c>
      <c r="H6280">
        <f>_xlfn.XLOOKUP(FACT_IMPORTS[[#This Row],[hts_6]],DIM_PRODUCTS[hts_6],DIM_PRODUCTS[hts_4],,,)</f>
        <v>8708</v>
      </c>
      <c r="I6280" t="str" cm="1">
        <f t="array" ref="I6280">_xlfn.XLOOKUP(FACT_IMPORTS[[#This Row],[country_name]],DIM_COUNTRY[[#All],[Column2]],DIM_COUNTRY[[#All],[Column3]],,,)</f>
        <v>Major_Non-USMCA_Non-China</v>
      </c>
    </row>
    <row r="6281" spans="1:9" x14ac:dyDescent="0.4">
      <c r="A6281" t="s">
        <v>68</v>
      </c>
      <c r="B6281" s="1">
        <v>45658</v>
      </c>
      <c r="C6281">
        <v>870893</v>
      </c>
      <c r="D6281" t="s">
        <v>176</v>
      </c>
      <c r="E6281">
        <v>758154</v>
      </c>
      <c r="F6281">
        <v>4948</v>
      </c>
      <c r="G6281">
        <v>6098</v>
      </c>
      <c r="H6281">
        <f>_xlfn.XLOOKUP(FACT_IMPORTS[[#This Row],[hts_6]],DIM_PRODUCTS[hts_6],DIM_PRODUCTS[hts_4],,,)</f>
        <v>8708</v>
      </c>
      <c r="I6281" t="str" cm="1">
        <f t="array" ref="I6281">_xlfn.XLOOKUP(FACT_IMPORTS[[#This Row],[country_name]],DIM_COUNTRY[[#All],[Column2]],DIM_COUNTRY[[#All],[Column3]],,,)</f>
        <v>Major_Non-USMCA_Non-China</v>
      </c>
    </row>
    <row r="6282" spans="1:9" x14ac:dyDescent="0.4">
      <c r="A6282" t="s">
        <v>68</v>
      </c>
      <c r="B6282" s="1">
        <v>45658</v>
      </c>
      <c r="C6282">
        <v>870894</v>
      </c>
      <c r="D6282" t="s">
        <v>176</v>
      </c>
      <c r="E6282">
        <v>74217</v>
      </c>
      <c r="F6282">
        <v>4660</v>
      </c>
      <c r="G6282">
        <v>3290</v>
      </c>
      <c r="H6282">
        <f>_xlfn.XLOOKUP(FACT_IMPORTS[[#This Row],[hts_6]],DIM_PRODUCTS[hts_6],DIM_PRODUCTS[hts_4],,,)</f>
        <v>8708</v>
      </c>
      <c r="I6282" t="str" cm="1">
        <f t="array" ref="I6282">_xlfn.XLOOKUP(FACT_IMPORTS[[#This Row],[country_name]],DIM_COUNTRY[[#All],[Column2]],DIM_COUNTRY[[#All],[Column3]],,,)</f>
        <v>Major_Non-USMCA_Non-China</v>
      </c>
    </row>
    <row r="6283" spans="1:9" x14ac:dyDescent="0.4">
      <c r="A6283" t="s">
        <v>68</v>
      </c>
      <c r="B6283" s="1">
        <v>45658</v>
      </c>
      <c r="C6283">
        <v>870895</v>
      </c>
      <c r="D6283" t="s">
        <v>176</v>
      </c>
      <c r="E6283">
        <v>4694</v>
      </c>
      <c r="F6283">
        <v>100</v>
      </c>
      <c r="G6283">
        <v>600</v>
      </c>
      <c r="H6283">
        <f>_xlfn.XLOOKUP(FACT_IMPORTS[[#This Row],[hts_6]],DIM_PRODUCTS[hts_6],DIM_PRODUCTS[hts_4],,,)</f>
        <v>8708</v>
      </c>
      <c r="I6283" t="str" cm="1">
        <f t="array" ref="I6283">_xlfn.XLOOKUP(FACT_IMPORTS[[#This Row],[country_name]],DIM_COUNTRY[[#All],[Column2]],DIM_COUNTRY[[#All],[Column3]],,,)</f>
        <v>Major_Non-USMCA_Non-China</v>
      </c>
    </row>
    <row r="6284" spans="1:9" x14ac:dyDescent="0.4">
      <c r="A6284" t="s">
        <v>68</v>
      </c>
      <c r="B6284" s="1">
        <v>45658</v>
      </c>
      <c r="C6284">
        <v>870899</v>
      </c>
      <c r="D6284" t="s">
        <v>176</v>
      </c>
      <c r="E6284">
        <v>2849783</v>
      </c>
      <c r="F6284">
        <v>288674</v>
      </c>
      <c r="G6284">
        <v>39345</v>
      </c>
      <c r="H6284">
        <f>_xlfn.XLOOKUP(FACT_IMPORTS[[#This Row],[hts_6]],DIM_PRODUCTS[hts_6],DIM_PRODUCTS[hts_4],,,)</f>
        <v>8708</v>
      </c>
      <c r="I6284" t="str" cm="1">
        <f t="array" ref="I6284">_xlfn.XLOOKUP(FACT_IMPORTS[[#This Row],[country_name]],DIM_COUNTRY[[#All],[Column2]],DIM_COUNTRY[[#All],[Column3]],,,)</f>
        <v>Major_Non-USMCA_Non-China</v>
      </c>
    </row>
    <row r="6285" spans="1:9" x14ac:dyDescent="0.4">
      <c r="A6285" t="s">
        <v>68</v>
      </c>
      <c r="B6285" s="1">
        <v>45658</v>
      </c>
      <c r="C6285">
        <v>940120</v>
      </c>
      <c r="D6285" t="s">
        <v>176</v>
      </c>
      <c r="E6285">
        <v>33575</v>
      </c>
      <c r="F6285">
        <v>50</v>
      </c>
      <c r="G6285">
        <v>1377</v>
      </c>
      <c r="H6285">
        <f>_xlfn.XLOOKUP(FACT_IMPORTS[[#This Row],[hts_6]],DIM_PRODUCTS[hts_6],DIM_PRODUCTS[hts_4],,,)</f>
        <v>9401</v>
      </c>
      <c r="I6285" t="str" cm="1">
        <f t="array" ref="I6285">_xlfn.XLOOKUP(FACT_IMPORTS[[#This Row],[country_name]],DIM_COUNTRY[[#All],[Column2]],DIM_COUNTRY[[#All],[Column3]],,,)</f>
        <v>Major_Non-USMCA_Non-China</v>
      </c>
    </row>
    <row r="6286" spans="1:9" x14ac:dyDescent="0.4">
      <c r="A6286" t="s">
        <v>68</v>
      </c>
      <c r="B6286" s="1">
        <v>45689</v>
      </c>
      <c r="C6286">
        <v>392630</v>
      </c>
      <c r="D6286" t="s">
        <v>176</v>
      </c>
      <c r="E6286">
        <v>185085</v>
      </c>
      <c r="F6286">
        <v>44286</v>
      </c>
      <c r="G6286">
        <v>4703</v>
      </c>
      <c r="H6286">
        <f>_xlfn.XLOOKUP(FACT_IMPORTS[[#This Row],[hts_6]],DIM_PRODUCTS[hts_6],DIM_PRODUCTS[hts_4],,,)</f>
        <v>3926</v>
      </c>
      <c r="I6286" t="str" cm="1">
        <f t="array" ref="I6286">_xlfn.XLOOKUP(FACT_IMPORTS[[#This Row],[country_name]],DIM_COUNTRY[[#All],[Column2]],DIM_COUNTRY[[#All],[Column3]],,,)</f>
        <v>Major_Non-USMCA_Non-China</v>
      </c>
    </row>
    <row r="6287" spans="1:9" x14ac:dyDescent="0.4">
      <c r="A6287" t="s">
        <v>68</v>
      </c>
      <c r="B6287" s="1">
        <v>45689</v>
      </c>
      <c r="C6287">
        <v>401110</v>
      </c>
      <c r="D6287" t="s">
        <v>176</v>
      </c>
      <c r="E6287">
        <v>0</v>
      </c>
      <c r="F6287">
        <v>0</v>
      </c>
      <c r="G6287">
        <v>0</v>
      </c>
      <c r="H6287">
        <f>_xlfn.XLOOKUP(FACT_IMPORTS[[#This Row],[hts_6]],DIM_PRODUCTS[hts_6],DIM_PRODUCTS[hts_4],,,)</f>
        <v>4011</v>
      </c>
      <c r="I6287" t="str" cm="1">
        <f t="array" ref="I6287">_xlfn.XLOOKUP(FACT_IMPORTS[[#This Row],[country_name]],DIM_COUNTRY[[#All],[Column2]],DIM_COUNTRY[[#All],[Column3]],,,)</f>
        <v>Major_Non-USMCA_Non-China</v>
      </c>
    </row>
    <row r="6288" spans="1:9" x14ac:dyDescent="0.4">
      <c r="A6288" t="s">
        <v>68</v>
      </c>
      <c r="B6288" s="1">
        <v>45689</v>
      </c>
      <c r="C6288">
        <v>401120</v>
      </c>
      <c r="D6288" t="s">
        <v>176</v>
      </c>
      <c r="E6288">
        <v>62109</v>
      </c>
      <c r="F6288">
        <v>463</v>
      </c>
      <c r="G6288">
        <v>79</v>
      </c>
      <c r="H6288">
        <f>_xlfn.XLOOKUP(FACT_IMPORTS[[#This Row],[hts_6]],DIM_PRODUCTS[hts_6],DIM_PRODUCTS[hts_4],,,)</f>
        <v>4011</v>
      </c>
      <c r="I6288" t="str" cm="1">
        <f t="array" ref="I6288">_xlfn.XLOOKUP(FACT_IMPORTS[[#This Row],[country_name]],DIM_COUNTRY[[#All],[Column2]],DIM_COUNTRY[[#All],[Column3]],,,)</f>
        <v>Major_Non-USMCA_Non-China</v>
      </c>
    </row>
    <row r="6289" spans="1:9" x14ac:dyDescent="0.4">
      <c r="A6289" t="s">
        <v>68</v>
      </c>
      <c r="B6289" s="1">
        <v>45689</v>
      </c>
      <c r="C6289">
        <v>401190</v>
      </c>
      <c r="D6289" t="s">
        <v>176</v>
      </c>
      <c r="E6289">
        <v>67502</v>
      </c>
      <c r="F6289">
        <v>2256</v>
      </c>
      <c r="G6289">
        <v>6000</v>
      </c>
      <c r="H6289">
        <f>_xlfn.XLOOKUP(FACT_IMPORTS[[#This Row],[hts_6]],DIM_PRODUCTS[hts_6],DIM_PRODUCTS[hts_4],,,)</f>
        <v>4011</v>
      </c>
      <c r="I6289" t="str" cm="1">
        <f t="array" ref="I6289">_xlfn.XLOOKUP(FACT_IMPORTS[[#This Row],[country_name]],DIM_COUNTRY[[#All],[Column2]],DIM_COUNTRY[[#All],[Column3]],,,)</f>
        <v>Major_Non-USMCA_Non-China</v>
      </c>
    </row>
    <row r="6290" spans="1:9" x14ac:dyDescent="0.4">
      <c r="A6290" t="s">
        <v>68</v>
      </c>
      <c r="B6290" s="1">
        <v>45689</v>
      </c>
      <c r="C6290">
        <v>700711</v>
      </c>
      <c r="D6290" t="s">
        <v>176</v>
      </c>
      <c r="E6290">
        <v>0</v>
      </c>
      <c r="F6290">
        <v>0</v>
      </c>
      <c r="G6290">
        <v>0</v>
      </c>
      <c r="H6290">
        <f>_xlfn.XLOOKUP(FACT_IMPORTS[[#This Row],[hts_6]],DIM_PRODUCTS[hts_6],DIM_PRODUCTS[hts_4],,,)</f>
        <v>7007</v>
      </c>
      <c r="I6290" t="str" cm="1">
        <f t="array" ref="I6290">_xlfn.XLOOKUP(FACT_IMPORTS[[#This Row],[country_name]],DIM_COUNTRY[[#All],[Column2]],DIM_COUNTRY[[#All],[Column3]],,,)</f>
        <v>Major_Non-USMCA_Non-China</v>
      </c>
    </row>
    <row r="6291" spans="1:9" x14ac:dyDescent="0.4">
      <c r="A6291" t="s">
        <v>68</v>
      </c>
      <c r="B6291" s="1">
        <v>45689</v>
      </c>
      <c r="C6291">
        <v>700721</v>
      </c>
      <c r="D6291" t="s">
        <v>176</v>
      </c>
      <c r="E6291">
        <v>0</v>
      </c>
      <c r="F6291">
        <v>0</v>
      </c>
      <c r="G6291">
        <v>0</v>
      </c>
      <c r="H6291">
        <f>_xlfn.XLOOKUP(FACT_IMPORTS[[#This Row],[hts_6]],DIM_PRODUCTS[hts_6],DIM_PRODUCTS[hts_4],,,)</f>
        <v>7007</v>
      </c>
      <c r="I6291" t="str" cm="1">
        <f t="array" ref="I6291">_xlfn.XLOOKUP(FACT_IMPORTS[[#This Row],[country_name]],DIM_COUNTRY[[#All],[Column2]],DIM_COUNTRY[[#All],[Column3]],,,)</f>
        <v>Major_Non-USMCA_Non-China</v>
      </c>
    </row>
    <row r="6292" spans="1:9" x14ac:dyDescent="0.4">
      <c r="A6292" t="s">
        <v>68</v>
      </c>
      <c r="B6292" s="1">
        <v>45689</v>
      </c>
      <c r="C6292">
        <v>700910</v>
      </c>
      <c r="D6292" t="s">
        <v>176</v>
      </c>
      <c r="E6292">
        <v>0</v>
      </c>
      <c r="F6292">
        <v>0</v>
      </c>
      <c r="G6292">
        <v>0</v>
      </c>
      <c r="H6292">
        <f>_xlfn.XLOOKUP(FACT_IMPORTS[[#This Row],[hts_6]],DIM_PRODUCTS[hts_6],DIM_PRODUCTS[hts_4],,,)</f>
        <v>7009</v>
      </c>
      <c r="I6292" t="str" cm="1">
        <f t="array" ref="I6292">_xlfn.XLOOKUP(FACT_IMPORTS[[#This Row],[country_name]],DIM_COUNTRY[[#All],[Column2]],DIM_COUNTRY[[#All],[Column3]],,,)</f>
        <v>Major_Non-USMCA_Non-China</v>
      </c>
    </row>
    <row r="6293" spans="1:9" x14ac:dyDescent="0.4">
      <c r="A6293" t="s">
        <v>68</v>
      </c>
      <c r="B6293" s="1">
        <v>45689</v>
      </c>
      <c r="C6293">
        <v>732010</v>
      </c>
      <c r="D6293" t="s">
        <v>176</v>
      </c>
      <c r="E6293">
        <v>46931</v>
      </c>
      <c r="F6293">
        <v>293</v>
      </c>
      <c r="G6293">
        <v>2713</v>
      </c>
      <c r="H6293">
        <f>_xlfn.XLOOKUP(FACT_IMPORTS[[#This Row],[hts_6]],DIM_PRODUCTS[hts_6],DIM_PRODUCTS[hts_4],,,)</f>
        <v>7320</v>
      </c>
      <c r="I6293" t="str" cm="1">
        <f t="array" ref="I6293">_xlfn.XLOOKUP(FACT_IMPORTS[[#This Row],[country_name]],DIM_COUNTRY[[#All],[Column2]],DIM_COUNTRY[[#All],[Column3]],,,)</f>
        <v>Major_Non-USMCA_Non-China</v>
      </c>
    </row>
    <row r="6294" spans="1:9" x14ac:dyDescent="0.4">
      <c r="A6294" t="s">
        <v>68</v>
      </c>
      <c r="B6294" s="1">
        <v>45689</v>
      </c>
      <c r="C6294">
        <v>830230</v>
      </c>
      <c r="D6294" t="s">
        <v>176</v>
      </c>
      <c r="E6294">
        <v>440985</v>
      </c>
      <c r="F6294">
        <v>85120</v>
      </c>
      <c r="G6294">
        <v>40578</v>
      </c>
      <c r="H6294">
        <f>_xlfn.XLOOKUP(FACT_IMPORTS[[#This Row],[hts_6]],DIM_PRODUCTS[hts_6],DIM_PRODUCTS[hts_4],,,)</f>
        <v>8302</v>
      </c>
      <c r="I6294" t="str" cm="1">
        <f t="array" ref="I6294">_xlfn.XLOOKUP(FACT_IMPORTS[[#This Row],[country_name]],DIM_COUNTRY[[#All],[Column2]],DIM_COUNTRY[[#All],[Column3]],,,)</f>
        <v>Major_Non-USMCA_Non-China</v>
      </c>
    </row>
    <row r="6295" spans="1:9" x14ac:dyDescent="0.4">
      <c r="A6295" t="s">
        <v>68</v>
      </c>
      <c r="B6295" s="1">
        <v>45689</v>
      </c>
      <c r="C6295">
        <v>840734</v>
      </c>
      <c r="D6295" t="s">
        <v>176</v>
      </c>
      <c r="E6295">
        <v>3500</v>
      </c>
      <c r="F6295">
        <v>1</v>
      </c>
      <c r="G6295">
        <v>111</v>
      </c>
      <c r="H6295">
        <f>_xlfn.XLOOKUP(FACT_IMPORTS[[#This Row],[hts_6]],DIM_PRODUCTS[hts_6],DIM_PRODUCTS[hts_4],,,)</f>
        <v>8407</v>
      </c>
      <c r="I6295" t="str" cm="1">
        <f t="array" ref="I6295">_xlfn.XLOOKUP(FACT_IMPORTS[[#This Row],[country_name]],DIM_COUNTRY[[#All],[Column2]],DIM_COUNTRY[[#All],[Column3]],,,)</f>
        <v>Major_Non-USMCA_Non-China</v>
      </c>
    </row>
    <row r="6296" spans="1:9" x14ac:dyDescent="0.4">
      <c r="A6296" t="s">
        <v>68</v>
      </c>
      <c r="B6296" s="1">
        <v>45689</v>
      </c>
      <c r="C6296">
        <v>840820</v>
      </c>
      <c r="D6296" t="s">
        <v>176</v>
      </c>
      <c r="E6296">
        <v>28914</v>
      </c>
      <c r="F6296">
        <v>1</v>
      </c>
      <c r="G6296">
        <v>150</v>
      </c>
      <c r="H6296">
        <f>_xlfn.XLOOKUP(FACT_IMPORTS[[#This Row],[hts_6]],DIM_PRODUCTS[hts_6],DIM_PRODUCTS[hts_4],,,)</f>
        <v>8408</v>
      </c>
      <c r="I6296" t="str" cm="1">
        <f t="array" ref="I6296">_xlfn.XLOOKUP(FACT_IMPORTS[[#This Row],[country_name]],DIM_COUNTRY[[#All],[Column2]],DIM_COUNTRY[[#All],[Column3]],,,)</f>
        <v>Major_Non-USMCA_Non-China</v>
      </c>
    </row>
    <row r="6297" spans="1:9" x14ac:dyDescent="0.4">
      <c r="A6297" t="s">
        <v>68</v>
      </c>
      <c r="B6297" s="1">
        <v>45689</v>
      </c>
      <c r="C6297">
        <v>840890</v>
      </c>
      <c r="D6297" t="s">
        <v>176</v>
      </c>
      <c r="E6297">
        <v>63596</v>
      </c>
      <c r="F6297">
        <v>3</v>
      </c>
      <c r="G6297">
        <v>249</v>
      </c>
      <c r="H6297">
        <f>_xlfn.XLOOKUP(FACT_IMPORTS[[#This Row],[hts_6]],DIM_PRODUCTS[hts_6],DIM_PRODUCTS[hts_4],,,)</f>
        <v>8408</v>
      </c>
      <c r="I6297" t="str" cm="1">
        <f t="array" ref="I6297">_xlfn.XLOOKUP(FACT_IMPORTS[[#This Row],[country_name]],DIM_COUNTRY[[#All],[Column2]],DIM_COUNTRY[[#All],[Column3]],,,)</f>
        <v>Major_Non-USMCA_Non-China</v>
      </c>
    </row>
    <row r="6298" spans="1:9" x14ac:dyDescent="0.4">
      <c r="A6298" t="s">
        <v>68</v>
      </c>
      <c r="B6298" s="1">
        <v>45689</v>
      </c>
      <c r="C6298">
        <v>840991</v>
      </c>
      <c r="D6298" t="s">
        <v>176</v>
      </c>
      <c r="E6298">
        <v>732297</v>
      </c>
      <c r="F6298">
        <v>32890</v>
      </c>
      <c r="G6298">
        <v>19020</v>
      </c>
      <c r="H6298">
        <f>_xlfn.XLOOKUP(FACT_IMPORTS[[#This Row],[hts_6]],DIM_PRODUCTS[hts_6],DIM_PRODUCTS[hts_4],,,)</f>
        <v>8409</v>
      </c>
      <c r="I6298" t="str" cm="1">
        <f t="array" ref="I6298">_xlfn.XLOOKUP(FACT_IMPORTS[[#This Row],[country_name]],DIM_COUNTRY[[#All],[Column2]],DIM_COUNTRY[[#All],[Column3]],,,)</f>
        <v>Major_Non-USMCA_Non-China</v>
      </c>
    </row>
    <row r="6299" spans="1:9" x14ac:dyDescent="0.4">
      <c r="A6299" t="s">
        <v>68</v>
      </c>
      <c r="B6299" s="1">
        <v>45689</v>
      </c>
      <c r="C6299">
        <v>840999</v>
      </c>
      <c r="D6299" t="s">
        <v>176</v>
      </c>
      <c r="E6299">
        <v>9995056</v>
      </c>
      <c r="F6299">
        <v>898177</v>
      </c>
      <c r="G6299">
        <v>246047</v>
      </c>
      <c r="H6299">
        <f>_xlfn.XLOOKUP(FACT_IMPORTS[[#This Row],[hts_6]],DIM_PRODUCTS[hts_6],DIM_PRODUCTS[hts_4],,,)</f>
        <v>8409</v>
      </c>
      <c r="I6299" t="str" cm="1">
        <f t="array" ref="I6299">_xlfn.XLOOKUP(FACT_IMPORTS[[#This Row],[country_name]],DIM_COUNTRY[[#All],[Column2]],DIM_COUNTRY[[#All],[Column3]],,,)</f>
        <v>Major_Non-USMCA_Non-China</v>
      </c>
    </row>
    <row r="6300" spans="1:9" x14ac:dyDescent="0.4">
      <c r="A6300" t="s">
        <v>68</v>
      </c>
      <c r="B6300" s="1">
        <v>45689</v>
      </c>
      <c r="C6300">
        <v>841330</v>
      </c>
      <c r="D6300" t="s">
        <v>176</v>
      </c>
      <c r="E6300">
        <v>1458810</v>
      </c>
      <c r="F6300">
        <v>16327</v>
      </c>
      <c r="G6300">
        <v>10898</v>
      </c>
      <c r="H6300">
        <f>_xlfn.XLOOKUP(FACT_IMPORTS[[#This Row],[hts_6]],DIM_PRODUCTS[hts_6],DIM_PRODUCTS[hts_4],,,)</f>
        <v>8413</v>
      </c>
      <c r="I6300" t="str" cm="1">
        <f t="array" ref="I6300">_xlfn.XLOOKUP(FACT_IMPORTS[[#This Row],[country_name]],DIM_COUNTRY[[#All],[Column2]],DIM_COUNTRY[[#All],[Column3]],,,)</f>
        <v>Major_Non-USMCA_Non-China</v>
      </c>
    </row>
    <row r="6301" spans="1:9" x14ac:dyDescent="0.4">
      <c r="A6301" t="s">
        <v>68</v>
      </c>
      <c r="B6301" s="1">
        <v>45689</v>
      </c>
      <c r="C6301">
        <v>841520</v>
      </c>
      <c r="D6301" t="s">
        <v>176</v>
      </c>
      <c r="E6301">
        <v>0</v>
      </c>
      <c r="F6301">
        <v>0</v>
      </c>
      <c r="G6301">
        <v>0</v>
      </c>
      <c r="H6301">
        <f>_xlfn.XLOOKUP(FACT_IMPORTS[[#This Row],[hts_6]],DIM_PRODUCTS[hts_6],DIM_PRODUCTS[hts_4],,,)</f>
        <v>8415</v>
      </c>
      <c r="I6301" t="str" cm="1">
        <f t="array" ref="I6301">_xlfn.XLOOKUP(FACT_IMPORTS[[#This Row],[country_name]],DIM_COUNTRY[[#All],[Column2]],DIM_COUNTRY[[#All],[Column3]],,,)</f>
        <v>Major_Non-USMCA_Non-China</v>
      </c>
    </row>
    <row r="6302" spans="1:9" x14ac:dyDescent="0.4">
      <c r="A6302" t="s">
        <v>68</v>
      </c>
      <c r="B6302" s="1">
        <v>45689</v>
      </c>
      <c r="C6302">
        <v>842132</v>
      </c>
      <c r="D6302" t="s">
        <v>176</v>
      </c>
      <c r="E6302">
        <v>130025</v>
      </c>
      <c r="F6302">
        <v>216</v>
      </c>
      <c r="G6302">
        <v>211</v>
      </c>
      <c r="H6302">
        <f>_xlfn.XLOOKUP(FACT_IMPORTS[[#This Row],[hts_6]],DIM_PRODUCTS[hts_6],DIM_PRODUCTS[hts_4],,,)</f>
        <v>8421</v>
      </c>
      <c r="I6302" t="str" cm="1">
        <f t="array" ref="I6302">_xlfn.XLOOKUP(FACT_IMPORTS[[#This Row],[country_name]],DIM_COUNTRY[[#All],[Column2]],DIM_COUNTRY[[#All],[Column3]],,,)</f>
        <v>Major_Non-USMCA_Non-China</v>
      </c>
    </row>
    <row r="6303" spans="1:9" x14ac:dyDescent="0.4">
      <c r="A6303" t="s">
        <v>68</v>
      </c>
      <c r="B6303" s="1">
        <v>45689</v>
      </c>
      <c r="C6303">
        <v>848210</v>
      </c>
      <c r="D6303" t="s">
        <v>176</v>
      </c>
      <c r="E6303">
        <v>88401</v>
      </c>
      <c r="F6303">
        <v>2301</v>
      </c>
      <c r="G6303">
        <v>3513</v>
      </c>
      <c r="H6303">
        <f>_xlfn.XLOOKUP(FACT_IMPORTS[[#This Row],[hts_6]],DIM_PRODUCTS[hts_6],DIM_PRODUCTS[hts_4],,,)</f>
        <v>8482</v>
      </c>
      <c r="I6303" t="str" cm="1">
        <f t="array" ref="I6303">_xlfn.XLOOKUP(FACT_IMPORTS[[#This Row],[country_name]],DIM_COUNTRY[[#All],[Column2]],DIM_COUNTRY[[#All],[Column3]],,,)</f>
        <v>Major_Non-USMCA_Non-China</v>
      </c>
    </row>
    <row r="6304" spans="1:9" x14ac:dyDescent="0.4">
      <c r="A6304" t="s">
        <v>68</v>
      </c>
      <c r="B6304" s="1">
        <v>45689</v>
      </c>
      <c r="C6304">
        <v>848220</v>
      </c>
      <c r="D6304" t="s">
        <v>176</v>
      </c>
      <c r="E6304">
        <v>84573</v>
      </c>
      <c r="F6304">
        <v>2685</v>
      </c>
      <c r="G6304">
        <v>717</v>
      </c>
      <c r="H6304">
        <f>_xlfn.XLOOKUP(FACT_IMPORTS[[#This Row],[hts_6]],DIM_PRODUCTS[hts_6],DIM_PRODUCTS[hts_4],,,)</f>
        <v>8482</v>
      </c>
      <c r="I6304" t="str" cm="1">
        <f t="array" ref="I6304">_xlfn.XLOOKUP(FACT_IMPORTS[[#This Row],[country_name]],DIM_COUNTRY[[#All],[Column2]],DIM_COUNTRY[[#All],[Column3]],,,)</f>
        <v>Major_Non-USMCA_Non-China</v>
      </c>
    </row>
    <row r="6305" spans="1:9" x14ac:dyDescent="0.4">
      <c r="A6305" t="s">
        <v>68</v>
      </c>
      <c r="B6305" s="1">
        <v>45689</v>
      </c>
      <c r="C6305">
        <v>848310</v>
      </c>
      <c r="D6305" t="s">
        <v>176</v>
      </c>
      <c r="E6305">
        <v>2718443</v>
      </c>
      <c r="F6305">
        <v>14885</v>
      </c>
      <c r="G6305">
        <v>19742</v>
      </c>
      <c r="H6305">
        <f>_xlfn.XLOOKUP(FACT_IMPORTS[[#This Row],[hts_6]],DIM_PRODUCTS[hts_6],DIM_PRODUCTS[hts_4],,,)</f>
        <v>8483</v>
      </c>
      <c r="I6305" t="str" cm="1">
        <f t="array" ref="I6305">_xlfn.XLOOKUP(FACT_IMPORTS[[#This Row],[country_name]],DIM_COUNTRY[[#All],[Column2]],DIM_COUNTRY[[#All],[Column3]],,,)</f>
        <v>Major_Non-USMCA_Non-China</v>
      </c>
    </row>
    <row r="6306" spans="1:9" x14ac:dyDescent="0.4">
      <c r="A6306" t="s">
        <v>68</v>
      </c>
      <c r="B6306" s="1">
        <v>45689</v>
      </c>
      <c r="C6306">
        <v>850131</v>
      </c>
      <c r="D6306" t="s">
        <v>176</v>
      </c>
      <c r="E6306">
        <v>356602</v>
      </c>
      <c r="F6306">
        <v>11336</v>
      </c>
      <c r="G6306">
        <v>12702</v>
      </c>
      <c r="H6306">
        <f>_xlfn.XLOOKUP(FACT_IMPORTS[[#This Row],[hts_6]],DIM_PRODUCTS[hts_6],DIM_PRODUCTS[hts_4],,,)</f>
        <v>8501</v>
      </c>
      <c r="I6306" t="str" cm="1">
        <f t="array" ref="I6306">_xlfn.XLOOKUP(FACT_IMPORTS[[#This Row],[country_name]],DIM_COUNTRY[[#All],[Column2]],DIM_COUNTRY[[#All],[Column3]],,,)</f>
        <v>Major_Non-USMCA_Non-China</v>
      </c>
    </row>
    <row r="6307" spans="1:9" x14ac:dyDescent="0.4">
      <c r="A6307" t="s">
        <v>68</v>
      </c>
      <c r="B6307" s="1">
        <v>45689</v>
      </c>
      <c r="C6307">
        <v>850132</v>
      </c>
      <c r="D6307" t="s">
        <v>176</v>
      </c>
      <c r="E6307">
        <v>159900</v>
      </c>
      <c r="F6307">
        <v>22</v>
      </c>
      <c r="G6307">
        <v>745</v>
      </c>
      <c r="H6307">
        <f>_xlfn.XLOOKUP(FACT_IMPORTS[[#This Row],[hts_6]],DIM_PRODUCTS[hts_6],DIM_PRODUCTS[hts_4],,,)</f>
        <v>8501</v>
      </c>
      <c r="I6307" t="str" cm="1">
        <f t="array" ref="I6307">_xlfn.XLOOKUP(FACT_IMPORTS[[#This Row],[country_name]],DIM_COUNTRY[[#All],[Column2]],DIM_COUNTRY[[#All],[Column3]],,,)</f>
        <v>Major_Non-USMCA_Non-China</v>
      </c>
    </row>
    <row r="6308" spans="1:9" x14ac:dyDescent="0.4">
      <c r="A6308" t="s">
        <v>68</v>
      </c>
      <c r="B6308" s="1">
        <v>45689</v>
      </c>
      <c r="C6308">
        <v>850133</v>
      </c>
      <c r="D6308" t="s">
        <v>176</v>
      </c>
      <c r="E6308">
        <v>21137</v>
      </c>
      <c r="F6308">
        <v>4</v>
      </c>
      <c r="G6308">
        <v>1354</v>
      </c>
      <c r="H6308">
        <f>_xlfn.XLOOKUP(FACT_IMPORTS[[#This Row],[hts_6]],DIM_PRODUCTS[hts_6],DIM_PRODUCTS[hts_4],,,)</f>
        <v>8501</v>
      </c>
      <c r="I6308" t="str" cm="1">
        <f t="array" ref="I6308">_xlfn.XLOOKUP(FACT_IMPORTS[[#This Row],[country_name]],DIM_COUNTRY[[#All],[Column2]],DIM_COUNTRY[[#All],[Column3]],,,)</f>
        <v>Major_Non-USMCA_Non-China</v>
      </c>
    </row>
    <row r="6309" spans="1:9" x14ac:dyDescent="0.4">
      <c r="A6309" t="s">
        <v>68</v>
      </c>
      <c r="B6309" s="1">
        <v>45689</v>
      </c>
      <c r="C6309">
        <v>850134</v>
      </c>
      <c r="D6309" t="s">
        <v>176</v>
      </c>
      <c r="E6309">
        <v>13283</v>
      </c>
      <c r="F6309">
        <v>2</v>
      </c>
      <c r="G6309">
        <v>716</v>
      </c>
      <c r="H6309">
        <f>_xlfn.XLOOKUP(FACT_IMPORTS[[#This Row],[hts_6]],DIM_PRODUCTS[hts_6],DIM_PRODUCTS[hts_4],,,)</f>
        <v>8501</v>
      </c>
      <c r="I6309" t="str" cm="1">
        <f t="array" ref="I6309">_xlfn.XLOOKUP(FACT_IMPORTS[[#This Row],[country_name]],DIM_COUNTRY[[#All],[Column2]],DIM_COUNTRY[[#All],[Column3]],,,)</f>
        <v>Major_Non-USMCA_Non-China</v>
      </c>
    </row>
    <row r="6310" spans="1:9" x14ac:dyDescent="0.4">
      <c r="A6310" t="s">
        <v>68</v>
      </c>
      <c r="B6310" s="1">
        <v>45689</v>
      </c>
      <c r="C6310">
        <v>850152</v>
      </c>
      <c r="D6310" t="s">
        <v>176</v>
      </c>
      <c r="E6310">
        <v>426281</v>
      </c>
      <c r="F6310">
        <v>203</v>
      </c>
      <c r="G6310">
        <v>31688</v>
      </c>
      <c r="H6310">
        <f>_xlfn.XLOOKUP(FACT_IMPORTS[[#This Row],[hts_6]],DIM_PRODUCTS[hts_6],DIM_PRODUCTS[hts_4],,,)</f>
        <v>8501</v>
      </c>
      <c r="I6310" t="str" cm="1">
        <f t="array" ref="I6310">_xlfn.XLOOKUP(FACT_IMPORTS[[#This Row],[country_name]],DIM_COUNTRY[[#All],[Column2]],DIM_COUNTRY[[#All],[Column3]],,,)</f>
        <v>Major_Non-USMCA_Non-China</v>
      </c>
    </row>
    <row r="6311" spans="1:9" x14ac:dyDescent="0.4">
      <c r="A6311" t="s">
        <v>68</v>
      </c>
      <c r="B6311" s="1">
        <v>45689</v>
      </c>
      <c r="C6311">
        <v>850153</v>
      </c>
      <c r="D6311" t="s">
        <v>176</v>
      </c>
      <c r="E6311">
        <v>236726</v>
      </c>
      <c r="F6311">
        <v>21</v>
      </c>
      <c r="G6311">
        <v>5572</v>
      </c>
      <c r="H6311">
        <f>_xlfn.XLOOKUP(FACT_IMPORTS[[#This Row],[hts_6]],DIM_PRODUCTS[hts_6],DIM_PRODUCTS[hts_4],,,)</f>
        <v>8501</v>
      </c>
      <c r="I6311" t="str" cm="1">
        <f t="array" ref="I6311">_xlfn.XLOOKUP(FACT_IMPORTS[[#This Row],[country_name]],DIM_COUNTRY[[#All],[Column2]],DIM_COUNTRY[[#All],[Column3]],,,)</f>
        <v>Major_Non-USMCA_Non-China</v>
      </c>
    </row>
    <row r="6312" spans="1:9" x14ac:dyDescent="0.4">
      <c r="A6312" t="s">
        <v>68</v>
      </c>
      <c r="B6312" s="1">
        <v>45689</v>
      </c>
      <c r="C6312">
        <v>850161</v>
      </c>
      <c r="D6312" t="s">
        <v>176</v>
      </c>
      <c r="E6312">
        <v>0</v>
      </c>
      <c r="F6312">
        <v>0</v>
      </c>
      <c r="G6312">
        <v>0</v>
      </c>
      <c r="H6312">
        <f>_xlfn.XLOOKUP(FACT_IMPORTS[[#This Row],[hts_6]],DIM_PRODUCTS[hts_6],DIM_PRODUCTS[hts_4],,,)</f>
        <v>8501</v>
      </c>
      <c r="I6312" t="str" cm="1">
        <f t="array" ref="I6312">_xlfn.XLOOKUP(FACT_IMPORTS[[#This Row],[country_name]],DIM_COUNTRY[[#All],[Column2]],DIM_COUNTRY[[#All],[Column3]],,,)</f>
        <v>Major_Non-USMCA_Non-China</v>
      </c>
    </row>
    <row r="6313" spans="1:9" x14ac:dyDescent="0.4">
      <c r="A6313" t="s">
        <v>68</v>
      </c>
      <c r="B6313" s="1">
        <v>45689</v>
      </c>
      <c r="C6313">
        <v>850440</v>
      </c>
      <c r="D6313" t="s">
        <v>176</v>
      </c>
      <c r="E6313">
        <v>1470595</v>
      </c>
      <c r="F6313">
        <v>13508</v>
      </c>
      <c r="G6313">
        <v>36295</v>
      </c>
      <c r="H6313">
        <f>_xlfn.XLOOKUP(FACT_IMPORTS[[#This Row],[hts_6]],DIM_PRODUCTS[hts_6],DIM_PRODUCTS[hts_4],,,)</f>
        <v>8504</v>
      </c>
      <c r="I6313" t="str" cm="1">
        <f t="array" ref="I6313">_xlfn.XLOOKUP(FACT_IMPORTS[[#This Row],[country_name]],DIM_COUNTRY[[#All],[Column2]],DIM_COUNTRY[[#All],[Column3]],,,)</f>
        <v>Major_Non-USMCA_Non-China</v>
      </c>
    </row>
    <row r="6314" spans="1:9" x14ac:dyDescent="0.4">
      <c r="A6314" t="s">
        <v>68</v>
      </c>
      <c r="B6314" s="1">
        <v>45689</v>
      </c>
      <c r="C6314">
        <v>850710</v>
      </c>
      <c r="D6314" t="s">
        <v>176</v>
      </c>
      <c r="E6314">
        <v>0</v>
      </c>
      <c r="F6314">
        <v>0</v>
      </c>
      <c r="G6314">
        <v>0</v>
      </c>
      <c r="H6314">
        <f>_xlfn.XLOOKUP(FACT_IMPORTS[[#This Row],[hts_6]],DIM_PRODUCTS[hts_6],DIM_PRODUCTS[hts_4],,,)</f>
        <v>8507</v>
      </c>
      <c r="I6314" t="str" cm="1">
        <f t="array" ref="I6314">_xlfn.XLOOKUP(FACT_IMPORTS[[#This Row],[country_name]],DIM_COUNTRY[[#All],[Column2]],DIM_COUNTRY[[#All],[Column3]],,,)</f>
        <v>Major_Non-USMCA_Non-China</v>
      </c>
    </row>
    <row r="6315" spans="1:9" x14ac:dyDescent="0.4">
      <c r="A6315" t="s">
        <v>68</v>
      </c>
      <c r="B6315" s="1">
        <v>45689</v>
      </c>
      <c r="C6315">
        <v>850760</v>
      </c>
      <c r="D6315" t="s">
        <v>176</v>
      </c>
      <c r="E6315">
        <v>13469</v>
      </c>
      <c r="F6315">
        <v>11</v>
      </c>
      <c r="G6315">
        <v>513</v>
      </c>
      <c r="H6315">
        <f>_xlfn.XLOOKUP(FACT_IMPORTS[[#This Row],[hts_6]],DIM_PRODUCTS[hts_6],DIM_PRODUCTS[hts_4],,,)</f>
        <v>8507</v>
      </c>
      <c r="I6315" t="str" cm="1">
        <f t="array" ref="I6315">_xlfn.XLOOKUP(FACT_IMPORTS[[#This Row],[country_name]],DIM_COUNTRY[[#All],[Column2]],DIM_COUNTRY[[#All],[Column3]],,,)</f>
        <v>Major_Non-USMCA_Non-China</v>
      </c>
    </row>
    <row r="6316" spans="1:9" x14ac:dyDescent="0.4">
      <c r="A6316" t="s">
        <v>68</v>
      </c>
      <c r="B6316" s="1">
        <v>45689</v>
      </c>
      <c r="C6316">
        <v>850790</v>
      </c>
      <c r="D6316" t="s">
        <v>176</v>
      </c>
      <c r="E6316">
        <v>199787</v>
      </c>
      <c r="F6316">
        <v>14448</v>
      </c>
      <c r="G6316">
        <v>5393</v>
      </c>
      <c r="H6316">
        <f>_xlfn.XLOOKUP(FACT_IMPORTS[[#This Row],[hts_6]],DIM_PRODUCTS[hts_6],DIM_PRODUCTS[hts_4],,,)</f>
        <v>8507</v>
      </c>
      <c r="I6316" t="str" cm="1">
        <f t="array" ref="I6316">_xlfn.XLOOKUP(FACT_IMPORTS[[#This Row],[country_name]],DIM_COUNTRY[[#All],[Column2]],DIM_COUNTRY[[#All],[Column3]],,,)</f>
        <v>Major_Non-USMCA_Non-China</v>
      </c>
    </row>
    <row r="6317" spans="1:9" x14ac:dyDescent="0.4">
      <c r="A6317" t="s">
        <v>68</v>
      </c>
      <c r="B6317" s="1">
        <v>45689</v>
      </c>
      <c r="C6317">
        <v>851110</v>
      </c>
      <c r="D6317" t="s">
        <v>176</v>
      </c>
      <c r="E6317">
        <v>58647</v>
      </c>
      <c r="F6317">
        <v>86</v>
      </c>
      <c r="G6317">
        <v>26</v>
      </c>
      <c r="H6317">
        <f>_xlfn.XLOOKUP(FACT_IMPORTS[[#This Row],[hts_6]],DIM_PRODUCTS[hts_6],DIM_PRODUCTS[hts_4],,,)</f>
        <v>8511</v>
      </c>
      <c r="I6317" t="str" cm="1">
        <f t="array" ref="I6317">_xlfn.XLOOKUP(FACT_IMPORTS[[#This Row],[country_name]],DIM_COUNTRY[[#All],[Column2]],DIM_COUNTRY[[#All],[Column3]],,,)</f>
        <v>Major_Non-USMCA_Non-China</v>
      </c>
    </row>
    <row r="6318" spans="1:9" x14ac:dyDescent="0.4">
      <c r="A6318" t="s">
        <v>68</v>
      </c>
      <c r="B6318" s="1">
        <v>45689</v>
      </c>
      <c r="C6318">
        <v>851130</v>
      </c>
      <c r="D6318" t="s">
        <v>176</v>
      </c>
      <c r="E6318">
        <v>0</v>
      </c>
      <c r="F6318">
        <v>0</v>
      </c>
      <c r="G6318">
        <v>0</v>
      </c>
      <c r="H6318">
        <f>_xlfn.XLOOKUP(FACT_IMPORTS[[#This Row],[hts_6]],DIM_PRODUCTS[hts_6],DIM_PRODUCTS[hts_4],,,)</f>
        <v>8511</v>
      </c>
      <c r="I6318" t="str" cm="1">
        <f t="array" ref="I6318">_xlfn.XLOOKUP(FACT_IMPORTS[[#This Row],[country_name]],DIM_COUNTRY[[#All],[Column2]],DIM_COUNTRY[[#All],[Column3]],,,)</f>
        <v>Major_Non-USMCA_Non-China</v>
      </c>
    </row>
    <row r="6319" spans="1:9" x14ac:dyDescent="0.4">
      <c r="A6319" t="s">
        <v>68</v>
      </c>
      <c r="B6319" s="1">
        <v>45689</v>
      </c>
      <c r="C6319">
        <v>851140</v>
      </c>
      <c r="D6319" t="s">
        <v>176</v>
      </c>
      <c r="E6319">
        <v>0</v>
      </c>
      <c r="F6319">
        <v>0</v>
      </c>
      <c r="G6319">
        <v>0</v>
      </c>
      <c r="H6319">
        <f>_xlfn.XLOOKUP(FACT_IMPORTS[[#This Row],[hts_6]],DIM_PRODUCTS[hts_6],DIM_PRODUCTS[hts_4],,,)</f>
        <v>8511</v>
      </c>
      <c r="I6319" t="str" cm="1">
        <f t="array" ref="I6319">_xlfn.XLOOKUP(FACT_IMPORTS[[#This Row],[country_name]],DIM_COUNTRY[[#All],[Column2]],DIM_COUNTRY[[#All],[Column3]],,,)</f>
        <v>Major_Non-USMCA_Non-China</v>
      </c>
    </row>
    <row r="6320" spans="1:9" x14ac:dyDescent="0.4">
      <c r="A6320" t="s">
        <v>68</v>
      </c>
      <c r="B6320" s="1">
        <v>45689</v>
      </c>
      <c r="C6320">
        <v>851150</v>
      </c>
      <c r="D6320" t="s">
        <v>176</v>
      </c>
      <c r="E6320">
        <v>10354</v>
      </c>
      <c r="F6320">
        <v>4</v>
      </c>
      <c r="G6320">
        <v>213</v>
      </c>
      <c r="H6320">
        <f>_xlfn.XLOOKUP(FACT_IMPORTS[[#This Row],[hts_6]],DIM_PRODUCTS[hts_6],DIM_PRODUCTS[hts_4],,,)</f>
        <v>8511</v>
      </c>
      <c r="I6320" t="str" cm="1">
        <f t="array" ref="I6320">_xlfn.XLOOKUP(FACT_IMPORTS[[#This Row],[country_name]],DIM_COUNTRY[[#All],[Column2]],DIM_COUNTRY[[#All],[Column3]],,,)</f>
        <v>Major_Non-USMCA_Non-China</v>
      </c>
    </row>
    <row r="6321" spans="1:9" x14ac:dyDescent="0.4">
      <c r="A6321" t="s">
        <v>68</v>
      </c>
      <c r="B6321" s="1">
        <v>45689</v>
      </c>
      <c r="C6321">
        <v>851180</v>
      </c>
      <c r="D6321" t="s">
        <v>176</v>
      </c>
      <c r="E6321">
        <v>401002</v>
      </c>
      <c r="F6321">
        <v>1815</v>
      </c>
      <c r="G6321">
        <v>715</v>
      </c>
      <c r="H6321">
        <f>_xlfn.XLOOKUP(FACT_IMPORTS[[#This Row],[hts_6]],DIM_PRODUCTS[hts_6],DIM_PRODUCTS[hts_4],,,)</f>
        <v>8511</v>
      </c>
      <c r="I6321" t="str" cm="1">
        <f t="array" ref="I6321">_xlfn.XLOOKUP(FACT_IMPORTS[[#This Row],[country_name]],DIM_COUNTRY[[#All],[Column2]],DIM_COUNTRY[[#All],[Column3]],,,)</f>
        <v>Major_Non-USMCA_Non-China</v>
      </c>
    </row>
    <row r="6322" spans="1:9" x14ac:dyDescent="0.4">
      <c r="A6322" t="s">
        <v>68</v>
      </c>
      <c r="B6322" s="1">
        <v>45689</v>
      </c>
      <c r="C6322">
        <v>851190</v>
      </c>
      <c r="D6322" t="s">
        <v>176</v>
      </c>
      <c r="E6322">
        <v>3096</v>
      </c>
      <c r="F6322">
        <v>27</v>
      </c>
      <c r="G6322">
        <v>300</v>
      </c>
      <c r="H6322">
        <f>_xlfn.XLOOKUP(FACT_IMPORTS[[#This Row],[hts_6]],DIM_PRODUCTS[hts_6],DIM_PRODUCTS[hts_4],,,)</f>
        <v>8511</v>
      </c>
      <c r="I6322" t="str" cm="1">
        <f t="array" ref="I6322">_xlfn.XLOOKUP(FACT_IMPORTS[[#This Row],[country_name]],DIM_COUNTRY[[#All],[Column2]],DIM_COUNTRY[[#All],[Column3]],,,)</f>
        <v>Major_Non-USMCA_Non-China</v>
      </c>
    </row>
    <row r="6323" spans="1:9" x14ac:dyDescent="0.4">
      <c r="A6323" t="s">
        <v>68</v>
      </c>
      <c r="B6323" s="1">
        <v>45689</v>
      </c>
      <c r="C6323">
        <v>851220</v>
      </c>
      <c r="D6323" t="s">
        <v>176</v>
      </c>
      <c r="E6323">
        <v>313238</v>
      </c>
      <c r="F6323">
        <v>88318</v>
      </c>
      <c r="G6323">
        <v>17440</v>
      </c>
      <c r="H6323">
        <f>_xlfn.XLOOKUP(FACT_IMPORTS[[#This Row],[hts_6]],DIM_PRODUCTS[hts_6],DIM_PRODUCTS[hts_4],,,)</f>
        <v>8512</v>
      </c>
      <c r="I6323" t="str" cm="1">
        <f t="array" ref="I6323">_xlfn.XLOOKUP(FACT_IMPORTS[[#This Row],[country_name]],DIM_COUNTRY[[#All],[Column2]],DIM_COUNTRY[[#All],[Column3]],,,)</f>
        <v>Major_Non-USMCA_Non-China</v>
      </c>
    </row>
    <row r="6324" spans="1:9" x14ac:dyDescent="0.4">
      <c r="A6324" t="s">
        <v>68</v>
      </c>
      <c r="B6324" s="1">
        <v>45689</v>
      </c>
      <c r="C6324">
        <v>851230</v>
      </c>
      <c r="D6324" t="s">
        <v>176</v>
      </c>
      <c r="E6324">
        <v>0</v>
      </c>
      <c r="F6324">
        <v>0</v>
      </c>
      <c r="G6324">
        <v>0</v>
      </c>
      <c r="H6324">
        <f>_xlfn.XLOOKUP(FACT_IMPORTS[[#This Row],[hts_6]],DIM_PRODUCTS[hts_6],DIM_PRODUCTS[hts_4],,,)</f>
        <v>8512</v>
      </c>
      <c r="I6324" t="str" cm="1">
        <f t="array" ref="I6324">_xlfn.XLOOKUP(FACT_IMPORTS[[#This Row],[country_name]],DIM_COUNTRY[[#All],[Column2]],DIM_COUNTRY[[#All],[Column3]],,,)</f>
        <v>Major_Non-USMCA_Non-China</v>
      </c>
    </row>
    <row r="6325" spans="1:9" x14ac:dyDescent="0.4">
      <c r="A6325" t="s">
        <v>68</v>
      </c>
      <c r="B6325" s="1">
        <v>45689</v>
      </c>
      <c r="C6325">
        <v>851290</v>
      </c>
      <c r="D6325" t="s">
        <v>176</v>
      </c>
      <c r="E6325">
        <v>0</v>
      </c>
      <c r="F6325">
        <v>0</v>
      </c>
      <c r="G6325">
        <v>0</v>
      </c>
      <c r="H6325">
        <f>_xlfn.XLOOKUP(FACT_IMPORTS[[#This Row],[hts_6]],DIM_PRODUCTS[hts_6],DIM_PRODUCTS[hts_4],,,)</f>
        <v>8512</v>
      </c>
      <c r="I6325" t="str" cm="1">
        <f t="array" ref="I6325">_xlfn.XLOOKUP(FACT_IMPORTS[[#This Row],[country_name]],DIM_COUNTRY[[#All],[Column2]],DIM_COUNTRY[[#All],[Column3]],,,)</f>
        <v>Major_Non-USMCA_Non-China</v>
      </c>
    </row>
    <row r="6326" spans="1:9" x14ac:dyDescent="0.4">
      <c r="A6326" t="s">
        <v>68</v>
      </c>
      <c r="B6326" s="1">
        <v>45689</v>
      </c>
      <c r="C6326">
        <v>854231</v>
      </c>
      <c r="D6326" t="s">
        <v>176</v>
      </c>
      <c r="E6326">
        <v>5411</v>
      </c>
      <c r="F6326">
        <v>6</v>
      </c>
      <c r="G6326">
        <v>850</v>
      </c>
      <c r="H6326">
        <f>_xlfn.XLOOKUP(FACT_IMPORTS[[#This Row],[hts_6]],DIM_PRODUCTS[hts_6],DIM_PRODUCTS[hts_4],,,)</f>
        <v>8542</v>
      </c>
      <c r="I6326" t="str" cm="1">
        <f t="array" ref="I6326">_xlfn.XLOOKUP(FACT_IMPORTS[[#This Row],[country_name]],DIM_COUNTRY[[#All],[Column2]],DIM_COUNTRY[[#All],[Column3]],,,)</f>
        <v>Major_Non-USMCA_Non-China</v>
      </c>
    </row>
    <row r="6327" spans="1:9" x14ac:dyDescent="0.4">
      <c r="A6327" t="s">
        <v>68</v>
      </c>
      <c r="B6327" s="1">
        <v>45689</v>
      </c>
      <c r="C6327">
        <v>854232</v>
      </c>
      <c r="D6327" t="s">
        <v>176</v>
      </c>
      <c r="E6327">
        <v>0</v>
      </c>
      <c r="F6327">
        <v>0</v>
      </c>
      <c r="G6327">
        <v>0</v>
      </c>
      <c r="H6327">
        <f>_xlfn.XLOOKUP(FACT_IMPORTS[[#This Row],[hts_6]],DIM_PRODUCTS[hts_6],DIM_PRODUCTS[hts_4],,,)</f>
        <v>8542</v>
      </c>
      <c r="I6327" t="str" cm="1">
        <f t="array" ref="I6327">_xlfn.XLOOKUP(FACT_IMPORTS[[#This Row],[country_name]],DIM_COUNTRY[[#All],[Column2]],DIM_COUNTRY[[#All],[Column3]],,,)</f>
        <v>Major_Non-USMCA_Non-China</v>
      </c>
    </row>
    <row r="6328" spans="1:9" x14ac:dyDescent="0.4">
      <c r="A6328" t="s">
        <v>68</v>
      </c>
      <c r="B6328" s="1">
        <v>45689</v>
      </c>
      <c r="C6328">
        <v>854233</v>
      </c>
      <c r="D6328" t="s">
        <v>176</v>
      </c>
      <c r="E6328">
        <v>0</v>
      </c>
      <c r="F6328">
        <v>0</v>
      </c>
      <c r="G6328">
        <v>0</v>
      </c>
      <c r="H6328">
        <f>_xlfn.XLOOKUP(FACT_IMPORTS[[#This Row],[hts_6]],DIM_PRODUCTS[hts_6],DIM_PRODUCTS[hts_4],,,)</f>
        <v>8542</v>
      </c>
      <c r="I6328" t="str" cm="1">
        <f t="array" ref="I6328">_xlfn.XLOOKUP(FACT_IMPORTS[[#This Row],[country_name]],DIM_COUNTRY[[#All],[Column2]],DIM_COUNTRY[[#All],[Column3]],,,)</f>
        <v>Major_Non-USMCA_Non-China</v>
      </c>
    </row>
    <row r="6329" spans="1:9" x14ac:dyDescent="0.4">
      <c r="A6329" t="s">
        <v>68</v>
      </c>
      <c r="B6329" s="1">
        <v>45689</v>
      </c>
      <c r="C6329">
        <v>854239</v>
      </c>
      <c r="D6329" t="s">
        <v>176</v>
      </c>
      <c r="E6329">
        <v>0</v>
      </c>
      <c r="F6329">
        <v>0</v>
      </c>
      <c r="G6329">
        <v>0</v>
      </c>
      <c r="H6329">
        <f>_xlfn.XLOOKUP(FACT_IMPORTS[[#This Row],[hts_6]],DIM_PRODUCTS[hts_6],DIM_PRODUCTS[hts_4],,,)</f>
        <v>8542</v>
      </c>
      <c r="I6329" t="str" cm="1">
        <f t="array" ref="I6329">_xlfn.XLOOKUP(FACT_IMPORTS[[#This Row],[country_name]],DIM_COUNTRY[[#All],[Column2]],DIM_COUNTRY[[#All],[Column3]],,,)</f>
        <v>Major_Non-USMCA_Non-China</v>
      </c>
    </row>
    <row r="6330" spans="1:9" x14ac:dyDescent="0.4">
      <c r="A6330" t="s">
        <v>68</v>
      </c>
      <c r="B6330" s="1">
        <v>45689</v>
      </c>
      <c r="C6330">
        <v>854290</v>
      </c>
      <c r="D6330" t="s">
        <v>176</v>
      </c>
      <c r="E6330">
        <v>2368</v>
      </c>
      <c r="F6330">
        <v>9</v>
      </c>
      <c r="G6330">
        <v>32</v>
      </c>
      <c r="H6330">
        <f>_xlfn.XLOOKUP(FACT_IMPORTS[[#This Row],[hts_6]],DIM_PRODUCTS[hts_6],DIM_PRODUCTS[hts_4],,,)</f>
        <v>8542</v>
      </c>
      <c r="I6330" t="str" cm="1">
        <f t="array" ref="I6330">_xlfn.XLOOKUP(FACT_IMPORTS[[#This Row],[country_name]],DIM_COUNTRY[[#All],[Column2]],DIM_COUNTRY[[#All],[Column3]],,,)</f>
        <v>Major_Non-USMCA_Non-China</v>
      </c>
    </row>
    <row r="6331" spans="1:9" x14ac:dyDescent="0.4">
      <c r="A6331" t="s">
        <v>68</v>
      </c>
      <c r="B6331" s="1">
        <v>45689</v>
      </c>
      <c r="C6331">
        <v>854430</v>
      </c>
      <c r="D6331" t="s">
        <v>176</v>
      </c>
      <c r="E6331">
        <v>80556</v>
      </c>
      <c r="F6331">
        <v>3245</v>
      </c>
      <c r="G6331">
        <v>461</v>
      </c>
      <c r="H6331">
        <f>_xlfn.XLOOKUP(FACT_IMPORTS[[#This Row],[hts_6]],DIM_PRODUCTS[hts_6],DIM_PRODUCTS[hts_4],,,)</f>
        <v>8544</v>
      </c>
      <c r="I6331" t="str" cm="1">
        <f t="array" ref="I6331">_xlfn.XLOOKUP(FACT_IMPORTS[[#This Row],[country_name]],DIM_COUNTRY[[#All],[Column2]],DIM_COUNTRY[[#All],[Column3]],,,)</f>
        <v>Major_Non-USMCA_Non-China</v>
      </c>
    </row>
    <row r="6332" spans="1:9" x14ac:dyDescent="0.4">
      <c r="A6332" t="s">
        <v>68</v>
      </c>
      <c r="B6332" s="1">
        <v>45689</v>
      </c>
      <c r="C6332">
        <v>870710</v>
      </c>
      <c r="D6332" t="s">
        <v>176</v>
      </c>
      <c r="E6332">
        <v>11023</v>
      </c>
      <c r="F6332">
        <v>1</v>
      </c>
      <c r="G6332">
        <v>1000</v>
      </c>
      <c r="H6332">
        <f>_xlfn.XLOOKUP(FACT_IMPORTS[[#This Row],[hts_6]],DIM_PRODUCTS[hts_6],DIM_PRODUCTS[hts_4],,,)</f>
        <v>8707</v>
      </c>
      <c r="I6332" t="str" cm="1">
        <f t="array" ref="I6332">_xlfn.XLOOKUP(FACT_IMPORTS[[#This Row],[country_name]],DIM_COUNTRY[[#All],[Column2]],DIM_COUNTRY[[#All],[Column3]],,,)</f>
        <v>Major_Non-USMCA_Non-China</v>
      </c>
    </row>
    <row r="6333" spans="1:9" x14ac:dyDescent="0.4">
      <c r="A6333" t="s">
        <v>68</v>
      </c>
      <c r="B6333" s="1">
        <v>45689</v>
      </c>
      <c r="C6333">
        <v>870790</v>
      </c>
      <c r="D6333" t="s">
        <v>176</v>
      </c>
      <c r="E6333">
        <v>0</v>
      </c>
      <c r="F6333">
        <v>0</v>
      </c>
      <c r="G6333">
        <v>0</v>
      </c>
      <c r="H6333">
        <f>_xlfn.XLOOKUP(FACT_IMPORTS[[#This Row],[hts_6]],DIM_PRODUCTS[hts_6],DIM_PRODUCTS[hts_4],,,)</f>
        <v>8707</v>
      </c>
      <c r="I6333" t="str" cm="1">
        <f t="array" ref="I6333">_xlfn.XLOOKUP(FACT_IMPORTS[[#This Row],[country_name]],DIM_COUNTRY[[#All],[Column2]],DIM_COUNTRY[[#All],[Column3]],,,)</f>
        <v>Major_Non-USMCA_Non-China</v>
      </c>
    </row>
    <row r="6334" spans="1:9" x14ac:dyDescent="0.4">
      <c r="A6334" t="s">
        <v>68</v>
      </c>
      <c r="B6334" s="1">
        <v>45689</v>
      </c>
      <c r="C6334">
        <v>870810</v>
      </c>
      <c r="D6334" t="s">
        <v>176</v>
      </c>
      <c r="E6334">
        <v>0</v>
      </c>
      <c r="F6334">
        <v>0</v>
      </c>
      <c r="G6334">
        <v>0</v>
      </c>
      <c r="H6334">
        <f>_xlfn.XLOOKUP(FACT_IMPORTS[[#This Row],[hts_6]],DIM_PRODUCTS[hts_6],DIM_PRODUCTS[hts_4],,,)</f>
        <v>8708</v>
      </c>
      <c r="I6334" t="str" cm="1">
        <f t="array" ref="I6334">_xlfn.XLOOKUP(FACT_IMPORTS[[#This Row],[country_name]],DIM_COUNTRY[[#All],[Column2]],DIM_COUNTRY[[#All],[Column3]],,,)</f>
        <v>Major_Non-USMCA_Non-China</v>
      </c>
    </row>
    <row r="6335" spans="1:9" x14ac:dyDescent="0.4">
      <c r="A6335" t="s">
        <v>68</v>
      </c>
      <c r="B6335" s="1">
        <v>45689</v>
      </c>
      <c r="C6335">
        <v>870821</v>
      </c>
      <c r="D6335" t="s">
        <v>176</v>
      </c>
      <c r="E6335">
        <v>0</v>
      </c>
      <c r="F6335">
        <v>0</v>
      </c>
      <c r="G6335">
        <v>0</v>
      </c>
      <c r="H6335">
        <f>_xlfn.XLOOKUP(FACT_IMPORTS[[#This Row],[hts_6]],DIM_PRODUCTS[hts_6],DIM_PRODUCTS[hts_4],,,)</f>
        <v>8708</v>
      </c>
      <c r="I6335" t="str" cm="1">
        <f t="array" ref="I6335">_xlfn.XLOOKUP(FACT_IMPORTS[[#This Row],[country_name]],DIM_COUNTRY[[#All],[Column2]],DIM_COUNTRY[[#All],[Column3]],,,)</f>
        <v>Major_Non-USMCA_Non-China</v>
      </c>
    </row>
    <row r="6336" spans="1:9" x14ac:dyDescent="0.4">
      <c r="A6336" t="s">
        <v>68</v>
      </c>
      <c r="B6336" s="1">
        <v>45689</v>
      </c>
      <c r="C6336">
        <v>870822</v>
      </c>
      <c r="D6336" t="s">
        <v>176</v>
      </c>
      <c r="E6336">
        <v>2184</v>
      </c>
      <c r="F6336">
        <v>1</v>
      </c>
      <c r="G6336">
        <v>218</v>
      </c>
      <c r="H6336">
        <f>_xlfn.XLOOKUP(FACT_IMPORTS[[#This Row],[hts_6]],DIM_PRODUCTS[hts_6],DIM_PRODUCTS[hts_4],,,)</f>
        <v>8708</v>
      </c>
      <c r="I6336" t="str" cm="1">
        <f t="array" ref="I6336">_xlfn.XLOOKUP(FACT_IMPORTS[[#This Row],[country_name]],DIM_COUNTRY[[#All],[Column2]],DIM_COUNTRY[[#All],[Column3]],,,)</f>
        <v>Major_Non-USMCA_Non-China</v>
      </c>
    </row>
    <row r="6337" spans="1:9" x14ac:dyDescent="0.4">
      <c r="A6337" t="s">
        <v>68</v>
      </c>
      <c r="B6337" s="1">
        <v>45689</v>
      </c>
      <c r="C6337">
        <v>870829</v>
      </c>
      <c r="D6337" t="s">
        <v>176</v>
      </c>
      <c r="E6337">
        <v>3353616</v>
      </c>
      <c r="F6337">
        <v>1851614</v>
      </c>
      <c r="G6337">
        <v>121956</v>
      </c>
      <c r="H6337">
        <f>_xlfn.XLOOKUP(FACT_IMPORTS[[#This Row],[hts_6]],DIM_PRODUCTS[hts_6],DIM_PRODUCTS[hts_4],,,)</f>
        <v>8708</v>
      </c>
      <c r="I6337" t="str" cm="1">
        <f t="array" ref="I6337">_xlfn.XLOOKUP(FACT_IMPORTS[[#This Row],[country_name]],DIM_COUNTRY[[#All],[Column2]],DIM_COUNTRY[[#All],[Column3]],,,)</f>
        <v>Major_Non-USMCA_Non-China</v>
      </c>
    </row>
    <row r="6338" spans="1:9" x14ac:dyDescent="0.4">
      <c r="A6338" t="s">
        <v>68</v>
      </c>
      <c r="B6338" s="1">
        <v>45689</v>
      </c>
      <c r="C6338">
        <v>870830</v>
      </c>
      <c r="D6338" t="s">
        <v>176</v>
      </c>
      <c r="E6338">
        <v>138882</v>
      </c>
      <c r="F6338">
        <v>1303</v>
      </c>
      <c r="G6338">
        <v>5547</v>
      </c>
      <c r="H6338">
        <f>_xlfn.XLOOKUP(FACT_IMPORTS[[#This Row],[hts_6]],DIM_PRODUCTS[hts_6],DIM_PRODUCTS[hts_4],,,)</f>
        <v>8708</v>
      </c>
      <c r="I6338" t="str" cm="1">
        <f t="array" ref="I6338">_xlfn.XLOOKUP(FACT_IMPORTS[[#This Row],[country_name]],DIM_COUNTRY[[#All],[Column2]],DIM_COUNTRY[[#All],[Column3]],,,)</f>
        <v>Major_Non-USMCA_Non-China</v>
      </c>
    </row>
    <row r="6339" spans="1:9" x14ac:dyDescent="0.4">
      <c r="A6339" t="s">
        <v>68</v>
      </c>
      <c r="B6339" s="1">
        <v>45689</v>
      </c>
      <c r="C6339">
        <v>870840</v>
      </c>
      <c r="D6339" t="s">
        <v>176</v>
      </c>
      <c r="E6339">
        <v>12251392</v>
      </c>
      <c r="F6339">
        <v>380954</v>
      </c>
      <c r="G6339">
        <v>53903</v>
      </c>
      <c r="H6339">
        <f>_xlfn.XLOOKUP(FACT_IMPORTS[[#This Row],[hts_6]],DIM_PRODUCTS[hts_6],DIM_PRODUCTS[hts_4],,,)</f>
        <v>8708</v>
      </c>
      <c r="I6339" t="str" cm="1">
        <f t="array" ref="I6339">_xlfn.XLOOKUP(FACT_IMPORTS[[#This Row],[country_name]],DIM_COUNTRY[[#All],[Column2]],DIM_COUNTRY[[#All],[Column3]],,,)</f>
        <v>Major_Non-USMCA_Non-China</v>
      </c>
    </row>
    <row r="6340" spans="1:9" x14ac:dyDescent="0.4">
      <c r="A6340" t="s">
        <v>68</v>
      </c>
      <c r="B6340" s="1">
        <v>45689</v>
      </c>
      <c r="C6340">
        <v>870850</v>
      </c>
      <c r="D6340" t="s">
        <v>176</v>
      </c>
      <c r="E6340">
        <v>2643709</v>
      </c>
      <c r="F6340">
        <v>116303</v>
      </c>
      <c r="G6340">
        <v>44085</v>
      </c>
      <c r="H6340">
        <f>_xlfn.XLOOKUP(FACT_IMPORTS[[#This Row],[hts_6]],DIM_PRODUCTS[hts_6],DIM_PRODUCTS[hts_4],,,)</f>
        <v>8708</v>
      </c>
      <c r="I6340" t="str" cm="1">
        <f t="array" ref="I6340">_xlfn.XLOOKUP(FACT_IMPORTS[[#This Row],[country_name]],DIM_COUNTRY[[#All],[Column2]],DIM_COUNTRY[[#All],[Column3]],,,)</f>
        <v>Major_Non-USMCA_Non-China</v>
      </c>
    </row>
    <row r="6341" spans="1:9" x14ac:dyDescent="0.4">
      <c r="A6341" t="s">
        <v>68</v>
      </c>
      <c r="B6341" s="1">
        <v>45689</v>
      </c>
      <c r="C6341">
        <v>870870</v>
      </c>
      <c r="D6341" t="s">
        <v>176</v>
      </c>
      <c r="E6341">
        <v>2130</v>
      </c>
      <c r="F6341">
        <v>96</v>
      </c>
      <c r="G6341">
        <v>11</v>
      </c>
      <c r="H6341">
        <f>_xlfn.XLOOKUP(FACT_IMPORTS[[#This Row],[hts_6]],DIM_PRODUCTS[hts_6],DIM_PRODUCTS[hts_4],,,)</f>
        <v>8708</v>
      </c>
      <c r="I6341" t="str" cm="1">
        <f t="array" ref="I6341">_xlfn.XLOOKUP(FACT_IMPORTS[[#This Row],[country_name]],DIM_COUNTRY[[#All],[Column2]],DIM_COUNTRY[[#All],[Column3]],,,)</f>
        <v>Major_Non-USMCA_Non-China</v>
      </c>
    </row>
    <row r="6342" spans="1:9" x14ac:dyDescent="0.4">
      <c r="A6342" t="s">
        <v>68</v>
      </c>
      <c r="B6342" s="1">
        <v>45689</v>
      </c>
      <c r="C6342">
        <v>870880</v>
      </c>
      <c r="D6342" t="s">
        <v>176</v>
      </c>
      <c r="E6342">
        <v>1162405</v>
      </c>
      <c r="F6342">
        <v>686233</v>
      </c>
      <c r="G6342">
        <v>22997</v>
      </c>
      <c r="H6342">
        <f>_xlfn.XLOOKUP(FACT_IMPORTS[[#This Row],[hts_6]],DIM_PRODUCTS[hts_6],DIM_PRODUCTS[hts_4],,,)</f>
        <v>8708</v>
      </c>
      <c r="I6342" t="str" cm="1">
        <f t="array" ref="I6342">_xlfn.XLOOKUP(FACT_IMPORTS[[#This Row],[country_name]],DIM_COUNTRY[[#All],[Column2]],DIM_COUNTRY[[#All],[Column3]],,,)</f>
        <v>Major_Non-USMCA_Non-China</v>
      </c>
    </row>
    <row r="6343" spans="1:9" x14ac:dyDescent="0.4">
      <c r="A6343" t="s">
        <v>68</v>
      </c>
      <c r="B6343" s="1">
        <v>45689</v>
      </c>
      <c r="C6343">
        <v>870891</v>
      </c>
      <c r="D6343" t="s">
        <v>176</v>
      </c>
      <c r="E6343">
        <v>43070</v>
      </c>
      <c r="F6343">
        <v>305</v>
      </c>
      <c r="G6343">
        <v>1396</v>
      </c>
      <c r="H6343">
        <f>_xlfn.XLOOKUP(FACT_IMPORTS[[#This Row],[hts_6]],DIM_PRODUCTS[hts_6],DIM_PRODUCTS[hts_4],,,)</f>
        <v>8708</v>
      </c>
      <c r="I6343" t="str" cm="1">
        <f t="array" ref="I6343">_xlfn.XLOOKUP(FACT_IMPORTS[[#This Row],[country_name]],DIM_COUNTRY[[#All],[Column2]],DIM_COUNTRY[[#All],[Column3]],,,)</f>
        <v>Major_Non-USMCA_Non-China</v>
      </c>
    </row>
    <row r="6344" spans="1:9" x14ac:dyDescent="0.4">
      <c r="A6344" t="s">
        <v>68</v>
      </c>
      <c r="B6344" s="1">
        <v>45689</v>
      </c>
      <c r="C6344">
        <v>870892</v>
      </c>
      <c r="D6344" t="s">
        <v>176</v>
      </c>
      <c r="E6344">
        <v>144491</v>
      </c>
      <c r="F6344">
        <v>41623</v>
      </c>
      <c r="G6344">
        <v>8573</v>
      </c>
      <c r="H6344">
        <f>_xlfn.XLOOKUP(FACT_IMPORTS[[#This Row],[hts_6]],DIM_PRODUCTS[hts_6],DIM_PRODUCTS[hts_4],,,)</f>
        <v>8708</v>
      </c>
      <c r="I6344" t="str" cm="1">
        <f t="array" ref="I6344">_xlfn.XLOOKUP(FACT_IMPORTS[[#This Row],[country_name]],DIM_COUNTRY[[#All],[Column2]],DIM_COUNTRY[[#All],[Column3]],,,)</f>
        <v>Major_Non-USMCA_Non-China</v>
      </c>
    </row>
    <row r="6345" spans="1:9" x14ac:dyDescent="0.4">
      <c r="A6345" t="s">
        <v>68</v>
      </c>
      <c r="B6345" s="1">
        <v>45689</v>
      </c>
      <c r="C6345">
        <v>870893</v>
      </c>
      <c r="D6345" t="s">
        <v>176</v>
      </c>
      <c r="E6345">
        <v>250920</v>
      </c>
      <c r="F6345">
        <v>59721</v>
      </c>
      <c r="G6345">
        <v>1716</v>
      </c>
      <c r="H6345">
        <f>_xlfn.XLOOKUP(FACT_IMPORTS[[#This Row],[hts_6]],DIM_PRODUCTS[hts_6],DIM_PRODUCTS[hts_4],,,)</f>
        <v>8708</v>
      </c>
      <c r="I6345" t="str" cm="1">
        <f t="array" ref="I6345">_xlfn.XLOOKUP(FACT_IMPORTS[[#This Row],[country_name]],DIM_COUNTRY[[#All],[Column2]],DIM_COUNTRY[[#All],[Column3]],,,)</f>
        <v>Major_Non-USMCA_Non-China</v>
      </c>
    </row>
    <row r="6346" spans="1:9" x14ac:dyDescent="0.4">
      <c r="A6346" t="s">
        <v>68</v>
      </c>
      <c r="B6346" s="1">
        <v>45689</v>
      </c>
      <c r="C6346">
        <v>870894</v>
      </c>
      <c r="D6346" t="s">
        <v>176</v>
      </c>
      <c r="E6346">
        <v>38917</v>
      </c>
      <c r="F6346">
        <v>32</v>
      </c>
      <c r="G6346">
        <v>356</v>
      </c>
      <c r="H6346">
        <f>_xlfn.XLOOKUP(FACT_IMPORTS[[#This Row],[hts_6]],DIM_PRODUCTS[hts_6],DIM_PRODUCTS[hts_4],,,)</f>
        <v>8708</v>
      </c>
      <c r="I6346" t="str" cm="1">
        <f t="array" ref="I6346">_xlfn.XLOOKUP(FACT_IMPORTS[[#This Row],[country_name]],DIM_COUNTRY[[#All],[Column2]],DIM_COUNTRY[[#All],[Column3]],,,)</f>
        <v>Major_Non-USMCA_Non-China</v>
      </c>
    </row>
    <row r="6347" spans="1:9" x14ac:dyDescent="0.4">
      <c r="A6347" t="s">
        <v>68</v>
      </c>
      <c r="B6347" s="1">
        <v>45689</v>
      </c>
      <c r="C6347">
        <v>870895</v>
      </c>
      <c r="D6347" t="s">
        <v>176</v>
      </c>
      <c r="E6347">
        <v>0</v>
      </c>
      <c r="F6347">
        <v>0</v>
      </c>
      <c r="G6347">
        <v>0</v>
      </c>
      <c r="H6347">
        <f>_xlfn.XLOOKUP(FACT_IMPORTS[[#This Row],[hts_6]],DIM_PRODUCTS[hts_6],DIM_PRODUCTS[hts_4],,,)</f>
        <v>8708</v>
      </c>
      <c r="I6347" t="str" cm="1">
        <f t="array" ref="I6347">_xlfn.XLOOKUP(FACT_IMPORTS[[#This Row],[country_name]],DIM_COUNTRY[[#All],[Column2]],DIM_COUNTRY[[#All],[Column3]],,,)</f>
        <v>Major_Non-USMCA_Non-China</v>
      </c>
    </row>
    <row r="6348" spans="1:9" x14ac:dyDescent="0.4">
      <c r="A6348" t="s">
        <v>68</v>
      </c>
      <c r="B6348" s="1">
        <v>45689</v>
      </c>
      <c r="C6348">
        <v>870899</v>
      </c>
      <c r="D6348" t="s">
        <v>176</v>
      </c>
      <c r="E6348">
        <v>1789040</v>
      </c>
      <c r="F6348">
        <v>294168</v>
      </c>
      <c r="G6348">
        <v>35661</v>
      </c>
      <c r="H6348">
        <f>_xlfn.XLOOKUP(FACT_IMPORTS[[#This Row],[hts_6]],DIM_PRODUCTS[hts_6],DIM_PRODUCTS[hts_4],,,)</f>
        <v>8708</v>
      </c>
      <c r="I6348" t="str" cm="1">
        <f t="array" ref="I6348">_xlfn.XLOOKUP(FACT_IMPORTS[[#This Row],[country_name]],DIM_COUNTRY[[#All],[Column2]],DIM_COUNTRY[[#All],[Column3]],,,)</f>
        <v>Major_Non-USMCA_Non-China</v>
      </c>
    </row>
    <row r="6349" spans="1:9" x14ac:dyDescent="0.4">
      <c r="A6349" t="s">
        <v>68</v>
      </c>
      <c r="B6349" s="1">
        <v>45689</v>
      </c>
      <c r="C6349">
        <v>940120</v>
      </c>
      <c r="D6349" t="s">
        <v>176</v>
      </c>
      <c r="E6349">
        <v>10316</v>
      </c>
      <c r="F6349">
        <v>15</v>
      </c>
      <c r="G6349">
        <v>62</v>
      </c>
      <c r="H6349">
        <f>_xlfn.XLOOKUP(FACT_IMPORTS[[#This Row],[hts_6]],DIM_PRODUCTS[hts_6],DIM_PRODUCTS[hts_4],,,)</f>
        <v>9401</v>
      </c>
      <c r="I6349" t="str" cm="1">
        <f t="array" ref="I6349">_xlfn.XLOOKUP(FACT_IMPORTS[[#This Row],[country_name]],DIM_COUNTRY[[#All],[Column2]],DIM_COUNTRY[[#All],[Column3]],,,)</f>
        <v>Major_Non-USMCA_Non-China</v>
      </c>
    </row>
    <row r="6350" spans="1:9" x14ac:dyDescent="0.4">
      <c r="A6350" t="s">
        <v>68</v>
      </c>
      <c r="B6350" s="1">
        <v>45717</v>
      </c>
      <c r="C6350">
        <v>392630</v>
      </c>
      <c r="D6350" t="s">
        <v>176</v>
      </c>
      <c r="E6350">
        <v>122945</v>
      </c>
      <c r="F6350">
        <v>10511</v>
      </c>
      <c r="G6350">
        <v>5003</v>
      </c>
      <c r="H6350">
        <f>_xlfn.XLOOKUP(FACT_IMPORTS[[#This Row],[hts_6]],DIM_PRODUCTS[hts_6],DIM_PRODUCTS[hts_4],,,)</f>
        <v>3926</v>
      </c>
      <c r="I6350" t="str" cm="1">
        <f t="array" ref="I6350">_xlfn.XLOOKUP(FACT_IMPORTS[[#This Row],[country_name]],DIM_COUNTRY[[#All],[Column2]],DIM_COUNTRY[[#All],[Column3]],,,)</f>
        <v>Major_Non-USMCA_Non-China</v>
      </c>
    </row>
    <row r="6351" spans="1:9" x14ac:dyDescent="0.4">
      <c r="A6351" t="s">
        <v>68</v>
      </c>
      <c r="B6351" s="1">
        <v>45717</v>
      </c>
      <c r="C6351">
        <v>401110</v>
      </c>
      <c r="D6351" t="s">
        <v>176</v>
      </c>
      <c r="E6351">
        <v>73146</v>
      </c>
      <c r="F6351">
        <v>364</v>
      </c>
      <c r="G6351">
        <v>930</v>
      </c>
      <c r="H6351">
        <f>_xlfn.XLOOKUP(FACT_IMPORTS[[#This Row],[hts_6]],DIM_PRODUCTS[hts_6],DIM_PRODUCTS[hts_4],,,)</f>
        <v>4011</v>
      </c>
      <c r="I6351" t="str" cm="1">
        <f t="array" ref="I6351">_xlfn.XLOOKUP(FACT_IMPORTS[[#This Row],[country_name]],DIM_COUNTRY[[#All],[Column2]],DIM_COUNTRY[[#All],[Column3]],,,)</f>
        <v>Major_Non-USMCA_Non-China</v>
      </c>
    </row>
    <row r="6352" spans="1:9" x14ac:dyDescent="0.4">
      <c r="A6352" t="s">
        <v>68</v>
      </c>
      <c r="B6352" s="1">
        <v>45717</v>
      </c>
      <c r="C6352">
        <v>401120</v>
      </c>
      <c r="D6352" t="s">
        <v>176</v>
      </c>
      <c r="E6352">
        <v>30034</v>
      </c>
      <c r="F6352">
        <v>70</v>
      </c>
      <c r="G6352">
        <v>23</v>
      </c>
      <c r="H6352">
        <f>_xlfn.XLOOKUP(FACT_IMPORTS[[#This Row],[hts_6]],DIM_PRODUCTS[hts_6],DIM_PRODUCTS[hts_4],,,)</f>
        <v>4011</v>
      </c>
      <c r="I6352" t="str" cm="1">
        <f t="array" ref="I6352">_xlfn.XLOOKUP(FACT_IMPORTS[[#This Row],[country_name]],DIM_COUNTRY[[#All],[Column2]],DIM_COUNTRY[[#All],[Column3]],,,)</f>
        <v>Major_Non-USMCA_Non-China</v>
      </c>
    </row>
    <row r="6353" spans="1:9" x14ac:dyDescent="0.4">
      <c r="A6353" t="s">
        <v>68</v>
      </c>
      <c r="B6353" s="1">
        <v>45717</v>
      </c>
      <c r="C6353">
        <v>401190</v>
      </c>
      <c r="D6353" t="s">
        <v>176</v>
      </c>
      <c r="E6353">
        <v>0</v>
      </c>
      <c r="F6353">
        <v>0</v>
      </c>
      <c r="G6353">
        <v>0</v>
      </c>
      <c r="H6353">
        <f>_xlfn.XLOOKUP(FACT_IMPORTS[[#This Row],[hts_6]],DIM_PRODUCTS[hts_6],DIM_PRODUCTS[hts_4],,,)</f>
        <v>4011</v>
      </c>
      <c r="I6353" t="str" cm="1">
        <f t="array" ref="I6353">_xlfn.XLOOKUP(FACT_IMPORTS[[#This Row],[country_name]],DIM_COUNTRY[[#All],[Column2]],DIM_COUNTRY[[#All],[Column3]],,,)</f>
        <v>Major_Non-USMCA_Non-China</v>
      </c>
    </row>
    <row r="6354" spans="1:9" x14ac:dyDescent="0.4">
      <c r="A6354" t="s">
        <v>68</v>
      </c>
      <c r="B6354" s="1">
        <v>45717</v>
      </c>
      <c r="C6354">
        <v>700711</v>
      </c>
      <c r="D6354" t="s">
        <v>176</v>
      </c>
      <c r="E6354">
        <v>5007</v>
      </c>
      <c r="F6354">
        <v>444</v>
      </c>
      <c r="G6354">
        <v>24</v>
      </c>
      <c r="H6354">
        <f>_xlfn.XLOOKUP(FACT_IMPORTS[[#This Row],[hts_6]],DIM_PRODUCTS[hts_6],DIM_PRODUCTS[hts_4],,,)</f>
        <v>7007</v>
      </c>
      <c r="I6354" t="str" cm="1">
        <f t="array" ref="I6354">_xlfn.XLOOKUP(FACT_IMPORTS[[#This Row],[country_name]],DIM_COUNTRY[[#All],[Column2]],DIM_COUNTRY[[#All],[Column3]],,,)</f>
        <v>Major_Non-USMCA_Non-China</v>
      </c>
    </row>
    <row r="6355" spans="1:9" x14ac:dyDescent="0.4">
      <c r="A6355" t="s">
        <v>68</v>
      </c>
      <c r="B6355" s="1">
        <v>45717</v>
      </c>
      <c r="C6355">
        <v>700721</v>
      </c>
      <c r="D6355" t="s">
        <v>176</v>
      </c>
      <c r="E6355">
        <v>0</v>
      </c>
      <c r="F6355">
        <v>0</v>
      </c>
      <c r="G6355">
        <v>0</v>
      </c>
      <c r="H6355">
        <f>_xlfn.XLOOKUP(FACT_IMPORTS[[#This Row],[hts_6]],DIM_PRODUCTS[hts_6],DIM_PRODUCTS[hts_4],,,)</f>
        <v>7007</v>
      </c>
      <c r="I6355" t="str" cm="1">
        <f t="array" ref="I6355">_xlfn.XLOOKUP(FACT_IMPORTS[[#This Row],[country_name]],DIM_COUNTRY[[#All],[Column2]],DIM_COUNTRY[[#All],[Column3]],,,)</f>
        <v>Major_Non-USMCA_Non-China</v>
      </c>
    </row>
    <row r="6356" spans="1:9" x14ac:dyDescent="0.4">
      <c r="A6356" t="s">
        <v>68</v>
      </c>
      <c r="B6356" s="1">
        <v>45717</v>
      </c>
      <c r="C6356">
        <v>700910</v>
      </c>
      <c r="D6356" t="s">
        <v>176</v>
      </c>
      <c r="E6356">
        <v>0</v>
      </c>
      <c r="F6356">
        <v>0</v>
      </c>
      <c r="G6356">
        <v>0</v>
      </c>
      <c r="H6356">
        <f>_xlfn.XLOOKUP(FACT_IMPORTS[[#This Row],[hts_6]],DIM_PRODUCTS[hts_6],DIM_PRODUCTS[hts_4],,,)</f>
        <v>7009</v>
      </c>
      <c r="I6356" t="str" cm="1">
        <f t="array" ref="I6356">_xlfn.XLOOKUP(FACT_IMPORTS[[#This Row],[country_name]],DIM_COUNTRY[[#All],[Column2]],DIM_COUNTRY[[#All],[Column3]],,,)</f>
        <v>Major_Non-USMCA_Non-China</v>
      </c>
    </row>
    <row r="6357" spans="1:9" x14ac:dyDescent="0.4">
      <c r="A6357" t="s">
        <v>68</v>
      </c>
      <c r="B6357" s="1">
        <v>45717</v>
      </c>
      <c r="C6357">
        <v>732010</v>
      </c>
      <c r="D6357" t="s">
        <v>176</v>
      </c>
      <c r="E6357">
        <v>6203</v>
      </c>
      <c r="F6357">
        <v>200</v>
      </c>
      <c r="G6357">
        <v>40</v>
      </c>
      <c r="H6357">
        <f>_xlfn.XLOOKUP(FACT_IMPORTS[[#This Row],[hts_6]],DIM_PRODUCTS[hts_6],DIM_PRODUCTS[hts_4],,,)</f>
        <v>7320</v>
      </c>
      <c r="I6357" t="str" cm="1">
        <f t="array" ref="I6357">_xlfn.XLOOKUP(FACT_IMPORTS[[#This Row],[country_name]],DIM_COUNTRY[[#All],[Column2]],DIM_COUNTRY[[#All],[Column3]],,,)</f>
        <v>Major_Non-USMCA_Non-China</v>
      </c>
    </row>
    <row r="6358" spans="1:9" x14ac:dyDescent="0.4">
      <c r="A6358" t="s">
        <v>68</v>
      </c>
      <c r="B6358" s="1">
        <v>45717</v>
      </c>
      <c r="C6358">
        <v>830230</v>
      </c>
      <c r="D6358" t="s">
        <v>176</v>
      </c>
      <c r="E6358">
        <v>295474</v>
      </c>
      <c r="F6358">
        <v>52916</v>
      </c>
      <c r="G6358">
        <v>46968</v>
      </c>
      <c r="H6358">
        <f>_xlfn.XLOOKUP(FACT_IMPORTS[[#This Row],[hts_6]],DIM_PRODUCTS[hts_6],DIM_PRODUCTS[hts_4],,,)</f>
        <v>8302</v>
      </c>
      <c r="I6358" t="str" cm="1">
        <f t="array" ref="I6358">_xlfn.XLOOKUP(FACT_IMPORTS[[#This Row],[country_name]],DIM_COUNTRY[[#All],[Column2]],DIM_COUNTRY[[#All],[Column3]],,,)</f>
        <v>Major_Non-USMCA_Non-China</v>
      </c>
    </row>
    <row r="6359" spans="1:9" x14ac:dyDescent="0.4">
      <c r="A6359" t="s">
        <v>68</v>
      </c>
      <c r="B6359" s="1">
        <v>45717</v>
      </c>
      <c r="C6359">
        <v>840734</v>
      </c>
      <c r="D6359" t="s">
        <v>176</v>
      </c>
      <c r="E6359">
        <v>33878</v>
      </c>
      <c r="F6359">
        <v>6</v>
      </c>
      <c r="G6359">
        <v>168</v>
      </c>
      <c r="H6359">
        <f>_xlfn.XLOOKUP(FACT_IMPORTS[[#This Row],[hts_6]],DIM_PRODUCTS[hts_6],DIM_PRODUCTS[hts_4],,,)</f>
        <v>8407</v>
      </c>
      <c r="I6359" t="str" cm="1">
        <f t="array" ref="I6359">_xlfn.XLOOKUP(FACT_IMPORTS[[#This Row],[country_name]],DIM_COUNTRY[[#All],[Column2]],DIM_COUNTRY[[#All],[Column3]],,,)</f>
        <v>Major_Non-USMCA_Non-China</v>
      </c>
    </row>
    <row r="6360" spans="1:9" x14ac:dyDescent="0.4">
      <c r="A6360" t="s">
        <v>68</v>
      </c>
      <c r="B6360" s="1">
        <v>45717</v>
      </c>
      <c r="C6360">
        <v>840820</v>
      </c>
      <c r="D6360" t="s">
        <v>176</v>
      </c>
      <c r="E6360">
        <v>0</v>
      </c>
      <c r="F6360">
        <v>0</v>
      </c>
      <c r="G6360">
        <v>0</v>
      </c>
      <c r="H6360">
        <f>_xlfn.XLOOKUP(FACT_IMPORTS[[#This Row],[hts_6]],DIM_PRODUCTS[hts_6],DIM_PRODUCTS[hts_4],,,)</f>
        <v>8408</v>
      </c>
      <c r="I6360" t="str" cm="1">
        <f t="array" ref="I6360">_xlfn.XLOOKUP(FACT_IMPORTS[[#This Row],[country_name]],DIM_COUNTRY[[#All],[Column2]],DIM_COUNTRY[[#All],[Column3]],,,)</f>
        <v>Major_Non-USMCA_Non-China</v>
      </c>
    </row>
    <row r="6361" spans="1:9" x14ac:dyDescent="0.4">
      <c r="A6361" t="s">
        <v>68</v>
      </c>
      <c r="B6361" s="1">
        <v>45717</v>
      </c>
      <c r="C6361">
        <v>840890</v>
      </c>
      <c r="D6361" t="s">
        <v>176</v>
      </c>
      <c r="E6361">
        <v>0</v>
      </c>
      <c r="F6361">
        <v>0</v>
      </c>
      <c r="G6361">
        <v>0</v>
      </c>
      <c r="H6361">
        <f>_xlfn.XLOOKUP(FACT_IMPORTS[[#This Row],[hts_6]],DIM_PRODUCTS[hts_6],DIM_PRODUCTS[hts_4],,,)</f>
        <v>8408</v>
      </c>
      <c r="I6361" t="str" cm="1">
        <f t="array" ref="I6361">_xlfn.XLOOKUP(FACT_IMPORTS[[#This Row],[country_name]],DIM_COUNTRY[[#All],[Column2]],DIM_COUNTRY[[#All],[Column3]],,,)</f>
        <v>Major_Non-USMCA_Non-China</v>
      </c>
    </row>
    <row r="6362" spans="1:9" x14ac:dyDescent="0.4">
      <c r="A6362" t="s">
        <v>68</v>
      </c>
      <c r="B6362" s="1">
        <v>45717</v>
      </c>
      <c r="C6362">
        <v>840991</v>
      </c>
      <c r="D6362" t="s">
        <v>176</v>
      </c>
      <c r="E6362">
        <v>562993</v>
      </c>
      <c r="F6362">
        <v>123334</v>
      </c>
      <c r="G6362">
        <v>13658</v>
      </c>
      <c r="H6362">
        <f>_xlfn.XLOOKUP(FACT_IMPORTS[[#This Row],[hts_6]],DIM_PRODUCTS[hts_6],DIM_PRODUCTS[hts_4],,,)</f>
        <v>8409</v>
      </c>
      <c r="I6362" t="str" cm="1">
        <f t="array" ref="I6362">_xlfn.XLOOKUP(FACT_IMPORTS[[#This Row],[country_name]],DIM_COUNTRY[[#All],[Column2]],DIM_COUNTRY[[#All],[Column3]],,,)</f>
        <v>Major_Non-USMCA_Non-China</v>
      </c>
    </row>
    <row r="6363" spans="1:9" x14ac:dyDescent="0.4">
      <c r="A6363" t="s">
        <v>68</v>
      </c>
      <c r="B6363" s="1">
        <v>45717</v>
      </c>
      <c r="C6363">
        <v>840999</v>
      </c>
      <c r="D6363" t="s">
        <v>176</v>
      </c>
      <c r="E6363">
        <v>23228852</v>
      </c>
      <c r="F6363">
        <v>2851728</v>
      </c>
      <c r="G6363">
        <v>451135</v>
      </c>
      <c r="H6363">
        <f>_xlfn.XLOOKUP(FACT_IMPORTS[[#This Row],[hts_6]],DIM_PRODUCTS[hts_6],DIM_PRODUCTS[hts_4],,,)</f>
        <v>8409</v>
      </c>
      <c r="I6363" t="str" cm="1">
        <f t="array" ref="I6363">_xlfn.XLOOKUP(FACT_IMPORTS[[#This Row],[country_name]],DIM_COUNTRY[[#All],[Column2]],DIM_COUNTRY[[#All],[Column3]],,,)</f>
        <v>Major_Non-USMCA_Non-China</v>
      </c>
    </row>
    <row r="6364" spans="1:9" x14ac:dyDescent="0.4">
      <c r="A6364" t="s">
        <v>68</v>
      </c>
      <c r="B6364" s="1">
        <v>45717</v>
      </c>
      <c r="C6364">
        <v>841330</v>
      </c>
      <c r="D6364" t="s">
        <v>176</v>
      </c>
      <c r="E6364">
        <v>9620910</v>
      </c>
      <c r="F6364">
        <v>78422</v>
      </c>
      <c r="G6364">
        <v>32192</v>
      </c>
      <c r="H6364">
        <f>_xlfn.XLOOKUP(FACT_IMPORTS[[#This Row],[hts_6]],DIM_PRODUCTS[hts_6],DIM_PRODUCTS[hts_4],,,)</f>
        <v>8413</v>
      </c>
      <c r="I6364" t="str" cm="1">
        <f t="array" ref="I6364">_xlfn.XLOOKUP(FACT_IMPORTS[[#This Row],[country_name]],DIM_COUNTRY[[#All],[Column2]],DIM_COUNTRY[[#All],[Column3]],,,)</f>
        <v>Major_Non-USMCA_Non-China</v>
      </c>
    </row>
    <row r="6365" spans="1:9" x14ac:dyDescent="0.4">
      <c r="A6365" t="s">
        <v>68</v>
      </c>
      <c r="B6365" s="1">
        <v>45717</v>
      </c>
      <c r="C6365">
        <v>841520</v>
      </c>
      <c r="D6365" t="s">
        <v>176</v>
      </c>
      <c r="E6365">
        <v>0</v>
      </c>
      <c r="F6365">
        <v>0</v>
      </c>
      <c r="G6365">
        <v>0</v>
      </c>
      <c r="H6365">
        <f>_xlfn.XLOOKUP(FACT_IMPORTS[[#This Row],[hts_6]],DIM_PRODUCTS[hts_6],DIM_PRODUCTS[hts_4],,,)</f>
        <v>8415</v>
      </c>
      <c r="I6365" t="str" cm="1">
        <f t="array" ref="I6365">_xlfn.XLOOKUP(FACT_IMPORTS[[#This Row],[country_name]],DIM_COUNTRY[[#All],[Column2]],DIM_COUNTRY[[#All],[Column3]],,,)</f>
        <v>Major_Non-USMCA_Non-China</v>
      </c>
    </row>
    <row r="6366" spans="1:9" x14ac:dyDescent="0.4">
      <c r="A6366" t="s">
        <v>68</v>
      </c>
      <c r="B6366" s="1">
        <v>45717</v>
      </c>
      <c r="C6366">
        <v>842132</v>
      </c>
      <c r="D6366" t="s">
        <v>176</v>
      </c>
      <c r="E6366">
        <v>8026</v>
      </c>
      <c r="F6366">
        <v>8</v>
      </c>
      <c r="G6366">
        <v>210</v>
      </c>
      <c r="H6366">
        <f>_xlfn.XLOOKUP(FACT_IMPORTS[[#This Row],[hts_6]],DIM_PRODUCTS[hts_6],DIM_PRODUCTS[hts_4],,,)</f>
        <v>8421</v>
      </c>
      <c r="I6366" t="str" cm="1">
        <f t="array" ref="I6366">_xlfn.XLOOKUP(FACT_IMPORTS[[#This Row],[country_name]],DIM_COUNTRY[[#All],[Column2]],DIM_COUNTRY[[#All],[Column3]],,,)</f>
        <v>Major_Non-USMCA_Non-China</v>
      </c>
    </row>
    <row r="6367" spans="1:9" x14ac:dyDescent="0.4">
      <c r="A6367" t="s">
        <v>68</v>
      </c>
      <c r="B6367" s="1">
        <v>45717</v>
      </c>
      <c r="C6367">
        <v>848210</v>
      </c>
      <c r="D6367" t="s">
        <v>176</v>
      </c>
      <c r="E6367">
        <v>371277</v>
      </c>
      <c r="F6367">
        <v>6515</v>
      </c>
      <c r="G6367">
        <v>15192</v>
      </c>
      <c r="H6367">
        <f>_xlfn.XLOOKUP(FACT_IMPORTS[[#This Row],[hts_6]],DIM_PRODUCTS[hts_6],DIM_PRODUCTS[hts_4],,,)</f>
        <v>8482</v>
      </c>
      <c r="I6367" t="str" cm="1">
        <f t="array" ref="I6367">_xlfn.XLOOKUP(FACT_IMPORTS[[#This Row],[country_name]],DIM_COUNTRY[[#All],[Column2]],DIM_COUNTRY[[#All],[Column3]],,,)</f>
        <v>Major_Non-USMCA_Non-China</v>
      </c>
    </row>
    <row r="6368" spans="1:9" x14ac:dyDescent="0.4">
      <c r="A6368" t="s">
        <v>68</v>
      </c>
      <c r="B6368" s="1">
        <v>45717</v>
      </c>
      <c r="C6368">
        <v>848220</v>
      </c>
      <c r="D6368" t="s">
        <v>176</v>
      </c>
      <c r="E6368">
        <v>82815</v>
      </c>
      <c r="F6368">
        <v>4241</v>
      </c>
      <c r="G6368">
        <v>820</v>
      </c>
      <c r="H6368">
        <f>_xlfn.XLOOKUP(FACT_IMPORTS[[#This Row],[hts_6]],DIM_PRODUCTS[hts_6],DIM_PRODUCTS[hts_4],,,)</f>
        <v>8482</v>
      </c>
      <c r="I6368" t="str" cm="1">
        <f t="array" ref="I6368">_xlfn.XLOOKUP(FACT_IMPORTS[[#This Row],[country_name]],DIM_COUNTRY[[#All],[Column2]],DIM_COUNTRY[[#All],[Column3]],,,)</f>
        <v>Major_Non-USMCA_Non-China</v>
      </c>
    </row>
    <row r="6369" spans="1:9" x14ac:dyDescent="0.4">
      <c r="A6369" t="s">
        <v>68</v>
      </c>
      <c r="B6369" s="1">
        <v>45717</v>
      </c>
      <c r="C6369">
        <v>848310</v>
      </c>
      <c r="D6369" t="s">
        <v>176</v>
      </c>
      <c r="E6369">
        <v>4731427</v>
      </c>
      <c r="F6369">
        <v>35998</v>
      </c>
      <c r="G6369">
        <v>42143</v>
      </c>
      <c r="H6369">
        <f>_xlfn.XLOOKUP(FACT_IMPORTS[[#This Row],[hts_6]],DIM_PRODUCTS[hts_6],DIM_PRODUCTS[hts_4],,,)</f>
        <v>8483</v>
      </c>
      <c r="I6369" t="str" cm="1">
        <f t="array" ref="I6369">_xlfn.XLOOKUP(FACT_IMPORTS[[#This Row],[country_name]],DIM_COUNTRY[[#All],[Column2]],DIM_COUNTRY[[#All],[Column3]],,,)</f>
        <v>Major_Non-USMCA_Non-China</v>
      </c>
    </row>
    <row r="6370" spans="1:9" x14ac:dyDescent="0.4">
      <c r="A6370" t="s">
        <v>68</v>
      </c>
      <c r="B6370" s="1">
        <v>45717</v>
      </c>
      <c r="C6370">
        <v>850131</v>
      </c>
      <c r="D6370" t="s">
        <v>176</v>
      </c>
      <c r="E6370">
        <v>326840</v>
      </c>
      <c r="F6370">
        <v>10544</v>
      </c>
      <c r="G6370">
        <v>725</v>
      </c>
      <c r="H6370">
        <f>_xlfn.XLOOKUP(FACT_IMPORTS[[#This Row],[hts_6]],DIM_PRODUCTS[hts_6],DIM_PRODUCTS[hts_4],,,)</f>
        <v>8501</v>
      </c>
      <c r="I6370" t="str" cm="1">
        <f t="array" ref="I6370">_xlfn.XLOOKUP(FACT_IMPORTS[[#This Row],[country_name]],DIM_COUNTRY[[#All],[Column2]],DIM_COUNTRY[[#All],[Column3]],,,)</f>
        <v>Major_Non-USMCA_Non-China</v>
      </c>
    </row>
    <row r="6371" spans="1:9" x14ac:dyDescent="0.4">
      <c r="A6371" t="s">
        <v>68</v>
      </c>
      <c r="B6371" s="1">
        <v>45717</v>
      </c>
      <c r="C6371">
        <v>850132</v>
      </c>
      <c r="D6371" t="s">
        <v>176</v>
      </c>
      <c r="E6371">
        <v>165917</v>
      </c>
      <c r="F6371">
        <v>33</v>
      </c>
      <c r="G6371">
        <v>1716</v>
      </c>
      <c r="H6371">
        <f>_xlfn.XLOOKUP(FACT_IMPORTS[[#This Row],[hts_6]],DIM_PRODUCTS[hts_6],DIM_PRODUCTS[hts_4],,,)</f>
        <v>8501</v>
      </c>
      <c r="I6371" t="str" cm="1">
        <f t="array" ref="I6371">_xlfn.XLOOKUP(FACT_IMPORTS[[#This Row],[country_name]],DIM_COUNTRY[[#All],[Column2]],DIM_COUNTRY[[#All],[Column3]],,,)</f>
        <v>Major_Non-USMCA_Non-China</v>
      </c>
    </row>
    <row r="6372" spans="1:9" x14ac:dyDescent="0.4">
      <c r="A6372" t="s">
        <v>68</v>
      </c>
      <c r="B6372" s="1">
        <v>45717</v>
      </c>
      <c r="C6372">
        <v>850133</v>
      </c>
      <c r="D6372" t="s">
        <v>176</v>
      </c>
      <c r="E6372">
        <v>32404</v>
      </c>
      <c r="F6372">
        <v>5</v>
      </c>
      <c r="G6372">
        <v>2760</v>
      </c>
      <c r="H6372">
        <f>_xlfn.XLOOKUP(FACT_IMPORTS[[#This Row],[hts_6]],DIM_PRODUCTS[hts_6],DIM_PRODUCTS[hts_4],,,)</f>
        <v>8501</v>
      </c>
      <c r="I6372" t="str" cm="1">
        <f t="array" ref="I6372">_xlfn.XLOOKUP(FACT_IMPORTS[[#This Row],[country_name]],DIM_COUNTRY[[#All],[Column2]],DIM_COUNTRY[[#All],[Column3]],,,)</f>
        <v>Major_Non-USMCA_Non-China</v>
      </c>
    </row>
    <row r="6373" spans="1:9" x14ac:dyDescent="0.4">
      <c r="A6373" t="s">
        <v>68</v>
      </c>
      <c r="B6373" s="1">
        <v>45717</v>
      </c>
      <c r="C6373">
        <v>850134</v>
      </c>
      <c r="D6373" t="s">
        <v>176</v>
      </c>
      <c r="E6373">
        <v>17733</v>
      </c>
      <c r="F6373">
        <v>3</v>
      </c>
      <c r="G6373">
        <v>1121</v>
      </c>
      <c r="H6373">
        <f>_xlfn.XLOOKUP(FACT_IMPORTS[[#This Row],[hts_6]],DIM_PRODUCTS[hts_6],DIM_PRODUCTS[hts_4],,,)</f>
        <v>8501</v>
      </c>
      <c r="I6373" t="str" cm="1">
        <f t="array" ref="I6373">_xlfn.XLOOKUP(FACT_IMPORTS[[#This Row],[country_name]],DIM_COUNTRY[[#All],[Column2]],DIM_COUNTRY[[#All],[Column3]],,,)</f>
        <v>Major_Non-USMCA_Non-China</v>
      </c>
    </row>
    <row r="6374" spans="1:9" x14ac:dyDescent="0.4">
      <c r="A6374" t="s">
        <v>68</v>
      </c>
      <c r="B6374" s="1">
        <v>45717</v>
      </c>
      <c r="C6374">
        <v>850152</v>
      </c>
      <c r="D6374" t="s">
        <v>176</v>
      </c>
      <c r="E6374">
        <v>1265576</v>
      </c>
      <c r="F6374">
        <v>413</v>
      </c>
      <c r="G6374">
        <v>45266</v>
      </c>
      <c r="H6374">
        <f>_xlfn.XLOOKUP(FACT_IMPORTS[[#This Row],[hts_6]],DIM_PRODUCTS[hts_6],DIM_PRODUCTS[hts_4],,,)</f>
        <v>8501</v>
      </c>
      <c r="I6374" t="str" cm="1">
        <f t="array" ref="I6374">_xlfn.XLOOKUP(FACT_IMPORTS[[#This Row],[country_name]],DIM_COUNTRY[[#All],[Column2]],DIM_COUNTRY[[#All],[Column3]],,,)</f>
        <v>Major_Non-USMCA_Non-China</v>
      </c>
    </row>
    <row r="6375" spans="1:9" x14ac:dyDescent="0.4">
      <c r="A6375" t="s">
        <v>68</v>
      </c>
      <c r="B6375" s="1">
        <v>45717</v>
      </c>
      <c r="C6375">
        <v>850153</v>
      </c>
      <c r="D6375" t="s">
        <v>176</v>
      </c>
      <c r="E6375">
        <v>410813</v>
      </c>
      <c r="F6375">
        <v>45</v>
      </c>
      <c r="G6375">
        <v>5974</v>
      </c>
      <c r="H6375">
        <f>_xlfn.XLOOKUP(FACT_IMPORTS[[#This Row],[hts_6]],DIM_PRODUCTS[hts_6],DIM_PRODUCTS[hts_4],,,)</f>
        <v>8501</v>
      </c>
      <c r="I6375" t="str" cm="1">
        <f t="array" ref="I6375">_xlfn.XLOOKUP(FACT_IMPORTS[[#This Row],[country_name]],DIM_COUNTRY[[#All],[Column2]],DIM_COUNTRY[[#All],[Column3]],,,)</f>
        <v>Major_Non-USMCA_Non-China</v>
      </c>
    </row>
    <row r="6376" spans="1:9" x14ac:dyDescent="0.4">
      <c r="A6376" t="s">
        <v>68</v>
      </c>
      <c r="B6376" s="1">
        <v>45717</v>
      </c>
      <c r="C6376">
        <v>850161</v>
      </c>
      <c r="D6376" t="s">
        <v>176</v>
      </c>
      <c r="E6376">
        <v>70747</v>
      </c>
      <c r="F6376">
        <v>1</v>
      </c>
      <c r="G6376">
        <v>707</v>
      </c>
      <c r="H6376">
        <f>_xlfn.XLOOKUP(FACT_IMPORTS[[#This Row],[hts_6]],DIM_PRODUCTS[hts_6],DIM_PRODUCTS[hts_4],,,)</f>
        <v>8501</v>
      </c>
      <c r="I6376" t="str" cm="1">
        <f t="array" ref="I6376">_xlfn.XLOOKUP(FACT_IMPORTS[[#This Row],[country_name]],DIM_COUNTRY[[#All],[Column2]],DIM_COUNTRY[[#All],[Column3]],,,)</f>
        <v>Major_Non-USMCA_Non-China</v>
      </c>
    </row>
    <row r="6377" spans="1:9" x14ac:dyDescent="0.4">
      <c r="A6377" t="s">
        <v>68</v>
      </c>
      <c r="B6377" s="1">
        <v>45717</v>
      </c>
      <c r="C6377">
        <v>850440</v>
      </c>
      <c r="D6377" t="s">
        <v>176</v>
      </c>
      <c r="E6377">
        <v>1006954</v>
      </c>
      <c r="F6377">
        <v>317</v>
      </c>
      <c r="G6377">
        <v>28820</v>
      </c>
      <c r="H6377">
        <f>_xlfn.XLOOKUP(FACT_IMPORTS[[#This Row],[hts_6]],DIM_PRODUCTS[hts_6],DIM_PRODUCTS[hts_4],,,)</f>
        <v>8504</v>
      </c>
      <c r="I6377" t="str" cm="1">
        <f t="array" ref="I6377">_xlfn.XLOOKUP(FACT_IMPORTS[[#This Row],[country_name]],DIM_COUNTRY[[#All],[Column2]],DIM_COUNTRY[[#All],[Column3]],,,)</f>
        <v>Major_Non-USMCA_Non-China</v>
      </c>
    </row>
    <row r="6378" spans="1:9" x14ac:dyDescent="0.4">
      <c r="A6378" t="s">
        <v>68</v>
      </c>
      <c r="B6378" s="1">
        <v>45717</v>
      </c>
      <c r="C6378">
        <v>850710</v>
      </c>
      <c r="D6378" t="s">
        <v>176</v>
      </c>
      <c r="E6378">
        <v>0</v>
      </c>
      <c r="F6378">
        <v>0</v>
      </c>
      <c r="G6378">
        <v>0</v>
      </c>
      <c r="H6378">
        <f>_xlfn.XLOOKUP(FACT_IMPORTS[[#This Row],[hts_6]],DIM_PRODUCTS[hts_6],DIM_PRODUCTS[hts_4],,,)</f>
        <v>8507</v>
      </c>
      <c r="I6378" t="str" cm="1">
        <f t="array" ref="I6378">_xlfn.XLOOKUP(FACT_IMPORTS[[#This Row],[country_name]],DIM_COUNTRY[[#All],[Column2]],DIM_COUNTRY[[#All],[Column3]],,,)</f>
        <v>Major_Non-USMCA_Non-China</v>
      </c>
    </row>
    <row r="6379" spans="1:9" x14ac:dyDescent="0.4">
      <c r="A6379" t="s">
        <v>68</v>
      </c>
      <c r="B6379" s="1">
        <v>45717</v>
      </c>
      <c r="C6379">
        <v>850760</v>
      </c>
      <c r="D6379" t="s">
        <v>176</v>
      </c>
      <c r="E6379">
        <v>1256775</v>
      </c>
      <c r="F6379">
        <v>494</v>
      </c>
      <c r="G6379">
        <v>12582</v>
      </c>
      <c r="H6379">
        <f>_xlfn.XLOOKUP(FACT_IMPORTS[[#This Row],[hts_6]],DIM_PRODUCTS[hts_6],DIM_PRODUCTS[hts_4],,,)</f>
        <v>8507</v>
      </c>
      <c r="I6379" t="str" cm="1">
        <f t="array" ref="I6379">_xlfn.XLOOKUP(FACT_IMPORTS[[#This Row],[country_name]],DIM_COUNTRY[[#All],[Column2]],DIM_COUNTRY[[#All],[Column3]],,,)</f>
        <v>Major_Non-USMCA_Non-China</v>
      </c>
    </row>
    <row r="6380" spans="1:9" x14ac:dyDescent="0.4">
      <c r="A6380" t="s">
        <v>68</v>
      </c>
      <c r="B6380" s="1">
        <v>45717</v>
      </c>
      <c r="C6380">
        <v>850790</v>
      </c>
      <c r="D6380" t="s">
        <v>176</v>
      </c>
      <c r="E6380">
        <v>0</v>
      </c>
      <c r="F6380">
        <v>0</v>
      </c>
      <c r="G6380">
        <v>0</v>
      </c>
      <c r="H6380">
        <f>_xlfn.XLOOKUP(FACT_IMPORTS[[#This Row],[hts_6]],DIM_PRODUCTS[hts_6],DIM_PRODUCTS[hts_4],,,)</f>
        <v>8507</v>
      </c>
      <c r="I6380" t="str" cm="1">
        <f t="array" ref="I6380">_xlfn.XLOOKUP(FACT_IMPORTS[[#This Row],[country_name]],DIM_COUNTRY[[#All],[Column2]],DIM_COUNTRY[[#All],[Column3]],,,)</f>
        <v>Major_Non-USMCA_Non-China</v>
      </c>
    </row>
    <row r="6381" spans="1:9" x14ac:dyDescent="0.4">
      <c r="A6381" t="s">
        <v>68</v>
      </c>
      <c r="B6381" s="1">
        <v>45717</v>
      </c>
      <c r="C6381">
        <v>851110</v>
      </c>
      <c r="D6381" t="s">
        <v>176</v>
      </c>
      <c r="E6381">
        <v>6930</v>
      </c>
      <c r="F6381">
        <v>4</v>
      </c>
      <c r="G6381">
        <v>197</v>
      </c>
      <c r="H6381">
        <f>_xlfn.XLOOKUP(FACT_IMPORTS[[#This Row],[hts_6]],DIM_PRODUCTS[hts_6],DIM_PRODUCTS[hts_4],,,)</f>
        <v>8511</v>
      </c>
      <c r="I6381" t="str" cm="1">
        <f t="array" ref="I6381">_xlfn.XLOOKUP(FACT_IMPORTS[[#This Row],[country_name]],DIM_COUNTRY[[#All],[Column2]],DIM_COUNTRY[[#All],[Column3]],,,)</f>
        <v>Major_Non-USMCA_Non-China</v>
      </c>
    </row>
    <row r="6382" spans="1:9" x14ac:dyDescent="0.4">
      <c r="A6382" t="s">
        <v>68</v>
      </c>
      <c r="B6382" s="1">
        <v>45717</v>
      </c>
      <c r="C6382">
        <v>851130</v>
      </c>
      <c r="D6382" t="s">
        <v>176</v>
      </c>
      <c r="E6382">
        <v>0</v>
      </c>
      <c r="F6382">
        <v>0</v>
      </c>
      <c r="G6382">
        <v>0</v>
      </c>
      <c r="H6382">
        <f>_xlfn.XLOOKUP(FACT_IMPORTS[[#This Row],[hts_6]],DIM_PRODUCTS[hts_6],DIM_PRODUCTS[hts_4],,,)</f>
        <v>8511</v>
      </c>
      <c r="I6382" t="str" cm="1">
        <f t="array" ref="I6382">_xlfn.XLOOKUP(FACT_IMPORTS[[#This Row],[country_name]],DIM_COUNTRY[[#All],[Column2]],DIM_COUNTRY[[#All],[Column3]],,,)</f>
        <v>Major_Non-USMCA_Non-China</v>
      </c>
    </row>
    <row r="6383" spans="1:9" x14ac:dyDescent="0.4">
      <c r="A6383" t="s">
        <v>68</v>
      </c>
      <c r="B6383" s="1">
        <v>45717</v>
      </c>
      <c r="C6383">
        <v>851140</v>
      </c>
      <c r="D6383" t="s">
        <v>176</v>
      </c>
      <c r="E6383">
        <v>0</v>
      </c>
      <c r="F6383">
        <v>0</v>
      </c>
      <c r="G6383">
        <v>0</v>
      </c>
      <c r="H6383">
        <f>_xlfn.XLOOKUP(FACT_IMPORTS[[#This Row],[hts_6]],DIM_PRODUCTS[hts_6],DIM_PRODUCTS[hts_4],,,)</f>
        <v>8511</v>
      </c>
      <c r="I6383" t="str" cm="1">
        <f t="array" ref="I6383">_xlfn.XLOOKUP(FACT_IMPORTS[[#This Row],[country_name]],DIM_COUNTRY[[#All],[Column2]],DIM_COUNTRY[[#All],[Column3]],,,)</f>
        <v>Major_Non-USMCA_Non-China</v>
      </c>
    </row>
    <row r="6384" spans="1:9" x14ac:dyDescent="0.4">
      <c r="A6384" t="s">
        <v>68</v>
      </c>
      <c r="B6384" s="1">
        <v>45717</v>
      </c>
      <c r="C6384">
        <v>851150</v>
      </c>
      <c r="D6384" t="s">
        <v>176</v>
      </c>
      <c r="E6384">
        <v>0</v>
      </c>
      <c r="F6384">
        <v>0</v>
      </c>
      <c r="G6384">
        <v>0</v>
      </c>
      <c r="H6384">
        <f>_xlfn.XLOOKUP(FACT_IMPORTS[[#This Row],[hts_6]],DIM_PRODUCTS[hts_6],DIM_PRODUCTS[hts_4],,,)</f>
        <v>8511</v>
      </c>
      <c r="I6384" t="str" cm="1">
        <f t="array" ref="I6384">_xlfn.XLOOKUP(FACT_IMPORTS[[#This Row],[country_name]],DIM_COUNTRY[[#All],[Column2]],DIM_COUNTRY[[#All],[Column3]],,,)</f>
        <v>Major_Non-USMCA_Non-China</v>
      </c>
    </row>
    <row r="6385" spans="1:9" x14ac:dyDescent="0.4">
      <c r="A6385" t="s">
        <v>68</v>
      </c>
      <c r="B6385" s="1">
        <v>45717</v>
      </c>
      <c r="C6385">
        <v>851180</v>
      </c>
      <c r="D6385" t="s">
        <v>176</v>
      </c>
      <c r="E6385">
        <v>6412</v>
      </c>
      <c r="F6385">
        <v>42</v>
      </c>
      <c r="G6385">
        <v>113</v>
      </c>
      <c r="H6385">
        <f>_xlfn.XLOOKUP(FACT_IMPORTS[[#This Row],[hts_6]],DIM_PRODUCTS[hts_6],DIM_PRODUCTS[hts_4],,,)</f>
        <v>8511</v>
      </c>
      <c r="I6385" t="str" cm="1">
        <f t="array" ref="I6385">_xlfn.XLOOKUP(FACT_IMPORTS[[#This Row],[country_name]],DIM_COUNTRY[[#All],[Column2]],DIM_COUNTRY[[#All],[Column3]],,,)</f>
        <v>Major_Non-USMCA_Non-China</v>
      </c>
    </row>
    <row r="6386" spans="1:9" x14ac:dyDescent="0.4">
      <c r="A6386" t="s">
        <v>68</v>
      </c>
      <c r="B6386" s="1">
        <v>45717</v>
      </c>
      <c r="C6386">
        <v>851190</v>
      </c>
      <c r="D6386" t="s">
        <v>176</v>
      </c>
      <c r="E6386">
        <v>0</v>
      </c>
      <c r="F6386">
        <v>0</v>
      </c>
      <c r="G6386">
        <v>0</v>
      </c>
      <c r="H6386">
        <f>_xlfn.XLOOKUP(FACT_IMPORTS[[#This Row],[hts_6]],DIM_PRODUCTS[hts_6],DIM_PRODUCTS[hts_4],,,)</f>
        <v>8511</v>
      </c>
      <c r="I6386" t="str" cm="1">
        <f t="array" ref="I6386">_xlfn.XLOOKUP(FACT_IMPORTS[[#This Row],[country_name]],DIM_COUNTRY[[#All],[Column2]],DIM_COUNTRY[[#All],[Column3]],,,)</f>
        <v>Major_Non-USMCA_Non-China</v>
      </c>
    </row>
    <row r="6387" spans="1:9" x14ac:dyDescent="0.4">
      <c r="A6387" t="s">
        <v>68</v>
      </c>
      <c r="B6387" s="1">
        <v>45717</v>
      </c>
      <c r="C6387">
        <v>851220</v>
      </c>
      <c r="D6387" t="s">
        <v>176</v>
      </c>
      <c r="E6387">
        <v>24169</v>
      </c>
      <c r="F6387">
        <v>1418</v>
      </c>
      <c r="G6387">
        <v>225</v>
      </c>
      <c r="H6387">
        <f>_xlfn.XLOOKUP(FACT_IMPORTS[[#This Row],[hts_6]],DIM_PRODUCTS[hts_6],DIM_PRODUCTS[hts_4],,,)</f>
        <v>8512</v>
      </c>
      <c r="I6387" t="str" cm="1">
        <f t="array" ref="I6387">_xlfn.XLOOKUP(FACT_IMPORTS[[#This Row],[country_name]],DIM_COUNTRY[[#All],[Column2]],DIM_COUNTRY[[#All],[Column3]],,,)</f>
        <v>Major_Non-USMCA_Non-China</v>
      </c>
    </row>
    <row r="6388" spans="1:9" x14ac:dyDescent="0.4">
      <c r="A6388" t="s">
        <v>68</v>
      </c>
      <c r="B6388" s="1">
        <v>45717</v>
      </c>
      <c r="C6388">
        <v>851230</v>
      </c>
      <c r="D6388" t="s">
        <v>176</v>
      </c>
      <c r="E6388">
        <v>2892</v>
      </c>
      <c r="F6388">
        <v>26</v>
      </c>
      <c r="G6388">
        <v>55</v>
      </c>
      <c r="H6388">
        <f>_xlfn.XLOOKUP(FACT_IMPORTS[[#This Row],[hts_6]],DIM_PRODUCTS[hts_6],DIM_PRODUCTS[hts_4],,,)</f>
        <v>8512</v>
      </c>
      <c r="I6388" t="str" cm="1">
        <f t="array" ref="I6388">_xlfn.XLOOKUP(FACT_IMPORTS[[#This Row],[country_name]],DIM_COUNTRY[[#All],[Column2]],DIM_COUNTRY[[#All],[Column3]],,,)</f>
        <v>Major_Non-USMCA_Non-China</v>
      </c>
    </row>
    <row r="6389" spans="1:9" x14ac:dyDescent="0.4">
      <c r="A6389" t="s">
        <v>68</v>
      </c>
      <c r="B6389" s="1">
        <v>45717</v>
      </c>
      <c r="C6389">
        <v>851290</v>
      </c>
      <c r="D6389" t="s">
        <v>176</v>
      </c>
      <c r="E6389">
        <v>0</v>
      </c>
      <c r="F6389">
        <v>0</v>
      </c>
      <c r="G6389">
        <v>0</v>
      </c>
      <c r="H6389">
        <f>_xlfn.XLOOKUP(FACT_IMPORTS[[#This Row],[hts_6]],DIM_PRODUCTS[hts_6],DIM_PRODUCTS[hts_4],,,)</f>
        <v>8512</v>
      </c>
      <c r="I6389" t="str" cm="1">
        <f t="array" ref="I6389">_xlfn.XLOOKUP(FACT_IMPORTS[[#This Row],[country_name]],DIM_COUNTRY[[#All],[Column2]],DIM_COUNTRY[[#All],[Column3]],,,)</f>
        <v>Major_Non-USMCA_Non-China</v>
      </c>
    </row>
    <row r="6390" spans="1:9" x14ac:dyDescent="0.4">
      <c r="A6390" t="s">
        <v>68</v>
      </c>
      <c r="B6390" s="1">
        <v>45717</v>
      </c>
      <c r="C6390">
        <v>854231</v>
      </c>
      <c r="D6390" t="s">
        <v>176</v>
      </c>
      <c r="E6390">
        <v>14163</v>
      </c>
      <c r="F6390">
        <v>17</v>
      </c>
      <c r="G6390">
        <v>778</v>
      </c>
      <c r="H6390">
        <f>_xlfn.XLOOKUP(FACT_IMPORTS[[#This Row],[hts_6]],DIM_PRODUCTS[hts_6],DIM_PRODUCTS[hts_4],,,)</f>
        <v>8542</v>
      </c>
      <c r="I6390" t="str" cm="1">
        <f t="array" ref="I6390">_xlfn.XLOOKUP(FACT_IMPORTS[[#This Row],[country_name]],DIM_COUNTRY[[#All],[Column2]],DIM_COUNTRY[[#All],[Column3]],,,)</f>
        <v>Major_Non-USMCA_Non-China</v>
      </c>
    </row>
    <row r="6391" spans="1:9" x14ac:dyDescent="0.4">
      <c r="A6391" t="s">
        <v>68</v>
      </c>
      <c r="B6391" s="1">
        <v>45717</v>
      </c>
      <c r="C6391">
        <v>854232</v>
      </c>
      <c r="D6391" t="s">
        <v>176</v>
      </c>
      <c r="E6391">
        <v>0</v>
      </c>
      <c r="F6391">
        <v>0</v>
      </c>
      <c r="G6391">
        <v>0</v>
      </c>
      <c r="H6391">
        <f>_xlfn.XLOOKUP(FACT_IMPORTS[[#This Row],[hts_6]],DIM_PRODUCTS[hts_6],DIM_PRODUCTS[hts_4],,,)</f>
        <v>8542</v>
      </c>
      <c r="I6391" t="str" cm="1">
        <f t="array" ref="I6391">_xlfn.XLOOKUP(FACT_IMPORTS[[#This Row],[country_name]],DIM_COUNTRY[[#All],[Column2]],DIM_COUNTRY[[#All],[Column3]],,,)</f>
        <v>Major_Non-USMCA_Non-China</v>
      </c>
    </row>
    <row r="6392" spans="1:9" x14ac:dyDescent="0.4">
      <c r="A6392" t="s">
        <v>68</v>
      </c>
      <c r="B6392" s="1">
        <v>45717</v>
      </c>
      <c r="C6392">
        <v>854233</v>
      </c>
      <c r="D6392" t="s">
        <v>176</v>
      </c>
      <c r="E6392">
        <v>0</v>
      </c>
      <c r="F6392">
        <v>0</v>
      </c>
      <c r="G6392">
        <v>0</v>
      </c>
      <c r="H6392">
        <f>_xlfn.XLOOKUP(FACT_IMPORTS[[#This Row],[hts_6]],DIM_PRODUCTS[hts_6],DIM_PRODUCTS[hts_4],,,)</f>
        <v>8542</v>
      </c>
      <c r="I6392" t="str" cm="1">
        <f t="array" ref="I6392">_xlfn.XLOOKUP(FACT_IMPORTS[[#This Row],[country_name]],DIM_COUNTRY[[#All],[Column2]],DIM_COUNTRY[[#All],[Column3]],,,)</f>
        <v>Major_Non-USMCA_Non-China</v>
      </c>
    </row>
    <row r="6393" spans="1:9" x14ac:dyDescent="0.4">
      <c r="A6393" t="s">
        <v>68</v>
      </c>
      <c r="B6393" s="1">
        <v>45717</v>
      </c>
      <c r="C6393">
        <v>854239</v>
      </c>
      <c r="D6393" t="s">
        <v>176</v>
      </c>
      <c r="E6393">
        <v>0</v>
      </c>
      <c r="F6393">
        <v>0</v>
      </c>
      <c r="G6393">
        <v>0</v>
      </c>
      <c r="H6393">
        <f>_xlfn.XLOOKUP(FACT_IMPORTS[[#This Row],[hts_6]],DIM_PRODUCTS[hts_6],DIM_PRODUCTS[hts_4],,,)</f>
        <v>8542</v>
      </c>
      <c r="I6393" t="str" cm="1">
        <f t="array" ref="I6393">_xlfn.XLOOKUP(FACT_IMPORTS[[#This Row],[country_name]],DIM_COUNTRY[[#All],[Column2]],DIM_COUNTRY[[#All],[Column3]],,,)</f>
        <v>Major_Non-USMCA_Non-China</v>
      </c>
    </row>
    <row r="6394" spans="1:9" x14ac:dyDescent="0.4">
      <c r="A6394" t="s">
        <v>68</v>
      </c>
      <c r="B6394" s="1">
        <v>45717</v>
      </c>
      <c r="C6394">
        <v>854290</v>
      </c>
      <c r="D6394" t="s">
        <v>176</v>
      </c>
      <c r="E6394">
        <v>0</v>
      </c>
      <c r="F6394">
        <v>0</v>
      </c>
      <c r="G6394">
        <v>0</v>
      </c>
      <c r="H6394">
        <f>_xlfn.XLOOKUP(FACT_IMPORTS[[#This Row],[hts_6]],DIM_PRODUCTS[hts_6],DIM_PRODUCTS[hts_4],,,)</f>
        <v>8542</v>
      </c>
      <c r="I6394" t="str" cm="1">
        <f t="array" ref="I6394">_xlfn.XLOOKUP(FACT_IMPORTS[[#This Row],[country_name]],DIM_COUNTRY[[#All],[Column2]],DIM_COUNTRY[[#All],[Column3]],,,)</f>
        <v>Major_Non-USMCA_Non-China</v>
      </c>
    </row>
    <row r="6395" spans="1:9" x14ac:dyDescent="0.4">
      <c r="A6395" t="s">
        <v>68</v>
      </c>
      <c r="B6395" s="1">
        <v>45717</v>
      </c>
      <c r="C6395">
        <v>854430</v>
      </c>
      <c r="D6395" t="s">
        <v>176</v>
      </c>
      <c r="E6395">
        <v>245892</v>
      </c>
      <c r="F6395">
        <v>12263</v>
      </c>
      <c r="G6395">
        <v>1701</v>
      </c>
      <c r="H6395">
        <f>_xlfn.XLOOKUP(FACT_IMPORTS[[#This Row],[hts_6]],DIM_PRODUCTS[hts_6],DIM_PRODUCTS[hts_4],,,)</f>
        <v>8544</v>
      </c>
      <c r="I6395" t="str" cm="1">
        <f t="array" ref="I6395">_xlfn.XLOOKUP(FACT_IMPORTS[[#This Row],[country_name]],DIM_COUNTRY[[#All],[Column2]],DIM_COUNTRY[[#All],[Column3]],,,)</f>
        <v>Major_Non-USMCA_Non-China</v>
      </c>
    </row>
    <row r="6396" spans="1:9" x14ac:dyDescent="0.4">
      <c r="A6396" t="s">
        <v>68</v>
      </c>
      <c r="B6396" s="1">
        <v>45717</v>
      </c>
      <c r="C6396">
        <v>870710</v>
      </c>
      <c r="D6396" t="s">
        <v>176</v>
      </c>
      <c r="E6396">
        <v>0</v>
      </c>
      <c r="F6396">
        <v>0</v>
      </c>
      <c r="G6396">
        <v>0</v>
      </c>
      <c r="H6396">
        <f>_xlfn.XLOOKUP(FACT_IMPORTS[[#This Row],[hts_6]],DIM_PRODUCTS[hts_6],DIM_PRODUCTS[hts_4],,,)</f>
        <v>8707</v>
      </c>
      <c r="I6396" t="str" cm="1">
        <f t="array" ref="I6396">_xlfn.XLOOKUP(FACT_IMPORTS[[#This Row],[country_name]],DIM_COUNTRY[[#All],[Column2]],DIM_COUNTRY[[#All],[Column3]],,,)</f>
        <v>Major_Non-USMCA_Non-China</v>
      </c>
    </row>
    <row r="6397" spans="1:9" x14ac:dyDescent="0.4">
      <c r="A6397" t="s">
        <v>68</v>
      </c>
      <c r="B6397" s="1">
        <v>45717</v>
      </c>
      <c r="C6397">
        <v>870790</v>
      </c>
      <c r="D6397" t="s">
        <v>176</v>
      </c>
      <c r="E6397">
        <v>0</v>
      </c>
      <c r="F6397">
        <v>0</v>
      </c>
      <c r="G6397">
        <v>0</v>
      </c>
      <c r="H6397">
        <f>_xlfn.XLOOKUP(FACT_IMPORTS[[#This Row],[hts_6]],DIM_PRODUCTS[hts_6],DIM_PRODUCTS[hts_4],,,)</f>
        <v>8707</v>
      </c>
      <c r="I6397" t="str" cm="1">
        <f t="array" ref="I6397">_xlfn.XLOOKUP(FACT_IMPORTS[[#This Row],[country_name]],DIM_COUNTRY[[#All],[Column2]],DIM_COUNTRY[[#All],[Column3]],,,)</f>
        <v>Major_Non-USMCA_Non-China</v>
      </c>
    </row>
    <row r="6398" spans="1:9" x14ac:dyDescent="0.4">
      <c r="A6398" t="s">
        <v>68</v>
      </c>
      <c r="B6398" s="1">
        <v>45717</v>
      </c>
      <c r="C6398">
        <v>870810</v>
      </c>
      <c r="D6398" t="s">
        <v>176</v>
      </c>
      <c r="E6398">
        <v>41857</v>
      </c>
      <c r="F6398">
        <v>571</v>
      </c>
      <c r="G6398">
        <v>443</v>
      </c>
      <c r="H6398">
        <f>_xlfn.XLOOKUP(FACT_IMPORTS[[#This Row],[hts_6]],DIM_PRODUCTS[hts_6],DIM_PRODUCTS[hts_4],,,)</f>
        <v>8708</v>
      </c>
      <c r="I6398" t="str" cm="1">
        <f t="array" ref="I6398">_xlfn.XLOOKUP(FACT_IMPORTS[[#This Row],[country_name]],DIM_COUNTRY[[#All],[Column2]],DIM_COUNTRY[[#All],[Column3]],,,)</f>
        <v>Major_Non-USMCA_Non-China</v>
      </c>
    </row>
    <row r="6399" spans="1:9" x14ac:dyDescent="0.4">
      <c r="A6399" t="s">
        <v>68</v>
      </c>
      <c r="B6399" s="1">
        <v>45717</v>
      </c>
      <c r="C6399">
        <v>870821</v>
      </c>
      <c r="D6399" t="s">
        <v>176</v>
      </c>
      <c r="E6399">
        <v>0</v>
      </c>
      <c r="F6399">
        <v>0</v>
      </c>
      <c r="G6399">
        <v>0</v>
      </c>
      <c r="H6399">
        <f>_xlfn.XLOOKUP(FACT_IMPORTS[[#This Row],[hts_6]],DIM_PRODUCTS[hts_6],DIM_PRODUCTS[hts_4],,,)</f>
        <v>8708</v>
      </c>
      <c r="I6399" t="str" cm="1">
        <f t="array" ref="I6399">_xlfn.XLOOKUP(FACT_IMPORTS[[#This Row],[country_name]],DIM_COUNTRY[[#All],[Column2]],DIM_COUNTRY[[#All],[Column3]],,,)</f>
        <v>Major_Non-USMCA_Non-China</v>
      </c>
    </row>
    <row r="6400" spans="1:9" x14ac:dyDescent="0.4">
      <c r="A6400" t="s">
        <v>68</v>
      </c>
      <c r="B6400" s="1">
        <v>45717</v>
      </c>
      <c r="C6400">
        <v>870822</v>
      </c>
      <c r="D6400" t="s">
        <v>176</v>
      </c>
      <c r="E6400">
        <v>0</v>
      </c>
      <c r="F6400">
        <v>0</v>
      </c>
      <c r="G6400">
        <v>0</v>
      </c>
      <c r="H6400">
        <f>_xlfn.XLOOKUP(FACT_IMPORTS[[#This Row],[hts_6]],DIM_PRODUCTS[hts_6],DIM_PRODUCTS[hts_4],,,)</f>
        <v>8708</v>
      </c>
      <c r="I6400" t="str" cm="1">
        <f t="array" ref="I6400">_xlfn.XLOOKUP(FACT_IMPORTS[[#This Row],[country_name]],DIM_COUNTRY[[#All],[Column2]],DIM_COUNTRY[[#All],[Column3]],,,)</f>
        <v>Major_Non-USMCA_Non-China</v>
      </c>
    </row>
    <row r="6401" spans="1:9" x14ac:dyDescent="0.4">
      <c r="A6401" t="s">
        <v>68</v>
      </c>
      <c r="B6401" s="1">
        <v>45717</v>
      </c>
      <c r="C6401">
        <v>870829</v>
      </c>
      <c r="D6401" t="s">
        <v>176</v>
      </c>
      <c r="E6401">
        <v>2327564</v>
      </c>
      <c r="F6401">
        <v>1331973</v>
      </c>
      <c r="G6401">
        <v>61774</v>
      </c>
      <c r="H6401">
        <f>_xlfn.XLOOKUP(FACT_IMPORTS[[#This Row],[hts_6]],DIM_PRODUCTS[hts_6],DIM_PRODUCTS[hts_4],,,)</f>
        <v>8708</v>
      </c>
      <c r="I6401" t="str" cm="1">
        <f t="array" ref="I6401">_xlfn.XLOOKUP(FACT_IMPORTS[[#This Row],[country_name]],DIM_COUNTRY[[#All],[Column2]],DIM_COUNTRY[[#All],[Column3]],,,)</f>
        <v>Major_Non-USMCA_Non-China</v>
      </c>
    </row>
    <row r="6402" spans="1:9" x14ac:dyDescent="0.4">
      <c r="A6402" t="s">
        <v>68</v>
      </c>
      <c r="B6402" s="1">
        <v>45717</v>
      </c>
      <c r="C6402">
        <v>870830</v>
      </c>
      <c r="D6402" t="s">
        <v>176</v>
      </c>
      <c r="E6402">
        <v>276837</v>
      </c>
      <c r="F6402">
        <v>19122</v>
      </c>
      <c r="G6402">
        <v>9436</v>
      </c>
      <c r="H6402">
        <f>_xlfn.XLOOKUP(FACT_IMPORTS[[#This Row],[hts_6]],DIM_PRODUCTS[hts_6],DIM_PRODUCTS[hts_4],,,)</f>
        <v>8708</v>
      </c>
      <c r="I6402" t="str" cm="1">
        <f t="array" ref="I6402">_xlfn.XLOOKUP(FACT_IMPORTS[[#This Row],[country_name]],DIM_COUNTRY[[#All],[Column2]],DIM_COUNTRY[[#All],[Column3]],,,)</f>
        <v>Major_Non-USMCA_Non-China</v>
      </c>
    </row>
    <row r="6403" spans="1:9" x14ac:dyDescent="0.4">
      <c r="A6403" t="s">
        <v>68</v>
      </c>
      <c r="B6403" s="1">
        <v>45717</v>
      </c>
      <c r="C6403">
        <v>870840</v>
      </c>
      <c r="D6403" t="s">
        <v>176</v>
      </c>
      <c r="E6403">
        <v>21673065</v>
      </c>
      <c r="F6403">
        <v>730994</v>
      </c>
      <c r="G6403">
        <v>89188</v>
      </c>
      <c r="H6403">
        <f>_xlfn.XLOOKUP(FACT_IMPORTS[[#This Row],[hts_6]],DIM_PRODUCTS[hts_6],DIM_PRODUCTS[hts_4],,,)</f>
        <v>8708</v>
      </c>
      <c r="I6403" t="str" cm="1">
        <f t="array" ref="I6403">_xlfn.XLOOKUP(FACT_IMPORTS[[#This Row],[country_name]],DIM_COUNTRY[[#All],[Column2]],DIM_COUNTRY[[#All],[Column3]],,,)</f>
        <v>Major_Non-USMCA_Non-China</v>
      </c>
    </row>
    <row r="6404" spans="1:9" x14ac:dyDescent="0.4">
      <c r="A6404" t="s">
        <v>68</v>
      </c>
      <c r="B6404" s="1">
        <v>45717</v>
      </c>
      <c r="C6404">
        <v>870850</v>
      </c>
      <c r="D6404" t="s">
        <v>176</v>
      </c>
      <c r="E6404">
        <v>8086539</v>
      </c>
      <c r="F6404">
        <v>348855</v>
      </c>
      <c r="G6404">
        <v>121784</v>
      </c>
      <c r="H6404">
        <f>_xlfn.XLOOKUP(FACT_IMPORTS[[#This Row],[hts_6]],DIM_PRODUCTS[hts_6],DIM_PRODUCTS[hts_4],,,)</f>
        <v>8708</v>
      </c>
      <c r="I6404" t="str" cm="1">
        <f t="array" ref="I6404">_xlfn.XLOOKUP(FACT_IMPORTS[[#This Row],[country_name]],DIM_COUNTRY[[#All],[Column2]],DIM_COUNTRY[[#All],[Column3]],,,)</f>
        <v>Major_Non-USMCA_Non-China</v>
      </c>
    </row>
    <row r="6405" spans="1:9" x14ac:dyDescent="0.4">
      <c r="A6405" t="s">
        <v>68</v>
      </c>
      <c r="B6405" s="1">
        <v>45717</v>
      </c>
      <c r="C6405">
        <v>870870</v>
      </c>
      <c r="D6405" t="s">
        <v>176</v>
      </c>
      <c r="E6405">
        <v>9029</v>
      </c>
      <c r="F6405">
        <v>176</v>
      </c>
      <c r="G6405">
        <v>605</v>
      </c>
      <c r="H6405">
        <f>_xlfn.XLOOKUP(FACT_IMPORTS[[#This Row],[hts_6]],DIM_PRODUCTS[hts_6],DIM_PRODUCTS[hts_4],,,)</f>
        <v>8708</v>
      </c>
      <c r="I6405" t="str" cm="1">
        <f t="array" ref="I6405">_xlfn.XLOOKUP(FACT_IMPORTS[[#This Row],[country_name]],DIM_COUNTRY[[#All],[Column2]],DIM_COUNTRY[[#All],[Column3]],,,)</f>
        <v>Major_Non-USMCA_Non-China</v>
      </c>
    </row>
    <row r="6406" spans="1:9" x14ac:dyDescent="0.4">
      <c r="A6406" t="s">
        <v>68</v>
      </c>
      <c r="B6406" s="1">
        <v>45717</v>
      </c>
      <c r="C6406">
        <v>870880</v>
      </c>
      <c r="D6406" t="s">
        <v>176</v>
      </c>
      <c r="E6406">
        <v>637547</v>
      </c>
      <c r="F6406">
        <v>362625</v>
      </c>
      <c r="G6406">
        <v>18070</v>
      </c>
      <c r="H6406">
        <f>_xlfn.XLOOKUP(FACT_IMPORTS[[#This Row],[hts_6]],DIM_PRODUCTS[hts_6],DIM_PRODUCTS[hts_4],,,)</f>
        <v>8708</v>
      </c>
      <c r="I6406" t="str" cm="1">
        <f t="array" ref="I6406">_xlfn.XLOOKUP(FACT_IMPORTS[[#This Row],[country_name]],DIM_COUNTRY[[#All],[Column2]],DIM_COUNTRY[[#All],[Column3]],,,)</f>
        <v>Major_Non-USMCA_Non-China</v>
      </c>
    </row>
    <row r="6407" spans="1:9" x14ac:dyDescent="0.4">
      <c r="A6407" t="s">
        <v>68</v>
      </c>
      <c r="B6407" s="1">
        <v>45717</v>
      </c>
      <c r="C6407">
        <v>870891</v>
      </c>
      <c r="D6407" t="s">
        <v>176</v>
      </c>
      <c r="E6407">
        <v>75452</v>
      </c>
      <c r="F6407">
        <v>1298</v>
      </c>
      <c r="G6407">
        <v>777</v>
      </c>
      <c r="H6407">
        <f>_xlfn.XLOOKUP(FACT_IMPORTS[[#This Row],[hts_6]],DIM_PRODUCTS[hts_6],DIM_PRODUCTS[hts_4],,,)</f>
        <v>8708</v>
      </c>
      <c r="I6407" t="str" cm="1">
        <f t="array" ref="I6407">_xlfn.XLOOKUP(FACT_IMPORTS[[#This Row],[country_name]],DIM_COUNTRY[[#All],[Column2]],DIM_COUNTRY[[#All],[Column3]],,,)</f>
        <v>Major_Non-USMCA_Non-China</v>
      </c>
    </row>
    <row r="6408" spans="1:9" x14ac:dyDescent="0.4">
      <c r="A6408" t="s">
        <v>68</v>
      </c>
      <c r="B6408" s="1">
        <v>45717</v>
      </c>
      <c r="C6408">
        <v>870892</v>
      </c>
      <c r="D6408" t="s">
        <v>176</v>
      </c>
      <c r="E6408">
        <v>122856</v>
      </c>
      <c r="F6408">
        <v>95807</v>
      </c>
      <c r="G6408">
        <v>8587</v>
      </c>
      <c r="H6408">
        <f>_xlfn.XLOOKUP(FACT_IMPORTS[[#This Row],[hts_6]],DIM_PRODUCTS[hts_6],DIM_PRODUCTS[hts_4],,,)</f>
        <v>8708</v>
      </c>
      <c r="I6408" t="str" cm="1">
        <f t="array" ref="I6408">_xlfn.XLOOKUP(FACT_IMPORTS[[#This Row],[country_name]],DIM_COUNTRY[[#All],[Column2]],DIM_COUNTRY[[#All],[Column3]],,,)</f>
        <v>Major_Non-USMCA_Non-China</v>
      </c>
    </row>
    <row r="6409" spans="1:9" x14ac:dyDescent="0.4">
      <c r="A6409" t="s">
        <v>68</v>
      </c>
      <c r="B6409" s="1">
        <v>45717</v>
      </c>
      <c r="C6409">
        <v>870893</v>
      </c>
      <c r="D6409" t="s">
        <v>176</v>
      </c>
      <c r="E6409">
        <v>406727</v>
      </c>
      <c r="F6409">
        <v>900</v>
      </c>
      <c r="G6409">
        <v>2844</v>
      </c>
      <c r="H6409">
        <f>_xlfn.XLOOKUP(FACT_IMPORTS[[#This Row],[hts_6]],DIM_PRODUCTS[hts_6],DIM_PRODUCTS[hts_4],,,)</f>
        <v>8708</v>
      </c>
      <c r="I6409" t="str" cm="1">
        <f t="array" ref="I6409">_xlfn.XLOOKUP(FACT_IMPORTS[[#This Row],[country_name]],DIM_COUNTRY[[#All],[Column2]],DIM_COUNTRY[[#All],[Column3]],,,)</f>
        <v>Major_Non-USMCA_Non-China</v>
      </c>
    </row>
    <row r="6410" spans="1:9" x14ac:dyDescent="0.4">
      <c r="A6410" t="s">
        <v>68</v>
      </c>
      <c r="B6410" s="1">
        <v>45717</v>
      </c>
      <c r="C6410">
        <v>870894</v>
      </c>
      <c r="D6410" t="s">
        <v>176</v>
      </c>
      <c r="E6410">
        <v>312731</v>
      </c>
      <c r="F6410">
        <v>15412</v>
      </c>
      <c r="G6410">
        <v>3476</v>
      </c>
      <c r="H6410">
        <f>_xlfn.XLOOKUP(FACT_IMPORTS[[#This Row],[hts_6]],DIM_PRODUCTS[hts_6],DIM_PRODUCTS[hts_4],,,)</f>
        <v>8708</v>
      </c>
      <c r="I6410" t="str" cm="1">
        <f t="array" ref="I6410">_xlfn.XLOOKUP(FACT_IMPORTS[[#This Row],[country_name]],DIM_COUNTRY[[#All],[Column2]],DIM_COUNTRY[[#All],[Column3]],,,)</f>
        <v>Major_Non-USMCA_Non-China</v>
      </c>
    </row>
    <row r="6411" spans="1:9" x14ac:dyDescent="0.4">
      <c r="A6411" t="s">
        <v>68</v>
      </c>
      <c r="B6411" s="1">
        <v>45717</v>
      </c>
      <c r="C6411">
        <v>870895</v>
      </c>
      <c r="D6411" t="s">
        <v>176</v>
      </c>
      <c r="E6411">
        <v>0</v>
      </c>
      <c r="F6411">
        <v>0</v>
      </c>
      <c r="G6411">
        <v>0</v>
      </c>
      <c r="H6411">
        <f>_xlfn.XLOOKUP(FACT_IMPORTS[[#This Row],[hts_6]],DIM_PRODUCTS[hts_6],DIM_PRODUCTS[hts_4],,,)</f>
        <v>8708</v>
      </c>
      <c r="I6411" t="str" cm="1">
        <f t="array" ref="I6411">_xlfn.XLOOKUP(FACT_IMPORTS[[#This Row],[country_name]],DIM_COUNTRY[[#All],[Column2]],DIM_COUNTRY[[#All],[Column3]],,,)</f>
        <v>Major_Non-USMCA_Non-China</v>
      </c>
    </row>
    <row r="6412" spans="1:9" x14ac:dyDescent="0.4">
      <c r="A6412" t="s">
        <v>68</v>
      </c>
      <c r="B6412" s="1">
        <v>45717</v>
      </c>
      <c r="C6412">
        <v>870899</v>
      </c>
      <c r="D6412" t="s">
        <v>176</v>
      </c>
      <c r="E6412">
        <v>2818361</v>
      </c>
      <c r="F6412">
        <v>364303</v>
      </c>
      <c r="G6412">
        <v>40680</v>
      </c>
      <c r="H6412">
        <f>_xlfn.XLOOKUP(FACT_IMPORTS[[#This Row],[hts_6]],DIM_PRODUCTS[hts_6],DIM_PRODUCTS[hts_4],,,)</f>
        <v>8708</v>
      </c>
      <c r="I6412" t="str" cm="1">
        <f t="array" ref="I6412">_xlfn.XLOOKUP(FACT_IMPORTS[[#This Row],[country_name]],DIM_COUNTRY[[#All],[Column2]],DIM_COUNTRY[[#All],[Column3]],,,)</f>
        <v>Major_Non-USMCA_Non-China</v>
      </c>
    </row>
    <row r="6413" spans="1:9" x14ac:dyDescent="0.4">
      <c r="A6413" t="s">
        <v>68</v>
      </c>
      <c r="B6413" s="1">
        <v>45717</v>
      </c>
      <c r="C6413">
        <v>940120</v>
      </c>
      <c r="D6413" t="s">
        <v>176</v>
      </c>
      <c r="E6413">
        <v>11495</v>
      </c>
      <c r="F6413">
        <v>17</v>
      </c>
      <c r="G6413">
        <v>369</v>
      </c>
      <c r="H6413">
        <f>_xlfn.XLOOKUP(FACT_IMPORTS[[#This Row],[hts_6]],DIM_PRODUCTS[hts_6],DIM_PRODUCTS[hts_4],,,)</f>
        <v>9401</v>
      </c>
      <c r="I6413" t="str" cm="1">
        <f t="array" ref="I6413">_xlfn.XLOOKUP(FACT_IMPORTS[[#This Row],[country_name]],DIM_COUNTRY[[#All],[Column2]],DIM_COUNTRY[[#All],[Column3]],,,)</f>
        <v>Major_Non-USMCA_Non-China</v>
      </c>
    </row>
    <row r="6414" spans="1:9" x14ac:dyDescent="0.4">
      <c r="A6414" t="s">
        <v>68</v>
      </c>
      <c r="B6414" s="1">
        <v>45748</v>
      </c>
      <c r="C6414">
        <v>392630</v>
      </c>
      <c r="D6414" t="s">
        <v>176</v>
      </c>
      <c r="E6414">
        <v>297501</v>
      </c>
      <c r="F6414">
        <v>15621</v>
      </c>
      <c r="G6414">
        <v>7402</v>
      </c>
      <c r="H6414">
        <f>_xlfn.XLOOKUP(FACT_IMPORTS[[#This Row],[hts_6]],DIM_PRODUCTS[hts_6],DIM_PRODUCTS[hts_4],,,)</f>
        <v>3926</v>
      </c>
      <c r="I6414" t="str" cm="1">
        <f t="array" ref="I6414">_xlfn.XLOOKUP(FACT_IMPORTS[[#This Row],[country_name]],DIM_COUNTRY[[#All],[Column2]],DIM_COUNTRY[[#All],[Column3]],,,)</f>
        <v>Major_Non-USMCA_Non-China</v>
      </c>
    </row>
    <row r="6415" spans="1:9" x14ac:dyDescent="0.4">
      <c r="A6415" t="s">
        <v>68</v>
      </c>
      <c r="B6415" s="1">
        <v>45748</v>
      </c>
      <c r="C6415">
        <v>401110</v>
      </c>
      <c r="D6415" t="s">
        <v>176</v>
      </c>
      <c r="E6415">
        <v>0</v>
      </c>
      <c r="F6415">
        <v>0</v>
      </c>
      <c r="G6415">
        <v>0</v>
      </c>
      <c r="H6415">
        <f>_xlfn.XLOOKUP(FACT_IMPORTS[[#This Row],[hts_6]],DIM_PRODUCTS[hts_6],DIM_PRODUCTS[hts_4],,,)</f>
        <v>4011</v>
      </c>
      <c r="I6415" t="str" cm="1">
        <f t="array" ref="I6415">_xlfn.XLOOKUP(FACT_IMPORTS[[#This Row],[country_name]],DIM_COUNTRY[[#All],[Column2]],DIM_COUNTRY[[#All],[Column3]],,,)</f>
        <v>Major_Non-USMCA_Non-China</v>
      </c>
    </row>
    <row r="6416" spans="1:9" x14ac:dyDescent="0.4">
      <c r="A6416" t="s">
        <v>68</v>
      </c>
      <c r="B6416" s="1">
        <v>45748</v>
      </c>
      <c r="C6416">
        <v>401120</v>
      </c>
      <c r="D6416" t="s">
        <v>176</v>
      </c>
      <c r="E6416">
        <v>636</v>
      </c>
      <c r="F6416">
        <v>4</v>
      </c>
      <c r="G6416">
        <v>64</v>
      </c>
      <c r="H6416">
        <f>_xlfn.XLOOKUP(FACT_IMPORTS[[#This Row],[hts_6]],DIM_PRODUCTS[hts_6],DIM_PRODUCTS[hts_4],,,)</f>
        <v>4011</v>
      </c>
      <c r="I6416" t="str" cm="1">
        <f t="array" ref="I6416">_xlfn.XLOOKUP(FACT_IMPORTS[[#This Row],[country_name]],DIM_COUNTRY[[#All],[Column2]],DIM_COUNTRY[[#All],[Column3]],,,)</f>
        <v>Major_Non-USMCA_Non-China</v>
      </c>
    </row>
    <row r="6417" spans="1:9" x14ac:dyDescent="0.4">
      <c r="A6417" t="s">
        <v>68</v>
      </c>
      <c r="B6417" s="1">
        <v>45748</v>
      </c>
      <c r="C6417">
        <v>401190</v>
      </c>
      <c r="D6417" t="s">
        <v>176</v>
      </c>
      <c r="E6417">
        <v>0</v>
      </c>
      <c r="F6417">
        <v>0</v>
      </c>
      <c r="G6417">
        <v>0</v>
      </c>
      <c r="H6417">
        <f>_xlfn.XLOOKUP(FACT_IMPORTS[[#This Row],[hts_6]],DIM_PRODUCTS[hts_6],DIM_PRODUCTS[hts_4],,,)</f>
        <v>4011</v>
      </c>
      <c r="I6417" t="str" cm="1">
        <f t="array" ref="I6417">_xlfn.XLOOKUP(FACT_IMPORTS[[#This Row],[country_name]],DIM_COUNTRY[[#All],[Column2]],DIM_COUNTRY[[#All],[Column3]],,,)</f>
        <v>Major_Non-USMCA_Non-China</v>
      </c>
    </row>
    <row r="6418" spans="1:9" x14ac:dyDescent="0.4">
      <c r="A6418" t="s">
        <v>68</v>
      </c>
      <c r="B6418" s="1">
        <v>45748</v>
      </c>
      <c r="C6418">
        <v>700711</v>
      </c>
      <c r="D6418" t="s">
        <v>176</v>
      </c>
      <c r="E6418">
        <v>0</v>
      </c>
      <c r="F6418">
        <v>0</v>
      </c>
      <c r="G6418">
        <v>0</v>
      </c>
      <c r="H6418">
        <f>_xlfn.XLOOKUP(FACT_IMPORTS[[#This Row],[hts_6]],DIM_PRODUCTS[hts_6],DIM_PRODUCTS[hts_4],,,)</f>
        <v>7007</v>
      </c>
      <c r="I6418" t="str" cm="1">
        <f t="array" ref="I6418">_xlfn.XLOOKUP(FACT_IMPORTS[[#This Row],[country_name]],DIM_COUNTRY[[#All],[Column2]],DIM_COUNTRY[[#All],[Column3]],,,)</f>
        <v>Major_Non-USMCA_Non-China</v>
      </c>
    </row>
    <row r="6419" spans="1:9" x14ac:dyDescent="0.4">
      <c r="A6419" t="s">
        <v>68</v>
      </c>
      <c r="B6419" s="1">
        <v>45748</v>
      </c>
      <c r="C6419">
        <v>700721</v>
      </c>
      <c r="D6419" t="s">
        <v>176</v>
      </c>
      <c r="E6419">
        <v>0</v>
      </c>
      <c r="F6419">
        <v>0</v>
      </c>
      <c r="G6419">
        <v>0</v>
      </c>
      <c r="H6419">
        <f>_xlfn.XLOOKUP(FACT_IMPORTS[[#This Row],[hts_6]],DIM_PRODUCTS[hts_6],DIM_PRODUCTS[hts_4],,,)</f>
        <v>7007</v>
      </c>
      <c r="I6419" t="str" cm="1">
        <f t="array" ref="I6419">_xlfn.XLOOKUP(FACT_IMPORTS[[#This Row],[country_name]],DIM_COUNTRY[[#All],[Column2]],DIM_COUNTRY[[#All],[Column3]],,,)</f>
        <v>Major_Non-USMCA_Non-China</v>
      </c>
    </row>
    <row r="6420" spans="1:9" x14ac:dyDescent="0.4">
      <c r="A6420" t="s">
        <v>68</v>
      </c>
      <c r="B6420" s="1">
        <v>45748</v>
      </c>
      <c r="C6420">
        <v>700910</v>
      </c>
      <c r="D6420" t="s">
        <v>176</v>
      </c>
      <c r="E6420">
        <v>0</v>
      </c>
      <c r="F6420">
        <v>0</v>
      </c>
      <c r="G6420">
        <v>0</v>
      </c>
      <c r="H6420">
        <f>_xlfn.XLOOKUP(FACT_IMPORTS[[#This Row],[hts_6]],DIM_PRODUCTS[hts_6],DIM_PRODUCTS[hts_4],,,)</f>
        <v>7009</v>
      </c>
      <c r="I6420" t="str" cm="1">
        <f t="array" ref="I6420">_xlfn.XLOOKUP(FACT_IMPORTS[[#This Row],[country_name]],DIM_COUNTRY[[#All],[Column2]],DIM_COUNTRY[[#All],[Column3]],,,)</f>
        <v>Major_Non-USMCA_Non-China</v>
      </c>
    </row>
    <row r="6421" spans="1:9" x14ac:dyDescent="0.4">
      <c r="A6421" t="s">
        <v>68</v>
      </c>
      <c r="B6421" s="1">
        <v>45748</v>
      </c>
      <c r="C6421">
        <v>732010</v>
      </c>
      <c r="D6421" t="s">
        <v>176</v>
      </c>
      <c r="E6421">
        <v>0</v>
      </c>
      <c r="F6421">
        <v>0</v>
      </c>
      <c r="G6421">
        <v>0</v>
      </c>
      <c r="H6421">
        <f>_xlfn.XLOOKUP(FACT_IMPORTS[[#This Row],[hts_6]],DIM_PRODUCTS[hts_6],DIM_PRODUCTS[hts_4],,,)</f>
        <v>7320</v>
      </c>
      <c r="I6421" t="str" cm="1">
        <f t="array" ref="I6421">_xlfn.XLOOKUP(FACT_IMPORTS[[#This Row],[country_name]],DIM_COUNTRY[[#All],[Column2]],DIM_COUNTRY[[#All],[Column3]],,,)</f>
        <v>Major_Non-USMCA_Non-China</v>
      </c>
    </row>
    <row r="6422" spans="1:9" x14ac:dyDescent="0.4">
      <c r="A6422" t="s">
        <v>68</v>
      </c>
      <c r="B6422" s="1">
        <v>45748</v>
      </c>
      <c r="C6422">
        <v>830230</v>
      </c>
      <c r="D6422" t="s">
        <v>176</v>
      </c>
      <c r="E6422">
        <v>348281</v>
      </c>
      <c r="F6422">
        <v>84468</v>
      </c>
      <c r="G6422">
        <v>25914</v>
      </c>
      <c r="H6422">
        <f>_xlfn.XLOOKUP(FACT_IMPORTS[[#This Row],[hts_6]],DIM_PRODUCTS[hts_6],DIM_PRODUCTS[hts_4],,,)</f>
        <v>8302</v>
      </c>
      <c r="I6422" t="str" cm="1">
        <f t="array" ref="I6422">_xlfn.XLOOKUP(FACT_IMPORTS[[#This Row],[country_name]],DIM_COUNTRY[[#All],[Column2]],DIM_COUNTRY[[#All],[Column3]],,,)</f>
        <v>Major_Non-USMCA_Non-China</v>
      </c>
    </row>
    <row r="6423" spans="1:9" x14ac:dyDescent="0.4">
      <c r="A6423" t="s">
        <v>68</v>
      </c>
      <c r="B6423" s="1">
        <v>45748</v>
      </c>
      <c r="C6423">
        <v>840734</v>
      </c>
      <c r="D6423" t="s">
        <v>176</v>
      </c>
      <c r="E6423">
        <v>0</v>
      </c>
      <c r="F6423">
        <v>0</v>
      </c>
      <c r="G6423">
        <v>0</v>
      </c>
      <c r="H6423">
        <f>_xlfn.XLOOKUP(FACT_IMPORTS[[#This Row],[hts_6]],DIM_PRODUCTS[hts_6],DIM_PRODUCTS[hts_4],,,)</f>
        <v>8407</v>
      </c>
      <c r="I6423" t="str" cm="1">
        <f t="array" ref="I6423">_xlfn.XLOOKUP(FACT_IMPORTS[[#This Row],[country_name]],DIM_COUNTRY[[#All],[Column2]],DIM_COUNTRY[[#All],[Column3]],,,)</f>
        <v>Major_Non-USMCA_Non-China</v>
      </c>
    </row>
    <row r="6424" spans="1:9" x14ac:dyDescent="0.4">
      <c r="A6424" t="s">
        <v>68</v>
      </c>
      <c r="B6424" s="1">
        <v>45748</v>
      </c>
      <c r="C6424">
        <v>840820</v>
      </c>
      <c r="D6424" t="s">
        <v>176</v>
      </c>
      <c r="E6424">
        <v>28012</v>
      </c>
      <c r="F6424">
        <v>1</v>
      </c>
      <c r="G6424">
        <v>200</v>
      </c>
      <c r="H6424">
        <f>_xlfn.XLOOKUP(FACT_IMPORTS[[#This Row],[hts_6]],DIM_PRODUCTS[hts_6],DIM_PRODUCTS[hts_4],,,)</f>
        <v>8408</v>
      </c>
      <c r="I6424" t="str" cm="1">
        <f t="array" ref="I6424">_xlfn.XLOOKUP(FACT_IMPORTS[[#This Row],[country_name]],DIM_COUNTRY[[#All],[Column2]],DIM_COUNTRY[[#All],[Column3]],,,)</f>
        <v>Major_Non-USMCA_Non-China</v>
      </c>
    </row>
    <row r="6425" spans="1:9" x14ac:dyDescent="0.4">
      <c r="A6425" t="s">
        <v>68</v>
      </c>
      <c r="B6425" s="1">
        <v>45748</v>
      </c>
      <c r="C6425">
        <v>840890</v>
      </c>
      <c r="D6425" t="s">
        <v>176</v>
      </c>
      <c r="E6425">
        <v>0</v>
      </c>
      <c r="F6425">
        <v>0</v>
      </c>
      <c r="G6425">
        <v>0</v>
      </c>
      <c r="H6425">
        <f>_xlfn.XLOOKUP(FACT_IMPORTS[[#This Row],[hts_6]],DIM_PRODUCTS[hts_6],DIM_PRODUCTS[hts_4],,,)</f>
        <v>8408</v>
      </c>
      <c r="I6425" t="str" cm="1">
        <f t="array" ref="I6425">_xlfn.XLOOKUP(FACT_IMPORTS[[#This Row],[country_name]],DIM_COUNTRY[[#All],[Column2]],DIM_COUNTRY[[#All],[Column3]],,,)</f>
        <v>Major_Non-USMCA_Non-China</v>
      </c>
    </row>
    <row r="6426" spans="1:9" x14ac:dyDescent="0.4">
      <c r="A6426" t="s">
        <v>68</v>
      </c>
      <c r="B6426" s="1">
        <v>45748</v>
      </c>
      <c r="C6426">
        <v>840991</v>
      </c>
      <c r="D6426" t="s">
        <v>176</v>
      </c>
      <c r="E6426">
        <v>888719</v>
      </c>
      <c r="F6426">
        <v>246962</v>
      </c>
      <c r="G6426">
        <v>23407</v>
      </c>
      <c r="H6426">
        <f>_xlfn.XLOOKUP(FACT_IMPORTS[[#This Row],[hts_6]],DIM_PRODUCTS[hts_6],DIM_PRODUCTS[hts_4],,,)</f>
        <v>8409</v>
      </c>
      <c r="I6426" t="str" cm="1">
        <f t="array" ref="I6426">_xlfn.XLOOKUP(FACT_IMPORTS[[#This Row],[country_name]],DIM_COUNTRY[[#All],[Column2]],DIM_COUNTRY[[#All],[Column3]],,,)</f>
        <v>Major_Non-USMCA_Non-China</v>
      </c>
    </row>
    <row r="6427" spans="1:9" x14ac:dyDescent="0.4">
      <c r="A6427" t="s">
        <v>68</v>
      </c>
      <c r="B6427" s="1">
        <v>45748</v>
      </c>
      <c r="C6427">
        <v>840999</v>
      </c>
      <c r="D6427" t="s">
        <v>176</v>
      </c>
      <c r="E6427">
        <v>36656932</v>
      </c>
      <c r="F6427">
        <v>4736012</v>
      </c>
      <c r="G6427">
        <v>845326</v>
      </c>
      <c r="H6427">
        <f>_xlfn.XLOOKUP(FACT_IMPORTS[[#This Row],[hts_6]],DIM_PRODUCTS[hts_6],DIM_PRODUCTS[hts_4],,,)</f>
        <v>8409</v>
      </c>
      <c r="I6427" t="str" cm="1">
        <f t="array" ref="I6427">_xlfn.XLOOKUP(FACT_IMPORTS[[#This Row],[country_name]],DIM_COUNTRY[[#All],[Column2]],DIM_COUNTRY[[#All],[Column3]],,,)</f>
        <v>Major_Non-USMCA_Non-China</v>
      </c>
    </row>
    <row r="6428" spans="1:9" x14ac:dyDescent="0.4">
      <c r="A6428" t="s">
        <v>68</v>
      </c>
      <c r="B6428" s="1">
        <v>45748</v>
      </c>
      <c r="C6428">
        <v>841330</v>
      </c>
      <c r="D6428" t="s">
        <v>176</v>
      </c>
      <c r="E6428">
        <v>11290912</v>
      </c>
      <c r="F6428">
        <v>101597</v>
      </c>
      <c r="G6428">
        <v>35195</v>
      </c>
      <c r="H6428">
        <f>_xlfn.XLOOKUP(FACT_IMPORTS[[#This Row],[hts_6]],DIM_PRODUCTS[hts_6],DIM_PRODUCTS[hts_4],,,)</f>
        <v>8413</v>
      </c>
      <c r="I6428" t="str" cm="1">
        <f t="array" ref="I6428">_xlfn.XLOOKUP(FACT_IMPORTS[[#This Row],[country_name]],DIM_COUNTRY[[#All],[Column2]],DIM_COUNTRY[[#All],[Column3]],,,)</f>
        <v>Major_Non-USMCA_Non-China</v>
      </c>
    </row>
    <row r="6429" spans="1:9" x14ac:dyDescent="0.4">
      <c r="A6429" t="s">
        <v>68</v>
      </c>
      <c r="B6429" s="1">
        <v>45748</v>
      </c>
      <c r="C6429">
        <v>841520</v>
      </c>
      <c r="D6429" t="s">
        <v>176</v>
      </c>
      <c r="E6429">
        <v>0</v>
      </c>
      <c r="F6429">
        <v>0</v>
      </c>
      <c r="G6429">
        <v>0</v>
      </c>
      <c r="H6429">
        <f>_xlfn.XLOOKUP(FACT_IMPORTS[[#This Row],[hts_6]],DIM_PRODUCTS[hts_6],DIM_PRODUCTS[hts_4],,,)</f>
        <v>8415</v>
      </c>
      <c r="I6429" t="str" cm="1">
        <f t="array" ref="I6429">_xlfn.XLOOKUP(FACT_IMPORTS[[#This Row],[country_name]],DIM_COUNTRY[[#All],[Column2]],DIM_COUNTRY[[#All],[Column3]],,,)</f>
        <v>Major_Non-USMCA_Non-China</v>
      </c>
    </row>
    <row r="6430" spans="1:9" x14ac:dyDescent="0.4">
      <c r="A6430" t="s">
        <v>68</v>
      </c>
      <c r="B6430" s="1">
        <v>45748</v>
      </c>
      <c r="C6430">
        <v>842132</v>
      </c>
      <c r="D6430" t="s">
        <v>176</v>
      </c>
      <c r="E6430">
        <v>74914</v>
      </c>
      <c r="F6430">
        <v>139</v>
      </c>
      <c r="G6430">
        <v>1673</v>
      </c>
      <c r="H6430">
        <f>_xlfn.XLOOKUP(FACT_IMPORTS[[#This Row],[hts_6]],DIM_PRODUCTS[hts_6],DIM_PRODUCTS[hts_4],,,)</f>
        <v>8421</v>
      </c>
      <c r="I6430" t="str" cm="1">
        <f t="array" ref="I6430">_xlfn.XLOOKUP(FACT_IMPORTS[[#This Row],[country_name]],DIM_COUNTRY[[#All],[Column2]],DIM_COUNTRY[[#All],[Column3]],,,)</f>
        <v>Major_Non-USMCA_Non-China</v>
      </c>
    </row>
    <row r="6431" spans="1:9" x14ac:dyDescent="0.4">
      <c r="A6431" t="s">
        <v>68</v>
      </c>
      <c r="B6431" s="1">
        <v>45748</v>
      </c>
      <c r="C6431">
        <v>848210</v>
      </c>
      <c r="D6431" t="s">
        <v>176</v>
      </c>
      <c r="E6431">
        <v>376932</v>
      </c>
      <c r="F6431">
        <v>5441</v>
      </c>
      <c r="G6431">
        <v>4173</v>
      </c>
      <c r="H6431">
        <f>_xlfn.XLOOKUP(FACT_IMPORTS[[#This Row],[hts_6]],DIM_PRODUCTS[hts_6],DIM_PRODUCTS[hts_4],,,)</f>
        <v>8482</v>
      </c>
      <c r="I6431" t="str" cm="1">
        <f t="array" ref="I6431">_xlfn.XLOOKUP(FACT_IMPORTS[[#This Row],[country_name]],DIM_COUNTRY[[#All],[Column2]],DIM_COUNTRY[[#All],[Column3]],,,)</f>
        <v>Major_Non-USMCA_Non-China</v>
      </c>
    </row>
    <row r="6432" spans="1:9" x14ac:dyDescent="0.4">
      <c r="A6432" t="s">
        <v>68</v>
      </c>
      <c r="B6432" s="1">
        <v>45748</v>
      </c>
      <c r="C6432">
        <v>848220</v>
      </c>
      <c r="D6432" t="s">
        <v>176</v>
      </c>
      <c r="E6432">
        <v>159217</v>
      </c>
      <c r="F6432">
        <v>8384</v>
      </c>
      <c r="G6432">
        <v>2404</v>
      </c>
      <c r="H6432">
        <f>_xlfn.XLOOKUP(FACT_IMPORTS[[#This Row],[hts_6]],DIM_PRODUCTS[hts_6],DIM_PRODUCTS[hts_4],,,)</f>
        <v>8482</v>
      </c>
      <c r="I6432" t="str" cm="1">
        <f t="array" ref="I6432">_xlfn.XLOOKUP(FACT_IMPORTS[[#This Row],[country_name]],DIM_COUNTRY[[#All],[Column2]],DIM_COUNTRY[[#All],[Column3]],,,)</f>
        <v>Major_Non-USMCA_Non-China</v>
      </c>
    </row>
    <row r="6433" spans="1:9" x14ac:dyDescent="0.4">
      <c r="A6433" t="s">
        <v>68</v>
      </c>
      <c r="B6433" s="1">
        <v>45748</v>
      </c>
      <c r="C6433">
        <v>848310</v>
      </c>
      <c r="D6433" t="s">
        <v>176</v>
      </c>
      <c r="E6433">
        <v>5670092</v>
      </c>
      <c r="F6433">
        <v>28561</v>
      </c>
      <c r="G6433">
        <v>59182</v>
      </c>
      <c r="H6433">
        <f>_xlfn.XLOOKUP(FACT_IMPORTS[[#This Row],[hts_6]],DIM_PRODUCTS[hts_6],DIM_PRODUCTS[hts_4],,,)</f>
        <v>8483</v>
      </c>
      <c r="I6433" t="str" cm="1">
        <f t="array" ref="I6433">_xlfn.XLOOKUP(FACT_IMPORTS[[#This Row],[country_name]],DIM_COUNTRY[[#All],[Column2]],DIM_COUNTRY[[#All],[Column3]],,,)</f>
        <v>Major_Non-USMCA_Non-China</v>
      </c>
    </row>
    <row r="6434" spans="1:9" x14ac:dyDescent="0.4">
      <c r="A6434" t="s">
        <v>68</v>
      </c>
      <c r="B6434" s="1">
        <v>45748</v>
      </c>
      <c r="C6434">
        <v>850131</v>
      </c>
      <c r="D6434" t="s">
        <v>176</v>
      </c>
      <c r="E6434">
        <v>375059</v>
      </c>
      <c r="F6434">
        <v>6985</v>
      </c>
      <c r="G6434">
        <v>1513</v>
      </c>
      <c r="H6434">
        <f>_xlfn.XLOOKUP(FACT_IMPORTS[[#This Row],[hts_6]],DIM_PRODUCTS[hts_6],DIM_PRODUCTS[hts_4],,,)</f>
        <v>8501</v>
      </c>
      <c r="I6434" t="str" cm="1">
        <f t="array" ref="I6434">_xlfn.XLOOKUP(FACT_IMPORTS[[#This Row],[country_name]],DIM_COUNTRY[[#All],[Column2]],DIM_COUNTRY[[#All],[Column3]],,,)</f>
        <v>Major_Non-USMCA_Non-China</v>
      </c>
    </row>
    <row r="6435" spans="1:9" x14ac:dyDescent="0.4">
      <c r="A6435" t="s">
        <v>68</v>
      </c>
      <c r="B6435" s="1">
        <v>45748</v>
      </c>
      <c r="C6435">
        <v>850132</v>
      </c>
      <c r="D6435" t="s">
        <v>176</v>
      </c>
      <c r="E6435">
        <v>134217</v>
      </c>
      <c r="F6435">
        <v>14</v>
      </c>
      <c r="G6435">
        <v>776</v>
      </c>
      <c r="H6435">
        <f>_xlfn.XLOOKUP(FACT_IMPORTS[[#This Row],[hts_6]],DIM_PRODUCTS[hts_6],DIM_PRODUCTS[hts_4],,,)</f>
        <v>8501</v>
      </c>
      <c r="I6435" t="str" cm="1">
        <f t="array" ref="I6435">_xlfn.XLOOKUP(FACT_IMPORTS[[#This Row],[country_name]],DIM_COUNTRY[[#All],[Column2]],DIM_COUNTRY[[#All],[Column3]],,,)</f>
        <v>Major_Non-USMCA_Non-China</v>
      </c>
    </row>
    <row r="6436" spans="1:9" x14ac:dyDescent="0.4">
      <c r="A6436" t="s">
        <v>68</v>
      </c>
      <c r="B6436" s="1">
        <v>45748</v>
      </c>
      <c r="C6436">
        <v>850133</v>
      </c>
      <c r="D6436" t="s">
        <v>176</v>
      </c>
      <c r="E6436">
        <v>0</v>
      </c>
      <c r="F6436">
        <v>0</v>
      </c>
      <c r="G6436">
        <v>0</v>
      </c>
      <c r="H6436">
        <f>_xlfn.XLOOKUP(FACT_IMPORTS[[#This Row],[hts_6]],DIM_PRODUCTS[hts_6],DIM_PRODUCTS[hts_4],,,)</f>
        <v>8501</v>
      </c>
      <c r="I6436" t="str" cm="1">
        <f t="array" ref="I6436">_xlfn.XLOOKUP(FACT_IMPORTS[[#This Row],[country_name]],DIM_COUNTRY[[#All],[Column2]],DIM_COUNTRY[[#All],[Column3]],,,)</f>
        <v>Major_Non-USMCA_Non-China</v>
      </c>
    </row>
    <row r="6437" spans="1:9" x14ac:dyDescent="0.4">
      <c r="A6437" t="s">
        <v>68</v>
      </c>
      <c r="B6437" s="1">
        <v>45748</v>
      </c>
      <c r="C6437">
        <v>850134</v>
      </c>
      <c r="D6437" t="s">
        <v>176</v>
      </c>
      <c r="E6437">
        <v>7942</v>
      </c>
      <c r="F6437">
        <v>1</v>
      </c>
      <c r="G6437">
        <v>645</v>
      </c>
      <c r="H6437">
        <f>_xlfn.XLOOKUP(FACT_IMPORTS[[#This Row],[hts_6]],DIM_PRODUCTS[hts_6],DIM_PRODUCTS[hts_4],,,)</f>
        <v>8501</v>
      </c>
      <c r="I6437" t="str" cm="1">
        <f t="array" ref="I6437">_xlfn.XLOOKUP(FACT_IMPORTS[[#This Row],[country_name]],DIM_COUNTRY[[#All],[Column2]],DIM_COUNTRY[[#All],[Column3]],,,)</f>
        <v>Major_Non-USMCA_Non-China</v>
      </c>
    </row>
    <row r="6438" spans="1:9" x14ac:dyDescent="0.4">
      <c r="A6438" t="s">
        <v>68</v>
      </c>
      <c r="B6438" s="1">
        <v>45748</v>
      </c>
      <c r="C6438">
        <v>850152</v>
      </c>
      <c r="D6438" t="s">
        <v>176</v>
      </c>
      <c r="E6438">
        <v>1262012</v>
      </c>
      <c r="F6438">
        <v>579</v>
      </c>
      <c r="G6438">
        <v>32126</v>
      </c>
      <c r="H6438">
        <f>_xlfn.XLOOKUP(FACT_IMPORTS[[#This Row],[hts_6]],DIM_PRODUCTS[hts_6],DIM_PRODUCTS[hts_4],,,)</f>
        <v>8501</v>
      </c>
      <c r="I6438" t="str" cm="1">
        <f t="array" ref="I6438">_xlfn.XLOOKUP(FACT_IMPORTS[[#This Row],[country_name]],DIM_COUNTRY[[#All],[Column2]],DIM_COUNTRY[[#All],[Column3]],,,)</f>
        <v>Major_Non-USMCA_Non-China</v>
      </c>
    </row>
    <row r="6439" spans="1:9" x14ac:dyDescent="0.4">
      <c r="A6439" t="s">
        <v>68</v>
      </c>
      <c r="B6439" s="1">
        <v>45748</v>
      </c>
      <c r="C6439">
        <v>850153</v>
      </c>
      <c r="D6439" t="s">
        <v>176</v>
      </c>
      <c r="E6439">
        <v>274875</v>
      </c>
      <c r="F6439">
        <v>35</v>
      </c>
      <c r="G6439">
        <v>3209</v>
      </c>
      <c r="H6439">
        <f>_xlfn.XLOOKUP(FACT_IMPORTS[[#This Row],[hts_6]],DIM_PRODUCTS[hts_6],DIM_PRODUCTS[hts_4],,,)</f>
        <v>8501</v>
      </c>
      <c r="I6439" t="str" cm="1">
        <f t="array" ref="I6439">_xlfn.XLOOKUP(FACT_IMPORTS[[#This Row],[country_name]],DIM_COUNTRY[[#All],[Column2]],DIM_COUNTRY[[#All],[Column3]],,,)</f>
        <v>Major_Non-USMCA_Non-China</v>
      </c>
    </row>
    <row r="6440" spans="1:9" x14ac:dyDescent="0.4">
      <c r="A6440" t="s">
        <v>68</v>
      </c>
      <c r="B6440" s="1">
        <v>45748</v>
      </c>
      <c r="C6440">
        <v>850161</v>
      </c>
      <c r="D6440" t="s">
        <v>176</v>
      </c>
      <c r="E6440">
        <v>0</v>
      </c>
      <c r="F6440">
        <v>0</v>
      </c>
      <c r="G6440">
        <v>0</v>
      </c>
      <c r="H6440">
        <f>_xlfn.XLOOKUP(FACT_IMPORTS[[#This Row],[hts_6]],DIM_PRODUCTS[hts_6],DIM_PRODUCTS[hts_4],,,)</f>
        <v>8501</v>
      </c>
      <c r="I6440" t="str" cm="1">
        <f t="array" ref="I6440">_xlfn.XLOOKUP(FACT_IMPORTS[[#This Row],[country_name]],DIM_COUNTRY[[#All],[Column2]],DIM_COUNTRY[[#All],[Column3]],,,)</f>
        <v>Major_Non-USMCA_Non-China</v>
      </c>
    </row>
    <row r="6441" spans="1:9" x14ac:dyDescent="0.4">
      <c r="A6441" t="s">
        <v>68</v>
      </c>
      <c r="B6441" s="1">
        <v>45748</v>
      </c>
      <c r="C6441">
        <v>850440</v>
      </c>
      <c r="D6441" t="s">
        <v>176</v>
      </c>
      <c r="E6441">
        <v>925657</v>
      </c>
      <c r="F6441">
        <v>1308</v>
      </c>
      <c r="G6441">
        <v>21711</v>
      </c>
      <c r="H6441">
        <f>_xlfn.XLOOKUP(FACT_IMPORTS[[#This Row],[hts_6]],DIM_PRODUCTS[hts_6],DIM_PRODUCTS[hts_4],,,)</f>
        <v>8504</v>
      </c>
      <c r="I6441" t="str" cm="1">
        <f t="array" ref="I6441">_xlfn.XLOOKUP(FACT_IMPORTS[[#This Row],[country_name]],DIM_COUNTRY[[#All],[Column2]],DIM_COUNTRY[[#All],[Column3]],,,)</f>
        <v>Major_Non-USMCA_Non-China</v>
      </c>
    </row>
    <row r="6442" spans="1:9" x14ac:dyDescent="0.4">
      <c r="A6442" t="s">
        <v>68</v>
      </c>
      <c r="B6442" s="1">
        <v>45748</v>
      </c>
      <c r="C6442">
        <v>850710</v>
      </c>
      <c r="D6442" t="s">
        <v>176</v>
      </c>
      <c r="E6442">
        <v>0</v>
      </c>
      <c r="F6442">
        <v>0</v>
      </c>
      <c r="G6442">
        <v>0</v>
      </c>
      <c r="H6442">
        <f>_xlfn.XLOOKUP(FACT_IMPORTS[[#This Row],[hts_6]],DIM_PRODUCTS[hts_6],DIM_PRODUCTS[hts_4],,,)</f>
        <v>8507</v>
      </c>
      <c r="I6442" t="str" cm="1">
        <f t="array" ref="I6442">_xlfn.XLOOKUP(FACT_IMPORTS[[#This Row],[country_name]],DIM_COUNTRY[[#All],[Column2]],DIM_COUNTRY[[#All],[Column3]],,,)</f>
        <v>Major_Non-USMCA_Non-China</v>
      </c>
    </row>
    <row r="6443" spans="1:9" x14ac:dyDescent="0.4">
      <c r="A6443" t="s">
        <v>68</v>
      </c>
      <c r="B6443" s="1">
        <v>45748</v>
      </c>
      <c r="C6443">
        <v>850760</v>
      </c>
      <c r="D6443" t="s">
        <v>176</v>
      </c>
      <c r="E6443">
        <v>2529148</v>
      </c>
      <c r="F6443">
        <v>187</v>
      </c>
      <c r="G6443">
        <v>9428</v>
      </c>
      <c r="H6443">
        <f>_xlfn.XLOOKUP(FACT_IMPORTS[[#This Row],[hts_6]],DIM_PRODUCTS[hts_6],DIM_PRODUCTS[hts_4],,,)</f>
        <v>8507</v>
      </c>
      <c r="I6443" t="str" cm="1">
        <f t="array" ref="I6443">_xlfn.XLOOKUP(FACT_IMPORTS[[#This Row],[country_name]],DIM_COUNTRY[[#All],[Column2]],DIM_COUNTRY[[#All],[Column3]],,,)</f>
        <v>Major_Non-USMCA_Non-China</v>
      </c>
    </row>
    <row r="6444" spans="1:9" x14ac:dyDescent="0.4">
      <c r="A6444" t="s">
        <v>68</v>
      </c>
      <c r="B6444" s="1">
        <v>45748</v>
      </c>
      <c r="C6444">
        <v>850790</v>
      </c>
      <c r="D6444" t="s">
        <v>176</v>
      </c>
      <c r="E6444">
        <v>65565</v>
      </c>
      <c r="F6444">
        <v>4313</v>
      </c>
      <c r="G6444">
        <v>1494</v>
      </c>
      <c r="H6444">
        <f>_xlfn.XLOOKUP(FACT_IMPORTS[[#This Row],[hts_6]],DIM_PRODUCTS[hts_6],DIM_PRODUCTS[hts_4],,,)</f>
        <v>8507</v>
      </c>
      <c r="I6444" t="str" cm="1">
        <f t="array" ref="I6444">_xlfn.XLOOKUP(FACT_IMPORTS[[#This Row],[country_name]],DIM_COUNTRY[[#All],[Column2]],DIM_COUNTRY[[#All],[Column3]],,,)</f>
        <v>Major_Non-USMCA_Non-China</v>
      </c>
    </row>
    <row r="6445" spans="1:9" x14ac:dyDescent="0.4">
      <c r="A6445" t="s">
        <v>68</v>
      </c>
      <c r="B6445" s="1">
        <v>45748</v>
      </c>
      <c r="C6445">
        <v>851110</v>
      </c>
      <c r="D6445" t="s">
        <v>176</v>
      </c>
      <c r="E6445">
        <v>39844</v>
      </c>
      <c r="F6445">
        <v>257</v>
      </c>
      <c r="G6445">
        <v>432</v>
      </c>
      <c r="H6445">
        <f>_xlfn.XLOOKUP(FACT_IMPORTS[[#This Row],[hts_6]],DIM_PRODUCTS[hts_6],DIM_PRODUCTS[hts_4],,,)</f>
        <v>8511</v>
      </c>
      <c r="I6445" t="str" cm="1">
        <f t="array" ref="I6445">_xlfn.XLOOKUP(FACT_IMPORTS[[#This Row],[country_name]],DIM_COUNTRY[[#All],[Column2]],DIM_COUNTRY[[#All],[Column3]],,,)</f>
        <v>Major_Non-USMCA_Non-China</v>
      </c>
    </row>
    <row r="6446" spans="1:9" x14ac:dyDescent="0.4">
      <c r="A6446" t="s">
        <v>68</v>
      </c>
      <c r="B6446" s="1">
        <v>45748</v>
      </c>
      <c r="C6446">
        <v>851130</v>
      </c>
      <c r="D6446" t="s">
        <v>176</v>
      </c>
      <c r="E6446">
        <v>0</v>
      </c>
      <c r="F6446">
        <v>0</v>
      </c>
      <c r="G6446">
        <v>0</v>
      </c>
      <c r="H6446">
        <f>_xlfn.XLOOKUP(FACT_IMPORTS[[#This Row],[hts_6]],DIM_PRODUCTS[hts_6],DIM_PRODUCTS[hts_4],,,)</f>
        <v>8511</v>
      </c>
      <c r="I6446" t="str" cm="1">
        <f t="array" ref="I6446">_xlfn.XLOOKUP(FACT_IMPORTS[[#This Row],[country_name]],DIM_COUNTRY[[#All],[Column2]],DIM_COUNTRY[[#All],[Column3]],,,)</f>
        <v>Major_Non-USMCA_Non-China</v>
      </c>
    </row>
    <row r="6447" spans="1:9" x14ac:dyDescent="0.4">
      <c r="A6447" t="s">
        <v>68</v>
      </c>
      <c r="B6447" s="1">
        <v>45748</v>
      </c>
      <c r="C6447">
        <v>851140</v>
      </c>
      <c r="D6447" t="s">
        <v>176</v>
      </c>
      <c r="E6447">
        <v>0</v>
      </c>
      <c r="F6447">
        <v>0</v>
      </c>
      <c r="G6447">
        <v>0</v>
      </c>
      <c r="H6447">
        <f>_xlfn.XLOOKUP(FACT_IMPORTS[[#This Row],[hts_6]],DIM_PRODUCTS[hts_6],DIM_PRODUCTS[hts_4],,,)</f>
        <v>8511</v>
      </c>
      <c r="I6447" t="str" cm="1">
        <f t="array" ref="I6447">_xlfn.XLOOKUP(FACT_IMPORTS[[#This Row],[country_name]],DIM_COUNTRY[[#All],[Column2]],DIM_COUNTRY[[#All],[Column3]],,,)</f>
        <v>Major_Non-USMCA_Non-China</v>
      </c>
    </row>
    <row r="6448" spans="1:9" x14ac:dyDescent="0.4">
      <c r="A6448" t="s">
        <v>68</v>
      </c>
      <c r="B6448" s="1">
        <v>45748</v>
      </c>
      <c r="C6448">
        <v>851150</v>
      </c>
      <c r="D6448" t="s">
        <v>176</v>
      </c>
      <c r="E6448">
        <v>0</v>
      </c>
      <c r="F6448">
        <v>0</v>
      </c>
      <c r="G6448">
        <v>0</v>
      </c>
      <c r="H6448">
        <f>_xlfn.XLOOKUP(FACT_IMPORTS[[#This Row],[hts_6]],DIM_PRODUCTS[hts_6],DIM_PRODUCTS[hts_4],,,)</f>
        <v>8511</v>
      </c>
      <c r="I6448" t="str" cm="1">
        <f t="array" ref="I6448">_xlfn.XLOOKUP(FACT_IMPORTS[[#This Row],[country_name]],DIM_COUNTRY[[#All],[Column2]],DIM_COUNTRY[[#All],[Column3]],,,)</f>
        <v>Major_Non-USMCA_Non-China</v>
      </c>
    </row>
    <row r="6449" spans="1:9" x14ac:dyDescent="0.4">
      <c r="A6449" t="s">
        <v>68</v>
      </c>
      <c r="B6449" s="1">
        <v>45748</v>
      </c>
      <c r="C6449">
        <v>851180</v>
      </c>
      <c r="D6449" t="s">
        <v>176</v>
      </c>
      <c r="E6449">
        <v>2361</v>
      </c>
      <c r="F6449">
        <v>4</v>
      </c>
      <c r="G6449">
        <v>49</v>
      </c>
      <c r="H6449">
        <f>_xlfn.XLOOKUP(FACT_IMPORTS[[#This Row],[hts_6]],DIM_PRODUCTS[hts_6],DIM_PRODUCTS[hts_4],,,)</f>
        <v>8511</v>
      </c>
      <c r="I6449" t="str" cm="1">
        <f t="array" ref="I6449">_xlfn.XLOOKUP(FACT_IMPORTS[[#This Row],[country_name]],DIM_COUNTRY[[#All],[Column2]],DIM_COUNTRY[[#All],[Column3]],,,)</f>
        <v>Major_Non-USMCA_Non-China</v>
      </c>
    </row>
    <row r="6450" spans="1:9" x14ac:dyDescent="0.4">
      <c r="A6450" t="s">
        <v>68</v>
      </c>
      <c r="B6450" s="1">
        <v>45748</v>
      </c>
      <c r="C6450">
        <v>851190</v>
      </c>
      <c r="D6450" t="s">
        <v>176</v>
      </c>
      <c r="E6450">
        <v>0</v>
      </c>
      <c r="F6450">
        <v>0</v>
      </c>
      <c r="G6450">
        <v>0</v>
      </c>
      <c r="H6450">
        <f>_xlfn.XLOOKUP(FACT_IMPORTS[[#This Row],[hts_6]],DIM_PRODUCTS[hts_6],DIM_PRODUCTS[hts_4],,,)</f>
        <v>8511</v>
      </c>
      <c r="I6450" t="str" cm="1">
        <f t="array" ref="I6450">_xlfn.XLOOKUP(FACT_IMPORTS[[#This Row],[country_name]],DIM_COUNTRY[[#All],[Column2]],DIM_COUNTRY[[#All],[Column3]],,,)</f>
        <v>Major_Non-USMCA_Non-China</v>
      </c>
    </row>
    <row r="6451" spans="1:9" x14ac:dyDescent="0.4">
      <c r="A6451" t="s">
        <v>68</v>
      </c>
      <c r="B6451" s="1">
        <v>45748</v>
      </c>
      <c r="C6451">
        <v>851220</v>
      </c>
      <c r="D6451" t="s">
        <v>176</v>
      </c>
      <c r="E6451">
        <v>73051</v>
      </c>
      <c r="F6451">
        <v>32183</v>
      </c>
      <c r="G6451">
        <v>2531</v>
      </c>
      <c r="H6451">
        <f>_xlfn.XLOOKUP(FACT_IMPORTS[[#This Row],[hts_6]],DIM_PRODUCTS[hts_6],DIM_PRODUCTS[hts_4],,,)</f>
        <v>8512</v>
      </c>
      <c r="I6451" t="str" cm="1">
        <f t="array" ref="I6451">_xlfn.XLOOKUP(FACT_IMPORTS[[#This Row],[country_name]],DIM_COUNTRY[[#All],[Column2]],DIM_COUNTRY[[#All],[Column3]],,,)</f>
        <v>Major_Non-USMCA_Non-China</v>
      </c>
    </row>
    <row r="6452" spans="1:9" x14ac:dyDescent="0.4">
      <c r="A6452" t="s">
        <v>68</v>
      </c>
      <c r="B6452" s="1">
        <v>45748</v>
      </c>
      <c r="C6452">
        <v>851230</v>
      </c>
      <c r="D6452" t="s">
        <v>176</v>
      </c>
      <c r="E6452">
        <v>0</v>
      </c>
      <c r="F6452">
        <v>0</v>
      </c>
      <c r="G6452">
        <v>0</v>
      </c>
      <c r="H6452">
        <f>_xlfn.XLOOKUP(FACT_IMPORTS[[#This Row],[hts_6]],DIM_PRODUCTS[hts_6],DIM_PRODUCTS[hts_4],,,)</f>
        <v>8512</v>
      </c>
      <c r="I6452" t="str" cm="1">
        <f t="array" ref="I6452">_xlfn.XLOOKUP(FACT_IMPORTS[[#This Row],[country_name]],DIM_COUNTRY[[#All],[Column2]],DIM_COUNTRY[[#All],[Column3]],,,)</f>
        <v>Major_Non-USMCA_Non-China</v>
      </c>
    </row>
    <row r="6453" spans="1:9" x14ac:dyDescent="0.4">
      <c r="A6453" t="s">
        <v>68</v>
      </c>
      <c r="B6453" s="1">
        <v>45748</v>
      </c>
      <c r="C6453">
        <v>851290</v>
      </c>
      <c r="D6453" t="s">
        <v>176</v>
      </c>
      <c r="E6453">
        <v>0</v>
      </c>
      <c r="F6453">
        <v>0</v>
      </c>
      <c r="G6453">
        <v>0</v>
      </c>
      <c r="H6453">
        <f>_xlfn.XLOOKUP(FACT_IMPORTS[[#This Row],[hts_6]],DIM_PRODUCTS[hts_6],DIM_PRODUCTS[hts_4],,,)</f>
        <v>8512</v>
      </c>
      <c r="I6453" t="str" cm="1">
        <f t="array" ref="I6453">_xlfn.XLOOKUP(FACT_IMPORTS[[#This Row],[country_name]],DIM_COUNTRY[[#All],[Column2]],DIM_COUNTRY[[#All],[Column3]],,,)</f>
        <v>Major_Non-USMCA_Non-China</v>
      </c>
    </row>
    <row r="6454" spans="1:9" x14ac:dyDescent="0.4">
      <c r="A6454" t="s">
        <v>68</v>
      </c>
      <c r="B6454" s="1">
        <v>45748</v>
      </c>
      <c r="C6454">
        <v>854231</v>
      </c>
      <c r="D6454" t="s">
        <v>176</v>
      </c>
      <c r="E6454">
        <v>34479</v>
      </c>
      <c r="F6454">
        <v>30040</v>
      </c>
      <c r="G6454">
        <v>2037</v>
      </c>
      <c r="H6454">
        <f>_xlfn.XLOOKUP(FACT_IMPORTS[[#This Row],[hts_6]],DIM_PRODUCTS[hts_6],DIM_PRODUCTS[hts_4],,,)</f>
        <v>8542</v>
      </c>
      <c r="I6454" t="str" cm="1">
        <f t="array" ref="I6454">_xlfn.XLOOKUP(FACT_IMPORTS[[#This Row],[country_name]],DIM_COUNTRY[[#All],[Column2]],DIM_COUNTRY[[#All],[Column3]],,,)</f>
        <v>Major_Non-USMCA_Non-China</v>
      </c>
    </row>
    <row r="6455" spans="1:9" x14ac:dyDescent="0.4">
      <c r="A6455" t="s">
        <v>68</v>
      </c>
      <c r="B6455" s="1">
        <v>45748</v>
      </c>
      <c r="C6455">
        <v>854232</v>
      </c>
      <c r="D6455" t="s">
        <v>176</v>
      </c>
      <c r="E6455">
        <v>3870</v>
      </c>
      <c r="F6455">
        <v>5</v>
      </c>
      <c r="G6455">
        <v>71</v>
      </c>
      <c r="H6455">
        <f>_xlfn.XLOOKUP(FACT_IMPORTS[[#This Row],[hts_6]],DIM_PRODUCTS[hts_6],DIM_PRODUCTS[hts_4],,,)</f>
        <v>8542</v>
      </c>
      <c r="I6455" t="str" cm="1">
        <f t="array" ref="I6455">_xlfn.XLOOKUP(FACT_IMPORTS[[#This Row],[country_name]],DIM_COUNTRY[[#All],[Column2]],DIM_COUNTRY[[#All],[Column3]],,,)</f>
        <v>Major_Non-USMCA_Non-China</v>
      </c>
    </row>
    <row r="6456" spans="1:9" x14ac:dyDescent="0.4">
      <c r="A6456" t="s">
        <v>68</v>
      </c>
      <c r="B6456" s="1">
        <v>45748</v>
      </c>
      <c r="C6456">
        <v>854233</v>
      </c>
      <c r="D6456" t="s">
        <v>176</v>
      </c>
      <c r="E6456">
        <v>0</v>
      </c>
      <c r="F6456">
        <v>0</v>
      </c>
      <c r="G6456">
        <v>0</v>
      </c>
      <c r="H6456">
        <f>_xlfn.XLOOKUP(FACT_IMPORTS[[#This Row],[hts_6]],DIM_PRODUCTS[hts_6],DIM_PRODUCTS[hts_4],,,)</f>
        <v>8542</v>
      </c>
      <c r="I6456" t="str" cm="1">
        <f t="array" ref="I6456">_xlfn.XLOOKUP(FACT_IMPORTS[[#This Row],[country_name]],DIM_COUNTRY[[#All],[Column2]],DIM_COUNTRY[[#All],[Column3]],,,)</f>
        <v>Major_Non-USMCA_Non-China</v>
      </c>
    </row>
    <row r="6457" spans="1:9" x14ac:dyDescent="0.4">
      <c r="A6457" t="s">
        <v>68</v>
      </c>
      <c r="B6457" s="1">
        <v>45748</v>
      </c>
      <c r="C6457">
        <v>854239</v>
      </c>
      <c r="D6457" t="s">
        <v>176</v>
      </c>
      <c r="E6457">
        <v>3146</v>
      </c>
      <c r="F6457">
        <v>6</v>
      </c>
      <c r="G6457">
        <v>10</v>
      </c>
      <c r="H6457">
        <f>_xlfn.XLOOKUP(FACT_IMPORTS[[#This Row],[hts_6]],DIM_PRODUCTS[hts_6],DIM_PRODUCTS[hts_4],,,)</f>
        <v>8542</v>
      </c>
      <c r="I6457" t="str" cm="1">
        <f t="array" ref="I6457">_xlfn.XLOOKUP(FACT_IMPORTS[[#This Row],[country_name]],DIM_COUNTRY[[#All],[Column2]],DIM_COUNTRY[[#All],[Column3]],,,)</f>
        <v>Major_Non-USMCA_Non-China</v>
      </c>
    </row>
    <row r="6458" spans="1:9" x14ac:dyDescent="0.4">
      <c r="A6458" t="s">
        <v>68</v>
      </c>
      <c r="B6458" s="1">
        <v>45748</v>
      </c>
      <c r="C6458">
        <v>854290</v>
      </c>
      <c r="D6458" t="s">
        <v>176</v>
      </c>
      <c r="E6458">
        <v>5007</v>
      </c>
      <c r="F6458">
        <v>10</v>
      </c>
      <c r="G6458">
        <v>212</v>
      </c>
      <c r="H6458">
        <f>_xlfn.XLOOKUP(FACT_IMPORTS[[#This Row],[hts_6]],DIM_PRODUCTS[hts_6],DIM_PRODUCTS[hts_4],,,)</f>
        <v>8542</v>
      </c>
      <c r="I6458" t="str" cm="1">
        <f t="array" ref="I6458">_xlfn.XLOOKUP(FACT_IMPORTS[[#This Row],[country_name]],DIM_COUNTRY[[#All],[Column2]],DIM_COUNTRY[[#All],[Column3]],,,)</f>
        <v>Major_Non-USMCA_Non-China</v>
      </c>
    </row>
    <row r="6459" spans="1:9" x14ac:dyDescent="0.4">
      <c r="A6459" t="s">
        <v>68</v>
      </c>
      <c r="B6459" s="1">
        <v>45748</v>
      </c>
      <c r="C6459">
        <v>854430</v>
      </c>
      <c r="D6459" t="s">
        <v>176</v>
      </c>
      <c r="E6459">
        <v>436430</v>
      </c>
      <c r="F6459">
        <v>23746</v>
      </c>
      <c r="G6459">
        <v>4344</v>
      </c>
      <c r="H6459">
        <f>_xlfn.XLOOKUP(FACT_IMPORTS[[#This Row],[hts_6]],DIM_PRODUCTS[hts_6],DIM_PRODUCTS[hts_4],,,)</f>
        <v>8544</v>
      </c>
      <c r="I6459" t="str" cm="1">
        <f t="array" ref="I6459">_xlfn.XLOOKUP(FACT_IMPORTS[[#This Row],[country_name]],DIM_COUNTRY[[#All],[Column2]],DIM_COUNTRY[[#All],[Column3]],,,)</f>
        <v>Major_Non-USMCA_Non-China</v>
      </c>
    </row>
    <row r="6460" spans="1:9" x14ac:dyDescent="0.4">
      <c r="A6460" t="s">
        <v>68</v>
      </c>
      <c r="B6460" s="1">
        <v>45748</v>
      </c>
      <c r="C6460">
        <v>870710</v>
      </c>
      <c r="D6460" t="s">
        <v>176</v>
      </c>
      <c r="E6460">
        <v>0</v>
      </c>
      <c r="F6460">
        <v>0</v>
      </c>
      <c r="G6460">
        <v>0</v>
      </c>
      <c r="H6460">
        <f>_xlfn.XLOOKUP(FACT_IMPORTS[[#This Row],[hts_6]],DIM_PRODUCTS[hts_6],DIM_PRODUCTS[hts_4],,,)</f>
        <v>8707</v>
      </c>
      <c r="I6460" t="str" cm="1">
        <f t="array" ref="I6460">_xlfn.XLOOKUP(FACT_IMPORTS[[#This Row],[country_name]],DIM_COUNTRY[[#All],[Column2]],DIM_COUNTRY[[#All],[Column3]],,,)</f>
        <v>Major_Non-USMCA_Non-China</v>
      </c>
    </row>
    <row r="6461" spans="1:9" x14ac:dyDescent="0.4">
      <c r="A6461" t="s">
        <v>68</v>
      </c>
      <c r="B6461" s="1">
        <v>45748</v>
      </c>
      <c r="C6461">
        <v>870790</v>
      </c>
      <c r="D6461" t="s">
        <v>176</v>
      </c>
      <c r="E6461">
        <v>44061</v>
      </c>
      <c r="F6461">
        <v>1</v>
      </c>
      <c r="G6461">
        <v>100</v>
      </c>
      <c r="H6461">
        <f>_xlfn.XLOOKUP(FACT_IMPORTS[[#This Row],[hts_6]],DIM_PRODUCTS[hts_6],DIM_PRODUCTS[hts_4],,,)</f>
        <v>8707</v>
      </c>
      <c r="I6461" t="str" cm="1">
        <f t="array" ref="I6461">_xlfn.XLOOKUP(FACT_IMPORTS[[#This Row],[country_name]],DIM_COUNTRY[[#All],[Column2]],DIM_COUNTRY[[#All],[Column3]],,,)</f>
        <v>Major_Non-USMCA_Non-China</v>
      </c>
    </row>
    <row r="6462" spans="1:9" x14ac:dyDescent="0.4">
      <c r="A6462" t="s">
        <v>68</v>
      </c>
      <c r="B6462" s="1">
        <v>45748</v>
      </c>
      <c r="C6462">
        <v>870810</v>
      </c>
      <c r="D6462" t="s">
        <v>176</v>
      </c>
      <c r="E6462">
        <v>16649</v>
      </c>
      <c r="F6462">
        <v>203</v>
      </c>
      <c r="G6462">
        <v>200</v>
      </c>
      <c r="H6462">
        <f>_xlfn.XLOOKUP(FACT_IMPORTS[[#This Row],[hts_6]],DIM_PRODUCTS[hts_6],DIM_PRODUCTS[hts_4],,,)</f>
        <v>8708</v>
      </c>
      <c r="I6462" t="str" cm="1">
        <f t="array" ref="I6462">_xlfn.XLOOKUP(FACT_IMPORTS[[#This Row],[country_name]],DIM_COUNTRY[[#All],[Column2]],DIM_COUNTRY[[#All],[Column3]],,,)</f>
        <v>Major_Non-USMCA_Non-China</v>
      </c>
    </row>
    <row r="6463" spans="1:9" x14ac:dyDescent="0.4">
      <c r="A6463" t="s">
        <v>68</v>
      </c>
      <c r="B6463" s="1">
        <v>45748</v>
      </c>
      <c r="C6463">
        <v>870821</v>
      </c>
      <c r="D6463" t="s">
        <v>176</v>
      </c>
      <c r="E6463">
        <v>0</v>
      </c>
      <c r="F6463">
        <v>0</v>
      </c>
      <c r="G6463">
        <v>0</v>
      </c>
      <c r="H6463">
        <f>_xlfn.XLOOKUP(FACT_IMPORTS[[#This Row],[hts_6]],DIM_PRODUCTS[hts_6],DIM_PRODUCTS[hts_4],,,)</f>
        <v>8708</v>
      </c>
      <c r="I6463" t="str" cm="1">
        <f t="array" ref="I6463">_xlfn.XLOOKUP(FACT_IMPORTS[[#This Row],[country_name]],DIM_COUNTRY[[#All],[Column2]],DIM_COUNTRY[[#All],[Column3]],,,)</f>
        <v>Major_Non-USMCA_Non-China</v>
      </c>
    </row>
    <row r="6464" spans="1:9" x14ac:dyDescent="0.4">
      <c r="A6464" t="s">
        <v>68</v>
      </c>
      <c r="B6464" s="1">
        <v>45748</v>
      </c>
      <c r="C6464">
        <v>870822</v>
      </c>
      <c r="D6464" t="s">
        <v>176</v>
      </c>
      <c r="E6464">
        <v>0</v>
      </c>
      <c r="F6464">
        <v>0</v>
      </c>
      <c r="G6464">
        <v>0</v>
      </c>
      <c r="H6464">
        <f>_xlfn.XLOOKUP(FACT_IMPORTS[[#This Row],[hts_6]],DIM_PRODUCTS[hts_6],DIM_PRODUCTS[hts_4],,,)</f>
        <v>8708</v>
      </c>
      <c r="I6464" t="str" cm="1">
        <f t="array" ref="I6464">_xlfn.XLOOKUP(FACT_IMPORTS[[#This Row],[country_name]],DIM_COUNTRY[[#All],[Column2]],DIM_COUNTRY[[#All],[Column3]],,,)</f>
        <v>Major_Non-USMCA_Non-China</v>
      </c>
    </row>
    <row r="6465" spans="1:9" x14ac:dyDescent="0.4">
      <c r="A6465" t="s">
        <v>68</v>
      </c>
      <c r="B6465" s="1">
        <v>45748</v>
      </c>
      <c r="C6465">
        <v>870829</v>
      </c>
      <c r="D6465" t="s">
        <v>176</v>
      </c>
      <c r="E6465">
        <v>2278884</v>
      </c>
      <c r="F6465">
        <v>864981</v>
      </c>
      <c r="G6465">
        <v>49293</v>
      </c>
      <c r="H6465">
        <f>_xlfn.XLOOKUP(FACT_IMPORTS[[#This Row],[hts_6]],DIM_PRODUCTS[hts_6],DIM_PRODUCTS[hts_4],,,)</f>
        <v>8708</v>
      </c>
      <c r="I6465" t="str" cm="1">
        <f t="array" ref="I6465">_xlfn.XLOOKUP(FACT_IMPORTS[[#This Row],[country_name]],DIM_COUNTRY[[#All],[Column2]],DIM_COUNTRY[[#All],[Column3]],,,)</f>
        <v>Major_Non-USMCA_Non-China</v>
      </c>
    </row>
    <row r="6466" spans="1:9" x14ac:dyDescent="0.4">
      <c r="A6466" t="s">
        <v>68</v>
      </c>
      <c r="B6466" s="1">
        <v>45748</v>
      </c>
      <c r="C6466">
        <v>870830</v>
      </c>
      <c r="D6466" t="s">
        <v>176</v>
      </c>
      <c r="E6466">
        <v>349818</v>
      </c>
      <c r="F6466">
        <v>330154</v>
      </c>
      <c r="G6466">
        <v>6258</v>
      </c>
      <c r="H6466">
        <f>_xlfn.XLOOKUP(FACT_IMPORTS[[#This Row],[hts_6]],DIM_PRODUCTS[hts_6],DIM_PRODUCTS[hts_4],,,)</f>
        <v>8708</v>
      </c>
      <c r="I6466" t="str" cm="1">
        <f t="array" ref="I6466">_xlfn.XLOOKUP(FACT_IMPORTS[[#This Row],[country_name]],DIM_COUNTRY[[#All],[Column2]],DIM_COUNTRY[[#All],[Column3]],,,)</f>
        <v>Major_Non-USMCA_Non-China</v>
      </c>
    </row>
    <row r="6467" spans="1:9" x14ac:dyDescent="0.4">
      <c r="A6467" t="s">
        <v>68</v>
      </c>
      <c r="B6467" s="1">
        <v>45748</v>
      </c>
      <c r="C6467">
        <v>870840</v>
      </c>
      <c r="D6467" t="s">
        <v>176</v>
      </c>
      <c r="E6467">
        <v>22733156</v>
      </c>
      <c r="F6467">
        <v>990042</v>
      </c>
      <c r="G6467">
        <v>119584</v>
      </c>
      <c r="H6467">
        <f>_xlfn.XLOOKUP(FACT_IMPORTS[[#This Row],[hts_6]],DIM_PRODUCTS[hts_6],DIM_PRODUCTS[hts_4],,,)</f>
        <v>8708</v>
      </c>
      <c r="I6467" t="str" cm="1">
        <f t="array" ref="I6467">_xlfn.XLOOKUP(FACT_IMPORTS[[#This Row],[country_name]],DIM_COUNTRY[[#All],[Column2]],DIM_COUNTRY[[#All],[Column3]],,,)</f>
        <v>Major_Non-USMCA_Non-China</v>
      </c>
    </row>
    <row r="6468" spans="1:9" x14ac:dyDescent="0.4">
      <c r="A6468" t="s">
        <v>68</v>
      </c>
      <c r="B6468" s="1">
        <v>45748</v>
      </c>
      <c r="C6468">
        <v>870850</v>
      </c>
      <c r="D6468" t="s">
        <v>176</v>
      </c>
      <c r="E6468">
        <v>12361801</v>
      </c>
      <c r="F6468">
        <v>464334</v>
      </c>
      <c r="G6468">
        <v>146682</v>
      </c>
      <c r="H6468">
        <f>_xlfn.XLOOKUP(FACT_IMPORTS[[#This Row],[hts_6]],DIM_PRODUCTS[hts_6],DIM_PRODUCTS[hts_4],,,)</f>
        <v>8708</v>
      </c>
      <c r="I6468" t="str" cm="1">
        <f t="array" ref="I6468">_xlfn.XLOOKUP(FACT_IMPORTS[[#This Row],[country_name]],DIM_COUNTRY[[#All],[Column2]],DIM_COUNTRY[[#All],[Column3]],,,)</f>
        <v>Major_Non-USMCA_Non-China</v>
      </c>
    </row>
    <row r="6469" spans="1:9" x14ac:dyDescent="0.4">
      <c r="A6469" t="s">
        <v>68</v>
      </c>
      <c r="B6469" s="1">
        <v>45748</v>
      </c>
      <c r="C6469">
        <v>870870</v>
      </c>
      <c r="D6469" t="s">
        <v>176</v>
      </c>
      <c r="E6469">
        <v>5441</v>
      </c>
      <c r="F6469">
        <v>231</v>
      </c>
      <c r="G6469">
        <v>26</v>
      </c>
      <c r="H6469">
        <f>_xlfn.XLOOKUP(FACT_IMPORTS[[#This Row],[hts_6]],DIM_PRODUCTS[hts_6],DIM_PRODUCTS[hts_4],,,)</f>
        <v>8708</v>
      </c>
      <c r="I6469" t="str" cm="1">
        <f t="array" ref="I6469">_xlfn.XLOOKUP(FACT_IMPORTS[[#This Row],[country_name]],DIM_COUNTRY[[#All],[Column2]],DIM_COUNTRY[[#All],[Column3]],,,)</f>
        <v>Major_Non-USMCA_Non-China</v>
      </c>
    </row>
    <row r="6470" spans="1:9" x14ac:dyDescent="0.4">
      <c r="A6470" t="s">
        <v>68</v>
      </c>
      <c r="B6470" s="1">
        <v>45748</v>
      </c>
      <c r="C6470">
        <v>870880</v>
      </c>
      <c r="D6470" t="s">
        <v>176</v>
      </c>
      <c r="E6470">
        <v>1119711</v>
      </c>
      <c r="F6470">
        <v>387718</v>
      </c>
      <c r="G6470">
        <v>22617</v>
      </c>
      <c r="H6470">
        <f>_xlfn.XLOOKUP(FACT_IMPORTS[[#This Row],[hts_6]],DIM_PRODUCTS[hts_6],DIM_PRODUCTS[hts_4],,,)</f>
        <v>8708</v>
      </c>
      <c r="I6470" t="str" cm="1">
        <f t="array" ref="I6470">_xlfn.XLOOKUP(FACT_IMPORTS[[#This Row],[country_name]],DIM_COUNTRY[[#All],[Column2]],DIM_COUNTRY[[#All],[Column3]],,,)</f>
        <v>Major_Non-USMCA_Non-China</v>
      </c>
    </row>
    <row r="6471" spans="1:9" x14ac:dyDescent="0.4">
      <c r="A6471" t="s">
        <v>68</v>
      </c>
      <c r="B6471" s="1">
        <v>45748</v>
      </c>
      <c r="C6471">
        <v>870891</v>
      </c>
      <c r="D6471" t="s">
        <v>176</v>
      </c>
      <c r="E6471">
        <v>21159</v>
      </c>
      <c r="F6471">
        <v>263</v>
      </c>
      <c r="G6471">
        <v>17</v>
      </c>
      <c r="H6471">
        <f>_xlfn.XLOOKUP(FACT_IMPORTS[[#This Row],[hts_6]],DIM_PRODUCTS[hts_6],DIM_PRODUCTS[hts_4],,,)</f>
        <v>8708</v>
      </c>
      <c r="I6471" t="str" cm="1">
        <f t="array" ref="I6471">_xlfn.XLOOKUP(FACT_IMPORTS[[#This Row],[country_name]],DIM_COUNTRY[[#All],[Column2]],DIM_COUNTRY[[#All],[Column3]],,,)</f>
        <v>Major_Non-USMCA_Non-China</v>
      </c>
    </row>
    <row r="6472" spans="1:9" x14ac:dyDescent="0.4">
      <c r="A6472" t="s">
        <v>68</v>
      </c>
      <c r="B6472" s="1">
        <v>45748</v>
      </c>
      <c r="C6472">
        <v>870892</v>
      </c>
      <c r="D6472" t="s">
        <v>176</v>
      </c>
      <c r="E6472">
        <v>296780</v>
      </c>
      <c r="F6472">
        <v>66723</v>
      </c>
      <c r="G6472">
        <v>18058</v>
      </c>
      <c r="H6472">
        <f>_xlfn.XLOOKUP(FACT_IMPORTS[[#This Row],[hts_6]],DIM_PRODUCTS[hts_6],DIM_PRODUCTS[hts_4],,,)</f>
        <v>8708</v>
      </c>
      <c r="I6472" t="str" cm="1">
        <f t="array" ref="I6472">_xlfn.XLOOKUP(FACT_IMPORTS[[#This Row],[country_name]],DIM_COUNTRY[[#All],[Column2]],DIM_COUNTRY[[#All],[Column3]],,,)</f>
        <v>Major_Non-USMCA_Non-China</v>
      </c>
    </row>
    <row r="6473" spans="1:9" x14ac:dyDescent="0.4">
      <c r="A6473" t="s">
        <v>68</v>
      </c>
      <c r="B6473" s="1">
        <v>45748</v>
      </c>
      <c r="C6473">
        <v>870893</v>
      </c>
      <c r="D6473" t="s">
        <v>176</v>
      </c>
      <c r="E6473">
        <v>1117121</v>
      </c>
      <c r="F6473">
        <v>2821</v>
      </c>
      <c r="G6473">
        <v>10812</v>
      </c>
      <c r="H6473">
        <f>_xlfn.XLOOKUP(FACT_IMPORTS[[#This Row],[hts_6]],DIM_PRODUCTS[hts_6],DIM_PRODUCTS[hts_4],,,)</f>
        <v>8708</v>
      </c>
      <c r="I6473" t="str" cm="1">
        <f t="array" ref="I6473">_xlfn.XLOOKUP(FACT_IMPORTS[[#This Row],[country_name]],DIM_COUNTRY[[#All],[Column2]],DIM_COUNTRY[[#All],[Column3]],,,)</f>
        <v>Major_Non-USMCA_Non-China</v>
      </c>
    </row>
    <row r="6474" spans="1:9" x14ac:dyDescent="0.4">
      <c r="A6474" t="s">
        <v>68</v>
      </c>
      <c r="B6474" s="1">
        <v>45748</v>
      </c>
      <c r="C6474">
        <v>870894</v>
      </c>
      <c r="D6474" t="s">
        <v>176</v>
      </c>
      <c r="E6474">
        <v>182731</v>
      </c>
      <c r="F6474">
        <v>231</v>
      </c>
      <c r="G6474">
        <v>11921</v>
      </c>
      <c r="H6474">
        <f>_xlfn.XLOOKUP(FACT_IMPORTS[[#This Row],[hts_6]],DIM_PRODUCTS[hts_6],DIM_PRODUCTS[hts_4],,,)</f>
        <v>8708</v>
      </c>
      <c r="I6474" t="str" cm="1">
        <f t="array" ref="I6474">_xlfn.XLOOKUP(FACT_IMPORTS[[#This Row],[country_name]],DIM_COUNTRY[[#All],[Column2]],DIM_COUNTRY[[#All],[Column3]],,,)</f>
        <v>Major_Non-USMCA_Non-China</v>
      </c>
    </row>
    <row r="6475" spans="1:9" x14ac:dyDescent="0.4">
      <c r="A6475" t="s">
        <v>68</v>
      </c>
      <c r="B6475" s="1">
        <v>45748</v>
      </c>
      <c r="C6475">
        <v>870895</v>
      </c>
      <c r="D6475" t="s">
        <v>176</v>
      </c>
      <c r="E6475">
        <v>0</v>
      </c>
      <c r="F6475">
        <v>0</v>
      </c>
      <c r="G6475">
        <v>0</v>
      </c>
      <c r="H6475">
        <f>_xlfn.XLOOKUP(FACT_IMPORTS[[#This Row],[hts_6]],DIM_PRODUCTS[hts_6],DIM_PRODUCTS[hts_4],,,)</f>
        <v>8708</v>
      </c>
      <c r="I6475" t="str" cm="1">
        <f t="array" ref="I6475">_xlfn.XLOOKUP(FACT_IMPORTS[[#This Row],[country_name]],DIM_COUNTRY[[#All],[Column2]],DIM_COUNTRY[[#All],[Column3]],,,)</f>
        <v>Major_Non-USMCA_Non-China</v>
      </c>
    </row>
    <row r="6476" spans="1:9" x14ac:dyDescent="0.4">
      <c r="A6476" t="s">
        <v>68</v>
      </c>
      <c r="B6476" s="1">
        <v>45748</v>
      </c>
      <c r="C6476">
        <v>870899</v>
      </c>
      <c r="D6476" t="s">
        <v>176</v>
      </c>
      <c r="E6476">
        <v>2266567</v>
      </c>
      <c r="F6476">
        <v>339675</v>
      </c>
      <c r="G6476">
        <v>36364</v>
      </c>
      <c r="H6476">
        <f>_xlfn.XLOOKUP(FACT_IMPORTS[[#This Row],[hts_6]],DIM_PRODUCTS[hts_6],DIM_PRODUCTS[hts_4],,,)</f>
        <v>8708</v>
      </c>
      <c r="I6476" t="str" cm="1">
        <f t="array" ref="I6476">_xlfn.XLOOKUP(FACT_IMPORTS[[#This Row],[country_name]],DIM_COUNTRY[[#All],[Column2]],DIM_COUNTRY[[#All],[Column3]],,,)</f>
        <v>Major_Non-USMCA_Non-China</v>
      </c>
    </row>
    <row r="6477" spans="1:9" x14ac:dyDescent="0.4">
      <c r="A6477" t="s">
        <v>68</v>
      </c>
      <c r="B6477" s="1">
        <v>45748</v>
      </c>
      <c r="C6477">
        <v>940120</v>
      </c>
      <c r="D6477" t="s">
        <v>176</v>
      </c>
      <c r="E6477">
        <v>35419</v>
      </c>
      <c r="F6477">
        <v>56</v>
      </c>
      <c r="G6477">
        <v>363</v>
      </c>
      <c r="H6477">
        <f>_xlfn.XLOOKUP(FACT_IMPORTS[[#This Row],[hts_6]],DIM_PRODUCTS[hts_6],DIM_PRODUCTS[hts_4],,,)</f>
        <v>9401</v>
      </c>
      <c r="I6477" t="str" cm="1">
        <f t="array" ref="I6477">_xlfn.XLOOKUP(FACT_IMPORTS[[#This Row],[country_name]],DIM_COUNTRY[[#All],[Column2]],DIM_COUNTRY[[#All],[Column3]],,,)</f>
        <v>Major_Non-USMCA_Non-China</v>
      </c>
    </row>
    <row r="6478" spans="1:9" x14ac:dyDescent="0.4">
      <c r="A6478" t="s">
        <v>68</v>
      </c>
      <c r="B6478" s="1">
        <v>45778</v>
      </c>
      <c r="C6478">
        <v>392630</v>
      </c>
      <c r="D6478" t="s">
        <v>176</v>
      </c>
      <c r="E6478">
        <v>159729</v>
      </c>
      <c r="F6478">
        <v>30519</v>
      </c>
      <c r="G6478">
        <v>4815</v>
      </c>
      <c r="H6478">
        <f>_xlfn.XLOOKUP(FACT_IMPORTS[[#This Row],[hts_6]],DIM_PRODUCTS[hts_6],DIM_PRODUCTS[hts_4],,,)</f>
        <v>3926</v>
      </c>
      <c r="I6478" t="str" cm="1">
        <f t="array" ref="I6478">_xlfn.XLOOKUP(FACT_IMPORTS[[#This Row],[country_name]],DIM_COUNTRY[[#All],[Column2]],DIM_COUNTRY[[#All],[Column3]],,,)</f>
        <v>Major_Non-USMCA_Non-China</v>
      </c>
    </row>
    <row r="6479" spans="1:9" x14ac:dyDescent="0.4">
      <c r="A6479" t="s">
        <v>68</v>
      </c>
      <c r="B6479" s="1">
        <v>45778</v>
      </c>
      <c r="C6479">
        <v>401110</v>
      </c>
      <c r="D6479" t="s">
        <v>176</v>
      </c>
      <c r="E6479">
        <v>11614</v>
      </c>
      <c r="F6479">
        <v>59</v>
      </c>
      <c r="G6479">
        <v>422</v>
      </c>
      <c r="H6479">
        <f>_xlfn.XLOOKUP(FACT_IMPORTS[[#This Row],[hts_6]],DIM_PRODUCTS[hts_6],DIM_PRODUCTS[hts_4],,,)</f>
        <v>4011</v>
      </c>
      <c r="I6479" t="str" cm="1">
        <f t="array" ref="I6479">_xlfn.XLOOKUP(FACT_IMPORTS[[#This Row],[country_name]],DIM_COUNTRY[[#All],[Column2]],DIM_COUNTRY[[#All],[Column3]],,,)</f>
        <v>Major_Non-USMCA_Non-China</v>
      </c>
    </row>
    <row r="6480" spans="1:9" x14ac:dyDescent="0.4">
      <c r="A6480" t="s">
        <v>68</v>
      </c>
      <c r="B6480" s="1">
        <v>45778</v>
      </c>
      <c r="C6480">
        <v>401120</v>
      </c>
      <c r="D6480" t="s">
        <v>176</v>
      </c>
      <c r="E6480">
        <v>11584</v>
      </c>
      <c r="F6480">
        <v>27</v>
      </c>
      <c r="G6480">
        <v>9</v>
      </c>
      <c r="H6480">
        <f>_xlfn.XLOOKUP(FACT_IMPORTS[[#This Row],[hts_6]],DIM_PRODUCTS[hts_6],DIM_PRODUCTS[hts_4],,,)</f>
        <v>4011</v>
      </c>
      <c r="I6480" t="str" cm="1">
        <f t="array" ref="I6480">_xlfn.XLOOKUP(FACT_IMPORTS[[#This Row],[country_name]],DIM_COUNTRY[[#All],[Column2]],DIM_COUNTRY[[#All],[Column3]],,,)</f>
        <v>Major_Non-USMCA_Non-China</v>
      </c>
    </row>
    <row r="6481" spans="1:9" x14ac:dyDescent="0.4">
      <c r="A6481" t="s">
        <v>68</v>
      </c>
      <c r="B6481" s="1">
        <v>45778</v>
      </c>
      <c r="C6481">
        <v>401190</v>
      </c>
      <c r="D6481" t="s">
        <v>176</v>
      </c>
      <c r="E6481">
        <v>5677</v>
      </c>
      <c r="F6481">
        <v>47</v>
      </c>
      <c r="G6481">
        <v>139</v>
      </c>
      <c r="H6481">
        <f>_xlfn.XLOOKUP(FACT_IMPORTS[[#This Row],[hts_6]],DIM_PRODUCTS[hts_6],DIM_PRODUCTS[hts_4],,,)</f>
        <v>4011</v>
      </c>
      <c r="I6481" t="str" cm="1">
        <f t="array" ref="I6481">_xlfn.XLOOKUP(FACT_IMPORTS[[#This Row],[country_name]],DIM_COUNTRY[[#All],[Column2]],DIM_COUNTRY[[#All],[Column3]],,,)</f>
        <v>Major_Non-USMCA_Non-China</v>
      </c>
    </row>
    <row r="6482" spans="1:9" x14ac:dyDescent="0.4">
      <c r="A6482" t="s">
        <v>68</v>
      </c>
      <c r="B6482" s="1">
        <v>45778</v>
      </c>
      <c r="C6482">
        <v>700711</v>
      </c>
      <c r="D6482" t="s">
        <v>176</v>
      </c>
      <c r="E6482">
        <v>0</v>
      </c>
      <c r="F6482">
        <v>0</v>
      </c>
      <c r="G6482">
        <v>0</v>
      </c>
      <c r="H6482">
        <f>_xlfn.XLOOKUP(FACT_IMPORTS[[#This Row],[hts_6]],DIM_PRODUCTS[hts_6],DIM_PRODUCTS[hts_4],,,)</f>
        <v>7007</v>
      </c>
      <c r="I6482" t="str" cm="1">
        <f t="array" ref="I6482">_xlfn.XLOOKUP(FACT_IMPORTS[[#This Row],[country_name]],DIM_COUNTRY[[#All],[Column2]],DIM_COUNTRY[[#All],[Column3]],,,)</f>
        <v>Major_Non-USMCA_Non-China</v>
      </c>
    </row>
    <row r="6483" spans="1:9" x14ac:dyDescent="0.4">
      <c r="A6483" t="s">
        <v>68</v>
      </c>
      <c r="B6483" s="1">
        <v>45778</v>
      </c>
      <c r="C6483">
        <v>700721</v>
      </c>
      <c r="D6483" t="s">
        <v>176</v>
      </c>
      <c r="E6483">
        <v>0</v>
      </c>
      <c r="F6483">
        <v>0</v>
      </c>
      <c r="G6483">
        <v>0</v>
      </c>
      <c r="H6483">
        <f>_xlfn.XLOOKUP(FACT_IMPORTS[[#This Row],[hts_6]],DIM_PRODUCTS[hts_6],DIM_PRODUCTS[hts_4],,,)</f>
        <v>7007</v>
      </c>
      <c r="I6483" t="str" cm="1">
        <f t="array" ref="I6483">_xlfn.XLOOKUP(FACT_IMPORTS[[#This Row],[country_name]],DIM_COUNTRY[[#All],[Column2]],DIM_COUNTRY[[#All],[Column3]],,,)</f>
        <v>Major_Non-USMCA_Non-China</v>
      </c>
    </row>
    <row r="6484" spans="1:9" x14ac:dyDescent="0.4">
      <c r="A6484" t="s">
        <v>68</v>
      </c>
      <c r="B6484" s="1">
        <v>45778</v>
      </c>
      <c r="C6484">
        <v>700910</v>
      </c>
      <c r="D6484" t="s">
        <v>176</v>
      </c>
      <c r="E6484">
        <v>0</v>
      </c>
      <c r="F6484">
        <v>0</v>
      </c>
      <c r="G6484">
        <v>0</v>
      </c>
      <c r="H6484">
        <f>_xlfn.XLOOKUP(FACT_IMPORTS[[#This Row],[hts_6]],DIM_PRODUCTS[hts_6],DIM_PRODUCTS[hts_4],,,)</f>
        <v>7009</v>
      </c>
      <c r="I6484" t="str" cm="1">
        <f t="array" ref="I6484">_xlfn.XLOOKUP(FACT_IMPORTS[[#This Row],[country_name]],DIM_COUNTRY[[#All],[Column2]],DIM_COUNTRY[[#All],[Column3]],,,)</f>
        <v>Major_Non-USMCA_Non-China</v>
      </c>
    </row>
    <row r="6485" spans="1:9" x14ac:dyDescent="0.4">
      <c r="A6485" t="s">
        <v>68</v>
      </c>
      <c r="B6485" s="1">
        <v>45778</v>
      </c>
      <c r="C6485">
        <v>732010</v>
      </c>
      <c r="D6485" t="s">
        <v>176</v>
      </c>
      <c r="E6485">
        <v>10468</v>
      </c>
      <c r="F6485">
        <v>134</v>
      </c>
      <c r="G6485">
        <v>1289</v>
      </c>
      <c r="H6485">
        <f>_xlfn.XLOOKUP(FACT_IMPORTS[[#This Row],[hts_6]],DIM_PRODUCTS[hts_6],DIM_PRODUCTS[hts_4],,,)</f>
        <v>7320</v>
      </c>
      <c r="I6485" t="str" cm="1">
        <f t="array" ref="I6485">_xlfn.XLOOKUP(FACT_IMPORTS[[#This Row],[country_name]],DIM_COUNTRY[[#All],[Column2]],DIM_COUNTRY[[#All],[Column3]],,,)</f>
        <v>Major_Non-USMCA_Non-China</v>
      </c>
    </row>
    <row r="6486" spans="1:9" x14ac:dyDescent="0.4">
      <c r="A6486" t="s">
        <v>68</v>
      </c>
      <c r="B6486" s="1">
        <v>45778</v>
      </c>
      <c r="C6486">
        <v>830230</v>
      </c>
      <c r="D6486" t="s">
        <v>176</v>
      </c>
      <c r="E6486">
        <v>485134</v>
      </c>
      <c r="F6486">
        <v>119034</v>
      </c>
      <c r="G6486">
        <v>47192</v>
      </c>
      <c r="H6486">
        <f>_xlfn.XLOOKUP(FACT_IMPORTS[[#This Row],[hts_6]],DIM_PRODUCTS[hts_6],DIM_PRODUCTS[hts_4],,,)</f>
        <v>8302</v>
      </c>
      <c r="I6486" t="str" cm="1">
        <f t="array" ref="I6486">_xlfn.XLOOKUP(FACT_IMPORTS[[#This Row],[country_name]],DIM_COUNTRY[[#All],[Column2]],DIM_COUNTRY[[#All],[Column3]],,,)</f>
        <v>Major_Non-USMCA_Non-China</v>
      </c>
    </row>
    <row r="6487" spans="1:9" x14ac:dyDescent="0.4">
      <c r="A6487" t="s">
        <v>68</v>
      </c>
      <c r="B6487" s="1">
        <v>45778</v>
      </c>
      <c r="C6487">
        <v>840734</v>
      </c>
      <c r="D6487" t="s">
        <v>176</v>
      </c>
      <c r="E6487">
        <v>18943</v>
      </c>
      <c r="F6487">
        <v>2</v>
      </c>
      <c r="G6487">
        <v>133</v>
      </c>
      <c r="H6487">
        <f>_xlfn.XLOOKUP(FACT_IMPORTS[[#This Row],[hts_6]],DIM_PRODUCTS[hts_6],DIM_PRODUCTS[hts_4],,,)</f>
        <v>8407</v>
      </c>
      <c r="I6487" t="str" cm="1">
        <f t="array" ref="I6487">_xlfn.XLOOKUP(FACT_IMPORTS[[#This Row],[country_name]],DIM_COUNTRY[[#All],[Column2]],DIM_COUNTRY[[#All],[Column3]],,,)</f>
        <v>Major_Non-USMCA_Non-China</v>
      </c>
    </row>
    <row r="6488" spans="1:9" x14ac:dyDescent="0.4">
      <c r="A6488" t="s">
        <v>68</v>
      </c>
      <c r="B6488" s="1">
        <v>45778</v>
      </c>
      <c r="C6488">
        <v>840820</v>
      </c>
      <c r="D6488" t="s">
        <v>176</v>
      </c>
      <c r="E6488">
        <v>0</v>
      </c>
      <c r="F6488">
        <v>0</v>
      </c>
      <c r="G6488">
        <v>0</v>
      </c>
      <c r="H6488">
        <f>_xlfn.XLOOKUP(FACT_IMPORTS[[#This Row],[hts_6]],DIM_PRODUCTS[hts_6],DIM_PRODUCTS[hts_4],,,)</f>
        <v>8408</v>
      </c>
      <c r="I6488" t="str" cm="1">
        <f t="array" ref="I6488">_xlfn.XLOOKUP(FACT_IMPORTS[[#This Row],[country_name]],DIM_COUNTRY[[#All],[Column2]],DIM_COUNTRY[[#All],[Column3]],,,)</f>
        <v>Major_Non-USMCA_Non-China</v>
      </c>
    </row>
    <row r="6489" spans="1:9" x14ac:dyDescent="0.4">
      <c r="A6489" t="s">
        <v>68</v>
      </c>
      <c r="B6489" s="1">
        <v>45778</v>
      </c>
      <c r="C6489">
        <v>840890</v>
      </c>
      <c r="D6489" t="s">
        <v>176</v>
      </c>
      <c r="E6489">
        <v>0</v>
      </c>
      <c r="F6489">
        <v>0</v>
      </c>
      <c r="G6489">
        <v>0</v>
      </c>
      <c r="H6489">
        <f>_xlfn.XLOOKUP(FACT_IMPORTS[[#This Row],[hts_6]],DIM_PRODUCTS[hts_6],DIM_PRODUCTS[hts_4],,,)</f>
        <v>8408</v>
      </c>
      <c r="I6489" t="str" cm="1">
        <f t="array" ref="I6489">_xlfn.XLOOKUP(FACT_IMPORTS[[#This Row],[country_name]],DIM_COUNTRY[[#All],[Column2]],DIM_COUNTRY[[#All],[Column3]],,,)</f>
        <v>Major_Non-USMCA_Non-China</v>
      </c>
    </row>
    <row r="6490" spans="1:9" x14ac:dyDescent="0.4">
      <c r="A6490" t="s">
        <v>68</v>
      </c>
      <c r="B6490" s="1">
        <v>45778</v>
      </c>
      <c r="C6490">
        <v>840991</v>
      </c>
      <c r="D6490" t="s">
        <v>176</v>
      </c>
      <c r="E6490">
        <v>717630</v>
      </c>
      <c r="F6490">
        <v>131557</v>
      </c>
      <c r="G6490">
        <v>17899</v>
      </c>
      <c r="H6490">
        <f>_xlfn.XLOOKUP(FACT_IMPORTS[[#This Row],[hts_6]],DIM_PRODUCTS[hts_6],DIM_PRODUCTS[hts_4],,,)</f>
        <v>8409</v>
      </c>
      <c r="I6490" t="str" cm="1">
        <f t="array" ref="I6490">_xlfn.XLOOKUP(FACT_IMPORTS[[#This Row],[country_name]],DIM_COUNTRY[[#All],[Column2]],DIM_COUNTRY[[#All],[Column3]],,,)</f>
        <v>Major_Non-USMCA_Non-China</v>
      </c>
    </row>
    <row r="6491" spans="1:9" x14ac:dyDescent="0.4">
      <c r="A6491" t="s">
        <v>68</v>
      </c>
      <c r="B6491" s="1">
        <v>45778</v>
      </c>
      <c r="C6491">
        <v>840999</v>
      </c>
      <c r="D6491" t="s">
        <v>176</v>
      </c>
      <c r="E6491">
        <v>21283433</v>
      </c>
      <c r="F6491">
        <v>2506254</v>
      </c>
      <c r="G6491">
        <v>539589</v>
      </c>
      <c r="H6491">
        <f>_xlfn.XLOOKUP(FACT_IMPORTS[[#This Row],[hts_6]],DIM_PRODUCTS[hts_6],DIM_PRODUCTS[hts_4],,,)</f>
        <v>8409</v>
      </c>
      <c r="I6491" t="str" cm="1">
        <f t="array" ref="I6491">_xlfn.XLOOKUP(FACT_IMPORTS[[#This Row],[country_name]],DIM_COUNTRY[[#All],[Column2]],DIM_COUNTRY[[#All],[Column3]],,,)</f>
        <v>Major_Non-USMCA_Non-China</v>
      </c>
    </row>
    <row r="6492" spans="1:9" x14ac:dyDescent="0.4">
      <c r="A6492" t="s">
        <v>68</v>
      </c>
      <c r="B6492" s="1">
        <v>45778</v>
      </c>
      <c r="C6492">
        <v>841330</v>
      </c>
      <c r="D6492" t="s">
        <v>176</v>
      </c>
      <c r="E6492">
        <v>8919699</v>
      </c>
      <c r="F6492">
        <v>70553</v>
      </c>
      <c r="G6492">
        <v>30142</v>
      </c>
      <c r="H6492">
        <f>_xlfn.XLOOKUP(FACT_IMPORTS[[#This Row],[hts_6]],DIM_PRODUCTS[hts_6],DIM_PRODUCTS[hts_4],,,)</f>
        <v>8413</v>
      </c>
      <c r="I6492" t="str" cm="1">
        <f t="array" ref="I6492">_xlfn.XLOOKUP(FACT_IMPORTS[[#This Row],[country_name]],DIM_COUNTRY[[#All],[Column2]],DIM_COUNTRY[[#All],[Column3]],,,)</f>
        <v>Major_Non-USMCA_Non-China</v>
      </c>
    </row>
    <row r="6493" spans="1:9" x14ac:dyDescent="0.4">
      <c r="A6493" t="s">
        <v>68</v>
      </c>
      <c r="B6493" s="1">
        <v>45778</v>
      </c>
      <c r="C6493">
        <v>841520</v>
      </c>
      <c r="D6493" t="s">
        <v>176</v>
      </c>
      <c r="E6493">
        <v>0</v>
      </c>
      <c r="F6493">
        <v>0</v>
      </c>
      <c r="G6493">
        <v>0</v>
      </c>
      <c r="H6493">
        <f>_xlfn.XLOOKUP(FACT_IMPORTS[[#This Row],[hts_6]],DIM_PRODUCTS[hts_6],DIM_PRODUCTS[hts_4],,,)</f>
        <v>8415</v>
      </c>
      <c r="I6493" t="str" cm="1">
        <f t="array" ref="I6493">_xlfn.XLOOKUP(FACT_IMPORTS[[#This Row],[country_name]],DIM_COUNTRY[[#All],[Column2]],DIM_COUNTRY[[#All],[Column3]],,,)</f>
        <v>Major_Non-USMCA_Non-China</v>
      </c>
    </row>
    <row r="6494" spans="1:9" x14ac:dyDescent="0.4">
      <c r="A6494" t="s">
        <v>68</v>
      </c>
      <c r="B6494" s="1">
        <v>45778</v>
      </c>
      <c r="C6494">
        <v>842132</v>
      </c>
      <c r="D6494" t="s">
        <v>176</v>
      </c>
      <c r="E6494">
        <v>45452</v>
      </c>
      <c r="F6494">
        <v>78</v>
      </c>
      <c r="G6494">
        <v>296</v>
      </c>
      <c r="H6494">
        <f>_xlfn.XLOOKUP(FACT_IMPORTS[[#This Row],[hts_6]],DIM_PRODUCTS[hts_6],DIM_PRODUCTS[hts_4],,,)</f>
        <v>8421</v>
      </c>
      <c r="I6494" t="str" cm="1">
        <f t="array" ref="I6494">_xlfn.XLOOKUP(FACT_IMPORTS[[#This Row],[country_name]],DIM_COUNTRY[[#All],[Column2]],DIM_COUNTRY[[#All],[Column3]],,,)</f>
        <v>Major_Non-USMCA_Non-China</v>
      </c>
    </row>
    <row r="6495" spans="1:9" x14ac:dyDescent="0.4">
      <c r="A6495" t="s">
        <v>68</v>
      </c>
      <c r="B6495" s="1">
        <v>45778</v>
      </c>
      <c r="C6495">
        <v>848210</v>
      </c>
      <c r="D6495" t="s">
        <v>176</v>
      </c>
      <c r="E6495">
        <v>223479</v>
      </c>
      <c r="F6495">
        <v>5392</v>
      </c>
      <c r="G6495">
        <v>2344</v>
      </c>
      <c r="H6495">
        <f>_xlfn.XLOOKUP(FACT_IMPORTS[[#This Row],[hts_6]],DIM_PRODUCTS[hts_6],DIM_PRODUCTS[hts_4],,,)</f>
        <v>8482</v>
      </c>
      <c r="I6495" t="str" cm="1">
        <f t="array" ref="I6495">_xlfn.XLOOKUP(FACT_IMPORTS[[#This Row],[country_name]],DIM_COUNTRY[[#All],[Column2]],DIM_COUNTRY[[#All],[Column3]],,,)</f>
        <v>Major_Non-USMCA_Non-China</v>
      </c>
    </row>
    <row r="6496" spans="1:9" x14ac:dyDescent="0.4">
      <c r="A6496" t="s">
        <v>68</v>
      </c>
      <c r="B6496" s="1">
        <v>45778</v>
      </c>
      <c r="C6496">
        <v>848220</v>
      </c>
      <c r="D6496" t="s">
        <v>176</v>
      </c>
      <c r="E6496">
        <v>34943</v>
      </c>
      <c r="F6496">
        <v>1322</v>
      </c>
      <c r="G6496">
        <v>331</v>
      </c>
      <c r="H6496">
        <f>_xlfn.XLOOKUP(FACT_IMPORTS[[#This Row],[hts_6]],DIM_PRODUCTS[hts_6],DIM_PRODUCTS[hts_4],,,)</f>
        <v>8482</v>
      </c>
      <c r="I6496" t="str" cm="1">
        <f t="array" ref="I6496">_xlfn.XLOOKUP(FACT_IMPORTS[[#This Row],[country_name]],DIM_COUNTRY[[#All],[Column2]],DIM_COUNTRY[[#All],[Column3]],,,)</f>
        <v>Major_Non-USMCA_Non-China</v>
      </c>
    </row>
    <row r="6497" spans="1:9" x14ac:dyDescent="0.4">
      <c r="A6497" t="s">
        <v>68</v>
      </c>
      <c r="B6497" s="1">
        <v>45778</v>
      </c>
      <c r="C6497">
        <v>848310</v>
      </c>
      <c r="D6497" t="s">
        <v>176</v>
      </c>
      <c r="E6497">
        <v>4051341</v>
      </c>
      <c r="F6497">
        <v>18104</v>
      </c>
      <c r="G6497">
        <v>150713</v>
      </c>
      <c r="H6497">
        <f>_xlfn.XLOOKUP(FACT_IMPORTS[[#This Row],[hts_6]],DIM_PRODUCTS[hts_6],DIM_PRODUCTS[hts_4],,,)</f>
        <v>8483</v>
      </c>
      <c r="I6497" t="str" cm="1">
        <f t="array" ref="I6497">_xlfn.XLOOKUP(FACT_IMPORTS[[#This Row],[country_name]],DIM_COUNTRY[[#All],[Column2]],DIM_COUNTRY[[#All],[Column3]],,,)</f>
        <v>Major_Non-USMCA_Non-China</v>
      </c>
    </row>
    <row r="6498" spans="1:9" x14ac:dyDescent="0.4">
      <c r="A6498" t="s">
        <v>68</v>
      </c>
      <c r="B6498" s="1">
        <v>45778</v>
      </c>
      <c r="C6498">
        <v>850131</v>
      </c>
      <c r="D6498" t="s">
        <v>176</v>
      </c>
      <c r="E6498">
        <v>176265</v>
      </c>
      <c r="F6498">
        <v>3228</v>
      </c>
      <c r="G6498">
        <v>1712</v>
      </c>
      <c r="H6498">
        <f>_xlfn.XLOOKUP(FACT_IMPORTS[[#This Row],[hts_6]],DIM_PRODUCTS[hts_6],DIM_PRODUCTS[hts_4],,,)</f>
        <v>8501</v>
      </c>
      <c r="I6498" t="str" cm="1">
        <f t="array" ref="I6498">_xlfn.XLOOKUP(FACT_IMPORTS[[#This Row],[country_name]],DIM_COUNTRY[[#All],[Column2]],DIM_COUNTRY[[#All],[Column3]],,,)</f>
        <v>Major_Non-USMCA_Non-China</v>
      </c>
    </row>
    <row r="6499" spans="1:9" x14ac:dyDescent="0.4">
      <c r="A6499" t="s">
        <v>68</v>
      </c>
      <c r="B6499" s="1">
        <v>45778</v>
      </c>
      <c r="C6499">
        <v>850132</v>
      </c>
      <c r="D6499" t="s">
        <v>176</v>
      </c>
      <c r="E6499">
        <v>188995</v>
      </c>
      <c r="F6499">
        <v>25</v>
      </c>
      <c r="G6499">
        <v>2230</v>
      </c>
      <c r="H6499">
        <f>_xlfn.XLOOKUP(FACT_IMPORTS[[#This Row],[hts_6]],DIM_PRODUCTS[hts_6],DIM_PRODUCTS[hts_4],,,)</f>
        <v>8501</v>
      </c>
      <c r="I6499" t="str" cm="1">
        <f t="array" ref="I6499">_xlfn.XLOOKUP(FACT_IMPORTS[[#This Row],[country_name]],DIM_COUNTRY[[#All],[Column2]],DIM_COUNTRY[[#All],[Column3]],,,)</f>
        <v>Major_Non-USMCA_Non-China</v>
      </c>
    </row>
    <row r="6500" spans="1:9" x14ac:dyDescent="0.4">
      <c r="A6500" t="s">
        <v>68</v>
      </c>
      <c r="B6500" s="1">
        <v>45778</v>
      </c>
      <c r="C6500">
        <v>850133</v>
      </c>
      <c r="D6500" t="s">
        <v>176</v>
      </c>
      <c r="E6500">
        <v>163604</v>
      </c>
      <c r="F6500">
        <v>32</v>
      </c>
      <c r="G6500">
        <v>259</v>
      </c>
      <c r="H6500">
        <f>_xlfn.XLOOKUP(FACT_IMPORTS[[#This Row],[hts_6]],DIM_PRODUCTS[hts_6],DIM_PRODUCTS[hts_4],,,)</f>
        <v>8501</v>
      </c>
      <c r="I6500" t="str" cm="1">
        <f t="array" ref="I6500">_xlfn.XLOOKUP(FACT_IMPORTS[[#This Row],[country_name]],DIM_COUNTRY[[#All],[Column2]],DIM_COUNTRY[[#All],[Column3]],,,)</f>
        <v>Major_Non-USMCA_Non-China</v>
      </c>
    </row>
    <row r="6501" spans="1:9" x14ac:dyDescent="0.4">
      <c r="A6501" t="s">
        <v>68</v>
      </c>
      <c r="B6501" s="1">
        <v>45778</v>
      </c>
      <c r="C6501">
        <v>850134</v>
      </c>
      <c r="D6501" t="s">
        <v>176</v>
      </c>
      <c r="E6501">
        <v>7346</v>
      </c>
      <c r="F6501">
        <v>1</v>
      </c>
      <c r="G6501">
        <v>248</v>
      </c>
      <c r="H6501">
        <f>_xlfn.XLOOKUP(FACT_IMPORTS[[#This Row],[hts_6]],DIM_PRODUCTS[hts_6],DIM_PRODUCTS[hts_4],,,)</f>
        <v>8501</v>
      </c>
      <c r="I6501" t="str" cm="1">
        <f t="array" ref="I6501">_xlfn.XLOOKUP(FACT_IMPORTS[[#This Row],[country_name]],DIM_COUNTRY[[#All],[Column2]],DIM_COUNTRY[[#All],[Column3]],,,)</f>
        <v>Major_Non-USMCA_Non-China</v>
      </c>
    </row>
    <row r="6502" spans="1:9" x14ac:dyDescent="0.4">
      <c r="A6502" t="s">
        <v>68</v>
      </c>
      <c r="B6502" s="1">
        <v>45778</v>
      </c>
      <c r="C6502">
        <v>850152</v>
      </c>
      <c r="D6502" t="s">
        <v>176</v>
      </c>
      <c r="E6502">
        <v>1276237</v>
      </c>
      <c r="F6502">
        <v>556</v>
      </c>
      <c r="G6502">
        <v>34270</v>
      </c>
      <c r="H6502">
        <f>_xlfn.XLOOKUP(FACT_IMPORTS[[#This Row],[hts_6]],DIM_PRODUCTS[hts_6],DIM_PRODUCTS[hts_4],,,)</f>
        <v>8501</v>
      </c>
      <c r="I6502" t="str" cm="1">
        <f t="array" ref="I6502">_xlfn.XLOOKUP(FACT_IMPORTS[[#This Row],[country_name]],DIM_COUNTRY[[#All],[Column2]],DIM_COUNTRY[[#All],[Column3]],,,)</f>
        <v>Major_Non-USMCA_Non-China</v>
      </c>
    </row>
    <row r="6503" spans="1:9" x14ac:dyDescent="0.4">
      <c r="A6503" t="s">
        <v>68</v>
      </c>
      <c r="B6503" s="1">
        <v>45778</v>
      </c>
      <c r="C6503">
        <v>850153</v>
      </c>
      <c r="D6503" t="s">
        <v>176</v>
      </c>
      <c r="E6503">
        <v>350482</v>
      </c>
      <c r="F6503">
        <v>76</v>
      </c>
      <c r="G6503">
        <v>8528</v>
      </c>
      <c r="H6503">
        <f>_xlfn.XLOOKUP(FACT_IMPORTS[[#This Row],[hts_6]],DIM_PRODUCTS[hts_6],DIM_PRODUCTS[hts_4],,,)</f>
        <v>8501</v>
      </c>
      <c r="I6503" t="str" cm="1">
        <f t="array" ref="I6503">_xlfn.XLOOKUP(FACT_IMPORTS[[#This Row],[country_name]],DIM_COUNTRY[[#All],[Column2]],DIM_COUNTRY[[#All],[Column3]],,,)</f>
        <v>Major_Non-USMCA_Non-China</v>
      </c>
    </row>
    <row r="6504" spans="1:9" x14ac:dyDescent="0.4">
      <c r="A6504" t="s">
        <v>68</v>
      </c>
      <c r="B6504" s="1">
        <v>45778</v>
      </c>
      <c r="C6504">
        <v>850161</v>
      </c>
      <c r="D6504" t="s">
        <v>176</v>
      </c>
      <c r="E6504">
        <v>0</v>
      </c>
      <c r="F6504">
        <v>0</v>
      </c>
      <c r="G6504">
        <v>0</v>
      </c>
      <c r="H6504">
        <f>_xlfn.XLOOKUP(FACT_IMPORTS[[#This Row],[hts_6]],DIM_PRODUCTS[hts_6],DIM_PRODUCTS[hts_4],,,)</f>
        <v>8501</v>
      </c>
      <c r="I6504" t="str" cm="1">
        <f t="array" ref="I6504">_xlfn.XLOOKUP(FACT_IMPORTS[[#This Row],[country_name]],DIM_COUNTRY[[#All],[Column2]],DIM_COUNTRY[[#All],[Column3]],,,)</f>
        <v>Major_Non-USMCA_Non-China</v>
      </c>
    </row>
    <row r="6505" spans="1:9" x14ac:dyDescent="0.4">
      <c r="A6505" t="s">
        <v>68</v>
      </c>
      <c r="B6505" s="1">
        <v>45778</v>
      </c>
      <c r="C6505">
        <v>850440</v>
      </c>
      <c r="D6505" t="s">
        <v>176</v>
      </c>
      <c r="E6505">
        <v>515987</v>
      </c>
      <c r="F6505">
        <v>461</v>
      </c>
      <c r="G6505">
        <v>21438</v>
      </c>
      <c r="H6505">
        <f>_xlfn.XLOOKUP(FACT_IMPORTS[[#This Row],[hts_6]],DIM_PRODUCTS[hts_6],DIM_PRODUCTS[hts_4],,,)</f>
        <v>8504</v>
      </c>
      <c r="I6505" t="str" cm="1">
        <f t="array" ref="I6505">_xlfn.XLOOKUP(FACT_IMPORTS[[#This Row],[country_name]],DIM_COUNTRY[[#All],[Column2]],DIM_COUNTRY[[#All],[Column3]],,,)</f>
        <v>Major_Non-USMCA_Non-China</v>
      </c>
    </row>
    <row r="6506" spans="1:9" x14ac:dyDescent="0.4">
      <c r="A6506" t="s">
        <v>68</v>
      </c>
      <c r="B6506" s="1">
        <v>45778</v>
      </c>
      <c r="C6506">
        <v>850710</v>
      </c>
      <c r="D6506" t="s">
        <v>176</v>
      </c>
      <c r="E6506">
        <v>0</v>
      </c>
      <c r="F6506">
        <v>0</v>
      </c>
      <c r="G6506">
        <v>0</v>
      </c>
      <c r="H6506">
        <f>_xlfn.XLOOKUP(FACT_IMPORTS[[#This Row],[hts_6]],DIM_PRODUCTS[hts_6],DIM_PRODUCTS[hts_4],,,)</f>
        <v>8507</v>
      </c>
      <c r="I6506" t="str" cm="1">
        <f t="array" ref="I6506">_xlfn.XLOOKUP(FACT_IMPORTS[[#This Row],[country_name]],DIM_COUNTRY[[#All],[Column2]],DIM_COUNTRY[[#All],[Column3]],,,)</f>
        <v>Major_Non-USMCA_Non-China</v>
      </c>
    </row>
    <row r="6507" spans="1:9" x14ac:dyDescent="0.4">
      <c r="A6507" t="s">
        <v>68</v>
      </c>
      <c r="B6507" s="1">
        <v>45778</v>
      </c>
      <c r="C6507">
        <v>850760</v>
      </c>
      <c r="D6507" t="s">
        <v>176</v>
      </c>
      <c r="E6507">
        <v>984777</v>
      </c>
      <c r="F6507">
        <v>126</v>
      </c>
      <c r="G6507">
        <v>8642</v>
      </c>
      <c r="H6507">
        <f>_xlfn.XLOOKUP(FACT_IMPORTS[[#This Row],[hts_6]],DIM_PRODUCTS[hts_6],DIM_PRODUCTS[hts_4],,,)</f>
        <v>8507</v>
      </c>
      <c r="I6507" t="str" cm="1">
        <f t="array" ref="I6507">_xlfn.XLOOKUP(FACT_IMPORTS[[#This Row],[country_name]],DIM_COUNTRY[[#All],[Column2]],DIM_COUNTRY[[#All],[Column3]],,,)</f>
        <v>Major_Non-USMCA_Non-China</v>
      </c>
    </row>
    <row r="6508" spans="1:9" x14ac:dyDescent="0.4">
      <c r="A6508" t="s">
        <v>68</v>
      </c>
      <c r="B6508" s="1">
        <v>45778</v>
      </c>
      <c r="C6508">
        <v>850790</v>
      </c>
      <c r="D6508" t="s">
        <v>176</v>
      </c>
      <c r="E6508">
        <v>689230</v>
      </c>
      <c r="F6508">
        <v>2120</v>
      </c>
      <c r="G6508">
        <v>2000</v>
      </c>
      <c r="H6508">
        <f>_xlfn.XLOOKUP(FACT_IMPORTS[[#This Row],[hts_6]],DIM_PRODUCTS[hts_6],DIM_PRODUCTS[hts_4],,,)</f>
        <v>8507</v>
      </c>
      <c r="I6508" t="str" cm="1">
        <f t="array" ref="I6508">_xlfn.XLOOKUP(FACT_IMPORTS[[#This Row],[country_name]],DIM_COUNTRY[[#All],[Column2]],DIM_COUNTRY[[#All],[Column3]],,,)</f>
        <v>Major_Non-USMCA_Non-China</v>
      </c>
    </row>
    <row r="6509" spans="1:9" x14ac:dyDescent="0.4">
      <c r="A6509" t="s">
        <v>68</v>
      </c>
      <c r="B6509" s="1">
        <v>45778</v>
      </c>
      <c r="C6509">
        <v>851110</v>
      </c>
      <c r="D6509" t="s">
        <v>176</v>
      </c>
      <c r="E6509">
        <v>620181</v>
      </c>
      <c r="F6509">
        <v>3659</v>
      </c>
      <c r="G6509">
        <v>5336</v>
      </c>
      <c r="H6509">
        <f>_xlfn.XLOOKUP(FACT_IMPORTS[[#This Row],[hts_6]],DIM_PRODUCTS[hts_6],DIM_PRODUCTS[hts_4],,,)</f>
        <v>8511</v>
      </c>
      <c r="I6509" t="str" cm="1">
        <f t="array" ref="I6509">_xlfn.XLOOKUP(FACT_IMPORTS[[#This Row],[country_name]],DIM_COUNTRY[[#All],[Column2]],DIM_COUNTRY[[#All],[Column3]],,,)</f>
        <v>Major_Non-USMCA_Non-China</v>
      </c>
    </row>
    <row r="6510" spans="1:9" x14ac:dyDescent="0.4">
      <c r="A6510" t="s">
        <v>68</v>
      </c>
      <c r="B6510" s="1">
        <v>45778</v>
      </c>
      <c r="C6510">
        <v>851130</v>
      </c>
      <c r="D6510" t="s">
        <v>176</v>
      </c>
      <c r="E6510">
        <v>0</v>
      </c>
      <c r="F6510">
        <v>0</v>
      </c>
      <c r="G6510">
        <v>0</v>
      </c>
      <c r="H6510">
        <f>_xlfn.XLOOKUP(FACT_IMPORTS[[#This Row],[hts_6]],DIM_PRODUCTS[hts_6],DIM_PRODUCTS[hts_4],,,)</f>
        <v>8511</v>
      </c>
      <c r="I6510" t="str" cm="1">
        <f t="array" ref="I6510">_xlfn.XLOOKUP(FACT_IMPORTS[[#This Row],[country_name]],DIM_COUNTRY[[#All],[Column2]],DIM_COUNTRY[[#All],[Column3]],,,)</f>
        <v>Major_Non-USMCA_Non-China</v>
      </c>
    </row>
    <row r="6511" spans="1:9" x14ac:dyDescent="0.4">
      <c r="A6511" t="s">
        <v>68</v>
      </c>
      <c r="B6511" s="1">
        <v>45778</v>
      </c>
      <c r="C6511">
        <v>851140</v>
      </c>
      <c r="D6511" t="s">
        <v>176</v>
      </c>
      <c r="E6511">
        <v>2418</v>
      </c>
      <c r="F6511">
        <v>2</v>
      </c>
      <c r="G6511">
        <v>68</v>
      </c>
      <c r="H6511">
        <f>_xlfn.XLOOKUP(FACT_IMPORTS[[#This Row],[hts_6]],DIM_PRODUCTS[hts_6],DIM_PRODUCTS[hts_4],,,)</f>
        <v>8511</v>
      </c>
      <c r="I6511" t="str" cm="1">
        <f t="array" ref="I6511">_xlfn.XLOOKUP(FACT_IMPORTS[[#This Row],[country_name]],DIM_COUNTRY[[#All],[Column2]],DIM_COUNTRY[[#All],[Column3]],,,)</f>
        <v>Major_Non-USMCA_Non-China</v>
      </c>
    </row>
    <row r="6512" spans="1:9" x14ac:dyDescent="0.4">
      <c r="A6512" t="s">
        <v>68</v>
      </c>
      <c r="B6512" s="1">
        <v>45778</v>
      </c>
      <c r="C6512">
        <v>851150</v>
      </c>
      <c r="D6512" t="s">
        <v>176</v>
      </c>
      <c r="E6512">
        <v>7711</v>
      </c>
      <c r="F6512">
        <v>1</v>
      </c>
      <c r="G6512">
        <v>309</v>
      </c>
      <c r="H6512">
        <f>_xlfn.XLOOKUP(FACT_IMPORTS[[#This Row],[hts_6]],DIM_PRODUCTS[hts_6],DIM_PRODUCTS[hts_4],,,)</f>
        <v>8511</v>
      </c>
      <c r="I6512" t="str" cm="1">
        <f t="array" ref="I6512">_xlfn.XLOOKUP(FACT_IMPORTS[[#This Row],[country_name]],DIM_COUNTRY[[#All],[Column2]],DIM_COUNTRY[[#All],[Column3]],,,)</f>
        <v>Major_Non-USMCA_Non-China</v>
      </c>
    </row>
    <row r="6513" spans="1:9" x14ac:dyDescent="0.4">
      <c r="A6513" t="s">
        <v>68</v>
      </c>
      <c r="B6513" s="1">
        <v>45778</v>
      </c>
      <c r="C6513">
        <v>851180</v>
      </c>
      <c r="D6513" t="s">
        <v>176</v>
      </c>
      <c r="E6513">
        <v>313179</v>
      </c>
      <c r="F6513">
        <v>1624</v>
      </c>
      <c r="G6513">
        <v>574</v>
      </c>
      <c r="H6513">
        <f>_xlfn.XLOOKUP(FACT_IMPORTS[[#This Row],[hts_6]],DIM_PRODUCTS[hts_6],DIM_PRODUCTS[hts_4],,,)</f>
        <v>8511</v>
      </c>
      <c r="I6513" t="str" cm="1">
        <f t="array" ref="I6513">_xlfn.XLOOKUP(FACT_IMPORTS[[#This Row],[country_name]],DIM_COUNTRY[[#All],[Column2]],DIM_COUNTRY[[#All],[Column3]],,,)</f>
        <v>Major_Non-USMCA_Non-China</v>
      </c>
    </row>
    <row r="6514" spans="1:9" x14ac:dyDescent="0.4">
      <c r="A6514" t="s">
        <v>68</v>
      </c>
      <c r="B6514" s="1">
        <v>45778</v>
      </c>
      <c r="C6514">
        <v>851190</v>
      </c>
      <c r="D6514" t="s">
        <v>176</v>
      </c>
      <c r="E6514">
        <v>13500</v>
      </c>
      <c r="F6514">
        <v>84</v>
      </c>
      <c r="G6514">
        <v>288</v>
      </c>
      <c r="H6514">
        <f>_xlfn.XLOOKUP(FACT_IMPORTS[[#This Row],[hts_6]],DIM_PRODUCTS[hts_6],DIM_PRODUCTS[hts_4],,,)</f>
        <v>8511</v>
      </c>
      <c r="I6514" t="str" cm="1">
        <f t="array" ref="I6514">_xlfn.XLOOKUP(FACT_IMPORTS[[#This Row],[country_name]],DIM_COUNTRY[[#All],[Column2]],DIM_COUNTRY[[#All],[Column3]],,,)</f>
        <v>Major_Non-USMCA_Non-China</v>
      </c>
    </row>
    <row r="6515" spans="1:9" x14ac:dyDescent="0.4">
      <c r="A6515" t="s">
        <v>68</v>
      </c>
      <c r="B6515" s="1">
        <v>45778</v>
      </c>
      <c r="C6515">
        <v>851220</v>
      </c>
      <c r="D6515" t="s">
        <v>176</v>
      </c>
      <c r="E6515">
        <v>76162</v>
      </c>
      <c r="F6515">
        <v>59376</v>
      </c>
      <c r="G6515">
        <v>6283</v>
      </c>
      <c r="H6515">
        <f>_xlfn.XLOOKUP(FACT_IMPORTS[[#This Row],[hts_6]],DIM_PRODUCTS[hts_6],DIM_PRODUCTS[hts_4],,,)</f>
        <v>8512</v>
      </c>
      <c r="I6515" t="str" cm="1">
        <f t="array" ref="I6515">_xlfn.XLOOKUP(FACT_IMPORTS[[#This Row],[country_name]],DIM_COUNTRY[[#All],[Column2]],DIM_COUNTRY[[#All],[Column3]],,,)</f>
        <v>Major_Non-USMCA_Non-China</v>
      </c>
    </row>
    <row r="6516" spans="1:9" x14ac:dyDescent="0.4">
      <c r="A6516" t="s">
        <v>68</v>
      </c>
      <c r="B6516" s="1">
        <v>45778</v>
      </c>
      <c r="C6516">
        <v>851230</v>
      </c>
      <c r="D6516" t="s">
        <v>176</v>
      </c>
      <c r="E6516">
        <v>2769</v>
      </c>
      <c r="F6516">
        <v>23</v>
      </c>
      <c r="G6516">
        <v>4</v>
      </c>
      <c r="H6516">
        <f>_xlfn.XLOOKUP(FACT_IMPORTS[[#This Row],[hts_6]],DIM_PRODUCTS[hts_6],DIM_PRODUCTS[hts_4],,,)</f>
        <v>8512</v>
      </c>
      <c r="I6516" t="str" cm="1">
        <f t="array" ref="I6516">_xlfn.XLOOKUP(FACT_IMPORTS[[#This Row],[country_name]],DIM_COUNTRY[[#All],[Column2]],DIM_COUNTRY[[#All],[Column3]],,,)</f>
        <v>Major_Non-USMCA_Non-China</v>
      </c>
    </row>
    <row r="6517" spans="1:9" x14ac:dyDescent="0.4">
      <c r="A6517" t="s">
        <v>68</v>
      </c>
      <c r="B6517" s="1">
        <v>45778</v>
      </c>
      <c r="C6517">
        <v>851290</v>
      </c>
      <c r="D6517" t="s">
        <v>176</v>
      </c>
      <c r="E6517">
        <v>8628</v>
      </c>
      <c r="F6517">
        <v>289</v>
      </c>
      <c r="G6517">
        <v>400</v>
      </c>
      <c r="H6517">
        <f>_xlfn.XLOOKUP(FACT_IMPORTS[[#This Row],[hts_6]],DIM_PRODUCTS[hts_6],DIM_PRODUCTS[hts_4],,,)</f>
        <v>8512</v>
      </c>
      <c r="I6517" t="str" cm="1">
        <f t="array" ref="I6517">_xlfn.XLOOKUP(FACT_IMPORTS[[#This Row],[country_name]],DIM_COUNTRY[[#All],[Column2]],DIM_COUNTRY[[#All],[Column3]],,,)</f>
        <v>Major_Non-USMCA_Non-China</v>
      </c>
    </row>
    <row r="6518" spans="1:9" x14ac:dyDescent="0.4">
      <c r="A6518" t="s">
        <v>68</v>
      </c>
      <c r="B6518" s="1">
        <v>45778</v>
      </c>
      <c r="C6518">
        <v>854231</v>
      </c>
      <c r="D6518" t="s">
        <v>176</v>
      </c>
      <c r="E6518">
        <v>285893</v>
      </c>
      <c r="F6518">
        <v>30053</v>
      </c>
      <c r="G6518">
        <v>763</v>
      </c>
      <c r="H6518">
        <f>_xlfn.XLOOKUP(FACT_IMPORTS[[#This Row],[hts_6]],DIM_PRODUCTS[hts_6],DIM_PRODUCTS[hts_4],,,)</f>
        <v>8542</v>
      </c>
      <c r="I6518" t="str" cm="1">
        <f t="array" ref="I6518">_xlfn.XLOOKUP(FACT_IMPORTS[[#This Row],[country_name]],DIM_COUNTRY[[#All],[Column2]],DIM_COUNTRY[[#All],[Column3]],,,)</f>
        <v>Major_Non-USMCA_Non-China</v>
      </c>
    </row>
    <row r="6519" spans="1:9" x14ac:dyDescent="0.4">
      <c r="A6519" t="s">
        <v>68</v>
      </c>
      <c r="B6519" s="1">
        <v>45778</v>
      </c>
      <c r="C6519">
        <v>854232</v>
      </c>
      <c r="D6519" t="s">
        <v>176</v>
      </c>
      <c r="E6519">
        <v>62792</v>
      </c>
      <c r="F6519">
        <v>30024</v>
      </c>
      <c r="G6519">
        <v>59</v>
      </c>
      <c r="H6519">
        <f>_xlfn.XLOOKUP(FACT_IMPORTS[[#This Row],[hts_6]],DIM_PRODUCTS[hts_6],DIM_PRODUCTS[hts_4],,,)</f>
        <v>8542</v>
      </c>
      <c r="I6519" t="str" cm="1">
        <f t="array" ref="I6519">_xlfn.XLOOKUP(FACT_IMPORTS[[#This Row],[country_name]],DIM_COUNTRY[[#All],[Column2]],DIM_COUNTRY[[#All],[Column3]],,,)</f>
        <v>Major_Non-USMCA_Non-China</v>
      </c>
    </row>
    <row r="6520" spans="1:9" x14ac:dyDescent="0.4">
      <c r="A6520" t="s">
        <v>68</v>
      </c>
      <c r="B6520" s="1">
        <v>45778</v>
      </c>
      <c r="C6520">
        <v>854233</v>
      </c>
      <c r="D6520" t="s">
        <v>176</v>
      </c>
      <c r="E6520">
        <v>0</v>
      </c>
      <c r="F6520">
        <v>0</v>
      </c>
      <c r="G6520">
        <v>0</v>
      </c>
      <c r="H6520">
        <f>_xlfn.XLOOKUP(FACT_IMPORTS[[#This Row],[hts_6]],DIM_PRODUCTS[hts_6],DIM_PRODUCTS[hts_4],,,)</f>
        <v>8542</v>
      </c>
      <c r="I6520" t="str" cm="1">
        <f t="array" ref="I6520">_xlfn.XLOOKUP(FACT_IMPORTS[[#This Row],[country_name]],DIM_COUNTRY[[#All],[Column2]],DIM_COUNTRY[[#All],[Column3]],,,)</f>
        <v>Major_Non-USMCA_Non-China</v>
      </c>
    </row>
    <row r="6521" spans="1:9" x14ac:dyDescent="0.4">
      <c r="A6521" t="s">
        <v>68</v>
      </c>
      <c r="B6521" s="1">
        <v>45778</v>
      </c>
      <c r="C6521">
        <v>854239</v>
      </c>
      <c r="D6521" t="s">
        <v>176</v>
      </c>
      <c r="E6521">
        <v>291156</v>
      </c>
      <c r="F6521">
        <v>454501</v>
      </c>
      <c r="G6521">
        <v>608</v>
      </c>
      <c r="H6521">
        <f>_xlfn.XLOOKUP(FACT_IMPORTS[[#This Row],[hts_6]],DIM_PRODUCTS[hts_6],DIM_PRODUCTS[hts_4],,,)</f>
        <v>8542</v>
      </c>
      <c r="I6521" t="str" cm="1">
        <f t="array" ref="I6521">_xlfn.XLOOKUP(FACT_IMPORTS[[#This Row],[country_name]],DIM_COUNTRY[[#All],[Column2]],DIM_COUNTRY[[#All],[Column3]],,,)</f>
        <v>Major_Non-USMCA_Non-China</v>
      </c>
    </row>
    <row r="6522" spans="1:9" x14ac:dyDescent="0.4">
      <c r="A6522" t="s">
        <v>68</v>
      </c>
      <c r="B6522" s="1">
        <v>45778</v>
      </c>
      <c r="C6522">
        <v>854290</v>
      </c>
      <c r="D6522" t="s">
        <v>176</v>
      </c>
      <c r="E6522">
        <v>12574</v>
      </c>
      <c r="F6522">
        <v>23</v>
      </c>
      <c r="G6522">
        <v>1006</v>
      </c>
      <c r="H6522">
        <f>_xlfn.XLOOKUP(FACT_IMPORTS[[#This Row],[hts_6]],DIM_PRODUCTS[hts_6],DIM_PRODUCTS[hts_4],,,)</f>
        <v>8542</v>
      </c>
      <c r="I6522" t="str" cm="1">
        <f t="array" ref="I6522">_xlfn.XLOOKUP(FACT_IMPORTS[[#This Row],[country_name]],DIM_COUNTRY[[#All],[Column2]],DIM_COUNTRY[[#All],[Column3]],,,)</f>
        <v>Major_Non-USMCA_Non-China</v>
      </c>
    </row>
    <row r="6523" spans="1:9" x14ac:dyDescent="0.4">
      <c r="A6523" t="s">
        <v>68</v>
      </c>
      <c r="B6523" s="1">
        <v>45778</v>
      </c>
      <c r="C6523">
        <v>854430</v>
      </c>
      <c r="D6523" t="s">
        <v>176</v>
      </c>
      <c r="E6523">
        <v>243608</v>
      </c>
      <c r="F6523">
        <v>10407</v>
      </c>
      <c r="G6523">
        <v>2720</v>
      </c>
      <c r="H6523">
        <f>_xlfn.XLOOKUP(FACT_IMPORTS[[#This Row],[hts_6]],DIM_PRODUCTS[hts_6],DIM_PRODUCTS[hts_4],,,)</f>
        <v>8544</v>
      </c>
      <c r="I6523" t="str" cm="1">
        <f t="array" ref="I6523">_xlfn.XLOOKUP(FACT_IMPORTS[[#This Row],[country_name]],DIM_COUNTRY[[#All],[Column2]],DIM_COUNTRY[[#All],[Column3]],,,)</f>
        <v>Major_Non-USMCA_Non-China</v>
      </c>
    </row>
    <row r="6524" spans="1:9" x14ac:dyDescent="0.4">
      <c r="A6524" t="s">
        <v>68</v>
      </c>
      <c r="B6524" s="1">
        <v>45778</v>
      </c>
      <c r="C6524">
        <v>870710</v>
      </c>
      <c r="D6524" t="s">
        <v>176</v>
      </c>
      <c r="E6524">
        <v>0</v>
      </c>
      <c r="F6524">
        <v>0</v>
      </c>
      <c r="G6524">
        <v>0</v>
      </c>
      <c r="H6524">
        <f>_xlfn.XLOOKUP(FACT_IMPORTS[[#This Row],[hts_6]],DIM_PRODUCTS[hts_6],DIM_PRODUCTS[hts_4],,,)</f>
        <v>8707</v>
      </c>
      <c r="I6524" t="str" cm="1">
        <f t="array" ref="I6524">_xlfn.XLOOKUP(FACT_IMPORTS[[#This Row],[country_name]],DIM_COUNTRY[[#All],[Column2]],DIM_COUNTRY[[#All],[Column3]],,,)</f>
        <v>Major_Non-USMCA_Non-China</v>
      </c>
    </row>
    <row r="6525" spans="1:9" x14ac:dyDescent="0.4">
      <c r="A6525" t="s">
        <v>68</v>
      </c>
      <c r="B6525" s="1">
        <v>45778</v>
      </c>
      <c r="C6525">
        <v>870790</v>
      </c>
      <c r="D6525" t="s">
        <v>176</v>
      </c>
      <c r="E6525">
        <v>0</v>
      </c>
      <c r="F6525">
        <v>0</v>
      </c>
      <c r="G6525">
        <v>0</v>
      </c>
      <c r="H6525">
        <f>_xlfn.XLOOKUP(FACT_IMPORTS[[#This Row],[hts_6]],DIM_PRODUCTS[hts_6],DIM_PRODUCTS[hts_4],,,)</f>
        <v>8707</v>
      </c>
      <c r="I6525" t="str" cm="1">
        <f t="array" ref="I6525">_xlfn.XLOOKUP(FACT_IMPORTS[[#This Row],[country_name]],DIM_COUNTRY[[#All],[Column2]],DIM_COUNTRY[[#All],[Column3]],,,)</f>
        <v>Major_Non-USMCA_Non-China</v>
      </c>
    </row>
    <row r="6526" spans="1:9" x14ac:dyDescent="0.4">
      <c r="A6526" t="s">
        <v>68</v>
      </c>
      <c r="B6526" s="1">
        <v>45778</v>
      </c>
      <c r="C6526">
        <v>870810</v>
      </c>
      <c r="D6526" t="s">
        <v>176</v>
      </c>
      <c r="E6526">
        <v>19464</v>
      </c>
      <c r="F6526">
        <v>356</v>
      </c>
      <c r="G6526">
        <v>255</v>
      </c>
      <c r="H6526">
        <f>_xlfn.XLOOKUP(FACT_IMPORTS[[#This Row],[hts_6]],DIM_PRODUCTS[hts_6],DIM_PRODUCTS[hts_4],,,)</f>
        <v>8708</v>
      </c>
      <c r="I6526" t="str" cm="1">
        <f t="array" ref="I6526">_xlfn.XLOOKUP(FACT_IMPORTS[[#This Row],[country_name]],DIM_COUNTRY[[#All],[Column2]],DIM_COUNTRY[[#All],[Column3]],,,)</f>
        <v>Major_Non-USMCA_Non-China</v>
      </c>
    </row>
    <row r="6527" spans="1:9" x14ac:dyDescent="0.4">
      <c r="A6527" t="s">
        <v>68</v>
      </c>
      <c r="B6527" s="1">
        <v>45778</v>
      </c>
      <c r="C6527">
        <v>870821</v>
      </c>
      <c r="D6527" t="s">
        <v>176</v>
      </c>
      <c r="E6527">
        <v>0</v>
      </c>
      <c r="F6527">
        <v>0</v>
      </c>
      <c r="G6527">
        <v>0</v>
      </c>
      <c r="H6527">
        <f>_xlfn.XLOOKUP(FACT_IMPORTS[[#This Row],[hts_6]],DIM_PRODUCTS[hts_6],DIM_PRODUCTS[hts_4],,,)</f>
        <v>8708</v>
      </c>
      <c r="I6527" t="str" cm="1">
        <f t="array" ref="I6527">_xlfn.XLOOKUP(FACT_IMPORTS[[#This Row],[country_name]],DIM_COUNTRY[[#All],[Column2]],DIM_COUNTRY[[#All],[Column3]],,,)</f>
        <v>Major_Non-USMCA_Non-China</v>
      </c>
    </row>
    <row r="6528" spans="1:9" x14ac:dyDescent="0.4">
      <c r="A6528" t="s">
        <v>68</v>
      </c>
      <c r="B6528" s="1">
        <v>45778</v>
      </c>
      <c r="C6528">
        <v>870822</v>
      </c>
      <c r="D6528" t="s">
        <v>176</v>
      </c>
      <c r="E6528">
        <v>0</v>
      </c>
      <c r="F6528">
        <v>0</v>
      </c>
      <c r="G6528">
        <v>0</v>
      </c>
      <c r="H6528">
        <f>_xlfn.XLOOKUP(FACT_IMPORTS[[#This Row],[hts_6]],DIM_PRODUCTS[hts_6],DIM_PRODUCTS[hts_4],,,)</f>
        <v>8708</v>
      </c>
      <c r="I6528" t="str" cm="1">
        <f t="array" ref="I6528">_xlfn.XLOOKUP(FACT_IMPORTS[[#This Row],[country_name]],DIM_COUNTRY[[#All],[Column2]],DIM_COUNTRY[[#All],[Column3]],,,)</f>
        <v>Major_Non-USMCA_Non-China</v>
      </c>
    </row>
    <row r="6529" spans="1:9" x14ac:dyDescent="0.4">
      <c r="A6529" t="s">
        <v>68</v>
      </c>
      <c r="B6529" s="1">
        <v>45778</v>
      </c>
      <c r="C6529">
        <v>870829</v>
      </c>
      <c r="D6529" t="s">
        <v>176</v>
      </c>
      <c r="E6529">
        <v>1856767</v>
      </c>
      <c r="F6529">
        <v>1320861</v>
      </c>
      <c r="G6529">
        <v>69941</v>
      </c>
      <c r="H6529">
        <f>_xlfn.XLOOKUP(FACT_IMPORTS[[#This Row],[hts_6]],DIM_PRODUCTS[hts_6],DIM_PRODUCTS[hts_4],,,)</f>
        <v>8708</v>
      </c>
      <c r="I6529" t="str" cm="1">
        <f t="array" ref="I6529">_xlfn.XLOOKUP(FACT_IMPORTS[[#This Row],[country_name]],DIM_COUNTRY[[#All],[Column2]],DIM_COUNTRY[[#All],[Column3]],,,)</f>
        <v>Major_Non-USMCA_Non-China</v>
      </c>
    </row>
    <row r="6530" spans="1:9" x14ac:dyDescent="0.4">
      <c r="A6530" t="s">
        <v>68</v>
      </c>
      <c r="B6530" s="1">
        <v>45778</v>
      </c>
      <c r="C6530">
        <v>870830</v>
      </c>
      <c r="D6530" t="s">
        <v>176</v>
      </c>
      <c r="E6530">
        <v>204968</v>
      </c>
      <c r="F6530">
        <v>1898</v>
      </c>
      <c r="G6530">
        <v>6588</v>
      </c>
      <c r="H6530">
        <f>_xlfn.XLOOKUP(FACT_IMPORTS[[#This Row],[hts_6]],DIM_PRODUCTS[hts_6],DIM_PRODUCTS[hts_4],,,)</f>
        <v>8708</v>
      </c>
      <c r="I6530" t="str" cm="1">
        <f t="array" ref="I6530">_xlfn.XLOOKUP(FACT_IMPORTS[[#This Row],[country_name]],DIM_COUNTRY[[#All],[Column2]],DIM_COUNTRY[[#All],[Column3]],,,)</f>
        <v>Major_Non-USMCA_Non-China</v>
      </c>
    </row>
    <row r="6531" spans="1:9" x14ac:dyDescent="0.4">
      <c r="A6531" t="s">
        <v>68</v>
      </c>
      <c r="B6531" s="1">
        <v>45778</v>
      </c>
      <c r="C6531">
        <v>870840</v>
      </c>
      <c r="D6531" t="s">
        <v>176</v>
      </c>
      <c r="E6531">
        <v>38925533</v>
      </c>
      <c r="F6531">
        <v>891414</v>
      </c>
      <c r="G6531">
        <v>110479</v>
      </c>
      <c r="H6531">
        <f>_xlfn.XLOOKUP(FACT_IMPORTS[[#This Row],[hts_6]],DIM_PRODUCTS[hts_6],DIM_PRODUCTS[hts_4],,,)</f>
        <v>8708</v>
      </c>
      <c r="I6531" t="str" cm="1">
        <f t="array" ref="I6531">_xlfn.XLOOKUP(FACT_IMPORTS[[#This Row],[country_name]],DIM_COUNTRY[[#All],[Column2]],DIM_COUNTRY[[#All],[Column3]],,,)</f>
        <v>Major_Non-USMCA_Non-China</v>
      </c>
    </row>
    <row r="6532" spans="1:9" x14ac:dyDescent="0.4">
      <c r="A6532" t="s">
        <v>68</v>
      </c>
      <c r="B6532" s="1">
        <v>45778</v>
      </c>
      <c r="C6532">
        <v>870850</v>
      </c>
      <c r="D6532" t="s">
        <v>176</v>
      </c>
      <c r="E6532">
        <v>8474134</v>
      </c>
      <c r="F6532">
        <v>313941</v>
      </c>
      <c r="G6532">
        <v>92191</v>
      </c>
      <c r="H6532">
        <f>_xlfn.XLOOKUP(FACT_IMPORTS[[#This Row],[hts_6]],DIM_PRODUCTS[hts_6],DIM_PRODUCTS[hts_4],,,)</f>
        <v>8708</v>
      </c>
      <c r="I6532" t="str" cm="1">
        <f t="array" ref="I6532">_xlfn.XLOOKUP(FACT_IMPORTS[[#This Row],[country_name]],DIM_COUNTRY[[#All],[Column2]],DIM_COUNTRY[[#All],[Column3]],,,)</f>
        <v>Major_Non-USMCA_Non-China</v>
      </c>
    </row>
    <row r="6533" spans="1:9" x14ac:dyDescent="0.4">
      <c r="A6533" t="s">
        <v>68</v>
      </c>
      <c r="B6533" s="1">
        <v>45778</v>
      </c>
      <c r="C6533">
        <v>870870</v>
      </c>
      <c r="D6533" t="s">
        <v>176</v>
      </c>
      <c r="E6533">
        <v>3199</v>
      </c>
      <c r="F6533">
        <v>4</v>
      </c>
      <c r="G6533">
        <v>80</v>
      </c>
      <c r="H6533">
        <f>_xlfn.XLOOKUP(FACT_IMPORTS[[#This Row],[hts_6]],DIM_PRODUCTS[hts_6],DIM_PRODUCTS[hts_4],,,)</f>
        <v>8708</v>
      </c>
      <c r="I6533" t="str" cm="1">
        <f t="array" ref="I6533">_xlfn.XLOOKUP(FACT_IMPORTS[[#This Row],[country_name]],DIM_COUNTRY[[#All],[Column2]],DIM_COUNTRY[[#All],[Column3]],,,)</f>
        <v>Major_Non-USMCA_Non-China</v>
      </c>
    </row>
    <row r="6534" spans="1:9" x14ac:dyDescent="0.4">
      <c r="A6534" t="s">
        <v>68</v>
      </c>
      <c r="B6534" s="1">
        <v>45778</v>
      </c>
      <c r="C6534">
        <v>870880</v>
      </c>
      <c r="D6534" t="s">
        <v>176</v>
      </c>
      <c r="E6534">
        <v>1742023</v>
      </c>
      <c r="F6534">
        <v>675403</v>
      </c>
      <c r="G6534">
        <v>39051</v>
      </c>
      <c r="H6534">
        <f>_xlfn.XLOOKUP(FACT_IMPORTS[[#This Row],[hts_6]],DIM_PRODUCTS[hts_6],DIM_PRODUCTS[hts_4],,,)</f>
        <v>8708</v>
      </c>
      <c r="I6534" t="str" cm="1">
        <f t="array" ref="I6534">_xlfn.XLOOKUP(FACT_IMPORTS[[#This Row],[country_name]],DIM_COUNTRY[[#All],[Column2]],DIM_COUNTRY[[#All],[Column3]],,,)</f>
        <v>Major_Non-USMCA_Non-China</v>
      </c>
    </row>
    <row r="6535" spans="1:9" x14ac:dyDescent="0.4">
      <c r="A6535" t="s">
        <v>68</v>
      </c>
      <c r="B6535" s="1">
        <v>45778</v>
      </c>
      <c r="C6535">
        <v>870891</v>
      </c>
      <c r="D6535" t="s">
        <v>176</v>
      </c>
      <c r="E6535">
        <v>6557</v>
      </c>
      <c r="F6535">
        <v>6</v>
      </c>
      <c r="G6535">
        <v>4</v>
      </c>
      <c r="H6535">
        <f>_xlfn.XLOOKUP(FACT_IMPORTS[[#This Row],[hts_6]],DIM_PRODUCTS[hts_6],DIM_PRODUCTS[hts_4],,,)</f>
        <v>8708</v>
      </c>
      <c r="I6535" t="str" cm="1">
        <f t="array" ref="I6535">_xlfn.XLOOKUP(FACT_IMPORTS[[#This Row],[country_name]],DIM_COUNTRY[[#All],[Column2]],DIM_COUNTRY[[#All],[Column3]],,,)</f>
        <v>Major_Non-USMCA_Non-China</v>
      </c>
    </row>
    <row r="6536" spans="1:9" x14ac:dyDescent="0.4">
      <c r="A6536" t="s">
        <v>68</v>
      </c>
      <c r="B6536" s="1">
        <v>45778</v>
      </c>
      <c r="C6536">
        <v>870892</v>
      </c>
      <c r="D6536" t="s">
        <v>176</v>
      </c>
      <c r="E6536">
        <v>231237</v>
      </c>
      <c r="F6536">
        <v>108330</v>
      </c>
      <c r="G6536">
        <v>16222</v>
      </c>
      <c r="H6536">
        <f>_xlfn.XLOOKUP(FACT_IMPORTS[[#This Row],[hts_6]],DIM_PRODUCTS[hts_6],DIM_PRODUCTS[hts_4],,,)</f>
        <v>8708</v>
      </c>
      <c r="I6536" t="str" cm="1">
        <f t="array" ref="I6536">_xlfn.XLOOKUP(FACT_IMPORTS[[#This Row],[country_name]],DIM_COUNTRY[[#All],[Column2]],DIM_COUNTRY[[#All],[Column3]],,,)</f>
        <v>Major_Non-USMCA_Non-China</v>
      </c>
    </row>
    <row r="6537" spans="1:9" x14ac:dyDescent="0.4">
      <c r="A6537" t="s">
        <v>68</v>
      </c>
      <c r="B6537" s="1">
        <v>45778</v>
      </c>
      <c r="C6537">
        <v>870893</v>
      </c>
      <c r="D6537" t="s">
        <v>176</v>
      </c>
      <c r="E6537">
        <v>405942</v>
      </c>
      <c r="F6537">
        <v>7588</v>
      </c>
      <c r="G6537">
        <v>2644</v>
      </c>
      <c r="H6537">
        <f>_xlfn.XLOOKUP(FACT_IMPORTS[[#This Row],[hts_6]],DIM_PRODUCTS[hts_6],DIM_PRODUCTS[hts_4],,,)</f>
        <v>8708</v>
      </c>
      <c r="I6537" t="str" cm="1">
        <f t="array" ref="I6537">_xlfn.XLOOKUP(FACT_IMPORTS[[#This Row],[country_name]],DIM_COUNTRY[[#All],[Column2]],DIM_COUNTRY[[#All],[Column3]],,,)</f>
        <v>Major_Non-USMCA_Non-China</v>
      </c>
    </row>
    <row r="6538" spans="1:9" x14ac:dyDescent="0.4">
      <c r="A6538" t="s">
        <v>68</v>
      </c>
      <c r="B6538" s="1">
        <v>45778</v>
      </c>
      <c r="C6538">
        <v>870894</v>
      </c>
      <c r="D6538" t="s">
        <v>176</v>
      </c>
      <c r="E6538">
        <v>48795</v>
      </c>
      <c r="F6538">
        <v>2022</v>
      </c>
      <c r="G6538">
        <v>4995</v>
      </c>
      <c r="H6538">
        <f>_xlfn.XLOOKUP(FACT_IMPORTS[[#This Row],[hts_6]],DIM_PRODUCTS[hts_6],DIM_PRODUCTS[hts_4],,,)</f>
        <v>8708</v>
      </c>
      <c r="I6538" t="str" cm="1">
        <f t="array" ref="I6538">_xlfn.XLOOKUP(FACT_IMPORTS[[#This Row],[country_name]],DIM_COUNTRY[[#All],[Column2]],DIM_COUNTRY[[#All],[Column3]],,,)</f>
        <v>Major_Non-USMCA_Non-China</v>
      </c>
    </row>
    <row r="6539" spans="1:9" x14ac:dyDescent="0.4">
      <c r="A6539" t="s">
        <v>68</v>
      </c>
      <c r="B6539" s="1">
        <v>45778</v>
      </c>
      <c r="C6539">
        <v>870895</v>
      </c>
      <c r="D6539" t="s">
        <v>176</v>
      </c>
      <c r="E6539">
        <v>6861</v>
      </c>
      <c r="F6539">
        <v>565</v>
      </c>
      <c r="G6539">
        <v>933</v>
      </c>
      <c r="H6539">
        <f>_xlfn.XLOOKUP(FACT_IMPORTS[[#This Row],[hts_6]],DIM_PRODUCTS[hts_6],DIM_PRODUCTS[hts_4],,,)</f>
        <v>8708</v>
      </c>
      <c r="I6539" t="str" cm="1">
        <f t="array" ref="I6539">_xlfn.XLOOKUP(FACT_IMPORTS[[#This Row],[country_name]],DIM_COUNTRY[[#All],[Column2]],DIM_COUNTRY[[#All],[Column3]],,,)</f>
        <v>Major_Non-USMCA_Non-China</v>
      </c>
    </row>
    <row r="6540" spans="1:9" x14ac:dyDescent="0.4">
      <c r="A6540" t="s">
        <v>68</v>
      </c>
      <c r="B6540" s="1">
        <v>45778</v>
      </c>
      <c r="C6540">
        <v>870899</v>
      </c>
      <c r="D6540" t="s">
        <v>176</v>
      </c>
      <c r="E6540">
        <v>2437739</v>
      </c>
      <c r="F6540">
        <v>536895</v>
      </c>
      <c r="G6540">
        <v>48995</v>
      </c>
      <c r="H6540">
        <f>_xlfn.XLOOKUP(FACT_IMPORTS[[#This Row],[hts_6]],DIM_PRODUCTS[hts_6],DIM_PRODUCTS[hts_4],,,)</f>
        <v>8708</v>
      </c>
      <c r="I6540" t="str" cm="1">
        <f t="array" ref="I6540">_xlfn.XLOOKUP(FACT_IMPORTS[[#This Row],[country_name]],DIM_COUNTRY[[#All],[Column2]],DIM_COUNTRY[[#All],[Column3]],,,)</f>
        <v>Major_Non-USMCA_Non-China</v>
      </c>
    </row>
    <row r="6541" spans="1:9" x14ac:dyDescent="0.4">
      <c r="A6541" t="s">
        <v>68</v>
      </c>
      <c r="B6541" s="1">
        <v>45778</v>
      </c>
      <c r="C6541">
        <v>940120</v>
      </c>
      <c r="D6541" t="s">
        <v>176</v>
      </c>
      <c r="E6541">
        <v>16606</v>
      </c>
      <c r="F6541">
        <v>27</v>
      </c>
      <c r="G6541">
        <v>16</v>
      </c>
      <c r="H6541">
        <f>_xlfn.XLOOKUP(FACT_IMPORTS[[#This Row],[hts_6]],DIM_PRODUCTS[hts_6],DIM_PRODUCTS[hts_4],,,)</f>
        <v>9401</v>
      </c>
      <c r="I6541" t="str" cm="1">
        <f t="array" ref="I6541">_xlfn.XLOOKUP(FACT_IMPORTS[[#This Row],[country_name]],DIM_COUNTRY[[#All],[Column2]],DIM_COUNTRY[[#All],[Column3]],,,)</f>
        <v>Major_Non-USMCA_Non-China</v>
      </c>
    </row>
    <row r="6542" spans="1:9" x14ac:dyDescent="0.4">
      <c r="A6542" t="s">
        <v>68</v>
      </c>
      <c r="B6542" s="1">
        <v>45809</v>
      </c>
      <c r="C6542">
        <v>392630</v>
      </c>
      <c r="D6542" t="s">
        <v>176</v>
      </c>
      <c r="E6542">
        <v>235846</v>
      </c>
      <c r="F6542">
        <v>12582</v>
      </c>
      <c r="G6542">
        <v>4815</v>
      </c>
      <c r="H6542">
        <f>_xlfn.XLOOKUP(FACT_IMPORTS[[#This Row],[hts_6]],DIM_PRODUCTS[hts_6],DIM_PRODUCTS[hts_4],,,)</f>
        <v>3926</v>
      </c>
      <c r="I6542" t="str" cm="1">
        <f t="array" ref="I6542">_xlfn.XLOOKUP(FACT_IMPORTS[[#This Row],[country_name]],DIM_COUNTRY[[#All],[Column2]],DIM_COUNTRY[[#All],[Column3]],,,)</f>
        <v>Major_Non-USMCA_Non-China</v>
      </c>
    </row>
    <row r="6543" spans="1:9" x14ac:dyDescent="0.4">
      <c r="A6543" t="s">
        <v>68</v>
      </c>
      <c r="B6543" s="1">
        <v>45809</v>
      </c>
      <c r="C6543">
        <v>401110</v>
      </c>
      <c r="D6543" t="s">
        <v>176</v>
      </c>
      <c r="E6543">
        <v>0</v>
      </c>
      <c r="F6543">
        <v>0</v>
      </c>
      <c r="G6543">
        <v>0</v>
      </c>
      <c r="H6543">
        <f>_xlfn.XLOOKUP(FACT_IMPORTS[[#This Row],[hts_6]],DIM_PRODUCTS[hts_6],DIM_PRODUCTS[hts_4],,,)</f>
        <v>4011</v>
      </c>
      <c r="I6543" t="str" cm="1">
        <f t="array" ref="I6543">_xlfn.XLOOKUP(FACT_IMPORTS[[#This Row],[country_name]],DIM_COUNTRY[[#All],[Column2]],DIM_COUNTRY[[#All],[Column3]],,,)</f>
        <v>Major_Non-USMCA_Non-China</v>
      </c>
    </row>
    <row r="6544" spans="1:9" x14ac:dyDescent="0.4">
      <c r="A6544" t="s">
        <v>68</v>
      </c>
      <c r="B6544" s="1">
        <v>45809</v>
      </c>
      <c r="C6544">
        <v>401120</v>
      </c>
      <c r="D6544" t="s">
        <v>176</v>
      </c>
      <c r="E6544">
        <v>0</v>
      </c>
      <c r="F6544">
        <v>0</v>
      </c>
      <c r="G6544">
        <v>0</v>
      </c>
      <c r="H6544">
        <f>_xlfn.XLOOKUP(FACT_IMPORTS[[#This Row],[hts_6]],DIM_PRODUCTS[hts_6],DIM_PRODUCTS[hts_4],,,)</f>
        <v>4011</v>
      </c>
      <c r="I6544" t="str" cm="1">
        <f t="array" ref="I6544">_xlfn.XLOOKUP(FACT_IMPORTS[[#This Row],[country_name]],DIM_COUNTRY[[#All],[Column2]],DIM_COUNTRY[[#All],[Column3]],,,)</f>
        <v>Major_Non-USMCA_Non-China</v>
      </c>
    </row>
    <row r="6545" spans="1:9" x14ac:dyDescent="0.4">
      <c r="A6545" t="s">
        <v>68</v>
      </c>
      <c r="B6545" s="1">
        <v>45809</v>
      </c>
      <c r="C6545">
        <v>401190</v>
      </c>
      <c r="D6545" t="s">
        <v>176</v>
      </c>
      <c r="E6545">
        <v>0</v>
      </c>
      <c r="F6545">
        <v>0</v>
      </c>
      <c r="G6545">
        <v>0</v>
      </c>
      <c r="H6545">
        <f>_xlfn.XLOOKUP(FACT_IMPORTS[[#This Row],[hts_6]],DIM_PRODUCTS[hts_6],DIM_PRODUCTS[hts_4],,,)</f>
        <v>4011</v>
      </c>
      <c r="I6545" t="str" cm="1">
        <f t="array" ref="I6545">_xlfn.XLOOKUP(FACT_IMPORTS[[#This Row],[country_name]],DIM_COUNTRY[[#All],[Column2]],DIM_COUNTRY[[#All],[Column3]],,,)</f>
        <v>Major_Non-USMCA_Non-China</v>
      </c>
    </row>
    <row r="6546" spans="1:9" x14ac:dyDescent="0.4">
      <c r="A6546" t="s">
        <v>68</v>
      </c>
      <c r="B6546" s="1">
        <v>45809</v>
      </c>
      <c r="C6546">
        <v>700711</v>
      </c>
      <c r="D6546" t="s">
        <v>176</v>
      </c>
      <c r="E6546">
        <v>0</v>
      </c>
      <c r="F6546">
        <v>0</v>
      </c>
      <c r="G6546">
        <v>0</v>
      </c>
      <c r="H6546">
        <f>_xlfn.XLOOKUP(FACT_IMPORTS[[#This Row],[hts_6]],DIM_PRODUCTS[hts_6],DIM_PRODUCTS[hts_4],,,)</f>
        <v>7007</v>
      </c>
      <c r="I6546" t="str" cm="1">
        <f t="array" ref="I6546">_xlfn.XLOOKUP(FACT_IMPORTS[[#This Row],[country_name]],DIM_COUNTRY[[#All],[Column2]],DIM_COUNTRY[[#All],[Column3]],,,)</f>
        <v>Major_Non-USMCA_Non-China</v>
      </c>
    </row>
    <row r="6547" spans="1:9" x14ac:dyDescent="0.4">
      <c r="A6547" t="s">
        <v>68</v>
      </c>
      <c r="B6547" s="1">
        <v>45809</v>
      </c>
      <c r="C6547">
        <v>700721</v>
      </c>
      <c r="D6547" t="s">
        <v>176</v>
      </c>
      <c r="E6547">
        <v>3105</v>
      </c>
      <c r="F6547">
        <v>1</v>
      </c>
      <c r="G6547">
        <v>6</v>
      </c>
      <c r="H6547">
        <f>_xlfn.XLOOKUP(FACT_IMPORTS[[#This Row],[hts_6]],DIM_PRODUCTS[hts_6],DIM_PRODUCTS[hts_4],,,)</f>
        <v>7007</v>
      </c>
      <c r="I6547" t="str" cm="1">
        <f t="array" ref="I6547">_xlfn.XLOOKUP(FACT_IMPORTS[[#This Row],[country_name]],DIM_COUNTRY[[#All],[Column2]],DIM_COUNTRY[[#All],[Column3]],,,)</f>
        <v>Major_Non-USMCA_Non-China</v>
      </c>
    </row>
    <row r="6548" spans="1:9" x14ac:dyDescent="0.4">
      <c r="A6548" t="s">
        <v>68</v>
      </c>
      <c r="B6548" s="1">
        <v>45809</v>
      </c>
      <c r="C6548">
        <v>700910</v>
      </c>
      <c r="D6548" t="s">
        <v>176</v>
      </c>
      <c r="E6548">
        <v>0</v>
      </c>
      <c r="F6548">
        <v>0</v>
      </c>
      <c r="G6548">
        <v>0</v>
      </c>
      <c r="H6548">
        <f>_xlfn.XLOOKUP(FACT_IMPORTS[[#This Row],[hts_6]],DIM_PRODUCTS[hts_6],DIM_PRODUCTS[hts_4],,,)</f>
        <v>7009</v>
      </c>
      <c r="I6548" t="str" cm="1">
        <f t="array" ref="I6548">_xlfn.XLOOKUP(FACT_IMPORTS[[#This Row],[country_name]],DIM_COUNTRY[[#All],[Column2]],DIM_COUNTRY[[#All],[Column3]],,,)</f>
        <v>Major_Non-USMCA_Non-China</v>
      </c>
    </row>
    <row r="6549" spans="1:9" x14ac:dyDescent="0.4">
      <c r="A6549" t="s">
        <v>68</v>
      </c>
      <c r="B6549" s="1">
        <v>45809</v>
      </c>
      <c r="C6549">
        <v>732010</v>
      </c>
      <c r="D6549" t="s">
        <v>176</v>
      </c>
      <c r="E6549">
        <v>0</v>
      </c>
      <c r="F6549">
        <v>0</v>
      </c>
      <c r="G6549">
        <v>0</v>
      </c>
      <c r="H6549">
        <f>_xlfn.XLOOKUP(FACT_IMPORTS[[#This Row],[hts_6]],DIM_PRODUCTS[hts_6],DIM_PRODUCTS[hts_4],,,)</f>
        <v>7320</v>
      </c>
      <c r="I6549" t="str" cm="1">
        <f t="array" ref="I6549">_xlfn.XLOOKUP(FACT_IMPORTS[[#This Row],[country_name]],DIM_COUNTRY[[#All],[Column2]],DIM_COUNTRY[[#All],[Column3]],,,)</f>
        <v>Major_Non-USMCA_Non-China</v>
      </c>
    </row>
    <row r="6550" spans="1:9" x14ac:dyDescent="0.4">
      <c r="A6550" t="s">
        <v>68</v>
      </c>
      <c r="B6550" s="1">
        <v>45809</v>
      </c>
      <c r="C6550">
        <v>830230</v>
      </c>
      <c r="D6550" t="s">
        <v>176</v>
      </c>
      <c r="E6550">
        <v>625948</v>
      </c>
      <c r="F6550">
        <v>167528</v>
      </c>
      <c r="G6550">
        <v>64143</v>
      </c>
      <c r="H6550">
        <f>_xlfn.XLOOKUP(FACT_IMPORTS[[#This Row],[hts_6]],DIM_PRODUCTS[hts_6],DIM_PRODUCTS[hts_4],,,)</f>
        <v>8302</v>
      </c>
      <c r="I6550" t="str" cm="1">
        <f t="array" ref="I6550">_xlfn.XLOOKUP(FACT_IMPORTS[[#This Row],[country_name]],DIM_COUNTRY[[#All],[Column2]],DIM_COUNTRY[[#All],[Column3]],,,)</f>
        <v>Major_Non-USMCA_Non-China</v>
      </c>
    </row>
    <row r="6551" spans="1:9" x14ac:dyDescent="0.4">
      <c r="A6551" t="s">
        <v>68</v>
      </c>
      <c r="B6551" s="1">
        <v>45809</v>
      </c>
      <c r="C6551">
        <v>840734</v>
      </c>
      <c r="D6551" t="s">
        <v>176</v>
      </c>
      <c r="E6551">
        <v>2045</v>
      </c>
      <c r="F6551">
        <v>1</v>
      </c>
      <c r="G6551">
        <v>47</v>
      </c>
      <c r="H6551">
        <f>_xlfn.XLOOKUP(FACT_IMPORTS[[#This Row],[hts_6]],DIM_PRODUCTS[hts_6],DIM_PRODUCTS[hts_4],,,)</f>
        <v>8407</v>
      </c>
      <c r="I6551" t="str" cm="1">
        <f t="array" ref="I6551">_xlfn.XLOOKUP(FACT_IMPORTS[[#This Row],[country_name]],DIM_COUNTRY[[#All],[Column2]],DIM_COUNTRY[[#All],[Column3]],,,)</f>
        <v>Major_Non-USMCA_Non-China</v>
      </c>
    </row>
    <row r="6552" spans="1:9" x14ac:dyDescent="0.4">
      <c r="A6552" t="s">
        <v>68</v>
      </c>
      <c r="B6552" s="1">
        <v>45809</v>
      </c>
      <c r="C6552">
        <v>840820</v>
      </c>
      <c r="D6552" t="s">
        <v>176</v>
      </c>
      <c r="E6552">
        <v>0</v>
      </c>
      <c r="F6552">
        <v>0</v>
      </c>
      <c r="G6552">
        <v>0</v>
      </c>
      <c r="H6552">
        <f>_xlfn.XLOOKUP(FACT_IMPORTS[[#This Row],[hts_6]],DIM_PRODUCTS[hts_6],DIM_PRODUCTS[hts_4],,,)</f>
        <v>8408</v>
      </c>
      <c r="I6552" t="str" cm="1">
        <f t="array" ref="I6552">_xlfn.XLOOKUP(FACT_IMPORTS[[#This Row],[country_name]],DIM_COUNTRY[[#All],[Column2]],DIM_COUNTRY[[#All],[Column3]],,,)</f>
        <v>Major_Non-USMCA_Non-China</v>
      </c>
    </row>
    <row r="6553" spans="1:9" x14ac:dyDescent="0.4">
      <c r="A6553" t="s">
        <v>68</v>
      </c>
      <c r="B6553" s="1">
        <v>45809</v>
      </c>
      <c r="C6553">
        <v>840890</v>
      </c>
      <c r="D6553" t="s">
        <v>176</v>
      </c>
      <c r="E6553">
        <v>1328496</v>
      </c>
      <c r="F6553">
        <v>50</v>
      </c>
      <c r="G6553">
        <v>7360</v>
      </c>
      <c r="H6553">
        <f>_xlfn.XLOOKUP(FACT_IMPORTS[[#This Row],[hts_6]],DIM_PRODUCTS[hts_6],DIM_PRODUCTS[hts_4],,,)</f>
        <v>8408</v>
      </c>
      <c r="I6553" t="str" cm="1">
        <f t="array" ref="I6553">_xlfn.XLOOKUP(FACT_IMPORTS[[#This Row],[country_name]],DIM_COUNTRY[[#All],[Column2]],DIM_COUNTRY[[#All],[Column3]],,,)</f>
        <v>Major_Non-USMCA_Non-China</v>
      </c>
    </row>
    <row r="6554" spans="1:9" x14ac:dyDescent="0.4">
      <c r="A6554" t="s">
        <v>68</v>
      </c>
      <c r="B6554" s="1">
        <v>45809</v>
      </c>
      <c r="C6554">
        <v>840991</v>
      </c>
      <c r="D6554" t="s">
        <v>176</v>
      </c>
      <c r="E6554">
        <v>776910</v>
      </c>
      <c r="F6554">
        <v>128621</v>
      </c>
      <c r="G6554">
        <v>21674</v>
      </c>
      <c r="H6554">
        <f>_xlfn.XLOOKUP(FACT_IMPORTS[[#This Row],[hts_6]],DIM_PRODUCTS[hts_6],DIM_PRODUCTS[hts_4],,,)</f>
        <v>8409</v>
      </c>
      <c r="I6554" t="str" cm="1">
        <f t="array" ref="I6554">_xlfn.XLOOKUP(FACT_IMPORTS[[#This Row],[country_name]],DIM_COUNTRY[[#All],[Column2]],DIM_COUNTRY[[#All],[Column3]],,,)</f>
        <v>Major_Non-USMCA_Non-China</v>
      </c>
    </row>
    <row r="6555" spans="1:9" x14ac:dyDescent="0.4">
      <c r="A6555" t="s">
        <v>68</v>
      </c>
      <c r="B6555" s="1">
        <v>45809</v>
      </c>
      <c r="C6555">
        <v>840999</v>
      </c>
      <c r="D6555" t="s">
        <v>176</v>
      </c>
      <c r="E6555">
        <v>17570727</v>
      </c>
      <c r="F6555">
        <v>2041611</v>
      </c>
      <c r="G6555">
        <v>381800</v>
      </c>
      <c r="H6555">
        <f>_xlfn.XLOOKUP(FACT_IMPORTS[[#This Row],[hts_6]],DIM_PRODUCTS[hts_6],DIM_PRODUCTS[hts_4],,,)</f>
        <v>8409</v>
      </c>
      <c r="I6555" t="str" cm="1">
        <f t="array" ref="I6555">_xlfn.XLOOKUP(FACT_IMPORTS[[#This Row],[country_name]],DIM_COUNTRY[[#All],[Column2]],DIM_COUNTRY[[#All],[Column3]],,,)</f>
        <v>Major_Non-USMCA_Non-China</v>
      </c>
    </row>
    <row r="6556" spans="1:9" x14ac:dyDescent="0.4">
      <c r="A6556" t="s">
        <v>68</v>
      </c>
      <c r="B6556" s="1">
        <v>45809</v>
      </c>
      <c r="C6556">
        <v>841330</v>
      </c>
      <c r="D6556" t="s">
        <v>176</v>
      </c>
      <c r="E6556">
        <v>8380242</v>
      </c>
      <c r="F6556">
        <v>66730</v>
      </c>
      <c r="G6556">
        <v>24967</v>
      </c>
      <c r="H6556">
        <f>_xlfn.XLOOKUP(FACT_IMPORTS[[#This Row],[hts_6]],DIM_PRODUCTS[hts_6],DIM_PRODUCTS[hts_4],,,)</f>
        <v>8413</v>
      </c>
      <c r="I6556" t="str" cm="1">
        <f t="array" ref="I6556">_xlfn.XLOOKUP(FACT_IMPORTS[[#This Row],[country_name]],DIM_COUNTRY[[#All],[Column2]],DIM_COUNTRY[[#All],[Column3]],,,)</f>
        <v>Major_Non-USMCA_Non-China</v>
      </c>
    </row>
    <row r="6557" spans="1:9" x14ac:dyDescent="0.4">
      <c r="A6557" t="s">
        <v>68</v>
      </c>
      <c r="B6557" s="1">
        <v>45809</v>
      </c>
      <c r="C6557">
        <v>841520</v>
      </c>
      <c r="D6557" t="s">
        <v>176</v>
      </c>
      <c r="E6557">
        <v>0</v>
      </c>
      <c r="F6557">
        <v>0</v>
      </c>
      <c r="G6557">
        <v>0</v>
      </c>
      <c r="H6557">
        <f>_xlfn.XLOOKUP(FACT_IMPORTS[[#This Row],[hts_6]],DIM_PRODUCTS[hts_6],DIM_PRODUCTS[hts_4],,,)</f>
        <v>8415</v>
      </c>
      <c r="I6557" t="str" cm="1">
        <f t="array" ref="I6557">_xlfn.XLOOKUP(FACT_IMPORTS[[#This Row],[country_name]],DIM_COUNTRY[[#All],[Column2]],DIM_COUNTRY[[#All],[Column3]],,,)</f>
        <v>Major_Non-USMCA_Non-China</v>
      </c>
    </row>
    <row r="6558" spans="1:9" x14ac:dyDescent="0.4">
      <c r="A6558" t="s">
        <v>68</v>
      </c>
      <c r="B6558" s="1">
        <v>45809</v>
      </c>
      <c r="C6558">
        <v>842132</v>
      </c>
      <c r="D6558" t="s">
        <v>176</v>
      </c>
      <c r="E6558">
        <v>99077</v>
      </c>
      <c r="F6558">
        <v>26</v>
      </c>
      <c r="G6558">
        <v>7310</v>
      </c>
      <c r="H6558">
        <f>_xlfn.XLOOKUP(FACT_IMPORTS[[#This Row],[hts_6]],DIM_PRODUCTS[hts_6],DIM_PRODUCTS[hts_4],,,)</f>
        <v>8421</v>
      </c>
      <c r="I6558" t="str" cm="1">
        <f t="array" ref="I6558">_xlfn.XLOOKUP(FACT_IMPORTS[[#This Row],[country_name]],DIM_COUNTRY[[#All],[Column2]],DIM_COUNTRY[[#All],[Column3]],,,)</f>
        <v>Major_Non-USMCA_Non-China</v>
      </c>
    </row>
    <row r="6559" spans="1:9" x14ac:dyDescent="0.4">
      <c r="A6559" t="s">
        <v>68</v>
      </c>
      <c r="B6559" s="1">
        <v>45809</v>
      </c>
      <c r="C6559">
        <v>848210</v>
      </c>
      <c r="D6559" t="s">
        <v>176</v>
      </c>
      <c r="E6559">
        <v>396295</v>
      </c>
      <c r="F6559">
        <v>5249</v>
      </c>
      <c r="G6559">
        <v>7834</v>
      </c>
      <c r="H6559">
        <f>_xlfn.XLOOKUP(FACT_IMPORTS[[#This Row],[hts_6]],DIM_PRODUCTS[hts_6],DIM_PRODUCTS[hts_4],,,)</f>
        <v>8482</v>
      </c>
      <c r="I6559" t="str" cm="1">
        <f t="array" ref="I6559">_xlfn.XLOOKUP(FACT_IMPORTS[[#This Row],[country_name]],DIM_COUNTRY[[#All],[Column2]],DIM_COUNTRY[[#All],[Column3]],,,)</f>
        <v>Major_Non-USMCA_Non-China</v>
      </c>
    </row>
    <row r="6560" spans="1:9" x14ac:dyDescent="0.4">
      <c r="A6560" t="s">
        <v>68</v>
      </c>
      <c r="B6560" s="1">
        <v>45809</v>
      </c>
      <c r="C6560">
        <v>848220</v>
      </c>
      <c r="D6560" t="s">
        <v>176</v>
      </c>
      <c r="E6560">
        <v>155196</v>
      </c>
      <c r="F6560">
        <v>7159</v>
      </c>
      <c r="G6560">
        <v>1471</v>
      </c>
      <c r="H6560">
        <f>_xlfn.XLOOKUP(FACT_IMPORTS[[#This Row],[hts_6]],DIM_PRODUCTS[hts_6],DIM_PRODUCTS[hts_4],,,)</f>
        <v>8482</v>
      </c>
      <c r="I6560" t="str" cm="1">
        <f t="array" ref="I6560">_xlfn.XLOOKUP(FACT_IMPORTS[[#This Row],[country_name]],DIM_COUNTRY[[#All],[Column2]],DIM_COUNTRY[[#All],[Column3]],,,)</f>
        <v>Major_Non-USMCA_Non-China</v>
      </c>
    </row>
    <row r="6561" spans="1:9" x14ac:dyDescent="0.4">
      <c r="A6561" t="s">
        <v>68</v>
      </c>
      <c r="B6561" s="1">
        <v>45809</v>
      </c>
      <c r="C6561">
        <v>848310</v>
      </c>
      <c r="D6561" t="s">
        <v>176</v>
      </c>
      <c r="E6561">
        <v>4768968</v>
      </c>
      <c r="F6561">
        <v>26060</v>
      </c>
      <c r="G6561">
        <v>168402</v>
      </c>
      <c r="H6561">
        <f>_xlfn.XLOOKUP(FACT_IMPORTS[[#This Row],[hts_6]],DIM_PRODUCTS[hts_6],DIM_PRODUCTS[hts_4],,,)</f>
        <v>8483</v>
      </c>
      <c r="I6561" t="str" cm="1">
        <f t="array" ref="I6561">_xlfn.XLOOKUP(FACT_IMPORTS[[#This Row],[country_name]],DIM_COUNTRY[[#All],[Column2]],DIM_COUNTRY[[#All],[Column3]],,,)</f>
        <v>Major_Non-USMCA_Non-China</v>
      </c>
    </row>
    <row r="6562" spans="1:9" x14ac:dyDescent="0.4">
      <c r="A6562" t="s">
        <v>68</v>
      </c>
      <c r="B6562" s="1">
        <v>45809</v>
      </c>
      <c r="C6562">
        <v>850131</v>
      </c>
      <c r="D6562" t="s">
        <v>176</v>
      </c>
      <c r="E6562">
        <v>571204</v>
      </c>
      <c r="F6562">
        <v>12565</v>
      </c>
      <c r="G6562">
        <v>9677</v>
      </c>
      <c r="H6562">
        <f>_xlfn.XLOOKUP(FACT_IMPORTS[[#This Row],[hts_6]],DIM_PRODUCTS[hts_6],DIM_PRODUCTS[hts_4],,,)</f>
        <v>8501</v>
      </c>
      <c r="I6562" t="str" cm="1">
        <f t="array" ref="I6562">_xlfn.XLOOKUP(FACT_IMPORTS[[#This Row],[country_name]],DIM_COUNTRY[[#All],[Column2]],DIM_COUNTRY[[#All],[Column3]],,,)</f>
        <v>Major_Non-USMCA_Non-China</v>
      </c>
    </row>
    <row r="6563" spans="1:9" x14ac:dyDescent="0.4">
      <c r="A6563" t="s">
        <v>68</v>
      </c>
      <c r="B6563" s="1">
        <v>45809</v>
      </c>
      <c r="C6563">
        <v>850132</v>
      </c>
      <c r="D6563" t="s">
        <v>176</v>
      </c>
      <c r="E6563">
        <v>62880</v>
      </c>
      <c r="F6563">
        <v>8</v>
      </c>
      <c r="G6563">
        <v>485</v>
      </c>
      <c r="H6563">
        <f>_xlfn.XLOOKUP(FACT_IMPORTS[[#This Row],[hts_6]],DIM_PRODUCTS[hts_6],DIM_PRODUCTS[hts_4],,,)</f>
        <v>8501</v>
      </c>
      <c r="I6563" t="str" cm="1">
        <f t="array" ref="I6563">_xlfn.XLOOKUP(FACT_IMPORTS[[#This Row],[country_name]],DIM_COUNTRY[[#All],[Column2]],DIM_COUNTRY[[#All],[Column3]],,,)</f>
        <v>Major_Non-USMCA_Non-China</v>
      </c>
    </row>
    <row r="6564" spans="1:9" x14ac:dyDescent="0.4">
      <c r="A6564" t="s">
        <v>68</v>
      </c>
      <c r="B6564" s="1">
        <v>45809</v>
      </c>
      <c r="C6564">
        <v>850133</v>
      </c>
      <c r="D6564" t="s">
        <v>176</v>
      </c>
      <c r="E6564">
        <v>105459</v>
      </c>
      <c r="F6564">
        <v>36</v>
      </c>
      <c r="G6564">
        <v>292</v>
      </c>
      <c r="H6564">
        <f>_xlfn.XLOOKUP(FACT_IMPORTS[[#This Row],[hts_6]],DIM_PRODUCTS[hts_6],DIM_PRODUCTS[hts_4],,,)</f>
        <v>8501</v>
      </c>
      <c r="I6564" t="str" cm="1">
        <f t="array" ref="I6564">_xlfn.XLOOKUP(FACT_IMPORTS[[#This Row],[country_name]],DIM_COUNTRY[[#All],[Column2]],DIM_COUNTRY[[#All],[Column3]],,,)</f>
        <v>Major_Non-USMCA_Non-China</v>
      </c>
    </row>
    <row r="6565" spans="1:9" x14ac:dyDescent="0.4">
      <c r="A6565" t="s">
        <v>68</v>
      </c>
      <c r="B6565" s="1">
        <v>45809</v>
      </c>
      <c r="C6565">
        <v>850134</v>
      </c>
      <c r="D6565" t="s">
        <v>176</v>
      </c>
      <c r="E6565">
        <v>0</v>
      </c>
      <c r="F6565">
        <v>0</v>
      </c>
      <c r="G6565">
        <v>0</v>
      </c>
      <c r="H6565">
        <f>_xlfn.XLOOKUP(FACT_IMPORTS[[#This Row],[hts_6]],DIM_PRODUCTS[hts_6],DIM_PRODUCTS[hts_4],,,)</f>
        <v>8501</v>
      </c>
      <c r="I6565" t="str" cm="1">
        <f t="array" ref="I6565">_xlfn.XLOOKUP(FACT_IMPORTS[[#This Row],[country_name]],DIM_COUNTRY[[#All],[Column2]],DIM_COUNTRY[[#All],[Column3]],,,)</f>
        <v>Major_Non-USMCA_Non-China</v>
      </c>
    </row>
    <row r="6566" spans="1:9" x14ac:dyDescent="0.4">
      <c r="A6566" t="s">
        <v>68</v>
      </c>
      <c r="B6566" s="1">
        <v>45809</v>
      </c>
      <c r="C6566">
        <v>850152</v>
      </c>
      <c r="D6566" t="s">
        <v>176</v>
      </c>
      <c r="E6566">
        <v>677035</v>
      </c>
      <c r="F6566">
        <v>319</v>
      </c>
      <c r="G6566">
        <v>26786</v>
      </c>
      <c r="H6566">
        <f>_xlfn.XLOOKUP(FACT_IMPORTS[[#This Row],[hts_6]],DIM_PRODUCTS[hts_6],DIM_PRODUCTS[hts_4],,,)</f>
        <v>8501</v>
      </c>
      <c r="I6566" t="str" cm="1">
        <f t="array" ref="I6566">_xlfn.XLOOKUP(FACT_IMPORTS[[#This Row],[country_name]],DIM_COUNTRY[[#All],[Column2]],DIM_COUNTRY[[#All],[Column3]],,,)</f>
        <v>Major_Non-USMCA_Non-China</v>
      </c>
    </row>
    <row r="6567" spans="1:9" x14ac:dyDescent="0.4">
      <c r="A6567" t="s">
        <v>68</v>
      </c>
      <c r="B6567" s="1">
        <v>45809</v>
      </c>
      <c r="C6567">
        <v>850153</v>
      </c>
      <c r="D6567" t="s">
        <v>176</v>
      </c>
      <c r="E6567">
        <v>101033</v>
      </c>
      <c r="F6567">
        <v>11</v>
      </c>
      <c r="G6567">
        <v>3884</v>
      </c>
      <c r="H6567">
        <f>_xlfn.XLOOKUP(FACT_IMPORTS[[#This Row],[hts_6]],DIM_PRODUCTS[hts_6],DIM_PRODUCTS[hts_4],,,)</f>
        <v>8501</v>
      </c>
      <c r="I6567" t="str" cm="1">
        <f t="array" ref="I6567">_xlfn.XLOOKUP(FACT_IMPORTS[[#This Row],[country_name]],DIM_COUNTRY[[#All],[Column2]],DIM_COUNTRY[[#All],[Column3]],,,)</f>
        <v>Major_Non-USMCA_Non-China</v>
      </c>
    </row>
    <row r="6568" spans="1:9" x14ac:dyDescent="0.4">
      <c r="A6568" t="s">
        <v>68</v>
      </c>
      <c r="B6568" s="1">
        <v>45809</v>
      </c>
      <c r="C6568">
        <v>850161</v>
      </c>
      <c r="D6568" t="s">
        <v>176</v>
      </c>
      <c r="E6568">
        <v>0</v>
      </c>
      <c r="F6568">
        <v>0</v>
      </c>
      <c r="G6568">
        <v>0</v>
      </c>
      <c r="H6568">
        <f>_xlfn.XLOOKUP(FACT_IMPORTS[[#This Row],[hts_6]],DIM_PRODUCTS[hts_6],DIM_PRODUCTS[hts_4],,,)</f>
        <v>8501</v>
      </c>
      <c r="I6568" t="str" cm="1">
        <f t="array" ref="I6568">_xlfn.XLOOKUP(FACT_IMPORTS[[#This Row],[country_name]],DIM_COUNTRY[[#All],[Column2]],DIM_COUNTRY[[#All],[Column3]],,,)</f>
        <v>Major_Non-USMCA_Non-China</v>
      </c>
    </row>
    <row r="6569" spans="1:9" x14ac:dyDescent="0.4">
      <c r="A6569" t="s">
        <v>68</v>
      </c>
      <c r="B6569" s="1">
        <v>45809</v>
      </c>
      <c r="C6569">
        <v>850440</v>
      </c>
      <c r="D6569" t="s">
        <v>176</v>
      </c>
      <c r="E6569">
        <v>462037</v>
      </c>
      <c r="F6569">
        <v>97</v>
      </c>
      <c r="G6569">
        <v>10607</v>
      </c>
      <c r="H6569">
        <f>_xlfn.XLOOKUP(FACT_IMPORTS[[#This Row],[hts_6]],DIM_PRODUCTS[hts_6],DIM_PRODUCTS[hts_4],,,)</f>
        <v>8504</v>
      </c>
      <c r="I6569" t="str" cm="1">
        <f t="array" ref="I6569">_xlfn.XLOOKUP(FACT_IMPORTS[[#This Row],[country_name]],DIM_COUNTRY[[#All],[Column2]],DIM_COUNTRY[[#All],[Column3]],,,)</f>
        <v>Major_Non-USMCA_Non-China</v>
      </c>
    </row>
    <row r="6570" spans="1:9" x14ac:dyDescent="0.4">
      <c r="A6570" t="s">
        <v>68</v>
      </c>
      <c r="B6570" s="1">
        <v>45809</v>
      </c>
      <c r="C6570">
        <v>850710</v>
      </c>
      <c r="D6570" t="s">
        <v>176</v>
      </c>
      <c r="E6570">
        <v>2195</v>
      </c>
      <c r="F6570">
        <v>56</v>
      </c>
      <c r="G6570">
        <v>22</v>
      </c>
      <c r="H6570">
        <f>_xlfn.XLOOKUP(FACT_IMPORTS[[#This Row],[hts_6]],DIM_PRODUCTS[hts_6],DIM_PRODUCTS[hts_4],,,)</f>
        <v>8507</v>
      </c>
      <c r="I6570" t="str" cm="1">
        <f t="array" ref="I6570">_xlfn.XLOOKUP(FACT_IMPORTS[[#This Row],[country_name]],DIM_COUNTRY[[#All],[Column2]],DIM_COUNTRY[[#All],[Column3]],,,)</f>
        <v>Major_Non-USMCA_Non-China</v>
      </c>
    </row>
    <row r="6571" spans="1:9" x14ac:dyDescent="0.4">
      <c r="A6571" t="s">
        <v>68</v>
      </c>
      <c r="B6571" s="1">
        <v>45809</v>
      </c>
      <c r="C6571">
        <v>850760</v>
      </c>
      <c r="D6571" t="s">
        <v>176</v>
      </c>
      <c r="E6571">
        <v>239474</v>
      </c>
      <c r="F6571">
        <v>277</v>
      </c>
      <c r="G6571">
        <v>2583</v>
      </c>
      <c r="H6571">
        <f>_xlfn.XLOOKUP(FACT_IMPORTS[[#This Row],[hts_6]],DIM_PRODUCTS[hts_6],DIM_PRODUCTS[hts_4],,,)</f>
        <v>8507</v>
      </c>
      <c r="I6571" t="str" cm="1">
        <f t="array" ref="I6571">_xlfn.XLOOKUP(FACT_IMPORTS[[#This Row],[country_name]],DIM_COUNTRY[[#All],[Column2]],DIM_COUNTRY[[#All],[Column3]],,,)</f>
        <v>Major_Non-USMCA_Non-China</v>
      </c>
    </row>
    <row r="6572" spans="1:9" x14ac:dyDescent="0.4">
      <c r="A6572" t="s">
        <v>68</v>
      </c>
      <c r="B6572" s="1">
        <v>45809</v>
      </c>
      <c r="C6572">
        <v>850790</v>
      </c>
      <c r="D6572" t="s">
        <v>176</v>
      </c>
      <c r="E6572">
        <v>6633</v>
      </c>
      <c r="F6572">
        <v>47</v>
      </c>
      <c r="G6572">
        <v>141</v>
      </c>
      <c r="H6572">
        <f>_xlfn.XLOOKUP(FACT_IMPORTS[[#This Row],[hts_6]],DIM_PRODUCTS[hts_6],DIM_PRODUCTS[hts_4],,,)</f>
        <v>8507</v>
      </c>
      <c r="I6572" t="str" cm="1">
        <f t="array" ref="I6572">_xlfn.XLOOKUP(FACT_IMPORTS[[#This Row],[country_name]],DIM_COUNTRY[[#All],[Column2]],DIM_COUNTRY[[#All],[Column3]],,,)</f>
        <v>Major_Non-USMCA_Non-China</v>
      </c>
    </row>
    <row r="6573" spans="1:9" x14ac:dyDescent="0.4">
      <c r="A6573" t="s">
        <v>68</v>
      </c>
      <c r="B6573" s="1">
        <v>45809</v>
      </c>
      <c r="C6573">
        <v>851110</v>
      </c>
      <c r="D6573" t="s">
        <v>176</v>
      </c>
      <c r="E6573">
        <v>500556</v>
      </c>
      <c r="F6573">
        <v>3228</v>
      </c>
      <c r="G6573">
        <v>4704</v>
      </c>
      <c r="H6573">
        <f>_xlfn.XLOOKUP(FACT_IMPORTS[[#This Row],[hts_6]],DIM_PRODUCTS[hts_6],DIM_PRODUCTS[hts_4],,,)</f>
        <v>8511</v>
      </c>
      <c r="I6573" t="str" cm="1">
        <f t="array" ref="I6573">_xlfn.XLOOKUP(FACT_IMPORTS[[#This Row],[country_name]],DIM_COUNTRY[[#All],[Column2]],DIM_COUNTRY[[#All],[Column3]],,,)</f>
        <v>Major_Non-USMCA_Non-China</v>
      </c>
    </row>
    <row r="6574" spans="1:9" x14ac:dyDescent="0.4">
      <c r="A6574" t="s">
        <v>68</v>
      </c>
      <c r="B6574" s="1">
        <v>45809</v>
      </c>
      <c r="C6574">
        <v>851130</v>
      </c>
      <c r="D6574" t="s">
        <v>176</v>
      </c>
      <c r="E6574">
        <v>22257</v>
      </c>
      <c r="F6574">
        <v>504</v>
      </c>
      <c r="G6574">
        <v>398</v>
      </c>
      <c r="H6574">
        <f>_xlfn.XLOOKUP(FACT_IMPORTS[[#This Row],[hts_6]],DIM_PRODUCTS[hts_6],DIM_PRODUCTS[hts_4],,,)</f>
        <v>8511</v>
      </c>
      <c r="I6574" t="str" cm="1">
        <f t="array" ref="I6574">_xlfn.XLOOKUP(FACT_IMPORTS[[#This Row],[country_name]],DIM_COUNTRY[[#All],[Column2]],DIM_COUNTRY[[#All],[Column3]],,,)</f>
        <v>Major_Non-USMCA_Non-China</v>
      </c>
    </row>
    <row r="6575" spans="1:9" x14ac:dyDescent="0.4">
      <c r="A6575" t="s">
        <v>68</v>
      </c>
      <c r="B6575" s="1">
        <v>45809</v>
      </c>
      <c r="C6575">
        <v>851140</v>
      </c>
      <c r="D6575" t="s">
        <v>176</v>
      </c>
      <c r="E6575">
        <v>2078</v>
      </c>
      <c r="F6575">
        <v>2</v>
      </c>
      <c r="G6575">
        <v>4</v>
      </c>
      <c r="H6575">
        <f>_xlfn.XLOOKUP(FACT_IMPORTS[[#This Row],[hts_6]],DIM_PRODUCTS[hts_6],DIM_PRODUCTS[hts_4],,,)</f>
        <v>8511</v>
      </c>
      <c r="I6575" t="str" cm="1">
        <f t="array" ref="I6575">_xlfn.XLOOKUP(FACT_IMPORTS[[#This Row],[country_name]],DIM_COUNTRY[[#All],[Column2]],DIM_COUNTRY[[#All],[Column3]],,,)</f>
        <v>Major_Non-USMCA_Non-China</v>
      </c>
    </row>
    <row r="6576" spans="1:9" x14ac:dyDescent="0.4">
      <c r="A6576" t="s">
        <v>68</v>
      </c>
      <c r="B6576" s="1">
        <v>45809</v>
      </c>
      <c r="C6576">
        <v>851150</v>
      </c>
      <c r="D6576" t="s">
        <v>176</v>
      </c>
      <c r="E6576">
        <v>18535</v>
      </c>
      <c r="F6576">
        <v>3</v>
      </c>
      <c r="G6576">
        <v>313</v>
      </c>
      <c r="H6576">
        <f>_xlfn.XLOOKUP(FACT_IMPORTS[[#This Row],[hts_6]],DIM_PRODUCTS[hts_6],DIM_PRODUCTS[hts_4],,,)</f>
        <v>8511</v>
      </c>
      <c r="I6576" t="str" cm="1">
        <f t="array" ref="I6576">_xlfn.XLOOKUP(FACT_IMPORTS[[#This Row],[country_name]],DIM_COUNTRY[[#All],[Column2]],DIM_COUNTRY[[#All],[Column3]],,,)</f>
        <v>Major_Non-USMCA_Non-China</v>
      </c>
    </row>
    <row r="6577" spans="1:9" x14ac:dyDescent="0.4">
      <c r="A6577" t="s">
        <v>68</v>
      </c>
      <c r="B6577" s="1">
        <v>45809</v>
      </c>
      <c r="C6577">
        <v>851180</v>
      </c>
      <c r="D6577" t="s">
        <v>176</v>
      </c>
      <c r="E6577">
        <v>482464</v>
      </c>
      <c r="F6577">
        <v>2535</v>
      </c>
      <c r="G6577">
        <v>1298</v>
      </c>
      <c r="H6577">
        <f>_xlfn.XLOOKUP(FACT_IMPORTS[[#This Row],[hts_6]],DIM_PRODUCTS[hts_6],DIM_PRODUCTS[hts_4],,,)</f>
        <v>8511</v>
      </c>
      <c r="I6577" t="str" cm="1">
        <f t="array" ref="I6577">_xlfn.XLOOKUP(FACT_IMPORTS[[#This Row],[country_name]],DIM_COUNTRY[[#All],[Column2]],DIM_COUNTRY[[#All],[Column3]],,,)</f>
        <v>Major_Non-USMCA_Non-China</v>
      </c>
    </row>
    <row r="6578" spans="1:9" x14ac:dyDescent="0.4">
      <c r="A6578" t="s">
        <v>68</v>
      </c>
      <c r="B6578" s="1">
        <v>45809</v>
      </c>
      <c r="C6578">
        <v>851190</v>
      </c>
      <c r="D6578" t="s">
        <v>176</v>
      </c>
      <c r="E6578">
        <v>15411</v>
      </c>
      <c r="F6578">
        <v>50</v>
      </c>
      <c r="G6578">
        <v>77</v>
      </c>
      <c r="H6578">
        <f>_xlfn.XLOOKUP(FACT_IMPORTS[[#This Row],[hts_6]],DIM_PRODUCTS[hts_6],DIM_PRODUCTS[hts_4],,,)</f>
        <v>8511</v>
      </c>
      <c r="I6578" t="str" cm="1">
        <f t="array" ref="I6578">_xlfn.XLOOKUP(FACT_IMPORTS[[#This Row],[country_name]],DIM_COUNTRY[[#All],[Column2]],DIM_COUNTRY[[#All],[Column3]],,,)</f>
        <v>Major_Non-USMCA_Non-China</v>
      </c>
    </row>
    <row r="6579" spans="1:9" x14ac:dyDescent="0.4">
      <c r="A6579" t="s">
        <v>68</v>
      </c>
      <c r="B6579" s="1">
        <v>45809</v>
      </c>
      <c r="C6579">
        <v>851220</v>
      </c>
      <c r="D6579" t="s">
        <v>176</v>
      </c>
      <c r="E6579">
        <v>43129</v>
      </c>
      <c r="F6579">
        <v>31825</v>
      </c>
      <c r="G6579">
        <v>4524</v>
      </c>
      <c r="H6579">
        <f>_xlfn.XLOOKUP(FACT_IMPORTS[[#This Row],[hts_6]],DIM_PRODUCTS[hts_6],DIM_PRODUCTS[hts_4],,,)</f>
        <v>8512</v>
      </c>
      <c r="I6579" t="str" cm="1">
        <f t="array" ref="I6579">_xlfn.XLOOKUP(FACT_IMPORTS[[#This Row],[country_name]],DIM_COUNTRY[[#All],[Column2]],DIM_COUNTRY[[#All],[Column3]],,,)</f>
        <v>Major_Non-USMCA_Non-China</v>
      </c>
    </row>
    <row r="6580" spans="1:9" x14ac:dyDescent="0.4">
      <c r="A6580" t="s">
        <v>68</v>
      </c>
      <c r="B6580" s="1">
        <v>45809</v>
      </c>
      <c r="C6580">
        <v>851230</v>
      </c>
      <c r="D6580" t="s">
        <v>176</v>
      </c>
      <c r="E6580">
        <v>0</v>
      </c>
      <c r="F6580">
        <v>0</v>
      </c>
      <c r="G6580">
        <v>0</v>
      </c>
      <c r="H6580">
        <f>_xlfn.XLOOKUP(FACT_IMPORTS[[#This Row],[hts_6]],DIM_PRODUCTS[hts_6],DIM_PRODUCTS[hts_4],,,)</f>
        <v>8512</v>
      </c>
      <c r="I6580" t="str" cm="1">
        <f t="array" ref="I6580">_xlfn.XLOOKUP(FACT_IMPORTS[[#This Row],[country_name]],DIM_COUNTRY[[#All],[Column2]],DIM_COUNTRY[[#All],[Column3]],,,)</f>
        <v>Major_Non-USMCA_Non-China</v>
      </c>
    </row>
    <row r="6581" spans="1:9" x14ac:dyDescent="0.4">
      <c r="A6581" t="s">
        <v>68</v>
      </c>
      <c r="B6581" s="1">
        <v>45809</v>
      </c>
      <c r="C6581">
        <v>851290</v>
      </c>
      <c r="D6581" t="s">
        <v>176</v>
      </c>
      <c r="E6581">
        <v>10587</v>
      </c>
      <c r="F6581">
        <v>2220</v>
      </c>
      <c r="G6581">
        <v>938</v>
      </c>
      <c r="H6581">
        <f>_xlfn.XLOOKUP(FACT_IMPORTS[[#This Row],[hts_6]],DIM_PRODUCTS[hts_6],DIM_PRODUCTS[hts_4],,,)</f>
        <v>8512</v>
      </c>
      <c r="I6581" t="str" cm="1">
        <f t="array" ref="I6581">_xlfn.XLOOKUP(FACT_IMPORTS[[#This Row],[country_name]],DIM_COUNTRY[[#All],[Column2]],DIM_COUNTRY[[#All],[Column3]],,,)</f>
        <v>Major_Non-USMCA_Non-China</v>
      </c>
    </row>
    <row r="6582" spans="1:9" x14ac:dyDescent="0.4">
      <c r="A6582" t="s">
        <v>68</v>
      </c>
      <c r="B6582" s="1">
        <v>45809</v>
      </c>
      <c r="C6582">
        <v>854231</v>
      </c>
      <c r="D6582" t="s">
        <v>176</v>
      </c>
      <c r="E6582">
        <v>406232</v>
      </c>
      <c r="F6582">
        <v>40068</v>
      </c>
      <c r="G6582">
        <v>1521</v>
      </c>
      <c r="H6582">
        <f>_xlfn.XLOOKUP(FACT_IMPORTS[[#This Row],[hts_6]],DIM_PRODUCTS[hts_6],DIM_PRODUCTS[hts_4],,,)</f>
        <v>8542</v>
      </c>
      <c r="I6582" t="str" cm="1">
        <f t="array" ref="I6582">_xlfn.XLOOKUP(FACT_IMPORTS[[#This Row],[country_name]],DIM_COUNTRY[[#All],[Column2]],DIM_COUNTRY[[#All],[Column3]],,,)</f>
        <v>Major_Non-USMCA_Non-China</v>
      </c>
    </row>
    <row r="6583" spans="1:9" x14ac:dyDescent="0.4">
      <c r="A6583" t="s">
        <v>68</v>
      </c>
      <c r="B6583" s="1">
        <v>45809</v>
      </c>
      <c r="C6583">
        <v>854232</v>
      </c>
      <c r="D6583" t="s">
        <v>176</v>
      </c>
      <c r="E6583">
        <v>2713</v>
      </c>
      <c r="F6583">
        <v>3</v>
      </c>
      <c r="G6583">
        <v>26</v>
      </c>
      <c r="H6583">
        <f>_xlfn.XLOOKUP(FACT_IMPORTS[[#This Row],[hts_6]],DIM_PRODUCTS[hts_6],DIM_PRODUCTS[hts_4],,,)</f>
        <v>8542</v>
      </c>
      <c r="I6583" t="str" cm="1">
        <f t="array" ref="I6583">_xlfn.XLOOKUP(FACT_IMPORTS[[#This Row],[country_name]],DIM_COUNTRY[[#All],[Column2]],DIM_COUNTRY[[#All],[Column3]],,,)</f>
        <v>Major_Non-USMCA_Non-China</v>
      </c>
    </row>
    <row r="6584" spans="1:9" x14ac:dyDescent="0.4">
      <c r="A6584" t="s">
        <v>68</v>
      </c>
      <c r="B6584" s="1">
        <v>45809</v>
      </c>
      <c r="C6584">
        <v>854233</v>
      </c>
      <c r="D6584" t="s">
        <v>176</v>
      </c>
      <c r="E6584">
        <v>113970</v>
      </c>
      <c r="F6584">
        <v>97506</v>
      </c>
      <c r="G6584">
        <v>270</v>
      </c>
      <c r="H6584">
        <f>_xlfn.XLOOKUP(FACT_IMPORTS[[#This Row],[hts_6]],DIM_PRODUCTS[hts_6],DIM_PRODUCTS[hts_4],,,)</f>
        <v>8542</v>
      </c>
      <c r="I6584" t="str" cm="1">
        <f t="array" ref="I6584">_xlfn.XLOOKUP(FACT_IMPORTS[[#This Row],[country_name]],DIM_COUNTRY[[#All],[Column2]],DIM_COUNTRY[[#All],[Column3]],,,)</f>
        <v>Major_Non-USMCA_Non-China</v>
      </c>
    </row>
    <row r="6585" spans="1:9" x14ac:dyDescent="0.4">
      <c r="A6585" t="s">
        <v>68</v>
      </c>
      <c r="B6585" s="1">
        <v>45809</v>
      </c>
      <c r="C6585">
        <v>854239</v>
      </c>
      <c r="D6585" t="s">
        <v>176</v>
      </c>
      <c r="E6585">
        <v>574333</v>
      </c>
      <c r="F6585">
        <v>420022</v>
      </c>
      <c r="G6585">
        <v>1299</v>
      </c>
      <c r="H6585">
        <f>_xlfn.XLOOKUP(FACT_IMPORTS[[#This Row],[hts_6]],DIM_PRODUCTS[hts_6],DIM_PRODUCTS[hts_4],,,)</f>
        <v>8542</v>
      </c>
      <c r="I6585" t="str" cm="1">
        <f t="array" ref="I6585">_xlfn.XLOOKUP(FACT_IMPORTS[[#This Row],[country_name]],DIM_COUNTRY[[#All],[Column2]],DIM_COUNTRY[[#All],[Column3]],,,)</f>
        <v>Major_Non-USMCA_Non-China</v>
      </c>
    </row>
    <row r="6586" spans="1:9" x14ac:dyDescent="0.4">
      <c r="A6586" t="s">
        <v>68</v>
      </c>
      <c r="B6586" s="1">
        <v>45809</v>
      </c>
      <c r="C6586">
        <v>854290</v>
      </c>
      <c r="D6586" t="s">
        <v>176</v>
      </c>
      <c r="E6586">
        <v>12481</v>
      </c>
      <c r="F6586">
        <v>13</v>
      </c>
      <c r="G6586">
        <v>998</v>
      </c>
      <c r="H6586">
        <f>_xlfn.XLOOKUP(FACT_IMPORTS[[#This Row],[hts_6]],DIM_PRODUCTS[hts_6],DIM_PRODUCTS[hts_4],,,)</f>
        <v>8542</v>
      </c>
      <c r="I6586" t="str" cm="1">
        <f t="array" ref="I6586">_xlfn.XLOOKUP(FACT_IMPORTS[[#This Row],[country_name]],DIM_COUNTRY[[#All],[Column2]],DIM_COUNTRY[[#All],[Column3]],,,)</f>
        <v>Major_Non-USMCA_Non-China</v>
      </c>
    </row>
    <row r="6587" spans="1:9" x14ac:dyDescent="0.4">
      <c r="A6587" t="s">
        <v>68</v>
      </c>
      <c r="B6587" s="1">
        <v>45809</v>
      </c>
      <c r="C6587">
        <v>854430</v>
      </c>
      <c r="D6587" t="s">
        <v>176</v>
      </c>
      <c r="E6587">
        <v>494350</v>
      </c>
      <c r="F6587">
        <v>21345</v>
      </c>
      <c r="G6587">
        <v>6794</v>
      </c>
      <c r="H6587">
        <f>_xlfn.XLOOKUP(FACT_IMPORTS[[#This Row],[hts_6]],DIM_PRODUCTS[hts_6],DIM_PRODUCTS[hts_4],,,)</f>
        <v>8544</v>
      </c>
      <c r="I6587" t="str" cm="1">
        <f t="array" ref="I6587">_xlfn.XLOOKUP(FACT_IMPORTS[[#This Row],[country_name]],DIM_COUNTRY[[#All],[Column2]],DIM_COUNTRY[[#All],[Column3]],,,)</f>
        <v>Major_Non-USMCA_Non-China</v>
      </c>
    </row>
    <row r="6588" spans="1:9" x14ac:dyDescent="0.4">
      <c r="A6588" t="s">
        <v>68</v>
      </c>
      <c r="B6588" s="1">
        <v>45809</v>
      </c>
      <c r="C6588">
        <v>870710</v>
      </c>
      <c r="D6588" t="s">
        <v>176</v>
      </c>
      <c r="E6588">
        <v>0</v>
      </c>
      <c r="F6588">
        <v>0</v>
      </c>
      <c r="G6588">
        <v>0</v>
      </c>
      <c r="H6588">
        <f>_xlfn.XLOOKUP(FACT_IMPORTS[[#This Row],[hts_6]],DIM_PRODUCTS[hts_6],DIM_PRODUCTS[hts_4],,,)</f>
        <v>8707</v>
      </c>
      <c r="I6588" t="str" cm="1">
        <f t="array" ref="I6588">_xlfn.XLOOKUP(FACT_IMPORTS[[#This Row],[country_name]],DIM_COUNTRY[[#All],[Column2]],DIM_COUNTRY[[#All],[Column3]],,,)</f>
        <v>Major_Non-USMCA_Non-China</v>
      </c>
    </row>
    <row r="6589" spans="1:9" x14ac:dyDescent="0.4">
      <c r="A6589" t="s">
        <v>68</v>
      </c>
      <c r="B6589" s="1">
        <v>45809</v>
      </c>
      <c r="C6589">
        <v>870790</v>
      </c>
      <c r="D6589" t="s">
        <v>176</v>
      </c>
      <c r="E6589">
        <v>0</v>
      </c>
      <c r="F6589">
        <v>0</v>
      </c>
      <c r="G6589">
        <v>0</v>
      </c>
      <c r="H6589">
        <f>_xlfn.XLOOKUP(FACT_IMPORTS[[#This Row],[hts_6]],DIM_PRODUCTS[hts_6],DIM_PRODUCTS[hts_4],,,)</f>
        <v>8707</v>
      </c>
      <c r="I6589" t="str" cm="1">
        <f t="array" ref="I6589">_xlfn.XLOOKUP(FACT_IMPORTS[[#This Row],[country_name]],DIM_COUNTRY[[#All],[Column2]],DIM_COUNTRY[[#All],[Column3]],,,)</f>
        <v>Major_Non-USMCA_Non-China</v>
      </c>
    </row>
    <row r="6590" spans="1:9" x14ac:dyDescent="0.4">
      <c r="A6590" t="s">
        <v>68</v>
      </c>
      <c r="B6590" s="1">
        <v>45809</v>
      </c>
      <c r="C6590">
        <v>870810</v>
      </c>
      <c r="D6590" t="s">
        <v>176</v>
      </c>
      <c r="E6590">
        <v>12010</v>
      </c>
      <c r="F6590">
        <v>220</v>
      </c>
      <c r="G6590">
        <v>549</v>
      </c>
      <c r="H6590">
        <f>_xlfn.XLOOKUP(FACT_IMPORTS[[#This Row],[hts_6]],DIM_PRODUCTS[hts_6],DIM_PRODUCTS[hts_4],,,)</f>
        <v>8708</v>
      </c>
      <c r="I6590" t="str" cm="1">
        <f t="array" ref="I6590">_xlfn.XLOOKUP(FACT_IMPORTS[[#This Row],[country_name]],DIM_COUNTRY[[#All],[Column2]],DIM_COUNTRY[[#All],[Column3]],,,)</f>
        <v>Major_Non-USMCA_Non-China</v>
      </c>
    </row>
    <row r="6591" spans="1:9" x14ac:dyDescent="0.4">
      <c r="A6591" t="s">
        <v>68</v>
      </c>
      <c r="B6591" s="1">
        <v>45809</v>
      </c>
      <c r="C6591">
        <v>870821</v>
      </c>
      <c r="D6591" t="s">
        <v>176</v>
      </c>
      <c r="E6591">
        <v>2893</v>
      </c>
      <c r="F6591">
        <v>75</v>
      </c>
      <c r="G6591">
        <v>5</v>
      </c>
      <c r="H6591">
        <f>_xlfn.XLOOKUP(FACT_IMPORTS[[#This Row],[hts_6]],DIM_PRODUCTS[hts_6],DIM_PRODUCTS[hts_4],,,)</f>
        <v>8708</v>
      </c>
      <c r="I6591" t="str" cm="1">
        <f t="array" ref="I6591">_xlfn.XLOOKUP(FACT_IMPORTS[[#This Row],[country_name]],DIM_COUNTRY[[#All],[Column2]],DIM_COUNTRY[[#All],[Column3]],,,)</f>
        <v>Major_Non-USMCA_Non-China</v>
      </c>
    </row>
    <row r="6592" spans="1:9" x14ac:dyDescent="0.4">
      <c r="A6592" t="s">
        <v>68</v>
      </c>
      <c r="B6592" s="1">
        <v>45809</v>
      </c>
      <c r="C6592">
        <v>870822</v>
      </c>
      <c r="D6592" t="s">
        <v>176</v>
      </c>
      <c r="E6592">
        <v>0</v>
      </c>
      <c r="F6592">
        <v>0</v>
      </c>
      <c r="G6592">
        <v>0</v>
      </c>
      <c r="H6592">
        <f>_xlfn.XLOOKUP(FACT_IMPORTS[[#This Row],[hts_6]],DIM_PRODUCTS[hts_6],DIM_PRODUCTS[hts_4],,,)</f>
        <v>8708</v>
      </c>
      <c r="I6592" t="str" cm="1">
        <f t="array" ref="I6592">_xlfn.XLOOKUP(FACT_IMPORTS[[#This Row],[country_name]],DIM_COUNTRY[[#All],[Column2]],DIM_COUNTRY[[#All],[Column3]],,,)</f>
        <v>Major_Non-USMCA_Non-China</v>
      </c>
    </row>
    <row r="6593" spans="1:9" x14ac:dyDescent="0.4">
      <c r="A6593" t="s">
        <v>68</v>
      </c>
      <c r="B6593" s="1">
        <v>45809</v>
      </c>
      <c r="C6593">
        <v>870829</v>
      </c>
      <c r="D6593" t="s">
        <v>176</v>
      </c>
      <c r="E6593">
        <v>1958461</v>
      </c>
      <c r="F6593">
        <v>873234</v>
      </c>
      <c r="G6593">
        <v>183292</v>
      </c>
      <c r="H6593">
        <f>_xlfn.XLOOKUP(FACT_IMPORTS[[#This Row],[hts_6]],DIM_PRODUCTS[hts_6],DIM_PRODUCTS[hts_4],,,)</f>
        <v>8708</v>
      </c>
      <c r="I6593" t="str" cm="1">
        <f t="array" ref="I6593">_xlfn.XLOOKUP(FACT_IMPORTS[[#This Row],[country_name]],DIM_COUNTRY[[#All],[Column2]],DIM_COUNTRY[[#All],[Column3]],,,)</f>
        <v>Major_Non-USMCA_Non-China</v>
      </c>
    </row>
    <row r="6594" spans="1:9" x14ac:dyDescent="0.4">
      <c r="A6594" t="s">
        <v>68</v>
      </c>
      <c r="B6594" s="1">
        <v>45809</v>
      </c>
      <c r="C6594">
        <v>870830</v>
      </c>
      <c r="D6594" t="s">
        <v>176</v>
      </c>
      <c r="E6594">
        <v>226357</v>
      </c>
      <c r="F6594">
        <v>3050</v>
      </c>
      <c r="G6594">
        <v>14698</v>
      </c>
      <c r="H6594">
        <f>_xlfn.XLOOKUP(FACT_IMPORTS[[#This Row],[hts_6]],DIM_PRODUCTS[hts_6],DIM_PRODUCTS[hts_4],,,)</f>
        <v>8708</v>
      </c>
      <c r="I6594" t="str" cm="1">
        <f t="array" ref="I6594">_xlfn.XLOOKUP(FACT_IMPORTS[[#This Row],[country_name]],DIM_COUNTRY[[#All],[Column2]],DIM_COUNTRY[[#All],[Column3]],,,)</f>
        <v>Major_Non-USMCA_Non-China</v>
      </c>
    </row>
    <row r="6595" spans="1:9" x14ac:dyDescent="0.4">
      <c r="A6595" t="s">
        <v>68</v>
      </c>
      <c r="B6595" s="1">
        <v>45809</v>
      </c>
      <c r="C6595">
        <v>870840</v>
      </c>
      <c r="D6595" t="s">
        <v>176</v>
      </c>
      <c r="E6595">
        <v>22647944</v>
      </c>
      <c r="F6595">
        <v>701911</v>
      </c>
      <c r="G6595">
        <v>91437</v>
      </c>
      <c r="H6595">
        <f>_xlfn.XLOOKUP(FACT_IMPORTS[[#This Row],[hts_6]],DIM_PRODUCTS[hts_6],DIM_PRODUCTS[hts_4],,,)</f>
        <v>8708</v>
      </c>
      <c r="I6595" t="str" cm="1">
        <f t="array" ref="I6595">_xlfn.XLOOKUP(FACT_IMPORTS[[#This Row],[country_name]],DIM_COUNTRY[[#All],[Column2]],DIM_COUNTRY[[#All],[Column3]],,,)</f>
        <v>Major_Non-USMCA_Non-China</v>
      </c>
    </row>
    <row r="6596" spans="1:9" x14ac:dyDescent="0.4">
      <c r="A6596" t="s">
        <v>68</v>
      </c>
      <c r="B6596" s="1">
        <v>45809</v>
      </c>
      <c r="C6596">
        <v>870850</v>
      </c>
      <c r="D6596" t="s">
        <v>176</v>
      </c>
      <c r="E6596">
        <v>7503691</v>
      </c>
      <c r="F6596">
        <v>266303</v>
      </c>
      <c r="G6596">
        <v>84994</v>
      </c>
      <c r="H6596">
        <f>_xlfn.XLOOKUP(FACT_IMPORTS[[#This Row],[hts_6]],DIM_PRODUCTS[hts_6],DIM_PRODUCTS[hts_4],,,)</f>
        <v>8708</v>
      </c>
      <c r="I6596" t="str" cm="1">
        <f t="array" ref="I6596">_xlfn.XLOOKUP(FACT_IMPORTS[[#This Row],[country_name]],DIM_COUNTRY[[#All],[Column2]],DIM_COUNTRY[[#All],[Column3]],,,)</f>
        <v>Major_Non-USMCA_Non-China</v>
      </c>
    </row>
    <row r="6597" spans="1:9" x14ac:dyDescent="0.4">
      <c r="A6597" t="s">
        <v>68</v>
      </c>
      <c r="B6597" s="1">
        <v>45809</v>
      </c>
      <c r="C6597">
        <v>870870</v>
      </c>
      <c r="D6597" t="s">
        <v>176</v>
      </c>
      <c r="E6597">
        <v>3697</v>
      </c>
      <c r="F6597">
        <v>8</v>
      </c>
      <c r="G6597">
        <v>370</v>
      </c>
      <c r="H6597">
        <f>_xlfn.XLOOKUP(FACT_IMPORTS[[#This Row],[hts_6]],DIM_PRODUCTS[hts_6],DIM_PRODUCTS[hts_4],,,)</f>
        <v>8708</v>
      </c>
      <c r="I6597" t="str" cm="1">
        <f t="array" ref="I6597">_xlfn.XLOOKUP(FACT_IMPORTS[[#This Row],[country_name]],DIM_COUNTRY[[#All],[Column2]],DIM_COUNTRY[[#All],[Column3]],,,)</f>
        <v>Major_Non-USMCA_Non-China</v>
      </c>
    </row>
    <row r="6598" spans="1:9" x14ac:dyDescent="0.4">
      <c r="A6598" t="s">
        <v>68</v>
      </c>
      <c r="B6598" s="1">
        <v>45809</v>
      </c>
      <c r="C6598">
        <v>870880</v>
      </c>
      <c r="D6598" t="s">
        <v>176</v>
      </c>
      <c r="E6598">
        <v>1888828</v>
      </c>
      <c r="F6598">
        <v>518697</v>
      </c>
      <c r="G6598">
        <v>51734</v>
      </c>
      <c r="H6598">
        <f>_xlfn.XLOOKUP(FACT_IMPORTS[[#This Row],[hts_6]],DIM_PRODUCTS[hts_6],DIM_PRODUCTS[hts_4],,,)</f>
        <v>8708</v>
      </c>
      <c r="I6598" t="str" cm="1">
        <f t="array" ref="I6598">_xlfn.XLOOKUP(FACT_IMPORTS[[#This Row],[country_name]],DIM_COUNTRY[[#All],[Column2]],DIM_COUNTRY[[#All],[Column3]],,,)</f>
        <v>Major_Non-USMCA_Non-China</v>
      </c>
    </row>
    <row r="6599" spans="1:9" x14ac:dyDescent="0.4">
      <c r="A6599" t="s">
        <v>68</v>
      </c>
      <c r="B6599" s="1">
        <v>45809</v>
      </c>
      <c r="C6599">
        <v>870891</v>
      </c>
      <c r="D6599" t="s">
        <v>176</v>
      </c>
      <c r="E6599">
        <v>36906</v>
      </c>
      <c r="F6599">
        <v>547</v>
      </c>
      <c r="G6599">
        <v>682</v>
      </c>
      <c r="H6599">
        <f>_xlfn.XLOOKUP(FACT_IMPORTS[[#This Row],[hts_6]],DIM_PRODUCTS[hts_6],DIM_PRODUCTS[hts_4],,,)</f>
        <v>8708</v>
      </c>
      <c r="I6599" t="str" cm="1">
        <f t="array" ref="I6599">_xlfn.XLOOKUP(FACT_IMPORTS[[#This Row],[country_name]],DIM_COUNTRY[[#All],[Column2]],DIM_COUNTRY[[#All],[Column3]],,,)</f>
        <v>Major_Non-USMCA_Non-China</v>
      </c>
    </row>
    <row r="6600" spans="1:9" x14ac:dyDescent="0.4">
      <c r="A6600" t="s">
        <v>68</v>
      </c>
      <c r="B6600" s="1">
        <v>45809</v>
      </c>
      <c r="C6600">
        <v>870892</v>
      </c>
      <c r="D6600" t="s">
        <v>176</v>
      </c>
      <c r="E6600">
        <v>185352</v>
      </c>
      <c r="F6600">
        <v>55053</v>
      </c>
      <c r="G6600">
        <v>12816</v>
      </c>
      <c r="H6600">
        <f>_xlfn.XLOOKUP(FACT_IMPORTS[[#This Row],[hts_6]],DIM_PRODUCTS[hts_6],DIM_PRODUCTS[hts_4],,,)</f>
        <v>8708</v>
      </c>
      <c r="I6600" t="str" cm="1">
        <f t="array" ref="I6600">_xlfn.XLOOKUP(FACT_IMPORTS[[#This Row],[country_name]],DIM_COUNTRY[[#All],[Column2]],DIM_COUNTRY[[#All],[Column3]],,,)</f>
        <v>Major_Non-USMCA_Non-China</v>
      </c>
    </row>
    <row r="6601" spans="1:9" x14ac:dyDescent="0.4">
      <c r="A6601" t="s">
        <v>68</v>
      </c>
      <c r="B6601" s="1">
        <v>45809</v>
      </c>
      <c r="C6601">
        <v>870893</v>
      </c>
      <c r="D6601" t="s">
        <v>176</v>
      </c>
      <c r="E6601">
        <v>261026</v>
      </c>
      <c r="F6601">
        <v>1502</v>
      </c>
      <c r="G6601">
        <v>2302</v>
      </c>
      <c r="H6601">
        <f>_xlfn.XLOOKUP(FACT_IMPORTS[[#This Row],[hts_6]],DIM_PRODUCTS[hts_6],DIM_PRODUCTS[hts_4],,,)</f>
        <v>8708</v>
      </c>
      <c r="I6601" t="str" cm="1">
        <f t="array" ref="I6601">_xlfn.XLOOKUP(FACT_IMPORTS[[#This Row],[country_name]],DIM_COUNTRY[[#All],[Column2]],DIM_COUNTRY[[#All],[Column3]],,,)</f>
        <v>Major_Non-USMCA_Non-China</v>
      </c>
    </row>
    <row r="6602" spans="1:9" x14ac:dyDescent="0.4">
      <c r="A6602" t="s">
        <v>68</v>
      </c>
      <c r="B6602" s="1">
        <v>45809</v>
      </c>
      <c r="C6602">
        <v>870894</v>
      </c>
      <c r="D6602" t="s">
        <v>176</v>
      </c>
      <c r="E6602">
        <v>457923</v>
      </c>
      <c r="F6602">
        <v>1638</v>
      </c>
      <c r="G6602">
        <v>39353</v>
      </c>
      <c r="H6602">
        <f>_xlfn.XLOOKUP(FACT_IMPORTS[[#This Row],[hts_6]],DIM_PRODUCTS[hts_6],DIM_PRODUCTS[hts_4],,,)</f>
        <v>8708</v>
      </c>
      <c r="I6602" t="str" cm="1">
        <f t="array" ref="I6602">_xlfn.XLOOKUP(FACT_IMPORTS[[#This Row],[country_name]],DIM_COUNTRY[[#All],[Column2]],DIM_COUNTRY[[#All],[Column3]],,,)</f>
        <v>Major_Non-USMCA_Non-China</v>
      </c>
    </row>
    <row r="6603" spans="1:9" x14ac:dyDescent="0.4">
      <c r="A6603" t="s">
        <v>68</v>
      </c>
      <c r="B6603" s="1">
        <v>45809</v>
      </c>
      <c r="C6603">
        <v>870895</v>
      </c>
      <c r="D6603" t="s">
        <v>176</v>
      </c>
      <c r="E6603">
        <v>0</v>
      </c>
      <c r="F6603">
        <v>0</v>
      </c>
      <c r="G6603">
        <v>0</v>
      </c>
      <c r="H6603">
        <f>_xlfn.XLOOKUP(FACT_IMPORTS[[#This Row],[hts_6]],DIM_PRODUCTS[hts_6],DIM_PRODUCTS[hts_4],,,)</f>
        <v>8708</v>
      </c>
      <c r="I6603" t="str" cm="1">
        <f t="array" ref="I6603">_xlfn.XLOOKUP(FACT_IMPORTS[[#This Row],[country_name]],DIM_COUNTRY[[#All],[Column2]],DIM_COUNTRY[[#All],[Column3]],,,)</f>
        <v>Major_Non-USMCA_Non-China</v>
      </c>
    </row>
    <row r="6604" spans="1:9" x14ac:dyDescent="0.4">
      <c r="A6604" t="s">
        <v>68</v>
      </c>
      <c r="B6604" s="1">
        <v>45809</v>
      </c>
      <c r="C6604">
        <v>870899</v>
      </c>
      <c r="D6604" t="s">
        <v>176</v>
      </c>
      <c r="E6604">
        <v>2078501</v>
      </c>
      <c r="F6604">
        <v>403591</v>
      </c>
      <c r="G6604">
        <v>47107</v>
      </c>
      <c r="H6604">
        <f>_xlfn.XLOOKUP(FACT_IMPORTS[[#This Row],[hts_6]],DIM_PRODUCTS[hts_6],DIM_PRODUCTS[hts_4],,,)</f>
        <v>8708</v>
      </c>
      <c r="I6604" t="str" cm="1">
        <f t="array" ref="I6604">_xlfn.XLOOKUP(FACT_IMPORTS[[#This Row],[country_name]],DIM_COUNTRY[[#All],[Column2]],DIM_COUNTRY[[#All],[Column3]],,,)</f>
        <v>Major_Non-USMCA_Non-China</v>
      </c>
    </row>
    <row r="6605" spans="1:9" x14ac:dyDescent="0.4">
      <c r="A6605" t="s">
        <v>68</v>
      </c>
      <c r="B6605" s="1">
        <v>45809</v>
      </c>
      <c r="C6605">
        <v>940120</v>
      </c>
      <c r="D6605" t="s">
        <v>176</v>
      </c>
      <c r="E6605">
        <v>24442</v>
      </c>
      <c r="F6605">
        <v>23</v>
      </c>
      <c r="G6605">
        <v>1250</v>
      </c>
      <c r="H6605">
        <f>_xlfn.XLOOKUP(FACT_IMPORTS[[#This Row],[hts_6]],DIM_PRODUCTS[hts_6],DIM_PRODUCTS[hts_4],,,)</f>
        <v>9401</v>
      </c>
      <c r="I6605" t="str" cm="1">
        <f t="array" ref="I6605">_xlfn.XLOOKUP(FACT_IMPORTS[[#This Row],[country_name]],DIM_COUNTRY[[#All],[Column2]],DIM_COUNTRY[[#All],[Column3]],,,)</f>
        <v>Major_Non-USMCA_Non-China</v>
      </c>
    </row>
    <row r="6606" spans="1:9" x14ac:dyDescent="0.4">
      <c r="A6606" t="s">
        <v>68</v>
      </c>
      <c r="B6606" s="1">
        <v>45839</v>
      </c>
      <c r="C6606">
        <v>392630</v>
      </c>
      <c r="D6606" t="s">
        <v>176</v>
      </c>
      <c r="E6606">
        <v>98132</v>
      </c>
      <c r="F6606">
        <v>8918</v>
      </c>
      <c r="G6606">
        <v>9040</v>
      </c>
      <c r="H6606">
        <f>_xlfn.XLOOKUP(FACT_IMPORTS[[#This Row],[hts_6]],DIM_PRODUCTS[hts_6],DIM_PRODUCTS[hts_4],,,)</f>
        <v>3926</v>
      </c>
      <c r="I6606" t="str" cm="1">
        <f t="array" ref="I6606">_xlfn.XLOOKUP(FACT_IMPORTS[[#This Row],[country_name]],DIM_COUNTRY[[#All],[Column2]],DIM_COUNTRY[[#All],[Column3]],,,)</f>
        <v>Major_Non-USMCA_Non-China</v>
      </c>
    </row>
    <row r="6607" spans="1:9" x14ac:dyDescent="0.4">
      <c r="A6607" t="s">
        <v>68</v>
      </c>
      <c r="B6607" s="1">
        <v>45839</v>
      </c>
      <c r="C6607">
        <v>401110</v>
      </c>
      <c r="D6607" t="s">
        <v>176</v>
      </c>
      <c r="E6607">
        <v>70937</v>
      </c>
      <c r="F6607">
        <v>361</v>
      </c>
      <c r="G6607">
        <v>1386</v>
      </c>
      <c r="H6607">
        <f>_xlfn.XLOOKUP(FACT_IMPORTS[[#This Row],[hts_6]],DIM_PRODUCTS[hts_6],DIM_PRODUCTS[hts_4],,,)</f>
        <v>4011</v>
      </c>
      <c r="I6607" t="str" cm="1">
        <f t="array" ref="I6607">_xlfn.XLOOKUP(FACT_IMPORTS[[#This Row],[country_name]],DIM_COUNTRY[[#All],[Column2]],DIM_COUNTRY[[#All],[Column3]],,,)</f>
        <v>Major_Non-USMCA_Non-China</v>
      </c>
    </row>
    <row r="6608" spans="1:9" x14ac:dyDescent="0.4">
      <c r="A6608" t="s">
        <v>68</v>
      </c>
      <c r="B6608" s="1">
        <v>45839</v>
      </c>
      <c r="C6608">
        <v>401120</v>
      </c>
      <c r="D6608" t="s">
        <v>176</v>
      </c>
      <c r="E6608">
        <v>0</v>
      </c>
      <c r="F6608">
        <v>0</v>
      </c>
      <c r="G6608">
        <v>0</v>
      </c>
      <c r="H6608">
        <f>_xlfn.XLOOKUP(FACT_IMPORTS[[#This Row],[hts_6]],DIM_PRODUCTS[hts_6],DIM_PRODUCTS[hts_4],,,)</f>
        <v>4011</v>
      </c>
      <c r="I6608" t="str" cm="1">
        <f t="array" ref="I6608">_xlfn.XLOOKUP(FACT_IMPORTS[[#This Row],[country_name]],DIM_COUNTRY[[#All],[Column2]],DIM_COUNTRY[[#All],[Column3]],,,)</f>
        <v>Major_Non-USMCA_Non-China</v>
      </c>
    </row>
    <row r="6609" spans="1:9" x14ac:dyDescent="0.4">
      <c r="A6609" t="s">
        <v>68</v>
      </c>
      <c r="B6609" s="1">
        <v>45839</v>
      </c>
      <c r="C6609">
        <v>401190</v>
      </c>
      <c r="D6609" t="s">
        <v>176</v>
      </c>
      <c r="E6609">
        <v>0</v>
      </c>
      <c r="F6609">
        <v>0</v>
      </c>
      <c r="G6609">
        <v>0</v>
      </c>
      <c r="H6609">
        <f>_xlfn.XLOOKUP(FACT_IMPORTS[[#This Row],[hts_6]],DIM_PRODUCTS[hts_6],DIM_PRODUCTS[hts_4],,,)</f>
        <v>4011</v>
      </c>
      <c r="I6609" t="str" cm="1">
        <f t="array" ref="I6609">_xlfn.XLOOKUP(FACT_IMPORTS[[#This Row],[country_name]],DIM_COUNTRY[[#All],[Column2]],DIM_COUNTRY[[#All],[Column3]],,,)</f>
        <v>Major_Non-USMCA_Non-China</v>
      </c>
    </row>
    <row r="6610" spans="1:9" x14ac:dyDescent="0.4">
      <c r="A6610" t="s">
        <v>68</v>
      </c>
      <c r="B6610" s="1">
        <v>45839</v>
      </c>
      <c r="C6610">
        <v>700711</v>
      </c>
      <c r="D6610" t="s">
        <v>176</v>
      </c>
      <c r="E6610">
        <v>0</v>
      </c>
      <c r="F6610">
        <v>0</v>
      </c>
      <c r="G6610">
        <v>0</v>
      </c>
      <c r="H6610">
        <f>_xlfn.XLOOKUP(FACT_IMPORTS[[#This Row],[hts_6]],DIM_PRODUCTS[hts_6],DIM_PRODUCTS[hts_4],,,)</f>
        <v>7007</v>
      </c>
      <c r="I6610" t="str" cm="1">
        <f t="array" ref="I6610">_xlfn.XLOOKUP(FACT_IMPORTS[[#This Row],[country_name]],DIM_COUNTRY[[#All],[Column2]],DIM_COUNTRY[[#All],[Column3]],,,)</f>
        <v>Major_Non-USMCA_Non-China</v>
      </c>
    </row>
    <row r="6611" spans="1:9" x14ac:dyDescent="0.4">
      <c r="A6611" t="s">
        <v>68</v>
      </c>
      <c r="B6611" s="1">
        <v>45839</v>
      </c>
      <c r="C6611">
        <v>700721</v>
      </c>
      <c r="D6611" t="s">
        <v>176</v>
      </c>
      <c r="E6611">
        <v>0</v>
      </c>
      <c r="F6611">
        <v>0</v>
      </c>
      <c r="G6611">
        <v>0</v>
      </c>
      <c r="H6611">
        <f>_xlfn.XLOOKUP(FACT_IMPORTS[[#This Row],[hts_6]],DIM_PRODUCTS[hts_6],DIM_PRODUCTS[hts_4],,,)</f>
        <v>7007</v>
      </c>
      <c r="I6611" t="str" cm="1">
        <f t="array" ref="I6611">_xlfn.XLOOKUP(FACT_IMPORTS[[#This Row],[country_name]],DIM_COUNTRY[[#All],[Column2]],DIM_COUNTRY[[#All],[Column3]],,,)</f>
        <v>Major_Non-USMCA_Non-China</v>
      </c>
    </row>
    <row r="6612" spans="1:9" x14ac:dyDescent="0.4">
      <c r="A6612" t="s">
        <v>68</v>
      </c>
      <c r="B6612" s="1">
        <v>45839</v>
      </c>
      <c r="C6612">
        <v>700910</v>
      </c>
      <c r="D6612" t="s">
        <v>176</v>
      </c>
      <c r="E6612">
        <v>0</v>
      </c>
      <c r="F6612">
        <v>0</v>
      </c>
      <c r="G6612">
        <v>0</v>
      </c>
      <c r="H6612">
        <f>_xlfn.XLOOKUP(FACT_IMPORTS[[#This Row],[hts_6]],DIM_PRODUCTS[hts_6],DIM_PRODUCTS[hts_4],,,)</f>
        <v>7009</v>
      </c>
      <c r="I6612" t="str" cm="1">
        <f t="array" ref="I6612">_xlfn.XLOOKUP(FACT_IMPORTS[[#This Row],[country_name]],DIM_COUNTRY[[#All],[Column2]],DIM_COUNTRY[[#All],[Column3]],,,)</f>
        <v>Major_Non-USMCA_Non-China</v>
      </c>
    </row>
    <row r="6613" spans="1:9" x14ac:dyDescent="0.4">
      <c r="A6613" t="s">
        <v>68</v>
      </c>
      <c r="B6613" s="1">
        <v>45839</v>
      </c>
      <c r="C6613">
        <v>732010</v>
      </c>
      <c r="D6613" t="s">
        <v>176</v>
      </c>
      <c r="E6613">
        <v>16056</v>
      </c>
      <c r="F6613">
        <v>458</v>
      </c>
      <c r="G6613">
        <v>2000</v>
      </c>
      <c r="H6613">
        <f>_xlfn.XLOOKUP(FACT_IMPORTS[[#This Row],[hts_6]],DIM_PRODUCTS[hts_6],DIM_PRODUCTS[hts_4],,,)</f>
        <v>7320</v>
      </c>
      <c r="I6613" t="str" cm="1">
        <f t="array" ref="I6613">_xlfn.XLOOKUP(FACT_IMPORTS[[#This Row],[country_name]],DIM_COUNTRY[[#All],[Column2]],DIM_COUNTRY[[#All],[Column3]],,,)</f>
        <v>Major_Non-USMCA_Non-China</v>
      </c>
    </row>
    <row r="6614" spans="1:9" x14ac:dyDescent="0.4">
      <c r="A6614" t="s">
        <v>68</v>
      </c>
      <c r="B6614" s="1">
        <v>45839</v>
      </c>
      <c r="C6614">
        <v>830230</v>
      </c>
      <c r="D6614" t="s">
        <v>176</v>
      </c>
      <c r="E6614">
        <v>355002</v>
      </c>
      <c r="F6614">
        <v>94893</v>
      </c>
      <c r="G6614">
        <v>26065</v>
      </c>
      <c r="H6614">
        <f>_xlfn.XLOOKUP(FACT_IMPORTS[[#This Row],[hts_6]],DIM_PRODUCTS[hts_6],DIM_PRODUCTS[hts_4],,,)</f>
        <v>8302</v>
      </c>
      <c r="I6614" t="str" cm="1">
        <f t="array" ref="I6614">_xlfn.XLOOKUP(FACT_IMPORTS[[#This Row],[country_name]],DIM_COUNTRY[[#All],[Column2]],DIM_COUNTRY[[#All],[Column3]],,,)</f>
        <v>Major_Non-USMCA_Non-China</v>
      </c>
    </row>
    <row r="6615" spans="1:9" x14ac:dyDescent="0.4">
      <c r="A6615" t="s">
        <v>68</v>
      </c>
      <c r="B6615" s="1">
        <v>45839</v>
      </c>
      <c r="C6615">
        <v>840734</v>
      </c>
      <c r="D6615" t="s">
        <v>176</v>
      </c>
      <c r="E6615">
        <v>8300</v>
      </c>
      <c r="F6615">
        <v>2</v>
      </c>
      <c r="G6615">
        <v>169</v>
      </c>
      <c r="H6615">
        <f>_xlfn.XLOOKUP(FACT_IMPORTS[[#This Row],[hts_6]],DIM_PRODUCTS[hts_6],DIM_PRODUCTS[hts_4],,,)</f>
        <v>8407</v>
      </c>
      <c r="I6615" t="str" cm="1">
        <f t="array" ref="I6615">_xlfn.XLOOKUP(FACT_IMPORTS[[#This Row],[country_name]],DIM_COUNTRY[[#All],[Column2]],DIM_COUNTRY[[#All],[Column3]],,,)</f>
        <v>Major_Non-USMCA_Non-China</v>
      </c>
    </row>
    <row r="6616" spans="1:9" x14ac:dyDescent="0.4">
      <c r="A6616" t="s">
        <v>68</v>
      </c>
      <c r="B6616" s="1">
        <v>45839</v>
      </c>
      <c r="C6616">
        <v>840820</v>
      </c>
      <c r="D6616" t="s">
        <v>176</v>
      </c>
      <c r="E6616">
        <v>0</v>
      </c>
      <c r="F6616">
        <v>0</v>
      </c>
      <c r="G6616">
        <v>0</v>
      </c>
      <c r="H6616">
        <f>_xlfn.XLOOKUP(FACT_IMPORTS[[#This Row],[hts_6]],DIM_PRODUCTS[hts_6],DIM_PRODUCTS[hts_4],,,)</f>
        <v>8408</v>
      </c>
      <c r="I6616" t="str" cm="1">
        <f t="array" ref="I6616">_xlfn.XLOOKUP(FACT_IMPORTS[[#This Row],[country_name]],DIM_COUNTRY[[#All],[Column2]],DIM_COUNTRY[[#All],[Column3]],,,)</f>
        <v>Major_Non-USMCA_Non-China</v>
      </c>
    </row>
    <row r="6617" spans="1:9" x14ac:dyDescent="0.4">
      <c r="A6617" t="s">
        <v>68</v>
      </c>
      <c r="B6617" s="1">
        <v>45839</v>
      </c>
      <c r="C6617">
        <v>840890</v>
      </c>
      <c r="D6617" t="s">
        <v>176</v>
      </c>
      <c r="E6617">
        <v>0</v>
      </c>
      <c r="F6617">
        <v>0</v>
      </c>
      <c r="G6617">
        <v>0</v>
      </c>
      <c r="H6617">
        <f>_xlfn.XLOOKUP(FACT_IMPORTS[[#This Row],[hts_6]],DIM_PRODUCTS[hts_6],DIM_PRODUCTS[hts_4],,,)</f>
        <v>8408</v>
      </c>
      <c r="I6617" t="str" cm="1">
        <f t="array" ref="I6617">_xlfn.XLOOKUP(FACT_IMPORTS[[#This Row],[country_name]],DIM_COUNTRY[[#All],[Column2]],DIM_COUNTRY[[#All],[Column3]],,,)</f>
        <v>Major_Non-USMCA_Non-China</v>
      </c>
    </row>
    <row r="6618" spans="1:9" x14ac:dyDescent="0.4">
      <c r="A6618" t="s">
        <v>68</v>
      </c>
      <c r="B6618" s="1">
        <v>45839</v>
      </c>
      <c r="C6618">
        <v>840991</v>
      </c>
      <c r="D6618" t="s">
        <v>176</v>
      </c>
      <c r="E6618">
        <v>1100276</v>
      </c>
      <c r="F6618">
        <v>149478</v>
      </c>
      <c r="G6618">
        <v>35800</v>
      </c>
      <c r="H6618">
        <f>_xlfn.XLOOKUP(FACT_IMPORTS[[#This Row],[hts_6]],DIM_PRODUCTS[hts_6],DIM_PRODUCTS[hts_4],,,)</f>
        <v>8409</v>
      </c>
      <c r="I6618" t="str" cm="1">
        <f t="array" ref="I6618">_xlfn.XLOOKUP(FACT_IMPORTS[[#This Row],[country_name]],DIM_COUNTRY[[#All],[Column2]],DIM_COUNTRY[[#All],[Column3]],,,)</f>
        <v>Major_Non-USMCA_Non-China</v>
      </c>
    </row>
    <row r="6619" spans="1:9" x14ac:dyDescent="0.4">
      <c r="A6619" t="s">
        <v>68</v>
      </c>
      <c r="B6619" s="1">
        <v>45839</v>
      </c>
      <c r="C6619">
        <v>840999</v>
      </c>
      <c r="D6619" t="s">
        <v>176</v>
      </c>
      <c r="E6619">
        <v>16639711</v>
      </c>
      <c r="F6619">
        <v>2048774</v>
      </c>
      <c r="G6619">
        <v>340890</v>
      </c>
      <c r="H6619">
        <f>_xlfn.XLOOKUP(FACT_IMPORTS[[#This Row],[hts_6]],DIM_PRODUCTS[hts_6],DIM_PRODUCTS[hts_4],,,)</f>
        <v>8409</v>
      </c>
      <c r="I6619" t="str" cm="1">
        <f t="array" ref="I6619">_xlfn.XLOOKUP(FACT_IMPORTS[[#This Row],[country_name]],DIM_COUNTRY[[#All],[Column2]],DIM_COUNTRY[[#All],[Column3]],,,)</f>
        <v>Major_Non-USMCA_Non-China</v>
      </c>
    </row>
    <row r="6620" spans="1:9" x14ac:dyDescent="0.4">
      <c r="A6620" t="s">
        <v>68</v>
      </c>
      <c r="B6620" s="1">
        <v>45839</v>
      </c>
      <c r="C6620">
        <v>841330</v>
      </c>
      <c r="D6620" t="s">
        <v>176</v>
      </c>
      <c r="E6620">
        <v>7389996</v>
      </c>
      <c r="F6620">
        <v>56557</v>
      </c>
      <c r="G6620">
        <v>34682</v>
      </c>
      <c r="H6620">
        <f>_xlfn.XLOOKUP(FACT_IMPORTS[[#This Row],[hts_6]],DIM_PRODUCTS[hts_6],DIM_PRODUCTS[hts_4],,,)</f>
        <v>8413</v>
      </c>
      <c r="I6620" t="str" cm="1">
        <f t="array" ref="I6620">_xlfn.XLOOKUP(FACT_IMPORTS[[#This Row],[country_name]],DIM_COUNTRY[[#All],[Column2]],DIM_COUNTRY[[#All],[Column3]],,,)</f>
        <v>Major_Non-USMCA_Non-China</v>
      </c>
    </row>
    <row r="6621" spans="1:9" x14ac:dyDescent="0.4">
      <c r="A6621" t="s">
        <v>68</v>
      </c>
      <c r="B6621" s="1">
        <v>45839</v>
      </c>
      <c r="C6621">
        <v>841520</v>
      </c>
      <c r="D6621" t="s">
        <v>176</v>
      </c>
      <c r="E6621">
        <v>0</v>
      </c>
      <c r="F6621">
        <v>0</v>
      </c>
      <c r="G6621">
        <v>0</v>
      </c>
      <c r="H6621">
        <f>_xlfn.XLOOKUP(FACT_IMPORTS[[#This Row],[hts_6]],DIM_PRODUCTS[hts_6],DIM_PRODUCTS[hts_4],,,)</f>
        <v>8415</v>
      </c>
      <c r="I6621" t="str" cm="1">
        <f t="array" ref="I6621">_xlfn.XLOOKUP(FACT_IMPORTS[[#This Row],[country_name]],DIM_COUNTRY[[#All],[Column2]],DIM_COUNTRY[[#All],[Column3]],,,)</f>
        <v>Major_Non-USMCA_Non-China</v>
      </c>
    </row>
    <row r="6622" spans="1:9" x14ac:dyDescent="0.4">
      <c r="A6622" t="s">
        <v>68</v>
      </c>
      <c r="B6622" s="1">
        <v>45839</v>
      </c>
      <c r="C6622">
        <v>842132</v>
      </c>
      <c r="D6622" t="s">
        <v>176</v>
      </c>
      <c r="E6622">
        <v>311455</v>
      </c>
      <c r="F6622">
        <v>392</v>
      </c>
      <c r="G6622">
        <v>1063</v>
      </c>
      <c r="H6622">
        <f>_xlfn.XLOOKUP(FACT_IMPORTS[[#This Row],[hts_6]],DIM_PRODUCTS[hts_6],DIM_PRODUCTS[hts_4],,,)</f>
        <v>8421</v>
      </c>
      <c r="I6622" t="str" cm="1">
        <f t="array" ref="I6622">_xlfn.XLOOKUP(FACT_IMPORTS[[#This Row],[country_name]],DIM_COUNTRY[[#All],[Column2]],DIM_COUNTRY[[#All],[Column3]],,,)</f>
        <v>Major_Non-USMCA_Non-China</v>
      </c>
    </row>
    <row r="6623" spans="1:9" x14ac:dyDescent="0.4">
      <c r="A6623" t="s">
        <v>68</v>
      </c>
      <c r="B6623" s="1">
        <v>45839</v>
      </c>
      <c r="C6623">
        <v>848210</v>
      </c>
      <c r="D6623" t="s">
        <v>176</v>
      </c>
      <c r="E6623">
        <v>498391</v>
      </c>
      <c r="F6623">
        <v>5124</v>
      </c>
      <c r="G6623">
        <v>26345</v>
      </c>
      <c r="H6623">
        <f>_xlfn.XLOOKUP(FACT_IMPORTS[[#This Row],[hts_6]],DIM_PRODUCTS[hts_6],DIM_PRODUCTS[hts_4],,,)</f>
        <v>8482</v>
      </c>
      <c r="I6623" t="str" cm="1">
        <f t="array" ref="I6623">_xlfn.XLOOKUP(FACT_IMPORTS[[#This Row],[country_name]],DIM_COUNTRY[[#All],[Column2]],DIM_COUNTRY[[#All],[Column3]],,,)</f>
        <v>Major_Non-USMCA_Non-China</v>
      </c>
    </row>
    <row r="6624" spans="1:9" x14ac:dyDescent="0.4">
      <c r="A6624" t="s">
        <v>68</v>
      </c>
      <c r="B6624" s="1">
        <v>45839</v>
      </c>
      <c r="C6624">
        <v>848220</v>
      </c>
      <c r="D6624" t="s">
        <v>176</v>
      </c>
      <c r="E6624">
        <v>1156936</v>
      </c>
      <c r="F6624">
        <v>8627</v>
      </c>
      <c r="G6624">
        <v>4046</v>
      </c>
      <c r="H6624">
        <f>_xlfn.XLOOKUP(FACT_IMPORTS[[#This Row],[hts_6]],DIM_PRODUCTS[hts_6],DIM_PRODUCTS[hts_4],,,)</f>
        <v>8482</v>
      </c>
      <c r="I6624" t="str" cm="1">
        <f t="array" ref="I6624">_xlfn.XLOOKUP(FACT_IMPORTS[[#This Row],[country_name]],DIM_COUNTRY[[#All],[Column2]],DIM_COUNTRY[[#All],[Column3]],,,)</f>
        <v>Major_Non-USMCA_Non-China</v>
      </c>
    </row>
    <row r="6625" spans="1:9" x14ac:dyDescent="0.4">
      <c r="A6625" t="s">
        <v>68</v>
      </c>
      <c r="B6625" s="1">
        <v>45839</v>
      </c>
      <c r="C6625">
        <v>848310</v>
      </c>
      <c r="D6625" t="s">
        <v>176</v>
      </c>
      <c r="E6625">
        <v>4353272</v>
      </c>
      <c r="F6625">
        <v>18323</v>
      </c>
      <c r="G6625">
        <v>97859</v>
      </c>
      <c r="H6625">
        <f>_xlfn.XLOOKUP(FACT_IMPORTS[[#This Row],[hts_6]],DIM_PRODUCTS[hts_6],DIM_PRODUCTS[hts_4],,,)</f>
        <v>8483</v>
      </c>
      <c r="I6625" t="str" cm="1">
        <f t="array" ref="I6625">_xlfn.XLOOKUP(FACT_IMPORTS[[#This Row],[country_name]],DIM_COUNTRY[[#All],[Column2]],DIM_COUNTRY[[#All],[Column3]],,,)</f>
        <v>Major_Non-USMCA_Non-China</v>
      </c>
    </row>
    <row r="6626" spans="1:9" x14ac:dyDescent="0.4">
      <c r="A6626" t="s">
        <v>68</v>
      </c>
      <c r="B6626" s="1">
        <v>45839</v>
      </c>
      <c r="C6626">
        <v>850131</v>
      </c>
      <c r="D6626" t="s">
        <v>176</v>
      </c>
      <c r="E6626">
        <v>139602</v>
      </c>
      <c r="F6626">
        <v>1616</v>
      </c>
      <c r="G6626">
        <v>1864</v>
      </c>
      <c r="H6626">
        <f>_xlfn.XLOOKUP(FACT_IMPORTS[[#This Row],[hts_6]],DIM_PRODUCTS[hts_6],DIM_PRODUCTS[hts_4],,,)</f>
        <v>8501</v>
      </c>
      <c r="I6626" t="str" cm="1">
        <f t="array" ref="I6626">_xlfn.XLOOKUP(FACT_IMPORTS[[#This Row],[country_name]],DIM_COUNTRY[[#All],[Column2]],DIM_COUNTRY[[#All],[Column3]],,,)</f>
        <v>Major_Non-USMCA_Non-China</v>
      </c>
    </row>
    <row r="6627" spans="1:9" x14ac:dyDescent="0.4">
      <c r="A6627" t="s">
        <v>68</v>
      </c>
      <c r="B6627" s="1">
        <v>45839</v>
      </c>
      <c r="C6627">
        <v>850132</v>
      </c>
      <c r="D6627" t="s">
        <v>176</v>
      </c>
      <c r="E6627">
        <v>110395</v>
      </c>
      <c r="F6627">
        <v>22</v>
      </c>
      <c r="G6627">
        <v>925</v>
      </c>
      <c r="H6627">
        <f>_xlfn.XLOOKUP(FACT_IMPORTS[[#This Row],[hts_6]],DIM_PRODUCTS[hts_6],DIM_PRODUCTS[hts_4],,,)</f>
        <v>8501</v>
      </c>
      <c r="I6627" t="str" cm="1">
        <f t="array" ref="I6627">_xlfn.XLOOKUP(FACT_IMPORTS[[#This Row],[country_name]],DIM_COUNTRY[[#All],[Column2]],DIM_COUNTRY[[#All],[Column3]],,,)</f>
        <v>Major_Non-USMCA_Non-China</v>
      </c>
    </row>
    <row r="6628" spans="1:9" x14ac:dyDescent="0.4">
      <c r="A6628" t="s">
        <v>68</v>
      </c>
      <c r="B6628" s="1">
        <v>45839</v>
      </c>
      <c r="C6628">
        <v>850133</v>
      </c>
      <c r="D6628" t="s">
        <v>176</v>
      </c>
      <c r="E6628">
        <v>9350</v>
      </c>
      <c r="F6628">
        <v>1</v>
      </c>
      <c r="G6628">
        <v>160</v>
      </c>
      <c r="H6628">
        <f>_xlfn.XLOOKUP(FACT_IMPORTS[[#This Row],[hts_6]],DIM_PRODUCTS[hts_6],DIM_PRODUCTS[hts_4],,,)</f>
        <v>8501</v>
      </c>
      <c r="I6628" t="str" cm="1">
        <f t="array" ref="I6628">_xlfn.XLOOKUP(FACT_IMPORTS[[#This Row],[country_name]],DIM_COUNTRY[[#All],[Column2]],DIM_COUNTRY[[#All],[Column3]],,,)</f>
        <v>Major_Non-USMCA_Non-China</v>
      </c>
    </row>
    <row r="6629" spans="1:9" x14ac:dyDescent="0.4">
      <c r="A6629" t="s">
        <v>68</v>
      </c>
      <c r="B6629" s="1">
        <v>45839</v>
      </c>
      <c r="C6629">
        <v>850134</v>
      </c>
      <c r="D6629" t="s">
        <v>176</v>
      </c>
      <c r="E6629">
        <v>7342</v>
      </c>
      <c r="F6629">
        <v>1</v>
      </c>
      <c r="G6629">
        <v>587</v>
      </c>
      <c r="H6629">
        <f>_xlfn.XLOOKUP(FACT_IMPORTS[[#This Row],[hts_6]],DIM_PRODUCTS[hts_6],DIM_PRODUCTS[hts_4],,,)</f>
        <v>8501</v>
      </c>
      <c r="I6629" t="str" cm="1">
        <f t="array" ref="I6629">_xlfn.XLOOKUP(FACT_IMPORTS[[#This Row],[country_name]],DIM_COUNTRY[[#All],[Column2]],DIM_COUNTRY[[#All],[Column3]],,,)</f>
        <v>Major_Non-USMCA_Non-China</v>
      </c>
    </row>
    <row r="6630" spans="1:9" x14ac:dyDescent="0.4">
      <c r="A6630" t="s">
        <v>68</v>
      </c>
      <c r="B6630" s="1">
        <v>45839</v>
      </c>
      <c r="C6630">
        <v>850152</v>
      </c>
      <c r="D6630" t="s">
        <v>176</v>
      </c>
      <c r="E6630">
        <v>824786</v>
      </c>
      <c r="F6630">
        <v>377</v>
      </c>
      <c r="G6630">
        <v>39277</v>
      </c>
      <c r="H6630">
        <f>_xlfn.XLOOKUP(FACT_IMPORTS[[#This Row],[hts_6]],DIM_PRODUCTS[hts_6],DIM_PRODUCTS[hts_4],,,)</f>
        <v>8501</v>
      </c>
      <c r="I6630" t="str" cm="1">
        <f t="array" ref="I6630">_xlfn.XLOOKUP(FACT_IMPORTS[[#This Row],[country_name]],DIM_COUNTRY[[#All],[Column2]],DIM_COUNTRY[[#All],[Column3]],,,)</f>
        <v>Major_Non-USMCA_Non-China</v>
      </c>
    </row>
    <row r="6631" spans="1:9" x14ac:dyDescent="0.4">
      <c r="A6631" t="s">
        <v>68</v>
      </c>
      <c r="B6631" s="1">
        <v>45839</v>
      </c>
      <c r="C6631">
        <v>850153</v>
      </c>
      <c r="D6631" t="s">
        <v>176</v>
      </c>
      <c r="E6631">
        <v>187522</v>
      </c>
      <c r="F6631">
        <v>24</v>
      </c>
      <c r="G6631">
        <v>1118</v>
      </c>
      <c r="H6631">
        <f>_xlfn.XLOOKUP(FACT_IMPORTS[[#This Row],[hts_6]],DIM_PRODUCTS[hts_6],DIM_PRODUCTS[hts_4],,,)</f>
        <v>8501</v>
      </c>
      <c r="I6631" t="str" cm="1">
        <f t="array" ref="I6631">_xlfn.XLOOKUP(FACT_IMPORTS[[#This Row],[country_name]],DIM_COUNTRY[[#All],[Column2]],DIM_COUNTRY[[#All],[Column3]],,,)</f>
        <v>Major_Non-USMCA_Non-China</v>
      </c>
    </row>
    <row r="6632" spans="1:9" x14ac:dyDescent="0.4">
      <c r="A6632" t="s">
        <v>68</v>
      </c>
      <c r="B6632" s="1">
        <v>45839</v>
      </c>
      <c r="C6632">
        <v>850161</v>
      </c>
      <c r="D6632" t="s">
        <v>176</v>
      </c>
      <c r="E6632">
        <v>0</v>
      </c>
      <c r="F6632">
        <v>0</v>
      </c>
      <c r="G6632">
        <v>0</v>
      </c>
      <c r="H6632">
        <f>_xlfn.XLOOKUP(FACT_IMPORTS[[#This Row],[hts_6]],DIM_PRODUCTS[hts_6],DIM_PRODUCTS[hts_4],,,)</f>
        <v>8501</v>
      </c>
      <c r="I6632" t="str" cm="1">
        <f t="array" ref="I6632">_xlfn.XLOOKUP(FACT_IMPORTS[[#This Row],[country_name]],DIM_COUNTRY[[#All],[Column2]],DIM_COUNTRY[[#All],[Column3]],,,)</f>
        <v>Major_Non-USMCA_Non-China</v>
      </c>
    </row>
    <row r="6633" spans="1:9" x14ac:dyDescent="0.4">
      <c r="A6633" t="s">
        <v>68</v>
      </c>
      <c r="B6633" s="1">
        <v>45839</v>
      </c>
      <c r="C6633">
        <v>850440</v>
      </c>
      <c r="D6633" t="s">
        <v>176</v>
      </c>
      <c r="E6633">
        <v>903964</v>
      </c>
      <c r="F6633">
        <v>1022</v>
      </c>
      <c r="G6633">
        <v>12010</v>
      </c>
      <c r="H6633">
        <f>_xlfn.XLOOKUP(FACT_IMPORTS[[#This Row],[hts_6]],DIM_PRODUCTS[hts_6],DIM_PRODUCTS[hts_4],,,)</f>
        <v>8504</v>
      </c>
      <c r="I6633" t="str" cm="1">
        <f t="array" ref="I6633">_xlfn.XLOOKUP(FACT_IMPORTS[[#This Row],[country_name]],DIM_COUNTRY[[#All],[Column2]],DIM_COUNTRY[[#All],[Column3]],,,)</f>
        <v>Major_Non-USMCA_Non-China</v>
      </c>
    </row>
    <row r="6634" spans="1:9" x14ac:dyDescent="0.4">
      <c r="A6634" t="s">
        <v>68</v>
      </c>
      <c r="B6634" s="1">
        <v>45839</v>
      </c>
      <c r="C6634">
        <v>850710</v>
      </c>
      <c r="D6634" t="s">
        <v>176</v>
      </c>
      <c r="E6634">
        <v>0</v>
      </c>
      <c r="F6634">
        <v>0</v>
      </c>
      <c r="G6634">
        <v>0</v>
      </c>
      <c r="H6634">
        <f>_xlfn.XLOOKUP(FACT_IMPORTS[[#This Row],[hts_6]],DIM_PRODUCTS[hts_6],DIM_PRODUCTS[hts_4],,,)</f>
        <v>8507</v>
      </c>
      <c r="I6634" t="str" cm="1">
        <f t="array" ref="I6634">_xlfn.XLOOKUP(FACT_IMPORTS[[#This Row],[country_name]],DIM_COUNTRY[[#All],[Column2]],DIM_COUNTRY[[#All],[Column3]],,,)</f>
        <v>Major_Non-USMCA_Non-China</v>
      </c>
    </row>
    <row r="6635" spans="1:9" x14ac:dyDescent="0.4">
      <c r="A6635" t="s">
        <v>68</v>
      </c>
      <c r="B6635" s="1">
        <v>45839</v>
      </c>
      <c r="C6635">
        <v>850760</v>
      </c>
      <c r="D6635" t="s">
        <v>176</v>
      </c>
      <c r="E6635">
        <v>377486</v>
      </c>
      <c r="F6635">
        <v>337</v>
      </c>
      <c r="G6635">
        <v>6331</v>
      </c>
      <c r="H6635">
        <f>_xlfn.XLOOKUP(FACT_IMPORTS[[#This Row],[hts_6]],DIM_PRODUCTS[hts_6],DIM_PRODUCTS[hts_4],,,)</f>
        <v>8507</v>
      </c>
      <c r="I6635" t="str" cm="1">
        <f t="array" ref="I6635">_xlfn.XLOOKUP(FACT_IMPORTS[[#This Row],[country_name]],DIM_COUNTRY[[#All],[Column2]],DIM_COUNTRY[[#All],[Column3]],,,)</f>
        <v>Major_Non-USMCA_Non-China</v>
      </c>
    </row>
    <row r="6636" spans="1:9" x14ac:dyDescent="0.4">
      <c r="A6636" t="s">
        <v>68</v>
      </c>
      <c r="B6636" s="1">
        <v>45839</v>
      </c>
      <c r="C6636">
        <v>850790</v>
      </c>
      <c r="D6636" t="s">
        <v>176</v>
      </c>
      <c r="E6636">
        <v>33994</v>
      </c>
      <c r="F6636">
        <v>910</v>
      </c>
      <c r="G6636">
        <v>969</v>
      </c>
      <c r="H6636">
        <f>_xlfn.XLOOKUP(FACT_IMPORTS[[#This Row],[hts_6]],DIM_PRODUCTS[hts_6],DIM_PRODUCTS[hts_4],,,)</f>
        <v>8507</v>
      </c>
      <c r="I6636" t="str" cm="1">
        <f t="array" ref="I6636">_xlfn.XLOOKUP(FACT_IMPORTS[[#This Row],[country_name]],DIM_COUNTRY[[#All],[Column2]],DIM_COUNTRY[[#All],[Column3]],,,)</f>
        <v>Major_Non-USMCA_Non-China</v>
      </c>
    </row>
    <row r="6637" spans="1:9" x14ac:dyDescent="0.4">
      <c r="A6637" t="s">
        <v>68</v>
      </c>
      <c r="B6637" s="1">
        <v>45839</v>
      </c>
      <c r="C6637">
        <v>851110</v>
      </c>
      <c r="D6637" t="s">
        <v>176</v>
      </c>
      <c r="E6637">
        <v>251037</v>
      </c>
      <c r="F6637">
        <v>1289</v>
      </c>
      <c r="G6637">
        <v>1398</v>
      </c>
      <c r="H6637">
        <f>_xlfn.XLOOKUP(FACT_IMPORTS[[#This Row],[hts_6]],DIM_PRODUCTS[hts_6],DIM_PRODUCTS[hts_4],,,)</f>
        <v>8511</v>
      </c>
      <c r="I6637" t="str" cm="1">
        <f t="array" ref="I6637">_xlfn.XLOOKUP(FACT_IMPORTS[[#This Row],[country_name]],DIM_COUNTRY[[#All],[Column2]],DIM_COUNTRY[[#All],[Column3]],,,)</f>
        <v>Major_Non-USMCA_Non-China</v>
      </c>
    </row>
    <row r="6638" spans="1:9" x14ac:dyDescent="0.4">
      <c r="A6638" t="s">
        <v>68</v>
      </c>
      <c r="B6638" s="1">
        <v>45839</v>
      </c>
      <c r="C6638">
        <v>851130</v>
      </c>
      <c r="D6638" t="s">
        <v>176</v>
      </c>
      <c r="E6638">
        <v>9504</v>
      </c>
      <c r="F6638">
        <v>284</v>
      </c>
      <c r="G6638">
        <v>59</v>
      </c>
      <c r="H6638">
        <f>_xlfn.XLOOKUP(FACT_IMPORTS[[#This Row],[hts_6]],DIM_PRODUCTS[hts_6],DIM_PRODUCTS[hts_4],,,)</f>
        <v>8511</v>
      </c>
      <c r="I6638" t="str" cm="1">
        <f t="array" ref="I6638">_xlfn.XLOOKUP(FACT_IMPORTS[[#This Row],[country_name]],DIM_COUNTRY[[#All],[Column2]],DIM_COUNTRY[[#All],[Column3]],,,)</f>
        <v>Major_Non-USMCA_Non-China</v>
      </c>
    </row>
    <row r="6639" spans="1:9" x14ac:dyDescent="0.4">
      <c r="A6639" t="s">
        <v>68</v>
      </c>
      <c r="B6639" s="1">
        <v>45839</v>
      </c>
      <c r="C6639">
        <v>851140</v>
      </c>
      <c r="D6639" t="s">
        <v>176</v>
      </c>
      <c r="E6639">
        <v>0</v>
      </c>
      <c r="F6639">
        <v>0</v>
      </c>
      <c r="G6639">
        <v>0</v>
      </c>
      <c r="H6639">
        <f>_xlfn.XLOOKUP(FACT_IMPORTS[[#This Row],[hts_6]],DIM_PRODUCTS[hts_6],DIM_PRODUCTS[hts_4],,,)</f>
        <v>8511</v>
      </c>
      <c r="I6639" t="str" cm="1">
        <f t="array" ref="I6639">_xlfn.XLOOKUP(FACT_IMPORTS[[#This Row],[country_name]],DIM_COUNTRY[[#All],[Column2]],DIM_COUNTRY[[#All],[Column3]],,,)</f>
        <v>Major_Non-USMCA_Non-China</v>
      </c>
    </row>
    <row r="6640" spans="1:9" x14ac:dyDescent="0.4">
      <c r="A6640" t="s">
        <v>68</v>
      </c>
      <c r="B6640" s="1">
        <v>45839</v>
      </c>
      <c r="C6640">
        <v>851150</v>
      </c>
      <c r="D6640" t="s">
        <v>176</v>
      </c>
      <c r="E6640">
        <v>0</v>
      </c>
      <c r="F6640">
        <v>0</v>
      </c>
      <c r="G6640">
        <v>0</v>
      </c>
      <c r="H6640">
        <f>_xlfn.XLOOKUP(FACT_IMPORTS[[#This Row],[hts_6]],DIM_PRODUCTS[hts_6],DIM_PRODUCTS[hts_4],,,)</f>
        <v>8511</v>
      </c>
      <c r="I6640" t="str" cm="1">
        <f t="array" ref="I6640">_xlfn.XLOOKUP(FACT_IMPORTS[[#This Row],[country_name]],DIM_COUNTRY[[#All],[Column2]],DIM_COUNTRY[[#All],[Column3]],,,)</f>
        <v>Major_Non-USMCA_Non-China</v>
      </c>
    </row>
    <row r="6641" spans="1:9" x14ac:dyDescent="0.4">
      <c r="A6641" t="s">
        <v>68</v>
      </c>
      <c r="B6641" s="1">
        <v>45839</v>
      </c>
      <c r="C6641">
        <v>851180</v>
      </c>
      <c r="D6641" t="s">
        <v>176</v>
      </c>
      <c r="E6641">
        <v>748132</v>
      </c>
      <c r="F6641">
        <v>2988</v>
      </c>
      <c r="G6641">
        <v>1456</v>
      </c>
      <c r="H6641">
        <f>_xlfn.XLOOKUP(FACT_IMPORTS[[#This Row],[hts_6]],DIM_PRODUCTS[hts_6],DIM_PRODUCTS[hts_4],,,)</f>
        <v>8511</v>
      </c>
      <c r="I6641" t="str" cm="1">
        <f t="array" ref="I6641">_xlfn.XLOOKUP(FACT_IMPORTS[[#This Row],[country_name]],DIM_COUNTRY[[#All],[Column2]],DIM_COUNTRY[[#All],[Column3]],,,)</f>
        <v>Major_Non-USMCA_Non-China</v>
      </c>
    </row>
    <row r="6642" spans="1:9" x14ac:dyDescent="0.4">
      <c r="A6642" t="s">
        <v>68</v>
      </c>
      <c r="B6642" s="1">
        <v>45839</v>
      </c>
      <c r="C6642">
        <v>851190</v>
      </c>
      <c r="D6642" t="s">
        <v>176</v>
      </c>
      <c r="E6642">
        <v>0</v>
      </c>
      <c r="F6642">
        <v>0</v>
      </c>
      <c r="G6642">
        <v>0</v>
      </c>
      <c r="H6642">
        <f>_xlfn.XLOOKUP(FACT_IMPORTS[[#This Row],[hts_6]],DIM_PRODUCTS[hts_6],DIM_PRODUCTS[hts_4],,,)</f>
        <v>8511</v>
      </c>
      <c r="I6642" t="str" cm="1">
        <f t="array" ref="I6642">_xlfn.XLOOKUP(FACT_IMPORTS[[#This Row],[country_name]],DIM_COUNTRY[[#All],[Column2]],DIM_COUNTRY[[#All],[Column3]],,,)</f>
        <v>Major_Non-USMCA_Non-China</v>
      </c>
    </row>
    <row r="6643" spans="1:9" x14ac:dyDescent="0.4">
      <c r="A6643" t="s">
        <v>68</v>
      </c>
      <c r="B6643" s="1">
        <v>45839</v>
      </c>
      <c r="C6643">
        <v>851220</v>
      </c>
      <c r="D6643" t="s">
        <v>176</v>
      </c>
      <c r="E6643">
        <v>28559</v>
      </c>
      <c r="F6643">
        <v>1838</v>
      </c>
      <c r="G6643">
        <v>233</v>
      </c>
      <c r="H6643">
        <f>_xlfn.XLOOKUP(FACT_IMPORTS[[#This Row],[hts_6]],DIM_PRODUCTS[hts_6],DIM_PRODUCTS[hts_4],,,)</f>
        <v>8512</v>
      </c>
      <c r="I6643" t="str" cm="1">
        <f t="array" ref="I6643">_xlfn.XLOOKUP(FACT_IMPORTS[[#This Row],[country_name]],DIM_COUNTRY[[#All],[Column2]],DIM_COUNTRY[[#All],[Column3]],,,)</f>
        <v>Major_Non-USMCA_Non-China</v>
      </c>
    </row>
    <row r="6644" spans="1:9" x14ac:dyDescent="0.4">
      <c r="A6644" t="s">
        <v>68</v>
      </c>
      <c r="B6644" s="1">
        <v>45839</v>
      </c>
      <c r="C6644">
        <v>851230</v>
      </c>
      <c r="D6644" t="s">
        <v>176</v>
      </c>
      <c r="E6644">
        <v>0</v>
      </c>
      <c r="F6644">
        <v>0</v>
      </c>
      <c r="G6644">
        <v>0</v>
      </c>
      <c r="H6644">
        <f>_xlfn.XLOOKUP(FACT_IMPORTS[[#This Row],[hts_6]],DIM_PRODUCTS[hts_6],DIM_PRODUCTS[hts_4],,,)</f>
        <v>8512</v>
      </c>
      <c r="I6644" t="str" cm="1">
        <f t="array" ref="I6644">_xlfn.XLOOKUP(FACT_IMPORTS[[#This Row],[country_name]],DIM_COUNTRY[[#All],[Column2]],DIM_COUNTRY[[#All],[Column3]],,,)</f>
        <v>Major_Non-USMCA_Non-China</v>
      </c>
    </row>
    <row r="6645" spans="1:9" x14ac:dyDescent="0.4">
      <c r="A6645" t="s">
        <v>68</v>
      </c>
      <c r="B6645" s="1">
        <v>45839</v>
      </c>
      <c r="C6645">
        <v>851290</v>
      </c>
      <c r="D6645" t="s">
        <v>176</v>
      </c>
      <c r="E6645">
        <v>3570</v>
      </c>
      <c r="F6645">
        <v>720</v>
      </c>
      <c r="G6645">
        <v>304</v>
      </c>
      <c r="H6645">
        <f>_xlfn.XLOOKUP(FACT_IMPORTS[[#This Row],[hts_6]],DIM_PRODUCTS[hts_6],DIM_PRODUCTS[hts_4],,,)</f>
        <v>8512</v>
      </c>
      <c r="I6645" t="str" cm="1">
        <f t="array" ref="I6645">_xlfn.XLOOKUP(FACT_IMPORTS[[#This Row],[country_name]],DIM_COUNTRY[[#All],[Column2]],DIM_COUNTRY[[#All],[Column3]],,,)</f>
        <v>Major_Non-USMCA_Non-China</v>
      </c>
    </row>
    <row r="6646" spans="1:9" x14ac:dyDescent="0.4">
      <c r="A6646" t="s">
        <v>68</v>
      </c>
      <c r="B6646" s="1">
        <v>45839</v>
      </c>
      <c r="C6646">
        <v>854231</v>
      </c>
      <c r="D6646" t="s">
        <v>176</v>
      </c>
      <c r="E6646">
        <v>88956</v>
      </c>
      <c r="F6646">
        <v>132037</v>
      </c>
      <c r="G6646">
        <v>966</v>
      </c>
      <c r="H6646">
        <f>_xlfn.XLOOKUP(FACT_IMPORTS[[#This Row],[hts_6]],DIM_PRODUCTS[hts_6],DIM_PRODUCTS[hts_4],,,)</f>
        <v>8542</v>
      </c>
      <c r="I6646" t="str" cm="1">
        <f t="array" ref="I6646">_xlfn.XLOOKUP(FACT_IMPORTS[[#This Row],[country_name]],DIM_COUNTRY[[#All],[Column2]],DIM_COUNTRY[[#All],[Column3]],,,)</f>
        <v>Major_Non-USMCA_Non-China</v>
      </c>
    </row>
    <row r="6647" spans="1:9" x14ac:dyDescent="0.4">
      <c r="A6647" t="s">
        <v>68</v>
      </c>
      <c r="B6647" s="1">
        <v>45839</v>
      </c>
      <c r="C6647">
        <v>854232</v>
      </c>
      <c r="D6647" t="s">
        <v>176</v>
      </c>
      <c r="E6647">
        <v>21112</v>
      </c>
      <c r="F6647">
        <v>3289</v>
      </c>
      <c r="G6647">
        <v>252</v>
      </c>
      <c r="H6647">
        <f>_xlfn.XLOOKUP(FACT_IMPORTS[[#This Row],[hts_6]],DIM_PRODUCTS[hts_6],DIM_PRODUCTS[hts_4],,,)</f>
        <v>8542</v>
      </c>
      <c r="I6647" t="str" cm="1">
        <f t="array" ref="I6647">_xlfn.XLOOKUP(FACT_IMPORTS[[#This Row],[country_name]],DIM_COUNTRY[[#All],[Column2]],DIM_COUNTRY[[#All],[Column3]],,,)</f>
        <v>Major_Non-USMCA_Non-China</v>
      </c>
    </row>
    <row r="6648" spans="1:9" x14ac:dyDescent="0.4">
      <c r="A6648" t="s">
        <v>68</v>
      </c>
      <c r="B6648" s="1">
        <v>45839</v>
      </c>
      <c r="C6648">
        <v>854233</v>
      </c>
      <c r="D6648" t="s">
        <v>176</v>
      </c>
      <c r="E6648">
        <v>238510</v>
      </c>
      <c r="F6648">
        <v>138001</v>
      </c>
      <c r="G6648">
        <v>89</v>
      </c>
      <c r="H6648">
        <f>_xlfn.XLOOKUP(FACT_IMPORTS[[#This Row],[hts_6]],DIM_PRODUCTS[hts_6],DIM_PRODUCTS[hts_4],,,)</f>
        <v>8542</v>
      </c>
      <c r="I6648" t="str" cm="1">
        <f t="array" ref="I6648">_xlfn.XLOOKUP(FACT_IMPORTS[[#This Row],[country_name]],DIM_COUNTRY[[#All],[Column2]],DIM_COUNTRY[[#All],[Column3]],,,)</f>
        <v>Major_Non-USMCA_Non-China</v>
      </c>
    </row>
    <row r="6649" spans="1:9" x14ac:dyDescent="0.4">
      <c r="A6649" t="s">
        <v>68</v>
      </c>
      <c r="B6649" s="1">
        <v>45839</v>
      </c>
      <c r="C6649">
        <v>854239</v>
      </c>
      <c r="D6649" t="s">
        <v>176</v>
      </c>
      <c r="E6649">
        <v>1990436</v>
      </c>
      <c r="F6649">
        <v>403585</v>
      </c>
      <c r="G6649">
        <v>1099</v>
      </c>
      <c r="H6649">
        <f>_xlfn.XLOOKUP(FACT_IMPORTS[[#This Row],[hts_6]],DIM_PRODUCTS[hts_6],DIM_PRODUCTS[hts_4],,,)</f>
        <v>8542</v>
      </c>
      <c r="I6649" t="str" cm="1">
        <f t="array" ref="I6649">_xlfn.XLOOKUP(FACT_IMPORTS[[#This Row],[country_name]],DIM_COUNTRY[[#All],[Column2]],DIM_COUNTRY[[#All],[Column3]],,,)</f>
        <v>Major_Non-USMCA_Non-China</v>
      </c>
    </row>
    <row r="6650" spans="1:9" x14ac:dyDescent="0.4">
      <c r="A6650" t="s">
        <v>68</v>
      </c>
      <c r="B6650" s="1">
        <v>45839</v>
      </c>
      <c r="C6650">
        <v>854290</v>
      </c>
      <c r="D6650" t="s">
        <v>176</v>
      </c>
      <c r="E6650">
        <v>4611</v>
      </c>
      <c r="F6650">
        <v>1</v>
      </c>
      <c r="G6650">
        <v>111</v>
      </c>
      <c r="H6650">
        <f>_xlfn.XLOOKUP(FACT_IMPORTS[[#This Row],[hts_6]],DIM_PRODUCTS[hts_6],DIM_PRODUCTS[hts_4],,,)</f>
        <v>8542</v>
      </c>
      <c r="I6650" t="str" cm="1">
        <f t="array" ref="I6650">_xlfn.XLOOKUP(FACT_IMPORTS[[#This Row],[country_name]],DIM_COUNTRY[[#All],[Column2]],DIM_COUNTRY[[#All],[Column3]],,,)</f>
        <v>Major_Non-USMCA_Non-China</v>
      </c>
    </row>
    <row r="6651" spans="1:9" x14ac:dyDescent="0.4">
      <c r="A6651" t="s">
        <v>68</v>
      </c>
      <c r="B6651" s="1">
        <v>45839</v>
      </c>
      <c r="C6651">
        <v>854430</v>
      </c>
      <c r="D6651" t="s">
        <v>176</v>
      </c>
      <c r="E6651">
        <v>380970</v>
      </c>
      <c r="F6651">
        <v>16952</v>
      </c>
      <c r="G6651">
        <v>4692</v>
      </c>
      <c r="H6651">
        <f>_xlfn.XLOOKUP(FACT_IMPORTS[[#This Row],[hts_6]],DIM_PRODUCTS[hts_6],DIM_PRODUCTS[hts_4],,,)</f>
        <v>8544</v>
      </c>
      <c r="I6651" t="str" cm="1">
        <f t="array" ref="I6651">_xlfn.XLOOKUP(FACT_IMPORTS[[#This Row],[country_name]],DIM_COUNTRY[[#All],[Column2]],DIM_COUNTRY[[#All],[Column3]],,,)</f>
        <v>Major_Non-USMCA_Non-China</v>
      </c>
    </row>
    <row r="6652" spans="1:9" x14ac:dyDescent="0.4">
      <c r="A6652" t="s">
        <v>68</v>
      </c>
      <c r="B6652" s="1">
        <v>45839</v>
      </c>
      <c r="C6652">
        <v>870710</v>
      </c>
      <c r="D6652" t="s">
        <v>176</v>
      </c>
      <c r="E6652">
        <v>0</v>
      </c>
      <c r="F6652">
        <v>0</v>
      </c>
      <c r="G6652">
        <v>0</v>
      </c>
      <c r="H6652">
        <f>_xlfn.XLOOKUP(FACT_IMPORTS[[#This Row],[hts_6]],DIM_PRODUCTS[hts_6],DIM_PRODUCTS[hts_4],,,)</f>
        <v>8707</v>
      </c>
      <c r="I6652" t="str" cm="1">
        <f t="array" ref="I6652">_xlfn.XLOOKUP(FACT_IMPORTS[[#This Row],[country_name]],DIM_COUNTRY[[#All],[Column2]],DIM_COUNTRY[[#All],[Column3]],,,)</f>
        <v>Major_Non-USMCA_Non-China</v>
      </c>
    </row>
    <row r="6653" spans="1:9" x14ac:dyDescent="0.4">
      <c r="A6653" t="s">
        <v>68</v>
      </c>
      <c r="B6653" s="1">
        <v>45839</v>
      </c>
      <c r="C6653">
        <v>870790</v>
      </c>
      <c r="D6653" t="s">
        <v>176</v>
      </c>
      <c r="E6653">
        <v>0</v>
      </c>
      <c r="F6653">
        <v>0</v>
      </c>
      <c r="G6653">
        <v>0</v>
      </c>
      <c r="H6653">
        <f>_xlfn.XLOOKUP(FACT_IMPORTS[[#This Row],[hts_6]],DIM_PRODUCTS[hts_6],DIM_PRODUCTS[hts_4],,,)</f>
        <v>8707</v>
      </c>
      <c r="I6653" t="str" cm="1">
        <f t="array" ref="I6653">_xlfn.XLOOKUP(FACT_IMPORTS[[#This Row],[country_name]],DIM_COUNTRY[[#All],[Column2]],DIM_COUNTRY[[#All],[Column3]],,,)</f>
        <v>Major_Non-USMCA_Non-China</v>
      </c>
    </row>
    <row r="6654" spans="1:9" x14ac:dyDescent="0.4">
      <c r="A6654" t="s">
        <v>68</v>
      </c>
      <c r="B6654" s="1">
        <v>45839</v>
      </c>
      <c r="C6654">
        <v>870810</v>
      </c>
      <c r="D6654" t="s">
        <v>176</v>
      </c>
      <c r="E6654">
        <v>38456</v>
      </c>
      <c r="F6654">
        <v>749</v>
      </c>
      <c r="G6654">
        <v>2812</v>
      </c>
      <c r="H6654">
        <f>_xlfn.XLOOKUP(FACT_IMPORTS[[#This Row],[hts_6]],DIM_PRODUCTS[hts_6],DIM_PRODUCTS[hts_4],,,)</f>
        <v>8708</v>
      </c>
      <c r="I6654" t="str" cm="1">
        <f t="array" ref="I6654">_xlfn.XLOOKUP(FACT_IMPORTS[[#This Row],[country_name]],DIM_COUNTRY[[#All],[Column2]],DIM_COUNTRY[[#All],[Column3]],,,)</f>
        <v>Major_Non-USMCA_Non-China</v>
      </c>
    </row>
    <row r="6655" spans="1:9" x14ac:dyDescent="0.4">
      <c r="A6655" t="s">
        <v>68</v>
      </c>
      <c r="B6655" s="1">
        <v>45839</v>
      </c>
      <c r="C6655">
        <v>870821</v>
      </c>
      <c r="D6655" t="s">
        <v>176</v>
      </c>
      <c r="E6655">
        <v>0</v>
      </c>
      <c r="F6655">
        <v>0</v>
      </c>
      <c r="G6655">
        <v>0</v>
      </c>
      <c r="H6655">
        <f>_xlfn.XLOOKUP(FACT_IMPORTS[[#This Row],[hts_6]],DIM_PRODUCTS[hts_6],DIM_PRODUCTS[hts_4],,,)</f>
        <v>8708</v>
      </c>
      <c r="I6655" t="str" cm="1">
        <f t="array" ref="I6655">_xlfn.XLOOKUP(FACT_IMPORTS[[#This Row],[country_name]],DIM_COUNTRY[[#All],[Column2]],DIM_COUNTRY[[#All],[Column3]],,,)</f>
        <v>Major_Non-USMCA_Non-China</v>
      </c>
    </row>
    <row r="6656" spans="1:9" x14ac:dyDescent="0.4">
      <c r="A6656" t="s">
        <v>68</v>
      </c>
      <c r="B6656" s="1">
        <v>45839</v>
      </c>
      <c r="C6656">
        <v>870822</v>
      </c>
      <c r="D6656" t="s">
        <v>176</v>
      </c>
      <c r="E6656">
        <v>0</v>
      </c>
      <c r="F6656">
        <v>0</v>
      </c>
      <c r="G6656">
        <v>0</v>
      </c>
      <c r="H6656">
        <f>_xlfn.XLOOKUP(FACT_IMPORTS[[#This Row],[hts_6]],DIM_PRODUCTS[hts_6],DIM_PRODUCTS[hts_4],,,)</f>
        <v>8708</v>
      </c>
      <c r="I6656" t="str" cm="1">
        <f t="array" ref="I6656">_xlfn.XLOOKUP(FACT_IMPORTS[[#This Row],[country_name]],DIM_COUNTRY[[#All],[Column2]],DIM_COUNTRY[[#All],[Column3]],,,)</f>
        <v>Major_Non-USMCA_Non-China</v>
      </c>
    </row>
    <row r="6657" spans="1:9" x14ac:dyDescent="0.4">
      <c r="A6657" t="s">
        <v>68</v>
      </c>
      <c r="B6657" s="1">
        <v>45839</v>
      </c>
      <c r="C6657">
        <v>870829</v>
      </c>
      <c r="D6657" t="s">
        <v>176</v>
      </c>
      <c r="E6657">
        <v>1672438</v>
      </c>
      <c r="F6657">
        <v>962756</v>
      </c>
      <c r="G6657">
        <v>42252</v>
      </c>
      <c r="H6657">
        <f>_xlfn.XLOOKUP(FACT_IMPORTS[[#This Row],[hts_6]],DIM_PRODUCTS[hts_6],DIM_PRODUCTS[hts_4],,,)</f>
        <v>8708</v>
      </c>
      <c r="I6657" t="str" cm="1">
        <f t="array" ref="I6657">_xlfn.XLOOKUP(FACT_IMPORTS[[#This Row],[country_name]],DIM_COUNTRY[[#All],[Column2]],DIM_COUNTRY[[#All],[Column3]],,,)</f>
        <v>Major_Non-USMCA_Non-China</v>
      </c>
    </row>
    <row r="6658" spans="1:9" x14ac:dyDescent="0.4">
      <c r="A6658" t="s">
        <v>68</v>
      </c>
      <c r="B6658" s="1">
        <v>45839</v>
      </c>
      <c r="C6658">
        <v>870830</v>
      </c>
      <c r="D6658" t="s">
        <v>176</v>
      </c>
      <c r="E6658">
        <v>267082</v>
      </c>
      <c r="F6658">
        <v>4116</v>
      </c>
      <c r="G6658">
        <v>19828</v>
      </c>
      <c r="H6658">
        <f>_xlfn.XLOOKUP(FACT_IMPORTS[[#This Row],[hts_6]],DIM_PRODUCTS[hts_6],DIM_PRODUCTS[hts_4],,,)</f>
        <v>8708</v>
      </c>
      <c r="I6658" t="str" cm="1">
        <f t="array" ref="I6658">_xlfn.XLOOKUP(FACT_IMPORTS[[#This Row],[country_name]],DIM_COUNTRY[[#All],[Column2]],DIM_COUNTRY[[#All],[Column3]],,,)</f>
        <v>Major_Non-USMCA_Non-China</v>
      </c>
    </row>
    <row r="6659" spans="1:9" x14ac:dyDescent="0.4">
      <c r="A6659" t="s">
        <v>68</v>
      </c>
      <c r="B6659" s="1">
        <v>45839</v>
      </c>
      <c r="C6659">
        <v>870840</v>
      </c>
      <c r="D6659" t="s">
        <v>176</v>
      </c>
      <c r="E6659">
        <v>36575941</v>
      </c>
      <c r="F6659">
        <v>617219</v>
      </c>
      <c r="G6659">
        <v>102437</v>
      </c>
      <c r="H6659">
        <f>_xlfn.XLOOKUP(FACT_IMPORTS[[#This Row],[hts_6]],DIM_PRODUCTS[hts_6],DIM_PRODUCTS[hts_4],,,)</f>
        <v>8708</v>
      </c>
      <c r="I6659" t="str" cm="1">
        <f t="array" ref="I6659">_xlfn.XLOOKUP(FACT_IMPORTS[[#This Row],[country_name]],DIM_COUNTRY[[#All],[Column2]],DIM_COUNTRY[[#All],[Column3]],,,)</f>
        <v>Major_Non-USMCA_Non-China</v>
      </c>
    </row>
    <row r="6660" spans="1:9" x14ac:dyDescent="0.4">
      <c r="A6660" t="s">
        <v>68</v>
      </c>
      <c r="B6660" s="1">
        <v>45839</v>
      </c>
      <c r="C6660">
        <v>870850</v>
      </c>
      <c r="D6660" t="s">
        <v>176</v>
      </c>
      <c r="E6660">
        <v>5438304</v>
      </c>
      <c r="F6660">
        <v>270736</v>
      </c>
      <c r="G6660">
        <v>70002</v>
      </c>
      <c r="H6660">
        <f>_xlfn.XLOOKUP(FACT_IMPORTS[[#This Row],[hts_6]],DIM_PRODUCTS[hts_6],DIM_PRODUCTS[hts_4],,,)</f>
        <v>8708</v>
      </c>
      <c r="I6660" t="str" cm="1">
        <f t="array" ref="I6660">_xlfn.XLOOKUP(FACT_IMPORTS[[#This Row],[country_name]],DIM_COUNTRY[[#All],[Column2]],DIM_COUNTRY[[#All],[Column3]],,,)</f>
        <v>Major_Non-USMCA_Non-China</v>
      </c>
    </row>
    <row r="6661" spans="1:9" x14ac:dyDescent="0.4">
      <c r="A6661" t="s">
        <v>68</v>
      </c>
      <c r="B6661" s="1">
        <v>45839</v>
      </c>
      <c r="C6661">
        <v>870870</v>
      </c>
      <c r="D6661" t="s">
        <v>176</v>
      </c>
      <c r="E6661">
        <v>4590</v>
      </c>
      <c r="F6661">
        <v>25</v>
      </c>
      <c r="G6661">
        <v>155</v>
      </c>
      <c r="H6661">
        <f>_xlfn.XLOOKUP(FACT_IMPORTS[[#This Row],[hts_6]],DIM_PRODUCTS[hts_6],DIM_PRODUCTS[hts_4],,,)</f>
        <v>8708</v>
      </c>
      <c r="I6661" t="str" cm="1">
        <f t="array" ref="I6661">_xlfn.XLOOKUP(FACT_IMPORTS[[#This Row],[country_name]],DIM_COUNTRY[[#All],[Column2]],DIM_COUNTRY[[#All],[Column3]],,,)</f>
        <v>Major_Non-USMCA_Non-China</v>
      </c>
    </row>
    <row r="6662" spans="1:9" x14ac:dyDescent="0.4">
      <c r="A6662" t="s">
        <v>68</v>
      </c>
      <c r="B6662" s="1">
        <v>45839</v>
      </c>
      <c r="C6662">
        <v>870880</v>
      </c>
      <c r="D6662" t="s">
        <v>176</v>
      </c>
      <c r="E6662">
        <v>1563480</v>
      </c>
      <c r="F6662">
        <v>591498</v>
      </c>
      <c r="G6662">
        <v>44951</v>
      </c>
      <c r="H6662">
        <f>_xlfn.XLOOKUP(FACT_IMPORTS[[#This Row],[hts_6]],DIM_PRODUCTS[hts_6],DIM_PRODUCTS[hts_4],,,)</f>
        <v>8708</v>
      </c>
      <c r="I6662" t="str" cm="1">
        <f t="array" ref="I6662">_xlfn.XLOOKUP(FACT_IMPORTS[[#This Row],[country_name]],DIM_COUNTRY[[#All],[Column2]],DIM_COUNTRY[[#All],[Column3]],,,)</f>
        <v>Major_Non-USMCA_Non-China</v>
      </c>
    </row>
    <row r="6663" spans="1:9" x14ac:dyDescent="0.4">
      <c r="A6663" t="s">
        <v>68</v>
      </c>
      <c r="B6663" s="1">
        <v>45839</v>
      </c>
      <c r="C6663">
        <v>870891</v>
      </c>
      <c r="D6663" t="s">
        <v>176</v>
      </c>
      <c r="E6663">
        <v>11178</v>
      </c>
      <c r="F6663">
        <v>256</v>
      </c>
      <c r="G6663">
        <v>38</v>
      </c>
      <c r="H6663">
        <f>_xlfn.XLOOKUP(FACT_IMPORTS[[#This Row],[hts_6]],DIM_PRODUCTS[hts_6],DIM_PRODUCTS[hts_4],,,)</f>
        <v>8708</v>
      </c>
      <c r="I6663" t="str" cm="1">
        <f t="array" ref="I6663">_xlfn.XLOOKUP(FACT_IMPORTS[[#This Row],[country_name]],DIM_COUNTRY[[#All],[Column2]],DIM_COUNTRY[[#All],[Column3]],,,)</f>
        <v>Major_Non-USMCA_Non-China</v>
      </c>
    </row>
    <row r="6664" spans="1:9" x14ac:dyDescent="0.4">
      <c r="A6664" t="s">
        <v>68</v>
      </c>
      <c r="B6664" s="1">
        <v>45839</v>
      </c>
      <c r="C6664">
        <v>870892</v>
      </c>
      <c r="D6664" t="s">
        <v>176</v>
      </c>
      <c r="E6664">
        <v>353649</v>
      </c>
      <c r="F6664">
        <v>45296</v>
      </c>
      <c r="G6664">
        <v>33771</v>
      </c>
      <c r="H6664">
        <f>_xlfn.XLOOKUP(FACT_IMPORTS[[#This Row],[hts_6]],DIM_PRODUCTS[hts_6],DIM_PRODUCTS[hts_4],,,)</f>
        <v>8708</v>
      </c>
      <c r="I6664" t="str" cm="1">
        <f t="array" ref="I6664">_xlfn.XLOOKUP(FACT_IMPORTS[[#This Row],[country_name]],DIM_COUNTRY[[#All],[Column2]],DIM_COUNTRY[[#All],[Column3]],,,)</f>
        <v>Major_Non-USMCA_Non-China</v>
      </c>
    </row>
    <row r="6665" spans="1:9" x14ac:dyDescent="0.4">
      <c r="A6665" t="s">
        <v>68</v>
      </c>
      <c r="B6665" s="1">
        <v>45839</v>
      </c>
      <c r="C6665">
        <v>870893</v>
      </c>
      <c r="D6665" t="s">
        <v>176</v>
      </c>
      <c r="E6665">
        <v>579957</v>
      </c>
      <c r="F6665">
        <v>5783</v>
      </c>
      <c r="G6665">
        <v>5696</v>
      </c>
      <c r="H6665">
        <f>_xlfn.XLOOKUP(FACT_IMPORTS[[#This Row],[hts_6]],DIM_PRODUCTS[hts_6],DIM_PRODUCTS[hts_4],,,)</f>
        <v>8708</v>
      </c>
      <c r="I6665" t="str" cm="1">
        <f t="array" ref="I6665">_xlfn.XLOOKUP(FACT_IMPORTS[[#This Row],[country_name]],DIM_COUNTRY[[#All],[Column2]],DIM_COUNTRY[[#All],[Column3]],,,)</f>
        <v>Major_Non-USMCA_Non-China</v>
      </c>
    </row>
    <row r="6666" spans="1:9" x14ac:dyDescent="0.4">
      <c r="A6666" t="s">
        <v>68</v>
      </c>
      <c r="B6666" s="1">
        <v>45839</v>
      </c>
      <c r="C6666">
        <v>870894</v>
      </c>
      <c r="D6666" t="s">
        <v>176</v>
      </c>
      <c r="E6666">
        <v>111009</v>
      </c>
      <c r="F6666">
        <v>208</v>
      </c>
      <c r="G6666">
        <v>10289</v>
      </c>
      <c r="H6666">
        <f>_xlfn.XLOOKUP(FACT_IMPORTS[[#This Row],[hts_6]],DIM_PRODUCTS[hts_6],DIM_PRODUCTS[hts_4],,,)</f>
        <v>8708</v>
      </c>
      <c r="I6666" t="str" cm="1">
        <f t="array" ref="I6666">_xlfn.XLOOKUP(FACT_IMPORTS[[#This Row],[country_name]],DIM_COUNTRY[[#All],[Column2]],DIM_COUNTRY[[#All],[Column3]],,,)</f>
        <v>Major_Non-USMCA_Non-China</v>
      </c>
    </row>
    <row r="6667" spans="1:9" x14ac:dyDescent="0.4">
      <c r="A6667" t="s">
        <v>68</v>
      </c>
      <c r="B6667" s="1">
        <v>45839</v>
      </c>
      <c r="C6667">
        <v>870895</v>
      </c>
      <c r="D6667" t="s">
        <v>176</v>
      </c>
      <c r="E6667">
        <v>0</v>
      </c>
      <c r="F6667">
        <v>0</v>
      </c>
      <c r="G6667">
        <v>0</v>
      </c>
      <c r="H6667">
        <f>_xlfn.XLOOKUP(FACT_IMPORTS[[#This Row],[hts_6]],DIM_PRODUCTS[hts_6],DIM_PRODUCTS[hts_4],,,)</f>
        <v>8708</v>
      </c>
      <c r="I6667" t="str" cm="1">
        <f t="array" ref="I6667">_xlfn.XLOOKUP(FACT_IMPORTS[[#This Row],[country_name]],DIM_COUNTRY[[#All],[Column2]],DIM_COUNTRY[[#All],[Column3]],,,)</f>
        <v>Major_Non-USMCA_Non-China</v>
      </c>
    </row>
    <row r="6668" spans="1:9" x14ac:dyDescent="0.4">
      <c r="A6668" t="s">
        <v>68</v>
      </c>
      <c r="B6668" s="1">
        <v>45839</v>
      </c>
      <c r="C6668">
        <v>870899</v>
      </c>
      <c r="D6668" t="s">
        <v>176</v>
      </c>
      <c r="E6668">
        <v>2365842</v>
      </c>
      <c r="F6668">
        <v>458959</v>
      </c>
      <c r="G6668">
        <v>47340</v>
      </c>
      <c r="H6668">
        <f>_xlfn.XLOOKUP(FACT_IMPORTS[[#This Row],[hts_6]],DIM_PRODUCTS[hts_6],DIM_PRODUCTS[hts_4],,,)</f>
        <v>8708</v>
      </c>
      <c r="I6668" t="str" cm="1">
        <f t="array" ref="I6668">_xlfn.XLOOKUP(FACT_IMPORTS[[#This Row],[country_name]],DIM_COUNTRY[[#All],[Column2]],DIM_COUNTRY[[#All],[Column3]],,,)</f>
        <v>Major_Non-USMCA_Non-China</v>
      </c>
    </row>
    <row r="6669" spans="1:9" x14ac:dyDescent="0.4">
      <c r="A6669" t="s">
        <v>68</v>
      </c>
      <c r="B6669" s="1">
        <v>45839</v>
      </c>
      <c r="C6669">
        <v>940120</v>
      </c>
      <c r="D6669" t="s">
        <v>176</v>
      </c>
      <c r="E6669">
        <v>13482</v>
      </c>
      <c r="F6669">
        <v>7</v>
      </c>
      <c r="G6669">
        <v>93</v>
      </c>
      <c r="H6669">
        <f>_xlfn.XLOOKUP(FACT_IMPORTS[[#This Row],[hts_6]],DIM_PRODUCTS[hts_6],DIM_PRODUCTS[hts_4],,,)</f>
        <v>9401</v>
      </c>
      <c r="I6669" t="str" cm="1">
        <f t="array" ref="I6669">_xlfn.XLOOKUP(FACT_IMPORTS[[#This Row],[country_name]],DIM_COUNTRY[[#All],[Column2]],DIM_COUNTRY[[#All],[Column3]],,,)</f>
        <v>Major_Non-USMCA_Non-China</v>
      </c>
    </row>
    <row r="6670" spans="1:9" x14ac:dyDescent="0.4">
      <c r="A6670" t="s">
        <v>68</v>
      </c>
      <c r="B6670" s="1">
        <v>45870</v>
      </c>
      <c r="C6670">
        <v>392630</v>
      </c>
      <c r="D6670" t="s">
        <v>176</v>
      </c>
      <c r="E6670">
        <v>180589</v>
      </c>
      <c r="F6670">
        <v>11629</v>
      </c>
      <c r="G6670">
        <v>9030</v>
      </c>
      <c r="H6670">
        <f>_xlfn.XLOOKUP(FACT_IMPORTS[[#This Row],[hts_6]],DIM_PRODUCTS[hts_6],DIM_PRODUCTS[hts_4],,,)</f>
        <v>3926</v>
      </c>
      <c r="I6670" t="str" cm="1">
        <f t="array" ref="I6670">_xlfn.XLOOKUP(FACT_IMPORTS[[#This Row],[country_name]],DIM_COUNTRY[[#All],[Column2]],DIM_COUNTRY[[#All],[Column3]],,,)</f>
        <v>Major_Non-USMCA_Non-China</v>
      </c>
    </row>
    <row r="6671" spans="1:9" x14ac:dyDescent="0.4">
      <c r="A6671" t="s">
        <v>68</v>
      </c>
      <c r="B6671" s="1">
        <v>45870</v>
      </c>
      <c r="C6671">
        <v>401110</v>
      </c>
      <c r="D6671" t="s">
        <v>176</v>
      </c>
      <c r="E6671">
        <v>94220</v>
      </c>
      <c r="F6671">
        <v>888</v>
      </c>
      <c r="G6671">
        <v>2106</v>
      </c>
      <c r="H6671">
        <f>_xlfn.XLOOKUP(FACT_IMPORTS[[#This Row],[hts_6]],DIM_PRODUCTS[hts_6],DIM_PRODUCTS[hts_4],,,)</f>
        <v>4011</v>
      </c>
      <c r="I6671" t="str" cm="1">
        <f t="array" ref="I6671">_xlfn.XLOOKUP(FACT_IMPORTS[[#This Row],[country_name]],DIM_COUNTRY[[#All],[Column2]],DIM_COUNTRY[[#All],[Column3]],,,)</f>
        <v>Major_Non-USMCA_Non-China</v>
      </c>
    </row>
    <row r="6672" spans="1:9" x14ac:dyDescent="0.4">
      <c r="A6672" t="s">
        <v>68</v>
      </c>
      <c r="B6672" s="1">
        <v>45870</v>
      </c>
      <c r="C6672">
        <v>401120</v>
      </c>
      <c r="D6672" t="s">
        <v>176</v>
      </c>
      <c r="E6672">
        <v>0</v>
      </c>
      <c r="F6672">
        <v>0</v>
      </c>
      <c r="G6672">
        <v>0</v>
      </c>
      <c r="H6672">
        <f>_xlfn.XLOOKUP(FACT_IMPORTS[[#This Row],[hts_6]],DIM_PRODUCTS[hts_6],DIM_PRODUCTS[hts_4],,,)</f>
        <v>4011</v>
      </c>
      <c r="I6672" t="str" cm="1">
        <f t="array" ref="I6672">_xlfn.XLOOKUP(FACT_IMPORTS[[#This Row],[country_name]],DIM_COUNTRY[[#All],[Column2]],DIM_COUNTRY[[#All],[Column3]],,,)</f>
        <v>Major_Non-USMCA_Non-China</v>
      </c>
    </row>
    <row r="6673" spans="1:9" x14ac:dyDescent="0.4">
      <c r="A6673" t="s">
        <v>68</v>
      </c>
      <c r="B6673" s="1">
        <v>45870</v>
      </c>
      <c r="C6673">
        <v>401190</v>
      </c>
      <c r="D6673" t="s">
        <v>176</v>
      </c>
      <c r="E6673">
        <v>0</v>
      </c>
      <c r="F6673">
        <v>0</v>
      </c>
      <c r="G6673">
        <v>0</v>
      </c>
      <c r="H6673">
        <f>_xlfn.XLOOKUP(FACT_IMPORTS[[#This Row],[hts_6]],DIM_PRODUCTS[hts_6],DIM_PRODUCTS[hts_4],,,)</f>
        <v>4011</v>
      </c>
      <c r="I6673" t="str" cm="1">
        <f t="array" ref="I6673">_xlfn.XLOOKUP(FACT_IMPORTS[[#This Row],[country_name]],DIM_COUNTRY[[#All],[Column2]],DIM_COUNTRY[[#All],[Column3]],,,)</f>
        <v>Major_Non-USMCA_Non-China</v>
      </c>
    </row>
    <row r="6674" spans="1:9" x14ac:dyDescent="0.4">
      <c r="A6674" t="s">
        <v>68</v>
      </c>
      <c r="B6674" s="1">
        <v>45870</v>
      </c>
      <c r="C6674">
        <v>700711</v>
      </c>
      <c r="D6674" t="s">
        <v>176</v>
      </c>
      <c r="E6674">
        <v>0</v>
      </c>
      <c r="F6674">
        <v>0</v>
      </c>
      <c r="G6674">
        <v>0</v>
      </c>
      <c r="H6674">
        <f>_xlfn.XLOOKUP(FACT_IMPORTS[[#This Row],[hts_6]],DIM_PRODUCTS[hts_6],DIM_PRODUCTS[hts_4],,,)</f>
        <v>7007</v>
      </c>
      <c r="I6674" t="str" cm="1">
        <f t="array" ref="I6674">_xlfn.XLOOKUP(FACT_IMPORTS[[#This Row],[country_name]],DIM_COUNTRY[[#All],[Column2]],DIM_COUNTRY[[#All],[Column3]],,,)</f>
        <v>Major_Non-USMCA_Non-China</v>
      </c>
    </row>
    <row r="6675" spans="1:9" x14ac:dyDescent="0.4">
      <c r="A6675" t="s">
        <v>68</v>
      </c>
      <c r="B6675" s="1">
        <v>45870</v>
      </c>
      <c r="C6675">
        <v>700721</v>
      </c>
      <c r="D6675" t="s">
        <v>176</v>
      </c>
      <c r="E6675">
        <v>0</v>
      </c>
      <c r="F6675">
        <v>0</v>
      </c>
      <c r="G6675">
        <v>0</v>
      </c>
      <c r="H6675">
        <f>_xlfn.XLOOKUP(FACT_IMPORTS[[#This Row],[hts_6]],DIM_PRODUCTS[hts_6],DIM_PRODUCTS[hts_4],,,)</f>
        <v>7007</v>
      </c>
      <c r="I6675" t="str" cm="1">
        <f t="array" ref="I6675">_xlfn.XLOOKUP(FACT_IMPORTS[[#This Row],[country_name]],DIM_COUNTRY[[#All],[Column2]],DIM_COUNTRY[[#All],[Column3]],,,)</f>
        <v>Major_Non-USMCA_Non-China</v>
      </c>
    </row>
    <row r="6676" spans="1:9" x14ac:dyDescent="0.4">
      <c r="A6676" t="s">
        <v>68</v>
      </c>
      <c r="B6676" s="1">
        <v>45870</v>
      </c>
      <c r="C6676">
        <v>700910</v>
      </c>
      <c r="D6676" t="s">
        <v>176</v>
      </c>
      <c r="E6676">
        <v>0</v>
      </c>
      <c r="F6676">
        <v>0</v>
      </c>
      <c r="G6676">
        <v>0</v>
      </c>
      <c r="H6676">
        <f>_xlfn.XLOOKUP(FACT_IMPORTS[[#This Row],[hts_6]],DIM_PRODUCTS[hts_6],DIM_PRODUCTS[hts_4],,,)</f>
        <v>7009</v>
      </c>
      <c r="I6676" t="str" cm="1">
        <f t="array" ref="I6676">_xlfn.XLOOKUP(FACT_IMPORTS[[#This Row],[country_name]],DIM_COUNTRY[[#All],[Column2]],DIM_COUNTRY[[#All],[Column3]],,,)</f>
        <v>Major_Non-USMCA_Non-China</v>
      </c>
    </row>
    <row r="6677" spans="1:9" x14ac:dyDescent="0.4">
      <c r="A6677" t="s">
        <v>68</v>
      </c>
      <c r="B6677" s="1">
        <v>45870</v>
      </c>
      <c r="C6677">
        <v>732010</v>
      </c>
      <c r="D6677" t="s">
        <v>176</v>
      </c>
      <c r="E6677">
        <v>3768</v>
      </c>
      <c r="F6677">
        <v>56</v>
      </c>
      <c r="G6677">
        <v>251</v>
      </c>
      <c r="H6677">
        <f>_xlfn.XLOOKUP(FACT_IMPORTS[[#This Row],[hts_6]],DIM_PRODUCTS[hts_6],DIM_PRODUCTS[hts_4],,,)</f>
        <v>7320</v>
      </c>
      <c r="I6677" t="str" cm="1">
        <f t="array" ref="I6677">_xlfn.XLOOKUP(FACT_IMPORTS[[#This Row],[country_name]],DIM_COUNTRY[[#All],[Column2]],DIM_COUNTRY[[#All],[Column3]],,,)</f>
        <v>Major_Non-USMCA_Non-China</v>
      </c>
    </row>
    <row r="6678" spans="1:9" x14ac:dyDescent="0.4">
      <c r="A6678" t="s">
        <v>68</v>
      </c>
      <c r="B6678" s="1">
        <v>45870</v>
      </c>
      <c r="C6678">
        <v>830230</v>
      </c>
      <c r="D6678" t="s">
        <v>176</v>
      </c>
      <c r="E6678">
        <v>408417</v>
      </c>
      <c r="F6678">
        <v>56765</v>
      </c>
      <c r="G6678">
        <v>22342</v>
      </c>
      <c r="H6678">
        <f>_xlfn.XLOOKUP(FACT_IMPORTS[[#This Row],[hts_6]],DIM_PRODUCTS[hts_6],DIM_PRODUCTS[hts_4],,,)</f>
        <v>8302</v>
      </c>
      <c r="I6678" t="str" cm="1">
        <f t="array" ref="I6678">_xlfn.XLOOKUP(FACT_IMPORTS[[#This Row],[country_name]],DIM_COUNTRY[[#All],[Column2]],DIM_COUNTRY[[#All],[Column3]],,,)</f>
        <v>Major_Non-USMCA_Non-China</v>
      </c>
    </row>
    <row r="6679" spans="1:9" x14ac:dyDescent="0.4">
      <c r="A6679" t="s">
        <v>68</v>
      </c>
      <c r="B6679" s="1">
        <v>45870</v>
      </c>
      <c r="C6679">
        <v>840734</v>
      </c>
      <c r="D6679" t="s">
        <v>176</v>
      </c>
      <c r="E6679">
        <v>0</v>
      </c>
      <c r="F6679">
        <v>0</v>
      </c>
      <c r="G6679">
        <v>0</v>
      </c>
      <c r="H6679">
        <f>_xlfn.XLOOKUP(FACT_IMPORTS[[#This Row],[hts_6]],DIM_PRODUCTS[hts_6],DIM_PRODUCTS[hts_4],,,)</f>
        <v>8407</v>
      </c>
      <c r="I6679" t="str" cm="1">
        <f t="array" ref="I6679">_xlfn.XLOOKUP(FACT_IMPORTS[[#This Row],[country_name]],DIM_COUNTRY[[#All],[Column2]],DIM_COUNTRY[[#All],[Column3]],,,)</f>
        <v>Major_Non-USMCA_Non-China</v>
      </c>
    </row>
    <row r="6680" spans="1:9" x14ac:dyDescent="0.4">
      <c r="A6680" t="s">
        <v>68</v>
      </c>
      <c r="B6680" s="1">
        <v>45870</v>
      </c>
      <c r="C6680">
        <v>840820</v>
      </c>
      <c r="D6680" t="s">
        <v>176</v>
      </c>
      <c r="E6680">
        <v>100969</v>
      </c>
      <c r="F6680">
        <v>3</v>
      </c>
      <c r="G6680">
        <v>1692</v>
      </c>
      <c r="H6680">
        <f>_xlfn.XLOOKUP(FACT_IMPORTS[[#This Row],[hts_6]],DIM_PRODUCTS[hts_6],DIM_PRODUCTS[hts_4],,,)</f>
        <v>8408</v>
      </c>
      <c r="I6680" t="str" cm="1">
        <f t="array" ref="I6680">_xlfn.XLOOKUP(FACT_IMPORTS[[#This Row],[country_name]],DIM_COUNTRY[[#All],[Column2]],DIM_COUNTRY[[#All],[Column3]],,,)</f>
        <v>Major_Non-USMCA_Non-China</v>
      </c>
    </row>
    <row r="6681" spans="1:9" x14ac:dyDescent="0.4">
      <c r="A6681" t="s">
        <v>68</v>
      </c>
      <c r="B6681" s="1">
        <v>45870</v>
      </c>
      <c r="C6681">
        <v>840890</v>
      </c>
      <c r="D6681" t="s">
        <v>176</v>
      </c>
      <c r="E6681">
        <v>0</v>
      </c>
      <c r="F6681">
        <v>0</v>
      </c>
      <c r="G6681">
        <v>0</v>
      </c>
      <c r="H6681">
        <f>_xlfn.XLOOKUP(FACT_IMPORTS[[#This Row],[hts_6]],DIM_PRODUCTS[hts_6],DIM_PRODUCTS[hts_4],,,)</f>
        <v>8408</v>
      </c>
      <c r="I6681" t="str" cm="1">
        <f t="array" ref="I6681">_xlfn.XLOOKUP(FACT_IMPORTS[[#This Row],[country_name]],DIM_COUNTRY[[#All],[Column2]],DIM_COUNTRY[[#All],[Column3]],,,)</f>
        <v>Major_Non-USMCA_Non-China</v>
      </c>
    </row>
    <row r="6682" spans="1:9" x14ac:dyDescent="0.4">
      <c r="A6682" t="s">
        <v>68</v>
      </c>
      <c r="B6682" s="1">
        <v>45870</v>
      </c>
      <c r="C6682">
        <v>840991</v>
      </c>
      <c r="D6682" t="s">
        <v>176</v>
      </c>
      <c r="E6682">
        <v>899411</v>
      </c>
      <c r="F6682">
        <v>146970</v>
      </c>
      <c r="G6682">
        <v>53585</v>
      </c>
      <c r="H6682">
        <f>_xlfn.XLOOKUP(FACT_IMPORTS[[#This Row],[hts_6]],DIM_PRODUCTS[hts_6],DIM_PRODUCTS[hts_4],,,)</f>
        <v>8409</v>
      </c>
      <c r="I6682" t="str" cm="1">
        <f t="array" ref="I6682">_xlfn.XLOOKUP(FACT_IMPORTS[[#This Row],[country_name]],DIM_COUNTRY[[#All],[Column2]],DIM_COUNTRY[[#All],[Column3]],,,)</f>
        <v>Major_Non-USMCA_Non-China</v>
      </c>
    </row>
    <row r="6683" spans="1:9" x14ac:dyDescent="0.4">
      <c r="A6683" t="s">
        <v>68</v>
      </c>
      <c r="B6683" s="1">
        <v>45870</v>
      </c>
      <c r="C6683">
        <v>840999</v>
      </c>
      <c r="D6683" t="s">
        <v>176</v>
      </c>
      <c r="E6683">
        <v>22902746</v>
      </c>
      <c r="F6683">
        <v>2960132</v>
      </c>
      <c r="G6683">
        <v>669535</v>
      </c>
      <c r="H6683">
        <f>_xlfn.XLOOKUP(FACT_IMPORTS[[#This Row],[hts_6]],DIM_PRODUCTS[hts_6],DIM_PRODUCTS[hts_4],,,)</f>
        <v>8409</v>
      </c>
      <c r="I6683" t="str" cm="1">
        <f t="array" ref="I6683">_xlfn.XLOOKUP(FACT_IMPORTS[[#This Row],[country_name]],DIM_COUNTRY[[#All],[Column2]],DIM_COUNTRY[[#All],[Column3]],,,)</f>
        <v>Major_Non-USMCA_Non-China</v>
      </c>
    </row>
    <row r="6684" spans="1:9" x14ac:dyDescent="0.4">
      <c r="A6684" t="s">
        <v>68</v>
      </c>
      <c r="B6684" s="1">
        <v>45870</v>
      </c>
      <c r="C6684">
        <v>841330</v>
      </c>
      <c r="D6684" t="s">
        <v>176</v>
      </c>
      <c r="E6684">
        <v>6386153</v>
      </c>
      <c r="F6684">
        <v>56086</v>
      </c>
      <c r="G6684">
        <v>32254</v>
      </c>
      <c r="H6684">
        <f>_xlfn.XLOOKUP(FACT_IMPORTS[[#This Row],[hts_6]],DIM_PRODUCTS[hts_6],DIM_PRODUCTS[hts_4],,,)</f>
        <v>8413</v>
      </c>
      <c r="I6684" t="str" cm="1">
        <f t="array" ref="I6684">_xlfn.XLOOKUP(FACT_IMPORTS[[#This Row],[country_name]],DIM_COUNTRY[[#All],[Column2]],DIM_COUNTRY[[#All],[Column3]],,,)</f>
        <v>Major_Non-USMCA_Non-China</v>
      </c>
    </row>
    <row r="6685" spans="1:9" x14ac:dyDescent="0.4">
      <c r="A6685" t="s">
        <v>68</v>
      </c>
      <c r="B6685" s="1">
        <v>45870</v>
      </c>
      <c r="C6685">
        <v>841520</v>
      </c>
      <c r="D6685" t="s">
        <v>176</v>
      </c>
      <c r="E6685">
        <v>0</v>
      </c>
      <c r="F6685">
        <v>0</v>
      </c>
      <c r="G6685">
        <v>0</v>
      </c>
      <c r="H6685">
        <f>_xlfn.XLOOKUP(FACT_IMPORTS[[#This Row],[hts_6]],DIM_PRODUCTS[hts_6],DIM_PRODUCTS[hts_4],,,)</f>
        <v>8415</v>
      </c>
      <c r="I6685" t="str" cm="1">
        <f t="array" ref="I6685">_xlfn.XLOOKUP(FACT_IMPORTS[[#This Row],[country_name]],DIM_COUNTRY[[#All],[Column2]],DIM_COUNTRY[[#All],[Column3]],,,)</f>
        <v>Major_Non-USMCA_Non-China</v>
      </c>
    </row>
    <row r="6686" spans="1:9" x14ac:dyDescent="0.4">
      <c r="A6686" t="s">
        <v>68</v>
      </c>
      <c r="B6686" s="1">
        <v>45870</v>
      </c>
      <c r="C6686">
        <v>842132</v>
      </c>
      <c r="D6686" t="s">
        <v>176</v>
      </c>
      <c r="E6686">
        <v>115610</v>
      </c>
      <c r="F6686">
        <v>115</v>
      </c>
      <c r="G6686">
        <v>1091</v>
      </c>
      <c r="H6686">
        <f>_xlfn.XLOOKUP(FACT_IMPORTS[[#This Row],[hts_6]],DIM_PRODUCTS[hts_6],DIM_PRODUCTS[hts_4],,,)</f>
        <v>8421</v>
      </c>
      <c r="I6686" t="str" cm="1">
        <f t="array" ref="I6686">_xlfn.XLOOKUP(FACT_IMPORTS[[#This Row],[country_name]],DIM_COUNTRY[[#All],[Column2]],DIM_COUNTRY[[#All],[Column3]],,,)</f>
        <v>Major_Non-USMCA_Non-China</v>
      </c>
    </row>
    <row r="6687" spans="1:9" x14ac:dyDescent="0.4">
      <c r="A6687" t="s">
        <v>68</v>
      </c>
      <c r="B6687" s="1">
        <v>45870</v>
      </c>
      <c r="C6687">
        <v>848210</v>
      </c>
      <c r="D6687" t="s">
        <v>176</v>
      </c>
      <c r="E6687">
        <v>586588</v>
      </c>
      <c r="F6687">
        <v>9500</v>
      </c>
      <c r="G6687">
        <v>7885</v>
      </c>
      <c r="H6687">
        <f>_xlfn.XLOOKUP(FACT_IMPORTS[[#This Row],[hts_6]],DIM_PRODUCTS[hts_6],DIM_PRODUCTS[hts_4],,,)</f>
        <v>8482</v>
      </c>
      <c r="I6687" t="str" cm="1">
        <f t="array" ref="I6687">_xlfn.XLOOKUP(FACT_IMPORTS[[#This Row],[country_name]],DIM_COUNTRY[[#All],[Column2]],DIM_COUNTRY[[#All],[Column3]],,,)</f>
        <v>Major_Non-USMCA_Non-China</v>
      </c>
    </row>
    <row r="6688" spans="1:9" x14ac:dyDescent="0.4">
      <c r="A6688" t="s">
        <v>68</v>
      </c>
      <c r="B6688" s="1">
        <v>45870</v>
      </c>
      <c r="C6688">
        <v>848220</v>
      </c>
      <c r="D6688" t="s">
        <v>176</v>
      </c>
      <c r="E6688">
        <v>66553</v>
      </c>
      <c r="F6688">
        <v>3597</v>
      </c>
      <c r="G6688">
        <v>797</v>
      </c>
      <c r="H6688">
        <f>_xlfn.XLOOKUP(FACT_IMPORTS[[#This Row],[hts_6]],DIM_PRODUCTS[hts_6],DIM_PRODUCTS[hts_4],,,)</f>
        <v>8482</v>
      </c>
      <c r="I6688" t="str" cm="1">
        <f t="array" ref="I6688">_xlfn.XLOOKUP(FACT_IMPORTS[[#This Row],[country_name]],DIM_COUNTRY[[#All],[Column2]],DIM_COUNTRY[[#All],[Column3]],,,)</f>
        <v>Major_Non-USMCA_Non-China</v>
      </c>
    </row>
    <row r="6689" spans="1:9" x14ac:dyDescent="0.4">
      <c r="A6689" t="s">
        <v>68</v>
      </c>
      <c r="B6689" s="1">
        <v>45870</v>
      </c>
      <c r="C6689">
        <v>848310</v>
      </c>
      <c r="D6689" t="s">
        <v>176</v>
      </c>
      <c r="E6689">
        <v>4016792</v>
      </c>
      <c r="F6689">
        <v>21545</v>
      </c>
      <c r="G6689">
        <v>39955</v>
      </c>
      <c r="H6689">
        <f>_xlfn.XLOOKUP(FACT_IMPORTS[[#This Row],[hts_6]],DIM_PRODUCTS[hts_6],DIM_PRODUCTS[hts_4],,,)</f>
        <v>8483</v>
      </c>
      <c r="I6689" t="str" cm="1">
        <f t="array" ref="I6689">_xlfn.XLOOKUP(FACT_IMPORTS[[#This Row],[country_name]],DIM_COUNTRY[[#All],[Column2]],DIM_COUNTRY[[#All],[Column3]],,,)</f>
        <v>Major_Non-USMCA_Non-China</v>
      </c>
    </row>
    <row r="6690" spans="1:9" x14ac:dyDescent="0.4">
      <c r="A6690" t="s">
        <v>68</v>
      </c>
      <c r="B6690" s="1">
        <v>45870</v>
      </c>
      <c r="C6690">
        <v>850131</v>
      </c>
      <c r="D6690" t="s">
        <v>176</v>
      </c>
      <c r="E6690">
        <v>530505</v>
      </c>
      <c r="F6690">
        <v>14292</v>
      </c>
      <c r="G6690">
        <v>10624</v>
      </c>
      <c r="H6690">
        <f>_xlfn.XLOOKUP(FACT_IMPORTS[[#This Row],[hts_6]],DIM_PRODUCTS[hts_6],DIM_PRODUCTS[hts_4],,,)</f>
        <v>8501</v>
      </c>
      <c r="I6690" t="str" cm="1">
        <f t="array" ref="I6690">_xlfn.XLOOKUP(FACT_IMPORTS[[#This Row],[country_name]],DIM_COUNTRY[[#All],[Column2]],DIM_COUNTRY[[#All],[Column3]],,,)</f>
        <v>Major_Non-USMCA_Non-China</v>
      </c>
    </row>
    <row r="6691" spans="1:9" x14ac:dyDescent="0.4">
      <c r="A6691" t="s">
        <v>68</v>
      </c>
      <c r="B6691" s="1">
        <v>45870</v>
      </c>
      <c r="C6691">
        <v>850132</v>
      </c>
      <c r="D6691" t="s">
        <v>176</v>
      </c>
      <c r="E6691">
        <v>108912</v>
      </c>
      <c r="F6691">
        <v>155</v>
      </c>
      <c r="G6691">
        <v>2397</v>
      </c>
      <c r="H6691">
        <f>_xlfn.XLOOKUP(FACT_IMPORTS[[#This Row],[hts_6]],DIM_PRODUCTS[hts_6],DIM_PRODUCTS[hts_4],,,)</f>
        <v>8501</v>
      </c>
      <c r="I6691" t="str" cm="1">
        <f t="array" ref="I6691">_xlfn.XLOOKUP(FACT_IMPORTS[[#This Row],[country_name]],DIM_COUNTRY[[#All],[Column2]],DIM_COUNTRY[[#All],[Column3]],,,)</f>
        <v>Major_Non-USMCA_Non-China</v>
      </c>
    </row>
    <row r="6692" spans="1:9" x14ac:dyDescent="0.4">
      <c r="A6692" t="s">
        <v>68</v>
      </c>
      <c r="B6692" s="1">
        <v>45870</v>
      </c>
      <c r="C6692">
        <v>850133</v>
      </c>
      <c r="D6692" t="s">
        <v>176</v>
      </c>
      <c r="E6692">
        <v>6076</v>
      </c>
      <c r="F6692">
        <v>2</v>
      </c>
      <c r="G6692">
        <v>154</v>
      </c>
      <c r="H6692">
        <f>_xlfn.XLOOKUP(FACT_IMPORTS[[#This Row],[hts_6]],DIM_PRODUCTS[hts_6],DIM_PRODUCTS[hts_4],,,)</f>
        <v>8501</v>
      </c>
      <c r="I6692" t="str" cm="1">
        <f t="array" ref="I6692">_xlfn.XLOOKUP(FACT_IMPORTS[[#This Row],[country_name]],DIM_COUNTRY[[#All],[Column2]],DIM_COUNTRY[[#All],[Column3]],,,)</f>
        <v>Major_Non-USMCA_Non-China</v>
      </c>
    </row>
    <row r="6693" spans="1:9" x14ac:dyDescent="0.4">
      <c r="A6693" t="s">
        <v>68</v>
      </c>
      <c r="B6693" s="1">
        <v>45870</v>
      </c>
      <c r="C6693">
        <v>850134</v>
      </c>
      <c r="D6693" t="s">
        <v>176</v>
      </c>
      <c r="E6693">
        <v>0</v>
      </c>
      <c r="F6693">
        <v>0</v>
      </c>
      <c r="G6693">
        <v>0</v>
      </c>
      <c r="H6693">
        <f>_xlfn.XLOOKUP(FACT_IMPORTS[[#This Row],[hts_6]],DIM_PRODUCTS[hts_6],DIM_PRODUCTS[hts_4],,,)</f>
        <v>8501</v>
      </c>
      <c r="I6693" t="str" cm="1">
        <f t="array" ref="I6693">_xlfn.XLOOKUP(FACT_IMPORTS[[#This Row],[country_name]],DIM_COUNTRY[[#All],[Column2]],DIM_COUNTRY[[#All],[Column3]],,,)</f>
        <v>Major_Non-USMCA_Non-China</v>
      </c>
    </row>
    <row r="6694" spans="1:9" x14ac:dyDescent="0.4">
      <c r="A6694" t="s">
        <v>68</v>
      </c>
      <c r="B6694" s="1">
        <v>45870</v>
      </c>
      <c r="C6694">
        <v>850152</v>
      </c>
      <c r="D6694" t="s">
        <v>176</v>
      </c>
      <c r="E6694">
        <v>476950</v>
      </c>
      <c r="F6694">
        <v>91</v>
      </c>
      <c r="G6694">
        <v>24177</v>
      </c>
      <c r="H6694">
        <f>_xlfn.XLOOKUP(FACT_IMPORTS[[#This Row],[hts_6]],DIM_PRODUCTS[hts_6],DIM_PRODUCTS[hts_4],,,)</f>
        <v>8501</v>
      </c>
      <c r="I6694" t="str" cm="1">
        <f t="array" ref="I6694">_xlfn.XLOOKUP(FACT_IMPORTS[[#This Row],[country_name]],DIM_COUNTRY[[#All],[Column2]],DIM_COUNTRY[[#All],[Column3]],,,)</f>
        <v>Major_Non-USMCA_Non-China</v>
      </c>
    </row>
    <row r="6695" spans="1:9" x14ac:dyDescent="0.4">
      <c r="A6695" t="s">
        <v>68</v>
      </c>
      <c r="B6695" s="1">
        <v>45870</v>
      </c>
      <c r="C6695">
        <v>850153</v>
      </c>
      <c r="D6695" t="s">
        <v>176</v>
      </c>
      <c r="E6695">
        <v>45155</v>
      </c>
      <c r="F6695">
        <v>2</v>
      </c>
      <c r="G6695">
        <v>3459</v>
      </c>
      <c r="H6695">
        <f>_xlfn.XLOOKUP(FACT_IMPORTS[[#This Row],[hts_6]],DIM_PRODUCTS[hts_6],DIM_PRODUCTS[hts_4],,,)</f>
        <v>8501</v>
      </c>
      <c r="I6695" t="str" cm="1">
        <f t="array" ref="I6695">_xlfn.XLOOKUP(FACT_IMPORTS[[#This Row],[country_name]],DIM_COUNTRY[[#All],[Column2]],DIM_COUNTRY[[#All],[Column3]],,,)</f>
        <v>Major_Non-USMCA_Non-China</v>
      </c>
    </row>
    <row r="6696" spans="1:9" x14ac:dyDescent="0.4">
      <c r="A6696" t="s">
        <v>68</v>
      </c>
      <c r="B6696" s="1">
        <v>45870</v>
      </c>
      <c r="C6696">
        <v>850161</v>
      </c>
      <c r="D6696" t="s">
        <v>176</v>
      </c>
      <c r="E6696">
        <v>606206</v>
      </c>
      <c r="F6696">
        <v>1</v>
      </c>
      <c r="G6696">
        <v>83</v>
      </c>
      <c r="H6696">
        <f>_xlfn.XLOOKUP(FACT_IMPORTS[[#This Row],[hts_6]],DIM_PRODUCTS[hts_6],DIM_PRODUCTS[hts_4],,,)</f>
        <v>8501</v>
      </c>
      <c r="I6696" t="str" cm="1">
        <f t="array" ref="I6696">_xlfn.XLOOKUP(FACT_IMPORTS[[#This Row],[country_name]],DIM_COUNTRY[[#All],[Column2]],DIM_COUNTRY[[#All],[Column3]],,,)</f>
        <v>Major_Non-USMCA_Non-China</v>
      </c>
    </row>
    <row r="6697" spans="1:9" x14ac:dyDescent="0.4">
      <c r="A6697" t="s">
        <v>68</v>
      </c>
      <c r="B6697" s="1">
        <v>45870</v>
      </c>
      <c r="C6697">
        <v>850440</v>
      </c>
      <c r="D6697" t="s">
        <v>176</v>
      </c>
      <c r="E6697">
        <v>759746</v>
      </c>
      <c r="F6697">
        <v>1502</v>
      </c>
      <c r="G6697">
        <v>15867</v>
      </c>
      <c r="H6697">
        <f>_xlfn.XLOOKUP(FACT_IMPORTS[[#This Row],[hts_6]],DIM_PRODUCTS[hts_6],DIM_PRODUCTS[hts_4],,,)</f>
        <v>8504</v>
      </c>
      <c r="I6697" t="str" cm="1">
        <f t="array" ref="I6697">_xlfn.XLOOKUP(FACT_IMPORTS[[#This Row],[country_name]],DIM_COUNTRY[[#All],[Column2]],DIM_COUNTRY[[#All],[Column3]],,,)</f>
        <v>Major_Non-USMCA_Non-China</v>
      </c>
    </row>
    <row r="6698" spans="1:9" x14ac:dyDescent="0.4">
      <c r="A6698" t="s">
        <v>68</v>
      </c>
      <c r="B6698" s="1">
        <v>45870</v>
      </c>
      <c r="C6698">
        <v>850710</v>
      </c>
      <c r="D6698" t="s">
        <v>176</v>
      </c>
      <c r="E6698">
        <v>0</v>
      </c>
      <c r="F6698">
        <v>0</v>
      </c>
      <c r="G6698">
        <v>0</v>
      </c>
      <c r="H6698">
        <f>_xlfn.XLOOKUP(FACT_IMPORTS[[#This Row],[hts_6]],DIM_PRODUCTS[hts_6],DIM_PRODUCTS[hts_4],,,)</f>
        <v>8507</v>
      </c>
      <c r="I6698" t="str" cm="1">
        <f t="array" ref="I6698">_xlfn.XLOOKUP(FACT_IMPORTS[[#This Row],[country_name]],DIM_COUNTRY[[#All],[Column2]],DIM_COUNTRY[[#All],[Column3]],,,)</f>
        <v>Major_Non-USMCA_Non-China</v>
      </c>
    </row>
    <row r="6699" spans="1:9" x14ac:dyDescent="0.4">
      <c r="A6699" t="s">
        <v>68</v>
      </c>
      <c r="B6699" s="1">
        <v>45870</v>
      </c>
      <c r="C6699">
        <v>850760</v>
      </c>
      <c r="D6699" t="s">
        <v>176</v>
      </c>
      <c r="E6699">
        <v>384365</v>
      </c>
      <c r="F6699">
        <v>220</v>
      </c>
      <c r="G6699">
        <v>4698</v>
      </c>
      <c r="H6699">
        <f>_xlfn.XLOOKUP(FACT_IMPORTS[[#This Row],[hts_6]],DIM_PRODUCTS[hts_6],DIM_PRODUCTS[hts_4],,,)</f>
        <v>8507</v>
      </c>
      <c r="I6699" t="str" cm="1">
        <f t="array" ref="I6699">_xlfn.XLOOKUP(FACT_IMPORTS[[#This Row],[country_name]],DIM_COUNTRY[[#All],[Column2]],DIM_COUNTRY[[#All],[Column3]],,,)</f>
        <v>Major_Non-USMCA_Non-China</v>
      </c>
    </row>
    <row r="6700" spans="1:9" x14ac:dyDescent="0.4">
      <c r="A6700" t="s">
        <v>68</v>
      </c>
      <c r="B6700" s="1">
        <v>45870</v>
      </c>
      <c r="C6700">
        <v>850790</v>
      </c>
      <c r="D6700" t="s">
        <v>176</v>
      </c>
      <c r="E6700">
        <v>14858</v>
      </c>
      <c r="F6700">
        <v>538</v>
      </c>
      <c r="G6700">
        <v>2000</v>
      </c>
      <c r="H6700">
        <f>_xlfn.XLOOKUP(FACT_IMPORTS[[#This Row],[hts_6]],DIM_PRODUCTS[hts_6],DIM_PRODUCTS[hts_4],,,)</f>
        <v>8507</v>
      </c>
      <c r="I6700" t="str" cm="1">
        <f t="array" ref="I6700">_xlfn.XLOOKUP(FACT_IMPORTS[[#This Row],[country_name]],DIM_COUNTRY[[#All],[Column2]],DIM_COUNTRY[[#All],[Column3]],,,)</f>
        <v>Major_Non-USMCA_Non-China</v>
      </c>
    </row>
    <row r="6701" spans="1:9" x14ac:dyDescent="0.4">
      <c r="A6701" t="s">
        <v>68</v>
      </c>
      <c r="B6701" s="1">
        <v>45870</v>
      </c>
      <c r="C6701">
        <v>851110</v>
      </c>
      <c r="D6701" t="s">
        <v>176</v>
      </c>
      <c r="E6701">
        <v>280561</v>
      </c>
      <c r="F6701">
        <v>1480</v>
      </c>
      <c r="G6701">
        <v>4050</v>
      </c>
      <c r="H6701">
        <f>_xlfn.XLOOKUP(FACT_IMPORTS[[#This Row],[hts_6]],DIM_PRODUCTS[hts_6],DIM_PRODUCTS[hts_4],,,)</f>
        <v>8511</v>
      </c>
      <c r="I6701" t="str" cm="1">
        <f t="array" ref="I6701">_xlfn.XLOOKUP(FACT_IMPORTS[[#This Row],[country_name]],DIM_COUNTRY[[#All],[Column2]],DIM_COUNTRY[[#All],[Column3]],,,)</f>
        <v>Major_Non-USMCA_Non-China</v>
      </c>
    </row>
    <row r="6702" spans="1:9" x14ac:dyDescent="0.4">
      <c r="A6702" t="s">
        <v>68</v>
      </c>
      <c r="B6702" s="1">
        <v>45870</v>
      </c>
      <c r="C6702">
        <v>851130</v>
      </c>
      <c r="D6702" t="s">
        <v>176</v>
      </c>
      <c r="E6702">
        <v>2834</v>
      </c>
      <c r="F6702">
        <v>127</v>
      </c>
      <c r="G6702">
        <v>55</v>
      </c>
      <c r="H6702">
        <f>_xlfn.XLOOKUP(FACT_IMPORTS[[#This Row],[hts_6]],DIM_PRODUCTS[hts_6],DIM_PRODUCTS[hts_4],,,)</f>
        <v>8511</v>
      </c>
      <c r="I6702" t="str" cm="1">
        <f t="array" ref="I6702">_xlfn.XLOOKUP(FACT_IMPORTS[[#This Row],[country_name]],DIM_COUNTRY[[#All],[Column2]],DIM_COUNTRY[[#All],[Column3]],,,)</f>
        <v>Major_Non-USMCA_Non-China</v>
      </c>
    </row>
    <row r="6703" spans="1:9" x14ac:dyDescent="0.4">
      <c r="A6703" t="s">
        <v>68</v>
      </c>
      <c r="B6703" s="1">
        <v>45870</v>
      </c>
      <c r="C6703">
        <v>851140</v>
      </c>
      <c r="D6703" t="s">
        <v>176</v>
      </c>
      <c r="E6703">
        <v>6356</v>
      </c>
      <c r="F6703">
        <v>1</v>
      </c>
      <c r="G6703">
        <v>214</v>
      </c>
      <c r="H6703">
        <f>_xlfn.XLOOKUP(FACT_IMPORTS[[#This Row],[hts_6]],DIM_PRODUCTS[hts_6],DIM_PRODUCTS[hts_4],,,)</f>
        <v>8511</v>
      </c>
      <c r="I6703" t="str" cm="1">
        <f t="array" ref="I6703">_xlfn.XLOOKUP(FACT_IMPORTS[[#This Row],[country_name]],DIM_COUNTRY[[#All],[Column2]],DIM_COUNTRY[[#All],[Column3]],,,)</f>
        <v>Major_Non-USMCA_Non-China</v>
      </c>
    </row>
    <row r="6704" spans="1:9" x14ac:dyDescent="0.4">
      <c r="A6704" t="s">
        <v>68</v>
      </c>
      <c r="B6704" s="1">
        <v>45870</v>
      </c>
      <c r="C6704">
        <v>851150</v>
      </c>
      <c r="D6704" t="s">
        <v>176</v>
      </c>
      <c r="E6704">
        <v>21802</v>
      </c>
      <c r="F6704">
        <v>103</v>
      </c>
      <c r="G6704">
        <v>1569</v>
      </c>
      <c r="H6704">
        <f>_xlfn.XLOOKUP(FACT_IMPORTS[[#This Row],[hts_6]],DIM_PRODUCTS[hts_6],DIM_PRODUCTS[hts_4],,,)</f>
        <v>8511</v>
      </c>
      <c r="I6704" t="str" cm="1">
        <f t="array" ref="I6704">_xlfn.XLOOKUP(FACT_IMPORTS[[#This Row],[country_name]],DIM_COUNTRY[[#All],[Column2]],DIM_COUNTRY[[#All],[Column3]],,,)</f>
        <v>Major_Non-USMCA_Non-China</v>
      </c>
    </row>
    <row r="6705" spans="1:9" x14ac:dyDescent="0.4">
      <c r="A6705" t="s">
        <v>68</v>
      </c>
      <c r="B6705" s="1">
        <v>45870</v>
      </c>
      <c r="C6705">
        <v>851180</v>
      </c>
      <c r="D6705" t="s">
        <v>176</v>
      </c>
      <c r="E6705">
        <v>121279</v>
      </c>
      <c r="F6705">
        <v>672</v>
      </c>
      <c r="G6705">
        <v>8456</v>
      </c>
      <c r="H6705">
        <f>_xlfn.XLOOKUP(FACT_IMPORTS[[#This Row],[hts_6]],DIM_PRODUCTS[hts_6],DIM_PRODUCTS[hts_4],,,)</f>
        <v>8511</v>
      </c>
      <c r="I6705" t="str" cm="1">
        <f t="array" ref="I6705">_xlfn.XLOOKUP(FACT_IMPORTS[[#This Row],[country_name]],DIM_COUNTRY[[#All],[Column2]],DIM_COUNTRY[[#All],[Column3]],,,)</f>
        <v>Major_Non-USMCA_Non-China</v>
      </c>
    </row>
    <row r="6706" spans="1:9" x14ac:dyDescent="0.4">
      <c r="A6706" t="s">
        <v>68</v>
      </c>
      <c r="B6706" s="1">
        <v>45870</v>
      </c>
      <c r="C6706">
        <v>851190</v>
      </c>
      <c r="D6706" t="s">
        <v>176</v>
      </c>
      <c r="E6706">
        <v>2678</v>
      </c>
      <c r="F6706">
        <v>170</v>
      </c>
      <c r="G6706">
        <v>300</v>
      </c>
      <c r="H6706">
        <f>_xlfn.XLOOKUP(FACT_IMPORTS[[#This Row],[hts_6]],DIM_PRODUCTS[hts_6],DIM_PRODUCTS[hts_4],,,)</f>
        <v>8511</v>
      </c>
      <c r="I6706" t="str" cm="1">
        <f t="array" ref="I6706">_xlfn.XLOOKUP(FACT_IMPORTS[[#This Row],[country_name]],DIM_COUNTRY[[#All],[Column2]],DIM_COUNTRY[[#All],[Column3]],,,)</f>
        <v>Major_Non-USMCA_Non-China</v>
      </c>
    </row>
    <row r="6707" spans="1:9" x14ac:dyDescent="0.4">
      <c r="A6707" t="s">
        <v>68</v>
      </c>
      <c r="B6707" s="1">
        <v>45870</v>
      </c>
      <c r="C6707">
        <v>851220</v>
      </c>
      <c r="D6707" t="s">
        <v>176</v>
      </c>
      <c r="E6707">
        <v>138512</v>
      </c>
      <c r="F6707">
        <v>23328</v>
      </c>
      <c r="G6707">
        <v>13851</v>
      </c>
      <c r="H6707">
        <f>_xlfn.XLOOKUP(FACT_IMPORTS[[#This Row],[hts_6]],DIM_PRODUCTS[hts_6],DIM_PRODUCTS[hts_4],,,)</f>
        <v>8512</v>
      </c>
      <c r="I6707" t="str" cm="1">
        <f t="array" ref="I6707">_xlfn.XLOOKUP(FACT_IMPORTS[[#This Row],[country_name]],DIM_COUNTRY[[#All],[Column2]],DIM_COUNTRY[[#All],[Column3]],,,)</f>
        <v>Major_Non-USMCA_Non-China</v>
      </c>
    </row>
    <row r="6708" spans="1:9" x14ac:dyDescent="0.4">
      <c r="A6708" t="s">
        <v>68</v>
      </c>
      <c r="B6708" s="1">
        <v>45870</v>
      </c>
      <c r="C6708">
        <v>851230</v>
      </c>
      <c r="D6708" t="s">
        <v>176</v>
      </c>
      <c r="E6708">
        <v>0</v>
      </c>
      <c r="F6708">
        <v>0</v>
      </c>
      <c r="G6708">
        <v>0</v>
      </c>
      <c r="H6708">
        <f>_xlfn.XLOOKUP(FACT_IMPORTS[[#This Row],[hts_6]],DIM_PRODUCTS[hts_6],DIM_PRODUCTS[hts_4],,,)</f>
        <v>8512</v>
      </c>
      <c r="I6708" t="str" cm="1">
        <f t="array" ref="I6708">_xlfn.XLOOKUP(FACT_IMPORTS[[#This Row],[country_name]],DIM_COUNTRY[[#All],[Column2]],DIM_COUNTRY[[#All],[Column3]],,,)</f>
        <v>Major_Non-USMCA_Non-China</v>
      </c>
    </row>
    <row r="6709" spans="1:9" x14ac:dyDescent="0.4">
      <c r="A6709" t="s">
        <v>68</v>
      </c>
      <c r="B6709" s="1">
        <v>45870</v>
      </c>
      <c r="C6709">
        <v>851290</v>
      </c>
      <c r="D6709" t="s">
        <v>176</v>
      </c>
      <c r="E6709">
        <v>4599</v>
      </c>
      <c r="F6709">
        <v>102</v>
      </c>
      <c r="G6709">
        <v>950</v>
      </c>
      <c r="H6709">
        <f>_xlfn.XLOOKUP(FACT_IMPORTS[[#This Row],[hts_6]],DIM_PRODUCTS[hts_6],DIM_PRODUCTS[hts_4],,,)</f>
        <v>8512</v>
      </c>
      <c r="I6709" t="str" cm="1">
        <f t="array" ref="I6709">_xlfn.XLOOKUP(FACT_IMPORTS[[#This Row],[country_name]],DIM_COUNTRY[[#All],[Column2]],DIM_COUNTRY[[#All],[Column3]],,,)</f>
        <v>Major_Non-USMCA_Non-China</v>
      </c>
    </row>
    <row r="6710" spans="1:9" x14ac:dyDescent="0.4">
      <c r="A6710" t="s">
        <v>68</v>
      </c>
      <c r="B6710" s="1">
        <v>45870</v>
      </c>
      <c r="C6710">
        <v>854231</v>
      </c>
      <c r="D6710" t="s">
        <v>176</v>
      </c>
      <c r="E6710">
        <v>16810</v>
      </c>
      <c r="F6710">
        <v>45</v>
      </c>
      <c r="G6710">
        <v>665</v>
      </c>
      <c r="H6710">
        <f>_xlfn.XLOOKUP(FACT_IMPORTS[[#This Row],[hts_6]],DIM_PRODUCTS[hts_6],DIM_PRODUCTS[hts_4],,,)</f>
        <v>8542</v>
      </c>
      <c r="I6710" t="str" cm="1">
        <f t="array" ref="I6710">_xlfn.XLOOKUP(FACT_IMPORTS[[#This Row],[country_name]],DIM_COUNTRY[[#All],[Column2]],DIM_COUNTRY[[#All],[Column3]],,,)</f>
        <v>Major_Non-USMCA_Non-China</v>
      </c>
    </row>
    <row r="6711" spans="1:9" x14ac:dyDescent="0.4">
      <c r="A6711" t="s">
        <v>68</v>
      </c>
      <c r="B6711" s="1">
        <v>45870</v>
      </c>
      <c r="C6711">
        <v>854232</v>
      </c>
      <c r="D6711" t="s">
        <v>176</v>
      </c>
      <c r="E6711">
        <v>2201</v>
      </c>
      <c r="F6711">
        <v>3</v>
      </c>
      <c r="G6711">
        <v>1</v>
      </c>
      <c r="H6711">
        <f>_xlfn.XLOOKUP(FACT_IMPORTS[[#This Row],[hts_6]],DIM_PRODUCTS[hts_6],DIM_PRODUCTS[hts_4],,,)</f>
        <v>8542</v>
      </c>
      <c r="I6711" t="str" cm="1">
        <f t="array" ref="I6711">_xlfn.XLOOKUP(FACT_IMPORTS[[#This Row],[country_name]],DIM_COUNTRY[[#All],[Column2]],DIM_COUNTRY[[#All],[Column3]],,,)</f>
        <v>Major_Non-USMCA_Non-China</v>
      </c>
    </row>
    <row r="6712" spans="1:9" x14ac:dyDescent="0.4">
      <c r="A6712" t="s">
        <v>68</v>
      </c>
      <c r="B6712" s="1">
        <v>45870</v>
      </c>
      <c r="C6712">
        <v>854233</v>
      </c>
      <c r="D6712" t="s">
        <v>176</v>
      </c>
      <c r="E6712">
        <v>0</v>
      </c>
      <c r="F6712">
        <v>0</v>
      </c>
      <c r="G6712">
        <v>0</v>
      </c>
      <c r="H6712">
        <f>_xlfn.XLOOKUP(FACT_IMPORTS[[#This Row],[hts_6]],DIM_PRODUCTS[hts_6],DIM_PRODUCTS[hts_4],,,)</f>
        <v>8542</v>
      </c>
      <c r="I6712" t="str" cm="1">
        <f t="array" ref="I6712">_xlfn.XLOOKUP(FACT_IMPORTS[[#This Row],[country_name]],DIM_COUNTRY[[#All],[Column2]],DIM_COUNTRY[[#All],[Column3]],,,)</f>
        <v>Major_Non-USMCA_Non-China</v>
      </c>
    </row>
    <row r="6713" spans="1:9" x14ac:dyDescent="0.4">
      <c r="A6713" t="s">
        <v>68</v>
      </c>
      <c r="B6713" s="1">
        <v>45870</v>
      </c>
      <c r="C6713">
        <v>854239</v>
      </c>
      <c r="D6713" t="s">
        <v>176</v>
      </c>
      <c r="E6713">
        <v>0</v>
      </c>
      <c r="F6713">
        <v>0</v>
      </c>
      <c r="G6713">
        <v>0</v>
      </c>
      <c r="H6713">
        <f>_xlfn.XLOOKUP(FACT_IMPORTS[[#This Row],[hts_6]],DIM_PRODUCTS[hts_6],DIM_PRODUCTS[hts_4],,,)</f>
        <v>8542</v>
      </c>
      <c r="I6713" t="str" cm="1">
        <f t="array" ref="I6713">_xlfn.XLOOKUP(FACT_IMPORTS[[#This Row],[country_name]],DIM_COUNTRY[[#All],[Column2]],DIM_COUNTRY[[#All],[Column3]],,,)</f>
        <v>Major_Non-USMCA_Non-China</v>
      </c>
    </row>
    <row r="6714" spans="1:9" x14ac:dyDescent="0.4">
      <c r="A6714" t="s">
        <v>68</v>
      </c>
      <c r="B6714" s="1">
        <v>45870</v>
      </c>
      <c r="C6714">
        <v>854290</v>
      </c>
      <c r="D6714" t="s">
        <v>176</v>
      </c>
      <c r="E6714">
        <v>8445</v>
      </c>
      <c r="F6714">
        <v>5</v>
      </c>
      <c r="G6714">
        <v>332</v>
      </c>
      <c r="H6714">
        <f>_xlfn.XLOOKUP(FACT_IMPORTS[[#This Row],[hts_6]],DIM_PRODUCTS[hts_6],DIM_PRODUCTS[hts_4],,,)</f>
        <v>8542</v>
      </c>
      <c r="I6714" t="str" cm="1">
        <f t="array" ref="I6714">_xlfn.XLOOKUP(FACT_IMPORTS[[#This Row],[country_name]],DIM_COUNTRY[[#All],[Column2]],DIM_COUNTRY[[#All],[Column3]],,,)</f>
        <v>Major_Non-USMCA_Non-China</v>
      </c>
    </row>
    <row r="6715" spans="1:9" x14ac:dyDescent="0.4">
      <c r="A6715" t="s">
        <v>68</v>
      </c>
      <c r="B6715" s="1">
        <v>45870</v>
      </c>
      <c r="C6715">
        <v>854430</v>
      </c>
      <c r="D6715" t="s">
        <v>176</v>
      </c>
      <c r="E6715">
        <v>231496</v>
      </c>
      <c r="F6715">
        <v>15978</v>
      </c>
      <c r="G6715">
        <v>3776</v>
      </c>
      <c r="H6715">
        <f>_xlfn.XLOOKUP(FACT_IMPORTS[[#This Row],[hts_6]],DIM_PRODUCTS[hts_6],DIM_PRODUCTS[hts_4],,,)</f>
        <v>8544</v>
      </c>
      <c r="I6715" t="str" cm="1">
        <f t="array" ref="I6715">_xlfn.XLOOKUP(FACT_IMPORTS[[#This Row],[country_name]],DIM_COUNTRY[[#All],[Column2]],DIM_COUNTRY[[#All],[Column3]],,,)</f>
        <v>Major_Non-USMCA_Non-China</v>
      </c>
    </row>
    <row r="6716" spans="1:9" x14ac:dyDescent="0.4">
      <c r="A6716" t="s">
        <v>68</v>
      </c>
      <c r="B6716" s="1">
        <v>45870</v>
      </c>
      <c r="C6716">
        <v>870710</v>
      </c>
      <c r="D6716" t="s">
        <v>176</v>
      </c>
      <c r="E6716">
        <v>0</v>
      </c>
      <c r="F6716">
        <v>0</v>
      </c>
      <c r="G6716">
        <v>0</v>
      </c>
      <c r="H6716">
        <f>_xlfn.XLOOKUP(FACT_IMPORTS[[#This Row],[hts_6]],DIM_PRODUCTS[hts_6],DIM_PRODUCTS[hts_4],,,)</f>
        <v>8707</v>
      </c>
      <c r="I6716" t="str" cm="1">
        <f t="array" ref="I6716">_xlfn.XLOOKUP(FACT_IMPORTS[[#This Row],[country_name]],DIM_COUNTRY[[#All],[Column2]],DIM_COUNTRY[[#All],[Column3]],,,)</f>
        <v>Major_Non-USMCA_Non-China</v>
      </c>
    </row>
    <row r="6717" spans="1:9" x14ac:dyDescent="0.4">
      <c r="A6717" t="s">
        <v>68</v>
      </c>
      <c r="B6717" s="1">
        <v>45870</v>
      </c>
      <c r="C6717">
        <v>870790</v>
      </c>
      <c r="D6717" t="s">
        <v>176</v>
      </c>
      <c r="E6717">
        <v>0</v>
      </c>
      <c r="F6717">
        <v>0</v>
      </c>
      <c r="G6717">
        <v>0</v>
      </c>
      <c r="H6717">
        <f>_xlfn.XLOOKUP(FACT_IMPORTS[[#This Row],[hts_6]],DIM_PRODUCTS[hts_6],DIM_PRODUCTS[hts_4],,,)</f>
        <v>8707</v>
      </c>
      <c r="I6717" t="str" cm="1">
        <f t="array" ref="I6717">_xlfn.XLOOKUP(FACT_IMPORTS[[#This Row],[country_name]],DIM_COUNTRY[[#All],[Column2]],DIM_COUNTRY[[#All],[Column3]],,,)</f>
        <v>Major_Non-USMCA_Non-China</v>
      </c>
    </row>
    <row r="6718" spans="1:9" x14ac:dyDescent="0.4">
      <c r="A6718" t="s">
        <v>68</v>
      </c>
      <c r="B6718" s="1">
        <v>45870</v>
      </c>
      <c r="C6718">
        <v>870810</v>
      </c>
      <c r="D6718" t="s">
        <v>176</v>
      </c>
      <c r="E6718">
        <v>2076</v>
      </c>
      <c r="F6718">
        <v>30</v>
      </c>
      <c r="G6718">
        <v>104</v>
      </c>
      <c r="H6718">
        <f>_xlfn.XLOOKUP(FACT_IMPORTS[[#This Row],[hts_6]],DIM_PRODUCTS[hts_6],DIM_PRODUCTS[hts_4],,,)</f>
        <v>8708</v>
      </c>
      <c r="I6718" t="str" cm="1">
        <f t="array" ref="I6718">_xlfn.XLOOKUP(FACT_IMPORTS[[#This Row],[country_name]],DIM_COUNTRY[[#All],[Column2]],DIM_COUNTRY[[#All],[Column3]],,,)</f>
        <v>Major_Non-USMCA_Non-China</v>
      </c>
    </row>
    <row r="6719" spans="1:9" x14ac:dyDescent="0.4">
      <c r="A6719" t="s">
        <v>68</v>
      </c>
      <c r="B6719" s="1">
        <v>45870</v>
      </c>
      <c r="C6719">
        <v>870821</v>
      </c>
      <c r="D6719" t="s">
        <v>176</v>
      </c>
      <c r="E6719">
        <v>0</v>
      </c>
      <c r="F6719">
        <v>0</v>
      </c>
      <c r="G6719">
        <v>0</v>
      </c>
      <c r="H6719">
        <f>_xlfn.XLOOKUP(FACT_IMPORTS[[#This Row],[hts_6]],DIM_PRODUCTS[hts_6],DIM_PRODUCTS[hts_4],,,)</f>
        <v>8708</v>
      </c>
      <c r="I6719" t="str" cm="1">
        <f t="array" ref="I6719">_xlfn.XLOOKUP(FACT_IMPORTS[[#This Row],[country_name]],DIM_COUNTRY[[#All],[Column2]],DIM_COUNTRY[[#All],[Column3]],,,)</f>
        <v>Major_Non-USMCA_Non-China</v>
      </c>
    </row>
    <row r="6720" spans="1:9" x14ac:dyDescent="0.4">
      <c r="A6720" t="s">
        <v>68</v>
      </c>
      <c r="B6720" s="1">
        <v>45870</v>
      </c>
      <c r="C6720">
        <v>870822</v>
      </c>
      <c r="D6720" t="s">
        <v>176</v>
      </c>
      <c r="E6720">
        <v>0</v>
      </c>
      <c r="F6720">
        <v>0</v>
      </c>
      <c r="G6720">
        <v>0</v>
      </c>
      <c r="H6720">
        <f>_xlfn.XLOOKUP(FACT_IMPORTS[[#This Row],[hts_6]],DIM_PRODUCTS[hts_6],DIM_PRODUCTS[hts_4],,,)</f>
        <v>8708</v>
      </c>
      <c r="I6720" t="str" cm="1">
        <f t="array" ref="I6720">_xlfn.XLOOKUP(FACT_IMPORTS[[#This Row],[country_name]],DIM_COUNTRY[[#All],[Column2]],DIM_COUNTRY[[#All],[Column3]],,,)</f>
        <v>Major_Non-USMCA_Non-China</v>
      </c>
    </row>
    <row r="6721" spans="1:9" x14ac:dyDescent="0.4">
      <c r="A6721" t="s">
        <v>68</v>
      </c>
      <c r="B6721" s="1">
        <v>45870</v>
      </c>
      <c r="C6721">
        <v>870829</v>
      </c>
      <c r="D6721" t="s">
        <v>176</v>
      </c>
      <c r="E6721">
        <v>2050464</v>
      </c>
      <c r="F6721">
        <v>1543598</v>
      </c>
      <c r="G6721">
        <v>96590</v>
      </c>
      <c r="H6721">
        <f>_xlfn.XLOOKUP(FACT_IMPORTS[[#This Row],[hts_6]],DIM_PRODUCTS[hts_6],DIM_PRODUCTS[hts_4],,,)</f>
        <v>8708</v>
      </c>
      <c r="I6721" t="str" cm="1">
        <f t="array" ref="I6721">_xlfn.XLOOKUP(FACT_IMPORTS[[#This Row],[country_name]],DIM_COUNTRY[[#All],[Column2]],DIM_COUNTRY[[#All],[Column3]],,,)</f>
        <v>Major_Non-USMCA_Non-China</v>
      </c>
    </row>
    <row r="6722" spans="1:9" x14ac:dyDescent="0.4">
      <c r="A6722" t="s">
        <v>68</v>
      </c>
      <c r="B6722" s="1">
        <v>45870</v>
      </c>
      <c r="C6722">
        <v>870830</v>
      </c>
      <c r="D6722" t="s">
        <v>176</v>
      </c>
      <c r="E6722">
        <v>503063</v>
      </c>
      <c r="F6722">
        <v>5678</v>
      </c>
      <c r="G6722">
        <v>21637</v>
      </c>
      <c r="H6722">
        <f>_xlfn.XLOOKUP(FACT_IMPORTS[[#This Row],[hts_6]],DIM_PRODUCTS[hts_6],DIM_PRODUCTS[hts_4],,,)</f>
        <v>8708</v>
      </c>
      <c r="I6722" t="str" cm="1">
        <f t="array" ref="I6722">_xlfn.XLOOKUP(FACT_IMPORTS[[#This Row],[country_name]],DIM_COUNTRY[[#All],[Column2]],DIM_COUNTRY[[#All],[Column3]],,,)</f>
        <v>Major_Non-USMCA_Non-China</v>
      </c>
    </row>
    <row r="6723" spans="1:9" x14ac:dyDescent="0.4">
      <c r="A6723" t="s">
        <v>68</v>
      </c>
      <c r="B6723" s="1">
        <v>45870</v>
      </c>
      <c r="C6723">
        <v>870840</v>
      </c>
      <c r="D6723" t="s">
        <v>176</v>
      </c>
      <c r="E6723">
        <v>30601118</v>
      </c>
      <c r="F6723">
        <v>722687</v>
      </c>
      <c r="G6723">
        <v>102959</v>
      </c>
      <c r="H6723">
        <f>_xlfn.XLOOKUP(FACT_IMPORTS[[#This Row],[hts_6]],DIM_PRODUCTS[hts_6],DIM_PRODUCTS[hts_4],,,)</f>
        <v>8708</v>
      </c>
      <c r="I6723" t="str" cm="1">
        <f t="array" ref="I6723">_xlfn.XLOOKUP(FACT_IMPORTS[[#This Row],[country_name]],DIM_COUNTRY[[#All],[Column2]],DIM_COUNTRY[[#All],[Column3]],,,)</f>
        <v>Major_Non-USMCA_Non-China</v>
      </c>
    </row>
    <row r="6724" spans="1:9" x14ac:dyDescent="0.4">
      <c r="A6724" t="s">
        <v>68</v>
      </c>
      <c r="B6724" s="1">
        <v>45870</v>
      </c>
      <c r="C6724">
        <v>870850</v>
      </c>
      <c r="D6724" t="s">
        <v>176</v>
      </c>
      <c r="E6724">
        <v>11461885</v>
      </c>
      <c r="F6724">
        <v>388478</v>
      </c>
      <c r="G6724">
        <v>134152</v>
      </c>
      <c r="H6724">
        <f>_xlfn.XLOOKUP(FACT_IMPORTS[[#This Row],[hts_6]],DIM_PRODUCTS[hts_6],DIM_PRODUCTS[hts_4],,,)</f>
        <v>8708</v>
      </c>
      <c r="I6724" t="str" cm="1">
        <f t="array" ref="I6724">_xlfn.XLOOKUP(FACT_IMPORTS[[#This Row],[country_name]],DIM_COUNTRY[[#All],[Column2]],DIM_COUNTRY[[#All],[Column3]],,,)</f>
        <v>Major_Non-USMCA_Non-China</v>
      </c>
    </row>
    <row r="6725" spans="1:9" x14ac:dyDescent="0.4">
      <c r="A6725" t="s">
        <v>68</v>
      </c>
      <c r="B6725" s="1">
        <v>45870</v>
      </c>
      <c r="C6725">
        <v>870870</v>
      </c>
      <c r="D6725" t="s">
        <v>176</v>
      </c>
      <c r="E6725">
        <v>20689</v>
      </c>
      <c r="F6725">
        <v>199</v>
      </c>
      <c r="G6725">
        <v>1543</v>
      </c>
      <c r="H6725">
        <f>_xlfn.XLOOKUP(FACT_IMPORTS[[#This Row],[hts_6]],DIM_PRODUCTS[hts_6],DIM_PRODUCTS[hts_4],,,)</f>
        <v>8708</v>
      </c>
      <c r="I6725" t="str" cm="1">
        <f t="array" ref="I6725">_xlfn.XLOOKUP(FACT_IMPORTS[[#This Row],[country_name]],DIM_COUNTRY[[#All],[Column2]],DIM_COUNTRY[[#All],[Column3]],,,)</f>
        <v>Major_Non-USMCA_Non-China</v>
      </c>
    </row>
    <row r="6726" spans="1:9" x14ac:dyDescent="0.4">
      <c r="A6726" t="s">
        <v>68</v>
      </c>
      <c r="B6726" s="1">
        <v>45870</v>
      </c>
      <c r="C6726">
        <v>870880</v>
      </c>
      <c r="D6726" t="s">
        <v>176</v>
      </c>
      <c r="E6726">
        <v>1840542</v>
      </c>
      <c r="F6726">
        <v>665698</v>
      </c>
      <c r="G6726">
        <v>54630</v>
      </c>
      <c r="H6726">
        <f>_xlfn.XLOOKUP(FACT_IMPORTS[[#This Row],[hts_6]],DIM_PRODUCTS[hts_6],DIM_PRODUCTS[hts_4],,,)</f>
        <v>8708</v>
      </c>
      <c r="I6726" t="str" cm="1">
        <f t="array" ref="I6726">_xlfn.XLOOKUP(FACT_IMPORTS[[#This Row],[country_name]],DIM_COUNTRY[[#All],[Column2]],DIM_COUNTRY[[#All],[Column3]],,,)</f>
        <v>Major_Non-USMCA_Non-China</v>
      </c>
    </row>
    <row r="6727" spans="1:9" x14ac:dyDescent="0.4">
      <c r="A6727" t="s">
        <v>68</v>
      </c>
      <c r="B6727" s="1">
        <v>45870</v>
      </c>
      <c r="C6727">
        <v>870891</v>
      </c>
      <c r="D6727" t="s">
        <v>176</v>
      </c>
      <c r="E6727">
        <v>15477</v>
      </c>
      <c r="F6727">
        <v>278</v>
      </c>
      <c r="G6727">
        <v>33</v>
      </c>
      <c r="H6727">
        <f>_xlfn.XLOOKUP(FACT_IMPORTS[[#This Row],[hts_6]],DIM_PRODUCTS[hts_6],DIM_PRODUCTS[hts_4],,,)</f>
        <v>8708</v>
      </c>
      <c r="I6727" t="str" cm="1">
        <f t="array" ref="I6727">_xlfn.XLOOKUP(FACT_IMPORTS[[#This Row],[country_name]],DIM_COUNTRY[[#All],[Column2]],DIM_COUNTRY[[#All],[Column3]],,,)</f>
        <v>Major_Non-USMCA_Non-China</v>
      </c>
    </row>
    <row r="6728" spans="1:9" x14ac:dyDescent="0.4">
      <c r="A6728" t="s">
        <v>68</v>
      </c>
      <c r="B6728" s="1">
        <v>45870</v>
      </c>
      <c r="C6728">
        <v>870892</v>
      </c>
      <c r="D6728" t="s">
        <v>176</v>
      </c>
      <c r="E6728">
        <v>180676</v>
      </c>
      <c r="F6728">
        <v>55437</v>
      </c>
      <c r="G6728">
        <v>7506</v>
      </c>
      <c r="H6728">
        <f>_xlfn.XLOOKUP(FACT_IMPORTS[[#This Row],[hts_6]],DIM_PRODUCTS[hts_6],DIM_PRODUCTS[hts_4],,,)</f>
        <v>8708</v>
      </c>
      <c r="I6728" t="str" cm="1">
        <f t="array" ref="I6728">_xlfn.XLOOKUP(FACT_IMPORTS[[#This Row],[country_name]],DIM_COUNTRY[[#All],[Column2]],DIM_COUNTRY[[#All],[Column3]],,,)</f>
        <v>Major_Non-USMCA_Non-China</v>
      </c>
    </row>
    <row r="6729" spans="1:9" x14ac:dyDescent="0.4">
      <c r="A6729" t="s">
        <v>68</v>
      </c>
      <c r="B6729" s="1">
        <v>45870</v>
      </c>
      <c r="C6729">
        <v>870893</v>
      </c>
      <c r="D6729" t="s">
        <v>176</v>
      </c>
      <c r="E6729">
        <v>122926</v>
      </c>
      <c r="F6729">
        <v>243</v>
      </c>
      <c r="G6729">
        <v>519</v>
      </c>
      <c r="H6729">
        <f>_xlfn.XLOOKUP(FACT_IMPORTS[[#This Row],[hts_6]],DIM_PRODUCTS[hts_6],DIM_PRODUCTS[hts_4],,,)</f>
        <v>8708</v>
      </c>
      <c r="I6729" t="str" cm="1">
        <f t="array" ref="I6729">_xlfn.XLOOKUP(FACT_IMPORTS[[#This Row],[country_name]],DIM_COUNTRY[[#All],[Column2]],DIM_COUNTRY[[#All],[Column3]],,,)</f>
        <v>Major_Non-USMCA_Non-China</v>
      </c>
    </row>
    <row r="6730" spans="1:9" x14ac:dyDescent="0.4">
      <c r="A6730" t="s">
        <v>68</v>
      </c>
      <c r="B6730" s="1">
        <v>45870</v>
      </c>
      <c r="C6730">
        <v>870894</v>
      </c>
      <c r="D6730" t="s">
        <v>176</v>
      </c>
      <c r="E6730">
        <v>44562</v>
      </c>
      <c r="F6730">
        <v>1472</v>
      </c>
      <c r="G6730">
        <v>1846</v>
      </c>
      <c r="H6730">
        <f>_xlfn.XLOOKUP(FACT_IMPORTS[[#This Row],[hts_6]],DIM_PRODUCTS[hts_6],DIM_PRODUCTS[hts_4],,,)</f>
        <v>8708</v>
      </c>
      <c r="I6730" t="str" cm="1">
        <f t="array" ref="I6730">_xlfn.XLOOKUP(FACT_IMPORTS[[#This Row],[country_name]],DIM_COUNTRY[[#All],[Column2]],DIM_COUNTRY[[#All],[Column3]],,,)</f>
        <v>Major_Non-USMCA_Non-China</v>
      </c>
    </row>
    <row r="6731" spans="1:9" x14ac:dyDescent="0.4">
      <c r="A6731" t="s">
        <v>68</v>
      </c>
      <c r="B6731" s="1">
        <v>45870</v>
      </c>
      <c r="C6731">
        <v>870895</v>
      </c>
      <c r="D6731" t="s">
        <v>176</v>
      </c>
      <c r="E6731">
        <v>0</v>
      </c>
      <c r="F6731">
        <v>0</v>
      </c>
      <c r="G6731">
        <v>0</v>
      </c>
      <c r="H6731">
        <f>_xlfn.XLOOKUP(FACT_IMPORTS[[#This Row],[hts_6]],DIM_PRODUCTS[hts_6],DIM_PRODUCTS[hts_4],,,)</f>
        <v>8708</v>
      </c>
      <c r="I6731" t="str" cm="1">
        <f t="array" ref="I6731">_xlfn.XLOOKUP(FACT_IMPORTS[[#This Row],[country_name]],DIM_COUNTRY[[#All],[Column2]],DIM_COUNTRY[[#All],[Column3]],,,)</f>
        <v>Major_Non-USMCA_Non-China</v>
      </c>
    </row>
    <row r="6732" spans="1:9" x14ac:dyDescent="0.4">
      <c r="A6732" t="s">
        <v>68</v>
      </c>
      <c r="B6732" s="1">
        <v>45870</v>
      </c>
      <c r="C6732">
        <v>870899</v>
      </c>
      <c r="D6732" t="s">
        <v>176</v>
      </c>
      <c r="E6732">
        <v>1940216</v>
      </c>
      <c r="F6732">
        <v>575792</v>
      </c>
      <c r="G6732">
        <v>65699</v>
      </c>
      <c r="H6732">
        <f>_xlfn.XLOOKUP(FACT_IMPORTS[[#This Row],[hts_6]],DIM_PRODUCTS[hts_6],DIM_PRODUCTS[hts_4],,,)</f>
        <v>8708</v>
      </c>
      <c r="I6732" t="str" cm="1">
        <f t="array" ref="I6732">_xlfn.XLOOKUP(FACT_IMPORTS[[#This Row],[country_name]],DIM_COUNTRY[[#All],[Column2]],DIM_COUNTRY[[#All],[Column3]],,,)</f>
        <v>Major_Non-USMCA_Non-China</v>
      </c>
    </row>
    <row r="6733" spans="1:9" x14ac:dyDescent="0.4">
      <c r="A6733" t="s">
        <v>68</v>
      </c>
      <c r="B6733" s="1">
        <v>45870</v>
      </c>
      <c r="C6733">
        <v>940120</v>
      </c>
      <c r="D6733" t="s">
        <v>176</v>
      </c>
      <c r="E6733">
        <v>16844</v>
      </c>
      <c r="F6733">
        <v>11</v>
      </c>
      <c r="G6733">
        <v>749</v>
      </c>
      <c r="H6733">
        <f>_xlfn.XLOOKUP(FACT_IMPORTS[[#This Row],[hts_6]],DIM_PRODUCTS[hts_6],DIM_PRODUCTS[hts_4],,,)</f>
        <v>9401</v>
      </c>
      <c r="I6733" t="str" cm="1">
        <f t="array" ref="I6733">_xlfn.XLOOKUP(FACT_IMPORTS[[#This Row],[country_name]],DIM_COUNTRY[[#All],[Column2]],DIM_COUNTRY[[#All],[Column3]],,,)</f>
        <v>Major_Non-USMCA_Non-China</v>
      </c>
    </row>
    <row r="6734" spans="1:9" x14ac:dyDescent="0.4">
      <c r="A6734" t="s">
        <v>68</v>
      </c>
      <c r="B6734" s="1">
        <v>45901</v>
      </c>
      <c r="C6734">
        <v>392630</v>
      </c>
      <c r="D6734" t="s">
        <v>176</v>
      </c>
      <c r="E6734">
        <v>300296</v>
      </c>
      <c r="F6734">
        <v>20042</v>
      </c>
      <c r="G6734">
        <v>13304</v>
      </c>
      <c r="H6734">
        <f>_xlfn.XLOOKUP(FACT_IMPORTS[[#This Row],[hts_6]],DIM_PRODUCTS[hts_6],DIM_PRODUCTS[hts_4],,,)</f>
        <v>3926</v>
      </c>
      <c r="I6734" t="str" cm="1">
        <f t="array" ref="I6734">_xlfn.XLOOKUP(FACT_IMPORTS[[#This Row],[country_name]],DIM_COUNTRY[[#All],[Column2]],DIM_COUNTRY[[#All],[Column3]],,,)</f>
        <v>Major_Non-USMCA_Non-China</v>
      </c>
    </row>
    <row r="6735" spans="1:9" x14ac:dyDescent="0.4">
      <c r="A6735" t="s">
        <v>68</v>
      </c>
      <c r="B6735" s="1">
        <v>45901</v>
      </c>
      <c r="C6735">
        <v>401110</v>
      </c>
      <c r="D6735" t="s">
        <v>176</v>
      </c>
      <c r="E6735">
        <v>70885</v>
      </c>
      <c r="F6735">
        <v>765</v>
      </c>
      <c r="G6735">
        <v>132</v>
      </c>
      <c r="H6735">
        <f>_xlfn.XLOOKUP(FACT_IMPORTS[[#This Row],[hts_6]],DIM_PRODUCTS[hts_6],DIM_PRODUCTS[hts_4],,,)</f>
        <v>4011</v>
      </c>
      <c r="I6735" t="str" cm="1">
        <f t="array" ref="I6735">_xlfn.XLOOKUP(FACT_IMPORTS[[#This Row],[country_name]],DIM_COUNTRY[[#All],[Column2]],DIM_COUNTRY[[#All],[Column3]],,,)</f>
        <v>Major_Non-USMCA_Non-China</v>
      </c>
    </row>
    <row r="6736" spans="1:9" x14ac:dyDescent="0.4">
      <c r="A6736" t="s">
        <v>68</v>
      </c>
      <c r="B6736" s="1">
        <v>45901</v>
      </c>
      <c r="C6736">
        <v>401120</v>
      </c>
      <c r="D6736" t="s">
        <v>176</v>
      </c>
      <c r="E6736">
        <v>0</v>
      </c>
      <c r="F6736">
        <v>0</v>
      </c>
      <c r="G6736">
        <v>0</v>
      </c>
      <c r="H6736">
        <f>_xlfn.XLOOKUP(FACT_IMPORTS[[#This Row],[hts_6]],DIM_PRODUCTS[hts_6],DIM_PRODUCTS[hts_4],,,)</f>
        <v>4011</v>
      </c>
      <c r="I6736" t="str" cm="1">
        <f t="array" ref="I6736">_xlfn.XLOOKUP(FACT_IMPORTS[[#This Row],[country_name]],DIM_COUNTRY[[#All],[Column2]],DIM_COUNTRY[[#All],[Column3]],,,)</f>
        <v>Major_Non-USMCA_Non-China</v>
      </c>
    </row>
    <row r="6737" spans="1:9" x14ac:dyDescent="0.4">
      <c r="A6737" t="s">
        <v>68</v>
      </c>
      <c r="B6737" s="1">
        <v>45901</v>
      </c>
      <c r="C6737">
        <v>401190</v>
      </c>
      <c r="D6737" t="s">
        <v>176</v>
      </c>
      <c r="E6737">
        <v>0</v>
      </c>
      <c r="F6737">
        <v>0</v>
      </c>
      <c r="G6737">
        <v>0</v>
      </c>
      <c r="H6737">
        <f>_xlfn.XLOOKUP(FACT_IMPORTS[[#This Row],[hts_6]],DIM_PRODUCTS[hts_6],DIM_PRODUCTS[hts_4],,,)</f>
        <v>4011</v>
      </c>
      <c r="I6737" t="str" cm="1">
        <f t="array" ref="I6737">_xlfn.XLOOKUP(FACT_IMPORTS[[#This Row],[country_name]],DIM_COUNTRY[[#All],[Column2]],DIM_COUNTRY[[#All],[Column3]],,,)</f>
        <v>Major_Non-USMCA_Non-China</v>
      </c>
    </row>
    <row r="6738" spans="1:9" x14ac:dyDescent="0.4">
      <c r="A6738" t="s">
        <v>68</v>
      </c>
      <c r="B6738" s="1">
        <v>45901</v>
      </c>
      <c r="C6738">
        <v>700711</v>
      </c>
      <c r="D6738" t="s">
        <v>176</v>
      </c>
      <c r="E6738">
        <v>0</v>
      </c>
      <c r="F6738">
        <v>0</v>
      </c>
      <c r="G6738">
        <v>0</v>
      </c>
      <c r="H6738">
        <f>_xlfn.XLOOKUP(FACT_IMPORTS[[#This Row],[hts_6]],DIM_PRODUCTS[hts_6],DIM_PRODUCTS[hts_4],,,)</f>
        <v>7007</v>
      </c>
      <c r="I6738" t="str" cm="1">
        <f t="array" ref="I6738">_xlfn.XLOOKUP(FACT_IMPORTS[[#This Row],[country_name]],DIM_COUNTRY[[#All],[Column2]],DIM_COUNTRY[[#All],[Column3]],,,)</f>
        <v>Major_Non-USMCA_Non-China</v>
      </c>
    </row>
    <row r="6739" spans="1:9" x14ac:dyDescent="0.4">
      <c r="A6739" t="s">
        <v>68</v>
      </c>
      <c r="B6739" s="1">
        <v>45901</v>
      </c>
      <c r="C6739">
        <v>700721</v>
      </c>
      <c r="D6739" t="s">
        <v>176</v>
      </c>
      <c r="E6739">
        <v>0</v>
      </c>
      <c r="F6739">
        <v>0</v>
      </c>
      <c r="G6739">
        <v>0</v>
      </c>
      <c r="H6739">
        <f>_xlfn.XLOOKUP(FACT_IMPORTS[[#This Row],[hts_6]],DIM_PRODUCTS[hts_6],DIM_PRODUCTS[hts_4],,,)</f>
        <v>7007</v>
      </c>
      <c r="I6739" t="str" cm="1">
        <f t="array" ref="I6739">_xlfn.XLOOKUP(FACT_IMPORTS[[#This Row],[country_name]],DIM_COUNTRY[[#All],[Column2]],DIM_COUNTRY[[#All],[Column3]],,,)</f>
        <v>Major_Non-USMCA_Non-China</v>
      </c>
    </row>
    <row r="6740" spans="1:9" x14ac:dyDescent="0.4">
      <c r="A6740" t="s">
        <v>68</v>
      </c>
      <c r="B6740" s="1">
        <v>45901</v>
      </c>
      <c r="C6740">
        <v>700910</v>
      </c>
      <c r="D6740" t="s">
        <v>176</v>
      </c>
      <c r="E6740">
        <v>21912</v>
      </c>
      <c r="F6740">
        <v>141</v>
      </c>
      <c r="G6740">
        <v>369</v>
      </c>
      <c r="H6740">
        <f>_xlfn.XLOOKUP(FACT_IMPORTS[[#This Row],[hts_6]],DIM_PRODUCTS[hts_6],DIM_PRODUCTS[hts_4],,,)</f>
        <v>7009</v>
      </c>
      <c r="I6740" t="str" cm="1">
        <f t="array" ref="I6740">_xlfn.XLOOKUP(FACT_IMPORTS[[#This Row],[country_name]],DIM_COUNTRY[[#All],[Column2]],DIM_COUNTRY[[#All],[Column3]],,,)</f>
        <v>Major_Non-USMCA_Non-China</v>
      </c>
    </row>
    <row r="6741" spans="1:9" x14ac:dyDescent="0.4">
      <c r="A6741" t="s">
        <v>68</v>
      </c>
      <c r="B6741" s="1">
        <v>45901</v>
      </c>
      <c r="C6741">
        <v>732010</v>
      </c>
      <c r="D6741" t="s">
        <v>176</v>
      </c>
      <c r="E6741">
        <v>0</v>
      </c>
      <c r="F6741">
        <v>0</v>
      </c>
      <c r="G6741">
        <v>0</v>
      </c>
      <c r="H6741">
        <f>_xlfn.XLOOKUP(FACT_IMPORTS[[#This Row],[hts_6]],DIM_PRODUCTS[hts_6],DIM_PRODUCTS[hts_4],,,)</f>
        <v>7320</v>
      </c>
      <c r="I6741" t="str" cm="1">
        <f t="array" ref="I6741">_xlfn.XLOOKUP(FACT_IMPORTS[[#This Row],[country_name]],DIM_COUNTRY[[#All],[Column2]],DIM_COUNTRY[[#All],[Column3]],,,)</f>
        <v>Major_Non-USMCA_Non-China</v>
      </c>
    </row>
    <row r="6742" spans="1:9" x14ac:dyDescent="0.4">
      <c r="A6742" t="s">
        <v>68</v>
      </c>
      <c r="B6742" s="1">
        <v>45901</v>
      </c>
      <c r="C6742">
        <v>830230</v>
      </c>
      <c r="D6742" t="s">
        <v>176</v>
      </c>
      <c r="E6742">
        <v>352217</v>
      </c>
      <c r="F6742">
        <v>56326</v>
      </c>
      <c r="G6742">
        <v>26367</v>
      </c>
      <c r="H6742">
        <f>_xlfn.XLOOKUP(FACT_IMPORTS[[#This Row],[hts_6]],DIM_PRODUCTS[hts_6],DIM_PRODUCTS[hts_4],,,)</f>
        <v>8302</v>
      </c>
      <c r="I6742" t="str" cm="1">
        <f t="array" ref="I6742">_xlfn.XLOOKUP(FACT_IMPORTS[[#This Row],[country_name]],DIM_COUNTRY[[#All],[Column2]],DIM_COUNTRY[[#All],[Column3]],,,)</f>
        <v>Major_Non-USMCA_Non-China</v>
      </c>
    </row>
    <row r="6743" spans="1:9" x14ac:dyDescent="0.4">
      <c r="A6743" t="s">
        <v>68</v>
      </c>
      <c r="B6743" s="1">
        <v>45901</v>
      </c>
      <c r="C6743">
        <v>840734</v>
      </c>
      <c r="D6743" t="s">
        <v>176</v>
      </c>
      <c r="E6743">
        <v>24700</v>
      </c>
      <c r="F6743">
        <v>4</v>
      </c>
      <c r="G6743">
        <v>863</v>
      </c>
      <c r="H6743">
        <f>_xlfn.XLOOKUP(FACT_IMPORTS[[#This Row],[hts_6]],DIM_PRODUCTS[hts_6],DIM_PRODUCTS[hts_4],,,)</f>
        <v>8407</v>
      </c>
      <c r="I6743" t="str" cm="1">
        <f t="array" ref="I6743">_xlfn.XLOOKUP(FACT_IMPORTS[[#This Row],[country_name]],DIM_COUNTRY[[#All],[Column2]],DIM_COUNTRY[[#All],[Column3]],,,)</f>
        <v>Major_Non-USMCA_Non-China</v>
      </c>
    </row>
    <row r="6744" spans="1:9" x14ac:dyDescent="0.4">
      <c r="A6744" t="s">
        <v>68</v>
      </c>
      <c r="B6744" s="1">
        <v>45901</v>
      </c>
      <c r="C6744">
        <v>840820</v>
      </c>
      <c r="D6744" t="s">
        <v>176</v>
      </c>
      <c r="E6744">
        <v>0</v>
      </c>
      <c r="F6744">
        <v>0</v>
      </c>
      <c r="G6744">
        <v>0</v>
      </c>
      <c r="H6744">
        <f>_xlfn.XLOOKUP(FACT_IMPORTS[[#This Row],[hts_6]],DIM_PRODUCTS[hts_6],DIM_PRODUCTS[hts_4],,,)</f>
        <v>8408</v>
      </c>
      <c r="I6744" t="str" cm="1">
        <f t="array" ref="I6744">_xlfn.XLOOKUP(FACT_IMPORTS[[#This Row],[country_name]],DIM_COUNTRY[[#All],[Column2]],DIM_COUNTRY[[#All],[Column3]],,,)</f>
        <v>Major_Non-USMCA_Non-China</v>
      </c>
    </row>
    <row r="6745" spans="1:9" x14ac:dyDescent="0.4">
      <c r="A6745" t="s">
        <v>68</v>
      </c>
      <c r="B6745" s="1">
        <v>45901</v>
      </c>
      <c r="C6745">
        <v>840890</v>
      </c>
      <c r="D6745" t="s">
        <v>176</v>
      </c>
      <c r="E6745">
        <v>0</v>
      </c>
      <c r="F6745">
        <v>0</v>
      </c>
      <c r="G6745">
        <v>0</v>
      </c>
      <c r="H6745">
        <f>_xlfn.XLOOKUP(FACT_IMPORTS[[#This Row],[hts_6]],DIM_PRODUCTS[hts_6],DIM_PRODUCTS[hts_4],,,)</f>
        <v>8408</v>
      </c>
      <c r="I6745" t="str" cm="1">
        <f t="array" ref="I6745">_xlfn.XLOOKUP(FACT_IMPORTS[[#This Row],[country_name]],DIM_COUNTRY[[#All],[Column2]],DIM_COUNTRY[[#All],[Column3]],,,)</f>
        <v>Major_Non-USMCA_Non-China</v>
      </c>
    </row>
    <row r="6746" spans="1:9" x14ac:dyDescent="0.4">
      <c r="A6746" t="s">
        <v>68</v>
      </c>
      <c r="B6746" s="1">
        <v>45901</v>
      </c>
      <c r="C6746">
        <v>840991</v>
      </c>
      <c r="D6746" t="s">
        <v>176</v>
      </c>
      <c r="E6746">
        <v>1251154</v>
      </c>
      <c r="F6746">
        <v>173171</v>
      </c>
      <c r="G6746">
        <v>48463</v>
      </c>
      <c r="H6746">
        <f>_xlfn.XLOOKUP(FACT_IMPORTS[[#This Row],[hts_6]],DIM_PRODUCTS[hts_6],DIM_PRODUCTS[hts_4],,,)</f>
        <v>8409</v>
      </c>
      <c r="I6746" t="str" cm="1">
        <f t="array" ref="I6746">_xlfn.XLOOKUP(FACT_IMPORTS[[#This Row],[country_name]],DIM_COUNTRY[[#All],[Column2]],DIM_COUNTRY[[#All],[Column3]],,,)</f>
        <v>Major_Non-USMCA_Non-China</v>
      </c>
    </row>
    <row r="6747" spans="1:9" x14ac:dyDescent="0.4">
      <c r="A6747" t="s">
        <v>68</v>
      </c>
      <c r="B6747" s="1">
        <v>45901</v>
      </c>
      <c r="C6747">
        <v>840999</v>
      </c>
      <c r="D6747" t="s">
        <v>176</v>
      </c>
      <c r="E6747">
        <v>16141040</v>
      </c>
      <c r="F6747">
        <v>2282085</v>
      </c>
      <c r="G6747">
        <v>505876</v>
      </c>
      <c r="H6747">
        <f>_xlfn.XLOOKUP(FACT_IMPORTS[[#This Row],[hts_6]],DIM_PRODUCTS[hts_6],DIM_PRODUCTS[hts_4],,,)</f>
        <v>8409</v>
      </c>
      <c r="I6747" t="str" cm="1">
        <f t="array" ref="I6747">_xlfn.XLOOKUP(FACT_IMPORTS[[#This Row],[country_name]],DIM_COUNTRY[[#All],[Column2]],DIM_COUNTRY[[#All],[Column3]],,,)</f>
        <v>Major_Non-USMCA_Non-China</v>
      </c>
    </row>
    <row r="6748" spans="1:9" x14ac:dyDescent="0.4">
      <c r="A6748" t="s">
        <v>68</v>
      </c>
      <c r="B6748" s="1">
        <v>45901</v>
      </c>
      <c r="C6748">
        <v>841330</v>
      </c>
      <c r="D6748" t="s">
        <v>176</v>
      </c>
      <c r="E6748">
        <v>6134949</v>
      </c>
      <c r="F6748">
        <v>58000</v>
      </c>
      <c r="G6748">
        <v>45721</v>
      </c>
      <c r="H6748">
        <f>_xlfn.XLOOKUP(FACT_IMPORTS[[#This Row],[hts_6]],DIM_PRODUCTS[hts_6],DIM_PRODUCTS[hts_4],,,)</f>
        <v>8413</v>
      </c>
      <c r="I6748" t="str" cm="1">
        <f t="array" ref="I6748">_xlfn.XLOOKUP(FACT_IMPORTS[[#This Row],[country_name]],DIM_COUNTRY[[#All],[Column2]],DIM_COUNTRY[[#All],[Column3]],,,)</f>
        <v>Major_Non-USMCA_Non-China</v>
      </c>
    </row>
    <row r="6749" spans="1:9" x14ac:dyDescent="0.4">
      <c r="A6749" t="s">
        <v>68</v>
      </c>
      <c r="B6749" s="1">
        <v>45901</v>
      </c>
      <c r="C6749">
        <v>841520</v>
      </c>
      <c r="D6749" t="s">
        <v>176</v>
      </c>
      <c r="E6749">
        <v>11651</v>
      </c>
      <c r="F6749">
        <v>2</v>
      </c>
      <c r="G6749">
        <v>2000</v>
      </c>
      <c r="H6749">
        <f>_xlfn.XLOOKUP(FACT_IMPORTS[[#This Row],[hts_6]],DIM_PRODUCTS[hts_6],DIM_PRODUCTS[hts_4],,,)</f>
        <v>8415</v>
      </c>
      <c r="I6749" t="str" cm="1">
        <f t="array" ref="I6749">_xlfn.XLOOKUP(FACT_IMPORTS[[#This Row],[country_name]],DIM_COUNTRY[[#All],[Column2]],DIM_COUNTRY[[#All],[Column3]],,,)</f>
        <v>Major_Non-USMCA_Non-China</v>
      </c>
    </row>
    <row r="6750" spans="1:9" x14ac:dyDescent="0.4">
      <c r="A6750" t="s">
        <v>68</v>
      </c>
      <c r="B6750" s="1">
        <v>45901</v>
      </c>
      <c r="C6750">
        <v>842132</v>
      </c>
      <c r="D6750" t="s">
        <v>176</v>
      </c>
      <c r="E6750">
        <v>0</v>
      </c>
      <c r="F6750">
        <v>0</v>
      </c>
      <c r="G6750">
        <v>0</v>
      </c>
      <c r="H6750">
        <f>_xlfn.XLOOKUP(FACT_IMPORTS[[#This Row],[hts_6]],DIM_PRODUCTS[hts_6],DIM_PRODUCTS[hts_4],,,)</f>
        <v>8421</v>
      </c>
      <c r="I6750" t="str" cm="1">
        <f t="array" ref="I6750">_xlfn.XLOOKUP(FACT_IMPORTS[[#This Row],[country_name]],DIM_COUNTRY[[#All],[Column2]],DIM_COUNTRY[[#All],[Column3]],,,)</f>
        <v>Major_Non-USMCA_Non-China</v>
      </c>
    </row>
    <row r="6751" spans="1:9" x14ac:dyDescent="0.4">
      <c r="A6751" t="s">
        <v>68</v>
      </c>
      <c r="B6751" s="1">
        <v>45901</v>
      </c>
      <c r="C6751">
        <v>848210</v>
      </c>
      <c r="D6751" t="s">
        <v>176</v>
      </c>
      <c r="E6751">
        <v>207586</v>
      </c>
      <c r="F6751">
        <v>670</v>
      </c>
      <c r="G6751">
        <v>10206</v>
      </c>
      <c r="H6751">
        <f>_xlfn.XLOOKUP(FACT_IMPORTS[[#This Row],[hts_6]],DIM_PRODUCTS[hts_6],DIM_PRODUCTS[hts_4],,,)</f>
        <v>8482</v>
      </c>
      <c r="I6751" t="str" cm="1">
        <f t="array" ref="I6751">_xlfn.XLOOKUP(FACT_IMPORTS[[#This Row],[country_name]],DIM_COUNTRY[[#All],[Column2]],DIM_COUNTRY[[#All],[Column3]],,,)</f>
        <v>Major_Non-USMCA_Non-China</v>
      </c>
    </row>
    <row r="6752" spans="1:9" x14ac:dyDescent="0.4">
      <c r="A6752" t="s">
        <v>68</v>
      </c>
      <c r="B6752" s="1">
        <v>45901</v>
      </c>
      <c r="C6752">
        <v>848220</v>
      </c>
      <c r="D6752" t="s">
        <v>176</v>
      </c>
      <c r="E6752">
        <v>26865</v>
      </c>
      <c r="F6752">
        <v>1500</v>
      </c>
      <c r="G6752">
        <v>332</v>
      </c>
      <c r="H6752">
        <f>_xlfn.XLOOKUP(FACT_IMPORTS[[#This Row],[hts_6]],DIM_PRODUCTS[hts_6],DIM_PRODUCTS[hts_4],,,)</f>
        <v>8482</v>
      </c>
      <c r="I6752" t="str" cm="1">
        <f t="array" ref="I6752">_xlfn.XLOOKUP(FACT_IMPORTS[[#This Row],[country_name]],DIM_COUNTRY[[#All],[Column2]],DIM_COUNTRY[[#All],[Column3]],,,)</f>
        <v>Major_Non-USMCA_Non-China</v>
      </c>
    </row>
    <row r="6753" spans="1:9" x14ac:dyDescent="0.4">
      <c r="A6753" t="s">
        <v>68</v>
      </c>
      <c r="B6753" s="1">
        <v>45901</v>
      </c>
      <c r="C6753">
        <v>848310</v>
      </c>
      <c r="D6753" t="s">
        <v>176</v>
      </c>
      <c r="E6753">
        <v>2532143</v>
      </c>
      <c r="F6753">
        <v>12429</v>
      </c>
      <c r="G6753">
        <v>27770</v>
      </c>
      <c r="H6753">
        <f>_xlfn.XLOOKUP(FACT_IMPORTS[[#This Row],[hts_6]],DIM_PRODUCTS[hts_6],DIM_PRODUCTS[hts_4],,,)</f>
        <v>8483</v>
      </c>
      <c r="I6753" t="str" cm="1">
        <f t="array" ref="I6753">_xlfn.XLOOKUP(FACT_IMPORTS[[#This Row],[country_name]],DIM_COUNTRY[[#All],[Column2]],DIM_COUNTRY[[#All],[Column3]],,,)</f>
        <v>Major_Non-USMCA_Non-China</v>
      </c>
    </row>
    <row r="6754" spans="1:9" x14ac:dyDescent="0.4">
      <c r="A6754" t="s">
        <v>68</v>
      </c>
      <c r="B6754" s="1">
        <v>45901</v>
      </c>
      <c r="C6754">
        <v>850131</v>
      </c>
      <c r="D6754" t="s">
        <v>176</v>
      </c>
      <c r="E6754">
        <v>281552</v>
      </c>
      <c r="F6754">
        <v>4090</v>
      </c>
      <c r="G6754">
        <v>1865</v>
      </c>
      <c r="H6754">
        <f>_xlfn.XLOOKUP(FACT_IMPORTS[[#This Row],[hts_6]],DIM_PRODUCTS[hts_6],DIM_PRODUCTS[hts_4],,,)</f>
        <v>8501</v>
      </c>
      <c r="I6754" t="str" cm="1">
        <f t="array" ref="I6754">_xlfn.XLOOKUP(FACT_IMPORTS[[#This Row],[country_name]],DIM_COUNTRY[[#All],[Column2]],DIM_COUNTRY[[#All],[Column3]],,,)</f>
        <v>Major_Non-USMCA_Non-China</v>
      </c>
    </row>
    <row r="6755" spans="1:9" x14ac:dyDescent="0.4">
      <c r="A6755" t="s">
        <v>68</v>
      </c>
      <c r="B6755" s="1">
        <v>45901</v>
      </c>
      <c r="C6755">
        <v>850132</v>
      </c>
      <c r="D6755" t="s">
        <v>176</v>
      </c>
      <c r="E6755">
        <v>108462</v>
      </c>
      <c r="F6755">
        <v>36</v>
      </c>
      <c r="G6755">
        <v>2734</v>
      </c>
      <c r="H6755">
        <f>_xlfn.XLOOKUP(FACT_IMPORTS[[#This Row],[hts_6]],DIM_PRODUCTS[hts_6],DIM_PRODUCTS[hts_4],,,)</f>
        <v>8501</v>
      </c>
      <c r="I6755" t="str" cm="1">
        <f t="array" ref="I6755">_xlfn.XLOOKUP(FACT_IMPORTS[[#This Row],[country_name]],DIM_COUNTRY[[#All],[Column2]],DIM_COUNTRY[[#All],[Column3]],,,)</f>
        <v>Major_Non-USMCA_Non-China</v>
      </c>
    </row>
    <row r="6756" spans="1:9" x14ac:dyDescent="0.4">
      <c r="A6756" t="s">
        <v>68</v>
      </c>
      <c r="B6756" s="1">
        <v>45901</v>
      </c>
      <c r="C6756">
        <v>850133</v>
      </c>
      <c r="D6756" t="s">
        <v>176</v>
      </c>
      <c r="E6756">
        <v>2166</v>
      </c>
      <c r="F6756">
        <v>1</v>
      </c>
      <c r="G6756">
        <v>73</v>
      </c>
      <c r="H6756">
        <f>_xlfn.XLOOKUP(FACT_IMPORTS[[#This Row],[hts_6]],DIM_PRODUCTS[hts_6],DIM_PRODUCTS[hts_4],,,)</f>
        <v>8501</v>
      </c>
      <c r="I6756" t="str" cm="1">
        <f t="array" ref="I6756">_xlfn.XLOOKUP(FACT_IMPORTS[[#This Row],[country_name]],DIM_COUNTRY[[#All],[Column2]],DIM_COUNTRY[[#All],[Column3]],,,)</f>
        <v>Major_Non-USMCA_Non-China</v>
      </c>
    </row>
    <row r="6757" spans="1:9" x14ac:dyDescent="0.4">
      <c r="A6757" t="s">
        <v>68</v>
      </c>
      <c r="B6757" s="1">
        <v>45901</v>
      </c>
      <c r="C6757">
        <v>850134</v>
      </c>
      <c r="D6757" t="s">
        <v>176</v>
      </c>
      <c r="E6757">
        <v>6257</v>
      </c>
      <c r="F6757">
        <v>1</v>
      </c>
      <c r="G6757">
        <v>501</v>
      </c>
      <c r="H6757">
        <f>_xlfn.XLOOKUP(FACT_IMPORTS[[#This Row],[hts_6]],DIM_PRODUCTS[hts_6],DIM_PRODUCTS[hts_4],,,)</f>
        <v>8501</v>
      </c>
      <c r="I6757" t="str" cm="1">
        <f t="array" ref="I6757">_xlfn.XLOOKUP(FACT_IMPORTS[[#This Row],[country_name]],DIM_COUNTRY[[#All],[Column2]],DIM_COUNTRY[[#All],[Column3]],,,)</f>
        <v>Major_Non-USMCA_Non-China</v>
      </c>
    </row>
    <row r="6758" spans="1:9" x14ac:dyDescent="0.4">
      <c r="A6758" t="s">
        <v>68</v>
      </c>
      <c r="B6758" s="1">
        <v>45901</v>
      </c>
      <c r="C6758">
        <v>850152</v>
      </c>
      <c r="D6758" t="s">
        <v>176</v>
      </c>
      <c r="E6758">
        <v>775405</v>
      </c>
      <c r="F6758">
        <v>437</v>
      </c>
      <c r="G6758">
        <v>34273</v>
      </c>
      <c r="H6758">
        <f>_xlfn.XLOOKUP(FACT_IMPORTS[[#This Row],[hts_6]],DIM_PRODUCTS[hts_6],DIM_PRODUCTS[hts_4],,,)</f>
        <v>8501</v>
      </c>
      <c r="I6758" t="str" cm="1">
        <f t="array" ref="I6758">_xlfn.XLOOKUP(FACT_IMPORTS[[#This Row],[country_name]],DIM_COUNTRY[[#All],[Column2]],DIM_COUNTRY[[#All],[Column3]],,,)</f>
        <v>Major_Non-USMCA_Non-China</v>
      </c>
    </row>
    <row r="6759" spans="1:9" x14ac:dyDescent="0.4">
      <c r="A6759" t="s">
        <v>68</v>
      </c>
      <c r="B6759" s="1">
        <v>45901</v>
      </c>
      <c r="C6759">
        <v>850153</v>
      </c>
      <c r="D6759" t="s">
        <v>176</v>
      </c>
      <c r="E6759">
        <v>5578</v>
      </c>
      <c r="F6759">
        <v>2</v>
      </c>
      <c r="G6759">
        <v>46</v>
      </c>
      <c r="H6759">
        <f>_xlfn.XLOOKUP(FACT_IMPORTS[[#This Row],[hts_6]],DIM_PRODUCTS[hts_6],DIM_PRODUCTS[hts_4],,,)</f>
        <v>8501</v>
      </c>
      <c r="I6759" t="str" cm="1">
        <f t="array" ref="I6759">_xlfn.XLOOKUP(FACT_IMPORTS[[#This Row],[country_name]],DIM_COUNTRY[[#All],[Column2]],DIM_COUNTRY[[#All],[Column3]],,,)</f>
        <v>Major_Non-USMCA_Non-China</v>
      </c>
    </row>
    <row r="6760" spans="1:9" x14ac:dyDescent="0.4">
      <c r="A6760" t="s">
        <v>68</v>
      </c>
      <c r="B6760" s="1">
        <v>45901</v>
      </c>
      <c r="C6760">
        <v>850161</v>
      </c>
      <c r="D6760" t="s">
        <v>176</v>
      </c>
      <c r="E6760">
        <v>0</v>
      </c>
      <c r="F6760">
        <v>0</v>
      </c>
      <c r="G6760">
        <v>0</v>
      </c>
      <c r="H6760">
        <f>_xlfn.XLOOKUP(FACT_IMPORTS[[#This Row],[hts_6]],DIM_PRODUCTS[hts_6],DIM_PRODUCTS[hts_4],,,)</f>
        <v>8501</v>
      </c>
      <c r="I6760" t="str" cm="1">
        <f t="array" ref="I6760">_xlfn.XLOOKUP(FACT_IMPORTS[[#This Row],[country_name]],DIM_COUNTRY[[#All],[Column2]],DIM_COUNTRY[[#All],[Column3]],,,)</f>
        <v>Major_Non-USMCA_Non-China</v>
      </c>
    </row>
    <row r="6761" spans="1:9" x14ac:dyDescent="0.4">
      <c r="A6761" t="s">
        <v>68</v>
      </c>
      <c r="B6761" s="1">
        <v>45901</v>
      </c>
      <c r="C6761">
        <v>850440</v>
      </c>
      <c r="D6761" t="s">
        <v>176</v>
      </c>
      <c r="E6761">
        <v>652401</v>
      </c>
      <c r="F6761">
        <v>32461</v>
      </c>
      <c r="G6761">
        <v>13806</v>
      </c>
      <c r="H6761">
        <f>_xlfn.XLOOKUP(FACT_IMPORTS[[#This Row],[hts_6]],DIM_PRODUCTS[hts_6],DIM_PRODUCTS[hts_4],,,)</f>
        <v>8504</v>
      </c>
      <c r="I6761" t="str" cm="1">
        <f t="array" ref="I6761">_xlfn.XLOOKUP(FACT_IMPORTS[[#This Row],[country_name]],DIM_COUNTRY[[#All],[Column2]],DIM_COUNTRY[[#All],[Column3]],,,)</f>
        <v>Major_Non-USMCA_Non-China</v>
      </c>
    </row>
    <row r="6762" spans="1:9" x14ac:dyDescent="0.4">
      <c r="A6762" t="s">
        <v>68</v>
      </c>
      <c r="B6762" s="1">
        <v>45901</v>
      </c>
      <c r="C6762">
        <v>850710</v>
      </c>
      <c r="D6762" t="s">
        <v>176</v>
      </c>
      <c r="E6762">
        <v>0</v>
      </c>
      <c r="F6762">
        <v>0</v>
      </c>
      <c r="G6762">
        <v>0</v>
      </c>
      <c r="H6762">
        <f>_xlfn.XLOOKUP(FACT_IMPORTS[[#This Row],[hts_6]],DIM_PRODUCTS[hts_6],DIM_PRODUCTS[hts_4],,,)</f>
        <v>8507</v>
      </c>
      <c r="I6762" t="str" cm="1">
        <f t="array" ref="I6762">_xlfn.XLOOKUP(FACT_IMPORTS[[#This Row],[country_name]],DIM_COUNTRY[[#All],[Column2]],DIM_COUNTRY[[#All],[Column3]],,,)</f>
        <v>Major_Non-USMCA_Non-China</v>
      </c>
    </row>
    <row r="6763" spans="1:9" x14ac:dyDescent="0.4">
      <c r="A6763" t="s">
        <v>68</v>
      </c>
      <c r="B6763" s="1">
        <v>45901</v>
      </c>
      <c r="C6763">
        <v>850760</v>
      </c>
      <c r="D6763" t="s">
        <v>176</v>
      </c>
      <c r="E6763">
        <v>387837</v>
      </c>
      <c r="F6763">
        <v>629</v>
      </c>
      <c r="G6763">
        <v>5563</v>
      </c>
      <c r="H6763">
        <f>_xlfn.XLOOKUP(FACT_IMPORTS[[#This Row],[hts_6]],DIM_PRODUCTS[hts_6],DIM_PRODUCTS[hts_4],,,)</f>
        <v>8507</v>
      </c>
      <c r="I6763" t="str" cm="1">
        <f t="array" ref="I6763">_xlfn.XLOOKUP(FACT_IMPORTS[[#This Row],[country_name]],DIM_COUNTRY[[#All],[Column2]],DIM_COUNTRY[[#All],[Column3]],,,)</f>
        <v>Major_Non-USMCA_Non-China</v>
      </c>
    </row>
    <row r="6764" spans="1:9" x14ac:dyDescent="0.4">
      <c r="A6764" t="s">
        <v>68</v>
      </c>
      <c r="B6764" s="1">
        <v>45901</v>
      </c>
      <c r="C6764">
        <v>850790</v>
      </c>
      <c r="D6764" t="s">
        <v>176</v>
      </c>
      <c r="E6764">
        <v>66035</v>
      </c>
      <c r="F6764">
        <v>2390</v>
      </c>
      <c r="G6764">
        <v>3047</v>
      </c>
      <c r="H6764">
        <f>_xlfn.XLOOKUP(FACT_IMPORTS[[#This Row],[hts_6]],DIM_PRODUCTS[hts_6],DIM_PRODUCTS[hts_4],,,)</f>
        <v>8507</v>
      </c>
      <c r="I6764" t="str" cm="1">
        <f t="array" ref="I6764">_xlfn.XLOOKUP(FACT_IMPORTS[[#This Row],[country_name]],DIM_COUNTRY[[#All],[Column2]],DIM_COUNTRY[[#All],[Column3]],,,)</f>
        <v>Major_Non-USMCA_Non-China</v>
      </c>
    </row>
    <row r="6765" spans="1:9" x14ac:dyDescent="0.4">
      <c r="A6765" t="s">
        <v>68</v>
      </c>
      <c r="B6765" s="1">
        <v>45901</v>
      </c>
      <c r="C6765">
        <v>851110</v>
      </c>
      <c r="D6765" t="s">
        <v>176</v>
      </c>
      <c r="E6765">
        <v>215926</v>
      </c>
      <c r="F6765">
        <v>1393</v>
      </c>
      <c r="G6765">
        <v>2922</v>
      </c>
      <c r="H6765">
        <f>_xlfn.XLOOKUP(FACT_IMPORTS[[#This Row],[hts_6]],DIM_PRODUCTS[hts_6],DIM_PRODUCTS[hts_4],,,)</f>
        <v>8511</v>
      </c>
      <c r="I6765" t="str" cm="1">
        <f t="array" ref="I6765">_xlfn.XLOOKUP(FACT_IMPORTS[[#This Row],[country_name]],DIM_COUNTRY[[#All],[Column2]],DIM_COUNTRY[[#All],[Column3]],,,)</f>
        <v>Major_Non-USMCA_Non-China</v>
      </c>
    </row>
    <row r="6766" spans="1:9" x14ac:dyDescent="0.4">
      <c r="A6766" t="s">
        <v>68</v>
      </c>
      <c r="B6766" s="1">
        <v>45901</v>
      </c>
      <c r="C6766">
        <v>851130</v>
      </c>
      <c r="D6766" t="s">
        <v>176</v>
      </c>
      <c r="E6766">
        <v>3593</v>
      </c>
      <c r="F6766">
        <v>30</v>
      </c>
      <c r="G6766">
        <v>330</v>
      </c>
      <c r="H6766">
        <f>_xlfn.XLOOKUP(FACT_IMPORTS[[#This Row],[hts_6]],DIM_PRODUCTS[hts_6],DIM_PRODUCTS[hts_4],,,)</f>
        <v>8511</v>
      </c>
      <c r="I6766" t="str" cm="1">
        <f t="array" ref="I6766">_xlfn.XLOOKUP(FACT_IMPORTS[[#This Row],[country_name]],DIM_COUNTRY[[#All],[Column2]],DIM_COUNTRY[[#All],[Column3]],,,)</f>
        <v>Major_Non-USMCA_Non-China</v>
      </c>
    </row>
    <row r="6767" spans="1:9" x14ac:dyDescent="0.4">
      <c r="A6767" t="s">
        <v>68</v>
      </c>
      <c r="B6767" s="1">
        <v>45901</v>
      </c>
      <c r="C6767">
        <v>851140</v>
      </c>
      <c r="D6767" t="s">
        <v>176</v>
      </c>
      <c r="E6767">
        <v>3019</v>
      </c>
      <c r="F6767">
        <v>45</v>
      </c>
      <c r="G6767">
        <v>302</v>
      </c>
      <c r="H6767">
        <f>_xlfn.XLOOKUP(FACT_IMPORTS[[#This Row],[hts_6]],DIM_PRODUCTS[hts_6],DIM_PRODUCTS[hts_4],,,)</f>
        <v>8511</v>
      </c>
      <c r="I6767" t="str" cm="1">
        <f t="array" ref="I6767">_xlfn.XLOOKUP(FACT_IMPORTS[[#This Row],[country_name]],DIM_COUNTRY[[#All],[Column2]],DIM_COUNTRY[[#All],[Column3]],,,)</f>
        <v>Major_Non-USMCA_Non-China</v>
      </c>
    </row>
    <row r="6768" spans="1:9" x14ac:dyDescent="0.4">
      <c r="A6768" t="s">
        <v>68</v>
      </c>
      <c r="B6768" s="1">
        <v>45901</v>
      </c>
      <c r="C6768">
        <v>851150</v>
      </c>
      <c r="D6768" t="s">
        <v>176</v>
      </c>
      <c r="E6768">
        <v>3532</v>
      </c>
      <c r="F6768">
        <v>4</v>
      </c>
      <c r="G6768">
        <v>4</v>
      </c>
      <c r="H6768">
        <f>_xlfn.XLOOKUP(FACT_IMPORTS[[#This Row],[hts_6]],DIM_PRODUCTS[hts_6],DIM_PRODUCTS[hts_4],,,)</f>
        <v>8511</v>
      </c>
      <c r="I6768" t="str" cm="1">
        <f t="array" ref="I6768">_xlfn.XLOOKUP(FACT_IMPORTS[[#This Row],[country_name]],DIM_COUNTRY[[#All],[Column2]],DIM_COUNTRY[[#All],[Column3]],,,)</f>
        <v>Major_Non-USMCA_Non-China</v>
      </c>
    </row>
    <row r="6769" spans="1:9" x14ac:dyDescent="0.4">
      <c r="A6769" t="s">
        <v>68</v>
      </c>
      <c r="B6769" s="1">
        <v>45901</v>
      </c>
      <c r="C6769">
        <v>851180</v>
      </c>
      <c r="D6769" t="s">
        <v>176</v>
      </c>
      <c r="E6769">
        <v>4717</v>
      </c>
      <c r="F6769">
        <v>15</v>
      </c>
      <c r="G6769">
        <v>176</v>
      </c>
      <c r="H6769">
        <f>_xlfn.XLOOKUP(FACT_IMPORTS[[#This Row],[hts_6]],DIM_PRODUCTS[hts_6],DIM_PRODUCTS[hts_4],,,)</f>
        <v>8511</v>
      </c>
      <c r="I6769" t="str" cm="1">
        <f t="array" ref="I6769">_xlfn.XLOOKUP(FACT_IMPORTS[[#This Row],[country_name]],DIM_COUNTRY[[#All],[Column2]],DIM_COUNTRY[[#All],[Column3]],,,)</f>
        <v>Major_Non-USMCA_Non-China</v>
      </c>
    </row>
    <row r="6770" spans="1:9" x14ac:dyDescent="0.4">
      <c r="A6770" t="s">
        <v>68</v>
      </c>
      <c r="B6770" s="1">
        <v>45901</v>
      </c>
      <c r="C6770">
        <v>851190</v>
      </c>
      <c r="D6770" t="s">
        <v>176</v>
      </c>
      <c r="E6770">
        <v>3154</v>
      </c>
      <c r="F6770">
        <v>200</v>
      </c>
      <c r="G6770">
        <v>0</v>
      </c>
      <c r="H6770">
        <f>_xlfn.XLOOKUP(FACT_IMPORTS[[#This Row],[hts_6]],DIM_PRODUCTS[hts_6],DIM_PRODUCTS[hts_4],,,)</f>
        <v>8511</v>
      </c>
      <c r="I6770" t="str" cm="1">
        <f t="array" ref="I6770">_xlfn.XLOOKUP(FACT_IMPORTS[[#This Row],[country_name]],DIM_COUNTRY[[#All],[Column2]],DIM_COUNTRY[[#All],[Column3]],,,)</f>
        <v>Major_Non-USMCA_Non-China</v>
      </c>
    </row>
    <row r="6771" spans="1:9" x14ac:dyDescent="0.4">
      <c r="A6771" t="s">
        <v>68</v>
      </c>
      <c r="B6771" s="1">
        <v>45901</v>
      </c>
      <c r="C6771">
        <v>851220</v>
      </c>
      <c r="D6771" t="s">
        <v>176</v>
      </c>
      <c r="E6771">
        <v>133800</v>
      </c>
      <c r="F6771">
        <v>9668</v>
      </c>
      <c r="G6771">
        <v>1410</v>
      </c>
      <c r="H6771">
        <f>_xlfn.XLOOKUP(FACT_IMPORTS[[#This Row],[hts_6]],DIM_PRODUCTS[hts_6],DIM_PRODUCTS[hts_4],,,)</f>
        <v>8512</v>
      </c>
      <c r="I6771" t="str" cm="1">
        <f t="array" ref="I6771">_xlfn.XLOOKUP(FACT_IMPORTS[[#This Row],[country_name]],DIM_COUNTRY[[#All],[Column2]],DIM_COUNTRY[[#All],[Column3]],,,)</f>
        <v>Major_Non-USMCA_Non-China</v>
      </c>
    </row>
    <row r="6772" spans="1:9" x14ac:dyDescent="0.4">
      <c r="A6772" t="s">
        <v>68</v>
      </c>
      <c r="B6772" s="1">
        <v>45901</v>
      </c>
      <c r="C6772">
        <v>851230</v>
      </c>
      <c r="D6772" t="s">
        <v>176</v>
      </c>
      <c r="E6772">
        <v>0</v>
      </c>
      <c r="F6772">
        <v>0</v>
      </c>
      <c r="G6772">
        <v>0</v>
      </c>
      <c r="H6772">
        <f>_xlfn.XLOOKUP(FACT_IMPORTS[[#This Row],[hts_6]],DIM_PRODUCTS[hts_6],DIM_PRODUCTS[hts_4],,,)</f>
        <v>8512</v>
      </c>
      <c r="I6772" t="str" cm="1">
        <f t="array" ref="I6772">_xlfn.XLOOKUP(FACT_IMPORTS[[#This Row],[country_name]],DIM_COUNTRY[[#All],[Column2]],DIM_COUNTRY[[#All],[Column3]],,,)</f>
        <v>Major_Non-USMCA_Non-China</v>
      </c>
    </row>
    <row r="6773" spans="1:9" x14ac:dyDescent="0.4">
      <c r="A6773" t="s">
        <v>68</v>
      </c>
      <c r="B6773" s="1">
        <v>45901</v>
      </c>
      <c r="C6773">
        <v>851290</v>
      </c>
      <c r="D6773" t="s">
        <v>176</v>
      </c>
      <c r="E6773">
        <v>11812</v>
      </c>
      <c r="F6773">
        <v>420</v>
      </c>
      <c r="G6773">
        <v>16303</v>
      </c>
      <c r="H6773">
        <f>_xlfn.XLOOKUP(FACT_IMPORTS[[#This Row],[hts_6]],DIM_PRODUCTS[hts_6],DIM_PRODUCTS[hts_4],,,)</f>
        <v>8512</v>
      </c>
      <c r="I6773" t="str" cm="1">
        <f t="array" ref="I6773">_xlfn.XLOOKUP(FACT_IMPORTS[[#This Row],[country_name]],DIM_COUNTRY[[#All],[Column2]],DIM_COUNTRY[[#All],[Column3]],,,)</f>
        <v>Major_Non-USMCA_Non-China</v>
      </c>
    </row>
    <row r="6774" spans="1:9" x14ac:dyDescent="0.4">
      <c r="A6774" t="s">
        <v>68</v>
      </c>
      <c r="B6774" s="1">
        <v>45901</v>
      </c>
      <c r="C6774">
        <v>854231</v>
      </c>
      <c r="D6774" t="s">
        <v>176</v>
      </c>
      <c r="E6774">
        <v>65892</v>
      </c>
      <c r="F6774">
        <v>48</v>
      </c>
      <c r="G6774">
        <v>793</v>
      </c>
      <c r="H6774">
        <f>_xlfn.XLOOKUP(FACT_IMPORTS[[#This Row],[hts_6]],DIM_PRODUCTS[hts_6],DIM_PRODUCTS[hts_4],,,)</f>
        <v>8542</v>
      </c>
      <c r="I6774" t="str" cm="1">
        <f t="array" ref="I6774">_xlfn.XLOOKUP(FACT_IMPORTS[[#This Row],[country_name]],DIM_COUNTRY[[#All],[Column2]],DIM_COUNTRY[[#All],[Column3]],,,)</f>
        <v>Major_Non-USMCA_Non-China</v>
      </c>
    </row>
    <row r="6775" spans="1:9" x14ac:dyDescent="0.4">
      <c r="A6775" t="s">
        <v>68</v>
      </c>
      <c r="B6775" s="1">
        <v>45901</v>
      </c>
      <c r="C6775">
        <v>854232</v>
      </c>
      <c r="D6775" t="s">
        <v>176</v>
      </c>
      <c r="E6775">
        <v>8472</v>
      </c>
      <c r="F6775">
        <v>10</v>
      </c>
      <c r="G6775">
        <v>8</v>
      </c>
      <c r="H6775">
        <f>_xlfn.XLOOKUP(FACT_IMPORTS[[#This Row],[hts_6]],DIM_PRODUCTS[hts_6],DIM_PRODUCTS[hts_4],,,)</f>
        <v>8542</v>
      </c>
      <c r="I6775" t="str" cm="1">
        <f t="array" ref="I6775">_xlfn.XLOOKUP(FACT_IMPORTS[[#This Row],[country_name]],DIM_COUNTRY[[#All],[Column2]],DIM_COUNTRY[[#All],[Column3]],,,)</f>
        <v>Major_Non-USMCA_Non-China</v>
      </c>
    </row>
    <row r="6776" spans="1:9" x14ac:dyDescent="0.4">
      <c r="A6776" t="s">
        <v>68</v>
      </c>
      <c r="B6776" s="1">
        <v>45901</v>
      </c>
      <c r="C6776">
        <v>854233</v>
      </c>
      <c r="D6776" t="s">
        <v>176</v>
      </c>
      <c r="E6776">
        <v>0</v>
      </c>
      <c r="F6776">
        <v>0</v>
      </c>
      <c r="G6776">
        <v>0</v>
      </c>
      <c r="H6776">
        <f>_xlfn.XLOOKUP(FACT_IMPORTS[[#This Row],[hts_6]],DIM_PRODUCTS[hts_6],DIM_PRODUCTS[hts_4],,,)</f>
        <v>8542</v>
      </c>
      <c r="I6776" t="str" cm="1">
        <f t="array" ref="I6776">_xlfn.XLOOKUP(FACT_IMPORTS[[#This Row],[country_name]],DIM_COUNTRY[[#All],[Column2]],DIM_COUNTRY[[#All],[Column3]],,,)</f>
        <v>Major_Non-USMCA_Non-China</v>
      </c>
    </row>
    <row r="6777" spans="1:9" x14ac:dyDescent="0.4">
      <c r="A6777" t="s">
        <v>68</v>
      </c>
      <c r="B6777" s="1">
        <v>45901</v>
      </c>
      <c r="C6777">
        <v>854239</v>
      </c>
      <c r="D6777" t="s">
        <v>176</v>
      </c>
      <c r="E6777">
        <v>0</v>
      </c>
      <c r="F6777">
        <v>0</v>
      </c>
      <c r="G6777">
        <v>0</v>
      </c>
      <c r="H6777">
        <f>_xlfn.XLOOKUP(FACT_IMPORTS[[#This Row],[hts_6]],DIM_PRODUCTS[hts_6],DIM_PRODUCTS[hts_4],,,)</f>
        <v>8542</v>
      </c>
      <c r="I6777" t="str" cm="1">
        <f t="array" ref="I6777">_xlfn.XLOOKUP(FACT_IMPORTS[[#This Row],[country_name]],DIM_COUNTRY[[#All],[Column2]],DIM_COUNTRY[[#All],[Column3]],,,)</f>
        <v>Major_Non-USMCA_Non-China</v>
      </c>
    </row>
    <row r="6778" spans="1:9" x14ac:dyDescent="0.4">
      <c r="A6778" t="s">
        <v>68</v>
      </c>
      <c r="B6778" s="1">
        <v>45901</v>
      </c>
      <c r="C6778">
        <v>854290</v>
      </c>
      <c r="D6778" t="s">
        <v>176</v>
      </c>
      <c r="E6778">
        <v>2839</v>
      </c>
      <c r="F6778">
        <v>3</v>
      </c>
      <c r="G6778">
        <v>30</v>
      </c>
      <c r="H6778">
        <f>_xlfn.XLOOKUP(FACT_IMPORTS[[#This Row],[hts_6]],DIM_PRODUCTS[hts_6],DIM_PRODUCTS[hts_4],,,)</f>
        <v>8542</v>
      </c>
      <c r="I6778" t="str" cm="1">
        <f t="array" ref="I6778">_xlfn.XLOOKUP(FACT_IMPORTS[[#This Row],[country_name]],DIM_COUNTRY[[#All],[Column2]],DIM_COUNTRY[[#All],[Column3]],,,)</f>
        <v>Major_Non-USMCA_Non-China</v>
      </c>
    </row>
    <row r="6779" spans="1:9" x14ac:dyDescent="0.4">
      <c r="A6779" t="s">
        <v>68</v>
      </c>
      <c r="B6779" s="1">
        <v>45901</v>
      </c>
      <c r="C6779">
        <v>854430</v>
      </c>
      <c r="D6779" t="s">
        <v>176</v>
      </c>
      <c r="E6779">
        <v>169003</v>
      </c>
      <c r="F6779">
        <v>8989</v>
      </c>
      <c r="G6779">
        <v>1406</v>
      </c>
      <c r="H6779">
        <f>_xlfn.XLOOKUP(FACT_IMPORTS[[#This Row],[hts_6]],DIM_PRODUCTS[hts_6],DIM_PRODUCTS[hts_4],,,)</f>
        <v>8544</v>
      </c>
      <c r="I6779" t="str" cm="1">
        <f t="array" ref="I6779">_xlfn.XLOOKUP(FACT_IMPORTS[[#This Row],[country_name]],DIM_COUNTRY[[#All],[Column2]],DIM_COUNTRY[[#All],[Column3]],,,)</f>
        <v>Major_Non-USMCA_Non-China</v>
      </c>
    </row>
    <row r="6780" spans="1:9" x14ac:dyDescent="0.4">
      <c r="A6780" t="s">
        <v>68</v>
      </c>
      <c r="B6780" s="1">
        <v>45901</v>
      </c>
      <c r="C6780">
        <v>870710</v>
      </c>
      <c r="D6780" t="s">
        <v>176</v>
      </c>
      <c r="E6780">
        <v>0</v>
      </c>
      <c r="F6780">
        <v>0</v>
      </c>
      <c r="G6780">
        <v>0</v>
      </c>
      <c r="H6780">
        <f>_xlfn.XLOOKUP(FACT_IMPORTS[[#This Row],[hts_6]],DIM_PRODUCTS[hts_6],DIM_PRODUCTS[hts_4],,,)</f>
        <v>8707</v>
      </c>
      <c r="I6780" t="str" cm="1">
        <f t="array" ref="I6780">_xlfn.XLOOKUP(FACT_IMPORTS[[#This Row],[country_name]],DIM_COUNTRY[[#All],[Column2]],DIM_COUNTRY[[#All],[Column3]],,,)</f>
        <v>Major_Non-USMCA_Non-China</v>
      </c>
    </row>
    <row r="6781" spans="1:9" x14ac:dyDescent="0.4">
      <c r="A6781" t="s">
        <v>68</v>
      </c>
      <c r="B6781" s="1">
        <v>45901</v>
      </c>
      <c r="C6781">
        <v>870790</v>
      </c>
      <c r="D6781" t="s">
        <v>176</v>
      </c>
      <c r="E6781">
        <v>0</v>
      </c>
      <c r="F6781">
        <v>0</v>
      </c>
      <c r="G6781">
        <v>0</v>
      </c>
      <c r="H6781">
        <f>_xlfn.XLOOKUP(FACT_IMPORTS[[#This Row],[hts_6]],DIM_PRODUCTS[hts_6],DIM_PRODUCTS[hts_4],,,)</f>
        <v>8707</v>
      </c>
      <c r="I6781" t="str" cm="1">
        <f t="array" ref="I6781">_xlfn.XLOOKUP(FACT_IMPORTS[[#This Row],[country_name]],DIM_COUNTRY[[#All],[Column2]],DIM_COUNTRY[[#All],[Column3]],,,)</f>
        <v>Major_Non-USMCA_Non-China</v>
      </c>
    </row>
    <row r="6782" spans="1:9" x14ac:dyDescent="0.4">
      <c r="A6782" t="s">
        <v>68</v>
      </c>
      <c r="B6782" s="1">
        <v>45901</v>
      </c>
      <c r="C6782">
        <v>870810</v>
      </c>
      <c r="D6782" t="s">
        <v>176</v>
      </c>
      <c r="E6782">
        <v>53299</v>
      </c>
      <c r="F6782">
        <v>359</v>
      </c>
      <c r="G6782">
        <v>5188</v>
      </c>
      <c r="H6782">
        <f>_xlfn.XLOOKUP(FACT_IMPORTS[[#This Row],[hts_6]],DIM_PRODUCTS[hts_6],DIM_PRODUCTS[hts_4],,,)</f>
        <v>8708</v>
      </c>
      <c r="I6782" t="str" cm="1">
        <f t="array" ref="I6782">_xlfn.XLOOKUP(FACT_IMPORTS[[#This Row],[country_name]],DIM_COUNTRY[[#All],[Column2]],DIM_COUNTRY[[#All],[Column3]],,,)</f>
        <v>Major_Non-USMCA_Non-China</v>
      </c>
    </row>
    <row r="6783" spans="1:9" x14ac:dyDescent="0.4">
      <c r="A6783" t="s">
        <v>68</v>
      </c>
      <c r="B6783" s="1">
        <v>45901</v>
      </c>
      <c r="C6783">
        <v>870821</v>
      </c>
      <c r="D6783" t="s">
        <v>176</v>
      </c>
      <c r="E6783">
        <v>0</v>
      </c>
      <c r="F6783">
        <v>0</v>
      </c>
      <c r="G6783">
        <v>0</v>
      </c>
      <c r="H6783">
        <f>_xlfn.XLOOKUP(FACT_IMPORTS[[#This Row],[hts_6]],DIM_PRODUCTS[hts_6],DIM_PRODUCTS[hts_4],,,)</f>
        <v>8708</v>
      </c>
      <c r="I6783" t="str" cm="1">
        <f t="array" ref="I6783">_xlfn.XLOOKUP(FACT_IMPORTS[[#This Row],[country_name]],DIM_COUNTRY[[#All],[Column2]],DIM_COUNTRY[[#All],[Column3]],,,)</f>
        <v>Major_Non-USMCA_Non-China</v>
      </c>
    </row>
    <row r="6784" spans="1:9" x14ac:dyDescent="0.4">
      <c r="A6784" t="s">
        <v>68</v>
      </c>
      <c r="B6784" s="1">
        <v>45901</v>
      </c>
      <c r="C6784">
        <v>870822</v>
      </c>
      <c r="D6784" t="s">
        <v>176</v>
      </c>
      <c r="E6784">
        <v>0</v>
      </c>
      <c r="F6784">
        <v>0</v>
      </c>
      <c r="G6784">
        <v>0</v>
      </c>
      <c r="H6784">
        <f>_xlfn.XLOOKUP(FACT_IMPORTS[[#This Row],[hts_6]],DIM_PRODUCTS[hts_6],DIM_PRODUCTS[hts_4],,,)</f>
        <v>8708</v>
      </c>
      <c r="I6784" t="str" cm="1">
        <f t="array" ref="I6784">_xlfn.XLOOKUP(FACT_IMPORTS[[#This Row],[country_name]],DIM_COUNTRY[[#All],[Column2]],DIM_COUNTRY[[#All],[Column3]],,,)</f>
        <v>Major_Non-USMCA_Non-China</v>
      </c>
    </row>
    <row r="6785" spans="1:9" x14ac:dyDescent="0.4">
      <c r="A6785" t="s">
        <v>68</v>
      </c>
      <c r="B6785" s="1">
        <v>45901</v>
      </c>
      <c r="C6785">
        <v>870829</v>
      </c>
      <c r="D6785" t="s">
        <v>176</v>
      </c>
      <c r="E6785">
        <v>2314117</v>
      </c>
      <c r="F6785">
        <v>1427803</v>
      </c>
      <c r="G6785">
        <v>87629</v>
      </c>
      <c r="H6785">
        <f>_xlfn.XLOOKUP(FACT_IMPORTS[[#This Row],[hts_6]],DIM_PRODUCTS[hts_6],DIM_PRODUCTS[hts_4],,,)</f>
        <v>8708</v>
      </c>
      <c r="I6785" t="str" cm="1">
        <f t="array" ref="I6785">_xlfn.XLOOKUP(FACT_IMPORTS[[#This Row],[country_name]],DIM_COUNTRY[[#All],[Column2]],DIM_COUNTRY[[#All],[Column3]],,,)</f>
        <v>Major_Non-USMCA_Non-China</v>
      </c>
    </row>
    <row r="6786" spans="1:9" x14ac:dyDescent="0.4">
      <c r="A6786" t="s">
        <v>68</v>
      </c>
      <c r="B6786" s="1">
        <v>45901</v>
      </c>
      <c r="C6786">
        <v>870830</v>
      </c>
      <c r="D6786" t="s">
        <v>176</v>
      </c>
      <c r="E6786">
        <v>211127</v>
      </c>
      <c r="F6786">
        <v>3519</v>
      </c>
      <c r="G6786">
        <v>16056</v>
      </c>
      <c r="H6786">
        <f>_xlfn.XLOOKUP(FACT_IMPORTS[[#This Row],[hts_6]],DIM_PRODUCTS[hts_6],DIM_PRODUCTS[hts_4],,,)</f>
        <v>8708</v>
      </c>
      <c r="I6786" t="str" cm="1">
        <f t="array" ref="I6786">_xlfn.XLOOKUP(FACT_IMPORTS[[#This Row],[country_name]],DIM_COUNTRY[[#All],[Column2]],DIM_COUNTRY[[#All],[Column3]],,,)</f>
        <v>Major_Non-USMCA_Non-China</v>
      </c>
    </row>
    <row r="6787" spans="1:9" x14ac:dyDescent="0.4">
      <c r="A6787" t="s">
        <v>68</v>
      </c>
      <c r="B6787" s="1">
        <v>45901</v>
      </c>
      <c r="C6787">
        <v>870840</v>
      </c>
      <c r="D6787" t="s">
        <v>176</v>
      </c>
      <c r="E6787">
        <v>33516446</v>
      </c>
      <c r="F6787">
        <v>581242</v>
      </c>
      <c r="G6787">
        <v>89080</v>
      </c>
      <c r="H6787">
        <f>_xlfn.XLOOKUP(FACT_IMPORTS[[#This Row],[hts_6]],DIM_PRODUCTS[hts_6],DIM_PRODUCTS[hts_4],,,)</f>
        <v>8708</v>
      </c>
      <c r="I6787" t="str" cm="1">
        <f t="array" ref="I6787">_xlfn.XLOOKUP(FACT_IMPORTS[[#This Row],[country_name]],DIM_COUNTRY[[#All],[Column2]],DIM_COUNTRY[[#All],[Column3]],,,)</f>
        <v>Major_Non-USMCA_Non-China</v>
      </c>
    </row>
    <row r="6788" spans="1:9" x14ac:dyDescent="0.4">
      <c r="A6788" t="s">
        <v>68</v>
      </c>
      <c r="B6788" s="1">
        <v>45901</v>
      </c>
      <c r="C6788">
        <v>870850</v>
      </c>
      <c r="D6788" t="s">
        <v>176</v>
      </c>
      <c r="E6788">
        <v>8387877</v>
      </c>
      <c r="F6788">
        <v>382767</v>
      </c>
      <c r="G6788">
        <v>68126</v>
      </c>
      <c r="H6788">
        <f>_xlfn.XLOOKUP(FACT_IMPORTS[[#This Row],[hts_6]],DIM_PRODUCTS[hts_6],DIM_PRODUCTS[hts_4],,,)</f>
        <v>8708</v>
      </c>
      <c r="I6788" t="str" cm="1">
        <f t="array" ref="I6788">_xlfn.XLOOKUP(FACT_IMPORTS[[#This Row],[country_name]],DIM_COUNTRY[[#All],[Column2]],DIM_COUNTRY[[#All],[Column3]],,,)</f>
        <v>Major_Non-USMCA_Non-China</v>
      </c>
    </row>
    <row r="6789" spans="1:9" x14ac:dyDescent="0.4">
      <c r="A6789" t="s">
        <v>68</v>
      </c>
      <c r="B6789" s="1">
        <v>45901</v>
      </c>
      <c r="C6789">
        <v>870870</v>
      </c>
      <c r="D6789" t="s">
        <v>176</v>
      </c>
      <c r="E6789">
        <v>135454</v>
      </c>
      <c r="F6789">
        <v>5221</v>
      </c>
      <c r="G6789">
        <v>400</v>
      </c>
      <c r="H6789">
        <f>_xlfn.XLOOKUP(FACT_IMPORTS[[#This Row],[hts_6]],DIM_PRODUCTS[hts_6],DIM_PRODUCTS[hts_4],,,)</f>
        <v>8708</v>
      </c>
      <c r="I6789" t="str" cm="1">
        <f t="array" ref="I6789">_xlfn.XLOOKUP(FACT_IMPORTS[[#This Row],[country_name]],DIM_COUNTRY[[#All],[Column2]],DIM_COUNTRY[[#All],[Column3]],,,)</f>
        <v>Major_Non-USMCA_Non-China</v>
      </c>
    </row>
    <row r="6790" spans="1:9" x14ac:dyDescent="0.4">
      <c r="A6790" t="s">
        <v>68</v>
      </c>
      <c r="B6790" s="1">
        <v>45901</v>
      </c>
      <c r="C6790">
        <v>870880</v>
      </c>
      <c r="D6790" t="s">
        <v>176</v>
      </c>
      <c r="E6790">
        <v>2320514</v>
      </c>
      <c r="F6790">
        <v>481834</v>
      </c>
      <c r="G6790">
        <v>80636</v>
      </c>
      <c r="H6790">
        <f>_xlfn.XLOOKUP(FACT_IMPORTS[[#This Row],[hts_6]],DIM_PRODUCTS[hts_6],DIM_PRODUCTS[hts_4],,,)</f>
        <v>8708</v>
      </c>
      <c r="I6790" t="str" cm="1">
        <f t="array" ref="I6790">_xlfn.XLOOKUP(FACT_IMPORTS[[#This Row],[country_name]],DIM_COUNTRY[[#All],[Column2]],DIM_COUNTRY[[#All],[Column3]],,,)</f>
        <v>Major_Non-USMCA_Non-China</v>
      </c>
    </row>
    <row r="6791" spans="1:9" x14ac:dyDescent="0.4">
      <c r="A6791" t="s">
        <v>68</v>
      </c>
      <c r="B6791" s="1">
        <v>45901</v>
      </c>
      <c r="C6791">
        <v>870891</v>
      </c>
      <c r="D6791" t="s">
        <v>176</v>
      </c>
      <c r="E6791">
        <v>30011</v>
      </c>
      <c r="F6791">
        <v>592</v>
      </c>
      <c r="G6791">
        <v>665</v>
      </c>
      <c r="H6791">
        <f>_xlfn.XLOOKUP(FACT_IMPORTS[[#This Row],[hts_6]],DIM_PRODUCTS[hts_6],DIM_PRODUCTS[hts_4],,,)</f>
        <v>8708</v>
      </c>
      <c r="I6791" t="str" cm="1">
        <f t="array" ref="I6791">_xlfn.XLOOKUP(FACT_IMPORTS[[#This Row],[country_name]],DIM_COUNTRY[[#All],[Column2]],DIM_COUNTRY[[#All],[Column3]],,,)</f>
        <v>Major_Non-USMCA_Non-China</v>
      </c>
    </row>
    <row r="6792" spans="1:9" x14ac:dyDescent="0.4">
      <c r="A6792" t="s">
        <v>68</v>
      </c>
      <c r="B6792" s="1">
        <v>45901</v>
      </c>
      <c r="C6792">
        <v>870892</v>
      </c>
      <c r="D6792" t="s">
        <v>176</v>
      </c>
      <c r="E6792">
        <v>123155</v>
      </c>
      <c r="F6792">
        <v>59311</v>
      </c>
      <c r="G6792">
        <v>9387</v>
      </c>
      <c r="H6792">
        <f>_xlfn.XLOOKUP(FACT_IMPORTS[[#This Row],[hts_6]],DIM_PRODUCTS[hts_6],DIM_PRODUCTS[hts_4],,,)</f>
        <v>8708</v>
      </c>
      <c r="I6792" t="str" cm="1">
        <f t="array" ref="I6792">_xlfn.XLOOKUP(FACT_IMPORTS[[#This Row],[country_name]],DIM_COUNTRY[[#All],[Column2]],DIM_COUNTRY[[#All],[Column3]],,,)</f>
        <v>Major_Non-USMCA_Non-China</v>
      </c>
    </row>
    <row r="6793" spans="1:9" x14ac:dyDescent="0.4">
      <c r="A6793" t="s">
        <v>68</v>
      </c>
      <c r="B6793" s="1">
        <v>45901</v>
      </c>
      <c r="C6793">
        <v>870893</v>
      </c>
      <c r="D6793" t="s">
        <v>176</v>
      </c>
      <c r="E6793">
        <v>190738</v>
      </c>
      <c r="F6793">
        <v>624</v>
      </c>
      <c r="G6793">
        <v>1410</v>
      </c>
      <c r="H6793">
        <f>_xlfn.XLOOKUP(FACT_IMPORTS[[#This Row],[hts_6]],DIM_PRODUCTS[hts_6],DIM_PRODUCTS[hts_4],,,)</f>
        <v>8708</v>
      </c>
      <c r="I6793" t="str" cm="1">
        <f t="array" ref="I6793">_xlfn.XLOOKUP(FACT_IMPORTS[[#This Row],[country_name]],DIM_COUNTRY[[#All],[Column2]],DIM_COUNTRY[[#All],[Column3]],,,)</f>
        <v>Major_Non-USMCA_Non-China</v>
      </c>
    </row>
    <row r="6794" spans="1:9" x14ac:dyDescent="0.4">
      <c r="A6794" t="s">
        <v>68</v>
      </c>
      <c r="B6794" s="1">
        <v>45901</v>
      </c>
      <c r="C6794">
        <v>870894</v>
      </c>
      <c r="D6794" t="s">
        <v>176</v>
      </c>
      <c r="E6794">
        <v>102013</v>
      </c>
      <c r="F6794">
        <v>11744</v>
      </c>
      <c r="G6794">
        <v>9343</v>
      </c>
      <c r="H6794">
        <f>_xlfn.XLOOKUP(FACT_IMPORTS[[#This Row],[hts_6]],DIM_PRODUCTS[hts_6],DIM_PRODUCTS[hts_4],,,)</f>
        <v>8708</v>
      </c>
      <c r="I6794" t="str" cm="1">
        <f t="array" ref="I6794">_xlfn.XLOOKUP(FACT_IMPORTS[[#This Row],[country_name]],DIM_COUNTRY[[#All],[Column2]],DIM_COUNTRY[[#All],[Column3]],,,)</f>
        <v>Major_Non-USMCA_Non-China</v>
      </c>
    </row>
    <row r="6795" spans="1:9" x14ac:dyDescent="0.4">
      <c r="A6795" t="s">
        <v>68</v>
      </c>
      <c r="B6795" s="1">
        <v>45901</v>
      </c>
      <c r="C6795">
        <v>870895</v>
      </c>
      <c r="D6795" t="s">
        <v>176</v>
      </c>
      <c r="E6795">
        <v>0</v>
      </c>
      <c r="F6795">
        <v>0</v>
      </c>
      <c r="G6795">
        <v>0</v>
      </c>
      <c r="H6795">
        <f>_xlfn.XLOOKUP(FACT_IMPORTS[[#This Row],[hts_6]],DIM_PRODUCTS[hts_6],DIM_PRODUCTS[hts_4],,,)</f>
        <v>8708</v>
      </c>
      <c r="I6795" t="str" cm="1">
        <f t="array" ref="I6795">_xlfn.XLOOKUP(FACT_IMPORTS[[#This Row],[country_name]],DIM_COUNTRY[[#All],[Column2]],DIM_COUNTRY[[#All],[Column3]],,,)</f>
        <v>Major_Non-USMCA_Non-China</v>
      </c>
    </row>
    <row r="6796" spans="1:9" x14ac:dyDescent="0.4">
      <c r="A6796" t="s">
        <v>68</v>
      </c>
      <c r="B6796" s="1">
        <v>45901</v>
      </c>
      <c r="C6796">
        <v>870899</v>
      </c>
      <c r="D6796" t="s">
        <v>176</v>
      </c>
      <c r="E6796">
        <v>1889823</v>
      </c>
      <c r="F6796">
        <v>506230</v>
      </c>
      <c r="G6796">
        <v>78397</v>
      </c>
      <c r="H6796">
        <f>_xlfn.XLOOKUP(FACT_IMPORTS[[#This Row],[hts_6]],DIM_PRODUCTS[hts_6],DIM_PRODUCTS[hts_4],,,)</f>
        <v>8708</v>
      </c>
      <c r="I6796" t="str" cm="1">
        <f t="array" ref="I6796">_xlfn.XLOOKUP(FACT_IMPORTS[[#This Row],[country_name]],DIM_COUNTRY[[#All],[Column2]],DIM_COUNTRY[[#All],[Column3]],,,)</f>
        <v>Major_Non-USMCA_Non-China</v>
      </c>
    </row>
    <row r="6797" spans="1:9" x14ac:dyDescent="0.4">
      <c r="A6797" t="s">
        <v>68</v>
      </c>
      <c r="B6797" s="1">
        <v>45901</v>
      </c>
      <c r="C6797">
        <v>940120</v>
      </c>
      <c r="D6797" t="s">
        <v>176</v>
      </c>
      <c r="E6797">
        <v>4816</v>
      </c>
      <c r="F6797">
        <v>4</v>
      </c>
      <c r="G6797">
        <v>412</v>
      </c>
      <c r="H6797">
        <f>_xlfn.XLOOKUP(FACT_IMPORTS[[#This Row],[hts_6]],DIM_PRODUCTS[hts_6],DIM_PRODUCTS[hts_4],,,)</f>
        <v>9401</v>
      </c>
      <c r="I6797" t="str" cm="1">
        <f t="array" ref="I6797">_xlfn.XLOOKUP(FACT_IMPORTS[[#This Row],[country_name]],DIM_COUNTRY[[#All],[Column2]],DIM_COUNTRY[[#All],[Column3]],,,)</f>
        <v>Major_Non-USMCA_Non-China</v>
      </c>
    </row>
    <row r="6798" spans="1:9" x14ac:dyDescent="0.4">
      <c r="A6798" t="s">
        <v>68</v>
      </c>
      <c r="B6798" s="1">
        <v>45931</v>
      </c>
      <c r="C6798">
        <v>392630</v>
      </c>
      <c r="D6798" t="s">
        <v>176</v>
      </c>
      <c r="E6798">
        <v>123197</v>
      </c>
      <c r="F6798">
        <v>7887</v>
      </c>
      <c r="G6798">
        <v>5422</v>
      </c>
      <c r="H6798">
        <f>_xlfn.XLOOKUP(FACT_IMPORTS[[#This Row],[hts_6]],DIM_PRODUCTS[hts_6],DIM_PRODUCTS[hts_4],,,)</f>
        <v>3926</v>
      </c>
      <c r="I6798" t="str" cm="1">
        <f t="array" ref="I6798">_xlfn.XLOOKUP(FACT_IMPORTS[[#This Row],[country_name]],DIM_COUNTRY[[#All],[Column2]],DIM_COUNTRY[[#All],[Column3]],,,)</f>
        <v>Major_Non-USMCA_Non-China</v>
      </c>
    </row>
    <row r="6799" spans="1:9" x14ac:dyDescent="0.4">
      <c r="A6799" t="s">
        <v>68</v>
      </c>
      <c r="B6799" s="1">
        <v>45931</v>
      </c>
      <c r="C6799">
        <v>401110</v>
      </c>
      <c r="D6799" t="s">
        <v>176</v>
      </c>
      <c r="E6799">
        <v>2329</v>
      </c>
      <c r="F6799">
        <v>10</v>
      </c>
      <c r="G6799">
        <v>232</v>
      </c>
      <c r="H6799">
        <f>_xlfn.XLOOKUP(FACT_IMPORTS[[#This Row],[hts_6]],DIM_PRODUCTS[hts_6],DIM_PRODUCTS[hts_4],,,)</f>
        <v>4011</v>
      </c>
      <c r="I6799" t="str" cm="1">
        <f t="array" ref="I6799">_xlfn.XLOOKUP(FACT_IMPORTS[[#This Row],[country_name]],DIM_COUNTRY[[#All],[Column2]],DIM_COUNTRY[[#All],[Column3]],,,)</f>
        <v>Major_Non-USMCA_Non-China</v>
      </c>
    </row>
    <row r="6800" spans="1:9" x14ac:dyDescent="0.4">
      <c r="A6800" t="s">
        <v>68</v>
      </c>
      <c r="B6800" s="1">
        <v>45931</v>
      </c>
      <c r="C6800">
        <v>401120</v>
      </c>
      <c r="D6800" t="s">
        <v>176</v>
      </c>
      <c r="E6800">
        <v>9045</v>
      </c>
      <c r="F6800">
        <v>18</v>
      </c>
      <c r="G6800">
        <v>6</v>
      </c>
      <c r="H6800">
        <f>_xlfn.XLOOKUP(FACT_IMPORTS[[#This Row],[hts_6]],DIM_PRODUCTS[hts_6],DIM_PRODUCTS[hts_4],,,)</f>
        <v>4011</v>
      </c>
      <c r="I6800" t="str" cm="1">
        <f t="array" ref="I6800">_xlfn.XLOOKUP(FACT_IMPORTS[[#This Row],[country_name]],DIM_COUNTRY[[#All],[Column2]],DIM_COUNTRY[[#All],[Column3]],,,)</f>
        <v>Major_Non-USMCA_Non-China</v>
      </c>
    </row>
    <row r="6801" spans="1:9" x14ac:dyDescent="0.4">
      <c r="A6801" t="s">
        <v>68</v>
      </c>
      <c r="B6801" s="1">
        <v>45931</v>
      </c>
      <c r="C6801">
        <v>401190</v>
      </c>
      <c r="D6801" t="s">
        <v>176</v>
      </c>
      <c r="E6801">
        <v>0</v>
      </c>
      <c r="F6801">
        <v>0</v>
      </c>
      <c r="G6801">
        <v>0</v>
      </c>
      <c r="H6801">
        <f>_xlfn.XLOOKUP(FACT_IMPORTS[[#This Row],[hts_6]],DIM_PRODUCTS[hts_6],DIM_PRODUCTS[hts_4],,,)</f>
        <v>4011</v>
      </c>
      <c r="I6801" t="str" cm="1">
        <f t="array" ref="I6801">_xlfn.XLOOKUP(FACT_IMPORTS[[#This Row],[country_name]],DIM_COUNTRY[[#All],[Column2]],DIM_COUNTRY[[#All],[Column3]],,,)</f>
        <v>Major_Non-USMCA_Non-China</v>
      </c>
    </row>
    <row r="6802" spans="1:9" x14ac:dyDescent="0.4">
      <c r="A6802" t="s">
        <v>68</v>
      </c>
      <c r="B6802" s="1">
        <v>45931</v>
      </c>
      <c r="C6802">
        <v>700711</v>
      </c>
      <c r="D6802" t="s">
        <v>176</v>
      </c>
      <c r="E6802">
        <v>0</v>
      </c>
      <c r="F6802">
        <v>0</v>
      </c>
      <c r="G6802">
        <v>0</v>
      </c>
      <c r="H6802">
        <f>_xlfn.XLOOKUP(FACT_IMPORTS[[#This Row],[hts_6]],DIM_PRODUCTS[hts_6],DIM_PRODUCTS[hts_4],,,)</f>
        <v>7007</v>
      </c>
      <c r="I6802" t="str" cm="1">
        <f t="array" ref="I6802">_xlfn.XLOOKUP(FACT_IMPORTS[[#This Row],[country_name]],DIM_COUNTRY[[#All],[Column2]],DIM_COUNTRY[[#All],[Column3]],,,)</f>
        <v>Major_Non-USMCA_Non-China</v>
      </c>
    </row>
    <row r="6803" spans="1:9" x14ac:dyDescent="0.4">
      <c r="A6803" t="s">
        <v>68</v>
      </c>
      <c r="B6803" s="1">
        <v>45931</v>
      </c>
      <c r="C6803">
        <v>700721</v>
      </c>
      <c r="D6803" t="s">
        <v>176</v>
      </c>
      <c r="E6803">
        <v>0</v>
      </c>
      <c r="F6803">
        <v>0</v>
      </c>
      <c r="G6803">
        <v>0</v>
      </c>
      <c r="H6803">
        <f>_xlfn.XLOOKUP(FACT_IMPORTS[[#This Row],[hts_6]],DIM_PRODUCTS[hts_6],DIM_PRODUCTS[hts_4],,,)</f>
        <v>7007</v>
      </c>
      <c r="I6803" t="str" cm="1">
        <f t="array" ref="I6803">_xlfn.XLOOKUP(FACT_IMPORTS[[#This Row],[country_name]],DIM_COUNTRY[[#All],[Column2]],DIM_COUNTRY[[#All],[Column3]],,,)</f>
        <v>Major_Non-USMCA_Non-China</v>
      </c>
    </row>
    <row r="6804" spans="1:9" x14ac:dyDescent="0.4">
      <c r="A6804" t="s">
        <v>68</v>
      </c>
      <c r="B6804" s="1">
        <v>45931</v>
      </c>
      <c r="C6804">
        <v>700910</v>
      </c>
      <c r="D6804" t="s">
        <v>176</v>
      </c>
      <c r="E6804">
        <v>0</v>
      </c>
      <c r="F6804">
        <v>0</v>
      </c>
      <c r="G6804">
        <v>0</v>
      </c>
      <c r="H6804">
        <f>_xlfn.XLOOKUP(FACT_IMPORTS[[#This Row],[hts_6]],DIM_PRODUCTS[hts_6],DIM_PRODUCTS[hts_4],,,)</f>
        <v>7009</v>
      </c>
      <c r="I6804" t="str" cm="1">
        <f t="array" ref="I6804">_xlfn.XLOOKUP(FACT_IMPORTS[[#This Row],[country_name]],DIM_COUNTRY[[#All],[Column2]],DIM_COUNTRY[[#All],[Column3]],,,)</f>
        <v>Major_Non-USMCA_Non-China</v>
      </c>
    </row>
    <row r="6805" spans="1:9" x14ac:dyDescent="0.4">
      <c r="A6805" t="s">
        <v>68</v>
      </c>
      <c r="B6805" s="1">
        <v>45931</v>
      </c>
      <c r="C6805">
        <v>732010</v>
      </c>
      <c r="D6805" t="s">
        <v>176</v>
      </c>
      <c r="E6805">
        <v>0</v>
      </c>
      <c r="F6805">
        <v>0</v>
      </c>
      <c r="G6805">
        <v>0</v>
      </c>
      <c r="H6805">
        <f>_xlfn.XLOOKUP(FACT_IMPORTS[[#This Row],[hts_6]],DIM_PRODUCTS[hts_6],DIM_PRODUCTS[hts_4],,,)</f>
        <v>7320</v>
      </c>
      <c r="I6805" t="str" cm="1">
        <f t="array" ref="I6805">_xlfn.XLOOKUP(FACT_IMPORTS[[#This Row],[country_name]],DIM_COUNTRY[[#All],[Column2]],DIM_COUNTRY[[#All],[Column3]],,,)</f>
        <v>Major_Non-USMCA_Non-China</v>
      </c>
    </row>
    <row r="6806" spans="1:9" x14ac:dyDescent="0.4">
      <c r="A6806" t="s">
        <v>68</v>
      </c>
      <c r="B6806" s="1">
        <v>45931</v>
      </c>
      <c r="C6806">
        <v>830230</v>
      </c>
      <c r="D6806" t="s">
        <v>176</v>
      </c>
      <c r="E6806">
        <v>238563</v>
      </c>
      <c r="F6806">
        <v>33609</v>
      </c>
      <c r="G6806">
        <v>18844</v>
      </c>
      <c r="H6806">
        <f>_xlfn.XLOOKUP(FACT_IMPORTS[[#This Row],[hts_6]],DIM_PRODUCTS[hts_6],DIM_PRODUCTS[hts_4],,,)</f>
        <v>8302</v>
      </c>
      <c r="I6806" t="str" cm="1">
        <f t="array" ref="I6806">_xlfn.XLOOKUP(FACT_IMPORTS[[#This Row],[country_name]],DIM_COUNTRY[[#All],[Column2]],DIM_COUNTRY[[#All],[Column3]],,,)</f>
        <v>Major_Non-USMCA_Non-China</v>
      </c>
    </row>
    <row r="6807" spans="1:9" x14ac:dyDescent="0.4">
      <c r="A6807" t="s">
        <v>68</v>
      </c>
      <c r="B6807" s="1">
        <v>45931</v>
      </c>
      <c r="C6807">
        <v>840734</v>
      </c>
      <c r="D6807" t="s">
        <v>176</v>
      </c>
      <c r="E6807">
        <v>13800</v>
      </c>
      <c r="F6807">
        <v>3</v>
      </c>
      <c r="G6807">
        <v>541</v>
      </c>
      <c r="H6807">
        <f>_xlfn.XLOOKUP(FACT_IMPORTS[[#This Row],[hts_6]],DIM_PRODUCTS[hts_6],DIM_PRODUCTS[hts_4],,,)</f>
        <v>8407</v>
      </c>
      <c r="I6807" t="str" cm="1">
        <f t="array" ref="I6807">_xlfn.XLOOKUP(FACT_IMPORTS[[#This Row],[country_name]],DIM_COUNTRY[[#All],[Column2]],DIM_COUNTRY[[#All],[Column3]],,,)</f>
        <v>Major_Non-USMCA_Non-China</v>
      </c>
    </row>
    <row r="6808" spans="1:9" x14ac:dyDescent="0.4">
      <c r="A6808" t="s">
        <v>68</v>
      </c>
      <c r="B6808" s="1">
        <v>45931</v>
      </c>
      <c r="C6808">
        <v>840820</v>
      </c>
      <c r="D6808" t="s">
        <v>176</v>
      </c>
      <c r="E6808">
        <v>0</v>
      </c>
      <c r="F6808">
        <v>0</v>
      </c>
      <c r="G6808">
        <v>0</v>
      </c>
      <c r="H6808">
        <f>_xlfn.XLOOKUP(FACT_IMPORTS[[#This Row],[hts_6]],DIM_PRODUCTS[hts_6],DIM_PRODUCTS[hts_4],,,)</f>
        <v>8408</v>
      </c>
      <c r="I6808" t="str" cm="1">
        <f t="array" ref="I6808">_xlfn.XLOOKUP(FACT_IMPORTS[[#This Row],[country_name]],DIM_COUNTRY[[#All],[Column2]],DIM_COUNTRY[[#All],[Column3]],,,)</f>
        <v>Major_Non-USMCA_Non-China</v>
      </c>
    </row>
    <row r="6809" spans="1:9" x14ac:dyDescent="0.4">
      <c r="A6809" t="s">
        <v>68</v>
      </c>
      <c r="B6809" s="1">
        <v>45931</v>
      </c>
      <c r="C6809">
        <v>840890</v>
      </c>
      <c r="D6809" t="s">
        <v>176</v>
      </c>
      <c r="E6809">
        <v>0</v>
      </c>
      <c r="F6809">
        <v>0</v>
      </c>
      <c r="G6809">
        <v>0</v>
      </c>
      <c r="H6809">
        <f>_xlfn.XLOOKUP(FACT_IMPORTS[[#This Row],[hts_6]],DIM_PRODUCTS[hts_6],DIM_PRODUCTS[hts_4],,,)</f>
        <v>8408</v>
      </c>
      <c r="I6809" t="str" cm="1">
        <f t="array" ref="I6809">_xlfn.XLOOKUP(FACT_IMPORTS[[#This Row],[country_name]],DIM_COUNTRY[[#All],[Column2]],DIM_COUNTRY[[#All],[Column3]],,,)</f>
        <v>Major_Non-USMCA_Non-China</v>
      </c>
    </row>
    <row r="6810" spans="1:9" x14ac:dyDescent="0.4">
      <c r="A6810" t="s">
        <v>68</v>
      </c>
      <c r="B6810" s="1">
        <v>45931</v>
      </c>
      <c r="C6810">
        <v>840991</v>
      </c>
      <c r="D6810" t="s">
        <v>176</v>
      </c>
      <c r="E6810">
        <v>1766987</v>
      </c>
      <c r="F6810">
        <v>254098</v>
      </c>
      <c r="G6810">
        <v>64744</v>
      </c>
      <c r="H6810">
        <f>_xlfn.XLOOKUP(FACT_IMPORTS[[#This Row],[hts_6]],DIM_PRODUCTS[hts_6],DIM_PRODUCTS[hts_4],,,)</f>
        <v>8409</v>
      </c>
      <c r="I6810" t="str" cm="1">
        <f t="array" ref="I6810">_xlfn.XLOOKUP(FACT_IMPORTS[[#This Row],[country_name]],DIM_COUNTRY[[#All],[Column2]],DIM_COUNTRY[[#All],[Column3]],,,)</f>
        <v>Major_Non-USMCA_Non-China</v>
      </c>
    </row>
    <row r="6811" spans="1:9" x14ac:dyDescent="0.4">
      <c r="A6811" t="s">
        <v>68</v>
      </c>
      <c r="B6811" s="1">
        <v>45931</v>
      </c>
      <c r="C6811">
        <v>840999</v>
      </c>
      <c r="D6811" t="s">
        <v>176</v>
      </c>
      <c r="E6811">
        <v>10292335</v>
      </c>
      <c r="F6811">
        <v>904093</v>
      </c>
      <c r="G6811">
        <v>228597</v>
      </c>
      <c r="H6811">
        <f>_xlfn.XLOOKUP(FACT_IMPORTS[[#This Row],[hts_6]],DIM_PRODUCTS[hts_6],DIM_PRODUCTS[hts_4],,,)</f>
        <v>8409</v>
      </c>
      <c r="I6811" t="str" cm="1">
        <f t="array" ref="I6811">_xlfn.XLOOKUP(FACT_IMPORTS[[#This Row],[country_name]],DIM_COUNTRY[[#All],[Column2]],DIM_COUNTRY[[#All],[Column3]],,,)</f>
        <v>Major_Non-USMCA_Non-China</v>
      </c>
    </row>
    <row r="6812" spans="1:9" x14ac:dyDescent="0.4">
      <c r="A6812" t="s">
        <v>68</v>
      </c>
      <c r="B6812" s="1">
        <v>45931</v>
      </c>
      <c r="C6812">
        <v>841330</v>
      </c>
      <c r="D6812" t="s">
        <v>176</v>
      </c>
      <c r="E6812">
        <v>5335501</v>
      </c>
      <c r="F6812">
        <v>39735</v>
      </c>
      <c r="G6812">
        <v>31487</v>
      </c>
      <c r="H6812">
        <f>_xlfn.XLOOKUP(FACT_IMPORTS[[#This Row],[hts_6]],DIM_PRODUCTS[hts_6],DIM_PRODUCTS[hts_4],,,)</f>
        <v>8413</v>
      </c>
      <c r="I6812" t="str" cm="1">
        <f t="array" ref="I6812">_xlfn.XLOOKUP(FACT_IMPORTS[[#This Row],[country_name]],DIM_COUNTRY[[#All],[Column2]],DIM_COUNTRY[[#All],[Column3]],,,)</f>
        <v>Major_Non-USMCA_Non-China</v>
      </c>
    </row>
    <row r="6813" spans="1:9" x14ac:dyDescent="0.4">
      <c r="A6813" t="s">
        <v>68</v>
      </c>
      <c r="B6813" s="1">
        <v>45931</v>
      </c>
      <c r="C6813">
        <v>841520</v>
      </c>
      <c r="D6813" t="s">
        <v>176</v>
      </c>
      <c r="E6813">
        <v>0</v>
      </c>
      <c r="F6813">
        <v>0</v>
      </c>
      <c r="G6813">
        <v>0</v>
      </c>
      <c r="H6813">
        <f>_xlfn.XLOOKUP(FACT_IMPORTS[[#This Row],[hts_6]],DIM_PRODUCTS[hts_6],DIM_PRODUCTS[hts_4],,,)</f>
        <v>8415</v>
      </c>
      <c r="I6813" t="str" cm="1">
        <f t="array" ref="I6813">_xlfn.XLOOKUP(FACT_IMPORTS[[#This Row],[country_name]],DIM_COUNTRY[[#All],[Column2]],DIM_COUNTRY[[#All],[Column3]],,,)</f>
        <v>Major_Non-USMCA_Non-China</v>
      </c>
    </row>
    <row r="6814" spans="1:9" x14ac:dyDescent="0.4">
      <c r="A6814" t="s">
        <v>68</v>
      </c>
      <c r="B6814" s="1">
        <v>45931</v>
      </c>
      <c r="C6814">
        <v>842132</v>
      </c>
      <c r="D6814" t="s">
        <v>176</v>
      </c>
      <c r="E6814">
        <v>47858</v>
      </c>
      <c r="F6814">
        <v>39</v>
      </c>
      <c r="G6814">
        <v>200</v>
      </c>
      <c r="H6814">
        <f>_xlfn.XLOOKUP(FACT_IMPORTS[[#This Row],[hts_6]],DIM_PRODUCTS[hts_6],DIM_PRODUCTS[hts_4],,,)</f>
        <v>8421</v>
      </c>
      <c r="I6814" t="str" cm="1">
        <f t="array" ref="I6814">_xlfn.XLOOKUP(FACT_IMPORTS[[#This Row],[country_name]],DIM_COUNTRY[[#All],[Column2]],DIM_COUNTRY[[#All],[Column3]],,,)</f>
        <v>Major_Non-USMCA_Non-China</v>
      </c>
    </row>
    <row r="6815" spans="1:9" x14ac:dyDescent="0.4">
      <c r="A6815" t="s">
        <v>68</v>
      </c>
      <c r="B6815" s="1">
        <v>45931</v>
      </c>
      <c r="C6815">
        <v>848210</v>
      </c>
      <c r="D6815" t="s">
        <v>176</v>
      </c>
      <c r="E6815">
        <v>332612</v>
      </c>
      <c r="F6815">
        <v>4035</v>
      </c>
      <c r="G6815">
        <v>12668</v>
      </c>
      <c r="H6815">
        <f>_xlfn.XLOOKUP(FACT_IMPORTS[[#This Row],[hts_6]],DIM_PRODUCTS[hts_6],DIM_PRODUCTS[hts_4],,,)</f>
        <v>8482</v>
      </c>
      <c r="I6815" t="str" cm="1">
        <f t="array" ref="I6815">_xlfn.XLOOKUP(FACT_IMPORTS[[#This Row],[country_name]],DIM_COUNTRY[[#All],[Column2]],DIM_COUNTRY[[#All],[Column3]],,,)</f>
        <v>Major_Non-USMCA_Non-China</v>
      </c>
    </row>
    <row r="6816" spans="1:9" x14ac:dyDescent="0.4">
      <c r="A6816" t="s">
        <v>68</v>
      </c>
      <c r="B6816" s="1">
        <v>45931</v>
      </c>
      <c r="C6816">
        <v>848220</v>
      </c>
      <c r="D6816" t="s">
        <v>176</v>
      </c>
      <c r="E6816">
        <v>28171</v>
      </c>
      <c r="F6816">
        <v>894</v>
      </c>
      <c r="G6816">
        <v>2285</v>
      </c>
      <c r="H6816">
        <f>_xlfn.XLOOKUP(FACT_IMPORTS[[#This Row],[hts_6]],DIM_PRODUCTS[hts_6],DIM_PRODUCTS[hts_4],,,)</f>
        <v>8482</v>
      </c>
      <c r="I6816" t="str" cm="1">
        <f t="array" ref="I6816">_xlfn.XLOOKUP(FACT_IMPORTS[[#This Row],[country_name]],DIM_COUNTRY[[#All],[Column2]],DIM_COUNTRY[[#All],[Column3]],,,)</f>
        <v>Major_Non-USMCA_Non-China</v>
      </c>
    </row>
    <row r="6817" spans="1:9" x14ac:dyDescent="0.4">
      <c r="A6817" t="s">
        <v>68</v>
      </c>
      <c r="B6817" s="1">
        <v>45931</v>
      </c>
      <c r="C6817">
        <v>848310</v>
      </c>
      <c r="D6817" t="s">
        <v>176</v>
      </c>
      <c r="E6817">
        <v>1971723</v>
      </c>
      <c r="F6817">
        <v>8271</v>
      </c>
      <c r="G6817">
        <v>61452</v>
      </c>
      <c r="H6817">
        <f>_xlfn.XLOOKUP(FACT_IMPORTS[[#This Row],[hts_6]],DIM_PRODUCTS[hts_6],DIM_PRODUCTS[hts_4],,,)</f>
        <v>8483</v>
      </c>
      <c r="I6817" t="str" cm="1">
        <f t="array" ref="I6817">_xlfn.XLOOKUP(FACT_IMPORTS[[#This Row],[country_name]],DIM_COUNTRY[[#All],[Column2]],DIM_COUNTRY[[#All],[Column3]],,,)</f>
        <v>Major_Non-USMCA_Non-China</v>
      </c>
    </row>
    <row r="6818" spans="1:9" x14ac:dyDescent="0.4">
      <c r="A6818" t="s">
        <v>68</v>
      </c>
      <c r="B6818" s="1">
        <v>45931</v>
      </c>
      <c r="C6818">
        <v>850131</v>
      </c>
      <c r="D6818" t="s">
        <v>176</v>
      </c>
      <c r="E6818">
        <v>398958</v>
      </c>
      <c r="F6818">
        <v>7280</v>
      </c>
      <c r="G6818">
        <v>2898</v>
      </c>
      <c r="H6818">
        <f>_xlfn.XLOOKUP(FACT_IMPORTS[[#This Row],[hts_6]],DIM_PRODUCTS[hts_6],DIM_PRODUCTS[hts_4],,,)</f>
        <v>8501</v>
      </c>
      <c r="I6818" t="str" cm="1">
        <f t="array" ref="I6818">_xlfn.XLOOKUP(FACT_IMPORTS[[#This Row],[country_name]],DIM_COUNTRY[[#All],[Column2]],DIM_COUNTRY[[#All],[Column3]],,,)</f>
        <v>Major_Non-USMCA_Non-China</v>
      </c>
    </row>
    <row r="6819" spans="1:9" x14ac:dyDescent="0.4">
      <c r="A6819" t="s">
        <v>68</v>
      </c>
      <c r="B6819" s="1">
        <v>45931</v>
      </c>
      <c r="C6819">
        <v>850132</v>
      </c>
      <c r="D6819" t="s">
        <v>176</v>
      </c>
      <c r="E6819">
        <v>3567</v>
      </c>
      <c r="F6819">
        <v>1</v>
      </c>
      <c r="G6819">
        <v>1</v>
      </c>
      <c r="H6819">
        <f>_xlfn.XLOOKUP(FACT_IMPORTS[[#This Row],[hts_6]],DIM_PRODUCTS[hts_6],DIM_PRODUCTS[hts_4],,,)</f>
        <v>8501</v>
      </c>
      <c r="I6819" t="str" cm="1">
        <f t="array" ref="I6819">_xlfn.XLOOKUP(FACT_IMPORTS[[#This Row],[country_name]],DIM_COUNTRY[[#All],[Column2]],DIM_COUNTRY[[#All],[Column3]],,,)</f>
        <v>Major_Non-USMCA_Non-China</v>
      </c>
    </row>
    <row r="6820" spans="1:9" x14ac:dyDescent="0.4">
      <c r="A6820" t="s">
        <v>68</v>
      </c>
      <c r="B6820" s="1">
        <v>45931</v>
      </c>
      <c r="C6820">
        <v>850133</v>
      </c>
      <c r="D6820" t="s">
        <v>176</v>
      </c>
      <c r="E6820">
        <v>39871</v>
      </c>
      <c r="F6820">
        <v>4</v>
      </c>
      <c r="G6820">
        <v>128</v>
      </c>
      <c r="H6820">
        <f>_xlfn.XLOOKUP(FACT_IMPORTS[[#This Row],[hts_6]],DIM_PRODUCTS[hts_6],DIM_PRODUCTS[hts_4],,,)</f>
        <v>8501</v>
      </c>
      <c r="I6820" t="str" cm="1">
        <f t="array" ref="I6820">_xlfn.XLOOKUP(FACT_IMPORTS[[#This Row],[country_name]],DIM_COUNTRY[[#All],[Column2]],DIM_COUNTRY[[#All],[Column3]],,,)</f>
        <v>Major_Non-USMCA_Non-China</v>
      </c>
    </row>
    <row r="6821" spans="1:9" x14ac:dyDescent="0.4">
      <c r="A6821" t="s">
        <v>68</v>
      </c>
      <c r="B6821" s="1">
        <v>45931</v>
      </c>
      <c r="C6821">
        <v>850134</v>
      </c>
      <c r="D6821" t="s">
        <v>176</v>
      </c>
      <c r="E6821">
        <v>7811</v>
      </c>
      <c r="F6821">
        <v>1</v>
      </c>
      <c r="G6821">
        <v>14</v>
      </c>
      <c r="H6821">
        <f>_xlfn.XLOOKUP(FACT_IMPORTS[[#This Row],[hts_6]],DIM_PRODUCTS[hts_6],DIM_PRODUCTS[hts_4],,,)</f>
        <v>8501</v>
      </c>
      <c r="I6821" t="str" cm="1">
        <f t="array" ref="I6821">_xlfn.XLOOKUP(FACT_IMPORTS[[#This Row],[country_name]],DIM_COUNTRY[[#All],[Column2]],DIM_COUNTRY[[#All],[Column3]],,,)</f>
        <v>Major_Non-USMCA_Non-China</v>
      </c>
    </row>
    <row r="6822" spans="1:9" x14ac:dyDescent="0.4">
      <c r="A6822" t="s">
        <v>68</v>
      </c>
      <c r="B6822" s="1">
        <v>45931</v>
      </c>
      <c r="C6822">
        <v>850152</v>
      </c>
      <c r="D6822" t="s">
        <v>176</v>
      </c>
      <c r="E6822">
        <v>813962</v>
      </c>
      <c r="F6822">
        <v>258</v>
      </c>
      <c r="G6822">
        <v>45224</v>
      </c>
      <c r="H6822">
        <f>_xlfn.XLOOKUP(FACT_IMPORTS[[#This Row],[hts_6]],DIM_PRODUCTS[hts_6],DIM_PRODUCTS[hts_4],,,)</f>
        <v>8501</v>
      </c>
      <c r="I6822" t="str" cm="1">
        <f t="array" ref="I6822">_xlfn.XLOOKUP(FACT_IMPORTS[[#This Row],[country_name]],DIM_COUNTRY[[#All],[Column2]],DIM_COUNTRY[[#All],[Column3]],,,)</f>
        <v>Major_Non-USMCA_Non-China</v>
      </c>
    </row>
    <row r="6823" spans="1:9" x14ac:dyDescent="0.4">
      <c r="A6823" t="s">
        <v>68</v>
      </c>
      <c r="B6823" s="1">
        <v>45931</v>
      </c>
      <c r="C6823">
        <v>850153</v>
      </c>
      <c r="D6823" t="s">
        <v>176</v>
      </c>
      <c r="E6823">
        <v>88300</v>
      </c>
      <c r="F6823">
        <v>5</v>
      </c>
      <c r="G6823">
        <v>548</v>
      </c>
      <c r="H6823">
        <f>_xlfn.XLOOKUP(FACT_IMPORTS[[#This Row],[hts_6]],DIM_PRODUCTS[hts_6],DIM_PRODUCTS[hts_4],,,)</f>
        <v>8501</v>
      </c>
      <c r="I6823" t="str" cm="1">
        <f t="array" ref="I6823">_xlfn.XLOOKUP(FACT_IMPORTS[[#This Row],[country_name]],DIM_COUNTRY[[#All],[Column2]],DIM_COUNTRY[[#All],[Column3]],,,)</f>
        <v>Major_Non-USMCA_Non-China</v>
      </c>
    </row>
    <row r="6824" spans="1:9" x14ac:dyDescent="0.4">
      <c r="A6824" t="s">
        <v>68</v>
      </c>
      <c r="B6824" s="1">
        <v>45931</v>
      </c>
      <c r="C6824">
        <v>850161</v>
      </c>
      <c r="D6824" t="s">
        <v>176</v>
      </c>
      <c r="E6824">
        <v>6933</v>
      </c>
      <c r="F6824">
        <v>2</v>
      </c>
      <c r="G6824">
        <v>148</v>
      </c>
      <c r="H6824">
        <f>_xlfn.XLOOKUP(FACT_IMPORTS[[#This Row],[hts_6]],DIM_PRODUCTS[hts_6],DIM_PRODUCTS[hts_4],,,)</f>
        <v>8501</v>
      </c>
      <c r="I6824" t="str" cm="1">
        <f t="array" ref="I6824">_xlfn.XLOOKUP(FACT_IMPORTS[[#This Row],[country_name]],DIM_COUNTRY[[#All],[Column2]],DIM_COUNTRY[[#All],[Column3]],,,)</f>
        <v>Major_Non-USMCA_Non-China</v>
      </c>
    </row>
    <row r="6825" spans="1:9" x14ac:dyDescent="0.4">
      <c r="A6825" t="s">
        <v>68</v>
      </c>
      <c r="B6825" s="1">
        <v>45931</v>
      </c>
      <c r="C6825">
        <v>850440</v>
      </c>
      <c r="D6825" t="s">
        <v>176</v>
      </c>
      <c r="E6825">
        <v>971408</v>
      </c>
      <c r="F6825">
        <v>10292</v>
      </c>
      <c r="G6825">
        <v>42980</v>
      </c>
      <c r="H6825">
        <f>_xlfn.XLOOKUP(FACT_IMPORTS[[#This Row],[hts_6]],DIM_PRODUCTS[hts_6],DIM_PRODUCTS[hts_4],,,)</f>
        <v>8504</v>
      </c>
      <c r="I6825" t="str" cm="1">
        <f t="array" ref="I6825">_xlfn.XLOOKUP(FACT_IMPORTS[[#This Row],[country_name]],DIM_COUNTRY[[#All],[Column2]],DIM_COUNTRY[[#All],[Column3]],,,)</f>
        <v>Major_Non-USMCA_Non-China</v>
      </c>
    </row>
    <row r="6826" spans="1:9" x14ac:dyDescent="0.4">
      <c r="A6826" t="s">
        <v>68</v>
      </c>
      <c r="B6826" s="1">
        <v>45931</v>
      </c>
      <c r="C6826">
        <v>850710</v>
      </c>
      <c r="D6826" t="s">
        <v>176</v>
      </c>
      <c r="E6826">
        <v>0</v>
      </c>
      <c r="F6826">
        <v>0</v>
      </c>
      <c r="G6826">
        <v>0</v>
      </c>
      <c r="H6826">
        <f>_xlfn.XLOOKUP(FACT_IMPORTS[[#This Row],[hts_6]],DIM_PRODUCTS[hts_6],DIM_PRODUCTS[hts_4],,,)</f>
        <v>8507</v>
      </c>
      <c r="I6826" t="str" cm="1">
        <f t="array" ref="I6826">_xlfn.XLOOKUP(FACT_IMPORTS[[#This Row],[country_name]],DIM_COUNTRY[[#All],[Column2]],DIM_COUNTRY[[#All],[Column3]],,,)</f>
        <v>Major_Non-USMCA_Non-China</v>
      </c>
    </row>
    <row r="6827" spans="1:9" x14ac:dyDescent="0.4">
      <c r="A6827" t="s">
        <v>68</v>
      </c>
      <c r="B6827" s="1">
        <v>45931</v>
      </c>
      <c r="C6827">
        <v>850760</v>
      </c>
      <c r="D6827" t="s">
        <v>176</v>
      </c>
      <c r="E6827">
        <v>516967</v>
      </c>
      <c r="F6827">
        <v>452</v>
      </c>
      <c r="G6827">
        <v>7288</v>
      </c>
      <c r="H6827">
        <f>_xlfn.XLOOKUP(FACT_IMPORTS[[#This Row],[hts_6]],DIM_PRODUCTS[hts_6],DIM_PRODUCTS[hts_4],,,)</f>
        <v>8507</v>
      </c>
      <c r="I6827" t="str" cm="1">
        <f t="array" ref="I6827">_xlfn.XLOOKUP(FACT_IMPORTS[[#This Row],[country_name]],DIM_COUNTRY[[#All],[Column2]],DIM_COUNTRY[[#All],[Column3]],,,)</f>
        <v>Major_Non-USMCA_Non-China</v>
      </c>
    </row>
    <row r="6828" spans="1:9" x14ac:dyDescent="0.4">
      <c r="A6828" t="s">
        <v>68</v>
      </c>
      <c r="B6828" s="1">
        <v>45931</v>
      </c>
      <c r="C6828">
        <v>850790</v>
      </c>
      <c r="D6828" t="s">
        <v>176</v>
      </c>
      <c r="E6828">
        <v>0</v>
      </c>
      <c r="F6828">
        <v>0</v>
      </c>
      <c r="G6828">
        <v>0</v>
      </c>
      <c r="H6828">
        <f>_xlfn.XLOOKUP(FACT_IMPORTS[[#This Row],[hts_6]],DIM_PRODUCTS[hts_6],DIM_PRODUCTS[hts_4],,,)</f>
        <v>8507</v>
      </c>
      <c r="I6828" t="str" cm="1">
        <f t="array" ref="I6828">_xlfn.XLOOKUP(FACT_IMPORTS[[#This Row],[country_name]],DIM_COUNTRY[[#All],[Column2]],DIM_COUNTRY[[#All],[Column3]],,,)</f>
        <v>Major_Non-USMCA_Non-China</v>
      </c>
    </row>
    <row r="6829" spans="1:9" x14ac:dyDescent="0.4">
      <c r="A6829" t="s">
        <v>68</v>
      </c>
      <c r="B6829" s="1">
        <v>45931</v>
      </c>
      <c r="C6829">
        <v>851110</v>
      </c>
      <c r="D6829" t="s">
        <v>176</v>
      </c>
      <c r="E6829">
        <v>324855</v>
      </c>
      <c r="F6829">
        <v>2096</v>
      </c>
      <c r="G6829">
        <v>3416</v>
      </c>
      <c r="H6829">
        <f>_xlfn.XLOOKUP(FACT_IMPORTS[[#This Row],[hts_6]],DIM_PRODUCTS[hts_6],DIM_PRODUCTS[hts_4],,,)</f>
        <v>8511</v>
      </c>
      <c r="I6829" t="str" cm="1">
        <f t="array" ref="I6829">_xlfn.XLOOKUP(FACT_IMPORTS[[#This Row],[country_name]],DIM_COUNTRY[[#All],[Column2]],DIM_COUNTRY[[#All],[Column3]],,,)</f>
        <v>Major_Non-USMCA_Non-China</v>
      </c>
    </row>
    <row r="6830" spans="1:9" x14ac:dyDescent="0.4">
      <c r="A6830" t="s">
        <v>68</v>
      </c>
      <c r="B6830" s="1">
        <v>45931</v>
      </c>
      <c r="C6830">
        <v>851130</v>
      </c>
      <c r="D6830" t="s">
        <v>176</v>
      </c>
      <c r="E6830">
        <v>0</v>
      </c>
      <c r="F6830">
        <v>0</v>
      </c>
      <c r="G6830">
        <v>0</v>
      </c>
      <c r="H6830">
        <f>_xlfn.XLOOKUP(FACT_IMPORTS[[#This Row],[hts_6]],DIM_PRODUCTS[hts_6],DIM_PRODUCTS[hts_4],,,)</f>
        <v>8511</v>
      </c>
      <c r="I6830" t="str" cm="1">
        <f t="array" ref="I6830">_xlfn.XLOOKUP(FACT_IMPORTS[[#This Row],[country_name]],DIM_COUNTRY[[#All],[Column2]],DIM_COUNTRY[[#All],[Column3]],,,)</f>
        <v>Major_Non-USMCA_Non-China</v>
      </c>
    </row>
    <row r="6831" spans="1:9" x14ac:dyDescent="0.4">
      <c r="A6831" t="s">
        <v>68</v>
      </c>
      <c r="B6831" s="1">
        <v>45931</v>
      </c>
      <c r="C6831">
        <v>851140</v>
      </c>
      <c r="D6831" t="s">
        <v>176</v>
      </c>
      <c r="E6831">
        <v>0</v>
      </c>
      <c r="F6831">
        <v>0</v>
      </c>
      <c r="G6831">
        <v>0</v>
      </c>
      <c r="H6831">
        <f>_xlfn.XLOOKUP(FACT_IMPORTS[[#This Row],[hts_6]],DIM_PRODUCTS[hts_6],DIM_PRODUCTS[hts_4],,,)</f>
        <v>8511</v>
      </c>
      <c r="I6831" t="str" cm="1">
        <f t="array" ref="I6831">_xlfn.XLOOKUP(FACT_IMPORTS[[#This Row],[country_name]],DIM_COUNTRY[[#All],[Column2]],DIM_COUNTRY[[#All],[Column3]],,,)</f>
        <v>Major_Non-USMCA_Non-China</v>
      </c>
    </row>
    <row r="6832" spans="1:9" x14ac:dyDescent="0.4">
      <c r="A6832" t="s">
        <v>68</v>
      </c>
      <c r="B6832" s="1">
        <v>45931</v>
      </c>
      <c r="C6832">
        <v>851150</v>
      </c>
      <c r="D6832" t="s">
        <v>176</v>
      </c>
      <c r="E6832">
        <v>15088</v>
      </c>
      <c r="F6832">
        <v>2</v>
      </c>
      <c r="G6832">
        <v>67</v>
      </c>
      <c r="H6832">
        <f>_xlfn.XLOOKUP(FACT_IMPORTS[[#This Row],[hts_6]],DIM_PRODUCTS[hts_6],DIM_PRODUCTS[hts_4],,,)</f>
        <v>8511</v>
      </c>
      <c r="I6832" t="str" cm="1">
        <f t="array" ref="I6832">_xlfn.XLOOKUP(FACT_IMPORTS[[#This Row],[country_name]],DIM_COUNTRY[[#All],[Column2]],DIM_COUNTRY[[#All],[Column3]],,,)</f>
        <v>Major_Non-USMCA_Non-China</v>
      </c>
    </row>
    <row r="6833" spans="1:9" x14ac:dyDescent="0.4">
      <c r="A6833" t="s">
        <v>68</v>
      </c>
      <c r="B6833" s="1">
        <v>45931</v>
      </c>
      <c r="C6833">
        <v>851180</v>
      </c>
      <c r="D6833" t="s">
        <v>176</v>
      </c>
      <c r="E6833">
        <v>0</v>
      </c>
      <c r="F6833">
        <v>0</v>
      </c>
      <c r="G6833">
        <v>0</v>
      </c>
      <c r="H6833">
        <f>_xlfn.XLOOKUP(FACT_IMPORTS[[#This Row],[hts_6]],DIM_PRODUCTS[hts_6],DIM_PRODUCTS[hts_4],,,)</f>
        <v>8511</v>
      </c>
      <c r="I6833" t="str" cm="1">
        <f t="array" ref="I6833">_xlfn.XLOOKUP(FACT_IMPORTS[[#This Row],[country_name]],DIM_COUNTRY[[#All],[Column2]],DIM_COUNTRY[[#All],[Column3]],,,)</f>
        <v>Major_Non-USMCA_Non-China</v>
      </c>
    </row>
    <row r="6834" spans="1:9" x14ac:dyDescent="0.4">
      <c r="A6834" t="s">
        <v>68</v>
      </c>
      <c r="B6834" s="1">
        <v>45931</v>
      </c>
      <c r="C6834">
        <v>851190</v>
      </c>
      <c r="D6834" t="s">
        <v>176</v>
      </c>
      <c r="E6834">
        <v>0</v>
      </c>
      <c r="F6834">
        <v>0</v>
      </c>
      <c r="G6834">
        <v>0</v>
      </c>
      <c r="H6834">
        <f>_xlfn.XLOOKUP(FACT_IMPORTS[[#This Row],[hts_6]],DIM_PRODUCTS[hts_6],DIM_PRODUCTS[hts_4],,,)</f>
        <v>8511</v>
      </c>
      <c r="I6834" t="str" cm="1">
        <f t="array" ref="I6834">_xlfn.XLOOKUP(FACT_IMPORTS[[#This Row],[country_name]],DIM_COUNTRY[[#All],[Column2]],DIM_COUNTRY[[#All],[Column3]],,,)</f>
        <v>Major_Non-USMCA_Non-China</v>
      </c>
    </row>
    <row r="6835" spans="1:9" x14ac:dyDescent="0.4">
      <c r="A6835" t="s">
        <v>68</v>
      </c>
      <c r="B6835" s="1">
        <v>45931</v>
      </c>
      <c r="C6835">
        <v>851220</v>
      </c>
      <c r="D6835" t="s">
        <v>176</v>
      </c>
      <c r="E6835">
        <v>9723</v>
      </c>
      <c r="F6835">
        <v>870</v>
      </c>
      <c r="G6835">
        <v>660</v>
      </c>
      <c r="H6835">
        <f>_xlfn.XLOOKUP(FACT_IMPORTS[[#This Row],[hts_6]],DIM_PRODUCTS[hts_6],DIM_PRODUCTS[hts_4],,,)</f>
        <v>8512</v>
      </c>
      <c r="I6835" t="str" cm="1">
        <f t="array" ref="I6835">_xlfn.XLOOKUP(FACT_IMPORTS[[#This Row],[country_name]],DIM_COUNTRY[[#All],[Column2]],DIM_COUNTRY[[#All],[Column3]],,,)</f>
        <v>Major_Non-USMCA_Non-China</v>
      </c>
    </row>
    <row r="6836" spans="1:9" x14ac:dyDescent="0.4">
      <c r="A6836" t="s">
        <v>68</v>
      </c>
      <c r="B6836" s="1">
        <v>45931</v>
      </c>
      <c r="C6836">
        <v>851230</v>
      </c>
      <c r="D6836" t="s">
        <v>176</v>
      </c>
      <c r="E6836">
        <v>0</v>
      </c>
      <c r="F6836">
        <v>0</v>
      </c>
      <c r="G6836">
        <v>0</v>
      </c>
      <c r="H6836">
        <f>_xlfn.XLOOKUP(FACT_IMPORTS[[#This Row],[hts_6]],DIM_PRODUCTS[hts_6],DIM_PRODUCTS[hts_4],,,)</f>
        <v>8512</v>
      </c>
      <c r="I6836" t="str" cm="1">
        <f t="array" ref="I6836">_xlfn.XLOOKUP(FACT_IMPORTS[[#This Row],[country_name]],DIM_COUNTRY[[#All],[Column2]],DIM_COUNTRY[[#All],[Column3]],,,)</f>
        <v>Major_Non-USMCA_Non-China</v>
      </c>
    </row>
    <row r="6837" spans="1:9" x14ac:dyDescent="0.4">
      <c r="A6837" t="s">
        <v>68</v>
      </c>
      <c r="B6837" s="1">
        <v>45931</v>
      </c>
      <c r="C6837">
        <v>851290</v>
      </c>
      <c r="D6837" t="s">
        <v>176</v>
      </c>
      <c r="E6837">
        <v>11972</v>
      </c>
      <c r="F6837">
        <v>361</v>
      </c>
      <c r="G6837">
        <v>1752</v>
      </c>
      <c r="H6837">
        <f>_xlfn.XLOOKUP(FACT_IMPORTS[[#This Row],[hts_6]],DIM_PRODUCTS[hts_6],DIM_PRODUCTS[hts_4],,,)</f>
        <v>8512</v>
      </c>
      <c r="I6837" t="str" cm="1">
        <f t="array" ref="I6837">_xlfn.XLOOKUP(FACT_IMPORTS[[#This Row],[country_name]],DIM_COUNTRY[[#All],[Column2]],DIM_COUNTRY[[#All],[Column3]],,,)</f>
        <v>Major_Non-USMCA_Non-China</v>
      </c>
    </row>
    <row r="6838" spans="1:9" x14ac:dyDescent="0.4">
      <c r="A6838" t="s">
        <v>68</v>
      </c>
      <c r="B6838" s="1">
        <v>45931</v>
      </c>
      <c r="C6838">
        <v>854231</v>
      </c>
      <c r="D6838" t="s">
        <v>176</v>
      </c>
      <c r="E6838">
        <v>157741</v>
      </c>
      <c r="F6838">
        <v>85</v>
      </c>
      <c r="G6838">
        <v>1783</v>
      </c>
      <c r="H6838">
        <f>_xlfn.XLOOKUP(FACT_IMPORTS[[#This Row],[hts_6]],DIM_PRODUCTS[hts_6],DIM_PRODUCTS[hts_4],,,)</f>
        <v>8542</v>
      </c>
      <c r="I6838" t="str" cm="1">
        <f t="array" ref="I6838">_xlfn.XLOOKUP(FACT_IMPORTS[[#This Row],[country_name]],DIM_COUNTRY[[#All],[Column2]],DIM_COUNTRY[[#All],[Column3]],,,)</f>
        <v>Major_Non-USMCA_Non-China</v>
      </c>
    </row>
    <row r="6839" spans="1:9" x14ac:dyDescent="0.4">
      <c r="A6839" t="s">
        <v>68</v>
      </c>
      <c r="B6839" s="1">
        <v>45931</v>
      </c>
      <c r="C6839">
        <v>854232</v>
      </c>
      <c r="D6839" t="s">
        <v>176</v>
      </c>
      <c r="E6839">
        <v>0</v>
      </c>
      <c r="F6839">
        <v>0</v>
      </c>
      <c r="G6839">
        <v>0</v>
      </c>
      <c r="H6839">
        <f>_xlfn.XLOOKUP(FACT_IMPORTS[[#This Row],[hts_6]],DIM_PRODUCTS[hts_6],DIM_PRODUCTS[hts_4],,,)</f>
        <v>8542</v>
      </c>
      <c r="I6839" t="str" cm="1">
        <f t="array" ref="I6839">_xlfn.XLOOKUP(FACT_IMPORTS[[#This Row],[country_name]],DIM_COUNTRY[[#All],[Column2]],DIM_COUNTRY[[#All],[Column3]],,,)</f>
        <v>Major_Non-USMCA_Non-China</v>
      </c>
    </row>
    <row r="6840" spans="1:9" x14ac:dyDescent="0.4">
      <c r="A6840" t="s">
        <v>68</v>
      </c>
      <c r="B6840" s="1">
        <v>45931</v>
      </c>
      <c r="C6840">
        <v>854233</v>
      </c>
      <c r="D6840" t="s">
        <v>176</v>
      </c>
      <c r="E6840">
        <v>3074</v>
      </c>
      <c r="F6840">
        <v>1</v>
      </c>
      <c r="G6840">
        <v>41</v>
      </c>
      <c r="H6840">
        <f>_xlfn.XLOOKUP(FACT_IMPORTS[[#This Row],[hts_6]],DIM_PRODUCTS[hts_6],DIM_PRODUCTS[hts_4],,,)</f>
        <v>8542</v>
      </c>
      <c r="I6840" t="str" cm="1">
        <f t="array" ref="I6840">_xlfn.XLOOKUP(FACT_IMPORTS[[#This Row],[country_name]],DIM_COUNTRY[[#All],[Column2]],DIM_COUNTRY[[#All],[Column3]],,,)</f>
        <v>Major_Non-USMCA_Non-China</v>
      </c>
    </row>
    <row r="6841" spans="1:9" x14ac:dyDescent="0.4">
      <c r="A6841" t="s">
        <v>68</v>
      </c>
      <c r="B6841" s="1">
        <v>45931</v>
      </c>
      <c r="C6841">
        <v>854239</v>
      </c>
      <c r="D6841" t="s">
        <v>176</v>
      </c>
      <c r="E6841">
        <v>0</v>
      </c>
      <c r="F6841">
        <v>0</v>
      </c>
      <c r="G6841">
        <v>0</v>
      </c>
      <c r="H6841">
        <f>_xlfn.XLOOKUP(FACT_IMPORTS[[#This Row],[hts_6]],DIM_PRODUCTS[hts_6],DIM_PRODUCTS[hts_4],,,)</f>
        <v>8542</v>
      </c>
      <c r="I6841" t="str" cm="1">
        <f t="array" ref="I6841">_xlfn.XLOOKUP(FACT_IMPORTS[[#This Row],[country_name]],DIM_COUNTRY[[#All],[Column2]],DIM_COUNTRY[[#All],[Column3]],,,)</f>
        <v>Major_Non-USMCA_Non-China</v>
      </c>
    </row>
    <row r="6842" spans="1:9" x14ac:dyDescent="0.4">
      <c r="A6842" t="s">
        <v>68</v>
      </c>
      <c r="B6842" s="1">
        <v>45931</v>
      </c>
      <c r="C6842">
        <v>854290</v>
      </c>
      <c r="D6842" t="s">
        <v>176</v>
      </c>
      <c r="E6842">
        <v>10049</v>
      </c>
      <c r="F6842">
        <v>14</v>
      </c>
      <c r="G6842">
        <v>114</v>
      </c>
      <c r="H6842">
        <f>_xlfn.XLOOKUP(FACT_IMPORTS[[#This Row],[hts_6]],DIM_PRODUCTS[hts_6],DIM_PRODUCTS[hts_4],,,)</f>
        <v>8542</v>
      </c>
      <c r="I6842" t="str" cm="1">
        <f t="array" ref="I6842">_xlfn.XLOOKUP(FACT_IMPORTS[[#This Row],[country_name]],DIM_COUNTRY[[#All],[Column2]],DIM_COUNTRY[[#All],[Column3]],,,)</f>
        <v>Major_Non-USMCA_Non-China</v>
      </c>
    </row>
    <row r="6843" spans="1:9" x14ac:dyDescent="0.4">
      <c r="A6843" t="s">
        <v>68</v>
      </c>
      <c r="B6843" s="1">
        <v>45931</v>
      </c>
      <c r="C6843">
        <v>854430</v>
      </c>
      <c r="D6843" t="s">
        <v>176</v>
      </c>
      <c r="E6843">
        <v>146544</v>
      </c>
      <c r="F6843">
        <v>10519</v>
      </c>
      <c r="G6843">
        <v>4249</v>
      </c>
      <c r="H6843">
        <f>_xlfn.XLOOKUP(FACT_IMPORTS[[#This Row],[hts_6]],DIM_PRODUCTS[hts_6],DIM_PRODUCTS[hts_4],,,)</f>
        <v>8544</v>
      </c>
      <c r="I6843" t="str" cm="1">
        <f t="array" ref="I6843">_xlfn.XLOOKUP(FACT_IMPORTS[[#This Row],[country_name]],DIM_COUNTRY[[#All],[Column2]],DIM_COUNTRY[[#All],[Column3]],,,)</f>
        <v>Major_Non-USMCA_Non-China</v>
      </c>
    </row>
    <row r="6844" spans="1:9" x14ac:dyDescent="0.4">
      <c r="A6844" t="s">
        <v>68</v>
      </c>
      <c r="B6844" s="1">
        <v>45931</v>
      </c>
      <c r="C6844">
        <v>870710</v>
      </c>
      <c r="D6844" t="s">
        <v>176</v>
      </c>
      <c r="E6844">
        <v>0</v>
      </c>
      <c r="F6844">
        <v>0</v>
      </c>
      <c r="G6844">
        <v>0</v>
      </c>
      <c r="H6844">
        <f>_xlfn.XLOOKUP(FACT_IMPORTS[[#This Row],[hts_6]],DIM_PRODUCTS[hts_6],DIM_PRODUCTS[hts_4],,,)</f>
        <v>8707</v>
      </c>
      <c r="I6844" t="str" cm="1">
        <f t="array" ref="I6844">_xlfn.XLOOKUP(FACT_IMPORTS[[#This Row],[country_name]],DIM_COUNTRY[[#All],[Column2]],DIM_COUNTRY[[#All],[Column3]],,,)</f>
        <v>Major_Non-USMCA_Non-China</v>
      </c>
    </row>
    <row r="6845" spans="1:9" x14ac:dyDescent="0.4">
      <c r="A6845" t="s">
        <v>68</v>
      </c>
      <c r="B6845" s="1">
        <v>45931</v>
      </c>
      <c r="C6845">
        <v>870790</v>
      </c>
      <c r="D6845" t="s">
        <v>176</v>
      </c>
      <c r="E6845">
        <v>0</v>
      </c>
      <c r="F6845">
        <v>0</v>
      </c>
      <c r="G6845">
        <v>0</v>
      </c>
      <c r="H6845">
        <f>_xlfn.XLOOKUP(FACT_IMPORTS[[#This Row],[hts_6]],DIM_PRODUCTS[hts_6],DIM_PRODUCTS[hts_4],,,)</f>
        <v>8707</v>
      </c>
      <c r="I6845" t="str" cm="1">
        <f t="array" ref="I6845">_xlfn.XLOOKUP(FACT_IMPORTS[[#This Row],[country_name]],DIM_COUNTRY[[#All],[Column2]],DIM_COUNTRY[[#All],[Column3]],,,)</f>
        <v>Major_Non-USMCA_Non-China</v>
      </c>
    </row>
    <row r="6846" spans="1:9" x14ac:dyDescent="0.4">
      <c r="A6846" t="s">
        <v>68</v>
      </c>
      <c r="B6846" s="1">
        <v>45931</v>
      </c>
      <c r="C6846">
        <v>870810</v>
      </c>
      <c r="D6846" t="s">
        <v>176</v>
      </c>
      <c r="E6846">
        <v>34469</v>
      </c>
      <c r="F6846">
        <v>552</v>
      </c>
      <c r="G6846">
        <v>1674</v>
      </c>
      <c r="H6846">
        <f>_xlfn.XLOOKUP(FACT_IMPORTS[[#This Row],[hts_6]],DIM_PRODUCTS[hts_6],DIM_PRODUCTS[hts_4],,,)</f>
        <v>8708</v>
      </c>
      <c r="I6846" t="str" cm="1">
        <f t="array" ref="I6846">_xlfn.XLOOKUP(FACT_IMPORTS[[#This Row],[country_name]],DIM_COUNTRY[[#All],[Column2]],DIM_COUNTRY[[#All],[Column3]],,,)</f>
        <v>Major_Non-USMCA_Non-China</v>
      </c>
    </row>
    <row r="6847" spans="1:9" x14ac:dyDescent="0.4">
      <c r="A6847" t="s">
        <v>68</v>
      </c>
      <c r="B6847" s="1">
        <v>45931</v>
      </c>
      <c r="C6847">
        <v>870821</v>
      </c>
      <c r="D6847" t="s">
        <v>176</v>
      </c>
      <c r="E6847">
        <v>0</v>
      </c>
      <c r="F6847">
        <v>0</v>
      </c>
      <c r="G6847">
        <v>0</v>
      </c>
      <c r="H6847">
        <f>_xlfn.XLOOKUP(FACT_IMPORTS[[#This Row],[hts_6]],DIM_PRODUCTS[hts_6],DIM_PRODUCTS[hts_4],,,)</f>
        <v>8708</v>
      </c>
      <c r="I6847" t="str" cm="1">
        <f t="array" ref="I6847">_xlfn.XLOOKUP(FACT_IMPORTS[[#This Row],[country_name]],DIM_COUNTRY[[#All],[Column2]],DIM_COUNTRY[[#All],[Column3]],,,)</f>
        <v>Major_Non-USMCA_Non-China</v>
      </c>
    </row>
    <row r="6848" spans="1:9" x14ac:dyDescent="0.4">
      <c r="A6848" t="s">
        <v>68</v>
      </c>
      <c r="B6848" s="1">
        <v>45931</v>
      </c>
      <c r="C6848">
        <v>870822</v>
      </c>
      <c r="D6848" t="s">
        <v>176</v>
      </c>
      <c r="E6848">
        <v>0</v>
      </c>
      <c r="F6848">
        <v>0</v>
      </c>
      <c r="G6848">
        <v>0</v>
      </c>
      <c r="H6848">
        <f>_xlfn.XLOOKUP(FACT_IMPORTS[[#This Row],[hts_6]],DIM_PRODUCTS[hts_6],DIM_PRODUCTS[hts_4],,,)</f>
        <v>8708</v>
      </c>
      <c r="I6848" t="str" cm="1">
        <f t="array" ref="I6848">_xlfn.XLOOKUP(FACT_IMPORTS[[#This Row],[country_name]],DIM_COUNTRY[[#All],[Column2]],DIM_COUNTRY[[#All],[Column3]],,,)</f>
        <v>Major_Non-USMCA_Non-China</v>
      </c>
    </row>
    <row r="6849" spans="1:9" x14ac:dyDescent="0.4">
      <c r="A6849" t="s">
        <v>68</v>
      </c>
      <c r="B6849" s="1">
        <v>45931</v>
      </c>
      <c r="C6849">
        <v>870829</v>
      </c>
      <c r="D6849" t="s">
        <v>176</v>
      </c>
      <c r="E6849">
        <v>1973924</v>
      </c>
      <c r="F6849">
        <v>917471</v>
      </c>
      <c r="G6849">
        <v>89932</v>
      </c>
      <c r="H6849">
        <f>_xlfn.XLOOKUP(FACT_IMPORTS[[#This Row],[hts_6]],DIM_PRODUCTS[hts_6],DIM_PRODUCTS[hts_4],,,)</f>
        <v>8708</v>
      </c>
      <c r="I6849" t="str" cm="1">
        <f t="array" ref="I6849">_xlfn.XLOOKUP(FACT_IMPORTS[[#This Row],[country_name]],DIM_COUNTRY[[#All],[Column2]],DIM_COUNTRY[[#All],[Column3]],,,)</f>
        <v>Major_Non-USMCA_Non-China</v>
      </c>
    </row>
    <row r="6850" spans="1:9" x14ac:dyDescent="0.4">
      <c r="A6850" t="s">
        <v>68</v>
      </c>
      <c r="B6850" s="1">
        <v>45931</v>
      </c>
      <c r="C6850">
        <v>870830</v>
      </c>
      <c r="D6850" t="s">
        <v>176</v>
      </c>
      <c r="E6850">
        <v>285318</v>
      </c>
      <c r="F6850">
        <v>4420</v>
      </c>
      <c r="G6850">
        <v>12524</v>
      </c>
      <c r="H6850">
        <f>_xlfn.XLOOKUP(FACT_IMPORTS[[#This Row],[hts_6]],DIM_PRODUCTS[hts_6],DIM_PRODUCTS[hts_4],,,)</f>
        <v>8708</v>
      </c>
      <c r="I6850" t="str" cm="1">
        <f t="array" ref="I6850">_xlfn.XLOOKUP(FACT_IMPORTS[[#This Row],[country_name]],DIM_COUNTRY[[#All],[Column2]],DIM_COUNTRY[[#All],[Column3]],,,)</f>
        <v>Major_Non-USMCA_Non-China</v>
      </c>
    </row>
    <row r="6851" spans="1:9" x14ac:dyDescent="0.4">
      <c r="A6851" t="s">
        <v>68</v>
      </c>
      <c r="B6851" s="1">
        <v>45931</v>
      </c>
      <c r="C6851">
        <v>870840</v>
      </c>
      <c r="D6851" t="s">
        <v>176</v>
      </c>
      <c r="E6851">
        <v>27252615</v>
      </c>
      <c r="F6851">
        <v>604936</v>
      </c>
      <c r="G6851">
        <v>83297</v>
      </c>
      <c r="H6851">
        <f>_xlfn.XLOOKUP(FACT_IMPORTS[[#This Row],[hts_6]],DIM_PRODUCTS[hts_6],DIM_PRODUCTS[hts_4],,,)</f>
        <v>8708</v>
      </c>
      <c r="I6851" t="str" cm="1">
        <f t="array" ref="I6851">_xlfn.XLOOKUP(FACT_IMPORTS[[#This Row],[country_name]],DIM_COUNTRY[[#All],[Column2]],DIM_COUNTRY[[#All],[Column3]],,,)</f>
        <v>Major_Non-USMCA_Non-China</v>
      </c>
    </row>
    <row r="6852" spans="1:9" x14ac:dyDescent="0.4">
      <c r="A6852" t="s">
        <v>68</v>
      </c>
      <c r="B6852" s="1">
        <v>45931</v>
      </c>
      <c r="C6852">
        <v>870850</v>
      </c>
      <c r="D6852" t="s">
        <v>176</v>
      </c>
      <c r="E6852">
        <v>6582656</v>
      </c>
      <c r="F6852">
        <v>362180</v>
      </c>
      <c r="G6852">
        <v>78537</v>
      </c>
      <c r="H6852">
        <f>_xlfn.XLOOKUP(FACT_IMPORTS[[#This Row],[hts_6]],DIM_PRODUCTS[hts_6],DIM_PRODUCTS[hts_4],,,)</f>
        <v>8708</v>
      </c>
      <c r="I6852" t="str" cm="1">
        <f t="array" ref="I6852">_xlfn.XLOOKUP(FACT_IMPORTS[[#This Row],[country_name]],DIM_COUNTRY[[#All],[Column2]],DIM_COUNTRY[[#All],[Column3]],,,)</f>
        <v>Major_Non-USMCA_Non-China</v>
      </c>
    </row>
    <row r="6853" spans="1:9" x14ac:dyDescent="0.4">
      <c r="A6853" t="s">
        <v>68</v>
      </c>
      <c r="B6853" s="1">
        <v>45931</v>
      </c>
      <c r="C6853">
        <v>870870</v>
      </c>
      <c r="D6853" t="s">
        <v>176</v>
      </c>
      <c r="E6853">
        <v>2376</v>
      </c>
      <c r="F6853">
        <v>5</v>
      </c>
      <c r="G6853">
        <v>3</v>
      </c>
      <c r="H6853">
        <f>_xlfn.XLOOKUP(FACT_IMPORTS[[#This Row],[hts_6]],DIM_PRODUCTS[hts_6],DIM_PRODUCTS[hts_4],,,)</f>
        <v>8708</v>
      </c>
      <c r="I6853" t="str" cm="1">
        <f t="array" ref="I6853">_xlfn.XLOOKUP(FACT_IMPORTS[[#This Row],[country_name]],DIM_COUNTRY[[#All],[Column2]],DIM_COUNTRY[[#All],[Column3]],,,)</f>
        <v>Major_Non-USMCA_Non-China</v>
      </c>
    </row>
    <row r="6854" spans="1:9" x14ac:dyDescent="0.4">
      <c r="A6854" t="s">
        <v>68</v>
      </c>
      <c r="B6854" s="1">
        <v>45931</v>
      </c>
      <c r="C6854">
        <v>870880</v>
      </c>
      <c r="D6854" t="s">
        <v>176</v>
      </c>
      <c r="E6854">
        <v>1711361</v>
      </c>
      <c r="F6854">
        <v>387541</v>
      </c>
      <c r="G6854">
        <v>67780</v>
      </c>
      <c r="H6854">
        <f>_xlfn.XLOOKUP(FACT_IMPORTS[[#This Row],[hts_6]],DIM_PRODUCTS[hts_6],DIM_PRODUCTS[hts_4],,,)</f>
        <v>8708</v>
      </c>
      <c r="I6854" t="str" cm="1">
        <f t="array" ref="I6854">_xlfn.XLOOKUP(FACT_IMPORTS[[#This Row],[country_name]],DIM_COUNTRY[[#All],[Column2]],DIM_COUNTRY[[#All],[Column3]],,,)</f>
        <v>Major_Non-USMCA_Non-China</v>
      </c>
    </row>
    <row r="6855" spans="1:9" x14ac:dyDescent="0.4">
      <c r="A6855" t="s">
        <v>68</v>
      </c>
      <c r="B6855" s="1">
        <v>45931</v>
      </c>
      <c r="C6855">
        <v>870891</v>
      </c>
      <c r="D6855" t="s">
        <v>176</v>
      </c>
      <c r="E6855">
        <v>4070</v>
      </c>
      <c r="F6855">
        <v>2</v>
      </c>
      <c r="G6855">
        <v>8</v>
      </c>
      <c r="H6855">
        <f>_xlfn.XLOOKUP(FACT_IMPORTS[[#This Row],[hts_6]],DIM_PRODUCTS[hts_6],DIM_PRODUCTS[hts_4],,,)</f>
        <v>8708</v>
      </c>
      <c r="I6855" t="str" cm="1">
        <f t="array" ref="I6855">_xlfn.XLOOKUP(FACT_IMPORTS[[#This Row],[country_name]],DIM_COUNTRY[[#All],[Column2]],DIM_COUNTRY[[#All],[Column3]],,,)</f>
        <v>Major_Non-USMCA_Non-China</v>
      </c>
    </row>
    <row r="6856" spans="1:9" x14ac:dyDescent="0.4">
      <c r="A6856" t="s">
        <v>68</v>
      </c>
      <c r="B6856" s="1">
        <v>45931</v>
      </c>
      <c r="C6856">
        <v>870892</v>
      </c>
      <c r="D6856" t="s">
        <v>176</v>
      </c>
      <c r="E6856">
        <v>250989</v>
      </c>
      <c r="F6856">
        <v>118124</v>
      </c>
      <c r="G6856">
        <v>16513</v>
      </c>
      <c r="H6856">
        <f>_xlfn.XLOOKUP(FACT_IMPORTS[[#This Row],[hts_6]],DIM_PRODUCTS[hts_6],DIM_PRODUCTS[hts_4],,,)</f>
        <v>8708</v>
      </c>
      <c r="I6856" t="str" cm="1">
        <f t="array" ref="I6856">_xlfn.XLOOKUP(FACT_IMPORTS[[#This Row],[country_name]],DIM_COUNTRY[[#All],[Column2]],DIM_COUNTRY[[#All],[Column3]],,,)</f>
        <v>Major_Non-USMCA_Non-China</v>
      </c>
    </row>
    <row r="6857" spans="1:9" x14ac:dyDescent="0.4">
      <c r="A6857" t="s">
        <v>68</v>
      </c>
      <c r="B6857" s="1">
        <v>45931</v>
      </c>
      <c r="C6857">
        <v>870893</v>
      </c>
      <c r="D6857" t="s">
        <v>176</v>
      </c>
      <c r="E6857">
        <v>240321</v>
      </c>
      <c r="F6857">
        <v>3471</v>
      </c>
      <c r="G6857">
        <v>12989</v>
      </c>
      <c r="H6857">
        <f>_xlfn.XLOOKUP(FACT_IMPORTS[[#This Row],[hts_6]],DIM_PRODUCTS[hts_6],DIM_PRODUCTS[hts_4],,,)</f>
        <v>8708</v>
      </c>
      <c r="I6857" t="str" cm="1">
        <f t="array" ref="I6857">_xlfn.XLOOKUP(FACT_IMPORTS[[#This Row],[country_name]],DIM_COUNTRY[[#All],[Column2]],DIM_COUNTRY[[#All],[Column3]],,,)</f>
        <v>Major_Non-USMCA_Non-China</v>
      </c>
    </row>
    <row r="6858" spans="1:9" x14ac:dyDescent="0.4">
      <c r="A6858" t="s">
        <v>68</v>
      </c>
      <c r="B6858" s="1">
        <v>45931</v>
      </c>
      <c r="C6858">
        <v>870894</v>
      </c>
      <c r="D6858" t="s">
        <v>176</v>
      </c>
      <c r="E6858">
        <v>94170</v>
      </c>
      <c r="F6858">
        <v>6926</v>
      </c>
      <c r="G6858">
        <v>5161</v>
      </c>
      <c r="H6858">
        <f>_xlfn.XLOOKUP(FACT_IMPORTS[[#This Row],[hts_6]],DIM_PRODUCTS[hts_6],DIM_PRODUCTS[hts_4],,,)</f>
        <v>8708</v>
      </c>
      <c r="I6858" t="str" cm="1">
        <f t="array" ref="I6858">_xlfn.XLOOKUP(FACT_IMPORTS[[#This Row],[country_name]],DIM_COUNTRY[[#All],[Column2]],DIM_COUNTRY[[#All],[Column3]],,,)</f>
        <v>Major_Non-USMCA_Non-China</v>
      </c>
    </row>
    <row r="6859" spans="1:9" x14ac:dyDescent="0.4">
      <c r="A6859" t="s">
        <v>68</v>
      </c>
      <c r="B6859" s="1">
        <v>45931</v>
      </c>
      <c r="C6859">
        <v>870895</v>
      </c>
      <c r="D6859" t="s">
        <v>176</v>
      </c>
      <c r="E6859">
        <v>0</v>
      </c>
      <c r="F6859">
        <v>0</v>
      </c>
      <c r="G6859">
        <v>0</v>
      </c>
      <c r="H6859">
        <f>_xlfn.XLOOKUP(FACT_IMPORTS[[#This Row],[hts_6]],DIM_PRODUCTS[hts_6],DIM_PRODUCTS[hts_4],,,)</f>
        <v>8708</v>
      </c>
      <c r="I6859" t="str" cm="1">
        <f t="array" ref="I6859">_xlfn.XLOOKUP(FACT_IMPORTS[[#This Row],[country_name]],DIM_COUNTRY[[#All],[Column2]],DIM_COUNTRY[[#All],[Column3]],,,)</f>
        <v>Major_Non-USMCA_Non-China</v>
      </c>
    </row>
    <row r="6860" spans="1:9" x14ac:dyDescent="0.4">
      <c r="A6860" t="s">
        <v>68</v>
      </c>
      <c r="B6860" s="1">
        <v>45931</v>
      </c>
      <c r="C6860">
        <v>870899</v>
      </c>
      <c r="D6860" t="s">
        <v>176</v>
      </c>
      <c r="E6860">
        <v>1865940</v>
      </c>
      <c r="F6860">
        <v>495035</v>
      </c>
      <c r="G6860">
        <v>58023</v>
      </c>
      <c r="H6860">
        <f>_xlfn.XLOOKUP(FACT_IMPORTS[[#This Row],[hts_6]],DIM_PRODUCTS[hts_6],DIM_PRODUCTS[hts_4],,,)</f>
        <v>8708</v>
      </c>
      <c r="I6860" t="str" cm="1">
        <f t="array" ref="I6860">_xlfn.XLOOKUP(FACT_IMPORTS[[#This Row],[country_name]],DIM_COUNTRY[[#All],[Column2]],DIM_COUNTRY[[#All],[Column3]],,,)</f>
        <v>Major_Non-USMCA_Non-China</v>
      </c>
    </row>
    <row r="6861" spans="1:9" x14ac:dyDescent="0.4">
      <c r="A6861" t="s">
        <v>68</v>
      </c>
      <c r="B6861" s="1">
        <v>45931</v>
      </c>
      <c r="C6861">
        <v>940120</v>
      </c>
      <c r="D6861" t="s">
        <v>176</v>
      </c>
      <c r="E6861">
        <v>4577</v>
      </c>
      <c r="F6861">
        <v>2</v>
      </c>
      <c r="G6861">
        <v>228</v>
      </c>
      <c r="H6861">
        <f>_xlfn.XLOOKUP(FACT_IMPORTS[[#This Row],[hts_6]],DIM_PRODUCTS[hts_6],DIM_PRODUCTS[hts_4],,,)</f>
        <v>9401</v>
      </c>
      <c r="I6861" t="str" cm="1">
        <f t="array" ref="I6861">_xlfn.XLOOKUP(FACT_IMPORTS[[#This Row],[country_name]],DIM_COUNTRY[[#All],[Column2]],DIM_COUNTRY[[#All],[Column3]],,,)</f>
        <v>Major_Non-USMCA_Non-China</v>
      </c>
    </row>
    <row r="6862" spans="1:9" x14ac:dyDescent="0.4">
      <c r="A6862" t="s">
        <v>71</v>
      </c>
      <c r="B6862" s="1">
        <v>44927</v>
      </c>
      <c r="C6862">
        <v>392630</v>
      </c>
      <c r="D6862" t="s">
        <v>176</v>
      </c>
      <c r="E6862">
        <v>14103</v>
      </c>
      <c r="F6862">
        <v>2052</v>
      </c>
      <c r="G6862">
        <v>134</v>
      </c>
      <c r="H6862">
        <f>_xlfn.XLOOKUP(FACT_IMPORTS[[#This Row],[hts_6]],DIM_PRODUCTS[hts_6],DIM_PRODUCTS[hts_4],,,)</f>
        <v>3926</v>
      </c>
      <c r="I6862" t="str" cm="1">
        <f t="array" ref="I6862">_xlfn.XLOOKUP(FACT_IMPORTS[[#This Row],[country_name]],DIM_COUNTRY[[#All],[Column2]],DIM_COUNTRY[[#All],[Column3]],,,)</f>
        <v>Major_Non-USMCA_Non-China</v>
      </c>
    </row>
    <row r="6863" spans="1:9" x14ac:dyDescent="0.4">
      <c r="A6863" t="s">
        <v>71</v>
      </c>
      <c r="B6863" s="1">
        <v>44927</v>
      </c>
      <c r="C6863">
        <v>401110</v>
      </c>
      <c r="D6863" t="s">
        <v>176</v>
      </c>
      <c r="E6863">
        <v>2161275</v>
      </c>
      <c r="F6863">
        <v>30076</v>
      </c>
      <c r="G6863">
        <v>10336</v>
      </c>
      <c r="H6863">
        <f>_xlfn.XLOOKUP(FACT_IMPORTS[[#This Row],[hts_6]],DIM_PRODUCTS[hts_6],DIM_PRODUCTS[hts_4],,,)</f>
        <v>4011</v>
      </c>
      <c r="I6863" t="str" cm="1">
        <f t="array" ref="I6863">_xlfn.XLOOKUP(FACT_IMPORTS[[#This Row],[country_name]],DIM_COUNTRY[[#All],[Column2]],DIM_COUNTRY[[#All],[Column3]],,,)</f>
        <v>Major_Non-USMCA_Non-China</v>
      </c>
    </row>
    <row r="6864" spans="1:9" x14ac:dyDescent="0.4">
      <c r="A6864" t="s">
        <v>71</v>
      </c>
      <c r="B6864" s="1">
        <v>44927</v>
      </c>
      <c r="C6864">
        <v>401120</v>
      </c>
      <c r="D6864" t="s">
        <v>176</v>
      </c>
      <c r="E6864">
        <v>8737</v>
      </c>
      <c r="F6864">
        <v>82</v>
      </c>
      <c r="G6864">
        <v>450</v>
      </c>
      <c r="H6864">
        <f>_xlfn.XLOOKUP(FACT_IMPORTS[[#This Row],[hts_6]],DIM_PRODUCTS[hts_6],DIM_PRODUCTS[hts_4],,,)</f>
        <v>4011</v>
      </c>
      <c r="I6864" t="str" cm="1">
        <f t="array" ref="I6864">_xlfn.XLOOKUP(FACT_IMPORTS[[#This Row],[country_name]],DIM_COUNTRY[[#All],[Column2]],DIM_COUNTRY[[#All],[Column3]],,,)</f>
        <v>Major_Non-USMCA_Non-China</v>
      </c>
    </row>
    <row r="6865" spans="1:9" x14ac:dyDescent="0.4">
      <c r="A6865" t="s">
        <v>71</v>
      </c>
      <c r="B6865" s="1">
        <v>44927</v>
      </c>
      <c r="C6865">
        <v>401140</v>
      </c>
      <c r="D6865" t="s">
        <v>176</v>
      </c>
      <c r="E6865">
        <v>0</v>
      </c>
      <c r="F6865">
        <v>0</v>
      </c>
      <c r="G6865">
        <v>0</v>
      </c>
      <c r="H6865">
        <f>_xlfn.XLOOKUP(FACT_IMPORTS[[#This Row],[hts_6]],DIM_PRODUCTS[hts_6],DIM_PRODUCTS[hts_4],,,)</f>
        <v>4011</v>
      </c>
      <c r="I6865" t="str" cm="1">
        <f t="array" ref="I6865">_xlfn.XLOOKUP(FACT_IMPORTS[[#This Row],[country_name]],DIM_COUNTRY[[#All],[Column2]],DIM_COUNTRY[[#All],[Column3]],,,)</f>
        <v>Major_Non-USMCA_Non-China</v>
      </c>
    </row>
    <row r="6866" spans="1:9" x14ac:dyDescent="0.4">
      <c r="A6866" t="s">
        <v>71</v>
      </c>
      <c r="B6866" s="1">
        <v>44927</v>
      </c>
      <c r="C6866">
        <v>700721</v>
      </c>
      <c r="D6866" t="s">
        <v>176</v>
      </c>
      <c r="E6866">
        <v>3547</v>
      </c>
      <c r="F6866">
        <v>4</v>
      </c>
      <c r="G6866">
        <v>514</v>
      </c>
      <c r="H6866">
        <f>_xlfn.XLOOKUP(FACT_IMPORTS[[#This Row],[hts_6]],DIM_PRODUCTS[hts_6],DIM_PRODUCTS[hts_4],,,)</f>
        <v>7007</v>
      </c>
      <c r="I6866" t="str" cm="1">
        <f t="array" ref="I6866">_xlfn.XLOOKUP(FACT_IMPORTS[[#This Row],[country_name]],DIM_COUNTRY[[#All],[Column2]],DIM_COUNTRY[[#All],[Column3]],,,)</f>
        <v>Major_Non-USMCA_Non-China</v>
      </c>
    </row>
    <row r="6867" spans="1:9" x14ac:dyDescent="0.4">
      <c r="A6867" t="s">
        <v>71</v>
      </c>
      <c r="B6867" s="1">
        <v>44927</v>
      </c>
      <c r="C6867">
        <v>700910</v>
      </c>
      <c r="D6867" t="s">
        <v>176</v>
      </c>
      <c r="E6867">
        <v>20870</v>
      </c>
      <c r="F6867">
        <v>1008</v>
      </c>
      <c r="G6867">
        <v>150</v>
      </c>
      <c r="H6867">
        <f>_xlfn.XLOOKUP(FACT_IMPORTS[[#This Row],[hts_6]],DIM_PRODUCTS[hts_6],DIM_PRODUCTS[hts_4],,,)</f>
        <v>7009</v>
      </c>
      <c r="I6867" t="str" cm="1">
        <f t="array" ref="I6867">_xlfn.XLOOKUP(FACT_IMPORTS[[#This Row],[country_name]],DIM_COUNTRY[[#All],[Column2]],DIM_COUNTRY[[#All],[Column3]],,,)</f>
        <v>Major_Non-USMCA_Non-China</v>
      </c>
    </row>
    <row r="6868" spans="1:9" x14ac:dyDescent="0.4">
      <c r="A6868" t="s">
        <v>71</v>
      </c>
      <c r="B6868" s="1">
        <v>44927</v>
      </c>
      <c r="C6868">
        <v>732010</v>
      </c>
      <c r="D6868" t="s">
        <v>176</v>
      </c>
      <c r="E6868">
        <v>2415</v>
      </c>
      <c r="F6868">
        <v>419</v>
      </c>
      <c r="G6868">
        <v>18</v>
      </c>
      <c r="H6868">
        <f>_xlfn.XLOOKUP(FACT_IMPORTS[[#This Row],[hts_6]],DIM_PRODUCTS[hts_6],DIM_PRODUCTS[hts_4],,,)</f>
        <v>7320</v>
      </c>
      <c r="I6868" t="str" cm="1">
        <f t="array" ref="I6868">_xlfn.XLOOKUP(FACT_IMPORTS[[#This Row],[country_name]],DIM_COUNTRY[[#All],[Column2]],DIM_COUNTRY[[#All],[Column3]],,,)</f>
        <v>Major_Non-USMCA_Non-China</v>
      </c>
    </row>
    <row r="6869" spans="1:9" x14ac:dyDescent="0.4">
      <c r="A6869" t="s">
        <v>71</v>
      </c>
      <c r="B6869" s="1">
        <v>44927</v>
      </c>
      <c r="C6869">
        <v>830230</v>
      </c>
      <c r="D6869" t="s">
        <v>176</v>
      </c>
      <c r="E6869">
        <v>86229</v>
      </c>
      <c r="F6869">
        <v>62391</v>
      </c>
      <c r="G6869">
        <v>1407</v>
      </c>
      <c r="H6869">
        <f>_xlfn.XLOOKUP(FACT_IMPORTS[[#This Row],[hts_6]],DIM_PRODUCTS[hts_6],DIM_PRODUCTS[hts_4],,,)</f>
        <v>8302</v>
      </c>
      <c r="I6869" t="str" cm="1">
        <f t="array" ref="I6869">_xlfn.XLOOKUP(FACT_IMPORTS[[#This Row],[country_name]],DIM_COUNTRY[[#All],[Column2]],DIM_COUNTRY[[#All],[Column3]],,,)</f>
        <v>Major_Non-USMCA_Non-China</v>
      </c>
    </row>
    <row r="6870" spans="1:9" x14ac:dyDescent="0.4">
      <c r="A6870" t="s">
        <v>71</v>
      </c>
      <c r="B6870" s="1">
        <v>44927</v>
      </c>
      <c r="C6870">
        <v>840734</v>
      </c>
      <c r="D6870" t="s">
        <v>176</v>
      </c>
      <c r="E6870">
        <v>18842</v>
      </c>
      <c r="F6870">
        <v>6</v>
      </c>
      <c r="G6870">
        <v>9409</v>
      </c>
      <c r="H6870">
        <f>_xlfn.XLOOKUP(FACT_IMPORTS[[#This Row],[hts_6]],DIM_PRODUCTS[hts_6],DIM_PRODUCTS[hts_4],,,)</f>
        <v>8407</v>
      </c>
      <c r="I6870" t="str" cm="1">
        <f t="array" ref="I6870">_xlfn.XLOOKUP(FACT_IMPORTS[[#This Row],[country_name]],DIM_COUNTRY[[#All],[Column2]],DIM_COUNTRY[[#All],[Column3]],,,)</f>
        <v>Major_Non-USMCA_Non-China</v>
      </c>
    </row>
    <row r="6871" spans="1:9" x14ac:dyDescent="0.4">
      <c r="A6871" t="s">
        <v>71</v>
      </c>
      <c r="B6871" s="1">
        <v>44927</v>
      </c>
      <c r="C6871">
        <v>840790</v>
      </c>
      <c r="D6871" t="s">
        <v>176</v>
      </c>
      <c r="E6871">
        <v>5166</v>
      </c>
      <c r="F6871">
        <v>2</v>
      </c>
      <c r="G6871">
        <v>18</v>
      </c>
      <c r="H6871">
        <f>_xlfn.XLOOKUP(FACT_IMPORTS[[#This Row],[hts_6]],DIM_PRODUCTS[hts_6],DIM_PRODUCTS[hts_4],,,)</f>
        <v>8407</v>
      </c>
      <c r="I6871" t="str" cm="1">
        <f t="array" ref="I6871">_xlfn.XLOOKUP(FACT_IMPORTS[[#This Row],[country_name]],DIM_COUNTRY[[#All],[Column2]],DIM_COUNTRY[[#All],[Column3]],,,)</f>
        <v>Major_Non-USMCA_Non-China</v>
      </c>
    </row>
    <row r="6872" spans="1:9" x14ac:dyDescent="0.4">
      <c r="A6872" t="s">
        <v>71</v>
      </c>
      <c r="B6872" s="1">
        <v>44927</v>
      </c>
      <c r="C6872">
        <v>840820</v>
      </c>
      <c r="D6872" t="s">
        <v>176</v>
      </c>
      <c r="E6872">
        <v>14347</v>
      </c>
      <c r="F6872">
        <v>1</v>
      </c>
      <c r="G6872">
        <v>150</v>
      </c>
      <c r="H6872">
        <f>_xlfn.XLOOKUP(FACT_IMPORTS[[#This Row],[hts_6]],DIM_PRODUCTS[hts_6],DIM_PRODUCTS[hts_4],,,)</f>
        <v>8408</v>
      </c>
      <c r="I6872" t="str" cm="1">
        <f t="array" ref="I6872">_xlfn.XLOOKUP(FACT_IMPORTS[[#This Row],[country_name]],DIM_COUNTRY[[#All],[Column2]],DIM_COUNTRY[[#All],[Column3]],,,)</f>
        <v>Major_Non-USMCA_Non-China</v>
      </c>
    </row>
    <row r="6873" spans="1:9" x14ac:dyDescent="0.4">
      <c r="A6873" t="s">
        <v>71</v>
      </c>
      <c r="B6873" s="1">
        <v>44927</v>
      </c>
      <c r="C6873">
        <v>840890</v>
      </c>
      <c r="D6873" t="s">
        <v>176</v>
      </c>
      <c r="E6873">
        <v>134831</v>
      </c>
      <c r="F6873">
        <v>34</v>
      </c>
      <c r="G6873">
        <v>6003</v>
      </c>
      <c r="H6873">
        <f>_xlfn.XLOOKUP(FACT_IMPORTS[[#This Row],[hts_6]],DIM_PRODUCTS[hts_6],DIM_PRODUCTS[hts_4],,,)</f>
        <v>8408</v>
      </c>
      <c r="I6873" t="str" cm="1">
        <f t="array" ref="I6873">_xlfn.XLOOKUP(FACT_IMPORTS[[#This Row],[country_name]],DIM_COUNTRY[[#All],[Column2]],DIM_COUNTRY[[#All],[Column3]],,,)</f>
        <v>Major_Non-USMCA_Non-China</v>
      </c>
    </row>
    <row r="6874" spans="1:9" x14ac:dyDescent="0.4">
      <c r="A6874" t="s">
        <v>71</v>
      </c>
      <c r="B6874" s="1">
        <v>44927</v>
      </c>
      <c r="C6874">
        <v>840991</v>
      </c>
      <c r="D6874" t="s">
        <v>176</v>
      </c>
      <c r="E6874">
        <v>6886921</v>
      </c>
      <c r="F6874">
        <v>453211</v>
      </c>
      <c r="G6874">
        <v>197063</v>
      </c>
      <c r="H6874">
        <f>_xlfn.XLOOKUP(FACT_IMPORTS[[#This Row],[hts_6]],DIM_PRODUCTS[hts_6],DIM_PRODUCTS[hts_4],,,)</f>
        <v>8409</v>
      </c>
      <c r="I6874" t="str" cm="1">
        <f t="array" ref="I6874">_xlfn.XLOOKUP(FACT_IMPORTS[[#This Row],[country_name]],DIM_COUNTRY[[#All],[Column2]],DIM_COUNTRY[[#All],[Column3]],,,)</f>
        <v>Major_Non-USMCA_Non-China</v>
      </c>
    </row>
    <row r="6875" spans="1:9" x14ac:dyDescent="0.4">
      <c r="A6875" t="s">
        <v>71</v>
      </c>
      <c r="B6875" s="1">
        <v>44927</v>
      </c>
      <c r="C6875">
        <v>840999</v>
      </c>
      <c r="D6875" t="s">
        <v>176</v>
      </c>
      <c r="E6875">
        <v>221108</v>
      </c>
      <c r="F6875">
        <v>21627</v>
      </c>
      <c r="G6875">
        <v>5210</v>
      </c>
      <c r="H6875">
        <f>_xlfn.XLOOKUP(FACT_IMPORTS[[#This Row],[hts_6]],DIM_PRODUCTS[hts_6],DIM_PRODUCTS[hts_4],,,)</f>
        <v>8409</v>
      </c>
      <c r="I6875" t="str" cm="1">
        <f t="array" ref="I6875">_xlfn.XLOOKUP(FACT_IMPORTS[[#This Row],[country_name]],DIM_COUNTRY[[#All],[Column2]],DIM_COUNTRY[[#All],[Column3]],,,)</f>
        <v>Major_Non-USMCA_Non-China</v>
      </c>
    </row>
    <row r="6876" spans="1:9" x14ac:dyDescent="0.4">
      <c r="A6876" t="s">
        <v>71</v>
      </c>
      <c r="B6876" s="1">
        <v>44927</v>
      </c>
      <c r="C6876">
        <v>841330</v>
      </c>
      <c r="D6876" t="s">
        <v>176</v>
      </c>
      <c r="E6876">
        <v>1282201</v>
      </c>
      <c r="F6876">
        <v>24134</v>
      </c>
      <c r="G6876">
        <v>43636</v>
      </c>
      <c r="H6876">
        <f>_xlfn.XLOOKUP(FACT_IMPORTS[[#This Row],[hts_6]],DIM_PRODUCTS[hts_6],DIM_PRODUCTS[hts_4],,,)</f>
        <v>8413</v>
      </c>
      <c r="I6876" t="str" cm="1">
        <f t="array" ref="I6876">_xlfn.XLOOKUP(FACT_IMPORTS[[#This Row],[country_name]],DIM_COUNTRY[[#All],[Column2]],DIM_COUNTRY[[#All],[Column3]],,,)</f>
        <v>Major_Non-USMCA_Non-China</v>
      </c>
    </row>
    <row r="6877" spans="1:9" x14ac:dyDescent="0.4">
      <c r="A6877" t="s">
        <v>71</v>
      </c>
      <c r="B6877" s="1">
        <v>44927</v>
      </c>
      <c r="C6877">
        <v>841520</v>
      </c>
      <c r="D6877" t="s">
        <v>176</v>
      </c>
      <c r="E6877">
        <v>0</v>
      </c>
      <c r="F6877">
        <v>0</v>
      </c>
      <c r="G6877">
        <v>0</v>
      </c>
      <c r="H6877">
        <f>_xlfn.XLOOKUP(FACT_IMPORTS[[#This Row],[hts_6]],DIM_PRODUCTS[hts_6],DIM_PRODUCTS[hts_4],,,)</f>
        <v>8415</v>
      </c>
      <c r="I6877" t="str" cm="1">
        <f t="array" ref="I6877">_xlfn.XLOOKUP(FACT_IMPORTS[[#This Row],[country_name]],DIM_COUNTRY[[#All],[Column2]],DIM_COUNTRY[[#All],[Column3]],,,)</f>
        <v>Major_Non-USMCA_Non-China</v>
      </c>
    </row>
    <row r="6878" spans="1:9" x14ac:dyDescent="0.4">
      <c r="A6878" t="s">
        <v>71</v>
      </c>
      <c r="B6878" s="1">
        <v>44927</v>
      </c>
      <c r="C6878">
        <v>842132</v>
      </c>
      <c r="D6878" t="s">
        <v>176</v>
      </c>
      <c r="E6878">
        <v>157795</v>
      </c>
      <c r="F6878">
        <v>6093</v>
      </c>
      <c r="G6878">
        <v>1733</v>
      </c>
      <c r="H6878">
        <f>_xlfn.XLOOKUP(FACT_IMPORTS[[#This Row],[hts_6]],DIM_PRODUCTS[hts_6],DIM_PRODUCTS[hts_4],,,)</f>
        <v>8421</v>
      </c>
      <c r="I6878" t="str" cm="1">
        <f t="array" ref="I6878">_xlfn.XLOOKUP(FACT_IMPORTS[[#This Row],[country_name]],DIM_COUNTRY[[#All],[Column2]],DIM_COUNTRY[[#All],[Column3]],,,)</f>
        <v>Major_Non-USMCA_Non-China</v>
      </c>
    </row>
    <row r="6879" spans="1:9" x14ac:dyDescent="0.4">
      <c r="A6879" t="s">
        <v>71</v>
      </c>
      <c r="B6879" s="1">
        <v>44927</v>
      </c>
      <c r="C6879">
        <v>848210</v>
      </c>
      <c r="D6879" t="s">
        <v>176</v>
      </c>
      <c r="E6879">
        <v>46526</v>
      </c>
      <c r="F6879">
        <v>2330</v>
      </c>
      <c r="G6879">
        <v>2098</v>
      </c>
      <c r="H6879">
        <f>_xlfn.XLOOKUP(FACT_IMPORTS[[#This Row],[hts_6]],DIM_PRODUCTS[hts_6],DIM_PRODUCTS[hts_4],,,)</f>
        <v>8482</v>
      </c>
      <c r="I6879" t="str" cm="1">
        <f t="array" ref="I6879">_xlfn.XLOOKUP(FACT_IMPORTS[[#This Row],[country_name]],DIM_COUNTRY[[#All],[Column2]],DIM_COUNTRY[[#All],[Column3]],,,)</f>
        <v>Major_Non-USMCA_Non-China</v>
      </c>
    </row>
    <row r="6880" spans="1:9" x14ac:dyDescent="0.4">
      <c r="A6880" t="s">
        <v>71</v>
      </c>
      <c r="B6880" s="1">
        <v>44927</v>
      </c>
      <c r="C6880">
        <v>848220</v>
      </c>
      <c r="D6880" t="s">
        <v>176</v>
      </c>
      <c r="E6880">
        <v>137447</v>
      </c>
      <c r="F6880">
        <v>9710</v>
      </c>
      <c r="G6880">
        <v>2295</v>
      </c>
      <c r="H6880">
        <f>_xlfn.XLOOKUP(FACT_IMPORTS[[#This Row],[hts_6]],DIM_PRODUCTS[hts_6],DIM_PRODUCTS[hts_4],,,)</f>
        <v>8482</v>
      </c>
      <c r="I6880" t="str" cm="1">
        <f t="array" ref="I6880">_xlfn.XLOOKUP(FACT_IMPORTS[[#This Row],[country_name]],DIM_COUNTRY[[#All],[Column2]],DIM_COUNTRY[[#All],[Column3]],,,)</f>
        <v>Major_Non-USMCA_Non-China</v>
      </c>
    </row>
    <row r="6881" spans="1:9" x14ac:dyDescent="0.4">
      <c r="A6881" t="s">
        <v>71</v>
      </c>
      <c r="B6881" s="1">
        <v>44927</v>
      </c>
      <c r="C6881">
        <v>848310</v>
      </c>
      <c r="D6881" t="s">
        <v>176</v>
      </c>
      <c r="E6881">
        <v>748486</v>
      </c>
      <c r="F6881">
        <v>25900</v>
      </c>
      <c r="G6881">
        <v>157181</v>
      </c>
      <c r="H6881">
        <f>_xlfn.XLOOKUP(FACT_IMPORTS[[#This Row],[hts_6]],DIM_PRODUCTS[hts_6],DIM_PRODUCTS[hts_4],,,)</f>
        <v>8483</v>
      </c>
      <c r="I6881" t="str" cm="1">
        <f t="array" ref="I6881">_xlfn.XLOOKUP(FACT_IMPORTS[[#This Row],[country_name]],DIM_COUNTRY[[#All],[Column2]],DIM_COUNTRY[[#All],[Column3]],,,)</f>
        <v>Major_Non-USMCA_Non-China</v>
      </c>
    </row>
    <row r="6882" spans="1:9" x14ac:dyDescent="0.4">
      <c r="A6882" t="s">
        <v>71</v>
      </c>
      <c r="B6882" s="1">
        <v>44927</v>
      </c>
      <c r="C6882">
        <v>850131</v>
      </c>
      <c r="D6882" t="s">
        <v>176</v>
      </c>
      <c r="E6882">
        <v>4796455</v>
      </c>
      <c r="F6882">
        <v>110173</v>
      </c>
      <c r="G6882">
        <v>73181</v>
      </c>
      <c r="H6882">
        <f>_xlfn.XLOOKUP(FACT_IMPORTS[[#This Row],[hts_6]],DIM_PRODUCTS[hts_6],DIM_PRODUCTS[hts_4],,,)</f>
        <v>8501</v>
      </c>
      <c r="I6882" t="str" cm="1">
        <f t="array" ref="I6882">_xlfn.XLOOKUP(FACT_IMPORTS[[#This Row],[country_name]],DIM_COUNTRY[[#All],[Column2]],DIM_COUNTRY[[#All],[Column3]],,,)</f>
        <v>Major_Non-USMCA_Non-China</v>
      </c>
    </row>
    <row r="6883" spans="1:9" x14ac:dyDescent="0.4">
      <c r="A6883" t="s">
        <v>71</v>
      </c>
      <c r="B6883" s="1">
        <v>44927</v>
      </c>
      <c r="C6883">
        <v>850132</v>
      </c>
      <c r="D6883" t="s">
        <v>176</v>
      </c>
      <c r="E6883">
        <v>2690</v>
      </c>
      <c r="F6883">
        <v>1</v>
      </c>
      <c r="G6883">
        <v>43</v>
      </c>
      <c r="H6883">
        <f>_xlfn.XLOOKUP(FACT_IMPORTS[[#This Row],[hts_6]],DIM_PRODUCTS[hts_6],DIM_PRODUCTS[hts_4],,,)</f>
        <v>8501</v>
      </c>
      <c r="I6883" t="str" cm="1">
        <f t="array" ref="I6883">_xlfn.XLOOKUP(FACT_IMPORTS[[#This Row],[country_name]],DIM_COUNTRY[[#All],[Column2]],DIM_COUNTRY[[#All],[Column3]],,,)</f>
        <v>Major_Non-USMCA_Non-China</v>
      </c>
    </row>
    <row r="6884" spans="1:9" x14ac:dyDescent="0.4">
      <c r="A6884" t="s">
        <v>71</v>
      </c>
      <c r="B6884" s="1">
        <v>44927</v>
      </c>
      <c r="C6884">
        <v>850133</v>
      </c>
      <c r="D6884" t="s">
        <v>176</v>
      </c>
      <c r="E6884">
        <v>18456</v>
      </c>
      <c r="F6884">
        <v>1</v>
      </c>
      <c r="G6884">
        <v>183</v>
      </c>
      <c r="H6884">
        <f>_xlfn.XLOOKUP(FACT_IMPORTS[[#This Row],[hts_6]],DIM_PRODUCTS[hts_6],DIM_PRODUCTS[hts_4],,,)</f>
        <v>8501</v>
      </c>
      <c r="I6884" t="str" cm="1">
        <f t="array" ref="I6884">_xlfn.XLOOKUP(FACT_IMPORTS[[#This Row],[country_name]],DIM_COUNTRY[[#All],[Column2]],DIM_COUNTRY[[#All],[Column3]],,,)</f>
        <v>Major_Non-USMCA_Non-China</v>
      </c>
    </row>
    <row r="6885" spans="1:9" x14ac:dyDescent="0.4">
      <c r="A6885" t="s">
        <v>71</v>
      </c>
      <c r="B6885" s="1">
        <v>44927</v>
      </c>
      <c r="C6885">
        <v>850152</v>
      </c>
      <c r="D6885" t="s">
        <v>176</v>
      </c>
      <c r="E6885">
        <v>644066</v>
      </c>
      <c r="F6885">
        <v>868</v>
      </c>
      <c r="G6885">
        <v>61789</v>
      </c>
      <c r="H6885">
        <f>_xlfn.XLOOKUP(FACT_IMPORTS[[#This Row],[hts_6]],DIM_PRODUCTS[hts_6],DIM_PRODUCTS[hts_4],,,)</f>
        <v>8501</v>
      </c>
      <c r="I6885" t="str" cm="1">
        <f t="array" ref="I6885">_xlfn.XLOOKUP(FACT_IMPORTS[[#This Row],[country_name]],DIM_COUNTRY[[#All],[Column2]],DIM_COUNTRY[[#All],[Column3]],,,)</f>
        <v>Major_Non-USMCA_Non-China</v>
      </c>
    </row>
    <row r="6886" spans="1:9" x14ac:dyDescent="0.4">
      <c r="A6886" t="s">
        <v>71</v>
      </c>
      <c r="B6886" s="1">
        <v>44927</v>
      </c>
      <c r="C6886">
        <v>850153</v>
      </c>
      <c r="D6886" t="s">
        <v>176</v>
      </c>
      <c r="E6886">
        <v>0</v>
      </c>
      <c r="F6886">
        <v>0</v>
      </c>
      <c r="G6886">
        <v>0</v>
      </c>
      <c r="H6886">
        <f>_xlfn.XLOOKUP(FACT_IMPORTS[[#This Row],[hts_6]],DIM_PRODUCTS[hts_6],DIM_PRODUCTS[hts_4],,,)</f>
        <v>8501</v>
      </c>
      <c r="I6886" t="str" cm="1">
        <f t="array" ref="I6886">_xlfn.XLOOKUP(FACT_IMPORTS[[#This Row],[country_name]],DIM_COUNTRY[[#All],[Column2]],DIM_COUNTRY[[#All],[Column3]],,,)</f>
        <v>Major_Non-USMCA_Non-China</v>
      </c>
    </row>
    <row r="6887" spans="1:9" x14ac:dyDescent="0.4">
      <c r="A6887" t="s">
        <v>71</v>
      </c>
      <c r="B6887" s="1">
        <v>44927</v>
      </c>
      <c r="C6887">
        <v>850161</v>
      </c>
      <c r="D6887" t="s">
        <v>176</v>
      </c>
      <c r="E6887">
        <v>0</v>
      </c>
      <c r="F6887">
        <v>0</v>
      </c>
      <c r="G6887">
        <v>0</v>
      </c>
      <c r="H6887">
        <f>_xlfn.XLOOKUP(FACT_IMPORTS[[#This Row],[hts_6]],DIM_PRODUCTS[hts_6],DIM_PRODUCTS[hts_4],,,)</f>
        <v>8501</v>
      </c>
      <c r="I6887" t="str" cm="1">
        <f t="array" ref="I6887">_xlfn.XLOOKUP(FACT_IMPORTS[[#This Row],[country_name]],DIM_COUNTRY[[#All],[Column2]],DIM_COUNTRY[[#All],[Column3]],,,)</f>
        <v>Major_Non-USMCA_Non-China</v>
      </c>
    </row>
    <row r="6888" spans="1:9" x14ac:dyDescent="0.4">
      <c r="A6888" t="s">
        <v>71</v>
      </c>
      <c r="B6888" s="1">
        <v>44927</v>
      </c>
      <c r="C6888">
        <v>850440</v>
      </c>
      <c r="D6888" t="s">
        <v>176</v>
      </c>
      <c r="E6888">
        <v>259010</v>
      </c>
      <c r="F6888">
        <v>316</v>
      </c>
      <c r="G6888">
        <v>19051</v>
      </c>
      <c r="H6888">
        <f>_xlfn.XLOOKUP(FACT_IMPORTS[[#This Row],[hts_6]],DIM_PRODUCTS[hts_6],DIM_PRODUCTS[hts_4],,,)</f>
        <v>8504</v>
      </c>
      <c r="I6888" t="str" cm="1">
        <f t="array" ref="I6888">_xlfn.XLOOKUP(FACT_IMPORTS[[#This Row],[country_name]],DIM_COUNTRY[[#All],[Column2]],DIM_COUNTRY[[#All],[Column3]],,,)</f>
        <v>Major_Non-USMCA_Non-China</v>
      </c>
    </row>
    <row r="6889" spans="1:9" x14ac:dyDescent="0.4">
      <c r="A6889" t="s">
        <v>71</v>
      </c>
      <c r="B6889" s="1">
        <v>44927</v>
      </c>
      <c r="C6889">
        <v>850760</v>
      </c>
      <c r="D6889" t="s">
        <v>176</v>
      </c>
      <c r="E6889">
        <v>143907</v>
      </c>
      <c r="F6889">
        <v>813</v>
      </c>
      <c r="G6889">
        <v>555</v>
      </c>
      <c r="H6889">
        <f>_xlfn.XLOOKUP(FACT_IMPORTS[[#This Row],[hts_6]],DIM_PRODUCTS[hts_6],DIM_PRODUCTS[hts_4],,,)</f>
        <v>8507</v>
      </c>
      <c r="I6889" t="str" cm="1">
        <f t="array" ref="I6889">_xlfn.XLOOKUP(FACT_IMPORTS[[#This Row],[country_name]],DIM_COUNTRY[[#All],[Column2]],DIM_COUNTRY[[#All],[Column3]],,,)</f>
        <v>Major_Non-USMCA_Non-China</v>
      </c>
    </row>
    <row r="6890" spans="1:9" x14ac:dyDescent="0.4">
      <c r="A6890" t="s">
        <v>71</v>
      </c>
      <c r="B6890" s="1">
        <v>44927</v>
      </c>
      <c r="C6890">
        <v>850790</v>
      </c>
      <c r="D6890" t="s">
        <v>176</v>
      </c>
      <c r="E6890">
        <v>0</v>
      </c>
      <c r="F6890">
        <v>0</v>
      </c>
      <c r="G6890">
        <v>0</v>
      </c>
      <c r="H6890">
        <f>_xlfn.XLOOKUP(FACT_IMPORTS[[#This Row],[hts_6]],DIM_PRODUCTS[hts_6],DIM_PRODUCTS[hts_4],,,)</f>
        <v>8507</v>
      </c>
      <c r="I6890" t="str" cm="1">
        <f t="array" ref="I6890">_xlfn.XLOOKUP(FACT_IMPORTS[[#This Row],[country_name]],DIM_COUNTRY[[#All],[Column2]],DIM_COUNTRY[[#All],[Column3]],,,)</f>
        <v>Major_Non-USMCA_Non-China</v>
      </c>
    </row>
    <row r="6891" spans="1:9" x14ac:dyDescent="0.4">
      <c r="A6891" t="s">
        <v>71</v>
      </c>
      <c r="B6891" s="1">
        <v>44927</v>
      </c>
      <c r="C6891">
        <v>851110</v>
      </c>
      <c r="D6891" t="s">
        <v>176</v>
      </c>
      <c r="E6891">
        <v>224555</v>
      </c>
      <c r="F6891">
        <v>14560</v>
      </c>
      <c r="G6891">
        <v>3370</v>
      </c>
      <c r="H6891">
        <f>_xlfn.XLOOKUP(FACT_IMPORTS[[#This Row],[hts_6]],DIM_PRODUCTS[hts_6],DIM_PRODUCTS[hts_4],,,)</f>
        <v>8511</v>
      </c>
      <c r="I6891" t="str" cm="1">
        <f t="array" ref="I6891">_xlfn.XLOOKUP(FACT_IMPORTS[[#This Row],[country_name]],DIM_COUNTRY[[#All],[Column2]],DIM_COUNTRY[[#All],[Column3]],,,)</f>
        <v>Major_Non-USMCA_Non-China</v>
      </c>
    </row>
    <row r="6892" spans="1:9" x14ac:dyDescent="0.4">
      <c r="A6892" t="s">
        <v>71</v>
      </c>
      <c r="B6892" s="1">
        <v>44927</v>
      </c>
      <c r="C6892">
        <v>851130</v>
      </c>
      <c r="D6892" t="s">
        <v>176</v>
      </c>
      <c r="E6892">
        <v>563295</v>
      </c>
      <c r="F6892">
        <v>79384</v>
      </c>
      <c r="G6892">
        <v>11154</v>
      </c>
      <c r="H6892">
        <f>_xlfn.XLOOKUP(FACT_IMPORTS[[#This Row],[hts_6]],DIM_PRODUCTS[hts_6],DIM_PRODUCTS[hts_4],,,)</f>
        <v>8511</v>
      </c>
      <c r="I6892" t="str" cm="1">
        <f t="array" ref="I6892">_xlfn.XLOOKUP(FACT_IMPORTS[[#This Row],[country_name]],DIM_COUNTRY[[#All],[Column2]],DIM_COUNTRY[[#All],[Column3]],,,)</f>
        <v>Major_Non-USMCA_Non-China</v>
      </c>
    </row>
    <row r="6893" spans="1:9" x14ac:dyDescent="0.4">
      <c r="A6893" t="s">
        <v>71</v>
      </c>
      <c r="B6893" s="1">
        <v>44927</v>
      </c>
      <c r="C6893">
        <v>851140</v>
      </c>
      <c r="D6893" t="s">
        <v>176</v>
      </c>
      <c r="E6893">
        <v>2039548</v>
      </c>
      <c r="F6893">
        <v>42090</v>
      </c>
      <c r="G6893">
        <v>127583</v>
      </c>
      <c r="H6893">
        <f>_xlfn.XLOOKUP(FACT_IMPORTS[[#This Row],[hts_6]],DIM_PRODUCTS[hts_6],DIM_PRODUCTS[hts_4],,,)</f>
        <v>8511</v>
      </c>
      <c r="I6893" t="str" cm="1">
        <f t="array" ref="I6893">_xlfn.XLOOKUP(FACT_IMPORTS[[#This Row],[country_name]],DIM_COUNTRY[[#All],[Column2]],DIM_COUNTRY[[#All],[Column3]],,,)</f>
        <v>Major_Non-USMCA_Non-China</v>
      </c>
    </row>
    <row r="6894" spans="1:9" x14ac:dyDescent="0.4">
      <c r="A6894" t="s">
        <v>71</v>
      </c>
      <c r="B6894" s="1">
        <v>44927</v>
      </c>
      <c r="C6894">
        <v>851150</v>
      </c>
      <c r="D6894" t="s">
        <v>176</v>
      </c>
      <c r="E6894">
        <v>351385</v>
      </c>
      <c r="F6894">
        <v>3248</v>
      </c>
      <c r="G6894">
        <v>24955</v>
      </c>
      <c r="H6894">
        <f>_xlfn.XLOOKUP(FACT_IMPORTS[[#This Row],[hts_6]],DIM_PRODUCTS[hts_6],DIM_PRODUCTS[hts_4],,,)</f>
        <v>8511</v>
      </c>
      <c r="I6894" t="str" cm="1">
        <f t="array" ref="I6894">_xlfn.XLOOKUP(FACT_IMPORTS[[#This Row],[country_name]],DIM_COUNTRY[[#All],[Column2]],DIM_COUNTRY[[#All],[Column3]],,,)</f>
        <v>Major_Non-USMCA_Non-China</v>
      </c>
    </row>
    <row r="6895" spans="1:9" x14ac:dyDescent="0.4">
      <c r="A6895" t="s">
        <v>71</v>
      </c>
      <c r="B6895" s="1">
        <v>44927</v>
      </c>
      <c r="C6895">
        <v>851180</v>
      </c>
      <c r="D6895" t="s">
        <v>176</v>
      </c>
      <c r="E6895">
        <v>12148</v>
      </c>
      <c r="F6895">
        <v>117</v>
      </c>
      <c r="G6895">
        <v>24</v>
      </c>
      <c r="H6895">
        <f>_xlfn.XLOOKUP(FACT_IMPORTS[[#This Row],[hts_6]],DIM_PRODUCTS[hts_6],DIM_PRODUCTS[hts_4],,,)</f>
        <v>8511</v>
      </c>
      <c r="I6895" t="str" cm="1">
        <f t="array" ref="I6895">_xlfn.XLOOKUP(FACT_IMPORTS[[#This Row],[country_name]],DIM_COUNTRY[[#All],[Column2]],DIM_COUNTRY[[#All],[Column3]],,,)</f>
        <v>Major_Non-USMCA_Non-China</v>
      </c>
    </row>
    <row r="6896" spans="1:9" x14ac:dyDescent="0.4">
      <c r="A6896" t="s">
        <v>71</v>
      </c>
      <c r="B6896" s="1">
        <v>44927</v>
      </c>
      <c r="C6896">
        <v>851190</v>
      </c>
      <c r="D6896" t="s">
        <v>176</v>
      </c>
      <c r="E6896">
        <v>0</v>
      </c>
      <c r="F6896">
        <v>0</v>
      </c>
      <c r="G6896">
        <v>0</v>
      </c>
      <c r="H6896">
        <f>_xlfn.XLOOKUP(FACT_IMPORTS[[#This Row],[hts_6]],DIM_PRODUCTS[hts_6],DIM_PRODUCTS[hts_4],,,)</f>
        <v>8511</v>
      </c>
      <c r="I6896" t="str" cm="1">
        <f t="array" ref="I6896">_xlfn.XLOOKUP(FACT_IMPORTS[[#This Row],[country_name]],DIM_COUNTRY[[#All],[Column2]],DIM_COUNTRY[[#All],[Column3]],,,)</f>
        <v>Major_Non-USMCA_Non-China</v>
      </c>
    </row>
    <row r="6897" spans="1:9" x14ac:dyDescent="0.4">
      <c r="A6897" t="s">
        <v>71</v>
      </c>
      <c r="B6897" s="1">
        <v>44927</v>
      </c>
      <c r="C6897">
        <v>851220</v>
      </c>
      <c r="D6897" t="s">
        <v>176</v>
      </c>
      <c r="E6897">
        <v>21382</v>
      </c>
      <c r="F6897">
        <v>115</v>
      </c>
      <c r="G6897">
        <v>1261</v>
      </c>
      <c r="H6897">
        <f>_xlfn.XLOOKUP(FACT_IMPORTS[[#This Row],[hts_6]],DIM_PRODUCTS[hts_6],DIM_PRODUCTS[hts_4],,,)</f>
        <v>8512</v>
      </c>
      <c r="I6897" t="str" cm="1">
        <f t="array" ref="I6897">_xlfn.XLOOKUP(FACT_IMPORTS[[#This Row],[country_name]],DIM_COUNTRY[[#All],[Column2]],DIM_COUNTRY[[#All],[Column3]],,,)</f>
        <v>Major_Non-USMCA_Non-China</v>
      </c>
    </row>
    <row r="6898" spans="1:9" x14ac:dyDescent="0.4">
      <c r="A6898" t="s">
        <v>71</v>
      </c>
      <c r="B6898" s="1">
        <v>44927</v>
      </c>
      <c r="C6898">
        <v>851230</v>
      </c>
      <c r="D6898" t="s">
        <v>176</v>
      </c>
      <c r="E6898">
        <v>120725</v>
      </c>
      <c r="F6898">
        <v>11766</v>
      </c>
      <c r="G6898">
        <v>2318</v>
      </c>
      <c r="H6898">
        <f>_xlfn.XLOOKUP(FACT_IMPORTS[[#This Row],[hts_6]],DIM_PRODUCTS[hts_6],DIM_PRODUCTS[hts_4],,,)</f>
        <v>8512</v>
      </c>
      <c r="I6898" t="str" cm="1">
        <f t="array" ref="I6898">_xlfn.XLOOKUP(FACT_IMPORTS[[#This Row],[country_name]],DIM_COUNTRY[[#All],[Column2]],DIM_COUNTRY[[#All],[Column3]],,,)</f>
        <v>Major_Non-USMCA_Non-China</v>
      </c>
    </row>
    <row r="6899" spans="1:9" x14ac:dyDescent="0.4">
      <c r="A6899" t="s">
        <v>71</v>
      </c>
      <c r="B6899" s="1">
        <v>44927</v>
      </c>
      <c r="C6899">
        <v>851290</v>
      </c>
      <c r="D6899" t="s">
        <v>176</v>
      </c>
      <c r="E6899">
        <v>11779</v>
      </c>
      <c r="F6899">
        <v>732</v>
      </c>
      <c r="G6899">
        <v>3520</v>
      </c>
      <c r="H6899">
        <f>_xlfn.XLOOKUP(FACT_IMPORTS[[#This Row],[hts_6]],DIM_PRODUCTS[hts_6],DIM_PRODUCTS[hts_4],,,)</f>
        <v>8512</v>
      </c>
      <c r="I6899" t="str" cm="1">
        <f t="array" ref="I6899">_xlfn.XLOOKUP(FACT_IMPORTS[[#This Row],[country_name]],DIM_COUNTRY[[#All],[Column2]],DIM_COUNTRY[[#All],[Column3]],,,)</f>
        <v>Major_Non-USMCA_Non-China</v>
      </c>
    </row>
    <row r="6900" spans="1:9" x14ac:dyDescent="0.4">
      <c r="A6900" t="s">
        <v>71</v>
      </c>
      <c r="B6900" s="1">
        <v>44927</v>
      </c>
      <c r="C6900">
        <v>854231</v>
      </c>
      <c r="D6900" t="s">
        <v>176</v>
      </c>
      <c r="E6900">
        <v>218689</v>
      </c>
      <c r="F6900">
        <v>18738</v>
      </c>
      <c r="G6900">
        <v>2842</v>
      </c>
      <c r="H6900">
        <f>_xlfn.XLOOKUP(FACT_IMPORTS[[#This Row],[hts_6]],DIM_PRODUCTS[hts_6],DIM_PRODUCTS[hts_4],,,)</f>
        <v>8542</v>
      </c>
      <c r="I6900" t="str" cm="1">
        <f t="array" ref="I6900">_xlfn.XLOOKUP(FACT_IMPORTS[[#This Row],[country_name]],DIM_COUNTRY[[#All],[Column2]],DIM_COUNTRY[[#All],[Column3]],,,)</f>
        <v>Major_Non-USMCA_Non-China</v>
      </c>
    </row>
    <row r="6901" spans="1:9" x14ac:dyDescent="0.4">
      <c r="A6901" t="s">
        <v>71</v>
      </c>
      <c r="B6901" s="1">
        <v>44927</v>
      </c>
      <c r="C6901">
        <v>854232</v>
      </c>
      <c r="D6901" t="s">
        <v>176</v>
      </c>
      <c r="E6901">
        <v>2016</v>
      </c>
      <c r="F6901">
        <v>3</v>
      </c>
      <c r="G6901">
        <v>38</v>
      </c>
      <c r="H6901">
        <f>_xlfn.XLOOKUP(FACT_IMPORTS[[#This Row],[hts_6]],DIM_PRODUCTS[hts_6],DIM_PRODUCTS[hts_4],,,)</f>
        <v>8542</v>
      </c>
      <c r="I6901" t="str" cm="1">
        <f t="array" ref="I6901">_xlfn.XLOOKUP(FACT_IMPORTS[[#This Row],[country_name]],DIM_COUNTRY[[#All],[Column2]],DIM_COUNTRY[[#All],[Column3]],,,)</f>
        <v>Major_Non-USMCA_Non-China</v>
      </c>
    </row>
    <row r="6902" spans="1:9" x14ac:dyDescent="0.4">
      <c r="A6902" t="s">
        <v>71</v>
      </c>
      <c r="B6902" s="1">
        <v>44927</v>
      </c>
      <c r="C6902">
        <v>854233</v>
      </c>
      <c r="D6902" t="s">
        <v>176</v>
      </c>
      <c r="E6902">
        <v>6826</v>
      </c>
      <c r="F6902">
        <v>3</v>
      </c>
      <c r="G6902">
        <v>190</v>
      </c>
      <c r="H6902">
        <f>_xlfn.XLOOKUP(FACT_IMPORTS[[#This Row],[hts_6]],DIM_PRODUCTS[hts_6],DIM_PRODUCTS[hts_4],,,)</f>
        <v>8542</v>
      </c>
      <c r="I6902" t="str" cm="1">
        <f t="array" ref="I6902">_xlfn.XLOOKUP(FACT_IMPORTS[[#This Row],[country_name]],DIM_COUNTRY[[#All],[Column2]],DIM_COUNTRY[[#All],[Column3]],,,)</f>
        <v>Major_Non-USMCA_Non-China</v>
      </c>
    </row>
    <row r="6903" spans="1:9" x14ac:dyDescent="0.4">
      <c r="A6903" t="s">
        <v>71</v>
      </c>
      <c r="B6903" s="1">
        <v>44927</v>
      </c>
      <c r="C6903">
        <v>854239</v>
      </c>
      <c r="D6903" t="s">
        <v>176</v>
      </c>
      <c r="E6903">
        <v>3750</v>
      </c>
      <c r="F6903">
        <v>2</v>
      </c>
      <c r="G6903">
        <v>40</v>
      </c>
      <c r="H6903">
        <f>_xlfn.XLOOKUP(FACT_IMPORTS[[#This Row],[hts_6]],DIM_PRODUCTS[hts_6],DIM_PRODUCTS[hts_4],,,)</f>
        <v>8542</v>
      </c>
      <c r="I6903" t="str" cm="1">
        <f t="array" ref="I6903">_xlfn.XLOOKUP(FACT_IMPORTS[[#This Row],[country_name]],DIM_COUNTRY[[#All],[Column2]],DIM_COUNTRY[[#All],[Column3]],,,)</f>
        <v>Major_Non-USMCA_Non-China</v>
      </c>
    </row>
    <row r="6904" spans="1:9" x14ac:dyDescent="0.4">
      <c r="A6904" t="s">
        <v>71</v>
      </c>
      <c r="B6904" s="1">
        <v>44927</v>
      </c>
      <c r="C6904">
        <v>854430</v>
      </c>
      <c r="D6904" t="s">
        <v>176</v>
      </c>
      <c r="E6904">
        <v>14100</v>
      </c>
      <c r="F6904">
        <v>14</v>
      </c>
      <c r="G6904">
        <v>41</v>
      </c>
      <c r="H6904">
        <f>_xlfn.XLOOKUP(FACT_IMPORTS[[#This Row],[hts_6]],DIM_PRODUCTS[hts_6],DIM_PRODUCTS[hts_4],,,)</f>
        <v>8544</v>
      </c>
      <c r="I6904" t="str" cm="1">
        <f t="array" ref="I6904">_xlfn.XLOOKUP(FACT_IMPORTS[[#This Row],[country_name]],DIM_COUNTRY[[#All],[Column2]],DIM_COUNTRY[[#All],[Column3]],,,)</f>
        <v>Major_Non-USMCA_Non-China</v>
      </c>
    </row>
    <row r="6905" spans="1:9" x14ac:dyDescent="0.4">
      <c r="A6905" t="s">
        <v>71</v>
      </c>
      <c r="B6905" s="1">
        <v>44927</v>
      </c>
      <c r="C6905">
        <v>870710</v>
      </c>
      <c r="D6905" t="s">
        <v>176</v>
      </c>
      <c r="E6905">
        <v>0</v>
      </c>
      <c r="F6905">
        <v>0</v>
      </c>
      <c r="G6905">
        <v>0</v>
      </c>
      <c r="H6905">
        <f>_xlfn.XLOOKUP(FACT_IMPORTS[[#This Row],[hts_6]],DIM_PRODUCTS[hts_6],DIM_PRODUCTS[hts_4],,,)</f>
        <v>8707</v>
      </c>
      <c r="I6905" t="str" cm="1">
        <f t="array" ref="I6905">_xlfn.XLOOKUP(FACT_IMPORTS[[#This Row],[country_name]],DIM_COUNTRY[[#All],[Column2]],DIM_COUNTRY[[#All],[Column3]],,,)</f>
        <v>Major_Non-USMCA_Non-China</v>
      </c>
    </row>
    <row r="6906" spans="1:9" x14ac:dyDescent="0.4">
      <c r="A6906" t="s">
        <v>71</v>
      </c>
      <c r="B6906" s="1">
        <v>44927</v>
      </c>
      <c r="C6906">
        <v>870790</v>
      </c>
      <c r="D6906" t="s">
        <v>176</v>
      </c>
      <c r="E6906">
        <v>0</v>
      </c>
      <c r="F6906">
        <v>0</v>
      </c>
      <c r="G6906">
        <v>0</v>
      </c>
      <c r="H6906">
        <f>_xlfn.XLOOKUP(FACT_IMPORTS[[#This Row],[hts_6]],DIM_PRODUCTS[hts_6],DIM_PRODUCTS[hts_4],,,)</f>
        <v>8707</v>
      </c>
      <c r="I6906" t="str" cm="1">
        <f t="array" ref="I6906">_xlfn.XLOOKUP(FACT_IMPORTS[[#This Row],[country_name]],DIM_COUNTRY[[#All],[Column2]],DIM_COUNTRY[[#All],[Column3]],,,)</f>
        <v>Major_Non-USMCA_Non-China</v>
      </c>
    </row>
    <row r="6907" spans="1:9" x14ac:dyDescent="0.4">
      <c r="A6907" t="s">
        <v>71</v>
      </c>
      <c r="B6907" s="1">
        <v>44927</v>
      </c>
      <c r="C6907">
        <v>870810</v>
      </c>
      <c r="D6907" t="s">
        <v>176</v>
      </c>
      <c r="E6907">
        <v>0</v>
      </c>
      <c r="F6907">
        <v>0</v>
      </c>
      <c r="G6907">
        <v>0</v>
      </c>
      <c r="H6907">
        <f>_xlfn.XLOOKUP(FACT_IMPORTS[[#This Row],[hts_6]],DIM_PRODUCTS[hts_6],DIM_PRODUCTS[hts_4],,,)</f>
        <v>8708</v>
      </c>
      <c r="I6907" t="str" cm="1">
        <f t="array" ref="I6907">_xlfn.XLOOKUP(FACT_IMPORTS[[#This Row],[country_name]],DIM_COUNTRY[[#All],[Column2]],DIM_COUNTRY[[#All],[Column3]],,,)</f>
        <v>Major_Non-USMCA_Non-China</v>
      </c>
    </row>
    <row r="6908" spans="1:9" x14ac:dyDescent="0.4">
      <c r="A6908" t="s">
        <v>71</v>
      </c>
      <c r="B6908" s="1">
        <v>44927</v>
      </c>
      <c r="C6908">
        <v>870829</v>
      </c>
      <c r="D6908" t="s">
        <v>176</v>
      </c>
      <c r="E6908">
        <v>3997772</v>
      </c>
      <c r="F6908">
        <v>310439</v>
      </c>
      <c r="G6908">
        <v>62561</v>
      </c>
      <c r="H6908">
        <f>_xlfn.XLOOKUP(FACT_IMPORTS[[#This Row],[hts_6]],DIM_PRODUCTS[hts_6],DIM_PRODUCTS[hts_4],,,)</f>
        <v>8708</v>
      </c>
      <c r="I6908" t="str" cm="1">
        <f t="array" ref="I6908">_xlfn.XLOOKUP(FACT_IMPORTS[[#This Row],[country_name]],DIM_COUNTRY[[#All],[Column2]],DIM_COUNTRY[[#All],[Column3]],,,)</f>
        <v>Major_Non-USMCA_Non-China</v>
      </c>
    </row>
    <row r="6909" spans="1:9" x14ac:dyDescent="0.4">
      <c r="A6909" t="s">
        <v>71</v>
      </c>
      <c r="B6909" s="1">
        <v>44927</v>
      </c>
      <c r="C6909">
        <v>870830</v>
      </c>
      <c r="D6909" t="s">
        <v>176</v>
      </c>
      <c r="E6909">
        <v>1359982</v>
      </c>
      <c r="F6909">
        <v>172981</v>
      </c>
      <c r="G6909">
        <v>54163</v>
      </c>
      <c r="H6909">
        <f>_xlfn.XLOOKUP(FACT_IMPORTS[[#This Row],[hts_6]],DIM_PRODUCTS[hts_6],DIM_PRODUCTS[hts_4],,,)</f>
        <v>8708</v>
      </c>
      <c r="I6909" t="str" cm="1">
        <f t="array" ref="I6909">_xlfn.XLOOKUP(FACT_IMPORTS[[#This Row],[country_name]],DIM_COUNTRY[[#All],[Column2]],DIM_COUNTRY[[#All],[Column3]],,,)</f>
        <v>Major_Non-USMCA_Non-China</v>
      </c>
    </row>
    <row r="6910" spans="1:9" x14ac:dyDescent="0.4">
      <c r="A6910" t="s">
        <v>71</v>
      </c>
      <c r="B6910" s="1">
        <v>44927</v>
      </c>
      <c r="C6910">
        <v>870840</v>
      </c>
      <c r="D6910" t="s">
        <v>176</v>
      </c>
      <c r="E6910">
        <v>2209650</v>
      </c>
      <c r="F6910">
        <v>2888</v>
      </c>
      <c r="G6910">
        <v>101833</v>
      </c>
      <c r="H6910">
        <f>_xlfn.XLOOKUP(FACT_IMPORTS[[#This Row],[hts_6]],DIM_PRODUCTS[hts_6],DIM_PRODUCTS[hts_4],,,)</f>
        <v>8708</v>
      </c>
      <c r="I6910" t="str" cm="1">
        <f t="array" ref="I6910">_xlfn.XLOOKUP(FACT_IMPORTS[[#This Row],[country_name]],DIM_COUNTRY[[#All],[Column2]],DIM_COUNTRY[[#All],[Column3]],,,)</f>
        <v>Major_Non-USMCA_Non-China</v>
      </c>
    </row>
    <row r="6911" spans="1:9" x14ac:dyDescent="0.4">
      <c r="A6911" t="s">
        <v>71</v>
      </c>
      <c r="B6911" s="1">
        <v>44927</v>
      </c>
      <c r="C6911">
        <v>870850</v>
      </c>
      <c r="D6911" t="s">
        <v>176</v>
      </c>
      <c r="E6911">
        <v>13118</v>
      </c>
      <c r="F6911">
        <v>17</v>
      </c>
      <c r="G6911">
        <v>1411</v>
      </c>
      <c r="H6911">
        <f>_xlfn.XLOOKUP(FACT_IMPORTS[[#This Row],[hts_6]],DIM_PRODUCTS[hts_6],DIM_PRODUCTS[hts_4],,,)</f>
        <v>8708</v>
      </c>
      <c r="I6911" t="str" cm="1">
        <f t="array" ref="I6911">_xlfn.XLOOKUP(FACT_IMPORTS[[#This Row],[country_name]],DIM_COUNTRY[[#All],[Column2]],DIM_COUNTRY[[#All],[Column3]],,,)</f>
        <v>Major_Non-USMCA_Non-China</v>
      </c>
    </row>
    <row r="6912" spans="1:9" x14ac:dyDescent="0.4">
      <c r="A6912" t="s">
        <v>71</v>
      </c>
      <c r="B6912" s="1">
        <v>44927</v>
      </c>
      <c r="C6912">
        <v>870870</v>
      </c>
      <c r="D6912" t="s">
        <v>176</v>
      </c>
      <c r="E6912">
        <v>0</v>
      </c>
      <c r="F6912">
        <v>0</v>
      </c>
      <c r="G6912">
        <v>0</v>
      </c>
      <c r="H6912">
        <f>_xlfn.XLOOKUP(FACT_IMPORTS[[#This Row],[hts_6]],DIM_PRODUCTS[hts_6],DIM_PRODUCTS[hts_4],,,)</f>
        <v>8708</v>
      </c>
      <c r="I6912" t="str" cm="1">
        <f t="array" ref="I6912">_xlfn.XLOOKUP(FACT_IMPORTS[[#This Row],[country_name]],DIM_COUNTRY[[#All],[Column2]],DIM_COUNTRY[[#All],[Column3]],,,)</f>
        <v>Major_Non-USMCA_Non-China</v>
      </c>
    </row>
    <row r="6913" spans="1:9" x14ac:dyDescent="0.4">
      <c r="A6913" t="s">
        <v>71</v>
      </c>
      <c r="B6913" s="1">
        <v>44927</v>
      </c>
      <c r="C6913">
        <v>870880</v>
      </c>
      <c r="D6913" t="s">
        <v>176</v>
      </c>
      <c r="E6913">
        <v>277214</v>
      </c>
      <c r="F6913">
        <v>13677</v>
      </c>
      <c r="G6913">
        <v>16171</v>
      </c>
      <c r="H6913">
        <f>_xlfn.XLOOKUP(FACT_IMPORTS[[#This Row],[hts_6]],DIM_PRODUCTS[hts_6],DIM_PRODUCTS[hts_4],,,)</f>
        <v>8708</v>
      </c>
      <c r="I6913" t="str" cm="1">
        <f t="array" ref="I6913">_xlfn.XLOOKUP(FACT_IMPORTS[[#This Row],[country_name]],DIM_COUNTRY[[#All],[Column2]],DIM_COUNTRY[[#All],[Column3]],,,)</f>
        <v>Major_Non-USMCA_Non-China</v>
      </c>
    </row>
    <row r="6914" spans="1:9" x14ac:dyDescent="0.4">
      <c r="A6914" t="s">
        <v>71</v>
      </c>
      <c r="B6914" s="1">
        <v>44927</v>
      </c>
      <c r="C6914">
        <v>870891</v>
      </c>
      <c r="D6914" t="s">
        <v>176</v>
      </c>
      <c r="E6914">
        <v>173901</v>
      </c>
      <c r="F6914">
        <v>99718</v>
      </c>
      <c r="G6914">
        <v>3102</v>
      </c>
      <c r="H6914">
        <f>_xlfn.XLOOKUP(FACT_IMPORTS[[#This Row],[hts_6]],DIM_PRODUCTS[hts_6],DIM_PRODUCTS[hts_4],,,)</f>
        <v>8708</v>
      </c>
      <c r="I6914" t="str" cm="1">
        <f t="array" ref="I6914">_xlfn.XLOOKUP(FACT_IMPORTS[[#This Row],[country_name]],DIM_COUNTRY[[#All],[Column2]],DIM_COUNTRY[[#All],[Column3]],,,)</f>
        <v>Major_Non-USMCA_Non-China</v>
      </c>
    </row>
    <row r="6915" spans="1:9" x14ac:dyDescent="0.4">
      <c r="A6915" t="s">
        <v>71</v>
      </c>
      <c r="B6915" s="1">
        <v>44927</v>
      </c>
      <c r="C6915">
        <v>870892</v>
      </c>
      <c r="D6915" t="s">
        <v>176</v>
      </c>
      <c r="E6915">
        <v>2827</v>
      </c>
      <c r="F6915">
        <v>14</v>
      </c>
      <c r="G6915">
        <v>410</v>
      </c>
      <c r="H6915">
        <f>_xlfn.XLOOKUP(FACT_IMPORTS[[#This Row],[hts_6]],DIM_PRODUCTS[hts_6],DIM_PRODUCTS[hts_4],,,)</f>
        <v>8708</v>
      </c>
      <c r="I6915" t="str" cm="1">
        <f t="array" ref="I6915">_xlfn.XLOOKUP(FACT_IMPORTS[[#This Row],[country_name]],DIM_COUNTRY[[#All],[Column2]],DIM_COUNTRY[[#All],[Column3]],,,)</f>
        <v>Major_Non-USMCA_Non-China</v>
      </c>
    </row>
    <row r="6916" spans="1:9" x14ac:dyDescent="0.4">
      <c r="A6916" t="s">
        <v>71</v>
      </c>
      <c r="B6916" s="1">
        <v>44927</v>
      </c>
      <c r="C6916">
        <v>870893</v>
      </c>
      <c r="D6916" t="s">
        <v>176</v>
      </c>
      <c r="E6916">
        <v>907234</v>
      </c>
      <c r="F6916">
        <v>578699</v>
      </c>
      <c r="G6916">
        <v>38450</v>
      </c>
      <c r="H6916">
        <f>_xlfn.XLOOKUP(FACT_IMPORTS[[#This Row],[hts_6]],DIM_PRODUCTS[hts_6],DIM_PRODUCTS[hts_4],,,)</f>
        <v>8708</v>
      </c>
      <c r="I6916" t="str" cm="1">
        <f t="array" ref="I6916">_xlfn.XLOOKUP(FACT_IMPORTS[[#This Row],[country_name]],DIM_COUNTRY[[#All],[Column2]],DIM_COUNTRY[[#All],[Column3]],,,)</f>
        <v>Major_Non-USMCA_Non-China</v>
      </c>
    </row>
    <row r="6917" spans="1:9" x14ac:dyDescent="0.4">
      <c r="A6917" t="s">
        <v>71</v>
      </c>
      <c r="B6917" s="1">
        <v>44927</v>
      </c>
      <c r="C6917">
        <v>870894</v>
      </c>
      <c r="D6917" t="s">
        <v>176</v>
      </c>
      <c r="E6917">
        <v>187227</v>
      </c>
      <c r="F6917">
        <v>4110</v>
      </c>
      <c r="G6917">
        <v>1760</v>
      </c>
      <c r="H6917">
        <f>_xlfn.XLOOKUP(FACT_IMPORTS[[#This Row],[hts_6]],DIM_PRODUCTS[hts_6],DIM_PRODUCTS[hts_4],,,)</f>
        <v>8708</v>
      </c>
      <c r="I6917" t="str" cm="1">
        <f t="array" ref="I6917">_xlfn.XLOOKUP(FACT_IMPORTS[[#This Row],[country_name]],DIM_COUNTRY[[#All],[Column2]],DIM_COUNTRY[[#All],[Column3]],,,)</f>
        <v>Major_Non-USMCA_Non-China</v>
      </c>
    </row>
    <row r="6918" spans="1:9" x14ac:dyDescent="0.4">
      <c r="A6918" t="s">
        <v>71</v>
      </c>
      <c r="B6918" s="1">
        <v>44927</v>
      </c>
      <c r="C6918">
        <v>870895</v>
      </c>
      <c r="D6918" t="s">
        <v>176</v>
      </c>
      <c r="E6918">
        <v>33388</v>
      </c>
      <c r="F6918">
        <v>1489</v>
      </c>
      <c r="G6918">
        <v>4873</v>
      </c>
      <c r="H6918">
        <f>_xlfn.XLOOKUP(FACT_IMPORTS[[#This Row],[hts_6]],DIM_PRODUCTS[hts_6],DIM_PRODUCTS[hts_4],,,)</f>
        <v>8708</v>
      </c>
      <c r="I6918" t="str" cm="1">
        <f t="array" ref="I6918">_xlfn.XLOOKUP(FACT_IMPORTS[[#This Row],[country_name]],DIM_COUNTRY[[#All],[Column2]],DIM_COUNTRY[[#All],[Column3]],,,)</f>
        <v>Major_Non-USMCA_Non-China</v>
      </c>
    </row>
    <row r="6919" spans="1:9" x14ac:dyDescent="0.4">
      <c r="A6919" t="s">
        <v>71</v>
      </c>
      <c r="B6919" s="1">
        <v>44927</v>
      </c>
      <c r="C6919">
        <v>870899</v>
      </c>
      <c r="D6919" t="s">
        <v>176</v>
      </c>
      <c r="E6919">
        <v>2669007</v>
      </c>
      <c r="F6919">
        <v>2252864</v>
      </c>
      <c r="G6919">
        <v>161703</v>
      </c>
      <c r="H6919">
        <f>_xlfn.XLOOKUP(FACT_IMPORTS[[#This Row],[hts_6]],DIM_PRODUCTS[hts_6],DIM_PRODUCTS[hts_4],,,)</f>
        <v>8708</v>
      </c>
      <c r="I6919" t="str" cm="1">
        <f t="array" ref="I6919">_xlfn.XLOOKUP(FACT_IMPORTS[[#This Row],[country_name]],DIM_COUNTRY[[#All],[Column2]],DIM_COUNTRY[[#All],[Column3]],,,)</f>
        <v>Major_Non-USMCA_Non-China</v>
      </c>
    </row>
    <row r="6920" spans="1:9" x14ac:dyDescent="0.4">
      <c r="A6920" t="s">
        <v>71</v>
      </c>
      <c r="B6920" s="1">
        <v>44927</v>
      </c>
      <c r="C6920">
        <v>940120</v>
      </c>
      <c r="D6920" t="s">
        <v>176</v>
      </c>
      <c r="E6920">
        <v>2165</v>
      </c>
      <c r="F6920">
        <v>2</v>
      </c>
      <c r="G6920">
        <v>138</v>
      </c>
      <c r="H6920">
        <f>_xlfn.XLOOKUP(FACT_IMPORTS[[#This Row],[hts_6]],DIM_PRODUCTS[hts_6],DIM_PRODUCTS[hts_4],,,)</f>
        <v>9401</v>
      </c>
      <c r="I6920" t="str" cm="1">
        <f t="array" ref="I6920">_xlfn.XLOOKUP(FACT_IMPORTS[[#This Row],[country_name]],DIM_COUNTRY[[#All],[Column2]],DIM_COUNTRY[[#All],[Column3]],,,)</f>
        <v>Major_Non-USMCA_Non-China</v>
      </c>
    </row>
    <row r="6921" spans="1:9" x14ac:dyDescent="0.4">
      <c r="A6921" t="s">
        <v>71</v>
      </c>
      <c r="B6921" s="1">
        <v>44958</v>
      </c>
      <c r="C6921">
        <v>392630</v>
      </c>
      <c r="D6921" t="s">
        <v>176</v>
      </c>
      <c r="E6921">
        <v>21103</v>
      </c>
      <c r="F6921">
        <v>386</v>
      </c>
      <c r="G6921">
        <v>130</v>
      </c>
      <c r="H6921">
        <f>_xlfn.XLOOKUP(FACT_IMPORTS[[#This Row],[hts_6]],DIM_PRODUCTS[hts_6],DIM_PRODUCTS[hts_4],,,)</f>
        <v>3926</v>
      </c>
      <c r="I6921" t="str" cm="1">
        <f t="array" ref="I6921">_xlfn.XLOOKUP(FACT_IMPORTS[[#This Row],[country_name]],DIM_COUNTRY[[#All],[Column2]],DIM_COUNTRY[[#All],[Column3]],,,)</f>
        <v>Major_Non-USMCA_Non-China</v>
      </c>
    </row>
    <row r="6922" spans="1:9" x14ac:dyDescent="0.4">
      <c r="A6922" t="s">
        <v>71</v>
      </c>
      <c r="B6922" s="1">
        <v>44958</v>
      </c>
      <c r="C6922">
        <v>401110</v>
      </c>
      <c r="D6922" t="s">
        <v>176</v>
      </c>
      <c r="E6922">
        <v>132250</v>
      </c>
      <c r="F6922">
        <v>1928</v>
      </c>
      <c r="G6922">
        <v>515</v>
      </c>
      <c r="H6922">
        <f>_xlfn.XLOOKUP(FACT_IMPORTS[[#This Row],[hts_6]],DIM_PRODUCTS[hts_6],DIM_PRODUCTS[hts_4],,,)</f>
        <v>4011</v>
      </c>
      <c r="I6922" t="str" cm="1">
        <f t="array" ref="I6922">_xlfn.XLOOKUP(FACT_IMPORTS[[#This Row],[country_name]],DIM_COUNTRY[[#All],[Column2]],DIM_COUNTRY[[#All],[Column3]],,,)</f>
        <v>Major_Non-USMCA_Non-China</v>
      </c>
    </row>
    <row r="6923" spans="1:9" x14ac:dyDescent="0.4">
      <c r="A6923" t="s">
        <v>71</v>
      </c>
      <c r="B6923" s="1">
        <v>44958</v>
      </c>
      <c r="C6923">
        <v>401120</v>
      </c>
      <c r="D6923" t="s">
        <v>176</v>
      </c>
      <c r="E6923">
        <v>993194</v>
      </c>
      <c r="F6923">
        <v>5328</v>
      </c>
      <c r="G6923">
        <v>60121</v>
      </c>
      <c r="H6923">
        <f>_xlfn.XLOOKUP(FACT_IMPORTS[[#This Row],[hts_6]],DIM_PRODUCTS[hts_6],DIM_PRODUCTS[hts_4],,,)</f>
        <v>4011</v>
      </c>
      <c r="I6923" t="str" cm="1">
        <f t="array" ref="I6923">_xlfn.XLOOKUP(FACT_IMPORTS[[#This Row],[country_name]],DIM_COUNTRY[[#All],[Column2]],DIM_COUNTRY[[#All],[Column3]],,,)</f>
        <v>Major_Non-USMCA_Non-China</v>
      </c>
    </row>
    <row r="6924" spans="1:9" x14ac:dyDescent="0.4">
      <c r="A6924" t="s">
        <v>71</v>
      </c>
      <c r="B6924" s="1">
        <v>44958</v>
      </c>
      <c r="C6924">
        <v>401140</v>
      </c>
      <c r="D6924" t="s">
        <v>176</v>
      </c>
      <c r="E6924">
        <v>0</v>
      </c>
      <c r="F6924">
        <v>0</v>
      </c>
      <c r="G6924">
        <v>0</v>
      </c>
      <c r="H6924">
        <f>_xlfn.XLOOKUP(FACT_IMPORTS[[#This Row],[hts_6]],DIM_PRODUCTS[hts_6],DIM_PRODUCTS[hts_4],,,)</f>
        <v>4011</v>
      </c>
      <c r="I6924" t="str" cm="1">
        <f t="array" ref="I6924">_xlfn.XLOOKUP(FACT_IMPORTS[[#This Row],[country_name]],DIM_COUNTRY[[#All],[Column2]],DIM_COUNTRY[[#All],[Column3]],,,)</f>
        <v>Major_Non-USMCA_Non-China</v>
      </c>
    </row>
    <row r="6925" spans="1:9" x14ac:dyDescent="0.4">
      <c r="A6925" t="s">
        <v>71</v>
      </c>
      <c r="B6925" s="1">
        <v>44958</v>
      </c>
      <c r="C6925">
        <v>700721</v>
      </c>
      <c r="D6925" t="s">
        <v>176</v>
      </c>
      <c r="E6925">
        <v>0</v>
      </c>
      <c r="F6925">
        <v>0</v>
      </c>
      <c r="G6925">
        <v>0</v>
      </c>
      <c r="H6925">
        <f>_xlfn.XLOOKUP(FACT_IMPORTS[[#This Row],[hts_6]],DIM_PRODUCTS[hts_6],DIM_PRODUCTS[hts_4],,,)</f>
        <v>7007</v>
      </c>
      <c r="I6925" t="str" cm="1">
        <f t="array" ref="I6925">_xlfn.XLOOKUP(FACT_IMPORTS[[#This Row],[country_name]],DIM_COUNTRY[[#All],[Column2]],DIM_COUNTRY[[#All],[Column3]],,,)</f>
        <v>Major_Non-USMCA_Non-China</v>
      </c>
    </row>
    <row r="6926" spans="1:9" x14ac:dyDescent="0.4">
      <c r="A6926" t="s">
        <v>71</v>
      </c>
      <c r="B6926" s="1">
        <v>44958</v>
      </c>
      <c r="C6926">
        <v>700910</v>
      </c>
      <c r="D6926" t="s">
        <v>176</v>
      </c>
      <c r="E6926">
        <v>0</v>
      </c>
      <c r="F6926">
        <v>0</v>
      </c>
      <c r="G6926">
        <v>0</v>
      </c>
      <c r="H6926">
        <f>_xlfn.XLOOKUP(FACT_IMPORTS[[#This Row],[hts_6]],DIM_PRODUCTS[hts_6],DIM_PRODUCTS[hts_4],,,)</f>
        <v>7009</v>
      </c>
      <c r="I6926" t="str" cm="1">
        <f t="array" ref="I6926">_xlfn.XLOOKUP(FACT_IMPORTS[[#This Row],[country_name]],DIM_COUNTRY[[#All],[Column2]],DIM_COUNTRY[[#All],[Column3]],,,)</f>
        <v>Major_Non-USMCA_Non-China</v>
      </c>
    </row>
    <row r="6927" spans="1:9" x14ac:dyDescent="0.4">
      <c r="A6927" t="s">
        <v>71</v>
      </c>
      <c r="B6927" s="1">
        <v>44958</v>
      </c>
      <c r="C6927">
        <v>732010</v>
      </c>
      <c r="D6927" t="s">
        <v>176</v>
      </c>
      <c r="E6927">
        <v>0</v>
      </c>
      <c r="F6927">
        <v>0</v>
      </c>
      <c r="G6927">
        <v>0</v>
      </c>
      <c r="H6927">
        <f>_xlfn.XLOOKUP(FACT_IMPORTS[[#This Row],[hts_6]],DIM_PRODUCTS[hts_6],DIM_PRODUCTS[hts_4],,,)</f>
        <v>7320</v>
      </c>
      <c r="I6927" t="str" cm="1">
        <f t="array" ref="I6927">_xlfn.XLOOKUP(FACT_IMPORTS[[#This Row],[country_name]],DIM_COUNTRY[[#All],[Column2]],DIM_COUNTRY[[#All],[Column3]],,,)</f>
        <v>Major_Non-USMCA_Non-China</v>
      </c>
    </row>
    <row r="6928" spans="1:9" x14ac:dyDescent="0.4">
      <c r="A6928" t="s">
        <v>71</v>
      </c>
      <c r="B6928" s="1">
        <v>44958</v>
      </c>
      <c r="C6928">
        <v>830230</v>
      </c>
      <c r="D6928" t="s">
        <v>176</v>
      </c>
      <c r="E6928">
        <v>70966</v>
      </c>
      <c r="F6928">
        <v>22034</v>
      </c>
      <c r="G6928">
        <v>1082</v>
      </c>
      <c r="H6928">
        <f>_xlfn.XLOOKUP(FACT_IMPORTS[[#This Row],[hts_6]],DIM_PRODUCTS[hts_6],DIM_PRODUCTS[hts_4],,,)</f>
        <v>8302</v>
      </c>
      <c r="I6928" t="str" cm="1">
        <f t="array" ref="I6928">_xlfn.XLOOKUP(FACT_IMPORTS[[#This Row],[country_name]],DIM_COUNTRY[[#All],[Column2]],DIM_COUNTRY[[#All],[Column3]],,,)</f>
        <v>Major_Non-USMCA_Non-China</v>
      </c>
    </row>
    <row r="6929" spans="1:9" x14ac:dyDescent="0.4">
      <c r="A6929" t="s">
        <v>71</v>
      </c>
      <c r="B6929" s="1">
        <v>44958</v>
      </c>
      <c r="C6929">
        <v>840734</v>
      </c>
      <c r="D6929" t="s">
        <v>176</v>
      </c>
      <c r="E6929">
        <v>21972</v>
      </c>
      <c r="F6929">
        <v>7</v>
      </c>
      <c r="G6929">
        <v>10603</v>
      </c>
      <c r="H6929">
        <f>_xlfn.XLOOKUP(FACT_IMPORTS[[#This Row],[hts_6]],DIM_PRODUCTS[hts_6],DIM_PRODUCTS[hts_4],,,)</f>
        <v>8407</v>
      </c>
      <c r="I6929" t="str" cm="1">
        <f t="array" ref="I6929">_xlfn.XLOOKUP(FACT_IMPORTS[[#This Row],[country_name]],DIM_COUNTRY[[#All],[Column2]],DIM_COUNTRY[[#All],[Column3]],,,)</f>
        <v>Major_Non-USMCA_Non-China</v>
      </c>
    </row>
    <row r="6930" spans="1:9" x14ac:dyDescent="0.4">
      <c r="A6930" t="s">
        <v>71</v>
      </c>
      <c r="B6930" s="1">
        <v>44958</v>
      </c>
      <c r="C6930">
        <v>840790</v>
      </c>
      <c r="D6930" t="s">
        <v>176</v>
      </c>
      <c r="E6930">
        <v>161724</v>
      </c>
      <c r="F6930">
        <v>40</v>
      </c>
      <c r="G6930">
        <v>103</v>
      </c>
      <c r="H6930">
        <f>_xlfn.XLOOKUP(FACT_IMPORTS[[#This Row],[hts_6]],DIM_PRODUCTS[hts_6],DIM_PRODUCTS[hts_4],,,)</f>
        <v>8407</v>
      </c>
      <c r="I6930" t="str" cm="1">
        <f t="array" ref="I6930">_xlfn.XLOOKUP(FACT_IMPORTS[[#This Row],[country_name]],DIM_COUNTRY[[#All],[Column2]],DIM_COUNTRY[[#All],[Column3]],,,)</f>
        <v>Major_Non-USMCA_Non-China</v>
      </c>
    </row>
    <row r="6931" spans="1:9" x14ac:dyDescent="0.4">
      <c r="A6931" t="s">
        <v>71</v>
      </c>
      <c r="B6931" s="1">
        <v>44958</v>
      </c>
      <c r="C6931">
        <v>840820</v>
      </c>
      <c r="D6931" t="s">
        <v>176</v>
      </c>
      <c r="E6931">
        <v>0</v>
      </c>
      <c r="F6931">
        <v>0</v>
      </c>
      <c r="G6931">
        <v>0</v>
      </c>
      <c r="H6931">
        <f>_xlfn.XLOOKUP(FACT_IMPORTS[[#This Row],[hts_6]],DIM_PRODUCTS[hts_6],DIM_PRODUCTS[hts_4],,,)</f>
        <v>8408</v>
      </c>
      <c r="I6931" t="str" cm="1">
        <f t="array" ref="I6931">_xlfn.XLOOKUP(FACT_IMPORTS[[#This Row],[country_name]],DIM_COUNTRY[[#All],[Column2]],DIM_COUNTRY[[#All],[Column3]],,,)</f>
        <v>Major_Non-USMCA_Non-China</v>
      </c>
    </row>
    <row r="6932" spans="1:9" x14ac:dyDescent="0.4">
      <c r="A6932" t="s">
        <v>71</v>
      </c>
      <c r="B6932" s="1">
        <v>44958</v>
      </c>
      <c r="C6932">
        <v>840890</v>
      </c>
      <c r="D6932" t="s">
        <v>176</v>
      </c>
      <c r="E6932">
        <v>51000</v>
      </c>
      <c r="F6932">
        <v>1</v>
      </c>
      <c r="G6932">
        <v>167</v>
      </c>
      <c r="H6932">
        <f>_xlfn.XLOOKUP(FACT_IMPORTS[[#This Row],[hts_6]],DIM_PRODUCTS[hts_6],DIM_PRODUCTS[hts_4],,,)</f>
        <v>8408</v>
      </c>
      <c r="I6932" t="str" cm="1">
        <f t="array" ref="I6932">_xlfn.XLOOKUP(FACT_IMPORTS[[#This Row],[country_name]],DIM_COUNTRY[[#All],[Column2]],DIM_COUNTRY[[#All],[Column3]],,,)</f>
        <v>Major_Non-USMCA_Non-China</v>
      </c>
    </row>
    <row r="6933" spans="1:9" x14ac:dyDescent="0.4">
      <c r="A6933" t="s">
        <v>71</v>
      </c>
      <c r="B6933" s="1">
        <v>44958</v>
      </c>
      <c r="C6933">
        <v>840991</v>
      </c>
      <c r="D6933" t="s">
        <v>176</v>
      </c>
      <c r="E6933">
        <v>9317892</v>
      </c>
      <c r="F6933">
        <v>592189</v>
      </c>
      <c r="G6933">
        <v>238797</v>
      </c>
      <c r="H6933">
        <f>_xlfn.XLOOKUP(FACT_IMPORTS[[#This Row],[hts_6]],DIM_PRODUCTS[hts_6],DIM_PRODUCTS[hts_4],,,)</f>
        <v>8409</v>
      </c>
      <c r="I6933" t="str" cm="1">
        <f t="array" ref="I6933">_xlfn.XLOOKUP(FACT_IMPORTS[[#This Row],[country_name]],DIM_COUNTRY[[#All],[Column2]],DIM_COUNTRY[[#All],[Column3]],,,)</f>
        <v>Major_Non-USMCA_Non-China</v>
      </c>
    </row>
    <row r="6934" spans="1:9" x14ac:dyDescent="0.4">
      <c r="A6934" t="s">
        <v>71</v>
      </c>
      <c r="B6934" s="1">
        <v>44958</v>
      </c>
      <c r="C6934">
        <v>840999</v>
      </c>
      <c r="D6934" t="s">
        <v>176</v>
      </c>
      <c r="E6934">
        <v>49106</v>
      </c>
      <c r="F6934">
        <v>85</v>
      </c>
      <c r="G6934">
        <v>117</v>
      </c>
      <c r="H6934">
        <f>_xlfn.XLOOKUP(FACT_IMPORTS[[#This Row],[hts_6]],DIM_PRODUCTS[hts_6],DIM_PRODUCTS[hts_4],,,)</f>
        <v>8409</v>
      </c>
      <c r="I6934" t="str" cm="1">
        <f t="array" ref="I6934">_xlfn.XLOOKUP(FACT_IMPORTS[[#This Row],[country_name]],DIM_COUNTRY[[#All],[Column2]],DIM_COUNTRY[[#All],[Column3]],,,)</f>
        <v>Major_Non-USMCA_Non-China</v>
      </c>
    </row>
    <row r="6935" spans="1:9" x14ac:dyDescent="0.4">
      <c r="A6935" t="s">
        <v>71</v>
      </c>
      <c r="B6935" s="1">
        <v>44958</v>
      </c>
      <c r="C6935">
        <v>841330</v>
      </c>
      <c r="D6935" t="s">
        <v>176</v>
      </c>
      <c r="E6935">
        <v>806154</v>
      </c>
      <c r="F6935">
        <v>21834</v>
      </c>
      <c r="G6935">
        <v>23797</v>
      </c>
      <c r="H6935">
        <f>_xlfn.XLOOKUP(FACT_IMPORTS[[#This Row],[hts_6]],DIM_PRODUCTS[hts_6],DIM_PRODUCTS[hts_4],,,)</f>
        <v>8413</v>
      </c>
      <c r="I6935" t="str" cm="1">
        <f t="array" ref="I6935">_xlfn.XLOOKUP(FACT_IMPORTS[[#This Row],[country_name]],DIM_COUNTRY[[#All],[Column2]],DIM_COUNTRY[[#All],[Column3]],,,)</f>
        <v>Major_Non-USMCA_Non-China</v>
      </c>
    </row>
    <row r="6936" spans="1:9" x14ac:dyDescent="0.4">
      <c r="A6936" t="s">
        <v>71</v>
      </c>
      <c r="B6936" s="1">
        <v>44958</v>
      </c>
      <c r="C6936">
        <v>841520</v>
      </c>
      <c r="D6936" t="s">
        <v>176</v>
      </c>
      <c r="E6936">
        <v>0</v>
      </c>
      <c r="F6936">
        <v>0</v>
      </c>
      <c r="G6936">
        <v>0</v>
      </c>
      <c r="H6936">
        <f>_xlfn.XLOOKUP(FACT_IMPORTS[[#This Row],[hts_6]],DIM_PRODUCTS[hts_6],DIM_PRODUCTS[hts_4],,,)</f>
        <v>8415</v>
      </c>
      <c r="I6936" t="str" cm="1">
        <f t="array" ref="I6936">_xlfn.XLOOKUP(FACT_IMPORTS[[#This Row],[country_name]],DIM_COUNTRY[[#All],[Column2]],DIM_COUNTRY[[#All],[Column3]],,,)</f>
        <v>Major_Non-USMCA_Non-China</v>
      </c>
    </row>
    <row r="6937" spans="1:9" x14ac:dyDescent="0.4">
      <c r="A6937" t="s">
        <v>71</v>
      </c>
      <c r="B6937" s="1">
        <v>44958</v>
      </c>
      <c r="C6937">
        <v>842132</v>
      </c>
      <c r="D6937" t="s">
        <v>176</v>
      </c>
      <c r="E6937">
        <v>104796</v>
      </c>
      <c r="F6937">
        <v>3454</v>
      </c>
      <c r="G6937">
        <v>956</v>
      </c>
      <c r="H6937">
        <f>_xlfn.XLOOKUP(FACT_IMPORTS[[#This Row],[hts_6]],DIM_PRODUCTS[hts_6],DIM_PRODUCTS[hts_4],,,)</f>
        <v>8421</v>
      </c>
      <c r="I6937" t="str" cm="1">
        <f t="array" ref="I6937">_xlfn.XLOOKUP(FACT_IMPORTS[[#This Row],[country_name]],DIM_COUNTRY[[#All],[Column2]],DIM_COUNTRY[[#All],[Column3]],,,)</f>
        <v>Major_Non-USMCA_Non-China</v>
      </c>
    </row>
    <row r="6938" spans="1:9" x14ac:dyDescent="0.4">
      <c r="A6938" t="s">
        <v>71</v>
      </c>
      <c r="B6938" s="1">
        <v>44958</v>
      </c>
      <c r="C6938">
        <v>848210</v>
      </c>
      <c r="D6938" t="s">
        <v>176</v>
      </c>
      <c r="E6938">
        <v>92774</v>
      </c>
      <c r="F6938">
        <v>5085</v>
      </c>
      <c r="G6938">
        <v>1987</v>
      </c>
      <c r="H6938">
        <f>_xlfn.XLOOKUP(FACT_IMPORTS[[#This Row],[hts_6]],DIM_PRODUCTS[hts_6],DIM_PRODUCTS[hts_4],,,)</f>
        <v>8482</v>
      </c>
      <c r="I6938" t="str" cm="1">
        <f t="array" ref="I6938">_xlfn.XLOOKUP(FACT_IMPORTS[[#This Row],[country_name]],DIM_COUNTRY[[#All],[Column2]],DIM_COUNTRY[[#All],[Column3]],,,)</f>
        <v>Major_Non-USMCA_Non-China</v>
      </c>
    </row>
    <row r="6939" spans="1:9" x14ac:dyDescent="0.4">
      <c r="A6939" t="s">
        <v>71</v>
      </c>
      <c r="B6939" s="1">
        <v>44958</v>
      </c>
      <c r="C6939">
        <v>848220</v>
      </c>
      <c r="D6939" t="s">
        <v>176</v>
      </c>
      <c r="E6939">
        <v>200148</v>
      </c>
      <c r="F6939">
        <v>16891</v>
      </c>
      <c r="G6939">
        <v>2180</v>
      </c>
      <c r="H6939">
        <f>_xlfn.XLOOKUP(FACT_IMPORTS[[#This Row],[hts_6]],DIM_PRODUCTS[hts_6],DIM_PRODUCTS[hts_4],,,)</f>
        <v>8482</v>
      </c>
      <c r="I6939" t="str" cm="1">
        <f t="array" ref="I6939">_xlfn.XLOOKUP(FACT_IMPORTS[[#This Row],[country_name]],DIM_COUNTRY[[#All],[Column2]],DIM_COUNTRY[[#All],[Column3]],,,)</f>
        <v>Major_Non-USMCA_Non-China</v>
      </c>
    </row>
    <row r="6940" spans="1:9" x14ac:dyDescent="0.4">
      <c r="A6940" t="s">
        <v>71</v>
      </c>
      <c r="B6940" s="1">
        <v>44958</v>
      </c>
      <c r="C6940">
        <v>848310</v>
      </c>
      <c r="D6940" t="s">
        <v>176</v>
      </c>
      <c r="E6940">
        <v>1084337</v>
      </c>
      <c r="F6940">
        <v>40320</v>
      </c>
      <c r="G6940">
        <v>200253</v>
      </c>
      <c r="H6940">
        <f>_xlfn.XLOOKUP(FACT_IMPORTS[[#This Row],[hts_6]],DIM_PRODUCTS[hts_6],DIM_PRODUCTS[hts_4],,,)</f>
        <v>8483</v>
      </c>
      <c r="I6940" t="str" cm="1">
        <f t="array" ref="I6940">_xlfn.XLOOKUP(FACT_IMPORTS[[#This Row],[country_name]],DIM_COUNTRY[[#All],[Column2]],DIM_COUNTRY[[#All],[Column3]],,,)</f>
        <v>Major_Non-USMCA_Non-China</v>
      </c>
    </row>
    <row r="6941" spans="1:9" x14ac:dyDescent="0.4">
      <c r="A6941" t="s">
        <v>71</v>
      </c>
      <c r="B6941" s="1">
        <v>44958</v>
      </c>
      <c r="C6941">
        <v>850131</v>
      </c>
      <c r="D6941" t="s">
        <v>176</v>
      </c>
      <c r="E6941">
        <v>3414911</v>
      </c>
      <c r="F6941">
        <v>84948</v>
      </c>
      <c r="G6941">
        <v>44037</v>
      </c>
      <c r="H6941">
        <f>_xlfn.XLOOKUP(FACT_IMPORTS[[#This Row],[hts_6]],DIM_PRODUCTS[hts_6],DIM_PRODUCTS[hts_4],,,)</f>
        <v>8501</v>
      </c>
      <c r="I6941" t="str" cm="1">
        <f t="array" ref="I6941">_xlfn.XLOOKUP(FACT_IMPORTS[[#This Row],[country_name]],DIM_COUNTRY[[#All],[Column2]],DIM_COUNTRY[[#All],[Column3]],,,)</f>
        <v>Major_Non-USMCA_Non-China</v>
      </c>
    </row>
    <row r="6942" spans="1:9" x14ac:dyDescent="0.4">
      <c r="A6942" t="s">
        <v>71</v>
      </c>
      <c r="B6942" s="1">
        <v>44958</v>
      </c>
      <c r="C6942">
        <v>850132</v>
      </c>
      <c r="D6942" t="s">
        <v>176</v>
      </c>
      <c r="E6942">
        <v>0</v>
      </c>
      <c r="F6942">
        <v>0</v>
      </c>
      <c r="G6942">
        <v>0</v>
      </c>
      <c r="H6942">
        <f>_xlfn.XLOOKUP(FACT_IMPORTS[[#This Row],[hts_6]],DIM_PRODUCTS[hts_6],DIM_PRODUCTS[hts_4],,,)</f>
        <v>8501</v>
      </c>
      <c r="I6942" t="str" cm="1">
        <f t="array" ref="I6942">_xlfn.XLOOKUP(FACT_IMPORTS[[#This Row],[country_name]],DIM_COUNTRY[[#All],[Column2]],DIM_COUNTRY[[#All],[Column3]],,,)</f>
        <v>Major_Non-USMCA_Non-China</v>
      </c>
    </row>
    <row r="6943" spans="1:9" x14ac:dyDescent="0.4">
      <c r="A6943" t="s">
        <v>71</v>
      </c>
      <c r="B6943" s="1">
        <v>44958</v>
      </c>
      <c r="C6943">
        <v>850133</v>
      </c>
      <c r="D6943" t="s">
        <v>176</v>
      </c>
      <c r="E6943">
        <v>0</v>
      </c>
      <c r="F6943">
        <v>0</v>
      </c>
      <c r="G6943">
        <v>0</v>
      </c>
      <c r="H6943">
        <f>_xlfn.XLOOKUP(FACT_IMPORTS[[#This Row],[hts_6]],DIM_PRODUCTS[hts_6],DIM_PRODUCTS[hts_4],,,)</f>
        <v>8501</v>
      </c>
      <c r="I6943" t="str" cm="1">
        <f t="array" ref="I6943">_xlfn.XLOOKUP(FACT_IMPORTS[[#This Row],[country_name]],DIM_COUNTRY[[#All],[Column2]],DIM_COUNTRY[[#All],[Column3]],,,)</f>
        <v>Major_Non-USMCA_Non-China</v>
      </c>
    </row>
    <row r="6944" spans="1:9" x14ac:dyDescent="0.4">
      <c r="A6944" t="s">
        <v>71</v>
      </c>
      <c r="B6944" s="1">
        <v>44958</v>
      </c>
      <c r="C6944">
        <v>850152</v>
      </c>
      <c r="D6944" t="s">
        <v>176</v>
      </c>
      <c r="E6944">
        <v>340000</v>
      </c>
      <c r="F6944">
        <v>495</v>
      </c>
      <c r="G6944">
        <v>21043</v>
      </c>
      <c r="H6944">
        <f>_xlfn.XLOOKUP(FACT_IMPORTS[[#This Row],[hts_6]],DIM_PRODUCTS[hts_6],DIM_PRODUCTS[hts_4],,,)</f>
        <v>8501</v>
      </c>
      <c r="I6944" t="str" cm="1">
        <f t="array" ref="I6944">_xlfn.XLOOKUP(FACT_IMPORTS[[#This Row],[country_name]],DIM_COUNTRY[[#All],[Column2]],DIM_COUNTRY[[#All],[Column3]],,,)</f>
        <v>Major_Non-USMCA_Non-China</v>
      </c>
    </row>
    <row r="6945" spans="1:9" x14ac:dyDescent="0.4">
      <c r="A6945" t="s">
        <v>71</v>
      </c>
      <c r="B6945" s="1">
        <v>44958</v>
      </c>
      <c r="C6945">
        <v>850153</v>
      </c>
      <c r="D6945" t="s">
        <v>176</v>
      </c>
      <c r="E6945">
        <v>0</v>
      </c>
      <c r="F6945">
        <v>0</v>
      </c>
      <c r="G6945">
        <v>0</v>
      </c>
      <c r="H6945">
        <f>_xlfn.XLOOKUP(FACT_IMPORTS[[#This Row],[hts_6]],DIM_PRODUCTS[hts_6],DIM_PRODUCTS[hts_4],,,)</f>
        <v>8501</v>
      </c>
      <c r="I6945" t="str" cm="1">
        <f t="array" ref="I6945">_xlfn.XLOOKUP(FACT_IMPORTS[[#This Row],[country_name]],DIM_COUNTRY[[#All],[Column2]],DIM_COUNTRY[[#All],[Column3]],,,)</f>
        <v>Major_Non-USMCA_Non-China</v>
      </c>
    </row>
    <row r="6946" spans="1:9" x14ac:dyDescent="0.4">
      <c r="A6946" t="s">
        <v>71</v>
      </c>
      <c r="B6946" s="1">
        <v>44958</v>
      </c>
      <c r="C6946">
        <v>850161</v>
      </c>
      <c r="D6946" t="s">
        <v>176</v>
      </c>
      <c r="E6946">
        <v>0</v>
      </c>
      <c r="F6946">
        <v>0</v>
      </c>
      <c r="G6946">
        <v>0</v>
      </c>
      <c r="H6946">
        <f>_xlfn.XLOOKUP(FACT_IMPORTS[[#This Row],[hts_6]],DIM_PRODUCTS[hts_6],DIM_PRODUCTS[hts_4],,,)</f>
        <v>8501</v>
      </c>
      <c r="I6946" t="str" cm="1">
        <f t="array" ref="I6946">_xlfn.XLOOKUP(FACT_IMPORTS[[#This Row],[country_name]],DIM_COUNTRY[[#All],[Column2]],DIM_COUNTRY[[#All],[Column3]],,,)</f>
        <v>Major_Non-USMCA_Non-China</v>
      </c>
    </row>
    <row r="6947" spans="1:9" x14ac:dyDescent="0.4">
      <c r="A6947" t="s">
        <v>71</v>
      </c>
      <c r="B6947" s="1">
        <v>44958</v>
      </c>
      <c r="C6947">
        <v>850440</v>
      </c>
      <c r="D6947" t="s">
        <v>176</v>
      </c>
      <c r="E6947">
        <v>470713</v>
      </c>
      <c r="F6947">
        <v>336</v>
      </c>
      <c r="G6947">
        <v>28575</v>
      </c>
      <c r="H6947">
        <f>_xlfn.XLOOKUP(FACT_IMPORTS[[#This Row],[hts_6]],DIM_PRODUCTS[hts_6],DIM_PRODUCTS[hts_4],,,)</f>
        <v>8504</v>
      </c>
      <c r="I6947" t="str" cm="1">
        <f t="array" ref="I6947">_xlfn.XLOOKUP(FACT_IMPORTS[[#This Row],[country_name]],DIM_COUNTRY[[#All],[Column2]],DIM_COUNTRY[[#All],[Column3]],,,)</f>
        <v>Major_Non-USMCA_Non-China</v>
      </c>
    </row>
    <row r="6948" spans="1:9" x14ac:dyDescent="0.4">
      <c r="A6948" t="s">
        <v>71</v>
      </c>
      <c r="B6948" s="1">
        <v>44958</v>
      </c>
      <c r="C6948">
        <v>850760</v>
      </c>
      <c r="D6948" t="s">
        <v>176</v>
      </c>
      <c r="E6948">
        <v>42898</v>
      </c>
      <c r="F6948">
        <v>142</v>
      </c>
      <c r="G6948">
        <v>539</v>
      </c>
      <c r="H6948">
        <f>_xlfn.XLOOKUP(FACT_IMPORTS[[#This Row],[hts_6]],DIM_PRODUCTS[hts_6],DIM_PRODUCTS[hts_4],,,)</f>
        <v>8507</v>
      </c>
      <c r="I6948" t="str" cm="1">
        <f t="array" ref="I6948">_xlfn.XLOOKUP(FACT_IMPORTS[[#This Row],[country_name]],DIM_COUNTRY[[#All],[Column2]],DIM_COUNTRY[[#All],[Column3]],,,)</f>
        <v>Major_Non-USMCA_Non-China</v>
      </c>
    </row>
    <row r="6949" spans="1:9" x14ac:dyDescent="0.4">
      <c r="A6949" t="s">
        <v>71</v>
      </c>
      <c r="B6949" s="1">
        <v>44958</v>
      </c>
      <c r="C6949">
        <v>850790</v>
      </c>
      <c r="D6949" t="s">
        <v>176</v>
      </c>
      <c r="E6949">
        <v>0</v>
      </c>
      <c r="F6949">
        <v>0</v>
      </c>
      <c r="G6949">
        <v>0</v>
      </c>
      <c r="H6949">
        <f>_xlfn.XLOOKUP(FACT_IMPORTS[[#This Row],[hts_6]],DIM_PRODUCTS[hts_6],DIM_PRODUCTS[hts_4],,,)</f>
        <v>8507</v>
      </c>
      <c r="I6949" t="str" cm="1">
        <f t="array" ref="I6949">_xlfn.XLOOKUP(FACT_IMPORTS[[#This Row],[country_name]],DIM_COUNTRY[[#All],[Column2]],DIM_COUNTRY[[#All],[Column3]],,,)</f>
        <v>Major_Non-USMCA_Non-China</v>
      </c>
    </row>
    <row r="6950" spans="1:9" x14ac:dyDescent="0.4">
      <c r="A6950" t="s">
        <v>71</v>
      </c>
      <c r="B6950" s="1">
        <v>44958</v>
      </c>
      <c r="C6950">
        <v>851110</v>
      </c>
      <c r="D6950" t="s">
        <v>176</v>
      </c>
      <c r="E6950">
        <v>95373</v>
      </c>
      <c r="F6950">
        <v>5205</v>
      </c>
      <c r="G6950">
        <v>1947</v>
      </c>
      <c r="H6950">
        <f>_xlfn.XLOOKUP(FACT_IMPORTS[[#This Row],[hts_6]],DIM_PRODUCTS[hts_6],DIM_PRODUCTS[hts_4],,,)</f>
        <v>8511</v>
      </c>
      <c r="I6950" t="str" cm="1">
        <f t="array" ref="I6950">_xlfn.XLOOKUP(FACT_IMPORTS[[#This Row],[country_name]],DIM_COUNTRY[[#All],[Column2]],DIM_COUNTRY[[#All],[Column3]],,,)</f>
        <v>Major_Non-USMCA_Non-China</v>
      </c>
    </row>
    <row r="6951" spans="1:9" x14ac:dyDescent="0.4">
      <c r="A6951" t="s">
        <v>71</v>
      </c>
      <c r="B6951" s="1">
        <v>44958</v>
      </c>
      <c r="C6951">
        <v>851130</v>
      </c>
      <c r="D6951" t="s">
        <v>176</v>
      </c>
      <c r="E6951">
        <v>44408</v>
      </c>
      <c r="F6951">
        <v>6852</v>
      </c>
      <c r="G6951">
        <v>925</v>
      </c>
      <c r="H6951">
        <f>_xlfn.XLOOKUP(FACT_IMPORTS[[#This Row],[hts_6]],DIM_PRODUCTS[hts_6],DIM_PRODUCTS[hts_4],,,)</f>
        <v>8511</v>
      </c>
      <c r="I6951" t="str" cm="1">
        <f t="array" ref="I6951">_xlfn.XLOOKUP(FACT_IMPORTS[[#This Row],[country_name]],DIM_COUNTRY[[#All],[Column2]],DIM_COUNTRY[[#All],[Column3]],,,)</f>
        <v>Major_Non-USMCA_Non-China</v>
      </c>
    </row>
    <row r="6952" spans="1:9" x14ac:dyDescent="0.4">
      <c r="A6952" t="s">
        <v>71</v>
      </c>
      <c r="B6952" s="1">
        <v>44958</v>
      </c>
      <c r="C6952">
        <v>851140</v>
      </c>
      <c r="D6952" t="s">
        <v>176</v>
      </c>
      <c r="E6952">
        <v>495870</v>
      </c>
      <c r="F6952">
        <v>9492</v>
      </c>
      <c r="G6952">
        <v>25002</v>
      </c>
      <c r="H6952">
        <f>_xlfn.XLOOKUP(FACT_IMPORTS[[#This Row],[hts_6]],DIM_PRODUCTS[hts_6],DIM_PRODUCTS[hts_4],,,)</f>
        <v>8511</v>
      </c>
      <c r="I6952" t="str" cm="1">
        <f t="array" ref="I6952">_xlfn.XLOOKUP(FACT_IMPORTS[[#This Row],[country_name]],DIM_COUNTRY[[#All],[Column2]],DIM_COUNTRY[[#All],[Column3]],,,)</f>
        <v>Major_Non-USMCA_Non-China</v>
      </c>
    </row>
    <row r="6953" spans="1:9" x14ac:dyDescent="0.4">
      <c r="A6953" t="s">
        <v>71</v>
      </c>
      <c r="B6953" s="1">
        <v>44958</v>
      </c>
      <c r="C6953">
        <v>851150</v>
      </c>
      <c r="D6953" t="s">
        <v>176</v>
      </c>
      <c r="E6953">
        <v>118093</v>
      </c>
      <c r="F6953">
        <v>1055</v>
      </c>
      <c r="G6953">
        <v>5483</v>
      </c>
      <c r="H6953">
        <f>_xlfn.XLOOKUP(FACT_IMPORTS[[#This Row],[hts_6]],DIM_PRODUCTS[hts_6],DIM_PRODUCTS[hts_4],,,)</f>
        <v>8511</v>
      </c>
      <c r="I6953" t="str" cm="1">
        <f t="array" ref="I6953">_xlfn.XLOOKUP(FACT_IMPORTS[[#This Row],[country_name]],DIM_COUNTRY[[#All],[Column2]],DIM_COUNTRY[[#All],[Column3]],,,)</f>
        <v>Major_Non-USMCA_Non-China</v>
      </c>
    </row>
    <row r="6954" spans="1:9" x14ac:dyDescent="0.4">
      <c r="A6954" t="s">
        <v>71</v>
      </c>
      <c r="B6954" s="1">
        <v>44958</v>
      </c>
      <c r="C6954">
        <v>851180</v>
      </c>
      <c r="D6954" t="s">
        <v>176</v>
      </c>
      <c r="E6954">
        <v>0</v>
      </c>
      <c r="F6954">
        <v>0</v>
      </c>
      <c r="G6954">
        <v>0</v>
      </c>
      <c r="H6954">
        <f>_xlfn.XLOOKUP(FACT_IMPORTS[[#This Row],[hts_6]],DIM_PRODUCTS[hts_6],DIM_PRODUCTS[hts_4],,,)</f>
        <v>8511</v>
      </c>
      <c r="I6954" t="str" cm="1">
        <f t="array" ref="I6954">_xlfn.XLOOKUP(FACT_IMPORTS[[#This Row],[country_name]],DIM_COUNTRY[[#All],[Column2]],DIM_COUNTRY[[#All],[Column3]],,,)</f>
        <v>Major_Non-USMCA_Non-China</v>
      </c>
    </row>
    <row r="6955" spans="1:9" x14ac:dyDescent="0.4">
      <c r="A6955" t="s">
        <v>71</v>
      </c>
      <c r="B6955" s="1">
        <v>44958</v>
      </c>
      <c r="C6955">
        <v>851190</v>
      </c>
      <c r="D6955" t="s">
        <v>176</v>
      </c>
      <c r="E6955">
        <v>0</v>
      </c>
      <c r="F6955">
        <v>0</v>
      </c>
      <c r="G6955">
        <v>0</v>
      </c>
      <c r="H6955">
        <f>_xlfn.XLOOKUP(FACT_IMPORTS[[#This Row],[hts_6]],DIM_PRODUCTS[hts_6],DIM_PRODUCTS[hts_4],,,)</f>
        <v>8511</v>
      </c>
      <c r="I6955" t="str" cm="1">
        <f t="array" ref="I6955">_xlfn.XLOOKUP(FACT_IMPORTS[[#This Row],[country_name]],DIM_COUNTRY[[#All],[Column2]],DIM_COUNTRY[[#All],[Column3]],,,)</f>
        <v>Major_Non-USMCA_Non-China</v>
      </c>
    </row>
    <row r="6956" spans="1:9" x14ac:dyDescent="0.4">
      <c r="A6956" t="s">
        <v>71</v>
      </c>
      <c r="B6956" s="1">
        <v>44958</v>
      </c>
      <c r="C6956">
        <v>851220</v>
      </c>
      <c r="D6956" t="s">
        <v>176</v>
      </c>
      <c r="E6956">
        <v>11534</v>
      </c>
      <c r="F6956">
        <v>34</v>
      </c>
      <c r="G6956">
        <v>1250</v>
      </c>
      <c r="H6956">
        <f>_xlfn.XLOOKUP(FACT_IMPORTS[[#This Row],[hts_6]],DIM_PRODUCTS[hts_6],DIM_PRODUCTS[hts_4],,,)</f>
        <v>8512</v>
      </c>
      <c r="I6956" t="str" cm="1">
        <f t="array" ref="I6956">_xlfn.XLOOKUP(FACT_IMPORTS[[#This Row],[country_name]],DIM_COUNTRY[[#All],[Column2]],DIM_COUNTRY[[#All],[Column3]],,,)</f>
        <v>Major_Non-USMCA_Non-China</v>
      </c>
    </row>
    <row r="6957" spans="1:9" x14ac:dyDescent="0.4">
      <c r="A6957" t="s">
        <v>71</v>
      </c>
      <c r="B6957" s="1">
        <v>44958</v>
      </c>
      <c r="C6957">
        <v>851230</v>
      </c>
      <c r="D6957" t="s">
        <v>176</v>
      </c>
      <c r="E6957">
        <v>49683</v>
      </c>
      <c r="F6957">
        <v>5088</v>
      </c>
      <c r="G6957">
        <v>994</v>
      </c>
      <c r="H6957">
        <f>_xlfn.XLOOKUP(FACT_IMPORTS[[#This Row],[hts_6]],DIM_PRODUCTS[hts_6],DIM_PRODUCTS[hts_4],,,)</f>
        <v>8512</v>
      </c>
      <c r="I6957" t="str" cm="1">
        <f t="array" ref="I6957">_xlfn.XLOOKUP(FACT_IMPORTS[[#This Row],[country_name]],DIM_COUNTRY[[#All],[Column2]],DIM_COUNTRY[[#All],[Column3]],,,)</f>
        <v>Major_Non-USMCA_Non-China</v>
      </c>
    </row>
    <row r="6958" spans="1:9" x14ac:dyDescent="0.4">
      <c r="A6958" t="s">
        <v>71</v>
      </c>
      <c r="B6958" s="1">
        <v>44958</v>
      </c>
      <c r="C6958">
        <v>851290</v>
      </c>
      <c r="D6958" t="s">
        <v>176</v>
      </c>
      <c r="E6958">
        <v>18499</v>
      </c>
      <c r="F6958">
        <v>4629</v>
      </c>
      <c r="G6958">
        <v>33292</v>
      </c>
      <c r="H6958">
        <f>_xlfn.XLOOKUP(FACT_IMPORTS[[#This Row],[hts_6]],DIM_PRODUCTS[hts_6],DIM_PRODUCTS[hts_4],,,)</f>
        <v>8512</v>
      </c>
      <c r="I6958" t="str" cm="1">
        <f t="array" ref="I6958">_xlfn.XLOOKUP(FACT_IMPORTS[[#This Row],[country_name]],DIM_COUNTRY[[#All],[Column2]],DIM_COUNTRY[[#All],[Column3]],,,)</f>
        <v>Major_Non-USMCA_Non-China</v>
      </c>
    </row>
    <row r="6959" spans="1:9" x14ac:dyDescent="0.4">
      <c r="A6959" t="s">
        <v>71</v>
      </c>
      <c r="B6959" s="1">
        <v>44958</v>
      </c>
      <c r="C6959">
        <v>854231</v>
      </c>
      <c r="D6959" t="s">
        <v>176</v>
      </c>
      <c r="E6959">
        <v>233070</v>
      </c>
      <c r="F6959">
        <v>40397</v>
      </c>
      <c r="G6959">
        <v>2981</v>
      </c>
      <c r="H6959">
        <f>_xlfn.XLOOKUP(FACT_IMPORTS[[#This Row],[hts_6]],DIM_PRODUCTS[hts_6],DIM_PRODUCTS[hts_4],,,)</f>
        <v>8542</v>
      </c>
      <c r="I6959" t="str" cm="1">
        <f t="array" ref="I6959">_xlfn.XLOOKUP(FACT_IMPORTS[[#This Row],[country_name]],DIM_COUNTRY[[#All],[Column2]],DIM_COUNTRY[[#All],[Column3]],,,)</f>
        <v>Major_Non-USMCA_Non-China</v>
      </c>
    </row>
    <row r="6960" spans="1:9" x14ac:dyDescent="0.4">
      <c r="A6960" t="s">
        <v>71</v>
      </c>
      <c r="B6960" s="1">
        <v>44958</v>
      </c>
      <c r="C6960">
        <v>854232</v>
      </c>
      <c r="D6960" t="s">
        <v>176</v>
      </c>
      <c r="E6960">
        <v>0</v>
      </c>
      <c r="F6960">
        <v>0</v>
      </c>
      <c r="G6960">
        <v>0</v>
      </c>
      <c r="H6960">
        <f>_xlfn.XLOOKUP(FACT_IMPORTS[[#This Row],[hts_6]],DIM_PRODUCTS[hts_6],DIM_PRODUCTS[hts_4],,,)</f>
        <v>8542</v>
      </c>
      <c r="I6960" t="str" cm="1">
        <f t="array" ref="I6960">_xlfn.XLOOKUP(FACT_IMPORTS[[#This Row],[country_name]],DIM_COUNTRY[[#All],[Column2]],DIM_COUNTRY[[#All],[Column3]],,,)</f>
        <v>Major_Non-USMCA_Non-China</v>
      </c>
    </row>
    <row r="6961" spans="1:9" x14ac:dyDescent="0.4">
      <c r="A6961" t="s">
        <v>71</v>
      </c>
      <c r="B6961" s="1">
        <v>44958</v>
      </c>
      <c r="C6961">
        <v>854233</v>
      </c>
      <c r="D6961" t="s">
        <v>176</v>
      </c>
      <c r="E6961">
        <v>0</v>
      </c>
      <c r="F6961">
        <v>0</v>
      </c>
      <c r="G6961">
        <v>0</v>
      </c>
      <c r="H6961">
        <f>_xlfn.XLOOKUP(FACT_IMPORTS[[#This Row],[hts_6]],DIM_PRODUCTS[hts_6],DIM_PRODUCTS[hts_4],,,)</f>
        <v>8542</v>
      </c>
      <c r="I6961" t="str" cm="1">
        <f t="array" ref="I6961">_xlfn.XLOOKUP(FACT_IMPORTS[[#This Row],[country_name]],DIM_COUNTRY[[#All],[Column2]],DIM_COUNTRY[[#All],[Column3]],,,)</f>
        <v>Major_Non-USMCA_Non-China</v>
      </c>
    </row>
    <row r="6962" spans="1:9" x14ac:dyDescent="0.4">
      <c r="A6962" t="s">
        <v>71</v>
      </c>
      <c r="B6962" s="1">
        <v>44958</v>
      </c>
      <c r="C6962">
        <v>854239</v>
      </c>
      <c r="D6962" t="s">
        <v>176</v>
      </c>
      <c r="E6962">
        <v>0</v>
      </c>
      <c r="F6962">
        <v>0</v>
      </c>
      <c r="G6962">
        <v>0</v>
      </c>
      <c r="H6962">
        <f>_xlfn.XLOOKUP(FACT_IMPORTS[[#This Row],[hts_6]],DIM_PRODUCTS[hts_6],DIM_PRODUCTS[hts_4],,,)</f>
        <v>8542</v>
      </c>
      <c r="I6962" t="str" cm="1">
        <f t="array" ref="I6962">_xlfn.XLOOKUP(FACT_IMPORTS[[#This Row],[country_name]],DIM_COUNTRY[[#All],[Column2]],DIM_COUNTRY[[#All],[Column3]],,,)</f>
        <v>Major_Non-USMCA_Non-China</v>
      </c>
    </row>
    <row r="6963" spans="1:9" x14ac:dyDescent="0.4">
      <c r="A6963" t="s">
        <v>71</v>
      </c>
      <c r="B6963" s="1">
        <v>44958</v>
      </c>
      <c r="C6963">
        <v>854430</v>
      </c>
      <c r="D6963" t="s">
        <v>176</v>
      </c>
      <c r="E6963">
        <v>2967</v>
      </c>
      <c r="F6963">
        <v>1</v>
      </c>
      <c r="G6963">
        <v>10</v>
      </c>
      <c r="H6963">
        <f>_xlfn.XLOOKUP(FACT_IMPORTS[[#This Row],[hts_6]],DIM_PRODUCTS[hts_6],DIM_PRODUCTS[hts_4],,,)</f>
        <v>8544</v>
      </c>
      <c r="I6963" t="str" cm="1">
        <f t="array" ref="I6963">_xlfn.XLOOKUP(FACT_IMPORTS[[#This Row],[country_name]],DIM_COUNTRY[[#All],[Column2]],DIM_COUNTRY[[#All],[Column3]],,,)</f>
        <v>Major_Non-USMCA_Non-China</v>
      </c>
    </row>
    <row r="6964" spans="1:9" x14ac:dyDescent="0.4">
      <c r="A6964" t="s">
        <v>71</v>
      </c>
      <c r="B6964" s="1">
        <v>44958</v>
      </c>
      <c r="C6964">
        <v>870710</v>
      </c>
      <c r="D6964" t="s">
        <v>176</v>
      </c>
      <c r="E6964">
        <v>0</v>
      </c>
      <c r="F6964">
        <v>0</v>
      </c>
      <c r="G6964">
        <v>0</v>
      </c>
      <c r="H6964">
        <f>_xlfn.XLOOKUP(FACT_IMPORTS[[#This Row],[hts_6]],DIM_PRODUCTS[hts_6],DIM_PRODUCTS[hts_4],,,)</f>
        <v>8707</v>
      </c>
      <c r="I6964" t="str" cm="1">
        <f t="array" ref="I6964">_xlfn.XLOOKUP(FACT_IMPORTS[[#This Row],[country_name]],DIM_COUNTRY[[#All],[Column2]],DIM_COUNTRY[[#All],[Column3]],,,)</f>
        <v>Major_Non-USMCA_Non-China</v>
      </c>
    </row>
    <row r="6965" spans="1:9" x14ac:dyDescent="0.4">
      <c r="A6965" t="s">
        <v>71</v>
      </c>
      <c r="B6965" s="1">
        <v>44958</v>
      </c>
      <c r="C6965">
        <v>870790</v>
      </c>
      <c r="D6965" t="s">
        <v>176</v>
      </c>
      <c r="E6965">
        <v>9158</v>
      </c>
      <c r="F6965">
        <v>1</v>
      </c>
      <c r="G6965">
        <v>455</v>
      </c>
      <c r="H6965">
        <f>_xlfn.XLOOKUP(FACT_IMPORTS[[#This Row],[hts_6]],DIM_PRODUCTS[hts_6],DIM_PRODUCTS[hts_4],,,)</f>
        <v>8707</v>
      </c>
      <c r="I6965" t="str" cm="1">
        <f t="array" ref="I6965">_xlfn.XLOOKUP(FACT_IMPORTS[[#This Row],[country_name]],DIM_COUNTRY[[#All],[Column2]],DIM_COUNTRY[[#All],[Column3]],,,)</f>
        <v>Major_Non-USMCA_Non-China</v>
      </c>
    </row>
    <row r="6966" spans="1:9" x14ac:dyDescent="0.4">
      <c r="A6966" t="s">
        <v>71</v>
      </c>
      <c r="B6966" s="1">
        <v>44958</v>
      </c>
      <c r="C6966">
        <v>870810</v>
      </c>
      <c r="D6966" t="s">
        <v>176</v>
      </c>
      <c r="E6966">
        <v>0</v>
      </c>
      <c r="F6966">
        <v>0</v>
      </c>
      <c r="G6966">
        <v>0</v>
      </c>
      <c r="H6966">
        <f>_xlfn.XLOOKUP(FACT_IMPORTS[[#This Row],[hts_6]],DIM_PRODUCTS[hts_6],DIM_PRODUCTS[hts_4],,,)</f>
        <v>8708</v>
      </c>
      <c r="I6966" t="str" cm="1">
        <f t="array" ref="I6966">_xlfn.XLOOKUP(FACT_IMPORTS[[#This Row],[country_name]],DIM_COUNTRY[[#All],[Column2]],DIM_COUNTRY[[#All],[Column3]],,,)</f>
        <v>Major_Non-USMCA_Non-China</v>
      </c>
    </row>
    <row r="6967" spans="1:9" x14ac:dyDescent="0.4">
      <c r="A6967" t="s">
        <v>71</v>
      </c>
      <c r="B6967" s="1">
        <v>44958</v>
      </c>
      <c r="C6967">
        <v>870829</v>
      </c>
      <c r="D6967" t="s">
        <v>176</v>
      </c>
      <c r="E6967">
        <v>4445538</v>
      </c>
      <c r="F6967">
        <v>378649</v>
      </c>
      <c r="G6967">
        <v>46157</v>
      </c>
      <c r="H6967">
        <f>_xlfn.XLOOKUP(FACT_IMPORTS[[#This Row],[hts_6]],DIM_PRODUCTS[hts_6],DIM_PRODUCTS[hts_4],,,)</f>
        <v>8708</v>
      </c>
      <c r="I6967" t="str" cm="1">
        <f t="array" ref="I6967">_xlfn.XLOOKUP(FACT_IMPORTS[[#This Row],[country_name]],DIM_COUNTRY[[#All],[Column2]],DIM_COUNTRY[[#All],[Column3]],,,)</f>
        <v>Major_Non-USMCA_Non-China</v>
      </c>
    </row>
    <row r="6968" spans="1:9" x14ac:dyDescent="0.4">
      <c r="A6968" t="s">
        <v>71</v>
      </c>
      <c r="B6968" s="1">
        <v>44958</v>
      </c>
      <c r="C6968">
        <v>870830</v>
      </c>
      <c r="D6968" t="s">
        <v>176</v>
      </c>
      <c r="E6968">
        <v>1007366</v>
      </c>
      <c r="F6968">
        <v>129626</v>
      </c>
      <c r="G6968">
        <v>39539</v>
      </c>
      <c r="H6968">
        <f>_xlfn.XLOOKUP(FACT_IMPORTS[[#This Row],[hts_6]],DIM_PRODUCTS[hts_6],DIM_PRODUCTS[hts_4],,,)</f>
        <v>8708</v>
      </c>
      <c r="I6968" t="str" cm="1">
        <f t="array" ref="I6968">_xlfn.XLOOKUP(FACT_IMPORTS[[#This Row],[country_name]],DIM_COUNTRY[[#All],[Column2]],DIM_COUNTRY[[#All],[Column3]],,,)</f>
        <v>Major_Non-USMCA_Non-China</v>
      </c>
    </row>
    <row r="6969" spans="1:9" x14ac:dyDescent="0.4">
      <c r="A6969" t="s">
        <v>71</v>
      </c>
      <c r="B6969" s="1">
        <v>44958</v>
      </c>
      <c r="C6969">
        <v>870840</v>
      </c>
      <c r="D6969" t="s">
        <v>176</v>
      </c>
      <c r="E6969">
        <v>2231959</v>
      </c>
      <c r="F6969">
        <v>2437</v>
      </c>
      <c r="G6969">
        <v>82236</v>
      </c>
      <c r="H6969">
        <f>_xlfn.XLOOKUP(FACT_IMPORTS[[#This Row],[hts_6]],DIM_PRODUCTS[hts_6],DIM_PRODUCTS[hts_4],,,)</f>
        <v>8708</v>
      </c>
      <c r="I6969" t="str" cm="1">
        <f t="array" ref="I6969">_xlfn.XLOOKUP(FACT_IMPORTS[[#This Row],[country_name]],DIM_COUNTRY[[#All],[Column2]],DIM_COUNTRY[[#All],[Column3]],,,)</f>
        <v>Major_Non-USMCA_Non-China</v>
      </c>
    </row>
    <row r="6970" spans="1:9" x14ac:dyDescent="0.4">
      <c r="A6970" t="s">
        <v>71</v>
      </c>
      <c r="B6970" s="1">
        <v>44958</v>
      </c>
      <c r="C6970">
        <v>870850</v>
      </c>
      <c r="D6970" t="s">
        <v>176</v>
      </c>
      <c r="E6970">
        <v>827046</v>
      </c>
      <c r="F6970">
        <v>220</v>
      </c>
      <c r="G6970">
        <v>2035</v>
      </c>
      <c r="H6970">
        <f>_xlfn.XLOOKUP(FACT_IMPORTS[[#This Row],[hts_6]],DIM_PRODUCTS[hts_6],DIM_PRODUCTS[hts_4],,,)</f>
        <v>8708</v>
      </c>
      <c r="I6970" t="str" cm="1">
        <f t="array" ref="I6970">_xlfn.XLOOKUP(FACT_IMPORTS[[#This Row],[country_name]],DIM_COUNTRY[[#All],[Column2]],DIM_COUNTRY[[#All],[Column3]],,,)</f>
        <v>Major_Non-USMCA_Non-China</v>
      </c>
    </row>
    <row r="6971" spans="1:9" x14ac:dyDescent="0.4">
      <c r="A6971" t="s">
        <v>71</v>
      </c>
      <c r="B6971" s="1">
        <v>44958</v>
      </c>
      <c r="C6971">
        <v>870870</v>
      </c>
      <c r="D6971" t="s">
        <v>176</v>
      </c>
      <c r="E6971">
        <v>0</v>
      </c>
      <c r="F6971">
        <v>0</v>
      </c>
      <c r="G6971">
        <v>0</v>
      </c>
      <c r="H6971">
        <f>_xlfn.XLOOKUP(FACT_IMPORTS[[#This Row],[hts_6]],DIM_PRODUCTS[hts_6],DIM_PRODUCTS[hts_4],,,)</f>
        <v>8708</v>
      </c>
      <c r="I6971" t="str" cm="1">
        <f t="array" ref="I6971">_xlfn.XLOOKUP(FACT_IMPORTS[[#This Row],[country_name]],DIM_COUNTRY[[#All],[Column2]],DIM_COUNTRY[[#All],[Column3]],,,)</f>
        <v>Major_Non-USMCA_Non-China</v>
      </c>
    </row>
    <row r="6972" spans="1:9" x14ac:dyDescent="0.4">
      <c r="A6972" t="s">
        <v>71</v>
      </c>
      <c r="B6972" s="1">
        <v>44958</v>
      </c>
      <c r="C6972">
        <v>870880</v>
      </c>
      <c r="D6972" t="s">
        <v>176</v>
      </c>
      <c r="E6972">
        <v>420803</v>
      </c>
      <c r="F6972">
        <v>29148</v>
      </c>
      <c r="G6972">
        <v>33371</v>
      </c>
      <c r="H6972">
        <f>_xlfn.XLOOKUP(FACT_IMPORTS[[#This Row],[hts_6]],DIM_PRODUCTS[hts_6],DIM_PRODUCTS[hts_4],,,)</f>
        <v>8708</v>
      </c>
      <c r="I6972" t="str" cm="1">
        <f t="array" ref="I6972">_xlfn.XLOOKUP(FACT_IMPORTS[[#This Row],[country_name]],DIM_COUNTRY[[#All],[Column2]],DIM_COUNTRY[[#All],[Column3]],,,)</f>
        <v>Major_Non-USMCA_Non-China</v>
      </c>
    </row>
    <row r="6973" spans="1:9" x14ac:dyDescent="0.4">
      <c r="A6973" t="s">
        <v>71</v>
      </c>
      <c r="B6973" s="1">
        <v>44958</v>
      </c>
      <c r="C6973">
        <v>870891</v>
      </c>
      <c r="D6973" t="s">
        <v>176</v>
      </c>
      <c r="E6973">
        <v>227158</v>
      </c>
      <c r="F6973">
        <v>143409</v>
      </c>
      <c r="G6973">
        <v>3796</v>
      </c>
      <c r="H6973">
        <f>_xlfn.XLOOKUP(FACT_IMPORTS[[#This Row],[hts_6]],DIM_PRODUCTS[hts_6],DIM_PRODUCTS[hts_4],,,)</f>
        <v>8708</v>
      </c>
      <c r="I6973" t="str" cm="1">
        <f t="array" ref="I6973">_xlfn.XLOOKUP(FACT_IMPORTS[[#This Row],[country_name]],DIM_COUNTRY[[#All],[Column2]],DIM_COUNTRY[[#All],[Column3]],,,)</f>
        <v>Major_Non-USMCA_Non-China</v>
      </c>
    </row>
    <row r="6974" spans="1:9" x14ac:dyDescent="0.4">
      <c r="A6974" t="s">
        <v>71</v>
      </c>
      <c r="B6974" s="1">
        <v>44958</v>
      </c>
      <c r="C6974">
        <v>870892</v>
      </c>
      <c r="D6974" t="s">
        <v>176</v>
      </c>
      <c r="E6974">
        <v>0</v>
      </c>
      <c r="F6974">
        <v>0</v>
      </c>
      <c r="G6974">
        <v>0</v>
      </c>
      <c r="H6974">
        <f>_xlfn.XLOOKUP(FACT_IMPORTS[[#This Row],[hts_6]],DIM_PRODUCTS[hts_6],DIM_PRODUCTS[hts_4],,,)</f>
        <v>8708</v>
      </c>
      <c r="I6974" t="str" cm="1">
        <f t="array" ref="I6974">_xlfn.XLOOKUP(FACT_IMPORTS[[#This Row],[country_name]],DIM_COUNTRY[[#All],[Column2]],DIM_COUNTRY[[#All],[Column3]],,,)</f>
        <v>Major_Non-USMCA_Non-China</v>
      </c>
    </row>
    <row r="6975" spans="1:9" x14ac:dyDescent="0.4">
      <c r="A6975" t="s">
        <v>71</v>
      </c>
      <c r="B6975" s="1">
        <v>44958</v>
      </c>
      <c r="C6975">
        <v>870893</v>
      </c>
      <c r="D6975" t="s">
        <v>176</v>
      </c>
      <c r="E6975">
        <v>535660</v>
      </c>
      <c r="F6975">
        <v>232043</v>
      </c>
      <c r="G6975">
        <v>9589</v>
      </c>
      <c r="H6975">
        <f>_xlfn.XLOOKUP(FACT_IMPORTS[[#This Row],[hts_6]],DIM_PRODUCTS[hts_6],DIM_PRODUCTS[hts_4],,,)</f>
        <v>8708</v>
      </c>
      <c r="I6975" t="str" cm="1">
        <f t="array" ref="I6975">_xlfn.XLOOKUP(FACT_IMPORTS[[#This Row],[country_name]],DIM_COUNTRY[[#All],[Column2]],DIM_COUNTRY[[#All],[Column3]],,,)</f>
        <v>Major_Non-USMCA_Non-China</v>
      </c>
    </row>
    <row r="6976" spans="1:9" x14ac:dyDescent="0.4">
      <c r="A6976" t="s">
        <v>71</v>
      </c>
      <c r="B6976" s="1">
        <v>44958</v>
      </c>
      <c r="C6976">
        <v>870894</v>
      </c>
      <c r="D6976" t="s">
        <v>176</v>
      </c>
      <c r="E6976">
        <v>172811</v>
      </c>
      <c r="F6976">
        <v>5987</v>
      </c>
      <c r="G6976">
        <v>8479</v>
      </c>
      <c r="H6976">
        <f>_xlfn.XLOOKUP(FACT_IMPORTS[[#This Row],[hts_6]],DIM_PRODUCTS[hts_6],DIM_PRODUCTS[hts_4],,,)</f>
        <v>8708</v>
      </c>
      <c r="I6976" t="str" cm="1">
        <f t="array" ref="I6976">_xlfn.XLOOKUP(FACT_IMPORTS[[#This Row],[country_name]],DIM_COUNTRY[[#All],[Column2]],DIM_COUNTRY[[#All],[Column3]],,,)</f>
        <v>Major_Non-USMCA_Non-China</v>
      </c>
    </row>
    <row r="6977" spans="1:9" x14ac:dyDescent="0.4">
      <c r="A6977" t="s">
        <v>71</v>
      </c>
      <c r="B6977" s="1">
        <v>44958</v>
      </c>
      <c r="C6977">
        <v>870895</v>
      </c>
      <c r="D6977" t="s">
        <v>176</v>
      </c>
      <c r="E6977">
        <v>10158</v>
      </c>
      <c r="F6977">
        <v>1120</v>
      </c>
      <c r="G6977">
        <v>2784</v>
      </c>
      <c r="H6977">
        <f>_xlfn.XLOOKUP(FACT_IMPORTS[[#This Row],[hts_6]],DIM_PRODUCTS[hts_6],DIM_PRODUCTS[hts_4],,,)</f>
        <v>8708</v>
      </c>
      <c r="I6977" t="str" cm="1">
        <f t="array" ref="I6977">_xlfn.XLOOKUP(FACT_IMPORTS[[#This Row],[country_name]],DIM_COUNTRY[[#All],[Column2]],DIM_COUNTRY[[#All],[Column3]],,,)</f>
        <v>Major_Non-USMCA_Non-China</v>
      </c>
    </row>
    <row r="6978" spans="1:9" x14ac:dyDescent="0.4">
      <c r="A6978" t="s">
        <v>71</v>
      </c>
      <c r="B6978" s="1">
        <v>44958</v>
      </c>
      <c r="C6978">
        <v>870899</v>
      </c>
      <c r="D6978" t="s">
        <v>176</v>
      </c>
      <c r="E6978">
        <v>2606571</v>
      </c>
      <c r="F6978">
        <v>1144541</v>
      </c>
      <c r="G6978">
        <v>113576</v>
      </c>
      <c r="H6978">
        <f>_xlfn.XLOOKUP(FACT_IMPORTS[[#This Row],[hts_6]],DIM_PRODUCTS[hts_6],DIM_PRODUCTS[hts_4],,,)</f>
        <v>8708</v>
      </c>
      <c r="I6978" t="str" cm="1">
        <f t="array" ref="I6978">_xlfn.XLOOKUP(FACT_IMPORTS[[#This Row],[country_name]],DIM_COUNTRY[[#All],[Column2]],DIM_COUNTRY[[#All],[Column3]],,,)</f>
        <v>Major_Non-USMCA_Non-China</v>
      </c>
    </row>
    <row r="6979" spans="1:9" x14ac:dyDescent="0.4">
      <c r="A6979" t="s">
        <v>71</v>
      </c>
      <c r="B6979" s="1">
        <v>44958</v>
      </c>
      <c r="C6979">
        <v>940120</v>
      </c>
      <c r="D6979" t="s">
        <v>176</v>
      </c>
      <c r="E6979">
        <v>595</v>
      </c>
      <c r="F6979">
        <v>1</v>
      </c>
      <c r="G6979">
        <v>150</v>
      </c>
      <c r="H6979">
        <f>_xlfn.XLOOKUP(FACT_IMPORTS[[#This Row],[hts_6]],DIM_PRODUCTS[hts_6],DIM_PRODUCTS[hts_4],,,)</f>
        <v>9401</v>
      </c>
      <c r="I6979" t="str" cm="1">
        <f t="array" ref="I6979">_xlfn.XLOOKUP(FACT_IMPORTS[[#This Row],[country_name]],DIM_COUNTRY[[#All],[Column2]],DIM_COUNTRY[[#All],[Column3]],,,)</f>
        <v>Major_Non-USMCA_Non-China</v>
      </c>
    </row>
    <row r="6980" spans="1:9" x14ac:dyDescent="0.4">
      <c r="A6980" t="s">
        <v>71</v>
      </c>
      <c r="B6980" s="1">
        <v>44986</v>
      </c>
      <c r="C6980">
        <v>392630</v>
      </c>
      <c r="D6980" t="s">
        <v>176</v>
      </c>
      <c r="E6980">
        <v>30210</v>
      </c>
      <c r="F6980">
        <v>1144</v>
      </c>
      <c r="G6980">
        <v>733</v>
      </c>
      <c r="H6980">
        <f>_xlfn.XLOOKUP(FACT_IMPORTS[[#This Row],[hts_6]],DIM_PRODUCTS[hts_6],DIM_PRODUCTS[hts_4],,,)</f>
        <v>3926</v>
      </c>
      <c r="I6980" t="str" cm="1">
        <f t="array" ref="I6980">_xlfn.XLOOKUP(FACT_IMPORTS[[#This Row],[country_name]],DIM_COUNTRY[[#All],[Column2]],DIM_COUNTRY[[#All],[Column3]],,,)</f>
        <v>Major_Non-USMCA_Non-China</v>
      </c>
    </row>
    <row r="6981" spans="1:9" x14ac:dyDescent="0.4">
      <c r="A6981" t="s">
        <v>71</v>
      </c>
      <c r="B6981" s="1">
        <v>44986</v>
      </c>
      <c r="C6981">
        <v>401110</v>
      </c>
      <c r="D6981" t="s">
        <v>176</v>
      </c>
      <c r="E6981">
        <v>160229</v>
      </c>
      <c r="F6981">
        <v>1567</v>
      </c>
      <c r="G6981">
        <v>3839</v>
      </c>
      <c r="H6981">
        <f>_xlfn.XLOOKUP(FACT_IMPORTS[[#This Row],[hts_6]],DIM_PRODUCTS[hts_6],DIM_PRODUCTS[hts_4],,,)</f>
        <v>4011</v>
      </c>
      <c r="I6981" t="str" cm="1">
        <f t="array" ref="I6981">_xlfn.XLOOKUP(FACT_IMPORTS[[#This Row],[country_name]],DIM_COUNTRY[[#All],[Column2]],DIM_COUNTRY[[#All],[Column3]],,,)</f>
        <v>Major_Non-USMCA_Non-China</v>
      </c>
    </row>
    <row r="6982" spans="1:9" x14ac:dyDescent="0.4">
      <c r="A6982" t="s">
        <v>71</v>
      </c>
      <c r="B6982" s="1">
        <v>44986</v>
      </c>
      <c r="C6982">
        <v>401120</v>
      </c>
      <c r="D6982" t="s">
        <v>176</v>
      </c>
      <c r="E6982">
        <v>141895</v>
      </c>
      <c r="F6982">
        <v>753</v>
      </c>
      <c r="G6982">
        <v>8538</v>
      </c>
      <c r="H6982">
        <f>_xlfn.XLOOKUP(FACT_IMPORTS[[#This Row],[hts_6]],DIM_PRODUCTS[hts_6],DIM_PRODUCTS[hts_4],,,)</f>
        <v>4011</v>
      </c>
      <c r="I6982" t="str" cm="1">
        <f t="array" ref="I6982">_xlfn.XLOOKUP(FACT_IMPORTS[[#This Row],[country_name]],DIM_COUNTRY[[#All],[Column2]],DIM_COUNTRY[[#All],[Column3]],,,)</f>
        <v>Major_Non-USMCA_Non-China</v>
      </c>
    </row>
    <row r="6983" spans="1:9" x14ac:dyDescent="0.4">
      <c r="A6983" t="s">
        <v>71</v>
      </c>
      <c r="B6983" s="1">
        <v>44986</v>
      </c>
      <c r="C6983">
        <v>401140</v>
      </c>
      <c r="D6983" t="s">
        <v>176</v>
      </c>
      <c r="E6983">
        <v>0</v>
      </c>
      <c r="F6983">
        <v>0</v>
      </c>
      <c r="G6983">
        <v>0</v>
      </c>
      <c r="H6983">
        <f>_xlfn.XLOOKUP(FACT_IMPORTS[[#This Row],[hts_6]],DIM_PRODUCTS[hts_6],DIM_PRODUCTS[hts_4],,,)</f>
        <v>4011</v>
      </c>
      <c r="I6983" t="str" cm="1">
        <f t="array" ref="I6983">_xlfn.XLOOKUP(FACT_IMPORTS[[#This Row],[country_name]],DIM_COUNTRY[[#All],[Column2]],DIM_COUNTRY[[#All],[Column3]],,,)</f>
        <v>Major_Non-USMCA_Non-China</v>
      </c>
    </row>
    <row r="6984" spans="1:9" x14ac:dyDescent="0.4">
      <c r="A6984" t="s">
        <v>71</v>
      </c>
      <c r="B6984" s="1">
        <v>44986</v>
      </c>
      <c r="C6984">
        <v>700721</v>
      </c>
      <c r="D6984" t="s">
        <v>176</v>
      </c>
      <c r="E6984">
        <v>0</v>
      </c>
      <c r="F6984">
        <v>0</v>
      </c>
      <c r="G6984">
        <v>0</v>
      </c>
      <c r="H6984">
        <f>_xlfn.XLOOKUP(FACT_IMPORTS[[#This Row],[hts_6]],DIM_PRODUCTS[hts_6],DIM_PRODUCTS[hts_4],,,)</f>
        <v>7007</v>
      </c>
      <c r="I6984" t="str" cm="1">
        <f t="array" ref="I6984">_xlfn.XLOOKUP(FACT_IMPORTS[[#This Row],[country_name]],DIM_COUNTRY[[#All],[Column2]],DIM_COUNTRY[[#All],[Column3]],,,)</f>
        <v>Major_Non-USMCA_Non-China</v>
      </c>
    </row>
    <row r="6985" spans="1:9" x14ac:dyDescent="0.4">
      <c r="A6985" t="s">
        <v>71</v>
      </c>
      <c r="B6985" s="1">
        <v>44986</v>
      </c>
      <c r="C6985">
        <v>700910</v>
      </c>
      <c r="D6985" t="s">
        <v>176</v>
      </c>
      <c r="E6985">
        <v>40382</v>
      </c>
      <c r="F6985">
        <v>2034</v>
      </c>
      <c r="G6985">
        <v>424</v>
      </c>
      <c r="H6985">
        <f>_xlfn.XLOOKUP(FACT_IMPORTS[[#This Row],[hts_6]],DIM_PRODUCTS[hts_6],DIM_PRODUCTS[hts_4],,,)</f>
        <v>7009</v>
      </c>
      <c r="I6985" t="str" cm="1">
        <f t="array" ref="I6985">_xlfn.XLOOKUP(FACT_IMPORTS[[#This Row],[country_name]],DIM_COUNTRY[[#All],[Column2]],DIM_COUNTRY[[#All],[Column3]],,,)</f>
        <v>Major_Non-USMCA_Non-China</v>
      </c>
    </row>
    <row r="6986" spans="1:9" x14ac:dyDescent="0.4">
      <c r="A6986" t="s">
        <v>71</v>
      </c>
      <c r="B6986" s="1">
        <v>44986</v>
      </c>
      <c r="C6986">
        <v>732010</v>
      </c>
      <c r="D6986" t="s">
        <v>176</v>
      </c>
      <c r="E6986">
        <v>0</v>
      </c>
      <c r="F6986">
        <v>0</v>
      </c>
      <c r="G6986">
        <v>0</v>
      </c>
      <c r="H6986">
        <f>_xlfn.XLOOKUP(FACT_IMPORTS[[#This Row],[hts_6]],DIM_PRODUCTS[hts_6],DIM_PRODUCTS[hts_4],,,)</f>
        <v>7320</v>
      </c>
      <c r="I6986" t="str" cm="1">
        <f t="array" ref="I6986">_xlfn.XLOOKUP(FACT_IMPORTS[[#This Row],[country_name]],DIM_COUNTRY[[#All],[Column2]],DIM_COUNTRY[[#All],[Column3]],,,)</f>
        <v>Major_Non-USMCA_Non-China</v>
      </c>
    </row>
    <row r="6987" spans="1:9" x14ac:dyDescent="0.4">
      <c r="A6987" t="s">
        <v>71</v>
      </c>
      <c r="B6987" s="1">
        <v>44986</v>
      </c>
      <c r="C6987">
        <v>830230</v>
      </c>
      <c r="D6987" t="s">
        <v>176</v>
      </c>
      <c r="E6987">
        <v>69994</v>
      </c>
      <c r="F6987">
        <v>8010</v>
      </c>
      <c r="G6987">
        <v>2900</v>
      </c>
      <c r="H6987">
        <f>_xlfn.XLOOKUP(FACT_IMPORTS[[#This Row],[hts_6]],DIM_PRODUCTS[hts_6],DIM_PRODUCTS[hts_4],,,)</f>
        <v>8302</v>
      </c>
      <c r="I6987" t="str" cm="1">
        <f t="array" ref="I6987">_xlfn.XLOOKUP(FACT_IMPORTS[[#This Row],[country_name]],DIM_COUNTRY[[#All],[Column2]],DIM_COUNTRY[[#All],[Column3]],,,)</f>
        <v>Major_Non-USMCA_Non-China</v>
      </c>
    </row>
    <row r="6988" spans="1:9" x14ac:dyDescent="0.4">
      <c r="A6988" t="s">
        <v>71</v>
      </c>
      <c r="B6988" s="1">
        <v>44986</v>
      </c>
      <c r="C6988">
        <v>840734</v>
      </c>
      <c r="D6988" t="s">
        <v>176</v>
      </c>
      <c r="E6988">
        <v>611713</v>
      </c>
      <c r="F6988">
        <v>35</v>
      </c>
      <c r="G6988">
        <v>44812</v>
      </c>
      <c r="H6988">
        <f>_xlfn.XLOOKUP(FACT_IMPORTS[[#This Row],[hts_6]],DIM_PRODUCTS[hts_6],DIM_PRODUCTS[hts_4],,,)</f>
        <v>8407</v>
      </c>
      <c r="I6988" t="str" cm="1">
        <f t="array" ref="I6988">_xlfn.XLOOKUP(FACT_IMPORTS[[#This Row],[country_name]],DIM_COUNTRY[[#All],[Column2]],DIM_COUNTRY[[#All],[Column3]],,,)</f>
        <v>Major_Non-USMCA_Non-China</v>
      </c>
    </row>
    <row r="6989" spans="1:9" x14ac:dyDescent="0.4">
      <c r="A6989" t="s">
        <v>71</v>
      </c>
      <c r="B6989" s="1">
        <v>44986</v>
      </c>
      <c r="C6989">
        <v>840790</v>
      </c>
      <c r="D6989" t="s">
        <v>176</v>
      </c>
      <c r="E6989">
        <v>161724</v>
      </c>
      <c r="F6989">
        <v>40</v>
      </c>
      <c r="G6989">
        <v>51</v>
      </c>
      <c r="H6989">
        <f>_xlfn.XLOOKUP(FACT_IMPORTS[[#This Row],[hts_6]],DIM_PRODUCTS[hts_6],DIM_PRODUCTS[hts_4],,,)</f>
        <v>8407</v>
      </c>
      <c r="I6989" t="str" cm="1">
        <f t="array" ref="I6989">_xlfn.XLOOKUP(FACT_IMPORTS[[#This Row],[country_name]],DIM_COUNTRY[[#All],[Column2]],DIM_COUNTRY[[#All],[Column3]],,,)</f>
        <v>Major_Non-USMCA_Non-China</v>
      </c>
    </row>
    <row r="6990" spans="1:9" x14ac:dyDescent="0.4">
      <c r="A6990" t="s">
        <v>71</v>
      </c>
      <c r="B6990" s="1">
        <v>44986</v>
      </c>
      <c r="C6990">
        <v>840820</v>
      </c>
      <c r="D6990" t="s">
        <v>176</v>
      </c>
      <c r="E6990">
        <v>33400</v>
      </c>
      <c r="F6990">
        <v>1</v>
      </c>
      <c r="G6990">
        <v>49</v>
      </c>
      <c r="H6990">
        <f>_xlfn.XLOOKUP(FACT_IMPORTS[[#This Row],[hts_6]],DIM_PRODUCTS[hts_6],DIM_PRODUCTS[hts_4],,,)</f>
        <v>8408</v>
      </c>
      <c r="I6990" t="str" cm="1">
        <f t="array" ref="I6990">_xlfn.XLOOKUP(FACT_IMPORTS[[#This Row],[country_name]],DIM_COUNTRY[[#All],[Column2]],DIM_COUNTRY[[#All],[Column3]],,,)</f>
        <v>Major_Non-USMCA_Non-China</v>
      </c>
    </row>
    <row r="6991" spans="1:9" x14ac:dyDescent="0.4">
      <c r="A6991" t="s">
        <v>71</v>
      </c>
      <c r="B6991" s="1">
        <v>44986</v>
      </c>
      <c r="C6991">
        <v>840890</v>
      </c>
      <c r="D6991" t="s">
        <v>176</v>
      </c>
      <c r="E6991">
        <v>0</v>
      </c>
      <c r="F6991">
        <v>0</v>
      </c>
      <c r="G6991">
        <v>0</v>
      </c>
      <c r="H6991">
        <f>_xlfn.XLOOKUP(FACT_IMPORTS[[#This Row],[hts_6]],DIM_PRODUCTS[hts_6],DIM_PRODUCTS[hts_4],,,)</f>
        <v>8408</v>
      </c>
      <c r="I6991" t="str" cm="1">
        <f t="array" ref="I6991">_xlfn.XLOOKUP(FACT_IMPORTS[[#This Row],[country_name]],DIM_COUNTRY[[#All],[Column2]],DIM_COUNTRY[[#All],[Column3]],,,)</f>
        <v>Major_Non-USMCA_Non-China</v>
      </c>
    </row>
    <row r="6992" spans="1:9" x14ac:dyDescent="0.4">
      <c r="A6992" t="s">
        <v>71</v>
      </c>
      <c r="B6992" s="1">
        <v>44986</v>
      </c>
      <c r="C6992">
        <v>840991</v>
      </c>
      <c r="D6992" t="s">
        <v>176</v>
      </c>
      <c r="E6992">
        <v>5575917</v>
      </c>
      <c r="F6992">
        <v>351528</v>
      </c>
      <c r="G6992">
        <v>140785</v>
      </c>
      <c r="H6992">
        <f>_xlfn.XLOOKUP(FACT_IMPORTS[[#This Row],[hts_6]],DIM_PRODUCTS[hts_6],DIM_PRODUCTS[hts_4],,,)</f>
        <v>8409</v>
      </c>
      <c r="I6992" t="str" cm="1">
        <f t="array" ref="I6992">_xlfn.XLOOKUP(FACT_IMPORTS[[#This Row],[country_name]],DIM_COUNTRY[[#All],[Column2]],DIM_COUNTRY[[#All],[Column3]],,,)</f>
        <v>Major_Non-USMCA_Non-China</v>
      </c>
    </row>
    <row r="6993" spans="1:9" x14ac:dyDescent="0.4">
      <c r="A6993" t="s">
        <v>71</v>
      </c>
      <c r="B6993" s="1">
        <v>44986</v>
      </c>
      <c r="C6993">
        <v>840999</v>
      </c>
      <c r="D6993" t="s">
        <v>176</v>
      </c>
      <c r="E6993">
        <v>142667</v>
      </c>
      <c r="F6993">
        <v>8804</v>
      </c>
      <c r="G6993">
        <v>288</v>
      </c>
      <c r="H6993">
        <f>_xlfn.XLOOKUP(FACT_IMPORTS[[#This Row],[hts_6]],DIM_PRODUCTS[hts_6],DIM_PRODUCTS[hts_4],,,)</f>
        <v>8409</v>
      </c>
      <c r="I6993" t="str" cm="1">
        <f t="array" ref="I6993">_xlfn.XLOOKUP(FACT_IMPORTS[[#This Row],[country_name]],DIM_COUNTRY[[#All],[Column2]],DIM_COUNTRY[[#All],[Column3]],,,)</f>
        <v>Major_Non-USMCA_Non-China</v>
      </c>
    </row>
    <row r="6994" spans="1:9" x14ac:dyDescent="0.4">
      <c r="A6994" t="s">
        <v>71</v>
      </c>
      <c r="B6994" s="1">
        <v>44986</v>
      </c>
      <c r="C6994">
        <v>841330</v>
      </c>
      <c r="D6994" t="s">
        <v>176</v>
      </c>
      <c r="E6994">
        <v>695330</v>
      </c>
      <c r="F6994">
        <v>11646</v>
      </c>
      <c r="G6994">
        <v>21009</v>
      </c>
      <c r="H6994">
        <f>_xlfn.XLOOKUP(FACT_IMPORTS[[#This Row],[hts_6]],DIM_PRODUCTS[hts_6],DIM_PRODUCTS[hts_4],,,)</f>
        <v>8413</v>
      </c>
      <c r="I6994" t="str" cm="1">
        <f t="array" ref="I6994">_xlfn.XLOOKUP(FACT_IMPORTS[[#This Row],[country_name]],DIM_COUNTRY[[#All],[Column2]],DIM_COUNTRY[[#All],[Column3]],,,)</f>
        <v>Major_Non-USMCA_Non-China</v>
      </c>
    </row>
    <row r="6995" spans="1:9" x14ac:dyDescent="0.4">
      <c r="A6995" t="s">
        <v>71</v>
      </c>
      <c r="B6995" s="1">
        <v>44986</v>
      </c>
      <c r="C6995">
        <v>841520</v>
      </c>
      <c r="D6995" t="s">
        <v>176</v>
      </c>
      <c r="E6995">
        <v>0</v>
      </c>
      <c r="F6995">
        <v>0</v>
      </c>
      <c r="G6995">
        <v>0</v>
      </c>
      <c r="H6995">
        <f>_xlfn.XLOOKUP(FACT_IMPORTS[[#This Row],[hts_6]],DIM_PRODUCTS[hts_6],DIM_PRODUCTS[hts_4],,,)</f>
        <v>8415</v>
      </c>
      <c r="I6995" t="str" cm="1">
        <f t="array" ref="I6995">_xlfn.XLOOKUP(FACT_IMPORTS[[#This Row],[country_name]],DIM_COUNTRY[[#All],[Column2]],DIM_COUNTRY[[#All],[Column3]],,,)</f>
        <v>Major_Non-USMCA_Non-China</v>
      </c>
    </row>
    <row r="6996" spans="1:9" x14ac:dyDescent="0.4">
      <c r="A6996" t="s">
        <v>71</v>
      </c>
      <c r="B6996" s="1">
        <v>44986</v>
      </c>
      <c r="C6996">
        <v>842132</v>
      </c>
      <c r="D6996" t="s">
        <v>176</v>
      </c>
      <c r="E6996">
        <v>371621</v>
      </c>
      <c r="F6996">
        <v>2174</v>
      </c>
      <c r="G6996">
        <v>3204</v>
      </c>
      <c r="H6996">
        <f>_xlfn.XLOOKUP(FACT_IMPORTS[[#This Row],[hts_6]],DIM_PRODUCTS[hts_6],DIM_PRODUCTS[hts_4],,,)</f>
        <v>8421</v>
      </c>
      <c r="I6996" t="str" cm="1">
        <f t="array" ref="I6996">_xlfn.XLOOKUP(FACT_IMPORTS[[#This Row],[country_name]],DIM_COUNTRY[[#All],[Column2]],DIM_COUNTRY[[#All],[Column3]],,,)</f>
        <v>Major_Non-USMCA_Non-China</v>
      </c>
    </row>
    <row r="6997" spans="1:9" x14ac:dyDescent="0.4">
      <c r="A6997" t="s">
        <v>71</v>
      </c>
      <c r="B6997" s="1">
        <v>44986</v>
      </c>
      <c r="C6997">
        <v>848210</v>
      </c>
      <c r="D6997" t="s">
        <v>176</v>
      </c>
      <c r="E6997">
        <v>56489</v>
      </c>
      <c r="F6997">
        <v>2241</v>
      </c>
      <c r="G6997">
        <v>2273</v>
      </c>
      <c r="H6997">
        <f>_xlfn.XLOOKUP(FACT_IMPORTS[[#This Row],[hts_6]],DIM_PRODUCTS[hts_6],DIM_PRODUCTS[hts_4],,,)</f>
        <v>8482</v>
      </c>
      <c r="I6997" t="str" cm="1">
        <f t="array" ref="I6997">_xlfn.XLOOKUP(FACT_IMPORTS[[#This Row],[country_name]],DIM_COUNTRY[[#All],[Column2]],DIM_COUNTRY[[#All],[Column3]],,,)</f>
        <v>Major_Non-USMCA_Non-China</v>
      </c>
    </row>
    <row r="6998" spans="1:9" x14ac:dyDescent="0.4">
      <c r="A6998" t="s">
        <v>71</v>
      </c>
      <c r="B6998" s="1">
        <v>44986</v>
      </c>
      <c r="C6998">
        <v>848220</v>
      </c>
      <c r="D6998" t="s">
        <v>176</v>
      </c>
      <c r="E6998">
        <v>194149</v>
      </c>
      <c r="F6998">
        <v>8915</v>
      </c>
      <c r="G6998">
        <v>2133</v>
      </c>
      <c r="H6998">
        <f>_xlfn.XLOOKUP(FACT_IMPORTS[[#This Row],[hts_6]],DIM_PRODUCTS[hts_6],DIM_PRODUCTS[hts_4],,,)</f>
        <v>8482</v>
      </c>
      <c r="I6998" t="str" cm="1">
        <f t="array" ref="I6998">_xlfn.XLOOKUP(FACT_IMPORTS[[#This Row],[country_name]],DIM_COUNTRY[[#All],[Column2]],DIM_COUNTRY[[#All],[Column3]],,,)</f>
        <v>Major_Non-USMCA_Non-China</v>
      </c>
    </row>
    <row r="6999" spans="1:9" x14ac:dyDescent="0.4">
      <c r="A6999" t="s">
        <v>71</v>
      </c>
      <c r="B6999" s="1">
        <v>44986</v>
      </c>
      <c r="C6999">
        <v>848310</v>
      </c>
      <c r="D6999" t="s">
        <v>176</v>
      </c>
      <c r="E6999">
        <v>911200</v>
      </c>
      <c r="F6999">
        <v>19683</v>
      </c>
      <c r="G6999">
        <v>223745</v>
      </c>
      <c r="H6999">
        <f>_xlfn.XLOOKUP(FACT_IMPORTS[[#This Row],[hts_6]],DIM_PRODUCTS[hts_6],DIM_PRODUCTS[hts_4],,,)</f>
        <v>8483</v>
      </c>
      <c r="I6999" t="str" cm="1">
        <f t="array" ref="I6999">_xlfn.XLOOKUP(FACT_IMPORTS[[#This Row],[country_name]],DIM_COUNTRY[[#All],[Column2]],DIM_COUNTRY[[#All],[Column3]],,,)</f>
        <v>Major_Non-USMCA_Non-China</v>
      </c>
    </row>
    <row r="7000" spans="1:9" x14ac:dyDescent="0.4">
      <c r="A7000" t="s">
        <v>71</v>
      </c>
      <c r="B7000" s="1">
        <v>44986</v>
      </c>
      <c r="C7000">
        <v>850131</v>
      </c>
      <c r="D7000" t="s">
        <v>176</v>
      </c>
      <c r="E7000">
        <v>2936602</v>
      </c>
      <c r="F7000">
        <v>75377</v>
      </c>
      <c r="G7000">
        <v>39891</v>
      </c>
      <c r="H7000">
        <f>_xlfn.XLOOKUP(FACT_IMPORTS[[#This Row],[hts_6]],DIM_PRODUCTS[hts_6],DIM_PRODUCTS[hts_4],,,)</f>
        <v>8501</v>
      </c>
      <c r="I7000" t="str" cm="1">
        <f t="array" ref="I7000">_xlfn.XLOOKUP(FACT_IMPORTS[[#This Row],[country_name]],DIM_COUNTRY[[#All],[Column2]],DIM_COUNTRY[[#All],[Column3]],,,)</f>
        <v>Major_Non-USMCA_Non-China</v>
      </c>
    </row>
    <row r="7001" spans="1:9" x14ac:dyDescent="0.4">
      <c r="A7001" t="s">
        <v>71</v>
      </c>
      <c r="B7001" s="1">
        <v>44986</v>
      </c>
      <c r="C7001">
        <v>850132</v>
      </c>
      <c r="D7001" t="s">
        <v>176</v>
      </c>
      <c r="E7001">
        <v>0</v>
      </c>
      <c r="F7001">
        <v>0</v>
      </c>
      <c r="G7001">
        <v>0</v>
      </c>
      <c r="H7001">
        <f>_xlfn.XLOOKUP(FACT_IMPORTS[[#This Row],[hts_6]],DIM_PRODUCTS[hts_6],DIM_PRODUCTS[hts_4],,,)</f>
        <v>8501</v>
      </c>
      <c r="I7001" t="str" cm="1">
        <f t="array" ref="I7001">_xlfn.XLOOKUP(FACT_IMPORTS[[#This Row],[country_name]],DIM_COUNTRY[[#All],[Column2]],DIM_COUNTRY[[#All],[Column3]],,,)</f>
        <v>Major_Non-USMCA_Non-China</v>
      </c>
    </row>
    <row r="7002" spans="1:9" x14ac:dyDescent="0.4">
      <c r="A7002" t="s">
        <v>71</v>
      </c>
      <c r="B7002" s="1">
        <v>44986</v>
      </c>
      <c r="C7002">
        <v>850133</v>
      </c>
      <c r="D7002" t="s">
        <v>176</v>
      </c>
      <c r="E7002">
        <v>0</v>
      </c>
      <c r="F7002">
        <v>0</v>
      </c>
      <c r="G7002">
        <v>0</v>
      </c>
      <c r="H7002">
        <f>_xlfn.XLOOKUP(FACT_IMPORTS[[#This Row],[hts_6]],DIM_PRODUCTS[hts_6],DIM_PRODUCTS[hts_4],,,)</f>
        <v>8501</v>
      </c>
      <c r="I7002" t="str" cm="1">
        <f t="array" ref="I7002">_xlfn.XLOOKUP(FACT_IMPORTS[[#This Row],[country_name]],DIM_COUNTRY[[#All],[Column2]],DIM_COUNTRY[[#All],[Column3]],,,)</f>
        <v>Major_Non-USMCA_Non-China</v>
      </c>
    </row>
    <row r="7003" spans="1:9" x14ac:dyDescent="0.4">
      <c r="A7003" t="s">
        <v>71</v>
      </c>
      <c r="B7003" s="1">
        <v>44986</v>
      </c>
      <c r="C7003">
        <v>850152</v>
      </c>
      <c r="D7003" t="s">
        <v>176</v>
      </c>
      <c r="E7003">
        <v>302892</v>
      </c>
      <c r="F7003">
        <v>331</v>
      </c>
      <c r="G7003">
        <v>17241</v>
      </c>
      <c r="H7003">
        <f>_xlfn.XLOOKUP(FACT_IMPORTS[[#This Row],[hts_6]],DIM_PRODUCTS[hts_6],DIM_PRODUCTS[hts_4],,,)</f>
        <v>8501</v>
      </c>
      <c r="I7003" t="str" cm="1">
        <f t="array" ref="I7003">_xlfn.XLOOKUP(FACT_IMPORTS[[#This Row],[country_name]],DIM_COUNTRY[[#All],[Column2]],DIM_COUNTRY[[#All],[Column3]],,,)</f>
        <v>Major_Non-USMCA_Non-China</v>
      </c>
    </row>
    <row r="7004" spans="1:9" x14ac:dyDescent="0.4">
      <c r="A7004" t="s">
        <v>71</v>
      </c>
      <c r="B7004" s="1">
        <v>44986</v>
      </c>
      <c r="C7004">
        <v>850153</v>
      </c>
      <c r="D7004" t="s">
        <v>176</v>
      </c>
      <c r="E7004">
        <v>0</v>
      </c>
      <c r="F7004">
        <v>0</v>
      </c>
      <c r="G7004">
        <v>0</v>
      </c>
      <c r="H7004">
        <f>_xlfn.XLOOKUP(FACT_IMPORTS[[#This Row],[hts_6]],DIM_PRODUCTS[hts_6],DIM_PRODUCTS[hts_4],,,)</f>
        <v>8501</v>
      </c>
      <c r="I7004" t="str" cm="1">
        <f t="array" ref="I7004">_xlfn.XLOOKUP(FACT_IMPORTS[[#This Row],[country_name]],DIM_COUNTRY[[#All],[Column2]],DIM_COUNTRY[[#All],[Column3]],,,)</f>
        <v>Major_Non-USMCA_Non-China</v>
      </c>
    </row>
    <row r="7005" spans="1:9" x14ac:dyDescent="0.4">
      <c r="A7005" t="s">
        <v>71</v>
      </c>
      <c r="B7005" s="1">
        <v>44986</v>
      </c>
      <c r="C7005">
        <v>850161</v>
      </c>
      <c r="D7005" t="s">
        <v>176</v>
      </c>
      <c r="E7005">
        <v>0</v>
      </c>
      <c r="F7005">
        <v>0</v>
      </c>
      <c r="G7005">
        <v>0</v>
      </c>
      <c r="H7005">
        <f>_xlfn.XLOOKUP(FACT_IMPORTS[[#This Row],[hts_6]],DIM_PRODUCTS[hts_6],DIM_PRODUCTS[hts_4],,,)</f>
        <v>8501</v>
      </c>
      <c r="I7005" t="str" cm="1">
        <f t="array" ref="I7005">_xlfn.XLOOKUP(FACT_IMPORTS[[#This Row],[country_name]],DIM_COUNTRY[[#All],[Column2]],DIM_COUNTRY[[#All],[Column3]],,,)</f>
        <v>Major_Non-USMCA_Non-China</v>
      </c>
    </row>
    <row r="7006" spans="1:9" x14ac:dyDescent="0.4">
      <c r="A7006" t="s">
        <v>71</v>
      </c>
      <c r="B7006" s="1">
        <v>44986</v>
      </c>
      <c r="C7006">
        <v>850440</v>
      </c>
      <c r="D7006" t="s">
        <v>176</v>
      </c>
      <c r="E7006">
        <v>294981</v>
      </c>
      <c r="F7006">
        <v>312</v>
      </c>
      <c r="G7006">
        <v>14173</v>
      </c>
      <c r="H7006">
        <f>_xlfn.XLOOKUP(FACT_IMPORTS[[#This Row],[hts_6]],DIM_PRODUCTS[hts_6],DIM_PRODUCTS[hts_4],,,)</f>
        <v>8504</v>
      </c>
      <c r="I7006" t="str" cm="1">
        <f t="array" ref="I7006">_xlfn.XLOOKUP(FACT_IMPORTS[[#This Row],[country_name]],DIM_COUNTRY[[#All],[Column2]],DIM_COUNTRY[[#All],[Column3]],,,)</f>
        <v>Major_Non-USMCA_Non-China</v>
      </c>
    </row>
    <row r="7007" spans="1:9" x14ac:dyDescent="0.4">
      <c r="A7007" t="s">
        <v>71</v>
      </c>
      <c r="B7007" s="1">
        <v>44986</v>
      </c>
      <c r="C7007">
        <v>850760</v>
      </c>
      <c r="D7007" t="s">
        <v>176</v>
      </c>
      <c r="E7007">
        <v>39951</v>
      </c>
      <c r="F7007">
        <v>374</v>
      </c>
      <c r="G7007">
        <v>1024</v>
      </c>
      <c r="H7007">
        <f>_xlfn.XLOOKUP(FACT_IMPORTS[[#This Row],[hts_6]],DIM_PRODUCTS[hts_6],DIM_PRODUCTS[hts_4],,,)</f>
        <v>8507</v>
      </c>
      <c r="I7007" t="str" cm="1">
        <f t="array" ref="I7007">_xlfn.XLOOKUP(FACT_IMPORTS[[#This Row],[country_name]],DIM_COUNTRY[[#All],[Column2]],DIM_COUNTRY[[#All],[Column3]],,,)</f>
        <v>Major_Non-USMCA_Non-China</v>
      </c>
    </row>
    <row r="7008" spans="1:9" x14ac:dyDescent="0.4">
      <c r="A7008" t="s">
        <v>71</v>
      </c>
      <c r="B7008" s="1">
        <v>44986</v>
      </c>
      <c r="C7008">
        <v>850790</v>
      </c>
      <c r="D7008" t="s">
        <v>176</v>
      </c>
      <c r="E7008">
        <v>0</v>
      </c>
      <c r="F7008">
        <v>0</v>
      </c>
      <c r="G7008">
        <v>0</v>
      </c>
      <c r="H7008">
        <f>_xlfn.XLOOKUP(FACT_IMPORTS[[#This Row],[hts_6]],DIM_PRODUCTS[hts_6],DIM_PRODUCTS[hts_4],,,)</f>
        <v>8507</v>
      </c>
      <c r="I7008" t="str" cm="1">
        <f t="array" ref="I7008">_xlfn.XLOOKUP(FACT_IMPORTS[[#This Row],[country_name]],DIM_COUNTRY[[#All],[Column2]],DIM_COUNTRY[[#All],[Column3]],,,)</f>
        <v>Major_Non-USMCA_Non-China</v>
      </c>
    </row>
    <row r="7009" spans="1:9" x14ac:dyDescent="0.4">
      <c r="A7009" t="s">
        <v>71</v>
      </c>
      <c r="B7009" s="1">
        <v>44986</v>
      </c>
      <c r="C7009">
        <v>851110</v>
      </c>
      <c r="D7009" t="s">
        <v>176</v>
      </c>
      <c r="E7009">
        <v>346437</v>
      </c>
      <c r="F7009">
        <v>10156</v>
      </c>
      <c r="G7009">
        <v>6323</v>
      </c>
      <c r="H7009">
        <f>_xlfn.XLOOKUP(FACT_IMPORTS[[#This Row],[hts_6]],DIM_PRODUCTS[hts_6],DIM_PRODUCTS[hts_4],,,)</f>
        <v>8511</v>
      </c>
      <c r="I7009" t="str" cm="1">
        <f t="array" ref="I7009">_xlfn.XLOOKUP(FACT_IMPORTS[[#This Row],[country_name]],DIM_COUNTRY[[#All],[Column2]],DIM_COUNTRY[[#All],[Column3]],,,)</f>
        <v>Major_Non-USMCA_Non-China</v>
      </c>
    </row>
    <row r="7010" spans="1:9" x14ac:dyDescent="0.4">
      <c r="A7010" t="s">
        <v>71</v>
      </c>
      <c r="B7010" s="1">
        <v>44986</v>
      </c>
      <c r="C7010">
        <v>851130</v>
      </c>
      <c r="D7010" t="s">
        <v>176</v>
      </c>
      <c r="E7010">
        <v>420270</v>
      </c>
      <c r="F7010">
        <v>58290</v>
      </c>
      <c r="G7010">
        <v>8248</v>
      </c>
      <c r="H7010">
        <f>_xlfn.XLOOKUP(FACT_IMPORTS[[#This Row],[hts_6]],DIM_PRODUCTS[hts_6],DIM_PRODUCTS[hts_4],,,)</f>
        <v>8511</v>
      </c>
      <c r="I7010" t="str" cm="1">
        <f t="array" ref="I7010">_xlfn.XLOOKUP(FACT_IMPORTS[[#This Row],[country_name]],DIM_COUNTRY[[#All],[Column2]],DIM_COUNTRY[[#All],[Column3]],,,)</f>
        <v>Major_Non-USMCA_Non-China</v>
      </c>
    </row>
    <row r="7011" spans="1:9" x14ac:dyDescent="0.4">
      <c r="A7011" t="s">
        <v>71</v>
      </c>
      <c r="B7011" s="1">
        <v>44986</v>
      </c>
      <c r="C7011">
        <v>851140</v>
      </c>
      <c r="D7011" t="s">
        <v>176</v>
      </c>
      <c r="E7011">
        <v>2239590</v>
      </c>
      <c r="F7011">
        <v>42372</v>
      </c>
      <c r="G7011">
        <v>122665</v>
      </c>
      <c r="H7011">
        <f>_xlfn.XLOOKUP(FACT_IMPORTS[[#This Row],[hts_6]],DIM_PRODUCTS[hts_6],DIM_PRODUCTS[hts_4],,,)</f>
        <v>8511</v>
      </c>
      <c r="I7011" t="str" cm="1">
        <f t="array" ref="I7011">_xlfn.XLOOKUP(FACT_IMPORTS[[#This Row],[country_name]],DIM_COUNTRY[[#All],[Column2]],DIM_COUNTRY[[#All],[Column3]],,,)</f>
        <v>Major_Non-USMCA_Non-China</v>
      </c>
    </row>
    <row r="7012" spans="1:9" x14ac:dyDescent="0.4">
      <c r="A7012" t="s">
        <v>71</v>
      </c>
      <c r="B7012" s="1">
        <v>44986</v>
      </c>
      <c r="C7012">
        <v>851150</v>
      </c>
      <c r="D7012" t="s">
        <v>176</v>
      </c>
      <c r="E7012">
        <v>230959</v>
      </c>
      <c r="F7012">
        <v>2319</v>
      </c>
      <c r="G7012">
        <v>16136</v>
      </c>
      <c r="H7012">
        <f>_xlfn.XLOOKUP(FACT_IMPORTS[[#This Row],[hts_6]],DIM_PRODUCTS[hts_6],DIM_PRODUCTS[hts_4],,,)</f>
        <v>8511</v>
      </c>
      <c r="I7012" t="str" cm="1">
        <f t="array" ref="I7012">_xlfn.XLOOKUP(FACT_IMPORTS[[#This Row],[country_name]],DIM_COUNTRY[[#All],[Column2]],DIM_COUNTRY[[#All],[Column3]],,,)</f>
        <v>Major_Non-USMCA_Non-China</v>
      </c>
    </row>
    <row r="7013" spans="1:9" x14ac:dyDescent="0.4">
      <c r="A7013" t="s">
        <v>71</v>
      </c>
      <c r="B7013" s="1">
        <v>44986</v>
      </c>
      <c r="C7013">
        <v>851180</v>
      </c>
      <c r="D7013" t="s">
        <v>176</v>
      </c>
      <c r="E7013">
        <v>3928</v>
      </c>
      <c r="F7013">
        <v>72</v>
      </c>
      <c r="G7013">
        <v>10</v>
      </c>
      <c r="H7013">
        <f>_xlfn.XLOOKUP(FACT_IMPORTS[[#This Row],[hts_6]],DIM_PRODUCTS[hts_6],DIM_PRODUCTS[hts_4],,,)</f>
        <v>8511</v>
      </c>
      <c r="I7013" t="str" cm="1">
        <f t="array" ref="I7013">_xlfn.XLOOKUP(FACT_IMPORTS[[#This Row],[country_name]],DIM_COUNTRY[[#All],[Column2]],DIM_COUNTRY[[#All],[Column3]],,,)</f>
        <v>Major_Non-USMCA_Non-China</v>
      </c>
    </row>
    <row r="7014" spans="1:9" x14ac:dyDescent="0.4">
      <c r="A7014" t="s">
        <v>71</v>
      </c>
      <c r="B7014" s="1">
        <v>44986</v>
      </c>
      <c r="C7014">
        <v>851190</v>
      </c>
      <c r="D7014" t="s">
        <v>176</v>
      </c>
      <c r="E7014">
        <v>0</v>
      </c>
      <c r="F7014">
        <v>0</v>
      </c>
      <c r="G7014">
        <v>0</v>
      </c>
      <c r="H7014">
        <f>_xlfn.XLOOKUP(FACT_IMPORTS[[#This Row],[hts_6]],DIM_PRODUCTS[hts_6],DIM_PRODUCTS[hts_4],,,)</f>
        <v>8511</v>
      </c>
      <c r="I7014" t="str" cm="1">
        <f t="array" ref="I7014">_xlfn.XLOOKUP(FACT_IMPORTS[[#This Row],[country_name]],DIM_COUNTRY[[#All],[Column2]],DIM_COUNTRY[[#All],[Column3]],,,)</f>
        <v>Major_Non-USMCA_Non-China</v>
      </c>
    </row>
    <row r="7015" spans="1:9" x14ac:dyDescent="0.4">
      <c r="A7015" t="s">
        <v>71</v>
      </c>
      <c r="B7015" s="1">
        <v>44986</v>
      </c>
      <c r="C7015">
        <v>851220</v>
      </c>
      <c r="D7015" t="s">
        <v>176</v>
      </c>
      <c r="E7015">
        <v>44719</v>
      </c>
      <c r="F7015">
        <v>251</v>
      </c>
      <c r="G7015">
        <v>3836</v>
      </c>
      <c r="H7015">
        <f>_xlfn.XLOOKUP(FACT_IMPORTS[[#This Row],[hts_6]],DIM_PRODUCTS[hts_6],DIM_PRODUCTS[hts_4],,,)</f>
        <v>8512</v>
      </c>
      <c r="I7015" t="str" cm="1">
        <f t="array" ref="I7015">_xlfn.XLOOKUP(FACT_IMPORTS[[#This Row],[country_name]],DIM_COUNTRY[[#All],[Column2]],DIM_COUNTRY[[#All],[Column3]],,,)</f>
        <v>Major_Non-USMCA_Non-China</v>
      </c>
    </row>
    <row r="7016" spans="1:9" x14ac:dyDescent="0.4">
      <c r="A7016" t="s">
        <v>71</v>
      </c>
      <c r="B7016" s="1">
        <v>44986</v>
      </c>
      <c r="C7016">
        <v>851230</v>
      </c>
      <c r="D7016" t="s">
        <v>176</v>
      </c>
      <c r="E7016">
        <v>101467</v>
      </c>
      <c r="F7016">
        <v>10104</v>
      </c>
      <c r="G7016">
        <v>2031</v>
      </c>
      <c r="H7016">
        <f>_xlfn.XLOOKUP(FACT_IMPORTS[[#This Row],[hts_6]],DIM_PRODUCTS[hts_6],DIM_PRODUCTS[hts_4],,,)</f>
        <v>8512</v>
      </c>
      <c r="I7016" t="str" cm="1">
        <f t="array" ref="I7016">_xlfn.XLOOKUP(FACT_IMPORTS[[#This Row],[country_name]],DIM_COUNTRY[[#All],[Column2]],DIM_COUNTRY[[#All],[Column3]],,,)</f>
        <v>Major_Non-USMCA_Non-China</v>
      </c>
    </row>
    <row r="7017" spans="1:9" x14ac:dyDescent="0.4">
      <c r="A7017" t="s">
        <v>71</v>
      </c>
      <c r="B7017" s="1">
        <v>44986</v>
      </c>
      <c r="C7017">
        <v>851290</v>
      </c>
      <c r="D7017" t="s">
        <v>176</v>
      </c>
      <c r="E7017">
        <v>36597</v>
      </c>
      <c r="F7017">
        <v>2434</v>
      </c>
      <c r="G7017">
        <v>1336</v>
      </c>
      <c r="H7017">
        <f>_xlfn.XLOOKUP(FACT_IMPORTS[[#This Row],[hts_6]],DIM_PRODUCTS[hts_6],DIM_PRODUCTS[hts_4],,,)</f>
        <v>8512</v>
      </c>
      <c r="I7017" t="str" cm="1">
        <f t="array" ref="I7017">_xlfn.XLOOKUP(FACT_IMPORTS[[#This Row],[country_name]],DIM_COUNTRY[[#All],[Column2]],DIM_COUNTRY[[#All],[Column3]],,,)</f>
        <v>Major_Non-USMCA_Non-China</v>
      </c>
    </row>
    <row r="7018" spans="1:9" x14ac:dyDescent="0.4">
      <c r="A7018" t="s">
        <v>71</v>
      </c>
      <c r="B7018" s="1">
        <v>44986</v>
      </c>
      <c r="C7018">
        <v>854231</v>
      </c>
      <c r="D7018" t="s">
        <v>176</v>
      </c>
      <c r="E7018">
        <v>121444</v>
      </c>
      <c r="F7018">
        <v>44395</v>
      </c>
      <c r="G7018">
        <v>1376</v>
      </c>
      <c r="H7018">
        <f>_xlfn.XLOOKUP(FACT_IMPORTS[[#This Row],[hts_6]],DIM_PRODUCTS[hts_6],DIM_PRODUCTS[hts_4],,,)</f>
        <v>8542</v>
      </c>
      <c r="I7018" t="str" cm="1">
        <f t="array" ref="I7018">_xlfn.XLOOKUP(FACT_IMPORTS[[#This Row],[country_name]],DIM_COUNTRY[[#All],[Column2]],DIM_COUNTRY[[#All],[Column3]],,,)</f>
        <v>Major_Non-USMCA_Non-China</v>
      </c>
    </row>
    <row r="7019" spans="1:9" x14ac:dyDescent="0.4">
      <c r="A7019" t="s">
        <v>71</v>
      </c>
      <c r="B7019" s="1">
        <v>44986</v>
      </c>
      <c r="C7019">
        <v>854232</v>
      </c>
      <c r="D7019" t="s">
        <v>176</v>
      </c>
      <c r="E7019">
        <v>14727</v>
      </c>
      <c r="F7019">
        <v>39</v>
      </c>
      <c r="G7019">
        <v>187</v>
      </c>
      <c r="H7019">
        <f>_xlfn.XLOOKUP(FACT_IMPORTS[[#This Row],[hts_6]],DIM_PRODUCTS[hts_6],DIM_PRODUCTS[hts_4],,,)</f>
        <v>8542</v>
      </c>
      <c r="I7019" t="str" cm="1">
        <f t="array" ref="I7019">_xlfn.XLOOKUP(FACT_IMPORTS[[#This Row],[country_name]],DIM_COUNTRY[[#All],[Column2]],DIM_COUNTRY[[#All],[Column3]],,,)</f>
        <v>Major_Non-USMCA_Non-China</v>
      </c>
    </row>
    <row r="7020" spans="1:9" x14ac:dyDescent="0.4">
      <c r="A7020" t="s">
        <v>71</v>
      </c>
      <c r="B7020" s="1">
        <v>44986</v>
      </c>
      <c r="C7020">
        <v>854233</v>
      </c>
      <c r="D7020" t="s">
        <v>176</v>
      </c>
      <c r="E7020">
        <v>0</v>
      </c>
      <c r="F7020">
        <v>0</v>
      </c>
      <c r="G7020">
        <v>0</v>
      </c>
      <c r="H7020">
        <f>_xlfn.XLOOKUP(FACT_IMPORTS[[#This Row],[hts_6]],DIM_PRODUCTS[hts_6],DIM_PRODUCTS[hts_4],,,)</f>
        <v>8542</v>
      </c>
      <c r="I7020" t="str" cm="1">
        <f t="array" ref="I7020">_xlfn.XLOOKUP(FACT_IMPORTS[[#This Row],[country_name]],DIM_COUNTRY[[#All],[Column2]],DIM_COUNTRY[[#All],[Column3]],,,)</f>
        <v>Major_Non-USMCA_Non-China</v>
      </c>
    </row>
    <row r="7021" spans="1:9" x14ac:dyDescent="0.4">
      <c r="A7021" t="s">
        <v>71</v>
      </c>
      <c r="B7021" s="1">
        <v>44986</v>
      </c>
      <c r="C7021">
        <v>854239</v>
      </c>
      <c r="D7021" t="s">
        <v>176</v>
      </c>
      <c r="E7021">
        <v>0</v>
      </c>
      <c r="F7021">
        <v>0</v>
      </c>
      <c r="G7021">
        <v>0</v>
      </c>
      <c r="H7021">
        <f>_xlfn.XLOOKUP(FACT_IMPORTS[[#This Row],[hts_6]],DIM_PRODUCTS[hts_6],DIM_PRODUCTS[hts_4],,,)</f>
        <v>8542</v>
      </c>
      <c r="I7021" t="str" cm="1">
        <f t="array" ref="I7021">_xlfn.XLOOKUP(FACT_IMPORTS[[#This Row],[country_name]],DIM_COUNTRY[[#All],[Column2]],DIM_COUNTRY[[#All],[Column3]],,,)</f>
        <v>Major_Non-USMCA_Non-China</v>
      </c>
    </row>
    <row r="7022" spans="1:9" x14ac:dyDescent="0.4">
      <c r="A7022" t="s">
        <v>71</v>
      </c>
      <c r="B7022" s="1">
        <v>44986</v>
      </c>
      <c r="C7022">
        <v>854430</v>
      </c>
      <c r="D7022" t="s">
        <v>176</v>
      </c>
      <c r="E7022">
        <v>16723</v>
      </c>
      <c r="F7022">
        <v>2602</v>
      </c>
      <c r="G7022">
        <v>271</v>
      </c>
      <c r="H7022">
        <f>_xlfn.XLOOKUP(FACT_IMPORTS[[#This Row],[hts_6]],DIM_PRODUCTS[hts_6],DIM_PRODUCTS[hts_4],,,)</f>
        <v>8544</v>
      </c>
      <c r="I7022" t="str" cm="1">
        <f t="array" ref="I7022">_xlfn.XLOOKUP(FACT_IMPORTS[[#This Row],[country_name]],DIM_COUNTRY[[#All],[Column2]],DIM_COUNTRY[[#All],[Column3]],,,)</f>
        <v>Major_Non-USMCA_Non-China</v>
      </c>
    </row>
    <row r="7023" spans="1:9" x14ac:dyDescent="0.4">
      <c r="A7023" t="s">
        <v>71</v>
      </c>
      <c r="B7023" s="1">
        <v>44986</v>
      </c>
      <c r="C7023">
        <v>870710</v>
      </c>
      <c r="D7023" t="s">
        <v>176</v>
      </c>
      <c r="E7023">
        <v>0</v>
      </c>
      <c r="F7023">
        <v>0</v>
      </c>
      <c r="G7023">
        <v>0</v>
      </c>
      <c r="H7023">
        <f>_xlfn.XLOOKUP(FACT_IMPORTS[[#This Row],[hts_6]],DIM_PRODUCTS[hts_6],DIM_PRODUCTS[hts_4],,,)</f>
        <v>8707</v>
      </c>
      <c r="I7023" t="str" cm="1">
        <f t="array" ref="I7023">_xlfn.XLOOKUP(FACT_IMPORTS[[#This Row],[country_name]],DIM_COUNTRY[[#All],[Column2]],DIM_COUNTRY[[#All],[Column3]],,,)</f>
        <v>Major_Non-USMCA_Non-China</v>
      </c>
    </row>
    <row r="7024" spans="1:9" x14ac:dyDescent="0.4">
      <c r="A7024" t="s">
        <v>71</v>
      </c>
      <c r="B7024" s="1">
        <v>44986</v>
      </c>
      <c r="C7024">
        <v>870790</v>
      </c>
      <c r="D7024" t="s">
        <v>176</v>
      </c>
      <c r="E7024">
        <v>0</v>
      </c>
      <c r="F7024">
        <v>0</v>
      </c>
      <c r="G7024">
        <v>0</v>
      </c>
      <c r="H7024">
        <f>_xlfn.XLOOKUP(FACT_IMPORTS[[#This Row],[hts_6]],DIM_PRODUCTS[hts_6],DIM_PRODUCTS[hts_4],,,)</f>
        <v>8707</v>
      </c>
      <c r="I7024" t="str" cm="1">
        <f t="array" ref="I7024">_xlfn.XLOOKUP(FACT_IMPORTS[[#This Row],[country_name]],DIM_COUNTRY[[#All],[Column2]],DIM_COUNTRY[[#All],[Column3]],,,)</f>
        <v>Major_Non-USMCA_Non-China</v>
      </c>
    </row>
    <row r="7025" spans="1:9" x14ac:dyDescent="0.4">
      <c r="A7025" t="s">
        <v>71</v>
      </c>
      <c r="B7025" s="1">
        <v>44986</v>
      </c>
      <c r="C7025">
        <v>870810</v>
      </c>
      <c r="D7025" t="s">
        <v>176</v>
      </c>
      <c r="E7025">
        <v>5035</v>
      </c>
      <c r="F7025">
        <v>150</v>
      </c>
      <c r="G7025">
        <v>262</v>
      </c>
      <c r="H7025">
        <f>_xlfn.XLOOKUP(FACT_IMPORTS[[#This Row],[hts_6]],DIM_PRODUCTS[hts_6],DIM_PRODUCTS[hts_4],,,)</f>
        <v>8708</v>
      </c>
      <c r="I7025" t="str" cm="1">
        <f t="array" ref="I7025">_xlfn.XLOOKUP(FACT_IMPORTS[[#This Row],[country_name]],DIM_COUNTRY[[#All],[Column2]],DIM_COUNTRY[[#All],[Column3]],,,)</f>
        <v>Major_Non-USMCA_Non-China</v>
      </c>
    </row>
    <row r="7026" spans="1:9" x14ac:dyDescent="0.4">
      <c r="A7026" t="s">
        <v>71</v>
      </c>
      <c r="B7026" s="1">
        <v>44986</v>
      </c>
      <c r="C7026">
        <v>870829</v>
      </c>
      <c r="D7026" t="s">
        <v>176</v>
      </c>
      <c r="E7026">
        <v>4980351</v>
      </c>
      <c r="F7026">
        <v>334873</v>
      </c>
      <c r="G7026">
        <v>56332</v>
      </c>
      <c r="H7026">
        <f>_xlfn.XLOOKUP(FACT_IMPORTS[[#This Row],[hts_6]],DIM_PRODUCTS[hts_6],DIM_PRODUCTS[hts_4],,,)</f>
        <v>8708</v>
      </c>
      <c r="I7026" t="str" cm="1">
        <f t="array" ref="I7026">_xlfn.XLOOKUP(FACT_IMPORTS[[#This Row],[country_name]],DIM_COUNTRY[[#All],[Column2]],DIM_COUNTRY[[#All],[Column3]],,,)</f>
        <v>Major_Non-USMCA_Non-China</v>
      </c>
    </row>
    <row r="7027" spans="1:9" x14ac:dyDescent="0.4">
      <c r="A7027" t="s">
        <v>71</v>
      </c>
      <c r="B7027" s="1">
        <v>44986</v>
      </c>
      <c r="C7027">
        <v>870830</v>
      </c>
      <c r="D7027" t="s">
        <v>176</v>
      </c>
      <c r="E7027">
        <v>1044680</v>
      </c>
      <c r="F7027">
        <v>130079</v>
      </c>
      <c r="G7027">
        <v>28898</v>
      </c>
      <c r="H7027">
        <f>_xlfn.XLOOKUP(FACT_IMPORTS[[#This Row],[hts_6]],DIM_PRODUCTS[hts_6],DIM_PRODUCTS[hts_4],,,)</f>
        <v>8708</v>
      </c>
      <c r="I7027" t="str" cm="1">
        <f t="array" ref="I7027">_xlfn.XLOOKUP(FACT_IMPORTS[[#This Row],[country_name]],DIM_COUNTRY[[#All],[Column2]],DIM_COUNTRY[[#All],[Column3]],,,)</f>
        <v>Major_Non-USMCA_Non-China</v>
      </c>
    </row>
    <row r="7028" spans="1:9" x14ac:dyDescent="0.4">
      <c r="A7028" t="s">
        <v>71</v>
      </c>
      <c r="B7028" s="1">
        <v>44986</v>
      </c>
      <c r="C7028">
        <v>870840</v>
      </c>
      <c r="D7028" t="s">
        <v>176</v>
      </c>
      <c r="E7028">
        <v>2505335</v>
      </c>
      <c r="F7028">
        <v>3763</v>
      </c>
      <c r="G7028">
        <v>86449</v>
      </c>
      <c r="H7028">
        <f>_xlfn.XLOOKUP(FACT_IMPORTS[[#This Row],[hts_6]],DIM_PRODUCTS[hts_6],DIM_PRODUCTS[hts_4],,,)</f>
        <v>8708</v>
      </c>
      <c r="I7028" t="str" cm="1">
        <f t="array" ref="I7028">_xlfn.XLOOKUP(FACT_IMPORTS[[#This Row],[country_name]],DIM_COUNTRY[[#All],[Column2]],DIM_COUNTRY[[#All],[Column3]],,,)</f>
        <v>Major_Non-USMCA_Non-China</v>
      </c>
    </row>
    <row r="7029" spans="1:9" x14ac:dyDescent="0.4">
      <c r="A7029" t="s">
        <v>71</v>
      </c>
      <c r="B7029" s="1">
        <v>44986</v>
      </c>
      <c r="C7029">
        <v>870850</v>
      </c>
      <c r="D7029" t="s">
        <v>176</v>
      </c>
      <c r="E7029">
        <v>335931</v>
      </c>
      <c r="F7029">
        <v>108</v>
      </c>
      <c r="G7029">
        <v>1153</v>
      </c>
      <c r="H7029">
        <f>_xlfn.XLOOKUP(FACT_IMPORTS[[#This Row],[hts_6]],DIM_PRODUCTS[hts_6],DIM_PRODUCTS[hts_4],,,)</f>
        <v>8708</v>
      </c>
      <c r="I7029" t="str" cm="1">
        <f t="array" ref="I7029">_xlfn.XLOOKUP(FACT_IMPORTS[[#This Row],[country_name]],DIM_COUNTRY[[#All],[Column2]],DIM_COUNTRY[[#All],[Column3]],,,)</f>
        <v>Major_Non-USMCA_Non-China</v>
      </c>
    </row>
    <row r="7030" spans="1:9" x14ac:dyDescent="0.4">
      <c r="A7030" t="s">
        <v>71</v>
      </c>
      <c r="B7030" s="1">
        <v>44986</v>
      </c>
      <c r="C7030">
        <v>870870</v>
      </c>
      <c r="D7030" t="s">
        <v>176</v>
      </c>
      <c r="E7030">
        <v>7568</v>
      </c>
      <c r="F7030">
        <v>60</v>
      </c>
      <c r="G7030">
        <v>51830</v>
      </c>
      <c r="H7030">
        <f>_xlfn.XLOOKUP(FACT_IMPORTS[[#This Row],[hts_6]],DIM_PRODUCTS[hts_6],DIM_PRODUCTS[hts_4],,,)</f>
        <v>8708</v>
      </c>
      <c r="I7030" t="str" cm="1">
        <f t="array" ref="I7030">_xlfn.XLOOKUP(FACT_IMPORTS[[#This Row],[country_name]],DIM_COUNTRY[[#All],[Column2]],DIM_COUNTRY[[#All],[Column3]],,,)</f>
        <v>Major_Non-USMCA_Non-China</v>
      </c>
    </row>
    <row r="7031" spans="1:9" x14ac:dyDescent="0.4">
      <c r="A7031" t="s">
        <v>71</v>
      </c>
      <c r="B7031" s="1">
        <v>44986</v>
      </c>
      <c r="C7031">
        <v>870880</v>
      </c>
      <c r="D7031" t="s">
        <v>176</v>
      </c>
      <c r="E7031">
        <v>337443</v>
      </c>
      <c r="F7031">
        <v>13473</v>
      </c>
      <c r="G7031">
        <v>29253</v>
      </c>
      <c r="H7031">
        <f>_xlfn.XLOOKUP(FACT_IMPORTS[[#This Row],[hts_6]],DIM_PRODUCTS[hts_6],DIM_PRODUCTS[hts_4],,,)</f>
        <v>8708</v>
      </c>
      <c r="I7031" t="str" cm="1">
        <f t="array" ref="I7031">_xlfn.XLOOKUP(FACT_IMPORTS[[#This Row],[country_name]],DIM_COUNTRY[[#All],[Column2]],DIM_COUNTRY[[#All],[Column3]],,,)</f>
        <v>Major_Non-USMCA_Non-China</v>
      </c>
    </row>
    <row r="7032" spans="1:9" x14ac:dyDescent="0.4">
      <c r="A7032" t="s">
        <v>71</v>
      </c>
      <c r="B7032" s="1">
        <v>44986</v>
      </c>
      <c r="C7032">
        <v>870891</v>
      </c>
      <c r="D7032" t="s">
        <v>176</v>
      </c>
      <c r="E7032">
        <v>175231</v>
      </c>
      <c r="F7032">
        <v>99584</v>
      </c>
      <c r="G7032">
        <v>2957</v>
      </c>
      <c r="H7032">
        <f>_xlfn.XLOOKUP(FACT_IMPORTS[[#This Row],[hts_6]],DIM_PRODUCTS[hts_6],DIM_PRODUCTS[hts_4],,,)</f>
        <v>8708</v>
      </c>
      <c r="I7032" t="str" cm="1">
        <f t="array" ref="I7032">_xlfn.XLOOKUP(FACT_IMPORTS[[#This Row],[country_name]],DIM_COUNTRY[[#All],[Column2]],DIM_COUNTRY[[#All],[Column3]],,,)</f>
        <v>Major_Non-USMCA_Non-China</v>
      </c>
    </row>
    <row r="7033" spans="1:9" x14ac:dyDescent="0.4">
      <c r="A7033" t="s">
        <v>71</v>
      </c>
      <c r="B7033" s="1">
        <v>44986</v>
      </c>
      <c r="C7033">
        <v>870892</v>
      </c>
      <c r="D7033" t="s">
        <v>176</v>
      </c>
      <c r="E7033">
        <v>3710</v>
      </c>
      <c r="F7033">
        <v>25</v>
      </c>
      <c r="G7033">
        <v>360</v>
      </c>
      <c r="H7033">
        <f>_xlfn.XLOOKUP(FACT_IMPORTS[[#This Row],[hts_6]],DIM_PRODUCTS[hts_6],DIM_PRODUCTS[hts_4],,,)</f>
        <v>8708</v>
      </c>
      <c r="I7033" t="str" cm="1">
        <f t="array" ref="I7033">_xlfn.XLOOKUP(FACT_IMPORTS[[#This Row],[country_name]],DIM_COUNTRY[[#All],[Column2]],DIM_COUNTRY[[#All],[Column3]],,,)</f>
        <v>Major_Non-USMCA_Non-China</v>
      </c>
    </row>
    <row r="7034" spans="1:9" x14ac:dyDescent="0.4">
      <c r="A7034" t="s">
        <v>71</v>
      </c>
      <c r="B7034" s="1">
        <v>44986</v>
      </c>
      <c r="C7034">
        <v>870893</v>
      </c>
      <c r="D7034" t="s">
        <v>176</v>
      </c>
      <c r="E7034">
        <v>634901</v>
      </c>
      <c r="F7034">
        <v>240342</v>
      </c>
      <c r="G7034">
        <v>7568</v>
      </c>
      <c r="H7034">
        <f>_xlfn.XLOOKUP(FACT_IMPORTS[[#This Row],[hts_6]],DIM_PRODUCTS[hts_6],DIM_PRODUCTS[hts_4],,,)</f>
        <v>8708</v>
      </c>
      <c r="I7034" t="str" cm="1">
        <f t="array" ref="I7034">_xlfn.XLOOKUP(FACT_IMPORTS[[#This Row],[country_name]],DIM_COUNTRY[[#All],[Column2]],DIM_COUNTRY[[#All],[Column3]],,,)</f>
        <v>Major_Non-USMCA_Non-China</v>
      </c>
    </row>
    <row r="7035" spans="1:9" x14ac:dyDescent="0.4">
      <c r="A7035" t="s">
        <v>71</v>
      </c>
      <c r="B7035" s="1">
        <v>44986</v>
      </c>
      <c r="C7035">
        <v>870894</v>
      </c>
      <c r="D7035" t="s">
        <v>176</v>
      </c>
      <c r="E7035">
        <v>139768</v>
      </c>
      <c r="F7035">
        <v>9189</v>
      </c>
      <c r="G7035">
        <v>3608</v>
      </c>
      <c r="H7035">
        <f>_xlfn.XLOOKUP(FACT_IMPORTS[[#This Row],[hts_6]],DIM_PRODUCTS[hts_6],DIM_PRODUCTS[hts_4],,,)</f>
        <v>8708</v>
      </c>
      <c r="I7035" t="str" cm="1">
        <f t="array" ref="I7035">_xlfn.XLOOKUP(FACT_IMPORTS[[#This Row],[country_name]],DIM_COUNTRY[[#All],[Column2]],DIM_COUNTRY[[#All],[Column3]],,,)</f>
        <v>Major_Non-USMCA_Non-China</v>
      </c>
    </row>
    <row r="7036" spans="1:9" x14ac:dyDescent="0.4">
      <c r="A7036" t="s">
        <v>71</v>
      </c>
      <c r="B7036" s="1">
        <v>44986</v>
      </c>
      <c r="C7036">
        <v>870895</v>
      </c>
      <c r="D7036" t="s">
        <v>176</v>
      </c>
      <c r="E7036">
        <v>13347</v>
      </c>
      <c r="F7036">
        <v>909</v>
      </c>
      <c r="G7036">
        <v>968</v>
      </c>
      <c r="H7036">
        <f>_xlfn.XLOOKUP(FACT_IMPORTS[[#This Row],[hts_6]],DIM_PRODUCTS[hts_6],DIM_PRODUCTS[hts_4],,,)</f>
        <v>8708</v>
      </c>
      <c r="I7036" t="str" cm="1">
        <f t="array" ref="I7036">_xlfn.XLOOKUP(FACT_IMPORTS[[#This Row],[country_name]],DIM_COUNTRY[[#All],[Column2]],DIM_COUNTRY[[#All],[Column3]],,,)</f>
        <v>Major_Non-USMCA_Non-China</v>
      </c>
    </row>
    <row r="7037" spans="1:9" x14ac:dyDescent="0.4">
      <c r="A7037" t="s">
        <v>71</v>
      </c>
      <c r="B7037" s="1">
        <v>44986</v>
      </c>
      <c r="C7037">
        <v>870899</v>
      </c>
      <c r="D7037" t="s">
        <v>176</v>
      </c>
      <c r="E7037">
        <v>2438962</v>
      </c>
      <c r="F7037">
        <v>1117733</v>
      </c>
      <c r="G7037">
        <v>165877</v>
      </c>
      <c r="H7037">
        <f>_xlfn.XLOOKUP(FACT_IMPORTS[[#This Row],[hts_6]],DIM_PRODUCTS[hts_6],DIM_PRODUCTS[hts_4],,,)</f>
        <v>8708</v>
      </c>
      <c r="I7037" t="str" cm="1">
        <f t="array" ref="I7037">_xlfn.XLOOKUP(FACT_IMPORTS[[#This Row],[country_name]],DIM_COUNTRY[[#All],[Column2]],DIM_COUNTRY[[#All],[Column3]],,,)</f>
        <v>Major_Non-USMCA_Non-China</v>
      </c>
    </row>
    <row r="7038" spans="1:9" x14ac:dyDescent="0.4">
      <c r="A7038" t="s">
        <v>71</v>
      </c>
      <c r="B7038" s="1">
        <v>44986</v>
      </c>
      <c r="C7038">
        <v>940120</v>
      </c>
      <c r="D7038" t="s">
        <v>176</v>
      </c>
      <c r="E7038">
        <v>814</v>
      </c>
      <c r="F7038">
        <v>1</v>
      </c>
      <c r="G7038">
        <v>16</v>
      </c>
      <c r="H7038">
        <f>_xlfn.XLOOKUP(FACT_IMPORTS[[#This Row],[hts_6]],DIM_PRODUCTS[hts_6],DIM_PRODUCTS[hts_4],,,)</f>
        <v>9401</v>
      </c>
      <c r="I7038" t="str" cm="1">
        <f t="array" ref="I7038">_xlfn.XLOOKUP(FACT_IMPORTS[[#This Row],[country_name]],DIM_COUNTRY[[#All],[Column2]],DIM_COUNTRY[[#All],[Column3]],,,)</f>
        <v>Major_Non-USMCA_Non-China</v>
      </c>
    </row>
    <row r="7039" spans="1:9" x14ac:dyDescent="0.4">
      <c r="A7039" t="s">
        <v>71</v>
      </c>
      <c r="B7039" s="1">
        <v>45017</v>
      </c>
      <c r="C7039">
        <v>392630</v>
      </c>
      <c r="D7039" t="s">
        <v>176</v>
      </c>
      <c r="E7039">
        <v>4408</v>
      </c>
      <c r="F7039">
        <v>391</v>
      </c>
      <c r="G7039">
        <v>570</v>
      </c>
      <c r="H7039">
        <f>_xlfn.XLOOKUP(FACT_IMPORTS[[#This Row],[hts_6]],DIM_PRODUCTS[hts_6],DIM_PRODUCTS[hts_4],,,)</f>
        <v>3926</v>
      </c>
      <c r="I7039" t="str" cm="1">
        <f t="array" ref="I7039">_xlfn.XLOOKUP(FACT_IMPORTS[[#This Row],[country_name]],DIM_COUNTRY[[#All],[Column2]],DIM_COUNTRY[[#All],[Column3]],,,)</f>
        <v>Major_Non-USMCA_Non-China</v>
      </c>
    </row>
    <row r="7040" spans="1:9" x14ac:dyDescent="0.4">
      <c r="A7040" t="s">
        <v>71</v>
      </c>
      <c r="B7040" s="1">
        <v>45017</v>
      </c>
      <c r="C7040">
        <v>401110</v>
      </c>
      <c r="D7040" t="s">
        <v>176</v>
      </c>
      <c r="E7040">
        <v>7256</v>
      </c>
      <c r="F7040">
        <v>35</v>
      </c>
      <c r="G7040">
        <v>440</v>
      </c>
      <c r="H7040">
        <f>_xlfn.XLOOKUP(FACT_IMPORTS[[#This Row],[hts_6]],DIM_PRODUCTS[hts_6],DIM_PRODUCTS[hts_4],,,)</f>
        <v>4011</v>
      </c>
      <c r="I7040" t="str" cm="1">
        <f t="array" ref="I7040">_xlfn.XLOOKUP(FACT_IMPORTS[[#This Row],[country_name]],DIM_COUNTRY[[#All],[Column2]],DIM_COUNTRY[[#All],[Column3]],,,)</f>
        <v>Major_Non-USMCA_Non-China</v>
      </c>
    </row>
    <row r="7041" spans="1:9" x14ac:dyDescent="0.4">
      <c r="A7041" t="s">
        <v>71</v>
      </c>
      <c r="B7041" s="1">
        <v>45017</v>
      </c>
      <c r="C7041">
        <v>401120</v>
      </c>
      <c r="D7041" t="s">
        <v>176</v>
      </c>
      <c r="E7041">
        <v>79446</v>
      </c>
      <c r="F7041">
        <v>432</v>
      </c>
      <c r="G7041">
        <v>4813</v>
      </c>
      <c r="H7041">
        <f>_xlfn.XLOOKUP(FACT_IMPORTS[[#This Row],[hts_6]],DIM_PRODUCTS[hts_6],DIM_PRODUCTS[hts_4],,,)</f>
        <v>4011</v>
      </c>
      <c r="I7041" t="str" cm="1">
        <f t="array" ref="I7041">_xlfn.XLOOKUP(FACT_IMPORTS[[#This Row],[country_name]],DIM_COUNTRY[[#All],[Column2]],DIM_COUNTRY[[#All],[Column3]],,,)</f>
        <v>Major_Non-USMCA_Non-China</v>
      </c>
    </row>
    <row r="7042" spans="1:9" x14ac:dyDescent="0.4">
      <c r="A7042" t="s">
        <v>71</v>
      </c>
      <c r="B7042" s="1">
        <v>45017</v>
      </c>
      <c r="C7042">
        <v>401140</v>
      </c>
      <c r="D7042" t="s">
        <v>176</v>
      </c>
      <c r="E7042">
        <v>0</v>
      </c>
      <c r="F7042">
        <v>0</v>
      </c>
      <c r="G7042">
        <v>0</v>
      </c>
      <c r="H7042">
        <f>_xlfn.XLOOKUP(FACT_IMPORTS[[#This Row],[hts_6]],DIM_PRODUCTS[hts_6],DIM_PRODUCTS[hts_4],,,)</f>
        <v>4011</v>
      </c>
      <c r="I7042" t="str" cm="1">
        <f t="array" ref="I7042">_xlfn.XLOOKUP(FACT_IMPORTS[[#This Row],[country_name]],DIM_COUNTRY[[#All],[Column2]],DIM_COUNTRY[[#All],[Column3]],,,)</f>
        <v>Major_Non-USMCA_Non-China</v>
      </c>
    </row>
    <row r="7043" spans="1:9" x14ac:dyDescent="0.4">
      <c r="A7043" t="s">
        <v>71</v>
      </c>
      <c r="B7043" s="1">
        <v>45017</v>
      </c>
      <c r="C7043">
        <v>700721</v>
      </c>
      <c r="D7043" t="s">
        <v>176</v>
      </c>
      <c r="E7043">
        <v>0</v>
      </c>
      <c r="F7043">
        <v>0</v>
      </c>
      <c r="G7043">
        <v>0</v>
      </c>
      <c r="H7043">
        <f>_xlfn.XLOOKUP(FACT_IMPORTS[[#This Row],[hts_6]],DIM_PRODUCTS[hts_6],DIM_PRODUCTS[hts_4],,,)</f>
        <v>7007</v>
      </c>
      <c r="I7043" t="str" cm="1">
        <f t="array" ref="I7043">_xlfn.XLOOKUP(FACT_IMPORTS[[#This Row],[country_name]],DIM_COUNTRY[[#All],[Column2]],DIM_COUNTRY[[#All],[Column3]],,,)</f>
        <v>Major_Non-USMCA_Non-China</v>
      </c>
    </row>
    <row r="7044" spans="1:9" x14ac:dyDescent="0.4">
      <c r="A7044" t="s">
        <v>71</v>
      </c>
      <c r="B7044" s="1">
        <v>45017</v>
      </c>
      <c r="C7044">
        <v>700910</v>
      </c>
      <c r="D7044" t="s">
        <v>176</v>
      </c>
      <c r="E7044">
        <v>2811</v>
      </c>
      <c r="F7044">
        <v>15</v>
      </c>
      <c r="G7044">
        <v>229</v>
      </c>
      <c r="H7044">
        <f>_xlfn.XLOOKUP(FACT_IMPORTS[[#This Row],[hts_6]],DIM_PRODUCTS[hts_6],DIM_PRODUCTS[hts_4],,,)</f>
        <v>7009</v>
      </c>
      <c r="I7044" t="str" cm="1">
        <f t="array" ref="I7044">_xlfn.XLOOKUP(FACT_IMPORTS[[#This Row],[country_name]],DIM_COUNTRY[[#All],[Column2]],DIM_COUNTRY[[#All],[Column3]],,,)</f>
        <v>Major_Non-USMCA_Non-China</v>
      </c>
    </row>
    <row r="7045" spans="1:9" x14ac:dyDescent="0.4">
      <c r="A7045" t="s">
        <v>71</v>
      </c>
      <c r="B7045" s="1">
        <v>45017</v>
      </c>
      <c r="C7045">
        <v>732010</v>
      </c>
      <c r="D7045" t="s">
        <v>176</v>
      </c>
      <c r="E7045">
        <v>0</v>
      </c>
      <c r="F7045">
        <v>0</v>
      </c>
      <c r="G7045">
        <v>0</v>
      </c>
      <c r="H7045">
        <f>_xlfn.XLOOKUP(FACT_IMPORTS[[#This Row],[hts_6]],DIM_PRODUCTS[hts_6],DIM_PRODUCTS[hts_4],,,)</f>
        <v>7320</v>
      </c>
      <c r="I7045" t="str" cm="1">
        <f t="array" ref="I7045">_xlfn.XLOOKUP(FACT_IMPORTS[[#This Row],[country_name]],DIM_COUNTRY[[#All],[Column2]],DIM_COUNTRY[[#All],[Column3]],,,)</f>
        <v>Major_Non-USMCA_Non-China</v>
      </c>
    </row>
    <row r="7046" spans="1:9" x14ac:dyDescent="0.4">
      <c r="A7046" t="s">
        <v>71</v>
      </c>
      <c r="B7046" s="1">
        <v>45017</v>
      </c>
      <c r="C7046">
        <v>830230</v>
      </c>
      <c r="D7046" t="s">
        <v>176</v>
      </c>
      <c r="E7046">
        <v>39141</v>
      </c>
      <c r="F7046">
        <v>8135</v>
      </c>
      <c r="G7046">
        <v>3424</v>
      </c>
      <c r="H7046">
        <f>_xlfn.XLOOKUP(FACT_IMPORTS[[#This Row],[hts_6]],DIM_PRODUCTS[hts_6],DIM_PRODUCTS[hts_4],,,)</f>
        <v>8302</v>
      </c>
      <c r="I7046" t="str" cm="1">
        <f t="array" ref="I7046">_xlfn.XLOOKUP(FACT_IMPORTS[[#This Row],[country_name]],DIM_COUNTRY[[#All],[Column2]],DIM_COUNTRY[[#All],[Column3]],,,)</f>
        <v>Major_Non-USMCA_Non-China</v>
      </c>
    </row>
    <row r="7047" spans="1:9" x14ac:dyDescent="0.4">
      <c r="A7047" t="s">
        <v>71</v>
      </c>
      <c r="B7047" s="1">
        <v>45017</v>
      </c>
      <c r="C7047">
        <v>840734</v>
      </c>
      <c r="D7047" t="s">
        <v>176</v>
      </c>
      <c r="E7047">
        <v>771847</v>
      </c>
      <c r="F7047">
        <v>44</v>
      </c>
      <c r="G7047">
        <v>54738</v>
      </c>
      <c r="H7047">
        <f>_xlfn.XLOOKUP(FACT_IMPORTS[[#This Row],[hts_6]],DIM_PRODUCTS[hts_6],DIM_PRODUCTS[hts_4],,,)</f>
        <v>8407</v>
      </c>
      <c r="I7047" t="str" cm="1">
        <f t="array" ref="I7047">_xlfn.XLOOKUP(FACT_IMPORTS[[#This Row],[country_name]],DIM_COUNTRY[[#All],[Column2]],DIM_COUNTRY[[#All],[Column3]],,,)</f>
        <v>Major_Non-USMCA_Non-China</v>
      </c>
    </row>
    <row r="7048" spans="1:9" x14ac:dyDescent="0.4">
      <c r="A7048" t="s">
        <v>71</v>
      </c>
      <c r="B7048" s="1">
        <v>45017</v>
      </c>
      <c r="C7048">
        <v>840790</v>
      </c>
      <c r="D7048" t="s">
        <v>176</v>
      </c>
      <c r="E7048">
        <v>328962</v>
      </c>
      <c r="F7048">
        <v>80</v>
      </c>
      <c r="G7048">
        <v>274</v>
      </c>
      <c r="H7048">
        <f>_xlfn.XLOOKUP(FACT_IMPORTS[[#This Row],[hts_6]],DIM_PRODUCTS[hts_6],DIM_PRODUCTS[hts_4],,,)</f>
        <v>8407</v>
      </c>
      <c r="I7048" t="str" cm="1">
        <f t="array" ref="I7048">_xlfn.XLOOKUP(FACT_IMPORTS[[#This Row],[country_name]],DIM_COUNTRY[[#All],[Column2]],DIM_COUNTRY[[#All],[Column3]],,,)</f>
        <v>Major_Non-USMCA_Non-China</v>
      </c>
    </row>
    <row r="7049" spans="1:9" x14ac:dyDescent="0.4">
      <c r="A7049" t="s">
        <v>71</v>
      </c>
      <c r="B7049" s="1">
        <v>45017</v>
      </c>
      <c r="C7049">
        <v>840820</v>
      </c>
      <c r="D7049" t="s">
        <v>176</v>
      </c>
      <c r="E7049">
        <v>0</v>
      </c>
      <c r="F7049">
        <v>0</v>
      </c>
      <c r="G7049">
        <v>0</v>
      </c>
      <c r="H7049">
        <f>_xlfn.XLOOKUP(FACT_IMPORTS[[#This Row],[hts_6]],DIM_PRODUCTS[hts_6],DIM_PRODUCTS[hts_4],,,)</f>
        <v>8408</v>
      </c>
      <c r="I7049" t="str" cm="1">
        <f t="array" ref="I7049">_xlfn.XLOOKUP(FACT_IMPORTS[[#This Row],[country_name]],DIM_COUNTRY[[#All],[Column2]],DIM_COUNTRY[[#All],[Column3]],,,)</f>
        <v>Major_Non-USMCA_Non-China</v>
      </c>
    </row>
    <row r="7050" spans="1:9" x14ac:dyDescent="0.4">
      <c r="A7050" t="s">
        <v>71</v>
      </c>
      <c r="B7050" s="1">
        <v>45017</v>
      </c>
      <c r="C7050">
        <v>840890</v>
      </c>
      <c r="D7050" t="s">
        <v>176</v>
      </c>
      <c r="E7050">
        <v>0</v>
      </c>
      <c r="F7050">
        <v>0</v>
      </c>
      <c r="G7050">
        <v>0</v>
      </c>
      <c r="H7050">
        <f>_xlfn.XLOOKUP(FACT_IMPORTS[[#This Row],[hts_6]],DIM_PRODUCTS[hts_6],DIM_PRODUCTS[hts_4],,,)</f>
        <v>8408</v>
      </c>
      <c r="I7050" t="str" cm="1">
        <f t="array" ref="I7050">_xlfn.XLOOKUP(FACT_IMPORTS[[#This Row],[country_name]],DIM_COUNTRY[[#All],[Column2]],DIM_COUNTRY[[#All],[Column3]],,,)</f>
        <v>Major_Non-USMCA_Non-China</v>
      </c>
    </row>
    <row r="7051" spans="1:9" x14ac:dyDescent="0.4">
      <c r="A7051" t="s">
        <v>71</v>
      </c>
      <c r="B7051" s="1">
        <v>45017</v>
      </c>
      <c r="C7051">
        <v>840991</v>
      </c>
      <c r="D7051" t="s">
        <v>176</v>
      </c>
      <c r="E7051">
        <v>7774033</v>
      </c>
      <c r="F7051">
        <v>487179</v>
      </c>
      <c r="G7051">
        <v>222965</v>
      </c>
      <c r="H7051">
        <f>_xlfn.XLOOKUP(FACT_IMPORTS[[#This Row],[hts_6]],DIM_PRODUCTS[hts_6],DIM_PRODUCTS[hts_4],,,)</f>
        <v>8409</v>
      </c>
      <c r="I7051" t="str" cm="1">
        <f t="array" ref="I7051">_xlfn.XLOOKUP(FACT_IMPORTS[[#This Row],[country_name]],DIM_COUNTRY[[#All],[Column2]],DIM_COUNTRY[[#All],[Column3]],,,)</f>
        <v>Major_Non-USMCA_Non-China</v>
      </c>
    </row>
    <row r="7052" spans="1:9" x14ac:dyDescent="0.4">
      <c r="A7052" t="s">
        <v>71</v>
      </c>
      <c r="B7052" s="1">
        <v>45017</v>
      </c>
      <c r="C7052">
        <v>840999</v>
      </c>
      <c r="D7052" t="s">
        <v>176</v>
      </c>
      <c r="E7052">
        <v>13044</v>
      </c>
      <c r="F7052">
        <v>117</v>
      </c>
      <c r="G7052">
        <v>75</v>
      </c>
      <c r="H7052">
        <f>_xlfn.XLOOKUP(FACT_IMPORTS[[#This Row],[hts_6]],DIM_PRODUCTS[hts_6],DIM_PRODUCTS[hts_4],,,)</f>
        <v>8409</v>
      </c>
      <c r="I7052" t="str" cm="1">
        <f t="array" ref="I7052">_xlfn.XLOOKUP(FACT_IMPORTS[[#This Row],[country_name]],DIM_COUNTRY[[#All],[Column2]],DIM_COUNTRY[[#All],[Column3]],,,)</f>
        <v>Major_Non-USMCA_Non-China</v>
      </c>
    </row>
    <row r="7053" spans="1:9" x14ac:dyDescent="0.4">
      <c r="A7053" t="s">
        <v>71</v>
      </c>
      <c r="B7053" s="1">
        <v>45017</v>
      </c>
      <c r="C7053">
        <v>841330</v>
      </c>
      <c r="D7053" t="s">
        <v>176</v>
      </c>
      <c r="E7053">
        <v>582170</v>
      </c>
      <c r="F7053">
        <v>10743</v>
      </c>
      <c r="G7053">
        <v>16312</v>
      </c>
      <c r="H7053">
        <f>_xlfn.XLOOKUP(FACT_IMPORTS[[#This Row],[hts_6]],DIM_PRODUCTS[hts_6],DIM_PRODUCTS[hts_4],,,)</f>
        <v>8413</v>
      </c>
      <c r="I7053" t="str" cm="1">
        <f t="array" ref="I7053">_xlfn.XLOOKUP(FACT_IMPORTS[[#This Row],[country_name]],DIM_COUNTRY[[#All],[Column2]],DIM_COUNTRY[[#All],[Column3]],,,)</f>
        <v>Major_Non-USMCA_Non-China</v>
      </c>
    </row>
    <row r="7054" spans="1:9" x14ac:dyDescent="0.4">
      <c r="A7054" t="s">
        <v>71</v>
      </c>
      <c r="B7054" s="1">
        <v>45017</v>
      </c>
      <c r="C7054">
        <v>841520</v>
      </c>
      <c r="D7054" t="s">
        <v>176</v>
      </c>
      <c r="E7054">
        <v>0</v>
      </c>
      <c r="F7054">
        <v>0</v>
      </c>
      <c r="G7054">
        <v>0</v>
      </c>
      <c r="H7054">
        <f>_xlfn.XLOOKUP(FACT_IMPORTS[[#This Row],[hts_6]],DIM_PRODUCTS[hts_6],DIM_PRODUCTS[hts_4],,,)</f>
        <v>8415</v>
      </c>
      <c r="I7054" t="str" cm="1">
        <f t="array" ref="I7054">_xlfn.XLOOKUP(FACT_IMPORTS[[#This Row],[country_name]],DIM_COUNTRY[[#All],[Column2]],DIM_COUNTRY[[#All],[Column3]],,,)</f>
        <v>Major_Non-USMCA_Non-China</v>
      </c>
    </row>
    <row r="7055" spans="1:9" x14ac:dyDescent="0.4">
      <c r="A7055" t="s">
        <v>71</v>
      </c>
      <c r="B7055" s="1">
        <v>45017</v>
      </c>
      <c r="C7055">
        <v>842132</v>
      </c>
      <c r="D7055" t="s">
        <v>176</v>
      </c>
      <c r="E7055">
        <v>140946</v>
      </c>
      <c r="F7055">
        <v>6255</v>
      </c>
      <c r="G7055">
        <v>2040</v>
      </c>
      <c r="H7055">
        <f>_xlfn.XLOOKUP(FACT_IMPORTS[[#This Row],[hts_6]],DIM_PRODUCTS[hts_6],DIM_PRODUCTS[hts_4],,,)</f>
        <v>8421</v>
      </c>
      <c r="I7055" t="str" cm="1">
        <f t="array" ref="I7055">_xlfn.XLOOKUP(FACT_IMPORTS[[#This Row],[country_name]],DIM_COUNTRY[[#All],[Column2]],DIM_COUNTRY[[#All],[Column3]],,,)</f>
        <v>Major_Non-USMCA_Non-China</v>
      </c>
    </row>
    <row r="7056" spans="1:9" x14ac:dyDescent="0.4">
      <c r="A7056" t="s">
        <v>71</v>
      </c>
      <c r="B7056" s="1">
        <v>45017</v>
      </c>
      <c r="C7056">
        <v>848210</v>
      </c>
      <c r="D7056" t="s">
        <v>176</v>
      </c>
      <c r="E7056">
        <v>62318</v>
      </c>
      <c r="F7056">
        <v>1478</v>
      </c>
      <c r="G7056">
        <v>913</v>
      </c>
      <c r="H7056">
        <f>_xlfn.XLOOKUP(FACT_IMPORTS[[#This Row],[hts_6]],DIM_PRODUCTS[hts_6],DIM_PRODUCTS[hts_4],,,)</f>
        <v>8482</v>
      </c>
      <c r="I7056" t="str" cm="1">
        <f t="array" ref="I7056">_xlfn.XLOOKUP(FACT_IMPORTS[[#This Row],[country_name]],DIM_COUNTRY[[#All],[Column2]],DIM_COUNTRY[[#All],[Column3]],,,)</f>
        <v>Major_Non-USMCA_Non-China</v>
      </c>
    </row>
    <row r="7057" spans="1:9" x14ac:dyDescent="0.4">
      <c r="A7057" t="s">
        <v>71</v>
      </c>
      <c r="B7057" s="1">
        <v>45017</v>
      </c>
      <c r="C7057">
        <v>848220</v>
      </c>
      <c r="D7057" t="s">
        <v>176</v>
      </c>
      <c r="E7057">
        <v>362675</v>
      </c>
      <c r="F7057">
        <v>25927</v>
      </c>
      <c r="G7057">
        <v>3041</v>
      </c>
      <c r="H7057">
        <f>_xlfn.XLOOKUP(FACT_IMPORTS[[#This Row],[hts_6]],DIM_PRODUCTS[hts_6],DIM_PRODUCTS[hts_4],,,)</f>
        <v>8482</v>
      </c>
      <c r="I7057" t="str" cm="1">
        <f t="array" ref="I7057">_xlfn.XLOOKUP(FACT_IMPORTS[[#This Row],[country_name]],DIM_COUNTRY[[#All],[Column2]],DIM_COUNTRY[[#All],[Column3]],,,)</f>
        <v>Major_Non-USMCA_Non-China</v>
      </c>
    </row>
    <row r="7058" spans="1:9" x14ac:dyDescent="0.4">
      <c r="A7058" t="s">
        <v>71</v>
      </c>
      <c r="B7058" s="1">
        <v>45017</v>
      </c>
      <c r="C7058">
        <v>848310</v>
      </c>
      <c r="D7058" t="s">
        <v>176</v>
      </c>
      <c r="E7058">
        <v>1094791</v>
      </c>
      <c r="F7058">
        <v>35758</v>
      </c>
      <c r="G7058">
        <v>223105</v>
      </c>
      <c r="H7058">
        <f>_xlfn.XLOOKUP(FACT_IMPORTS[[#This Row],[hts_6]],DIM_PRODUCTS[hts_6],DIM_PRODUCTS[hts_4],,,)</f>
        <v>8483</v>
      </c>
      <c r="I7058" t="str" cm="1">
        <f t="array" ref="I7058">_xlfn.XLOOKUP(FACT_IMPORTS[[#This Row],[country_name]],DIM_COUNTRY[[#All],[Column2]],DIM_COUNTRY[[#All],[Column3]],,,)</f>
        <v>Major_Non-USMCA_Non-China</v>
      </c>
    </row>
    <row r="7059" spans="1:9" x14ac:dyDescent="0.4">
      <c r="A7059" t="s">
        <v>71</v>
      </c>
      <c r="B7059" s="1">
        <v>45017</v>
      </c>
      <c r="C7059">
        <v>850131</v>
      </c>
      <c r="D7059" t="s">
        <v>176</v>
      </c>
      <c r="E7059">
        <v>3518134</v>
      </c>
      <c r="F7059">
        <v>99046</v>
      </c>
      <c r="G7059">
        <v>50844</v>
      </c>
      <c r="H7059">
        <f>_xlfn.XLOOKUP(FACT_IMPORTS[[#This Row],[hts_6]],DIM_PRODUCTS[hts_6],DIM_PRODUCTS[hts_4],,,)</f>
        <v>8501</v>
      </c>
      <c r="I7059" t="str" cm="1">
        <f t="array" ref="I7059">_xlfn.XLOOKUP(FACT_IMPORTS[[#This Row],[country_name]],DIM_COUNTRY[[#All],[Column2]],DIM_COUNTRY[[#All],[Column3]],,,)</f>
        <v>Major_Non-USMCA_Non-China</v>
      </c>
    </row>
    <row r="7060" spans="1:9" x14ac:dyDescent="0.4">
      <c r="A7060" t="s">
        <v>71</v>
      </c>
      <c r="B7060" s="1">
        <v>45017</v>
      </c>
      <c r="C7060">
        <v>850132</v>
      </c>
      <c r="D7060" t="s">
        <v>176</v>
      </c>
      <c r="E7060">
        <v>5756</v>
      </c>
      <c r="F7060">
        <v>2</v>
      </c>
      <c r="G7060">
        <v>48</v>
      </c>
      <c r="H7060">
        <f>_xlfn.XLOOKUP(FACT_IMPORTS[[#This Row],[hts_6]],DIM_PRODUCTS[hts_6],DIM_PRODUCTS[hts_4],,,)</f>
        <v>8501</v>
      </c>
      <c r="I7060" t="str" cm="1">
        <f t="array" ref="I7060">_xlfn.XLOOKUP(FACT_IMPORTS[[#This Row],[country_name]],DIM_COUNTRY[[#All],[Column2]],DIM_COUNTRY[[#All],[Column3]],,,)</f>
        <v>Major_Non-USMCA_Non-China</v>
      </c>
    </row>
    <row r="7061" spans="1:9" x14ac:dyDescent="0.4">
      <c r="A7061" t="s">
        <v>71</v>
      </c>
      <c r="B7061" s="1">
        <v>45017</v>
      </c>
      <c r="C7061">
        <v>850133</v>
      </c>
      <c r="D7061" t="s">
        <v>176</v>
      </c>
      <c r="E7061">
        <v>0</v>
      </c>
      <c r="F7061">
        <v>0</v>
      </c>
      <c r="G7061">
        <v>0</v>
      </c>
      <c r="H7061">
        <f>_xlfn.XLOOKUP(FACT_IMPORTS[[#This Row],[hts_6]],DIM_PRODUCTS[hts_6],DIM_PRODUCTS[hts_4],,,)</f>
        <v>8501</v>
      </c>
      <c r="I7061" t="str" cm="1">
        <f t="array" ref="I7061">_xlfn.XLOOKUP(FACT_IMPORTS[[#This Row],[country_name]],DIM_COUNTRY[[#All],[Column2]],DIM_COUNTRY[[#All],[Column3]],,,)</f>
        <v>Major_Non-USMCA_Non-China</v>
      </c>
    </row>
    <row r="7062" spans="1:9" x14ac:dyDescent="0.4">
      <c r="A7062" t="s">
        <v>71</v>
      </c>
      <c r="B7062" s="1">
        <v>45017</v>
      </c>
      <c r="C7062">
        <v>850152</v>
      </c>
      <c r="D7062" t="s">
        <v>176</v>
      </c>
      <c r="E7062">
        <v>318080</v>
      </c>
      <c r="F7062">
        <v>450</v>
      </c>
      <c r="G7062">
        <v>10800</v>
      </c>
      <c r="H7062">
        <f>_xlfn.XLOOKUP(FACT_IMPORTS[[#This Row],[hts_6]],DIM_PRODUCTS[hts_6],DIM_PRODUCTS[hts_4],,,)</f>
        <v>8501</v>
      </c>
      <c r="I7062" t="str" cm="1">
        <f t="array" ref="I7062">_xlfn.XLOOKUP(FACT_IMPORTS[[#This Row],[country_name]],DIM_COUNTRY[[#All],[Column2]],DIM_COUNTRY[[#All],[Column3]],,,)</f>
        <v>Major_Non-USMCA_Non-China</v>
      </c>
    </row>
    <row r="7063" spans="1:9" x14ac:dyDescent="0.4">
      <c r="A7063" t="s">
        <v>71</v>
      </c>
      <c r="B7063" s="1">
        <v>45017</v>
      </c>
      <c r="C7063">
        <v>850153</v>
      </c>
      <c r="D7063" t="s">
        <v>176</v>
      </c>
      <c r="E7063">
        <v>0</v>
      </c>
      <c r="F7063">
        <v>0</v>
      </c>
      <c r="G7063">
        <v>0</v>
      </c>
      <c r="H7063">
        <f>_xlfn.XLOOKUP(FACT_IMPORTS[[#This Row],[hts_6]],DIM_PRODUCTS[hts_6],DIM_PRODUCTS[hts_4],,,)</f>
        <v>8501</v>
      </c>
      <c r="I7063" t="str" cm="1">
        <f t="array" ref="I7063">_xlfn.XLOOKUP(FACT_IMPORTS[[#This Row],[country_name]],DIM_COUNTRY[[#All],[Column2]],DIM_COUNTRY[[#All],[Column3]],,,)</f>
        <v>Major_Non-USMCA_Non-China</v>
      </c>
    </row>
    <row r="7064" spans="1:9" x14ac:dyDescent="0.4">
      <c r="A7064" t="s">
        <v>71</v>
      </c>
      <c r="B7064" s="1">
        <v>45017</v>
      </c>
      <c r="C7064">
        <v>850161</v>
      </c>
      <c r="D7064" t="s">
        <v>176</v>
      </c>
      <c r="E7064">
        <v>2814</v>
      </c>
      <c r="F7064">
        <v>10</v>
      </c>
      <c r="G7064">
        <v>4</v>
      </c>
      <c r="H7064">
        <f>_xlfn.XLOOKUP(FACT_IMPORTS[[#This Row],[hts_6]],DIM_PRODUCTS[hts_6],DIM_PRODUCTS[hts_4],,,)</f>
        <v>8501</v>
      </c>
      <c r="I7064" t="str" cm="1">
        <f t="array" ref="I7064">_xlfn.XLOOKUP(FACT_IMPORTS[[#This Row],[country_name]],DIM_COUNTRY[[#All],[Column2]],DIM_COUNTRY[[#All],[Column3]],,,)</f>
        <v>Major_Non-USMCA_Non-China</v>
      </c>
    </row>
    <row r="7065" spans="1:9" x14ac:dyDescent="0.4">
      <c r="A7065" t="s">
        <v>71</v>
      </c>
      <c r="B7065" s="1">
        <v>45017</v>
      </c>
      <c r="C7065">
        <v>850440</v>
      </c>
      <c r="D7065" t="s">
        <v>176</v>
      </c>
      <c r="E7065">
        <v>214300</v>
      </c>
      <c r="F7065">
        <v>169</v>
      </c>
      <c r="G7065">
        <v>3909</v>
      </c>
      <c r="H7065">
        <f>_xlfn.XLOOKUP(FACT_IMPORTS[[#This Row],[hts_6]],DIM_PRODUCTS[hts_6],DIM_PRODUCTS[hts_4],,,)</f>
        <v>8504</v>
      </c>
      <c r="I7065" t="str" cm="1">
        <f t="array" ref="I7065">_xlfn.XLOOKUP(FACT_IMPORTS[[#This Row],[country_name]],DIM_COUNTRY[[#All],[Column2]],DIM_COUNTRY[[#All],[Column3]],,,)</f>
        <v>Major_Non-USMCA_Non-China</v>
      </c>
    </row>
    <row r="7066" spans="1:9" x14ac:dyDescent="0.4">
      <c r="A7066" t="s">
        <v>71</v>
      </c>
      <c r="B7066" s="1">
        <v>45017</v>
      </c>
      <c r="C7066">
        <v>850760</v>
      </c>
      <c r="D7066" t="s">
        <v>176</v>
      </c>
      <c r="E7066">
        <v>81616</v>
      </c>
      <c r="F7066">
        <v>154</v>
      </c>
      <c r="G7066">
        <v>1612</v>
      </c>
      <c r="H7066">
        <f>_xlfn.XLOOKUP(FACT_IMPORTS[[#This Row],[hts_6]],DIM_PRODUCTS[hts_6],DIM_PRODUCTS[hts_4],,,)</f>
        <v>8507</v>
      </c>
      <c r="I7066" t="str" cm="1">
        <f t="array" ref="I7066">_xlfn.XLOOKUP(FACT_IMPORTS[[#This Row],[country_name]],DIM_COUNTRY[[#All],[Column2]],DIM_COUNTRY[[#All],[Column3]],,,)</f>
        <v>Major_Non-USMCA_Non-China</v>
      </c>
    </row>
    <row r="7067" spans="1:9" x14ac:dyDescent="0.4">
      <c r="A7067" t="s">
        <v>71</v>
      </c>
      <c r="B7067" s="1">
        <v>45017</v>
      </c>
      <c r="C7067">
        <v>850790</v>
      </c>
      <c r="D7067" t="s">
        <v>176</v>
      </c>
      <c r="E7067">
        <v>0</v>
      </c>
      <c r="F7067">
        <v>0</v>
      </c>
      <c r="G7067">
        <v>0</v>
      </c>
      <c r="H7067">
        <f>_xlfn.XLOOKUP(FACT_IMPORTS[[#This Row],[hts_6]],DIM_PRODUCTS[hts_6],DIM_PRODUCTS[hts_4],,,)</f>
        <v>8507</v>
      </c>
      <c r="I7067" t="str" cm="1">
        <f t="array" ref="I7067">_xlfn.XLOOKUP(FACT_IMPORTS[[#This Row],[country_name]],DIM_COUNTRY[[#All],[Column2]],DIM_COUNTRY[[#All],[Column3]],,,)</f>
        <v>Major_Non-USMCA_Non-China</v>
      </c>
    </row>
    <row r="7068" spans="1:9" x14ac:dyDescent="0.4">
      <c r="A7068" t="s">
        <v>71</v>
      </c>
      <c r="B7068" s="1">
        <v>45017</v>
      </c>
      <c r="C7068">
        <v>851110</v>
      </c>
      <c r="D7068" t="s">
        <v>176</v>
      </c>
      <c r="E7068">
        <v>179576</v>
      </c>
      <c r="F7068">
        <v>6344</v>
      </c>
      <c r="G7068">
        <v>2888</v>
      </c>
      <c r="H7068">
        <f>_xlfn.XLOOKUP(FACT_IMPORTS[[#This Row],[hts_6]],DIM_PRODUCTS[hts_6],DIM_PRODUCTS[hts_4],,,)</f>
        <v>8511</v>
      </c>
      <c r="I7068" t="str" cm="1">
        <f t="array" ref="I7068">_xlfn.XLOOKUP(FACT_IMPORTS[[#This Row],[country_name]],DIM_COUNTRY[[#All],[Column2]],DIM_COUNTRY[[#All],[Column3]],,,)</f>
        <v>Major_Non-USMCA_Non-China</v>
      </c>
    </row>
    <row r="7069" spans="1:9" x14ac:dyDescent="0.4">
      <c r="A7069" t="s">
        <v>71</v>
      </c>
      <c r="B7069" s="1">
        <v>45017</v>
      </c>
      <c r="C7069">
        <v>851130</v>
      </c>
      <c r="D7069" t="s">
        <v>176</v>
      </c>
      <c r="E7069">
        <v>192882</v>
      </c>
      <c r="F7069">
        <v>26068</v>
      </c>
      <c r="G7069">
        <v>4158</v>
      </c>
      <c r="H7069">
        <f>_xlfn.XLOOKUP(FACT_IMPORTS[[#This Row],[hts_6]],DIM_PRODUCTS[hts_6],DIM_PRODUCTS[hts_4],,,)</f>
        <v>8511</v>
      </c>
      <c r="I7069" t="str" cm="1">
        <f t="array" ref="I7069">_xlfn.XLOOKUP(FACT_IMPORTS[[#This Row],[country_name]],DIM_COUNTRY[[#All],[Column2]],DIM_COUNTRY[[#All],[Column3]],,,)</f>
        <v>Major_Non-USMCA_Non-China</v>
      </c>
    </row>
    <row r="7070" spans="1:9" x14ac:dyDescent="0.4">
      <c r="A7070" t="s">
        <v>71</v>
      </c>
      <c r="B7070" s="1">
        <v>45017</v>
      </c>
      <c r="C7070">
        <v>851140</v>
      </c>
      <c r="D7070" t="s">
        <v>176</v>
      </c>
      <c r="E7070">
        <v>1363629</v>
      </c>
      <c r="F7070">
        <v>23113</v>
      </c>
      <c r="G7070">
        <v>68411</v>
      </c>
      <c r="H7070">
        <f>_xlfn.XLOOKUP(FACT_IMPORTS[[#This Row],[hts_6]],DIM_PRODUCTS[hts_6],DIM_PRODUCTS[hts_4],,,)</f>
        <v>8511</v>
      </c>
      <c r="I7070" t="str" cm="1">
        <f t="array" ref="I7070">_xlfn.XLOOKUP(FACT_IMPORTS[[#This Row],[country_name]],DIM_COUNTRY[[#All],[Column2]],DIM_COUNTRY[[#All],[Column3]],,,)</f>
        <v>Major_Non-USMCA_Non-China</v>
      </c>
    </row>
    <row r="7071" spans="1:9" x14ac:dyDescent="0.4">
      <c r="A7071" t="s">
        <v>71</v>
      </c>
      <c r="B7071" s="1">
        <v>45017</v>
      </c>
      <c r="C7071">
        <v>851150</v>
      </c>
      <c r="D7071" t="s">
        <v>176</v>
      </c>
      <c r="E7071">
        <v>96338</v>
      </c>
      <c r="F7071">
        <v>930</v>
      </c>
      <c r="G7071">
        <v>6834</v>
      </c>
      <c r="H7071">
        <f>_xlfn.XLOOKUP(FACT_IMPORTS[[#This Row],[hts_6]],DIM_PRODUCTS[hts_6],DIM_PRODUCTS[hts_4],,,)</f>
        <v>8511</v>
      </c>
      <c r="I7071" t="str" cm="1">
        <f t="array" ref="I7071">_xlfn.XLOOKUP(FACT_IMPORTS[[#This Row],[country_name]],DIM_COUNTRY[[#All],[Column2]],DIM_COUNTRY[[#All],[Column3]],,,)</f>
        <v>Major_Non-USMCA_Non-China</v>
      </c>
    </row>
    <row r="7072" spans="1:9" x14ac:dyDescent="0.4">
      <c r="A7072" t="s">
        <v>71</v>
      </c>
      <c r="B7072" s="1">
        <v>45017</v>
      </c>
      <c r="C7072">
        <v>851180</v>
      </c>
      <c r="D7072" t="s">
        <v>176</v>
      </c>
      <c r="E7072">
        <v>2082</v>
      </c>
      <c r="F7072">
        <v>38</v>
      </c>
      <c r="G7072">
        <v>6</v>
      </c>
      <c r="H7072">
        <f>_xlfn.XLOOKUP(FACT_IMPORTS[[#This Row],[hts_6]],DIM_PRODUCTS[hts_6],DIM_PRODUCTS[hts_4],,,)</f>
        <v>8511</v>
      </c>
      <c r="I7072" t="str" cm="1">
        <f t="array" ref="I7072">_xlfn.XLOOKUP(FACT_IMPORTS[[#This Row],[country_name]],DIM_COUNTRY[[#All],[Column2]],DIM_COUNTRY[[#All],[Column3]],,,)</f>
        <v>Major_Non-USMCA_Non-China</v>
      </c>
    </row>
    <row r="7073" spans="1:9" x14ac:dyDescent="0.4">
      <c r="A7073" t="s">
        <v>71</v>
      </c>
      <c r="B7073" s="1">
        <v>45017</v>
      </c>
      <c r="C7073">
        <v>851190</v>
      </c>
      <c r="D7073" t="s">
        <v>176</v>
      </c>
      <c r="E7073">
        <v>0</v>
      </c>
      <c r="F7073">
        <v>0</v>
      </c>
      <c r="G7073">
        <v>0</v>
      </c>
      <c r="H7073">
        <f>_xlfn.XLOOKUP(FACT_IMPORTS[[#This Row],[hts_6]],DIM_PRODUCTS[hts_6],DIM_PRODUCTS[hts_4],,,)</f>
        <v>8511</v>
      </c>
      <c r="I7073" t="str" cm="1">
        <f t="array" ref="I7073">_xlfn.XLOOKUP(FACT_IMPORTS[[#This Row],[country_name]],DIM_COUNTRY[[#All],[Column2]],DIM_COUNTRY[[#All],[Column3]],,,)</f>
        <v>Major_Non-USMCA_Non-China</v>
      </c>
    </row>
    <row r="7074" spans="1:9" x14ac:dyDescent="0.4">
      <c r="A7074" t="s">
        <v>71</v>
      </c>
      <c r="B7074" s="1">
        <v>45017</v>
      </c>
      <c r="C7074">
        <v>851220</v>
      </c>
      <c r="D7074" t="s">
        <v>176</v>
      </c>
      <c r="E7074">
        <v>17913</v>
      </c>
      <c r="F7074">
        <v>70</v>
      </c>
      <c r="G7074">
        <v>1200</v>
      </c>
      <c r="H7074">
        <f>_xlfn.XLOOKUP(FACT_IMPORTS[[#This Row],[hts_6]],DIM_PRODUCTS[hts_6],DIM_PRODUCTS[hts_4],,,)</f>
        <v>8512</v>
      </c>
      <c r="I7074" t="str" cm="1">
        <f t="array" ref="I7074">_xlfn.XLOOKUP(FACT_IMPORTS[[#This Row],[country_name]],DIM_COUNTRY[[#All],[Column2]],DIM_COUNTRY[[#All],[Column3]],,,)</f>
        <v>Major_Non-USMCA_Non-China</v>
      </c>
    </row>
    <row r="7075" spans="1:9" x14ac:dyDescent="0.4">
      <c r="A7075" t="s">
        <v>71</v>
      </c>
      <c r="B7075" s="1">
        <v>45017</v>
      </c>
      <c r="C7075">
        <v>851230</v>
      </c>
      <c r="D7075" t="s">
        <v>176</v>
      </c>
      <c r="E7075">
        <v>43830</v>
      </c>
      <c r="F7075">
        <v>4345</v>
      </c>
      <c r="G7075">
        <v>948</v>
      </c>
      <c r="H7075">
        <f>_xlfn.XLOOKUP(FACT_IMPORTS[[#This Row],[hts_6]],DIM_PRODUCTS[hts_6],DIM_PRODUCTS[hts_4],,,)</f>
        <v>8512</v>
      </c>
      <c r="I7075" t="str" cm="1">
        <f t="array" ref="I7075">_xlfn.XLOOKUP(FACT_IMPORTS[[#This Row],[country_name]],DIM_COUNTRY[[#All],[Column2]],DIM_COUNTRY[[#All],[Column3]],,,)</f>
        <v>Major_Non-USMCA_Non-China</v>
      </c>
    </row>
    <row r="7076" spans="1:9" x14ac:dyDescent="0.4">
      <c r="A7076" t="s">
        <v>71</v>
      </c>
      <c r="B7076" s="1">
        <v>45017</v>
      </c>
      <c r="C7076">
        <v>851290</v>
      </c>
      <c r="D7076" t="s">
        <v>176</v>
      </c>
      <c r="E7076">
        <v>152841</v>
      </c>
      <c r="F7076">
        <v>10800</v>
      </c>
      <c r="G7076">
        <v>4800</v>
      </c>
      <c r="H7076">
        <f>_xlfn.XLOOKUP(FACT_IMPORTS[[#This Row],[hts_6]],DIM_PRODUCTS[hts_6],DIM_PRODUCTS[hts_4],,,)</f>
        <v>8512</v>
      </c>
      <c r="I7076" t="str" cm="1">
        <f t="array" ref="I7076">_xlfn.XLOOKUP(FACT_IMPORTS[[#This Row],[country_name]],DIM_COUNTRY[[#All],[Column2]],DIM_COUNTRY[[#All],[Column3]],,,)</f>
        <v>Major_Non-USMCA_Non-China</v>
      </c>
    </row>
    <row r="7077" spans="1:9" x14ac:dyDescent="0.4">
      <c r="A7077" t="s">
        <v>71</v>
      </c>
      <c r="B7077" s="1">
        <v>45017</v>
      </c>
      <c r="C7077">
        <v>854231</v>
      </c>
      <c r="D7077" t="s">
        <v>176</v>
      </c>
      <c r="E7077">
        <v>107370</v>
      </c>
      <c r="F7077">
        <v>8377</v>
      </c>
      <c r="G7077">
        <v>1428</v>
      </c>
      <c r="H7077">
        <f>_xlfn.XLOOKUP(FACT_IMPORTS[[#This Row],[hts_6]],DIM_PRODUCTS[hts_6],DIM_PRODUCTS[hts_4],,,)</f>
        <v>8542</v>
      </c>
      <c r="I7077" t="str" cm="1">
        <f t="array" ref="I7077">_xlfn.XLOOKUP(FACT_IMPORTS[[#This Row],[country_name]],DIM_COUNTRY[[#All],[Column2]],DIM_COUNTRY[[#All],[Column3]],,,)</f>
        <v>Major_Non-USMCA_Non-China</v>
      </c>
    </row>
    <row r="7078" spans="1:9" x14ac:dyDescent="0.4">
      <c r="A7078" t="s">
        <v>71</v>
      </c>
      <c r="B7078" s="1">
        <v>45017</v>
      </c>
      <c r="C7078">
        <v>854232</v>
      </c>
      <c r="D7078" t="s">
        <v>176</v>
      </c>
      <c r="E7078">
        <v>0</v>
      </c>
      <c r="F7078">
        <v>0</v>
      </c>
      <c r="G7078">
        <v>0</v>
      </c>
      <c r="H7078">
        <f>_xlfn.XLOOKUP(FACT_IMPORTS[[#This Row],[hts_6]],DIM_PRODUCTS[hts_6],DIM_PRODUCTS[hts_4],,,)</f>
        <v>8542</v>
      </c>
      <c r="I7078" t="str" cm="1">
        <f t="array" ref="I7078">_xlfn.XLOOKUP(FACT_IMPORTS[[#This Row],[country_name]],DIM_COUNTRY[[#All],[Column2]],DIM_COUNTRY[[#All],[Column3]],,,)</f>
        <v>Major_Non-USMCA_Non-China</v>
      </c>
    </row>
    <row r="7079" spans="1:9" x14ac:dyDescent="0.4">
      <c r="A7079" t="s">
        <v>71</v>
      </c>
      <c r="B7079" s="1">
        <v>45017</v>
      </c>
      <c r="C7079">
        <v>854233</v>
      </c>
      <c r="D7079" t="s">
        <v>176</v>
      </c>
      <c r="E7079">
        <v>3489</v>
      </c>
      <c r="F7079">
        <v>1</v>
      </c>
      <c r="G7079">
        <v>17</v>
      </c>
      <c r="H7079">
        <f>_xlfn.XLOOKUP(FACT_IMPORTS[[#This Row],[hts_6]],DIM_PRODUCTS[hts_6],DIM_PRODUCTS[hts_4],,,)</f>
        <v>8542</v>
      </c>
      <c r="I7079" t="str" cm="1">
        <f t="array" ref="I7079">_xlfn.XLOOKUP(FACT_IMPORTS[[#This Row],[country_name]],DIM_COUNTRY[[#All],[Column2]],DIM_COUNTRY[[#All],[Column3]],,,)</f>
        <v>Major_Non-USMCA_Non-China</v>
      </c>
    </row>
    <row r="7080" spans="1:9" x14ac:dyDescent="0.4">
      <c r="A7080" t="s">
        <v>71</v>
      </c>
      <c r="B7080" s="1">
        <v>45017</v>
      </c>
      <c r="C7080">
        <v>854239</v>
      </c>
      <c r="D7080" t="s">
        <v>176</v>
      </c>
      <c r="E7080">
        <v>2902</v>
      </c>
      <c r="F7080">
        <v>15000</v>
      </c>
      <c r="G7080">
        <v>3</v>
      </c>
      <c r="H7080">
        <f>_xlfn.XLOOKUP(FACT_IMPORTS[[#This Row],[hts_6]],DIM_PRODUCTS[hts_6],DIM_PRODUCTS[hts_4],,,)</f>
        <v>8542</v>
      </c>
      <c r="I7080" t="str" cm="1">
        <f t="array" ref="I7080">_xlfn.XLOOKUP(FACT_IMPORTS[[#This Row],[country_name]],DIM_COUNTRY[[#All],[Column2]],DIM_COUNTRY[[#All],[Column3]],,,)</f>
        <v>Major_Non-USMCA_Non-China</v>
      </c>
    </row>
    <row r="7081" spans="1:9" x14ac:dyDescent="0.4">
      <c r="A7081" t="s">
        <v>71</v>
      </c>
      <c r="B7081" s="1">
        <v>45017</v>
      </c>
      <c r="C7081">
        <v>854430</v>
      </c>
      <c r="D7081" t="s">
        <v>176</v>
      </c>
      <c r="E7081">
        <v>17802</v>
      </c>
      <c r="F7081">
        <v>6</v>
      </c>
      <c r="G7081">
        <v>12</v>
      </c>
      <c r="H7081">
        <f>_xlfn.XLOOKUP(FACT_IMPORTS[[#This Row],[hts_6]],DIM_PRODUCTS[hts_6],DIM_PRODUCTS[hts_4],,,)</f>
        <v>8544</v>
      </c>
      <c r="I7081" t="str" cm="1">
        <f t="array" ref="I7081">_xlfn.XLOOKUP(FACT_IMPORTS[[#This Row],[country_name]],DIM_COUNTRY[[#All],[Column2]],DIM_COUNTRY[[#All],[Column3]],,,)</f>
        <v>Major_Non-USMCA_Non-China</v>
      </c>
    </row>
    <row r="7082" spans="1:9" x14ac:dyDescent="0.4">
      <c r="A7082" t="s">
        <v>71</v>
      </c>
      <c r="B7082" s="1">
        <v>45017</v>
      </c>
      <c r="C7082">
        <v>870710</v>
      </c>
      <c r="D7082" t="s">
        <v>176</v>
      </c>
      <c r="E7082">
        <v>0</v>
      </c>
      <c r="F7082">
        <v>0</v>
      </c>
      <c r="G7082">
        <v>0</v>
      </c>
      <c r="H7082">
        <f>_xlfn.XLOOKUP(FACT_IMPORTS[[#This Row],[hts_6]],DIM_PRODUCTS[hts_6],DIM_PRODUCTS[hts_4],,,)</f>
        <v>8707</v>
      </c>
      <c r="I7082" t="str" cm="1">
        <f t="array" ref="I7082">_xlfn.XLOOKUP(FACT_IMPORTS[[#This Row],[country_name]],DIM_COUNTRY[[#All],[Column2]],DIM_COUNTRY[[#All],[Column3]],,,)</f>
        <v>Major_Non-USMCA_Non-China</v>
      </c>
    </row>
    <row r="7083" spans="1:9" x14ac:dyDescent="0.4">
      <c r="A7083" t="s">
        <v>71</v>
      </c>
      <c r="B7083" s="1">
        <v>45017</v>
      </c>
      <c r="C7083">
        <v>870790</v>
      </c>
      <c r="D7083" t="s">
        <v>176</v>
      </c>
      <c r="E7083">
        <v>0</v>
      </c>
      <c r="F7083">
        <v>0</v>
      </c>
      <c r="G7083">
        <v>0</v>
      </c>
      <c r="H7083">
        <f>_xlfn.XLOOKUP(FACT_IMPORTS[[#This Row],[hts_6]],DIM_PRODUCTS[hts_6],DIM_PRODUCTS[hts_4],,,)</f>
        <v>8707</v>
      </c>
      <c r="I7083" t="str" cm="1">
        <f t="array" ref="I7083">_xlfn.XLOOKUP(FACT_IMPORTS[[#This Row],[country_name]],DIM_COUNTRY[[#All],[Column2]],DIM_COUNTRY[[#All],[Column3]],,,)</f>
        <v>Major_Non-USMCA_Non-China</v>
      </c>
    </row>
    <row r="7084" spans="1:9" x14ac:dyDescent="0.4">
      <c r="A7084" t="s">
        <v>71</v>
      </c>
      <c r="B7084" s="1">
        <v>45017</v>
      </c>
      <c r="C7084">
        <v>870810</v>
      </c>
      <c r="D7084" t="s">
        <v>176</v>
      </c>
      <c r="E7084">
        <v>0</v>
      </c>
      <c r="F7084">
        <v>0</v>
      </c>
      <c r="G7084">
        <v>0</v>
      </c>
      <c r="H7084">
        <f>_xlfn.XLOOKUP(FACT_IMPORTS[[#This Row],[hts_6]],DIM_PRODUCTS[hts_6],DIM_PRODUCTS[hts_4],,,)</f>
        <v>8708</v>
      </c>
      <c r="I7084" t="str" cm="1">
        <f t="array" ref="I7084">_xlfn.XLOOKUP(FACT_IMPORTS[[#This Row],[country_name]],DIM_COUNTRY[[#All],[Column2]],DIM_COUNTRY[[#All],[Column3]],,,)</f>
        <v>Major_Non-USMCA_Non-China</v>
      </c>
    </row>
    <row r="7085" spans="1:9" x14ac:dyDescent="0.4">
      <c r="A7085" t="s">
        <v>71</v>
      </c>
      <c r="B7085" s="1">
        <v>45017</v>
      </c>
      <c r="C7085">
        <v>870829</v>
      </c>
      <c r="D7085" t="s">
        <v>176</v>
      </c>
      <c r="E7085">
        <v>4312722</v>
      </c>
      <c r="F7085">
        <v>501499</v>
      </c>
      <c r="G7085">
        <v>60601</v>
      </c>
      <c r="H7085">
        <f>_xlfn.XLOOKUP(FACT_IMPORTS[[#This Row],[hts_6]],DIM_PRODUCTS[hts_6],DIM_PRODUCTS[hts_4],,,)</f>
        <v>8708</v>
      </c>
      <c r="I7085" t="str" cm="1">
        <f t="array" ref="I7085">_xlfn.XLOOKUP(FACT_IMPORTS[[#This Row],[country_name]],DIM_COUNTRY[[#All],[Column2]],DIM_COUNTRY[[#All],[Column3]],,,)</f>
        <v>Major_Non-USMCA_Non-China</v>
      </c>
    </row>
    <row r="7086" spans="1:9" x14ac:dyDescent="0.4">
      <c r="A7086" t="s">
        <v>71</v>
      </c>
      <c r="B7086" s="1">
        <v>45017</v>
      </c>
      <c r="C7086">
        <v>870830</v>
      </c>
      <c r="D7086" t="s">
        <v>176</v>
      </c>
      <c r="E7086">
        <v>1340622</v>
      </c>
      <c r="F7086">
        <v>172808</v>
      </c>
      <c r="G7086">
        <v>54374</v>
      </c>
      <c r="H7086">
        <f>_xlfn.XLOOKUP(FACT_IMPORTS[[#This Row],[hts_6]],DIM_PRODUCTS[hts_6],DIM_PRODUCTS[hts_4],,,)</f>
        <v>8708</v>
      </c>
      <c r="I7086" t="str" cm="1">
        <f t="array" ref="I7086">_xlfn.XLOOKUP(FACT_IMPORTS[[#This Row],[country_name]],DIM_COUNTRY[[#All],[Column2]],DIM_COUNTRY[[#All],[Column3]],,,)</f>
        <v>Major_Non-USMCA_Non-China</v>
      </c>
    </row>
    <row r="7087" spans="1:9" x14ac:dyDescent="0.4">
      <c r="A7087" t="s">
        <v>71</v>
      </c>
      <c r="B7087" s="1">
        <v>45017</v>
      </c>
      <c r="C7087">
        <v>870840</v>
      </c>
      <c r="D7087" t="s">
        <v>176</v>
      </c>
      <c r="E7087">
        <v>1347700</v>
      </c>
      <c r="F7087">
        <v>1618</v>
      </c>
      <c r="G7087">
        <v>33241</v>
      </c>
      <c r="H7087">
        <f>_xlfn.XLOOKUP(FACT_IMPORTS[[#This Row],[hts_6]],DIM_PRODUCTS[hts_6],DIM_PRODUCTS[hts_4],,,)</f>
        <v>8708</v>
      </c>
      <c r="I7087" t="str" cm="1">
        <f t="array" ref="I7087">_xlfn.XLOOKUP(FACT_IMPORTS[[#This Row],[country_name]],DIM_COUNTRY[[#All],[Column2]],DIM_COUNTRY[[#All],[Column3]],,,)</f>
        <v>Major_Non-USMCA_Non-China</v>
      </c>
    </row>
    <row r="7088" spans="1:9" x14ac:dyDescent="0.4">
      <c r="A7088" t="s">
        <v>71</v>
      </c>
      <c r="B7088" s="1">
        <v>45017</v>
      </c>
      <c r="C7088">
        <v>870850</v>
      </c>
      <c r="D7088" t="s">
        <v>176</v>
      </c>
      <c r="E7088">
        <v>14586</v>
      </c>
      <c r="F7088">
        <v>20</v>
      </c>
      <c r="G7088">
        <v>588</v>
      </c>
      <c r="H7088">
        <f>_xlfn.XLOOKUP(FACT_IMPORTS[[#This Row],[hts_6]],DIM_PRODUCTS[hts_6],DIM_PRODUCTS[hts_4],,,)</f>
        <v>8708</v>
      </c>
      <c r="I7088" t="str" cm="1">
        <f t="array" ref="I7088">_xlfn.XLOOKUP(FACT_IMPORTS[[#This Row],[country_name]],DIM_COUNTRY[[#All],[Column2]],DIM_COUNTRY[[#All],[Column3]],,,)</f>
        <v>Major_Non-USMCA_Non-China</v>
      </c>
    </row>
    <row r="7089" spans="1:9" x14ac:dyDescent="0.4">
      <c r="A7089" t="s">
        <v>71</v>
      </c>
      <c r="B7089" s="1">
        <v>45017</v>
      </c>
      <c r="C7089">
        <v>870870</v>
      </c>
      <c r="D7089" t="s">
        <v>176</v>
      </c>
      <c r="E7089">
        <v>0</v>
      </c>
      <c r="F7089">
        <v>0</v>
      </c>
      <c r="G7089">
        <v>0</v>
      </c>
      <c r="H7089">
        <f>_xlfn.XLOOKUP(FACT_IMPORTS[[#This Row],[hts_6]],DIM_PRODUCTS[hts_6],DIM_PRODUCTS[hts_4],,,)</f>
        <v>8708</v>
      </c>
      <c r="I7089" t="str" cm="1">
        <f t="array" ref="I7089">_xlfn.XLOOKUP(FACT_IMPORTS[[#This Row],[country_name]],DIM_COUNTRY[[#All],[Column2]],DIM_COUNTRY[[#All],[Column3]],,,)</f>
        <v>Major_Non-USMCA_Non-China</v>
      </c>
    </row>
    <row r="7090" spans="1:9" x14ac:dyDescent="0.4">
      <c r="A7090" t="s">
        <v>71</v>
      </c>
      <c r="B7090" s="1">
        <v>45017</v>
      </c>
      <c r="C7090">
        <v>870880</v>
      </c>
      <c r="D7090" t="s">
        <v>176</v>
      </c>
      <c r="E7090">
        <v>167642</v>
      </c>
      <c r="F7090">
        <v>6682</v>
      </c>
      <c r="G7090">
        <v>12329</v>
      </c>
      <c r="H7090">
        <f>_xlfn.XLOOKUP(FACT_IMPORTS[[#This Row],[hts_6]],DIM_PRODUCTS[hts_6],DIM_PRODUCTS[hts_4],,,)</f>
        <v>8708</v>
      </c>
      <c r="I7090" t="str" cm="1">
        <f t="array" ref="I7090">_xlfn.XLOOKUP(FACT_IMPORTS[[#This Row],[country_name]],DIM_COUNTRY[[#All],[Column2]],DIM_COUNTRY[[#All],[Column3]],,,)</f>
        <v>Major_Non-USMCA_Non-China</v>
      </c>
    </row>
    <row r="7091" spans="1:9" x14ac:dyDescent="0.4">
      <c r="A7091" t="s">
        <v>71</v>
      </c>
      <c r="B7091" s="1">
        <v>45017</v>
      </c>
      <c r="C7091">
        <v>870891</v>
      </c>
      <c r="D7091" t="s">
        <v>176</v>
      </c>
      <c r="E7091">
        <v>214861</v>
      </c>
      <c r="F7091">
        <v>119489</v>
      </c>
      <c r="G7091">
        <v>2978</v>
      </c>
      <c r="H7091">
        <f>_xlfn.XLOOKUP(FACT_IMPORTS[[#This Row],[hts_6]],DIM_PRODUCTS[hts_6],DIM_PRODUCTS[hts_4],,,)</f>
        <v>8708</v>
      </c>
      <c r="I7091" t="str" cm="1">
        <f t="array" ref="I7091">_xlfn.XLOOKUP(FACT_IMPORTS[[#This Row],[country_name]],DIM_COUNTRY[[#All],[Column2]],DIM_COUNTRY[[#All],[Column3]],,,)</f>
        <v>Major_Non-USMCA_Non-China</v>
      </c>
    </row>
    <row r="7092" spans="1:9" x14ac:dyDescent="0.4">
      <c r="A7092" t="s">
        <v>71</v>
      </c>
      <c r="B7092" s="1">
        <v>45017</v>
      </c>
      <c r="C7092">
        <v>870892</v>
      </c>
      <c r="D7092" t="s">
        <v>176</v>
      </c>
      <c r="E7092">
        <v>0</v>
      </c>
      <c r="F7092">
        <v>0</v>
      </c>
      <c r="G7092">
        <v>0</v>
      </c>
      <c r="H7092">
        <f>_xlfn.XLOOKUP(FACT_IMPORTS[[#This Row],[hts_6]],DIM_PRODUCTS[hts_6],DIM_PRODUCTS[hts_4],,,)</f>
        <v>8708</v>
      </c>
      <c r="I7092" t="str" cm="1">
        <f t="array" ref="I7092">_xlfn.XLOOKUP(FACT_IMPORTS[[#This Row],[country_name]],DIM_COUNTRY[[#All],[Column2]],DIM_COUNTRY[[#All],[Column3]],,,)</f>
        <v>Major_Non-USMCA_Non-China</v>
      </c>
    </row>
    <row r="7093" spans="1:9" x14ac:dyDescent="0.4">
      <c r="A7093" t="s">
        <v>71</v>
      </c>
      <c r="B7093" s="1">
        <v>45017</v>
      </c>
      <c r="C7093">
        <v>870893</v>
      </c>
      <c r="D7093" t="s">
        <v>176</v>
      </c>
      <c r="E7093">
        <v>1332052</v>
      </c>
      <c r="F7093">
        <v>421378</v>
      </c>
      <c r="G7093">
        <v>16339</v>
      </c>
      <c r="H7093">
        <f>_xlfn.XLOOKUP(FACT_IMPORTS[[#This Row],[hts_6]],DIM_PRODUCTS[hts_6],DIM_PRODUCTS[hts_4],,,)</f>
        <v>8708</v>
      </c>
      <c r="I7093" t="str" cm="1">
        <f t="array" ref="I7093">_xlfn.XLOOKUP(FACT_IMPORTS[[#This Row],[country_name]],DIM_COUNTRY[[#All],[Column2]],DIM_COUNTRY[[#All],[Column3]],,,)</f>
        <v>Major_Non-USMCA_Non-China</v>
      </c>
    </row>
    <row r="7094" spans="1:9" x14ac:dyDescent="0.4">
      <c r="A7094" t="s">
        <v>71</v>
      </c>
      <c r="B7094" s="1">
        <v>45017</v>
      </c>
      <c r="C7094">
        <v>870894</v>
      </c>
      <c r="D7094" t="s">
        <v>176</v>
      </c>
      <c r="E7094">
        <v>78133</v>
      </c>
      <c r="F7094">
        <v>3908</v>
      </c>
      <c r="G7094">
        <v>4405</v>
      </c>
      <c r="H7094">
        <f>_xlfn.XLOOKUP(FACT_IMPORTS[[#This Row],[hts_6]],DIM_PRODUCTS[hts_6],DIM_PRODUCTS[hts_4],,,)</f>
        <v>8708</v>
      </c>
      <c r="I7094" t="str" cm="1">
        <f t="array" ref="I7094">_xlfn.XLOOKUP(FACT_IMPORTS[[#This Row],[country_name]],DIM_COUNTRY[[#All],[Column2]],DIM_COUNTRY[[#All],[Column3]],,,)</f>
        <v>Major_Non-USMCA_Non-China</v>
      </c>
    </row>
    <row r="7095" spans="1:9" x14ac:dyDescent="0.4">
      <c r="A7095" t="s">
        <v>71</v>
      </c>
      <c r="B7095" s="1">
        <v>45017</v>
      </c>
      <c r="C7095">
        <v>870895</v>
      </c>
      <c r="D7095" t="s">
        <v>176</v>
      </c>
      <c r="E7095">
        <v>2448</v>
      </c>
      <c r="F7095">
        <v>10</v>
      </c>
      <c r="G7095">
        <v>2</v>
      </c>
      <c r="H7095">
        <f>_xlfn.XLOOKUP(FACT_IMPORTS[[#This Row],[hts_6]],DIM_PRODUCTS[hts_6],DIM_PRODUCTS[hts_4],,,)</f>
        <v>8708</v>
      </c>
      <c r="I7095" t="str" cm="1">
        <f t="array" ref="I7095">_xlfn.XLOOKUP(FACT_IMPORTS[[#This Row],[country_name]],DIM_COUNTRY[[#All],[Column2]],DIM_COUNTRY[[#All],[Column3]],,,)</f>
        <v>Major_Non-USMCA_Non-China</v>
      </c>
    </row>
    <row r="7096" spans="1:9" x14ac:dyDescent="0.4">
      <c r="A7096" t="s">
        <v>71</v>
      </c>
      <c r="B7096" s="1">
        <v>45017</v>
      </c>
      <c r="C7096">
        <v>870899</v>
      </c>
      <c r="D7096" t="s">
        <v>176</v>
      </c>
      <c r="E7096">
        <v>1916520</v>
      </c>
      <c r="F7096">
        <v>1482108</v>
      </c>
      <c r="G7096">
        <v>151728</v>
      </c>
      <c r="H7096">
        <f>_xlfn.XLOOKUP(FACT_IMPORTS[[#This Row],[hts_6]],DIM_PRODUCTS[hts_6],DIM_PRODUCTS[hts_4],,,)</f>
        <v>8708</v>
      </c>
      <c r="I7096" t="str" cm="1">
        <f t="array" ref="I7096">_xlfn.XLOOKUP(FACT_IMPORTS[[#This Row],[country_name]],DIM_COUNTRY[[#All],[Column2]],DIM_COUNTRY[[#All],[Column3]],,,)</f>
        <v>Major_Non-USMCA_Non-China</v>
      </c>
    </row>
    <row r="7097" spans="1:9" x14ac:dyDescent="0.4">
      <c r="A7097" t="s">
        <v>71</v>
      </c>
      <c r="B7097" s="1">
        <v>45017</v>
      </c>
      <c r="C7097">
        <v>940120</v>
      </c>
      <c r="D7097" t="s">
        <v>176</v>
      </c>
      <c r="E7097">
        <v>1075</v>
      </c>
      <c r="F7097">
        <v>1</v>
      </c>
      <c r="G7097">
        <v>22</v>
      </c>
      <c r="H7097">
        <f>_xlfn.XLOOKUP(FACT_IMPORTS[[#This Row],[hts_6]],DIM_PRODUCTS[hts_6],DIM_PRODUCTS[hts_4],,,)</f>
        <v>9401</v>
      </c>
      <c r="I7097" t="str" cm="1">
        <f t="array" ref="I7097">_xlfn.XLOOKUP(FACT_IMPORTS[[#This Row],[country_name]],DIM_COUNTRY[[#All],[Column2]],DIM_COUNTRY[[#All],[Column3]],,,)</f>
        <v>Major_Non-USMCA_Non-China</v>
      </c>
    </row>
    <row r="7098" spans="1:9" x14ac:dyDescent="0.4">
      <c r="A7098" t="s">
        <v>71</v>
      </c>
      <c r="B7098" s="1">
        <v>45047</v>
      </c>
      <c r="C7098">
        <v>392630</v>
      </c>
      <c r="D7098" t="s">
        <v>176</v>
      </c>
      <c r="E7098">
        <v>3090</v>
      </c>
      <c r="F7098">
        <v>232</v>
      </c>
      <c r="G7098">
        <v>104</v>
      </c>
      <c r="H7098">
        <f>_xlfn.XLOOKUP(FACT_IMPORTS[[#This Row],[hts_6]],DIM_PRODUCTS[hts_6],DIM_PRODUCTS[hts_4],,,)</f>
        <v>3926</v>
      </c>
      <c r="I7098" t="str" cm="1">
        <f t="array" ref="I7098">_xlfn.XLOOKUP(FACT_IMPORTS[[#This Row],[country_name]],DIM_COUNTRY[[#All],[Column2]],DIM_COUNTRY[[#All],[Column3]],,,)</f>
        <v>Major_Non-USMCA_Non-China</v>
      </c>
    </row>
    <row r="7099" spans="1:9" x14ac:dyDescent="0.4">
      <c r="A7099" t="s">
        <v>71</v>
      </c>
      <c r="B7099" s="1">
        <v>45047</v>
      </c>
      <c r="C7099">
        <v>401110</v>
      </c>
      <c r="D7099" t="s">
        <v>176</v>
      </c>
      <c r="E7099">
        <v>167635</v>
      </c>
      <c r="F7099">
        <v>1297</v>
      </c>
      <c r="G7099">
        <v>506</v>
      </c>
      <c r="H7099">
        <f>_xlfn.XLOOKUP(FACT_IMPORTS[[#This Row],[hts_6]],DIM_PRODUCTS[hts_6],DIM_PRODUCTS[hts_4],,,)</f>
        <v>4011</v>
      </c>
      <c r="I7099" t="str" cm="1">
        <f t="array" ref="I7099">_xlfn.XLOOKUP(FACT_IMPORTS[[#This Row],[country_name]],DIM_COUNTRY[[#All],[Column2]],DIM_COUNTRY[[#All],[Column3]],,,)</f>
        <v>Major_Non-USMCA_Non-China</v>
      </c>
    </row>
    <row r="7100" spans="1:9" x14ac:dyDescent="0.4">
      <c r="A7100" t="s">
        <v>71</v>
      </c>
      <c r="B7100" s="1">
        <v>45047</v>
      </c>
      <c r="C7100">
        <v>401120</v>
      </c>
      <c r="D7100" t="s">
        <v>176</v>
      </c>
      <c r="E7100">
        <v>0</v>
      </c>
      <c r="F7100">
        <v>0</v>
      </c>
      <c r="G7100">
        <v>0</v>
      </c>
      <c r="H7100">
        <f>_xlfn.XLOOKUP(FACT_IMPORTS[[#This Row],[hts_6]],DIM_PRODUCTS[hts_6],DIM_PRODUCTS[hts_4],,,)</f>
        <v>4011</v>
      </c>
      <c r="I7100" t="str" cm="1">
        <f t="array" ref="I7100">_xlfn.XLOOKUP(FACT_IMPORTS[[#This Row],[country_name]],DIM_COUNTRY[[#All],[Column2]],DIM_COUNTRY[[#All],[Column3]],,,)</f>
        <v>Major_Non-USMCA_Non-China</v>
      </c>
    </row>
    <row r="7101" spans="1:9" x14ac:dyDescent="0.4">
      <c r="A7101" t="s">
        <v>71</v>
      </c>
      <c r="B7101" s="1">
        <v>45047</v>
      </c>
      <c r="C7101">
        <v>401140</v>
      </c>
      <c r="D7101" t="s">
        <v>176</v>
      </c>
      <c r="E7101">
        <v>0</v>
      </c>
      <c r="F7101">
        <v>0</v>
      </c>
      <c r="G7101">
        <v>0</v>
      </c>
      <c r="H7101">
        <f>_xlfn.XLOOKUP(FACT_IMPORTS[[#This Row],[hts_6]],DIM_PRODUCTS[hts_6],DIM_PRODUCTS[hts_4],,,)</f>
        <v>4011</v>
      </c>
      <c r="I7101" t="str" cm="1">
        <f t="array" ref="I7101">_xlfn.XLOOKUP(FACT_IMPORTS[[#This Row],[country_name]],DIM_COUNTRY[[#All],[Column2]],DIM_COUNTRY[[#All],[Column3]],,,)</f>
        <v>Major_Non-USMCA_Non-China</v>
      </c>
    </row>
    <row r="7102" spans="1:9" x14ac:dyDescent="0.4">
      <c r="A7102" t="s">
        <v>71</v>
      </c>
      <c r="B7102" s="1">
        <v>45047</v>
      </c>
      <c r="C7102">
        <v>700721</v>
      </c>
      <c r="D7102" t="s">
        <v>176</v>
      </c>
      <c r="E7102">
        <v>0</v>
      </c>
      <c r="F7102">
        <v>0</v>
      </c>
      <c r="G7102">
        <v>0</v>
      </c>
      <c r="H7102">
        <f>_xlfn.XLOOKUP(FACT_IMPORTS[[#This Row],[hts_6]],DIM_PRODUCTS[hts_6],DIM_PRODUCTS[hts_4],,,)</f>
        <v>7007</v>
      </c>
      <c r="I7102" t="str" cm="1">
        <f t="array" ref="I7102">_xlfn.XLOOKUP(FACT_IMPORTS[[#This Row],[country_name]],DIM_COUNTRY[[#All],[Column2]],DIM_COUNTRY[[#All],[Column3]],,,)</f>
        <v>Major_Non-USMCA_Non-China</v>
      </c>
    </row>
    <row r="7103" spans="1:9" x14ac:dyDescent="0.4">
      <c r="A7103" t="s">
        <v>71</v>
      </c>
      <c r="B7103" s="1">
        <v>45047</v>
      </c>
      <c r="C7103">
        <v>700910</v>
      </c>
      <c r="D7103" t="s">
        <v>176</v>
      </c>
      <c r="E7103">
        <v>0</v>
      </c>
      <c r="F7103">
        <v>0</v>
      </c>
      <c r="G7103">
        <v>0</v>
      </c>
      <c r="H7103">
        <f>_xlfn.XLOOKUP(FACT_IMPORTS[[#This Row],[hts_6]],DIM_PRODUCTS[hts_6],DIM_PRODUCTS[hts_4],,,)</f>
        <v>7009</v>
      </c>
      <c r="I7103" t="str" cm="1">
        <f t="array" ref="I7103">_xlfn.XLOOKUP(FACT_IMPORTS[[#This Row],[country_name]],DIM_COUNTRY[[#All],[Column2]],DIM_COUNTRY[[#All],[Column3]],,,)</f>
        <v>Major_Non-USMCA_Non-China</v>
      </c>
    </row>
    <row r="7104" spans="1:9" x14ac:dyDescent="0.4">
      <c r="A7104" t="s">
        <v>71</v>
      </c>
      <c r="B7104" s="1">
        <v>45047</v>
      </c>
      <c r="C7104">
        <v>732010</v>
      </c>
      <c r="D7104" t="s">
        <v>176</v>
      </c>
      <c r="E7104">
        <v>0</v>
      </c>
      <c r="F7104">
        <v>0</v>
      </c>
      <c r="G7104">
        <v>0</v>
      </c>
      <c r="H7104">
        <f>_xlfn.XLOOKUP(FACT_IMPORTS[[#This Row],[hts_6]],DIM_PRODUCTS[hts_6],DIM_PRODUCTS[hts_4],,,)</f>
        <v>7320</v>
      </c>
      <c r="I7104" t="str" cm="1">
        <f t="array" ref="I7104">_xlfn.XLOOKUP(FACT_IMPORTS[[#This Row],[country_name]],DIM_COUNTRY[[#All],[Column2]],DIM_COUNTRY[[#All],[Column3]],,,)</f>
        <v>Major_Non-USMCA_Non-China</v>
      </c>
    </row>
    <row r="7105" spans="1:9" x14ac:dyDescent="0.4">
      <c r="A7105" t="s">
        <v>71</v>
      </c>
      <c r="B7105" s="1">
        <v>45047</v>
      </c>
      <c r="C7105">
        <v>830230</v>
      </c>
      <c r="D7105" t="s">
        <v>176</v>
      </c>
      <c r="E7105">
        <v>47993</v>
      </c>
      <c r="F7105">
        <v>9366</v>
      </c>
      <c r="G7105">
        <v>539</v>
      </c>
      <c r="H7105">
        <f>_xlfn.XLOOKUP(FACT_IMPORTS[[#This Row],[hts_6]],DIM_PRODUCTS[hts_6],DIM_PRODUCTS[hts_4],,,)</f>
        <v>8302</v>
      </c>
      <c r="I7105" t="str" cm="1">
        <f t="array" ref="I7105">_xlfn.XLOOKUP(FACT_IMPORTS[[#This Row],[country_name]],DIM_COUNTRY[[#All],[Column2]],DIM_COUNTRY[[#All],[Column3]],,,)</f>
        <v>Major_Non-USMCA_Non-China</v>
      </c>
    </row>
    <row r="7106" spans="1:9" x14ac:dyDescent="0.4">
      <c r="A7106" t="s">
        <v>71</v>
      </c>
      <c r="B7106" s="1">
        <v>45047</v>
      </c>
      <c r="C7106">
        <v>840734</v>
      </c>
      <c r="D7106" t="s">
        <v>176</v>
      </c>
      <c r="E7106">
        <v>354144</v>
      </c>
      <c r="F7106">
        <v>17</v>
      </c>
      <c r="G7106">
        <v>24735</v>
      </c>
      <c r="H7106">
        <f>_xlfn.XLOOKUP(FACT_IMPORTS[[#This Row],[hts_6]],DIM_PRODUCTS[hts_6],DIM_PRODUCTS[hts_4],,,)</f>
        <v>8407</v>
      </c>
      <c r="I7106" t="str" cm="1">
        <f t="array" ref="I7106">_xlfn.XLOOKUP(FACT_IMPORTS[[#This Row],[country_name]],DIM_COUNTRY[[#All],[Column2]],DIM_COUNTRY[[#All],[Column3]],,,)</f>
        <v>Major_Non-USMCA_Non-China</v>
      </c>
    </row>
    <row r="7107" spans="1:9" x14ac:dyDescent="0.4">
      <c r="A7107" t="s">
        <v>71</v>
      </c>
      <c r="B7107" s="1">
        <v>45047</v>
      </c>
      <c r="C7107">
        <v>840790</v>
      </c>
      <c r="D7107" t="s">
        <v>176</v>
      </c>
      <c r="E7107">
        <v>2900</v>
      </c>
      <c r="F7107">
        <v>1</v>
      </c>
      <c r="G7107">
        <v>1</v>
      </c>
      <c r="H7107">
        <f>_xlfn.XLOOKUP(FACT_IMPORTS[[#This Row],[hts_6]],DIM_PRODUCTS[hts_6],DIM_PRODUCTS[hts_4],,,)</f>
        <v>8407</v>
      </c>
      <c r="I7107" t="str" cm="1">
        <f t="array" ref="I7107">_xlfn.XLOOKUP(FACT_IMPORTS[[#This Row],[country_name]],DIM_COUNTRY[[#All],[Column2]],DIM_COUNTRY[[#All],[Column3]],,,)</f>
        <v>Major_Non-USMCA_Non-China</v>
      </c>
    </row>
    <row r="7108" spans="1:9" x14ac:dyDescent="0.4">
      <c r="A7108" t="s">
        <v>71</v>
      </c>
      <c r="B7108" s="1">
        <v>45047</v>
      </c>
      <c r="C7108">
        <v>840820</v>
      </c>
      <c r="D7108" t="s">
        <v>176</v>
      </c>
      <c r="E7108">
        <v>0</v>
      </c>
      <c r="F7108">
        <v>0</v>
      </c>
      <c r="G7108">
        <v>0</v>
      </c>
      <c r="H7108">
        <f>_xlfn.XLOOKUP(FACT_IMPORTS[[#This Row],[hts_6]],DIM_PRODUCTS[hts_6],DIM_PRODUCTS[hts_4],,,)</f>
        <v>8408</v>
      </c>
      <c r="I7108" t="str" cm="1">
        <f t="array" ref="I7108">_xlfn.XLOOKUP(FACT_IMPORTS[[#This Row],[country_name]],DIM_COUNTRY[[#All],[Column2]],DIM_COUNTRY[[#All],[Column3]],,,)</f>
        <v>Major_Non-USMCA_Non-China</v>
      </c>
    </row>
    <row r="7109" spans="1:9" x14ac:dyDescent="0.4">
      <c r="A7109" t="s">
        <v>71</v>
      </c>
      <c r="B7109" s="1">
        <v>45047</v>
      </c>
      <c r="C7109">
        <v>840890</v>
      </c>
      <c r="D7109" t="s">
        <v>176</v>
      </c>
      <c r="E7109">
        <v>0</v>
      </c>
      <c r="F7109">
        <v>0</v>
      </c>
      <c r="G7109">
        <v>0</v>
      </c>
      <c r="H7109">
        <f>_xlfn.XLOOKUP(FACT_IMPORTS[[#This Row],[hts_6]],DIM_PRODUCTS[hts_6],DIM_PRODUCTS[hts_4],,,)</f>
        <v>8408</v>
      </c>
      <c r="I7109" t="str" cm="1">
        <f t="array" ref="I7109">_xlfn.XLOOKUP(FACT_IMPORTS[[#This Row],[country_name]],DIM_COUNTRY[[#All],[Column2]],DIM_COUNTRY[[#All],[Column3]],,,)</f>
        <v>Major_Non-USMCA_Non-China</v>
      </c>
    </row>
    <row r="7110" spans="1:9" x14ac:dyDescent="0.4">
      <c r="A7110" t="s">
        <v>71</v>
      </c>
      <c r="B7110" s="1">
        <v>45047</v>
      </c>
      <c r="C7110">
        <v>840991</v>
      </c>
      <c r="D7110" t="s">
        <v>176</v>
      </c>
      <c r="E7110">
        <v>12535067</v>
      </c>
      <c r="F7110">
        <v>760685</v>
      </c>
      <c r="G7110">
        <v>264905</v>
      </c>
      <c r="H7110">
        <f>_xlfn.XLOOKUP(FACT_IMPORTS[[#This Row],[hts_6]],DIM_PRODUCTS[hts_6],DIM_PRODUCTS[hts_4],,,)</f>
        <v>8409</v>
      </c>
      <c r="I7110" t="str" cm="1">
        <f t="array" ref="I7110">_xlfn.XLOOKUP(FACT_IMPORTS[[#This Row],[country_name]],DIM_COUNTRY[[#All],[Column2]],DIM_COUNTRY[[#All],[Column3]],,,)</f>
        <v>Major_Non-USMCA_Non-China</v>
      </c>
    </row>
    <row r="7111" spans="1:9" x14ac:dyDescent="0.4">
      <c r="A7111" t="s">
        <v>71</v>
      </c>
      <c r="B7111" s="1">
        <v>45047</v>
      </c>
      <c r="C7111">
        <v>840999</v>
      </c>
      <c r="D7111" t="s">
        <v>176</v>
      </c>
      <c r="E7111">
        <v>5436</v>
      </c>
      <c r="F7111">
        <v>58</v>
      </c>
      <c r="G7111">
        <v>13</v>
      </c>
      <c r="H7111">
        <f>_xlfn.XLOOKUP(FACT_IMPORTS[[#This Row],[hts_6]],DIM_PRODUCTS[hts_6],DIM_PRODUCTS[hts_4],,,)</f>
        <v>8409</v>
      </c>
      <c r="I7111" t="str" cm="1">
        <f t="array" ref="I7111">_xlfn.XLOOKUP(FACT_IMPORTS[[#This Row],[country_name]],DIM_COUNTRY[[#All],[Column2]],DIM_COUNTRY[[#All],[Column3]],,,)</f>
        <v>Major_Non-USMCA_Non-China</v>
      </c>
    </row>
    <row r="7112" spans="1:9" x14ac:dyDescent="0.4">
      <c r="A7112" t="s">
        <v>71</v>
      </c>
      <c r="B7112" s="1">
        <v>45047</v>
      </c>
      <c r="C7112">
        <v>841330</v>
      </c>
      <c r="D7112" t="s">
        <v>176</v>
      </c>
      <c r="E7112">
        <v>354162</v>
      </c>
      <c r="F7112">
        <v>5815</v>
      </c>
      <c r="G7112">
        <v>9482</v>
      </c>
      <c r="H7112">
        <f>_xlfn.XLOOKUP(FACT_IMPORTS[[#This Row],[hts_6]],DIM_PRODUCTS[hts_6],DIM_PRODUCTS[hts_4],,,)</f>
        <v>8413</v>
      </c>
      <c r="I7112" t="str" cm="1">
        <f t="array" ref="I7112">_xlfn.XLOOKUP(FACT_IMPORTS[[#This Row],[country_name]],DIM_COUNTRY[[#All],[Column2]],DIM_COUNTRY[[#All],[Column3]],,,)</f>
        <v>Major_Non-USMCA_Non-China</v>
      </c>
    </row>
    <row r="7113" spans="1:9" x14ac:dyDescent="0.4">
      <c r="A7113" t="s">
        <v>71</v>
      </c>
      <c r="B7113" s="1">
        <v>45047</v>
      </c>
      <c r="C7113">
        <v>841520</v>
      </c>
      <c r="D7113" t="s">
        <v>176</v>
      </c>
      <c r="E7113">
        <v>5107</v>
      </c>
      <c r="F7113">
        <v>1</v>
      </c>
      <c r="G7113">
        <v>51</v>
      </c>
      <c r="H7113">
        <f>_xlfn.XLOOKUP(FACT_IMPORTS[[#This Row],[hts_6]],DIM_PRODUCTS[hts_6],DIM_PRODUCTS[hts_4],,,)</f>
        <v>8415</v>
      </c>
      <c r="I7113" t="str" cm="1">
        <f t="array" ref="I7113">_xlfn.XLOOKUP(FACT_IMPORTS[[#This Row],[country_name]],DIM_COUNTRY[[#All],[Column2]],DIM_COUNTRY[[#All],[Column3]],,,)</f>
        <v>Major_Non-USMCA_Non-China</v>
      </c>
    </row>
    <row r="7114" spans="1:9" x14ac:dyDescent="0.4">
      <c r="A7114" t="s">
        <v>71</v>
      </c>
      <c r="B7114" s="1">
        <v>45047</v>
      </c>
      <c r="C7114">
        <v>842132</v>
      </c>
      <c r="D7114" t="s">
        <v>176</v>
      </c>
      <c r="E7114">
        <v>147607</v>
      </c>
      <c r="F7114">
        <v>2701</v>
      </c>
      <c r="G7114">
        <v>583</v>
      </c>
      <c r="H7114">
        <f>_xlfn.XLOOKUP(FACT_IMPORTS[[#This Row],[hts_6]],DIM_PRODUCTS[hts_6],DIM_PRODUCTS[hts_4],,,)</f>
        <v>8421</v>
      </c>
      <c r="I7114" t="str" cm="1">
        <f t="array" ref="I7114">_xlfn.XLOOKUP(FACT_IMPORTS[[#This Row],[country_name]],DIM_COUNTRY[[#All],[Column2]],DIM_COUNTRY[[#All],[Column3]],,,)</f>
        <v>Major_Non-USMCA_Non-China</v>
      </c>
    </row>
    <row r="7115" spans="1:9" x14ac:dyDescent="0.4">
      <c r="A7115" t="s">
        <v>71</v>
      </c>
      <c r="B7115" s="1">
        <v>45047</v>
      </c>
      <c r="C7115">
        <v>848210</v>
      </c>
      <c r="D7115" t="s">
        <v>176</v>
      </c>
      <c r="E7115">
        <v>44880</v>
      </c>
      <c r="F7115">
        <v>3949</v>
      </c>
      <c r="G7115">
        <v>969</v>
      </c>
      <c r="H7115">
        <f>_xlfn.XLOOKUP(FACT_IMPORTS[[#This Row],[hts_6]],DIM_PRODUCTS[hts_6],DIM_PRODUCTS[hts_4],,,)</f>
        <v>8482</v>
      </c>
      <c r="I7115" t="str" cm="1">
        <f t="array" ref="I7115">_xlfn.XLOOKUP(FACT_IMPORTS[[#This Row],[country_name]],DIM_COUNTRY[[#All],[Column2]],DIM_COUNTRY[[#All],[Column3]],,,)</f>
        <v>Major_Non-USMCA_Non-China</v>
      </c>
    </row>
    <row r="7116" spans="1:9" x14ac:dyDescent="0.4">
      <c r="A7116" t="s">
        <v>71</v>
      </c>
      <c r="B7116" s="1">
        <v>45047</v>
      </c>
      <c r="C7116">
        <v>848220</v>
      </c>
      <c r="D7116" t="s">
        <v>176</v>
      </c>
      <c r="E7116">
        <v>360196</v>
      </c>
      <c r="F7116">
        <v>28016</v>
      </c>
      <c r="G7116">
        <v>2465</v>
      </c>
      <c r="H7116">
        <f>_xlfn.XLOOKUP(FACT_IMPORTS[[#This Row],[hts_6]],DIM_PRODUCTS[hts_6],DIM_PRODUCTS[hts_4],,,)</f>
        <v>8482</v>
      </c>
      <c r="I7116" t="str" cm="1">
        <f t="array" ref="I7116">_xlfn.XLOOKUP(FACT_IMPORTS[[#This Row],[country_name]],DIM_COUNTRY[[#All],[Column2]],DIM_COUNTRY[[#All],[Column3]],,,)</f>
        <v>Major_Non-USMCA_Non-China</v>
      </c>
    </row>
    <row r="7117" spans="1:9" x14ac:dyDescent="0.4">
      <c r="A7117" t="s">
        <v>71</v>
      </c>
      <c r="B7117" s="1">
        <v>45047</v>
      </c>
      <c r="C7117">
        <v>848310</v>
      </c>
      <c r="D7117" t="s">
        <v>176</v>
      </c>
      <c r="E7117">
        <v>110184</v>
      </c>
      <c r="F7117">
        <v>4907</v>
      </c>
      <c r="G7117">
        <v>405</v>
      </c>
      <c r="H7117">
        <f>_xlfn.XLOOKUP(FACT_IMPORTS[[#This Row],[hts_6]],DIM_PRODUCTS[hts_6],DIM_PRODUCTS[hts_4],,,)</f>
        <v>8483</v>
      </c>
      <c r="I7117" t="str" cm="1">
        <f t="array" ref="I7117">_xlfn.XLOOKUP(FACT_IMPORTS[[#This Row],[country_name]],DIM_COUNTRY[[#All],[Column2]],DIM_COUNTRY[[#All],[Column3]],,,)</f>
        <v>Major_Non-USMCA_Non-China</v>
      </c>
    </row>
    <row r="7118" spans="1:9" x14ac:dyDescent="0.4">
      <c r="A7118" t="s">
        <v>71</v>
      </c>
      <c r="B7118" s="1">
        <v>45047</v>
      </c>
      <c r="C7118">
        <v>850131</v>
      </c>
      <c r="D7118" t="s">
        <v>176</v>
      </c>
      <c r="E7118">
        <v>2571783</v>
      </c>
      <c r="F7118">
        <v>73025</v>
      </c>
      <c r="G7118">
        <v>34654</v>
      </c>
      <c r="H7118">
        <f>_xlfn.XLOOKUP(FACT_IMPORTS[[#This Row],[hts_6]],DIM_PRODUCTS[hts_6],DIM_PRODUCTS[hts_4],,,)</f>
        <v>8501</v>
      </c>
      <c r="I7118" t="str" cm="1">
        <f t="array" ref="I7118">_xlfn.XLOOKUP(FACT_IMPORTS[[#This Row],[country_name]],DIM_COUNTRY[[#All],[Column2]],DIM_COUNTRY[[#All],[Column3]],,,)</f>
        <v>Major_Non-USMCA_Non-China</v>
      </c>
    </row>
    <row r="7119" spans="1:9" x14ac:dyDescent="0.4">
      <c r="A7119" t="s">
        <v>71</v>
      </c>
      <c r="B7119" s="1">
        <v>45047</v>
      </c>
      <c r="C7119">
        <v>850132</v>
      </c>
      <c r="D7119" t="s">
        <v>176</v>
      </c>
      <c r="E7119">
        <v>7098</v>
      </c>
      <c r="F7119">
        <v>7</v>
      </c>
      <c r="G7119">
        <v>371</v>
      </c>
      <c r="H7119">
        <f>_xlfn.XLOOKUP(FACT_IMPORTS[[#This Row],[hts_6]],DIM_PRODUCTS[hts_6],DIM_PRODUCTS[hts_4],,,)</f>
        <v>8501</v>
      </c>
      <c r="I7119" t="str" cm="1">
        <f t="array" ref="I7119">_xlfn.XLOOKUP(FACT_IMPORTS[[#This Row],[country_name]],DIM_COUNTRY[[#All],[Column2]],DIM_COUNTRY[[#All],[Column3]],,,)</f>
        <v>Major_Non-USMCA_Non-China</v>
      </c>
    </row>
    <row r="7120" spans="1:9" x14ac:dyDescent="0.4">
      <c r="A7120" t="s">
        <v>71</v>
      </c>
      <c r="B7120" s="1">
        <v>45047</v>
      </c>
      <c r="C7120">
        <v>850133</v>
      </c>
      <c r="D7120" t="s">
        <v>176</v>
      </c>
      <c r="E7120">
        <v>0</v>
      </c>
      <c r="F7120">
        <v>0</v>
      </c>
      <c r="G7120">
        <v>0</v>
      </c>
      <c r="H7120">
        <f>_xlfn.XLOOKUP(FACT_IMPORTS[[#This Row],[hts_6]],DIM_PRODUCTS[hts_6],DIM_PRODUCTS[hts_4],,,)</f>
        <v>8501</v>
      </c>
      <c r="I7120" t="str" cm="1">
        <f t="array" ref="I7120">_xlfn.XLOOKUP(FACT_IMPORTS[[#This Row],[country_name]],DIM_COUNTRY[[#All],[Column2]],DIM_COUNTRY[[#All],[Column3]],,,)</f>
        <v>Major_Non-USMCA_Non-China</v>
      </c>
    </row>
    <row r="7121" spans="1:9" x14ac:dyDescent="0.4">
      <c r="A7121" t="s">
        <v>71</v>
      </c>
      <c r="B7121" s="1">
        <v>45047</v>
      </c>
      <c r="C7121">
        <v>850152</v>
      </c>
      <c r="D7121" t="s">
        <v>176</v>
      </c>
      <c r="E7121">
        <v>536011</v>
      </c>
      <c r="F7121">
        <v>712</v>
      </c>
      <c r="G7121">
        <v>29259</v>
      </c>
      <c r="H7121">
        <f>_xlfn.XLOOKUP(FACT_IMPORTS[[#This Row],[hts_6]],DIM_PRODUCTS[hts_6],DIM_PRODUCTS[hts_4],,,)</f>
        <v>8501</v>
      </c>
      <c r="I7121" t="str" cm="1">
        <f t="array" ref="I7121">_xlfn.XLOOKUP(FACT_IMPORTS[[#This Row],[country_name]],DIM_COUNTRY[[#All],[Column2]],DIM_COUNTRY[[#All],[Column3]],,,)</f>
        <v>Major_Non-USMCA_Non-China</v>
      </c>
    </row>
    <row r="7122" spans="1:9" x14ac:dyDescent="0.4">
      <c r="A7122" t="s">
        <v>71</v>
      </c>
      <c r="B7122" s="1">
        <v>45047</v>
      </c>
      <c r="C7122">
        <v>850153</v>
      </c>
      <c r="D7122" t="s">
        <v>176</v>
      </c>
      <c r="E7122">
        <v>0</v>
      </c>
      <c r="F7122">
        <v>0</v>
      </c>
      <c r="G7122">
        <v>0</v>
      </c>
      <c r="H7122">
        <f>_xlfn.XLOOKUP(FACT_IMPORTS[[#This Row],[hts_6]],DIM_PRODUCTS[hts_6],DIM_PRODUCTS[hts_4],,,)</f>
        <v>8501</v>
      </c>
      <c r="I7122" t="str" cm="1">
        <f t="array" ref="I7122">_xlfn.XLOOKUP(FACT_IMPORTS[[#This Row],[country_name]],DIM_COUNTRY[[#All],[Column2]],DIM_COUNTRY[[#All],[Column3]],,,)</f>
        <v>Major_Non-USMCA_Non-China</v>
      </c>
    </row>
    <row r="7123" spans="1:9" x14ac:dyDescent="0.4">
      <c r="A7123" t="s">
        <v>71</v>
      </c>
      <c r="B7123" s="1">
        <v>45047</v>
      </c>
      <c r="C7123">
        <v>850161</v>
      </c>
      <c r="D7123" t="s">
        <v>176</v>
      </c>
      <c r="E7123">
        <v>3377</v>
      </c>
      <c r="F7123">
        <v>12</v>
      </c>
      <c r="G7123">
        <v>28</v>
      </c>
      <c r="H7123">
        <f>_xlfn.XLOOKUP(FACT_IMPORTS[[#This Row],[hts_6]],DIM_PRODUCTS[hts_6],DIM_PRODUCTS[hts_4],,,)</f>
        <v>8501</v>
      </c>
      <c r="I7123" t="str" cm="1">
        <f t="array" ref="I7123">_xlfn.XLOOKUP(FACT_IMPORTS[[#This Row],[country_name]],DIM_COUNTRY[[#All],[Column2]],DIM_COUNTRY[[#All],[Column3]],,,)</f>
        <v>Major_Non-USMCA_Non-China</v>
      </c>
    </row>
    <row r="7124" spans="1:9" x14ac:dyDescent="0.4">
      <c r="A7124" t="s">
        <v>71</v>
      </c>
      <c r="B7124" s="1">
        <v>45047</v>
      </c>
      <c r="C7124">
        <v>850440</v>
      </c>
      <c r="D7124" t="s">
        <v>176</v>
      </c>
      <c r="E7124">
        <v>371373</v>
      </c>
      <c r="F7124">
        <v>321</v>
      </c>
      <c r="G7124">
        <v>7985</v>
      </c>
      <c r="H7124">
        <f>_xlfn.XLOOKUP(FACT_IMPORTS[[#This Row],[hts_6]],DIM_PRODUCTS[hts_6],DIM_PRODUCTS[hts_4],,,)</f>
        <v>8504</v>
      </c>
      <c r="I7124" t="str" cm="1">
        <f t="array" ref="I7124">_xlfn.XLOOKUP(FACT_IMPORTS[[#This Row],[country_name]],DIM_COUNTRY[[#All],[Column2]],DIM_COUNTRY[[#All],[Column3]],,,)</f>
        <v>Major_Non-USMCA_Non-China</v>
      </c>
    </row>
    <row r="7125" spans="1:9" x14ac:dyDescent="0.4">
      <c r="A7125" t="s">
        <v>71</v>
      </c>
      <c r="B7125" s="1">
        <v>45047</v>
      </c>
      <c r="C7125">
        <v>850760</v>
      </c>
      <c r="D7125" t="s">
        <v>176</v>
      </c>
      <c r="E7125">
        <v>59099</v>
      </c>
      <c r="F7125">
        <v>320</v>
      </c>
      <c r="G7125">
        <v>318</v>
      </c>
      <c r="H7125">
        <f>_xlfn.XLOOKUP(FACT_IMPORTS[[#This Row],[hts_6]],DIM_PRODUCTS[hts_6],DIM_PRODUCTS[hts_4],,,)</f>
        <v>8507</v>
      </c>
      <c r="I7125" t="str" cm="1">
        <f t="array" ref="I7125">_xlfn.XLOOKUP(FACT_IMPORTS[[#This Row],[country_name]],DIM_COUNTRY[[#All],[Column2]],DIM_COUNTRY[[#All],[Column3]],,,)</f>
        <v>Major_Non-USMCA_Non-China</v>
      </c>
    </row>
    <row r="7126" spans="1:9" x14ac:dyDescent="0.4">
      <c r="A7126" t="s">
        <v>71</v>
      </c>
      <c r="B7126" s="1">
        <v>45047</v>
      </c>
      <c r="C7126">
        <v>850790</v>
      </c>
      <c r="D7126" t="s">
        <v>176</v>
      </c>
      <c r="E7126">
        <v>0</v>
      </c>
      <c r="F7126">
        <v>0</v>
      </c>
      <c r="G7126">
        <v>0</v>
      </c>
      <c r="H7126">
        <f>_xlfn.XLOOKUP(FACT_IMPORTS[[#This Row],[hts_6]],DIM_PRODUCTS[hts_6],DIM_PRODUCTS[hts_4],,,)</f>
        <v>8507</v>
      </c>
      <c r="I7126" t="str" cm="1">
        <f t="array" ref="I7126">_xlfn.XLOOKUP(FACT_IMPORTS[[#This Row],[country_name]],DIM_COUNTRY[[#All],[Column2]],DIM_COUNTRY[[#All],[Column3]],,,)</f>
        <v>Major_Non-USMCA_Non-China</v>
      </c>
    </row>
    <row r="7127" spans="1:9" x14ac:dyDescent="0.4">
      <c r="A7127" t="s">
        <v>71</v>
      </c>
      <c r="B7127" s="1">
        <v>45047</v>
      </c>
      <c r="C7127">
        <v>851110</v>
      </c>
      <c r="D7127" t="s">
        <v>176</v>
      </c>
      <c r="E7127">
        <v>116640</v>
      </c>
      <c r="F7127">
        <v>4297</v>
      </c>
      <c r="G7127">
        <v>905</v>
      </c>
      <c r="H7127">
        <f>_xlfn.XLOOKUP(FACT_IMPORTS[[#This Row],[hts_6]],DIM_PRODUCTS[hts_6],DIM_PRODUCTS[hts_4],,,)</f>
        <v>8511</v>
      </c>
      <c r="I7127" t="str" cm="1">
        <f t="array" ref="I7127">_xlfn.XLOOKUP(FACT_IMPORTS[[#This Row],[country_name]],DIM_COUNTRY[[#All],[Column2]],DIM_COUNTRY[[#All],[Column3]],,,)</f>
        <v>Major_Non-USMCA_Non-China</v>
      </c>
    </row>
    <row r="7128" spans="1:9" x14ac:dyDescent="0.4">
      <c r="A7128" t="s">
        <v>71</v>
      </c>
      <c r="B7128" s="1">
        <v>45047</v>
      </c>
      <c r="C7128">
        <v>851130</v>
      </c>
      <c r="D7128" t="s">
        <v>176</v>
      </c>
      <c r="E7128">
        <v>82180</v>
      </c>
      <c r="F7128">
        <v>11568</v>
      </c>
      <c r="G7128">
        <v>452</v>
      </c>
      <c r="H7128">
        <f>_xlfn.XLOOKUP(FACT_IMPORTS[[#This Row],[hts_6]],DIM_PRODUCTS[hts_6],DIM_PRODUCTS[hts_4],,,)</f>
        <v>8511</v>
      </c>
      <c r="I7128" t="str" cm="1">
        <f t="array" ref="I7128">_xlfn.XLOOKUP(FACT_IMPORTS[[#This Row],[country_name]],DIM_COUNTRY[[#All],[Column2]],DIM_COUNTRY[[#All],[Column3]],,,)</f>
        <v>Major_Non-USMCA_Non-China</v>
      </c>
    </row>
    <row r="7129" spans="1:9" x14ac:dyDescent="0.4">
      <c r="A7129" t="s">
        <v>71</v>
      </c>
      <c r="B7129" s="1">
        <v>45047</v>
      </c>
      <c r="C7129">
        <v>851140</v>
      </c>
      <c r="D7129" t="s">
        <v>176</v>
      </c>
      <c r="E7129">
        <v>640474</v>
      </c>
      <c r="F7129">
        <v>11874</v>
      </c>
      <c r="G7129">
        <v>34680</v>
      </c>
      <c r="H7129">
        <f>_xlfn.XLOOKUP(FACT_IMPORTS[[#This Row],[hts_6]],DIM_PRODUCTS[hts_6],DIM_PRODUCTS[hts_4],,,)</f>
        <v>8511</v>
      </c>
      <c r="I7129" t="str" cm="1">
        <f t="array" ref="I7129">_xlfn.XLOOKUP(FACT_IMPORTS[[#This Row],[country_name]],DIM_COUNTRY[[#All],[Column2]],DIM_COUNTRY[[#All],[Column3]],,,)</f>
        <v>Major_Non-USMCA_Non-China</v>
      </c>
    </row>
    <row r="7130" spans="1:9" x14ac:dyDescent="0.4">
      <c r="A7130" t="s">
        <v>71</v>
      </c>
      <c r="B7130" s="1">
        <v>45047</v>
      </c>
      <c r="C7130">
        <v>851150</v>
      </c>
      <c r="D7130" t="s">
        <v>176</v>
      </c>
      <c r="E7130">
        <v>33800</v>
      </c>
      <c r="F7130">
        <v>224</v>
      </c>
      <c r="G7130">
        <v>2405</v>
      </c>
      <c r="H7130">
        <f>_xlfn.XLOOKUP(FACT_IMPORTS[[#This Row],[hts_6]],DIM_PRODUCTS[hts_6],DIM_PRODUCTS[hts_4],,,)</f>
        <v>8511</v>
      </c>
      <c r="I7130" t="str" cm="1">
        <f t="array" ref="I7130">_xlfn.XLOOKUP(FACT_IMPORTS[[#This Row],[country_name]],DIM_COUNTRY[[#All],[Column2]],DIM_COUNTRY[[#All],[Column3]],,,)</f>
        <v>Major_Non-USMCA_Non-China</v>
      </c>
    </row>
    <row r="7131" spans="1:9" x14ac:dyDescent="0.4">
      <c r="A7131" t="s">
        <v>71</v>
      </c>
      <c r="B7131" s="1">
        <v>45047</v>
      </c>
      <c r="C7131">
        <v>851180</v>
      </c>
      <c r="D7131" t="s">
        <v>176</v>
      </c>
      <c r="E7131">
        <v>3240</v>
      </c>
      <c r="F7131">
        <v>115</v>
      </c>
      <c r="G7131">
        <v>6</v>
      </c>
      <c r="H7131">
        <f>_xlfn.XLOOKUP(FACT_IMPORTS[[#This Row],[hts_6]],DIM_PRODUCTS[hts_6],DIM_PRODUCTS[hts_4],,,)</f>
        <v>8511</v>
      </c>
      <c r="I7131" t="str" cm="1">
        <f t="array" ref="I7131">_xlfn.XLOOKUP(FACT_IMPORTS[[#This Row],[country_name]],DIM_COUNTRY[[#All],[Column2]],DIM_COUNTRY[[#All],[Column3]],,,)</f>
        <v>Major_Non-USMCA_Non-China</v>
      </c>
    </row>
    <row r="7132" spans="1:9" x14ac:dyDescent="0.4">
      <c r="A7132" t="s">
        <v>71</v>
      </c>
      <c r="B7132" s="1">
        <v>45047</v>
      </c>
      <c r="C7132">
        <v>851190</v>
      </c>
      <c r="D7132" t="s">
        <v>176</v>
      </c>
      <c r="E7132">
        <v>2623</v>
      </c>
      <c r="F7132">
        <v>3</v>
      </c>
      <c r="G7132">
        <v>8</v>
      </c>
      <c r="H7132">
        <f>_xlfn.XLOOKUP(FACT_IMPORTS[[#This Row],[hts_6]],DIM_PRODUCTS[hts_6],DIM_PRODUCTS[hts_4],,,)</f>
        <v>8511</v>
      </c>
      <c r="I7132" t="str" cm="1">
        <f t="array" ref="I7132">_xlfn.XLOOKUP(FACT_IMPORTS[[#This Row],[country_name]],DIM_COUNTRY[[#All],[Column2]],DIM_COUNTRY[[#All],[Column3]],,,)</f>
        <v>Major_Non-USMCA_Non-China</v>
      </c>
    </row>
    <row r="7133" spans="1:9" x14ac:dyDescent="0.4">
      <c r="A7133" t="s">
        <v>71</v>
      </c>
      <c r="B7133" s="1">
        <v>45047</v>
      </c>
      <c r="C7133">
        <v>851220</v>
      </c>
      <c r="D7133" t="s">
        <v>176</v>
      </c>
      <c r="E7133">
        <v>2933</v>
      </c>
      <c r="F7133">
        <v>21</v>
      </c>
      <c r="G7133">
        <v>7</v>
      </c>
      <c r="H7133">
        <f>_xlfn.XLOOKUP(FACT_IMPORTS[[#This Row],[hts_6]],DIM_PRODUCTS[hts_6],DIM_PRODUCTS[hts_4],,,)</f>
        <v>8512</v>
      </c>
      <c r="I7133" t="str" cm="1">
        <f t="array" ref="I7133">_xlfn.XLOOKUP(FACT_IMPORTS[[#This Row],[country_name]],DIM_COUNTRY[[#All],[Column2]],DIM_COUNTRY[[#All],[Column3]],,,)</f>
        <v>Major_Non-USMCA_Non-China</v>
      </c>
    </row>
    <row r="7134" spans="1:9" x14ac:dyDescent="0.4">
      <c r="A7134" t="s">
        <v>71</v>
      </c>
      <c r="B7134" s="1">
        <v>45047</v>
      </c>
      <c r="C7134">
        <v>851230</v>
      </c>
      <c r="D7134" t="s">
        <v>176</v>
      </c>
      <c r="E7134">
        <v>52550</v>
      </c>
      <c r="F7134">
        <v>4860</v>
      </c>
      <c r="G7134">
        <v>295</v>
      </c>
      <c r="H7134">
        <f>_xlfn.XLOOKUP(FACT_IMPORTS[[#This Row],[hts_6]],DIM_PRODUCTS[hts_6],DIM_PRODUCTS[hts_4],,,)</f>
        <v>8512</v>
      </c>
      <c r="I7134" t="str" cm="1">
        <f t="array" ref="I7134">_xlfn.XLOOKUP(FACT_IMPORTS[[#This Row],[country_name]],DIM_COUNTRY[[#All],[Column2]],DIM_COUNTRY[[#All],[Column3]],,,)</f>
        <v>Major_Non-USMCA_Non-China</v>
      </c>
    </row>
    <row r="7135" spans="1:9" x14ac:dyDescent="0.4">
      <c r="A7135" t="s">
        <v>71</v>
      </c>
      <c r="B7135" s="1">
        <v>45047</v>
      </c>
      <c r="C7135">
        <v>851290</v>
      </c>
      <c r="D7135" t="s">
        <v>176</v>
      </c>
      <c r="E7135">
        <v>48594</v>
      </c>
      <c r="F7135">
        <v>3260</v>
      </c>
      <c r="G7135">
        <v>1763</v>
      </c>
      <c r="H7135">
        <f>_xlfn.XLOOKUP(FACT_IMPORTS[[#This Row],[hts_6]],DIM_PRODUCTS[hts_6],DIM_PRODUCTS[hts_4],,,)</f>
        <v>8512</v>
      </c>
      <c r="I7135" t="str" cm="1">
        <f t="array" ref="I7135">_xlfn.XLOOKUP(FACT_IMPORTS[[#This Row],[country_name]],DIM_COUNTRY[[#All],[Column2]],DIM_COUNTRY[[#All],[Column3]],,,)</f>
        <v>Major_Non-USMCA_Non-China</v>
      </c>
    </row>
    <row r="7136" spans="1:9" x14ac:dyDescent="0.4">
      <c r="A7136" t="s">
        <v>71</v>
      </c>
      <c r="B7136" s="1">
        <v>45047</v>
      </c>
      <c r="C7136">
        <v>854231</v>
      </c>
      <c r="D7136" t="s">
        <v>176</v>
      </c>
      <c r="E7136">
        <v>170799</v>
      </c>
      <c r="F7136">
        <v>17104</v>
      </c>
      <c r="G7136">
        <v>2220</v>
      </c>
      <c r="H7136">
        <f>_xlfn.XLOOKUP(FACT_IMPORTS[[#This Row],[hts_6]],DIM_PRODUCTS[hts_6],DIM_PRODUCTS[hts_4],,,)</f>
        <v>8542</v>
      </c>
      <c r="I7136" t="str" cm="1">
        <f t="array" ref="I7136">_xlfn.XLOOKUP(FACT_IMPORTS[[#This Row],[country_name]],DIM_COUNTRY[[#All],[Column2]],DIM_COUNTRY[[#All],[Column3]],,,)</f>
        <v>Major_Non-USMCA_Non-China</v>
      </c>
    </row>
    <row r="7137" spans="1:9" x14ac:dyDescent="0.4">
      <c r="A7137" t="s">
        <v>71</v>
      </c>
      <c r="B7137" s="1">
        <v>45047</v>
      </c>
      <c r="C7137">
        <v>854232</v>
      </c>
      <c r="D7137" t="s">
        <v>176</v>
      </c>
      <c r="E7137">
        <v>0</v>
      </c>
      <c r="F7137">
        <v>0</v>
      </c>
      <c r="G7137">
        <v>0</v>
      </c>
      <c r="H7137">
        <f>_xlfn.XLOOKUP(FACT_IMPORTS[[#This Row],[hts_6]],DIM_PRODUCTS[hts_6],DIM_PRODUCTS[hts_4],,,)</f>
        <v>8542</v>
      </c>
      <c r="I7137" t="str" cm="1">
        <f t="array" ref="I7137">_xlfn.XLOOKUP(FACT_IMPORTS[[#This Row],[country_name]],DIM_COUNTRY[[#All],[Column2]],DIM_COUNTRY[[#All],[Column3]],,,)</f>
        <v>Major_Non-USMCA_Non-China</v>
      </c>
    </row>
    <row r="7138" spans="1:9" x14ac:dyDescent="0.4">
      <c r="A7138" t="s">
        <v>71</v>
      </c>
      <c r="B7138" s="1">
        <v>45047</v>
      </c>
      <c r="C7138">
        <v>854233</v>
      </c>
      <c r="D7138" t="s">
        <v>176</v>
      </c>
      <c r="E7138">
        <v>0</v>
      </c>
      <c r="F7138">
        <v>0</v>
      </c>
      <c r="G7138">
        <v>0</v>
      </c>
      <c r="H7138">
        <f>_xlfn.XLOOKUP(FACT_IMPORTS[[#This Row],[hts_6]],DIM_PRODUCTS[hts_6],DIM_PRODUCTS[hts_4],,,)</f>
        <v>8542</v>
      </c>
      <c r="I7138" t="str" cm="1">
        <f t="array" ref="I7138">_xlfn.XLOOKUP(FACT_IMPORTS[[#This Row],[country_name]],DIM_COUNTRY[[#All],[Column2]],DIM_COUNTRY[[#All],[Column3]],,,)</f>
        <v>Major_Non-USMCA_Non-China</v>
      </c>
    </row>
    <row r="7139" spans="1:9" x14ac:dyDescent="0.4">
      <c r="A7139" t="s">
        <v>71</v>
      </c>
      <c r="B7139" s="1">
        <v>45047</v>
      </c>
      <c r="C7139">
        <v>854239</v>
      </c>
      <c r="D7139" t="s">
        <v>176</v>
      </c>
      <c r="E7139">
        <v>0</v>
      </c>
      <c r="F7139">
        <v>0</v>
      </c>
      <c r="G7139">
        <v>0</v>
      </c>
      <c r="H7139">
        <f>_xlfn.XLOOKUP(FACT_IMPORTS[[#This Row],[hts_6]],DIM_PRODUCTS[hts_6],DIM_PRODUCTS[hts_4],,,)</f>
        <v>8542</v>
      </c>
      <c r="I7139" t="str" cm="1">
        <f t="array" ref="I7139">_xlfn.XLOOKUP(FACT_IMPORTS[[#This Row],[country_name]],DIM_COUNTRY[[#All],[Column2]],DIM_COUNTRY[[#All],[Column3]],,,)</f>
        <v>Major_Non-USMCA_Non-China</v>
      </c>
    </row>
    <row r="7140" spans="1:9" x14ac:dyDescent="0.4">
      <c r="A7140" t="s">
        <v>71</v>
      </c>
      <c r="B7140" s="1">
        <v>45047</v>
      </c>
      <c r="C7140">
        <v>854430</v>
      </c>
      <c r="D7140" t="s">
        <v>176</v>
      </c>
      <c r="E7140">
        <v>0</v>
      </c>
      <c r="F7140">
        <v>0</v>
      </c>
      <c r="G7140">
        <v>0</v>
      </c>
      <c r="H7140">
        <f>_xlfn.XLOOKUP(FACT_IMPORTS[[#This Row],[hts_6]],DIM_PRODUCTS[hts_6],DIM_PRODUCTS[hts_4],,,)</f>
        <v>8544</v>
      </c>
      <c r="I7140" t="str" cm="1">
        <f t="array" ref="I7140">_xlfn.XLOOKUP(FACT_IMPORTS[[#This Row],[country_name]],DIM_COUNTRY[[#All],[Column2]],DIM_COUNTRY[[#All],[Column3]],,,)</f>
        <v>Major_Non-USMCA_Non-China</v>
      </c>
    </row>
    <row r="7141" spans="1:9" x14ac:dyDescent="0.4">
      <c r="A7141" t="s">
        <v>71</v>
      </c>
      <c r="B7141" s="1">
        <v>45047</v>
      </c>
      <c r="C7141">
        <v>870710</v>
      </c>
      <c r="D7141" t="s">
        <v>176</v>
      </c>
      <c r="E7141">
        <v>2196</v>
      </c>
      <c r="F7141">
        <v>1</v>
      </c>
      <c r="G7141">
        <v>200</v>
      </c>
      <c r="H7141">
        <f>_xlfn.XLOOKUP(FACT_IMPORTS[[#This Row],[hts_6]],DIM_PRODUCTS[hts_6],DIM_PRODUCTS[hts_4],,,)</f>
        <v>8707</v>
      </c>
      <c r="I7141" t="str" cm="1">
        <f t="array" ref="I7141">_xlfn.XLOOKUP(FACT_IMPORTS[[#This Row],[country_name]],DIM_COUNTRY[[#All],[Column2]],DIM_COUNTRY[[#All],[Column3]],,,)</f>
        <v>Major_Non-USMCA_Non-China</v>
      </c>
    </row>
    <row r="7142" spans="1:9" x14ac:dyDescent="0.4">
      <c r="A7142" t="s">
        <v>71</v>
      </c>
      <c r="B7142" s="1">
        <v>45047</v>
      </c>
      <c r="C7142">
        <v>870790</v>
      </c>
      <c r="D7142" t="s">
        <v>176</v>
      </c>
      <c r="E7142">
        <v>0</v>
      </c>
      <c r="F7142">
        <v>0</v>
      </c>
      <c r="G7142">
        <v>0</v>
      </c>
      <c r="H7142">
        <f>_xlfn.XLOOKUP(FACT_IMPORTS[[#This Row],[hts_6]],DIM_PRODUCTS[hts_6],DIM_PRODUCTS[hts_4],,,)</f>
        <v>8707</v>
      </c>
      <c r="I7142" t="str" cm="1">
        <f t="array" ref="I7142">_xlfn.XLOOKUP(FACT_IMPORTS[[#This Row],[country_name]],DIM_COUNTRY[[#All],[Column2]],DIM_COUNTRY[[#All],[Column3]],,,)</f>
        <v>Major_Non-USMCA_Non-China</v>
      </c>
    </row>
    <row r="7143" spans="1:9" x14ac:dyDescent="0.4">
      <c r="A7143" t="s">
        <v>71</v>
      </c>
      <c r="B7143" s="1">
        <v>45047</v>
      </c>
      <c r="C7143">
        <v>870810</v>
      </c>
      <c r="D7143" t="s">
        <v>176</v>
      </c>
      <c r="E7143">
        <v>0</v>
      </c>
      <c r="F7143">
        <v>0</v>
      </c>
      <c r="G7143">
        <v>0</v>
      </c>
      <c r="H7143">
        <f>_xlfn.XLOOKUP(FACT_IMPORTS[[#This Row],[hts_6]],DIM_PRODUCTS[hts_6],DIM_PRODUCTS[hts_4],,,)</f>
        <v>8708</v>
      </c>
      <c r="I7143" t="str" cm="1">
        <f t="array" ref="I7143">_xlfn.XLOOKUP(FACT_IMPORTS[[#This Row],[country_name]],DIM_COUNTRY[[#All],[Column2]],DIM_COUNTRY[[#All],[Column3]],,,)</f>
        <v>Major_Non-USMCA_Non-China</v>
      </c>
    </row>
    <row r="7144" spans="1:9" x14ac:dyDescent="0.4">
      <c r="A7144" t="s">
        <v>71</v>
      </c>
      <c r="B7144" s="1">
        <v>45047</v>
      </c>
      <c r="C7144">
        <v>870829</v>
      </c>
      <c r="D7144" t="s">
        <v>176</v>
      </c>
      <c r="E7144">
        <v>4211843</v>
      </c>
      <c r="F7144">
        <v>587540</v>
      </c>
      <c r="G7144">
        <v>53102</v>
      </c>
      <c r="H7144">
        <f>_xlfn.XLOOKUP(FACT_IMPORTS[[#This Row],[hts_6]],DIM_PRODUCTS[hts_6],DIM_PRODUCTS[hts_4],,,)</f>
        <v>8708</v>
      </c>
      <c r="I7144" t="str" cm="1">
        <f t="array" ref="I7144">_xlfn.XLOOKUP(FACT_IMPORTS[[#This Row],[country_name]],DIM_COUNTRY[[#All],[Column2]],DIM_COUNTRY[[#All],[Column3]],,,)</f>
        <v>Major_Non-USMCA_Non-China</v>
      </c>
    </row>
    <row r="7145" spans="1:9" x14ac:dyDescent="0.4">
      <c r="A7145" t="s">
        <v>71</v>
      </c>
      <c r="B7145" s="1">
        <v>45047</v>
      </c>
      <c r="C7145">
        <v>870830</v>
      </c>
      <c r="D7145" t="s">
        <v>176</v>
      </c>
      <c r="E7145">
        <v>1024678</v>
      </c>
      <c r="F7145">
        <v>129654</v>
      </c>
      <c r="G7145">
        <v>40989</v>
      </c>
      <c r="H7145">
        <f>_xlfn.XLOOKUP(FACT_IMPORTS[[#This Row],[hts_6]],DIM_PRODUCTS[hts_6],DIM_PRODUCTS[hts_4],,,)</f>
        <v>8708</v>
      </c>
      <c r="I7145" t="str" cm="1">
        <f t="array" ref="I7145">_xlfn.XLOOKUP(FACT_IMPORTS[[#This Row],[country_name]],DIM_COUNTRY[[#All],[Column2]],DIM_COUNTRY[[#All],[Column3]],,,)</f>
        <v>Major_Non-USMCA_Non-China</v>
      </c>
    </row>
    <row r="7146" spans="1:9" x14ac:dyDescent="0.4">
      <c r="A7146" t="s">
        <v>71</v>
      </c>
      <c r="B7146" s="1">
        <v>45047</v>
      </c>
      <c r="C7146">
        <v>870840</v>
      </c>
      <c r="D7146" t="s">
        <v>176</v>
      </c>
      <c r="E7146">
        <v>1889132</v>
      </c>
      <c r="F7146">
        <v>1333</v>
      </c>
      <c r="G7146">
        <v>121076</v>
      </c>
      <c r="H7146">
        <f>_xlfn.XLOOKUP(FACT_IMPORTS[[#This Row],[hts_6]],DIM_PRODUCTS[hts_6],DIM_PRODUCTS[hts_4],,,)</f>
        <v>8708</v>
      </c>
      <c r="I7146" t="str" cm="1">
        <f t="array" ref="I7146">_xlfn.XLOOKUP(FACT_IMPORTS[[#This Row],[country_name]],DIM_COUNTRY[[#All],[Column2]],DIM_COUNTRY[[#All],[Column3]],,,)</f>
        <v>Major_Non-USMCA_Non-China</v>
      </c>
    </row>
    <row r="7147" spans="1:9" x14ac:dyDescent="0.4">
      <c r="A7147" t="s">
        <v>71</v>
      </c>
      <c r="B7147" s="1">
        <v>45047</v>
      </c>
      <c r="C7147">
        <v>870850</v>
      </c>
      <c r="D7147" t="s">
        <v>176</v>
      </c>
      <c r="E7147">
        <v>906338</v>
      </c>
      <c r="F7147">
        <v>3752</v>
      </c>
      <c r="G7147">
        <v>658</v>
      </c>
      <c r="H7147">
        <f>_xlfn.XLOOKUP(FACT_IMPORTS[[#This Row],[hts_6]],DIM_PRODUCTS[hts_6],DIM_PRODUCTS[hts_4],,,)</f>
        <v>8708</v>
      </c>
      <c r="I7147" t="str" cm="1">
        <f t="array" ref="I7147">_xlfn.XLOOKUP(FACT_IMPORTS[[#This Row],[country_name]],DIM_COUNTRY[[#All],[Column2]],DIM_COUNTRY[[#All],[Column3]],,,)</f>
        <v>Major_Non-USMCA_Non-China</v>
      </c>
    </row>
    <row r="7148" spans="1:9" x14ac:dyDescent="0.4">
      <c r="A7148" t="s">
        <v>71</v>
      </c>
      <c r="B7148" s="1">
        <v>45047</v>
      </c>
      <c r="C7148">
        <v>870870</v>
      </c>
      <c r="D7148" t="s">
        <v>176</v>
      </c>
      <c r="E7148">
        <v>13430</v>
      </c>
      <c r="F7148">
        <v>1119</v>
      </c>
      <c r="G7148">
        <v>200</v>
      </c>
      <c r="H7148">
        <f>_xlfn.XLOOKUP(FACT_IMPORTS[[#This Row],[hts_6]],DIM_PRODUCTS[hts_6],DIM_PRODUCTS[hts_4],,,)</f>
        <v>8708</v>
      </c>
      <c r="I7148" t="str" cm="1">
        <f t="array" ref="I7148">_xlfn.XLOOKUP(FACT_IMPORTS[[#This Row],[country_name]],DIM_COUNTRY[[#All],[Column2]],DIM_COUNTRY[[#All],[Column3]],,,)</f>
        <v>Major_Non-USMCA_Non-China</v>
      </c>
    </row>
    <row r="7149" spans="1:9" x14ac:dyDescent="0.4">
      <c r="A7149" t="s">
        <v>71</v>
      </c>
      <c r="B7149" s="1">
        <v>45047</v>
      </c>
      <c r="C7149">
        <v>870880</v>
      </c>
      <c r="D7149" t="s">
        <v>176</v>
      </c>
      <c r="E7149">
        <v>192927</v>
      </c>
      <c r="F7149">
        <v>11766</v>
      </c>
      <c r="G7149">
        <v>31871</v>
      </c>
      <c r="H7149">
        <f>_xlfn.XLOOKUP(FACT_IMPORTS[[#This Row],[hts_6]],DIM_PRODUCTS[hts_6],DIM_PRODUCTS[hts_4],,,)</f>
        <v>8708</v>
      </c>
      <c r="I7149" t="str" cm="1">
        <f t="array" ref="I7149">_xlfn.XLOOKUP(FACT_IMPORTS[[#This Row],[country_name]],DIM_COUNTRY[[#All],[Column2]],DIM_COUNTRY[[#All],[Column3]],,,)</f>
        <v>Major_Non-USMCA_Non-China</v>
      </c>
    </row>
    <row r="7150" spans="1:9" x14ac:dyDescent="0.4">
      <c r="A7150" t="s">
        <v>71</v>
      </c>
      <c r="B7150" s="1">
        <v>45047</v>
      </c>
      <c r="C7150">
        <v>870891</v>
      </c>
      <c r="D7150" t="s">
        <v>176</v>
      </c>
      <c r="E7150">
        <v>246231</v>
      </c>
      <c r="F7150">
        <v>178128</v>
      </c>
      <c r="G7150">
        <v>3201</v>
      </c>
      <c r="H7150">
        <f>_xlfn.XLOOKUP(FACT_IMPORTS[[#This Row],[hts_6]],DIM_PRODUCTS[hts_6],DIM_PRODUCTS[hts_4],,,)</f>
        <v>8708</v>
      </c>
      <c r="I7150" t="str" cm="1">
        <f t="array" ref="I7150">_xlfn.XLOOKUP(FACT_IMPORTS[[#This Row],[country_name]],DIM_COUNTRY[[#All],[Column2]],DIM_COUNTRY[[#All],[Column3]],,,)</f>
        <v>Major_Non-USMCA_Non-China</v>
      </c>
    </row>
    <row r="7151" spans="1:9" x14ac:dyDescent="0.4">
      <c r="A7151" t="s">
        <v>71</v>
      </c>
      <c r="B7151" s="1">
        <v>45047</v>
      </c>
      <c r="C7151">
        <v>870892</v>
      </c>
      <c r="D7151" t="s">
        <v>176</v>
      </c>
      <c r="E7151">
        <v>3993</v>
      </c>
      <c r="F7151">
        <v>2125</v>
      </c>
      <c r="G7151">
        <v>8</v>
      </c>
      <c r="H7151">
        <f>_xlfn.XLOOKUP(FACT_IMPORTS[[#This Row],[hts_6]],DIM_PRODUCTS[hts_6],DIM_PRODUCTS[hts_4],,,)</f>
        <v>8708</v>
      </c>
      <c r="I7151" t="str" cm="1">
        <f t="array" ref="I7151">_xlfn.XLOOKUP(FACT_IMPORTS[[#This Row],[country_name]],DIM_COUNTRY[[#All],[Column2]],DIM_COUNTRY[[#All],[Column3]],,,)</f>
        <v>Major_Non-USMCA_Non-China</v>
      </c>
    </row>
    <row r="7152" spans="1:9" x14ac:dyDescent="0.4">
      <c r="A7152" t="s">
        <v>71</v>
      </c>
      <c r="B7152" s="1">
        <v>45047</v>
      </c>
      <c r="C7152">
        <v>870893</v>
      </c>
      <c r="D7152" t="s">
        <v>176</v>
      </c>
      <c r="E7152">
        <v>1629372</v>
      </c>
      <c r="F7152">
        <v>561471</v>
      </c>
      <c r="G7152">
        <v>28937</v>
      </c>
      <c r="H7152">
        <f>_xlfn.XLOOKUP(FACT_IMPORTS[[#This Row],[hts_6]],DIM_PRODUCTS[hts_6],DIM_PRODUCTS[hts_4],,,)</f>
        <v>8708</v>
      </c>
      <c r="I7152" t="str" cm="1">
        <f t="array" ref="I7152">_xlfn.XLOOKUP(FACT_IMPORTS[[#This Row],[country_name]],DIM_COUNTRY[[#All],[Column2]],DIM_COUNTRY[[#All],[Column3]],,,)</f>
        <v>Major_Non-USMCA_Non-China</v>
      </c>
    </row>
    <row r="7153" spans="1:9" x14ac:dyDescent="0.4">
      <c r="A7153" t="s">
        <v>71</v>
      </c>
      <c r="B7153" s="1">
        <v>45047</v>
      </c>
      <c r="C7153">
        <v>870894</v>
      </c>
      <c r="D7153" t="s">
        <v>176</v>
      </c>
      <c r="E7153">
        <v>214338</v>
      </c>
      <c r="F7153">
        <v>4329</v>
      </c>
      <c r="G7153">
        <v>17987</v>
      </c>
      <c r="H7153">
        <f>_xlfn.XLOOKUP(FACT_IMPORTS[[#This Row],[hts_6]],DIM_PRODUCTS[hts_6],DIM_PRODUCTS[hts_4],,,)</f>
        <v>8708</v>
      </c>
      <c r="I7153" t="str" cm="1">
        <f t="array" ref="I7153">_xlfn.XLOOKUP(FACT_IMPORTS[[#This Row],[country_name]],DIM_COUNTRY[[#All],[Column2]],DIM_COUNTRY[[#All],[Column3]],,,)</f>
        <v>Major_Non-USMCA_Non-China</v>
      </c>
    </row>
    <row r="7154" spans="1:9" x14ac:dyDescent="0.4">
      <c r="A7154" t="s">
        <v>71</v>
      </c>
      <c r="B7154" s="1">
        <v>45047</v>
      </c>
      <c r="C7154">
        <v>870895</v>
      </c>
      <c r="D7154" t="s">
        <v>176</v>
      </c>
      <c r="E7154">
        <v>3945</v>
      </c>
      <c r="F7154">
        <v>435</v>
      </c>
      <c r="G7154">
        <v>1922</v>
      </c>
      <c r="H7154">
        <f>_xlfn.XLOOKUP(FACT_IMPORTS[[#This Row],[hts_6]],DIM_PRODUCTS[hts_6],DIM_PRODUCTS[hts_4],,,)</f>
        <v>8708</v>
      </c>
      <c r="I7154" t="str" cm="1">
        <f t="array" ref="I7154">_xlfn.XLOOKUP(FACT_IMPORTS[[#This Row],[country_name]],DIM_COUNTRY[[#All],[Column2]],DIM_COUNTRY[[#All],[Column3]],,,)</f>
        <v>Major_Non-USMCA_Non-China</v>
      </c>
    </row>
    <row r="7155" spans="1:9" x14ac:dyDescent="0.4">
      <c r="A7155" t="s">
        <v>71</v>
      </c>
      <c r="B7155" s="1">
        <v>45047</v>
      </c>
      <c r="C7155">
        <v>870899</v>
      </c>
      <c r="D7155" t="s">
        <v>176</v>
      </c>
      <c r="E7155">
        <v>2464091</v>
      </c>
      <c r="F7155">
        <v>2328574</v>
      </c>
      <c r="G7155">
        <v>62575</v>
      </c>
      <c r="H7155">
        <f>_xlfn.XLOOKUP(FACT_IMPORTS[[#This Row],[hts_6]],DIM_PRODUCTS[hts_6],DIM_PRODUCTS[hts_4],,,)</f>
        <v>8708</v>
      </c>
      <c r="I7155" t="str" cm="1">
        <f t="array" ref="I7155">_xlfn.XLOOKUP(FACT_IMPORTS[[#This Row],[country_name]],DIM_COUNTRY[[#All],[Column2]],DIM_COUNTRY[[#All],[Column3]],,,)</f>
        <v>Major_Non-USMCA_Non-China</v>
      </c>
    </row>
    <row r="7156" spans="1:9" x14ac:dyDescent="0.4">
      <c r="A7156" t="s">
        <v>71</v>
      </c>
      <c r="B7156" s="1">
        <v>45047</v>
      </c>
      <c r="C7156">
        <v>940120</v>
      </c>
      <c r="D7156" t="s">
        <v>176</v>
      </c>
      <c r="E7156">
        <v>2414</v>
      </c>
      <c r="F7156">
        <v>2</v>
      </c>
      <c r="G7156">
        <v>14</v>
      </c>
      <c r="H7156">
        <f>_xlfn.XLOOKUP(FACT_IMPORTS[[#This Row],[hts_6]],DIM_PRODUCTS[hts_6],DIM_PRODUCTS[hts_4],,,)</f>
        <v>9401</v>
      </c>
      <c r="I7156" t="str" cm="1">
        <f t="array" ref="I7156">_xlfn.XLOOKUP(FACT_IMPORTS[[#This Row],[country_name]],DIM_COUNTRY[[#All],[Column2]],DIM_COUNTRY[[#All],[Column3]],,,)</f>
        <v>Major_Non-USMCA_Non-China</v>
      </c>
    </row>
    <row r="7157" spans="1:9" x14ac:dyDescent="0.4">
      <c r="A7157" t="s">
        <v>71</v>
      </c>
      <c r="B7157" s="1">
        <v>45078</v>
      </c>
      <c r="C7157">
        <v>392630</v>
      </c>
      <c r="D7157" t="s">
        <v>176</v>
      </c>
      <c r="E7157">
        <v>4618</v>
      </c>
      <c r="F7157">
        <v>1031</v>
      </c>
      <c r="G7157">
        <v>67</v>
      </c>
      <c r="H7157">
        <f>_xlfn.XLOOKUP(FACT_IMPORTS[[#This Row],[hts_6]],DIM_PRODUCTS[hts_6],DIM_PRODUCTS[hts_4],,,)</f>
        <v>3926</v>
      </c>
      <c r="I7157" t="str" cm="1">
        <f t="array" ref="I7157">_xlfn.XLOOKUP(FACT_IMPORTS[[#This Row],[country_name]],DIM_COUNTRY[[#All],[Column2]],DIM_COUNTRY[[#All],[Column3]],,,)</f>
        <v>Major_Non-USMCA_Non-China</v>
      </c>
    </row>
    <row r="7158" spans="1:9" x14ac:dyDescent="0.4">
      <c r="A7158" t="s">
        <v>71</v>
      </c>
      <c r="B7158" s="1">
        <v>45078</v>
      </c>
      <c r="C7158">
        <v>401110</v>
      </c>
      <c r="D7158" t="s">
        <v>176</v>
      </c>
      <c r="E7158">
        <v>274678</v>
      </c>
      <c r="F7158">
        <v>3528</v>
      </c>
      <c r="G7158">
        <v>450</v>
      </c>
      <c r="H7158">
        <f>_xlfn.XLOOKUP(FACT_IMPORTS[[#This Row],[hts_6]],DIM_PRODUCTS[hts_6],DIM_PRODUCTS[hts_4],,,)</f>
        <v>4011</v>
      </c>
      <c r="I7158" t="str" cm="1">
        <f t="array" ref="I7158">_xlfn.XLOOKUP(FACT_IMPORTS[[#This Row],[country_name]],DIM_COUNTRY[[#All],[Column2]],DIM_COUNTRY[[#All],[Column3]],,,)</f>
        <v>Major_Non-USMCA_Non-China</v>
      </c>
    </row>
    <row r="7159" spans="1:9" x14ac:dyDescent="0.4">
      <c r="A7159" t="s">
        <v>71</v>
      </c>
      <c r="B7159" s="1">
        <v>45078</v>
      </c>
      <c r="C7159">
        <v>401120</v>
      </c>
      <c r="D7159" t="s">
        <v>176</v>
      </c>
      <c r="E7159">
        <v>186630</v>
      </c>
      <c r="F7159">
        <v>1078</v>
      </c>
      <c r="G7159">
        <v>11297</v>
      </c>
      <c r="H7159">
        <f>_xlfn.XLOOKUP(FACT_IMPORTS[[#This Row],[hts_6]],DIM_PRODUCTS[hts_6],DIM_PRODUCTS[hts_4],,,)</f>
        <v>4011</v>
      </c>
      <c r="I7159" t="str" cm="1">
        <f t="array" ref="I7159">_xlfn.XLOOKUP(FACT_IMPORTS[[#This Row],[country_name]],DIM_COUNTRY[[#All],[Column2]],DIM_COUNTRY[[#All],[Column3]],,,)</f>
        <v>Major_Non-USMCA_Non-China</v>
      </c>
    </row>
    <row r="7160" spans="1:9" x14ac:dyDescent="0.4">
      <c r="A7160" t="s">
        <v>71</v>
      </c>
      <c r="B7160" s="1">
        <v>45078</v>
      </c>
      <c r="C7160">
        <v>401140</v>
      </c>
      <c r="D7160" t="s">
        <v>176</v>
      </c>
      <c r="E7160">
        <v>0</v>
      </c>
      <c r="F7160">
        <v>0</v>
      </c>
      <c r="G7160">
        <v>0</v>
      </c>
      <c r="H7160">
        <f>_xlfn.XLOOKUP(FACT_IMPORTS[[#This Row],[hts_6]],DIM_PRODUCTS[hts_6],DIM_PRODUCTS[hts_4],,,)</f>
        <v>4011</v>
      </c>
      <c r="I7160" t="str" cm="1">
        <f t="array" ref="I7160">_xlfn.XLOOKUP(FACT_IMPORTS[[#This Row],[country_name]],DIM_COUNTRY[[#All],[Column2]],DIM_COUNTRY[[#All],[Column3]],,,)</f>
        <v>Major_Non-USMCA_Non-China</v>
      </c>
    </row>
    <row r="7161" spans="1:9" x14ac:dyDescent="0.4">
      <c r="A7161" t="s">
        <v>71</v>
      </c>
      <c r="B7161" s="1">
        <v>45078</v>
      </c>
      <c r="C7161">
        <v>700721</v>
      </c>
      <c r="D7161" t="s">
        <v>176</v>
      </c>
      <c r="E7161">
        <v>0</v>
      </c>
      <c r="F7161">
        <v>0</v>
      </c>
      <c r="G7161">
        <v>0</v>
      </c>
      <c r="H7161">
        <f>_xlfn.XLOOKUP(FACT_IMPORTS[[#This Row],[hts_6]],DIM_PRODUCTS[hts_6],DIM_PRODUCTS[hts_4],,,)</f>
        <v>7007</v>
      </c>
      <c r="I7161" t="str" cm="1">
        <f t="array" ref="I7161">_xlfn.XLOOKUP(FACT_IMPORTS[[#This Row],[country_name]],DIM_COUNTRY[[#All],[Column2]],DIM_COUNTRY[[#All],[Column3]],,,)</f>
        <v>Major_Non-USMCA_Non-China</v>
      </c>
    </row>
    <row r="7162" spans="1:9" x14ac:dyDescent="0.4">
      <c r="A7162" t="s">
        <v>71</v>
      </c>
      <c r="B7162" s="1">
        <v>45078</v>
      </c>
      <c r="C7162">
        <v>700910</v>
      </c>
      <c r="D7162" t="s">
        <v>176</v>
      </c>
      <c r="E7162">
        <v>0</v>
      </c>
      <c r="F7162">
        <v>0</v>
      </c>
      <c r="G7162">
        <v>0</v>
      </c>
      <c r="H7162">
        <f>_xlfn.XLOOKUP(FACT_IMPORTS[[#This Row],[hts_6]],DIM_PRODUCTS[hts_6],DIM_PRODUCTS[hts_4],,,)</f>
        <v>7009</v>
      </c>
      <c r="I7162" t="str" cm="1">
        <f t="array" ref="I7162">_xlfn.XLOOKUP(FACT_IMPORTS[[#This Row],[country_name]],DIM_COUNTRY[[#All],[Column2]],DIM_COUNTRY[[#All],[Column3]],,,)</f>
        <v>Major_Non-USMCA_Non-China</v>
      </c>
    </row>
    <row r="7163" spans="1:9" x14ac:dyDescent="0.4">
      <c r="A7163" t="s">
        <v>71</v>
      </c>
      <c r="B7163" s="1">
        <v>45078</v>
      </c>
      <c r="C7163">
        <v>732010</v>
      </c>
      <c r="D7163" t="s">
        <v>176</v>
      </c>
      <c r="E7163">
        <v>0</v>
      </c>
      <c r="F7163">
        <v>0</v>
      </c>
      <c r="G7163">
        <v>0</v>
      </c>
      <c r="H7163">
        <f>_xlfn.XLOOKUP(FACT_IMPORTS[[#This Row],[hts_6]],DIM_PRODUCTS[hts_6],DIM_PRODUCTS[hts_4],,,)</f>
        <v>7320</v>
      </c>
      <c r="I7163" t="str" cm="1">
        <f t="array" ref="I7163">_xlfn.XLOOKUP(FACT_IMPORTS[[#This Row],[country_name]],DIM_COUNTRY[[#All],[Column2]],DIM_COUNTRY[[#All],[Column3]],,,)</f>
        <v>Major_Non-USMCA_Non-China</v>
      </c>
    </row>
    <row r="7164" spans="1:9" x14ac:dyDescent="0.4">
      <c r="A7164" t="s">
        <v>71</v>
      </c>
      <c r="B7164" s="1">
        <v>45078</v>
      </c>
      <c r="C7164">
        <v>830230</v>
      </c>
      <c r="D7164" t="s">
        <v>176</v>
      </c>
      <c r="E7164">
        <v>40257</v>
      </c>
      <c r="F7164">
        <v>8268</v>
      </c>
      <c r="G7164">
        <v>524</v>
      </c>
      <c r="H7164">
        <f>_xlfn.XLOOKUP(FACT_IMPORTS[[#This Row],[hts_6]],DIM_PRODUCTS[hts_6],DIM_PRODUCTS[hts_4],,,)</f>
        <v>8302</v>
      </c>
      <c r="I7164" t="str" cm="1">
        <f t="array" ref="I7164">_xlfn.XLOOKUP(FACT_IMPORTS[[#This Row],[country_name]],DIM_COUNTRY[[#All],[Column2]],DIM_COUNTRY[[#All],[Column3]],,,)</f>
        <v>Major_Non-USMCA_Non-China</v>
      </c>
    </row>
    <row r="7165" spans="1:9" x14ac:dyDescent="0.4">
      <c r="A7165" t="s">
        <v>71</v>
      </c>
      <c r="B7165" s="1">
        <v>45078</v>
      </c>
      <c r="C7165">
        <v>840734</v>
      </c>
      <c r="D7165" t="s">
        <v>176</v>
      </c>
      <c r="E7165">
        <v>62648</v>
      </c>
      <c r="F7165">
        <v>5</v>
      </c>
      <c r="G7165">
        <v>4482</v>
      </c>
      <c r="H7165">
        <f>_xlfn.XLOOKUP(FACT_IMPORTS[[#This Row],[hts_6]],DIM_PRODUCTS[hts_6],DIM_PRODUCTS[hts_4],,,)</f>
        <v>8407</v>
      </c>
      <c r="I7165" t="str" cm="1">
        <f t="array" ref="I7165">_xlfn.XLOOKUP(FACT_IMPORTS[[#This Row],[country_name]],DIM_COUNTRY[[#All],[Column2]],DIM_COUNTRY[[#All],[Column3]],,,)</f>
        <v>Major_Non-USMCA_Non-China</v>
      </c>
    </row>
    <row r="7166" spans="1:9" x14ac:dyDescent="0.4">
      <c r="A7166" t="s">
        <v>71</v>
      </c>
      <c r="B7166" s="1">
        <v>45078</v>
      </c>
      <c r="C7166">
        <v>840790</v>
      </c>
      <c r="D7166" t="s">
        <v>176</v>
      </c>
      <c r="E7166">
        <v>320262</v>
      </c>
      <c r="F7166">
        <v>79</v>
      </c>
      <c r="G7166">
        <v>204</v>
      </c>
      <c r="H7166">
        <f>_xlfn.XLOOKUP(FACT_IMPORTS[[#This Row],[hts_6]],DIM_PRODUCTS[hts_6],DIM_PRODUCTS[hts_4],,,)</f>
        <v>8407</v>
      </c>
      <c r="I7166" t="str" cm="1">
        <f t="array" ref="I7166">_xlfn.XLOOKUP(FACT_IMPORTS[[#This Row],[country_name]],DIM_COUNTRY[[#All],[Column2]],DIM_COUNTRY[[#All],[Column3]],,,)</f>
        <v>Major_Non-USMCA_Non-China</v>
      </c>
    </row>
    <row r="7167" spans="1:9" x14ac:dyDescent="0.4">
      <c r="A7167" t="s">
        <v>71</v>
      </c>
      <c r="B7167" s="1">
        <v>45078</v>
      </c>
      <c r="C7167">
        <v>840820</v>
      </c>
      <c r="D7167" t="s">
        <v>176</v>
      </c>
      <c r="E7167">
        <v>0</v>
      </c>
      <c r="F7167">
        <v>0</v>
      </c>
      <c r="G7167">
        <v>0</v>
      </c>
      <c r="H7167">
        <f>_xlfn.XLOOKUP(FACT_IMPORTS[[#This Row],[hts_6]],DIM_PRODUCTS[hts_6],DIM_PRODUCTS[hts_4],,,)</f>
        <v>8408</v>
      </c>
      <c r="I7167" t="str" cm="1">
        <f t="array" ref="I7167">_xlfn.XLOOKUP(FACT_IMPORTS[[#This Row],[country_name]],DIM_COUNTRY[[#All],[Column2]],DIM_COUNTRY[[#All],[Column3]],,,)</f>
        <v>Major_Non-USMCA_Non-China</v>
      </c>
    </row>
    <row r="7168" spans="1:9" x14ac:dyDescent="0.4">
      <c r="A7168" t="s">
        <v>71</v>
      </c>
      <c r="B7168" s="1">
        <v>45078</v>
      </c>
      <c r="C7168">
        <v>840890</v>
      </c>
      <c r="D7168" t="s">
        <v>176</v>
      </c>
      <c r="E7168">
        <v>63235</v>
      </c>
      <c r="F7168">
        <v>2</v>
      </c>
      <c r="G7168">
        <v>391</v>
      </c>
      <c r="H7168">
        <f>_xlfn.XLOOKUP(FACT_IMPORTS[[#This Row],[hts_6]],DIM_PRODUCTS[hts_6],DIM_PRODUCTS[hts_4],,,)</f>
        <v>8408</v>
      </c>
      <c r="I7168" t="str" cm="1">
        <f t="array" ref="I7168">_xlfn.XLOOKUP(FACT_IMPORTS[[#This Row],[country_name]],DIM_COUNTRY[[#All],[Column2]],DIM_COUNTRY[[#All],[Column3]],,,)</f>
        <v>Major_Non-USMCA_Non-China</v>
      </c>
    </row>
    <row r="7169" spans="1:9" x14ac:dyDescent="0.4">
      <c r="A7169" t="s">
        <v>71</v>
      </c>
      <c r="B7169" s="1">
        <v>45078</v>
      </c>
      <c r="C7169">
        <v>840991</v>
      </c>
      <c r="D7169" t="s">
        <v>176</v>
      </c>
      <c r="E7169">
        <v>9042168</v>
      </c>
      <c r="F7169">
        <v>548310</v>
      </c>
      <c r="G7169">
        <v>250228</v>
      </c>
      <c r="H7169">
        <f>_xlfn.XLOOKUP(FACT_IMPORTS[[#This Row],[hts_6]],DIM_PRODUCTS[hts_6],DIM_PRODUCTS[hts_4],,,)</f>
        <v>8409</v>
      </c>
      <c r="I7169" t="str" cm="1">
        <f t="array" ref="I7169">_xlfn.XLOOKUP(FACT_IMPORTS[[#This Row],[country_name]],DIM_COUNTRY[[#All],[Column2]],DIM_COUNTRY[[#All],[Column3]],,,)</f>
        <v>Major_Non-USMCA_Non-China</v>
      </c>
    </row>
    <row r="7170" spans="1:9" x14ac:dyDescent="0.4">
      <c r="A7170" t="s">
        <v>71</v>
      </c>
      <c r="B7170" s="1">
        <v>45078</v>
      </c>
      <c r="C7170">
        <v>840999</v>
      </c>
      <c r="D7170" t="s">
        <v>176</v>
      </c>
      <c r="E7170">
        <v>13827</v>
      </c>
      <c r="F7170">
        <v>270</v>
      </c>
      <c r="G7170">
        <v>257</v>
      </c>
      <c r="H7170">
        <f>_xlfn.XLOOKUP(FACT_IMPORTS[[#This Row],[hts_6]],DIM_PRODUCTS[hts_6],DIM_PRODUCTS[hts_4],,,)</f>
        <v>8409</v>
      </c>
      <c r="I7170" t="str" cm="1">
        <f t="array" ref="I7170">_xlfn.XLOOKUP(FACT_IMPORTS[[#This Row],[country_name]],DIM_COUNTRY[[#All],[Column2]],DIM_COUNTRY[[#All],[Column3]],,,)</f>
        <v>Major_Non-USMCA_Non-China</v>
      </c>
    </row>
    <row r="7171" spans="1:9" x14ac:dyDescent="0.4">
      <c r="A7171" t="s">
        <v>71</v>
      </c>
      <c r="B7171" s="1">
        <v>45078</v>
      </c>
      <c r="C7171">
        <v>841330</v>
      </c>
      <c r="D7171" t="s">
        <v>176</v>
      </c>
      <c r="E7171">
        <v>68710</v>
      </c>
      <c r="F7171">
        <v>837</v>
      </c>
      <c r="G7171">
        <v>941</v>
      </c>
      <c r="H7171">
        <f>_xlfn.XLOOKUP(FACT_IMPORTS[[#This Row],[hts_6]],DIM_PRODUCTS[hts_6],DIM_PRODUCTS[hts_4],,,)</f>
        <v>8413</v>
      </c>
      <c r="I7171" t="str" cm="1">
        <f t="array" ref="I7171">_xlfn.XLOOKUP(FACT_IMPORTS[[#This Row],[country_name]],DIM_COUNTRY[[#All],[Column2]],DIM_COUNTRY[[#All],[Column3]],,,)</f>
        <v>Major_Non-USMCA_Non-China</v>
      </c>
    </row>
    <row r="7172" spans="1:9" x14ac:dyDescent="0.4">
      <c r="A7172" t="s">
        <v>71</v>
      </c>
      <c r="B7172" s="1">
        <v>45078</v>
      </c>
      <c r="C7172">
        <v>841520</v>
      </c>
      <c r="D7172" t="s">
        <v>176</v>
      </c>
      <c r="E7172">
        <v>0</v>
      </c>
      <c r="F7172">
        <v>0</v>
      </c>
      <c r="G7172">
        <v>0</v>
      </c>
      <c r="H7172">
        <f>_xlfn.XLOOKUP(FACT_IMPORTS[[#This Row],[hts_6]],DIM_PRODUCTS[hts_6],DIM_PRODUCTS[hts_4],,,)</f>
        <v>8415</v>
      </c>
      <c r="I7172" t="str" cm="1">
        <f t="array" ref="I7172">_xlfn.XLOOKUP(FACT_IMPORTS[[#This Row],[country_name]],DIM_COUNTRY[[#All],[Column2]],DIM_COUNTRY[[#All],[Column3]],,,)</f>
        <v>Major_Non-USMCA_Non-China</v>
      </c>
    </row>
    <row r="7173" spans="1:9" x14ac:dyDescent="0.4">
      <c r="A7173" t="s">
        <v>71</v>
      </c>
      <c r="B7173" s="1">
        <v>45078</v>
      </c>
      <c r="C7173">
        <v>842132</v>
      </c>
      <c r="D7173" t="s">
        <v>176</v>
      </c>
      <c r="E7173">
        <v>157538</v>
      </c>
      <c r="F7173">
        <v>18</v>
      </c>
      <c r="G7173">
        <v>346</v>
      </c>
      <c r="H7173">
        <f>_xlfn.XLOOKUP(FACT_IMPORTS[[#This Row],[hts_6]],DIM_PRODUCTS[hts_6],DIM_PRODUCTS[hts_4],,,)</f>
        <v>8421</v>
      </c>
      <c r="I7173" t="str" cm="1">
        <f t="array" ref="I7173">_xlfn.XLOOKUP(FACT_IMPORTS[[#This Row],[country_name]],DIM_COUNTRY[[#All],[Column2]],DIM_COUNTRY[[#All],[Column3]],,,)</f>
        <v>Major_Non-USMCA_Non-China</v>
      </c>
    </row>
    <row r="7174" spans="1:9" x14ac:dyDescent="0.4">
      <c r="A7174" t="s">
        <v>71</v>
      </c>
      <c r="B7174" s="1">
        <v>45078</v>
      </c>
      <c r="C7174">
        <v>848210</v>
      </c>
      <c r="D7174" t="s">
        <v>176</v>
      </c>
      <c r="E7174">
        <v>41988</v>
      </c>
      <c r="F7174">
        <v>545</v>
      </c>
      <c r="G7174">
        <v>977</v>
      </c>
      <c r="H7174">
        <f>_xlfn.XLOOKUP(FACT_IMPORTS[[#This Row],[hts_6]],DIM_PRODUCTS[hts_6],DIM_PRODUCTS[hts_4],,,)</f>
        <v>8482</v>
      </c>
      <c r="I7174" t="str" cm="1">
        <f t="array" ref="I7174">_xlfn.XLOOKUP(FACT_IMPORTS[[#This Row],[country_name]],DIM_COUNTRY[[#All],[Column2]],DIM_COUNTRY[[#All],[Column3]],,,)</f>
        <v>Major_Non-USMCA_Non-China</v>
      </c>
    </row>
    <row r="7175" spans="1:9" x14ac:dyDescent="0.4">
      <c r="A7175" t="s">
        <v>71</v>
      </c>
      <c r="B7175" s="1">
        <v>45078</v>
      </c>
      <c r="C7175">
        <v>848220</v>
      </c>
      <c r="D7175" t="s">
        <v>176</v>
      </c>
      <c r="E7175">
        <v>245090</v>
      </c>
      <c r="F7175">
        <v>14602</v>
      </c>
      <c r="G7175">
        <v>1866</v>
      </c>
      <c r="H7175">
        <f>_xlfn.XLOOKUP(FACT_IMPORTS[[#This Row],[hts_6]],DIM_PRODUCTS[hts_6],DIM_PRODUCTS[hts_4],,,)</f>
        <v>8482</v>
      </c>
      <c r="I7175" t="str" cm="1">
        <f t="array" ref="I7175">_xlfn.XLOOKUP(FACT_IMPORTS[[#This Row],[country_name]],DIM_COUNTRY[[#All],[Column2]],DIM_COUNTRY[[#All],[Column3]],,,)</f>
        <v>Major_Non-USMCA_Non-China</v>
      </c>
    </row>
    <row r="7176" spans="1:9" x14ac:dyDescent="0.4">
      <c r="A7176" t="s">
        <v>71</v>
      </c>
      <c r="B7176" s="1">
        <v>45078</v>
      </c>
      <c r="C7176">
        <v>848310</v>
      </c>
      <c r="D7176" t="s">
        <v>176</v>
      </c>
      <c r="E7176">
        <v>519136</v>
      </c>
      <c r="F7176">
        <v>34977</v>
      </c>
      <c r="G7176">
        <v>3029</v>
      </c>
      <c r="H7176">
        <f>_xlfn.XLOOKUP(FACT_IMPORTS[[#This Row],[hts_6]],DIM_PRODUCTS[hts_6],DIM_PRODUCTS[hts_4],,,)</f>
        <v>8483</v>
      </c>
      <c r="I7176" t="str" cm="1">
        <f t="array" ref="I7176">_xlfn.XLOOKUP(FACT_IMPORTS[[#This Row],[country_name]],DIM_COUNTRY[[#All],[Column2]],DIM_COUNTRY[[#All],[Column3]],,,)</f>
        <v>Major_Non-USMCA_Non-China</v>
      </c>
    </row>
    <row r="7177" spans="1:9" x14ac:dyDescent="0.4">
      <c r="A7177" t="s">
        <v>71</v>
      </c>
      <c r="B7177" s="1">
        <v>45078</v>
      </c>
      <c r="C7177">
        <v>850131</v>
      </c>
      <c r="D7177" t="s">
        <v>176</v>
      </c>
      <c r="E7177">
        <v>3317215</v>
      </c>
      <c r="F7177">
        <v>78454</v>
      </c>
      <c r="G7177">
        <v>41922</v>
      </c>
      <c r="H7177">
        <f>_xlfn.XLOOKUP(FACT_IMPORTS[[#This Row],[hts_6]],DIM_PRODUCTS[hts_6],DIM_PRODUCTS[hts_4],,,)</f>
        <v>8501</v>
      </c>
      <c r="I7177" t="str" cm="1">
        <f t="array" ref="I7177">_xlfn.XLOOKUP(FACT_IMPORTS[[#This Row],[country_name]],DIM_COUNTRY[[#All],[Column2]],DIM_COUNTRY[[#All],[Column3]],,,)</f>
        <v>Major_Non-USMCA_Non-China</v>
      </c>
    </row>
    <row r="7178" spans="1:9" x14ac:dyDescent="0.4">
      <c r="A7178" t="s">
        <v>71</v>
      </c>
      <c r="B7178" s="1">
        <v>45078</v>
      </c>
      <c r="C7178">
        <v>850132</v>
      </c>
      <c r="D7178" t="s">
        <v>176</v>
      </c>
      <c r="E7178">
        <v>3500</v>
      </c>
      <c r="F7178">
        <v>1</v>
      </c>
      <c r="G7178">
        <v>5</v>
      </c>
      <c r="H7178">
        <f>_xlfn.XLOOKUP(FACT_IMPORTS[[#This Row],[hts_6]],DIM_PRODUCTS[hts_6],DIM_PRODUCTS[hts_4],,,)</f>
        <v>8501</v>
      </c>
      <c r="I7178" t="str" cm="1">
        <f t="array" ref="I7178">_xlfn.XLOOKUP(FACT_IMPORTS[[#This Row],[country_name]],DIM_COUNTRY[[#All],[Column2]],DIM_COUNTRY[[#All],[Column3]],,,)</f>
        <v>Major_Non-USMCA_Non-China</v>
      </c>
    </row>
    <row r="7179" spans="1:9" x14ac:dyDescent="0.4">
      <c r="A7179" t="s">
        <v>71</v>
      </c>
      <c r="B7179" s="1">
        <v>45078</v>
      </c>
      <c r="C7179">
        <v>850133</v>
      </c>
      <c r="D7179" t="s">
        <v>176</v>
      </c>
      <c r="E7179">
        <v>0</v>
      </c>
      <c r="F7179">
        <v>0</v>
      </c>
      <c r="G7179">
        <v>0</v>
      </c>
      <c r="H7179">
        <f>_xlfn.XLOOKUP(FACT_IMPORTS[[#This Row],[hts_6]],DIM_PRODUCTS[hts_6],DIM_PRODUCTS[hts_4],,,)</f>
        <v>8501</v>
      </c>
      <c r="I7179" t="str" cm="1">
        <f t="array" ref="I7179">_xlfn.XLOOKUP(FACT_IMPORTS[[#This Row],[country_name]],DIM_COUNTRY[[#All],[Column2]],DIM_COUNTRY[[#All],[Column3]],,,)</f>
        <v>Major_Non-USMCA_Non-China</v>
      </c>
    </row>
    <row r="7180" spans="1:9" x14ac:dyDescent="0.4">
      <c r="A7180" t="s">
        <v>71</v>
      </c>
      <c r="B7180" s="1">
        <v>45078</v>
      </c>
      <c r="C7180">
        <v>850152</v>
      </c>
      <c r="D7180" t="s">
        <v>176</v>
      </c>
      <c r="E7180">
        <v>136748</v>
      </c>
      <c r="F7180">
        <v>183</v>
      </c>
      <c r="G7180">
        <v>6214</v>
      </c>
      <c r="H7180">
        <f>_xlfn.XLOOKUP(FACT_IMPORTS[[#This Row],[hts_6]],DIM_PRODUCTS[hts_6],DIM_PRODUCTS[hts_4],,,)</f>
        <v>8501</v>
      </c>
      <c r="I7180" t="str" cm="1">
        <f t="array" ref="I7180">_xlfn.XLOOKUP(FACT_IMPORTS[[#This Row],[country_name]],DIM_COUNTRY[[#All],[Column2]],DIM_COUNTRY[[#All],[Column3]],,,)</f>
        <v>Major_Non-USMCA_Non-China</v>
      </c>
    </row>
    <row r="7181" spans="1:9" x14ac:dyDescent="0.4">
      <c r="A7181" t="s">
        <v>71</v>
      </c>
      <c r="B7181" s="1">
        <v>45078</v>
      </c>
      <c r="C7181">
        <v>850153</v>
      </c>
      <c r="D7181" t="s">
        <v>176</v>
      </c>
      <c r="E7181">
        <v>7144</v>
      </c>
      <c r="F7181">
        <v>1</v>
      </c>
      <c r="G7181">
        <v>48</v>
      </c>
      <c r="H7181">
        <f>_xlfn.XLOOKUP(FACT_IMPORTS[[#This Row],[hts_6]],DIM_PRODUCTS[hts_6],DIM_PRODUCTS[hts_4],,,)</f>
        <v>8501</v>
      </c>
      <c r="I7181" t="str" cm="1">
        <f t="array" ref="I7181">_xlfn.XLOOKUP(FACT_IMPORTS[[#This Row],[country_name]],DIM_COUNTRY[[#All],[Column2]],DIM_COUNTRY[[#All],[Column3]],,,)</f>
        <v>Major_Non-USMCA_Non-China</v>
      </c>
    </row>
    <row r="7182" spans="1:9" x14ac:dyDescent="0.4">
      <c r="A7182" t="s">
        <v>71</v>
      </c>
      <c r="B7182" s="1">
        <v>45078</v>
      </c>
      <c r="C7182">
        <v>850161</v>
      </c>
      <c r="D7182" t="s">
        <v>176</v>
      </c>
      <c r="E7182">
        <v>14071</v>
      </c>
      <c r="F7182">
        <v>50</v>
      </c>
      <c r="G7182">
        <v>34</v>
      </c>
      <c r="H7182">
        <f>_xlfn.XLOOKUP(FACT_IMPORTS[[#This Row],[hts_6]],DIM_PRODUCTS[hts_6],DIM_PRODUCTS[hts_4],,,)</f>
        <v>8501</v>
      </c>
      <c r="I7182" t="str" cm="1">
        <f t="array" ref="I7182">_xlfn.XLOOKUP(FACT_IMPORTS[[#This Row],[country_name]],DIM_COUNTRY[[#All],[Column2]],DIM_COUNTRY[[#All],[Column3]],,,)</f>
        <v>Major_Non-USMCA_Non-China</v>
      </c>
    </row>
    <row r="7183" spans="1:9" x14ac:dyDescent="0.4">
      <c r="A7183" t="s">
        <v>71</v>
      </c>
      <c r="B7183" s="1">
        <v>45078</v>
      </c>
      <c r="C7183">
        <v>850440</v>
      </c>
      <c r="D7183" t="s">
        <v>176</v>
      </c>
      <c r="E7183">
        <v>146734</v>
      </c>
      <c r="F7183">
        <v>178</v>
      </c>
      <c r="G7183">
        <v>3174</v>
      </c>
      <c r="H7183">
        <f>_xlfn.XLOOKUP(FACT_IMPORTS[[#This Row],[hts_6]],DIM_PRODUCTS[hts_6],DIM_PRODUCTS[hts_4],,,)</f>
        <v>8504</v>
      </c>
      <c r="I7183" t="str" cm="1">
        <f t="array" ref="I7183">_xlfn.XLOOKUP(FACT_IMPORTS[[#This Row],[country_name]],DIM_COUNTRY[[#All],[Column2]],DIM_COUNTRY[[#All],[Column3]],,,)</f>
        <v>Major_Non-USMCA_Non-China</v>
      </c>
    </row>
    <row r="7184" spans="1:9" x14ac:dyDescent="0.4">
      <c r="A7184" t="s">
        <v>71</v>
      </c>
      <c r="B7184" s="1">
        <v>45078</v>
      </c>
      <c r="C7184">
        <v>850760</v>
      </c>
      <c r="D7184" t="s">
        <v>176</v>
      </c>
      <c r="E7184">
        <v>156235</v>
      </c>
      <c r="F7184">
        <v>467</v>
      </c>
      <c r="G7184">
        <v>2955</v>
      </c>
      <c r="H7184">
        <f>_xlfn.XLOOKUP(FACT_IMPORTS[[#This Row],[hts_6]],DIM_PRODUCTS[hts_6],DIM_PRODUCTS[hts_4],,,)</f>
        <v>8507</v>
      </c>
      <c r="I7184" t="str" cm="1">
        <f t="array" ref="I7184">_xlfn.XLOOKUP(FACT_IMPORTS[[#This Row],[country_name]],DIM_COUNTRY[[#All],[Column2]],DIM_COUNTRY[[#All],[Column3]],,,)</f>
        <v>Major_Non-USMCA_Non-China</v>
      </c>
    </row>
    <row r="7185" spans="1:9" x14ac:dyDescent="0.4">
      <c r="A7185" t="s">
        <v>71</v>
      </c>
      <c r="B7185" s="1">
        <v>45078</v>
      </c>
      <c r="C7185">
        <v>850790</v>
      </c>
      <c r="D7185" t="s">
        <v>176</v>
      </c>
      <c r="E7185">
        <v>1952784</v>
      </c>
      <c r="F7185">
        <v>34897</v>
      </c>
      <c r="G7185">
        <v>34000</v>
      </c>
      <c r="H7185">
        <f>_xlfn.XLOOKUP(FACT_IMPORTS[[#This Row],[hts_6]],DIM_PRODUCTS[hts_6],DIM_PRODUCTS[hts_4],,,)</f>
        <v>8507</v>
      </c>
      <c r="I7185" t="str" cm="1">
        <f t="array" ref="I7185">_xlfn.XLOOKUP(FACT_IMPORTS[[#This Row],[country_name]],DIM_COUNTRY[[#All],[Column2]],DIM_COUNTRY[[#All],[Column3]],,,)</f>
        <v>Major_Non-USMCA_Non-China</v>
      </c>
    </row>
    <row r="7186" spans="1:9" x14ac:dyDescent="0.4">
      <c r="A7186" t="s">
        <v>71</v>
      </c>
      <c r="B7186" s="1">
        <v>45078</v>
      </c>
      <c r="C7186">
        <v>851110</v>
      </c>
      <c r="D7186" t="s">
        <v>176</v>
      </c>
      <c r="E7186">
        <v>105716</v>
      </c>
      <c r="F7186">
        <v>11934</v>
      </c>
      <c r="G7186">
        <v>10766</v>
      </c>
      <c r="H7186">
        <f>_xlfn.XLOOKUP(FACT_IMPORTS[[#This Row],[hts_6]],DIM_PRODUCTS[hts_6],DIM_PRODUCTS[hts_4],,,)</f>
        <v>8511</v>
      </c>
      <c r="I7186" t="str" cm="1">
        <f t="array" ref="I7186">_xlfn.XLOOKUP(FACT_IMPORTS[[#This Row],[country_name]],DIM_COUNTRY[[#All],[Column2]],DIM_COUNTRY[[#All],[Column3]],,,)</f>
        <v>Major_Non-USMCA_Non-China</v>
      </c>
    </row>
    <row r="7187" spans="1:9" x14ac:dyDescent="0.4">
      <c r="A7187" t="s">
        <v>71</v>
      </c>
      <c r="B7187" s="1">
        <v>45078</v>
      </c>
      <c r="C7187">
        <v>851130</v>
      </c>
      <c r="D7187" t="s">
        <v>176</v>
      </c>
      <c r="E7187">
        <v>2214</v>
      </c>
      <c r="F7187">
        <v>49</v>
      </c>
      <c r="G7187">
        <v>3</v>
      </c>
      <c r="H7187">
        <f>_xlfn.XLOOKUP(FACT_IMPORTS[[#This Row],[hts_6]],DIM_PRODUCTS[hts_6],DIM_PRODUCTS[hts_4],,,)</f>
        <v>8511</v>
      </c>
      <c r="I7187" t="str" cm="1">
        <f t="array" ref="I7187">_xlfn.XLOOKUP(FACT_IMPORTS[[#This Row],[country_name]],DIM_COUNTRY[[#All],[Column2]],DIM_COUNTRY[[#All],[Column3]],,,)</f>
        <v>Major_Non-USMCA_Non-China</v>
      </c>
    </row>
    <row r="7188" spans="1:9" x14ac:dyDescent="0.4">
      <c r="A7188" t="s">
        <v>71</v>
      </c>
      <c r="B7188" s="1">
        <v>45078</v>
      </c>
      <c r="C7188">
        <v>851140</v>
      </c>
      <c r="D7188" t="s">
        <v>176</v>
      </c>
      <c r="E7188">
        <v>377558</v>
      </c>
      <c r="F7188">
        <v>3837</v>
      </c>
      <c r="G7188">
        <v>3901</v>
      </c>
      <c r="H7188">
        <f>_xlfn.XLOOKUP(FACT_IMPORTS[[#This Row],[hts_6]],DIM_PRODUCTS[hts_6],DIM_PRODUCTS[hts_4],,,)</f>
        <v>8511</v>
      </c>
      <c r="I7188" t="str" cm="1">
        <f t="array" ref="I7188">_xlfn.XLOOKUP(FACT_IMPORTS[[#This Row],[country_name]],DIM_COUNTRY[[#All],[Column2]],DIM_COUNTRY[[#All],[Column3]],,,)</f>
        <v>Major_Non-USMCA_Non-China</v>
      </c>
    </row>
    <row r="7189" spans="1:9" x14ac:dyDescent="0.4">
      <c r="A7189" t="s">
        <v>71</v>
      </c>
      <c r="B7189" s="1">
        <v>45078</v>
      </c>
      <c r="C7189">
        <v>851150</v>
      </c>
      <c r="D7189" t="s">
        <v>176</v>
      </c>
      <c r="E7189">
        <v>60101</v>
      </c>
      <c r="F7189">
        <v>146</v>
      </c>
      <c r="G7189">
        <v>702</v>
      </c>
      <c r="H7189">
        <f>_xlfn.XLOOKUP(FACT_IMPORTS[[#This Row],[hts_6]],DIM_PRODUCTS[hts_6],DIM_PRODUCTS[hts_4],,,)</f>
        <v>8511</v>
      </c>
      <c r="I7189" t="str" cm="1">
        <f t="array" ref="I7189">_xlfn.XLOOKUP(FACT_IMPORTS[[#This Row],[country_name]],DIM_COUNTRY[[#All],[Column2]],DIM_COUNTRY[[#All],[Column3]],,,)</f>
        <v>Major_Non-USMCA_Non-China</v>
      </c>
    </row>
    <row r="7190" spans="1:9" x14ac:dyDescent="0.4">
      <c r="A7190" t="s">
        <v>71</v>
      </c>
      <c r="B7190" s="1">
        <v>45078</v>
      </c>
      <c r="C7190">
        <v>851180</v>
      </c>
      <c r="D7190" t="s">
        <v>176</v>
      </c>
      <c r="E7190">
        <v>0</v>
      </c>
      <c r="F7190">
        <v>0</v>
      </c>
      <c r="G7190">
        <v>0</v>
      </c>
      <c r="H7190">
        <f>_xlfn.XLOOKUP(FACT_IMPORTS[[#This Row],[hts_6]],DIM_PRODUCTS[hts_6],DIM_PRODUCTS[hts_4],,,)</f>
        <v>8511</v>
      </c>
      <c r="I7190" t="str" cm="1">
        <f t="array" ref="I7190">_xlfn.XLOOKUP(FACT_IMPORTS[[#This Row],[country_name]],DIM_COUNTRY[[#All],[Column2]],DIM_COUNTRY[[#All],[Column3]],,,)</f>
        <v>Major_Non-USMCA_Non-China</v>
      </c>
    </row>
    <row r="7191" spans="1:9" x14ac:dyDescent="0.4">
      <c r="A7191" t="s">
        <v>71</v>
      </c>
      <c r="B7191" s="1">
        <v>45078</v>
      </c>
      <c r="C7191">
        <v>851190</v>
      </c>
      <c r="D7191" t="s">
        <v>176</v>
      </c>
      <c r="E7191">
        <v>27906</v>
      </c>
      <c r="F7191">
        <v>2343</v>
      </c>
      <c r="G7191">
        <v>283</v>
      </c>
      <c r="H7191">
        <f>_xlfn.XLOOKUP(FACT_IMPORTS[[#This Row],[hts_6]],DIM_PRODUCTS[hts_6],DIM_PRODUCTS[hts_4],,,)</f>
        <v>8511</v>
      </c>
      <c r="I7191" t="str" cm="1">
        <f t="array" ref="I7191">_xlfn.XLOOKUP(FACT_IMPORTS[[#This Row],[country_name]],DIM_COUNTRY[[#All],[Column2]],DIM_COUNTRY[[#All],[Column3]],,,)</f>
        <v>Major_Non-USMCA_Non-China</v>
      </c>
    </row>
    <row r="7192" spans="1:9" x14ac:dyDescent="0.4">
      <c r="A7192" t="s">
        <v>71</v>
      </c>
      <c r="B7192" s="1">
        <v>45078</v>
      </c>
      <c r="C7192">
        <v>851220</v>
      </c>
      <c r="D7192" t="s">
        <v>176</v>
      </c>
      <c r="E7192">
        <v>2119</v>
      </c>
      <c r="F7192">
        <v>50</v>
      </c>
      <c r="G7192">
        <v>6</v>
      </c>
      <c r="H7192">
        <f>_xlfn.XLOOKUP(FACT_IMPORTS[[#This Row],[hts_6]],DIM_PRODUCTS[hts_6],DIM_PRODUCTS[hts_4],,,)</f>
        <v>8512</v>
      </c>
      <c r="I7192" t="str" cm="1">
        <f t="array" ref="I7192">_xlfn.XLOOKUP(FACT_IMPORTS[[#This Row],[country_name]],DIM_COUNTRY[[#All],[Column2]],DIM_COUNTRY[[#All],[Column3]],,,)</f>
        <v>Major_Non-USMCA_Non-China</v>
      </c>
    </row>
    <row r="7193" spans="1:9" x14ac:dyDescent="0.4">
      <c r="A7193" t="s">
        <v>71</v>
      </c>
      <c r="B7193" s="1">
        <v>45078</v>
      </c>
      <c r="C7193">
        <v>851230</v>
      </c>
      <c r="D7193" t="s">
        <v>176</v>
      </c>
      <c r="E7193">
        <v>40542</v>
      </c>
      <c r="F7193">
        <v>1719</v>
      </c>
      <c r="G7193">
        <v>353</v>
      </c>
      <c r="H7193">
        <f>_xlfn.XLOOKUP(FACT_IMPORTS[[#This Row],[hts_6]],DIM_PRODUCTS[hts_6],DIM_PRODUCTS[hts_4],,,)</f>
        <v>8512</v>
      </c>
      <c r="I7193" t="str" cm="1">
        <f t="array" ref="I7193">_xlfn.XLOOKUP(FACT_IMPORTS[[#This Row],[country_name]],DIM_COUNTRY[[#All],[Column2]],DIM_COUNTRY[[#All],[Column3]],,,)</f>
        <v>Major_Non-USMCA_Non-China</v>
      </c>
    </row>
    <row r="7194" spans="1:9" x14ac:dyDescent="0.4">
      <c r="A7194" t="s">
        <v>71</v>
      </c>
      <c r="B7194" s="1">
        <v>45078</v>
      </c>
      <c r="C7194">
        <v>851290</v>
      </c>
      <c r="D7194" t="s">
        <v>176</v>
      </c>
      <c r="E7194">
        <v>33228</v>
      </c>
      <c r="F7194">
        <v>828</v>
      </c>
      <c r="G7194">
        <v>289</v>
      </c>
      <c r="H7194">
        <f>_xlfn.XLOOKUP(FACT_IMPORTS[[#This Row],[hts_6]],DIM_PRODUCTS[hts_6],DIM_PRODUCTS[hts_4],,,)</f>
        <v>8512</v>
      </c>
      <c r="I7194" t="str" cm="1">
        <f t="array" ref="I7194">_xlfn.XLOOKUP(FACT_IMPORTS[[#This Row],[country_name]],DIM_COUNTRY[[#All],[Column2]],DIM_COUNTRY[[#All],[Column3]],,,)</f>
        <v>Major_Non-USMCA_Non-China</v>
      </c>
    </row>
    <row r="7195" spans="1:9" x14ac:dyDescent="0.4">
      <c r="A7195" t="s">
        <v>71</v>
      </c>
      <c r="B7195" s="1">
        <v>45078</v>
      </c>
      <c r="C7195">
        <v>854231</v>
      </c>
      <c r="D7195" t="s">
        <v>176</v>
      </c>
      <c r="E7195">
        <v>202784</v>
      </c>
      <c r="F7195">
        <v>10492</v>
      </c>
      <c r="G7195">
        <v>1880</v>
      </c>
      <c r="H7195">
        <f>_xlfn.XLOOKUP(FACT_IMPORTS[[#This Row],[hts_6]],DIM_PRODUCTS[hts_6],DIM_PRODUCTS[hts_4],,,)</f>
        <v>8542</v>
      </c>
      <c r="I7195" t="str" cm="1">
        <f t="array" ref="I7195">_xlfn.XLOOKUP(FACT_IMPORTS[[#This Row],[country_name]],DIM_COUNTRY[[#All],[Column2]],DIM_COUNTRY[[#All],[Column3]],,,)</f>
        <v>Major_Non-USMCA_Non-China</v>
      </c>
    </row>
    <row r="7196" spans="1:9" x14ac:dyDescent="0.4">
      <c r="A7196" t="s">
        <v>71</v>
      </c>
      <c r="B7196" s="1">
        <v>45078</v>
      </c>
      <c r="C7196">
        <v>854232</v>
      </c>
      <c r="D7196" t="s">
        <v>176</v>
      </c>
      <c r="E7196">
        <v>0</v>
      </c>
      <c r="F7196">
        <v>0</v>
      </c>
      <c r="G7196">
        <v>0</v>
      </c>
      <c r="H7196">
        <f>_xlfn.XLOOKUP(FACT_IMPORTS[[#This Row],[hts_6]],DIM_PRODUCTS[hts_6],DIM_PRODUCTS[hts_4],,,)</f>
        <v>8542</v>
      </c>
      <c r="I7196" t="str" cm="1">
        <f t="array" ref="I7196">_xlfn.XLOOKUP(FACT_IMPORTS[[#This Row],[country_name]],DIM_COUNTRY[[#All],[Column2]],DIM_COUNTRY[[#All],[Column3]],,,)</f>
        <v>Major_Non-USMCA_Non-China</v>
      </c>
    </row>
    <row r="7197" spans="1:9" x14ac:dyDescent="0.4">
      <c r="A7197" t="s">
        <v>71</v>
      </c>
      <c r="B7197" s="1">
        <v>45078</v>
      </c>
      <c r="C7197">
        <v>854233</v>
      </c>
      <c r="D7197" t="s">
        <v>176</v>
      </c>
      <c r="E7197">
        <v>0</v>
      </c>
      <c r="F7197">
        <v>0</v>
      </c>
      <c r="G7197">
        <v>0</v>
      </c>
      <c r="H7197">
        <f>_xlfn.XLOOKUP(FACT_IMPORTS[[#This Row],[hts_6]],DIM_PRODUCTS[hts_6],DIM_PRODUCTS[hts_4],,,)</f>
        <v>8542</v>
      </c>
      <c r="I7197" t="str" cm="1">
        <f t="array" ref="I7197">_xlfn.XLOOKUP(FACT_IMPORTS[[#This Row],[country_name]],DIM_COUNTRY[[#All],[Column2]],DIM_COUNTRY[[#All],[Column3]],,,)</f>
        <v>Major_Non-USMCA_Non-China</v>
      </c>
    </row>
    <row r="7198" spans="1:9" x14ac:dyDescent="0.4">
      <c r="A7198" t="s">
        <v>71</v>
      </c>
      <c r="B7198" s="1">
        <v>45078</v>
      </c>
      <c r="C7198">
        <v>854239</v>
      </c>
      <c r="D7198" t="s">
        <v>176</v>
      </c>
      <c r="E7198">
        <v>0</v>
      </c>
      <c r="F7198">
        <v>0</v>
      </c>
      <c r="G7198">
        <v>0</v>
      </c>
      <c r="H7198">
        <f>_xlfn.XLOOKUP(FACT_IMPORTS[[#This Row],[hts_6]],DIM_PRODUCTS[hts_6],DIM_PRODUCTS[hts_4],,,)</f>
        <v>8542</v>
      </c>
      <c r="I7198" t="str" cm="1">
        <f t="array" ref="I7198">_xlfn.XLOOKUP(FACT_IMPORTS[[#This Row],[country_name]],DIM_COUNTRY[[#All],[Column2]],DIM_COUNTRY[[#All],[Column3]],,,)</f>
        <v>Major_Non-USMCA_Non-China</v>
      </c>
    </row>
    <row r="7199" spans="1:9" x14ac:dyDescent="0.4">
      <c r="A7199" t="s">
        <v>71</v>
      </c>
      <c r="B7199" s="1">
        <v>45078</v>
      </c>
      <c r="C7199">
        <v>854430</v>
      </c>
      <c r="D7199" t="s">
        <v>176</v>
      </c>
      <c r="E7199">
        <v>3579</v>
      </c>
      <c r="F7199">
        <v>2400</v>
      </c>
      <c r="G7199">
        <v>36</v>
      </c>
      <c r="H7199">
        <f>_xlfn.XLOOKUP(FACT_IMPORTS[[#This Row],[hts_6]],DIM_PRODUCTS[hts_6],DIM_PRODUCTS[hts_4],,,)</f>
        <v>8544</v>
      </c>
      <c r="I7199" t="str" cm="1">
        <f t="array" ref="I7199">_xlfn.XLOOKUP(FACT_IMPORTS[[#This Row],[country_name]],DIM_COUNTRY[[#All],[Column2]],DIM_COUNTRY[[#All],[Column3]],,,)</f>
        <v>Major_Non-USMCA_Non-China</v>
      </c>
    </row>
    <row r="7200" spans="1:9" x14ac:dyDescent="0.4">
      <c r="A7200" t="s">
        <v>71</v>
      </c>
      <c r="B7200" s="1">
        <v>45078</v>
      </c>
      <c r="C7200">
        <v>870710</v>
      </c>
      <c r="D7200" t="s">
        <v>176</v>
      </c>
      <c r="E7200">
        <v>0</v>
      </c>
      <c r="F7200">
        <v>0</v>
      </c>
      <c r="G7200">
        <v>0</v>
      </c>
      <c r="H7200">
        <f>_xlfn.XLOOKUP(FACT_IMPORTS[[#This Row],[hts_6]],DIM_PRODUCTS[hts_6],DIM_PRODUCTS[hts_4],,,)</f>
        <v>8707</v>
      </c>
      <c r="I7200" t="str" cm="1">
        <f t="array" ref="I7200">_xlfn.XLOOKUP(FACT_IMPORTS[[#This Row],[country_name]],DIM_COUNTRY[[#All],[Column2]],DIM_COUNTRY[[#All],[Column3]],,,)</f>
        <v>Major_Non-USMCA_Non-China</v>
      </c>
    </row>
    <row r="7201" spans="1:9" x14ac:dyDescent="0.4">
      <c r="A7201" t="s">
        <v>71</v>
      </c>
      <c r="B7201" s="1">
        <v>45078</v>
      </c>
      <c r="C7201">
        <v>870790</v>
      </c>
      <c r="D7201" t="s">
        <v>176</v>
      </c>
      <c r="E7201">
        <v>0</v>
      </c>
      <c r="F7201">
        <v>0</v>
      </c>
      <c r="G7201">
        <v>0</v>
      </c>
      <c r="H7201">
        <f>_xlfn.XLOOKUP(FACT_IMPORTS[[#This Row],[hts_6]],DIM_PRODUCTS[hts_6],DIM_PRODUCTS[hts_4],,,)</f>
        <v>8707</v>
      </c>
      <c r="I7201" t="str" cm="1">
        <f t="array" ref="I7201">_xlfn.XLOOKUP(FACT_IMPORTS[[#This Row],[country_name]],DIM_COUNTRY[[#All],[Column2]],DIM_COUNTRY[[#All],[Column3]],,,)</f>
        <v>Major_Non-USMCA_Non-China</v>
      </c>
    </row>
    <row r="7202" spans="1:9" x14ac:dyDescent="0.4">
      <c r="A7202" t="s">
        <v>71</v>
      </c>
      <c r="B7202" s="1">
        <v>45078</v>
      </c>
      <c r="C7202">
        <v>870810</v>
      </c>
      <c r="D7202" t="s">
        <v>176</v>
      </c>
      <c r="E7202">
        <v>0</v>
      </c>
      <c r="F7202">
        <v>0</v>
      </c>
      <c r="G7202">
        <v>0</v>
      </c>
      <c r="H7202">
        <f>_xlfn.XLOOKUP(FACT_IMPORTS[[#This Row],[hts_6]],DIM_PRODUCTS[hts_6],DIM_PRODUCTS[hts_4],,,)</f>
        <v>8708</v>
      </c>
      <c r="I7202" t="str" cm="1">
        <f t="array" ref="I7202">_xlfn.XLOOKUP(FACT_IMPORTS[[#This Row],[country_name]],DIM_COUNTRY[[#All],[Column2]],DIM_COUNTRY[[#All],[Column3]],,,)</f>
        <v>Major_Non-USMCA_Non-China</v>
      </c>
    </row>
    <row r="7203" spans="1:9" x14ac:dyDescent="0.4">
      <c r="A7203" t="s">
        <v>71</v>
      </c>
      <c r="B7203" s="1">
        <v>45078</v>
      </c>
      <c r="C7203">
        <v>870829</v>
      </c>
      <c r="D7203" t="s">
        <v>176</v>
      </c>
      <c r="E7203">
        <v>3921402</v>
      </c>
      <c r="F7203">
        <v>357297</v>
      </c>
      <c r="G7203">
        <v>49656</v>
      </c>
      <c r="H7203">
        <f>_xlfn.XLOOKUP(FACT_IMPORTS[[#This Row],[hts_6]],DIM_PRODUCTS[hts_6],DIM_PRODUCTS[hts_4],,,)</f>
        <v>8708</v>
      </c>
      <c r="I7203" t="str" cm="1">
        <f t="array" ref="I7203">_xlfn.XLOOKUP(FACT_IMPORTS[[#This Row],[country_name]],DIM_COUNTRY[[#All],[Column2]],DIM_COUNTRY[[#All],[Column3]],,,)</f>
        <v>Major_Non-USMCA_Non-China</v>
      </c>
    </row>
    <row r="7204" spans="1:9" x14ac:dyDescent="0.4">
      <c r="A7204" t="s">
        <v>71</v>
      </c>
      <c r="B7204" s="1">
        <v>45078</v>
      </c>
      <c r="C7204">
        <v>870830</v>
      </c>
      <c r="D7204" t="s">
        <v>176</v>
      </c>
      <c r="E7204">
        <v>1026564</v>
      </c>
      <c r="F7204">
        <v>129600</v>
      </c>
      <c r="G7204">
        <v>18012</v>
      </c>
      <c r="H7204">
        <f>_xlfn.XLOOKUP(FACT_IMPORTS[[#This Row],[hts_6]],DIM_PRODUCTS[hts_6],DIM_PRODUCTS[hts_4],,,)</f>
        <v>8708</v>
      </c>
      <c r="I7204" t="str" cm="1">
        <f t="array" ref="I7204">_xlfn.XLOOKUP(FACT_IMPORTS[[#This Row],[country_name]],DIM_COUNTRY[[#All],[Column2]],DIM_COUNTRY[[#All],[Column3]],,,)</f>
        <v>Major_Non-USMCA_Non-China</v>
      </c>
    </row>
    <row r="7205" spans="1:9" x14ac:dyDescent="0.4">
      <c r="A7205" t="s">
        <v>71</v>
      </c>
      <c r="B7205" s="1">
        <v>45078</v>
      </c>
      <c r="C7205">
        <v>870840</v>
      </c>
      <c r="D7205" t="s">
        <v>176</v>
      </c>
      <c r="E7205">
        <v>695936</v>
      </c>
      <c r="F7205">
        <v>513</v>
      </c>
      <c r="G7205">
        <v>21961</v>
      </c>
      <c r="H7205">
        <f>_xlfn.XLOOKUP(FACT_IMPORTS[[#This Row],[hts_6]],DIM_PRODUCTS[hts_6],DIM_PRODUCTS[hts_4],,,)</f>
        <v>8708</v>
      </c>
      <c r="I7205" t="str" cm="1">
        <f t="array" ref="I7205">_xlfn.XLOOKUP(FACT_IMPORTS[[#This Row],[country_name]],DIM_COUNTRY[[#All],[Column2]],DIM_COUNTRY[[#All],[Column3]],,,)</f>
        <v>Major_Non-USMCA_Non-China</v>
      </c>
    </row>
    <row r="7206" spans="1:9" x14ac:dyDescent="0.4">
      <c r="A7206" t="s">
        <v>71</v>
      </c>
      <c r="B7206" s="1">
        <v>45078</v>
      </c>
      <c r="C7206">
        <v>870850</v>
      </c>
      <c r="D7206" t="s">
        <v>176</v>
      </c>
      <c r="E7206">
        <v>1559867</v>
      </c>
      <c r="F7206">
        <v>3173</v>
      </c>
      <c r="G7206">
        <v>1514</v>
      </c>
      <c r="H7206">
        <f>_xlfn.XLOOKUP(FACT_IMPORTS[[#This Row],[hts_6]],DIM_PRODUCTS[hts_6],DIM_PRODUCTS[hts_4],,,)</f>
        <v>8708</v>
      </c>
      <c r="I7206" t="str" cm="1">
        <f t="array" ref="I7206">_xlfn.XLOOKUP(FACT_IMPORTS[[#This Row],[country_name]],DIM_COUNTRY[[#All],[Column2]],DIM_COUNTRY[[#All],[Column3]],,,)</f>
        <v>Major_Non-USMCA_Non-China</v>
      </c>
    </row>
    <row r="7207" spans="1:9" x14ac:dyDescent="0.4">
      <c r="A7207" t="s">
        <v>71</v>
      </c>
      <c r="B7207" s="1">
        <v>45078</v>
      </c>
      <c r="C7207">
        <v>870870</v>
      </c>
      <c r="D7207" t="s">
        <v>176</v>
      </c>
      <c r="E7207">
        <v>13430</v>
      </c>
      <c r="F7207">
        <v>1119</v>
      </c>
      <c r="G7207">
        <v>200</v>
      </c>
      <c r="H7207">
        <f>_xlfn.XLOOKUP(FACT_IMPORTS[[#This Row],[hts_6]],DIM_PRODUCTS[hts_6],DIM_PRODUCTS[hts_4],,,)</f>
        <v>8708</v>
      </c>
      <c r="I7207" t="str" cm="1">
        <f t="array" ref="I7207">_xlfn.XLOOKUP(FACT_IMPORTS[[#This Row],[country_name]],DIM_COUNTRY[[#All],[Column2]],DIM_COUNTRY[[#All],[Column3]],,,)</f>
        <v>Major_Non-USMCA_Non-China</v>
      </c>
    </row>
    <row r="7208" spans="1:9" x14ac:dyDescent="0.4">
      <c r="A7208" t="s">
        <v>71</v>
      </c>
      <c r="B7208" s="1">
        <v>45078</v>
      </c>
      <c r="C7208">
        <v>870880</v>
      </c>
      <c r="D7208" t="s">
        <v>176</v>
      </c>
      <c r="E7208">
        <v>166817</v>
      </c>
      <c r="F7208">
        <v>3963</v>
      </c>
      <c r="G7208">
        <v>12935</v>
      </c>
      <c r="H7208">
        <f>_xlfn.XLOOKUP(FACT_IMPORTS[[#This Row],[hts_6]],DIM_PRODUCTS[hts_6],DIM_PRODUCTS[hts_4],,,)</f>
        <v>8708</v>
      </c>
      <c r="I7208" t="str" cm="1">
        <f t="array" ref="I7208">_xlfn.XLOOKUP(FACT_IMPORTS[[#This Row],[country_name]],DIM_COUNTRY[[#All],[Column2]],DIM_COUNTRY[[#All],[Column3]],,,)</f>
        <v>Major_Non-USMCA_Non-China</v>
      </c>
    </row>
    <row r="7209" spans="1:9" x14ac:dyDescent="0.4">
      <c r="A7209" t="s">
        <v>71</v>
      </c>
      <c r="B7209" s="1">
        <v>45078</v>
      </c>
      <c r="C7209">
        <v>870891</v>
      </c>
      <c r="D7209" t="s">
        <v>176</v>
      </c>
      <c r="E7209">
        <v>173533</v>
      </c>
      <c r="F7209">
        <v>126741</v>
      </c>
      <c r="G7209">
        <v>2256</v>
      </c>
      <c r="H7209">
        <f>_xlfn.XLOOKUP(FACT_IMPORTS[[#This Row],[hts_6]],DIM_PRODUCTS[hts_6],DIM_PRODUCTS[hts_4],,,)</f>
        <v>8708</v>
      </c>
      <c r="I7209" t="str" cm="1">
        <f t="array" ref="I7209">_xlfn.XLOOKUP(FACT_IMPORTS[[#This Row],[country_name]],DIM_COUNTRY[[#All],[Column2]],DIM_COUNTRY[[#All],[Column3]],,,)</f>
        <v>Major_Non-USMCA_Non-China</v>
      </c>
    </row>
    <row r="7210" spans="1:9" x14ac:dyDescent="0.4">
      <c r="A7210" t="s">
        <v>71</v>
      </c>
      <c r="B7210" s="1">
        <v>45078</v>
      </c>
      <c r="C7210">
        <v>870892</v>
      </c>
      <c r="D7210" t="s">
        <v>176</v>
      </c>
      <c r="E7210">
        <v>0</v>
      </c>
      <c r="F7210">
        <v>0</v>
      </c>
      <c r="G7210">
        <v>0</v>
      </c>
      <c r="H7210">
        <f>_xlfn.XLOOKUP(FACT_IMPORTS[[#This Row],[hts_6]],DIM_PRODUCTS[hts_6],DIM_PRODUCTS[hts_4],,,)</f>
        <v>8708</v>
      </c>
      <c r="I7210" t="str" cm="1">
        <f t="array" ref="I7210">_xlfn.XLOOKUP(FACT_IMPORTS[[#This Row],[country_name]],DIM_COUNTRY[[#All],[Column2]],DIM_COUNTRY[[#All],[Column3]],,,)</f>
        <v>Major_Non-USMCA_Non-China</v>
      </c>
    </row>
    <row r="7211" spans="1:9" x14ac:dyDescent="0.4">
      <c r="A7211" t="s">
        <v>71</v>
      </c>
      <c r="B7211" s="1">
        <v>45078</v>
      </c>
      <c r="C7211">
        <v>870893</v>
      </c>
      <c r="D7211" t="s">
        <v>176</v>
      </c>
      <c r="E7211">
        <v>463944</v>
      </c>
      <c r="F7211">
        <v>253790</v>
      </c>
      <c r="G7211">
        <v>8768</v>
      </c>
      <c r="H7211">
        <f>_xlfn.XLOOKUP(FACT_IMPORTS[[#This Row],[hts_6]],DIM_PRODUCTS[hts_6],DIM_PRODUCTS[hts_4],,,)</f>
        <v>8708</v>
      </c>
      <c r="I7211" t="str" cm="1">
        <f t="array" ref="I7211">_xlfn.XLOOKUP(FACT_IMPORTS[[#This Row],[country_name]],DIM_COUNTRY[[#All],[Column2]],DIM_COUNTRY[[#All],[Column3]],,,)</f>
        <v>Major_Non-USMCA_Non-China</v>
      </c>
    </row>
    <row r="7212" spans="1:9" x14ac:dyDescent="0.4">
      <c r="A7212" t="s">
        <v>71</v>
      </c>
      <c r="B7212" s="1">
        <v>45078</v>
      </c>
      <c r="C7212">
        <v>870894</v>
      </c>
      <c r="D7212" t="s">
        <v>176</v>
      </c>
      <c r="E7212">
        <v>49682</v>
      </c>
      <c r="F7212">
        <v>1915</v>
      </c>
      <c r="G7212">
        <v>4930</v>
      </c>
      <c r="H7212">
        <f>_xlfn.XLOOKUP(FACT_IMPORTS[[#This Row],[hts_6]],DIM_PRODUCTS[hts_6],DIM_PRODUCTS[hts_4],,,)</f>
        <v>8708</v>
      </c>
      <c r="I7212" t="str" cm="1">
        <f t="array" ref="I7212">_xlfn.XLOOKUP(FACT_IMPORTS[[#This Row],[country_name]],DIM_COUNTRY[[#All],[Column2]],DIM_COUNTRY[[#All],[Column3]],,,)</f>
        <v>Major_Non-USMCA_Non-China</v>
      </c>
    </row>
    <row r="7213" spans="1:9" x14ac:dyDescent="0.4">
      <c r="A7213" t="s">
        <v>71</v>
      </c>
      <c r="B7213" s="1">
        <v>45078</v>
      </c>
      <c r="C7213">
        <v>870895</v>
      </c>
      <c r="D7213" t="s">
        <v>176</v>
      </c>
      <c r="E7213">
        <v>2331</v>
      </c>
      <c r="F7213">
        <v>257</v>
      </c>
      <c r="G7213">
        <v>1047</v>
      </c>
      <c r="H7213">
        <f>_xlfn.XLOOKUP(FACT_IMPORTS[[#This Row],[hts_6]],DIM_PRODUCTS[hts_6],DIM_PRODUCTS[hts_4],,,)</f>
        <v>8708</v>
      </c>
      <c r="I7213" t="str" cm="1">
        <f t="array" ref="I7213">_xlfn.XLOOKUP(FACT_IMPORTS[[#This Row],[country_name]],DIM_COUNTRY[[#All],[Column2]],DIM_COUNTRY[[#All],[Column3]],,,)</f>
        <v>Major_Non-USMCA_Non-China</v>
      </c>
    </row>
    <row r="7214" spans="1:9" x14ac:dyDescent="0.4">
      <c r="A7214" t="s">
        <v>71</v>
      </c>
      <c r="B7214" s="1">
        <v>45078</v>
      </c>
      <c r="C7214">
        <v>870899</v>
      </c>
      <c r="D7214" t="s">
        <v>176</v>
      </c>
      <c r="E7214">
        <v>3176101</v>
      </c>
      <c r="F7214">
        <v>2176721</v>
      </c>
      <c r="G7214">
        <v>52976</v>
      </c>
      <c r="H7214">
        <f>_xlfn.XLOOKUP(FACT_IMPORTS[[#This Row],[hts_6]],DIM_PRODUCTS[hts_6],DIM_PRODUCTS[hts_4],,,)</f>
        <v>8708</v>
      </c>
      <c r="I7214" t="str" cm="1">
        <f t="array" ref="I7214">_xlfn.XLOOKUP(FACT_IMPORTS[[#This Row],[country_name]],DIM_COUNTRY[[#All],[Column2]],DIM_COUNTRY[[#All],[Column3]],,,)</f>
        <v>Major_Non-USMCA_Non-China</v>
      </c>
    </row>
    <row r="7215" spans="1:9" x14ac:dyDescent="0.4">
      <c r="A7215" t="s">
        <v>71</v>
      </c>
      <c r="B7215" s="1">
        <v>45078</v>
      </c>
      <c r="C7215">
        <v>940120</v>
      </c>
      <c r="D7215" t="s">
        <v>176</v>
      </c>
      <c r="E7215">
        <v>1680</v>
      </c>
      <c r="F7215">
        <v>3</v>
      </c>
      <c r="G7215">
        <v>300</v>
      </c>
      <c r="H7215">
        <f>_xlfn.XLOOKUP(FACT_IMPORTS[[#This Row],[hts_6]],DIM_PRODUCTS[hts_6],DIM_PRODUCTS[hts_4],,,)</f>
        <v>9401</v>
      </c>
      <c r="I7215" t="str" cm="1">
        <f t="array" ref="I7215">_xlfn.XLOOKUP(FACT_IMPORTS[[#This Row],[country_name]],DIM_COUNTRY[[#All],[Column2]],DIM_COUNTRY[[#All],[Column3]],,,)</f>
        <v>Major_Non-USMCA_Non-China</v>
      </c>
    </row>
    <row r="7216" spans="1:9" x14ac:dyDescent="0.4">
      <c r="A7216" t="s">
        <v>71</v>
      </c>
      <c r="B7216" s="1">
        <v>45108</v>
      </c>
      <c r="C7216">
        <v>392630</v>
      </c>
      <c r="D7216" t="s">
        <v>176</v>
      </c>
      <c r="E7216">
        <v>3373</v>
      </c>
      <c r="F7216">
        <v>187</v>
      </c>
      <c r="G7216">
        <v>1038</v>
      </c>
      <c r="H7216">
        <f>_xlfn.XLOOKUP(FACT_IMPORTS[[#This Row],[hts_6]],DIM_PRODUCTS[hts_6],DIM_PRODUCTS[hts_4],,,)</f>
        <v>3926</v>
      </c>
      <c r="I7216" t="str" cm="1">
        <f t="array" ref="I7216">_xlfn.XLOOKUP(FACT_IMPORTS[[#This Row],[country_name]],DIM_COUNTRY[[#All],[Column2]],DIM_COUNTRY[[#All],[Column3]],,,)</f>
        <v>Major_Non-USMCA_Non-China</v>
      </c>
    </row>
    <row r="7217" spans="1:9" x14ac:dyDescent="0.4">
      <c r="A7217" t="s">
        <v>71</v>
      </c>
      <c r="B7217" s="1">
        <v>45108</v>
      </c>
      <c r="C7217">
        <v>401110</v>
      </c>
      <c r="D7217" t="s">
        <v>176</v>
      </c>
      <c r="E7217">
        <v>537214</v>
      </c>
      <c r="F7217">
        <v>5982</v>
      </c>
      <c r="G7217">
        <v>4574</v>
      </c>
      <c r="H7217">
        <f>_xlfn.XLOOKUP(FACT_IMPORTS[[#This Row],[hts_6]],DIM_PRODUCTS[hts_6],DIM_PRODUCTS[hts_4],,,)</f>
        <v>4011</v>
      </c>
      <c r="I7217" t="str" cm="1">
        <f t="array" ref="I7217">_xlfn.XLOOKUP(FACT_IMPORTS[[#This Row],[country_name]],DIM_COUNTRY[[#All],[Column2]],DIM_COUNTRY[[#All],[Column3]],,,)</f>
        <v>Major_Non-USMCA_Non-China</v>
      </c>
    </row>
    <row r="7218" spans="1:9" x14ac:dyDescent="0.4">
      <c r="A7218" t="s">
        <v>71</v>
      </c>
      <c r="B7218" s="1">
        <v>45108</v>
      </c>
      <c r="C7218">
        <v>401120</v>
      </c>
      <c r="D7218" t="s">
        <v>176</v>
      </c>
      <c r="E7218">
        <v>290212</v>
      </c>
      <c r="F7218">
        <v>953</v>
      </c>
      <c r="G7218">
        <v>2100</v>
      </c>
      <c r="H7218">
        <f>_xlfn.XLOOKUP(FACT_IMPORTS[[#This Row],[hts_6]],DIM_PRODUCTS[hts_6],DIM_PRODUCTS[hts_4],,,)</f>
        <v>4011</v>
      </c>
      <c r="I7218" t="str" cm="1">
        <f t="array" ref="I7218">_xlfn.XLOOKUP(FACT_IMPORTS[[#This Row],[country_name]],DIM_COUNTRY[[#All],[Column2]],DIM_COUNTRY[[#All],[Column3]],,,)</f>
        <v>Major_Non-USMCA_Non-China</v>
      </c>
    </row>
    <row r="7219" spans="1:9" x14ac:dyDescent="0.4">
      <c r="A7219" t="s">
        <v>71</v>
      </c>
      <c r="B7219" s="1">
        <v>45108</v>
      </c>
      <c r="C7219">
        <v>401140</v>
      </c>
      <c r="D7219" t="s">
        <v>176</v>
      </c>
      <c r="E7219">
        <v>43198</v>
      </c>
      <c r="F7219">
        <v>380</v>
      </c>
      <c r="G7219">
        <v>150</v>
      </c>
      <c r="H7219">
        <f>_xlfn.XLOOKUP(FACT_IMPORTS[[#This Row],[hts_6]],DIM_PRODUCTS[hts_6],DIM_PRODUCTS[hts_4],,,)</f>
        <v>4011</v>
      </c>
      <c r="I7219" t="str" cm="1">
        <f t="array" ref="I7219">_xlfn.XLOOKUP(FACT_IMPORTS[[#This Row],[country_name]],DIM_COUNTRY[[#All],[Column2]],DIM_COUNTRY[[#All],[Column3]],,,)</f>
        <v>Major_Non-USMCA_Non-China</v>
      </c>
    </row>
    <row r="7220" spans="1:9" x14ac:dyDescent="0.4">
      <c r="A7220" t="s">
        <v>71</v>
      </c>
      <c r="B7220" s="1">
        <v>45108</v>
      </c>
      <c r="C7220">
        <v>700721</v>
      </c>
      <c r="D7220" t="s">
        <v>176</v>
      </c>
      <c r="E7220">
        <v>0</v>
      </c>
      <c r="F7220">
        <v>0</v>
      </c>
      <c r="G7220">
        <v>0</v>
      </c>
      <c r="H7220">
        <f>_xlfn.XLOOKUP(FACT_IMPORTS[[#This Row],[hts_6]],DIM_PRODUCTS[hts_6],DIM_PRODUCTS[hts_4],,,)</f>
        <v>7007</v>
      </c>
      <c r="I7220" t="str" cm="1">
        <f t="array" ref="I7220">_xlfn.XLOOKUP(FACT_IMPORTS[[#This Row],[country_name]],DIM_COUNTRY[[#All],[Column2]],DIM_COUNTRY[[#All],[Column3]],,,)</f>
        <v>Major_Non-USMCA_Non-China</v>
      </c>
    </row>
    <row r="7221" spans="1:9" x14ac:dyDescent="0.4">
      <c r="A7221" t="s">
        <v>71</v>
      </c>
      <c r="B7221" s="1">
        <v>45108</v>
      </c>
      <c r="C7221">
        <v>700910</v>
      </c>
      <c r="D7221" t="s">
        <v>176</v>
      </c>
      <c r="E7221">
        <v>0</v>
      </c>
      <c r="F7221">
        <v>0</v>
      </c>
      <c r="G7221">
        <v>0</v>
      </c>
      <c r="H7221">
        <f>_xlfn.XLOOKUP(FACT_IMPORTS[[#This Row],[hts_6]],DIM_PRODUCTS[hts_6],DIM_PRODUCTS[hts_4],,,)</f>
        <v>7009</v>
      </c>
      <c r="I7221" t="str" cm="1">
        <f t="array" ref="I7221">_xlfn.XLOOKUP(FACT_IMPORTS[[#This Row],[country_name]],DIM_COUNTRY[[#All],[Column2]],DIM_COUNTRY[[#All],[Column3]],,,)</f>
        <v>Major_Non-USMCA_Non-China</v>
      </c>
    </row>
    <row r="7222" spans="1:9" x14ac:dyDescent="0.4">
      <c r="A7222" t="s">
        <v>71</v>
      </c>
      <c r="B7222" s="1">
        <v>45108</v>
      </c>
      <c r="C7222">
        <v>732010</v>
      </c>
      <c r="D7222" t="s">
        <v>176</v>
      </c>
      <c r="E7222">
        <v>0</v>
      </c>
      <c r="F7222">
        <v>0</v>
      </c>
      <c r="G7222">
        <v>0</v>
      </c>
      <c r="H7222">
        <f>_xlfn.XLOOKUP(FACT_IMPORTS[[#This Row],[hts_6]],DIM_PRODUCTS[hts_6],DIM_PRODUCTS[hts_4],,,)</f>
        <v>7320</v>
      </c>
      <c r="I7222" t="str" cm="1">
        <f t="array" ref="I7222">_xlfn.XLOOKUP(FACT_IMPORTS[[#This Row],[country_name]],DIM_COUNTRY[[#All],[Column2]],DIM_COUNTRY[[#All],[Column3]],,,)</f>
        <v>Major_Non-USMCA_Non-China</v>
      </c>
    </row>
    <row r="7223" spans="1:9" x14ac:dyDescent="0.4">
      <c r="A7223" t="s">
        <v>71</v>
      </c>
      <c r="B7223" s="1">
        <v>45108</v>
      </c>
      <c r="C7223">
        <v>830230</v>
      </c>
      <c r="D7223" t="s">
        <v>176</v>
      </c>
      <c r="E7223">
        <v>59328</v>
      </c>
      <c r="F7223">
        <v>10520</v>
      </c>
      <c r="G7223">
        <v>679</v>
      </c>
      <c r="H7223">
        <f>_xlfn.XLOOKUP(FACT_IMPORTS[[#This Row],[hts_6]],DIM_PRODUCTS[hts_6],DIM_PRODUCTS[hts_4],,,)</f>
        <v>8302</v>
      </c>
      <c r="I7223" t="str" cm="1">
        <f t="array" ref="I7223">_xlfn.XLOOKUP(FACT_IMPORTS[[#This Row],[country_name]],DIM_COUNTRY[[#All],[Column2]],DIM_COUNTRY[[#All],[Column3]],,,)</f>
        <v>Major_Non-USMCA_Non-China</v>
      </c>
    </row>
    <row r="7224" spans="1:9" x14ac:dyDescent="0.4">
      <c r="A7224" t="s">
        <v>71</v>
      </c>
      <c r="B7224" s="1">
        <v>45108</v>
      </c>
      <c r="C7224">
        <v>840734</v>
      </c>
      <c r="D7224" t="s">
        <v>176</v>
      </c>
      <c r="E7224">
        <v>0</v>
      </c>
      <c r="F7224">
        <v>0</v>
      </c>
      <c r="G7224">
        <v>0</v>
      </c>
      <c r="H7224">
        <f>_xlfn.XLOOKUP(FACT_IMPORTS[[#This Row],[hts_6]],DIM_PRODUCTS[hts_6],DIM_PRODUCTS[hts_4],,,)</f>
        <v>8407</v>
      </c>
      <c r="I7224" t="str" cm="1">
        <f t="array" ref="I7224">_xlfn.XLOOKUP(FACT_IMPORTS[[#This Row],[country_name]],DIM_COUNTRY[[#All],[Column2]],DIM_COUNTRY[[#All],[Column3]],,,)</f>
        <v>Major_Non-USMCA_Non-China</v>
      </c>
    </row>
    <row r="7225" spans="1:9" x14ac:dyDescent="0.4">
      <c r="A7225" t="s">
        <v>71</v>
      </c>
      <c r="B7225" s="1">
        <v>45108</v>
      </c>
      <c r="C7225">
        <v>840790</v>
      </c>
      <c r="D7225" t="s">
        <v>176</v>
      </c>
      <c r="E7225">
        <v>16687</v>
      </c>
      <c r="F7225">
        <v>4</v>
      </c>
      <c r="G7225">
        <v>9</v>
      </c>
      <c r="H7225">
        <f>_xlfn.XLOOKUP(FACT_IMPORTS[[#This Row],[hts_6]],DIM_PRODUCTS[hts_6],DIM_PRODUCTS[hts_4],,,)</f>
        <v>8407</v>
      </c>
      <c r="I7225" t="str" cm="1">
        <f t="array" ref="I7225">_xlfn.XLOOKUP(FACT_IMPORTS[[#This Row],[country_name]],DIM_COUNTRY[[#All],[Column2]],DIM_COUNTRY[[#All],[Column3]],,,)</f>
        <v>Major_Non-USMCA_Non-China</v>
      </c>
    </row>
    <row r="7226" spans="1:9" x14ac:dyDescent="0.4">
      <c r="A7226" t="s">
        <v>71</v>
      </c>
      <c r="B7226" s="1">
        <v>45108</v>
      </c>
      <c r="C7226">
        <v>840820</v>
      </c>
      <c r="D7226" t="s">
        <v>176</v>
      </c>
      <c r="E7226">
        <v>33400</v>
      </c>
      <c r="F7226">
        <v>1</v>
      </c>
      <c r="G7226">
        <v>200</v>
      </c>
      <c r="H7226">
        <f>_xlfn.XLOOKUP(FACT_IMPORTS[[#This Row],[hts_6]],DIM_PRODUCTS[hts_6],DIM_PRODUCTS[hts_4],,,)</f>
        <v>8408</v>
      </c>
      <c r="I7226" t="str" cm="1">
        <f t="array" ref="I7226">_xlfn.XLOOKUP(FACT_IMPORTS[[#This Row],[country_name]],DIM_COUNTRY[[#All],[Column2]],DIM_COUNTRY[[#All],[Column3]],,,)</f>
        <v>Major_Non-USMCA_Non-China</v>
      </c>
    </row>
    <row r="7227" spans="1:9" x14ac:dyDescent="0.4">
      <c r="A7227" t="s">
        <v>71</v>
      </c>
      <c r="B7227" s="1">
        <v>45108</v>
      </c>
      <c r="C7227">
        <v>840890</v>
      </c>
      <c r="D7227" t="s">
        <v>176</v>
      </c>
      <c r="E7227">
        <v>16643</v>
      </c>
      <c r="F7227">
        <v>2</v>
      </c>
      <c r="G7227">
        <v>309</v>
      </c>
      <c r="H7227">
        <f>_xlfn.XLOOKUP(FACT_IMPORTS[[#This Row],[hts_6]],DIM_PRODUCTS[hts_6],DIM_PRODUCTS[hts_4],,,)</f>
        <v>8408</v>
      </c>
      <c r="I7227" t="str" cm="1">
        <f t="array" ref="I7227">_xlfn.XLOOKUP(FACT_IMPORTS[[#This Row],[country_name]],DIM_COUNTRY[[#All],[Column2]],DIM_COUNTRY[[#All],[Column3]],,,)</f>
        <v>Major_Non-USMCA_Non-China</v>
      </c>
    </row>
    <row r="7228" spans="1:9" x14ac:dyDescent="0.4">
      <c r="A7228" t="s">
        <v>71</v>
      </c>
      <c r="B7228" s="1">
        <v>45108</v>
      </c>
      <c r="C7228">
        <v>840991</v>
      </c>
      <c r="D7228" t="s">
        <v>176</v>
      </c>
      <c r="E7228">
        <v>6921247</v>
      </c>
      <c r="F7228">
        <v>470180</v>
      </c>
      <c r="G7228">
        <v>156179</v>
      </c>
      <c r="H7228">
        <f>_xlfn.XLOOKUP(FACT_IMPORTS[[#This Row],[hts_6]],DIM_PRODUCTS[hts_6],DIM_PRODUCTS[hts_4],,,)</f>
        <v>8409</v>
      </c>
      <c r="I7228" t="str" cm="1">
        <f t="array" ref="I7228">_xlfn.XLOOKUP(FACT_IMPORTS[[#This Row],[country_name]],DIM_COUNTRY[[#All],[Column2]],DIM_COUNTRY[[#All],[Column3]],,,)</f>
        <v>Major_Non-USMCA_Non-China</v>
      </c>
    </row>
    <row r="7229" spans="1:9" x14ac:dyDescent="0.4">
      <c r="A7229" t="s">
        <v>71</v>
      </c>
      <c r="B7229" s="1">
        <v>45108</v>
      </c>
      <c r="C7229">
        <v>840999</v>
      </c>
      <c r="D7229" t="s">
        <v>176</v>
      </c>
      <c r="E7229">
        <v>0</v>
      </c>
      <c r="F7229">
        <v>0</v>
      </c>
      <c r="G7229">
        <v>0</v>
      </c>
      <c r="H7229">
        <f>_xlfn.XLOOKUP(FACT_IMPORTS[[#This Row],[hts_6]],DIM_PRODUCTS[hts_6],DIM_PRODUCTS[hts_4],,,)</f>
        <v>8409</v>
      </c>
      <c r="I7229" t="str" cm="1">
        <f t="array" ref="I7229">_xlfn.XLOOKUP(FACT_IMPORTS[[#This Row],[country_name]],DIM_COUNTRY[[#All],[Column2]],DIM_COUNTRY[[#All],[Column3]],,,)</f>
        <v>Major_Non-USMCA_Non-China</v>
      </c>
    </row>
    <row r="7230" spans="1:9" x14ac:dyDescent="0.4">
      <c r="A7230" t="s">
        <v>71</v>
      </c>
      <c r="B7230" s="1">
        <v>45108</v>
      </c>
      <c r="C7230">
        <v>841330</v>
      </c>
      <c r="D7230" t="s">
        <v>176</v>
      </c>
      <c r="E7230">
        <v>54506</v>
      </c>
      <c r="F7230">
        <v>2098</v>
      </c>
      <c r="G7230">
        <v>2786</v>
      </c>
      <c r="H7230">
        <f>_xlfn.XLOOKUP(FACT_IMPORTS[[#This Row],[hts_6]],DIM_PRODUCTS[hts_6],DIM_PRODUCTS[hts_4],,,)</f>
        <v>8413</v>
      </c>
      <c r="I7230" t="str" cm="1">
        <f t="array" ref="I7230">_xlfn.XLOOKUP(FACT_IMPORTS[[#This Row],[country_name]],DIM_COUNTRY[[#All],[Column2]],DIM_COUNTRY[[#All],[Column3]],,,)</f>
        <v>Major_Non-USMCA_Non-China</v>
      </c>
    </row>
    <row r="7231" spans="1:9" x14ac:dyDescent="0.4">
      <c r="A7231" t="s">
        <v>71</v>
      </c>
      <c r="B7231" s="1">
        <v>45108</v>
      </c>
      <c r="C7231">
        <v>841520</v>
      </c>
      <c r="D7231" t="s">
        <v>176</v>
      </c>
      <c r="E7231">
        <v>0</v>
      </c>
      <c r="F7231">
        <v>0</v>
      </c>
      <c r="G7231">
        <v>0</v>
      </c>
      <c r="H7231">
        <f>_xlfn.XLOOKUP(FACT_IMPORTS[[#This Row],[hts_6]],DIM_PRODUCTS[hts_6],DIM_PRODUCTS[hts_4],,,)</f>
        <v>8415</v>
      </c>
      <c r="I7231" t="str" cm="1">
        <f t="array" ref="I7231">_xlfn.XLOOKUP(FACT_IMPORTS[[#This Row],[country_name]],DIM_COUNTRY[[#All],[Column2]],DIM_COUNTRY[[#All],[Column3]],,,)</f>
        <v>Major_Non-USMCA_Non-China</v>
      </c>
    </row>
    <row r="7232" spans="1:9" x14ac:dyDescent="0.4">
      <c r="A7232" t="s">
        <v>71</v>
      </c>
      <c r="B7232" s="1">
        <v>45108</v>
      </c>
      <c r="C7232">
        <v>842132</v>
      </c>
      <c r="D7232" t="s">
        <v>176</v>
      </c>
      <c r="E7232">
        <v>89348</v>
      </c>
      <c r="F7232">
        <v>62</v>
      </c>
      <c r="G7232">
        <v>1029</v>
      </c>
      <c r="H7232">
        <f>_xlfn.XLOOKUP(FACT_IMPORTS[[#This Row],[hts_6]],DIM_PRODUCTS[hts_6],DIM_PRODUCTS[hts_4],,,)</f>
        <v>8421</v>
      </c>
      <c r="I7232" t="str" cm="1">
        <f t="array" ref="I7232">_xlfn.XLOOKUP(FACT_IMPORTS[[#This Row],[country_name]],DIM_COUNTRY[[#All],[Column2]],DIM_COUNTRY[[#All],[Column3]],,,)</f>
        <v>Major_Non-USMCA_Non-China</v>
      </c>
    </row>
    <row r="7233" spans="1:9" x14ac:dyDescent="0.4">
      <c r="A7233" t="s">
        <v>71</v>
      </c>
      <c r="B7233" s="1">
        <v>45108</v>
      </c>
      <c r="C7233">
        <v>848210</v>
      </c>
      <c r="D7233" t="s">
        <v>176</v>
      </c>
      <c r="E7233">
        <v>36406</v>
      </c>
      <c r="F7233">
        <v>1831</v>
      </c>
      <c r="G7233">
        <v>581</v>
      </c>
      <c r="H7233">
        <f>_xlfn.XLOOKUP(FACT_IMPORTS[[#This Row],[hts_6]],DIM_PRODUCTS[hts_6],DIM_PRODUCTS[hts_4],,,)</f>
        <v>8482</v>
      </c>
      <c r="I7233" t="str" cm="1">
        <f t="array" ref="I7233">_xlfn.XLOOKUP(FACT_IMPORTS[[#This Row],[country_name]],DIM_COUNTRY[[#All],[Column2]],DIM_COUNTRY[[#All],[Column3]],,,)</f>
        <v>Major_Non-USMCA_Non-China</v>
      </c>
    </row>
    <row r="7234" spans="1:9" x14ac:dyDescent="0.4">
      <c r="A7234" t="s">
        <v>71</v>
      </c>
      <c r="B7234" s="1">
        <v>45108</v>
      </c>
      <c r="C7234">
        <v>848220</v>
      </c>
      <c r="D7234" t="s">
        <v>176</v>
      </c>
      <c r="E7234">
        <v>179426</v>
      </c>
      <c r="F7234">
        <v>12911</v>
      </c>
      <c r="G7234">
        <v>1957</v>
      </c>
      <c r="H7234">
        <f>_xlfn.XLOOKUP(FACT_IMPORTS[[#This Row],[hts_6]],DIM_PRODUCTS[hts_6],DIM_PRODUCTS[hts_4],,,)</f>
        <v>8482</v>
      </c>
      <c r="I7234" t="str" cm="1">
        <f t="array" ref="I7234">_xlfn.XLOOKUP(FACT_IMPORTS[[#This Row],[country_name]],DIM_COUNTRY[[#All],[Column2]],DIM_COUNTRY[[#All],[Column3]],,,)</f>
        <v>Major_Non-USMCA_Non-China</v>
      </c>
    </row>
    <row r="7235" spans="1:9" x14ac:dyDescent="0.4">
      <c r="A7235" t="s">
        <v>71</v>
      </c>
      <c r="B7235" s="1">
        <v>45108</v>
      </c>
      <c r="C7235">
        <v>848310</v>
      </c>
      <c r="D7235" t="s">
        <v>176</v>
      </c>
      <c r="E7235">
        <v>1308266</v>
      </c>
      <c r="F7235">
        <v>15495</v>
      </c>
      <c r="G7235">
        <v>262118</v>
      </c>
      <c r="H7235">
        <f>_xlfn.XLOOKUP(FACT_IMPORTS[[#This Row],[hts_6]],DIM_PRODUCTS[hts_6],DIM_PRODUCTS[hts_4],,,)</f>
        <v>8483</v>
      </c>
      <c r="I7235" t="str" cm="1">
        <f t="array" ref="I7235">_xlfn.XLOOKUP(FACT_IMPORTS[[#This Row],[country_name]],DIM_COUNTRY[[#All],[Column2]],DIM_COUNTRY[[#All],[Column3]],,,)</f>
        <v>Major_Non-USMCA_Non-China</v>
      </c>
    </row>
    <row r="7236" spans="1:9" x14ac:dyDescent="0.4">
      <c r="A7236" t="s">
        <v>71</v>
      </c>
      <c r="B7236" s="1">
        <v>45108</v>
      </c>
      <c r="C7236">
        <v>850131</v>
      </c>
      <c r="D7236" t="s">
        <v>176</v>
      </c>
      <c r="E7236">
        <v>4967258</v>
      </c>
      <c r="F7236">
        <v>120513</v>
      </c>
      <c r="G7236">
        <v>65577</v>
      </c>
      <c r="H7236">
        <f>_xlfn.XLOOKUP(FACT_IMPORTS[[#This Row],[hts_6]],DIM_PRODUCTS[hts_6],DIM_PRODUCTS[hts_4],,,)</f>
        <v>8501</v>
      </c>
      <c r="I7236" t="str" cm="1">
        <f t="array" ref="I7236">_xlfn.XLOOKUP(FACT_IMPORTS[[#This Row],[country_name]],DIM_COUNTRY[[#All],[Column2]],DIM_COUNTRY[[#All],[Column3]],,,)</f>
        <v>Major_Non-USMCA_Non-China</v>
      </c>
    </row>
    <row r="7237" spans="1:9" x14ac:dyDescent="0.4">
      <c r="A7237" t="s">
        <v>71</v>
      </c>
      <c r="B7237" s="1">
        <v>45108</v>
      </c>
      <c r="C7237">
        <v>850132</v>
      </c>
      <c r="D7237" t="s">
        <v>176</v>
      </c>
      <c r="E7237">
        <v>0</v>
      </c>
      <c r="F7237">
        <v>0</v>
      </c>
      <c r="G7237">
        <v>0</v>
      </c>
      <c r="H7237">
        <f>_xlfn.XLOOKUP(FACT_IMPORTS[[#This Row],[hts_6]],DIM_PRODUCTS[hts_6],DIM_PRODUCTS[hts_4],,,)</f>
        <v>8501</v>
      </c>
      <c r="I7237" t="str" cm="1">
        <f t="array" ref="I7237">_xlfn.XLOOKUP(FACT_IMPORTS[[#This Row],[country_name]],DIM_COUNTRY[[#All],[Column2]],DIM_COUNTRY[[#All],[Column3]],,,)</f>
        <v>Major_Non-USMCA_Non-China</v>
      </c>
    </row>
    <row r="7238" spans="1:9" x14ac:dyDescent="0.4">
      <c r="A7238" t="s">
        <v>71</v>
      </c>
      <c r="B7238" s="1">
        <v>45108</v>
      </c>
      <c r="C7238">
        <v>850133</v>
      </c>
      <c r="D7238" t="s">
        <v>176</v>
      </c>
      <c r="E7238">
        <v>5000</v>
      </c>
      <c r="F7238">
        <v>1</v>
      </c>
      <c r="G7238">
        <v>150</v>
      </c>
      <c r="H7238">
        <f>_xlfn.XLOOKUP(FACT_IMPORTS[[#This Row],[hts_6]],DIM_PRODUCTS[hts_6],DIM_PRODUCTS[hts_4],,,)</f>
        <v>8501</v>
      </c>
      <c r="I7238" t="str" cm="1">
        <f t="array" ref="I7238">_xlfn.XLOOKUP(FACT_IMPORTS[[#This Row],[country_name]],DIM_COUNTRY[[#All],[Column2]],DIM_COUNTRY[[#All],[Column3]],,,)</f>
        <v>Major_Non-USMCA_Non-China</v>
      </c>
    </row>
    <row r="7239" spans="1:9" x14ac:dyDescent="0.4">
      <c r="A7239" t="s">
        <v>71</v>
      </c>
      <c r="B7239" s="1">
        <v>45108</v>
      </c>
      <c r="C7239">
        <v>850152</v>
      </c>
      <c r="D7239" t="s">
        <v>176</v>
      </c>
      <c r="E7239">
        <v>457636</v>
      </c>
      <c r="F7239">
        <v>599</v>
      </c>
      <c r="G7239">
        <v>8776</v>
      </c>
      <c r="H7239">
        <f>_xlfn.XLOOKUP(FACT_IMPORTS[[#This Row],[hts_6]],DIM_PRODUCTS[hts_6],DIM_PRODUCTS[hts_4],,,)</f>
        <v>8501</v>
      </c>
      <c r="I7239" t="str" cm="1">
        <f t="array" ref="I7239">_xlfn.XLOOKUP(FACT_IMPORTS[[#This Row],[country_name]],DIM_COUNTRY[[#All],[Column2]],DIM_COUNTRY[[#All],[Column3]],,,)</f>
        <v>Major_Non-USMCA_Non-China</v>
      </c>
    </row>
    <row r="7240" spans="1:9" x14ac:dyDescent="0.4">
      <c r="A7240" t="s">
        <v>71</v>
      </c>
      <c r="B7240" s="1">
        <v>45108</v>
      </c>
      <c r="C7240">
        <v>850153</v>
      </c>
      <c r="D7240" t="s">
        <v>176</v>
      </c>
      <c r="E7240">
        <v>0</v>
      </c>
      <c r="F7240">
        <v>0</v>
      </c>
      <c r="G7240">
        <v>0</v>
      </c>
      <c r="H7240">
        <f>_xlfn.XLOOKUP(FACT_IMPORTS[[#This Row],[hts_6]],DIM_PRODUCTS[hts_6],DIM_PRODUCTS[hts_4],,,)</f>
        <v>8501</v>
      </c>
      <c r="I7240" t="str" cm="1">
        <f t="array" ref="I7240">_xlfn.XLOOKUP(FACT_IMPORTS[[#This Row],[country_name]],DIM_COUNTRY[[#All],[Column2]],DIM_COUNTRY[[#All],[Column3]],,,)</f>
        <v>Major_Non-USMCA_Non-China</v>
      </c>
    </row>
    <row r="7241" spans="1:9" x14ac:dyDescent="0.4">
      <c r="A7241" t="s">
        <v>71</v>
      </c>
      <c r="B7241" s="1">
        <v>45108</v>
      </c>
      <c r="C7241">
        <v>850161</v>
      </c>
      <c r="D7241" t="s">
        <v>176</v>
      </c>
      <c r="E7241">
        <v>2814</v>
      </c>
      <c r="F7241">
        <v>10</v>
      </c>
      <c r="G7241">
        <v>36</v>
      </c>
      <c r="H7241">
        <f>_xlfn.XLOOKUP(FACT_IMPORTS[[#This Row],[hts_6]],DIM_PRODUCTS[hts_6],DIM_PRODUCTS[hts_4],,,)</f>
        <v>8501</v>
      </c>
      <c r="I7241" t="str" cm="1">
        <f t="array" ref="I7241">_xlfn.XLOOKUP(FACT_IMPORTS[[#This Row],[country_name]],DIM_COUNTRY[[#All],[Column2]],DIM_COUNTRY[[#All],[Column3]],,,)</f>
        <v>Major_Non-USMCA_Non-China</v>
      </c>
    </row>
    <row r="7242" spans="1:9" x14ac:dyDescent="0.4">
      <c r="A7242" t="s">
        <v>71</v>
      </c>
      <c r="B7242" s="1">
        <v>45108</v>
      </c>
      <c r="C7242">
        <v>850440</v>
      </c>
      <c r="D7242" t="s">
        <v>176</v>
      </c>
      <c r="E7242">
        <v>296539</v>
      </c>
      <c r="F7242">
        <v>178</v>
      </c>
      <c r="G7242">
        <v>8359</v>
      </c>
      <c r="H7242">
        <f>_xlfn.XLOOKUP(FACT_IMPORTS[[#This Row],[hts_6]],DIM_PRODUCTS[hts_6],DIM_PRODUCTS[hts_4],,,)</f>
        <v>8504</v>
      </c>
      <c r="I7242" t="str" cm="1">
        <f t="array" ref="I7242">_xlfn.XLOOKUP(FACT_IMPORTS[[#This Row],[country_name]],DIM_COUNTRY[[#All],[Column2]],DIM_COUNTRY[[#All],[Column3]],,,)</f>
        <v>Major_Non-USMCA_Non-China</v>
      </c>
    </row>
    <row r="7243" spans="1:9" x14ac:dyDescent="0.4">
      <c r="A7243" t="s">
        <v>71</v>
      </c>
      <c r="B7243" s="1">
        <v>45108</v>
      </c>
      <c r="C7243">
        <v>850760</v>
      </c>
      <c r="D7243" t="s">
        <v>176</v>
      </c>
      <c r="E7243">
        <v>135466</v>
      </c>
      <c r="F7243">
        <v>449</v>
      </c>
      <c r="G7243">
        <v>2116</v>
      </c>
      <c r="H7243">
        <f>_xlfn.XLOOKUP(FACT_IMPORTS[[#This Row],[hts_6]],DIM_PRODUCTS[hts_6],DIM_PRODUCTS[hts_4],,,)</f>
        <v>8507</v>
      </c>
      <c r="I7243" t="str" cm="1">
        <f t="array" ref="I7243">_xlfn.XLOOKUP(FACT_IMPORTS[[#This Row],[country_name]],DIM_COUNTRY[[#All],[Column2]],DIM_COUNTRY[[#All],[Column3]],,,)</f>
        <v>Major_Non-USMCA_Non-China</v>
      </c>
    </row>
    <row r="7244" spans="1:9" x14ac:dyDescent="0.4">
      <c r="A7244" t="s">
        <v>71</v>
      </c>
      <c r="B7244" s="1">
        <v>45108</v>
      </c>
      <c r="C7244">
        <v>850790</v>
      </c>
      <c r="D7244" t="s">
        <v>176</v>
      </c>
      <c r="E7244">
        <v>0</v>
      </c>
      <c r="F7244">
        <v>0</v>
      </c>
      <c r="G7244">
        <v>0</v>
      </c>
      <c r="H7244">
        <f>_xlfn.XLOOKUP(FACT_IMPORTS[[#This Row],[hts_6]],DIM_PRODUCTS[hts_6],DIM_PRODUCTS[hts_4],,,)</f>
        <v>8507</v>
      </c>
      <c r="I7244" t="str" cm="1">
        <f t="array" ref="I7244">_xlfn.XLOOKUP(FACT_IMPORTS[[#This Row],[country_name]],DIM_COUNTRY[[#All],[Column2]],DIM_COUNTRY[[#All],[Column3]],,,)</f>
        <v>Major_Non-USMCA_Non-China</v>
      </c>
    </row>
    <row r="7245" spans="1:9" x14ac:dyDescent="0.4">
      <c r="A7245" t="s">
        <v>71</v>
      </c>
      <c r="B7245" s="1">
        <v>45108</v>
      </c>
      <c r="C7245">
        <v>851110</v>
      </c>
      <c r="D7245" t="s">
        <v>176</v>
      </c>
      <c r="E7245">
        <v>53556</v>
      </c>
      <c r="F7245">
        <v>2510</v>
      </c>
      <c r="G7245">
        <v>427</v>
      </c>
      <c r="H7245">
        <f>_xlfn.XLOOKUP(FACT_IMPORTS[[#This Row],[hts_6]],DIM_PRODUCTS[hts_6],DIM_PRODUCTS[hts_4],,,)</f>
        <v>8511</v>
      </c>
      <c r="I7245" t="str" cm="1">
        <f t="array" ref="I7245">_xlfn.XLOOKUP(FACT_IMPORTS[[#This Row],[country_name]],DIM_COUNTRY[[#All],[Column2]],DIM_COUNTRY[[#All],[Column3]],,,)</f>
        <v>Major_Non-USMCA_Non-China</v>
      </c>
    </row>
    <row r="7246" spans="1:9" x14ac:dyDescent="0.4">
      <c r="A7246" t="s">
        <v>71</v>
      </c>
      <c r="B7246" s="1">
        <v>45108</v>
      </c>
      <c r="C7246">
        <v>851130</v>
      </c>
      <c r="D7246" t="s">
        <v>176</v>
      </c>
      <c r="E7246">
        <v>27597</v>
      </c>
      <c r="F7246">
        <v>3269</v>
      </c>
      <c r="G7246">
        <v>246</v>
      </c>
      <c r="H7246">
        <f>_xlfn.XLOOKUP(FACT_IMPORTS[[#This Row],[hts_6]],DIM_PRODUCTS[hts_6],DIM_PRODUCTS[hts_4],,,)</f>
        <v>8511</v>
      </c>
      <c r="I7246" t="str" cm="1">
        <f t="array" ref="I7246">_xlfn.XLOOKUP(FACT_IMPORTS[[#This Row],[country_name]],DIM_COUNTRY[[#All],[Column2]],DIM_COUNTRY[[#All],[Column3]],,,)</f>
        <v>Major_Non-USMCA_Non-China</v>
      </c>
    </row>
    <row r="7247" spans="1:9" x14ac:dyDescent="0.4">
      <c r="A7247" t="s">
        <v>71</v>
      </c>
      <c r="B7247" s="1">
        <v>45108</v>
      </c>
      <c r="C7247">
        <v>851140</v>
      </c>
      <c r="D7247" t="s">
        <v>176</v>
      </c>
      <c r="E7247">
        <v>31139</v>
      </c>
      <c r="F7247">
        <v>345</v>
      </c>
      <c r="G7247">
        <v>1887</v>
      </c>
      <c r="H7247">
        <f>_xlfn.XLOOKUP(FACT_IMPORTS[[#This Row],[hts_6]],DIM_PRODUCTS[hts_6],DIM_PRODUCTS[hts_4],,,)</f>
        <v>8511</v>
      </c>
      <c r="I7247" t="str" cm="1">
        <f t="array" ref="I7247">_xlfn.XLOOKUP(FACT_IMPORTS[[#This Row],[country_name]],DIM_COUNTRY[[#All],[Column2]],DIM_COUNTRY[[#All],[Column3]],,,)</f>
        <v>Major_Non-USMCA_Non-China</v>
      </c>
    </row>
    <row r="7248" spans="1:9" x14ac:dyDescent="0.4">
      <c r="A7248" t="s">
        <v>71</v>
      </c>
      <c r="B7248" s="1">
        <v>45108</v>
      </c>
      <c r="C7248">
        <v>851150</v>
      </c>
      <c r="D7248" t="s">
        <v>176</v>
      </c>
      <c r="E7248">
        <v>74010</v>
      </c>
      <c r="F7248">
        <v>326</v>
      </c>
      <c r="G7248">
        <v>1547</v>
      </c>
      <c r="H7248">
        <f>_xlfn.XLOOKUP(FACT_IMPORTS[[#This Row],[hts_6]],DIM_PRODUCTS[hts_6],DIM_PRODUCTS[hts_4],,,)</f>
        <v>8511</v>
      </c>
      <c r="I7248" t="str" cm="1">
        <f t="array" ref="I7248">_xlfn.XLOOKUP(FACT_IMPORTS[[#This Row],[country_name]],DIM_COUNTRY[[#All],[Column2]],DIM_COUNTRY[[#All],[Column3]],,,)</f>
        <v>Major_Non-USMCA_Non-China</v>
      </c>
    </row>
    <row r="7249" spans="1:9" x14ac:dyDescent="0.4">
      <c r="A7249" t="s">
        <v>71</v>
      </c>
      <c r="B7249" s="1">
        <v>45108</v>
      </c>
      <c r="C7249">
        <v>851180</v>
      </c>
      <c r="D7249" t="s">
        <v>176</v>
      </c>
      <c r="E7249">
        <v>2072</v>
      </c>
      <c r="F7249">
        <v>105</v>
      </c>
      <c r="G7249">
        <v>22</v>
      </c>
      <c r="H7249">
        <f>_xlfn.XLOOKUP(FACT_IMPORTS[[#This Row],[hts_6]],DIM_PRODUCTS[hts_6],DIM_PRODUCTS[hts_4],,,)</f>
        <v>8511</v>
      </c>
      <c r="I7249" t="str" cm="1">
        <f t="array" ref="I7249">_xlfn.XLOOKUP(FACT_IMPORTS[[#This Row],[country_name]],DIM_COUNTRY[[#All],[Column2]],DIM_COUNTRY[[#All],[Column3]],,,)</f>
        <v>Major_Non-USMCA_Non-China</v>
      </c>
    </row>
    <row r="7250" spans="1:9" x14ac:dyDescent="0.4">
      <c r="A7250" t="s">
        <v>71</v>
      </c>
      <c r="B7250" s="1">
        <v>45108</v>
      </c>
      <c r="C7250">
        <v>851190</v>
      </c>
      <c r="D7250" t="s">
        <v>176</v>
      </c>
      <c r="E7250">
        <v>12487</v>
      </c>
      <c r="F7250">
        <v>62</v>
      </c>
      <c r="G7250">
        <v>1</v>
      </c>
      <c r="H7250">
        <f>_xlfn.XLOOKUP(FACT_IMPORTS[[#This Row],[hts_6]],DIM_PRODUCTS[hts_6],DIM_PRODUCTS[hts_4],,,)</f>
        <v>8511</v>
      </c>
      <c r="I7250" t="str" cm="1">
        <f t="array" ref="I7250">_xlfn.XLOOKUP(FACT_IMPORTS[[#This Row],[country_name]],DIM_COUNTRY[[#All],[Column2]],DIM_COUNTRY[[#All],[Column3]],,,)</f>
        <v>Major_Non-USMCA_Non-China</v>
      </c>
    </row>
    <row r="7251" spans="1:9" x14ac:dyDescent="0.4">
      <c r="A7251" t="s">
        <v>71</v>
      </c>
      <c r="B7251" s="1">
        <v>45108</v>
      </c>
      <c r="C7251">
        <v>851220</v>
      </c>
      <c r="D7251" t="s">
        <v>176</v>
      </c>
      <c r="E7251">
        <v>0</v>
      </c>
      <c r="F7251">
        <v>0</v>
      </c>
      <c r="G7251">
        <v>0</v>
      </c>
      <c r="H7251">
        <f>_xlfn.XLOOKUP(FACT_IMPORTS[[#This Row],[hts_6]],DIM_PRODUCTS[hts_6],DIM_PRODUCTS[hts_4],,,)</f>
        <v>8512</v>
      </c>
      <c r="I7251" t="str" cm="1">
        <f t="array" ref="I7251">_xlfn.XLOOKUP(FACT_IMPORTS[[#This Row],[country_name]],DIM_COUNTRY[[#All],[Column2]],DIM_COUNTRY[[#All],[Column3]],,,)</f>
        <v>Major_Non-USMCA_Non-China</v>
      </c>
    </row>
    <row r="7252" spans="1:9" x14ac:dyDescent="0.4">
      <c r="A7252" t="s">
        <v>71</v>
      </c>
      <c r="B7252" s="1">
        <v>45108</v>
      </c>
      <c r="C7252">
        <v>851230</v>
      </c>
      <c r="D7252" t="s">
        <v>176</v>
      </c>
      <c r="E7252">
        <v>9720</v>
      </c>
      <c r="F7252">
        <v>400</v>
      </c>
      <c r="G7252">
        <v>112</v>
      </c>
      <c r="H7252">
        <f>_xlfn.XLOOKUP(FACT_IMPORTS[[#This Row],[hts_6]],DIM_PRODUCTS[hts_6],DIM_PRODUCTS[hts_4],,,)</f>
        <v>8512</v>
      </c>
      <c r="I7252" t="str" cm="1">
        <f t="array" ref="I7252">_xlfn.XLOOKUP(FACT_IMPORTS[[#This Row],[country_name]],DIM_COUNTRY[[#All],[Column2]],DIM_COUNTRY[[#All],[Column3]],,,)</f>
        <v>Major_Non-USMCA_Non-China</v>
      </c>
    </row>
    <row r="7253" spans="1:9" x14ac:dyDescent="0.4">
      <c r="A7253" t="s">
        <v>71</v>
      </c>
      <c r="B7253" s="1">
        <v>45108</v>
      </c>
      <c r="C7253">
        <v>851290</v>
      </c>
      <c r="D7253" t="s">
        <v>176</v>
      </c>
      <c r="E7253">
        <v>71505</v>
      </c>
      <c r="F7253">
        <v>3565</v>
      </c>
      <c r="G7253">
        <v>1635</v>
      </c>
      <c r="H7253">
        <f>_xlfn.XLOOKUP(FACT_IMPORTS[[#This Row],[hts_6]],DIM_PRODUCTS[hts_6],DIM_PRODUCTS[hts_4],,,)</f>
        <v>8512</v>
      </c>
      <c r="I7253" t="str" cm="1">
        <f t="array" ref="I7253">_xlfn.XLOOKUP(FACT_IMPORTS[[#This Row],[country_name]],DIM_COUNTRY[[#All],[Column2]],DIM_COUNTRY[[#All],[Column3]],,,)</f>
        <v>Major_Non-USMCA_Non-China</v>
      </c>
    </row>
    <row r="7254" spans="1:9" x14ac:dyDescent="0.4">
      <c r="A7254" t="s">
        <v>71</v>
      </c>
      <c r="B7254" s="1">
        <v>45108</v>
      </c>
      <c r="C7254">
        <v>854231</v>
      </c>
      <c r="D7254" t="s">
        <v>176</v>
      </c>
      <c r="E7254">
        <v>163517</v>
      </c>
      <c r="F7254">
        <v>17382</v>
      </c>
      <c r="G7254">
        <v>2126</v>
      </c>
      <c r="H7254">
        <f>_xlfn.XLOOKUP(FACT_IMPORTS[[#This Row],[hts_6]],DIM_PRODUCTS[hts_6],DIM_PRODUCTS[hts_4],,,)</f>
        <v>8542</v>
      </c>
      <c r="I7254" t="str" cm="1">
        <f t="array" ref="I7254">_xlfn.XLOOKUP(FACT_IMPORTS[[#This Row],[country_name]],DIM_COUNTRY[[#All],[Column2]],DIM_COUNTRY[[#All],[Column3]],,,)</f>
        <v>Major_Non-USMCA_Non-China</v>
      </c>
    </row>
    <row r="7255" spans="1:9" x14ac:dyDescent="0.4">
      <c r="A7255" t="s">
        <v>71</v>
      </c>
      <c r="B7255" s="1">
        <v>45108</v>
      </c>
      <c r="C7255">
        <v>854232</v>
      </c>
      <c r="D7255" t="s">
        <v>176</v>
      </c>
      <c r="E7255">
        <v>0</v>
      </c>
      <c r="F7255">
        <v>0</v>
      </c>
      <c r="G7255">
        <v>0</v>
      </c>
      <c r="H7255">
        <f>_xlfn.XLOOKUP(FACT_IMPORTS[[#This Row],[hts_6]],DIM_PRODUCTS[hts_6],DIM_PRODUCTS[hts_4],,,)</f>
        <v>8542</v>
      </c>
      <c r="I7255" t="str" cm="1">
        <f t="array" ref="I7255">_xlfn.XLOOKUP(FACT_IMPORTS[[#This Row],[country_name]],DIM_COUNTRY[[#All],[Column2]],DIM_COUNTRY[[#All],[Column3]],,,)</f>
        <v>Major_Non-USMCA_Non-China</v>
      </c>
    </row>
    <row r="7256" spans="1:9" x14ac:dyDescent="0.4">
      <c r="A7256" t="s">
        <v>71</v>
      </c>
      <c r="B7256" s="1">
        <v>45108</v>
      </c>
      <c r="C7256">
        <v>854233</v>
      </c>
      <c r="D7256" t="s">
        <v>176</v>
      </c>
      <c r="E7256">
        <v>0</v>
      </c>
      <c r="F7256">
        <v>0</v>
      </c>
      <c r="G7256">
        <v>0</v>
      </c>
      <c r="H7256">
        <f>_xlfn.XLOOKUP(FACT_IMPORTS[[#This Row],[hts_6]],DIM_PRODUCTS[hts_6],DIM_PRODUCTS[hts_4],,,)</f>
        <v>8542</v>
      </c>
      <c r="I7256" t="str" cm="1">
        <f t="array" ref="I7256">_xlfn.XLOOKUP(FACT_IMPORTS[[#This Row],[country_name]],DIM_COUNTRY[[#All],[Column2]],DIM_COUNTRY[[#All],[Column3]],,,)</f>
        <v>Major_Non-USMCA_Non-China</v>
      </c>
    </row>
    <row r="7257" spans="1:9" x14ac:dyDescent="0.4">
      <c r="A7257" t="s">
        <v>71</v>
      </c>
      <c r="B7257" s="1">
        <v>45108</v>
      </c>
      <c r="C7257">
        <v>854239</v>
      </c>
      <c r="D7257" t="s">
        <v>176</v>
      </c>
      <c r="E7257">
        <v>0</v>
      </c>
      <c r="F7257">
        <v>0</v>
      </c>
      <c r="G7257">
        <v>0</v>
      </c>
      <c r="H7257">
        <f>_xlfn.XLOOKUP(FACT_IMPORTS[[#This Row],[hts_6]],DIM_PRODUCTS[hts_6],DIM_PRODUCTS[hts_4],,,)</f>
        <v>8542</v>
      </c>
      <c r="I7257" t="str" cm="1">
        <f t="array" ref="I7257">_xlfn.XLOOKUP(FACT_IMPORTS[[#This Row],[country_name]],DIM_COUNTRY[[#All],[Column2]],DIM_COUNTRY[[#All],[Column3]],,,)</f>
        <v>Major_Non-USMCA_Non-China</v>
      </c>
    </row>
    <row r="7258" spans="1:9" x14ac:dyDescent="0.4">
      <c r="A7258" t="s">
        <v>71</v>
      </c>
      <c r="B7258" s="1">
        <v>45108</v>
      </c>
      <c r="C7258">
        <v>854430</v>
      </c>
      <c r="D7258" t="s">
        <v>176</v>
      </c>
      <c r="E7258">
        <v>83336</v>
      </c>
      <c r="F7258">
        <v>8</v>
      </c>
      <c r="G7258">
        <v>147</v>
      </c>
      <c r="H7258">
        <f>_xlfn.XLOOKUP(FACT_IMPORTS[[#This Row],[hts_6]],DIM_PRODUCTS[hts_6],DIM_PRODUCTS[hts_4],,,)</f>
        <v>8544</v>
      </c>
      <c r="I7258" t="str" cm="1">
        <f t="array" ref="I7258">_xlfn.XLOOKUP(FACT_IMPORTS[[#This Row],[country_name]],DIM_COUNTRY[[#All],[Column2]],DIM_COUNTRY[[#All],[Column3]],,,)</f>
        <v>Major_Non-USMCA_Non-China</v>
      </c>
    </row>
    <row r="7259" spans="1:9" x14ac:dyDescent="0.4">
      <c r="A7259" t="s">
        <v>71</v>
      </c>
      <c r="B7259" s="1">
        <v>45108</v>
      </c>
      <c r="C7259">
        <v>870710</v>
      </c>
      <c r="D7259" t="s">
        <v>176</v>
      </c>
      <c r="E7259">
        <v>0</v>
      </c>
      <c r="F7259">
        <v>0</v>
      </c>
      <c r="G7259">
        <v>0</v>
      </c>
      <c r="H7259">
        <f>_xlfn.XLOOKUP(FACT_IMPORTS[[#This Row],[hts_6]],DIM_PRODUCTS[hts_6],DIM_PRODUCTS[hts_4],,,)</f>
        <v>8707</v>
      </c>
      <c r="I7259" t="str" cm="1">
        <f t="array" ref="I7259">_xlfn.XLOOKUP(FACT_IMPORTS[[#This Row],[country_name]],DIM_COUNTRY[[#All],[Column2]],DIM_COUNTRY[[#All],[Column3]],,,)</f>
        <v>Major_Non-USMCA_Non-China</v>
      </c>
    </row>
    <row r="7260" spans="1:9" x14ac:dyDescent="0.4">
      <c r="A7260" t="s">
        <v>71</v>
      </c>
      <c r="B7260" s="1">
        <v>45108</v>
      </c>
      <c r="C7260">
        <v>870790</v>
      </c>
      <c r="D7260" t="s">
        <v>176</v>
      </c>
      <c r="E7260">
        <v>0</v>
      </c>
      <c r="F7260">
        <v>0</v>
      </c>
      <c r="G7260">
        <v>0</v>
      </c>
      <c r="H7260">
        <f>_xlfn.XLOOKUP(FACT_IMPORTS[[#This Row],[hts_6]],DIM_PRODUCTS[hts_6],DIM_PRODUCTS[hts_4],,,)</f>
        <v>8707</v>
      </c>
      <c r="I7260" t="str" cm="1">
        <f t="array" ref="I7260">_xlfn.XLOOKUP(FACT_IMPORTS[[#This Row],[country_name]],DIM_COUNTRY[[#All],[Column2]],DIM_COUNTRY[[#All],[Column3]],,,)</f>
        <v>Major_Non-USMCA_Non-China</v>
      </c>
    </row>
    <row r="7261" spans="1:9" x14ac:dyDescent="0.4">
      <c r="A7261" t="s">
        <v>71</v>
      </c>
      <c r="B7261" s="1">
        <v>45108</v>
      </c>
      <c r="C7261">
        <v>870810</v>
      </c>
      <c r="D7261" t="s">
        <v>176</v>
      </c>
      <c r="E7261">
        <v>0</v>
      </c>
      <c r="F7261">
        <v>0</v>
      </c>
      <c r="G7261">
        <v>0</v>
      </c>
      <c r="H7261">
        <f>_xlfn.XLOOKUP(FACT_IMPORTS[[#This Row],[hts_6]],DIM_PRODUCTS[hts_6],DIM_PRODUCTS[hts_4],,,)</f>
        <v>8708</v>
      </c>
      <c r="I7261" t="str" cm="1">
        <f t="array" ref="I7261">_xlfn.XLOOKUP(FACT_IMPORTS[[#This Row],[country_name]],DIM_COUNTRY[[#All],[Column2]],DIM_COUNTRY[[#All],[Column3]],,,)</f>
        <v>Major_Non-USMCA_Non-China</v>
      </c>
    </row>
    <row r="7262" spans="1:9" x14ac:dyDescent="0.4">
      <c r="A7262" t="s">
        <v>71</v>
      </c>
      <c r="B7262" s="1">
        <v>45108</v>
      </c>
      <c r="C7262">
        <v>870829</v>
      </c>
      <c r="D7262" t="s">
        <v>176</v>
      </c>
      <c r="E7262">
        <v>4627365</v>
      </c>
      <c r="F7262">
        <v>396398</v>
      </c>
      <c r="G7262">
        <v>74690</v>
      </c>
      <c r="H7262">
        <f>_xlfn.XLOOKUP(FACT_IMPORTS[[#This Row],[hts_6]],DIM_PRODUCTS[hts_6],DIM_PRODUCTS[hts_4],,,)</f>
        <v>8708</v>
      </c>
      <c r="I7262" t="str" cm="1">
        <f t="array" ref="I7262">_xlfn.XLOOKUP(FACT_IMPORTS[[#This Row],[country_name]],DIM_COUNTRY[[#All],[Column2]],DIM_COUNTRY[[#All],[Column3]],,,)</f>
        <v>Major_Non-USMCA_Non-China</v>
      </c>
    </row>
    <row r="7263" spans="1:9" x14ac:dyDescent="0.4">
      <c r="A7263" t="s">
        <v>71</v>
      </c>
      <c r="B7263" s="1">
        <v>45108</v>
      </c>
      <c r="C7263">
        <v>870830</v>
      </c>
      <c r="D7263" t="s">
        <v>176</v>
      </c>
      <c r="E7263">
        <v>1392053</v>
      </c>
      <c r="F7263">
        <v>172918</v>
      </c>
      <c r="G7263">
        <v>9861</v>
      </c>
      <c r="H7263">
        <f>_xlfn.XLOOKUP(FACT_IMPORTS[[#This Row],[hts_6]],DIM_PRODUCTS[hts_6],DIM_PRODUCTS[hts_4],,,)</f>
        <v>8708</v>
      </c>
      <c r="I7263" t="str" cm="1">
        <f t="array" ref="I7263">_xlfn.XLOOKUP(FACT_IMPORTS[[#This Row],[country_name]],DIM_COUNTRY[[#All],[Column2]],DIM_COUNTRY[[#All],[Column3]],,,)</f>
        <v>Major_Non-USMCA_Non-China</v>
      </c>
    </row>
    <row r="7264" spans="1:9" x14ac:dyDescent="0.4">
      <c r="A7264" t="s">
        <v>71</v>
      </c>
      <c r="B7264" s="1">
        <v>45108</v>
      </c>
      <c r="C7264">
        <v>870840</v>
      </c>
      <c r="D7264" t="s">
        <v>176</v>
      </c>
      <c r="E7264">
        <v>1256728</v>
      </c>
      <c r="F7264">
        <v>1134</v>
      </c>
      <c r="G7264">
        <v>28947</v>
      </c>
      <c r="H7264">
        <f>_xlfn.XLOOKUP(FACT_IMPORTS[[#This Row],[hts_6]],DIM_PRODUCTS[hts_6],DIM_PRODUCTS[hts_4],,,)</f>
        <v>8708</v>
      </c>
      <c r="I7264" t="str" cm="1">
        <f t="array" ref="I7264">_xlfn.XLOOKUP(FACT_IMPORTS[[#This Row],[country_name]],DIM_COUNTRY[[#All],[Column2]],DIM_COUNTRY[[#All],[Column3]],,,)</f>
        <v>Major_Non-USMCA_Non-China</v>
      </c>
    </row>
    <row r="7265" spans="1:9" x14ac:dyDescent="0.4">
      <c r="A7265" t="s">
        <v>71</v>
      </c>
      <c r="B7265" s="1">
        <v>45108</v>
      </c>
      <c r="C7265">
        <v>870850</v>
      </c>
      <c r="D7265" t="s">
        <v>176</v>
      </c>
      <c r="E7265">
        <v>11169</v>
      </c>
      <c r="F7265">
        <v>108</v>
      </c>
      <c r="G7265">
        <v>3927</v>
      </c>
      <c r="H7265">
        <f>_xlfn.XLOOKUP(FACT_IMPORTS[[#This Row],[hts_6]],DIM_PRODUCTS[hts_6],DIM_PRODUCTS[hts_4],,,)</f>
        <v>8708</v>
      </c>
      <c r="I7265" t="str" cm="1">
        <f t="array" ref="I7265">_xlfn.XLOOKUP(FACT_IMPORTS[[#This Row],[country_name]],DIM_COUNTRY[[#All],[Column2]],DIM_COUNTRY[[#All],[Column3]],,,)</f>
        <v>Major_Non-USMCA_Non-China</v>
      </c>
    </row>
    <row r="7266" spans="1:9" x14ac:dyDescent="0.4">
      <c r="A7266" t="s">
        <v>71</v>
      </c>
      <c r="B7266" s="1">
        <v>45108</v>
      </c>
      <c r="C7266">
        <v>870870</v>
      </c>
      <c r="D7266" t="s">
        <v>176</v>
      </c>
      <c r="E7266">
        <v>0</v>
      </c>
      <c r="F7266">
        <v>0</v>
      </c>
      <c r="G7266">
        <v>0</v>
      </c>
      <c r="H7266">
        <f>_xlfn.XLOOKUP(FACT_IMPORTS[[#This Row],[hts_6]],DIM_PRODUCTS[hts_6],DIM_PRODUCTS[hts_4],,,)</f>
        <v>8708</v>
      </c>
      <c r="I7266" t="str" cm="1">
        <f t="array" ref="I7266">_xlfn.XLOOKUP(FACT_IMPORTS[[#This Row],[country_name]],DIM_COUNTRY[[#All],[Column2]],DIM_COUNTRY[[#All],[Column3]],,,)</f>
        <v>Major_Non-USMCA_Non-China</v>
      </c>
    </row>
    <row r="7267" spans="1:9" x14ac:dyDescent="0.4">
      <c r="A7267" t="s">
        <v>71</v>
      </c>
      <c r="B7267" s="1">
        <v>45108</v>
      </c>
      <c r="C7267">
        <v>870880</v>
      </c>
      <c r="D7267" t="s">
        <v>176</v>
      </c>
      <c r="E7267">
        <v>139173</v>
      </c>
      <c r="F7267">
        <v>5387</v>
      </c>
      <c r="G7267">
        <v>12605</v>
      </c>
      <c r="H7267">
        <f>_xlfn.XLOOKUP(FACT_IMPORTS[[#This Row],[hts_6]],DIM_PRODUCTS[hts_6],DIM_PRODUCTS[hts_4],,,)</f>
        <v>8708</v>
      </c>
      <c r="I7267" t="str" cm="1">
        <f t="array" ref="I7267">_xlfn.XLOOKUP(FACT_IMPORTS[[#This Row],[country_name]],DIM_COUNTRY[[#All],[Column2]],DIM_COUNTRY[[#All],[Column3]],,,)</f>
        <v>Major_Non-USMCA_Non-China</v>
      </c>
    </row>
    <row r="7268" spans="1:9" x14ac:dyDescent="0.4">
      <c r="A7268" t="s">
        <v>71</v>
      </c>
      <c r="B7268" s="1">
        <v>45108</v>
      </c>
      <c r="C7268">
        <v>870891</v>
      </c>
      <c r="D7268" t="s">
        <v>176</v>
      </c>
      <c r="E7268">
        <v>184968</v>
      </c>
      <c r="F7268">
        <v>136061</v>
      </c>
      <c r="G7268">
        <v>2404</v>
      </c>
      <c r="H7268">
        <f>_xlfn.XLOOKUP(FACT_IMPORTS[[#This Row],[hts_6]],DIM_PRODUCTS[hts_6],DIM_PRODUCTS[hts_4],,,)</f>
        <v>8708</v>
      </c>
      <c r="I7268" t="str" cm="1">
        <f t="array" ref="I7268">_xlfn.XLOOKUP(FACT_IMPORTS[[#This Row],[country_name]],DIM_COUNTRY[[#All],[Column2]],DIM_COUNTRY[[#All],[Column3]],,,)</f>
        <v>Major_Non-USMCA_Non-China</v>
      </c>
    </row>
    <row r="7269" spans="1:9" x14ac:dyDescent="0.4">
      <c r="A7269" t="s">
        <v>71</v>
      </c>
      <c r="B7269" s="1">
        <v>45108</v>
      </c>
      <c r="C7269">
        <v>870892</v>
      </c>
      <c r="D7269" t="s">
        <v>176</v>
      </c>
      <c r="E7269">
        <v>0</v>
      </c>
      <c r="F7269">
        <v>0</v>
      </c>
      <c r="G7269">
        <v>0</v>
      </c>
      <c r="H7269">
        <f>_xlfn.XLOOKUP(FACT_IMPORTS[[#This Row],[hts_6]],DIM_PRODUCTS[hts_6],DIM_PRODUCTS[hts_4],,,)</f>
        <v>8708</v>
      </c>
      <c r="I7269" t="str" cm="1">
        <f t="array" ref="I7269">_xlfn.XLOOKUP(FACT_IMPORTS[[#This Row],[country_name]],DIM_COUNTRY[[#All],[Column2]],DIM_COUNTRY[[#All],[Column3]],,,)</f>
        <v>Major_Non-USMCA_Non-China</v>
      </c>
    </row>
    <row r="7270" spans="1:9" x14ac:dyDescent="0.4">
      <c r="A7270" t="s">
        <v>71</v>
      </c>
      <c r="B7270" s="1">
        <v>45108</v>
      </c>
      <c r="C7270">
        <v>870893</v>
      </c>
      <c r="D7270" t="s">
        <v>176</v>
      </c>
      <c r="E7270">
        <v>971169</v>
      </c>
      <c r="F7270">
        <v>217301</v>
      </c>
      <c r="G7270">
        <v>14218</v>
      </c>
      <c r="H7270">
        <f>_xlfn.XLOOKUP(FACT_IMPORTS[[#This Row],[hts_6]],DIM_PRODUCTS[hts_6],DIM_PRODUCTS[hts_4],,,)</f>
        <v>8708</v>
      </c>
      <c r="I7270" t="str" cm="1">
        <f t="array" ref="I7270">_xlfn.XLOOKUP(FACT_IMPORTS[[#This Row],[country_name]],DIM_COUNTRY[[#All],[Column2]],DIM_COUNTRY[[#All],[Column3]],,,)</f>
        <v>Major_Non-USMCA_Non-China</v>
      </c>
    </row>
    <row r="7271" spans="1:9" x14ac:dyDescent="0.4">
      <c r="A7271" t="s">
        <v>71</v>
      </c>
      <c r="B7271" s="1">
        <v>45108</v>
      </c>
      <c r="C7271">
        <v>870894</v>
      </c>
      <c r="D7271" t="s">
        <v>176</v>
      </c>
      <c r="E7271">
        <v>30213</v>
      </c>
      <c r="F7271">
        <v>2436</v>
      </c>
      <c r="G7271">
        <v>4513</v>
      </c>
      <c r="H7271">
        <f>_xlfn.XLOOKUP(FACT_IMPORTS[[#This Row],[hts_6]],DIM_PRODUCTS[hts_6],DIM_PRODUCTS[hts_4],,,)</f>
        <v>8708</v>
      </c>
      <c r="I7271" t="str" cm="1">
        <f t="array" ref="I7271">_xlfn.XLOOKUP(FACT_IMPORTS[[#This Row],[country_name]],DIM_COUNTRY[[#All],[Column2]],DIM_COUNTRY[[#All],[Column3]],,,)</f>
        <v>Major_Non-USMCA_Non-China</v>
      </c>
    </row>
    <row r="7272" spans="1:9" x14ac:dyDescent="0.4">
      <c r="A7272" t="s">
        <v>71</v>
      </c>
      <c r="B7272" s="1">
        <v>45108</v>
      </c>
      <c r="C7272">
        <v>870895</v>
      </c>
      <c r="D7272" t="s">
        <v>176</v>
      </c>
      <c r="E7272">
        <v>0</v>
      </c>
      <c r="F7272">
        <v>0</v>
      </c>
      <c r="G7272">
        <v>0</v>
      </c>
      <c r="H7272">
        <f>_xlfn.XLOOKUP(FACT_IMPORTS[[#This Row],[hts_6]],DIM_PRODUCTS[hts_6],DIM_PRODUCTS[hts_4],,,)</f>
        <v>8708</v>
      </c>
      <c r="I7272" t="str" cm="1">
        <f t="array" ref="I7272">_xlfn.XLOOKUP(FACT_IMPORTS[[#This Row],[country_name]],DIM_COUNTRY[[#All],[Column2]],DIM_COUNTRY[[#All],[Column3]],,,)</f>
        <v>Major_Non-USMCA_Non-China</v>
      </c>
    </row>
    <row r="7273" spans="1:9" x14ac:dyDescent="0.4">
      <c r="A7273" t="s">
        <v>71</v>
      </c>
      <c r="B7273" s="1">
        <v>45108</v>
      </c>
      <c r="C7273">
        <v>870899</v>
      </c>
      <c r="D7273" t="s">
        <v>176</v>
      </c>
      <c r="E7273">
        <v>2547729</v>
      </c>
      <c r="F7273">
        <v>1613286</v>
      </c>
      <c r="G7273">
        <v>59367</v>
      </c>
      <c r="H7273">
        <f>_xlfn.XLOOKUP(FACT_IMPORTS[[#This Row],[hts_6]],DIM_PRODUCTS[hts_6],DIM_PRODUCTS[hts_4],,,)</f>
        <v>8708</v>
      </c>
      <c r="I7273" t="str" cm="1">
        <f t="array" ref="I7273">_xlfn.XLOOKUP(FACT_IMPORTS[[#This Row],[country_name]],DIM_COUNTRY[[#All],[Column2]],DIM_COUNTRY[[#All],[Column3]],,,)</f>
        <v>Major_Non-USMCA_Non-China</v>
      </c>
    </row>
    <row r="7274" spans="1:9" x14ac:dyDescent="0.4">
      <c r="A7274" t="s">
        <v>71</v>
      </c>
      <c r="B7274" s="1">
        <v>45108</v>
      </c>
      <c r="C7274">
        <v>940120</v>
      </c>
      <c r="D7274" t="s">
        <v>176</v>
      </c>
      <c r="E7274">
        <v>1776</v>
      </c>
      <c r="F7274">
        <v>2</v>
      </c>
      <c r="G7274">
        <v>20</v>
      </c>
      <c r="H7274">
        <f>_xlfn.XLOOKUP(FACT_IMPORTS[[#This Row],[hts_6]],DIM_PRODUCTS[hts_6],DIM_PRODUCTS[hts_4],,,)</f>
        <v>9401</v>
      </c>
      <c r="I7274" t="str" cm="1">
        <f t="array" ref="I7274">_xlfn.XLOOKUP(FACT_IMPORTS[[#This Row],[country_name]],DIM_COUNTRY[[#All],[Column2]],DIM_COUNTRY[[#All],[Column3]],,,)</f>
        <v>Major_Non-USMCA_Non-China</v>
      </c>
    </row>
    <row r="7275" spans="1:9" x14ac:dyDescent="0.4">
      <c r="A7275" t="s">
        <v>71</v>
      </c>
      <c r="B7275" s="1">
        <v>45139</v>
      </c>
      <c r="C7275">
        <v>392630</v>
      </c>
      <c r="D7275" t="s">
        <v>176</v>
      </c>
      <c r="E7275">
        <v>1030</v>
      </c>
      <c r="F7275">
        <v>108</v>
      </c>
      <c r="G7275">
        <v>24</v>
      </c>
      <c r="H7275">
        <f>_xlfn.XLOOKUP(FACT_IMPORTS[[#This Row],[hts_6]],DIM_PRODUCTS[hts_6],DIM_PRODUCTS[hts_4],,,)</f>
        <v>3926</v>
      </c>
      <c r="I7275" t="str" cm="1">
        <f t="array" ref="I7275">_xlfn.XLOOKUP(FACT_IMPORTS[[#This Row],[country_name]],DIM_COUNTRY[[#All],[Column2]],DIM_COUNTRY[[#All],[Column3]],,,)</f>
        <v>Major_Non-USMCA_Non-China</v>
      </c>
    </row>
    <row r="7276" spans="1:9" x14ac:dyDescent="0.4">
      <c r="A7276" t="s">
        <v>71</v>
      </c>
      <c r="B7276" s="1">
        <v>45139</v>
      </c>
      <c r="C7276">
        <v>401110</v>
      </c>
      <c r="D7276" t="s">
        <v>176</v>
      </c>
      <c r="E7276">
        <v>536466</v>
      </c>
      <c r="F7276">
        <v>5627</v>
      </c>
      <c r="G7276">
        <v>5115</v>
      </c>
      <c r="H7276">
        <f>_xlfn.XLOOKUP(FACT_IMPORTS[[#This Row],[hts_6]],DIM_PRODUCTS[hts_6],DIM_PRODUCTS[hts_4],,,)</f>
        <v>4011</v>
      </c>
      <c r="I7276" t="str" cm="1">
        <f t="array" ref="I7276">_xlfn.XLOOKUP(FACT_IMPORTS[[#This Row],[country_name]],DIM_COUNTRY[[#All],[Column2]],DIM_COUNTRY[[#All],[Column3]],,,)</f>
        <v>Major_Non-USMCA_Non-China</v>
      </c>
    </row>
    <row r="7277" spans="1:9" x14ac:dyDescent="0.4">
      <c r="A7277" t="s">
        <v>71</v>
      </c>
      <c r="B7277" s="1">
        <v>45139</v>
      </c>
      <c r="C7277">
        <v>401120</v>
      </c>
      <c r="D7277" t="s">
        <v>176</v>
      </c>
      <c r="E7277">
        <v>659297</v>
      </c>
      <c r="F7277">
        <v>2831</v>
      </c>
      <c r="G7277">
        <v>10340</v>
      </c>
      <c r="H7277">
        <f>_xlfn.XLOOKUP(FACT_IMPORTS[[#This Row],[hts_6]],DIM_PRODUCTS[hts_6],DIM_PRODUCTS[hts_4],,,)</f>
        <v>4011</v>
      </c>
      <c r="I7277" t="str" cm="1">
        <f t="array" ref="I7277">_xlfn.XLOOKUP(FACT_IMPORTS[[#This Row],[country_name]],DIM_COUNTRY[[#All],[Column2]],DIM_COUNTRY[[#All],[Column3]],,,)</f>
        <v>Major_Non-USMCA_Non-China</v>
      </c>
    </row>
    <row r="7278" spans="1:9" x14ac:dyDescent="0.4">
      <c r="A7278" t="s">
        <v>71</v>
      </c>
      <c r="B7278" s="1">
        <v>45139</v>
      </c>
      <c r="C7278">
        <v>401140</v>
      </c>
      <c r="D7278" t="s">
        <v>176</v>
      </c>
      <c r="E7278">
        <v>0</v>
      </c>
      <c r="F7278">
        <v>0</v>
      </c>
      <c r="G7278">
        <v>0</v>
      </c>
      <c r="H7278">
        <f>_xlfn.XLOOKUP(FACT_IMPORTS[[#This Row],[hts_6]],DIM_PRODUCTS[hts_6],DIM_PRODUCTS[hts_4],,,)</f>
        <v>4011</v>
      </c>
      <c r="I7278" t="str" cm="1">
        <f t="array" ref="I7278">_xlfn.XLOOKUP(FACT_IMPORTS[[#This Row],[country_name]],DIM_COUNTRY[[#All],[Column2]],DIM_COUNTRY[[#All],[Column3]],,,)</f>
        <v>Major_Non-USMCA_Non-China</v>
      </c>
    </row>
    <row r="7279" spans="1:9" x14ac:dyDescent="0.4">
      <c r="A7279" t="s">
        <v>71</v>
      </c>
      <c r="B7279" s="1">
        <v>45139</v>
      </c>
      <c r="C7279">
        <v>700721</v>
      </c>
      <c r="D7279" t="s">
        <v>176</v>
      </c>
      <c r="E7279">
        <v>0</v>
      </c>
      <c r="F7279">
        <v>0</v>
      </c>
      <c r="G7279">
        <v>0</v>
      </c>
      <c r="H7279">
        <f>_xlfn.XLOOKUP(FACT_IMPORTS[[#This Row],[hts_6]],DIM_PRODUCTS[hts_6],DIM_PRODUCTS[hts_4],,,)</f>
        <v>7007</v>
      </c>
      <c r="I7279" t="str" cm="1">
        <f t="array" ref="I7279">_xlfn.XLOOKUP(FACT_IMPORTS[[#This Row],[country_name]],DIM_COUNTRY[[#All],[Column2]],DIM_COUNTRY[[#All],[Column3]],,,)</f>
        <v>Major_Non-USMCA_Non-China</v>
      </c>
    </row>
    <row r="7280" spans="1:9" x14ac:dyDescent="0.4">
      <c r="A7280" t="s">
        <v>71</v>
      </c>
      <c r="B7280" s="1">
        <v>45139</v>
      </c>
      <c r="C7280">
        <v>700910</v>
      </c>
      <c r="D7280" t="s">
        <v>176</v>
      </c>
      <c r="E7280">
        <v>0</v>
      </c>
      <c r="F7280">
        <v>0</v>
      </c>
      <c r="G7280">
        <v>0</v>
      </c>
      <c r="H7280">
        <f>_xlfn.XLOOKUP(FACT_IMPORTS[[#This Row],[hts_6]],DIM_PRODUCTS[hts_6],DIM_PRODUCTS[hts_4],,,)</f>
        <v>7009</v>
      </c>
      <c r="I7280" t="str" cm="1">
        <f t="array" ref="I7280">_xlfn.XLOOKUP(FACT_IMPORTS[[#This Row],[country_name]],DIM_COUNTRY[[#All],[Column2]],DIM_COUNTRY[[#All],[Column3]],,,)</f>
        <v>Major_Non-USMCA_Non-China</v>
      </c>
    </row>
    <row r="7281" spans="1:9" x14ac:dyDescent="0.4">
      <c r="A7281" t="s">
        <v>71</v>
      </c>
      <c r="B7281" s="1">
        <v>45139</v>
      </c>
      <c r="C7281">
        <v>732010</v>
      </c>
      <c r="D7281" t="s">
        <v>176</v>
      </c>
      <c r="E7281">
        <v>0</v>
      </c>
      <c r="F7281">
        <v>0</v>
      </c>
      <c r="G7281">
        <v>0</v>
      </c>
      <c r="H7281">
        <f>_xlfn.XLOOKUP(FACT_IMPORTS[[#This Row],[hts_6]],DIM_PRODUCTS[hts_6],DIM_PRODUCTS[hts_4],,,)</f>
        <v>7320</v>
      </c>
      <c r="I7281" t="str" cm="1">
        <f t="array" ref="I7281">_xlfn.XLOOKUP(FACT_IMPORTS[[#This Row],[country_name]],DIM_COUNTRY[[#All],[Column2]],DIM_COUNTRY[[#All],[Column3]],,,)</f>
        <v>Major_Non-USMCA_Non-China</v>
      </c>
    </row>
    <row r="7282" spans="1:9" x14ac:dyDescent="0.4">
      <c r="A7282" t="s">
        <v>71</v>
      </c>
      <c r="B7282" s="1">
        <v>45139</v>
      </c>
      <c r="C7282">
        <v>830230</v>
      </c>
      <c r="D7282" t="s">
        <v>176</v>
      </c>
      <c r="E7282">
        <v>60296</v>
      </c>
      <c r="F7282">
        <v>11286</v>
      </c>
      <c r="G7282">
        <v>755</v>
      </c>
      <c r="H7282">
        <f>_xlfn.XLOOKUP(FACT_IMPORTS[[#This Row],[hts_6]],DIM_PRODUCTS[hts_6],DIM_PRODUCTS[hts_4],,,)</f>
        <v>8302</v>
      </c>
      <c r="I7282" t="str" cm="1">
        <f t="array" ref="I7282">_xlfn.XLOOKUP(FACT_IMPORTS[[#This Row],[country_name]],DIM_COUNTRY[[#All],[Column2]],DIM_COUNTRY[[#All],[Column3]],,,)</f>
        <v>Major_Non-USMCA_Non-China</v>
      </c>
    </row>
    <row r="7283" spans="1:9" x14ac:dyDescent="0.4">
      <c r="A7283" t="s">
        <v>71</v>
      </c>
      <c r="B7283" s="1">
        <v>45139</v>
      </c>
      <c r="C7283">
        <v>840734</v>
      </c>
      <c r="D7283" t="s">
        <v>176</v>
      </c>
      <c r="E7283">
        <v>0</v>
      </c>
      <c r="F7283">
        <v>0</v>
      </c>
      <c r="G7283">
        <v>0</v>
      </c>
      <c r="H7283">
        <f>_xlfn.XLOOKUP(FACT_IMPORTS[[#This Row],[hts_6]],DIM_PRODUCTS[hts_6],DIM_PRODUCTS[hts_4],,,)</f>
        <v>8407</v>
      </c>
      <c r="I7283" t="str" cm="1">
        <f t="array" ref="I7283">_xlfn.XLOOKUP(FACT_IMPORTS[[#This Row],[country_name]],DIM_COUNTRY[[#All],[Column2]],DIM_COUNTRY[[#All],[Column3]],,,)</f>
        <v>Major_Non-USMCA_Non-China</v>
      </c>
    </row>
    <row r="7284" spans="1:9" x14ac:dyDescent="0.4">
      <c r="A7284" t="s">
        <v>71</v>
      </c>
      <c r="B7284" s="1">
        <v>45139</v>
      </c>
      <c r="C7284">
        <v>840790</v>
      </c>
      <c r="D7284" t="s">
        <v>176</v>
      </c>
      <c r="E7284">
        <v>146007</v>
      </c>
      <c r="F7284">
        <v>35</v>
      </c>
      <c r="G7284">
        <v>150</v>
      </c>
      <c r="H7284">
        <f>_xlfn.XLOOKUP(FACT_IMPORTS[[#This Row],[hts_6]],DIM_PRODUCTS[hts_6],DIM_PRODUCTS[hts_4],,,)</f>
        <v>8407</v>
      </c>
      <c r="I7284" t="str" cm="1">
        <f t="array" ref="I7284">_xlfn.XLOOKUP(FACT_IMPORTS[[#This Row],[country_name]],DIM_COUNTRY[[#All],[Column2]],DIM_COUNTRY[[#All],[Column3]],,,)</f>
        <v>Major_Non-USMCA_Non-China</v>
      </c>
    </row>
    <row r="7285" spans="1:9" x14ac:dyDescent="0.4">
      <c r="A7285" t="s">
        <v>71</v>
      </c>
      <c r="B7285" s="1">
        <v>45139</v>
      </c>
      <c r="C7285">
        <v>840820</v>
      </c>
      <c r="D7285" t="s">
        <v>176</v>
      </c>
      <c r="E7285">
        <v>128116</v>
      </c>
      <c r="F7285">
        <v>68</v>
      </c>
      <c r="G7285">
        <v>2834</v>
      </c>
      <c r="H7285">
        <f>_xlfn.XLOOKUP(FACT_IMPORTS[[#This Row],[hts_6]],DIM_PRODUCTS[hts_6],DIM_PRODUCTS[hts_4],,,)</f>
        <v>8408</v>
      </c>
      <c r="I7285" t="str" cm="1">
        <f t="array" ref="I7285">_xlfn.XLOOKUP(FACT_IMPORTS[[#This Row],[country_name]],DIM_COUNTRY[[#All],[Column2]],DIM_COUNTRY[[#All],[Column3]],,,)</f>
        <v>Major_Non-USMCA_Non-China</v>
      </c>
    </row>
    <row r="7286" spans="1:9" x14ac:dyDescent="0.4">
      <c r="A7286" t="s">
        <v>71</v>
      </c>
      <c r="B7286" s="1">
        <v>45139</v>
      </c>
      <c r="C7286">
        <v>840890</v>
      </c>
      <c r="D7286" t="s">
        <v>176</v>
      </c>
      <c r="E7286">
        <v>54640</v>
      </c>
      <c r="F7286">
        <v>3</v>
      </c>
      <c r="G7286">
        <v>470</v>
      </c>
      <c r="H7286">
        <f>_xlfn.XLOOKUP(FACT_IMPORTS[[#This Row],[hts_6]],DIM_PRODUCTS[hts_6],DIM_PRODUCTS[hts_4],,,)</f>
        <v>8408</v>
      </c>
      <c r="I7286" t="str" cm="1">
        <f t="array" ref="I7286">_xlfn.XLOOKUP(FACT_IMPORTS[[#This Row],[country_name]],DIM_COUNTRY[[#All],[Column2]],DIM_COUNTRY[[#All],[Column3]],,,)</f>
        <v>Major_Non-USMCA_Non-China</v>
      </c>
    </row>
    <row r="7287" spans="1:9" x14ac:dyDescent="0.4">
      <c r="A7287" t="s">
        <v>71</v>
      </c>
      <c r="B7287" s="1">
        <v>45139</v>
      </c>
      <c r="C7287">
        <v>840991</v>
      </c>
      <c r="D7287" t="s">
        <v>176</v>
      </c>
      <c r="E7287">
        <v>6980902</v>
      </c>
      <c r="F7287">
        <v>489097</v>
      </c>
      <c r="G7287">
        <v>178187</v>
      </c>
      <c r="H7287">
        <f>_xlfn.XLOOKUP(FACT_IMPORTS[[#This Row],[hts_6]],DIM_PRODUCTS[hts_6],DIM_PRODUCTS[hts_4],,,)</f>
        <v>8409</v>
      </c>
      <c r="I7287" t="str" cm="1">
        <f t="array" ref="I7287">_xlfn.XLOOKUP(FACT_IMPORTS[[#This Row],[country_name]],DIM_COUNTRY[[#All],[Column2]],DIM_COUNTRY[[#All],[Column3]],,,)</f>
        <v>Major_Non-USMCA_Non-China</v>
      </c>
    </row>
    <row r="7288" spans="1:9" x14ac:dyDescent="0.4">
      <c r="A7288" t="s">
        <v>71</v>
      </c>
      <c r="B7288" s="1">
        <v>45139</v>
      </c>
      <c r="C7288">
        <v>840999</v>
      </c>
      <c r="D7288" t="s">
        <v>176</v>
      </c>
      <c r="E7288">
        <v>17316</v>
      </c>
      <c r="F7288">
        <v>920</v>
      </c>
      <c r="G7288">
        <v>188</v>
      </c>
      <c r="H7288">
        <f>_xlfn.XLOOKUP(FACT_IMPORTS[[#This Row],[hts_6]],DIM_PRODUCTS[hts_6],DIM_PRODUCTS[hts_4],,,)</f>
        <v>8409</v>
      </c>
      <c r="I7288" t="str" cm="1">
        <f t="array" ref="I7288">_xlfn.XLOOKUP(FACT_IMPORTS[[#This Row],[country_name]],DIM_COUNTRY[[#All],[Column2]],DIM_COUNTRY[[#All],[Column3]],,,)</f>
        <v>Major_Non-USMCA_Non-China</v>
      </c>
    </row>
    <row r="7289" spans="1:9" x14ac:dyDescent="0.4">
      <c r="A7289" t="s">
        <v>71</v>
      </c>
      <c r="B7289" s="1">
        <v>45139</v>
      </c>
      <c r="C7289">
        <v>841330</v>
      </c>
      <c r="D7289" t="s">
        <v>176</v>
      </c>
      <c r="E7289">
        <v>179680</v>
      </c>
      <c r="F7289">
        <v>3041</v>
      </c>
      <c r="G7289">
        <v>1000</v>
      </c>
      <c r="H7289">
        <f>_xlfn.XLOOKUP(FACT_IMPORTS[[#This Row],[hts_6]],DIM_PRODUCTS[hts_6],DIM_PRODUCTS[hts_4],,,)</f>
        <v>8413</v>
      </c>
      <c r="I7289" t="str" cm="1">
        <f t="array" ref="I7289">_xlfn.XLOOKUP(FACT_IMPORTS[[#This Row],[country_name]],DIM_COUNTRY[[#All],[Column2]],DIM_COUNTRY[[#All],[Column3]],,,)</f>
        <v>Major_Non-USMCA_Non-China</v>
      </c>
    </row>
    <row r="7290" spans="1:9" x14ac:dyDescent="0.4">
      <c r="A7290" t="s">
        <v>71</v>
      </c>
      <c r="B7290" s="1">
        <v>45139</v>
      </c>
      <c r="C7290">
        <v>841520</v>
      </c>
      <c r="D7290" t="s">
        <v>176</v>
      </c>
      <c r="E7290">
        <v>0</v>
      </c>
      <c r="F7290">
        <v>0</v>
      </c>
      <c r="G7290">
        <v>0</v>
      </c>
      <c r="H7290">
        <f>_xlfn.XLOOKUP(FACT_IMPORTS[[#This Row],[hts_6]],DIM_PRODUCTS[hts_6],DIM_PRODUCTS[hts_4],,,)</f>
        <v>8415</v>
      </c>
      <c r="I7290" t="str" cm="1">
        <f t="array" ref="I7290">_xlfn.XLOOKUP(FACT_IMPORTS[[#This Row],[country_name]],DIM_COUNTRY[[#All],[Column2]],DIM_COUNTRY[[#All],[Column3]],,,)</f>
        <v>Major_Non-USMCA_Non-China</v>
      </c>
    </row>
    <row r="7291" spans="1:9" x14ac:dyDescent="0.4">
      <c r="A7291" t="s">
        <v>71</v>
      </c>
      <c r="B7291" s="1">
        <v>45139</v>
      </c>
      <c r="C7291">
        <v>842132</v>
      </c>
      <c r="D7291" t="s">
        <v>176</v>
      </c>
      <c r="E7291">
        <v>192256</v>
      </c>
      <c r="F7291">
        <v>22</v>
      </c>
      <c r="G7291">
        <v>568</v>
      </c>
      <c r="H7291">
        <f>_xlfn.XLOOKUP(FACT_IMPORTS[[#This Row],[hts_6]],DIM_PRODUCTS[hts_6],DIM_PRODUCTS[hts_4],,,)</f>
        <v>8421</v>
      </c>
      <c r="I7291" t="str" cm="1">
        <f t="array" ref="I7291">_xlfn.XLOOKUP(FACT_IMPORTS[[#This Row],[country_name]],DIM_COUNTRY[[#All],[Column2]],DIM_COUNTRY[[#All],[Column3]],,,)</f>
        <v>Major_Non-USMCA_Non-China</v>
      </c>
    </row>
    <row r="7292" spans="1:9" x14ac:dyDescent="0.4">
      <c r="A7292" t="s">
        <v>71</v>
      </c>
      <c r="B7292" s="1">
        <v>45139</v>
      </c>
      <c r="C7292">
        <v>848210</v>
      </c>
      <c r="D7292" t="s">
        <v>176</v>
      </c>
      <c r="E7292">
        <v>161512</v>
      </c>
      <c r="F7292">
        <v>4404</v>
      </c>
      <c r="G7292">
        <v>13379</v>
      </c>
      <c r="H7292">
        <f>_xlfn.XLOOKUP(FACT_IMPORTS[[#This Row],[hts_6]],DIM_PRODUCTS[hts_6],DIM_PRODUCTS[hts_4],,,)</f>
        <v>8482</v>
      </c>
      <c r="I7292" t="str" cm="1">
        <f t="array" ref="I7292">_xlfn.XLOOKUP(FACT_IMPORTS[[#This Row],[country_name]],DIM_COUNTRY[[#All],[Column2]],DIM_COUNTRY[[#All],[Column3]],,,)</f>
        <v>Major_Non-USMCA_Non-China</v>
      </c>
    </row>
    <row r="7293" spans="1:9" x14ac:dyDescent="0.4">
      <c r="A7293" t="s">
        <v>71</v>
      </c>
      <c r="B7293" s="1">
        <v>45139</v>
      </c>
      <c r="C7293">
        <v>848220</v>
      </c>
      <c r="D7293" t="s">
        <v>176</v>
      </c>
      <c r="E7293">
        <v>232841</v>
      </c>
      <c r="F7293">
        <v>15472</v>
      </c>
      <c r="G7293">
        <v>2722</v>
      </c>
      <c r="H7293">
        <f>_xlfn.XLOOKUP(FACT_IMPORTS[[#This Row],[hts_6]],DIM_PRODUCTS[hts_6],DIM_PRODUCTS[hts_4],,,)</f>
        <v>8482</v>
      </c>
      <c r="I7293" t="str" cm="1">
        <f t="array" ref="I7293">_xlfn.XLOOKUP(FACT_IMPORTS[[#This Row],[country_name]],DIM_COUNTRY[[#All],[Column2]],DIM_COUNTRY[[#All],[Column3]],,,)</f>
        <v>Major_Non-USMCA_Non-China</v>
      </c>
    </row>
    <row r="7294" spans="1:9" x14ac:dyDescent="0.4">
      <c r="A7294" t="s">
        <v>71</v>
      </c>
      <c r="B7294" s="1">
        <v>45139</v>
      </c>
      <c r="C7294">
        <v>848310</v>
      </c>
      <c r="D7294" t="s">
        <v>176</v>
      </c>
      <c r="E7294">
        <v>1898080</v>
      </c>
      <c r="F7294">
        <v>61818</v>
      </c>
      <c r="G7294">
        <v>61048</v>
      </c>
      <c r="H7294">
        <f>_xlfn.XLOOKUP(FACT_IMPORTS[[#This Row],[hts_6]],DIM_PRODUCTS[hts_6],DIM_PRODUCTS[hts_4],,,)</f>
        <v>8483</v>
      </c>
      <c r="I7294" t="str" cm="1">
        <f t="array" ref="I7294">_xlfn.XLOOKUP(FACT_IMPORTS[[#This Row],[country_name]],DIM_COUNTRY[[#All],[Column2]],DIM_COUNTRY[[#All],[Column3]],,,)</f>
        <v>Major_Non-USMCA_Non-China</v>
      </c>
    </row>
    <row r="7295" spans="1:9" x14ac:dyDescent="0.4">
      <c r="A7295" t="s">
        <v>71</v>
      </c>
      <c r="B7295" s="1">
        <v>45139</v>
      </c>
      <c r="C7295">
        <v>850131</v>
      </c>
      <c r="D7295" t="s">
        <v>176</v>
      </c>
      <c r="E7295">
        <v>3380713</v>
      </c>
      <c r="F7295">
        <v>95875</v>
      </c>
      <c r="G7295">
        <v>46240</v>
      </c>
      <c r="H7295">
        <f>_xlfn.XLOOKUP(FACT_IMPORTS[[#This Row],[hts_6]],DIM_PRODUCTS[hts_6],DIM_PRODUCTS[hts_4],,,)</f>
        <v>8501</v>
      </c>
      <c r="I7295" t="str" cm="1">
        <f t="array" ref="I7295">_xlfn.XLOOKUP(FACT_IMPORTS[[#This Row],[country_name]],DIM_COUNTRY[[#All],[Column2]],DIM_COUNTRY[[#All],[Column3]],,,)</f>
        <v>Major_Non-USMCA_Non-China</v>
      </c>
    </row>
    <row r="7296" spans="1:9" x14ac:dyDescent="0.4">
      <c r="A7296" t="s">
        <v>71</v>
      </c>
      <c r="B7296" s="1">
        <v>45139</v>
      </c>
      <c r="C7296">
        <v>850132</v>
      </c>
      <c r="D7296" t="s">
        <v>176</v>
      </c>
      <c r="E7296">
        <v>12050</v>
      </c>
      <c r="F7296">
        <v>7</v>
      </c>
      <c r="G7296">
        <v>273</v>
      </c>
      <c r="H7296">
        <f>_xlfn.XLOOKUP(FACT_IMPORTS[[#This Row],[hts_6]],DIM_PRODUCTS[hts_6],DIM_PRODUCTS[hts_4],,,)</f>
        <v>8501</v>
      </c>
      <c r="I7296" t="str" cm="1">
        <f t="array" ref="I7296">_xlfn.XLOOKUP(FACT_IMPORTS[[#This Row],[country_name]],DIM_COUNTRY[[#All],[Column2]],DIM_COUNTRY[[#All],[Column3]],,,)</f>
        <v>Major_Non-USMCA_Non-China</v>
      </c>
    </row>
    <row r="7297" spans="1:9" x14ac:dyDescent="0.4">
      <c r="A7297" t="s">
        <v>71</v>
      </c>
      <c r="B7297" s="1">
        <v>45139</v>
      </c>
      <c r="C7297">
        <v>850133</v>
      </c>
      <c r="D7297" t="s">
        <v>176</v>
      </c>
      <c r="E7297">
        <v>0</v>
      </c>
      <c r="F7297">
        <v>0</v>
      </c>
      <c r="G7297">
        <v>0</v>
      </c>
      <c r="H7297">
        <f>_xlfn.XLOOKUP(FACT_IMPORTS[[#This Row],[hts_6]],DIM_PRODUCTS[hts_6],DIM_PRODUCTS[hts_4],,,)</f>
        <v>8501</v>
      </c>
      <c r="I7297" t="str" cm="1">
        <f t="array" ref="I7297">_xlfn.XLOOKUP(FACT_IMPORTS[[#This Row],[country_name]],DIM_COUNTRY[[#All],[Column2]],DIM_COUNTRY[[#All],[Column3]],,,)</f>
        <v>Major_Non-USMCA_Non-China</v>
      </c>
    </row>
    <row r="7298" spans="1:9" x14ac:dyDescent="0.4">
      <c r="A7298" t="s">
        <v>71</v>
      </c>
      <c r="B7298" s="1">
        <v>45139</v>
      </c>
      <c r="C7298">
        <v>850152</v>
      </c>
      <c r="D7298" t="s">
        <v>176</v>
      </c>
      <c r="E7298">
        <v>360171</v>
      </c>
      <c r="F7298">
        <v>538</v>
      </c>
      <c r="G7298">
        <v>18773</v>
      </c>
      <c r="H7298">
        <f>_xlfn.XLOOKUP(FACT_IMPORTS[[#This Row],[hts_6]],DIM_PRODUCTS[hts_6],DIM_PRODUCTS[hts_4],,,)</f>
        <v>8501</v>
      </c>
      <c r="I7298" t="str" cm="1">
        <f t="array" ref="I7298">_xlfn.XLOOKUP(FACT_IMPORTS[[#This Row],[country_name]],DIM_COUNTRY[[#All],[Column2]],DIM_COUNTRY[[#All],[Column3]],,,)</f>
        <v>Major_Non-USMCA_Non-China</v>
      </c>
    </row>
    <row r="7299" spans="1:9" x14ac:dyDescent="0.4">
      <c r="A7299" t="s">
        <v>71</v>
      </c>
      <c r="B7299" s="1">
        <v>45139</v>
      </c>
      <c r="C7299">
        <v>850153</v>
      </c>
      <c r="D7299" t="s">
        <v>176</v>
      </c>
      <c r="E7299">
        <v>0</v>
      </c>
      <c r="F7299">
        <v>0</v>
      </c>
      <c r="G7299">
        <v>0</v>
      </c>
      <c r="H7299">
        <f>_xlfn.XLOOKUP(FACT_IMPORTS[[#This Row],[hts_6]],DIM_PRODUCTS[hts_6],DIM_PRODUCTS[hts_4],,,)</f>
        <v>8501</v>
      </c>
      <c r="I7299" t="str" cm="1">
        <f t="array" ref="I7299">_xlfn.XLOOKUP(FACT_IMPORTS[[#This Row],[country_name]],DIM_COUNTRY[[#All],[Column2]],DIM_COUNTRY[[#All],[Column3]],,,)</f>
        <v>Major_Non-USMCA_Non-China</v>
      </c>
    </row>
    <row r="7300" spans="1:9" x14ac:dyDescent="0.4">
      <c r="A7300" t="s">
        <v>71</v>
      </c>
      <c r="B7300" s="1">
        <v>45139</v>
      </c>
      <c r="C7300">
        <v>850161</v>
      </c>
      <c r="D7300" t="s">
        <v>176</v>
      </c>
      <c r="E7300">
        <v>2814</v>
      </c>
      <c r="F7300">
        <v>10</v>
      </c>
      <c r="G7300">
        <v>4</v>
      </c>
      <c r="H7300">
        <f>_xlfn.XLOOKUP(FACT_IMPORTS[[#This Row],[hts_6]],DIM_PRODUCTS[hts_6],DIM_PRODUCTS[hts_4],,,)</f>
        <v>8501</v>
      </c>
      <c r="I7300" t="str" cm="1">
        <f t="array" ref="I7300">_xlfn.XLOOKUP(FACT_IMPORTS[[#This Row],[country_name]],DIM_COUNTRY[[#All],[Column2]],DIM_COUNTRY[[#All],[Column3]],,,)</f>
        <v>Major_Non-USMCA_Non-China</v>
      </c>
    </row>
    <row r="7301" spans="1:9" x14ac:dyDescent="0.4">
      <c r="A7301" t="s">
        <v>71</v>
      </c>
      <c r="B7301" s="1">
        <v>45139</v>
      </c>
      <c r="C7301">
        <v>850440</v>
      </c>
      <c r="D7301" t="s">
        <v>176</v>
      </c>
      <c r="E7301">
        <v>316184</v>
      </c>
      <c r="F7301">
        <v>304</v>
      </c>
      <c r="G7301">
        <v>6450</v>
      </c>
      <c r="H7301">
        <f>_xlfn.XLOOKUP(FACT_IMPORTS[[#This Row],[hts_6]],DIM_PRODUCTS[hts_6],DIM_PRODUCTS[hts_4],,,)</f>
        <v>8504</v>
      </c>
      <c r="I7301" t="str" cm="1">
        <f t="array" ref="I7301">_xlfn.XLOOKUP(FACT_IMPORTS[[#This Row],[country_name]],DIM_COUNTRY[[#All],[Column2]],DIM_COUNTRY[[#All],[Column3]],,,)</f>
        <v>Major_Non-USMCA_Non-China</v>
      </c>
    </row>
    <row r="7302" spans="1:9" x14ac:dyDescent="0.4">
      <c r="A7302" t="s">
        <v>71</v>
      </c>
      <c r="B7302" s="1">
        <v>45139</v>
      </c>
      <c r="C7302">
        <v>850760</v>
      </c>
      <c r="D7302" t="s">
        <v>176</v>
      </c>
      <c r="E7302">
        <v>63579</v>
      </c>
      <c r="F7302">
        <v>345</v>
      </c>
      <c r="G7302">
        <v>752</v>
      </c>
      <c r="H7302">
        <f>_xlfn.XLOOKUP(FACT_IMPORTS[[#This Row],[hts_6]],DIM_PRODUCTS[hts_6],DIM_PRODUCTS[hts_4],,,)</f>
        <v>8507</v>
      </c>
      <c r="I7302" t="str" cm="1">
        <f t="array" ref="I7302">_xlfn.XLOOKUP(FACT_IMPORTS[[#This Row],[country_name]],DIM_COUNTRY[[#All],[Column2]],DIM_COUNTRY[[#All],[Column3]],,,)</f>
        <v>Major_Non-USMCA_Non-China</v>
      </c>
    </row>
    <row r="7303" spans="1:9" x14ac:dyDescent="0.4">
      <c r="A7303" t="s">
        <v>71</v>
      </c>
      <c r="B7303" s="1">
        <v>45139</v>
      </c>
      <c r="C7303">
        <v>850790</v>
      </c>
      <c r="D7303" t="s">
        <v>176</v>
      </c>
      <c r="E7303">
        <v>0</v>
      </c>
      <c r="F7303">
        <v>0</v>
      </c>
      <c r="G7303">
        <v>0</v>
      </c>
      <c r="H7303">
        <f>_xlfn.XLOOKUP(FACT_IMPORTS[[#This Row],[hts_6]],DIM_PRODUCTS[hts_6],DIM_PRODUCTS[hts_4],,,)</f>
        <v>8507</v>
      </c>
      <c r="I7303" t="str" cm="1">
        <f t="array" ref="I7303">_xlfn.XLOOKUP(FACT_IMPORTS[[#This Row],[country_name]],DIM_COUNTRY[[#All],[Column2]],DIM_COUNTRY[[#All],[Column3]],,,)</f>
        <v>Major_Non-USMCA_Non-China</v>
      </c>
    </row>
    <row r="7304" spans="1:9" x14ac:dyDescent="0.4">
      <c r="A7304" t="s">
        <v>71</v>
      </c>
      <c r="B7304" s="1">
        <v>45139</v>
      </c>
      <c r="C7304">
        <v>851110</v>
      </c>
      <c r="D7304" t="s">
        <v>176</v>
      </c>
      <c r="E7304">
        <v>75263</v>
      </c>
      <c r="F7304">
        <v>1956</v>
      </c>
      <c r="G7304">
        <v>474</v>
      </c>
      <c r="H7304">
        <f>_xlfn.XLOOKUP(FACT_IMPORTS[[#This Row],[hts_6]],DIM_PRODUCTS[hts_6],DIM_PRODUCTS[hts_4],,,)</f>
        <v>8511</v>
      </c>
      <c r="I7304" t="str" cm="1">
        <f t="array" ref="I7304">_xlfn.XLOOKUP(FACT_IMPORTS[[#This Row],[country_name]],DIM_COUNTRY[[#All],[Column2]],DIM_COUNTRY[[#All],[Column3]],,,)</f>
        <v>Major_Non-USMCA_Non-China</v>
      </c>
    </row>
    <row r="7305" spans="1:9" x14ac:dyDescent="0.4">
      <c r="A7305" t="s">
        <v>71</v>
      </c>
      <c r="B7305" s="1">
        <v>45139</v>
      </c>
      <c r="C7305">
        <v>851130</v>
      </c>
      <c r="D7305" t="s">
        <v>176</v>
      </c>
      <c r="E7305">
        <v>23054</v>
      </c>
      <c r="F7305">
        <v>515</v>
      </c>
      <c r="G7305">
        <v>85</v>
      </c>
      <c r="H7305">
        <f>_xlfn.XLOOKUP(FACT_IMPORTS[[#This Row],[hts_6]],DIM_PRODUCTS[hts_6],DIM_PRODUCTS[hts_4],,,)</f>
        <v>8511</v>
      </c>
      <c r="I7305" t="str" cm="1">
        <f t="array" ref="I7305">_xlfn.XLOOKUP(FACT_IMPORTS[[#This Row],[country_name]],DIM_COUNTRY[[#All],[Column2]],DIM_COUNTRY[[#All],[Column3]],,,)</f>
        <v>Major_Non-USMCA_Non-China</v>
      </c>
    </row>
    <row r="7306" spans="1:9" x14ac:dyDescent="0.4">
      <c r="A7306" t="s">
        <v>71</v>
      </c>
      <c r="B7306" s="1">
        <v>45139</v>
      </c>
      <c r="C7306">
        <v>851140</v>
      </c>
      <c r="D7306" t="s">
        <v>176</v>
      </c>
      <c r="E7306">
        <v>1182133</v>
      </c>
      <c r="F7306">
        <v>3499</v>
      </c>
      <c r="G7306">
        <v>8998</v>
      </c>
      <c r="H7306">
        <f>_xlfn.XLOOKUP(FACT_IMPORTS[[#This Row],[hts_6]],DIM_PRODUCTS[hts_6],DIM_PRODUCTS[hts_4],,,)</f>
        <v>8511</v>
      </c>
      <c r="I7306" t="str" cm="1">
        <f t="array" ref="I7306">_xlfn.XLOOKUP(FACT_IMPORTS[[#This Row],[country_name]],DIM_COUNTRY[[#All],[Column2]],DIM_COUNTRY[[#All],[Column3]],,,)</f>
        <v>Major_Non-USMCA_Non-China</v>
      </c>
    </row>
    <row r="7307" spans="1:9" x14ac:dyDescent="0.4">
      <c r="A7307" t="s">
        <v>71</v>
      </c>
      <c r="B7307" s="1">
        <v>45139</v>
      </c>
      <c r="C7307">
        <v>851150</v>
      </c>
      <c r="D7307" t="s">
        <v>176</v>
      </c>
      <c r="E7307">
        <v>80677</v>
      </c>
      <c r="F7307">
        <v>819</v>
      </c>
      <c r="G7307">
        <v>2687</v>
      </c>
      <c r="H7307">
        <f>_xlfn.XLOOKUP(FACT_IMPORTS[[#This Row],[hts_6]],DIM_PRODUCTS[hts_6],DIM_PRODUCTS[hts_4],,,)</f>
        <v>8511</v>
      </c>
      <c r="I7307" t="str" cm="1">
        <f t="array" ref="I7307">_xlfn.XLOOKUP(FACT_IMPORTS[[#This Row],[country_name]],DIM_COUNTRY[[#All],[Column2]],DIM_COUNTRY[[#All],[Column3]],,,)</f>
        <v>Major_Non-USMCA_Non-China</v>
      </c>
    </row>
    <row r="7308" spans="1:9" x14ac:dyDescent="0.4">
      <c r="A7308" t="s">
        <v>71</v>
      </c>
      <c r="B7308" s="1">
        <v>45139</v>
      </c>
      <c r="C7308">
        <v>851180</v>
      </c>
      <c r="D7308" t="s">
        <v>176</v>
      </c>
      <c r="E7308">
        <v>4920</v>
      </c>
      <c r="F7308">
        <v>68</v>
      </c>
      <c r="G7308">
        <v>3</v>
      </c>
      <c r="H7308">
        <f>_xlfn.XLOOKUP(FACT_IMPORTS[[#This Row],[hts_6]],DIM_PRODUCTS[hts_6],DIM_PRODUCTS[hts_4],,,)</f>
        <v>8511</v>
      </c>
      <c r="I7308" t="str" cm="1">
        <f t="array" ref="I7308">_xlfn.XLOOKUP(FACT_IMPORTS[[#This Row],[country_name]],DIM_COUNTRY[[#All],[Column2]],DIM_COUNTRY[[#All],[Column3]],,,)</f>
        <v>Major_Non-USMCA_Non-China</v>
      </c>
    </row>
    <row r="7309" spans="1:9" x14ac:dyDescent="0.4">
      <c r="A7309" t="s">
        <v>71</v>
      </c>
      <c r="B7309" s="1">
        <v>45139</v>
      </c>
      <c r="C7309">
        <v>851190</v>
      </c>
      <c r="D7309" t="s">
        <v>176</v>
      </c>
      <c r="E7309">
        <v>606358</v>
      </c>
      <c r="F7309">
        <v>5152</v>
      </c>
      <c r="G7309">
        <v>1929</v>
      </c>
      <c r="H7309">
        <f>_xlfn.XLOOKUP(FACT_IMPORTS[[#This Row],[hts_6]],DIM_PRODUCTS[hts_6],DIM_PRODUCTS[hts_4],,,)</f>
        <v>8511</v>
      </c>
      <c r="I7309" t="str" cm="1">
        <f t="array" ref="I7309">_xlfn.XLOOKUP(FACT_IMPORTS[[#This Row],[country_name]],DIM_COUNTRY[[#All],[Column2]],DIM_COUNTRY[[#All],[Column3]],,,)</f>
        <v>Major_Non-USMCA_Non-China</v>
      </c>
    </row>
    <row r="7310" spans="1:9" x14ac:dyDescent="0.4">
      <c r="A7310" t="s">
        <v>71</v>
      </c>
      <c r="B7310" s="1">
        <v>45139</v>
      </c>
      <c r="C7310">
        <v>851220</v>
      </c>
      <c r="D7310" t="s">
        <v>176</v>
      </c>
      <c r="E7310">
        <v>11410</v>
      </c>
      <c r="F7310">
        <v>14</v>
      </c>
      <c r="G7310">
        <v>284</v>
      </c>
      <c r="H7310">
        <f>_xlfn.XLOOKUP(FACT_IMPORTS[[#This Row],[hts_6]],DIM_PRODUCTS[hts_6],DIM_PRODUCTS[hts_4],,,)</f>
        <v>8512</v>
      </c>
      <c r="I7310" t="str" cm="1">
        <f t="array" ref="I7310">_xlfn.XLOOKUP(FACT_IMPORTS[[#This Row],[country_name]],DIM_COUNTRY[[#All],[Column2]],DIM_COUNTRY[[#All],[Column3]],,,)</f>
        <v>Major_Non-USMCA_Non-China</v>
      </c>
    </row>
    <row r="7311" spans="1:9" x14ac:dyDescent="0.4">
      <c r="A7311" t="s">
        <v>71</v>
      </c>
      <c r="B7311" s="1">
        <v>45139</v>
      </c>
      <c r="C7311">
        <v>851230</v>
      </c>
      <c r="D7311" t="s">
        <v>176</v>
      </c>
      <c r="E7311">
        <v>32440</v>
      </c>
      <c r="F7311">
        <v>1335</v>
      </c>
      <c r="G7311">
        <v>1907</v>
      </c>
      <c r="H7311">
        <f>_xlfn.XLOOKUP(FACT_IMPORTS[[#This Row],[hts_6]],DIM_PRODUCTS[hts_6],DIM_PRODUCTS[hts_4],,,)</f>
        <v>8512</v>
      </c>
      <c r="I7311" t="str" cm="1">
        <f t="array" ref="I7311">_xlfn.XLOOKUP(FACT_IMPORTS[[#This Row],[country_name]],DIM_COUNTRY[[#All],[Column2]],DIM_COUNTRY[[#All],[Column3]],,,)</f>
        <v>Major_Non-USMCA_Non-China</v>
      </c>
    </row>
    <row r="7312" spans="1:9" x14ac:dyDescent="0.4">
      <c r="A7312" t="s">
        <v>71</v>
      </c>
      <c r="B7312" s="1">
        <v>45139</v>
      </c>
      <c r="C7312">
        <v>851290</v>
      </c>
      <c r="D7312" t="s">
        <v>176</v>
      </c>
      <c r="E7312">
        <v>0</v>
      </c>
      <c r="F7312">
        <v>0</v>
      </c>
      <c r="G7312">
        <v>0</v>
      </c>
      <c r="H7312">
        <f>_xlfn.XLOOKUP(FACT_IMPORTS[[#This Row],[hts_6]],DIM_PRODUCTS[hts_6],DIM_PRODUCTS[hts_4],,,)</f>
        <v>8512</v>
      </c>
      <c r="I7312" t="str" cm="1">
        <f t="array" ref="I7312">_xlfn.XLOOKUP(FACT_IMPORTS[[#This Row],[country_name]],DIM_COUNTRY[[#All],[Column2]],DIM_COUNTRY[[#All],[Column3]],,,)</f>
        <v>Major_Non-USMCA_Non-China</v>
      </c>
    </row>
    <row r="7313" spans="1:9" x14ac:dyDescent="0.4">
      <c r="A7313" t="s">
        <v>71</v>
      </c>
      <c r="B7313" s="1">
        <v>45139</v>
      </c>
      <c r="C7313">
        <v>854231</v>
      </c>
      <c r="D7313" t="s">
        <v>176</v>
      </c>
      <c r="E7313">
        <v>158258</v>
      </c>
      <c r="F7313">
        <v>15322</v>
      </c>
      <c r="G7313">
        <v>2057</v>
      </c>
      <c r="H7313">
        <f>_xlfn.XLOOKUP(FACT_IMPORTS[[#This Row],[hts_6]],DIM_PRODUCTS[hts_6],DIM_PRODUCTS[hts_4],,,)</f>
        <v>8542</v>
      </c>
      <c r="I7313" t="str" cm="1">
        <f t="array" ref="I7313">_xlfn.XLOOKUP(FACT_IMPORTS[[#This Row],[country_name]],DIM_COUNTRY[[#All],[Column2]],DIM_COUNTRY[[#All],[Column3]],,,)</f>
        <v>Major_Non-USMCA_Non-China</v>
      </c>
    </row>
    <row r="7314" spans="1:9" x14ac:dyDescent="0.4">
      <c r="A7314" t="s">
        <v>71</v>
      </c>
      <c r="B7314" s="1">
        <v>45139</v>
      </c>
      <c r="C7314">
        <v>854232</v>
      </c>
      <c r="D7314" t="s">
        <v>176</v>
      </c>
      <c r="E7314">
        <v>0</v>
      </c>
      <c r="F7314">
        <v>0</v>
      </c>
      <c r="G7314">
        <v>0</v>
      </c>
      <c r="H7314">
        <f>_xlfn.XLOOKUP(FACT_IMPORTS[[#This Row],[hts_6]],DIM_PRODUCTS[hts_6],DIM_PRODUCTS[hts_4],,,)</f>
        <v>8542</v>
      </c>
      <c r="I7314" t="str" cm="1">
        <f t="array" ref="I7314">_xlfn.XLOOKUP(FACT_IMPORTS[[#This Row],[country_name]],DIM_COUNTRY[[#All],[Column2]],DIM_COUNTRY[[#All],[Column3]],,,)</f>
        <v>Major_Non-USMCA_Non-China</v>
      </c>
    </row>
    <row r="7315" spans="1:9" x14ac:dyDescent="0.4">
      <c r="A7315" t="s">
        <v>71</v>
      </c>
      <c r="B7315" s="1">
        <v>45139</v>
      </c>
      <c r="C7315">
        <v>854233</v>
      </c>
      <c r="D7315" t="s">
        <v>176</v>
      </c>
      <c r="E7315">
        <v>0</v>
      </c>
      <c r="F7315">
        <v>0</v>
      </c>
      <c r="G7315">
        <v>0</v>
      </c>
      <c r="H7315">
        <f>_xlfn.XLOOKUP(FACT_IMPORTS[[#This Row],[hts_6]],DIM_PRODUCTS[hts_6],DIM_PRODUCTS[hts_4],,,)</f>
        <v>8542</v>
      </c>
      <c r="I7315" t="str" cm="1">
        <f t="array" ref="I7315">_xlfn.XLOOKUP(FACT_IMPORTS[[#This Row],[country_name]],DIM_COUNTRY[[#All],[Column2]],DIM_COUNTRY[[#All],[Column3]],,,)</f>
        <v>Major_Non-USMCA_Non-China</v>
      </c>
    </row>
    <row r="7316" spans="1:9" x14ac:dyDescent="0.4">
      <c r="A7316" t="s">
        <v>71</v>
      </c>
      <c r="B7316" s="1">
        <v>45139</v>
      </c>
      <c r="C7316">
        <v>854239</v>
      </c>
      <c r="D7316" t="s">
        <v>176</v>
      </c>
      <c r="E7316">
        <v>9098</v>
      </c>
      <c r="F7316">
        <v>12900</v>
      </c>
      <c r="G7316">
        <v>2</v>
      </c>
      <c r="H7316">
        <f>_xlfn.XLOOKUP(FACT_IMPORTS[[#This Row],[hts_6]],DIM_PRODUCTS[hts_6],DIM_PRODUCTS[hts_4],,,)</f>
        <v>8542</v>
      </c>
      <c r="I7316" t="str" cm="1">
        <f t="array" ref="I7316">_xlfn.XLOOKUP(FACT_IMPORTS[[#This Row],[country_name]],DIM_COUNTRY[[#All],[Column2]],DIM_COUNTRY[[#All],[Column3]],,,)</f>
        <v>Major_Non-USMCA_Non-China</v>
      </c>
    </row>
    <row r="7317" spans="1:9" x14ac:dyDescent="0.4">
      <c r="A7317" t="s">
        <v>71</v>
      </c>
      <c r="B7317" s="1">
        <v>45139</v>
      </c>
      <c r="C7317">
        <v>854430</v>
      </c>
      <c r="D7317" t="s">
        <v>176</v>
      </c>
      <c r="E7317">
        <v>5934</v>
      </c>
      <c r="F7317">
        <v>2</v>
      </c>
      <c r="G7317">
        <v>8</v>
      </c>
      <c r="H7317">
        <f>_xlfn.XLOOKUP(FACT_IMPORTS[[#This Row],[hts_6]],DIM_PRODUCTS[hts_6],DIM_PRODUCTS[hts_4],,,)</f>
        <v>8544</v>
      </c>
      <c r="I7317" t="str" cm="1">
        <f t="array" ref="I7317">_xlfn.XLOOKUP(FACT_IMPORTS[[#This Row],[country_name]],DIM_COUNTRY[[#All],[Column2]],DIM_COUNTRY[[#All],[Column3]],,,)</f>
        <v>Major_Non-USMCA_Non-China</v>
      </c>
    </row>
    <row r="7318" spans="1:9" x14ac:dyDescent="0.4">
      <c r="A7318" t="s">
        <v>71</v>
      </c>
      <c r="B7318" s="1">
        <v>45139</v>
      </c>
      <c r="C7318">
        <v>870710</v>
      </c>
      <c r="D7318" t="s">
        <v>176</v>
      </c>
      <c r="E7318">
        <v>0</v>
      </c>
      <c r="F7318">
        <v>0</v>
      </c>
      <c r="G7318">
        <v>0</v>
      </c>
      <c r="H7318">
        <f>_xlfn.XLOOKUP(FACT_IMPORTS[[#This Row],[hts_6]],DIM_PRODUCTS[hts_6],DIM_PRODUCTS[hts_4],,,)</f>
        <v>8707</v>
      </c>
      <c r="I7318" t="str" cm="1">
        <f t="array" ref="I7318">_xlfn.XLOOKUP(FACT_IMPORTS[[#This Row],[country_name]],DIM_COUNTRY[[#All],[Column2]],DIM_COUNTRY[[#All],[Column3]],,,)</f>
        <v>Major_Non-USMCA_Non-China</v>
      </c>
    </row>
    <row r="7319" spans="1:9" x14ac:dyDescent="0.4">
      <c r="A7319" t="s">
        <v>71</v>
      </c>
      <c r="B7319" s="1">
        <v>45139</v>
      </c>
      <c r="C7319">
        <v>870790</v>
      </c>
      <c r="D7319" t="s">
        <v>176</v>
      </c>
      <c r="E7319">
        <v>0</v>
      </c>
      <c r="F7319">
        <v>0</v>
      </c>
      <c r="G7319">
        <v>0</v>
      </c>
      <c r="H7319">
        <f>_xlfn.XLOOKUP(FACT_IMPORTS[[#This Row],[hts_6]],DIM_PRODUCTS[hts_6],DIM_PRODUCTS[hts_4],,,)</f>
        <v>8707</v>
      </c>
      <c r="I7319" t="str" cm="1">
        <f t="array" ref="I7319">_xlfn.XLOOKUP(FACT_IMPORTS[[#This Row],[country_name]],DIM_COUNTRY[[#All],[Column2]],DIM_COUNTRY[[#All],[Column3]],,,)</f>
        <v>Major_Non-USMCA_Non-China</v>
      </c>
    </row>
    <row r="7320" spans="1:9" x14ac:dyDescent="0.4">
      <c r="A7320" t="s">
        <v>71</v>
      </c>
      <c r="B7320" s="1">
        <v>45139</v>
      </c>
      <c r="C7320">
        <v>870810</v>
      </c>
      <c r="D7320" t="s">
        <v>176</v>
      </c>
      <c r="E7320">
        <v>0</v>
      </c>
      <c r="F7320">
        <v>0</v>
      </c>
      <c r="G7320">
        <v>0</v>
      </c>
      <c r="H7320">
        <f>_xlfn.XLOOKUP(FACT_IMPORTS[[#This Row],[hts_6]],DIM_PRODUCTS[hts_6],DIM_PRODUCTS[hts_4],,,)</f>
        <v>8708</v>
      </c>
      <c r="I7320" t="str" cm="1">
        <f t="array" ref="I7320">_xlfn.XLOOKUP(FACT_IMPORTS[[#This Row],[country_name]],DIM_COUNTRY[[#All],[Column2]],DIM_COUNTRY[[#All],[Column3]],,,)</f>
        <v>Major_Non-USMCA_Non-China</v>
      </c>
    </row>
    <row r="7321" spans="1:9" x14ac:dyDescent="0.4">
      <c r="A7321" t="s">
        <v>71</v>
      </c>
      <c r="B7321" s="1">
        <v>45139</v>
      </c>
      <c r="C7321">
        <v>870829</v>
      </c>
      <c r="D7321" t="s">
        <v>176</v>
      </c>
      <c r="E7321">
        <v>5688260</v>
      </c>
      <c r="F7321">
        <v>224203</v>
      </c>
      <c r="G7321">
        <v>85046</v>
      </c>
      <c r="H7321">
        <f>_xlfn.XLOOKUP(FACT_IMPORTS[[#This Row],[hts_6]],DIM_PRODUCTS[hts_6],DIM_PRODUCTS[hts_4],,,)</f>
        <v>8708</v>
      </c>
      <c r="I7321" t="str" cm="1">
        <f t="array" ref="I7321">_xlfn.XLOOKUP(FACT_IMPORTS[[#This Row],[country_name]],DIM_COUNTRY[[#All],[Column2]],DIM_COUNTRY[[#All],[Column3]],,,)</f>
        <v>Major_Non-USMCA_Non-China</v>
      </c>
    </row>
    <row r="7322" spans="1:9" x14ac:dyDescent="0.4">
      <c r="A7322" t="s">
        <v>71</v>
      </c>
      <c r="B7322" s="1">
        <v>45139</v>
      </c>
      <c r="C7322">
        <v>870830</v>
      </c>
      <c r="D7322" t="s">
        <v>176</v>
      </c>
      <c r="E7322">
        <v>20590</v>
      </c>
      <c r="F7322">
        <v>58</v>
      </c>
      <c r="G7322">
        <v>950</v>
      </c>
      <c r="H7322">
        <f>_xlfn.XLOOKUP(FACT_IMPORTS[[#This Row],[hts_6]],DIM_PRODUCTS[hts_6],DIM_PRODUCTS[hts_4],,,)</f>
        <v>8708</v>
      </c>
      <c r="I7322" t="str" cm="1">
        <f t="array" ref="I7322">_xlfn.XLOOKUP(FACT_IMPORTS[[#This Row],[country_name]],DIM_COUNTRY[[#All],[Column2]],DIM_COUNTRY[[#All],[Column3]],,,)</f>
        <v>Major_Non-USMCA_Non-China</v>
      </c>
    </row>
    <row r="7323" spans="1:9" x14ac:dyDescent="0.4">
      <c r="A7323" t="s">
        <v>71</v>
      </c>
      <c r="B7323" s="1">
        <v>45139</v>
      </c>
      <c r="C7323">
        <v>870840</v>
      </c>
      <c r="D7323" t="s">
        <v>176</v>
      </c>
      <c r="E7323">
        <v>1302181</v>
      </c>
      <c r="F7323">
        <v>1105</v>
      </c>
      <c r="G7323">
        <v>18482</v>
      </c>
      <c r="H7323">
        <f>_xlfn.XLOOKUP(FACT_IMPORTS[[#This Row],[hts_6]],DIM_PRODUCTS[hts_6],DIM_PRODUCTS[hts_4],,,)</f>
        <v>8708</v>
      </c>
      <c r="I7323" t="str" cm="1">
        <f t="array" ref="I7323">_xlfn.XLOOKUP(FACT_IMPORTS[[#This Row],[country_name]],DIM_COUNTRY[[#All],[Column2]],DIM_COUNTRY[[#All],[Column3]],,,)</f>
        <v>Major_Non-USMCA_Non-China</v>
      </c>
    </row>
    <row r="7324" spans="1:9" x14ac:dyDescent="0.4">
      <c r="A7324" t="s">
        <v>71</v>
      </c>
      <c r="B7324" s="1">
        <v>45139</v>
      </c>
      <c r="C7324">
        <v>870850</v>
      </c>
      <c r="D7324" t="s">
        <v>176</v>
      </c>
      <c r="E7324">
        <v>1815685</v>
      </c>
      <c r="F7324">
        <v>517</v>
      </c>
      <c r="G7324">
        <v>1119</v>
      </c>
      <c r="H7324">
        <f>_xlfn.XLOOKUP(FACT_IMPORTS[[#This Row],[hts_6]],DIM_PRODUCTS[hts_6],DIM_PRODUCTS[hts_4],,,)</f>
        <v>8708</v>
      </c>
      <c r="I7324" t="str" cm="1">
        <f t="array" ref="I7324">_xlfn.XLOOKUP(FACT_IMPORTS[[#This Row],[country_name]],DIM_COUNTRY[[#All],[Column2]],DIM_COUNTRY[[#All],[Column3]],,,)</f>
        <v>Major_Non-USMCA_Non-China</v>
      </c>
    </row>
    <row r="7325" spans="1:9" x14ac:dyDescent="0.4">
      <c r="A7325" t="s">
        <v>71</v>
      </c>
      <c r="B7325" s="1">
        <v>45139</v>
      </c>
      <c r="C7325">
        <v>870870</v>
      </c>
      <c r="D7325" t="s">
        <v>176</v>
      </c>
      <c r="E7325">
        <v>0</v>
      </c>
      <c r="F7325">
        <v>0</v>
      </c>
      <c r="G7325">
        <v>0</v>
      </c>
      <c r="H7325">
        <f>_xlfn.XLOOKUP(FACT_IMPORTS[[#This Row],[hts_6]],DIM_PRODUCTS[hts_6],DIM_PRODUCTS[hts_4],,,)</f>
        <v>8708</v>
      </c>
      <c r="I7325" t="str" cm="1">
        <f t="array" ref="I7325">_xlfn.XLOOKUP(FACT_IMPORTS[[#This Row],[country_name]],DIM_COUNTRY[[#All],[Column2]],DIM_COUNTRY[[#All],[Column3]],,,)</f>
        <v>Major_Non-USMCA_Non-China</v>
      </c>
    </row>
    <row r="7326" spans="1:9" x14ac:dyDescent="0.4">
      <c r="A7326" t="s">
        <v>71</v>
      </c>
      <c r="B7326" s="1">
        <v>45139</v>
      </c>
      <c r="C7326">
        <v>870880</v>
      </c>
      <c r="D7326" t="s">
        <v>176</v>
      </c>
      <c r="E7326">
        <v>184985</v>
      </c>
      <c r="F7326">
        <v>4700</v>
      </c>
      <c r="G7326">
        <v>14438</v>
      </c>
      <c r="H7326">
        <f>_xlfn.XLOOKUP(FACT_IMPORTS[[#This Row],[hts_6]],DIM_PRODUCTS[hts_6],DIM_PRODUCTS[hts_4],,,)</f>
        <v>8708</v>
      </c>
      <c r="I7326" t="str" cm="1">
        <f t="array" ref="I7326">_xlfn.XLOOKUP(FACT_IMPORTS[[#This Row],[country_name]],DIM_COUNTRY[[#All],[Column2]],DIM_COUNTRY[[#All],[Column3]],,,)</f>
        <v>Major_Non-USMCA_Non-China</v>
      </c>
    </row>
    <row r="7327" spans="1:9" x14ac:dyDescent="0.4">
      <c r="A7327" t="s">
        <v>71</v>
      </c>
      <c r="B7327" s="1">
        <v>45139</v>
      </c>
      <c r="C7327">
        <v>870891</v>
      </c>
      <c r="D7327" t="s">
        <v>176</v>
      </c>
      <c r="E7327">
        <v>184193</v>
      </c>
      <c r="F7327">
        <v>146023</v>
      </c>
      <c r="G7327">
        <v>2395</v>
      </c>
      <c r="H7327">
        <f>_xlfn.XLOOKUP(FACT_IMPORTS[[#This Row],[hts_6]],DIM_PRODUCTS[hts_6],DIM_PRODUCTS[hts_4],,,)</f>
        <v>8708</v>
      </c>
      <c r="I7327" t="str" cm="1">
        <f t="array" ref="I7327">_xlfn.XLOOKUP(FACT_IMPORTS[[#This Row],[country_name]],DIM_COUNTRY[[#All],[Column2]],DIM_COUNTRY[[#All],[Column3]],,,)</f>
        <v>Major_Non-USMCA_Non-China</v>
      </c>
    </row>
    <row r="7328" spans="1:9" x14ac:dyDescent="0.4">
      <c r="A7328" t="s">
        <v>71</v>
      </c>
      <c r="B7328" s="1">
        <v>45139</v>
      </c>
      <c r="C7328">
        <v>870892</v>
      </c>
      <c r="D7328" t="s">
        <v>176</v>
      </c>
      <c r="E7328">
        <v>2853</v>
      </c>
      <c r="F7328">
        <v>1</v>
      </c>
      <c r="G7328">
        <v>96</v>
      </c>
      <c r="H7328">
        <f>_xlfn.XLOOKUP(FACT_IMPORTS[[#This Row],[hts_6]],DIM_PRODUCTS[hts_6],DIM_PRODUCTS[hts_4],,,)</f>
        <v>8708</v>
      </c>
      <c r="I7328" t="str" cm="1">
        <f t="array" ref="I7328">_xlfn.XLOOKUP(FACT_IMPORTS[[#This Row],[country_name]],DIM_COUNTRY[[#All],[Column2]],DIM_COUNTRY[[#All],[Column3]],,,)</f>
        <v>Major_Non-USMCA_Non-China</v>
      </c>
    </row>
    <row r="7329" spans="1:9" x14ac:dyDescent="0.4">
      <c r="A7329" t="s">
        <v>71</v>
      </c>
      <c r="B7329" s="1">
        <v>45139</v>
      </c>
      <c r="C7329">
        <v>870893</v>
      </c>
      <c r="D7329" t="s">
        <v>176</v>
      </c>
      <c r="E7329">
        <v>1965946</v>
      </c>
      <c r="F7329">
        <v>478985</v>
      </c>
      <c r="G7329">
        <v>31914</v>
      </c>
      <c r="H7329">
        <f>_xlfn.XLOOKUP(FACT_IMPORTS[[#This Row],[hts_6]],DIM_PRODUCTS[hts_6],DIM_PRODUCTS[hts_4],,,)</f>
        <v>8708</v>
      </c>
      <c r="I7329" t="str" cm="1">
        <f t="array" ref="I7329">_xlfn.XLOOKUP(FACT_IMPORTS[[#This Row],[country_name]],DIM_COUNTRY[[#All],[Column2]],DIM_COUNTRY[[#All],[Column3]],,,)</f>
        <v>Major_Non-USMCA_Non-China</v>
      </c>
    </row>
    <row r="7330" spans="1:9" x14ac:dyDescent="0.4">
      <c r="A7330" t="s">
        <v>71</v>
      </c>
      <c r="B7330" s="1">
        <v>45139</v>
      </c>
      <c r="C7330">
        <v>870894</v>
      </c>
      <c r="D7330" t="s">
        <v>176</v>
      </c>
      <c r="E7330">
        <v>713300</v>
      </c>
      <c r="F7330">
        <v>3005</v>
      </c>
      <c r="G7330">
        <v>2508</v>
      </c>
      <c r="H7330">
        <f>_xlfn.XLOOKUP(FACT_IMPORTS[[#This Row],[hts_6]],DIM_PRODUCTS[hts_6],DIM_PRODUCTS[hts_4],,,)</f>
        <v>8708</v>
      </c>
      <c r="I7330" t="str" cm="1">
        <f t="array" ref="I7330">_xlfn.XLOOKUP(FACT_IMPORTS[[#This Row],[country_name]],DIM_COUNTRY[[#All],[Column2]],DIM_COUNTRY[[#All],[Column3]],,,)</f>
        <v>Major_Non-USMCA_Non-China</v>
      </c>
    </row>
    <row r="7331" spans="1:9" x14ac:dyDescent="0.4">
      <c r="A7331" t="s">
        <v>71</v>
      </c>
      <c r="B7331" s="1">
        <v>45139</v>
      </c>
      <c r="C7331">
        <v>870895</v>
      </c>
      <c r="D7331" t="s">
        <v>176</v>
      </c>
      <c r="E7331">
        <v>5876</v>
      </c>
      <c r="F7331">
        <v>24</v>
      </c>
      <c r="G7331">
        <v>4</v>
      </c>
      <c r="H7331">
        <f>_xlfn.XLOOKUP(FACT_IMPORTS[[#This Row],[hts_6]],DIM_PRODUCTS[hts_6],DIM_PRODUCTS[hts_4],,,)</f>
        <v>8708</v>
      </c>
      <c r="I7331" t="str" cm="1">
        <f t="array" ref="I7331">_xlfn.XLOOKUP(FACT_IMPORTS[[#This Row],[country_name]],DIM_COUNTRY[[#All],[Column2]],DIM_COUNTRY[[#All],[Column3]],,,)</f>
        <v>Major_Non-USMCA_Non-China</v>
      </c>
    </row>
    <row r="7332" spans="1:9" x14ac:dyDescent="0.4">
      <c r="A7332" t="s">
        <v>71</v>
      </c>
      <c r="B7332" s="1">
        <v>45139</v>
      </c>
      <c r="C7332">
        <v>870899</v>
      </c>
      <c r="D7332" t="s">
        <v>176</v>
      </c>
      <c r="E7332">
        <v>2856712</v>
      </c>
      <c r="F7332">
        <v>1779981</v>
      </c>
      <c r="G7332">
        <v>49343</v>
      </c>
      <c r="H7332">
        <f>_xlfn.XLOOKUP(FACT_IMPORTS[[#This Row],[hts_6]],DIM_PRODUCTS[hts_6],DIM_PRODUCTS[hts_4],,,)</f>
        <v>8708</v>
      </c>
      <c r="I7332" t="str" cm="1">
        <f t="array" ref="I7332">_xlfn.XLOOKUP(FACT_IMPORTS[[#This Row],[country_name]],DIM_COUNTRY[[#All],[Column2]],DIM_COUNTRY[[#All],[Column3]],,,)</f>
        <v>Major_Non-USMCA_Non-China</v>
      </c>
    </row>
    <row r="7333" spans="1:9" x14ac:dyDescent="0.4">
      <c r="A7333" t="s">
        <v>71</v>
      </c>
      <c r="B7333" s="1">
        <v>45139</v>
      </c>
      <c r="C7333">
        <v>940120</v>
      </c>
      <c r="D7333" t="s">
        <v>176</v>
      </c>
      <c r="E7333">
        <v>338</v>
      </c>
      <c r="F7333">
        <v>1</v>
      </c>
      <c r="G7333">
        <v>7</v>
      </c>
      <c r="H7333">
        <f>_xlfn.XLOOKUP(FACT_IMPORTS[[#This Row],[hts_6]],DIM_PRODUCTS[hts_6],DIM_PRODUCTS[hts_4],,,)</f>
        <v>9401</v>
      </c>
      <c r="I7333" t="str" cm="1">
        <f t="array" ref="I7333">_xlfn.XLOOKUP(FACT_IMPORTS[[#This Row],[country_name]],DIM_COUNTRY[[#All],[Column2]],DIM_COUNTRY[[#All],[Column3]],,,)</f>
        <v>Major_Non-USMCA_Non-China</v>
      </c>
    </row>
    <row r="7334" spans="1:9" x14ac:dyDescent="0.4">
      <c r="A7334" t="s">
        <v>71</v>
      </c>
      <c r="B7334" s="1">
        <v>45170</v>
      </c>
      <c r="C7334">
        <v>392630</v>
      </c>
      <c r="D7334" t="s">
        <v>176</v>
      </c>
      <c r="E7334">
        <v>3457</v>
      </c>
      <c r="F7334">
        <v>308</v>
      </c>
      <c r="G7334">
        <v>112</v>
      </c>
      <c r="H7334">
        <f>_xlfn.XLOOKUP(FACT_IMPORTS[[#This Row],[hts_6]],DIM_PRODUCTS[hts_6],DIM_PRODUCTS[hts_4],,,)</f>
        <v>3926</v>
      </c>
      <c r="I7334" t="str" cm="1">
        <f t="array" ref="I7334">_xlfn.XLOOKUP(FACT_IMPORTS[[#This Row],[country_name]],DIM_COUNTRY[[#All],[Column2]],DIM_COUNTRY[[#All],[Column3]],,,)</f>
        <v>Major_Non-USMCA_Non-China</v>
      </c>
    </row>
    <row r="7335" spans="1:9" x14ac:dyDescent="0.4">
      <c r="A7335" t="s">
        <v>71</v>
      </c>
      <c r="B7335" s="1">
        <v>45170</v>
      </c>
      <c r="C7335">
        <v>401110</v>
      </c>
      <c r="D7335" t="s">
        <v>176</v>
      </c>
      <c r="E7335">
        <v>435636</v>
      </c>
      <c r="F7335">
        <v>5331</v>
      </c>
      <c r="G7335">
        <v>7333</v>
      </c>
      <c r="H7335">
        <f>_xlfn.XLOOKUP(FACT_IMPORTS[[#This Row],[hts_6]],DIM_PRODUCTS[hts_6],DIM_PRODUCTS[hts_4],,,)</f>
        <v>4011</v>
      </c>
      <c r="I7335" t="str" cm="1">
        <f t="array" ref="I7335">_xlfn.XLOOKUP(FACT_IMPORTS[[#This Row],[country_name]],DIM_COUNTRY[[#All],[Column2]],DIM_COUNTRY[[#All],[Column3]],,,)</f>
        <v>Major_Non-USMCA_Non-China</v>
      </c>
    </row>
    <row r="7336" spans="1:9" x14ac:dyDescent="0.4">
      <c r="A7336" t="s">
        <v>71</v>
      </c>
      <c r="B7336" s="1">
        <v>45170</v>
      </c>
      <c r="C7336">
        <v>401120</v>
      </c>
      <c r="D7336" t="s">
        <v>176</v>
      </c>
      <c r="E7336">
        <v>382840</v>
      </c>
      <c r="F7336">
        <v>1042</v>
      </c>
      <c r="G7336">
        <v>6437</v>
      </c>
      <c r="H7336">
        <f>_xlfn.XLOOKUP(FACT_IMPORTS[[#This Row],[hts_6]],DIM_PRODUCTS[hts_6],DIM_PRODUCTS[hts_4],,,)</f>
        <v>4011</v>
      </c>
      <c r="I7336" t="str" cm="1">
        <f t="array" ref="I7336">_xlfn.XLOOKUP(FACT_IMPORTS[[#This Row],[country_name]],DIM_COUNTRY[[#All],[Column2]],DIM_COUNTRY[[#All],[Column3]],,,)</f>
        <v>Major_Non-USMCA_Non-China</v>
      </c>
    </row>
    <row r="7337" spans="1:9" x14ac:dyDescent="0.4">
      <c r="A7337" t="s">
        <v>71</v>
      </c>
      <c r="B7337" s="1">
        <v>45170</v>
      </c>
      <c r="C7337">
        <v>401140</v>
      </c>
      <c r="D7337" t="s">
        <v>176</v>
      </c>
      <c r="E7337">
        <v>0</v>
      </c>
      <c r="F7337">
        <v>0</v>
      </c>
      <c r="G7337">
        <v>0</v>
      </c>
      <c r="H7337">
        <f>_xlfn.XLOOKUP(FACT_IMPORTS[[#This Row],[hts_6]],DIM_PRODUCTS[hts_6],DIM_PRODUCTS[hts_4],,,)</f>
        <v>4011</v>
      </c>
      <c r="I7337" t="str" cm="1">
        <f t="array" ref="I7337">_xlfn.XLOOKUP(FACT_IMPORTS[[#This Row],[country_name]],DIM_COUNTRY[[#All],[Column2]],DIM_COUNTRY[[#All],[Column3]],,,)</f>
        <v>Major_Non-USMCA_Non-China</v>
      </c>
    </row>
    <row r="7338" spans="1:9" x14ac:dyDescent="0.4">
      <c r="A7338" t="s">
        <v>71</v>
      </c>
      <c r="B7338" s="1">
        <v>45170</v>
      </c>
      <c r="C7338">
        <v>700721</v>
      </c>
      <c r="D7338" t="s">
        <v>176</v>
      </c>
      <c r="E7338">
        <v>0</v>
      </c>
      <c r="F7338">
        <v>0</v>
      </c>
      <c r="G7338">
        <v>0</v>
      </c>
      <c r="H7338">
        <f>_xlfn.XLOOKUP(FACT_IMPORTS[[#This Row],[hts_6]],DIM_PRODUCTS[hts_6],DIM_PRODUCTS[hts_4],,,)</f>
        <v>7007</v>
      </c>
      <c r="I7338" t="str" cm="1">
        <f t="array" ref="I7338">_xlfn.XLOOKUP(FACT_IMPORTS[[#This Row],[country_name]],DIM_COUNTRY[[#All],[Column2]],DIM_COUNTRY[[#All],[Column3]],,,)</f>
        <v>Major_Non-USMCA_Non-China</v>
      </c>
    </row>
    <row r="7339" spans="1:9" x14ac:dyDescent="0.4">
      <c r="A7339" t="s">
        <v>71</v>
      </c>
      <c r="B7339" s="1">
        <v>45170</v>
      </c>
      <c r="C7339">
        <v>700910</v>
      </c>
      <c r="D7339" t="s">
        <v>176</v>
      </c>
      <c r="E7339">
        <v>0</v>
      </c>
      <c r="F7339">
        <v>0</v>
      </c>
      <c r="G7339">
        <v>0</v>
      </c>
      <c r="H7339">
        <f>_xlfn.XLOOKUP(FACT_IMPORTS[[#This Row],[hts_6]],DIM_PRODUCTS[hts_6],DIM_PRODUCTS[hts_4],,,)</f>
        <v>7009</v>
      </c>
      <c r="I7339" t="str" cm="1">
        <f t="array" ref="I7339">_xlfn.XLOOKUP(FACT_IMPORTS[[#This Row],[country_name]],DIM_COUNTRY[[#All],[Column2]],DIM_COUNTRY[[#All],[Column3]],,,)</f>
        <v>Major_Non-USMCA_Non-China</v>
      </c>
    </row>
    <row r="7340" spans="1:9" x14ac:dyDescent="0.4">
      <c r="A7340" t="s">
        <v>71</v>
      </c>
      <c r="B7340" s="1">
        <v>45170</v>
      </c>
      <c r="C7340">
        <v>732010</v>
      </c>
      <c r="D7340" t="s">
        <v>176</v>
      </c>
      <c r="E7340">
        <v>0</v>
      </c>
      <c r="F7340">
        <v>0</v>
      </c>
      <c r="G7340">
        <v>0</v>
      </c>
      <c r="H7340">
        <f>_xlfn.XLOOKUP(FACT_IMPORTS[[#This Row],[hts_6]],DIM_PRODUCTS[hts_6],DIM_PRODUCTS[hts_4],,,)</f>
        <v>7320</v>
      </c>
      <c r="I7340" t="str" cm="1">
        <f t="array" ref="I7340">_xlfn.XLOOKUP(FACT_IMPORTS[[#This Row],[country_name]],DIM_COUNTRY[[#All],[Column2]],DIM_COUNTRY[[#All],[Column3]],,,)</f>
        <v>Major_Non-USMCA_Non-China</v>
      </c>
    </row>
    <row r="7341" spans="1:9" x14ac:dyDescent="0.4">
      <c r="A7341" t="s">
        <v>71</v>
      </c>
      <c r="B7341" s="1">
        <v>45170</v>
      </c>
      <c r="C7341">
        <v>830230</v>
      </c>
      <c r="D7341" t="s">
        <v>176</v>
      </c>
      <c r="E7341">
        <v>76913</v>
      </c>
      <c r="F7341">
        <v>16139</v>
      </c>
      <c r="G7341">
        <v>948</v>
      </c>
      <c r="H7341">
        <f>_xlfn.XLOOKUP(FACT_IMPORTS[[#This Row],[hts_6]],DIM_PRODUCTS[hts_6],DIM_PRODUCTS[hts_4],,,)</f>
        <v>8302</v>
      </c>
      <c r="I7341" t="str" cm="1">
        <f t="array" ref="I7341">_xlfn.XLOOKUP(FACT_IMPORTS[[#This Row],[country_name]],DIM_COUNTRY[[#All],[Column2]],DIM_COUNTRY[[#All],[Column3]],,,)</f>
        <v>Major_Non-USMCA_Non-China</v>
      </c>
    </row>
    <row r="7342" spans="1:9" x14ac:dyDescent="0.4">
      <c r="A7342" t="s">
        <v>71</v>
      </c>
      <c r="B7342" s="1">
        <v>45170</v>
      </c>
      <c r="C7342">
        <v>840734</v>
      </c>
      <c r="D7342" t="s">
        <v>176</v>
      </c>
      <c r="E7342">
        <v>59736</v>
      </c>
      <c r="F7342">
        <v>15</v>
      </c>
      <c r="G7342">
        <v>4071</v>
      </c>
      <c r="H7342">
        <f>_xlfn.XLOOKUP(FACT_IMPORTS[[#This Row],[hts_6]],DIM_PRODUCTS[hts_6],DIM_PRODUCTS[hts_4],,,)</f>
        <v>8407</v>
      </c>
      <c r="I7342" t="str" cm="1">
        <f t="array" ref="I7342">_xlfn.XLOOKUP(FACT_IMPORTS[[#This Row],[country_name]],DIM_COUNTRY[[#All],[Column2]],DIM_COUNTRY[[#All],[Column3]],,,)</f>
        <v>Major_Non-USMCA_Non-China</v>
      </c>
    </row>
    <row r="7343" spans="1:9" x14ac:dyDescent="0.4">
      <c r="A7343" t="s">
        <v>71</v>
      </c>
      <c r="B7343" s="1">
        <v>45170</v>
      </c>
      <c r="C7343">
        <v>840790</v>
      </c>
      <c r="D7343" t="s">
        <v>176</v>
      </c>
      <c r="E7343">
        <v>425507</v>
      </c>
      <c r="F7343">
        <v>102</v>
      </c>
      <c r="G7343">
        <v>150</v>
      </c>
      <c r="H7343">
        <f>_xlfn.XLOOKUP(FACT_IMPORTS[[#This Row],[hts_6]],DIM_PRODUCTS[hts_6],DIM_PRODUCTS[hts_4],,,)</f>
        <v>8407</v>
      </c>
      <c r="I7343" t="str" cm="1">
        <f t="array" ref="I7343">_xlfn.XLOOKUP(FACT_IMPORTS[[#This Row],[country_name]],DIM_COUNTRY[[#All],[Column2]],DIM_COUNTRY[[#All],[Column3]],,,)</f>
        <v>Major_Non-USMCA_Non-China</v>
      </c>
    </row>
    <row r="7344" spans="1:9" x14ac:dyDescent="0.4">
      <c r="A7344" t="s">
        <v>71</v>
      </c>
      <c r="B7344" s="1">
        <v>45170</v>
      </c>
      <c r="C7344">
        <v>840820</v>
      </c>
      <c r="D7344" t="s">
        <v>176</v>
      </c>
      <c r="E7344">
        <v>76913</v>
      </c>
      <c r="F7344">
        <v>2</v>
      </c>
      <c r="G7344">
        <v>208</v>
      </c>
      <c r="H7344">
        <f>_xlfn.XLOOKUP(FACT_IMPORTS[[#This Row],[hts_6]],DIM_PRODUCTS[hts_6],DIM_PRODUCTS[hts_4],,,)</f>
        <v>8408</v>
      </c>
      <c r="I7344" t="str" cm="1">
        <f t="array" ref="I7344">_xlfn.XLOOKUP(FACT_IMPORTS[[#This Row],[country_name]],DIM_COUNTRY[[#All],[Column2]],DIM_COUNTRY[[#All],[Column3]],,,)</f>
        <v>Major_Non-USMCA_Non-China</v>
      </c>
    </row>
    <row r="7345" spans="1:9" x14ac:dyDescent="0.4">
      <c r="A7345" t="s">
        <v>71</v>
      </c>
      <c r="B7345" s="1">
        <v>45170</v>
      </c>
      <c r="C7345">
        <v>840890</v>
      </c>
      <c r="D7345" t="s">
        <v>176</v>
      </c>
      <c r="E7345">
        <v>133413</v>
      </c>
      <c r="F7345">
        <v>4</v>
      </c>
      <c r="G7345">
        <v>447</v>
      </c>
      <c r="H7345">
        <f>_xlfn.XLOOKUP(FACT_IMPORTS[[#This Row],[hts_6]],DIM_PRODUCTS[hts_6],DIM_PRODUCTS[hts_4],,,)</f>
        <v>8408</v>
      </c>
      <c r="I7345" t="str" cm="1">
        <f t="array" ref="I7345">_xlfn.XLOOKUP(FACT_IMPORTS[[#This Row],[country_name]],DIM_COUNTRY[[#All],[Column2]],DIM_COUNTRY[[#All],[Column3]],,,)</f>
        <v>Major_Non-USMCA_Non-China</v>
      </c>
    </row>
    <row r="7346" spans="1:9" x14ac:dyDescent="0.4">
      <c r="A7346" t="s">
        <v>71</v>
      </c>
      <c r="B7346" s="1">
        <v>45170</v>
      </c>
      <c r="C7346">
        <v>840991</v>
      </c>
      <c r="D7346" t="s">
        <v>176</v>
      </c>
      <c r="E7346">
        <v>9240895</v>
      </c>
      <c r="F7346">
        <v>652993</v>
      </c>
      <c r="G7346">
        <v>256962</v>
      </c>
      <c r="H7346">
        <f>_xlfn.XLOOKUP(FACT_IMPORTS[[#This Row],[hts_6]],DIM_PRODUCTS[hts_6],DIM_PRODUCTS[hts_4],,,)</f>
        <v>8409</v>
      </c>
      <c r="I7346" t="str" cm="1">
        <f t="array" ref="I7346">_xlfn.XLOOKUP(FACT_IMPORTS[[#This Row],[country_name]],DIM_COUNTRY[[#All],[Column2]],DIM_COUNTRY[[#All],[Column3]],,,)</f>
        <v>Major_Non-USMCA_Non-China</v>
      </c>
    </row>
    <row r="7347" spans="1:9" x14ac:dyDescent="0.4">
      <c r="A7347" t="s">
        <v>71</v>
      </c>
      <c r="B7347" s="1">
        <v>45170</v>
      </c>
      <c r="C7347">
        <v>840999</v>
      </c>
      <c r="D7347" t="s">
        <v>176</v>
      </c>
      <c r="E7347">
        <v>4000</v>
      </c>
      <c r="F7347">
        <v>193</v>
      </c>
      <c r="G7347">
        <v>20</v>
      </c>
      <c r="H7347">
        <f>_xlfn.XLOOKUP(FACT_IMPORTS[[#This Row],[hts_6]],DIM_PRODUCTS[hts_6],DIM_PRODUCTS[hts_4],,,)</f>
        <v>8409</v>
      </c>
      <c r="I7347" t="str" cm="1">
        <f t="array" ref="I7347">_xlfn.XLOOKUP(FACT_IMPORTS[[#This Row],[country_name]],DIM_COUNTRY[[#All],[Column2]],DIM_COUNTRY[[#All],[Column3]],,,)</f>
        <v>Major_Non-USMCA_Non-China</v>
      </c>
    </row>
    <row r="7348" spans="1:9" x14ac:dyDescent="0.4">
      <c r="A7348" t="s">
        <v>71</v>
      </c>
      <c r="B7348" s="1">
        <v>45170</v>
      </c>
      <c r="C7348">
        <v>841330</v>
      </c>
      <c r="D7348" t="s">
        <v>176</v>
      </c>
      <c r="E7348">
        <v>171156</v>
      </c>
      <c r="F7348">
        <v>6931</v>
      </c>
      <c r="G7348">
        <v>4044</v>
      </c>
      <c r="H7348">
        <f>_xlfn.XLOOKUP(FACT_IMPORTS[[#This Row],[hts_6]],DIM_PRODUCTS[hts_6],DIM_PRODUCTS[hts_4],,,)</f>
        <v>8413</v>
      </c>
      <c r="I7348" t="str" cm="1">
        <f t="array" ref="I7348">_xlfn.XLOOKUP(FACT_IMPORTS[[#This Row],[country_name]],DIM_COUNTRY[[#All],[Column2]],DIM_COUNTRY[[#All],[Column3]],,,)</f>
        <v>Major_Non-USMCA_Non-China</v>
      </c>
    </row>
    <row r="7349" spans="1:9" x14ac:dyDescent="0.4">
      <c r="A7349" t="s">
        <v>71</v>
      </c>
      <c r="B7349" s="1">
        <v>45170</v>
      </c>
      <c r="C7349">
        <v>841520</v>
      </c>
      <c r="D7349" t="s">
        <v>176</v>
      </c>
      <c r="E7349">
        <v>0</v>
      </c>
      <c r="F7349">
        <v>0</v>
      </c>
      <c r="G7349">
        <v>0</v>
      </c>
      <c r="H7349">
        <f>_xlfn.XLOOKUP(FACT_IMPORTS[[#This Row],[hts_6]],DIM_PRODUCTS[hts_6],DIM_PRODUCTS[hts_4],,,)</f>
        <v>8415</v>
      </c>
      <c r="I7349" t="str" cm="1">
        <f t="array" ref="I7349">_xlfn.XLOOKUP(FACT_IMPORTS[[#This Row],[country_name]],DIM_COUNTRY[[#All],[Column2]],DIM_COUNTRY[[#All],[Column3]],,,)</f>
        <v>Major_Non-USMCA_Non-China</v>
      </c>
    </row>
    <row r="7350" spans="1:9" x14ac:dyDescent="0.4">
      <c r="A7350" t="s">
        <v>71</v>
      </c>
      <c r="B7350" s="1">
        <v>45170</v>
      </c>
      <c r="C7350">
        <v>842132</v>
      </c>
      <c r="D7350" t="s">
        <v>176</v>
      </c>
      <c r="E7350">
        <v>191338</v>
      </c>
      <c r="F7350">
        <v>23</v>
      </c>
      <c r="G7350">
        <v>509</v>
      </c>
      <c r="H7350">
        <f>_xlfn.XLOOKUP(FACT_IMPORTS[[#This Row],[hts_6]],DIM_PRODUCTS[hts_6],DIM_PRODUCTS[hts_4],,,)</f>
        <v>8421</v>
      </c>
      <c r="I7350" t="str" cm="1">
        <f t="array" ref="I7350">_xlfn.XLOOKUP(FACT_IMPORTS[[#This Row],[country_name]],DIM_COUNTRY[[#All],[Column2]],DIM_COUNTRY[[#All],[Column3]],,,)</f>
        <v>Major_Non-USMCA_Non-China</v>
      </c>
    </row>
    <row r="7351" spans="1:9" x14ac:dyDescent="0.4">
      <c r="A7351" t="s">
        <v>71</v>
      </c>
      <c r="B7351" s="1">
        <v>45170</v>
      </c>
      <c r="C7351">
        <v>848210</v>
      </c>
      <c r="D7351" t="s">
        <v>176</v>
      </c>
      <c r="E7351">
        <v>106827</v>
      </c>
      <c r="F7351">
        <v>11352</v>
      </c>
      <c r="G7351">
        <v>1330</v>
      </c>
      <c r="H7351">
        <f>_xlfn.XLOOKUP(FACT_IMPORTS[[#This Row],[hts_6]],DIM_PRODUCTS[hts_6],DIM_PRODUCTS[hts_4],,,)</f>
        <v>8482</v>
      </c>
      <c r="I7351" t="str" cm="1">
        <f t="array" ref="I7351">_xlfn.XLOOKUP(FACT_IMPORTS[[#This Row],[country_name]],DIM_COUNTRY[[#All],[Column2]],DIM_COUNTRY[[#All],[Column3]],,,)</f>
        <v>Major_Non-USMCA_Non-China</v>
      </c>
    </row>
    <row r="7352" spans="1:9" x14ac:dyDescent="0.4">
      <c r="A7352" t="s">
        <v>71</v>
      </c>
      <c r="B7352" s="1">
        <v>45170</v>
      </c>
      <c r="C7352">
        <v>848220</v>
      </c>
      <c r="D7352" t="s">
        <v>176</v>
      </c>
      <c r="E7352">
        <v>243783</v>
      </c>
      <c r="F7352">
        <v>13572</v>
      </c>
      <c r="G7352">
        <v>1894</v>
      </c>
      <c r="H7352">
        <f>_xlfn.XLOOKUP(FACT_IMPORTS[[#This Row],[hts_6]],DIM_PRODUCTS[hts_6],DIM_PRODUCTS[hts_4],,,)</f>
        <v>8482</v>
      </c>
      <c r="I7352" t="str" cm="1">
        <f t="array" ref="I7352">_xlfn.XLOOKUP(FACT_IMPORTS[[#This Row],[country_name]],DIM_COUNTRY[[#All],[Column2]],DIM_COUNTRY[[#All],[Column3]],,,)</f>
        <v>Major_Non-USMCA_Non-China</v>
      </c>
    </row>
    <row r="7353" spans="1:9" x14ac:dyDescent="0.4">
      <c r="A7353" t="s">
        <v>71</v>
      </c>
      <c r="B7353" s="1">
        <v>45170</v>
      </c>
      <c r="C7353">
        <v>848310</v>
      </c>
      <c r="D7353" t="s">
        <v>176</v>
      </c>
      <c r="E7353">
        <v>1126890</v>
      </c>
      <c r="F7353">
        <v>34256</v>
      </c>
      <c r="G7353">
        <v>84183</v>
      </c>
      <c r="H7353">
        <f>_xlfn.XLOOKUP(FACT_IMPORTS[[#This Row],[hts_6]],DIM_PRODUCTS[hts_6],DIM_PRODUCTS[hts_4],,,)</f>
        <v>8483</v>
      </c>
      <c r="I7353" t="str" cm="1">
        <f t="array" ref="I7353">_xlfn.XLOOKUP(FACT_IMPORTS[[#This Row],[country_name]],DIM_COUNTRY[[#All],[Column2]],DIM_COUNTRY[[#All],[Column3]],,,)</f>
        <v>Major_Non-USMCA_Non-China</v>
      </c>
    </row>
    <row r="7354" spans="1:9" x14ac:dyDescent="0.4">
      <c r="A7354" t="s">
        <v>71</v>
      </c>
      <c r="B7354" s="1">
        <v>45170</v>
      </c>
      <c r="C7354">
        <v>850131</v>
      </c>
      <c r="D7354" t="s">
        <v>176</v>
      </c>
      <c r="E7354">
        <v>3727332</v>
      </c>
      <c r="F7354">
        <v>102930</v>
      </c>
      <c r="G7354">
        <v>48464</v>
      </c>
      <c r="H7354">
        <f>_xlfn.XLOOKUP(FACT_IMPORTS[[#This Row],[hts_6]],DIM_PRODUCTS[hts_6],DIM_PRODUCTS[hts_4],,,)</f>
        <v>8501</v>
      </c>
      <c r="I7354" t="str" cm="1">
        <f t="array" ref="I7354">_xlfn.XLOOKUP(FACT_IMPORTS[[#This Row],[country_name]],DIM_COUNTRY[[#All],[Column2]],DIM_COUNTRY[[#All],[Column3]],,,)</f>
        <v>Major_Non-USMCA_Non-China</v>
      </c>
    </row>
    <row r="7355" spans="1:9" x14ac:dyDescent="0.4">
      <c r="A7355" t="s">
        <v>71</v>
      </c>
      <c r="B7355" s="1">
        <v>45170</v>
      </c>
      <c r="C7355">
        <v>850132</v>
      </c>
      <c r="D7355" t="s">
        <v>176</v>
      </c>
      <c r="E7355">
        <v>2878</v>
      </c>
      <c r="F7355">
        <v>1</v>
      </c>
      <c r="G7355">
        <v>71</v>
      </c>
      <c r="H7355">
        <f>_xlfn.XLOOKUP(FACT_IMPORTS[[#This Row],[hts_6]],DIM_PRODUCTS[hts_6],DIM_PRODUCTS[hts_4],,,)</f>
        <v>8501</v>
      </c>
      <c r="I7355" t="str" cm="1">
        <f t="array" ref="I7355">_xlfn.XLOOKUP(FACT_IMPORTS[[#This Row],[country_name]],DIM_COUNTRY[[#All],[Column2]],DIM_COUNTRY[[#All],[Column3]],,,)</f>
        <v>Major_Non-USMCA_Non-China</v>
      </c>
    </row>
    <row r="7356" spans="1:9" x14ac:dyDescent="0.4">
      <c r="A7356" t="s">
        <v>71</v>
      </c>
      <c r="B7356" s="1">
        <v>45170</v>
      </c>
      <c r="C7356">
        <v>850133</v>
      </c>
      <c r="D7356" t="s">
        <v>176</v>
      </c>
      <c r="E7356">
        <v>0</v>
      </c>
      <c r="F7356">
        <v>0</v>
      </c>
      <c r="G7356">
        <v>0</v>
      </c>
      <c r="H7356">
        <f>_xlfn.XLOOKUP(FACT_IMPORTS[[#This Row],[hts_6]],DIM_PRODUCTS[hts_6],DIM_PRODUCTS[hts_4],,,)</f>
        <v>8501</v>
      </c>
      <c r="I7356" t="str" cm="1">
        <f t="array" ref="I7356">_xlfn.XLOOKUP(FACT_IMPORTS[[#This Row],[country_name]],DIM_COUNTRY[[#All],[Column2]],DIM_COUNTRY[[#All],[Column3]],,,)</f>
        <v>Major_Non-USMCA_Non-China</v>
      </c>
    </row>
    <row r="7357" spans="1:9" x14ac:dyDescent="0.4">
      <c r="A7357" t="s">
        <v>71</v>
      </c>
      <c r="B7357" s="1">
        <v>45170</v>
      </c>
      <c r="C7357">
        <v>850152</v>
      </c>
      <c r="D7357" t="s">
        <v>176</v>
      </c>
      <c r="E7357">
        <v>514623</v>
      </c>
      <c r="F7357">
        <v>677</v>
      </c>
      <c r="G7357">
        <v>31575</v>
      </c>
      <c r="H7357">
        <f>_xlfn.XLOOKUP(FACT_IMPORTS[[#This Row],[hts_6]],DIM_PRODUCTS[hts_6],DIM_PRODUCTS[hts_4],,,)</f>
        <v>8501</v>
      </c>
      <c r="I7357" t="str" cm="1">
        <f t="array" ref="I7357">_xlfn.XLOOKUP(FACT_IMPORTS[[#This Row],[country_name]],DIM_COUNTRY[[#All],[Column2]],DIM_COUNTRY[[#All],[Column3]],,,)</f>
        <v>Major_Non-USMCA_Non-China</v>
      </c>
    </row>
    <row r="7358" spans="1:9" x14ac:dyDescent="0.4">
      <c r="A7358" t="s">
        <v>71</v>
      </c>
      <c r="B7358" s="1">
        <v>45170</v>
      </c>
      <c r="C7358">
        <v>850153</v>
      </c>
      <c r="D7358" t="s">
        <v>176</v>
      </c>
      <c r="E7358">
        <v>0</v>
      </c>
      <c r="F7358">
        <v>0</v>
      </c>
      <c r="G7358">
        <v>0</v>
      </c>
      <c r="H7358">
        <f>_xlfn.XLOOKUP(FACT_IMPORTS[[#This Row],[hts_6]],DIM_PRODUCTS[hts_6],DIM_PRODUCTS[hts_4],,,)</f>
        <v>8501</v>
      </c>
      <c r="I7358" t="str" cm="1">
        <f t="array" ref="I7358">_xlfn.XLOOKUP(FACT_IMPORTS[[#This Row],[country_name]],DIM_COUNTRY[[#All],[Column2]],DIM_COUNTRY[[#All],[Column3]],,,)</f>
        <v>Major_Non-USMCA_Non-China</v>
      </c>
    </row>
    <row r="7359" spans="1:9" x14ac:dyDescent="0.4">
      <c r="A7359" t="s">
        <v>71</v>
      </c>
      <c r="B7359" s="1">
        <v>45170</v>
      </c>
      <c r="C7359">
        <v>850161</v>
      </c>
      <c r="D7359" t="s">
        <v>176</v>
      </c>
      <c r="E7359">
        <v>0</v>
      </c>
      <c r="F7359">
        <v>0</v>
      </c>
      <c r="G7359">
        <v>0</v>
      </c>
      <c r="H7359">
        <f>_xlfn.XLOOKUP(FACT_IMPORTS[[#This Row],[hts_6]],DIM_PRODUCTS[hts_6],DIM_PRODUCTS[hts_4],,,)</f>
        <v>8501</v>
      </c>
      <c r="I7359" t="str" cm="1">
        <f t="array" ref="I7359">_xlfn.XLOOKUP(FACT_IMPORTS[[#This Row],[country_name]],DIM_COUNTRY[[#All],[Column2]],DIM_COUNTRY[[#All],[Column3]],,,)</f>
        <v>Major_Non-USMCA_Non-China</v>
      </c>
    </row>
    <row r="7360" spans="1:9" x14ac:dyDescent="0.4">
      <c r="A7360" t="s">
        <v>71</v>
      </c>
      <c r="B7360" s="1">
        <v>45170</v>
      </c>
      <c r="C7360">
        <v>850440</v>
      </c>
      <c r="D7360" t="s">
        <v>176</v>
      </c>
      <c r="E7360">
        <v>547608</v>
      </c>
      <c r="F7360">
        <v>622</v>
      </c>
      <c r="G7360">
        <v>21640</v>
      </c>
      <c r="H7360">
        <f>_xlfn.XLOOKUP(FACT_IMPORTS[[#This Row],[hts_6]],DIM_PRODUCTS[hts_6],DIM_PRODUCTS[hts_4],,,)</f>
        <v>8504</v>
      </c>
      <c r="I7360" t="str" cm="1">
        <f t="array" ref="I7360">_xlfn.XLOOKUP(FACT_IMPORTS[[#This Row],[country_name]],DIM_COUNTRY[[#All],[Column2]],DIM_COUNTRY[[#All],[Column3]],,,)</f>
        <v>Major_Non-USMCA_Non-China</v>
      </c>
    </row>
    <row r="7361" spans="1:9" x14ac:dyDescent="0.4">
      <c r="A7361" t="s">
        <v>71</v>
      </c>
      <c r="B7361" s="1">
        <v>45170</v>
      </c>
      <c r="C7361">
        <v>850760</v>
      </c>
      <c r="D7361" t="s">
        <v>176</v>
      </c>
      <c r="E7361">
        <v>79568</v>
      </c>
      <c r="F7361">
        <v>242</v>
      </c>
      <c r="G7361">
        <v>1120</v>
      </c>
      <c r="H7361">
        <f>_xlfn.XLOOKUP(FACT_IMPORTS[[#This Row],[hts_6]],DIM_PRODUCTS[hts_6],DIM_PRODUCTS[hts_4],,,)</f>
        <v>8507</v>
      </c>
      <c r="I7361" t="str" cm="1">
        <f t="array" ref="I7361">_xlfn.XLOOKUP(FACT_IMPORTS[[#This Row],[country_name]],DIM_COUNTRY[[#All],[Column2]],DIM_COUNTRY[[#All],[Column3]],,,)</f>
        <v>Major_Non-USMCA_Non-China</v>
      </c>
    </row>
    <row r="7362" spans="1:9" x14ac:dyDescent="0.4">
      <c r="A7362" t="s">
        <v>71</v>
      </c>
      <c r="B7362" s="1">
        <v>45170</v>
      </c>
      <c r="C7362">
        <v>850790</v>
      </c>
      <c r="D7362" t="s">
        <v>176</v>
      </c>
      <c r="E7362">
        <v>62270</v>
      </c>
      <c r="F7362">
        <v>2595</v>
      </c>
      <c r="G7362">
        <v>455</v>
      </c>
      <c r="H7362">
        <f>_xlfn.XLOOKUP(FACT_IMPORTS[[#This Row],[hts_6]],DIM_PRODUCTS[hts_6],DIM_PRODUCTS[hts_4],,,)</f>
        <v>8507</v>
      </c>
      <c r="I7362" t="str" cm="1">
        <f t="array" ref="I7362">_xlfn.XLOOKUP(FACT_IMPORTS[[#This Row],[country_name]],DIM_COUNTRY[[#All],[Column2]],DIM_COUNTRY[[#All],[Column3]],,,)</f>
        <v>Major_Non-USMCA_Non-China</v>
      </c>
    </row>
    <row r="7363" spans="1:9" x14ac:dyDescent="0.4">
      <c r="A7363" t="s">
        <v>71</v>
      </c>
      <c r="B7363" s="1">
        <v>45170</v>
      </c>
      <c r="C7363">
        <v>851110</v>
      </c>
      <c r="D7363" t="s">
        <v>176</v>
      </c>
      <c r="E7363">
        <v>64814</v>
      </c>
      <c r="F7363">
        <v>920</v>
      </c>
      <c r="G7363">
        <v>1141</v>
      </c>
      <c r="H7363">
        <f>_xlfn.XLOOKUP(FACT_IMPORTS[[#This Row],[hts_6]],DIM_PRODUCTS[hts_6],DIM_PRODUCTS[hts_4],,,)</f>
        <v>8511</v>
      </c>
      <c r="I7363" t="str" cm="1">
        <f t="array" ref="I7363">_xlfn.XLOOKUP(FACT_IMPORTS[[#This Row],[country_name]],DIM_COUNTRY[[#All],[Column2]],DIM_COUNTRY[[#All],[Column3]],,,)</f>
        <v>Major_Non-USMCA_Non-China</v>
      </c>
    </row>
    <row r="7364" spans="1:9" x14ac:dyDescent="0.4">
      <c r="A7364" t="s">
        <v>71</v>
      </c>
      <c r="B7364" s="1">
        <v>45170</v>
      </c>
      <c r="C7364">
        <v>851130</v>
      </c>
      <c r="D7364" t="s">
        <v>176</v>
      </c>
      <c r="E7364">
        <v>5824</v>
      </c>
      <c r="F7364">
        <v>1068</v>
      </c>
      <c r="G7364">
        <v>103</v>
      </c>
      <c r="H7364">
        <f>_xlfn.XLOOKUP(FACT_IMPORTS[[#This Row],[hts_6]],DIM_PRODUCTS[hts_6],DIM_PRODUCTS[hts_4],,,)</f>
        <v>8511</v>
      </c>
      <c r="I7364" t="str" cm="1">
        <f t="array" ref="I7364">_xlfn.XLOOKUP(FACT_IMPORTS[[#This Row],[country_name]],DIM_COUNTRY[[#All],[Column2]],DIM_COUNTRY[[#All],[Column3]],,,)</f>
        <v>Major_Non-USMCA_Non-China</v>
      </c>
    </row>
    <row r="7365" spans="1:9" x14ac:dyDescent="0.4">
      <c r="A7365" t="s">
        <v>71</v>
      </c>
      <c r="B7365" s="1">
        <v>45170</v>
      </c>
      <c r="C7365">
        <v>851140</v>
      </c>
      <c r="D7365" t="s">
        <v>176</v>
      </c>
      <c r="E7365">
        <v>22128</v>
      </c>
      <c r="F7365">
        <v>367</v>
      </c>
      <c r="G7365">
        <v>1325</v>
      </c>
      <c r="H7365">
        <f>_xlfn.XLOOKUP(FACT_IMPORTS[[#This Row],[hts_6]],DIM_PRODUCTS[hts_6],DIM_PRODUCTS[hts_4],,,)</f>
        <v>8511</v>
      </c>
      <c r="I7365" t="str" cm="1">
        <f t="array" ref="I7365">_xlfn.XLOOKUP(FACT_IMPORTS[[#This Row],[country_name]],DIM_COUNTRY[[#All],[Column2]],DIM_COUNTRY[[#All],[Column3]],,,)</f>
        <v>Major_Non-USMCA_Non-China</v>
      </c>
    </row>
    <row r="7366" spans="1:9" x14ac:dyDescent="0.4">
      <c r="A7366" t="s">
        <v>71</v>
      </c>
      <c r="B7366" s="1">
        <v>45170</v>
      </c>
      <c r="C7366">
        <v>851150</v>
      </c>
      <c r="D7366" t="s">
        <v>176</v>
      </c>
      <c r="E7366">
        <v>93211</v>
      </c>
      <c r="F7366">
        <v>270</v>
      </c>
      <c r="G7366">
        <v>212</v>
      </c>
      <c r="H7366">
        <f>_xlfn.XLOOKUP(FACT_IMPORTS[[#This Row],[hts_6]],DIM_PRODUCTS[hts_6],DIM_PRODUCTS[hts_4],,,)</f>
        <v>8511</v>
      </c>
      <c r="I7366" t="str" cm="1">
        <f t="array" ref="I7366">_xlfn.XLOOKUP(FACT_IMPORTS[[#This Row],[country_name]],DIM_COUNTRY[[#All],[Column2]],DIM_COUNTRY[[#All],[Column3]],,,)</f>
        <v>Major_Non-USMCA_Non-China</v>
      </c>
    </row>
    <row r="7367" spans="1:9" x14ac:dyDescent="0.4">
      <c r="A7367" t="s">
        <v>71</v>
      </c>
      <c r="B7367" s="1">
        <v>45170</v>
      </c>
      <c r="C7367">
        <v>851180</v>
      </c>
      <c r="D7367" t="s">
        <v>176</v>
      </c>
      <c r="E7367">
        <v>0</v>
      </c>
      <c r="F7367">
        <v>0</v>
      </c>
      <c r="G7367">
        <v>0</v>
      </c>
      <c r="H7367">
        <f>_xlfn.XLOOKUP(FACT_IMPORTS[[#This Row],[hts_6]],DIM_PRODUCTS[hts_6],DIM_PRODUCTS[hts_4],,,)</f>
        <v>8511</v>
      </c>
      <c r="I7367" t="str" cm="1">
        <f t="array" ref="I7367">_xlfn.XLOOKUP(FACT_IMPORTS[[#This Row],[country_name]],DIM_COUNTRY[[#All],[Column2]],DIM_COUNTRY[[#All],[Column3]],,,)</f>
        <v>Major_Non-USMCA_Non-China</v>
      </c>
    </row>
    <row r="7368" spans="1:9" x14ac:dyDescent="0.4">
      <c r="A7368" t="s">
        <v>71</v>
      </c>
      <c r="B7368" s="1">
        <v>45170</v>
      </c>
      <c r="C7368">
        <v>851190</v>
      </c>
      <c r="D7368" t="s">
        <v>176</v>
      </c>
      <c r="E7368">
        <v>3270</v>
      </c>
      <c r="F7368">
        <v>13</v>
      </c>
      <c r="G7368">
        <v>1</v>
      </c>
      <c r="H7368">
        <f>_xlfn.XLOOKUP(FACT_IMPORTS[[#This Row],[hts_6]],DIM_PRODUCTS[hts_6],DIM_PRODUCTS[hts_4],,,)</f>
        <v>8511</v>
      </c>
      <c r="I7368" t="str" cm="1">
        <f t="array" ref="I7368">_xlfn.XLOOKUP(FACT_IMPORTS[[#This Row],[country_name]],DIM_COUNTRY[[#All],[Column2]],DIM_COUNTRY[[#All],[Column3]],,,)</f>
        <v>Major_Non-USMCA_Non-China</v>
      </c>
    </row>
    <row r="7369" spans="1:9" x14ac:dyDescent="0.4">
      <c r="A7369" t="s">
        <v>71</v>
      </c>
      <c r="B7369" s="1">
        <v>45170</v>
      </c>
      <c r="C7369">
        <v>851220</v>
      </c>
      <c r="D7369" t="s">
        <v>176</v>
      </c>
      <c r="E7369">
        <v>0</v>
      </c>
      <c r="F7369">
        <v>0</v>
      </c>
      <c r="G7369">
        <v>0</v>
      </c>
      <c r="H7369">
        <f>_xlfn.XLOOKUP(FACT_IMPORTS[[#This Row],[hts_6]],DIM_PRODUCTS[hts_6],DIM_PRODUCTS[hts_4],,,)</f>
        <v>8512</v>
      </c>
      <c r="I7369" t="str" cm="1">
        <f t="array" ref="I7369">_xlfn.XLOOKUP(FACT_IMPORTS[[#This Row],[country_name]],DIM_COUNTRY[[#All],[Column2]],DIM_COUNTRY[[#All],[Column3]],,,)</f>
        <v>Major_Non-USMCA_Non-China</v>
      </c>
    </row>
    <row r="7370" spans="1:9" x14ac:dyDescent="0.4">
      <c r="A7370" t="s">
        <v>71</v>
      </c>
      <c r="B7370" s="1">
        <v>45170</v>
      </c>
      <c r="C7370">
        <v>851230</v>
      </c>
      <c r="D7370" t="s">
        <v>176</v>
      </c>
      <c r="E7370">
        <v>24300</v>
      </c>
      <c r="F7370">
        <v>1000</v>
      </c>
      <c r="G7370">
        <v>367</v>
      </c>
      <c r="H7370">
        <f>_xlfn.XLOOKUP(FACT_IMPORTS[[#This Row],[hts_6]],DIM_PRODUCTS[hts_6],DIM_PRODUCTS[hts_4],,,)</f>
        <v>8512</v>
      </c>
      <c r="I7370" t="str" cm="1">
        <f t="array" ref="I7370">_xlfn.XLOOKUP(FACT_IMPORTS[[#This Row],[country_name]],DIM_COUNTRY[[#All],[Column2]],DIM_COUNTRY[[#All],[Column3]],,,)</f>
        <v>Major_Non-USMCA_Non-China</v>
      </c>
    </row>
    <row r="7371" spans="1:9" x14ac:dyDescent="0.4">
      <c r="A7371" t="s">
        <v>71</v>
      </c>
      <c r="B7371" s="1">
        <v>45170</v>
      </c>
      <c r="C7371">
        <v>851290</v>
      </c>
      <c r="D7371" t="s">
        <v>176</v>
      </c>
      <c r="E7371">
        <v>14640</v>
      </c>
      <c r="F7371">
        <v>335</v>
      </c>
      <c r="G7371">
        <v>221</v>
      </c>
      <c r="H7371">
        <f>_xlfn.XLOOKUP(FACT_IMPORTS[[#This Row],[hts_6]],DIM_PRODUCTS[hts_6],DIM_PRODUCTS[hts_4],,,)</f>
        <v>8512</v>
      </c>
      <c r="I7371" t="str" cm="1">
        <f t="array" ref="I7371">_xlfn.XLOOKUP(FACT_IMPORTS[[#This Row],[country_name]],DIM_COUNTRY[[#All],[Column2]],DIM_COUNTRY[[#All],[Column3]],,,)</f>
        <v>Major_Non-USMCA_Non-China</v>
      </c>
    </row>
    <row r="7372" spans="1:9" x14ac:dyDescent="0.4">
      <c r="A7372" t="s">
        <v>71</v>
      </c>
      <c r="B7372" s="1">
        <v>45170</v>
      </c>
      <c r="C7372">
        <v>854231</v>
      </c>
      <c r="D7372" t="s">
        <v>176</v>
      </c>
      <c r="E7372">
        <v>182260</v>
      </c>
      <c r="F7372">
        <v>18804</v>
      </c>
      <c r="G7372">
        <v>2438</v>
      </c>
      <c r="H7372">
        <f>_xlfn.XLOOKUP(FACT_IMPORTS[[#This Row],[hts_6]],DIM_PRODUCTS[hts_6],DIM_PRODUCTS[hts_4],,,)</f>
        <v>8542</v>
      </c>
      <c r="I7372" t="str" cm="1">
        <f t="array" ref="I7372">_xlfn.XLOOKUP(FACT_IMPORTS[[#This Row],[country_name]],DIM_COUNTRY[[#All],[Column2]],DIM_COUNTRY[[#All],[Column3]],,,)</f>
        <v>Major_Non-USMCA_Non-China</v>
      </c>
    </row>
    <row r="7373" spans="1:9" x14ac:dyDescent="0.4">
      <c r="A7373" t="s">
        <v>71</v>
      </c>
      <c r="B7373" s="1">
        <v>45170</v>
      </c>
      <c r="C7373">
        <v>854232</v>
      </c>
      <c r="D7373" t="s">
        <v>176</v>
      </c>
      <c r="E7373">
        <v>0</v>
      </c>
      <c r="F7373">
        <v>0</v>
      </c>
      <c r="G7373">
        <v>0</v>
      </c>
      <c r="H7373">
        <f>_xlfn.XLOOKUP(FACT_IMPORTS[[#This Row],[hts_6]],DIM_PRODUCTS[hts_6],DIM_PRODUCTS[hts_4],,,)</f>
        <v>8542</v>
      </c>
      <c r="I7373" t="str" cm="1">
        <f t="array" ref="I7373">_xlfn.XLOOKUP(FACT_IMPORTS[[#This Row],[country_name]],DIM_COUNTRY[[#All],[Column2]],DIM_COUNTRY[[#All],[Column3]],,,)</f>
        <v>Major_Non-USMCA_Non-China</v>
      </c>
    </row>
    <row r="7374" spans="1:9" x14ac:dyDescent="0.4">
      <c r="A7374" t="s">
        <v>71</v>
      </c>
      <c r="B7374" s="1">
        <v>45170</v>
      </c>
      <c r="C7374">
        <v>854233</v>
      </c>
      <c r="D7374" t="s">
        <v>176</v>
      </c>
      <c r="E7374">
        <v>0</v>
      </c>
      <c r="F7374">
        <v>0</v>
      </c>
      <c r="G7374">
        <v>0</v>
      </c>
      <c r="H7374">
        <f>_xlfn.XLOOKUP(FACT_IMPORTS[[#This Row],[hts_6]],DIM_PRODUCTS[hts_6],DIM_PRODUCTS[hts_4],,,)</f>
        <v>8542</v>
      </c>
      <c r="I7374" t="str" cm="1">
        <f t="array" ref="I7374">_xlfn.XLOOKUP(FACT_IMPORTS[[#This Row],[country_name]],DIM_COUNTRY[[#All],[Column2]],DIM_COUNTRY[[#All],[Column3]],,,)</f>
        <v>Major_Non-USMCA_Non-China</v>
      </c>
    </row>
    <row r="7375" spans="1:9" x14ac:dyDescent="0.4">
      <c r="A7375" t="s">
        <v>71</v>
      </c>
      <c r="B7375" s="1">
        <v>45170</v>
      </c>
      <c r="C7375">
        <v>854239</v>
      </c>
      <c r="D7375" t="s">
        <v>176</v>
      </c>
      <c r="E7375">
        <v>0</v>
      </c>
      <c r="F7375">
        <v>0</v>
      </c>
      <c r="G7375">
        <v>0</v>
      </c>
      <c r="H7375">
        <f>_xlfn.XLOOKUP(FACT_IMPORTS[[#This Row],[hts_6]],DIM_PRODUCTS[hts_6],DIM_PRODUCTS[hts_4],,,)</f>
        <v>8542</v>
      </c>
      <c r="I7375" t="str" cm="1">
        <f t="array" ref="I7375">_xlfn.XLOOKUP(FACT_IMPORTS[[#This Row],[country_name]],DIM_COUNTRY[[#All],[Column2]],DIM_COUNTRY[[#All],[Column3]],,,)</f>
        <v>Major_Non-USMCA_Non-China</v>
      </c>
    </row>
    <row r="7376" spans="1:9" x14ac:dyDescent="0.4">
      <c r="A7376" t="s">
        <v>71</v>
      </c>
      <c r="B7376" s="1">
        <v>45170</v>
      </c>
      <c r="C7376">
        <v>854430</v>
      </c>
      <c r="D7376" t="s">
        <v>176</v>
      </c>
      <c r="E7376">
        <v>5934</v>
      </c>
      <c r="F7376">
        <v>2</v>
      </c>
      <c r="G7376">
        <v>9</v>
      </c>
      <c r="H7376">
        <f>_xlfn.XLOOKUP(FACT_IMPORTS[[#This Row],[hts_6]],DIM_PRODUCTS[hts_6],DIM_PRODUCTS[hts_4],,,)</f>
        <v>8544</v>
      </c>
      <c r="I7376" t="str" cm="1">
        <f t="array" ref="I7376">_xlfn.XLOOKUP(FACT_IMPORTS[[#This Row],[country_name]],DIM_COUNTRY[[#All],[Column2]],DIM_COUNTRY[[#All],[Column3]],,,)</f>
        <v>Major_Non-USMCA_Non-China</v>
      </c>
    </row>
    <row r="7377" spans="1:9" x14ac:dyDescent="0.4">
      <c r="A7377" t="s">
        <v>71</v>
      </c>
      <c r="B7377" s="1">
        <v>45170</v>
      </c>
      <c r="C7377">
        <v>870710</v>
      </c>
      <c r="D7377" t="s">
        <v>176</v>
      </c>
      <c r="E7377">
        <v>0</v>
      </c>
      <c r="F7377">
        <v>0</v>
      </c>
      <c r="G7377">
        <v>0</v>
      </c>
      <c r="H7377">
        <f>_xlfn.XLOOKUP(FACT_IMPORTS[[#This Row],[hts_6]],DIM_PRODUCTS[hts_6],DIM_PRODUCTS[hts_4],,,)</f>
        <v>8707</v>
      </c>
      <c r="I7377" t="str" cm="1">
        <f t="array" ref="I7377">_xlfn.XLOOKUP(FACT_IMPORTS[[#This Row],[country_name]],DIM_COUNTRY[[#All],[Column2]],DIM_COUNTRY[[#All],[Column3]],,,)</f>
        <v>Major_Non-USMCA_Non-China</v>
      </c>
    </row>
    <row r="7378" spans="1:9" x14ac:dyDescent="0.4">
      <c r="A7378" t="s">
        <v>71</v>
      </c>
      <c r="B7378" s="1">
        <v>45170</v>
      </c>
      <c r="C7378">
        <v>870790</v>
      </c>
      <c r="D7378" t="s">
        <v>176</v>
      </c>
      <c r="E7378">
        <v>0</v>
      </c>
      <c r="F7378">
        <v>0</v>
      </c>
      <c r="G7378">
        <v>0</v>
      </c>
      <c r="H7378">
        <f>_xlfn.XLOOKUP(FACT_IMPORTS[[#This Row],[hts_6]],DIM_PRODUCTS[hts_6],DIM_PRODUCTS[hts_4],,,)</f>
        <v>8707</v>
      </c>
      <c r="I7378" t="str" cm="1">
        <f t="array" ref="I7378">_xlfn.XLOOKUP(FACT_IMPORTS[[#This Row],[country_name]],DIM_COUNTRY[[#All],[Column2]],DIM_COUNTRY[[#All],[Column3]],,,)</f>
        <v>Major_Non-USMCA_Non-China</v>
      </c>
    </row>
    <row r="7379" spans="1:9" x14ac:dyDescent="0.4">
      <c r="A7379" t="s">
        <v>71</v>
      </c>
      <c r="B7379" s="1">
        <v>45170</v>
      </c>
      <c r="C7379">
        <v>870810</v>
      </c>
      <c r="D7379" t="s">
        <v>176</v>
      </c>
      <c r="E7379">
        <v>0</v>
      </c>
      <c r="F7379">
        <v>0</v>
      </c>
      <c r="G7379">
        <v>0</v>
      </c>
      <c r="H7379">
        <f>_xlfn.XLOOKUP(FACT_IMPORTS[[#This Row],[hts_6]],DIM_PRODUCTS[hts_6],DIM_PRODUCTS[hts_4],,,)</f>
        <v>8708</v>
      </c>
      <c r="I7379" t="str" cm="1">
        <f t="array" ref="I7379">_xlfn.XLOOKUP(FACT_IMPORTS[[#This Row],[country_name]],DIM_COUNTRY[[#All],[Column2]],DIM_COUNTRY[[#All],[Column3]],,,)</f>
        <v>Major_Non-USMCA_Non-China</v>
      </c>
    </row>
    <row r="7380" spans="1:9" x14ac:dyDescent="0.4">
      <c r="A7380" t="s">
        <v>71</v>
      </c>
      <c r="B7380" s="1">
        <v>45170</v>
      </c>
      <c r="C7380">
        <v>870829</v>
      </c>
      <c r="D7380" t="s">
        <v>176</v>
      </c>
      <c r="E7380">
        <v>4270997</v>
      </c>
      <c r="F7380">
        <v>454058</v>
      </c>
      <c r="G7380">
        <v>50388</v>
      </c>
      <c r="H7380">
        <f>_xlfn.XLOOKUP(FACT_IMPORTS[[#This Row],[hts_6]],DIM_PRODUCTS[hts_6],DIM_PRODUCTS[hts_4],,,)</f>
        <v>8708</v>
      </c>
      <c r="I7380" t="str" cm="1">
        <f t="array" ref="I7380">_xlfn.XLOOKUP(FACT_IMPORTS[[#This Row],[country_name]],DIM_COUNTRY[[#All],[Column2]],DIM_COUNTRY[[#All],[Column3]],,,)</f>
        <v>Major_Non-USMCA_Non-China</v>
      </c>
    </row>
    <row r="7381" spans="1:9" x14ac:dyDescent="0.4">
      <c r="A7381" t="s">
        <v>71</v>
      </c>
      <c r="B7381" s="1">
        <v>45170</v>
      </c>
      <c r="C7381">
        <v>870830</v>
      </c>
      <c r="D7381" t="s">
        <v>176</v>
      </c>
      <c r="E7381">
        <v>0</v>
      </c>
      <c r="F7381">
        <v>0</v>
      </c>
      <c r="G7381">
        <v>0</v>
      </c>
      <c r="H7381">
        <f>_xlfn.XLOOKUP(FACT_IMPORTS[[#This Row],[hts_6]],DIM_PRODUCTS[hts_6],DIM_PRODUCTS[hts_4],,,)</f>
        <v>8708</v>
      </c>
      <c r="I7381" t="str" cm="1">
        <f t="array" ref="I7381">_xlfn.XLOOKUP(FACT_IMPORTS[[#This Row],[country_name]],DIM_COUNTRY[[#All],[Column2]],DIM_COUNTRY[[#All],[Column3]],,,)</f>
        <v>Major_Non-USMCA_Non-China</v>
      </c>
    </row>
    <row r="7382" spans="1:9" x14ac:dyDescent="0.4">
      <c r="A7382" t="s">
        <v>71</v>
      </c>
      <c r="B7382" s="1">
        <v>45170</v>
      </c>
      <c r="C7382">
        <v>870840</v>
      </c>
      <c r="D7382" t="s">
        <v>176</v>
      </c>
      <c r="E7382">
        <v>1512721</v>
      </c>
      <c r="F7382">
        <v>13765</v>
      </c>
      <c r="G7382">
        <v>19372</v>
      </c>
      <c r="H7382">
        <f>_xlfn.XLOOKUP(FACT_IMPORTS[[#This Row],[hts_6]],DIM_PRODUCTS[hts_6],DIM_PRODUCTS[hts_4],,,)</f>
        <v>8708</v>
      </c>
      <c r="I7382" t="str" cm="1">
        <f t="array" ref="I7382">_xlfn.XLOOKUP(FACT_IMPORTS[[#This Row],[country_name]],DIM_COUNTRY[[#All],[Column2]],DIM_COUNTRY[[#All],[Column3]],,,)</f>
        <v>Major_Non-USMCA_Non-China</v>
      </c>
    </row>
    <row r="7383" spans="1:9" x14ac:dyDescent="0.4">
      <c r="A7383" t="s">
        <v>71</v>
      </c>
      <c r="B7383" s="1">
        <v>45170</v>
      </c>
      <c r="C7383">
        <v>870850</v>
      </c>
      <c r="D7383" t="s">
        <v>176</v>
      </c>
      <c r="E7383">
        <v>0</v>
      </c>
      <c r="F7383">
        <v>0</v>
      </c>
      <c r="G7383">
        <v>0</v>
      </c>
      <c r="H7383">
        <f>_xlfn.XLOOKUP(FACT_IMPORTS[[#This Row],[hts_6]],DIM_PRODUCTS[hts_6],DIM_PRODUCTS[hts_4],,,)</f>
        <v>8708</v>
      </c>
      <c r="I7383" t="str" cm="1">
        <f t="array" ref="I7383">_xlfn.XLOOKUP(FACT_IMPORTS[[#This Row],[country_name]],DIM_COUNTRY[[#All],[Column2]],DIM_COUNTRY[[#All],[Column3]],,,)</f>
        <v>Major_Non-USMCA_Non-China</v>
      </c>
    </row>
    <row r="7384" spans="1:9" x14ac:dyDescent="0.4">
      <c r="A7384" t="s">
        <v>71</v>
      </c>
      <c r="B7384" s="1">
        <v>45170</v>
      </c>
      <c r="C7384">
        <v>870870</v>
      </c>
      <c r="D7384" t="s">
        <v>176</v>
      </c>
      <c r="E7384">
        <v>0</v>
      </c>
      <c r="F7384">
        <v>0</v>
      </c>
      <c r="G7384">
        <v>0</v>
      </c>
      <c r="H7384">
        <f>_xlfn.XLOOKUP(FACT_IMPORTS[[#This Row],[hts_6]],DIM_PRODUCTS[hts_6],DIM_PRODUCTS[hts_4],,,)</f>
        <v>8708</v>
      </c>
      <c r="I7384" t="str" cm="1">
        <f t="array" ref="I7384">_xlfn.XLOOKUP(FACT_IMPORTS[[#This Row],[country_name]],DIM_COUNTRY[[#All],[Column2]],DIM_COUNTRY[[#All],[Column3]],,,)</f>
        <v>Major_Non-USMCA_Non-China</v>
      </c>
    </row>
    <row r="7385" spans="1:9" x14ac:dyDescent="0.4">
      <c r="A7385" t="s">
        <v>71</v>
      </c>
      <c r="B7385" s="1">
        <v>45170</v>
      </c>
      <c r="C7385">
        <v>870880</v>
      </c>
      <c r="D7385" t="s">
        <v>176</v>
      </c>
      <c r="E7385">
        <v>165794</v>
      </c>
      <c r="F7385">
        <v>3867</v>
      </c>
      <c r="G7385">
        <v>14100</v>
      </c>
      <c r="H7385">
        <f>_xlfn.XLOOKUP(FACT_IMPORTS[[#This Row],[hts_6]],DIM_PRODUCTS[hts_6],DIM_PRODUCTS[hts_4],,,)</f>
        <v>8708</v>
      </c>
      <c r="I7385" t="str" cm="1">
        <f t="array" ref="I7385">_xlfn.XLOOKUP(FACT_IMPORTS[[#This Row],[country_name]],DIM_COUNTRY[[#All],[Column2]],DIM_COUNTRY[[#All],[Column3]],,,)</f>
        <v>Major_Non-USMCA_Non-China</v>
      </c>
    </row>
    <row r="7386" spans="1:9" x14ac:dyDescent="0.4">
      <c r="A7386" t="s">
        <v>71</v>
      </c>
      <c r="B7386" s="1">
        <v>45170</v>
      </c>
      <c r="C7386">
        <v>870891</v>
      </c>
      <c r="D7386" t="s">
        <v>176</v>
      </c>
      <c r="E7386">
        <v>291703</v>
      </c>
      <c r="F7386">
        <v>174793</v>
      </c>
      <c r="G7386">
        <v>3793</v>
      </c>
      <c r="H7386">
        <f>_xlfn.XLOOKUP(FACT_IMPORTS[[#This Row],[hts_6]],DIM_PRODUCTS[hts_6],DIM_PRODUCTS[hts_4],,,)</f>
        <v>8708</v>
      </c>
      <c r="I7386" t="str" cm="1">
        <f t="array" ref="I7386">_xlfn.XLOOKUP(FACT_IMPORTS[[#This Row],[country_name]],DIM_COUNTRY[[#All],[Column2]],DIM_COUNTRY[[#All],[Column3]],,,)</f>
        <v>Major_Non-USMCA_Non-China</v>
      </c>
    </row>
    <row r="7387" spans="1:9" x14ac:dyDescent="0.4">
      <c r="A7387" t="s">
        <v>71</v>
      </c>
      <c r="B7387" s="1">
        <v>45170</v>
      </c>
      <c r="C7387">
        <v>870892</v>
      </c>
      <c r="D7387" t="s">
        <v>176</v>
      </c>
      <c r="E7387">
        <v>3392</v>
      </c>
      <c r="F7387">
        <v>2</v>
      </c>
      <c r="G7387">
        <v>70</v>
      </c>
      <c r="H7387">
        <f>_xlfn.XLOOKUP(FACT_IMPORTS[[#This Row],[hts_6]],DIM_PRODUCTS[hts_6],DIM_PRODUCTS[hts_4],,,)</f>
        <v>8708</v>
      </c>
      <c r="I7387" t="str" cm="1">
        <f t="array" ref="I7387">_xlfn.XLOOKUP(FACT_IMPORTS[[#This Row],[country_name]],DIM_COUNTRY[[#All],[Column2]],DIM_COUNTRY[[#All],[Column3]],,,)</f>
        <v>Major_Non-USMCA_Non-China</v>
      </c>
    </row>
    <row r="7388" spans="1:9" x14ac:dyDescent="0.4">
      <c r="A7388" t="s">
        <v>71</v>
      </c>
      <c r="B7388" s="1">
        <v>45170</v>
      </c>
      <c r="C7388">
        <v>870893</v>
      </c>
      <c r="D7388" t="s">
        <v>176</v>
      </c>
      <c r="E7388">
        <v>143516</v>
      </c>
      <c r="F7388">
        <v>32394</v>
      </c>
      <c r="G7388">
        <v>7609</v>
      </c>
      <c r="H7388">
        <f>_xlfn.XLOOKUP(FACT_IMPORTS[[#This Row],[hts_6]],DIM_PRODUCTS[hts_6],DIM_PRODUCTS[hts_4],,,)</f>
        <v>8708</v>
      </c>
      <c r="I7388" t="str" cm="1">
        <f t="array" ref="I7388">_xlfn.XLOOKUP(FACT_IMPORTS[[#This Row],[country_name]],DIM_COUNTRY[[#All],[Column2]],DIM_COUNTRY[[#All],[Column3]],,,)</f>
        <v>Major_Non-USMCA_Non-China</v>
      </c>
    </row>
    <row r="7389" spans="1:9" x14ac:dyDescent="0.4">
      <c r="A7389" t="s">
        <v>71</v>
      </c>
      <c r="B7389" s="1">
        <v>45170</v>
      </c>
      <c r="C7389">
        <v>870894</v>
      </c>
      <c r="D7389" t="s">
        <v>176</v>
      </c>
      <c r="E7389">
        <v>121985</v>
      </c>
      <c r="F7389">
        <v>5462</v>
      </c>
      <c r="G7389">
        <v>36457</v>
      </c>
      <c r="H7389">
        <f>_xlfn.XLOOKUP(FACT_IMPORTS[[#This Row],[hts_6]],DIM_PRODUCTS[hts_6],DIM_PRODUCTS[hts_4],,,)</f>
        <v>8708</v>
      </c>
      <c r="I7389" t="str" cm="1">
        <f t="array" ref="I7389">_xlfn.XLOOKUP(FACT_IMPORTS[[#This Row],[country_name]],DIM_COUNTRY[[#All],[Column2]],DIM_COUNTRY[[#All],[Column3]],,,)</f>
        <v>Major_Non-USMCA_Non-China</v>
      </c>
    </row>
    <row r="7390" spans="1:9" x14ac:dyDescent="0.4">
      <c r="A7390" t="s">
        <v>71</v>
      </c>
      <c r="B7390" s="1">
        <v>45170</v>
      </c>
      <c r="C7390">
        <v>870895</v>
      </c>
      <c r="D7390" t="s">
        <v>176</v>
      </c>
      <c r="E7390">
        <v>43754</v>
      </c>
      <c r="F7390">
        <v>2948</v>
      </c>
      <c r="G7390">
        <v>538</v>
      </c>
      <c r="H7390">
        <f>_xlfn.XLOOKUP(FACT_IMPORTS[[#This Row],[hts_6]],DIM_PRODUCTS[hts_6],DIM_PRODUCTS[hts_4],,,)</f>
        <v>8708</v>
      </c>
      <c r="I7390" t="str" cm="1">
        <f t="array" ref="I7390">_xlfn.XLOOKUP(FACT_IMPORTS[[#This Row],[country_name]],DIM_COUNTRY[[#All],[Column2]],DIM_COUNTRY[[#All],[Column3]],,,)</f>
        <v>Major_Non-USMCA_Non-China</v>
      </c>
    </row>
    <row r="7391" spans="1:9" x14ac:dyDescent="0.4">
      <c r="A7391" t="s">
        <v>71</v>
      </c>
      <c r="B7391" s="1">
        <v>45170</v>
      </c>
      <c r="C7391">
        <v>870899</v>
      </c>
      <c r="D7391" t="s">
        <v>176</v>
      </c>
      <c r="E7391">
        <v>2193992</v>
      </c>
      <c r="F7391">
        <v>1692661</v>
      </c>
      <c r="G7391">
        <v>42754</v>
      </c>
      <c r="H7391">
        <f>_xlfn.XLOOKUP(FACT_IMPORTS[[#This Row],[hts_6]],DIM_PRODUCTS[hts_6],DIM_PRODUCTS[hts_4],,,)</f>
        <v>8708</v>
      </c>
      <c r="I7391" t="str" cm="1">
        <f t="array" ref="I7391">_xlfn.XLOOKUP(FACT_IMPORTS[[#This Row],[country_name]],DIM_COUNTRY[[#All],[Column2]],DIM_COUNTRY[[#All],[Column3]],,,)</f>
        <v>Major_Non-USMCA_Non-China</v>
      </c>
    </row>
    <row r="7392" spans="1:9" x14ac:dyDescent="0.4">
      <c r="A7392" t="s">
        <v>71</v>
      </c>
      <c r="B7392" s="1">
        <v>45170</v>
      </c>
      <c r="C7392">
        <v>940120</v>
      </c>
      <c r="D7392" t="s">
        <v>176</v>
      </c>
      <c r="E7392">
        <v>0</v>
      </c>
      <c r="F7392">
        <v>0</v>
      </c>
      <c r="G7392">
        <v>0</v>
      </c>
      <c r="H7392">
        <f>_xlfn.XLOOKUP(FACT_IMPORTS[[#This Row],[hts_6]],DIM_PRODUCTS[hts_6],DIM_PRODUCTS[hts_4],,,)</f>
        <v>9401</v>
      </c>
      <c r="I7392" t="str" cm="1">
        <f t="array" ref="I7392">_xlfn.XLOOKUP(FACT_IMPORTS[[#This Row],[country_name]],DIM_COUNTRY[[#All],[Column2]],DIM_COUNTRY[[#All],[Column3]],,,)</f>
        <v>Major_Non-USMCA_Non-China</v>
      </c>
    </row>
    <row r="7393" spans="1:9" x14ac:dyDescent="0.4">
      <c r="A7393" t="s">
        <v>71</v>
      </c>
      <c r="B7393" s="1">
        <v>45200</v>
      </c>
      <c r="C7393">
        <v>392630</v>
      </c>
      <c r="D7393" t="s">
        <v>176</v>
      </c>
      <c r="E7393">
        <v>1712</v>
      </c>
      <c r="F7393">
        <v>149</v>
      </c>
      <c r="G7393">
        <v>73</v>
      </c>
      <c r="H7393">
        <f>_xlfn.XLOOKUP(FACT_IMPORTS[[#This Row],[hts_6]],DIM_PRODUCTS[hts_6],DIM_PRODUCTS[hts_4],,,)</f>
        <v>3926</v>
      </c>
      <c r="I7393" t="str" cm="1">
        <f t="array" ref="I7393">_xlfn.XLOOKUP(FACT_IMPORTS[[#This Row],[country_name]],DIM_COUNTRY[[#All],[Column2]],DIM_COUNTRY[[#All],[Column3]],,,)</f>
        <v>Major_Non-USMCA_Non-China</v>
      </c>
    </row>
    <row r="7394" spans="1:9" x14ac:dyDescent="0.4">
      <c r="A7394" t="s">
        <v>71</v>
      </c>
      <c r="B7394" s="1">
        <v>45200</v>
      </c>
      <c r="C7394">
        <v>401110</v>
      </c>
      <c r="D7394" t="s">
        <v>176</v>
      </c>
      <c r="E7394">
        <v>167551</v>
      </c>
      <c r="F7394">
        <v>1377</v>
      </c>
      <c r="G7394">
        <v>5392</v>
      </c>
      <c r="H7394">
        <f>_xlfn.XLOOKUP(FACT_IMPORTS[[#This Row],[hts_6]],DIM_PRODUCTS[hts_6],DIM_PRODUCTS[hts_4],,,)</f>
        <v>4011</v>
      </c>
      <c r="I7394" t="str" cm="1">
        <f t="array" ref="I7394">_xlfn.XLOOKUP(FACT_IMPORTS[[#This Row],[country_name]],DIM_COUNTRY[[#All],[Column2]],DIM_COUNTRY[[#All],[Column3]],,,)</f>
        <v>Major_Non-USMCA_Non-China</v>
      </c>
    </row>
    <row r="7395" spans="1:9" x14ac:dyDescent="0.4">
      <c r="A7395" t="s">
        <v>71</v>
      </c>
      <c r="B7395" s="1">
        <v>45200</v>
      </c>
      <c r="C7395">
        <v>401120</v>
      </c>
      <c r="D7395" t="s">
        <v>176</v>
      </c>
      <c r="E7395">
        <v>239306</v>
      </c>
      <c r="F7395">
        <v>1105</v>
      </c>
      <c r="G7395">
        <v>11554</v>
      </c>
      <c r="H7395">
        <f>_xlfn.XLOOKUP(FACT_IMPORTS[[#This Row],[hts_6]],DIM_PRODUCTS[hts_6],DIM_PRODUCTS[hts_4],,,)</f>
        <v>4011</v>
      </c>
      <c r="I7395" t="str" cm="1">
        <f t="array" ref="I7395">_xlfn.XLOOKUP(FACT_IMPORTS[[#This Row],[country_name]],DIM_COUNTRY[[#All],[Column2]],DIM_COUNTRY[[#All],[Column3]],,,)</f>
        <v>Major_Non-USMCA_Non-China</v>
      </c>
    </row>
    <row r="7396" spans="1:9" x14ac:dyDescent="0.4">
      <c r="A7396" t="s">
        <v>71</v>
      </c>
      <c r="B7396" s="1">
        <v>45200</v>
      </c>
      <c r="C7396">
        <v>401140</v>
      </c>
      <c r="D7396" t="s">
        <v>176</v>
      </c>
      <c r="E7396">
        <v>0</v>
      </c>
      <c r="F7396">
        <v>0</v>
      </c>
      <c r="G7396">
        <v>0</v>
      </c>
      <c r="H7396">
        <f>_xlfn.XLOOKUP(FACT_IMPORTS[[#This Row],[hts_6]],DIM_PRODUCTS[hts_6],DIM_PRODUCTS[hts_4],,,)</f>
        <v>4011</v>
      </c>
      <c r="I7396" t="str" cm="1">
        <f t="array" ref="I7396">_xlfn.XLOOKUP(FACT_IMPORTS[[#This Row],[country_name]],DIM_COUNTRY[[#All],[Column2]],DIM_COUNTRY[[#All],[Column3]],,,)</f>
        <v>Major_Non-USMCA_Non-China</v>
      </c>
    </row>
    <row r="7397" spans="1:9" x14ac:dyDescent="0.4">
      <c r="A7397" t="s">
        <v>71</v>
      </c>
      <c r="B7397" s="1">
        <v>45200</v>
      </c>
      <c r="C7397">
        <v>700721</v>
      </c>
      <c r="D7397" t="s">
        <v>176</v>
      </c>
      <c r="E7397">
        <v>0</v>
      </c>
      <c r="F7397">
        <v>0</v>
      </c>
      <c r="G7397">
        <v>0</v>
      </c>
      <c r="H7397">
        <f>_xlfn.XLOOKUP(FACT_IMPORTS[[#This Row],[hts_6]],DIM_PRODUCTS[hts_6],DIM_PRODUCTS[hts_4],,,)</f>
        <v>7007</v>
      </c>
      <c r="I7397" t="str" cm="1">
        <f t="array" ref="I7397">_xlfn.XLOOKUP(FACT_IMPORTS[[#This Row],[country_name]],DIM_COUNTRY[[#All],[Column2]],DIM_COUNTRY[[#All],[Column3]],,,)</f>
        <v>Major_Non-USMCA_Non-China</v>
      </c>
    </row>
    <row r="7398" spans="1:9" x14ac:dyDescent="0.4">
      <c r="A7398" t="s">
        <v>71</v>
      </c>
      <c r="B7398" s="1">
        <v>45200</v>
      </c>
      <c r="C7398">
        <v>700910</v>
      </c>
      <c r="D7398" t="s">
        <v>176</v>
      </c>
      <c r="E7398">
        <v>0</v>
      </c>
      <c r="F7398">
        <v>0</v>
      </c>
      <c r="G7398">
        <v>0</v>
      </c>
      <c r="H7398">
        <f>_xlfn.XLOOKUP(FACT_IMPORTS[[#This Row],[hts_6]],DIM_PRODUCTS[hts_6],DIM_PRODUCTS[hts_4],,,)</f>
        <v>7009</v>
      </c>
      <c r="I7398" t="str" cm="1">
        <f t="array" ref="I7398">_xlfn.XLOOKUP(FACT_IMPORTS[[#This Row],[country_name]],DIM_COUNTRY[[#All],[Column2]],DIM_COUNTRY[[#All],[Column3]],,,)</f>
        <v>Major_Non-USMCA_Non-China</v>
      </c>
    </row>
    <row r="7399" spans="1:9" x14ac:dyDescent="0.4">
      <c r="A7399" t="s">
        <v>71</v>
      </c>
      <c r="B7399" s="1">
        <v>45200</v>
      </c>
      <c r="C7399">
        <v>732010</v>
      </c>
      <c r="D7399" t="s">
        <v>176</v>
      </c>
      <c r="E7399">
        <v>0</v>
      </c>
      <c r="F7399">
        <v>0</v>
      </c>
      <c r="G7399">
        <v>0</v>
      </c>
      <c r="H7399">
        <f>_xlfn.XLOOKUP(FACT_IMPORTS[[#This Row],[hts_6]],DIM_PRODUCTS[hts_6],DIM_PRODUCTS[hts_4],,,)</f>
        <v>7320</v>
      </c>
      <c r="I7399" t="str" cm="1">
        <f t="array" ref="I7399">_xlfn.XLOOKUP(FACT_IMPORTS[[#This Row],[country_name]],DIM_COUNTRY[[#All],[Column2]],DIM_COUNTRY[[#All],[Column3]],,,)</f>
        <v>Major_Non-USMCA_Non-China</v>
      </c>
    </row>
    <row r="7400" spans="1:9" x14ac:dyDescent="0.4">
      <c r="A7400" t="s">
        <v>71</v>
      </c>
      <c r="B7400" s="1">
        <v>45200</v>
      </c>
      <c r="C7400">
        <v>830230</v>
      </c>
      <c r="D7400" t="s">
        <v>176</v>
      </c>
      <c r="E7400">
        <v>57815</v>
      </c>
      <c r="F7400">
        <v>12775</v>
      </c>
      <c r="G7400">
        <v>750</v>
      </c>
      <c r="H7400">
        <f>_xlfn.XLOOKUP(FACT_IMPORTS[[#This Row],[hts_6]],DIM_PRODUCTS[hts_6],DIM_PRODUCTS[hts_4],,,)</f>
        <v>8302</v>
      </c>
      <c r="I7400" t="str" cm="1">
        <f t="array" ref="I7400">_xlfn.XLOOKUP(FACT_IMPORTS[[#This Row],[country_name]],DIM_COUNTRY[[#All],[Column2]],DIM_COUNTRY[[#All],[Column3]],,,)</f>
        <v>Major_Non-USMCA_Non-China</v>
      </c>
    </row>
    <row r="7401" spans="1:9" x14ac:dyDescent="0.4">
      <c r="A7401" t="s">
        <v>71</v>
      </c>
      <c r="B7401" s="1">
        <v>45200</v>
      </c>
      <c r="C7401">
        <v>840734</v>
      </c>
      <c r="D7401" t="s">
        <v>176</v>
      </c>
      <c r="E7401">
        <v>7076</v>
      </c>
      <c r="F7401">
        <v>2</v>
      </c>
      <c r="G7401">
        <v>302</v>
      </c>
      <c r="H7401">
        <f>_xlfn.XLOOKUP(FACT_IMPORTS[[#This Row],[hts_6]],DIM_PRODUCTS[hts_6],DIM_PRODUCTS[hts_4],,,)</f>
        <v>8407</v>
      </c>
      <c r="I7401" t="str" cm="1">
        <f t="array" ref="I7401">_xlfn.XLOOKUP(FACT_IMPORTS[[#This Row],[country_name]],DIM_COUNTRY[[#All],[Column2]],DIM_COUNTRY[[#All],[Column3]],,,)</f>
        <v>Major_Non-USMCA_Non-China</v>
      </c>
    </row>
    <row r="7402" spans="1:9" x14ac:dyDescent="0.4">
      <c r="A7402" t="s">
        <v>71</v>
      </c>
      <c r="B7402" s="1">
        <v>45200</v>
      </c>
      <c r="C7402">
        <v>840790</v>
      </c>
      <c r="D7402" t="s">
        <v>176</v>
      </c>
      <c r="E7402">
        <v>2583</v>
      </c>
      <c r="F7402">
        <v>1</v>
      </c>
      <c r="G7402">
        <v>2</v>
      </c>
      <c r="H7402">
        <f>_xlfn.XLOOKUP(FACT_IMPORTS[[#This Row],[hts_6]],DIM_PRODUCTS[hts_6],DIM_PRODUCTS[hts_4],,,)</f>
        <v>8407</v>
      </c>
      <c r="I7402" t="str" cm="1">
        <f t="array" ref="I7402">_xlfn.XLOOKUP(FACT_IMPORTS[[#This Row],[country_name]],DIM_COUNTRY[[#All],[Column2]],DIM_COUNTRY[[#All],[Column3]],,,)</f>
        <v>Major_Non-USMCA_Non-China</v>
      </c>
    </row>
    <row r="7403" spans="1:9" x14ac:dyDescent="0.4">
      <c r="A7403" t="s">
        <v>71</v>
      </c>
      <c r="B7403" s="1">
        <v>45200</v>
      </c>
      <c r="C7403">
        <v>840820</v>
      </c>
      <c r="D7403" t="s">
        <v>176</v>
      </c>
      <c r="E7403">
        <v>63570</v>
      </c>
      <c r="F7403">
        <v>44</v>
      </c>
      <c r="G7403">
        <v>1763</v>
      </c>
      <c r="H7403">
        <f>_xlfn.XLOOKUP(FACT_IMPORTS[[#This Row],[hts_6]],DIM_PRODUCTS[hts_6],DIM_PRODUCTS[hts_4],,,)</f>
        <v>8408</v>
      </c>
      <c r="I7403" t="str" cm="1">
        <f t="array" ref="I7403">_xlfn.XLOOKUP(FACT_IMPORTS[[#This Row],[country_name]],DIM_COUNTRY[[#All],[Column2]],DIM_COUNTRY[[#All],[Column3]],,,)</f>
        <v>Major_Non-USMCA_Non-China</v>
      </c>
    </row>
    <row r="7404" spans="1:9" x14ac:dyDescent="0.4">
      <c r="A7404" t="s">
        <v>71</v>
      </c>
      <c r="B7404" s="1">
        <v>45200</v>
      </c>
      <c r="C7404">
        <v>840890</v>
      </c>
      <c r="D7404" t="s">
        <v>176</v>
      </c>
      <c r="E7404">
        <v>85980</v>
      </c>
      <c r="F7404">
        <v>12</v>
      </c>
      <c r="G7404">
        <v>1406</v>
      </c>
      <c r="H7404">
        <f>_xlfn.XLOOKUP(FACT_IMPORTS[[#This Row],[hts_6]],DIM_PRODUCTS[hts_6],DIM_PRODUCTS[hts_4],,,)</f>
        <v>8408</v>
      </c>
      <c r="I7404" t="str" cm="1">
        <f t="array" ref="I7404">_xlfn.XLOOKUP(FACT_IMPORTS[[#This Row],[country_name]],DIM_COUNTRY[[#All],[Column2]],DIM_COUNTRY[[#All],[Column3]],,,)</f>
        <v>Major_Non-USMCA_Non-China</v>
      </c>
    </row>
    <row r="7405" spans="1:9" x14ac:dyDescent="0.4">
      <c r="A7405" t="s">
        <v>71</v>
      </c>
      <c r="B7405" s="1">
        <v>45200</v>
      </c>
      <c r="C7405">
        <v>840991</v>
      </c>
      <c r="D7405" t="s">
        <v>176</v>
      </c>
      <c r="E7405">
        <v>5039681</v>
      </c>
      <c r="F7405">
        <v>355658</v>
      </c>
      <c r="G7405">
        <v>110188</v>
      </c>
      <c r="H7405">
        <f>_xlfn.XLOOKUP(FACT_IMPORTS[[#This Row],[hts_6]],DIM_PRODUCTS[hts_6],DIM_PRODUCTS[hts_4],,,)</f>
        <v>8409</v>
      </c>
      <c r="I7405" t="str" cm="1">
        <f t="array" ref="I7405">_xlfn.XLOOKUP(FACT_IMPORTS[[#This Row],[country_name]],DIM_COUNTRY[[#All],[Column2]],DIM_COUNTRY[[#All],[Column3]],,,)</f>
        <v>Major_Non-USMCA_Non-China</v>
      </c>
    </row>
    <row r="7406" spans="1:9" x14ac:dyDescent="0.4">
      <c r="A7406" t="s">
        <v>71</v>
      </c>
      <c r="B7406" s="1">
        <v>45200</v>
      </c>
      <c r="C7406">
        <v>840999</v>
      </c>
      <c r="D7406" t="s">
        <v>176</v>
      </c>
      <c r="E7406">
        <v>10796</v>
      </c>
      <c r="F7406">
        <v>103</v>
      </c>
      <c r="G7406">
        <v>176</v>
      </c>
      <c r="H7406">
        <f>_xlfn.XLOOKUP(FACT_IMPORTS[[#This Row],[hts_6]],DIM_PRODUCTS[hts_6],DIM_PRODUCTS[hts_4],,,)</f>
        <v>8409</v>
      </c>
      <c r="I7406" t="str" cm="1">
        <f t="array" ref="I7406">_xlfn.XLOOKUP(FACT_IMPORTS[[#This Row],[country_name]],DIM_COUNTRY[[#All],[Column2]],DIM_COUNTRY[[#All],[Column3]],,,)</f>
        <v>Major_Non-USMCA_Non-China</v>
      </c>
    </row>
    <row r="7407" spans="1:9" x14ac:dyDescent="0.4">
      <c r="A7407" t="s">
        <v>71</v>
      </c>
      <c r="B7407" s="1">
        <v>45200</v>
      </c>
      <c r="C7407">
        <v>841330</v>
      </c>
      <c r="D7407" t="s">
        <v>176</v>
      </c>
      <c r="E7407">
        <v>64615</v>
      </c>
      <c r="F7407">
        <v>1238</v>
      </c>
      <c r="G7407">
        <v>1575</v>
      </c>
      <c r="H7407">
        <f>_xlfn.XLOOKUP(FACT_IMPORTS[[#This Row],[hts_6]],DIM_PRODUCTS[hts_6],DIM_PRODUCTS[hts_4],,,)</f>
        <v>8413</v>
      </c>
      <c r="I7407" t="str" cm="1">
        <f t="array" ref="I7407">_xlfn.XLOOKUP(FACT_IMPORTS[[#This Row],[country_name]],DIM_COUNTRY[[#All],[Column2]],DIM_COUNTRY[[#All],[Column3]],,,)</f>
        <v>Major_Non-USMCA_Non-China</v>
      </c>
    </row>
    <row r="7408" spans="1:9" x14ac:dyDescent="0.4">
      <c r="A7408" t="s">
        <v>71</v>
      </c>
      <c r="B7408" s="1">
        <v>45200</v>
      </c>
      <c r="C7408">
        <v>841520</v>
      </c>
      <c r="D7408" t="s">
        <v>176</v>
      </c>
      <c r="E7408">
        <v>0</v>
      </c>
      <c r="F7408">
        <v>0</v>
      </c>
      <c r="G7408">
        <v>0</v>
      </c>
      <c r="H7408">
        <f>_xlfn.XLOOKUP(FACT_IMPORTS[[#This Row],[hts_6]],DIM_PRODUCTS[hts_6],DIM_PRODUCTS[hts_4],,,)</f>
        <v>8415</v>
      </c>
      <c r="I7408" t="str" cm="1">
        <f t="array" ref="I7408">_xlfn.XLOOKUP(FACT_IMPORTS[[#This Row],[country_name]],DIM_COUNTRY[[#All],[Column2]],DIM_COUNTRY[[#All],[Column3]],,,)</f>
        <v>Major_Non-USMCA_Non-China</v>
      </c>
    </row>
    <row r="7409" spans="1:9" x14ac:dyDescent="0.4">
      <c r="A7409" t="s">
        <v>71</v>
      </c>
      <c r="B7409" s="1">
        <v>45200</v>
      </c>
      <c r="C7409">
        <v>842132</v>
      </c>
      <c r="D7409" t="s">
        <v>176</v>
      </c>
      <c r="E7409">
        <v>197013</v>
      </c>
      <c r="F7409">
        <v>49</v>
      </c>
      <c r="G7409">
        <v>977</v>
      </c>
      <c r="H7409">
        <f>_xlfn.XLOOKUP(FACT_IMPORTS[[#This Row],[hts_6]],DIM_PRODUCTS[hts_6],DIM_PRODUCTS[hts_4],,,)</f>
        <v>8421</v>
      </c>
      <c r="I7409" t="str" cm="1">
        <f t="array" ref="I7409">_xlfn.XLOOKUP(FACT_IMPORTS[[#This Row],[country_name]],DIM_COUNTRY[[#All],[Column2]],DIM_COUNTRY[[#All],[Column3]],,,)</f>
        <v>Major_Non-USMCA_Non-China</v>
      </c>
    </row>
    <row r="7410" spans="1:9" x14ac:dyDescent="0.4">
      <c r="A7410" t="s">
        <v>71</v>
      </c>
      <c r="B7410" s="1">
        <v>45200</v>
      </c>
      <c r="C7410">
        <v>848210</v>
      </c>
      <c r="D7410" t="s">
        <v>176</v>
      </c>
      <c r="E7410">
        <v>10954</v>
      </c>
      <c r="F7410">
        <v>1119</v>
      </c>
      <c r="G7410">
        <v>235</v>
      </c>
      <c r="H7410">
        <f>_xlfn.XLOOKUP(FACT_IMPORTS[[#This Row],[hts_6]],DIM_PRODUCTS[hts_6],DIM_PRODUCTS[hts_4],,,)</f>
        <v>8482</v>
      </c>
      <c r="I7410" t="str" cm="1">
        <f t="array" ref="I7410">_xlfn.XLOOKUP(FACT_IMPORTS[[#This Row],[country_name]],DIM_COUNTRY[[#All],[Column2]],DIM_COUNTRY[[#All],[Column3]],,,)</f>
        <v>Major_Non-USMCA_Non-China</v>
      </c>
    </row>
    <row r="7411" spans="1:9" x14ac:dyDescent="0.4">
      <c r="A7411" t="s">
        <v>71</v>
      </c>
      <c r="B7411" s="1">
        <v>45200</v>
      </c>
      <c r="C7411">
        <v>848220</v>
      </c>
      <c r="D7411" t="s">
        <v>176</v>
      </c>
      <c r="E7411">
        <v>269414</v>
      </c>
      <c r="F7411">
        <v>28025</v>
      </c>
      <c r="G7411">
        <v>2476</v>
      </c>
      <c r="H7411">
        <f>_xlfn.XLOOKUP(FACT_IMPORTS[[#This Row],[hts_6]],DIM_PRODUCTS[hts_6],DIM_PRODUCTS[hts_4],,,)</f>
        <v>8482</v>
      </c>
      <c r="I7411" t="str" cm="1">
        <f t="array" ref="I7411">_xlfn.XLOOKUP(FACT_IMPORTS[[#This Row],[country_name]],DIM_COUNTRY[[#All],[Column2]],DIM_COUNTRY[[#All],[Column3]],,,)</f>
        <v>Major_Non-USMCA_Non-China</v>
      </c>
    </row>
    <row r="7412" spans="1:9" x14ac:dyDescent="0.4">
      <c r="A7412" t="s">
        <v>71</v>
      </c>
      <c r="B7412" s="1">
        <v>45200</v>
      </c>
      <c r="C7412">
        <v>848310</v>
      </c>
      <c r="D7412" t="s">
        <v>176</v>
      </c>
      <c r="E7412">
        <v>929185</v>
      </c>
      <c r="F7412">
        <v>40076</v>
      </c>
      <c r="G7412">
        <v>54785</v>
      </c>
      <c r="H7412">
        <f>_xlfn.XLOOKUP(FACT_IMPORTS[[#This Row],[hts_6]],DIM_PRODUCTS[hts_6],DIM_PRODUCTS[hts_4],,,)</f>
        <v>8483</v>
      </c>
      <c r="I7412" t="str" cm="1">
        <f t="array" ref="I7412">_xlfn.XLOOKUP(FACT_IMPORTS[[#This Row],[country_name]],DIM_COUNTRY[[#All],[Column2]],DIM_COUNTRY[[#All],[Column3]],,,)</f>
        <v>Major_Non-USMCA_Non-China</v>
      </c>
    </row>
    <row r="7413" spans="1:9" x14ac:dyDescent="0.4">
      <c r="A7413" t="s">
        <v>71</v>
      </c>
      <c r="B7413" s="1">
        <v>45200</v>
      </c>
      <c r="C7413">
        <v>850131</v>
      </c>
      <c r="D7413" t="s">
        <v>176</v>
      </c>
      <c r="E7413">
        <v>3797699</v>
      </c>
      <c r="F7413">
        <v>112828</v>
      </c>
      <c r="G7413">
        <v>48818</v>
      </c>
      <c r="H7413">
        <f>_xlfn.XLOOKUP(FACT_IMPORTS[[#This Row],[hts_6]],DIM_PRODUCTS[hts_6],DIM_PRODUCTS[hts_4],,,)</f>
        <v>8501</v>
      </c>
      <c r="I7413" t="str" cm="1">
        <f t="array" ref="I7413">_xlfn.XLOOKUP(FACT_IMPORTS[[#This Row],[country_name]],DIM_COUNTRY[[#All],[Column2]],DIM_COUNTRY[[#All],[Column3]],,,)</f>
        <v>Major_Non-USMCA_Non-China</v>
      </c>
    </row>
    <row r="7414" spans="1:9" x14ac:dyDescent="0.4">
      <c r="A7414" t="s">
        <v>71</v>
      </c>
      <c r="B7414" s="1">
        <v>45200</v>
      </c>
      <c r="C7414">
        <v>850132</v>
      </c>
      <c r="D7414" t="s">
        <v>176</v>
      </c>
      <c r="E7414">
        <v>7044</v>
      </c>
      <c r="F7414">
        <v>7</v>
      </c>
      <c r="G7414">
        <v>372</v>
      </c>
      <c r="H7414">
        <f>_xlfn.XLOOKUP(FACT_IMPORTS[[#This Row],[hts_6]],DIM_PRODUCTS[hts_6],DIM_PRODUCTS[hts_4],,,)</f>
        <v>8501</v>
      </c>
      <c r="I7414" t="str" cm="1">
        <f t="array" ref="I7414">_xlfn.XLOOKUP(FACT_IMPORTS[[#This Row],[country_name]],DIM_COUNTRY[[#All],[Column2]],DIM_COUNTRY[[#All],[Column3]],,,)</f>
        <v>Major_Non-USMCA_Non-China</v>
      </c>
    </row>
    <row r="7415" spans="1:9" x14ac:dyDescent="0.4">
      <c r="A7415" t="s">
        <v>71</v>
      </c>
      <c r="B7415" s="1">
        <v>45200</v>
      </c>
      <c r="C7415">
        <v>850133</v>
      </c>
      <c r="D7415" t="s">
        <v>176</v>
      </c>
      <c r="E7415">
        <v>0</v>
      </c>
      <c r="F7415">
        <v>0</v>
      </c>
      <c r="G7415">
        <v>0</v>
      </c>
      <c r="H7415">
        <f>_xlfn.XLOOKUP(FACT_IMPORTS[[#This Row],[hts_6]],DIM_PRODUCTS[hts_6],DIM_PRODUCTS[hts_4],,,)</f>
        <v>8501</v>
      </c>
      <c r="I7415" t="str" cm="1">
        <f t="array" ref="I7415">_xlfn.XLOOKUP(FACT_IMPORTS[[#This Row],[country_name]],DIM_COUNTRY[[#All],[Column2]],DIM_COUNTRY[[#All],[Column3]],,,)</f>
        <v>Major_Non-USMCA_Non-China</v>
      </c>
    </row>
    <row r="7416" spans="1:9" x14ac:dyDescent="0.4">
      <c r="A7416" t="s">
        <v>71</v>
      </c>
      <c r="B7416" s="1">
        <v>45200</v>
      </c>
      <c r="C7416">
        <v>850152</v>
      </c>
      <c r="D7416" t="s">
        <v>176</v>
      </c>
      <c r="E7416">
        <v>173830</v>
      </c>
      <c r="F7416">
        <v>210</v>
      </c>
      <c r="G7416">
        <v>10760</v>
      </c>
      <c r="H7416">
        <f>_xlfn.XLOOKUP(FACT_IMPORTS[[#This Row],[hts_6]],DIM_PRODUCTS[hts_6],DIM_PRODUCTS[hts_4],,,)</f>
        <v>8501</v>
      </c>
      <c r="I7416" t="str" cm="1">
        <f t="array" ref="I7416">_xlfn.XLOOKUP(FACT_IMPORTS[[#This Row],[country_name]],DIM_COUNTRY[[#All],[Column2]],DIM_COUNTRY[[#All],[Column3]],,,)</f>
        <v>Major_Non-USMCA_Non-China</v>
      </c>
    </row>
    <row r="7417" spans="1:9" x14ac:dyDescent="0.4">
      <c r="A7417" t="s">
        <v>71</v>
      </c>
      <c r="B7417" s="1">
        <v>45200</v>
      </c>
      <c r="C7417">
        <v>850153</v>
      </c>
      <c r="D7417" t="s">
        <v>176</v>
      </c>
      <c r="E7417">
        <v>0</v>
      </c>
      <c r="F7417">
        <v>0</v>
      </c>
      <c r="G7417">
        <v>0</v>
      </c>
      <c r="H7417">
        <f>_xlfn.XLOOKUP(FACT_IMPORTS[[#This Row],[hts_6]],DIM_PRODUCTS[hts_6],DIM_PRODUCTS[hts_4],,,)</f>
        <v>8501</v>
      </c>
      <c r="I7417" t="str" cm="1">
        <f t="array" ref="I7417">_xlfn.XLOOKUP(FACT_IMPORTS[[#This Row],[country_name]],DIM_COUNTRY[[#All],[Column2]],DIM_COUNTRY[[#All],[Column3]],,,)</f>
        <v>Major_Non-USMCA_Non-China</v>
      </c>
    </row>
    <row r="7418" spans="1:9" x14ac:dyDescent="0.4">
      <c r="A7418" t="s">
        <v>71</v>
      </c>
      <c r="B7418" s="1">
        <v>45200</v>
      </c>
      <c r="C7418">
        <v>850161</v>
      </c>
      <c r="D7418" t="s">
        <v>176</v>
      </c>
      <c r="E7418">
        <v>0</v>
      </c>
      <c r="F7418">
        <v>0</v>
      </c>
      <c r="G7418">
        <v>0</v>
      </c>
      <c r="H7418">
        <f>_xlfn.XLOOKUP(FACT_IMPORTS[[#This Row],[hts_6]],DIM_PRODUCTS[hts_6],DIM_PRODUCTS[hts_4],,,)</f>
        <v>8501</v>
      </c>
      <c r="I7418" t="str" cm="1">
        <f t="array" ref="I7418">_xlfn.XLOOKUP(FACT_IMPORTS[[#This Row],[country_name]],DIM_COUNTRY[[#All],[Column2]],DIM_COUNTRY[[#All],[Column3]],,,)</f>
        <v>Major_Non-USMCA_Non-China</v>
      </c>
    </row>
    <row r="7419" spans="1:9" x14ac:dyDescent="0.4">
      <c r="A7419" t="s">
        <v>71</v>
      </c>
      <c r="B7419" s="1">
        <v>45200</v>
      </c>
      <c r="C7419">
        <v>850440</v>
      </c>
      <c r="D7419" t="s">
        <v>176</v>
      </c>
      <c r="E7419">
        <v>546636</v>
      </c>
      <c r="F7419">
        <v>556</v>
      </c>
      <c r="G7419">
        <v>136141</v>
      </c>
      <c r="H7419">
        <f>_xlfn.XLOOKUP(FACT_IMPORTS[[#This Row],[hts_6]],DIM_PRODUCTS[hts_6],DIM_PRODUCTS[hts_4],,,)</f>
        <v>8504</v>
      </c>
      <c r="I7419" t="str" cm="1">
        <f t="array" ref="I7419">_xlfn.XLOOKUP(FACT_IMPORTS[[#This Row],[country_name]],DIM_COUNTRY[[#All],[Column2]],DIM_COUNTRY[[#All],[Column3]],,,)</f>
        <v>Major_Non-USMCA_Non-China</v>
      </c>
    </row>
    <row r="7420" spans="1:9" x14ac:dyDescent="0.4">
      <c r="A7420" t="s">
        <v>71</v>
      </c>
      <c r="B7420" s="1">
        <v>45200</v>
      </c>
      <c r="C7420">
        <v>850760</v>
      </c>
      <c r="D7420" t="s">
        <v>176</v>
      </c>
      <c r="E7420">
        <v>146282</v>
      </c>
      <c r="F7420">
        <v>760</v>
      </c>
      <c r="G7420">
        <v>1418</v>
      </c>
      <c r="H7420">
        <f>_xlfn.XLOOKUP(FACT_IMPORTS[[#This Row],[hts_6]],DIM_PRODUCTS[hts_6],DIM_PRODUCTS[hts_4],,,)</f>
        <v>8507</v>
      </c>
      <c r="I7420" t="str" cm="1">
        <f t="array" ref="I7420">_xlfn.XLOOKUP(FACT_IMPORTS[[#This Row],[country_name]],DIM_COUNTRY[[#All],[Column2]],DIM_COUNTRY[[#All],[Column3]],,,)</f>
        <v>Major_Non-USMCA_Non-China</v>
      </c>
    </row>
    <row r="7421" spans="1:9" x14ac:dyDescent="0.4">
      <c r="A7421" t="s">
        <v>71</v>
      </c>
      <c r="B7421" s="1">
        <v>45200</v>
      </c>
      <c r="C7421">
        <v>850790</v>
      </c>
      <c r="D7421" t="s">
        <v>176</v>
      </c>
      <c r="E7421">
        <v>550080</v>
      </c>
      <c r="F7421">
        <v>9830</v>
      </c>
      <c r="G7421">
        <v>2500</v>
      </c>
      <c r="H7421">
        <f>_xlfn.XLOOKUP(FACT_IMPORTS[[#This Row],[hts_6]],DIM_PRODUCTS[hts_6],DIM_PRODUCTS[hts_4],,,)</f>
        <v>8507</v>
      </c>
      <c r="I7421" t="str" cm="1">
        <f t="array" ref="I7421">_xlfn.XLOOKUP(FACT_IMPORTS[[#This Row],[country_name]],DIM_COUNTRY[[#All],[Column2]],DIM_COUNTRY[[#All],[Column3]],,,)</f>
        <v>Major_Non-USMCA_Non-China</v>
      </c>
    </row>
    <row r="7422" spans="1:9" x14ac:dyDescent="0.4">
      <c r="A7422" t="s">
        <v>71</v>
      </c>
      <c r="B7422" s="1">
        <v>45200</v>
      </c>
      <c r="C7422">
        <v>851110</v>
      </c>
      <c r="D7422" t="s">
        <v>176</v>
      </c>
      <c r="E7422">
        <v>528781</v>
      </c>
      <c r="F7422">
        <v>3356</v>
      </c>
      <c r="G7422">
        <v>44193</v>
      </c>
      <c r="H7422">
        <f>_xlfn.XLOOKUP(FACT_IMPORTS[[#This Row],[hts_6]],DIM_PRODUCTS[hts_6],DIM_PRODUCTS[hts_4],,,)</f>
        <v>8511</v>
      </c>
      <c r="I7422" t="str" cm="1">
        <f t="array" ref="I7422">_xlfn.XLOOKUP(FACT_IMPORTS[[#This Row],[country_name]],DIM_COUNTRY[[#All],[Column2]],DIM_COUNTRY[[#All],[Column3]],,,)</f>
        <v>Major_Non-USMCA_Non-China</v>
      </c>
    </row>
    <row r="7423" spans="1:9" x14ac:dyDescent="0.4">
      <c r="A7423" t="s">
        <v>71</v>
      </c>
      <c r="B7423" s="1">
        <v>45200</v>
      </c>
      <c r="C7423">
        <v>851130</v>
      </c>
      <c r="D7423" t="s">
        <v>176</v>
      </c>
      <c r="E7423">
        <v>209116</v>
      </c>
      <c r="F7423">
        <v>25440</v>
      </c>
      <c r="G7423">
        <v>3400</v>
      </c>
      <c r="H7423">
        <f>_xlfn.XLOOKUP(FACT_IMPORTS[[#This Row],[hts_6]],DIM_PRODUCTS[hts_6],DIM_PRODUCTS[hts_4],,,)</f>
        <v>8511</v>
      </c>
      <c r="I7423" t="str" cm="1">
        <f t="array" ref="I7423">_xlfn.XLOOKUP(FACT_IMPORTS[[#This Row],[country_name]],DIM_COUNTRY[[#All],[Column2]],DIM_COUNTRY[[#All],[Column3]],,,)</f>
        <v>Major_Non-USMCA_Non-China</v>
      </c>
    </row>
    <row r="7424" spans="1:9" x14ac:dyDescent="0.4">
      <c r="A7424" t="s">
        <v>71</v>
      </c>
      <c r="B7424" s="1">
        <v>45200</v>
      </c>
      <c r="C7424">
        <v>851140</v>
      </c>
      <c r="D7424" t="s">
        <v>176</v>
      </c>
      <c r="E7424">
        <v>1084847</v>
      </c>
      <c r="F7424">
        <v>10892</v>
      </c>
      <c r="G7424">
        <v>12911</v>
      </c>
      <c r="H7424">
        <f>_xlfn.XLOOKUP(FACT_IMPORTS[[#This Row],[hts_6]],DIM_PRODUCTS[hts_6],DIM_PRODUCTS[hts_4],,,)</f>
        <v>8511</v>
      </c>
      <c r="I7424" t="str" cm="1">
        <f t="array" ref="I7424">_xlfn.XLOOKUP(FACT_IMPORTS[[#This Row],[country_name]],DIM_COUNTRY[[#All],[Column2]],DIM_COUNTRY[[#All],[Column3]],,,)</f>
        <v>Major_Non-USMCA_Non-China</v>
      </c>
    </row>
    <row r="7425" spans="1:9" x14ac:dyDescent="0.4">
      <c r="A7425" t="s">
        <v>71</v>
      </c>
      <c r="B7425" s="1">
        <v>45200</v>
      </c>
      <c r="C7425">
        <v>851150</v>
      </c>
      <c r="D7425" t="s">
        <v>176</v>
      </c>
      <c r="E7425">
        <v>98598</v>
      </c>
      <c r="F7425">
        <v>535</v>
      </c>
      <c r="G7425">
        <v>6914</v>
      </c>
      <c r="H7425">
        <f>_xlfn.XLOOKUP(FACT_IMPORTS[[#This Row],[hts_6]],DIM_PRODUCTS[hts_6],DIM_PRODUCTS[hts_4],,,)</f>
        <v>8511</v>
      </c>
      <c r="I7425" t="str" cm="1">
        <f t="array" ref="I7425">_xlfn.XLOOKUP(FACT_IMPORTS[[#This Row],[country_name]],DIM_COUNTRY[[#All],[Column2]],DIM_COUNTRY[[#All],[Column3]],,,)</f>
        <v>Major_Non-USMCA_Non-China</v>
      </c>
    </row>
    <row r="7426" spans="1:9" x14ac:dyDescent="0.4">
      <c r="A7426" t="s">
        <v>71</v>
      </c>
      <c r="B7426" s="1">
        <v>45200</v>
      </c>
      <c r="C7426">
        <v>851180</v>
      </c>
      <c r="D7426" t="s">
        <v>176</v>
      </c>
      <c r="E7426">
        <v>0</v>
      </c>
      <c r="F7426">
        <v>0</v>
      </c>
      <c r="G7426">
        <v>0</v>
      </c>
      <c r="H7426">
        <f>_xlfn.XLOOKUP(FACT_IMPORTS[[#This Row],[hts_6]],DIM_PRODUCTS[hts_6],DIM_PRODUCTS[hts_4],,,)</f>
        <v>8511</v>
      </c>
      <c r="I7426" t="str" cm="1">
        <f t="array" ref="I7426">_xlfn.XLOOKUP(FACT_IMPORTS[[#This Row],[country_name]],DIM_COUNTRY[[#All],[Column2]],DIM_COUNTRY[[#All],[Column3]],,,)</f>
        <v>Major_Non-USMCA_Non-China</v>
      </c>
    </row>
    <row r="7427" spans="1:9" x14ac:dyDescent="0.4">
      <c r="A7427" t="s">
        <v>71</v>
      </c>
      <c r="B7427" s="1">
        <v>45200</v>
      </c>
      <c r="C7427">
        <v>851190</v>
      </c>
      <c r="D7427" t="s">
        <v>176</v>
      </c>
      <c r="E7427">
        <v>100578</v>
      </c>
      <c r="F7427">
        <v>6772</v>
      </c>
      <c r="G7427">
        <v>1116</v>
      </c>
      <c r="H7427">
        <f>_xlfn.XLOOKUP(FACT_IMPORTS[[#This Row],[hts_6]],DIM_PRODUCTS[hts_6],DIM_PRODUCTS[hts_4],,,)</f>
        <v>8511</v>
      </c>
      <c r="I7427" t="str" cm="1">
        <f t="array" ref="I7427">_xlfn.XLOOKUP(FACT_IMPORTS[[#This Row],[country_name]],DIM_COUNTRY[[#All],[Column2]],DIM_COUNTRY[[#All],[Column3]],,,)</f>
        <v>Major_Non-USMCA_Non-China</v>
      </c>
    </row>
    <row r="7428" spans="1:9" x14ac:dyDescent="0.4">
      <c r="A7428" t="s">
        <v>71</v>
      </c>
      <c r="B7428" s="1">
        <v>45200</v>
      </c>
      <c r="C7428">
        <v>851220</v>
      </c>
      <c r="D7428" t="s">
        <v>176</v>
      </c>
      <c r="E7428">
        <v>39039</v>
      </c>
      <c r="F7428">
        <v>401</v>
      </c>
      <c r="G7428">
        <v>404</v>
      </c>
      <c r="H7428">
        <f>_xlfn.XLOOKUP(FACT_IMPORTS[[#This Row],[hts_6]],DIM_PRODUCTS[hts_6],DIM_PRODUCTS[hts_4],,,)</f>
        <v>8512</v>
      </c>
      <c r="I7428" t="str" cm="1">
        <f t="array" ref="I7428">_xlfn.XLOOKUP(FACT_IMPORTS[[#This Row],[country_name]],DIM_COUNTRY[[#All],[Column2]],DIM_COUNTRY[[#All],[Column3]],,,)</f>
        <v>Major_Non-USMCA_Non-China</v>
      </c>
    </row>
    <row r="7429" spans="1:9" x14ac:dyDescent="0.4">
      <c r="A7429" t="s">
        <v>71</v>
      </c>
      <c r="B7429" s="1">
        <v>45200</v>
      </c>
      <c r="C7429">
        <v>851230</v>
      </c>
      <c r="D7429" t="s">
        <v>176</v>
      </c>
      <c r="E7429">
        <v>19440</v>
      </c>
      <c r="F7429">
        <v>800</v>
      </c>
      <c r="G7429">
        <v>202</v>
      </c>
      <c r="H7429">
        <f>_xlfn.XLOOKUP(FACT_IMPORTS[[#This Row],[hts_6]],DIM_PRODUCTS[hts_6],DIM_PRODUCTS[hts_4],,,)</f>
        <v>8512</v>
      </c>
      <c r="I7429" t="str" cm="1">
        <f t="array" ref="I7429">_xlfn.XLOOKUP(FACT_IMPORTS[[#This Row],[country_name]],DIM_COUNTRY[[#All],[Column2]],DIM_COUNTRY[[#All],[Column3]],,,)</f>
        <v>Major_Non-USMCA_Non-China</v>
      </c>
    </row>
    <row r="7430" spans="1:9" x14ac:dyDescent="0.4">
      <c r="A7430" t="s">
        <v>71</v>
      </c>
      <c r="B7430" s="1">
        <v>45200</v>
      </c>
      <c r="C7430">
        <v>851290</v>
      </c>
      <c r="D7430" t="s">
        <v>176</v>
      </c>
      <c r="E7430">
        <v>35094</v>
      </c>
      <c r="F7430">
        <v>981</v>
      </c>
      <c r="G7430">
        <v>324</v>
      </c>
      <c r="H7430">
        <f>_xlfn.XLOOKUP(FACT_IMPORTS[[#This Row],[hts_6]],DIM_PRODUCTS[hts_6],DIM_PRODUCTS[hts_4],,,)</f>
        <v>8512</v>
      </c>
      <c r="I7430" t="str" cm="1">
        <f t="array" ref="I7430">_xlfn.XLOOKUP(FACT_IMPORTS[[#This Row],[country_name]],DIM_COUNTRY[[#All],[Column2]],DIM_COUNTRY[[#All],[Column3]],,,)</f>
        <v>Major_Non-USMCA_Non-China</v>
      </c>
    </row>
    <row r="7431" spans="1:9" x14ac:dyDescent="0.4">
      <c r="A7431" t="s">
        <v>71</v>
      </c>
      <c r="B7431" s="1">
        <v>45200</v>
      </c>
      <c r="C7431">
        <v>854231</v>
      </c>
      <c r="D7431" t="s">
        <v>176</v>
      </c>
      <c r="E7431">
        <v>166518</v>
      </c>
      <c r="F7431">
        <v>16784</v>
      </c>
      <c r="G7431">
        <v>2167</v>
      </c>
      <c r="H7431">
        <f>_xlfn.XLOOKUP(FACT_IMPORTS[[#This Row],[hts_6]],DIM_PRODUCTS[hts_6],DIM_PRODUCTS[hts_4],,,)</f>
        <v>8542</v>
      </c>
      <c r="I7431" t="str" cm="1">
        <f t="array" ref="I7431">_xlfn.XLOOKUP(FACT_IMPORTS[[#This Row],[country_name]],DIM_COUNTRY[[#All],[Column2]],DIM_COUNTRY[[#All],[Column3]],,,)</f>
        <v>Major_Non-USMCA_Non-China</v>
      </c>
    </row>
    <row r="7432" spans="1:9" x14ac:dyDescent="0.4">
      <c r="A7432" t="s">
        <v>71</v>
      </c>
      <c r="B7432" s="1">
        <v>45200</v>
      </c>
      <c r="C7432">
        <v>854232</v>
      </c>
      <c r="D7432" t="s">
        <v>176</v>
      </c>
      <c r="E7432">
        <v>0</v>
      </c>
      <c r="F7432">
        <v>0</v>
      </c>
      <c r="G7432">
        <v>0</v>
      </c>
      <c r="H7432">
        <f>_xlfn.XLOOKUP(FACT_IMPORTS[[#This Row],[hts_6]],DIM_PRODUCTS[hts_6],DIM_PRODUCTS[hts_4],,,)</f>
        <v>8542</v>
      </c>
      <c r="I7432" t="str" cm="1">
        <f t="array" ref="I7432">_xlfn.XLOOKUP(FACT_IMPORTS[[#This Row],[country_name]],DIM_COUNTRY[[#All],[Column2]],DIM_COUNTRY[[#All],[Column3]],,,)</f>
        <v>Major_Non-USMCA_Non-China</v>
      </c>
    </row>
    <row r="7433" spans="1:9" x14ac:dyDescent="0.4">
      <c r="A7433" t="s">
        <v>71</v>
      </c>
      <c r="B7433" s="1">
        <v>45200</v>
      </c>
      <c r="C7433">
        <v>854233</v>
      </c>
      <c r="D7433" t="s">
        <v>176</v>
      </c>
      <c r="E7433">
        <v>0</v>
      </c>
      <c r="F7433">
        <v>0</v>
      </c>
      <c r="G7433">
        <v>0</v>
      </c>
      <c r="H7433">
        <f>_xlfn.XLOOKUP(FACT_IMPORTS[[#This Row],[hts_6]],DIM_PRODUCTS[hts_6],DIM_PRODUCTS[hts_4],,,)</f>
        <v>8542</v>
      </c>
      <c r="I7433" t="str" cm="1">
        <f t="array" ref="I7433">_xlfn.XLOOKUP(FACT_IMPORTS[[#This Row],[country_name]],DIM_COUNTRY[[#All],[Column2]],DIM_COUNTRY[[#All],[Column3]],,,)</f>
        <v>Major_Non-USMCA_Non-China</v>
      </c>
    </row>
    <row r="7434" spans="1:9" x14ac:dyDescent="0.4">
      <c r="A7434" t="s">
        <v>71</v>
      </c>
      <c r="B7434" s="1">
        <v>45200</v>
      </c>
      <c r="C7434">
        <v>854239</v>
      </c>
      <c r="D7434" t="s">
        <v>176</v>
      </c>
      <c r="E7434">
        <v>5860</v>
      </c>
      <c r="F7434">
        <v>1500</v>
      </c>
      <c r="G7434">
        <v>45</v>
      </c>
      <c r="H7434">
        <f>_xlfn.XLOOKUP(FACT_IMPORTS[[#This Row],[hts_6]],DIM_PRODUCTS[hts_6],DIM_PRODUCTS[hts_4],,,)</f>
        <v>8542</v>
      </c>
      <c r="I7434" t="str" cm="1">
        <f t="array" ref="I7434">_xlfn.XLOOKUP(FACT_IMPORTS[[#This Row],[country_name]],DIM_COUNTRY[[#All],[Column2]],DIM_COUNTRY[[#All],[Column3]],,,)</f>
        <v>Major_Non-USMCA_Non-China</v>
      </c>
    </row>
    <row r="7435" spans="1:9" x14ac:dyDescent="0.4">
      <c r="A7435" t="s">
        <v>71</v>
      </c>
      <c r="B7435" s="1">
        <v>45200</v>
      </c>
      <c r="C7435">
        <v>854430</v>
      </c>
      <c r="D7435" t="s">
        <v>176</v>
      </c>
      <c r="E7435">
        <v>14736</v>
      </c>
      <c r="F7435">
        <v>8960</v>
      </c>
      <c r="G7435">
        <v>134</v>
      </c>
      <c r="H7435">
        <f>_xlfn.XLOOKUP(FACT_IMPORTS[[#This Row],[hts_6]],DIM_PRODUCTS[hts_6],DIM_PRODUCTS[hts_4],,,)</f>
        <v>8544</v>
      </c>
      <c r="I7435" t="str" cm="1">
        <f t="array" ref="I7435">_xlfn.XLOOKUP(FACT_IMPORTS[[#This Row],[country_name]],DIM_COUNTRY[[#All],[Column2]],DIM_COUNTRY[[#All],[Column3]],,,)</f>
        <v>Major_Non-USMCA_Non-China</v>
      </c>
    </row>
    <row r="7436" spans="1:9" x14ac:dyDescent="0.4">
      <c r="A7436" t="s">
        <v>71</v>
      </c>
      <c r="B7436" s="1">
        <v>45200</v>
      </c>
      <c r="C7436">
        <v>870710</v>
      </c>
      <c r="D7436" t="s">
        <v>176</v>
      </c>
      <c r="E7436">
        <v>0</v>
      </c>
      <c r="F7436">
        <v>0</v>
      </c>
      <c r="G7436">
        <v>0</v>
      </c>
      <c r="H7436">
        <f>_xlfn.XLOOKUP(FACT_IMPORTS[[#This Row],[hts_6]],DIM_PRODUCTS[hts_6],DIM_PRODUCTS[hts_4],,,)</f>
        <v>8707</v>
      </c>
      <c r="I7436" t="str" cm="1">
        <f t="array" ref="I7436">_xlfn.XLOOKUP(FACT_IMPORTS[[#This Row],[country_name]],DIM_COUNTRY[[#All],[Column2]],DIM_COUNTRY[[#All],[Column3]],,,)</f>
        <v>Major_Non-USMCA_Non-China</v>
      </c>
    </row>
    <row r="7437" spans="1:9" x14ac:dyDescent="0.4">
      <c r="A7437" t="s">
        <v>71</v>
      </c>
      <c r="B7437" s="1">
        <v>45200</v>
      </c>
      <c r="C7437">
        <v>870790</v>
      </c>
      <c r="D7437" t="s">
        <v>176</v>
      </c>
      <c r="E7437">
        <v>0</v>
      </c>
      <c r="F7437">
        <v>0</v>
      </c>
      <c r="G7437">
        <v>0</v>
      </c>
      <c r="H7437">
        <f>_xlfn.XLOOKUP(FACT_IMPORTS[[#This Row],[hts_6]],DIM_PRODUCTS[hts_6],DIM_PRODUCTS[hts_4],,,)</f>
        <v>8707</v>
      </c>
      <c r="I7437" t="str" cm="1">
        <f t="array" ref="I7437">_xlfn.XLOOKUP(FACT_IMPORTS[[#This Row],[country_name]],DIM_COUNTRY[[#All],[Column2]],DIM_COUNTRY[[#All],[Column3]],,,)</f>
        <v>Major_Non-USMCA_Non-China</v>
      </c>
    </row>
    <row r="7438" spans="1:9" x14ac:dyDescent="0.4">
      <c r="A7438" t="s">
        <v>71</v>
      </c>
      <c r="B7438" s="1">
        <v>45200</v>
      </c>
      <c r="C7438">
        <v>870810</v>
      </c>
      <c r="D7438" t="s">
        <v>176</v>
      </c>
      <c r="E7438">
        <v>0</v>
      </c>
      <c r="F7438">
        <v>0</v>
      </c>
      <c r="G7438">
        <v>0</v>
      </c>
      <c r="H7438">
        <f>_xlfn.XLOOKUP(FACT_IMPORTS[[#This Row],[hts_6]],DIM_PRODUCTS[hts_6],DIM_PRODUCTS[hts_4],,,)</f>
        <v>8708</v>
      </c>
      <c r="I7438" t="str" cm="1">
        <f t="array" ref="I7438">_xlfn.XLOOKUP(FACT_IMPORTS[[#This Row],[country_name]],DIM_COUNTRY[[#All],[Column2]],DIM_COUNTRY[[#All],[Column3]],,,)</f>
        <v>Major_Non-USMCA_Non-China</v>
      </c>
    </row>
    <row r="7439" spans="1:9" x14ac:dyDescent="0.4">
      <c r="A7439" t="s">
        <v>71</v>
      </c>
      <c r="B7439" s="1">
        <v>45200</v>
      </c>
      <c r="C7439">
        <v>870829</v>
      </c>
      <c r="D7439" t="s">
        <v>176</v>
      </c>
      <c r="E7439">
        <v>3651436</v>
      </c>
      <c r="F7439">
        <v>550642</v>
      </c>
      <c r="G7439">
        <v>60736</v>
      </c>
      <c r="H7439">
        <f>_xlfn.XLOOKUP(FACT_IMPORTS[[#This Row],[hts_6]],DIM_PRODUCTS[hts_6],DIM_PRODUCTS[hts_4],,,)</f>
        <v>8708</v>
      </c>
      <c r="I7439" t="str" cm="1">
        <f t="array" ref="I7439">_xlfn.XLOOKUP(FACT_IMPORTS[[#This Row],[country_name]],DIM_COUNTRY[[#All],[Column2]],DIM_COUNTRY[[#All],[Column3]],,,)</f>
        <v>Major_Non-USMCA_Non-China</v>
      </c>
    </row>
    <row r="7440" spans="1:9" x14ac:dyDescent="0.4">
      <c r="A7440" t="s">
        <v>71</v>
      </c>
      <c r="B7440" s="1">
        <v>45200</v>
      </c>
      <c r="C7440">
        <v>870830</v>
      </c>
      <c r="D7440" t="s">
        <v>176</v>
      </c>
      <c r="E7440">
        <v>2431079</v>
      </c>
      <c r="F7440">
        <v>302504</v>
      </c>
      <c r="G7440">
        <v>17963</v>
      </c>
      <c r="H7440">
        <f>_xlfn.XLOOKUP(FACT_IMPORTS[[#This Row],[hts_6]],DIM_PRODUCTS[hts_6],DIM_PRODUCTS[hts_4],,,)</f>
        <v>8708</v>
      </c>
      <c r="I7440" t="str" cm="1">
        <f t="array" ref="I7440">_xlfn.XLOOKUP(FACT_IMPORTS[[#This Row],[country_name]],DIM_COUNTRY[[#All],[Column2]],DIM_COUNTRY[[#All],[Column3]],,,)</f>
        <v>Major_Non-USMCA_Non-China</v>
      </c>
    </row>
    <row r="7441" spans="1:9" x14ac:dyDescent="0.4">
      <c r="A7441" t="s">
        <v>71</v>
      </c>
      <c r="B7441" s="1">
        <v>45200</v>
      </c>
      <c r="C7441">
        <v>870840</v>
      </c>
      <c r="D7441" t="s">
        <v>176</v>
      </c>
      <c r="E7441">
        <v>2737719</v>
      </c>
      <c r="F7441">
        <v>30883</v>
      </c>
      <c r="G7441">
        <v>56355</v>
      </c>
      <c r="H7441">
        <f>_xlfn.XLOOKUP(FACT_IMPORTS[[#This Row],[hts_6]],DIM_PRODUCTS[hts_6],DIM_PRODUCTS[hts_4],,,)</f>
        <v>8708</v>
      </c>
      <c r="I7441" t="str" cm="1">
        <f t="array" ref="I7441">_xlfn.XLOOKUP(FACT_IMPORTS[[#This Row],[country_name]],DIM_COUNTRY[[#All],[Column2]],DIM_COUNTRY[[#All],[Column3]],,,)</f>
        <v>Major_Non-USMCA_Non-China</v>
      </c>
    </row>
    <row r="7442" spans="1:9" x14ac:dyDescent="0.4">
      <c r="A7442" t="s">
        <v>71</v>
      </c>
      <c r="B7442" s="1">
        <v>45200</v>
      </c>
      <c r="C7442">
        <v>870850</v>
      </c>
      <c r="D7442" t="s">
        <v>176</v>
      </c>
      <c r="E7442">
        <v>161653</v>
      </c>
      <c r="F7442">
        <v>43</v>
      </c>
      <c r="G7442">
        <v>381</v>
      </c>
      <c r="H7442">
        <f>_xlfn.XLOOKUP(FACT_IMPORTS[[#This Row],[hts_6]],DIM_PRODUCTS[hts_6],DIM_PRODUCTS[hts_4],,,)</f>
        <v>8708</v>
      </c>
      <c r="I7442" t="str" cm="1">
        <f t="array" ref="I7442">_xlfn.XLOOKUP(FACT_IMPORTS[[#This Row],[country_name]],DIM_COUNTRY[[#All],[Column2]],DIM_COUNTRY[[#All],[Column3]],,,)</f>
        <v>Major_Non-USMCA_Non-China</v>
      </c>
    </row>
    <row r="7443" spans="1:9" x14ac:dyDescent="0.4">
      <c r="A7443" t="s">
        <v>71</v>
      </c>
      <c r="B7443" s="1">
        <v>45200</v>
      </c>
      <c r="C7443">
        <v>870870</v>
      </c>
      <c r="D7443" t="s">
        <v>176</v>
      </c>
      <c r="E7443">
        <v>0</v>
      </c>
      <c r="F7443">
        <v>0</v>
      </c>
      <c r="G7443">
        <v>0</v>
      </c>
      <c r="H7443">
        <f>_xlfn.XLOOKUP(FACT_IMPORTS[[#This Row],[hts_6]],DIM_PRODUCTS[hts_6],DIM_PRODUCTS[hts_4],,,)</f>
        <v>8708</v>
      </c>
      <c r="I7443" t="str" cm="1">
        <f t="array" ref="I7443">_xlfn.XLOOKUP(FACT_IMPORTS[[#This Row],[country_name]],DIM_COUNTRY[[#All],[Column2]],DIM_COUNTRY[[#All],[Column3]],,,)</f>
        <v>Major_Non-USMCA_Non-China</v>
      </c>
    </row>
    <row r="7444" spans="1:9" x14ac:dyDescent="0.4">
      <c r="A7444" t="s">
        <v>71</v>
      </c>
      <c r="B7444" s="1">
        <v>45200</v>
      </c>
      <c r="C7444">
        <v>870880</v>
      </c>
      <c r="D7444" t="s">
        <v>176</v>
      </c>
      <c r="E7444">
        <v>255042</v>
      </c>
      <c r="F7444">
        <v>6716</v>
      </c>
      <c r="G7444">
        <v>17054</v>
      </c>
      <c r="H7444">
        <f>_xlfn.XLOOKUP(FACT_IMPORTS[[#This Row],[hts_6]],DIM_PRODUCTS[hts_6],DIM_PRODUCTS[hts_4],,,)</f>
        <v>8708</v>
      </c>
      <c r="I7444" t="str" cm="1">
        <f t="array" ref="I7444">_xlfn.XLOOKUP(FACT_IMPORTS[[#This Row],[country_name]],DIM_COUNTRY[[#All],[Column2]],DIM_COUNTRY[[#All],[Column3]],,,)</f>
        <v>Major_Non-USMCA_Non-China</v>
      </c>
    </row>
    <row r="7445" spans="1:9" x14ac:dyDescent="0.4">
      <c r="A7445" t="s">
        <v>71</v>
      </c>
      <c r="B7445" s="1">
        <v>45200</v>
      </c>
      <c r="C7445">
        <v>870891</v>
      </c>
      <c r="D7445" t="s">
        <v>176</v>
      </c>
      <c r="E7445">
        <v>232814</v>
      </c>
      <c r="F7445">
        <v>127216</v>
      </c>
      <c r="G7445">
        <v>3027</v>
      </c>
      <c r="H7445">
        <f>_xlfn.XLOOKUP(FACT_IMPORTS[[#This Row],[hts_6]],DIM_PRODUCTS[hts_6],DIM_PRODUCTS[hts_4],,,)</f>
        <v>8708</v>
      </c>
      <c r="I7445" t="str" cm="1">
        <f t="array" ref="I7445">_xlfn.XLOOKUP(FACT_IMPORTS[[#This Row],[country_name]],DIM_COUNTRY[[#All],[Column2]],DIM_COUNTRY[[#All],[Column3]],,,)</f>
        <v>Major_Non-USMCA_Non-China</v>
      </c>
    </row>
    <row r="7446" spans="1:9" x14ac:dyDescent="0.4">
      <c r="A7446" t="s">
        <v>71</v>
      </c>
      <c r="B7446" s="1">
        <v>45200</v>
      </c>
      <c r="C7446">
        <v>870892</v>
      </c>
      <c r="D7446" t="s">
        <v>176</v>
      </c>
      <c r="E7446">
        <v>0</v>
      </c>
      <c r="F7446">
        <v>0</v>
      </c>
      <c r="G7446">
        <v>0</v>
      </c>
      <c r="H7446">
        <f>_xlfn.XLOOKUP(FACT_IMPORTS[[#This Row],[hts_6]],DIM_PRODUCTS[hts_6],DIM_PRODUCTS[hts_4],,,)</f>
        <v>8708</v>
      </c>
      <c r="I7446" t="str" cm="1">
        <f t="array" ref="I7446">_xlfn.XLOOKUP(FACT_IMPORTS[[#This Row],[country_name]],DIM_COUNTRY[[#All],[Column2]],DIM_COUNTRY[[#All],[Column3]],,,)</f>
        <v>Major_Non-USMCA_Non-China</v>
      </c>
    </row>
    <row r="7447" spans="1:9" x14ac:dyDescent="0.4">
      <c r="A7447" t="s">
        <v>71</v>
      </c>
      <c r="B7447" s="1">
        <v>45200</v>
      </c>
      <c r="C7447">
        <v>870893</v>
      </c>
      <c r="D7447" t="s">
        <v>176</v>
      </c>
      <c r="E7447">
        <v>1415603</v>
      </c>
      <c r="F7447">
        <v>365679</v>
      </c>
      <c r="G7447">
        <v>30274</v>
      </c>
      <c r="H7447">
        <f>_xlfn.XLOOKUP(FACT_IMPORTS[[#This Row],[hts_6]],DIM_PRODUCTS[hts_6],DIM_PRODUCTS[hts_4],,,)</f>
        <v>8708</v>
      </c>
      <c r="I7447" t="str" cm="1">
        <f t="array" ref="I7447">_xlfn.XLOOKUP(FACT_IMPORTS[[#This Row],[country_name]],DIM_COUNTRY[[#All],[Column2]],DIM_COUNTRY[[#All],[Column3]],,,)</f>
        <v>Major_Non-USMCA_Non-China</v>
      </c>
    </row>
    <row r="7448" spans="1:9" x14ac:dyDescent="0.4">
      <c r="A7448" t="s">
        <v>71</v>
      </c>
      <c r="B7448" s="1">
        <v>45200</v>
      </c>
      <c r="C7448">
        <v>870894</v>
      </c>
      <c r="D7448" t="s">
        <v>176</v>
      </c>
      <c r="E7448">
        <v>54263</v>
      </c>
      <c r="F7448">
        <v>4356</v>
      </c>
      <c r="G7448">
        <v>6021</v>
      </c>
      <c r="H7448">
        <f>_xlfn.XLOOKUP(FACT_IMPORTS[[#This Row],[hts_6]],DIM_PRODUCTS[hts_6],DIM_PRODUCTS[hts_4],,,)</f>
        <v>8708</v>
      </c>
      <c r="I7448" t="str" cm="1">
        <f t="array" ref="I7448">_xlfn.XLOOKUP(FACT_IMPORTS[[#This Row],[country_name]],DIM_COUNTRY[[#All],[Column2]],DIM_COUNTRY[[#All],[Column3]],,,)</f>
        <v>Major_Non-USMCA_Non-China</v>
      </c>
    </row>
    <row r="7449" spans="1:9" x14ac:dyDescent="0.4">
      <c r="A7449" t="s">
        <v>71</v>
      </c>
      <c r="B7449" s="1">
        <v>45200</v>
      </c>
      <c r="C7449">
        <v>870895</v>
      </c>
      <c r="D7449" t="s">
        <v>176</v>
      </c>
      <c r="E7449">
        <v>26994</v>
      </c>
      <c r="F7449">
        <v>2254</v>
      </c>
      <c r="G7449">
        <v>1203</v>
      </c>
      <c r="H7449">
        <f>_xlfn.XLOOKUP(FACT_IMPORTS[[#This Row],[hts_6]],DIM_PRODUCTS[hts_6],DIM_PRODUCTS[hts_4],,,)</f>
        <v>8708</v>
      </c>
      <c r="I7449" t="str" cm="1">
        <f t="array" ref="I7449">_xlfn.XLOOKUP(FACT_IMPORTS[[#This Row],[country_name]],DIM_COUNTRY[[#All],[Column2]],DIM_COUNTRY[[#All],[Column3]],,,)</f>
        <v>Major_Non-USMCA_Non-China</v>
      </c>
    </row>
    <row r="7450" spans="1:9" x14ac:dyDescent="0.4">
      <c r="A7450" t="s">
        <v>71</v>
      </c>
      <c r="B7450" s="1">
        <v>45200</v>
      </c>
      <c r="C7450">
        <v>870899</v>
      </c>
      <c r="D7450" t="s">
        <v>176</v>
      </c>
      <c r="E7450">
        <v>3741316</v>
      </c>
      <c r="F7450">
        <v>2590085</v>
      </c>
      <c r="G7450">
        <v>62822</v>
      </c>
      <c r="H7450">
        <f>_xlfn.XLOOKUP(FACT_IMPORTS[[#This Row],[hts_6]],DIM_PRODUCTS[hts_6],DIM_PRODUCTS[hts_4],,,)</f>
        <v>8708</v>
      </c>
      <c r="I7450" t="str" cm="1">
        <f t="array" ref="I7450">_xlfn.XLOOKUP(FACT_IMPORTS[[#This Row],[country_name]],DIM_COUNTRY[[#All],[Column2]],DIM_COUNTRY[[#All],[Column3]],,,)</f>
        <v>Major_Non-USMCA_Non-China</v>
      </c>
    </row>
    <row r="7451" spans="1:9" x14ac:dyDescent="0.4">
      <c r="A7451" t="s">
        <v>71</v>
      </c>
      <c r="B7451" s="1">
        <v>45200</v>
      </c>
      <c r="C7451">
        <v>940120</v>
      </c>
      <c r="D7451" t="s">
        <v>176</v>
      </c>
      <c r="E7451">
        <v>3042</v>
      </c>
      <c r="F7451">
        <v>1</v>
      </c>
      <c r="G7451">
        <v>80</v>
      </c>
      <c r="H7451">
        <f>_xlfn.XLOOKUP(FACT_IMPORTS[[#This Row],[hts_6]],DIM_PRODUCTS[hts_6],DIM_PRODUCTS[hts_4],,,)</f>
        <v>9401</v>
      </c>
      <c r="I7451" t="str" cm="1">
        <f t="array" ref="I7451">_xlfn.XLOOKUP(FACT_IMPORTS[[#This Row],[country_name]],DIM_COUNTRY[[#All],[Column2]],DIM_COUNTRY[[#All],[Column3]],,,)</f>
        <v>Major_Non-USMCA_Non-China</v>
      </c>
    </row>
    <row r="7452" spans="1:9" x14ac:dyDescent="0.4">
      <c r="A7452" t="s">
        <v>71</v>
      </c>
      <c r="B7452" s="1">
        <v>45231</v>
      </c>
      <c r="C7452">
        <v>392630</v>
      </c>
      <c r="D7452" t="s">
        <v>176</v>
      </c>
      <c r="E7452">
        <v>3866</v>
      </c>
      <c r="F7452">
        <v>162</v>
      </c>
      <c r="G7452">
        <v>107</v>
      </c>
      <c r="H7452">
        <f>_xlfn.XLOOKUP(FACT_IMPORTS[[#This Row],[hts_6]],DIM_PRODUCTS[hts_6],DIM_PRODUCTS[hts_4],,,)</f>
        <v>3926</v>
      </c>
      <c r="I7452" t="str" cm="1">
        <f t="array" ref="I7452">_xlfn.XLOOKUP(FACT_IMPORTS[[#This Row],[country_name]],DIM_COUNTRY[[#All],[Column2]],DIM_COUNTRY[[#All],[Column3]],,,)</f>
        <v>Major_Non-USMCA_Non-China</v>
      </c>
    </row>
    <row r="7453" spans="1:9" x14ac:dyDescent="0.4">
      <c r="A7453" t="s">
        <v>71</v>
      </c>
      <c r="B7453" s="1">
        <v>45231</v>
      </c>
      <c r="C7453">
        <v>401110</v>
      </c>
      <c r="D7453" t="s">
        <v>176</v>
      </c>
      <c r="E7453">
        <v>63517</v>
      </c>
      <c r="F7453">
        <v>548</v>
      </c>
      <c r="G7453">
        <v>577</v>
      </c>
      <c r="H7453">
        <f>_xlfn.XLOOKUP(FACT_IMPORTS[[#This Row],[hts_6]],DIM_PRODUCTS[hts_6],DIM_PRODUCTS[hts_4],,,)</f>
        <v>4011</v>
      </c>
      <c r="I7453" t="str" cm="1">
        <f t="array" ref="I7453">_xlfn.XLOOKUP(FACT_IMPORTS[[#This Row],[country_name]],DIM_COUNTRY[[#All],[Column2]],DIM_COUNTRY[[#All],[Column3]],,,)</f>
        <v>Major_Non-USMCA_Non-China</v>
      </c>
    </row>
    <row r="7454" spans="1:9" x14ac:dyDescent="0.4">
      <c r="A7454" t="s">
        <v>71</v>
      </c>
      <c r="B7454" s="1">
        <v>45231</v>
      </c>
      <c r="C7454">
        <v>401120</v>
      </c>
      <c r="D7454" t="s">
        <v>176</v>
      </c>
      <c r="E7454">
        <v>437871</v>
      </c>
      <c r="F7454">
        <v>1936</v>
      </c>
      <c r="G7454">
        <v>20405</v>
      </c>
      <c r="H7454">
        <f>_xlfn.XLOOKUP(FACT_IMPORTS[[#This Row],[hts_6]],DIM_PRODUCTS[hts_6],DIM_PRODUCTS[hts_4],,,)</f>
        <v>4011</v>
      </c>
      <c r="I7454" t="str" cm="1">
        <f t="array" ref="I7454">_xlfn.XLOOKUP(FACT_IMPORTS[[#This Row],[country_name]],DIM_COUNTRY[[#All],[Column2]],DIM_COUNTRY[[#All],[Column3]],,,)</f>
        <v>Major_Non-USMCA_Non-China</v>
      </c>
    </row>
    <row r="7455" spans="1:9" x14ac:dyDescent="0.4">
      <c r="A7455" t="s">
        <v>71</v>
      </c>
      <c r="B7455" s="1">
        <v>45231</v>
      </c>
      <c r="C7455">
        <v>401140</v>
      </c>
      <c r="D7455" t="s">
        <v>176</v>
      </c>
      <c r="E7455">
        <v>0</v>
      </c>
      <c r="F7455">
        <v>0</v>
      </c>
      <c r="G7455">
        <v>0</v>
      </c>
      <c r="H7455">
        <f>_xlfn.XLOOKUP(FACT_IMPORTS[[#This Row],[hts_6]],DIM_PRODUCTS[hts_6],DIM_PRODUCTS[hts_4],,,)</f>
        <v>4011</v>
      </c>
      <c r="I7455" t="str" cm="1">
        <f t="array" ref="I7455">_xlfn.XLOOKUP(FACT_IMPORTS[[#This Row],[country_name]],DIM_COUNTRY[[#All],[Column2]],DIM_COUNTRY[[#All],[Column3]],,,)</f>
        <v>Major_Non-USMCA_Non-China</v>
      </c>
    </row>
    <row r="7456" spans="1:9" x14ac:dyDescent="0.4">
      <c r="A7456" t="s">
        <v>71</v>
      </c>
      <c r="B7456" s="1">
        <v>45231</v>
      </c>
      <c r="C7456">
        <v>700721</v>
      </c>
      <c r="D7456" t="s">
        <v>176</v>
      </c>
      <c r="E7456">
        <v>0</v>
      </c>
      <c r="F7456">
        <v>0</v>
      </c>
      <c r="G7456">
        <v>0</v>
      </c>
      <c r="H7456">
        <f>_xlfn.XLOOKUP(FACT_IMPORTS[[#This Row],[hts_6]],DIM_PRODUCTS[hts_6],DIM_PRODUCTS[hts_4],,,)</f>
        <v>7007</v>
      </c>
      <c r="I7456" t="str" cm="1">
        <f t="array" ref="I7456">_xlfn.XLOOKUP(FACT_IMPORTS[[#This Row],[country_name]],DIM_COUNTRY[[#All],[Column2]],DIM_COUNTRY[[#All],[Column3]],,,)</f>
        <v>Major_Non-USMCA_Non-China</v>
      </c>
    </row>
    <row r="7457" spans="1:9" x14ac:dyDescent="0.4">
      <c r="A7457" t="s">
        <v>71</v>
      </c>
      <c r="B7457" s="1">
        <v>45231</v>
      </c>
      <c r="C7457">
        <v>700910</v>
      </c>
      <c r="D7457" t="s">
        <v>176</v>
      </c>
      <c r="E7457">
        <v>0</v>
      </c>
      <c r="F7457">
        <v>0</v>
      </c>
      <c r="G7457">
        <v>0</v>
      </c>
      <c r="H7457">
        <f>_xlfn.XLOOKUP(FACT_IMPORTS[[#This Row],[hts_6]],DIM_PRODUCTS[hts_6],DIM_PRODUCTS[hts_4],,,)</f>
        <v>7009</v>
      </c>
      <c r="I7457" t="str" cm="1">
        <f t="array" ref="I7457">_xlfn.XLOOKUP(FACT_IMPORTS[[#This Row],[country_name]],DIM_COUNTRY[[#All],[Column2]],DIM_COUNTRY[[#All],[Column3]],,,)</f>
        <v>Major_Non-USMCA_Non-China</v>
      </c>
    </row>
    <row r="7458" spans="1:9" x14ac:dyDescent="0.4">
      <c r="A7458" t="s">
        <v>71</v>
      </c>
      <c r="B7458" s="1">
        <v>45231</v>
      </c>
      <c r="C7458">
        <v>732010</v>
      </c>
      <c r="D7458" t="s">
        <v>176</v>
      </c>
      <c r="E7458">
        <v>15970</v>
      </c>
      <c r="F7458">
        <v>150</v>
      </c>
      <c r="G7458">
        <v>194</v>
      </c>
      <c r="H7458">
        <f>_xlfn.XLOOKUP(FACT_IMPORTS[[#This Row],[hts_6]],DIM_PRODUCTS[hts_6],DIM_PRODUCTS[hts_4],,,)</f>
        <v>7320</v>
      </c>
      <c r="I7458" t="str" cm="1">
        <f t="array" ref="I7458">_xlfn.XLOOKUP(FACT_IMPORTS[[#This Row],[country_name]],DIM_COUNTRY[[#All],[Column2]],DIM_COUNTRY[[#All],[Column3]],,,)</f>
        <v>Major_Non-USMCA_Non-China</v>
      </c>
    </row>
    <row r="7459" spans="1:9" x14ac:dyDescent="0.4">
      <c r="A7459" t="s">
        <v>71</v>
      </c>
      <c r="B7459" s="1">
        <v>45231</v>
      </c>
      <c r="C7459">
        <v>830230</v>
      </c>
      <c r="D7459" t="s">
        <v>176</v>
      </c>
      <c r="E7459">
        <v>40732</v>
      </c>
      <c r="F7459">
        <v>7182</v>
      </c>
      <c r="G7459">
        <v>1255</v>
      </c>
      <c r="H7459">
        <f>_xlfn.XLOOKUP(FACT_IMPORTS[[#This Row],[hts_6]],DIM_PRODUCTS[hts_6],DIM_PRODUCTS[hts_4],,,)</f>
        <v>8302</v>
      </c>
      <c r="I7459" t="str" cm="1">
        <f t="array" ref="I7459">_xlfn.XLOOKUP(FACT_IMPORTS[[#This Row],[country_name]],DIM_COUNTRY[[#All],[Column2]],DIM_COUNTRY[[#All],[Column3]],,,)</f>
        <v>Major_Non-USMCA_Non-China</v>
      </c>
    </row>
    <row r="7460" spans="1:9" x14ac:dyDescent="0.4">
      <c r="A7460" t="s">
        <v>71</v>
      </c>
      <c r="B7460" s="1">
        <v>45231</v>
      </c>
      <c r="C7460">
        <v>840734</v>
      </c>
      <c r="D7460" t="s">
        <v>176</v>
      </c>
      <c r="E7460">
        <v>0</v>
      </c>
      <c r="F7460">
        <v>0</v>
      </c>
      <c r="G7460">
        <v>0</v>
      </c>
      <c r="H7460">
        <f>_xlfn.XLOOKUP(FACT_IMPORTS[[#This Row],[hts_6]],DIM_PRODUCTS[hts_6],DIM_PRODUCTS[hts_4],,,)</f>
        <v>8407</v>
      </c>
      <c r="I7460" t="str" cm="1">
        <f t="array" ref="I7460">_xlfn.XLOOKUP(FACT_IMPORTS[[#This Row],[country_name]],DIM_COUNTRY[[#All],[Column2]],DIM_COUNTRY[[#All],[Column3]],,,)</f>
        <v>Major_Non-USMCA_Non-China</v>
      </c>
    </row>
    <row r="7461" spans="1:9" x14ac:dyDescent="0.4">
      <c r="A7461" t="s">
        <v>71</v>
      </c>
      <c r="B7461" s="1">
        <v>45231</v>
      </c>
      <c r="C7461">
        <v>840790</v>
      </c>
      <c r="D7461" t="s">
        <v>176</v>
      </c>
      <c r="E7461">
        <v>5166</v>
      </c>
      <c r="F7461">
        <v>2</v>
      </c>
      <c r="G7461">
        <v>23</v>
      </c>
      <c r="H7461">
        <f>_xlfn.XLOOKUP(FACT_IMPORTS[[#This Row],[hts_6]],DIM_PRODUCTS[hts_6],DIM_PRODUCTS[hts_4],,,)</f>
        <v>8407</v>
      </c>
      <c r="I7461" t="str" cm="1">
        <f t="array" ref="I7461">_xlfn.XLOOKUP(FACT_IMPORTS[[#This Row],[country_name]],DIM_COUNTRY[[#All],[Column2]],DIM_COUNTRY[[#All],[Column3]],,,)</f>
        <v>Major_Non-USMCA_Non-China</v>
      </c>
    </row>
    <row r="7462" spans="1:9" x14ac:dyDescent="0.4">
      <c r="A7462" t="s">
        <v>71</v>
      </c>
      <c r="B7462" s="1">
        <v>45231</v>
      </c>
      <c r="C7462">
        <v>840820</v>
      </c>
      <c r="D7462" t="s">
        <v>176</v>
      </c>
      <c r="E7462">
        <v>0</v>
      </c>
      <c r="F7462">
        <v>0</v>
      </c>
      <c r="G7462">
        <v>0</v>
      </c>
      <c r="H7462">
        <f>_xlfn.XLOOKUP(FACT_IMPORTS[[#This Row],[hts_6]],DIM_PRODUCTS[hts_6],DIM_PRODUCTS[hts_4],,,)</f>
        <v>8408</v>
      </c>
      <c r="I7462" t="str" cm="1">
        <f t="array" ref="I7462">_xlfn.XLOOKUP(FACT_IMPORTS[[#This Row],[country_name]],DIM_COUNTRY[[#All],[Column2]],DIM_COUNTRY[[#All],[Column3]],,,)</f>
        <v>Major_Non-USMCA_Non-China</v>
      </c>
    </row>
    <row r="7463" spans="1:9" x14ac:dyDescent="0.4">
      <c r="A7463" t="s">
        <v>71</v>
      </c>
      <c r="B7463" s="1">
        <v>45231</v>
      </c>
      <c r="C7463">
        <v>840890</v>
      </c>
      <c r="D7463" t="s">
        <v>176</v>
      </c>
      <c r="E7463">
        <v>32576</v>
      </c>
      <c r="F7463">
        <v>1</v>
      </c>
      <c r="G7463">
        <v>16</v>
      </c>
      <c r="H7463">
        <f>_xlfn.XLOOKUP(FACT_IMPORTS[[#This Row],[hts_6]],DIM_PRODUCTS[hts_6],DIM_PRODUCTS[hts_4],,,)</f>
        <v>8408</v>
      </c>
      <c r="I7463" t="str" cm="1">
        <f t="array" ref="I7463">_xlfn.XLOOKUP(FACT_IMPORTS[[#This Row],[country_name]],DIM_COUNTRY[[#All],[Column2]],DIM_COUNTRY[[#All],[Column3]],,,)</f>
        <v>Major_Non-USMCA_Non-China</v>
      </c>
    </row>
    <row r="7464" spans="1:9" x14ac:dyDescent="0.4">
      <c r="A7464" t="s">
        <v>71</v>
      </c>
      <c r="B7464" s="1">
        <v>45231</v>
      </c>
      <c r="C7464">
        <v>840991</v>
      </c>
      <c r="D7464" t="s">
        <v>176</v>
      </c>
      <c r="E7464">
        <v>8996857</v>
      </c>
      <c r="F7464">
        <v>618472</v>
      </c>
      <c r="G7464">
        <v>270466</v>
      </c>
      <c r="H7464">
        <f>_xlfn.XLOOKUP(FACT_IMPORTS[[#This Row],[hts_6]],DIM_PRODUCTS[hts_6],DIM_PRODUCTS[hts_4],,,)</f>
        <v>8409</v>
      </c>
      <c r="I7464" t="str" cm="1">
        <f t="array" ref="I7464">_xlfn.XLOOKUP(FACT_IMPORTS[[#This Row],[country_name]],DIM_COUNTRY[[#All],[Column2]],DIM_COUNTRY[[#All],[Column3]],,,)</f>
        <v>Major_Non-USMCA_Non-China</v>
      </c>
    </row>
    <row r="7465" spans="1:9" x14ac:dyDescent="0.4">
      <c r="A7465" t="s">
        <v>71</v>
      </c>
      <c r="B7465" s="1">
        <v>45231</v>
      </c>
      <c r="C7465">
        <v>840999</v>
      </c>
      <c r="D7465" t="s">
        <v>176</v>
      </c>
      <c r="E7465">
        <v>16338</v>
      </c>
      <c r="F7465">
        <v>357</v>
      </c>
      <c r="G7465">
        <v>287</v>
      </c>
      <c r="H7465">
        <f>_xlfn.XLOOKUP(FACT_IMPORTS[[#This Row],[hts_6]],DIM_PRODUCTS[hts_6],DIM_PRODUCTS[hts_4],,,)</f>
        <v>8409</v>
      </c>
      <c r="I7465" t="str" cm="1">
        <f t="array" ref="I7465">_xlfn.XLOOKUP(FACT_IMPORTS[[#This Row],[country_name]],DIM_COUNTRY[[#All],[Column2]],DIM_COUNTRY[[#All],[Column3]],,,)</f>
        <v>Major_Non-USMCA_Non-China</v>
      </c>
    </row>
    <row r="7466" spans="1:9" x14ac:dyDescent="0.4">
      <c r="A7466" t="s">
        <v>71</v>
      </c>
      <c r="B7466" s="1">
        <v>45231</v>
      </c>
      <c r="C7466">
        <v>841330</v>
      </c>
      <c r="D7466" t="s">
        <v>176</v>
      </c>
      <c r="E7466">
        <v>33078</v>
      </c>
      <c r="F7466">
        <v>754</v>
      </c>
      <c r="G7466">
        <v>2795</v>
      </c>
      <c r="H7466">
        <f>_xlfn.XLOOKUP(FACT_IMPORTS[[#This Row],[hts_6]],DIM_PRODUCTS[hts_6],DIM_PRODUCTS[hts_4],,,)</f>
        <v>8413</v>
      </c>
      <c r="I7466" t="str" cm="1">
        <f t="array" ref="I7466">_xlfn.XLOOKUP(FACT_IMPORTS[[#This Row],[country_name]],DIM_COUNTRY[[#All],[Column2]],DIM_COUNTRY[[#All],[Column3]],,,)</f>
        <v>Major_Non-USMCA_Non-China</v>
      </c>
    </row>
    <row r="7467" spans="1:9" x14ac:dyDescent="0.4">
      <c r="A7467" t="s">
        <v>71</v>
      </c>
      <c r="B7467" s="1">
        <v>45231</v>
      </c>
      <c r="C7467">
        <v>841520</v>
      </c>
      <c r="D7467" t="s">
        <v>176</v>
      </c>
      <c r="E7467">
        <v>0</v>
      </c>
      <c r="F7467">
        <v>0</v>
      </c>
      <c r="G7467">
        <v>0</v>
      </c>
      <c r="H7467">
        <f>_xlfn.XLOOKUP(FACT_IMPORTS[[#This Row],[hts_6]],DIM_PRODUCTS[hts_6],DIM_PRODUCTS[hts_4],,,)</f>
        <v>8415</v>
      </c>
      <c r="I7467" t="str" cm="1">
        <f t="array" ref="I7467">_xlfn.XLOOKUP(FACT_IMPORTS[[#This Row],[country_name]],DIM_COUNTRY[[#All],[Column2]],DIM_COUNTRY[[#All],[Column3]],,,)</f>
        <v>Major_Non-USMCA_Non-China</v>
      </c>
    </row>
    <row r="7468" spans="1:9" x14ac:dyDescent="0.4">
      <c r="A7468" t="s">
        <v>71</v>
      </c>
      <c r="B7468" s="1">
        <v>45231</v>
      </c>
      <c r="C7468">
        <v>842132</v>
      </c>
      <c r="D7468" t="s">
        <v>176</v>
      </c>
      <c r="E7468">
        <v>97933</v>
      </c>
      <c r="F7468">
        <v>14</v>
      </c>
      <c r="G7468">
        <v>196</v>
      </c>
      <c r="H7468">
        <f>_xlfn.XLOOKUP(FACT_IMPORTS[[#This Row],[hts_6]],DIM_PRODUCTS[hts_6],DIM_PRODUCTS[hts_4],,,)</f>
        <v>8421</v>
      </c>
      <c r="I7468" t="str" cm="1">
        <f t="array" ref="I7468">_xlfn.XLOOKUP(FACT_IMPORTS[[#This Row],[country_name]],DIM_COUNTRY[[#All],[Column2]],DIM_COUNTRY[[#All],[Column3]],,,)</f>
        <v>Major_Non-USMCA_Non-China</v>
      </c>
    </row>
    <row r="7469" spans="1:9" x14ac:dyDescent="0.4">
      <c r="A7469" t="s">
        <v>71</v>
      </c>
      <c r="B7469" s="1">
        <v>45231</v>
      </c>
      <c r="C7469">
        <v>848210</v>
      </c>
      <c r="D7469" t="s">
        <v>176</v>
      </c>
      <c r="E7469">
        <v>40583</v>
      </c>
      <c r="F7469">
        <v>1228</v>
      </c>
      <c r="G7469">
        <v>2205</v>
      </c>
      <c r="H7469">
        <f>_xlfn.XLOOKUP(FACT_IMPORTS[[#This Row],[hts_6]],DIM_PRODUCTS[hts_6],DIM_PRODUCTS[hts_4],,,)</f>
        <v>8482</v>
      </c>
      <c r="I7469" t="str" cm="1">
        <f t="array" ref="I7469">_xlfn.XLOOKUP(FACT_IMPORTS[[#This Row],[country_name]],DIM_COUNTRY[[#All],[Column2]],DIM_COUNTRY[[#All],[Column3]],,,)</f>
        <v>Major_Non-USMCA_Non-China</v>
      </c>
    </row>
    <row r="7470" spans="1:9" x14ac:dyDescent="0.4">
      <c r="A7470" t="s">
        <v>71</v>
      </c>
      <c r="B7470" s="1">
        <v>45231</v>
      </c>
      <c r="C7470">
        <v>848220</v>
      </c>
      <c r="D7470" t="s">
        <v>176</v>
      </c>
      <c r="E7470">
        <v>289025</v>
      </c>
      <c r="F7470">
        <v>13684</v>
      </c>
      <c r="G7470">
        <v>2472</v>
      </c>
      <c r="H7470">
        <f>_xlfn.XLOOKUP(FACT_IMPORTS[[#This Row],[hts_6]],DIM_PRODUCTS[hts_6],DIM_PRODUCTS[hts_4],,,)</f>
        <v>8482</v>
      </c>
      <c r="I7470" t="str" cm="1">
        <f t="array" ref="I7470">_xlfn.XLOOKUP(FACT_IMPORTS[[#This Row],[country_name]],DIM_COUNTRY[[#All],[Column2]],DIM_COUNTRY[[#All],[Column3]],,,)</f>
        <v>Major_Non-USMCA_Non-China</v>
      </c>
    </row>
    <row r="7471" spans="1:9" x14ac:dyDescent="0.4">
      <c r="A7471" t="s">
        <v>71</v>
      </c>
      <c r="B7471" s="1">
        <v>45231</v>
      </c>
      <c r="C7471">
        <v>848310</v>
      </c>
      <c r="D7471" t="s">
        <v>176</v>
      </c>
      <c r="E7471">
        <v>891448</v>
      </c>
      <c r="F7471">
        <v>42293</v>
      </c>
      <c r="G7471">
        <v>3723</v>
      </c>
      <c r="H7471">
        <f>_xlfn.XLOOKUP(FACT_IMPORTS[[#This Row],[hts_6]],DIM_PRODUCTS[hts_6],DIM_PRODUCTS[hts_4],,,)</f>
        <v>8483</v>
      </c>
      <c r="I7471" t="str" cm="1">
        <f t="array" ref="I7471">_xlfn.XLOOKUP(FACT_IMPORTS[[#This Row],[country_name]],DIM_COUNTRY[[#All],[Column2]],DIM_COUNTRY[[#All],[Column3]],,,)</f>
        <v>Major_Non-USMCA_Non-China</v>
      </c>
    </row>
    <row r="7472" spans="1:9" x14ac:dyDescent="0.4">
      <c r="A7472" t="s">
        <v>71</v>
      </c>
      <c r="B7472" s="1">
        <v>45231</v>
      </c>
      <c r="C7472">
        <v>850131</v>
      </c>
      <c r="D7472" t="s">
        <v>176</v>
      </c>
      <c r="E7472">
        <v>2416137</v>
      </c>
      <c r="F7472">
        <v>71969</v>
      </c>
      <c r="G7472">
        <v>31510</v>
      </c>
      <c r="H7472">
        <f>_xlfn.XLOOKUP(FACT_IMPORTS[[#This Row],[hts_6]],DIM_PRODUCTS[hts_6],DIM_PRODUCTS[hts_4],,,)</f>
        <v>8501</v>
      </c>
      <c r="I7472" t="str" cm="1">
        <f t="array" ref="I7472">_xlfn.XLOOKUP(FACT_IMPORTS[[#This Row],[country_name]],DIM_COUNTRY[[#All],[Column2]],DIM_COUNTRY[[#All],[Column3]],,,)</f>
        <v>Major_Non-USMCA_Non-China</v>
      </c>
    </row>
    <row r="7473" spans="1:9" x14ac:dyDescent="0.4">
      <c r="A7473" t="s">
        <v>71</v>
      </c>
      <c r="B7473" s="1">
        <v>45231</v>
      </c>
      <c r="C7473">
        <v>850132</v>
      </c>
      <c r="D7473" t="s">
        <v>176</v>
      </c>
      <c r="E7473">
        <v>0</v>
      </c>
      <c r="F7473">
        <v>0</v>
      </c>
      <c r="G7473">
        <v>0</v>
      </c>
      <c r="H7473">
        <f>_xlfn.XLOOKUP(FACT_IMPORTS[[#This Row],[hts_6]],DIM_PRODUCTS[hts_6],DIM_PRODUCTS[hts_4],,,)</f>
        <v>8501</v>
      </c>
      <c r="I7473" t="str" cm="1">
        <f t="array" ref="I7473">_xlfn.XLOOKUP(FACT_IMPORTS[[#This Row],[country_name]],DIM_COUNTRY[[#All],[Column2]],DIM_COUNTRY[[#All],[Column3]],,,)</f>
        <v>Major_Non-USMCA_Non-China</v>
      </c>
    </row>
    <row r="7474" spans="1:9" x14ac:dyDescent="0.4">
      <c r="A7474" t="s">
        <v>71</v>
      </c>
      <c r="B7474" s="1">
        <v>45231</v>
      </c>
      <c r="C7474">
        <v>850133</v>
      </c>
      <c r="D7474" t="s">
        <v>176</v>
      </c>
      <c r="E7474">
        <v>0</v>
      </c>
      <c r="F7474">
        <v>0</v>
      </c>
      <c r="G7474">
        <v>0</v>
      </c>
      <c r="H7474">
        <f>_xlfn.XLOOKUP(FACT_IMPORTS[[#This Row],[hts_6]],DIM_PRODUCTS[hts_6],DIM_PRODUCTS[hts_4],,,)</f>
        <v>8501</v>
      </c>
      <c r="I7474" t="str" cm="1">
        <f t="array" ref="I7474">_xlfn.XLOOKUP(FACT_IMPORTS[[#This Row],[country_name]],DIM_COUNTRY[[#All],[Column2]],DIM_COUNTRY[[#All],[Column3]],,,)</f>
        <v>Major_Non-USMCA_Non-China</v>
      </c>
    </row>
    <row r="7475" spans="1:9" x14ac:dyDescent="0.4">
      <c r="A7475" t="s">
        <v>71</v>
      </c>
      <c r="B7475" s="1">
        <v>45231</v>
      </c>
      <c r="C7475">
        <v>850152</v>
      </c>
      <c r="D7475" t="s">
        <v>176</v>
      </c>
      <c r="E7475">
        <v>104645</v>
      </c>
      <c r="F7475">
        <v>127</v>
      </c>
      <c r="G7475">
        <v>999</v>
      </c>
      <c r="H7475">
        <f>_xlfn.XLOOKUP(FACT_IMPORTS[[#This Row],[hts_6]],DIM_PRODUCTS[hts_6],DIM_PRODUCTS[hts_4],,,)</f>
        <v>8501</v>
      </c>
      <c r="I7475" t="str" cm="1">
        <f t="array" ref="I7475">_xlfn.XLOOKUP(FACT_IMPORTS[[#This Row],[country_name]],DIM_COUNTRY[[#All],[Column2]],DIM_COUNTRY[[#All],[Column3]],,,)</f>
        <v>Major_Non-USMCA_Non-China</v>
      </c>
    </row>
    <row r="7476" spans="1:9" x14ac:dyDescent="0.4">
      <c r="A7476" t="s">
        <v>71</v>
      </c>
      <c r="B7476" s="1">
        <v>45231</v>
      </c>
      <c r="C7476">
        <v>850153</v>
      </c>
      <c r="D7476" t="s">
        <v>176</v>
      </c>
      <c r="E7476">
        <v>0</v>
      </c>
      <c r="F7476">
        <v>0</v>
      </c>
      <c r="G7476">
        <v>0</v>
      </c>
      <c r="H7476">
        <f>_xlfn.XLOOKUP(FACT_IMPORTS[[#This Row],[hts_6]],DIM_PRODUCTS[hts_6],DIM_PRODUCTS[hts_4],,,)</f>
        <v>8501</v>
      </c>
      <c r="I7476" t="str" cm="1">
        <f t="array" ref="I7476">_xlfn.XLOOKUP(FACT_IMPORTS[[#This Row],[country_name]],DIM_COUNTRY[[#All],[Column2]],DIM_COUNTRY[[#All],[Column3]],,,)</f>
        <v>Major_Non-USMCA_Non-China</v>
      </c>
    </row>
    <row r="7477" spans="1:9" x14ac:dyDescent="0.4">
      <c r="A7477" t="s">
        <v>71</v>
      </c>
      <c r="B7477" s="1">
        <v>45231</v>
      </c>
      <c r="C7477">
        <v>850161</v>
      </c>
      <c r="D7477" t="s">
        <v>176</v>
      </c>
      <c r="E7477">
        <v>5773</v>
      </c>
      <c r="F7477">
        <v>1</v>
      </c>
      <c r="G7477">
        <v>94</v>
      </c>
      <c r="H7477">
        <f>_xlfn.XLOOKUP(FACT_IMPORTS[[#This Row],[hts_6]],DIM_PRODUCTS[hts_6],DIM_PRODUCTS[hts_4],,,)</f>
        <v>8501</v>
      </c>
      <c r="I7477" t="str" cm="1">
        <f t="array" ref="I7477">_xlfn.XLOOKUP(FACT_IMPORTS[[#This Row],[country_name]],DIM_COUNTRY[[#All],[Column2]],DIM_COUNTRY[[#All],[Column3]],,,)</f>
        <v>Major_Non-USMCA_Non-China</v>
      </c>
    </row>
    <row r="7478" spans="1:9" x14ac:dyDescent="0.4">
      <c r="A7478" t="s">
        <v>71</v>
      </c>
      <c r="B7478" s="1">
        <v>45231</v>
      </c>
      <c r="C7478">
        <v>850440</v>
      </c>
      <c r="D7478" t="s">
        <v>176</v>
      </c>
      <c r="E7478">
        <v>353703</v>
      </c>
      <c r="F7478">
        <v>243</v>
      </c>
      <c r="G7478">
        <v>8089</v>
      </c>
      <c r="H7478">
        <f>_xlfn.XLOOKUP(FACT_IMPORTS[[#This Row],[hts_6]],DIM_PRODUCTS[hts_6],DIM_PRODUCTS[hts_4],,,)</f>
        <v>8504</v>
      </c>
      <c r="I7478" t="str" cm="1">
        <f t="array" ref="I7478">_xlfn.XLOOKUP(FACT_IMPORTS[[#This Row],[country_name]],DIM_COUNTRY[[#All],[Column2]],DIM_COUNTRY[[#All],[Column3]],,,)</f>
        <v>Major_Non-USMCA_Non-China</v>
      </c>
    </row>
    <row r="7479" spans="1:9" x14ac:dyDescent="0.4">
      <c r="A7479" t="s">
        <v>71</v>
      </c>
      <c r="B7479" s="1">
        <v>45231</v>
      </c>
      <c r="C7479">
        <v>850760</v>
      </c>
      <c r="D7479" t="s">
        <v>176</v>
      </c>
      <c r="E7479">
        <v>59954</v>
      </c>
      <c r="F7479">
        <v>549</v>
      </c>
      <c r="G7479">
        <v>496</v>
      </c>
      <c r="H7479">
        <f>_xlfn.XLOOKUP(FACT_IMPORTS[[#This Row],[hts_6]],DIM_PRODUCTS[hts_6],DIM_PRODUCTS[hts_4],,,)</f>
        <v>8507</v>
      </c>
      <c r="I7479" t="str" cm="1">
        <f t="array" ref="I7479">_xlfn.XLOOKUP(FACT_IMPORTS[[#This Row],[country_name]],DIM_COUNTRY[[#All],[Column2]],DIM_COUNTRY[[#All],[Column3]],,,)</f>
        <v>Major_Non-USMCA_Non-China</v>
      </c>
    </row>
    <row r="7480" spans="1:9" x14ac:dyDescent="0.4">
      <c r="A7480" t="s">
        <v>71</v>
      </c>
      <c r="B7480" s="1">
        <v>45231</v>
      </c>
      <c r="C7480">
        <v>850790</v>
      </c>
      <c r="D7480" t="s">
        <v>176</v>
      </c>
      <c r="E7480">
        <v>1485216</v>
      </c>
      <c r="F7480">
        <v>26541</v>
      </c>
      <c r="G7480">
        <v>7500</v>
      </c>
      <c r="H7480">
        <f>_xlfn.XLOOKUP(FACT_IMPORTS[[#This Row],[hts_6]],DIM_PRODUCTS[hts_6],DIM_PRODUCTS[hts_4],,,)</f>
        <v>8507</v>
      </c>
      <c r="I7480" t="str" cm="1">
        <f t="array" ref="I7480">_xlfn.XLOOKUP(FACT_IMPORTS[[#This Row],[country_name]],DIM_COUNTRY[[#All],[Column2]],DIM_COUNTRY[[#All],[Column3]],,,)</f>
        <v>Major_Non-USMCA_Non-China</v>
      </c>
    </row>
    <row r="7481" spans="1:9" x14ac:dyDescent="0.4">
      <c r="A7481" t="s">
        <v>71</v>
      </c>
      <c r="B7481" s="1">
        <v>45231</v>
      </c>
      <c r="C7481">
        <v>851110</v>
      </c>
      <c r="D7481" t="s">
        <v>176</v>
      </c>
      <c r="E7481">
        <v>269808</v>
      </c>
      <c r="F7481">
        <v>4817</v>
      </c>
      <c r="G7481">
        <v>15494</v>
      </c>
      <c r="H7481">
        <f>_xlfn.XLOOKUP(FACT_IMPORTS[[#This Row],[hts_6]],DIM_PRODUCTS[hts_6],DIM_PRODUCTS[hts_4],,,)</f>
        <v>8511</v>
      </c>
      <c r="I7481" t="str" cm="1">
        <f t="array" ref="I7481">_xlfn.XLOOKUP(FACT_IMPORTS[[#This Row],[country_name]],DIM_COUNTRY[[#All],[Column2]],DIM_COUNTRY[[#All],[Column3]],,,)</f>
        <v>Major_Non-USMCA_Non-China</v>
      </c>
    </row>
    <row r="7482" spans="1:9" x14ac:dyDescent="0.4">
      <c r="A7482" t="s">
        <v>71</v>
      </c>
      <c r="B7482" s="1">
        <v>45231</v>
      </c>
      <c r="C7482">
        <v>851130</v>
      </c>
      <c r="D7482" t="s">
        <v>176</v>
      </c>
      <c r="E7482">
        <v>66892</v>
      </c>
      <c r="F7482">
        <v>9408</v>
      </c>
      <c r="G7482">
        <v>872</v>
      </c>
      <c r="H7482">
        <f>_xlfn.XLOOKUP(FACT_IMPORTS[[#This Row],[hts_6]],DIM_PRODUCTS[hts_6],DIM_PRODUCTS[hts_4],,,)</f>
        <v>8511</v>
      </c>
      <c r="I7482" t="str" cm="1">
        <f t="array" ref="I7482">_xlfn.XLOOKUP(FACT_IMPORTS[[#This Row],[country_name]],DIM_COUNTRY[[#All],[Column2]],DIM_COUNTRY[[#All],[Column3]],,,)</f>
        <v>Major_Non-USMCA_Non-China</v>
      </c>
    </row>
    <row r="7483" spans="1:9" x14ac:dyDescent="0.4">
      <c r="A7483" t="s">
        <v>71</v>
      </c>
      <c r="B7483" s="1">
        <v>45231</v>
      </c>
      <c r="C7483">
        <v>851140</v>
      </c>
      <c r="D7483" t="s">
        <v>176</v>
      </c>
      <c r="E7483">
        <v>888987</v>
      </c>
      <c r="F7483">
        <v>11389</v>
      </c>
      <c r="G7483">
        <v>12006</v>
      </c>
      <c r="H7483">
        <f>_xlfn.XLOOKUP(FACT_IMPORTS[[#This Row],[hts_6]],DIM_PRODUCTS[hts_6],DIM_PRODUCTS[hts_4],,,)</f>
        <v>8511</v>
      </c>
      <c r="I7483" t="str" cm="1">
        <f t="array" ref="I7483">_xlfn.XLOOKUP(FACT_IMPORTS[[#This Row],[country_name]],DIM_COUNTRY[[#All],[Column2]],DIM_COUNTRY[[#All],[Column3]],,,)</f>
        <v>Major_Non-USMCA_Non-China</v>
      </c>
    </row>
    <row r="7484" spans="1:9" x14ac:dyDescent="0.4">
      <c r="A7484" t="s">
        <v>71</v>
      </c>
      <c r="B7484" s="1">
        <v>45231</v>
      </c>
      <c r="C7484">
        <v>851150</v>
      </c>
      <c r="D7484" t="s">
        <v>176</v>
      </c>
      <c r="E7484">
        <v>58372</v>
      </c>
      <c r="F7484">
        <v>316</v>
      </c>
      <c r="G7484">
        <v>1663</v>
      </c>
      <c r="H7484">
        <f>_xlfn.XLOOKUP(FACT_IMPORTS[[#This Row],[hts_6]],DIM_PRODUCTS[hts_6],DIM_PRODUCTS[hts_4],,,)</f>
        <v>8511</v>
      </c>
      <c r="I7484" t="str" cm="1">
        <f t="array" ref="I7484">_xlfn.XLOOKUP(FACT_IMPORTS[[#This Row],[country_name]],DIM_COUNTRY[[#All],[Column2]],DIM_COUNTRY[[#All],[Column3]],,,)</f>
        <v>Major_Non-USMCA_Non-China</v>
      </c>
    </row>
    <row r="7485" spans="1:9" x14ac:dyDescent="0.4">
      <c r="A7485" t="s">
        <v>71</v>
      </c>
      <c r="B7485" s="1">
        <v>45231</v>
      </c>
      <c r="C7485">
        <v>851180</v>
      </c>
      <c r="D7485" t="s">
        <v>176</v>
      </c>
      <c r="E7485">
        <v>0</v>
      </c>
      <c r="F7485">
        <v>0</v>
      </c>
      <c r="G7485">
        <v>0</v>
      </c>
      <c r="H7485">
        <f>_xlfn.XLOOKUP(FACT_IMPORTS[[#This Row],[hts_6]],DIM_PRODUCTS[hts_6],DIM_PRODUCTS[hts_4],,,)</f>
        <v>8511</v>
      </c>
      <c r="I7485" t="str" cm="1">
        <f t="array" ref="I7485">_xlfn.XLOOKUP(FACT_IMPORTS[[#This Row],[country_name]],DIM_COUNTRY[[#All],[Column2]],DIM_COUNTRY[[#All],[Column3]],,,)</f>
        <v>Major_Non-USMCA_Non-China</v>
      </c>
    </row>
    <row r="7486" spans="1:9" x14ac:dyDescent="0.4">
      <c r="A7486" t="s">
        <v>71</v>
      </c>
      <c r="B7486" s="1">
        <v>45231</v>
      </c>
      <c r="C7486">
        <v>851190</v>
      </c>
      <c r="D7486" t="s">
        <v>176</v>
      </c>
      <c r="E7486">
        <v>68170</v>
      </c>
      <c r="F7486">
        <v>4499</v>
      </c>
      <c r="G7486">
        <v>785</v>
      </c>
      <c r="H7486">
        <f>_xlfn.XLOOKUP(FACT_IMPORTS[[#This Row],[hts_6]],DIM_PRODUCTS[hts_6],DIM_PRODUCTS[hts_4],,,)</f>
        <v>8511</v>
      </c>
      <c r="I7486" t="str" cm="1">
        <f t="array" ref="I7486">_xlfn.XLOOKUP(FACT_IMPORTS[[#This Row],[country_name]],DIM_COUNTRY[[#All],[Column2]],DIM_COUNTRY[[#All],[Column3]],,,)</f>
        <v>Major_Non-USMCA_Non-China</v>
      </c>
    </row>
    <row r="7487" spans="1:9" x14ac:dyDescent="0.4">
      <c r="A7487" t="s">
        <v>71</v>
      </c>
      <c r="B7487" s="1">
        <v>45231</v>
      </c>
      <c r="C7487">
        <v>851220</v>
      </c>
      <c r="D7487" t="s">
        <v>176</v>
      </c>
      <c r="E7487">
        <v>2083</v>
      </c>
      <c r="F7487">
        <v>50</v>
      </c>
      <c r="G7487">
        <v>9</v>
      </c>
      <c r="H7487">
        <f>_xlfn.XLOOKUP(FACT_IMPORTS[[#This Row],[hts_6]],DIM_PRODUCTS[hts_6],DIM_PRODUCTS[hts_4],,,)</f>
        <v>8512</v>
      </c>
      <c r="I7487" t="str" cm="1">
        <f t="array" ref="I7487">_xlfn.XLOOKUP(FACT_IMPORTS[[#This Row],[country_name]],DIM_COUNTRY[[#All],[Column2]],DIM_COUNTRY[[#All],[Column3]],,,)</f>
        <v>Major_Non-USMCA_Non-China</v>
      </c>
    </row>
    <row r="7488" spans="1:9" x14ac:dyDescent="0.4">
      <c r="A7488" t="s">
        <v>71</v>
      </c>
      <c r="B7488" s="1">
        <v>45231</v>
      </c>
      <c r="C7488">
        <v>851230</v>
      </c>
      <c r="D7488" t="s">
        <v>176</v>
      </c>
      <c r="E7488">
        <v>11785</v>
      </c>
      <c r="F7488">
        <v>485</v>
      </c>
      <c r="G7488">
        <v>395</v>
      </c>
      <c r="H7488">
        <f>_xlfn.XLOOKUP(FACT_IMPORTS[[#This Row],[hts_6]],DIM_PRODUCTS[hts_6],DIM_PRODUCTS[hts_4],,,)</f>
        <v>8512</v>
      </c>
      <c r="I7488" t="str" cm="1">
        <f t="array" ref="I7488">_xlfn.XLOOKUP(FACT_IMPORTS[[#This Row],[country_name]],DIM_COUNTRY[[#All],[Column2]],DIM_COUNTRY[[#All],[Column3]],,,)</f>
        <v>Major_Non-USMCA_Non-China</v>
      </c>
    </row>
    <row r="7489" spans="1:9" x14ac:dyDescent="0.4">
      <c r="A7489" t="s">
        <v>71</v>
      </c>
      <c r="B7489" s="1">
        <v>45231</v>
      </c>
      <c r="C7489">
        <v>851290</v>
      </c>
      <c r="D7489" t="s">
        <v>176</v>
      </c>
      <c r="E7489">
        <v>83331</v>
      </c>
      <c r="F7489">
        <v>5582</v>
      </c>
      <c r="G7489">
        <v>1897</v>
      </c>
      <c r="H7489">
        <f>_xlfn.XLOOKUP(FACT_IMPORTS[[#This Row],[hts_6]],DIM_PRODUCTS[hts_6],DIM_PRODUCTS[hts_4],,,)</f>
        <v>8512</v>
      </c>
      <c r="I7489" t="str" cm="1">
        <f t="array" ref="I7489">_xlfn.XLOOKUP(FACT_IMPORTS[[#This Row],[country_name]],DIM_COUNTRY[[#All],[Column2]],DIM_COUNTRY[[#All],[Column3]],,,)</f>
        <v>Major_Non-USMCA_Non-China</v>
      </c>
    </row>
    <row r="7490" spans="1:9" x14ac:dyDescent="0.4">
      <c r="A7490" t="s">
        <v>71</v>
      </c>
      <c r="B7490" s="1">
        <v>45231</v>
      </c>
      <c r="C7490">
        <v>854231</v>
      </c>
      <c r="D7490" t="s">
        <v>176</v>
      </c>
      <c r="E7490">
        <v>211332</v>
      </c>
      <c r="F7490">
        <v>10731</v>
      </c>
      <c r="G7490">
        <v>2024</v>
      </c>
      <c r="H7490">
        <f>_xlfn.XLOOKUP(FACT_IMPORTS[[#This Row],[hts_6]],DIM_PRODUCTS[hts_6],DIM_PRODUCTS[hts_4],,,)</f>
        <v>8542</v>
      </c>
      <c r="I7490" t="str" cm="1">
        <f t="array" ref="I7490">_xlfn.XLOOKUP(FACT_IMPORTS[[#This Row],[country_name]],DIM_COUNTRY[[#All],[Column2]],DIM_COUNTRY[[#All],[Column3]],,,)</f>
        <v>Major_Non-USMCA_Non-China</v>
      </c>
    </row>
    <row r="7491" spans="1:9" x14ac:dyDescent="0.4">
      <c r="A7491" t="s">
        <v>71</v>
      </c>
      <c r="B7491" s="1">
        <v>45231</v>
      </c>
      <c r="C7491">
        <v>854232</v>
      </c>
      <c r="D7491" t="s">
        <v>176</v>
      </c>
      <c r="E7491">
        <v>0</v>
      </c>
      <c r="F7491">
        <v>0</v>
      </c>
      <c r="G7491">
        <v>0</v>
      </c>
      <c r="H7491">
        <f>_xlfn.XLOOKUP(FACT_IMPORTS[[#This Row],[hts_6]],DIM_PRODUCTS[hts_6],DIM_PRODUCTS[hts_4],,,)</f>
        <v>8542</v>
      </c>
      <c r="I7491" t="str" cm="1">
        <f t="array" ref="I7491">_xlfn.XLOOKUP(FACT_IMPORTS[[#This Row],[country_name]],DIM_COUNTRY[[#All],[Column2]],DIM_COUNTRY[[#All],[Column3]],,,)</f>
        <v>Major_Non-USMCA_Non-China</v>
      </c>
    </row>
    <row r="7492" spans="1:9" x14ac:dyDescent="0.4">
      <c r="A7492" t="s">
        <v>71</v>
      </c>
      <c r="B7492" s="1">
        <v>45231</v>
      </c>
      <c r="C7492">
        <v>854233</v>
      </c>
      <c r="D7492" t="s">
        <v>176</v>
      </c>
      <c r="E7492">
        <v>0</v>
      </c>
      <c r="F7492">
        <v>0</v>
      </c>
      <c r="G7492">
        <v>0</v>
      </c>
      <c r="H7492">
        <f>_xlfn.XLOOKUP(FACT_IMPORTS[[#This Row],[hts_6]],DIM_PRODUCTS[hts_6],DIM_PRODUCTS[hts_4],,,)</f>
        <v>8542</v>
      </c>
      <c r="I7492" t="str" cm="1">
        <f t="array" ref="I7492">_xlfn.XLOOKUP(FACT_IMPORTS[[#This Row],[country_name]],DIM_COUNTRY[[#All],[Column2]],DIM_COUNTRY[[#All],[Column3]],,,)</f>
        <v>Major_Non-USMCA_Non-China</v>
      </c>
    </row>
    <row r="7493" spans="1:9" x14ac:dyDescent="0.4">
      <c r="A7493" t="s">
        <v>71</v>
      </c>
      <c r="B7493" s="1">
        <v>45231</v>
      </c>
      <c r="C7493">
        <v>854239</v>
      </c>
      <c r="D7493" t="s">
        <v>176</v>
      </c>
      <c r="E7493">
        <v>0</v>
      </c>
      <c r="F7493">
        <v>0</v>
      </c>
      <c r="G7493">
        <v>0</v>
      </c>
      <c r="H7493">
        <f>_xlfn.XLOOKUP(FACT_IMPORTS[[#This Row],[hts_6]],DIM_PRODUCTS[hts_6],DIM_PRODUCTS[hts_4],,,)</f>
        <v>8542</v>
      </c>
      <c r="I7493" t="str" cm="1">
        <f t="array" ref="I7493">_xlfn.XLOOKUP(FACT_IMPORTS[[#This Row],[country_name]],DIM_COUNTRY[[#All],[Column2]],DIM_COUNTRY[[#All],[Column3]],,,)</f>
        <v>Major_Non-USMCA_Non-China</v>
      </c>
    </row>
    <row r="7494" spans="1:9" x14ac:dyDescent="0.4">
      <c r="A7494" t="s">
        <v>71</v>
      </c>
      <c r="B7494" s="1">
        <v>45231</v>
      </c>
      <c r="C7494">
        <v>854430</v>
      </c>
      <c r="D7494" t="s">
        <v>176</v>
      </c>
      <c r="E7494">
        <v>11331</v>
      </c>
      <c r="F7494">
        <v>8010</v>
      </c>
      <c r="G7494">
        <v>110</v>
      </c>
      <c r="H7494">
        <f>_xlfn.XLOOKUP(FACT_IMPORTS[[#This Row],[hts_6]],DIM_PRODUCTS[hts_6],DIM_PRODUCTS[hts_4],,,)</f>
        <v>8544</v>
      </c>
      <c r="I7494" t="str" cm="1">
        <f t="array" ref="I7494">_xlfn.XLOOKUP(FACT_IMPORTS[[#This Row],[country_name]],DIM_COUNTRY[[#All],[Column2]],DIM_COUNTRY[[#All],[Column3]],,,)</f>
        <v>Major_Non-USMCA_Non-China</v>
      </c>
    </row>
    <row r="7495" spans="1:9" x14ac:dyDescent="0.4">
      <c r="A7495" t="s">
        <v>71</v>
      </c>
      <c r="B7495" s="1">
        <v>45231</v>
      </c>
      <c r="C7495">
        <v>870710</v>
      </c>
      <c r="D7495" t="s">
        <v>176</v>
      </c>
      <c r="E7495">
        <v>0</v>
      </c>
      <c r="F7495">
        <v>0</v>
      </c>
      <c r="G7495">
        <v>0</v>
      </c>
      <c r="H7495">
        <f>_xlfn.XLOOKUP(FACT_IMPORTS[[#This Row],[hts_6]],DIM_PRODUCTS[hts_6],DIM_PRODUCTS[hts_4],,,)</f>
        <v>8707</v>
      </c>
      <c r="I7495" t="str" cm="1">
        <f t="array" ref="I7495">_xlfn.XLOOKUP(FACT_IMPORTS[[#This Row],[country_name]],DIM_COUNTRY[[#All],[Column2]],DIM_COUNTRY[[#All],[Column3]],,,)</f>
        <v>Major_Non-USMCA_Non-China</v>
      </c>
    </row>
    <row r="7496" spans="1:9" x14ac:dyDescent="0.4">
      <c r="A7496" t="s">
        <v>71</v>
      </c>
      <c r="B7496" s="1">
        <v>45231</v>
      </c>
      <c r="C7496">
        <v>870790</v>
      </c>
      <c r="D7496" t="s">
        <v>176</v>
      </c>
      <c r="E7496">
        <v>84080</v>
      </c>
      <c r="F7496">
        <v>8</v>
      </c>
      <c r="G7496">
        <v>9769</v>
      </c>
      <c r="H7496">
        <f>_xlfn.XLOOKUP(FACT_IMPORTS[[#This Row],[hts_6]],DIM_PRODUCTS[hts_6],DIM_PRODUCTS[hts_4],,,)</f>
        <v>8707</v>
      </c>
      <c r="I7496" t="str" cm="1">
        <f t="array" ref="I7496">_xlfn.XLOOKUP(FACT_IMPORTS[[#This Row],[country_name]],DIM_COUNTRY[[#All],[Column2]],DIM_COUNTRY[[#All],[Column3]],,,)</f>
        <v>Major_Non-USMCA_Non-China</v>
      </c>
    </row>
    <row r="7497" spans="1:9" x14ac:dyDescent="0.4">
      <c r="A7497" t="s">
        <v>71</v>
      </c>
      <c r="B7497" s="1">
        <v>45231</v>
      </c>
      <c r="C7497">
        <v>870810</v>
      </c>
      <c r="D7497" t="s">
        <v>176</v>
      </c>
      <c r="E7497">
        <v>2580</v>
      </c>
      <c r="F7497">
        <v>20</v>
      </c>
      <c r="G7497">
        <v>0</v>
      </c>
      <c r="H7497">
        <f>_xlfn.XLOOKUP(FACT_IMPORTS[[#This Row],[hts_6]],DIM_PRODUCTS[hts_6],DIM_PRODUCTS[hts_4],,,)</f>
        <v>8708</v>
      </c>
      <c r="I7497" t="str" cm="1">
        <f t="array" ref="I7497">_xlfn.XLOOKUP(FACT_IMPORTS[[#This Row],[country_name]],DIM_COUNTRY[[#All],[Column2]],DIM_COUNTRY[[#All],[Column3]],,,)</f>
        <v>Major_Non-USMCA_Non-China</v>
      </c>
    </row>
    <row r="7498" spans="1:9" x14ac:dyDescent="0.4">
      <c r="A7498" t="s">
        <v>71</v>
      </c>
      <c r="B7498" s="1">
        <v>45231</v>
      </c>
      <c r="C7498">
        <v>870829</v>
      </c>
      <c r="D7498" t="s">
        <v>176</v>
      </c>
      <c r="E7498">
        <v>3878843</v>
      </c>
      <c r="F7498">
        <v>288603</v>
      </c>
      <c r="G7498">
        <v>77951</v>
      </c>
      <c r="H7498">
        <f>_xlfn.XLOOKUP(FACT_IMPORTS[[#This Row],[hts_6]],DIM_PRODUCTS[hts_6],DIM_PRODUCTS[hts_4],,,)</f>
        <v>8708</v>
      </c>
      <c r="I7498" t="str" cm="1">
        <f t="array" ref="I7498">_xlfn.XLOOKUP(FACT_IMPORTS[[#This Row],[country_name]],DIM_COUNTRY[[#All],[Column2]],DIM_COUNTRY[[#All],[Column3]],,,)</f>
        <v>Major_Non-USMCA_Non-China</v>
      </c>
    </row>
    <row r="7499" spans="1:9" x14ac:dyDescent="0.4">
      <c r="A7499" t="s">
        <v>71</v>
      </c>
      <c r="B7499" s="1">
        <v>45231</v>
      </c>
      <c r="C7499">
        <v>870830</v>
      </c>
      <c r="D7499" t="s">
        <v>176</v>
      </c>
      <c r="E7499">
        <v>1366106</v>
      </c>
      <c r="F7499">
        <v>170640</v>
      </c>
      <c r="G7499">
        <v>9252</v>
      </c>
      <c r="H7499">
        <f>_xlfn.XLOOKUP(FACT_IMPORTS[[#This Row],[hts_6]],DIM_PRODUCTS[hts_6],DIM_PRODUCTS[hts_4],,,)</f>
        <v>8708</v>
      </c>
      <c r="I7499" t="str" cm="1">
        <f t="array" ref="I7499">_xlfn.XLOOKUP(FACT_IMPORTS[[#This Row],[country_name]],DIM_COUNTRY[[#All],[Column2]],DIM_COUNTRY[[#All],[Column3]],,,)</f>
        <v>Major_Non-USMCA_Non-China</v>
      </c>
    </row>
    <row r="7500" spans="1:9" x14ac:dyDescent="0.4">
      <c r="A7500" t="s">
        <v>71</v>
      </c>
      <c r="B7500" s="1">
        <v>45231</v>
      </c>
      <c r="C7500">
        <v>870840</v>
      </c>
      <c r="D7500" t="s">
        <v>176</v>
      </c>
      <c r="E7500">
        <v>1247914</v>
      </c>
      <c r="F7500">
        <v>39264</v>
      </c>
      <c r="G7500">
        <v>47407</v>
      </c>
      <c r="H7500">
        <f>_xlfn.XLOOKUP(FACT_IMPORTS[[#This Row],[hts_6]],DIM_PRODUCTS[hts_6],DIM_PRODUCTS[hts_4],,,)</f>
        <v>8708</v>
      </c>
      <c r="I7500" t="str" cm="1">
        <f t="array" ref="I7500">_xlfn.XLOOKUP(FACT_IMPORTS[[#This Row],[country_name]],DIM_COUNTRY[[#All],[Column2]],DIM_COUNTRY[[#All],[Column3]],,,)</f>
        <v>Major_Non-USMCA_Non-China</v>
      </c>
    </row>
    <row r="7501" spans="1:9" x14ac:dyDescent="0.4">
      <c r="A7501" t="s">
        <v>71</v>
      </c>
      <c r="B7501" s="1">
        <v>45231</v>
      </c>
      <c r="C7501">
        <v>870850</v>
      </c>
      <c r="D7501" t="s">
        <v>176</v>
      </c>
      <c r="E7501">
        <v>2302</v>
      </c>
      <c r="F7501">
        <v>1</v>
      </c>
      <c r="G7501">
        <v>196</v>
      </c>
      <c r="H7501">
        <f>_xlfn.XLOOKUP(FACT_IMPORTS[[#This Row],[hts_6]],DIM_PRODUCTS[hts_6],DIM_PRODUCTS[hts_4],,,)</f>
        <v>8708</v>
      </c>
      <c r="I7501" t="str" cm="1">
        <f t="array" ref="I7501">_xlfn.XLOOKUP(FACT_IMPORTS[[#This Row],[country_name]],DIM_COUNTRY[[#All],[Column2]],DIM_COUNTRY[[#All],[Column3]],,,)</f>
        <v>Major_Non-USMCA_Non-China</v>
      </c>
    </row>
    <row r="7502" spans="1:9" x14ac:dyDescent="0.4">
      <c r="A7502" t="s">
        <v>71</v>
      </c>
      <c r="B7502" s="1">
        <v>45231</v>
      </c>
      <c r="C7502">
        <v>870870</v>
      </c>
      <c r="D7502" t="s">
        <v>176</v>
      </c>
      <c r="E7502">
        <v>13430</v>
      </c>
      <c r="F7502">
        <v>1119</v>
      </c>
      <c r="G7502">
        <v>200</v>
      </c>
      <c r="H7502">
        <f>_xlfn.XLOOKUP(FACT_IMPORTS[[#This Row],[hts_6]],DIM_PRODUCTS[hts_6],DIM_PRODUCTS[hts_4],,,)</f>
        <v>8708</v>
      </c>
      <c r="I7502" t="str" cm="1">
        <f t="array" ref="I7502">_xlfn.XLOOKUP(FACT_IMPORTS[[#This Row],[country_name]],DIM_COUNTRY[[#All],[Column2]],DIM_COUNTRY[[#All],[Column3]],,,)</f>
        <v>Major_Non-USMCA_Non-China</v>
      </c>
    </row>
    <row r="7503" spans="1:9" x14ac:dyDescent="0.4">
      <c r="A7503" t="s">
        <v>71</v>
      </c>
      <c r="B7503" s="1">
        <v>45231</v>
      </c>
      <c r="C7503">
        <v>870880</v>
      </c>
      <c r="D7503" t="s">
        <v>176</v>
      </c>
      <c r="E7503">
        <v>268920</v>
      </c>
      <c r="F7503">
        <v>10966</v>
      </c>
      <c r="G7503">
        <v>19873</v>
      </c>
      <c r="H7503">
        <f>_xlfn.XLOOKUP(FACT_IMPORTS[[#This Row],[hts_6]],DIM_PRODUCTS[hts_6],DIM_PRODUCTS[hts_4],,,)</f>
        <v>8708</v>
      </c>
      <c r="I7503" t="str" cm="1">
        <f t="array" ref="I7503">_xlfn.XLOOKUP(FACT_IMPORTS[[#This Row],[country_name]],DIM_COUNTRY[[#All],[Column2]],DIM_COUNTRY[[#All],[Column3]],,,)</f>
        <v>Major_Non-USMCA_Non-China</v>
      </c>
    </row>
    <row r="7504" spans="1:9" x14ac:dyDescent="0.4">
      <c r="A7504" t="s">
        <v>71</v>
      </c>
      <c r="B7504" s="1">
        <v>45231</v>
      </c>
      <c r="C7504">
        <v>870891</v>
      </c>
      <c r="D7504" t="s">
        <v>176</v>
      </c>
      <c r="E7504">
        <v>215901</v>
      </c>
      <c r="F7504">
        <v>111583</v>
      </c>
      <c r="G7504">
        <v>2720</v>
      </c>
      <c r="H7504">
        <f>_xlfn.XLOOKUP(FACT_IMPORTS[[#This Row],[hts_6]],DIM_PRODUCTS[hts_6],DIM_PRODUCTS[hts_4],,,)</f>
        <v>8708</v>
      </c>
      <c r="I7504" t="str" cm="1">
        <f t="array" ref="I7504">_xlfn.XLOOKUP(FACT_IMPORTS[[#This Row],[country_name]],DIM_COUNTRY[[#All],[Column2]],DIM_COUNTRY[[#All],[Column3]],,,)</f>
        <v>Major_Non-USMCA_Non-China</v>
      </c>
    </row>
    <row r="7505" spans="1:9" x14ac:dyDescent="0.4">
      <c r="A7505" t="s">
        <v>71</v>
      </c>
      <c r="B7505" s="1">
        <v>45231</v>
      </c>
      <c r="C7505">
        <v>870892</v>
      </c>
      <c r="D7505" t="s">
        <v>176</v>
      </c>
      <c r="E7505">
        <v>10865</v>
      </c>
      <c r="F7505">
        <v>3</v>
      </c>
      <c r="G7505">
        <v>89</v>
      </c>
      <c r="H7505">
        <f>_xlfn.XLOOKUP(FACT_IMPORTS[[#This Row],[hts_6]],DIM_PRODUCTS[hts_6],DIM_PRODUCTS[hts_4],,,)</f>
        <v>8708</v>
      </c>
      <c r="I7505" t="str" cm="1">
        <f t="array" ref="I7505">_xlfn.XLOOKUP(FACT_IMPORTS[[#This Row],[country_name]],DIM_COUNTRY[[#All],[Column2]],DIM_COUNTRY[[#All],[Column3]],,,)</f>
        <v>Major_Non-USMCA_Non-China</v>
      </c>
    </row>
    <row r="7506" spans="1:9" x14ac:dyDescent="0.4">
      <c r="A7506" t="s">
        <v>71</v>
      </c>
      <c r="B7506" s="1">
        <v>45231</v>
      </c>
      <c r="C7506">
        <v>870893</v>
      </c>
      <c r="D7506" t="s">
        <v>176</v>
      </c>
      <c r="E7506">
        <v>55820</v>
      </c>
      <c r="F7506">
        <v>44524</v>
      </c>
      <c r="G7506">
        <v>7416</v>
      </c>
      <c r="H7506">
        <f>_xlfn.XLOOKUP(FACT_IMPORTS[[#This Row],[hts_6]],DIM_PRODUCTS[hts_6],DIM_PRODUCTS[hts_4],,,)</f>
        <v>8708</v>
      </c>
      <c r="I7506" t="str" cm="1">
        <f t="array" ref="I7506">_xlfn.XLOOKUP(FACT_IMPORTS[[#This Row],[country_name]],DIM_COUNTRY[[#All],[Column2]],DIM_COUNTRY[[#All],[Column3]],,,)</f>
        <v>Major_Non-USMCA_Non-China</v>
      </c>
    </row>
    <row r="7507" spans="1:9" x14ac:dyDescent="0.4">
      <c r="A7507" t="s">
        <v>71</v>
      </c>
      <c r="B7507" s="1">
        <v>45231</v>
      </c>
      <c r="C7507">
        <v>870894</v>
      </c>
      <c r="D7507" t="s">
        <v>176</v>
      </c>
      <c r="E7507">
        <v>164210</v>
      </c>
      <c r="F7507">
        <v>12650</v>
      </c>
      <c r="G7507">
        <v>5614</v>
      </c>
      <c r="H7507">
        <f>_xlfn.XLOOKUP(FACT_IMPORTS[[#This Row],[hts_6]],DIM_PRODUCTS[hts_6],DIM_PRODUCTS[hts_4],,,)</f>
        <v>8708</v>
      </c>
      <c r="I7507" t="str" cm="1">
        <f t="array" ref="I7507">_xlfn.XLOOKUP(FACT_IMPORTS[[#This Row],[country_name]],DIM_COUNTRY[[#All],[Column2]],DIM_COUNTRY[[#All],[Column3]],,,)</f>
        <v>Major_Non-USMCA_Non-China</v>
      </c>
    </row>
    <row r="7508" spans="1:9" x14ac:dyDescent="0.4">
      <c r="A7508" t="s">
        <v>71</v>
      </c>
      <c r="B7508" s="1">
        <v>45231</v>
      </c>
      <c r="C7508">
        <v>870895</v>
      </c>
      <c r="D7508" t="s">
        <v>176</v>
      </c>
      <c r="E7508">
        <v>20526</v>
      </c>
      <c r="F7508">
        <v>2263</v>
      </c>
      <c r="G7508">
        <v>1245</v>
      </c>
      <c r="H7508">
        <f>_xlfn.XLOOKUP(FACT_IMPORTS[[#This Row],[hts_6]],DIM_PRODUCTS[hts_6],DIM_PRODUCTS[hts_4],,,)</f>
        <v>8708</v>
      </c>
      <c r="I7508" t="str" cm="1">
        <f t="array" ref="I7508">_xlfn.XLOOKUP(FACT_IMPORTS[[#This Row],[country_name]],DIM_COUNTRY[[#All],[Column2]],DIM_COUNTRY[[#All],[Column3]],,,)</f>
        <v>Major_Non-USMCA_Non-China</v>
      </c>
    </row>
    <row r="7509" spans="1:9" x14ac:dyDescent="0.4">
      <c r="A7509" t="s">
        <v>71</v>
      </c>
      <c r="B7509" s="1">
        <v>45231</v>
      </c>
      <c r="C7509">
        <v>870899</v>
      </c>
      <c r="D7509" t="s">
        <v>176</v>
      </c>
      <c r="E7509">
        <v>3844996</v>
      </c>
      <c r="F7509">
        <v>2826627</v>
      </c>
      <c r="G7509">
        <v>59552</v>
      </c>
      <c r="H7509">
        <f>_xlfn.XLOOKUP(FACT_IMPORTS[[#This Row],[hts_6]],DIM_PRODUCTS[hts_6],DIM_PRODUCTS[hts_4],,,)</f>
        <v>8708</v>
      </c>
      <c r="I7509" t="str" cm="1">
        <f t="array" ref="I7509">_xlfn.XLOOKUP(FACT_IMPORTS[[#This Row],[country_name]],DIM_COUNTRY[[#All],[Column2]],DIM_COUNTRY[[#All],[Column3]],,,)</f>
        <v>Major_Non-USMCA_Non-China</v>
      </c>
    </row>
    <row r="7510" spans="1:9" x14ac:dyDescent="0.4">
      <c r="A7510" t="s">
        <v>71</v>
      </c>
      <c r="B7510" s="1">
        <v>45231</v>
      </c>
      <c r="C7510">
        <v>940120</v>
      </c>
      <c r="D7510" t="s">
        <v>176</v>
      </c>
      <c r="E7510">
        <v>3068</v>
      </c>
      <c r="F7510">
        <v>2</v>
      </c>
      <c r="G7510">
        <v>8</v>
      </c>
      <c r="H7510">
        <f>_xlfn.XLOOKUP(FACT_IMPORTS[[#This Row],[hts_6]],DIM_PRODUCTS[hts_6],DIM_PRODUCTS[hts_4],,,)</f>
        <v>9401</v>
      </c>
      <c r="I7510" t="str" cm="1">
        <f t="array" ref="I7510">_xlfn.XLOOKUP(FACT_IMPORTS[[#This Row],[country_name]],DIM_COUNTRY[[#All],[Column2]],DIM_COUNTRY[[#All],[Column3]],,,)</f>
        <v>Major_Non-USMCA_Non-China</v>
      </c>
    </row>
    <row r="7511" spans="1:9" x14ac:dyDescent="0.4">
      <c r="A7511" t="s">
        <v>71</v>
      </c>
      <c r="B7511" s="1">
        <v>45261</v>
      </c>
      <c r="C7511">
        <v>392630</v>
      </c>
      <c r="D7511" t="s">
        <v>176</v>
      </c>
      <c r="E7511">
        <v>0</v>
      </c>
      <c r="F7511">
        <v>0</v>
      </c>
      <c r="G7511">
        <v>0</v>
      </c>
      <c r="H7511">
        <f>_xlfn.XLOOKUP(FACT_IMPORTS[[#This Row],[hts_6]],DIM_PRODUCTS[hts_6],DIM_PRODUCTS[hts_4],,,)</f>
        <v>3926</v>
      </c>
      <c r="I7511" t="str" cm="1">
        <f t="array" ref="I7511">_xlfn.XLOOKUP(FACT_IMPORTS[[#This Row],[country_name]],DIM_COUNTRY[[#All],[Column2]],DIM_COUNTRY[[#All],[Column3]],,,)</f>
        <v>Major_Non-USMCA_Non-China</v>
      </c>
    </row>
    <row r="7512" spans="1:9" x14ac:dyDescent="0.4">
      <c r="A7512" t="s">
        <v>71</v>
      </c>
      <c r="B7512" s="1">
        <v>45261</v>
      </c>
      <c r="C7512">
        <v>401110</v>
      </c>
      <c r="D7512" t="s">
        <v>176</v>
      </c>
      <c r="E7512">
        <v>6469</v>
      </c>
      <c r="F7512">
        <v>45</v>
      </c>
      <c r="G7512">
        <v>334</v>
      </c>
      <c r="H7512">
        <f>_xlfn.XLOOKUP(FACT_IMPORTS[[#This Row],[hts_6]],DIM_PRODUCTS[hts_6],DIM_PRODUCTS[hts_4],,,)</f>
        <v>4011</v>
      </c>
      <c r="I7512" t="str" cm="1">
        <f t="array" ref="I7512">_xlfn.XLOOKUP(FACT_IMPORTS[[#This Row],[country_name]],DIM_COUNTRY[[#All],[Column2]],DIM_COUNTRY[[#All],[Column3]],,,)</f>
        <v>Major_Non-USMCA_Non-China</v>
      </c>
    </row>
    <row r="7513" spans="1:9" x14ac:dyDescent="0.4">
      <c r="A7513" t="s">
        <v>71</v>
      </c>
      <c r="B7513" s="1">
        <v>45261</v>
      </c>
      <c r="C7513">
        <v>401120</v>
      </c>
      <c r="D7513" t="s">
        <v>176</v>
      </c>
      <c r="E7513">
        <v>135179</v>
      </c>
      <c r="F7513">
        <v>710</v>
      </c>
      <c r="G7513">
        <v>8183</v>
      </c>
      <c r="H7513">
        <f>_xlfn.XLOOKUP(FACT_IMPORTS[[#This Row],[hts_6]],DIM_PRODUCTS[hts_6],DIM_PRODUCTS[hts_4],,,)</f>
        <v>4011</v>
      </c>
      <c r="I7513" t="str" cm="1">
        <f t="array" ref="I7513">_xlfn.XLOOKUP(FACT_IMPORTS[[#This Row],[country_name]],DIM_COUNTRY[[#All],[Column2]],DIM_COUNTRY[[#All],[Column3]],,,)</f>
        <v>Major_Non-USMCA_Non-China</v>
      </c>
    </row>
    <row r="7514" spans="1:9" x14ac:dyDescent="0.4">
      <c r="A7514" t="s">
        <v>71</v>
      </c>
      <c r="B7514" s="1">
        <v>45261</v>
      </c>
      <c r="C7514">
        <v>401140</v>
      </c>
      <c r="D7514" t="s">
        <v>176</v>
      </c>
      <c r="E7514">
        <v>0</v>
      </c>
      <c r="F7514">
        <v>0</v>
      </c>
      <c r="G7514">
        <v>0</v>
      </c>
      <c r="H7514">
        <f>_xlfn.XLOOKUP(FACT_IMPORTS[[#This Row],[hts_6]],DIM_PRODUCTS[hts_6],DIM_PRODUCTS[hts_4],,,)</f>
        <v>4011</v>
      </c>
      <c r="I7514" t="str" cm="1">
        <f t="array" ref="I7514">_xlfn.XLOOKUP(FACT_IMPORTS[[#This Row],[country_name]],DIM_COUNTRY[[#All],[Column2]],DIM_COUNTRY[[#All],[Column3]],,,)</f>
        <v>Major_Non-USMCA_Non-China</v>
      </c>
    </row>
    <row r="7515" spans="1:9" x14ac:dyDescent="0.4">
      <c r="A7515" t="s">
        <v>71</v>
      </c>
      <c r="B7515" s="1">
        <v>45261</v>
      </c>
      <c r="C7515">
        <v>700721</v>
      </c>
      <c r="D7515" t="s">
        <v>176</v>
      </c>
      <c r="E7515">
        <v>0</v>
      </c>
      <c r="F7515">
        <v>0</v>
      </c>
      <c r="G7515">
        <v>0</v>
      </c>
      <c r="H7515">
        <f>_xlfn.XLOOKUP(FACT_IMPORTS[[#This Row],[hts_6]],DIM_PRODUCTS[hts_6],DIM_PRODUCTS[hts_4],,,)</f>
        <v>7007</v>
      </c>
      <c r="I7515" t="str" cm="1">
        <f t="array" ref="I7515">_xlfn.XLOOKUP(FACT_IMPORTS[[#This Row],[country_name]],DIM_COUNTRY[[#All],[Column2]],DIM_COUNTRY[[#All],[Column3]],,,)</f>
        <v>Major_Non-USMCA_Non-China</v>
      </c>
    </row>
    <row r="7516" spans="1:9" x14ac:dyDescent="0.4">
      <c r="A7516" t="s">
        <v>71</v>
      </c>
      <c r="B7516" s="1">
        <v>45261</v>
      </c>
      <c r="C7516">
        <v>700910</v>
      </c>
      <c r="D7516" t="s">
        <v>176</v>
      </c>
      <c r="E7516">
        <v>0</v>
      </c>
      <c r="F7516">
        <v>0</v>
      </c>
      <c r="G7516">
        <v>0</v>
      </c>
      <c r="H7516">
        <f>_xlfn.XLOOKUP(FACT_IMPORTS[[#This Row],[hts_6]],DIM_PRODUCTS[hts_6],DIM_PRODUCTS[hts_4],,,)</f>
        <v>7009</v>
      </c>
      <c r="I7516" t="str" cm="1">
        <f t="array" ref="I7516">_xlfn.XLOOKUP(FACT_IMPORTS[[#This Row],[country_name]],DIM_COUNTRY[[#All],[Column2]],DIM_COUNTRY[[#All],[Column3]],,,)</f>
        <v>Major_Non-USMCA_Non-China</v>
      </c>
    </row>
    <row r="7517" spans="1:9" x14ac:dyDescent="0.4">
      <c r="A7517" t="s">
        <v>71</v>
      </c>
      <c r="B7517" s="1">
        <v>45261</v>
      </c>
      <c r="C7517">
        <v>732010</v>
      </c>
      <c r="D7517" t="s">
        <v>176</v>
      </c>
      <c r="E7517">
        <v>0</v>
      </c>
      <c r="F7517">
        <v>0</v>
      </c>
      <c r="G7517">
        <v>0</v>
      </c>
      <c r="H7517">
        <f>_xlfn.XLOOKUP(FACT_IMPORTS[[#This Row],[hts_6]],DIM_PRODUCTS[hts_6],DIM_PRODUCTS[hts_4],,,)</f>
        <v>7320</v>
      </c>
      <c r="I7517" t="str" cm="1">
        <f t="array" ref="I7517">_xlfn.XLOOKUP(FACT_IMPORTS[[#This Row],[country_name]],DIM_COUNTRY[[#All],[Column2]],DIM_COUNTRY[[#All],[Column3]],,,)</f>
        <v>Major_Non-USMCA_Non-China</v>
      </c>
    </row>
    <row r="7518" spans="1:9" x14ac:dyDescent="0.4">
      <c r="A7518" t="s">
        <v>71</v>
      </c>
      <c r="B7518" s="1">
        <v>45261</v>
      </c>
      <c r="C7518">
        <v>830230</v>
      </c>
      <c r="D7518" t="s">
        <v>176</v>
      </c>
      <c r="E7518">
        <v>34532</v>
      </c>
      <c r="F7518">
        <v>6780</v>
      </c>
      <c r="G7518">
        <v>503</v>
      </c>
      <c r="H7518">
        <f>_xlfn.XLOOKUP(FACT_IMPORTS[[#This Row],[hts_6]],DIM_PRODUCTS[hts_6],DIM_PRODUCTS[hts_4],,,)</f>
        <v>8302</v>
      </c>
      <c r="I7518" t="str" cm="1">
        <f t="array" ref="I7518">_xlfn.XLOOKUP(FACT_IMPORTS[[#This Row],[country_name]],DIM_COUNTRY[[#All],[Column2]],DIM_COUNTRY[[#All],[Column3]],,,)</f>
        <v>Major_Non-USMCA_Non-China</v>
      </c>
    </row>
    <row r="7519" spans="1:9" x14ac:dyDescent="0.4">
      <c r="A7519" t="s">
        <v>71</v>
      </c>
      <c r="B7519" s="1">
        <v>45261</v>
      </c>
      <c r="C7519">
        <v>840734</v>
      </c>
      <c r="D7519" t="s">
        <v>176</v>
      </c>
      <c r="E7519">
        <v>56568</v>
      </c>
      <c r="F7519">
        <v>149</v>
      </c>
      <c r="G7519">
        <v>487</v>
      </c>
      <c r="H7519">
        <f>_xlfn.XLOOKUP(FACT_IMPORTS[[#This Row],[hts_6]],DIM_PRODUCTS[hts_6],DIM_PRODUCTS[hts_4],,,)</f>
        <v>8407</v>
      </c>
      <c r="I7519" t="str" cm="1">
        <f t="array" ref="I7519">_xlfn.XLOOKUP(FACT_IMPORTS[[#This Row],[country_name]],DIM_COUNTRY[[#All],[Column2]],DIM_COUNTRY[[#All],[Column3]],,,)</f>
        <v>Major_Non-USMCA_Non-China</v>
      </c>
    </row>
    <row r="7520" spans="1:9" x14ac:dyDescent="0.4">
      <c r="A7520" t="s">
        <v>71</v>
      </c>
      <c r="B7520" s="1">
        <v>45261</v>
      </c>
      <c r="C7520">
        <v>840790</v>
      </c>
      <c r="D7520" t="s">
        <v>176</v>
      </c>
      <c r="E7520">
        <v>2583</v>
      </c>
      <c r="F7520">
        <v>1</v>
      </c>
      <c r="G7520">
        <v>11</v>
      </c>
      <c r="H7520">
        <f>_xlfn.XLOOKUP(FACT_IMPORTS[[#This Row],[hts_6]],DIM_PRODUCTS[hts_6],DIM_PRODUCTS[hts_4],,,)</f>
        <v>8407</v>
      </c>
      <c r="I7520" t="str" cm="1">
        <f t="array" ref="I7520">_xlfn.XLOOKUP(FACT_IMPORTS[[#This Row],[country_name]],DIM_COUNTRY[[#All],[Column2]],DIM_COUNTRY[[#All],[Column3]],,,)</f>
        <v>Major_Non-USMCA_Non-China</v>
      </c>
    </row>
    <row r="7521" spans="1:9" x14ac:dyDescent="0.4">
      <c r="A7521" t="s">
        <v>71</v>
      </c>
      <c r="B7521" s="1">
        <v>45261</v>
      </c>
      <c r="C7521">
        <v>840820</v>
      </c>
      <c r="D7521" t="s">
        <v>176</v>
      </c>
      <c r="E7521">
        <v>35970</v>
      </c>
      <c r="F7521">
        <v>3</v>
      </c>
      <c r="G7521">
        <v>84</v>
      </c>
      <c r="H7521">
        <f>_xlfn.XLOOKUP(FACT_IMPORTS[[#This Row],[hts_6]],DIM_PRODUCTS[hts_6],DIM_PRODUCTS[hts_4],,,)</f>
        <v>8408</v>
      </c>
      <c r="I7521" t="str" cm="1">
        <f t="array" ref="I7521">_xlfn.XLOOKUP(FACT_IMPORTS[[#This Row],[country_name]],DIM_COUNTRY[[#All],[Column2]],DIM_COUNTRY[[#All],[Column3]],,,)</f>
        <v>Major_Non-USMCA_Non-China</v>
      </c>
    </row>
    <row r="7522" spans="1:9" x14ac:dyDescent="0.4">
      <c r="A7522" t="s">
        <v>71</v>
      </c>
      <c r="B7522" s="1">
        <v>45261</v>
      </c>
      <c r="C7522">
        <v>840890</v>
      </c>
      <c r="D7522" t="s">
        <v>176</v>
      </c>
      <c r="E7522">
        <v>82720</v>
      </c>
      <c r="F7522">
        <v>8</v>
      </c>
      <c r="G7522">
        <v>430</v>
      </c>
      <c r="H7522">
        <f>_xlfn.XLOOKUP(FACT_IMPORTS[[#This Row],[hts_6]],DIM_PRODUCTS[hts_6],DIM_PRODUCTS[hts_4],,,)</f>
        <v>8408</v>
      </c>
      <c r="I7522" t="str" cm="1">
        <f t="array" ref="I7522">_xlfn.XLOOKUP(FACT_IMPORTS[[#This Row],[country_name]],DIM_COUNTRY[[#All],[Column2]],DIM_COUNTRY[[#All],[Column3]],,,)</f>
        <v>Major_Non-USMCA_Non-China</v>
      </c>
    </row>
    <row r="7523" spans="1:9" x14ac:dyDescent="0.4">
      <c r="A7523" t="s">
        <v>71</v>
      </c>
      <c r="B7523" s="1">
        <v>45261</v>
      </c>
      <c r="C7523">
        <v>840991</v>
      </c>
      <c r="D7523" t="s">
        <v>176</v>
      </c>
      <c r="E7523">
        <v>7251079</v>
      </c>
      <c r="F7523">
        <v>514189</v>
      </c>
      <c r="G7523">
        <v>191855</v>
      </c>
      <c r="H7523">
        <f>_xlfn.XLOOKUP(FACT_IMPORTS[[#This Row],[hts_6]],DIM_PRODUCTS[hts_6],DIM_PRODUCTS[hts_4],,,)</f>
        <v>8409</v>
      </c>
      <c r="I7523" t="str" cm="1">
        <f t="array" ref="I7523">_xlfn.XLOOKUP(FACT_IMPORTS[[#This Row],[country_name]],DIM_COUNTRY[[#All],[Column2]],DIM_COUNTRY[[#All],[Column3]],,,)</f>
        <v>Major_Non-USMCA_Non-China</v>
      </c>
    </row>
    <row r="7524" spans="1:9" x14ac:dyDescent="0.4">
      <c r="A7524" t="s">
        <v>71</v>
      </c>
      <c r="B7524" s="1">
        <v>45261</v>
      </c>
      <c r="C7524">
        <v>840999</v>
      </c>
      <c r="D7524" t="s">
        <v>176</v>
      </c>
      <c r="E7524">
        <v>0</v>
      </c>
      <c r="F7524">
        <v>0</v>
      </c>
      <c r="G7524">
        <v>0</v>
      </c>
      <c r="H7524">
        <f>_xlfn.XLOOKUP(FACT_IMPORTS[[#This Row],[hts_6]],DIM_PRODUCTS[hts_6],DIM_PRODUCTS[hts_4],,,)</f>
        <v>8409</v>
      </c>
      <c r="I7524" t="str" cm="1">
        <f t="array" ref="I7524">_xlfn.XLOOKUP(FACT_IMPORTS[[#This Row],[country_name]],DIM_COUNTRY[[#All],[Column2]],DIM_COUNTRY[[#All],[Column3]],,,)</f>
        <v>Major_Non-USMCA_Non-China</v>
      </c>
    </row>
    <row r="7525" spans="1:9" x14ac:dyDescent="0.4">
      <c r="A7525" t="s">
        <v>71</v>
      </c>
      <c r="B7525" s="1">
        <v>45261</v>
      </c>
      <c r="C7525">
        <v>841330</v>
      </c>
      <c r="D7525" t="s">
        <v>176</v>
      </c>
      <c r="E7525">
        <v>100532</v>
      </c>
      <c r="F7525">
        <v>1692</v>
      </c>
      <c r="G7525">
        <v>2302</v>
      </c>
      <c r="H7525">
        <f>_xlfn.XLOOKUP(FACT_IMPORTS[[#This Row],[hts_6]],DIM_PRODUCTS[hts_6],DIM_PRODUCTS[hts_4],,,)</f>
        <v>8413</v>
      </c>
      <c r="I7525" t="str" cm="1">
        <f t="array" ref="I7525">_xlfn.XLOOKUP(FACT_IMPORTS[[#This Row],[country_name]],DIM_COUNTRY[[#All],[Column2]],DIM_COUNTRY[[#All],[Column3]],,,)</f>
        <v>Major_Non-USMCA_Non-China</v>
      </c>
    </row>
    <row r="7526" spans="1:9" x14ac:dyDescent="0.4">
      <c r="A7526" t="s">
        <v>71</v>
      </c>
      <c r="B7526" s="1">
        <v>45261</v>
      </c>
      <c r="C7526">
        <v>841520</v>
      </c>
      <c r="D7526" t="s">
        <v>176</v>
      </c>
      <c r="E7526">
        <v>0</v>
      </c>
      <c r="F7526">
        <v>0</v>
      </c>
      <c r="G7526">
        <v>0</v>
      </c>
      <c r="H7526">
        <f>_xlfn.XLOOKUP(FACT_IMPORTS[[#This Row],[hts_6]],DIM_PRODUCTS[hts_6],DIM_PRODUCTS[hts_4],,,)</f>
        <v>8415</v>
      </c>
      <c r="I7526" t="str" cm="1">
        <f t="array" ref="I7526">_xlfn.XLOOKUP(FACT_IMPORTS[[#This Row],[country_name]],DIM_COUNTRY[[#All],[Column2]],DIM_COUNTRY[[#All],[Column3]],,,)</f>
        <v>Major_Non-USMCA_Non-China</v>
      </c>
    </row>
    <row r="7527" spans="1:9" x14ac:dyDescent="0.4">
      <c r="A7527" t="s">
        <v>71</v>
      </c>
      <c r="B7527" s="1">
        <v>45261</v>
      </c>
      <c r="C7527">
        <v>842132</v>
      </c>
      <c r="D7527" t="s">
        <v>176</v>
      </c>
      <c r="E7527">
        <v>293362</v>
      </c>
      <c r="F7527">
        <v>33</v>
      </c>
      <c r="G7527">
        <v>820</v>
      </c>
      <c r="H7527">
        <f>_xlfn.XLOOKUP(FACT_IMPORTS[[#This Row],[hts_6]],DIM_PRODUCTS[hts_6],DIM_PRODUCTS[hts_4],,,)</f>
        <v>8421</v>
      </c>
      <c r="I7527" t="str" cm="1">
        <f t="array" ref="I7527">_xlfn.XLOOKUP(FACT_IMPORTS[[#This Row],[country_name]],DIM_COUNTRY[[#All],[Column2]],DIM_COUNTRY[[#All],[Column3]],,,)</f>
        <v>Major_Non-USMCA_Non-China</v>
      </c>
    </row>
    <row r="7528" spans="1:9" x14ac:dyDescent="0.4">
      <c r="A7528" t="s">
        <v>71</v>
      </c>
      <c r="B7528" s="1">
        <v>45261</v>
      </c>
      <c r="C7528">
        <v>848210</v>
      </c>
      <c r="D7528" t="s">
        <v>176</v>
      </c>
      <c r="E7528">
        <v>29509</v>
      </c>
      <c r="F7528">
        <v>1856</v>
      </c>
      <c r="G7528">
        <v>556</v>
      </c>
      <c r="H7528">
        <f>_xlfn.XLOOKUP(FACT_IMPORTS[[#This Row],[hts_6]],DIM_PRODUCTS[hts_6],DIM_PRODUCTS[hts_4],,,)</f>
        <v>8482</v>
      </c>
      <c r="I7528" t="str" cm="1">
        <f t="array" ref="I7528">_xlfn.XLOOKUP(FACT_IMPORTS[[#This Row],[country_name]],DIM_COUNTRY[[#All],[Column2]],DIM_COUNTRY[[#All],[Column3]],,,)</f>
        <v>Major_Non-USMCA_Non-China</v>
      </c>
    </row>
    <row r="7529" spans="1:9" x14ac:dyDescent="0.4">
      <c r="A7529" t="s">
        <v>71</v>
      </c>
      <c r="B7529" s="1">
        <v>45261</v>
      </c>
      <c r="C7529">
        <v>848220</v>
      </c>
      <c r="D7529" t="s">
        <v>176</v>
      </c>
      <c r="E7529">
        <v>242546</v>
      </c>
      <c r="F7529">
        <v>16911</v>
      </c>
      <c r="G7529">
        <v>2343</v>
      </c>
      <c r="H7529">
        <f>_xlfn.XLOOKUP(FACT_IMPORTS[[#This Row],[hts_6]],DIM_PRODUCTS[hts_6],DIM_PRODUCTS[hts_4],,,)</f>
        <v>8482</v>
      </c>
      <c r="I7529" t="str" cm="1">
        <f t="array" ref="I7529">_xlfn.XLOOKUP(FACT_IMPORTS[[#This Row],[country_name]],DIM_COUNTRY[[#All],[Column2]],DIM_COUNTRY[[#All],[Column3]],,,)</f>
        <v>Major_Non-USMCA_Non-China</v>
      </c>
    </row>
    <row r="7530" spans="1:9" x14ac:dyDescent="0.4">
      <c r="A7530" t="s">
        <v>71</v>
      </c>
      <c r="B7530" s="1">
        <v>45261</v>
      </c>
      <c r="C7530">
        <v>848310</v>
      </c>
      <c r="D7530" t="s">
        <v>176</v>
      </c>
      <c r="E7530">
        <v>794739</v>
      </c>
      <c r="F7530">
        <v>33342</v>
      </c>
      <c r="G7530">
        <v>26593</v>
      </c>
      <c r="H7530">
        <f>_xlfn.XLOOKUP(FACT_IMPORTS[[#This Row],[hts_6]],DIM_PRODUCTS[hts_6],DIM_PRODUCTS[hts_4],,,)</f>
        <v>8483</v>
      </c>
      <c r="I7530" t="str" cm="1">
        <f t="array" ref="I7530">_xlfn.XLOOKUP(FACT_IMPORTS[[#This Row],[country_name]],DIM_COUNTRY[[#All],[Column2]],DIM_COUNTRY[[#All],[Column3]],,,)</f>
        <v>Major_Non-USMCA_Non-China</v>
      </c>
    </row>
    <row r="7531" spans="1:9" x14ac:dyDescent="0.4">
      <c r="A7531" t="s">
        <v>71</v>
      </c>
      <c r="B7531" s="1">
        <v>45261</v>
      </c>
      <c r="C7531">
        <v>850131</v>
      </c>
      <c r="D7531" t="s">
        <v>176</v>
      </c>
      <c r="E7531">
        <v>2881844</v>
      </c>
      <c r="F7531">
        <v>76871</v>
      </c>
      <c r="G7531">
        <v>36879</v>
      </c>
      <c r="H7531">
        <f>_xlfn.XLOOKUP(FACT_IMPORTS[[#This Row],[hts_6]],DIM_PRODUCTS[hts_6],DIM_PRODUCTS[hts_4],,,)</f>
        <v>8501</v>
      </c>
      <c r="I7531" t="str" cm="1">
        <f t="array" ref="I7531">_xlfn.XLOOKUP(FACT_IMPORTS[[#This Row],[country_name]],DIM_COUNTRY[[#All],[Column2]],DIM_COUNTRY[[#All],[Column3]],,,)</f>
        <v>Major_Non-USMCA_Non-China</v>
      </c>
    </row>
    <row r="7532" spans="1:9" x14ac:dyDescent="0.4">
      <c r="A7532" t="s">
        <v>71</v>
      </c>
      <c r="B7532" s="1">
        <v>45261</v>
      </c>
      <c r="C7532">
        <v>850132</v>
      </c>
      <c r="D7532" t="s">
        <v>176</v>
      </c>
      <c r="E7532">
        <v>9028</v>
      </c>
      <c r="F7532">
        <v>5</v>
      </c>
      <c r="G7532">
        <v>455</v>
      </c>
      <c r="H7532">
        <f>_xlfn.XLOOKUP(FACT_IMPORTS[[#This Row],[hts_6]],DIM_PRODUCTS[hts_6],DIM_PRODUCTS[hts_4],,,)</f>
        <v>8501</v>
      </c>
      <c r="I7532" t="str" cm="1">
        <f t="array" ref="I7532">_xlfn.XLOOKUP(FACT_IMPORTS[[#This Row],[country_name]],DIM_COUNTRY[[#All],[Column2]],DIM_COUNTRY[[#All],[Column3]],,,)</f>
        <v>Major_Non-USMCA_Non-China</v>
      </c>
    </row>
    <row r="7533" spans="1:9" x14ac:dyDescent="0.4">
      <c r="A7533" t="s">
        <v>71</v>
      </c>
      <c r="B7533" s="1">
        <v>45261</v>
      </c>
      <c r="C7533">
        <v>850133</v>
      </c>
      <c r="D7533" t="s">
        <v>176</v>
      </c>
      <c r="E7533">
        <v>0</v>
      </c>
      <c r="F7533">
        <v>0</v>
      </c>
      <c r="G7533">
        <v>0</v>
      </c>
      <c r="H7533">
        <f>_xlfn.XLOOKUP(FACT_IMPORTS[[#This Row],[hts_6]],DIM_PRODUCTS[hts_6],DIM_PRODUCTS[hts_4],,,)</f>
        <v>8501</v>
      </c>
      <c r="I7533" t="str" cm="1">
        <f t="array" ref="I7533">_xlfn.XLOOKUP(FACT_IMPORTS[[#This Row],[country_name]],DIM_COUNTRY[[#All],[Column2]],DIM_COUNTRY[[#All],[Column3]],,,)</f>
        <v>Major_Non-USMCA_Non-China</v>
      </c>
    </row>
    <row r="7534" spans="1:9" x14ac:dyDescent="0.4">
      <c r="A7534" t="s">
        <v>71</v>
      </c>
      <c r="B7534" s="1">
        <v>45261</v>
      </c>
      <c r="C7534">
        <v>850152</v>
      </c>
      <c r="D7534" t="s">
        <v>176</v>
      </c>
      <c r="E7534">
        <v>208194</v>
      </c>
      <c r="F7534">
        <v>215</v>
      </c>
      <c r="G7534">
        <v>10197</v>
      </c>
      <c r="H7534">
        <f>_xlfn.XLOOKUP(FACT_IMPORTS[[#This Row],[hts_6]],DIM_PRODUCTS[hts_6],DIM_PRODUCTS[hts_4],,,)</f>
        <v>8501</v>
      </c>
      <c r="I7534" t="str" cm="1">
        <f t="array" ref="I7534">_xlfn.XLOOKUP(FACT_IMPORTS[[#This Row],[country_name]],DIM_COUNTRY[[#All],[Column2]],DIM_COUNTRY[[#All],[Column3]],,,)</f>
        <v>Major_Non-USMCA_Non-China</v>
      </c>
    </row>
    <row r="7535" spans="1:9" x14ac:dyDescent="0.4">
      <c r="A7535" t="s">
        <v>71</v>
      </c>
      <c r="B7535" s="1">
        <v>45261</v>
      </c>
      <c r="C7535">
        <v>850153</v>
      </c>
      <c r="D7535" t="s">
        <v>176</v>
      </c>
      <c r="E7535">
        <v>173558</v>
      </c>
      <c r="F7535">
        <v>3</v>
      </c>
      <c r="G7535">
        <v>1250</v>
      </c>
      <c r="H7535">
        <f>_xlfn.XLOOKUP(FACT_IMPORTS[[#This Row],[hts_6]],DIM_PRODUCTS[hts_6],DIM_PRODUCTS[hts_4],,,)</f>
        <v>8501</v>
      </c>
      <c r="I7535" t="str" cm="1">
        <f t="array" ref="I7535">_xlfn.XLOOKUP(FACT_IMPORTS[[#This Row],[country_name]],DIM_COUNTRY[[#All],[Column2]],DIM_COUNTRY[[#All],[Column3]],,,)</f>
        <v>Major_Non-USMCA_Non-China</v>
      </c>
    </row>
    <row r="7536" spans="1:9" x14ac:dyDescent="0.4">
      <c r="A7536" t="s">
        <v>71</v>
      </c>
      <c r="B7536" s="1">
        <v>45261</v>
      </c>
      <c r="C7536">
        <v>850161</v>
      </c>
      <c r="D7536" t="s">
        <v>176</v>
      </c>
      <c r="E7536">
        <v>0</v>
      </c>
      <c r="F7536">
        <v>0</v>
      </c>
      <c r="G7536">
        <v>0</v>
      </c>
      <c r="H7536">
        <f>_xlfn.XLOOKUP(FACT_IMPORTS[[#This Row],[hts_6]],DIM_PRODUCTS[hts_6],DIM_PRODUCTS[hts_4],,,)</f>
        <v>8501</v>
      </c>
      <c r="I7536" t="str" cm="1">
        <f t="array" ref="I7536">_xlfn.XLOOKUP(FACT_IMPORTS[[#This Row],[country_name]],DIM_COUNTRY[[#All],[Column2]],DIM_COUNTRY[[#All],[Column3]],,,)</f>
        <v>Major_Non-USMCA_Non-China</v>
      </c>
    </row>
    <row r="7537" spans="1:9" x14ac:dyDescent="0.4">
      <c r="A7537" t="s">
        <v>71</v>
      </c>
      <c r="B7537" s="1">
        <v>45261</v>
      </c>
      <c r="C7537">
        <v>850440</v>
      </c>
      <c r="D7537" t="s">
        <v>176</v>
      </c>
      <c r="E7537">
        <v>265924</v>
      </c>
      <c r="F7537">
        <v>108</v>
      </c>
      <c r="G7537">
        <v>6611</v>
      </c>
      <c r="H7537">
        <f>_xlfn.XLOOKUP(FACT_IMPORTS[[#This Row],[hts_6]],DIM_PRODUCTS[hts_6],DIM_PRODUCTS[hts_4],,,)</f>
        <v>8504</v>
      </c>
      <c r="I7537" t="str" cm="1">
        <f t="array" ref="I7537">_xlfn.XLOOKUP(FACT_IMPORTS[[#This Row],[country_name]],DIM_COUNTRY[[#All],[Column2]],DIM_COUNTRY[[#All],[Column3]],,,)</f>
        <v>Major_Non-USMCA_Non-China</v>
      </c>
    </row>
    <row r="7538" spans="1:9" x14ac:dyDescent="0.4">
      <c r="A7538" t="s">
        <v>71</v>
      </c>
      <c r="B7538" s="1">
        <v>45261</v>
      </c>
      <c r="C7538">
        <v>850760</v>
      </c>
      <c r="D7538" t="s">
        <v>176</v>
      </c>
      <c r="E7538">
        <v>609733</v>
      </c>
      <c r="F7538">
        <v>17677</v>
      </c>
      <c r="G7538">
        <v>6219</v>
      </c>
      <c r="H7538">
        <f>_xlfn.XLOOKUP(FACT_IMPORTS[[#This Row],[hts_6]],DIM_PRODUCTS[hts_6],DIM_PRODUCTS[hts_4],,,)</f>
        <v>8507</v>
      </c>
      <c r="I7538" t="str" cm="1">
        <f t="array" ref="I7538">_xlfn.XLOOKUP(FACT_IMPORTS[[#This Row],[country_name]],DIM_COUNTRY[[#All],[Column2]],DIM_COUNTRY[[#All],[Column3]],,,)</f>
        <v>Major_Non-USMCA_Non-China</v>
      </c>
    </row>
    <row r="7539" spans="1:9" x14ac:dyDescent="0.4">
      <c r="A7539" t="s">
        <v>71</v>
      </c>
      <c r="B7539" s="1">
        <v>45261</v>
      </c>
      <c r="C7539">
        <v>850790</v>
      </c>
      <c r="D7539" t="s">
        <v>176</v>
      </c>
      <c r="E7539">
        <v>5473296</v>
      </c>
      <c r="F7539">
        <v>97810</v>
      </c>
      <c r="G7539">
        <v>20000</v>
      </c>
      <c r="H7539">
        <f>_xlfn.XLOOKUP(FACT_IMPORTS[[#This Row],[hts_6]],DIM_PRODUCTS[hts_6],DIM_PRODUCTS[hts_4],,,)</f>
        <v>8507</v>
      </c>
      <c r="I7539" t="str" cm="1">
        <f t="array" ref="I7539">_xlfn.XLOOKUP(FACT_IMPORTS[[#This Row],[country_name]],DIM_COUNTRY[[#All],[Column2]],DIM_COUNTRY[[#All],[Column3]],,,)</f>
        <v>Major_Non-USMCA_Non-China</v>
      </c>
    </row>
    <row r="7540" spans="1:9" x14ac:dyDescent="0.4">
      <c r="A7540" t="s">
        <v>71</v>
      </c>
      <c r="B7540" s="1">
        <v>45261</v>
      </c>
      <c r="C7540">
        <v>851110</v>
      </c>
      <c r="D7540" t="s">
        <v>176</v>
      </c>
      <c r="E7540">
        <v>417842</v>
      </c>
      <c r="F7540">
        <v>4608</v>
      </c>
      <c r="G7540">
        <v>11291</v>
      </c>
      <c r="H7540">
        <f>_xlfn.XLOOKUP(FACT_IMPORTS[[#This Row],[hts_6]],DIM_PRODUCTS[hts_6],DIM_PRODUCTS[hts_4],,,)</f>
        <v>8511</v>
      </c>
      <c r="I7540" t="str" cm="1">
        <f t="array" ref="I7540">_xlfn.XLOOKUP(FACT_IMPORTS[[#This Row],[country_name]],DIM_COUNTRY[[#All],[Column2]],DIM_COUNTRY[[#All],[Column3]],,,)</f>
        <v>Major_Non-USMCA_Non-China</v>
      </c>
    </row>
    <row r="7541" spans="1:9" x14ac:dyDescent="0.4">
      <c r="A7541" t="s">
        <v>71</v>
      </c>
      <c r="B7541" s="1">
        <v>45261</v>
      </c>
      <c r="C7541">
        <v>851130</v>
      </c>
      <c r="D7541" t="s">
        <v>176</v>
      </c>
      <c r="E7541">
        <v>2842</v>
      </c>
      <c r="F7541">
        <v>70</v>
      </c>
      <c r="G7541">
        <v>2</v>
      </c>
      <c r="H7541">
        <f>_xlfn.XLOOKUP(FACT_IMPORTS[[#This Row],[hts_6]],DIM_PRODUCTS[hts_6],DIM_PRODUCTS[hts_4],,,)</f>
        <v>8511</v>
      </c>
      <c r="I7541" t="str" cm="1">
        <f t="array" ref="I7541">_xlfn.XLOOKUP(FACT_IMPORTS[[#This Row],[country_name]],DIM_COUNTRY[[#All],[Column2]],DIM_COUNTRY[[#All],[Column3]],,,)</f>
        <v>Major_Non-USMCA_Non-China</v>
      </c>
    </row>
    <row r="7542" spans="1:9" x14ac:dyDescent="0.4">
      <c r="A7542" t="s">
        <v>71</v>
      </c>
      <c r="B7542" s="1">
        <v>45261</v>
      </c>
      <c r="C7542">
        <v>851140</v>
      </c>
      <c r="D7542" t="s">
        <v>176</v>
      </c>
      <c r="E7542">
        <v>924468</v>
      </c>
      <c r="F7542">
        <v>9312</v>
      </c>
      <c r="G7542">
        <v>15809</v>
      </c>
      <c r="H7542">
        <f>_xlfn.XLOOKUP(FACT_IMPORTS[[#This Row],[hts_6]],DIM_PRODUCTS[hts_6],DIM_PRODUCTS[hts_4],,,)</f>
        <v>8511</v>
      </c>
      <c r="I7542" t="str" cm="1">
        <f t="array" ref="I7542">_xlfn.XLOOKUP(FACT_IMPORTS[[#This Row],[country_name]],DIM_COUNTRY[[#All],[Column2]],DIM_COUNTRY[[#All],[Column3]],,,)</f>
        <v>Major_Non-USMCA_Non-China</v>
      </c>
    </row>
    <row r="7543" spans="1:9" x14ac:dyDescent="0.4">
      <c r="A7543" t="s">
        <v>71</v>
      </c>
      <c r="B7543" s="1">
        <v>45261</v>
      </c>
      <c r="C7543">
        <v>851150</v>
      </c>
      <c r="D7543" t="s">
        <v>176</v>
      </c>
      <c r="E7543">
        <v>2382</v>
      </c>
      <c r="F7543">
        <v>64</v>
      </c>
      <c r="G7543">
        <v>41</v>
      </c>
      <c r="H7543">
        <f>_xlfn.XLOOKUP(FACT_IMPORTS[[#This Row],[hts_6]],DIM_PRODUCTS[hts_6],DIM_PRODUCTS[hts_4],,,)</f>
        <v>8511</v>
      </c>
      <c r="I7543" t="str" cm="1">
        <f t="array" ref="I7543">_xlfn.XLOOKUP(FACT_IMPORTS[[#This Row],[country_name]],DIM_COUNTRY[[#All],[Column2]],DIM_COUNTRY[[#All],[Column3]],,,)</f>
        <v>Major_Non-USMCA_Non-China</v>
      </c>
    </row>
    <row r="7544" spans="1:9" x14ac:dyDescent="0.4">
      <c r="A7544" t="s">
        <v>71</v>
      </c>
      <c r="B7544" s="1">
        <v>45261</v>
      </c>
      <c r="C7544">
        <v>851180</v>
      </c>
      <c r="D7544" t="s">
        <v>176</v>
      </c>
      <c r="E7544">
        <v>5608</v>
      </c>
      <c r="F7544">
        <v>5231</v>
      </c>
      <c r="G7544">
        <v>134</v>
      </c>
      <c r="H7544">
        <f>_xlfn.XLOOKUP(FACT_IMPORTS[[#This Row],[hts_6]],DIM_PRODUCTS[hts_6],DIM_PRODUCTS[hts_4],,,)</f>
        <v>8511</v>
      </c>
      <c r="I7544" t="str" cm="1">
        <f t="array" ref="I7544">_xlfn.XLOOKUP(FACT_IMPORTS[[#This Row],[country_name]],DIM_COUNTRY[[#All],[Column2]],DIM_COUNTRY[[#All],[Column3]],,,)</f>
        <v>Major_Non-USMCA_Non-China</v>
      </c>
    </row>
    <row r="7545" spans="1:9" x14ac:dyDescent="0.4">
      <c r="A7545" t="s">
        <v>71</v>
      </c>
      <c r="B7545" s="1">
        <v>45261</v>
      </c>
      <c r="C7545">
        <v>851190</v>
      </c>
      <c r="D7545" t="s">
        <v>176</v>
      </c>
      <c r="E7545">
        <v>79559</v>
      </c>
      <c r="F7545">
        <v>4798</v>
      </c>
      <c r="G7545">
        <v>805</v>
      </c>
      <c r="H7545">
        <f>_xlfn.XLOOKUP(FACT_IMPORTS[[#This Row],[hts_6]],DIM_PRODUCTS[hts_6],DIM_PRODUCTS[hts_4],,,)</f>
        <v>8511</v>
      </c>
      <c r="I7545" t="str" cm="1">
        <f t="array" ref="I7545">_xlfn.XLOOKUP(FACT_IMPORTS[[#This Row],[country_name]],DIM_COUNTRY[[#All],[Column2]],DIM_COUNTRY[[#All],[Column3]],,,)</f>
        <v>Major_Non-USMCA_Non-China</v>
      </c>
    </row>
    <row r="7546" spans="1:9" x14ac:dyDescent="0.4">
      <c r="A7546" t="s">
        <v>71</v>
      </c>
      <c r="B7546" s="1">
        <v>45261</v>
      </c>
      <c r="C7546">
        <v>851220</v>
      </c>
      <c r="D7546" t="s">
        <v>176</v>
      </c>
      <c r="E7546">
        <v>10422</v>
      </c>
      <c r="F7546">
        <v>15</v>
      </c>
      <c r="G7546">
        <v>1064</v>
      </c>
      <c r="H7546">
        <f>_xlfn.XLOOKUP(FACT_IMPORTS[[#This Row],[hts_6]],DIM_PRODUCTS[hts_6],DIM_PRODUCTS[hts_4],,,)</f>
        <v>8512</v>
      </c>
      <c r="I7546" t="str" cm="1">
        <f t="array" ref="I7546">_xlfn.XLOOKUP(FACT_IMPORTS[[#This Row],[country_name]],DIM_COUNTRY[[#All],[Column2]],DIM_COUNTRY[[#All],[Column3]],,,)</f>
        <v>Major_Non-USMCA_Non-China</v>
      </c>
    </row>
    <row r="7547" spans="1:9" x14ac:dyDescent="0.4">
      <c r="A7547" t="s">
        <v>71</v>
      </c>
      <c r="B7547" s="1">
        <v>45261</v>
      </c>
      <c r="C7547">
        <v>851230</v>
      </c>
      <c r="D7547" t="s">
        <v>176</v>
      </c>
      <c r="E7547">
        <v>0</v>
      </c>
      <c r="F7547">
        <v>0</v>
      </c>
      <c r="G7547">
        <v>0</v>
      </c>
      <c r="H7547">
        <f>_xlfn.XLOOKUP(FACT_IMPORTS[[#This Row],[hts_6]],DIM_PRODUCTS[hts_6],DIM_PRODUCTS[hts_4],,,)</f>
        <v>8512</v>
      </c>
      <c r="I7547" t="str" cm="1">
        <f t="array" ref="I7547">_xlfn.XLOOKUP(FACT_IMPORTS[[#This Row],[country_name]],DIM_COUNTRY[[#All],[Column2]],DIM_COUNTRY[[#All],[Column3]],,,)</f>
        <v>Major_Non-USMCA_Non-China</v>
      </c>
    </row>
    <row r="7548" spans="1:9" x14ac:dyDescent="0.4">
      <c r="A7548" t="s">
        <v>71</v>
      </c>
      <c r="B7548" s="1">
        <v>45261</v>
      </c>
      <c r="C7548">
        <v>851290</v>
      </c>
      <c r="D7548" t="s">
        <v>176</v>
      </c>
      <c r="E7548">
        <v>3023</v>
      </c>
      <c r="F7548">
        <v>79</v>
      </c>
      <c r="G7548">
        <v>8</v>
      </c>
      <c r="H7548">
        <f>_xlfn.XLOOKUP(FACT_IMPORTS[[#This Row],[hts_6]],DIM_PRODUCTS[hts_6],DIM_PRODUCTS[hts_4],,,)</f>
        <v>8512</v>
      </c>
      <c r="I7548" t="str" cm="1">
        <f t="array" ref="I7548">_xlfn.XLOOKUP(FACT_IMPORTS[[#This Row],[country_name]],DIM_COUNTRY[[#All],[Column2]],DIM_COUNTRY[[#All],[Column3]],,,)</f>
        <v>Major_Non-USMCA_Non-China</v>
      </c>
    </row>
    <row r="7549" spans="1:9" x14ac:dyDescent="0.4">
      <c r="A7549" t="s">
        <v>71</v>
      </c>
      <c r="B7549" s="1">
        <v>45261</v>
      </c>
      <c r="C7549">
        <v>854231</v>
      </c>
      <c r="D7549" t="s">
        <v>176</v>
      </c>
      <c r="E7549">
        <v>74479</v>
      </c>
      <c r="F7549">
        <v>6056</v>
      </c>
      <c r="G7549">
        <v>968</v>
      </c>
      <c r="H7549">
        <f>_xlfn.XLOOKUP(FACT_IMPORTS[[#This Row],[hts_6]],DIM_PRODUCTS[hts_6],DIM_PRODUCTS[hts_4],,,)</f>
        <v>8542</v>
      </c>
      <c r="I7549" t="str" cm="1">
        <f t="array" ref="I7549">_xlfn.XLOOKUP(FACT_IMPORTS[[#This Row],[country_name]],DIM_COUNTRY[[#All],[Column2]],DIM_COUNTRY[[#All],[Column3]],,,)</f>
        <v>Major_Non-USMCA_Non-China</v>
      </c>
    </row>
    <row r="7550" spans="1:9" x14ac:dyDescent="0.4">
      <c r="A7550" t="s">
        <v>71</v>
      </c>
      <c r="B7550" s="1">
        <v>45261</v>
      </c>
      <c r="C7550">
        <v>854232</v>
      </c>
      <c r="D7550" t="s">
        <v>176</v>
      </c>
      <c r="E7550">
        <v>0</v>
      </c>
      <c r="F7550">
        <v>0</v>
      </c>
      <c r="G7550">
        <v>0</v>
      </c>
      <c r="H7550">
        <f>_xlfn.XLOOKUP(FACT_IMPORTS[[#This Row],[hts_6]],DIM_PRODUCTS[hts_6],DIM_PRODUCTS[hts_4],,,)</f>
        <v>8542</v>
      </c>
      <c r="I7550" t="str" cm="1">
        <f t="array" ref="I7550">_xlfn.XLOOKUP(FACT_IMPORTS[[#This Row],[country_name]],DIM_COUNTRY[[#All],[Column2]],DIM_COUNTRY[[#All],[Column3]],,,)</f>
        <v>Major_Non-USMCA_Non-China</v>
      </c>
    </row>
    <row r="7551" spans="1:9" x14ac:dyDescent="0.4">
      <c r="A7551" t="s">
        <v>71</v>
      </c>
      <c r="B7551" s="1">
        <v>45261</v>
      </c>
      <c r="C7551">
        <v>854233</v>
      </c>
      <c r="D7551" t="s">
        <v>176</v>
      </c>
      <c r="E7551">
        <v>0</v>
      </c>
      <c r="F7551">
        <v>0</v>
      </c>
      <c r="G7551">
        <v>0</v>
      </c>
      <c r="H7551">
        <f>_xlfn.XLOOKUP(FACT_IMPORTS[[#This Row],[hts_6]],DIM_PRODUCTS[hts_6],DIM_PRODUCTS[hts_4],,,)</f>
        <v>8542</v>
      </c>
      <c r="I7551" t="str" cm="1">
        <f t="array" ref="I7551">_xlfn.XLOOKUP(FACT_IMPORTS[[#This Row],[country_name]],DIM_COUNTRY[[#All],[Column2]],DIM_COUNTRY[[#All],[Column3]],,,)</f>
        <v>Major_Non-USMCA_Non-China</v>
      </c>
    </row>
    <row r="7552" spans="1:9" x14ac:dyDescent="0.4">
      <c r="A7552" t="s">
        <v>71</v>
      </c>
      <c r="B7552" s="1">
        <v>45261</v>
      </c>
      <c r="C7552">
        <v>854239</v>
      </c>
      <c r="D7552" t="s">
        <v>176</v>
      </c>
      <c r="E7552">
        <v>2750</v>
      </c>
      <c r="F7552">
        <v>2</v>
      </c>
      <c r="G7552">
        <v>492</v>
      </c>
      <c r="H7552">
        <f>_xlfn.XLOOKUP(FACT_IMPORTS[[#This Row],[hts_6]],DIM_PRODUCTS[hts_6],DIM_PRODUCTS[hts_4],,,)</f>
        <v>8542</v>
      </c>
      <c r="I7552" t="str" cm="1">
        <f t="array" ref="I7552">_xlfn.XLOOKUP(FACT_IMPORTS[[#This Row],[country_name]],DIM_COUNTRY[[#All],[Column2]],DIM_COUNTRY[[#All],[Column3]],,,)</f>
        <v>Major_Non-USMCA_Non-China</v>
      </c>
    </row>
    <row r="7553" spans="1:9" x14ac:dyDescent="0.4">
      <c r="A7553" t="s">
        <v>71</v>
      </c>
      <c r="B7553" s="1">
        <v>45261</v>
      </c>
      <c r="C7553">
        <v>854430</v>
      </c>
      <c r="D7553" t="s">
        <v>176</v>
      </c>
      <c r="E7553">
        <v>2974</v>
      </c>
      <c r="F7553">
        <v>2000</v>
      </c>
      <c r="G7553">
        <v>35</v>
      </c>
      <c r="H7553">
        <f>_xlfn.XLOOKUP(FACT_IMPORTS[[#This Row],[hts_6]],DIM_PRODUCTS[hts_6],DIM_PRODUCTS[hts_4],,,)</f>
        <v>8544</v>
      </c>
      <c r="I7553" t="str" cm="1">
        <f t="array" ref="I7553">_xlfn.XLOOKUP(FACT_IMPORTS[[#This Row],[country_name]],DIM_COUNTRY[[#All],[Column2]],DIM_COUNTRY[[#All],[Column3]],,,)</f>
        <v>Major_Non-USMCA_Non-China</v>
      </c>
    </row>
    <row r="7554" spans="1:9" x14ac:dyDescent="0.4">
      <c r="A7554" t="s">
        <v>71</v>
      </c>
      <c r="B7554" s="1">
        <v>45261</v>
      </c>
      <c r="C7554">
        <v>870710</v>
      </c>
      <c r="D7554" t="s">
        <v>176</v>
      </c>
      <c r="E7554">
        <v>0</v>
      </c>
      <c r="F7554">
        <v>0</v>
      </c>
      <c r="G7554">
        <v>0</v>
      </c>
      <c r="H7554">
        <f>_xlfn.XLOOKUP(FACT_IMPORTS[[#This Row],[hts_6]],DIM_PRODUCTS[hts_6],DIM_PRODUCTS[hts_4],,,)</f>
        <v>8707</v>
      </c>
      <c r="I7554" t="str" cm="1">
        <f t="array" ref="I7554">_xlfn.XLOOKUP(FACT_IMPORTS[[#This Row],[country_name]],DIM_COUNTRY[[#All],[Column2]],DIM_COUNTRY[[#All],[Column3]],,,)</f>
        <v>Major_Non-USMCA_Non-China</v>
      </c>
    </row>
    <row r="7555" spans="1:9" x14ac:dyDescent="0.4">
      <c r="A7555" t="s">
        <v>71</v>
      </c>
      <c r="B7555" s="1">
        <v>45261</v>
      </c>
      <c r="C7555">
        <v>870790</v>
      </c>
      <c r="D7555" t="s">
        <v>176</v>
      </c>
      <c r="E7555">
        <v>0</v>
      </c>
      <c r="F7555">
        <v>0</v>
      </c>
      <c r="G7555">
        <v>0</v>
      </c>
      <c r="H7555">
        <f>_xlfn.XLOOKUP(FACT_IMPORTS[[#This Row],[hts_6]],DIM_PRODUCTS[hts_6],DIM_PRODUCTS[hts_4],,,)</f>
        <v>8707</v>
      </c>
      <c r="I7555" t="str" cm="1">
        <f t="array" ref="I7555">_xlfn.XLOOKUP(FACT_IMPORTS[[#This Row],[country_name]],DIM_COUNTRY[[#All],[Column2]],DIM_COUNTRY[[#All],[Column3]],,,)</f>
        <v>Major_Non-USMCA_Non-China</v>
      </c>
    </row>
    <row r="7556" spans="1:9" x14ac:dyDescent="0.4">
      <c r="A7556" t="s">
        <v>71</v>
      </c>
      <c r="B7556" s="1">
        <v>45261</v>
      </c>
      <c r="C7556">
        <v>870810</v>
      </c>
      <c r="D7556" t="s">
        <v>176</v>
      </c>
      <c r="E7556">
        <v>4390</v>
      </c>
      <c r="F7556">
        <v>26</v>
      </c>
      <c r="G7556">
        <v>448</v>
      </c>
      <c r="H7556">
        <f>_xlfn.XLOOKUP(FACT_IMPORTS[[#This Row],[hts_6]],DIM_PRODUCTS[hts_6],DIM_PRODUCTS[hts_4],,,)</f>
        <v>8708</v>
      </c>
      <c r="I7556" t="str" cm="1">
        <f t="array" ref="I7556">_xlfn.XLOOKUP(FACT_IMPORTS[[#This Row],[country_name]],DIM_COUNTRY[[#All],[Column2]],DIM_COUNTRY[[#All],[Column3]],,,)</f>
        <v>Major_Non-USMCA_Non-China</v>
      </c>
    </row>
    <row r="7557" spans="1:9" x14ac:dyDescent="0.4">
      <c r="A7557" t="s">
        <v>71</v>
      </c>
      <c r="B7557" s="1">
        <v>45261</v>
      </c>
      <c r="C7557">
        <v>870829</v>
      </c>
      <c r="D7557" t="s">
        <v>176</v>
      </c>
      <c r="E7557">
        <v>3741713</v>
      </c>
      <c r="F7557">
        <v>353794</v>
      </c>
      <c r="G7557">
        <v>83954</v>
      </c>
      <c r="H7557">
        <f>_xlfn.XLOOKUP(FACT_IMPORTS[[#This Row],[hts_6]],DIM_PRODUCTS[hts_6],DIM_PRODUCTS[hts_4],,,)</f>
        <v>8708</v>
      </c>
      <c r="I7557" t="str" cm="1">
        <f t="array" ref="I7557">_xlfn.XLOOKUP(FACT_IMPORTS[[#This Row],[country_name]],DIM_COUNTRY[[#All],[Column2]],DIM_COUNTRY[[#All],[Column3]],,,)</f>
        <v>Major_Non-USMCA_Non-China</v>
      </c>
    </row>
    <row r="7558" spans="1:9" x14ac:dyDescent="0.4">
      <c r="A7558" t="s">
        <v>71</v>
      </c>
      <c r="B7558" s="1">
        <v>45261</v>
      </c>
      <c r="C7558">
        <v>870830</v>
      </c>
      <c r="D7558" t="s">
        <v>176</v>
      </c>
      <c r="E7558">
        <v>691708</v>
      </c>
      <c r="F7558">
        <v>86400</v>
      </c>
      <c r="G7558">
        <v>4676</v>
      </c>
      <c r="H7558">
        <f>_xlfn.XLOOKUP(FACT_IMPORTS[[#This Row],[hts_6]],DIM_PRODUCTS[hts_6],DIM_PRODUCTS[hts_4],,,)</f>
        <v>8708</v>
      </c>
      <c r="I7558" t="str" cm="1">
        <f t="array" ref="I7558">_xlfn.XLOOKUP(FACT_IMPORTS[[#This Row],[country_name]],DIM_COUNTRY[[#All],[Column2]],DIM_COUNTRY[[#All],[Column3]],,,)</f>
        <v>Major_Non-USMCA_Non-China</v>
      </c>
    </row>
    <row r="7559" spans="1:9" x14ac:dyDescent="0.4">
      <c r="A7559" t="s">
        <v>71</v>
      </c>
      <c r="B7559" s="1">
        <v>45261</v>
      </c>
      <c r="C7559">
        <v>870840</v>
      </c>
      <c r="D7559" t="s">
        <v>176</v>
      </c>
      <c r="E7559">
        <v>1332891</v>
      </c>
      <c r="F7559">
        <v>19743</v>
      </c>
      <c r="G7559">
        <v>39161</v>
      </c>
      <c r="H7559">
        <f>_xlfn.XLOOKUP(FACT_IMPORTS[[#This Row],[hts_6]],DIM_PRODUCTS[hts_6],DIM_PRODUCTS[hts_4],,,)</f>
        <v>8708</v>
      </c>
      <c r="I7559" t="str" cm="1">
        <f t="array" ref="I7559">_xlfn.XLOOKUP(FACT_IMPORTS[[#This Row],[country_name]],DIM_COUNTRY[[#All],[Column2]],DIM_COUNTRY[[#All],[Column3]],,,)</f>
        <v>Major_Non-USMCA_Non-China</v>
      </c>
    </row>
    <row r="7560" spans="1:9" x14ac:dyDescent="0.4">
      <c r="A7560" t="s">
        <v>71</v>
      </c>
      <c r="B7560" s="1">
        <v>45261</v>
      </c>
      <c r="C7560">
        <v>870850</v>
      </c>
      <c r="D7560" t="s">
        <v>176</v>
      </c>
      <c r="E7560">
        <v>0</v>
      </c>
      <c r="F7560">
        <v>0</v>
      </c>
      <c r="G7560">
        <v>0</v>
      </c>
      <c r="H7560">
        <f>_xlfn.XLOOKUP(FACT_IMPORTS[[#This Row],[hts_6]],DIM_PRODUCTS[hts_6],DIM_PRODUCTS[hts_4],,,)</f>
        <v>8708</v>
      </c>
      <c r="I7560" t="str" cm="1">
        <f t="array" ref="I7560">_xlfn.XLOOKUP(FACT_IMPORTS[[#This Row],[country_name]],DIM_COUNTRY[[#All],[Column2]],DIM_COUNTRY[[#All],[Column3]],,,)</f>
        <v>Major_Non-USMCA_Non-China</v>
      </c>
    </row>
    <row r="7561" spans="1:9" x14ac:dyDescent="0.4">
      <c r="A7561" t="s">
        <v>71</v>
      </c>
      <c r="B7561" s="1">
        <v>45261</v>
      </c>
      <c r="C7561">
        <v>870870</v>
      </c>
      <c r="D7561" t="s">
        <v>176</v>
      </c>
      <c r="E7561">
        <v>3409</v>
      </c>
      <c r="F7561">
        <v>10</v>
      </c>
      <c r="G7561">
        <v>124</v>
      </c>
      <c r="H7561">
        <f>_xlfn.XLOOKUP(FACT_IMPORTS[[#This Row],[hts_6]],DIM_PRODUCTS[hts_6],DIM_PRODUCTS[hts_4],,,)</f>
        <v>8708</v>
      </c>
      <c r="I7561" t="str" cm="1">
        <f t="array" ref="I7561">_xlfn.XLOOKUP(FACT_IMPORTS[[#This Row],[country_name]],DIM_COUNTRY[[#All],[Column2]],DIM_COUNTRY[[#All],[Column3]],,,)</f>
        <v>Major_Non-USMCA_Non-China</v>
      </c>
    </row>
    <row r="7562" spans="1:9" x14ac:dyDescent="0.4">
      <c r="A7562" t="s">
        <v>71</v>
      </c>
      <c r="B7562" s="1">
        <v>45261</v>
      </c>
      <c r="C7562">
        <v>870880</v>
      </c>
      <c r="D7562" t="s">
        <v>176</v>
      </c>
      <c r="E7562">
        <v>163126</v>
      </c>
      <c r="F7562">
        <v>3100</v>
      </c>
      <c r="G7562">
        <v>14694</v>
      </c>
      <c r="H7562">
        <f>_xlfn.XLOOKUP(FACT_IMPORTS[[#This Row],[hts_6]],DIM_PRODUCTS[hts_6],DIM_PRODUCTS[hts_4],,,)</f>
        <v>8708</v>
      </c>
      <c r="I7562" t="str" cm="1">
        <f t="array" ref="I7562">_xlfn.XLOOKUP(FACT_IMPORTS[[#This Row],[country_name]],DIM_COUNTRY[[#All],[Column2]],DIM_COUNTRY[[#All],[Column3]],,,)</f>
        <v>Major_Non-USMCA_Non-China</v>
      </c>
    </row>
    <row r="7563" spans="1:9" x14ac:dyDescent="0.4">
      <c r="A7563" t="s">
        <v>71</v>
      </c>
      <c r="B7563" s="1">
        <v>45261</v>
      </c>
      <c r="C7563">
        <v>870891</v>
      </c>
      <c r="D7563" t="s">
        <v>176</v>
      </c>
      <c r="E7563">
        <v>199412</v>
      </c>
      <c r="F7563">
        <v>96892</v>
      </c>
      <c r="G7563">
        <v>2593</v>
      </c>
      <c r="H7563">
        <f>_xlfn.XLOOKUP(FACT_IMPORTS[[#This Row],[hts_6]],DIM_PRODUCTS[hts_6],DIM_PRODUCTS[hts_4],,,)</f>
        <v>8708</v>
      </c>
      <c r="I7563" t="str" cm="1">
        <f t="array" ref="I7563">_xlfn.XLOOKUP(FACT_IMPORTS[[#This Row],[country_name]],DIM_COUNTRY[[#All],[Column2]],DIM_COUNTRY[[#All],[Column3]],,,)</f>
        <v>Major_Non-USMCA_Non-China</v>
      </c>
    </row>
    <row r="7564" spans="1:9" x14ac:dyDescent="0.4">
      <c r="A7564" t="s">
        <v>71</v>
      </c>
      <c r="B7564" s="1">
        <v>45261</v>
      </c>
      <c r="C7564">
        <v>870892</v>
      </c>
      <c r="D7564" t="s">
        <v>176</v>
      </c>
      <c r="E7564">
        <v>0</v>
      </c>
      <c r="F7564">
        <v>0</v>
      </c>
      <c r="G7564">
        <v>0</v>
      </c>
      <c r="H7564">
        <f>_xlfn.XLOOKUP(FACT_IMPORTS[[#This Row],[hts_6]],DIM_PRODUCTS[hts_6],DIM_PRODUCTS[hts_4],,,)</f>
        <v>8708</v>
      </c>
      <c r="I7564" t="str" cm="1">
        <f t="array" ref="I7564">_xlfn.XLOOKUP(FACT_IMPORTS[[#This Row],[country_name]],DIM_COUNTRY[[#All],[Column2]],DIM_COUNTRY[[#All],[Column3]],,,)</f>
        <v>Major_Non-USMCA_Non-China</v>
      </c>
    </row>
    <row r="7565" spans="1:9" x14ac:dyDescent="0.4">
      <c r="A7565" t="s">
        <v>71</v>
      </c>
      <c r="B7565" s="1">
        <v>45261</v>
      </c>
      <c r="C7565">
        <v>870893</v>
      </c>
      <c r="D7565" t="s">
        <v>176</v>
      </c>
      <c r="E7565">
        <v>1531699</v>
      </c>
      <c r="F7565">
        <v>236363</v>
      </c>
      <c r="G7565">
        <v>25857</v>
      </c>
      <c r="H7565">
        <f>_xlfn.XLOOKUP(FACT_IMPORTS[[#This Row],[hts_6]],DIM_PRODUCTS[hts_6],DIM_PRODUCTS[hts_4],,,)</f>
        <v>8708</v>
      </c>
      <c r="I7565" t="str" cm="1">
        <f t="array" ref="I7565">_xlfn.XLOOKUP(FACT_IMPORTS[[#This Row],[country_name]],DIM_COUNTRY[[#All],[Column2]],DIM_COUNTRY[[#All],[Column3]],,,)</f>
        <v>Major_Non-USMCA_Non-China</v>
      </c>
    </row>
    <row r="7566" spans="1:9" x14ac:dyDescent="0.4">
      <c r="A7566" t="s">
        <v>71</v>
      </c>
      <c r="B7566" s="1">
        <v>45261</v>
      </c>
      <c r="C7566">
        <v>870894</v>
      </c>
      <c r="D7566" t="s">
        <v>176</v>
      </c>
      <c r="E7566">
        <v>133786</v>
      </c>
      <c r="F7566">
        <v>5854</v>
      </c>
      <c r="G7566">
        <v>2970</v>
      </c>
      <c r="H7566">
        <f>_xlfn.XLOOKUP(FACT_IMPORTS[[#This Row],[hts_6]],DIM_PRODUCTS[hts_6],DIM_PRODUCTS[hts_4],,,)</f>
        <v>8708</v>
      </c>
      <c r="I7566" t="str" cm="1">
        <f t="array" ref="I7566">_xlfn.XLOOKUP(FACT_IMPORTS[[#This Row],[country_name]],DIM_COUNTRY[[#All],[Column2]],DIM_COUNTRY[[#All],[Column3]],,,)</f>
        <v>Major_Non-USMCA_Non-China</v>
      </c>
    </row>
    <row r="7567" spans="1:9" x14ac:dyDescent="0.4">
      <c r="A7567" t="s">
        <v>71</v>
      </c>
      <c r="B7567" s="1">
        <v>45261</v>
      </c>
      <c r="C7567">
        <v>870895</v>
      </c>
      <c r="D7567" t="s">
        <v>176</v>
      </c>
      <c r="E7567">
        <v>0</v>
      </c>
      <c r="F7567">
        <v>0</v>
      </c>
      <c r="G7567">
        <v>0</v>
      </c>
      <c r="H7567">
        <f>_xlfn.XLOOKUP(FACT_IMPORTS[[#This Row],[hts_6]],DIM_PRODUCTS[hts_6],DIM_PRODUCTS[hts_4],,,)</f>
        <v>8708</v>
      </c>
      <c r="I7567" t="str" cm="1">
        <f t="array" ref="I7567">_xlfn.XLOOKUP(FACT_IMPORTS[[#This Row],[country_name]],DIM_COUNTRY[[#All],[Column2]],DIM_COUNTRY[[#All],[Column3]],,,)</f>
        <v>Major_Non-USMCA_Non-China</v>
      </c>
    </row>
    <row r="7568" spans="1:9" x14ac:dyDescent="0.4">
      <c r="A7568" t="s">
        <v>71</v>
      </c>
      <c r="B7568" s="1">
        <v>45261</v>
      </c>
      <c r="C7568">
        <v>870899</v>
      </c>
      <c r="D7568" t="s">
        <v>176</v>
      </c>
      <c r="E7568">
        <v>2970703</v>
      </c>
      <c r="F7568">
        <v>2142192</v>
      </c>
      <c r="G7568">
        <v>69867</v>
      </c>
      <c r="H7568">
        <f>_xlfn.XLOOKUP(FACT_IMPORTS[[#This Row],[hts_6]],DIM_PRODUCTS[hts_6],DIM_PRODUCTS[hts_4],,,)</f>
        <v>8708</v>
      </c>
      <c r="I7568" t="str" cm="1">
        <f t="array" ref="I7568">_xlfn.XLOOKUP(FACT_IMPORTS[[#This Row],[country_name]],DIM_COUNTRY[[#All],[Column2]],DIM_COUNTRY[[#All],[Column3]],,,)</f>
        <v>Major_Non-USMCA_Non-China</v>
      </c>
    </row>
    <row r="7569" spans="1:9" x14ac:dyDescent="0.4">
      <c r="A7569" t="s">
        <v>71</v>
      </c>
      <c r="B7569" s="1">
        <v>45261</v>
      </c>
      <c r="C7569">
        <v>940120</v>
      </c>
      <c r="D7569" t="s">
        <v>176</v>
      </c>
      <c r="E7569">
        <v>1290</v>
      </c>
      <c r="F7569">
        <v>1</v>
      </c>
      <c r="G7569">
        <v>13</v>
      </c>
      <c r="H7569">
        <f>_xlfn.XLOOKUP(FACT_IMPORTS[[#This Row],[hts_6]],DIM_PRODUCTS[hts_6],DIM_PRODUCTS[hts_4],,,)</f>
        <v>9401</v>
      </c>
      <c r="I7569" t="str" cm="1">
        <f t="array" ref="I7569">_xlfn.XLOOKUP(FACT_IMPORTS[[#This Row],[country_name]],DIM_COUNTRY[[#All],[Column2]],DIM_COUNTRY[[#All],[Column3]],,,)</f>
        <v>Major_Non-USMCA_Non-China</v>
      </c>
    </row>
    <row r="7570" spans="1:9" x14ac:dyDescent="0.4">
      <c r="A7570" t="s">
        <v>71</v>
      </c>
      <c r="B7570" s="1">
        <v>45292</v>
      </c>
      <c r="C7570">
        <v>392630</v>
      </c>
      <c r="D7570" t="s">
        <v>176</v>
      </c>
      <c r="E7570">
        <v>7706</v>
      </c>
      <c r="F7570">
        <v>299</v>
      </c>
      <c r="G7570">
        <v>208</v>
      </c>
      <c r="H7570">
        <f>_xlfn.XLOOKUP(FACT_IMPORTS[[#This Row],[hts_6]],DIM_PRODUCTS[hts_6],DIM_PRODUCTS[hts_4],,,)</f>
        <v>3926</v>
      </c>
      <c r="I7570" t="str" cm="1">
        <f t="array" ref="I7570">_xlfn.XLOOKUP(FACT_IMPORTS[[#This Row],[country_name]],DIM_COUNTRY[[#All],[Column2]],DIM_COUNTRY[[#All],[Column3]],,,)</f>
        <v>Major_Non-USMCA_Non-China</v>
      </c>
    </row>
    <row r="7571" spans="1:9" x14ac:dyDescent="0.4">
      <c r="A7571" t="s">
        <v>71</v>
      </c>
      <c r="B7571" s="1">
        <v>45292</v>
      </c>
      <c r="C7571">
        <v>401110</v>
      </c>
      <c r="D7571" t="s">
        <v>176</v>
      </c>
      <c r="E7571">
        <v>1612</v>
      </c>
      <c r="F7571">
        <v>13</v>
      </c>
      <c r="G7571">
        <v>195</v>
      </c>
      <c r="H7571">
        <f>_xlfn.XLOOKUP(FACT_IMPORTS[[#This Row],[hts_6]],DIM_PRODUCTS[hts_6],DIM_PRODUCTS[hts_4],,,)</f>
        <v>4011</v>
      </c>
      <c r="I7571" t="str" cm="1">
        <f t="array" ref="I7571">_xlfn.XLOOKUP(FACT_IMPORTS[[#This Row],[country_name]],DIM_COUNTRY[[#All],[Column2]],DIM_COUNTRY[[#All],[Column3]],,,)</f>
        <v>Major_Non-USMCA_Non-China</v>
      </c>
    </row>
    <row r="7572" spans="1:9" x14ac:dyDescent="0.4">
      <c r="A7572" t="s">
        <v>71</v>
      </c>
      <c r="B7572" s="1">
        <v>45292</v>
      </c>
      <c r="C7572">
        <v>401120</v>
      </c>
      <c r="D7572" t="s">
        <v>176</v>
      </c>
      <c r="E7572">
        <v>42986</v>
      </c>
      <c r="F7572">
        <v>240</v>
      </c>
      <c r="G7572">
        <v>2603</v>
      </c>
      <c r="H7572">
        <f>_xlfn.XLOOKUP(FACT_IMPORTS[[#This Row],[hts_6]],DIM_PRODUCTS[hts_6],DIM_PRODUCTS[hts_4],,,)</f>
        <v>4011</v>
      </c>
      <c r="I7572" t="str" cm="1">
        <f t="array" ref="I7572">_xlfn.XLOOKUP(FACT_IMPORTS[[#This Row],[country_name]],DIM_COUNTRY[[#All],[Column2]],DIM_COUNTRY[[#All],[Column3]],,,)</f>
        <v>Major_Non-USMCA_Non-China</v>
      </c>
    </row>
    <row r="7573" spans="1:9" x14ac:dyDescent="0.4">
      <c r="A7573" t="s">
        <v>71</v>
      </c>
      <c r="B7573" s="1">
        <v>45292</v>
      </c>
      <c r="C7573">
        <v>700711</v>
      </c>
      <c r="D7573" t="s">
        <v>176</v>
      </c>
      <c r="E7573">
        <v>0</v>
      </c>
      <c r="F7573">
        <v>0</v>
      </c>
      <c r="G7573">
        <v>0</v>
      </c>
      <c r="H7573">
        <f>_xlfn.XLOOKUP(FACT_IMPORTS[[#This Row],[hts_6]],DIM_PRODUCTS[hts_6],DIM_PRODUCTS[hts_4],,,)</f>
        <v>7007</v>
      </c>
      <c r="I7573" t="str" cm="1">
        <f t="array" ref="I7573">_xlfn.XLOOKUP(FACT_IMPORTS[[#This Row],[country_name]],DIM_COUNTRY[[#All],[Column2]],DIM_COUNTRY[[#All],[Column3]],,,)</f>
        <v>Major_Non-USMCA_Non-China</v>
      </c>
    </row>
    <row r="7574" spans="1:9" x14ac:dyDescent="0.4">
      <c r="A7574" t="s">
        <v>71</v>
      </c>
      <c r="B7574" s="1">
        <v>45292</v>
      </c>
      <c r="C7574">
        <v>700721</v>
      </c>
      <c r="D7574" t="s">
        <v>176</v>
      </c>
      <c r="E7574">
        <v>0</v>
      </c>
      <c r="F7574">
        <v>0</v>
      </c>
      <c r="G7574">
        <v>0</v>
      </c>
      <c r="H7574">
        <f>_xlfn.XLOOKUP(FACT_IMPORTS[[#This Row],[hts_6]],DIM_PRODUCTS[hts_6],DIM_PRODUCTS[hts_4],,,)</f>
        <v>7007</v>
      </c>
      <c r="I7574" t="str" cm="1">
        <f t="array" ref="I7574">_xlfn.XLOOKUP(FACT_IMPORTS[[#This Row],[country_name]],DIM_COUNTRY[[#All],[Column2]],DIM_COUNTRY[[#All],[Column3]],,,)</f>
        <v>Major_Non-USMCA_Non-China</v>
      </c>
    </row>
    <row r="7575" spans="1:9" x14ac:dyDescent="0.4">
      <c r="A7575" t="s">
        <v>71</v>
      </c>
      <c r="B7575" s="1">
        <v>45292</v>
      </c>
      <c r="C7575">
        <v>700910</v>
      </c>
      <c r="D7575" t="s">
        <v>176</v>
      </c>
      <c r="E7575">
        <v>0</v>
      </c>
      <c r="F7575">
        <v>0</v>
      </c>
      <c r="G7575">
        <v>0</v>
      </c>
      <c r="H7575">
        <f>_xlfn.XLOOKUP(FACT_IMPORTS[[#This Row],[hts_6]],DIM_PRODUCTS[hts_6],DIM_PRODUCTS[hts_4],,,)</f>
        <v>7009</v>
      </c>
      <c r="I7575" t="str" cm="1">
        <f t="array" ref="I7575">_xlfn.XLOOKUP(FACT_IMPORTS[[#This Row],[country_name]],DIM_COUNTRY[[#All],[Column2]],DIM_COUNTRY[[#All],[Column3]],,,)</f>
        <v>Major_Non-USMCA_Non-China</v>
      </c>
    </row>
    <row r="7576" spans="1:9" x14ac:dyDescent="0.4">
      <c r="A7576" t="s">
        <v>71</v>
      </c>
      <c r="B7576" s="1">
        <v>45292</v>
      </c>
      <c r="C7576">
        <v>732010</v>
      </c>
      <c r="D7576" t="s">
        <v>176</v>
      </c>
      <c r="E7576">
        <v>0</v>
      </c>
      <c r="F7576">
        <v>0</v>
      </c>
      <c r="G7576">
        <v>0</v>
      </c>
      <c r="H7576">
        <f>_xlfn.XLOOKUP(FACT_IMPORTS[[#This Row],[hts_6]],DIM_PRODUCTS[hts_6],DIM_PRODUCTS[hts_4],,,)</f>
        <v>7320</v>
      </c>
      <c r="I7576" t="str" cm="1">
        <f t="array" ref="I7576">_xlfn.XLOOKUP(FACT_IMPORTS[[#This Row],[country_name]],DIM_COUNTRY[[#All],[Column2]],DIM_COUNTRY[[#All],[Column3]],,,)</f>
        <v>Major_Non-USMCA_Non-China</v>
      </c>
    </row>
    <row r="7577" spans="1:9" x14ac:dyDescent="0.4">
      <c r="A7577" t="s">
        <v>71</v>
      </c>
      <c r="B7577" s="1">
        <v>45292</v>
      </c>
      <c r="C7577">
        <v>830230</v>
      </c>
      <c r="D7577" t="s">
        <v>176</v>
      </c>
      <c r="E7577">
        <v>61824</v>
      </c>
      <c r="F7577">
        <v>12753</v>
      </c>
      <c r="G7577">
        <v>809</v>
      </c>
      <c r="H7577">
        <f>_xlfn.XLOOKUP(FACT_IMPORTS[[#This Row],[hts_6]],DIM_PRODUCTS[hts_6],DIM_PRODUCTS[hts_4],,,)</f>
        <v>8302</v>
      </c>
      <c r="I7577" t="str" cm="1">
        <f t="array" ref="I7577">_xlfn.XLOOKUP(FACT_IMPORTS[[#This Row],[country_name]],DIM_COUNTRY[[#All],[Column2]],DIM_COUNTRY[[#All],[Column3]],,,)</f>
        <v>Major_Non-USMCA_Non-China</v>
      </c>
    </row>
    <row r="7578" spans="1:9" x14ac:dyDescent="0.4">
      <c r="A7578" t="s">
        <v>71</v>
      </c>
      <c r="B7578" s="1">
        <v>45292</v>
      </c>
      <c r="C7578">
        <v>840734</v>
      </c>
      <c r="D7578" t="s">
        <v>176</v>
      </c>
      <c r="E7578">
        <v>71635</v>
      </c>
      <c r="F7578">
        <v>283</v>
      </c>
      <c r="G7578">
        <v>609</v>
      </c>
      <c r="H7578">
        <f>_xlfn.XLOOKUP(FACT_IMPORTS[[#This Row],[hts_6]],DIM_PRODUCTS[hts_6],DIM_PRODUCTS[hts_4],,,)</f>
        <v>8407</v>
      </c>
      <c r="I7578" t="str" cm="1">
        <f t="array" ref="I7578">_xlfn.XLOOKUP(FACT_IMPORTS[[#This Row],[country_name]],DIM_COUNTRY[[#All],[Column2]],DIM_COUNTRY[[#All],[Column3]],,,)</f>
        <v>Major_Non-USMCA_Non-China</v>
      </c>
    </row>
    <row r="7579" spans="1:9" x14ac:dyDescent="0.4">
      <c r="A7579" t="s">
        <v>71</v>
      </c>
      <c r="B7579" s="1">
        <v>45292</v>
      </c>
      <c r="C7579">
        <v>840790</v>
      </c>
      <c r="D7579" t="s">
        <v>176</v>
      </c>
      <c r="E7579">
        <v>5197</v>
      </c>
      <c r="F7579">
        <v>2</v>
      </c>
      <c r="G7579">
        <v>214</v>
      </c>
      <c r="H7579">
        <f>_xlfn.XLOOKUP(FACT_IMPORTS[[#This Row],[hts_6]],DIM_PRODUCTS[hts_6],DIM_PRODUCTS[hts_4],,,)</f>
        <v>8407</v>
      </c>
      <c r="I7579" t="str" cm="1">
        <f t="array" ref="I7579">_xlfn.XLOOKUP(FACT_IMPORTS[[#This Row],[country_name]],DIM_COUNTRY[[#All],[Column2]],DIM_COUNTRY[[#All],[Column3]],,,)</f>
        <v>Major_Non-USMCA_Non-China</v>
      </c>
    </row>
    <row r="7580" spans="1:9" x14ac:dyDescent="0.4">
      <c r="A7580" t="s">
        <v>71</v>
      </c>
      <c r="B7580" s="1">
        <v>45292</v>
      </c>
      <c r="C7580">
        <v>840820</v>
      </c>
      <c r="D7580" t="s">
        <v>176</v>
      </c>
      <c r="E7580">
        <v>112479</v>
      </c>
      <c r="F7580">
        <v>3</v>
      </c>
      <c r="G7580">
        <v>346</v>
      </c>
      <c r="H7580">
        <f>_xlfn.XLOOKUP(FACT_IMPORTS[[#This Row],[hts_6]],DIM_PRODUCTS[hts_6],DIM_PRODUCTS[hts_4],,,)</f>
        <v>8408</v>
      </c>
      <c r="I7580" t="str" cm="1">
        <f t="array" ref="I7580">_xlfn.XLOOKUP(FACT_IMPORTS[[#This Row],[country_name]],DIM_COUNTRY[[#All],[Column2]],DIM_COUNTRY[[#All],[Column3]],,,)</f>
        <v>Major_Non-USMCA_Non-China</v>
      </c>
    </row>
    <row r="7581" spans="1:9" x14ac:dyDescent="0.4">
      <c r="A7581" t="s">
        <v>71</v>
      </c>
      <c r="B7581" s="1">
        <v>45292</v>
      </c>
      <c r="C7581">
        <v>840890</v>
      </c>
      <c r="D7581" t="s">
        <v>176</v>
      </c>
      <c r="E7581">
        <v>51641</v>
      </c>
      <c r="F7581">
        <v>3</v>
      </c>
      <c r="G7581">
        <v>764</v>
      </c>
      <c r="H7581">
        <f>_xlfn.XLOOKUP(FACT_IMPORTS[[#This Row],[hts_6]],DIM_PRODUCTS[hts_6],DIM_PRODUCTS[hts_4],,,)</f>
        <v>8408</v>
      </c>
      <c r="I7581" t="str" cm="1">
        <f t="array" ref="I7581">_xlfn.XLOOKUP(FACT_IMPORTS[[#This Row],[country_name]],DIM_COUNTRY[[#All],[Column2]],DIM_COUNTRY[[#All],[Column3]],,,)</f>
        <v>Major_Non-USMCA_Non-China</v>
      </c>
    </row>
    <row r="7582" spans="1:9" x14ac:dyDescent="0.4">
      <c r="A7582" t="s">
        <v>71</v>
      </c>
      <c r="B7582" s="1">
        <v>45292</v>
      </c>
      <c r="C7582">
        <v>840991</v>
      </c>
      <c r="D7582" t="s">
        <v>176</v>
      </c>
      <c r="E7582">
        <v>5604215</v>
      </c>
      <c r="F7582">
        <v>399085</v>
      </c>
      <c r="G7582">
        <v>177698</v>
      </c>
      <c r="H7582">
        <f>_xlfn.XLOOKUP(FACT_IMPORTS[[#This Row],[hts_6]],DIM_PRODUCTS[hts_6],DIM_PRODUCTS[hts_4],,,)</f>
        <v>8409</v>
      </c>
      <c r="I7582" t="str" cm="1">
        <f t="array" ref="I7582">_xlfn.XLOOKUP(FACT_IMPORTS[[#This Row],[country_name]],DIM_COUNTRY[[#All],[Column2]],DIM_COUNTRY[[#All],[Column3]],,,)</f>
        <v>Major_Non-USMCA_Non-China</v>
      </c>
    </row>
    <row r="7583" spans="1:9" x14ac:dyDescent="0.4">
      <c r="A7583" t="s">
        <v>71</v>
      </c>
      <c r="B7583" s="1">
        <v>45292</v>
      </c>
      <c r="C7583">
        <v>840999</v>
      </c>
      <c r="D7583" t="s">
        <v>176</v>
      </c>
      <c r="E7583">
        <v>2150</v>
      </c>
      <c r="F7583">
        <v>56</v>
      </c>
      <c r="G7583">
        <v>31</v>
      </c>
      <c r="H7583">
        <f>_xlfn.XLOOKUP(FACT_IMPORTS[[#This Row],[hts_6]],DIM_PRODUCTS[hts_6],DIM_PRODUCTS[hts_4],,,)</f>
        <v>8409</v>
      </c>
      <c r="I7583" t="str" cm="1">
        <f t="array" ref="I7583">_xlfn.XLOOKUP(FACT_IMPORTS[[#This Row],[country_name]],DIM_COUNTRY[[#All],[Column2]],DIM_COUNTRY[[#All],[Column3]],,,)</f>
        <v>Major_Non-USMCA_Non-China</v>
      </c>
    </row>
    <row r="7584" spans="1:9" x14ac:dyDescent="0.4">
      <c r="A7584" t="s">
        <v>71</v>
      </c>
      <c r="B7584" s="1">
        <v>45292</v>
      </c>
      <c r="C7584">
        <v>841330</v>
      </c>
      <c r="D7584" t="s">
        <v>176</v>
      </c>
      <c r="E7584">
        <v>109666</v>
      </c>
      <c r="F7584">
        <v>1564</v>
      </c>
      <c r="G7584">
        <v>12657</v>
      </c>
      <c r="H7584">
        <f>_xlfn.XLOOKUP(FACT_IMPORTS[[#This Row],[hts_6]],DIM_PRODUCTS[hts_6],DIM_PRODUCTS[hts_4],,,)</f>
        <v>8413</v>
      </c>
      <c r="I7584" t="str" cm="1">
        <f t="array" ref="I7584">_xlfn.XLOOKUP(FACT_IMPORTS[[#This Row],[country_name]],DIM_COUNTRY[[#All],[Column2]],DIM_COUNTRY[[#All],[Column3]],,,)</f>
        <v>Major_Non-USMCA_Non-China</v>
      </c>
    </row>
    <row r="7585" spans="1:9" x14ac:dyDescent="0.4">
      <c r="A7585" t="s">
        <v>71</v>
      </c>
      <c r="B7585" s="1">
        <v>45292</v>
      </c>
      <c r="C7585">
        <v>841520</v>
      </c>
      <c r="D7585" t="s">
        <v>176</v>
      </c>
      <c r="E7585">
        <v>0</v>
      </c>
      <c r="F7585">
        <v>0</v>
      </c>
      <c r="G7585">
        <v>0</v>
      </c>
      <c r="H7585">
        <f>_xlfn.XLOOKUP(FACT_IMPORTS[[#This Row],[hts_6]],DIM_PRODUCTS[hts_6],DIM_PRODUCTS[hts_4],,,)</f>
        <v>8415</v>
      </c>
      <c r="I7585" t="str" cm="1">
        <f t="array" ref="I7585">_xlfn.XLOOKUP(FACT_IMPORTS[[#This Row],[country_name]],DIM_COUNTRY[[#All],[Column2]],DIM_COUNTRY[[#All],[Column3]],,,)</f>
        <v>Major_Non-USMCA_Non-China</v>
      </c>
    </row>
    <row r="7586" spans="1:9" x14ac:dyDescent="0.4">
      <c r="A7586" t="s">
        <v>71</v>
      </c>
      <c r="B7586" s="1">
        <v>45292</v>
      </c>
      <c r="C7586">
        <v>842132</v>
      </c>
      <c r="D7586" t="s">
        <v>176</v>
      </c>
      <c r="E7586">
        <v>405122</v>
      </c>
      <c r="F7586">
        <v>96</v>
      </c>
      <c r="G7586">
        <v>1242</v>
      </c>
      <c r="H7586">
        <f>_xlfn.XLOOKUP(FACT_IMPORTS[[#This Row],[hts_6]],DIM_PRODUCTS[hts_6],DIM_PRODUCTS[hts_4],,,)</f>
        <v>8421</v>
      </c>
      <c r="I7586" t="str" cm="1">
        <f t="array" ref="I7586">_xlfn.XLOOKUP(FACT_IMPORTS[[#This Row],[country_name]],DIM_COUNTRY[[#All],[Column2]],DIM_COUNTRY[[#All],[Column3]],,,)</f>
        <v>Major_Non-USMCA_Non-China</v>
      </c>
    </row>
    <row r="7587" spans="1:9" x14ac:dyDescent="0.4">
      <c r="A7587" t="s">
        <v>71</v>
      </c>
      <c r="B7587" s="1">
        <v>45292</v>
      </c>
      <c r="C7587">
        <v>848210</v>
      </c>
      <c r="D7587" t="s">
        <v>176</v>
      </c>
      <c r="E7587">
        <v>43065</v>
      </c>
      <c r="F7587">
        <v>1861</v>
      </c>
      <c r="G7587">
        <v>1226</v>
      </c>
      <c r="H7587">
        <f>_xlfn.XLOOKUP(FACT_IMPORTS[[#This Row],[hts_6]],DIM_PRODUCTS[hts_6],DIM_PRODUCTS[hts_4],,,)</f>
        <v>8482</v>
      </c>
      <c r="I7587" t="str" cm="1">
        <f t="array" ref="I7587">_xlfn.XLOOKUP(FACT_IMPORTS[[#This Row],[country_name]],DIM_COUNTRY[[#All],[Column2]],DIM_COUNTRY[[#All],[Column3]],,,)</f>
        <v>Major_Non-USMCA_Non-China</v>
      </c>
    </row>
    <row r="7588" spans="1:9" x14ac:dyDescent="0.4">
      <c r="A7588" t="s">
        <v>71</v>
      </c>
      <c r="B7588" s="1">
        <v>45292</v>
      </c>
      <c r="C7588">
        <v>848220</v>
      </c>
      <c r="D7588" t="s">
        <v>176</v>
      </c>
      <c r="E7588">
        <v>236174</v>
      </c>
      <c r="F7588">
        <v>17168</v>
      </c>
      <c r="G7588">
        <v>1893</v>
      </c>
      <c r="H7588">
        <f>_xlfn.XLOOKUP(FACT_IMPORTS[[#This Row],[hts_6]],DIM_PRODUCTS[hts_6],DIM_PRODUCTS[hts_4],,,)</f>
        <v>8482</v>
      </c>
      <c r="I7588" t="str" cm="1">
        <f t="array" ref="I7588">_xlfn.XLOOKUP(FACT_IMPORTS[[#This Row],[country_name]],DIM_COUNTRY[[#All],[Column2]],DIM_COUNTRY[[#All],[Column3]],,,)</f>
        <v>Major_Non-USMCA_Non-China</v>
      </c>
    </row>
    <row r="7589" spans="1:9" x14ac:dyDescent="0.4">
      <c r="A7589" t="s">
        <v>71</v>
      </c>
      <c r="B7589" s="1">
        <v>45292</v>
      </c>
      <c r="C7589">
        <v>848310</v>
      </c>
      <c r="D7589" t="s">
        <v>176</v>
      </c>
      <c r="E7589">
        <v>350352</v>
      </c>
      <c r="F7589">
        <v>15801</v>
      </c>
      <c r="G7589">
        <v>716</v>
      </c>
      <c r="H7589">
        <f>_xlfn.XLOOKUP(FACT_IMPORTS[[#This Row],[hts_6]],DIM_PRODUCTS[hts_6],DIM_PRODUCTS[hts_4],,,)</f>
        <v>8483</v>
      </c>
      <c r="I7589" t="str" cm="1">
        <f t="array" ref="I7589">_xlfn.XLOOKUP(FACT_IMPORTS[[#This Row],[country_name]],DIM_COUNTRY[[#All],[Column2]],DIM_COUNTRY[[#All],[Column3]],,,)</f>
        <v>Major_Non-USMCA_Non-China</v>
      </c>
    </row>
    <row r="7590" spans="1:9" x14ac:dyDescent="0.4">
      <c r="A7590" t="s">
        <v>71</v>
      </c>
      <c r="B7590" s="1">
        <v>45292</v>
      </c>
      <c r="C7590">
        <v>850131</v>
      </c>
      <c r="D7590" t="s">
        <v>176</v>
      </c>
      <c r="E7590">
        <v>3115049</v>
      </c>
      <c r="F7590">
        <v>80988</v>
      </c>
      <c r="G7590">
        <v>40279</v>
      </c>
      <c r="H7590">
        <f>_xlfn.XLOOKUP(FACT_IMPORTS[[#This Row],[hts_6]],DIM_PRODUCTS[hts_6],DIM_PRODUCTS[hts_4],,,)</f>
        <v>8501</v>
      </c>
      <c r="I7590" t="str" cm="1">
        <f t="array" ref="I7590">_xlfn.XLOOKUP(FACT_IMPORTS[[#This Row],[country_name]],DIM_COUNTRY[[#All],[Column2]],DIM_COUNTRY[[#All],[Column3]],,,)</f>
        <v>Major_Non-USMCA_Non-China</v>
      </c>
    </row>
    <row r="7591" spans="1:9" x14ac:dyDescent="0.4">
      <c r="A7591" t="s">
        <v>71</v>
      </c>
      <c r="B7591" s="1">
        <v>45292</v>
      </c>
      <c r="C7591">
        <v>850132</v>
      </c>
      <c r="D7591" t="s">
        <v>176</v>
      </c>
      <c r="E7591">
        <v>0</v>
      </c>
      <c r="F7591">
        <v>0</v>
      </c>
      <c r="G7591">
        <v>0</v>
      </c>
      <c r="H7591">
        <f>_xlfn.XLOOKUP(FACT_IMPORTS[[#This Row],[hts_6]],DIM_PRODUCTS[hts_6],DIM_PRODUCTS[hts_4],,,)</f>
        <v>8501</v>
      </c>
      <c r="I7591" t="str" cm="1">
        <f t="array" ref="I7591">_xlfn.XLOOKUP(FACT_IMPORTS[[#This Row],[country_name]],DIM_COUNTRY[[#All],[Column2]],DIM_COUNTRY[[#All],[Column3]],,,)</f>
        <v>Major_Non-USMCA_Non-China</v>
      </c>
    </row>
    <row r="7592" spans="1:9" x14ac:dyDescent="0.4">
      <c r="A7592" t="s">
        <v>71</v>
      </c>
      <c r="B7592" s="1">
        <v>45292</v>
      </c>
      <c r="C7592">
        <v>850133</v>
      </c>
      <c r="D7592" t="s">
        <v>176</v>
      </c>
      <c r="E7592">
        <v>0</v>
      </c>
      <c r="F7592">
        <v>0</v>
      </c>
      <c r="G7592">
        <v>0</v>
      </c>
      <c r="H7592">
        <f>_xlfn.XLOOKUP(FACT_IMPORTS[[#This Row],[hts_6]],DIM_PRODUCTS[hts_6],DIM_PRODUCTS[hts_4],,,)</f>
        <v>8501</v>
      </c>
      <c r="I7592" t="str" cm="1">
        <f t="array" ref="I7592">_xlfn.XLOOKUP(FACT_IMPORTS[[#This Row],[country_name]],DIM_COUNTRY[[#All],[Column2]],DIM_COUNTRY[[#All],[Column3]],,,)</f>
        <v>Major_Non-USMCA_Non-China</v>
      </c>
    </row>
    <row r="7593" spans="1:9" x14ac:dyDescent="0.4">
      <c r="A7593" t="s">
        <v>71</v>
      </c>
      <c r="B7593" s="1">
        <v>45292</v>
      </c>
      <c r="C7593">
        <v>850152</v>
      </c>
      <c r="D7593" t="s">
        <v>176</v>
      </c>
      <c r="E7593">
        <v>391100</v>
      </c>
      <c r="F7593">
        <v>277</v>
      </c>
      <c r="G7593">
        <v>4695</v>
      </c>
      <c r="H7593">
        <f>_xlfn.XLOOKUP(FACT_IMPORTS[[#This Row],[hts_6]],DIM_PRODUCTS[hts_6],DIM_PRODUCTS[hts_4],,,)</f>
        <v>8501</v>
      </c>
      <c r="I7593" t="str" cm="1">
        <f t="array" ref="I7593">_xlfn.XLOOKUP(FACT_IMPORTS[[#This Row],[country_name]],DIM_COUNTRY[[#All],[Column2]],DIM_COUNTRY[[#All],[Column3]],,,)</f>
        <v>Major_Non-USMCA_Non-China</v>
      </c>
    </row>
    <row r="7594" spans="1:9" x14ac:dyDescent="0.4">
      <c r="A7594" t="s">
        <v>71</v>
      </c>
      <c r="B7594" s="1">
        <v>45292</v>
      </c>
      <c r="C7594">
        <v>850153</v>
      </c>
      <c r="D7594" t="s">
        <v>176</v>
      </c>
      <c r="E7594">
        <v>0</v>
      </c>
      <c r="F7594">
        <v>0</v>
      </c>
      <c r="G7594">
        <v>0</v>
      </c>
      <c r="H7594">
        <f>_xlfn.XLOOKUP(FACT_IMPORTS[[#This Row],[hts_6]],DIM_PRODUCTS[hts_6],DIM_PRODUCTS[hts_4],,,)</f>
        <v>8501</v>
      </c>
      <c r="I7594" t="str" cm="1">
        <f t="array" ref="I7594">_xlfn.XLOOKUP(FACT_IMPORTS[[#This Row],[country_name]],DIM_COUNTRY[[#All],[Column2]],DIM_COUNTRY[[#All],[Column3]],,,)</f>
        <v>Major_Non-USMCA_Non-China</v>
      </c>
    </row>
    <row r="7595" spans="1:9" x14ac:dyDescent="0.4">
      <c r="A7595" t="s">
        <v>71</v>
      </c>
      <c r="B7595" s="1">
        <v>45292</v>
      </c>
      <c r="C7595">
        <v>850161</v>
      </c>
      <c r="D7595" t="s">
        <v>176</v>
      </c>
      <c r="E7595">
        <v>4221</v>
      </c>
      <c r="F7595">
        <v>16</v>
      </c>
      <c r="G7595">
        <v>4</v>
      </c>
      <c r="H7595">
        <f>_xlfn.XLOOKUP(FACT_IMPORTS[[#This Row],[hts_6]],DIM_PRODUCTS[hts_6],DIM_PRODUCTS[hts_4],,,)</f>
        <v>8501</v>
      </c>
      <c r="I7595" t="str" cm="1">
        <f t="array" ref="I7595">_xlfn.XLOOKUP(FACT_IMPORTS[[#This Row],[country_name]],DIM_COUNTRY[[#All],[Column2]],DIM_COUNTRY[[#All],[Column3]],,,)</f>
        <v>Major_Non-USMCA_Non-China</v>
      </c>
    </row>
    <row r="7596" spans="1:9" x14ac:dyDescent="0.4">
      <c r="A7596" t="s">
        <v>71</v>
      </c>
      <c r="B7596" s="1">
        <v>45292</v>
      </c>
      <c r="C7596">
        <v>850440</v>
      </c>
      <c r="D7596" t="s">
        <v>176</v>
      </c>
      <c r="E7596">
        <v>492173</v>
      </c>
      <c r="F7596">
        <v>330</v>
      </c>
      <c r="G7596">
        <v>10823</v>
      </c>
      <c r="H7596">
        <f>_xlfn.XLOOKUP(FACT_IMPORTS[[#This Row],[hts_6]],DIM_PRODUCTS[hts_6],DIM_PRODUCTS[hts_4],,,)</f>
        <v>8504</v>
      </c>
      <c r="I7596" t="str" cm="1">
        <f t="array" ref="I7596">_xlfn.XLOOKUP(FACT_IMPORTS[[#This Row],[country_name]],DIM_COUNTRY[[#All],[Column2]],DIM_COUNTRY[[#All],[Column3]],,,)</f>
        <v>Major_Non-USMCA_Non-China</v>
      </c>
    </row>
    <row r="7597" spans="1:9" x14ac:dyDescent="0.4">
      <c r="A7597" t="s">
        <v>71</v>
      </c>
      <c r="B7597" s="1">
        <v>45292</v>
      </c>
      <c r="C7597">
        <v>850710</v>
      </c>
      <c r="D7597" t="s">
        <v>176</v>
      </c>
      <c r="E7597">
        <v>0</v>
      </c>
      <c r="F7597">
        <v>0</v>
      </c>
      <c r="G7597">
        <v>0</v>
      </c>
      <c r="H7597">
        <f>_xlfn.XLOOKUP(FACT_IMPORTS[[#This Row],[hts_6]],DIM_PRODUCTS[hts_6],DIM_PRODUCTS[hts_4],,,)</f>
        <v>8507</v>
      </c>
      <c r="I7597" t="str" cm="1">
        <f t="array" ref="I7597">_xlfn.XLOOKUP(FACT_IMPORTS[[#This Row],[country_name]],DIM_COUNTRY[[#All],[Column2]],DIM_COUNTRY[[#All],[Column3]],,,)</f>
        <v>Major_Non-USMCA_Non-China</v>
      </c>
    </row>
    <row r="7598" spans="1:9" x14ac:dyDescent="0.4">
      <c r="A7598" t="s">
        <v>71</v>
      </c>
      <c r="B7598" s="1">
        <v>45292</v>
      </c>
      <c r="C7598">
        <v>850760</v>
      </c>
      <c r="D7598" t="s">
        <v>176</v>
      </c>
      <c r="E7598">
        <v>85239</v>
      </c>
      <c r="F7598">
        <v>564</v>
      </c>
      <c r="G7598">
        <v>637</v>
      </c>
      <c r="H7598">
        <f>_xlfn.XLOOKUP(FACT_IMPORTS[[#This Row],[hts_6]],DIM_PRODUCTS[hts_6],DIM_PRODUCTS[hts_4],,,)</f>
        <v>8507</v>
      </c>
      <c r="I7598" t="str" cm="1">
        <f t="array" ref="I7598">_xlfn.XLOOKUP(FACT_IMPORTS[[#This Row],[country_name]],DIM_COUNTRY[[#All],[Column2]],DIM_COUNTRY[[#All],[Column3]],,,)</f>
        <v>Major_Non-USMCA_Non-China</v>
      </c>
    </row>
    <row r="7599" spans="1:9" x14ac:dyDescent="0.4">
      <c r="A7599" t="s">
        <v>71</v>
      </c>
      <c r="B7599" s="1">
        <v>45292</v>
      </c>
      <c r="C7599">
        <v>850790</v>
      </c>
      <c r="D7599" t="s">
        <v>176</v>
      </c>
      <c r="E7599">
        <v>962640</v>
      </c>
      <c r="F7599">
        <v>17203</v>
      </c>
      <c r="G7599">
        <v>5000</v>
      </c>
      <c r="H7599">
        <f>_xlfn.XLOOKUP(FACT_IMPORTS[[#This Row],[hts_6]],DIM_PRODUCTS[hts_6],DIM_PRODUCTS[hts_4],,,)</f>
        <v>8507</v>
      </c>
      <c r="I7599" t="str" cm="1">
        <f t="array" ref="I7599">_xlfn.XLOOKUP(FACT_IMPORTS[[#This Row],[country_name]],DIM_COUNTRY[[#All],[Column2]],DIM_COUNTRY[[#All],[Column3]],,,)</f>
        <v>Major_Non-USMCA_Non-China</v>
      </c>
    </row>
    <row r="7600" spans="1:9" x14ac:dyDescent="0.4">
      <c r="A7600" t="s">
        <v>71</v>
      </c>
      <c r="B7600" s="1">
        <v>45292</v>
      </c>
      <c r="C7600">
        <v>851110</v>
      </c>
      <c r="D7600" t="s">
        <v>176</v>
      </c>
      <c r="E7600">
        <v>68258</v>
      </c>
      <c r="F7600">
        <v>523</v>
      </c>
      <c r="G7600">
        <v>1019</v>
      </c>
      <c r="H7600">
        <f>_xlfn.XLOOKUP(FACT_IMPORTS[[#This Row],[hts_6]],DIM_PRODUCTS[hts_6],DIM_PRODUCTS[hts_4],,,)</f>
        <v>8511</v>
      </c>
      <c r="I7600" t="str" cm="1">
        <f t="array" ref="I7600">_xlfn.XLOOKUP(FACT_IMPORTS[[#This Row],[country_name]],DIM_COUNTRY[[#All],[Column2]],DIM_COUNTRY[[#All],[Column3]],,,)</f>
        <v>Major_Non-USMCA_Non-China</v>
      </c>
    </row>
    <row r="7601" spans="1:9" x14ac:dyDescent="0.4">
      <c r="A7601" t="s">
        <v>71</v>
      </c>
      <c r="B7601" s="1">
        <v>45292</v>
      </c>
      <c r="C7601">
        <v>851130</v>
      </c>
      <c r="D7601" t="s">
        <v>176</v>
      </c>
      <c r="E7601">
        <v>5201</v>
      </c>
      <c r="F7601">
        <v>120</v>
      </c>
      <c r="G7601">
        <v>7</v>
      </c>
      <c r="H7601">
        <f>_xlfn.XLOOKUP(FACT_IMPORTS[[#This Row],[hts_6]],DIM_PRODUCTS[hts_6],DIM_PRODUCTS[hts_4],,,)</f>
        <v>8511</v>
      </c>
      <c r="I7601" t="str" cm="1">
        <f t="array" ref="I7601">_xlfn.XLOOKUP(FACT_IMPORTS[[#This Row],[country_name]],DIM_COUNTRY[[#All],[Column2]],DIM_COUNTRY[[#All],[Column3]],,,)</f>
        <v>Major_Non-USMCA_Non-China</v>
      </c>
    </row>
    <row r="7602" spans="1:9" x14ac:dyDescent="0.4">
      <c r="A7602" t="s">
        <v>71</v>
      </c>
      <c r="B7602" s="1">
        <v>45292</v>
      </c>
      <c r="C7602">
        <v>851140</v>
      </c>
      <c r="D7602" t="s">
        <v>176</v>
      </c>
      <c r="E7602">
        <v>439344</v>
      </c>
      <c r="F7602">
        <v>5078</v>
      </c>
      <c r="G7602">
        <v>4096</v>
      </c>
      <c r="H7602">
        <f>_xlfn.XLOOKUP(FACT_IMPORTS[[#This Row],[hts_6]],DIM_PRODUCTS[hts_6],DIM_PRODUCTS[hts_4],,,)</f>
        <v>8511</v>
      </c>
      <c r="I7602" t="str" cm="1">
        <f t="array" ref="I7602">_xlfn.XLOOKUP(FACT_IMPORTS[[#This Row],[country_name]],DIM_COUNTRY[[#All],[Column2]],DIM_COUNTRY[[#All],[Column3]],,,)</f>
        <v>Major_Non-USMCA_Non-China</v>
      </c>
    </row>
    <row r="7603" spans="1:9" x14ac:dyDescent="0.4">
      <c r="A7603" t="s">
        <v>71</v>
      </c>
      <c r="B7603" s="1">
        <v>45292</v>
      </c>
      <c r="C7603">
        <v>851150</v>
      </c>
      <c r="D7603" t="s">
        <v>176</v>
      </c>
      <c r="E7603">
        <v>42475</v>
      </c>
      <c r="F7603">
        <v>191</v>
      </c>
      <c r="G7603">
        <v>755</v>
      </c>
      <c r="H7603">
        <f>_xlfn.XLOOKUP(FACT_IMPORTS[[#This Row],[hts_6]],DIM_PRODUCTS[hts_6],DIM_PRODUCTS[hts_4],,,)</f>
        <v>8511</v>
      </c>
      <c r="I7603" t="str" cm="1">
        <f t="array" ref="I7603">_xlfn.XLOOKUP(FACT_IMPORTS[[#This Row],[country_name]],DIM_COUNTRY[[#All],[Column2]],DIM_COUNTRY[[#All],[Column3]],,,)</f>
        <v>Major_Non-USMCA_Non-China</v>
      </c>
    </row>
    <row r="7604" spans="1:9" x14ac:dyDescent="0.4">
      <c r="A7604" t="s">
        <v>71</v>
      </c>
      <c r="B7604" s="1">
        <v>45292</v>
      </c>
      <c r="C7604">
        <v>851180</v>
      </c>
      <c r="D7604" t="s">
        <v>176</v>
      </c>
      <c r="E7604">
        <v>2054</v>
      </c>
      <c r="F7604">
        <v>28</v>
      </c>
      <c r="G7604">
        <v>1</v>
      </c>
      <c r="H7604">
        <f>_xlfn.XLOOKUP(FACT_IMPORTS[[#This Row],[hts_6]],DIM_PRODUCTS[hts_6],DIM_PRODUCTS[hts_4],,,)</f>
        <v>8511</v>
      </c>
      <c r="I7604" t="str" cm="1">
        <f t="array" ref="I7604">_xlfn.XLOOKUP(FACT_IMPORTS[[#This Row],[country_name]],DIM_COUNTRY[[#All],[Column2]],DIM_COUNTRY[[#All],[Column3]],,,)</f>
        <v>Major_Non-USMCA_Non-China</v>
      </c>
    </row>
    <row r="7605" spans="1:9" x14ac:dyDescent="0.4">
      <c r="A7605" t="s">
        <v>71</v>
      </c>
      <c r="B7605" s="1">
        <v>45292</v>
      </c>
      <c r="C7605">
        <v>851190</v>
      </c>
      <c r="D7605" t="s">
        <v>176</v>
      </c>
      <c r="E7605">
        <v>66460</v>
      </c>
      <c r="F7605">
        <v>4045</v>
      </c>
      <c r="G7605">
        <v>664</v>
      </c>
      <c r="H7605">
        <f>_xlfn.XLOOKUP(FACT_IMPORTS[[#This Row],[hts_6]],DIM_PRODUCTS[hts_6],DIM_PRODUCTS[hts_4],,,)</f>
        <v>8511</v>
      </c>
      <c r="I7605" t="str" cm="1">
        <f t="array" ref="I7605">_xlfn.XLOOKUP(FACT_IMPORTS[[#This Row],[country_name]],DIM_COUNTRY[[#All],[Column2]],DIM_COUNTRY[[#All],[Column3]],,,)</f>
        <v>Major_Non-USMCA_Non-China</v>
      </c>
    </row>
    <row r="7606" spans="1:9" x14ac:dyDescent="0.4">
      <c r="A7606" t="s">
        <v>71</v>
      </c>
      <c r="B7606" s="1">
        <v>45292</v>
      </c>
      <c r="C7606">
        <v>851220</v>
      </c>
      <c r="D7606" t="s">
        <v>176</v>
      </c>
      <c r="E7606">
        <v>5768</v>
      </c>
      <c r="F7606">
        <v>28</v>
      </c>
      <c r="G7606">
        <v>163</v>
      </c>
      <c r="H7606">
        <f>_xlfn.XLOOKUP(FACT_IMPORTS[[#This Row],[hts_6]],DIM_PRODUCTS[hts_6],DIM_PRODUCTS[hts_4],,,)</f>
        <v>8512</v>
      </c>
      <c r="I7606" t="str" cm="1">
        <f t="array" ref="I7606">_xlfn.XLOOKUP(FACT_IMPORTS[[#This Row],[country_name]],DIM_COUNTRY[[#All],[Column2]],DIM_COUNTRY[[#All],[Column3]],,,)</f>
        <v>Major_Non-USMCA_Non-China</v>
      </c>
    </row>
    <row r="7607" spans="1:9" x14ac:dyDescent="0.4">
      <c r="A7607" t="s">
        <v>71</v>
      </c>
      <c r="B7607" s="1">
        <v>45292</v>
      </c>
      <c r="C7607">
        <v>851230</v>
      </c>
      <c r="D7607" t="s">
        <v>176</v>
      </c>
      <c r="E7607">
        <v>0</v>
      </c>
      <c r="F7607">
        <v>0</v>
      </c>
      <c r="G7607">
        <v>0</v>
      </c>
      <c r="H7607">
        <f>_xlfn.XLOOKUP(FACT_IMPORTS[[#This Row],[hts_6]],DIM_PRODUCTS[hts_6],DIM_PRODUCTS[hts_4],,,)</f>
        <v>8512</v>
      </c>
      <c r="I7607" t="str" cm="1">
        <f t="array" ref="I7607">_xlfn.XLOOKUP(FACT_IMPORTS[[#This Row],[country_name]],DIM_COUNTRY[[#All],[Column2]],DIM_COUNTRY[[#All],[Column3]],,,)</f>
        <v>Major_Non-USMCA_Non-China</v>
      </c>
    </row>
    <row r="7608" spans="1:9" x14ac:dyDescent="0.4">
      <c r="A7608" t="s">
        <v>71</v>
      </c>
      <c r="B7608" s="1">
        <v>45292</v>
      </c>
      <c r="C7608">
        <v>851290</v>
      </c>
      <c r="D7608" t="s">
        <v>176</v>
      </c>
      <c r="E7608">
        <v>31758</v>
      </c>
      <c r="F7608">
        <v>747</v>
      </c>
      <c r="G7608">
        <v>383</v>
      </c>
      <c r="H7608">
        <f>_xlfn.XLOOKUP(FACT_IMPORTS[[#This Row],[hts_6]],DIM_PRODUCTS[hts_6],DIM_PRODUCTS[hts_4],,,)</f>
        <v>8512</v>
      </c>
      <c r="I7608" t="str" cm="1">
        <f t="array" ref="I7608">_xlfn.XLOOKUP(FACT_IMPORTS[[#This Row],[country_name]],DIM_COUNTRY[[#All],[Column2]],DIM_COUNTRY[[#All],[Column3]],,,)</f>
        <v>Major_Non-USMCA_Non-China</v>
      </c>
    </row>
    <row r="7609" spans="1:9" x14ac:dyDescent="0.4">
      <c r="A7609" t="s">
        <v>71</v>
      </c>
      <c r="B7609" s="1">
        <v>45292</v>
      </c>
      <c r="C7609">
        <v>854231</v>
      </c>
      <c r="D7609" t="s">
        <v>176</v>
      </c>
      <c r="E7609">
        <v>129189</v>
      </c>
      <c r="F7609">
        <v>11450</v>
      </c>
      <c r="G7609">
        <v>1679</v>
      </c>
      <c r="H7609">
        <f>_xlfn.XLOOKUP(FACT_IMPORTS[[#This Row],[hts_6]],DIM_PRODUCTS[hts_6],DIM_PRODUCTS[hts_4],,,)</f>
        <v>8542</v>
      </c>
      <c r="I7609" t="str" cm="1">
        <f t="array" ref="I7609">_xlfn.XLOOKUP(FACT_IMPORTS[[#This Row],[country_name]],DIM_COUNTRY[[#All],[Column2]],DIM_COUNTRY[[#All],[Column3]],,,)</f>
        <v>Major_Non-USMCA_Non-China</v>
      </c>
    </row>
    <row r="7610" spans="1:9" x14ac:dyDescent="0.4">
      <c r="A7610" t="s">
        <v>71</v>
      </c>
      <c r="B7610" s="1">
        <v>45292</v>
      </c>
      <c r="C7610">
        <v>854232</v>
      </c>
      <c r="D7610" t="s">
        <v>176</v>
      </c>
      <c r="E7610">
        <v>3538</v>
      </c>
      <c r="F7610">
        <v>10</v>
      </c>
      <c r="G7610">
        <v>42</v>
      </c>
      <c r="H7610">
        <f>_xlfn.XLOOKUP(FACT_IMPORTS[[#This Row],[hts_6]],DIM_PRODUCTS[hts_6],DIM_PRODUCTS[hts_4],,,)</f>
        <v>8542</v>
      </c>
      <c r="I7610" t="str" cm="1">
        <f t="array" ref="I7610">_xlfn.XLOOKUP(FACT_IMPORTS[[#This Row],[country_name]],DIM_COUNTRY[[#All],[Column2]],DIM_COUNTRY[[#All],[Column3]],,,)</f>
        <v>Major_Non-USMCA_Non-China</v>
      </c>
    </row>
    <row r="7611" spans="1:9" x14ac:dyDescent="0.4">
      <c r="A7611" t="s">
        <v>71</v>
      </c>
      <c r="B7611" s="1">
        <v>45292</v>
      </c>
      <c r="C7611">
        <v>854239</v>
      </c>
      <c r="D7611" t="s">
        <v>176</v>
      </c>
      <c r="E7611">
        <v>4123</v>
      </c>
      <c r="F7611">
        <v>3</v>
      </c>
      <c r="G7611">
        <v>246</v>
      </c>
      <c r="H7611">
        <f>_xlfn.XLOOKUP(FACT_IMPORTS[[#This Row],[hts_6]],DIM_PRODUCTS[hts_6],DIM_PRODUCTS[hts_4],,,)</f>
        <v>8542</v>
      </c>
      <c r="I7611" t="str" cm="1">
        <f t="array" ref="I7611">_xlfn.XLOOKUP(FACT_IMPORTS[[#This Row],[country_name]],DIM_COUNTRY[[#All],[Column2]],DIM_COUNTRY[[#All],[Column3]],,,)</f>
        <v>Major_Non-USMCA_Non-China</v>
      </c>
    </row>
    <row r="7612" spans="1:9" x14ac:dyDescent="0.4">
      <c r="A7612" t="s">
        <v>71</v>
      </c>
      <c r="B7612" s="1">
        <v>45292</v>
      </c>
      <c r="C7612">
        <v>854290</v>
      </c>
      <c r="D7612" t="s">
        <v>176</v>
      </c>
      <c r="E7612">
        <v>0</v>
      </c>
      <c r="F7612">
        <v>0</v>
      </c>
      <c r="G7612">
        <v>0</v>
      </c>
      <c r="H7612">
        <f>_xlfn.XLOOKUP(FACT_IMPORTS[[#This Row],[hts_6]],DIM_PRODUCTS[hts_6],DIM_PRODUCTS[hts_4],,,)</f>
        <v>8542</v>
      </c>
      <c r="I7612" t="str" cm="1">
        <f t="array" ref="I7612">_xlfn.XLOOKUP(FACT_IMPORTS[[#This Row],[country_name]],DIM_COUNTRY[[#All],[Column2]],DIM_COUNTRY[[#All],[Column3]],,,)</f>
        <v>Major_Non-USMCA_Non-China</v>
      </c>
    </row>
    <row r="7613" spans="1:9" x14ac:dyDescent="0.4">
      <c r="A7613" t="s">
        <v>71</v>
      </c>
      <c r="B7613" s="1">
        <v>45292</v>
      </c>
      <c r="C7613">
        <v>854430</v>
      </c>
      <c r="D7613" t="s">
        <v>176</v>
      </c>
      <c r="E7613">
        <v>2782</v>
      </c>
      <c r="F7613">
        <v>91</v>
      </c>
      <c r="G7613">
        <v>16</v>
      </c>
      <c r="H7613">
        <f>_xlfn.XLOOKUP(FACT_IMPORTS[[#This Row],[hts_6]],DIM_PRODUCTS[hts_6],DIM_PRODUCTS[hts_4],,,)</f>
        <v>8544</v>
      </c>
      <c r="I7613" t="str" cm="1">
        <f t="array" ref="I7613">_xlfn.XLOOKUP(FACT_IMPORTS[[#This Row],[country_name]],DIM_COUNTRY[[#All],[Column2]],DIM_COUNTRY[[#All],[Column3]],,,)</f>
        <v>Major_Non-USMCA_Non-China</v>
      </c>
    </row>
    <row r="7614" spans="1:9" x14ac:dyDescent="0.4">
      <c r="A7614" t="s">
        <v>71</v>
      </c>
      <c r="B7614" s="1">
        <v>45292</v>
      </c>
      <c r="C7614">
        <v>870790</v>
      </c>
      <c r="D7614" t="s">
        <v>176</v>
      </c>
      <c r="E7614">
        <v>0</v>
      </c>
      <c r="F7614">
        <v>0</v>
      </c>
      <c r="G7614">
        <v>0</v>
      </c>
      <c r="H7614">
        <f>_xlfn.XLOOKUP(FACT_IMPORTS[[#This Row],[hts_6]],DIM_PRODUCTS[hts_6],DIM_PRODUCTS[hts_4],,,)</f>
        <v>8707</v>
      </c>
      <c r="I7614" t="str" cm="1">
        <f t="array" ref="I7614">_xlfn.XLOOKUP(FACT_IMPORTS[[#This Row],[country_name]],DIM_COUNTRY[[#All],[Column2]],DIM_COUNTRY[[#All],[Column3]],,,)</f>
        <v>Major_Non-USMCA_Non-China</v>
      </c>
    </row>
    <row r="7615" spans="1:9" x14ac:dyDescent="0.4">
      <c r="A7615" t="s">
        <v>71</v>
      </c>
      <c r="B7615" s="1">
        <v>45292</v>
      </c>
      <c r="C7615">
        <v>870810</v>
      </c>
      <c r="D7615" t="s">
        <v>176</v>
      </c>
      <c r="E7615">
        <v>3100</v>
      </c>
      <c r="F7615">
        <v>61</v>
      </c>
      <c r="G7615">
        <v>23</v>
      </c>
      <c r="H7615">
        <f>_xlfn.XLOOKUP(FACT_IMPORTS[[#This Row],[hts_6]],DIM_PRODUCTS[hts_6],DIM_PRODUCTS[hts_4],,,)</f>
        <v>8708</v>
      </c>
      <c r="I7615" t="str" cm="1">
        <f t="array" ref="I7615">_xlfn.XLOOKUP(FACT_IMPORTS[[#This Row],[country_name]],DIM_COUNTRY[[#All],[Column2]],DIM_COUNTRY[[#All],[Column3]],,,)</f>
        <v>Major_Non-USMCA_Non-China</v>
      </c>
    </row>
    <row r="7616" spans="1:9" x14ac:dyDescent="0.4">
      <c r="A7616" t="s">
        <v>71</v>
      </c>
      <c r="B7616" s="1">
        <v>45292</v>
      </c>
      <c r="C7616">
        <v>870829</v>
      </c>
      <c r="D7616" t="s">
        <v>176</v>
      </c>
      <c r="E7616">
        <v>4362317</v>
      </c>
      <c r="F7616">
        <v>233258</v>
      </c>
      <c r="G7616">
        <v>49117</v>
      </c>
      <c r="H7616">
        <f>_xlfn.XLOOKUP(FACT_IMPORTS[[#This Row],[hts_6]],DIM_PRODUCTS[hts_6],DIM_PRODUCTS[hts_4],,,)</f>
        <v>8708</v>
      </c>
      <c r="I7616" t="str" cm="1">
        <f t="array" ref="I7616">_xlfn.XLOOKUP(FACT_IMPORTS[[#This Row],[country_name]],DIM_COUNTRY[[#All],[Column2]],DIM_COUNTRY[[#All],[Column3]],,,)</f>
        <v>Major_Non-USMCA_Non-China</v>
      </c>
    </row>
    <row r="7617" spans="1:9" x14ac:dyDescent="0.4">
      <c r="A7617" t="s">
        <v>71</v>
      </c>
      <c r="B7617" s="1">
        <v>45292</v>
      </c>
      <c r="C7617">
        <v>870830</v>
      </c>
      <c r="D7617" t="s">
        <v>176</v>
      </c>
      <c r="E7617">
        <v>707957</v>
      </c>
      <c r="F7617">
        <v>86627</v>
      </c>
      <c r="G7617">
        <v>4992</v>
      </c>
      <c r="H7617">
        <f>_xlfn.XLOOKUP(FACT_IMPORTS[[#This Row],[hts_6]],DIM_PRODUCTS[hts_6],DIM_PRODUCTS[hts_4],,,)</f>
        <v>8708</v>
      </c>
      <c r="I7617" t="str" cm="1">
        <f t="array" ref="I7617">_xlfn.XLOOKUP(FACT_IMPORTS[[#This Row],[country_name]],DIM_COUNTRY[[#All],[Column2]],DIM_COUNTRY[[#All],[Column3]],,,)</f>
        <v>Major_Non-USMCA_Non-China</v>
      </c>
    </row>
    <row r="7618" spans="1:9" x14ac:dyDescent="0.4">
      <c r="A7618" t="s">
        <v>71</v>
      </c>
      <c r="B7618" s="1">
        <v>45292</v>
      </c>
      <c r="C7618">
        <v>870840</v>
      </c>
      <c r="D7618" t="s">
        <v>176</v>
      </c>
      <c r="E7618">
        <v>2993577</v>
      </c>
      <c r="F7618">
        <v>44388</v>
      </c>
      <c r="G7618">
        <v>93359</v>
      </c>
      <c r="H7618">
        <f>_xlfn.XLOOKUP(FACT_IMPORTS[[#This Row],[hts_6]],DIM_PRODUCTS[hts_6],DIM_PRODUCTS[hts_4],,,)</f>
        <v>8708</v>
      </c>
      <c r="I7618" t="str" cm="1">
        <f t="array" ref="I7618">_xlfn.XLOOKUP(FACT_IMPORTS[[#This Row],[country_name]],DIM_COUNTRY[[#All],[Column2]],DIM_COUNTRY[[#All],[Column3]],,,)</f>
        <v>Major_Non-USMCA_Non-China</v>
      </c>
    </row>
    <row r="7619" spans="1:9" x14ac:dyDescent="0.4">
      <c r="A7619" t="s">
        <v>71</v>
      </c>
      <c r="B7619" s="1">
        <v>45292</v>
      </c>
      <c r="C7619">
        <v>870850</v>
      </c>
      <c r="D7619" t="s">
        <v>176</v>
      </c>
      <c r="E7619">
        <v>30698</v>
      </c>
      <c r="F7619">
        <v>995</v>
      </c>
      <c r="G7619">
        <v>275</v>
      </c>
      <c r="H7619">
        <f>_xlfn.XLOOKUP(FACT_IMPORTS[[#This Row],[hts_6]],DIM_PRODUCTS[hts_6],DIM_PRODUCTS[hts_4],,,)</f>
        <v>8708</v>
      </c>
      <c r="I7619" t="str" cm="1">
        <f t="array" ref="I7619">_xlfn.XLOOKUP(FACT_IMPORTS[[#This Row],[country_name]],DIM_COUNTRY[[#All],[Column2]],DIM_COUNTRY[[#All],[Column3]],,,)</f>
        <v>Major_Non-USMCA_Non-China</v>
      </c>
    </row>
    <row r="7620" spans="1:9" x14ac:dyDescent="0.4">
      <c r="A7620" t="s">
        <v>71</v>
      </c>
      <c r="B7620" s="1">
        <v>45292</v>
      </c>
      <c r="C7620">
        <v>870870</v>
      </c>
      <c r="D7620" t="s">
        <v>176</v>
      </c>
      <c r="E7620">
        <v>20206</v>
      </c>
      <c r="F7620">
        <v>271</v>
      </c>
      <c r="G7620">
        <v>150</v>
      </c>
      <c r="H7620">
        <f>_xlfn.XLOOKUP(FACT_IMPORTS[[#This Row],[hts_6]],DIM_PRODUCTS[hts_6],DIM_PRODUCTS[hts_4],,,)</f>
        <v>8708</v>
      </c>
      <c r="I7620" t="str" cm="1">
        <f t="array" ref="I7620">_xlfn.XLOOKUP(FACT_IMPORTS[[#This Row],[country_name]],DIM_COUNTRY[[#All],[Column2]],DIM_COUNTRY[[#All],[Column3]],,,)</f>
        <v>Major_Non-USMCA_Non-China</v>
      </c>
    </row>
    <row r="7621" spans="1:9" x14ac:dyDescent="0.4">
      <c r="A7621" t="s">
        <v>71</v>
      </c>
      <c r="B7621" s="1">
        <v>45292</v>
      </c>
      <c r="C7621">
        <v>870880</v>
      </c>
      <c r="D7621" t="s">
        <v>176</v>
      </c>
      <c r="E7621">
        <v>112102</v>
      </c>
      <c r="F7621">
        <v>2168</v>
      </c>
      <c r="G7621">
        <v>1998</v>
      </c>
      <c r="H7621">
        <f>_xlfn.XLOOKUP(FACT_IMPORTS[[#This Row],[hts_6]],DIM_PRODUCTS[hts_6],DIM_PRODUCTS[hts_4],,,)</f>
        <v>8708</v>
      </c>
      <c r="I7621" t="str" cm="1">
        <f t="array" ref="I7621">_xlfn.XLOOKUP(FACT_IMPORTS[[#This Row],[country_name]],DIM_COUNTRY[[#All],[Column2]],DIM_COUNTRY[[#All],[Column3]],,,)</f>
        <v>Major_Non-USMCA_Non-China</v>
      </c>
    </row>
    <row r="7622" spans="1:9" x14ac:dyDescent="0.4">
      <c r="A7622" t="s">
        <v>71</v>
      </c>
      <c r="B7622" s="1">
        <v>45292</v>
      </c>
      <c r="C7622">
        <v>870891</v>
      </c>
      <c r="D7622" t="s">
        <v>176</v>
      </c>
      <c r="E7622">
        <v>229153</v>
      </c>
      <c r="F7622">
        <v>126577</v>
      </c>
      <c r="G7622">
        <v>2978</v>
      </c>
      <c r="H7622">
        <f>_xlfn.XLOOKUP(FACT_IMPORTS[[#This Row],[hts_6]],DIM_PRODUCTS[hts_6],DIM_PRODUCTS[hts_4],,,)</f>
        <v>8708</v>
      </c>
      <c r="I7622" t="str" cm="1">
        <f t="array" ref="I7622">_xlfn.XLOOKUP(FACT_IMPORTS[[#This Row],[country_name]],DIM_COUNTRY[[#All],[Column2]],DIM_COUNTRY[[#All],[Column3]],,,)</f>
        <v>Major_Non-USMCA_Non-China</v>
      </c>
    </row>
    <row r="7623" spans="1:9" x14ac:dyDescent="0.4">
      <c r="A7623" t="s">
        <v>71</v>
      </c>
      <c r="B7623" s="1">
        <v>45292</v>
      </c>
      <c r="C7623">
        <v>870893</v>
      </c>
      <c r="D7623" t="s">
        <v>176</v>
      </c>
      <c r="E7623">
        <v>376655</v>
      </c>
      <c r="F7623">
        <v>276684</v>
      </c>
      <c r="G7623">
        <v>8198</v>
      </c>
      <c r="H7623">
        <f>_xlfn.XLOOKUP(FACT_IMPORTS[[#This Row],[hts_6]],DIM_PRODUCTS[hts_6],DIM_PRODUCTS[hts_4],,,)</f>
        <v>8708</v>
      </c>
      <c r="I7623" t="str" cm="1">
        <f t="array" ref="I7623">_xlfn.XLOOKUP(FACT_IMPORTS[[#This Row],[country_name]],DIM_COUNTRY[[#All],[Column2]],DIM_COUNTRY[[#All],[Column3]],,,)</f>
        <v>Major_Non-USMCA_Non-China</v>
      </c>
    </row>
    <row r="7624" spans="1:9" x14ac:dyDescent="0.4">
      <c r="A7624" t="s">
        <v>71</v>
      </c>
      <c r="B7624" s="1">
        <v>45292</v>
      </c>
      <c r="C7624">
        <v>870894</v>
      </c>
      <c r="D7624" t="s">
        <v>176</v>
      </c>
      <c r="E7624">
        <v>65118</v>
      </c>
      <c r="F7624">
        <v>4199</v>
      </c>
      <c r="G7624">
        <v>2446</v>
      </c>
      <c r="H7624">
        <f>_xlfn.XLOOKUP(FACT_IMPORTS[[#This Row],[hts_6]],DIM_PRODUCTS[hts_6],DIM_PRODUCTS[hts_4],,,)</f>
        <v>8708</v>
      </c>
      <c r="I7624" t="str" cm="1">
        <f t="array" ref="I7624">_xlfn.XLOOKUP(FACT_IMPORTS[[#This Row],[country_name]],DIM_COUNTRY[[#All],[Column2]],DIM_COUNTRY[[#All],[Column3]],,,)</f>
        <v>Major_Non-USMCA_Non-China</v>
      </c>
    </row>
    <row r="7625" spans="1:9" x14ac:dyDescent="0.4">
      <c r="A7625" t="s">
        <v>71</v>
      </c>
      <c r="B7625" s="1">
        <v>45292</v>
      </c>
      <c r="C7625">
        <v>870895</v>
      </c>
      <c r="D7625" t="s">
        <v>176</v>
      </c>
      <c r="E7625">
        <v>6076</v>
      </c>
      <c r="F7625">
        <v>670</v>
      </c>
      <c r="G7625">
        <v>751</v>
      </c>
      <c r="H7625">
        <f>_xlfn.XLOOKUP(FACT_IMPORTS[[#This Row],[hts_6]],DIM_PRODUCTS[hts_6],DIM_PRODUCTS[hts_4],,,)</f>
        <v>8708</v>
      </c>
      <c r="I7625" t="str" cm="1">
        <f t="array" ref="I7625">_xlfn.XLOOKUP(FACT_IMPORTS[[#This Row],[country_name]],DIM_COUNTRY[[#All],[Column2]],DIM_COUNTRY[[#All],[Column3]],,,)</f>
        <v>Major_Non-USMCA_Non-China</v>
      </c>
    </row>
    <row r="7626" spans="1:9" x14ac:dyDescent="0.4">
      <c r="A7626" t="s">
        <v>71</v>
      </c>
      <c r="B7626" s="1">
        <v>45292</v>
      </c>
      <c r="C7626">
        <v>870899</v>
      </c>
      <c r="D7626" t="s">
        <v>176</v>
      </c>
      <c r="E7626">
        <v>3301747</v>
      </c>
      <c r="F7626">
        <v>2023101</v>
      </c>
      <c r="G7626">
        <v>70079</v>
      </c>
      <c r="H7626">
        <f>_xlfn.XLOOKUP(FACT_IMPORTS[[#This Row],[hts_6]],DIM_PRODUCTS[hts_6],DIM_PRODUCTS[hts_4],,,)</f>
        <v>8708</v>
      </c>
      <c r="I7626" t="str" cm="1">
        <f t="array" ref="I7626">_xlfn.XLOOKUP(FACT_IMPORTS[[#This Row],[country_name]],DIM_COUNTRY[[#All],[Column2]],DIM_COUNTRY[[#All],[Column3]],,,)</f>
        <v>Major_Non-USMCA_Non-China</v>
      </c>
    </row>
    <row r="7627" spans="1:9" x14ac:dyDescent="0.4">
      <c r="A7627" t="s">
        <v>71</v>
      </c>
      <c r="B7627" s="1">
        <v>45292</v>
      </c>
      <c r="C7627">
        <v>940120</v>
      </c>
      <c r="D7627" t="s">
        <v>176</v>
      </c>
      <c r="E7627">
        <v>814</v>
      </c>
      <c r="F7627">
        <v>1</v>
      </c>
      <c r="G7627">
        <v>16</v>
      </c>
      <c r="H7627">
        <f>_xlfn.XLOOKUP(FACT_IMPORTS[[#This Row],[hts_6]],DIM_PRODUCTS[hts_6],DIM_PRODUCTS[hts_4],,,)</f>
        <v>9401</v>
      </c>
      <c r="I7627" t="str" cm="1">
        <f t="array" ref="I7627">_xlfn.XLOOKUP(FACT_IMPORTS[[#This Row],[country_name]],DIM_COUNTRY[[#All],[Column2]],DIM_COUNTRY[[#All],[Column3]],,,)</f>
        <v>Major_Non-USMCA_Non-China</v>
      </c>
    </row>
    <row r="7628" spans="1:9" x14ac:dyDescent="0.4">
      <c r="A7628" t="s">
        <v>71</v>
      </c>
      <c r="B7628" s="1">
        <v>45323</v>
      </c>
      <c r="C7628">
        <v>392630</v>
      </c>
      <c r="D7628" t="s">
        <v>176</v>
      </c>
      <c r="E7628">
        <v>1692</v>
      </c>
      <c r="F7628">
        <v>79</v>
      </c>
      <c r="G7628">
        <v>1000</v>
      </c>
      <c r="H7628">
        <f>_xlfn.XLOOKUP(FACT_IMPORTS[[#This Row],[hts_6]],DIM_PRODUCTS[hts_6],DIM_PRODUCTS[hts_4],,,)</f>
        <v>3926</v>
      </c>
      <c r="I7628" t="str" cm="1">
        <f t="array" ref="I7628">_xlfn.XLOOKUP(FACT_IMPORTS[[#This Row],[country_name]],DIM_COUNTRY[[#All],[Column2]],DIM_COUNTRY[[#All],[Column3]],,,)</f>
        <v>Major_Non-USMCA_Non-China</v>
      </c>
    </row>
    <row r="7629" spans="1:9" x14ac:dyDescent="0.4">
      <c r="A7629" t="s">
        <v>71</v>
      </c>
      <c r="B7629" s="1">
        <v>45323</v>
      </c>
      <c r="C7629">
        <v>401110</v>
      </c>
      <c r="D7629" t="s">
        <v>176</v>
      </c>
      <c r="E7629">
        <v>15027</v>
      </c>
      <c r="F7629">
        <v>152</v>
      </c>
      <c r="G7629">
        <v>418</v>
      </c>
      <c r="H7629">
        <f>_xlfn.XLOOKUP(FACT_IMPORTS[[#This Row],[hts_6]],DIM_PRODUCTS[hts_6],DIM_PRODUCTS[hts_4],,,)</f>
        <v>4011</v>
      </c>
      <c r="I7629" t="str" cm="1">
        <f t="array" ref="I7629">_xlfn.XLOOKUP(FACT_IMPORTS[[#This Row],[country_name]],DIM_COUNTRY[[#All],[Column2]],DIM_COUNTRY[[#All],[Column3]],,,)</f>
        <v>Major_Non-USMCA_Non-China</v>
      </c>
    </row>
    <row r="7630" spans="1:9" x14ac:dyDescent="0.4">
      <c r="A7630" t="s">
        <v>71</v>
      </c>
      <c r="B7630" s="1">
        <v>45323</v>
      </c>
      <c r="C7630">
        <v>401120</v>
      </c>
      <c r="D7630" t="s">
        <v>176</v>
      </c>
      <c r="E7630">
        <v>0</v>
      </c>
      <c r="F7630">
        <v>0</v>
      </c>
      <c r="G7630">
        <v>0</v>
      </c>
      <c r="H7630">
        <f>_xlfn.XLOOKUP(FACT_IMPORTS[[#This Row],[hts_6]],DIM_PRODUCTS[hts_6],DIM_PRODUCTS[hts_4],,,)</f>
        <v>4011</v>
      </c>
      <c r="I7630" t="str" cm="1">
        <f t="array" ref="I7630">_xlfn.XLOOKUP(FACT_IMPORTS[[#This Row],[country_name]],DIM_COUNTRY[[#All],[Column2]],DIM_COUNTRY[[#All],[Column3]],,,)</f>
        <v>Major_Non-USMCA_Non-China</v>
      </c>
    </row>
    <row r="7631" spans="1:9" x14ac:dyDescent="0.4">
      <c r="A7631" t="s">
        <v>71</v>
      </c>
      <c r="B7631" s="1">
        <v>45323</v>
      </c>
      <c r="C7631">
        <v>700711</v>
      </c>
      <c r="D7631" t="s">
        <v>176</v>
      </c>
      <c r="E7631">
        <v>0</v>
      </c>
      <c r="F7631">
        <v>0</v>
      </c>
      <c r="G7631">
        <v>0</v>
      </c>
      <c r="H7631">
        <f>_xlfn.XLOOKUP(FACT_IMPORTS[[#This Row],[hts_6]],DIM_PRODUCTS[hts_6],DIM_PRODUCTS[hts_4],,,)</f>
        <v>7007</v>
      </c>
      <c r="I7631" t="str" cm="1">
        <f t="array" ref="I7631">_xlfn.XLOOKUP(FACT_IMPORTS[[#This Row],[country_name]],DIM_COUNTRY[[#All],[Column2]],DIM_COUNTRY[[#All],[Column3]],,,)</f>
        <v>Major_Non-USMCA_Non-China</v>
      </c>
    </row>
    <row r="7632" spans="1:9" x14ac:dyDescent="0.4">
      <c r="A7632" t="s">
        <v>71</v>
      </c>
      <c r="B7632" s="1">
        <v>45323</v>
      </c>
      <c r="C7632">
        <v>700721</v>
      </c>
      <c r="D7632" t="s">
        <v>176</v>
      </c>
      <c r="E7632">
        <v>0</v>
      </c>
      <c r="F7632">
        <v>0</v>
      </c>
      <c r="G7632">
        <v>0</v>
      </c>
      <c r="H7632">
        <f>_xlfn.XLOOKUP(FACT_IMPORTS[[#This Row],[hts_6]],DIM_PRODUCTS[hts_6],DIM_PRODUCTS[hts_4],,,)</f>
        <v>7007</v>
      </c>
      <c r="I7632" t="str" cm="1">
        <f t="array" ref="I7632">_xlfn.XLOOKUP(FACT_IMPORTS[[#This Row],[country_name]],DIM_COUNTRY[[#All],[Column2]],DIM_COUNTRY[[#All],[Column3]],,,)</f>
        <v>Major_Non-USMCA_Non-China</v>
      </c>
    </row>
    <row r="7633" spans="1:9" x14ac:dyDescent="0.4">
      <c r="A7633" t="s">
        <v>71</v>
      </c>
      <c r="B7633" s="1">
        <v>45323</v>
      </c>
      <c r="C7633">
        <v>700910</v>
      </c>
      <c r="D7633" t="s">
        <v>176</v>
      </c>
      <c r="E7633">
        <v>9308</v>
      </c>
      <c r="F7633">
        <v>71</v>
      </c>
      <c r="G7633">
        <v>32</v>
      </c>
      <c r="H7633">
        <f>_xlfn.XLOOKUP(FACT_IMPORTS[[#This Row],[hts_6]],DIM_PRODUCTS[hts_6],DIM_PRODUCTS[hts_4],,,)</f>
        <v>7009</v>
      </c>
      <c r="I7633" t="str" cm="1">
        <f t="array" ref="I7633">_xlfn.XLOOKUP(FACT_IMPORTS[[#This Row],[country_name]],DIM_COUNTRY[[#All],[Column2]],DIM_COUNTRY[[#All],[Column3]],,,)</f>
        <v>Major_Non-USMCA_Non-China</v>
      </c>
    </row>
    <row r="7634" spans="1:9" x14ac:dyDescent="0.4">
      <c r="A7634" t="s">
        <v>71</v>
      </c>
      <c r="B7634" s="1">
        <v>45323</v>
      </c>
      <c r="C7634">
        <v>732010</v>
      </c>
      <c r="D7634" t="s">
        <v>176</v>
      </c>
      <c r="E7634">
        <v>0</v>
      </c>
      <c r="F7634">
        <v>0</v>
      </c>
      <c r="G7634">
        <v>0</v>
      </c>
      <c r="H7634">
        <f>_xlfn.XLOOKUP(FACT_IMPORTS[[#This Row],[hts_6]],DIM_PRODUCTS[hts_6],DIM_PRODUCTS[hts_4],,,)</f>
        <v>7320</v>
      </c>
      <c r="I7634" t="str" cm="1">
        <f t="array" ref="I7634">_xlfn.XLOOKUP(FACT_IMPORTS[[#This Row],[country_name]],DIM_COUNTRY[[#All],[Column2]],DIM_COUNTRY[[#All],[Column3]],,,)</f>
        <v>Major_Non-USMCA_Non-China</v>
      </c>
    </row>
    <row r="7635" spans="1:9" x14ac:dyDescent="0.4">
      <c r="A7635" t="s">
        <v>71</v>
      </c>
      <c r="B7635" s="1">
        <v>45323</v>
      </c>
      <c r="C7635">
        <v>830230</v>
      </c>
      <c r="D7635" t="s">
        <v>176</v>
      </c>
      <c r="E7635">
        <v>42240</v>
      </c>
      <c r="F7635">
        <v>8981</v>
      </c>
      <c r="G7635">
        <v>549</v>
      </c>
      <c r="H7635">
        <f>_xlfn.XLOOKUP(FACT_IMPORTS[[#This Row],[hts_6]],DIM_PRODUCTS[hts_6],DIM_PRODUCTS[hts_4],,,)</f>
        <v>8302</v>
      </c>
      <c r="I7635" t="str" cm="1">
        <f t="array" ref="I7635">_xlfn.XLOOKUP(FACT_IMPORTS[[#This Row],[country_name]],DIM_COUNTRY[[#All],[Column2]],DIM_COUNTRY[[#All],[Column3]],,,)</f>
        <v>Major_Non-USMCA_Non-China</v>
      </c>
    </row>
    <row r="7636" spans="1:9" x14ac:dyDescent="0.4">
      <c r="A7636" t="s">
        <v>71</v>
      </c>
      <c r="B7636" s="1">
        <v>45323</v>
      </c>
      <c r="C7636">
        <v>840734</v>
      </c>
      <c r="D7636" t="s">
        <v>176</v>
      </c>
      <c r="E7636">
        <v>33736</v>
      </c>
      <c r="F7636">
        <v>96</v>
      </c>
      <c r="G7636">
        <v>548</v>
      </c>
      <c r="H7636">
        <f>_xlfn.XLOOKUP(FACT_IMPORTS[[#This Row],[hts_6]],DIM_PRODUCTS[hts_6],DIM_PRODUCTS[hts_4],,,)</f>
        <v>8407</v>
      </c>
      <c r="I7636" t="str" cm="1">
        <f t="array" ref="I7636">_xlfn.XLOOKUP(FACT_IMPORTS[[#This Row],[country_name]],DIM_COUNTRY[[#All],[Column2]],DIM_COUNTRY[[#All],[Column3]],,,)</f>
        <v>Major_Non-USMCA_Non-China</v>
      </c>
    </row>
    <row r="7637" spans="1:9" x14ac:dyDescent="0.4">
      <c r="A7637" t="s">
        <v>71</v>
      </c>
      <c r="B7637" s="1">
        <v>45323</v>
      </c>
      <c r="C7637">
        <v>840790</v>
      </c>
      <c r="D7637" t="s">
        <v>176</v>
      </c>
      <c r="E7637">
        <v>430645</v>
      </c>
      <c r="F7637">
        <v>103</v>
      </c>
      <c r="G7637">
        <v>151</v>
      </c>
      <c r="H7637">
        <f>_xlfn.XLOOKUP(FACT_IMPORTS[[#This Row],[hts_6]],DIM_PRODUCTS[hts_6],DIM_PRODUCTS[hts_4],,,)</f>
        <v>8407</v>
      </c>
      <c r="I7637" t="str" cm="1">
        <f t="array" ref="I7637">_xlfn.XLOOKUP(FACT_IMPORTS[[#This Row],[country_name]],DIM_COUNTRY[[#All],[Column2]],DIM_COUNTRY[[#All],[Column3]],,,)</f>
        <v>Major_Non-USMCA_Non-China</v>
      </c>
    </row>
    <row r="7638" spans="1:9" x14ac:dyDescent="0.4">
      <c r="A7638" t="s">
        <v>71</v>
      </c>
      <c r="B7638" s="1">
        <v>45323</v>
      </c>
      <c r="C7638">
        <v>840820</v>
      </c>
      <c r="D7638" t="s">
        <v>176</v>
      </c>
      <c r="E7638">
        <v>0</v>
      </c>
      <c r="F7638">
        <v>0</v>
      </c>
      <c r="G7638">
        <v>0</v>
      </c>
      <c r="H7638">
        <f>_xlfn.XLOOKUP(FACT_IMPORTS[[#This Row],[hts_6]],DIM_PRODUCTS[hts_6],DIM_PRODUCTS[hts_4],,,)</f>
        <v>8408</v>
      </c>
      <c r="I7638" t="str" cm="1">
        <f t="array" ref="I7638">_xlfn.XLOOKUP(FACT_IMPORTS[[#This Row],[country_name]],DIM_COUNTRY[[#All],[Column2]],DIM_COUNTRY[[#All],[Column3]],,,)</f>
        <v>Major_Non-USMCA_Non-China</v>
      </c>
    </row>
    <row r="7639" spans="1:9" x14ac:dyDescent="0.4">
      <c r="A7639" t="s">
        <v>71</v>
      </c>
      <c r="B7639" s="1">
        <v>45323</v>
      </c>
      <c r="C7639">
        <v>840890</v>
      </c>
      <c r="D7639" t="s">
        <v>176</v>
      </c>
      <c r="E7639">
        <v>35946</v>
      </c>
      <c r="F7639">
        <v>5</v>
      </c>
      <c r="G7639">
        <v>3209</v>
      </c>
      <c r="H7639">
        <f>_xlfn.XLOOKUP(FACT_IMPORTS[[#This Row],[hts_6]],DIM_PRODUCTS[hts_6],DIM_PRODUCTS[hts_4],,,)</f>
        <v>8408</v>
      </c>
      <c r="I7639" t="str" cm="1">
        <f t="array" ref="I7639">_xlfn.XLOOKUP(FACT_IMPORTS[[#This Row],[country_name]],DIM_COUNTRY[[#All],[Column2]],DIM_COUNTRY[[#All],[Column3]],,,)</f>
        <v>Major_Non-USMCA_Non-China</v>
      </c>
    </row>
    <row r="7640" spans="1:9" x14ac:dyDescent="0.4">
      <c r="A7640" t="s">
        <v>71</v>
      </c>
      <c r="B7640" s="1">
        <v>45323</v>
      </c>
      <c r="C7640">
        <v>840991</v>
      </c>
      <c r="D7640" t="s">
        <v>176</v>
      </c>
      <c r="E7640">
        <v>7985561</v>
      </c>
      <c r="F7640">
        <v>531040</v>
      </c>
      <c r="G7640">
        <v>163048</v>
      </c>
      <c r="H7640">
        <f>_xlfn.XLOOKUP(FACT_IMPORTS[[#This Row],[hts_6]],DIM_PRODUCTS[hts_6],DIM_PRODUCTS[hts_4],,,)</f>
        <v>8409</v>
      </c>
      <c r="I7640" t="str" cm="1">
        <f t="array" ref="I7640">_xlfn.XLOOKUP(FACT_IMPORTS[[#This Row],[country_name]],DIM_COUNTRY[[#All],[Column2]],DIM_COUNTRY[[#All],[Column3]],,,)</f>
        <v>Major_Non-USMCA_Non-China</v>
      </c>
    </row>
    <row r="7641" spans="1:9" x14ac:dyDescent="0.4">
      <c r="A7641" t="s">
        <v>71</v>
      </c>
      <c r="B7641" s="1">
        <v>45323</v>
      </c>
      <c r="C7641">
        <v>840999</v>
      </c>
      <c r="D7641" t="s">
        <v>176</v>
      </c>
      <c r="E7641">
        <v>22284</v>
      </c>
      <c r="F7641">
        <v>882</v>
      </c>
      <c r="G7641">
        <v>206</v>
      </c>
      <c r="H7641">
        <f>_xlfn.XLOOKUP(FACT_IMPORTS[[#This Row],[hts_6]],DIM_PRODUCTS[hts_6],DIM_PRODUCTS[hts_4],,,)</f>
        <v>8409</v>
      </c>
      <c r="I7641" t="str" cm="1">
        <f t="array" ref="I7641">_xlfn.XLOOKUP(FACT_IMPORTS[[#This Row],[country_name]],DIM_COUNTRY[[#All],[Column2]],DIM_COUNTRY[[#All],[Column3]],,,)</f>
        <v>Major_Non-USMCA_Non-China</v>
      </c>
    </row>
    <row r="7642" spans="1:9" x14ac:dyDescent="0.4">
      <c r="A7642" t="s">
        <v>71</v>
      </c>
      <c r="B7642" s="1">
        <v>45323</v>
      </c>
      <c r="C7642">
        <v>841330</v>
      </c>
      <c r="D7642" t="s">
        <v>176</v>
      </c>
      <c r="E7642">
        <v>135689</v>
      </c>
      <c r="F7642">
        <v>10213</v>
      </c>
      <c r="G7642">
        <v>4205</v>
      </c>
      <c r="H7642">
        <f>_xlfn.XLOOKUP(FACT_IMPORTS[[#This Row],[hts_6]],DIM_PRODUCTS[hts_6],DIM_PRODUCTS[hts_4],,,)</f>
        <v>8413</v>
      </c>
      <c r="I7642" t="str" cm="1">
        <f t="array" ref="I7642">_xlfn.XLOOKUP(FACT_IMPORTS[[#This Row],[country_name]],DIM_COUNTRY[[#All],[Column2]],DIM_COUNTRY[[#All],[Column3]],,,)</f>
        <v>Major_Non-USMCA_Non-China</v>
      </c>
    </row>
    <row r="7643" spans="1:9" x14ac:dyDescent="0.4">
      <c r="A7643" t="s">
        <v>71</v>
      </c>
      <c r="B7643" s="1">
        <v>45323</v>
      </c>
      <c r="C7643">
        <v>841520</v>
      </c>
      <c r="D7643" t="s">
        <v>176</v>
      </c>
      <c r="E7643">
        <v>0</v>
      </c>
      <c r="F7643">
        <v>0</v>
      </c>
      <c r="G7643">
        <v>0</v>
      </c>
      <c r="H7643">
        <f>_xlfn.XLOOKUP(FACT_IMPORTS[[#This Row],[hts_6]],DIM_PRODUCTS[hts_6],DIM_PRODUCTS[hts_4],,,)</f>
        <v>8415</v>
      </c>
      <c r="I7643" t="str" cm="1">
        <f t="array" ref="I7643">_xlfn.XLOOKUP(FACT_IMPORTS[[#This Row],[country_name]],DIM_COUNTRY[[#All],[Column2]],DIM_COUNTRY[[#All],[Column3]],,,)</f>
        <v>Major_Non-USMCA_Non-China</v>
      </c>
    </row>
    <row r="7644" spans="1:9" x14ac:dyDescent="0.4">
      <c r="A7644" t="s">
        <v>71</v>
      </c>
      <c r="B7644" s="1">
        <v>45323</v>
      </c>
      <c r="C7644">
        <v>842132</v>
      </c>
      <c r="D7644" t="s">
        <v>176</v>
      </c>
      <c r="E7644">
        <v>173501</v>
      </c>
      <c r="F7644">
        <v>63</v>
      </c>
      <c r="G7644">
        <v>724</v>
      </c>
      <c r="H7644">
        <f>_xlfn.XLOOKUP(FACT_IMPORTS[[#This Row],[hts_6]],DIM_PRODUCTS[hts_6],DIM_PRODUCTS[hts_4],,,)</f>
        <v>8421</v>
      </c>
      <c r="I7644" t="str" cm="1">
        <f t="array" ref="I7644">_xlfn.XLOOKUP(FACT_IMPORTS[[#This Row],[country_name]],DIM_COUNTRY[[#All],[Column2]],DIM_COUNTRY[[#All],[Column3]],,,)</f>
        <v>Major_Non-USMCA_Non-China</v>
      </c>
    </row>
    <row r="7645" spans="1:9" x14ac:dyDescent="0.4">
      <c r="A7645" t="s">
        <v>71</v>
      </c>
      <c r="B7645" s="1">
        <v>45323</v>
      </c>
      <c r="C7645">
        <v>848210</v>
      </c>
      <c r="D7645" t="s">
        <v>176</v>
      </c>
      <c r="E7645">
        <v>13370</v>
      </c>
      <c r="F7645">
        <v>144</v>
      </c>
      <c r="G7645">
        <v>107</v>
      </c>
      <c r="H7645">
        <f>_xlfn.XLOOKUP(FACT_IMPORTS[[#This Row],[hts_6]],DIM_PRODUCTS[hts_6],DIM_PRODUCTS[hts_4],,,)</f>
        <v>8482</v>
      </c>
      <c r="I7645" t="str" cm="1">
        <f t="array" ref="I7645">_xlfn.XLOOKUP(FACT_IMPORTS[[#This Row],[country_name]],DIM_COUNTRY[[#All],[Column2]],DIM_COUNTRY[[#All],[Column3]],,,)</f>
        <v>Major_Non-USMCA_Non-China</v>
      </c>
    </row>
    <row r="7646" spans="1:9" x14ac:dyDescent="0.4">
      <c r="A7646" t="s">
        <v>71</v>
      </c>
      <c r="B7646" s="1">
        <v>45323</v>
      </c>
      <c r="C7646">
        <v>848220</v>
      </c>
      <c r="D7646" t="s">
        <v>176</v>
      </c>
      <c r="E7646">
        <v>124412</v>
      </c>
      <c r="F7646">
        <v>8262</v>
      </c>
      <c r="G7646">
        <v>885</v>
      </c>
      <c r="H7646">
        <f>_xlfn.XLOOKUP(FACT_IMPORTS[[#This Row],[hts_6]],DIM_PRODUCTS[hts_6],DIM_PRODUCTS[hts_4],,,)</f>
        <v>8482</v>
      </c>
      <c r="I7646" t="str" cm="1">
        <f t="array" ref="I7646">_xlfn.XLOOKUP(FACT_IMPORTS[[#This Row],[country_name]],DIM_COUNTRY[[#All],[Column2]],DIM_COUNTRY[[#All],[Column3]],,,)</f>
        <v>Major_Non-USMCA_Non-China</v>
      </c>
    </row>
    <row r="7647" spans="1:9" x14ac:dyDescent="0.4">
      <c r="A7647" t="s">
        <v>71</v>
      </c>
      <c r="B7647" s="1">
        <v>45323</v>
      </c>
      <c r="C7647">
        <v>848310</v>
      </c>
      <c r="D7647" t="s">
        <v>176</v>
      </c>
      <c r="E7647">
        <v>846990</v>
      </c>
      <c r="F7647">
        <v>40114</v>
      </c>
      <c r="G7647">
        <v>11544</v>
      </c>
      <c r="H7647">
        <f>_xlfn.XLOOKUP(FACT_IMPORTS[[#This Row],[hts_6]],DIM_PRODUCTS[hts_6],DIM_PRODUCTS[hts_4],,,)</f>
        <v>8483</v>
      </c>
      <c r="I7647" t="str" cm="1">
        <f t="array" ref="I7647">_xlfn.XLOOKUP(FACT_IMPORTS[[#This Row],[country_name]],DIM_COUNTRY[[#All],[Column2]],DIM_COUNTRY[[#All],[Column3]],,,)</f>
        <v>Major_Non-USMCA_Non-China</v>
      </c>
    </row>
    <row r="7648" spans="1:9" x14ac:dyDescent="0.4">
      <c r="A7648" t="s">
        <v>71</v>
      </c>
      <c r="B7648" s="1">
        <v>45323</v>
      </c>
      <c r="C7648">
        <v>850131</v>
      </c>
      <c r="D7648" t="s">
        <v>176</v>
      </c>
      <c r="E7648">
        <v>3098654</v>
      </c>
      <c r="F7648">
        <v>88666</v>
      </c>
      <c r="G7648">
        <v>45015</v>
      </c>
      <c r="H7648">
        <f>_xlfn.XLOOKUP(FACT_IMPORTS[[#This Row],[hts_6]],DIM_PRODUCTS[hts_6],DIM_PRODUCTS[hts_4],,,)</f>
        <v>8501</v>
      </c>
      <c r="I7648" t="str" cm="1">
        <f t="array" ref="I7648">_xlfn.XLOOKUP(FACT_IMPORTS[[#This Row],[country_name]],DIM_COUNTRY[[#All],[Column2]],DIM_COUNTRY[[#All],[Column3]],,,)</f>
        <v>Major_Non-USMCA_Non-China</v>
      </c>
    </row>
    <row r="7649" spans="1:9" x14ac:dyDescent="0.4">
      <c r="A7649" t="s">
        <v>71</v>
      </c>
      <c r="B7649" s="1">
        <v>45323</v>
      </c>
      <c r="C7649">
        <v>850132</v>
      </c>
      <c r="D7649" t="s">
        <v>176</v>
      </c>
      <c r="E7649">
        <v>8663</v>
      </c>
      <c r="F7649">
        <v>4</v>
      </c>
      <c r="G7649">
        <v>279</v>
      </c>
      <c r="H7649">
        <f>_xlfn.XLOOKUP(FACT_IMPORTS[[#This Row],[hts_6]],DIM_PRODUCTS[hts_6],DIM_PRODUCTS[hts_4],,,)</f>
        <v>8501</v>
      </c>
      <c r="I7649" t="str" cm="1">
        <f t="array" ref="I7649">_xlfn.XLOOKUP(FACT_IMPORTS[[#This Row],[country_name]],DIM_COUNTRY[[#All],[Column2]],DIM_COUNTRY[[#All],[Column3]],,,)</f>
        <v>Major_Non-USMCA_Non-China</v>
      </c>
    </row>
    <row r="7650" spans="1:9" x14ac:dyDescent="0.4">
      <c r="A7650" t="s">
        <v>71</v>
      </c>
      <c r="B7650" s="1">
        <v>45323</v>
      </c>
      <c r="C7650">
        <v>850133</v>
      </c>
      <c r="D7650" t="s">
        <v>176</v>
      </c>
      <c r="E7650">
        <v>14650</v>
      </c>
      <c r="F7650">
        <v>3</v>
      </c>
      <c r="G7650">
        <v>150</v>
      </c>
      <c r="H7650">
        <f>_xlfn.XLOOKUP(FACT_IMPORTS[[#This Row],[hts_6]],DIM_PRODUCTS[hts_6],DIM_PRODUCTS[hts_4],,,)</f>
        <v>8501</v>
      </c>
      <c r="I7650" t="str" cm="1">
        <f t="array" ref="I7650">_xlfn.XLOOKUP(FACT_IMPORTS[[#This Row],[country_name]],DIM_COUNTRY[[#All],[Column2]],DIM_COUNTRY[[#All],[Column3]],,,)</f>
        <v>Major_Non-USMCA_Non-China</v>
      </c>
    </row>
    <row r="7651" spans="1:9" x14ac:dyDescent="0.4">
      <c r="A7651" t="s">
        <v>71</v>
      </c>
      <c r="B7651" s="1">
        <v>45323</v>
      </c>
      <c r="C7651">
        <v>850152</v>
      </c>
      <c r="D7651" t="s">
        <v>176</v>
      </c>
      <c r="E7651">
        <v>175713</v>
      </c>
      <c r="F7651">
        <v>227</v>
      </c>
      <c r="G7651">
        <v>9264</v>
      </c>
      <c r="H7651">
        <f>_xlfn.XLOOKUP(FACT_IMPORTS[[#This Row],[hts_6]],DIM_PRODUCTS[hts_6],DIM_PRODUCTS[hts_4],,,)</f>
        <v>8501</v>
      </c>
      <c r="I7651" t="str" cm="1">
        <f t="array" ref="I7651">_xlfn.XLOOKUP(FACT_IMPORTS[[#This Row],[country_name]],DIM_COUNTRY[[#All],[Column2]],DIM_COUNTRY[[#All],[Column3]],,,)</f>
        <v>Major_Non-USMCA_Non-China</v>
      </c>
    </row>
    <row r="7652" spans="1:9" x14ac:dyDescent="0.4">
      <c r="A7652" t="s">
        <v>71</v>
      </c>
      <c r="B7652" s="1">
        <v>45323</v>
      </c>
      <c r="C7652">
        <v>850153</v>
      </c>
      <c r="D7652" t="s">
        <v>176</v>
      </c>
      <c r="E7652">
        <v>0</v>
      </c>
      <c r="F7652">
        <v>0</v>
      </c>
      <c r="G7652">
        <v>0</v>
      </c>
      <c r="H7652">
        <f>_xlfn.XLOOKUP(FACT_IMPORTS[[#This Row],[hts_6]],DIM_PRODUCTS[hts_6],DIM_PRODUCTS[hts_4],,,)</f>
        <v>8501</v>
      </c>
      <c r="I7652" t="str" cm="1">
        <f t="array" ref="I7652">_xlfn.XLOOKUP(FACT_IMPORTS[[#This Row],[country_name]],DIM_COUNTRY[[#All],[Column2]],DIM_COUNTRY[[#All],[Column3]],,,)</f>
        <v>Major_Non-USMCA_Non-China</v>
      </c>
    </row>
    <row r="7653" spans="1:9" x14ac:dyDescent="0.4">
      <c r="A7653" t="s">
        <v>71</v>
      </c>
      <c r="B7653" s="1">
        <v>45323</v>
      </c>
      <c r="C7653">
        <v>850161</v>
      </c>
      <c r="D7653" t="s">
        <v>176</v>
      </c>
      <c r="E7653">
        <v>0</v>
      </c>
      <c r="F7653">
        <v>0</v>
      </c>
      <c r="G7653">
        <v>0</v>
      </c>
      <c r="H7653">
        <f>_xlfn.XLOOKUP(FACT_IMPORTS[[#This Row],[hts_6]],DIM_PRODUCTS[hts_6],DIM_PRODUCTS[hts_4],,,)</f>
        <v>8501</v>
      </c>
      <c r="I7653" t="str" cm="1">
        <f t="array" ref="I7653">_xlfn.XLOOKUP(FACT_IMPORTS[[#This Row],[country_name]],DIM_COUNTRY[[#All],[Column2]],DIM_COUNTRY[[#All],[Column3]],,,)</f>
        <v>Major_Non-USMCA_Non-China</v>
      </c>
    </row>
    <row r="7654" spans="1:9" x14ac:dyDescent="0.4">
      <c r="A7654" t="s">
        <v>71</v>
      </c>
      <c r="B7654" s="1">
        <v>45323</v>
      </c>
      <c r="C7654">
        <v>850440</v>
      </c>
      <c r="D7654" t="s">
        <v>176</v>
      </c>
      <c r="E7654">
        <v>448025</v>
      </c>
      <c r="F7654">
        <v>216</v>
      </c>
      <c r="G7654">
        <v>12342</v>
      </c>
      <c r="H7654">
        <f>_xlfn.XLOOKUP(FACT_IMPORTS[[#This Row],[hts_6]],DIM_PRODUCTS[hts_6],DIM_PRODUCTS[hts_4],,,)</f>
        <v>8504</v>
      </c>
      <c r="I7654" t="str" cm="1">
        <f t="array" ref="I7654">_xlfn.XLOOKUP(FACT_IMPORTS[[#This Row],[country_name]],DIM_COUNTRY[[#All],[Column2]],DIM_COUNTRY[[#All],[Column3]],,,)</f>
        <v>Major_Non-USMCA_Non-China</v>
      </c>
    </row>
    <row r="7655" spans="1:9" x14ac:dyDescent="0.4">
      <c r="A7655" t="s">
        <v>71</v>
      </c>
      <c r="B7655" s="1">
        <v>45323</v>
      </c>
      <c r="C7655">
        <v>850710</v>
      </c>
      <c r="D7655" t="s">
        <v>176</v>
      </c>
      <c r="E7655">
        <v>0</v>
      </c>
      <c r="F7655">
        <v>0</v>
      </c>
      <c r="G7655">
        <v>0</v>
      </c>
      <c r="H7655">
        <f>_xlfn.XLOOKUP(FACT_IMPORTS[[#This Row],[hts_6]],DIM_PRODUCTS[hts_6],DIM_PRODUCTS[hts_4],,,)</f>
        <v>8507</v>
      </c>
      <c r="I7655" t="str" cm="1">
        <f t="array" ref="I7655">_xlfn.XLOOKUP(FACT_IMPORTS[[#This Row],[country_name]],DIM_COUNTRY[[#All],[Column2]],DIM_COUNTRY[[#All],[Column3]],,,)</f>
        <v>Major_Non-USMCA_Non-China</v>
      </c>
    </row>
    <row r="7656" spans="1:9" x14ac:dyDescent="0.4">
      <c r="A7656" t="s">
        <v>71</v>
      </c>
      <c r="B7656" s="1">
        <v>45323</v>
      </c>
      <c r="C7656">
        <v>850760</v>
      </c>
      <c r="D7656" t="s">
        <v>176</v>
      </c>
      <c r="E7656">
        <v>20482</v>
      </c>
      <c r="F7656">
        <v>69</v>
      </c>
      <c r="G7656">
        <v>253</v>
      </c>
      <c r="H7656">
        <f>_xlfn.XLOOKUP(FACT_IMPORTS[[#This Row],[hts_6]],DIM_PRODUCTS[hts_6],DIM_PRODUCTS[hts_4],,,)</f>
        <v>8507</v>
      </c>
      <c r="I7656" t="str" cm="1">
        <f t="array" ref="I7656">_xlfn.XLOOKUP(FACT_IMPORTS[[#This Row],[country_name]],DIM_COUNTRY[[#All],[Column2]],DIM_COUNTRY[[#All],[Column3]],,,)</f>
        <v>Major_Non-USMCA_Non-China</v>
      </c>
    </row>
    <row r="7657" spans="1:9" x14ac:dyDescent="0.4">
      <c r="A7657" t="s">
        <v>71</v>
      </c>
      <c r="B7657" s="1">
        <v>45323</v>
      </c>
      <c r="C7657">
        <v>850790</v>
      </c>
      <c r="D7657" t="s">
        <v>176</v>
      </c>
      <c r="E7657">
        <v>0</v>
      </c>
      <c r="F7657">
        <v>0</v>
      </c>
      <c r="G7657">
        <v>0</v>
      </c>
      <c r="H7657">
        <f>_xlfn.XLOOKUP(FACT_IMPORTS[[#This Row],[hts_6]],DIM_PRODUCTS[hts_6],DIM_PRODUCTS[hts_4],,,)</f>
        <v>8507</v>
      </c>
      <c r="I7657" t="str" cm="1">
        <f t="array" ref="I7657">_xlfn.XLOOKUP(FACT_IMPORTS[[#This Row],[country_name]],DIM_COUNTRY[[#All],[Column2]],DIM_COUNTRY[[#All],[Column3]],,,)</f>
        <v>Major_Non-USMCA_Non-China</v>
      </c>
    </row>
    <row r="7658" spans="1:9" x14ac:dyDescent="0.4">
      <c r="A7658" t="s">
        <v>71</v>
      </c>
      <c r="B7658" s="1">
        <v>45323</v>
      </c>
      <c r="C7658">
        <v>851110</v>
      </c>
      <c r="D7658" t="s">
        <v>176</v>
      </c>
      <c r="E7658">
        <v>161688</v>
      </c>
      <c r="F7658">
        <v>1998</v>
      </c>
      <c r="G7658">
        <v>10026</v>
      </c>
      <c r="H7658">
        <f>_xlfn.XLOOKUP(FACT_IMPORTS[[#This Row],[hts_6]],DIM_PRODUCTS[hts_6],DIM_PRODUCTS[hts_4],,,)</f>
        <v>8511</v>
      </c>
      <c r="I7658" t="str" cm="1">
        <f t="array" ref="I7658">_xlfn.XLOOKUP(FACT_IMPORTS[[#This Row],[country_name]],DIM_COUNTRY[[#All],[Column2]],DIM_COUNTRY[[#All],[Column3]],,,)</f>
        <v>Major_Non-USMCA_Non-China</v>
      </c>
    </row>
    <row r="7659" spans="1:9" x14ac:dyDescent="0.4">
      <c r="A7659" t="s">
        <v>71</v>
      </c>
      <c r="B7659" s="1">
        <v>45323</v>
      </c>
      <c r="C7659">
        <v>851130</v>
      </c>
      <c r="D7659" t="s">
        <v>176</v>
      </c>
      <c r="E7659">
        <v>0</v>
      </c>
      <c r="F7659">
        <v>0</v>
      </c>
      <c r="G7659">
        <v>0</v>
      </c>
      <c r="H7659">
        <f>_xlfn.XLOOKUP(FACT_IMPORTS[[#This Row],[hts_6]],DIM_PRODUCTS[hts_6],DIM_PRODUCTS[hts_4],,,)</f>
        <v>8511</v>
      </c>
      <c r="I7659" t="str" cm="1">
        <f t="array" ref="I7659">_xlfn.XLOOKUP(FACT_IMPORTS[[#This Row],[country_name]],DIM_COUNTRY[[#All],[Column2]],DIM_COUNTRY[[#All],[Column3]],,,)</f>
        <v>Major_Non-USMCA_Non-China</v>
      </c>
    </row>
    <row r="7660" spans="1:9" x14ac:dyDescent="0.4">
      <c r="A7660" t="s">
        <v>71</v>
      </c>
      <c r="B7660" s="1">
        <v>45323</v>
      </c>
      <c r="C7660">
        <v>851140</v>
      </c>
      <c r="D7660" t="s">
        <v>176</v>
      </c>
      <c r="E7660">
        <v>868820</v>
      </c>
      <c r="F7660">
        <v>11828</v>
      </c>
      <c r="G7660">
        <v>32676</v>
      </c>
      <c r="H7660">
        <f>_xlfn.XLOOKUP(FACT_IMPORTS[[#This Row],[hts_6]],DIM_PRODUCTS[hts_6],DIM_PRODUCTS[hts_4],,,)</f>
        <v>8511</v>
      </c>
      <c r="I7660" t="str" cm="1">
        <f t="array" ref="I7660">_xlfn.XLOOKUP(FACT_IMPORTS[[#This Row],[country_name]],DIM_COUNTRY[[#All],[Column2]],DIM_COUNTRY[[#All],[Column3]],,,)</f>
        <v>Major_Non-USMCA_Non-China</v>
      </c>
    </row>
    <row r="7661" spans="1:9" x14ac:dyDescent="0.4">
      <c r="A7661" t="s">
        <v>71</v>
      </c>
      <c r="B7661" s="1">
        <v>45323</v>
      </c>
      <c r="C7661">
        <v>851150</v>
      </c>
      <c r="D7661" t="s">
        <v>176</v>
      </c>
      <c r="E7661">
        <v>7754</v>
      </c>
      <c r="F7661">
        <v>94</v>
      </c>
      <c r="G7661">
        <v>200</v>
      </c>
      <c r="H7661">
        <f>_xlfn.XLOOKUP(FACT_IMPORTS[[#This Row],[hts_6]],DIM_PRODUCTS[hts_6],DIM_PRODUCTS[hts_4],,,)</f>
        <v>8511</v>
      </c>
      <c r="I7661" t="str" cm="1">
        <f t="array" ref="I7661">_xlfn.XLOOKUP(FACT_IMPORTS[[#This Row],[country_name]],DIM_COUNTRY[[#All],[Column2]],DIM_COUNTRY[[#All],[Column3]],,,)</f>
        <v>Major_Non-USMCA_Non-China</v>
      </c>
    </row>
    <row r="7662" spans="1:9" x14ac:dyDescent="0.4">
      <c r="A7662" t="s">
        <v>71</v>
      </c>
      <c r="B7662" s="1">
        <v>45323</v>
      </c>
      <c r="C7662">
        <v>851180</v>
      </c>
      <c r="D7662" t="s">
        <v>176</v>
      </c>
      <c r="E7662">
        <v>8633</v>
      </c>
      <c r="F7662">
        <v>146</v>
      </c>
      <c r="G7662">
        <v>7</v>
      </c>
      <c r="H7662">
        <f>_xlfn.XLOOKUP(FACT_IMPORTS[[#This Row],[hts_6]],DIM_PRODUCTS[hts_6],DIM_PRODUCTS[hts_4],,,)</f>
        <v>8511</v>
      </c>
      <c r="I7662" t="str" cm="1">
        <f t="array" ref="I7662">_xlfn.XLOOKUP(FACT_IMPORTS[[#This Row],[country_name]],DIM_COUNTRY[[#All],[Column2]],DIM_COUNTRY[[#All],[Column3]],,,)</f>
        <v>Major_Non-USMCA_Non-China</v>
      </c>
    </row>
    <row r="7663" spans="1:9" x14ac:dyDescent="0.4">
      <c r="A7663" t="s">
        <v>71</v>
      </c>
      <c r="B7663" s="1">
        <v>45323</v>
      </c>
      <c r="C7663">
        <v>851190</v>
      </c>
      <c r="D7663" t="s">
        <v>176</v>
      </c>
      <c r="E7663">
        <v>65112</v>
      </c>
      <c r="F7663">
        <v>4057</v>
      </c>
      <c r="G7663">
        <v>3369</v>
      </c>
      <c r="H7663">
        <f>_xlfn.XLOOKUP(FACT_IMPORTS[[#This Row],[hts_6]],DIM_PRODUCTS[hts_6],DIM_PRODUCTS[hts_4],,,)</f>
        <v>8511</v>
      </c>
      <c r="I7663" t="str" cm="1">
        <f t="array" ref="I7663">_xlfn.XLOOKUP(FACT_IMPORTS[[#This Row],[country_name]],DIM_COUNTRY[[#All],[Column2]],DIM_COUNTRY[[#All],[Column3]],,,)</f>
        <v>Major_Non-USMCA_Non-China</v>
      </c>
    </row>
    <row r="7664" spans="1:9" x14ac:dyDescent="0.4">
      <c r="A7664" t="s">
        <v>71</v>
      </c>
      <c r="B7664" s="1">
        <v>45323</v>
      </c>
      <c r="C7664">
        <v>851220</v>
      </c>
      <c r="D7664" t="s">
        <v>176</v>
      </c>
      <c r="E7664">
        <v>35781</v>
      </c>
      <c r="F7664">
        <v>162</v>
      </c>
      <c r="G7664">
        <v>105</v>
      </c>
      <c r="H7664">
        <f>_xlfn.XLOOKUP(FACT_IMPORTS[[#This Row],[hts_6]],DIM_PRODUCTS[hts_6],DIM_PRODUCTS[hts_4],,,)</f>
        <v>8512</v>
      </c>
      <c r="I7664" t="str" cm="1">
        <f t="array" ref="I7664">_xlfn.XLOOKUP(FACT_IMPORTS[[#This Row],[country_name]],DIM_COUNTRY[[#All],[Column2]],DIM_COUNTRY[[#All],[Column3]],,,)</f>
        <v>Major_Non-USMCA_Non-China</v>
      </c>
    </row>
    <row r="7665" spans="1:9" x14ac:dyDescent="0.4">
      <c r="A7665" t="s">
        <v>71</v>
      </c>
      <c r="B7665" s="1">
        <v>45323</v>
      </c>
      <c r="C7665">
        <v>851230</v>
      </c>
      <c r="D7665" t="s">
        <v>176</v>
      </c>
      <c r="E7665">
        <v>0</v>
      </c>
      <c r="F7665">
        <v>0</v>
      </c>
      <c r="G7665">
        <v>0</v>
      </c>
      <c r="H7665">
        <f>_xlfn.XLOOKUP(FACT_IMPORTS[[#This Row],[hts_6]],DIM_PRODUCTS[hts_6],DIM_PRODUCTS[hts_4],,,)</f>
        <v>8512</v>
      </c>
      <c r="I7665" t="str" cm="1">
        <f t="array" ref="I7665">_xlfn.XLOOKUP(FACT_IMPORTS[[#This Row],[country_name]],DIM_COUNTRY[[#All],[Column2]],DIM_COUNTRY[[#All],[Column3]],,,)</f>
        <v>Major_Non-USMCA_Non-China</v>
      </c>
    </row>
    <row r="7666" spans="1:9" x14ac:dyDescent="0.4">
      <c r="A7666" t="s">
        <v>71</v>
      </c>
      <c r="B7666" s="1">
        <v>45323</v>
      </c>
      <c r="C7666">
        <v>851290</v>
      </c>
      <c r="D7666" t="s">
        <v>176</v>
      </c>
      <c r="E7666">
        <v>22424</v>
      </c>
      <c r="F7666">
        <v>1119</v>
      </c>
      <c r="G7666">
        <v>825</v>
      </c>
      <c r="H7666">
        <f>_xlfn.XLOOKUP(FACT_IMPORTS[[#This Row],[hts_6]],DIM_PRODUCTS[hts_6],DIM_PRODUCTS[hts_4],,,)</f>
        <v>8512</v>
      </c>
      <c r="I7666" t="str" cm="1">
        <f t="array" ref="I7666">_xlfn.XLOOKUP(FACT_IMPORTS[[#This Row],[country_name]],DIM_COUNTRY[[#All],[Column2]],DIM_COUNTRY[[#All],[Column3]],,,)</f>
        <v>Major_Non-USMCA_Non-China</v>
      </c>
    </row>
    <row r="7667" spans="1:9" x14ac:dyDescent="0.4">
      <c r="A7667" t="s">
        <v>71</v>
      </c>
      <c r="B7667" s="1">
        <v>45323</v>
      </c>
      <c r="C7667">
        <v>854231</v>
      </c>
      <c r="D7667" t="s">
        <v>176</v>
      </c>
      <c r="E7667">
        <v>101427</v>
      </c>
      <c r="F7667">
        <v>8096</v>
      </c>
      <c r="G7667">
        <v>1318</v>
      </c>
      <c r="H7667">
        <f>_xlfn.XLOOKUP(FACT_IMPORTS[[#This Row],[hts_6]],DIM_PRODUCTS[hts_6],DIM_PRODUCTS[hts_4],,,)</f>
        <v>8542</v>
      </c>
      <c r="I7667" t="str" cm="1">
        <f t="array" ref="I7667">_xlfn.XLOOKUP(FACT_IMPORTS[[#This Row],[country_name]],DIM_COUNTRY[[#All],[Column2]],DIM_COUNTRY[[#All],[Column3]],,,)</f>
        <v>Major_Non-USMCA_Non-China</v>
      </c>
    </row>
    <row r="7668" spans="1:9" x14ac:dyDescent="0.4">
      <c r="A7668" t="s">
        <v>71</v>
      </c>
      <c r="B7668" s="1">
        <v>45323</v>
      </c>
      <c r="C7668">
        <v>854232</v>
      </c>
      <c r="D7668" t="s">
        <v>176</v>
      </c>
      <c r="E7668">
        <v>0</v>
      </c>
      <c r="F7668">
        <v>0</v>
      </c>
      <c r="G7668">
        <v>0</v>
      </c>
      <c r="H7668">
        <f>_xlfn.XLOOKUP(FACT_IMPORTS[[#This Row],[hts_6]],DIM_PRODUCTS[hts_6],DIM_PRODUCTS[hts_4],,,)</f>
        <v>8542</v>
      </c>
      <c r="I7668" t="str" cm="1">
        <f t="array" ref="I7668">_xlfn.XLOOKUP(FACT_IMPORTS[[#This Row],[country_name]],DIM_COUNTRY[[#All],[Column2]],DIM_COUNTRY[[#All],[Column3]],,,)</f>
        <v>Major_Non-USMCA_Non-China</v>
      </c>
    </row>
    <row r="7669" spans="1:9" x14ac:dyDescent="0.4">
      <c r="A7669" t="s">
        <v>71</v>
      </c>
      <c r="B7669" s="1">
        <v>45323</v>
      </c>
      <c r="C7669">
        <v>854239</v>
      </c>
      <c r="D7669" t="s">
        <v>176</v>
      </c>
      <c r="E7669">
        <v>4880</v>
      </c>
      <c r="F7669">
        <v>1000</v>
      </c>
      <c r="G7669">
        <v>40</v>
      </c>
      <c r="H7669">
        <f>_xlfn.XLOOKUP(FACT_IMPORTS[[#This Row],[hts_6]],DIM_PRODUCTS[hts_6],DIM_PRODUCTS[hts_4],,,)</f>
        <v>8542</v>
      </c>
      <c r="I7669" t="str" cm="1">
        <f t="array" ref="I7669">_xlfn.XLOOKUP(FACT_IMPORTS[[#This Row],[country_name]],DIM_COUNTRY[[#All],[Column2]],DIM_COUNTRY[[#All],[Column3]],,,)</f>
        <v>Major_Non-USMCA_Non-China</v>
      </c>
    </row>
    <row r="7670" spans="1:9" x14ac:dyDescent="0.4">
      <c r="A7670" t="s">
        <v>71</v>
      </c>
      <c r="B7670" s="1">
        <v>45323</v>
      </c>
      <c r="C7670">
        <v>854290</v>
      </c>
      <c r="D7670" t="s">
        <v>176</v>
      </c>
      <c r="E7670">
        <v>0</v>
      </c>
      <c r="F7670">
        <v>0</v>
      </c>
      <c r="G7670">
        <v>0</v>
      </c>
      <c r="H7670">
        <f>_xlfn.XLOOKUP(FACT_IMPORTS[[#This Row],[hts_6]],DIM_PRODUCTS[hts_6],DIM_PRODUCTS[hts_4],,,)</f>
        <v>8542</v>
      </c>
      <c r="I7670" t="str" cm="1">
        <f t="array" ref="I7670">_xlfn.XLOOKUP(FACT_IMPORTS[[#This Row],[country_name]],DIM_COUNTRY[[#All],[Column2]],DIM_COUNTRY[[#All],[Column3]],,,)</f>
        <v>Major_Non-USMCA_Non-China</v>
      </c>
    </row>
    <row r="7671" spans="1:9" x14ac:dyDescent="0.4">
      <c r="A7671" t="s">
        <v>71</v>
      </c>
      <c r="B7671" s="1">
        <v>45323</v>
      </c>
      <c r="C7671">
        <v>854430</v>
      </c>
      <c r="D7671" t="s">
        <v>176</v>
      </c>
      <c r="E7671">
        <v>2059</v>
      </c>
      <c r="F7671">
        <v>6</v>
      </c>
      <c r="G7671">
        <v>5</v>
      </c>
      <c r="H7671">
        <f>_xlfn.XLOOKUP(FACT_IMPORTS[[#This Row],[hts_6]],DIM_PRODUCTS[hts_6],DIM_PRODUCTS[hts_4],,,)</f>
        <v>8544</v>
      </c>
      <c r="I7671" t="str" cm="1">
        <f t="array" ref="I7671">_xlfn.XLOOKUP(FACT_IMPORTS[[#This Row],[country_name]],DIM_COUNTRY[[#All],[Column2]],DIM_COUNTRY[[#All],[Column3]],,,)</f>
        <v>Major_Non-USMCA_Non-China</v>
      </c>
    </row>
    <row r="7672" spans="1:9" x14ac:dyDescent="0.4">
      <c r="A7672" t="s">
        <v>71</v>
      </c>
      <c r="B7672" s="1">
        <v>45323</v>
      </c>
      <c r="C7672">
        <v>870790</v>
      </c>
      <c r="D7672" t="s">
        <v>176</v>
      </c>
      <c r="E7672">
        <v>0</v>
      </c>
      <c r="F7672">
        <v>0</v>
      </c>
      <c r="G7672">
        <v>0</v>
      </c>
      <c r="H7672">
        <f>_xlfn.XLOOKUP(FACT_IMPORTS[[#This Row],[hts_6]],DIM_PRODUCTS[hts_6],DIM_PRODUCTS[hts_4],,,)</f>
        <v>8707</v>
      </c>
      <c r="I7672" t="str" cm="1">
        <f t="array" ref="I7672">_xlfn.XLOOKUP(FACT_IMPORTS[[#This Row],[country_name]],DIM_COUNTRY[[#All],[Column2]],DIM_COUNTRY[[#All],[Column3]],,,)</f>
        <v>Major_Non-USMCA_Non-China</v>
      </c>
    </row>
    <row r="7673" spans="1:9" x14ac:dyDescent="0.4">
      <c r="A7673" t="s">
        <v>71</v>
      </c>
      <c r="B7673" s="1">
        <v>45323</v>
      </c>
      <c r="C7673">
        <v>870810</v>
      </c>
      <c r="D7673" t="s">
        <v>176</v>
      </c>
      <c r="E7673">
        <v>6628</v>
      </c>
      <c r="F7673">
        <v>81</v>
      </c>
      <c r="G7673">
        <v>42</v>
      </c>
      <c r="H7673">
        <f>_xlfn.XLOOKUP(FACT_IMPORTS[[#This Row],[hts_6]],DIM_PRODUCTS[hts_6],DIM_PRODUCTS[hts_4],,,)</f>
        <v>8708</v>
      </c>
      <c r="I7673" t="str" cm="1">
        <f t="array" ref="I7673">_xlfn.XLOOKUP(FACT_IMPORTS[[#This Row],[country_name]],DIM_COUNTRY[[#All],[Column2]],DIM_COUNTRY[[#All],[Column3]],,,)</f>
        <v>Major_Non-USMCA_Non-China</v>
      </c>
    </row>
    <row r="7674" spans="1:9" x14ac:dyDescent="0.4">
      <c r="A7674" t="s">
        <v>71</v>
      </c>
      <c r="B7674" s="1">
        <v>45323</v>
      </c>
      <c r="C7674">
        <v>870829</v>
      </c>
      <c r="D7674" t="s">
        <v>176</v>
      </c>
      <c r="E7674">
        <v>4606775</v>
      </c>
      <c r="F7674">
        <v>402265</v>
      </c>
      <c r="G7674">
        <v>45617</v>
      </c>
      <c r="H7674">
        <f>_xlfn.XLOOKUP(FACT_IMPORTS[[#This Row],[hts_6]],DIM_PRODUCTS[hts_6],DIM_PRODUCTS[hts_4],,,)</f>
        <v>8708</v>
      </c>
      <c r="I7674" t="str" cm="1">
        <f t="array" ref="I7674">_xlfn.XLOOKUP(FACT_IMPORTS[[#This Row],[country_name]],DIM_COUNTRY[[#All],[Column2]],DIM_COUNTRY[[#All],[Column3]],,,)</f>
        <v>Major_Non-USMCA_Non-China</v>
      </c>
    </row>
    <row r="7675" spans="1:9" x14ac:dyDescent="0.4">
      <c r="A7675" t="s">
        <v>71</v>
      </c>
      <c r="B7675" s="1">
        <v>45323</v>
      </c>
      <c r="C7675">
        <v>870830</v>
      </c>
      <c r="D7675" t="s">
        <v>176</v>
      </c>
      <c r="E7675">
        <v>700402</v>
      </c>
      <c r="F7675">
        <v>86516</v>
      </c>
      <c r="G7675">
        <v>4786</v>
      </c>
      <c r="H7675">
        <f>_xlfn.XLOOKUP(FACT_IMPORTS[[#This Row],[hts_6]],DIM_PRODUCTS[hts_6],DIM_PRODUCTS[hts_4],,,)</f>
        <v>8708</v>
      </c>
      <c r="I7675" t="str" cm="1">
        <f t="array" ref="I7675">_xlfn.XLOOKUP(FACT_IMPORTS[[#This Row],[country_name]],DIM_COUNTRY[[#All],[Column2]],DIM_COUNTRY[[#All],[Column3]],,,)</f>
        <v>Major_Non-USMCA_Non-China</v>
      </c>
    </row>
    <row r="7676" spans="1:9" x14ac:dyDescent="0.4">
      <c r="A7676" t="s">
        <v>71</v>
      </c>
      <c r="B7676" s="1">
        <v>45323</v>
      </c>
      <c r="C7676">
        <v>870840</v>
      </c>
      <c r="D7676" t="s">
        <v>176</v>
      </c>
      <c r="E7676">
        <v>1577108</v>
      </c>
      <c r="F7676">
        <v>7883</v>
      </c>
      <c r="G7676">
        <v>32759</v>
      </c>
      <c r="H7676">
        <f>_xlfn.XLOOKUP(FACT_IMPORTS[[#This Row],[hts_6]],DIM_PRODUCTS[hts_6],DIM_PRODUCTS[hts_4],,,)</f>
        <v>8708</v>
      </c>
      <c r="I7676" t="str" cm="1">
        <f t="array" ref="I7676">_xlfn.XLOOKUP(FACT_IMPORTS[[#This Row],[country_name]],DIM_COUNTRY[[#All],[Column2]],DIM_COUNTRY[[#All],[Column3]],,,)</f>
        <v>Major_Non-USMCA_Non-China</v>
      </c>
    </row>
    <row r="7677" spans="1:9" x14ac:dyDescent="0.4">
      <c r="A7677" t="s">
        <v>71</v>
      </c>
      <c r="B7677" s="1">
        <v>45323</v>
      </c>
      <c r="C7677">
        <v>870850</v>
      </c>
      <c r="D7677" t="s">
        <v>176</v>
      </c>
      <c r="E7677">
        <v>27063</v>
      </c>
      <c r="F7677">
        <v>2</v>
      </c>
      <c r="G7677">
        <v>541</v>
      </c>
      <c r="H7677">
        <f>_xlfn.XLOOKUP(FACT_IMPORTS[[#This Row],[hts_6]],DIM_PRODUCTS[hts_6],DIM_PRODUCTS[hts_4],,,)</f>
        <v>8708</v>
      </c>
      <c r="I7677" t="str" cm="1">
        <f t="array" ref="I7677">_xlfn.XLOOKUP(FACT_IMPORTS[[#This Row],[country_name]],DIM_COUNTRY[[#All],[Column2]],DIM_COUNTRY[[#All],[Column3]],,,)</f>
        <v>Major_Non-USMCA_Non-China</v>
      </c>
    </row>
    <row r="7678" spans="1:9" x14ac:dyDescent="0.4">
      <c r="A7678" t="s">
        <v>71</v>
      </c>
      <c r="B7678" s="1">
        <v>45323</v>
      </c>
      <c r="C7678">
        <v>870870</v>
      </c>
      <c r="D7678" t="s">
        <v>176</v>
      </c>
      <c r="E7678">
        <v>18335</v>
      </c>
      <c r="F7678">
        <v>42</v>
      </c>
      <c r="G7678">
        <v>45</v>
      </c>
      <c r="H7678">
        <f>_xlfn.XLOOKUP(FACT_IMPORTS[[#This Row],[hts_6]],DIM_PRODUCTS[hts_6],DIM_PRODUCTS[hts_4],,,)</f>
        <v>8708</v>
      </c>
      <c r="I7678" t="str" cm="1">
        <f t="array" ref="I7678">_xlfn.XLOOKUP(FACT_IMPORTS[[#This Row],[country_name]],DIM_COUNTRY[[#All],[Column2]],DIM_COUNTRY[[#All],[Column3]],,,)</f>
        <v>Major_Non-USMCA_Non-China</v>
      </c>
    </row>
    <row r="7679" spans="1:9" x14ac:dyDescent="0.4">
      <c r="A7679" t="s">
        <v>71</v>
      </c>
      <c r="B7679" s="1">
        <v>45323</v>
      </c>
      <c r="C7679">
        <v>870880</v>
      </c>
      <c r="D7679" t="s">
        <v>176</v>
      </c>
      <c r="E7679">
        <v>70505</v>
      </c>
      <c r="F7679">
        <v>1832</v>
      </c>
      <c r="G7679">
        <v>1825</v>
      </c>
      <c r="H7679">
        <f>_xlfn.XLOOKUP(FACT_IMPORTS[[#This Row],[hts_6]],DIM_PRODUCTS[hts_6],DIM_PRODUCTS[hts_4],,,)</f>
        <v>8708</v>
      </c>
      <c r="I7679" t="str" cm="1">
        <f t="array" ref="I7679">_xlfn.XLOOKUP(FACT_IMPORTS[[#This Row],[country_name]],DIM_COUNTRY[[#All],[Column2]],DIM_COUNTRY[[#All],[Column3]],,,)</f>
        <v>Major_Non-USMCA_Non-China</v>
      </c>
    </row>
    <row r="7680" spans="1:9" x14ac:dyDescent="0.4">
      <c r="A7680" t="s">
        <v>71</v>
      </c>
      <c r="B7680" s="1">
        <v>45323</v>
      </c>
      <c r="C7680">
        <v>870891</v>
      </c>
      <c r="D7680" t="s">
        <v>176</v>
      </c>
      <c r="E7680">
        <v>226516</v>
      </c>
      <c r="F7680">
        <v>118014</v>
      </c>
      <c r="G7680">
        <v>2945</v>
      </c>
      <c r="H7680">
        <f>_xlfn.XLOOKUP(FACT_IMPORTS[[#This Row],[hts_6]],DIM_PRODUCTS[hts_6],DIM_PRODUCTS[hts_4],,,)</f>
        <v>8708</v>
      </c>
      <c r="I7680" t="str" cm="1">
        <f t="array" ref="I7680">_xlfn.XLOOKUP(FACT_IMPORTS[[#This Row],[country_name]],DIM_COUNTRY[[#All],[Column2]],DIM_COUNTRY[[#All],[Column3]],,,)</f>
        <v>Major_Non-USMCA_Non-China</v>
      </c>
    </row>
    <row r="7681" spans="1:9" x14ac:dyDescent="0.4">
      <c r="A7681" t="s">
        <v>71</v>
      </c>
      <c r="B7681" s="1">
        <v>45323</v>
      </c>
      <c r="C7681">
        <v>870893</v>
      </c>
      <c r="D7681" t="s">
        <v>176</v>
      </c>
      <c r="E7681">
        <v>974795</v>
      </c>
      <c r="F7681">
        <v>358539</v>
      </c>
      <c r="G7681">
        <v>19911</v>
      </c>
      <c r="H7681">
        <f>_xlfn.XLOOKUP(FACT_IMPORTS[[#This Row],[hts_6]],DIM_PRODUCTS[hts_6],DIM_PRODUCTS[hts_4],,,)</f>
        <v>8708</v>
      </c>
      <c r="I7681" t="str" cm="1">
        <f t="array" ref="I7681">_xlfn.XLOOKUP(FACT_IMPORTS[[#This Row],[country_name]],DIM_COUNTRY[[#All],[Column2]],DIM_COUNTRY[[#All],[Column3]],,,)</f>
        <v>Major_Non-USMCA_Non-China</v>
      </c>
    </row>
    <row r="7682" spans="1:9" x14ac:dyDescent="0.4">
      <c r="A7682" t="s">
        <v>71</v>
      </c>
      <c r="B7682" s="1">
        <v>45323</v>
      </c>
      <c r="C7682">
        <v>870894</v>
      </c>
      <c r="D7682" t="s">
        <v>176</v>
      </c>
      <c r="E7682">
        <v>68677</v>
      </c>
      <c r="F7682">
        <v>3906</v>
      </c>
      <c r="G7682">
        <v>460</v>
      </c>
      <c r="H7682">
        <f>_xlfn.XLOOKUP(FACT_IMPORTS[[#This Row],[hts_6]],DIM_PRODUCTS[hts_6],DIM_PRODUCTS[hts_4],,,)</f>
        <v>8708</v>
      </c>
      <c r="I7682" t="str" cm="1">
        <f t="array" ref="I7682">_xlfn.XLOOKUP(FACT_IMPORTS[[#This Row],[country_name]],DIM_COUNTRY[[#All],[Column2]],DIM_COUNTRY[[#All],[Column3]],,,)</f>
        <v>Major_Non-USMCA_Non-China</v>
      </c>
    </row>
    <row r="7683" spans="1:9" x14ac:dyDescent="0.4">
      <c r="A7683" t="s">
        <v>71</v>
      </c>
      <c r="B7683" s="1">
        <v>45323</v>
      </c>
      <c r="C7683">
        <v>870895</v>
      </c>
      <c r="D7683" t="s">
        <v>176</v>
      </c>
      <c r="E7683">
        <v>9315</v>
      </c>
      <c r="F7683">
        <v>1027</v>
      </c>
      <c r="G7683">
        <v>1291</v>
      </c>
      <c r="H7683">
        <f>_xlfn.XLOOKUP(FACT_IMPORTS[[#This Row],[hts_6]],DIM_PRODUCTS[hts_6],DIM_PRODUCTS[hts_4],,,)</f>
        <v>8708</v>
      </c>
      <c r="I7683" t="str" cm="1">
        <f t="array" ref="I7683">_xlfn.XLOOKUP(FACT_IMPORTS[[#This Row],[country_name]],DIM_COUNTRY[[#All],[Column2]],DIM_COUNTRY[[#All],[Column3]],,,)</f>
        <v>Major_Non-USMCA_Non-China</v>
      </c>
    </row>
    <row r="7684" spans="1:9" x14ac:dyDescent="0.4">
      <c r="A7684" t="s">
        <v>71</v>
      </c>
      <c r="B7684" s="1">
        <v>45323</v>
      </c>
      <c r="C7684">
        <v>870899</v>
      </c>
      <c r="D7684" t="s">
        <v>176</v>
      </c>
      <c r="E7684">
        <v>2931578</v>
      </c>
      <c r="F7684">
        <v>1857069</v>
      </c>
      <c r="G7684">
        <v>49548</v>
      </c>
      <c r="H7684">
        <f>_xlfn.XLOOKUP(FACT_IMPORTS[[#This Row],[hts_6]],DIM_PRODUCTS[hts_6],DIM_PRODUCTS[hts_4],,,)</f>
        <v>8708</v>
      </c>
      <c r="I7684" t="str" cm="1">
        <f t="array" ref="I7684">_xlfn.XLOOKUP(FACT_IMPORTS[[#This Row],[country_name]],DIM_COUNTRY[[#All],[Column2]],DIM_COUNTRY[[#All],[Column3]],,,)</f>
        <v>Major_Non-USMCA_Non-China</v>
      </c>
    </row>
    <row r="7685" spans="1:9" x14ac:dyDescent="0.4">
      <c r="A7685" t="s">
        <v>71</v>
      </c>
      <c r="B7685" s="1">
        <v>45323</v>
      </c>
      <c r="C7685">
        <v>940120</v>
      </c>
      <c r="D7685" t="s">
        <v>176</v>
      </c>
      <c r="E7685">
        <v>2160</v>
      </c>
      <c r="F7685">
        <v>54</v>
      </c>
      <c r="G7685">
        <v>14</v>
      </c>
      <c r="H7685">
        <f>_xlfn.XLOOKUP(FACT_IMPORTS[[#This Row],[hts_6]],DIM_PRODUCTS[hts_6],DIM_PRODUCTS[hts_4],,,)</f>
        <v>9401</v>
      </c>
      <c r="I7685" t="str" cm="1">
        <f t="array" ref="I7685">_xlfn.XLOOKUP(FACT_IMPORTS[[#This Row],[country_name]],DIM_COUNTRY[[#All],[Column2]],DIM_COUNTRY[[#All],[Column3]],,,)</f>
        <v>Major_Non-USMCA_Non-China</v>
      </c>
    </row>
    <row r="7686" spans="1:9" x14ac:dyDescent="0.4">
      <c r="A7686" t="s">
        <v>71</v>
      </c>
      <c r="B7686" s="1">
        <v>45352</v>
      </c>
      <c r="C7686">
        <v>392630</v>
      </c>
      <c r="D7686" t="s">
        <v>176</v>
      </c>
      <c r="E7686">
        <v>6420</v>
      </c>
      <c r="F7686">
        <v>195</v>
      </c>
      <c r="G7686">
        <v>124</v>
      </c>
      <c r="H7686">
        <f>_xlfn.XLOOKUP(FACT_IMPORTS[[#This Row],[hts_6]],DIM_PRODUCTS[hts_6],DIM_PRODUCTS[hts_4],,,)</f>
        <v>3926</v>
      </c>
      <c r="I7686" t="str" cm="1">
        <f t="array" ref="I7686">_xlfn.XLOOKUP(FACT_IMPORTS[[#This Row],[country_name]],DIM_COUNTRY[[#All],[Column2]],DIM_COUNTRY[[#All],[Column3]],,,)</f>
        <v>Major_Non-USMCA_Non-China</v>
      </c>
    </row>
    <row r="7687" spans="1:9" x14ac:dyDescent="0.4">
      <c r="A7687" t="s">
        <v>71</v>
      </c>
      <c r="B7687" s="1">
        <v>45352</v>
      </c>
      <c r="C7687">
        <v>401110</v>
      </c>
      <c r="D7687" t="s">
        <v>176</v>
      </c>
      <c r="E7687">
        <v>37834</v>
      </c>
      <c r="F7687">
        <v>178</v>
      </c>
      <c r="G7687">
        <v>217</v>
      </c>
      <c r="H7687">
        <f>_xlfn.XLOOKUP(FACT_IMPORTS[[#This Row],[hts_6]],DIM_PRODUCTS[hts_6],DIM_PRODUCTS[hts_4],,,)</f>
        <v>4011</v>
      </c>
      <c r="I7687" t="str" cm="1">
        <f t="array" ref="I7687">_xlfn.XLOOKUP(FACT_IMPORTS[[#This Row],[country_name]],DIM_COUNTRY[[#All],[Column2]],DIM_COUNTRY[[#All],[Column3]],,,)</f>
        <v>Major_Non-USMCA_Non-China</v>
      </c>
    </row>
    <row r="7688" spans="1:9" x14ac:dyDescent="0.4">
      <c r="A7688" t="s">
        <v>71</v>
      </c>
      <c r="B7688" s="1">
        <v>45352</v>
      </c>
      <c r="C7688">
        <v>401120</v>
      </c>
      <c r="D7688" t="s">
        <v>176</v>
      </c>
      <c r="E7688">
        <v>41814</v>
      </c>
      <c r="F7688">
        <v>231</v>
      </c>
      <c r="G7688">
        <v>2530</v>
      </c>
      <c r="H7688">
        <f>_xlfn.XLOOKUP(FACT_IMPORTS[[#This Row],[hts_6]],DIM_PRODUCTS[hts_6],DIM_PRODUCTS[hts_4],,,)</f>
        <v>4011</v>
      </c>
      <c r="I7688" t="str" cm="1">
        <f t="array" ref="I7688">_xlfn.XLOOKUP(FACT_IMPORTS[[#This Row],[country_name]],DIM_COUNTRY[[#All],[Column2]],DIM_COUNTRY[[#All],[Column3]],,,)</f>
        <v>Major_Non-USMCA_Non-China</v>
      </c>
    </row>
    <row r="7689" spans="1:9" x14ac:dyDescent="0.4">
      <c r="A7689" t="s">
        <v>71</v>
      </c>
      <c r="B7689" s="1">
        <v>45352</v>
      </c>
      <c r="C7689">
        <v>700711</v>
      </c>
      <c r="D7689" t="s">
        <v>176</v>
      </c>
      <c r="E7689">
        <v>0</v>
      </c>
      <c r="F7689">
        <v>0</v>
      </c>
      <c r="G7689">
        <v>0</v>
      </c>
      <c r="H7689">
        <f>_xlfn.XLOOKUP(FACT_IMPORTS[[#This Row],[hts_6]],DIM_PRODUCTS[hts_6],DIM_PRODUCTS[hts_4],,,)</f>
        <v>7007</v>
      </c>
      <c r="I7689" t="str" cm="1">
        <f t="array" ref="I7689">_xlfn.XLOOKUP(FACT_IMPORTS[[#This Row],[country_name]],DIM_COUNTRY[[#All],[Column2]],DIM_COUNTRY[[#All],[Column3]],,,)</f>
        <v>Major_Non-USMCA_Non-China</v>
      </c>
    </row>
    <row r="7690" spans="1:9" x14ac:dyDescent="0.4">
      <c r="A7690" t="s">
        <v>71</v>
      </c>
      <c r="B7690" s="1">
        <v>45352</v>
      </c>
      <c r="C7690">
        <v>700721</v>
      </c>
      <c r="D7690" t="s">
        <v>176</v>
      </c>
      <c r="E7690">
        <v>0</v>
      </c>
      <c r="F7690">
        <v>0</v>
      </c>
      <c r="G7690">
        <v>0</v>
      </c>
      <c r="H7690">
        <f>_xlfn.XLOOKUP(FACT_IMPORTS[[#This Row],[hts_6]],DIM_PRODUCTS[hts_6],DIM_PRODUCTS[hts_4],,,)</f>
        <v>7007</v>
      </c>
      <c r="I7690" t="str" cm="1">
        <f t="array" ref="I7690">_xlfn.XLOOKUP(FACT_IMPORTS[[#This Row],[country_name]],DIM_COUNTRY[[#All],[Column2]],DIM_COUNTRY[[#All],[Column3]],,,)</f>
        <v>Major_Non-USMCA_Non-China</v>
      </c>
    </row>
    <row r="7691" spans="1:9" x14ac:dyDescent="0.4">
      <c r="A7691" t="s">
        <v>71</v>
      </c>
      <c r="B7691" s="1">
        <v>45352</v>
      </c>
      <c r="C7691">
        <v>700910</v>
      </c>
      <c r="D7691" t="s">
        <v>176</v>
      </c>
      <c r="E7691">
        <v>0</v>
      </c>
      <c r="F7691">
        <v>0</v>
      </c>
      <c r="G7691">
        <v>0</v>
      </c>
      <c r="H7691">
        <f>_xlfn.XLOOKUP(FACT_IMPORTS[[#This Row],[hts_6]],DIM_PRODUCTS[hts_6],DIM_PRODUCTS[hts_4],,,)</f>
        <v>7009</v>
      </c>
      <c r="I7691" t="str" cm="1">
        <f t="array" ref="I7691">_xlfn.XLOOKUP(FACT_IMPORTS[[#This Row],[country_name]],DIM_COUNTRY[[#All],[Column2]],DIM_COUNTRY[[#All],[Column3]],,,)</f>
        <v>Major_Non-USMCA_Non-China</v>
      </c>
    </row>
    <row r="7692" spans="1:9" x14ac:dyDescent="0.4">
      <c r="A7692" t="s">
        <v>71</v>
      </c>
      <c r="B7692" s="1">
        <v>45352</v>
      </c>
      <c r="C7692">
        <v>732010</v>
      </c>
      <c r="D7692" t="s">
        <v>176</v>
      </c>
      <c r="E7692">
        <v>0</v>
      </c>
      <c r="F7692">
        <v>0</v>
      </c>
      <c r="G7692">
        <v>0</v>
      </c>
      <c r="H7692">
        <f>_xlfn.XLOOKUP(FACT_IMPORTS[[#This Row],[hts_6]],DIM_PRODUCTS[hts_6],DIM_PRODUCTS[hts_4],,,)</f>
        <v>7320</v>
      </c>
      <c r="I7692" t="str" cm="1">
        <f t="array" ref="I7692">_xlfn.XLOOKUP(FACT_IMPORTS[[#This Row],[country_name]],DIM_COUNTRY[[#All],[Column2]],DIM_COUNTRY[[#All],[Column3]],,,)</f>
        <v>Major_Non-USMCA_Non-China</v>
      </c>
    </row>
    <row r="7693" spans="1:9" x14ac:dyDescent="0.4">
      <c r="A7693" t="s">
        <v>71</v>
      </c>
      <c r="B7693" s="1">
        <v>45352</v>
      </c>
      <c r="C7693">
        <v>830230</v>
      </c>
      <c r="D7693" t="s">
        <v>176</v>
      </c>
      <c r="E7693">
        <v>45781</v>
      </c>
      <c r="F7693">
        <v>9632</v>
      </c>
      <c r="G7693">
        <v>595</v>
      </c>
      <c r="H7693">
        <f>_xlfn.XLOOKUP(FACT_IMPORTS[[#This Row],[hts_6]],DIM_PRODUCTS[hts_6],DIM_PRODUCTS[hts_4],,,)</f>
        <v>8302</v>
      </c>
      <c r="I7693" t="str" cm="1">
        <f t="array" ref="I7693">_xlfn.XLOOKUP(FACT_IMPORTS[[#This Row],[country_name]],DIM_COUNTRY[[#All],[Column2]],DIM_COUNTRY[[#All],[Column3]],,,)</f>
        <v>Major_Non-USMCA_Non-China</v>
      </c>
    </row>
    <row r="7694" spans="1:9" x14ac:dyDescent="0.4">
      <c r="A7694" t="s">
        <v>71</v>
      </c>
      <c r="B7694" s="1">
        <v>45352</v>
      </c>
      <c r="C7694">
        <v>840734</v>
      </c>
      <c r="D7694" t="s">
        <v>176</v>
      </c>
      <c r="E7694">
        <v>249693</v>
      </c>
      <c r="F7694">
        <v>15</v>
      </c>
      <c r="G7694">
        <v>21864</v>
      </c>
      <c r="H7694">
        <f>_xlfn.XLOOKUP(FACT_IMPORTS[[#This Row],[hts_6]],DIM_PRODUCTS[hts_6],DIM_PRODUCTS[hts_4],,,)</f>
        <v>8407</v>
      </c>
      <c r="I7694" t="str" cm="1">
        <f t="array" ref="I7694">_xlfn.XLOOKUP(FACT_IMPORTS[[#This Row],[country_name]],DIM_COUNTRY[[#All],[Column2]],DIM_COUNTRY[[#All],[Column3]],,,)</f>
        <v>Major_Non-USMCA_Non-China</v>
      </c>
    </row>
    <row r="7695" spans="1:9" x14ac:dyDescent="0.4">
      <c r="A7695" t="s">
        <v>71</v>
      </c>
      <c r="B7695" s="1">
        <v>45352</v>
      </c>
      <c r="C7695">
        <v>840790</v>
      </c>
      <c r="D7695" t="s">
        <v>176</v>
      </c>
      <c r="E7695">
        <v>428126</v>
      </c>
      <c r="F7695">
        <v>105</v>
      </c>
      <c r="G7695">
        <v>391</v>
      </c>
      <c r="H7695">
        <f>_xlfn.XLOOKUP(FACT_IMPORTS[[#This Row],[hts_6]],DIM_PRODUCTS[hts_6],DIM_PRODUCTS[hts_4],,,)</f>
        <v>8407</v>
      </c>
      <c r="I7695" t="str" cm="1">
        <f t="array" ref="I7695">_xlfn.XLOOKUP(FACT_IMPORTS[[#This Row],[country_name]],DIM_COUNTRY[[#All],[Column2]],DIM_COUNTRY[[#All],[Column3]],,,)</f>
        <v>Major_Non-USMCA_Non-China</v>
      </c>
    </row>
    <row r="7696" spans="1:9" x14ac:dyDescent="0.4">
      <c r="A7696" t="s">
        <v>71</v>
      </c>
      <c r="B7696" s="1">
        <v>45352</v>
      </c>
      <c r="C7696">
        <v>840820</v>
      </c>
      <c r="D7696" t="s">
        <v>176</v>
      </c>
      <c r="E7696">
        <v>0</v>
      </c>
      <c r="F7696">
        <v>0</v>
      </c>
      <c r="G7696">
        <v>0</v>
      </c>
      <c r="H7696">
        <f>_xlfn.XLOOKUP(FACT_IMPORTS[[#This Row],[hts_6]],DIM_PRODUCTS[hts_6],DIM_PRODUCTS[hts_4],,,)</f>
        <v>8408</v>
      </c>
      <c r="I7696" t="str" cm="1">
        <f t="array" ref="I7696">_xlfn.XLOOKUP(FACT_IMPORTS[[#This Row],[country_name]],DIM_COUNTRY[[#All],[Column2]],DIM_COUNTRY[[#All],[Column3]],,,)</f>
        <v>Major_Non-USMCA_Non-China</v>
      </c>
    </row>
    <row r="7697" spans="1:9" x14ac:dyDescent="0.4">
      <c r="A7697" t="s">
        <v>71</v>
      </c>
      <c r="B7697" s="1">
        <v>45352</v>
      </c>
      <c r="C7697">
        <v>840890</v>
      </c>
      <c r="D7697" t="s">
        <v>176</v>
      </c>
      <c r="E7697">
        <v>151276</v>
      </c>
      <c r="F7697">
        <v>5</v>
      </c>
      <c r="G7697">
        <v>745</v>
      </c>
      <c r="H7697">
        <f>_xlfn.XLOOKUP(FACT_IMPORTS[[#This Row],[hts_6]],DIM_PRODUCTS[hts_6],DIM_PRODUCTS[hts_4],,,)</f>
        <v>8408</v>
      </c>
      <c r="I7697" t="str" cm="1">
        <f t="array" ref="I7697">_xlfn.XLOOKUP(FACT_IMPORTS[[#This Row],[country_name]],DIM_COUNTRY[[#All],[Column2]],DIM_COUNTRY[[#All],[Column3]],,,)</f>
        <v>Major_Non-USMCA_Non-China</v>
      </c>
    </row>
    <row r="7698" spans="1:9" x14ac:dyDescent="0.4">
      <c r="A7698" t="s">
        <v>71</v>
      </c>
      <c r="B7698" s="1">
        <v>45352</v>
      </c>
      <c r="C7698">
        <v>840991</v>
      </c>
      <c r="D7698" t="s">
        <v>176</v>
      </c>
      <c r="E7698">
        <v>9079832</v>
      </c>
      <c r="F7698">
        <v>595568</v>
      </c>
      <c r="G7698">
        <v>203943</v>
      </c>
      <c r="H7698">
        <f>_xlfn.XLOOKUP(FACT_IMPORTS[[#This Row],[hts_6]],DIM_PRODUCTS[hts_6],DIM_PRODUCTS[hts_4],,,)</f>
        <v>8409</v>
      </c>
      <c r="I7698" t="str" cm="1">
        <f t="array" ref="I7698">_xlfn.XLOOKUP(FACT_IMPORTS[[#This Row],[country_name]],DIM_COUNTRY[[#All],[Column2]],DIM_COUNTRY[[#All],[Column3]],,,)</f>
        <v>Major_Non-USMCA_Non-China</v>
      </c>
    </row>
    <row r="7699" spans="1:9" x14ac:dyDescent="0.4">
      <c r="A7699" t="s">
        <v>71</v>
      </c>
      <c r="B7699" s="1">
        <v>45352</v>
      </c>
      <c r="C7699">
        <v>840999</v>
      </c>
      <c r="D7699" t="s">
        <v>176</v>
      </c>
      <c r="E7699">
        <v>0</v>
      </c>
      <c r="F7699">
        <v>0</v>
      </c>
      <c r="G7699">
        <v>0</v>
      </c>
      <c r="H7699">
        <f>_xlfn.XLOOKUP(FACT_IMPORTS[[#This Row],[hts_6]],DIM_PRODUCTS[hts_6],DIM_PRODUCTS[hts_4],,,)</f>
        <v>8409</v>
      </c>
      <c r="I7699" t="str" cm="1">
        <f t="array" ref="I7699">_xlfn.XLOOKUP(FACT_IMPORTS[[#This Row],[country_name]],DIM_COUNTRY[[#All],[Column2]],DIM_COUNTRY[[#All],[Column3]],,,)</f>
        <v>Major_Non-USMCA_Non-China</v>
      </c>
    </row>
    <row r="7700" spans="1:9" x14ac:dyDescent="0.4">
      <c r="A7700" t="s">
        <v>71</v>
      </c>
      <c r="B7700" s="1">
        <v>45352</v>
      </c>
      <c r="C7700">
        <v>841330</v>
      </c>
      <c r="D7700" t="s">
        <v>176</v>
      </c>
      <c r="E7700">
        <v>649488</v>
      </c>
      <c r="F7700">
        <v>58723</v>
      </c>
      <c r="G7700">
        <v>14820</v>
      </c>
      <c r="H7700">
        <f>_xlfn.XLOOKUP(FACT_IMPORTS[[#This Row],[hts_6]],DIM_PRODUCTS[hts_6],DIM_PRODUCTS[hts_4],,,)</f>
        <v>8413</v>
      </c>
      <c r="I7700" t="str" cm="1">
        <f t="array" ref="I7700">_xlfn.XLOOKUP(FACT_IMPORTS[[#This Row],[country_name]],DIM_COUNTRY[[#All],[Column2]],DIM_COUNTRY[[#All],[Column3]],,,)</f>
        <v>Major_Non-USMCA_Non-China</v>
      </c>
    </row>
    <row r="7701" spans="1:9" x14ac:dyDescent="0.4">
      <c r="A7701" t="s">
        <v>71</v>
      </c>
      <c r="B7701" s="1">
        <v>45352</v>
      </c>
      <c r="C7701">
        <v>841520</v>
      </c>
      <c r="D7701" t="s">
        <v>176</v>
      </c>
      <c r="E7701">
        <v>0</v>
      </c>
      <c r="F7701">
        <v>0</v>
      </c>
      <c r="G7701">
        <v>0</v>
      </c>
      <c r="H7701">
        <f>_xlfn.XLOOKUP(FACT_IMPORTS[[#This Row],[hts_6]],DIM_PRODUCTS[hts_6],DIM_PRODUCTS[hts_4],,,)</f>
        <v>8415</v>
      </c>
      <c r="I7701" t="str" cm="1">
        <f t="array" ref="I7701">_xlfn.XLOOKUP(FACT_IMPORTS[[#This Row],[country_name]],DIM_COUNTRY[[#All],[Column2]],DIM_COUNTRY[[#All],[Column3]],,,)</f>
        <v>Major_Non-USMCA_Non-China</v>
      </c>
    </row>
    <row r="7702" spans="1:9" x14ac:dyDescent="0.4">
      <c r="A7702" t="s">
        <v>71</v>
      </c>
      <c r="B7702" s="1">
        <v>45352</v>
      </c>
      <c r="C7702">
        <v>842132</v>
      </c>
      <c r="D7702" t="s">
        <v>176</v>
      </c>
      <c r="E7702">
        <v>248926</v>
      </c>
      <c r="F7702">
        <v>25</v>
      </c>
      <c r="G7702">
        <v>725</v>
      </c>
      <c r="H7702">
        <f>_xlfn.XLOOKUP(FACT_IMPORTS[[#This Row],[hts_6]],DIM_PRODUCTS[hts_6],DIM_PRODUCTS[hts_4],,,)</f>
        <v>8421</v>
      </c>
      <c r="I7702" t="str" cm="1">
        <f t="array" ref="I7702">_xlfn.XLOOKUP(FACT_IMPORTS[[#This Row],[country_name]],DIM_COUNTRY[[#All],[Column2]],DIM_COUNTRY[[#All],[Column3]],,,)</f>
        <v>Major_Non-USMCA_Non-China</v>
      </c>
    </row>
    <row r="7703" spans="1:9" x14ac:dyDescent="0.4">
      <c r="A7703" t="s">
        <v>71</v>
      </c>
      <c r="B7703" s="1">
        <v>45352</v>
      </c>
      <c r="C7703">
        <v>848210</v>
      </c>
      <c r="D7703" t="s">
        <v>176</v>
      </c>
      <c r="E7703">
        <v>113982</v>
      </c>
      <c r="F7703">
        <v>2522</v>
      </c>
      <c r="G7703">
        <v>1486</v>
      </c>
      <c r="H7703">
        <f>_xlfn.XLOOKUP(FACT_IMPORTS[[#This Row],[hts_6]],DIM_PRODUCTS[hts_6],DIM_PRODUCTS[hts_4],,,)</f>
        <v>8482</v>
      </c>
      <c r="I7703" t="str" cm="1">
        <f t="array" ref="I7703">_xlfn.XLOOKUP(FACT_IMPORTS[[#This Row],[country_name]],DIM_COUNTRY[[#All],[Column2]],DIM_COUNTRY[[#All],[Column3]],,,)</f>
        <v>Major_Non-USMCA_Non-China</v>
      </c>
    </row>
    <row r="7704" spans="1:9" x14ac:dyDescent="0.4">
      <c r="A7704" t="s">
        <v>71</v>
      </c>
      <c r="B7704" s="1">
        <v>45352</v>
      </c>
      <c r="C7704">
        <v>848220</v>
      </c>
      <c r="D7704" t="s">
        <v>176</v>
      </c>
      <c r="E7704">
        <v>239113</v>
      </c>
      <c r="F7704">
        <v>19342</v>
      </c>
      <c r="G7704">
        <v>2007</v>
      </c>
      <c r="H7704">
        <f>_xlfn.XLOOKUP(FACT_IMPORTS[[#This Row],[hts_6]],DIM_PRODUCTS[hts_6],DIM_PRODUCTS[hts_4],,,)</f>
        <v>8482</v>
      </c>
      <c r="I7704" t="str" cm="1">
        <f t="array" ref="I7704">_xlfn.XLOOKUP(FACT_IMPORTS[[#This Row],[country_name]],DIM_COUNTRY[[#All],[Column2]],DIM_COUNTRY[[#All],[Column3]],,,)</f>
        <v>Major_Non-USMCA_Non-China</v>
      </c>
    </row>
    <row r="7705" spans="1:9" x14ac:dyDescent="0.4">
      <c r="A7705" t="s">
        <v>71</v>
      </c>
      <c r="B7705" s="1">
        <v>45352</v>
      </c>
      <c r="C7705">
        <v>848310</v>
      </c>
      <c r="D7705" t="s">
        <v>176</v>
      </c>
      <c r="E7705">
        <v>9553</v>
      </c>
      <c r="F7705">
        <v>261</v>
      </c>
      <c r="G7705">
        <v>65</v>
      </c>
      <c r="H7705">
        <f>_xlfn.XLOOKUP(FACT_IMPORTS[[#This Row],[hts_6]],DIM_PRODUCTS[hts_6],DIM_PRODUCTS[hts_4],,,)</f>
        <v>8483</v>
      </c>
      <c r="I7705" t="str" cm="1">
        <f t="array" ref="I7705">_xlfn.XLOOKUP(FACT_IMPORTS[[#This Row],[country_name]],DIM_COUNTRY[[#All],[Column2]],DIM_COUNTRY[[#All],[Column3]],,,)</f>
        <v>Major_Non-USMCA_Non-China</v>
      </c>
    </row>
    <row r="7706" spans="1:9" x14ac:dyDescent="0.4">
      <c r="A7706" t="s">
        <v>71</v>
      </c>
      <c r="B7706" s="1">
        <v>45352</v>
      </c>
      <c r="C7706">
        <v>850131</v>
      </c>
      <c r="D7706" t="s">
        <v>176</v>
      </c>
      <c r="E7706">
        <v>4713721</v>
      </c>
      <c r="F7706">
        <v>118225</v>
      </c>
      <c r="G7706">
        <v>61209</v>
      </c>
      <c r="H7706">
        <f>_xlfn.XLOOKUP(FACT_IMPORTS[[#This Row],[hts_6]],DIM_PRODUCTS[hts_6],DIM_PRODUCTS[hts_4],,,)</f>
        <v>8501</v>
      </c>
      <c r="I7706" t="str" cm="1">
        <f t="array" ref="I7706">_xlfn.XLOOKUP(FACT_IMPORTS[[#This Row],[country_name]],DIM_COUNTRY[[#All],[Column2]],DIM_COUNTRY[[#All],[Column3]],,,)</f>
        <v>Major_Non-USMCA_Non-China</v>
      </c>
    </row>
    <row r="7707" spans="1:9" x14ac:dyDescent="0.4">
      <c r="A7707" t="s">
        <v>71</v>
      </c>
      <c r="B7707" s="1">
        <v>45352</v>
      </c>
      <c r="C7707">
        <v>850132</v>
      </c>
      <c r="D7707" t="s">
        <v>176</v>
      </c>
      <c r="E7707">
        <v>0</v>
      </c>
      <c r="F7707">
        <v>0</v>
      </c>
      <c r="G7707">
        <v>0</v>
      </c>
      <c r="H7707">
        <f>_xlfn.XLOOKUP(FACT_IMPORTS[[#This Row],[hts_6]],DIM_PRODUCTS[hts_6],DIM_PRODUCTS[hts_4],,,)</f>
        <v>8501</v>
      </c>
      <c r="I7707" t="str" cm="1">
        <f t="array" ref="I7707">_xlfn.XLOOKUP(FACT_IMPORTS[[#This Row],[country_name]],DIM_COUNTRY[[#All],[Column2]],DIM_COUNTRY[[#All],[Column3]],,,)</f>
        <v>Major_Non-USMCA_Non-China</v>
      </c>
    </row>
    <row r="7708" spans="1:9" x14ac:dyDescent="0.4">
      <c r="A7708" t="s">
        <v>71</v>
      </c>
      <c r="B7708" s="1">
        <v>45352</v>
      </c>
      <c r="C7708">
        <v>850133</v>
      </c>
      <c r="D7708" t="s">
        <v>176</v>
      </c>
      <c r="E7708">
        <v>0</v>
      </c>
      <c r="F7708">
        <v>0</v>
      </c>
      <c r="G7708">
        <v>0</v>
      </c>
      <c r="H7708">
        <f>_xlfn.XLOOKUP(FACT_IMPORTS[[#This Row],[hts_6]],DIM_PRODUCTS[hts_6],DIM_PRODUCTS[hts_4],,,)</f>
        <v>8501</v>
      </c>
      <c r="I7708" t="str" cm="1">
        <f t="array" ref="I7708">_xlfn.XLOOKUP(FACT_IMPORTS[[#This Row],[country_name]],DIM_COUNTRY[[#All],[Column2]],DIM_COUNTRY[[#All],[Column3]],,,)</f>
        <v>Major_Non-USMCA_Non-China</v>
      </c>
    </row>
    <row r="7709" spans="1:9" x14ac:dyDescent="0.4">
      <c r="A7709" t="s">
        <v>71</v>
      </c>
      <c r="B7709" s="1">
        <v>45352</v>
      </c>
      <c r="C7709">
        <v>850152</v>
      </c>
      <c r="D7709" t="s">
        <v>176</v>
      </c>
      <c r="E7709">
        <v>305075</v>
      </c>
      <c r="F7709">
        <v>390</v>
      </c>
      <c r="G7709">
        <v>9243</v>
      </c>
      <c r="H7709">
        <f>_xlfn.XLOOKUP(FACT_IMPORTS[[#This Row],[hts_6]],DIM_PRODUCTS[hts_6],DIM_PRODUCTS[hts_4],,,)</f>
        <v>8501</v>
      </c>
      <c r="I7709" t="str" cm="1">
        <f t="array" ref="I7709">_xlfn.XLOOKUP(FACT_IMPORTS[[#This Row],[country_name]],DIM_COUNTRY[[#All],[Column2]],DIM_COUNTRY[[#All],[Column3]],,,)</f>
        <v>Major_Non-USMCA_Non-China</v>
      </c>
    </row>
    <row r="7710" spans="1:9" x14ac:dyDescent="0.4">
      <c r="A7710" t="s">
        <v>71</v>
      </c>
      <c r="B7710" s="1">
        <v>45352</v>
      </c>
      <c r="C7710">
        <v>850153</v>
      </c>
      <c r="D7710" t="s">
        <v>176</v>
      </c>
      <c r="E7710">
        <v>0</v>
      </c>
      <c r="F7710">
        <v>0</v>
      </c>
      <c r="G7710">
        <v>0</v>
      </c>
      <c r="H7710">
        <f>_xlfn.XLOOKUP(FACT_IMPORTS[[#This Row],[hts_6]],DIM_PRODUCTS[hts_6],DIM_PRODUCTS[hts_4],,,)</f>
        <v>8501</v>
      </c>
      <c r="I7710" t="str" cm="1">
        <f t="array" ref="I7710">_xlfn.XLOOKUP(FACT_IMPORTS[[#This Row],[country_name]],DIM_COUNTRY[[#All],[Column2]],DIM_COUNTRY[[#All],[Column3]],,,)</f>
        <v>Major_Non-USMCA_Non-China</v>
      </c>
    </row>
    <row r="7711" spans="1:9" x14ac:dyDescent="0.4">
      <c r="A7711" t="s">
        <v>71</v>
      </c>
      <c r="B7711" s="1">
        <v>45352</v>
      </c>
      <c r="C7711">
        <v>850161</v>
      </c>
      <c r="D7711" t="s">
        <v>176</v>
      </c>
      <c r="E7711">
        <v>0</v>
      </c>
      <c r="F7711">
        <v>0</v>
      </c>
      <c r="G7711">
        <v>0</v>
      </c>
      <c r="H7711">
        <f>_xlfn.XLOOKUP(FACT_IMPORTS[[#This Row],[hts_6]],DIM_PRODUCTS[hts_6],DIM_PRODUCTS[hts_4],,,)</f>
        <v>8501</v>
      </c>
      <c r="I7711" t="str" cm="1">
        <f t="array" ref="I7711">_xlfn.XLOOKUP(FACT_IMPORTS[[#This Row],[country_name]],DIM_COUNTRY[[#All],[Column2]],DIM_COUNTRY[[#All],[Column3]],,,)</f>
        <v>Major_Non-USMCA_Non-China</v>
      </c>
    </row>
    <row r="7712" spans="1:9" x14ac:dyDescent="0.4">
      <c r="A7712" t="s">
        <v>71</v>
      </c>
      <c r="B7712" s="1">
        <v>45352</v>
      </c>
      <c r="C7712">
        <v>850440</v>
      </c>
      <c r="D7712" t="s">
        <v>176</v>
      </c>
      <c r="E7712">
        <v>725320</v>
      </c>
      <c r="F7712">
        <v>522</v>
      </c>
      <c r="G7712">
        <v>15557</v>
      </c>
      <c r="H7712">
        <f>_xlfn.XLOOKUP(FACT_IMPORTS[[#This Row],[hts_6]],DIM_PRODUCTS[hts_6],DIM_PRODUCTS[hts_4],,,)</f>
        <v>8504</v>
      </c>
      <c r="I7712" t="str" cm="1">
        <f t="array" ref="I7712">_xlfn.XLOOKUP(FACT_IMPORTS[[#This Row],[country_name]],DIM_COUNTRY[[#All],[Column2]],DIM_COUNTRY[[#All],[Column3]],,,)</f>
        <v>Major_Non-USMCA_Non-China</v>
      </c>
    </row>
    <row r="7713" spans="1:9" x14ac:dyDescent="0.4">
      <c r="A7713" t="s">
        <v>71</v>
      </c>
      <c r="B7713" s="1">
        <v>45352</v>
      </c>
      <c r="C7713">
        <v>850710</v>
      </c>
      <c r="D7713" t="s">
        <v>176</v>
      </c>
      <c r="E7713">
        <v>0</v>
      </c>
      <c r="F7713">
        <v>0</v>
      </c>
      <c r="G7713">
        <v>0</v>
      </c>
      <c r="H7713">
        <f>_xlfn.XLOOKUP(FACT_IMPORTS[[#This Row],[hts_6]],DIM_PRODUCTS[hts_6],DIM_PRODUCTS[hts_4],,,)</f>
        <v>8507</v>
      </c>
      <c r="I7713" t="str" cm="1">
        <f t="array" ref="I7713">_xlfn.XLOOKUP(FACT_IMPORTS[[#This Row],[country_name]],DIM_COUNTRY[[#All],[Column2]],DIM_COUNTRY[[#All],[Column3]],,,)</f>
        <v>Major_Non-USMCA_Non-China</v>
      </c>
    </row>
    <row r="7714" spans="1:9" x14ac:dyDescent="0.4">
      <c r="A7714" t="s">
        <v>71</v>
      </c>
      <c r="B7714" s="1">
        <v>45352</v>
      </c>
      <c r="C7714">
        <v>850760</v>
      </c>
      <c r="D7714" t="s">
        <v>176</v>
      </c>
      <c r="E7714">
        <v>66400</v>
      </c>
      <c r="F7714">
        <v>388</v>
      </c>
      <c r="G7714">
        <v>893</v>
      </c>
      <c r="H7714">
        <f>_xlfn.XLOOKUP(FACT_IMPORTS[[#This Row],[hts_6]],DIM_PRODUCTS[hts_6],DIM_PRODUCTS[hts_4],,,)</f>
        <v>8507</v>
      </c>
      <c r="I7714" t="str" cm="1">
        <f t="array" ref="I7714">_xlfn.XLOOKUP(FACT_IMPORTS[[#This Row],[country_name]],DIM_COUNTRY[[#All],[Column2]],DIM_COUNTRY[[#All],[Column3]],,,)</f>
        <v>Major_Non-USMCA_Non-China</v>
      </c>
    </row>
    <row r="7715" spans="1:9" x14ac:dyDescent="0.4">
      <c r="A7715" t="s">
        <v>71</v>
      </c>
      <c r="B7715" s="1">
        <v>45352</v>
      </c>
      <c r="C7715">
        <v>850790</v>
      </c>
      <c r="D7715" t="s">
        <v>176</v>
      </c>
      <c r="E7715">
        <v>0</v>
      </c>
      <c r="F7715">
        <v>0</v>
      </c>
      <c r="G7715">
        <v>0</v>
      </c>
      <c r="H7715">
        <f>_xlfn.XLOOKUP(FACT_IMPORTS[[#This Row],[hts_6]],DIM_PRODUCTS[hts_6],DIM_PRODUCTS[hts_4],,,)</f>
        <v>8507</v>
      </c>
      <c r="I7715" t="str" cm="1">
        <f t="array" ref="I7715">_xlfn.XLOOKUP(FACT_IMPORTS[[#This Row],[country_name]],DIM_COUNTRY[[#All],[Column2]],DIM_COUNTRY[[#All],[Column3]],,,)</f>
        <v>Major_Non-USMCA_Non-China</v>
      </c>
    </row>
    <row r="7716" spans="1:9" x14ac:dyDescent="0.4">
      <c r="A7716" t="s">
        <v>71</v>
      </c>
      <c r="B7716" s="1">
        <v>45352</v>
      </c>
      <c r="C7716">
        <v>851110</v>
      </c>
      <c r="D7716" t="s">
        <v>176</v>
      </c>
      <c r="E7716">
        <v>43998</v>
      </c>
      <c r="F7716">
        <v>708</v>
      </c>
      <c r="G7716">
        <v>198</v>
      </c>
      <c r="H7716">
        <f>_xlfn.XLOOKUP(FACT_IMPORTS[[#This Row],[hts_6]],DIM_PRODUCTS[hts_6],DIM_PRODUCTS[hts_4],,,)</f>
        <v>8511</v>
      </c>
      <c r="I7716" t="str" cm="1">
        <f t="array" ref="I7716">_xlfn.XLOOKUP(FACT_IMPORTS[[#This Row],[country_name]],DIM_COUNTRY[[#All],[Column2]],DIM_COUNTRY[[#All],[Column3]],,,)</f>
        <v>Major_Non-USMCA_Non-China</v>
      </c>
    </row>
    <row r="7717" spans="1:9" x14ac:dyDescent="0.4">
      <c r="A7717" t="s">
        <v>71</v>
      </c>
      <c r="B7717" s="1">
        <v>45352</v>
      </c>
      <c r="C7717">
        <v>851130</v>
      </c>
      <c r="D7717" t="s">
        <v>176</v>
      </c>
      <c r="E7717">
        <v>2285</v>
      </c>
      <c r="F7717">
        <v>378</v>
      </c>
      <c r="G7717">
        <v>19</v>
      </c>
      <c r="H7717">
        <f>_xlfn.XLOOKUP(FACT_IMPORTS[[#This Row],[hts_6]],DIM_PRODUCTS[hts_6],DIM_PRODUCTS[hts_4],,,)</f>
        <v>8511</v>
      </c>
      <c r="I7717" t="str" cm="1">
        <f t="array" ref="I7717">_xlfn.XLOOKUP(FACT_IMPORTS[[#This Row],[country_name]],DIM_COUNTRY[[#All],[Column2]],DIM_COUNTRY[[#All],[Column3]],,,)</f>
        <v>Major_Non-USMCA_Non-China</v>
      </c>
    </row>
    <row r="7718" spans="1:9" x14ac:dyDescent="0.4">
      <c r="A7718" t="s">
        <v>71</v>
      </c>
      <c r="B7718" s="1">
        <v>45352</v>
      </c>
      <c r="C7718">
        <v>851140</v>
      </c>
      <c r="D7718" t="s">
        <v>176</v>
      </c>
      <c r="E7718">
        <v>64122</v>
      </c>
      <c r="F7718">
        <v>996</v>
      </c>
      <c r="G7718">
        <v>5561</v>
      </c>
      <c r="H7718">
        <f>_xlfn.XLOOKUP(FACT_IMPORTS[[#This Row],[hts_6]],DIM_PRODUCTS[hts_6],DIM_PRODUCTS[hts_4],,,)</f>
        <v>8511</v>
      </c>
      <c r="I7718" t="str" cm="1">
        <f t="array" ref="I7718">_xlfn.XLOOKUP(FACT_IMPORTS[[#This Row],[country_name]],DIM_COUNTRY[[#All],[Column2]],DIM_COUNTRY[[#All],[Column3]],,,)</f>
        <v>Major_Non-USMCA_Non-China</v>
      </c>
    </row>
    <row r="7719" spans="1:9" x14ac:dyDescent="0.4">
      <c r="A7719" t="s">
        <v>71</v>
      </c>
      <c r="B7719" s="1">
        <v>45352</v>
      </c>
      <c r="C7719">
        <v>851150</v>
      </c>
      <c r="D7719" t="s">
        <v>176</v>
      </c>
      <c r="E7719">
        <v>67297</v>
      </c>
      <c r="F7719">
        <v>324</v>
      </c>
      <c r="G7719">
        <v>975</v>
      </c>
      <c r="H7719">
        <f>_xlfn.XLOOKUP(FACT_IMPORTS[[#This Row],[hts_6]],DIM_PRODUCTS[hts_6],DIM_PRODUCTS[hts_4],,,)</f>
        <v>8511</v>
      </c>
      <c r="I7719" t="str" cm="1">
        <f t="array" ref="I7719">_xlfn.XLOOKUP(FACT_IMPORTS[[#This Row],[country_name]],DIM_COUNTRY[[#All],[Column2]],DIM_COUNTRY[[#All],[Column3]],,,)</f>
        <v>Major_Non-USMCA_Non-China</v>
      </c>
    </row>
    <row r="7720" spans="1:9" x14ac:dyDescent="0.4">
      <c r="A7720" t="s">
        <v>71</v>
      </c>
      <c r="B7720" s="1">
        <v>45352</v>
      </c>
      <c r="C7720">
        <v>851180</v>
      </c>
      <c r="D7720" t="s">
        <v>176</v>
      </c>
      <c r="E7720">
        <v>3044</v>
      </c>
      <c r="F7720">
        <v>471</v>
      </c>
      <c r="G7720">
        <v>45</v>
      </c>
      <c r="H7720">
        <f>_xlfn.XLOOKUP(FACT_IMPORTS[[#This Row],[hts_6]],DIM_PRODUCTS[hts_6],DIM_PRODUCTS[hts_4],,,)</f>
        <v>8511</v>
      </c>
      <c r="I7720" t="str" cm="1">
        <f t="array" ref="I7720">_xlfn.XLOOKUP(FACT_IMPORTS[[#This Row],[country_name]],DIM_COUNTRY[[#All],[Column2]],DIM_COUNTRY[[#All],[Column3]],,,)</f>
        <v>Major_Non-USMCA_Non-China</v>
      </c>
    </row>
    <row r="7721" spans="1:9" x14ac:dyDescent="0.4">
      <c r="A7721" t="s">
        <v>71</v>
      </c>
      <c r="B7721" s="1">
        <v>45352</v>
      </c>
      <c r="C7721">
        <v>851190</v>
      </c>
      <c r="D7721" t="s">
        <v>176</v>
      </c>
      <c r="E7721">
        <v>5450</v>
      </c>
      <c r="F7721">
        <v>22</v>
      </c>
      <c r="G7721">
        <v>1</v>
      </c>
      <c r="H7721">
        <f>_xlfn.XLOOKUP(FACT_IMPORTS[[#This Row],[hts_6]],DIM_PRODUCTS[hts_6],DIM_PRODUCTS[hts_4],,,)</f>
        <v>8511</v>
      </c>
      <c r="I7721" t="str" cm="1">
        <f t="array" ref="I7721">_xlfn.XLOOKUP(FACT_IMPORTS[[#This Row],[country_name]],DIM_COUNTRY[[#All],[Column2]],DIM_COUNTRY[[#All],[Column3]],,,)</f>
        <v>Major_Non-USMCA_Non-China</v>
      </c>
    </row>
    <row r="7722" spans="1:9" x14ac:dyDescent="0.4">
      <c r="A7722" t="s">
        <v>71</v>
      </c>
      <c r="B7722" s="1">
        <v>45352</v>
      </c>
      <c r="C7722">
        <v>851220</v>
      </c>
      <c r="D7722" t="s">
        <v>176</v>
      </c>
      <c r="E7722">
        <v>0</v>
      </c>
      <c r="F7722">
        <v>0</v>
      </c>
      <c r="G7722">
        <v>0</v>
      </c>
      <c r="H7722">
        <f>_xlfn.XLOOKUP(FACT_IMPORTS[[#This Row],[hts_6]],DIM_PRODUCTS[hts_6],DIM_PRODUCTS[hts_4],,,)</f>
        <v>8512</v>
      </c>
      <c r="I7722" t="str" cm="1">
        <f t="array" ref="I7722">_xlfn.XLOOKUP(FACT_IMPORTS[[#This Row],[country_name]],DIM_COUNTRY[[#All],[Column2]],DIM_COUNTRY[[#All],[Column3]],,,)</f>
        <v>Major_Non-USMCA_Non-China</v>
      </c>
    </row>
    <row r="7723" spans="1:9" x14ac:dyDescent="0.4">
      <c r="A7723" t="s">
        <v>71</v>
      </c>
      <c r="B7723" s="1">
        <v>45352</v>
      </c>
      <c r="C7723">
        <v>851230</v>
      </c>
      <c r="D7723" t="s">
        <v>176</v>
      </c>
      <c r="E7723">
        <v>0</v>
      </c>
      <c r="F7723">
        <v>0</v>
      </c>
      <c r="G7723">
        <v>0</v>
      </c>
      <c r="H7723">
        <f>_xlfn.XLOOKUP(FACT_IMPORTS[[#This Row],[hts_6]],DIM_PRODUCTS[hts_6],DIM_PRODUCTS[hts_4],,,)</f>
        <v>8512</v>
      </c>
      <c r="I7723" t="str" cm="1">
        <f t="array" ref="I7723">_xlfn.XLOOKUP(FACT_IMPORTS[[#This Row],[country_name]],DIM_COUNTRY[[#All],[Column2]],DIM_COUNTRY[[#All],[Column3]],,,)</f>
        <v>Major_Non-USMCA_Non-China</v>
      </c>
    </row>
    <row r="7724" spans="1:9" x14ac:dyDescent="0.4">
      <c r="A7724" t="s">
        <v>71</v>
      </c>
      <c r="B7724" s="1">
        <v>45352</v>
      </c>
      <c r="C7724">
        <v>851290</v>
      </c>
      <c r="D7724" t="s">
        <v>176</v>
      </c>
      <c r="E7724">
        <v>21367</v>
      </c>
      <c r="F7724">
        <v>579</v>
      </c>
      <c r="G7724">
        <v>466</v>
      </c>
      <c r="H7724">
        <f>_xlfn.XLOOKUP(FACT_IMPORTS[[#This Row],[hts_6]],DIM_PRODUCTS[hts_6],DIM_PRODUCTS[hts_4],,,)</f>
        <v>8512</v>
      </c>
      <c r="I7724" t="str" cm="1">
        <f t="array" ref="I7724">_xlfn.XLOOKUP(FACT_IMPORTS[[#This Row],[country_name]],DIM_COUNTRY[[#All],[Column2]],DIM_COUNTRY[[#All],[Column3]],,,)</f>
        <v>Major_Non-USMCA_Non-China</v>
      </c>
    </row>
    <row r="7725" spans="1:9" x14ac:dyDescent="0.4">
      <c r="A7725" t="s">
        <v>71</v>
      </c>
      <c r="B7725" s="1">
        <v>45352</v>
      </c>
      <c r="C7725">
        <v>854231</v>
      </c>
      <c r="D7725" t="s">
        <v>176</v>
      </c>
      <c r="E7725">
        <v>123427</v>
      </c>
      <c r="F7725">
        <v>9081</v>
      </c>
      <c r="G7725">
        <v>1536</v>
      </c>
      <c r="H7725">
        <f>_xlfn.XLOOKUP(FACT_IMPORTS[[#This Row],[hts_6]],DIM_PRODUCTS[hts_6],DIM_PRODUCTS[hts_4],,,)</f>
        <v>8542</v>
      </c>
      <c r="I7725" t="str" cm="1">
        <f t="array" ref="I7725">_xlfn.XLOOKUP(FACT_IMPORTS[[#This Row],[country_name]],DIM_COUNTRY[[#All],[Column2]],DIM_COUNTRY[[#All],[Column3]],,,)</f>
        <v>Major_Non-USMCA_Non-China</v>
      </c>
    </row>
    <row r="7726" spans="1:9" x14ac:dyDescent="0.4">
      <c r="A7726" t="s">
        <v>71</v>
      </c>
      <c r="B7726" s="1">
        <v>45352</v>
      </c>
      <c r="C7726">
        <v>854232</v>
      </c>
      <c r="D7726" t="s">
        <v>176</v>
      </c>
      <c r="E7726">
        <v>0</v>
      </c>
      <c r="F7726">
        <v>0</v>
      </c>
      <c r="G7726">
        <v>0</v>
      </c>
      <c r="H7726">
        <f>_xlfn.XLOOKUP(FACT_IMPORTS[[#This Row],[hts_6]],DIM_PRODUCTS[hts_6],DIM_PRODUCTS[hts_4],,,)</f>
        <v>8542</v>
      </c>
      <c r="I7726" t="str" cm="1">
        <f t="array" ref="I7726">_xlfn.XLOOKUP(FACT_IMPORTS[[#This Row],[country_name]],DIM_COUNTRY[[#All],[Column2]],DIM_COUNTRY[[#All],[Column3]],,,)</f>
        <v>Major_Non-USMCA_Non-China</v>
      </c>
    </row>
    <row r="7727" spans="1:9" x14ac:dyDescent="0.4">
      <c r="A7727" t="s">
        <v>71</v>
      </c>
      <c r="B7727" s="1">
        <v>45352</v>
      </c>
      <c r="C7727">
        <v>854239</v>
      </c>
      <c r="D7727" t="s">
        <v>176</v>
      </c>
      <c r="E7727">
        <v>0</v>
      </c>
      <c r="F7727">
        <v>0</v>
      </c>
      <c r="G7727">
        <v>0</v>
      </c>
      <c r="H7727">
        <f>_xlfn.XLOOKUP(FACT_IMPORTS[[#This Row],[hts_6]],DIM_PRODUCTS[hts_6],DIM_PRODUCTS[hts_4],,,)</f>
        <v>8542</v>
      </c>
      <c r="I7727" t="str" cm="1">
        <f t="array" ref="I7727">_xlfn.XLOOKUP(FACT_IMPORTS[[#This Row],[country_name]],DIM_COUNTRY[[#All],[Column2]],DIM_COUNTRY[[#All],[Column3]],,,)</f>
        <v>Major_Non-USMCA_Non-China</v>
      </c>
    </row>
    <row r="7728" spans="1:9" x14ac:dyDescent="0.4">
      <c r="A7728" t="s">
        <v>71</v>
      </c>
      <c r="B7728" s="1">
        <v>45352</v>
      </c>
      <c r="C7728">
        <v>854290</v>
      </c>
      <c r="D7728" t="s">
        <v>176</v>
      </c>
      <c r="E7728">
        <v>0</v>
      </c>
      <c r="F7728">
        <v>0</v>
      </c>
      <c r="G7728">
        <v>0</v>
      </c>
      <c r="H7728">
        <f>_xlfn.XLOOKUP(FACT_IMPORTS[[#This Row],[hts_6]],DIM_PRODUCTS[hts_6],DIM_PRODUCTS[hts_4],,,)</f>
        <v>8542</v>
      </c>
      <c r="I7728" t="str" cm="1">
        <f t="array" ref="I7728">_xlfn.XLOOKUP(FACT_IMPORTS[[#This Row],[country_name]],DIM_COUNTRY[[#All],[Column2]],DIM_COUNTRY[[#All],[Column3]],,,)</f>
        <v>Major_Non-USMCA_Non-China</v>
      </c>
    </row>
    <row r="7729" spans="1:9" x14ac:dyDescent="0.4">
      <c r="A7729" t="s">
        <v>71</v>
      </c>
      <c r="B7729" s="1">
        <v>45352</v>
      </c>
      <c r="C7729">
        <v>854430</v>
      </c>
      <c r="D7729" t="s">
        <v>176</v>
      </c>
      <c r="E7729">
        <v>2965</v>
      </c>
      <c r="F7729">
        <v>1</v>
      </c>
      <c r="G7729">
        <v>177</v>
      </c>
      <c r="H7729">
        <f>_xlfn.XLOOKUP(FACT_IMPORTS[[#This Row],[hts_6]],DIM_PRODUCTS[hts_6],DIM_PRODUCTS[hts_4],,,)</f>
        <v>8544</v>
      </c>
      <c r="I7729" t="str" cm="1">
        <f t="array" ref="I7729">_xlfn.XLOOKUP(FACT_IMPORTS[[#This Row],[country_name]],DIM_COUNTRY[[#All],[Column2]],DIM_COUNTRY[[#All],[Column3]],,,)</f>
        <v>Major_Non-USMCA_Non-China</v>
      </c>
    </row>
    <row r="7730" spans="1:9" x14ac:dyDescent="0.4">
      <c r="A7730" t="s">
        <v>71</v>
      </c>
      <c r="B7730" s="1">
        <v>45352</v>
      </c>
      <c r="C7730">
        <v>870790</v>
      </c>
      <c r="D7730" t="s">
        <v>176</v>
      </c>
      <c r="E7730">
        <v>0</v>
      </c>
      <c r="F7730">
        <v>0</v>
      </c>
      <c r="G7730">
        <v>0</v>
      </c>
      <c r="H7730">
        <f>_xlfn.XLOOKUP(FACT_IMPORTS[[#This Row],[hts_6]],DIM_PRODUCTS[hts_6],DIM_PRODUCTS[hts_4],,,)</f>
        <v>8707</v>
      </c>
      <c r="I7730" t="str" cm="1">
        <f t="array" ref="I7730">_xlfn.XLOOKUP(FACT_IMPORTS[[#This Row],[country_name]],DIM_COUNTRY[[#All],[Column2]],DIM_COUNTRY[[#All],[Column3]],,,)</f>
        <v>Major_Non-USMCA_Non-China</v>
      </c>
    </row>
    <row r="7731" spans="1:9" x14ac:dyDescent="0.4">
      <c r="A7731" t="s">
        <v>71</v>
      </c>
      <c r="B7731" s="1">
        <v>45352</v>
      </c>
      <c r="C7731">
        <v>870810</v>
      </c>
      <c r="D7731" t="s">
        <v>176</v>
      </c>
      <c r="E7731">
        <v>0</v>
      </c>
      <c r="F7731">
        <v>0</v>
      </c>
      <c r="G7731">
        <v>0</v>
      </c>
      <c r="H7731">
        <f>_xlfn.XLOOKUP(FACT_IMPORTS[[#This Row],[hts_6]],DIM_PRODUCTS[hts_6],DIM_PRODUCTS[hts_4],,,)</f>
        <v>8708</v>
      </c>
      <c r="I7731" t="str" cm="1">
        <f t="array" ref="I7731">_xlfn.XLOOKUP(FACT_IMPORTS[[#This Row],[country_name]],DIM_COUNTRY[[#All],[Column2]],DIM_COUNTRY[[#All],[Column3]],,,)</f>
        <v>Major_Non-USMCA_Non-China</v>
      </c>
    </row>
    <row r="7732" spans="1:9" x14ac:dyDescent="0.4">
      <c r="A7732" t="s">
        <v>71</v>
      </c>
      <c r="B7732" s="1">
        <v>45352</v>
      </c>
      <c r="C7732">
        <v>870829</v>
      </c>
      <c r="D7732" t="s">
        <v>176</v>
      </c>
      <c r="E7732">
        <v>3556101</v>
      </c>
      <c r="F7732">
        <v>563657</v>
      </c>
      <c r="G7732">
        <v>68640</v>
      </c>
      <c r="H7732">
        <f>_xlfn.XLOOKUP(FACT_IMPORTS[[#This Row],[hts_6]],DIM_PRODUCTS[hts_6],DIM_PRODUCTS[hts_4],,,)</f>
        <v>8708</v>
      </c>
      <c r="I7732" t="str" cm="1">
        <f t="array" ref="I7732">_xlfn.XLOOKUP(FACT_IMPORTS[[#This Row],[country_name]],DIM_COUNTRY[[#All],[Column2]],DIM_COUNTRY[[#All],[Column3]],,,)</f>
        <v>Major_Non-USMCA_Non-China</v>
      </c>
    </row>
    <row r="7733" spans="1:9" x14ac:dyDescent="0.4">
      <c r="A7733" t="s">
        <v>71</v>
      </c>
      <c r="B7733" s="1">
        <v>45352</v>
      </c>
      <c r="C7733">
        <v>870830</v>
      </c>
      <c r="D7733" t="s">
        <v>176</v>
      </c>
      <c r="E7733">
        <v>1400265</v>
      </c>
      <c r="F7733">
        <v>173034</v>
      </c>
      <c r="G7733">
        <v>10723</v>
      </c>
      <c r="H7733">
        <f>_xlfn.XLOOKUP(FACT_IMPORTS[[#This Row],[hts_6]],DIM_PRODUCTS[hts_6],DIM_PRODUCTS[hts_4],,,)</f>
        <v>8708</v>
      </c>
      <c r="I7733" t="str" cm="1">
        <f t="array" ref="I7733">_xlfn.XLOOKUP(FACT_IMPORTS[[#This Row],[country_name]],DIM_COUNTRY[[#All],[Column2]],DIM_COUNTRY[[#All],[Column3]],,,)</f>
        <v>Major_Non-USMCA_Non-China</v>
      </c>
    </row>
    <row r="7734" spans="1:9" x14ac:dyDescent="0.4">
      <c r="A7734" t="s">
        <v>71</v>
      </c>
      <c r="B7734" s="1">
        <v>45352</v>
      </c>
      <c r="C7734">
        <v>870840</v>
      </c>
      <c r="D7734" t="s">
        <v>176</v>
      </c>
      <c r="E7734">
        <v>1409665</v>
      </c>
      <c r="F7734">
        <v>9837</v>
      </c>
      <c r="G7734">
        <v>55082</v>
      </c>
      <c r="H7734">
        <f>_xlfn.XLOOKUP(FACT_IMPORTS[[#This Row],[hts_6]],DIM_PRODUCTS[hts_6],DIM_PRODUCTS[hts_4],,,)</f>
        <v>8708</v>
      </c>
      <c r="I7734" t="str" cm="1">
        <f t="array" ref="I7734">_xlfn.XLOOKUP(FACT_IMPORTS[[#This Row],[country_name]],DIM_COUNTRY[[#All],[Column2]],DIM_COUNTRY[[#All],[Column3]],,,)</f>
        <v>Major_Non-USMCA_Non-China</v>
      </c>
    </row>
    <row r="7735" spans="1:9" x14ac:dyDescent="0.4">
      <c r="A7735" t="s">
        <v>71</v>
      </c>
      <c r="B7735" s="1">
        <v>45352</v>
      </c>
      <c r="C7735">
        <v>870850</v>
      </c>
      <c r="D7735" t="s">
        <v>176</v>
      </c>
      <c r="E7735">
        <v>0</v>
      </c>
      <c r="F7735">
        <v>0</v>
      </c>
      <c r="G7735">
        <v>0</v>
      </c>
      <c r="H7735">
        <f>_xlfn.XLOOKUP(FACT_IMPORTS[[#This Row],[hts_6]],DIM_PRODUCTS[hts_6],DIM_PRODUCTS[hts_4],,,)</f>
        <v>8708</v>
      </c>
      <c r="I7735" t="str" cm="1">
        <f t="array" ref="I7735">_xlfn.XLOOKUP(FACT_IMPORTS[[#This Row],[country_name]],DIM_COUNTRY[[#All],[Column2]],DIM_COUNTRY[[#All],[Column3]],,,)</f>
        <v>Major_Non-USMCA_Non-China</v>
      </c>
    </row>
    <row r="7736" spans="1:9" x14ac:dyDescent="0.4">
      <c r="A7736" t="s">
        <v>71</v>
      </c>
      <c r="B7736" s="1">
        <v>45352</v>
      </c>
      <c r="C7736">
        <v>870870</v>
      </c>
      <c r="D7736" t="s">
        <v>176</v>
      </c>
      <c r="E7736">
        <v>26906</v>
      </c>
      <c r="F7736">
        <v>2242</v>
      </c>
      <c r="G7736">
        <v>200</v>
      </c>
      <c r="H7736">
        <f>_xlfn.XLOOKUP(FACT_IMPORTS[[#This Row],[hts_6]],DIM_PRODUCTS[hts_6],DIM_PRODUCTS[hts_4],,,)</f>
        <v>8708</v>
      </c>
      <c r="I7736" t="str" cm="1">
        <f t="array" ref="I7736">_xlfn.XLOOKUP(FACT_IMPORTS[[#This Row],[country_name]],DIM_COUNTRY[[#All],[Column2]],DIM_COUNTRY[[#All],[Column3]],,,)</f>
        <v>Major_Non-USMCA_Non-China</v>
      </c>
    </row>
    <row r="7737" spans="1:9" x14ac:dyDescent="0.4">
      <c r="A7737" t="s">
        <v>71</v>
      </c>
      <c r="B7737" s="1">
        <v>45352</v>
      </c>
      <c r="C7737">
        <v>870880</v>
      </c>
      <c r="D7737" t="s">
        <v>176</v>
      </c>
      <c r="E7737">
        <v>96505</v>
      </c>
      <c r="F7737">
        <v>4668</v>
      </c>
      <c r="G7737">
        <v>6252</v>
      </c>
      <c r="H7737">
        <f>_xlfn.XLOOKUP(FACT_IMPORTS[[#This Row],[hts_6]],DIM_PRODUCTS[hts_6],DIM_PRODUCTS[hts_4],,,)</f>
        <v>8708</v>
      </c>
      <c r="I7737" t="str" cm="1">
        <f t="array" ref="I7737">_xlfn.XLOOKUP(FACT_IMPORTS[[#This Row],[country_name]],DIM_COUNTRY[[#All],[Column2]],DIM_COUNTRY[[#All],[Column3]],,,)</f>
        <v>Major_Non-USMCA_Non-China</v>
      </c>
    </row>
    <row r="7738" spans="1:9" x14ac:dyDescent="0.4">
      <c r="A7738" t="s">
        <v>71</v>
      </c>
      <c r="B7738" s="1">
        <v>45352</v>
      </c>
      <c r="C7738">
        <v>870891</v>
      </c>
      <c r="D7738" t="s">
        <v>176</v>
      </c>
      <c r="E7738">
        <v>272455</v>
      </c>
      <c r="F7738">
        <v>146374</v>
      </c>
      <c r="G7738">
        <v>3544</v>
      </c>
      <c r="H7738">
        <f>_xlfn.XLOOKUP(FACT_IMPORTS[[#This Row],[hts_6]],DIM_PRODUCTS[hts_6],DIM_PRODUCTS[hts_4],,,)</f>
        <v>8708</v>
      </c>
      <c r="I7738" t="str" cm="1">
        <f t="array" ref="I7738">_xlfn.XLOOKUP(FACT_IMPORTS[[#This Row],[country_name]],DIM_COUNTRY[[#All],[Column2]],DIM_COUNTRY[[#All],[Column3]],,,)</f>
        <v>Major_Non-USMCA_Non-China</v>
      </c>
    </row>
    <row r="7739" spans="1:9" x14ac:dyDescent="0.4">
      <c r="A7739" t="s">
        <v>71</v>
      </c>
      <c r="B7739" s="1">
        <v>45352</v>
      </c>
      <c r="C7739">
        <v>870893</v>
      </c>
      <c r="D7739" t="s">
        <v>176</v>
      </c>
      <c r="E7739">
        <v>636373</v>
      </c>
      <c r="F7739">
        <v>43755</v>
      </c>
      <c r="G7739">
        <v>10230</v>
      </c>
      <c r="H7739">
        <f>_xlfn.XLOOKUP(FACT_IMPORTS[[#This Row],[hts_6]],DIM_PRODUCTS[hts_6],DIM_PRODUCTS[hts_4],,,)</f>
        <v>8708</v>
      </c>
      <c r="I7739" t="str" cm="1">
        <f t="array" ref="I7739">_xlfn.XLOOKUP(FACT_IMPORTS[[#This Row],[country_name]],DIM_COUNTRY[[#All],[Column2]],DIM_COUNTRY[[#All],[Column3]],,,)</f>
        <v>Major_Non-USMCA_Non-China</v>
      </c>
    </row>
    <row r="7740" spans="1:9" x14ac:dyDescent="0.4">
      <c r="A7740" t="s">
        <v>71</v>
      </c>
      <c r="B7740" s="1">
        <v>45352</v>
      </c>
      <c r="C7740">
        <v>870894</v>
      </c>
      <c r="D7740" t="s">
        <v>176</v>
      </c>
      <c r="E7740">
        <v>18606</v>
      </c>
      <c r="F7740">
        <v>615</v>
      </c>
      <c r="G7740">
        <v>182</v>
      </c>
      <c r="H7740">
        <f>_xlfn.XLOOKUP(FACT_IMPORTS[[#This Row],[hts_6]],DIM_PRODUCTS[hts_6],DIM_PRODUCTS[hts_4],,,)</f>
        <v>8708</v>
      </c>
      <c r="I7740" t="str" cm="1">
        <f t="array" ref="I7740">_xlfn.XLOOKUP(FACT_IMPORTS[[#This Row],[country_name]],DIM_COUNTRY[[#All],[Column2]],DIM_COUNTRY[[#All],[Column3]],,,)</f>
        <v>Major_Non-USMCA_Non-China</v>
      </c>
    </row>
    <row r="7741" spans="1:9" x14ac:dyDescent="0.4">
      <c r="A7741" t="s">
        <v>71</v>
      </c>
      <c r="B7741" s="1">
        <v>45352</v>
      </c>
      <c r="C7741">
        <v>870895</v>
      </c>
      <c r="D7741" t="s">
        <v>176</v>
      </c>
      <c r="E7741">
        <v>7007</v>
      </c>
      <c r="F7741">
        <v>563</v>
      </c>
      <c r="G7741">
        <v>756</v>
      </c>
      <c r="H7741">
        <f>_xlfn.XLOOKUP(FACT_IMPORTS[[#This Row],[hts_6]],DIM_PRODUCTS[hts_6],DIM_PRODUCTS[hts_4],,,)</f>
        <v>8708</v>
      </c>
      <c r="I7741" t="str" cm="1">
        <f t="array" ref="I7741">_xlfn.XLOOKUP(FACT_IMPORTS[[#This Row],[country_name]],DIM_COUNTRY[[#All],[Column2]],DIM_COUNTRY[[#All],[Column3]],,,)</f>
        <v>Major_Non-USMCA_Non-China</v>
      </c>
    </row>
    <row r="7742" spans="1:9" x14ac:dyDescent="0.4">
      <c r="A7742" t="s">
        <v>71</v>
      </c>
      <c r="B7742" s="1">
        <v>45352</v>
      </c>
      <c r="C7742">
        <v>870899</v>
      </c>
      <c r="D7742" t="s">
        <v>176</v>
      </c>
      <c r="E7742">
        <v>3139521</v>
      </c>
      <c r="F7742">
        <v>2473520</v>
      </c>
      <c r="G7742">
        <v>59266</v>
      </c>
      <c r="H7742">
        <f>_xlfn.XLOOKUP(FACT_IMPORTS[[#This Row],[hts_6]],DIM_PRODUCTS[hts_6],DIM_PRODUCTS[hts_4],,,)</f>
        <v>8708</v>
      </c>
      <c r="I7742" t="str" cm="1">
        <f t="array" ref="I7742">_xlfn.XLOOKUP(FACT_IMPORTS[[#This Row],[country_name]],DIM_COUNTRY[[#All],[Column2]],DIM_COUNTRY[[#All],[Column3]],,,)</f>
        <v>Major_Non-USMCA_Non-China</v>
      </c>
    </row>
    <row r="7743" spans="1:9" x14ac:dyDescent="0.4">
      <c r="A7743" t="s">
        <v>71</v>
      </c>
      <c r="B7743" s="1">
        <v>45352</v>
      </c>
      <c r="C7743">
        <v>940120</v>
      </c>
      <c r="D7743" t="s">
        <v>176</v>
      </c>
      <c r="E7743">
        <v>0</v>
      </c>
      <c r="F7743">
        <v>0</v>
      </c>
      <c r="G7743">
        <v>0</v>
      </c>
      <c r="H7743">
        <f>_xlfn.XLOOKUP(FACT_IMPORTS[[#This Row],[hts_6]],DIM_PRODUCTS[hts_6],DIM_PRODUCTS[hts_4],,,)</f>
        <v>9401</v>
      </c>
      <c r="I7743" t="str" cm="1">
        <f t="array" ref="I7743">_xlfn.XLOOKUP(FACT_IMPORTS[[#This Row],[country_name]],DIM_COUNTRY[[#All],[Column2]],DIM_COUNTRY[[#All],[Column3]],,,)</f>
        <v>Major_Non-USMCA_Non-China</v>
      </c>
    </row>
    <row r="7744" spans="1:9" x14ac:dyDescent="0.4">
      <c r="A7744" t="s">
        <v>71</v>
      </c>
      <c r="B7744" s="1">
        <v>45383</v>
      </c>
      <c r="C7744">
        <v>392630</v>
      </c>
      <c r="D7744" t="s">
        <v>176</v>
      </c>
      <c r="E7744">
        <v>7646</v>
      </c>
      <c r="F7744">
        <v>406</v>
      </c>
      <c r="G7744">
        <v>159</v>
      </c>
      <c r="H7744">
        <f>_xlfn.XLOOKUP(FACT_IMPORTS[[#This Row],[hts_6]],DIM_PRODUCTS[hts_6],DIM_PRODUCTS[hts_4],,,)</f>
        <v>3926</v>
      </c>
      <c r="I7744" t="str" cm="1">
        <f t="array" ref="I7744">_xlfn.XLOOKUP(FACT_IMPORTS[[#This Row],[country_name]],DIM_COUNTRY[[#All],[Column2]],DIM_COUNTRY[[#All],[Column3]],,,)</f>
        <v>Major_Non-USMCA_Non-China</v>
      </c>
    </row>
    <row r="7745" spans="1:9" x14ac:dyDescent="0.4">
      <c r="A7745" t="s">
        <v>71</v>
      </c>
      <c r="B7745" s="1">
        <v>45383</v>
      </c>
      <c r="C7745">
        <v>401110</v>
      </c>
      <c r="D7745" t="s">
        <v>176</v>
      </c>
      <c r="E7745">
        <v>15883</v>
      </c>
      <c r="F7745">
        <v>107</v>
      </c>
      <c r="G7745">
        <v>175</v>
      </c>
      <c r="H7745">
        <f>_xlfn.XLOOKUP(FACT_IMPORTS[[#This Row],[hts_6]],DIM_PRODUCTS[hts_6],DIM_PRODUCTS[hts_4],,,)</f>
        <v>4011</v>
      </c>
      <c r="I7745" t="str" cm="1">
        <f t="array" ref="I7745">_xlfn.XLOOKUP(FACT_IMPORTS[[#This Row],[country_name]],DIM_COUNTRY[[#All],[Column2]],DIM_COUNTRY[[#All],[Column3]],,,)</f>
        <v>Major_Non-USMCA_Non-China</v>
      </c>
    </row>
    <row r="7746" spans="1:9" x14ac:dyDescent="0.4">
      <c r="A7746" t="s">
        <v>71</v>
      </c>
      <c r="B7746" s="1">
        <v>45383</v>
      </c>
      <c r="C7746">
        <v>401120</v>
      </c>
      <c r="D7746" t="s">
        <v>176</v>
      </c>
      <c r="E7746">
        <v>51189</v>
      </c>
      <c r="F7746">
        <v>308</v>
      </c>
      <c r="G7746">
        <v>2684</v>
      </c>
      <c r="H7746">
        <f>_xlfn.XLOOKUP(FACT_IMPORTS[[#This Row],[hts_6]],DIM_PRODUCTS[hts_6],DIM_PRODUCTS[hts_4],,,)</f>
        <v>4011</v>
      </c>
      <c r="I7746" t="str" cm="1">
        <f t="array" ref="I7746">_xlfn.XLOOKUP(FACT_IMPORTS[[#This Row],[country_name]],DIM_COUNTRY[[#All],[Column2]],DIM_COUNTRY[[#All],[Column3]],,,)</f>
        <v>Major_Non-USMCA_Non-China</v>
      </c>
    </row>
    <row r="7747" spans="1:9" x14ac:dyDescent="0.4">
      <c r="A7747" t="s">
        <v>71</v>
      </c>
      <c r="B7747" s="1">
        <v>45383</v>
      </c>
      <c r="C7747">
        <v>700711</v>
      </c>
      <c r="D7747" t="s">
        <v>176</v>
      </c>
      <c r="E7747">
        <v>0</v>
      </c>
      <c r="F7747">
        <v>0</v>
      </c>
      <c r="G7747">
        <v>0</v>
      </c>
      <c r="H7747">
        <f>_xlfn.XLOOKUP(FACT_IMPORTS[[#This Row],[hts_6]],DIM_PRODUCTS[hts_6],DIM_PRODUCTS[hts_4],,,)</f>
        <v>7007</v>
      </c>
      <c r="I7747" t="str" cm="1">
        <f t="array" ref="I7747">_xlfn.XLOOKUP(FACT_IMPORTS[[#This Row],[country_name]],DIM_COUNTRY[[#All],[Column2]],DIM_COUNTRY[[#All],[Column3]],,,)</f>
        <v>Major_Non-USMCA_Non-China</v>
      </c>
    </row>
    <row r="7748" spans="1:9" x14ac:dyDescent="0.4">
      <c r="A7748" t="s">
        <v>71</v>
      </c>
      <c r="B7748" s="1">
        <v>45383</v>
      </c>
      <c r="C7748">
        <v>700721</v>
      </c>
      <c r="D7748" t="s">
        <v>176</v>
      </c>
      <c r="E7748">
        <v>3078</v>
      </c>
      <c r="F7748">
        <v>1</v>
      </c>
      <c r="G7748">
        <v>51</v>
      </c>
      <c r="H7748">
        <f>_xlfn.XLOOKUP(FACT_IMPORTS[[#This Row],[hts_6]],DIM_PRODUCTS[hts_6],DIM_PRODUCTS[hts_4],,,)</f>
        <v>7007</v>
      </c>
      <c r="I7748" t="str" cm="1">
        <f t="array" ref="I7748">_xlfn.XLOOKUP(FACT_IMPORTS[[#This Row],[country_name]],DIM_COUNTRY[[#All],[Column2]],DIM_COUNTRY[[#All],[Column3]],,,)</f>
        <v>Major_Non-USMCA_Non-China</v>
      </c>
    </row>
    <row r="7749" spans="1:9" x14ac:dyDescent="0.4">
      <c r="A7749" t="s">
        <v>71</v>
      </c>
      <c r="B7749" s="1">
        <v>45383</v>
      </c>
      <c r="C7749">
        <v>700910</v>
      </c>
      <c r="D7749" t="s">
        <v>176</v>
      </c>
      <c r="E7749">
        <v>0</v>
      </c>
      <c r="F7749">
        <v>0</v>
      </c>
      <c r="G7749">
        <v>0</v>
      </c>
      <c r="H7749">
        <f>_xlfn.XLOOKUP(FACT_IMPORTS[[#This Row],[hts_6]],DIM_PRODUCTS[hts_6],DIM_PRODUCTS[hts_4],,,)</f>
        <v>7009</v>
      </c>
      <c r="I7749" t="str" cm="1">
        <f t="array" ref="I7749">_xlfn.XLOOKUP(FACT_IMPORTS[[#This Row],[country_name]],DIM_COUNTRY[[#All],[Column2]],DIM_COUNTRY[[#All],[Column3]],,,)</f>
        <v>Major_Non-USMCA_Non-China</v>
      </c>
    </row>
    <row r="7750" spans="1:9" x14ac:dyDescent="0.4">
      <c r="A7750" t="s">
        <v>71</v>
      </c>
      <c r="B7750" s="1">
        <v>45383</v>
      </c>
      <c r="C7750">
        <v>732010</v>
      </c>
      <c r="D7750" t="s">
        <v>176</v>
      </c>
      <c r="E7750">
        <v>0</v>
      </c>
      <c r="F7750">
        <v>0</v>
      </c>
      <c r="G7750">
        <v>0</v>
      </c>
      <c r="H7750">
        <f>_xlfn.XLOOKUP(FACT_IMPORTS[[#This Row],[hts_6]],DIM_PRODUCTS[hts_6],DIM_PRODUCTS[hts_4],,,)</f>
        <v>7320</v>
      </c>
      <c r="I7750" t="str" cm="1">
        <f t="array" ref="I7750">_xlfn.XLOOKUP(FACT_IMPORTS[[#This Row],[country_name]],DIM_COUNTRY[[#All],[Column2]],DIM_COUNTRY[[#All],[Column3]],,,)</f>
        <v>Major_Non-USMCA_Non-China</v>
      </c>
    </row>
    <row r="7751" spans="1:9" x14ac:dyDescent="0.4">
      <c r="A7751" t="s">
        <v>71</v>
      </c>
      <c r="B7751" s="1">
        <v>45383</v>
      </c>
      <c r="C7751">
        <v>830230</v>
      </c>
      <c r="D7751" t="s">
        <v>176</v>
      </c>
      <c r="E7751">
        <v>52379</v>
      </c>
      <c r="F7751">
        <v>10078</v>
      </c>
      <c r="G7751">
        <v>680</v>
      </c>
      <c r="H7751">
        <f>_xlfn.XLOOKUP(FACT_IMPORTS[[#This Row],[hts_6]],DIM_PRODUCTS[hts_6],DIM_PRODUCTS[hts_4],,,)</f>
        <v>8302</v>
      </c>
      <c r="I7751" t="str" cm="1">
        <f t="array" ref="I7751">_xlfn.XLOOKUP(FACT_IMPORTS[[#This Row],[country_name]],DIM_COUNTRY[[#All],[Column2]],DIM_COUNTRY[[#All],[Column3]],,,)</f>
        <v>Major_Non-USMCA_Non-China</v>
      </c>
    </row>
    <row r="7752" spans="1:9" x14ac:dyDescent="0.4">
      <c r="A7752" t="s">
        <v>71</v>
      </c>
      <c r="B7752" s="1">
        <v>45383</v>
      </c>
      <c r="C7752">
        <v>840734</v>
      </c>
      <c r="D7752" t="s">
        <v>176</v>
      </c>
      <c r="E7752">
        <v>37508</v>
      </c>
      <c r="F7752">
        <v>2</v>
      </c>
      <c r="G7752">
        <v>3127</v>
      </c>
      <c r="H7752">
        <f>_xlfn.XLOOKUP(FACT_IMPORTS[[#This Row],[hts_6]],DIM_PRODUCTS[hts_6],DIM_PRODUCTS[hts_4],,,)</f>
        <v>8407</v>
      </c>
      <c r="I7752" t="str" cm="1">
        <f t="array" ref="I7752">_xlfn.XLOOKUP(FACT_IMPORTS[[#This Row],[country_name]],DIM_COUNTRY[[#All],[Column2]],DIM_COUNTRY[[#All],[Column3]],,,)</f>
        <v>Major_Non-USMCA_Non-China</v>
      </c>
    </row>
    <row r="7753" spans="1:9" x14ac:dyDescent="0.4">
      <c r="A7753" t="s">
        <v>71</v>
      </c>
      <c r="B7753" s="1">
        <v>45383</v>
      </c>
      <c r="C7753">
        <v>840790</v>
      </c>
      <c r="D7753" t="s">
        <v>176</v>
      </c>
      <c r="E7753">
        <v>4791</v>
      </c>
      <c r="F7753">
        <v>1</v>
      </c>
      <c r="G7753">
        <v>90</v>
      </c>
      <c r="H7753">
        <f>_xlfn.XLOOKUP(FACT_IMPORTS[[#This Row],[hts_6]],DIM_PRODUCTS[hts_6],DIM_PRODUCTS[hts_4],,,)</f>
        <v>8407</v>
      </c>
      <c r="I7753" t="str" cm="1">
        <f t="array" ref="I7753">_xlfn.XLOOKUP(FACT_IMPORTS[[#This Row],[country_name]],DIM_COUNTRY[[#All],[Column2]],DIM_COUNTRY[[#All],[Column3]],,,)</f>
        <v>Major_Non-USMCA_Non-China</v>
      </c>
    </row>
    <row r="7754" spans="1:9" x14ac:dyDescent="0.4">
      <c r="A7754" t="s">
        <v>71</v>
      </c>
      <c r="B7754" s="1">
        <v>45383</v>
      </c>
      <c r="C7754">
        <v>840820</v>
      </c>
      <c r="D7754" t="s">
        <v>176</v>
      </c>
      <c r="E7754">
        <v>26450</v>
      </c>
      <c r="F7754">
        <v>24</v>
      </c>
      <c r="G7754">
        <v>2507</v>
      </c>
      <c r="H7754">
        <f>_xlfn.XLOOKUP(FACT_IMPORTS[[#This Row],[hts_6]],DIM_PRODUCTS[hts_6],DIM_PRODUCTS[hts_4],,,)</f>
        <v>8408</v>
      </c>
      <c r="I7754" t="str" cm="1">
        <f t="array" ref="I7754">_xlfn.XLOOKUP(FACT_IMPORTS[[#This Row],[country_name]],DIM_COUNTRY[[#All],[Column2]],DIM_COUNTRY[[#All],[Column3]],,,)</f>
        <v>Major_Non-USMCA_Non-China</v>
      </c>
    </row>
    <row r="7755" spans="1:9" x14ac:dyDescent="0.4">
      <c r="A7755" t="s">
        <v>71</v>
      </c>
      <c r="B7755" s="1">
        <v>45383</v>
      </c>
      <c r="C7755">
        <v>840890</v>
      </c>
      <c r="D7755" t="s">
        <v>176</v>
      </c>
      <c r="E7755">
        <v>99115</v>
      </c>
      <c r="F7755">
        <v>3</v>
      </c>
      <c r="G7755">
        <v>496</v>
      </c>
      <c r="H7755">
        <f>_xlfn.XLOOKUP(FACT_IMPORTS[[#This Row],[hts_6]],DIM_PRODUCTS[hts_6],DIM_PRODUCTS[hts_4],,,)</f>
        <v>8408</v>
      </c>
      <c r="I7755" t="str" cm="1">
        <f t="array" ref="I7755">_xlfn.XLOOKUP(FACT_IMPORTS[[#This Row],[country_name]],DIM_COUNTRY[[#All],[Column2]],DIM_COUNTRY[[#All],[Column3]],,,)</f>
        <v>Major_Non-USMCA_Non-China</v>
      </c>
    </row>
    <row r="7756" spans="1:9" x14ac:dyDescent="0.4">
      <c r="A7756" t="s">
        <v>71</v>
      </c>
      <c r="B7756" s="1">
        <v>45383</v>
      </c>
      <c r="C7756">
        <v>840991</v>
      </c>
      <c r="D7756" t="s">
        <v>176</v>
      </c>
      <c r="E7756">
        <v>8673748</v>
      </c>
      <c r="F7756">
        <v>603480</v>
      </c>
      <c r="G7756">
        <v>239901</v>
      </c>
      <c r="H7756">
        <f>_xlfn.XLOOKUP(FACT_IMPORTS[[#This Row],[hts_6]],DIM_PRODUCTS[hts_6],DIM_PRODUCTS[hts_4],,,)</f>
        <v>8409</v>
      </c>
      <c r="I7756" t="str" cm="1">
        <f t="array" ref="I7756">_xlfn.XLOOKUP(FACT_IMPORTS[[#This Row],[country_name]],DIM_COUNTRY[[#All],[Column2]],DIM_COUNTRY[[#All],[Column3]],,,)</f>
        <v>Major_Non-USMCA_Non-China</v>
      </c>
    </row>
    <row r="7757" spans="1:9" x14ac:dyDescent="0.4">
      <c r="A7757" t="s">
        <v>71</v>
      </c>
      <c r="B7757" s="1">
        <v>45383</v>
      </c>
      <c r="C7757">
        <v>840999</v>
      </c>
      <c r="D7757" t="s">
        <v>176</v>
      </c>
      <c r="E7757">
        <v>2004</v>
      </c>
      <c r="F7757">
        <v>47</v>
      </c>
      <c r="G7757">
        <v>40</v>
      </c>
      <c r="H7757">
        <f>_xlfn.XLOOKUP(FACT_IMPORTS[[#This Row],[hts_6]],DIM_PRODUCTS[hts_6],DIM_PRODUCTS[hts_4],,,)</f>
        <v>8409</v>
      </c>
      <c r="I7757" t="str" cm="1">
        <f t="array" ref="I7757">_xlfn.XLOOKUP(FACT_IMPORTS[[#This Row],[country_name]],DIM_COUNTRY[[#All],[Column2]],DIM_COUNTRY[[#All],[Column3]],,,)</f>
        <v>Major_Non-USMCA_Non-China</v>
      </c>
    </row>
    <row r="7758" spans="1:9" x14ac:dyDescent="0.4">
      <c r="A7758" t="s">
        <v>71</v>
      </c>
      <c r="B7758" s="1">
        <v>45383</v>
      </c>
      <c r="C7758">
        <v>841330</v>
      </c>
      <c r="D7758" t="s">
        <v>176</v>
      </c>
      <c r="E7758">
        <v>746402</v>
      </c>
      <c r="F7758">
        <v>74108</v>
      </c>
      <c r="G7758">
        <v>14760</v>
      </c>
      <c r="H7758">
        <f>_xlfn.XLOOKUP(FACT_IMPORTS[[#This Row],[hts_6]],DIM_PRODUCTS[hts_6],DIM_PRODUCTS[hts_4],,,)</f>
        <v>8413</v>
      </c>
      <c r="I7758" t="str" cm="1">
        <f t="array" ref="I7758">_xlfn.XLOOKUP(FACT_IMPORTS[[#This Row],[country_name]],DIM_COUNTRY[[#All],[Column2]],DIM_COUNTRY[[#All],[Column3]],,,)</f>
        <v>Major_Non-USMCA_Non-China</v>
      </c>
    </row>
    <row r="7759" spans="1:9" x14ac:dyDescent="0.4">
      <c r="A7759" t="s">
        <v>71</v>
      </c>
      <c r="B7759" s="1">
        <v>45383</v>
      </c>
      <c r="C7759">
        <v>841520</v>
      </c>
      <c r="D7759" t="s">
        <v>176</v>
      </c>
      <c r="E7759">
        <v>0</v>
      </c>
      <c r="F7759">
        <v>0</v>
      </c>
      <c r="G7759">
        <v>0</v>
      </c>
      <c r="H7759">
        <f>_xlfn.XLOOKUP(FACT_IMPORTS[[#This Row],[hts_6]],DIM_PRODUCTS[hts_6],DIM_PRODUCTS[hts_4],,,)</f>
        <v>8415</v>
      </c>
      <c r="I7759" t="str" cm="1">
        <f t="array" ref="I7759">_xlfn.XLOOKUP(FACT_IMPORTS[[#This Row],[country_name]],DIM_COUNTRY[[#All],[Column2]],DIM_COUNTRY[[#All],[Column3]],,,)</f>
        <v>Major_Non-USMCA_Non-China</v>
      </c>
    </row>
    <row r="7760" spans="1:9" x14ac:dyDescent="0.4">
      <c r="A7760" t="s">
        <v>71</v>
      </c>
      <c r="B7760" s="1">
        <v>45383</v>
      </c>
      <c r="C7760">
        <v>842132</v>
      </c>
      <c r="D7760" t="s">
        <v>176</v>
      </c>
      <c r="E7760">
        <v>179096</v>
      </c>
      <c r="F7760">
        <v>31</v>
      </c>
      <c r="G7760">
        <v>1100</v>
      </c>
      <c r="H7760">
        <f>_xlfn.XLOOKUP(FACT_IMPORTS[[#This Row],[hts_6]],DIM_PRODUCTS[hts_6],DIM_PRODUCTS[hts_4],,,)</f>
        <v>8421</v>
      </c>
      <c r="I7760" t="str" cm="1">
        <f t="array" ref="I7760">_xlfn.XLOOKUP(FACT_IMPORTS[[#This Row],[country_name]],DIM_COUNTRY[[#All],[Column2]],DIM_COUNTRY[[#All],[Column3]],,,)</f>
        <v>Major_Non-USMCA_Non-China</v>
      </c>
    </row>
    <row r="7761" spans="1:9" x14ac:dyDescent="0.4">
      <c r="A7761" t="s">
        <v>71</v>
      </c>
      <c r="B7761" s="1">
        <v>45383</v>
      </c>
      <c r="C7761">
        <v>848210</v>
      </c>
      <c r="D7761" t="s">
        <v>176</v>
      </c>
      <c r="E7761">
        <v>68637</v>
      </c>
      <c r="F7761">
        <v>3681</v>
      </c>
      <c r="G7761">
        <v>1535</v>
      </c>
      <c r="H7761">
        <f>_xlfn.XLOOKUP(FACT_IMPORTS[[#This Row],[hts_6]],DIM_PRODUCTS[hts_6],DIM_PRODUCTS[hts_4],,,)</f>
        <v>8482</v>
      </c>
      <c r="I7761" t="str" cm="1">
        <f t="array" ref="I7761">_xlfn.XLOOKUP(FACT_IMPORTS[[#This Row],[country_name]],DIM_COUNTRY[[#All],[Column2]],DIM_COUNTRY[[#All],[Column3]],,,)</f>
        <v>Major_Non-USMCA_Non-China</v>
      </c>
    </row>
    <row r="7762" spans="1:9" x14ac:dyDescent="0.4">
      <c r="A7762" t="s">
        <v>71</v>
      </c>
      <c r="B7762" s="1">
        <v>45383</v>
      </c>
      <c r="C7762">
        <v>848220</v>
      </c>
      <c r="D7762" t="s">
        <v>176</v>
      </c>
      <c r="E7762">
        <v>289110</v>
      </c>
      <c r="F7762">
        <v>22737</v>
      </c>
      <c r="G7762">
        <v>1961</v>
      </c>
      <c r="H7762">
        <f>_xlfn.XLOOKUP(FACT_IMPORTS[[#This Row],[hts_6]],DIM_PRODUCTS[hts_6],DIM_PRODUCTS[hts_4],,,)</f>
        <v>8482</v>
      </c>
      <c r="I7762" t="str" cm="1">
        <f t="array" ref="I7762">_xlfn.XLOOKUP(FACT_IMPORTS[[#This Row],[country_name]],DIM_COUNTRY[[#All],[Column2]],DIM_COUNTRY[[#All],[Column3]],,,)</f>
        <v>Major_Non-USMCA_Non-China</v>
      </c>
    </row>
    <row r="7763" spans="1:9" x14ac:dyDescent="0.4">
      <c r="A7763" t="s">
        <v>71</v>
      </c>
      <c r="B7763" s="1">
        <v>45383</v>
      </c>
      <c r="C7763">
        <v>848310</v>
      </c>
      <c r="D7763" t="s">
        <v>176</v>
      </c>
      <c r="E7763">
        <v>353761</v>
      </c>
      <c r="F7763">
        <v>14987</v>
      </c>
      <c r="G7763">
        <v>43389</v>
      </c>
      <c r="H7763">
        <f>_xlfn.XLOOKUP(FACT_IMPORTS[[#This Row],[hts_6]],DIM_PRODUCTS[hts_6],DIM_PRODUCTS[hts_4],,,)</f>
        <v>8483</v>
      </c>
      <c r="I7763" t="str" cm="1">
        <f t="array" ref="I7763">_xlfn.XLOOKUP(FACT_IMPORTS[[#This Row],[country_name]],DIM_COUNTRY[[#All],[Column2]],DIM_COUNTRY[[#All],[Column3]],,,)</f>
        <v>Major_Non-USMCA_Non-China</v>
      </c>
    </row>
    <row r="7764" spans="1:9" x14ac:dyDescent="0.4">
      <c r="A7764" t="s">
        <v>71</v>
      </c>
      <c r="B7764" s="1">
        <v>45383</v>
      </c>
      <c r="C7764">
        <v>850131</v>
      </c>
      <c r="D7764" t="s">
        <v>176</v>
      </c>
      <c r="E7764">
        <v>2343213</v>
      </c>
      <c r="F7764">
        <v>61806</v>
      </c>
      <c r="G7764">
        <v>30627</v>
      </c>
      <c r="H7764">
        <f>_xlfn.XLOOKUP(FACT_IMPORTS[[#This Row],[hts_6]],DIM_PRODUCTS[hts_6],DIM_PRODUCTS[hts_4],,,)</f>
        <v>8501</v>
      </c>
      <c r="I7764" t="str" cm="1">
        <f t="array" ref="I7764">_xlfn.XLOOKUP(FACT_IMPORTS[[#This Row],[country_name]],DIM_COUNTRY[[#All],[Column2]],DIM_COUNTRY[[#All],[Column3]],,,)</f>
        <v>Major_Non-USMCA_Non-China</v>
      </c>
    </row>
    <row r="7765" spans="1:9" x14ac:dyDescent="0.4">
      <c r="A7765" t="s">
        <v>71</v>
      </c>
      <c r="B7765" s="1">
        <v>45383</v>
      </c>
      <c r="C7765">
        <v>850132</v>
      </c>
      <c r="D7765" t="s">
        <v>176</v>
      </c>
      <c r="E7765">
        <v>0</v>
      </c>
      <c r="F7765">
        <v>0</v>
      </c>
      <c r="G7765">
        <v>0</v>
      </c>
      <c r="H7765">
        <f>_xlfn.XLOOKUP(FACT_IMPORTS[[#This Row],[hts_6]],DIM_PRODUCTS[hts_6],DIM_PRODUCTS[hts_4],,,)</f>
        <v>8501</v>
      </c>
      <c r="I7765" t="str" cm="1">
        <f t="array" ref="I7765">_xlfn.XLOOKUP(FACT_IMPORTS[[#This Row],[country_name]],DIM_COUNTRY[[#All],[Column2]],DIM_COUNTRY[[#All],[Column3]],,,)</f>
        <v>Major_Non-USMCA_Non-China</v>
      </c>
    </row>
    <row r="7766" spans="1:9" x14ac:dyDescent="0.4">
      <c r="A7766" t="s">
        <v>71</v>
      </c>
      <c r="B7766" s="1">
        <v>45383</v>
      </c>
      <c r="C7766">
        <v>850133</v>
      </c>
      <c r="D7766" t="s">
        <v>176</v>
      </c>
      <c r="E7766">
        <v>0</v>
      </c>
      <c r="F7766">
        <v>0</v>
      </c>
      <c r="G7766">
        <v>0</v>
      </c>
      <c r="H7766">
        <f>_xlfn.XLOOKUP(FACT_IMPORTS[[#This Row],[hts_6]],DIM_PRODUCTS[hts_6],DIM_PRODUCTS[hts_4],,,)</f>
        <v>8501</v>
      </c>
      <c r="I7766" t="str" cm="1">
        <f t="array" ref="I7766">_xlfn.XLOOKUP(FACT_IMPORTS[[#This Row],[country_name]],DIM_COUNTRY[[#All],[Column2]],DIM_COUNTRY[[#All],[Column3]],,,)</f>
        <v>Major_Non-USMCA_Non-China</v>
      </c>
    </row>
    <row r="7767" spans="1:9" x14ac:dyDescent="0.4">
      <c r="A7767" t="s">
        <v>71</v>
      </c>
      <c r="B7767" s="1">
        <v>45383</v>
      </c>
      <c r="C7767">
        <v>850152</v>
      </c>
      <c r="D7767" t="s">
        <v>176</v>
      </c>
      <c r="E7767">
        <v>429468</v>
      </c>
      <c r="F7767">
        <v>599</v>
      </c>
      <c r="G7767">
        <v>11666</v>
      </c>
      <c r="H7767">
        <f>_xlfn.XLOOKUP(FACT_IMPORTS[[#This Row],[hts_6]],DIM_PRODUCTS[hts_6],DIM_PRODUCTS[hts_4],,,)</f>
        <v>8501</v>
      </c>
      <c r="I7767" t="str" cm="1">
        <f t="array" ref="I7767">_xlfn.XLOOKUP(FACT_IMPORTS[[#This Row],[country_name]],DIM_COUNTRY[[#All],[Column2]],DIM_COUNTRY[[#All],[Column3]],,,)</f>
        <v>Major_Non-USMCA_Non-China</v>
      </c>
    </row>
    <row r="7768" spans="1:9" x14ac:dyDescent="0.4">
      <c r="A7768" t="s">
        <v>71</v>
      </c>
      <c r="B7768" s="1">
        <v>45383</v>
      </c>
      <c r="C7768">
        <v>850153</v>
      </c>
      <c r="D7768" t="s">
        <v>176</v>
      </c>
      <c r="E7768">
        <v>0</v>
      </c>
      <c r="F7768">
        <v>0</v>
      </c>
      <c r="G7768">
        <v>0</v>
      </c>
      <c r="H7768">
        <f>_xlfn.XLOOKUP(FACT_IMPORTS[[#This Row],[hts_6]],DIM_PRODUCTS[hts_6],DIM_PRODUCTS[hts_4],,,)</f>
        <v>8501</v>
      </c>
      <c r="I7768" t="str" cm="1">
        <f t="array" ref="I7768">_xlfn.XLOOKUP(FACT_IMPORTS[[#This Row],[country_name]],DIM_COUNTRY[[#All],[Column2]],DIM_COUNTRY[[#All],[Column3]],,,)</f>
        <v>Major_Non-USMCA_Non-China</v>
      </c>
    </row>
    <row r="7769" spans="1:9" x14ac:dyDescent="0.4">
      <c r="A7769" t="s">
        <v>71</v>
      </c>
      <c r="B7769" s="1">
        <v>45383</v>
      </c>
      <c r="C7769">
        <v>850161</v>
      </c>
      <c r="D7769" t="s">
        <v>176</v>
      </c>
      <c r="E7769">
        <v>0</v>
      </c>
      <c r="F7769">
        <v>0</v>
      </c>
      <c r="G7769">
        <v>0</v>
      </c>
      <c r="H7769">
        <f>_xlfn.XLOOKUP(FACT_IMPORTS[[#This Row],[hts_6]],DIM_PRODUCTS[hts_6],DIM_PRODUCTS[hts_4],,,)</f>
        <v>8501</v>
      </c>
      <c r="I7769" t="str" cm="1">
        <f t="array" ref="I7769">_xlfn.XLOOKUP(FACT_IMPORTS[[#This Row],[country_name]],DIM_COUNTRY[[#All],[Column2]],DIM_COUNTRY[[#All],[Column3]],,,)</f>
        <v>Major_Non-USMCA_Non-China</v>
      </c>
    </row>
    <row r="7770" spans="1:9" x14ac:dyDescent="0.4">
      <c r="A7770" t="s">
        <v>71</v>
      </c>
      <c r="B7770" s="1">
        <v>45383</v>
      </c>
      <c r="C7770">
        <v>850440</v>
      </c>
      <c r="D7770" t="s">
        <v>176</v>
      </c>
      <c r="E7770">
        <v>575670</v>
      </c>
      <c r="F7770">
        <v>555</v>
      </c>
      <c r="G7770">
        <v>9654</v>
      </c>
      <c r="H7770">
        <f>_xlfn.XLOOKUP(FACT_IMPORTS[[#This Row],[hts_6]],DIM_PRODUCTS[hts_6],DIM_PRODUCTS[hts_4],,,)</f>
        <v>8504</v>
      </c>
      <c r="I7770" t="str" cm="1">
        <f t="array" ref="I7770">_xlfn.XLOOKUP(FACT_IMPORTS[[#This Row],[country_name]],DIM_COUNTRY[[#All],[Column2]],DIM_COUNTRY[[#All],[Column3]],,,)</f>
        <v>Major_Non-USMCA_Non-China</v>
      </c>
    </row>
    <row r="7771" spans="1:9" x14ac:dyDescent="0.4">
      <c r="A7771" t="s">
        <v>71</v>
      </c>
      <c r="B7771" s="1">
        <v>45383</v>
      </c>
      <c r="C7771">
        <v>850710</v>
      </c>
      <c r="D7771" t="s">
        <v>176</v>
      </c>
      <c r="E7771">
        <v>0</v>
      </c>
      <c r="F7771">
        <v>0</v>
      </c>
      <c r="G7771">
        <v>0</v>
      </c>
      <c r="H7771">
        <f>_xlfn.XLOOKUP(FACT_IMPORTS[[#This Row],[hts_6]],DIM_PRODUCTS[hts_6],DIM_PRODUCTS[hts_4],,,)</f>
        <v>8507</v>
      </c>
      <c r="I7771" t="str" cm="1">
        <f t="array" ref="I7771">_xlfn.XLOOKUP(FACT_IMPORTS[[#This Row],[country_name]],DIM_COUNTRY[[#All],[Column2]],DIM_COUNTRY[[#All],[Column3]],,,)</f>
        <v>Major_Non-USMCA_Non-China</v>
      </c>
    </row>
    <row r="7772" spans="1:9" x14ac:dyDescent="0.4">
      <c r="A7772" t="s">
        <v>71</v>
      </c>
      <c r="B7772" s="1">
        <v>45383</v>
      </c>
      <c r="C7772">
        <v>850760</v>
      </c>
      <c r="D7772" t="s">
        <v>176</v>
      </c>
      <c r="E7772">
        <v>136153</v>
      </c>
      <c r="F7772">
        <v>607</v>
      </c>
      <c r="G7772">
        <v>529</v>
      </c>
      <c r="H7772">
        <f>_xlfn.XLOOKUP(FACT_IMPORTS[[#This Row],[hts_6]],DIM_PRODUCTS[hts_6],DIM_PRODUCTS[hts_4],,,)</f>
        <v>8507</v>
      </c>
      <c r="I7772" t="str" cm="1">
        <f t="array" ref="I7772">_xlfn.XLOOKUP(FACT_IMPORTS[[#This Row],[country_name]],DIM_COUNTRY[[#All],[Column2]],DIM_COUNTRY[[#All],[Column3]],,,)</f>
        <v>Major_Non-USMCA_Non-China</v>
      </c>
    </row>
    <row r="7773" spans="1:9" x14ac:dyDescent="0.4">
      <c r="A7773" t="s">
        <v>71</v>
      </c>
      <c r="B7773" s="1">
        <v>45383</v>
      </c>
      <c r="C7773">
        <v>850790</v>
      </c>
      <c r="D7773" t="s">
        <v>176</v>
      </c>
      <c r="E7773">
        <v>0</v>
      </c>
      <c r="F7773">
        <v>0</v>
      </c>
      <c r="G7773">
        <v>0</v>
      </c>
      <c r="H7773">
        <f>_xlfn.XLOOKUP(FACT_IMPORTS[[#This Row],[hts_6]],DIM_PRODUCTS[hts_6],DIM_PRODUCTS[hts_4],,,)</f>
        <v>8507</v>
      </c>
      <c r="I7773" t="str" cm="1">
        <f t="array" ref="I7773">_xlfn.XLOOKUP(FACT_IMPORTS[[#This Row],[country_name]],DIM_COUNTRY[[#All],[Column2]],DIM_COUNTRY[[#All],[Column3]],,,)</f>
        <v>Major_Non-USMCA_Non-China</v>
      </c>
    </row>
    <row r="7774" spans="1:9" x14ac:dyDescent="0.4">
      <c r="A7774" t="s">
        <v>71</v>
      </c>
      <c r="B7774" s="1">
        <v>45383</v>
      </c>
      <c r="C7774">
        <v>851110</v>
      </c>
      <c r="D7774" t="s">
        <v>176</v>
      </c>
      <c r="E7774">
        <v>95575</v>
      </c>
      <c r="F7774">
        <v>1089</v>
      </c>
      <c r="G7774">
        <v>3353</v>
      </c>
      <c r="H7774">
        <f>_xlfn.XLOOKUP(FACT_IMPORTS[[#This Row],[hts_6]],DIM_PRODUCTS[hts_6],DIM_PRODUCTS[hts_4],,,)</f>
        <v>8511</v>
      </c>
      <c r="I7774" t="str" cm="1">
        <f t="array" ref="I7774">_xlfn.XLOOKUP(FACT_IMPORTS[[#This Row],[country_name]],DIM_COUNTRY[[#All],[Column2]],DIM_COUNTRY[[#All],[Column3]],,,)</f>
        <v>Major_Non-USMCA_Non-China</v>
      </c>
    </row>
    <row r="7775" spans="1:9" x14ac:dyDescent="0.4">
      <c r="A7775" t="s">
        <v>71</v>
      </c>
      <c r="B7775" s="1">
        <v>45383</v>
      </c>
      <c r="C7775">
        <v>851130</v>
      </c>
      <c r="D7775" t="s">
        <v>176</v>
      </c>
      <c r="E7775">
        <v>2116</v>
      </c>
      <c r="F7775">
        <v>378</v>
      </c>
      <c r="G7775">
        <v>76</v>
      </c>
      <c r="H7775">
        <f>_xlfn.XLOOKUP(FACT_IMPORTS[[#This Row],[hts_6]],DIM_PRODUCTS[hts_6],DIM_PRODUCTS[hts_4],,,)</f>
        <v>8511</v>
      </c>
      <c r="I7775" t="str" cm="1">
        <f t="array" ref="I7775">_xlfn.XLOOKUP(FACT_IMPORTS[[#This Row],[country_name]],DIM_COUNTRY[[#All],[Column2]],DIM_COUNTRY[[#All],[Column3]],,,)</f>
        <v>Major_Non-USMCA_Non-China</v>
      </c>
    </row>
    <row r="7776" spans="1:9" x14ac:dyDescent="0.4">
      <c r="A7776" t="s">
        <v>71</v>
      </c>
      <c r="B7776" s="1">
        <v>45383</v>
      </c>
      <c r="C7776">
        <v>851140</v>
      </c>
      <c r="D7776" t="s">
        <v>176</v>
      </c>
      <c r="E7776">
        <v>41791</v>
      </c>
      <c r="F7776">
        <v>905</v>
      </c>
      <c r="G7776">
        <v>7366</v>
      </c>
      <c r="H7776">
        <f>_xlfn.XLOOKUP(FACT_IMPORTS[[#This Row],[hts_6]],DIM_PRODUCTS[hts_6],DIM_PRODUCTS[hts_4],,,)</f>
        <v>8511</v>
      </c>
      <c r="I7776" t="str" cm="1">
        <f t="array" ref="I7776">_xlfn.XLOOKUP(FACT_IMPORTS[[#This Row],[country_name]],DIM_COUNTRY[[#All],[Column2]],DIM_COUNTRY[[#All],[Column3]],,,)</f>
        <v>Major_Non-USMCA_Non-China</v>
      </c>
    </row>
    <row r="7777" spans="1:9" x14ac:dyDescent="0.4">
      <c r="A7777" t="s">
        <v>71</v>
      </c>
      <c r="B7777" s="1">
        <v>45383</v>
      </c>
      <c r="C7777">
        <v>851150</v>
      </c>
      <c r="D7777" t="s">
        <v>176</v>
      </c>
      <c r="E7777">
        <v>60674</v>
      </c>
      <c r="F7777">
        <v>653</v>
      </c>
      <c r="G7777">
        <v>3777</v>
      </c>
      <c r="H7777">
        <f>_xlfn.XLOOKUP(FACT_IMPORTS[[#This Row],[hts_6]],DIM_PRODUCTS[hts_6],DIM_PRODUCTS[hts_4],,,)</f>
        <v>8511</v>
      </c>
      <c r="I7777" t="str" cm="1">
        <f t="array" ref="I7777">_xlfn.XLOOKUP(FACT_IMPORTS[[#This Row],[country_name]],DIM_COUNTRY[[#All],[Column2]],DIM_COUNTRY[[#All],[Column3]],,,)</f>
        <v>Major_Non-USMCA_Non-China</v>
      </c>
    </row>
    <row r="7778" spans="1:9" x14ac:dyDescent="0.4">
      <c r="A7778" t="s">
        <v>71</v>
      </c>
      <c r="B7778" s="1">
        <v>45383</v>
      </c>
      <c r="C7778">
        <v>851180</v>
      </c>
      <c r="D7778" t="s">
        <v>176</v>
      </c>
      <c r="E7778">
        <v>12360</v>
      </c>
      <c r="F7778">
        <v>5681</v>
      </c>
      <c r="G7778">
        <v>176</v>
      </c>
      <c r="H7778">
        <f>_xlfn.XLOOKUP(FACT_IMPORTS[[#This Row],[hts_6]],DIM_PRODUCTS[hts_6],DIM_PRODUCTS[hts_4],,,)</f>
        <v>8511</v>
      </c>
      <c r="I7778" t="str" cm="1">
        <f t="array" ref="I7778">_xlfn.XLOOKUP(FACT_IMPORTS[[#This Row],[country_name]],DIM_COUNTRY[[#All],[Column2]],DIM_COUNTRY[[#All],[Column3]],,,)</f>
        <v>Major_Non-USMCA_Non-China</v>
      </c>
    </row>
    <row r="7779" spans="1:9" x14ac:dyDescent="0.4">
      <c r="A7779" t="s">
        <v>71</v>
      </c>
      <c r="B7779" s="1">
        <v>45383</v>
      </c>
      <c r="C7779">
        <v>851190</v>
      </c>
      <c r="D7779" t="s">
        <v>176</v>
      </c>
      <c r="E7779">
        <v>2894</v>
      </c>
      <c r="F7779">
        <v>58</v>
      </c>
      <c r="G7779">
        <v>217</v>
      </c>
      <c r="H7779">
        <f>_xlfn.XLOOKUP(FACT_IMPORTS[[#This Row],[hts_6]],DIM_PRODUCTS[hts_6],DIM_PRODUCTS[hts_4],,,)</f>
        <v>8511</v>
      </c>
      <c r="I7779" t="str" cm="1">
        <f t="array" ref="I7779">_xlfn.XLOOKUP(FACT_IMPORTS[[#This Row],[country_name]],DIM_COUNTRY[[#All],[Column2]],DIM_COUNTRY[[#All],[Column3]],,,)</f>
        <v>Major_Non-USMCA_Non-China</v>
      </c>
    </row>
    <row r="7780" spans="1:9" x14ac:dyDescent="0.4">
      <c r="A7780" t="s">
        <v>71</v>
      </c>
      <c r="B7780" s="1">
        <v>45383</v>
      </c>
      <c r="C7780">
        <v>851220</v>
      </c>
      <c r="D7780" t="s">
        <v>176</v>
      </c>
      <c r="E7780">
        <v>2905</v>
      </c>
      <c r="F7780">
        <v>14</v>
      </c>
      <c r="G7780">
        <v>40</v>
      </c>
      <c r="H7780">
        <f>_xlfn.XLOOKUP(FACT_IMPORTS[[#This Row],[hts_6]],DIM_PRODUCTS[hts_6],DIM_PRODUCTS[hts_4],,,)</f>
        <v>8512</v>
      </c>
      <c r="I7780" t="str" cm="1">
        <f t="array" ref="I7780">_xlfn.XLOOKUP(FACT_IMPORTS[[#This Row],[country_name]],DIM_COUNTRY[[#All],[Column2]],DIM_COUNTRY[[#All],[Column3]],,,)</f>
        <v>Major_Non-USMCA_Non-China</v>
      </c>
    </row>
    <row r="7781" spans="1:9" x14ac:dyDescent="0.4">
      <c r="A7781" t="s">
        <v>71</v>
      </c>
      <c r="B7781" s="1">
        <v>45383</v>
      </c>
      <c r="C7781">
        <v>851230</v>
      </c>
      <c r="D7781" t="s">
        <v>176</v>
      </c>
      <c r="E7781">
        <v>0</v>
      </c>
      <c r="F7781">
        <v>0</v>
      </c>
      <c r="G7781">
        <v>0</v>
      </c>
      <c r="H7781">
        <f>_xlfn.XLOOKUP(FACT_IMPORTS[[#This Row],[hts_6]],DIM_PRODUCTS[hts_6],DIM_PRODUCTS[hts_4],,,)</f>
        <v>8512</v>
      </c>
      <c r="I7781" t="str" cm="1">
        <f t="array" ref="I7781">_xlfn.XLOOKUP(FACT_IMPORTS[[#This Row],[country_name]],DIM_COUNTRY[[#All],[Column2]],DIM_COUNTRY[[#All],[Column3]],,,)</f>
        <v>Major_Non-USMCA_Non-China</v>
      </c>
    </row>
    <row r="7782" spans="1:9" x14ac:dyDescent="0.4">
      <c r="A7782" t="s">
        <v>71</v>
      </c>
      <c r="B7782" s="1">
        <v>45383</v>
      </c>
      <c r="C7782">
        <v>851290</v>
      </c>
      <c r="D7782" t="s">
        <v>176</v>
      </c>
      <c r="E7782">
        <v>8348</v>
      </c>
      <c r="F7782">
        <v>205</v>
      </c>
      <c r="G7782">
        <v>370</v>
      </c>
      <c r="H7782">
        <f>_xlfn.XLOOKUP(FACT_IMPORTS[[#This Row],[hts_6]],DIM_PRODUCTS[hts_6],DIM_PRODUCTS[hts_4],,,)</f>
        <v>8512</v>
      </c>
      <c r="I7782" t="str" cm="1">
        <f t="array" ref="I7782">_xlfn.XLOOKUP(FACT_IMPORTS[[#This Row],[country_name]],DIM_COUNTRY[[#All],[Column2]],DIM_COUNTRY[[#All],[Column3]],,,)</f>
        <v>Major_Non-USMCA_Non-China</v>
      </c>
    </row>
    <row r="7783" spans="1:9" x14ac:dyDescent="0.4">
      <c r="A7783" t="s">
        <v>71</v>
      </c>
      <c r="B7783" s="1">
        <v>45383</v>
      </c>
      <c r="C7783">
        <v>854231</v>
      </c>
      <c r="D7783" t="s">
        <v>176</v>
      </c>
      <c r="E7783">
        <v>119400</v>
      </c>
      <c r="F7783">
        <v>12000</v>
      </c>
      <c r="G7783">
        <v>1552</v>
      </c>
      <c r="H7783">
        <f>_xlfn.XLOOKUP(FACT_IMPORTS[[#This Row],[hts_6]],DIM_PRODUCTS[hts_6],DIM_PRODUCTS[hts_4],,,)</f>
        <v>8542</v>
      </c>
      <c r="I7783" t="str" cm="1">
        <f t="array" ref="I7783">_xlfn.XLOOKUP(FACT_IMPORTS[[#This Row],[country_name]],DIM_COUNTRY[[#All],[Column2]],DIM_COUNTRY[[#All],[Column3]],,,)</f>
        <v>Major_Non-USMCA_Non-China</v>
      </c>
    </row>
    <row r="7784" spans="1:9" x14ac:dyDescent="0.4">
      <c r="A7784" t="s">
        <v>71</v>
      </c>
      <c r="B7784" s="1">
        <v>45383</v>
      </c>
      <c r="C7784">
        <v>854232</v>
      </c>
      <c r="D7784" t="s">
        <v>176</v>
      </c>
      <c r="E7784">
        <v>0</v>
      </c>
      <c r="F7784">
        <v>0</v>
      </c>
      <c r="G7784">
        <v>0</v>
      </c>
      <c r="H7784">
        <f>_xlfn.XLOOKUP(FACT_IMPORTS[[#This Row],[hts_6]],DIM_PRODUCTS[hts_6],DIM_PRODUCTS[hts_4],,,)</f>
        <v>8542</v>
      </c>
      <c r="I7784" t="str" cm="1">
        <f t="array" ref="I7784">_xlfn.XLOOKUP(FACT_IMPORTS[[#This Row],[country_name]],DIM_COUNTRY[[#All],[Column2]],DIM_COUNTRY[[#All],[Column3]],,,)</f>
        <v>Major_Non-USMCA_Non-China</v>
      </c>
    </row>
    <row r="7785" spans="1:9" x14ac:dyDescent="0.4">
      <c r="A7785" t="s">
        <v>71</v>
      </c>
      <c r="B7785" s="1">
        <v>45383</v>
      </c>
      <c r="C7785">
        <v>854239</v>
      </c>
      <c r="D7785" t="s">
        <v>176</v>
      </c>
      <c r="E7785">
        <v>0</v>
      </c>
      <c r="F7785">
        <v>0</v>
      </c>
      <c r="G7785">
        <v>0</v>
      </c>
      <c r="H7785">
        <f>_xlfn.XLOOKUP(FACT_IMPORTS[[#This Row],[hts_6]],DIM_PRODUCTS[hts_6],DIM_PRODUCTS[hts_4],,,)</f>
        <v>8542</v>
      </c>
      <c r="I7785" t="str" cm="1">
        <f t="array" ref="I7785">_xlfn.XLOOKUP(FACT_IMPORTS[[#This Row],[country_name]],DIM_COUNTRY[[#All],[Column2]],DIM_COUNTRY[[#All],[Column3]],,,)</f>
        <v>Major_Non-USMCA_Non-China</v>
      </c>
    </row>
    <row r="7786" spans="1:9" x14ac:dyDescent="0.4">
      <c r="A7786" t="s">
        <v>71</v>
      </c>
      <c r="B7786" s="1">
        <v>45383</v>
      </c>
      <c r="C7786">
        <v>854290</v>
      </c>
      <c r="D7786" t="s">
        <v>176</v>
      </c>
      <c r="E7786">
        <v>0</v>
      </c>
      <c r="F7786">
        <v>0</v>
      </c>
      <c r="G7786">
        <v>0</v>
      </c>
      <c r="H7786">
        <f>_xlfn.XLOOKUP(FACT_IMPORTS[[#This Row],[hts_6]],DIM_PRODUCTS[hts_6],DIM_PRODUCTS[hts_4],,,)</f>
        <v>8542</v>
      </c>
      <c r="I7786" t="str" cm="1">
        <f t="array" ref="I7786">_xlfn.XLOOKUP(FACT_IMPORTS[[#This Row],[country_name]],DIM_COUNTRY[[#All],[Column2]],DIM_COUNTRY[[#All],[Column3]],,,)</f>
        <v>Major_Non-USMCA_Non-China</v>
      </c>
    </row>
    <row r="7787" spans="1:9" x14ac:dyDescent="0.4">
      <c r="A7787" t="s">
        <v>71</v>
      </c>
      <c r="B7787" s="1">
        <v>45383</v>
      </c>
      <c r="C7787">
        <v>854430</v>
      </c>
      <c r="D7787" t="s">
        <v>176</v>
      </c>
      <c r="E7787">
        <v>0</v>
      </c>
      <c r="F7787">
        <v>0</v>
      </c>
      <c r="G7787">
        <v>0</v>
      </c>
      <c r="H7787">
        <f>_xlfn.XLOOKUP(FACT_IMPORTS[[#This Row],[hts_6]],DIM_PRODUCTS[hts_6],DIM_PRODUCTS[hts_4],,,)</f>
        <v>8544</v>
      </c>
      <c r="I7787" t="str" cm="1">
        <f t="array" ref="I7787">_xlfn.XLOOKUP(FACT_IMPORTS[[#This Row],[country_name]],DIM_COUNTRY[[#All],[Column2]],DIM_COUNTRY[[#All],[Column3]],,,)</f>
        <v>Major_Non-USMCA_Non-China</v>
      </c>
    </row>
    <row r="7788" spans="1:9" x14ac:dyDescent="0.4">
      <c r="A7788" t="s">
        <v>71</v>
      </c>
      <c r="B7788" s="1">
        <v>45383</v>
      </c>
      <c r="C7788">
        <v>870790</v>
      </c>
      <c r="D7788" t="s">
        <v>176</v>
      </c>
      <c r="E7788">
        <v>0</v>
      </c>
      <c r="F7788">
        <v>0</v>
      </c>
      <c r="G7788">
        <v>0</v>
      </c>
      <c r="H7788">
        <f>_xlfn.XLOOKUP(FACT_IMPORTS[[#This Row],[hts_6]],DIM_PRODUCTS[hts_6],DIM_PRODUCTS[hts_4],,,)</f>
        <v>8707</v>
      </c>
      <c r="I7788" t="str" cm="1">
        <f t="array" ref="I7788">_xlfn.XLOOKUP(FACT_IMPORTS[[#This Row],[country_name]],DIM_COUNTRY[[#All],[Column2]],DIM_COUNTRY[[#All],[Column3]],,,)</f>
        <v>Major_Non-USMCA_Non-China</v>
      </c>
    </row>
    <row r="7789" spans="1:9" x14ac:dyDescent="0.4">
      <c r="A7789" t="s">
        <v>71</v>
      </c>
      <c r="B7789" s="1">
        <v>45383</v>
      </c>
      <c r="C7789">
        <v>870810</v>
      </c>
      <c r="D7789" t="s">
        <v>176</v>
      </c>
      <c r="E7789">
        <v>2410</v>
      </c>
      <c r="F7789">
        <v>5</v>
      </c>
      <c r="G7789">
        <v>241</v>
      </c>
      <c r="H7789">
        <f>_xlfn.XLOOKUP(FACT_IMPORTS[[#This Row],[hts_6]],DIM_PRODUCTS[hts_6],DIM_PRODUCTS[hts_4],,,)</f>
        <v>8708</v>
      </c>
      <c r="I7789" t="str" cm="1">
        <f t="array" ref="I7789">_xlfn.XLOOKUP(FACT_IMPORTS[[#This Row],[country_name]],DIM_COUNTRY[[#All],[Column2]],DIM_COUNTRY[[#All],[Column3]],,,)</f>
        <v>Major_Non-USMCA_Non-China</v>
      </c>
    </row>
    <row r="7790" spans="1:9" x14ac:dyDescent="0.4">
      <c r="A7790" t="s">
        <v>71</v>
      </c>
      <c r="B7790" s="1">
        <v>45383</v>
      </c>
      <c r="C7790">
        <v>870829</v>
      </c>
      <c r="D7790" t="s">
        <v>176</v>
      </c>
      <c r="E7790">
        <v>4073588</v>
      </c>
      <c r="F7790">
        <v>389444</v>
      </c>
      <c r="G7790">
        <v>38668</v>
      </c>
      <c r="H7790">
        <f>_xlfn.XLOOKUP(FACT_IMPORTS[[#This Row],[hts_6]],DIM_PRODUCTS[hts_6],DIM_PRODUCTS[hts_4],,,)</f>
        <v>8708</v>
      </c>
      <c r="I7790" t="str" cm="1">
        <f t="array" ref="I7790">_xlfn.XLOOKUP(FACT_IMPORTS[[#This Row],[country_name]],DIM_COUNTRY[[#All],[Column2]],DIM_COUNTRY[[#All],[Column3]],,,)</f>
        <v>Major_Non-USMCA_Non-China</v>
      </c>
    </row>
    <row r="7791" spans="1:9" x14ac:dyDescent="0.4">
      <c r="A7791" t="s">
        <v>71</v>
      </c>
      <c r="B7791" s="1">
        <v>45383</v>
      </c>
      <c r="C7791">
        <v>870830</v>
      </c>
      <c r="D7791" t="s">
        <v>176</v>
      </c>
      <c r="E7791">
        <v>0</v>
      </c>
      <c r="F7791">
        <v>0</v>
      </c>
      <c r="G7791">
        <v>0</v>
      </c>
      <c r="H7791">
        <f>_xlfn.XLOOKUP(FACT_IMPORTS[[#This Row],[hts_6]],DIM_PRODUCTS[hts_6],DIM_PRODUCTS[hts_4],,,)</f>
        <v>8708</v>
      </c>
      <c r="I7791" t="str" cm="1">
        <f t="array" ref="I7791">_xlfn.XLOOKUP(FACT_IMPORTS[[#This Row],[country_name]],DIM_COUNTRY[[#All],[Column2]],DIM_COUNTRY[[#All],[Column3]],,,)</f>
        <v>Major_Non-USMCA_Non-China</v>
      </c>
    </row>
    <row r="7792" spans="1:9" x14ac:dyDescent="0.4">
      <c r="A7792" t="s">
        <v>71</v>
      </c>
      <c r="B7792" s="1">
        <v>45383</v>
      </c>
      <c r="C7792">
        <v>870840</v>
      </c>
      <c r="D7792" t="s">
        <v>176</v>
      </c>
      <c r="E7792">
        <v>911725</v>
      </c>
      <c r="F7792">
        <v>21061</v>
      </c>
      <c r="G7792">
        <v>188526</v>
      </c>
      <c r="H7792">
        <f>_xlfn.XLOOKUP(FACT_IMPORTS[[#This Row],[hts_6]],DIM_PRODUCTS[hts_6],DIM_PRODUCTS[hts_4],,,)</f>
        <v>8708</v>
      </c>
      <c r="I7792" t="str" cm="1">
        <f t="array" ref="I7792">_xlfn.XLOOKUP(FACT_IMPORTS[[#This Row],[country_name]],DIM_COUNTRY[[#All],[Column2]],DIM_COUNTRY[[#All],[Column3]],,,)</f>
        <v>Major_Non-USMCA_Non-China</v>
      </c>
    </row>
    <row r="7793" spans="1:9" x14ac:dyDescent="0.4">
      <c r="A7793" t="s">
        <v>71</v>
      </c>
      <c r="B7793" s="1">
        <v>45383</v>
      </c>
      <c r="C7793">
        <v>870850</v>
      </c>
      <c r="D7793" t="s">
        <v>176</v>
      </c>
      <c r="E7793">
        <v>5357</v>
      </c>
      <c r="F7793">
        <v>1</v>
      </c>
      <c r="G7793">
        <v>1</v>
      </c>
      <c r="H7793">
        <f>_xlfn.XLOOKUP(FACT_IMPORTS[[#This Row],[hts_6]],DIM_PRODUCTS[hts_6],DIM_PRODUCTS[hts_4],,,)</f>
        <v>8708</v>
      </c>
      <c r="I7793" t="str" cm="1">
        <f t="array" ref="I7793">_xlfn.XLOOKUP(FACT_IMPORTS[[#This Row],[country_name]],DIM_COUNTRY[[#All],[Column2]],DIM_COUNTRY[[#All],[Column3]],,,)</f>
        <v>Major_Non-USMCA_Non-China</v>
      </c>
    </row>
    <row r="7794" spans="1:9" x14ac:dyDescent="0.4">
      <c r="A7794" t="s">
        <v>71</v>
      </c>
      <c r="B7794" s="1">
        <v>45383</v>
      </c>
      <c r="C7794">
        <v>870870</v>
      </c>
      <c r="D7794" t="s">
        <v>176</v>
      </c>
      <c r="E7794">
        <v>22882</v>
      </c>
      <c r="F7794">
        <v>1547</v>
      </c>
      <c r="G7794">
        <v>302</v>
      </c>
      <c r="H7794">
        <f>_xlfn.XLOOKUP(FACT_IMPORTS[[#This Row],[hts_6]],DIM_PRODUCTS[hts_6],DIM_PRODUCTS[hts_4],,,)</f>
        <v>8708</v>
      </c>
      <c r="I7794" t="str" cm="1">
        <f t="array" ref="I7794">_xlfn.XLOOKUP(FACT_IMPORTS[[#This Row],[country_name]],DIM_COUNTRY[[#All],[Column2]],DIM_COUNTRY[[#All],[Column3]],,,)</f>
        <v>Major_Non-USMCA_Non-China</v>
      </c>
    </row>
    <row r="7795" spans="1:9" x14ac:dyDescent="0.4">
      <c r="A7795" t="s">
        <v>71</v>
      </c>
      <c r="B7795" s="1">
        <v>45383</v>
      </c>
      <c r="C7795">
        <v>870880</v>
      </c>
      <c r="D7795" t="s">
        <v>176</v>
      </c>
      <c r="E7795">
        <v>87457</v>
      </c>
      <c r="F7795">
        <v>1961</v>
      </c>
      <c r="G7795">
        <v>3690</v>
      </c>
      <c r="H7795">
        <f>_xlfn.XLOOKUP(FACT_IMPORTS[[#This Row],[hts_6]],DIM_PRODUCTS[hts_6],DIM_PRODUCTS[hts_4],,,)</f>
        <v>8708</v>
      </c>
      <c r="I7795" t="str" cm="1">
        <f t="array" ref="I7795">_xlfn.XLOOKUP(FACT_IMPORTS[[#This Row],[country_name]],DIM_COUNTRY[[#All],[Column2]],DIM_COUNTRY[[#All],[Column3]],,,)</f>
        <v>Major_Non-USMCA_Non-China</v>
      </c>
    </row>
    <row r="7796" spans="1:9" x14ac:dyDescent="0.4">
      <c r="A7796" t="s">
        <v>71</v>
      </c>
      <c r="B7796" s="1">
        <v>45383</v>
      </c>
      <c r="C7796">
        <v>870891</v>
      </c>
      <c r="D7796" t="s">
        <v>176</v>
      </c>
      <c r="E7796">
        <v>187984</v>
      </c>
      <c r="F7796">
        <v>98452</v>
      </c>
      <c r="G7796">
        <v>2443</v>
      </c>
      <c r="H7796">
        <f>_xlfn.XLOOKUP(FACT_IMPORTS[[#This Row],[hts_6]],DIM_PRODUCTS[hts_6],DIM_PRODUCTS[hts_4],,,)</f>
        <v>8708</v>
      </c>
      <c r="I7796" t="str" cm="1">
        <f t="array" ref="I7796">_xlfn.XLOOKUP(FACT_IMPORTS[[#This Row],[country_name]],DIM_COUNTRY[[#All],[Column2]],DIM_COUNTRY[[#All],[Column3]],,,)</f>
        <v>Major_Non-USMCA_Non-China</v>
      </c>
    </row>
    <row r="7797" spans="1:9" x14ac:dyDescent="0.4">
      <c r="A7797" t="s">
        <v>71</v>
      </c>
      <c r="B7797" s="1">
        <v>45383</v>
      </c>
      <c r="C7797">
        <v>870893</v>
      </c>
      <c r="D7797" t="s">
        <v>176</v>
      </c>
      <c r="E7797">
        <v>1471498</v>
      </c>
      <c r="F7797">
        <v>376799</v>
      </c>
      <c r="G7797">
        <v>37387</v>
      </c>
      <c r="H7797">
        <f>_xlfn.XLOOKUP(FACT_IMPORTS[[#This Row],[hts_6]],DIM_PRODUCTS[hts_6],DIM_PRODUCTS[hts_4],,,)</f>
        <v>8708</v>
      </c>
      <c r="I7797" t="str" cm="1">
        <f t="array" ref="I7797">_xlfn.XLOOKUP(FACT_IMPORTS[[#This Row],[country_name]],DIM_COUNTRY[[#All],[Column2]],DIM_COUNTRY[[#All],[Column3]],,,)</f>
        <v>Major_Non-USMCA_Non-China</v>
      </c>
    </row>
    <row r="7798" spans="1:9" x14ac:dyDescent="0.4">
      <c r="A7798" t="s">
        <v>71</v>
      </c>
      <c r="B7798" s="1">
        <v>45383</v>
      </c>
      <c r="C7798">
        <v>870894</v>
      </c>
      <c r="D7798" t="s">
        <v>176</v>
      </c>
      <c r="E7798">
        <v>18660</v>
      </c>
      <c r="F7798">
        <v>662</v>
      </c>
      <c r="G7798">
        <v>359</v>
      </c>
      <c r="H7798">
        <f>_xlfn.XLOOKUP(FACT_IMPORTS[[#This Row],[hts_6]],DIM_PRODUCTS[hts_6],DIM_PRODUCTS[hts_4],,,)</f>
        <v>8708</v>
      </c>
      <c r="I7798" t="str" cm="1">
        <f t="array" ref="I7798">_xlfn.XLOOKUP(FACT_IMPORTS[[#This Row],[country_name]],DIM_COUNTRY[[#All],[Column2]],DIM_COUNTRY[[#All],[Column3]],,,)</f>
        <v>Major_Non-USMCA_Non-China</v>
      </c>
    </row>
    <row r="7799" spans="1:9" x14ac:dyDescent="0.4">
      <c r="A7799" t="s">
        <v>71</v>
      </c>
      <c r="B7799" s="1">
        <v>45383</v>
      </c>
      <c r="C7799">
        <v>870895</v>
      </c>
      <c r="D7799" t="s">
        <v>176</v>
      </c>
      <c r="E7799">
        <v>0</v>
      </c>
      <c r="F7799">
        <v>0</v>
      </c>
      <c r="G7799">
        <v>0</v>
      </c>
      <c r="H7799">
        <f>_xlfn.XLOOKUP(FACT_IMPORTS[[#This Row],[hts_6]],DIM_PRODUCTS[hts_6],DIM_PRODUCTS[hts_4],,,)</f>
        <v>8708</v>
      </c>
      <c r="I7799" t="str" cm="1">
        <f t="array" ref="I7799">_xlfn.XLOOKUP(FACT_IMPORTS[[#This Row],[country_name]],DIM_COUNTRY[[#All],[Column2]],DIM_COUNTRY[[#All],[Column3]],,,)</f>
        <v>Major_Non-USMCA_Non-China</v>
      </c>
    </row>
    <row r="7800" spans="1:9" x14ac:dyDescent="0.4">
      <c r="A7800" t="s">
        <v>71</v>
      </c>
      <c r="B7800" s="1">
        <v>45383</v>
      </c>
      <c r="C7800">
        <v>870899</v>
      </c>
      <c r="D7800" t="s">
        <v>176</v>
      </c>
      <c r="E7800">
        <v>3247338</v>
      </c>
      <c r="F7800">
        <v>3269555</v>
      </c>
      <c r="G7800">
        <v>180530</v>
      </c>
      <c r="H7800">
        <f>_xlfn.XLOOKUP(FACT_IMPORTS[[#This Row],[hts_6]],DIM_PRODUCTS[hts_6],DIM_PRODUCTS[hts_4],,,)</f>
        <v>8708</v>
      </c>
      <c r="I7800" t="str" cm="1">
        <f t="array" ref="I7800">_xlfn.XLOOKUP(FACT_IMPORTS[[#This Row],[country_name]],DIM_COUNTRY[[#All],[Column2]],DIM_COUNTRY[[#All],[Column3]],,,)</f>
        <v>Major_Non-USMCA_Non-China</v>
      </c>
    </row>
    <row r="7801" spans="1:9" x14ac:dyDescent="0.4">
      <c r="A7801" t="s">
        <v>71</v>
      </c>
      <c r="B7801" s="1">
        <v>45383</v>
      </c>
      <c r="C7801">
        <v>940120</v>
      </c>
      <c r="D7801" t="s">
        <v>176</v>
      </c>
      <c r="E7801">
        <v>494</v>
      </c>
      <c r="F7801">
        <v>1</v>
      </c>
      <c r="G7801">
        <v>32</v>
      </c>
      <c r="H7801">
        <f>_xlfn.XLOOKUP(FACT_IMPORTS[[#This Row],[hts_6]],DIM_PRODUCTS[hts_6],DIM_PRODUCTS[hts_4],,,)</f>
        <v>9401</v>
      </c>
      <c r="I7801" t="str" cm="1">
        <f t="array" ref="I7801">_xlfn.XLOOKUP(FACT_IMPORTS[[#This Row],[country_name]],DIM_COUNTRY[[#All],[Column2]],DIM_COUNTRY[[#All],[Column3]],,,)</f>
        <v>Major_Non-USMCA_Non-China</v>
      </c>
    </row>
    <row r="7802" spans="1:9" x14ac:dyDescent="0.4">
      <c r="A7802" t="s">
        <v>71</v>
      </c>
      <c r="B7802" s="1">
        <v>45413</v>
      </c>
      <c r="C7802">
        <v>392630</v>
      </c>
      <c r="D7802" t="s">
        <v>176</v>
      </c>
      <c r="E7802">
        <v>1582</v>
      </c>
      <c r="F7802">
        <v>78</v>
      </c>
      <c r="G7802">
        <v>385</v>
      </c>
      <c r="H7802">
        <f>_xlfn.XLOOKUP(FACT_IMPORTS[[#This Row],[hts_6]],DIM_PRODUCTS[hts_6],DIM_PRODUCTS[hts_4],,,)</f>
        <v>3926</v>
      </c>
      <c r="I7802" t="str" cm="1">
        <f t="array" ref="I7802">_xlfn.XLOOKUP(FACT_IMPORTS[[#This Row],[country_name]],DIM_COUNTRY[[#All],[Column2]],DIM_COUNTRY[[#All],[Column3]],,,)</f>
        <v>Major_Non-USMCA_Non-China</v>
      </c>
    </row>
    <row r="7803" spans="1:9" x14ac:dyDescent="0.4">
      <c r="A7803" t="s">
        <v>71</v>
      </c>
      <c r="B7803" s="1">
        <v>45413</v>
      </c>
      <c r="C7803">
        <v>401110</v>
      </c>
      <c r="D7803" t="s">
        <v>176</v>
      </c>
      <c r="E7803">
        <v>34756</v>
      </c>
      <c r="F7803">
        <v>284</v>
      </c>
      <c r="G7803">
        <v>900</v>
      </c>
      <c r="H7803">
        <f>_xlfn.XLOOKUP(FACT_IMPORTS[[#This Row],[hts_6]],DIM_PRODUCTS[hts_6],DIM_PRODUCTS[hts_4],,,)</f>
        <v>4011</v>
      </c>
      <c r="I7803" t="str" cm="1">
        <f t="array" ref="I7803">_xlfn.XLOOKUP(FACT_IMPORTS[[#This Row],[country_name]],DIM_COUNTRY[[#All],[Column2]],DIM_COUNTRY[[#All],[Column3]],,,)</f>
        <v>Major_Non-USMCA_Non-China</v>
      </c>
    </row>
    <row r="7804" spans="1:9" x14ac:dyDescent="0.4">
      <c r="A7804" t="s">
        <v>71</v>
      </c>
      <c r="B7804" s="1">
        <v>45413</v>
      </c>
      <c r="C7804">
        <v>401120</v>
      </c>
      <c r="D7804" t="s">
        <v>176</v>
      </c>
      <c r="E7804">
        <v>97149</v>
      </c>
      <c r="F7804">
        <v>200</v>
      </c>
      <c r="G7804">
        <v>300</v>
      </c>
      <c r="H7804">
        <f>_xlfn.XLOOKUP(FACT_IMPORTS[[#This Row],[hts_6]],DIM_PRODUCTS[hts_6],DIM_PRODUCTS[hts_4],,,)</f>
        <v>4011</v>
      </c>
      <c r="I7804" t="str" cm="1">
        <f t="array" ref="I7804">_xlfn.XLOOKUP(FACT_IMPORTS[[#This Row],[country_name]],DIM_COUNTRY[[#All],[Column2]],DIM_COUNTRY[[#All],[Column3]],,,)</f>
        <v>Major_Non-USMCA_Non-China</v>
      </c>
    </row>
    <row r="7805" spans="1:9" x14ac:dyDescent="0.4">
      <c r="A7805" t="s">
        <v>71</v>
      </c>
      <c r="B7805" s="1">
        <v>45413</v>
      </c>
      <c r="C7805">
        <v>700711</v>
      </c>
      <c r="D7805" t="s">
        <v>176</v>
      </c>
      <c r="E7805">
        <v>0</v>
      </c>
      <c r="F7805">
        <v>0</v>
      </c>
      <c r="G7805">
        <v>0</v>
      </c>
      <c r="H7805">
        <f>_xlfn.XLOOKUP(FACT_IMPORTS[[#This Row],[hts_6]],DIM_PRODUCTS[hts_6],DIM_PRODUCTS[hts_4],,,)</f>
        <v>7007</v>
      </c>
      <c r="I7805" t="str" cm="1">
        <f t="array" ref="I7805">_xlfn.XLOOKUP(FACT_IMPORTS[[#This Row],[country_name]],DIM_COUNTRY[[#All],[Column2]],DIM_COUNTRY[[#All],[Column3]],,,)</f>
        <v>Major_Non-USMCA_Non-China</v>
      </c>
    </row>
    <row r="7806" spans="1:9" x14ac:dyDescent="0.4">
      <c r="A7806" t="s">
        <v>71</v>
      </c>
      <c r="B7806" s="1">
        <v>45413</v>
      </c>
      <c r="C7806">
        <v>700721</v>
      </c>
      <c r="D7806" t="s">
        <v>176</v>
      </c>
      <c r="E7806">
        <v>0</v>
      </c>
      <c r="F7806">
        <v>0</v>
      </c>
      <c r="G7806">
        <v>0</v>
      </c>
      <c r="H7806">
        <f>_xlfn.XLOOKUP(FACT_IMPORTS[[#This Row],[hts_6]],DIM_PRODUCTS[hts_6],DIM_PRODUCTS[hts_4],,,)</f>
        <v>7007</v>
      </c>
      <c r="I7806" t="str" cm="1">
        <f t="array" ref="I7806">_xlfn.XLOOKUP(FACT_IMPORTS[[#This Row],[country_name]],DIM_COUNTRY[[#All],[Column2]],DIM_COUNTRY[[#All],[Column3]],,,)</f>
        <v>Major_Non-USMCA_Non-China</v>
      </c>
    </row>
    <row r="7807" spans="1:9" x14ac:dyDescent="0.4">
      <c r="A7807" t="s">
        <v>71</v>
      </c>
      <c r="B7807" s="1">
        <v>45413</v>
      </c>
      <c r="C7807">
        <v>700910</v>
      </c>
      <c r="D7807" t="s">
        <v>176</v>
      </c>
      <c r="E7807">
        <v>0</v>
      </c>
      <c r="F7807">
        <v>0</v>
      </c>
      <c r="G7807">
        <v>0</v>
      </c>
      <c r="H7807">
        <f>_xlfn.XLOOKUP(FACT_IMPORTS[[#This Row],[hts_6]],DIM_PRODUCTS[hts_6],DIM_PRODUCTS[hts_4],,,)</f>
        <v>7009</v>
      </c>
      <c r="I7807" t="str" cm="1">
        <f t="array" ref="I7807">_xlfn.XLOOKUP(FACT_IMPORTS[[#This Row],[country_name]],DIM_COUNTRY[[#All],[Column2]],DIM_COUNTRY[[#All],[Column3]],,,)</f>
        <v>Major_Non-USMCA_Non-China</v>
      </c>
    </row>
    <row r="7808" spans="1:9" x14ac:dyDescent="0.4">
      <c r="A7808" t="s">
        <v>71</v>
      </c>
      <c r="B7808" s="1">
        <v>45413</v>
      </c>
      <c r="C7808">
        <v>732010</v>
      </c>
      <c r="D7808" t="s">
        <v>176</v>
      </c>
      <c r="E7808">
        <v>0</v>
      </c>
      <c r="F7808">
        <v>0</v>
      </c>
      <c r="G7808">
        <v>0</v>
      </c>
      <c r="H7808">
        <f>_xlfn.XLOOKUP(FACT_IMPORTS[[#This Row],[hts_6]],DIM_PRODUCTS[hts_6],DIM_PRODUCTS[hts_4],,,)</f>
        <v>7320</v>
      </c>
      <c r="I7808" t="str" cm="1">
        <f t="array" ref="I7808">_xlfn.XLOOKUP(FACT_IMPORTS[[#This Row],[country_name]],DIM_COUNTRY[[#All],[Column2]],DIM_COUNTRY[[#All],[Column3]],,,)</f>
        <v>Major_Non-USMCA_Non-China</v>
      </c>
    </row>
    <row r="7809" spans="1:9" x14ac:dyDescent="0.4">
      <c r="A7809" t="s">
        <v>71</v>
      </c>
      <c r="B7809" s="1">
        <v>45413</v>
      </c>
      <c r="C7809">
        <v>830230</v>
      </c>
      <c r="D7809" t="s">
        <v>176</v>
      </c>
      <c r="E7809">
        <v>67623</v>
      </c>
      <c r="F7809">
        <v>13770</v>
      </c>
      <c r="G7809">
        <v>876</v>
      </c>
      <c r="H7809">
        <f>_xlfn.XLOOKUP(FACT_IMPORTS[[#This Row],[hts_6]],DIM_PRODUCTS[hts_6],DIM_PRODUCTS[hts_4],,,)</f>
        <v>8302</v>
      </c>
      <c r="I7809" t="str" cm="1">
        <f t="array" ref="I7809">_xlfn.XLOOKUP(FACT_IMPORTS[[#This Row],[country_name]],DIM_COUNTRY[[#All],[Column2]],DIM_COUNTRY[[#All],[Column3]],,,)</f>
        <v>Major_Non-USMCA_Non-China</v>
      </c>
    </row>
    <row r="7810" spans="1:9" x14ac:dyDescent="0.4">
      <c r="A7810" t="s">
        <v>71</v>
      </c>
      <c r="B7810" s="1">
        <v>45413</v>
      </c>
      <c r="C7810">
        <v>840734</v>
      </c>
      <c r="D7810" t="s">
        <v>176</v>
      </c>
      <c r="E7810">
        <v>561260</v>
      </c>
      <c r="F7810">
        <v>30</v>
      </c>
      <c r="G7810">
        <v>61491</v>
      </c>
      <c r="H7810">
        <f>_xlfn.XLOOKUP(FACT_IMPORTS[[#This Row],[hts_6]],DIM_PRODUCTS[hts_6],DIM_PRODUCTS[hts_4],,,)</f>
        <v>8407</v>
      </c>
      <c r="I7810" t="str" cm="1">
        <f t="array" ref="I7810">_xlfn.XLOOKUP(FACT_IMPORTS[[#This Row],[country_name]],DIM_COUNTRY[[#All],[Column2]],DIM_COUNTRY[[#All],[Column3]],,,)</f>
        <v>Major_Non-USMCA_Non-China</v>
      </c>
    </row>
    <row r="7811" spans="1:9" x14ac:dyDescent="0.4">
      <c r="A7811" t="s">
        <v>71</v>
      </c>
      <c r="B7811" s="1">
        <v>45413</v>
      </c>
      <c r="C7811">
        <v>840790</v>
      </c>
      <c r="D7811" t="s">
        <v>176</v>
      </c>
      <c r="E7811">
        <v>0</v>
      </c>
      <c r="F7811">
        <v>0</v>
      </c>
      <c r="G7811">
        <v>0</v>
      </c>
      <c r="H7811">
        <f>_xlfn.XLOOKUP(FACT_IMPORTS[[#This Row],[hts_6]],DIM_PRODUCTS[hts_6],DIM_PRODUCTS[hts_4],,,)</f>
        <v>8407</v>
      </c>
      <c r="I7811" t="str" cm="1">
        <f t="array" ref="I7811">_xlfn.XLOOKUP(FACT_IMPORTS[[#This Row],[country_name]],DIM_COUNTRY[[#All],[Column2]],DIM_COUNTRY[[#All],[Column3]],,,)</f>
        <v>Major_Non-USMCA_Non-China</v>
      </c>
    </row>
    <row r="7812" spans="1:9" x14ac:dyDescent="0.4">
      <c r="A7812" t="s">
        <v>71</v>
      </c>
      <c r="B7812" s="1">
        <v>45413</v>
      </c>
      <c r="C7812">
        <v>840820</v>
      </c>
      <c r="D7812" t="s">
        <v>176</v>
      </c>
      <c r="E7812">
        <v>0</v>
      </c>
      <c r="F7812">
        <v>0</v>
      </c>
      <c r="G7812">
        <v>0</v>
      </c>
      <c r="H7812">
        <f>_xlfn.XLOOKUP(FACT_IMPORTS[[#This Row],[hts_6]],DIM_PRODUCTS[hts_6],DIM_PRODUCTS[hts_4],,,)</f>
        <v>8408</v>
      </c>
      <c r="I7812" t="str" cm="1">
        <f t="array" ref="I7812">_xlfn.XLOOKUP(FACT_IMPORTS[[#This Row],[country_name]],DIM_COUNTRY[[#All],[Column2]],DIM_COUNTRY[[#All],[Column3]],,,)</f>
        <v>Major_Non-USMCA_Non-China</v>
      </c>
    </row>
    <row r="7813" spans="1:9" x14ac:dyDescent="0.4">
      <c r="A7813" t="s">
        <v>71</v>
      </c>
      <c r="B7813" s="1">
        <v>45413</v>
      </c>
      <c r="C7813">
        <v>840890</v>
      </c>
      <c r="D7813" t="s">
        <v>176</v>
      </c>
      <c r="E7813">
        <v>8235</v>
      </c>
      <c r="F7813">
        <v>2</v>
      </c>
      <c r="G7813">
        <v>1323</v>
      </c>
      <c r="H7813">
        <f>_xlfn.XLOOKUP(FACT_IMPORTS[[#This Row],[hts_6]],DIM_PRODUCTS[hts_6],DIM_PRODUCTS[hts_4],,,)</f>
        <v>8408</v>
      </c>
      <c r="I7813" t="str" cm="1">
        <f t="array" ref="I7813">_xlfn.XLOOKUP(FACT_IMPORTS[[#This Row],[country_name]],DIM_COUNTRY[[#All],[Column2]],DIM_COUNTRY[[#All],[Column3]],,,)</f>
        <v>Major_Non-USMCA_Non-China</v>
      </c>
    </row>
    <row r="7814" spans="1:9" x14ac:dyDescent="0.4">
      <c r="A7814" t="s">
        <v>71</v>
      </c>
      <c r="B7814" s="1">
        <v>45413</v>
      </c>
      <c r="C7814">
        <v>840991</v>
      </c>
      <c r="D7814" t="s">
        <v>176</v>
      </c>
      <c r="E7814">
        <v>6759702</v>
      </c>
      <c r="F7814">
        <v>495518</v>
      </c>
      <c r="G7814">
        <v>149056</v>
      </c>
      <c r="H7814">
        <f>_xlfn.XLOOKUP(FACT_IMPORTS[[#This Row],[hts_6]],DIM_PRODUCTS[hts_6],DIM_PRODUCTS[hts_4],,,)</f>
        <v>8409</v>
      </c>
      <c r="I7814" t="str" cm="1">
        <f t="array" ref="I7814">_xlfn.XLOOKUP(FACT_IMPORTS[[#This Row],[country_name]],DIM_COUNTRY[[#All],[Column2]],DIM_COUNTRY[[#All],[Column3]],,,)</f>
        <v>Major_Non-USMCA_Non-China</v>
      </c>
    </row>
    <row r="7815" spans="1:9" x14ac:dyDescent="0.4">
      <c r="A7815" t="s">
        <v>71</v>
      </c>
      <c r="B7815" s="1">
        <v>45413</v>
      </c>
      <c r="C7815">
        <v>840999</v>
      </c>
      <c r="D7815" t="s">
        <v>176</v>
      </c>
      <c r="E7815">
        <v>15526</v>
      </c>
      <c r="F7815">
        <v>1678</v>
      </c>
      <c r="G7815">
        <v>546</v>
      </c>
      <c r="H7815">
        <f>_xlfn.XLOOKUP(FACT_IMPORTS[[#This Row],[hts_6]],DIM_PRODUCTS[hts_6],DIM_PRODUCTS[hts_4],,,)</f>
        <v>8409</v>
      </c>
      <c r="I7815" t="str" cm="1">
        <f t="array" ref="I7815">_xlfn.XLOOKUP(FACT_IMPORTS[[#This Row],[country_name]],DIM_COUNTRY[[#All],[Column2]],DIM_COUNTRY[[#All],[Column3]],,,)</f>
        <v>Major_Non-USMCA_Non-China</v>
      </c>
    </row>
    <row r="7816" spans="1:9" x14ac:dyDescent="0.4">
      <c r="A7816" t="s">
        <v>71</v>
      </c>
      <c r="B7816" s="1">
        <v>45413</v>
      </c>
      <c r="C7816">
        <v>841330</v>
      </c>
      <c r="D7816" t="s">
        <v>176</v>
      </c>
      <c r="E7816">
        <v>150084</v>
      </c>
      <c r="F7816">
        <v>7213</v>
      </c>
      <c r="G7816">
        <v>3173</v>
      </c>
      <c r="H7816">
        <f>_xlfn.XLOOKUP(FACT_IMPORTS[[#This Row],[hts_6]],DIM_PRODUCTS[hts_6],DIM_PRODUCTS[hts_4],,,)</f>
        <v>8413</v>
      </c>
      <c r="I7816" t="str" cm="1">
        <f t="array" ref="I7816">_xlfn.XLOOKUP(FACT_IMPORTS[[#This Row],[country_name]],DIM_COUNTRY[[#All],[Column2]],DIM_COUNTRY[[#All],[Column3]],,,)</f>
        <v>Major_Non-USMCA_Non-China</v>
      </c>
    </row>
    <row r="7817" spans="1:9" x14ac:dyDescent="0.4">
      <c r="A7817" t="s">
        <v>71</v>
      </c>
      <c r="B7817" s="1">
        <v>45413</v>
      </c>
      <c r="C7817">
        <v>841520</v>
      </c>
      <c r="D7817" t="s">
        <v>176</v>
      </c>
      <c r="E7817">
        <v>0</v>
      </c>
      <c r="F7817">
        <v>0</v>
      </c>
      <c r="G7817">
        <v>0</v>
      </c>
      <c r="H7817">
        <f>_xlfn.XLOOKUP(FACT_IMPORTS[[#This Row],[hts_6]],DIM_PRODUCTS[hts_6],DIM_PRODUCTS[hts_4],,,)</f>
        <v>8415</v>
      </c>
      <c r="I7817" t="str" cm="1">
        <f t="array" ref="I7817">_xlfn.XLOOKUP(FACT_IMPORTS[[#This Row],[country_name]],DIM_COUNTRY[[#All],[Column2]],DIM_COUNTRY[[#All],[Column3]],,,)</f>
        <v>Major_Non-USMCA_Non-China</v>
      </c>
    </row>
    <row r="7818" spans="1:9" x14ac:dyDescent="0.4">
      <c r="A7818" t="s">
        <v>71</v>
      </c>
      <c r="B7818" s="1">
        <v>45413</v>
      </c>
      <c r="C7818">
        <v>842132</v>
      </c>
      <c r="D7818" t="s">
        <v>176</v>
      </c>
      <c r="E7818">
        <v>75213</v>
      </c>
      <c r="F7818">
        <v>11</v>
      </c>
      <c r="G7818">
        <v>186</v>
      </c>
      <c r="H7818">
        <f>_xlfn.XLOOKUP(FACT_IMPORTS[[#This Row],[hts_6]],DIM_PRODUCTS[hts_6],DIM_PRODUCTS[hts_4],,,)</f>
        <v>8421</v>
      </c>
      <c r="I7818" t="str" cm="1">
        <f t="array" ref="I7818">_xlfn.XLOOKUP(FACT_IMPORTS[[#This Row],[country_name]],DIM_COUNTRY[[#All],[Column2]],DIM_COUNTRY[[#All],[Column3]],,,)</f>
        <v>Major_Non-USMCA_Non-China</v>
      </c>
    </row>
    <row r="7819" spans="1:9" x14ac:dyDescent="0.4">
      <c r="A7819" t="s">
        <v>71</v>
      </c>
      <c r="B7819" s="1">
        <v>45413</v>
      </c>
      <c r="C7819">
        <v>848210</v>
      </c>
      <c r="D7819" t="s">
        <v>176</v>
      </c>
      <c r="E7819">
        <v>98433</v>
      </c>
      <c r="F7819">
        <v>6238</v>
      </c>
      <c r="G7819">
        <v>1934</v>
      </c>
      <c r="H7819">
        <f>_xlfn.XLOOKUP(FACT_IMPORTS[[#This Row],[hts_6]],DIM_PRODUCTS[hts_6],DIM_PRODUCTS[hts_4],,,)</f>
        <v>8482</v>
      </c>
      <c r="I7819" t="str" cm="1">
        <f t="array" ref="I7819">_xlfn.XLOOKUP(FACT_IMPORTS[[#This Row],[country_name]],DIM_COUNTRY[[#All],[Column2]],DIM_COUNTRY[[#All],[Column3]],,,)</f>
        <v>Major_Non-USMCA_Non-China</v>
      </c>
    </row>
    <row r="7820" spans="1:9" x14ac:dyDescent="0.4">
      <c r="A7820" t="s">
        <v>71</v>
      </c>
      <c r="B7820" s="1">
        <v>45413</v>
      </c>
      <c r="C7820">
        <v>848220</v>
      </c>
      <c r="D7820" t="s">
        <v>176</v>
      </c>
      <c r="E7820">
        <v>232497</v>
      </c>
      <c r="F7820">
        <v>13093</v>
      </c>
      <c r="G7820">
        <v>1843</v>
      </c>
      <c r="H7820">
        <f>_xlfn.XLOOKUP(FACT_IMPORTS[[#This Row],[hts_6]],DIM_PRODUCTS[hts_6],DIM_PRODUCTS[hts_4],,,)</f>
        <v>8482</v>
      </c>
      <c r="I7820" t="str" cm="1">
        <f t="array" ref="I7820">_xlfn.XLOOKUP(FACT_IMPORTS[[#This Row],[country_name]],DIM_COUNTRY[[#All],[Column2]],DIM_COUNTRY[[#All],[Column3]],,,)</f>
        <v>Major_Non-USMCA_Non-China</v>
      </c>
    </row>
    <row r="7821" spans="1:9" x14ac:dyDescent="0.4">
      <c r="A7821" t="s">
        <v>71</v>
      </c>
      <c r="B7821" s="1">
        <v>45413</v>
      </c>
      <c r="C7821">
        <v>848310</v>
      </c>
      <c r="D7821" t="s">
        <v>176</v>
      </c>
      <c r="E7821">
        <v>495262</v>
      </c>
      <c r="F7821">
        <v>22158</v>
      </c>
      <c r="G7821">
        <v>770</v>
      </c>
      <c r="H7821">
        <f>_xlfn.XLOOKUP(FACT_IMPORTS[[#This Row],[hts_6]],DIM_PRODUCTS[hts_6],DIM_PRODUCTS[hts_4],,,)</f>
        <v>8483</v>
      </c>
      <c r="I7821" t="str" cm="1">
        <f t="array" ref="I7821">_xlfn.XLOOKUP(FACT_IMPORTS[[#This Row],[country_name]],DIM_COUNTRY[[#All],[Column2]],DIM_COUNTRY[[#All],[Column3]],,,)</f>
        <v>Major_Non-USMCA_Non-China</v>
      </c>
    </row>
    <row r="7822" spans="1:9" x14ac:dyDescent="0.4">
      <c r="A7822" t="s">
        <v>71</v>
      </c>
      <c r="B7822" s="1">
        <v>45413</v>
      </c>
      <c r="C7822">
        <v>850131</v>
      </c>
      <c r="D7822" t="s">
        <v>176</v>
      </c>
      <c r="E7822">
        <v>2490301</v>
      </c>
      <c r="F7822">
        <v>71379</v>
      </c>
      <c r="G7822">
        <v>32373</v>
      </c>
      <c r="H7822">
        <f>_xlfn.XLOOKUP(FACT_IMPORTS[[#This Row],[hts_6]],DIM_PRODUCTS[hts_6],DIM_PRODUCTS[hts_4],,,)</f>
        <v>8501</v>
      </c>
      <c r="I7822" t="str" cm="1">
        <f t="array" ref="I7822">_xlfn.XLOOKUP(FACT_IMPORTS[[#This Row],[country_name]],DIM_COUNTRY[[#All],[Column2]],DIM_COUNTRY[[#All],[Column3]],,,)</f>
        <v>Major_Non-USMCA_Non-China</v>
      </c>
    </row>
    <row r="7823" spans="1:9" x14ac:dyDescent="0.4">
      <c r="A7823" t="s">
        <v>71</v>
      </c>
      <c r="B7823" s="1">
        <v>45413</v>
      </c>
      <c r="C7823">
        <v>850132</v>
      </c>
      <c r="D7823" t="s">
        <v>176</v>
      </c>
      <c r="E7823">
        <v>17822</v>
      </c>
      <c r="F7823">
        <v>26</v>
      </c>
      <c r="G7823">
        <v>224</v>
      </c>
      <c r="H7823">
        <f>_xlfn.XLOOKUP(FACT_IMPORTS[[#This Row],[hts_6]],DIM_PRODUCTS[hts_6],DIM_PRODUCTS[hts_4],,,)</f>
        <v>8501</v>
      </c>
      <c r="I7823" t="str" cm="1">
        <f t="array" ref="I7823">_xlfn.XLOOKUP(FACT_IMPORTS[[#This Row],[country_name]],DIM_COUNTRY[[#All],[Column2]],DIM_COUNTRY[[#All],[Column3]],,,)</f>
        <v>Major_Non-USMCA_Non-China</v>
      </c>
    </row>
    <row r="7824" spans="1:9" x14ac:dyDescent="0.4">
      <c r="A7824" t="s">
        <v>71</v>
      </c>
      <c r="B7824" s="1">
        <v>45413</v>
      </c>
      <c r="C7824">
        <v>850133</v>
      </c>
      <c r="D7824" t="s">
        <v>176</v>
      </c>
      <c r="E7824">
        <v>0</v>
      </c>
      <c r="F7824">
        <v>0</v>
      </c>
      <c r="G7824">
        <v>0</v>
      </c>
      <c r="H7824">
        <f>_xlfn.XLOOKUP(FACT_IMPORTS[[#This Row],[hts_6]],DIM_PRODUCTS[hts_6],DIM_PRODUCTS[hts_4],,,)</f>
        <v>8501</v>
      </c>
      <c r="I7824" t="str" cm="1">
        <f t="array" ref="I7824">_xlfn.XLOOKUP(FACT_IMPORTS[[#This Row],[country_name]],DIM_COUNTRY[[#All],[Column2]],DIM_COUNTRY[[#All],[Column3]],,,)</f>
        <v>Major_Non-USMCA_Non-China</v>
      </c>
    </row>
    <row r="7825" spans="1:9" x14ac:dyDescent="0.4">
      <c r="A7825" t="s">
        <v>71</v>
      </c>
      <c r="B7825" s="1">
        <v>45413</v>
      </c>
      <c r="C7825">
        <v>850152</v>
      </c>
      <c r="D7825" t="s">
        <v>176</v>
      </c>
      <c r="E7825">
        <v>345032</v>
      </c>
      <c r="F7825">
        <v>473</v>
      </c>
      <c r="G7825">
        <v>5785</v>
      </c>
      <c r="H7825">
        <f>_xlfn.XLOOKUP(FACT_IMPORTS[[#This Row],[hts_6]],DIM_PRODUCTS[hts_6],DIM_PRODUCTS[hts_4],,,)</f>
        <v>8501</v>
      </c>
      <c r="I7825" t="str" cm="1">
        <f t="array" ref="I7825">_xlfn.XLOOKUP(FACT_IMPORTS[[#This Row],[country_name]],DIM_COUNTRY[[#All],[Column2]],DIM_COUNTRY[[#All],[Column3]],,,)</f>
        <v>Major_Non-USMCA_Non-China</v>
      </c>
    </row>
    <row r="7826" spans="1:9" x14ac:dyDescent="0.4">
      <c r="A7826" t="s">
        <v>71</v>
      </c>
      <c r="B7826" s="1">
        <v>45413</v>
      </c>
      <c r="C7826">
        <v>850153</v>
      </c>
      <c r="D7826" t="s">
        <v>176</v>
      </c>
      <c r="E7826">
        <v>0</v>
      </c>
      <c r="F7826">
        <v>0</v>
      </c>
      <c r="G7826">
        <v>0</v>
      </c>
      <c r="H7826">
        <f>_xlfn.XLOOKUP(FACT_IMPORTS[[#This Row],[hts_6]],DIM_PRODUCTS[hts_6],DIM_PRODUCTS[hts_4],,,)</f>
        <v>8501</v>
      </c>
      <c r="I7826" t="str" cm="1">
        <f t="array" ref="I7826">_xlfn.XLOOKUP(FACT_IMPORTS[[#This Row],[country_name]],DIM_COUNTRY[[#All],[Column2]],DIM_COUNTRY[[#All],[Column3]],,,)</f>
        <v>Major_Non-USMCA_Non-China</v>
      </c>
    </row>
    <row r="7827" spans="1:9" x14ac:dyDescent="0.4">
      <c r="A7827" t="s">
        <v>71</v>
      </c>
      <c r="B7827" s="1">
        <v>45413</v>
      </c>
      <c r="C7827">
        <v>850161</v>
      </c>
      <c r="D7827" t="s">
        <v>176</v>
      </c>
      <c r="E7827">
        <v>0</v>
      </c>
      <c r="F7827">
        <v>0</v>
      </c>
      <c r="G7827">
        <v>0</v>
      </c>
      <c r="H7827">
        <f>_xlfn.XLOOKUP(FACT_IMPORTS[[#This Row],[hts_6]],DIM_PRODUCTS[hts_6],DIM_PRODUCTS[hts_4],,,)</f>
        <v>8501</v>
      </c>
      <c r="I7827" t="str" cm="1">
        <f t="array" ref="I7827">_xlfn.XLOOKUP(FACT_IMPORTS[[#This Row],[country_name]],DIM_COUNTRY[[#All],[Column2]],DIM_COUNTRY[[#All],[Column3]],,,)</f>
        <v>Major_Non-USMCA_Non-China</v>
      </c>
    </row>
    <row r="7828" spans="1:9" x14ac:dyDescent="0.4">
      <c r="A7828" t="s">
        <v>71</v>
      </c>
      <c r="B7828" s="1">
        <v>45413</v>
      </c>
      <c r="C7828">
        <v>850440</v>
      </c>
      <c r="D7828" t="s">
        <v>176</v>
      </c>
      <c r="E7828">
        <v>408964</v>
      </c>
      <c r="F7828">
        <v>292</v>
      </c>
      <c r="G7828">
        <v>7582</v>
      </c>
      <c r="H7828">
        <f>_xlfn.XLOOKUP(FACT_IMPORTS[[#This Row],[hts_6]],DIM_PRODUCTS[hts_6],DIM_PRODUCTS[hts_4],,,)</f>
        <v>8504</v>
      </c>
      <c r="I7828" t="str" cm="1">
        <f t="array" ref="I7828">_xlfn.XLOOKUP(FACT_IMPORTS[[#This Row],[country_name]],DIM_COUNTRY[[#All],[Column2]],DIM_COUNTRY[[#All],[Column3]],,,)</f>
        <v>Major_Non-USMCA_Non-China</v>
      </c>
    </row>
    <row r="7829" spans="1:9" x14ac:dyDescent="0.4">
      <c r="A7829" t="s">
        <v>71</v>
      </c>
      <c r="B7829" s="1">
        <v>45413</v>
      </c>
      <c r="C7829">
        <v>850710</v>
      </c>
      <c r="D7829" t="s">
        <v>176</v>
      </c>
      <c r="E7829">
        <v>0</v>
      </c>
      <c r="F7829">
        <v>0</v>
      </c>
      <c r="G7829">
        <v>0</v>
      </c>
      <c r="H7829">
        <f>_xlfn.XLOOKUP(FACT_IMPORTS[[#This Row],[hts_6]],DIM_PRODUCTS[hts_6],DIM_PRODUCTS[hts_4],,,)</f>
        <v>8507</v>
      </c>
      <c r="I7829" t="str" cm="1">
        <f t="array" ref="I7829">_xlfn.XLOOKUP(FACT_IMPORTS[[#This Row],[country_name]],DIM_COUNTRY[[#All],[Column2]],DIM_COUNTRY[[#All],[Column3]],,,)</f>
        <v>Major_Non-USMCA_Non-China</v>
      </c>
    </row>
    <row r="7830" spans="1:9" x14ac:dyDescent="0.4">
      <c r="A7830" t="s">
        <v>71</v>
      </c>
      <c r="B7830" s="1">
        <v>45413</v>
      </c>
      <c r="C7830">
        <v>850760</v>
      </c>
      <c r="D7830" t="s">
        <v>176</v>
      </c>
      <c r="E7830">
        <v>54709</v>
      </c>
      <c r="F7830">
        <v>345</v>
      </c>
      <c r="G7830">
        <v>414</v>
      </c>
      <c r="H7830">
        <f>_xlfn.XLOOKUP(FACT_IMPORTS[[#This Row],[hts_6]],DIM_PRODUCTS[hts_6],DIM_PRODUCTS[hts_4],,,)</f>
        <v>8507</v>
      </c>
      <c r="I7830" t="str" cm="1">
        <f t="array" ref="I7830">_xlfn.XLOOKUP(FACT_IMPORTS[[#This Row],[country_name]],DIM_COUNTRY[[#All],[Column2]],DIM_COUNTRY[[#All],[Column3]],,,)</f>
        <v>Major_Non-USMCA_Non-China</v>
      </c>
    </row>
    <row r="7831" spans="1:9" x14ac:dyDescent="0.4">
      <c r="A7831" t="s">
        <v>71</v>
      </c>
      <c r="B7831" s="1">
        <v>45413</v>
      </c>
      <c r="C7831">
        <v>850790</v>
      </c>
      <c r="D7831" t="s">
        <v>176</v>
      </c>
      <c r="E7831">
        <v>0</v>
      </c>
      <c r="F7831">
        <v>0</v>
      </c>
      <c r="G7831">
        <v>0</v>
      </c>
      <c r="H7831">
        <f>_xlfn.XLOOKUP(FACT_IMPORTS[[#This Row],[hts_6]],DIM_PRODUCTS[hts_6],DIM_PRODUCTS[hts_4],,,)</f>
        <v>8507</v>
      </c>
      <c r="I7831" t="str" cm="1">
        <f t="array" ref="I7831">_xlfn.XLOOKUP(FACT_IMPORTS[[#This Row],[country_name]],DIM_COUNTRY[[#All],[Column2]],DIM_COUNTRY[[#All],[Column3]],,,)</f>
        <v>Major_Non-USMCA_Non-China</v>
      </c>
    </row>
    <row r="7832" spans="1:9" x14ac:dyDescent="0.4">
      <c r="A7832" t="s">
        <v>71</v>
      </c>
      <c r="B7832" s="1">
        <v>45413</v>
      </c>
      <c r="C7832">
        <v>851110</v>
      </c>
      <c r="D7832" t="s">
        <v>176</v>
      </c>
      <c r="E7832">
        <v>43558</v>
      </c>
      <c r="F7832">
        <v>1365</v>
      </c>
      <c r="G7832">
        <v>1149</v>
      </c>
      <c r="H7832">
        <f>_xlfn.XLOOKUP(FACT_IMPORTS[[#This Row],[hts_6]],DIM_PRODUCTS[hts_6],DIM_PRODUCTS[hts_4],,,)</f>
        <v>8511</v>
      </c>
      <c r="I7832" t="str" cm="1">
        <f t="array" ref="I7832">_xlfn.XLOOKUP(FACT_IMPORTS[[#This Row],[country_name]],DIM_COUNTRY[[#All],[Column2]],DIM_COUNTRY[[#All],[Column3]],,,)</f>
        <v>Major_Non-USMCA_Non-China</v>
      </c>
    </row>
    <row r="7833" spans="1:9" x14ac:dyDescent="0.4">
      <c r="A7833" t="s">
        <v>71</v>
      </c>
      <c r="B7833" s="1">
        <v>45413</v>
      </c>
      <c r="C7833">
        <v>851130</v>
      </c>
      <c r="D7833" t="s">
        <v>176</v>
      </c>
      <c r="E7833">
        <v>13858</v>
      </c>
      <c r="F7833">
        <v>1812</v>
      </c>
      <c r="G7833">
        <v>523</v>
      </c>
      <c r="H7833">
        <f>_xlfn.XLOOKUP(FACT_IMPORTS[[#This Row],[hts_6]],DIM_PRODUCTS[hts_6],DIM_PRODUCTS[hts_4],,,)</f>
        <v>8511</v>
      </c>
      <c r="I7833" t="str" cm="1">
        <f t="array" ref="I7833">_xlfn.XLOOKUP(FACT_IMPORTS[[#This Row],[country_name]],DIM_COUNTRY[[#All],[Column2]],DIM_COUNTRY[[#All],[Column3]],,,)</f>
        <v>Major_Non-USMCA_Non-China</v>
      </c>
    </row>
    <row r="7834" spans="1:9" x14ac:dyDescent="0.4">
      <c r="A7834" t="s">
        <v>71</v>
      </c>
      <c r="B7834" s="1">
        <v>45413</v>
      </c>
      <c r="C7834">
        <v>851140</v>
      </c>
      <c r="D7834" t="s">
        <v>176</v>
      </c>
      <c r="E7834">
        <v>919541</v>
      </c>
      <c r="F7834">
        <v>18385</v>
      </c>
      <c r="G7834">
        <v>6585</v>
      </c>
      <c r="H7834">
        <f>_xlfn.XLOOKUP(FACT_IMPORTS[[#This Row],[hts_6]],DIM_PRODUCTS[hts_6],DIM_PRODUCTS[hts_4],,,)</f>
        <v>8511</v>
      </c>
      <c r="I7834" t="str" cm="1">
        <f t="array" ref="I7834">_xlfn.XLOOKUP(FACT_IMPORTS[[#This Row],[country_name]],DIM_COUNTRY[[#All],[Column2]],DIM_COUNTRY[[#All],[Column3]],,,)</f>
        <v>Major_Non-USMCA_Non-China</v>
      </c>
    </row>
    <row r="7835" spans="1:9" x14ac:dyDescent="0.4">
      <c r="A7835" t="s">
        <v>71</v>
      </c>
      <c r="B7835" s="1">
        <v>45413</v>
      </c>
      <c r="C7835">
        <v>851150</v>
      </c>
      <c r="D7835" t="s">
        <v>176</v>
      </c>
      <c r="E7835">
        <v>40308</v>
      </c>
      <c r="F7835">
        <v>303</v>
      </c>
      <c r="G7835">
        <v>3810</v>
      </c>
      <c r="H7835">
        <f>_xlfn.XLOOKUP(FACT_IMPORTS[[#This Row],[hts_6]],DIM_PRODUCTS[hts_6],DIM_PRODUCTS[hts_4],,,)</f>
        <v>8511</v>
      </c>
      <c r="I7835" t="str" cm="1">
        <f t="array" ref="I7835">_xlfn.XLOOKUP(FACT_IMPORTS[[#This Row],[country_name]],DIM_COUNTRY[[#All],[Column2]],DIM_COUNTRY[[#All],[Column3]],,,)</f>
        <v>Major_Non-USMCA_Non-China</v>
      </c>
    </row>
    <row r="7836" spans="1:9" x14ac:dyDescent="0.4">
      <c r="A7836" t="s">
        <v>71</v>
      </c>
      <c r="B7836" s="1">
        <v>45413</v>
      </c>
      <c r="C7836">
        <v>851180</v>
      </c>
      <c r="D7836" t="s">
        <v>176</v>
      </c>
      <c r="E7836">
        <v>13555</v>
      </c>
      <c r="F7836">
        <v>3249</v>
      </c>
      <c r="G7836">
        <v>250</v>
      </c>
      <c r="H7836">
        <f>_xlfn.XLOOKUP(FACT_IMPORTS[[#This Row],[hts_6]],DIM_PRODUCTS[hts_6],DIM_PRODUCTS[hts_4],,,)</f>
        <v>8511</v>
      </c>
      <c r="I7836" t="str" cm="1">
        <f t="array" ref="I7836">_xlfn.XLOOKUP(FACT_IMPORTS[[#This Row],[country_name]],DIM_COUNTRY[[#All],[Column2]],DIM_COUNTRY[[#All],[Column3]],,,)</f>
        <v>Major_Non-USMCA_Non-China</v>
      </c>
    </row>
    <row r="7837" spans="1:9" x14ac:dyDescent="0.4">
      <c r="A7837" t="s">
        <v>71</v>
      </c>
      <c r="B7837" s="1">
        <v>45413</v>
      </c>
      <c r="C7837">
        <v>851190</v>
      </c>
      <c r="D7837" t="s">
        <v>176</v>
      </c>
      <c r="E7837">
        <v>20317</v>
      </c>
      <c r="F7837">
        <v>345</v>
      </c>
      <c r="G7837">
        <v>1317</v>
      </c>
      <c r="H7837">
        <f>_xlfn.XLOOKUP(FACT_IMPORTS[[#This Row],[hts_6]],DIM_PRODUCTS[hts_6],DIM_PRODUCTS[hts_4],,,)</f>
        <v>8511</v>
      </c>
      <c r="I7837" t="str" cm="1">
        <f t="array" ref="I7837">_xlfn.XLOOKUP(FACT_IMPORTS[[#This Row],[country_name]],DIM_COUNTRY[[#All],[Column2]],DIM_COUNTRY[[#All],[Column3]],,,)</f>
        <v>Major_Non-USMCA_Non-China</v>
      </c>
    </row>
    <row r="7838" spans="1:9" x14ac:dyDescent="0.4">
      <c r="A7838" t="s">
        <v>71</v>
      </c>
      <c r="B7838" s="1">
        <v>45413</v>
      </c>
      <c r="C7838">
        <v>851220</v>
      </c>
      <c r="D7838" t="s">
        <v>176</v>
      </c>
      <c r="E7838">
        <v>6080</v>
      </c>
      <c r="F7838">
        <v>540</v>
      </c>
      <c r="G7838">
        <v>200</v>
      </c>
      <c r="H7838">
        <f>_xlfn.XLOOKUP(FACT_IMPORTS[[#This Row],[hts_6]],DIM_PRODUCTS[hts_6],DIM_PRODUCTS[hts_4],,,)</f>
        <v>8512</v>
      </c>
      <c r="I7838" t="str" cm="1">
        <f t="array" ref="I7838">_xlfn.XLOOKUP(FACT_IMPORTS[[#This Row],[country_name]],DIM_COUNTRY[[#All],[Column2]],DIM_COUNTRY[[#All],[Column3]],,,)</f>
        <v>Major_Non-USMCA_Non-China</v>
      </c>
    </row>
    <row r="7839" spans="1:9" x14ac:dyDescent="0.4">
      <c r="A7839" t="s">
        <v>71</v>
      </c>
      <c r="B7839" s="1">
        <v>45413</v>
      </c>
      <c r="C7839">
        <v>851230</v>
      </c>
      <c r="D7839" t="s">
        <v>176</v>
      </c>
      <c r="E7839">
        <v>0</v>
      </c>
      <c r="F7839">
        <v>0</v>
      </c>
      <c r="G7839">
        <v>0</v>
      </c>
      <c r="H7839">
        <f>_xlfn.XLOOKUP(FACT_IMPORTS[[#This Row],[hts_6]],DIM_PRODUCTS[hts_6],DIM_PRODUCTS[hts_4],,,)</f>
        <v>8512</v>
      </c>
      <c r="I7839" t="str" cm="1">
        <f t="array" ref="I7839">_xlfn.XLOOKUP(FACT_IMPORTS[[#This Row],[country_name]],DIM_COUNTRY[[#All],[Column2]],DIM_COUNTRY[[#All],[Column3]],,,)</f>
        <v>Major_Non-USMCA_Non-China</v>
      </c>
    </row>
    <row r="7840" spans="1:9" x14ac:dyDescent="0.4">
      <c r="A7840" t="s">
        <v>71</v>
      </c>
      <c r="B7840" s="1">
        <v>45413</v>
      </c>
      <c r="C7840">
        <v>851290</v>
      </c>
      <c r="D7840" t="s">
        <v>176</v>
      </c>
      <c r="E7840">
        <v>0</v>
      </c>
      <c r="F7840">
        <v>0</v>
      </c>
      <c r="G7840">
        <v>0</v>
      </c>
      <c r="H7840">
        <f>_xlfn.XLOOKUP(FACT_IMPORTS[[#This Row],[hts_6]],DIM_PRODUCTS[hts_6],DIM_PRODUCTS[hts_4],,,)</f>
        <v>8512</v>
      </c>
      <c r="I7840" t="str" cm="1">
        <f t="array" ref="I7840">_xlfn.XLOOKUP(FACT_IMPORTS[[#This Row],[country_name]],DIM_COUNTRY[[#All],[Column2]],DIM_COUNTRY[[#All],[Column3]],,,)</f>
        <v>Major_Non-USMCA_Non-China</v>
      </c>
    </row>
    <row r="7841" spans="1:9" x14ac:dyDescent="0.4">
      <c r="A7841" t="s">
        <v>71</v>
      </c>
      <c r="B7841" s="1">
        <v>45413</v>
      </c>
      <c r="C7841">
        <v>854231</v>
      </c>
      <c r="D7841" t="s">
        <v>176</v>
      </c>
      <c r="E7841">
        <v>164980</v>
      </c>
      <c r="F7841">
        <v>20049</v>
      </c>
      <c r="G7841">
        <v>2145</v>
      </c>
      <c r="H7841">
        <f>_xlfn.XLOOKUP(FACT_IMPORTS[[#This Row],[hts_6]],DIM_PRODUCTS[hts_6],DIM_PRODUCTS[hts_4],,,)</f>
        <v>8542</v>
      </c>
      <c r="I7841" t="str" cm="1">
        <f t="array" ref="I7841">_xlfn.XLOOKUP(FACT_IMPORTS[[#This Row],[country_name]],DIM_COUNTRY[[#All],[Column2]],DIM_COUNTRY[[#All],[Column3]],,,)</f>
        <v>Major_Non-USMCA_Non-China</v>
      </c>
    </row>
    <row r="7842" spans="1:9" x14ac:dyDescent="0.4">
      <c r="A7842" t="s">
        <v>71</v>
      </c>
      <c r="B7842" s="1">
        <v>45413</v>
      </c>
      <c r="C7842">
        <v>854232</v>
      </c>
      <c r="D7842" t="s">
        <v>176</v>
      </c>
      <c r="E7842">
        <v>0</v>
      </c>
      <c r="F7842">
        <v>0</v>
      </c>
      <c r="G7842">
        <v>0</v>
      </c>
      <c r="H7842">
        <f>_xlfn.XLOOKUP(FACT_IMPORTS[[#This Row],[hts_6]],DIM_PRODUCTS[hts_6],DIM_PRODUCTS[hts_4],,,)</f>
        <v>8542</v>
      </c>
      <c r="I7842" t="str" cm="1">
        <f t="array" ref="I7842">_xlfn.XLOOKUP(FACT_IMPORTS[[#This Row],[country_name]],DIM_COUNTRY[[#All],[Column2]],DIM_COUNTRY[[#All],[Column3]],,,)</f>
        <v>Major_Non-USMCA_Non-China</v>
      </c>
    </row>
    <row r="7843" spans="1:9" x14ac:dyDescent="0.4">
      <c r="A7843" t="s">
        <v>71</v>
      </c>
      <c r="B7843" s="1">
        <v>45413</v>
      </c>
      <c r="C7843">
        <v>854239</v>
      </c>
      <c r="D7843" t="s">
        <v>176</v>
      </c>
      <c r="E7843">
        <v>0</v>
      </c>
      <c r="F7843">
        <v>0</v>
      </c>
      <c r="G7843">
        <v>0</v>
      </c>
      <c r="H7843">
        <f>_xlfn.XLOOKUP(FACT_IMPORTS[[#This Row],[hts_6]],DIM_PRODUCTS[hts_6],DIM_PRODUCTS[hts_4],,,)</f>
        <v>8542</v>
      </c>
      <c r="I7843" t="str" cm="1">
        <f t="array" ref="I7843">_xlfn.XLOOKUP(FACT_IMPORTS[[#This Row],[country_name]],DIM_COUNTRY[[#All],[Column2]],DIM_COUNTRY[[#All],[Column3]],,,)</f>
        <v>Major_Non-USMCA_Non-China</v>
      </c>
    </row>
    <row r="7844" spans="1:9" x14ac:dyDescent="0.4">
      <c r="A7844" t="s">
        <v>71</v>
      </c>
      <c r="B7844" s="1">
        <v>45413</v>
      </c>
      <c r="C7844">
        <v>854290</v>
      </c>
      <c r="D7844" t="s">
        <v>176</v>
      </c>
      <c r="E7844">
        <v>0</v>
      </c>
      <c r="F7844">
        <v>0</v>
      </c>
      <c r="G7844">
        <v>0</v>
      </c>
      <c r="H7844">
        <f>_xlfn.XLOOKUP(FACT_IMPORTS[[#This Row],[hts_6]],DIM_PRODUCTS[hts_6],DIM_PRODUCTS[hts_4],,,)</f>
        <v>8542</v>
      </c>
      <c r="I7844" t="str" cm="1">
        <f t="array" ref="I7844">_xlfn.XLOOKUP(FACT_IMPORTS[[#This Row],[country_name]],DIM_COUNTRY[[#All],[Column2]],DIM_COUNTRY[[#All],[Column3]],,,)</f>
        <v>Major_Non-USMCA_Non-China</v>
      </c>
    </row>
    <row r="7845" spans="1:9" x14ac:dyDescent="0.4">
      <c r="A7845" t="s">
        <v>71</v>
      </c>
      <c r="B7845" s="1">
        <v>45413</v>
      </c>
      <c r="C7845">
        <v>854430</v>
      </c>
      <c r="D7845" t="s">
        <v>176</v>
      </c>
      <c r="E7845">
        <v>0</v>
      </c>
      <c r="F7845">
        <v>0</v>
      </c>
      <c r="G7845">
        <v>0</v>
      </c>
      <c r="H7845">
        <f>_xlfn.XLOOKUP(FACT_IMPORTS[[#This Row],[hts_6]],DIM_PRODUCTS[hts_6],DIM_PRODUCTS[hts_4],,,)</f>
        <v>8544</v>
      </c>
      <c r="I7845" t="str" cm="1">
        <f t="array" ref="I7845">_xlfn.XLOOKUP(FACT_IMPORTS[[#This Row],[country_name]],DIM_COUNTRY[[#All],[Column2]],DIM_COUNTRY[[#All],[Column3]],,,)</f>
        <v>Major_Non-USMCA_Non-China</v>
      </c>
    </row>
    <row r="7846" spans="1:9" x14ac:dyDescent="0.4">
      <c r="A7846" t="s">
        <v>71</v>
      </c>
      <c r="B7846" s="1">
        <v>45413</v>
      </c>
      <c r="C7846">
        <v>870790</v>
      </c>
      <c r="D7846" t="s">
        <v>176</v>
      </c>
      <c r="E7846">
        <v>0</v>
      </c>
      <c r="F7846">
        <v>0</v>
      </c>
      <c r="G7846">
        <v>0</v>
      </c>
      <c r="H7846">
        <f>_xlfn.XLOOKUP(FACT_IMPORTS[[#This Row],[hts_6]],DIM_PRODUCTS[hts_6],DIM_PRODUCTS[hts_4],,,)</f>
        <v>8707</v>
      </c>
      <c r="I7846" t="str" cm="1">
        <f t="array" ref="I7846">_xlfn.XLOOKUP(FACT_IMPORTS[[#This Row],[country_name]],DIM_COUNTRY[[#All],[Column2]],DIM_COUNTRY[[#All],[Column3]],,,)</f>
        <v>Major_Non-USMCA_Non-China</v>
      </c>
    </row>
    <row r="7847" spans="1:9" x14ac:dyDescent="0.4">
      <c r="A7847" t="s">
        <v>71</v>
      </c>
      <c r="B7847" s="1">
        <v>45413</v>
      </c>
      <c r="C7847">
        <v>870810</v>
      </c>
      <c r="D7847" t="s">
        <v>176</v>
      </c>
      <c r="E7847">
        <v>0</v>
      </c>
      <c r="F7847">
        <v>0</v>
      </c>
      <c r="G7847">
        <v>0</v>
      </c>
      <c r="H7847">
        <f>_xlfn.XLOOKUP(FACT_IMPORTS[[#This Row],[hts_6]],DIM_PRODUCTS[hts_6],DIM_PRODUCTS[hts_4],,,)</f>
        <v>8708</v>
      </c>
      <c r="I7847" t="str" cm="1">
        <f t="array" ref="I7847">_xlfn.XLOOKUP(FACT_IMPORTS[[#This Row],[country_name]],DIM_COUNTRY[[#All],[Column2]],DIM_COUNTRY[[#All],[Column3]],,,)</f>
        <v>Major_Non-USMCA_Non-China</v>
      </c>
    </row>
    <row r="7848" spans="1:9" x14ac:dyDescent="0.4">
      <c r="A7848" t="s">
        <v>71</v>
      </c>
      <c r="B7848" s="1">
        <v>45413</v>
      </c>
      <c r="C7848">
        <v>870829</v>
      </c>
      <c r="D7848" t="s">
        <v>176</v>
      </c>
      <c r="E7848">
        <v>4131641</v>
      </c>
      <c r="F7848">
        <v>455001</v>
      </c>
      <c r="G7848">
        <v>35869</v>
      </c>
      <c r="H7848">
        <f>_xlfn.XLOOKUP(FACT_IMPORTS[[#This Row],[hts_6]],DIM_PRODUCTS[hts_6],DIM_PRODUCTS[hts_4],,,)</f>
        <v>8708</v>
      </c>
      <c r="I7848" t="str" cm="1">
        <f t="array" ref="I7848">_xlfn.XLOOKUP(FACT_IMPORTS[[#This Row],[country_name]],DIM_COUNTRY[[#All],[Column2]],DIM_COUNTRY[[#All],[Column3]],,,)</f>
        <v>Major_Non-USMCA_Non-China</v>
      </c>
    </row>
    <row r="7849" spans="1:9" x14ac:dyDescent="0.4">
      <c r="A7849" t="s">
        <v>71</v>
      </c>
      <c r="B7849" s="1">
        <v>45413</v>
      </c>
      <c r="C7849">
        <v>870830</v>
      </c>
      <c r="D7849" t="s">
        <v>176</v>
      </c>
      <c r="E7849">
        <v>8820</v>
      </c>
      <c r="F7849">
        <v>16</v>
      </c>
      <c r="G7849">
        <v>242</v>
      </c>
      <c r="H7849">
        <f>_xlfn.XLOOKUP(FACT_IMPORTS[[#This Row],[hts_6]],DIM_PRODUCTS[hts_6],DIM_PRODUCTS[hts_4],,,)</f>
        <v>8708</v>
      </c>
      <c r="I7849" t="str" cm="1">
        <f t="array" ref="I7849">_xlfn.XLOOKUP(FACT_IMPORTS[[#This Row],[country_name]],DIM_COUNTRY[[#All],[Column2]],DIM_COUNTRY[[#All],[Column3]],,,)</f>
        <v>Major_Non-USMCA_Non-China</v>
      </c>
    </row>
    <row r="7850" spans="1:9" x14ac:dyDescent="0.4">
      <c r="A7850" t="s">
        <v>71</v>
      </c>
      <c r="B7850" s="1">
        <v>45413</v>
      </c>
      <c r="C7850">
        <v>870840</v>
      </c>
      <c r="D7850" t="s">
        <v>176</v>
      </c>
      <c r="E7850">
        <v>1638318</v>
      </c>
      <c r="F7850">
        <v>12587</v>
      </c>
      <c r="G7850">
        <v>62494</v>
      </c>
      <c r="H7850">
        <f>_xlfn.XLOOKUP(FACT_IMPORTS[[#This Row],[hts_6]],DIM_PRODUCTS[hts_6],DIM_PRODUCTS[hts_4],,,)</f>
        <v>8708</v>
      </c>
      <c r="I7850" t="str" cm="1">
        <f t="array" ref="I7850">_xlfn.XLOOKUP(FACT_IMPORTS[[#This Row],[country_name]],DIM_COUNTRY[[#All],[Column2]],DIM_COUNTRY[[#All],[Column3]],,,)</f>
        <v>Major_Non-USMCA_Non-China</v>
      </c>
    </row>
    <row r="7851" spans="1:9" x14ac:dyDescent="0.4">
      <c r="A7851" t="s">
        <v>71</v>
      </c>
      <c r="B7851" s="1">
        <v>45413</v>
      </c>
      <c r="C7851">
        <v>870850</v>
      </c>
      <c r="D7851" t="s">
        <v>176</v>
      </c>
      <c r="E7851">
        <v>57917</v>
      </c>
      <c r="F7851">
        <v>6</v>
      </c>
      <c r="G7851">
        <v>9</v>
      </c>
      <c r="H7851">
        <f>_xlfn.XLOOKUP(FACT_IMPORTS[[#This Row],[hts_6]],DIM_PRODUCTS[hts_6],DIM_PRODUCTS[hts_4],,,)</f>
        <v>8708</v>
      </c>
      <c r="I7851" t="str" cm="1">
        <f t="array" ref="I7851">_xlfn.XLOOKUP(FACT_IMPORTS[[#This Row],[country_name]],DIM_COUNTRY[[#All],[Column2]],DIM_COUNTRY[[#All],[Column3]],,,)</f>
        <v>Major_Non-USMCA_Non-China</v>
      </c>
    </row>
    <row r="7852" spans="1:9" x14ac:dyDescent="0.4">
      <c r="A7852" t="s">
        <v>71</v>
      </c>
      <c r="B7852" s="1">
        <v>45413</v>
      </c>
      <c r="C7852">
        <v>870870</v>
      </c>
      <c r="D7852" t="s">
        <v>176</v>
      </c>
      <c r="E7852">
        <v>17961</v>
      </c>
      <c r="F7852">
        <v>1288</v>
      </c>
      <c r="G7852">
        <v>207</v>
      </c>
      <c r="H7852">
        <f>_xlfn.XLOOKUP(FACT_IMPORTS[[#This Row],[hts_6]],DIM_PRODUCTS[hts_6],DIM_PRODUCTS[hts_4],,,)</f>
        <v>8708</v>
      </c>
      <c r="I7852" t="str" cm="1">
        <f t="array" ref="I7852">_xlfn.XLOOKUP(FACT_IMPORTS[[#This Row],[country_name]],DIM_COUNTRY[[#All],[Column2]],DIM_COUNTRY[[#All],[Column3]],,,)</f>
        <v>Major_Non-USMCA_Non-China</v>
      </c>
    </row>
    <row r="7853" spans="1:9" x14ac:dyDescent="0.4">
      <c r="A7853" t="s">
        <v>71</v>
      </c>
      <c r="B7853" s="1">
        <v>45413</v>
      </c>
      <c r="C7853">
        <v>870880</v>
      </c>
      <c r="D7853" t="s">
        <v>176</v>
      </c>
      <c r="E7853">
        <v>91970</v>
      </c>
      <c r="F7853">
        <v>7092</v>
      </c>
      <c r="G7853">
        <v>17408</v>
      </c>
      <c r="H7853">
        <f>_xlfn.XLOOKUP(FACT_IMPORTS[[#This Row],[hts_6]],DIM_PRODUCTS[hts_6],DIM_PRODUCTS[hts_4],,,)</f>
        <v>8708</v>
      </c>
      <c r="I7853" t="str" cm="1">
        <f t="array" ref="I7853">_xlfn.XLOOKUP(FACT_IMPORTS[[#This Row],[country_name]],DIM_COUNTRY[[#All],[Column2]],DIM_COUNTRY[[#All],[Column3]],,,)</f>
        <v>Major_Non-USMCA_Non-China</v>
      </c>
    </row>
    <row r="7854" spans="1:9" x14ac:dyDescent="0.4">
      <c r="A7854" t="s">
        <v>71</v>
      </c>
      <c r="B7854" s="1">
        <v>45413</v>
      </c>
      <c r="C7854">
        <v>870891</v>
      </c>
      <c r="D7854" t="s">
        <v>176</v>
      </c>
      <c r="E7854">
        <v>127749</v>
      </c>
      <c r="F7854">
        <v>116612</v>
      </c>
      <c r="G7854">
        <v>1662</v>
      </c>
      <c r="H7854">
        <f>_xlfn.XLOOKUP(FACT_IMPORTS[[#This Row],[hts_6]],DIM_PRODUCTS[hts_6],DIM_PRODUCTS[hts_4],,,)</f>
        <v>8708</v>
      </c>
      <c r="I7854" t="str" cm="1">
        <f t="array" ref="I7854">_xlfn.XLOOKUP(FACT_IMPORTS[[#This Row],[country_name]],DIM_COUNTRY[[#All],[Column2]],DIM_COUNTRY[[#All],[Column3]],,,)</f>
        <v>Major_Non-USMCA_Non-China</v>
      </c>
    </row>
    <row r="7855" spans="1:9" x14ac:dyDescent="0.4">
      <c r="A7855" t="s">
        <v>71</v>
      </c>
      <c r="B7855" s="1">
        <v>45413</v>
      </c>
      <c r="C7855">
        <v>870893</v>
      </c>
      <c r="D7855" t="s">
        <v>176</v>
      </c>
      <c r="E7855">
        <v>1297130</v>
      </c>
      <c r="F7855">
        <v>240050</v>
      </c>
      <c r="G7855">
        <v>20935</v>
      </c>
      <c r="H7855">
        <f>_xlfn.XLOOKUP(FACT_IMPORTS[[#This Row],[hts_6]],DIM_PRODUCTS[hts_6],DIM_PRODUCTS[hts_4],,,)</f>
        <v>8708</v>
      </c>
      <c r="I7855" t="str" cm="1">
        <f t="array" ref="I7855">_xlfn.XLOOKUP(FACT_IMPORTS[[#This Row],[country_name]],DIM_COUNTRY[[#All],[Column2]],DIM_COUNTRY[[#All],[Column3]],,,)</f>
        <v>Major_Non-USMCA_Non-China</v>
      </c>
    </row>
    <row r="7856" spans="1:9" x14ac:dyDescent="0.4">
      <c r="A7856" t="s">
        <v>71</v>
      </c>
      <c r="B7856" s="1">
        <v>45413</v>
      </c>
      <c r="C7856">
        <v>870894</v>
      </c>
      <c r="D7856" t="s">
        <v>176</v>
      </c>
      <c r="E7856">
        <v>43822</v>
      </c>
      <c r="F7856">
        <v>80</v>
      </c>
      <c r="G7856">
        <v>527</v>
      </c>
      <c r="H7856">
        <f>_xlfn.XLOOKUP(FACT_IMPORTS[[#This Row],[hts_6]],DIM_PRODUCTS[hts_6],DIM_PRODUCTS[hts_4],,,)</f>
        <v>8708</v>
      </c>
      <c r="I7856" t="str" cm="1">
        <f t="array" ref="I7856">_xlfn.XLOOKUP(FACT_IMPORTS[[#This Row],[country_name]],DIM_COUNTRY[[#All],[Column2]],DIM_COUNTRY[[#All],[Column3]],,,)</f>
        <v>Major_Non-USMCA_Non-China</v>
      </c>
    </row>
    <row r="7857" spans="1:9" x14ac:dyDescent="0.4">
      <c r="A7857" t="s">
        <v>71</v>
      </c>
      <c r="B7857" s="1">
        <v>45413</v>
      </c>
      <c r="C7857">
        <v>870895</v>
      </c>
      <c r="D7857" t="s">
        <v>176</v>
      </c>
      <c r="E7857">
        <v>3057</v>
      </c>
      <c r="F7857">
        <v>337</v>
      </c>
      <c r="G7857">
        <v>245</v>
      </c>
      <c r="H7857">
        <f>_xlfn.XLOOKUP(FACT_IMPORTS[[#This Row],[hts_6]],DIM_PRODUCTS[hts_6],DIM_PRODUCTS[hts_4],,,)</f>
        <v>8708</v>
      </c>
      <c r="I7857" t="str" cm="1">
        <f t="array" ref="I7857">_xlfn.XLOOKUP(FACT_IMPORTS[[#This Row],[country_name]],DIM_COUNTRY[[#All],[Column2]],DIM_COUNTRY[[#All],[Column3]],,,)</f>
        <v>Major_Non-USMCA_Non-China</v>
      </c>
    </row>
    <row r="7858" spans="1:9" x14ac:dyDescent="0.4">
      <c r="A7858" t="s">
        <v>71</v>
      </c>
      <c r="B7858" s="1">
        <v>45413</v>
      </c>
      <c r="C7858">
        <v>870899</v>
      </c>
      <c r="D7858" t="s">
        <v>176</v>
      </c>
      <c r="E7858">
        <v>3295896</v>
      </c>
      <c r="F7858">
        <v>3049782</v>
      </c>
      <c r="G7858">
        <v>65668</v>
      </c>
      <c r="H7858">
        <f>_xlfn.XLOOKUP(FACT_IMPORTS[[#This Row],[hts_6]],DIM_PRODUCTS[hts_6],DIM_PRODUCTS[hts_4],,,)</f>
        <v>8708</v>
      </c>
      <c r="I7858" t="str" cm="1">
        <f t="array" ref="I7858">_xlfn.XLOOKUP(FACT_IMPORTS[[#This Row],[country_name]],DIM_COUNTRY[[#All],[Column2]],DIM_COUNTRY[[#All],[Column3]],,,)</f>
        <v>Major_Non-USMCA_Non-China</v>
      </c>
    </row>
    <row r="7859" spans="1:9" x14ac:dyDescent="0.4">
      <c r="A7859" t="s">
        <v>71</v>
      </c>
      <c r="B7859" s="1">
        <v>45413</v>
      </c>
      <c r="C7859">
        <v>940120</v>
      </c>
      <c r="D7859" t="s">
        <v>176</v>
      </c>
      <c r="E7859">
        <v>1350</v>
      </c>
      <c r="F7859">
        <v>1</v>
      </c>
      <c r="G7859">
        <v>66</v>
      </c>
      <c r="H7859">
        <f>_xlfn.XLOOKUP(FACT_IMPORTS[[#This Row],[hts_6]],DIM_PRODUCTS[hts_6],DIM_PRODUCTS[hts_4],,,)</f>
        <v>9401</v>
      </c>
      <c r="I7859" t="str" cm="1">
        <f t="array" ref="I7859">_xlfn.XLOOKUP(FACT_IMPORTS[[#This Row],[country_name]],DIM_COUNTRY[[#All],[Column2]],DIM_COUNTRY[[#All],[Column3]],,,)</f>
        <v>Major_Non-USMCA_Non-China</v>
      </c>
    </row>
    <row r="7860" spans="1:9" x14ac:dyDescent="0.4">
      <c r="A7860" t="s">
        <v>71</v>
      </c>
      <c r="B7860" s="1">
        <v>45444</v>
      </c>
      <c r="C7860">
        <v>392630</v>
      </c>
      <c r="D7860" t="s">
        <v>176</v>
      </c>
      <c r="E7860">
        <v>3062</v>
      </c>
      <c r="F7860">
        <v>125</v>
      </c>
      <c r="G7860">
        <v>54</v>
      </c>
      <c r="H7860">
        <f>_xlfn.XLOOKUP(FACT_IMPORTS[[#This Row],[hts_6]],DIM_PRODUCTS[hts_6],DIM_PRODUCTS[hts_4],,,)</f>
        <v>3926</v>
      </c>
      <c r="I7860" t="str" cm="1">
        <f t="array" ref="I7860">_xlfn.XLOOKUP(FACT_IMPORTS[[#This Row],[country_name]],DIM_COUNTRY[[#All],[Column2]],DIM_COUNTRY[[#All],[Column3]],,,)</f>
        <v>Major_Non-USMCA_Non-China</v>
      </c>
    </row>
    <row r="7861" spans="1:9" x14ac:dyDescent="0.4">
      <c r="A7861" t="s">
        <v>71</v>
      </c>
      <c r="B7861" s="1">
        <v>45444</v>
      </c>
      <c r="C7861">
        <v>401110</v>
      </c>
      <c r="D7861" t="s">
        <v>176</v>
      </c>
      <c r="E7861">
        <v>248528</v>
      </c>
      <c r="F7861">
        <v>1555</v>
      </c>
      <c r="G7861">
        <v>5900</v>
      </c>
      <c r="H7861">
        <f>_xlfn.XLOOKUP(FACT_IMPORTS[[#This Row],[hts_6]],DIM_PRODUCTS[hts_6],DIM_PRODUCTS[hts_4],,,)</f>
        <v>4011</v>
      </c>
      <c r="I7861" t="str" cm="1">
        <f t="array" ref="I7861">_xlfn.XLOOKUP(FACT_IMPORTS[[#This Row],[country_name]],DIM_COUNTRY[[#All],[Column2]],DIM_COUNTRY[[#All],[Column3]],,,)</f>
        <v>Major_Non-USMCA_Non-China</v>
      </c>
    </row>
    <row r="7862" spans="1:9" x14ac:dyDescent="0.4">
      <c r="A7862" t="s">
        <v>71</v>
      </c>
      <c r="B7862" s="1">
        <v>45444</v>
      </c>
      <c r="C7862">
        <v>401120</v>
      </c>
      <c r="D7862" t="s">
        <v>176</v>
      </c>
      <c r="E7862">
        <v>24148</v>
      </c>
      <c r="F7862">
        <v>50</v>
      </c>
      <c r="G7862">
        <v>150</v>
      </c>
      <c r="H7862">
        <f>_xlfn.XLOOKUP(FACT_IMPORTS[[#This Row],[hts_6]],DIM_PRODUCTS[hts_6],DIM_PRODUCTS[hts_4],,,)</f>
        <v>4011</v>
      </c>
      <c r="I7862" t="str" cm="1">
        <f t="array" ref="I7862">_xlfn.XLOOKUP(FACT_IMPORTS[[#This Row],[country_name]],DIM_COUNTRY[[#All],[Column2]],DIM_COUNTRY[[#All],[Column3]],,,)</f>
        <v>Major_Non-USMCA_Non-China</v>
      </c>
    </row>
    <row r="7863" spans="1:9" x14ac:dyDescent="0.4">
      <c r="A7863" t="s">
        <v>71</v>
      </c>
      <c r="B7863" s="1">
        <v>45444</v>
      </c>
      <c r="C7863">
        <v>700711</v>
      </c>
      <c r="D7863" t="s">
        <v>176</v>
      </c>
      <c r="E7863">
        <v>0</v>
      </c>
      <c r="F7863">
        <v>0</v>
      </c>
      <c r="G7863">
        <v>0</v>
      </c>
      <c r="H7863">
        <f>_xlfn.XLOOKUP(FACT_IMPORTS[[#This Row],[hts_6]],DIM_PRODUCTS[hts_6],DIM_PRODUCTS[hts_4],,,)</f>
        <v>7007</v>
      </c>
      <c r="I7863" t="str" cm="1">
        <f t="array" ref="I7863">_xlfn.XLOOKUP(FACT_IMPORTS[[#This Row],[country_name]],DIM_COUNTRY[[#All],[Column2]],DIM_COUNTRY[[#All],[Column3]],,,)</f>
        <v>Major_Non-USMCA_Non-China</v>
      </c>
    </row>
    <row r="7864" spans="1:9" x14ac:dyDescent="0.4">
      <c r="A7864" t="s">
        <v>71</v>
      </c>
      <c r="B7864" s="1">
        <v>45444</v>
      </c>
      <c r="C7864">
        <v>700721</v>
      </c>
      <c r="D7864" t="s">
        <v>176</v>
      </c>
      <c r="E7864">
        <v>0</v>
      </c>
      <c r="F7864">
        <v>0</v>
      </c>
      <c r="G7864">
        <v>0</v>
      </c>
      <c r="H7864">
        <f>_xlfn.XLOOKUP(FACT_IMPORTS[[#This Row],[hts_6]],DIM_PRODUCTS[hts_6],DIM_PRODUCTS[hts_4],,,)</f>
        <v>7007</v>
      </c>
      <c r="I7864" t="str" cm="1">
        <f t="array" ref="I7864">_xlfn.XLOOKUP(FACT_IMPORTS[[#This Row],[country_name]],DIM_COUNTRY[[#All],[Column2]],DIM_COUNTRY[[#All],[Column3]],,,)</f>
        <v>Major_Non-USMCA_Non-China</v>
      </c>
    </row>
    <row r="7865" spans="1:9" x14ac:dyDescent="0.4">
      <c r="A7865" t="s">
        <v>71</v>
      </c>
      <c r="B7865" s="1">
        <v>45444</v>
      </c>
      <c r="C7865">
        <v>700910</v>
      </c>
      <c r="D7865" t="s">
        <v>176</v>
      </c>
      <c r="E7865">
        <v>0</v>
      </c>
      <c r="F7865">
        <v>0</v>
      </c>
      <c r="G7865">
        <v>0</v>
      </c>
      <c r="H7865">
        <f>_xlfn.XLOOKUP(FACT_IMPORTS[[#This Row],[hts_6]],DIM_PRODUCTS[hts_6],DIM_PRODUCTS[hts_4],,,)</f>
        <v>7009</v>
      </c>
      <c r="I7865" t="str" cm="1">
        <f t="array" ref="I7865">_xlfn.XLOOKUP(FACT_IMPORTS[[#This Row],[country_name]],DIM_COUNTRY[[#All],[Column2]],DIM_COUNTRY[[#All],[Column3]],,,)</f>
        <v>Major_Non-USMCA_Non-China</v>
      </c>
    </row>
    <row r="7866" spans="1:9" x14ac:dyDescent="0.4">
      <c r="A7866" t="s">
        <v>71</v>
      </c>
      <c r="B7866" s="1">
        <v>45444</v>
      </c>
      <c r="C7866">
        <v>732010</v>
      </c>
      <c r="D7866" t="s">
        <v>176</v>
      </c>
      <c r="E7866">
        <v>0</v>
      </c>
      <c r="F7866">
        <v>0</v>
      </c>
      <c r="G7866">
        <v>0</v>
      </c>
      <c r="H7866">
        <f>_xlfn.XLOOKUP(FACT_IMPORTS[[#This Row],[hts_6]],DIM_PRODUCTS[hts_6],DIM_PRODUCTS[hts_4],,,)</f>
        <v>7320</v>
      </c>
      <c r="I7866" t="str" cm="1">
        <f t="array" ref="I7866">_xlfn.XLOOKUP(FACT_IMPORTS[[#This Row],[country_name]],DIM_COUNTRY[[#All],[Column2]],DIM_COUNTRY[[#All],[Column3]],,,)</f>
        <v>Major_Non-USMCA_Non-China</v>
      </c>
    </row>
    <row r="7867" spans="1:9" x14ac:dyDescent="0.4">
      <c r="A7867" t="s">
        <v>71</v>
      </c>
      <c r="B7867" s="1">
        <v>45444</v>
      </c>
      <c r="C7867">
        <v>830230</v>
      </c>
      <c r="D7867" t="s">
        <v>176</v>
      </c>
      <c r="E7867">
        <v>82444</v>
      </c>
      <c r="F7867">
        <v>15388</v>
      </c>
      <c r="G7867">
        <v>1072</v>
      </c>
      <c r="H7867">
        <f>_xlfn.XLOOKUP(FACT_IMPORTS[[#This Row],[hts_6]],DIM_PRODUCTS[hts_6],DIM_PRODUCTS[hts_4],,,)</f>
        <v>8302</v>
      </c>
      <c r="I7867" t="str" cm="1">
        <f t="array" ref="I7867">_xlfn.XLOOKUP(FACT_IMPORTS[[#This Row],[country_name]],DIM_COUNTRY[[#All],[Column2]],DIM_COUNTRY[[#All],[Column3]],,,)</f>
        <v>Major_Non-USMCA_Non-China</v>
      </c>
    </row>
    <row r="7868" spans="1:9" x14ac:dyDescent="0.4">
      <c r="A7868" t="s">
        <v>71</v>
      </c>
      <c r="B7868" s="1">
        <v>45444</v>
      </c>
      <c r="C7868">
        <v>840734</v>
      </c>
      <c r="D7868" t="s">
        <v>176</v>
      </c>
      <c r="E7868">
        <v>267785</v>
      </c>
      <c r="F7868">
        <v>102</v>
      </c>
      <c r="G7868">
        <v>25194</v>
      </c>
      <c r="H7868">
        <f>_xlfn.XLOOKUP(FACT_IMPORTS[[#This Row],[hts_6]],DIM_PRODUCTS[hts_6],DIM_PRODUCTS[hts_4],,,)</f>
        <v>8407</v>
      </c>
      <c r="I7868" t="str" cm="1">
        <f t="array" ref="I7868">_xlfn.XLOOKUP(FACT_IMPORTS[[#This Row],[country_name]],DIM_COUNTRY[[#All],[Column2]],DIM_COUNTRY[[#All],[Column3]],,,)</f>
        <v>Major_Non-USMCA_Non-China</v>
      </c>
    </row>
    <row r="7869" spans="1:9" x14ac:dyDescent="0.4">
      <c r="A7869" t="s">
        <v>71</v>
      </c>
      <c r="B7869" s="1">
        <v>45444</v>
      </c>
      <c r="C7869">
        <v>840790</v>
      </c>
      <c r="D7869" t="s">
        <v>176</v>
      </c>
      <c r="E7869">
        <v>134258</v>
      </c>
      <c r="F7869">
        <v>33</v>
      </c>
      <c r="G7869">
        <v>150</v>
      </c>
      <c r="H7869">
        <f>_xlfn.XLOOKUP(FACT_IMPORTS[[#This Row],[hts_6]],DIM_PRODUCTS[hts_6],DIM_PRODUCTS[hts_4],,,)</f>
        <v>8407</v>
      </c>
      <c r="I7869" t="str" cm="1">
        <f t="array" ref="I7869">_xlfn.XLOOKUP(FACT_IMPORTS[[#This Row],[country_name]],DIM_COUNTRY[[#All],[Column2]],DIM_COUNTRY[[#All],[Column3]],,,)</f>
        <v>Major_Non-USMCA_Non-China</v>
      </c>
    </row>
    <row r="7870" spans="1:9" x14ac:dyDescent="0.4">
      <c r="A7870" t="s">
        <v>71</v>
      </c>
      <c r="B7870" s="1">
        <v>45444</v>
      </c>
      <c r="C7870">
        <v>840820</v>
      </c>
      <c r="D7870" t="s">
        <v>176</v>
      </c>
      <c r="E7870">
        <v>0</v>
      </c>
      <c r="F7870">
        <v>0</v>
      </c>
      <c r="G7870">
        <v>0</v>
      </c>
      <c r="H7870">
        <f>_xlfn.XLOOKUP(FACT_IMPORTS[[#This Row],[hts_6]],DIM_PRODUCTS[hts_6],DIM_PRODUCTS[hts_4],,,)</f>
        <v>8408</v>
      </c>
      <c r="I7870" t="str" cm="1">
        <f t="array" ref="I7870">_xlfn.XLOOKUP(FACT_IMPORTS[[#This Row],[country_name]],DIM_COUNTRY[[#All],[Column2]],DIM_COUNTRY[[#All],[Column3]],,,)</f>
        <v>Major_Non-USMCA_Non-China</v>
      </c>
    </row>
    <row r="7871" spans="1:9" x14ac:dyDescent="0.4">
      <c r="A7871" t="s">
        <v>71</v>
      </c>
      <c r="B7871" s="1">
        <v>45444</v>
      </c>
      <c r="C7871">
        <v>840890</v>
      </c>
      <c r="D7871" t="s">
        <v>176</v>
      </c>
      <c r="E7871">
        <v>71709</v>
      </c>
      <c r="F7871">
        <v>1</v>
      </c>
      <c r="G7871">
        <v>85</v>
      </c>
      <c r="H7871">
        <f>_xlfn.XLOOKUP(FACT_IMPORTS[[#This Row],[hts_6]],DIM_PRODUCTS[hts_6],DIM_PRODUCTS[hts_4],,,)</f>
        <v>8408</v>
      </c>
      <c r="I7871" t="str" cm="1">
        <f t="array" ref="I7871">_xlfn.XLOOKUP(FACT_IMPORTS[[#This Row],[country_name]],DIM_COUNTRY[[#All],[Column2]],DIM_COUNTRY[[#All],[Column3]],,,)</f>
        <v>Major_Non-USMCA_Non-China</v>
      </c>
    </row>
    <row r="7872" spans="1:9" x14ac:dyDescent="0.4">
      <c r="A7872" t="s">
        <v>71</v>
      </c>
      <c r="B7872" s="1">
        <v>45444</v>
      </c>
      <c r="C7872">
        <v>840991</v>
      </c>
      <c r="D7872" t="s">
        <v>176</v>
      </c>
      <c r="E7872">
        <v>7003021</v>
      </c>
      <c r="F7872">
        <v>482082</v>
      </c>
      <c r="G7872">
        <v>153653</v>
      </c>
      <c r="H7872">
        <f>_xlfn.XLOOKUP(FACT_IMPORTS[[#This Row],[hts_6]],DIM_PRODUCTS[hts_6],DIM_PRODUCTS[hts_4],,,)</f>
        <v>8409</v>
      </c>
      <c r="I7872" t="str" cm="1">
        <f t="array" ref="I7872">_xlfn.XLOOKUP(FACT_IMPORTS[[#This Row],[country_name]],DIM_COUNTRY[[#All],[Column2]],DIM_COUNTRY[[#All],[Column3]],,,)</f>
        <v>Major_Non-USMCA_Non-China</v>
      </c>
    </row>
    <row r="7873" spans="1:9" x14ac:dyDescent="0.4">
      <c r="A7873" t="s">
        <v>71</v>
      </c>
      <c r="B7873" s="1">
        <v>45444</v>
      </c>
      <c r="C7873">
        <v>840999</v>
      </c>
      <c r="D7873" t="s">
        <v>176</v>
      </c>
      <c r="E7873">
        <v>12654</v>
      </c>
      <c r="F7873">
        <v>613</v>
      </c>
      <c r="G7873">
        <v>540</v>
      </c>
      <c r="H7873">
        <f>_xlfn.XLOOKUP(FACT_IMPORTS[[#This Row],[hts_6]],DIM_PRODUCTS[hts_6],DIM_PRODUCTS[hts_4],,,)</f>
        <v>8409</v>
      </c>
      <c r="I7873" t="str" cm="1">
        <f t="array" ref="I7873">_xlfn.XLOOKUP(FACT_IMPORTS[[#This Row],[country_name]],DIM_COUNTRY[[#All],[Column2]],DIM_COUNTRY[[#All],[Column3]],,,)</f>
        <v>Major_Non-USMCA_Non-China</v>
      </c>
    </row>
    <row r="7874" spans="1:9" x14ac:dyDescent="0.4">
      <c r="A7874" t="s">
        <v>71</v>
      </c>
      <c r="B7874" s="1">
        <v>45444</v>
      </c>
      <c r="C7874">
        <v>841330</v>
      </c>
      <c r="D7874" t="s">
        <v>176</v>
      </c>
      <c r="E7874">
        <v>137052</v>
      </c>
      <c r="F7874">
        <v>8761</v>
      </c>
      <c r="G7874">
        <v>2690</v>
      </c>
      <c r="H7874">
        <f>_xlfn.XLOOKUP(FACT_IMPORTS[[#This Row],[hts_6]],DIM_PRODUCTS[hts_6],DIM_PRODUCTS[hts_4],,,)</f>
        <v>8413</v>
      </c>
      <c r="I7874" t="str" cm="1">
        <f t="array" ref="I7874">_xlfn.XLOOKUP(FACT_IMPORTS[[#This Row],[country_name]],DIM_COUNTRY[[#All],[Column2]],DIM_COUNTRY[[#All],[Column3]],,,)</f>
        <v>Major_Non-USMCA_Non-China</v>
      </c>
    </row>
    <row r="7875" spans="1:9" x14ac:dyDescent="0.4">
      <c r="A7875" t="s">
        <v>71</v>
      </c>
      <c r="B7875" s="1">
        <v>45444</v>
      </c>
      <c r="C7875">
        <v>841520</v>
      </c>
      <c r="D7875" t="s">
        <v>176</v>
      </c>
      <c r="E7875">
        <v>0</v>
      </c>
      <c r="F7875">
        <v>0</v>
      </c>
      <c r="G7875">
        <v>0</v>
      </c>
      <c r="H7875">
        <f>_xlfn.XLOOKUP(FACT_IMPORTS[[#This Row],[hts_6]],DIM_PRODUCTS[hts_6],DIM_PRODUCTS[hts_4],,,)</f>
        <v>8415</v>
      </c>
      <c r="I7875" t="str" cm="1">
        <f t="array" ref="I7875">_xlfn.XLOOKUP(FACT_IMPORTS[[#This Row],[country_name]],DIM_COUNTRY[[#All],[Column2]],DIM_COUNTRY[[#All],[Column3]],,,)</f>
        <v>Major_Non-USMCA_Non-China</v>
      </c>
    </row>
    <row r="7876" spans="1:9" x14ac:dyDescent="0.4">
      <c r="A7876" t="s">
        <v>71</v>
      </c>
      <c r="B7876" s="1">
        <v>45444</v>
      </c>
      <c r="C7876">
        <v>842132</v>
      </c>
      <c r="D7876" t="s">
        <v>176</v>
      </c>
      <c r="E7876">
        <v>41654</v>
      </c>
      <c r="F7876">
        <v>17</v>
      </c>
      <c r="G7876">
        <v>1161</v>
      </c>
      <c r="H7876">
        <f>_xlfn.XLOOKUP(FACT_IMPORTS[[#This Row],[hts_6]],DIM_PRODUCTS[hts_6],DIM_PRODUCTS[hts_4],,,)</f>
        <v>8421</v>
      </c>
      <c r="I7876" t="str" cm="1">
        <f t="array" ref="I7876">_xlfn.XLOOKUP(FACT_IMPORTS[[#This Row],[country_name]],DIM_COUNTRY[[#All],[Column2]],DIM_COUNTRY[[#All],[Column3]],,,)</f>
        <v>Major_Non-USMCA_Non-China</v>
      </c>
    </row>
    <row r="7877" spans="1:9" x14ac:dyDescent="0.4">
      <c r="A7877" t="s">
        <v>71</v>
      </c>
      <c r="B7877" s="1">
        <v>45444</v>
      </c>
      <c r="C7877">
        <v>848210</v>
      </c>
      <c r="D7877" t="s">
        <v>176</v>
      </c>
      <c r="E7877">
        <v>55089</v>
      </c>
      <c r="F7877">
        <v>2505</v>
      </c>
      <c r="G7877">
        <v>654</v>
      </c>
      <c r="H7877">
        <f>_xlfn.XLOOKUP(FACT_IMPORTS[[#This Row],[hts_6]],DIM_PRODUCTS[hts_6],DIM_PRODUCTS[hts_4],,,)</f>
        <v>8482</v>
      </c>
      <c r="I7877" t="str" cm="1">
        <f t="array" ref="I7877">_xlfn.XLOOKUP(FACT_IMPORTS[[#This Row],[country_name]],DIM_COUNTRY[[#All],[Column2]],DIM_COUNTRY[[#All],[Column3]],,,)</f>
        <v>Major_Non-USMCA_Non-China</v>
      </c>
    </row>
    <row r="7878" spans="1:9" x14ac:dyDescent="0.4">
      <c r="A7878" t="s">
        <v>71</v>
      </c>
      <c r="B7878" s="1">
        <v>45444</v>
      </c>
      <c r="C7878">
        <v>848220</v>
      </c>
      <c r="D7878" t="s">
        <v>176</v>
      </c>
      <c r="E7878">
        <v>209869</v>
      </c>
      <c r="F7878">
        <v>12324</v>
      </c>
      <c r="G7878">
        <v>1538</v>
      </c>
      <c r="H7878">
        <f>_xlfn.XLOOKUP(FACT_IMPORTS[[#This Row],[hts_6]],DIM_PRODUCTS[hts_6],DIM_PRODUCTS[hts_4],,,)</f>
        <v>8482</v>
      </c>
      <c r="I7878" t="str" cm="1">
        <f t="array" ref="I7878">_xlfn.XLOOKUP(FACT_IMPORTS[[#This Row],[country_name]],DIM_COUNTRY[[#All],[Column2]],DIM_COUNTRY[[#All],[Column3]],,,)</f>
        <v>Major_Non-USMCA_Non-China</v>
      </c>
    </row>
    <row r="7879" spans="1:9" x14ac:dyDescent="0.4">
      <c r="A7879" t="s">
        <v>71</v>
      </c>
      <c r="B7879" s="1">
        <v>45444</v>
      </c>
      <c r="C7879">
        <v>848310</v>
      </c>
      <c r="D7879" t="s">
        <v>176</v>
      </c>
      <c r="E7879">
        <v>325592</v>
      </c>
      <c r="F7879">
        <v>8262</v>
      </c>
      <c r="G7879">
        <v>32134</v>
      </c>
      <c r="H7879">
        <f>_xlfn.XLOOKUP(FACT_IMPORTS[[#This Row],[hts_6]],DIM_PRODUCTS[hts_6],DIM_PRODUCTS[hts_4],,,)</f>
        <v>8483</v>
      </c>
      <c r="I7879" t="str" cm="1">
        <f t="array" ref="I7879">_xlfn.XLOOKUP(FACT_IMPORTS[[#This Row],[country_name]],DIM_COUNTRY[[#All],[Column2]],DIM_COUNTRY[[#All],[Column3]],,,)</f>
        <v>Major_Non-USMCA_Non-China</v>
      </c>
    </row>
    <row r="7880" spans="1:9" x14ac:dyDescent="0.4">
      <c r="A7880" t="s">
        <v>71</v>
      </c>
      <c r="B7880" s="1">
        <v>45444</v>
      </c>
      <c r="C7880">
        <v>850131</v>
      </c>
      <c r="D7880" t="s">
        <v>176</v>
      </c>
      <c r="E7880">
        <v>3134011</v>
      </c>
      <c r="F7880">
        <v>90370</v>
      </c>
      <c r="G7880">
        <v>40873</v>
      </c>
      <c r="H7880">
        <f>_xlfn.XLOOKUP(FACT_IMPORTS[[#This Row],[hts_6]],DIM_PRODUCTS[hts_6],DIM_PRODUCTS[hts_4],,,)</f>
        <v>8501</v>
      </c>
      <c r="I7880" t="str" cm="1">
        <f t="array" ref="I7880">_xlfn.XLOOKUP(FACT_IMPORTS[[#This Row],[country_name]],DIM_COUNTRY[[#All],[Column2]],DIM_COUNTRY[[#All],[Column3]],,,)</f>
        <v>Major_Non-USMCA_Non-China</v>
      </c>
    </row>
    <row r="7881" spans="1:9" x14ac:dyDescent="0.4">
      <c r="A7881" t="s">
        <v>71</v>
      </c>
      <c r="B7881" s="1">
        <v>45444</v>
      </c>
      <c r="C7881">
        <v>850132</v>
      </c>
      <c r="D7881" t="s">
        <v>176</v>
      </c>
      <c r="E7881">
        <v>2372</v>
      </c>
      <c r="F7881">
        <v>2</v>
      </c>
      <c r="G7881">
        <v>66</v>
      </c>
      <c r="H7881">
        <f>_xlfn.XLOOKUP(FACT_IMPORTS[[#This Row],[hts_6]],DIM_PRODUCTS[hts_6],DIM_PRODUCTS[hts_4],,,)</f>
        <v>8501</v>
      </c>
      <c r="I7881" t="str" cm="1">
        <f t="array" ref="I7881">_xlfn.XLOOKUP(FACT_IMPORTS[[#This Row],[country_name]],DIM_COUNTRY[[#All],[Column2]],DIM_COUNTRY[[#All],[Column3]],,,)</f>
        <v>Major_Non-USMCA_Non-China</v>
      </c>
    </row>
    <row r="7882" spans="1:9" x14ac:dyDescent="0.4">
      <c r="A7882" t="s">
        <v>71</v>
      </c>
      <c r="B7882" s="1">
        <v>45444</v>
      </c>
      <c r="C7882">
        <v>850133</v>
      </c>
      <c r="D7882" t="s">
        <v>176</v>
      </c>
      <c r="E7882">
        <v>0</v>
      </c>
      <c r="F7882">
        <v>0</v>
      </c>
      <c r="G7882">
        <v>0</v>
      </c>
      <c r="H7882">
        <f>_xlfn.XLOOKUP(FACT_IMPORTS[[#This Row],[hts_6]],DIM_PRODUCTS[hts_6],DIM_PRODUCTS[hts_4],,,)</f>
        <v>8501</v>
      </c>
      <c r="I7882" t="str" cm="1">
        <f t="array" ref="I7882">_xlfn.XLOOKUP(FACT_IMPORTS[[#This Row],[country_name]],DIM_COUNTRY[[#All],[Column2]],DIM_COUNTRY[[#All],[Column3]],,,)</f>
        <v>Major_Non-USMCA_Non-China</v>
      </c>
    </row>
    <row r="7883" spans="1:9" x14ac:dyDescent="0.4">
      <c r="A7883" t="s">
        <v>71</v>
      </c>
      <c r="B7883" s="1">
        <v>45444</v>
      </c>
      <c r="C7883">
        <v>850152</v>
      </c>
      <c r="D7883" t="s">
        <v>176</v>
      </c>
      <c r="E7883">
        <v>303725</v>
      </c>
      <c r="F7883">
        <v>408</v>
      </c>
      <c r="G7883">
        <v>5191</v>
      </c>
      <c r="H7883">
        <f>_xlfn.XLOOKUP(FACT_IMPORTS[[#This Row],[hts_6]],DIM_PRODUCTS[hts_6],DIM_PRODUCTS[hts_4],,,)</f>
        <v>8501</v>
      </c>
      <c r="I7883" t="str" cm="1">
        <f t="array" ref="I7883">_xlfn.XLOOKUP(FACT_IMPORTS[[#This Row],[country_name]],DIM_COUNTRY[[#All],[Column2]],DIM_COUNTRY[[#All],[Column3]],,,)</f>
        <v>Major_Non-USMCA_Non-China</v>
      </c>
    </row>
    <row r="7884" spans="1:9" x14ac:dyDescent="0.4">
      <c r="A7884" t="s">
        <v>71</v>
      </c>
      <c r="B7884" s="1">
        <v>45444</v>
      </c>
      <c r="C7884">
        <v>850153</v>
      </c>
      <c r="D7884" t="s">
        <v>176</v>
      </c>
      <c r="E7884">
        <v>207198</v>
      </c>
      <c r="F7884">
        <v>3</v>
      </c>
      <c r="G7884">
        <v>1253</v>
      </c>
      <c r="H7884">
        <f>_xlfn.XLOOKUP(FACT_IMPORTS[[#This Row],[hts_6]],DIM_PRODUCTS[hts_6],DIM_PRODUCTS[hts_4],,,)</f>
        <v>8501</v>
      </c>
      <c r="I7884" t="str" cm="1">
        <f t="array" ref="I7884">_xlfn.XLOOKUP(FACT_IMPORTS[[#This Row],[country_name]],DIM_COUNTRY[[#All],[Column2]],DIM_COUNTRY[[#All],[Column3]],,,)</f>
        <v>Major_Non-USMCA_Non-China</v>
      </c>
    </row>
    <row r="7885" spans="1:9" x14ac:dyDescent="0.4">
      <c r="A7885" t="s">
        <v>71</v>
      </c>
      <c r="B7885" s="1">
        <v>45444</v>
      </c>
      <c r="C7885">
        <v>850161</v>
      </c>
      <c r="D7885" t="s">
        <v>176</v>
      </c>
      <c r="E7885">
        <v>0</v>
      </c>
      <c r="F7885">
        <v>0</v>
      </c>
      <c r="G7885">
        <v>0</v>
      </c>
      <c r="H7885">
        <f>_xlfn.XLOOKUP(FACT_IMPORTS[[#This Row],[hts_6]],DIM_PRODUCTS[hts_6],DIM_PRODUCTS[hts_4],,,)</f>
        <v>8501</v>
      </c>
      <c r="I7885" t="str" cm="1">
        <f t="array" ref="I7885">_xlfn.XLOOKUP(FACT_IMPORTS[[#This Row],[country_name]],DIM_COUNTRY[[#All],[Column2]],DIM_COUNTRY[[#All],[Column3]],,,)</f>
        <v>Major_Non-USMCA_Non-China</v>
      </c>
    </row>
    <row r="7886" spans="1:9" x14ac:dyDescent="0.4">
      <c r="A7886" t="s">
        <v>71</v>
      </c>
      <c r="B7886" s="1">
        <v>45444</v>
      </c>
      <c r="C7886">
        <v>850440</v>
      </c>
      <c r="D7886" t="s">
        <v>176</v>
      </c>
      <c r="E7886">
        <v>237412</v>
      </c>
      <c r="F7886">
        <v>214</v>
      </c>
      <c r="G7886">
        <v>1974</v>
      </c>
      <c r="H7886">
        <f>_xlfn.XLOOKUP(FACT_IMPORTS[[#This Row],[hts_6]],DIM_PRODUCTS[hts_6],DIM_PRODUCTS[hts_4],,,)</f>
        <v>8504</v>
      </c>
      <c r="I7886" t="str" cm="1">
        <f t="array" ref="I7886">_xlfn.XLOOKUP(FACT_IMPORTS[[#This Row],[country_name]],DIM_COUNTRY[[#All],[Column2]],DIM_COUNTRY[[#All],[Column3]],,,)</f>
        <v>Major_Non-USMCA_Non-China</v>
      </c>
    </row>
    <row r="7887" spans="1:9" x14ac:dyDescent="0.4">
      <c r="A7887" t="s">
        <v>71</v>
      </c>
      <c r="B7887" s="1">
        <v>45444</v>
      </c>
      <c r="C7887">
        <v>850710</v>
      </c>
      <c r="D7887" t="s">
        <v>176</v>
      </c>
      <c r="E7887">
        <v>0</v>
      </c>
      <c r="F7887">
        <v>0</v>
      </c>
      <c r="G7887">
        <v>0</v>
      </c>
      <c r="H7887">
        <f>_xlfn.XLOOKUP(FACT_IMPORTS[[#This Row],[hts_6]],DIM_PRODUCTS[hts_6],DIM_PRODUCTS[hts_4],,,)</f>
        <v>8507</v>
      </c>
      <c r="I7887" t="str" cm="1">
        <f t="array" ref="I7887">_xlfn.XLOOKUP(FACT_IMPORTS[[#This Row],[country_name]],DIM_COUNTRY[[#All],[Column2]],DIM_COUNTRY[[#All],[Column3]],,,)</f>
        <v>Major_Non-USMCA_Non-China</v>
      </c>
    </row>
    <row r="7888" spans="1:9" x14ac:dyDescent="0.4">
      <c r="A7888" t="s">
        <v>71</v>
      </c>
      <c r="B7888" s="1">
        <v>45444</v>
      </c>
      <c r="C7888">
        <v>850760</v>
      </c>
      <c r="D7888" t="s">
        <v>176</v>
      </c>
      <c r="E7888">
        <v>82954</v>
      </c>
      <c r="F7888">
        <v>1620</v>
      </c>
      <c r="G7888">
        <v>474</v>
      </c>
      <c r="H7888">
        <f>_xlfn.XLOOKUP(FACT_IMPORTS[[#This Row],[hts_6]],DIM_PRODUCTS[hts_6],DIM_PRODUCTS[hts_4],,,)</f>
        <v>8507</v>
      </c>
      <c r="I7888" t="str" cm="1">
        <f t="array" ref="I7888">_xlfn.XLOOKUP(FACT_IMPORTS[[#This Row],[country_name]],DIM_COUNTRY[[#All],[Column2]],DIM_COUNTRY[[#All],[Column3]],,,)</f>
        <v>Major_Non-USMCA_Non-China</v>
      </c>
    </row>
    <row r="7889" spans="1:9" x14ac:dyDescent="0.4">
      <c r="A7889" t="s">
        <v>71</v>
      </c>
      <c r="B7889" s="1">
        <v>45444</v>
      </c>
      <c r="C7889">
        <v>850790</v>
      </c>
      <c r="D7889" t="s">
        <v>176</v>
      </c>
      <c r="E7889">
        <v>0</v>
      </c>
      <c r="F7889">
        <v>0</v>
      </c>
      <c r="G7889">
        <v>0</v>
      </c>
      <c r="H7889">
        <f>_xlfn.XLOOKUP(FACT_IMPORTS[[#This Row],[hts_6]],DIM_PRODUCTS[hts_6],DIM_PRODUCTS[hts_4],,,)</f>
        <v>8507</v>
      </c>
      <c r="I7889" t="str" cm="1">
        <f t="array" ref="I7889">_xlfn.XLOOKUP(FACT_IMPORTS[[#This Row],[country_name]],DIM_COUNTRY[[#All],[Column2]],DIM_COUNTRY[[#All],[Column3]],,,)</f>
        <v>Major_Non-USMCA_Non-China</v>
      </c>
    </row>
    <row r="7890" spans="1:9" x14ac:dyDescent="0.4">
      <c r="A7890" t="s">
        <v>71</v>
      </c>
      <c r="B7890" s="1">
        <v>45444</v>
      </c>
      <c r="C7890">
        <v>851110</v>
      </c>
      <c r="D7890" t="s">
        <v>176</v>
      </c>
      <c r="E7890">
        <v>39992</v>
      </c>
      <c r="F7890">
        <v>1709</v>
      </c>
      <c r="G7890">
        <v>766</v>
      </c>
      <c r="H7890">
        <f>_xlfn.XLOOKUP(FACT_IMPORTS[[#This Row],[hts_6]],DIM_PRODUCTS[hts_6],DIM_PRODUCTS[hts_4],,,)</f>
        <v>8511</v>
      </c>
      <c r="I7890" t="str" cm="1">
        <f t="array" ref="I7890">_xlfn.XLOOKUP(FACT_IMPORTS[[#This Row],[country_name]],DIM_COUNTRY[[#All],[Column2]],DIM_COUNTRY[[#All],[Column3]],,,)</f>
        <v>Major_Non-USMCA_Non-China</v>
      </c>
    </row>
    <row r="7891" spans="1:9" x14ac:dyDescent="0.4">
      <c r="A7891" t="s">
        <v>71</v>
      </c>
      <c r="B7891" s="1">
        <v>45444</v>
      </c>
      <c r="C7891">
        <v>851130</v>
      </c>
      <c r="D7891" t="s">
        <v>176</v>
      </c>
      <c r="E7891">
        <v>3054</v>
      </c>
      <c r="F7891">
        <v>588</v>
      </c>
      <c r="G7891">
        <v>50</v>
      </c>
      <c r="H7891">
        <f>_xlfn.XLOOKUP(FACT_IMPORTS[[#This Row],[hts_6]],DIM_PRODUCTS[hts_6],DIM_PRODUCTS[hts_4],,,)</f>
        <v>8511</v>
      </c>
      <c r="I7891" t="str" cm="1">
        <f t="array" ref="I7891">_xlfn.XLOOKUP(FACT_IMPORTS[[#This Row],[country_name]],DIM_COUNTRY[[#All],[Column2]],DIM_COUNTRY[[#All],[Column3]],,,)</f>
        <v>Major_Non-USMCA_Non-China</v>
      </c>
    </row>
    <row r="7892" spans="1:9" x14ac:dyDescent="0.4">
      <c r="A7892" t="s">
        <v>71</v>
      </c>
      <c r="B7892" s="1">
        <v>45444</v>
      </c>
      <c r="C7892">
        <v>851140</v>
      </c>
      <c r="D7892" t="s">
        <v>176</v>
      </c>
      <c r="E7892">
        <v>730586</v>
      </c>
      <c r="F7892">
        <v>15255</v>
      </c>
      <c r="G7892">
        <v>2759</v>
      </c>
      <c r="H7892">
        <f>_xlfn.XLOOKUP(FACT_IMPORTS[[#This Row],[hts_6]],DIM_PRODUCTS[hts_6],DIM_PRODUCTS[hts_4],,,)</f>
        <v>8511</v>
      </c>
      <c r="I7892" t="str" cm="1">
        <f t="array" ref="I7892">_xlfn.XLOOKUP(FACT_IMPORTS[[#This Row],[country_name]],DIM_COUNTRY[[#All],[Column2]],DIM_COUNTRY[[#All],[Column3]],,,)</f>
        <v>Major_Non-USMCA_Non-China</v>
      </c>
    </row>
    <row r="7893" spans="1:9" x14ac:dyDescent="0.4">
      <c r="A7893" t="s">
        <v>71</v>
      </c>
      <c r="B7893" s="1">
        <v>45444</v>
      </c>
      <c r="C7893">
        <v>851150</v>
      </c>
      <c r="D7893" t="s">
        <v>176</v>
      </c>
      <c r="E7893">
        <v>2352</v>
      </c>
      <c r="F7893">
        <v>64</v>
      </c>
      <c r="G7893">
        <v>70</v>
      </c>
      <c r="H7893">
        <f>_xlfn.XLOOKUP(FACT_IMPORTS[[#This Row],[hts_6]],DIM_PRODUCTS[hts_6],DIM_PRODUCTS[hts_4],,,)</f>
        <v>8511</v>
      </c>
      <c r="I7893" t="str" cm="1">
        <f t="array" ref="I7893">_xlfn.XLOOKUP(FACT_IMPORTS[[#This Row],[country_name]],DIM_COUNTRY[[#All],[Column2]],DIM_COUNTRY[[#All],[Column3]],,,)</f>
        <v>Major_Non-USMCA_Non-China</v>
      </c>
    </row>
    <row r="7894" spans="1:9" x14ac:dyDescent="0.4">
      <c r="A7894" t="s">
        <v>71</v>
      </c>
      <c r="B7894" s="1">
        <v>45444</v>
      </c>
      <c r="C7894">
        <v>851180</v>
      </c>
      <c r="D7894" t="s">
        <v>176</v>
      </c>
      <c r="E7894">
        <v>4926</v>
      </c>
      <c r="F7894">
        <v>2568</v>
      </c>
      <c r="G7894">
        <v>73</v>
      </c>
      <c r="H7894">
        <f>_xlfn.XLOOKUP(FACT_IMPORTS[[#This Row],[hts_6]],DIM_PRODUCTS[hts_6],DIM_PRODUCTS[hts_4],,,)</f>
        <v>8511</v>
      </c>
      <c r="I7894" t="str" cm="1">
        <f t="array" ref="I7894">_xlfn.XLOOKUP(FACT_IMPORTS[[#This Row],[country_name]],DIM_COUNTRY[[#All],[Column2]],DIM_COUNTRY[[#All],[Column3]],,,)</f>
        <v>Major_Non-USMCA_Non-China</v>
      </c>
    </row>
    <row r="7895" spans="1:9" x14ac:dyDescent="0.4">
      <c r="A7895" t="s">
        <v>71</v>
      </c>
      <c r="B7895" s="1">
        <v>45444</v>
      </c>
      <c r="C7895">
        <v>851190</v>
      </c>
      <c r="D7895" t="s">
        <v>176</v>
      </c>
      <c r="E7895">
        <v>2496</v>
      </c>
      <c r="F7895">
        <v>82</v>
      </c>
      <c r="G7895">
        <v>26</v>
      </c>
      <c r="H7895">
        <f>_xlfn.XLOOKUP(FACT_IMPORTS[[#This Row],[hts_6]],DIM_PRODUCTS[hts_6],DIM_PRODUCTS[hts_4],,,)</f>
        <v>8511</v>
      </c>
      <c r="I7895" t="str" cm="1">
        <f t="array" ref="I7895">_xlfn.XLOOKUP(FACT_IMPORTS[[#This Row],[country_name]],DIM_COUNTRY[[#All],[Column2]],DIM_COUNTRY[[#All],[Column3]],,,)</f>
        <v>Major_Non-USMCA_Non-China</v>
      </c>
    </row>
    <row r="7896" spans="1:9" x14ac:dyDescent="0.4">
      <c r="A7896" t="s">
        <v>71</v>
      </c>
      <c r="B7896" s="1">
        <v>45444</v>
      </c>
      <c r="C7896">
        <v>851220</v>
      </c>
      <c r="D7896" t="s">
        <v>176</v>
      </c>
      <c r="E7896">
        <v>3072</v>
      </c>
      <c r="F7896">
        <v>19</v>
      </c>
      <c r="G7896">
        <v>200</v>
      </c>
      <c r="H7896">
        <f>_xlfn.XLOOKUP(FACT_IMPORTS[[#This Row],[hts_6]],DIM_PRODUCTS[hts_6],DIM_PRODUCTS[hts_4],,,)</f>
        <v>8512</v>
      </c>
      <c r="I7896" t="str" cm="1">
        <f t="array" ref="I7896">_xlfn.XLOOKUP(FACT_IMPORTS[[#This Row],[country_name]],DIM_COUNTRY[[#All],[Column2]],DIM_COUNTRY[[#All],[Column3]],,,)</f>
        <v>Major_Non-USMCA_Non-China</v>
      </c>
    </row>
    <row r="7897" spans="1:9" x14ac:dyDescent="0.4">
      <c r="A7897" t="s">
        <v>71</v>
      </c>
      <c r="B7897" s="1">
        <v>45444</v>
      </c>
      <c r="C7897">
        <v>851230</v>
      </c>
      <c r="D7897" t="s">
        <v>176</v>
      </c>
      <c r="E7897">
        <v>3491</v>
      </c>
      <c r="F7897">
        <v>155</v>
      </c>
      <c r="G7897">
        <v>78</v>
      </c>
      <c r="H7897">
        <f>_xlfn.XLOOKUP(FACT_IMPORTS[[#This Row],[hts_6]],DIM_PRODUCTS[hts_6],DIM_PRODUCTS[hts_4],,,)</f>
        <v>8512</v>
      </c>
      <c r="I7897" t="str" cm="1">
        <f t="array" ref="I7897">_xlfn.XLOOKUP(FACT_IMPORTS[[#This Row],[country_name]],DIM_COUNTRY[[#All],[Column2]],DIM_COUNTRY[[#All],[Column3]],,,)</f>
        <v>Major_Non-USMCA_Non-China</v>
      </c>
    </row>
    <row r="7898" spans="1:9" x14ac:dyDescent="0.4">
      <c r="A7898" t="s">
        <v>71</v>
      </c>
      <c r="B7898" s="1">
        <v>45444</v>
      </c>
      <c r="C7898">
        <v>851290</v>
      </c>
      <c r="D7898" t="s">
        <v>176</v>
      </c>
      <c r="E7898">
        <v>26982</v>
      </c>
      <c r="F7898">
        <v>631</v>
      </c>
      <c r="G7898">
        <v>596</v>
      </c>
      <c r="H7898">
        <f>_xlfn.XLOOKUP(FACT_IMPORTS[[#This Row],[hts_6]],DIM_PRODUCTS[hts_6],DIM_PRODUCTS[hts_4],,,)</f>
        <v>8512</v>
      </c>
      <c r="I7898" t="str" cm="1">
        <f t="array" ref="I7898">_xlfn.XLOOKUP(FACT_IMPORTS[[#This Row],[country_name]],DIM_COUNTRY[[#All],[Column2]],DIM_COUNTRY[[#All],[Column3]],,,)</f>
        <v>Major_Non-USMCA_Non-China</v>
      </c>
    </row>
    <row r="7899" spans="1:9" x14ac:dyDescent="0.4">
      <c r="A7899" t="s">
        <v>71</v>
      </c>
      <c r="B7899" s="1">
        <v>45444</v>
      </c>
      <c r="C7899">
        <v>854231</v>
      </c>
      <c r="D7899" t="s">
        <v>176</v>
      </c>
      <c r="E7899">
        <v>163228</v>
      </c>
      <c r="F7899">
        <v>18764</v>
      </c>
      <c r="G7899">
        <v>2121</v>
      </c>
      <c r="H7899">
        <f>_xlfn.XLOOKUP(FACT_IMPORTS[[#This Row],[hts_6]],DIM_PRODUCTS[hts_6],DIM_PRODUCTS[hts_4],,,)</f>
        <v>8542</v>
      </c>
      <c r="I7899" t="str" cm="1">
        <f t="array" ref="I7899">_xlfn.XLOOKUP(FACT_IMPORTS[[#This Row],[country_name]],DIM_COUNTRY[[#All],[Column2]],DIM_COUNTRY[[#All],[Column3]],,,)</f>
        <v>Major_Non-USMCA_Non-China</v>
      </c>
    </row>
    <row r="7900" spans="1:9" x14ac:dyDescent="0.4">
      <c r="A7900" t="s">
        <v>71</v>
      </c>
      <c r="B7900" s="1">
        <v>45444</v>
      </c>
      <c r="C7900">
        <v>854232</v>
      </c>
      <c r="D7900" t="s">
        <v>176</v>
      </c>
      <c r="E7900">
        <v>0</v>
      </c>
      <c r="F7900">
        <v>0</v>
      </c>
      <c r="G7900">
        <v>0</v>
      </c>
      <c r="H7900">
        <f>_xlfn.XLOOKUP(FACT_IMPORTS[[#This Row],[hts_6]],DIM_PRODUCTS[hts_6],DIM_PRODUCTS[hts_4],,,)</f>
        <v>8542</v>
      </c>
      <c r="I7900" t="str" cm="1">
        <f t="array" ref="I7900">_xlfn.XLOOKUP(FACT_IMPORTS[[#This Row],[country_name]],DIM_COUNTRY[[#All],[Column2]],DIM_COUNTRY[[#All],[Column3]],,,)</f>
        <v>Major_Non-USMCA_Non-China</v>
      </c>
    </row>
    <row r="7901" spans="1:9" x14ac:dyDescent="0.4">
      <c r="A7901" t="s">
        <v>71</v>
      </c>
      <c r="B7901" s="1">
        <v>45444</v>
      </c>
      <c r="C7901">
        <v>854239</v>
      </c>
      <c r="D7901" t="s">
        <v>176</v>
      </c>
      <c r="E7901">
        <v>2570</v>
      </c>
      <c r="F7901">
        <v>2</v>
      </c>
      <c r="G7901">
        <v>246</v>
      </c>
      <c r="H7901">
        <f>_xlfn.XLOOKUP(FACT_IMPORTS[[#This Row],[hts_6]],DIM_PRODUCTS[hts_6],DIM_PRODUCTS[hts_4],,,)</f>
        <v>8542</v>
      </c>
      <c r="I7901" t="str" cm="1">
        <f t="array" ref="I7901">_xlfn.XLOOKUP(FACT_IMPORTS[[#This Row],[country_name]],DIM_COUNTRY[[#All],[Column2]],DIM_COUNTRY[[#All],[Column3]],,,)</f>
        <v>Major_Non-USMCA_Non-China</v>
      </c>
    </row>
    <row r="7902" spans="1:9" x14ac:dyDescent="0.4">
      <c r="A7902" t="s">
        <v>71</v>
      </c>
      <c r="B7902" s="1">
        <v>45444</v>
      </c>
      <c r="C7902">
        <v>854290</v>
      </c>
      <c r="D7902" t="s">
        <v>176</v>
      </c>
      <c r="E7902">
        <v>56440</v>
      </c>
      <c r="F7902">
        <v>6670</v>
      </c>
      <c r="G7902">
        <v>734</v>
      </c>
      <c r="H7902">
        <f>_xlfn.XLOOKUP(FACT_IMPORTS[[#This Row],[hts_6]],DIM_PRODUCTS[hts_6],DIM_PRODUCTS[hts_4],,,)</f>
        <v>8542</v>
      </c>
      <c r="I7902" t="str" cm="1">
        <f t="array" ref="I7902">_xlfn.XLOOKUP(FACT_IMPORTS[[#This Row],[country_name]],DIM_COUNTRY[[#All],[Column2]],DIM_COUNTRY[[#All],[Column3]],,,)</f>
        <v>Major_Non-USMCA_Non-China</v>
      </c>
    </row>
    <row r="7903" spans="1:9" x14ac:dyDescent="0.4">
      <c r="A7903" t="s">
        <v>71</v>
      </c>
      <c r="B7903" s="1">
        <v>45444</v>
      </c>
      <c r="C7903">
        <v>854430</v>
      </c>
      <c r="D7903" t="s">
        <v>176</v>
      </c>
      <c r="E7903">
        <v>2792</v>
      </c>
      <c r="F7903">
        <v>4</v>
      </c>
      <c r="G7903">
        <v>240</v>
      </c>
      <c r="H7903">
        <f>_xlfn.XLOOKUP(FACT_IMPORTS[[#This Row],[hts_6]],DIM_PRODUCTS[hts_6],DIM_PRODUCTS[hts_4],,,)</f>
        <v>8544</v>
      </c>
      <c r="I7903" t="str" cm="1">
        <f t="array" ref="I7903">_xlfn.XLOOKUP(FACT_IMPORTS[[#This Row],[country_name]],DIM_COUNTRY[[#All],[Column2]],DIM_COUNTRY[[#All],[Column3]],,,)</f>
        <v>Major_Non-USMCA_Non-China</v>
      </c>
    </row>
    <row r="7904" spans="1:9" x14ac:dyDescent="0.4">
      <c r="A7904" t="s">
        <v>71</v>
      </c>
      <c r="B7904" s="1">
        <v>45444</v>
      </c>
      <c r="C7904">
        <v>870790</v>
      </c>
      <c r="D7904" t="s">
        <v>176</v>
      </c>
      <c r="E7904">
        <v>0</v>
      </c>
      <c r="F7904">
        <v>0</v>
      </c>
      <c r="G7904">
        <v>0</v>
      </c>
      <c r="H7904">
        <f>_xlfn.XLOOKUP(FACT_IMPORTS[[#This Row],[hts_6]],DIM_PRODUCTS[hts_6],DIM_PRODUCTS[hts_4],,,)</f>
        <v>8707</v>
      </c>
      <c r="I7904" t="str" cm="1">
        <f t="array" ref="I7904">_xlfn.XLOOKUP(FACT_IMPORTS[[#This Row],[country_name]],DIM_COUNTRY[[#All],[Column2]],DIM_COUNTRY[[#All],[Column3]],,,)</f>
        <v>Major_Non-USMCA_Non-China</v>
      </c>
    </row>
    <row r="7905" spans="1:9" x14ac:dyDescent="0.4">
      <c r="A7905" t="s">
        <v>71</v>
      </c>
      <c r="B7905" s="1">
        <v>45444</v>
      </c>
      <c r="C7905">
        <v>870810</v>
      </c>
      <c r="D7905" t="s">
        <v>176</v>
      </c>
      <c r="E7905">
        <v>4157</v>
      </c>
      <c r="F7905">
        <v>7</v>
      </c>
      <c r="G7905">
        <v>416</v>
      </c>
      <c r="H7905">
        <f>_xlfn.XLOOKUP(FACT_IMPORTS[[#This Row],[hts_6]],DIM_PRODUCTS[hts_6],DIM_PRODUCTS[hts_4],,,)</f>
        <v>8708</v>
      </c>
      <c r="I7905" t="str" cm="1">
        <f t="array" ref="I7905">_xlfn.XLOOKUP(FACT_IMPORTS[[#This Row],[country_name]],DIM_COUNTRY[[#All],[Column2]],DIM_COUNTRY[[#All],[Column3]],,,)</f>
        <v>Major_Non-USMCA_Non-China</v>
      </c>
    </row>
    <row r="7906" spans="1:9" x14ac:dyDescent="0.4">
      <c r="A7906" t="s">
        <v>71</v>
      </c>
      <c r="B7906" s="1">
        <v>45444</v>
      </c>
      <c r="C7906">
        <v>870829</v>
      </c>
      <c r="D7906" t="s">
        <v>176</v>
      </c>
      <c r="E7906">
        <v>3329480</v>
      </c>
      <c r="F7906">
        <v>234193</v>
      </c>
      <c r="G7906">
        <v>45339</v>
      </c>
      <c r="H7906">
        <f>_xlfn.XLOOKUP(FACT_IMPORTS[[#This Row],[hts_6]],DIM_PRODUCTS[hts_6],DIM_PRODUCTS[hts_4],,,)</f>
        <v>8708</v>
      </c>
      <c r="I7906" t="str" cm="1">
        <f t="array" ref="I7906">_xlfn.XLOOKUP(FACT_IMPORTS[[#This Row],[country_name]],DIM_COUNTRY[[#All],[Column2]],DIM_COUNTRY[[#All],[Column3]],,,)</f>
        <v>Major_Non-USMCA_Non-China</v>
      </c>
    </row>
    <row r="7907" spans="1:9" x14ac:dyDescent="0.4">
      <c r="A7907" t="s">
        <v>71</v>
      </c>
      <c r="B7907" s="1">
        <v>45444</v>
      </c>
      <c r="C7907">
        <v>870830</v>
      </c>
      <c r="D7907" t="s">
        <v>176</v>
      </c>
      <c r="E7907">
        <v>2072982</v>
      </c>
      <c r="F7907">
        <v>259200</v>
      </c>
      <c r="G7907">
        <v>16170</v>
      </c>
      <c r="H7907">
        <f>_xlfn.XLOOKUP(FACT_IMPORTS[[#This Row],[hts_6]],DIM_PRODUCTS[hts_6],DIM_PRODUCTS[hts_4],,,)</f>
        <v>8708</v>
      </c>
      <c r="I7907" t="str" cm="1">
        <f t="array" ref="I7907">_xlfn.XLOOKUP(FACT_IMPORTS[[#This Row],[country_name]],DIM_COUNTRY[[#All],[Column2]],DIM_COUNTRY[[#All],[Column3]],,,)</f>
        <v>Major_Non-USMCA_Non-China</v>
      </c>
    </row>
    <row r="7908" spans="1:9" x14ac:dyDescent="0.4">
      <c r="A7908" t="s">
        <v>71</v>
      </c>
      <c r="B7908" s="1">
        <v>45444</v>
      </c>
      <c r="C7908">
        <v>870840</v>
      </c>
      <c r="D7908" t="s">
        <v>176</v>
      </c>
      <c r="E7908">
        <v>1449285</v>
      </c>
      <c r="F7908">
        <v>36668</v>
      </c>
      <c r="G7908">
        <v>56190</v>
      </c>
      <c r="H7908">
        <f>_xlfn.XLOOKUP(FACT_IMPORTS[[#This Row],[hts_6]],DIM_PRODUCTS[hts_6],DIM_PRODUCTS[hts_4],,,)</f>
        <v>8708</v>
      </c>
      <c r="I7908" t="str" cm="1">
        <f t="array" ref="I7908">_xlfn.XLOOKUP(FACT_IMPORTS[[#This Row],[country_name]],DIM_COUNTRY[[#All],[Column2]],DIM_COUNTRY[[#All],[Column3]],,,)</f>
        <v>Major_Non-USMCA_Non-China</v>
      </c>
    </row>
    <row r="7909" spans="1:9" x14ac:dyDescent="0.4">
      <c r="A7909" t="s">
        <v>71</v>
      </c>
      <c r="B7909" s="1">
        <v>45444</v>
      </c>
      <c r="C7909">
        <v>870850</v>
      </c>
      <c r="D7909" t="s">
        <v>176</v>
      </c>
      <c r="E7909">
        <v>36669</v>
      </c>
      <c r="F7909">
        <v>2</v>
      </c>
      <c r="G7909">
        <v>1</v>
      </c>
      <c r="H7909">
        <f>_xlfn.XLOOKUP(FACT_IMPORTS[[#This Row],[hts_6]],DIM_PRODUCTS[hts_6],DIM_PRODUCTS[hts_4],,,)</f>
        <v>8708</v>
      </c>
      <c r="I7909" t="str" cm="1">
        <f t="array" ref="I7909">_xlfn.XLOOKUP(FACT_IMPORTS[[#This Row],[country_name]],DIM_COUNTRY[[#All],[Column2]],DIM_COUNTRY[[#All],[Column3]],,,)</f>
        <v>Major_Non-USMCA_Non-China</v>
      </c>
    </row>
    <row r="7910" spans="1:9" x14ac:dyDescent="0.4">
      <c r="A7910" t="s">
        <v>71</v>
      </c>
      <c r="B7910" s="1">
        <v>45444</v>
      </c>
      <c r="C7910">
        <v>870870</v>
      </c>
      <c r="D7910" t="s">
        <v>176</v>
      </c>
      <c r="E7910">
        <v>17966</v>
      </c>
      <c r="F7910">
        <v>1433</v>
      </c>
      <c r="G7910">
        <v>368</v>
      </c>
      <c r="H7910">
        <f>_xlfn.XLOOKUP(FACT_IMPORTS[[#This Row],[hts_6]],DIM_PRODUCTS[hts_6],DIM_PRODUCTS[hts_4],,,)</f>
        <v>8708</v>
      </c>
      <c r="I7910" t="str" cm="1">
        <f t="array" ref="I7910">_xlfn.XLOOKUP(FACT_IMPORTS[[#This Row],[country_name]],DIM_COUNTRY[[#All],[Column2]],DIM_COUNTRY[[#All],[Column3]],,,)</f>
        <v>Major_Non-USMCA_Non-China</v>
      </c>
    </row>
    <row r="7911" spans="1:9" x14ac:dyDescent="0.4">
      <c r="A7911" t="s">
        <v>71</v>
      </c>
      <c r="B7911" s="1">
        <v>45444</v>
      </c>
      <c r="C7911">
        <v>870880</v>
      </c>
      <c r="D7911" t="s">
        <v>176</v>
      </c>
      <c r="E7911">
        <v>156489</v>
      </c>
      <c r="F7911">
        <v>32013</v>
      </c>
      <c r="G7911">
        <v>7462</v>
      </c>
      <c r="H7911">
        <f>_xlfn.XLOOKUP(FACT_IMPORTS[[#This Row],[hts_6]],DIM_PRODUCTS[hts_6],DIM_PRODUCTS[hts_4],,,)</f>
        <v>8708</v>
      </c>
      <c r="I7911" t="str" cm="1">
        <f t="array" ref="I7911">_xlfn.XLOOKUP(FACT_IMPORTS[[#This Row],[country_name]],DIM_COUNTRY[[#All],[Column2]],DIM_COUNTRY[[#All],[Column3]],,,)</f>
        <v>Major_Non-USMCA_Non-China</v>
      </c>
    </row>
    <row r="7912" spans="1:9" x14ac:dyDescent="0.4">
      <c r="A7912" t="s">
        <v>71</v>
      </c>
      <c r="B7912" s="1">
        <v>45444</v>
      </c>
      <c r="C7912">
        <v>870891</v>
      </c>
      <c r="D7912" t="s">
        <v>176</v>
      </c>
      <c r="E7912">
        <v>169525</v>
      </c>
      <c r="F7912">
        <v>144740</v>
      </c>
      <c r="G7912">
        <v>2204</v>
      </c>
      <c r="H7912">
        <f>_xlfn.XLOOKUP(FACT_IMPORTS[[#This Row],[hts_6]],DIM_PRODUCTS[hts_6],DIM_PRODUCTS[hts_4],,,)</f>
        <v>8708</v>
      </c>
      <c r="I7912" t="str" cm="1">
        <f t="array" ref="I7912">_xlfn.XLOOKUP(FACT_IMPORTS[[#This Row],[country_name]],DIM_COUNTRY[[#All],[Column2]],DIM_COUNTRY[[#All],[Column3]],,,)</f>
        <v>Major_Non-USMCA_Non-China</v>
      </c>
    </row>
    <row r="7913" spans="1:9" x14ac:dyDescent="0.4">
      <c r="A7913" t="s">
        <v>71</v>
      </c>
      <c r="B7913" s="1">
        <v>45444</v>
      </c>
      <c r="C7913">
        <v>870893</v>
      </c>
      <c r="D7913" t="s">
        <v>176</v>
      </c>
      <c r="E7913">
        <v>1243565</v>
      </c>
      <c r="F7913">
        <v>426007</v>
      </c>
      <c r="G7913">
        <v>19401</v>
      </c>
      <c r="H7913">
        <f>_xlfn.XLOOKUP(FACT_IMPORTS[[#This Row],[hts_6]],DIM_PRODUCTS[hts_6],DIM_PRODUCTS[hts_4],,,)</f>
        <v>8708</v>
      </c>
      <c r="I7913" t="str" cm="1">
        <f t="array" ref="I7913">_xlfn.XLOOKUP(FACT_IMPORTS[[#This Row],[country_name]],DIM_COUNTRY[[#All],[Column2]],DIM_COUNTRY[[#All],[Column3]],,,)</f>
        <v>Major_Non-USMCA_Non-China</v>
      </c>
    </row>
    <row r="7914" spans="1:9" x14ac:dyDescent="0.4">
      <c r="A7914" t="s">
        <v>71</v>
      </c>
      <c r="B7914" s="1">
        <v>45444</v>
      </c>
      <c r="C7914">
        <v>870894</v>
      </c>
      <c r="D7914" t="s">
        <v>176</v>
      </c>
      <c r="E7914">
        <v>2894</v>
      </c>
      <c r="F7914">
        <v>53</v>
      </c>
      <c r="G7914">
        <v>22</v>
      </c>
      <c r="H7914">
        <f>_xlfn.XLOOKUP(FACT_IMPORTS[[#This Row],[hts_6]],DIM_PRODUCTS[hts_6],DIM_PRODUCTS[hts_4],,,)</f>
        <v>8708</v>
      </c>
      <c r="I7914" t="str" cm="1">
        <f t="array" ref="I7914">_xlfn.XLOOKUP(FACT_IMPORTS[[#This Row],[country_name]],DIM_COUNTRY[[#All],[Column2]],DIM_COUNTRY[[#All],[Column3]],,,)</f>
        <v>Major_Non-USMCA_Non-China</v>
      </c>
    </row>
    <row r="7915" spans="1:9" x14ac:dyDescent="0.4">
      <c r="A7915" t="s">
        <v>71</v>
      </c>
      <c r="B7915" s="1">
        <v>45444</v>
      </c>
      <c r="C7915">
        <v>870895</v>
      </c>
      <c r="D7915" t="s">
        <v>176</v>
      </c>
      <c r="E7915">
        <v>3728</v>
      </c>
      <c r="F7915">
        <v>411</v>
      </c>
      <c r="G7915">
        <v>367</v>
      </c>
      <c r="H7915">
        <f>_xlfn.XLOOKUP(FACT_IMPORTS[[#This Row],[hts_6]],DIM_PRODUCTS[hts_6],DIM_PRODUCTS[hts_4],,,)</f>
        <v>8708</v>
      </c>
      <c r="I7915" t="str" cm="1">
        <f t="array" ref="I7915">_xlfn.XLOOKUP(FACT_IMPORTS[[#This Row],[country_name]],DIM_COUNTRY[[#All],[Column2]],DIM_COUNTRY[[#All],[Column3]],,,)</f>
        <v>Major_Non-USMCA_Non-China</v>
      </c>
    </row>
    <row r="7916" spans="1:9" x14ac:dyDescent="0.4">
      <c r="A7916" t="s">
        <v>71</v>
      </c>
      <c r="B7916" s="1">
        <v>45444</v>
      </c>
      <c r="C7916">
        <v>870899</v>
      </c>
      <c r="D7916" t="s">
        <v>176</v>
      </c>
      <c r="E7916">
        <v>2696771</v>
      </c>
      <c r="F7916">
        <v>2458523</v>
      </c>
      <c r="G7916">
        <v>55603</v>
      </c>
      <c r="H7916">
        <f>_xlfn.XLOOKUP(FACT_IMPORTS[[#This Row],[hts_6]],DIM_PRODUCTS[hts_6],DIM_PRODUCTS[hts_4],,,)</f>
        <v>8708</v>
      </c>
      <c r="I7916" t="str" cm="1">
        <f t="array" ref="I7916">_xlfn.XLOOKUP(FACT_IMPORTS[[#This Row],[country_name]],DIM_COUNTRY[[#All],[Column2]],DIM_COUNTRY[[#All],[Column3]],,,)</f>
        <v>Major_Non-USMCA_Non-China</v>
      </c>
    </row>
    <row r="7917" spans="1:9" x14ac:dyDescent="0.4">
      <c r="A7917" t="s">
        <v>71</v>
      </c>
      <c r="B7917" s="1">
        <v>45444</v>
      </c>
      <c r="C7917">
        <v>940120</v>
      </c>
      <c r="D7917" t="s">
        <v>176</v>
      </c>
      <c r="E7917">
        <v>0</v>
      </c>
      <c r="F7917">
        <v>0</v>
      </c>
      <c r="G7917">
        <v>0</v>
      </c>
      <c r="H7917">
        <f>_xlfn.XLOOKUP(FACT_IMPORTS[[#This Row],[hts_6]],DIM_PRODUCTS[hts_6],DIM_PRODUCTS[hts_4],,,)</f>
        <v>9401</v>
      </c>
      <c r="I7917" t="str" cm="1">
        <f t="array" ref="I7917">_xlfn.XLOOKUP(FACT_IMPORTS[[#This Row],[country_name]],DIM_COUNTRY[[#All],[Column2]],DIM_COUNTRY[[#All],[Column3]],,,)</f>
        <v>Major_Non-USMCA_Non-China</v>
      </c>
    </row>
    <row r="7918" spans="1:9" x14ac:dyDescent="0.4">
      <c r="A7918" t="s">
        <v>71</v>
      </c>
      <c r="B7918" s="1">
        <v>45474</v>
      </c>
      <c r="C7918">
        <v>392630</v>
      </c>
      <c r="D7918" t="s">
        <v>176</v>
      </c>
      <c r="E7918">
        <v>302</v>
      </c>
      <c r="F7918">
        <v>14</v>
      </c>
      <c r="G7918">
        <v>5</v>
      </c>
      <c r="H7918">
        <f>_xlfn.XLOOKUP(FACT_IMPORTS[[#This Row],[hts_6]],DIM_PRODUCTS[hts_6],DIM_PRODUCTS[hts_4],,,)</f>
        <v>3926</v>
      </c>
      <c r="I7918" t="str" cm="1">
        <f t="array" ref="I7918">_xlfn.XLOOKUP(FACT_IMPORTS[[#This Row],[country_name]],DIM_COUNTRY[[#All],[Column2]],DIM_COUNTRY[[#All],[Column3]],,,)</f>
        <v>Major_Non-USMCA_Non-China</v>
      </c>
    </row>
    <row r="7919" spans="1:9" x14ac:dyDescent="0.4">
      <c r="A7919" t="s">
        <v>71</v>
      </c>
      <c r="B7919" s="1">
        <v>45474</v>
      </c>
      <c r="C7919">
        <v>401110</v>
      </c>
      <c r="D7919" t="s">
        <v>176</v>
      </c>
      <c r="E7919">
        <v>41869</v>
      </c>
      <c r="F7919">
        <v>547</v>
      </c>
      <c r="G7919">
        <v>2852</v>
      </c>
      <c r="H7919">
        <f>_xlfn.XLOOKUP(FACT_IMPORTS[[#This Row],[hts_6]],DIM_PRODUCTS[hts_6],DIM_PRODUCTS[hts_4],,,)</f>
        <v>4011</v>
      </c>
      <c r="I7919" t="str" cm="1">
        <f t="array" ref="I7919">_xlfn.XLOOKUP(FACT_IMPORTS[[#This Row],[country_name]],DIM_COUNTRY[[#All],[Column2]],DIM_COUNTRY[[#All],[Column3]],,,)</f>
        <v>Major_Non-USMCA_Non-China</v>
      </c>
    </row>
    <row r="7920" spans="1:9" x14ac:dyDescent="0.4">
      <c r="A7920" t="s">
        <v>71</v>
      </c>
      <c r="B7920" s="1">
        <v>45474</v>
      </c>
      <c r="C7920">
        <v>401120</v>
      </c>
      <c r="D7920" t="s">
        <v>176</v>
      </c>
      <c r="E7920">
        <v>55933</v>
      </c>
      <c r="F7920">
        <v>332</v>
      </c>
      <c r="G7920">
        <v>3249</v>
      </c>
      <c r="H7920">
        <f>_xlfn.XLOOKUP(FACT_IMPORTS[[#This Row],[hts_6]],DIM_PRODUCTS[hts_6],DIM_PRODUCTS[hts_4],,,)</f>
        <v>4011</v>
      </c>
      <c r="I7920" t="str" cm="1">
        <f t="array" ref="I7920">_xlfn.XLOOKUP(FACT_IMPORTS[[#This Row],[country_name]],DIM_COUNTRY[[#All],[Column2]],DIM_COUNTRY[[#All],[Column3]],,,)</f>
        <v>Major_Non-USMCA_Non-China</v>
      </c>
    </row>
    <row r="7921" spans="1:9" x14ac:dyDescent="0.4">
      <c r="A7921" t="s">
        <v>71</v>
      </c>
      <c r="B7921" s="1">
        <v>45474</v>
      </c>
      <c r="C7921">
        <v>700711</v>
      </c>
      <c r="D7921" t="s">
        <v>176</v>
      </c>
      <c r="E7921">
        <v>0</v>
      </c>
      <c r="F7921">
        <v>0</v>
      </c>
      <c r="G7921">
        <v>0</v>
      </c>
      <c r="H7921">
        <f>_xlfn.XLOOKUP(FACT_IMPORTS[[#This Row],[hts_6]],DIM_PRODUCTS[hts_6],DIM_PRODUCTS[hts_4],,,)</f>
        <v>7007</v>
      </c>
      <c r="I7921" t="str" cm="1">
        <f t="array" ref="I7921">_xlfn.XLOOKUP(FACT_IMPORTS[[#This Row],[country_name]],DIM_COUNTRY[[#All],[Column2]],DIM_COUNTRY[[#All],[Column3]],,,)</f>
        <v>Major_Non-USMCA_Non-China</v>
      </c>
    </row>
    <row r="7922" spans="1:9" x14ac:dyDescent="0.4">
      <c r="A7922" t="s">
        <v>71</v>
      </c>
      <c r="B7922" s="1">
        <v>45474</v>
      </c>
      <c r="C7922">
        <v>700721</v>
      </c>
      <c r="D7922" t="s">
        <v>176</v>
      </c>
      <c r="E7922">
        <v>47052</v>
      </c>
      <c r="F7922">
        <v>3</v>
      </c>
      <c r="G7922">
        <v>308</v>
      </c>
      <c r="H7922">
        <f>_xlfn.XLOOKUP(FACT_IMPORTS[[#This Row],[hts_6]],DIM_PRODUCTS[hts_6],DIM_PRODUCTS[hts_4],,,)</f>
        <v>7007</v>
      </c>
      <c r="I7922" t="str" cm="1">
        <f t="array" ref="I7922">_xlfn.XLOOKUP(FACT_IMPORTS[[#This Row],[country_name]],DIM_COUNTRY[[#All],[Column2]],DIM_COUNTRY[[#All],[Column3]],,,)</f>
        <v>Major_Non-USMCA_Non-China</v>
      </c>
    </row>
    <row r="7923" spans="1:9" x14ac:dyDescent="0.4">
      <c r="A7923" t="s">
        <v>71</v>
      </c>
      <c r="B7923" s="1">
        <v>45474</v>
      </c>
      <c r="C7923">
        <v>700910</v>
      </c>
      <c r="D7923" t="s">
        <v>176</v>
      </c>
      <c r="E7923">
        <v>0</v>
      </c>
      <c r="F7923">
        <v>0</v>
      </c>
      <c r="G7923">
        <v>0</v>
      </c>
      <c r="H7923">
        <f>_xlfn.XLOOKUP(FACT_IMPORTS[[#This Row],[hts_6]],DIM_PRODUCTS[hts_6],DIM_PRODUCTS[hts_4],,,)</f>
        <v>7009</v>
      </c>
      <c r="I7923" t="str" cm="1">
        <f t="array" ref="I7923">_xlfn.XLOOKUP(FACT_IMPORTS[[#This Row],[country_name]],DIM_COUNTRY[[#All],[Column2]],DIM_COUNTRY[[#All],[Column3]],,,)</f>
        <v>Major_Non-USMCA_Non-China</v>
      </c>
    </row>
    <row r="7924" spans="1:9" x14ac:dyDescent="0.4">
      <c r="A7924" t="s">
        <v>71</v>
      </c>
      <c r="B7924" s="1">
        <v>45474</v>
      </c>
      <c r="C7924">
        <v>732010</v>
      </c>
      <c r="D7924" t="s">
        <v>176</v>
      </c>
      <c r="E7924">
        <v>0</v>
      </c>
      <c r="F7924">
        <v>0</v>
      </c>
      <c r="G7924">
        <v>0</v>
      </c>
      <c r="H7924">
        <f>_xlfn.XLOOKUP(FACT_IMPORTS[[#This Row],[hts_6]],DIM_PRODUCTS[hts_6],DIM_PRODUCTS[hts_4],,,)</f>
        <v>7320</v>
      </c>
      <c r="I7924" t="str" cm="1">
        <f t="array" ref="I7924">_xlfn.XLOOKUP(FACT_IMPORTS[[#This Row],[country_name]],DIM_COUNTRY[[#All],[Column2]],DIM_COUNTRY[[#All],[Column3]],,,)</f>
        <v>Major_Non-USMCA_Non-China</v>
      </c>
    </row>
    <row r="7925" spans="1:9" x14ac:dyDescent="0.4">
      <c r="A7925" t="s">
        <v>71</v>
      </c>
      <c r="B7925" s="1">
        <v>45474</v>
      </c>
      <c r="C7925">
        <v>830230</v>
      </c>
      <c r="D7925" t="s">
        <v>176</v>
      </c>
      <c r="E7925">
        <v>37664</v>
      </c>
      <c r="F7925">
        <v>5594</v>
      </c>
      <c r="G7925">
        <v>490</v>
      </c>
      <c r="H7925">
        <f>_xlfn.XLOOKUP(FACT_IMPORTS[[#This Row],[hts_6]],DIM_PRODUCTS[hts_6],DIM_PRODUCTS[hts_4],,,)</f>
        <v>8302</v>
      </c>
      <c r="I7925" t="str" cm="1">
        <f t="array" ref="I7925">_xlfn.XLOOKUP(FACT_IMPORTS[[#This Row],[country_name]],DIM_COUNTRY[[#All],[Column2]],DIM_COUNTRY[[#All],[Column3]],,,)</f>
        <v>Major_Non-USMCA_Non-China</v>
      </c>
    </row>
    <row r="7926" spans="1:9" x14ac:dyDescent="0.4">
      <c r="A7926" t="s">
        <v>71</v>
      </c>
      <c r="B7926" s="1">
        <v>45474</v>
      </c>
      <c r="C7926">
        <v>840734</v>
      </c>
      <c r="D7926" t="s">
        <v>176</v>
      </c>
      <c r="E7926">
        <v>830976</v>
      </c>
      <c r="F7926">
        <v>55</v>
      </c>
      <c r="G7926">
        <v>77870</v>
      </c>
      <c r="H7926">
        <f>_xlfn.XLOOKUP(FACT_IMPORTS[[#This Row],[hts_6]],DIM_PRODUCTS[hts_6],DIM_PRODUCTS[hts_4],,,)</f>
        <v>8407</v>
      </c>
      <c r="I7926" t="str" cm="1">
        <f t="array" ref="I7926">_xlfn.XLOOKUP(FACT_IMPORTS[[#This Row],[country_name]],DIM_COUNTRY[[#All],[Column2]],DIM_COUNTRY[[#All],[Column3]],,,)</f>
        <v>Major_Non-USMCA_Non-China</v>
      </c>
    </row>
    <row r="7927" spans="1:9" x14ac:dyDescent="0.4">
      <c r="A7927" t="s">
        <v>71</v>
      </c>
      <c r="B7927" s="1">
        <v>45474</v>
      </c>
      <c r="C7927">
        <v>840790</v>
      </c>
      <c r="D7927" t="s">
        <v>176</v>
      </c>
      <c r="E7927">
        <v>0</v>
      </c>
      <c r="F7927">
        <v>0</v>
      </c>
      <c r="G7927">
        <v>0</v>
      </c>
      <c r="H7927">
        <f>_xlfn.XLOOKUP(FACT_IMPORTS[[#This Row],[hts_6]],DIM_PRODUCTS[hts_6],DIM_PRODUCTS[hts_4],,,)</f>
        <v>8407</v>
      </c>
      <c r="I7927" t="str" cm="1">
        <f t="array" ref="I7927">_xlfn.XLOOKUP(FACT_IMPORTS[[#This Row],[country_name]],DIM_COUNTRY[[#All],[Column2]],DIM_COUNTRY[[#All],[Column3]],,,)</f>
        <v>Major_Non-USMCA_Non-China</v>
      </c>
    </row>
    <row r="7928" spans="1:9" x14ac:dyDescent="0.4">
      <c r="A7928" t="s">
        <v>71</v>
      </c>
      <c r="B7928" s="1">
        <v>45474</v>
      </c>
      <c r="C7928">
        <v>840820</v>
      </c>
      <c r="D7928" t="s">
        <v>176</v>
      </c>
      <c r="E7928">
        <v>3405</v>
      </c>
      <c r="F7928">
        <v>1</v>
      </c>
      <c r="G7928">
        <v>150</v>
      </c>
      <c r="H7928">
        <f>_xlfn.XLOOKUP(FACT_IMPORTS[[#This Row],[hts_6]],DIM_PRODUCTS[hts_6],DIM_PRODUCTS[hts_4],,,)</f>
        <v>8408</v>
      </c>
      <c r="I7928" t="str" cm="1">
        <f t="array" ref="I7928">_xlfn.XLOOKUP(FACT_IMPORTS[[#This Row],[country_name]],DIM_COUNTRY[[#All],[Column2]],DIM_COUNTRY[[#All],[Column3]],,,)</f>
        <v>Major_Non-USMCA_Non-China</v>
      </c>
    </row>
    <row r="7929" spans="1:9" x14ac:dyDescent="0.4">
      <c r="A7929" t="s">
        <v>71</v>
      </c>
      <c r="B7929" s="1">
        <v>45474</v>
      </c>
      <c r="C7929">
        <v>840890</v>
      </c>
      <c r="D7929" t="s">
        <v>176</v>
      </c>
      <c r="E7929">
        <v>13500</v>
      </c>
      <c r="F7929">
        <v>1</v>
      </c>
      <c r="G7929">
        <v>29</v>
      </c>
      <c r="H7929">
        <f>_xlfn.XLOOKUP(FACT_IMPORTS[[#This Row],[hts_6]],DIM_PRODUCTS[hts_6],DIM_PRODUCTS[hts_4],,,)</f>
        <v>8408</v>
      </c>
      <c r="I7929" t="str" cm="1">
        <f t="array" ref="I7929">_xlfn.XLOOKUP(FACT_IMPORTS[[#This Row],[country_name]],DIM_COUNTRY[[#All],[Column2]],DIM_COUNTRY[[#All],[Column3]],,,)</f>
        <v>Major_Non-USMCA_Non-China</v>
      </c>
    </row>
    <row r="7930" spans="1:9" x14ac:dyDescent="0.4">
      <c r="A7930" t="s">
        <v>71</v>
      </c>
      <c r="B7930" s="1">
        <v>45474</v>
      </c>
      <c r="C7930">
        <v>840991</v>
      </c>
      <c r="D7930" t="s">
        <v>176</v>
      </c>
      <c r="E7930">
        <v>9355669</v>
      </c>
      <c r="F7930">
        <v>667877</v>
      </c>
      <c r="G7930">
        <v>206222</v>
      </c>
      <c r="H7930">
        <f>_xlfn.XLOOKUP(FACT_IMPORTS[[#This Row],[hts_6]],DIM_PRODUCTS[hts_6],DIM_PRODUCTS[hts_4],,,)</f>
        <v>8409</v>
      </c>
      <c r="I7930" t="str" cm="1">
        <f t="array" ref="I7930">_xlfn.XLOOKUP(FACT_IMPORTS[[#This Row],[country_name]],DIM_COUNTRY[[#All],[Column2]],DIM_COUNTRY[[#All],[Column3]],,,)</f>
        <v>Major_Non-USMCA_Non-China</v>
      </c>
    </row>
    <row r="7931" spans="1:9" x14ac:dyDescent="0.4">
      <c r="A7931" t="s">
        <v>71</v>
      </c>
      <c r="B7931" s="1">
        <v>45474</v>
      </c>
      <c r="C7931">
        <v>840999</v>
      </c>
      <c r="D7931" t="s">
        <v>176</v>
      </c>
      <c r="E7931">
        <v>11252</v>
      </c>
      <c r="F7931">
        <v>87</v>
      </c>
      <c r="G7931">
        <v>41</v>
      </c>
      <c r="H7931">
        <f>_xlfn.XLOOKUP(FACT_IMPORTS[[#This Row],[hts_6]],DIM_PRODUCTS[hts_6],DIM_PRODUCTS[hts_4],,,)</f>
        <v>8409</v>
      </c>
      <c r="I7931" t="str" cm="1">
        <f t="array" ref="I7931">_xlfn.XLOOKUP(FACT_IMPORTS[[#This Row],[country_name]],DIM_COUNTRY[[#All],[Column2]],DIM_COUNTRY[[#All],[Column3]],,,)</f>
        <v>Major_Non-USMCA_Non-China</v>
      </c>
    </row>
    <row r="7932" spans="1:9" x14ac:dyDescent="0.4">
      <c r="A7932" t="s">
        <v>71</v>
      </c>
      <c r="B7932" s="1">
        <v>45474</v>
      </c>
      <c r="C7932">
        <v>841330</v>
      </c>
      <c r="D7932" t="s">
        <v>176</v>
      </c>
      <c r="E7932">
        <v>40600</v>
      </c>
      <c r="F7932">
        <v>2643</v>
      </c>
      <c r="G7932">
        <v>1227</v>
      </c>
      <c r="H7932">
        <f>_xlfn.XLOOKUP(FACT_IMPORTS[[#This Row],[hts_6]],DIM_PRODUCTS[hts_6],DIM_PRODUCTS[hts_4],,,)</f>
        <v>8413</v>
      </c>
      <c r="I7932" t="str" cm="1">
        <f t="array" ref="I7932">_xlfn.XLOOKUP(FACT_IMPORTS[[#This Row],[country_name]],DIM_COUNTRY[[#All],[Column2]],DIM_COUNTRY[[#All],[Column3]],,,)</f>
        <v>Major_Non-USMCA_Non-China</v>
      </c>
    </row>
    <row r="7933" spans="1:9" x14ac:dyDescent="0.4">
      <c r="A7933" t="s">
        <v>71</v>
      </c>
      <c r="B7933" s="1">
        <v>45474</v>
      </c>
      <c r="C7933">
        <v>841520</v>
      </c>
      <c r="D7933" t="s">
        <v>176</v>
      </c>
      <c r="E7933">
        <v>0</v>
      </c>
      <c r="F7933">
        <v>0</v>
      </c>
      <c r="G7933">
        <v>0</v>
      </c>
      <c r="H7933">
        <f>_xlfn.XLOOKUP(FACT_IMPORTS[[#This Row],[hts_6]],DIM_PRODUCTS[hts_6],DIM_PRODUCTS[hts_4],,,)</f>
        <v>8415</v>
      </c>
      <c r="I7933" t="str" cm="1">
        <f t="array" ref="I7933">_xlfn.XLOOKUP(FACT_IMPORTS[[#This Row],[country_name]],DIM_COUNTRY[[#All],[Column2]],DIM_COUNTRY[[#All],[Column3]],,,)</f>
        <v>Major_Non-USMCA_Non-China</v>
      </c>
    </row>
    <row r="7934" spans="1:9" x14ac:dyDescent="0.4">
      <c r="A7934" t="s">
        <v>71</v>
      </c>
      <c r="B7934" s="1">
        <v>45474</v>
      </c>
      <c r="C7934">
        <v>842132</v>
      </c>
      <c r="D7934" t="s">
        <v>176</v>
      </c>
      <c r="E7934">
        <v>88677</v>
      </c>
      <c r="F7934">
        <v>13</v>
      </c>
      <c r="G7934">
        <v>766</v>
      </c>
      <c r="H7934">
        <f>_xlfn.XLOOKUP(FACT_IMPORTS[[#This Row],[hts_6]],DIM_PRODUCTS[hts_6],DIM_PRODUCTS[hts_4],,,)</f>
        <v>8421</v>
      </c>
      <c r="I7934" t="str" cm="1">
        <f t="array" ref="I7934">_xlfn.XLOOKUP(FACT_IMPORTS[[#This Row],[country_name]],DIM_COUNTRY[[#All],[Column2]],DIM_COUNTRY[[#All],[Column3]],,,)</f>
        <v>Major_Non-USMCA_Non-China</v>
      </c>
    </row>
    <row r="7935" spans="1:9" x14ac:dyDescent="0.4">
      <c r="A7935" t="s">
        <v>71</v>
      </c>
      <c r="B7935" s="1">
        <v>45474</v>
      </c>
      <c r="C7935">
        <v>848210</v>
      </c>
      <c r="D7935" t="s">
        <v>176</v>
      </c>
      <c r="E7935">
        <v>100301</v>
      </c>
      <c r="F7935">
        <v>1538</v>
      </c>
      <c r="G7935">
        <v>2753</v>
      </c>
      <c r="H7935">
        <f>_xlfn.XLOOKUP(FACT_IMPORTS[[#This Row],[hts_6]],DIM_PRODUCTS[hts_6],DIM_PRODUCTS[hts_4],,,)</f>
        <v>8482</v>
      </c>
      <c r="I7935" t="str" cm="1">
        <f t="array" ref="I7935">_xlfn.XLOOKUP(FACT_IMPORTS[[#This Row],[country_name]],DIM_COUNTRY[[#All],[Column2]],DIM_COUNTRY[[#All],[Column3]],,,)</f>
        <v>Major_Non-USMCA_Non-China</v>
      </c>
    </row>
    <row r="7936" spans="1:9" x14ac:dyDescent="0.4">
      <c r="A7936" t="s">
        <v>71</v>
      </c>
      <c r="B7936" s="1">
        <v>45474</v>
      </c>
      <c r="C7936">
        <v>848220</v>
      </c>
      <c r="D7936" t="s">
        <v>176</v>
      </c>
      <c r="E7936">
        <v>271727</v>
      </c>
      <c r="F7936">
        <v>15998</v>
      </c>
      <c r="G7936">
        <v>2410</v>
      </c>
      <c r="H7936">
        <f>_xlfn.XLOOKUP(FACT_IMPORTS[[#This Row],[hts_6]],DIM_PRODUCTS[hts_6],DIM_PRODUCTS[hts_4],,,)</f>
        <v>8482</v>
      </c>
      <c r="I7936" t="str" cm="1">
        <f t="array" ref="I7936">_xlfn.XLOOKUP(FACT_IMPORTS[[#This Row],[country_name]],DIM_COUNTRY[[#All],[Column2]],DIM_COUNTRY[[#All],[Column3]],,,)</f>
        <v>Major_Non-USMCA_Non-China</v>
      </c>
    </row>
    <row r="7937" spans="1:9" x14ac:dyDescent="0.4">
      <c r="A7937" t="s">
        <v>71</v>
      </c>
      <c r="B7937" s="1">
        <v>45474</v>
      </c>
      <c r="C7937">
        <v>848310</v>
      </c>
      <c r="D7937" t="s">
        <v>176</v>
      </c>
      <c r="E7937">
        <v>664873</v>
      </c>
      <c r="F7937">
        <v>19404</v>
      </c>
      <c r="G7937">
        <v>33405</v>
      </c>
      <c r="H7937">
        <f>_xlfn.XLOOKUP(FACT_IMPORTS[[#This Row],[hts_6]],DIM_PRODUCTS[hts_6],DIM_PRODUCTS[hts_4],,,)</f>
        <v>8483</v>
      </c>
      <c r="I7937" t="str" cm="1">
        <f t="array" ref="I7937">_xlfn.XLOOKUP(FACT_IMPORTS[[#This Row],[country_name]],DIM_COUNTRY[[#All],[Column2]],DIM_COUNTRY[[#All],[Column3]],,,)</f>
        <v>Major_Non-USMCA_Non-China</v>
      </c>
    </row>
    <row r="7938" spans="1:9" x14ac:dyDescent="0.4">
      <c r="A7938" t="s">
        <v>71</v>
      </c>
      <c r="B7938" s="1">
        <v>45474</v>
      </c>
      <c r="C7938">
        <v>850131</v>
      </c>
      <c r="D7938" t="s">
        <v>176</v>
      </c>
      <c r="E7938">
        <v>1535928</v>
      </c>
      <c r="F7938">
        <v>39892</v>
      </c>
      <c r="G7938">
        <v>17920</v>
      </c>
      <c r="H7938">
        <f>_xlfn.XLOOKUP(FACT_IMPORTS[[#This Row],[hts_6]],DIM_PRODUCTS[hts_6],DIM_PRODUCTS[hts_4],,,)</f>
        <v>8501</v>
      </c>
      <c r="I7938" t="str" cm="1">
        <f t="array" ref="I7938">_xlfn.XLOOKUP(FACT_IMPORTS[[#This Row],[country_name]],DIM_COUNTRY[[#All],[Column2]],DIM_COUNTRY[[#All],[Column3]],,,)</f>
        <v>Major_Non-USMCA_Non-China</v>
      </c>
    </row>
    <row r="7939" spans="1:9" x14ac:dyDescent="0.4">
      <c r="A7939" t="s">
        <v>71</v>
      </c>
      <c r="B7939" s="1">
        <v>45474</v>
      </c>
      <c r="C7939">
        <v>850132</v>
      </c>
      <c r="D7939" t="s">
        <v>176</v>
      </c>
      <c r="E7939">
        <v>0</v>
      </c>
      <c r="F7939">
        <v>0</v>
      </c>
      <c r="G7939">
        <v>0</v>
      </c>
      <c r="H7939">
        <f>_xlfn.XLOOKUP(FACT_IMPORTS[[#This Row],[hts_6]],DIM_PRODUCTS[hts_6],DIM_PRODUCTS[hts_4],,,)</f>
        <v>8501</v>
      </c>
      <c r="I7939" t="str" cm="1">
        <f t="array" ref="I7939">_xlfn.XLOOKUP(FACT_IMPORTS[[#This Row],[country_name]],DIM_COUNTRY[[#All],[Column2]],DIM_COUNTRY[[#All],[Column3]],,,)</f>
        <v>Major_Non-USMCA_Non-China</v>
      </c>
    </row>
    <row r="7940" spans="1:9" x14ac:dyDescent="0.4">
      <c r="A7940" t="s">
        <v>71</v>
      </c>
      <c r="B7940" s="1">
        <v>45474</v>
      </c>
      <c r="C7940">
        <v>850133</v>
      </c>
      <c r="D7940" t="s">
        <v>176</v>
      </c>
      <c r="E7940">
        <v>0</v>
      </c>
      <c r="F7940">
        <v>0</v>
      </c>
      <c r="G7940">
        <v>0</v>
      </c>
      <c r="H7940">
        <f>_xlfn.XLOOKUP(FACT_IMPORTS[[#This Row],[hts_6]],DIM_PRODUCTS[hts_6],DIM_PRODUCTS[hts_4],,,)</f>
        <v>8501</v>
      </c>
      <c r="I7940" t="str" cm="1">
        <f t="array" ref="I7940">_xlfn.XLOOKUP(FACT_IMPORTS[[#This Row],[country_name]],DIM_COUNTRY[[#All],[Column2]],DIM_COUNTRY[[#All],[Column3]],,,)</f>
        <v>Major_Non-USMCA_Non-China</v>
      </c>
    </row>
    <row r="7941" spans="1:9" x14ac:dyDescent="0.4">
      <c r="A7941" t="s">
        <v>71</v>
      </c>
      <c r="B7941" s="1">
        <v>45474</v>
      </c>
      <c r="C7941">
        <v>850152</v>
      </c>
      <c r="D7941" t="s">
        <v>176</v>
      </c>
      <c r="E7941">
        <v>431063</v>
      </c>
      <c r="F7941">
        <v>618</v>
      </c>
      <c r="G7941">
        <v>4535</v>
      </c>
      <c r="H7941">
        <f>_xlfn.XLOOKUP(FACT_IMPORTS[[#This Row],[hts_6]],DIM_PRODUCTS[hts_6],DIM_PRODUCTS[hts_4],,,)</f>
        <v>8501</v>
      </c>
      <c r="I7941" t="str" cm="1">
        <f t="array" ref="I7941">_xlfn.XLOOKUP(FACT_IMPORTS[[#This Row],[country_name]],DIM_COUNTRY[[#All],[Column2]],DIM_COUNTRY[[#All],[Column3]],,,)</f>
        <v>Major_Non-USMCA_Non-China</v>
      </c>
    </row>
    <row r="7942" spans="1:9" x14ac:dyDescent="0.4">
      <c r="A7942" t="s">
        <v>71</v>
      </c>
      <c r="B7942" s="1">
        <v>45474</v>
      </c>
      <c r="C7942">
        <v>850153</v>
      </c>
      <c r="D7942" t="s">
        <v>176</v>
      </c>
      <c r="E7942">
        <v>0</v>
      </c>
      <c r="F7942">
        <v>0</v>
      </c>
      <c r="G7942">
        <v>0</v>
      </c>
      <c r="H7942">
        <f>_xlfn.XLOOKUP(FACT_IMPORTS[[#This Row],[hts_6]],DIM_PRODUCTS[hts_6],DIM_PRODUCTS[hts_4],,,)</f>
        <v>8501</v>
      </c>
      <c r="I7942" t="str" cm="1">
        <f t="array" ref="I7942">_xlfn.XLOOKUP(FACT_IMPORTS[[#This Row],[country_name]],DIM_COUNTRY[[#All],[Column2]],DIM_COUNTRY[[#All],[Column3]],,,)</f>
        <v>Major_Non-USMCA_Non-China</v>
      </c>
    </row>
    <row r="7943" spans="1:9" x14ac:dyDescent="0.4">
      <c r="A7943" t="s">
        <v>71</v>
      </c>
      <c r="B7943" s="1">
        <v>45474</v>
      </c>
      <c r="C7943">
        <v>850161</v>
      </c>
      <c r="D7943" t="s">
        <v>176</v>
      </c>
      <c r="E7943">
        <v>0</v>
      </c>
      <c r="F7943">
        <v>0</v>
      </c>
      <c r="G7943">
        <v>0</v>
      </c>
      <c r="H7943">
        <f>_xlfn.XLOOKUP(FACT_IMPORTS[[#This Row],[hts_6]],DIM_PRODUCTS[hts_6],DIM_PRODUCTS[hts_4],,,)</f>
        <v>8501</v>
      </c>
      <c r="I7943" t="str" cm="1">
        <f t="array" ref="I7943">_xlfn.XLOOKUP(FACT_IMPORTS[[#This Row],[country_name]],DIM_COUNTRY[[#All],[Column2]],DIM_COUNTRY[[#All],[Column3]],,,)</f>
        <v>Major_Non-USMCA_Non-China</v>
      </c>
    </row>
    <row r="7944" spans="1:9" x14ac:dyDescent="0.4">
      <c r="A7944" t="s">
        <v>71</v>
      </c>
      <c r="B7944" s="1">
        <v>45474</v>
      </c>
      <c r="C7944">
        <v>850440</v>
      </c>
      <c r="D7944" t="s">
        <v>176</v>
      </c>
      <c r="E7944">
        <v>713791</v>
      </c>
      <c r="F7944">
        <v>713</v>
      </c>
      <c r="G7944">
        <v>10742</v>
      </c>
      <c r="H7944">
        <f>_xlfn.XLOOKUP(FACT_IMPORTS[[#This Row],[hts_6]],DIM_PRODUCTS[hts_6],DIM_PRODUCTS[hts_4],,,)</f>
        <v>8504</v>
      </c>
      <c r="I7944" t="str" cm="1">
        <f t="array" ref="I7944">_xlfn.XLOOKUP(FACT_IMPORTS[[#This Row],[country_name]],DIM_COUNTRY[[#All],[Column2]],DIM_COUNTRY[[#All],[Column3]],,,)</f>
        <v>Major_Non-USMCA_Non-China</v>
      </c>
    </row>
    <row r="7945" spans="1:9" x14ac:dyDescent="0.4">
      <c r="A7945" t="s">
        <v>71</v>
      </c>
      <c r="B7945" s="1">
        <v>45474</v>
      </c>
      <c r="C7945">
        <v>850710</v>
      </c>
      <c r="D7945" t="s">
        <v>176</v>
      </c>
      <c r="E7945">
        <v>3295</v>
      </c>
      <c r="F7945">
        <v>442</v>
      </c>
      <c r="G7945">
        <v>54</v>
      </c>
      <c r="H7945">
        <f>_xlfn.XLOOKUP(FACT_IMPORTS[[#This Row],[hts_6]],DIM_PRODUCTS[hts_6],DIM_PRODUCTS[hts_4],,,)</f>
        <v>8507</v>
      </c>
      <c r="I7945" t="str" cm="1">
        <f t="array" ref="I7945">_xlfn.XLOOKUP(FACT_IMPORTS[[#This Row],[country_name]],DIM_COUNTRY[[#All],[Column2]],DIM_COUNTRY[[#All],[Column3]],,,)</f>
        <v>Major_Non-USMCA_Non-China</v>
      </c>
    </row>
    <row r="7946" spans="1:9" x14ac:dyDescent="0.4">
      <c r="A7946" t="s">
        <v>71</v>
      </c>
      <c r="B7946" s="1">
        <v>45474</v>
      </c>
      <c r="C7946">
        <v>850760</v>
      </c>
      <c r="D7946" t="s">
        <v>176</v>
      </c>
      <c r="E7946">
        <v>313652</v>
      </c>
      <c r="F7946">
        <v>18234</v>
      </c>
      <c r="G7946">
        <v>17589</v>
      </c>
      <c r="H7946">
        <f>_xlfn.XLOOKUP(FACT_IMPORTS[[#This Row],[hts_6]],DIM_PRODUCTS[hts_6],DIM_PRODUCTS[hts_4],,,)</f>
        <v>8507</v>
      </c>
      <c r="I7946" t="str" cm="1">
        <f t="array" ref="I7946">_xlfn.XLOOKUP(FACT_IMPORTS[[#This Row],[country_name]],DIM_COUNTRY[[#All],[Column2]],DIM_COUNTRY[[#All],[Column3]],,,)</f>
        <v>Major_Non-USMCA_Non-China</v>
      </c>
    </row>
    <row r="7947" spans="1:9" x14ac:dyDescent="0.4">
      <c r="A7947" t="s">
        <v>71</v>
      </c>
      <c r="B7947" s="1">
        <v>45474</v>
      </c>
      <c r="C7947">
        <v>850790</v>
      </c>
      <c r="D7947" t="s">
        <v>176</v>
      </c>
      <c r="E7947">
        <v>0</v>
      </c>
      <c r="F7947">
        <v>0</v>
      </c>
      <c r="G7947">
        <v>0</v>
      </c>
      <c r="H7947">
        <f>_xlfn.XLOOKUP(FACT_IMPORTS[[#This Row],[hts_6]],DIM_PRODUCTS[hts_6],DIM_PRODUCTS[hts_4],,,)</f>
        <v>8507</v>
      </c>
      <c r="I7947" t="str" cm="1">
        <f t="array" ref="I7947">_xlfn.XLOOKUP(FACT_IMPORTS[[#This Row],[country_name]],DIM_COUNTRY[[#All],[Column2]],DIM_COUNTRY[[#All],[Column3]],,,)</f>
        <v>Major_Non-USMCA_Non-China</v>
      </c>
    </row>
    <row r="7948" spans="1:9" x14ac:dyDescent="0.4">
      <c r="A7948" t="s">
        <v>71</v>
      </c>
      <c r="B7948" s="1">
        <v>45474</v>
      </c>
      <c r="C7948">
        <v>851110</v>
      </c>
      <c r="D7948" t="s">
        <v>176</v>
      </c>
      <c r="E7948">
        <v>43546</v>
      </c>
      <c r="F7948">
        <v>5299</v>
      </c>
      <c r="G7948">
        <v>143</v>
      </c>
      <c r="H7948">
        <f>_xlfn.XLOOKUP(FACT_IMPORTS[[#This Row],[hts_6]],DIM_PRODUCTS[hts_6],DIM_PRODUCTS[hts_4],,,)</f>
        <v>8511</v>
      </c>
      <c r="I7948" t="str" cm="1">
        <f t="array" ref="I7948">_xlfn.XLOOKUP(FACT_IMPORTS[[#This Row],[country_name]],DIM_COUNTRY[[#All],[Column2]],DIM_COUNTRY[[#All],[Column3]],,,)</f>
        <v>Major_Non-USMCA_Non-China</v>
      </c>
    </row>
    <row r="7949" spans="1:9" x14ac:dyDescent="0.4">
      <c r="A7949" t="s">
        <v>71</v>
      </c>
      <c r="B7949" s="1">
        <v>45474</v>
      </c>
      <c r="C7949">
        <v>851130</v>
      </c>
      <c r="D7949" t="s">
        <v>176</v>
      </c>
      <c r="E7949">
        <v>3979</v>
      </c>
      <c r="F7949">
        <v>98</v>
      </c>
      <c r="G7949">
        <v>2</v>
      </c>
      <c r="H7949">
        <f>_xlfn.XLOOKUP(FACT_IMPORTS[[#This Row],[hts_6]],DIM_PRODUCTS[hts_6],DIM_PRODUCTS[hts_4],,,)</f>
        <v>8511</v>
      </c>
      <c r="I7949" t="str" cm="1">
        <f t="array" ref="I7949">_xlfn.XLOOKUP(FACT_IMPORTS[[#This Row],[country_name]],DIM_COUNTRY[[#All],[Column2]],DIM_COUNTRY[[#All],[Column3]],,,)</f>
        <v>Major_Non-USMCA_Non-China</v>
      </c>
    </row>
    <row r="7950" spans="1:9" x14ac:dyDescent="0.4">
      <c r="A7950" t="s">
        <v>71</v>
      </c>
      <c r="B7950" s="1">
        <v>45474</v>
      </c>
      <c r="C7950">
        <v>851140</v>
      </c>
      <c r="D7950" t="s">
        <v>176</v>
      </c>
      <c r="E7950">
        <v>567136</v>
      </c>
      <c r="F7950">
        <v>10427</v>
      </c>
      <c r="G7950">
        <v>11387</v>
      </c>
      <c r="H7950">
        <f>_xlfn.XLOOKUP(FACT_IMPORTS[[#This Row],[hts_6]],DIM_PRODUCTS[hts_6],DIM_PRODUCTS[hts_4],,,)</f>
        <v>8511</v>
      </c>
      <c r="I7950" t="str" cm="1">
        <f t="array" ref="I7950">_xlfn.XLOOKUP(FACT_IMPORTS[[#This Row],[country_name]],DIM_COUNTRY[[#All],[Column2]],DIM_COUNTRY[[#All],[Column3]],,,)</f>
        <v>Major_Non-USMCA_Non-China</v>
      </c>
    </row>
    <row r="7951" spans="1:9" x14ac:dyDescent="0.4">
      <c r="A7951" t="s">
        <v>71</v>
      </c>
      <c r="B7951" s="1">
        <v>45474</v>
      </c>
      <c r="C7951">
        <v>851150</v>
      </c>
      <c r="D7951" t="s">
        <v>176</v>
      </c>
      <c r="E7951">
        <v>56998</v>
      </c>
      <c r="F7951">
        <v>98</v>
      </c>
      <c r="G7951">
        <v>503</v>
      </c>
      <c r="H7951">
        <f>_xlfn.XLOOKUP(FACT_IMPORTS[[#This Row],[hts_6]],DIM_PRODUCTS[hts_6],DIM_PRODUCTS[hts_4],,,)</f>
        <v>8511</v>
      </c>
      <c r="I7951" t="str" cm="1">
        <f t="array" ref="I7951">_xlfn.XLOOKUP(FACT_IMPORTS[[#This Row],[country_name]],DIM_COUNTRY[[#All],[Column2]],DIM_COUNTRY[[#All],[Column3]],,,)</f>
        <v>Major_Non-USMCA_Non-China</v>
      </c>
    </row>
    <row r="7952" spans="1:9" x14ac:dyDescent="0.4">
      <c r="A7952" t="s">
        <v>71</v>
      </c>
      <c r="B7952" s="1">
        <v>45474</v>
      </c>
      <c r="C7952">
        <v>851180</v>
      </c>
      <c r="D7952" t="s">
        <v>176</v>
      </c>
      <c r="E7952">
        <v>8907</v>
      </c>
      <c r="F7952">
        <v>4129</v>
      </c>
      <c r="G7952">
        <v>91</v>
      </c>
      <c r="H7952">
        <f>_xlfn.XLOOKUP(FACT_IMPORTS[[#This Row],[hts_6]],DIM_PRODUCTS[hts_6],DIM_PRODUCTS[hts_4],,,)</f>
        <v>8511</v>
      </c>
      <c r="I7952" t="str" cm="1">
        <f t="array" ref="I7952">_xlfn.XLOOKUP(FACT_IMPORTS[[#This Row],[country_name]],DIM_COUNTRY[[#All],[Column2]],DIM_COUNTRY[[#All],[Column3]],,,)</f>
        <v>Major_Non-USMCA_Non-China</v>
      </c>
    </row>
    <row r="7953" spans="1:9" x14ac:dyDescent="0.4">
      <c r="A7953" t="s">
        <v>71</v>
      </c>
      <c r="B7953" s="1">
        <v>45474</v>
      </c>
      <c r="C7953">
        <v>851190</v>
      </c>
      <c r="D7953" t="s">
        <v>176</v>
      </c>
      <c r="E7953">
        <v>0</v>
      </c>
      <c r="F7953">
        <v>0</v>
      </c>
      <c r="G7953">
        <v>0</v>
      </c>
      <c r="H7953">
        <f>_xlfn.XLOOKUP(FACT_IMPORTS[[#This Row],[hts_6]],DIM_PRODUCTS[hts_6],DIM_PRODUCTS[hts_4],,,)</f>
        <v>8511</v>
      </c>
      <c r="I7953" t="str" cm="1">
        <f t="array" ref="I7953">_xlfn.XLOOKUP(FACT_IMPORTS[[#This Row],[country_name]],DIM_COUNTRY[[#All],[Column2]],DIM_COUNTRY[[#All],[Column3]],,,)</f>
        <v>Major_Non-USMCA_Non-China</v>
      </c>
    </row>
    <row r="7954" spans="1:9" x14ac:dyDescent="0.4">
      <c r="A7954" t="s">
        <v>71</v>
      </c>
      <c r="B7954" s="1">
        <v>45474</v>
      </c>
      <c r="C7954">
        <v>851220</v>
      </c>
      <c r="D7954" t="s">
        <v>176</v>
      </c>
      <c r="E7954">
        <v>0</v>
      </c>
      <c r="F7954">
        <v>0</v>
      </c>
      <c r="G7954">
        <v>0</v>
      </c>
      <c r="H7954">
        <f>_xlfn.XLOOKUP(FACT_IMPORTS[[#This Row],[hts_6]],DIM_PRODUCTS[hts_6],DIM_PRODUCTS[hts_4],,,)</f>
        <v>8512</v>
      </c>
      <c r="I7954" t="str" cm="1">
        <f t="array" ref="I7954">_xlfn.XLOOKUP(FACT_IMPORTS[[#This Row],[country_name]],DIM_COUNTRY[[#All],[Column2]],DIM_COUNTRY[[#All],[Column3]],,,)</f>
        <v>Major_Non-USMCA_Non-China</v>
      </c>
    </row>
    <row r="7955" spans="1:9" x14ac:dyDescent="0.4">
      <c r="A7955" t="s">
        <v>71</v>
      </c>
      <c r="B7955" s="1">
        <v>45474</v>
      </c>
      <c r="C7955">
        <v>851230</v>
      </c>
      <c r="D7955" t="s">
        <v>176</v>
      </c>
      <c r="E7955">
        <v>0</v>
      </c>
      <c r="F7955">
        <v>0</v>
      </c>
      <c r="G7955">
        <v>0</v>
      </c>
      <c r="H7955">
        <f>_xlfn.XLOOKUP(FACT_IMPORTS[[#This Row],[hts_6]],DIM_PRODUCTS[hts_6],DIM_PRODUCTS[hts_4],,,)</f>
        <v>8512</v>
      </c>
      <c r="I7955" t="str" cm="1">
        <f t="array" ref="I7955">_xlfn.XLOOKUP(FACT_IMPORTS[[#This Row],[country_name]],DIM_COUNTRY[[#All],[Column2]],DIM_COUNTRY[[#All],[Column3]],,,)</f>
        <v>Major_Non-USMCA_Non-China</v>
      </c>
    </row>
    <row r="7956" spans="1:9" x14ac:dyDescent="0.4">
      <c r="A7956" t="s">
        <v>71</v>
      </c>
      <c r="B7956" s="1">
        <v>45474</v>
      </c>
      <c r="C7956">
        <v>851290</v>
      </c>
      <c r="D7956" t="s">
        <v>176</v>
      </c>
      <c r="E7956">
        <v>0</v>
      </c>
      <c r="F7956">
        <v>0</v>
      </c>
      <c r="G7956">
        <v>0</v>
      </c>
      <c r="H7956">
        <f>_xlfn.XLOOKUP(FACT_IMPORTS[[#This Row],[hts_6]],DIM_PRODUCTS[hts_6],DIM_PRODUCTS[hts_4],,,)</f>
        <v>8512</v>
      </c>
      <c r="I7956" t="str" cm="1">
        <f t="array" ref="I7956">_xlfn.XLOOKUP(FACT_IMPORTS[[#This Row],[country_name]],DIM_COUNTRY[[#All],[Column2]],DIM_COUNTRY[[#All],[Column3]],,,)</f>
        <v>Major_Non-USMCA_Non-China</v>
      </c>
    </row>
    <row r="7957" spans="1:9" x14ac:dyDescent="0.4">
      <c r="A7957" t="s">
        <v>71</v>
      </c>
      <c r="B7957" s="1">
        <v>45474</v>
      </c>
      <c r="C7957">
        <v>854231</v>
      </c>
      <c r="D7957" t="s">
        <v>176</v>
      </c>
      <c r="E7957">
        <v>84892</v>
      </c>
      <c r="F7957">
        <v>9872</v>
      </c>
      <c r="G7957">
        <v>1102</v>
      </c>
      <c r="H7957">
        <f>_xlfn.XLOOKUP(FACT_IMPORTS[[#This Row],[hts_6]],DIM_PRODUCTS[hts_6],DIM_PRODUCTS[hts_4],,,)</f>
        <v>8542</v>
      </c>
      <c r="I7957" t="str" cm="1">
        <f t="array" ref="I7957">_xlfn.XLOOKUP(FACT_IMPORTS[[#This Row],[country_name]],DIM_COUNTRY[[#All],[Column2]],DIM_COUNTRY[[#All],[Column3]],,,)</f>
        <v>Major_Non-USMCA_Non-China</v>
      </c>
    </row>
    <row r="7958" spans="1:9" x14ac:dyDescent="0.4">
      <c r="A7958" t="s">
        <v>71</v>
      </c>
      <c r="B7958" s="1">
        <v>45474</v>
      </c>
      <c r="C7958">
        <v>854232</v>
      </c>
      <c r="D7958" t="s">
        <v>176</v>
      </c>
      <c r="E7958">
        <v>8202</v>
      </c>
      <c r="F7958">
        <v>25</v>
      </c>
      <c r="G7958">
        <v>164</v>
      </c>
      <c r="H7958">
        <f>_xlfn.XLOOKUP(FACT_IMPORTS[[#This Row],[hts_6]],DIM_PRODUCTS[hts_6],DIM_PRODUCTS[hts_4],,,)</f>
        <v>8542</v>
      </c>
      <c r="I7958" t="str" cm="1">
        <f t="array" ref="I7958">_xlfn.XLOOKUP(FACT_IMPORTS[[#This Row],[country_name]],DIM_COUNTRY[[#All],[Column2]],DIM_COUNTRY[[#All],[Column3]],,,)</f>
        <v>Major_Non-USMCA_Non-China</v>
      </c>
    </row>
    <row r="7959" spans="1:9" x14ac:dyDescent="0.4">
      <c r="A7959" t="s">
        <v>71</v>
      </c>
      <c r="B7959" s="1">
        <v>45474</v>
      </c>
      <c r="C7959">
        <v>854239</v>
      </c>
      <c r="D7959" t="s">
        <v>176</v>
      </c>
      <c r="E7959">
        <v>0</v>
      </c>
      <c r="F7959">
        <v>0</v>
      </c>
      <c r="G7959">
        <v>0</v>
      </c>
      <c r="H7959">
        <f>_xlfn.XLOOKUP(FACT_IMPORTS[[#This Row],[hts_6]],DIM_PRODUCTS[hts_6],DIM_PRODUCTS[hts_4],,,)</f>
        <v>8542</v>
      </c>
      <c r="I7959" t="str" cm="1">
        <f t="array" ref="I7959">_xlfn.XLOOKUP(FACT_IMPORTS[[#This Row],[country_name]],DIM_COUNTRY[[#All],[Column2]],DIM_COUNTRY[[#All],[Column3]],,,)</f>
        <v>Major_Non-USMCA_Non-China</v>
      </c>
    </row>
    <row r="7960" spans="1:9" x14ac:dyDescent="0.4">
      <c r="A7960" t="s">
        <v>71</v>
      </c>
      <c r="B7960" s="1">
        <v>45474</v>
      </c>
      <c r="C7960">
        <v>854290</v>
      </c>
      <c r="D7960" t="s">
        <v>176</v>
      </c>
      <c r="E7960">
        <v>3014</v>
      </c>
      <c r="F7960">
        <v>1</v>
      </c>
      <c r="G7960">
        <v>12</v>
      </c>
      <c r="H7960">
        <f>_xlfn.XLOOKUP(FACT_IMPORTS[[#This Row],[hts_6]],DIM_PRODUCTS[hts_6],DIM_PRODUCTS[hts_4],,,)</f>
        <v>8542</v>
      </c>
      <c r="I7960" t="str" cm="1">
        <f t="array" ref="I7960">_xlfn.XLOOKUP(FACT_IMPORTS[[#This Row],[country_name]],DIM_COUNTRY[[#All],[Column2]],DIM_COUNTRY[[#All],[Column3]],,,)</f>
        <v>Major_Non-USMCA_Non-China</v>
      </c>
    </row>
    <row r="7961" spans="1:9" x14ac:dyDescent="0.4">
      <c r="A7961" t="s">
        <v>71</v>
      </c>
      <c r="B7961" s="1">
        <v>45474</v>
      </c>
      <c r="C7961">
        <v>854430</v>
      </c>
      <c r="D7961" t="s">
        <v>176</v>
      </c>
      <c r="E7961">
        <v>0</v>
      </c>
      <c r="F7961">
        <v>0</v>
      </c>
      <c r="G7961">
        <v>0</v>
      </c>
      <c r="H7961">
        <f>_xlfn.XLOOKUP(FACT_IMPORTS[[#This Row],[hts_6]],DIM_PRODUCTS[hts_6],DIM_PRODUCTS[hts_4],,,)</f>
        <v>8544</v>
      </c>
      <c r="I7961" t="str" cm="1">
        <f t="array" ref="I7961">_xlfn.XLOOKUP(FACT_IMPORTS[[#This Row],[country_name]],DIM_COUNTRY[[#All],[Column2]],DIM_COUNTRY[[#All],[Column3]],,,)</f>
        <v>Major_Non-USMCA_Non-China</v>
      </c>
    </row>
    <row r="7962" spans="1:9" x14ac:dyDescent="0.4">
      <c r="A7962" t="s">
        <v>71</v>
      </c>
      <c r="B7962" s="1">
        <v>45474</v>
      </c>
      <c r="C7962">
        <v>870790</v>
      </c>
      <c r="D7962" t="s">
        <v>176</v>
      </c>
      <c r="E7962">
        <v>0</v>
      </c>
      <c r="F7962">
        <v>0</v>
      </c>
      <c r="G7962">
        <v>0</v>
      </c>
      <c r="H7962">
        <f>_xlfn.XLOOKUP(FACT_IMPORTS[[#This Row],[hts_6]],DIM_PRODUCTS[hts_6],DIM_PRODUCTS[hts_4],,,)</f>
        <v>8707</v>
      </c>
      <c r="I7962" t="str" cm="1">
        <f t="array" ref="I7962">_xlfn.XLOOKUP(FACT_IMPORTS[[#This Row],[country_name]],DIM_COUNTRY[[#All],[Column2]],DIM_COUNTRY[[#All],[Column3]],,,)</f>
        <v>Major_Non-USMCA_Non-China</v>
      </c>
    </row>
    <row r="7963" spans="1:9" x14ac:dyDescent="0.4">
      <c r="A7963" t="s">
        <v>71</v>
      </c>
      <c r="B7963" s="1">
        <v>45474</v>
      </c>
      <c r="C7963">
        <v>870810</v>
      </c>
      <c r="D7963" t="s">
        <v>176</v>
      </c>
      <c r="E7963">
        <v>0</v>
      </c>
      <c r="F7963">
        <v>0</v>
      </c>
      <c r="G7963">
        <v>0</v>
      </c>
      <c r="H7963">
        <f>_xlfn.XLOOKUP(FACT_IMPORTS[[#This Row],[hts_6]],DIM_PRODUCTS[hts_6],DIM_PRODUCTS[hts_4],,,)</f>
        <v>8708</v>
      </c>
      <c r="I7963" t="str" cm="1">
        <f t="array" ref="I7963">_xlfn.XLOOKUP(FACT_IMPORTS[[#This Row],[country_name]],DIM_COUNTRY[[#All],[Column2]],DIM_COUNTRY[[#All],[Column3]],,,)</f>
        <v>Major_Non-USMCA_Non-China</v>
      </c>
    </row>
    <row r="7964" spans="1:9" x14ac:dyDescent="0.4">
      <c r="A7964" t="s">
        <v>71</v>
      </c>
      <c r="B7964" s="1">
        <v>45474</v>
      </c>
      <c r="C7964">
        <v>870829</v>
      </c>
      <c r="D7964" t="s">
        <v>176</v>
      </c>
      <c r="E7964">
        <v>3451492</v>
      </c>
      <c r="F7964">
        <v>198073</v>
      </c>
      <c r="G7964">
        <v>37298</v>
      </c>
      <c r="H7964">
        <f>_xlfn.XLOOKUP(FACT_IMPORTS[[#This Row],[hts_6]],DIM_PRODUCTS[hts_6],DIM_PRODUCTS[hts_4],,,)</f>
        <v>8708</v>
      </c>
      <c r="I7964" t="str" cm="1">
        <f t="array" ref="I7964">_xlfn.XLOOKUP(FACT_IMPORTS[[#This Row],[country_name]],DIM_COUNTRY[[#All],[Column2]],DIM_COUNTRY[[#All],[Column3]],,,)</f>
        <v>Major_Non-USMCA_Non-China</v>
      </c>
    </row>
    <row r="7965" spans="1:9" x14ac:dyDescent="0.4">
      <c r="A7965" t="s">
        <v>71</v>
      </c>
      <c r="B7965" s="1">
        <v>45474</v>
      </c>
      <c r="C7965">
        <v>870830</v>
      </c>
      <c r="D7965" t="s">
        <v>176</v>
      </c>
      <c r="E7965">
        <v>1402241</v>
      </c>
      <c r="F7965">
        <v>174863</v>
      </c>
      <c r="G7965">
        <v>11910</v>
      </c>
      <c r="H7965">
        <f>_xlfn.XLOOKUP(FACT_IMPORTS[[#This Row],[hts_6]],DIM_PRODUCTS[hts_6],DIM_PRODUCTS[hts_4],,,)</f>
        <v>8708</v>
      </c>
      <c r="I7965" t="str" cm="1">
        <f t="array" ref="I7965">_xlfn.XLOOKUP(FACT_IMPORTS[[#This Row],[country_name]],DIM_COUNTRY[[#All],[Column2]],DIM_COUNTRY[[#All],[Column3]],,,)</f>
        <v>Major_Non-USMCA_Non-China</v>
      </c>
    </row>
    <row r="7966" spans="1:9" x14ac:dyDescent="0.4">
      <c r="A7966" t="s">
        <v>71</v>
      </c>
      <c r="B7966" s="1">
        <v>45474</v>
      </c>
      <c r="C7966">
        <v>870840</v>
      </c>
      <c r="D7966" t="s">
        <v>176</v>
      </c>
      <c r="E7966">
        <v>1275998</v>
      </c>
      <c r="F7966">
        <v>20456</v>
      </c>
      <c r="G7966">
        <v>31303</v>
      </c>
      <c r="H7966">
        <f>_xlfn.XLOOKUP(FACT_IMPORTS[[#This Row],[hts_6]],DIM_PRODUCTS[hts_6],DIM_PRODUCTS[hts_4],,,)</f>
        <v>8708</v>
      </c>
      <c r="I7966" t="str" cm="1">
        <f t="array" ref="I7966">_xlfn.XLOOKUP(FACT_IMPORTS[[#This Row],[country_name]],DIM_COUNTRY[[#All],[Column2]],DIM_COUNTRY[[#All],[Column3]],,,)</f>
        <v>Major_Non-USMCA_Non-China</v>
      </c>
    </row>
    <row r="7967" spans="1:9" x14ac:dyDescent="0.4">
      <c r="A7967" t="s">
        <v>71</v>
      </c>
      <c r="B7967" s="1">
        <v>45474</v>
      </c>
      <c r="C7967">
        <v>870850</v>
      </c>
      <c r="D7967" t="s">
        <v>176</v>
      </c>
      <c r="E7967">
        <v>57845</v>
      </c>
      <c r="F7967">
        <v>27</v>
      </c>
      <c r="G7967">
        <v>453</v>
      </c>
      <c r="H7967">
        <f>_xlfn.XLOOKUP(FACT_IMPORTS[[#This Row],[hts_6]],DIM_PRODUCTS[hts_6],DIM_PRODUCTS[hts_4],,,)</f>
        <v>8708</v>
      </c>
      <c r="I7967" t="str" cm="1">
        <f t="array" ref="I7967">_xlfn.XLOOKUP(FACT_IMPORTS[[#This Row],[country_name]],DIM_COUNTRY[[#All],[Column2]],DIM_COUNTRY[[#All],[Column3]],,,)</f>
        <v>Major_Non-USMCA_Non-China</v>
      </c>
    </row>
    <row r="7968" spans="1:9" x14ac:dyDescent="0.4">
      <c r="A7968" t="s">
        <v>71</v>
      </c>
      <c r="B7968" s="1">
        <v>45474</v>
      </c>
      <c r="C7968">
        <v>870870</v>
      </c>
      <c r="D7968" t="s">
        <v>176</v>
      </c>
      <c r="E7968">
        <v>21179</v>
      </c>
      <c r="F7968">
        <v>1570</v>
      </c>
      <c r="G7968">
        <v>231</v>
      </c>
      <c r="H7968">
        <f>_xlfn.XLOOKUP(FACT_IMPORTS[[#This Row],[hts_6]],DIM_PRODUCTS[hts_6],DIM_PRODUCTS[hts_4],,,)</f>
        <v>8708</v>
      </c>
      <c r="I7968" t="str" cm="1">
        <f t="array" ref="I7968">_xlfn.XLOOKUP(FACT_IMPORTS[[#This Row],[country_name]],DIM_COUNTRY[[#All],[Column2]],DIM_COUNTRY[[#All],[Column3]],,,)</f>
        <v>Major_Non-USMCA_Non-China</v>
      </c>
    </row>
    <row r="7969" spans="1:9" x14ac:dyDescent="0.4">
      <c r="A7969" t="s">
        <v>71</v>
      </c>
      <c r="B7969" s="1">
        <v>45474</v>
      </c>
      <c r="C7969">
        <v>870880</v>
      </c>
      <c r="D7969" t="s">
        <v>176</v>
      </c>
      <c r="E7969">
        <v>87205</v>
      </c>
      <c r="F7969">
        <v>1668</v>
      </c>
      <c r="G7969">
        <v>6997</v>
      </c>
      <c r="H7969">
        <f>_xlfn.XLOOKUP(FACT_IMPORTS[[#This Row],[hts_6]],DIM_PRODUCTS[hts_6],DIM_PRODUCTS[hts_4],,,)</f>
        <v>8708</v>
      </c>
      <c r="I7969" t="str" cm="1">
        <f t="array" ref="I7969">_xlfn.XLOOKUP(FACT_IMPORTS[[#This Row],[country_name]],DIM_COUNTRY[[#All],[Column2]],DIM_COUNTRY[[#All],[Column3]],,,)</f>
        <v>Major_Non-USMCA_Non-China</v>
      </c>
    </row>
    <row r="7970" spans="1:9" x14ac:dyDescent="0.4">
      <c r="A7970" t="s">
        <v>71</v>
      </c>
      <c r="B7970" s="1">
        <v>45474</v>
      </c>
      <c r="C7970">
        <v>870891</v>
      </c>
      <c r="D7970" t="s">
        <v>176</v>
      </c>
      <c r="E7970">
        <v>68115</v>
      </c>
      <c r="F7970">
        <v>39738</v>
      </c>
      <c r="G7970">
        <v>739</v>
      </c>
      <c r="H7970">
        <f>_xlfn.XLOOKUP(FACT_IMPORTS[[#This Row],[hts_6]],DIM_PRODUCTS[hts_6],DIM_PRODUCTS[hts_4],,,)</f>
        <v>8708</v>
      </c>
      <c r="I7970" t="str" cm="1">
        <f t="array" ref="I7970">_xlfn.XLOOKUP(FACT_IMPORTS[[#This Row],[country_name]],DIM_COUNTRY[[#All],[Column2]],DIM_COUNTRY[[#All],[Column3]],,,)</f>
        <v>Major_Non-USMCA_Non-China</v>
      </c>
    </row>
    <row r="7971" spans="1:9" x14ac:dyDescent="0.4">
      <c r="A7971" t="s">
        <v>71</v>
      </c>
      <c r="B7971" s="1">
        <v>45474</v>
      </c>
      <c r="C7971">
        <v>870893</v>
      </c>
      <c r="D7971" t="s">
        <v>176</v>
      </c>
      <c r="E7971">
        <v>1453073</v>
      </c>
      <c r="F7971">
        <v>610332</v>
      </c>
      <c r="G7971">
        <v>19351</v>
      </c>
      <c r="H7971">
        <f>_xlfn.XLOOKUP(FACT_IMPORTS[[#This Row],[hts_6]],DIM_PRODUCTS[hts_6],DIM_PRODUCTS[hts_4],,,)</f>
        <v>8708</v>
      </c>
      <c r="I7971" t="str" cm="1">
        <f t="array" ref="I7971">_xlfn.XLOOKUP(FACT_IMPORTS[[#This Row],[country_name]],DIM_COUNTRY[[#All],[Column2]],DIM_COUNTRY[[#All],[Column3]],,,)</f>
        <v>Major_Non-USMCA_Non-China</v>
      </c>
    </row>
    <row r="7972" spans="1:9" x14ac:dyDescent="0.4">
      <c r="A7972" t="s">
        <v>71</v>
      </c>
      <c r="B7972" s="1">
        <v>45474</v>
      </c>
      <c r="C7972">
        <v>870894</v>
      </c>
      <c r="D7972" t="s">
        <v>176</v>
      </c>
      <c r="E7972">
        <v>19210</v>
      </c>
      <c r="F7972">
        <v>1549</v>
      </c>
      <c r="G7972">
        <v>4526</v>
      </c>
      <c r="H7972">
        <f>_xlfn.XLOOKUP(FACT_IMPORTS[[#This Row],[hts_6]],DIM_PRODUCTS[hts_6],DIM_PRODUCTS[hts_4],,,)</f>
        <v>8708</v>
      </c>
      <c r="I7972" t="str" cm="1">
        <f t="array" ref="I7972">_xlfn.XLOOKUP(FACT_IMPORTS[[#This Row],[country_name]],DIM_COUNTRY[[#All],[Column2]],DIM_COUNTRY[[#All],[Column3]],,,)</f>
        <v>Major_Non-USMCA_Non-China</v>
      </c>
    </row>
    <row r="7973" spans="1:9" x14ac:dyDescent="0.4">
      <c r="A7973" t="s">
        <v>71</v>
      </c>
      <c r="B7973" s="1">
        <v>45474</v>
      </c>
      <c r="C7973">
        <v>870895</v>
      </c>
      <c r="D7973" t="s">
        <v>176</v>
      </c>
      <c r="E7973">
        <v>0</v>
      </c>
      <c r="F7973">
        <v>0</v>
      </c>
      <c r="G7973">
        <v>0</v>
      </c>
      <c r="H7973">
        <f>_xlfn.XLOOKUP(FACT_IMPORTS[[#This Row],[hts_6]],DIM_PRODUCTS[hts_6],DIM_PRODUCTS[hts_4],,,)</f>
        <v>8708</v>
      </c>
      <c r="I7973" t="str" cm="1">
        <f t="array" ref="I7973">_xlfn.XLOOKUP(FACT_IMPORTS[[#This Row],[country_name]],DIM_COUNTRY[[#All],[Column2]],DIM_COUNTRY[[#All],[Column3]],,,)</f>
        <v>Major_Non-USMCA_Non-China</v>
      </c>
    </row>
    <row r="7974" spans="1:9" x14ac:dyDescent="0.4">
      <c r="A7974" t="s">
        <v>71</v>
      </c>
      <c r="B7974" s="1">
        <v>45474</v>
      </c>
      <c r="C7974">
        <v>870899</v>
      </c>
      <c r="D7974" t="s">
        <v>176</v>
      </c>
      <c r="E7974">
        <v>2323745</v>
      </c>
      <c r="F7974">
        <v>2187297</v>
      </c>
      <c r="G7974">
        <v>50873</v>
      </c>
      <c r="H7974">
        <f>_xlfn.XLOOKUP(FACT_IMPORTS[[#This Row],[hts_6]],DIM_PRODUCTS[hts_6],DIM_PRODUCTS[hts_4],,,)</f>
        <v>8708</v>
      </c>
      <c r="I7974" t="str" cm="1">
        <f t="array" ref="I7974">_xlfn.XLOOKUP(FACT_IMPORTS[[#This Row],[country_name]],DIM_COUNTRY[[#All],[Column2]],DIM_COUNTRY[[#All],[Column3]],,,)</f>
        <v>Major_Non-USMCA_Non-China</v>
      </c>
    </row>
    <row r="7975" spans="1:9" x14ac:dyDescent="0.4">
      <c r="A7975" t="s">
        <v>71</v>
      </c>
      <c r="B7975" s="1">
        <v>45474</v>
      </c>
      <c r="C7975">
        <v>940120</v>
      </c>
      <c r="D7975" t="s">
        <v>176</v>
      </c>
      <c r="E7975">
        <v>366</v>
      </c>
      <c r="F7975">
        <v>2</v>
      </c>
      <c r="G7975">
        <v>0</v>
      </c>
      <c r="H7975">
        <f>_xlfn.XLOOKUP(FACT_IMPORTS[[#This Row],[hts_6]],DIM_PRODUCTS[hts_6],DIM_PRODUCTS[hts_4],,,)</f>
        <v>9401</v>
      </c>
      <c r="I7975" t="str" cm="1">
        <f t="array" ref="I7975">_xlfn.XLOOKUP(FACT_IMPORTS[[#This Row],[country_name]],DIM_COUNTRY[[#All],[Column2]],DIM_COUNTRY[[#All],[Column3]],,,)</f>
        <v>Major_Non-USMCA_Non-China</v>
      </c>
    </row>
    <row r="7976" spans="1:9" x14ac:dyDescent="0.4">
      <c r="A7976" t="s">
        <v>71</v>
      </c>
      <c r="B7976" s="1">
        <v>45505</v>
      </c>
      <c r="C7976">
        <v>392630</v>
      </c>
      <c r="D7976" t="s">
        <v>176</v>
      </c>
      <c r="E7976">
        <v>21561</v>
      </c>
      <c r="F7976">
        <v>865</v>
      </c>
      <c r="G7976">
        <v>2028</v>
      </c>
      <c r="H7976">
        <f>_xlfn.XLOOKUP(FACT_IMPORTS[[#This Row],[hts_6]],DIM_PRODUCTS[hts_6],DIM_PRODUCTS[hts_4],,,)</f>
        <v>3926</v>
      </c>
      <c r="I7976" t="str" cm="1">
        <f t="array" ref="I7976">_xlfn.XLOOKUP(FACT_IMPORTS[[#This Row],[country_name]],DIM_COUNTRY[[#All],[Column2]],DIM_COUNTRY[[#All],[Column3]],,,)</f>
        <v>Major_Non-USMCA_Non-China</v>
      </c>
    </row>
    <row r="7977" spans="1:9" x14ac:dyDescent="0.4">
      <c r="A7977" t="s">
        <v>71</v>
      </c>
      <c r="B7977" s="1">
        <v>45505</v>
      </c>
      <c r="C7977">
        <v>401110</v>
      </c>
      <c r="D7977" t="s">
        <v>176</v>
      </c>
      <c r="E7977">
        <v>151349</v>
      </c>
      <c r="F7977">
        <v>1726</v>
      </c>
      <c r="G7977">
        <v>40409</v>
      </c>
      <c r="H7977">
        <f>_xlfn.XLOOKUP(FACT_IMPORTS[[#This Row],[hts_6]],DIM_PRODUCTS[hts_6],DIM_PRODUCTS[hts_4],,,)</f>
        <v>4011</v>
      </c>
      <c r="I7977" t="str" cm="1">
        <f t="array" ref="I7977">_xlfn.XLOOKUP(FACT_IMPORTS[[#This Row],[country_name]],DIM_COUNTRY[[#All],[Column2]],DIM_COUNTRY[[#All],[Column3]],,,)</f>
        <v>Major_Non-USMCA_Non-China</v>
      </c>
    </row>
    <row r="7978" spans="1:9" x14ac:dyDescent="0.4">
      <c r="A7978" t="s">
        <v>71</v>
      </c>
      <c r="B7978" s="1">
        <v>45505</v>
      </c>
      <c r="C7978">
        <v>401120</v>
      </c>
      <c r="D7978" t="s">
        <v>176</v>
      </c>
      <c r="E7978">
        <v>187285</v>
      </c>
      <c r="F7978">
        <v>987</v>
      </c>
      <c r="G7978">
        <v>8142</v>
      </c>
      <c r="H7978">
        <f>_xlfn.XLOOKUP(FACT_IMPORTS[[#This Row],[hts_6]],DIM_PRODUCTS[hts_6],DIM_PRODUCTS[hts_4],,,)</f>
        <v>4011</v>
      </c>
      <c r="I7978" t="str" cm="1">
        <f t="array" ref="I7978">_xlfn.XLOOKUP(FACT_IMPORTS[[#This Row],[country_name]],DIM_COUNTRY[[#All],[Column2]],DIM_COUNTRY[[#All],[Column3]],,,)</f>
        <v>Major_Non-USMCA_Non-China</v>
      </c>
    </row>
    <row r="7979" spans="1:9" x14ac:dyDescent="0.4">
      <c r="A7979" t="s">
        <v>71</v>
      </c>
      <c r="B7979" s="1">
        <v>45505</v>
      </c>
      <c r="C7979">
        <v>700711</v>
      </c>
      <c r="D7979" t="s">
        <v>176</v>
      </c>
      <c r="E7979">
        <v>0</v>
      </c>
      <c r="F7979">
        <v>0</v>
      </c>
      <c r="G7979">
        <v>0</v>
      </c>
      <c r="H7979">
        <f>_xlfn.XLOOKUP(FACT_IMPORTS[[#This Row],[hts_6]],DIM_PRODUCTS[hts_6],DIM_PRODUCTS[hts_4],,,)</f>
        <v>7007</v>
      </c>
      <c r="I7979" t="str" cm="1">
        <f t="array" ref="I7979">_xlfn.XLOOKUP(FACT_IMPORTS[[#This Row],[country_name]],DIM_COUNTRY[[#All],[Column2]],DIM_COUNTRY[[#All],[Column3]],,,)</f>
        <v>Major_Non-USMCA_Non-China</v>
      </c>
    </row>
    <row r="7980" spans="1:9" x14ac:dyDescent="0.4">
      <c r="A7980" t="s">
        <v>71</v>
      </c>
      <c r="B7980" s="1">
        <v>45505</v>
      </c>
      <c r="C7980">
        <v>700721</v>
      </c>
      <c r="D7980" t="s">
        <v>176</v>
      </c>
      <c r="E7980">
        <v>26595</v>
      </c>
      <c r="F7980">
        <v>6</v>
      </c>
      <c r="G7980">
        <v>192</v>
      </c>
      <c r="H7980">
        <f>_xlfn.XLOOKUP(FACT_IMPORTS[[#This Row],[hts_6]],DIM_PRODUCTS[hts_6],DIM_PRODUCTS[hts_4],,,)</f>
        <v>7007</v>
      </c>
      <c r="I7980" t="str" cm="1">
        <f t="array" ref="I7980">_xlfn.XLOOKUP(FACT_IMPORTS[[#This Row],[country_name]],DIM_COUNTRY[[#All],[Column2]],DIM_COUNTRY[[#All],[Column3]],,,)</f>
        <v>Major_Non-USMCA_Non-China</v>
      </c>
    </row>
    <row r="7981" spans="1:9" x14ac:dyDescent="0.4">
      <c r="A7981" t="s">
        <v>71</v>
      </c>
      <c r="B7981" s="1">
        <v>45505</v>
      </c>
      <c r="C7981">
        <v>700910</v>
      </c>
      <c r="D7981" t="s">
        <v>176</v>
      </c>
      <c r="E7981">
        <v>0</v>
      </c>
      <c r="F7981">
        <v>0</v>
      </c>
      <c r="G7981">
        <v>0</v>
      </c>
      <c r="H7981">
        <f>_xlfn.XLOOKUP(FACT_IMPORTS[[#This Row],[hts_6]],DIM_PRODUCTS[hts_6],DIM_PRODUCTS[hts_4],,,)</f>
        <v>7009</v>
      </c>
      <c r="I7981" t="str" cm="1">
        <f t="array" ref="I7981">_xlfn.XLOOKUP(FACT_IMPORTS[[#This Row],[country_name]],DIM_COUNTRY[[#All],[Column2]],DIM_COUNTRY[[#All],[Column3]],,,)</f>
        <v>Major_Non-USMCA_Non-China</v>
      </c>
    </row>
    <row r="7982" spans="1:9" x14ac:dyDescent="0.4">
      <c r="A7982" t="s">
        <v>71</v>
      </c>
      <c r="B7982" s="1">
        <v>45505</v>
      </c>
      <c r="C7982">
        <v>732010</v>
      </c>
      <c r="D7982" t="s">
        <v>176</v>
      </c>
      <c r="E7982">
        <v>0</v>
      </c>
      <c r="F7982">
        <v>0</v>
      </c>
      <c r="G7982">
        <v>0</v>
      </c>
      <c r="H7982">
        <f>_xlfn.XLOOKUP(FACT_IMPORTS[[#This Row],[hts_6]],DIM_PRODUCTS[hts_6],DIM_PRODUCTS[hts_4],,,)</f>
        <v>7320</v>
      </c>
      <c r="I7982" t="str" cm="1">
        <f t="array" ref="I7982">_xlfn.XLOOKUP(FACT_IMPORTS[[#This Row],[country_name]],DIM_COUNTRY[[#All],[Column2]],DIM_COUNTRY[[#All],[Column3]],,,)</f>
        <v>Major_Non-USMCA_Non-China</v>
      </c>
    </row>
    <row r="7983" spans="1:9" x14ac:dyDescent="0.4">
      <c r="A7983" t="s">
        <v>71</v>
      </c>
      <c r="B7983" s="1">
        <v>45505</v>
      </c>
      <c r="C7983">
        <v>830230</v>
      </c>
      <c r="D7983" t="s">
        <v>176</v>
      </c>
      <c r="E7983">
        <v>43667</v>
      </c>
      <c r="F7983">
        <v>7709</v>
      </c>
      <c r="G7983">
        <v>564</v>
      </c>
      <c r="H7983">
        <f>_xlfn.XLOOKUP(FACT_IMPORTS[[#This Row],[hts_6]],DIM_PRODUCTS[hts_6],DIM_PRODUCTS[hts_4],,,)</f>
        <v>8302</v>
      </c>
      <c r="I7983" t="str" cm="1">
        <f t="array" ref="I7983">_xlfn.XLOOKUP(FACT_IMPORTS[[#This Row],[country_name]],DIM_COUNTRY[[#All],[Column2]],DIM_COUNTRY[[#All],[Column3]],,,)</f>
        <v>Major_Non-USMCA_Non-China</v>
      </c>
    </row>
    <row r="7984" spans="1:9" x14ac:dyDescent="0.4">
      <c r="A7984" t="s">
        <v>71</v>
      </c>
      <c r="B7984" s="1">
        <v>45505</v>
      </c>
      <c r="C7984">
        <v>840734</v>
      </c>
      <c r="D7984" t="s">
        <v>176</v>
      </c>
      <c r="E7984">
        <v>521583</v>
      </c>
      <c r="F7984">
        <v>53</v>
      </c>
      <c r="G7984">
        <v>51055</v>
      </c>
      <c r="H7984">
        <f>_xlfn.XLOOKUP(FACT_IMPORTS[[#This Row],[hts_6]],DIM_PRODUCTS[hts_6],DIM_PRODUCTS[hts_4],,,)</f>
        <v>8407</v>
      </c>
      <c r="I7984" t="str" cm="1">
        <f t="array" ref="I7984">_xlfn.XLOOKUP(FACT_IMPORTS[[#This Row],[country_name]],DIM_COUNTRY[[#All],[Column2]],DIM_COUNTRY[[#All],[Column3]],,,)</f>
        <v>Major_Non-USMCA_Non-China</v>
      </c>
    </row>
    <row r="7985" spans="1:9" x14ac:dyDescent="0.4">
      <c r="A7985" t="s">
        <v>71</v>
      </c>
      <c r="B7985" s="1">
        <v>45505</v>
      </c>
      <c r="C7985">
        <v>840790</v>
      </c>
      <c r="D7985" t="s">
        <v>176</v>
      </c>
      <c r="E7985">
        <v>4000</v>
      </c>
      <c r="F7985">
        <v>1</v>
      </c>
      <c r="G7985">
        <v>500</v>
      </c>
      <c r="H7985">
        <f>_xlfn.XLOOKUP(FACT_IMPORTS[[#This Row],[hts_6]],DIM_PRODUCTS[hts_6],DIM_PRODUCTS[hts_4],,,)</f>
        <v>8407</v>
      </c>
      <c r="I7985" t="str" cm="1">
        <f t="array" ref="I7985">_xlfn.XLOOKUP(FACT_IMPORTS[[#This Row],[country_name]],DIM_COUNTRY[[#All],[Column2]],DIM_COUNTRY[[#All],[Column3]],,,)</f>
        <v>Major_Non-USMCA_Non-China</v>
      </c>
    </row>
    <row r="7986" spans="1:9" x14ac:dyDescent="0.4">
      <c r="A7986" t="s">
        <v>71</v>
      </c>
      <c r="B7986" s="1">
        <v>45505</v>
      </c>
      <c r="C7986">
        <v>840820</v>
      </c>
      <c r="D7986" t="s">
        <v>176</v>
      </c>
      <c r="E7986">
        <v>51000</v>
      </c>
      <c r="F7986">
        <v>1</v>
      </c>
      <c r="G7986">
        <v>200</v>
      </c>
      <c r="H7986">
        <f>_xlfn.XLOOKUP(FACT_IMPORTS[[#This Row],[hts_6]],DIM_PRODUCTS[hts_6],DIM_PRODUCTS[hts_4],,,)</f>
        <v>8408</v>
      </c>
      <c r="I7986" t="str" cm="1">
        <f t="array" ref="I7986">_xlfn.XLOOKUP(FACT_IMPORTS[[#This Row],[country_name]],DIM_COUNTRY[[#All],[Column2]],DIM_COUNTRY[[#All],[Column3]],,,)</f>
        <v>Major_Non-USMCA_Non-China</v>
      </c>
    </row>
    <row r="7987" spans="1:9" x14ac:dyDescent="0.4">
      <c r="A7987" t="s">
        <v>71</v>
      </c>
      <c r="B7987" s="1">
        <v>45505</v>
      </c>
      <c r="C7987">
        <v>840890</v>
      </c>
      <c r="D7987" t="s">
        <v>176</v>
      </c>
      <c r="E7987">
        <v>2942</v>
      </c>
      <c r="F7987">
        <v>1</v>
      </c>
      <c r="G7987">
        <v>200</v>
      </c>
      <c r="H7987">
        <f>_xlfn.XLOOKUP(FACT_IMPORTS[[#This Row],[hts_6]],DIM_PRODUCTS[hts_6],DIM_PRODUCTS[hts_4],,,)</f>
        <v>8408</v>
      </c>
      <c r="I7987" t="str" cm="1">
        <f t="array" ref="I7987">_xlfn.XLOOKUP(FACT_IMPORTS[[#This Row],[country_name]],DIM_COUNTRY[[#All],[Column2]],DIM_COUNTRY[[#All],[Column3]],,,)</f>
        <v>Major_Non-USMCA_Non-China</v>
      </c>
    </row>
    <row r="7988" spans="1:9" x14ac:dyDescent="0.4">
      <c r="A7988" t="s">
        <v>71</v>
      </c>
      <c r="B7988" s="1">
        <v>45505</v>
      </c>
      <c r="C7988">
        <v>840991</v>
      </c>
      <c r="D7988" t="s">
        <v>176</v>
      </c>
      <c r="E7988">
        <v>4062842</v>
      </c>
      <c r="F7988">
        <v>333844</v>
      </c>
      <c r="G7988">
        <v>141907</v>
      </c>
      <c r="H7988">
        <f>_xlfn.XLOOKUP(FACT_IMPORTS[[#This Row],[hts_6]],DIM_PRODUCTS[hts_6],DIM_PRODUCTS[hts_4],,,)</f>
        <v>8409</v>
      </c>
      <c r="I7988" t="str" cm="1">
        <f t="array" ref="I7988">_xlfn.XLOOKUP(FACT_IMPORTS[[#This Row],[country_name]],DIM_COUNTRY[[#All],[Column2]],DIM_COUNTRY[[#All],[Column3]],,,)</f>
        <v>Major_Non-USMCA_Non-China</v>
      </c>
    </row>
    <row r="7989" spans="1:9" x14ac:dyDescent="0.4">
      <c r="A7989" t="s">
        <v>71</v>
      </c>
      <c r="B7989" s="1">
        <v>45505</v>
      </c>
      <c r="C7989">
        <v>840999</v>
      </c>
      <c r="D7989" t="s">
        <v>176</v>
      </c>
      <c r="E7989">
        <v>334197</v>
      </c>
      <c r="F7989">
        <v>27191</v>
      </c>
      <c r="G7989">
        <v>859</v>
      </c>
      <c r="H7989">
        <f>_xlfn.XLOOKUP(FACT_IMPORTS[[#This Row],[hts_6]],DIM_PRODUCTS[hts_6],DIM_PRODUCTS[hts_4],,,)</f>
        <v>8409</v>
      </c>
      <c r="I7989" t="str" cm="1">
        <f t="array" ref="I7989">_xlfn.XLOOKUP(FACT_IMPORTS[[#This Row],[country_name]],DIM_COUNTRY[[#All],[Column2]],DIM_COUNTRY[[#All],[Column3]],,,)</f>
        <v>Major_Non-USMCA_Non-China</v>
      </c>
    </row>
    <row r="7990" spans="1:9" x14ac:dyDescent="0.4">
      <c r="A7990" t="s">
        <v>71</v>
      </c>
      <c r="B7990" s="1">
        <v>45505</v>
      </c>
      <c r="C7990">
        <v>841330</v>
      </c>
      <c r="D7990" t="s">
        <v>176</v>
      </c>
      <c r="E7990">
        <v>15462</v>
      </c>
      <c r="F7990">
        <v>153</v>
      </c>
      <c r="G7990">
        <v>327</v>
      </c>
      <c r="H7990">
        <f>_xlfn.XLOOKUP(FACT_IMPORTS[[#This Row],[hts_6]],DIM_PRODUCTS[hts_6],DIM_PRODUCTS[hts_4],,,)</f>
        <v>8413</v>
      </c>
      <c r="I7990" t="str" cm="1">
        <f t="array" ref="I7990">_xlfn.XLOOKUP(FACT_IMPORTS[[#This Row],[country_name]],DIM_COUNTRY[[#All],[Column2]],DIM_COUNTRY[[#All],[Column3]],,,)</f>
        <v>Major_Non-USMCA_Non-China</v>
      </c>
    </row>
    <row r="7991" spans="1:9" x14ac:dyDescent="0.4">
      <c r="A7991" t="s">
        <v>71</v>
      </c>
      <c r="B7991" s="1">
        <v>45505</v>
      </c>
      <c r="C7991">
        <v>841520</v>
      </c>
      <c r="D7991" t="s">
        <v>176</v>
      </c>
      <c r="E7991">
        <v>0</v>
      </c>
      <c r="F7991">
        <v>0</v>
      </c>
      <c r="G7991">
        <v>0</v>
      </c>
      <c r="H7991">
        <f>_xlfn.XLOOKUP(FACT_IMPORTS[[#This Row],[hts_6]],DIM_PRODUCTS[hts_6],DIM_PRODUCTS[hts_4],,,)</f>
        <v>8415</v>
      </c>
      <c r="I7991" t="str" cm="1">
        <f t="array" ref="I7991">_xlfn.XLOOKUP(FACT_IMPORTS[[#This Row],[country_name]],DIM_COUNTRY[[#All],[Column2]],DIM_COUNTRY[[#All],[Column3]],,,)</f>
        <v>Major_Non-USMCA_Non-China</v>
      </c>
    </row>
    <row r="7992" spans="1:9" x14ac:dyDescent="0.4">
      <c r="A7992" t="s">
        <v>71</v>
      </c>
      <c r="B7992" s="1">
        <v>45505</v>
      </c>
      <c r="C7992">
        <v>842132</v>
      </c>
      <c r="D7992" t="s">
        <v>176</v>
      </c>
      <c r="E7992">
        <v>26604</v>
      </c>
      <c r="F7992">
        <v>8</v>
      </c>
      <c r="G7992">
        <v>272</v>
      </c>
      <c r="H7992">
        <f>_xlfn.XLOOKUP(FACT_IMPORTS[[#This Row],[hts_6]],DIM_PRODUCTS[hts_6],DIM_PRODUCTS[hts_4],,,)</f>
        <v>8421</v>
      </c>
      <c r="I7992" t="str" cm="1">
        <f t="array" ref="I7992">_xlfn.XLOOKUP(FACT_IMPORTS[[#This Row],[country_name]],DIM_COUNTRY[[#All],[Column2]],DIM_COUNTRY[[#All],[Column3]],,,)</f>
        <v>Major_Non-USMCA_Non-China</v>
      </c>
    </row>
    <row r="7993" spans="1:9" x14ac:dyDescent="0.4">
      <c r="A7993" t="s">
        <v>71</v>
      </c>
      <c r="B7993" s="1">
        <v>45505</v>
      </c>
      <c r="C7993">
        <v>848210</v>
      </c>
      <c r="D7993" t="s">
        <v>176</v>
      </c>
      <c r="E7993">
        <v>22617</v>
      </c>
      <c r="F7993">
        <v>684</v>
      </c>
      <c r="G7993">
        <v>1031</v>
      </c>
      <c r="H7993">
        <f>_xlfn.XLOOKUP(FACT_IMPORTS[[#This Row],[hts_6]],DIM_PRODUCTS[hts_6],DIM_PRODUCTS[hts_4],,,)</f>
        <v>8482</v>
      </c>
      <c r="I7993" t="str" cm="1">
        <f t="array" ref="I7993">_xlfn.XLOOKUP(FACT_IMPORTS[[#This Row],[country_name]],DIM_COUNTRY[[#All],[Column2]],DIM_COUNTRY[[#All],[Column3]],,,)</f>
        <v>Major_Non-USMCA_Non-China</v>
      </c>
    </row>
    <row r="7994" spans="1:9" x14ac:dyDescent="0.4">
      <c r="A7994" t="s">
        <v>71</v>
      </c>
      <c r="B7994" s="1">
        <v>45505</v>
      </c>
      <c r="C7994">
        <v>848220</v>
      </c>
      <c r="D7994" t="s">
        <v>176</v>
      </c>
      <c r="E7994">
        <v>242266</v>
      </c>
      <c r="F7994">
        <v>20484</v>
      </c>
      <c r="G7994">
        <v>1615</v>
      </c>
      <c r="H7994">
        <f>_xlfn.XLOOKUP(FACT_IMPORTS[[#This Row],[hts_6]],DIM_PRODUCTS[hts_6],DIM_PRODUCTS[hts_4],,,)</f>
        <v>8482</v>
      </c>
      <c r="I7994" t="str" cm="1">
        <f t="array" ref="I7994">_xlfn.XLOOKUP(FACT_IMPORTS[[#This Row],[country_name]],DIM_COUNTRY[[#All],[Column2]],DIM_COUNTRY[[#All],[Column3]],,,)</f>
        <v>Major_Non-USMCA_Non-China</v>
      </c>
    </row>
    <row r="7995" spans="1:9" x14ac:dyDescent="0.4">
      <c r="A7995" t="s">
        <v>71</v>
      </c>
      <c r="B7995" s="1">
        <v>45505</v>
      </c>
      <c r="C7995">
        <v>848310</v>
      </c>
      <c r="D7995" t="s">
        <v>176</v>
      </c>
      <c r="E7995">
        <v>334196</v>
      </c>
      <c r="F7995">
        <v>14918</v>
      </c>
      <c r="G7995">
        <v>751</v>
      </c>
      <c r="H7995">
        <f>_xlfn.XLOOKUP(FACT_IMPORTS[[#This Row],[hts_6]],DIM_PRODUCTS[hts_6],DIM_PRODUCTS[hts_4],,,)</f>
        <v>8483</v>
      </c>
      <c r="I7995" t="str" cm="1">
        <f t="array" ref="I7995">_xlfn.XLOOKUP(FACT_IMPORTS[[#This Row],[country_name]],DIM_COUNTRY[[#All],[Column2]],DIM_COUNTRY[[#All],[Column3]],,,)</f>
        <v>Major_Non-USMCA_Non-China</v>
      </c>
    </row>
    <row r="7996" spans="1:9" x14ac:dyDescent="0.4">
      <c r="A7996" t="s">
        <v>71</v>
      </c>
      <c r="B7996" s="1">
        <v>45505</v>
      </c>
      <c r="C7996">
        <v>850131</v>
      </c>
      <c r="D7996" t="s">
        <v>176</v>
      </c>
      <c r="E7996">
        <v>2876676</v>
      </c>
      <c r="F7996">
        <v>96964</v>
      </c>
      <c r="G7996">
        <v>39037</v>
      </c>
      <c r="H7996">
        <f>_xlfn.XLOOKUP(FACT_IMPORTS[[#This Row],[hts_6]],DIM_PRODUCTS[hts_6],DIM_PRODUCTS[hts_4],,,)</f>
        <v>8501</v>
      </c>
      <c r="I7996" t="str" cm="1">
        <f t="array" ref="I7996">_xlfn.XLOOKUP(FACT_IMPORTS[[#This Row],[country_name]],DIM_COUNTRY[[#All],[Column2]],DIM_COUNTRY[[#All],[Column3]],,,)</f>
        <v>Major_Non-USMCA_Non-China</v>
      </c>
    </row>
    <row r="7997" spans="1:9" x14ac:dyDescent="0.4">
      <c r="A7997" t="s">
        <v>71</v>
      </c>
      <c r="B7997" s="1">
        <v>45505</v>
      </c>
      <c r="C7997">
        <v>850132</v>
      </c>
      <c r="D7997" t="s">
        <v>176</v>
      </c>
      <c r="E7997">
        <v>0</v>
      </c>
      <c r="F7997">
        <v>0</v>
      </c>
      <c r="G7997">
        <v>0</v>
      </c>
      <c r="H7997">
        <f>_xlfn.XLOOKUP(FACT_IMPORTS[[#This Row],[hts_6]],DIM_PRODUCTS[hts_6],DIM_PRODUCTS[hts_4],,,)</f>
        <v>8501</v>
      </c>
      <c r="I7997" t="str" cm="1">
        <f t="array" ref="I7997">_xlfn.XLOOKUP(FACT_IMPORTS[[#This Row],[country_name]],DIM_COUNTRY[[#All],[Column2]],DIM_COUNTRY[[#All],[Column3]],,,)</f>
        <v>Major_Non-USMCA_Non-China</v>
      </c>
    </row>
    <row r="7998" spans="1:9" x14ac:dyDescent="0.4">
      <c r="A7998" t="s">
        <v>71</v>
      </c>
      <c r="B7998" s="1">
        <v>45505</v>
      </c>
      <c r="C7998">
        <v>850133</v>
      </c>
      <c r="D7998" t="s">
        <v>176</v>
      </c>
      <c r="E7998">
        <v>0</v>
      </c>
      <c r="F7998">
        <v>0</v>
      </c>
      <c r="G7998">
        <v>0</v>
      </c>
      <c r="H7998">
        <f>_xlfn.XLOOKUP(FACT_IMPORTS[[#This Row],[hts_6]],DIM_PRODUCTS[hts_6],DIM_PRODUCTS[hts_4],,,)</f>
        <v>8501</v>
      </c>
      <c r="I7998" t="str" cm="1">
        <f t="array" ref="I7998">_xlfn.XLOOKUP(FACT_IMPORTS[[#This Row],[country_name]],DIM_COUNTRY[[#All],[Column2]],DIM_COUNTRY[[#All],[Column3]],,,)</f>
        <v>Major_Non-USMCA_Non-China</v>
      </c>
    </row>
    <row r="7999" spans="1:9" x14ac:dyDescent="0.4">
      <c r="A7999" t="s">
        <v>71</v>
      </c>
      <c r="B7999" s="1">
        <v>45505</v>
      </c>
      <c r="C7999">
        <v>850152</v>
      </c>
      <c r="D7999" t="s">
        <v>176</v>
      </c>
      <c r="E7999">
        <v>616085</v>
      </c>
      <c r="F7999">
        <v>963</v>
      </c>
      <c r="G7999">
        <v>6687</v>
      </c>
      <c r="H7999">
        <f>_xlfn.XLOOKUP(FACT_IMPORTS[[#This Row],[hts_6]],DIM_PRODUCTS[hts_6],DIM_PRODUCTS[hts_4],,,)</f>
        <v>8501</v>
      </c>
      <c r="I7999" t="str" cm="1">
        <f t="array" ref="I7999">_xlfn.XLOOKUP(FACT_IMPORTS[[#This Row],[country_name]],DIM_COUNTRY[[#All],[Column2]],DIM_COUNTRY[[#All],[Column3]],,,)</f>
        <v>Major_Non-USMCA_Non-China</v>
      </c>
    </row>
    <row r="8000" spans="1:9" x14ac:dyDescent="0.4">
      <c r="A8000" t="s">
        <v>71</v>
      </c>
      <c r="B8000" s="1">
        <v>45505</v>
      </c>
      <c r="C8000">
        <v>850153</v>
      </c>
      <c r="D8000" t="s">
        <v>176</v>
      </c>
      <c r="E8000">
        <v>0</v>
      </c>
      <c r="F8000">
        <v>0</v>
      </c>
      <c r="G8000">
        <v>0</v>
      </c>
      <c r="H8000">
        <f>_xlfn.XLOOKUP(FACT_IMPORTS[[#This Row],[hts_6]],DIM_PRODUCTS[hts_6],DIM_PRODUCTS[hts_4],,,)</f>
        <v>8501</v>
      </c>
      <c r="I8000" t="str" cm="1">
        <f t="array" ref="I8000">_xlfn.XLOOKUP(FACT_IMPORTS[[#This Row],[country_name]],DIM_COUNTRY[[#All],[Column2]],DIM_COUNTRY[[#All],[Column3]],,,)</f>
        <v>Major_Non-USMCA_Non-China</v>
      </c>
    </row>
    <row r="8001" spans="1:9" x14ac:dyDescent="0.4">
      <c r="A8001" t="s">
        <v>71</v>
      </c>
      <c r="B8001" s="1">
        <v>45505</v>
      </c>
      <c r="C8001">
        <v>850161</v>
      </c>
      <c r="D8001" t="s">
        <v>176</v>
      </c>
      <c r="E8001">
        <v>0</v>
      </c>
      <c r="F8001">
        <v>0</v>
      </c>
      <c r="G8001">
        <v>0</v>
      </c>
      <c r="H8001">
        <f>_xlfn.XLOOKUP(FACT_IMPORTS[[#This Row],[hts_6]],DIM_PRODUCTS[hts_6],DIM_PRODUCTS[hts_4],,,)</f>
        <v>8501</v>
      </c>
      <c r="I8001" t="str" cm="1">
        <f t="array" ref="I8001">_xlfn.XLOOKUP(FACT_IMPORTS[[#This Row],[country_name]],DIM_COUNTRY[[#All],[Column2]],DIM_COUNTRY[[#All],[Column3]],,,)</f>
        <v>Major_Non-USMCA_Non-China</v>
      </c>
    </row>
    <row r="8002" spans="1:9" x14ac:dyDescent="0.4">
      <c r="A8002" t="s">
        <v>71</v>
      </c>
      <c r="B8002" s="1">
        <v>45505</v>
      </c>
      <c r="C8002">
        <v>850440</v>
      </c>
      <c r="D8002" t="s">
        <v>176</v>
      </c>
      <c r="E8002">
        <v>1200878</v>
      </c>
      <c r="F8002">
        <v>843</v>
      </c>
      <c r="G8002">
        <v>9827</v>
      </c>
      <c r="H8002">
        <f>_xlfn.XLOOKUP(FACT_IMPORTS[[#This Row],[hts_6]],DIM_PRODUCTS[hts_6],DIM_PRODUCTS[hts_4],,,)</f>
        <v>8504</v>
      </c>
      <c r="I8002" t="str" cm="1">
        <f t="array" ref="I8002">_xlfn.XLOOKUP(FACT_IMPORTS[[#This Row],[country_name]],DIM_COUNTRY[[#All],[Column2]],DIM_COUNTRY[[#All],[Column3]],,,)</f>
        <v>Major_Non-USMCA_Non-China</v>
      </c>
    </row>
    <row r="8003" spans="1:9" x14ac:dyDescent="0.4">
      <c r="A8003" t="s">
        <v>71</v>
      </c>
      <c r="B8003" s="1">
        <v>45505</v>
      </c>
      <c r="C8003">
        <v>850710</v>
      </c>
      <c r="D8003" t="s">
        <v>176</v>
      </c>
      <c r="E8003">
        <v>5971</v>
      </c>
      <c r="F8003">
        <v>89</v>
      </c>
      <c r="G8003">
        <v>91</v>
      </c>
      <c r="H8003">
        <f>_xlfn.XLOOKUP(FACT_IMPORTS[[#This Row],[hts_6]],DIM_PRODUCTS[hts_6],DIM_PRODUCTS[hts_4],,,)</f>
        <v>8507</v>
      </c>
      <c r="I8003" t="str" cm="1">
        <f t="array" ref="I8003">_xlfn.XLOOKUP(FACT_IMPORTS[[#This Row],[country_name]],DIM_COUNTRY[[#All],[Column2]],DIM_COUNTRY[[#All],[Column3]],,,)</f>
        <v>Major_Non-USMCA_Non-China</v>
      </c>
    </row>
    <row r="8004" spans="1:9" x14ac:dyDescent="0.4">
      <c r="A8004" t="s">
        <v>71</v>
      </c>
      <c r="B8004" s="1">
        <v>45505</v>
      </c>
      <c r="C8004">
        <v>850760</v>
      </c>
      <c r="D8004" t="s">
        <v>176</v>
      </c>
      <c r="E8004">
        <v>48543</v>
      </c>
      <c r="F8004">
        <v>153</v>
      </c>
      <c r="G8004">
        <v>673</v>
      </c>
      <c r="H8004">
        <f>_xlfn.XLOOKUP(FACT_IMPORTS[[#This Row],[hts_6]],DIM_PRODUCTS[hts_6],DIM_PRODUCTS[hts_4],,,)</f>
        <v>8507</v>
      </c>
      <c r="I8004" t="str" cm="1">
        <f t="array" ref="I8004">_xlfn.XLOOKUP(FACT_IMPORTS[[#This Row],[country_name]],DIM_COUNTRY[[#All],[Column2]],DIM_COUNTRY[[#All],[Column3]],,,)</f>
        <v>Major_Non-USMCA_Non-China</v>
      </c>
    </row>
    <row r="8005" spans="1:9" x14ac:dyDescent="0.4">
      <c r="A8005" t="s">
        <v>71</v>
      </c>
      <c r="B8005" s="1">
        <v>45505</v>
      </c>
      <c r="C8005">
        <v>850790</v>
      </c>
      <c r="D8005" t="s">
        <v>176</v>
      </c>
      <c r="E8005">
        <v>586080</v>
      </c>
      <c r="F8005">
        <v>9830</v>
      </c>
      <c r="G8005">
        <v>2500</v>
      </c>
      <c r="H8005">
        <f>_xlfn.XLOOKUP(FACT_IMPORTS[[#This Row],[hts_6]],DIM_PRODUCTS[hts_6],DIM_PRODUCTS[hts_4],,,)</f>
        <v>8507</v>
      </c>
      <c r="I8005" t="str" cm="1">
        <f t="array" ref="I8005">_xlfn.XLOOKUP(FACT_IMPORTS[[#This Row],[country_name]],DIM_COUNTRY[[#All],[Column2]],DIM_COUNTRY[[#All],[Column3]],,,)</f>
        <v>Major_Non-USMCA_Non-China</v>
      </c>
    </row>
    <row r="8006" spans="1:9" x14ac:dyDescent="0.4">
      <c r="A8006" t="s">
        <v>71</v>
      </c>
      <c r="B8006" s="1">
        <v>45505</v>
      </c>
      <c r="C8006">
        <v>851110</v>
      </c>
      <c r="D8006" t="s">
        <v>176</v>
      </c>
      <c r="E8006">
        <v>80270</v>
      </c>
      <c r="F8006">
        <v>1488</v>
      </c>
      <c r="G8006">
        <v>5130</v>
      </c>
      <c r="H8006">
        <f>_xlfn.XLOOKUP(FACT_IMPORTS[[#This Row],[hts_6]],DIM_PRODUCTS[hts_6],DIM_PRODUCTS[hts_4],,,)</f>
        <v>8511</v>
      </c>
      <c r="I8006" t="str" cm="1">
        <f t="array" ref="I8006">_xlfn.XLOOKUP(FACT_IMPORTS[[#This Row],[country_name]],DIM_COUNTRY[[#All],[Column2]],DIM_COUNTRY[[#All],[Column3]],,,)</f>
        <v>Major_Non-USMCA_Non-China</v>
      </c>
    </row>
    <row r="8007" spans="1:9" x14ac:dyDescent="0.4">
      <c r="A8007" t="s">
        <v>71</v>
      </c>
      <c r="B8007" s="1">
        <v>45505</v>
      </c>
      <c r="C8007">
        <v>851130</v>
      </c>
      <c r="D8007" t="s">
        <v>176</v>
      </c>
      <c r="E8007">
        <v>0</v>
      </c>
      <c r="F8007">
        <v>0</v>
      </c>
      <c r="G8007">
        <v>0</v>
      </c>
      <c r="H8007">
        <f>_xlfn.XLOOKUP(FACT_IMPORTS[[#This Row],[hts_6]],DIM_PRODUCTS[hts_6],DIM_PRODUCTS[hts_4],,,)</f>
        <v>8511</v>
      </c>
      <c r="I8007" t="str" cm="1">
        <f t="array" ref="I8007">_xlfn.XLOOKUP(FACT_IMPORTS[[#This Row],[country_name]],DIM_COUNTRY[[#All],[Column2]],DIM_COUNTRY[[#All],[Column3]],,,)</f>
        <v>Major_Non-USMCA_Non-China</v>
      </c>
    </row>
    <row r="8008" spans="1:9" x14ac:dyDescent="0.4">
      <c r="A8008" t="s">
        <v>71</v>
      </c>
      <c r="B8008" s="1">
        <v>45505</v>
      </c>
      <c r="C8008">
        <v>851140</v>
      </c>
      <c r="D8008" t="s">
        <v>176</v>
      </c>
      <c r="E8008">
        <v>954056</v>
      </c>
      <c r="F8008">
        <v>17740</v>
      </c>
      <c r="G8008">
        <v>2634</v>
      </c>
      <c r="H8008">
        <f>_xlfn.XLOOKUP(FACT_IMPORTS[[#This Row],[hts_6]],DIM_PRODUCTS[hts_6],DIM_PRODUCTS[hts_4],,,)</f>
        <v>8511</v>
      </c>
      <c r="I8008" t="str" cm="1">
        <f t="array" ref="I8008">_xlfn.XLOOKUP(FACT_IMPORTS[[#This Row],[country_name]],DIM_COUNTRY[[#All],[Column2]],DIM_COUNTRY[[#All],[Column3]],,,)</f>
        <v>Major_Non-USMCA_Non-China</v>
      </c>
    </row>
    <row r="8009" spans="1:9" x14ac:dyDescent="0.4">
      <c r="A8009" t="s">
        <v>71</v>
      </c>
      <c r="B8009" s="1">
        <v>45505</v>
      </c>
      <c r="C8009">
        <v>851150</v>
      </c>
      <c r="D8009" t="s">
        <v>176</v>
      </c>
      <c r="E8009">
        <v>100842</v>
      </c>
      <c r="F8009">
        <v>655</v>
      </c>
      <c r="G8009">
        <v>3559</v>
      </c>
      <c r="H8009">
        <f>_xlfn.XLOOKUP(FACT_IMPORTS[[#This Row],[hts_6]],DIM_PRODUCTS[hts_6],DIM_PRODUCTS[hts_4],,,)</f>
        <v>8511</v>
      </c>
      <c r="I8009" t="str" cm="1">
        <f t="array" ref="I8009">_xlfn.XLOOKUP(FACT_IMPORTS[[#This Row],[country_name]],DIM_COUNTRY[[#All],[Column2]],DIM_COUNTRY[[#All],[Column3]],,,)</f>
        <v>Major_Non-USMCA_Non-China</v>
      </c>
    </row>
    <row r="8010" spans="1:9" x14ac:dyDescent="0.4">
      <c r="A8010" t="s">
        <v>71</v>
      </c>
      <c r="B8010" s="1">
        <v>45505</v>
      </c>
      <c r="C8010">
        <v>851180</v>
      </c>
      <c r="D8010" t="s">
        <v>176</v>
      </c>
      <c r="E8010">
        <v>10005</v>
      </c>
      <c r="F8010">
        <v>140</v>
      </c>
      <c r="G8010">
        <v>82</v>
      </c>
      <c r="H8010">
        <f>_xlfn.XLOOKUP(FACT_IMPORTS[[#This Row],[hts_6]],DIM_PRODUCTS[hts_6],DIM_PRODUCTS[hts_4],,,)</f>
        <v>8511</v>
      </c>
      <c r="I8010" t="str" cm="1">
        <f t="array" ref="I8010">_xlfn.XLOOKUP(FACT_IMPORTS[[#This Row],[country_name]],DIM_COUNTRY[[#All],[Column2]],DIM_COUNTRY[[#All],[Column3]],,,)</f>
        <v>Major_Non-USMCA_Non-China</v>
      </c>
    </row>
    <row r="8011" spans="1:9" x14ac:dyDescent="0.4">
      <c r="A8011" t="s">
        <v>71</v>
      </c>
      <c r="B8011" s="1">
        <v>45505</v>
      </c>
      <c r="C8011">
        <v>851190</v>
      </c>
      <c r="D8011" t="s">
        <v>176</v>
      </c>
      <c r="E8011">
        <v>2818</v>
      </c>
      <c r="F8011">
        <v>20</v>
      </c>
      <c r="G8011">
        <v>31</v>
      </c>
      <c r="H8011">
        <f>_xlfn.XLOOKUP(FACT_IMPORTS[[#This Row],[hts_6]],DIM_PRODUCTS[hts_6],DIM_PRODUCTS[hts_4],,,)</f>
        <v>8511</v>
      </c>
      <c r="I8011" t="str" cm="1">
        <f t="array" ref="I8011">_xlfn.XLOOKUP(FACT_IMPORTS[[#This Row],[country_name]],DIM_COUNTRY[[#All],[Column2]],DIM_COUNTRY[[#All],[Column3]],,,)</f>
        <v>Major_Non-USMCA_Non-China</v>
      </c>
    </row>
    <row r="8012" spans="1:9" x14ac:dyDescent="0.4">
      <c r="A8012" t="s">
        <v>71</v>
      </c>
      <c r="B8012" s="1">
        <v>45505</v>
      </c>
      <c r="C8012">
        <v>851220</v>
      </c>
      <c r="D8012" t="s">
        <v>176</v>
      </c>
      <c r="E8012">
        <v>6268</v>
      </c>
      <c r="F8012">
        <v>1752</v>
      </c>
      <c r="G8012">
        <v>226</v>
      </c>
      <c r="H8012">
        <f>_xlfn.XLOOKUP(FACT_IMPORTS[[#This Row],[hts_6]],DIM_PRODUCTS[hts_6],DIM_PRODUCTS[hts_4],,,)</f>
        <v>8512</v>
      </c>
      <c r="I8012" t="str" cm="1">
        <f t="array" ref="I8012">_xlfn.XLOOKUP(FACT_IMPORTS[[#This Row],[country_name]],DIM_COUNTRY[[#All],[Column2]],DIM_COUNTRY[[#All],[Column3]],,,)</f>
        <v>Major_Non-USMCA_Non-China</v>
      </c>
    </row>
    <row r="8013" spans="1:9" x14ac:dyDescent="0.4">
      <c r="A8013" t="s">
        <v>71</v>
      </c>
      <c r="B8013" s="1">
        <v>45505</v>
      </c>
      <c r="C8013">
        <v>851230</v>
      </c>
      <c r="D8013" t="s">
        <v>176</v>
      </c>
      <c r="E8013">
        <v>2661</v>
      </c>
      <c r="F8013">
        <v>125</v>
      </c>
      <c r="G8013">
        <v>36</v>
      </c>
      <c r="H8013">
        <f>_xlfn.XLOOKUP(FACT_IMPORTS[[#This Row],[hts_6]],DIM_PRODUCTS[hts_6],DIM_PRODUCTS[hts_4],,,)</f>
        <v>8512</v>
      </c>
      <c r="I8013" t="str" cm="1">
        <f t="array" ref="I8013">_xlfn.XLOOKUP(FACT_IMPORTS[[#This Row],[country_name]],DIM_COUNTRY[[#All],[Column2]],DIM_COUNTRY[[#All],[Column3]],,,)</f>
        <v>Major_Non-USMCA_Non-China</v>
      </c>
    </row>
    <row r="8014" spans="1:9" x14ac:dyDescent="0.4">
      <c r="A8014" t="s">
        <v>71</v>
      </c>
      <c r="B8014" s="1">
        <v>45505</v>
      </c>
      <c r="C8014">
        <v>851290</v>
      </c>
      <c r="D8014" t="s">
        <v>176</v>
      </c>
      <c r="E8014">
        <v>33719</v>
      </c>
      <c r="F8014">
        <v>896</v>
      </c>
      <c r="G8014">
        <v>447</v>
      </c>
      <c r="H8014">
        <f>_xlfn.XLOOKUP(FACT_IMPORTS[[#This Row],[hts_6]],DIM_PRODUCTS[hts_6],DIM_PRODUCTS[hts_4],,,)</f>
        <v>8512</v>
      </c>
      <c r="I8014" t="str" cm="1">
        <f t="array" ref="I8014">_xlfn.XLOOKUP(FACT_IMPORTS[[#This Row],[country_name]],DIM_COUNTRY[[#All],[Column2]],DIM_COUNTRY[[#All],[Column3]],,,)</f>
        <v>Major_Non-USMCA_Non-China</v>
      </c>
    </row>
    <row r="8015" spans="1:9" x14ac:dyDescent="0.4">
      <c r="A8015" t="s">
        <v>71</v>
      </c>
      <c r="B8015" s="1">
        <v>45505</v>
      </c>
      <c r="C8015">
        <v>854231</v>
      </c>
      <c r="D8015" t="s">
        <v>176</v>
      </c>
      <c r="E8015">
        <v>118248</v>
      </c>
      <c r="F8015">
        <v>12746</v>
      </c>
      <c r="G8015">
        <v>1536</v>
      </c>
      <c r="H8015">
        <f>_xlfn.XLOOKUP(FACT_IMPORTS[[#This Row],[hts_6]],DIM_PRODUCTS[hts_6],DIM_PRODUCTS[hts_4],,,)</f>
        <v>8542</v>
      </c>
      <c r="I8015" t="str" cm="1">
        <f t="array" ref="I8015">_xlfn.XLOOKUP(FACT_IMPORTS[[#This Row],[country_name]],DIM_COUNTRY[[#All],[Column2]],DIM_COUNTRY[[#All],[Column3]],,,)</f>
        <v>Major_Non-USMCA_Non-China</v>
      </c>
    </row>
    <row r="8016" spans="1:9" x14ac:dyDescent="0.4">
      <c r="A8016" t="s">
        <v>71</v>
      </c>
      <c r="B8016" s="1">
        <v>45505</v>
      </c>
      <c r="C8016">
        <v>854232</v>
      </c>
      <c r="D8016" t="s">
        <v>176</v>
      </c>
      <c r="E8016">
        <v>4324</v>
      </c>
      <c r="F8016">
        <v>12</v>
      </c>
      <c r="G8016">
        <v>22</v>
      </c>
      <c r="H8016">
        <f>_xlfn.XLOOKUP(FACT_IMPORTS[[#This Row],[hts_6]],DIM_PRODUCTS[hts_6],DIM_PRODUCTS[hts_4],,,)</f>
        <v>8542</v>
      </c>
      <c r="I8016" t="str" cm="1">
        <f t="array" ref="I8016">_xlfn.XLOOKUP(FACT_IMPORTS[[#This Row],[country_name]],DIM_COUNTRY[[#All],[Column2]],DIM_COUNTRY[[#All],[Column3]],,,)</f>
        <v>Major_Non-USMCA_Non-China</v>
      </c>
    </row>
    <row r="8017" spans="1:9" x14ac:dyDescent="0.4">
      <c r="A8017" t="s">
        <v>71</v>
      </c>
      <c r="B8017" s="1">
        <v>45505</v>
      </c>
      <c r="C8017">
        <v>854239</v>
      </c>
      <c r="D8017" t="s">
        <v>176</v>
      </c>
      <c r="E8017">
        <v>0</v>
      </c>
      <c r="F8017">
        <v>0</v>
      </c>
      <c r="G8017">
        <v>0</v>
      </c>
      <c r="H8017">
        <f>_xlfn.XLOOKUP(FACT_IMPORTS[[#This Row],[hts_6]],DIM_PRODUCTS[hts_6],DIM_PRODUCTS[hts_4],,,)</f>
        <v>8542</v>
      </c>
      <c r="I8017" t="str" cm="1">
        <f t="array" ref="I8017">_xlfn.XLOOKUP(FACT_IMPORTS[[#This Row],[country_name]],DIM_COUNTRY[[#All],[Column2]],DIM_COUNTRY[[#All],[Column3]],,,)</f>
        <v>Major_Non-USMCA_Non-China</v>
      </c>
    </row>
    <row r="8018" spans="1:9" x14ac:dyDescent="0.4">
      <c r="A8018" t="s">
        <v>71</v>
      </c>
      <c r="B8018" s="1">
        <v>45505</v>
      </c>
      <c r="C8018">
        <v>854290</v>
      </c>
      <c r="D8018" t="s">
        <v>176</v>
      </c>
      <c r="E8018">
        <v>0</v>
      </c>
      <c r="F8018">
        <v>0</v>
      </c>
      <c r="G8018">
        <v>0</v>
      </c>
      <c r="H8018">
        <f>_xlfn.XLOOKUP(FACT_IMPORTS[[#This Row],[hts_6]],DIM_PRODUCTS[hts_6],DIM_PRODUCTS[hts_4],,,)</f>
        <v>8542</v>
      </c>
      <c r="I8018" t="str" cm="1">
        <f t="array" ref="I8018">_xlfn.XLOOKUP(FACT_IMPORTS[[#This Row],[country_name]],DIM_COUNTRY[[#All],[Column2]],DIM_COUNTRY[[#All],[Column3]],,,)</f>
        <v>Major_Non-USMCA_Non-China</v>
      </c>
    </row>
    <row r="8019" spans="1:9" x14ac:dyDescent="0.4">
      <c r="A8019" t="s">
        <v>71</v>
      </c>
      <c r="B8019" s="1">
        <v>45505</v>
      </c>
      <c r="C8019">
        <v>854430</v>
      </c>
      <c r="D8019" t="s">
        <v>176</v>
      </c>
      <c r="E8019">
        <v>0</v>
      </c>
      <c r="F8019">
        <v>0</v>
      </c>
      <c r="G8019">
        <v>0</v>
      </c>
      <c r="H8019">
        <f>_xlfn.XLOOKUP(FACT_IMPORTS[[#This Row],[hts_6]],DIM_PRODUCTS[hts_6],DIM_PRODUCTS[hts_4],,,)</f>
        <v>8544</v>
      </c>
      <c r="I8019" t="str" cm="1">
        <f t="array" ref="I8019">_xlfn.XLOOKUP(FACT_IMPORTS[[#This Row],[country_name]],DIM_COUNTRY[[#All],[Column2]],DIM_COUNTRY[[#All],[Column3]],,,)</f>
        <v>Major_Non-USMCA_Non-China</v>
      </c>
    </row>
    <row r="8020" spans="1:9" x14ac:dyDescent="0.4">
      <c r="A8020" t="s">
        <v>71</v>
      </c>
      <c r="B8020" s="1">
        <v>45505</v>
      </c>
      <c r="C8020">
        <v>870790</v>
      </c>
      <c r="D8020" t="s">
        <v>176</v>
      </c>
      <c r="E8020">
        <v>0</v>
      </c>
      <c r="F8020">
        <v>0</v>
      </c>
      <c r="G8020">
        <v>0</v>
      </c>
      <c r="H8020">
        <f>_xlfn.XLOOKUP(FACT_IMPORTS[[#This Row],[hts_6]],DIM_PRODUCTS[hts_6],DIM_PRODUCTS[hts_4],,,)</f>
        <v>8707</v>
      </c>
      <c r="I8020" t="str" cm="1">
        <f t="array" ref="I8020">_xlfn.XLOOKUP(FACT_IMPORTS[[#This Row],[country_name]],DIM_COUNTRY[[#All],[Column2]],DIM_COUNTRY[[#All],[Column3]],,,)</f>
        <v>Major_Non-USMCA_Non-China</v>
      </c>
    </row>
    <row r="8021" spans="1:9" x14ac:dyDescent="0.4">
      <c r="A8021" t="s">
        <v>71</v>
      </c>
      <c r="B8021" s="1">
        <v>45505</v>
      </c>
      <c r="C8021">
        <v>870810</v>
      </c>
      <c r="D8021" t="s">
        <v>176</v>
      </c>
      <c r="E8021">
        <v>0</v>
      </c>
      <c r="F8021">
        <v>0</v>
      </c>
      <c r="G8021">
        <v>0</v>
      </c>
      <c r="H8021">
        <f>_xlfn.XLOOKUP(FACT_IMPORTS[[#This Row],[hts_6]],DIM_PRODUCTS[hts_6],DIM_PRODUCTS[hts_4],,,)</f>
        <v>8708</v>
      </c>
      <c r="I8021" t="str" cm="1">
        <f t="array" ref="I8021">_xlfn.XLOOKUP(FACT_IMPORTS[[#This Row],[country_name]],DIM_COUNTRY[[#All],[Column2]],DIM_COUNTRY[[#All],[Column3]],,,)</f>
        <v>Major_Non-USMCA_Non-China</v>
      </c>
    </row>
    <row r="8022" spans="1:9" x14ac:dyDescent="0.4">
      <c r="A8022" t="s">
        <v>71</v>
      </c>
      <c r="B8022" s="1">
        <v>45505</v>
      </c>
      <c r="C8022">
        <v>870829</v>
      </c>
      <c r="D8022" t="s">
        <v>176</v>
      </c>
      <c r="E8022">
        <v>3396558</v>
      </c>
      <c r="F8022">
        <v>297826</v>
      </c>
      <c r="G8022">
        <v>39512</v>
      </c>
      <c r="H8022">
        <f>_xlfn.XLOOKUP(FACT_IMPORTS[[#This Row],[hts_6]],DIM_PRODUCTS[hts_6],DIM_PRODUCTS[hts_4],,,)</f>
        <v>8708</v>
      </c>
      <c r="I8022" t="str" cm="1">
        <f t="array" ref="I8022">_xlfn.XLOOKUP(FACT_IMPORTS[[#This Row],[country_name]],DIM_COUNTRY[[#All],[Column2]],DIM_COUNTRY[[#All],[Column3]],,,)</f>
        <v>Major_Non-USMCA_Non-China</v>
      </c>
    </row>
    <row r="8023" spans="1:9" x14ac:dyDescent="0.4">
      <c r="A8023" t="s">
        <v>71</v>
      </c>
      <c r="B8023" s="1">
        <v>45505</v>
      </c>
      <c r="C8023">
        <v>870830</v>
      </c>
      <c r="D8023" t="s">
        <v>176</v>
      </c>
      <c r="E8023">
        <v>690591</v>
      </c>
      <c r="F8023">
        <v>86400</v>
      </c>
      <c r="G8023">
        <v>5793</v>
      </c>
      <c r="H8023">
        <f>_xlfn.XLOOKUP(FACT_IMPORTS[[#This Row],[hts_6]],DIM_PRODUCTS[hts_6],DIM_PRODUCTS[hts_4],,,)</f>
        <v>8708</v>
      </c>
      <c r="I8023" t="str" cm="1">
        <f t="array" ref="I8023">_xlfn.XLOOKUP(FACT_IMPORTS[[#This Row],[country_name]],DIM_COUNTRY[[#All],[Column2]],DIM_COUNTRY[[#All],[Column3]],,,)</f>
        <v>Major_Non-USMCA_Non-China</v>
      </c>
    </row>
    <row r="8024" spans="1:9" x14ac:dyDescent="0.4">
      <c r="A8024" t="s">
        <v>71</v>
      </c>
      <c r="B8024" s="1">
        <v>45505</v>
      </c>
      <c r="C8024">
        <v>870840</v>
      </c>
      <c r="D8024" t="s">
        <v>176</v>
      </c>
      <c r="E8024">
        <v>773115</v>
      </c>
      <c r="F8024">
        <v>12395</v>
      </c>
      <c r="G8024">
        <v>31750</v>
      </c>
      <c r="H8024">
        <f>_xlfn.XLOOKUP(FACT_IMPORTS[[#This Row],[hts_6]],DIM_PRODUCTS[hts_6],DIM_PRODUCTS[hts_4],,,)</f>
        <v>8708</v>
      </c>
      <c r="I8024" t="str" cm="1">
        <f t="array" ref="I8024">_xlfn.XLOOKUP(FACT_IMPORTS[[#This Row],[country_name]],DIM_COUNTRY[[#All],[Column2]],DIM_COUNTRY[[#All],[Column3]],,,)</f>
        <v>Major_Non-USMCA_Non-China</v>
      </c>
    </row>
    <row r="8025" spans="1:9" x14ac:dyDescent="0.4">
      <c r="A8025" t="s">
        <v>71</v>
      </c>
      <c r="B8025" s="1">
        <v>45505</v>
      </c>
      <c r="C8025">
        <v>870850</v>
      </c>
      <c r="D8025" t="s">
        <v>176</v>
      </c>
      <c r="E8025">
        <v>33499</v>
      </c>
      <c r="F8025">
        <v>2</v>
      </c>
      <c r="G8025">
        <v>1</v>
      </c>
      <c r="H8025">
        <f>_xlfn.XLOOKUP(FACT_IMPORTS[[#This Row],[hts_6]],DIM_PRODUCTS[hts_6],DIM_PRODUCTS[hts_4],,,)</f>
        <v>8708</v>
      </c>
      <c r="I8025" t="str" cm="1">
        <f t="array" ref="I8025">_xlfn.XLOOKUP(FACT_IMPORTS[[#This Row],[country_name]],DIM_COUNTRY[[#All],[Column2]],DIM_COUNTRY[[#All],[Column3]],,,)</f>
        <v>Major_Non-USMCA_Non-China</v>
      </c>
    </row>
    <row r="8026" spans="1:9" x14ac:dyDescent="0.4">
      <c r="A8026" t="s">
        <v>71</v>
      </c>
      <c r="B8026" s="1">
        <v>45505</v>
      </c>
      <c r="C8026">
        <v>870870</v>
      </c>
      <c r="D8026" t="s">
        <v>176</v>
      </c>
      <c r="E8026">
        <v>24041</v>
      </c>
      <c r="F8026">
        <v>1535</v>
      </c>
      <c r="G8026">
        <v>378</v>
      </c>
      <c r="H8026">
        <f>_xlfn.XLOOKUP(FACT_IMPORTS[[#This Row],[hts_6]],DIM_PRODUCTS[hts_6],DIM_PRODUCTS[hts_4],,,)</f>
        <v>8708</v>
      </c>
      <c r="I8026" t="str" cm="1">
        <f t="array" ref="I8026">_xlfn.XLOOKUP(FACT_IMPORTS[[#This Row],[country_name]],DIM_COUNTRY[[#All],[Column2]],DIM_COUNTRY[[#All],[Column3]],,,)</f>
        <v>Major_Non-USMCA_Non-China</v>
      </c>
    </row>
    <row r="8027" spans="1:9" x14ac:dyDescent="0.4">
      <c r="A8027" t="s">
        <v>71</v>
      </c>
      <c r="B8027" s="1">
        <v>45505</v>
      </c>
      <c r="C8027">
        <v>870880</v>
      </c>
      <c r="D8027" t="s">
        <v>176</v>
      </c>
      <c r="E8027">
        <v>107749</v>
      </c>
      <c r="F8027">
        <v>10583</v>
      </c>
      <c r="G8027">
        <v>14129</v>
      </c>
      <c r="H8027">
        <f>_xlfn.XLOOKUP(FACT_IMPORTS[[#This Row],[hts_6]],DIM_PRODUCTS[hts_6],DIM_PRODUCTS[hts_4],,,)</f>
        <v>8708</v>
      </c>
      <c r="I8027" t="str" cm="1">
        <f t="array" ref="I8027">_xlfn.XLOOKUP(FACT_IMPORTS[[#This Row],[country_name]],DIM_COUNTRY[[#All],[Column2]],DIM_COUNTRY[[#All],[Column3]],,,)</f>
        <v>Major_Non-USMCA_Non-China</v>
      </c>
    </row>
    <row r="8028" spans="1:9" x14ac:dyDescent="0.4">
      <c r="A8028" t="s">
        <v>71</v>
      </c>
      <c r="B8028" s="1">
        <v>45505</v>
      </c>
      <c r="C8028">
        <v>870891</v>
      </c>
      <c r="D8028" t="s">
        <v>176</v>
      </c>
      <c r="E8028">
        <v>131114</v>
      </c>
      <c r="F8028">
        <v>112364</v>
      </c>
      <c r="G8028">
        <v>1702</v>
      </c>
      <c r="H8028">
        <f>_xlfn.XLOOKUP(FACT_IMPORTS[[#This Row],[hts_6]],DIM_PRODUCTS[hts_6],DIM_PRODUCTS[hts_4],,,)</f>
        <v>8708</v>
      </c>
      <c r="I8028" t="str" cm="1">
        <f t="array" ref="I8028">_xlfn.XLOOKUP(FACT_IMPORTS[[#This Row],[country_name]],DIM_COUNTRY[[#All],[Column2]],DIM_COUNTRY[[#All],[Column3]],,,)</f>
        <v>Major_Non-USMCA_Non-China</v>
      </c>
    </row>
    <row r="8029" spans="1:9" x14ac:dyDescent="0.4">
      <c r="A8029" t="s">
        <v>71</v>
      </c>
      <c r="B8029" s="1">
        <v>45505</v>
      </c>
      <c r="C8029">
        <v>870893</v>
      </c>
      <c r="D8029" t="s">
        <v>176</v>
      </c>
      <c r="E8029">
        <v>309919</v>
      </c>
      <c r="F8029">
        <v>175011</v>
      </c>
      <c r="G8029">
        <v>8549</v>
      </c>
      <c r="H8029">
        <f>_xlfn.XLOOKUP(FACT_IMPORTS[[#This Row],[hts_6]],DIM_PRODUCTS[hts_6],DIM_PRODUCTS[hts_4],,,)</f>
        <v>8708</v>
      </c>
      <c r="I8029" t="str" cm="1">
        <f t="array" ref="I8029">_xlfn.XLOOKUP(FACT_IMPORTS[[#This Row],[country_name]],DIM_COUNTRY[[#All],[Column2]],DIM_COUNTRY[[#All],[Column3]],,,)</f>
        <v>Major_Non-USMCA_Non-China</v>
      </c>
    </row>
    <row r="8030" spans="1:9" x14ac:dyDescent="0.4">
      <c r="A8030" t="s">
        <v>71</v>
      </c>
      <c r="B8030" s="1">
        <v>45505</v>
      </c>
      <c r="C8030">
        <v>870894</v>
      </c>
      <c r="D8030" t="s">
        <v>176</v>
      </c>
      <c r="E8030">
        <v>28734</v>
      </c>
      <c r="F8030">
        <v>212</v>
      </c>
      <c r="G8030">
        <v>278</v>
      </c>
      <c r="H8030">
        <f>_xlfn.XLOOKUP(FACT_IMPORTS[[#This Row],[hts_6]],DIM_PRODUCTS[hts_6],DIM_PRODUCTS[hts_4],,,)</f>
        <v>8708</v>
      </c>
      <c r="I8030" t="str" cm="1">
        <f t="array" ref="I8030">_xlfn.XLOOKUP(FACT_IMPORTS[[#This Row],[country_name]],DIM_COUNTRY[[#All],[Column2]],DIM_COUNTRY[[#All],[Column3]],,,)</f>
        <v>Major_Non-USMCA_Non-China</v>
      </c>
    </row>
    <row r="8031" spans="1:9" x14ac:dyDescent="0.4">
      <c r="A8031" t="s">
        <v>71</v>
      </c>
      <c r="B8031" s="1">
        <v>45505</v>
      </c>
      <c r="C8031">
        <v>870895</v>
      </c>
      <c r="D8031" t="s">
        <v>176</v>
      </c>
      <c r="E8031">
        <v>0</v>
      </c>
      <c r="F8031">
        <v>0</v>
      </c>
      <c r="G8031">
        <v>0</v>
      </c>
      <c r="H8031">
        <f>_xlfn.XLOOKUP(FACT_IMPORTS[[#This Row],[hts_6]],DIM_PRODUCTS[hts_6],DIM_PRODUCTS[hts_4],,,)</f>
        <v>8708</v>
      </c>
      <c r="I8031" t="str" cm="1">
        <f t="array" ref="I8031">_xlfn.XLOOKUP(FACT_IMPORTS[[#This Row],[country_name]],DIM_COUNTRY[[#All],[Column2]],DIM_COUNTRY[[#All],[Column3]],,,)</f>
        <v>Major_Non-USMCA_Non-China</v>
      </c>
    </row>
    <row r="8032" spans="1:9" x14ac:dyDescent="0.4">
      <c r="A8032" t="s">
        <v>71</v>
      </c>
      <c r="B8032" s="1">
        <v>45505</v>
      </c>
      <c r="C8032">
        <v>870899</v>
      </c>
      <c r="D8032" t="s">
        <v>176</v>
      </c>
      <c r="E8032">
        <v>2580299</v>
      </c>
      <c r="F8032">
        <v>2868950</v>
      </c>
      <c r="G8032">
        <v>35246</v>
      </c>
      <c r="H8032">
        <f>_xlfn.XLOOKUP(FACT_IMPORTS[[#This Row],[hts_6]],DIM_PRODUCTS[hts_6],DIM_PRODUCTS[hts_4],,,)</f>
        <v>8708</v>
      </c>
      <c r="I8032" t="str" cm="1">
        <f t="array" ref="I8032">_xlfn.XLOOKUP(FACT_IMPORTS[[#This Row],[country_name]],DIM_COUNTRY[[#All],[Column2]],DIM_COUNTRY[[#All],[Column3]],,,)</f>
        <v>Major_Non-USMCA_Non-China</v>
      </c>
    </row>
    <row r="8033" spans="1:9" x14ac:dyDescent="0.4">
      <c r="A8033" t="s">
        <v>71</v>
      </c>
      <c r="B8033" s="1">
        <v>45505</v>
      </c>
      <c r="C8033">
        <v>940120</v>
      </c>
      <c r="D8033" t="s">
        <v>176</v>
      </c>
      <c r="E8033">
        <v>0</v>
      </c>
      <c r="F8033">
        <v>0</v>
      </c>
      <c r="G8033">
        <v>0</v>
      </c>
      <c r="H8033">
        <f>_xlfn.XLOOKUP(FACT_IMPORTS[[#This Row],[hts_6]],DIM_PRODUCTS[hts_6],DIM_PRODUCTS[hts_4],,,)</f>
        <v>9401</v>
      </c>
      <c r="I8033" t="str" cm="1">
        <f t="array" ref="I8033">_xlfn.XLOOKUP(FACT_IMPORTS[[#This Row],[country_name]],DIM_COUNTRY[[#All],[Column2]],DIM_COUNTRY[[#All],[Column3]],,,)</f>
        <v>Major_Non-USMCA_Non-China</v>
      </c>
    </row>
    <row r="8034" spans="1:9" x14ac:dyDescent="0.4">
      <c r="A8034" t="s">
        <v>71</v>
      </c>
      <c r="B8034" s="1">
        <v>45536</v>
      </c>
      <c r="C8034">
        <v>392630</v>
      </c>
      <c r="D8034" t="s">
        <v>176</v>
      </c>
      <c r="E8034">
        <v>1689</v>
      </c>
      <c r="F8034">
        <v>79</v>
      </c>
      <c r="G8034">
        <v>1000</v>
      </c>
      <c r="H8034">
        <f>_xlfn.XLOOKUP(FACT_IMPORTS[[#This Row],[hts_6]],DIM_PRODUCTS[hts_6],DIM_PRODUCTS[hts_4],,,)</f>
        <v>3926</v>
      </c>
      <c r="I8034" t="str" cm="1">
        <f t="array" ref="I8034">_xlfn.XLOOKUP(FACT_IMPORTS[[#This Row],[country_name]],DIM_COUNTRY[[#All],[Column2]],DIM_COUNTRY[[#All],[Column3]],,,)</f>
        <v>Major_Non-USMCA_Non-China</v>
      </c>
    </row>
    <row r="8035" spans="1:9" x14ac:dyDescent="0.4">
      <c r="A8035" t="s">
        <v>71</v>
      </c>
      <c r="B8035" s="1">
        <v>45536</v>
      </c>
      <c r="C8035">
        <v>401110</v>
      </c>
      <c r="D8035" t="s">
        <v>176</v>
      </c>
      <c r="E8035">
        <v>60416</v>
      </c>
      <c r="F8035">
        <v>613</v>
      </c>
      <c r="G8035">
        <v>982</v>
      </c>
      <c r="H8035">
        <f>_xlfn.XLOOKUP(FACT_IMPORTS[[#This Row],[hts_6]],DIM_PRODUCTS[hts_6],DIM_PRODUCTS[hts_4],,,)</f>
        <v>4011</v>
      </c>
      <c r="I8035" t="str" cm="1">
        <f t="array" ref="I8035">_xlfn.XLOOKUP(FACT_IMPORTS[[#This Row],[country_name]],DIM_COUNTRY[[#All],[Column2]],DIM_COUNTRY[[#All],[Column3]],,,)</f>
        <v>Major_Non-USMCA_Non-China</v>
      </c>
    </row>
    <row r="8036" spans="1:9" x14ac:dyDescent="0.4">
      <c r="A8036" t="s">
        <v>71</v>
      </c>
      <c r="B8036" s="1">
        <v>45536</v>
      </c>
      <c r="C8036">
        <v>401120</v>
      </c>
      <c r="D8036" t="s">
        <v>176</v>
      </c>
      <c r="E8036">
        <v>41517</v>
      </c>
      <c r="F8036">
        <v>207</v>
      </c>
      <c r="G8036">
        <v>2517</v>
      </c>
      <c r="H8036">
        <f>_xlfn.XLOOKUP(FACT_IMPORTS[[#This Row],[hts_6]],DIM_PRODUCTS[hts_6],DIM_PRODUCTS[hts_4],,,)</f>
        <v>4011</v>
      </c>
      <c r="I8036" t="str" cm="1">
        <f t="array" ref="I8036">_xlfn.XLOOKUP(FACT_IMPORTS[[#This Row],[country_name]],DIM_COUNTRY[[#All],[Column2]],DIM_COUNTRY[[#All],[Column3]],,,)</f>
        <v>Major_Non-USMCA_Non-China</v>
      </c>
    </row>
    <row r="8037" spans="1:9" x14ac:dyDescent="0.4">
      <c r="A8037" t="s">
        <v>71</v>
      </c>
      <c r="B8037" s="1">
        <v>45536</v>
      </c>
      <c r="C8037">
        <v>700711</v>
      </c>
      <c r="D8037" t="s">
        <v>176</v>
      </c>
      <c r="E8037">
        <v>0</v>
      </c>
      <c r="F8037">
        <v>0</v>
      </c>
      <c r="G8037">
        <v>0</v>
      </c>
      <c r="H8037">
        <f>_xlfn.XLOOKUP(FACT_IMPORTS[[#This Row],[hts_6]],DIM_PRODUCTS[hts_6],DIM_PRODUCTS[hts_4],,,)</f>
        <v>7007</v>
      </c>
      <c r="I8037" t="str" cm="1">
        <f t="array" ref="I8037">_xlfn.XLOOKUP(FACT_IMPORTS[[#This Row],[country_name]],DIM_COUNTRY[[#All],[Column2]],DIM_COUNTRY[[#All],[Column3]],,,)</f>
        <v>Major_Non-USMCA_Non-China</v>
      </c>
    </row>
    <row r="8038" spans="1:9" x14ac:dyDescent="0.4">
      <c r="A8038" t="s">
        <v>71</v>
      </c>
      <c r="B8038" s="1">
        <v>45536</v>
      </c>
      <c r="C8038">
        <v>700721</v>
      </c>
      <c r="D8038" t="s">
        <v>176</v>
      </c>
      <c r="E8038">
        <v>0</v>
      </c>
      <c r="F8038">
        <v>0</v>
      </c>
      <c r="G8038">
        <v>0</v>
      </c>
      <c r="H8038">
        <f>_xlfn.XLOOKUP(FACT_IMPORTS[[#This Row],[hts_6]],DIM_PRODUCTS[hts_6],DIM_PRODUCTS[hts_4],,,)</f>
        <v>7007</v>
      </c>
      <c r="I8038" t="str" cm="1">
        <f t="array" ref="I8038">_xlfn.XLOOKUP(FACT_IMPORTS[[#This Row],[country_name]],DIM_COUNTRY[[#All],[Column2]],DIM_COUNTRY[[#All],[Column3]],,,)</f>
        <v>Major_Non-USMCA_Non-China</v>
      </c>
    </row>
    <row r="8039" spans="1:9" x14ac:dyDescent="0.4">
      <c r="A8039" t="s">
        <v>71</v>
      </c>
      <c r="B8039" s="1">
        <v>45536</v>
      </c>
      <c r="C8039">
        <v>700910</v>
      </c>
      <c r="D8039" t="s">
        <v>176</v>
      </c>
      <c r="E8039">
        <v>0</v>
      </c>
      <c r="F8039">
        <v>0</v>
      </c>
      <c r="G8039">
        <v>0</v>
      </c>
      <c r="H8039">
        <f>_xlfn.XLOOKUP(FACT_IMPORTS[[#This Row],[hts_6]],DIM_PRODUCTS[hts_6],DIM_PRODUCTS[hts_4],,,)</f>
        <v>7009</v>
      </c>
      <c r="I8039" t="str" cm="1">
        <f t="array" ref="I8039">_xlfn.XLOOKUP(FACT_IMPORTS[[#This Row],[country_name]],DIM_COUNTRY[[#All],[Column2]],DIM_COUNTRY[[#All],[Column3]],,,)</f>
        <v>Major_Non-USMCA_Non-China</v>
      </c>
    </row>
    <row r="8040" spans="1:9" x14ac:dyDescent="0.4">
      <c r="A8040" t="s">
        <v>71</v>
      </c>
      <c r="B8040" s="1">
        <v>45536</v>
      </c>
      <c r="C8040">
        <v>732010</v>
      </c>
      <c r="D8040" t="s">
        <v>176</v>
      </c>
      <c r="E8040">
        <v>2699</v>
      </c>
      <c r="F8040">
        <v>87</v>
      </c>
      <c r="G8040">
        <v>185</v>
      </c>
      <c r="H8040">
        <f>_xlfn.XLOOKUP(FACT_IMPORTS[[#This Row],[hts_6]],DIM_PRODUCTS[hts_6],DIM_PRODUCTS[hts_4],,,)</f>
        <v>7320</v>
      </c>
      <c r="I8040" t="str" cm="1">
        <f t="array" ref="I8040">_xlfn.XLOOKUP(FACT_IMPORTS[[#This Row],[country_name]],DIM_COUNTRY[[#All],[Column2]],DIM_COUNTRY[[#All],[Column3]],,,)</f>
        <v>Major_Non-USMCA_Non-China</v>
      </c>
    </row>
    <row r="8041" spans="1:9" x14ac:dyDescent="0.4">
      <c r="A8041" t="s">
        <v>71</v>
      </c>
      <c r="B8041" s="1">
        <v>45536</v>
      </c>
      <c r="C8041">
        <v>830230</v>
      </c>
      <c r="D8041" t="s">
        <v>176</v>
      </c>
      <c r="E8041">
        <v>33249</v>
      </c>
      <c r="F8041">
        <v>5327</v>
      </c>
      <c r="G8041">
        <v>374</v>
      </c>
      <c r="H8041">
        <f>_xlfn.XLOOKUP(FACT_IMPORTS[[#This Row],[hts_6]],DIM_PRODUCTS[hts_6],DIM_PRODUCTS[hts_4],,,)</f>
        <v>8302</v>
      </c>
      <c r="I8041" t="str" cm="1">
        <f t="array" ref="I8041">_xlfn.XLOOKUP(FACT_IMPORTS[[#This Row],[country_name]],DIM_COUNTRY[[#All],[Column2]],DIM_COUNTRY[[#All],[Column3]],,,)</f>
        <v>Major_Non-USMCA_Non-China</v>
      </c>
    </row>
    <row r="8042" spans="1:9" x14ac:dyDescent="0.4">
      <c r="A8042" t="s">
        <v>71</v>
      </c>
      <c r="B8042" s="1">
        <v>45536</v>
      </c>
      <c r="C8042">
        <v>840734</v>
      </c>
      <c r="D8042" t="s">
        <v>176</v>
      </c>
      <c r="E8042">
        <v>602345</v>
      </c>
      <c r="F8042">
        <v>54</v>
      </c>
      <c r="G8042">
        <v>60622</v>
      </c>
      <c r="H8042">
        <f>_xlfn.XLOOKUP(FACT_IMPORTS[[#This Row],[hts_6]],DIM_PRODUCTS[hts_6],DIM_PRODUCTS[hts_4],,,)</f>
        <v>8407</v>
      </c>
      <c r="I8042" t="str" cm="1">
        <f t="array" ref="I8042">_xlfn.XLOOKUP(FACT_IMPORTS[[#This Row],[country_name]],DIM_COUNTRY[[#All],[Column2]],DIM_COUNTRY[[#All],[Column3]],,,)</f>
        <v>Major_Non-USMCA_Non-China</v>
      </c>
    </row>
    <row r="8043" spans="1:9" x14ac:dyDescent="0.4">
      <c r="A8043" t="s">
        <v>71</v>
      </c>
      <c r="B8043" s="1">
        <v>45536</v>
      </c>
      <c r="C8043">
        <v>840790</v>
      </c>
      <c r="D8043" t="s">
        <v>176</v>
      </c>
      <c r="E8043">
        <v>0</v>
      </c>
      <c r="F8043">
        <v>0</v>
      </c>
      <c r="G8043">
        <v>0</v>
      </c>
      <c r="H8043">
        <f>_xlfn.XLOOKUP(FACT_IMPORTS[[#This Row],[hts_6]],DIM_PRODUCTS[hts_6],DIM_PRODUCTS[hts_4],,,)</f>
        <v>8407</v>
      </c>
      <c r="I8043" t="str" cm="1">
        <f t="array" ref="I8043">_xlfn.XLOOKUP(FACT_IMPORTS[[#This Row],[country_name]],DIM_COUNTRY[[#All],[Column2]],DIM_COUNTRY[[#All],[Column3]],,,)</f>
        <v>Major_Non-USMCA_Non-China</v>
      </c>
    </row>
    <row r="8044" spans="1:9" x14ac:dyDescent="0.4">
      <c r="A8044" t="s">
        <v>71</v>
      </c>
      <c r="B8044" s="1">
        <v>45536</v>
      </c>
      <c r="C8044">
        <v>840820</v>
      </c>
      <c r="D8044" t="s">
        <v>176</v>
      </c>
      <c r="E8044">
        <v>88400</v>
      </c>
      <c r="F8044">
        <v>2</v>
      </c>
      <c r="G8044">
        <v>132</v>
      </c>
      <c r="H8044">
        <f>_xlfn.XLOOKUP(FACT_IMPORTS[[#This Row],[hts_6]],DIM_PRODUCTS[hts_6],DIM_PRODUCTS[hts_4],,,)</f>
        <v>8408</v>
      </c>
      <c r="I8044" t="str" cm="1">
        <f t="array" ref="I8044">_xlfn.XLOOKUP(FACT_IMPORTS[[#This Row],[country_name]],DIM_COUNTRY[[#All],[Column2]],DIM_COUNTRY[[#All],[Column3]],,,)</f>
        <v>Major_Non-USMCA_Non-China</v>
      </c>
    </row>
    <row r="8045" spans="1:9" x14ac:dyDescent="0.4">
      <c r="A8045" t="s">
        <v>71</v>
      </c>
      <c r="B8045" s="1">
        <v>45536</v>
      </c>
      <c r="C8045">
        <v>840890</v>
      </c>
      <c r="D8045" t="s">
        <v>176</v>
      </c>
      <c r="E8045">
        <v>27654</v>
      </c>
      <c r="F8045">
        <v>4</v>
      </c>
      <c r="G8045">
        <v>90</v>
      </c>
      <c r="H8045">
        <f>_xlfn.XLOOKUP(FACT_IMPORTS[[#This Row],[hts_6]],DIM_PRODUCTS[hts_6],DIM_PRODUCTS[hts_4],,,)</f>
        <v>8408</v>
      </c>
      <c r="I8045" t="str" cm="1">
        <f t="array" ref="I8045">_xlfn.XLOOKUP(FACT_IMPORTS[[#This Row],[country_name]],DIM_COUNTRY[[#All],[Column2]],DIM_COUNTRY[[#All],[Column3]],,,)</f>
        <v>Major_Non-USMCA_Non-China</v>
      </c>
    </row>
    <row r="8046" spans="1:9" x14ac:dyDescent="0.4">
      <c r="A8046" t="s">
        <v>71</v>
      </c>
      <c r="B8046" s="1">
        <v>45536</v>
      </c>
      <c r="C8046">
        <v>840991</v>
      </c>
      <c r="D8046" t="s">
        <v>176</v>
      </c>
      <c r="E8046">
        <v>10506730</v>
      </c>
      <c r="F8046">
        <v>695725</v>
      </c>
      <c r="G8046">
        <v>165195</v>
      </c>
      <c r="H8046">
        <f>_xlfn.XLOOKUP(FACT_IMPORTS[[#This Row],[hts_6]],DIM_PRODUCTS[hts_6],DIM_PRODUCTS[hts_4],,,)</f>
        <v>8409</v>
      </c>
      <c r="I8046" t="str" cm="1">
        <f t="array" ref="I8046">_xlfn.XLOOKUP(FACT_IMPORTS[[#This Row],[country_name]],DIM_COUNTRY[[#All],[Column2]],DIM_COUNTRY[[#All],[Column3]],,,)</f>
        <v>Major_Non-USMCA_Non-China</v>
      </c>
    </row>
    <row r="8047" spans="1:9" x14ac:dyDescent="0.4">
      <c r="A8047" t="s">
        <v>71</v>
      </c>
      <c r="B8047" s="1">
        <v>45536</v>
      </c>
      <c r="C8047">
        <v>840999</v>
      </c>
      <c r="D8047" t="s">
        <v>176</v>
      </c>
      <c r="E8047">
        <v>169993</v>
      </c>
      <c r="F8047">
        <v>12849</v>
      </c>
      <c r="G8047">
        <v>790</v>
      </c>
      <c r="H8047">
        <f>_xlfn.XLOOKUP(FACT_IMPORTS[[#This Row],[hts_6]],DIM_PRODUCTS[hts_6],DIM_PRODUCTS[hts_4],,,)</f>
        <v>8409</v>
      </c>
      <c r="I8047" t="str" cm="1">
        <f t="array" ref="I8047">_xlfn.XLOOKUP(FACT_IMPORTS[[#This Row],[country_name]],DIM_COUNTRY[[#All],[Column2]],DIM_COUNTRY[[#All],[Column3]],,,)</f>
        <v>Major_Non-USMCA_Non-China</v>
      </c>
    </row>
    <row r="8048" spans="1:9" x14ac:dyDescent="0.4">
      <c r="A8048" t="s">
        <v>71</v>
      </c>
      <c r="B8048" s="1">
        <v>45536</v>
      </c>
      <c r="C8048">
        <v>841330</v>
      </c>
      <c r="D8048" t="s">
        <v>176</v>
      </c>
      <c r="E8048">
        <v>37147</v>
      </c>
      <c r="F8048">
        <v>560</v>
      </c>
      <c r="G8048">
        <v>797</v>
      </c>
      <c r="H8048">
        <f>_xlfn.XLOOKUP(FACT_IMPORTS[[#This Row],[hts_6]],DIM_PRODUCTS[hts_6],DIM_PRODUCTS[hts_4],,,)</f>
        <v>8413</v>
      </c>
      <c r="I8048" t="str" cm="1">
        <f t="array" ref="I8048">_xlfn.XLOOKUP(FACT_IMPORTS[[#This Row],[country_name]],DIM_COUNTRY[[#All],[Column2]],DIM_COUNTRY[[#All],[Column3]],,,)</f>
        <v>Major_Non-USMCA_Non-China</v>
      </c>
    </row>
    <row r="8049" spans="1:9" x14ac:dyDescent="0.4">
      <c r="A8049" t="s">
        <v>71</v>
      </c>
      <c r="B8049" s="1">
        <v>45536</v>
      </c>
      <c r="C8049">
        <v>841520</v>
      </c>
      <c r="D8049" t="s">
        <v>176</v>
      </c>
      <c r="E8049">
        <v>0</v>
      </c>
      <c r="F8049">
        <v>0</v>
      </c>
      <c r="G8049">
        <v>0</v>
      </c>
      <c r="H8049">
        <f>_xlfn.XLOOKUP(FACT_IMPORTS[[#This Row],[hts_6]],DIM_PRODUCTS[hts_6],DIM_PRODUCTS[hts_4],,,)</f>
        <v>8415</v>
      </c>
      <c r="I8049" t="str" cm="1">
        <f t="array" ref="I8049">_xlfn.XLOOKUP(FACT_IMPORTS[[#This Row],[country_name]],DIM_COUNTRY[[#All],[Column2]],DIM_COUNTRY[[#All],[Column3]],,,)</f>
        <v>Major_Non-USMCA_Non-China</v>
      </c>
    </row>
    <row r="8050" spans="1:9" x14ac:dyDescent="0.4">
      <c r="A8050" t="s">
        <v>71</v>
      </c>
      <c r="B8050" s="1">
        <v>45536</v>
      </c>
      <c r="C8050">
        <v>842132</v>
      </c>
      <c r="D8050" t="s">
        <v>176</v>
      </c>
      <c r="E8050">
        <v>39411</v>
      </c>
      <c r="F8050">
        <v>51</v>
      </c>
      <c r="G8050">
        <v>611</v>
      </c>
      <c r="H8050">
        <f>_xlfn.XLOOKUP(FACT_IMPORTS[[#This Row],[hts_6]],DIM_PRODUCTS[hts_6],DIM_PRODUCTS[hts_4],,,)</f>
        <v>8421</v>
      </c>
      <c r="I8050" t="str" cm="1">
        <f t="array" ref="I8050">_xlfn.XLOOKUP(FACT_IMPORTS[[#This Row],[country_name]],DIM_COUNTRY[[#All],[Column2]],DIM_COUNTRY[[#All],[Column3]],,,)</f>
        <v>Major_Non-USMCA_Non-China</v>
      </c>
    </row>
    <row r="8051" spans="1:9" x14ac:dyDescent="0.4">
      <c r="A8051" t="s">
        <v>71</v>
      </c>
      <c r="B8051" s="1">
        <v>45536</v>
      </c>
      <c r="C8051">
        <v>848210</v>
      </c>
      <c r="D8051" t="s">
        <v>176</v>
      </c>
      <c r="E8051">
        <v>101581</v>
      </c>
      <c r="F8051">
        <v>6595</v>
      </c>
      <c r="G8051">
        <v>392</v>
      </c>
      <c r="H8051">
        <f>_xlfn.XLOOKUP(FACT_IMPORTS[[#This Row],[hts_6]],DIM_PRODUCTS[hts_6],DIM_PRODUCTS[hts_4],,,)</f>
        <v>8482</v>
      </c>
      <c r="I8051" t="str" cm="1">
        <f t="array" ref="I8051">_xlfn.XLOOKUP(FACT_IMPORTS[[#This Row],[country_name]],DIM_COUNTRY[[#All],[Column2]],DIM_COUNTRY[[#All],[Column3]],,,)</f>
        <v>Major_Non-USMCA_Non-China</v>
      </c>
    </row>
    <row r="8052" spans="1:9" x14ac:dyDescent="0.4">
      <c r="A8052" t="s">
        <v>71</v>
      </c>
      <c r="B8052" s="1">
        <v>45536</v>
      </c>
      <c r="C8052">
        <v>848220</v>
      </c>
      <c r="D8052" t="s">
        <v>176</v>
      </c>
      <c r="E8052">
        <v>190204</v>
      </c>
      <c r="F8052">
        <v>14656</v>
      </c>
      <c r="G8052">
        <v>1448</v>
      </c>
      <c r="H8052">
        <f>_xlfn.XLOOKUP(FACT_IMPORTS[[#This Row],[hts_6]],DIM_PRODUCTS[hts_6],DIM_PRODUCTS[hts_4],,,)</f>
        <v>8482</v>
      </c>
      <c r="I8052" t="str" cm="1">
        <f t="array" ref="I8052">_xlfn.XLOOKUP(FACT_IMPORTS[[#This Row],[country_name]],DIM_COUNTRY[[#All],[Column2]],DIM_COUNTRY[[#All],[Column3]],,,)</f>
        <v>Major_Non-USMCA_Non-China</v>
      </c>
    </row>
    <row r="8053" spans="1:9" x14ac:dyDescent="0.4">
      <c r="A8053" t="s">
        <v>71</v>
      </c>
      <c r="B8053" s="1">
        <v>45536</v>
      </c>
      <c r="C8053">
        <v>848310</v>
      </c>
      <c r="D8053" t="s">
        <v>176</v>
      </c>
      <c r="E8053">
        <v>693508</v>
      </c>
      <c r="F8053">
        <v>30097</v>
      </c>
      <c r="G8053">
        <v>4264</v>
      </c>
      <c r="H8053">
        <f>_xlfn.XLOOKUP(FACT_IMPORTS[[#This Row],[hts_6]],DIM_PRODUCTS[hts_6],DIM_PRODUCTS[hts_4],,,)</f>
        <v>8483</v>
      </c>
      <c r="I8053" t="str" cm="1">
        <f t="array" ref="I8053">_xlfn.XLOOKUP(FACT_IMPORTS[[#This Row],[country_name]],DIM_COUNTRY[[#All],[Column2]],DIM_COUNTRY[[#All],[Column3]],,,)</f>
        <v>Major_Non-USMCA_Non-China</v>
      </c>
    </row>
    <row r="8054" spans="1:9" x14ac:dyDescent="0.4">
      <c r="A8054" t="s">
        <v>71</v>
      </c>
      <c r="B8054" s="1">
        <v>45536</v>
      </c>
      <c r="C8054">
        <v>850131</v>
      </c>
      <c r="D8054" t="s">
        <v>176</v>
      </c>
      <c r="E8054">
        <v>1269756</v>
      </c>
      <c r="F8054">
        <v>41034</v>
      </c>
      <c r="G8054">
        <v>21461</v>
      </c>
      <c r="H8054">
        <f>_xlfn.XLOOKUP(FACT_IMPORTS[[#This Row],[hts_6]],DIM_PRODUCTS[hts_6],DIM_PRODUCTS[hts_4],,,)</f>
        <v>8501</v>
      </c>
      <c r="I8054" t="str" cm="1">
        <f t="array" ref="I8054">_xlfn.XLOOKUP(FACT_IMPORTS[[#This Row],[country_name]],DIM_COUNTRY[[#All],[Column2]],DIM_COUNTRY[[#All],[Column3]],,,)</f>
        <v>Major_Non-USMCA_Non-China</v>
      </c>
    </row>
    <row r="8055" spans="1:9" x14ac:dyDescent="0.4">
      <c r="A8055" t="s">
        <v>71</v>
      </c>
      <c r="B8055" s="1">
        <v>45536</v>
      </c>
      <c r="C8055">
        <v>850132</v>
      </c>
      <c r="D8055" t="s">
        <v>176</v>
      </c>
      <c r="E8055">
        <v>0</v>
      </c>
      <c r="F8055">
        <v>0</v>
      </c>
      <c r="G8055">
        <v>0</v>
      </c>
      <c r="H8055">
        <f>_xlfn.XLOOKUP(FACT_IMPORTS[[#This Row],[hts_6]],DIM_PRODUCTS[hts_6],DIM_PRODUCTS[hts_4],,,)</f>
        <v>8501</v>
      </c>
      <c r="I8055" t="str" cm="1">
        <f t="array" ref="I8055">_xlfn.XLOOKUP(FACT_IMPORTS[[#This Row],[country_name]],DIM_COUNTRY[[#All],[Column2]],DIM_COUNTRY[[#All],[Column3]],,,)</f>
        <v>Major_Non-USMCA_Non-China</v>
      </c>
    </row>
    <row r="8056" spans="1:9" x14ac:dyDescent="0.4">
      <c r="A8056" t="s">
        <v>71</v>
      </c>
      <c r="B8056" s="1">
        <v>45536</v>
      </c>
      <c r="C8056">
        <v>850133</v>
      </c>
      <c r="D8056" t="s">
        <v>176</v>
      </c>
      <c r="E8056">
        <v>0</v>
      </c>
      <c r="F8056">
        <v>0</v>
      </c>
      <c r="G8056">
        <v>0</v>
      </c>
      <c r="H8056">
        <f>_xlfn.XLOOKUP(FACT_IMPORTS[[#This Row],[hts_6]],DIM_PRODUCTS[hts_6],DIM_PRODUCTS[hts_4],,,)</f>
        <v>8501</v>
      </c>
      <c r="I8056" t="str" cm="1">
        <f t="array" ref="I8056">_xlfn.XLOOKUP(FACT_IMPORTS[[#This Row],[country_name]],DIM_COUNTRY[[#All],[Column2]],DIM_COUNTRY[[#All],[Column3]],,,)</f>
        <v>Major_Non-USMCA_Non-China</v>
      </c>
    </row>
    <row r="8057" spans="1:9" x14ac:dyDescent="0.4">
      <c r="A8057" t="s">
        <v>71</v>
      </c>
      <c r="B8057" s="1">
        <v>45536</v>
      </c>
      <c r="C8057">
        <v>850152</v>
      </c>
      <c r="D8057" t="s">
        <v>176</v>
      </c>
      <c r="E8057">
        <v>289831</v>
      </c>
      <c r="F8057">
        <v>380</v>
      </c>
      <c r="G8057">
        <v>1961</v>
      </c>
      <c r="H8057">
        <f>_xlfn.XLOOKUP(FACT_IMPORTS[[#This Row],[hts_6]],DIM_PRODUCTS[hts_6],DIM_PRODUCTS[hts_4],,,)</f>
        <v>8501</v>
      </c>
      <c r="I8057" t="str" cm="1">
        <f t="array" ref="I8057">_xlfn.XLOOKUP(FACT_IMPORTS[[#This Row],[country_name]],DIM_COUNTRY[[#All],[Column2]],DIM_COUNTRY[[#All],[Column3]],,,)</f>
        <v>Major_Non-USMCA_Non-China</v>
      </c>
    </row>
    <row r="8058" spans="1:9" x14ac:dyDescent="0.4">
      <c r="A8058" t="s">
        <v>71</v>
      </c>
      <c r="B8058" s="1">
        <v>45536</v>
      </c>
      <c r="C8058">
        <v>850153</v>
      </c>
      <c r="D8058" t="s">
        <v>176</v>
      </c>
      <c r="E8058">
        <v>0</v>
      </c>
      <c r="F8058">
        <v>0</v>
      </c>
      <c r="G8058">
        <v>0</v>
      </c>
      <c r="H8058">
        <f>_xlfn.XLOOKUP(FACT_IMPORTS[[#This Row],[hts_6]],DIM_PRODUCTS[hts_6],DIM_PRODUCTS[hts_4],,,)</f>
        <v>8501</v>
      </c>
      <c r="I8058" t="str" cm="1">
        <f t="array" ref="I8058">_xlfn.XLOOKUP(FACT_IMPORTS[[#This Row],[country_name]],DIM_COUNTRY[[#All],[Column2]],DIM_COUNTRY[[#All],[Column3]],,,)</f>
        <v>Major_Non-USMCA_Non-China</v>
      </c>
    </row>
    <row r="8059" spans="1:9" x14ac:dyDescent="0.4">
      <c r="A8059" t="s">
        <v>71</v>
      </c>
      <c r="B8059" s="1">
        <v>45536</v>
      </c>
      <c r="C8059">
        <v>850161</v>
      </c>
      <c r="D8059" t="s">
        <v>176</v>
      </c>
      <c r="E8059">
        <v>0</v>
      </c>
      <c r="F8059">
        <v>0</v>
      </c>
      <c r="G8059">
        <v>0</v>
      </c>
      <c r="H8059">
        <f>_xlfn.XLOOKUP(FACT_IMPORTS[[#This Row],[hts_6]],DIM_PRODUCTS[hts_6],DIM_PRODUCTS[hts_4],,,)</f>
        <v>8501</v>
      </c>
      <c r="I8059" t="str" cm="1">
        <f t="array" ref="I8059">_xlfn.XLOOKUP(FACT_IMPORTS[[#This Row],[country_name]],DIM_COUNTRY[[#All],[Column2]],DIM_COUNTRY[[#All],[Column3]],,,)</f>
        <v>Major_Non-USMCA_Non-China</v>
      </c>
    </row>
    <row r="8060" spans="1:9" x14ac:dyDescent="0.4">
      <c r="A8060" t="s">
        <v>71</v>
      </c>
      <c r="B8060" s="1">
        <v>45536</v>
      </c>
      <c r="C8060">
        <v>850440</v>
      </c>
      <c r="D8060" t="s">
        <v>176</v>
      </c>
      <c r="E8060">
        <v>424569</v>
      </c>
      <c r="F8060">
        <v>280</v>
      </c>
      <c r="G8060">
        <v>3275</v>
      </c>
      <c r="H8060">
        <f>_xlfn.XLOOKUP(FACT_IMPORTS[[#This Row],[hts_6]],DIM_PRODUCTS[hts_6],DIM_PRODUCTS[hts_4],,,)</f>
        <v>8504</v>
      </c>
      <c r="I8060" t="str" cm="1">
        <f t="array" ref="I8060">_xlfn.XLOOKUP(FACT_IMPORTS[[#This Row],[country_name]],DIM_COUNTRY[[#All],[Column2]],DIM_COUNTRY[[#All],[Column3]],,,)</f>
        <v>Major_Non-USMCA_Non-China</v>
      </c>
    </row>
    <row r="8061" spans="1:9" x14ac:dyDescent="0.4">
      <c r="A8061" t="s">
        <v>71</v>
      </c>
      <c r="B8061" s="1">
        <v>45536</v>
      </c>
      <c r="C8061">
        <v>850710</v>
      </c>
      <c r="D8061" t="s">
        <v>176</v>
      </c>
      <c r="E8061">
        <v>3915</v>
      </c>
      <c r="F8061">
        <v>55</v>
      </c>
      <c r="G8061">
        <v>85</v>
      </c>
      <c r="H8061">
        <f>_xlfn.XLOOKUP(FACT_IMPORTS[[#This Row],[hts_6]],DIM_PRODUCTS[hts_6],DIM_PRODUCTS[hts_4],,,)</f>
        <v>8507</v>
      </c>
      <c r="I8061" t="str" cm="1">
        <f t="array" ref="I8061">_xlfn.XLOOKUP(FACT_IMPORTS[[#This Row],[country_name]],DIM_COUNTRY[[#All],[Column2]],DIM_COUNTRY[[#All],[Column3]],,,)</f>
        <v>Major_Non-USMCA_Non-China</v>
      </c>
    </row>
    <row r="8062" spans="1:9" x14ac:dyDescent="0.4">
      <c r="A8062" t="s">
        <v>71</v>
      </c>
      <c r="B8062" s="1">
        <v>45536</v>
      </c>
      <c r="C8062">
        <v>850760</v>
      </c>
      <c r="D8062" t="s">
        <v>176</v>
      </c>
      <c r="E8062">
        <v>109424</v>
      </c>
      <c r="F8062">
        <v>869</v>
      </c>
      <c r="G8062">
        <v>1568</v>
      </c>
      <c r="H8062">
        <f>_xlfn.XLOOKUP(FACT_IMPORTS[[#This Row],[hts_6]],DIM_PRODUCTS[hts_6],DIM_PRODUCTS[hts_4],,,)</f>
        <v>8507</v>
      </c>
      <c r="I8062" t="str" cm="1">
        <f t="array" ref="I8062">_xlfn.XLOOKUP(FACT_IMPORTS[[#This Row],[country_name]],DIM_COUNTRY[[#All],[Column2]],DIM_COUNTRY[[#All],[Column3]],,,)</f>
        <v>Major_Non-USMCA_Non-China</v>
      </c>
    </row>
    <row r="8063" spans="1:9" x14ac:dyDescent="0.4">
      <c r="A8063" t="s">
        <v>71</v>
      </c>
      <c r="B8063" s="1">
        <v>45536</v>
      </c>
      <c r="C8063">
        <v>850790</v>
      </c>
      <c r="D8063" t="s">
        <v>176</v>
      </c>
      <c r="E8063">
        <v>4043952</v>
      </c>
      <c r="F8063">
        <v>67827</v>
      </c>
      <c r="G8063">
        <v>17500</v>
      </c>
      <c r="H8063">
        <f>_xlfn.XLOOKUP(FACT_IMPORTS[[#This Row],[hts_6]],DIM_PRODUCTS[hts_6],DIM_PRODUCTS[hts_4],,,)</f>
        <v>8507</v>
      </c>
      <c r="I8063" t="str" cm="1">
        <f t="array" ref="I8063">_xlfn.XLOOKUP(FACT_IMPORTS[[#This Row],[country_name]],DIM_COUNTRY[[#All],[Column2]],DIM_COUNTRY[[#All],[Column3]],,,)</f>
        <v>Major_Non-USMCA_Non-China</v>
      </c>
    </row>
    <row r="8064" spans="1:9" x14ac:dyDescent="0.4">
      <c r="A8064" t="s">
        <v>71</v>
      </c>
      <c r="B8064" s="1">
        <v>45536</v>
      </c>
      <c r="C8064">
        <v>851110</v>
      </c>
      <c r="D8064" t="s">
        <v>176</v>
      </c>
      <c r="E8064">
        <v>177597</v>
      </c>
      <c r="F8064">
        <v>1636</v>
      </c>
      <c r="G8064">
        <v>12125</v>
      </c>
      <c r="H8064">
        <f>_xlfn.XLOOKUP(FACT_IMPORTS[[#This Row],[hts_6]],DIM_PRODUCTS[hts_6],DIM_PRODUCTS[hts_4],,,)</f>
        <v>8511</v>
      </c>
      <c r="I8064" t="str" cm="1">
        <f t="array" ref="I8064">_xlfn.XLOOKUP(FACT_IMPORTS[[#This Row],[country_name]],DIM_COUNTRY[[#All],[Column2]],DIM_COUNTRY[[#All],[Column3]],,,)</f>
        <v>Major_Non-USMCA_Non-China</v>
      </c>
    </row>
    <row r="8065" spans="1:9" x14ac:dyDescent="0.4">
      <c r="A8065" t="s">
        <v>71</v>
      </c>
      <c r="B8065" s="1">
        <v>45536</v>
      </c>
      <c r="C8065">
        <v>851130</v>
      </c>
      <c r="D8065" t="s">
        <v>176</v>
      </c>
      <c r="E8065">
        <v>84885</v>
      </c>
      <c r="F8065">
        <v>10806</v>
      </c>
      <c r="G8065">
        <v>1658</v>
      </c>
      <c r="H8065">
        <f>_xlfn.XLOOKUP(FACT_IMPORTS[[#This Row],[hts_6]],DIM_PRODUCTS[hts_6],DIM_PRODUCTS[hts_4],,,)</f>
        <v>8511</v>
      </c>
      <c r="I8065" t="str" cm="1">
        <f t="array" ref="I8065">_xlfn.XLOOKUP(FACT_IMPORTS[[#This Row],[country_name]],DIM_COUNTRY[[#All],[Column2]],DIM_COUNTRY[[#All],[Column3]],,,)</f>
        <v>Major_Non-USMCA_Non-China</v>
      </c>
    </row>
    <row r="8066" spans="1:9" x14ac:dyDescent="0.4">
      <c r="A8066" t="s">
        <v>71</v>
      </c>
      <c r="B8066" s="1">
        <v>45536</v>
      </c>
      <c r="C8066">
        <v>851140</v>
      </c>
      <c r="D8066" t="s">
        <v>176</v>
      </c>
      <c r="E8066">
        <v>793297</v>
      </c>
      <c r="F8066">
        <v>14704</v>
      </c>
      <c r="G8066">
        <v>1493</v>
      </c>
      <c r="H8066">
        <f>_xlfn.XLOOKUP(FACT_IMPORTS[[#This Row],[hts_6]],DIM_PRODUCTS[hts_6],DIM_PRODUCTS[hts_4],,,)</f>
        <v>8511</v>
      </c>
      <c r="I8066" t="str" cm="1">
        <f t="array" ref="I8066">_xlfn.XLOOKUP(FACT_IMPORTS[[#This Row],[country_name]],DIM_COUNTRY[[#All],[Column2]],DIM_COUNTRY[[#All],[Column3]],,,)</f>
        <v>Major_Non-USMCA_Non-China</v>
      </c>
    </row>
    <row r="8067" spans="1:9" x14ac:dyDescent="0.4">
      <c r="A8067" t="s">
        <v>71</v>
      </c>
      <c r="B8067" s="1">
        <v>45536</v>
      </c>
      <c r="C8067">
        <v>851150</v>
      </c>
      <c r="D8067" t="s">
        <v>176</v>
      </c>
      <c r="E8067">
        <v>46918</v>
      </c>
      <c r="F8067">
        <v>83</v>
      </c>
      <c r="G8067">
        <v>1001</v>
      </c>
      <c r="H8067">
        <f>_xlfn.XLOOKUP(FACT_IMPORTS[[#This Row],[hts_6]],DIM_PRODUCTS[hts_6],DIM_PRODUCTS[hts_4],,,)</f>
        <v>8511</v>
      </c>
      <c r="I8067" t="str" cm="1">
        <f t="array" ref="I8067">_xlfn.XLOOKUP(FACT_IMPORTS[[#This Row],[country_name]],DIM_COUNTRY[[#All],[Column2]],DIM_COUNTRY[[#All],[Column3]],,,)</f>
        <v>Major_Non-USMCA_Non-China</v>
      </c>
    </row>
    <row r="8068" spans="1:9" x14ac:dyDescent="0.4">
      <c r="A8068" t="s">
        <v>71</v>
      </c>
      <c r="B8068" s="1">
        <v>45536</v>
      </c>
      <c r="C8068">
        <v>851180</v>
      </c>
      <c r="D8068" t="s">
        <v>176</v>
      </c>
      <c r="E8068">
        <v>0</v>
      </c>
      <c r="F8068">
        <v>0</v>
      </c>
      <c r="G8068">
        <v>0</v>
      </c>
      <c r="H8068">
        <f>_xlfn.XLOOKUP(FACT_IMPORTS[[#This Row],[hts_6]],DIM_PRODUCTS[hts_6],DIM_PRODUCTS[hts_4],,,)</f>
        <v>8511</v>
      </c>
      <c r="I8068" t="str" cm="1">
        <f t="array" ref="I8068">_xlfn.XLOOKUP(FACT_IMPORTS[[#This Row],[country_name]],DIM_COUNTRY[[#All],[Column2]],DIM_COUNTRY[[#All],[Column3]],,,)</f>
        <v>Major_Non-USMCA_Non-China</v>
      </c>
    </row>
    <row r="8069" spans="1:9" x14ac:dyDescent="0.4">
      <c r="A8069" t="s">
        <v>71</v>
      </c>
      <c r="B8069" s="1">
        <v>45536</v>
      </c>
      <c r="C8069">
        <v>851190</v>
      </c>
      <c r="D8069" t="s">
        <v>176</v>
      </c>
      <c r="E8069">
        <v>82036</v>
      </c>
      <c r="F8069">
        <v>1681</v>
      </c>
      <c r="G8069">
        <v>6535</v>
      </c>
      <c r="H8069">
        <f>_xlfn.XLOOKUP(FACT_IMPORTS[[#This Row],[hts_6]],DIM_PRODUCTS[hts_6],DIM_PRODUCTS[hts_4],,,)</f>
        <v>8511</v>
      </c>
      <c r="I8069" t="str" cm="1">
        <f t="array" ref="I8069">_xlfn.XLOOKUP(FACT_IMPORTS[[#This Row],[country_name]],DIM_COUNTRY[[#All],[Column2]],DIM_COUNTRY[[#All],[Column3]],,,)</f>
        <v>Major_Non-USMCA_Non-China</v>
      </c>
    </row>
    <row r="8070" spans="1:9" x14ac:dyDescent="0.4">
      <c r="A8070" t="s">
        <v>71</v>
      </c>
      <c r="B8070" s="1">
        <v>45536</v>
      </c>
      <c r="C8070">
        <v>851220</v>
      </c>
      <c r="D8070" t="s">
        <v>176</v>
      </c>
      <c r="E8070">
        <v>3787</v>
      </c>
      <c r="F8070">
        <v>7</v>
      </c>
      <c r="G8070">
        <v>80</v>
      </c>
      <c r="H8070">
        <f>_xlfn.XLOOKUP(FACT_IMPORTS[[#This Row],[hts_6]],DIM_PRODUCTS[hts_6],DIM_PRODUCTS[hts_4],,,)</f>
        <v>8512</v>
      </c>
      <c r="I8070" t="str" cm="1">
        <f t="array" ref="I8070">_xlfn.XLOOKUP(FACT_IMPORTS[[#This Row],[country_name]],DIM_COUNTRY[[#All],[Column2]],DIM_COUNTRY[[#All],[Column3]],,,)</f>
        <v>Major_Non-USMCA_Non-China</v>
      </c>
    </row>
    <row r="8071" spans="1:9" x14ac:dyDescent="0.4">
      <c r="A8071" t="s">
        <v>71</v>
      </c>
      <c r="B8071" s="1">
        <v>45536</v>
      </c>
      <c r="C8071">
        <v>851230</v>
      </c>
      <c r="D8071" t="s">
        <v>176</v>
      </c>
      <c r="E8071">
        <v>0</v>
      </c>
      <c r="F8071">
        <v>0</v>
      </c>
      <c r="G8071">
        <v>0</v>
      </c>
      <c r="H8071">
        <f>_xlfn.XLOOKUP(FACT_IMPORTS[[#This Row],[hts_6]],DIM_PRODUCTS[hts_6],DIM_PRODUCTS[hts_4],,,)</f>
        <v>8512</v>
      </c>
      <c r="I8071" t="str" cm="1">
        <f t="array" ref="I8071">_xlfn.XLOOKUP(FACT_IMPORTS[[#This Row],[country_name]],DIM_COUNTRY[[#All],[Column2]],DIM_COUNTRY[[#All],[Column3]],,,)</f>
        <v>Major_Non-USMCA_Non-China</v>
      </c>
    </row>
    <row r="8072" spans="1:9" x14ac:dyDescent="0.4">
      <c r="A8072" t="s">
        <v>71</v>
      </c>
      <c r="B8072" s="1">
        <v>45536</v>
      </c>
      <c r="C8072">
        <v>851290</v>
      </c>
      <c r="D8072" t="s">
        <v>176</v>
      </c>
      <c r="E8072">
        <v>0</v>
      </c>
      <c r="F8072">
        <v>0</v>
      </c>
      <c r="G8072">
        <v>0</v>
      </c>
      <c r="H8072">
        <f>_xlfn.XLOOKUP(FACT_IMPORTS[[#This Row],[hts_6]],DIM_PRODUCTS[hts_6],DIM_PRODUCTS[hts_4],,,)</f>
        <v>8512</v>
      </c>
      <c r="I8072" t="str" cm="1">
        <f t="array" ref="I8072">_xlfn.XLOOKUP(FACT_IMPORTS[[#This Row],[country_name]],DIM_COUNTRY[[#All],[Column2]],DIM_COUNTRY[[#All],[Column3]],,,)</f>
        <v>Major_Non-USMCA_Non-China</v>
      </c>
    </row>
    <row r="8073" spans="1:9" x14ac:dyDescent="0.4">
      <c r="A8073" t="s">
        <v>71</v>
      </c>
      <c r="B8073" s="1">
        <v>45536</v>
      </c>
      <c r="C8073">
        <v>854231</v>
      </c>
      <c r="D8073" t="s">
        <v>176</v>
      </c>
      <c r="E8073">
        <v>79250</v>
      </c>
      <c r="F8073">
        <v>8656</v>
      </c>
      <c r="G8073">
        <v>1029</v>
      </c>
      <c r="H8073">
        <f>_xlfn.XLOOKUP(FACT_IMPORTS[[#This Row],[hts_6]],DIM_PRODUCTS[hts_6],DIM_PRODUCTS[hts_4],,,)</f>
        <v>8542</v>
      </c>
      <c r="I8073" t="str" cm="1">
        <f t="array" ref="I8073">_xlfn.XLOOKUP(FACT_IMPORTS[[#This Row],[country_name]],DIM_COUNTRY[[#All],[Column2]],DIM_COUNTRY[[#All],[Column3]],,,)</f>
        <v>Major_Non-USMCA_Non-China</v>
      </c>
    </row>
    <row r="8074" spans="1:9" x14ac:dyDescent="0.4">
      <c r="A8074" t="s">
        <v>71</v>
      </c>
      <c r="B8074" s="1">
        <v>45536</v>
      </c>
      <c r="C8074">
        <v>854232</v>
      </c>
      <c r="D8074" t="s">
        <v>176</v>
      </c>
      <c r="E8074">
        <v>0</v>
      </c>
      <c r="F8074">
        <v>0</v>
      </c>
      <c r="G8074">
        <v>0</v>
      </c>
      <c r="H8074">
        <f>_xlfn.XLOOKUP(FACT_IMPORTS[[#This Row],[hts_6]],DIM_PRODUCTS[hts_6],DIM_PRODUCTS[hts_4],,,)</f>
        <v>8542</v>
      </c>
      <c r="I8074" t="str" cm="1">
        <f t="array" ref="I8074">_xlfn.XLOOKUP(FACT_IMPORTS[[#This Row],[country_name]],DIM_COUNTRY[[#All],[Column2]],DIM_COUNTRY[[#All],[Column3]],,,)</f>
        <v>Major_Non-USMCA_Non-China</v>
      </c>
    </row>
    <row r="8075" spans="1:9" x14ac:dyDescent="0.4">
      <c r="A8075" t="s">
        <v>71</v>
      </c>
      <c r="B8075" s="1">
        <v>45536</v>
      </c>
      <c r="C8075">
        <v>854239</v>
      </c>
      <c r="D8075" t="s">
        <v>176</v>
      </c>
      <c r="E8075">
        <v>0</v>
      </c>
      <c r="F8075">
        <v>0</v>
      </c>
      <c r="G8075">
        <v>0</v>
      </c>
      <c r="H8075">
        <f>_xlfn.XLOOKUP(FACT_IMPORTS[[#This Row],[hts_6]],DIM_PRODUCTS[hts_6],DIM_PRODUCTS[hts_4],,,)</f>
        <v>8542</v>
      </c>
      <c r="I8075" t="str" cm="1">
        <f t="array" ref="I8075">_xlfn.XLOOKUP(FACT_IMPORTS[[#This Row],[country_name]],DIM_COUNTRY[[#All],[Column2]],DIM_COUNTRY[[#All],[Column3]],,,)</f>
        <v>Major_Non-USMCA_Non-China</v>
      </c>
    </row>
    <row r="8076" spans="1:9" x14ac:dyDescent="0.4">
      <c r="A8076" t="s">
        <v>71</v>
      </c>
      <c r="B8076" s="1">
        <v>45536</v>
      </c>
      <c r="C8076">
        <v>854290</v>
      </c>
      <c r="D8076" t="s">
        <v>176</v>
      </c>
      <c r="E8076">
        <v>0</v>
      </c>
      <c r="F8076">
        <v>0</v>
      </c>
      <c r="G8076">
        <v>0</v>
      </c>
      <c r="H8076">
        <f>_xlfn.XLOOKUP(FACT_IMPORTS[[#This Row],[hts_6]],DIM_PRODUCTS[hts_6],DIM_PRODUCTS[hts_4],,,)</f>
        <v>8542</v>
      </c>
      <c r="I8076" t="str" cm="1">
        <f t="array" ref="I8076">_xlfn.XLOOKUP(FACT_IMPORTS[[#This Row],[country_name]],DIM_COUNTRY[[#All],[Column2]],DIM_COUNTRY[[#All],[Column3]],,,)</f>
        <v>Major_Non-USMCA_Non-China</v>
      </c>
    </row>
    <row r="8077" spans="1:9" x14ac:dyDescent="0.4">
      <c r="A8077" t="s">
        <v>71</v>
      </c>
      <c r="B8077" s="1">
        <v>45536</v>
      </c>
      <c r="C8077">
        <v>854430</v>
      </c>
      <c r="D8077" t="s">
        <v>176</v>
      </c>
      <c r="E8077">
        <v>0</v>
      </c>
      <c r="F8077">
        <v>0</v>
      </c>
      <c r="G8077">
        <v>0</v>
      </c>
      <c r="H8077">
        <f>_xlfn.XLOOKUP(FACT_IMPORTS[[#This Row],[hts_6]],DIM_PRODUCTS[hts_6],DIM_PRODUCTS[hts_4],,,)</f>
        <v>8544</v>
      </c>
      <c r="I8077" t="str" cm="1">
        <f t="array" ref="I8077">_xlfn.XLOOKUP(FACT_IMPORTS[[#This Row],[country_name]],DIM_COUNTRY[[#All],[Column2]],DIM_COUNTRY[[#All],[Column3]],,,)</f>
        <v>Major_Non-USMCA_Non-China</v>
      </c>
    </row>
    <row r="8078" spans="1:9" x14ac:dyDescent="0.4">
      <c r="A8078" t="s">
        <v>71</v>
      </c>
      <c r="B8078" s="1">
        <v>45536</v>
      </c>
      <c r="C8078">
        <v>870790</v>
      </c>
      <c r="D8078" t="s">
        <v>176</v>
      </c>
      <c r="E8078">
        <v>0</v>
      </c>
      <c r="F8078">
        <v>0</v>
      </c>
      <c r="G8078">
        <v>0</v>
      </c>
      <c r="H8078">
        <f>_xlfn.XLOOKUP(FACT_IMPORTS[[#This Row],[hts_6]],DIM_PRODUCTS[hts_6],DIM_PRODUCTS[hts_4],,,)</f>
        <v>8707</v>
      </c>
      <c r="I8078" t="str" cm="1">
        <f t="array" ref="I8078">_xlfn.XLOOKUP(FACT_IMPORTS[[#This Row],[country_name]],DIM_COUNTRY[[#All],[Column2]],DIM_COUNTRY[[#All],[Column3]],,,)</f>
        <v>Major_Non-USMCA_Non-China</v>
      </c>
    </row>
    <row r="8079" spans="1:9" x14ac:dyDescent="0.4">
      <c r="A8079" t="s">
        <v>71</v>
      </c>
      <c r="B8079" s="1">
        <v>45536</v>
      </c>
      <c r="C8079">
        <v>870810</v>
      </c>
      <c r="D8079" t="s">
        <v>176</v>
      </c>
      <c r="E8079">
        <v>2092</v>
      </c>
      <c r="F8079">
        <v>18</v>
      </c>
      <c r="G8079">
        <v>0</v>
      </c>
      <c r="H8079">
        <f>_xlfn.XLOOKUP(FACT_IMPORTS[[#This Row],[hts_6]],DIM_PRODUCTS[hts_6],DIM_PRODUCTS[hts_4],,,)</f>
        <v>8708</v>
      </c>
      <c r="I8079" t="str" cm="1">
        <f t="array" ref="I8079">_xlfn.XLOOKUP(FACT_IMPORTS[[#This Row],[country_name]],DIM_COUNTRY[[#All],[Column2]],DIM_COUNTRY[[#All],[Column3]],,,)</f>
        <v>Major_Non-USMCA_Non-China</v>
      </c>
    </row>
    <row r="8080" spans="1:9" x14ac:dyDescent="0.4">
      <c r="A8080" t="s">
        <v>71</v>
      </c>
      <c r="B8080" s="1">
        <v>45536</v>
      </c>
      <c r="C8080">
        <v>870829</v>
      </c>
      <c r="D8080" t="s">
        <v>176</v>
      </c>
      <c r="E8080">
        <v>2863213</v>
      </c>
      <c r="F8080">
        <v>251894</v>
      </c>
      <c r="G8080">
        <v>38084</v>
      </c>
      <c r="H8080">
        <f>_xlfn.XLOOKUP(FACT_IMPORTS[[#This Row],[hts_6]],DIM_PRODUCTS[hts_6],DIM_PRODUCTS[hts_4],,,)</f>
        <v>8708</v>
      </c>
      <c r="I8080" t="str" cm="1">
        <f t="array" ref="I8080">_xlfn.XLOOKUP(FACT_IMPORTS[[#This Row],[country_name]],DIM_COUNTRY[[#All],[Column2]],DIM_COUNTRY[[#All],[Column3]],,,)</f>
        <v>Major_Non-USMCA_Non-China</v>
      </c>
    </row>
    <row r="8081" spans="1:9" x14ac:dyDescent="0.4">
      <c r="A8081" t="s">
        <v>71</v>
      </c>
      <c r="B8081" s="1">
        <v>45536</v>
      </c>
      <c r="C8081">
        <v>870830</v>
      </c>
      <c r="D8081" t="s">
        <v>176</v>
      </c>
      <c r="E8081">
        <v>1384556</v>
      </c>
      <c r="F8081">
        <v>172878</v>
      </c>
      <c r="G8081">
        <v>14155</v>
      </c>
      <c r="H8081">
        <f>_xlfn.XLOOKUP(FACT_IMPORTS[[#This Row],[hts_6]],DIM_PRODUCTS[hts_6],DIM_PRODUCTS[hts_4],,,)</f>
        <v>8708</v>
      </c>
      <c r="I8081" t="str" cm="1">
        <f t="array" ref="I8081">_xlfn.XLOOKUP(FACT_IMPORTS[[#This Row],[country_name]],DIM_COUNTRY[[#All],[Column2]],DIM_COUNTRY[[#All],[Column3]],,,)</f>
        <v>Major_Non-USMCA_Non-China</v>
      </c>
    </row>
    <row r="8082" spans="1:9" x14ac:dyDescent="0.4">
      <c r="A8082" t="s">
        <v>71</v>
      </c>
      <c r="B8082" s="1">
        <v>45536</v>
      </c>
      <c r="C8082">
        <v>870840</v>
      </c>
      <c r="D8082" t="s">
        <v>176</v>
      </c>
      <c r="E8082">
        <v>1875697</v>
      </c>
      <c r="F8082">
        <v>14352</v>
      </c>
      <c r="G8082">
        <v>198208</v>
      </c>
      <c r="H8082">
        <f>_xlfn.XLOOKUP(FACT_IMPORTS[[#This Row],[hts_6]],DIM_PRODUCTS[hts_6],DIM_PRODUCTS[hts_4],,,)</f>
        <v>8708</v>
      </c>
      <c r="I8082" t="str" cm="1">
        <f t="array" ref="I8082">_xlfn.XLOOKUP(FACT_IMPORTS[[#This Row],[country_name]],DIM_COUNTRY[[#All],[Column2]],DIM_COUNTRY[[#All],[Column3]],,,)</f>
        <v>Major_Non-USMCA_Non-China</v>
      </c>
    </row>
    <row r="8083" spans="1:9" x14ac:dyDescent="0.4">
      <c r="A8083" t="s">
        <v>71</v>
      </c>
      <c r="B8083" s="1">
        <v>45536</v>
      </c>
      <c r="C8083">
        <v>870850</v>
      </c>
      <c r="D8083" t="s">
        <v>176</v>
      </c>
      <c r="E8083">
        <v>19127</v>
      </c>
      <c r="F8083">
        <v>2</v>
      </c>
      <c r="G8083">
        <v>456</v>
      </c>
      <c r="H8083">
        <f>_xlfn.XLOOKUP(FACT_IMPORTS[[#This Row],[hts_6]],DIM_PRODUCTS[hts_6],DIM_PRODUCTS[hts_4],,,)</f>
        <v>8708</v>
      </c>
      <c r="I8083" t="str" cm="1">
        <f t="array" ref="I8083">_xlfn.XLOOKUP(FACT_IMPORTS[[#This Row],[country_name]],DIM_COUNTRY[[#All],[Column2]],DIM_COUNTRY[[#All],[Column3]],,,)</f>
        <v>Major_Non-USMCA_Non-China</v>
      </c>
    </row>
    <row r="8084" spans="1:9" x14ac:dyDescent="0.4">
      <c r="A8084" t="s">
        <v>71</v>
      </c>
      <c r="B8084" s="1">
        <v>45536</v>
      </c>
      <c r="C8084">
        <v>870870</v>
      </c>
      <c r="D8084" t="s">
        <v>176</v>
      </c>
      <c r="E8084">
        <v>5216</v>
      </c>
      <c r="F8084">
        <v>163</v>
      </c>
      <c r="G8084">
        <v>19</v>
      </c>
      <c r="H8084">
        <f>_xlfn.XLOOKUP(FACT_IMPORTS[[#This Row],[hts_6]],DIM_PRODUCTS[hts_6],DIM_PRODUCTS[hts_4],,,)</f>
        <v>8708</v>
      </c>
      <c r="I8084" t="str" cm="1">
        <f t="array" ref="I8084">_xlfn.XLOOKUP(FACT_IMPORTS[[#This Row],[country_name]],DIM_COUNTRY[[#All],[Column2]],DIM_COUNTRY[[#All],[Column3]],,,)</f>
        <v>Major_Non-USMCA_Non-China</v>
      </c>
    </row>
    <row r="8085" spans="1:9" x14ac:dyDescent="0.4">
      <c r="A8085" t="s">
        <v>71</v>
      </c>
      <c r="B8085" s="1">
        <v>45536</v>
      </c>
      <c r="C8085">
        <v>870880</v>
      </c>
      <c r="D8085" t="s">
        <v>176</v>
      </c>
      <c r="E8085">
        <v>131815</v>
      </c>
      <c r="F8085">
        <v>9366</v>
      </c>
      <c r="G8085">
        <v>14011</v>
      </c>
      <c r="H8085">
        <f>_xlfn.XLOOKUP(FACT_IMPORTS[[#This Row],[hts_6]],DIM_PRODUCTS[hts_6],DIM_PRODUCTS[hts_4],,,)</f>
        <v>8708</v>
      </c>
      <c r="I8085" t="str" cm="1">
        <f t="array" ref="I8085">_xlfn.XLOOKUP(FACT_IMPORTS[[#This Row],[country_name]],DIM_COUNTRY[[#All],[Column2]],DIM_COUNTRY[[#All],[Column3]],,,)</f>
        <v>Major_Non-USMCA_Non-China</v>
      </c>
    </row>
    <row r="8086" spans="1:9" x14ac:dyDescent="0.4">
      <c r="A8086" t="s">
        <v>71</v>
      </c>
      <c r="B8086" s="1">
        <v>45536</v>
      </c>
      <c r="C8086">
        <v>870891</v>
      </c>
      <c r="D8086" t="s">
        <v>176</v>
      </c>
      <c r="E8086">
        <v>69208</v>
      </c>
      <c r="F8086">
        <v>116902</v>
      </c>
      <c r="G8086">
        <v>1218</v>
      </c>
      <c r="H8086">
        <f>_xlfn.XLOOKUP(FACT_IMPORTS[[#This Row],[hts_6]],DIM_PRODUCTS[hts_6],DIM_PRODUCTS[hts_4],,,)</f>
        <v>8708</v>
      </c>
      <c r="I8086" t="str" cm="1">
        <f t="array" ref="I8086">_xlfn.XLOOKUP(FACT_IMPORTS[[#This Row],[country_name]],DIM_COUNTRY[[#All],[Column2]],DIM_COUNTRY[[#All],[Column3]],,,)</f>
        <v>Major_Non-USMCA_Non-China</v>
      </c>
    </row>
    <row r="8087" spans="1:9" x14ac:dyDescent="0.4">
      <c r="A8087" t="s">
        <v>71</v>
      </c>
      <c r="B8087" s="1">
        <v>45536</v>
      </c>
      <c r="C8087">
        <v>870893</v>
      </c>
      <c r="D8087" t="s">
        <v>176</v>
      </c>
      <c r="E8087">
        <v>1789262</v>
      </c>
      <c r="F8087">
        <v>563831</v>
      </c>
      <c r="G8087">
        <v>27764</v>
      </c>
      <c r="H8087">
        <f>_xlfn.XLOOKUP(FACT_IMPORTS[[#This Row],[hts_6]],DIM_PRODUCTS[hts_6],DIM_PRODUCTS[hts_4],,,)</f>
        <v>8708</v>
      </c>
      <c r="I8087" t="str" cm="1">
        <f t="array" ref="I8087">_xlfn.XLOOKUP(FACT_IMPORTS[[#This Row],[country_name]],DIM_COUNTRY[[#All],[Column2]],DIM_COUNTRY[[#All],[Column3]],,,)</f>
        <v>Major_Non-USMCA_Non-China</v>
      </c>
    </row>
    <row r="8088" spans="1:9" x14ac:dyDescent="0.4">
      <c r="A8088" t="s">
        <v>71</v>
      </c>
      <c r="B8088" s="1">
        <v>45536</v>
      </c>
      <c r="C8088">
        <v>870894</v>
      </c>
      <c r="D8088" t="s">
        <v>176</v>
      </c>
      <c r="E8088">
        <v>119305</v>
      </c>
      <c r="F8088">
        <v>8141</v>
      </c>
      <c r="G8088">
        <v>723</v>
      </c>
      <c r="H8088">
        <f>_xlfn.XLOOKUP(FACT_IMPORTS[[#This Row],[hts_6]],DIM_PRODUCTS[hts_6],DIM_PRODUCTS[hts_4],,,)</f>
        <v>8708</v>
      </c>
      <c r="I8088" t="str" cm="1">
        <f t="array" ref="I8088">_xlfn.XLOOKUP(FACT_IMPORTS[[#This Row],[country_name]],DIM_COUNTRY[[#All],[Column2]],DIM_COUNTRY[[#All],[Column3]],,,)</f>
        <v>Major_Non-USMCA_Non-China</v>
      </c>
    </row>
    <row r="8089" spans="1:9" x14ac:dyDescent="0.4">
      <c r="A8089" t="s">
        <v>71</v>
      </c>
      <c r="B8089" s="1">
        <v>45536</v>
      </c>
      <c r="C8089">
        <v>870895</v>
      </c>
      <c r="D8089" t="s">
        <v>176</v>
      </c>
      <c r="E8089">
        <v>5315</v>
      </c>
      <c r="F8089">
        <v>586</v>
      </c>
      <c r="G8089">
        <v>427</v>
      </c>
      <c r="H8089">
        <f>_xlfn.XLOOKUP(FACT_IMPORTS[[#This Row],[hts_6]],DIM_PRODUCTS[hts_6],DIM_PRODUCTS[hts_4],,,)</f>
        <v>8708</v>
      </c>
      <c r="I8089" t="str" cm="1">
        <f t="array" ref="I8089">_xlfn.XLOOKUP(FACT_IMPORTS[[#This Row],[country_name]],DIM_COUNTRY[[#All],[Column2]],DIM_COUNTRY[[#All],[Column3]],,,)</f>
        <v>Major_Non-USMCA_Non-China</v>
      </c>
    </row>
    <row r="8090" spans="1:9" x14ac:dyDescent="0.4">
      <c r="A8090" t="s">
        <v>71</v>
      </c>
      <c r="B8090" s="1">
        <v>45536</v>
      </c>
      <c r="C8090">
        <v>870899</v>
      </c>
      <c r="D8090" t="s">
        <v>176</v>
      </c>
      <c r="E8090">
        <v>1878650</v>
      </c>
      <c r="F8090">
        <v>1518839</v>
      </c>
      <c r="G8090">
        <v>40048</v>
      </c>
      <c r="H8090">
        <f>_xlfn.XLOOKUP(FACT_IMPORTS[[#This Row],[hts_6]],DIM_PRODUCTS[hts_6],DIM_PRODUCTS[hts_4],,,)</f>
        <v>8708</v>
      </c>
      <c r="I8090" t="str" cm="1">
        <f t="array" ref="I8090">_xlfn.XLOOKUP(FACT_IMPORTS[[#This Row],[country_name]],DIM_COUNTRY[[#All],[Column2]],DIM_COUNTRY[[#All],[Column3]],,,)</f>
        <v>Major_Non-USMCA_Non-China</v>
      </c>
    </row>
    <row r="8091" spans="1:9" x14ac:dyDescent="0.4">
      <c r="A8091" t="s">
        <v>71</v>
      </c>
      <c r="B8091" s="1">
        <v>45536</v>
      </c>
      <c r="C8091">
        <v>940120</v>
      </c>
      <c r="D8091" t="s">
        <v>176</v>
      </c>
      <c r="E8091">
        <v>0</v>
      </c>
      <c r="F8091">
        <v>0</v>
      </c>
      <c r="G8091">
        <v>0</v>
      </c>
      <c r="H8091">
        <f>_xlfn.XLOOKUP(FACT_IMPORTS[[#This Row],[hts_6]],DIM_PRODUCTS[hts_6],DIM_PRODUCTS[hts_4],,,)</f>
        <v>9401</v>
      </c>
      <c r="I8091" t="str" cm="1">
        <f t="array" ref="I8091">_xlfn.XLOOKUP(FACT_IMPORTS[[#This Row],[country_name]],DIM_COUNTRY[[#All],[Column2]],DIM_COUNTRY[[#All],[Column3]],,,)</f>
        <v>Major_Non-USMCA_Non-China</v>
      </c>
    </row>
    <row r="8092" spans="1:9" x14ac:dyDescent="0.4">
      <c r="A8092" t="s">
        <v>71</v>
      </c>
      <c r="B8092" s="1">
        <v>45566</v>
      </c>
      <c r="C8092">
        <v>392630</v>
      </c>
      <c r="D8092" t="s">
        <v>176</v>
      </c>
      <c r="E8092">
        <v>1559</v>
      </c>
      <c r="F8092">
        <v>11</v>
      </c>
      <c r="G8092">
        <v>43</v>
      </c>
      <c r="H8092">
        <f>_xlfn.XLOOKUP(FACT_IMPORTS[[#This Row],[hts_6]],DIM_PRODUCTS[hts_6],DIM_PRODUCTS[hts_4],,,)</f>
        <v>3926</v>
      </c>
      <c r="I8092" t="str" cm="1">
        <f t="array" ref="I8092">_xlfn.XLOOKUP(FACT_IMPORTS[[#This Row],[country_name]],DIM_COUNTRY[[#All],[Column2]],DIM_COUNTRY[[#All],[Column3]],,,)</f>
        <v>Major_Non-USMCA_Non-China</v>
      </c>
    </row>
    <row r="8093" spans="1:9" x14ac:dyDescent="0.4">
      <c r="A8093" t="s">
        <v>71</v>
      </c>
      <c r="B8093" s="1">
        <v>45566</v>
      </c>
      <c r="C8093">
        <v>401110</v>
      </c>
      <c r="D8093" t="s">
        <v>176</v>
      </c>
      <c r="E8093">
        <v>53825</v>
      </c>
      <c r="F8093">
        <v>420</v>
      </c>
      <c r="G8093">
        <v>1444</v>
      </c>
      <c r="H8093">
        <f>_xlfn.XLOOKUP(FACT_IMPORTS[[#This Row],[hts_6]],DIM_PRODUCTS[hts_6],DIM_PRODUCTS[hts_4],,,)</f>
        <v>4011</v>
      </c>
      <c r="I8093" t="str" cm="1">
        <f t="array" ref="I8093">_xlfn.XLOOKUP(FACT_IMPORTS[[#This Row],[country_name]],DIM_COUNTRY[[#All],[Column2]],DIM_COUNTRY[[#All],[Column3]],,,)</f>
        <v>Major_Non-USMCA_Non-China</v>
      </c>
    </row>
    <row r="8094" spans="1:9" x14ac:dyDescent="0.4">
      <c r="A8094" t="s">
        <v>71</v>
      </c>
      <c r="B8094" s="1">
        <v>45566</v>
      </c>
      <c r="C8094">
        <v>401120</v>
      </c>
      <c r="D8094" t="s">
        <v>176</v>
      </c>
      <c r="E8094">
        <v>135643</v>
      </c>
      <c r="F8094">
        <v>800</v>
      </c>
      <c r="G8094">
        <v>8174</v>
      </c>
      <c r="H8094">
        <f>_xlfn.XLOOKUP(FACT_IMPORTS[[#This Row],[hts_6]],DIM_PRODUCTS[hts_6],DIM_PRODUCTS[hts_4],,,)</f>
        <v>4011</v>
      </c>
      <c r="I8094" t="str" cm="1">
        <f t="array" ref="I8094">_xlfn.XLOOKUP(FACT_IMPORTS[[#This Row],[country_name]],DIM_COUNTRY[[#All],[Column2]],DIM_COUNTRY[[#All],[Column3]],,,)</f>
        <v>Major_Non-USMCA_Non-China</v>
      </c>
    </row>
    <row r="8095" spans="1:9" x14ac:dyDescent="0.4">
      <c r="A8095" t="s">
        <v>71</v>
      </c>
      <c r="B8095" s="1">
        <v>45566</v>
      </c>
      <c r="C8095">
        <v>700711</v>
      </c>
      <c r="D8095" t="s">
        <v>176</v>
      </c>
      <c r="E8095">
        <v>0</v>
      </c>
      <c r="F8095">
        <v>0</v>
      </c>
      <c r="G8095">
        <v>0</v>
      </c>
      <c r="H8095">
        <f>_xlfn.XLOOKUP(FACT_IMPORTS[[#This Row],[hts_6]],DIM_PRODUCTS[hts_6],DIM_PRODUCTS[hts_4],,,)</f>
        <v>7007</v>
      </c>
      <c r="I8095" t="str" cm="1">
        <f t="array" ref="I8095">_xlfn.XLOOKUP(FACT_IMPORTS[[#This Row],[country_name]],DIM_COUNTRY[[#All],[Column2]],DIM_COUNTRY[[#All],[Column3]],,,)</f>
        <v>Major_Non-USMCA_Non-China</v>
      </c>
    </row>
    <row r="8096" spans="1:9" x14ac:dyDescent="0.4">
      <c r="A8096" t="s">
        <v>71</v>
      </c>
      <c r="B8096" s="1">
        <v>45566</v>
      </c>
      <c r="C8096">
        <v>700721</v>
      </c>
      <c r="D8096" t="s">
        <v>176</v>
      </c>
      <c r="E8096">
        <v>0</v>
      </c>
      <c r="F8096">
        <v>0</v>
      </c>
      <c r="G8096">
        <v>0</v>
      </c>
      <c r="H8096">
        <f>_xlfn.XLOOKUP(FACT_IMPORTS[[#This Row],[hts_6]],DIM_PRODUCTS[hts_6],DIM_PRODUCTS[hts_4],,,)</f>
        <v>7007</v>
      </c>
      <c r="I8096" t="str" cm="1">
        <f t="array" ref="I8096">_xlfn.XLOOKUP(FACT_IMPORTS[[#This Row],[country_name]],DIM_COUNTRY[[#All],[Column2]],DIM_COUNTRY[[#All],[Column3]],,,)</f>
        <v>Major_Non-USMCA_Non-China</v>
      </c>
    </row>
    <row r="8097" spans="1:9" x14ac:dyDescent="0.4">
      <c r="A8097" t="s">
        <v>71</v>
      </c>
      <c r="B8097" s="1">
        <v>45566</v>
      </c>
      <c r="C8097">
        <v>700910</v>
      </c>
      <c r="D8097" t="s">
        <v>176</v>
      </c>
      <c r="E8097">
        <v>0</v>
      </c>
      <c r="F8097">
        <v>0</v>
      </c>
      <c r="G8097">
        <v>0</v>
      </c>
      <c r="H8097">
        <f>_xlfn.XLOOKUP(FACT_IMPORTS[[#This Row],[hts_6]],DIM_PRODUCTS[hts_6],DIM_PRODUCTS[hts_4],,,)</f>
        <v>7009</v>
      </c>
      <c r="I8097" t="str" cm="1">
        <f t="array" ref="I8097">_xlfn.XLOOKUP(FACT_IMPORTS[[#This Row],[country_name]],DIM_COUNTRY[[#All],[Column2]],DIM_COUNTRY[[#All],[Column3]],,,)</f>
        <v>Major_Non-USMCA_Non-China</v>
      </c>
    </row>
    <row r="8098" spans="1:9" x14ac:dyDescent="0.4">
      <c r="A8098" t="s">
        <v>71</v>
      </c>
      <c r="B8098" s="1">
        <v>45566</v>
      </c>
      <c r="C8098">
        <v>732010</v>
      </c>
      <c r="D8098" t="s">
        <v>176</v>
      </c>
      <c r="E8098">
        <v>0</v>
      </c>
      <c r="F8098">
        <v>0</v>
      </c>
      <c r="G8098">
        <v>0</v>
      </c>
      <c r="H8098">
        <f>_xlfn.XLOOKUP(FACT_IMPORTS[[#This Row],[hts_6]],DIM_PRODUCTS[hts_6],DIM_PRODUCTS[hts_4],,,)</f>
        <v>7320</v>
      </c>
      <c r="I8098" t="str" cm="1">
        <f t="array" ref="I8098">_xlfn.XLOOKUP(FACT_IMPORTS[[#This Row],[country_name]],DIM_COUNTRY[[#All],[Column2]],DIM_COUNTRY[[#All],[Column3]],,,)</f>
        <v>Major_Non-USMCA_Non-China</v>
      </c>
    </row>
    <row r="8099" spans="1:9" x14ac:dyDescent="0.4">
      <c r="A8099" t="s">
        <v>71</v>
      </c>
      <c r="B8099" s="1">
        <v>45566</v>
      </c>
      <c r="C8099">
        <v>830230</v>
      </c>
      <c r="D8099" t="s">
        <v>176</v>
      </c>
      <c r="E8099">
        <v>94845</v>
      </c>
      <c r="F8099">
        <v>16810</v>
      </c>
      <c r="G8099">
        <v>1233</v>
      </c>
      <c r="H8099">
        <f>_xlfn.XLOOKUP(FACT_IMPORTS[[#This Row],[hts_6]],DIM_PRODUCTS[hts_6],DIM_PRODUCTS[hts_4],,,)</f>
        <v>8302</v>
      </c>
      <c r="I8099" t="str" cm="1">
        <f t="array" ref="I8099">_xlfn.XLOOKUP(FACT_IMPORTS[[#This Row],[country_name]],DIM_COUNTRY[[#All],[Column2]],DIM_COUNTRY[[#All],[Column3]],,,)</f>
        <v>Major_Non-USMCA_Non-China</v>
      </c>
    </row>
    <row r="8100" spans="1:9" x14ac:dyDescent="0.4">
      <c r="A8100" t="s">
        <v>71</v>
      </c>
      <c r="B8100" s="1">
        <v>45566</v>
      </c>
      <c r="C8100">
        <v>840734</v>
      </c>
      <c r="D8100" t="s">
        <v>176</v>
      </c>
      <c r="E8100">
        <v>69693</v>
      </c>
      <c r="F8100">
        <v>8</v>
      </c>
      <c r="G8100">
        <v>7566</v>
      </c>
      <c r="H8100">
        <f>_xlfn.XLOOKUP(FACT_IMPORTS[[#This Row],[hts_6]],DIM_PRODUCTS[hts_6],DIM_PRODUCTS[hts_4],,,)</f>
        <v>8407</v>
      </c>
      <c r="I8100" t="str" cm="1">
        <f t="array" ref="I8100">_xlfn.XLOOKUP(FACT_IMPORTS[[#This Row],[country_name]],DIM_COUNTRY[[#All],[Column2]],DIM_COUNTRY[[#All],[Column3]],,,)</f>
        <v>Major_Non-USMCA_Non-China</v>
      </c>
    </row>
    <row r="8101" spans="1:9" x14ac:dyDescent="0.4">
      <c r="A8101" t="s">
        <v>71</v>
      </c>
      <c r="B8101" s="1">
        <v>45566</v>
      </c>
      <c r="C8101">
        <v>840790</v>
      </c>
      <c r="D8101" t="s">
        <v>176</v>
      </c>
      <c r="E8101">
        <v>29973</v>
      </c>
      <c r="F8101">
        <v>10</v>
      </c>
      <c r="G8101">
        <v>181</v>
      </c>
      <c r="H8101">
        <f>_xlfn.XLOOKUP(FACT_IMPORTS[[#This Row],[hts_6]],DIM_PRODUCTS[hts_6],DIM_PRODUCTS[hts_4],,,)</f>
        <v>8407</v>
      </c>
      <c r="I8101" t="str" cm="1">
        <f t="array" ref="I8101">_xlfn.XLOOKUP(FACT_IMPORTS[[#This Row],[country_name]],DIM_COUNTRY[[#All],[Column2]],DIM_COUNTRY[[#All],[Column3]],,,)</f>
        <v>Major_Non-USMCA_Non-China</v>
      </c>
    </row>
    <row r="8102" spans="1:9" x14ac:dyDescent="0.4">
      <c r="A8102" t="s">
        <v>71</v>
      </c>
      <c r="B8102" s="1">
        <v>45566</v>
      </c>
      <c r="C8102">
        <v>840820</v>
      </c>
      <c r="D8102" t="s">
        <v>176</v>
      </c>
      <c r="E8102">
        <v>55000</v>
      </c>
      <c r="F8102">
        <v>1</v>
      </c>
      <c r="G8102">
        <v>84</v>
      </c>
      <c r="H8102">
        <f>_xlfn.XLOOKUP(FACT_IMPORTS[[#This Row],[hts_6]],DIM_PRODUCTS[hts_6],DIM_PRODUCTS[hts_4],,,)</f>
        <v>8408</v>
      </c>
      <c r="I8102" t="str" cm="1">
        <f t="array" ref="I8102">_xlfn.XLOOKUP(FACT_IMPORTS[[#This Row],[country_name]],DIM_COUNTRY[[#All],[Column2]],DIM_COUNTRY[[#All],[Column3]],,,)</f>
        <v>Major_Non-USMCA_Non-China</v>
      </c>
    </row>
    <row r="8103" spans="1:9" x14ac:dyDescent="0.4">
      <c r="A8103" t="s">
        <v>71</v>
      </c>
      <c r="B8103" s="1">
        <v>45566</v>
      </c>
      <c r="C8103">
        <v>840890</v>
      </c>
      <c r="D8103" t="s">
        <v>176</v>
      </c>
      <c r="E8103">
        <v>303793</v>
      </c>
      <c r="F8103">
        <v>34</v>
      </c>
      <c r="G8103">
        <v>1244</v>
      </c>
      <c r="H8103">
        <f>_xlfn.XLOOKUP(FACT_IMPORTS[[#This Row],[hts_6]],DIM_PRODUCTS[hts_6],DIM_PRODUCTS[hts_4],,,)</f>
        <v>8408</v>
      </c>
      <c r="I8103" t="str" cm="1">
        <f t="array" ref="I8103">_xlfn.XLOOKUP(FACT_IMPORTS[[#This Row],[country_name]],DIM_COUNTRY[[#All],[Column2]],DIM_COUNTRY[[#All],[Column3]],,,)</f>
        <v>Major_Non-USMCA_Non-China</v>
      </c>
    </row>
    <row r="8104" spans="1:9" x14ac:dyDescent="0.4">
      <c r="A8104" t="s">
        <v>71</v>
      </c>
      <c r="B8104" s="1">
        <v>45566</v>
      </c>
      <c r="C8104">
        <v>840991</v>
      </c>
      <c r="D8104" t="s">
        <v>176</v>
      </c>
      <c r="E8104">
        <v>3883401</v>
      </c>
      <c r="F8104">
        <v>255191</v>
      </c>
      <c r="G8104">
        <v>194268</v>
      </c>
      <c r="H8104">
        <f>_xlfn.XLOOKUP(FACT_IMPORTS[[#This Row],[hts_6]],DIM_PRODUCTS[hts_6],DIM_PRODUCTS[hts_4],,,)</f>
        <v>8409</v>
      </c>
      <c r="I8104" t="str" cm="1">
        <f t="array" ref="I8104">_xlfn.XLOOKUP(FACT_IMPORTS[[#This Row],[country_name]],DIM_COUNTRY[[#All],[Column2]],DIM_COUNTRY[[#All],[Column3]],,,)</f>
        <v>Major_Non-USMCA_Non-China</v>
      </c>
    </row>
    <row r="8105" spans="1:9" x14ac:dyDescent="0.4">
      <c r="A8105" t="s">
        <v>71</v>
      </c>
      <c r="B8105" s="1">
        <v>45566</v>
      </c>
      <c r="C8105">
        <v>840999</v>
      </c>
      <c r="D8105" t="s">
        <v>176</v>
      </c>
      <c r="E8105">
        <v>18612</v>
      </c>
      <c r="F8105">
        <v>168</v>
      </c>
      <c r="G8105">
        <v>163</v>
      </c>
      <c r="H8105">
        <f>_xlfn.XLOOKUP(FACT_IMPORTS[[#This Row],[hts_6]],DIM_PRODUCTS[hts_6],DIM_PRODUCTS[hts_4],,,)</f>
        <v>8409</v>
      </c>
      <c r="I8105" t="str" cm="1">
        <f t="array" ref="I8105">_xlfn.XLOOKUP(FACT_IMPORTS[[#This Row],[country_name]],DIM_COUNTRY[[#All],[Column2]],DIM_COUNTRY[[#All],[Column3]],,,)</f>
        <v>Major_Non-USMCA_Non-China</v>
      </c>
    </row>
    <row r="8106" spans="1:9" x14ac:dyDescent="0.4">
      <c r="A8106" t="s">
        <v>71</v>
      </c>
      <c r="B8106" s="1">
        <v>45566</v>
      </c>
      <c r="C8106">
        <v>841330</v>
      </c>
      <c r="D8106" t="s">
        <v>176</v>
      </c>
      <c r="E8106">
        <v>23714</v>
      </c>
      <c r="F8106">
        <v>1266</v>
      </c>
      <c r="G8106">
        <v>595</v>
      </c>
      <c r="H8106">
        <f>_xlfn.XLOOKUP(FACT_IMPORTS[[#This Row],[hts_6]],DIM_PRODUCTS[hts_6],DIM_PRODUCTS[hts_4],,,)</f>
        <v>8413</v>
      </c>
      <c r="I8106" t="str" cm="1">
        <f t="array" ref="I8106">_xlfn.XLOOKUP(FACT_IMPORTS[[#This Row],[country_name]],DIM_COUNTRY[[#All],[Column2]],DIM_COUNTRY[[#All],[Column3]],,,)</f>
        <v>Major_Non-USMCA_Non-China</v>
      </c>
    </row>
    <row r="8107" spans="1:9" x14ac:dyDescent="0.4">
      <c r="A8107" t="s">
        <v>71</v>
      </c>
      <c r="B8107" s="1">
        <v>45566</v>
      </c>
      <c r="C8107">
        <v>841520</v>
      </c>
      <c r="D8107" t="s">
        <v>176</v>
      </c>
      <c r="E8107">
        <v>2760</v>
      </c>
      <c r="F8107">
        <v>1</v>
      </c>
      <c r="G8107">
        <v>3</v>
      </c>
      <c r="H8107">
        <f>_xlfn.XLOOKUP(FACT_IMPORTS[[#This Row],[hts_6]],DIM_PRODUCTS[hts_6],DIM_PRODUCTS[hts_4],,,)</f>
        <v>8415</v>
      </c>
      <c r="I8107" t="str" cm="1">
        <f t="array" ref="I8107">_xlfn.XLOOKUP(FACT_IMPORTS[[#This Row],[country_name]],DIM_COUNTRY[[#All],[Column2]],DIM_COUNTRY[[#All],[Column3]],,,)</f>
        <v>Major_Non-USMCA_Non-China</v>
      </c>
    </row>
    <row r="8108" spans="1:9" x14ac:dyDescent="0.4">
      <c r="A8108" t="s">
        <v>71</v>
      </c>
      <c r="B8108" s="1">
        <v>45566</v>
      </c>
      <c r="C8108">
        <v>842132</v>
      </c>
      <c r="D8108" t="s">
        <v>176</v>
      </c>
      <c r="E8108">
        <v>81641</v>
      </c>
      <c r="F8108">
        <v>18</v>
      </c>
      <c r="G8108">
        <v>420</v>
      </c>
      <c r="H8108">
        <f>_xlfn.XLOOKUP(FACT_IMPORTS[[#This Row],[hts_6]],DIM_PRODUCTS[hts_6],DIM_PRODUCTS[hts_4],,,)</f>
        <v>8421</v>
      </c>
      <c r="I8108" t="str" cm="1">
        <f t="array" ref="I8108">_xlfn.XLOOKUP(FACT_IMPORTS[[#This Row],[country_name]],DIM_COUNTRY[[#All],[Column2]],DIM_COUNTRY[[#All],[Column3]],,,)</f>
        <v>Major_Non-USMCA_Non-China</v>
      </c>
    </row>
    <row r="8109" spans="1:9" x14ac:dyDescent="0.4">
      <c r="A8109" t="s">
        <v>71</v>
      </c>
      <c r="B8109" s="1">
        <v>45566</v>
      </c>
      <c r="C8109">
        <v>848210</v>
      </c>
      <c r="D8109" t="s">
        <v>176</v>
      </c>
      <c r="E8109">
        <v>83435</v>
      </c>
      <c r="F8109">
        <v>22337</v>
      </c>
      <c r="G8109">
        <v>3350</v>
      </c>
      <c r="H8109">
        <f>_xlfn.XLOOKUP(FACT_IMPORTS[[#This Row],[hts_6]],DIM_PRODUCTS[hts_6],DIM_PRODUCTS[hts_4],,,)</f>
        <v>8482</v>
      </c>
      <c r="I8109" t="str" cm="1">
        <f t="array" ref="I8109">_xlfn.XLOOKUP(FACT_IMPORTS[[#This Row],[country_name]],DIM_COUNTRY[[#All],[Column2]],DIM_COUNTRY[[#All],[Column3]],,,)</f>
        <v>Major_Non-USMCA_Non-China</v>
      </c>
    </row>
    <row r="8110" spans="1:9" x14ac:dyDescent="0.4">
      <c r="A8110" t="s">
        <v>71</v>
      </c>
      <c r="B8110" s="1">
        <v>45566</v>
      </c>
      <c r="C8110">
        <v>848220</v>
      </c>
      <c r="D8110" t="s">
        <v>176</v>
      </c>
      <c r="E8110">
        <v>164302</v>
      </c>
      <c r="F8110">
        <v>13907</v>
      </c>
      <c r="G8110">
        <v>1209</v>
      </c>
      <c r="H8110">
        <f>_xlfn.XLOOKUP(FACT_IMPORTS[[#This Row],[hts_6]],DIM_PRODUCTS[hts_6],DIM_PRODUCTS[hts_4],,,)</f>
        <v>8482</v>
      </c>
      <c r="I8110" t="str" cm="1">
        <f t="array" ref="I8110">_xlfn.XLOOKUP(FACT_IMPORTS[[#This Row],[country_name]],DIM_COUNTRY[[#All],[Column2]],DIM_COUNTRY[[#All],[Column3]],,,)</f>
        <v>Major_Non-USMCA_Non-China</v>
      </c>
    </row>
    <row r="8111" spans="1:9" x14ac:dyDescent="0.4">
      <c r="A8111" t="s">
        <v>71</v>
      </c>
      <c r="B8111" s="1">
        <v>45566</v>
      </c>
      <c r="C8111">
        <v>848310</v>
      </c>
      <c r="D8111" t="s">
        <v>176</v>
      </c>
      <c r="E8111">
        <v>357503</v>
      </c>
      <c r="F8111">
        <v>14719</v>
      </c>
      <c r="G8111">
        <v>727</v>
      </c>
      <c r="H8111">
        <f>_xlfn.XLOOKUP(FACT_IMPORTS[[#This Row],[hts_6]],DIM_PRODUCTS[hts_6],DIM_PRODUCTS[hts_4],,,)</f>
        <v>8483</v>
      </c>
      <c r="I8111" t="str" cm="1">
        <f t="array" ref="I8111">_xlfn.XLOOKUP(FACT_IMPORTS[[#This Row],[country_name]],DIM_COUNTRY[[#All],[Column2]],DIM_COUNTRY[[#All],[Column3]],,,)</f>
        <v>Major_Non-USMCA_Non-China</v>
      </c>
    </row>
    <row r="8112" spans="1:9" x14ac:dyDescent="0.4">
      <c r="A8112" t="s">
        <v>71</v>
      </c>
      <c r="B8112" s="1">
        <v>45566</v>
      </c>
      <c r="C8112">
        <v>850131</v>
      </c>
      <c r="D8112" t="s">
        <v>176</v>
      </c>
      <c r="E8112">
        <v>5089360</v>
      </c>
      <c r="F8112">
        <v>156822</v>
      </c>
      <c r="G8112">
        <v>65562</v>
      </c>
      <c r="H8112">
        <f>_xlfn.XLOOKUP(FACT_IMPORTS[[#This Row],[hts_6]],DIM_PRODUCTS[hts_6],DIM_PRODUCTS[hts_4],,,)</f>
        <v>8501</v>
      </c>
      <c r="I8112" t="str" cm="1">
        <f t="array" ref="I8112">_xlfn.XLOOKUP(FACT_IMPORTS[[#This Row],[country_name]],DIM_COUNTRY[[#All],[Column2]],DIM_COUNTRY[[#All],[Column3]],,,)</f>
        <v>Major_Non-USMCA_Non-China</v>
      </c>
    </row>
    <row r="8113" spans="1:9" x14ac:dyDescent="0.4">
      <c r="A8113" t="s">
        <v>71</v>
      </c>
      <c r="B8113" s="1">
        <v>45566</v>
      </c>
      <c r="C8113">
        <v>850132</v>
      </c>
      <c r="D8113" t="s">
        <v>176</v>
      </c>
      <c r="E8113">
        <v>0</v>
      </c>
      <c r="F8113">
        <v>0</v>
      </c>
      <c r="G8113">
        <v>0</v>
      </c>
      <c r="H8113">
        <f>_xlfn.XLOOKUP(FACT_IMPORTS[[#This Row],[hts_6]],DIM_PRODUCTS[hts_6],DIM_PRODUCTS[hts_4],,,)</f>
        <v>8501</v>
      </c>
      <c r="I8113" t="str" cm="1">
        <f t="array" ref="I8113">_xlfn.XLOOKUP(FACT_IMPORTS[[#This Row],[country_name]],DIM_COUNTRY[[#All],[Column2]],DIM_COUNTRY[[#All],[Column3]],,,)</f>
        <v>Major_Non-USMCA_Non-China</v>
      </c>
    </row>
    <row r="8114" spans="1:9" x14ac:dyDescent="0.4">
      <c r="A8114" t="s">
        <v>71</v>
      </c>
      <c r="B8114" s="1">
        <v>45566</v>
      </c>
      <c r="C8114">
        <v>850133</v>
      </c>
      <c r="D8114" t="s">
        <v>176</v>
      </c>
      <c r="E8114">
        <v>0</v>
      </c>
      <c r="F8114">
        <v>0</v>
      </c>
      <c r="G8114">
        <v>0</v>
      </c>
      <c r="H8114">
        <f>_xlfn.XLOOKUP(FACT_IMPORTS[[#This Row],[hts_6]],DIM_PRODUCTS[hts_6],DIM_PRODUCTS[hts_4],,,)</f>
        <v>8501</v>
      </c>
      <c r="I8114" t="str" cm="1">
        <f t="array" ref="I8114">_xlfn.XLOOKUP(FACT_IMPORTS[[#This Row],[country_name]],DIM_COUNTRY[[#All],[Column2]],DIM_COUNTRY[[#All],[Column3]],,,)</f>
        <v>Major_Non-USMCA_Non-China</v>
      </c>
    </row>
    <row r="8115" spans="1:9" x14ac:dyDescent="0.4">
      <c r="A8115" t="s">
        <v>71</v>
      </c>
      <c r="B8115" s="1">
        <v>45566</v>
      </c>
      <c r="C8115">
        <v>850152</v>
      </c>
      <c r="D8115" t="s">
        <v>176</v>
      </c>
      <c r="E8115">
        <v>367715</v>
      </c>
      <c r="F8115">
        <v>461</v>
      </c>
      <c r="G8115">
        <v>6821</v>
      </c>
      <c r="H8115">
        <f>_xlfn.XLOOKUP(FACT_IMPORTS[[#This Row],[hts_6]],DIM_PRODUCTS[hts_6],DIM_PRODUCTS[hts_4],,,)</f>
        <v>8501</v>
      </c>
      <c r="I8115" t="str" cm="1">
        <f t="array" ref="I8115">_xlfn.XLOOKUP(FACT_IMPORTS[[#This Row],[country_name]],DIM_COUNTRY[[#All],[Column2]],DIM_COUNTRY[[#All],[Column3]],,,)</f>
        <v>Major_Non-USMCA_Non-China</v>
      </c>
    </row>
    <row r="8116" spans="1:9" x14ac:dyDescent="0.4">
      <c r="A8116" t="s">
        <v>71</v>
      </c>
      <c r="B8116" s="1">
        <v>45566</v>
      </c>
      <c r="C8116">
        <v>850153</v>
      </c>
      <c r="D8116" t="s">
        <v>176</v>
      </c>
      <c r="E8116">
        <v>0</v>
      </c>
      <c r="F8116">
        <v>0</v>
      </c>
      <c r="G8116">
        <v>0</v>
      </c>
      <c r="H8116">
        <f>_xlfn.XLOOKUP(FACT_IMPORTS[[#This Row],[hts_6]],DIM_PRODUCTS[hts_6],DIM_PRODUCTS[hts_4],,,)</f>
        <v>8501</v>
      </c>
      <c r="I8116" t="str" cm="1">
        <f t="array" ref="I8116">_xlfn.XLOOKUP(FACT_IMPORTS[[#This Row],[country_name]],DIM_COUNTRY[[#All],[Column2]],DIM_COUNTRY[[#All],[Column3]],,,)</f>
        <v>Major_Non-USMCA_Non-China</v>
      </c>
    </row>
    <row r="8117" spans="1:9" x14ac:dyDescent="0.4">
      <c r="A8117" t="s">
        <v>71</v>
      </c>
      <c r="B8117" s="1">
        <v>45566</v>
      </c>
      <c r="C8117">
        <v>850161</v>
      </c>
      <c r="D8117" t="s">
        <v>176</v>
      </c>
      <c r="E8117">
        <v>0</v>
      </c>
      <c r="F8117">
        <v>0</v>
      </c>
      <c r="G8117">
        <v>0</v>
      </c>
      <c r="H8117">
        <f>_xlfn.XLOOKUP(FACT_IMPORTS[[#This Row],[hts_6]],DIM_PRODUCTS[hts_6],DIM_PRODUCTS[hts_4],,,)</f>
        <v>8501</v>
      </c>
      <c r="I8117" t="str" cm="1">
        <f t="array" ref="I8117">_xlfn.XLOOKUP(FACT_IMPORTS[[#This Row],[country_name]],DIM_COUNTRY[[#All],[Column2]],DIM_COUNTRY[[#All],[Column3]],,,)</f>
        <v>Major_Non-USMCA_Non-China</v>
      </c>
    </row>
    <row r="8118" spans="1:9" x14ac:dyDescent="0.4">
      <c r="A8118" t="s">
        <v>71</v>
      </c>
      <c r="B8118" s="1">
        <v>45566</v>
      </c>
      <c r="C8118">
        <v>850440</v>
      </c>
      <c r="D8118" t="s">
        <v>176</v>
      </c>
      <c r="E8118">
        <v>666336</v>
      </c>
      <c r="F8118">
        <v>623</v>
      </c>
      <c r="G8118">
        <v>22451</v>
      </c>
      <c r="H8118">
        <f>_xlfn.XLOOKUP(FACT_IMPORTS[[#This Row],[hts_6]],DIM_PRODUCTS[hts_6],DIM_PRODUCTS[hts_4],,,)</f>
        <v>8504</v>
      </c>
      <c r="I8118" t="str" cm="1">
        <f t="array" ref="I8118">_xlfn.XLOOKUP(FACT_IMPORTS[[#This Row],[country_name]],DIM_COUNTRY[[#All],[Column2]],DIM_COUNTRY[[#All],[Column3]],,,)</f>
        <v>Major_Non-USMCA_Non-China</v>
      </c>
    </row>
    <row r="8119" spans="1:9" x14ac:dyDescent="0.4">
      <c r="A8119" t="s">
        <v>71</v>
      </c>
      <c r="B8119" s="1">
        <v>45566</v>
      </c>
      <c r="C8119">
        <v>850710</v>
      </c>
      <c r="D8119" t="s">
        <v>176</v>
      </c>
      <c r="E8119">
        <v>0</v>
      </c>
      <c r="F8119">
        <v>0</v>
      </c>
      <c r="G8119">
        <v>0</v>
      </c>
      <c r="H8119">
        <f>_xlfn.XLOOKUP(FACT_IMPORTS[[#This Row],[hts_6]],DIM_PRODUCTS[hts_6],DIM_PRODUCTS[hts_4],,,)</f>
        <v>8507</v>
      </c>
      <c r="I8119" t="str" cm="1">
        <f t="array" ref="I8119">_xlfn.XLOOKUP(FACT_IMPORTS[[#This Row],[country_name]],DIM_COUNTRY[[#All],[Column2]],DIM_COUNTRY[[#All],[Column3]],,,)</f>
        <v>Major_Non-USMCA_Non-China</v>
      </c>
    </row>
    <row r="8120" spans="1:9" x14ac:dyDescent="0.4">
      <c r="A8120" t="s">
        <v>71</v>
      </c>
      <c r="B8120" s="1">
        <v>45566</v>
      </c>
      <c r="C8120">
        <v>850760</v>
      </c>
      <c r="D8120" t="s">
        <v>176</v>
      </c>
      <c r="E8120">
        <v>177744</v>
      </c>
      <c r="F8120">
        <v>2406</v>
      </c>
      <c r="G8120">
        <v>1591</v>
      </c>
      <c r="H8120">
        <f>_xlfn.XLOOKUP(FACT_IMPORTS[[#This Row],[hts_6]],DIM_PRODUCTS[hts_6],DIM_PRODUCTS[hts_4],,,)</f>
        <v>8507</v>
      </c>
      <c r="I8120" t="str" cm="1">
        <f t="array" ref="I8120">_xlfn.XLOOKUP(FACT_IMPORTS[[#This Row],[country_name]],DIM_COUNTRY[[#All],[Column2]],DIM_COUNTRY[[#All],[Column3]],,,)</f>
        <v>Major_Non-USMCA_Non-China</v>
      </c>
    </row>
    <row r="8121" spans="1:9" x14ac:dyDescent="0.4">
      <c r="A8121" t="s">
        <v>71</v>
      </c>
      <c r="B8121" s="1">
        <v>45566</v>
      </c>
      <c r="C8121">
        <v>850790</v>
      </c>
      <c r="D8121" t="s">
        <v>176</v>
      </c>
      <c r="E8121">
        <v>2804688</v>
      </c>
      <c r="F8121">
        <v>47286</v>
      </c>
      <c r="G8121">
        <v>9998</v>
      </c>
      <c r="H8121">
        <f>_xlfn.XLOOKUP(FACT_IMPORTS[[#This Row],[hts_6]],DIM_PRODUCTS[hts_6],DIM_PRODUCTS[hts_4],,,)</f>
        <v>8507</v>
      </c>
      <c r="I8121" t="str" cm="1">
        <f t="array" ref="I8121">_xlfn.XLOOKUP(FACT_IMPORTS[[#This Row],[country_name]],DIM_COUNTRY[[#All],[Column2]],DIM_COUNTRY[[#All],[Column3]],,,)</f>
        <v>Major_Non-USMCA_Non-China</v>
      </c>
    </row>
    <row r="8122" spans="1:9" x14ac:dyDescent="0.4">
      <c r="A8122" t="s">
        <v>71</v>
      </c>
      <c r="B8122" s="1">
        <v>45566</v>
      </c>
      <c r="C8122">
        <v>851110</v>
      </c>
      <c r="D8122" t="s">
        <v>176</v>
      </c>
      <c r="E8122">
        <v>32682</v>
      </c>
      <c r="F8122">
        <v>36</v>
      </c>
      <c r="G8122">
        <v>631</v>
      </c>
      <c r="H8122">
        <f>_xlfn.XLOOKUP(FACT_IMPORTS[[#This Row],[hts_6]],DIM_PRODUCTS[hts_6],DIM_PRODUCTS[hts_4],,,)</f>
        <v>8511</v>
      </c>
      <c r="I8122" t="str" cm="1">
        <f t="array" ref="I8122">_xlfn.XLOOKUP(FACT_IMPORTS[[#This Row],[country_name]],DIM_COUNTRY[[#All],[Column2]],DIM_COUNTRY[[#All],[Column3]],,,)</f>
        <v>Major_Non-USMCA_Non-China</v>
      </c>
    </row>
    <row r="8123" spans="1:9" x14ac:dyDescent="0.4">
      <c r="A8123" t="s">
        <v>71</v>
      </c>
      <c r="B8123" s="1">
        <v>45566</v>
      </c>
      <c r="C8123">
        <v>851130</v>
      </c>
      <c r="D8123" t="s">
        <v>176</v>
      </c>
      <c r="E8123">
        <v>0</v>
      </c>
      <c r="F8123">
        <v>0</v>
      </c>
      <c r="G8123">
        <v>0</v>
      </c>
      <c r="H8123">
        <f>_xlfn.XLOOKUP(FACT_IMPORTS[[#This Row],[hts_6]],DIM_PRODUCTS[hts_6],DIM_PRODUCTS[hts_4],,,)</f>
        <v>8511</v>
      </c>
      <c r="I8123" t="str" cm="1">
        <f t="array" ref="I8123">_xlfn.XLOOKUP(FACT_IMPORTS[[#This Row],[country_name]],DIM_COUNTRY[[#All],[Column2]],DIM_COUNTRY[[#All],[Column3]],,,)</f>
        <v>Major_Non-USMCA_Non-China</v>
      </c>
    </row>
    <row r="8124" spans="1:9" x14ac:dyDescent="0.4">
      <c r="A8124" t="s">
        <v>71</v>
      </c>
      <c r="B8124" s="1">
        <v>45566</v>
      </c>
      <c r="C8124">
        <v>851140</v>
      </c>
      <c r="D8124" t="s">
        <v>176</v>
      </c>
      <c r="E8124">
        <v>1282405</v>
      </c>
      <c r="F8124">
        <v>22055</v>
      </c>
      <c r="G8124">
        <v>11710</v>
      </c>
      <c r="H8124">
        <f>_xlfn.XLOOKUP(FACT_IMPORTS[[#This Row],[hts_6]],DIM_PRODUCTS[hts_6],DIM_PRODUCTS[hts_4],,,)</f>
        <v>8511</v>
      </c>
      <c r="I8124" t="str" cm="1">
        <f t="array" ref="I8124">_xlfn.XLOOKUP(FACT_IMPORTS[[#This Row],[country_name]],DIM_COUNTRY[[#All],[Column2]],DIM_COUNTRY[[#All],[Column3]],,,)</f>
        <v>Major_Non-USMCA_Non-China</v>
      </c>
    </row>
    <row r="8125" spans="1:9" x14ac:dyDescent="0.4">
      <c r="A8125" t="s">
        <v>71</v>
      </c>
      <c r="B8125" s="1">
        <v>45566</v>
      </c>
      <c r="C8125">
        <v>851150</v>
      </c>
      <c r="D8125" t="s">
        <v>176</v>
      </c>
      <c r="E8125">
        <v>36710</v>
      </c>
      <c r="F8125">
        <v>401</v>
      </c>
      <c r="G8125">
        <v>508</v>
      </c>
      <c r="H8125">
        <f>_xlfn.XLOOKUP(FACT_IMPORTS[[#This Row],[hts_6]],DIM_PRODUCTS[hts_6],DIM_PRODUCTS[hts_4],,,)</f>
        <v>8511</v>
      </c>
      <c r="I8125" t="str" cm="1">
        <f t="array" ref="I8125">_xlfn.XLOOKUP(FACT_IMPORTS[[#This Row],[country_name]],DIM_COUNTRY[[#All],[Column2]],DIM_COUNTRY[[#All],[Column3]],,,)</f>
        <v>Major_Non-USMCA_Non-China</v>
      </c>
    </row>
    <row r="8126" spans="1:9" x14ac:dyDescent="0.4">
      <c r="A8126" t="s">
        <v>71</v>
      </c>
      <c r="B8126" s="1">
        <v>45566</v>
      </c>
      <c r="C8126">
        <v>851180</v>
      </c>
      <c r="D8126" t="s">
        <v>176</v>
      </c>
      <c r="E8126">
        <v>3129</v>
      </c>
      <c r="F8126">
        <v>44</v>
      </c>
      <c r="G8126">
        <v>2</v>
      </c>
      <c r="H8126">
        <f>_xlfn.XLOOKUP(FACT_IMPORTS[[#This Row],[hts_6]],DIM_PRODUCTS[hts_6],DIM_PRODUCTS[hts_4],,,)</f>
        <v>8511</v>
      </c>
      <c r="I8126" t="str" cm="1">
        <f t="array" ref="I8126">_xlfn.XLOOKUP(FACT_IMPORTS[[#This Row],[country_name]],DIM_COUNTRY[[#All],[Column2]],DIM_COUNTRY[[#All],[Column3]],,,)</f>
        <v>Major_Non-USMCA_Non-China</v>
      </c>
    </row>
    <row r="8127" spans="1:9" x14ac:dyDescent="0.4">
      <c r="A8127" t="s">
        <v>71</v>
      </c>
      <c r="B8127" s="1">
        <v>45566</v>
      </c>
      <c r="C8127">
        <v>851190</v>
      </c>
      <c r="D8127" t="s">
        <v>176</v>
      </c>
      <c r="E8127">
        <v>0</v>
      </c>
      <c r="F8127">
        <v>0</v>
      </c>
      <c r="G8127">
        <v>0</v>
      </c>
      <c r="H8127">
        <f>_xlfn.XLOOKUP(FACT_IMPORTS[[#This Row],[hts_6]],DIM_PRODUCTS[hts_6],DIM_PRODUCTS[hts_4],,,)</f>
        <v>8511</v>
      </c>
      <c r="I8127" t="str" cm="1">
        <f t="array" ref="I8127">_xlfn.XLOOKUP(FACT_IMPORTS[[#This Row],[country_name]],DIM_COUNTRY[[#All],[Column2]],DIM_COUNTRY[[#All],[Column3]],,,)</f>
        <v>Major_Non-USMCA_Non-China</v>
      </c>
    </row>
    <row r="8128" spans="1:9" x14ac:dyDescent="0.4">
      <c r="A8128" t="s">
        <v>71</v>
      </c>
      <c r="B8128" s="1">
        <v>45566</v>
      </c>
      <c r="C8128">
        <v>851220</v>
      </c>
      <c r="D8128" t="s">
        <v>176</v>
      </c>
      <c r="E8128">
        <v>0</v>
      </c>
      <c r="F8128">
        <v>0</v>
      </c>
      <c r="G8128">
        <v>0</v>
      </c>
      <c r="H8128">
        <f>_xlfn.XLOOKUP(FACT_IMPORTS[[#This Row],[hts_6]],DIM_PRODUCTS[hts_6],DIM_PRODUCTS[hts_4],,,)</f>
        <v>8512</v>
      </c>
      <c r="I8128" t="str" cm="1">
        <f t="array" ref="I8128">_xlfn.XLOOKUP(FACT_IMPORTS[[#This Row],[country_name]],DIM_COUNTRY[[#All],[Column2]],DIM_COUNTRY[[#All],[Column3]],,,)</f>
        <v>Major_Non-USMCA_Non-China</v>
      </c>
    </row>
    <row r="8129" spans="1:9" x14ac:dyDescent="0.4">
      <c r="A8129" t="s">
        <v>71</v>
      </c>
      <c r="B8129" s="1">
        <v>45566</v>
      </c>
      <c r="C8129">
        <v>851230</v>
      </c>
      <c r="D8129" t="s">
        <v>176</v>
      </c>
      <c r="E8129">
        <v>0</v>
      </c>
      <c r="F8129">
        <v>0</v>
      </c>
      <c r="G8129">
        <v>0</v>
      </c>
      <c r="H8129">
        <f>_xlfn.XLOOKUP(FACT_IMPORTS[[#This Row],[hts_6]],DIM_PRODUCTS[hts_6],DIM_PRODUCTS[hts_4],,,)</f>
        <v>8512</v>
      </c>
      <c r="I8129" t="str" cm="1">
        <f t="array" ref="I8129">_xlfn.XLOOKUP(FACT_IMPORTS[[#This Row],[country_name]],DIM_COUNTRY[[#All],[Column2]],DIM_COUNTRY[[#All],[Column3]],,,)</f>
        <v>Major_Non-USMCA_Non-China</v>
      </c>
    </row>
    <row r="8130" spans="1:9" x14ac:dyDescent="0.4">
      <c r="A8130" t="s">
        <v>71</v>
      </c>
      <c r="B8130" s="1">
        <v>45566</v>
      </c>
      <c r="C8130">
        <v>851290</v>
      </c>
      <c r="D8130" t="s">
        <v>176</v>
      </c>
      <c r="E8130">
        <v>45523</v>
      </c>
      <c r="F8130">
        <v>1186</v>
      </c>
      <c r="G8130">
        <v>1317</v>
      </c>
      <c r="H8130">
        <f>_xlfn.XLOOKUP(FACT_IMPORTS[[#This Row],[hts_6]],DIM_PRODUCTS[hts_6],DIM_PRODUCTS[hts_4],,,)</f>
        <v>8512</v>
      </c>
      <c r="I8130" t="str" cm="1">
        <f t="array" ref="I8130">_xlfn.XLOOKUP(FACT_IMPORTS[[#This Row],[country_name]],DIM_COUNTRY[[#All],[Column2]],DIM_COUNTRY[[#All],[Column3]],,,)</f>
        <v>Major_Non-USMCA_Non-China</v>
      </c>
    </row>
    <row r="8131" spans="1:9" x14ac:dyDescent="0.4">
      <c r="A8131" t="s">
        <v>71</v>
      </c>
      <c r="B8131" s="1">
        <v>45566</v>
      </c>
      <c r="C8131">
        <v>854231</v>
      </c>
      <c r="D8131" t="s">
        <v>176</v>
      </c>
      <c r="E8131">
        <v>217248</v>
      </c>
      <c r="F8131">
        <v>23148</v>
      </c>
      <c r="G8131">
        <v>2791</v>
      </c>
      <c r="H8131">
        <f>_xlfn.XLOOKUP(FACT_IMPORTS[[#This Row],[hts_6]],DIM_PRODUCTS[hts_6],DIM_PRODUCTS[hts_4],,,)</f>
        <v>8542</v>
      </c>
      <c r="I8131" t="str" cm="1">
        <f t="array" ref="I8131">_xlfn.XLOOKUP(FACT_IMPORTS[[#This Row],[country_name]],DIM_COUNTRY[[#All],[Column2]],DIM_COUNTRY[[#All],[Column3]],,,)</f>
        <v>Major_Non-USMCA_Non-China</v>
      </c>
    </row>
    <row r="8132" spans="1:9" x14ac:dyDescent="0.4">
      <c r="A8132" t="s">
        <v>71</v>
      </c>
      <c r="B8132" s="1">
        <v>45566</v>
      </c>
      <c r="C8132">
        <v>854232</v>
      </c>
      <c r="D8132" t="s">
        <v>176</v>
      </c>
      <c r="E8132">
        <v>0</v>
      </c>
      <c r="F8132">
        <v>0</v>
      </c>
      <c r="G8132">
        <v>0</v>
      </c>
      <c r="H8132">
        <f>_xlfn.XLOOKUP(FACT_IMPORTS[[#This Row],[hts_6]],DIM_PRODUCTS[hts_6],DIM_PRODUCTS[hts_4],,,)</f>
        <v>8542</v>
      </c>
      <c r="I8132" t="str" cm="1">
        <f t="array" ref="I8132">_xlfn.XLOOKUP(FACT_IMPORTS[[#This Row],[country_name]],DIM_COUNTRY[[#All],[Column2]],DIM_COUNTRY[[#All],[Column3]],,,)</f>
        <v>Major_Non-USMCA_Non-China</v>
      </c>
    </row>
    <row r="8133" spans="1:9" x14ac:dyDescent="0.4">
      <c r="A8133" t="s">
        <v>71</v>
      </c>
      <c r="B8133" s="1">
        <v>45566</v>
      </c>
      <c r="C8133">
        <v>854239</v>
      </c>
      <c r="D8133" t="s">
        <v>176</v>
      </c>
      <c r="E8133">
        <v>0</v>
      </c>
      <c r="F8133">
        <v>0</v>
      </c>
      <c r="G8133">
        <v>0</v>
      </c>
      <c r="H8133">
        <f>_xlfn.XLOOKUP(FACT_IMPORTS[[#This Row],[hts_6]],DIM_PRODUCTS[hts_6],DIM_PRODUCTS[hts_4],,,)</f>
        <v>8542</v>
      </c>
      <c r="I8133" t="str" cm="1">
        <f t="array" ref="I8133">_xlfn.XLOOKUP(FACT_IMPORTS[[#This Row],[country_name]],DIM_COUNTRY[[#All],[Column2]],DIM_COUNTRY[[#All],[Column3]],,,)</f>
        <v>Major_Non-USMCA_Non-China</v>
      </c>
    </row>
    <row r="8134" spans="1:9" x14ac:dyDescent="0.4">
      <c r="A8134" t="s">
        <v>71</v>
      </c>
      <c r="B8134" s="1">
        <v>45566</v>
      </c>
      <c r="C8134">
        <v>854290</v>
      </c>
      <c r="D8134" t="s">
        <v>176</v>
      </c>
      <c r="E8134">
        <v>0</v>
      </c>
      <c r="F8134">
        <v>0</v>
      </c>
      <c r="G8134">
        <v>0</v>
      </c>
      <c r="H8134">
        <f>_xlfn.XLOOKUP(FACT_IMPORTS[[#This Row],[hts_6]],DIM_PRODUCTS[hts_6],DIM_PRODUCTS[hts_4],,,)</f>
        <v>8542</v>
      </c>
      <c r="I8134" t="str" cm="1">
        <f t="array" ref="I8134">_xlfn.XLOOKUP(FACT_IMPORTS[[#This Row],[country_name]],DIM_COUNTRY[[#All],[Column2]],DIM_COUNTRY[[#All],[Column3]],,,)</f>
        <v>Major_Non-USMCA_Non-China</v>
      </c>
    </row>
    <row r="8135" spans="1:9" x14ac:dyDescent="0.4">
      <c r="A8135" t="s">
        <v>71</v>
      </c>
      <c r="B8135" s="1">
        <v>45566</v>
      </c>
      <c r="C8135">
        <v>854430</v>
      </c>
      <c r="D8135" t="s">
        <v>176</v>
      </c>
      <c r="E8135">
        <v>0</v>
      </c>
      <c r="F8135">
        <v>0</v>
      </c>
      <c r="G8135">
        <v>0</v>
      </c>
      <c r="H8135">
        <f>_xlfn.XLOOKUP(FACT_IMPORTS[[#This Row],[hts_6]],DIM_PRODUCTS[hts_6],DIM_PRODUCTS[hts_4],,,)</f>
        <v>8544</v>
      </c>
      <c r="I8135" t="str" cm="1">
        <f t="array" ref="I8135">_xlfn.XLOOKUP(FACT_IMPORTS[[#This Row],[country_name]],DIM_COUNTRY[[#All],[Column2]],DIM_COUNTRY[[#All],[Column3]],,,)</f>
        <v>Major_Non-USMCA_Non-China</v>
      </c>
    </row>
    <row r="8136" spans="1:9" x14ac:dyDescent="0.4">
      <c r="A8136" t="s">
        <v>71</v>
      </c>
      <c r="B8136" s="1">
        <v>45566</v>
      </c>
      <c r="C8136">
        <v>870790</v>
      </c>
      <c r="D8136" t="s">
        <v>176</v>
      </c>
      <c r="E8136">
        <v>0</v>
      </c>
      <c r="F8136">
        <v>0</v>
      </c>
      <c r="G8136">
        <v>0</v>
      </c>
      <c r="H8136">
        <f>_xlfn.XLOOKUP(FACT_IMPORTS[[#This Row],[hts_6]],DIM_PRODUCTS[hts_6],DIM_PRODUCTS[hts_4],,,)</f>
        <v>8707</v>
      </c>
      <c r="I8136" t="str" cm="1">
        <f t="array" ref="I8136">_xlfn.XLOOKUP(FACT_IMPORTS[[#This Row],[country_name]],DIM_COUNTRY[[#All],[Column2]],DIM_COUNTRY[[#All],[Column3]],,,)</f>
        <v>Major_Non-USMCA_Non-China</v>
      </c>
    </row>
    <row r="8137" spans="1:9" x14ac:dyDescent="0.4">
      <c r="A8137" t="s">
        <v>71</v>
      </c>
      <c r="B8137" s="1">
        <v>45566</v>
      </c>
      <c r="C8137">
        <v>870810</v>
      </c>
      <c r="D8137" t="s">
        <v>176</v>
      </c>
      <c r="E8137">
        <v>3978</v>
      </c>
      <c r="F8137">
        <v>34</v>
      </c>
      <c r="G8137">
        <v>0</v>
      </c>
      <c r="H8137">
        <f>_xlfn.XLOOKUP(FACT_IMPORTS[[#This Row],[hts_6]],DIM_PRODUCTS[hts_6],DIM_PRODUCTS[hts_4],,,)</f>
        <v>8708</v>
      </c>
      <c r="I8137" t="str" cm="1">
        <f t="array" ref="I8137">_xlfn.XLOOKUP(FACT_IMPORTS[[#This Row],[country_name]],DIM_COUNTRY[[#All],[Column2]],DIM_COUNTRY[[#All],[Column3]],,,)</f>
        <v>Major_Non-USMCA_Non-China</v>
      </c>
    </row>
    <row r="8138" spans="1:9" x14ac:dyDescent="0.4">
      <c r="A8138" t="s">
        <v>71</v>
      </c>
      <c r="B8138" s="1">
        <v>45566</v>
      </c>
      <c r="C8138">
        <v>870829</v>
      </c>
      <c r="D8138" t="s">
        <v>176</v>
      </c>
      <c r="E8138">
        <v>3925914</v>
      </c>
      <c r="F8138">
        <v>335249</v>
      </c>
      <c r="G8138">
        <v>66537</v>
      </c>
      <c r="H8138">
        <f>_xlfn.XLOOKUP(FACT_IMPORTS[[#This Row],[hts_6]],DIM_PRODUCTS[hts_6],DIM_PRODUCTS[hts_4],,,)</f>
        <v>8708</v>
      </c>
      <c r="I8138" t="str" cm="1">
        <f t="array" ref="I8138">_xlfn.XLOOKUP(FACT_IMPORTS[[#This Row],[country_name]],DIM_COUNTRY[[#All],[Column2]],DIM_COUNTRY[[#All],[Column3]],,,)</f>
        <v>Major_Non-USMCA_Non-China</v>
      </c>
    </row>
    <row r="8139" spans="1:9" x14ac:dyDescent="0.4">
      <c r="A8139" t="s">
        <v>71</v>
      </c>
      <c r="B8139" s="1">
        <v>45566</v>
      </c>
      <c r="C8139">
        <v>870830</v>
      </c>
      <c r="D8139" t="s">
        <v>176</v>
      </c>
      <c r="E8139">
        <v>699226</v>
      </c>
      <c r="F8139">
        <v>86441</v>
      </c>
      <c r="G8139">
        <v>6861</v>
      </c>
      <c r="H8139">
        <f>_xlfn.XLOOKUP(FACT_IMPORTS[[#This Row],[hts_6]],DIM_PRODUCTS[hts_6],DIM_PRODUCTS[hts_4],,,)</f>
        <v>8708</v>
      </c>
      <c r="I8139" t="str" cm="1">
        <f t="array" ref="I8139">_xlfn.XLOOKUP(FACT_IMPORTS[[#This Row],[country_name]],DIM_COUNTRY[[#All],[Column2]],DIM_COUNTRY[[#All],[Column3]],,,)</f>
        <v>Major_Non-USMCA_Non-China</v>
      </c>
    </row>
    <row r="8140" spans="1:9" x14ac:dyDescent="0.4">
      <c r="A8140" t="s">
        <v>71</v>
      </c>
      <c r="B8140" s="1">
        <v>45566</v>
      </c>
      <c r="C8140">
        <v>870840</v>
      </c>
      <c r="D8140" t="s">
        <v>176</v>
      </c>
      <c r="E8140">
        <v>1456242</v>
      </c>
      <c r="F8140">
        <v>12124</v>
      </c>
      <c r="G8140">
        <v>169895</v>
      </c>
      <c r="H8140">
        <f>_xlfn.XLOOKUP(FACT_IMPORTS[[#This Row],[hts_6]],DIM_PRODUCTS[hts_6],DIM_PRODUCTS[hts_4],,,)</f>
        <v>8708</v>
      </c>
      <c r="I8140" t="str" cm="1">
        <f t="array" ref="I8140">_xlfn.XLOOKUP(FACT_IMPORTS[[#This Row],[country_name]],DIM_COUNTRY[[#All],[Column2]],DIM_COUNTRY[[#All],[Column3]],,,)</f>
        <v>Major_Non-USMCA_Non-China</v>
      </c>
    </row>
    <row r="8141" spans="1:9" x14ac:dyDescent="0.4">
      <c r="A8141" t="s">
        <v>71</v>
      </c>
      <c r="B8141" s="1">
        <v>45566</v>
      </c>
      <c r="C8141">
        <v>870850</v>
      </c>
      <c r="D8141" t="s">
        <v>176</v>
      </c>
      <c r="E8141">
        <v>16750</v>
      </c>
      <c r="F8141">
        <v>1</v>
      </c>
      <c r="G8141">
        <v>1</v>
      </c>
      <c r="H8141">
        <f>_xlfn.XLOOKUP(FACT_IMPORTS[[#This Row],[hts_6]],DIM_PRODUCTS[hts_6],DIM_PRODUCTS[hts_4],,,)</f>
        <v>8708</v>
      </c>
      <c r="I8141" t="str" cm="1">
        <f t="array" ref="I8141">_xlfn.XLOOKUP(FACT_IMPORTS[[#This Row],[country_name]],DIM_COUNTRY[[#All],[Column2]],DIM_COUNTRY[[#All],[Column3]],,,)</f>
        <v>Major_Non-USMCA_Non-China</v>
      </c>
    </row>
    <row r="8142" spans="1:9" x14ac:dyDescent="0.4">
      <c r="A8142" t="s">
        <v>71</v>
      </c>
      <c r="B8142" s="1">
        <v>45566</v>
      </c>
      <c r="C8142">
        <v>870870</v>
      </c>
      <c r="D8142" t="s">
        <v>176</v>
      </c>
      <c r="E8142">
        <v>3541</v>
      </c>
      <c r="F8142">
        <v>183</v>
      </c>
      <c r="G8142">
        <v>21</v>
      </c>
      <c r="H8142">
        <f>_xlfn.XLOOKUP(FACT_IMPORTS[[#This Row],[hts_6]],DIM_PRODUCTS[hts_6],DIM_PRODUCTS[hts_4],,,)</f>
        <v>8708</v>
      </c>
      <c r="I8142" t="str" cm="1">
        <f t="array" ref="I8142">_xlfn.XLOOKUP(FACT_IMPORTS[[#This Row],[country_name]],DIM_COUNTRY[[#All],[Column2]],DIM_COUNTRY[[#All],[Column3]],,,)</f>
        <v>Major_Non-USMCA_Non-China</v>
      </c>
    </row>
    <row r="8143" spans="1:9" x14ac:dyDescent="0.4">
      <c r="A8143" t="s">
        <v>71</v>
      </c>
      <c r="B8143" s="1">
        <v>45566</v>
      </c>
      <c r="C8143">
        <v>870880</v>
      </c>
      <c r="D8143" t="s">
        <v>176</v>
      </c>
      <c r="E8143">
        <v>82812</v>
      </c>
      <c r="F8143">
        <v>2136</v>
      </c>
      <c r="G8143">
        <v>4084</v>
      </c>
      <c r="H8143">
        <f>_xlfn.XLOOKUP(FACT_IMPORTS[[#This Row],[hts_6]],DIM_PRODUCTS[hts_6],DIM_PRODUCTS[hts_4],,,)</f>
        <v>8708</v>
      </c>
      <c r="I8143" t="str" cm="1">
        <f t="array" ref="I8143">_xlfn.XLOOKUP(FACT_IMPORTS[[#This Row],[country_name]],DIM_COUNTRY[[#All],[Column2]],DIM_COUNTRY[[#All],[Column3]],,,)</f>
        <v>Major_Non-USMCA_Non-China</v>
      </c>
    </row>
    <row r="8144" spans="1:9" x14ac:dyDescent="0.4">
      <c r="A8144" t="s">
        <v>71</v>
      </c>
      <c r="B8144" s="1">
        <v>45566</v>
      </c>
      <c r="C8144">
        <v>870891</v>
      </c>
      <c r="D8144" t="s">
        <v>176</v>
      </c>
      <c r="E8144">
        <v>221422</v>
      </c>
      <c r="F8144">
        <v>209982</v>
      </c>
      <c r="G8144">
        <v>2836</v>
      </c>
      <c r="H8144">
        <f>_xlfn.XLOOKUP(FACT_IMPORTS[[#This Row],[hts_6]],DIM_PRODUCTS[hts_6],DIM_PRODUCTS[hts_4],,,)</f>
        <v>8708</v>
      </c>
      <c r="I8144" t="str" cm="1">
        <f t="array" ref="I8144">_xlfn.XLOOKUP(FACT_IMPORTS[[#This Row],[country_name]],DIM_COUNTRY[[#All],[Column2]],DIM_COUNTRY[[#All],[Column3]],,,)</f>
        <v>Major_Non-USMCA_Non-China</v>
      </c>
    </row>
    <row r="8145" spans="1:9" x14ac:dyDescent="0.4">
      <c r="A8145" t="s">
        <v>71</v>
      </c>
      <c r="B8145" s="1">
        <v>45566</v>
      </c>
      <c r="C8145">
        <v>870893</v>
      </c>
      <c r="D8145" t="s">
        <v>176</v>
      </c>
      <c r="E8145">
        <v>1165086</v>
      </c>
      <c r="F8145">
        <v>403395</v>
      </c>
      <c r="G8145">
        <v>18383</v>
      </c>
      <c r="H8145">
        <f>_xlfn.XLOOKUP(FACT_IMPORTS[[#This Row],[hts_6]],DIM_PRODUCTS[hts_6],DIM_PRODUCTS[hts_4],,,)</f>
        <v>8708</v>
      </c>
      <c r="I8145" t="str" cm="1">
        <f t="array" ref="I8145">_xlfn.XLOOKUP(FACT_IMPORTS[[#This Row],[country_name]],DIM_COUNTRY[[#All],[Column2]],DIM_COUNTRY[[#All],[Column3]],,,)</f>
        <v>Major_Non-USMCA_Non-China</v>
      </c>
    </row>
    <row r="8146" spans="1:9" x14ac:dyDescent="0.4">
      <c r="A8146" t="s">
        <v>71</v>
      </c>
      <c r="B8146" s="1">
        <v>45566</v>
      </c>
      <c r="C8146">
        <v>870894</v>
      </c>
      <c r="D8146" t="s">
        <v>176</v>
      </c>
      <c r="E8146">
        <v>8596</v>
      </c>
      <c r="F8146">
        <v>30</v>
      </c>
      <c r="G8146">
        <v>65</v>
      </c>
      <c r="H8146">
        <f>_xlfn.XLOOKUP(FACT_IMPORTS[[#This Row],[hts_6]],DIM_PRODUCTS[hts_6],DIM_PRODUCTS[hts_4],,,)</f>
        <v>8708</v>
      </c>
      <c r="I8146" t="str" cm="1">
        <f t="array" ref="I8146">_xlfn.XLOOKUP(FACT_IMPORTS[[#This Row],[country_name]],DIM_COUNTRY[[#All],[Column2]],DIM_COUNTRY[[#All],[Column3]],,,)</f>
        <v>Major_Non-USMCA_Non-China</v>
      </c>
    </row>
    <row r="8147" spans="1:9" x14ac:dyDescent="0.4">
      <c r="A8147" t="s">
        <v>71</v>
      </c>
      <c r="B8147" s="1">
        <v>45566</v>
      </c>
      <c r="C8147">
        <v>870895</v>
      </c>
      <c r="D8147" t="s">
        <v>176</v>
      </c>
      <c r="E8147">
        <v>0</v>
      </c>
      <c r="F8147">
        <v>0</v>
      </c>
      <c r="G8147">
        <v>0</v>
      </c>
      <c r="H8147">
        <f>_xlfn.XLOOKUP(FACT_IMPORTS[[#This Row],[hts_6]],DIM_PRODUCTS[hts_6],DIM_PRODUCTS[hts_4],,,)</f>
        <v>8708</v>
      </c>
      <c r="I8147" t="str" cm="1">
        <f t="array" ref="I8147">_xlfn.XLOOKUP(FACT_IMPORTS[[#This Row],[country_name]],DIM_COUNTRY[[#All],[Column2]],DIM_COUNTRY[[#All],[Column3]],,,)</f>
        <v>Major_Non-USMCA_Non-China</v>
      </c>
    </row>
    <row r="8148" spans="1:9" x14ac:dyDescent="0.4">
      <c r="A8148" t="s">
        <v>71</v>
      </c>
      <c r="B8148" s="1">
        <v>45566</v>
      </c>
      <c r="C8148">
        <v>870899</v>
      </c>
      <c r="D8148" t="s">
        <v>176</v>
      </c>
      <c r="E8148">
        <v>3805238</v>
      </c>
      <c r="F8148">
        <v>2121229</v>
      </c>
      <c r="G8148">
        <v>72363</v>
      </c>
      <c r="H8148">
        <f>_xlfn.XLOOKUP(FACT_IMPORTS[[#This Row],[hts_6]],DIM_PRODUCTS[hts_6],DIM_PRODUCTS[hts_4],,,)</f>
        <v>8708</v>
      </c>
      <c r="I8148" t="str" cm="1">
        <f t="array" ref="I8148">_xlfn.XLOOKUP(FACT_IMPORTS[[#This Row],[country_name]],DIM_COUNTRY[[#All],[Column2]],DIM_COUNTRY[[#All],[Column3]],,,)</f>
        <v>Major_Non-USMCA_Non-China</v>
      </c>
    </row>
    <row r="8149" spans="1:9" x14ac:dyDescent="0.4">
      <c r="A8149" t="s">
        <v>71</v>
      </c>
      <c r="B8149" s="1">
        <v>45566</v>
      </c>
      <c r="C8149">
        <v>940120</v>
      </c>
      <c r="D8149" t="s">
        <v>176</v>
      </c>
      <c r="E8149">
        <v>0</v>
      </c>
      <c r="F8149">
        <v>0</v>
      </c>
      <c r="G8149">
        <v>0</v>
      </c>
      <c r="H8149">
        <f>_xlfn.XLOOKUP(FACT_IMPORTS[[#This Row],[hts_6]],DIM_PRODUCTS[hts_6],DIM_PRODUCTS[hts_4],,,)</f>
        <v>9401</v>
      </c>
      <c r="I8149" t="str" cm="1">
        <f t="array" ref="I8149">_xlfn.XLOOKUP(FACT_IMPORTS[[#This Row],[country_name]],DIM_COUNTRY[[#All],[Column2]],DIM_COUNTRY[[#All],[Column3]],,,)</f>
        <v>Major_Non-USMCA_Non-China</v>
      </c>
    </row>
    <row r="8150" spans="1:9" x14ac:dyDescent="0.4">
      <c r="A8150" t="s">
        <v>71</v>
      </c>
      <c r="B8150" s="1">
        <v>45597</v>
      </c>
      <c r="C8150">
        <v>392630</v>
      </c>
      <c r="D8150" t="s">
        <v>176</v>
      </c>
      <c r="E8150">
        <v>0</v>
      </c>
      <c r="F8150">
        <v>0</v>
      </c>
      <c r="G8150">
        <v>0</v>
      </c>
      <c r="H8150">
        <f>_xlfn.XLOOKUP(FACT_IMPORTS[[#This Row],[hts_6]],DIM_PRODUCTS[hts_6],DIM_PRODUCTS[hts_4],,,)</f>
        <v>3926</v>
      </c>
      <c r="I8150" t="str" cm="1">
        <f t="array" ref="I8150">_xlfn.XLOOKUP(FACT_IMPORTS[[#This Row],[country_name]],DIM_COUNTRY[[#All],[Column2]],DIM_COUNTRY[[#All],[Column3]],,,)</f>
        <v>Major_Non-USMCA_Non-China</v>
      </c>
    </row>
    <row r="8151" spans="1:9" x14ac:dyDescent="0.4">
      <c r="A8151" t="s">
        <v>71</v>
      </c>
      <c r="B8151" s="1">
        <v>45597</v>
      </c>
      <c r="C8151">
        <v>401110</v>
      </c>
      <c r="D8151" t="s">
        <v>176</v>
      </c>
      <c r="E8151">
        <v>112677</v>
      </c>
      <c r="F8151">
        <v>1043</v>
      </c>
      <c r="G8151">
        <v>600</v>
      </c>
      <c r="H8151">
        <f>_xlfn.XLOOKUP(FACT_IMPORTS[[#This Row],[hts_6]],DIM_PRODUCTS[hts_6],DIM_PRODUCTS[hts_4],,,)</f>
        <v>4011</v>
      </c>
      <c r="I8151" t="str" cm="1">
        <f t="array" ref="I8151">_xlfn.XLOOKUP(FACT_IMPORTS[[#This Row],[country_name]],DIM_COUNTRY[[#All],[Column2]],DIM_COUNTRY[[#All],[Column3]],,,)</f>
        <v>Major_Non-USMCA_Non-China</v>
      </c>
    </row>
    <row r="8152" spans="1:9" x14ac:dyDescent="0.4">
      <c r="A8152" t="s">
        <v>71</v>
      </c>
      <c r="B8152" s="1">
        <v>45597</v>
      </c>
      <c r="C8152">
        <v>401120</v>
      </c>
      <c r="D8152" t="s">
        <v>176</v>
      </c>
      <c r="E8152">
        <v>1271</v>
      </c>
      <c r="F8152">
        <v>12</v>
      </c>
      <c r="G8152">
        <v>150</v>
      </c>
      <c r="H8152">
        <f>_xlfn.XLOOKUP(FACT_IMPORTS[[#This Row],[hts_6]],DIM_PRODUCTS[hts_6],DIM_PRODUCTS[hts_4],,,)</f>
        <v>4011</v>
      </c>
      <c r="I8152" t="str" cm="1">
        <f t="array" ref="I8152">_xlfn.XLOOKUP(FACT_IMPORTS[[#This Row],[country_name]],DIM_COUNTRY[[#All],[Column2]],DIM_COUNTRY[[#All],[Column3]],,,)</f>
        <v>Major_Non-USMCA_Non-China</v>
      </c>
    </row>
    <row r="8153" spans="1:9" x14ac:dyDescent="0.4">
      <c r="A8153" t="s">
        <v>71</v>
      </c>
      <c r="B8153" s="1">
        <v>45597</v>
      </c>
      <c r="C8153">
        <v>700711</v>
      </c>
      <c r="D8153" t="s">
        <v>176</v>
      </c>
      <c r="E8153">
        <v>14348</v>
      </c>
      <c r="F8153">
        <v>652</v>
      </c>
      <c r="G8153">
        <v>655</v>
      </c>
      <c r="H8153">
        <f>_xlfn.XLOOKUP(FACT_IMPORTS[[#This Row],[hts_6]],DIM_PRODUCTS[hts_6],DIM_PRODUCTS[hts_4],,,)</f>
        <v>7007</v>
      </c>
      <c r="I8153" t="str" cm="1">
        <f t="array" ref="I8153">_xlfn.XLOOKUP(FACT_IMPORTS[[#This Row],[country_name]],DIM_COUNTRY[[#All],[Column2]],DIM_COUNTRY[[#All],[Column3]],,,)</f>
        <v>Major_Non-USMCA_Non-China</v>
      </c>
    </row>
    <row r="8154" spans="1:9" x14ac:dyDescent="0.4">
      <c r="A8154" t="s">
        <v>71</v>
      </c>
      <c r="B8154" s="1">
        <v>45597</v>
      </c>
      <c r="C8154">
        <v>700721</v>
      </c>
      <c r="D8154" t="s">
        <v>176</v>
      </c>
      <c r="E8154">
        <v>0</v>
      </c>
      <c r="F8154">
        <v>0</v>
      </c>
      <c r="G8154">
        <v>0</v>
      </c>
      <c r="H8154">
        <f>_xlfn.XLOOKUP(FACT_IMPORTS[[#This Row],[hts_6]],DIM_PRODUCTS[hts_6],DIM_PRODUCTS[hts_4],,,)</f>
        <v>7007</v>
      </c>
      <c r="I8154" t="str" cm="1">
        <f t="array" ref="I8154">_xlfn.XLOOKUP(FACT_IMPORTS[[#This Row],[country_name]],DIM_COUNTRY[[#All],[Column2]],DIM_COUNTRY[[#All],[Column3]],,,)</f>
        <v>Major_Non-USMCA_Non-China</v>
      </c>
    </row>
    <row r="8155" spans="1:9" x14ac:dyDescent="0.4">
      <c r="A8155" t="s">
        <v>71</v>
      </c>
      <c r="B8155" s="1">
        <v>45597</v>
      </c>
      <c r="C8155">
        <v>700910</v>
      </c>
      <c r="D8155" t="s">
        <v>176</v>
      </c>
      <c r="E8155">
        <v>0</v>
      </c>
      <c r="F8155">
        <v>0</v>
      </c>
      <c r="G8155">
        <v>0</v>
      </c>
      <c r="H8155">
        <f>_xlfn.XLOOKUP(FACT_IMPORTS[[#This Row],[hts_6]],DIM_PRODUCTS[hts_6],DIM_PRODUCTS[hts_4],,,)</f>
        <v>7009</v>
      </c>
      <c r="I8155" t="str" cm="1">
        <f t="array" ref="I8155">_xlfn.XLOOKUP(FACT_IMPORTS[[#This Row],[country_name]],DIM_COUNTRY[[#All],[Column2]],DIM_COUNTRY[[#All],[Column3]],,,)</f>
        <v>Major_Non-USMCA_Non-China</v>
      </c>
    </row>
    <row r="8156" spans="1:9" x14ac:dyDescent="0.4">
      <c r="A8156" t="s">
        <v>71</v>
      </c>
      <c r="B8156" s="1">
        <v>45597</v>
      </c>
      <c r="C8156">
        <v>732010</v>
      </c>
      <c r="D8156" t="s">
        <v>176</v>
      </c>
      <c r="E8156">
        <v>0</v>
      </c>
      <c r="F8156">
        <v>0</v>
      </c>
      <c r="G8156">
        <v>0</v>
      </c>
      <c r="H8156">
        <f>_xlfn.XLOOKUP(FACT_IMPORTS[[#This Row],[hts_6]],DIM_PRODUCTS[hts_6],DIM_PRODUCTS[hts_4],,,)</f>
        <v>7320</v>
      </c>
      <c r="I8156" t="str" cm="1">
        <f t="array" ref="I8156">_xlfn.XLOOKUP(FACT_IMPORTS[[#This Row],[country_name]],DIM_COUNTRY[[#All],[Column2]],DIM_COUNTRY[[#All],[Column3]],,,)</f>
        <v>Major_Non-USMCA_Non-China</v>
      </c>
    </row>
    <row r="8157" spans="1:9" x14ac:dyDescent="0.4">
      <c r="A8157" t="s">
        <v>71</v>
      </c>
      <c r="B8157" s="1">
        <v>45597</v>
      </c>
      <c r="C8157">
        <v>830230</v>
      </c>
      <c r="D8157" t="s">
        <v>176</v>
      </c>
      <c r="E8157">
        <v>73826</v>
      </c>
      <c r="F8157">
        <v>13899</v>
      </c>
      <c r="G8157">
        <v>959</v>
      </c>
      <c r="H8157">
        <f>_xlfn.XLOOKUP(FACT_IMPORTS[[#This Row],[hts_6]],DIM_PRODUCTS[hts_6],DIM_PRODUCTS[hts_4],,,)</f>
        <v>8302</v>
      </c>
      <c r="I8157" t="str" cm="1">
        <f t="array" ref="I8157">_xlfn.XLOOKUP(FACT_IMPORTS[[#This Row],[country_name]],DIM_COUNTRY[[#All],[Column2]],DIM_COUNTRY[[#All],[Column3]],,,)</f>
        <v>Major_Non-USMCA_Non-China</v>
      </c>
    </row>
    <row r="8158" spans="1:9" x14ac:dyDescent="0.4">
      <c r="A8158" t="s">
        <v>71</v>
      </c>
      <c r="B8158" s="1">
        <v>45597</v>
      </c>
      <c r="C8158">
        <v>840734</v>
      </c>
      <c r="D8158" t="s">
        <v>176</v>
      </c>
      <c r="E8158">
        <v>93985</v>
      </c>
      <c r="F8158">
        <v>24</v>
      </c>
      <c r="G8158">
        <v>8449</v>
      </c>
      <c r="H8158">
        <f>_xlfn.XLOOKUP(FACT_IMPORTS[[#This Row],[hts_6]],DIM_PRODUCTS[hts_6],DIM_PRODUCTS[hts_4],,,)</f>
        <v>8407</v>
      </c>
      <c r="I8158" t="str" cm="1">
        <f t="array" ref="I8158">_xlfn.XLOOKUP(FACT_IMPORTS[[#This Row],[country_name]],DIM_COUNTRY[[#All],[Column2]],DIM_COUNTRY[[#All],[Column3]],,,)</f>
        <v>Major_Non-USMCA_Non-China</v>
      </c>
    </row>
    <row r="8159" spans="1:9" x14ac:dyDescent="0.4">
      <c r="A8159" t="s">
        <v>71</v>
      </c>
      <c r="B8159" s="1">
        <v>45597</v>
      </c>
      <c r="C8159">
        <v>840790</v>
      </c>
      <c r="D8159" t="s">
        <v>176</v>
      </c>
      <c r="E8159">
        <v>0</v>
      </c>
      <c r="F8159">
        <v>0</v>
      </c>
      <c r="G8159">
        <v>0</v>
      </c>
      <c r="H8159">
        <f>_xlfn.XLOOKUP(FACT_IMPORTS[[#This Row],[hts_6]],DIM_PRODUCTS[hts_6],DIM_PRODUCTS[hts_4],,,)</f>
        <v>8407</v>
      </c>
      <c r="I8159" t="str" cm="1">
        <f t="array" ref="I8159">_xlfn.XLOOKUP(FACT_IMPORTS[[#This Row],[country_name]],DIM_COUNTRY[[#All],[Column2]],DIM_COUNTRY[[#All],[Column3]],,,)</f>
        <v>Major_Non-USMCA_Non-China</v>
      </c>
    </row>
    <row r="8160" spans="1:9" x14ac:dyDescent="0.4">
      <c r="A8160" t="s">
        <v>71</v>
      </c>
      <c r="B8160" s="1">
        <v>45597</v>
      </c>
      <c r="C8160">
        <v>840820</v>
      </c>
      <c r="D8160" t="s">
        <v>176</v>
      </c>
      <c r="E8160">
        <v>0</v>
      </c>
      <c r="F8160">
        <v>0</v>
      </c>
      <c r="G8160">
        <v>0</v>
      </c>
      <c r="H8160">
        <f>_xlfn.XLOOKUP(FACT_IMPORTS[[#This Row],[hts_6]],DIM_PRODUCTS[hts_6],DIM_PRODUCTS[hts_4],,,)</f>
        <v>8408</v>
      </c>
      <c r="I8160" t="str" cm="1">
        <f t="array" ref="I8160">_xlfn.XLOOKUP(FACT_IMPORTS[[#This Row],[country_name]],DIM_COUNTRY[[#All],[Column2]],DIM_COUNTRY[[#All],[Column3]],,,)</f>
        <v>Major_Non-USMCA_Non-China</v>
      </c>
    </row>
    <row r="8161" spans="1:9" x14ac:dyDescent="0.4">
      <c r="A8161" t="s">
        <v>71</v>
      </c>
      <c r="B8161" s="1">
        <v>45597</v>
      </c>
      <c r="C8161">
        <v>840890</v>
      </c>
      <c r="D8161" t="s">
        <v>176</v>
      </c>
      <c r="E8161">
        <v>77056</v>
      </c>
      <c r="F8161">
        <v>5</v>
      </c>
      <c r="G8161">
        <v>580</v>
      </c>
      <c r="H8161">
        <f>_xlfn.XLOOKUP(FACT_IMPORTS[[#This Row],[hts_6]],DIM_PRODUCTS[hts_6],DIM_PRODUCTS[hts_4],,,)</f>
        <v>8408</v>
      </c>
      <c r="I8161" t="str" cm="1">
        <f t="array" ref="I8161">_xlfn.XLOOKUP(FACT_IMPORTS[[#This Row],[country_name]],DIM_COUNTRY[[#All],[Column2]],DIM_COUNTRY[[#All],[Column3]],,,)</f>
        <v>Major_Non-USMCA_Non-China</v>
      </c>
    </row>
    <row r="8162" spans="1:9" x14ac:dyDescent="0.4">
      <c r="A8162" t="s">
        <v>71</v>
      </c>
      <c r="B8162" s="1">
        <v>45597</v>
      </c>
      <c r="C8162">
        <v>840991</v>
      </c>
      <c r="D8162" t="s">
        <v>176</v>
      </c>
      <c r="E8162">
        <v>3701579</v>
      </c>
      <c r="F8162">
        <v>252609</v>
      </c>
      <c r="G8162">
        <v>98705</v>
      </c>
      <c r="H8162">
        <f>_xlfn.XLOOKUP(FACT_IMPORTS[[#This Row],[hts_6]],DIM_PRODUCTS[hts_6],DIM_PRODUCTS[hts_4],,,)</f>
        <v>8409</v>
      </c>
      <c r="I8162" t="str" cm="1">
        <f t="array" ref="I8162">_xlfn.XLOOKUP(FACT_IMPORTS[[#This Row],[country_name]],DIM_COUNTRY[[#All],[Column2]],DIM_COUNTRY[[#All],[Column3]],,,)</f>
        <v>Major_Non-USMCA_Non-China</v>
      </c>
    </row>
    <row r="8163" spans="1:9" x14ac:dyDescent="0.4">
      <c r="A8163" t="s">
        <v>71</v>
      </c>
      <c r="B8163" s="1">
        <v>45597</v>
      </c>
      <c r="C8163">
        <v>840999</v>
      </c>
      <c r="D8163" t="s">
        <v>176</v>
      </c>
      <c r="E8163">
        <v>65282</v>
      </c>
      <c r="F8163">
        <v>33905</v>
      </c>
      <c r="G8163">
        <v>403</v>
      </c>
      <c r="H8163">
        <f>_xlfn.XLOOKUP(FACT_IMPORTS[[#This Row],[hts_6]],DIM_PRODUCTS[hts_6],DIM_PRODUCTS[hts_4],,,)</f>
        <v>8409</v>
      </c>
      <c r="I8163" t="str" cm="1">
        <f t="array" ref="I8163">_xlfn.XLOOKUP(FACT_IMPORTS[[#This Row],[country_name]],DIM_COUNTRY[[#All],[Column2]],DIM_COUNTRY[[#All],[Column3]],,,)</f>
        <v>Major_Non-USMCA_Non-China</v>
      </c>
    </row>
    <row r="8164" spans="1:9" x14ac:dyDescent="0.4">
      <c r="A8164" t="s">
        <v>71</v>
      </c>
      <c r="B8164" s="1">
        <v>45597</v>
      </c>
      <c r="C8164">
        <v>841330</v>
      </c>
      <c r="D8164" t="s">
        <v>176</v>
      </c>
      <c r="E8164">
        <v>142985</v>
      </c>
      <c r="F8164">
        <v>9506</v>
      </c>
      <c r="G8164">
        <v>6807</v>
      </c>
      <c r="H8164">
        <f>_xlfn.XLOOKUP(FACT_IMPORTS[[#This Row],[hts_6]],DIM_PRODUCTS[hts_6],DIM_PRODUCTS[hts_4],,,)</f>
        <v>8413</v>
      </c>
      <c r="I8164" t="str" cm="1">
        <f t="array" ref="I8164">_xlfn.XLOOKUP(FACT_IMPORTS[[#This Row],[country_name]],DIM_COUNTRY[[#All],[Column2]],DIM_COUNTRY[[#All],[Column3]],,,)</f>
        <v>Major_Non-USMCA_Non-China</v>
      </c>
    </row>
    <row r="8165" spans="1:9" x14ac:dyDescent="0.4">
      <c r="A8165" t="s">
        <v>71</v>
      </c>
      <c r="B8165" s="1">
        <v>45597</v>
      </c>
      <c r="C8165">
        <v>841520</v>
      </c>
      <c r="D8165" t="s">
        <v>176</v>
      </c>
      <c r="E8165">
        <v>0</v>
      </c>
      <c r="F8165">
        <v>0</v>
      </c>
      <c r="G8165">
        <v>0</v>
      </c>
      <c r="H8165">
        <f>_xlfn.XLOOKUP(FACT_IMPORTS[[#This Row],[hts_6]],DIM_PRODUCTS[hts_6],DIM_PRODUCTS[hts_4],,,)</f>
        <v>8415</v>
      </c>
      <c r="I8165" t="str" cm="1">
        <f t="array" ref="I8165">_xlfn.XLOOKUP(FACT_IMPORTS[[#This Row],[country_name]],DIM_COUNTRY[[#All],[Column2]],DIM_COUNTRY[[#All],[Column3]],,,)</f>
        <v>Major_Non-USMCA_Non-China</v>
      </c>
    </row>
    <row r="8166" spans="1:9" x14ac:dyDescent="0.4">
      <c r="A8166" t="s">
        <v>71</v>
      </c>
      <c r="B8166" s="1">
        <v>45597</v>
      </c>
      <c r="C8166">
        <v>842132</v>
      </c>
      <c r="D8166" t="s">
        <v>176</v>
      </c>
      <c r="E8166">
        <v>78056</v>
      </c>
      <c r="F8166">
        <v>265</v>
      </c>
      <c r="G8166">
        <v>904</v>
      </c>
      <c r="H8166">
        <f>_xlfn.XLOOKUP(FACT_IMPORTS[[#This Row],[hts_6]],DIM_PRODUCTS[hts_6],DIM_PRODUCTS[hts_4],,,)</f>
        <v>8421</v>
      </c>
      <c r="I8166" t="str" cm="1">
        <f t="array" ref="I8166">_xlfn.XLOOKUP(FACT_IMPORTS[[#This Row],[country_name]],DIM_COUNTRY[[#All],[Column2]],DIM_COUNTRY[[#All],[Column3]],,,)</f>
        <v>Major_Non-USMCA_Non-China</v>
      </c>
    </row>
    <row r="8167" spans="1:9" x14ac:dyDescent="0.4">
      <c r="A8167" t="s">
        <v>71</v>
      </c>
      <c r="B8167" s="1">
        <v>45597</v>
      </c>
      <c r="C8167">
        <v>848210</v>
      </c>
      <c r="D8167" t="s">
        <v>176</v>
      </c>
      <c r="E8167">
        <v>39857</v>
      </c>
      <c r="F8167">
        <v>2077</v>
      </c>
      <c r="G8167">
        <v>899</v>
      </c>
      <c r="H8167">
        <f>_xlfn.XLOOKUP(FACT_IMPORTS[[#This Row],[hts_6]],DIM_PRODUCTS[hts_6],DIM_PRODUCTS[hts_4],,,)</f>
        <v>8482</v>
      </c>
      <c r="I8167" t="str" cm="1">
        <f t="array" ref="I8167">_xlfn.XLOOKUP(FACT_IMPORTS[[#This Row],[country_name]],DIM_COUNTRY[[#All],[Column2]],DIM_COUNTRY[[#All],[Column3]],,,)</f>
        <v>Major_Non-USMCA_Non-China</v>
      </c>
    </row>
    <row r="8168" spans="1:9" x14ac:dyDescent="0.4">
      <c r="A8168" t="s">
        <v>71</v>
      </c>
      <c r="B8168" s="1">
        <v>45597</v>
      </c>
      <c r="C8168">
        <v>848220</v>
      </c>
      <c r="D8168" t="s">
        <v>176</v>
      </c>
      <c r="E8168">
        <v>241421</v>
      </c>
      <c r="F8168">
        <v>18843</v>
      </c>
      <c r="G8168">
        <v>2034</v>
      </c>
      <c r="H8168">
        <f>_xlfn.XLOOKUP(FACT_IMPORTS[[#This Row],[hts_6]],DIM_PRODUCTS[hts_6],DIM_PRODUCTS[hts_4],,,)</f>
        <v>8482</v>
      </c>
      <c r="I8168" t="str" cm="1">
        <f t="array" ref="I8168">_xlfn.XLOOKUP(FACT_IMPORTS[[#This Row],[country_name]],DIM_COUNTRY[[#All],[Column2]],DIM_COUNTRY[[#All],[Column3]],,,)</f>
        <v>Major_Non-USMCA_Non-China</v>
      </c>
    </row>
    <row r="8169" spans="1:9" x14ac:dyDescent="0.4">
      <c r="A8169" t="s">
        <v>71</v>
      </c>
      <c r="B8169" s="1">
        <v>45597</v>
      </c>
      <c r="C8169">
        <v>848310</v>
      </c>
      <c r="D8169" t="s">
        <v>176</v>
      </c>
      <c r="E8169">
        <v>375352</v>
      </c>
      <c r="F8169">
        <v>15015</v>
      </c>
      <c r="G8169">
        <v>2503</v>
      </c>
      <c r="H8169">
        <f>_xlfn.XLOOKUP(FACT_IMPORTS[[#This Row],[hts_6]],DIM_PRODUCTS[hts_6],DIM_PRODUCTS[hts_4],,,)</f>
        <v>8483</v>
      </c>
      <c r="I8169" t="str" cm="1">
        <f t="array" ref="I8169">_xlfn.XLOOKUP(FACT_IMPORTS[[#This Row],[country_name]],DIM_COUNTRY[[#All],[Column2]],DIM_COUNTRY[[#All],[Column3]],,,)</f>
        <v>Major_Non-USMCA_Non-China</v>
      </c>
    </row>
    <row r="8170" spans="1:9" x14ac:dyDescent="0.4">
      <c r="A8170" t="s">
        <v>71</v>
      </c>
      <c r="B8170" s="1">
        <v>45597</v>
      </c>
      <c r="C8170">
        <v>850131</v>
      </c>
      <c r="D8170" t="s">
        <v>176</v>
      </c>
      <c r="E8170">
        <v>3767087</v>
      </c>
      <c r="F8170">
        <v>120096</v>
      </c>
      <c r="G8170">
        <v>48388</v>
      </c>
      <c r="H8170">
        <f>_xlfn.XLOOKUP(FACT_IMPORTS[[#This Row],[hts_6]],DIM_PRODUCTS[hts_6],DIM_PRODUCTS[hts_4],,,)</f>
        <v>8501</v>
      </c>
      <c r="I8170" t="str" cm="1">
        <f t="array" ref="I8170">_xlfn.XLOOKUP(FACT_IMPORTS[[#This Row],[country_name]],DIM_COUNTRY[[#All],[Column2]],DIM_COUNTRY[[#All],[Column3]],,,)</f>
        <v>Major_Non-USMCA_Non-China</v>
      </c>
    </row>
    <row r="8171" spans="1:9" x14ac:dyDescent="0.4">
      <c r="A8171" t="s">
        <v>71</v>
      </c>
      <c r="B8171" s="1">
        <v>45597</v>
      </c>
      <c r="C8171">
        <v>850132</v>
      </c>
      <c r="D8171" t="s">
        <v>176</v>
      </c>
      <c r="E8171">
        <v>4037</v>
      </c>
      <c r="F8171">
        <v>6</v>
      </c>
      <c r="G8171">
        <v>1383</v>
      </c>
      <c r="H8171">
        <f>_xlfn.XLOOKUP(FACT_IMPORTS[[#This Row],[hts_6]],DIM_PRODUCTS[hts_6],DIM_PRODUCTS[hts_4],,,)</f>
        <v>8501</v>
      </c>
      <c r="I8171" t="str" cm="1">
        <f t="array" ref="I8171">_xlfn.XLOOKUP(FACT_IMPORTS[[#This Row],[country_name]],DIM_COUNTRY[[#All],[Column2]],DIM_COUNTRY[[#All],[Column3]],,,)</f>
        <v>Major_Non-USMCA_Non-China</v>
      </c>
    </row>
    <row r="8172" spans="1:9" x14ac:dyDescent="0.4">
      <c r="A8172" t="s">
        <v>71</v>
      </c>
      <c r="B8172" s="1">
        <v>45597</v>
      </c>
      <c r="C8172">
        <v>850133</v>
      </c>
      <c r="D8172" t="s">
        <v>176</v>
      </c>
      <c r="E8172">
        <v>0</v>
      </c>
      <c r="F8172">
        <v>0</v>
      </c>
      <c r="G8172">
        <v>0</v>
      </c>
      <c r="H8172">
        <f>_xlfn.XLOOKUP(FACT_IMPORTS[[#This Row],[hts_6]],DIM_PRODUCTS[hts_6],DIM_PRODUCTS[hts_4],,,)</f>
        <v>8501</v>
      </c>
      <c r="I8172" t="str" cm="1">
        <f t="array" ref="I8172">_xlfn.XLOOKUP(FACT_IMPORTS[[#This Row],[country_name]],DIM_COUNTRY[[#All],[Column2]],DIM_COUNTRY[[#All],[Column3]],,,)</f>
        <v>Major_Non-USMCA_Non-China</v>
      </c>
    </row>
    <row r="8173" spans="1:9" x14ac:dyDescent="0.4">
      <c r="A8173" t="s">
        <v>71</v>
      </c>
      <c r="B8173" s="1">
        <v>45597</v>
      </c>
      <c r="C8173">
        <v>850152</v>
      </c>
      <c r="D8173" t="s">
        <v>176</v>
      </c>
      <c r="E8173">
        <v>172302</v>
      </c>
      <c r="F8173">
        <v>294</v>
      </c>
      <c r="G8173">
        <v>7261</v>
      </c>
      <c r="H8173">
        <f>_xlfn.XLOOKUP(FACT_IMPORTS[[#This Row],[hts_6]],DIM_PRODUCTS[hts_6],DIM_PRODUCTS[hts_4],,,)</f>
        <v>8501</v>
      </c>
      <c r="I8173" t="str" cm="1">
        <f t="array" ref="I8173">_xlfn.XLOOKUP(FACT_IMPORTS[[#This Row],[country_name]],DIM_COUNTRY[[#All],[Column2]],DIM_COUNTRY[[#All],[Column3]],,,)</f>
        <v>Major_Non-USMCA_Non-China</v>
      </c>
    </row>
    <row r="8174" spans="1:9" x14ac:dyDescent="0.4">
      <c r="A8174" t="s">
        <v>71</v>
      </c>
      <c r="B8174" s="1">
        <v>45597</v>
      </c>
      <c r="C8174">
        <v>850153</v>
      </c>
      <c r="D8174" t="s">
        <v>176</v>
      </c>
      <c r="E8174">
        <v>0</v>
      </c>
      <c r="F8174">
        <v>0</v>
      </c>
      <c r="G8174">
        <v>0</v>
      </c>
      <c r="H8174">
        <f>_xlfn.XLOOKUP(FACT_IMPORTS[[#This Row],[hts_6]],DIM_PRODUCTS[hts_6],DIM_PRODUCTS[hts_4],,,)</f>
        <v>8501</v>
      </c>
      <c r="I8174" t="str" cm="1">
        <f t="array" ref="I8174">_xlfn.XLOOKUP(FACT_IMPORTS[[#This Row],[country_name]],DIM_COUNTRY[[#All],[Column2]],DIM_COUNTRY[[#All],[Column3]],,,)</f>
        <v>Major_Non-USMCA_Non-China</v>
      </c>
    </row>
    <row r="8175" spans="1:9" x14ac:dyDescent="0.4">
      <c r="A8175" t="s">
        <v>71</v>
      </c>
      <c r="B8175" s="1">
        <v>45597</v>
      </c>
      <c r="C8175">
        <v>850161</v>
      </c>
      <c r="D8175" t="s">
        <v>176</v>
      </c>
      <c r="E8175">
        <v>25056</v>
      </c>
      <c r="F8175">
        <v>90</v>
      </c>
      <c r="G8175">
        <v>131</v>
      </c>
      <c r="H8175">
        <f>_xlfn.XLOOKUP(FACT_IMPORTS[[#This Row],[hts_6]],DIM_PRODUCTS[hts_6],DIM_PRODUCTS[hts_4],,,)</f>
        <v>8501</v>
      </c>
      <c r="I8175" t="str" cm="1">
        <f t="array" ref="I8175">_xlfn.XLOOKUP(FACT_IMPORTS[[#This Row],[country_name]],DIM_COUNTRY[[#All],[Column2]],DIM_COUNTRY[[#All],[Column3]],,,)</f>
        <v>Major_Non-USMCA_Non-China</v>
      </c>
    </row>
    <row r="8176" spans="1:9" x14ac:dyDescent="0.4">
      <c r="A8176" t="s">
        <v>71</v>
      </c>
      <c r="B8176" s="1">
        <v>45597</v>
      </c>
      <c r="C8176">
        <v>850440</v>
      </c>
      <c r="D8176" t="s">
        <v>176</v>
      </c>
      <c r="E8176">
        <v>273247</v>
      </c>
      <c r="F8176">
        <v>214</v>
      </c>
      <c r="G8176">
        <v>9054</v>
      </c>
      <c r="H8176">
        <f>_xlfn.XLOOKUP(FACT_IMPORTS[[#This Row],[hts_6]],DIM_PRODUCTS[hts_6],DIM_PRODUCTS[hts_4],,,)</f>
        <v>8504</v>
      </c>
      <c r="I8176" t="str" cm="1">
        <f t="array" ref="I8176">_xlfn.XLOOKUP(FACT_IMPORTS[[#This Row],[country_name]],DIM_COUNTRY[[#All],[Column2]],DIM_COUNTRY[[#All],[Column3]],,,)</f>
        <v>Major_Non-USMCA_Non-China</v>
      </c>
    </row>
    <row r="8177" spans="1:9" x14ac:dyDescent="0.4">
      <c r="A8177" t="s">
        <v>71</v>
      </c>
      <c r="B8177" s="1">
        <v>45597</v>
      </c>
      <c r="C8177">
        <v>850710</v>
      </c>
      <c r="D8177" t="s">
        <v>176</v>
      </c>
      <c r="E8177">
        <v>0</v>
      </c>
      <c r="F8177">
        <v>0</v>
      </c>
      <c r="G8177">
        <v>0</v>
      </c>
      <c r="H8177">
        <f>_xlfn.XLOOKUP(FACT_IMPORTS[[#This Row],[hts_6]],DIM_PRODUCTS[hts_6],DIM_PRODUCTS[hts_4],,,)</f>
        <v>8507</v>
      </c>
      <c r="I8177" t="str" cm="1">
        <f t="array" ref="I8177">_xlfn.XLOOKUP(FACT_IMPORTS[[#This Row],[country_name]],DIM_COUNTRY[[#All],[Column2]],DIM_COUNTRY[[#All],[Column3]],,,)</f>
        <v>Major_Non-USMCA_Non-China</v>
      </c>
    </row>
    <row r="8178" spans="1:9" x14ac:dyDescent="0.4">
      <c r="A8178" t="s">
        <v>71</v>
      </c>
      <c r="B8178" s="1">
        <v>45597</v>
      </c>
      <c r="C8178">
        <v>850760</v>
      </c>
      <c r="D8178" t="s">
        <v>176</v>
      </c>
      <c r="E8178">
        <v>48205</v>
      </c>
      <c r="F8178">
        <v>313</v>
      </c>
      <c r="G8178">
        <v>2523</v>
      </c>
      <c r="H8178">
        <f>_xlfn.XLOOKUP(FACT_IMPORTS[[#This Row],[hts_6]],DIM_PRODUCTS[hts_6],DIM_PRODUCTS[hts_4],,,)</f>
        <v>8507</v>
      </c>
      <c r="I8178" t="str" cm="1">
        <f t="array" ref="I8178">_xlfn.XLOOKUP(FACT_IMPORTS[[#This Row],[country_name]],DIM_COUNTRY[[#All],[Column2]],DIM_COUNTRY[[#All],[Column3]],,,)</f>
        <v>Major_Non-USMCA_Non-China</v>
      </c>
    </row>
    <row r="8179" spans="1:9" x14ac:dyDescent="0.4">
      <c r="A8179" t="s">
        <v>71</v>
      </c>
      <c r="B8179" s="1">
        <v>45597</v>
      </c>
      <c r="C8179">
        <v>850790</v>
      </c>
      <c r="D8179" t="s">
        <v>176</v>
      </c>
      <c r="E8179">
        <v>0</v>
      </c>
      <c r="F8179">
        <v>0</v>
      </c>
      <c r="G8179">
        <v>0</v>
      </c>
      <c r="H8179">
        <f>_xlfn.XLOOKUP(FACT_IMPORTS[[#This Row],[hts_6]],DIM_PRODUCTS[hts_6],DIM_PRODUCTS[hts_4],,,)</f>
        <v>8507</v>
      </c>
      <c r="I8179" t="str" cm="1">
        <f t="array" ref="I8179">_xlfn.XLOOKUP(FACT_IMPORTS[[#This Row],[country_name]],DIM_COUNTRY[[#All],[Column2]],DIM_COUNTRY[[#All],[Column3]],,,)</f>
        <v>Major_Non-USMCA_Non-China</v>
      </c>
    </row>
    <row r="8180" spans="1:9" x14ac:dyDescent="0.4">
      <c r="A8180" t="s">
        <v>71</v>
      </c>
      <c r="B8180" s="1">
        <v>45597</v>
      </c>
      <c r="C8180">
        <v>851110</v>
      </c>
      <c r="D8180" t="s">
        <v>176</v>
      </c>
      <c r="E8180">
        <v>61607</v>
      </c>
      <c r="F8180">
        <v>3525</v>
      </c>
      <c r="G8180">
        <v>557</v>
      </c>
      <c r="H8180">
        <f>_xlfn.XLOOKUP(FACT_IMPORTS[[#This Row],[hts_6]],DIM_PRODUCTS[hts_6],DIM_PRODUCTS[hts_4],,,)</f>
        <v>8511</v>
      </c>
      <c r="I8180" t="str" cm="1">
        <f t="array" ref="I8180">_xlfn.XLOOKUP(FACT_IMPORTS[[#This Row],[country_name]],DIM_COUNTRY[[#All],[Column2]],DIM_COUNTRY[[#All],[Column3]],,,)</f>
        <v>Major_Non-USMCA_Non-China</v>
      </c>
    </row>
    <row r="8181" spans="1:9" x14ac:dyDescent="0.4">
      <c r="A8181" t="s">
        <v>71</v>
      </c>
      <c r="B8181" s="1">
        <v>45597</v>
      </c>
      <c r="C8181">
        <v>851130</v>
      </c>
      <c r="D8181" t="s">
        <v>176</v>
      </c>
      <c r="E8181">
        <v>9691</v>
      </c>
      <c r="F8181">
        <v>1920</v>
      </c>
      <c r="G8181">
        <v>150</v>
      </c>
      <c r="H8181">
        <f>_xlfn.XLOOKUP(FACT_IMPORTS[[#This Row],[hts_6]],DIM_PRODUCTS[hts_6],DIM_PRODUCTS[hts_4],,,)</f>
        <v>8511</v>
      </c>
      <c r="I8181" t="str" cm="1">
        <f t="array" ref="I8181">_xlfn.XLOOKUP(FACT_IMPORTS[[#This Row],[country_name]],DIM_COUNTRY[[#All],[Column2]],DIM_COUNTRY[[#All],[Column3]],,,)</f>
        <v>Major_Non-USMCA_Non-China</v>
      </c>
    </row>
    <row r="8182" spans="1:9" x14ac:dyDescent="0.4">
      <c r="A8182" t="s">
        <v>71</v>
      </c>
      <c r="B8182" s="1">
        <v>45597</v>
      </c>
      <c r="C8182">
        <v>851140</v>
      </c>
      <c r="D8182" t="s">
        <v>176</v>
      </c>
      <c r="E8182">
        <v>948867</v>
      </c>
      <c r="F8182">
        <v>17046</v>
      </c>
      <c r="G8182">
        <v>2288</v>
      </c>
      <c r="H8182">
        <f>_xlfn.XLOOKUP(FACT_IMPORTS[[#This Row],[hts_6]],DIM_PRODUCTS[hts_6],DIM_PRODUCTS[hts_4],,,)</f>
        <v>8511</v>
      </c>
      <c r="I8182" t="str" cm="1">
        <f t="array" ref="I8182">_xlfn.XLOOKUP(FACT_IMPORTS[[#This Row],[country_name]],DIM_COUNTRY[[#All],[Column2]],DIM_COUNTRY[[#All],[Column3]],,,)</f>
        <v>Major_Non-USMCA_Non-China</v>
      </c>
    </row>
    <row r="8183" spans="1:9" x14ac:dyDescent="0.4">
      <c r="A8183" t="s">
        <v>71</v>
      </c>
      <c r="B8183" s="1">
        <v>45597</v>
      </c>
      <c r="C8183">
        <v>851150</v>
      </c>
      <c r="D8183" t="s">
        <v>176</v>
      </c>
      <c r="E8183">
        <v>60613</v>
      </c>
      <c r="F8183">
        <v>623</v>
      </c>
      <c r="G8183">
        <v>153</v>
      </c>
      <c r="H8183">
        <f>_xlfn.XLOOKUP(FACT_IMPORTS[[#This Row],[hts_6]],DIM_PRODUCTS[hts_6],DIM_PRODUCTS[hts_4],,,)</f>
        <v>8511</v>
      </c>
      <c r="I8183" t="str" cm="1">
        <f t="array" ref="I8183">_xlfn.XLOOKUP(FACT_IMPORTS[[#This Row],[country_name]],DIM_COUNTRY[[#All],[Column2]],DIM_COUNTRY[[#All],[Column3]],,,)</f>
        <v>Major_Non-USMCA_Non-China</v>
      </c>
    </row>
    <row r="8184" spans="1:9" x14ac:dyDescent="0.4">
      <c r="A8184" t="s">
        <v>71</v>
      </c>
      <c r="B8184" s="1">
        <v>45597</v>
      </c>
      <c r="C8184">
        <v>851180</v>
      </c>
      <c r="D8184" t="s">
        <v>176</v>
      </c>
      <c r="E8184">
        <v>25684</v>
      </c>
      <c r="F8184">
        <v>412</v>
      </c>
      <c r="G8184">
        <v>83</v>
      </c>
      <c r="H8184">
        <f>_xlfn.XLOOKUP(FACT_IMPORTS[[#This Row],[hts_6]],DIM_PRODUCTS[hts_6],DIM_PRODUCTS[hts_4],,,)</f>
        <v>8511</v>
      </c>
      <c r="I8184" t="str" cm="1">
        <f t="array" ref="I8184">_xlfn.XLOOKUP(FACT_IMPORTS[[#This Row],[country_name]],DIM_COUNTRY[[#All],[Column2]],DIM_COUNTRY[[#All],[Column3]],,,)</f>
        <v>Major_Non-USMCA_Non-China</v>
      </c>
    </row>
    <row r="8185" spans="1:9" x14ac:dyDescent="0.4">
      <c r="A8185" t="s">
        <v>71</v>
      </c>
      <c r="B8185" s="1">
        <v>45597</v>
      </c>
      <c r="C8185">
        <v>851190</v>
      </c>
      <c r="D8185" t="s">
        <v>176</v>
      </c>
      <c r="E8185">
        <v>0</v>
      </c>
      <c r="F8185">
        <v>0</v>
      </c>
      <c r="G8185">
        <v>0</v>
      </c>
      <c r="H8185">
        <f>_xlfn.XLOOKUP(FACT_IMPORTS[[#This Row],[hts_6]],DIM_PRODUCTS[hts_6],DIM_PRODUCTS[hts_4],,,)</f>
        <v>8511</v>
      </c>
      <c r="I8185" t="str" cm="1">
        <f t="array" ref="I8185">_xlfn.XLOOKUP(FACT_IMPORTS[[#This Row],[country_name]],DIM_COUNTRY[[#All],[Column2]],DIM_COUNTRY[[#All],[Column3]],,,)</f>
        <v>Major_Non-USMCA_Non-China</v>
      </c>
    </row>
    <row r="8186" spans="1:9" x14ac:dyDescent="0.4">
      <c r="A8186" t="s">
        <v>71</v>
      </c>
      <c r="B8186" s="1">
        <v>45597</v>
      </c>
      <c r="C8186">
        <v>851220</v>
      </c>
      <c r="D8186" t="s">
        <v>176</v>
      </c>
      <c r="E8186">
        <v>13115</v>
      </c>
      <c r="F8186">
        <v>27</v>
      </c>
      <c r="G8186">
        <v>291</v>
      </c>
      <c r="H8186">
        <f>_xlfn.XLOOKUP(FACT_IMPORTS[[#This Row],[hts_6]],DIM_PRODUCTS[hts_6],DIM_PRODUCTS[hts_4],,,)</f>
        <v>8512</v>
      </c>
      <c r="I8186" t="str" cm="1">
        <f t="array" ref="I8186">_xlfn.XLOOKUP(FACT_IMPORTS[[#This Row],[country_name]],DIM_COUNTRY[[#All],[Column2]],DIM_COUNTRY[[#All],[Column3]],,,)</f>
        <v>Major_Non-USMCA_Non-China</v>
      </c>
    </row>
    <row r="8187" spans="1:9" x14ac:dyDescent="0.4">
      <c r="A8187" t="s">
        <v>71</v>
      </c>
      <c r="B8187" s="1">
        <v>45597</v>
      </c>
      <c r="C8187">
        <v>851230</v>
      </c>
      <c r="D8187" t="s">
        <v>176</v>
      </c>
      <c r="E8187">
        <v>20706</v>
      </c>
      <c r="F8187">
        <v>700</v>
      </c>
      <c r="G8187">
        <v>759</v>
      </c>
      <c r="H8187">
        <f>_xlfn.XLOOKUP(FACT_IMPORTS[[#This Row],[hts_6]],DIM_PRODUCTS[hts_6],DIM_PRODUCTS[hts_4],,,)</f>
        <v>8512</v>
      </c>
      <c r="I8187" t="str" cm="1">
        <f t="array" ref="I8187">_xlfn.XLOOKUP(FACT_IMPORTS[[#This Row],[country_name]],DIM_COUNTRY[[#All],[Column2]],DIM_COUNTRY[[#All],[Column3]],,,)</f>
        <v>Major_Non-USMCA_Non-China</v>
      </c>
    </row>
    <row r="8188" spans="1:9" x14ac:dyDescent="0.4">
      <c r="A8188" t="s">
        <v>71</v>
      </c>
      <c r="B8188" s="1">
        <v>45597</v>
      </c>
      <c r="C8188">
        <v>851290</v>
      </c>
      <c r="D8188" t="s">
        <v>176</v>
      </c>
      <c r="E8188">
        <v>51715</v>
      </c>
      <c r="F8188">
        <v>1517</v>
      </c>
      <c r="G8188">
        <v>840</v>
      </c>
      <c r="H8188">
        <f>_xlfn.XLOOKUP(FACT_IMPORTS[[#This Row],[hts_6]],DIM_PRODUCTS[hts_6],DIM_PRODUCTS[hts_4],,,)</f>
        <v>8512</v>
      </c>
      <c r="I8188" t="str" cm="1">
        <f t="array" ref="I8188">_xlfn.XLOOKUP(FACT_IMPORTS[[#This Row],[country_name]],DIM_COUNTRY[[#All],[Column2]],DIM_COUNTRY[[#All],[Column3]],,,)</f>
        <v>Major_Non-USMCA_Non-China</v>
      </c>
    </row>
    <row r="8189" spans="1:9" x14ac:dyDescent="0.4">
      <c r="A8189" t="s">
        <v>71</v>
      </c>
      <c r="B8189" s="1">
        <v>45597</v>
      </c>
      <c r="C8189">
        <v>854231</v>
      </c>
      <c r="D8189" t="s">
        <v>176</v>
      </c>
      <c r="E8189">
        <v>154155</v>
      </c>
      <c r="F8189">
        <v>18032</v>
      </c>
      <c r="G8189">
        <v>2002</v>
      </c>
      <c r="H8189">
        <f>_xlfn.XLOOKUP(FACT_IMPORTS[[#This Row],[hts_6]],DIM_PRODUCTS[hts_6],DIM_PRODUCTS[hts_4],,,)</f>
        <v>8542</v>
      </c>
      <c r="I8189" t="str" cm="1">
        <f t="array" ref="I8189">_xlfn.XLOOKUP(FACT_IMPORTS[[#This Row],[country_name]],DIM_COUNTRY[[#All],[Column2]],DIM_COUNTRY[[#All],[Column3]],,,)</f>
        <v>Major_Non-USMCA_Non-China</v>
      </c>
    </row>
    <row r="8190" spans="1:9" x14ac:dyDescent="0.4">
      <c r="A8190" t="s">
        <v>71</v>
      </c>
      <c r="B8190" s="1">
        <v>45597</v>
      </c>
      <c r="C8190">
        <v>854232</v>
      </c>
      <c r="D8190" t="s">
        <v>176</v>
      </c>
      <c r="E8190">
        <v>2614</v>
      </c>
      <c r="F8190">
        <v>25</v>
      </c>
      <c r="G8190">
        <v>31</v>
      </c>
      <c r="H8190">
        <f>_xlfn.XLOOKUP(FACT_IMPORTS[[#This Row],[hts_6]],DIM_PRODUCTS[hts_6],DIM_PRODUCTS[hts_4],,,)</f>
        <v>8542</v>
      </c>
      <c r="I8190" t="str" cm="1">
        <f t="array" ref="I8190">_xlfn.XLOOKUP(FACT_IMPORTS[[#This Row],[country_name]],DIM_COUNTRY[[#All],[Column2]],DIM_COUNTRY[[#All],[Column3]],,,)</f>
        <v>Major_Non-USMCA_Non-China</v>
      </c>
    </row>
    <row r="8191" spans="1:9" x14ac:dyDescent="0.4">
      <c r="A8191" t="s">
        <v>71</v>
      </c>
      <c r="B8191" s="1">
        <v>45597</v>
      </c>
      <c r="C8191">
        <v>854239</v>
      </c>
      <c r="D8191" t="s">
        <v>176</v>
      </c>
      <c r="E8191">
        <v>0</v>
      </c>
      <c r="F8191">
        <v>0</v>
      </c>
      <c r="G8191">
        <v>0</v>
      </c>
      <c r="H8191">
        <f>_xlfn.XLOOKUP(FACT_IMPORTS[[#This Row],[hts_6]],DIM_PRODUCTS[hts_6],DIM_PRODUCTS[hts_4],,,)</f>
        <v>8542</v>
      </c>
      <c r="I8191" t="str" cm="1">
        <f t="array" ref="I8191">_xlfn.XLOOKUP(FACT_IMPORTS[[#This Row],[country_name]],DIM_COUNTRY[[#All],[Column2]],DIM_COUNTRY[[#All],[Column3]],,,)</f>
        <v>Major_Non-USMCA_Non-China</v>
      </c>
    </row>
    <row r="8192" spans="1:9" x14ac:dyDescent="0.4">
      <c r="A8192" t="s">
        <v>71</v>
      </c>
      <c r="B8192" s="1">
        <v>45597</v>
      </c>
      <c r="C8192">
        <v>854290</v>
      </c>
      <c r="D8192" t="s">
        <v>176</v>
      </c>
      <c r="E8192">
        <v>0</v>
      </c>
      <c r="F8192">
        <v>0</v>
      </c>
      <c r="G8192">
        <v>0</v>
      </c>
      <c r="H8192">
        <f>_xlfn.XLOOKUP(FACT_IMPORTS[[#This Row],[hts_6]],DIM_PRODUCTS[hts_6],DIM_PRODUCTS[hts_4],,,)</f>
        <v>8542</v>
      </c>
      <c r="I8192" t="str" cm="1">
        <f t="array" ref="I8192">_xlfn.XLOOKUP(FACT_IMPORTS[[#This Row],[country_name]],DIM_COUNTRY[[#All],[Column2]],DIM_COUNTRY[[#All],[Column3]],,,)</f>
        <v>Major_Non-USMCA_Non-China</v>
      </c>
    </row>
    <row r="8193" spans="1:9" x14ac:dyDescent="0.4">
      <c r="A8193" t="s">
        <v>71</v>
      </c>
      <c r="B8193" s="1">
        <v>45597</v>
      </c>
      <c r="C8193">
        <v>854430</v>
      </c>
      <c r="D8193" t="s">
        <v>176</v>
      </c>
      <c r="E8193">
        <v>0</v>
      </c>
      <c r="F8193">
        <v>0</v>
      </c>
      <c r="G8193">
        <v>0</v>
      </c>
      <c r="H8193">
        <f>_xlfn.XLOOKUP(FACT_IMPORTS[[#This Row],[hts_6]],DIM_PRODUCTS[hts_6],DIM_PRODUCTS[hts_4],,,)</f>
        <v>8544</v>
      </c>
      <c r="I8193" t="str" cm="1">
        <f t="array" ref="I8193">_xlfn.XLOOKUP(FACT_IMPORTS[[#This Row],[country_name]],DIM_COUNTRY[[#All],[Column2]],DIM_COUNTRY[[#All],[Column3]],,,)</f>
        <v>Major_Non-USMCA_Non-China</v>
      </c>
    </row>
    <row r="8194" spans="1:9" x14ac:dyDescent="0.4">
      <c r="A8194" t="s">
        <v>71</v>
      </c>
      <c r="B8194" s="1">
        <v>45597</v>
      </c>
      <c r="C8194">
        <v>870790</v>
      </c>
      <c r="D8194" t="s">
        <v>176</v>
      </c>
      <c r="E8194">
        <v>10442</v>
      </c>
      <c r="F8194">
        <v>6</v>
      </c>
      <c r="G8194">
        <v>1000</v>
      </c>
      <c r="H8194">
        <f>_xlfn.XLOOKUP(FACT_IMPORTS[[#This Row],[hts_6]],DIM_PRODUCTS[hts_6],DIM_PRODUCTS[hts_4],,,)</f>
        <v>8707</v>
      </c>
      <c r="I8194" t="str" cm="1">
        <f t="array" ref="I8194">_xlfn.XLOOKUP(FACT_IMPORTS[[#This Row],[country_name]],DIM_COUNTRY[[#All],[Column2]],DIM_COUNTRY[[#All],[Column3]],,,)</f>
        <v>Major_Non-USMCA_Non-China</v>
      </c>
    </row>
    <row r="8195" spans="1:9" x14ac:dyDescent="0.4">
      <c r="A8195" t="s">
        <v>71</v>
      </c>
      <c r="B8195" s="1">
        <v>45597</v>
      </c>
      <c r="C8195">
        <v>870810</v>
      </c>
      <c r="D8195" t="s">
        <v>176</v>
      </c>
      <c r="E8195">
        <v>0</v>
      </c>
      <c r="F8195">
        <v>0</v>
      </c>
      <c r="G8195">
        <v>0</v>
      </c>
      <c r="H8195">
        <f>_xlfn.XLOOKUP(FACT_IMPORTS[[#This Row],[hts_6]],DIM_PRODUCTS[hts_6],DIM_PRODUCTS[hts_4],,,)</f>
        <v>8708</v>
      </c>
      <c r="I8195" t="str" cm="1">
        <f t="array" ref="I8195">_xlfn.XLOOKUP(FACT_IMPORTS[[#This Row],[country_name]],DIM_COUNTRY[[#All],[Column2]],DIM_COUNTRY[[#All],[Column3]],,,)</f>
        <v>Major_Non-USMCA_Non-China</v>
      </c>
    </row>
    <row r="8196" spans="1:9" x14ac:dyDescent="0.4">
      <c r="A8196" t="s">
        <v>71</v>
      </c>
      <c r="B8196" s="1">
        <v>45597</v>
      </c>
      <c r="C8196">
        <v>870829</v>
      </c>
      <c r="D8196" t="s">
        <v>176</v>
      </c>
      <c r="E8196">
        <v>2431208</v>
      </c>
      <c r="F8196">
        <v>173922</v>
      </c>
      <c r="G8196">
        <v>59959</v>
      </c>
      <c r="H8196">
        <f>_xlfn.XLOOKUP(FACT_IMPORTS[[#This Row],[hts_6]],DIM_PRODUCTS[hts_6],DIM_PRODUCTS[hts_4],,,)</f>
        <v>8708</v>
      </c>
      <c r="I8196" t="str" cm="1">
        <f t="array" ref="I8196">_xlfn.XLOOKUP(FACT_IMPORTS[[#This Row],[country_name]],DIM_COUNTRY[[#All],[Column2]],DIM_COUNTRY[[#All],[Column3]],,,)</f>
        <v>Major_Non-USMCA_Non-China</v>
      </c>
    </row>
    <row r="8197" spans="1:9" x14ac:dyDescent="0.4">
      <c r="A8197" t="s">
        <v>71</v>
      </c>
      <c r="B8197" s="1">
        <v>45597</v>
      </c>
      <c r="C8197">
        <v>870830</v>
      </c>
      <c r="D8197" t="s">
        <v>176</v>
      </c>
      <c r="E8197">
        <v>694854</v>
      </c>
      <c r="F8197">
        <v>86428</v>
      </c>
      <c r="G8197">
        <v>7077</v>
      </c>
      <c r="H8197">
        <f>_xlfn.XLOOKUP(FACT_IMPORTS[[#This Row],[hts_6]],DIM_PRODUCTS[hts_6],DIM_PRODUCTS[hts_4],,,)</f>
        <v>8708</v>
      </c>
      <c r="I8197" t="str" cm="1">
        <f t="array" ref="I8197">_xlfn.XLOOKUP(FACT_IMPORTS[[#This Row],[country_name]],DIM_COUNTRY[[#All],[Column2]],DIM_COUNTRY[[#All],[Column3]],,,)</f>
        <v>Major_Non-USMCA_Non-China</v>
      </c>
    </row>
    <row r="8198" spans="1:9" x14ac:dyDescent="0.4">
      <c r="A8198" t="s">
        <v>71</v>
      </c>
      <c r="B8198" s="1">
        <v>45597</v>
      </c>
      <c r="C8198">
        <v>870840</v>
      </c>
      <c r="D8198" t="s">
        <v>176</v>
      </c>
      <c r="E8198">
        <v>1333391</v>
      </c>
      <c r="F8198">
        <v>10400</v>
      </c>
      <c r="G8198">
        <v>177861</v>
      </c>
      <c r="H8198">
        <f>_xlfn.XLOOKUP(FACT_IMPORTS[[#This Row],[hts_6]],DIM_PRODUCTS[hts_6],DIM_PRODUCTS[hts_4],,,)</f>
        <v>8708</v>
      </c>
      <c r="I8198" t="str" cm="1">
        <f t="array" ref="I8198">_xlfn.XLOOKUP(FACT_IMPORTS[[#This Row],[country_name]],DIM_COUNTRY[[#All],[Column2]],DIM_COUNTRY[[#All],[Column3]],,,)</f>
        <v>Major_Non-USMCA_Non-China</v>
      </c>
    </row>
    <row r="8199" spans="1:9" x14ac:dyDescent="0.4">
      <c r="A8199" t="s">
        <v>71</v>
      </c>
      <c r="B8199" s="1">
        <v>45597</v>
      </c>
      <c r="C8199">
        <v>870850</v>
      </c>
      <c r="D8199" t="s">
        <v>176</v>
      </c>
      <c r="E8199">
        <v>18099</v>
      </c>
      <c r="F8199">
        <v>4</v>
      </c>
      <c r="G8199">
        <v>1474</v>
      </c>
      <c r="H8199">
        <f>_xlfn.XLOOKUP(FACT_IMPORTS[[#This Row],[hts_6]],DIM_PRODUCTS[hts_6],DIM_PRODUCTS[hts_4],,,)</f>
        <v>8708</v>
      </c>
      <c r="I8199" t="str" cm="1">
        <f t="array" ref="I8199">_xlfn.XLOOKUP(FACT_IMPORTS[[#This Row],[country_name]],DIM_COUNTRY[[#All],[Column2]],DIM_COUNTRY[[#All],[Column3]],,,)</f>
        <v>Major_Non-USMCA_Non-China</v>
      </c>
    </row>
    <row r="8200" spans="1:9" x14ac:dyDescent="0.4">
      <c r="A8200" t="s">
        <v>71</v>
      </c>
      <c r="B8200" s="1">
        <v>45597</v>
      </c>
      <c r="C8200">
        <v>870870</v>
      </c>
      <c r="D8200" t="s">
        <v>176</v>
      </c>
      <c r="E8200">
        <v>12769</v>
      </c>
      <c r="F8200">
        <v>361</v>
      </c>
      <c r="G8200">
        <v>190</v>
      </c>
      <c r="H8200">
        <f>_xlfn.XLOOKUP(FACT_IMPORTS[[#This Row],[hts_6]],DIM_PRODUCTS[hts_6],DIM_PRODUCTS[hts_4],,,)</f>
        <v>8708</v>
      </c>
      <c r="I8200" t="str" cm="1">
        <f t="array" ref="I8200">_xlfn.XLOOKUP(FACT_IMPORTS[[#This Row],[country_name]],DIM_COUNTRY[[#All],[Column2]],DIM_COUNTRY[[#All],[Column3]],,,)</f>
        <v>Major_Non-USMCA_Non-China</v>
      </c>
    </row>
    <row r="8201" spans="1:9" x14ac:dyDescent="0.4">
      <c r="A8201" t="s">
        <v>71</v>
      </c>
      <c r="B8201" s="1">
        <v>45597</v>
      </c>
      <c r="C8201">
        <v>870880</v>
      </c>
      <c r="D8201" t="s">
        <v>176</v>
      </c>
      <c r="E8201">
        <v>742336</v>
      </c>
      <c r="F8201">
        <v>4090</v>
      </c>
      <c r="G8201">
        <v>10865</v>
      </c>
      <c r="H8201">
        <f>_xlfn.XLOOKUP(FACT_IMPORTS[[#This Row],[hts_6]],DIM_PRODUCTS[hts_6],DIM_PRODUCTS[hts_4],,,)</f>
        <v>8708</v>
      </c>
      <c r="I8201" t="str" cm="1">
        <f t="array" ref="I8201">_xlfn.XLOOKUP(FACT_IMPORTS[[#This Row],[country_name]],DIM_COUNTRY[[#All],[Column2]],DIM_COUNTRY[[#All],[Column3]],,,)</f>
        <v>Major_Non-USMCA_Non-China</v>
      </c>
    </row>
    <row r="8202" spans="1:9" x14ac:dyDescent="0.4">
      <c r="A8202" t="s">
        <v>71</v>
      </c>
      <c r="B8202" s="1">
        <v>45597</v>
      </c>
      <c r="C8202">
        <v>870891</v>
      </c>
      <c r="D8202" t="s">
        <v>176</v>
      </c>
      <c r="E8202">
        <v>137870</v>
      </c>
      <c r="F8202">
        <v>126352</v>
      </c>
      <c r="G8202">
        <v>1794</v>
      </c>
      <c r="H8202">
        <f>_xlfn.XLOOKUP(FACT_IMPORTS[[#This Row],[hts_6]],DIM_PRODUCTS[hts_6],DIM_PRODUCTS[hts_4],,,)</f>
        <v>8708</v>
      </c>
      <c r="I8202" t="str" cm="1">
        <f t="array" ref="I8202">_xlfn.XLOOKUP(FACT_IMPORTS[[#This Row],[country_name]],DIM_COUNTRY[[#All],[Column2]],DIM_COUNTRY[[#All],[Column3]],,,)</f>
        <v>Major_Non-USMCA_Non-China</v>
      </c>
    </row>
    <row r="8203" spans="1:9" x14ac:dyDescent="0.4">
      <c r="A8203" t="s">
        <v>71</v>
      </c>
      <c r="B8203" s="1">
        <v>45597</v>
      </c>
      <c r="C8203">
        <v>870893</v>
      </c>
      <c r="D8203" t="s">
        <v>176</v>
      </c>
      <c r="E8203">
        <v>1123236</v>
      </c>
      <c r="F8203">
        <v>441843</v>
      </c>
      <c r="G8203">
        <v>17739</v>
      </c>
      <c r="H8203">
        <f>_xlfn.XLOOKUP(FACT_IMPORTS[[#This Row],[hts_6]],DIM_PRODUCTS[hts_6],DIM_PRODUCTS[hts_4],,,)</f>
        <v>8708</v>
      </c>
      <c r="I8203" t="str" cm="1">
        <f t="array" ref="I8203">_xlfn.XLOOKUP(FACT_IMPORTS[[#This Row],[country_name]],DIM_COUNTRY[[#All],[Column2]],DIM_COUNTRY[[#All],[Column3]],,,)</f>
        <v>Major_Non-USMCA_Non-China</v>
      </c>
    </row>
    <row r="8204" spans="1:9" x14ac:dyDescent="0.4">
      <c r="A8204" t="s">
        <v>71</v>
      </c>
      <c r="B8204" s="1">
        <v>45597</v>
      </c>
      <c r="C8204">
        <v>870894</v>
      </c>
      <c r="D8204" t="s">
        <v>176</v>
      </c>
      <c r="E8204">
        <v>133690</v>
      </c>
      <c r="F8204">
        <v>432</v>
      </c>
      <c r="G8204">
        <v>76029</v>
      </c>
      <c r="H8204">
        <f>_xlfn.XLOOKUP(FACT_IMPORTS[[#This Row],[hts_6]],DIM_PRODUCTS[hts_6],DIM_PRODUCTS[hts_4],,,)</f>
        <v>8708</v>
      </c>
      <c r="I8204" t="str" cm="1">
        <f t="array" ref="I8204">_xlfn.XLOOKUP(FACT_IMPORTS[[#This Row],[country_name]],DIM_COUNTRY[[#All],[Column2]],DIM_COUNTRY[[#All],[Column3]],,,)</f>
        <v>Major_Non-USMCA_Non-China</v>
      </c>
    </row>
    <row r="8205" spans="1:9" x14ac:dyDescent="0.4">
      <c r="A8205" t="s">
        <v>71</v>
      </c>
      <c r="B8205" s="1">
        <v>45597</v>
      </c>
      <c r="C8205">
        <v>870895</v>
      </c>
      <c r="D8205" t="s">
        <v>176</v>
      </c>
      <c r="E8205">
        <v>0</v>
      </c>
      <c r="F8205">
        <v>0</v>
      </c>
      <c r="G8205">
        <v>0</v>
      </c>
      <c r="H8205">
        <f>_xlfn.XLOOKUP(FACT_IMPORTS[[#This Row],[hts_6]],DIM_PRODUCTS[hts_6],DIM_PRODUCTS[hts_4],,,)</f>
        <v>8708</v>
      </c>
      <c r="I8205" t="str" cm="1">
        <f t="array" ref="I8205">_xlfn.XLOOKUP(FACT_IMPORTS[[#This Row],[country_name]],DIM_COUNTRY[[#All],[Column2]],DIM_COUNTRY[[#All],[Column3]],,,)</f>
        <v>Major_Non-USMCA_Non-China</v>
      </c>
    </row>
    <row r="8206" spans="1:9" x14ac:dyDescent="0.4">
      <c r="A8206" t="s">
        <v>71</v>
      </c>
      <c r="B8206" s="1">
        <v>45597</v>
      </c>
      <c r="C8206">
        <v>870899</v>
      </c>
      <c r="D8206" t="s">
        <v>176</v>
      </c>
      <c r="E8206">
        <v>2274135</v>
      </c>
      <c r="F8206">
        <v>793411</v>
      </c>
      <c r="G8206">
        <v>208312</v>
      </c>
      <c r="H8206">
        <f>_xlfn.XLOOKUP(FACT_IMPORTS[[#This Row],[hts_6]],DIM_PRODUCTS[hts_6],DIM_PRODUCTS[hts_4],,,)</f>
        <v>8708</v>
      </c>
      <c r="I8206" t="str" cm="1">
        <f t="array" ref="I8206">_xlfn.XLOOKUP(FACT_IMPORTS[[#This Row],[country_name]],DIM_COUNTRY[[#All],[Column2]],DIM_COUNTRY[[#All],[Column3]],,,)</f>
        <v>Major_Non-USMCA_Non-China</v>
      </c>
    </row>
    <row r="8207" spans="1:9" x14ac:dyDescent="0.4">
      <c r="A8207" t="s">
        <v>71</v>
      </c>
      <c r="B8207" s="1">
        <v>45597</v>
      </c>
      <c r="C8207">
        <v>940120</v>
      </c>
      <c r="D8207" t="s">
        <v>176</v>
      </c>
      <c r="E8207">
        <v>8952</v>
      </c>
      <c r="F8207">
        <v>9</v>
      </c>
      <c r="G8207">
        <v>211</v>
      </c>
      <c r="H8207">
        <f>_xlfn.XLOOKUP(FACT_IMPORTS[[#This Row],[hts_6]],DIM_PRODUCTS[hts_6],DIM_PRODUCTS[hts_4],,,)</f>
        <v>9401</v>
      </c>
      <c r="I8207" t="str" cm="1">
        <f t="array" ref="I8207">_xlfn.XLOOKUP(FACT_IMPORTS[[#This Row],[country_name]],DIM_COUNTRY[[#All],[Column2]],DIM_COUNTRY[[#All],[Column3]],,,)</f>
        <v>Major_Non-USMCA_Non-China</v>
      </c>
    </row>
    <row r="8208" spans="1:9" x14ac:dyDescent="0.4">
      <c r="A8208" t="s">
        <v>71</v>
      </c>
      <c r="B8208" s="1">
        <v>45627</v>
      </c>
      <c r="C8208">
        <v>392630</v>
      </c>
      <c r="D8208" t="s">
        <v>176</v>
      </c>
      <c r="E8208">
        <v>0</v>
      </c>
      <c r="F8208">
        <v>0</v>
      </c>
      <c r="G8208">
        <v>0</v>
      </c>
      <c r="H8208">
        <f>_xlfn.XLOOKUP(FACT_IMPORTS[[#This Row],[hts_6]],DIM_PRODUCTS[hts_6],DIM_PRODUCTS[hts_4],,,)</f>
        <v>3926</v>
      </c>
      <c r="I8208" t="str" cm="1">
        <f t="array" ref="I8208">_xlfn.XLOOKUP(FACT_IMPORTS[[#This Row],[country_name]],DIM_COUNTRY[[#All],[Column2]],DIM_COUNTRY[[#All],[Column3]],,,)</f>
        <v>Major_Non-USMCA_Non-China</v>
      </c>
    </row>
    <row r="8209" spans="1:9" x14ac:dyDescent="0.4">
      <c r="A8209" t="s">
        <v>71</v>
      </c>
      <c r="B8209" s="1">
        <v>45627</v>
      </c>
      <c r="C8209">
        <v>401110</v>
      </c>
      <c r="D8209" t="s">
        <v>176</v>
      </c>
      <c r="E8209">
        <v>76415</v>
      </c>
      <c r="F8209">
        <v>1107</v>
      </c>
      <c r="G8209">
        <v>566</v>
      </c>
      <c r="H8209">
        <f>_xlfn.XLOOKUP(FACT_IMPORTS[[#This Row],[hts_6]],DIM_PRODUCTS[hts_6],DIM_PRODUCTS[hts_4],,,)</f>
        <v>4011</v>
      </c>
      <c r="I8209" t="str" cm="1">
        <f t="array" ref="I8209">_xlfn.XLOOKUP(FACT_IMPORTS[[#This Row],[country_name]],DIM_COUNTRY[[#All],[Column2]],DIM_COUNTRY[[#All],[Column3]],,,)</f>
        <v>Major_Non-USMCA_Non-China</v>
      </c>
    </row>
    <row r="8210" spans="1:9" x14ac:dyDescent="0.4">
      <c r="A8210" t="s">
        <v>71</v>
      </c>
      <c r="B8210" s="1">
        <v>45627</v>
      </c>
      <c r="C8210">
        <v>401120</v>
      </c>
      <c r="D8210" t="s">
        <v>176</v>
      </c>
      <c r="E8210">
        <v>56914</v>
      </c>
      <c r="F8210">
        <v>181</v>
      </c>
      <c r="G8210">
        <v>151</v>
      </c>
      <c r="H8210">
        <f>_xlfn.XLOOKUP(FACT_IMPORTS[[#This Row],[hts_6]],DIM_PRODUCTS[hts_6],DIM_PRODUCTS[hts_4],,,)</f>
        <v>4011</v>
      </c>
      <c r="I8210" t="str" cm="1">
        <f t="array" ref="I8210">_xlfn.XLOOKUP(FACT_IMPORTS[[#This Row],[country_name]],DIM_COUNTRY[[#All],[Column2]],DIM_COUNTRY[[#All],[Column3]],,,)</f>
        <v>Major_Non-USMCA_Non-China</v>
      </c>
    </row>
    <row r="8211" spans="1:9" x14ac:dyDescent="0.4">
      <c r="A8211" t="s">
        <v>71</v>
      </c>
      <c r="B8211" s="1">
        <v>45627</v>
      </c>
      <c r="C8211">
        <v>700711</v>
      </c>
      <c r="D8211" t="s">
        <v>176</v>
      </c>
      <c r="E8211">
        <v>45347</v>
      </c>
      <c r="F8211">
        <v>2061</v>
      </c>
      <c r="G8211">
        <v>416</v>
      </c>
      <c r="H8211">
        <f>_xlfn.XLOOKUP(FACT_IMPORTS[[#This Row],[hts_6]],DIM_PRODUCTS[hts_6],DIM_PRODUCTS[hts_4],,,)</f>
        <v>7007</v>
      </c>
      <c r="I8211" t="str" cm="1">
        <f t="array" ref="I8211">_xlfn.XLOOKUP(FACT_IMPORTS[[#This Row],[country_name]],DIM_COUNTRY[[#All],[Column2]],DIM_COUNTRY[[#All],[Column3]],,,)</f>
        <v>Major_Non-USMCA_Non-China</v>
      </c>
    </row>
    <row r="8212" spans="1:9" x14ac:dyDescent="0.4">
      <c r="A8212" t="s">
        <v>71</v>
      </c>
      <c r="B8212" s="1">
        <v>45627</v>
      </c>
      <c r="C8212">
        <v>700721</v>
      </c>
      <c r="D8212" t="s">
        <v>176</v>
      </c>
      <c r="E8212">
        <v>7055</v>
      </c>
      <c r="F8212">
        <v>5</v>
      </c>
      <c r="G8212">
        <v>65</v>
      </c>
      <c r="H8212">
        <f>_xlfn.XLOOKUP(FACT_IMPORTS[[#This Row],[hts_6]],DIM_PRODUCTS[hts_6],DIM_PRODUCTS[hts_4],,,)</f>
        <v>7007</v>
      </c>
      <c r="I8212" t="str" cm="1">
        <f t="array" ref="I8212">_xlfn.XLOOKUP(FACT_IMPORTS[[#This Row],[country_name]],DIM_COUNTRY[[#All],[Column2]],DIM_COUNTRY[[#All],[Column3]],,,)</f>
        <v>Major_Non-USMCA_Non-China</v>
      </c>
    </row>
    <row r="8213" spans="1:9" x14ac:dyDescent="0.4">
      <c r="A8213" t="s">
        <v>71</v>
      </c>
      <c r="B8213" s="1">
        <v>45627</v>
      </c>
      <c r="C8213">
        <v>700910</v>
      </c>
      <c r="D8213" t="s">
        <v>176</v>
      </c>
      <c r="E8213">
        <v>0</v>
      </c>
      <c r="F8213">
        <v>0</v>
      </c>
      <c r="G8213">
        <v>0</v>
      </c>
      <c r="H8213">
        <f>_xlfn.XLOOKUP(FACT_IMPORTS[[#This Row],[hts_6]],DIM_PRODUCTS[hts_6],DIM_PRODUCTS[hts_4],,,)</f>
        <v>7009</v>
      </c>
      <c r="I8213" t="str" cm="1">
        <f t="array" ref="I8213">_xlfn.XLOOKUP(FACT_IMPORTS[[#This Row],[country_name]],DIM_COUNTRY[[#All],[Column2]],DIM_COUNTRY[[#All],[Column3]],,,)</f>
        <v>Major_Non-USMCA_Non-China</v>
      </c>
    </row>
    <row r="8214" spans="1:9" x14ac:dyDescent="0.4">
      <c r="A8214" t="s">
        <v>71</v>
      </c>
      <c r="B8214" s="1">
        <v>45627</v>
      </c>
      <c r="C8214">
        <v>732010</v>
      </c>
      <c r="D8214" t="s">
        <v>176</v>
      </c>
      <c r="E8214">
        <v>0</v>
      </c>
      <c r="F8214">
        <v>0</v>
      </c>
      <c r="G8214">
        <v>0</v>
      </c>
      <c r="H8214">
        <f>_xlfn.XLOOKUP(FACT_IMPORTS[[#This Row],[hts_6]],DIM_PRODUCTS[hts_6],DIM_PRODUCTS[hts_4],,,)</f>
        <v>7320</v>
      </c>
      <c r="I8214" t="str" cm="1">
        <f t="array" ref="I8214">_xlfn.XLOOKUP(FACT_IMPORTS[[#This Row],[country_name]],DIM_COUNTRY[[#All],[Column2]],DIM_COUNTRY[[#All],[Column3]],,,)</f>
        <v>Major_Non-USMCA_Non-China</v>
      </c>
    </row>
    <row r="8215" spans="1:9" x14ac:dyDescent="0.4">
      <c r="A8215" t="s">
        <v>71</v>
      </c>
      <c r="B8215" s="1">
        <v>45627</v>
      </c>
      <c r="C8215">
        <v>830230</v>
      </c>
      <c r="D8215" t="s">
        <v>176</v>
      </c>
      <c r="E8215">
        <v>85628</v>
      </c>
      <c r="F8215">
        <v>14397</v>
      </c>
      <c r="G8215">
        <v>2771</v>
      </c>
      <c r="H8215">
        <f>_xlfn.XLOOKUP(FACT_IMPORTS[[#This Row],[hts_6]],DIM_PRODUCTS[hts_6],DIM_PRODUCTS[hts_4],,,)</f>
        <v>8302</v>
      </c>
      <c r="I8215" t="str" cm="1">
        <f t="array" ref="I8215">_xlfn.XLOOKUP(FACT_IMPORTS[[#This Row],[country_name]],DIM_COUNTRY[[#All],[Column2]],DIM_COUNTRY[[#All],[Column3]],,,)</f>
        <v>Major_Non-USMCA_Non-China</v>
      </c>
    </row>
    <row r="8216" spans="1:9" x14ac:dyDescent="0.4">
      <c r="A8216" t="s">
        <v>71</v>
      </c>
      <c r="B8216" s="1">
        <v>45627</v>
      </c>
      <c r="C8216">
        <v>840734</v>
      </c>
      <c r="D8216" t="s">
        <v>176</v>
      </c>
      <c r="E8216">
        <v>5442</v>
      </c>
      <c r="F8216">
        <v>10</v>
      </c>
      <c r="G8216">
        <v>14</v>
      </c>
      <c r="H8216">
        <f>_xlfn.XLOOKUP(FACT_IMPORTS[[#This Row],[hts_6]],DIM_PRODUCTS[hts_6],DIM_PRODUCTS[hts_4],,,)</f>
        <v>8407</v>
      </c>
      <c r="I8216" t="str" cm="1">
        <f t="array" ref="I8216">_xlfn.XLOOKUP(FACT_IMPORTS[[#This Row],[country_name]],DIM_COUNTRY[[#All],[Column2]],DIM_COUNTRY[[#All],[Column3]],,,)</f>
        <v>Major_Non-USMCA_Non-China</v>
      </c>
    </row>
    <row r="8217" spans="1:9" x14ac:dyDescent="0.4">
      <c r="A8217" t="s">
        <v>71</v>
      </c>
      <c r="B8217" s="1">
        <v>45627</v>
      </c>
      <c r="C8217">
        <v>840790</v>
      </c>
      <c r="D8217" t="s">
        <v>176</v>
      </c>
      <c r="E8217">
        <v>443213</v>
      </c>
      <c r="F8217">
        <v>111</v>
      </c>
      <c r="G8217">
        <v>263</v>
      </c>
      <c r="H8217">
        <f>_xlfn.XLOOKUP(FACT_IMPORTS[[#This Row],[hts_6]],DIM_PRODUCTS[hts_6],DIM_PRODUCTS[hts_4],,,)</f>
        <v>8407</v>
      </c>
      <c r="I8217" t="str" cm="1">
        <f t="array" ref="I8217">_xlfn.XLOOKUP(FACT_IMPORTS[[#This Row],[country_name]],DIM_COUNTRY[[#All],[Column2]],DIM_COUNTRY[[#All],[Column3]],,,)</f>
        <v>Major_Non-USMCA_Non-China</v>
      </c>
    </row>
    <row r="8218" spans="1:9" x14ac:dyDescent="0.4">
      <c r="A8218" t="s">
        <v>71</v>
      </c>
      <c r="B8218" s="1">
        <v>45627</v>
      </c>
      <c r="C8218">
        <v>840820</v>
      </c>
      <c r="D8218" t="s">
        <v>176</v>
      </c>
      <c r="E8218">
        <v>0</v>
      </c>
      <c r="F8218">
        <v>0</v>
      </c>
      <c r="G8218">
        <v>0</v>
      </c>
      <c r="H8218">
        <f>_xlfn.XLOOKUP(FACT_IMPORTS[[#This Row],[hts_6]],DIM_PRODUCTS[hts_6],DIM_PRODUCTS[hts_4],,,)</f>
        <v>8408</v>
      </c>
      <c r="I8218" t="str" cm="1">
        <f t="array" ref="I8218">_xlfn.XLOOKUP(FACT_IMPORTS[[#This Row],[country_name]],DIM_COUNTRY[[#All],[Column2]],DIM_COUNTRY[[#All],[Column3]],,,)</f>
        <v>Major_Non-USMCA_Non-China</v>
      </c>
    </row>
    <row r="8219" spans="1:9" x14ac:dyDescent="0.4">
      <c r="A8219" t="s">
        <v>71</v>
      </c>
      <c r="B8219" s="1">
        <v>45627</v>
      </c>
      <c r="C8219">
        <v>840890</v>
      </c>
      <c r="D8219" t="s">
        <v>176</v>
      </c>
      <c r="E8219">
        <v>649061</v>
      </c>
      <c r="F8219">
        <v>173</v>
      </c>
      <c r="G8219">
        <v>841</v>
      </c>
      <c r="H8219">
        <f>_xlfn.XLOOKUP(FACT_IMPORTS[[#This Row],[hts_6]],DIM_PRODUCTS[hts_6],DIM_PRODUCTS[hts_4],,,)</f>
        <v>8408</v>
      </c>
      <c r="I8219" t="str" cm="1">
        <f t="array" ref="I8219">_xlfn.XLOOKUP(FACT_IMPORTS[[#This Row],[country_name]],DIM_COUNTRY[[#All],[Column2]],DIM_COUNTRY[[#All],[Column3]],,,)</f>
        <v>Major_Non-USMCA_Non-China</v>
      </c>
    </row>
    <row r="8220" spans="1:9" x14ac:dyDescent="0.4">
      <c r="A8220" t="s">
        <v>71</v>
      </c>
      <c r="B8220" s="1">
        <v>45627</v>
      </c>
      <c r="C8220">
        <v>840991</v>
      </c>
      <c r="D8220" t="s">
        <v>176</v>
      </c>
      <c r="E8220">
        <v>8765100</v>
      </c>
      <c r="F8220">
        <v>584261</v>
      </c>
      <c r="G8220">
        <v>183335</v>
      </c>
      <c r="H8220">
        <f>_xlfn.XLOOKUP(FACT_IMPORTS[[#This Row],[hts_6]],DIM_PRODUCTS[hts_6],DIM_PRODUCTS[hts_4],,,)</f>
        <v>8409</v>
      </c>
      <c r="I8220" t="str" cm="1">
        <f t="array" ref="I8220">_xlfn.XLOOKUP(FACT_IMPORTS[[#This Row],[country_name]],DIM_COUNTRY[[#All],[Column2]],DIM_COUNTRY[[#All],[Column3]],,,)</f>
        <v>Major_Non-USMCA_Non-China</v>
      </c>
    </row>
    <row r="8221" spans="1:9" x14ac:dyDescent="0.4">
      <c r="A8221" t="s">
        <v>71</v>
      </c>
      <c r="B8221" s="1">
        <v>45627</v>
      </c>
      <c r="C8221">
        <v>840999</v>
      </c>
      <c r="D8221" t="s">
        <v>176</v>
      </c>
      <c r="E8221">
        <v>497542</v>
      </c>
      <c r="F8221">
        <v>111404</v>
      </c>
      <c r="G8221">
        <v>863</v>
      </c>
      <c r="H8221">
        <f>_xlfn.XLOOKUP(FACT_IMPORTS[[#This Row],[hts_6]],DIM_PRODUCTS[hts_6],DIM_PRODUCTS[hts_4],,,)</f>
        <v>8409</v>
      </c>
      <c r="I8221" t="str" cm="1">
        <f t="array" ref="I8221">_xlfn.XLOOKUP(FACT_IMPORTS[[#This Row],[country_name]],DIM_COUNTRY[[#All],[Column2]],DIM_COUNTRY[[#All],[Column3]],,,)</f>
        <v>Major_Non-USMCA_Non-China</v>
      </c>
    </row>
    <row r="8222" spans="1:9" x14ac:dyDescent="0.4">
      <c r="A8222" t="s">
        <v>71</v>
      </c>
      <c r="B8222" s="1">
        <v>45627</v>
      </c>
      <c r="C8222">
        <v>841330</v>
      </c>
      <c r="D8222" t="s">
        <v>176</v>
      </c>
      <c r="E8222">
        <v>21342</v>
      </c>
      <c r="F8222">
        <v>616</v>
      </c>
      <c r="G8222">
        <v>591</v>
      </c>
      <c r="H8222">
        <f>_xlfn.XLOOKUP(FACT_IMPORTS[[#This Row],[hts_6]],DIM_PRODUCTS[hts_6],DIM_PRODUCTS[hts_4],,,)</f>
        <v>8413</v>
      </c>
      <c r="I8222" t="str" cm="1">
        <f t="array" ref="I8222">_xlfn.XLOOKUP(FACT_IMPORTS[[#This Row],[country_name]],DIM_COUNTRY[[#All],[Column2]],DIM_COUNTRY[[#All],[Column3]],,,)</f>
        <v>Major_Non-USMCA_Non-China</v>
      </c>
    </row>
    <row r="8223" spans="1:9" x14ac:dyDescent="0.4">
      <c r="A8223" t="s">
        <v>71</v>
      </c>
      <c r="B8223" s="1">
        <v>45627</v>
      </c>
      <c r="C8223">
        <v>841520</v>
      </c>
      <c r="D8223" t="s">
        <v>176</v>
      </c>
      <c r="E8223">
        <v>0</v>
      </c>
      <c r="F8223">
        <v>0</v>
      </c>
      <c r="G8223">
        <v>0</v>
      </c>
      <c r="H8223">
        <f>_xlfn.XLOOKUP(FACT_IMPORTS[[#This Row],[hts_6]],DIM_PRODUCTS[hts_6],DIM_PRODUCTS[hts_4],,,)</f>
        <v>8415</v>
      </c>
      <c r="I8223" t="str" cm="1">
        <f t="array" ref="I8223">_xlfn.XLOOKUP(FACT_IMPORTS[[#This Row],[country_name]],DIM_COUNTRY[[#All],[Column2]],DIM_COUNTRY[[#All],[Column3]],,,)</f>
        <v>Major_Non-USMCA_Non-China</v>
      </c>
    </row>
    <row r="8224" spans="1:9" x14ac:dyDescent="0.4">
      <c r="A8224" t="s">
        <v>71</v>
      </c>
      <c r="B8224" s="1">
        <v>45627</v>
      </c>
      <c r="C8224">
        <v>842132</v>
      </c>
      <c r="D8224" t="s">
        <v>176</v>
      </c>
      <c r="E8224">
        <v>33128</v>
      </c>
      <c r="F8224">
        <v>4</v>
      </c>
      <c r="G8224">
        <v>188</v>
      </c>
      <c r="H8224">
        <f>_xlfn.XLOOKUP(FACT_IMPORTS[[#This Row],[hts_6]],DIM_PRODUCTS[hts_6],DIM_PRODUCTS[hts_4],,,)</f>
        <v>8421</v>
      </c>
      <c r="I8224" t="str" cm="1">
        <f t="array" ref="I8224">_xlfn.XLOOKUP(FACT_IMPORTS[[#This Row],[country_name]],DIM_COUNTRY[[#All],[Column2]],DIM_COUNTRY[[#All],[Column3]],,,)</f>
        <v>Major_Non-USMCA_Non-China</v>
      </c>
    </row>
    <row r="8225" spans="1:9" x14ac:dyDescent="0.4">
      <c r="A8225" t="s">
        <v>71</v>
      </c>
      <c r="B8225" s="1">
        <v>45627</v>
      </c>
      <c r="C8225">
        <v>848210</v>
      </c>
      <c r="D8225" t="s">
        <v>176</v>
      </c>
      <c r="E8225">
        <v>18800</v>
      </c>
      <c r="F8225">
        <v>547</v>
      </c>
      <c r="G8225">
        <v>338</v>
      </c>
      <c r="H8225">
        <f>_xlfn.XLOOKUP(FACT_IMPORTS[[#This Row],[hts_6]],DIM_PRODUCTS[hts_6],DIM_PRODUCTS[hts_4],,,)</f>
        <v>8482</v>
      </c>
      <c r="I8225" t="str" cm="1">
        <f t="array" ref="I8225">_xlfn.XLOOKUP(FACT_IMPORTS[[#This Row],[country_name]],DIM_COUNTRY[[#All],[Column2]],DIM_COUNTRY[[#All],[Column3]],,,)</f>
        <v>Major_Non-USMCA_Non-China</v>
      </c>
    </row>
    <row r="8226" spans="1:9" x14ac:dyDescent="0.4">
      <c r="A8226" t="s">
        <v>71</v>
      </c>
      <c r="B8226" s="1">
        <v>45627</v>
      </c>
      <c r="C8226">
        <v>848220</v>
      </c>
      <c r="D8226" t="s">
        <v>176</v>
      </c>
      <c r="E8226">
        <v>247775</v>
      </c>
      <c r="F8226">
        <v>9180</v>
      </c>
      <c r="G8226">
        <v>1626</v>
      </c>
      <c r="H8226">
        <f>_xlfn.XLOOKUP(FACT_IMPORTS[[#This Row],[hts_6]],DIM_PRODUCTS[hts_6],DIM_PRODUCTS[hts_4],,,)</f>
        <v>8482</v>
      </c>
      <c r="I8226" t="str" cm="1">
        <f t="array" ref="I8226">_xlfn.XLOOKUP(FACT_IMPORTS[[#This Row],[country_name]],DIM_COUNTRY[[#All],[Column2]],DIM_COUNTRY[[#All],[Column3]],,,)</f>
        <v>Major_Non-USMCA_Non-China</v>
      </c>
    </row>
    <row r="8227" spans="1:9" x14ac:dyDescent="0.4">
      <c r="A8227" t="s">
        <v>71</v>
      </c>
      <c r="B8227" s="1">
        <v>45627</v>
      </c>
      <c r="C8227">
        <v>848310</v>
      </c>
      <c r="D8227" t="s">
        <v>176</v>
      </c>
      <c r="E8227">
        <v>364501</v>
      </c>
      <c r="F8227">
        <v>15982</v>
      </c>
      <c r="G8227">
        <v>2955</v>
      </c>
      <c r="H8227">
        <f>_xlfn.XLOOKUP(FACT_IMPORTS[[#This Row],[hts_6]],DIM_PRODUCTS[hts_6],DIM_PRODUCTS[hts_4],,,)</f>
        <v>8483</v>
      </c>
      <c r="I8227" t="str" cm="1">
        <f t="array" ref="I8227">_xlfn.XLOOKUP(FACT_IMPORTS[[#This Row],[country_name]],DIM_COUNTRY[[#All],[Column2]],DIM_COUNTRY[[#All],[Column3]],,,)</f>
        <v>Major_Non-USMCA_Non-China</v>
      </c>
    </row>
    <row r="8228" spans="1:9" x14ac:dyDescent="0.4">
      <c r="A8228" t="s">
        <v>71</v>
      </c>
      <c r="B8228" s="1">
        <v>45627</v>
      </c>
      <c r="C8228">
        <v>850131</v>
      </c>
      <c r="D8228" t="s">
        <v>176</v>
      </c>
      <c r="E8228">
        <v>2858934</v>
      </c>
      <c r="F8228">
        <v>97863</v>
      </c>
      <c r="G8228">
        <v>37023</v>
      </c>
      <c r="H8228">
        <f>_xlfn.XLOOKUP(FACT_IMPORTS[[#This Row],[hts_6]],DIM_PRODUCTS[hts_6],DIM_PRODUCTS[hts_4],,,)</f>
        <v>8501</v>
      </c>
      <c r="I8228" t="str" cm="1">
        <f t="array" ref="I8228">_xlfn.XLOOKUP(FACT_IMPORTS[[#This Row],[country_name]],DIM_COUNTRY[[#All],[Column2]],DIM_COUNTRY[[#All],[Column3]],,,)</f>
        <v>Major_Non-USMCA_Non-China</v>
      </c>
    </row>
    <row r="8229" spans="1:9" x14ac:dyDescent="0.4">
      <c r="A8229" t="s">
        <v>71</v>
      </c>
      <c r="B8229" s="1">
        <v>45627</v>
      </c>
      <c r="C8229">
        <v>850132</v>
      </c>
      <c r="D8229" t="s">
        <v>176</v>
      </c>
      <c r="E8229">
        <v>11042</v>
      </c>
      <c r="F8229">
        <v>5</v>
      </c>
      <c r="G8229">
        <v>455</v>
      </c>
      <c r="H8229">
        <f>_xlfn.XLOOKUP(FACT_IMPORTS[[#This Row],[hts_6]],DIM_PRODUCTS[hts_6],DIM_PRODUCTS[hts_4],,,)</f>
        <v>8501</v>
      </c>
      <c r="I8229" t="str" cm="1">
        <f t="array" ref="I8229">_xlfn.XLOOKUP(FACT_IMPORTS[[#This Row],[country_name]],DIM_COUNTRY[[#All],[Column2]],DIM_COUNTRY[[#All],[Column3]],,,)</f>
        <v>Major_Non-USMCA_Non-China</v>
      </c>
    </row>
    <row r="8230" spans="1:9" x14ac:dyDescent="0.4">
      <c r="A8230" t="s">
        <v>71</v>
      </c>
      <c r="B8230" s="1">
        <v>45627</v>
      </c>
      <c r="C8230">
        <v>850133</v>
      </c>
      <c r="D8230" t="s">
        <v>176</v>
      </c>
      <c r="E8230">
        <v>5000</v>
      </c>
      <c r="F8230">
        <v>2</v>
      </c>
      <c r="G8230">
        <v>150</v>
      </c>
      <c r="H8230">
        <f>_xlfn.XLOOKUP(FACT_IMPORTS[[#This Row],[hts_6]],DIM_PRODUCTS[hts_6],DIM_PRODUCTS[hts_4],,,)</f>
        <v>8501</v>
      </c>
      <c r="I8230" t="str" cm="1">
        <f t="array" ref="I8230">_xlfn.XLOOKUP(FACT_IMPORTS[[#This Row],[country_name]],DIM_COUNTRY[[#All],[Column2]],DIM_COUNTRY[[#All],[Column3]],,,)</f>
        <v>Major_Non-USMCA_Non-China</v>
      </c>
    </row>
    <row r="8231" spans="1:9" x14ac:dyDescent="0.4">
      <c r="A8231" t="s">
        <v>71</v>
      </c>
      <c r="B8231" s="1">
        <v>45627</v>
      </c>
      <c r="C8231">
        <v>850152</v>
      </c>
      <c r="D8231" t="s">
        <v>176</v>
      </c>
      <c r="E8231">
        <v>287621</v>
      </c>
      <c r="F8231">
        <v>388</v>
      </c>
      <c r="G8231">
        <v>27417</v>
      </c>
      <c r="H8231">
        <f>_xlfn.XLOOKUP(FACT_IMPORTS[[#This Row],[hts_6]],DIM_PRODUCTS[hts_6],DIM_PRODUCTS[hts_4],,,)</f>
        <v>8501</v>
      </c>
      <c r="I8231" t="str" cm="1">
        <f t="array" ref="I8231">_xlfn.XLOOKUP(FACT_IMPORTS[[#This Row],[country_name]],DIM_COUNTRY[[#All],[Column2]],DIM_COUNTRY[[#All],[Column3]],,,)</f>
        <v>Major_Non-USMCA_Non-China</v>
      </c>
    </row>
    <row r="8232" spans="1:9" x14ac:dyDescent="0.4">
      <c r="A8232" t="s">
        <v>71</v>
      </c>
      <c r="B8232" s="1">
        <v>45627</v>
      </c>
      <c r="C8232">
        <v>850153</v>
      </c>
      <c r="D8232" t="s">
        <v>176</v>
      </c>
      <c r="E8232">
        <v>0</v>
      </c>
      <c r="F8232">
        <v>0</v>
      </c>
      <c r="G8232">
        <v>0</v>
      </c>
      <c r="H8232">
        <f>_xlfn.XLOOKUP(FACT_IMPORTS[[#This Row],[hts_6]],DIM_PRODUCTS[hts_6],DIM_PRODUCTS[hts_4],,,)</f>
        <v>8501</v>
      </c>
      <c r="I8232" t="str" cm="1">
        <f t="array" ref="I8232">_xlfn.XLOOKUP(FACT_IMPORTS[[#This Row],[country_name]],DIM_COUNTRY[[#All],[Column2]],DIM_COUNTRY[[#All],[Column3]],,,)</f>
        <v>Major_Non-USMCA_Non-China</v>
      </c>
    </row>
    <row r="8233" spans="1:9" x14ac:dyDescent="0.4">
      <c r="A8233" t="s">
        <v>71</v>
      </c>
      <c r="B8233" s="1">
        <v>45627</v>
      </c>
      <c r="C8233">
        <v>850161</v>
      </c>
      <c r="D8233" t="s">
        <v>176</v>
      </c>
      <c r="E8233">
        <v>0</v>
      </c>
      <c r="F8233">
        <v>0</v>
      </c>
      <c r="G8233">
        <v>0</v>
      </c>
      <c r="H8233">
        <f>_xlfn.XLOOKUP(FACT_IMPORTS[[#This Row],[hts_6]],DIM_PRODUCTS[hts_6],DIM_PRODUCTS[hts_4],,,)</f>
        <v>8501</v>
      </c>
      <c r="I8233" t="str" cm="1">
        <f t="array" ref="I8233">_xlfn.XLOOKUP(FACT_IMPORTS[[#This Row],[country_name]],DIM_COUNTRY[[#All],[Column2]],DIM_COUNTRY[[#All],[Column3]],,,)</f>
        <v>Major_Non-USMCA_Non-China</v>
      </c>
    </row>
    <row r="8234" spans="1:9" x14ac:dyDescent="0.4">
      <c r="A8234" t="s">
        <v>71</v>
      </c>
      <c r="B8234" s="1">
        <v>45627</v>
      </c>
      <c r="C8234">
        <v>850440</v>
      </c>
      <c r="D8234" t="s">
        <v>176</v>
      </c>
      <c r="E8234">
        <v>575763</v>
      </c>
      <c r="F8234">
        <v>408</v>
      </c>
      <c r="G8234">
        <v>29551</v>
      </c>
      <c r="H8234">
        <f>_xlfn.XLOOKUP(FACT_IMPORTS[[#This Row],[hts_6]],DIM_PRODUCTS[hts_6],DIM_PRODUCTS[hts_4],,,)</f>
        <v>8504</v>
      </c>
      <c r="I8234" t="str" cm="1">
        <f t="array" ref="I8234">_xlfn.XLOOKUP(FACT_IMPORTS[[#This Row],[country_name]],DIM_COUNTRY[[#All],[Column2]],DIM_COUNTRY[[#All],[Column3]],,,)</f>
        <v>Major_Non-USMCA_Non-China</v>
      </c>
    </row>
    <row r="8235" spans="1:9" x14ac:dyDescent="0.4">
      <c r="A8235" t="s">
        <v>71</v>
      </c>
      <c r="B8235" s="1">
        <v>45627</v>
      </c>
      <c r="C8235">
        <v>850710</v>
      </c>
      <c r="D8235" t="s">
        <v>176</v>
      </c>
      <c r="E8235">
        <v>0</v>
      </c>
      <c r="F8235">
        <v>0</v>
      </c>
      <c r="G8235">
        <v>0</v>
      </c>
      <c r="H8235">
        <f>_xlfn.XLOOKUP(FACT_IMPORTS[[#This Row],[hts_6]],DIM_PRODUCTS[hts_6],DIM_PRODUCTS[hts_4],,,)</f>
        <v>8507</v>
      </c>
      <c r="I8235" t="str" cm="1">
        <f t="array" ref="I8235">_xlfn.XLOOKUP(FACT_IMPORTS[[#This Row],[country_name]],DIM_COUNTRY[[#All],[Column2]],DIM_COUNTRY[[#All],[Column3]],,,)</f>
        <v>Major_Non-USMCA_Non-China</v>
      </c>
    </row>
    <row r="8236" spans="1:9" x14ac:dyDescent="0.4">
      <c r="A8236" t="s">
        <v>71</v>
      </c>
      <c r="B8236" s="1">
        <v>45627</v>
      </c>
      <c r="C8236">
        <v>850760</v>
      </c>
      <c r="D8236" t="s">
        <v>176</v>
      </c>
      <c r="E8236">
        <v>106521</v>
      </c>
      <c r="F8236">
        <v>193</v>
      </c>
      <c r="G8236">
        <v>1515</v>
      </c>
      <c r="H8236">
        <f>_xlfn.XLOOKUP(FACT_IMPORTS[[#This Row],[hts_6]],DIM_PRODUCTS[hts_6],DIM_PRODUCTS[hts_4],,,)</f>
        <v>8507</v>
      </c>
      <c r="I8236" t="str" cm="1">
        <f t="array" ref="I8236">_xlfn.XLOOKUP(FACT_IMPORTS[[#This Row],[country_name]],DIM_COUNTRY[[#All],[Column2]],DIM_COUNTRY[[#All],[Column3]],,,)</f>
        <v>Major_Non-USMCA_Non-China</v>
      </c>
    </row>
    <row r="8237" spans="1:9" x14ac:dyDescent="0.4">
      <c r="A8237" t="s">
        <v>71</v>
      </c>
      <c r="B8237" s="1">
        <v>45627</v>
      </c>
      <c r="C8237">
        <v>850790</v>
      </c>
      <c r="D8237" t="s">
        <v>176</v>
      </c>
      <c r="E8237">
        <v>0</v>
      </c>
      <c r="F8237">
        <v>0</v>
      </c>
      <c r="G8237">
        <v>0</v>
      </c>
      <c r="H8237">
        <f>_xlfn.XLOOKUP(FACT_IMPORTS[[#This Row],[hts_6]],DIM_PRODUCTS[hts_6],DIM_PRODUCTS[hts_4],,,)</f>
        <v>8507</v>
      </c>
      <c r="I8237" t="str" cm="1">
        <f t="array" ref="I8237">_xlfn.XLOOKUP(FACT_IMPORTS[[#This Row],[country_name]],DIM_COUNTRY[[#All],[Column2]],DIM_COUNTRY[[#All],[Column3]],,,)</f>
        <v>Major_Non-USMCA_Non-China</v>
      </c>
    </row>
    <row r="8238" spans="1:9" x14ac:dyDescent="0.4">
      <c r="A8238" t="s">
        <v>71</v>
      </c>
      <c r="B8238" s="1">
        <v>45627</v>
      </c>
      <c r="C8238">
        <v>851110</v>
      </c>
      <c r="D8238" t="s">
        <v>176</v>
      </c>
      <c r="E8238">
        <v>86757</v>
      </c>
      <c r="F8238">
        <v>4214</v>
      </c>
      <c r="G8238">
        <v>1242</v>
      </c>
      <c r="H8238">
        <f>_xlfn.XLOOKUP(FACT_IMPORTS[[#This Row],[hts_6]],DIM_PRODUCTS[hts_6],DIM_PRODUCTS[hts_4],,,)</f>
        <v>8511</v>
      </c>
      <c r="I8238" t="str" cm="1">
        <f t="array" ref="I8238">_xlfn.XLOOKUP(FACT_IMPORTS[[#This Row],[country_name]],DIM_COUNTRY[[#All],[Column2]],DIM_COUNTRY[[#All],[Column3]],,,)</f>
        <v>Major_Non-USMCA_Non-China</v>
      </c>
    </row>
    <row r="8239" spans="1:9" x14ac:dyDescent="0.4">
      <c r="A8239" t="s">
        <v>71</v>
      </c>
      <c r="B8239" s="1">
        <v>45627</v>
      </c>
      <c r="C8239">
        <v>851130</v>
      </c>
      <c r="D8239" t="s">
        <v>176</v>
      </c>
      <c r="E8239">
        <v>32271</v>
      </c>
      <c r="F8239">
        <v>5588</v>
      </c>
      <c r="G8239">
        <v>773</v>
      </c>
      <c r="H8239">
        <f>_xlfn.XLOOKUP(FACT_IMPORTS[[#This Row],[hts_6]],DIM_PRODUCTS[hts_6],DIM_PRODUCTS[hts_4],,,)</f>
        <v>8511</v>
      </c>
      <c r="I8239" t="str" cm="1">
        <f t="array" ref="I8239">_xlfn.XLOOKUP(FACT_IMPORTS[[#This Row],[country_name]],DIM_COUNTRY[[#All],[Column2]],DIM_COUNTRY[[#All],[Column3]],,,)</f>
        <v>Major_Non-USMCA_Non-China</v>
      </c>
    </row>
    <row r="8240" spans="1:9" x14ac:dyDescent="0.4">
      <c r="A8240" t="s">
        <v>71</v>
      </c>
      <c r="B8240" s="1">
        <v>45627</v>
      </c>
      <c r="C8240">
        <v>851140</v>
      </c>
      <c r="D8240" t="s">
        <v>176</v>
      </c>
      <c r="E8240">
        <v>400693</v>
      </c>
      <c r="F8240">
        <v>7680</v>
      </c>
      <c r="G8240">
        <v>400</v>
      </c>
      <c r="H8240">
        <f>_xlfn.XLOOKUP(FACT_IMPORTS[[#This Row],[hts_6]],DIM_PRODUCTS[hts_6],DIM_PRODUCTS[hts_4],,,)</f>
        <v>8511</v>
      </c>
      <c r="I8240" t="str" cm="1">
        <f t="array" ref="I8240">_xlfn.XLOOKUP(FACT_IMPORTS[[#This Row],[country_name]],DIM_COUNTRY[[#All],[Column2]],DIM_COUNTRY[[#All],[Column3]],,,)</f>
        <v>Major_Non-USMCA_Non-China</v>
      </c>
    </row>
    <row r="8241" spans="1:9" x14ac:dyDescent="0.4">
      <c r="A8241" t="s">
        <v>71</v>
      </c>
      <c r="B8241" s="1">
        <v>45627</v>
      </c>
      <c r="C8241">
        <v>851150</v>
      </c>
      <c r="D8241" t="s">
        <v>176</v>
      </c>
      <c r="E8241">
        <v>0</v>
      </c>
      <c r="F8241">
        <v>0</v>
      </c>
      <c r="G8241">
        <v>0</v>
      </c>
      <c r="H8241">
        <f>_xlfn.XLOOKUP(FACT_IMPORTS[[#This Row],[hts_6]],DIM_PRODUCTS[hts_6],DIM_PRODUCTS[hts_4],,,)</f>
        <v>8511</v>
      </c>
      <c r="I8241" t="str" cm="1">
        <f t="array" ref="I8241">_xlfn.XLOOKUP(FACT_IMPORTS[[#This Row],[country_name]],DIM_COUNTRY[[#All],[Column2]],DIM_COUNTRY[[#All],[Column3]],,,)</f>
        <v>Major_Non-USMCA_Non-China</v>
      </c>
    </row>
    <row r="8242" spans="1:9" x14ac:dyDescent="0.4">
      <c r="A8242" t="s">
        <v>71</v>
      </c>
      <c r="B8242" s="1">
        <v>45627</v>
      </c>
      <c r="C8242">
        <v>851180</v>
      </c>
      <c r="D8242" t="s">
        <v>176</v>
      </c>
      <c r="E8242">
        <v>8663</v>
      </c>
      <c r="F8242">
        <v>1937</v>
      </c>
      <c r="G8242">
        <v>140</v>
      </c>
      <c r="H8242">
        <f>_xlfn.XLOOKUP(FACT_IMPORTS[[#This Row],[hts_6]],DIM_PRODUCTS[hts_6],DIM_PRODUCTS[hts_4],,,)</f>
        <v>8511</v>
      </c>
      <c r="I8242" t="str" cm="1">
        <f t="array" ref="I8242">_xlfn.XLOOKUP(FACT_IMPORTS[[#This Row],[country_name]],DIM_COUNTRY[[#All],[Column2]],DIM_COUNTRY[[#All],[Column3]],,,)</f>
        <v>Major_Non-USMCA_Non-China</v>
      </c>
    </row>
    <row r="8243" spans="1:9" x14ac:dyDescent="0.4">
      <c r="A8243" t="s">
        <v>71</v>
      </c>
      <c r="B8243" s="1">
        <v>45627</v>
      </c>
      <c r="C8243">
        <v>851190</v>
      </c>
      <c r="D8243" t="s">
        <v>176</v>
      </c>
      <c r="E8243">
        <v>2905</v>
      </c>
      <c r="F8243">
        <v>190</v>
      </c>
      <c r="G8243">
        <v>1173</v>
      </c>
      <c r="H8243">
        <f>_xlfn.XLOOKUP(FACT_IMPORTS[[#This Row],[hts_6]],DIM_PRODUCTS[hts_6],DIM_PRODUCTS[hts_4],,,)</f>
        <v>8511</v>
      </c>
      <c r="I8243" t="str" cm="1">
        <f t="array" ref="I8243">_xlfn.XLOOKUP(FACT_IMPORTS[[#This Row],[country_name]],DIM_COUNTRY[[#All],[Column2]],DIM_COUNTRY[[#All],[Column3]],,,)</f>
        <v>Major_Non-USMCA_Non-China</v>
      </c>
    </row>
    <row r="8244" spans="1:9" x14ac:dyDescent="0.4">
      <c r="A8244" t="s">
        <v>71</v>
      </c>
      <c r="B8244" s="1">
        <v>45627</v>
      </c>
      <c r="C8244">
        <v>851220</v>
      </c>
      <c r="D8244" t="s">
        <v>176</v>
      </c>
      <c r="E8244">
        <v>3783</v>
      </c>
      <c r="F8244">
        <v>5</v>
      </c>
      <c r="G8244">
        <v>20</v>
      </c>
      <c r="H8244">
        <f>_xlfn.XLOOKUP(FACT_IMPORTS[[#This Row],[hts_6]],DIM_PRODUCTS[hts_6],DIM_PRODUCTS[hts_4],,,)</f>
        <v>8512</v>
      </c>
      <c r="I8244" t="str" cm="1">
        <f t="array" ref="I8244">_xlfn.XLOOKUP(FACT_IMPORTS[[#This Row],[country_name]],DIM_COUNTRY[[#All],[Column2]],DIM_COUNTRY[[#All],[Column3]],,,)</f>
        <v>Major_Non-USMCA_Non-China</v>
      </c>
    </row>
    <row r="8245" spans="1:9" x14ac:dyDescent="0.4">
      <c r="A8245" t="s">
        <v>71</v>
      </c>
      <c r="B8245" s="1">
        <v>45627</v>
      </c>
      <c r="C8245">
        <v>851230</v>
      </c>
      <c r="D8245" t="s">
        <v>176</v>
      </c>
      <c r="E8245">
        <v>19941</v>
      </c>
      <c r="F8245">
        <v>806</v>
      </c>
      <c r="G8245">
        <v>547</v>
      </c>
      <c r="H8245">
        <f>_xlfn.XLOOKUP(FACT_IMPORTS[[#This Row],[hts_6]],DIM_PRODUCTS[hts_6],DIM_PRODUCTS[hts_4],,,)</f>
        <v>8512</v>
      </c>
      <c r="I8245" t="str" cm="1">
        <f t="array" ref="I8245">_xlfn.XLOOKUP(FACT_IMPORTS[[#This Row],[country_name]],DIM_COUNTRY[[#All],[Column2]],DIM_COUNTRY[[#All],[Column3]],,,)</f>
        <v>Major_Non-USMCA_Non-China</v>
      </c>
    </row>
    <row r="8246" spans="1:9" x14ac:dyDescent="0.4">
      <c r="A8246" t="s">
        <v>71</v>
      </c>
      <c r="B8246" s="1">
        <v>45627</v>
      </c>
      <c r="C8246">
        <v>851290</v>
      </c>
      <c r="D8246" t="s">
        <v>176</v>
      </c>
      <c r="E8246">
        <v>7916</v>
      </c>
      <c r="F8246">
        <v>203</v>
      </c>
      <c r="G8246">
        <v>217</v>
      </c>
      <c r="H8246">
        <f>_xlfn.XLOOKUP(FACT_IMPORTS[[#This Row],[hts_6]],DIM_PRODUCTS[hts_6],DIM_PRODUCTS[hts_4],,,)</f>
        <v>8512</v>
      </c>
      <c r="I8246" t="str" cm="1">
        <f t="array" ref="I8246">_xlfn.XLOOKUP(FACT_IMPORTS[[#This Row],[country_name]],DIM_COUNTRY[[#All],[Column2]],DIM_COUNTRY[[#All],[Column3]],,,)</f>
        <v>Major_Non-USMCA_Non-China</v>
      </c>
    </row>
    <row r="8247" spans="1:9" x14ac:dyDescent="0.4">
      <c r="A8247" t="s">
        <v>71</v>
      </c>
      <c r="B8247" s="1">
        <v>45627</v>
      </c>
      <c r="C8247">
        <v>854231</v>
      </c>
      <c r="D8247" t="s">
        <v>176</v>
      </c>
      <c r="E8247">
        <v>82866</v>
      </c>
      <c r="F8247">
        <v>8968</v>
      </c>
      <c r="G8247">
        <v>1077</v>
      </c>
      <c r="H8247">
        <f>_xlfn.XLOOKUP(FACT_IMPORTS[[#This Row],[hts_6]],DIM_PRODUCTS[hts_6],DIM_PRODUCTS[hts_4],,,)</f>
        <v>8542</v>
      </c>
      <c r="I8247" t="str" cm="1">
        <f t="array" ref="I8247">_xlfn.XLOOKUP(FACT_IMPORTS[[#This Row],[country_name]],DIM_COUNTRY[[#All],[Column2]],DIM_COUNTRY[[#All],[Column3]],,,)</f>
        <v>Major_Non-USMCA_Non-China</v>
      </c>
    </row>
    <row r="8248" spans="1:9" x14ac:dyDescent="0.4">
      <c r="A8248" t="s">
        <v>71</v>
      </c>
      <c r="B8248" s="1">
        <v>45627</v>
      </c>
      <c r="C8248">
        <v>854232</v>
      </c>
      <c r="D8248" t="s">
        <v>176</v>
      </c>
      <c r="E8248">
        <v>0</v>
      </c>
      <c r="F8248">
        <v>0</v>
      </c>
      <c r="G8248">
        <v>0</v>
      </c>
      <c r="H8248">
        <f>_xlfn.XLOOKUP(FACT_IMPORTS[[#This Row],[hts_6]],DIM_PRODUCTS[hts_6],DIM_PRODUCTS[hts_4],,,)</f>
        <v>8542</v>
      </c>
      <c r="I8248" t="str" cm="1">
        <f t="array" ref="I8248">_xlfn.XLOOKUP(FACT_IMPORTS[[#This Row],[country_name]],DIM_COUNTRY[[#All],[Column2]],DIM_COUNTRY[[#All],[Column3]],,,)</f>
        <v>Major_Non-USMCA_Non-China</v>
      </c>
    </row>
    <row r="8249" spans="1:9" x14ac:dyDescent="0.4">
      <c r="A8249" t="s">
        <v>71</v>
      </c>
      <c r="B8249" s="1">
        <v>45627</v>
      </c>
      <c r="C8249">
        <v>854239</v>
      </c>
      <c r="D8249" t="s">
        <v>176</v>
      </c>
      <c r="E8249">
        <v>0</v>
      </c>
      <c r="F8249">
        <v>0</v>
      </c>
      <c r="G8249">
        <v>0</v>
      </c>
      <c r="H8249">
        <f>_xlfn.XLOOKUP(FACT_IMPORTS[[#This Row],[hts_6]],DIM_PRODUCTS[hts_6],DIM_PRODUCTS[hts_4],,,)</f>
        <v>8542</v>
      </c>
      <c r="I8249" t="str" cm="1">
        <f t="array" ref="I8249">_xlfn.XLOOKUP(FACT_IMPORTS[[#This Row],[country_name]],DIM_COUNTRY[[#All],[Column2]],DIM_COUNTRY[[#All],[Column3]],,,)</f>
        <v>Major_Non-USMCA_Non-China</v>
      </c>
    </row>
    <row r="8250" spans="1:9" x14ac:dyDescent="0.4">
      <c r="A8250" t="s">
        <v>71</v>
      </c>
      <c r="B8250" s="1">
        <v>45627</v>
      </c>
      <c r="C8250">
        <v>854290</v>
      </c>
      <c r="D8250" t="s">
        <v>176</v>
      </c>
      <c r="E8250">
        <v>0</v>
      </c>
      <c r="F8250">
        <v>0</v>
      </c>
      <c r="G8250">
        <v>0</v>
      </c>
      <c r="H8250">
        <f>_xlfn.XLOOKUP(FACT_IMPORTS[[#This Row],[hts_6]],DIM_PRODUCTS[hts_6],DIM_PRODUCTS[hts_4],,,)</f>
        <v>8542</v>
      </c>
      <c r="I8250" t="str" cm="1">
        <f t="array" ref="I8250">_xlfn.XLOOKUP(FACT_IMPORTS[[#This Row],[country_name]],DIM_COUNTRY[[#All],[Column2]],DIM_COUNTRY[[#All],[Column3]],,,)</f>
        <v>Major_Non-USMCA_Non-China</v>
      </c>
    </row>
    <row r="8251" spans="1:9" x14ac:dyDescent="0.4">
      <c r="A8251" t="s">
        <v>71</v>
      </c>
      <c r="B8251" s="1">
        <v>45627</v>
      </c>
      <c r="C8251">
        <v>854430</v>
      </c>
      <c r="D8251" t="s">
        <v>176</v>
      </c>
      <c r="E8251">
        <v>0</v>
      </c>
      <c r="F8251">
        <v>0</v>
      </c>
      <c r="G8251">
        <v>0</v>
      </c>
      <c r="H8251">
        <f>_xlfn.XLOOKUP(FACT_IMPORTS[[#This Row],[hts_6]],DIM_PRODUCTS[hts_6],DIM_PRODUCTS[hts_4],,,)</f>
        <v>8544</v>
      </c>
      <c r="I8251" t="str" cm="1">
        <f t="array" ref="I8251">_xlfn.XLOOKUP(FACT_IMPORTS[[#This Row],[country_name]],DIM_COUNTRY[[#All],[Column2]],DIM_COUNTRY[[#All],[Column3]],,,)</f>
        <v>Major_Non-USMCA_Non-China</v>
      </c>
    </row>
    <row r="8252" spans="1:9" x14ac:dyDescent="0.4">
      <c r="A8252" t="s">
        <v>71</v>
      </c>
      <c r="B8252" s="1">
        <v>45627</v>
      </c>
      <c r="C8252">
        <v>870790</v>
      </c>
      <c r="D8252" t="s">
        <v>176</v>
      </c>
      <c r="E8252">
        <v>0</v>
      </c>
      <c r="F8252">
        <v>0</v>
      </c>
      <c r="G8252">
        <v>0</v>
      </c>
      <c r="H8252">
        <f>_xlfn.XLOOKUP(FACT_IMPORTS[[#This Row],[hts_6]],DIM_PRODUCTS[hts_6],DIM_PRODUCTS[hts_4],,,)</f>
        <v>8707</v>
      </c>
      <c r="I8252" t="str" cm="1">
        <f t="array" ref="I8252">_xlfn.XLOOKUP(FACT_IMPORTS[[#This Row],[country_name]],DIM_COUNTRY[[#All],[Column2]],DIM_COUNTRY[[#All],[Column3]],,,)</f>
        <v>Major_Non-USMCA_Non-China</v>
      </c>
    </row>
    <row r="8253" spans="1:9" x14ac:dyDescent="0.4">
      <c r="A8253" t="s">
        <v>71</v>
      </c>
      <c r="B8253" s="1">
        <v>45627</v>
      </c>
      <c r="C8253">
        <v>870810</v>
      </c>
      <c r="D8253" t="s">
        <v>176</v>
      </c>
      <c r="E8253">
        <v>0</v>
      </c>
      <c r="F8253">
        <v>0</v>
      </c>
      <c r="G8253">
        <v>0</v>
      </c>
      <c r="H8253">
        <f>_xlfn.XLOOKUP(FACT_IMPORTS[[#This Row],[hts_6]],DIM_PRODUCTS[hts_6],DIM_PRODUCTS[hts_4],,,)</f>
        <v>8708</v>
      </c>
      <c r="I8253" t="str" cm="1">
        <f t="array" ref="I8253">_xlfn.XLOOKUP(FACT_IMPORTS[[#This Row],[country_name]],DIM_COUNTRY[[#All],[Column2]],DIM_COUNTRY[[#All],[Column3]],,,)</f>
        <v>Major_Non-USMCA_Non-China</v>
      </c>
    </row>
    <row r="8254" spans="1:9" x14ac:dyDescent="0.4">
      <c r="A8254" t="s">
        <v>71</v>
      </c>
      <c r="B8254" s="1">
        <v>45627</v>
      </c>
      <c r="C8254">
        <v>870829</v>
      </c>
      <c r="D8254" t="s">
        <v>176</v>
      </c>
      <c r="E8254">
        <v>3119326</v>
      </c>
      <c r="F8254">
        <v>259168</v>
      </c>
      <c r="G8254">
        <v>142035</v>
      </c>
      <c r="H8254">
        <f>_xlfn.XLOOKUP(FACT_IMPORTS[[#This Row],[hts_6]],DIM_PRODUCTS[hts_6],DIM_PRODUCTS[hts_4],,,)</f>
        <v>8708</v>
      </c>
      <c r="I8254" t="str" cm="1">
        <f t="array" ref="I8254">_xlfn.XLOOKUP(FACT_IMPORTS[[#This Row],[country_name]],DIM_COUNTRY[[#All],[Column2]],DIM_COUNTRY[[#All],[Column3]],,,)</f>
        <v>Major_Non-USMCA_Non-China</v>
      </c>
    </row>
    <row r="8255" spans="1:9" x14ac:dyDescent="0.4">
      <c r="A8255" t="s">
        <v>71</v>
      </c>
      <c r="B8255" s="1">
        <v>45627</v>
      </c>
      <c r="C8255">
        <v>870830</v>
      </c>
      <c r="D8255" t="s">
        <v>176</v>
      </c>
      <c r="E8255">
        <v>694563</v>
      </c>
      <c r="F8255">
        <v>86422</v>
      </c>
      <c r="G8255">
        <v>6881</v>
      </c>
      <c r="H8255">
        <f>_xlfn.XLOOKUP(FACT_IMPORTS[[#This Row],[hts_6]],DIM_PRODUCTS[hts_6],DIM_PRODUCTS[hts_4],,,)</f>
        <v>8708</v>
      </c>
      <c r="I8255" t="str" cm="1">
        <f t="array" ref="I8255">_xlfn.XLOOKUP(FACT_IMPORTS[[#This Row],[country_name]],DIM_COUNTRY[[#All],[Column2]],DIM_COUNTRY[[#All],[Column3]],,,)</f>
        <v>Major_Non-USMCA_Non-China</v>
      </c>
    </row>
    <row r="8256" spans="1:9" x14ac:dyDescent="0.4">
      <c r="A8256" t="s">
        <v>71</v>
      </c>
      <c r="B8256" s="1">
        <v>45627</v>
      </c>
      <c r="C8256">
        <v>870840</v>
      </c>
      <c r="D8256" t="s">
        <v>176</v>
      </c>
      <c r="E8256">
        <v>2182568</v>
      </c>
      <c r="F8256">
        <v>4627</v>
      </c>
      <c r="G8256">
        <v>63354</v>
      </c>
      <c r="H8256">
        <f>_xlfn.XLOOKUP(FACT_IMPORTS[[#This Row],[hts_6]],DIM_PRODUCTS[hts_6],DIM_PRODUCTS[hts_4],,,)</f>
        <v>8708</v>
      </c>
      <c r="I8256" t="str" cm="1">
        <f t="array" ref="I8256">_xlfn.XLOOKUP(FACT_IMPORTS[[#This Row],[country_name]],DIM_COUNTRY[[#All],[Column2]],DIM_COUNTRY[[#All],[Column3]],,,)</f>
        <v>Major_Non-USMCA_Non-China</v>
      </c>
    </row>
    <row r="8257" spans="1:9" x14ac:dyDescent="0.4">
      <c r="A8257" t="s">
        <v>71</v>
      </c>
      <c r="B8257" s="1">
        <v>45627</v>
      </c>
      <c r="C8257">
        <v>870850</v>
      </c>
      <c r="D8257" t="s">
        <v>176</v>
      </c>
      <c r="E8257">
        <v>12935</v>
      </c>
      <c r="F8257">
        <v>6</v>
      </c>
      <c r="G8257">
        <v>407</v>
      </c>
      <c r="H8257">
        <f>_xlfn.XLOOKUP(FACT_IMPORTS[[#This Row],[hts_6]],DIM_PRODUCTS[hts_6],DIM_PRODUCTS[hts_4],,,)</f>
        <v>8708</v>
      </c>
      <c r="I8257" t="str" cm="1">
        <f t="array" ref="I8257">_xlfn.XLOOKUP(FACT_IMPORTS[[#This Row],[country_name]],DIM_COUNTRY[[#All],[Column2]],DIM_COUNTRY[[#All],[Column3]],,,)</f>
        <v>Major_Non-USMCA_Non-China</v>
      </c>
    </row>
    <row r="8258" spans="1:9" x14ac:dyDescent="0.4">
      <c r="A8258" t="s">
        <v>71</v>
      </c>
      <c r="B8258" s="1">
        <v>45627</v>
      </c>
      <c r="C8258">
        <v>870870</v>
      </c>
      <c r="D8258" t="s">
        <v>176</v>
      </c>
      <c r="E8258">
        <v>25546</v>
      </c>
      <c r="F8258">
        <v>351</v>
      </c>
      <c r="G8258">
        <v>142</v>
      </c>
      <c r="H8258">
        <f>_xlfn.XLOOKUP(FACT_IMPORTS[[#This Row],[hts_6]],DIM_PRODUCTS[hts_6],DIM_PRODUCTS[hts_4],,,)</f>
        <v>8708</v>
      </c>
      <c r="I8258" t="str" cm="1">
        <f t="array" ref="I8258">_xlfn.XLOOKUP(FACT_IMPORTS[[#This Row],[country_name]],DIM_COUNTRY[[#All],[Column2]],DIM_COUNTRY[[#All],[Column3]],,,)</f>
        <v>Major_Non-USMCA_Non-China</v>
      </c>
    </row>
    <row r="8259" spans="1:9" x14ac:dyDescent="0.4">
      <c r="A8259" t="s">
        <v>71</v>
      </c>
      <c r="B8259" s="1">
        <v>45627</v>
      </c>
      <c r="C8259">
        <v>870880</v>
      </c>
      <c r="D8259" t="s">
        <v>176</v>
      </c>
      <c r="E8259">
        <v>143390</v>
      </c>
      <c r="F8259">
        <v>1411</v>
      </c>
      <c r="G8259">
        <v>261</v>
      </c>
      <c r="H8259">
        <f>_xlfn.XLOOKUP(FACT_IMPORTS[[#This Row],[hts_6]],DIM_PRODUCTS[hts_6],DIM_PRODUCTS[hts_4],,,)</f>
        <v>8708</v>
      </c>
      <c r="I8259" t="str" cm="1">
        <f t="array" ref="I8259">_xlfn.XLOOKUP(FACT_IMPORTS[[#This Row],[country_name]],DIM_COUNTRY[[#All],[Column2]],DIM_COUNTRY[[#All],[Column3]],,,)</f>
        <v>Major_Non-USMCA_Non-China</v>
      </c>
    </row>
    <row r="8260" spans="1:9" x14ac:dyDescent="0.4">
      <c r="A8260" t="s">
        <v>71</v>
      </c>
      <c r="B8260" s="1">
        <v>45627</v>
      </c>
      <c r="C8260">
        <v>870891</v>
      </c>
      <c r="D8260" t="s">
        <v>176</v>
      </c>
      <c r="E8260">
        <v>151861</v>
      </c>
      <c r="F8260">
        <v>148346</v>
      </c>
      <c r="G8260">
        <v>2130</v>
      </c>
      <c r="H8260">
        <f>_xlfn.XLOOKUP(FACT_IMPORTS[[#This Row],[hts_6]],DIM_PRODUCTS[hts_6],DIM_PRODUCTS[hts_4],,,)</f>
        <v>8708</v>
      </c>
      <c r="I8260" t="str" cm="1">
        <f t="array" ref="I8260">_xlfn.XLOOKUP(FACT_IMPORTS[[#This Row],[country_name]],DIM_COUNTRY[[#All],[Column2]],DIM_COUNTRY[[#All],[Column3]],,,)</f>
        <v>Major_Non-USMCA_Non-China</v>
      </c>
    </row>
    <row r="8261" spans="1:9" x14ac:dyDescent="0.4">
      <c r="A8261" t="s">
        <v>71</v>
      </c>
      <c r="B8261" s="1">
        <v>45627</v>
      </c>
      <c r="C8261">
        <v>870893</v>
      </c>
      <c r="D8261" t="s">
        <v>176</v>
      </c>
      <c r="E8261">
        <v>1711381</v>
      </c>
      <c r="F8261">
        <v>931005</v>
      </c>
      <c r="G8261">
        <v>24554</v>
      </c>
      <c r="H8261">
        <f>_xlfn.XLOOKUP(FACT_IMPORTS[[#This Row],[hts_6]],DIM_PRODUCTS[hts_6],DIM_PRODUCTS[hts_4],,,)</f>
        <v>8708</v>
      </c>
      <c r="I8261" t="str" cm="1">
        <f t="array" ref="I8261">_xlfn.XLOOKUP(FACT_IMPORTS[[#This Row],[country_name]],DIM_COUNTRY[[#All],[Column2]],DIM_COUNTRY[[#All],[Column3]],,,)</f>
        <v>Major_Non-USMCA_Non-China</v>
      </c>
    </row>
    <row r="8262" spans="1:9" x14ac:dyDescent="0.4">
      <c r="A8262" t="s">
        <v>71</v>
      </c>
      <c r="B8262" s="1">
        <v>45627</v>
      </c>
      <c r="C8262">
        <v>870894</v>
      </c>
      <c r="D8262" t="s">
        <v>176</v>
      </c>
      <c r="E8262">
        <v>26800</v>
      </c>
      <c r="F8262">
        <v>19</v>
      </c>
      <c r="G8262">
        <v>154</v>
      </c>
      <c r="H8262">
        <f>_xlfn.XLOOKUP(FACT_IMPORTS[[#This Row],[hts_6]],DIM_PRODUCTS[hts_6],DIM_PRODUCTS[hts_4],,,)</f>
        <v>8708</v>
      </c>
      <c r="I8262" t="str" cm="1">
        <f t="array" ref="I8262">_xlfn.XLOOKUP(FACT_IMPORTS[[#This Row],[country_name]],DIM_COUNTRY[[#All],[Column2]],DIM_COUNTRY[[#All],[Column3]],,,)</f>
        <v>Major_Non-USMCA_Non-China</v>
      </c>
    </row>
    <row r="8263" spans="1:9" x14ac:dyDescent="0.4">
      <c r="A8263" t="s">
        <v>71</v>
      </c>
      <c r="B8263" s="1">
        <v>45627</v>
      </c>
      <c r="C8263">
        <v>870895</v>
      </c>
      <c r="D8263" t="s">
        <v>176</v>
      </c>
      <c r="E8263">
        <v>0</v>
      </c>
      <c r="F8263">
        <v>0</v>
      </c>
      <c r="G8263">
        <v>0</v>
      </c>
      <c r="H8263">
        <f>_xlfn.XLOOKUP(FACT_IMPORTS[[#This Row],[hts_6]],DIM_PRODUCTS[hts_6],DIM_PRODUCTS[hts_4],,,)</f>
        <v>8708</v>
      </c>
      <c r="I8263" t="str" cm="1">
        <f t="array" ref="I8263">_xlfn.XLOOKUP(FACT_IMPORTS[[#This Row],[country_name]],DIM_COUNTRY[[#All],[Column2]],DIM_COUNTRY[[#All],[Column3]],,,)</f>
        <v>Major_Non-USMCA_Non-China</v>
      </c>
    </row>
    <row r="8264" spans="1:9" x14ac:dyDescent="0.4">
      <c r="A8264" t="s">
        <v>71</v>
      </c>
      <c r="B8264" s="1">
        <v>45627</v>
      </c>
      <c r="C8264">
        <v>870899</v>
      </c>
      <c r="D8264" t="s">
        <v>176</v>
      </c>
      <c r="E8264">
        <v>2780527</v>
      </c>
      <c r="F8264">
        <v>1985462</v>
      </c>
      <c r="G8264">
        <v>54642</v>
      </c>
      <c r="H8264">
        <f>_xlfn.XLOOKUP(FACT_IMPORTS[[#This Row],[hts_6]],DIM_PRODUCTS[hts_6],DIM_PRODUCTS[hts_4],,,)</f>
        <v>8708</v>
      </c>
      <c r="I8264" t="str" cm="1">
        <f t="array" ref="I8264">_xlfn.XLOOKUP(FACT_IMPORTS[[#This Row],[country_name]],DIM_COUNTRY[[#All],[Column2]],DIM_COUNTRY[[#All],[Column3]],,,)</f>
        <v>Major_Non-USMCA_Non-China</v>
      </c>
    </row>
    <row r="8265" spans="1:9" x14ac:dyDescent="0.4">
      <c r="A8265" t="s">
        <v>71</v>
      </c>
      <c r="B8265" s="1">
        <v>45627</v>
      </c>
      <c r="C8265">
        <v>940120</v>
      </c>
      <c r="D8265" t="s">
        <v>176</v>
      </c>
      <c r="E8265">
        <v>11451</v>
      </c>
      <c r="F8265">
        <v>3</v>
      </c>
      <c r="G8265">
        <v>455</v>
      </c>
      <c r="H8265">
        <f>_xlfn.XLOOKUP(FACT_IMPORTS[[#This Row],[hts_6]],DIM_PRODUCTS[hts_6],DIM_PRODUCTS[hts_4],,,)</f>
        <v>9401</v>
      </c>
      <c r="I8265" t="str" cm="1">
        <f t="array" ref="I8265">_xlfn.XLOOKUP(FACT_IMPORTS[[#This Row],[country_name]],DIM_COUNTRY[[#All],[Column2]],DIM_COUNTRY[[#All],[Column3]],,,)</f>
        <v>Major_Non-USMCA_Non-China</v>
      </c>
    </row>
    <row r="8266" spans="1:9" x14ac:dyDescent="0.4">
      <c r="A8266" t="s">
        <v>71</v>
      </c>
      <c r="B8266" s="1">
        <v>45658</v>
      </c>
      <c r="C8266">
        <v>392630</v>
      </c>
      <c r="D8266" t="s">
        <v>176</v>
      </c>
      <c r="E8266">
        <v>0</v>
      </c>
      <c r="F8266">
        <v>0</v>
      </c>
      <c r="G8266">
        <v>0</v>
      </c>
      <c r="H8266">
        <f>_xlfn.XLOOKUP(FACT_IMPORTS[[#This Row],[hts_6]],DIM_PRODUCTS[hts_6],DIM_PRODUCTS[hts_4],,,)</f>
        <v>3926</v>
      </c>
      <c r="I8266" t="str" cm="1">
        <f t="array" ref="I8266">_xlfn.XLOOKUP(FACT_IMPORTS[[#This Row],[country_name]],DIM_COUNTRY[[#All],[Column2]],DIM_COUNTRY[[#All],[Column3]],,,)</f>
        <v>Major_Non-USMCA_Non-China</v>
      </c>
    </row>
    <row r="8267" spans="1:9" x14ac:dyDescent="0.4">
      <c r="A8267" t="s">
        <v>71</v>
      </c>
      <c r="B8267" s="1">
        <v>45658</v>
      </c>
      <c r="C8267">
        <v>401110</v>
      </c>
      <c r="D8267" t="s">
        <v>176</v>
      </c>
      <c r="E8267">
        <v>53878</v>
      </c>
      <c r="F8267">
        <v>405</v>
      </c>
      <c r="G8267">
        <v>1810</v>
      </c>
      <c r="H8267">
        <f>_xlfn.XLOOKUP(FACT_IMPORTS[[#This Row],[hts_6]],DIM_PRODUCTS[hts_6],DIM_PRODUCTS[hts_4],,,)</f>
        <v>4011</v>
      </c>
      <c r="I8267" t="str" cm="1">
        <f t="array" ref="I8267">_xlfn.XLOOKUP(FACT_IMPORTS[[#This Row],[country_name]],DIM_COUNTRY[[#All],[Column2]],DIM_COUNTRY[[#All],[Column3]],,,)</f>
        <v>Major_Non-USMCA_Non-China</v>
      </c>
    </row>
    <row r="8268" spans="1:9" x14ac:dyDescent="0.4">
      <c r="A8268" t="s">
        <v>71</v>
      </c>
      <c r="B8268" s="1">
        <v>45658</v>
      </c>
      <c r="C8268">
        <v>401120</v>
      </c>
      <c r="D8268" t="s">
        <v>176</v>
      </c>
      <c r="E8268">
        <v>0</v>
      </c>
      <c r="F8268">
        <v>0</v>
      </c>
      <c r="G8268">
        <v>0</v>
      </c>
      <c r="H8268">
        <f>_xlfn.XLOOKUP(FACT_IMPORTS[[#This Row],[hts_6]],DIM_PRODUCTS[hts_6],DIM_PRODUCTS[hts_4],,,)</f>
        <v>4011</v>
      </c>
      <c r="I8268" t="str" cm="1">
        <f t="array" ref="I8268">_xlfn.XLOOKUP(FACT_IMPORTS[[#This Row],[country_name]],DIM_COUNTRY[[#All],[Column2]],DIM_COUNTRY[[#All],[Column3]],,,)</f>
        <v>Major_Non-USMCA_Non-China</v>
      </c>
    </row>
    <row r="8269" spans="1:9" x14ac:dyDescent="0.4">
      <c r="A8269" t="s">
        <v>71</v>
      </c>
      <c r="B8269" s="1">
        <v>45658</v>
      </c>
      <c r="C8269">
        <v>401190</v>
      </c>
      <c r="D8269" t="s">
        <v>176</v>
      </c>
      <c r="E8269">
        <v>0</v>
      </c>
      <c r="F8269">
        <v>0</v>
      </c>
      <c r="G8269">
        <v>0</v>
      </c>
      <c r="H8269">
        <f>_xlfn.XLOOKUP(FACT_IMPORTS[[#This Row],[hts_6]],DIM_PRODUCTS[hts_6],DIM_PRODUCTS[hts_4],,,)</f>
        <v>4011</v>
      </c>
      <c r="I8269" t="str" cm="1">
        <f t="array" ref="I8269">_xlfn.XLOOKUP(FACT_IMPORTS[[#This Row],[country_name]],DIM_COUNTRY[[#All],[Column2]],DIM_COUNTRY[[#All],[Column3]],,,)</f>
        <v>Major_Non-USMCA_Non-China</v>
      </c>
    </row>
    <row r="8270" spans="1:9" x14ac:dyDescent="0.4">
      <c r="A8270" t="s">
        <v>71</v>
      </c>
      <c r="B8270" s="1">
        <v>45658</v>
      </c>
      <c r="C8270">
        <v>700711</v>
      </c>
      <c r="D8270" t="s">
        <v>176</v>
      </c>
      <c r="E8270">
        <v>0</v>
      </c>
      <c r="F8270">
        <v>0</v>
      </c>
      <c r="G8270">
        <v>0</v>
      </c>
      <c r="H8270">
        <f>_xlfn.XLOOKUP(FACT_IMPORTS[[#This Row],[hts_6]],DIM_PRODUCTS[hts_6],DIM_PRODUCTS[hts_4],,,)</f>
        <v>7007</v>
      </c>
      <c r="I8270" t="str" cm="1">
        <f t="array" ref="I8270">_xlfn.XLOOKUP(FACT_IMPORTS[[#This Row],[country_name]],DIM_COUNTRY[[#All],[Column2]],DIM_COUNTRY[[#All],[Column3]],,,)</f>
        <v>Major_Non-USMCA_Non-China</v>
      </c>
    </row>
    <row r="8271" spans="1:9" x14ac:dyDescent="0.4">
      <c r="A8271" t="s">
        <v>71</v>
      </c>
      <c r="B8271" s="1">
        <v>45658</v>
      </c>
      <c r="C8271">
        <v>700721</v>
      </c>
      <c r="D8271" t="s">
        <v>176</v>
      </c>
      <c r="E8271">
        <v>0</v>
      </c>
      <c r="F8271">
        <v>0</v>
      </c>
      <c r="G8271">
        <v>0</v>
      </c>
      <c r="H8271">
        <f>_xlfn.XLOOKUP(FACT_IMPORTS[[#This Row],[hts_6]],DIM_PRODUCTS[hts_6],DIM_PRODUCTS[hts_4],,,)</f>
        <v>7007</v>
      </c>
      <c r="I8271" t="str" cm="1">
        <f t="array" ref="I8271">_xlfn.XLOOKUP(FACT_IMPORTS[[#This Row],[country_name]],DIM_COUNTRY[[#All],[Column2]],DIM_COUNTRY[[#All],[Column3]],,,)</f>
        <v>Major_Non-USMCA_Non-China</v>
      </c>
    </row>
    <row r="8272" spans="1:9" x14ac:dyDescent="0.4">
      <c r="A8272" t="s">
        <v>71</v>
      </c>
      <c r="B8272" s="1">
        <v>45658</v>
      </c>
      <c r="C8272">
        <v>700910</v>
      </c>
      <c r="D8272" t="s">
        <v>176</v>
      </c>
      <c r="E8272">
        <v>0</v>
      </c>
      <c r="F8272">
        <v>0</v>
      </c>
      <c r="G8272">
        <v>0</v>
      </c>
      <c r="H8272">
        <f>_xlfn.XLOOKUP(FACT_IMPORTS[[#This Row],[hts_6]],DIM_PRODUCTS[hts_6],DIM_PRODUCTS[hts_4],,,)</f>
        <v>7009</v>
      </c>
      <c r="I8272" t="str" cm="1">
        <f t="array" ref="I8272">_xlfn.XLOOKUP(FACT_IMPORTS[[#This Row],[country_name]],DIM_COUNTRY[[#All],[Column2]],DIM_COUNTRY[[#All],[Column3]],,,)</f>
        <v>Major_Non-USMCA_Non-China</v>
      </c>
    </row>
    <row r="8273" spans="1:9" x14ac:dyDescent="0.4">
      <c r="A8273" t="s">
        <v>71</v>
      </c>
      <c r="B8273" s="1">
        <v>45658</v>
      </c>
      <c r="C8273">
        <v>830230</v>
      </c>
      <c r="D8273" t="s">
        <v>176</v>
      </c>
      <c r="E8273">
        <v>257308</v>
      </c>
      <c r="F8273">
        <v>11369</v>
      </c>
      <c r="G8273">
        <v>1050</v>
      </c>
      <c r="H8273">
        <f>_xlfn.XLOOKUP(FACT_IMPORTS[[#This Row],[hts_6]],DIM_PRODUCTS[hts_6],DIM_PRODUCTS[hts_4],,,)</f>
        <v>8302</v>
      </c>
      <c r="I8273" t="str" cm="1">
        <f t="array" ref="I8273">_xlfn.XLOOKUP(FACT_IMPORTS[[#This Row],[country_name]],DIM_COUNTRY[[#All],[Column2]],DIM_COUNTRY[[#All],[Column3]],,,)</f>
        <v>Major_Non-USMCA_Non-China</v>
      </c>
    </row>
    <row r="8274" spans="1:9" x14ac:dyDescent="0.4">
      <c r="A8274" t="s">
        <v>71</v>
      </c>
      <c r="B8274" s="1">
        <v>45658</v>
      </c>
      <c r="C8274">
        <v>840732</v>
      </c>
      <c r="D8274" t="s">
        <v>176</v>
      </c>
      <c r="E8274">
        <v>0</v>
      </c>
      <c r="F8274">
        <v>0</v>
      </c>
      <c r="G8274">
        <v>0</v>
      </c>
      <c r="H8274">
        <f>_xlfn.XLOOKUP(FACT_IMPORTS[[#This Row],[hts_6]],DIM_PRODUCTS[hts_6],DIM_PRODUCTS[hts_4],,,)</f>
        <v>8407</v>
      </c>
      <c r="I8274" t="str" cm="1">
        <f t="array" ref="I8274">_xlfn.XLOOKUP(FACT_IMPORTS[[#This Row],[country_name]],DIM_COUNTRY[[#All],[Column2]],DIM_COUNTRY[[#All],[Column3]],,,)</f>
        <v>Major_Non-USMCA_Non-China</v>
      </c>
    </row>
    <row r="8275" spans="1:9" x14ac:dyDescent="0.4">
      <c r="A8275" t="s">
        <v>71</v>
      </c>
      <c r="B8275" s="1">
        <v>45658</v>
      </c>
      <c r="C8275">
        <v>840733</v>
      </c>
      <c r="D8275" t="s">
        <v>176</v>
      </c>
      <c r="E8275">
        <v>10110</v>
      </c>
      <c r="F8275">
        <v>1</v>
      </c>
      <c r="G8275">
        <v>44</v>
      </c>
      <c r="H8275">
        <f>_xlfn.XLOOKUP(FACT_IMPORTS[[#This Row],[hts_6]],DIM_PRODUCTS[hts_6],DIM_PRODUCTS[hts_4],,,)</f>
        <v>8407</v>
      </c>
      <c r="I8275" t="str" cm="1">
        <f t="array" ref="I8275">_xlfn.XLOOKUP(FACT_IMPORTS[[#This Row],[country_name]],DIM_COUNTRY[[#All],[Column2]],DIM_COUNTRY[[#All],[Column3]],,,)</f>
        <v>Major_Non-USMCA_Non-China</v>
      </c>
    </row>
    <row r="8276" spans="1:9" x14ac:dyDescent="0.4">
      <c r="A8276" t="s">
        <v>71</v>
      </c>
      <c r="B8276" s="1">
        <v>45658</v>
      </c>
      <c r="C8276">
        <v>840734</v>
      </c>
      <c r="D8276" t="s">
        <v>176</v>
      </c>
      <c r="E8276">
        <v>28055</v>
      </c>
      <c r="F8276">
        <v>67</v>
      </c>
      <c r="G8276">
        <v>1370</v>
      </c>
      <c r="H8276">
        <f>_xlfn.XLOOKUP(FACT_IMPORTS[[#This Row],[hts_6]],DIM_PRODUCTS[hts_6],DIM_PRODUCTS[hts_4],,,)</f>
        <v>8407</v>
      </c>
      <c r="I8276" t="str" cm="1">
        <f t="array" ref="I8276">_xlfn.XLOOKUP(FACT_IMPORTS[[#This Row],[country_name]],DIM_COUNTRY[[#All],[Column2]],DIM_COUNTRY[[#All],[Column3]],,,)</f>
        <v>Major_Non-USMCA_Non-China</v>
      </c>
    </row>
    <row r="8277" spans="1:9" x14ac:dyDescent="0.4">
      <c r="A8277" t="s">
        <v>71</v>
      </c>
      <c r="B8277" s="1">
        <v>45658</v>
      </c>
      <c r="C8277">
        <v>840790</v>
      </c>
      <c r="D8277" t="s">
        <v>176</v>
      </c>
      <c r="E8277">
        <v>2661</v>
      </c>
      <c r="F8277">
        <v>1</v>
      </c>
      <c r="G8277">
        <v>6</v>
      </c>
      <c r="H8277">
        <f>_xlfn.XLOOKUP(FACT_IMPORTS[[#This Row],[hts_6]],DIM_PRODUCTS[hts_6],DIM_PRODUCTS[hts_4],,,)</f>
        <v>8407</v>
      </c>
      <c r="I8277" t="str" cm="1">
        <f t="array" ref="I8277">_xlfn.XLOOKUP(FACT_IMPORTS[[#This Row],[country_name]],DIM_COUNTRY[[#All],[Column2]],DIM_COUNTRY[[#All],[Column3]],,,)</f>
        <v>Major_Non-USMCA_Non-China</v>
      </c>
    </row>
    <row r="8278" spans="1:9" x14ac:dyDescent="0.4">
      <c r="A8278" t="s">
        <v>71</v>
      </c>
      <c r="B8278" s="1">
        <v>45658</v>
      </c>
      <c r="C8278">
        <v>840820</v>
      </c>
      <c r="D8278" t="s">
        <v>176</v>
      </c>
      <c r="E8278">
        <v>33400</v>
      </c>
      <c r="F8278">
        <v>1</v>
      </c>
      <c r="G8278">
        <v>200</v>
      </c>
      <c r="H8278">
        <f>_xlfn.XLOOKUP(FACT_IMPORTS[[#This Row],[hts_6]],DIM_PRODUCTS[hts_6],DIM_PRODUCTS[hts_4],,,)</f>
        <v>8408</v>
      </c>
      <c r="I8278" t="str" cm="1">
        <f t="array" ref="I8278">_xlfn.XLOOKUP(FACT_IMPORTS[[#This Row],[country_name]],DIM_COUNTRY[[#All],[Column2]],DIM_COUNTRY[[#All],[Column3]],,,)</f>
        <v>Major_Non-USMCA_Non-China</v>
      </c>
    </row>
    <row r="8279" spans="1:9" x14ac:dyDescent="0.4">
      <c r="A8279" t="s">
        <v>71</v>
      </c>
      <c r="B8279" s="1">
        <v>45658</v>
      </c>
      <c r="C8279">
        <v>840890</v>
      </c>
      <c r="D8279" t="s">
        <v>176</v>
      </c>
      <c r="E8279">
        <v>36951</v>
      </c>
      <c r="F8279">
        <v>3</v>
      </c>
      <c r="G8279">
        <v>141</v>
      </c>
      <c r="H8279">
        <f>_xlfn.XLOOKUP(FACT_IMPORTS[[#This Row],[hts_6]],DIM_PRODUCTS[hts_6],DIM_PRODUCTS[hts_4],,,)</f>
        <v>8408</v>
      </c>
      <c r="I8279" t="str" cm="1">
        <f t="array" ref="I8279">_xlfn.XLOOKUP(FACT_IMPORTS[[#This Row],[country_name]],DIM_COUNTRY[[#All],[Column2]],DIM_COUNTRY[[#All],[Column3]],,,)</f>
        <v>Major_Non-USMCA_Non-China</v>
      </c>
    </row>
    <row r="8280" spans="1:9" x14ac:dyDescent="0.4">
      <c r="A8280" t="s">
        <v>71</v>
      </c>
      <c r="B8280" s="1">
        <v>45658</v>
      </c>
      <c r="C8280">
        <v>840991</v>
      </c>
      <c r="D8280" t="s">
        <v>176</v>
      </c>
      <c r="E8280">
        <v>6950986</v>
      </c>
      <c r="F8280">
        <v>478135</v>
      </c>
      <c r="G8280">
        <v>150152</v>
      </c>
      <c r="H8280">
        <f>_xlfn.XLOOKUP(FACT_IMPORTS[[#This Row],[hts_6]],DIM_PRODUCTS[hts_6],DIM_PRODUCTS[hts_4],,,)</f>
        <v>8409</v>
      </c>
      <c r="I8280" t="str" cm="1">
        <f t="array" ref="I8280">_xlfn.XLOOKUP(FACT_IMPORTS[[#This Row],[country_name]],DIM_COUNTRY[[#All],[Column2]],DIM_COUNTRY[[#All],[Column3]],,,)</f>
        <v>Major_Non-USMCA_Non-China</v>
      </c>
    </row>
    <row r="8281" spans="1:9" x14ac:dyDescent="0.4">
      <c r="A8281" t="s">
        <v>71</v>
      </c>
      <c r="B8281" s="1">
        <v>45658</v>
      </c>
      <c r="C8281">
        <v>840999</v>
      </c>
      <c r="D8281" t="s">
        <v>176</v>
      </c>
      <c r="E8281">
        <v>0</v>
      </c>
      <c r="F8281">
        <v>0</v>
      </c>
      <c r="G8281">
        <v>0</v>
      </c>
      <c r="H8281">
        <f>_xlfn.XLOOKUP(FACT_IMPORTS[[#This Row],[hts_6]],DIM_PRODUCTS[hts_6],DIM_PRODUCTS[hts_4],,,)</f>
        <v>8409</v>
      </c>
      <c r="I8281" t="str" cm="1">
        <f t="array" ref="I8281">_xlfn.XLOOKUP(FACT_IMPORTS[[#This Row],[country_name]],DIM_COUNTRY[[#All],[Column2]],DIM_COUNTRY[[#All],[Column3]],,,)</f>
        <v>Major_Non-USMCA_Non-China</v>
      </c>
    </row>
    <row r="8282" spans="1:9" x14ac:dyDescent="0.4">
      <c r="A8282" t="s">
        <v>71</v>
      </c>
      <c r="B8282" s="1">
        <v>45658</v>
      </c>
      <c r="C8282">
        <v>841330</v>
      </c>
      <c r="D8282" t="s">
        <v>176</v>
      </c>
      <c r="E8282">
        <v>18639</v>
      </c>
      <c r="F8282">
        <v>153</v>
      </c>
      <c r="G8282">
        <v>686</v>
      </c>
      <c r="H8282">
        <f>_xlfn.XLOOKUP(FACT_IMPORTS[[#This Row],[hts_6]],DIM_PRODUCTS[hts_6],DIM_PRODUCTS[hts_4],,,)</f>
        <v>8413</v>
      </c>
      <c r="I8282" t="str" cm="1">
        <f t="array" ref="I8282">_xlfn.XLOOKUP(FACT_IMPORTS[[#This Row],[country_name]],DIM_COUNTRY[[#All],[Column2]],DIM_COUNTRY[[#All],[Column3]],,,)</f>
        <v>Major_Non-USMCA_Non-China</v>
      </c>
    </row>
    <row r="8283" spans="1:9" x14ac:dyDescent="0.4">
      <c r="A8283" t="s">
        <v>71</v>
      </c>
      <c r="B8283" s="1">
        <v>45658</v>
      </c>
      <c r="C8283">
        <v>841520</v>
      </c>
      <c r="D8283" t="s">
        <v>176</v>
      </c>
      <c r="E8283">
        <v>0</v>
      </c>
      <c r="F8283">
        <v>0</v>
      </c>
      <c r="G8283">
        <v>0</v>
      </c>
      <c r="H8283">
        <f>_xlfn.XLOOKUP(FACT_IMPORTS[[#This Row],[hts_6]],DIM_PRODUCTS[hts_6],DIM_PRODUCTS[hts_4],,,)</f>
        <v>8415</v>
      </c>
      <c r="I8283" t="str" cm="1">
        <f t="array" ref="I8283">_xlfn.XLOOKUP(FACT_IMPORTS[[#This Row],[country_name]],DIM_COUNTRY[[#All],[Column2]],DIM_COUNTRY[[#All],[Column3]],,,)</f>
        <v>Major_Non-USMCA_Non-China</v>
      </c>
    </row>
    <row r="8284" spans="1:9" x14ac:dyDescent="0.4">
      <c r="A8284" t="s">
        <v>71</v>
      </c>
      <c r="B8284" s="1">
        <v>45658</v>
      </c>
      <c r="C8284">
        <v>842132</v>
      </c>
      <c r="D8284" t="s">
        <v>176</v>
      </c>
      <c r="E8284">
        <v>66531</v>
      </c>
      <c r="F8284">
        <v>51</v>
      </c>
      <c r="G8284">
        <v>1072</v>
      </c>
      <c r="H8284">
        <f>_xlfn.XLOOKUP(FACT_IMPORTS[[#This Row],[hts_6]],DIM_PRODUCTS[hts_6],DIM_PRODUCTS[hts_4],,,)</f>
        <v>8421</v>
      </c>
      <c r="I8284" t="str" cm="1">
        <f t="array" ref="I8284">_xlfn.XLOOKUP(FACT_IMPORTS[[#This Row],[country_name]],DIM_COUNTRY[[#All],[Column2]],DIM_COUNTRY[[#All],[Column3]],,,)</f>
        <v>Major_Non-USMCA_Non-China</v>
      </c>
    </row>
    <row r="8285" spans="1:9" x14ac:dyDescent="0.4">
      <c r="A8285" t="s">
        <v>71</v>
      </c>
      <c r="B8285" s="1">
        <v>45658</v>
      </c>
      <c r="C8285">
        <v>848210</v>
      </c>
      <c r="D8285" t="s">
        <v>176</v>
      </c>
      <c r="E8285">
        <v>51023</v>
      </c>
      <c r="F8285">
        <v>10862</v>
      </c>
      <c r="G8285">
        <v>299</v>
      </c>
      <c r="H8285">
        <f>_xlfn.XLOOKUP(FACT_IMPORTS[[#This Row],[hts_6]],DIM_PRODUCTS[hts_6],DIM_PRODUCTS[hts_4],,,)</f>
        <v>8482</v>
      </c>
      <c r="I8285" t="str" cm="1">
        <f t="array" ref="I8285">_xlfn.XLOOKUP(FACT_IMPORTS[[#This Row],[country_name]],DIM_COUNTRY[[#All],[Column2]],DIM_COUNTRY[[#All],[Column3]],,,)</f>
        <v>Major_Non-USMCA_Non-China</v>
      </c>
    </row>
    <row r="8286" spans="1:9" x14ac:dyDescent="0.4">
      <c r="A8286" t="s">
        <v>71</v>
      </c>
      <c r="B8286" s="1">
        <v>45658</v>
      </c>
      <c r="C8286">
        <v>848220</v>
      </c>
      <c r="D8286" t="s">
        <v>176</v>
      </c>
      <c r="E8286">
        <v>214145</v>
      </c>
      <c r="F8286">
        <v>16845</v>
      </c>
      <c r="G8286">
        <v>1634</v>
      </c>
      <c r="H8286">
        <f>_xlfn.XLOOKUP(FACT_IMPORTS[[#This Row],[hts_6]],DIM_PRODUCTS[hts_6],DIM_PRODUCTS[hts_4],,,)</f>
        <v>8482</v>
      </c>
      <c r="I8286" t="str" cm="1">
        <f t="array" ref="I8286">_xlfn.XLOOKUP(FACT_IMPORTS[[#This Row],[country_name]],DIM_COUNTRY[[#All],[Column2]],DIM_COUNTRY[[#All],[Column3]],,,)</f>
        <v>Major_Non-USMCA_Non-China</v>
      </c>
    </row>
    <row r="8287" spans="1:9" x14ac:dyDescent="0.4">
      <c r="A8287" t="s">
        <v>71</v>
      </c>
      <c r="B8287" s="1">
        <v>45658</v>
      </c>
      <c r="C8287">
        <v>848310</v>
      </c>
      <c r="D8287" t="s">
        <v>176</v>
      </c>
      <c r="E8287">
        <v>1035535</v>
      </c>
      <c r="F8287">
        <v>48035</v>
      </c>
      <c r="G8287">
        <v>1524</v>
      </c>
      <c r="H8287">
        <f>_xlfn.XLOOKUP(FACT_IMPORTS[[#This Row],[hts_6]],DIM_PRODUCTS[hts_6],DIM_PRODUCTS[hts_4],,,)</f>
        <v>8483</v>
      </c>
      <c r="I8287" t="str" cm="1">
        <f t="array" ref="I8287">_xlfn.XLOOKUP(FACT_IMPORTS[[#This Row],[country_name]],DIM_COUNTRY[[#All],[Column2]],DIM_COUNTRY[[#All],[Column3]],,,)</f>
        <v>Major_Non-USMCA_Non-China</v>
      </c>
    </row>
    <row r="8288" spans="1:9" x14ac:dyDescent="0.4">
      <c r="A8288" t="s">
        <v>71</v>
      </c>
      <c r="B8288" s="1">
        <v>45658</v>
      </c>
      <c r="C8288">
        <v>850131</v>
      </c>
      <c r="D8288" t="s">
        <v>176</v>
      </c>
      <c r="E8288">
        <v>2858068</v>
      </c>
      <c r="F8288">
        <v>90734</v>
      </c>
      <c r="G8288">
        <v>37153</v>
      </c>
      <c r="H8288">
        <f>_xlfn.XLOOKUP(FACT_IMPORTS[[#This Row],[hts_6]],DIM_PRODUCTS[hts_6],DIM_PRODUCTS[hts_4],,,)</f>
        <v>8501</v>
      </c>
      <c r="I8288" t="str" cm="1">
        <f t="array" ref="I8288">_xlfn.XLOOKUP(FACT_IMPORTS[[#This Row],[country_name]],DIM_COUNTRY[[#All],[Column2]],DIM_COUNTRY[[#All],[Column3]],,,)</f>
        <v>Major_Non-USMCA_Non-China</v>
      </c>
    </row>
    <row r="8289" spans="1:9" x14ac:dyDescent="0.4">
      <c r="A8289" t="s">
        <v>71</v>
      </c>
      <c r="B8289" s="1">
        <v>45658</v>
      </c>
      <c r="C8289">
        <v>850132</v>
      </c>
      <c r="D8289" t="s">
        <v>176</v>
      </c>
      <c r="E8289">
        <v>0</v>
      </c>
      <c r="F8289">
        <v>0</v>
      </c>
      <c r="G8289">
        <v>0</v>
      </c>
      <c r="H8289">
        <f>_xlfn.XLOOKUP(FACT_IMPORTS[[#This Row],[hts_6]],DIM_PRODUCTS[hts_6],DIM_PRODUCTS[hts_4],,,)</f>
        <v>8501</v>
      </c>
      <c r="I8289" t="str" cm="1">
        <f t="array" ref="I8289">_xlfn.XLOOKUP(FACT_IMPORTS[[#This Row],[country_name]],DIM_COUNTRY[[#All],[Column2]],DIM_COUNTRY[[#All],[Column3]],,,)</f>
        <v>Major_Non-USMCA_Non-China</v>
      </c>
    </row>
    <row r="8290" spans="1:9" x14ac:dyDescent="0.4">
      <c r="A8290" t="s">
        <v>71</v>
      </c>
      <c r="B8290" s="1">
        <v>45658</v>
      </c>
      <c r="C8290">
        <v>850152</v>
      </c>
      <c r="D8290" t="s">
        <v>176</v>
      </c>
      <c r="E8290">
        <v>443538</v>
      </c>
      <c r="F8290">
        <v>540</v>
      </c>
      <c r="G8290">
        <v>5072</v>
      </c>
      <c r="H8290">
        <f>_xlfn.XLOOKUP(FACT_IMPORTS[[#This Row],[hts_6]],DIM_PRODUCTS[hts_6],DIM_PRODUCTS[hts_4],,,)</f>
        <v>8501</v>
      </c>
      <c r="I8290" t="str" cm="1">
        <f t="array" ref="I8290">_xlfn.XLOOKUP(FACT_IMPORTS[[#This Row],[country_name]],DIM_COUNTRY[[#All],[Column2]],DIM_COUNTRY[[#All],[Column3]],,,)</f>
        <v>Major_Non-USMCA_Non-China</v>
      </c>
    </row>
    <row r="8291" spans="1:9" x14ac:dyDescent="0.4">
      <c r="A8291" t="s">
        <v>71</v>
      </c>
      <c r="B8291" s="1">
        <v>45658</v>
      </c>
      <c r="C8291">
        <v>850153</v>
      </c>
      <c r="D8291" t="s">
        <v>176</v>
      </c>
      <c r="E8291">
        <v>0</v>
      </c>
      <c r="F8291">
        <v>0</v>
      </c>
      <c r="G8291">
        <v>0</v>
      </c>
      <c r="H8291">
        <f>_xlfn.XLOOKUP(FACT_IMPORTS[[#This Row],[hts_6]],DIM_PRODUCTS[hts_6],DIM_PRODUCTS[hts_4],,,)</f>
        <v>8501</v>
      </c>
      <c r="I8291" t="str" cm="1">
        <f t="array" ref="I8291">_xlfn.XLOOKUP(FACT_IMPORTS[[#This Row],[country_name]],DIM_COUNTRY[[#All],[Column2]],DIM_COUNTRY[[#All],[Column3]],,,)</f>
        <v>Major_Non-USMCA_Non-China</v>
      </c>
    </row>
    <row r="8292" spans="1:9" x14ac:dyDescent="0.4">
      <c r="A8292" t="s">
        <v>71</v>
      </c>
      <c r="B8292" s="1">
        <v>45658</v>
      </c>
      <c r="C8292">
        <v>850161</v>
      </c>
      <c r="D8292" t="s">
        <v>176</v>
      </c>
      <c r="E8292">
        <v>0</v>
      </c>
      <c r="F8292">
        <v>0</v>
      </c>
      <c r="G8292">
        <v>0</v>
      </c>
      <c r="H8292">
        <f>_xlfn.XLOOKUP(FACT_IMPORTS[[#This Row],[hts_6]],DIM_PRODUCTS[hts_6],DIM_PRODUCTS[hts_4],,,)</f>
        <v>8501</v>
      </c>
      <c r="I8292" t="str" cm="1">
        <f t="array" ref="I8292">_xlfn.XLOOKUP(FACT_IMPORTS[[#This Row],[country_name]],DIM_COUNTRY[[#All],[Column2]],DIM_COUNTRY[[#All],[Column3]],,,)</f>
        <v>Major_Non-USMCA_Non-China</v>
      </c>
    </row>
    <row r="8293" spans="1:9" x14ac:dyDescent="0.4">
      <c r="A8293" t="s">
        <v>71</v>
      </c>
      <c r="B8293" s="1">
        <v>45658</v>
      </c>
      <c r="C8293">
        <v>850440</v>
      </c>
      <c r="D8293" t="s">
        <v>176</v>
      </c>
      <c r="E8293">
        <v>682832</v>
      </c>
      <c r="F8293">
        <v>543</v>
      </c>
      <c r="G8293">
        <v>29236</v>
      </c>
      <c r="H8293">
        <f>_xlfn.XLOOKUP(FACT_IMPORTS[[#This Row],[hts_6]],DIM_PRODUCTS[hts_6],DIM_PRODUCTS[hts_4],,,)</f>
        <v>8504</v>
      </c>
      <c r="I8293" t="str" cm="1">
        <f t="array" ref="I8293">_xlfn.XLOOKUP(FACT_IMPORTS[[#This Row],[country_name]],DIM_COUNTRY[[#All],[Column2]],DIM_COUNTRY[[#All],[Column3]],,,)</f>
        <v>Major_Non-USMCA_Non-China</v>
      </c>
    </row>
    <row r="8294" spans="1:9" x14ac:dyDescent="0.4">
      <c r="A8294" t="s">
        <v>71</v>
      </c>
      <c r="B8294" s="1">
        <v>45658</v>
      </c>
      <c r="C8294">
        <v>850710</v>
      </c>
      <c r="D8294" t="s">
        <v>176</v>
      </c>
      <c r="E8294">
        <v>2457</v>
      </c>
      <c r="F8294">
        <v>43</v>
      </c>
      <c r="G8294">
        <v>33</v>
      </c>
      <c r="H8294">
        <f>_xlfn.XLOOKUP(FACT_IMPORTS[[#This Row],[hts_6]],DIM_PRODUCTS[hts_6],DIM_PRODUCTS[hts_4],,,)</f>
        <v>8507</v>
      </c>
      <c r="I8294" t="str" cm="1">
        <f t="array" ref="I8294">_xlfn.XLOOKUP(FACT_IMPORTS[[#This Row],[country_name]],DIM_COUNTRY[[#All],[Column2]],DIM_COUNTRY[[#All],[Column3]],,,)</f>
        <v>Major_Non-USMCA_Non-China</v>
      </c>
    </row>
    <row r="8295" spans="1:9" x14ac:dyDescent="0.4">
      <c r="A8295" t="s">
        <v>71</v>
      </c>
      <c r="B8295" s="1">
        <v>45658</v>
      </c>
      <c r="C8295">
        <v>850760</v>
      </c>
      <c r="D8295" t="s">
        <v>176</v>
      </c>
      <c r="E8295">
        <v>25801</v>
      </c>
      <c r="F8295">
        <v>502</v>
      </c>
      <c r="G8295">
        <v>32</v>
      </c>
      <c r="H8295">
        <f>_xlfn.XLOOKUP(FACT_IMPORTS[[#This Row],[hts_6]],DIM_PRODUCTS[hts_6],DIM_PRODUCTS[hts_4],,,)</f>
        <v>8507</v>
      </c>
      <c r="I8295" t="str" cm="1">
        <f t="array" ref="I8295">_xlfn.XLOOKUP(FACT_IMPORTS[[#This Row],[country_name]],DIM_COUNTRY[[#All],[Column2]],DIM_COUNTRY[[#All],[Column3]],,,)</f>
        <v>Major_Non-USMCA_Non-China</v>
      </c>
    </row>
    <row r="8296" spans="1:9" x14ac:dyDescent="0.4">
      <c r="A8296" t="s">
        <v>71</v>
      </c>
      <c r="B8296" s="1">
        <v>45658</v>
      </c>
      <c r="C8296">
        <v>851110</v>
      </c>
      <c r="D8296" t="s">
        <v>176</v>
      </c>
      <c r="E8296">
        <v>79931</v>
      </c>
      <c r="F8296">
        <v>5021</v>
      </c>
      <c r="G8296">
        <v>652</v>
      </c>
      <c r="H8296">
        <f>_xlfn.XLOOKUP(FACT_IMPORTS[[#This Row],[hts_6]],DIM_PRODUCTS[hts_6],DIM_PRODUCTS[hts_4],,,)</f>
        <v>8511</v>
      </c>
      <c r="I8296" t="str" cm="1">
        <f t="array" ref="I8296">_xlfn.XLOOKUP(FACT_IMPORTS[[#This Row],[country_name]],DIM_COUNTRY[[#All],[Column2]],DIM_COUNTRY[[#All],[Column3]],,,)</f>
        <v>Major_Non-USMCA_Non-China</v>
      </c>
    </row>
    <row r="8297" spans="1:9" x14ac:dyDescent="0.4">
      <c r="A8297" t="s">
        <v>71</v>
      </c>
      <c r="B8297" s="1">
        <v>45658</v>
      </c>
      <c r="C8297">
        <v>851130</v>
      </c>
      <c r="D8297" t="s">
        <v>176</v>
      </c>
      <c r="E8297">
        <v>0</v>
      </c>
      <c r="F8297">
        <v>0</v>
      </c>
      <c r="G8297">
        <v>0</v>
      </c>
      <c r="H8297">
        <f>_xlfn.XLOOKUP(FACT_IMPORTS[[#This Row],[hts_6]],DIM_PRODUCTS[hts_6],DIM_PRODUCTS[hts_4],,,)</f>
        <v>8511</v>
      </c>
      <c r="I8297" t="str" cm="1">
        <f t="array" ref="I8297">_xlfn.XLOOKUP(FACT_IMPORTS[[#This Row],[country_name]],DIM_COUNTRY[[#All],[Column2]],DIM_COUNTRY[[#All],[Column3]],,,)</f>
        <v>Major_Non-USMCA_Non-China</v>
      </c>
    </row>
    <row r="8298" spans="1:9" x14ac:dyDescent="0.4">
      <c r="A8298" t="s">
        <v>71</v>
      </c>
      <c r="B8298" s="1">
        <v>45658</v>
      </c>
      <c r="C8298">
        <v>851140</v>
      </c>
      <c r="D8298" t="s">
        <v>176</v>
      </c>
      <c r="E8298">
        <v>373158</v>
      </c>
      <c r="F8298">
        <v>6858</v>
      </c>
      <c r="G8298">
        <v>885</v>
      </c>
      <c r="H8298">
        <f>_xlfn.XLOOKUP(FACT_IMPORTS[[#This Row],[hts_6]],DIM_PRODUCTS[hts_6],DIM_PRODUCTS[hts_4],,,)</f>
        <v>8511</v>
      </c>
      <c r="I8298" t="str" cm="1">
        <f t="array" ref="I8298">_xlfn.XLOOKUP(FACT_IMPORTS[[#This Row],[country_name]],DIM_COUNTRY[[#All],[Column2]],DIM_COUNTRY[[#All],[Column3]],,,)</f>
        <v>Major_Non-USMCA_Non-China</v>
      </c>
    </row>
    <row r="8299" spans="1:9" x14ac:dyDescent="0.4">
      <c r="A8299" t="s">
        <v>71</v>
      </c>
      <c r="B8299" s="1">
        <v>45658</v>
      </c>
      <c r="C8299">
        <v>851150</v>
      </c>
      <c r="D8299" t="s">
        <v>176</v>
      </c>
      <c r="E8299">
        <v>86138</v>
      </c>
      <c r="F8299">
        <v>184</v>
      </c>
      <c r="G8299">
        <v>564</v>
      </c>
      <c r="H8299">
        <f>_xlfn.XLOOKUP(FACT_IMPORTS[[#This Row],[hts_6]],DIM_PRODUCTS[hts_6],DIM_PRODUCTS[hts_4],,,)</f>
        <v>8511</v>
      </c>
      <c r="I8299" t="str" cm="1">
        <f t="array" ref="I8299">_xlfn.XLOOKUP(FACT_IMPORTS[[#This Row],[country_name]],DIM_COUNTRY[[#All],[Column2]],DIM_COUNTRY[[#All],[Column3]],,,)</f>
        <v>Major_Non-USMCA_Non-China</v>
      </c>
    </row>
    <row r="8300" spans="1:9" x14ac:dyDescent="0.4">
      <c r="A8300" t="s">
        <v>71</v>
      </c>
      <c r="B8300" s="1">
        <v>45658</v>
      </c>
      <c r="C8300">
        <v>851180</v>
      </c>
      <c r="D8300" t="s">
        <v>176</v>
      </c>
      <c r="E8300">
        <v>10396</v>
      </c>
      <c r="F8300">
        <v>183</v>
      </c>
      <c r="G8300">
        <v>55</v>
      </c>
      <c r="H8300">
        <f>_xlfn.XLOOKUP(FACT_IMPORTS[[#This Row],[hts_6]],DIM_PRODUCTS[hts_6],DIM_PRODUCTS[hts_4],,,)</f>
        <v>8511</v>
      </c>
      <c r="I8300" t="str" cm="1">
        <f t="array" ref="I8300">_xlfn.XLOOKUP(FACT_IMPORTS[[#This Row],[country_name]],DIM_COUNTRY[[#All],[Column2]],DIM_COUNTRY[[#All],[Column3]],,,)</f>
        <v>Major_Non-USMCA_Non-China</v>
      </c>
    </row>
    <row r="8301" spans="1:9" x14ac:dyDescent="0.4">
      <c r="A8301" t="s">
        <v>71</v>
      </c>
      <c r="B8301" s="1">
        <v>45658</v>
      </c>
      <c r="C8301">
        <v>851190</v>
      </c>
      <c r="D8301" t="s">
        <v>176</v>
      </c>
      <c r="E8301">
        <v>22278</v>
      </c>
      <c r="F8301">
        <v>320</v>
      </c>
      <c r="G8301">
        <v>1906</v>
      </c>
      <c r="H8301">
        <f>_xlfn.XLOOKUP(FACT_IMPORTS[[#This Row],[hts_6]],DIM_PRODUCTS[hts_6],DIM_PRODUCTS[hts_4],,,)</f>
        <v>8511</v>
      </c>
      <c r="I8301" t="str" cm="1">
        <f t="array" ref="I8301">_xlfn.XLOOKUP(FACT_IMPORTS[[#This Row],[country_name]],DIM_COUNTRY[[#All],[Column2]],DIM_COUNTRY[[#All],[Column3]],,,)</f>
        <v>Major_Non-USMCA_Non-China</v>
      </c>
    </row>
    <row r="8302" spans="1:9" x14ac:dyDescent="0.4">
      <c r="A8302" t="s">
        <v>71</v>
      </c>
      <c r="B8302" s="1">
        <v>45658</v>
      </c>
      <c r="C8302">
        <v>851220</v>
      </c>
      <c r="D8302" t="s">
        <v>176</v>
      </c>
      <c r="E8302">
        <v>0</v>
      </c>
      <c r="F8302">
        <v>0</v>
      </c>
      <c r="G8302">
        <v>0</v>
      </c>
      <c r="H8302">
        <f>_xlfn.XLOOKUP(FACT_IMPORTS[[#This Row],[hts_6]],DIM_PRODUCTS[hts_6],DIM_PRODUCTS[hts_4],,,)</f>
        <v>8512</v>
      </c>
      <c r="I8302" t="str" cm="1">
        <f t="array" ref="I8302">_xlfn.XLOOKUP(FACT_IMPORTS[[#This Row],[country_name]],DIM_COUNTRY[[#All],[Column2]],DIM_COUNTRY[[#All],[Column3]],,,)</f>
        <v>Major_Non-USMCA_Non-China</v>
      </c>
    </row>
    <row r="8303" spans="1:9" x14ac:dyDescent="0.4">
      <c r="A8303" t="s">
        <v>71</v>
      </c>
      <c r="B8303" s="1">
        <v>45658</v>
      </c>
      <c r="C8303">
        <v>851230</v>
      </c>
      <c r="D8303" t="s">
        <v>176</v>
      </c>
      <c r="E8303">
        <v>11285</v>
      </c>
      <c r="F8303">
        <v>455</v>
      </c>
      <c r="G8303">
        <v>449</v>
      </c>
      <c r="H8303">
        <f>_xlfn.XLOOKUP(FACT_IMPORTS[[#This Row],[hts_6]],DIM_PRODUCTS[hts_6],DIM_PRODUCTS[hts_4],,,)</f>
        <v>8512</v>
      </c>
      <c r="I8303" t="str" cm="1">
        <f t="array" ref="I8303">_xlfn.XLOOKUP(FACT_IMPORTS[[#This Row],[country_name]],DIM_COUNTRY[[#All],[Column2]],DIM_COUNTRY[[#All],[Column3]],,,)</f>
        <v>Major_Non-USMCA_Non-China</v>
      </c>
    </row>
    <row r="8304" spans="1:9" x14ac:dyDescent="0.4">
      <c r="A8304" t="s">
        <v>71</v>
      </c>
      <c r="B8304" s="1">
        <v>45658</v>
      </c>
      <c r="C8304">
        <v>851290</v>
      </c>
      <c r="D8304" t="s">
        <v>176</v>
      </c>
      <c r="E8304">
        <v>0</v>
      </c>
      <c r="F8304">
        <v>0</v>
      </c>
      <c r="G8304">
        <v>0</v>
      </c>
      <c r="H8304">
        <f>_xlfn.XLOOKUP(FACT_IMPORTS[[#This Row],[hts_6]],DIM_PRODUCTS[hts_6],DIM_PRODUCTS[hts_4],,,)</f>
        <v>8512</v>
      </c>
      <c r="I8304" t="str" cm="1">
        <f t="array" ref="I8304">_xlfn.XLOOKUP(FACT_IMPORTS[[#This Row],[country_name]],DIM_COUNTRY[[#All],[Column2]],DIM_COUNTRY[[#All],[Column3]],,,)</f>
        <v>Major_Non-USMCA_Non-China</v>
      </c>
    </row>
    <row r="8305" spans="1:9" x14ac:dyDescent="0.4">
      <c r="A8305" t="s">
        <v>71</v>
      </c>
      <c r="B8305" s="1">
        <v>45658</v>
      </c>
      <c r="C8305">
        <v>854231</v>
      </c>
      <c r="D8305" t="s">
        <v>176</v>
      </c>
      <c r="E8305">
        <v>63827</v>
      </c>
      <c r="F8305">
        <v>6232</v>
      </c>
      <c r="G8305">
        <v>831</v>
      </c>
      <c r="H8305">
        <f>_xlfn.XLOOKUP(FACT_IMPORTS[[#This Row],[hts_6]],DIM_PRODUCTS[hts_6],DIM_PRODUCTS[hts_4],,,)</f>
        <v>8542</v>
      </c>
      <c r="I8305" t="str" cm="1">
        <f t="array" ref="I8305">_xlfn.XLOOKUP(FACT_IMPORTS[[#This Row],[country_name]],DIM_COUNTRY[[#All],[Column2]],DIM_COUNTRY[[#All],[Column3]],,,)</f>
        <v>Major_Non-USMCA_Non-China</v>
      </c>
    </row>
    <row r="8306" spans="1:9" x14ac:dyDescent="0.4">
      <c r="A8306" t="s">
        <v>71</v>
      </c>
      <c r="B8306" s="1">
        <v>45658</v>
      </c>
      <c r="C8306">
        <v>854232</v>
      </c>
      <c r="D8306" t="s">
        <v>176</v>
      </c>
      <c r="E8306">
        <v>0</v>
      </c>
      <c r="F8306">
        <v>0</v>
      </c>
      <c r="G8306">
        <v>0</v>
      </c>
      <c r="H8306">
        <f>_xlfn.XLOOKUP(FACT_IMPORTS[[#This Row],[hts_6]],DIM_PRODUCTS[hts_6],DIM_PRODUCTS[hts_4],,,)</f>
        <v>8542</v>
      </c>
      <c r="I8306" t="str" cm="1">
        <f t="array" ref="I8306">_xlfn.XLOOKUP(FACT_IMPORTS[[#This Row],[country_name]],DIM_COUNTRY[[#All],[Column2]],DIM_COUNTRY[[#All],[Column3]],,,)</f>
        <v>Major_Non-USMCA_Non-China</v>
      </c>
    </row>
    <row r="8307" spans="1:9" x14ac:dyDescent="0.4">
      <c r="A8307" t="s">
        <v>71</v>
      </c>
      <c r="B8307" s="1">
        <v>45658</v>
      </c>
      <c r="C8307">
        <v>854239</v>
      </c>
      <c r="D8307" t="s">
        <v>176</v>
      </c>
      <c r="E8307">
        <v>0</v>
      </c>
      <c r="F8307">
        <v>0</v>
      </c>
      <c r="G8307">
        <v>0</v>
      </c>
      <c r="H8307">
        <f>_xlfn.XLOOKUP(FACT_IMPORTS[[#This Row],[hts_6]],DIM_PRODUCTS[hts_6],DIM_PRODUCTS[hts_4],,,)</f>
        <v>8542</v>
      </c>
      <c r="I8307" t="str" cm="1">
        <f t="array" ref="I8307">_xlfn.XLOOKUP(FACT_IMPORTS[[#This Row],[country_name]],DIM_COUNTRY[[#All],[Column2]],DIM_COUNTRY[[#All],[Column3]],,,)</f>
        <v>Major_Non-USMCA_Non-China</v>
      </c>
    </row>
    <row r="8308" spans="1:9" x14ac:dyDescent="0.4">
      <c r="A8308" t="s">
        <v>71</v>
      </c>
      <c r="B8308" s="1">
        <v>45658</v>
      </c>
      <c r="C8308">
        <v>854290</v>
      </c>
      <c r="D8308" t="s">
        <v>176</v>
      </c>
      <c r="E8308">
        <v>0</v>
      </c>
      <c r="F8308">
        <v>0</v>
      </c>
      <c r="G8308">
        <v>0</v>
      </c>
      <c r="H8308">
        <f>_xlfn.XLOOKUP(FACT_IMPORTS[[#This Row],[hts_6]],DIM_PRODUCTS[hts_6],DIM_PRODUCTS[hts_4],,,)</f>
        <v>8542</v>
      </c>
      <c r="I8308" t="str" cm="1">
        <f t="array" ref="I8308">_xlfn.XLOOKUP(FACT_IMPORTS[[#This Row],[country_name]],DIM_COUNTRY[[#All],[Column2]],DIM_COUNTRY[[#All],[Column3]],,,)</f>
        <v>Major_Non-USMCA_Non-China</v>
      </c>
    </row>
    <row r="8309" spans="1:9" x14ac:dyDescent="0.4">
      <c r="A8309" t="s">
        <v>71</v>
      </c>
      <c r="B8309" s="1">
        <v>45658</v>
      </c>
      <c r="C8309">
        <v>854430</v>
      </c>
      <c r="D8309" t="s">
        <v>176</v>
      </c>
      <c r="E8309">
        <v>0</v>
      </c>
      <c r="F8309">
        <v>0</v>
      </c>
      <c r="G8309">
        <v>0</v>
      </c>
      <c r="H8309">
        <f>_xlfn.XLOOKUP(FACT_IMPORTS[[#This Row],[hts_6]],DIM_PRODUCTS[hts_6],DIM_PRODUCTS[hts_4],,,)</f>
        <v>8544</v>
      </c>
      <c r="I8309" t="str" cm="1">
        <f t="array" ref="I8309">_xlfn.XLOOKUP(FACT_IMPORTS[[#This Row],[country_name]],DIM_COUNTRY[[#All],[Column2]],DIM_COUNTRY[[#All],[Column3]],,,)</f>
        <v>Major_Non-USMCA_Non-China</v>
      </c>
    </row>
    <row r="8310" spans="1:9" x14ac:dyDescent="0.4">
      <c r="A8310" t="s">
        <v>71</v>
      </c>
      <c r="B8310" s="1">
        <v>45658</v>
      </c>
      <c r="C8310">
        <v>870710</v>
      </c>
      <c r="D8310" t="s">
        <v>176</v>
      </c>
      <c r="E8310">
        <v>0</v>
      </c>
      <c r="F8310">
        <v>0</v>
      </c>
      <c r="G8310">
        <v>0</v>
      </c>
      <c r="H8310">
        <f>_xlfn.XLOOKUP(FACT_IMPORTS[[#This Row],[hts_6]],DIM_PRODUCTS[hts_6],DIM_PRODUCTS[hts_4],,,)</f>
        <v>8707</v>
      </c>
      <c r="I8310" t="str" cm="1">
        <f t="array" ref="I8310">_xlfn.XLOOKUP(FACT_IMPORTS[[#This Row],[country_name]],DIM_COUNTRY[[#All],[Column2]],DIM_COUNTRY[[#All],[Column3]],,,)</f>
        <v>Major_Non-USMCA_Non-China</v>
      </c>
    </row>
    <row r="8311" spans="1:9" x14ac:dyDescent="0.4">
      <c r="A8311" t="s">
        <v>71</v>
      </c>
      <c r="B8311" s="1">
        <v>45658</v>
      </c>
      <c r="C8311">
        <v>870790</v>
      </c>
      <c r="D8311" t="s">
        <v>176</v>
      </c>
      <c r="E8311">
        <v>0</v>
      </c>
      <c r="F8311">
        <v>0</v>
      </c>
      <c r="G8311">
        <v>0</v>
      </c>
      <c r="H8311">
        <f>_xlfn.XLOOKUP(FACT_IMPORTS[[#This Row],[hts_6]],DIM_PRODUCTS[hts_6],DIM_PRODUCTS[hts_4],,,)</f>
        <v>8707</v>
      </c>
      <c r="I8311" t="str" cm="1">
        <f t="array" ref="I8311">_xlfn.XLOOKUP(FACT_IMPORTS[[#This Row],[country_name]],DIM_COUNTRY[[#All],[Column2]],DIM_COUNTRY[[#All],[Column3]],,,)</f>
        <v>Major_Non-USMCA_Non-China</v>
      </c>
    </row>
    <row r="8312" spans="1:9" x14ac:dyDescent="0.4">
      <c r="A8312" t="s">
        <v>71</v>
      </c>
      <c r="B8312" s="1">
        <v>45658</v>
      </c>
      <c r="C8312">
        <v>870810</v>
      </c>
      <c r="D8312" t="s">
        <v>176</v>
      </c>
      <c r="E8312">
        <v>0</v>
      </c>
      <c r="F8312">
        <v>0</v>
      </c>
      <c r="G8312">
        <v>0</v>
      </c>
      <c r="H8312">
        <f>_xlfn.XLOOKUP(FACT_IMPORTS[[#This Row],[hts_6]],DIM_PRODUCTS[hts_6],DIM_PRODUCTS[hts_4],,,)</f>
        <v>8708</v>
      </c>
      <c r="I8312" t="str" cm="1">
        <f t="array" ref="I8312">_xlfn.XLOOKUP(FACT_IMPORTS[[#This Row],[country_name]],DIM_COUNTRY[[#All],[Column2]],DIM_COUNTRY[[#All],[Column3]],,,)</f>
        <v>Major_Non-USMCA_Non-China</v>
      </c>
    </row>
    <row r="8313" spans="1:9" x14ac:dyDescent="0.4">
      <c r="A8313" t="s">
        <v>71</v>
      </c>
      <c r="B8313" s="1">
        <v>45658</v>
      </c>
      <c r="C8313">
        <v>870829</v>
      </c>
      <c r="D8313" t="s">
        <v>176</v>
      </c>
      <c r="E8313">
        <v>3187609</v>
      </c>
      <c r="F8313">
        <v>243131</v>
      </c>
      <c r="G8313">
        <v>107216</v>
      </c>
      <c r="H8313">
        <f>_xlfn.XLOOKUP(FACT_IMPORTS[[#This Row],[hts_6]],DIM_PRODUCTS[hts_6],DIM_PRODUCTS[hts_4],,,)</f>
        <v>8708</v>
      </c>
      <c r="I8313" t="str" cm="1">
        <f t="array" ref="I8313">_xlfn.XLOOKUP(FACT_IMPORTS[[#This Row],[country_name]],DIM_COUNTRY[[#All],[Column2]],DIM_COUNTRY[[#All],[Column3]],,,)</f>
        <v>Major_Non-USMCA_Non-China</v>
      </c>
    </row>
    <row r="8314" spans="1:9" x14ac:dyDescent="0.4">
      <c r="A8314" t="s">
        <v>71</v>
      </c>
      <c r="B8314" s="1">
        <v>45658</v>
      </c>
      <c r="C8314">
        <v>870830</v>
      </c>
      <c r="D8314" t="s">
        <v>176</v>
      </c>
      <c r="E8314">
        <v>1387986</v>
      </c>
      <c r="F8314">
        <v>172917</v>
      </c>
      <c r="G8314">
        <v>13966</v>
      </c>
      <c r="H8314">
        <f>_xlfn.XLOOKUP(FACT_IMPORTS[[#This Row],[hts_6]],DIM_PRODUCTS[hts_6],DIM_PRODUCTS[hts_4],,,)</f>
        <v>8708</v>
      </c>
      <c r="I8314" t="str" cm="1">
        <f t="array" ref="I8314">_xlfn.XLOOKUP(FACT_IMPORTS[[#This Row],[country_name]],DIM_COUNTRY[[#All],[Column2]],DIM_COUNTRY[[#All],[Column3]],,,)</f>
        <v>Major_Non-USMCA_Non-China</v>
      </c>
    </row>
    <row r="8315" spans="1:9" x14ac:dyDescent="0.4">
      <c r="A8315" t="s">
        <v>71</v>
      </c>
      <c r="B8315" s="1">
        <v>45658</v>
      </c>
      <c r="C8315">
        <v>870840</v>
      </c>
      <c r="D8315" t="s">
        <v>176</v>
      </c>
      <c r="E8315">
        <v>2646823</v>
      </c>
      <c r="F8315">
        <v>2559</v>
      </c>
      <c r="G8315">
        <v>62854</v>
      </c>
      <c r="H8315">
        <f>_xlfn.XLOOKUP(FACT_IMPORTS[[#This Row],[hts_6]],DIM_PRODUCTS[hts_6],DIM_PRODUCTS[hts_4],,,)</f>
        <v>8708</v>
      </c>
      <c r="I8315" t="str" cm="1">
        <f t="array" ref="I8315">_xlfn.XLOOKUP(FACT_IMPORTS[[#This Row],[country_name]],DIM_COUNTRY[[#All],[Column2]],DIM_COUNTRY[[#All],[Column3]],,,)</f>
        <v>Major_Non-USMCA_Non-China</v>
      </c>
    </row>
    <row r="8316" spans="1:9" x14ac:dyDescent="0.4">
      <c r="A8316" t="s">
        <v>71</v>
      </c>
      <c r="B8316" s="1">
        <v>45658</v>
      </c>
      <c r="C8316">
        <v>870850</v>
      </c>
      <c r="D8316" t="s">
        <v>176</v>
      </c>
      <c r="E8316">
        <v>0</v>
      </c>
      <c r="F8316">
        <v>0</v>
      </c>
      <c r="G8316">
        <v>0</v>
      </c>
      <c r="H8316">
        <f>_xlfn.XLOOKUP(FACT_IMPORTS[[#This Row],[hts_6]],DIM_PRODUCTS[hts_6],DIM_PRODUCTS[hts_4],,,)</f>
        <v>8708</v>
      </c>
      <c r="I8316" t="str" cm="1">
        <f t="array" ref="I8316">_xlfn.XLOOKUP(FACT_IMPORTS[[#This Row],[country_name]],DIM_COUNTRY[[#All],[Column2]],DIM_COUNTRY[[#All],[Column3]],,,)</f>
        <v>Major_Non-USMCA_Non-China</v>
      </c>
    </row>
    <row r="8317" spans="1:9" x14ac:dyDescent="0.4">
      <c r="A8317" t="s">
        <v>71</v>
      </c>
      <c r="B8317" s="1">
        <v>45658</v>
      </c>
      <c r="C8317">
        <v>870870</v>
      </c>
      <c r="D8317" t="s">
        <v>176</v>
      </c>
      <c r="E8317">
        <v>2043</v>
      </c>
      <c r="F8317">
        <v>80</v>
      </c>
      <c r="G8317">
        <v>14</v>
      </c>
      <c r="H8317">
        <f>_xlfn.XLOOKUP(FACT_IMPORTS[[#This Row],[hts_6]],DIM_PRODUCTS[hts_6],DIM_PRODUCTS[hts_4],,,)</f>
        <v>8708</v>
      </c>
      <c r="I8317" t="str" cm="1">
        <f t="array" ref="I8317">_xlfn.XLOOKUP(FACT_IMPORTS[[#This Row],[country_name]],DIM_COUNTRY[[#All],[Column2]],DIM_COUNTRY[[#All],[Column3]],,,)</f>
        <v>Major_Non-USMCA_Non-China</v>
      </c>
    </row>
    <row r="8318" spans="1:9" x14ac:dyDescent="0.4">
      <c r="A8318" t="s">
        <v>71</v>
      </c>
      <c r="B8318" s="1">
        <v>45658</v>
      </c>
      <c r="C8318">
        <v>870880</v>
      </c>
      <c r="D8318" t="s">
        <v>176</v>
      </c>
      <c r="E8318">
        <v>125572</v>
      </c>
      <c r="F8318">
        <v>3790</v>
      </c>
      <c r="G8318">
        <v>9803</v>
      </c>
      <c r="H8318">
        <f>_xlfn.XLOOKUP(FACT_IMPORTS[[#This Row],[hts_6]],DIM_PRODUCTS[hts_6],DIM_PRODUCTS[hts_4],,,)</f>
        <v>8708</v>
      </c>
      <c r="I8318" t="str" cm="1">
        <f t="array" ref="I8318">_xlfn.XLOOKUP(FACT_IMPORTS[[#This Row],[country_name]],DIM_COUNTRY[[#All],[Column2]],DIM_COUNTRY[[#All],[Column3]],,,)</f>
        <v>Major_Non-USMCA_Non-China</v>
      </c>
    </row>
    <row r="8319" spans="1:9" x14ac:dyDescent="0.4">
      <c r="A8319" t="s">
        <v>71</v>
      </c>
      <c r="B8319" s="1">
        <v>45658</v>
      </c>
      <c r="C8319">
        <v>870891</v>
      </c>
      <c r="D8319" t="s">
        <v>176</v>
      </c>
      <c r="E8319">
        <v>99267</v>
      </c>
      <c r="F8319">
        <v>70682</v>
      </c>
      <c r="G8319">
        <v>1289</v>
      </c>
      <c r="H8319">
        <f>_xlfn.XLOOKUP(FACT_IMPORTS[[#This Row],[hts_6]],DIM_PRODUCTS[hts_6],DIM_PRODUCTS[hts_4],,,)</f>
        <v>8708</v>
      </c>
      <c r="I8319" t="str" cm="1">
        <f t="array" ref="I8319">_xlfn.XLOOKUP(FACT_IMPORTS[[#This Row],[country_name]],DIM_COUNTRY[[#All],[Column2]],DIM_COUNTRY[[#All],[Column3]],,,)</f>
        <v>Major_Non-USMCA_Non-China</v>
      </c>
    </row>
    <row r="8320" spans="1:9" x14ac:dyDescent="0.4">
      <c r="A8320" t="s">
        <v>71</v>
      </c>
      <c r="B8320" s="1">
        <v>45658</v>
      </c>
      <c r="C8320">
        <v>870892</v>
      </c>
      <c r="D8320" t="s">
        <v>176</v>
      </c>
      <c r="E8320">
        <v>0</v>
      </c>
      <c r="F8320">
        <v>0</v>
      </c>
      <c r="G8320">
        <v>0</v>
      </c>
      <c r="H8320">
        <f>_xlfn.XLOOKUP(FACT_IMPORTS[[#This Row],[hts_6]],DIM_PRODUCTS[hts_6],DIM_PRODUCTS[hts_4],,,)</f>
        <v>8708</v>
      </c>
      <c r="I8320" t="str" cm="1">
        <f t="array" ref="I8320">_xlfn.XLOOKUP(FACT_IMPORTS[[#This Row],[country_name]],DIM_COUNTRY[[#All],[Column2]],DIM_COUNTRY[[#All],[Column3]],,,)</f>
        <v>Major_Non-USMCA_Non-China</v>
      </c>
    </row>
    <row r="8321" spans="1:9" x14ac:dyDescent="0.4">
      <c r="A8321" t="s">
        <v>71</v>
      </c>
      <c r="B8321" s="1">
        <v>45658</v>
      </c>
      <c r="C8321">
        <v>870893</v>
      </c>
      <c r="D8321" t="s">
        <v>176</v>
      </c>
      <c r="E8321">
        <v>1199859</v>
      </c>
      <c r="F8321">
        <v>590662</v>
      </c>
      <c r="G8321">
        <v>16418</v>
      </c>
      <c r="H8321">
        <f>_xlfn.XLOOKUP(FACT_IMPORTS[[#This Row],[hts_6]],DIM_PRODUCTS[hts_6],DIM_PRODUCTS[hts_4],,,)</f>
        <v>8708</v>
      </c>
      <c r="I8321" t="str" cm="1">
        <f t="array" ref="I8321">_xlfn.XLOOKUP(FACT_IMPORTS[[#This Row],[country_name]],DIM_COUNTRY[[#All],[Column2]],DIM_COUNTRY[[#All],[Column3]],,,)</f>
        <v>Major_Non-USMCA_Non-China</v>
      </c>
    </row>
    <row r="8322" spans="1:9" x14ac:dyDescent="0.4">
      <c r="A8322" t="s">
        <v>71</v>
      </c>
      <c r="B8322" s="1">
        <v>45658</v>
      </c>
      <c r="C8322">
        <v>870894</v>
      </c>
      <c r="D8322" t="s">
        <v>176</v>
      </c>
      <c r="E8322">
        <v>2878</v>
      </c>
      <c r="F8322">
        <v>9</v>
      </c>
      <c r="G8322">
        <v>30</v>
      </c>
      <c r="H8322">
        <f>_xlfn.XLOOKUP(FACT_IMPORTS[[#This Row],[hts_6]],DIM_PRODUCTS[hts_6],DIM_PRODUCTS[hts_4],,,)</f>
        <v>8708</v>
      </c>
      <c r="I8322" t="str" cm="1">
        <f t="array" ref="I8322">_xlfn.XLOOKUP(FACT_IMPORTS[[#This Row],[country_name]],DIM_COUNTRY[[#All],[Column2]],DIM_COUNTRY[[#All],[Column3]],,,)</f>
        <v>Major_Non-USMCA_Non-China</v>
      </c>
    </row>
    <row r="8323" spans="1:9" x14ac:dyDescent="0.4">
      <c r="A8323" t="s">
        <v>71</v>
      </c>
      <c r="B8323" s="1">
        <v>45658</v>
      </c>
      <c r="C8323">
        <v>870895</v>
      </c>
      <c r="D8323" t="s">
        <v>176</v>
      </c>
      <c r="E8323">
        <v>0</v>
      </c>
      <c r="F8323">
        <v>0</v>
      </c>
      <c r="G8323">
        <v>0</v>
      </c>
      <c r="H8323">
        <f>_xlfn.XLOOKUP(FACT_IMPORTS[[#This Row],[hts_6]],DIM_PRODUCTS[hts_6],DIM_PRODUCTS[hts_4],,,)</f>
        <v>8708</v>
      </c>
      <c r="I8323" t="str" cm="1">
        <f t="array" ref="I8323">_xlfn.XLOOKUP(FACT_IMPORTS[[#This Row],[country_name]],DIM_COUNTRY[[#All],[Column2]],DIM_COUNTRY[[#All],[Column3]],,,)</f>
        <v>Major_Non-USMCA_Non-China</v>
      </c>
    </row>
    <row r="8324" spans="1:9" x14ac:dyDescent="0.4">
      <c r="A8324" t="s">
        <v>71</v>
      </c>
      <c r="B8324" s="1">
        <v>45658</v>
      </c>
      <c r="C8324">
        <v>870899</v>
      </c>
      <c r="D8324" t="s">
        <v>176</v>
      </c>
      <c r="E8324">
        <v>1815424</v>
      </c>
      <c r="F8324">
        <v>1949574</v>
      </c>
      <c r="G8324">
        <v>26734</v>
      </c>
      <c r="H8324">
        <f>_xlfn.XLOOKUP(FACT_IMPORTS[[#This Row],[hts_6]],DIM_PRODUCTS[hts_6],DIM_PRODUCTS[hts_4],,,)</f>
        <v>8708</v>
      </c>
      <c r="I8324" t="str" cm="1">
        <f t="array" ref="I8324">_xlfn.XLOOKUP(FACT_IMPORTS[[#This Row],[country_name]],DIM_COUNTRY[[#All],[Column2]],DIM_COUNTRY[[#All],[Column3]],,,)</f>
        <v>Major_Non-USMCA_Non-China</v>
      </c>
    </row>
    <row r="8325" spans="1:9" x14ac:dyDescent="0.4">
      <c r="A8325" t="s">
        <v>71</v>
      </c>
      <c r="B8325" s="1">
        <v>45658</v>
      </c>
      <c r="C8325">
        <v>940120</v>
      </c>
      <c r="D8325" t="s">
        <v>176</v>
      </c>
      <c r="E8325">
        <v>2163</v>
      </c>
      <c r="F8325">
        <v>2</v>
      </c>
      <c r="G8325">
        <v>169</v>
      </c>
      <c r="H8325">
        <f>_xlfn.XLOOKUP(FACT_IMPORTS[[#This Row],[hts_6]],DIM_PRODUCTS[hts_6],DIM_PRODUCTS[hts_4],,,)</f>
        <v>9401</v>
      </c>
      <c r="I8325" t="str" cm="1">
        <f t="array" ref="I8325">_xlfn.XLOOKUP(FACT_IMPORTS[[#This Row],[country_name]],DIM_COUNTRY[[#All],[Column2]],DIM_COUNTRY[[#All],[Column3]],,,)</f>
        <v>Major_Non-USMCA_Non-China</v>
      </c>
    </row>
    <row r="8326" spans="1:9" x14ac:dyDescent="0.4">
      <c r="A8326" t="s">
        <v>71</v>
      </c>
      <c r="B8326" s="1">
        <v>45689</v>
      </c>
      <c r="C8326">
        <v>392630</v>
      </c>
      <c r="D8326" t="s">
        <v>176</v>
      </c>
      <c r="E8326">
        <v>1522</v>
      </c>
      <c r="F8326">
        <v>79</v>
      </c>
      <c r="G8326">
        <v>1000</v>
      </c>
      <c r="H8326">
        <f>_xlfn.XLOOKUP(FACT_IMPORTS[[#This Row],[hts_6]],DIM_PRODUCTS[hts_6],DIM_PRODUCTS[hts_4],,,)</f>
        <v>3926</v>
      </c>
      <c r="I8326" t="str" cm="1">
        <f t="array" ref="I8326">_xlfn.XLOOKUP(FACT_IMPORTS[[#This Row],[country_name]],DIM_COUNTRY[[#All],[Column2]],DIM_COUNTRY[[#All],[Column3]],,,)</f>
        <v>Major_Non-USMCA_Non-China</v>
      </c>
    </row>
    <row r="8327" spans="1:9" x14ac:dyDescent="0.4">
      <c r="A8327" t="s">
        <v>71</v>
      </c>
      <c r="B8327" s="1">
        <v>45689</v>
      </c>
      <c r="C8327">
        <v>401110</v>
      </c>
      <c r="D8327" t="s">
        <v>176</v>
      </c>
      <c r="E8327">
        <v>800</v>
      </c>
      <c r="F8327">
        <v>4</v>
      </c>
      <c r="G8327">
        <v>80</v>
      </c>
      <c r="H8327">
        <f>_xlfn.XLOOKUP(FACT_IMPORTS[[#This Row],[hts_6]],DIM_PRODUCTS[hts_6],DIM_PRODUCTS[hts_4],,,)</f>
        <v>4011</v>
      </c>
      <c r="I8327" t="str" cm="1">
        <f t="array" ref="I8327">_xlfn.XLOOKUP(FACT_IMPORTS[[#This Row],[country_name]],DIM_COUNTRY[[#All],[Column2]],DIM_COUNTRY[[#All],[Column3]],,,)</f>
        <v>Major_Non-USMCA_Non-China</v>
      </c>
    </row>
    <row r="8328" spans="1:9" x14ac:dyDescent="0.4">
      <c r="A8328" t="s">
        <v>71</v>
      </c>
      <c r="B8328" s="1">
        <v>45689</v>
      </c>
      <c r="C8328">
        <v>401120</v>
      </c>
      <c r="D8328" t="s">
        <v>176</v>
      </c>
      <c r="E8328">
        <v>45515</v>
      </c>
      <c r="F8328">
        <v>279</v>
      </c>
      <c r="G8328">
        <v>2754</v>
      </c>
      <c r="H8328">
        <f>_xlfn.XLOOKUP(FACT_IMPORTS[[#This Row],[hts_6]],DIM_PRODUCTS[hts_6],DIM_PRODUCTS[hts_4],,,)</f>
        <v>4011</v>
      </c>
      <c r="I8328" t="str" cm="1">
        <f t="array" ref="I8328">_xlfn.XLOOKUP(FACT_IMPORTS[[#This Row],[country_name]],DIM_COUNTRY[[#All],[Column2]],DIM_COUNTRY[[#All],[Column3]],,,)</f>
        <v>Major_Non-USMCA_Non-China</v>
      </c>
    </row>
    <row r="8329" spans="1:9" x14ac:dyDescent="0.4">
      <c r="A8329" t="s">
        <v>71</v>
      </c>
      <c r="B8329" s="1">
        <v>45689</v>
      </c>
      <c r="C8329">
        <v>401190</v>
      </c>
      <c r="D8329" t="s">
        <v>176</v>
      </c>
      <c r="E8329">
        <v>9600</v>
      </c>
      <c r="F8329">
        <v>8</v>
      </c>
      <c r="G8329">
        <v>78</v>
      </c>
      <c r="H8329">
        <f>_xlfn.XLOOKUP(FACT_IMPORTS[[#This Row],[hts_6]],DIM_PRODUCTS[hts_6],DIM_PRODUCTS[hts_4],,,)</f>
        <v>4011</v>
      </c>
      <c r="I8329" t="str" cm="1">
        <f t="array" ref="I8329">_xlfn.XLOOKUP(FACT_IMPORTS[[#This Row],[country_name]],DIM_COUNTRY[[#All],[Column2]],DIM_COUNTRY[[#All],[Column3]],,,)</f>
        <v>Major_Non-USMCA_Non-China</v>
      </c>
    </row>
    <row r="8330" spans="1:9" x14ac:dyDescent="0.4">
      <c r="A8330" t="s">
        <v>71</v>
      </c>
      <c r="B8330" s="1">
        <v>45689</v>
      </c>
      <c r="C8330">
        <v>700711</v>
      </c>
      <c r="D8330" t="s">
        <v>176</v>
      </c>
      <c r="E8330">
        <v>10396</v>
      </c>
      <c r="F8330">
        <v>5</v>
      </c>
      <c r="G8330">
        <v>232</v>
      </c>
      <c r="H8330">
        <f>_xlfn.XLOOKUP(FACT_IMPORTS[[#This Row],[hts_6]],DIM_PRODUCTS[hts_6],DIM_PRODUCTS[hts_4],,,)</f>
        <v>7007</v>
      </c>
      <c r="I8330" t="str" cm="1">
        <f t="array" ref="I8330">_xlfn.XLOOKUP(FACT_IMPORTS[[#This Row],[country_name]],DIM_COUNTRY[[#All],[Column2]],DIM_COUNTRY[[#All],[Column3]],,,)</f>
        <v>Major_Non-USMCA_Non-China</v>
      </c>
    </row>
    <row r="8331" spans="1:9" x14ac:dyDescent="0.4">
      <c r="A8331" t="s">
        <v>71</v>
      </c>
      <c r="B8331" s="1">
        <v>45689</v>
      </c>
      <c r="C8331">
        <v>700721</v>
      </c>
      <c r="D8331" t="s">
        <v>176</v>
      </c>
      <c r="E8331">
        <v>8606</v>
      </c>
      <c r="F8331">
        <v>3</v>
      </c>
      <c r="G8331">
        <v>75</v>
      </c>
      <c r="H8331">
        <f>_xlfn.XLOOKUP(FACT_IMPORTS[[#This Row],[hts_6]],DIM_PRODUCTS[hts_6],DIM_PRODUCTS[hts_4],,,)</f>
        <v>7007</v>
      </c>
      <c r="I8331" t="str" cm="1">
        <f t="array" ref="I8331">_xlfn.XLOOKUP(FACT_IMPORTS[[#This Row],[country_name]],DIM_COUNTRY[[#All],[Column2]],DIM_COUNTRY[[#All],[Column3]],,,)</f>
        <v>Major_Non-USMCA_Non-China</v>
      </c>
    </row>
    <row r="8332" spans="1:9" x14ac:dyDescent="0.4">
      <c r="A8332" t="s">
        <v>71</v>
      </c>
      <c r="B8332" s="1">
        <v>45689</v>
      </c>
      <c r="C8332">
        <v>700910</v>
      </c>
      <c r="D8332" t="s">
        <v>176</v>
      </c>
      <c r="E8332">
        <v>0</v>
      </c>
      <c r="F8332">
        <v>0</v>
      </c>
      <c r="G8332">
        <v>0</v>
      </c>
      <c r="H8332">
        <f>_xlfn.XLOOKUP(FACT_IMPORTS[[#This Row],[hts_6]],DIM_PRODUCTS[hts_6],DIM_PRODUCTS[hts_4],,,)</f>
        <v>7009</v>
      </c>
      <c r="I8332" t="str" cm="1">
        <f t="array" ref="I8332">_xlfn.XLOOKUP(FACT_IMPORTS[[#This Row],[country_name]],DIM_COUNTRY[[#All],[Column2]],DIM_COUNTRY[[#All],[Column3]],,,)</f>
        <v>Major_Non-USMCA_Non-China</v>
      </c>
    </row>
    <row r="8333" spans="1:9" x14ac:dyDescent="0.4">
      <c r="A8333" t="s">
        <v>71</v>
      </c>
      <c r="B8333" s="1">
        <v>45689</v>
      </c>
      <c r="C8333">
        <v>830230</v>
      </c>
      <c r="D8333" t="s">
        <v>176</v>
      </c>
      <c r="E8333">
        <v>65133</v>
      </c>
      <c r="F8333">
        <v>12271</v>
      </c>
      <c r="G8333">
        <v>834</v>
      </c>
      <c r="H8333">
        <f>_xlfn.XLOOKUP(FACT_IMPORTS[[#This Row],[hts_6]],DIM_PRODUCTS[hts_6],DIM_PRODUCTS[hts_4],,,)</f>
        <v>8302</v>
      </c>
      <c r="I8333" t="str" cm="1">
        <f t="array" ref="I8333">_xlfn.XLOOKUP(FACT_IMPORTS[[#This Row],[country_name]],DIM_COUNTRY[[#All],[Column2]],DIM_COUNTRY[[#All],[Column3]],,,)</f>
        <v>Major_Non-USMCA_Non-China</v>
      </c>
    </row>
    <row r="8334" spans="1:9" x14ac:dyDescent="0.4">
      <c r="A8334" t="s">
        <v>71</v>
      </c>
      <c r="B8334" s="1">
        <v>45689</v>
      </c>
      <c r="C8334">
        <v>840732</v>
      </c>
      <c r="D8334" t="s">
        <v>176</v>
      </c>
      <c r="E8334">
        <v>0</v>
      </c>
      <c r="F8334">
        <v>0</v>
      </c>
      <c r="G8334">
        <v>0</v>
      </c>
      <c r="H8334">
        <f>_xlfn.XLOOKUP(FACT_IMPORTS[[#This Row],[hts_6]],DIM_PRODUCTS[hts_6],DIM_PRODUCTS[hts_4],,,)</f>
        <v>8407</v>
      </c>
      <c r="I8334" t="str" cm="1">
        <f t="array" ref="I8334">_xlfn.XLOOKUP(FACT_IMPORTS[[#This Row],[country_name]],DIM_COUNTRY[[#All],[Column2]],DIM_COUNTRY[[#All],[Column3]],,,)</f>
        <v>Major_Non-USMCA_Non-China</v>
      </c>
    </row>
    <row r="8335" spans="1:9" x14ac:dyDescent="0.4">
      <c r="A8335" t="s">
        <v>71</v>
      </c>
      <c r="B8335" s="1">
        <v>45689</v>
      </c>
      <c r="C8335">
        <v>840733</v>
      </c>
      <c r="D8335" t="s">
        <v>176</v>
      </c>
      <c r="E8335">
        <v>0</v>
      </c>
      <c r="F8335">
        <v>0</v>
      </c>
      <c r="G8335">
        <v>0</v>
      </c>
      <c r="H8335">
        <f>_xlfn.XLOOKUP(FACT_IMPORTS[[#This Row],[hts_6]],DIM_PRODUCTS[hts_6],DIM_PRODUCTS[hts_4],,,)</f>
        <v>8407</v>
      </c>
      <c r="I8335" t="str" cm="1">
        <f t="array" ref="I8335">_xlfn.XLOOKUP(FACT_IMPORTS[[#This Row],[country_name]],DIM_COUNTRY[[#All],[Column2]],DIM_COUNTRY[[#All],[Column3]],,,)</f>
        <v>Major_Non-USMCA_Non-China</v>
      </c>
    </row>
    <row r="8336" spans="1:9" x14ac:dyDescent="0.4">
      <c r="A8336" t="s">
        <v>71</v>
      </c>
      <c r="B8336" s="1">
        <v>45689</v>
      </c>
      <c r="C8336">
        <v>840734</v>
      </c>
      <c r="D8336" t="s">
        <v>176</v>
      </c>
      <c r="E8336">
        <v>0</v>
      </c>
      <c r="F8336">
        <v>0</v>
      </c>
      <c r="G8336">
        <v>0</v>
      </c>
      <c r="H8336">
        <f>_xlfn.XLOOKUP(FACT_IMPORTS[[#This Row],[hts_6]],DIM_PRODUCTS[hts_6],DIM_PRODUCTS[hts_4],,,)</f>
        <v>8407</v>
      </c>
      <c r="I8336" t="str" cm="1">
        <f t="array" ref="I8336">_xlfn.XLOOKUP(FACT_IMPORTS[[#This Row],[country_name]],DIM_COUNTRY[[#All],[Column2]],DIM_COUNTRY[[#All],[Column3]],,,)</f>
        <v>Major_Non-USMCA_Non-China</v>
      </c>
    </row>
    <row r="8337" spans="1:9" x14ac:dyDescent="0.4">
      <c r="A8337" t="s">
        <v>71</v>
      </c>
      <c r="B8337" s="1">
        <v>45689</v>
      </c>
      <c r="C8337">
        <v>840790</v>
      </c>
      <c r="D8337" t="s">
        <v>176</v>
      </c>
      <c r="E8337">
        <v>0</v>
      </c>
      <c r="F8337">
        <v>0</v>
      </c>
      <c r="G8337">
        <v>0</v>
      </c>
      <c r="H8337">
        <f>_xlfn.XLOOKUP(FACT_IMPORTS[[#This Row],[hts_6]],DIM_PRODUCTS[hts_6],DIM_PRODUCTS[hts_4],,,)</f>
        <v>8407</v>
      </c>
      <c r="I8337" t="str" cm="1">
        <f t="array" ref="I8337">_xlfn.XLOOKUP(FACT_IMPORTS[[#This Row],[country_name]],DIM_COUNTRY[[#All],[Column2]],DIM_COUNTRY[[#All],[Column3]],,,)</f>
        <v>Major_Non-USMCA_Non-China</v>
      </c>
    </row>
    <row r="8338" spans="1:9" x14ac:dyDescent="0.4">
      <c r="A8338" t="s">
        <v>71</v>
      </c>
      <c r="B8338" s="1">
        <v>45689</v>
      </c>
      <c r="C8338">
        <v>840820</v>
      </c>
      <c r="D8338" t="s">
        <v>176</v>
      </c>
      <c r="E8338">
        <v>3000</v>
      </c>
      <c r="F8338">
        <v>1</v>
      </c>
      <c r="G8338">
        <v>25</v>
      </c>
      <c r="H8338">
        <f>_xlfn.XLOOKUP(FACT_IMPORTS[[#This Row],[hts_6]],DIM_PRODUCTS[hts_6],DIM_PRODUCTS[hts_4],,,)</f>
        <v>8408</v>
      </c>
      <c r="I8338" t="str" cm="1">
        <f t="array" ref="I8338">_xlfn.XLOOKUP(FACT_IMPORTS[[#This Row],[country_name]],DIM_COUNTRY[[#All],[Column2]],DIM_COUNTRY[[#All],[Column3]],,,)</f>
        <v>Major_Non-USMCA_Non-China</v>
      </c>
    </row>
    <row r="8339" spans="1:9" x14ac:dyDescent="0.4">
      <c r="A8339" t="s">
        <v>71</v>
      </c>
      <c r="B8339" s="1">
        <v>45689</v>
      </c>
      <c r="C8339">
        <v>840890</v>
      </c>
      <c r="D8339" t="s">
        <v>176</v>
      </c>
      <c r="E8339">
        <v>0</v>
      </c>
      <c r="F8339">
        <v>0</v>
      </c>
      <c r="G8339">
        <v>0</v>
      </c>
      <c r="H8339">
        <f>_xlfn.XLOOKUP(FACT_IMPORTS[[#This Row],[hts_6]],DIM_PRODUCTS[hts_6],DIM_PRODUCTS[hts_4],,,)</f>
        <v>8408</v>
      </c>
      <c r="I8339" t="str" cm="1">
        <f t="array" ref="I8339">_xlfn.XLOOKUP(FACT_IMPORTS[[#This Row],[country_name]],DIM_COUNTRY[[#All],[Column2]],DIM_COUNTRY[[#All],[Column3]],,,)</f>
        <v>Major_Non-USMCA_Non-China</v>
      </c>
    </row>
    <row r="8340" spans="1:9" x14ac:dyDescent="0.4">
      <c r="A8340" t="s">
        <v>71</v>
      </c>
      <c r="B8340" s="1">
        <v>45689</v>
      </c>
      <c r="C8340">
        <v>840991</v>
      </c>
      <c r="D8340" t="s">
        <v>176</v>
      </c>
      <c r="E8340">
        <v>4958414</v>
      </c>
      <c r="F8340">
        <v>357092</v>
      </c>
      <c r="G8340">
        <v>85871</v>
      </c>
      <c r="H8340">
        <f>_xlfn.XLOOKUP(FACT_IMPORTS[[#This Row],[hts_6]],DIM_PRODUCTS[hts_6],DIM_PRODUCTS[hts_4],,,)</f>
        <v>8409</v>
      </c>
      <c r="I8340" t="str" cm="1">
        <f t="array" ref="I8340">_xlfn.XLOOKUP(FACT_IMPORTS[[#This Row],[country_name]],DIM_COUNTRY[[#All],[Column2]],DIM_COUNTRY[[#All],[Column3]],,,)</f>
        <v>Major_Non-USMCA_Non-China</v>
      </c>
    </row>
    <row r="8341" spans="1:9" x14ac:dyDescent="0.4">
      <c r="A8341" t="s">
        <v>71</v>
      </c>
      <c r="B8341" s="1">
        <v>45689</v>
      </c>
      <c r="C8341">
        <v>840999</v>
      </c>
      <c r="D8341" t="s">
        <v>176</v>
      </c>
      <c r="E8341">
        <v>0</v>
      </c>
      <c r="F8341">
        <v>0</v>
      </c>
      <c r="G8341">
        <v>0</v>
      </c>
      <c r="H8341">
        <f>_xlfn.XLOOKUP(FACT_IMPORTS[[#This Row],[hts_6]],DIM_PRODUCTS[hts_6],DIM_PRODUCTS[hts_4],,,)</f>
        <v>8409</v>
      </c>
      <c r="I8341" t="str" cm="1">
        <f t="array" ref="I8341">_xlfn.XLOOKUP(FACT_IMPORTS[[#This Row],[country_name]],DIM_COUNTRY[[#All],[Column2]],DIM_COUNTRY[[#All],[Column3]],,,)</f>
        <v>Major_Non-USMCA_Non-China</v>
      </c>
    </row>
    <row r="8342" spans="1:9" x14ac:dyDescent="0.4">
      <c r="A8342" t="s">
        <v>71</v>
      </c>
      <c r="B8342" s="1">
        <v>45689</v>
      </c>
      <c r="C8342">
        <v>841330</v>
      </c>
      <c r="D8342" t="s">
        <v>176</v>
      </c>
      <c r="E8342">
        <v>29124</v>
      </c>
      <c r="F8342">
        <v>2749</v>
      </c>
      <c r="G8342">
        <v>989</v>
      </c>
      <c r="H8342">
        <f>_xlfn.XLOOKUP(FACT_IMPORTS[[#This Row],[hts_6]],DIM_PRODUCTS[hts_6],DIM_PRODUCTS[hts_4],,,)</f>
        <v>8413</v>
      </c>
      <c r="I8342" t="str" cm="1">
        <f t="array" ref="I8342">_xlfn.XLOOKUP(FACT_IMPORTS[[#This Row],[country_name]],DIM_COUNTRY[[#All],[Column2]],DIM_COUNTRY[[#All],[Column3]],,,)</f>
        <v>Major_Non-USMCA_Non-China</v>
      </c>
    </row>
    <row r="8343" spans="1:9" x14ac:dyDescent="0.4">
      <c r="A8343" t="s">
        <v>71</v>
      </c>
      <c r="B8343" s="1">
        <v>45689</v>
      </c>
      <c r="C8343">
        <v>841520</v>
      </c>
      <c r="D8343" t="s">
        <v>176</v>
      </c>
      <c r="E8343">
        <v>0</v>
      </c>
      <c r="F8343">
        <v>0</v>
      </c>
      <c r="G8343">
        <v>0</v>
      </c>
      <c r="H8343">
        <f>_xlfn.XLOOKUP(FACT_IMPORTS[[#This Row],[hts_6]],DIM_PRODUCTS[hts_6],DIM_PRODUCTS[hts_4],,,)</f>
        <v>8415</v>
      </c>
      <c r="I8343" t="str" cm="1">
        <f t="array" ref="I8343">_xlfn.XLOOKUP(FACT_IMPORTS[[#This Row],[country_name]],DIM_COUNTRY[[#All],[Column2]],DIM_COUNTRY[[#All],[Column3]],,,)</f>
        <v>Major_Non-USMCA_Non-China</v>
      </c>
    </row>
    <row r="8344" spans="1:9" x14ac:dyDescent="0.4">
      <c r="A8344" t="s">
        <v>71</v>
      </c>
      <c r="B8344" s="1">
        <v>45689</v>
      </c>
      <c r="C8344">
        <v>842132</v>
      </c>
      <c r="D8344" t="s">
        <v>176</v>
      </c>
      <c r="E8344">
        <v>21901</v>
      </c>
      <c r="F8344">
        <v>6</v>
      </c>
      <c r="G8344">
        <v>228</v>
      </c>
      <c r="H8344">
        <f>_xlfn.XLOOKUP(FACT_IMPORTS[[#This Row],[hts_6]],DIM_PRODUCTS[hts_6],DIM_PRODUCTS[hts_4],,,)</f>
        <v>8421</v>
      </c>
      <c r="I8344" t="str" cm="1">
        <f t="array" ref="I8344">_xlfn.XLOOKUP(FACT_IMPORTS[[#This Row],[country_name]],DIM_COUNTRY[[#All],[Column2]],DIM_COUNTRY[[#All],[Column3]],,,)</f>
        <v>Major_Non-USMCA_Non-China</v>
      </c>
    </row>
    <row r="8345" spans="1:9" x14ac:dyDescent="0.4">
      <c r="A8345" t="s">
        <v>71</v>
      </c>
      <c r="B8345" s="1">
        <v>45689</v>
      </c>
      <c r="C8345">
        <v>848210</v>
      </c>
      <c r="D8345" t="s">
        <v>176</v>
      </c>
      <c r="E8345">
        <v>83298</v>
      </c>
      <c r="F8345">
        <v>1422</v>
      </c>
      <c r="G8345">
        <v>3237</v>
      </c>
      <c r="H8345">
        <f>_xlfn.XLOOKUP(FACT_IMPORTS[[#This Row],[hts_6]],DIM_PRODUCTS[hts_6],DIM_PRODUCTS[hts_4],,,)</f>
        <v>8482</v>
      </c>
      <c r="I8345" t="str" cm="1">
        <f t="array" ref="I8345">_xlfn.XLOOKUP(FACT_IMPORTS[[#This Row],[country_name]],DIM_COUNTRY[[#All],[Column2]],DIM_COUNTRY[[#All],[Column3]],,,)</f>
        <v>Major_Non-USMCA_Non-China</v>
      </c>
    </row>
    <row r="8346" spans="1:9" x14ac:dyDescent="0.4">
      <c r="A8346" t="s">
        <v>71</v>
      </c>
      <c r="B8346" s="1">
        <v>45689</v>
      </c>
      <c r="C8346">
        <v>848220</v>
      </c>
      <c r="D8346" t="s">
        <v>176</v>
      </c>
      <c r="E8346">
        <v>128027</v>
      </c>
      <c r="F8346">
        <v>4232</v>
      </c>
      <c r="G8346">
        <v>700</v>
      </c>
      <c r="H8346">
        <f>_xlfn.XLOOKUP(FACT_IMPORTS[[#This Row],[hts_6]],DIM_PRODUCTS[hts_6],DIM_PRODUCTS[hts_4],,,)</f>
        <v>8482</v>
      </c>
      <c r="I8346" t="str" cm="1">
        <f t="array" ref="I8346">_xlfn.XLOOKUP(FACT_IMPORTS[[#This Row],[country_name]],DIM_COUNTRY[[#All],[Column2]],DIM_COUNTRY[[#All],[Column3]],,,)</f>
        <v>Major_Non-USMCA_Non-China</v>
      </c>
    </row>
    <row r="8347" spans="1:9" x14ac:dyDescent="0.4">
      <c r="A8347" t="s">
        <v>71</v>
      </c>
      <c r="B8347" s="1">
        <v>45689</v>
      </c>
      <c r="C8347">
        <v>848310</v>
      </c>
      <c r="D8347" t="s">
        <v>176</v>
      </c>
      <c r="E8347">
        <v>202119</v>
      </c>
      <c r="F8347">
        <v>10500</v>
      </c>
      <c r="G8347">
        <v>439</v>
      </c>
      <c r="H8347">
        <f>_xlfn.XLOOKUP(FACT_IMPORTS[[#This Row],[hts_6]],DIM_PRODUCTS[hts_6],DIM_PRODUCTS[hts_4],,,)</f>
        <v>8483</v>
      </c>
      <c r="I8347" t="str" cm="1">
        <f t="array" ref="I8347">_xlfn.XLOOKUP(FACT_IMPORTS[[#This Row],[country_name]],DIM_COUNTRY[[#All],[Column2]],DIM_COUNTRY[[#All],[Column3]],,,)</f>
        <v>Major_Non-USMCA_Non-China</v>
      </c>
    </row>
    <row r="8348" spans="1:9" x14ac:dyDescent="0.4">
      <c r="A8348" t="s">
        <v>71</v>
      </c>
      <c r="B8348" s="1">
        <v>45689</v>
      </c>
      <c r="C8348">
        <v>850131</v>
      </c>
      <c r="D8348" t="s">
        <v>176</v>
      </c>
      <c r="E8348">
        <v>3324779</v>
      </c>
      <c r="F8348">
        <v>100098</v>
      </c>
      <c r="G8348">
        <v>43224</v>
      </c>
      <c r="H8348">
        <f>_xlfn.XLOOKUP(FACT_IMPORTS[[#This Row],[hts_6]],DIM_PRODUCTS[hts_6],DIM_PRODUCTS[hts_4],,,)</f>
        <v>8501</v>
      </c>
      <c r="I8348" t="str" cm="1">
        <f t="array" ref="I8348">_xlfn.XLOOKUP(FACT_IMPORTS[[#This Row],[country_name]],DIM_COUNTRY[[#All],[Column2]],DIM_COUNTRY[[#All],[Column3]],,,)</f>
        <v>Major_Non-USMCA_Non-China</v>
      </c>
    </row>
    <row r="8349" spans="1:9" x14ac:dyDescent="0.4">
      <c r="A8349" t="s">
        <v>71</v>
      </c>
      <c r="B8349" s="1">
        <v>45689</v>
      </c>
      <c r="C8349">
        <v>850132</v>
      </c>
      <c r="D8349" t="s">
        <v>176</v>
      </c>
      <c r="E8349">
        <v>0</v>
      </c>
      <c r="F8349">
        <v>0</v>
      </c>
      <c r="G8349">
        <v>0</v>
      </c>
      <c r="H8349">
        <f>_xlfn.XLOOKUP(FACT_IMPORTS[[#This Row],[hts_6]],DIM_PRODUCTS[hts_6],DIM_PRODUCTS[hts_4],,,)</f>
        <v>8501</v>
      </c>
      <c r="I8349" t="str" cm="1">
        <f t="array" ref="I8349">_xlfn.XLOOKUP(FACT_IMPORTS[[#This Row],[country_name]],DIM_COUNTRY[[#All],[Column2]],DIM_COUNTRY[[#All],[Column3]],,,)</f>
        <v>Major_Non-USMCA_Non-China</v>
      </c>
    </row>
    <row r="8350" spans="1:9" x14ac:dyDescent="0.4">
      <c r="A8350" t="s">
        <v>71</v>
      </c>
      <c r="B8350" s="1">
        <v>45689</v>
      </c>
      <c r="C8350">
        <v>850152</v>
      </c>
      <c r="D8350" t="s">
        <v>176</v>
      </c>
      <c r="E8350">
        <v>292476</v>
      </c>
      <c r="F8350">
        <v>413</v>
      </c>
      <c r="G8350">
        <v>34103</v>
      </c>
      <c r="H8350">
        <f>_xlfn.XLOOKUP(FACT_IMPORTS[[#This Row],[hts_6]],DIM_PRODUCTS[hts_6],DIM_PRODUCTS[hts_4],,,)</f>
        <v>8501</v>
      </c>
      <c r="I8350" t="str" cm="1">
        <f t="array" ref="I8350">_xlfn.XLOOKUP(FACT_IMPORTS[[#This Row],[country_name]],DIM_COUNTRY[[#All],[Column2]],DIM_COUNTRY[[#All],[Column3]],,,)</f>
        <v>Major_Non-USMCA_Non-China</v>
      </c>
    </row>
    <row r="8351" spans="1:9" x14ac:dyDescent="0.4">
      <c r="A8351" t="s">
        <v>71</v>
      </c>
      <c r="B8351" s="1">
        <v>45689</v>
      </c>
      <c r="C8351">
        <v>850153</v>
      </c>
      <c r="D8351" t="s">
        <v>176</v>
      </c>
      <c r="E8351">
        <v>0</v>
      </c>
      <c r="F8351">
        <v>0</v>
      </c>
      <c r="G8351">
        <v>0</v>
      </c>
      <c r="H8351">
        <f>_xlfn.XLOOKUP(FACT_IMPORTS[[#This Row],[hts_6]],DIM_PRODUCTS[hts_6],DIM_PRODUCTS[hts_4],,,)</f>
        <v>8501</v>
      </c>
      <c r="I8351" t="str" cm="1">
        <f t="array" ref="I8351">_xlfn.XLOOKUP(FACT_IMPORTS[[#This Row],[country_name]],DIM_COUNTRY[[#All],[Column2]],DIM_COUNTRY[[#All],[Column3]],,,)</f>
        <v>Major_Non-USMCA_Non-China</v>
      </c>
    </row>
    <row r="8352" spans="1:9" x14ac:dyDescent="0.4">
      <c r="A8352" t="s">
        <v>71</v>
      </c>
      <c r="B8352" s="1">
        <v>45689</v>
      </c>
      <c r="C8352">
        <v>850161</v>
      </c>
      <c r="D8352" t="s">
        <v>176</v>
      </c>
      <c r="E8352">
        <v>0</v>
      </c>
      <c r="F8352">
        <v>0</v>
      </c>
      <c r="G8352">
        <v>0</v>
      </c>
      <c r="H8352">
        <f>_xlfn.XLOOKUP(FACT_IMPORTS[[#This Row],[hts_6]],DIM_PRODUCTS[hts_6],DIM_PRODUCTS[hts_4],,,)</f>
        <v>8501</v>
      </c>
      <c r="I8352" t="str" cm="1">
        <f t="array" ref="I8352">_xlfn.XLOOKUP(FACT_IMPORTS[[#This Row],[country_name]],DIM_COUNTRY[[#All],[Column2]],DIM_COUNTRY[[#All],[Column3]],,,)</f>
        <v>Major_Non-USMCA_Non-China</v>
      </c>
    </row>
    <row r="8353" spans="1:9" x14ac:dyDescent="0.4">
      <c r="A8353" t="s">
        <v>71</v>
      </c>
      <c r="B8353" s="1">
        <v>45689</v>
      </c>
      <c r="C8353">
        <v>850440</v>
      </c>
      <c r="D8353" t="s">
        <v>176</v>
      </c>
      <c r="E8353">
        <v>21171280</v>
      </c>
      <c r="F8353">
        <v>120676</v>
      </c>
      <c r="G8353">
        <v>9770</v>
      </c>
      <c r="H8353">
        <f>_xlfn.XLOOKUP(FACT_IMPORTS[[#This Row],[hts_6]],DIM_PRODUCTS[hts_6],DIM_PRODUCTS[hts_4],,,)</f>
        <v>8504</v>
      </c>
      <c r="I8353" t="str" cm="1">
        <f t="array" ref="I8353">_xlfn.XLOOKUP(FACT_IMPORTS[[#This Row],[country_name]],DIM_COUNTRY[[#All],[Column2]],DIM_COUNTRY[[#All],[Column3]],,,)</f>
        <v>Major_Non-USMCA_Non-China</v>
      </c>
    </row>
    <row r="8354" spans="1:9" x14ac:dyDescent="0.4">
      <c r="A8354" t="s">
        <v>71</v>
      </c>
      <c r="B8354" s="1">
        <v>45689</v>
      </c>
      <c r="C8354">
        <v>850710</v>
      </c>
      <c r="D8354" t="s">
        <v>176</v>
      </c>
      <c r="E8354">
        <v>0</v>
      </c>
      <c r="F8354">
        <v>0</v>
      </c>
      <c r="G8354">
        <v>0</v>
      </c>
      <c r="H8354">
        <f>_xlfn.XLOOKUP(FACT_IMPORTS[[#This Row],[hts_6]],DIM_PRODUCTS[hts_6],DIM_PRODUCTS[hts_4],,,)</f>
        <v>8507</v>
      </c>
      <c r="I8354" t="str" cm="1">
        <f t="array" ref="I8354">_xlfn.XLOOKUP(FACT_IMPORTS[[#This Row],[country_name]],DIM_COUNTRY[[#All],[Column2]],DIM_COUNTRY[[#All],[Column3]],,,)</f>
        <v>Major_Non-USMCA_Non-China</v>
      </c>
    </row>
    <row r="8355" spans="1:9" x14ac:dyDescent="0.4">
      <c r="A8355" t="s">
        <v>71</v>
      </c>
      <c r="B8355" s="1">
        <v>45689</v>
      </c>
      <c r="C8355">
        <v>850760</v>
      </c>
      <c r="D8355" t="s">
        <v>176</v>
      </c>
      <c r="E8355">
        <v>9732</v>
      </c>
      <c r="F8355">
        <v>58</v>
      </c>
      <c r="G8355">
        <v>946</v>
      </c>
      <c r="H8355">
        <f>_xlfn.XLOOKUP(FACT_IMPORTS[[#This Row],[hts_6]],DIM_PRODUCTS[hts_6],DIM_PRODUCTS[hts_4],,,)</f>
        <v>8507</v>
      </c>
      <c r="I8355" t="str" cm="1">
        <f t="array" ref="I8355">_xlfn.XLOOKUP(FACT_IMPORTS[[#This Row],[country_name]],DIM_COUNTRY[[#All],[Column2]],DIM_COUNTRY[[#All],[Column3]],,,)</f>
        <v>Major_Non-USMCA_Non-China</v>
      </c>
    </row>
    <row r="8356" spans="1:9" x14ac:dyDescent="0.4">
      <c r="A8356" t="s">
        <v>71</v>
      </c>
      <c r="B8356" s="1">
        <v>45689</v>
      </c>
      <c r="C8356">
        <v>851110</v>
      </c>
      <c r="D8356" t="s">
        <v>176</v>
      </c>
      <c r="E8356">
        <v>52569</v>
      </c>
      <c r="F8356">
        <v>1379</v>
      </c>
      <c r="G8356">
        <v>4183</v>
      </c>
      <c r="H8356">
        <f>_xlfn.XLOOKUP(FACT_IMPORTS[[#This Row],[hts_6]],DIM_PRODUCTS[hts_6],DIM_PRODUCTS[hts_4],,,)</f>
        <v>8511</v>
      </c>
      <c r="I8356" t="str" cm="1">
        <f t="array" ref="I8356">_xlfn.XLOOKUP(FACT_IMPORTS[[#This Row],[country_name]],DIM_COUNTRY[[#All],[Column2]],DIM_COUNTRY[[#All],[Column3]],,,)</f>
        <v>Major_Non-USMCA_Non-China</v>
      </c>
    </row>
    <row r="8357" spans="1:9" x14ac:dyDescent="0.4">
      <c r="A8357" t="s">
        <v>71</v>
      </c>
      <c r="B8357" s="1">
        <v>45689</v>
      </c>
      <c r="C8357">
        <v>851130</v>
      </c>
      <c r="D8357" t="s">
        <v>176</v>
      </c>
      <c r="E8357">
        <v>0</v>
      </c>
      <c r="F8357">
        <v>0</v>
      </c>
      <c r="G8357">
        <v>0</v>
      </c>
      <c r="H8357">
        <f>_xlfn.XLOOKUP(FACT_IMPORTS[[#This Row],[hts_6]],DIM_PRODUCTS[hts_6],DIM_PRODUCTS[hts_4],,,)</f>
        <v>8511</v>
      </c>
      <c r="I8357" t="str" cm="1">
        <f t="array" ref="I8357">_xlfn.XLOOKUP(FACT_IMPORTS[[#This Row],[country_name]],DIM_COUNTRY[[#All],[Column2]],DIM_COUNTRY[[#All],[Column3]],,,)</f>
        <v>Major_Non-USMCA_Non-China</v>
      </c>
    </row>
    <row r="8358" spans="1:9" x14ac:dyDescent="0.4">
      <c r="A8358" t="s">
        <v>71</v>
      </c>
      <c r="B8358" s="1">
        <v>45689</v>
      </c>
      <c r="C8358">
        <v>851140</v>
      </c>
      <c r="D8358" t="s">
        <v>176</v>
      </c>
      <c r="E8358">
        <v>879678</v>
      </c>
      <c r="F8358">
        <v>16210</v>
      </c>
      <c r="G8358">
        <v>6246</v>
      </c>
      <c r="H8358">
        <f>_xlfn.XLOOKUP(FACT_IMPORTS[[#This Row],[hts_6]],DIM_PRODUCTS[hts_6],DIM_PRODUCTS[hts_4],,,)</f>
        <v>8511</v>
      </c>
      <c r="I8358" t="str" cm="1">
        <f t="array" ref="I8358">_xlfn.XLOOKUP(FACT_IMPORTS[[#This Row],[country_name]],DIM_COUNTRY[[#All],[Column2]],DIM_COUNTRY[[#All],[Column3]],,,)</f>
        <v>Major_Non-USMCA_Non-China</v>
      </c>
    </row>
    <row r="8359" spans="1:9" x14ac:dyDescent="0.4">
      <c r="A8359" t="s">
        <v>71</v>
      </c>
      <c r="B8359" s="1">
        <v>45689</v>
      </c>
      <c r="C8359">
        <v>851150</v>
      </c>
      <c r="D8359" t="s">
        <v>176</v>
      </c>
      <c r="E8359">
        <v>19432</v>
      </c>
      <c r="F8359">
        <v>34</v>
      </c>
      <c r="G8359">
        <v>501</v>
      </c>
      <c r="H8359">
        <f>_xlfn.XLOOKUP(FACT_IMPORTS[[#This Row],[hts_6]],DIM_PRODUCTS[hts_6],DIM_PRODUCTS[hts_4],,,)</f>
        <v>8511</v>
      </c>
      <c r="I8359" t="str" cm="1">
        <f t="array" ref="I8359">_xlfn.XLOOKUP(FACT_IMPORTS[[#This Row],[country_name]],DIM_COUNTRY[[#All],[Column2]],DIM_COUNTRY[[#All],[Column3]],,,)</f>
        <v>Major_Non-USMCA_Non-China</v>
      </c>
    </row>
    <row r="8360" spans="1:9" x14ac:dyDescent="0.4">
      <c r="A8360" t="s">
        <v>71</v>
      </c>
      <c r="B8360" s="1">
        <v>45689</v>
      </c>
      <c r="C8360">
        <v>851180</v>
      </c>
      <c r="D8360" t="s">
        <v>176</v>
      </c>
      <c r="E8360">
        <v>0</v>
      </c>
      <c r="F8360">
        <v>0</v>
      </c>
      <c r="G8360">
        <v>0</v>
      </c>
      <c r="H8360">
        <f>_xlfn.XLOOKUP(FACT_IMPORTS[[#This Row],[hts_6]],DIM_PRODUCTS[hts_6],DIM_PRODUCTS[hts_4],,,)</f>
        <v>8511</v>
      </c>
      <c r="I8360" t="str" cm="1">
        <f t="array" ref="I8360">_xlfn.XLOOKUP(FACT_IMPORTS[[#This Row],[country_name]],DIM_COUNTRY[[#All],[Column2]],DIM_COUNTRY[[#All],[Column3]],,,)</f>
        <v>Major_Non-USMCA_Non-China</v>
      </c>
    </row>
    <row r="8361" spans="1:9" x14ac:dyDescent="0.4">
      <c r="A8361" t="s">
        <v>71</v>
      </c>
      <c r="B8361" s="1">
        <v>45689</v>
      </c>
      <c r="C8361">
        <v>851190</v>
      </c>
      <c r="D8361" t="s">
        <v>176</v>
      </c>
      <c r="E8361">
        <v>0</v>
      </c>
      <c r="F8361">
        <v>0</v>
      </c>
      <c r="G8361">
        <v>0</v>
      </c>
      <c r="H8361">
        <f>_xlfn.XLOOKUP(FACT_IMPORTS[[#This Row],[hts_6]],DIM_PRODUCTS[hts_6],DIM_PRODUCTS[hts_4],,,)</f>
        <v>8511</v>
      </c>
      <c r="I8361" t="str" cm="1">
        <f t="array" ref="I8361">_xlfn.XLOOKUP(FACT_IMPORTS[[#This Row],[country_name]],DIM_COUNTRY[[#All],[Column2]],DIM_COUNTRY[[#All],[Column3]],,,)</f>
        <v>Major_Non-USMCA_Non-China</v>
      </c>
    </row>
    <row r="8362" spans="1:9" x14ac:dyDescent="0.4">
      <c r="A8362" t="s">
        <v>71</v>
      </c>
      <c r="B8362" s="1">
        <v>45689</v>
      </c>
      <c r="C8362">
        <v>851220</v>
      </c>
      <c r="D8362" t="s">
        <v>176</v>
      </c>
      <c r="E8362">
        <v>0</v>
      </c>
      <c r="F8362">
        <v>0</v>
      </c>
      <c r="G8362">
        <v>0</v>
      </c>
      <c r="H8362">
        <f>_xlfn.XLOOKUP(FACT_IMPORTS[[#This Row],[hts_6]],DIM_PRODUCTS[hts_6],DIM_PRODUCTS[hts_4],,,)</f>
        <v>8512</v>
      </c>
      <c r="I8362" t="str" cm="1">
        <f t="array" ref="I8362">_xlfn.XLOOKUP(FACT_IMPORTS[[#This Row],[country_name]],DIM_COUNTRY[[#All],[Column2]],DIM_COUNTRY[[#All],[Column3]],,,)</f>
        <v>Major_Non-USMCA_Non-China</v>
      </c>
    </row>
    <row r="8363" spans="1:9" x14ac:dyDescent="0.4">
      <c r="A8363" t="s">
        <v>71</v>
      </c>
      <c r="B8363" s="1">
        <v>45689</v>
      </c>
      <c r="C8363">
        <v>851230</v>
      </c>
      <c r="D8363" t="s">
        <v>176</v>
      </c>
      <c r="E8363">
        <v>0</v>
      </c>
      <c r="F8363">
        <v>0</v>
      </c>
      <c r="G8363">
        <v>0</v>
      </c>
      <c r="H8363">
        <f>_xlfn.XLOOKUP(FACT_IMPORTS[[#This Row],[hts_6]],DIM_PRODUCTS[hts_6],DIM_PRODUCTS[hts_4],,,)</f>
        <v>8512</v>
      </c>
      <c r="I8363" t="str" cm="1">
        <f t="array" ref="I8363">_xlfn.XLOOKUP(FACT_IMPORTS[[#This Row],[country_name]],DIM_COUNTRY[[#All],[Column2]],DIM_COUNTRY[[#All],[Column3]],,,)</f>
        <v>Major_Non-USMCA_Non-China</v>
      </c>
    </row>
    <row r="8364" spans="1:9" x14ac:dyDescent="0.4">
      <c r="A8364" t="s">
        <v>71</v>
      </c>
      <c r="B8364" s="1">
        <v>45689</v>
      </c>
      <c r="C8364">
        <v>851290</v>
      </c>
      <c r="D8364" t="s">
        <v>176</v>
      </c>
      <c r="E8364">
        <v>0</v>
      </c>
      <c r="F8364">
        <v>0</v>
      </c>
      <c r="G8364">
        <v>0</v>
      </c>
      <c r="H8364">
        <f>_xlfn.XLOOKUP(FACT_IMPORTS[[#This Row],[hts_6]],DIM_PRODUCTS[hts_6],DIM_PRODUCTS[hts_4],,,)</f>
        <v>8512</v>
      </c>
      <c r="I8364" t="str" cm="1">
        <f t="array" ref="I8364">_xlfn.XLOOKUP(FACT_IMPORTS[[#This Row],[country_name]],DIM_COUNTRY[[#All],[Column2]],DIM_COUNTRY[[#All],[Column3]],,,)</f>
        <v>Major_Non-USMCA_Non-China</v>
      </c>
    </row>
    <row r="8365" spans="1:9" x14ac:dyDescent="0.4">
      <c r="A8365" t="s">
        <v>71</v>
      </c>
      <c r="B8365" s="1">
        <v>45689</v>
      </c>
      <c r="C8365">
        <v>854231</v>
      </c>
      <c r="D8365" t="s">
        <v>176</v>
      </c>
      <c r="E8365">
        <v>108835</v>
      </c>
      <c r="F8365">
        <v>11712</v>
      </c>
      <c r="G8365">
        <v>1414</v>
      </c>
      <c r="H8365">
        <f>_xlfn.XLOOKUP(FACT_IMPORTS[[#This Row],[hts_6]],DIM_PRODUCTS[hts_6],DIM_PRODUCTS[hts_4],,,)</f>
        <v>8542</v>
      </c>
      <c r="I8365" t="str" cm="1">
        <f t="array" ref="I8365">_xlfn.XLOOKUP(FACT_IMPORTS[[#This Row],[country_name]],DIM_COUNTRY[[#All],[Column2]],DIM_COUNTRY[[#All],[Column3]],,,)</f>
        <v>Major_Non-USMCA_Non-China</v>
      </c>
    </row>
    <row r="8366" spans="1:9" x14ac:dyDescent="0.4">
      <c r="A8366" t="s">
        <v>71</v>
      </c>
      <c r="B8366" s="1">
        <v>45689</v>
      </c>
      <c r="C8366">
        <v>854232</v>
      </c>
      <c r="D8366" t="s">
        <v>176</v>
      </c>
      <c r="E8366">
        <v>10657</v>
      </c>
      <c r="F8366">
        <v>52</v>
      </c>
      <c r="G8366">
        <v>99</v>
      </c>
      <c r="H8366">
        <f>_xlfn.XLOOKUP(FACT_IMPORTS[[#This Row],[hts_6]],DIM_PRODUCTS[hts_6],DIM_PRODUCTS[hts_4],,,)</f>
        <v>8542</v>
      </c>
      <c r="I8366" t="str" cm="1">
        <f t="array" ref="I8366">_xlfn.XLOOKUP(FACT_IMPORTS[[#This Row],[country_name]],DIM_COUNTRY[[#All],[Column2]],DIM_COUNTRY[[#All],[Column3]],,,)</f>
        <v>Major_Non-USMCA_Non-China</v>
      </c>
    </row>
    <row r="8367" spans="1:9" x14ac:dyDescent="0.4">
      <c r="A8367" t="s">
        <v>71</v>
      </c>
      <c r="B8367" s="1">
        <v>45689</v>
      </c>
      <c r="C8367">
        <v>854239</v>
      </c>
      <c r="D8367" t="s">
        <v>176</v>
      </c>
      <c r="E8367">
        <v>14516</v>
      </c>
      <c r="F8367">
        <v>1260</v>
      </c>
      <c r="G8367">
        <v>1452</v>
      </c>
      <c r="H8367">
        <f>_xlfn.XLOOKUP(FACT_IMPORTS[[#This Row],[hts_6]],DIM_PRODUCTS[hts_6],DIM_PRODUCTS[hts_4],,,)</f>
        <v>8542</v>
      </c>
      <c r="I8367" t="str" cm="1">
        <f t="array" ref="I8367">_xlfn.XLOOKUP(FACT_IMPORTS[[#This Row],[country_name]],DIM_COUNTRY[[#All],[Column2]],DIM_COUNTRY[[#All],[Column3]],,,)</f>
        <v>Major_Non-USMCA_Non-China</v>
      </c>
    </row>
    <row r="8368" spans="1:9" x14ac:dyDescent="0.4">
      <c r="A8368" t="s">
        <v>71</v>
      </c>
      <c r="B8368" s="1">
        <v>45689</v>
      </c>
      <c r="C8368">
        <v>854290</v>
      </c>
      <c r="D8368" t="s">
        <v>176</v>
      </c>
      <c r="E8368">
        <v>0</v>
      </c>
      <c r="F8368">
        <v>0</v>
      </c>
      <c r="G8368">
        <v>0</v>
      </c>
      <c r="H8368">
        <f>_xlfn.XLOOKUP(FACT_IMPORTS[[#This Row],[hts_6]],DIM_PRODUCTS[hts_6],DIM_PRODUCTS[hts_4],,,)</f>
        <v>8542</v>
      </c>
      <c r="I8368" t="str" cm="1">
        <f t="array" ref="I8368">_xlfn.XLOOKUP(FACT_IMPORTS[[#This Row],[country_name]],DIM_COUNTRY[[#All],[Column2]],DIM_COUNTRY[[#All],[Column3]],,,)</f>
        <v>Major_Non-USMCA_Non-China</v>
      </c>
    </row>
    <row r="8369" spans="1:9" x14ac:dyDescent="0.4">
      <c r="A8369" t="s">
        <v>71</v>
      </c>
      <c r="B8369" s="1">
        <v>45689</v>
      </c>
      <c r="C8369">
        <v>854430</v>
      </c>
      <c r="D8369" t="s">
        <v>176</v>
      </c>
      <c r="E8369">
        <v>0</v>
      </c>
      <c r="F8369">
        <v>0</v>
      </c>
      <c r="G8369">
        <v>0</v>
      </c>
      <c r="H8369">
        <f>_xlfn.XLOOKUP(FACT_IMPORTS[[#This Row],[hts_6]],DIM_PRODUCTS[hts_6],DIM_PRODUCTS[hts_4],,,)</f>
        <v>8544</v>
      </c>
      <c r="I8369" t="str" cm="1">
        <f t="array" ref="I8369">_xlfn.XLOOKUP(FACT_IMPORTS[[#This Row],[country_name]],DIM_COUNTRY[[#All],[Column2]],DIM_COUNTRY[[#All],[Column3]],,,)</f>
        <v>Major_Non-USMCA_Non-China</v>
      </c>
    </row>
    <row r="8370" spans="1:9" x14ac:dyDescent="0.4">
      <c r="A8370" t="s">
        <v>71</v>
      </c>
      <c r="B8370" s="1">
        <v>45689</v>
      </c>
      <c r="C8370">
        <v>870710</v>
      </c>
      <c r="D8370" t="s">
        <v>176</v>
      </c>
      <c r="E8370">
        <v>0</v>
      </c>
      <c r="F8370">
        <v>0</v>
      </c>
      <c r="G8370">
        <v>0</v>
      </c>
      <c r="H8370">
        <f>_xlfn.XLOOKUP(FACT_IMPORTS[[#This Row],[hts_6]],DIM_PRODUCTS[hts_6],DIM_PRODUCTS[hts_4],,,)</f>
        <v>8707</v>
      </c>
      <c r="I8370" t="str" cm="1">
        <f t="array" ref="I8370">_xlfn.XLOOKUP(FACT_IMPORTS[[#This Row],[country_name]],DIM_COUNTRY[[#All],[Column2]],DIM_COUNTRY[[#All],[Column3]],,,)</f>
        <v>Major_Non-USMCA_Non-China</v>
      </c>
    </row>
    <row r="8371" spans="1:9" x14ac:dyDescent="0.4">
      <c r="A8371" t="s">
        <v>71</v>
      </c>
      <c r="B8371" s="1">
        <v>45689</v>
      </c>
      <c r="C8371">
        <v>870790</v>
      </c>
      <c r="D8371" t="s">
        <v>176</v>
      </c>
      <c r="E8371">
        <v>0</v>
      </c>
      <c r="F8371">
        <v>0</v>
      </c>
      <c r="G8371">
        <v>0</v>
      </c>
      <c r="H8371">
        <f>_xlfn.XLOOKUP(FACT_IMPORTS[[#This Row],[hts_6]],DIM_PRODUCTS[hts_6],DIM_PRODUCTS[hts_4],,,)</f>
        <v>8707</v>
      </c>
      <c r="I8371" t="str" cm="1">
        <f t="array" ref="I8371">_xlfn.XLOOKUP(FACT_IMPORTS[[#This Row],[country_name]],DIM_COUNTRY[[#All],[Column2]],DIM_COUNTRY[[#All],[Column3]],,,)</f>
        <v>Major_Non-USMCA_Non-China</v>
      </c>
    </row>
    <row r="8372" spans="1:9" x14ac:dyDescent="0.4">
      <c r="A8372" t="s">
        <v>71</v>
      </c>
      <c r="B8372" s="1">
        <v>45689</v>
      </c>
      <c r="C8372">
        <v>870810</v>
      </c>
      <c r="D8372" t="s">
        <v>176</v>
      </c>
      <c r="E8372">
        <v>7519</v>
      </c>
      <c r="F8372">
        <v>58</v>
      </c>
      <c r="G8372">
        <v>0</v>
      </c>
      <c r="H8372">
        <f>_xlfn.XLOOKUP(FACT_IMPORTS[[#This Row],[hts_6]],DIM_PRODUCTS[hts_6],DIM_PRODUCTS[hts_4],,,)</f>
        <v>8708</v>
      </c>
      <c r="I8372" t="str" cm="1">
        <f t="array" ref="I8372">_xlfn.XLOOKUP(FACT_IMPORTS[[#This Row],[country_name]],DIM_COUNTRY[[#All],[Column2]],DIM_COUNTRY[[#All],[Column3]],,,)</f>
        <v>Major_Non-USMCA_Non-China</v>
      </c>
    </row>
    <row r="8373" spans="1:9" x14ac:dyDescent="0.4">
      <c r="A8373" t="s">
        <v>71</v>
      </c>
      <c r="B8373" s="1">
        <v>45689</v>
      </c>
      <c r="C8373">
        <v>870829</v>
      </c>
      <c r="D8373" t="s">
        <v>176</v>
      </c>
      <c r="E8373">
        <v>3436937</v>
      </c>
      <c r="F8373">
        <v>282072</v>
      </c>
      <c r="G8373">
        <v>107540</v>
      </c>
      <c r="H8373">
        <f>_xlfn.XLOOKUP(FACT_IMPORTS[[#This Row],[hts_6]],DIM_PRODUCTS[hts_6],DIM_PRODUCTS[hts_4],,,)</f>
        <v>8708</v>
      </c>
      <c r="I8373" t="str" cm="1">
        <f t="array" ref="I8373">_xlfn.XLOOKUP(FACT_IMPORTS[[#This Row],[country_name]],DIM_COUNTRY[[#All],[Column2]],DIM_COUNTRY[[#All],[Column3]],,,)</f>
        <v>Major_Non-USMCA_Non-China</v>
      </c>
    </row>
    <row r="8374" spans="1:9" x14ac:dyDescent="0.4">
      <c r="A8374" t="s">
        <v>71</v>
      </c>
      <c r="B8374" s="1">
        <v>45689</v>
      </c>
      <c r="C8374">
        <v>870830</v>
      </c>
      <c r="D8374" t="s">
        <v>176</v>
      </c>
      <c r="E8374">
        <v>695801</v>
      </c>
      <c r="F8374">
        <v>86434</v>
      </c>
      <c r="G8374">
        <v>6993</v>
      </c>
      <c r="H8374">
        <f>_xlfn.XLOOKUP(FACT_IMPORTS[[#This Row],[hts_6]],DIM_PRODUCTS[hts_6],DIM_PRODUCTS[hts_4],,,)</f>
        <v>8708</v>
      </c>
      <c r="I8374" t="str" cm="1">
        <f t="array" ref="I8374">_xlfn.XLOOKUP(FACT_IMPORTS[[#This Row],[country_name]],DIM_COUNTRY[[#All],[Column2]],DIM_COUNTRY[[#All],[Column3]],,,)</f>
        <v>Major_Non-USMCA_Non-China</v>
      </c>
    </row>
    <row r="8375" spans="1:9" x14ac:dyDescent="0.4">
      <c r="A8375" t="s">
        <v>71</v>
      </c>
      <c r="B8375" s="1">
        <v>45689</v>
      </c>
      <c r="C8375">
        <v>870840</v>
      </c>
      <c r="D8375" t="s">
        <v>176</v>
      </c>
      <c r="E8375">
        <v>2408766</v>
      </c>
      <c r="F8375">
        <v>2467</v>
      </c>
      <c r="G8375">
        <v>50292</v>
      </c>
      <c r="H8375">
        <f>_xlfn.XLOOKUP(FACT_IMPORTS[[#This Row],[hts_6]],DIM_PRODUCTS[hts_6],DIM_PRODUCTS[hts_4],,,)</f>
        <v>8708</v>
      </c>
      <c r="I8375" t="str" cm="1">
        <f t="array" ref="I8375">_xlfn.XLOOKUP(FACT_IMPORTS[[#This Row],[country_name]],DIM_COUNTRY[[#All],[Column2]],DIM_COUNTRY[[#All],[Column3]],,,)</f>
        <v>Major_Non-USMCA_Non-China</v>
      </c>
    </row>
    <row r="8376" spans="1:9" x14ac:dyDescent="0.4">
      <c r="A8376" t="s">
        <v>71</v>
      </c>
      <c r="B8376" s="1">
        <v>45689</v>
      </c>
      <c r="C8376">
        <v>870850</v>
      </c>
      <c r="D8376" t="s">
        <v>176</v>
      </c>
      <c r="E8376">
        <v>33654</v>
      </c>
      <c r="F8376">
        <v>2</v>
      </c>
      <c r="G8376">
        <v>1</v>
      </c>
      <c r="H8376">
        <f>_xlfn.XLOOKUP(FACT_IMPORTS[[#This Row],[hts_6]],DIM_PRODUCTS[hts_6],DIM_PRODUCTS[hts_4],,,)</f>
        <v>8708</v>
      </c>
      <c r="I8376" t="str" cm="1">
        <f t="array" ref="I8376">_xlfn.XLOOKUP(FACT_IMPORTS[[#This Row],[country_name]],DIM_COUNTRY[[#All],[Column2]],DIM_COUNTRY[[#All],[Column3]],,,)</f>
        <v>Major_Non-USMCA_Non-China</v>
      </c>
    </row>
    <row r="8377" spans="1:9" x14ac:dyDescent="0.4">
      <c r="A8377" t="s">
        <v>71</v>
      </c>
      <c r="B8377" s="1">
        <v>45689</v>
      </c>
      <c r="C8377">
        <v>870870</v>
      </c>
      <c r="D8377" t="s">
        <v>176</v>
      </c>
      <c r="E8377">
        <v>6576</v>
      </c>
      <c r="F8377">
        <v>197</v>
      </c>
      <c r="G8377">
        <v>50</v>
      </c>
      <c r="H8377">
        <f>_xlfn.XLOOKUP(FACT_IMPORTS[[#This Row],[hts_6]],DIM_PRODUCTS[hts_6],DIM_PRODUCTS[hts_4],,,)</f>
        <v>8708</v>
      </c>
      <c r="I8377" t="str" cm="1">
        <f t="array" ref="I8377">_xlfn.XLOOKUP(FACT_IMPORTS[[#This Row],[country_name]],DIM_COUNTRY[[#All],[Column2]],DIM_COUNTRY[[#All],[Column3]],,,)</f>
        <v>Major_Non-USMCA_Non-China</v>
      </c>
    </row>
    <row r="8378" spans="1:9" x14ac:dyDescent="0.4">
      <c r="A8378" t="s">
        <v>71</v>
      </c>
      <c r="B8378" s="1">
        <v>45689</v>
      </c>
      <c r="C8378">
        <v>870880</v>
      </c>
      <c r="D8378" t="s">
        <v>176</v>
      </c>
      <c r="E8378">
        <v>362183</v>
      </c>
      <c r="F8378">
        <v>16570</v>
      </c>
      <c r="G8378">
        <v>31952</v>
      </c>
      <c r="H8378">
        <f>_xlfn.XLOOKUP(FACT_IMPORTS[[#This Row],[hts_6]],DIM_PRODUCTS[hts_6],DIM_PRODUCTS[hts_4],,,)</f>
        <v>8708</v>
      </c>
      <c r="I8378" t="str" cm="1">
        <f t="array" ref="I8378">_xlfn.XLOOKUP(FACT_IMPORTS[[#This Row],[country_name]],DIM_COUNTRY[[#All],[Column2]],DIM_COUNTRY[[#All],[Column3]],,,)</f>
        <v>Major_Non-USMCA_Non-China</v>
      </c>
    </row>
    <row r="8379" spans="1:9" x14ac:dyDescent="0.4">
      <c r="A8379" t="s">
        <v>71</v>
      </c>
      <c r="B8379" s="1">
        <v>45689</v>
      </c>
      <c r="C8379">
        <v>870891</v>
      </c>
      <c r="D8379" t="s">
        <v>176</v>
      </c>
      <c r="E8379">
        <v>122316</v>
      </c>
      <c r="F8379">
        <v>113357</v>
      </c>
      <c r="G8379">
        <v>1592</v>
      </c>
      <c r="H8379">
        <f>_xlfn.XLOOKUP(FACT_IMPORTS[[#This Row],[hts_6]],DIM_PRODUCTS[hts_6],DIM_PRODUCTS[hts_4],,,)</f>
        <v>8708</v>
      </c>
      <c r="I8379" t="str" cm="1">
        <f t="array" ref="I8379">_xlfn.XLOOKUP(FACT_IMPORTS[[#This Row],[country_name]],DIM_COUNTRY[[#All],[Column2]],DIM_COUNTRY[[#All],[Column3]],,,)</f>
        <v>Major_Non-USMCA_Non-China</v>
      </c>
    </row>
    <row r="8380" spans="1:9" x14ac:dyDescent="0.4">
      <c r="A8380" t="s">
        <v>71</v>
      </c>
      <c r="B8380" s="1">
        <v>45689</v>
      </c>
      <c r="C8380">
        <v>870892</v>
      </c>
      <c r="D8380" t="s">
        <v>176</v>
      </c>
      <c r="E8380">
        <v>0</v>
      </c>
      <c r="F8380">
        <v>0</v>
      </c>
      <c r="G8380">
        <v>0</v>
      </c>
      <c r="H8380">
        <f>_xlfn.XLOOKUP(FACT_IMPORTS[[#This Row],[hts_6]],DIM_PRODUCTS[hts_6],DIM_PRODUCTS[hts_4],,,)</f>
        <v>8708</v>
      </c>
      <c r="I8380" t="str" cm="1">
        <f t="array" ref="I8380">_xlfn.XLOOKUP(FACT_IMPORTS[[#This Row],[country_name]],DIM_COUNTRY[[#All],[Column2]],DIM_COUNTRY[[#All],[Column3]],,,)</f>
        <v>Major_Non-USMCA_Non-China</v>
      </c>
    </row>
    <row r="8381" spans="1:9" x14ac:dyDescent="0.4">
      <c r="A8381" t="s">
        <v>71</v>
      </c>
      <c r="B8381" s="1">
        <v>45689</v>
      </c>
      <c r="C8381">
        <v>870893</v>
      </c>
      <c r="D8381" t="s">
        <v>176</v>
      </c>
      <c r="E8381">
        <v>822115</v>
      </c>
      <c r="F8381">
        <v>158318</v>
      </c>
      <c r="G8381">
        <v>16314</v>
      </c>
      <c r="H8381">
        <f>_xlfn.XLOOKUP(FACT_IMPORTS[[#This Row],[hts_6]],DIM_PRODUCTS[hts_6],DIM_PRODUCTS[hts_4],,,)</f>
        <v>8708</v>
      </c>
      <c r="I8381" t="str" cm="1">
        <f t="array" ref="I8381">_xlfn.XLOOKUP(FACT_IMPORTS[[#This Row],[country_name]],DIM_COUNTRY[[#All],[Column2]],DIM_COUNTRY[[#All],[Column3]],,,)</f>
        <v>Major_Non-USMCA_Non-China</v>
      </c>
    </row>
    <row r="8382" spans="1:9" x14ac:dyDescent="0.4">
      <c r="A8382" t="s">
        <v>71</v>
      </c>
      <c r="B8382" s="1">
        <v>45689</v>
      </c>
      <c r="C8382">
        <v>870894</v>
      </c>
      <c r="D8382" t="s">
        <v>176</v>
      </c>
      <c r="E8382">
        <v>111561</v>
      </c>
      <c r="F8382">
        <v>8512</v>
      </c>
      <c r="G8382">
        <v>551</v>
      </c>
      <c r="H8382">
        <f>_xlfn.XLOOKUP(FACT_IMPORTS[[#This Row],[hts_6]],DIM_PRODUCTS[hts_6],DIM_PRODUCTS[hts_4],,,)</f>
        <v>8708</v>
      </c>
      <c r="I8382" t="str" cm="1">
        <f t="array" ref="I8382">_xlfn.XLOOKUP(FACT_IMPORTS[[#This Row],[country_name]],DIM_COUNTRY[[#All],[Column2]],DIM_COUNTRY[[#All],[Column3]],,,)</f>
        <v>Major_Non-USMCA_Non-China</v>
      </c>
    </row>
    <row r="8383" spans="1:9" x14ac:dyDescent="0.4">
      <c r="A8383" t="s">
        <v>71</v>
      </c>
      <c r="B8383" s="1">
        <v>45689</v>
      </c>
      <c r="C8383">
        <v>870895</v>
      </c>
      <c r="D8383" t="s">
        <v>176</v>
      </c>
      <c r="E8383">
        <v>0</v>
      </c>
      <c r="F8383">
        <v>0</v>
      </c>
      <c r="G8383">
        <v>0</v>
      </c>
      <c r="H8383">
        <f>_xlfn.XLOOKUP(FACT_IMPORTS[[#This Row],[hts_6]],DIM_PRODUCTS[hts_6],DIM_PRODUCTS[hts_4],,,)</f>
        <v>8708</v>
      </c>
      <c r="I8383" t="str" cm="1">
        <f t="array" ref="I8383">_xlfn.XLOOKUP(FACT_IMPORTS[[#This Row],[country_name]],DIM_COUNTRY[[#All],[Column2]],DIM_COUNTRY[[#All],[Column3]],,,)</f>
        <v>Major_Non-USMCA_Non-China</v>
      </c>
    </row>
    <row r="8384" spans="1:9" x14ac:dyDescent="0.4">
      <c r="A8384" t="s">
        <v>71</v>
      </c>
      <c r="B8384" s="1">
        <v>45689</v>
      </c>
      <c r="C8384">
        <v>870899</v>
      </c>
      <c r="D8384" t="s">
        <v>176</v>
      </c>
      <c r="E8384">
        <v>2472217</v>
      </c>
      <c r="F8384">
        <v>2282462</v>
      </c>
      <c r="G8384">
        <v>38276</v>
      </c>
      <c r="H8384">
        <f>_xlfn.XLOOKUP(FACT_IMPORTS[[#This Row],[hts_6]],DIM_PRODUCTS[hts_6],DIM_PRODUCTS[hts_4],,,)</f>
        <v>8708</v>
      </c>
      <c r="I8384" t="str" cm="1">
        <f t="array" ref="I8384">_xlfn.XLOOKUP(FACT_IMPORTS[[#This Row],[country_name]],DIM_COUNTRY[[#All],[Column2]],DIM_COUNTRY[[#All],[Column3]],,,)</f>
        <v>Major_Non-USMCA_Non-China</v>
      </c>
    </row>
    <row r="8385" spans="1:9" x14ac:dyDescent="0.4">
      <c r="A8385" t="s">
        <v>71</v>
      </c>
      <c r="B8385" s="1">
        <v>45689</v>
      </c>
      <c r="C8385">
        <v>940120</v>
      </c>
      <c r="D8385" t="s">
        <v>176</v>
      </c>
      <c r="E8385">
        <v>0</v>
      </c>
      <c r="F8385">
        <v>0</v>
      </c>
      <c r="G8385">
        <v>0</v>
      </c>
      <c r="H8385">
        <f>_xlfn.XLOOKUP(FACT_IMPORTS[[#This Row],[hts_6]],DIM_PRODUCTS[hts_6],DIM_PRODUCTS[hts_4],,,)</f>
        <v>9401</v>
      </c>
      <c r="I8385" t="str" cm="1">
        <f t="array" ref="I8385">_xlfn.XLOOKUP(FACT_IMPORTS[[#This Row],[country_name]],DIM_COUNTRY[[#All],[Column2]],DIM_COUNTRY[[#All],[Column3]],,,)</f>
        <v>Major_Non-USMCA_Non-China</v>
      </c>
    </row>
    <row r="8386" spans="1:9" x14ac:dyDescent="0.4">
      <c r="A8386" t="s">
        <v>71</v>
      </c>
      <c r="B8386" s="1">
        <v>45717</v>
      </c>
      <c r="C8386">
        <v>392630</v>
      </c>
      <c r="D8386" t="s">
        <v>176</v>
      </c>
      <c r="E8386">
        <v>763</v>
      </c>
      <c r="F8386">
        <v>211</v>
      </c>
      <c r="G8386">
        <v>76</v>
      </c>
      <c r="H8386">
        <f>_xlfn.XLOOKUP(FACT_IMPORTS[[#This Row],[hts_6]],DIM_PRODUCTS[hts_6],DIM_PRODUCTS[hts_4],,,)</f>
        <v>3926</v>
      </c>
      <c r="I8386" t="str" cm="1">
        <f t="array" ref="I8386">_xlfn.XLOOKUP(FACT_IMPORTS[[#This Row],[country_name]],DIM_COUNTRY[[#All],[Column2]],DIM_COUNTRY[[#All],[Column3]],,,)</f>
        <v>Major_Non-USMCA_Non-China</v>
      </c>
    </row>
    <row r="8387" spans="1:9" x14ac:dyDescent="0.4">
      <c r="A8387" t="s">
        <v>71</v>
      </c>
      <c r="B8387" s="1">
        <v>45717</v>
      </c>
      <c r="C8387">
        <v>401110</v>
      </c>
      <c r="D8387" t="s">
        <v>176</v>
      </c>
      <c r="E8387">
        <v>90612</v>
      </c>
      <c r="F8387">
        <v>1177</v>
      </c>
      <c r="G8387">
        <v>2243</v>
      </c>
      <c r="H8387">
        <f>_xlfn.XLOOKUP(FACT_IMPORTS[[#This Row],[hts_6]],DIM_PRODUCTS[hts_6],DIM_PRODUCTS[hts_4],,,)</f>
        <v>4011</v>
      </c>
      <c r="I8387" t="str" cm="1">
        <f t="array" ref="I8387">_xlfn.XLOOKUP(FACT_IMPORTS[[#This Row],[country_name]],DIM_COUNTRY[[#All],[Column2]],DIM_COUNTRY[[#All],[Column3]],,,)</f>
        <v>Major_Non-USMCA_Non-China</v>
      </c>
    </row>
    <row r="8388" spans="1:9" x14ac:dyDescent="0.4">
      <c r="A8388" t="s">
        <v>71</v>
      </c>
      <c r="B8388" s="1">
        <v>45717</v>
      </c>
      <c r="C8388">
        <v>401120</v>
      </c>
      <c r="D8388" t="s">
        <v>176</v>
      </c>
      <c r="E8388">
        <v>127484</v>
      </c>
      <c r="F8388">
        <v>761</v>
      </c>
      <c r="G8388">
        <v>7519</v>
      </c>
      <c r="H8388">
        <f>_xlfn.XLOOKUP(FACT_IMPORTS[[#This Row],[hts_6]],DIM_PRODUCTS[hts_6],DIM_PRODUCTS[hts_4],,,)</f>
        <v>4011</v>
      </c>
      <c r="I8388" t="str" cm="1">
        <f t="array" ref="I8388">_xlfn.XLOOKUP(FACT_IMPORTS[[#This Row],[country_name]],DIM_COUNTRY[[#All],[Column2]],DIM_COUNTRY[[#All],[Column3]],,,)</f>
        <v>Major_Non-USMCA_Non-China</v>
      </c>
    </row>
    <row r="8389" spans="1:9" x14ac:dyDescent="0.4">
      <c r="A8389" t="s">
        <v>71</v>
      </c>
      <c r="B8389" s="1">
        <v>45717</v>
      </c>
      <c r="C8389">
        <v>401190</v>
      </c>
      <c r="D8389" t="s">
        <v>176</v>
      </c>
      <c r="E8389">
        <v>0</v>
      </c>
      <c r="F8389">
        <v>0</v>
      </c>
      <c r="G8389">
        <v>0</v>
      </c>
      <c r="H8389">
        <f>_xlfn.XLOOKUP(FACT_IMPORTS[[#This Row],[hts_6]],DIM_PRODUCTS[hts_6],DIM_PRODUCTS[hts_4],,,)</f>
        <v>4011</v>
      </c>
      <c r="I8389" t="str" cm="1">
        <f t="array" ref="I8389">_xlfn.XLOOKUP(FACT_IMPORTS[[#This Row],[country_name]],DIM_COUNTRY[[#All],[Column2]],DIM_COUNTRY[[#All],[Column3]],,,)</f>
        <v>Major_Non-USMCA_Non-China</v>
      </c>
    </row>
    <row r="8390" spans="1:9" x14ac:dyDescent="0.4">
      <c r="A8390" t="s">
        <v>71</v>
      </c>
      <c r="B8390" s="1">
        <v>45717</v>
      </c>
      <c r="C8390">
        <v>700711</v>
      </c>
      <c r="D8390" t="s">
        <v>176</v>
      </c>
      <c r="E8390">
        <v>8286</v>
      </c>
      <c r="F8390">
        <v>2</v>
      </c>
      <c r="G8390">
        <v>185</v>
      </c>
      <c r="H8390">
        <f>_xlfn.XLOOKUP(FACT_IMPORTS[[#This Row],[hts_6]],DIM_PRODUCTS[hts_6],DIM_PRODUCTS[hts_4],,,)</f>
        <v>7007</v>
      </c>
      <c r="I8390" t="str" cm="1">
        <f t="array" ref="I8390">_xlfn.XLOOKUP(FACT_IMPORTS[[#This Row],[country_name]],DIM_COUNTRY[[#All],[Column2]],DIM_COUNTRY[[#All],[Column3]],,,)</f>
        <v>Major_Non-USMCA_Non-China</v>
      </c>
    </row>
    <row r="8391" spans="1:9" x14ac:dyDescent="0.4">
      <c r="A8391" t="s">
        <v>71</v>
      </c>
      <c r="B8391" s="1">
        <v>45717</v>
      </c>
      <c r="C8391">
        <v>700721</v>
      </c>
      <c r="D8391" t="s">
        <v>176</v>
      </c>
      <c r="E8391">
        <v>6953</v>
      </c>
      <c r="F8391">
        <v>2</v>
      </c>
      <c r="G8391">
        <v>155</v>
      </c>
      <c r="H8391">
        <f>_xlfn.XLOOKUP(FACT_IMPORTS[[#This Row],[hts_6]],DIM_PRODUCTS[hts_6],DIM_PRODUCTS[hts_4],,,)</f>
        <v>7007</v>
      </c>
      <c r="I8391" t="str" cm="1">
        <f t="array" ref="I8391">_xlfn.XLOOKUP(FACT_IMPORTS[[#This Row],[country_name]],DIM_COUNTRY[[#All],[Column2]],DIM_COUNTRY[[#All],[Column3]],,,)</f>
        <v>Major_Non-USMCA_Non-China</v>
      </c>
    </row>
    <row r="8392" spans="1:9" x14ac:dyDescent="0.4">
      <c r="A8392" t="s">
        <v>71</v>
      </c>
      <c r="B8392" s="1">
        <v>45717</v>
      </c>
      <c r="C8392">
        <v>700910</v>
      </c>
      <c r="D8392" t="s">
        <v>176</v>
      </c>
      <c r="E8392">
        <v>0</v>
      </c>
      <c r="F8392">
        <v>0</v>
      </c>
      <c r="G8392">
        <v>0</v>
      </c>
      <c r="H8392">
        <f>_xlfn.XLOOKUP(FACT_IMPORTS[[#This Row],[hts_6]],DIM_PRODUCTS[hts_6],DIM_PRODUCTS[hts_4],,,)</f>
        <v>7009</v>
      </c>
      <c r="I8392" t="str" cm="1">
        <f t="array" ref="I8392">_xlfn.XLOOKUP(FACT_IMPORTS[[#This Row],[country_name]],DIM_COUNTRY[[#All],[Column2]],DIM_COUNTRY[[#All],[Column3]],,,)</f>
        <v>Major_Non-USMCA_Non-China</v>
      </c>
    </row>
    <row r="8393" spans="1:9" x14ac:dyDescent="0.4">
      <c r="A8393" t="s">
        <v>71</v>
      </c>
      <c r="B8393" s="1">
        <v>45717</v>
      </c>
      <c r="C8393">
        <v>830230</v>
      </c>
      <c r="D8393" t="s">
        <v>176</v>
      </c>
      <c r="E8393">
        <v>5040</v>
      </c>
      <c r="F8393">
        <v>927</v>
      </c>
      <c r="G8393">
        <v>66</v>
      </c>
      <c r="H8393">
        <f>_xlfn.XLOOKUP(FACT_IMPORTS[[#This Row],[hts_6]],DIM_PRODUCTS[hts_6],DIM_PRODUCTS[hts_4],,,)</f>
        <v>8302</v>
      </c>
      <c r="I8393" t="str" cm="1">
        <f t="array" ref="I8393">_xlfn.XLOOKUP(FACT_IMPORTS[[#This Row],[country_name]],DIM_COUNTRY[[#All],[Column2]],DIM_COUNTRY[[#All],[Column3]],,,)</f>
        <v>Major_Non-USMCA_Non-China</v>
      </c>
    </row>
    <row r="8394" spans="1:9" x14ac:dyDescent="0.4">
      <c r="A8394" t="s">
        <v>71</v>
      </c>
      <c r="B8394" s="1">
        <v>45717</v>
      </c>
      <c r="C8394">
        <v>840732</v>
      </c>
      <c r="D8394" t="s">
        <v>176</v>
      </c>
      <c r="E8394">
        <v>0</v>
      </c>
      <c r="F8394">
        <v>0</v>
      </c>
      <c r="G8394">
        <v>0</v>
      </c>
      <c r="H8394">
        <f>_xlfn.XLOOKUP(FACT_IMPORTS[[#This Row],[hts_6]],DIM_PRODUCTS[hts_6],DIM_PRODUCTS[hts_4],,,)</f>
        <v>8407</v>
      </c>
      <c r="I8394" t="str" cm="1">
        <f t="array" ref="I8394">_xlfn.XLOOKUP(FACT_IMPORTS[[#This Row],[country_name]],DIM_COUNTRY[[#All],[Column2]],DIM_COUNTRY[[#All],[Column3]],,,)</f>
        <v>Major_Non-USMCA_Non-China</v>
      </c>
    </row>
    <row r="8395" spans="1:9" x14ac:dyDescent="0.4">
      <c r="A8395" t="s">
        <v>71</v>
      </c>
      <c r="B8395" s="1">
        <v>45717</v>
      </c>
      <c r="C8395">
        <v>840733</v>
      </c>
      <c r="D8395" t="s">
        <v>176</v>
      </c>
      <c r="E8395">
        <v>0</v>
      </c>
      <c r="F8395">
        <v>0</v>
      </c>
      <c r="G8395">
        <v>0</v>
      </c>
      <c r="H8395">
        <f>_xlfn.XLOOKUP(FACT_IMPORTS[[#This Row],[hts_6]],DIM_PRODUCTS[hts_6],DIM_PRODUCTS[hts_4],,,)</f>
        <v>8407</v>
      </c>
      <c r="I8395" t="str" cm="1">
        <f t="array" ref="I8395">_xlfn.XLOOKUP(FACT_IMPORTS[[#This Row],[country_name]],DIM_COUNTRY[[#All],[Column2]],DIM_COUNTRY[[#All],[Column3]],,,)</f>
        <v>Major_Non-USMCA_Non-China</v>
      </c>
    </row>
    <row r="8396" spans="1:9" x14ac:dyDescent="0.4">
      <c r="A8396" t="s">
        <v>71</v>
      </c>
      <c r="B8396" s="1">
        <v>45717</v>
      </c>
      <c r="C8396">
        <v>840734</v>
      </c>
      <c r="D8396" t="s">
        <v>176</v>
      </c>
      <c r="E8396">
        <v>11490</v>
      </c>
      <c r="F8396">
        <v>23</v>
      </c>
      <c r="G8396">
        <v>314</v>
      </c>
      <c r="H8396">
        <f>_xlfn.XLOOKUP(FACT_IMPORTS[[#This Row],[hts_6]],DIM_PRODUCTS[hts_6],DIM_PRODUCTS[hts_4],,,)</f>
        <v>8407</v>
      </c>
      <c r="I8396" t="str" cm="1">
        <f t="array" ref="I8396">_xlfn.XLOOKUP(FACT_IMPORTS[[#This Row],[country_name]],DIM_COUNTRY[[#All],[Column2]],DIM_COUNTRY[[#All],[Column3]],,,)</f>
        <v>Major_Non-USMCA_Non-China</v>
      </c>
    </row>
    <row r="8397" spans="1:9" x14ac:dyDescent="0.4">
      <c r="A8397" t="s">
        <v>71</v>
      </c>
      <c r="B8397" s="1">
        <v>45717</v>
      </c>
      <c r="C8397">
        <v>840790</v>
      </c>
      <c r="D8397" t="s">
        <v>176</v>
      </c>
      <c r="E8397">
        <v>5322</v>
      </c>
      <c r="F8397">
        <v>2</v>
      </c>
      <c r="G8397">
        <v>43</v>
      </c>
      <c r="H8397">
        <f>_xlfn.XLOOKUP(FACT_IMPORTS[[#This Row],[hts_6]],DIM_PRODUCTS[hts_6],DIM_PRODUCTS[hts_4],,,)</f>
        <v>8407</v>
      </c>
      <c r="I8397" t="str" cm="1">
        <f t="array" ref="I8397">_xlfn.XLOOKUP(FACT_IMPORTS[[#This Row],[country_name]],DIM_COUNTRY[[#All],[Column2]],DIM_COUNTRY[[#All],[Column3]],,,)</f>
        <v>Major_Non-USMCA_Non-China</v>
      </c>
    </row>
    <row r="8398" spans="1:9" x14ac:dyDescent="0.4">
      <c r="A8398" t="s">
        <v>71</v>
      </c>
      <c r="B8398" s="1">
        <v>45717</v>
      </c>
      <c r="C8398">
        <v>840820</v>
      </c>
      <c r="D8398" t="s">
        <v>176</v>
      </c>
      <c r="E8398">
        <v>6390</v>
      </c>
      <c r="F8398">
        <v>1</v>
      </c>
      <c r="G8398">
        <v>196</v>
      </c>
      <c r="H8398">
        <f>_xlfn.XLOOKUP(FACT_IMPORTS[[#This Row],[hts_6]],DIM_PRODUCTS[hts_6],DIM_PRODUCTS[hts_4],,,)</f>
        <v>8408</v>
      </c>
      <c r="I8398" t="str" cm="1">
        <f t="array" ref="I8398">_xlfn.XLOOKUP(FACT_IMPORTS[[#This Row],[country_name]],DIM_COUNTRY[[#All],[Column2]],DIM_COUNTRY[[#All],[Column3]],,,)</f>
        <v>Major_Non-USMCA_Non-China</v>
      </c>
    </row>
    <row r="8399" spans="1:9" x14ac:dyDescent="0.4">
      <c r="A8399" t="s">
        <v>71</v>
      </c>
      <c r="B8399" s="1">
        <v>45717</v>
      </c>
      <c r="C8399">
        <v>840890</v>
      </c>
      <c r="D8399" t="s">
        <v>176</v>
      </c>
      <c r="E8399">
        <v>3421</v>
      </c>
      <c r="F8399">
        <v>1</v>
      </c>
      <c r="G8399">
        <v>342</v>
      </c>
      <c r="H8399">
        <f>_xlfn.XLOOKUP(FACT_IMPORTS[[#This Row],[hts_6]],DIM_PRODUCTS[hts_6],DIM_PRODUCTS[hts_4],,,)</f>
        <v>8408</v>
      </c>
      <c r="I8399" t="str" cm="1">
        <f t="array" ref="I8399">_xlfn.XLOOKUP(FACT_IMPORTS[[#This Row],[country_name]],DIM_COUNTRY[[#All],[Column2]],DIM_COUNTRY[[#All],[Column3]],,,)</f>
        <v>Major_Non-USMCA_Non-China</v>
      </c>
    </row>
    <row r="8400" spans="1:9" x14ac:dyDescent="0.4">
      <c r="A8400" t="s">
        <v>71</v>
      </c>
      <c r="B8400" s="1">
        <v>45717</v>
      </c>
      <c r="C8400">
        <v>840991</v>
      </c>
      <c r="D8400" t="s">
        <v>176</v>
      </c>
      <c r="E8400">
        <v>12303647</v>
      </c>
      <c r="F8400">
        <v>898808</v>
      </c>
      <c r="G8400">
        <v>324457</v>
      </c>
      <c r="H8400">
        <f>_xlfn.XLOOKUP(FACT_IMPORTS[[#This Row],[hts_6]],DIM_PRODUCTS[hts_6],DIM_PRODUCTS[hts_4],,,)</f>
        <v>8409</v>
      </c>
      <c r="I8400" t="str" cm="1">
        <f t="array" ref="I8400">_xlfn.XLOOKUP(FACT_IMPORTS[[#This Row],[country_name]],DIM_COUNTRY[[#All],[Column2]],DIM_COUNTRY[[#All],[Column3]],,,)</f>
        <v>Major_Non-USMCA_Non-China</v>
      </c>
    </row>
    <row r="8401" spans="1:9" x14ac:dyDescent="0.4">
      <c r="A8401" t="s">
        <v>71</v>
      </c>
      <c r="B8401" s="1">
        <v>45717</v>
      </c>
      <c r="C8401">
        <v>840999</v>
      </c>
      <c r="D8401" t="s">
        <v>176</v>
      </c>
      <c r="E8401">
        <v>0</v>
      </c>
      <c r="F8401">
        <v>0</v>
      </c>
      <c r="G8401">
        <v>0</v>
      </c>
      <c r="H8401">
        <f>_xlfn.XLOOKUP(FACT_IMPORTS[[#This Row],[hts_6]],DIM_PRODUCTS[hts_6],DIM_PRODUCTS[hts_4],,,)</f>
        <v>8409</v>
      </c>
      <c r="I8401" t="str" cm="1">
        <f t="array" ref="I8401">_xlfn.XLOOKUP(FACT_IMPORTS[[#This Row],[country_name]],DIM_COUNTRY[[#All],[Column2]],DIM_COUNTRY[[#All],[Column3]],,,)</f>
        <v>Major_Non-USMCA_Non-China</v>
      </c>
    </row>
    <row r="8402" spans="1:9" x14ac:dyDescent="0.4">
      <c r="A8402" t="s">
        <v>71</v>
      </c>
      <c r="B8402" s="1">
        <v>45717</v>
      </c>
      <c r="C8402">
        <v>841330</v>
      </c>
      <c r="D8402" t="s">
        <v>176</v>
      </c>
      <c r="E8402">
        <v>708352</v>
      </c>
      <c r="F8402">
        <v>8791</v>
      </c>
      <c r="G8402">
        <v>3981</v>
      </c>
      <c r="H8402">
        <f>_xlfn.XLOOKUP(FACT_IMPORTS[[#This Row],[hts_6]],DIM_PRODUCTS[hts_6],DIM_PRODUCTS[hts_4],,,)</f>
        <v>8413</v>
      </c>
      <c r="I8402" t="str" cm="1">
        <f t="array" ref="I8402">_xlfn.XLOOKUP(FACT_IMPORTS[[#This Row],[country_name]],DIM_COUNTRY[[#All],[Column2]],DIM_COUNTRY[[#All],[Column3]],,,)</f>
        <v>Major_Non-USMCA_Non-China</v>
      </c>
    </row>
    <row r="8403" spans="1:9" x14ac:dyDescent="0.4">
      <c r="A8403" t="s">
        <v>71</v>
      </c>
      <c r="B8403" s="1">
        <v>45717</v>
      </c>
      <c r="C8403">
        <v>841520</v>
      </c>
      <c r="D8403" t="s">
        <v>176</v>
      </c>
      <c r="E8403">
        <v>0</v>
      </c>
      <c r="F8403">
        <v>0</v>
      </c>
      <c r="G8403">
        <v>0</v>
      </c>
      <c r="H8403">
        <f>_xlfn.XLOOKUP(FACT_IMPORTS[[#This Row],[hts_6]],DIM_PRODUCTS[hts_6],DIM_PRODUCTS[hts_4],,,)</f>
        <v>8415</v>
      </c>
      <c r="I8403" t="str" cm="1">
        <f t="array" ref="I8403">_xlfn.XLOOKUP(FACT_IMPORTS[[#This Row],[country_name]],DIM_COUNTRY[[#All],[Column2]],DIM_COUNTRY[[#All],[Column3]],,,)</f>
        <v>Major_Non-USMCA_Non-China</v>
      </c>
    </row>
    <row r="8404" spans="1:9" x14ac:dyDescent="0.4">
      <c r="A8404" t="s">
        <v>71</v>
      </c>
      <c r="B8404" s="1">
        <v>45717</v>
      </c>
      <c r="C8404">
        <v>842132</v>
      </c>
      <c r="D8404" t="s">
        <v>176</v>
      </c>
      <c r="E8404">
        <v>24941</v>
      </c>
      <c r="F8404">
        <v>24</v>
      </c>
      <c r="G8404">
        <v>334</v>
      </c>
      <c r="H8404">
        <f>_xlfn.XLOOKUP(FACT_IMPORTS[[#This Row],[hts_6]],DIM_PRODUCTS[hts_6],DIM_PRODUCTS[hts_4],,,)</f>
        <v>8421</v>
      </c>
      <c r="I8404" t="str" cm="1">
        <f t="array" ref="I8404">_xlfn.XLOOKUP(FACT_IMPORTS[[#This Row],[country_name]],DIM_COUNTRY[[#All],[Column2]],DIM_COUNTRY[[#All],[Column3]],,,)</f>
        <v>Major_Non-USMCA_Non-China</v>
      </c>
    </row>
    <row r="8405" spans="1:9" x14ac:dyDescent="0.4">
      <c r="A8405" t="s">
        <v>71</v>
      </c>
      <c r="B8405" s="1">
        <v>45717</v>
      </c>
      <c r="C8405">
        <v>848210</v>
      </c>
      <c r="D8405" t="s">
        <v>176</v>
      </c>
      <c r="E8405">
        <v>40971</v>
      </c>
      <c r="F8405">
        <v>2560</v>
      </c>
      <c r="G8405">
        <v>1196</v>
      </c>
      <c r="H8405">
        <f>_xlfn.XLOOKUP(FACT_IMPORTS[[#This Row],[hts_6]],DIM_PRODUCTS[hts_6],DIM_PRODUCTS[hts_4],,,)</f>
        <v>8482</v>
      </c>
      <c r="I8405" t="str" cm="1">
        <f t="array" ref="I8405">_xlfn.XLOOKUP(FACT_IMPORTS[[#This Row],[country_name]],DIM_COUNTRY[[#All],[Column2]],DIM_COUNTRY[[#All],[Column3]],,,)</f>
        <v>Major_Non-USMCA_Non-China</v>
      </c>
    </row>
    <row r="8406" spans="1:9" x14ac:dyDescent="0.4">
      <c r="A8406" t="s">
        <v>71</v>
      </c>
      <c r="B8406" s="1">
        <v>45717</v>
      </c>
      <c r="C8406">
        <v>848220</v>
      </c>
      <c r="D8406" t="s">
        <v>176</v>
      </c>
      <c r="E8406">
        <v>171646</v>
      </c>
      <c r="F8406">
        <v>11544</v>
      </c>
      <c r="G8406">
        <v>1390</v>
      </c>
      <c r="H8406">
        <f>_xlfn.XLOOKUP(FACT_IMPORTS[[#This Row],[hts_6]],DIM_PRODUCTS[hts_6],DIM_PRODUCTS[hts_4],,,)</f>
        <v>8482</v>
      </c>
      <c r="I8406" t="str" cm="1">
        <f t="array" ref="I8406">_xlfn.XLOOKUP(FACT_IMPORTS[[#This Row],[country_name]],DIM_COUNTRY[[#All],[Column2]],DIM_COUNTRY[[#All],[Column3]],,,)</f>
        <v>Major_Non-USMCA_Non-China</v>
      </c>
    </row>
    <row r="8407" spans="1:9" x14ac:dyDescent="0.4">
      <c r="A8407" t="s">
        <v>71</v>
      </c>
      <c r="B8407" s="1">
        <v>45717</v>
      </c>
      <c r="C8407">
        <v>848310</v>
      </c>
      <c r="D8407" t="s">
        <v>176</v>
      </c>
      <c r="E8407">
        <v>677889</v>
      </c>
      <c r="F8407">
        <v>26908</v>
      </c>
      <c r="G8407">
        <v>10758</v>
      </c>
      <c r="H8407">
        <f>_xlfn.XLOOKUP(FACT_IMPORTS[[#This Row],[hts_6]],DIM_PRODUCTS[hts_6],DIM_PRODUCTS[hts_4],,,)</f>
        <v>8483</v>
      </c>
      <c r="I8407" t="str" cm="1">
        <f t="array" ref="I8407">_xlfn.XLOOKUP(FACT_IMPORTS[[#This Row],[country_name]],DIM_COUNTRY[[#All],[Column2]],DIM_COUNTRY[[#All],[Column3]],,,)</f>
        <v>Major_Non-USMCA_Non-China</v>
      </c>
    </row>
    <row r="8408" spans="1:9" x14ac:dyDescent="0.4">
      <c r="A8408" t="s">
        <v>71</v>
      </c>
      <c r="B8408" s="1">
        <v>45717</v>
      </c>
      <c r="C8408">
        <v>850131</v>
      </c>
      <c r="D8408" t="s">
        <v>176</v>
      </c>
      <c r="E8408">
        <v>776089</v>
      </c>
      <c r="F8408">
        <v>21884</v>
      </c>
      <c r="G8408">
        <v>10144</v>
      </c>
      <c r="H8408">
        <f>_xlfn.XLOOKUP(FACT_IMPORTS[[#This Row],[hts_6]],DIM_PRODUCTS[hts_6],DIM_PRODUCTS[hts_4],,,)</f>
        <v>8501</v>
      </c>
      <c r="I8408" t="str" cm="1">
        <f t="array" ref="I8408">_xlfn.XLOOKUP(FACT_IMPORTS[[#This Row],[country_name]],DIM_COUNTRY[[#All],[Column2]],DIM_COUNTRY[[#All],[Column3]],,,)</f>
        <v>Major_Non-USMCA_Non-China</v>
      </c>
    </row>
    <row r="8409" spans="1:9" x14ac:dyDescent="0.4">
      <c r="A8409" t="s">
        <v>71</v>
      </c>
      <c r="B8409" s="1">
        <v>45717</v>
      </c>
      <c r="C8409">
        <v>850132</v>
      </c>
      <c r="D8409" t="s">
        <v>176</v>
      </c>
      <c r="E8409">
        <v>77170</v>
      </c>
      <c r="F8409">
        <v>354</v>
      </c>
      <c r="G8409">
        <v>708</v>
      </c>
      <c r="H8409">
        <f>_xlfn.XLOOKUP(FACT_IMPORTS[[#This Row],[hts_6]],DIM_PRODUCTS[hts_6],DIM_PRODUCTS[hts_4],,,)</f>
        <v>8501</v>
      </c>
      <c r="I8409" t="str" cm="1">
        <f t="array" ref="I8409">_xlfn.XLOOKUP(FACT_IMPORTS[[#This Row],[country_name]],DIM_COUNTRY[[#All],[Column2]],DIM_COUNTRY[[#All],[Column3]],,,)</f>
        <v>Major_Non-USMCA_Non-China</v>
      </c>
    </row>
    <row r="8410" spans="1:9" x14ac:dyDescent="0.4">
      <c r="A8410" t="s">
        <v>71</v>
      </c>
      <c r="B8410" s="1">
        <v>45717</v>
      </c>
      <c r="C8410">
        <v>850152</v>
      </c>
      <c r="D8410" t="s">
        <v>176</v>
      </c>
      <c r="E8410">
        <v>499709</v>
      </c>
      <c r="F8410">
        <v>455</v>
      </c>
      <c r="G8410">
        <v>22058</v>
      </c>
      <c r="H8410">
        <f>_xlfn.XLOOKUP(FACT_IMPORTS[[#This Row],[hts_6]],DIM_PRODUCTS[hts_6],DIM_PRODUCTS[hts_4],,,)</f>
        <v>8501</v>
      </c>
      <c r="I8410" t="str" cm="1">
        <f t="array" ref="I8410">_xlfn.XLOOKUP(FACT_IMPORTS[[#This Row],[country_name]],DIM_COUNTRY[[#All],[Column2]],DIM_COUNTRY[[#All],[Column3]],,,)</f>
        <v>Major_Non-USMCA_Non-China</v>
      </c>
    </row>
    <row r="8411" spans="1:9" x14ac:dyDescent="0.4">
      <c r="A8411" t="s">
        <v>71</v>
      </c>
      <c r="B8411" s="1">
        <v>45717</v>
      </c>
      <c r="C8411">
        <v>850153</v>
      </c>
      <c r="D8411" t="s">
        <v>176</v>
      </c>
      <c r="E8411">
        <v>0</v>
      </c>
      <c r="F8411">
        <v>0</v>
      </c>
      <c r="G8411">
        <v>0</v>
      </c>
      <c r="H8411">
        <f>_xlfn.XLOOKUP(FACT_IMPORTS[[#This Row],[hts_6]],DIM_PRODUCTS[hts_6],DIM_PRODUCTS[hts_4],,,)</f>
        <v>8501</v>
      </c>
      <c r="I8411" t="str" cm="1">
        <f t="array" ref="I8411">_xlfn.XLOOKUP(FACT_IMPORTS[[#This Row],[country_name]],DIM_COUNTRY[[#All],[Column2]],DIM_COUNTRY[[#All],[Column3]],,,)</f>
        <v>Major_Non-USMCA_Non-China</v>
      </c>
    </row>
    <row r="8412" spans="1:9" x14ac:dyDescent="0.4">
      <c r="A8412" t="s">
        <v>71</v>
      </c>
      <c r="B8412" s="1">
        <v>45717</v>
      </c>
      <c r="C8412">
        <v>850161</v>
      </c>
      <c r="D8412" t="s">
        <v>176</v>
      </c>
      <c r="E8412">
        <v>0</v>
      </c>
      <c r="F8412">
        <v>0</v>
      </c>
      <c r="G8412">
        <v>0</v>
      </c>
      <c r="H8412">
        <f>_xlfn.XLOOKUP(FACT_IMPORTS[[#This Row],[hts_6]],DIM_PRODUCTS[hts_6],DIM_PRODUCTS[hts_4],,,)</f>
        <v>8501</v>
      </c>
      <c r="I8412" t="str" cm="1">
        <f t="array" ref="I8412">_xlfn.XLOOKUP(FACT_IMPORTS[[#This Row],[country_name]],DIM_COUNTRY[[#All],[Column2]],DIM_COUNTRY[[#All],[Column3]],,,)</f>
        <v>Major_Non-USMCA_Non-China</v>
      </c>
    </row>
    <row r="8413" spans="1:9" x14ac:dyDescent="0.4">
      <c r="A8413" t="s">
        <v>71</v>
      </c>
      <c r="B8413" s="1">
        <v>45717</v>
      </c>
      <c r="C8413">
        <v>850440</v>
      </c>
      <c r="D8413" t="s">
        <v>176</v>
      </c>
      <c r="E8413">
        <v>7751697</v>
      </c>
      <c r="F8413">
        <v>42608</v>
      </c>
      <c r="G8413">
        <v>16521</v>
      </c>
      <c r="H8413">
        <f>_xlfn.XLOOKUP(FACT_IMPORTS[[#This Row],[hts_6]],DIM_PRODUCTS[hts_6],DIM_PRODUCTS[hts_4],,,)</f>
        <v>8504</v>
      </c>
      <c r="I8413" t="str" cm="1">
        <f t="array" ref="I8413">_xlfn.XLOOKUP(FACT_IMPORTS[[#This Row],[country_name]],DIM_COUNTRY[[#All],[Column2]],DIM_COUNTRY[[#All],[Column3]],,,)</f>
        <v>Major_Non-USMCA_Non-China</v>
      </c>
    </row>
    <row r="8414" spans="1:9" x14ac:dyDescent="0.4">
      <c r="A8414" t="s">
        <v>71</v>
      </c>
      <c r="B8414" s="1">
        <v>45717</v>
      </c>
      <c r="C8414">
        <v>850710</v>
      </c>
      <c r="D8414" t="s">
        <v>176</v>
      </c>
      <c r="E8414">
        <v>0</v>
      </c>
      <c r="F8414">
        <v>0</v>
      </c>
      <c r="G8414">
        <v>0</v>
      </c>
      <c r="H8414">
        <f>_xlfn.XLOOKUP(FACT_IMPORTS[[#This Row],[hts_6]],DIM_PRODUCTS[hts_6],DIM_PRODUCTS[hts_4],,,)</f>
        <v>8507</v>
      </c>
      <c r="I8414" t="str" cm="1">
        <f t="array" ref="I8414">_xlfn.XLOOKUP(FACT_IMPORTS[[#This Row],[country_name]],DIM_COUNTRY[[#All],[Column2]],DIM_COUNTRY[[#All],[Column3]],,,)</f>
        <v>Major_Non-USMCA_Non-China</v>
      </c>
    </row>
    <row r="8415" spans="1:9" x14ac:dyDescent="0.4">
      <c r="A8415" t="s">
        <v>71</v>
      </c>
      <c r="B8415" s="1">
        <v>45717</v>
      </c>
      <c r="C8415">
        <v>850760</v>
      </c>
      <c r="D8415" t="s">
        <v>176</v>
      </c>
      <c r="E8415">
        <v>166872</v>
      </c>
      <c r="F8415">
        <v>280</v>
      </c>
      <c r="G8415">
        <v>3769</v>
      </c>
      <c r="H8415">
        <f>_xlfn.XLOOKUP(FACT_IMPORTS[[#This Row],[hts_6]],DIM_PRODUCTS[hts_6],DIM_PRODUCTS[hts_4],,,)</f>
        <v>8507</v>
      </c>
      <c r="I8415" t="str" cm="1">
        <f t="array" ref="I8415">_xlfn.XLOOKUP(FACT_IMPORTS[[#This Row],[country_name]],DIM_COUNTRY[[#All],[Column2]],DIM_COUNTRY[[#All],[Column3]],,,)</f>
        <v>Major_Non-USMCA_Non-China</v>
      </c>
    </row>
    <row r="8416" spans="1:9" x14ac:dyDescent="0.4">
      <c r="A8416" t="s">
        <v>71</v>
      </c>
      <c r="B8416" s="1">
        <v>45717</v>
      </c>
      <c r="C8416">
        <v>851110</v>
      </c>
      <c r="D8416" t="s">
        <v>176</v>
      </c>
      <c r="E8416">
        <v>343858</v>
      </c>
      <c r="F8416">
        <v>1425</v>
      </c>
      <c r="G8416">
        <v>1432</v>
      </c>
      <c r="H8416">
        <f>_xlfn.XLOOKUP(FACT_IMPORTS[[#This Row],[hts_6]],DIM_PRODUCTS[hts_6],DIM_PRODUCTS[hts_4],,,)</f>
        <v>8511</v>
      </c>
      <c r="I8416" t="str" cm="1">
        <f t="array" ref="I8416">_xlfn.XLOOKUP(FACT_IMPORTS[[#This Row],[country_name]],DIM_COUNTRY[[#All],[Column2]],DIM_COUNTRY[[#All],[Column3]],,,)</f>
        <v>Major_Non-USMCA_Non-China</v>
      </c>
    </row>
    <row r="8417" spans="1:9" x14ac:dyDescent="0.4">
      <c r="A8417" t="s">
        <v>71</v>
      </c>
      <c r="B8417" s="1">
        <v>45717</v>
      </c>
      <c r="C8417">
        <v>851130</v>
      </c>
      <c r="D8417" t="s">
        <v>176</v>
      </c>
      <c r="E8417">
        <v>394226</v>
      </c>
      <c r="F8417">
        <v>57100</v>
      </c>
      <c r="G8417">
        <v>8282</v>
      </c>
      <c r="H8417">
        <f>_xlfn.XLOOKUP(FACT_IMPORTS[[#This Row],[hts_6]],DIM_PRODUCTS[hts_6],DIM_PRODUCTS[hts_4],,,)</f>
        <v>8511</v>
      </c>
      <c r="I8417" t="str" cm="1">
        <f t="array" ref="I8417">_xlfn.XLOOKUP(FACT_IMPORTS[[#This Row],[country_name]],DIM_COUNTRY[[#All],[Column2]],DIM_COUNTRY[[#All],[Column3]],,,)</f>
        <v>Major_Non-USMCA_Non-China</v>
      </c>
    </row>
    <row r="8418" spans="1:9" x14ac:dyDescent="0.4">
      <c r="A8418" t="s">
        <v>71</v>
      </c>
      <c r="B8418" s="1">
        <v>45717</v>
      </c>
      <c r="C8418">
        <v>851140</v>
      </c>
      <c r="D8418" t="s">
        <v>176</v>
      </c>
      <c r="E8418">
        <v>1799647</v>
      </c>
      <c r="F8418">
        <v>32095</v>
      </c>
      <c r="G8418">
        <v>6637</v>
      </c>
      <c r="H8418">
        <f>_xlfn.XLOOKUP(FACT_IMPORTS[[#This Row],[hts_6]],DIM_PRODUCTS[hts_6],DIM_PRODUCTS[hts_4],,,)</f>
        <v>8511</v>
      </c>
      <c r="I8418" t="str" cm="1">
        <f t="array" ref="I8418">_xlfn.XLOOKUP(FACT_IMPORTS[[#This Row],[country_name]],DIM_COUNTRY[[#All],[Column2]],DIM_COUNTRY[[#All],[Column3]],,,)</f>
        <v>Major_Non-USMCA_Non-China</v>
      </c>
    </row>
    <row r="8419" spans="1:9" x14ac:dyDescent="0.4">
      <c r="A8419" t="s">
        <v>71</v>
      </c>
      <c r="B8419" s="1">
        <v>45717</v>
      </c>
      <c r="C8419">
        <v>851150</v>
      </c>
      <c r="D8419" t="s">
        <v>176</v>
      </c>
      <c r="E8419">
        <v>80381</v>
      </c>
      <c r="F8419">
        <v>750</v>
      </c>
      <c r="G8419">
        <v>1120</v>
      </c>
      <c r="H8419">
        <f>_xlfn.XLOOKUP(FACT_IMPORTS[[#This Row],[hts_6]],DIM_PRODUCTS[hts_6],DIM_PRODUCTS[hts_4],,,)</f>
        <v>8511</v>
      </c>
      <c r="I8419" t="str" cm="1">
        <f t="array" ref="I8419">_xlfn.XLOOKUP(FACT_IMPORTS[[#This Row],[country_name]],DIM_COUNTRY[[#All],[Column2]],DIM_COUNTRY[[#All],[Column3]],,,)</f>
        <v>Major_Non-USMCA_Non-China</v>
      </c>
    </row>
    <row r="8420" spans="1:9" x14ac:dyDescent="0.4">
      <c r="A8420" t="s">
        <v>71</v>
      </c>
      <c r="B8420" s="1">
        <v>45717</v>
      </c>
      <c r="C8420">
        <v>851180</v>
      </c>
      <c r="D8420" t="s">
        <v>176</v>
      </c>
      <c r="E8420">
        <v>7359</v>
      </c>
      <c r="F8420">
        <v>3797</v>
      </c>
      <c r="G8420">
        <v>241</v>
      </c>
      <c r="H8420">
        <f>_xlfn.XLOOKUP(FACT_IMPORTS[[#This Row],[hts_6]],DIM_PRODUCTS[hts_6],DIM_PRODUCTS[hts_4],,,)</f>
        <v>8511</v>
      </c>
      <c r="I8420" t="str" cm="1">
        <f t="array" ref="I8420">_xlfn.XLOOKUP(FACT_IMPORTS[[#This Row],[country_name]],DIM_COUNTRY[[#All],[Column2]],DIM_COUNTRY[[#All],[Column3]],,,)</f>
        <v>Major_Non-USMCA_Non-China</v>
      </c>
    </row>
    <row r="8421" spans="1:9" x14ac:dyDescent="0.4">
      <c r="A8421" t="s">
        <v>71</v>
      </c>
      <c r="B8421" s="1">
        <v>45717</v>
      </c>
      <c r="C8421">
        <v>851190</v>
      </c>
      <c r="D8421" t="s">
        <v>176</v>
      </c>
      <c r="E8421">
        <v>0</v>
      </c>
      <c r="F8421">
        <v>0</v>
      </c>
      <c r="G8421">
        <v>0</v>
      </c>
      <c r="H8421">
        <f>_xlfn.XLOOKUP(FACT_IMPORTS[[#This Row],[hts_6]],DIM_PRODUCTS[hts_6],DIM_PRODUCTS[hts_4],,,)</f>
        <v>8511</v>
      </c>
      <c r="I8421" t="str" cm="1">
        <f t="array" ref="I8421">_xlfn.XLOOKUP(FACT_IMPORTS[[#This Row],[country_name]],DIM_COUNTRY[[#All],[Column2]],DIM_COUNTRY[[#All],[Column3]],,,)</f>
        <v>Major_Non-USMCA_Non-China</v>
      </c>
    </row>
    <row r="8422" spans="1:9" x14ac:dyDescent="0.4">
      <c r="A8422" t="s">
        <v>71</v>
      </c>
      <c r="B8422" s="1">
        <v>45717</v>
      </c>
      <c r="C8422">
        <v>851220</v>
      </c>
      <c r="D8422" t="s">
        <v>176</v>
      </c>
      <c r="E8422">
        <v>39730</v>
      </c>
      <c r="F8422">
        <v>210</v>
      </c>
      <c r="G8422">
        <v>500</v>
      </c>
      <c r="H8422">
        <f>_xlfn.XLOOKUP(FACT_IMPORTS[[#This Row],[hts_6]],DIM_PRODUCTS[hts_6],DIM_PRODUCTS[hts_4],,,)</f>
        <v>8512</v>
      </c>
      <c r="I8422" t="str" cm="1">
        <f t="array" ref="I8422">_xlfn.XLOOKUP(FACT_IMPORTS[[#This Row],[country_name]],DIM_COUNTRY[[#All],[Column2]],DIM_COUNTRY[[#All],[Column3]],,,)</f>
        <v>Major_Non-USMCA_Non-China</v>
      </c>
    </row>
    <row r="8423" spans="1:9" x14ac:dyDescent="0.4">
      <c r="A8423" t="s">
        <v>71</v>
      </c>
      <c r="B8423" s="1">
        <v>45717</v>
      </c>
      <c r="C8423">
        <v>851230</v>
      </c>
      <c r="D8423" t="s">
        <v>176</v>
      </c>
      <c r="E8423">
        <v>12275</v>
      </c>
      <c r="F8423">
        <v>2095</v>
      </c>
      <c r="G8423">
        <v>421</v>
      </c>
      <c r="H8423">
        <f>_xlfn.XLOOKUP(FACT_IMPORTS[[#This Row],[hts_6]],DIM_PRODUCTS[hts_6],DIM_PRODUCTS[hts_4],,,)</f>
        <v>8512</v>
      </c>
      <c r="I8423" t="str" cm="1">
        <f t="array" ref="I8423">_xlfn.XLOOKUP(FACT_IMPORTS[[#This Row],[country_name]],DIM_COUNTRY[[#All],[Column2]],DIM_COUNTRY[[#All],[Column3]],,,)</f>
        <v>Major_Non-USMCA_Non-China</v>
      </c>
    </row>
    <row r="8424" spans="1:9" x14ac:dyDescent="0.4">
      <c r="A8424" t="s">
        <v>71</v>
      </c>
      <c r="B8424" s="1">
        <v>45717</v>
      </c>
      <c r="C8424">
        <v>851290</v>
      </c>
      <c r="D8424" t="s">
        <v>176</v>
      </c>
      <c r="E8424">
        <v>4923</v>
      </c>
      <c r="F8424">
        <v>123</v>
      </c>
      <c r="G8424">
        <v>455</v>
      </c>
      <c r="H8424">
        <f>_xlfn.XLOOKUP(FACT_IMPORTS[[#This Row],[hts_6]],DIM_PRODUCTS[hts_6],DIM_PRODUCTS[hts_4],,,)</f>
        <v>8512</v>
      </c>
      <c r="I8424" t="str" cm="1">
        <f t="array" ref="I8424">_xlfn.XLOOKUP(FACT_IMPORTS[[#This Row],[country_name]],DIM_COUNTRY[[#All],[Column2]],DIM_COUNTRY[[#All],[Column3]],,,)</f>
        <v>Major_Non-USMCA_Non-China</v>
      </c>
    </row>
    <row r="8425" spans="1:9" x14ac:dyDescent="0.4">
      <c r="A8425" t="s">
        <v>71</v>
      </c>
      <c r="B8425" s="1">
        <v>45717</v>
      </c>
      <c r="C8425">
        <v>854231</v>
      </c>
      <c r="D8425" t="s">
        <v>176</v>
      </c>
      <c r="E8425">
        <v>32888</v>
      </c>
      <c r="F8425">
        <v>3200</v>
      </c>
      <c r="G8425">
        <v>426</v>
      </c>
      <c r="H8425">
        <f>_xlfn.XLOOKUP(FACT_IMPORTS[[#This Row],[hts_6]],DIM_PRODUCTS[hts_6],DIM_PRODUCTS[hts_4],,,)</f>
        <v>8542</v>
      </c>
      <c r="I8425" t="str" cm="1">
        <f t="array" ref="I8425">_xlfn.XLOOKUP(FACT_IMPORTS[[#This Row],[country_name]],DIM_COUNTRY[[#All],[Column2]],DIM_COUNTRY[[#All],[Column3]],,,)</f>
        <v>Major_Non-USMCA_Non-China</v>
      </c>
    </row>
    <row r="8426" spans="1:9" x14ac:dyDescent="0.4">
      <c r="A8426" t="s">
        <v>71</v>
      </c>
      <c r="B8426" s="1">
        <v>45717</v>
      </c>
      <c r="C8426">
        <v>854232</v>
      </c>
      <c r="D8426" t="s">
        <v>176</v>
      </c>
      <c r="E8426">
        <v>13553</v>
      </c>
      <c r="F8426">
        <v>127</v>
      </c>
      <c r="G8426">
        <v>492</v>
      </c>
      <c r="H8426">
        <f>_xlfn.XLOOKUP(FACT_IMPORTS[[#This Row],[hts_6]],DIM_PRODUCTS[hts_6],DIM_PRODUCTS[hts_4],,,)</f>
        <v>8542</v>
      </c>
      <c r="I8426" t="str" cm="1">
        <f t="array" ref="I8426">_xlfn.XLOOKUP(FACT_IMPORTS[[#This Row],[country_name]],DIM_COUNTRY[[#All],[Column2]],DIM_COUNTRY[[#All],[Column3]],,,)</f>
        <v>Major_Non-USMCA_Non-China</v>
      </c>
    </row>
    <row r="8427" spans="1:9" x14ac:dyDescent="0.4">
      <c r="A8427" t="s">
        <v>71</v>
      </c>
      <c r="B8427" s="1">
        <v>45717</v>
      </c>
      <c r="C8427">
        <v>854239</v>
      </c>
      <c r="D8427" t="s">
        <v>176</v>
      </c>
      <c r="E8427">
        <v>21774</v>
      </c>
      <c r="F8427">
        <v>1890</v>
      </c>
      <c r="G8427">
        <v>2178</v>
      </c>
      <c r="H8427">
        <f>_xlfn.XLOOKUP(FACT_IMPORTS[[#This Row],[hts_6]],DIM_PRODUCTS[hts_6],DIM_PRODUCTS[hts_4],,,)</f>
        <v>8542</v>
      </c>
      <c r="I8427" t="str" cm="1">
        <f t="array" ref="I8427">_xlfn.XLOOKUP(FACT_IMPORTS[[#This Row],[country_name]],DIM_COUNTRY[[#All],[Column2]],DIM_COUNTRY[[#All],[Column3]],,,)</f>
        <v>Major_Non-USMCA_Non-China</v>
      </c>
    </row>
    <row r="8428" spans="1:9" x14ac:dyDescent="0.4">
      <c r="A8428" t="s">
        <v>71</v>
      </c>
      <c r="B8428" s="1">
        <v>45717</v>
      </c>
      <c r="C8428">
        <v>854290</v>
      </c>
      <c r="D8428" t="s">
        <v>176</v>
      </c>
      <c r="E8428">
        <v>7500</v>
      </c>
      <c r="F8428">
        <v>1</v>
      </c>
      <c r="G8428">
        <v>100</v>
      </c>
      <c r="H8428">
        <f>_xlfn.XLOOKUP(FACT_IMPORTS[[#This Row],[hts_6]],DIM_PRODUCTS[hts_6],DIM_PRODUCTS[hts_4],,,)</f>
        <v>8542</v>
      </c>
      <c r="I8428" t="str" cm="1">
        <f t="array" ref="I8428">_xlfn.XLOOKUP(FACT_IMPORTS[[#This Row],[country_name]],DIM_COUNTRY[[#All],[Column2]],DIM_COUNTRY[[#All],[Column3]],,,)</f>
        <v>Major_Non-USMCA_Non-China</v>
      </c>
    </row>
    <row r="8429" spans="1:9" x14ac:dyDescent="0.4">
      <c r="A8429" t="s">
        <v>71</v>
      </c>
      <c r="B8429" s="1">
        <v>45717</v>
      </c>
      <c r="C8429">
        <v>854430</v>
      </c>
      <c r="D8429" t="s">
        <v>176</v>
      </c>
      <c r="E8429">
        <v>0</v>
      </c>
      <c r="F8429">
        <v>0</v>
      </c>
      <c r="G8429">
        <v>0</v>
      </c>
      <c r="H8429">
        <f>_xlfn.XLOOKUP(FACT_IMPORTS[[#This Row],[hts_6]],DIM_PRODUCTS[hts_6],DIM_PRODUCTS[hts_4],,,)</f>
        <v>8544</v>
      </c>
      <c r="I8429" t="str" cm="1">
        <f t="array" ref="I8429">_xlfn.XLOOKUP(FACT_IMPORTS[[#This Row],[country_name]],DIM_COUNTRY[[#All],[Column2]],DIM_COUNTRY[[#All],[Column3]],,,)</f>
        <v>Major_Non-USMCA_Non-China</v>
      </c>
    </row>
    <row r="8430" spans="1:9" x14ac:dyDescent="0.4">
      <c r="A8430" t="s">
        <v>71</v>
      </c>
      <c r="B8430" s="1">
        <v>45717</v>
      </c>
      <c r="C8430">
        <v>870710</v>
      </c>
      <c r="D8430" t="s">
        <v>176</v>
      </c>
      <c r="E8430">
        <v>0</v>
      </c>
      <c r="F8430">
        <v>0</v>
      </c>
      <c r="G8430">
        <v>0</v>
      </c>
      <c r="H8430">
        <f>_xlfn.XLOOKUP(FACT_IMPORTS[[#This Row],[hts_6]],DIM_PRODUCTS[hts_6],DIM_PRODUCTS[hts_4],,,)</f>
        <v>8707</v>
      </c>
      <c r="I8430" t="str" cm="1">
        <f t="array" ref="I8430">_xlfn.XLOOKUP(FACT_IMPORTS[[#This Row],[country_name]],DIM_COUNTRY[[#All],[Column2]],DIM_COUNTRY[[#All],[Column3]],,,)</f>
        <v>Major_Non-USMCA_Non-China</v>
      </c>
    </row>
    <row r="8431" spans="1:9" x14ac:dyDescent="0.4">
      <c r="A8431" t="s">
        <v>71</v>
      </c>
      <c r="B8431" s="1">
        <v>45717</v>
      </c>
      <c r="C8431">
        <v>870790</v>
      </c>
      <c r="D8431" t="s">
        <v>176</v>
      </c>
      <c r="E8431">
        <v>0</v>
      </c>
      <c r="F8431">
        <v>0</v>
      </c>
      <c r="G8431">
        <v>0</v>
      </c>
      <c r="H8431">
        <f>_xlfn.XLOOKUP(FACT_IMPORTS[[#This Row],[hts_6]],DIM_PRODUCTS[hts_6],DIM_PRODUCTS[hts_4],,,)</f>
        <v>8707</v>
      </c>
      <c r="I8431" t="str" cm="1">
        <f t="array" ref="I8431">_xlfn.XLOOKUP(FACT_IMPORTS[[#This Row],[country_name]],DIM_COUNTRY[[#All],[Column2]],DIM_COUNTRY[[#All],[Column3]],,,)</f>
        <v>Major_Non-USMCA_Non-China</v>
      </c>
    </row>
    <row r="8432" spans="1:9" x14ac:dyDescent="0.4">
      <c r="A8432" t="s">
        <v>71</v>
      </c>
      <c r="B8432" s="1">
        <v>45717</v>
      </c>
      <c r="C8432">
        <v>870810</v>
      </c>
      <c r="D8432" t="s">
        <v>176</v>
      </c>
      <c r="E8432">
        <v>5514</v>
      </c>
      <c r="F8432">
        <v>44</v>
      </c>
      <c r="G8432">
        <v>0</v>
      </c>
      <c r="H8432">
        <f>_xlfn.XLOOKUP(FACT_IMPORTS[[#This Row],[hts_6]],DIM_PRODUCTS[hts_6],DIM_PRODUCTS[hts_4],,,)</f>
        <v>8708</v>
      </c>
      <c r="I8432" t="str" cm="1">
        <f t="array" ref="I8432">_xlfn.XLOOKUP(FACT_IMPORTS[[#This Row],[country_name]],DIM_COUNTRY[[#All],[Column2]],DIM_COUNTRY[[#All],[Column3]],,,)</f>
        <v>Major_Non-USMCA_Non-China</v>
      </c>
    </row>
    <row r="8433" spans="1:9" x14ac:dyDescent="0.4">
      <c r="A8433" t="s">
        <v>71</v>
      </c>
      <c r="B8433" s="1">
        <v>45717</v>
      </c>
      <c r="C8433">
        <v>870829</v>
      </c>
      <c r="D8433" t="s">
        <v>176</v>
      </c>
      <c r="E8433">
        <v>4195643</v>
      </c>
      <c r="F8433">
        <v>359577</v>
      </c>
      <c r="G8433">
        <v>140438</v>
      </c>
      <c r="H8433">
        <f>_xlfn.XLOOKUP(FACT_IMPORTS[[#This Row],[hts_6]],DIM_PRODUCTS[hts_6],DIM_PRODUCTS[hts_4],,,)</f>
        <v>8708</v>
      </c>
      <c r="I8433" t="str" cm="1">
        <f t="array" ref="I8433">_xlfn.XLOOKUP(FACT_IMPORTS[[#This Row],[country_name]],DIM_COUNTRY[[#All],[Column2]],DIM_COUNTRY[[#All],[Column3]],,,)</f>
        <v>Major_Non-USMCA_Non-China</v>
      </c>
    </row>
    <row r="8434" spans="1:9" x14ac:dyDescent="0.4">
      <c r="A8434" t="s">
        <v>71</v>
      </c>
      <c r="B8434" s="1">
        <v>45717</v>
      </c>
      <c r="C8434">
        <v>870830</v>
      </c>
      <c r="D8434" t="s">
        <v>176</v>
      </c>
      <c r="E8434">
        <v>695188</v>
      </c>
      <c r="F8434">
        <v>86475</v>
      </c>
      <c r="G8434">
        <v>6953</v>
      </c>
      <c r="H8434">
        <f>_xlfn.XLOOKUP(FACT_IMPORTS[[#This Row],[hts_6]],DIM_PRODUCTS[hts_6],DIM_PRODUCTS[hts_4],,,)</f>
        <v>8708</v>
      </c>
      <c r="I8434" t="str" cm="1">
        <f t="array" ref="I8434">_xlfn.XLOOKUP(FACT_IMPORTS[[#This Row],[country_name]],DIM_COUNTRY[[#All],[Column2]],DIM_COUNTRY[[#All],[Column3]],,,)</f>
        <v>Major_Non-USMCA_Non-China</v>
      </c>
    </row>
    <row r="8435" spans="1:9" x14ac:dyDescent="0.4">
      <c r="A8435" t="s">
        <v>71</v>
      </c>
      <c r="B8435" s="1">
        <v>45717</v>
      </c>
      <c r="C8435">
        <v>870840</v>
      </c>
      <c r="D8435" t="s">
        <v>176</v>
      </c>
      <c r="E8435">
        <v>3657056</v>
      </c>
      <c r="F8435">
        <v>3887</v>
      </c>
      <c r="G8435">
        <v>74801</v>
      </c>
      <c r="H8435">
        <f>_xlfn.XLOOKUP(FACT_IMPORTS[[#This Row],[hts_6]],DIM_PRODUCTS[hts_6],DIM_PRODUCTS[hts_4],,,)</f>
        <v>8708</v>
      </c>
      <c r="I8435" t="str" cm="1">
        <f t="array" ref="I8435">_xlfn.XLOOKUP(FACT_IMPORTS[[#This Row],[country_name]],DIM_COUNTRY[[#All],[Column2]],DIM_COUNTRY[[#All],[Column3]],,,)</f>
        <v>Major_Non-USMCA_Non-China</v>
      </c>
    </row>
    <row r="8436" spans="1:9" x14ac:dyDescent="0.4">
      <c r="A8436" t="s">
        <v>71</v>
      </c>
      <c r="B8436" s="1">
        <v>45717</v>
      </c>
      <c r="C8436">
        <v>870850</v>
      </c>
      <c r="D8436" t="s">
        <v>176</v>
      </c>
      <c r="E8436">
        <v>30304</v>
      </c>
      <c r="F8436">
        <v>82</v>
      </c>
      <c r="G8436">
        <v>357</v>
      </c>
      <c r="H8436">
        <f>_xlfn.XLOOKUP(FACT_IMPORTS[[#This Row],[hts_6]],DIM_PRODUCTS[hts_6],DIM_PRODUCTS[hts_4],,,)</f>
        <v>8708</v>
      </c>
      <c r="I8436" t="str" cm="1">
        <f t="array" ref="I8436">_xlfn.XLOOKUP(FACT_IMPORTS[[#This Row],[country_name]],DIM_COUNTRY[[#All],[Column2]],DIM_COUNTRY[[#All],[Column3]],,,)</f>
        <v>Major_Non-USMCA_Non-China</v>
      </c>
    </row>
    <row r="8437" spans="1:9" x14ac:dyDescent="0.4">
      <c r="A8437" t="s">
        <v>71</v>
      </c>
      <c r="B8437" s="1">
        <v>45717</v>
      </c>
      <c r="C8437">
        <v>870870</v>
      </c>
      <c r="D8437" t="s">
        <v>176</v>
      </c>
      <c r="E8437">
        <v>8230</v>
      </c>
      <c r="F8437">
        <v>192</v>
      </c>
      <c r="G8437">
        <v>191</v>
      </c>
      <c r="H8437">
        <f>_xlfn.XLOOKUP(FACT_IMPORTS[[#This Row],[hts_6]],DIM_PRODUCTS[hts_6],DIM_PRODUCTS[hts_4],,,)</f>
        <v>8708</v>
      </c>
      <c r="I8437" t="str" cm="1">
        <f t="array" ref="I8437">_xlfn.XLOOKUP(FACT_IMPORTS[[#This Row],[country_name]],DIM_COUNTRY[[#All],[Column2]],DIM_COUNTRY[[#All],[Column3]],,,)</f>
        <v>Major_Non-USMCA_Non-China</v>
      </c>
    </row>
    <row r="8438" spans="1:9" x14ac:dyDescent="0.4">
      <c r="A8438" t="s">
        <v>71</v>
      </c>
      <c r="B8438" s="1">
        <v>45717</v>
      </c>
      <c r="C8438">
        <v>870880</v>
      </c>
      <c r="D8438" t="s">
        <v>176</v>
      </c>
      <c r="E8438">
        <v>436868</v>
      </c>
      <c r="F8438">
        <v>14690</v>
      </c>
      <c r="G8438">
        <v>42202</v>
      </c>
      <c r="H8438">
        <f>_xlfn.XLOOKUP(FACT_IMPORTS[[#This Row],[hts_6]],DIM_PRODUCTS[hts_6],DIM_PRODUCTS[hts_4],,,)</f>
        <v>8708</v>
      </c>
      <c r="I8438" t="str" cm="1">
        <f t="array" ref="I8438">_xlfn.XLOOKUP(FACT_IMPORTS[[#This Row],[country_name]],DIM_COUNTRY[[#All],[Column2]],DIM_COUNTRY[[#All],[Column3]],,,)</f>
        <v>Major_Non-USMCA_Non-China</v>
      </c>
    </row>
    <row r="8439" spans="1:9" x14ac:dyDescent="0.4">
      <c r="A8439" t="s">
        <v>71</v>
      </c>
      <c r="B8439" s="1">
        <v>45717</v>
      </c>
      <c r="C8439">
        <v>870891</v>
      </c>
      <c r="D8439" t="s">
        <v>176</v>
      </c>
      <c r="E8439">
        <v>71223</v>
      </c>
      <c r="F8439">
        <v>57773</v>
      </c>
      <c r="G8439">
        <v>4000</v>
      </c>
      <c r="H8439">
        <f>_xlfn.XLOOKUP(FACT_IMPORTS[[#This Row],[hts_6]],DIM_PRODUCTS[hts_6],DIM_PRODUCTS[hts_4],,,)</f>
        <v>8708</v>
      </c>
      <c r="I8439" t="str" cm="1">
        <f t="array" ref="I8439">_xlfn.XLOOKUP(FACT_IMPORTS[[#This Row],[country_name]],DIM_COUNTRY[[#All],[Column2]],DIM_COUNTRY[[#All],[Column3]],,,)</f>
        <v>Major_Non-USMCA_Non-China</v>
      </c>
    </row>
    <row r="8440" spans="1:9" x14ac:dyDescent="0.4">
      <c r="A8440" t="s">
        <v>71</v>
      </c>
      <c r="B8440" s="1">
        <v>45717</v>
      </c>
      <c r="C8440">
        <v>870892</v>
      </c>
      <c r="D8440" t="s">
        <v>176</v>
      </c>
      <c r="E8440">
        <v>4882</v>
      </c>
      <c r="F8440">
        <v>6</v>
      </c>
      <c r="G8440">
        <v>150</v>
      </c>
      <c r="H8440">
        <f>_xlfn.XLOOKUP(FACT_IMPORTS[[#This Row],[hts_6]],DIM_PRODUCTS[hts_6],DIM_PRODUCTS[hts_4],,,)</f>
        <v>8708</v>
      </c>
      <c r="I8440" t="str" cm="1">
        <f t="array" ref="I8440">_xlfn.XLOOKUP(FACT_IMPORTS[[#This Row],[country_name]],DIM_COUNTRY[[#All],[Column2]],DIM_COUNTRY[[#All],[Column3]],,,)</f>
        <v>Major_Non-USMCA_Non-China</v>
      </c>
    </row>
    <row r="8441" spans="1:9" x14ac:dyDescent="0.4">
      <c r="A8441" t="s">
        <v>71</v>
      </c>
      <c r="B8441" s="1">
        <v>45717</v>
      </c>
      <c r="C8441">
        <v>870893</v>
      </c>
      <c r="D8441" t="s">
        <v>176</v>
      </c>
      <c r="E8441">
        <v>706712</v>
      </c>
      <c r="F8441">
        <v>56155</v>
      </c>
      <c r="G8441">
        <v>18891</v>
      </c>
      <c r="H8441">
        <f>_xlfn.XLOOKUP(FACT_IMPORTS[[#This Row],[hts_6]],DIM_PRODUCTS[hts_6],DIM_PRODUCTS[hts_4],,,)</f>
        <v>8708</v>
      </c>
      <c r="I8441" t="str" cm="1">
        <f t="array" ref="I8441">_xlfn.XLOOKUP(FACT_IMPORTS[[#This Row],[country_name]],DIM_COUNTRY[[#All],[Column2]],DIM_COUNTRY[[#All],[Column3]],,,)</f>
        <v>Major_Non-USMCA_Non-China</v>
      </c>
    </row>
    <row r="8442" spans="1:9" x14ac:dyDescent="0.4">
      <c r="A8442" t="s">
        <v>71</v>
      </c>
      <c r="B8442" s="1">
        <v>45717</v>
      </c>
      <c r="C8442">
        <v>870894</v>
      </c>
      <c r="D8442" t="s">
        <v>176</v>
      </c>
      <c r="E8442">
        <v>150333</v>
      </c>
      <c r="F8442">
        <v>4164</v>
      </c>
      <c r="G8442">
        <v>2103</v>
      </c>
      <c r="H8442">
        <f>_xlfn.XLOOKUP(FACT_IMPORTS[[#This Row],[hts_6]],DIM_PRODUCTS[hts_6],DIM_PRODUCTS[hts_4],,,)</f>
        <v>8708</v>
      </c>
      <c r="I8442" t="str" cm="1">
        <f t="array" ref="I8442">_xlfn.XLOOKUP(FACT_IMPORTS[[#This Row],[country_name]],DIM_COUNTRY[[#All],[Column2]],DIM_COUNTRY[[#All],[Column3]],,,)</f>
        <v>Major_Non-USMCA_Non-China</v>
      </c>
    </row>
    <row r="8443" spans="1:9" x14ac:dyDescent="0.4">
      <c r="A8443" t="s">
        <v>71</v>
      </c>
      <c r="B8443" s="1">
        <v>45717</v>
      </c>
      <c r="C8443">
        <v>870895</v>
      </c>
      <c r="D8443" t="s">
        <v>176</v>
      </c>
      <c r="E8443">
        <v>4435</v>
      </c>
      <c r="F8443">
        <v>11</v>
      </c>
      <c r="G8443">
        <v>600</v>
      </c>
      <c r="H8443">
        <f>_xlfn.XLOOKUP(FACT_IMPORTS[[#This Row],[hts_6]],DIM_PRODUCTS[hts_6],DIM_PRODUCTS[hts_4],,,)</f>
        <v>8708</v>
      </c>
      <c r="I8443" t="str" cm="1">
        <f t="array" ref="I8443">_xlfn.XLOOKUP(FACT_IMPORTS[[#This Row],[country_name]],DIM_COUNTRY[[#All],[Column2]],DIM_COUNTRY[[#All],[Column3]],,,)</f>
        <v>Major_Non-USMCA_Non-China</v>
      </c>
    </row>
    <row r="8444" spans="1:9" x14ac:dyDescent="0.4">
      <c r="A8444" t="s">
        <v>71</v>
      </c>
      <c r="B8444" s="1">
        <v>45717</v>
      </c>
      <c r="C8444">
        <v>870899</v>
      </c>
      <c r="D8444" t="s">
        <v>176</v>
      </c>
      <c r="E8444">
        <v>1967774</v>
      </c>
      <c r="F8444">
        <v>1099364</v>
      </c>
      <c r="G8444">
        <v>44266</v>
      </c>
      <c r="H8444">
        <f>_xlfn.XLOOKUP(FACT_IMPORTS[[#This Row],[hts_6]],DIM_PRODUCTS[hts_6],DIM_PRODUCTS[hts_4],,,)</f>
        <v>8708</v>
      </c>
      <c r="I8444" t="str" cm="1">
        <f t="array" ref="I8444">_xlfn.XLOOKUP(FACT_IMPORTS[[#This Row],[country_name]],DIM_COUNTRY[[#All],[Column2]],DIM_COUNTRY[[#All],[Column3]],,,)</f>
        <v>Major_Non-USMCA_Non-China</v>
      </c>
    </row>
    <row r="8445" spans="1:9" x14ac:dyDescent="0.4">
      <c r="A8445" t="s">
        <v>71</v>
      </c>
      <c r="B8445" s="1">
        <v>45717</v>
      </c>
      <c r="C8445">
        <v>940120</v>
      </c>
      <c r="D8445" t="s">
        <v>176</v>
      </c>
      <c r="E8445">
        <v>0</v>
      </c>
      <c r="F8445">
        <v>0</v>
      </c>
      <c r="G8445">
        <v>0</v>
      </c>
      <c r="H8445">
        <f>_xlfn.XLOOKUP(FACT_IMPORTS[[#This Row],[hts_6]],DIM_PRODUCTS[hts_6],DIM_PRODUCTS[hts_4],,,)</f>
        <v>9401</v>
      </c>
      <c r="I8445" t="str" cm="1">
        <f t="array" ref="I8445">_xlfn.XLOOKUP(FACT_IMPORTS[[#This Row],[country_name]],DIM_COUNTRY[[#All],[Column2]],DIM_COUNTRY[[#All],[Column3]],,,)</f>
        <v>Major_Non-USMCA_Non-China</v>
      </c>
    </row>
    <row r="8446" spans="1:9" x14ac:dyDescent="0.4">
      <c r="A8446" t="s">
        <v>71</v>
      </c>
      <c r="B8446" s="1">
        <v>45748</v>
      </c>
      <c r="C8446">
        <v>392630</v>
      </c>
      <c r="D8446" t="s">
        <v>176</v>
      </c>
      <c r="E8446">
        <v>0</v>
      </c>
      <c r="F8446">
        <v>0</v>
      </c>
      <c r="G8446">
        <v>0</v>
      </c>
      <c r="H8446">
        <f>_xlfn.XLOOKUP(FACT_IMPORTS[[#This Row],[hts_6]],DIM_PRODUCTS[hts_6],DIM_PRODUCTS[hts_4],,,)</f>
        <v>3926</v>
      </c>
      <c r="I8446" t="str" cm="1">
        <f t="array" ref="I8446">_xlfn.XLOOKUP(FACT_IMPORTS[[#This Row],[country_name]],DIM_COUNTRY[[#All],[Column2]],DIM_COUNTRY[[#All],[Column3]],,,)</f>
        <v>Major_Non-USMCA_Non-China</v>
      </c>
    </row>
    <row r="8447" spans="1:9" x14ac:dyDescent="0.4">
      <c r="A8447" t="s">
        <v>71</v>
      </c>
      <c r="B8447" s="1">
        <v>45748</v>
      </c>
      <c r="C8447">
        <v>401110</v>
      </c>
      <c r="D8447" t="s">
        <v>176</v>
      </c>
      <c r="E8447">
        <v>808</v>
      </c>
      <c r="F8447">
        <v>4</v>
      </c>
      <c r="G8447">
        <v>20</v>
      </c>
      <c r="H8447">
        <f>_xlfn.XLOOKUP(FACT_IMPORTS[[#This Row],[hts_6]],DIM_PRODUCTS[hts_6],DIM_PRODUCTS[hts_4],,,)</f>
        <v>4011</v>
      </c>
      <c r="I8447" t="str" cm="1">
        <f t="array" ref="I8447">_xlfn.XLOOKUP(FACT_IMPORTS[[#This Row],[country_name]],DIM_COUNTRY[[#All],[Column2]],DIM_COUNTRY[[#All],[Column3]],,,)</f>
        <v>Major_Non-USMCA_Non-China</v>
      </c>
    </row>
    <row r="8448" spans="1:9" x14ac:dyDescent="0.4">
      <c r="A8448" t="s">
        <v>71</v>
      </c>
      <c r="B8448" s="1">
        <v>45748</v>
      </c>
      <c r="C8448">
        <v>401120</v>
      </c>
      <c r="D8448" t="s">
        <v>176</v>
      </c>
      <c r="E8448">
        <v>41614</v>
      </c>
      <c r="F8448">
        <v>220</v>
      </c>
      <c r="G8448">
        <v>2522</v>
      </c>
      <c r="H8448">
        <f>_xlfn.XLOOKUP(FACT_IMPORTS[[#This Row],[hts_6]],DIM_PRODUCTS[hts_6],DIM_PRODUCTS[hts_4],,,)</f>
        <v>4011</v>
      </c>
      <c r="I8448" t="str" cm="1">
        <f t="array" ref="I8448">_xlfn.XLOOKUP(FACT_IMPORTS[[#This Row],[country_name]],DIM_COUNTRY[[#All],[Column2]],DIM_COUNTRY[[#All],[Column3]],,,)</f>
        <v>Major_Non-USMCA_Non-China</v>
      </c>
    </row>
    <row r="8449" spans="1:9" x14ac:dyDescent="0.4">
      <c r="A8449" t="s">
        <v>71</v>
      </c>
      <c r="B8449" s="1">
        <v>45748</v>
      </c>
      <c r="C8449">
        <v>401190</v>
      </c>
      <c r="D8449" t="s">
        <v>176</v>
      </c>
      <c r="E8449">
        <v>0</v>
      </c>
      <c r="F8449">
        <v>0</v>
      </c>
      <c r="G8449">
        <v>0</v>
      </c>
      <c r="H8449">
        <f>_xlfn.XLOOKUP(FACT_IMPORTS[[#This Row],[hts_6]],DIM_PRODUCTS[hts_6],DIM_PRODUCTS[hts_4],,,)</f>
        <v>4011</v>
      </c>
      <c r="I8449" t="str" cm="1">
        <f t="array" ref="I8449">_xlfn.XLOOKUP(FACT_IMPORTS[[#This Row],[country_name]],DIM_COUNTRY[[#All],[Column2]],DIM_COUNTRY[[#All],[Column3]],,,)</f>
        <v>Major_Non-USMCA_Non-China</v>
      </c>
    </row>
    <row r="8450" spans="1:9" x14ac:dyDescent="0.4">
      <c r="A8450" t="s">
        <v>71</v>
      </c>
      <c r="B8450" s="1">
        <v>45748</v>
      </c>
      <c r="C8450">
        <v>700711</v>
      </c>
      <c r="D8450" t="s">
        <v>176</v>
      </c>
      <c r="E8450">
        <v>0</v>
      </c>
      <c r="F8450">
        <v>0</v>
      </c>
      <c r="G8450">
        <v>0</v>
      </c>
      <c r="H8450">
        <f>_xlfn.XLOOKUP(FACT_IMPORTS[[#This Row],[hts_6]],DIM_PRODUCTS[hts_6],DIM_PRODUCTS[hts_4],,,)</f>
        <v>7007</v>
      </c>
      <c r="I8450" t="str" cm="1">
        <f t="array" ref="I8450">_xlfn.XLOOKUP(FACT_IMPORTS[[#This Row],[country_name]],DIM_COUNTRY[[#All],[Column2]],DIM_COUNTRY[[#All],[Column3]],,,)</f>
        <v>Major_Non-USMCA_Non-China</v>
      </c>
    </row>
    <row r="8451" spans="1:9" x14ac:dyDescent="0.4">
      <c r="A8451" t="s">
        <v>71</v>
      </c>
      <c r="B8451" s="1">
        <v>45748</v>
      </c>
      <c r="C8451">
        <v>700721</v>
      </c>
      <c r="D8451" t="s">
        <v>176</v>
      </c>
      <c r="E8451">
        <v>0</v>
      </c>
      <c r="F8451">
        <v>0</v>
      </c>
      <c r="G8451">
        <v>0</v>
      </c>
      <c r="H8451">
        <f>_xlfn.XLOOKUP(FACT_IMPORTS[[#This Row],[hts_6]],DIM_PRODUCTS[hts_6],DIM_PRODUCTS[hts_4],,,)</f>
        <v>7007</v>
      </c>
      <c r="I8451" t="str" cm="1">
        <f t="array" ref="I8451">_xlfn.XLOOKUP(FACT_IMPORTS[[#This Row],[country_name]],DIM_COUNTRY[[#All],[Column2]],DIM_COUNTRY[[#All],[Column3]],,,)</f>
        <v>Major_Non-USMCA_Non-China</v>
      </c>
    </row>
    <row r="8452" spans="1:9" x14ac:dyDescent="0.4">
      <c r="A8452" t="s">
        <v>71</v>
      </c>
      <c r="B8452" s="1">
        <v>45748</v>
      </c>
      <c r="C8452">
        <v>700910</v>
      </c>
      <c r="D8452" t="s">
        <v>176</v>
      </c>
      <c r="E8452">
        <v>0</v>
      </c>
      <c r="F8452">
        <v>0</v>
      </c>
      <c r="G8452">
        <v>0</v>
      </c>
      <c r="H8452">
        <f>_xlfn.XLOOKUP(FACT_IMPORTS[[#This Row],[hts_6]],DIM_PRODUCTS[hts_6],DIM_PRODUCTS[hts_4],,,)</f>
        <v>7009</v>
      </c>
      <c r="I8452" t="str" cm="1">
        <f t="array" ref="I8452">_xlfn.XLOOKUP(FACT_IMPORTS[[#This Row],[country_name]],DIM_COUNTRY[[#All],[Column2]],DIM_COUNTRY[[#All],[Column3]],,,)</f>
        <v>Major_Non-USMCA_Non-China</v>
      </c>
    </row>
    <row r="8453" spans="1:9" x14ac:dyDescent="0.4">
      <c r="A8453" t="s">
        <v>71</v>
      </c>
      <c r="B8453" s="1">
        <v>45748</v>
      </c>
      <c r="C8453">
        <v>830230</v>
      </c>
      <c r="D8453" t="s">
        <v>176</v>
      </c>
      <c r="E8453">
        <v>12639</v>
      </c>
      <c r="F8453">
        <v>2630</v>
      </c>
      <c r="G8453">
        <v>290</v>
      </c>
      <c r="H8453">
        <f>_xlfn.XLOOKUP(FACT_IMPORTS[[#This Row],[hts_6]],DIM_PRODUCTS[hts_6],DIM_PRODUCTS[hts_4],,,)</f>
        <v>8302</v>
      </c>
      <c r="I8453" t="str" cm="1">
        <f t="array" ref="I8453">_xlfn.XLOOKUP(FACT_IMPORTS[[#This Row],[country_name]],DIM_COUNTRY[[#All],[Column2]],DIM_COUNTRY[[#All],[Column3]],,,)</f>
        <v>Major_Non-USMCA_Non-China</v>
      </c>
    </row>
    <row r="8454" spans="1:9" x14ac:dyDescent="0.4">
      <c r="A8454" t="s">
        <v>71</v>
      </c>
      <c r="B8454" s="1">
        <v>45748</v>
      </c>
      <c r="C8454">
        <v>840732</v>
      </c>
      <c r="D8454" t="s">
        <v>176</v>
      </c>
      <c r="E8454">
        <v>0</v>
      </c>
      <c r="F8454">
        <v>0</v>
      </c>
      <c r="G8454">
        <v>0</v>
      </c>
      <c r="H8454">
        <f>_xlfn.XLOOKUP(FACT_IMPORTS[[#This Row],[hts_6]],DIM_PRODUCTS[hts_6],DIM_PRODUCTS[hts_4],,,)</f>
        <v>8407</v>
      </c>
      <c r="I8454" t="str" cm="1">
        <f t="array" ref="I8454">_xlfn.XLOOKUP(FACT_IMPORTS[[#This Row],[country_name]],DIM_COUNTRY[[#All],[Column2]],DIM_COUNTRY[[#All],[Column3]],,,)</f>
        <v>Major_Non-USMCA_Non-China</v>
      </c>
    </row>
    <row r="8455" spans="1:9" x14ac:dyDescent="0.4">
      <c r="A8455" t="s">
        <v>71</v>
      </c>
      <c r="B8455" s="1">
        <v>45748</v>
      </c>
      <c r="C8455">
        <v>840733</v>
      </c>
      <c r="D8455" t="s">
        <v>176</v>
      </c>
      <c r="E8455">
        <v>0</v>
      </c>
      <c r="F8455">
        <v>0</v>
      </c>
      <c r="G8455">
        <v>0</v>
      </c>
      <c r="H8455">
        <f>_xlfn.XLOOKUP(FACT_IMPORTS[[#This Row],[hts_6]],DIM_PRODUCTS[hts_6],DIM_PRODUCTS[hts_4],,,)</f>
        <v>8407</v>
      </c>
      <c r="I8455" t="str" cm="1">
        <f t="array" ref="I8455">_xlfn.XLOOKUP(FACT_IMPORTS[[#This Row],[country_name]],DIM_COUNTRY[[#All],[Column2]],DIM_COUNTRY[[#All],[Column3]],,,)</f>
        <v>Major_Non-USMCA_Non-China</v>
      </c>
    </row>
    <row r="8456" spans="1:9" x14ac:dyDescent="0.4">
      <c r="A8456" t="s">
        <v>71</v>
      </c>
      <c r="B8456" s="1">
        <v>45748</v>
      </c>
      <c r="C8456">
        <v>840734</v>
      </c>
      <c r="D8456" t="s">
        <v>176</v>
      </c>
      <c r="E8456">
        <v>6310</v>
      </c>
      <c r="F8456">
        <v>2</v>
      </c>
      <c r="G8456">
        <v>300</v>
      </c>
      <c r="H8456">
        <f>_xlfn.XLOOKUP(FACT_IMPORTS[[#This Row],[hts_6]],DIM_PRODUCTS[hts_6],DIM_PRODUCTS[hts_4],,,)</f>
        <v>8407</v>
      </c>
      <c r="I8456" t="str" cm="1">
        <f t="array" ref="I8456">_xlfn.XLOOKUP(FACT_IMPORTS[[#This Row],[country_name]],DIM_COUNTRY[[#All],[Column2]],DIM_COUNTRY[[#All],[Column3]],,,)</f>
        <v>Major_Non-USMCA_Non-China</v>
      </c>
    </row>
    <row r="8457" spans="1:9" x14ac:dyDescent="0.4">
      <c r="A8457" t="s">
        <v>71</v>
      </c>
      <c r="B8457" s="1">
        <v>45748</v>
      </c>
      <c r="C8457">
        <v>840790</v>
      </c>
      <c r="D8457" t="s">
        <v>176</v>
      </c>
      <c r="E8457">
        <v>2661</v>
      </c>
      <c r="F8457">
        <v>1</v>
      </c>
      <c r="G8457">
        <v>6</v>
      </c>
      <c r="H8457">
        <f>_xlfn.XLOOKUP(FACT_IMPORTS[[#This Row],[hts_6]],DIM_PRODUCTS[hts_6],DIM_PRODUCTS[hts_4],,,)</f>
        <v>8407</v>
      </c>
      <c r="I8457" t="str" cm="1">
        <f t="array" ref="I8457">_xlfn.XLOOKUP(FACT_IMPORTS[[#This Row],[country_name]],DIM_COUNTRY[[#All],[Column2]],DIM_COUNTRY[[#All],[Column3]],,,)</f>
        <v>Major_Non-USMCA_Non-China</v>
      </c>
    </row>
    <row r="8458" spans="1:9" x14ac:dyDescent="0.4">
      <c r="A8458" t="s">
        <v>71</v>
      </c>
      <c r="B8458" s="1">
        <v>45748</v>
      </c>
      <c r="C8458">
        <v>840820</v>
      </c>
      <c r="D8458" t="s">
        <v>176</v>
      </c>
      <c r="E8458">
        <v>0</v>
      </c>
      <c r="F8458">
        <v>0</v>
      </c>
      <c r="G8458">
        <v>0</v>
      </c>
      <c r="H8458">
        <f>_xlfn.XLOOKUP(FACT_IMPORTS[[#This Row],[hts_6]],DIM_PRODUCTS[hts_6],DIM_PRODUCTS[hts_4],,,)</f>
        <v>8408</v>
      </c>
      <c r="I8458" t="str" cm="1">
        <f t="array" ref="I8458">_xlfn.XLOOKUP(FACT_IMPORTS[[#This Row],[country_name]],DIM_COUNTRY[[#All],[Column2]],DIM_COUNTRY[[#All],[Column3]],,,)</f>
        <v>Major_Non-USMCA_Non-China</v>
      </c>
    </row>
    <row r="8459" spans="1:9" x14ac:dyDescent="0.4">
      <c r="A8459" t="s">
        <v>71</v>
      </c>
      <c r="B8459" s="1">
        <v>45748</v>
      </c>
      <c r="C8459">
        <v>840890</v>
      </c>
      <c r="D8459" t="s">
        <v>176</v>
      </c>
      <c r="E8459">
        <v>20010</v>
      </c>
      <c r="F8459">
        <v>3</v>
      </c>
      <c r="G8459">
        <v>307</v>
      </c>
      <c r="H8459">
        <f>_xlfn.XLOOKUP(FACT_IMPORTS[[#This Row],[hts_6]],DIM_PRODUCTS[hts_6],DIM_PRODUCTS[hts_4],,,)</f>
        <v>8408</v>
      </c>
      <c r="I8459" t="str" cm="1">
        <f t="array" ref="I8459">_xlfn.XLOOKUP(FACT_IMPORTS[[#This Row],[country_name]],DIM_COUNTRY[[#All],[Column2]],DIM_COUNTRY[[#All],[Column3]],,,)</f>
        <v>Major_Non-USMCA_Non-China</v>
      </c>
    </row>
    <row r="8460" spans="1:9" x14ac:dyDescent="0.4">
      <c r="A8460" t="s">
        <v>71</v>
      </c>
      <c r="B8460" s="1">
        <v>45748</v>
      </c>
      <c r="C8460">
        <v>840991</v>
      </c>
      <c r="D8460" t="s">
        <v>176</v>
      </c>
      <c r="E8460">
        <v>7798575</v>
      </c>
      <c r="F8460">
        <v>565885</v>
      </c>
      <c r="G8460">
        <v>165691</v>
      </c>
      <c r="H8460">
        <f>_xlfn.XLOOKUP(FACT_IMPORTS[[#This Row],[hts_6]],DIM_PRODUCTS[hts_6],DIM_PRODUCTS[hts_4],,,)</f>
        <v>8409</v>
      </c>
      <c r="I8460" t="str" cm="1">
        <f t="array" ref="I8460">_xlfn.XLOOKUP(FACT_IMPORTS[[#This Row],[country_name]],DIM_COUNTRY[[#All],[Column2]],DIM_COUNTRY[[#All],[Column3]],,,)</f>
        <v>Major_Non-USMCA_Non-China</v>
      </c>
    </row>
    <row r="8461" spans="1:9" x14ac:dyDescent="0.4">
      <c r="A8461" t="s">
        <v>71</v>
      </c>
      <c r="B8461" s="1">
        <v>45748</v>
      </c>
      <c r="C8461">
        <v>840999</v>
      </c>
      <c r="D8461" t="s">
        <v>176</v>
      </c>
      <c r="E8461">
        <v>408179</v>
      </c>
      <c r="F8461">
        <v>51158</v>
      </c>
      <c r="G8461">
        <v>787</v>
      </c>
      <c r="H8461">
        <f>_xlfn.XLOOKUP(FACT_IMPORTS[[#This Row],[hts_6]],DIM_PRODUCTS[hts_6],DIM_PRODUCTS[hts_4],,,)</f>
        <v>8409</v>
      </c>
      <c r="I8461" t="str" cm="1">
        <f t="array" ref="I8461">_xlfn.XLOOKUP(FACT_IMPORTS[[#This Row],[country_name]],DIM_COUNTRY[[#All],[Column2]],DIM_COUNTRY[[#All],[Column3]],,,)</f>
        <v>Major_Non-USMCA_Non-China</v>
      </c>
    </row>
    <row r="8462" spans="1:9" x14ac:dyDescent="0.4">
      <c r="A8462" t="s">
        <v>71</v>
      </c>
      <c r="B8462" s="1">
        <v>45748</v>
      </c>
      <c r="C8462">
        <v>841330</v>
      </c>
      <c r="D8462" t="s">
        <v>176</v>
      </c>
      <c r="E8462">
        <v>348215</v>
      </c>
      <c r="F8462">
        <v>15934</v>
      </c>
      <c r="G8462">
        <v>4336</v>
      </c>
      <c r="H8462">
        <f>_xlfn.XLOOKUP(FACT_IMPORTS[[#This Row],[hts_6]],DIM_PRODUCTS[hts_6],DIM_PRODUCTS[hts_4],,,)</f>
        <v>8413</v>
      </c>
      <c r="I8462" t="str" cm="1">
        <f t="array" ref="I8462">_xlfn.XLOOKUP(FACT_IMPORTS[[#This Row],[country_name]],DIM_COUNTRY[[#All],[Column2]],DIM_COUNTRY[[#All],[Column3]],,,)</f>
        <v>Major_Non-USMCA_Non-China</v>
      </c>
    </row>
    <row r="8463" spans="1:9" x14ac:dyDescent="0.4">
      <c r="A8463" t="s">
        <v>71</v>
      </c>
      <c r="B8463" s="1">
        <v>45748</v>
      </c>
      <c r="C8463">
        <v>841520</v>
      </c>
      <c r="D8463" t="s">
        <v>176</v>
      </c>
      <c r="E8463">
        <v>0</v>
      </c>
      <c r="F8463">
        <v>0</v>
      </c>
      <c r="G8463">
        <v>0</v>
      </c>
      <c r="H8463">
        <f>_xlfn.XLOOKUP(FACT_IMPORTS[[#This Row],[hts_6]],DIM_PRODUCTS[hts_6],DIM_PRODUCTS[hts_4],,,)</f>
        <v>8415</v>
      </c>
      <c r="I8463" t="str" cm="1">
        <f t="array" ref="I8463">_xlfn.XLOOKUP(FACT_IMPORTS[[#This Row],[country_name]],DIM_COUNTRY[[#All],[Column2]],DIM_COUNTRY[[#All],[Column3]],,,)</f>
        <v>Major_Non-USMCA_Non-China</v>
      </c>
    </row>
    <row r="8464" spans="1:9" x14ac:dyDescent="0.4">
      <c r="A8464" t="s">
        <v>71</v>
      </c>
      <c r="B8464" s="1">
        <v>45748</v>
      </c>
      <c r="C8464">
        <v>842132</v>
      </c>
      <c r="D8464" t="s">
        <v>176</v>
      </c>
      <c r="E8464">
        <v>22312</v>
      </c>
      <c r="F8464">
        <v>25</v>
      </c>
      <c r="G8464">
        <v>1532</v>
      </c>
      <c r="H8464">
        <f>_xlfn.XLOOKUP(FACT_IMPORTS[[#This Row],[hts_6]],DIM_PRODUCTS[hts_6],DIM_PRODUCTS[hts_4],,,)</f>
        <v>8421</v>
      </c>
      <c r="I8464" t="str" cm="1">
        <f t="array" ref="I8464">_xlfn.XLOOKUP(FACT_IMPORTS[[#This Row],[country_name]],DIM_COUNTRY[[#All],[Column2]],DIM_COUNTRY[[#All],[Column3]],,,)</f>
        <v>Major_Non-USMCA_Non-China</v>
      </c>
    </row>
    <row r="8465" spans="1:9" x14ac:dyDescent="0.4">
      <c r="A8465" t="s">
        <v>71</v>
      </c>
      <c r="B8465" s="1">
        <v>45748</v>
      </c>
      <c r="C8465">
        <v>848210</v>
      </c>
      <c r="D8465" t="s">
        <v>176</v>
      </c>
      <c r="E8465">
        <v>16269</v>
      </c>
      <c r="F8465">
        <v>234</v>
      </c>
      <c r="G8465">
        <v>700</v>
      </c>
      <c r="H8465">
        <f>_xlfn.XLOOKUP(FACT_IMPORTS[[#This Row],[hts_6]],DIM_PRODUCTS[hts_6],DIM_PRODUCTS[hts_4],,,)</f>
        <v>8482</v>
      </c>
      <c r="I8465" t="str" cm="1">
        <f t="array" ref="I8465">_xlfn.XLOOKUP(FACT_IMPORTS[[#This Row],[country_name]],DIM_COUNTRY[[#All],[Column2]],DIM_COUNTRY[[#All],[Column3]],,,)</f>
        <v>Major_Non-USMCA_Non-China</v>
      </c>
    </row>
    <row r="8466" spans="1:9" x14ac:dyDescent="0.4">
      <c r="A8466" t="s">
        <v>71</v>
      </c>
      <c r="B8466" s="1">
        <v>45748</v>
      </c>
      <c r="C8466">
        <v>848220</v>
      </c>
      <c r="D8466" t="s">
        <v>176</v>
      </c>
      <c r="E8466">
        <v>267211</v>
      </c>
      <c r="F8466">
        <v>17201</v>
      </c>
      <c r="G8466">
        <v>3138</v>
      </c>
      <c r="H8466">
        <f>_xlfn.XLOOKUP(FACT_IMPORTS[[#This Row],[hts_6]],DIM_PRODUCTS[hts_6],DIM_PRODUCTS[hts_4],,,)</f>
        <v>8482</v>
      </c>
      <c r="I8466" t="str" cm="1">
        <f t="array" ref="I8466">_xlfn.XLOOKUP(FACT_IMPORTS[[#This Row],[country_name]],DIM_COUNTRY[[#All],[Column2]],DIM_COUNTRY[[#All],[Column3]],,,)</f>
        <v>Major_Non-USMCA_Non-China</v>
      </c>
    </row>
    <row r="8467" spans="1:9" x14ac:dyDescent="0.4">
      <c r="A8467" t="s">
        <v>71</v>
      </c>
      <c r="B8467" s="1">
        <v>45748</v>
      </c>
      <c r="C8467">
        <v>848310</v>
      </c>
      <c r="D8467" t="s">
        <v>176</v>
      </c>
      <c r="E8467">
        <v>826708</v>
      </c>
      <c r="F8467">
        <v>37159</v>
      </c>
      <c r="G8467">
        <v>1456</v>
      </c>
      <c r="H8467">
        <f>_xlfn.XLOOKUP(FACT_IMPORTS[[#This Row],[hts_6]],DIM_PRODUCTS[hts_6],DIM_PRODUCTS[hts_4],,,)</f>
        <v>8483</v>
      </c>
      <c r="I8467" t="str" cm="1">
        <f t="array" ref="I8467">_xlfn.XLOOKUP(FACT_IMPORTS[[#This Row],[country_name]],DIM_COUNTRY[[#All],[Column2]],DIM_COUNTRY[[#All],[Column3]],,,)</f>
        <v>Major_Non-USMCA_Non-China</v>
      </c>
    </row>
    <row r="8468" spans="1:9" x14ac:dyDescent="0.4">
      <c r="A8468" t="s">
        <v>71</v>
      </c>
      <c r="B8468" s="1">
        <v>45748</v>
      </c>
      <c r="C8468">
        <v>850131</v>
      </c>
      <c r="D8468" t="s">
        <v>176</v>
      </c>
      <c r="E8468">
        <v>2896000</v>
      </c>
      <c r="F8468">
        <v>68749</v>
      </c>
      <c r="G8468">
        <v>31937</v>
      </c>
      <c r="H8468">
        <f>_xlfn.XLOOKUP(FACT_IMPORTS[[#This Row],[hts_6]],DIM_PRODUCTS[hts_6],DIM_PRODUCTS[hts_4],,,)</f>
        <v>8501</v>
      </c>
      <c r="I8468" t="str" cm="1">
        <f t="array" ref="I8468">_xlfn.XLOOKUP(FACT_IMPORTS[[#This Row],[country_name]],DIM_COUNTRY[[#All],[Column2]],DIM_COUNTRY[[#All],[Column3]],,,)</f>
        <v>Major_Non-USMCA_Non-China</v>
      </c>
    </row>
    <row r="8469" spans="1:9" x14ac:dyDescent="0.4">
      <c r="A8469" t="s">
        <v>71</v>
      </c>
      <c r="B8469" s="1">
        <v>45748</v>
      </c>
      <c r="C8469">
        <v>850132</v>
      </c>
      <c r="D8469" t="s">
        <v>176</v>
      </c>
      <c r="E8469">
        <v>2088</v>
      </c>
      <c r="F8469">
        <v>3</v>
      </c>
      <c r="G8469">
        <v>17</v>
      </c>
      <c r="H8469">
        <f>_xlfn.XLOOKUP(FACT_IMPORTS[[#This Row],[hts_6]],DIM_PRODUCTS[hts_6],DIM_PRODUCTS[hts_4],,,)</f>
        <v>8501</v>
      </c>
      <c r="I8469" t="str" cm="1">
        <f t="array" ref="I8469">_xlfn.XLOOKUP(FACT_IMPORTS[[#This Row],[country_name]],DIM_COUNTRY[[#All],[Column2]],DIM_COUNTRY[[#All],[Column3]],,,)</f>
        <v>Major_Non-USMCA_Non-China</v>
      </c>
    </row>
    <row r="8470" spans="1:9" x14ac:dyDescent="0.4">
      <c r="A8470" t="s">
        <v>71</v>
      </c>
      <c r="B8470" s="1">
        <v>45748</v>
      </c>
      <c r="C8470">
        <v>850152</v>
      </c>
      <c r="D8470" t="s">
        <v>176</v>
      </c>
      <c r="E8470">
        <v>412516</v>
      </c>
      <c r="F8470">
        <v>677</v>
      </c>
      <c r="G8470">
        <v>4334</v>
      </c>
      <c r="H8470">
        <f>_xlfn.XLOOKUP(FACT_IMPORTS[[#This Row],[hts_6]],DIM_PRODUCTS[hts_6],DIM_PRODUCTS[hts_4],,,)</f>
        <v>8501</v>
      </c>
      <c r="I8470" t="str" cm="1">
        <f t="array" ref="I8470">_xlfn.XLOOKUP(FACT_IMPORTS[[#This Row],[country_name]],DIM_COUNTRY[[#All],[Column2]],DIM_COUNTRY[[#All],[Column3]],,,)</f>
        <v>Major_Non-USMCA_Non-China</v>
      </c>
    </row>
    <row r="8471" spans="1:9" x14ac:dyDescent="0.4">
      <c r="A8471" t="s">
        <v>71</v>
      </c>
      <c r="B8471" s="1">
        <v>45748</v>
      </c>
      <c r="C8471">
        <v>850153</v>
      </c>
      <c r="D8471" t="s">
        <v>176</v>
      </c>
      <c r="E8471">
        <v>0</v>
      </c>
      <c r="F8471">
        <v>0</v>
      </c>
      <c r="G8471">
        <v>0</v>
      </c>
      <c r="H8471">
        <f>_xlfn.XLOOKUP(FACT_IMPORTS[[#This Row],[hts_6]],DIM_PRODUCTS[hts_6],DIM_PRODUCTS[hts_4],,,)</f>
        <v>8501</v>
      </c>
      <c r="I8471" t="str" cm="1">
        <f t="array" ref="I8471">_xlfn.XLOOKUP(FACT_IMPORTS[[#This Row],[country_name]],DIM_COUNTRY[[#All],[Column2]],DIM_COUNTRY[[#All],[Column3]],,,)</f>
        <v>Major_Non-USMCA_Non-China</v>
      </c>
    </row>
    <row r="8472" spans="1:9" x14ac:dyDescent="0.4">
      <c r="A8472" t="s">
        <v>71</v>
      </c>
      <c r="B8472" s="1">
        <v>45748</v>
      </c>
      <c r="C8472">
        <v>850161</v>
      </c>
      <c r="D8472" t="s">
        <v>176</v>
      </c>
      <c r="E8472">
        <v>6898</v>
      </c>
      <c r="F8472">
        <v>25</v>
      </c>
      <c r="G8472">
        <v>15</v>
      </c>
      <c r="H8472">
        <f>_xlfn.XLOOKUP(FACT_IMPORTS[[#This Row],[hts_6]],DIM_PRODUCTS[hts_6],DIM_PRODUCTS[hts_4],,,)</f>
        <v>8501</v>
      </c>
      <c r="I8472" t="str" cm="1">
        <f t="array" ref="I8472">_xlfn.XLOOKUP(FACT_IMPORTS[[#This Row],[country_name]],DIM_COUNTRY[[#All],[Column2]],DIM_COUNTRY[[#All],[Column3]],,,)</f>
        <v>Major_Non-USMCA_Non-China</v>
      </c>
    </row>
    <row r="8473" spans="1:9" x14ac:dyDescent="0.4">
      <c r="A8473" t="s">
        <v>71</v>
      </c>
      <c r="B8473" s="1">
        <v>45748</v>
      </c>
      <c r="C8473">
        <v>850440</v>
      </c>
      <c r="D8473" t="s">
        <v>176</v>
      </c>
      <c r="E8473">
        <v>21789108</v>
      </c>
      <c r="F8473">
        <v>122606</v>
      </c>
      <c r="G8473">
        <v>15286</v>
      </c>
      <c r="H8473">
        <f>_xlfn.XLOOKUP(FACT_IMPORTS[[#This Row],[hts_6]],DIM_PRODUCTS[hts_6],DIM_PRODUCTS[hts_4],,,)</f>
        <v>8504</v>
      </c>
      <c r="I8473" t="str" cm="1">
        <f t="array" ref="I8473">_xlfn.XLOOKUP(FACT_IMPORTS[[#This Row],[country_name]],DIM_COUNTRY[[#All],[Column2]],DIM_COUNTRY[[#All],[Column3]],,,)</f>
        <v>Major_Non-USMCA_Non-China</v>
      </c>
    </row>
    <row r="8474" spans="1:9" x14ac:dyDescent="0.4">
      <c r="A8474" t="s">
        <v>71</v>
      </c>
      <c r="B8474" s="1">
        <v>45748</v>
      </c>
      <c r="C8474">
        <v>850710</v>
      </c>
      <c r="D8474" t="s">
        <v>176</v>
      </c>
      <c r="E8474">
        <v>0</v>
      </c>
      <c r="F8474">
        <v>0</v>
      </c>
      <c r="G8474">
        <v>0</v>
      </c>
      <c r="H8474">
        <f>_xlfn.XLOOKUP(FACT_IMPORTS[[#This Row],[hts_6]],DIM_PRODUCTS[hts_6],DIM_PRODUCTS[hts_4],,,)</f>
        <v>8507</v>
      </c>
      <c r="I8474" t="str" cm="1">
        <f t="array" ref="I8474">_xlfn.XLOOKUP(FACT_IMPORTS[[#This Row],[country_name]],DIM_COUNTRY[[#All],[Column2]],DIM_COUNTRY[[#All],[Column3]],,,)</f>
        <v>Major_Non-USMCA_Non-China</v>
      </c>
    </row>
    <row r="8475" spans="1:9" x14ac:dyDescent="0.4">
      <c r="A8475" t="s">
        <v>71</v>
      </c>
      <c r="B8475" s="1">
        <v>45748</v>
      </c>
      <c r="C8475">
        <v>850760</v>
      </c>
      <c r="D8475" t="s">
        <v>176</v>
      </c>
      <c r="E8475">
        <v>149997</v>
      </c>
      <c r="F8475">
        <v>471</v>
      </c>
      <c r="G8475">
        <v>1426</v>
      </c>
      <c r="H8475">
        <f>_xlfn.XLOOKUP(FACT_IMPORTS[[#This Row],[hts_6]],DIM_PRODUCTS[hts_6],DIM_PRODUCTS[hts_4],,,)</f>
        <v>8507</v>
      </c>
      <c r="I8475" t="str" cm="1">
        <f t="array" ref="I8475">_xlfn.XLOOKUP(FACT_IMPORTS[[#This Row],[country_name]],DIM_COUNTRY[[#All],[Column2]],DIM_COUNTRY[[#All],[Column3]],,,)</f>
        <v>Major_Non-USMCA_Non-China</v>
      </c>
    </row>
    <row r="8476" spans="1:9" x14ac:dyDescent="0.4">
      <c r="A8476" t="s">
        <v>71</v>
      </c>
      <c r="B8476" s="1">
        <v>45748</v>
      </c>
      <c r="C8476">
        <v>851110</v>
      </c>
      <c r="D8476" t="s">
        <v>176</v>
      </c>
      <c r="E8476">
        <v>237259</v>
      </c>
      <c r="F8476">
        <v>5874</v>
      </c>
      <c r="G8476">
        <v>8638</v>
      </c>
      <c r="H8476">
        <f>_xlfn.XLOOKUP(FACT_IMPORTS[[#This Row],[hts_6]],DIM_PRODUCTS[hts_6],DIM_PRODUCTS[hts_4],,,)</f>
        <v>8511</v>
      </c>
      <c r="I8476" t="str" cm="1">
        <f t="array" ref="I8476">_xlfn.XLOOKUP(FACT_IMPORTS[[#This Row],[country_name]],DIM_COUNTRY[[#All],[Column2]],DIM_COUNTRY[[#All],[Column3]],,,)</f>
        <v>Major_Non-USMCA_Non-China</v>
      </c>
    </row>
    <row r="8477" spans="1:9" x14ac:dyDescent="0.4">
      <c r="A8477" t="s">
        <v>71</v>
      </c>
      <c r="B8477" s="1">
        <v>45748</v>
      </c>
      <c r="C8477">
        <v>851130</v>
      </c>
      <c r="D8477" t="s">
        <v>176</v>
      </c>
      <c r="E8477">
        <v>289330</v>
      </c>
      <c r="F8477">
        <v>43724</v>
      </c>
      <c r="G8477">
        <v>9389</v>
      </c>
      <c r="H8477">
        <f>_xlfn.XLOOKUP(FACT_IMPORTS[[#This Row],[hts_6]],DIM_PRODUCTS[hts_6],DIM_PRODUCTS[hts_4],,,)</f>
        <v>8511</v>
      </c>
      <c r="I8477" t="str" cm="1">
        <f t="array" ref="I8477">_xlfn.XLOOKUP(FACT_IMPORTS[[#This Row],[country_name]],DIM_COUNTRY[[#All],[Column2]],DIM_COUNTRY[[#All],[Column3]],,,)</f>
        <v>Major_Non-USMCA_Non-China</v>
      </c>
    </row>
    <row r="8478" spans="1:9" x14ac:dyDescent="0.4">
      <c r="A8478" t="s">
        <v>71</v>
      </c>
      <c r="B8478" s="1">
        <v>45748</v>
      </c>
      <c r="C8478">
        <v>851140</v>
      </c>
      <c r="D8478" t="s">
        <v>176</v>
      </c>
      <c r="E8478">
        <v>1275351</v>
      </c>
      <c r="F8478">
        <v>24139</v>
      </c>
      <c r="G8478">
        <v>4722</v>
      </c>
      <c r="H8478">
        <f>_xlfn.XLOOKUP(FACT_IMPORTS[[#This Row],[hts_6]],DIM_PRODUCTS[hts_6],DIM_PRODUCTS[hts_4],,,)</f>
        <v>8511</v>
      </c>
      <c r="I8478" t="str" cm="1">
        <f t="array" ref="I8478">_xlfn.XLOOKUP(FACT_IMPORTS[[#This Row],[country_name]],DIM_COUNTRY[[#All],[Column2]],DIM_COUNTRY[[#All],[Column3]],,,)</f>
        <v>Major_Non-USMCA_Non-China</v>
      </c>
    </row>
    <row r="8479" spans="1:9" x14ac:dyDescent="0.4">
      <c r="A8479" t="s">
        <v>71</v>
      </c>
      <c r="B8479" s="1">
        <v>45748</v>
      </c>
      <c r="C8479">
        <v>851150</v>
      </c>
      <c r="D8479" t="s">
        <v>176</v>
      </c>
      <c r="E8479">
        <v>53647</v>
      </c>
      <c r="F8479">
        <v>348</v>
      </c>
      <c r="G8479">
        <v>783</v>
      </c>
      <c r="H8479">
        <f>_xlfn.XLOOKUP(FACT_IMPORTS[[#This Row],[hts_6]],DIM_PRODUCTS[hts_6],DIM_PRODUCTS[hts_4],,,)</f>
        <v>8511</v>
      </c>
      <c r="I8479" t="str" cm="1">
        <f t="array" ref="I8479">_xlfn.XLOOKUP(FACT_IMPORTS[[#This Row],[country_name]],DIM_COUNTRY[[#All],[Column2]],DIM_COUNTRY[[#All],[Column3]],,,)</f>
        <v>Major_Non-USMCA_Non-China</v>
      </c>
    </row>
    <row r="8480" spans="1:9" x14ac:dyDescent="0.4">
      <c r="A8480" t="s">
        <v>71</v>
      </c>
      <c r="B8480" s="1">
        <v>45748</v>
      </c>
      <c r="C8480">
        <v>851180</v>
      </c>
      <c r="D8480" t="s">
        <v>176</v>
      </c>
      <c r="E8480">
        <v>42594</v>
      </c>
      <c r="F8480">
        <v>3565</v>
      </c>
      <c r="G8480">
        <v>430</v>
      </c>
      <c r="H8480">
        <f>_xlfn.XLOOKUP(FACT_IMPORTS[[#This Row],[hts_6]],DIM_PRODUCTS[hts_6],DIM_PRODUCTS[hts_4],,,)</f>
        <v>8511</v>
      </c>
      <c r="I8480" t="str" cm="1">
        <f t="array" ref="I8480">_xlfn.XLOOKUP(FACT_IMPORTS[[#This Row],[country_name]],DIM_COUNTRY[[#All],[Column2]],DIM_COUNTRY[[#All],[Column3]],,,)</f>
        <v>Major_Non-USMCA_Non-China</v>
      </c>
    </row>
    <row r="8481" spans="1:9" x14ac:dyDescent="0.4">
      <c r="A8481" t="s">
        <v>71</v>
      </c>
      <c r="B8481" s="1">
        <v>45748</v>
      </c>
      <c r="C8481">
        <v>851190</v>
      </c>
      <c r="D8481" t="s">
        <v>176</v>
      </c>
      <c r="E8481">
        <v>10807</v>
      </c>
      <c r="F8481">
        <v>322</v>
      </c>
      <c r="G8481">
        <v>2053</v>
      </c>
      <c r="H8481">
        <f>_xlfn.XLOOKUP(FACT_IMPORTS[[#This Row],[hts_6]],DIM_PRODUCTS[hts_6],DIM_PRODUCTS[hts_4],,,)</f>
        <v>8511</v>
      </c>
      <c r="I8481" t="str" cm="1">
        <f t="array" ref="I8481">_xlfn.XLOOKUP(FACT_IMPORTS[[#This Row],[country_name]],DIM_COUNTRY[[#All],[Column2]],DIM_COUNTRY[[#All],[Column3]],,,)</f>
        <v>Major_Non-USMCA_Non-China</v>
      </c>
    </row>
    <row r="8482" spans="1:9" x14ac:dyDescent="0.4">
      <c r="A8482" t="s">
        <v>71</v>
      </c>
      <c r="B8482" s="1">
        <v>45748</v>
      </c>
      <c r="C8482">
        <v>851220</v>
      </c>
      <c r="D8482" t="s">
        <v>176</v>
      </c>
      <c r="E8482">
        <v>51081</v>
      </c>
      <c r="F8482">
        <v>270</v>
      </c>
      <c r="G8482">
        <v>1000</v>
      </c>
      <c r="H8482">
        <f>_xlfn.XLOOKUP(FACT_IMPORTS[[#This Row],[hts_6]],DIM_PRODUCTS[hts_6],DIM_PRODUCTS[hts_4],,,)</f>
        <v>8512</v>
      </c>
      <c r="I8482" t="str" cm="1">
        <f t="array" ref="I8482">_xlfn.XLOOKUP(FACT_IMPORTS[[#This Row],[country_name]],DIM_COUNTRY[[#All],[Column2]],DIM_COUNTRY[[#All],[Column3]],,,)</f>
        <v>Major_Non-USMCA_Non-China</v>
      </c>
    </row>
    <row r="8483" spans="1:9" x14ac:dyDescent="0.4">
      <c r="A8483" t="s">
        <v>71</v>
      </c>
      <c r="B8483" s="1">
        <v>45748</v>
      </c>
      <c r="C8483">
        <v>851230</v>
      </c>
      <c r="D8483" t="s">
        <v>176</v>
      </c>
      <c r="E8483">
        <v>16051</v>
      </c>
      <c r="F8483">
        <v>2240</v>
      </c>
      <c r="G8483">
        <v>829</v>
      </c>
      <c r="H8483">
        <f>_xlfn.XLOOKUP(FACT_IMPORTS[[#This Row],[hts_6]],DIM_PRODUCTS[hts_6],DIM_PRODUCTS[hts_4],,,)</f>
        <v>8512</v>
      </c>
      <c r="I8483" t="str" cm="1">
        <f t="array" ref="I8483">_xlfn.XLOOKUP(FACT_IMPORTS[[#This Row],[country_name]],DIM_COUNTRY[[#All],[Column2]],DIM_COUNTRY[[#All],[Column3]],,,)</f>
        <v>Major_Non-USMCA_Non-China</v>
      </c>
    </row>
    <row r="8484" spans="1:9" x14ac:dyDescent="0.4">
      <c r="A8484" t="s">
        <v>71</v>
      </c>
      <c r="B8484" s="1">
        <v>45748</v>
      </c>
      <c r="C8484">
        <v>851290</v>
      </c>
      <c r="D8484" t="s">
        <v>176</v>
      </c>
      <c r="E8484">
        <v>0</v>
      </c>
      <c r="F8484">
        <v>0</v>
      </c>
      <c r="G8484">
        <v>0</v>
      </c>
      <c r="H8484">
        <f>_xlfn.XLOOKUP(FACT_IMPORTS[[#This Row],[hts_6]],DIM_PRODUCTS[hts_6],DIM_PRODUCTS[hts_4],,,)</f>
        <v>8512</v>
      </c>
      <c r="I8484" t="str" cm="1">
        <f t="array" ref="I8484">_xlfn.XLOOKUP(FACT_IMPORTS[[#This Row],[country_name]],DIM_COUNTRY[[#All],[Column2]],DIM_COUNTRY[[#All],[Column3]],,,)</f>
        <v>Major_Non-USMCA_Non-China</v>
      </c>
    </row>
    <row r="8485" spans="1:9" x14ac:dyDescent="0.4">
      <c r="A8485" t="s">
        <v>71</v>
      </c>
      <c r="B8485" s="1">
        <v>45748</v>
      </c>
      <c r="C8485">
        <v>854231</v>
      </c>
      <c r="D8485" t="s">
        <v>176</v>
      </c>
      <c r="E8485">
        <v>49644</v>
      </c>
      <c r="F8485">
        <v>4664</v>
      </c>
      <c r="G8485">
        <v>643</v>
      </c>
      <c r="H8485">
        <f>_xlfn.XLOOKUP(FACT_IMPORTS[[#This Row],[hts_6]],DIM_PRODUCTS[hts_6],DIM_PRODUCTS[hts_4],,,)</f>
        <v>8542</v>
      </c>
      <c r="I8485" t="str" cm="1">
        <f t="array" ref="I8485">_xlfn.XLOOKUP(FACT_IMPORTS[[#This Row],[country_name]],DIM_COUNTRY[[#All],[Column2]],DIM_COUNTRY[[#All],[Column3]],,,)</f>
        <v>Major_Non-USMCA_Non-China</v>
      </c>
    </row>
    <row r="8486" spans="1:9" x14ac:dyDescent="0.4">
      <c r="A8486" t="s">
        <v>71</v>
      </c>
      <c r="B8486" s="1">
        <v>45748</v>
      </c>
      <c r="C8486">
        <v>854232</v>
      </c>
      <c r="D8486" t="s">
        <v>176</v>
      </c>
      <c r="E8486">
        <v>11636</v>
      </c>
      <c r="F8486">
        <v>52</v>
      </c>
      <c r="G8486">
        <v>1031</v>
      </c>
      <c r="H8486">
        <f>_xlfn.XLOOKUP(FACT_IMPORTS[[#This Row],[hts_6]],DIM_PRODUCTS[hts_6],DIM_PRODUCTS[hts_4],,,)</f>
        <v>8542</v>
      </c>
      <c r="I8486" t="str" cm="1">
        <f t="array" ref="I8486">_xlfn.XLOOKUP(FACT_IMPORTS[[#This Row],[country_name]],DIM_COUNTRY[[#All],[Column2]],DIM_COUNTRY[[#All],[Column3]],,,)</f>
        <v>Major_Non-USMCA_Non-China</v>
      </c>
    </row>
    <row r="8487" spans="1:9" x14ac:dyDescent="0.4">
      <c r="A8487" t="s">
        <v>71</v>
      </c>
      <c r="B8487" s="1">
        <v>45748</v>
      </c>
      <c r="C8487">
        <v>854239</v>
      </c>
      <c r="D8487" t="s">
        <v>176</v>
      </c>
      <c r="E8487">
        <v>7258</v>
      </c>
      <c r="F8487">
        <v>630</v>
      </c>
      <c r="G8487">
        <v>726</v>
      </c>
      <c r="H8487">
        <f>_xlfn.XLOOKUP(FACT_IMPORTS[[#This Row],[hts_6]],DIM_PRODUCTS[hts_6],DIM_PRODUCTS[hts_4],,,)</f>
        <v>8542</v>
      </c>
      <c r="I8487" t="str" cm="1">
        <f t="array" ref="I8487">_xlfn.XLOOKUP(FACT_IMPORTS[[#This Row],[country_name]],DIM_COUNTRY[[#All],[Column2]],DIM_COUNTRY[[#All],[Column3]],,,)</f>
        <v>Major_Non-USMCA_Non-China</v>
      </c>
    </row>
    <row r="8488" spans="1:9" x14ac:dyDescent="0.4">
      <c r="A8488" t="s">
        <v>71</v>
      </c>
      <c r="B8488" s="1">
        <v>45748</v>
      </c>
      <c r="C8488">
        <v>854290</v>
      </c>
      <c r="D8488" t="s">
        <v>176</v>
      </c>
      <c r="E8488">
        <v>0</v>
      </c>
      <c r="F8488">
        <v>0</v>
      </c>
      <c r="G8488">
        <v>0</v>
      </c>
      <c r="H8488">
        <f>_xlfn.XLOOKUP(FACT_IMPORTS[[#This Row],[hts_6]],DIM_PRODUCTS[hts_6],DIM_PRODUCTS[hts_4],,,)</f>
        <v>8542</v>
      </c>
      <c r="I8488" t="str" cm="1">
        <f t="array" ref="I8488">_xlfn.XLOOKUP(FACT_IMPORTS[[#This Row],[country_name]],DIM_COUNTRY[[#All],[Column2]],DIM_COUNTRY[[#All],[Column3]],,,)</f>
        <v>Major_Non-USMCA_Non-China</v>
      </c>
    </row>
    <row r="8489" spans="1:9" x14ac:dyDescent="0.4">
      <c r="A8489" t="s">
        <v>71</v>
      </c>
      <c r="B8489" s="1">
        <v>45748</v>
      </c>
      <c r="C8489">
        <v>854430</v>
      </c>
      <c r="D8489" t="s">
        <v>176</v>
      </c>
      <c r="E8489">
        <v>0</v>
      </c>
      <c r="F8489">
        <v>0</v>
      </c>
      <c r="G8489">
        <v>0</v>
      </c>
      <c r="H8489">
        <f>_xlfn.XLOOKUP(FACT_IMPORTS[[#This Row],[hts_6]],DIM_PRODUCTS[hts_6],DIM_PRODUCTS[hts_4],,,)</f>
        <v>8544</v>
      </c>
      <c r="I8489" t="str" cm="1">
        <f t="array" ref="I8489">_xlfn.XLOOKUP(FACT_IMPORTS[[#This Row],[country_name]],DIM_COUNTRY[[#All],[Column2]],DIM_COUNTRY[[#All],[Column3]],,,)</f>
        <v>Major_Non-USMCA_Non-China</v>
      </c>
    </row>
    <row r="8490" spans="1:9" x14ac:dyDescent="0.4">
      <c r="A8490" t="s">
        <v>71</v>
      </c>
      <c r="B8490" s="1">
        <v>45748</v>
      </c>
      <c r="C8490">
        <v>870710</v>
      </c>
      <c r="D8490" t="s">
        <v>176</v>
      </c>
      <c r="E8490">
        <v>0</v>
      </c>
      <c r="F8490">
        <v>0</v>
      </c>
      <c r="G8490">
        <v>0</v>
      </c>
      <c r="H8490">
        <f>_xlfn.XLOOKUP(FACT_IMPORTS[[#This Row],[hts_6]],DIM_PRODUCTS[hts_6],DIM_PRODUCTS[hts_4],,,)</f>
        <v>8707</v>
      </c>
      <c r="I8490" t="str" cm="1">
        <f t="array" ref="I8490">_xlfn.XLOOKUP(FACT_IMPORTS[[#This Row],[country_name]],DIM_COUNTRY[[#All],[Column2]],DIM_COUNTRY[[#All],[Column3]],,,)</f>
        <v>Major_Non-USMCA_Non-China</v>
      </c>
    </row>
    <row r="8491" spans="1:9" x14ac:dyDescent="0.4">
      <c r="A8491" t="s">
        <v>71</v>
      </c>
      <c r="B8491" s="1">
        <v>45748</v>
      </c>
      <c r="C8491">
        <v>870790</v>
      </c>
      <c r="D8491" t="s">
        <v>176</v>
      </c>
      <c r="E8491">
        <v>0</v>
      </c>
      <c r="F8491">
        <v>0</v>
      </c>
      <c r="G8491">
        <v>0</v>
      </c>
      <c r="H8491">
        <f>_xlfn.XLOOKUP(FACT_IMPORTS[[#This Row],[hts_6]],DIM_PRODUCTS[hts_6],DIM_PRODUCTS[hts_4],,,)</f>
        <v>8707</v>
      </c>
      <c r="I8491" t="str" cm="1">
        <f t="array" ref="I8491">_xlfn.XLOOKUP(FACT_IMPORTS[[#This Row],[country_name]],DIM_COUNTRY[[#All],[Column2]],DIM_COUNTRY[[#All],[Column3]],,,)</f>
        <v>Major_Non-USMCA_Non-China</v>
      </c>
    </row>
    <row r="8492" spans="1:9" x14ac:dyDescent="0.4">
      <c r="A8492" t="s">
        <v>71</v>
      </c>
      <c r="B8492" s="1">
        <v>45748</v>
      </c>
      <c r="C8492">
        <v>870810</v>
      </c>
      <c r="D8492" t="s">
        <v>176</v>
      </c>
      <c r="E8492">
        <v>27623</v>
      </c>
      <c r="F8492">
        <v>1092</v>
      </c>
      <c r="G8492">
        <v>499</v>
      </c>
      <c r="H8492">
        <f>_xlfn.XLOOKUP(FACT_IMPORTS[[#This Row],[hts_6]],DIM_PRODUCTS[hts_6],DIM_PRODUCTS[hts_4],,,)</f>
        <v>8708</v>
      </c>
      <c r="I8492" t="str" cm="1">
        <f t="array" ref="I8492">_xlfn.XLOOKUP(FACT_IMPORTS[[#This Row],[country_name]],DIM_COUNTRY[[#All],[Column2]],DIM_COUNTRY[[#All],[Column3]],,,)</f>
        <v>Major_Non-USMCA_Non-China</v>
      </c>
    </row>
    <row r="8493" spans="1:9" x14ac:dyDescent="0.4">
      <c r="A8493" t="s">
        <v>71</v>
      </c>
      <c r="B8493" s="1">
        <v>45748</v>
      </c>
      <c r="C8493">
        <v>870829</v>
      </c>
      <c r="D8493" t="s">
        <v>176</v>
      </c>
      <c r="E8493">
        <v>4225967</v>
      </c>
      <c r="F8493">
        <v>365718</v>
      </c>
      <c r="G8493">
        <v>97932</v>
      </c>
      <c r="H8493">
        <f>_xlfn.XLOOKUP(FACT_IMPORTS[[#This Row],[hts_6]],DIM_PRODUCTS[hts_6],DIM_PRODUCTS[hts_4],,,)</f>
        <v>8708</v>
      </c>
      <c r="I8493" t="str" cm="1">
        <f t="array" ref="I8493">_xlfn.XLOOKUP(FACT_IMPORTS[[#This Row],[country_name]],DIM_COUNTRY[[#All],[Column2]],DIM_COUNTRY[[#All],[Column3]],,,)</f>
        <v>Major_Non-USMCA_Non-China</v>
      </c>
    </row>
    <row r="8494" spans="1:9" x14ac:dyDescent="0.4">
      <c r="A8494" t="s">
        <v>71</v>
      </c>
      <c r="B8494" s="1">
        <v>45748</v>
      </c>
      <c r="C8494">
        <v>870830</v>
      </c>
      <c r="D8494" t="s">
        <v>176</v>
      </c>
      <c r="E8494">
        <v>1393069</v>
      </c>
      <c r="F8494">
        <v>172913</v>
      </c>
      <c r="G8494">
        <v>15111</v>
      </c>
      <c r="H8494">
        <f>_xlfn.XLOOKUP(FACT_IMPORTS[[#This Row],[hts_6]],DIM_PRODUCTS[hts_6],DIM_PRODUCTS[hts_4],,,)</f>
        <v>8708</v>
      </c>
      <c r="I8494" t="str" cm="1">
        <f t="array" ref="I8494">_xlfn.XLOOKUP(FACT_IMPORTS[[#This Row],[country_name]],DIM_COUNTRY[[#All],[Column2]],DIM_COUNTRY[[#All],[Column3]],,,)</f>
        <v>Major_Non-USMCA_Non-China</v>
      </c>
    </row>
    <row r="8495" spans="1:9" x14ac:dyDescent="0.4">
      <c r="A8495" t="s">
        <v>71</v>
      </c>
      <c r="B8495" s="1">
        <v>45748</v>
      </c>
      <c r="C8495">
        <v>870840</v>
      </c>
      <c r="D8495" t="s">
        <v>176</v>
      </c>
      <c r="E8495">
        <v>3695100</v>
      </c>
      <c r="F8495">
        <v>4766</v>
      </c>
      <c r="G8495">
        <v>125436</v>
      </c>
      <c r="H8495">
        <f>_xlfn.XLOOKUP(FACT_IMPORTS[[#This Row],[hts_6]],DIM_PRODUCTS[hts_6],DIM_PRODUCTS[hts_4],,,)</f>
        <v>8708</v>
      </c>
      <c r="I8495" t="str" cm="1">
        <f t="array" ref="I8495">_xlfn.XLOOKUP(FACT_IMPORTS[[#This Row],[country_name]],DIM_COUNTRY[[#All],[Column2]],DIM_COUNTRY[[#All],[Column3]],,,)</f>
        <v>Major_Non-USMCA_Non-China</v>
      </c>
    </row>
    <row r="8496" spans="1:9" x14ac:dyDescent="0.4">
      <c r="A8496" t="s">
        <v>71</v>
      </c>
      <c r="B8496" s="1">
        <v>45748</v>
      </c>
      <c r="C8496">
        <v>870850</v>
      </c>
      <c r="D8496" t="s">
        <v>176</v>
      </c>
      <c r="E8496">
        <v>6278</v>
      </c>
      <c r="F8496">
        <v>3</v>
      </c>
      <c r="G8496">
        <v>120</v>
      </c>
      <c r="H8496">
        <f>_xlfn.XLOOKUP(FACT_IMPORTS[[#This Row],[hts_6]],DIM_PRODUCTS[hts_6],DIM_PRODUCTS[hts_4],,,)</f>
        <v>8708</v>
      </c>
      <c r="I8496" t="str" cm="1">
        <f t="array" ref="I8496">_xlfn.XLOOKUP(FACT_IMPORTS[[#This Row],[country_name]],DIM_COUNTRY[[#All],[Column2]],DIM_COUNTRY[[#All],[Column3]],,,)</f>
        <v>Major_Non-USMCA_Non-China</v>
      </c>
    </row>
    <row r="8497" spans="1:9" x14ac:dyDescent="0.4">
      <c r="A8497" t="s">
        <v>71</v>
      </c>
      <c r="B8497" s="1">
        <v>45748</v>
      </c>
      <c r="C8497">
        <v>870870</v>
      </c>
      <c r="D8497" t="s">
        <v>176</v>
      </c>
      <c r="E8497">
        <v>6471</v>
      </c>
      <c r="F8497">
        <v>243</v>
      </c>
      <c r="G8497">
        <v>28</v>
      </c>
      <c r="H8497">
        <f>_xlfn.XLOOKUP(FACT_IMPORTS[[#This Row],[hts_6]],DIM_PRODUCTS[hts_6],DIM_PRODUCTS[hts_4],,,)</f>
        <v>8708</v>
      </c>
      <c r="I8497" t="str" cm="1">
        <f t="array" ref="I8497">_xlfn.XLOOKUP(FACT_IMPORTS[[#This Row],[country_name]],DIM_COUNTRY[[#All],[Column2]],DIM_COUNTRY[[#All],[Column3]],,,)</f>
        <v>Major_Non-USMCA_Non-China</v>
      </c>
    </row>
    <row r="8498" spans="1:9" x14ac:dyDescent="0.4">
      <c r="A8498" t="s">
        <v>71</v>
      </c>
      <c r="B8498" s="1">
        <v>45748</v>
      </c>
      <c r="C8498">
        <v>870880</v>
      </c>
      <c r="D8498" t="s">
        <v>176</v>
      </c>
      <c r="E8498">
        <v>386717</v>
      </c>
      <c r="F8498">
        <v>20659</v>
      </c>
      <c r="G8498">
        <v>33786</v>
      </c>
      <c r="H8498">
        <f>_xlfn.XLOOKUP(FACT_IMPORTS[[#This Row],[hts_6]],DIM_PRODUCTS[hts_6],DIM_PRODUCTS[hts_4],,,)</f>
        <v>8708</v>
      </c>
      <c r="I8498" t="str" cm="1">
        <f t="array" ref="I8498">_xlfn.XLOOKUP(FACT_IMPORTS[[#This Row],[country_name]],DIM_COUNTRY[[#All],[Column2]],DIM_COUNTRY[[#All],[Column3]],,,)</f>
        <v>Major_Non-USMCA_Non-China</v>
      </c>
    </row>
    <row r="8499" spans="1:9" x14ac:dyDescent="0.4">
      <c r="A8499" t="s">
        <v>71</v>
      </c>
      <c r="B8499" s="1">
        <v>45748</v>
      </c>
      <c r="C8499">
        <v>870891</v>
      </c>
      <c r="D8499" t="s">
        <v>176</v>
      </c>
      <c r="E8499">
        <v>101839</v>
      </c>
      <c r="F8499">
        <v>141682</v>
      </c>
      <c r="G8499">
        <v>1569</v>
      </c>
      <c r="H8499">
        <f>_xlfn.XLOOKUP(FACT_IMPORTS[[#This Row],[hts_6]],DIM_PRODUCTS[hts_6],DIM_PRODUCTS[hts_4],,,)</f>
        <v>8708</v>
      </c>
      <c r="I8499" t="str" cm="1">
        <f t="array" ref="I8499">_xlfn.XLOOKUP(FACT_IMPORTS[[#This Row],[country_name]],DIM_COUNTRY[[#All],[Column2]],DIM_COUNTRY[[#All],[Column3]],,,)</f>
        <v>Major_Non-USMCA_Non-China</v>
      </c>
    </row>
    <row r="8500" spans="1:9" x14ac:dyDescent="0.4">
      <c r="A8500" t="s">
        <v>71</v>
      </c>
      <c r="B8500" s="1">
        <v>45748</v>
      </c>
      <c r="C8500">
        <v>870892</v>
      </c>
      <c r="D8500" t="s">
        <v>176</v>
      </c>
      <c r="E8500">
        <v>4254</v>
      </c>
      <c r="F8500">
        <v>3</v>
      </c>
      <c r="G8500">
        <v>425</v>
      </c>
      <c r="H8500">
        <f>_xlfn.XLOOKUP(FACT_IMPORTS[[#This Row],[hts_6]],DIM_PRODUCTS[hts_6],DIM_PRODUCTS[hts_4],,,)</f>
        <v>8708</v>
      </c>
      <c r="I8500" t="str" cm="1">
        <f t="array" ref="I8500">_xlfn.XLOOKUP(FACT_IMPORTS[[#This Row],[country_name]],DIM_COUNTRY[[#All],[Column2]],DIM_COUNTRY[[#All],[Column3]],,,)</f>
        <v>Major_Non-USMCA_Non-China</v>
      </c>
    </row>
    <row r="8501" spans="1:9" x14ac:dyDescent="0.4">
      <c r="A8501" t="s">
        <v>71</v>
      </c>
      <c r="B8501" s="1">
        <v>45748</v>
      </c>
      <c r="C8501">
        <v>870893</v>
      </c>
      <c r="D8501" t="s">
        <v>176</v>
      </c>
      <c r="E8501">
        <v>373430</v>
      </c>
      <c r="F8501">
        <v>54544</v>
      </c>
      <c r="G8501">
        <v>16945</v>
      </c>
      <c r="H8501">
        <f>_xlfn.XLOOKUP(FACT_IMPORTS[[#This Row],[hts_6]],DIM_PRODUCTS[hts_6],DIM_PRODUCTS[hts_4],,,)</f>
        <v>8708</v>
      </c>
      <c r="I8501" t="str" cm="1">
        <f t="array" ref="I8501">_xlfn.XLOOKUP(FACT_IMPORTS[[#This Row],[country_name]],DIM_COUNTRY[[#All],[Column2]],DIM_COUNTRY[[#All],[Column3]],,,)</f>
        <v>Major_Non-USMCA_Non-China</v>
      </c>
    </row>
    <row r="8502" spans="1:9" x14ac:dyDescent="0.4">
      <c r="A8502" t="s">
        <v>71</v>
      </c>
      <c r="B8502" s="1">
        <v>45748</v>
      </c>
      <c r="C8502">
        <v>870894</v>
      </c>
      <c r="D8502" t="s">
        <v>176</v>
      </c>
      <c r="E8502">
        <v>25075</v>
      </c>
      <c r="F8502">
        <v>6</v>
      </c>
      <c r="G8502">
        <v>1616</v>
      </c>
      <c r="H8502">
        <f>_xlfn.XLOOKUP(FACT_IMPORTS[[#This Row],[hts_6]],DIM_PRODUCTS[hts_6],DIM_PRODUCTS[hts_4],,,)</f>
        <v>8708</v>
      </c>
      <c r="I8502" t="str" cm="1">
        <f t="array" ref="I8502">_xlfn.XLOOKUP(FACT_IMPORTS[[#This Row],[country_name]],DIM_COUNTRY[[#All],[Column2]],DIM_COUNTRY[[#All],[Column3]],,,)</f>
        <v>Major_Non-USMCA_Non-China</v>
      </c>
    </row>
    <row r="8503" spans="1:9" x14ac:dyDescent="0.4">
      <c r="A8503" t="s">
        <v>71</v>
      </c>
      <c r="B8503" s="1">
        <v>45748</v>
      </c>
      <c r="C8503">
        <v>870895</v>
      </c>
      <c r="D8503" t="s">
        <v>176</v>
      </c>
      <c r="E8503">
        <v>0</v>
      </c>
      <c r="F8503">
        <v>0</v>
      </c>
      <c r="G8503">
        <v>0</v>
      </c>
      <c r="H8503">
        <f>_xlfn.XLOOKUP(FACT_IMPORTS[[#This Row],[hts_6]],DIM_PRODUCTS[hts_6],DIM_PRODUCTS[hts_4],,,)</f>
        <v>8708</v>
      </c>
      <c r="I8503" t="str" cm="1">
        <f t="array" ref="I8503">_xlfn.XLOOKUP(FACT_IMPORTS[[#This Row],[country_name]],DIM_COUNTRY[[#All],[Column2]],DIM_COUNTRY[[#All],[Column3]],,,)</f>
        <v>Major_Non-USMCA_Non-China</v>
      </c>
    </row>
    <row r="8504" spans="1:9" x14ac:dyDescent="0.4">
      <c r="A8504" t="s">
        <v>71</v>
      </c>
      <c r="B8504" s="1">
        <v>45748</v>
      </c>
      <c r="C8504">
        <v>870899</v>
      </c>
      <c r="D8504" t="s">
        <v>176</v>
      </c>
      <c r="E8504">
        <v>14762668</v>
      </c>
      <c r="F8504">
        <v>2709102</v>
      </c>
      <c r="G8504">
        <v>204432</v>
      </c>
      <c r="H8504">
        <f>_xlfn.XLOOKUP(FACT_IMPORTS[[#This Row],[hts_6]],DIM_PRODUCTS[hts_6],DIM_PRODUCTS[hts_4],,,)</f>
        <v>8708</v>
      </c>
      <c r="I8504" t="str" cm="1">
        <f t="array" ref="I8504">_xlfn.XLOOKUP(FACT_IMPORTS[[#This Row],[country_name]],DIM_COUNTRY[[#All],[Column2]],DIM_COUNTRY[[#All],[Column3]],,,)</f>
        <v>Major_Non-USMCA_Non-China</v>
      </c>
    </row>
    <row r="8505" spans="1:9" x14ac:dyDescent="0.4">
      <c r="A8505" t="s">
        <v>71</v>
      </c>
      <c r="B8505" s="1">
        <v>45748</v>
      </c>
      <c r="C8505">
        <v>940120</v>
      </c>
      <c r="D8505" t="s">
        <v>176</v>
      </c>
      <c r="E8505">
        <v>285</v>
      </c>
      <c r="F8505">
        <v>1</v>
      </c>
      <c r="G8505">
        <v>80</v>
      </c>
      <c r="H8505">
        <f>_xlfn.XLOOKUP(FACT_IMPORTS[[#This Row],[hts_6]],DIM_PRODUCTS[hts_6],DIM_PRODUCTS[hts_4],,,)</f>
        <v>9401</v>
      </c>
      <c r="I8505" t="str" cm="1">
        <f t="array" ref="I8505">_xlfn.XLOOKUP(FACT_IMPORTS[[#This Row],[country_name]],DIM_COUNTRY[[#All],[Column2]],DIM_COUNTRY[[#All],[Column3]],,,)</f>
        <v>Major_Non-USMCA_Non-China</v>
      </c>
    </row>
    <row r="8506" spans="1:9" x14ac:dyDescent="0.4">
      <c r="A8506" t="s">
        <v>71</v>
      </c>
      <c r="B8506" s="1">
        <v>45778</v>
      </c>
      <c r="C8506">
        <v>392630</v>
      </c>
      <c r="D8506" t="s">
        <v>176</v>
      </c>
      <c r="E8506">
        <v>0</v>
      </c>
      <c r="F8506">
        <v>0</v>
      </c>
      <c r="G8506">
        <v>0</v>
      </c>
      <c r="H8506">
        <f>_xlfn.XLOOKUP(FACT_IMPORTS[[#This Row],[hts_6]],DIM_PRODUCTS[hts_6],DIM_PRODUCTS[hts_4],,,)</f>
        <v>3926</v>
      </c>
      <c r="I8506" t="str" cm="1">
        <f t="array" ref="I8506">_xlfn.XLOOKUP(FACT_IMPORTS[[#This Row],[country_name]],DIM_COUNTRY[[#All],[Column2]],DIM_COUNTRY[[#All],[Column3]],,,)</f>
        <v>Major_Non-USMCA_Non-China</v>
      </c>
    </row>
    <row r="8507" spans="1:9" x14ac:dyDescent="0.4">
      <c r="A8507" t="s">
        <v>71</v>
      </c>
      <c r="B8507" s="1">
        <v>45778</v>
      </c>
      <c r="C8507">
        <v>401110</v>
      </c>
      <c r="D8507" t="s">
        <v>176</v>
      </c>
      <c r="E8507">
        <v>95856</v>
      </c>
      <c r="F8507">
        <v>768</v>
      </c>
      <c r="G8507">
        <v>3196</v>
      </c>
      <c r="H8507">
        <f>_xlfn.XLOOKUP(FACT_IMPORTS[[#This Row],[hts_6]],DIM_PRODUCTS[hts_6],DIM_PRODUCTS[hts_4],,,)</f>
        <v>4011</v>
      </c>
      <c r="I8507" t="str" cm="1">
        <f t="array" ref="I8507">_xlfn.XLOOKUP(FACT_IMPORTS[[#This Row],[country_name]],DIM_COUNTRY[[#All],[Column2]],DIM_COUNTRY[[#All],[Column3]],,,)</f>
        <v>Major_Non-USMCA_Non-China</v>
      </c>
    </row>
    <row r="8508" spans="1:9" x14ac:dyDescent="0.4">
      <c r="A8508" t="s">
        <v>71</v>
      </c>
      <c r="B8508" s="1">
        <v>45778</v>
      </c>
      <c r="C8508">
        <v>401120</v>
      </c>
      <c r="D8508" t="s">
        <v>176</v>
      </c>
      <c r="E8508">
        <v>73353</v>
      </c>
      <c r="F8508">
        <v>524</v>
      </c>
      <c r="G8508">
        <v>3983</v>
      </c>
      <c r="H8508">
        <f>_xlfn.XLOOKUP(FACT_IMPORTS[[#This Row],[hts_6]],DIM_PRODUCTS[hts_6],DIM_PRODUCTS[hts_4],,,)</f>
        <v>4011</v>
      </c>
      <c r="I8508" t="str" cm="1">
        <f t="array" ref="I8508">_xlfn.XLOOKUP(FACT_IMPORTS[[#This Row],[country_name]],DIM_COUNTRY[[#All],[Column2]],DIM_COUNTRY[[#All],[Column3]],,,)</f>
        <v>Major_Non-USMCA_Non-China</v>
      </c>
    </row>
    <row r="8509" spans="1:9" x14ac:dyDescent="0.4">
      <c r="A8509" t="s">
        <v>71</v>
      </c>
      <c r="B8509" s="1">
        <v>45778</v>
      </c>
      <c r="C8509">
        <v>401190</v>
      </c>
      <c r="D8509" t="s">
        <v>176</v>
      </c>
      <c r="E8509">
        <v>0</v>
      </c>
      <c r="F8509">
        <v>0</v>
      </c>
      <c r="G8509">
        <v>0</v>
      </c>
      <c r="H8509">
        <f>_xlfn.XLOOKUP(FACT_IMPORTS[[#This Row],[hts_6]],DIM_PRODUCTS[hts_6],DIM_PRODUCTS[hts_4],,,)</f>
        <v>4011</v>
      </c>
      <c r="I8509" t="str" cm="1">
        <f t="array" ref="I8509">_xlfn.XLOOKUP(FACT_IMPORTS[[#This Row],[country_name]],DIM_COUNTRY[[#All],[Column2]],DIM_COUNTRY[[#All],[Column3]],,,)</f>
        <v>Major_Non-USMCA_Non-China</v>
      </c>
    </row>
    <row r="8510" spans="1:9" x14ac:dyDescent="0.4">
      <c r="A8510" t="s">
        <v>71</v>
      </c>
      <c r="B8510" s="1">
        <v>45778</v>
      </c>
      <c r="C8510">
        <v>700711</v>
      </c>
      <c r="D8510" t="s">
        <v>176</v>
      </c>
      <c r="E8510">
        <v>0</v>
      </c>
      <c r="F8510">
        <v>0</v>
      </c>
      <c r="G8510">
        <v>0</v>
      </c>
      <c r="H8510">
        <f>_xlfn.XLOOKUP(FACT_IMPORTS[[#This Row],[hts_6]],DIM_PRODUCTS[hts_6],DIM_PRODUCTS[hts_4],,,)</f>
        <v>7007</v>
      </c>
      <c r="I8510" t="str" cm="1">
        <f t="array" ref="I8510">_xlfn.XLOOKUP(FACT_IMPORTS[[#This Row],[country_name]],DIM_COUNTRY[[#All],[Column2]],DIM_COUNTRY[[#All],[Column3]],,,)</f>
        <v>Major_Non-USMCA_Non-China</v>
      </c>
    </row>
    <row r="8511" spans="1:9" x14ac:dyDescent="0.4">
      <c r="A8511" t="s">
        <v>71</v>
      </c>
      <c r="B8511" s="1">
        <v>45778</v>
      </c>
      <c r="C8511">
        <v>700721</v>
      </c>
      <c r="D8511" t="s">
        <v>176</v>
      </c>
      <c r="E8511">
        <v>0</v>
      </c>
      <c r="F8511">
        <v>0</v>
      </c>
      <c r="G8511">
        <v>0</v>
      </c>
      <c r="H8511">
        <f>_xlfn.XLOOKUP(FACT_IMPORTS[[#This Row],[hts_6]],DIM_PRODUCTS[hts_6],DIM_PRODUCTS[hts_4],,,)</f>
        <v>7007</v>
      </c>
      <c r="I8511" t="str" cm="1">
        <f t="array" ref="I8511">_xlfn.XLOOKUP(FACT_IMPORTS[[#This Row],[country_name]],DIM_COUNTRY[[#All],[Column2]],DIM_COUNTRY[[#All],[Column3]],,,)</f>
        <v>Major_Non-USMCA_Non-China</v>
      </c>
    </row>
    <row r="8512" spans="1:9" x14ac:dyDescent="0.4">
      <c r="A8512" t="s">
        <v>71</v>
      </c>
      <c r="B8512" s="1">
        <v>45778</v>
      </c>
      <c r="C8512">
        <v>700910</v>
      </c>
      <c r="D8512" t="s">
        <v>176</v>
      </c>
      <c r="E8512">
        <v>0</v>
      </c>
      <c r="F8512">
        <v>0</v>
      </c>
      <c r="G8512">
        <v>0</v>
      </c>
      <c r="H8512">
        <f>_xlfn.XLOOKUP(FACT_IMPORTS[[#This Row],[hts_6]],DIM_PRODUCTS[hts_6],DIM_PRODUCTS[hts_4],,,)</f>
        <v>7009</v>
      </c>
      <c r="I8512" t="str" cm="1">
        <f t="array" ref="I8512">_xlfn.XLOOKUP(FACT_IMPORTS[[#This Row],[country_name]],DIM_COUNTRY[[#All],[Column2]],DIM_COUNTRY[[#All],[Column3]],,,)</f>
        <v>Major_Non-USMCA_Non-China</v>
      </c>
    </row>
    <row r="8513" spans="1:9" x14ac:dyDescent="0.4">
      <c r="A8513" t="s">
        <v>71</v>
      </c>
      <c r="B8513" s="1">
        <v>45778</v>
      </c>
      <c r="C8513">
        <v>830230</v>
      </c>
      <c r="D8513" t="s">
        <v>176</v>
      </c>
      <c r="E8513">
        <v>4987</v>
      </c>
      <c r="F8513">
        <v>1454</v>
      </c>
      <c r="G8513">
        <v>65</v>
      </c>
      <c r="H8513">
        <f>_xlfn.XLOOKUP(FACT_IMPORTS[[#This Row],[hts_6]],DIM_PRODUCTS[hts_6],DIM_PRODUCTS[hts_4],,,)</f>
        <v>8302</v>
      </c>
      <c r="I8513" t="str" cm="1">
        <f t="array" ref="I8513">_xlfn.XLOOKUP(FACT_IMPORTS[[#This Row],[country_name]],DIM_COUNTRY[[#All],[Column2]],DIM_COUNTRY[[#All],[Column3]],,,)</f>
        <v>Major_Non-USMCA_Non-China</v>
      </c>
    </row>
    <row r="8514" spans="1:9" x14ac:dyDescent="0.4">
      <c r="A8514" t="s">
        <v>71</v>
      </c>
      <c r="B8514" s="1">
        <v>45778</v>
      </c>
      <c r="C8514">
        <v>840732</v>
      </c>
      <c r="D8514" t="s">
        <v>176</v>
      </c>
      <c r="E8514">
        <v>0</v>
      </c>
      <c r="F8514">
        <v>0</v>
      </c>
      <c r="G8514">
        <v>0</v>
      </c>
      <c r="H8514">
        <f>_xlfn.XLOOKUP(FACT_IMPORTS[[#This Row],[hts_6]],DIM_PRODUCTS[hts_6],DIM_PRODUCTS[hts_4],,,)</f>
        <v>8407</v>
      </c>
      <c r="I8514" t="str" cm="1">
        <f t="array" ref="I8514">_xlfn.XLOOKUP(FACT_IMPORTS[[#This Row],[country_name]],DIM_COUNTRY[[#All],[Column2]],DIM_COUNTRY[[#All],[Column3]],,,)</f>
        <v>Major_Non-USMCA_Non-China</v>
      </c>
    </row>
    <row r="8515" spans="1:9" x14ac:dyDescent="0.4">
      <c r="A8515" t="s">
        <v>71</v>
      </c>
      <c r="B8515" s="1">
        <v>45778</v>
      </c>
      <c r="C8515">
        <v>840733</v>
      </c>
      <c r="D8515" t="s">
        <v>176</v>
      </c>
      <c r="E8515">
        <v>0</v>
      </c>
      <c r="F8515">
        <v>0</v>
      </c>
      <c r="G8515">
        <v>0</v>
      </c>
      <c r="H8515">
        <f>_xlfn.XLOOKUP(FACT_IMPORTS[[#This Row],[hts_6]],DIM_PRODUCTS[hts_6],DIM_PRODUCTS[hts_4],,,)</f>
        <v>8407</v>
      </c>
      <c r="I8515" t="str" cm="1">
        <f t="array" ref="I8515">_xlfn.XLOOKUP(FACT_IMPORTS[[#This Row],[country_name]],DIM_COUNTRY[[#All],[Column2]],DIM_COUNTRY[[#All],[Column3]],,,)</f>
        <v>Major_Non-USMCA_Non-China</v>
      </c>
    </row>
    <row r="8516" spans="1:9" x14ac:dyDescent="0.4">
      <c r="A8516" t="s">
        <v>71</v>
      </c>
      <c r="B8516" s="1">
        <v>45778</v>
      </c>
      <c r="C8516">
        <v>840734</v>
      </c>
      <c r="D8516" t="s">
        <v>176</v>
      </c>
      <c r="E8516">
        <v>15842</v>
      </c>
      <c r="F8516">
        <v>6</v>
      </c>
      <c r="G8516">
        <v>900</v>
      </c>
      <c r="H8516">
        <f>_xlfn.XLOOKUP(FACT_IMPORTS[[#This Row],[hts_6]],DIM_PRODUCTS[hts_6],DIM_PRODUCTS[hts_4],,,)</f>
        <v>8407</v>
      </c>
      <c r="I8516" t="str" cm="1">
        <f t="array" ref="I8516">_xlfn.XLOOKUP(FACT_IMPORTS[[#This Row],[country_name]],DIM_COUNTRY[[#All],[Column2]],DIM_COUNTRY[[#All],[Column3]],,,)</f>
        <v>Major_Non-USMCA_Non-China</v>
      </c>
    </row>
    <row r="8517" spans="1:9" x14ac:dyDescent="0.4">
      <c r="A8517" t="s">
        <v>71</v>
      </c>
      <c r="B8517" s="1">
        <v>45778</v>
      </c>
      <c r="C8517">
        <v>840790</v>
      </c>
      <c r="D8517" t="s">
        <v>176</v>
      </c>
      <c r="E8517">
        <v>27681</v>
      </c>
      <c r="F8517">
        <v>10</v>
      </c>
      <c r="G8517">
        <v>230</v>
      </c>
      <c r="H8517">
        <f>_xlfn.XLOOKUP(FACT_IMPORTS[[#This Row],[hts_6]],DIM_PRODUCTS[hts_6],DIM_PRODUCTS[hts_4],,,)</f>
        <v>8407</v>
      </c>
      <c r="I8517" t="str" cm="1">
        <f t="array" ref="I8517">_xlfn.XLOOKUP(FACT_IMPORTS[[#This Row],[country_name]],DIM_COUNTRY[[#All],[Column2]],DIM_COUNTRY[[#All],[Column3]],,,)</f>
        <v>Major_Non-USMCA_Non-China</v>
      </c>
    </row>
    <row r="8518" spans="1:9" x14ac:dyDescent="0.4">
      <c r="A8518" t="s">
        <v>71</v>
      </c>
      <c r="B8518" s="1">
        <v>45778</v>
      </c>
      <c r="C8518">
        <v>840820</v>
      </c>
      <c r="D8518" t="s">
        <v>176</v>
      </c>
      <c r="E8518">
        <v>14069</v>
      </c>
      <c r="F8518">
        <v>1</v>
      </c>
      <c r="G8518">
        <v>33</v>
      </c>
      <c r="H8518">
        <f>_xlfn.XLOOKUP(FACT_IMPORTS[[#This Row],[hts_6]],DIM_PRODUCTS[hts_6],DIM_PRODUCTS[hts_4],,,)</f>
        <v>8408</v>
      </c>
      <c r="I8518" t="str" cm="1">
        <f t="array" ref="I8518">_xlfn.XLOOKUP(FACT_IMPORTS[[#This Row],[country_name]],DIM_COUNTRY[[#All],[Column2]],DIM_COUNTRY[[#All],[Column3]],,,)</f>
        <v>Major_Non-USMCA_Non-China</v>
      </c>
    </row>
    <row r="8519" spans="1:9" x14ac:dyDescent="0.4">
      <c r="A8519" t="s">
        <v>71</v>
      </c>
      <c r="B8519" s="1">
        <v>45778</v>
      </c>
      <c r="C8519">
        <v>840890</v>
      </c>
      <c r="D8519" t="s">
        <v>176</v>
      </c>
      <c r="E8519">
        <v>20401</v>
      </c>
      <c r="F8519">
        <v>4</v>
      </c>
      <c r="G8519">
        <v>48</v>
      </c>
      <c r="H8519">
        <f>_xlfn.XLOOKUP(FACT_IMPORTS[[#This Row],[hts_6]],DIM_PRODUCTS[hts_6],DIM_PRODUCTS[hts_4],,,)</f>
        <v>8408</v>
      </c>
      <c r="I8519" t="str" cm="1">
        <f t="array" ref="I8519">_xlfn.XLOOKUP(FACT_IMPORTS[[#This Row],[country_name]],DIM_COUNTRY[[#All],[Column2]],DIM_COUNTRY[[#All],[Column3]],,,)</f>
        <v>Major_Non-USMCA_Non-China</v>
      </c>
    </row>
    <row r="8520" spans="1:9" x14ac:dyDescent="0.4">
      <c r="A8520" t="s">
        <v>71</v>
      </c>
      <c r="B8520" s="1">
        <v>45778</v>
      </c>
      <c r="C8520">
        <v>840991</v>
      </c>
      <c r="D8520" t="s">
        <v>176</v>
      </c>
      <c r="E8520">
        <v>3839113</v>
      </c>
      <c r="F8520">
        <v>295440</v>
      </c>
      <c r="G8520">
        <v>94995</v>
      </c>
      <c r="H8520">
        <f>_xlfn.XLOOKUP(FACT_IMPORTS[[#This Row],[hts_6]],DIM_PRODUCTS[hts_6],DIM_PRODUCTS[hts_4],,,)</f>
        <v>8409</v>
      </c>
      <c r="I8520" t="str" cm="1">
        <f t="array" ref="I8520">_xlfn.XLOOKUP(FACT_IMPORTS[[#This Row],[country_name]],DIM_COUNTRY[[#All],[Column2]],DIM_COUNTRY[[#All],[Column3]],,,)</f>
        <v>Major_Non-USMCA_Non-China</v>
      </c>
    </row>
    <row r="8521" spans="1:9" x14ac:dyDescent="0.4">
      <c r="A8521" t="s">
        <v>71</v>
      </c>
      <c r="B8521" s="1">
        <v>45778</v>
      </c>
      <c r="C8521">
        <v>840999</v>
      </c>
      <c r="D8521" t="s">
        <v>176</v>
      </c>
      <c r="E8521">
        <v>832206</v>
      </c>
      <c r="F8521">
        <v>102353</v>
      </c>
      <c r="G8521">
        <v>1244</v>
      </c>
      <c r="H8521">
        <f>_xlfn.XLOOKUP(FACT_IMPORTS[[#This Row],[hts_6]],DIM_PRODUCTS[hts_6],DIM_PRODUCTS[hts_4],,,)</f>
        <v>8409</v>
      </c>
      <c r="I8521" t="str" cm="1">
        <f t="array" ref="I8521">_xlfn.XLOOKUP(FACT_IMPORTS[[#This Row],[country_name]],DIM_COUNTRY[[#All],[Column2]],DIM_COUNTRY[[#All],[Column3]],,,)</f>
        <v>Major_Non-USMCA_Non-China</v>
      </c>
    </row>
    <row r="8522" spans="1:9" x14ac:dyDescent="0.4">
      <c r="A8522" t="s">
        <v>71</v>
      </c>
      <c r="B8522" s="1">
        <v>45778</v>
      </c>
      <c r="C8522">
        <v>841330</v>
      </c>
      <c r="D8522" t="s">
        <v>176</v>
      </c>
      <c r="E8522">
        <v>1728731</v>
      </c>
      <c r="F8522">
        <v>45804</v>
      </c>
      <c r="G8522">
        <v>12074</v>
      </c>
      <c r="H8522">
        <f>_xlfn.XLOOKUP(FACT_IMPORTS[[#This Row],[hts_6]],DIM_PRODUCTS[hts_6],DIM_PRODUCTS[hts_4],,,)</f>
        <v>8413</v>
      </c>
      <c r="I8522" t="str" cm="1">
        <f t="array" ref="I8522">_xlfn.XLOOKUP(FACT_IMPORTS[[#This Row],[country_name]],DIM_COUNTRY[[#All],[Column2]],DIM_COUNTRY[[#All],[Column3]],,,)</f>
        <v>Major_Non-USMCA_Non-China</v>
      </c>
    </row>
    <row r="8523" spans="1:9" x14ac:dyDescent="0.4">
      <c r="A8523" t="s">
        <v>71</v>
      </c>
      <c r="B8523" s="1">
        <v>45778</v>
      </c>
      <c r="C8523">
        <v>841520</v>
      </c>
      <c r="D8523" t="s">
        <v>176</v>
      </c>
      <c r="E8523">
        <v>0</v>
      </c>
      <c r="F8523">
        <v>0</v>
      </c>
      <c r="G8523">
        <v>0</v>
      </c>
      <c r="H8523">
        <f>_xlfn.XLOOKUP(FACT_IMPORTS[[#This Row],[hts_6]],DIM_PRODUCTS[hts_6],DIM_PRODUCTS[hts_4],,,)</f>
        <v>8415</v>
      </c>
      <c r="I8523" t="str" cm="1">
        <f t="array" ref="I8523">_xlfn.XLOOKUP(FACT_IMPORTS[[#This Row],[country_name]],DIM_COUNTRY[[#All],[Column2]],DIM_COUNTRY[[#All],[Column3]],,,)</f>
        <v>Major_Non-USMCA_Non-China</v>
      </c>
    </row>
    <row r="8524" spans="1:9" x14ac:dyDescent="0.4">
      <c r="A8524" t="s">
        <v>71</v>
      </c>
      <c r="B8524" s="1">
        <v>45778</v>
      </c>
      <c r="C8524">
        <v>842132</v>
      </c>
      <c r="D8524" t="s">
        <v>176</v>
      </c>
      <c r="E8524">
        <v>2013</v>
      </c>
      <c r="F8524">
        <v>1</v>
      </c>
      <c r="G8524">
        <v>9</v>
      </c>
      <c r="H8524">
        <f>_xlfn.XLOOKUP(FACT_IMPORTS[[#This Row],[hts_6]],DIM_PRODUCTS[hts_6],DIM_PRODUCTS[hts_4],,,)</f>
        <v>8421</v>
      </c>
      <c r="I8524" t="str" cm="1">
        <f t="array" ref="I8524">_xlfn.XLOOKUP(FACT_IMPORTS[[#This Row],[country_name]],DIM_COUNTRY[[#All],[Column2]],DIM_COUNTRY[[#All],[Column3]],,,)</f>
        <v>Major_Non-USMCA_Non-China</v>
      </c>
    </row>
    <row r="8525" spans="1:9" x14ac:dyDescent="0.4">
      <c r="A8525" t="s">
        <v>71</v>
      </c>
      <c r="B8525" s="1">
        <v>45778</v>
      </c>
      <c r="C8525">
        <v>848210</v>
      </c>
      <c r="D8525" t="s">
        <v>176</v>
      </c>
      <c r="E8525">
        <v>28792</v>
      </c>
      <c r="F8525">
        <v>946</v>
      </c>
      <c r="G8525">
        <v>360</v>
      </c>
      <c r="H8525">
        <f>_xlfn.XLOOKUP(FACT_IMPORTS[[#This Row],[hts_6]],DIM_PRODUCTS[hts_6],DIM_PRODUCTS[hts_4],,,)</f>
        <v>8482</v>
      </c>
      <c r="I8525" t="str" cm="1">
        <f t="array" ref="I8525">_xlfn.XLOOKUP(FACT_IMPORTS[[#This Row],[country_name]],DIM_COUNTRY[[#All],[Column2]],DIM_COUNTRY[[#All],[Column3]],,,)</f>
        <v>Major_Non-USMCA_Non-China</v>
      </c>
    </row>
    <row r="8526" spans="1:9" x14ac:dyDescent="0.4">
      <c r="A8526" t="s">
        <v>71</v>
      </c>
      <c r="B8526" s="1">
        <v>45778</v>
      </c>
      <c r="C8526">
        <v>848220</v>
      </c>
      <c r="D8526" t="s">
        <v>176</v>
      </c>
      <c r="E8526">
        <v>214756</v>
      </c>
      <c r="F8526">
        <v>14624</v>
      </c>
      <c r="G8526">
        <v>1593</v>
      </c>
      <c r="H8526">
        <f>_xlfn.XLOOKUP(FACT_IMPORTS[[#This Row],[hts_6]],DIM_PRODUCTS[hts_6],DIM_PRODUCTS[hts_4],,,)</f>
        <v>8482</v>
      </c>
      <c r="I8526" t="str" cm="1">
        <f t="array" ref="I8526">_xlfn.XLOOKUP(FACT_IMPORTS[[#This Row],[country_name]],DIM_COUNTRY[[#All],[Column2]],DIM_COUNTRY[[#All],[Column3]],,,)</f>
        <v>Major_Non-USMCA_Non-China</v>
      </c>
    </row>
    <row r="8527" spans="1:9" x14ac:dyDescent="0.4">
      <c r="A8527" t="s">
        <v>71</v>
      </c>
      <c r="B8527" s="1">
        <v>45778</v>
      </c>
      <c r="C8527">
        <v>848310</v>
      </c>
      <c r="D8527" t="s">
        <v>176</v>
      </c>
      <c r="E8527">
        <v>659830</v>
      </c>
      <c r="F8527">
        <v>23128</v>
      </c>
      <c r="G8527">
        <v>31119</v>
      </c>
      <c r="H8527">
        <f>_xlfn.XLOOKUP(FACT_IMPORTS[[#This Row],[hts_6]],DIM_PRODUCTS[hts_6],DIM_PRODUCTS[hts_4],,,)</f>
        <v>8483</v>
      </c>
      <c r="I8527" t="str" cm="1">
        <f t="array" ref="I8527">_xlfn.XLOOKUP(FACT_IMPORTS[[#This Row],[country_name]],DIM_COUNTRY[[#All],[Column2]],DIM_COUNTRY[[#All],[Column3]],,,)</f>
        <v>Major_Non-USMCA_Non-China</v>
      </c>
    </row>
    <row r="8528" spans="1:9" x14ac:dyDescent="0.4">
      <c r="A8528" t="s">
        <v>71</v>
      </c>
      <c r="B8528" s="1">
        <v>45778</v>
      </c>
      <c r="C8528">
        <v>850131</v>
      </c>
      <c r="D8528" t="s">
        <v>176</v>
      </c>
      <c r="E8528">
        <v>3870116</v>
      </c>
      <c r="F8528">
        <v>120604</v>
      </c>
      <c r="G8528">
        <v>48913</v>
      </c>
      <c r="H8528">
        <f>_xlfn.XLOOKUP(FACT_IMPORTS[[#This Row],[hts_6]],DIM_PRODUCTS[hts_6],DIM_PRODUCTS[hts_4],,,)</f>
        <v>8501</v>
      </c>
      <c r="I8528" t="str" cm="1">
        <f t="array" ref="I8528">_xlfn.XLOOKUP(FACT_IMPORTS[[#This Row],[country_name]],DIM_COUNTRY[[#All],[Column2]],DIM_COUNTRY[[#All],[Column3]],,,)</f>
        <v>Major_Non-USMCA_Non-China</v>
      </c>
    </row>
    <row r="8529" spans="1:9" x14ac:dyDescent="0.4">
      <c r="A8529" t="s">
        <v>71</v>
      </c>
      <c r="B8529" s="1">
        <v>45778</v>
      </c>
      <c r="C8529">
        <v>850132</v>
      </c>
      <c r="D8529" t="s">
        <v>176</v>
      </c>
      <c r="E8529">
        <v>0</v>
      </c>
      <c r="F8529">
        <v>0</v>
      </c>
      <c r="G8529">
        <v>0</v>
      </c>
      <c r="H8529">
        <f>_xlfn.XLOOKUP(FACT_IMPORTS[[#This Row],[hts_6]],DIM_PRODUCTS[hts_6],DIM_PRODUCTS[hts_4],,,)</f>
        <v>8501</v>
      </c>
      <c r="I8529" t="str" cm="1">
        <f t="array" ref="I8529">_xlfn.XLOOKUP(FACT_IMPORTS[[#This Row],[country_name]],DIM_COUNTRY[[#All],[Column2]],DIM_COUNTRY[[#All],[Column3]],,,)</f>
        <v>Major_Non-USMCA_Non-China</v>
      </c>
    </row>
    <row r="8530" spans="1:9" x14ac:dyDescent="0.4">
      <c r="A8530" t="s">
        <v>71</v>
      </c>
      <c r="B8530" s="1">
        <v>45778</v>
      </c>
      <c r="C8530">
        <v>850152</v>
      </c>
      <c r="D8530" t="s">
        <v>176</v>
      </c>
      <c r="E8530">
        <v>274822</v>
      </c>
      <c r="F8530">
        <v>409</v>
      </c>
      <c r="G8530">
        <v>5318</v>
      </c>
      <c r="H8530">
        <f>_xlfn.XLOOKUP(FACT_IMPORTS[[#This Row],[hts_6]],DIM_PRODUCTS[hts_6],DIM_PRODUCTS[hts_4],,,)</f>
        <v>8501</v>
      </c>
      <c r="I8530" t="str" cm="1">
        <f t="array" ref="I8530">_xlfn.XLOOKUP(FACT_IMPORTS[[#This Row],[country_name]],DIM_COUNTRY[[#All],[Column2]],DIM_COUNTRY[[#All],[Column3]],,,)</f>
        <v>Major_Non-USMCA_Non-China</v>
      </c>
    </row>
    <row r="8531" spans="1:9" x14ac:dyDescent="0.4">
      <c r="A8531" t="s">
        <v>71</v>
      </c>
      <c r="B8531" s="1">
        <v>45778</v>
      </c>
      <c r="C8531">
        <v>850153</v>
      </c>
      <c r="D8531" t="s">
        <v>176</v>
      </c>
      <c r="E8531">
        <v>0</v>
      </c>
      <c r="F8531">
        <v>0</v>
      </c>
      <c r="G8531">
        <v>0</v>
      </c>
      <c r="H8531">
        <f>_xlfn.XLOOKUP(FACT_IMPORTS[[#This Row],[hts_6]],DIM_PRODUCTS[hts_6],DIM_PRODUCTS[hts_4],,,)</f>
        <v>8501</v>
      </c>
      <c r="I8531" t="str" cm="1">
        <f t="array" ref="I8531">_xlfn.XLOOKUP(FACT_IMPORTS[[#This Row],[country_name]],DIM_COUNTRY[[#All],[Column2]],DIM_COUNTRY[[#All],[Column3]],,,)</f>
        <v>Major_Non-USMCA_Non-China</v>
      </c>
    </row>
    <row r="8532" spans="1:9" x14ac:dyDescent="0.4">
      <c r="A8532" t="s">
        <v>71</v>
      </c>
      <c r="B8532" s="1">
        <v>45778</v>
      </c>
      <c r="C8532">
        <v>850161</v>
      </c>
      <c r="D8532" t="s">
        <v>176</v>
      </c>
      <c r="E8532">
        <v>27593</v>
      </c>
      <c r="F8532">
        <v>100</v>
      </c>
      <c r="G8532">
        <v>60</v>
      </c>
      <c r="H8532">
        <f>_xlfn.XLOOKUP(FACT_IMPORTS[[#This Row],[hts_6]],DIM_PRODUCTS[hts_6],DIM_PRODUCTS[hts_4],,,)</f>
        <v>8501</v>
      </c>
      <c r="I8532" t="str" cm="1">
        <f t="array" ref="I8532">_xlfn.XLOOKUP(FACT_IMPORTS[[#This Row],[country_name]],DIM_COUNTRY[[#All],[Column2]],DIM_COUNTRY[[#All],[Column3]],,,)</f>
        <v>Major_Non-USMCA_Non-China</v>
      </c>
    </row>
    <row r="8533" spans="1:9" x14ac:dyDescent="0.4">
      <c r="A8533" t="s">
        <v>71</v>
      </c>
      <c r="B8533" s="1">
        <v>45778</v>
      </c>
      <c r="C8533">
        <v>850440</v>
      </c>
      <c r="D8533" t="s">
        <v>176</v>
      </c>
      <c r="E8533">
        <v>377271</v>
      </c>
      <c r="F8533">
        <v>489</v>
      </c>
      <c r="G8533">
        <v>6089</v>
      </c>
      <c r="H8533">
        <f>_xlfn.XLOOKUP(FACT_IMPORTS[[#This Row],[hts_6]],DIM_PRODUCTS[hts_6],DIM_PRODUCTS[hts_4],,,)</f>
        <v>8504</v>
      </c>
      <c r="I8533" t="str" cm="1">
        <f t="array" ref="I8533">_xlfn.XLOOKUP(FACT_IMPORTS[[#This Row],[country_name]],DIM_COUNTRY[[#All],[Column2]],DIM_COUNTRY[[#All],[Column3]],,,)</f>
        <v>Major_Non-USMCA_Non-China</v>
      </c>
    </row>
    <row r="8534" spans="1:9" x14ac:dyDescent="0.4">
      <c r="A8534" t="s">
        <v>71</v>
      </c>
      <c r="B8534" s="1">
        <v>45778</v>
      </c>
      <c r="C8534">
        <v>850710</v>
      </c>
      <c r="D8534" t="s">
        <v>176</v>
      </c>
      <c r="E8534">
        <v>0</v>
      </c>
      <c r="F8534">
        <v>0</v>
      </c>
      <c r="G8534">
        <v>0</v>
      </c>
      <c r="H8534">
        <f>_xlfn.XLOOKUP(FACT_IMPORTS[[#This Row],[hts_6]],DIM_PRODUCTS[hts_6],DIM_PRODUCTS[hts_4],,,)</f>
        <v>8507</v>
      </c>
      <c r="I8534" t="str" cm="1">
        <f t="array" ref="I8534">_xlfn.XLOOKUP(FACT_IMPORTS[[#This Row],[country_name]],DIM_COUNTRY[[#All],[Column2]],DIM_COUNTRY[[#All],[Column3]],,,)</f>
        <v>Major_Non-USMCA_Non-China</v>
      </c>
    </row>
    <row r="8535" spans="1:9" x14ac:dyDescent="0.4">
      <c r="A8535" t="s">
        <v>71</v>
      </c>
      <c r="B8535" s="1">
        <v>45778</v>
      </c>
      <c r="C8535">
        <v>850760</v>
      </c>
      <c r="D8535" t="s">
        <v>176</v>
      </c>
      <c r="E8535">
        <v>80924</v>
      </c>
      <c r="F8535">
        <v>136</v>
      </c>
      <c r="G8535">
        <v>1271</v>
      </c>
      <c r="H8535">
        <f>_xlfn.XLOOKUP(FACT_IMPORTS[[#This Row],[hts_6]],DIM_PRODUCTS[hts_6],DIM_PRODUCTS[hts_4],,,)</f>
        <v>8507</v>
      </c>
      <c r="I8535" t="str" cm="1">
        <f t="array" ref="I8535">_xlfn.XLOOKUP(FACT_IMPORTS[[#This Row],[country_name]],DIM_COUNTRY[[#All],[Column2]],DIM_COUNTRY[[#All],[Column3]],,,)</f>
        <v>Major_Non-USMCA_Non-China</v>
      </c>
    </row>
    <row r="8536" spans="1:9" x14ac:dyDescent="0.4">
      <c r="A8536" t="s">
        <v>71</v>
      </c>
      <c r="B8536" s="1">
        <v>45778</v>
      </c>
      <c r="C8536">
        <v>851110</v>
      </c>
      <c r="D8536" t="s">
        <v>176</v>
      </c>
      <c r="E8536">
        <v>686509</v>
      </c>
      <c r="F8536">
        <v>3585</v>
      </c>
      <c r="G8536">
        <v>13959</v>
      </c>
      <c r="H8536">
        <f>_xlfn.XLOOKUP(FACT_IMPORTS[[#This Row],[hts_6]],DIM_PRODUCTS[hts_6],DIM_PRODUCTS[hts_4],,,)</f>
        <v>8511</v>
      </c>
      <c r="I8536" t="str" cm="1">
        <f t="array" ref="I8536">_xlfn.XLOOKUP(FACT_IMPORTS[[#This Row],[country_name]],DIM_COUNTRY[[#All],[Column2]],DIM_COUNTRY[[#All],[Column3]],,,)</f>
        <v>Major_Non-USMCA_Non-China</v>
      </c>
    </row>
    <row r="8537" spans="1:9" x14ac:dyDescent="0.4">
      <c r="A8537" t="s">
        <v>71</v>
      </c>
      <c r="B8537" s="1">
        <v>45778</v>
      </c>
      <c r="C8537">
        <v>851130</v>
      </c>
      <c r="D8537" t="s">
        <v>176</v>
      </c>
      <c r="E8537">
        <v>1012833</v>
      </c>
      <c r="F8537">
        <v>130661</v>
      </c>
      <c r="G8537">
        <v>15688</v>
      </c>
      <c r="H8537">
        <f>_xlfn.XLOOKUP(FACT_IMPORTS[[#This Row],[hts_6]],DIM_PRODUCTS[hts_6],DIM_PRODUCTS[hts_4],,,)</f>
        <v>8511</v>
      </c>
      <c r="I8537" t="str" cm="1">
        <f t="array" ref="I8537">_xlfn.XLOOKUP(FACT_IMPORTS[[#This Row],[country_name]],DIM_COUNTRY[[#All],[Column2]],DIM_COUNTRY[[#All],[Column3]],,,)</f>
        <v>Major_Non-USMCA_Non-China</v>
      </c>
    </row>
    <row r="8538" spans="1:9" x14ac:dyDescent="0.4">
      <c r="A8538" t="s">
        <v>71</v>
      </c>
      <c r="B8538" s="1">
        <v>45778</v>
      </c>
      <c r="C8538">
        <v>851140</v>
      </c>
      <c r="D8538" t="s">
        <v>176</v>
      </c>
      <c r="E8538">
        <v>1947603</v>
      </c>
      <c r="F8538">
        <v>34753</v>
      </c>
      <c r="G8538">
        <v>7606</v>
      </c>
      <c r="H8538">
        <f>_xlfn.XLOOKUP(FACT_IMPORTS[[#This Row],[hts_6]],DIM_PRODUCTS[hts_6],DIM_PRODUCTS[hts_4],,,)</f>
        <v>8511</v>
      </c>
      <c r="I8538" t="str" cm="1">
        <f t="array" ref="I8538">_xlfn.XLOOKUP(FACT_IMPORTS[[#This Row],[country_name]],DIM_COUNTRY[[#All],[Column2]],DIM_COUNTRY[[#All],[Column3]],,,)</f>
        <v>Major_Non-USMCA_Non-China</v>
      </c>
    </row>
    <row r="8539" spans="1:9" x14ac:dyDescent="0.4">
      <c r="A8539" t="s">
        <v>71</v>
      </c>
      <c r="B8539" s="1">
        <v>45778</v>
      </c>
      <c r="C8539">
        <v>851150</v>
      </c>
      <c r="D8539" t="s">
        <v>176</v>
      </c>
      <c r="E8539">
        <v>98140</v>
      </c>
      <c r="F8539">
        <v>897</v>
      </c>
      <c r="G8539">
        <v>525</v>
      </c>
      <c r="H8539">
        <f>_xlfn.XLOOKUP(FACT_IMPORTS[[#This Row],[hts_6]],DIM_PRODUCTS[hts_6],DIM_PRODUCTS[hts_4],,,)</f>
        <v>8511</v>
      </c>
      <c r="I8539" t="str" cm="1">
        <f t="array" ref="I8539">_xlfn.XLOOKUP(FACT_IMPORTS[[#This Row],[country_name]],DIM_COUNTRY[[#All],[Column2]],DIM_COUNTRY[[#All],[Column3]],,,)</f>
        <v>Major_Non-USMCA_Non-China</v>
      </c>
    </row>
    <row r="8540" spans="1:9" x14ac:dyDescent="0.4">
      <c r="A8540" t="s">
        <v>71</v>
      </c>
      <c r="B8540" s="1">
        <v>45778</v>
      </c>
      <c r="C8540">
        <v>851180</v>
      </c>
      <c r="D8540" t="s">
        <v>176</v>
      </c>
      <c r="E8540">
        <v>40323</v>
      </c>
      <c r="F8540">
        <v>729</v>
      </c>
      <c r="G8540">
        <v>259</v>
      </c>
      <c r="H8540">
        <f>_xlfn.XLOOKUP(FACT_IMPORTS[[#This Row],[hts_6]],DIM_PRODUCTS[hts_6],DIM_PRODUCTS[hts_4],,,)</f>
        <v>8511</v>
      </c>
      <c r="I8540" t="str" cm="1">
        <f t="array" ref="I8540">_xlfn.XLOOKUP(FACT_IMPORTS[[#This Row],[country_name]],DIM_COUNTRY[[#All],[Column2]],DIM_COUNTRY[[#All],[Column3]],,,)</f>
        <v>Major_Non-USMCA_Non-China</v>
      </c>
    </row>
    <row r="8541" spans="1:9" x14ac:dyDescent="0.4">
      <c r="A8541" t="s">
        <v>71</v>
      </c>
      <c r="B8541" s="1">
        <v>45778</v>
      </c>
      <c r="C8541">
        <v>851190</v>
      </c>
      <c r="D8541" t="s">
        <v>176</v>
      </c>
      <c r="E8541">
        <v>7748</v>
      </c>
      <c r="F8541">
        <v>368</v>
      </c>
      <c r="G8541">
        <v>20</v>
      </c>
      <c r="H8541">
        <f>_xlfn.XLOOKUP(FACT_IMPORTS[[#This Row],[hts_6]],DIM_PRODUCTS[hts_6],DIM_PRODUCTS[hts_4],,,)</f>
        <v>8511</v>
      </c>
      <c r="I8541" t="str" cm="1">
        <f t="array" ref="I8541">_xlfn.XLOOKUP(FACT_IMPORTS[[#This Row],[country_name]],DIM_COUNTRY[[#All],[Column2]],DIM_COUNTRY[[#All],[Column3]],,,)</f>
        <v>Major_Non-USMCA_Non-China</v>
      </c>
    </row>
    <row r="8542" spans="1:9" x14ac:dyDescent="0.4">
      <c r="A8542" t="s">
        <v>71</v>
      </c>
      <c r="B8542" s="1">
        <v>45778</v>
      </c>
      <c r="C8542">
        <v>851220</v>
      </c>
      <c r="D8542" t="s">
        <v>176</v>
      </c>
      <c r="E8542">
        <v>0</v>
      </c>
      <c r="F8542">
        <v>0</v>
      </c>
      <c r="G8542">
        <v>0</v>
      </c>
      <c r="H8542">
        <f>_xlfn.XLOOKUP(FACT_IMPORTS[[#This Row],[hts_6]],DIM_PRODUCTS[hts_6],DIM_PRODUCTS[hts_4],,,)</f>
        <v>8512</v>
      </c>
      <c r="I8542" t="str" cm="1">
        <f t="array" ref="I8542">_xlfn.XLOOKUP(FACT_IMPORTS[[#This Row],[country_name]],DIM_COUNTRY[[#All],[Column2]],DIM_COUNTRY[[#All],[Column3]],,,)</f>
        <v>Major_Non-USMCA_Non-China</v>
      </c>
    </row>
    <row r="8543" spans="1:9" x14ac:dyDescent="0.4">
      <c r="A8543" t="s">
        <v>71</v>
      </c>
      <c r="B8543" s="1">
        <v>45778</v>
      </c>
      <c r="C8543">
        <v>851230</v>
      </c>
      <c r="D8543" t="s">
        <v>176</v>
      </c>
      <c r="E8543">
        <v>40778</v>
      </c>
      <c r="F8543">
        <v>6447</v>
      </c>
      <c r="G8543">
        <v>222</v>
      </c>
      <c r="H8543">
        <f>_xlfn.XLOOKUP(FACT_IMPORTS[[#This Row],[hts_6]],DIM_PRODUCTS[hts_6],DIM_PRODUCTS[hts_4],,,)</f>
        <v>8512</v>
      </c>
      <c r="I8543" t="str" cm="1">
        <f t="array" ref="I8543">_xlfn.XLOOKUP(FACT_IMPORTS[[#This Row],[country_name]],DIM_COUNTRY[[#All],[Column2]],DIM_COUNTRY[[#All],[Column3]],,,)</f>
        <v>Major_Non-USMCA_Non-China</v>
      </c>
    </row>
    <row r="8544" spans="1:9" x14ac:dyDescent="0.4">
      <c r="A8544" t="s">
        <v>71</v>
      </c>
      <c r="B8544" s="1">
        <v>45778</v>
      </c>
      <c r="C8544">
        <v>851290</v>
      </c>
      <c r="D8544" t="s">
        <v>176</v>
      </c>
      <c r="E8544">
        <v>69125</v>
      </c>
      <c r="F8544">
        <v>1771</v>
      </c>
      <c r="G8544">
        <v>517</v>
      </c>
      <c r="H8544">
        <f>_xlfn.XLOOKUP(FACT_IMPORTS[[#This Row],[hts_6]],DIM_PRODUCTS[hts_6],DIM_PRODUCTS[hts_4],,,)</f>
        <v>8512</v>
      </c>
      <c r="I8544" t="str" cm="1">
        <f t="array" ref="I8544">_xlfn.XLOOKUP(FACT_IMPORTS[[#This Row],[country_name]],DIM_COUNTRY[[#All],[Column2]],DIM_COUNTRY[[#All],[Column3]],,,)</f>
        <v>Major_Non-USMCA_Non-China</v>
      </c>
    </row>
    <row r="8545" spans="1:9" x14ac:dyDescent="0.4">
      <c r="A8545" t="s">
        <v>71</v>
      </c>
      <c r="B8545" s="1">
        <v>45778</v>
      </c>
      <c r="C8545">
        <v>854231</v>
      </c>
      <c r="D8545" t="s">
        <v>176</v>
      </c>
      <c r="E8545">
        <v>107222</v>
      </c>
      <c r="F8545">
        <v>10720</v>
      </c>
      <c r="G8545">
        <v>1395</v>
      </c>
      <c r="H8545">
        <f>_xlfn.XLOOKUP(FACT_IMPORTS[[#This Row],[hts_6]],DIM_PRODUCTS[hts_6],DIM_PRODUCTS[hts_4],,,)</f>
        <v>8542</v>
      </c>
      <c r="I8545" t="str" cm="1">
        <f t="array" ref="I8545">_xlfn.XLOOKUP(FACT_IMPORTS[[#This Row],[country_name]],DIM_COUNTRY[[#All],[Column2]],DIM_COUNTRY[[#All],[Column3]],,,)</f>
        <v>Major_Non-USMCA_Non-China</v>
      </c>
    </row>
    <row r="8546" spans="1:9" x14ac:dyDescent="0.4">
      <c r="A8546" t="s">
        <v>71</v>
      </c>
      <c r="B8546" s="1">
        <v>45778</v>
      </c>
      <c r="C8546">
        <v>854232</v>
      </c>
      <c r="D8546" t="s">
        <v>176</v>
      </c>
      <c r="E8546">
        <v>39710</v>
      </c>
      <c r="F8546">
        <v>375</v>
      </c>
      <c r="G8546">
        <v>1415</v>
      </c>
      <c r="H8546">
        <f>_xlfn.XLOOKUP(FACT_IMPORTS[[#This Row],[hts_6]],DIM_PRODUCTS[hts_6],DIM_PRODUCTS[hts_4],,,)</f>
        <v>8542</v>
      </c>
      <c r="I8546" t="str" cm="1">
        <f t="array" ref="I8546">_xlfn.XLOOKUP(FACT_IMPORTS[[#This Row],[country_name]],DIM_COUNTRY[[#All],[Column2]],DIM_COUNTRY[[#All],[Column3]],,,)</f>
        <v>Major_Non-USMCA_Non-China</v>
      </c>
    </row>
    <row r="8547" spans="1:9" x14ac:dyDescent="0.4">
      <c r="A8547" t="s">
        <v>71</v>
      </c>
      <c r="B8547" s="1">
        <v>45778</v>
      </c>
      <c r="C8547">
        <v>854239</v>
      </c>
      <c r="D8547" t="s">
        <v>176</v>
      </c>
      <c r="E8547">
        <v>2640</v>
      </c>
      <c r="F8547">
        <v>15000</v>
      </c>
      <c r="G8547">
        <v>640</v>
      </c>
      <c r="H8547">
        <f>_xlfn.XLOOKUP(FACT_IMPORTS[[#This Row],[hts_6]],DIM_PRODUCTS[hts_6],DIM_PRODUCTS[hts_4],,,)</f>
        <v>8542</v>
      </c>
      <c r="I8547" t="str" cm="1">
        <f t="array" ref="I8547">_xlfn.XLOOKUP(FACT_IMPORTS[[#This Row],[country_name]],DIM_COUNTRY[[#All],[Column2]],DIM_COUNTRY[[#All],[Column3]],,,)</f>
        <v>Major_Non-USMCA_Non-China</v>
      </c>
    </row>
    <row r="8548" spans="1:9" x14ac:dyDescent="0.4">
      <c r="A8548" t="s">
        <v>71</v>
      </c>
      <c r="B8548" s="1">
        <v>45778</v>
      </c>
      <c r="C8548">
        <v>854290</v>
      </c>
      <c r="D8548" t="s">
        <v>176</v>
      </c>
      <c r="E8548">
        <v>0</v>
      </c>
      <c r="F8548">
        <v>0</v>
      </c>
      <c r="G8548">
        <v>0</v>
      </c>
      <c r="H8548">
        <f>_xlfn.XLOOKUP(FACT_IMPORTS[[#This Row],[hts_6]],DIM_PRODUCTS[hts_6],DIM_PRODUCTS[hts_4],,,)</f>
        <v>8542</v>
      </c>
      <c r="I8548" t="str" cm="1">
        <f t="array" ref="I8548">_xlfn.XLOOKUP(FACT_IMPORTS[[#This Row],[country_name]],DIM_COUNTRY[[#All],[Column2]],DIM_COUNTRY[[#All],[Column3]],,,)</f>
        <v>Major_Non-USMCA_Non-China</v>
      </c>
    </row>
    <row r="8549" spans="1:9" x14ac:dyDescent="0.4">
      <c r="A8549" t="s">
        <v>71</v>
      </c>
      <c r="B8549" s="1">
        <v>45778</v>
      </c>
      <c r="C8549">
        <v>854430</v>
      </c>
      <c r="D8549" t="s">
        <v>176</v>
      </c>
      <c r="E8549">
        <v>0</v>
      </c>
      <c r="F8549">
        <v>0</v>
      </c>
      <c r="G8549">
        <v>0</v>
      </c>
      <c r="H8549">
        <f>_xlfn.XLOOKUP(FACT_IMPORTS[[#This Row],[hts_6]],DIM_PRODUCTS[hts_6],DIM_PRODUCTS[hts_4],,,)</f>
        <v>8544</v>
      </c>
      <c r="I8549" t="str" cm="1">
        <f t="array" ref="I8549">_xlfn.XLOOKUP(FACT_IMPORTS[[#This Row],[country_name]],DIM_COUNTRY[[#All],[Column2]],DIM_COUNTRY[[#All],[Column3]],,,)</f>
        <v>Major_Non-USMCA_Non-China</v>
      </c>
    </row>
    <row r="8550" spans="1:9" x14ac:dyDescent="0.4">
      <c r="A8550" t="s">
        <v>71</v>
      </c>
      <c r="B8550" s="1">
        <v>45778</v>
      </c>
      <c r="C8550">
        <v>870710</v>
      </c>
      <c r="D8550" t="s">
        <v>176</v>
      </c>
      <c r="E8550">
        <v>0</v>
      </c>
      <c r="F8550">
        <v>0</v>
      </c>
      <c r="G8550">
        <v>0</v>
      </c>
      <c r="H8550">
        <f>_xlfn.XLOOKUP(FACT_IMPORTS[[#This Row],[hts_6]],DIM_PRODUCTS[hts_6],DIM_PRODUCTS[hts_4],,,)</f>
        <v>8707</v>
      </c>
      <c r="I8550" t="str" cm="1">
        <f t="array" ref="I8550">_xlfn.XLOOKUP(FACT_IMPORTS[[#This Row],[country_name]],DIM_COUNTRY[[#All],[Column2]],DIM_COUNTRY[[#All],[Column3]],,,)</f>
        <v>Major_Non-USMCA_Non-China</v>
      </c>
    </row>
    <row r="8551" spans="1:9" x14ac:dyDescent="0.4">
      <c r="A8551" t="s">
        <v>71</v>
      </c>
      <c r="B8551" s="1">
        <v>45778</v>
      </c>
      <c r="C8551">
        <v>870790</v>
      </c>
      <c r="D8551" t="s">
        <v>176</v>
      </c>
      <c r="E8551">
        <v>0</v>
      </c>
      <c r="F8551">
        <v>0</v>
      </c>
      <c r="G8551">
        <v>0</v>
      </c>
      <c r="H8551">
        <f>_xlfn.XLOOKUP(FACT_IMPORTS[[#This Row],[hts_6]],DIM_PRODUCTS[hts_6],DIM_PRODUCTS[hts_4],,,)</f>
        <v>8707</v>
      </c>
      <c r="I8551" t="str" cm="1">
        <f t="array" ref="I8551">_xlfn.XLOOKUP(FACT_IMPORTS[[#This Row],[country_name]],DIM_COUNTRY[[#All],[Column2]],DIM_COUNTRY[[#All],[Column3]],,,)</f>
        <v>Major_Non-USMCA_Non-China</v>
      </c>
    </row>
    <row r="8552" spans="1:9" x14ac:dyDescent="0.4">
      <c r="A8552" t="s">
        <v>71</v>
      </c>
      <c r="B8552" s="1">
        <v>45778</v>
      </c>
      <c r="C8552">
        <v>870810</v>
      </c>
      <c r="D8552" t="s">
        <v>176</v>
      </c>
      <c r="E8552">
        <v>0</v>
      </c>
      <c r="F8552">
        <v>0</v>
      </c>
      <c r="G8552">
        <v>0</v>
      </c>
      <c r="H8552">
        <f>_xlfn.XLOOKUP(FACT_IMPORTS[[#This Row],[hts_6]],DIM_PRODUCTS[hts_6],DIM_PRODUCTS[hts_4],,,)</f>
        <v>8708</v>
      </c>
      <c r="I8552" t="str" cm="1">
        <f t="array" ref="I8552">_xlfn.XLOOKUP(FACT_IMPORTS[[#This Row],[country_name]],DIM_COUNTRY[[#All],[Column2]],DIM_COUNTRY[[#All],[Column3]],,,)</f>
        <v>Major_Non-USMCA_Non-China</v>
      </c>
    </row>
    <row r="8553" spans="1:9" x14ac:dyDescent="0.4">
      <c r="A8553" t="s">
        <v>71</v>
      </c>
      <c r="B8553" s="1">
        <v>45778</v>
      </c>
      <c r="C8553">
        <v>870829</v>
      </c>
      <c r="D8553" t="s">
        <v>176</v>
      </c>
      <c r="E8553">
        <v>3518020</v>
      </c>
      <c r="F8553">
        <v>412246</v>
      </c>
      <c r="G8553">
        <v>119658</v>
      </c>
      <c r="H8553">
        <f>_xlfn.XLOOKUP(FACT_IMPORTS[[#This Row],[hts_6]],DIM_PRODUCTS[hts_6],DIM_PRODUCTS[hts_4],,,)</f>
        <v>8708</v>
      </c>
      <c r="I8553" t="str" cm="1">
        <f t="array" ref="I8553">_xlfn.XLOOKUP(FACT_IMPORTS[[#This Row],[country_name]],DIM_COUNTRY[[#All],[Column2]],DIM_COUNTRY[[#All],[Column3]],,,)</f>
        <v>Major_Non-USMCA_Non-China</v>
      </c>
    </row>
    <row r="8554" spans="1:9" x14ac:dyDescent="0.4">
      <c r="A8554" t="s">
        <v>71</v>
      </c>
      <c r="B8554" s="1">
        <v>45778</v>
      </c>
      <c r="C8554">
        <v>870830</v>
      </c>
      <c r="D8554" t="s">
        <v>176</v>
      </c>
      <c r="E8554">
        <v>692366</v>
      </c>
      <c r="F8554">
        <v>86518</v>
      </c>
      <c r="G8554">
        <v>6403</v>
      </c>
      <c r="H8554">
        <f>_xlfn.XLOOKUP(FACT_IMPORTS[[#This Row],[hts_6]],DIM_PRODUCTS[hts_6],DIM_PRODUCTS[hts_4],,,)</f>
        <v>8708</v>
      </c>
      <c r="I8554" t="str" cm="1">
        <f t="array" ref="I8554">_xlfn.XLOOKUP(FACT_IMPORTS[[#This Row],[country_name]],DIM_COUNTRY[[#All],[Column2]],DIM_COUNTRY[[#All],[Column3]],,,)</f>
        <v>Major_Non-USMCA_Non-China</v>
      </c>
    </row>
    <row r="8555" spans="1:9" x14ac:dyDescent="0.4">
      <c r="A8555" t="s">
        <v>71</v>
      </c>
      <c r="B8555" s="1">
        <v>45778</v>
      </c>
      <c r="C8555">
        <v>870840</v>
      </c>
      <c r="D8555" t="s">
        <v>176</v>
      </c>
      <c r="E8555">
        <v>4619130</v>
      </c>
      <c r="F8555">
        <v>48258</v>
      </c>
      <c r="G8555">
        <v>141218</v>
      </c>
      <c r="H8555">
        <f>_xlfn.XLOOKUP(FACT_IMPORTS[[#This Row],[hts_6]],DIM_PRODUCTS[hts_6],DIM_PRODUCTS[hts_4],,,)</f>
        <v>8708</v>
      </c>
      <c r="I8555" t="str" cm="1">
        <f t="array" ref="I8555">_xlfn.XLOOKUP(FACT_IMPORTS[[#This Row],[country_name]],DIM_COUNTRY[[#All],[Column2]],DIM_COUNTRY[[#All],[Column3]],,,)</f>
        <v>Major_Non-USMCA_Non-China</v>
      </c>
    </row>
    <row r="8556" spans="1:9" x14ac:dyDescent="0.4">
      <c r="A8556" t="s">
        <v>71</v>
      </c>
      <c r="B8556" s="1">
        <v>45778</v>
      </c>
      <c r="C8556">
        <v>870850</v>
      </c>
      <c r="D8556" t="s">
        <v>176</v>
      </c>
      <c r="E8556">
        <v>0</v>
      </c>
      <c r="F8556">
        <v>0</v>
      </c>
      <c r="G8556">
        <v>0</v>
      </c>
      <c r="H8556">
        <f>_xlfn.XLOOKUP(FACT_IMPORTS[[#This Row],[hts_6]],DIM_PRODUCTS[hts_6],DIM_PRODUCTS[hts_4],,,)</f>
        <v>8708</v>
      </c>
      <c r="I8556" t="str" cm="1">
        <f t="array" ref="I8556">_xlfn.XLOOKUP(FACT_IMPORTS[[#This Row],[country_name]],DIM_COUNTRY[[#All],[Column2]],DIM_COUNTRY[[#All],[Column3]],,,)</f>
        <v>Major_Non-USMCA_Non-China</v>
      </c>
    </row>
    <row r="8557" spans="1:9" x14ac:dyDescent="0.4">
      <c r="A8557" t="s">
        <v>71</v>
      </c>
      <c r="B8557" s="1">
        <v>45778</v>
      </c>
      <c r="C8557">
        <v>870870</v>
      </c>
      <c r="D8557" t="s">
        <v>176</v>
      </c>
      <c r="E8557">
        <v>33514</v>
      </c>
      <c r="F8557">
        <v>72742</v>
      </c>
      <c r="G8557">
        <v>255</v>
      </c>
      <c r="H8557">
        <f>_xlfn.XLOOKUP(FACT_IMPORTS[[#This Row],[hts_6]],DIM_PRODUCTS[hts_6],DIM_PRODUCTS[hts_4],,,)</f>
        <v>8708</v>
      </c>
      <c r="I8557" t="str" cm="1">
        <f t="array" ref="I8557">_xlfn.XLOOKUP(FACT_IMPORTS[[#This Row],[country_name]],DIM_COUNTRY[[#All],[Column2]],DIM_COUNTRY[[#All],[Column3]],,,)</f>
        <v>Major_Non-USMCA_Non-China</v>
      </c>
    </row>
    <row r="8558" spans="1:9" x14ac:dyDescent="0.4">
      <c r="A8558" t="s">
        <v>71</v>
      </c>
      <c r="B8558" s="1">
        <v>45778</v>
      </c>
      <c r="C8558">
        <v>870880</v>
      </c>
      <c r="D8558" t="s">
        <v>176</v>
      </c>
      <c r="E8558">
        <v>318342</v>
      </c>
      <c r="F8558">
        <v>9788</v>
      </c>
      <c r="G8558">
        <v>14042</v>
      </c>
      <c r="H8558">
        <f>_xlfn.XLOOKUP(FACT_IMPORTS[[#This Row],[hts_6]],DIM_PRODUCTS[hts_6],DIM_PRODUCTS[hts_4],,,)</f>
        <v>8708</v>
      </c>
      <c r="I8558" t="str" cm="1">
        <f t="array" ref="I8558">_xlfn.XLOOKUP(FACT_IMPORTS[[#This Row],[country_name]],DIM_COUNTRY[[#All],[Column2]],DIM_COUNTRY[[#All],[Column3]],,,)</f>
        <v>Major_Non-USMCA_Non-China</v>
      </c>
    </row>
    <row r="8559" spans="1:9" x14ac:dyDescent="0.4">
      <c r="A8559" t="s">
        <v>71</v>
      </c>
      <c r="B8559" s="1">
        <v>45778</v>
      </c>
      <c r="C8559">
        <v>870891</v>
      </c>
      <c r="D8559" t="s">
        <v>176</v>
      </c>
      <c r="E8559">
        <v>115729</v>
      </c>
      <c r="F8559">
        <v>111744</v>
      </c>
      <c r="G8559">
        <v>1508</v>
      </c>
      <c r="H8559">
        <f>_xlfn.XLOOKUP(FACT_IMPORTS[[#This Row],[hts_6]],DIM_PRODUCTS[hts_6],DIM_PRODUCTS[hts_4],,,)</f>
        <v>8708</v>
      </c>
      <c r="I8559" t="str" cm="1">
        <f t="array" ref="I8559">_xlfn.XLOOKUP(FACT_IMPORTS[[#This Row],[country_name]],DIM_COUNTRY[[#All],[Column2]],DIM_COUNTRY[[#All],[Column3]],,,)</f>
        <v>Major_Non-USMCA_Non-China</v>
      </c>
    </row>
    <row r="8560" spans="1:9" x14ac:dyDescent="0.4">
      <c r="A8560" t="s">
        <v>71</v>
      </c>
      <c r="B8560" s="1">
        <v>45778</v>
      </c>
      <c r="C8560">
        <v>870892</v>
      </c>
      <c r="D8560" t="s">
        <v>176</v>
      </c>
      <c r="E8560">
        <v>0</v>
      </c>
      <c r="F8560">
        <v>0</v>
      </c>
      <c r="G8560">
        <v>0</v>
      </c>
      <c r="H8560">
        <f>_xlfn.XLOOKUP(FACT_IMPORTS[[#This Row],[hts_6]],DIM_PRODUCTS[hts_6],DIM_PRODUCTS[hts_4],,,)</f>
        <v>8708</v>
      </c>
      <c r="I8560" t="str" cm="1">
        <f t="array" ref="I8560">_xlfn.XLOOKUP(FACT_IMPORTS[[#This Row],[country_name]],DIM_COUNTRY[[#All],[Column2]],DIM_COUNTRY[[#All],[Column3]],,,)</f>
        <v>Major_Non-USMCA_Non-China</v>
      </c>
    </row>
    <row r="8561" spans="1:9" x14ac:dyDescent="0.4">
      <c r="A8561" t="s">
        <v>71</v>
      </c>
      <c r="B8561" s="1">
        <v>45778</v>
      </c>
      <c r="C8561">
        <v>870893</v>
      </c>
      <c r="D8561" t="s">
        <v>176</v>
      </c>
      <c r="E8561">
        <v>785111</v>
      </c>
      <c r="F8561">
        <v>377644</v>
      </c>
      <c r="G8561">
        <v>17836</v>
      </c>
      <c r="H8561">
        <f>_xlfn.XLOOKUP(FACT_IMPORTS[[#This Row],[hts_6]],DIM_PRODUCTS[hts_6],DIM_PRODUCTS[hts_4],,,)</f>
        <v>8708</v>
      </c>
      <c r="I8561" t="str" cm="1">
        <f t="array" ref="I8561">_xlfn.XLOOKUP(FACT_IMPORTS[[#This Row],[country_name]],DIM_COUNTRY[[#All],[Column2]],DIM_COUNTRY[[#All],[Column3]],,,)</f>
        <v>Major_Non-USMCA_Non-China</v>
      </c>
    </row>
    <row r="8562" spans="1:9" x14ac:dyDescent="0.4">
      <c r="A8562" t="s">
        <v>71</v>
      </c>
      <c r="B8562" s="1">
        <v>45778</v>
      </c>
      <c r="C8562">
        <v>870894</v>
      </c>
      <c r="D8562" t="s">
        <v>176</v>
      </c>
      <c r="E8562">
        <v>107947</v>
      </c>
      <c r="F8562">
        <v>18984</v>
      </c>
      <c r="G8562">
        <v>557</v>
      </c>
      <c r="H8562">
        <f>_xlfn.XLOOKUP(FACT_IMPORTS[[#This Row],[hts_6]],DIM_PRODUCTS[hts_6],DIM_PRODUCTS[hts_4],,,)</f>
        <v>8708</v>
      </c>
      <c r="I8562" t="str" cm="1">
        <f t="array" ref="I8562">_xlfn.XLOOKUP(FACT_IMPORTS[[#This Row],[country_name]],DIM_COUNTRY[[#All],[Column2]],DIM_COUNTRY[[#All],[Column3]],,,)</f>
        <v>Major_Non-USMCA_Non-China</v>
      </c>
    </row>
    <row r="8563" spans="1:9" x14ac:dyDescent="0.4">
      <c r="A8563" t="s">
        <v>71</v>
      </c>
      <c r="B8563" s="1">
        <v>45778</v>
      </c>
      <c r="C8563">
        <v>870895</v>
      </c>
      <c r="D8563" t="s">
        <v>176</v>
      </c>
      <c r="E8563">
        <v>5224</v>
      </c>
      <c r="F8563">
        <v>576</v>
      </c>
      <c r="G8563">
        <v>373</v>
      </c>
      <c r="H8563">
        <f>_xlfn.XLOOKUP(FACT_IMPORTS[[#This Row],[hts_6]],DIM_PRODUCTS[hts_6],DIM_PRODUCTS[hts_4],,,)</f>
        <v>8708</v>
      </c>
      <c r="I8563" t="str" cm="1">
        <f t="array" ref="I8563">_xlfn.XLOOKUP(FACT_IMPORTS[[#This Row],[country_name]],DIM_COUNTRY[[#All],[Column2]],DIM_COUNTRY[[#All],[Column3]],,,)</f>
        <v>Major_Non-USMCA_Non-China</v>
      </c>
    </row>
    <row r="8564" spans="1:9" x14ac:dyDescent="0.4">
      <c r="A8564" t="s">
        <v>71</v>
      </c>
      <c r="B8564" s="1">
        <v>45778</v>
      </c>
      <c r="C8564">
        <v>870899</v>
      </c>
      <c r="D8564" t="s">
        <v>176</v>
      </c>
      <c r="E8564">
        <v>3595400</v>
      </c>
      <c r="F8564">
        <v>3283649</v>
      </c>
      <c r="G8564">
        <v>60213</v>
      </c>
      <c r="H8564">
        <f>_xlfn.XLOOKUP(FACT_IMPORTS[[#This Row],[hts_6]],DIM_PRODUCTS[hts_6],DIM_PRODUCTS[hts_4],,,)</f>
        <v>8708</v>
      </c>
      <c r="I8564" t="str" cm="1">
        <f t="array" ref="I8564">_xlfn.XLOOKUP(FACT_IMPORTS[[#This Row],[country_name]],DIM_COUNTRY[[#All],[Column2]],DIM_COUNTRY[[#All],[Column3]],,,)</f>
        <v>Major_Non-USMCA_Non-China</v>
      </c>
    </row>
    <row r="8565" spans="1:9" x14ac:dyDescent="0.4">
      <c r="A8565" t="s">
        <v>71</v>
      </c>
      <c r="B8565" s="1">
        <v>45778</v>
      </c>
      <c r="C8565">
        <v>940120</v>
      </c>
      <c r="D8565" t="s">
        <v>176</v>
      </c>
      <c r="E8565">
        <v>2600</v>
      </c>
      <c r="F8565">
        <v>2</v>
      </c>
      <c r="G8565">
        <v>293</v>
      </c>
      <c r="H8565">
        <f>_xlfn.XLOOKUP(FACT_IMPORTS[[#This Row],[hts_6]],DIM_PRODUCTS[hts_6],DIM_PRODUCTS[hts_4],,,)</f>
        <v>9401</v>
      </c>
      <c r="I8565" t="str" cm="1">
        <f t="array" ref="I8565">_xlfn.XLOOKUP(FACT_IMPORTS[[#This Row],[country_name]],DIM_COUNTRY[[#All],[Column2]],DIM_COUNTRY[[#All],[Column3]],,,)</f>
        <v>Major_Non-USMCA_Non-China</v>
      </c>
    </row>
    <row r="8566" spans="1:9" x14ac:dyDescent="0.4">
      <c r="A8566" t="s">
        <v>71</v>
      </c>
      <c r="B8566" s="1">
        <v>45809</v>
      </c>
      <c r="C8566">
        <v>392630</v>
      </c>
      <c r="D8566" t="s">
        <v>176</v>
      </c>
      <c r="E8566">
        <v>309</v>
      </c>
      <c r="F8566">
        <v>449</v>
      </c>
      <c r="G8566">
        <v>29</v>
      </c>
      <c r="H8566">
        <f>_xlfn.XLOOKUP(FACT_IMPORTS[[#This Row],[hts_6]],DIM_PRODUCTS[hts_6],DIM_PRODUCTS[hts_4],,,)</f>
        <v>3926</v>
      </c>
      <c r="I8566" t="str" cm="1">
        <f t="array" ref="I8566">_xlfn.XLOOKUP(FACT_IMPORTS[[#This Row],[country_name]],DIM_COUNTRY[[#All],[Column2]],DIM_COUNTRY[[#All],[Column3]],,,)</f>
        <v>Major_Non-USMCA_Non-China</v>
      </c>
    </row>
    <row r="8567" spans="1:9" x14ac:dyDescent="0.4">
      <c r="A8567" t="s">
        <v>71</v>
      </c>
      <c r="B8567" s="1">
        <v>45809</v>
      </c>
      <c r="C8567">
        <v>401110</v>
      </c>
      <c r="D8567" t="s">
        <v>176</v>
      </c>
      <c r="E8567">
        <v>136840</v>
      </c>
      <c r="F8567">
        <v>1534</v>
      </c>
      <c r="G8567">
        <v>2700</v>
      </c>
      <c r="H8567">
        <f>_xlfn.XLOOKUP(FACT_IMPORTS[[#This Row],[hts_6]],DIM_PRODUCTS[hts_6],DIM_PRODUCTS[hts_4],,,)</f>
        <v>4011</v>
      </c>
      <c r="I8567" t="str" cm="1">
        <f t="array" ref="I8567">_xlfn.XLOOKUP(FACT_IMPORTS[[#This Row],[country_name]],DIM_COUNTRY[[#All],[Column2]],DIM_COUNTRY[[#All],[Column3]],,,)</f>
        <v>Major_Non-USMCA_Non-China</v>
      </c>
    </row>
    <row r="8568" spans="1:9" x14ac:dyDescent="0.4">
      <c r="A8568" t="s">
        <v>71</v>
      </c>
      <c r="B8568" s="1">
        <v>45809</v>
      </c>
      <c r="C8568">
        <v>401120</v>
      </c>
      <c r="D8568" t="s">
        <v>176</v>
      </c>
      <c r="E8568">
        <v>0</v>
      </c>
      <c r="F8568">
        <v>0</v>
      </c>
      <c r="G8568">
        <v>0</v>
      </c>
      <c r="H8568">
        <f>_xlfn.XLOOKUP(FACT_IMPORTS[[#This Row],[hts_6]],DIM_PRODUCTS[hts_6],DIM_PRODUCTS[hts_4],,,)</f>
        <v>4011</v>
      </c>
      <c r="I8568" t="str" cm="1">
        <f t="array" ref="I8568">_xlfn.XLOOKUP(FACT_IMPORTS[[#This Row],[country_name]],DIM_COUNTRY[[#All],[Column2]],DIM_COUNTRY[[#All],[Column3]],,,)</f>
        <v>Major_Non-USMCA_Non-China</v>
      </c>
    </row>
    <row r="8569" spans="1:9" x14ac:dyDescent="0.4">
      <c r="A8569" t="s">
        <v>71</v>
      </c>
      <c r="B8569" s="1">
        <v>45809</v>
      </c>
      <c r="C8569">
        <v>401190</v>
      </c>
      <c r="D8569" t="s">
        <v>176</v>
      </c>
      <c r="E8569">
        <v>0</v>
      </c>
      <c r="F8569">
        <v>0</v>
      </c>
      <c r="G8569">
        <v>0</v>
      </c>
      <c r="H8569">
        <f>_xlfn.XLOOKUP(FACT_IMPORTS[[#This Row],[hts_6]],DIM_PRODUCTS[hts_6],DIM_PRODUCTS[hts_4],,,)</f>
        <v>4011</v>
      </c>
      <c r="I8569" t="str" cm="1">
        <f t="array" ref="I8569">_xlfn.XLOOKUP(FACT_IMPORTS[[#This Row],[country_name]],DIM_COUNTRY[[#All],[Column2]],DIM_COUNTRY[[#All],[Column3]],,,)</f>
        <v>Major_Non-USMCA_Non-China</v>
      </c>
    </row>
    <row r="8570" spans="1:9" x14ac:dyDescent="0.4">
      <c r="A8570" t="s">
        <v>71</v>
      </c>
      <c r="B8570" s="1">
        <v>45809</v>
      </c>
      <c r="C8570">
        <v>700711</v>
      </c>
      <c r="D8570" t="s">
        <v>176</v>
      </c>
      <c r="E8570">
        <v>0</v>
      </c>
      <c r="F8570">
        <v>0</v>
      </c>
      <c r="G8570">
        <v>0</v>
      </c>
      <c r="H8570">
        <f>_xlfn.XLOOKUP(FACT_IMPORTS[[#This Row],[hts_6]],DIM_PRODUCTS[hts_6],DIM_PRODUCTS[hts_4],,,)</f>
        <v>7007</v>
      </c>
      <c r="I8570" t="str" cm="1">
        <f t="array" ref="I8570">_xlfn.XLOOKUP(FACT_IMPORTS[[#This Row],[country_name]],DIM_COUNTRY[[#All],[Column2]],DIM_COUNTRY[[#All],[Column3]],,,)</f>
        <v>Major_Non-USMCA_Non-China</v>
      </c>
    </row>
    <row r="8571" spans="1:9" x14ac:dyDescent="0.4">
      <c r="A8571" t="s">
        <v>71</v>
      </c>
      <c r="B8571" s="1">
        <v>45809</v>
      </c>
      <c r="C8571">
        <v>700721</v>
      </c>
      <c r="D8571" t="s">
        <v>176</v>
      </c>
      <c r="E8571">
        <v>0</v>
      </c>
      <c r="F8571">
        <v>0</v>
      </c>
      <c r="G8571">
        <v>0</v>
      </c>
      <c r="H8571">
        <f>_xlfn.XLOOKUP(FACT_IMPORTS[[#This Row],[hts_6]],DIM_PRODUCTS[hts_6],DIM_PRODUCTS[hts_4],,,)</f>
        <v>7007</v>
      </c>
      <c r="I8571" t="str" cm="1">
        <f t="array" ref="I8571">_xlfn.XLOOKUP(FACT_IMPORTS[[#This Row],[country_name]],DIM_COUNTRY[[#All],[Column2]],DIM_COUNTRY[[#All],[Column3]],,,)</f>
        <v>Major_Non-USMCA_Non-China</v>
      </c>
    </row>
    <row r="8572" spans="1:9" x14ac:dyDescent="0.4">
      <c r="A8572" t="s">
        <v>71</v>
      </c>
      <c r="B8572" s="1">
        <v>45809</v>
      </c>
      <c r="C8572">
        <v>700910</v>
      </c>
      <c r="D8572" t="s">
        <v>176</v>
      </c>
      <c r="E8572">
        <v>5475</v>
      </c>
      <c r="F8572">
        <v>50</v>
      </c>
      <c r="G8572">
        <v>33</v>
      </c>
      <c r="H8572">
        <f>_xlfn.XLOOKUP(FACT_IMPORTS[[#This Row],[hts_6]],DIM_PRODUCTS[hts_6],DIM_PRODUCTS[hts_4],,,)</f>
        <v>7009</v>
      </c>
      <c r="I8572" t="str" cm="1">
        <f t="array" ref="I8572">_xlfn.XLOOKUP(FACT_IMPORTS[[#This Row],[country_name]],DIM_COUNTRY[[#All],[Column2]],DIM_COUNTRY[[#All],[Column3]],,,)</f>
        <v>Major_Non-USMCA_Non-China</v>
      </c>
    </row>
    <row r="8573" spans="1:9" x14ac:dyDescent="0.4">
      <c r="A8573" t="s">
        <v>71</v>
      </c>
      <c r="B8573" s="1">
        <v>45809</v>
      </c>
      <c r="C8573">
        <v>830230</v>
      </c>
      <c r="D8573" t="s">
        <v>176</v>
      </c>
      <c r="E8573">
        <v>13478</v>
      </c>
      <c r="F8573">
        <v>2316</v>
      </c>
      <c r="G8573">
        <v>174</v>
      </c>
      <c r="H8573">
        <f>_xlfn.XLOOKUP(FACT_IMPORTS[[#This Row],[hts_6]],DIM_PRODUCTS[hts_6],DIM_PRODUCTS[hts_4],,,)</f>
        <v>8302</v>
      </c>
      <c r="I8573" t="str" cm="1">
        <f t="array" ref="I8573">_xlfn.XLOOKUP(FACT_IMPORTS[[#This Row],[country_name]],DIM_COUNTRY[[#All],[Column2]],DIM_COUNTRY[[#All],[Column3]],,,)</f>
        <v>Major_Non-USMCA_Non-China</v>
      </c>
    </row>
    <row r="8574" spans="1:9" x14ac:dyDescent="0.4">
      <c r="A8574" t="s">
        <v>71</v>
      </c>
      <c r="B8574" s="1">
        <v>45809</v>
      </c>
      <c r="C8574">
        <v>840732</v>
      </c>
      <c r="D8574" t="s">
        <v>176</v>
      </c>
      <c r="E8574">
        <v>0</v>
      </c>
      <c r="F8574">
        <v>0</v>
      </c>
      <c r="G8574">
        <v>0</v>
      </c>
      <c r="H8574">
        <f>_xlfn.XLOOKUP(FACT_IMPORTS[[#This Row],[hts_6]],DIM_PRODUCTS[hts_6],DIM_PRODUCTS[hts_4],,,)</f>
        <v>8407</v>
      </c>
      <c r="I8574" t="str" cm="1">
        <f t="array" ref="I8574">_xlfn.XLOOKUP(FACT_IMPORTS[[#This Row],[country_name]],DIM_COUNTRY[[#All],[Column2]],DIM_COUNTRY[[#All],[Column3]],,,)</f>
        <v>Major_Non-USMCA_Non-China</v>
      </c>
    </row>
    <row r="8575" spans="1:9" x14ac:dyDescent="0.4">
      <c r="A8575" t="s">
        <v>71</v>
      </c>
      <c r="B8575" s="1">
        <v>45809</v>
      </c>
      <c r="C8575">
        <v>840733</v>
      </c>
      <c r="D8575" t="s">
        <v>176</v>
      </c>
      <c r="E8575">
        <v>0</v>
      </c>
      <c r="F8575">
        <v>0</v>
      </c>
      <c r="G8575">
        <v>0</v>
      </c>
      <c r="H8575">
        <f>_xlfn.XLOOKUP(FACT_IMPORTS[[#This Row],[hts_6]],DIM_PRODUCTS[hts_6],DIM_PRODUCTS[hts_4],,,)</f>
        <v>8407</v>
      </c>
      <c r="I8575" t="str" cm="1">
        <f t="array" ref="I8575">_xlfn.XLOOKUP(FACT_IMPORTS[[#This Row],[country_name]],DIM_COUNTRY[[#All],[Column2]],DIM_COUNTRY[[#All],[Column3]],,,)</f>
        <v>Major_Non-USMCA_Non-China</v>
      </c>
    </row>
    <row r="8576" spans="1:9" x14ac:dyDescent="0.4">
      <c r="A8576" t="s">
        <v>71</v>
      </c>
      <c r="B8576" s="1">
        <v>45809</v>
      </c>
      <c r="C8576">
        <v>840734</v>
      </c>
      <c r="D8576" t="s">
        <v>176</v>
      </c>
      <c r="E8576">
        <v>0</v>
      </c>
      <c r="F8576">
        <v>0</v>
      </c>
      <c r="G8576">
        <v>0</v>
      </c>
      <c r="H8576">
        <f>_xlfn.XLOOKUP(FACT_IMPORTS[[#This Row],[hts_6]],DIM_PRODUCTS[hts_6],DIM_PRODUCTS[hts_4],,,)</f>
        <v>8407</v>
      </c>
      <c r="I8576" t="str" cm="1">
        <f t="array" ref="I8576">_xlfn.XLOOKUP(FACT_IMPORTS[[#This Row],[country_name]],DIM_COUNTRY[[#All],[Column2]],DIM_COUNTRY[[#All],[Column3]],,,)</f>
        <v>Major_Non-USMCA_Non-China</v>
      </c>
    </row>
    <row r="8577" spans="1:9" x14ac:dyDescent="0.4">
      <c r="A8577" t="s">
        <v>71</v>
      </c>
      <c r="B8577" s="1">
        <v>45809</v>
      </c>
      <c r="C8577">
        <v>840790</v>
      </c>
      <c r="D8577" t="s">
        <v>176</v>
      </c>
      <c r="E8577">
        <v>3034</v>
      </c>
      <c r="F8577">
        <v>2</v>
      </c>
      <c r="G8577">
        <v>1</v>
      </c>
      <c r="H8577">
        <f>_xlfn.XLOOKUP(FACT_IMPORTS[[#This Row],[hts_6]],DIM_PRODUCTS[hts_6],DIM_PRODUCTS[hts_4],,,)</f>
        <v>8407</v>
      </c>
      <c r="I8577" t="str" cm="1">
        <f t="array" ref="I8577">_xlfn.XLOOKUP(FACT_IMPORTS[[#This Row],[country_name]],DIM_COUNTRY[[#All],[Column2]],DIM_COUNTRY[[#All],[Column3]],,,)</f>
        <v>Major_Non-USMCA_Non-China</v>
      </c>
    </row>
    <row r="8578" spans="1:9" x14ac:dyDescent="0.4">
      <c r="A8578" t="s">
        <v>71</v>
      </c>
      <c r="B8578" s="1">
        <v>45809</v>
      </c>
      <c r="C8578">
        <v>840820</v>
      </c>
      <c r="D8578" t="s">
        <v>176</v>
      </c>
      <c r="E8578">
        <v>26465</v>
      </c>
      <c r="F8578">
        <v>2</v>
      </c>
      <c r="G8578">
        <v>290</v>
      </c>
      <c r="H8578">
        <f>_xlfn.XLOOKUP(FACT_IMPORTS[[#This Row],[hts_6]],DIM_PRODUCTS[hts_6],DIM_PRODUCTS[hts_4],,,)</f>
        <v>8408</v>
      </c>
      <c r="I8578" t="str" cm="1">
        <f t="array" ref="I8578">_xlfn.XLOOKUP(FACT_IMPORTS[[#This Row],[country_name]],DIM_COUNTRY[[#All],[Column2]],DIM_COUNTRY[[#All],[Column3]],,,)</f>
        <v>Major_Non-USMCA_Non-China</v>
      </c>
    </row>
    <row r="8579" spans="1:9" x14ac:dyDescent="0.4">
      <c r="A8579" t="s">
        <v>71</v>
      </c>
      <c r="B8579" s="1">
        <v>45809</v>
      </c>
      <c r="C8579">
        <v>840890</v>
      </c>
      <c r="D8579" t="s">
        <v>176</v>
      </c>
      <c r="E8579">
        <v>37028</v>
      </c>
      <c r="F8579">
        <v>3</v>
      </c>
      <c r="G8579">
        <v>744</v>
      </c>
      <c r="H8579">
        <f>_xlfn.XLOOKUP(FACT_IMPORTS[[#This Row],[hts_6]],DIM_PRODUCTS[hts_6],DIM_PRODUCTS[hts_4],,,)</f>
        <v>8408</v>
      </c>
      <c r="I8579" t="str" cm="1">
        <f t="array" ref="I8579">_xlfn.XLOOKUP(FACT_IMPORTS[[#This Row],[country_name]],DIM_COUNTRY[[#All],[Column2]],DIM_COUNTRY[[#All],[Column3]],,,)</f>
        <v>Major_Non-USMCA_Non-China</v>
      </c>
    </row>
    <row r="8580" spans="1:9" x14ac:dyDescent="0.4">
      <c r="A8580" t="s">
        <v>71</v>
      </c>
      <c r="B8580" s="1">
        <v>45809</v>
      </c>
      <c r="C8580">
        <v>840991</v>
      </c>
      <c r="D8580" t="s">
        <v>176</v>
      </c>
      <c r="E8580">
        <v>6429396</v>
      </c>
      <c r="F8580">
        <v>460753</v>
      </c>
      <c r="G8580">
        <v>146129</v>
      </c>
      <c r="H8580">
        <f>_xlfn.XLOOKUP(FACT_IMPORTS[[#This Row],[hts_6]],DIM_PRODUCTS[hts_6],DIM_PRODUCTS[hts_4],,,)</f>
        <v>8409</v>
      </c>
      <c r="I8580" t="str" cm="1">
        <f t="array" ref="I8580">_xlfn.XLOOKUP(FACT_IMPORTS[[#This Row],[country_name]],DIM_COUNTRY[[#All],[Column2]],DIM_COUNTRY[[#All],[Column3]],,,)</f>
        <v>Major_Non-USMCA_Non-China</v>
      </c>
    </row>
    <row r="8581" spans="1:9" x14ac:dyDescent="0.4">
      <c r="A8581" t="s">
        <v>71</v>
      </c>
      <c r="B8581" s="1">
        <v>45809</v>
      </c>
      <c r="C8581">
        <v>840999</v>
      </c>
      <c r="D8581" t="s">
        <v>176</v>
      </c>
      <c r="E8581">
        <v>973440</v>
      </c>
      <c r="F8581">
        <v>136457</v>
      </c>
      <c r="G8581">
        <v>7383</v>
      </c>
      <c r="H8581">
        <f>_xlfn.XLOOKUP(FACT_IMPORTS[[#This Row],[hts_6]],DIM_PRODUCTS[hts_6],DIM_PRODUCTS[hts_4],,,)</f>
        <v>8409</v>
      </c>
      <c r="I8581" t="str" cm="1">
        <f t="array" ref="I8581">_xlfn.XLOOKUP(FACT_IMPORTS[[#This Row],[country_name]],DIM_COUNTRY[[#All],[Column2]],DIM_COUNTRY[[#All],[Column3]],,,)</f>
        <v>Major_Non-USMCA_Non-China</v>
      </c>
    </row>
    <row r="8582" spans="1:9" x14ac:dyDescent="0.4">
      <c r="A8582" t="s">
        <v>71</v>
      </c>
      <c r="B8582" s="1">
        <v>45809</v>
      </c>
      <c r="C8582">
        <v>841330</v>
      </c>
      <c r="D8582" t="s">
        <v>176</v>
      </c>
      <c r="E8582">
        <v>1345119</v>
      </c>
      <c r="F8582">
        <v>41613</v>
      </c>
      <c r="G8582">
        <v>19707</v>
      </c>
      <c r="H8582">
        <f>_xlfn.XLOOKUP(FACT_IMPORTS[[#This Row],[hts_6]],DIM_PRODUCTS[hts_6],DIM_PRODUCTS[hts_4],,,)</f>
        <v>8413</v>
      </c>
      <c r="I8582" t="str" cm="1">
        <f t="array" ref="I8582">_xlfn.XLOOKUP(FACT_IMPORTS[[#This Row],[country_name]],DIM_COUNTRY[[#All],[Column2]],DIM_COUNTRY[[#All],[Column3]],,,)</f>
        <v>Major_Non-USMCA_Non-China</v>
      </c>
    </row>
    <row r="8583" spans="1:9" x14ac:dyDescent="0.4">
      <c r="A8583" t="s">
        <v>71</v>
      </c>
      <c r="B8583" s="1">
        <v>45809</v>
      </c>
      <c r="C8583">
        <v>841520</v>
      </c>
      <c r="D8583" t="s">
        <v>176</v>
      </c>
      <c r="E8583">
        <v>0</v>
      </c>
      <c r="F8583">
        <v>0</v>
      </c>
      <c r="G8583">
        <v>0</v>
      </c>
      <c r="H8583">
        <f>_xlfn.XLOOKUP(FACT_IMPORTS[[#This Row],[hts_6]],DIM_PRODUCTS[hts_6],DIM_PRODUCTS[hts_4],,,)</f>
        <v>8415</v>
      </c>
      <c r="I8583" t="str" cm="1">
        <f t="array" ref="I8583">_xlfn.XLOOKUP(FACT_IMPORTS[[#This Row],[country_name]],DIM_COUNTRY[[#All],[Column2]],DIM_COUNTRY[[#All],[Column3]],,,)</f>
        <v>Major_Non-USMCA_Non-China</v>
      </c>
    </row>
    <row r="8584" spans="1:9" x14ac:dyDescent="0.4">
      <c r="A8584" t="s">
        <v>71</v>
      </c>
      <c r="B8584" s="1">
        <v>45809</v>
      </c>
      <c r="C8584">
        <v>842132</v>
      </c>
      <c r="D8584" t="s">
        <v>176</v>
      </c>
      <c r="E8584">
        <v>32027</v>
      </c>
      <c r="F8584">
        <v>12</v>
      </c>
      <c r="G8584">
        <v>196</v>
      </c>
      <c r="H8584">
        <f>_xlfn.XLOOKUP(FACT_IMPORTS[[#This Row],[hts_6]],DIM_PRODUCTS[hts_6],DIM_PRODUCTS[hts_4],,,)</f>
        <v>8421</v>
      </c>
      <c r="I8584" t="str" cm="1">
        <f t="array" ref="I8584">_xlfn.XLOOKUP(FACT_IMPORTS[[#This Row],[country_name]],DIM_COUNTRY[[#All],[Column2]],DIM_COUNTRY[[#All],[Column3]],,,)</f>
        <v>Major_Non-USMCA_Non-China</v>
      </c>
    </row>
    <row r="8585" spans="1:9" x14ac:dyDescent="0.4">
      <c r="A8585" t="s">
        <v>71</v>
      </c>
      <c r="B8585" s="1">
        <v>45809</v>
      </c>
      <c r="C8585">
        <v>848210</v>
      </c>
      <c r="D8585" t="s">
        <v>176</v>
      </c>
      <c r="E8585">
        <v>35028</v>
      </c>
      <c r="F8585">
        <v>1220</v>
      </c>
      <c r="G8585">
        <v>3371</v>
      </c>
      <c r="H8585">
        <f>_xlfn.XLOOKUP(FACT_IMPORTS[[#This Row],[hts_6]],DIM_PRODUCTS[hts_6],DIM_PRODUCTS[hts_4],,,)</f>
        <v>8482</v>
      </c>
      <c r="I8585" t="str" cm="1">
        <f t="array" ref="I8585">_xlfn.XLOOKUP(FACT_IMPORTS[[#This Row],[country_name]],DIM_COUNTRY[[#All],[Column2]],DIM_COUNTRY[[#All],[Column3]],,,)</f>
        <v>Major_Non-USMCA_Non-China</v>
      </c>
    </row>
    <row r="8586" spans="1:9" x14ac:dyDescent="0.4">
      <c r="A8586" t="s">
        <v>71</v>
      </c>
      <c r="B8586" s="1">
        <v>45809</v>
      </c>
      <c r="C8586">
        <v>848220</v>
      </c>
      <c r="D8586" t="s">
        <v>176</v>
      </c>
      <c r="E8586">
        <v>158424</v>
      </c>
      <c r="F8586">
        <v>11521</v>
      </c>
      <c r="G8586">
        <v>1600</v>
      </c>
      <c r="H8586">
        <f>_xlfn.XLOOKUP(FACT_IMPORTS[[#This Row],[hts_6]],DIM_PRODUCTS[hts_6],DIM_PRODUCTS[hts_4],,,)</f>
        <v>8482</v>
      </c>
      <c r="I8586" t="str" cm="1">
        <f t="array" ref="I8586">_xlfn.XLOOKUP(FACT_IMPORTS[[#This Row],[country_name]],DIM_COUNTRY[[#All],[Column2]],DIM_COUNTRY[[#All],[Column3]],,,)</f>
        <v>Major_Non-USMCA_Non-China</v>
      </c>
    </row>
    <row r="8587" spans="1:9" x14ac:dyDescent="0.4">
      <c r="A8587" t="s">
        <v>71</v>
      </c>
      <c r="B8587" s="1">
        <v>45809</v>
      </c>
      <c r="C8587">
        <v>848310</v>
      </c>
      <c r="D8587" t="s">
        <v>176</v>
      </c>
      <c r="E8587">
        <v>732056</v>
      </c>
      <c r="F8587">
        <v>21840</v>
      </c>
      <c r="G8587">
        <v>65004</v>
      </c>
      <c r="H8587">
        <f>_xlfn.XLOOKUP(FACT_IMPORTS[[#This Row],[hts_6]],DIM_PRODUCTS[hts_6],DIM_PRODUCTS[hts_4],,,)</f>
        <v>8483</v>
      </c>
      <c r="I8587" t="str" cm="1">
        <f t="array" ref="I8587">_xlfn.XLOOKUP(FACT_IMPORTS[[#This Row],[country_name]],DIM_COUNTRY[[#All],[Column2]],DIM_COUNTRY[[#All],[Column3]],,,)</f>
        <v>Major_Non-USMCA_Non-China</v>
      </c>
    </row>
    <row r="8588" spans="1:9" x14ac:dyDescent="0.4">
      <c r="A8588" t="s">
        <v>71</v>
      </c>
      <c r="B8588" s="1">
        <v>45809</v>
      </c>
      <c r="C8588">
        <v>850131</v>
      </c>
      <c r="D8588" t="s">
        <v>176</v>
      </c>
      <c r="E8588">
        <v>2197419</v>
      </c>
      <c r="F8588">
        <v>75276</v>
      </c>
      <c r="G8588">
        <v>28567</v>
      </c>
      <c r="H8588">
        <f>_xlfn.XLOOKUP(FACT_IMPORTS[[#This Row],[hts_6]],DIM_PRODUCTS[hts_6],DIM_PRODUCTS[hts_4],,,)</f>
        <v>8501</v>
      </c>
      <c r="I8588" t="str" cm="1">
        <f t="array" ref="I8588">_xlfn.XLOOKUP(FACT_IMPORTS[[#This Row],[country_name]],DIM_COUNTRY[[#All],[Column2]],DIM_COUNTRY[[#All],[Column3]],,,)</f>
        <v>Major_Non-USMCA_Non-China</v>
      </c>
    </row>
    <row r="8589" spans="1:9" x14ac:dyDescent="0.4">
      <c r="A8589" t="s">
        <v>71</v>
      </c>
      <c r="B8589" s="1">
        <v>45809</v>
      </c>
      <c r="C8589">
        <v>850132</v>
      </c>
      <c r="D8589" t="s">
        <v>176</v>
      </c>
      <c r="E8589">
        <v>2026</v>
      </c>
      <c r="F8589">
        <v>3</v>
      </c>
      <c r="G8589">
        <v>4</v>
      </c>
      <c r="H8589">
        <f>_xlfn.XLOOKUP(FACT_IMPORTS[[#This Row],[hts_6]],DIM_PRODUCTS[hts_6],DIM_PRODUCTS[hts_4],,,)</f>
        <v>8501</v>
      </c>
      <c r="I8589" t="str" cm="1">
        <f t="array" ref="I8589">_xlfn.XLOOKUP(FACT_IMPORTS[[#This Row],[country_name]],DIM_COUNTRY[[#All],[Column2]],DIM_COUNTRY[[#All],[Column3]],,,)</f>
        <v>Major_Non-USMCA_Non-China</v>
      </c>
    </row>
    <row r="8590" spans="1:9" x14ac:dyDescent="0.4">
      <c r="A8590" t="s">
        <v>71</v>
      </c>
      <c r="B8590" s="1">
        <v>45809</v>
      </c>
      <c r="C8590">
        <v>850152</v>
      </c>
      <c r="D8590" t="s">
        <v>176</v>
      </c>
      <c r="E8590">
        <v>827011</v>
      </c>
      <c r="F8590">
        <v>1344</v>
      </c>
      <c r="G8590">
        <v>13640</v>
      </c>
      <c r="H8590">
        <f>_xlfn.XLOOKUP(FACT_IMPORTS[[#This Row],[hts_6]],DIM_PRODUCTS[hts_6],DIM_PRODUCTS[hts_4],,,)</f>
        <v>8501</v>
      </c>
      <c r="I8590" t="str" cm="1">
        <f t="array" ref="I8590">_xlfn.XLOOKUP(FACT_IMPORTS[[#This Row],[country_name]],DIM_COUNTRY[[#All],[Column2]],DIM_COUNTRY[[#All],[Column3]],,,)</f>
        <v>Major_Non-USMCA_Non-China</v>
      </c>
    </row>
    <row r="8591" spans="1:9" x14ac:dyDescent="0.4">
      <c r="A8591" t="s">
        <v>71</v>
      </c>
      <c r="B8591" s="1">
        <v>45809</v>
      </c>
      <c r="C8591">
        <v>850153</v>
      </c>
      <c r="D8591" t="s">
        <v>176</v>
      </c>
      <c r="E8591">
        <v>0</v>
      </c>
      <c r="F8591">
        <v>0</v>
      </c>
      <c r="G8591">
        <v>0</v>
      </c>
      <c r="H8591">
        <f>_xlfn.XLOOKUP(FACT_IMPORTS[[#This Row],[hts_6]],DIM_PRODUCTS[hts_6],DIM_PRODUCTS[hts_4],,,)</f>
        <v>8501</v>
      </c>
      <c r="I8591" t="str" cm="1">
        <f t="array" ref="I8591">_xlfn.XLOOKUP(FACT_IMPORTS[[#This Row],[country_name]],DIM_COUNTRY[[#All],[Column2]],DIM_COUNTRY[[#All],[Column3]],,,)</f>
        <v>Major_Non-USMCA_Non-China</v>
      </c>
    </row>
    <row r="8592" spans="1:9" x14ac:dyDescent="0.4">
      <c r="A8592" t="s">
        <v>71</v>
      </c>
      <c r="B8592" s="1">
        <v>45809</v>
      </c>
      <c r="C8592">
        <v>850161</v>
      </c>
      <c r="D8592" t="s">
        <v>176</v>
      </c>
      <c r="E8592">
        <v>0</v>
      </c>
      <c r="F8592">
        <v>0</v>
      </c>
      <c r="G8592">
        <v>0</v>
      </c>
      <c r="H8592">
        <f>_xlfn.XLOOKUP(FACT_IMPORTS[[#This Row],[hts_6]],DIM_PRODUCTS[hts_6],DIM_PRODUCTS[hts_4],,,)</f>
        <v>8501</v>
      </c>
      <c r="I8592" t="str" cm="1">
        <f t="array" ref="I8592">_xlfn.XLOOKUP(FACT_IMPORTS[[#This Row],[country_name]],DIM_COUNTRY[[#All],[Column2]],DIM_COUNTRY[[#All],[Column3]],,,)</f>
        <v>Major_Non-USMCA_Non-China</v>
      </c>
    </row>
    <row r="8593" spans="1:9" x14ac:dyDescent="0.4">
      <c r="A8593" t="s">
        <v>71</v>
      </c>
      <c r="B8593" s="1">
        <v>45809</v>
      </c>
      <c r="C8593">
        <v>850440</v>
      </c>
      <c r="D8593" t="s">
        <v>176</v>
      </c>
      <c r="E8593">
        <v>2455868</v>
      </c>
      <c r="F8593">
        <v>10800</v>
      </c>
      <c r="G8593">
        <v>14766</v>
      </c>
      <c r="H8593">
        <f>_xlfn.XLOOKUP(FACT_IMPORTS[[#This Row],[hts_6]],DIM_PRODUCTS[hts_6],DIM_PRODUCTS[hts_4],,,)</f>
        <v>8504</v>
      </c>
      <c r="I8593" t="str" cm="1">
        <f t="array" ref="I8593">_xlfn.XLOOKUP(FACT_IMPORTS[[#This Row],[country_name]],DIM_COUNTRY[[#All],[Column2]],DIM_COUNTRY[[#All],[Column3]],,,)</f>
        <v>Major_Non-USMCA_Non-China</v>
      </c>
    </row>
    <row r="8594" spans="1:9" x14ac:dyDescent="0.4">
      <c r="A8594" t="s">
        <v>71</v>
      </c>
      <c r="B8594" s="1">
        <v>45809</v>
      </c>
      <c r="C8594">
        <v>850710</v>
      </c>
      <c r="D8594" t="s">
        <v>176</v>
      </c>
      <c r="E8594">
        <v>0</v>
      </c>
      <c r="F8594">
        <v>0</v>
      </c>
      <c r="G8594">
        <v>0</v>
      </c>
      <c r="H8594">
        <f>_xlfn.XLOOKUP(FACT_IMPORTS[[#This Row],[hts_6]],DIM_PRODUCTS[hts_6],DIM_PRODUCTS[hts_4],,,)</f>
        <v>8507</v>
      </c>
      <c r="I8594" t="str" cm="1">
        <f t="array" ref="I8594">_xlfn.XLOOKUP(FACT_IMPORTS[[#This Row],[country_name]],DIM_COUNTRY[[#All],[Column2]],DIM_COUNTRY[[#All],[Column3]],,,)</f>
        <v>Major_Non-USMCA_Non-China</v>
      </c>
    </row>
    <row r="8595" spans="1:9" x14ac:dyDescent="0.4">
      <c r="A8595" t="s">
        <v>71</v>
      </c>
      <c r="B8595" s="1">
        <v>45809</v>
      </c>
      <c r="C8595">
        <v>850760</v>
      </c>
      <c r="D8595" t="s">
        <v>176</v>
      </c>
      <c r="E8595">
        <v>330273</v>
      </c>
      <c r="F8595">
        <v>1954</v>
      </c>
      <c r="G8595">
        <v>1003</v>
      </c>
      <c r="H8595">
        <f>_xlfn.XLOOKUP(FACT_IMPORTS[[#This Row],[hts_6]],DIM_PRODUCTS[hts_6],DIM_PRODUCTS[hts_4],,,)</f>
        <v>8507</v>
      </c>
      <c r="I8595" t="str" cm="1">
        <f t="array" ref="I8595">_xlfn.XLOOKUP(FACT_IMPORTS[[#This Row],[country_name]],DIM_COUNTRY[[#All],[Column2]],DIM_COUNTRY[[#All],[Column3]],,,)</f>
        <v>Major_Non-USMCA_Non-China</v>
      </c>
    </row>
    <row r="8596" spans="1:9" x14ac:dyDescent="0.4">
      <c r="A8596" t="s">
        <v>71</v>
      </c>
      <c r="B8596" s="1">
        <v>45809</v>
      </c>
      <c r="C8596">
        <v>851110</v>
      </c>
      <c r="D8596" t="s">
        <v>176</v>
      </c>
      <c r="E8596">
        <v>509241</v>
      </c>
      <c r="F8596">
        <v>1795</v>
      </c>
      <c r="G8596">
        <v>37123</v>
      </c>
      <c r="H8596">
        <f>_xlfn.XLOOKUP(FACT_IMPORTS[[#This Row],[hts_6]],DIM_PRODUCTS[hts_6],DIM_PRODUCTS[hts_4],,,)</f>
        <v>8511</v>
      </c>
      <c r="I8596" t="str" cm="1">
        <f t="array" ref="I8596">_xlfn.XLOOKUP(FACT_IMPORTS[[#This Row],[country_name]],DIM_COUNTRY[[#All],[Column2]],DIM_COUNTRY[[#All],[Column3]],,,)</f>
        <v>Major_Non-USMCA_Non-China</v>
      </c>
    </row>
    <row r="8597" spans="1:9" x14ac:dyDescent="0.4">
      <c r="A8597" t="s">
        <v>71</v>
      </c>
      <c r="B8597" s="1">
        <v>45809</v>
      </c>
      <c r="C8597">
        <v>851130</v>
      </c>
      <c r="D8597" t="s">
        <v>176</v>
      </c>
      <c r="E8597">
        <v>692973</v>
      </c>
      <c r="F8597">
        <v>88381</v>
      </c>
      <c r="G8597">
        <v>8332</v>
      </c>
      <c r="H8597">
        <f>_xlfn.XLOOKUP(FACT_IMPORTS[[#This Row],[hts_6]],DIM_PRODUCTS[hts_6],DIM_PRODUCTS[hts_4],,,)</f>
        <v>8511</v>
      </c>
      <c r="I8597" t="str" cm="1">
        <f t="array" ref="I8597">_xlfn.XLOOKUP(FACT_IMPORTS[[#This Row],[country_name]],DIM_COUNTRY[[#All],[Column2]],DIM_COUNTRY[[#All],[Column3]],,,)</f>
        <v>Major_Non-USMCA_Non-China</v>
      </c>
    </row>
    <row r="8598" spans="1:9" x14ac:dyDescent="0.4">
      <c r="A8598" t="s">
        <v>71</v>
      </c>
      <c r="B8598" s="1">
        <v>45809</v>
      </c>
      <c r="C8598">
        <v>851140</v>
      </c>
      <c r="D8598" t="s">
        <v>176</v>
      </c>
      <c r="E8598">
        <v>1778769</v>
      </c>
      <c r="F8598">
        <v>29672</v>
      </c>
      <c r="G8598">
        <v>15065</v>
      </c>
      <c r="H8598">
        <f>_xlfn.XLOOKUP(FACT_IMPORTS[[#This Row],[hts_6]],DIM_PRODUCTS[hts_6],DIM_PRODUCTS[hts_4],,,)</f>
        <v>8511</v>
      </c>
      <c r="I8598" t="str" cm="1">
        <f t="array" ref="I8598">_xlfn.XLOOKUP(FACT_IMPORTS[[#This Row],[country_name]],DIM_COUNTRY[[#All],[Column2]],DIM_COUNTRY[[#All],[Column3]],,,)</f>
        <v>Major_Non-USMCA_Non-China</v>
      </c>
    </row>
    <row r="8599" spans="1:9" x14ac:dyDescent="0.4">
      <c r="A8599" t="s">
        <v>71</v>
      </c>
      <c r="B8599" s="1">
        <v>45809</v>
      </c>
      <c r="C8599">
        <v>851150</v>
      </c>
      <c r="D8599" t="s">
        <v>176</v>
      </c>
      <c r="E8599">
        <v>16532</v>
      </c>
      <c r="F8599">
        <v>197</v>
      </c>
      <c r="G8599">
        <v>217</v>
      </c>
      <c r="H8599">
        <f>_xlfn.XLOOKUP(FACT_IMPORTS[[#This Row],[hts_6]],DIM_PRODUCTS[hts_6],DIM_PRODUCTS[hts_4],,,)</f>
        <v>8511</v>
      </c>
      <c r="I8599" t="str" cm="1">
        <f t="array" ref="I8599">_xlfn.XLOOKUP(FACT_IMPORTS[[#This Row],[country_name]],DIM_COUNTRY[[#All],[Column2]],DIM_COUNTRY[[#All],[Column3]],,,)</f>
        <v>Major_Non-USMCA_Non-China</v>
      </c>
    </row>
    <row r="8600" spans="1:9" x14ac:dyDescent="0.4">
      <c r="A8600" t="s">
        <v>71</v>
      </c>
      <c r="B8600" s="1">
        <v>45809</v>
      </c>
      <c r="C8600">
        <v>851180</v>
      </c>
      <c r="D8600" t="s">
        <v>176</v>
      </c>
      <c r="E8600">
        <v>15679</v>
      </c>
      <c r="F8600">
        <v>1893</v>
      </c>
      <c r="G8600">
        <v>36</v>
      </c>
      <c r="H8600">
        <f>_xlfn.XLOOKUP(FACT_IMPORTS[[#This Row],[hts_6]],DIM_PRODUCTS[hts_6],DIM_PRODUCTS[hts_4],,,)</f>
        <v>8511</v>
      </c>
      <c r="I8600" t="str" cm="1">
        <f t="array" ref="I8600">_xlfn.XLOOKUP(FACT_IMPORTS[[#This Row],[country_name]],DIM_COUNTRY[[#All],[Column2]],DIM_COUNTRY[[#All],[Column3]],,,)</f>
        <v>Major_Non-USMCA_Non-China</v>
      </c>
    </row>
    <row r="8601" spans="1:9" x14ac:dyDescent="0.4">
      <c r="A8601" t="s">
        <v>71</v>
      </c>
      <c r="B8601" s="1">
        <v>45809</v>
      </c>
      <c r="C8601">
        <v>851190</v>
      </c>
      <c r="D8601" t="s">
        <v>176</v>
      </c>
      <c r="E8601">
        <v>6782</v>
      </c>
      <c r="F8601">
        <v>354</v>
      </c>
      <c r="G8601">
        <v>300</v>
      </c>
      <c r="H8601">
        <f>_xlfn.XLOOKUP(FACT_IMPORTS[[#This Row],[hts_6]],DIM_PRODUCTS[hts_6],DIM_PRODUCTS[hts_4],,,)</f>
        <v>8511</v>
      </c>
      <c r="I8601" t="str" cm="1">
        <f t="array" ref="I8601">_xlfn.XLOOKUP(FACT_IMPORTS[[#This Row],[country_name]],DIM_COUNTRY[[#All],[Column2]],DIM_COUNTRY[[#All],[Column3]],,,)</f>
        <v>Major_Non-USMCA_Non-China</v>
      </c>
    </row>
    <row r="8602" spans="1:9" x14ac:dyDescent="0.4">
      <c r="A8602" t="s">
        <v>71</v>
      </c>
      <c r="B8602" s="1">
        <v>45809</v>
      </c>
      <c r="C8602">
        <v>851220</v>
      </c>
      <c r="D8602" t="s">
        <v>176</v>
      </c>
      <c r="E8602">
        <v>90591</v>
      </c>
      <c r="F8602">
        <v>424</v>
      </c>
      <c r="G8602">
        <v>1663</v>
      </c>
      <c r="H8602">
        <f>_xlfn.XLOOKUP(FACT_IMPORTS[[#This Row],[hts_6]],DIM_PRODUCTS[hts_6],DIM_PRODUCTS[hts_4],,,)</f>
        <v>8512</v>
      </c>
      <c r="I8602" t="str" cm="1">
        <f t="array" ref="I8602">_xlfn.XLOOKUP(FACT_IMPORTS[[#This Row],[country_name]],DIM_COUNTRY[[#All],[Column2]],DIM_COUNTRY[[#All],[Column3]],,,)</f>
        <v>Major_Non-USMCA_Non-China</v>
      </c>
    </row>
    <row r="8603" spans="1:9" x14ac:dyDescent="0.4">
      <c r="A8603" t="s">
        <v>71</v>
      </c>
      <c r="B8603" s="1">
        <v>45809</v>
      </c>
      <c r="C8603">
        <v>851230</v>
      </c>
      <c r="D8603" t="s">
        <v>176</v>
      </c>
      <c r="E8603">
        <v>18977</v>
      </c>
      <c r="F8603">
        <v>765</v>
      </c>
      <c r="G8603">
        <v>422</v>
      </c>
      <c r="H8603">
        <f>_xlfn.XLOOKUP(FACT_IMPORTS[[#This Row],[hts_6]],DIM_PRODUCTS[hts_6],DIM_PRODUCTS[hts_4],,,)</f>
        <v>8512</v>
      </c>
      <c r="I8603" t="str" cm="1">
        <f t="array" ref="I8603">_xlfn.XLOOKUP(FACT_IMPORTS[[#This Row],[country_name]],DIM_COUNTRY[[#All],[Column2]],DIM_COUNTRY[[#All],[Column3]],,,)</f>
        <v>Major_Non-USMCA_Non-China</v>
      </c>
    </row>
    <row r="8604" spans="1:9" x14ac:dyDescent="0.4">
      <c r="A8604" t="s">
        <v>71</v>
      </c>
      <c r="B8604" s="1">
        <v>45809</v>
      </c>
      <c r="C8604">
        <v>851290</v>
      </c>
      <c r="D8604" t="s">
        <v>176</v>
      </c>
      <c r="E8604">
        <v>49437</v>
      </c>
      <c r="F8604">
        <v>1301</v>
      </c>
      <c r="G8604">
        <v>1104</v>
      </c>
      <c r="H8604">
        <f>_xlfn.XLOOKUP(FACT_IMPORTS[[#This Row],[hts_6]],DIM_PRODUCTS[hts_6],DIM_PRODUCTS[hts_4],,,)</f>
        <v>8512</v>
      </c>
      <c r="I8604" t="str" cm="1">
        <f t="array" ref="I8604">_xlfn.XLOOKUP(FACT_IMPORTS[[#This Row],[country_name]],DIM_COUNTRY[[#All],[Column2]],DIM_COUNTRY[[#All],[Column3]],,,)</f>
        <v>Major_Non-USMCA_Non-China</v>
      </c>
    </row>
    <row r="8605" spans="1:9" x14ac:dyDescent="0.4">
      <c r="A8605" t="s">
        <v>71</v>
      </c>
      <c r="B8605" s="1">
        <v>45809</v>
      </c>
      <c r="C8605">
        <v>854231</v>
      </c>
      <c r="D8605" t="s">
        <v>176</v>
      </c>
      <c r="E8605">
        <v>59490</v>
      </c>
      <c r="F8605">
        <v>5912</v>
      </c>
      <c r="G8605">
        <v>774</v>
      </c>
      <c r="H8605">
        <f>_xlfn.XLOOKUP(FACT_IMPORTS[[#This Row],[hts_6]],DIM_PRODUCTS[hts_6],DIM_PRODUCTS[hts_4],,,)</f>
        <v>8542</v>
      </c>
      <c r="I8605" t="str" cm="1">
        <f t="array" ref="I8605">_xlfn.XLOOKUP(FACT_IMPORTS[[#This Row],[country_name]],DIM_COUNTRY[[#All],[Column2]],DIM_COUNTRY[[#All],[Column3]],,,)</f>
        <v>Major_Non-USMCA_Non-China</v>
      </c>
    </row>
    <row r="8606" spans="1:9" x14ac:dyDescent="0.4">
      <c r="A8606" t="s">
        <v>71</v>
      </c>
      <c r="B8606" s="1">
        <v>45809</v>
      </c>
      <c r="C8606">
        <v>854232</v>
      </c>
      <c r="D8606" t="s">
        <v>176</v>
      </c>
      <c r="E8606">
        <v>27163</v>
      </c>
      <c r="F8606">
        <v>268</v>
      </c>
      <c r="G8606">
        <v>397</v>
      </c>
      <c r="H8606">
        <f>_xlfn.XLOOKUP(FACT_IMPORTS[[#This Row],[hts_6]],DIM_PRODUCTS[hts_6],DIM_PRODUCTS[hts_4],,,)</f>
        <v>8542</v>
      </c>
      <c r="I8606" t="str" cm="1">
        <f t="array" ref="I8606">_xlfn.XLOOKUP(FACT_IMPORTS[[#This Row],[country_name]],DIM_COUNTRY[[#All],[Column2]],DIM_COUNTRY[[#All],[Column3]],,,)</f>
        <v>Major_Non-USMCA_Non-China</v>
      </c>
    </row>
    <row r="8607" spans="1:9" x14ac:dyDescent="0.4">
      <c r="A8607" t="s">
        <v>71</v>
      </c>
      <c r="B8607" s="1">
        <v>45809</v>
      </c>
      <c r="C8607">
        <v>854239</v>
      </c>
      <c r="D8607" t="s">
        <v>176</v>
      </c>
      <c r="E8607">
        <v>0</v>
      </c>
      <c r="F8607">
        <v>0</v>
      </c>
      <c r="G8607">
        <v>0</v>
      </c>
      <c r="H8607">
        <f>_xlfn.XLOOKUP(FACT_IMPORTS[[#This Row],[hts_6]],DIM_PRODUCTS[hts_6],DIM_PRODUCTS[hts_4],,,)</f>
        <v>8542</v>
      </c>
      <c r="I8607" t="str" cm="1">
        <f t="array" ref="I8607">_xlfn.XLOOKUP(FACT_IMPORTS[[#This Row],[country_name]],DIM_COUNTRY[[#All],[Column2]],DIM_COUNTRY[[#All],[Column3]],,,)</f>
        <v>Major_Non-USMCA_Non-China</v>
      </c>
    </row>
    <row r="8608" spans="1:9" x14ac:dyDescent="0.4">
      <c r="A8608" t="s">
        <v>71</v>
      </c>
      <c r="B8608" s="1">
        <v>45809</v>
      </c>
      <c r="C8608">
        <v>854290</v>
      </c>
      <c r="D8608" t="s">
        <v>176</v>
      </c>
      <c r="E8608">
        <v>0</v>
      </c>
      <c r="F8608">
        <v>0</v>
      </c>
      <c r="G8608">
        <v>0</v>
      </c>
      <c r="H8608">
        <f>_xlfn.XLOOKUP(FACT_IMPORTS[[#This Row],[hts_6]],DIM_PRODUCTS[hts_6],DIM_PRODUCTS[hts_4],,,)</f>
        <v>8542</v>
      </c>
      <c r="I8608" t="str" cm="1">
        <f t="array" ref="I8608">_xlfn.XLOOKUP(FACT_IMPORTS[[#This Row],[country_name]],DIM_COUNTRY[[#All],[Column2]],DIM_COUNTRY[[#All],[Column3]],,,)</f>
        <v>Major_Non-USMCA_Non-China</v>
      </c>
    </row>
    <row r="8609" spans="1:9" x14ac:dyDescent="0.4">
      <c r="A8609" t="s">
        <v>71</v>
      </c>
      <c r="B8609" s="1">
        <v>45809</v>
      </c>
      <c r="C8609">
        <v>854430</v>
      </c>
      <c r="D8609" t="s">
        <v>176</v>
      </c>
      <c r="E8609">
        <v>4698</v>
      </c>
      <c r="F8609">
        <v>1</v>
      </c>
      <c r="G8609">
        <v>28</v>
      </c>
      <c r="H8609">
        <f>_xlfn.XLOOKUP(FACT_IMPORTS[[#This Row],[hts_6]],DIM_PRODUCTS[hts_6],DIM_PRODUCTS[hts_4],,,)</f>
        <v>8544</v>
      </c>
      <c r="I8609" t="str" cm="1">
        <f t="array" ref="I8609">_xlfn.XLOOKUP(FACT_IMPORTS[[#This Row],[country_name]],DIM_COUNTRY[[#All],[Column2]],DIM_COUNTRY[[#All],[Column3]],,,)</f>
        <v>Major_Non-USMCA_Non-China</v>
      </c>
    </row>
    <row r="8610" spans="1:9" x14ac:dyDescent="0.4">
      <c r="A8610" t="s">
        <v>71</v>
      </c>
      <c r="B8610" s="1">
        <v>45809</v>
      </c>
      <c r="C8610">
        <v>870710</v>
      </c>
      <c r="D8610" t="s">
        <v>176</v>
      </c>
      <c r="E8610">
        <v>18000</v>
      </c>
      <c r="F8610">
        <v>3</v>
      </c>
      <c r="G8610">
        <v>900</v>
      </c>
      <c r="H8610">
        <f>_xlfn.XLOOKUP(FACT_IMPORTS[[#This Row],[hts_6]],DIM_PRODUCTS[hts_6],DIM_PRODUCTS[hts_4],,,)</f>
        <v>8707</v>
      </c>
      <c r="I8610" t="str" cm="1">
        <f t="array" ref="I8610">_xlfn.XLOOKUP(FACT_IMPORTS[[#This Row],[country_name]],DIM_COUNTRY[[#All],[Column2]],DIM_COUNTRY[[#All],[Column3]],,,)</f>
        <v>Major_Non-USMCA_Non-China</v>
      </c>
    </row>
    <row r="8611" spans="1:9" x14ac:dyDescent="0.4">
      <c r="A8611" t="s">
        <v>71</v>
      </c>
      <c r="B8611" s="1">
        <v>45809</v>
      </c>
      <c r="C8611">
        <v>870790</v>
      </c>
      <c r="D8611" t="s">
        <v>176</v>
      </c>
      <c r="E8611">
        <v>0</v>
      </c>
      <c r="F8611">
        <v>0</v>
      </c>
      <c r="G8611">
        <v>0</v>
      </c>
      <c r="H8611">
        <f>_xlfn.XLOOKUP(FACT_IMPORTS[[#This Row],[hts_6]],DIM_PRODUCTS[hts_6],DIM_PRODUCTS[hts_4],,,)</f>
        <v>8707</v>
      </c>
      <c r="I8611" t="str" cm="1">
        <f t="array" ref="I8611">_xlfn.XLOOKUP(FACT_IMPORTS[[#This Row],[country_name]],DIM_COUNTRY[[#All],[Column2]],DIM_COUNTRY[[#All],[Column3]],,,)</f>
        <v>Major_Non-USMCA_Non-China</v>
      </c>
    </row>
    <row r="8612" spans="1:9" x14ac:dyDescent="0.4">
      <c r="A8612" t="s">
        <v>71</v>
      </c>
      <c r="B8612" s="1">
        <v>45809</v>
      </c>
      <c r="C8612">
        <v>870810</v>
      </c>
      <c r="D8612" t="s">
        <v>176</v>
      </c>
      <c r="E8612">
        <v>2296</v>
      </c>
      <c r="F8612">
        <v>16</v>
      </c>
      <c r="G8612">
        <v>0</v>
      </c>
      <c r="H8612">
        <f>_xlfn.XLOOKUP(FACT_IMPORTS[[#This Row],[hts_6]],DIM_PRODUCTS[hts_6],DIM_PRODUCTS[hts_4],,,)</f>
        <v>8708</v>
      </c>
      <c r="I8612" t="str" cm="1">
        <f t="array" ref="I8612">_xlfn.XLOOKUP(FACT_IMPORTS[[#This Row],[country_name]],DIM_COUNTRY[[#All],[Column2]],DIM_COUNTRY[[#All],[Column3]],,,)</f>
        <v>Major_Non-USMCA_Non-China</v>
      </c>
    </row>
    <row r="8613" spans="1:9" x14ac:dyDescent="0.4">
      <c r="A8613" t="s">
        <v>71</v>
      </c>
      <c r="B8613" s="1">
        <v>45809</v>
      </c>
      <c r="C8613">
        <v>870829</v>
      </c>
      <c r="D8613" t="s">
        <v>176</v>
      </c>
      <c r="E8613">
        <v>2978928</v>
      </c>
      <c r="F8613">
        <v>337003</v>
      </c>
      <c r="G8613">
        <v>106616</v>
      </c>
      <c r="H8613">
        <f>_xlfn.XLOOKUP(FACT_IMPORTS[[#This Row],[hts_6]],DIM_PRODUCTS[hts_6],DIM_PRODUCTS[hts_4],,,)</f>
        <v>8708</v>
      </c>
      <c r="I8613" t="str" cm="1">
        <f t="array" ref="I8613">_xlfn.XLOOKUP(FACT_IMPORTS[[#This Row],[country_name]],DIM_COUNTRY[[#All],[Column2]],DIM_COUNTRY[[#All],[Column3]],,,)</f>
        <v>Major_Non-USMCA_Non-China</v>
      </c>
    </row>
    <row r="8614" spans="1:9" x14ac:dyDescent="0.4">
      <c r="A8614" t="s">
        <v>71</v>
      </c>
      <c r="B8614" s="1">
        <v>45809</v>
      </c>
      <c r="C8614">
        <v>870830</v>
      </c>
      <c r="D8614" t="s">
        <v>176</v>
      </c>
      <c r="E8614">
        <v>690545</v>
      </c>
      <c r="F8614">
        <v>86400</v>
      </c>
      <c r="G8614">
        <v>5839</v>
      </c>
      <c r="H8614">
        <f>_xlfn.XLOOKUP(FACT_IMPORTS[[#This Row],[hts_6]],DIM_PRODUCTS[hts_6],DIM_PRODUCTS[hts_4],,,)</f>
        <v>8708</v>
      </c>
      <c r="I8614" t="str" cm="1">
        <f t="array" ref="I8614">_xlfn.XLOOKUP(FACT_IMPORTS[[#This Row],[country_name]],DIM_COUNTRY[[#All],[Column2]],DIM_COUNTRY[[#All],[Column3]],,,)</f>
        <v>Major_Non-USMCA_Non-China</v>
      </c>
    </row>
    <row r="8615" spans="1:9" x14ac:dyDescent="0.4">
      <c r="A8615" t="s">
        <v>71</v>
      </c>
      <c r="B8615" s="1">
        <v>45809</v>
      </c>
      <c r="C8615">
        <v>870840</v>
      </c>
      <c r="D8615" t="s">
        <v>176</v>
      </c>
      <c r="E8615">
        <v>3680616</v>
      </c>
      <c r="F8615">
        <v>17193</v>
      </c>
      <c r="G8615">
        <v>93014</v>
      </c>
      <c r="H8615">
        <f>_xlfn.XLOOKUP(FACT_IMPORTS[[#This Row],[hts_6]],DIM_PRODUCTS[hts_6],DIM_PRODUCTS[hts_4],,,)</f>
        <v>8708</v>
      </c>
      <c r="I8615" t="str" cm="1">
        <f t="array" ref="I8615">_xlfn.XLOOKUP(FACT_IMPORTS[[#This Row],[country_name]],DIM_COUNTRY[[#All],[Column2]],DIM_COUNTRY[[#All],[Column3]],,,)</f>
        <v>Major_Non-USMCA_Non-China</v>
      </c>
    </row>
    <row r="8616" spans="1:9" x14ac:dyDescent="0.4">
      <c r="A8616" t="s">
        <v>71</v>
      </c>
      <c r="B8616" s="1">
        <v>45809</v>
      </c>
      <c r="C8616">
        <v>870850</v>
      </c>
      <c r="D8616" t="s">
        <v>176</v>
      </c>
      <c r="E8616">
        <v>0</v>
      </c>
      <c r="F8616">
        <v>0</v>
      </c>
      <c r="G8616">
        <v>0</v>
      </c>
      <c r="H8616">
        <f>_xlfn.XLOOKUP(FACT_IMPORTS[[#This Row],[hts_6]],DIM_PRODUCTS[hts_6],DIM_PRODUCTS[hts_4],,,)</f>
        <v>8708</v>
      </c>
      <c r="I8616" t="str" cm="1">
        <f t="array" ref="I8616">_xlfn.XLOOKUP(FACT_IMPORTS[[#This Row],[country_name]],DIM_COUNTRY[[#All],[Column2]],DIM_COUNTRY[[#All],[Column3]],,,)</f>
        <v>Major_Non-USMCA_Non-China</v>
      </c>
    </row>
    <row r="8617" spans="1:9" x14ac:dyDescent="0.4">
      <c r="A8617" t="s">
        <v>71</v>
      </c>
      <c r="B8617" s="1">
        <v>45809</v>
      </c>
      <c r="C8617">
        <v>870870</v>
      </c>
      <c r="D8617" t="s">
        <v>176</v>
      </c>
      <c r="E8617">
        <v>6766</v>
      </c>
      <c r="F8617">
        <v>8</v>
      </c>
      <c r="G8617">
        <v>93</v>
      </c>
      <c r="H8617">
        <f>_xlfn.XLOOKUP(FACT_IMPORTS[[#This Row],[hts_6]],DIM_PRODUCTS[hts_6],DIM_PRODUCTS[hts_4],,,)</f>
        <v>8708</v>
      </c>
      <c r="I8617" t="str" cm="1">
        <f t="array" ref="I8617">_xlfn.XLOOKUP(FACT_IMPORTS[[#This Row],[country_name]],DIM_COUNTRY[[#All],[Column2]],DIM_COUNTRY[[#All],[Column3]],,,)</f>
        <v>Major_Non-USMCA_Non-China</v>
      </c>
    </row>
    <row r="8618" spans="1:9" x14ac:dyDescent="0.4">
      <c r="A8618" t="s">
        <v>71</v>
      </c>
      <c r="B8618" s="1">
        <v>45809</v>
      </c>
      <c r="C8618">
        <v>870880</v>
      </c>
      <c r="D8618" t="s">
        <v>176</v>
      </c>
      <c r="E8618">
        <v>122754</v>
      </c>
      <c r="F8618">
        <v>3720</v>
      </c>
      <c r="G8618">
        <v>2335</v>
      </c>
      <c r="H8618">
        <f>_xlfn.XLOOKUP(FACT_IMPORTS[[#This Row],[hts_6]],DIM_PRODUCTS[hts_6],DIM_PRODUCTS[hts_4],,,)</f>
        <v>8708</v>
      </c>
      <c r="I8618" t="str" cm="1">
        <f t="array" ref="I8618">_xlfn.XLOOKUP(FACT_IMPORTS[[#This Row],[country_name]],DIM_COUNTRY[[#All],[Column2]],DIM_COUNTRY[[#All],[Column3]],,,)</f>
        <v>Major_Non-USMCA_Non-China</v>
      </c>
    </row>
    <row r="8619" spans="1:9" x14ac:dyDescent="0.4">
      <c r="A8619" t="s">
        <v>71</v>
      </c>
      <c r="B8619" s="1">
        <v>45809</v>
      </c>
      <c r="C8619">
        <v>870891</v>
      </c>
      <c r="D8619" t="s">
        <v>176</v>
      </c>
      <c r="E8619">
        <v>71756</v>
      </c>
      <c r="F8619">
        <v>76248</v>
      </c>
      <c r="G8619">
        <v>934</v>
      </c>
      <c r="H8619">
        <f>_xlfn.XLOOKUP(FACT_IMPORTS[[#This Row],[hts_6]],DIM_PRODUCTS[hts_6],DIM_PRODUCTS[hts_4],,,)</f>
        <v>8708</v>
      </c>
      <c r="I8619" t="str" cm="1">
        <f t="array" ref="I8619">_xlfn.XLOOKUP(FACT_IMPORTS[[#This Row],[country_name]],DIM_COUNTRY[[#All],[Column2]],DIM_COUNTRY[[#All],[Column3]],,,)</f>
        <v>Major_Non-USMCA_Non-China</v>
      </c>
    </row>
    <row r="8620" spans="1:9" x14ac:dyDescent="0.4">
      <c r="A8620" t="s">
        <v>71</v>
      </c>
      <c r="B8620" s="1">
        <v>45809</v>
      </c>
      <c r="C8620">
        <v>870892</v>
      </c>
      <c r="D8620" t="s">
        <v>176</v>
      </c>
      <c r="E8620">
        <v>0</v>
      </c>
      <c r="F8620">
        <v>0</v>
      </c>
      <c r="G8620">
        <v>0</v>
      </c>
      <c r="H8620">
        <f>_xlfn.XLOOKUP(FACT_IMPORTS[[#This Row],[hts_6]],DIM_PRODUCTS[hts_6],DIM_PRODUCTS[hts_4],,,)</f>
        <v>8708</v>
      </c>
      <c r="I8620" t="str" cm="1">
        <f t="array" ref="I8620">_xlfn.XLOOKUP(FACT_IMPORTS[[#This Row],[country_name]],DIM_COUNTRY[[#All],[Column2]],DIM_COUNTRY[[#All],[Column3]],,,)</f>
        <v>Major_Non-USMCA_Non-China</v>
      </c>
    </row>
    <row r="8621" spans="1:9" x14ac:dyDescent="0.4">
      <c r="A8621" t="s">
        <v>71</v>
      </c>
      <c r="B8621" s="1">
        <v>45809</v>
      </c>
      <c r="C8621">
        <v>870893</v>
      </c>
      <c r="D8621" t="s">
        <v>176</v>
      </c>
      <c r="E8621">
        <v>560602</v>
      </c>
      <c r="F8621">
        <v>218070</v>
      </c>
      <c r="G8621">
        <v>12680</v>
      </c>
      <c r="H8621">
        <f>_xlfn.XLOOKUP(FACT_IMPORTS[[#This Row],[hts_6]],DIM_PRODUCTS[hts_6],DIM_PRODUCTS[hts_4],,,)</f>
        <v>8708</v>
      </c>
      <c r="I8621" t="str" cm="1">
        <f t="array" ref="I8621">_xlfn.XLOOKUP(FACT_IMPORTS[[#This Row],[country_name]],DIM_COUNTRY[[#All],[Column2]],DIM_COUNTRY[[#All],[Column3]],,,)</f>
        <v>Major_Non-USMCA_Non-China</v>
      </c>
    </row>
    <row r="8622" spans="1:9" x14ac:dyDescent="0.4">
      <c r="A8622" t="s">
        <v>71</v>
      </c>
      <c r="B8622" s="1">
        <v>45809</v>
      </c>
      <c r="C8622">
        <v>870894</v>
      </c>
      <c r="D8622" t="s">
        <v>176</v>
      </c>
      <c r="E8622">
        <v>100742</v>
      </c>
      <c r="F8622">
        <v>32</v>
      </c>
      <c r="G8622">
        <v>500</v>
      </c>
      <c r="H8622">
        <f>_xlfn.XLOOKUP(FACT_IMPORTS[[#This Row],[hts_6]],DIM_PRODUCTS[hts_6],DIM_PRODUCTS[hts_4],,,)</f>
        <v>8708</v>
      </c>
      <c r="I8622" t="str" cm="1">
        <f t="array" ref="I8622">_xlfn.XLOOKUP(FACT_IMPORTS[[#This Row],[country_name]],DIM_COUNTRY[[#All],[Column2]],DIM_COUNTRY[[#All],[Column3]],,,)</f>
        <v>Major_Non-USMCA_Non-China</v>
      </c>
    </row>
    <row r="8623" spans="1:9" x14ac:dyDescent="0.4">
      <c r="A8623" t="s">
        <v>71</v>
      </c>
      <c r="B8623" s="1">
        <v>45809</v>
      </c>
      <c r="C8623">
        <v>870895</v>
      </c>
      <c r="D8623" t="s">
        <v>176</v>
      </c>
      <c r="E8623">
        <v>0</v>
      </c>
      <c r="F8623">
        <v>0</v>
      </c>
      <c r="G8623">
        <v>0</v>
      </c>
      <c r="H8623">
        <f>_xlfn.XLOOKUP(FACT_IMPORTS[[#This Row],[hts_6]],DIM_PRODUCTS[hts_6],DIM_PRODUCTS[hts_4],,,)</f>
        <v>8708</v>
      </c>
      <c r="I8623" t="str" cm="1">
        <f t="array" ref="I8623">_xlfn.XLOOKUP(FACT_IMPORTS[[#This Row],[country_name]],DIM_COUNTRY[[#All],[Column2]],DIM_COUNTRY[[#All],[Column3]],,,)</f>
        <v>Major_Non-USMCA_Non-China</v>
      </c>
    </row>
    <row r="8624" spans="1:9" x14ac:dyDescent="0.4">
      <c r="A8624" t="s">
        <v>71</v>
      </c>
      <c r="B8624" s="1">
        <v>45809</v>
      </c>
      <c r="C8624">
        <v>870899</v>
      </c>
      <c r="D8624" t="s">
        <v>176</v>
      </c>
      <c r="E8624">
        <v>3493333</v>
      </c>
      <c r="F8624">
        <v>4567420</v>
      </c>
      <c r="G8624">
        <v>67473</v>
      </c>
      <c r="H8624">
        <f>_xlfn.XLOOKUP(FACT_IMPORTS[[#This Row],[hts_6]],DIM_PRODUCTS[hts_6],DIM_PRODUCTS[hts_4],,,)</f>
        <v>8708</v>
      </c>
      <c r="I8624" t="str" cm="1">
        <f t="array" ref="I8624">_xlfn.XLOOKUP(FACT_IMPORTS[[#This Row],[country_name]],DIM_COUNTRY[[#All],[Column2]],DIM_COUNTRY[[#All],[Column3]],,,)</f>
        <v>Major_Non-USMCA_Non-China</v>
      </c>
    </row>
    <row r="8625" spans="1:9" x14ac:dyDescent="0.4">
      <c r="A8625" t="s">
        <v>71</v>
      </c>
      <c r="B8625" s="1">
        <v>45809</v>
      </c>
      <c r="C8625">
        <v>940120</v>
      </c>
      <c r="D8625" t="s">
        <v>176</v>
      </c>
      <c r="E8625">
        <v>3604</v>
      </c>
      <c r="F8625">
        <v>3</v>
      </c>
      <c r="G8625">
        <v>299</v>
      </c>
      <c r="H8625">
        <f>_xlfn.XLOOKUP(FACT_IMPORTS[[#This Row],[hts_6]],DIM_PRODUCTS[hts_6],DIM_PRODUCTS[hts_4],,,)</f>
        <v>9401</v>
      </c>
      <c r="I8625" t="str" cm="1">
        <f t="array" ref="I8625">_xlfn.XLOOKUP(FACT_IMPORTS[[#This Row],[country_name]],DIM_COUNTRY[[#All],[Column2]],DIM_COUNTRY[[#All],[Column3]],,,)</f>
        <v>Major_Non-USMCA_Non-China</v>
      </c>
    </row>
    <row r="8626" spans="1:9" x14ac:dyDescent="0.4">
      <c r="A8626" t="s">
        <v>71</v>
      </c>
      <c r="B8626" s="1">
        <v>45839</v>
      </c>
      <c r="C8626">
        <v>392630</v>
      </c>
      <c r="D8626" t="s">
        <v>176</v>
      </c>
      <c r="E8626">
        <v>16793</v>
      </c>
      <c r="F8626">
        <v>190</v>
      </c>
      <c r="G8626">
        <v>1501</v>
      </c>
      <c r="H8626">
        <f>_xlfn.XLOOKUP(FACT_IMPORTS[[#This Row],[hts_6]],DIM_PRODUCTS[hts_6],DIM_PRODUCTS[hts_4],,,)</f>
        <v>3926</v>
      </c>
      <c r="I8626" t="str" cm="1">
        <f t="array" ref="I8626">_xlfn.XLOOKUP(FACT_IMPORTS[[#This Row],[country_name]],DIM_COUNTRY[[#All],[Column2]],DIM_COUNTRY[[#All],[Column3]],,,)</f>
        <v>Major_Non-USMCA_Non-China</v>
      </c>
    </row>
    <row r="8627" spans="1:9" x14ac:dyDescent="0.4">
      <c r="A8627" t="s">
        <v>71</v>
      </c>
      <c r="B8627" s="1">
        <v>45839</v>
      </c>
      <c r="C8627">
        <v>401110</v>
      </c>
      <c r="D8627" t="s">
        <v>176</v>
      </c>
      <c r="E8627">
        <v>16647</v>
      </c>
      <c r="F8627">
        <v>609</v>
      </c>
      <c r="G8627">
        <v>318</v>
      </c>
      <c r="H8627">
        <f>_xlfn.XLOOKUP(FACT_IMPORTS[[#This Row],[hts_6]],DIM_PRODUCTS[hts_6],DIM_PRODUCTS[hts_4],,,)</f>
        <v>4011</v>
      </c>
      <c r="I8627" t="str" cm="1">
        <f t="array" ref="I8627">_xlfn.XLOOKUP(FACT_IMPORTS[[#This Row],[country_name]],DIM_COUNTRY[[#All],[Column2]],DIM_COUNTRY[[#All],[Column3]],,,)</f>
        <v>Major_Non-USMCA_Non-China</v>
      </c>
    </row>
    <row r="8628" spans="1:9" x14ac:dyDescent="0.4">
      <c r="A8628" t="s">
        <v>71</v>
      </c>
      <c r="B8628" s="1">
        <v>45839</v>
      </c>
      <c r="C8628">
        <v>401120</v>
      </c>
      <c r="D8628" t="s">
        <v>176</v>
      </c>
      <c r="E8628">
        <v>0</v>
      </c>
      <c r="F8628">
        <v>0</v>
      </c>
      <c r="G8628">
        <v>0</v>
      </c>
      <c r="H8628">
        <f>_xlfn.XLOOKUP(FACT_IMPORTS[[#This Row],[hts_6]],DIM_PRODUCTS[hts_6],DIM_PRODUCTS[hts_4],,,)</f>
        <v>4011</v>
      </c>
      <c r="I8628" t="str" cm="1">
        <f t="array" ref="I8628">_xlfn.XLOOKUP(FACT_IMPORTS[[#This Row],[country_name]],DIM_COUNTRY[[#All],[Column2]],DIM_COUNTRY[[#All],[Column3]],,,)</f>
        <v>Major_Non-USMCA_Non-China</v>
      </c>
    </row>
    <row r="8629" spans="1:9" x14ac:dyDescent="0.4">
      <c r="A8629" t="s">
        <v>71</v>
      </c>
      <c r="B8629" s="1">
        <v>45839</v>
      </c>
      <c r="C8629">
        <v>401190</v>
      </c>
      <c r="D8629" t="s">
        <v>176</v>
      </c>
      <c r="E8629">
        <v>0</v>
      </c>
      <c r="F8629">
        <v>0</v>
      </c>
      <c r="G8629">
        <v>0</v>
      </c>
      <c r="H8629">
        <f>_xlfn.XLOOKUP(FACT_IMPORTS[[#This Row],[hts_6]],DIM_PRODUCTS[hts_6],DIM_PRODUCTS[hts_4],,,)</f>
        <v>4011</v>
      </c>
      <c r="I8629" t="str" cm="1">
        <f t="array" ref="I8629">_xlfn.XLOOKUP(FACT_IMPORTS[[#This Row],[country_name]],DIM_COUNTRY[[#All],[Column2]],DIM_COUNTRY[[#All],[Column3]],,,)</f>
        <v>Major_Non-USMCA_Non-China</v>
      </c>
    </row>
    <row r="8630" spans="1:9" x14ac:dyDescent="0.4">
      <c r="A8630" t="s">
        <v>71</v>
      </c>
      <c r="B8630" s="1">
        <v>45839</v>
      </c>
      <c r="C8630">
        <v>700711</v>
      </c>
      <c r="D8630" t="s">
        <v>176</v>
      </c>
      <c r="E8630">
        <v>37485</v>
      </c>
      <c r="F8630">
        <v>1704</v>
      </c>
      <c r="G8630">
        <v>358</v>
      </c>
      <c r="H8630">
        <f>_xlfn.XLOOKUP(FACT_IMPORTS[[#This Row],[hts_6]],DIM_PRODUCTS[hts_6],DIM_PRODUCTS[hts_4],,,)</f>
        <v>7007</v>
      </c>
      <c r="I8630" t="str" cm="1">
        <f t="array" ref="I8630">_xlfn.XLOOKUP(FACT_IMPORTS[[#This Row],[country_name]],DIM_COUNTRY[[#All],[Column2]],DIM_COUNTRY[[#All],[Column3]],,,)</f>
        <v>Major_Non-USMCA_Non-China</v>
      </c>
    </row>
    <row r="8631" spans="1:9" x14ac:dyDescent="0.4">
      <c r="A8631" t="s">
        <v>71</v>
      </c>
      <c r="B8631" s="1">
        <v>45839</v>
      </c>
      <c r="C8631">
        <v>700721</v>
      </c>
      <c r="D8631" t="s">
        <v>176</v>
      </c>
      <c r="E8631">
        <v>2597</v>
      </c>
      <c r="F8631">
        <v>1</v>
      </c>
      <c r="G8631">
        <v>25</v>
      </c>
      <c r="H8631">
        <f>_xlfn.XLOOKUP(FACT_IMPORTS[[#This Row],[hts_6]],DIM_PRODUCTS[hts_6],DIM_PRODUCTS[hts_4],,,)</f>
        <v>7007</v>
      </c>
      <c r="I8631" t="str" cm="1">
        <f t="array" ref="I8631">_xlfn.XLOOKUP(FACT_IMPORTS[[#This Row],[country_name]],DIM_COUNTRY[[#All],[Column2]],DIM_COUNTRY[[#All],[Column3]],,,)</f>
        <v>Major_Non-USMCA_Non-China</v>
      </c>
    </row>
    <row r="8632" spans="1:9" x14ac:dyDescent="0.4">
      <c r="A8632" t="s">
        <v>71</v>
      </c>
      <c r="B8632" s="1">
        <v>45839</v>
      </c>
      <c r="C8632">
        <v>700910</v>
      </c>
      <c r="D8632" t="s">
        <v>176</v>
      </c>
      <c r="E8632">
        <v>0</v>
      </c>
      <c r="F8632">
        <v>0</v>
      </c>
      <c r="G8632">
        <v>0</v>
      </c>
      <c r="H8632">
        <f>_xlfn.XLOOKUP(FACT_IMPORTS[[#This Row],[hts_6]],DIM_PRODUCTS[hts_6],DIM_PRODUCTS[hts_4],,,)</f>
        <v>7009</v>
      </c>
      <c r="I8632" t="str" cm="1">
        <f t="array" ref="I8632">_xlfn.XLOOKUP(FACT_IMPORTS[[#This Row],[country_name]],DIM_COUNTRY[[#All],[Column2]],DIM_COUNTRY[[#All],[Column3]],,,)</f>
        <v>Major_Non-USMCA_Non-China</v>
      </c>
    </row>
    <row r="8633" spans="1:9" x14ac:dyDescent="0.4">
      <c r="A8633" t="s">
        <v>71</v>
      </c>
      <c r="B8633" s="1">
        <v>45839</v>
      </c>
      <c r="C8633">
        <v>830230</v>
      </c>
      <c r="D8633" t="s">
        <v>176</v>
      </c>
      <c r="E8633">
        <v>12127</v>
      </c>
      <c r="F8633">
        <v>1614</v>
      </c>
      <c r="G8633">
        <v>397</v>
      </c>
      <c r="H8633">
        <f>_xlfn.XLOOKUP(FACT_IMPORTS[[#This Row],[hts_6]],DIM_PRODUCTS[hts_6],DIM_PRODUCTS[hts_4],,,)</f>
        <v>8302</v>
      </c>
      <c r="I8633" t="str" cm="1">
        <f t="array" ref="I8633">_xlfn.XLOOKUP(FACT_IMPORTS[[#This Row],[country_name]],DIM_COUNTRY[[#All],[Column2]],DIM_COUNTRY[[#All],[Column3]],,,)</f>
        <v>Major_Non-USMCA_Non-China</v>
      </c>
    </row>
    <row r="8634" spans="1:9" x14ac:dyDescent="0.4">
      <c r="A8634" t="s">
        <v>71</v>
      </c>
      <c r="B8634" s="1">
        <v>45839</v>
      </c>
      <c r="C8634">
        <v>840732</v>
      </c>
      <c r="D8634" t="s">
        <v>176</v>
      </c>
      <c r="E8634">
        <v>0</v>
      </c>
      <c r="F8634">
        <v>0</v>
      </c>
      <c r="G8634">
        <v>0</v>
      </c>
      <c r="H8634">
        <f>_xlfn.XLOOKUP(FACT_IMPORTS[[#This Row],[hts_6]],DIM_PRODUCTS[hts_6],DIM_PRODUCTS[hts_4],,,)</f>
        <v>8407</v>
      </c>
      <c r="I8634" t="str" cm="1">
        <f t="array" ref="I8634">_xlfn.XLOOKUP(FACT_IMPORTS[[#This Row],[country_name]],DIM_COUNTRY[[#All],[Column2]],DIM_COUNTRY[[#All],[Column3]],,,)</f>
        <v>Major_Non-USMCA_Non-China</v>
      </c>
    </row>
    <row r="8635" spans="1:9" x14ac:dyDescent="0.4">
      <c r="A8635" t="s">
        <v>71</v>
      </c>
      <c r="B8635" s="1">
        <v>45839</v>
      </c>
      <c r="C8635">
        <v>840733</v>
      </c>
      <c r="D8635" t="s">
        <v>176</v>
      </c>
      <c r="E8635">
        <v>0</v>
      </c>
      <c r="F8635">
        <v>0</v>
      </c>
      <c r="G8635">
        <v>0</v>
      </c>
      <c r="H8635">
        <f>_xlfn.XLOOKUP(FACT_IMPORTS[[#This Row],[hts_6]],DIM_PRODUCTS[hts_6],DIM_PRODUCTS[hts_4],,,)</f>
        <v>8407</v>
      </c>
      <c r="I8635" t="str" cm="1">
        <f t="array" ref="I8635">_xlfn.XLOOKUP(FACT_IMPORTS[[#This Row],[country_name]],DIM_COUNTRY[[#All],[Column2]],DIM_COUNTRY[[#All],[Column3]],,,)</f>
        <v>Major_Non-USMCA_Non-China</v>
      </c>
    </row>
    <row r="8636" spans="1:9" x14ac:dyDescent="0.4">
      <c r="A8636" t="s">
        <v>71</v>
      </c>
      <c r="B8636" s="1">
        <v>45839</v>
      </c>
      <c r="C8636">
        <v>840734</v>
      </c>
      <c r="D8636" t="s">
        <v>176</v>
      </c>
      <c r="E8636">
        <v>5864</v>
      </c>
      <c r="F8636">
        <v>2</v>
      </c>
      <c r="G8636">
        <v>300</v>
      </c>
      <c r="H8636">
        <f>_xlfn.XLOOKUP(FACT_IMPORTS[[#This Row],[hts_6]],DIM_PRODUCTS[hts_6],DIM_PRODUCTS[hts_4],,,)</f>
        <v>8407</v>
      </c>
      <c r="I8636" t="str" cm="1">
        <f t="array" ref="I8636">_xlfn.XLOOKUP(FACT_IMPORTS[[#This Row],[country_name]],DIM_COUNTRY[[#All],[Column2]],DIM_COUNTRY[[#All],[Column3]],,,)</f>
        <v>Major_Non-USMCA_Non-China</v>
      </c>
    </row>
    <row r="8637" spans="1:9" x14ac:dyDescent="0.4">
      <c r="A8637" t="s">
        <v>71</v>
      </c>
      <c r="B8637" s="1">
        <v>45839</v>
      </c>
      <c r="C8637">
        <v>840790</v>
      </c>
      <c r="D8637" t="s">
        <v>176</v>
      </c>
      <c r="E8637">
        <v>0</v>
      </c>
      <c r="F8637">
        <v>0</v>
      </c>
      <c r="G8637">
        <v>0</v>
      </c>
      <c r="H8637">
        <f>_xlfn.XLOOKUP(FACT_IMPORTS[[#This Row],[hts_6]],DIM_PRODUCTS[hts_6],DIM_PRODUCTS[hts_4],,,)</f>
        <v>8407</v>
      </c>
      <c r="I8637" t="str" cm="1">
        <f t="array" ref="I8637">_xlfn.XLOOKUP(FACT_IMPORTS[[#This Row],[country_name]],DIM_COUNTRY[[#All],[Column2]],DIM_COUNTRY[[#All],[Column3]],,,)</f>
        <v>Major_Non-USMCA_Non-China</v>
      </c>
    </row>
    <row r="8638" spans="1:9" x14ac:dyDescent="0.4">
      <c r="A8638" t="s">
        <v>71</v>
      </c>
      <c r="B8638" s="1">
        <v>45839</v>
      </c>
      <c r="C8638">
        <v>840820</v>
      </c>
      <c r="D8638" t="s">
        <v>176</v>
      </c>
      <c r="E8638">
        <v>4500</v>
      </c>
      <c r="F8638">
        <v>2</v>
      </c>
      <c r="G8638">
        <v>146</v>
      </c>
      <c r="H8638">
        <f>_xlfn.XLOOKUP(FACT_IMPORTS[[#This Row],[hts_6]],DIM_PRODUCTS[hts_6],DIM_PRODUCTS[hts_4],,,)</f>
        <v>8408</v>
      </c>
      <c r="I8638" t="str" cm="1">
        <f t="array" ref="I8638">_xlfn.XLOOKUP(FACT_IMPORTS[[#This Row],[country_name]],DIM_COUNTRY[[#All],[Column2]],DIM_COUNTRY[[#All],[Column3]],,,)</f>
        <v>Major_Non-USMCA_Non-China</v>
      </c>
    </row>
    <row r="8639" spans="1:9" x14ac:dyDescent="0.4">
      <c r="A8639" t="s">
        <v>71</v>
      </c>
      <c r="B8639" s="1">
        <v>45839</v>
      </c>
      <c r="C8639">
        <v>840890</v>
      </c>
      <c r="D8639" t="s">
        <v>176</v>
      </c>
      <c r="E8639">
        <v>97758</v>
      </c>
      <c r="F8639">
        <v>8</v>
      </c>
      <c r="G8639">
        <v>1050</v>
      </c>
      <c r="H8639">
        <f>_xlfn.XLOOKUP(FACT_IMPORTS[[#This Row],[hts_6]],DIM_PRODUCTS[hts_6],DIM_PRODUCTS[hts_4],,,)</f>
        <v>8408</v>
      </c>
      <c r="I8639" t="str" cm="1">
        <f t="array" ref="I8639">_xlfn.XLOOKUP(FACT_IMPORTS[[#This Row],[country_name]],DIM_COUNTRY[[#All],[Column2]],DIM_COUNTRY[[#All],[Column3]],,,)</f>
        <v>Major_Non-USMCA_Non-China</v>
      </c>
    </row>
    <row r="8640" spans="1:9" x14ac:dyDescent="0.4">
      <c r="A8640" t="s">
        <v>71</v>
      </c>
      <c r="B8640" s="1">
        <v>45839</v>
      </c>
      <c r="C8640">
        <v>840991</v>
      </c>
      <c r="D8640" t="s">
        <v>176</v>
      </c>
      <c r="E8640">
        <v>11512132</v>
      </c>
      <c r="F8640">
        <v>799646</v>
      </c>
      <c r="G8640">
        <v>227074</v>
      </c>
      <c r="H8640">
        <f>_xlfn.XLOOKUP(FACT_IMPORTS[[#This Row],[hts_6]],DIM_PRODUCTS[hts_6],DIM_PRODUCTS[hts_4],,,)</f>
        <v>8409</v>
      </c>
      <c r="I8640" t="str" cm="1">
        <f t="array" ref="I8640">_xlfn.XLOOKUP(FACT_IMPORTS[[#This Row],[country_name]],DIM_COUNTRY[[#All],[Column2]],DIM_COUNTRY[[#All],[Column3]],,,)</f>
        <v>Major_Non-USMCA_Non-China</v>
      </c>
    </row>
    <row r="8641" spans="1:9" x14ac:dyDescent="0.4">
      <c r="A8641" t="s">
        <v>71</v>
      </c>
      <c r="B8641" s="1">
        <v>45839</v>
      </c>
      <c r="C8641">
        <v>840999</v>
      </c>
      <c r="D8641" t="s">
        <v>176</v>
      </c>
      <c r="E8641">
        <v>565444</v>
      </c>
      <c r="F8641">
        <v>70350</v>
      </c>
      <c r="G8641">
        <v>4127</v>
      </c>
      <c r="H8641">
        <f>_xlfn.XLOOKUP(FACT_IMPORTS[[#This Row],[hts_6]],DIM_PRODUCTS[hts_6],DIM_PRODUCTS[hts_4],,,)</f>
        <v>8409</v>
      </c>
      <c r="I8641" t="str" cm="1">
        <f t="array" ref="I8641">_xlfn.XLOOKUP(FACT_IMPORTS[[#This Row],[country_name]],DIM_COUNTRY[[#All],[Column2]],DIM_COUNTRY[[#All],[Column3]],,,)</f>
        <v>Major_Non-USMCA_Non-China</v>
      </c>
    </row>
    <row r="8642" spans="1:9" x14ac:dyDescent="0.4">
      <c r="A8642" t="s">
        <v>71</v>
      </c>
      <c r="B8642" s="1">
        <v>45839</v>
      </c>
      <c r="C8642">
        <v>841330</v>
      </c>
      <c r="D8642" t="s">
        <v>176</v>
      </c>
      <c r="E8642">
        <v>1339249</v>
      </c>
      <c r="F8642">
        <v>34852</v>
      </c>
      <c r="G8642">
        <v>13424</v>
      </c>
      <c r="H8642">
        <f>_xlfn.XLOOKUP(FACT_IMPORTS[[#This Row],[hts_6]],DIM_PRODUCTS[hts_6],DIM_PRODUCTS[hts_4],,,)</f>
        <v>8413</v>
      </c>
      <c r="I8642" t="str" cm="1">
        <f t="array" ref="I8642">_xlfn.XLOOKUP(FACT_IMPORTS[[#This Row],[country_name]],DIM_COUNTRY[[#All],[Column2]],DIM_COUNTRY[[#All],[Column3]],,,)</f>
        <v>Major_Non-USMCA_Non-China</v>
      </c>
    </row>
    <row r="8643" spans="1:9" x14ac:dyDescent="0.4">
      <c r="A8643" t="s">
        <v>71</v>
      </c>
      <c r="B8643" s="1">
        <v>45839</v>
      </c>
      <c r="C8643">
        <v>841520</v>
      </c>
      <c r="D8643" t="s">
        <v>176</v>
      </c>
      <c r="E8643">
        <v>0</v>
      </c>
      <c r="F8643">
        <v>0</v>
      </c>
      <c r="G8643">
        <v>0</v>
      </c>
      <c r="H8643">
        <f>_xlfn.XLOOKUP(FACT_IMPORTS[[#This Row],[hts_6]],DIM_PRODUCTS[hts_6],DIM_PRODUCTS[hts_4],,,)</f>
        <v>8415</v>
      </c>
      <c r="I8643" t="str" cm="1">
        <f t="array" ref="I8643">_xlfn.XLOOKUP(FACT_IMPORTS[[#This Row],[country_name]],DIM_COUNTRY[[#All],[Column2]],DIM_COUNTRY[[#All],[Column3]],,,)</f>
        <v>Major_Non-USMCA_Non-China</v>
      </c>
    </row>
    <row r="8644" spans="1:9" x14ac:dyDescent="0.4">
      <c r="A8644" t="s">
        <v>71</v>
      </c>
      <c r="B8644" s="1">
        <v>45839</v>
      </c>
      <c r="C8644">
        <v>842132</v>
      </c>
      <c r="D8644" t="s">
        <v>176</v>
      </c>
      <c r="E8644">
        <v>45725</v>
      </c>
      <c r="F8644">
        <v>26</v>
      </c>
      <c r="G8644">
        <v>240</v>
      </c>
      <c r="H8644">
        <f>_xlfn.XLOOKUP(FACT_IMPORTS[[#This Row],[hts_6]],DIM_PRODUCTS[hts_6],DIM_PRODUCTS[hts_4],,,)</f>
        <v>8421</v>
      </c>
      <c r="I8644" t="str" cm="1">
        <f t="array" ref="I8644">_xlfn.XLOOKUP(FACT_IMPORTS[[#This Row],[country_name]],DIM_COUNTRY[[#All],[Column2]],DIM_COUNTRY[[#All],[Column3]],,,)</f>
        <v>Major_Non-USMCA_Non-China</v>
      </c>
    </row>
    <row r="8645" spans="1:9" x14ac:dyDescent="0.4">
      <c r="A8645" t="s">
        <v>71</v>
      </c>
      <c r="B8645" s="1">
        <v>45839</v>
      </c>
      <c r="C8645">
        <v>848210</v>
      </c>
      <c r="D8645" t="s">
        <v>176</v>
      </c>
      <c r="E8645">
        <v>97331</v>
      </c>
      <c r="F8645">
        <v>1132</v>
      </c>
      <c r="G8645">
        <v>7434</v>
      </c>
      <c r="H8645">
        <f>_xlfn.XLOOKUP(FACT_IMPORTS[[#This Row],[hts_6]],DIM_PRODUCTS[hts_6],DIM_PRODUCTS[hts_4],,,)</f>
        <v>8482</v>
      </c>
      <c r="I8645" t="str" cm="1">
        <f t="array" ref="I8645">_xlfn.XLOOKUP(FACT_IMPORTS[[#This Row],[country_name]],DIM_COUNTRY[[#All],[Column2]],DIM_COUNTRY[[#All],[Column3]],,,)</f>
        <v>Major_Non-USMCA_Non-China</v>
      </c>
    </row>
    <row r="8646" spans="1:9" x14ac:dyDescent="0.4">
      <c r="A8646" t="s">
        <v>71</v>
      </c>
      <c r="B8646" s="1">
        <v>45839</v>
      </c>
      <c r="C8646">
        <v>848220</v>
      </c>
      <c r="D8646" t="s">
        <v>176</v>
      </c>
      <c r="E8646">
        <v>153398</v>
      </c>
      <c r="F8646">
        <v>8872</v>
      </c>
      <c r="G8646">
        <v>1149</v>
      </c>
      <c r="H8646">
        <f>_xlfn.XLOOKUP(FACT_IMPORTS[[#This Row],[hts_6]],DIM_PRODUCTS[hts_6],DIM_PRODUCTS[hts_4],,,)</f>
        <v>8482</v>
      </c>
      <c r="I8646" t="str" cm="1">
        <f t="array" ref="I8646">_xlfn.XLOOKUP(FACT_IMPORTS[[#This Row],[country_name]],DIM_COUNTRY[[#All],[Column2]],DIM_COUNTRY[[#All],[Column3]],,,)</f>
        <v>Major_Non-USMCA_Non-China</v>
      </c>
    </row>
    <row r="8647" spans="1:9" x14ac:dyDescent="0.4">
      <c r="A8647" t="s">
        <v>71</v>
      </c>
      <c r="B8647" s="1">
        <v>45839</v>
      </c>
      <c r="C8647">
        <v>848310</v>
      </c>
      <c r="D8647" t="s">
        <v>176</v>
      </c>
      <c r="E8647">
        <v>454570</v>
      </c>
      <c r="F8647">
        <v>15507</v>
      </c>
      <c r="G8647">
        <v>21665</v>
      </c>
      <c r="H8647">
        <f>_xlfn.XLOOKUP(FACT_IMPORTS[[#This Row],[hts_6]],DIM_PRODUCTS[hts_6],DIM_PRODUCTS[hts_4],,,)</f>
        <v>8483</v>
      </c>
      <c r="I8647" t="str" cm="1">
        <f t="array" ref="I8647">_xlfn.XLOOKUP(FACT_IMPORTS[[#This Row],[country_name]],DIM_COUNTRY[[#All],[Column2]],DIM_COUNTRY[[#All],[Column3]],,,)</f>
        <v>Major_Non-USMCA_Non-China</v>
      </c>
    </row>
    <row r="8648" spans="1:9" x14ac:dyDescent="0.4">
      <c r="A8648" t="s">
        <v>71</v>
      </c>
      <c r="B8648" s="1">
        <v>45839</v>
      </c>
      <c r="C8648">
        <v>850131</v>
      </c>
      <c r="D8648" t="s">
        <v>176</v>
      </c>
      <c r="E8648">
        <v>2832071</v>
      </c>
      <c r="F8648">
        <v>90689</v>
      </c>
      <c r="G8648">
        <v>35051</v>
      </c>
      <c r="H8648">
        <f>_xlfn.XLOOKUP(FACT_IMPORTS[[#This Row],[hts_6]],DIM_PRODUCTS[hts_6],DIM_PRODUCTS[hts_4],,,)</f>
        <v>8501</v>
      </c>
      <c r="I8648" t="str" cm="1">
        <f t="array" ref="I8648">_xlfn.XLOOKUP(FACT_IMPORTS[[#This Row],[country_name]],DIM_COUNTRY[[#All],[Column2]],DIM_COUNTRY[[#All],[Column3]],,,)</f>
        <v>Major_Non-USMCA_Non-China</v>
      </c>
    </row>
    <row r="8649" spans="1:9" x14ac:dyDescent="0.4">
      <c r="A8649" t="s">
        <v>71</v>
      </c>
      <c r="B8649" s="1">
        <v>45839</v>
      </c>
      <c r="C8649">
        <v>850132</v>
      </c>
      <c r="D8649" t="s">
        <v>176</v>
      </c>
      <c r="E8649">
        <v>2700</v>
      </c>
      <c r="F8649">
        <v>9</v>
      </c>
      <c r="G8649">
        <v>250</v>
      </c>
      <c r="H8649">
        <f>_xlfn.XLOOKUP(FACT_IMPORTS[[#This Row],[hts_6]],DIM_PRODUCTS[hts_6],DIM_PRODUCTS[hts_4],,,)</f>
        <v>8501</v>
      </c>
      <c r="I8649" t="str" cm="1">
        <f t="array" ref="I8649">_xlfn.XLOOKUP(FACT_IMPORTS[[#This Row],[country_name]],DIM_COUNTRY[[#All],[Column2]],DIM_COUNTRY[[#All],[Column3]],,,)</f>
        <v>Major_Non-USMCA_Non-China</v>
      </c>
    </row>
    <row r="8650" spans="1:9" x14ac:dyDescent="0.4">
      <c r="A8650" t="s">
        <v>71</v>
      </c>
      <c r="B8650" s="1">
        <v>45839</v>
      </c>
      <c r="C8650">
        <v>850152</v>
      </c>
      <c r="D8650" t="s">
        <v>176</v>
      </c>
      <c r="E8650">
        <v>588408</v>
      </c>
      <c r="F8650">
        <v>917</v>
      </c>
      <c r="G8650">
        <v>12662</v>
      </c>
      <c r="H8650">
        <f>_xlfn.XLOOKUP(FACT_IMPORTS[[#This Row],[hts_6]],DIM_PRODUCTS[hts_6],DIM_PRODUCTS[hts_4],,,)</f>
        <v>8501</v>
      </c>
      <c r="I8650" t="str" cm="1">
        <f t="array" ref="I8650">_xlfn.XLOOKUP(FACT_IMPORTS[[#This Row],[country_name]],DIM_COUNTRY[[#All],[Column2]],DIM_COUNTRY[[#All],[Column3]],,,)</f>
        <v>Major_Non-USMCA_Non-China</v>
      </c>
    </row>
    <row r="8651" spans="1:9" x14ac:dyDescent="0.4">
      <c r="A8651" t="s">
        <v>71</v>
      </c>
      <c r="B8651" s="1">
        <v>45839</v>
      </c>
      <c r="C8651">
        <v>850153</v>
      </c>
      <c r="D8651" t="s">
        <v>176</v>
      </c>
      <c r="E8651">
        <v>0</v>
      </c>
      <c r="F8651">
        <v>0</v>
      </c>
      <c r="G8651">
        <v>0</v>
      </c>
      <c r="H8651">
        <f>_xlfn.XLOOKUP(FACT_IMPORTS[[#This Row],[hts_6]],DIM_PRODUCTS[hts_6],DIM_PRODUCTS[hts_4],,,)</f>
        <v>8501</v>
      </c>
      <c r="I8651" t="str" cm="1">
        <f t="array" ref="I8651">_xlfn.XLOOKUP(FACT_IMPORTS[[#This Row],[country_name]],DIM_COUNTRY[[#All],[Column2]],DIM_COUNTRY[[#All],[Column3]],,,)</f>
        <v>Major_Non-USMCA_Non-China</v>
      </c>
    </row>
    <row r="8652" spans="1:9" x14ac:dyDescent="0.4">
      <c r="A8652" t="s">
        <v>71</v>
      </c>
      <c r="B8652" s="1">
        <v>45839</v>
      </c>
      <c r="C8652">
        <v>850161</v>
      </c>
      <c r="D8652" t="s">
        <v>176</v>
      </c>
      <c r="E8652">
        <v>3863</v>
      </c>
      <c r="F8652">
        <v>14</v>
      </c>
      <c r="G8652">
        <v>14</v>
      </c>
      <c r="H8652">
        <f>_xlfn.XLOOKUP(FACT_IMPORTS[[#This Row],[hts_6]],DIM_PRODUCTS[hts_6],DIM_PRODUCTS[hts_4],,,)</f>
        <v>8501</v>
      </c>
      <c r="I8652" t="str" cm="1">
        <f t="array" ref="I8652">_xlfn.XLOOKUP(FACT_IMPORTS[[#This Row],[country_name]],DIM_COUNTRY[[#All],[Column2]],DIM_COUNTRY[[#All],[Column3]],,,)</f>
        <v>Major_Non-USMCA_Non-China</v>
      </c>
    </row>
    <row r="8653" spans="1:9" x14ac:dyDescent="0.4">
      <c r="A8653" t="s">
        <v>71</v>
      </c>
      <c r="B8653" s="1">
        <v>45839</v>
      </c>
      <c r="C8653">
        <v>850440</v>
      </c>
      <c r="D8653" t="s">
        <v>176</v>
      </c>
      <c r="E8653">
        <v>1096159</v>
      </c>
      <c r="F8653">
        <v>1236</v>
      </c>
      <c r="G8653">
        <v>16450</v>
      </c>
      <c r="H8653">
        <f>_xlfn.XLOOKUP(FACT_IMPORTS[[#This Row],[hts_6]],DIM_PRODUCTS[hts_6],DIM_PRODUCTS[hts_4],,,)</f>
        <v>8504</v>
      </c>
      <c r="I8653" t="str" cm="1">
        <f t="array" ref="I8653">_xlfn.XLOOKUP(FACT_IMPORTS[[#This Row],[country_name]],DIM_COUNTRY[[#All],[Column2]],DIM_COUNTRY[[#All],[Column3]],,,)</f>
        <v>Major_Non-USMCA_Non-China</v>
      </c>
    </row>
    <row r="8654" spans="1:9" x14ac:dyDescent="0.4">
      <c r="A8654" t="s">
        <v>71</v>
      </c>
      <c r="B8654" s="1">
        <v>45839</v>
      </c>
      <c r="C8654">
        <v>850710</v>
      </c>
      <c r="D8654" t="s">
        <v>176</v>
      </c>
      <c r="E8654">
        <v>0</v>
      </c>
      <c r="F8654">
        <v>0</v>
      </c>
      <c r="G8654">
        <v>0</v>
      </c>
      <c r="H8654">
        <f>_xlfn.XLOOKUP(FACT_IMPORTS[[#This Row],[hts_6]],DIM_PRODUCTS[hts_6],DIM_PRODUCTS[hts_4],,,)</f>
        <v>8507</v>
      </c>
      <c r="I8654" t="str" cm="1">
        <f t="array" ref="I8654">_xlfn.XLOOKUP(FACT_IMPORTS[[#This Row],[country_name]],DIM_COUNTRY[[#All],[Column2]],DIM_COUNTRY[[#All],[Column3]],,,)</f>
        <v>Major_Non-USMCA_Non-China</v>
      </c>
    </row>
    <row r="8655" spans="1:9" x14ac:dyDescent="0.4">
      <c r="A8655" t="s">
        <v>71</v>
      </c>
      <c r="B8655" s="1">
        <v>45839</v>
      </c>
      <c r="C8655">
        <v>850760</v>
      </c>
      <c r="D8655" t="s">
        <v>176</v>
      </c>
      <c r="E8655">
        <v>238064</v>
      </c>
      <c r="F8655">
        <v>1183</v>
      </c>
      <c r="G8655">
        <v>1053</v>
      </c>
      <c r="H8655">
        <f>_xlfn.XLOOKUP(FACT_IMPORTS[[#This Row],[hts_6]],DIM_PRODUCTS[hts_6],DIM_PRODUCTS[hts_4],,,)</f>
        <v>8507</v>
      </c>
      <c r="I8655" t="str" cm="1">
        <f t="array" ref="I8655">_xlfn.XLOOKUP(FACT_IMPORTS[[#This Row],[country_name]],DIM_COUNTRY[[#All],[Column2]],DIM_COUNTRY[[#All],[Column3]],,,)</f>
        <v>Major_Non-USMCA_Non-China</v>
      </c>
    </row>
    <row r="8656" spans="1:9" x14ac:dyDescent="0.4">
      <c r="A8656" t="s">
        <v>71</v>
      </c>
      <c r="B8656" s="1">
        <v>45839</v>
      </c>
      <c r="C8656">
        <v>851110</v>
      </c>
      <c r="D8656" t="s">
        <v>176</v>
      </c>
      <c r="E8656">
        <v>432698</v>
      </c>
      <c r="F8656">
        <v>693</v>
      </c>
      <c r="G8656">
        <v>4684</v>
      </c>
      <c r="H8656">
        <f>_xlfn.XLOOKUP(FACT_IMPORTS[[#This Row],[hts_6]],DIM_PRODUCTS[hts_6],DIM_PRODUCTS[hts_4],,,)</f>
        <v>8511</v>
      </c>
      <c r="I8656" t="str" cm="1">
        <f t="array" ref="I8656">_xlfn.XLOOKUP(FACT_IMPORTS[[#This Row],[country_name]],DIM_COUNTRY[[#All],[Column2]],DIM_COUNTRY[[#All],[Column3]],,,)</f>
        <v>Major_Non-USMCA_Non-China</v>
      </c>
    </row>
    <row r="8657" spans="1:9" x14ac:dyDescent="0.4">
      <c r="A8657" t="s">
        <v>71</v>
      </c>
      <c r="B8657" s="1">
        <v>45839</v>
      </c>
      <c r="C8657">
        <v>851130</v>
      </c>
      <c r="D8657" t="s">
        <v>176</v>
      </c>
      <c r="E8657">
        <v>436294</v>
      </c>
      <c r="F8657">
        <v>54504</v>
      </c>
      <c r="G8657">
        <v>3543</v>
      </c>
      <c r="H8657">
        <f>_xlfn.XLOOKUP(FACT_IMPORTS[[#This Row],[hts_6]],DIM_PRODUCTS[hts_6],DIM_PRODUCTS[hts_4],,,)</f>
        <v>8511</v>
      </c>
      <c r="I8657" t="str" cm="1">
        <f t="array" ref="I8657">_xlfn.XLOOKUP(FACT_IMPORTS[[#This Row],[country_name]],DIM_COUNTRY[[#All],[Column2]],DIM_COUNTRY[[#All],[Column3]],,,)</f>
        <v>Major_Non-USMCA_Non-China</v>
      </c>
    </row>
    <row r="8658" spans="1:9" x14ac:dyDescent="0.4">
      <c r="A8658" t="s">
        <v>71</v>
      </c>
      <c r="B8658" s="1">
        <v>45839</v>
      </c>
      <c r="C8658">
        <v>851140</v>
      </c>
      <c r="D8658" t="s">
        <v>176</v>
      </c>
      <c r="E8658">
        <v>2977229</v>
      </c>
      <c r="F8658">
        <v>52043</v>
      </c>
      <c r="G8658">
        <v>21243</v>
      </c>
      <c r="H8658">
        <f>_xlfn.XLOOKUP(FACT_IMPORTS[[#This Row],[hts_6]],DIM_PRODUCTS[hts_6],DIM_PRODUCTS[hts_4],,,)</f>
        <v>8511</v>
      </c>
      <c r="I8658" t="str" cm="1">
        <f t="array" ref="I8658">_xlfn.XLOOKUP(FACT_IMPORTS[[#This Row],[country_name]],DIM_COUNTRY[[#All],[Column2]],DIM_COUNTRY[[#All],[Column3]],,,)</f>
        <v>Major_Non-USMCA_Non-China</v>
      </c>
    </row>
    <row r="8659" spans="1:9" x14ac:dyDescent="0.4">
      <c r="A8659" t="s">
        <v>71</v>
      </c>
      <c r="B8659" s="1">
        <v>45839</v>
      </c>
      <c r="C8659">
        <v>851150</v>
      </c>
      <c r="D8659" t="s">
        <v>176</v>
      </c>
      <c r="E8659">
        <v>69988</v>
      </c>
      <c r="F8659">
        <v>325</v>
      </c>
      <c r="G8659">
        <v>638</v>
      </c>
      <c r="H8659">
        <f>_xlfn.XLOOKUP(FACT_IMPORTS[[#This Row],[hts_6]],DIM_PRODUCTS[hts_6],DIM_PRODUCTS[hts_4],,,)</f>
        <v>8511</v>
      </c>
      <c r="I8659" t="str" cm="1">
        <f t="array" ref="I8659">_xlfn.XLOOKUP(FACT_IMPORTS[[#This Row],[country_name]],DIM_COUNTRY[[#All],[Column2]],DIM_COUNTRY[[#All],[Column3]],,,)</f>
        <v>Major_Non-USMCA_Non-China</v>
      </c>
    </row>
    <row r="8660" spans="1:9" x14ac:dyDescent="0.4">
      <c r="A8660" t="s">
        <v>71</v>
      </c>
      <c r="B8660" s="1">
        <v>45839</v>
      </c>
      <c r="C8660">
        <v>851180</v>
      </c>
      <c r="D8660" t="s">
        <v>176</v>
      </c>
      <c r="E8660">
        <v>32258</v>
      </c>
      <c r="F8660">
        <v>15406</v>
      </c>
      <c r="G8660">
        <v>277</v>
      </c>
      <c r="H8660">
        <f>_xlfn.XLOOKUP(FACT_IMPORTS[[#This Row],[hts_6]],DIM_PRODUCTS[hts_6],DIM_PRODUCTS[hts_4],,,)</f>
        <v>8511</v>
      </c>
      <c r="I8660" t="str" cm="1">
        <f t="array" ref="I8660">_xlfn.XLOOKUP(FACT_IMPORTS[[#This Row],[country_name]],DIM_COUNTRY[[#All],[Column2]],DIM_COUNTRY[[#All],[Column3]],,,)</f>
        <v>Major_Non-USMCA_Non-China</v>
      </c>
    </row>
    <row r="8661" spans="1:9" x14ac:dyDescent="0.4">
      <c r="A8661" t="s">
        <v>71</v>
      </c>
      <c r="B8661" s="1">
        <v>45839</v>
      </c>
      <c r="C8661">
        <v>851190</v>
      </c>
      <c r="D8661" t="s">
        <v>176</v>
      </c>
      <c r="E8661">
        <v>59406</v>
      </c>
      <c r="F8661">
        <v>680</v>
      </c>
      <c r="G8661">
        <v>5443</v>
      </c>
      <c r="H8661">
        <f>_xlfn.XLOOKUP(FACT_IMPORTS[[#This Row],[hts_6]],DIM_PRODUCTS[hts_6],DIM_PRODUCTS[hts_4],,,)</f>
        <v>8511</v>
      </c>
      <c r="I8661" t="str" cm="1">
        <f t="array" ref="I8661">_xlfn.XLOOKUP(FACT_IMPORTS[[#This Row],[country_name]],DIM_COUNTRY[[#All],[Column2]],DIM_COUNTRY[[#All],[Column3]],,,)</f>
        <v>Major_Non-USMCA_Non-China</v>
      </c>
    </row>
    <row r="8662" spans="1:9" x14ac:dyDescent="0.4">
      <c r="A8662" t="s">
        <v>71</v>
      </c>
      <c r="B8662" s="1">
        <v>45839</v>
      </c>
      <c r="C8662">
        <v>851220</v>
      </c>
      <c r="D8662" t="s">
        <v>176</v>
      </c>
      <c r="E8662">
        <v>4392</v>
      </c>
      <c r="F8662">
        <v>2</v>
      </c>
      <c r="G8662">
        <v>42</v>
      </c>
      <c r="H8662">
        <f>_xlfn.XLOOKUP(FACT_IMPORTS[[#This Row],[hts_6]],DIM_PRODUCTS[hts_6],DIM_PRODUCTS[hts_4],,,)</f>
        <v>8512</v>
      </c>
      <c r="I8662" t="str" cm="1">
        <f t="array" ref="I8662">_xlfn.XLOOKUP(FACT_IMPORTS[[#This Row],[country_name]],DIM_COUNTRY[[#All],[Column2]],DIM_COUNTRY[[#All],[Column3]],,,)</f>
        <v>Major_Non-USMCA_Non-China</v>
      </c>
    </row>
    <row r="8663" spans="1:9" x14ac:dyDescent="0.4">
      <c r="A8663" t="s">
        <v>71</v>
      </c>
      <c r="B8663" s="1">
        <v>45839</v>
      </c>
      <c r="C8663">
        <v>851230</v>
      </c>
      <c r="D8663" t="s">
        <v>176</v>
      </c>
      <c r="E8663">
        <v>39221</v>
      </c>
      <c r="F8663">
        <v>6389</v>
      </c>
      <c r="G8663">
        <v>426</v>
      </c>
      <c r="H8663">
        <f>_xlfn.XLOOKUP(FACT_IMPORTS[[#This Row],[hts_6]],DIM_PRODUCTS[hts_6],DIM_PRODUCTS[hts_4],,,)</f>
        <v>8512</v>
      </c>
      <c r="I8663" t="str" cm="1">
        <f t="array" ref="I8663">_xlfn.XLOOKUP(FACT_IMPORTS[[#This Row],[country_name]],DIM_COUNTRY[[#All],[Column2]],DIM_COUNTRY[[#All],[Column3]],,,)</f>
        <v>Major_Non-USMCA_Non-China</v>
      </c>
    </row>
    <row r="8664" spans="1:9" x14ac:dyDescent="0.4">
      <c r="A8664" t="s">
        <v>71</v>
      </c>
      <c r="B8664" s="1">
        <v>45839</v>
      </c>
      <c r="C8664">
        <v>851290</v>
      </c>
      <c r="D8664" t="s">
        <v>176</v>
      </c>
      <c r="E8664">
        <v>92121</v>
      </c>
      <c r="F8664">
        <v>2505</v>
      </c>
      <c r="G8664">
        <v>1991</v>
      </c>
      <c r="H8664">
        <f>_xlfn.XLOOKUP(FACT_IMPORTS[[#This Row],[hts_6]],DIM_PRODUCTS[hts_6],DIM_PRODUCTS[hts_4],,,)</f>
        <v>8512</v>
      </c>
      <c r="I8664" t="str" cm="1">
        <f t="array" ref="I8664">_xlfn.XLOOKUP(FACT_IMPORTS[[#This Row],[country_name]],DIM_COUNTRY[[#All],[Column2]],DIM_COUNTRY[[#All],[Column3]],,,)</f>
        <v>Major_Non-USMCA_Non-China</v>
      </c>
    </row>
    <row r="8665" spans="1:9" x14ac:dyDescent="0.4">
      <c r="A8665" t="s">
        <v>71</v>
      </c>
      <c r="B8665" s="1">
        <v>45839</v>
      </c>
      <c r="C8665">
        <v>854231</v>
      </c>
      <c r="D8665" t="s">
        <v>176</v>
      </c>
      <c r="E8665">
        <v>65634</v>
      </c>
      <c r="F8665">
        <v>7096</v>
      </c>
      <c r="G8665">
        <v>852</v>
      </c>
      <c r="H8665">
        <f>_xlfn.XLOOKUP(FACT_IMPORTS[[#This Row],[hts_6]],DIM_PRODUCTS[hts_6],DIM_PRODUCTS[hts_4],,,)</f>
        <v>8542</v>
      </c>
      <c r="I8665" t="str" cm="1">
        <f t="array" ref="I8665">_xlfn.XLOOKUP(FACT_IMPORTS[[#This Row],[country_name]],DIM_COUNTRY[[#All],[Column2]],DIM_COUNTRY[[#All],[Column3]],,,)</f>
        <v>Major_Non-USMCA_Non-China</v>
      </c>
    </row>
    <row r="8666" spans="1:9" x14ac:dyDescent="0.4">
      <c r="A8666" t="s">
        <v>71</v>
      </c>
      <c r="B8666" s="1">
        <v>45839</v>
      </c>
      <c r="C8666">
        <v>854232</v>
      </c>
      <c r="D8666" t="s">
        <v>176</v>
      </c>
      <c r="E8666">
        <v>25442</v>
      </c>
      <c r="F8666">
        <v>165</v>
      </c>
      <c r="G8666">
        <v>245</v>
      </c>
      <c r="H8666">
        <f>_xlfn.XLOOKUP(FACT_IMPORTS[[#This Row],[hts_6]],DIM_PRODUCTS[hts_6],DIM_PRODUCTS[hts_4],,,)</f>
        <v>8542</v>
      </c>
      <c r="I8666" t="str" cm="1">
        <f t="array" ref="I8666">_xlfn.XLOOKUP(FACT_IMPORTS[[#This Row],[country_name]],DIM_COUNTRY[[#All],[Column2]],DIM_COUNTRY[[#All],[Column3]],,,)</f>
        <v>Major_Non-USMCA_Non-China</v>
      </c>
    </row>
    <row r="8667" spans="1:9" x14ac:dyDescent="0.4">
      <c r="A8667" t="s">
        <v>71</v>
      </c>
      <c r="B8667" s="1">
        <v>45839</v>
      </c>
      <c r="C8667">
        <v>854239</v>
      </c>
      <c r="D8667" t="s">
        <v>176</v>
      </c>
      <c r="E8667">
        <v>0</v>
      </c>
      <c r="F8667">
        <v>0</v>
      </c>
      <c r="G8667">
        <v>0</v>
      </c>
      <c r="H8667">
        <f>_xlfn.XLOOKUP(FACT_IMPORTS[[#This Row],[hts_6]],DIM_PRODUCTS[hts_6],DIM_PRODUCTS[hts_4],,,)</f>
        <v>8542</v>
      </c>
      <c r="I8667" t="str" cm="1">
        <f t="array" ref="I8667">_xlfn.XLOOKUP(FACT_IMPORTS[[#This Row],[country_name]],DIM_COUNTRY[[#All],[Column2]],DIM_COUNTRY[[#All],[Column3]],,,)</f>
        <v>Major_Non-USMCA_Non-China</v>
      </c>
    </row>
    <row r="8668" spans="1:9" x14ac:dyDescent="0.4">
      <c r="A8668" t="s">
        <v>71</v>
      </c>
      <c r="B8668" s="1">
        <v>45839</v>
      </c>
      <c r="C8668">
        <v>854290</v>
      </c>
      <c r="D8668" t="s">
        <v>176</v>
      </c>
      <c r="E8668">
        <v>0</v>
      </c>
      <c r="F8668">
        <v>0</v>
      </c>
      <c r="G8668">
        <v>0</v>
      </c>
      <c r="H8668">
        <f>_xlfn.XLOOKUP(FACT_IMPORTS[[#This Row],[hts_6]],DIM_PRODUCTS[hts_6],DIM_PRODUCTS[hts_4],,,)</f>
        <v>8542</v>
      </c>
      <c r="I8668" t="str" cm="1">
        <f t="array" ref="I8668">_xlfn.XLOOKUP(FACT_IMPORTS[[#This Row],[country_name]],DIM_COUNTRY[[#All],[Column2]],DIM_COUNTRY[[#All],[Column3]],,,)</f>
        <v>Major_Non-USMCA_Non-China</v>
      </c>
    </row>
    <row r="8669" spans="1:9" x14ac:dyDescent="0.4">
      <c r="A8669" t="s">
        <v>71</v>
      </c>
      <c r="B8669" s="1">
        <v>45839</v>
      </c>
      <c r="C8669">
        <v>854430</v>
      </c>
      <c r="D8669" t="s">
        <v>176</v>
      </c>
      <c r="E8669">
        <v>0</v>
      </c>
      <c r="F8669">
        <v>0</v>
      </c>
      <c r="G8669">
        <v>0</v>
      </c>
      <c r="H8669">
        <f>_xlfn.XLOOKUP(FACT_IMPORTS[[#This Row],[hts_6]],DIM_PRODUCTS[hts_6],DIM_PRODUCTS[hts_4],,,)</f>
        <v>8544</v>
      </c>
      <c r="I8669" t="str" cm="1">
        <f t="array" ref="I8669">_xlfn.XLOOKUP(FACT_IMPORTS[[#This Row],[country_name]],DIM_COUNTRY[[#All],[Column2]],DIM_COUNTRY[[#All],[Column3]],,,)</f>
        <v>Major_Non-USMCA_Non-China</v>
      </c>
    </row>
    <row r="8670" spans="1:9" x14ac:dyDescent="0.4">
      <c r="A8670" t="s">
        <v>71</v>
      </c>
      <c r="B8670" s="1">
        <v>45839</v>
      </c>
      <c r="C8670">
        <v>870710</v>
      </c>
      <c r="D8670" t="s">
        <v>176</v>
      </c>
      <c r="E8670">
        <v>0</v>
      </c>
      <c r="F8670">
        <v>0</v>
      </c>
      <c r="G8670">
        <v>0</v>
      </c>
      <c r="H8670">
        <f>_xlfn.XLOOKUP(FACT_IMPORTS[[#This Row],[hts_6]],DIM_PRODUCTS[hts_6],DIM_PRODUCTS[hts_4],,,)</f>
        <v>8707</v>
      </c>
      <c r="I8670" t="str" cm="1">
        <f t="array" ref="I8670">_xlfn.XLOOKUP(FACT_IMPORTS[[#This Row],[country_name]],DIM_COUNTRY[[#All],[Column2]],DIM_COUNTRY[[#All],[Column3]],,,)</f>
        <v>Major_Non-USMCA_Non-China</v>
      </c>
    </row>
    <row r="8671" spans="1:9" x14ac:dyDescent="0.4">
      <c r="A8671" t="s">
        <v>71</v>
      </c>
      <c r="B8671" s="1">
        <v>45839</v>
      </c>
      <c r="C8671">
        <v>870790</v>
      </c>
      <c r="D8671" t="s">
        <v>176</v>
      </c>
      <c r="E8671">
        <v>0</v>
      </c>
      <c r="F8671">
        <v>0</v>
      </c>
      <c r="G8671">
        <v>0</v>
      </c>
      <c r="H8671">
        <f>_xlfn.XLOOKUP(FACT_IMPORTS[[#This Row],[hts_6]],DIM_PRODUCTS[hts_6],DIM_PRODUCTS[hts_4],,,)</f>
        <v>8707</v>
      </c>
      <c r="I8671" t="str" cm="1">
        <f t="array" ref="I8671">_xlfn.XLOOKUP(FACT_IMPORTS[[#This Row],[country_name]],DIM_COUNTRY[[#All],[Column2]],DIM_COUNTRY[[#All],[Column3]],,,)</f>
        <v>Major_Non-USMCA_Non-China</v>
      </c>
    </row>
    <row r="8672" spans="1:9" x14ac:dyDescent="0.4">
      <c r="A8672" t="s">
        <v>71</v>
      </c>
      <c r="B8672" s="1">
        <v>45839</v>
      </c>
      <c r="C8672">
        <v>870810</v>
      </c>
      <c r="D8672" t="s">
        <v>176</v>
      </c>
      <c r="E8672">
        <v>2440</v>
      </c>
      <c r="F8672">
        <v>20</v>
      </c>
      <c r="G8672">
        <v>200</v>
      </c>
      <c r="H8672">
        <f>_xlfn.XLOOKUP(FACT_IMPORTS[[#This Row],[hts_6]],DIM_PRODUCTS[hts_6],DIM_PRODUCTS[hts_4],,,)</f>
        <v>8708</v>
      </c>
      <c r="I8672" t="str" cm="1">
        <f t="array" ref="I8672">_xlfn.XLOOKUP(FACT_IMPORTS[[#This Row],[country_name]],DIM_COUNTRY[[#All],[Column2]],DIM_COUNTRY[[#All],[Column3]],,,)</f>
        <v>Major_Non-USMCA_Non-China</v>
      </c>
    </row>
    <row r="8673" spans="1:9" x14ac:dyDescent="0.4">
      <c r="A8673" t="s">
        <v>71</v>
      </c>
      <c r="B8673" s="1">
        <v>45839</v>
      </c>
      <c r="C8673">
        <v>870829</v>
      </c>
      <c r="D8673" t="s">
        <v>176</v>
      </c>
      <c r="E8673">
        <v>2966786</v>
      </c>
      <c r="F8673">
        <v>228926</v>
      </c>
      <c r="G8673">
        <v>78151</v>
      </c>
      <c r="H8673">
        <f>_xlfn.XLOOKUP(FACT_IMPORTS[[#This Row],[hts_6]],DIM_PRODUCTS[hts_6],DIM_PRODUCTS[hts_4],,,)</f>
        <v>8708</v>
      </c>
      <c r="I8673" t="str" cm="1">
        <f t="array" ref="I8673">_xlfn.XLOOKUP(FACT_IMPORTS[[#This Row],[country_name]],DIM_COUNTRY[[#All],[Column2]],DIM_COUNTRY[[#All],[Column3]],,,)</f>
        <v>Major_Non-USMCA_Non-China</v>
      </c>
    </row>
    <row r="8674" spans="1:9" x14ac:dyDescent="0.4">
      <c r="A8674" t="s">
        <v>71</v>
      </c>
      <c r="B8674" s="1">
        <v>45839</v>
      </c>
      <c r="C8674">
        <v>870830</v>
      </c>
      <c r="D8674" t="s">
        <v>176</v>
      </c>
      <c r="E8674">
        <v>700987</v>
      </c>
      <c r="F8674">
        <v>86508</v>
      </c>
      <c r="G8674">
        <v>6010</v>
      </c>
      <c r="H8674">
        <f>_xlfn.XLOOKUP(FACT_IMPORTS[[#This Row],[hts_6]],DIM_PRODUCTS[hts_6],DIM_PRODUCTS[hts_4],,,)</f>
        <v>8708</v>
      </c>
      <c r="I8674" t="str" cm="1">
        <f t="array" ref="I8674">_xlfn.XLOOKUP(FACT_IMPORTS[[#This Row],[country_name]],DIM_COUNTRY[[#All],[Column2]],DIM_COUNTRY[[#All],[Column3]],,,)</f>
        <v>Major_Non-USMCA_Non-China</v>
      </c>
    </row>
    <row r="8675" spans="1:9" x14ac:dyDescent="0.4">
      <c r="A8675" t="s">
        <v>71</v>
      </c>
      <c r="B8675" s="1">
        <v>45839</v>
      </c>
      <c r="C8675">
        <v>870840</v>
      </c>
      <c r="D8675" t="s">
        <v>176</v>
      </c>
      <c r="E8675">
        <v>2609180</v>
      </c>
      <c r="F8675">
        <v>13218</v>
      </c>
      <c r="G8675">
        <v>85125</v>
      </c>
      <c r="H8675">
        <f>_xlfn.XLOOKUP(FACT_IMPORTS[[#This Row],[hts_6]],DIM_PRODUCTS[hts_6],DIM_PRODUCTS[hts_4],,,)</f>
        <v>8708</v>
      </c>
      <c r="I8675" t="str" cm="1">
        <f t="array" ref="I8675">_xlfn.XLOOKUP(FACT_IMPORTS[[#This Row],[country_name]],DIM_COUNTRY[[#All],[Column2]],DIM_COUNTRY[[#All],[Column3]],,,)</f>
        <v>Major_Non-USMCA_Non-China</v>
      </c>
    </row>
    <row r="8676" spans="1:9" x14ac:dyDescent="0.4">
      <c r="A8676" t="s">
        <v>71</v>
      </c>
      <c r="B8676" s="1">
        <v>45839</v>
      </c>
      <c r="C8676">
        <v>870850</v>
      </c>
      <c r="D8676" t="s">
        <v>176</v>
      </c>
      <c r="E8676">
        <v>75568</v>
      </c>
      <c r="F8676">
        <v>3</v>
      </c>
      <c r="G8676">
        <v>52</v>
      </c>
      <c r="H8676">
        <f>_xlfn.XLOOKUP(FACT_IMPORTS[[#This Row],[hts_6]],DIM_PRODUCTS[hts_6],DIM_PRODUCTS[hts_4],,,)</f>
        <v>8708</v>
      </c>
      <c r="I8676" t="str" cm="1">
        <f t="array" ref="I8676">_xlfn.XLOOKUP(FACT_IMPORTS[[#This Row],[country_name]],DIM_COUNTRY[[#All],[Column2]],DIM_COUNTRY[[#All],[Column3]],,,)</f>
        <v>Major_Non-USMCA_Non-China</v>
      </c>
    </row>
    <row r="8677" spans="1:9" x14ac:dyDescent="0.4">
      <c r="A8677" t="s">
        <v>71</v>
      </c>
      <c r="B8677" s="1">
        <v>45839</v>
      </c>
      <c r="C8677">
        <v>870870</v>
      </c>
      <c r="D8677" t="s">
        <v>176</v>
      </c>
      <c r="E8677">
        <v>0</v>
      </c>
      <c r="F8677">
        <v>0</v>
      </c>
      <c r="G8677">
        <v>0</v>
      </c>
      <c r="H8677">
        <f>_xlfn.XLOOKUP(FACT_IMPORTS[[#This Row],[hts_6]],DIM_PRODUCTS[hts_6],DIM_PRODUCTS[hts_4],,,)</f>
        <v>8708</v>
      </c>
      <c r="I8677" t="str" cm="1">
        <f t="array" ref="I8677">_xlfn.XLOOKUP(FACT_IMPORTS[[#This Row],[country_name]],DIM_COUNTRY[[#All],[Column2]],DIM_COUNTRY[[#All],[Column3]],,,)</f>
        <v>Major_Non-USMCA_Non-China</v>
      </c>
    </row>
    <row r="8678" spans="1:9" x14ac:dyDescent="0.4">
      <c r="A8678" t="s">
        <v>71</v>
      </c>
      <c r="B8678" s="1">
        <v>45839</v>
      </c>
      <c r="C8678">
        <v>870880</v>
      </c>
      <c r="D8678" t="s">
        <v>176</v>
      </c>
      <c r="E8678">
        <v>187094</v>
      </c>
      <c r="F8678">
        <v>5462</v>
      </c>
      <c r="G8678">
        <v>3195</v>
      </c>
      <c r="H8678">
        <f>_xlfn.XLOOKUP(FACT_IMPORTS[[#This Row],[hts_6]],DIM_PRODUCTS[hts_6],DIM_PRODUCTS[hts_4],,,)</f>
        <v>8708</v>
      </c>
      <c r="I8678" t="str" cm="1">
        <f t="array" ref="I8678">_xlfn.XLOOKUP(FACT_IMPORTS[[#This Row],[country_name]],DIM_COUNTRY[[#All],[Column2]],DIM_COUNTRY[[#All],[Column3]],,,)</f>
        <v>Major_Non-USMCA_Non-China</v>
      </c>
    </row>
    <row r="8679" spans="1:9" x14ac:dyDescent="0.4">
      <c r="A8679" t="s">
        <v>71</v>
      </c>
      <c r="B8679" s="1">
        <v>45839</v>
      </c>
      <c r="C8679">
        <v>870891</v>
      </c>
      <c r="D8679" t="s">
        <v>176</v>
      </c>
      <c r="E8679">
        <v>71156</v>
      </c>
      <c r="F8679">
        <v>80656</v>
      </c>
      <c r="G8679">
        <v>927</v>
      </c>
      <c r="H8679">
        <f>_xlfn.XLOOKUP(FACT_IMPORTS[[#This Row],[hts_6]],DIM_PRODUCTS[hts_6],DIM_PRODUCTS[hts_4],,,)</f>
        <v>8708</v>
      </c>
      <c r="I8679" t="str" cm="1">
        <f t="array" ref="I8679">_xlfn.XLOOKUP(FACT_IMPORTS[[#This Row],[country_name]],DIM_COUNTRY[[#All],[Column2]],DIM_COUNTRY[[#All],[Column3]],,,)</f>
        <v>Major_Non-USMCA_Non-China</v>
      </c>
    </row>
    <row r="8680" spans="1:9" x14ac:dyDescent="0.4">
      <c r="A8680" t="s">
        <v>71</v>
      </c>
      <c r="B8680" s="1">
        <v>45839</v>
      </c>
      <c r="C8680">
        <v>870892</v>
      </c>
      <c r="D8680" t="s">
        <v>176</v>
      </c>
      <c r="E8680">
        <v>5463</v>
      </c>
      <c r="F8680">
        <v>1</v>
      </c>
      <c r="G8680">
        <v>150</v>
      </c>
      <c r="H8680">
        <f>_xlfn.XLOOKUP(FACT_IMPORTS[[#This Row],[hts_6]],DIM_PRODUCTS[hts_6],DIM_PRODUCTS[hts_4],,,)</f>
        <v>8708</v>
      </c>
      <c r="I8680" t="str" cm="1">
        <f t="array" ref="I8680">_xlfn.XLOOKUP(FACT_IMPORTS[[#This Row],[country_name]],DIM_COUNTRY[[#All],[Column2]],DIM_COUNTRY[[#All],[Column3]],,,)</f>
        <v>Major_Non-USMCA_Non-China</v>
      </c>
    </row>
    <row r="8681" spans="1:9" x14ac:dyDescent="0.4">
      <c r="A8681" t="s">
        <v>71</v>
      </c>
      <c r="B8681" s="1">
        <v>45839</v>
      </c>
      <c r="C8681">
        <v>870893</v>
      </c>
      <c r="D8681" t="s">
        <v>176</v>
      </c>
      <c r="E8681">
        <v>784727</v>
      </c>
      <c r="F8681">
        <v>479837</v>
      </c>
      <c r="G8681">
        <v>15222</v>
      </c>
      <c r="H8681">
        <f>_xlfn.XLOOKUP(FACT_IMPORTS[[#This Row],[hts_6]],DIM_PRODUCTS[hts_6],DIM_PRODUCTS[hts_4],,,)</f>
        <v>8708</v>
      </c>
      <c r="I8681" t="str" cm="1">
        <f t="array" ref="I8681">_xlfn.XLOOKUP(FACT_IMPORTS[[#This Row],[country_name]],DIM_COUNTRY[[#All],[Column2]],DIM_COUNTRY[[#All],[Column3]],,,)</f>
        <v>Major_Non-USMCA_Non-China</v>
      </c>
    </row>
    <row r="8682" spans="1:9" x14ac:dyDescent="0.4">
      <c r="A8682" t="s">
        <v>71</v>
      </c>
      <c r="B8682" s="1">
        <v>45839</v>
      </c>
      <c r="C8682">
        <v>870894</v>
      </c>
      <c r="D8682" t="s">
        <v>176</v>
      </c>
      <c r="E8682">
        <v>24503</v>
      </c>
      <c r="F8682">
        <v>236</v>
      </c>
      <c r="G8682">
        <v>2185</v>
      </c>
      <c r="H8682">
        <f>_xlfn.XLOOKUP(FACT_IMPORTS[[#This Row],[hts_6]],DIM_PRODUCTS[hts_6],DIM_PRODUCTS[hts_4],,,)</f>
        <v>8708</v>
      </c>
      <c r="I8682" t="str" cm="1">
        <f t="array" ref="I8682">_xlfn.XLOOKUP(FACT_IMPORTS[[#This Row],[country_name]],DIM_COUNTRY[[#All],[Column2]],DIM_COUNTRY[[#All],[Column3]],,,)</f>
        <v>Major_Non-USMCA_Non-China</v>
      </c>
    </row>
    <row r="8683" spans="1:9" x14ac:dyDescent="0.4">
      <c r="A8683" t="s">
        <v>71</v>
      </c>
      <c r="B8683" s="1">
        <v>45839</v>
      </c>
      <c r="C8683">
        <v>870895</v>
      </c>
      <c r="D8683" t="s">
        <v>176</v>
      </c>
      <c r="E8683">
        <v>0</v>
      </c>
      <c r="F8683">
        <v>0</v>
      </c>
      <c r="G8683">
        <v>0</v>
      </c>
      <c r="H8683">
        <f>_xlfn.XLOOKUP(FACT_IMPORTS[[#This Row],[hts_6]],DIM_PRODUCTS[hts_6],DIM_PRODUCTS[hts_4],,,)</f>
        <v>8708</v>
      </c>
      <c r="I8683" t="str" cm="1">
        <f t="array" ref="I8683">_xlfn.XLOOKUP(FACT_IMPORTS[[#This Row],[country_name]],DIM_COUNTRY[[#All],[Column2]],DIM_COUNTRY[[#All],[Column3]],,,)</f>
        <v>Major_Non-USMCA_Non-China</v>
      </c>
    </row>
    <row r="8684" spans="1:9" x14ac:dyDescent="0.4">
      <c r="A8684" t="s">
        <v>71</v>
      </c>
      <c r="B8684" s="1">
        <v>45839</v>
      </c>
      <c r="C8684">
        <v>870899</v>
      </c>
      <c r="D8684" t="s">
        <v>176</v>
      </c>
      <c r="E8684">
        <v>2320449</v>
      </c>
      <c r="F8684">
        <v>2372430</v>
      </c>
      <c r="G8684">
        <v>41518</v>
      </c>
      <c r="H8684">
        <f>_xlfn.XLOOKUP(FACT_IMPORTS[[#This Row],[hts_6]],DIM_PRODUCTS[hts_6],DIM_PRODUCTS[hts_4],,,)</f>
        <v>8708</v>
      </c>
      <c r="I8684" t="str" cm="1">
        <f t="array" ref="I8684">_xlfn.XLOOKUP(FACT_IMPORTS[[#This Row],[country_name]],DIM_COUNTRY[[#All],[Column2]],DIM_COUNTRY[[#All],[Column3]],,,)</f>
        <v>Major_Non-USMCA_Non-China</v>
      </c>
    </row>
    <row r="8685" spans="1:9" x14ac:dyDescent="0.4">
      <c r="A8685" t="s">
        <v>71</v>
      </c>
      <c r="B8685" s="1">
        <v>45839</v>
      </c>
      <c r="C8685">
        <v>940120</v>
      </c>
      <c r="D8685" t="s">
        <v>176</v>
      </c>
      <c r="E8685">
        <v>1454</v>
      </c>
      <c r="F8685">
        <v>1</v>
      </c>
      <c r="G8685">
        <v>150</v>
      </c>
      <c r="H8685">
        <f>_xlfn.XLOOKUP(FACT_IMPORTS[[#This Row],[hts_6]],DIM_PRODUCTS[hts_6],DIM_PRODUCTS[hts_4],,,)</f>
        <v>9401</v>
      </c>
      <c r="I8685" t="str" cm="1">
        <f t="array" ref="I8685">_xlfn.XLOOKUP(FACT_IMPORTS[[#This Row],[country_name]],DIM_COUNTRY[[#All],[Column2]],DIM_COUNTRY[[#All],[Column3]],,,)</f>
        <v>Major_Non-USMCA_Non-China</v>
      </c>
    </row>
    <row r="8686" spans="1:9" x14ac:dyDescent="0.4">
      <c r="A8686" t="s">
        <v>71</v>
      </c>
      <c r="B8686" s="1">
        <v>45870</v>
      </c>
      <c r="C8686">
        <v>392630</v>
      </c>
      <c r="D8686" t="s">
        <v>176</v>
      </c>
      <c r="E8686">
        <v>1985</v>
      </c>
      <c r="F8686">
        <v>101</v>
      </c>
      <c r="G8686">
        <v>1001</v>
      </c>
      <c r="H8686">
        <f>_xlfn.XLOOKUP(FACT_IMPORTS[[#This Row],[hts_6]],DIM_PRODUCTS[hts_6],DIM_PRODUCTS[hts_4],,,)</f>
        <v>3926</v>
      </c>
      <c r="I8686" t="str" cm="1">
        <f t="array" ref="I8686">_xlfn.XLOOKUP(FACT_IMPORTS[[#This Row],[country_name]],DIM_COUNTRY[[#All],[Column2]],DIM_COUNTRY[[#All],[Column3]],,,)</f>
        <v>Major_Non-USMCA_Non-China</v>
      </c>
    </row>
    <row r="8687" spans="1:9" x14ac:dyDescent="0.4">
      <c r="A8687" t="s">
        <v>71</v>
      </c>
      <c r="B8687" s="1">
        <v>45870</v>
      </c>
      <c r="C8687">
        <v>401110</v>
      </c>
      <c r="D8687" t="s">
        <v>176</v>
      </c>
      <c r="E8687">
        <v>45619</v>
      </c>
      <c r="F8687">
        <v>876</v>
      </c>
      <c r="G8687">
        <v>305</v>
      </c>
      <c r="H8687">
        <f>_xlfn.XLOOKUP(FACT_IMPORTS[[#This Row],[hts_6]],DIM_PRODUCTS[hts_6],DIM_PRODUCTS[hts_4],,,)</f>
        <v>4011</v>
      </c>
      <c r="I8687" t="str" cm="1">
        <f t="array" ref="I8687">_xlfn.XLOOKUP(FACT_IMPORTS[[#This Row],[country_name]],DIM_COUNTRY[[#All],[Column2]],DIM_COUNTRY[[#All],[Column3]],,,)</f>
        <v>Major_Non-USMCA_Non-China</v>
      </c>
    </row>
    <row r="8688" spans="1:9" x14ac:dyDescent="0.4">
      <c r="A8688" t="s">
        <v>71</v>
      </c>
      <c r="B8688" s="1">
        <v>45870</v>
      </c>
      <c r="C8688">
        <v>401120</v>
      </c>
      <c r="D8688" t="s">
        <v>176</v>
      </c>
      <c r="E8688">
        <v>97937</v>
      </c>
      <c r="F8688">
        <v>694</v>
      </c>
      <c r="G8688">
        <v>5923</v>
      </c>
      <c r="H8688">
        <f>_xlfn.XLOOKUP(FACT_IMPORTS[[#This Row],[hts_6]],DIM_PRODUCTS[hts_6],DIM_PRODUCTS[hts_4],,,)</f>
        <v>4011</v>
      </c>
      <c r="I8688" t="str" cm="1">
        <f t="array" ref="I8688">_xlfn.XLOOKUP(FACT_IMPORTS[[#This Row],[country_name]],DIM_COUNTRY[[#All],[Column2]],DIM_COUNTRY[[#All],[Column3]],,,)</f>
        <v>Major_Non-USMCA_Non-China</v>
      </c>
    </row>
    <row r="8689" spans="1:9" x14ac:dyDescent="0.4">
      <c r="A8689" t="s">
        <v>71</v>
      </c>
      <c r="B8689" s="1">
        <v>45870</v>
      </c>
      <c r="C8689">
        <v>401190</v>
      </c>
      <c r="D8689" t="s">
        <v>176</v>
      </c>
      <c r="E8689">
        <v>0</v>
      </c>
      <c r="F8689">
        <v>0</v>
      </c>
      <c r="G8689">
        <v>0</v>
      </c>
      <c r="H8689">
        <f>_xlfn.XLOOKUP(FACT_IMPORTS[[#This Row],[hts_6]],DIM_PRODUCTS[hts_6],DIM_PRODUCTS[hts_4],,,)</f>
        <v>4011</v>
      </c>
      <c r="I8689" t="str" cm="1">
        <f t="array" ref="I8689">_xlfn.XLOOKUP(FACT_IMPORTS[[#This Row],[country_name]],DIM_COUNTRY[[#All],[Column2]],DIM_COUNTRY[[#All],[Column3]],,,)</f>
        <v>Major_Non-USMCA_Non-China</v>
      </c>
    </row>
    <row r="8690" spans="1:9" x14ac:dyDescent="0.4">
      <c r="A8690" t="s">
        <v>71</v>
      </c>
      <c r="B8690" s="1">
        <v>45870</v>
      </c>
      <c r="C8690">
        <v>700711</v>
      </c>
      <c r="D8690" t="s">
        <v>176</v>
      </c>
      <c r="E8690">
        <v>4200</v>
      </c>
      <c r="F8690">
        <v>1</v>
      </c>
      <c r="G8690">
        <v>500</v>
      </c>
      <c r="H8690">
        <f>_xlfn.XLOOKUP(FACT_IMPORTS[[#This Row],[hts_6]],DIM_PRODUCTS[hts_6],DIM_PRODUCTS[hts_4],,,)</f>
        <v>7007</v>
      </c>
      <c r="I8690" t="str" cm="1">
        <f t="array" ref="I8690">_xlfn.XLOOKUP(FACT_IMPORTS[[#This Row],[country_name]],DIM_COUNTRY[[#All],[Column2]],DIM_COUNTRY[[#All],[Column3]],,,)</f>
        <v>Major_Non-USMCA_Non-China</v>
      </c>
    </row>
    <row r="8691" spans="1:9" x14ac:dyDescent="0.4">
      <c r="A8691" t="s">
        <v>71</v>
      </c>
      <c r="B8691" s="1">
        <v>45870</v>
      </c>
      <c r="C8691">
        <v>700721</v>
      </c>
      <c r="D8691" t="s">
        <v>176</v>
      </c>
      <c r="E8691">
        <v>0</v>
      </c>
      <c r="F8691">
        <v>0</v>
      </c>
      <c r="G8691">
        <v>0</v>
      </c>
      <c r="H8691">
        <f>_xlfn.XLOOKUP(FACT_IMPORTS[[#This Row],[hts_6]],DIM_PRODUCTS[hts_6],DIM_PRODUCTS[hts_4],,,)</f>
        <v>7007</v>
      </c>
      <c r="I8691" t="str" cm="1">
        <f t="array" ref="I8691">_xlfn.XLOOKUP(FACT_IMPORTS[[#This Row],[country_name]],DIM_COUNTRY[[#All],[Column2]],DIM_COUNTRY[[#All],[Column3]],,,)</f>
        <v>Major_Non-USMCA_Non-China</v>
      </c>
    </row>
    <row r="8692" spans="1:9" x14ac:dyDescent="0.4">
      <c r="A8692" t="s">
        <v>71</v>
      </c>
      <c r="B8692" s="1">
        <v>45870</v>
      </c>
      <c r="C8692">
        <v>700910</v>
      </c>
      <c r="D8692" t="s">
        <v>176</v>
      </c>
      <c r="E8692">
        <v>0</v>
      </c>
      <c r="F8692">
        <v>0</v>
      </c>
      <c r="G8692">
        <v>0</v>
      </c>
      <c r="H8692">
        <f>_xlfn.XLOOKUP(FACT_IMPORTS[[#This Row],[hts_6]],DIM_PRODUCTS[hts_6],DIM_PRODUCTS[hts_4],,,)</f>
        <v>7009</v>
      </c>
      <c r="I8692" t="str" cm="1">
        <f t="array" ref="I8692">_xlfn.XLOOKUP(FACT_IMPORTS[[#This Row],[country_name]],DIM_COUNTRY[[#All],[Column2]],DIM_COUNTRY[[#All],[Column3]],,,)</f>
        <v>Major_Non-USMCA_Non-China</v>
      </c>
    </row>
    <row r="8693" spans="1:9" x14ac:dyDescent="0.4">
      <c r="A8693" t="s">
        <v>71</v>
      </c>
      <c r="B8693" s="1">
        <v>45870</v>
      </c>
      <c r="C8693">
        <v>830230</v>
      </c>
      <c r="D8693" t="s">
        <v>176</v>
      </c>
      <c r="E8693">
        <v>21508</v>
      </c>
      <c r="F8693">
        <v>2785</v>
      </c>
      <c r="G8693">
        <v>279</v>
      </c>
      <c r="H8693">
        <f>_xlfn.XLOOKUP(FACT_IMPORTS[[#This Row],[hts_6]],DIM_PRODUCTS[hts_6],DIM_PRODUCTS[hts_4],,,)</f>
        <v>8302</v>
      </c>
      <c r="I8693" t="str" cm="1">
        <f t="array" ref="I8693">_xlfn.XLOOKUP(FACT_IMPORTS[[#This Row],[country_name]],DIM_COUNTRY[[#All],[Column2]],DIM_COUNTRY[[#All],[Column3]],,,)</f>
        <v>Major_Non-USMCA_Non-China</v>
      </c>
    </row>
    <row r="8694" spans="1:9" x14ac:dyDescent="0.4">
      <c r="A8694" t="s">
        <v>71</v>
      </c>
      <c r="B8694" s="1">
        <v>45870</v>
      </c>
      <c r="C8694">
        <v>840732</v>
      </c>
      <c r="D8694" t="s">
        <v>176</v>
      </c>
      <c r="E8694">
        <v>0</v>
      </c>
      <c r="F8694">
        <v>0</v>
      </c>
      <c r="G8694">
        <v>0</v>
      </c>
      <c r="H8694">
        <f>_xlfn.XLOOKUP(FACT_IMPORTS[[#This Row],[hts_6]],DIM_PRODUCTS[hts_6],DIM_PRODUCTS[hts_4],,,)</f>
        <v>8407</v>
      </c>
      <c r="I8694" t="str" cm="1">
        <f t="array" ref="I8694">_xlfn.XLOOKUP(FACT_IMPORTS[[#This Row],[country_name]],DIM_COUNTRY[[#All],[Column2]],DIM_COUNTRY[[#All],[Column3]],,,)</f>
        <v>Major_Non-USMCA_Non-China</v>
      </c>
    </row>
    <row r="8695" spans="1:9" x14ac:dyDescent="0.4">
      <c r="A8695" t="s">
        <v>71</v>
      </c>
      <c r="B8695" s="1">
        <v>45870</v>
      </c>
      <c r="C8695">
        <v>840733</v>
      </c>
      <c r="D8695" t="s">
        <v>176</v>
      </c>
      <c r="E8695">
        <v>0</v>
      </c>
      <c r="F8695">
        <v>0</v>
      </c>
      <c r="G8695">
        <v>0</v>
      </c>
      <c r="H8695">
        <f>_xlfn.XLOOKUP(FACT_IMPORTS[[#This Row],[hts_6]],DIM_PRODUCTS[hts_6],DIM_PRODUCTS[hts_4],,,)</f>
        <v>8407</v>
      </c>
      <c r="I8695" t="str" cm="1">
        <f t="array" ref="I8695">_xlfn.XLOOKUP(FACT_IMPORTS[[#This Row],[country_name]],DIM_COUNTRY[[#All],[Column2]],DIM_COUNTRY[[#All],[Column3]],,,)</f>
        <v>Major_Non-USMCA_Non-China</v>
      </c>
    </row>
    <row r="8696" spans="1:9" x14ac:dyDescent="0.4">
      <c r="A8696" t="s">
        <v>71</v>
      </c>
      <c r="B8696" s="1">
        <v>45870</v>
      </c>
      <c r="C8696">
        <v>840734</v>
      </c>
      <c r="D8696" t="s">
        <v>176</v>
      </c>
      <c r="E8696">
        <v>20830</v>
      </c>
      <c r="F8696">
        <v>6</v>
      </c>
      <c r="G8696">
        <v>626</v>
      </c>
      <c r="H8696">
        <f>_xlfn.XLOOKUP(FACT_IMPORTS[[#This Row],[hts_6]],DIM_PRODUCTS[hts_6],DIM_PRODUCTS[hts_4],,,)</f>
        <v>8407</v>
      </c>
      <c r="I8696" t="str" cm="1">
        <f t="array" ref="I8696">_xlfn.XLOOKUP(FACT_IMPORTS[[#This Row],[country_name]],DIM_COUNTRY[[#All],[Column2]],DIM_COUNTRY[[#All],[Column3]],,,)</f>
        <v>Major_Non-USMCA_Non-China</v>
      </c>
    </row>
    <row r="8697" spans="1:9" x14ac:dyDescent="0.4">
      <c r="A8697" t="s">
        <v>71</v>
      </c>
      <c r="B8697" s="1">
        <v>45870</v>
      </c>
      <c r="C8697">
        <v>840790</v>
      </c>
      <c r="D8697" t="s">
        <v>176</v>
      </c>
      <c r="E8697">
        <v>2850</v>
      </c>
      <c r="F8697">
        <v>1</v>
      </c>
      <c r="G8697">
        <v>250</v>
      </c>
      <c r="H8697">
        <f>_xlfn.XLOOKUP(FACT_IMPORTS[[#This Row],[hts_6]],DIM_PRODUCTS[hts_6],DIM_PRODUCTS[hts_4],,,)</f>
        <v>8407</v>
      </c>
      <c r="I8697" t="str" cm="1">
        <f t="array" ref="I8697">_xlfn.XLOOKUP(FACT_IMPORTS[[#This Row],[country_name]],DIM_COUNTRY[[#All],[Column2]],DIM_COUNTRY[[#All],[Column3]],,,)</f>
        <v>Major_Non-USMCA_Non-China</v>
      </c>
    </row>
    <row r="8698" spans="1:9" x14ac:dyDescent="0.4">
      <c r="A8698" t="s">
        <v>71</v>
      </c>
      <c r="B8698" s="1">
        <v>45870</v>
      </c>
      <c r="C8698">
        <v>840820</v>
      </c>
      <c r="D8698" t="s">
        <v>176</v>
      </c>
      <c r="E8698">
        <v>0</v>
      </c>
      <c r="F8698">
        <v>0</v>
      </c>
      <c r="G8698">
        <v>0</v>
      </c>
      <c r="H8698">
        <f>_xlfn.XLOOKUP(FACT_IMPORTS[[#This Row],[hts_6]],DIM_PRODUCTS[hts_6],DIM_PRODUCTS[hts_4],,,)</f>
        <v>8408</v>
      </c>
      <c r="I8698" t="str" cm="1">
        <f t="array" ref="I8698">_xlfn.XLOOKUP(FACT_IMPORTS[[#This Row],[country_name]],DIM_COUNTRY[[#All],[Column2]],DIM_COUNTRY[[#All],[Column3]],,,)</f>
        <v>Major_Non-USMCA_Non-China</v>
      </c>
    </row>
    <row r="8699" spans="1:9" x14ac:dyDescent="0.4">
      <c r="A8699" t="s">
        <v>71</v>
      </c>
      <c r="B8699" s="1">
        <v>45870</v>
      </c>
      <c r="C8699">
        <v>840890</v>
      </c>
      <c r="D8699" t="s">
        <v>176</v>
      </c>
      <c r="E8699">
        <v>3514</v>
      </c>
      <c r="F8699">
        <v>1</v>
      </c>
      <c r="G8699">
        <v>7</v>
      </c>
      <c r="H8699">
        <f>_xlfn.XLOOKUP(FACT_IMPORTS[[#This Row],[hts_6]],DIM_PRODUCTS[hts_6],DIM_PRODUCTS[hts_4],,,)</f>
        <v>8408</v>
      </c>
      <c r="I8699" t="str" cm="1">
        <f t="array" ref="I8699">_xlfn.XLOOKUP(FACT_IMPORTS[[#This Row],[country_name]],DIM_COUNTRY[[#All],[Column2]],DIM_COUNTRY[[#All],[Column3]],,,)</f>
        <v>Major_Non-USMCA_Non-China</v>
      </c>
    </row>
    <row r="8700" spans="1:9" x14ac:dyDescent="0.4">
      <c r="A8700" t="s">
        <v>71</v>
      </c>
      <c r="B8700" s="1">
        <v>45870</v>
      </c>
      <c r="C8700">
        <v>840991</v>
      </c>
      <c r="D8700" t="s">
        <v>176</v>
      </c>
      <c r="E8700">
        <v>4503612</v>
      </c>
      <c r="F8700">
        <v>331272</v>
      </c>
      <c r="G8700">
        <v>93672</v>
      </c>
      <c r="H8700">
        <f>_xlfn.XLOOKUP(FACT_IMPORTS[[#This Row],[hts_6]],DIM_PRODUCTS[hts_6],DIM_PRODUCTS[hts_4],,,)</f>
        <v>8409</v>
      </c>
      <c r="I8700" t="str" cm="1">
        <f t="array" ref="I8700">_xlfn.XLOOKUP(FACT_IMPORTS[[#This Row],[country_name]],DIM_COUNTRY[[#All],[Column2]],DIM_COUNTRY[[#All],[Column3]],,,)</f>
        <v>Major_Non-USMCA_Non-China</v>
      </c>
    </row>
    <row r="8701" spans="1:9" x14ac:dyDescent="0.4">
      <c r="A8701" t="s">
        <v>71</v>
      </c>
      <c r="B8701" s="1">
        <v>45870</v>
      </c>
      <c r="C8701">
        <v>840999</v>
      </c>
      <c r="D8701" t="s">
        <v>176</v>
      </c>
      <c r="E8701">
        <v>2008</v>
      </c>
      <c r="F8701">
        <v>10</v>
      </c>
      <c r="G8701">
        <v>5</v>
      </c>
      <c r="H8701">
        <f>_xlfn.XLOOKUP(FACT_IMPORTS[[#This Row],[hts_6]],DIM_PRODUCTS[hts_6],DIM_PRODUCTS[hts_4],,,)</f>
        <v>8409</v>
      </c>
      <c r="I8701" t="str" cm="1">
        <f t="array" ref="I8701">_xlfn.XLOOKUP(FACT_IMPORTS[[#This Row],[country_name]],DIM_COUNTRY[[#All],[Column2]],DIM_COUNTRY[[#All],[Column3]],,,)</f>
        <v>Major_Non-USMCA_Non-China</v>
      </c>
    </row>
    <row r="8702" spans="1:9" x14ac:dyDescent="0.4">
      <c r="A8702" t="s">
        <v>71</v>
      </c>
      <c r="B8702" s="1">
        <v>45870</v>
      </c>
      <c r="C8702">
        <v>841330</v>
      </c>
      <c r="D8702" t="s">
        <v>176</v>
      </c>
      <c r="E8702">
        <v>1976370</v>
      </c>
      <c r="F8702">
        <v>50441</v>
      </c>
      <c r="G8702">
        <v>16200</v>
      </c>
      <c r="H8702">
        <f>_xlfn.XLOOKUP(FACT_IMPORTS[[#This Row],[hts_6]],DIM_PRODUCTS[hts_6],DIM_PRODUCTS[hts_4],,,)</f>
        <v>8413</v>
      </c>
      <c r="I8702" t="str" cm="1">
        <f t="array" ref="I8702">_xlfn.XLOOKUP(FACT_IMPORTS[[#This Row],[country_name]],DIM_COUNTRY[[#All],[Column2]],DIM_COUNTRY[[#All],[Column3]],,,)</f>
        <v>Major_Non-USMCA_Non-China</v>
      </c>
    </row>
    <row r="8703" spans="1:9" x14ac:dyDescent="0.4">
      <c r="A8703" t="s">
        <v>71</v>
      </c>
      <c r="B8703" s="1">
        <v>45870</v>
      </c>
      <c r="C8703">
        <v>841520</v>
      </c>
      <c r="D8703" t="s">
        <v>176</v>
      </c>
      <c r="E8703">
        <v>0</v>
      </c>
      <c r="F8703">
        <v>0</v>
      </c>
      <c r="G8703">
        <v>0</v>
      </c>
      <c r="H8703">
        <f>_xlfn.XLOOKUP(FACT_IMPORTS[[#This Row],[hts_6]],DIM_PRODUCTS[hts_6],DIM_PRODUCTS[hts_4],,,)</f>
        <v>8415</v>
      </c>
      <c r="I8703" t="str" cm="1">
        <f t="array" ref="I8703">_xlfn.XLOOKUP(FACT_IMPORTS[[#This Row],[country_name]],DIM_COUNTRY[[#All],[Column2]],DIM_COUNTRY[[#All],[Column3]],,,)</f>
        <v>Major_Non-USMCA_Non-China</v>
      </c>
    </row>
    <row r="8704" spans="1:9" x14ac:dyDescent="0.4">
      <c r="A8704" t="s">
        <v>71</v>
      </c>
      <c r="B8704" s="1">
        <v>45870</v>
      </c>
      <c r="C8704">
        <v>842132</v>
      </c>
      <c r="D8704" t="s">
        <v>176</v>
      </c>
      <c r="E8704">
        <v>26987</v>
      </c>
      <c r="F8704">
        <v>44</v>
      </c>
      <c r="G8704">
        <v>996</v>
      </c>
      <c r="H8704">
        <f>_xlfn.XLOOKUP(FACT_IMPORTS[[#This Row],[hts_6]],DIM_PRODUCTS[hts_6],DIM_PRODUCTS[hts_4],,,)</f>
        <v>8421</v>
      </c>
      <c r="I8704" t="str" cm="1">
        <f t="array" ref="I8704">_xlfn.XLOOKUP(FACT_IMPORTS[[#This Row],[country_name]],DIM_COUNTRY[[#All],[Column2]],DIM_COUNTRY[[#All],[Column3]],,,)</f>
        <v>Major_Non-USMCA_Non-China</v>
      </c>
    </row>
    <row r="8705" spans="1:9" x14ac:dyDescent="0.4">
      <c r="A8705" t="s">
        <v>71</v>
      </c>
      <c r="B8705" s="1">
        <v>45870</v>
      </c>
      <c r="C8705">
        <v>848210</v>
      </c>
      <c r="D8705" t="s">
        <v>176</v>
      </c>
      <c r="E8705">
        <v>21114</v>
      </c>
      <c r="F8705">
        <v>1529</v>
      </c>
      <c r="G8705">
        <v>588</v>
      </c>
      <c r="H8705">
        <f>_xlfn.XLOOKUP(FACT_IMPORTS[[#This Row],[hts_6]],DIM_PRODUCTS[hts_6],DIM_PRODUCTS[hts_4],,,)</f>
        <v>8482</v>
      </c>
      <c r="I8705" t="str" cm="1">
        <f t="array" ref="I8705">_xlfn.XLOOKUP(FACT_IMPORTS[[#This Row],[country_name]],DIM_COUNTRY[[#All],[Column2]],DIM_COUNTRY[[#All],[Column3]],,,)</f>
        <v>Major_Non-USMCA_Non-China</v>
      </c>
    </row>
    <row r="8706" spans="1:9" x14ac:dyDescent="0.4">
      <c r="A8706" t="s">
        <v>71</v>
      </c>
      <c r="B8706" s="1">
        <v>45870</v>
      </c>
      <c r="C8706">
        <v>848220</v>
      </c>
      <c r="D8706" t="s">
        <v>176</v>
      </c>
      <c r="E8706">
        <v>121849</v>
      </c>
      <c r="F8706">
        <v>7325</v>
      </c>
      <c r="G8706">
        <v>1255</v>
      </c>
      <c r="H8706">
        <f>_xlfn.XLOOKUP(FACT_IMPORTS[[#This Row],[hts_6]],DIM_PRODUCTS[hts_6],DIM_PRODUCTS[hts_4],,,)</f>
        <v>8482</v>
      </c>
      <c r="I8706" t="str" cm="1">
        <f t="array" ref="I8706">_xlfn.XLOOKUP(FACT_IMPORTS[[#This Row],[country_name]],DIM_COUNTRY[[#All],[Column2]],DIM_COUNTRY[[#All],[Column3]],,,)</f>
        <v>Major_Non-USMCA_Non-China</v>
      </c>
    </row>
    <row r="8707" spans="1:9" x14ac:dyDescent="0.4">
      <c r="A8707" t="s">
        <v>71</v>
      </c>
      <c r="B8707" s="1">
        <v>45870</v>
      </c>
      <c r="C8707">
        <v>848310</v>
      </c>
      <c r="D8707" t="s">
        <v>176</v>
      </c>
      <c r="E8707">
        <v>677584</v>
      </c>
      <c r="F8707">
        <v>23090</v>
      </c>
      <c r="G8707">
        <v>32700</v>
      </c>
      <c r="H8707">
        <f>_xlfn.XLOOKUP(FACT_IMPORTS[[#This Row],[hts_6]],DIM_PRODUCTS[hts_6],DIM_PRODUCTS[hts_4],,,)</f>
        <v>8483</v>
      </c>
      <c r="I8707" t="str" cm="1">
        <f t="array" ref="I8707">_xlfn.XLOOKUP(FACT_IMPORTS[[#This Row],[country_name]],DIM_COUNTRY[[#All],[Column2]],DIM_COUNTRY[[#All],[Column3]],,,)</f>
        <v>Major_Non-USMCA_Non-China</v>
      </c>
    </row>
    <row r="8708" spans="1:9" x14ac:dyDescent="0.4">
      <c r="A8708" t="s">
        <v>71</v>
      </c>
      <c r="B8708" s="1">
        <v>45870</v>
      </c>
      <c r="C8708">
        <v>850131</v>
      </c>
      <c r="D8708" t="s">
        <v>176</v>
      </c>
      <c r="E8708">
        <v>3840558</v>
      </c>
      <c r="F8708">
        <v>127642</v>
      </c>
      <c r="G8708">
        <v>49989</v>
      </c>
      <c r="H8708">
        <f>_xlfn.XLOOKUP(FACT_IMPORTS[[#This Row],[hts_6]],DIM_PRODUCTS[hts_6],DIM_PRODUCTS[hts_4],,,)</f>
        <v>8501</v>
      </c>
      <c r="I8708" t="str" cm="1">
        <f t="array" ref="I8708">_xlfn.XLOOKUP(FACT_IMPORTS[[#This Row],[country_name]],DIM_COUNTRY[[#All],[Column2]],DIM_COUNTRY[[#All],[Column3]],,,)</f>
        <v>Major_Non-USMCA_Non-China</v>
      </c>
    </row>
    <row r="8709" spans="1:9" x14ac:dyDescent="0.4">
      <c r="A8709" t="s">
        <v>71</v>
      </c>
      <c r="B8709" s="1">
        <v>45870</v>
      </c>
      <c r="C8709">
        <v>850132</v>
      </c>
      <c r="D8709" t="s">
        <v>176</v>
      </c>
      <c r="E8709">
        <v>0</v>
      </c>
      <c r="F8709">
        <v>0</v>
      </c>
      <c r="G8709">
        <v>0</v>
      </c>
      <c r="H8709">
        <f>_xlfn.XLOOKUP(FACT_IMPORTS[[#This Row],[hts_6]],DIM_PRODUCTS[hts_6],DIM_PRODUCTS[hts_4],,,)</f>
        <v>8501</v>
      </c>
      <c r="I8709" t="str" cm="1">
        <f t="array" ref="I8709">_xlfn.XLOOKUP(FACT_IMPORTS[[#This Row],[country_name]],DIM_COUNTRY[[#All],[Column2]],DIM_COUNTRY[[#All],[Column3]],,,)</f>
        <v>Major_Non-USMCA_Non-China</v>
      </c>
    </row>
    <row r="8710" spans="1:9" x14ac:dyDescent="0.4">
      <c r="A8710" t="s">
        <v>71</v>
      </c>
      <c r="B8710" s="1">
        <v>45870</v>
      </c>
      <c r="C8710">
        <v>850152</v>
      </c>
      <c r="D8710" t="s">
        <v>176</v>
      </c>
      <c r="E8710">
        <v>559113</v>
      </c>
      <c r="F8710">
        <v>1033</v>
      </c>
      <c r="G8710">
        <v>8599</v>
      </c>
      <c r="H8710">
        <f>_xlfn.XLOOKUP(FACT_IMPORTS[[#This Row],[hts_6]],DIM_PRODUCTS[hts_6],DIM_PRODUCTS[hts_4],,,)</f>
        <v>8501</v>
      </c>
      <c r="I8710" t="str" cm="1">
        <f t="array" ref="I8710">_xlfn.XLOOKUP(FACT_IMPORTS[[#This Row],[country_name]],DIM_COUNTRY[[#All],[Column2]],DIM_COUNTRY[[#All],[Column3]],,,)</f>
        <v>Major_Non-USMCA_Non-China</v>
      </c>
    </row>
    <row r="8711" spans="1:9" x14ac:dyDescent="0.4">
      <c r="A8711" t="s">
        <v>71</v>
      </c>
      <c r="B8711" s="1">
        <v>45870</v>
      </c>
      <c r="C8711">
        <v>850153</v>
      </c>
      <c r="D8711" t="s">
        <v>176</v>
      </c>
      <c r="E8711">
        <v>0</v>
      </c>
      <c r="F8711">
        <v>0</v>
      </c>
      <c r="G8711">
        <v>0</v>
      </c>
      <c r="H8711">
        <f>_xlfn.XLOOKUP(FACT_IMPORTS[[#This Row],[hts_6]],DIM_PRODUCTS[hts_6],DIM_PRODUCTS[hts_4],,,)</f>
        <v>8501</v>
      </c>
      <c r="I8711" t="str" cm="1">
        <f t="array" ref="I8711">_xlfn.XLOOKUP(FACT_IMPORTS[[#This Row],[country_name]],DIM_COUNTRY[[#All],[Column2]],DIM_COUNTRY[[#All],[Column3]],,,)</f>
        <v>Major_Non-USMCA_Non-China</v>
      </c>
    </row>
    <row r="8712" spans="1:9" x14ac:dyDescent="0.4">
      <c r="A8712" t="s">
        <v>71</v>
      </c>
      <c r="B8712" s="1">
        <v>45870</v>
      </c>
      <c r="C8712">
        <v>850161</v>
      </c>
      <c r="D8712" t="s">
        <v>176</v>
      </c>
      <c r="E8712">
        <v>0</v>
      </c>
      <c r="F8712">
        <v>0</v>
      </c>
      <c r="G8712">
        <v>0</v>
      </c>
      <c r="H8712">
        <f>_xlfn.XLOOKUP(FACT_IMPORTS[[#This Row],[hts_6]],DIM_PRODUCTS[hts_6],DIM_PRODUCTS[hts_4],,,)</f>
        <v>8501</v>
      </c>
      <c r="I8712" t="str" cm="1">
        <f t="array" ref="I8712">_xlfn.XLOOKUP(FACT_IMPORTS[[#This Row],[country_name]],DIM_COUNTRY[[#All],[Column2]],DIM_COUNTRY[[#All],[Column3]],,,)</f>
        <v>Major_Non-USMCA_Non-China</v>
      </c>
    </row>
    <row r="8713" spans="1:9" x14ac:dyDescent="0.4">
      <c r="A8713" t="s">
        <v>71</v>
      </c>
      <c r="B8713" s="1">
        <v>45870</v>
      </c>
      <c r="C8713">
        <v>850440</v>
      </c>
      <c r="D8713" t="s">
        <v>176</v>
      </c>
      <c r="E8713">
        <v>627699</v>
      </c>
      <c r="F8713">
        <v>524</v>
      </c>
      <c r="G8713">
        <v>6752</v>
      </c>
      <c r="H8713">
        <f>_xlfn.XLOOKUP(FACT_IMPORTS[[#This Row],[hts_6]],DIM_PRODUCTS[hts_6],DIM_PRODUCTS[hts_4],,,)</f>
        <v>8504</v>
      </c>
      <c r="I8713" t="str" cm="1">
        <f t="array" ref="I8713">_xlfn.XLOOKUP(FACT_IMPORTS[[#This Row],[country_name]],DIM_COUNTRY[[#All],[Column2]],DIM_COUNTRY[[#All],[Column3]],,,)</f>
        <v>Major_Non-USMCA_Non-China</v>
      </c>
    </row>
    <row r="8714" spans="1:9" x14ac:dyDescent="0.4">
      <c r="A8714" t="s">
        <v>71</v>
      </c>
      <c r="B8714" s="1">
        <v>45870</v>
      </c>
      <c r="C8714">
        <v>850710</v>
      </c>
      <c r="D8714" t="s">
        <v>176</v>
      </c>
      <c r="E8714">
        <v>0</v>
      </c>
      <c r="F8714">
        <v>0</v>
      </c>
      <c r="G8714">
        <v>0</v>
      </c>
      <c r="H8714">
        <f>_xlfn.XLOOKUP(FACT_IMPORTS[[#This Row],[hts_6]],DIM_PRODUCTS[hts_6],DIM_PRODUCTS[hts_4],,,)</f>
        <v>8507</v>
      </c>
      <c r="I8714" t="str" cm="1">
        <f t="array" ref="I8714">_xlfn.XLOOKUP(FACT_IMPORTS[[#This Row],[country_name]],DIM_COUNTRY[[#All],[Column2]],DIM_COUNTRY[[#All],[Column3]],,,)</f>
        <v>Major_Non-USMCA_Non-China</v>
      </c>
    </row>
    <row r="8715" spans="1:9" x14ac:dyDescent="0.4">
      <c r="A8715" t="s">
        <v>71</v>
      </c>
      <c r="B8715" s="1">
        <v>45870</v>
      </c>
      <c r="C8715">
        <v>850760</v>
      </c>
      <c r="D8715" t="s">
        <v>176</v>
      </c>
      <c r="E8715">
        <v>37333</v>
      </c>
      <c r="F8715">
        <v>61</v>
      </c>
      <c r="G8715">
        <v>628</v>
      </c>
      <c r="H8715">
        <f>_xlfn.XLOOKUP(FACT_IMPORTS[[#This Row],[hts_6]],DIM_PRODUCTS[hts_6],DIM_PRODUCTS[hts_4],,,)</f>
        <v>8507</v>
      </c>
      <c r="I8715" t="str" cm="1">
        <f t="array" ref="I8715">_xlfn.XLOOKUP(FACT_IMPORTS[[#This Row],[country_name]],DIM_COUNTRY[[#All],[Column2]],DIM_COUNTRY[[#All],[Column3]],,,)</f>
        <v>Major_Non-USMCA_Non-China</v>
      </c>
    </row>
    <row r="8716" spans="1:9" x14ac:dyDescent="0.4">
      <c r="A8716" t="s">
        <v>71</v>
      </c>
      <c r="B8716" s="1">
        <v>45870</v>
      </c>
      <c r="C8716">
        <v>851110</v>
      </c>
      <c r="D8716" t="s">
        <v>176</v>
      </c>
      <c r="E8716">
        <v>653220</v>
      </c>
      <c r="F8716">
        <v>1085</v>
      </c>
      <c r="G8716">
        <v>3738</v>
      </c>
      <c r="H8716">
        <f>_xlfn.XLOOKUP(FACT_IMPORTS[[#This Row],[hts_6]],DIM_PRODUCTS[hts_6],DIM_PRODUCTS[hts_4],,,)</f>
        <v>8511</v>
      </c>
      <c r="I8716" t="str" cm="1">
        <f t="array" ref="I8716">_xlfn.XLOOKUP(FACT_IMPORTS[[#This Row],[country_name]],DIM_COUNTRY[[#All],[Column2]],DIM_COUNTRY[[#All],[Column3]],,,)</f>
        <v>Major_Non-USMCA_Non-China</v>
      </c>
    </row>
    <row r="8717" spans="1:9" x14ac:dyDescent="0.4">
      <c r="A8717" t="s">
        <v>71</v>
      </c>
      <c r="B8717" s="1">
        <v>45870</v>
      </c>
      <c r="C8717">
        <v>851130</v>
      </c>
      <c r="D8717" t="s">
        <v>176</v>
      </c>
      <c r="E8717">
        <v>778483</v>
      </c>
      <c r="F8717">
        <v>92176</v>
      </c>
      <c r="G8717">
        <v>4991</v>
      </c>
      <c r="H8717">
        <f>_xlfn.XLOOKUP(FACT_IMPORTS[[#This Row],[hts_6]],DIM_PRODUCTS[hts_6],DIM_PRODUCTS[hts_4],,,)</f>
        <v>8511</v>
      </c>
      <c r="I8717" t="str" cm="1">
        <f t="array" ref="I8717">_xlfn.XLOOKUP(FACT_IMPORTS[[#This Row],[country_name]],DIM_COUNTRY[[#All],[Column2]],DIM_COUNTRY[[#All],[Column3]],,,)</f>
        <v>Major_Non-USMCA_Non-China</v>
      </c>
    </row>
    <row r="8718" spans="1:9" x14ac:dyDescent="0.4">
      <c r="A8718" t="s">
        <v>71</v>
      </c>
      <c r="B8718" s="1">
        <v>45870</v>
      </c>
      <c r="C8718">
        <v>851140</v>
      </c>
      <c r="D8718" t="s">
        <v>176</v>
      </c>
      <c r="E8718">
        <v>1561981</v>
      </c>
      <c r="F8718">
        <v>27836</v>
      </c>
      <c r="G8718">
        <v>16598</v>
      </c>
      <c r="H8718">
        <f>_xlfn.XLOOKUP(FACT_IMPORTS[[#This Row],[hts_6]],DIM_PRODUCTS[hts_6],DIM_PRODUCTS[hts_4],,,)</f>
        <v>8511</v>
      </c>
      <c r="I8718" t="str" cm="1">
        <f t="array" ref="I8718">_xlfn.XLOOKUP(FACT_IMPORTS[[#This Row],[country_name]],DIM_COUNTRY[[#All],[Column2]],DIM_COUNTRY[[#All],[Column3]],,,)</f>
        <v>Major_Non-USMCA_Non-China</v>
      </c>
    </row>
    <row r="8719" spans="1:9" x14ac:dyDescent="0.4">
      <c r="A8719" t="s">
        <v>71</v>
      </c>
      <c r="B8719" s="1">
        <v>45870</v>
      </c>
      <c r="C8719">
        <v>851150</v>
      </c>
      <c r="D8719" t="s">
        <v>176</v>
      </c>
      <c r="E8719">
        <v>88205</v>
      </c>
      <c r="F8719">
        <v>897</v>
      </c>
      <c r="G8719">
        <v>2467</v>
      </c>
      <c r="H8719">
        <f>_xlfn.XLOOKUP(FACT_IMPORTS[[#This Row],[hts_6]],DIM_PRODUCTS[hts_6],DIM_PRODUCTS[hts_4],,,)</f>
        <v>8511</v>
      </c>
      <c r="I8719" t="str" cm="1">
        <f t="array" ref="I8719">_xlfn.XLOOKUP(FACT_IMPORTS[[#This Row],[country_name]],DIM_COUNTRY[[#All],[Column2]],DIM_COUNTRY[[#All],[Column3]],,,)</f>
        <v>Major_Non-USMCA_Non-China</v>
      </c>
    </row>
    <row r="8720" spans="1:9" x14ac:dyDescent="0.4">
      <c r="A8720" t="s">
        <v>71</v>
      </c>
      <c r="B8720" s="1">
        <v>45870</v>
      </c>
      <c r="C8720">
        <v>851180</v>
      </c>
      <c r="D8720" t="s">
        <v>176</v>
      </c>
      <c r="E8720">
        <v>4655</v>
      </c>
      <c r="F8720">
        <v>42</v>
      </c>
      <c r="G8720">
        <v>26</v>
      </c>
      <c r="H8720">
        <f>_xlfn.XLOOKUP(FACT_IMPORTS[[#This Row],[hts_6]],DIM_PRODUCTS[hts_6],DIM_PRODUCTS[hts_4],,,)</f>
        <v>8511</v>
      </c>
      <c r="I8720" t="str" cm="1">
        <f t="array" ref="I8720">_xlfn.XLOOKUP(FACT_IMPORTS[[#This Row],[country_name]],DIM_COUNTRY[[#All],[Column2]],DIM_COUNTRY[[#All],[Column3]],,,)</f>
        <v>Major_Non-USMCA_Non-China</v>
      </c>
    </row>
    <row r="8721" spans="1:9" x14ac:dyDescent="0.4">
      <c r="A8721" t="s">
        <v>71</v>
      </c>
      <c r="B8721" s="1">
        <v>45870</v>
      </c>
      <c r="C8721">
        <v>851190</v>
      </c>
      <c r="D8721" t="s">
        <v>176</v>
      </c>
      <c r="E8721">
        <v>0</v>
      </c>
      <c r="F8721">
        <v>0</v>
      </c>
      <c r="G8721">
        <v>0</v>
      </c>
      <c r="H8721">
        <f>_xlfn.XLOOKUP(FACT_IMPORTS[[#This Row],[hts_6]],DIM_PRODUCTS[hts_6],DIM_PRODUCTS[hts_4],,,)</f>
        <v>8511</v>
      </c>
      <c r="I8721" t="str" cm="1">
        <f t="array" ref="I8721">_xlfn.XLOOKUP(FACT_IMPORTS[[#This Row],[country_name]],DIM_COUNTRY[[#All],[Column2]],DIM_COUNTRY[[#All],[Column3]],,,)</f>
        <v>Major_Non-USMCA_Non-China</v>
      </c>
    </row>
    <row r="8722" spans="1:9" x14ac:dyDescent="0.4">
      <c r="A8722" t="s">
        <v>71</v>
      </c>
      <c r="B8722" s="1">
        <v>45870</v>
      </c>
      <c r="C8722">
        <v>851220</v>
      </c>
      <c r="D8722" t="s">
        <v>176</v>
      </c>
      <c r="E8722">
        <v>4213</v>
      </c>
      <c r="F8722">
        <v>4</v>
      </c>
      <c r="G8722">
        <v>24</v>
      </c>
      <c r="H8722">
        <f>_xlfn.XLOOKUP(FACT_IMPORTS[[#This Row],[hts_6]],DIM_PRODUCTS[hts_6],DIM_PRODUCTS[hts_4],,,)</f>
        <v>8512</v>
      </c>
      <c r="I8722" t="str" cm="1">
        <f t="array" ref="I8722">_xlfn.XLOOKUP(FACT_IMPORTS[[#This Row],[country_name]],DIM_COUNTRY[[#All],[Column2]],DIM_COUNTRY[[#All],[Column3]],,,)</f>
        <v>Major_Non-USMCA_Non-China</v>
      </c>
    </row>
    <row r="8723" spans="1:9" x14ac:dyDescent="0.4">
      <c r="A8723" t="s">
        <v>71</v>
      </c>
      <c r="B8723" s="1">
        <v>45870</v>
      </c>
      <c r="C8723">
        <v>851230</v>
      </c>
      <c r="D8723" t="s">
        <v>176</v>
      </c>
      <c r="E8723">
        <v>8096</v>
      </c>
      <c r="F8723">
        <v>1928</v>
      </c>
      <c r="G8723">
        <v>62</v>
      </c>
      <c r="H8723">
        <f>_xlfn.XLOOKUP(FACT_IMPORTS[[#This Row],[hts_6]],DIM_PRODUCTS[hts_6],DIM_PRODUCTS[hts_4],,,)</f>
        <v>8512</v>
      </c>
      <c r="I8723" t="str" cm="1">
        <f t="array" ref="I8723">_xlfn.XLOOKUP(FACT_IMPORTS[[#This Row],[country_name]],DIM_COUNTRY[[#All],[Column2]],DIM_COUNTRY[[#All],[Column3]],,,)</f>
        <v>Major_Non-USMCA_Non-China</v>
      </c>
    </row>
    <row r="8724" spans="1:9" x14ac:dyDescent="0.4">
      <c r="A8724" t="s">
        <v>71</v>
      </c>
      <c r="B8724" s="1">
        <v>45870</v>
      </c>
      <c r="C8724">
        <v>851290</v>
      </c>
      <c r="D8724" t="s">
        <v>176</v>
      </c>
      <c r="E8724">
        <v>0</v>
      </c>
      <c r="F8724">
        <v>0</v>
      </c>
      <c r="G8724">
        <v>0</v>
      </c>
      <c r="H8724">
        <f>_xlfn.XLOOKUP(FACT_IMPORTS[[#This Row],[hts_6]],DIM_PRODUCTS[hts_6],DIM_PRODUCTS[hts_4],,,)</f>
        <v>8512</v>
      </c>
      <c r="I8724" t="str" cm="1">
        <f t="array" ref="I8724">_xlfn.XLOOKUP(FACT_IMPORTS[[#This Row],[country_name]],DIM_COUNTRY[[#All],[Column2]],DIM_COUNTRY[[#All],[Column3]],,,)</f>
        <v>Major_Non-USMCA_Non-China</v>
      </c>
    </row>
    <row r="8725" spans="1:9" x14ac:dyDescent="0.4">
      <c r="A8725" t="s">
        <v>71</v>
      </c>
      <c r="B8725" s="1">
        <v>45870</v>
      </c>
      <c r="C8725">
        <v>854231</v>
      </c>
      <c r="D8725" t="s">
        <v>176</v>
      </c>
      <c r="E8725">
        <v>113397</v>
      </c>
      <c r="F8725">
        <v>11574</v>
      </c>
      <c r="G8725">
        <v>2106</v>
      </c>
      <c r="H8725">
        <f>_xlfn.XLOOKUP(FACT_IMPORTS[[#This Row],[hts_6]],DIM_PRODUCTS[hts_6],DIM_PRODUCTS[hts_4],,,)</f>
        <v>8542</v>
      </c>
      <c r="I8725" t="str" cm="1">
        <f t="array" ref="I8725">_xlfn.XLOOKUP(FACT_IMPORTS[[#This Row],[country_name]],DIM_COUNTRY[[#All],[Column2]],DIM_COUNTRY[[#All],[Column3]],,,)</f>
        <v>Major_Non-USMCA_Non-China</v>
      </c>
    </row>
    <row r="8726" spans="1:9" x14ac:dyDescent="0.4">
      <c r="A8726" t="s">
        <v>71</v>
      </c>
      <c r="B8726" s="1">
        <v>45870</v>
      </c>
      <c r="C8726">
        <v>854232</v>
      </c>
      <c r="D8726" t="s">
        <v>176</v>
      </c>
      <c r="E8726">
        <v>0</v>
      </c>
      <c r="F8726">
        <v>0</v>
      </c>
      <c r="G8726">
        <v>0</v>
      </c>
      <c r="H8726">
        <f>_xlfn.XLOOKUP(FACT_IMPORTS[[#This Row],[hts_6]],DIM_PRODUCTS[hts_6],DIM_PRODUCTS[hts_4],,,)</f>
        <v>8542</v>
      </c>
      <c r="I8726" t="str" cm="1">
        <f t="array" ref="I8726">_xlfn.XLOOKUP(FACT_IMPORTS[[#This Row],[country_name]],DIM_COUNTRY[[#All],[Column2]],DIM_COUNTRY[[#All],[Column3]],,,)</f>
        <v>Major_Non-USMCA_Non-China</v>
      </c>
    </row>
    <row r="8727" spans="1:9" x14ac:dyDescent="0.4">
      <c r="A8727" t="s">
        <v>71</v>
      </c>
      <c r="B8727" s="1">
        <v>45870</v>
      </c>
      <c r="C8727">
        <v>854239</v>
      </c>
      <c r="D8727" t="s">
        <v>176</v>
      </c>
      <c r="E8727">
        <v>7920</v>
      </c>
      <c r="F8727">
        <v>45000</v>
      </c>
      <c r="G8727">
        <v>779</v>
      </c>
      <c r="H8727">
        <f>_xlfn.XLOOKUP(FACT_IMPORTS[[#This Row],[hts_6]],DIM_PRODUCTS[hts_6],DIM_PRODUCTS[hts_4],,,)</f>
        <v>8542</v>
      </c>
      <c r="I8727" t="str" cm="1">
        <f t="array" ref="I8727">_xlfn.XLOOKUP(FACT_IMPORTS[[#This Row],[country_name]],DIM_COUNTRY[[#All],[Column2]],DIM_COUNTRY[[#All],[Column3]],,,)</f>
        <v>Major_Non-USMCA_Non-China</v>
      </c>
    </row>
    <row r="8728" spans="1:9" x14ac:dyDescent="0.4">
      <c r="A8728" t="s">
        <v>71</v>
      </c>
      <c r="B8728" s="1">
        <v>45870</v>
      </c>
      <c r="C8728">
        <v>854290</v>
      </c>
      <c r="D8728" t="s">
        <v>176</v>
      </c>
      <c r="E8728">
        <v>0</v>
      </c>
      <c r="F8728">
        <v>0</v>
      </c>
      <c r="G8728">
        <v>0</v>
      </c>
      <c r="H8728">
        <f>_xlfn.XLOOKUP(FACT_IMPORTS[[#This Row],[hts_6]],DIM_PRODUCTS[hts_6],DIM_PRODUCTS[hts_4],,,)</f>
        <v>8542</v>
      </c>
      <c r="I8728" t="str" cm="1">
        <f t="array" ref="I8728">_xlfn.XLOOKUP(FACT_IMPORTS[[#This Row],[country_name]],DIM_COUNTRY[[#All],[Column2]],DIM_COUNTRY[[#All],[Column3]],,,)</f>
        <v>Major_Non-USMCA_Non-China</v>
      </c>
    </row>
    <row r="8729" spans="1:9" x14ac:dyDescent="0.4">
      <c r="A8729" t="s">
        <v>71</v>
      </c>
      <c r="B8729" s="1">
        <v>45870</v>
      </c>
      <c r="C8729">
        <v>854430</v>
      </c>
      <c r="D8729" t="s">
        <v>176</v>
      </c>
      <c r="E8729">
        <v>0</v>
      </c>
      <c r="F8729">
        <v>0</v>
      </c>
      <c r="G8729">
        <v>0</v>
      </c>
      <c r="H8729">
        <f>_xlfn.XLOOKUP(FACT_IMPORTS[[#This Row],[hts_6]],DIM_PRODUCTS[hts_6],DIM_PRODUCTS[hts_4],,,)</f>
        <v>8544</v>
      </c>
      <c r="I8729" t="str" cm="1">
        <f t="array" ref="I8729">_xlfn.XLOOKUP(FACT_IMPORTS[[#This Row],[country_name]],DIM_COUNTRY[[#All],[Column2]],DIM_COUNTRY[[#All],[Column3]],,,)</f>
        <v>Major_Non-USMCA_Non-China</v>
      </c>
    </row>
    <row r="8730" spans="1:9" x14ac:dyDescent="0.4">
      <c r="A8730" t="s">
        <v>71</v>
      </c>
      <c r="B8730" s="1">
        <v>45870</v>
      </c>
      <c r="C8730">
        <v>870710</v>
      </c>
      <c r="D8730" t="s">
        <v>176</v>
      </c>
      <c r="E8730">
        <v>0</v>
      </c>
      <c r="F8730">
        <v>0</v>
      </c>
      <c r="G8730">
        <v>0</v>
      </c>
      <c r="H8730">
        <f>_xlfn.XLOOKUP(FACT_IMPORTS[[#This Row],[hts_6]],DIM_PRODUCTS[hts_6],DIM_PRODUCTS[hts_4],,,)</f>
        <v>8707</v>
      </c>
      <c r="I8730" t="str" cm="1">
        <f t="array" ref="I8730">_xlfn.XLOOKUP(FACT_IMPORTS[[#This Row],[country_name]],DIM_COUNTRY[[#All],[Column2]],DIM_COUNTRY[[#All],[Column3]],,,)</f>
        <v>Major_Non-USMCA_Non-China</v>
      </c>
    </row>
    <row r="8731" spans="1:9" x14ac:dyDescent="0.4">
      <c r="A8731" t="s">
        <v>71</v>
      </c>
      <c r="B8731" s="1">
        <v>45870</v>
      </c>
      <c r="C8731">
        <v>870790</v>
      </c>
      <c r="D8731" t="s">
        <v>176</v>
      </c>
      <c r="E8731">
        <v>0</v>
      </c>
      <c r="F8731">
        <v>0</v>
      </c>
      <c r="G8731">
        <v>0</v>
      </c>
      <c r="H8731">
        <f>_xlfn.XLOOKUP(FACT_IMPORTS[[#This Row],[hts_6]],DIM_PRODUCTS[hts_6],DIM_PRODUCTS[hts_4],,,)</f>
        <v>8707</v>
      </c>
      <c r="I8731" t="str" cm="1">
        <f t="array" ref="I8731">_xlfn.XLOOKUP(FACT_IMPORTS[[#This Row],[country_name]],DIM_COUNTRY[[#All],[Column2]],DIM_COUNTRY[[#All],[Column3]],,,)</f>
        <v>Major_Non-USMCA_Non-China</v>
      </c>
    </row>
    <row r="8732" spans="1:9" x14ac:dyDescent="0.4">
      <c r="A8732" t="s">
        <v>71</v>
      </c>
      <c r="B8732" s="1">
        <v>45870</v>
      </c>
      <c r="C8732">
        <v>870810</v>
      </c>
      <c r="D8732" t="s">
        <v>176</v>
      </c>
      <c r="E8732">
        <v>13664</v>
      </c>
      <c r="F8732">
        <v>125</v>
      </c>
      <c r="G8732">
        <v>42</v>
      </c>
      <c r="H8732">
        <f>_xlfn.XLOOKUP(FACT_IMPORTS[[#This Row],[hts_6]],DIM_PRODUCTS[hts_6],DIM_PRODUCTS[hts_4],,,)</f>
        <v>8708</v>
      </c>
      <c r="I8732" t="str" cm="1">
        <f t="array" ref="I8732">_xlfn.XLOOKUP(FACT_IMPORTS[[#This Row],[country_name]],DIM_COUNTRY[[#All],[Column2]],DIM_COUNTRY[[#All],[Column3]],,,)</f>
        <v>Major_Non-USMCA_Non-China</v>
      </c>
    </row>
    <row r="8733" spans="1:9" x14ac:dyDescent="0.4">
      <c r="A8733" t="s">
        <v>71</v>
      </c>
      <c r="B8733" s="1">
        <v>45870</v>
      </c>
      <c r="C8733">
        <v>870829</v>
      </c>
      <c r="D8733" t="s">
        <v>176</v>
      </c>
      <c r="E8733">
        <v>3691087</v>
      </c>
      <c r="F8733">
        <v>342956</v>
      </c>
      <c r="G8733">
        <v>91377</v>
      </c>
      <c r="H8733">
        <f>_xlfn.XLOOKUP(FACT_IMPORTS[[#This Row],[hts_6]],DIM_PRODUCTS[hts_6],DIM_PRODUCTS[hts_4],,,)</f>
        <v>8708</v>
      </c>
      <c r="I8733" t="str" cm="1">
        <f t="array" ref="I8733">_xlfn.XLOOKUP(FACT_IMPORTS[[#This Row],[country_name]],DIM_COUNTRY[[#All],[Column2]],DIM_COUNTRY[[#All],[Column3]],,,)</f>
        <v>Major_Non-USMCA_Non-China</v>
      </c>
    </row>
    <row r="8734" spans="1:9" x14ac:dyDescent="0.4">
      <c r="A8734" t="s">
        <v>71</v>
      </c>
      <c r="B8734" s="1">
        <v>45870</v>
      </c>
      <c r="C8734">
        <v>870830</v>
      </c>
      <c r="D8734" t="s">
        <v>176</v>
      </c>
      <c r="E8734">
        <v>1389842</v>
      </c>
      <c r="F8734">
        <v>172922</v>
      </c>
      <c r="G8734">
        <v>20655</v>
      </c>
      <c r="H8734">
        <f>_xlfn.XLOOKUP(FACT_IMPORTS[[#This Row],[hts_6]],DIM_PRODUCTS[hts_6],DIM_PRODUCTS[hts_4],,,)</f>
        <v>8708</v>
      </c>
      <c r="I8734" t="str" cm="1">
        <f t="array" ref="I8734">_xlfn.XLOOKUP(FACT_IMPORTS[[#This Row],[country_name]],DIM_COUNTRY[[#All],[Column2]],DIM_COUNTRY[[#All],[Column3]],,,)</f>
        <v>Major_Non-USMCA_Non-China</v>
      </c>
    </row>
    <row r="8735" spans="1:9" x14ac:dyDescent="0.4">
      <c r="A8735" t="s">
        <v>71</v>
      </c>
      <c r="B8735" s="1">
        <v>45870</v>
      </c>
      <c r="C8735">
        <v>870840</v>
      </c>
      <c r="D8735" t="s">
        <v>176</v>
      </c>
      <c r="E8735">
        <v>4891002</v>
      </c>
      <c r="F8735">
        <v>4652</v>
      </c>
      <c r="G8735">
        <v>167470</v>
      </c>
      <c r="H8735">
        <f>_xlfn.XLOOKUP(FACT_IMPORTS[[#This Row],[hts_6]],DIM_PRODUCTS[hts_6],DIM_PRODUCTS[hts_4],,,)</f>
        <v>8708</v>
      </c>
      <c r="I8735" t="str" cm="1">
        <f t="array" ref="I8735">_xlfn.XLOOKUP(FACT_IMPORTS[[#This Row],[country_name]],DIM_COUNTRY[[#All],[Column2]],DIM_COUNTRY[[#All],[Column3]],,,)</f>
        <v>Major_Non-USMCA_Non-China</v>
      </c>
    </row>
    <row r="8736" spans="1:9" x14ac:dyDescent="0.4">
      <c r="A8736" t="s">
        <v>71</v>
      </c>
      <c r="B8736" s="1">
        <v>45870</v>
      </c>
      <c r="C8736">
        <v>870850</v>
      </c>
      <c r="D8736" t="s">
        <v>176</v>
      </c>
      <c r="E8736">
        <v>0</v>
      </c>
      <c r="F8736">
        <v>0</v>
      </c>
      <c r="G8736">
        <v>0</v>
      </c>
      <c r="H8736">
        <f>_xlfn.XLOOKUP(FACT_IMPORTS[[#This Row],[hts_6]],DIM_PRODUCTS[hts_6],DIM_PRODUCTS[hts_4],,,)</f>
        <v>8708</v>
      </c>
      <c r="I8736" t="str" cm="1">
        <f t="array" ref="I8736">_xlfn.XLOOKUP(FACT_IMPORTS[[#This Row],[country_name]],DIM_COUNTRY[[#All],[Column2]],DIM_COUNTRY[[#All],[Column3]],,,)</f>
        <v>Major_Non-USMCA_Non-China</v>
      </c>
    </row>
    <row r="8737" spans="1:9" x14ac:dyDescent="0.4">
      <c r="A8737" t="s">
        <v>71</v>
      </c>
      <c r="B8737" s="1">
        <v>45870</v>
      </c>
      <c r="C8737">
        <v>870870</v>
      </c>
      <c r="D8737" t="s">
        <v>176</v>
      </c>
      <c r="E8737">
        <v>0</v>
      </c>
      <c r="F8737">
        <v>0</v>
      </c>
      <c r="G8737">
        <v>0</v>
      </c>
      <c r="H8737">
        <f>_xlfn.XLOOKUP(FACT_IMPORTS[[#This Row],[hts_6]],DIM_PRODUCTS[hts_6],DIM_PRODUCTS[hts_4],,,)</f>
        <v>8708</v>
      </c>
      <c r="I8737" t="str" cm="1">
        <f t="array" ref="I8737">_xlfn.XLOOKUP(FACT_IMPORTS[[#This Row],[country_name]],DIM_COUNTRY[[#All],[Column2]],DIM_COUNTRY[[#All],[Column3]],,,)</f>
        <v>Major_Non-USMCA_Non-China</v>
      </c>
    </row>
    <row r="8738" spans="1:9" x14ac:dyDescent="0.4">
      <c r="A8738" t="s">
        <v>71</v>
      </c>
      <c r="B8738" s="1">
        <v>45870</v>
      </c>
      <c r="C8738">
        <v>870880</v>
      </c>
      <c r="D8738" t="s">
        <v>176</v>
      </c>
      <c r="E8738">
        <v>240438</v>
      </c>
      <c r="F8738">
        <v>7329</v>
      </c>
      <c r="G8738">
        <v>2089</v>
      </c>
      <c r="H8738">
        <f>_xlfn.XLOOKUP(FACT_IMPORTS[[#This Row],[hts_6]],DIM_PRODUCTS[hts_6],DIM_PRODUCTS[hts_4],,,)</f>
        <v>8708</v>
      </c>
      <c r="I8738" t="str" cm="1">
        <f t="array" ref="I8738">_xlfn.XLOOKUP(FACT_IMPORTS[[#This Row],[country_name]],DIM_COUNTRY[[#All],[Column2]],DIM_COUNTRY[[#All],[Column3]],,,)</f>
        <v>Major_Non-USMCA_Non-China</v>
      </c>
    </row>
    <row r="8739" spans="1:9" x14ac:dyDescent="0.4">
      <c r="A8739" t="s">
        <v>71</v>
      </c>
      <c r="B8739" s="1">
        <v>45870</v>
      </c>
      <c r="C8739">
        <v>870891</v>
      </c>
      <c r="D8739" t="s">
        <v>176</v>
      </c>
      <c r="E8739">
        <v>128606</v>
      </c>
      <c r="F8739">
        <v>135308</v>
      </c>
      <c r="G8739">
        <v>1773</v>
      </c>
      <c r="H8739">
        <f>_xlfn.XLOOKUP(FACT_IMPORTS[[#This Row],[hts_6]],DIM_PRODUCTS[hts_6],DIM_PRODUCTS[hts_4],,,)</f>
        <v>8708</v>
      </c>
      <c r="I8739" t="str" cm="1">
        <f t="array" ref="I8739">_xlfn.XLOOKUP(FACT_IMPORTS[[#This Row],[country_name]],DIM_COUNTRY[[#All],[Column2]],DIM_COUNTRY[[#All],[Column3]],,,)</f>
        <v>Major_Non-USMCA_Non-China</v>
      </c>
    </row>
    <row r="8740" spans="1:9" x14ac:dyDescent="0.4">
      <c r="A8740" t="s">
        <v>71</v>
      </c>
      <c r="B8740" s="1">
        <v>45870</v>
      </c>
      <c r="C8740">
        <v>870892</v>
      </c>
      <c r="D8740" t="s">
        <v>176</v>
      </c>
      <c r="E8740">
        <v>0</v>
      </c>
      <c r="F8740">
        <v>0</v>
      </c>
      <c r="G8740">
        <v>0</v>
      </c>
      <c r="H8740">
        <f>_xlfn.XLOOKUP(FACT_IMPORTS[[#This Row],[hts_6]],DIM_PRODUCTS[hts_6],DIM_PRODUCTS[hts_4],,,)</f>
        <v>8708</v>
      </c>
      <c r="I8740" t="str" cm="1">
        <f t="array" ref="I8740">_xlfn.XLOOKUP(FACT_IMPORTS[[#This Row],[country_name]],DIM_COUNTRY[[#All],[Column2]],DIM_COUNTRY[[#All],[Column3]],,,)</f>
        <v>Major_Non-USMCA_Non-China</v>
      </c>
    </row>
    <row r="8741" spans="1:9" x14ac:dyDescent="0.4">
      <c r="A8741" t="s">
        <v>71</v>
      </c>
      <c r="B8741" s="1">
        <v>45870</v>
      </c>
      <c r="C8741">
        <v>870893</v>
      </c>
      <c r="D8741" t="s">
        <v>176</v>
      </c>
      <c r="E8741">
        <v>839264</v>
      </c>
      <c r="F8741">
        <v>306640</v>
      </c>
      <c r="G8741">
        <v>19896</v>
      </c>
      <c r="H8741">
        <f>_xlfn.XLOOKUP(FACT_IMPORTS[[#This Row],[hts_6]],DIM_PRODUCTS[hts_6],DIM_PRODUCTS[hts_4],,,)</f>
        <v>8708</v>
      </c>
      <c r="I8741" t="str" cm="1">
        <f t="array" ref="I8741">_xlfn.XLOOKUP(FACT_IMPORTS[[#This Row],[country_name]],DIM_COUNTRY[[#All],[Column2]],DIM_COUNTRY[[#All],[Column3]],,,)</f>
        <v>Major_Non-USMCA_Non-China</v>
      </c>
    </row>
    <row r="8742" spans="1:9" x14ac:dyDescent="0.4">
      <c r="A8742" t="s">
        <v>71</v>
      </c>
      <c r="B8742" s="1">
        <v>45870</v>
      </c>
      <c r="C8742">
        <v>870894</v>
      </c>
      <c r="D8742" t="s">
        <v>176</v>
      </c>
      <c r="E8742">
        <v>8865</v>
      </c>
      <c r="F8742">
        <v>19</v>
      </c>
      <c r="G8742">
        <v>609</v>
      </c>
      <c r="H8742">
        <f>_xlfn.XLOOKUP(FACT_IMPORTS[[#This Row],[hts_6]],DIM_PRODUCTS[hts_6],DIM_PRODUCTS[hts_4],,,)</f>
        <v>8708</v>
      </c>
      <c r="I8742" t="str" cm="1">
        <f t="array" ref="I8742">_xlfn.XLOOKUP(FACT_IMPORTS[[#This Row],[country_name]],DIM_COUNTRY[[#All],[Column2]],DIM_COUNTRY[[#All],[Column3]],,,)</f>
        <v>Major_Non-USMCA_Non-China</v>
      </c>
    </row>
    <row r="8743" spans="1:9" x14ac:dyDescent="0.4">
      <c r="A8743" t="s">
        <v>71</v>
      </c>
      <c r="B8743" s="1">
        <v>45870</v>
      </c>
      <c r="C8743">
        <v>870895</v>
      </c>
      <c r="D8743" t="s">
        <v>176</v>
      </c>
      <c r="E8743">
        <v>0</v>
      </c>
      <c r="F8743">
        <v>0</v>
      </c>
      <c r="G8743">
        <v>0</v>
      </c>
      <c r="H8743">
        <f>_xlfn.XLOOKUP(FACT_IMPORTS[[#This Row],[hts_6]],DIM_PRODUCTS[hts_6],DIM_PRODUCTS[hts_4],,,)</f>
        <v>8708</v>
      </c>
      <c r="I8743" t="str" cm="1">
        <f t="array" ref="I8743">_xlfn.XLOOKUP(FACT_IMPORTS[[#This Row],[country_name]],DIM_COUNTRY[[#All],[Column2]],DIM_COUNTRY[[#All],[Column3]],,,)</f>
        <v>Major_Non-USMCA_Non-China</v>
      </c>
    </row>
    <row r="8744" spans="1:9" x14ac:dyDescent="0.4">
      <c r="A8744" t="s">
        <v>71</v>
      </c>
      <c r="B8744" s="1">
        <v>45870</v>
      </c>
      <c r="C8744">
        <v>870899</v>
      </c>
      <c r="D8744" t="s">
        <v>176</v>
      </c>
      <c r="E8744">
        <v>3508148</v>
      </c>
      <c r="F8744">
        <v>2772313</v>
      </c>
      <c r="G8744">
        <v>141796</v>
      </c>
      <c r="H8744">
        <f>_xlfn.XLOOKUP(FACT_IMPORTS[[#This Row],[hts_6]],DIM_PRODUCTS[hts_6],DIM_PRODUCTS[hts_4],,,)</f>
        <v>8708</v>
      </c>
      <c r="I8744" t="str" cm="1">
        <f t="array" ref="I8744">_xlfn.XLOOKUP(FACT_IMPORTS[[#This Row],[country_name]],DIM_COUNTRY[[#All],[Column2]],DIM_COUNTRY[[#All],[Column3]],,,)</f>
        <v>Major_Non-USMCA_Non-China</v>
      </c>
    </row>
    <row r="8745" spans="1:9" x14ac:dyDescent="0.4">
      <c r="A8745" t="s">
        <v>71</v>
      </c>
      <c r="B8745" s="1">
        <v>45870</v>
      </c>
      <c r="C8745">
        <v>940120</v>
      </c>
      <c r="D8745" t="s">
        <v>176</v>
      </c>
      <c r="E8745">
        <v>11947</v>
      </c>
      <c r="F8745">
        <v>4</v>
      </c>
      <c r="G8745">
        <v>468</v>
      </c>
      <c r="H8745">
        <f>_xlfn.XLOOKUP(FACT_IMPORTS[[#This Row],[hts_6]],DIM_PRODUCTS[hts_6],DIM_PRODUCTS[hts_4],,,)</f>
        <v>9401</v>
      </c>
      <c r="I8745" t="str" cm="1">
        <f t="array" ref="I8745">_xlfn.XLOOKUP(FACT_IMPORTS[[#This Row],[country_name]],DIM_COUNTRY[[#All],[Column2]],DIM_COUNTRY[[#All],[Column3]],,,)</f>
        <v>Major_Non-USMCA_Non-China</v>
      </c>
    </row>
    <row r="8746" spans="1:9" x14ac:dyDescent="0.4">
      <c r="A8746" t="s">
        <v>71</v>
      </c>
      <c r="B8746" s="1">
        <v>45901</v>
      </c>
      <c r="C8746">
        <v>392630</v>
      </c>
      <c r="D8746" t="s">
        <v>176</v>
      </c>
      <c r="E8746">
        <v>0</v>
      </c>
      <c r="F8746">
        <v>0</v>
      </c>
      <c r="G8746">
        <v>0</v>
      </c>
      <c r="H8746">
        <f>_xlfn.XLOOKUP(FACT_IMPORTS[[#This Row],[hts_6]],DIM_PRODUCTS[hts_6],DIM_PRODUCTS[hts_4],,,)</f>
        <v>3926</v>
      </c>
      <c r="I8746" t="str" cm="1">
        <f t="array" ref="I8746">_xlfn.XLOOKUP(FACT_IMPORTS[[#This Row],[country_name]],DIM_COUNTRY[[#All],[Column2]],DIM_COUNTRY[[#All],[Column3]],,,)</f>
        <v>Major_Non-USMCA_Non-China</v>
      </c>
    </row>
    <row r="8747" spans="1:9" x14ac:dyDescent="0.4">
      <c r="A8747" t="s">
        <v>71</v>
      </c>
      <c r="B8747" s="1">
        <v>45901</v>
      </c>
      <c r="C8747">
        <v>401110</v>
      </c>
      <c r="D8747" t="s">
        <v>176</v>
      </c>
      <c r="E8747">
        <v>0</v>
      </c>
      <c r="F8747">
        <v>0</v>
      </c>
      <c r="G8747">
        <v>0</v>
      </c>
      <c r="H8747">
        <f>_xlfn.XLOOKUP(FACT_IMPORTS[[#This Row],[hts_6]],DIM_PRODUCTS[hts_6],DIM_PRODUCTS[hts_4],,,)</f>
        <v>4011</v>
      </c>
      <c r="I8747" t="str" cm="1">
        <f t="array" ref="I8747">_xlfn.XLOOKUP(FACT_IMPORTS[[#This Row],[country_name]],DIM_COUNTRY[[#All],[Column2]],DIM_COUNTRY[[#All],[Column3]],,,)</f>
        <v>Major_Non-USMCA_Non-China</v>
      </c>
    </row>
    <row r="8748" spans="1:9" x14ac:dyDescent="0.4">
      <c r="A8748" t="s">
        <v>71</v>
      </c>
      <c r="B8748" s="1">
        <v>45901</v>
      </c>
      <c r="C8748">
        <v>401120</v>
      </c>
      <c r="D8748" t="s">
        <v>176</v>
      </c>
      <c r="E8748">
        <v>0</v>
      </c>
      <c r="F8748">
        <v>0</v>
      </c>
      <c r="G8748">
        <v>0</v>
      </c>
      <c r="H8748">
        <f>_xlfn.XLOOKUP(FACT_IMPORTS[[#This Row],[hts_6]],DIM_PRODUCTS[hts_6],DIM_PRODUCTS[hts_4],,,)</f>
        <v>4011</v>
      </c>
      <c r="I8748" t="str" cm="1">
        <f t="array" ref="I8748">_xlfn.XLOOKUP(FACT_IMPORTS[[#This Row],[country_name]],DIM_COUNTRY[[#All],[Column2]],DIM_COUNTRY[[#All],[Column3]],,,)</f>
        <v>Major_Non-USMCA_Non-China</v>
      </c>
    </row>
    <row r="8749" spans="1:9" x14ac:dyDescent="0.4">
      <c r="A8749" t="s">
        <v>71</v>
      </c>
      <c r="B8749" s="1">
        <v>45901</v>
      </c>
      <c r="C8749">
        <v>401190</v>
      </c>
      <c r="D8749" t="s">
        <v>176</v>
      </c>
      <c r="E8749">
        <v>0</v>
      </c>
      <c r="F8749">
        <v>0</v>
      </c>
      <c r="G8749">
        <v>0</v>
      </c>
      <c r="H8749">
        <f>_xlfn.XLOOKUP(FACT_IMPORTS[[#This Row],[hts_6]],DIM_PRODUCTS[hts_6],DIM_PRODUCTS[hts_4],,,)</f>
        <v>4011</v>
      </c>
      <c r="I8749" t="str" cm="1">
        <f t="array" ref="I8749">_xlfn.XLOOKUP(FACT_IMPORTS[[#This Row],[country_name]],DIM_COUNTRY[[#All],[Column2]],DIM_COUNTRY[[#All],[Column3]],,,)</f>
        <v>Major_Non-USMCA_Non-China</v>
      </c>
    </row>
    <row r="8750" spans="1:9" x14ac:dyDescent="0.4">
      <c r="A8750" t="s">
        <v>71</v>
      </c>
      <c r="B8750" s="1">
        <v>45901</v>
      </c>
      <c r="C8750">
        <v>700711</v>
      </c>
      <c r="D8750" t="s">
        <v>176</v>
      </c>
      <c r="E8750">
        <v>23796</v>
      </c>
      <c r="F8750">
        <v>1082</v>
      </c>
      <c r="G8750">
        <v>512</v>
      </c>
      <c r="H8750">
        <f>_xlfn.XLOOKUP(FACT_IMPORTS[[#This Row],[hts_6]],DIM_PRODUCTS[hts_6],DIM_PRODUCTS[hts_4],,,)</f>
        <v>7007</v>
      </c>
      <c r="I8750" t="str" cm="1">
        <f t="array" ref="I8750">_xlfn.XLOOKUP(FACT_IMPORTS[[#This Row],[country_name]],DIM_COUNTRY[[#All],[Column2]],DIM_COUNTRY[[#All],[Column3]],,,)</f>
        <v>Major_Non-USMCA_Non-China</v>
      </c>
    </row>
    <row r="8751" spans="1:9" x14ac:dyDescent="0.4">
      <c r="A8751" t="s">
        <v>71</v>
      </c>
      <c r="B8751" s="1">
        <v>45901</v>
      </c>
      <c r="C8751">
        <v>700721</v>
      </c>
      <c r="D8751" t="s">
        <v>176</v>
      </c>
      <c r="E8751">
        <v>2518</v>
      </c>
      <c r="F8751">
        <v>1</v>
      </c>
      <c r="G8751">
        <v>36</v>
      </c>
      <c r="H8751">
        <f>_xlfn.XLOOKUP(FACT_IMPORTS[[#This Row],[hts_6]],DIM_PRODUCTS[hts_6],DIM_PRODUCTS[hts_4],,,)</f>
        <v>7007</v>
      </c>
      <c r="I8751" t="str" cm="1">
        <f t="array" ref="I8751">_xlfn.XLOOKUP(FACT_IMPORTS[[#This Row],[country_name]],DIM_COUNTRY[[#All],[Column2]],DIM_COUNTRY[[#All],[Column3]],,,)</f>
        <v>Major_Non-USMCA_Non-China</v>
      </c>
    </row>
    <row r="8752" spans="1:9" x14ac:dyDescent="0.4">
      <c r="A8752" t="s">
        <v>71</v>
      </c>
      <c r="B8752" s="1">
        <v>45901</v>
      </c>
      <c r="C8752">
        <v>700910</v>
      </c>
      <c r="D8752" t="s">
        <v>176</v>
      </c>
      <c r="E8752">
        <v>0</v>
      </c>
      <c r="F8752">
        <v>0</v>
      </c>
      <c r="G8752">
        <v>0</v>
      </c>
      <c r="H8752">
        <f>_xlfn.XLOOKUP(FACT_IMPORTS[[#This Row],[hts_6]],DIM_PRODUCTS[hts_6],DIM_PRODUCTS[hts_4],,,)</f>
        <v>7009</v>
      </c>
      <c r="I8752" t="str" cm="1">
        <f t="array" ref="I8752">_xlfn.XLOOKUP(FACT_IMPORTS[[#This Row],[country_name]],DIM_COUNTRY[[#All],[Column2]],DIM_COUNTRY[[#All],[Column3]],,,)</f>
        <v>Major_Non-USMCA_Non-China</v>
      </c>
    </row>
    <row r="8753" spans="1:9" x14ac:dyDescent="0.4">
      <c r="A8753" t="s">
        <v>71</v>
      </c>
      <c r="B8753" s="1">
        <v>45901</v>
      </c>
      <c r="C8753">
        <v>830230</v>
      </c>
      <c r="D8753" t="s">
        <v>176</v>
      </c>
      <c r="E8753">
        <v>99464</v>
      </c>
      <c r="F8753">
        <v>5365</v>
      </c>
      <c r="G8753">
        <v>2373</v>
      </c>
      <c r="H8753">
        <f>_xlfn.XLOOKUP(FACT_IMPORTS[[#This Row],[hts_6]],DIM_PRODUCTS[hts_6],DIM_PRODUCTS[hts_4],,,)</f>
        <v>8302</v>
      </c>
      <c r="I8753" t="str" cm="1">
        <f t="array" ref="I8753">_xlfn.XLOOKUP(FACT_IMPORTS[[#This Row],[country_name]],DIM_COUNTRY[[#All],[Column2]],DIM_COUNTRY[[#All],[Column3]],,,)</f>
        <v>Major_Non-USMCA_Non-China</v>
      </c>
    </row>
    <row r="8754" spans="1:9" x14ac:dyDescent="0.4">
      <c r="A8754" t="s">
        <v>71</v>
      </c>
      <c r="B8754" s="1">
        <v>45901</v>
      </c>
      <c r="C8754">
        <v>840732</v>
      </c>
      <c r="D8754" t="s">
        <v>176</v>
      </c>
      <c r="E8754">
        <v>17960</v>
      </c>
      <c r="F8754">
        <v>69</v>
      </c>
      <c r="G8754">
        <v>4500</v>
      </c>
      <c r="H8754">
        <f>_xlfn.XLOOKUP(FACT_IMPORTS[[#This Row],[hts_6]],DIM_PRODUCTS[hts_6],DIM_PRODUCTS[hts_4],,,)</f>
        <v>8407</v>
      </c>
      <c r="I8754" t="str" cm="1">
        <f t="array" ref="I8754">_xlfn.XLOOKUP(FACT_IMPORTS[[#This Row],[country_name]],DIM_COUNTRY[[#All],[Column2]],DIM_COUNTRY[[#All],[Column3]],,,)</f>
        <v>Major_Non-USMCA_Non-China</v>
      </c>
    </row>
    <row r="8755" spans="1:9" x14ac:dyDescent="0.4">
      <c r="A8755" t="s">
        <v>71</v>
      </c>
      <c r="B8755" s="1">
        <v>45901</v>
      </c>
      <c r="C8755">
        <v>840733</v>
      </c>
      <c r="D8755" t="s">
        <v>176</v>
      </c>
      <c r="E8755">
        <v>0</v>
      </c>
      <c r="F8755">
        <v>0</v>
      </c>
      <c r="G8755">
        <v>0</v>
      </c>
      <c r="H8755">
        <f>_xlfn.XLOOKUP(FACT_IMPORTS[[#This Row],[hts_6]],DIM_PRODUCTS[hts_6],DIM_PRODUCTS[hts_4],,,)</f>
        <v>8407</v>
      </c>
      <c r="I8755" t="str" cm="1">
        <f t="array" ref="I8755">_xlfn.XLOOKUP(FACT_IMPORTS[[#This Row],[country_name]],DIM_COUNTRY[[#All],[Column2]],DIM_COUNTRY[[#All],[Column3]],,,)</f>
        <v>Major_Non-USMCA_Non-China</v>
      </c>
    </row>
    <row r="8756" spans="1:9" x14ac:dyDescent="0.4">
      <c r="A8756" t="s">
        <v>71</v>
      </c>
      <c r="B8756" s="1">
        <v>45901</v>
      </c>
      <c r="C8756">
        <v>840734</v>
      </c>
      <c r="D8756" t="s">
        <v>176</v>
      </c>
      <c r="E8756">
        <v>23637</v>
      </c>
      <c r="F8756">
        <v>6</v>
      </c>
      <c r="G8756">
        <v>803</v>
      </c>
      <c r="H8756">
        <f>_xlfn.XLOOKUP(FACT_IMPORTS[[#This Row],[hts_6]],DIM_PRODUCTS[hts_6],DIM_PRODUCTS[hts_4],,,)</f>
        <v>8407</v>
      </c>
      <c r="I8756" t="str" cm="1">
        <f t="array" ref="I8756">_xlfn.XLOOKUP(FACT_IMPORTS[[#This Row],[country_name]],DIM_COUNTRY[[#All],[Column2]],DIM_COUNTRY[[#All],[Column3]],,,)</f>
        <v>Major_Non-USMCA_Non-China</v>
      </c>
    </row>
    <row r="8757" spans="1:9" x14ac:dyDescent="0.4">
      <c r="A8757" t="s">
        <v>71</v>
      </c>
      <c r="B8757" s="1">
        <v>45901</v>
      </c>
      <c r="C8757">
        <v>840790</v>
      </c>
      <c r="D8757" t="s">
        <v>176</v>
      </c>
      <c r="E8757">
        <v>0</v>
      </c>
      <c r="F8757">
        <v>0</v>
      </c>
      <c r="G8757">
        <v>0</v>
      </c>
      <c r="H8757">
        <f>_xlfn.XLOOKUP(FACT_IMPORTS[[#This Row],[hts_6]],DIM_PRODUCTS[hts_6],DIM_PRODUCTS[hts_4],,,)</f>
        <v>8407</v>
      </c>
      <c r="I8757" t="str" cm="1">
        <f t="array" ref="I8757">_xlfn.XLOOKUP(FACT_IMPORTS[[#This Row],[country_name]],DIM_COUNTRY[[#All],[Column2]],DIM_COUNTRY[[#All],[Column3]],,,)</f>
        <v>Major_Non-USMCA_Non-China</v>
      </c>
    </row>
    <row r="8758" spans="1:9" x14ac:dyDescent="0.4">
      <c r="A8758" t="s">
        <v>71</v>
      </c>
      <c r="B8758" s="1">
        <v>45901</v>
      </c>
      <c r="C8758">
        <v>840820</v>
      </c>
      <c r="D8758" t="s">
        <v>176</v>
      </c>
      <c r="E8758">
        <v>121800</v>
      </c>
      <c r="F8758">
        <v>3</v>
      </c>
      <c r="G8758">
        <v>256</v>
      </c>
      <c r="H8758">
        <f>_xlfn.XLOOKUP(FACT_IMPORTS[[#This Row],[hts_6]],DIM_PRODUCTS[hts_6],DIM_PRODUCTS[hts_4],,,)</f>
        <v>8408</v>
      </c>
      <c r="I8758" t="str" cm="1">
        <f t="array" ref="I8758">_xlfn.XLOOKUP(FACT_IMPORTS[[#This Row],[country_name]],DIM_COUNTRY[[#All],[Column2]],DIM_COUNTRY[[#All],[Column3]],,,)</f>
        <v>Major_Non-USMCA_Non-China</v>
      </c>
    </row>
    <row r="8759" spans="1:9" x14ac:dyDescent="0.4">
      <c r="A8759" t="s">
        <v>71</v>
      </c>
      <c r="B8759" s="1">
        <v>45901</v>
      </c>
      <c r="C8759">
        <v>840890</v>
      </c>
      <c r="D8759" t="s">
        <v>176</v>
      </c>
      <c r="E8759">
        <v>4158</v>
      </c>
      <c r="F8759">
        <v>2</v>
      </c>
      <c r="G8759">
        <v>101</v>
      </c>
      <c r="H8759">
        <f>_xlfn.XLOOKUP(FACT_IMPORTS[[#This Row],[hts_6]],DIM_PRODUCTS[hts_6],DIM_PRODUCTS[hts_4],,,)</f>
        <v>8408</v>
      </c>
      <c r="I8759" t="str" cm="1">
        <f t="array" ref="I8759">_xlfn.XLOOKUP(FACT_IMPORTS[[#This Row],[country_name]],DIM_COUNTRY[[#All],[Column2]],DIM_COUNTRY[[#All],[Column3]],,,)</f>
        <v>Major_Non-USMCA_Non-China</v>
      </c>
    </row>
    <row r="8760" spans="1:9" x14ac:dyDescent="0.4">
      <c r="A8760" t="s">
        <v>71</v>
      </c>
      <c r="B8760" s="1">
        <v>45901</v>
      </c>
      <c r="C8760">
        <v>840991</v>
      </c>
      <c r="D8760" t="s">
        <v>176</v>
      </c>
      <c r="E8760">
        <v>7197159</v>
      </c>
      <c r="F8760">
        <v>488261</v>
      </c>
      <c r="G8760">
        <v>153794</v>
      </c>
      <c r="H8760">
        <f>_xlfn.XLOOKUP(FACT_IMPORTS[[#This Row],[hts_6]],DIM_PRODUCTS[hts_6],DIM_PRODUCTS[hts_4],,,)</f>
        <v>8409</v>
      </c>
      <c r="I8760" t="str" cm="1">
        <f t="array" ref="I8760">_xlfn.XLOOKUP(FACT_IMPORTS[[#This Row],[country_name]],DIM_COUNTRY[[#All],[Column2]],DIM_COUNTRY[[#All],[Column3]],,,)</f>
        <v>Major_Non-USMCA_Non-China</v>
      </c>
    </row>
    <row r="8761" spans="1:9" x14ac:dyDescent="0.4">
      <c r="A8761" t="s">
        <v>71</v>
      </c>
      <c r="B8761" s="1">
        <v>45901</v>
      </c>
      <c r="C8761">
        <v>840999</v>
      </c>
      <c r="D8761" t="s">
        <v>176</v>
      </c>
      <c r="E8761">
        <v>2328</v>
      </c>
      <c r="F8761">
        <v>2</v>
      </c>
      <c r="G8761">
        <v>27</v>
      </c>
      <c r="H8761">
        <f>_xlfn.XLOOKUP(FACT_IMPORTS[[#This Row],[hts_6]],DIM_PRODUCTS[hts_6],DIM_PRODUCTS[hts_4],,,)</f>
        <v>8409</v>
      </c>
      <c r="I8761" t="str" cm="1">
        <f t="array" ref="I8761">_xlfn.XLOOKUP(FACT_IMPORTS[[#This Row],[country_name]],DIM_COUNTRY[[#All],[Column2]],DIM_COUNTRY[[#All],[Column3]],,,)</f>
        <v>Major_Non-USMCA_Non-China</v>
      </c>
    </row>
    <row r="8762" spans="1:9" x14ac:dyDescent="0.4">
      <c r="A8762" t="s">
        <v>71</v>
      </c>
      <c r="B8762" s="1">
        <v>45901</v>
      </c>
      <c r="C8762">
        <v>841330</v>
      </c>
      <c r="D8762" t="s">
        <v>176</v>
      </c>
      <c r="E8762">
        <v>1510828</v>
      </c>
      <c r="F8762">
        <v>43455</v>
      </c>
      <c r="G8762">
        <v>15362</v>
      </c>
      <c r="H8762">
        <f>_xlfn.XLOOKUP(FACT_IMPORTS[[#This Row],[hts_6]],DIM_PRODUCTS[hts_6],DIM_PRODUCTS[hts_4],,,)</f>
        <v>8413</v>
      </c>
      <c r="I8762" t="str" cm="1">
        <f t="array" ref="I8762">_xlfn.XLOOKUP(FACT_IMPORTS[[#This Row],[country_name]],DIM_COUNTRY[[#All],[Column2]],DIM_COUNTRY[[#All],[Column3]],,,)</f>
        <v>Major_Non-USMCA_Non-China</v>
      </c>
    </row>
    <row r="8763" spans="1:9" x14ac:dyDescent="0.4">
      <c r="A8763" t="s">
        <v>71</v>
      </c>
      <c r="B8763" s="1">
        <v>45901</v>
      </c>
      <c r="C8763">
        <v>841520</v>
      </c>
      <c r="D8763" t="s">
        <v>176</v>
      </c>
      <c r="E8763">
        <v>0</v>
      </c>
      <c r="F8763">
        <v>0</v>
      </c>
      <c r="G8763">
        <v>0</v>
      </c>
      <c r="H8763">
        <f>_xlfn.XLOOKUP(FACT_IMPORTS[[#This Row],[hts_6]],DIM_PRODUCTS[hts_6],DIM_PRODUCTS[hts_4],,,)</f>
        <v>8415</v>
      </c>
      <c r="I8763" t="str" cm="1">
        <f t="array" ref="I8763">_xlfn.XLOOKUP(FACT_IMPORTS[[#This Row],[country_name]],DIM_COUNTRY[[#All],[Column2]],DIM_COUNTRY[[#All],[Column3]],,,)</f>
        <v>Major_Non-USMCA_Non-China</v>
      </c>
    </row>
    <row r="8764" spans="1:9" x14ac:dyDescent="0.4">
      <c r="A8764" t="s">
        <v>71</v>
      </c>
      <c r="B8764" s="1">
        <v>45901</v>
      </c>
      <c r="C8764">
        <v>842132</v>
      </c>
      <c r="D8764" t="s">
        <v>176</v>
      </c>
      <c r="E8764">
        <v>19880</v>
      </c>
      <c r="F8764">
        <v>7</v>
      </c>
      <c r="G8764">
        <v>91</v>
      </c>
      <c r="H8764">
        <f>_xlfn.XLOOKUP(FACT_IMPORTS[[#This Row],[hts_6]],DIM_PRODUCTS[hts_6],DIM_PRODUCTS[hts_4],,,)</f>
        <v>8421</v>
      </c>
      <c r="I8764" t="str" cm="1">
        <f t="array" ref="I8764">_xlfn.XLOOKUP(FACT_IMPORTS[[#This Row],[country_name]],DIM_COUNTRY[[#All],[Column2]],DIM_COUNTRY[[#All],[Column3]],,,)</f>
        <v>Major_Non-USMCA_Non-China</v>
      </c>
    </row>
    <row r="8765" spans="1:9" x14ac:dyDescent="0.4">
      <c r="A8765" t="s">
        <v>71</v>
      </c>
      <c r="B8765" s="1">
        <v>45901</v>
      </c>
      <c r="C8765">
        <v>848210</v>
      </c>
      <c r="D8765" t="s">
        <v>176</v>
      </c>
      <c r="E8765">
        <v>57579</v>
      </c>
      <c r="F8765">
        <v>8861</v>
      </c>
      <c r="G8765">
        <v>1245</v>
      </c>
      <c r="H8765">
        <f>_xlfn.XLOOKUP(FACT_IMPORTS[[#This Row],[hts_6]],DIM_PRODUCTS[hts_6],DIM_PRODUCTS[hts_4],,,)</f>
        <v>8482</v>
      </c>
      <c r="I8765" t="str" cm="1">
        <f t="array" ref="I8765">_xlfn.XLOOKUP(FACT_IMPORTS[[#This Row],[country_name]],DIM_COUNTRY[[#All],[Column2]],DIM_COUNTRY[[#All],[Column3]],,,)</f>
        <v>Major_Non-USMCA_Non-China</v>
      </c>
    </row>
    <row r="8766" spans="1:9" x14ac:dyDescent="0.4">
      <c r="A8766" t="s">
        <v>71</v>
      </c>
      <c r="B8766" s="1">
        <v>45901</v>
      </c>
      <c r="C8766">
        <v>848220</v>
      </c>
      <c r="D8766" t="s">
        <v>176</v>
      </c>
      <c r="E8766">
        <v>94357</v>
      </c>
      <c r="F8766">
        <v>6585</v>
      </c>
      <c r="G8766">
        <v>852</v>
      </c>
      <c r="H8766">
        <f>_xlfn.XLOOKUP(FACT_IMPORTS[[#This Row],[hts_6]],DIM_PRODUCTS[hts_6],DIM_PRODUCTS[hts_4],,,)</f>
        <v>8482</v>
      </c>
      <c r="I8766" t="str" cm="1">
        <f t="array" ref="I8766">_xlfn.XLOOKUP(FACT_IMPORTS[[#This Row],[country_name]],DIM_COUNTRY[[#All],[Column2]],DIM_COUNTRY[[#All],[Column3]],,,)</f>
        <v>Major_Non-USMCA_Non-China</v>
      </c>
    </row>
    <row r="8767" spans="1:9" x14ac:dyDescent="0.4">
      <c r="A8767" t="s">
        <v>71</v>
      </c>
      <c r="B8767" s="1">
        <v>45901</v>
      </c>
      <c r="C8767">
        <v>848310</v>
      </c>
      <c r="D8767" t="s">
        <v>176</v>
      </c>
      <c r="E8767">
        <v>497059</v>
      </c>
      <c r="F8767">
        <v>16845</v>
      </c>
      <c r="G8767">
        <v>21688</v>
      </c>
      <c r="H8767">
        <f>_xlfn.XLOOKUP(FACT_IMPORTS[[#This Row],[hts_6]],DIM_PRODUCTS[hts_6],DIM_PRODUCTS[hts_4],,,)</f>
        <v>8483</v>
      </c>
      <c r="I8767" t="str" cm="1">
        <f t="array" ref="I8767">_xlfn.XLOOKUP(FACT_IMPORTS[[#This Row],[country_name]],DIM_COUNTRY[[#All],[Column2]],DIM_COUNTRY[[#All],[Column3]],,,)</f>
        <v>Major_Non-USMCA_Non-China</v>
      </c>
    </row>
    <row r="8768" spans="1:9" x14ac:dyDescent="0.4">
      <c r="A8768" t="s">
        <v>71</v>
      </c>
      <c r="B8768" s="1">
        <v>45901</v>
      </c>
      <c r="C8768">
        <v>850131</v>
      </c>
      <c r="D8768" t="s">
        <v>176</v>
      </c>
      <c r="E8768">
        <v>2417798</v>
      </c>
      <c r="F8768">
        <v>83545</v>
      </c>
      <c r="G8768">
        <v>31544</v>
      </c>
      <c r="H8768">
        <f>_xlfn.XLOOKUP(FACT_IMPORTS[[#This Row],[hts_6]],DIM_PRODUCTS[hts_6],DIM_PRODUCTS[hts_4],,,)</f>
        <v>8501</v>
      </c>
      <c r="I8768" t="str" cm="1">
        <f t="array" ref="I8768">_xlfn.XLOOKUP(FACT_IMPORTS[[#This Row],[country_name]],DIM_COUNTRY[[#All],[Column2]],DIM_COUNTRY[[#All],[Column3]],,,)</f>
        <v>Major_Non-USMCA_Non-China</v>
      </c>
    </row>
    <row r="8769" spans="1:9" x14ac:dyDescent="0.4">
      <c r="A8769" t="s">
        <v>71</v>
      </c>
      <c r="B8769" s="1">
        <v>45901</v>
      </c>
      <c r="C8769">
        <v>850132</v>
      </c>
      <c r="D8769" t="s">
        <v>176</v>
      </c>
      <c r="E8769">
        <v>0</v>
      </c>
      <c r="F8769">
        <v>0</v>
      </c>
      <c r="G8769">
        <v>0</v>
      </c>
      <c r="H8769">
        <f>_xlfn.XLOOKUP(FACT_IMPORTS[[#This Row],[hts_6]],DIM_PRODUCTS[hts_6],DIM_PRODUCTS[hts_4],,,)</f>
        <v>8501</v>
      </c>
      <c r="I8769" t="str" cm="1">
        <f t="array" ref="I8769">_xlfn.XLOOKUP(FACT_IMPORTS[[#This Row],[country_name]],DIM_COUNTRY[[#All],[Column2]],DIM_COUNTRY[[#All],[Column3]],,,)</f>
        <v>Major_Non-USMCA_Non-China</v>
      </c>
    </row>
    <row r="8770" spans="1:9" x14ac:dyDescent="0.4">
      <c r="A8770" t="s">
        <v>71</v>
      </c>
      <c r="B8770" s="1">
        <v>45901</v>
      </c>
      <c r="C8770">
        <v>850152</v>
      </c>
      <c r="D8770" t="s">
        <v>176</v>
      </c>
      <c r="E8770">
        <v>523631</v>
      </c>
      <c r="F8770">
        <v>788</v>
      </c>
      <c r="G8770">
        <v>4133</v>
      </c>
      <c r="H8770">
        <f>_xlfn.XLOOKUP(FACT_IMPORTS[[#This Row],[hts_6]],DIM_PRODUCTS[hts_6],DIM_PRODUCTS[hts_4],,,)</f>
        <v>8501</v>
      </c>
      <c r="I8770" t="str" cm="1">
        <f t="array" ref="I8770">_xlfn.XLOOKUP(FACT_IMPORTS[[#This Row],[country_name]],DIM_COUNTRY[[#All],[Column2]],DIM_COUNTRY[[#All],[Column3]],,,)</f>
        <v>Major_Non-USMCA_Non-China</v>
      </c>
    </row>
    <row r="8771" spans="1:9" x14ac:dyDescent="0.4">
      <c r="A8771" t="s">
        <v>71</v>
      </c>
      <c r="B8771" s="1">
        <v>45901</v>
      </c>
      <c r="C8771">
        <v>850153</v>
      </c>
      <c r="D8771" t="s">
        <v>176</v>
      </c>
      <c r="E8771">
        <v>200000</v>
      </c>
      <c r="F8771">
        <v>2</v>
      </c>
      <c r="G8771">
        <v>5000</v>
      </c>
      <c r="H8771">
        <f>_xlfn.XLOOKUP(FACT_IMPORTS[[#This Row],[hts_6]],DIM_PRODUCTS[hts_6],DIM_PRODUCTS[hts_4],,,)</f>
        <v>8501</v>
      </c>
      <c r="I8771" t="str" cm="1">
        <f t="array" ref="I8771">_xlfn.XLOOKUP(FACT_IMPORTS[[#This Row],[country_name]],DIM_COUNTRY[[#All],[Column2]],DIM_COUNTRY[[#All],[Column3]],,,)</f>
        <v>Major_Non-USMCA_Non-China</v>
      </c>
    </row>
    <row r="8772" spans="1:9" x14ac:dyDescent="0.4">
      <c r="A8772" t="s">
        <v>71</v>
      </c>
      <c r="B8772" s="1">
        <v>45901</v>
      </c>
      <c r="C8772">
        <v>850161</v>
      </c>
      <c r="D8772" t="s">
        <v>176</v>
      </c>
      <c r="E8772">
        <v>4691</v>
      </c>
      <c r="F8772">
        <v>17</v>
      </c>
      <c r="G8772">
        <v>8</v>
      </c>
      <c r="H8772">
        <f>_xlfn.XLOOKUP(FACT_IMPORTS[[#This Row],[hts_6]],DIM_PRODUCTS[hts_6],DIM_PRODUCTS[hts_4],,,)</f>
        <v>8501</v>
      </c>
      <c r="I8772" t="str" cm="1">
        <f t="array" ref="I8772">_xlfn.XLOOKUP(FACT_IMPORTS[[#This Row],[country_name]],DIM_COUNTRY[[#All],[Column2]],DIM_COUNTRY[[#All],[Column3]],,,)</f>
        <v>Major_Non-USMCA_Non-China</v>
      </c>
    </row>
    <row r="8773" spans="1:9" x14ac:dyDescent="0.4">
      <c r="A8773" t="s">
        <v>71</v>
      </c>
      <c r="B8773" s="1">
        <v>45901</v>
      </c>
      <c r="C8773">
        <v>850440</v>
      </c>
      <c r="D8773" t="s">
        <v>176</v>
      </c>
      <c r="E8773">
        <v>669572</v>
      </c>
      <c r="F8773">
        <v>693</v>
      </c>
      <c r="G8773">
        <v>7080</v>
      </c>
      <c r="H8773">
        <f>_xlfn.XLOOKUP(FACT_IMPORTS[[#This Row],[hts_6]],DIM_PRODUCTS[hts_6],DIM_PRODUCTS[hts_4],,,)</f>
        <v>8504</v>
      </c>
      <c r="I8773" t="str" cm="1">
        <f t="array" ref="I8773">_xlfn.XLOOKUP(FACT_IMPORTS[[#This Row],[country_name]],DIM_COUNTRY[[#All],[Column2]],DIM_COUNTRY[[#All],[Column3]],,,)</f>
        <v>Major_Non-USMCA_Non-China</v>
      </c>
    </row>
    <row r="8774" spans="1:9" x14ac:dyDescent="0.4">
      <c r="A8774" t="s">
        <v>71</v>
      </c>
      <c r="B8774" s="1">
        <v>45901</v>
      </c>
      <c r="C8774">
        <v>850710</v>
      </c>
      <c r="D8774" t="s">
        <v>176</v>
      </c>
      <c r="E8774">
        <v>0</v>
      </c>
      <c r="F8774">
        <v>0</v>
      </c>
      <c r="G8774">
        <v>0</v>
      </c>
      <c r="H8774">
        <f>_xlfn.XLOOKUP(FACT_IMPORTS[[#This Row],[hts_6]],DIM_PRODUCTS[hts_6],DIM_PRODUCTS[hts_4],,,)</f>
        <v>8507</v>
      </c>
      <c r="I8774" t="str" cm="1">
        <f t="array" ref="I8774">_xlfn.XLOOKUP(FACT_IMPORTS[[#This Row],[country_name]],DIM_COUNTRY[[#All],[Column2]],DIM_COUNTRY[[#All],[Column3]],,,)</f>
        <v>Major_Non-USMCA_Non-China</v>
      </c>
    </row>
    <row r="8775" spans="1:9" x14ac:dyDescent="0.4">
      <c r="A8775" t="s">
        <v>71</v>
      </c>
      <c r="B8775" s="1">
        <v>45901</v>
      </c>
      <c r="C8775">
        <v>850760</v>
      </c>
      <c r="D8775" t="s">
        <v>176</v>
      </c>
      <c r="E8775">
        <v>174190</v>
      </c>
      <c r="F8775">
        <v>540</v>
      </c>
      <c r="G8775">
        <v>1667</v>
      </c>
      <c r="H8775">
        <f>_xlfn.XLOOKUP(FACT_IMPORTS[[#This Row],[hts_6]],DIM_PRODUCTS[hts_6],DIM_PRODUCTS[hts_4],,,)</f>
        <v>8507</v>
      </c>
      <c r="I8775" t="str" cm="1">
        <f t="array" ref="I8775">_xlfn.XLOOKUP(FACT_IMPORTS[[#This Row],[country_name]],DIM_COUNTRY[[#All],[Column2]],DIM_COUNTRY[[#All],[Column3]],,,)</f>
        <v>Major_Non-USMCA_Non-China</v>
      </c>
    </row>
    <row r="8776" spans="1:9" x14ac:dyDescent="0.4">
      <c r="A8776" t="s">
        <v>71</v>
      </c>
      <c r="B8776" s="1">
        <v>45901</v>
      </c>
      <c r="C8776">
        <v>851110</v>
      </c>
      <c r="D8776" t="s">
        <v>176</v>
      </c>
      <c r="E8776">
        <v>575187</v>
      </c>
      <c r="F8776">
        <v>807</v>
      </c>
      <c r="G8776">
        <v>3938</v>
      </c>
      <c r="H8776">
        <f>_xlfn.XLOOKUP(FACT_IMPORTS[[#This Row],[hts_6]],DIM_PRODUCTS[hts_6],DIM_PRODUCTS[hts_4],,,)</f>
        <v>8511</v>
      </c>
      <c r="I8776" t="str" cm="1">
        <f t="array" ref="I8776">_xlfn.XLOOKUP(FACT_IMPORTS[[#This Row],[country_name]],DIM_COUNTRY[[#All],[Column2]],DIM_COUNTRY[[#All],[Column3]],,,)</f>
        <v>Major_Non-USMCA_Non-China</v>
      </c>
    </row>
    <row r="8777" spans="1:9" x14ac:dyDescent="0.4">
      <c r="A8777" t="s">
        <v>71</v>
      </c>
      <c r="B8777" s="1">
        <v>45901</v>
      </c>
      <c r="C8777">
        <v>851130</v>
      </c>
      <c r="D8777" t="s">
        <v>176</v>
      </c>
      <c r="E8777">
        <v>789328</v>
      </c>
      <c r="F8777">
        <v>95392</v>
      </c>
      <c r="G8777">
        <v>3666</v>
      </c>
      <c r="H8777">
        <f>_xlfn.XLOOKUP(FACT_IMPORTS[[#This Row],[hts_6]],DIM_PRODUCTS[hts_6],DIM_PRODUCTS[hts_4],,,)</f>
        <v>8511</v>
      </c>
      <c r="I8777" t="str" cm="1">
        <f t="array" ref="I8777">_xlfn.XLOOKUP(FACT_IMPORTS[[#This Row],[country_name]],DIM_COUNTRY[[#All],[Column2]],DIM_COUNTRY[[#All],[Column3]],,,)</f>
        <v>Major_Non-USMCA_Non-China</v>
      </c>
    </row>
    <row r="8778" spans="1:9" x14ac:dyDescent="0.4">
      <c r="A8778" t="s">
        <v>71</v>
      </c>
      <c r="B8778" s="1">
        <v>45901</v>
      </c>
      <c r="C8778">
        <v>851140</v>
      </c>
      <c r="D8778" t="s">
        <v>176</v>
      </c>
      <c r="E8778">
        <v>2612025</v>
      </c>
      <c r="F8778">
        <v>45298</v>
      </c>
      <c r="G8778">
        <v>20366</v>
      </c>
      <c r="H8778">
        <f>_xlfn.XLOOKUP(FACT_IMPORTS[[#This Row],[hts_6]],DIM_PRODUCTS[hts_6],DIM_PRODUCTS[hts_4],,,)</f>
        <v>8511</v>
      </c>
      <c r="I8778" t="str" cm="1">
        <f t="array" ref="I8778">_xlfn.XLOOKUP(FACT_IMPORTS[[#This Row],[country_name]],DIM_COUNTRY[[#All],[Column2]],DIM_COUNTRY[[#All],[Column3]],,,)</f>
        <v>Major_Non-USMCA_Non-China</v>
      </c>
    </row>
    <row r="8779" spans="1:9" x14ac:dyDescent="0.4">
      <c r="A8779" t="s">
        <v>71</v>
      </c>
      <c r="B8779" s="1">
        <v>45901</v>
      </c>
      <c r="C8779">
        <v>851150</v>
      </c>
      <c r="D8779" t="s">
        <v>176</v>
      </c>
      <c r="E8779">
        <v>82231</v>
      </c>
      <c r="F8779">
        <v>280</v>
      </c>
      <c r="G8779">
        <v>553</v>
      </c>
      <c r="H8779">
        <f>_xlfn.XLOOKUP(FACT_IMPORTS[[#This Row],[hts_6]],DIM_PRODUCTS[hts_6],DIM_PRODUCTS[hts_4],,,)</f>
        <v>8511</v>
      </c>
      <c r="I8779" t="str" cm="1">
        <f t="array" ref="I8779">_xlfn.XLOOKUP(FACT_IMPORTS[[#This Row],[country_name]],DIM_COUNTRY[[#All],[Column2]],DIM_COUNTRY[[#All],[Column3]],,,)</f>
        <v>Major_Non-USMCA_Non-China</v>
      </c>
    </row>
    <row r="8780" spans="1:9" x14ac:dyDescent="0.4">
      <c r="A8780" t="s">
        <v>71</v>
      </c>
      <c r="B8780" s="1">
        <v>45901</v>
      </c>
      <c r="C8780">
        <v>851180</v>
      </c>
      <c r="D8780" t="s">
        <v>176</v>
      </c>
      <c r="E8780">
        <v>27264</v>
      </c>
      <c r="F8780">
        <v>185</v>
      </c>
      <c r="G8780">
        <v>163</v>
      </c>
      <c r="H8780">
        <f>_xlfn.XLOOKUP(FACT_IMPORTS[[#This Row],[hts_6]],DIM_PRODUCTS[hts_6],DIM_PRODUCTS[hts_4],,,)</f>
        <v>8511</v>
      </c>
      <c r="I8780" t="str" cm="1">
        <f t="array" ref="I8780">_xlfn.XLOOKUP(FACT_IMPORTS[[#This Row],[country_name]],DIM_COUNTRY[[#All],[Column2]],DIM_COUNTRY[[#All],[Column3]],,,)</f>
        <v>Major_Non-USMCA_Non-China</v>
      </c>
    </row>
    <row r="8781" spans="1:9" x14ac:dyDescent="0.4">
      <c r="A8781" t="s">
        <v>71</v>
      </c>
      <c r="B8781" s="1">
        <v>45901</v>
      </c>
      <c r="C8781">
        <v>851190</v>
      </c>
      <c r="D8781" t="s">
        <v>176</v>
      </c>
      <c r="E8781">
        <v>168445</v>
      </c>
      <c r="F8781">
        <v>2060</v>
      </c>
      <c r="G8781">
        <v>14756</v>
      </c>
      <c r="H8781">
        <f>_xlfn.XLOOKUP(FACT_IMPORTS[[#This Row],[hts_6]],DIM_PRODUCTS[hts_6],DIM_PRODUCTS[hts_4],,,)</f>
        <v>8511</v>
      </c>
      <c r="I8781" t="str" cm="1">
        <f t="array" ref="I8781">_xlfn.XLOOKUP(FACT_IMPORTS[[#This Row],[country_name]],DIM_COUNTRY[[#All],[Column2]],DIM_COUNTRY[[#All],[Column3]],,,)</f>
        <v>Major_Non-USMCA_Non-China</v>
      </c>
    </row>
    <row r="8782" spans="1:9" x14ac:dyDescent="0.4">
      <c r="A8782" t="s">
        <v>71</v>
      </c>
      <c r="B8782" s="1">
        <v>45901</v>
      </c>
      <c r="C8782">
        <v>851220</v>
      </c>
      <c r="D8782" t="s">
        <v>176</v>
      </c>
      <c r="E8782">
        <v>0</v>
      </c>
      <c r="F8782">
        <v>0</v>
      </c>
      <c r="G8782">
        <v>0</v>
      </c>
      <c r="H8782">
        <f>_xlfn.XLOOKUP(FACT_IMPORTS[[#This Row],[hts_6]],DIM_PRODUCTS[hts_6],DIM_PRODUCTS[hts_4],,,)</f>
        <v>8512</v>
      </c>
      <c r="I8782" t="str" cm="1">
        <f t="array" ref="I8782">_xlfn.XLOOKUP(FACT_IMPORTS[[#This Row],[country_name]],DIM_COUNTRY[[#All],[Column2]],DIM_COUNTRY[[#All],[Column3]],,,)</f>
        <v>Major_Non-USMCA_Non-China</v>
      </c>
    </row>
    <row r="8783" spans="1:9" x14ac:dyDescent="0.4">
      <c r="A8783" t="s">
        <v>71</v>
      </c>
      <c r="B8783" s="1">
        <v>45901</v>
      </c>
      <c r="C8783">
        <v>851230</v>
      </c>
      <c r="D8783" t="s">
        <v>176</v>
      </c>
      <c r="E8783">
        <v>24237</v>
      </c>
      <c r="F8783">
        <v>5776</v>
      </c>
      <c r="G8783">
        <v>115</v>
      </c>
      <c r="H8783">
        <f>_xlfn.XLOOKUP(FACT_IMPORTS[[#This Row],[hts_6]],DIM_PRODUCTS[hts_6],DIM_PRODUCTS[hts_4],,,)</f>
        <v>8512</v>
      </c>
      <c r="I8783" t="str" cm="1">
        <f t="array" ref="I8783">_xlfn.XLOOKUP(FACT_IMPORTS[[#This Row],[country_name]],DIM_COUNTRY[[#All],[Column2]],DIM_COUNTRY[[#All],[Column3]],,,)</f>
        <v>Major_Non-USMCA_Non-China</v>
      </c>
    </row>
    <row r="8784" spans="1:9" x14ac:dyDescent="0.4">
      <c r="A8784" t="s">
        <v>71</v>
      </c>
      <c r="B8784" s="1">
        <v>45901</v>
      </c>
      <c r="C8784">
        <v>851290</v>
      </c>
      <c r="D8784" t="s">
        <v>176</v>
      </c>
      <c r="E8784">
        <v>2122</v>
      </c>
      <c r="F8784">
        <v>60</v>
      </c>
      <c r="G8784">
        <v>61</v>
      </c>
      <c r="H8784">
        <f>_xlfn.XLOOKUP(FACT_IMPORTS[[#This Row],[hts_6]],DIM_PRODUCTS[hts_6],DIM_PRODUCTS[hts_4],,,)</f>
        <v>8512</v>
      </c>
      <c r="I8784" t="str" cm="1">
        <f t="array" ref="I8784">_xlfn.XLOOKUP(FACT_IMPORTS[[#This Row],[country_name]],DIM_COUNTRY[[#All],[Column2]],DIM_COUNTRY[[#All],[Column3]],,,)</f>
        <v>Major_Non-USMCA_Non-China</v>
      </c>
    </row>
    <row r="8785" spans="1:9" x14ac:dyDescent="0.4">
      <c r="A8785" t="s">
        <v>71</v>
      </c>
      <c r="B8785" s="1">
        <v>45901</v>
      </c>
      <c r="C8785">
        <v>854231</v>
      </c>
      <c r="D8785" t="s">
        <v>176</v>
      </c>
      <c r="E8785">
        <v>89918</v>
      </c>
      <c r="F8785">
        <v>9644</v>
      </c>
      <c r="G8785">
        <v>2433</v>
      </c>
      <c r="H8785">
        <f>_xlfn.XLOOKUP(FACT_IMPORTS[[#This Row],[hts_6]],DIM_PRODUCTS[hts_6],DIM_PRODUCTS[hts_4],,,)</f>
        <v>8542</v>
      </c>
      <c r="I8785" t="str" cm="1">
        <f t="array" ref="I8785">_xlfn.XLOOKUP(FACT_IMPORTS[[#This Row],[country_name]],DIM_COUNTRY[[#All],[Column2]],DIM_COUNTRY[[#All],[Column3]],,,)</f>
        <v>Major_Non-USMCA_Non-China</v>
      </c>
    </row>
    <row r="8786" spans="1:9" x14ac:dyDescent="0.4">
      <c r="A8786" t="s">
        <v>71</v>
      </c>
      <c r="B8786" s="1">
        <v>45901</v>
      </c>
      <c r="C8786">
        <v>854232</v>
      </c>
      <c r="D8786" t="s">
        <v>176</v>
      </c>
      <c r="E8786">
        <v>0</v>
      </c>
      <c r="F8786">
        <v>0</v>
      </c>
      <c r="G8786">
        <v>0</v>
      </c>
      <c r="H8786">
        <f>_xlfn.XLOOKUP(FACT_IMPORTS[[#This Row],[hts_6]],DIM_PRODUCTS[hts_6],DIM_PRODUCTS[hts_4],,,)</f>
        <v>8542</v>
      </c>
      <c r="I8786" t="str" cm="1">
        <f t="array" ref="I8786">_xlfn.XLOOKUP(FACT_IMPORTS[[#This Row],[country_name]],DIM_COUNTRY[[#All],[Column2]],DIM_COUNTRY[[#All],[Column3]],,,)</f>
        <v>Major_Non-USMCA_Non-China</v>
      </c>
    </row>
    <row r="8787" spans="1:9" x14ac:dyDescent="0.4">
      <c r="A8787" t="s">
        <v>71</v>
      </c>
      <c r="B8787" s="1">
        <v>45901</v>
      </c>
      <c r="C8787">
        <v>854239</v>
      </c>
      <c r="D8787" t="s">
        <v>176</v>
      </c>
      <c r="E8787">
        <v>0</v>
      </c>
      <c r="F8787">
        <v>0</v>
      </c>
      <c r="G8787">
        <v>0</v>
      </c>
      <c r="H8787">
        <f>_xlfn.XLOOKUP(FACT_IMPORTS[[#This Row],[hts_6]],DIM_PRODUCTS[hts_6],DIM_PRODUCTS[hts_4],,,)</f>
        <v>8542</v>
      </c>
      <c r="I8787" t="str" cm="1">
        <f t="array" ref="I8787">_xlfn.XLOOKUP(FACT_IMPORTS[[#This Row],[country_name]],DIM_COUNTRY[[#All],[Column2]],DIM_COUNTRY[[#All],[Column3]],,,)</f>
        <v>Major_Non-USMCA_Non-China</v>
      </c>
    </row>
    <row r="8788" spans="1:9" x14ac:dyDescent="0.4">
      <c r="A8788" t="s">
        <v>71</v>
      </c>
      <c r="B8788" s="1">
        <v>45901</v>
      </c>
      <c r="C8788">
        <v>854290</v>
      </c>
      <c r="D8788" t="s">
        <v>176</v>
      </c>
      <c r="E8788">
        <v>0</v>
      </c>
      <c r="F8788">
        <v>0</v>
      </c>
      <c r="G8788">
        <v>0</v>
      </c>
      <c r="H8788">
        <f>_xlfn.XLOOKUP(FACT_IMPORTS[[#This Row],[hts_6]],DIM_PRODUCTS[hts_6],DIM_PRODUCTS[hts_4],,,)</f>
        <v>8542</v>
      </c>
      <c r="I8788" t="str" cm="1">
        <f t="array" ref="I8788">_xlfn.XLOOKUP(FACT_IMPORTS[[#This Row],[country_name]],DIM_COUNTRY[[#All],[Column2]],DIM_COUNTRY[[#All],[Column3]],,,)</f>
        <v>Major_Non-USMCA_Non-China</v>
      </c>
    </row>
    <row r="8789" spans="1:9" x14ac:dyDescent="0.4">
      <c r="A8789" t="s">
        <v>71</v>
      </c>
      <c r="B8789" s="1">
        <v>45901</v>
      </c>
      <c r="C8789">
        <v>854430</v>
      </c>
      <c r="D8789" t="s">
        <v>176</v>
      </c>
      <c r="E8789">
        <v>0</v>
      </c>
      <c r="F8789">
        <v>0</v>
      </c>
      <c r="G8789">
        <v>0</v>
      </c>
      <c r="H8789">
        <f>_xlfn.XLOOKUP(FACT_IMPORTS[[#This Row],[hts_6]],DIM_PRODUCTS[hts_6],DIM_PRODUCTS[hts_4],,,)</f>
        <v>8544</v>
      </c>
      <c r="I8789" t="str" cm="1">
        <f t="array" ref="I8789">_xlfn.XLOOKUP(FACT_IMPORTS[[#This Row],[country_name]],DIM_COUNTRY[[#All],[Column2]],DIM_COUNTRY[[#All],[Column3]],,,)</f>
        <v>Major_Non-USMCA_Non-China</v>
      </c>
    </row>
    <row r="8790" spans="1:9" x14ac:dyDescent="0.4">
      <c r="A8790" t="s">
        <v>71</v>
      </c>
      <c r="B8790" s="1">
        <v>45901</v>
      </c>
      <c r="C8790">
        <v>870710</v>
      </c>
      <c r="D8790" t="s">
        <v>176</v>
      </c>
      <c r="E8790">
        <v>0</v>
      </c>
      <c r="F8790">
        <v>0</v>
      </c>
      <c r="G8790">
        <v>0</v>
      </c>
      <c r="H8790">
        <f>_xlfn.XLOOKUP(FACT_IMPORTS[[#This Row],[hts_6]],DIM_PRODUCTS[hts_6],DIM_PRODUCTS[hts_4],,,)</f>
        <v>8707</v>
      </c>
      <c r="I8790" t="str" cm="1">
        <f t="array" ref="I8790">_xlfn.XLOOKUP(FACT_IMPORTS[[#This Row],[country_name]],DIM_COUNTRY[[#All],[Column2]],DIM_COUNTRY[[#All],[Column3]],,,)</f>
        <v>Major_Non-USMCA_Non-China</v>
      </c>
    </row>
    <row r="8791" spans="1:9" x14ac:dyDescent="0.4">
      <c r="A8791" t="s">
        <v>71</v>
      </c>
      <c r="B8791" s="1">
        <v>45901</v>
      </c>
      <c r="C8791">
        <v>870790</v>
      </c>
      <c r="D8791" t="s">
        <v>176</v>
      </c>
      <c r="E8791">
        <v>0</v>
      </c>
      <c r="F8791">
        <v>0</v>
      </c>
      <c r="G8791">
        <v>0</v>
      </c>
      <c r="H8791">
        <f>_xlfn.XLOOKUP(FACT_IMPORTS[[#This Row],[hts_6]],DIM_PRODUCTS[hts_6],DIM_PRODUCTS[hts_4],,,)</f>
        <v>8707</v>
      </c>
      <c r="I8791" t="str" cm="1">
        <f t="array" ref="I8791">_xlfn.XLOOKUP(FACT_IMPORTS[[#This Row],[country_name]],DIM_COUNTRY[[#All],[Column2]],DIM_COUNTRY[[#All],[Column3]],,,)</f>
        <v>Major_Non-USMCA_Non-China</v>
      </c>
    </row>
    <row r="8792" spans="1:9" x14ac:dyDescent="0.4">
      <c r="A8792" t="s">
        <v>71</v>
      </c>
      <c r="B8792" s="1">
        <v>45901</v>
      </c>
      <c r="C8792">
        <v>870810</v>
      </c>
      <c r="D8792" t="s">
        <v>176</v>
      </c>
      <c r="E8792">
        <v>0</v>
      </c>
      <c r="F8792">
        <v>0</v>
      </c>
      <c r="G8792">
        <v>0</v>
      </c>
      <c r="H8792">
        <f>_xlfn.XLOOKUP(FACT_IMPORTS[[#This Row],[hts_6]],DIM_PRODUCTS[hts_6],DIM_PRODUCTS[hts_4],,,)</f>
        <v>8708</v>
      </c>
      <c r="I8792" t="str" cm="1">
        <f t="array" ref="I8792">_xlfn.XLOOKUP(FACT_IMPORTS[[#This Row],[country_name]],DIM_COUNTRY[[#All],[Column2]],DIM_COUNTRY[[#All],[Column3]],,,)</f>
        <v>Major_Non-USMCA_Non-China</v>
      </c>
    </row>
    <row r="8793" spans="1:9" x14ac:dyDescent="0.4">
      <c r="A8793" t="s">
        <v>71</v>
      </c>
      <c r="B8793" s="1">
        <v>45901</v>
      </c>
      <c r="C8793">
        <v>870829</v>
      </c>
      <c r="D8793" t="s">
        <v>176</v>
      </c>
      <c r="E8793">
        <v>3691713</v>
      </c>
      <c r="F8793">
        <v>216285</v>
      </c>
      <c r="G8793">
        <v>101993</v>
      </c>
      <c r="H8793">
        <f>_xlfn.XLOOKUP(FACT_IMPORTS[[#This Row],[hts_6]],DIM_PRODUCTS[hts_6],DIM_PRODUCTS[hts_4],,,)</f>
        <v>8708</v>
      </c>
      <c r="I8793" t="str" cm="1">
        <f t="array" ref="I8793">_xlfn.XLOOKUP(FACT_IMPORTS[[#This Row],[country_name]],DIM_COUNTRY[[#All],[Column2]],DIM_COUNTRY[[#All],[Column3]],,,)</f>
        <v>Major_Non-USMCA_Non-China</v>
      </c>
    </row>
    <row r="8794" spans="1:9" x14ac:dyDescent="0.4">
      <c r="A8794" t="s">
        <v>71</v>
      </c>
      <c r="B8794" s="1">
        <v>45901</v>
      </c>
      <c r="C8794">
        <v>870830</v>
      </c>
      <c r="D8794" t="s">
        <v>176</v>
      </c>
      <c r="E8794">
        <v>699754</v>
      </c>
      <c r="F8794">
        <v>86904</v>
      </c>
      <c r="G8794">
        <v>6211</v>
      </c>
      <c r="H8794">
        <f>_xlfn.XLOOKUP(FACT_IMPORTS[[#This Row],[hts_6]],DIM_PRODUCTS[hts_6],DIM_PRODUCTS[hts_4],,,)</f>
        <v>8708</v>
      </c>
      <c r="I8794" t="str" cm="1">
        <f t="array" ref="I8794">_xlfn.XLOOKUP(FACT_IMPORTS[[#This Row],[country_name]],DIM_COUNTRY[[#All],[Column2]],DIM_COUNTRY[[#All],[Column3]],,,)</f>
        <v>Major_Non-USMCA_Non-China</v>
      </c>
    </row>
    <row r="8795" spans="1:9" x14ac:dyDescent="0.4">
      <c r="A8795" t="s">
        <v>71</v>
      </c>
      <c r="B8795" s="1">
        <v>45901</v>
      </c>
      <c r="C8795">
        <v>870840</v>
      </c>
      <c r="D8795" t="s">
        <v>176</v>
      </c>
      <c r="E8795">
        <v>1200209</v>
      </c>
      <c r="F8795">
        <v>1143</v>
      </c>
      <c r="G8795">
        <v>37884</v>
      </c>
      <c r="H8795">
        <f>_xlfn.XLOOKUP(FACT_IMPORTS[[#This Row],[hts_6]],DIM_PRODUCTS[hts_6],DIM_PRODUCTS[hts_4],,,)</f>
        <v>8708</v>
      </c>
      <c r="I8795" t="str" cm="1">
        <f t="array" ref="I8795">_xlfn.XLOOKUP(FACT_IMPORTS[[#This Row],[country_name]],DIM_COUNTRY[[#All],[Column2]],DIM_COUNTRY[[#All],[Column3]],,,)</f>
        <v>Major_Non-USMCA_Non-China</v>
      </c>
    </row>
    <row r="8796" spans="1:9" x14ac:dyDescent="0.4">
      <c r="A8796" t="s">
        <v>71</v>
      </c>
      <c r="B8796" s="1">
        <v>45901</v>
      </c>
      <c r="C8796">
        <v>870850</v>
      </c>
      <c r="D8796" t="s">
        <v>176</v>
      </c>
      <c r="E8796">
        <v>0</v>
      </c>
      <c r="F8796">
        <v>0</v>
      </c>
      <c r="G8796">
        <v>0</v>
      </c>
      <c r="H8796">
        <f>_xlfn.XLOOKUP(FACT_IMPORTS[[#This Row],[hts_6]],DIM_PRODUCTS[hts_6],DIM_PRODUCTS[hts_4],,,)</f>
        <v>8708</v>
      </c>
      <c r="I8796" t="str" cm="1">
        <f t="array" ref="I8796">_xlfn.XLOOKUP(FACT_IMPORTS[[#This Row],[country_name]],DIM_COUNTRY[[#All],[Column2]],DIM_COUNTRY[[#All],[Column3]],,,)</f>
        <v>Major_Non-USMCA_Non-China</v>
      </c>
    </row>
    <row r="8797" spans="1:9" x14ac:dyDescent="0.4">
      <c r="A8797" t="s">
        <v>71</v>
      </c>
      <c r="B8797" s="1">
        <v>45901</v>
      </c>
      <c r="C8797">
        <v>870870</v>
      </c>
      <c r="D8797" t="s">
        <v>176</v>
      </c>
      <c r="E8797">
        <v>5903</v>
      </c>
      <c r="F8797">
        <v>252</v>
      </c>
      <c r="G8797">
        <v>29</v>
      </c>
      <c r="H8797">
        <f>_xlfn.XLOOKUP(FACT_IMPORTS[[#This Row],[hts_6]],DIM_PRODUCTS[hts_6],DIM_PRODUCTS[hts_4],,,)</f>
        <v>8708</v>
      </c>
      <c r="I8797" t="str" cm="1">
        <f t="array" ref="I8797">_xlfn.XLOOKUP(FACT_IMPORTS[[#This Row],[country_name]],DIM_COUNTRY[[#All],[Column2]],DIM_COUNTRY[[#All],[Column3]],,,)</f>
        <v>Major_Non-USMCA_Non-China</v>
      </c>
    </row>
    <row r="8798" spans="1:9" x14ac:dyDescent="0.4">
      <c r="A8798" t="s">
        <v>71</v>
      </c>
      <c r="B8798" s="1">
        <v>45901</v>
      </c>
      <c r="C8798">
        <v>870880</v>
      </c>
      <c r="D8798" t="s">
        <v>176</v>
      </c>
      <c r="E8798">
        <v>208167</v>
      </c>
      <c r="F8798">
        <v>6394</v>
      </c>
      <c r="G8798">
        <v>1669</v>
      </c>
      <c r="H8798">
        <f>_xlfn.XLOOKUP(FACT_IMPORTS[[#This Row],[hts_6]],DIM_PRODUCTS[hts_6],DIM_PRODUCTS[hts_4],,,)</f>
        <v>8708</v>
      </c>
      <c r="I8798" t="str" cm="1">
        <f t="array" ref="I8798">_xlfn.XLOOKUP(FACT_IMPORTS[[#This Row],[country_name]],DIM_COUNTRY[[#All],[Column2]],DIM_COUNTRY[[#All],[Column3]],,,)</f>
        <v>Major_Non-USMCA_Non-China</v>
      </c>
    </row>
    <row r="8799" spans="1:9" x14ac:dyDescent="0.4">
      <c r="A8799" t="s">
        <v>71</v>
      </c>
      <c r="B8799" s="1">
        <v>45901</v>
      </c>
      <c r="C8799">
        <v>870891</v>
      </c>
      <c r="D8799" t="s">
        <v>176</v>
      </c>
      <c r="E8799">
        <v>121496</v>
      </c>
      <c r="F8799">
        <v>136156</v>
      </c>
      <c r="G8799">
        <v>1583</v>
      </c>
      <c r="H8799">
        <f>_xlfn.XLOOKUP(FACT_IMPORTS[[#This Row],[hts_6]],DIM_PRODUCTS[hts_6],DIM_PRODUCTS[hts_4],,,)</f>
        <v>8708</v>
      </c>
      <c r="I8799" t="str" cm="1">
        <f t="array" ref="I8799">_xlfn.XLOOKUP(FACT_IMPORTS[[#This Row],[country_name]],DIM_COUNTRY[[#All],[Column2]],DIM_COUNTRY[[#All],[Column3]],,,)</f>
        <v>Major_Non-USMCA_Non-China</v>
      </c>
    </row>
    <row r="8800" spans="1:9" x14ac:dyDescent="0.4">
      <c r="A8800" t="s">
        <v>71</v>
      </c>
      <c r="B8800" s="1">
        <v>45901</v>
      </c>
      <c r="C8800">
        <v>870892</v>
      </c>
      <c r="D8800" t="s">
        <v>176</v>
      </c>
      <c r="E8800">
        <v>0</v>
      </c>
      <c r="F8800">
        <v>0</v>
      </c>
      <c r="G8800">
        <v>0</v>
      </c>
      <c r="H8800">
        <f>_xlfn.XLOOKUP(FACT_IMPORTS[[#This Row],[hts_6]],DIM_PRODUCTS[hts_6],DIM_PRODUCTS[hts_4],,,)</f>
        <v>8708</v>
      </c>
      <c r="I8800" t="str" cm="1">
        <f t="array" ref="I8800">_xlfn.XLOOKUP(FACT_IMPORTS[[#This Row],[country_name]],DIM_COUNTRY[[#All],[Column2]],DIM_COUNTRY[[#All],[Column3]],,,)</f>
        <v>Major_Non-USMCA_Non-China</v>
      </c>
    </row>
    <row r="8801" spans="1:9" x14ac:dyDescent="0.4">
      <c r="A8801" t="s">
        <v>71</v>
      </c>
      <c r="B8801" s="1">
        <v>45901</v>
      </c>
      <c r="C8801">
        <v>870893</v>
      </c>
      <c r="D8801" t="s">
        <v>176</v>
      </c>
      <c r="E8801">
        <v>689668</v>
      </c>
      <c r="F8801">
        <v>229008</v>
      </c>
      <c r="G8801">
        <v>15782</v>
      </c>
      <c r="H8801">
        <f>_xlfn.XLOOKUP(FACT_IMPORTS[[#This Row],[hts_6]],DIM_PRODUCTS[hts_6],DIM_PRODUCTS[hts_4],,,)</f>
        <v>8708</v>
      </c>
      <c r="I8801" t="str" cm="1">
        <f t="array" ref="I8801">_xlfn.XLOOKUP(FACT_IMPORTS[[#This Row],[country_name]],DIM_COUNTRY[[#All],[Column2]],DIM_COUNTRY[[#All],[Column3]],,,)</f>
        <v>Major_Non-USMCA_Non-China</v>
      </c>
    </row>
    <row r="8802" spans="1:9" x14ac:dyDescent="0.4">
      <c r="A8802" t="s">
        <v>71</v>
      </c>
      <c r="B8802" s="1">
        <v>45901</v>
      </c>
      <c r="C8802">
        <v>870894</v>
      </c>
      <c r="D8802" t="s">
        <v>176</v>
      </c>
      <c r="E8802">
        <v>0</v>
      </c>
      <c r="F8802">
        <v>0</v>
      </c>
      <c r="G8802">
        <v>0</v>
      </c>
      <c r="H8802">
        <f>_xlfn.XLOOKUP(FACT_IMPORTS[[#This Row],[hts_6]],DIM_PRODUCTS[hts_6],DIM_PRODUCTS[hts_4],,,)</f>
        <v>8708</v>
      </c>
      <c r="I8802" t="str" cm="1">
        <f t="array" ref="I8802">_xlfn.XLOOKUP(FACT_IMPORTS[[#This Row],[country_name]],DIM_COUNTRY[[#All],[Column2]],DIM_COUNTRY[[#All],[Column3]],,,)</f>
        <v>Major_Non-USMCA_Non-China</v>
      </c>
    </row>
    <row r="8803" spans="1:9" x14ac:dyDescent="0.4">
      <c r="A8803" t="s">
        <v>71</v>
      </c>
      <c r="B8803" s="1">
        <v>45901</v>
      </c>
      <c r="C8803">
        <v>870895</v>
      </c>
      <c r="D8803" t="s">
        <v>176</v>
      </c>
      <c r="E8803">
        <v>0</v>
      </c>
      <c r="F8803">
        <v>0</v>
      </c>
      <c r="G8803">
        <v>0</v>
      </c>
      <c r="H8803">
        <f>_xlfn.XLOOKUP(FACT_IMPORTS[[#This Row],[hts_6]],DIM_PRODUCTS[hts_6],DIM_PRODUCTS[hts_4],,,)</f>
        <v>8708</v>
      </c>
      <c r="I8803" t="str" cm="1">
        <f t="array" ref="I8803">_xlfn.XLOOKUP(FACT_IMPORTS[[#This Row],[country_name]],DIM_COUNTRY[[#All],[Column2]],DIM_COUNTRY[[#All],[Column3]],,,)</f>
        <v>Major_Non-USMCA_Non-China</v>
      </c>
    </row>
    <row r="8804" spans="1:9" x14ac:dyDescent="0.4">
      <c r="A8804" t="s">
        <v>71</v>
      </c>
      <c r="B8804" s="1">
        <v>45901</v>
      </c>
      <c r="C8804">
        <v>870899</v>
      </c>
      <c r="D8804" t="s">
        <v>176</v>
      </c>
      <c r="E8804">
        <v>2177501</v>
      </c>
      <c r="F8804">
        <v>2129085</v>
      </c>
      <c r="G8804">
        <v>42227</v>
      </c>
      <c r="H8804">
        <f>_xlfn.XLOOKUP(FACT_IMPORTS[[#This Row],[hts_6]],DIM_PRODUCTS[hts_6],DIM_PRODUCTS[hts_4],,,)</f>
        <v>8708</v>
      </c>
      <c r="I8804" t="str" cm="1">
        <f t="array" ref="I8804">_xlfn.XLOOKUP(FACT_IMPORTS[[#This Row],[country_name]],DIM_COUNTRY[[#All],[Column2]],DIM_COUNTRY[[#All],[Column3]],,,)</f>
        <v>Major_Non-USMCA_Non-China</v>
      </c>
    </row>
    <row r="8805" spans="1:9" x14ac:dyDescent="0.4">
      <c r="A8805" t="s">
        <v>71</v>
      </c>
      <c r="B8805" s="1">
        <v>45901</v>
      </c>
      <c r="C8805">
        <v>940120</v>
      </c>
      <c r="D8805" t="s">
        <v>176</v>
      </c>
      <c r="E8805">
        <v>1639</v>
      </c>
      <c r="F8805">
        <v>3</v>
      </c>
      <c r="G8805">
        <v>471</v>
      </c>
      <c r="H8805">
        <f>_xlfn.XLOOKUP(FACT_IMPORTS[[#This Row],[hts_6]],DIM_PRODUCTS[hts_6],DIM_PRODUCTS[hts_4],,,)</f>
        <v>9401</v>
      </c>
      <c r="I8805" t="str" cm="1">
        <f t="array" ref="I8805">_xlfn.XLOOKUP(FACT_IMPORTS[[#This Row],[country_name]],DIM_COUNTRY[[#All],[Column2]],DIM_COUNTRY[[#All],[Column3]],,,)</f>
        <v>Major_Non-USMCA_Non-China</v>
      </c>
    </row>
    <row r="8806" spans="1:9" x14ac:dyDescent="0.4">
      <c r="A8806" t="s">
        <v>71</v>
      </c>
      <c r="B8806" s="1">
        <v>45931</v>
      </c>
      <c r="C8806">
        <v>392630</v>
      </c>
      <c r="D8806" t="s">
        <v>176</v>
      </c>
      <c r="E8806">
        <v>355</v>
      </c>
      <c r="F8806">
        <v>34</v>
      </c>
      <c r="G8806">
        <v>1</v>
      </c>
      <c r="H8806">
        <f>_xlfn.XLOOKUP(FACT_IMPORTS[[#This Row],[hts_6]],DIM_PRODUCTS[hts_6],DIM_PRODUCTS[hts_4],,,)</f>
        <v>3926</v>
      </c>
      <c r="I8806" t="str" cm="1">
        <f t="array" ref="I8806">_xlfn.XLOOKUP(FACT_IMPORTS[[#This Row],[country_name]],DIM_COUNTRY[[#All],[Column2]],DIM_COUNTRY[[#All],[Column3]],,,)</f>
        <v>Major_Non-USMCA_Non-China</v>
      </c>
    </row>
    <row r="8807" spans="1:9" x14ac:dyDescent="0.4">
      <c r="A8807" t="s">
        <v>71</v>
      </c>
      <c r="B8807" s="1">
        <v>45931</v>
      </c>
      <c r="C8807">
        <v>401110</v>
      </c>
      <c r="D8807" t="s">
        <v>176</v>
      </c>
      <c r="E8807">
        <v>497991</v>
      </c>
      <c r="F8807">
        <v>5891</v>
      </c>
      <c r="G8807">
        <v>8003</v>
      </c>
      <c r="H8807">
        <f>_xlfn.XLOOKUP(FACT_IMPORTS[[#This Row],[hts_6]],DIM_PRODUCTS[hts_6],DIM_PRODUCTS[hts_4],,,)</f>
        <v>4011</v>
      </c>
      <c r="I8807" t="str" cm="1">
        <f t="array" ref="I8807">_xlfn.XLOOKUP(FACT_IMPORTS[[#This Row],[country_name]],DIM_COUNTRY[[#All],[Column2]],DIM_COUNTRY[[#All],[Column3]],,,)</f>
        <v>Major_Non-USMCA_Non-China</v>
      </c>
    </row>
    <row r="8808" spans="1:9" x14ac:dyDescent="0.4">
      <c r="A8808" t="s">
        <v>71</v>
      </c>
      <c r="B8808" s="1">
        <v>45931</v>
      </c>
      <c r="C8808">
        <v>401120</v>
      </c>
      <c r="D8808" t="s">
        <v>176</v>
      </c>
      <c r="E8808">
        <v>17629</v>
      </c>
      <c r="F8808">
        <v>120</v>
      </c>
      <c r="G8808">
        <v>34</v>
      </c>
      <c r="H8808">
        <f>_xlfn.XLOOKUP(FACT_IMPORTS[[#This Row],[hts_6]],DIM_PRODUCTS[hts_6],DIM_PRODUCTS[hts_4],,,)</f>
        <v>4011</v>
      </c>
      <c r="I8808" t="str" cm="1">
        <f t="array" ref="I8808">_xlfn.XLOOKUP(FACT_IMPORTS[[#This Row],[country_name]],DIM_COUNTRY[[#All],[Column2]],DIM_COUNTRY[[#All],[Column3]],,,)</f>
        <v>Major_Non-USMCA_Non-China</v>
      </c>
    </row>
    <row r="8809" spans="1:9" x14ac:dyDescent="0.4">
      <c r="A8809" t="s">
        <v>71</v>
      </c>
      <c r="B8809" s="1">
        <v>45931</v>
      </c>
      <c r="C8809">
        <v>401190</v>
      </c>
      <c r="D8809" t="s">
        <v>176</v>
      </c>
      <c r="E8809">
        <v>0</v>
      </c>
      <c r="F8809">
        <v>0</v>
      </c>
      <c r="G8809">
        <v>0</v>
      </c>
      <c r="H8809">
        <f>_xlfn.XLOOKUP(FACT_IMPORTS[[#This Row],[hts_6]],DIM_PRODUCTS[hts_6],DIM_PRODUCTS[hts_4],,,)</f>
        <v>4011</v>
      </c>
      <c r="I8809" t="str" cm="1">
        <f t="array" ref="I8809">_xlfn.XLOOKUP(FACT_IMPORTS[[#This Row],[country_name]],DIM_COUNTRY[[#All],[Column2]],DIM_COUNTRY[[#All],[Column3]],,,)</f>
        <v>Major_Non-USMCA_Non-China</v>
      </c>
    </row>
    <row r="8810" spans="1:9" x14ac:dyDescent="0.4">
      <c r="A8810" t="s">
        <v>71</v>
      </c>
      <c r="B8810" s="1">
        <v>45931</v>
      </c>
      <c r="C8810">
        <v>700711</v>
      </c>
      <c r="D8810" t="s">
        <v>176</v>
      </c>
      <c r="E8810">
        <v>12850</v>
      </c>
      <c r="F8810">
        <v>584</v>
      </c>
      <c r="G8810">
        <v>220</v>
      </c>
      <c r="H8810">
        <f>_xlfn.XLOOKUP(FACT_IMPORTS[[#This Row],[hts_6]],DIM_PRODUCTS[hts_6],DIM_PRODUCTS[hts_4],,,)</f>
        <v>7007</v>
      </c>
      <c r="I8810" t="str" cm="1">
        <f t="array" ref="I8810">_xlfn.XLOOKUP(FACT_IMPORTS[[#This Row],[country_name]],DIM_COUNTRY[[#All],[Column2]],DIM_COUNTRY[[#All],[Column3]],,,)</f>
        <v>Major_Non-USMCA_Non-China</v>
      </c>
    </row>
    <row r="8811" spans="1:9" x14ac:dyDescent="0.4">
      <c r="A8811" t="s">
        <v>71</v>
      </c>
      <c r="B8811" s="1">
        <v>45931</v>
      </c>
      <c r="C8811">
        <v>700721</v>
      </c>
      <c r="D8811" t="s">
        <v>176</v>
      </c>
      <c r="E8811">
        <v>0</v>
      </c>
      <c r="F8811">
        <v>0</v>
      </c>
      <c r="G8811">
        <v>0</v>
      </c>
      <c r="H8811">
        <f>_xlfn.XLOOKUP(FACT_IMPORTS[[#This Row],[hts_6]],DIM_PRODUCTS[hts_6],DIM_PRODUCTS[hts_4],,,)</f>
        <v>7007</v>
      </c>
      <c r="I8811" t="str" cm="1">
        <f t="array" ref="I8811">_xlfn.XLOOKUP(FACT_IMPORTS[[#This Row],[country_name]],DIM_COUNTRY[[#All],[Column2]],DIM_COUNTRY[[#All],[Column3]],,,)</f>
        <v>Major_Non-USMCA_Non-China</v>
      </c>
    </row>
    <row r="8812" spans="1:9" x14ac:dyDescent="0.4">
      <c r="A8812" t="s">
        <v>71</v>
      </c>
      <c r="B8812" s="1">
        <v>45931</v>
      </c>
      <c r="C8812">
        <v>700910</v>
      </c>
      <c r="D8812" t="s">
        <v>176</v>
      </c>
      <c r="E8812">
        <v>0</v>
      </c>
      <c r="F8812">
        <v>0</v>
      </c>
      <c r="G8812">
        <v>0</v>
      </c>
      <c r="H8812">
        <f>_xlfn.XLOOKUP(FACT_IMPORTS[[#This Row],[hts_6]],DIM_PRODUCTS[hts_6],DIM_PRODUCTS[hts_4],,,)</f>
        <v>7009</v>
      </c>
      <c r="I8812" t="str" cm="1">
        <f t="array" ref="I8812">_xlfn.XLOOKUP(FACT_IMPORTS[[#This Row],[country_name]],DIM_COUNTRY[[#All],[Column2]],DIM_COUNTRY[[#All],[Column3]],,,)</f>
        <v>Major_Non-USMCA_Non-China</v>
      </c>
    </row>
    <row r="8813" spans="1:9" x14ac:dyDescent="0.4">
      <c r="A8813" t="s">
        <v>71</v>
      </c>
      <c r="B8813" s="1">
        <v>45931</v>
      </c>
      <c r="C8813">
        <v>830230</v>
      </c>
      <c r="D8813" t="s">
        <v>176</v>
      </c>
      <c r="E8813">
        <v>26513</v>
      </c>
      <c r="F8813">
        <v>12472</v>
      </c>
      <c r="G8813">
        <v>311</v>
      </c>
      <c r="H8813">
        <f>_xlfn.XLOOKUP(FACT_IMPORTS[[#This Row],[hts_6]],DIM_PRODUCTS[hts_6],DIM_PRODUCTS[hts_4],,,)</f>
        <v>8302</v>
      </c>
      <c r="I8813" t="str" cm="1">
        <f t="array" ref="I8813">_xlfn.XLOOKUP(FACT_IMPORTS[[#This Row],[country_name]],DIM_COUNTRY[[#All],[Column2]],DIM_COUNTRY[[#All],[Column3]],,,)</f>
        <v>Major_Non-USMCA_Non-China</v>
      </c>
    </row>
    <row r="8814" spans="1:9" x14ac:dyDescent="0.4">
      <c r="A8814" t="s">
        <v>71</v>
      </c>
      <c r="B8814" s="1">
        <v>45931</v>
      </c>
      <c r="C8814">
        <v>840732</v>
      </c>
      <c r="D8814" t="s">
        <v>176</v>
      </c>
      <c r="E8814">
        <v>0</v>
      </c>
      <c r="F8814">
        <v>0</v>
      </c>
      <c r="G8814">
        <v>0</v>
      </c>
      <c r="H8814">
        <f>_xlfn.XLOOKUP(FACT_IMPORTS[[#This Row],[hts_6]],DIM_PRODUCTS[hts_6],DIM_PRODUCTS[hts_4],,,)</f>
        <v>8407</v>
      </c>
      <c r="I8814" t="str" cm="1">
        <f t="array" ref="I8814">_xlfn.XLOOKUP(FACT_IMPORTS[[#This Row],[country_name]],DIM_COUNTRY[[#All],[Column2]],DIM_COUNTRY[[#All],[Column3]],,,)</f>
        <v>Major_Non-USMCA_Non-China</v>
      </c>
    </row>
    <row r="8815" spans="1:9" x14ac:dyDescent="0.4">
      <c r="A8815" t="s">
        <v>71</v>
      </c>
      <c r="B8815" s="1">
        <v>45931</v>
      </c>
      <c r="C8815">
        <v>840733</v>
      </c>
      <c r="D8815" t="s">
        <v>176</v>
      </c>
      <c r="E8815">
        <v>0</v>
      </c>
      <c r="F8815">
        <v>0</v>
      </c>
      <c r="G8815">
        <v>0</v>
      </c>
      <c r="H8815">
        <f>_xlfn.XLOOKUP(FACT_IMPORTS[[#This Row],[hts_6]],DIM_PRODUCTS[hts_6],DIM_PRODUCTS[hts_4],,,)</f>
        <v>8407</v>
      </c>
      <c r="I8815" t="str" cm="1">
        <f t="array" ref="I8815">_xlfn.XLOOKUP(FACT_IMPORTS[[#This Row],[country_name]],DIM_COUNTRY[[#All],[Column2]],DIM_COUNTRY[[#All],[Column3]],,,)</f>
        <v>Major_Non-USMCA_Non-China</v>
      </c>
    </row>
    <row r="8816" spans="1:9" x14ac:dyDescent="0.4">
      <c r="A8816" t="s">
        <v>71</v>
      </c>
      <c r="B8816" s="1">
        <v>45931</v>
      </c>
      <c r="C8816">
        <v>840734</v>
      </c>
      <c r="D8816" t="s">
        <v>176</v>
      </c>
      <c r="E8816">
        <v>48127</v>
      </c>
      <c r="F8816">
        <v>10</v>
      </c>
      <c r="G8816">
        <v>4812</v>
      </c>
      <c r="H8816">
        <f>_xlfn.XLOOKUP(FACT_IMPORTS[[#This Row],[hts_6]],DIM_PRODUCTS[hts_6],DIM_PRODUCTS[hts_4],,,)</f>
        <v>8407</v>
      </c>
      <c r="I8816" t="str" cm="1">
        <f t="array" ref="I8816">_xlfn.XLOOKUP(FACT_IMPORTS[[#This Row],[country_name]],DIM_COUNTRY[[#All],[Column2]],DIM_COUNTRY[[#All],[Column3]],,,)</f>
        <v>Major_Non-USMCA_Non-China</v>
      </c>
    </row>
    <row r="8817" spans="1:9" x14ac:dyDescent="0.4">
      <c r="A8817" t="s">
        <v>71</v>
      </c>
      <c r="B8817" s="1">
        <v>45931</v>
      </c>
      <c r="C8817">
        <v>840790</v>
      </c>
      <c r="D8817" t="s">
        <v>176</v>
      </c>
      <c r="E8817">
        <v>0</v>
      </c>
      <c r="F8817">
        <v>0</v>
      </c>
      <c r="G8817">
        <v>0</v>
      </c>
      <c r="H8817">
        <f>_xlfn.XLOOKUP(FACT_IMPORTS[[#This Row],[hts_6]],DIM_PRODUCTS[hts_6],DIM_PRODUCTS[hts_4],,,)</f>
        <v>8407</v>
      </c>
      <c r="I8817" t="str" cm="1">
        <f t="array" ref="I8817">_xlfn.XLOOKUP(FACT_IMPORTS[[#This Row],[country_name]],DIM_COUNTRY[[#All],[Column2]],DIM_COUNTRY[[#All],[Column3]],,,)</f>
        <v>Major_Non-USMCA_Non-China</v>
      </c>
    </row>
    <row r="8818" spans="1:9" x14ac:dyDescent="0.4">
      <c r="A8818" t="s">
        <v>71</v>
      </c>
      <c r="B8818" s="1">
        <v>45931</v>
      </c>
      <c r="C8818">
        <v>840820</v>
      </c>
      <c r="D8818" t="s">
        <v>176</v>
      </c>
      <c r="E8818">
        <v>33400</v>
      </c>
      <c r="F8818">
        <v>1</v>
      </c>
      <c r="G8818">
        <v>38</v>
      </c>
      <c r="H8818">
        <f>_xlfn.XLOOKUP(FACT_IMPORTS[[#This Row],[hts_6]],DIM_PRODUCTS[hts_6],DIM_PRODUCTS[hts_4],,,)</f>
        <v>8408</v>
      </c>
      <c r="I8818" t="str" cm="1">
        <f t="array" ref="I8818">_xlfn.XLOOKUP(FACT_IMPORTS[[#This Row],[country_name]],DIM_COUNTRY[[#All],[Column2]],DIM_COUNTRY[[#All],[Column3]],,,)</f>
        <v>Major_Non-USMCA_Non-China</v>
      </c>
    </row>
    <row r="8819" spans="1:9" x14ac:dyDescent="0.4">
      <c r="A8819" t="s">
        <v>71</v>
      </c>
      <c r="B8819" s="1">
        <v>45931</v>
      </c>
      <c r="C8819">
        <v>840890</v>
      </c>
      <c r="D8819" t="s">
        <v>176</v>
      </c>
      <c r="E8819">
        <v>403158</v>
      </c>
      <c r="F8819">
        <v>6</v>
      </c>
      <c r="G8819">
        <v>309</v>
      </c>
      <c r="H8819">
        <f>_xlfn.XLOOKUP(FACT_IMPORTS[[#This Row],[hts_6]],DIM_PRODUCTS[hts_6],DIM_PRODUCTS[hts_4],,,)</f>
        <v>8408</v>
      </c>
      <c r="I8819" t="str" cm="1">
        <f t="array" ref="I8819">_xlfn.XLOOKUP(FACT_IMPORTS[[#This Row],[country_name]],DIM_COUNTRY[[#All],[Column2]],DIM_COUNTRY[[#All],[Column3]],,,)</f>
        <v>Major_Non-USMCA_Non-China</v>
      </c>
    </row>
    <row r="8820" spans="1:9" x14ac:dyDescent="0.4">
      <c r="A8820" t="s">
        <v>71</v>
      </c>
      <c r="B8820" s="1">
        <v>45931</v>
      </c>
      <c r="C8820">
        <v>840991</v>
      </c>
      <c r="D8820" t="s">
        <v>176</v>
      </c>
      <c r="E8820">
        <v>5136560</v>
      </c>
      <c r="F8820">
        <v>339195</v>
      </c>
      <c r="G8820">
        <v>120387</v>
      </c>
      <c r="H8820">
        <f>_xlfn.XLOOKUP(FACT_IMPORTS[[#This Row],[hts_6]],DIM_PRODUCTS[hts_6],DIM_PRODUCTS[hts_4],,,)</f>
        <v>8409</v>
      </c>
      <c r="I8820" t="str" cm="1">
        <f t="array" ref="I8820">_xlfn.XLOOKUP(FACT_IMPORTS[[#This Row],[country_name]],DIM_COUNTRY[[#All],[Column2]],DIM_COUNTRY[[#All],[Column3]],,,)</f>
        <v>Major_Non-USMCA_Non-China</v>
      </c>
    </row>
    <row r="8821" spans="1:9" x14ac:dyDescent="0.4">
      <c r="A8821" t="s">
        <v>71</v>
      </c>
      <c r="B8821" s="1">
        <v>45931</v>
      </c>
      <c r="C8821">
        <v>840999</v>
      </c>
      <c r="D8821" t="s">
        <v>176</v>
      </c>
      <c r="E8821">
        <v>18652</v>
      </c>
      <c r="F8821">
        <v>269</v>
      </c>
      <c r="G8821">
        <v>115</v>
      </c>
      <c r="H8821">
        <f>_xlfn.XLOOKUP(FACT_IMPORTS[[#This Row],[hts_6]],DIM_PRODUCTS[hts_6],DIM_PRODUCTS[hts_4],,,)</f>
        <v>8409</v>
      </c>
      <c r="I8821" t="str" cm="1">
        <f t="array" ref="I8821">_xlfn.XLOOKUP(FACT_IMPORTS[[#This Row],[country_name]],DIM_COUNTRY[[#All],[Column2]],DIM_COUNTRY[[#All],[Column3]],,,)</f>
        <v>Major_Non-USMCA_Non-China</v>
      </c>
    </row>
    <row r="8822" spans="1:9" x14ac:dyDescent="0.4">
      <c r="A8822" t="s">
        <v>71</v>
      </c>
      <c r="B8822" s="1">
        <v>45931</v>
      </c>
      <c r="C8822">
        <v>841330</v>
      </c>
      <c r="D8822" t="s">
        <v>176</v>
      </c>
      <c r="E8822">
        <v>2033140</v>
      </c>
      <c r="F8822">
        <v>95080</v>
      </c>
      <c r="G8822">
        <v>29311</v>
      </c>
      <c r="H8822">
        <f>_xlfn.XLOOKUP(FACT_IMPORTS[[#This Row],[hts_6]],DIM_PRODUCTS[hts_6],DIM_PRODUCTS[hts_4],,,)</f>
        <v>8413</v>
      </c>
      <c r="I8822" t="str" cm="1">
        <f t="array" ref="I8822">_xlfn.XLOOKUP(FACT_IMPORTS[[#This Row],[country_name]],DIM_COUNTRY[[#All],[Column2]],DIM_COUNTRY[[#All],[Column3]],,,)</f>
        <v>Major_Non-USMCA_Non-China</v>
      </c>
    </row>
    <row r="8823" spans="1:9" x14ac:dyDescent="0.4">
      <c r="A8823" t="s">
        <v>71</v>
      </c>
      <c r="B8823" s="1">
        <v>45931</v>
      </c>
      <c r="C8823">
        <v>841520</v>
      </c>
      <c r="D8823" t="s">
        <v>176</v>
      </c>
      <c r="E8823">
        <v>0</v>
      </c>
      <c r="F8823">
        <v>0</v>
      </c>
      <c r="G8823">
        <v>0</v>
      </c>
      <c r="H8823">
        <f>_xlfn.XLOOKUP(FACT_IMPORTS[[#This Row],[hts_6]],DIM_PRODUCTS[hts_6],DIM_PRODUCTS[hts_4],,,)</f>
        <v>8415</v>
      </c>
      <c r="I8823" t="str" cm="1">
        <f t="array" ref="I8823">_xlfn.XLOOKUP(FACT_IMPORTS[[#This Row],[country_name]],DIM_COUNTRY[[#All],[Column2]],DIM_COUNTRY[[#All],[Column3]],,,)</f>
        <v>Major_Non-USMCA_Non-China</v>
      </c>
    </row>
    <row r="8824" spans="1:9" x14ac:dyDescent="0.4">
      <c r="A8824" t="s">
        <v>71</v>
      </c>
      <c r="B8824" s="1">
        <v>45931</v>
      </c>
      <c r="C8824">
        <v>842132</v>
      </c>
      <c r="D8824" t="s">
        <v>176</v>
      </c>
      <c r="E8824">
        <v>15138</v>
      </c>
      <c r="F8824">
        <v>22</v>
      </c>
      <c r="G8824">
        <v>626</v>
      </c>
      <c r="H8824">
        <f>_xlfn.XLOOKUP(FACT_IMPORTS[[#This Row],[hts_6]],DIM_PRODUCTS[hts_6],DIM_PRODUCTS[hts_4],,,)</f>
        <v>8421</v>
      </c>
      <c r="I8824" t="str" cm="1">
        <f t="array" ref="I8824">_xlfn.XLOOKUP(FACT_IMPORTS[[#This Row],[country_name]],DIM_COUNTRY[[#All],[Column2]],DIM_COUNTRY[[#All],[Column3]],,,)</f>
        <v>Major_Non-USMCA_Non-China</v>
      </c>
    </row>
    <row r="8825" spans="1:9" x14ac:dyDescent="0.4">
      <c r="A8825" t="s">
        <v>71</v>
      </c>
      <c r="B8825" s="1">
        <v>45931</v>
      </c>
      <c r="C8825">
        <v>848210</v>
      </c>
      <c r="D8825" t="s">
        <v>176</v>
      </c>
      <c r="E8825">
        <v>74826</v>
      </c>
      <c r="F8825">
        <v>2041</v>
      </c>
      <c r="G8825">
        <v>9226</v>
      </c>
      <c r="H8825">
        <f>_xlfn.XLOOKUP(FACT_IMPORTS[[#This Row],[hts_6]],DIM_PRODUCTS[hts_6],DIM_PRODUCTS[hts_4],,,)</f>
        <v>8482</v>
      </c>
      <c r="I8825" t="str" cm="1">
        <f t="array" ref="I8825">_xlfn.XLOOKUP(FACT_IMPORTS[[#This Row],[country_name]],DIM_COUNTRY[[#All],[Column2]],DIM_COUNTRY[[#All],[Column3]],,,)</f>
        <v>Major_Non-USMCA_Non-China</v>
      </c>
    </row>
    <row r="8826" spans="1:9" x14ac:dyDescent="0.4">
      <c r="A8826" t="s">
        <v>71</v>
      </c>
      <c r="B8826" s="1">
        <v>45931</v>
      </c>
      <c r="C8826">
        <v>848220</v>
      </c>
      <c r="D8826" t="s">
        <v>176</v>
      </c>
      <c r="E8826">
        <v>38165</v>
      </c>
      <c r="F8826">
        <v>5196</v>
      </c>
      <c r="G8826">
        <v>332</v>
      </c>
      <c r="H8826">
        <f>_xlfn.XLOOKUP(FACT_IMPORTS[[#This Row],[hts_6]],DIM_PRODUCTS[hts_6],DIM_PRODUCTS[hts_4],,,)</f>
        <v>8482</v>
      </c>
      <c r="I8826" t="str" cm="1">
        <f t="array" ref="I8826">_xlfn.XLOOKUP(FACT_IMPORTS[[#This Row],[country_name]],DIM_COUNTRY[[#All],[Column2]],DIM_COUNTRY[[#All],[Column3]],,,)</f>
        <v>Major_Non-USMCA_Non-China</v>
      </c>
    </row>
    <row r="8827" spans="1:9" x14ac:dyDescent="0.4">
      <c r="A8827" t="s">
        <v>71</v>
      </c>
      <c r="B8827" s="1">
        <v>45931</v>
      </c>
      <c r="C8827">
        <v>848310</v>
      </c>
      <c r="D8827" t="s">
        <v>176</v>
      </c>
      <c r="E8827">
        <v>312257</v>
      </c>
      <c r="F8827">
        <v>2297</v>
      </c>
      <c r="G8827">
        <v>95962</v>
      </c>
      <c r="H8827">
        <f>_xlfn.XLOOKUP(FACT_IMPORTS[[#This Row],[hts_6]],DIM_PRODUCTS[hts_6],DIM_PRODUCTS[hts_4],,,)</f>
        <v>8483</v>
      </c>
      <c r="I8827" t="str" cm="1">
        <f t="array" ref="I8827">_xlfn.XLOOKUP(FACT_IMPORTS[[#This Row],[country_name]],DIM_COUNTRY[[#All],[Column2]],DIM_COUNTRY[[#All],[Column3]],,,)</f>
        <v>Major_Non-USMCA_Non-China</v>
      </c>
    </row>
    <row r="8828" spans="1:9" x14ac:dyDescent="0.4">
      <c r="A8828" t="s">
        <v>71</v>
      </c>
      <c r="B8828" s="1">
        <v>45931</v>
      </c>
      <c r="C8828">
        <v>850131</v>
      </c>
      <c r="D8828" t="s">
        <v>176</v>
      </c>
      <c r="E8828">
        <v>2393159</v>
      </c>
      <c r="F8828">
        <v>82265</v>
      </c>
      <c r="G8828">
        <v>31222</v>
      </c>
      <c r="H8828">
        <f>_xlfn.XLOOKUP(FACT_IMPORTS[[#This Row],[hts_6]],DIM_PRODUCTS[hts_6],DIM_PRODUCTS[hts_4],,,)</f>
        <v>8501</v>
      </c>
      <c r="I8828" t="str" cm="1">
        <f t="array" ref="I8828">_xlfn.XLOOKUP(FACT_IMPORTS[[#This Row],[country_name]],DIM_COUNTRY[[#All],[Column2]],DIM_COUNTRY[[#All],[Column3]],,,)</f>
        <v>Major_Non-USMCA_Non-China</v>
      </c>
    </row>
    <row r="8829" spans="1:9" x14ac:dyDescent="0.4">
      <c r="A8829" t="s">
        <v>71</v>
      </c>
      <c r="B8829" s="1">
        <v>45931</v>
      </c>
      <c r="C8829">
        <v>850132</v>
      </c>
      <c r="D8829" t="s">
        <v>176</v>
      </c>
      <c r="E8829">
        <v>0</v>
      </c>
      <c r="F8829">
        <v>0</v>
      </c>
      <c r="G8829">
        <v>0</v>
      </c>
      <c r="H8829">
        <f>_xlfn.XLOOKUP(FACT_IMPORTS[[#This Row],[hts_6]],DIM_PRODUCTS[hts_6],DIM_PRODUCTS[hts_4],,,)</f>
        <v>8501</v>
      </c>
      <c r="I8829" t="str" cm="1">
        <f t="array" ref="I8829">_xlfn.XLOOKUP(FACT_IMPORTS[[#This Row],[country_name]],DIM_COUNTRY[[#All],[Column2]],DIM_COUNTRY[[#All],[Column3]],,,)</f>
        <v>Major_Non-USMCA_Non-China</v>
      </c>
    </row>
    <row r="8830" spans="1:9" x14ac:dyDescent="0.4">
      <c r="A8830" t="s">
        <v>71</v>
      </c>
      <c r="B8830" s="1">
        <v>45931</v>
      </c>
      <c r="C8830">
        <v>850152</v>
      </c>
      <c r="D8830" t="s">
        <v>176</v>
      </c>
      <c r="E8830">
        <v>638584</v>
      </c>
      <c r="F8830">
        <v>1160</v>
      </c>
      <c r="G8830">
        <v>7400</v>
      </c>
      <c r="H8830">
        <f>_xlfn.XLOOKUP(FACT_IMPORTS[[#This Row],[hts_6]],DIM_PRODUCTS[hts_6],DIM_PRODUCTS[hts_4],,,)</f>
        <v>8501</v>
      </c>
      <c r="I8830" t="str" cm="1">
        <f t="array" ref="I8830">_xlfn.XLOOKUP(FACT_IMPORTS[[#This Row],[country_name]],DIM_COUNTRY[[#All],[Column2]],DIM_COUNTRY[[#All],[Column3]],,,)</f>
        <v>Major_Non-USMCA_Non-China</v>
      </c>
    </row>
    <row r="8831" spans="1:9" x14ac:dyDescent="0.4">
      <c r="A8831" t="s">
        <v>71</v>
      </c>
      <c r="B8831" s="1">
        <v>45931</v>
      </c>
      <c r="C8831">
        <v>850153</v>
      </c>
      <c r="D8831" t="s">
        <v>176</v>
      </c>
      <c r="E8831">
        <v>0</v>
      </c>
      <c r="F8831">
        <v>0</v>
      </c>
      <c r="G8831">
        <v>0</v>
      </c>
      <c r="H8831">
        <f>_xlfn.XLOOKUP(FACT_IMPORTS[[#This Row],[hts_6]],DIM_PRODUCTS[hts_6],DIM_PRODUCTS[hts_4],,,)</f>
        <v>8501</v>
      </c>
      <c r="I8831" t="str" cm="1">
        <f t="array" ref="I8831">_xlfn.XLOOKUP(FACT_IMPORTS[[#This Row],[country_name]],DIM_COUNTRY[[#All],[Column2]],DIM_COUNTRY[[#All],[Column3]],,,)</f>
        <v>Major_Non-USMCA_Non-China</v>
      </c>
    </row>
    <row r="8832" spans="1:9" x14ac:dyDescent="0.4">
      <c r="A8832" t="s">
        <v>71</v>
      </c>
      <c r="B8832" s="1">
        <v>45931</v>
      </c>
      <c r="C8832">
        <v>850161</v>
      </c>
      <c r="D8832" t="s">
        <v>176</v>
      </c>
      <c r="E8832">
        <v>5242</v>
      </c>
      <c r="F8832">
        <v>19</v>
      </c>
      <c r="G8832">
        <v>9</v>
      </c>
      <c r="H8832">
        <f>_xlfn.XLOOKUP(FACT_IMPORTS[[#This Row],[hts_6]],DIM_PRODUCTS[hts_6],DIM_PRODUCTS[hts_4],,,)</f>
        <v>8501</v>
      </c>
      <c r="I8832" t="str" cm="1">
        <f t="array" ref="I8832">_xlfn.XLOOKUP(FACT_IMPORTS[[#This Row],[country_name]],DIM_COUNTRY[[#All],[Column2]],DIM_COUNTRY[[#All],[Column3]],,,)</f>
        <v>Major_Non-USMCA_Non-China</v>
      </c>
    </row>
    <row r="8833" spans="1:9" x14ac:dyDescent="0.4">
      <c r="A8833" t="s">
        <v>71</v>
      </c>
      <c r="B8833" s="1">
        <v>45931</v>
      </c>
      <c r="C8833">
        <v>850440</v>
      </c>
      <c r="D8833" t="s">
        <v>176</v>
      </c>
      <c r="E8833">
        <v>400750</v>
      </c>
      <c r="F8833">
        <v>344</v>
      </c>
      <c r="G8833">
        <v>6794</v>
      </c>
      <c r="H8833">
        <f>_xlfn.XLOOKUP(FACT_IMPORTS[[#This Row],[hts_6]],DIM_PRODUCTS[hts_6],DIM_PRODUCTS[hts_4],,,)</f>
        <v>8504</v>
      </c>
      <c r="I8833" t="str" cm="1">
        <f t="array" ref="I8833">_xlfn.XLOOKUP(FACT_IMPORTS[[#This Row],[country_name]],DIM_COUNTRY[[#All],[Column2]],DIM_COUNTRY[[#All],[Column3]],,,)</f>
        <v>Major_Non-USMCA_Non-China</v>
      </c>
    </row>
    <row r="8834" spans="1:9" x14ac:dyDescent="0.4">
      <c r="A8834" t="s">
        <v>71</v>
      </c>
      <c r="B8834" s="1">
        <v>45931</v>
      </c>
      <c r="C8834">
        <v>850710</v>
      </c>
      <c r="D8834" t="s">
        <v>176</v>
      </c>
      <c r="E8834">
        <v>2622</v>
      </c>
      <c r="F8834">
        <v>48</v>
      </c>
      <c r="G8834">
        <v>60</v>
      </c>
      <c r="H8834">
        <f>_xlfn.XLOOKUP(FACT_IMPORTS[[#This Row],[hts_6]],DIM_PRODUCTS[hts_6],DIM_PRODUCTS[hts_4],,,)</f>
        <v>8507</v>
      </c>
      <c r="I8834" t="str" cm="1">
        <f t="array" ref="I8834">_xlfn.XLOOKUP(FACT_IMPORTS[[#This Row],[country_name]],DIM_COUNTRY[[#All],[Column2]],DIM_COUNTRY[[#All],[Column3]],,,)</f>
        <v>Major_Non-USMCA_Non-China</v>
      </c>
    </row>
    <row r="8835" spans="1:9" x14ac:dyDescent="0.4">
      <c r="A8835" t="s">
        <v>71</v>
      </c>
      <c r="B8835" s="1">
        <v>45931</v>
      </c>
      <c r="C8835">
        <v>850760</v>
      </c>
      <c r="D8835" t="s">
        <v>176</v>
      </c>
      <c r="E8835">
        <v>79827</v>
      </c>
      <c r="F8835">
        <v>163</v>
      </c>
      <c r="G8835">
        <v>694</v>
      </c>
      <c r="H8835">
        <f>_xlfn.XLOOKUP(FACT_IMPORTS[[#This Row],[hts_6]],DIM_PRODUCTS[hts_6],DIM_PRODUCTS[hts_4],,,)</f>
        <v>8507</v>
      </c>
      <c r="I8835" t="str" cm="1">
        <f t="array" ref="I8835">_xlfn.XLOOKUP(FACT_IMPORTS[[#This Row],[country_name]],DIM_COUNTRY[[#All],[Column2]],DIM_COUNTRY[[#All],[Column3]],,,)</f>
        <v>Major_Non-USMCA_Non-China</v>
      </c>
    </row>
    <row r="8836" spans="1:9" x14ac:dyDescent="0.4">
      <c r="A8836" t="s">
        <v>71</v>
      </c>
      <c r="B8836" s="1">
        <v>45931</v>
      </c>
      <c r="C8836">
        <v>851110</v>
      </c>
      <c r="D8836" t="s">
        <v>176</v>
      </c>
      <c r="E8836">
        <v>547524</v>
      </c>
      <c r="F8836">
        <v>717</v>
      </c>
      <c r="G8836">
        <v>4070</v>
      </c>
      <c r="H8836">
        <f>_xlfn.XLOOKUP(FACT_IMPORTS[[#This Row],[hts_6]],DIM_PRODUCTS[hts_6],DIM_PRODUCTS[hts_4],,,)</f>
        <v>8511</v>
      </c>
      <c r="I8836" t="str" cm="1">
        <f t="array" ref="I8836">_xlfn.XLOOKUP(FACT_IMPORTS[[#This Row],[country_name]],DIM_COUNTRY[[#All],[Column2]],DIM_COUNTRY[[#All],[Column3]],,,)</f>
        <v>Major_Non-USMCA_Non-China</v>
      </c>
    </row>
    <row r="8837" spans="1:9" x14ac:dyDescent="0.4">
      <c r="A8837" t="s">
        <v>71</v>
      </c>
      <c r="B8837" s="1">
        <v>45931</v>
      </c>
      <c r="C8837">
        <v>851130</v>
      </c>
      <c r="D8837" t="s">
        <v>176</v>
      </c>
      <c r="E8837">
        <v>662184</v>
      </c>
      <c r="F8837">
        <v>79800</v>
      </c>
      <c r="G8837">
        <v>3896</v>
      </c>
      <c r="H8837">
        <f>_xlfn.XLOOKUP(FACT_IMPORTS[[#This Row],[hts_6]],DIM_PRODUCTS[hts_6],DIM_PRODUCTS[hts_4],,,)</f>
        <v>8511</v>
      </c>
      <c r="I8837" t="str" cm="1">
        <f t="array" ref="I8837">_xlfn.XLOOKUP(FACT_IMPORTS[[#This Row],[country_name]],DIM_COUNTRY[[#All],[Column2]],DIM_COUNTRY[[#All],[Column3]],,,)</f>
        <v>Major_Non-USMCA_Non-China</v>
      </c>
    </row>
    <row r="8838" spans="1:9" x14ac:dyDescent="0.4">
      <c r="A8838" t="s">
        <v>71</v>
      </c>
      <c r="B8838" s="1">
        <v>45931</v>
      </c>
      <c r="C8838">
        <v>851140</v>
      </c>
      <c r="D8838" t="s">
        <v>176</v>
      </c>
      <c r="E8838">
        <v>1731761</v>
      </c>
      <c r="F8838">
        <v>33911</v>
      </c>
      <c r="G8838">
        <v>21384</v>
      </c>
      <c r="H8838">
        <f>_xlfn.XLOOKUP(FACT_IMPORTS[[#This Row],[hts_6]],DIM_PRODUCTS[hts_6],DIM_PRODUCTS[hts_4],,,)</f>
        <v>8511</v>
      </c>
      <c r="I8838" t="str" cm="1">
        <f t="array" ref="I8838">_xlfn.XLOOKUP(FACT_IMPORTS[[#This Row],[country_name]],DIM_COUNTRY[[#All],[Column2]],DIM_COUNTRY[[#All],[Column3]],,,)</f>
        <v>Major_Non-USMCA_Non-China</v>
      </c>
    </row>
    <row r="8839" spans="1:9" x14ac:dyDescent="0.4">
      <c r="A8839" t="s">
        <v>71</v>
      </c>
      <c r="B8839" s="1">
        <v>45931</v>
      </c>
      <c r="C8839">
        <v>851150</v>
      </c>
      <c r="D8839" t="s">
        <v>176</v>
      </c>
      <c r="E8839">
        <v>144610</v>
      </c>
      <c r="F8839">
        <v>753</v>
      </c>
      <c r="G8839">
        <v>2136</v>
      </c>
      <c r="H8839">
        <f>_xlfn.XLOOKUP(FACT_IMPORTS[[#This Row],[hts_6]],DIM_PRODUCTS[hts_6],DIM_PRODUCTS[hts_4],,,)</f>
        <v>8511</v>
      </c>
      <c r="I8839" t="str" cm="1">
        <f t="array" ref="I8839">_xlfn.XLOOKUP(FACT_IMPORTS[[#This Row],[country_name]],DIM_COUNTRY[[#All],[Column2]],DIM_COUNTRY[[#All],[Column3]],,,)</f>
        <v>Major_Non-USMCA_Non-China</v>
      </c>
    </row>
    <row r="8840" spans="1:9" x14ac:dyDescent="0.4">
      <c r="A8840" t="s">
        <v>71</v>
      </c>
      <c r="B8840" s="1">
        <v>45931</v>
      </c>
      <c r="C8840">
        <v>851180</v>
      </c>
      <c r="D8840" t="s">
        <v>176</v>
      </c>
      <c r="E8840">
        <v>24786</v>
      </c>
      <c r="F8840">
        <v>13539</v>
      </c>
      <c r="G8840">
        <v>50</v>
      </c>
      <c r="H8840">
        <f>_xlfn.XLOOKUP(FACT_IMPORTS[[#This Row],[hts_6]],DIM_PRODUCTS[hts_6],DIM_PRODUCTS[hts_4],,,)</f>
        <v>8511</v>
      </c>
      <c r="I8840" t="str" cm="1">
        <f t="array" ref="I8840">_xlfn.XLOOKUP(FACT_IMPORTS[[#This Row],[country_name]],DIM_COUNTRY[[#All],[Column2]],DIM_COUNTRY[[#All],[Column3]],,,)</f>
        <v>Major_Non-USMCA_Non-China</v>
      </c>
    </row>
    <row r="8841" spans="1:9" x14ac:dyDescent="0.4">
      <c r="A8841" t="s">
        <v>71</v>
      </c>
      <c r="B8841" s="1">
        <v>45931</v>
      </c>
      <c r="C8841">
        <v>851190</v>
      </c>
      <c r="D8841" t="s">
        <v>176</v>
      </c>
      <c r="E8841">
        <v>68040</v>
      </c>
      <c r="F8841">
        <v>2654</v>
      </c>
      <c r="G8841">
        <v>1804</v>
      </c>
      <c r="H8841">
        <f>_xlfn.XLOOKUP(FACT_IMPORTS[[#This Row],[hts_6]],DIM_PRODUCTS[hts_6],DIM_PRODUCTS[hts_4],,,)</f>
        <v>8511</v>
      </c>
      <c r="I8841" t="str" cm="1">
        <f t="array" ref="I8841">_xlfn.XLOOKUP(FACT_IMPORTS[[#This Row],[country_name]],DIM_COUNTRY[[#All],[Column2]],DIM_COUNTRY[[#All],[Column3]],,,)</f>
        <v>Major_Non-USMCA_Non-China</v>
      </c>
    </row>
    <row r="8842" spans="1:9" x14ac:dyDescent="0.4">
      <c r="A8842" t="s">
        <v>71</v>
      </c>
      <c r="B8842" s="1">
        <v>45931</v>
      </c>
      <c r="C8842">
        <v>851220</v>
      </c>
      <c r="D8842" t="s">
        <v>176</v>
      </c>
      <c r="E8842">
        <v>56615</v>
      </c>
      <c r="F8842">
        <v>229</v>
      </c>
      <c r="G8842">
        <v>970</v>
      </c>
      <c r="H8842">
        <f>_xlfn.XLOOKUP(FACT_IMPORTS[[#This Row],[hts_6]],DIM_PRODUCTS[hts_6],DIM_PRODUCTS[hts_4],,,)</f>
        <v>8512</v>
      </c>
      <c r="I8842" t="str" cm="1">
        <f t="array" ref="I8842">_xlfn.XLOOKUP(FACT_IMPORTS[[#This Row],[country_name]],DIM_COUNTRY[[#All],[Column2]],DIM_COUNTRY[[#All],[Column3]],,,)</f>
        <v>Major_Non-USMCA_Non-China</v>
      </c>
    </row>
    <row r="8843" spans="1:9" x14ac:dyDescent="0.4">
      <c r="A8843" t="s">
        <v>71</v>
      </c>
      <c r="B8843" s="1">
        <v>45931</v>
      </c>
      <c r="C8843">
        <v>851230</v>
      </c>
      <c r="D8843" t="s">
        <v>176</v>
      </c>
      <c r="E8843">
        <v>59762</v>
      </c>
      <c r="F8843">
        <v>7209</v>
      </c>
      <c r="G8843">
        <v>935</v>
      </c>
      <c r="H8843">
        <f>_xlfn.XLOOKUP(FACT_IMPORTS[[#This Row],[hts_6]],DIM_PRODUCTS[hts_6],DIM_PRODUCTS[hts_4],,,)</f>
        <v>8512</v>
      </c>
      <c r="I8843" t="str" cm="1">
        <f t="array" ref="I8843">_xlfn.XLOOKUP(FACT_IMPORTS[[#This Row],[country_name]],DIM_COUNTRY[[#All],[Column2]],DIM_COUNTRY[[#All],[Column3]],,,)</f>
        <v>Major_Non-USMCA_Non-China</v>
      </c>
    </row>
    <row r="8844" spans="1:9" x14ac:dyDescent="0.4">
      <c r="A8844" t="s">
        <v>71</v>
      </c>
      <c r="B8844" s="1">
        <v>45931</v>
      </c>
      <c r="C8844">
        <v>851290</v>
      </c>
      <c r="D8844" t="s">
        <v>176</v>
      </c>
      <c r="E8844">
        <v>82994</v>
      </c>
      <c r="F8844">
        <v>2099</v>
      </c>
      <c r="G8844">
        <v>1513</v>
      </c>
      <c r="H8844">
        <f>_xlfn.XLOOKUP(FACT_IMPORTS[[#This Row],[hts_6]],DIM_PRODUCTS[hts_6],DIM_PRODUCTS[hts_4],,,)</f>
        <v>8512</v>
      </c>
      <c r="I8844" t="str" cm="1">
        <f t="array" ref="I8844">_xlfn.XLOOKUP(FACT_IMPORTS[[#This Row],[country_name]],DIM_COUNTRY[[#All],[Column2]],DIM_COUNTRY[[#All],[Column3]],,,)</f>
        <v>Major_Non-USMCA_Non-China</v>
      </c>
    </row>
    <row r="8845" spans="1:9" x14ac:dyDescent="0.4">
      <c r="A8845" t="s">
        <v>71</v>
      </c>
      <c r="B8845" s="1">
        <v>45931</v>
      </c>
      <c r="C8845">
        <v>854231</v>
      </c>
      <c r="D8845" t="s">
        <v>176</v>
      </c>
      <c r="E8845">
        <v>142682</v>
      </c>
      <c r="F8845">
        <v>16726</v>
      </c>
      <c r="G8845">
        <v>5015</v>
      </c>
      <c r="H8845">
        <f>_xlfn.XLOOKUP(FACT_IMPORTS[[#This Row],[hts_6]],DIM_PRODUCTS[hts_6],DIM_PRODUCTS[hts_4],,,)</f>
        <v>8542</v>
      </c>
      <c r="I8845" t="str" cm="1">
        <f t="array" ref="I8845">_xlfn.XLOOKUP(FACT_IMPORTS[[#This Row],[country_name]],DIM_COUNTRY[[#All],[Column2]],DIM_COUNTRY[[#All],[Column3]],,,)</f>
        <v>Major_Non-USMCA_Non-China</v>
      </c>
    </row>
    <row r="8846" spans="1:9" x14ac:dyDescent="0.4">
      <c r="A8846" t="s">
        <v>71</v>
      </c>
      <c r="B8846" s="1">
        <v>45931</v>
      </c>
      <c r="C8846">
        <v>854232</v>
      </c>
      <c r="D8846" t="s">
        <v>176</v>
      </c>
      <c r="E8846">
        <v>0</v>
      </c>
      <c r="F8846">
        <v>0</v>
      </c>
      <c r="G8846">
        <v>0</v>
      </c>
      <c r="H8846">
        <f>_xlfn.XLOOKUP(FACT_IMPORTS[[#This Row],[hts_6]],DIM_PRODUCTS[hts_6],DIM_PRODUCTS[hts_4],,,)</f>
        <v>8542</v>
      </c>
      <c r="I8846" t="str" cm="1">
        <f t="array" ref="I8846">_xlfn.XLOOKUP(FACT_IMPORTS[[#This Row],[country_name]],DIM_COUNTRY[[#All],[Column2]],DIM_COUNTRY[[#All],[Column3]],,,)</f>
        <v>Major_Non-USMCA_Non-China</v>
      </c>
    </row>
    <row r="8847" spans="1:9" x14ac:dyDescent="0.4">
      <c r="A8847" t="s">
        <v>71</v>
      </c>
      <c r="B8847" s="1">
        <v>45931</v>
      </c>
      <c r="C8847">
        <v>854239</v>
      </c>
      <c r="D8847" t="s">
        <v>176</v>
      </c>
      <c r="E8847">
        <v>0</v>
      </c>
      <c r="F8847">
        <v>0</v>
      </c>
      <c r="G8847">
        <v>0</v>
      </c>
      <c r="H8847">
        <f>_xlfn.XLOOKUP(FACT_IMPORTS[[#This Row],[hts_6]],DIM_PRODUCTS[hts_6],DIM_PRODUCTS[hts_4],,,)</f>
        <v>8542</v>
      </c>
      <c r="I8847" t="str" cm="1">
        <f t="array" ref="I8847">_xlfn.XLOOKUP(FACT_IMPORTS[[#This Row],[country_name]],DIM_COUNTRY[[#All],[Column2]],DIM_COUNTRY[[#All],[Column3]],,,)</f>
        <v>Major_Non-USMCA_Non-China</v>
      </c>
    </row>
    <row r="8848" spans="1:9" x14ac:dyDescent="0.4">
      <c r="A8848" t="s">
        <v>71</v>
      </c>
      <c r="B8848" s="1">
        <v>45931</v>
      </c>
      <c r="C8848">
        <v>854290</v>
      </c>
      <c r="D8848" t="s">
        <v>176</v>
      </c>
      <c r="E8848">
        <v>0</v>
      </c>
      <c r="F8848">
        <v>0</v>
      </c>
      <c r="G8848">
        <v>0</v>
      </c>
      <c r="H8848">
        <f>_xlfn.XLOOKUP(FACT_IMPORTS[[#This Row],[hts_6]],DIM_PRODUCTS[hts_6],DIM_PRODUCTS[hts_4],,,)</f>
        <v>8542</v>
      </c>
      <c r="I8848" t="str" cm="1">
        <f t="array" ref="I8848">_xlfn.XLOOKUP(FACT_IMPORTS[[#This Row],[country_name]],DIM_COUNTRY[[#All],[Column2]],DIM_COUNTRY[[#All],[Column3]],,,)</f>
        <v>Major_Non-USMCA_Non-China</v>
      </c>
    </row>
    <row r="8849" spans="1:9" x14ac:dyDescent="0.4">
      <c r="A8849" t="s">
        <v>71</v>
      </c>
      <c r="B8849" s="1">
        <v>45931</v>
      </c>
      <c r="C8849">
        <v>854430</v>
      </c>
      <c r="D8849" t="s">
        <v>176</v>
      </c>
      <c r="E8849">
        <v>0</v>
      </c>
      <c r="F8849">
        <v>0</v>
      </c>
      <c r="G8849">
        <v>0</v>
      </c>
      <c r="H8849">
        <f>_xlfn.XLOOKUP(FACT_IMPORTS[[#This Row],[hts_6]],DIM_PRODUCTS[hts_6],DIM_PRODUCTS[hts_4],,,)</f>
        <v>8544</v>
      </c>
      <c r="I8849" t="str" cm="1">
        <f t="array" ref="I8849">_xlfn.XLOOKUP(FACT_IMPORTS[[#This Row],[country_name]],DIM_COUNTRY[[#All],[Column2]],DIM_COUNTRY[[#All],[Column3]],,,)</f>
        <v>Major_Non-USMCA_Non-China</v>
      </c>
    </row>
    <row r="8850" spans="1:9" x14ac:dyDescent="0.4">
      <c r="A8850" t="s">
        <v>71</v>
      </c>
      <c r="B8850" s="1">
        <v>45931</v>
      </c>
      <c r="C8850">
        <v>870710</v>
      </c>
      <c r="D8850" t="s">
        <v>176</v>
      </c>
      <c r="E8850">
        <v>6500</v>
      </c>
      <c r="F8850">
        <v>1</v>
      </c>
      <c r="G8850">
        <v>325</v>
      </c>
      <c r="H8850">
        <f>_xlfn.XLOOKUP(FACT_IMPORTS[[#This Row],[hts_6]],DIM_PRODUCTS[hts_6],DIM_PRODUCTS[hts_4],,,)</f>
        <v>8707</v>
      </c>
      <c r="I8850" t="str" cm="1">
        <f t="array" ref="I8850">_xlfn.XLOOKUP(FACT_IMPORTS[[#This Row],[country_name]],DIM_COUNTRY[[#All],[Column2]],DIM_COUNTRY[[#All],[Column3]],,,)</f>
        <v>Major_Non-USMCA_Non-China</v>
      </c>
    </row>
    <row r="8851" spans="1:9" x14ac:dyDescent="0.4">
      <c r="A8851" t="s">
        <v>71</v>
      </c>
      <c r="B8851" s="1">
        <v>45931</v>
      </c>
      <c r="C8851">
        <v>870790</v>
      </c>
      <c r="D8851" t="s">
        <v>176</v>
      </c>
      <c r="E8851">
        <v>17061</v>
      </c>
      <c r="F8851">
        <v>1</v>
      </c>
      <c r="G8851">
        <v>500</v>
      </c>
      <c r="H8851">
        <f>_xlfn.XLOOKUP(FACT_IMPORTS[[#This Row],[hts_6]],DIM_PRODUCTS[hts_6],DIM_PRODUCTS[hts_4],,,)</f>
        <v>8707</v>
      </c>
      <c r="I8851" t="str" cm="1">
        <f t="array" ref="I8851">_xlfn.XLOOKUP(FACT_IMPORTS[[#This Row],[country_name]],DIM_COUNTRY[[#All],[Column2]],DIM_COUNTRY[[#All],[Column3]],,,)</f>
        <v>Major_Non-USMCA_Non-China</v>
      </c>
    </row>
    <row r="8852" spans="1:9" x14ac:dyDescent="0.4">
      <c r="A8852" t="s">
        <v>71</v>
      </c>
      <c r="B8852" s="1">
        <v>45931</v>
      </c>
      <c r="C8852">
        <v>870810</v>
      </c>
      <c r="D8852" t="s">
        <v>176</v>
      </c>
      <c r="E8852">
        <v>0</v>
      </c>
      <c r="F8852">
        <v>0</v>
      </c>
      <c r="G8852">
        <v>0</v>
      </c>
      <c r="H8852">
        <f>_xlfn.XLOOKUP(FACT_IMPORTS[[#This Row],[hts_6]],DIM_PRODUCTS[hts_6],DIM_PRODUCTS[hts_4],,,)</f>
        <v>8708</v>
      </c>
      <c r="I8852" t="str" cm="1">
        <f t="array" ref="I8852">_xlfn.XLOOKUP(FACT_IMPORTS[[#This Row],[country_name]],DIM_COUNTRY[[#All],[Column2]],DIM_COUNTRY[[#All],[Column3]],,,)</f>
        <v>Major_Non-USMCA_Non-China</v>
      </c>
    </row>
    <row r="8853" spans="1:9" x14ac:dyDescent="0.4">
      <c r="A8853" t="s">
        <v>71</v>
      </c>
      <c r="B8853" s="1">
        <v>45931</v>
      </c>
      <c r="C8853">
        <v>870829</v>
      </c>
      <c r="D8853" t="s">
        <v>176</v>
      </c>
      <c r="E8853">
        <v>3372171</v>
      </c>
      <c r="F8853">
        <v>231615</v>
      </c>
      <c r="G8853">
        <v>87365</v>
      </c>
      <c r="H8853">
        <f>_xlfn.XLOOKUP(FACT_IMPORTS[[#This Row],[hts_6]],DIM_PRODUCTS[hts_6],DIM_PRODUCTS[hts_4],,,)</f>
        <v>8708</v>
      </c>
      <c r="I8853" t="str" cm="1">
        <f t="array" ref="I8853">_xlfn.XLOOKUP(FACT_IMPORTS[[#This Row],[country_name]],DIM_COUNTRY[[#All],[Column2]],DIM_COUNTRY[[#All],[Column3]],,,)</f>
        <v>Major_Non-USMCA_Non-China</v>
      </c>
    </row>
    <row r="8854" spans="1:9" x14ac:dyDescent="0.4">
      <c r="A8854" t="s">
        <v>71</v>
      </c>
      <c r="B8854" s="1">
        <v>45931</v>
      </c>
      <c r="C8854">
        <v>870830</v>
      </c>
      <c r="D8854" t="s">
        <v>176</v>
      </c>
      <c r="E8854">
        <v>774245</v>
      </c>
      <c r="F8854">
        <v>90260</v>
      </c>
      <c r="G8854">
        <v>8212</v>
      </c>
      <c r="H8854">
        <f>_xlfn.XLOOKUP(FACT_IMPORTS[[#This Row],[hts_6]],DIM_PRODUCTS[hts_6],DIM_PRODUCTS[hts_4],,,)</f>
        <v>8708</v>
      </c>
      <c r="I8854" t="str" cm="1">
        <f t="array" ref="I8854">_xlfn.XLOOKUP(FACT_IMPORTS[[#This Row],[country_name]],DIM_COUNTRY[[#All],[Column2]],DIM_COUNTRY[[#All],[Column3]],,,)</f>
        <v>Major_Non-USMCA_Non-China</v>
      </c>
    </row>
    <row r="8855" spans="1:9" x14ac:dyDescent="0.4">
      <c r="A8855" t="s">
        <v>71</v>
      </c>
      <c r="B8855" s="1">
        <v>45931</v>
      </c>
      <c r="C8855">
        <v>870840</v>
      </c>
      <c r="D8855" t="s">
        <v>176</v>
      </c>
      <c r="E8855">
        <v>4994413</v>
      </c>
      <c r="F8855">
        <v>4712</v>
      </c>
      <c r="G8855">
        <v>153594</v>
      </c>
      <c r="H8855">
        <f>_xlfn.XLOOKUP(FACT_IMPORTS[[#This Row],[hts_6]],DIM_PRODUCTS[hts_6],DIM_PRODUCTS[hts_4],,,)</f>
        <v>8708</v>
      </c>
      <c r="I8855" t="str" cm="1">
        <f t="array" ref="I8855">_xlfn.XLOOKUP(FACT_IMPORTS[[#This Row],[country_name]],DIM_COUNTRY[[#All],[Column2]],DIM_COUNTRY[[#All],[Column3]],,,)</f>
        <v>Major_Non-USMCA_Non-China</v>
      </c>
    </row>
    <row r="8856" spans="1:9" x14ac:dyDescent="0.4">
      <c r="A8856" t="s">
        <v>71</v>
      </c>
      <c r="B8856" s="1">
        <v>45931</v>
      </c>
      <c r="C8856">
        <v>870850</v>
      </c>
      <c r="D8856" t="s">
        <v>176</v>
      </c>
      <c r="E8856">
        <v>0</v>
      </c>
      <c r="F8856">
        <v>0</v>
      </c>
      <c r="G8856">
        <v>0</v>
      </c>
      <c r="H8856">
        <f>_xlfn.XLOOKUP(FACT_IMPORTS[[#This Row],[hts_6]],DIM_PRODUCTS[hts_6],DIM_PRODUCTS[hts_4],,,)</f>
        <v>8708</v>
      </c>
      <c r="I8856" t="str" cm="1">
        <f t="array" ref="I8856">_xlfn.XLOOKUP(FACT_IMPORTS[[#This Row],[country_name]],DIM_COUNTRY[[#All],[Column2]],DIM_COUNTRY[[#All],[Column3]],,,)</f>
        <v>Major_Non-USMCA_Non-China</v>
      </c>
    </row>
    <row r="8857" spans="1:9" x14ac:dyDescent="0.4">
      <c r="A8857" t="s">
        <v>71</v>
      </c>
      <c r="B8857" s="1">
        <v>45931</v>
      </c>
      <c r="C8857">
        <v>870870</v>
      </c>
      <c r="D8857" t="s">
        <v>176</v>
      </c>
      <c r="E8857">
        <v>7200</v>
      </c>
      <c r="F8857">
        <v>225</v>
      </c>
      <c r="G8857">
        <v>26</v>
      </c>
      <c r="H8857">
        <f>_xlfn.XLOOKUP(FACT_IMPORTS[[#This Row],[hts_6]],DIM_PRODUCTS[hts_6],DIM_PRODUCTS[hts_4],,,)</f>
        <v>8708</v>
      </c>
      <c r="I8857" t="str" cm="1">
        <f t="array" ref="I8857">_xlfn.XLOOKUP(FACT_IMPORTS[[#This Row],[country_name]],DIM_COUNTRY[[#All],[Column2]],DIM_COUNTRY[[#All],[Column3]],,,)</f>
        <v>Major_Non-USMCA_Non-China</v>
      </c>
    </row>
    <row r="8858" spans="1:9" x14ac:dyDescent="0.4">
      <c r="A8858" t="s">
        <v>71</v>
      </c>
      <c r="B8858" s="1">
        <v>45931</v>
      </c>
      <c r="C8858">
        <v>870880</v>
      </c>
      <c r="D8858" t="s">
        <v>176</v>
      </c>
      <c r="E8858">
        <v>347702</v>
      </c>
      <c r="F8858">
        <v>9503</v>
      </c>
      <c r="G8858">
        <v>2811</v>
      </c>
      <c r="H8858">
        <f>_xlfn.XLOOKUP(FACT_IMPORTS[[#This Row],[hts_6]],DIM_PRODUCTS[hts_6],DIM_PRODUCTS[hts_4],,,)</f>
        <v>8708</v>
      </c>
      <c r="I8858" t="str" cm="1">
        <f t="array" ref="I8858">_xlfn.XLOOKUP(FACT_IMPORTS[[#This Row],[country_name]],DIM_COUNTRY[[#All],[Column2]],DIM_COUNTRY[[#All],[Column3]],,,)</f>
        <v>Major_Non-USMCA_Non-China</v>
      </c>
    </row>
    <row r="8859" spans="1:9" x14ac:dyDescent="0.4">
      <c r="A8859" t="s">
        <v>71</v>
      </c>
      <c r="B8859" s="1">
        <v>45931</v>
      </c>
      <c r="C8859">
        <v>870891</v>
      </c>
      <c r="D8859" t="s">
        <v>176</v>
      </c>
      <c r="E8859">
        <v>106574</v>
      </c>
      <c r="F8859">
        <v>116496</v>
      </c>
      <c r="G8859">
        <v>1386</v>
      </c>
      <c r="H8859">
        <f>_xlfn.XLOOKUP(FACT_IMPORTS[[#This Row],[hts_6]],DIM_PRODUCTS[hts_6],DIM_PRODUCTS[hts_4],,,)</f>
        <v>8708</v>
      </c>
      <c r="I8859" t="str" cm="1">
        <f t="array" ref="I8859">_xlfn.XLOOKUP(FACT_IMPORTS[[#This Row],[country_name]],DIM_COUNTRY[[#All],[Column2]],DIM_COUNTRY[[#All],[Column3]],,,)</f>
        <v>Major_Non-USMCA_Non-China</v>
      </c>
    </row>
    <row r="8860" spans="1:9" x14ac:dyDescent="0.4">
      <c r="A8860" t="s">
        <v>71</v>
      </c>
      <c r="B8860" s="1">
        <v>45931</v>
      </c>
      <c r="C8860">
        <v>870892</v>
      </c>
      <c r="D8860" t="s">
        <v>176</v>
      </c>
      <c r="E8860">
        <v>0</v>
      </c>
      <c r="F8860">
        <v>0</v>
      </c>
      <c r="G8860">
        <v>0</v>
      </c>
      <c r="H8860">
        <f>_xlfn.XLOOKUP(FACT_IMPORTS[[#This Row],[hts_6]],DIM_PRODUCTS[hts_6],DIM_PRODUCTS[hts_4],,,)</f>
        <v>8708</v>
      </c>
      <c r="I8860" t="str" cm="1">
        <f t="array" ref="I8860">_xlfn.XLOOKUP(FACT_IMPORTS[[#This Row],[country_name]],DIM_COUNTRY[[#All],[Column2]],DIM_COUNTRY[[#All],[Column3]],,,)</f>
        <v>Major_Non-USMCA_Non-China</v>
      </c>
    </row>
    <row r="8861" spans="1:9" x14ac:dyDescent="0.4">
      <c r="A8861" t="s">
        <v>71</v>
      </c>
      <c r="B8861" s="1">
        <v>45931</v>
      </c>
      <c r="C8861">
        <v>870893</v>
      </c>
      <c r="D8861" t="s">
        <v>176</v>
      </c>
      <c r="E8861">
        <v>965094</v>
      </c>
      <c r="F8861">
        <v>198814</v>
      </c>
      <c r="G8861">
        <v>19670</v>
      </c>
      <c r="H8861">
        <f>_xlfn.XLOOKUP(FACT_IMPORTS[[#This Row],[hts_6]],DIM_PRODUCTS[hts_6],DIM_PRODUCTS[hts_4],,,)</f>
        <v>8708</v>
      </c>
      <c r="I8861" t="str" cm="1">
        <f t="array" ref="I8861">_xlfn.XLOOKUP(FACT_IMPORTS[[#This Row],[country_name]],DIM_COUNTRY[[#All],[Column2]],DIM_COUNTRY[[#All],[Column3]],,,)</f>
        <v>Major_Non-USMCA_Non-China</v>
      </c>
    </row>
    <row r="8862" spans="1:9" x14ac:dyDescent="0.4">
      <c r="A8862" t="s">
        <v>71</v>
      </c>
      <c r="B8862" s="1">
        <v>45931</v>
      </c>
      <c r="C8862">
        <v>870894</v>
      </c>
      <c r="D8862" t="s">
        <v>176</v>
      </c>
      <c r="E8862">
        <v>44415</v>
      </c>
      <c r="F8862">
        <v>51</v>
      </c>
      <c r="G8862">
        <v>1052</v>
      </c>
      <c r="H8862">
        <f>_xlfn.XLOOKUP(FACT_IMPORTS[[#This Row],[hts_6]],DIM_PRODUCTS[hts_6],DIM_PRODUCTS[hts_4],,,)</f>
        <v>8708</v>
      </c>
      <c r="I8862" t="str" cm="1">
        <f t="array" ref="I8862">_xlfn.XLOOKUP(FACT_IMPORTS[[#This Row],[country_name]],DIM_COUNTRY[[#All],[Column2]],DIM_COUNTRY[[#All],[Column3]],,,)</f>
        <v>Major_Non-USMCA_Non-China</v>
      </c>
    </row>
    <row r="8863" spans="1:9" x14ac:dyDescent="0.4">
      <c r="A8863" t="s">
        <v>71</v>
      </c>
      <c r="B8863" s="1">
        <v>45931</v>
      </c>
      <c r="C8863">
        <v>870895</v>
      </c>
      <c r="D8863" t="s">
        <v>176</v>
      </c>
      <c r="E8863">
        <v>0</v>
      </c>
      <c r="F8863">
        <v>0</v>
      </c>
      <c r="G8863">
        <v>0</v>
      </c>
      <c r="H8863">
        <f>_xlfn.XLOOKUP(FACT_IMPORTS[[#This Row],[hts_6]],DIM_PRODUCTS[hts_6],DIM_PRODUCTS[hts_4],,,)</f>
        <v>8708</v>
      </c>
      <c r="I8863" t="str" cm="1">
        <f t="array" ref="I8863">_xlfn.XLOOKUP(FACT_IMPORTS[[#This Row],[country_name]],DIM_COUNTRY[[#All],[Column2]],DIM_COUNTRY[[#All],[Column3]],,,)</f>
        <v>Major_Non-USMCA_Non-China</v>
      </c>
    </row>
    <row r="8864" spans="1:9" x14ac:dyDescent="0.4">
      <c r="A8864" t="s">
        <v>71</v>
      </c>
      <c r="B8864" s="1">
        <v>45931</v>
      </c>
      <c r="C8864">
        <v>870899</v>
      </c>
      <c r="D8864" t="s">
        <v>176</v>
      </c>
      <c r="E8864">
        <v>2176872</v>
      </c>
      <c r="F8864">
        <v>2067614</v>
      </c>
      <c r="G8864">
        <v>34428</v>
      </c>
      <c r="H8864">
        <f>_xlfn.XLOOKUP(FACT_IMPORTS[[#This Row],[hts_6]],DIM_PRODUCTS[hts_6],DIM_PRODUCTS[hts_4],,,)</f>
        <v>8708</v>
      </c>
      <c r="I8864" t="str" cm="1">
        <f t="array" ref="I8864">_xlfn.XLOOKUP(FACT_IMPORTS[[#This Row],[country_name]],DIM_COUNTRY[[#All],[Column2]],DIM_COUNTRY[[#All],[Column3]],,,)</f>
        <v>Major_Non-USMCA_Non-China</v>
      </c>
    </row>
    <row r="8865" spans="1:9" x14ac:dyDescent="0.4">
      <c r="A8865" t="s">
        <v>71</v>
      </c>
      <c r="B8865" s="1">
        <v>45931</v>
      </c>
      <c r="C8865">
        <v>940120</v>
      </c>
      <c r="D8865" t="s">
        <v>176</v>
      </c>
      <c r="E8865">
        <v>909</v>
      </c>
      <c r="F8865">
        <v>2</v>
      </c>
      <c r="G8865">
        <v>100</v>
      </c>
      <c r="H8865">
        <f>_xlfn.XLOOKUP(FACT_IMPORTS[[#This Row],[hts_6]],DIM_PRODUCTS[hts_6],DIM_PRODUCTS[hts_4],,,)</f>
        <v>9401</v>
      </c>
      <c r="I8865" t="str" cm="1">
        <f t="array" ref="I8865">_xlfn.XLOOKUP(FACT_IMPORTS[[#This Row],[country_name]],DIM_COUNTRY[[#All],[Column2]],DIM_COUNTRY[[#All],[Column3]],,,)</f>
        <v>Major_Non-USMCA_Non-China</v>
      </c>
    </row>
    <row r="8866" spans="1:9" x14ac:dyDescent="0.4">
      <c r="A8866" t="s">
        <v>64</v>
      </c>
      <c r="B8866" s="1">
        <v>44927</v>
      </c>
      <c r="C8866">
        <v>392630</v>
      </c>
      <c r="D8866" t="s">
        <v>176</v>
      </c>
      <c r="E8866">
        <v>0</v>
      </c>
      <c r="F8866">
        <v>0</v>
      </c>
      <c r="G8866">
        <v>0</v>
      </c>
      <c r="H8866">
        <f>_xlfn.XLOOKUP(FACT_IMPORTS[[#This Row],[hts_6]],DIM_PRODUCTS[hts_6],DIM_PRODUCTS[hts_4],,,)</f>
        <v>3926</v>
      </c>
      <c r="I8866" t="str" cm="1">
        <f t="array" ref="I8866">_xlfn.XLOOKUP(FACT_IMPORTS[[#This Row],[country_name]],DIM_COUNTRY[[#All],[Column2]],DIM_COUNTRY[[#All],[Column3]],,,)</f>
        <v>USMCA</v>
      </c>
    </row>
    <row r="8867" spans="1:9" x14ac:dyDescent="0.4">
      <c r="A8867" t="s">
        <v>64</v>
      </c>
      <c r="B8867" s="1">
        <v>44927</v>
      </c>
      <c r="C8867">
        <v>401110</v>
      </c>
      <c r="D8867" t="s">
        <v>176</v>
      </c>
      <c r="E8867">
        <v>89283</v>
      </c>
      <c r="F8867">
        <v>1185</v>
      </c>
      <c r="G8867">
        <v>3735</v>
      </c>
      <c r="H8867">
        <f>_xlfn.XLOOKUP(FACT_IMPORTS[[#This Row],[hts_6]],DIM_PRODUCTS[hts_6],DIM_PRODUCTS[hts_4],,,)</f>
        <v>4011</v>
      </c>
      <c r="I8867" t="str" cm="1">
        <f t="array" ref="I8867">_xlfn.XLOOKUP(FACT_IMPORTS[[#This Row],[country_name]],DIM_COUNTRY[[#All],[Column2]],DIM_COUNTRY[[#All],[Column3]],,,)</f>
        <v>USMCA</v>
      </c>
    </row>
    <row r="8868" spans="1:9" x14ac:dyDescent="0.4">
      <c r="A8868" t="s">
        <v>64</v>
      </c>
      <c r="B8868" s="1">
        <v>44927</v>
      </c>
      <c r="C8868">
        <v>401120</v>
      </c>
      <c r="D8868" t="s">
        <v>176</v>
      </c>
      <c r="E8868">
        <v>1141</v>
      </c>
      <c r="F8868">
        <v>6</v>
      </c>
      <c r="G8868">
        <v>9</v>
      </c>
      <c r="H8868">
        <f>_xlfn.XLOOKUP(FACT_IMPORTS[[#This Row],[hts_6]],DIM_PRODUCTS[hts_6],DIM_PRODUCTS[hts_4],,,)</f>
        <v>4011</v>
      </c>
      <c r="I8868" t="str" cm="1">
        <f t="array" ref="I8868">_xlfn.XLOOKUP(FACT_IMPORTS[[#This Row],[country_name]],DIM_COUNTRY[[#All],[Column2]],DIM_COUNTRY[[#All],[Column3]],,,)</f>
        <v>USMCA</v>
      </c>
    </row>
    <row r="8869" spans="1:9" x14ac:dyDescent="0.4">
      <c r="A8869" t="s">
        <v>64</v>
      </c>
      <c r="B8869" s="1">
        <v>44927</v>
      </c>
      <c r="C8869">
        <v>401190</v>
      </c>
      <c r="D8869" t="s">
        <v>176</v>
      </c>
      <c r="E8869">
        <v>0</v>
      </c>
      <c r="F8869">
        <v>0</v>
      </c>
      <c r="G8869">
        <v>0</v>
      </c>
      <c r="H8869">
        <f>_xlfn.XLOOKUP(FACT_IMPORTS[[#This Row],[hts_6]],DIM_PRODUCTS[hts_6],DIM_PRODUCTS[hts_4],,,)</f>
        <v>4011</v>
      </c>
      <c r="I8869" t="str" cm="1">
        <f t="array" ref="I8869">_xlfn.XLOOKUP(FACT_IMPORTS[[#This Row],[country_name]],DIM_COUNTRY[[#All],[Column2]],DIM_COUNTRY[[#All],[Column3]],,,)</f>
        <v>USMCA</v>
      </c>
    </row>
    <row r="8870" spans="1:9" x14ac:dyDescent="0.4">
      <c r="A8870" t="s">
        <v>64</v>
      </c>
      <c r="B8870" s="1">
        <v>44927</v>
      </c>
      <c r="C8870">
        <v>700910</v>
      </c>
      <c r="D8870" t="s">
        <v>176</v>
      </c>
      <c r="E8870">
        <v>6346</v>
      </c>
      <c r="F8870">
        <v>105</v>
      </c>
      <c r="G8870">
        <v>87</v>
      </c>
      <c r="H8870">
        <f>_xlfn.XLOOKUP(FACT_IMPORTS[[#This Row],[hts_6]],DIM_PRODUCTS[hts_6],DIM_PRODUCTS[hts_4],,,)</f>
        <v>7009</v>
      </c>
      <c r="I8870" t="str" cm="1">
        <f t="array" ref="I8870">_xlfn.XLOOKUP(FACT_IMPORTS[[#This Row],[country_name]],DIM_COUNTRY[[#All],[Column2]],DIM_COUNTRY[[#All],[Column3]],,,)</f>
        <v>USMCA</v>
      </c>
    </row>
    <row r="8871" spans="1:9" x14ac:dyDescent="0.4">
      <c r="A8871" t="s">
        <v>64</v>
      </c>
      <c r="B8871" s="1">
        <v>44927</v>
      </c>
      <c r="C8871">
        <v>732010</v>
      </c>
      <c r="D8871" t="s">
        <v>176</v>
      </c>
      <c r="E8871">
        <v>0</v>
      </c>
      <c r="F8871">
        <v>0</v>
      </c>
      <c r="G8871">
        <v>0</v>
      </c>
      <c r="H8871">
        <f>_xlfn.XLOOKUP(FACT_IMPORTS[[#This Row],[hts_6]],DIM_PRODUCTS[hts_6],DIM_PRODUCTS[hts_4],,,)</f>
        <v>7320</v>
      </c>
      <c r="I8871" t="str" cm="1">
        <f t="array" ref="I8871">_xlfn.XLOOKUP(FACT_IMPORTS[[#This Row],[country_name]],DIM_COUNTRY[[#All],[Column2]],DIM_COUNTRY[[#All],[Column3]],,,)</f>
        <v>USMCA</v>
      </c>
    </row>
    <row r="8872" spans="1:9" x14ac:dyDescent="0.4">
      <c r="A8872" t="s">
        <v>64</v>
      </c>
      <c r="B8872" s="1">
        <v>44927</v>
      </c>
      <c r="C8872">
        <v>830230</v>
      </c>
      <c r="D8872" t="s">
        <v>176</v>
      </c>
      <c r="E8872">
        <v>0</v>
      </c>
      <c r="F8872">
        <v>0</v>
      </c>
      <c r="G8872">
        <v>0</v>
      </c>
      <c r="H8872">
        <f>_xlfn.XLOOKUP(FACT_IMPORTS[[#This Row],[hts_6]],DIM_PRODUCTS[hts_6],DIM_PRODUCTS[hts_4],,,)</f>
        <v>8302</v>
      </c>
      <c r="I8872" t="str" cm="1">
        <f t="array" ref="I8872">_xlfn.XLOOKUP(FACT_IMPORTS[[#This Row],[country_name]],DIM_COUNTRY[[#All],[Column2]],DIM_COUNTRY[[#All],[Column3]],,,)</f>
        <v>USMCA</v>
      </c>
    </row>
    <row r="8873" spans="1:9" x14ac:dyDescent="0.4">
      <c r="A8873" t="s">
        <v>64</v>
      </c>
      <c r="B8873" s="1">
        <v>44927</v>
      </c>
      <c r="C8873">
        <v>840733</v>
      </c>
      <c r="D8873" t="s">
        <v>176</v>
      </c>
      <c r="E8873">
        <v>0</v>
      </c>
      <c r="F8873">
        <v>0</v>
      </c>
      <c r="G8873">
        <v>0</v>
      </c>
      <c r="H8873">
        <f>_xlfn.XLOOKUP(FACT_IMPORTS[[#This Row],[hts_6]],DIM_PRODUCTS[hts_6],DIM_PRODUCTS[hts_4],,,)</f>
        <v>8407</v>
      </c>
      <c r="I8873" t="str" cm="1">
        <f t="array" ref="I8873">_xlfn.XLOOKUP(FACT_IMPORTS[[#This Row],[country_name]],DIM_COUNTRY[[#All],[Column2]],DIM_COUNTRY[[#All],[Column3]],,,)</f>
        <v>USMCA</v>
      </c>
    </row>
    <row r="8874" spans="1:9" x14ac:dyDescent="0.4">
      <c r="A8874" t="s">
        <v>64</v>
      </c>
      <c r="B8874" s="1">
        <v>44927</v>
      </c>
      <c r="C8874">
        <v>840734</v>
      </c>
      <c r="D8874" t="s">
        <v>176</v>
      </c>
      <c r="E8874">
        <v>473070</v>
      </c>
      <c r="F8874">
        <v>315</v>
      </c>
      <c r="G8874">
        <v>1446</v>
      </c>
      <c r="H8874">
        <f>_xlfn.XLOOKUP(FACT_IMPORTS[[#This Row],[hts_6]],DIM_PRODUCTS[hts_6],DIM_PRODUCTS[hts_4],,,)</f>
        <v>8407</v>
      </c>
      <c r="I8874" t="str" cm="1">
        <f t="array" ref="I8874">_xlfn.XLOOKUP(FACT_IMPORTS[[#This Row],[country_name]],DIM_COUNTRY[[#All],[Column2]],DIM_COUNTRY[[#All],[Column3]],,,)</f>
        <v>USMCA</v>
      </c>
    </row>
    <row r="8875" spans="1:9" x14ac:dyDescent="0.4">
      <c r="A8875" t="s">
        <v>64</v>
      </c>
      <c r="B8875" s="1">
        <v>44927</v>
      </c>
      <c r="C8875">
        <v>840820</v>
      </c>
      <c r="D8875" t="s">
        <v>176</v>
      </c>
      <c r="E8875">
        <v>74974</v>
      </c>
      <c r="F8875">
        <v>18</v>
      </c>
      <c r="G8875">
        <v>299</v>
      </c>
      <c r="H8875">
        <f>_xlfn.XLOOKUP(FACT_IMPORTS[[#This Row],[hts_6]],DIM_PRODUCTS[hts_6],DIM_PRODUCTS[hts_4],,,)</f>
        <v>8408</v>
      </c>
      <c r="I8875" t="str" cm="1">
        <f t="array" ref="I8875">_xlfn.XLOOKUP(FACT_IMPORTS[[#This Row],[country_name]],DIM_COUNTRY[[#All],[Column2]],DIM_COUNTRY[[#All],[Column3]],,,)</f>
        <v>USMCA</v>
      </c>
    </row>
    <row r="8876" spans="1:9" x14ac:dyDescent="0.4">
      <c r="A8876" t="s">
        <v>64</v>
      </c>
      <c r="B8876" s="1">
        <v>44927</v>
      </c>
      <c r="C8876">
        <v>840890</v>
      </c>
      <c r="D8876" t="s">
        <v>176</v>
      </c>
      <c r="E8876">
        <v>8500</v>
      </c>
      <c r="F8876">
        <v>3</v>
      </c>
      <c r="G8876">
        <v>20</v>
      </c>
      <c r="H8876">
        <f>_xlfn.XLOOKUP(FACT_IMPORTS[[#This Row],[hts_6]],DIM_PRODUCTS[hts_6],DIM_PRODUCTS[hts_4],,,)</f>
        <v>8408</v>
      </c>
      <c r="I8876" t="str" cm="1">
        <f t="array" ref="I8876">_xlfn.XLOOKUP(FACT_IMPORTS[[#This Row],[country_name]],DIM_COUNTRY[[#All],[Column2]],DIM_COUNTRY[[#All],[Column3]],,,)</f>
        <v>USMCA</v>
      </c>
    </row>
    <row r="8877" spans="1:9" x14ac:dyDescent="0.4">
      <c r="A8877" t="s">
        <v>64</v>
      </c>
      <c r="B8877" s="1">
        <v>44927</v>
      </c>
      <c r="C8877">
        <v>840991</v>
      </c>
      <c r="D8877" t="s">
        <v>176</v>
      </c>
      <c r="E8877">
        <v>742796</v>
      </c>
      <c r="F8877">
        <v>50550</v>
      </c>
      <c r="G8877">
        <v>4946</v>
      </c>
      <c r="H8877">
        <f>_xlfn.XLOOKUP(FACT_IMPORTS[[#This Row],[hts_6]],DIM_PRODUCTS[hts_6],DIM_PRODUCTS[hts_4],,,)</f>
        <v>8409</v>
      </c>
      <c r="I8877" t="str" cm="1">
        <f t="array" ref="I8877">_xlfn.XLOOKUP(FACT_IMPORTS[[#This Row],[country_name]],DIM_COUNTRY[[#All],[Column2]],DIM_COUNTRY[[#All],[Column3]],,,)</f>
        <v>USMCA</v>
      </c>
    </row>
    <row r="8878" spans="1:9" x14ac:dyDescent="0.4">
      <c r="A8878" t="s">
        <v>64</v>
      </c>
      <c r="B8878" s="1">
        <v>44927</v>
      </c>
      <c r="C8878">
        <v>840999</v>
      </c>
      <c r="D8878" t="s">
        <v>176</v>
      </c>
      <c r="E8878">
        <v>73054</v>
      </c>
      <c r="F8878">
        <v>2400</v>
      </c>
      <c r="G8878">
        <v>1249</v>
      </c>
      <c r="H8878">
        <f>_xlfn.XLOOKUP(FACT_IMPORTS[[#This Row],[hts_6]],DIM_PRODUCTS[hts_6],DIM_PRODUCTS[hts_4],,,)</f>
        <v>8409</v>
      </c>
      <c r="I8878" t="str" cm="1">
        <f t="array" ref="I8878">_xlfn.XLOOKUP(FACT_IMPORTS[[#This Row],[country_name]],DIM_COUNTRY[[#All],[Column2]],DIM_COUNTRY[[#All],[Column3]],,,)</f>
        <v>USMCA</v>
      </c>
    </row>
    <row r="8879" spans="1:9" x14ac:dyDescent="0.4">
      <c r="A8879" t="s">
        <v>64</v>
      </c>
      <c r="B8879" s="1">
        <v>44927</v>
      </c>
      <c r="C8879">
        <v>841330</v>
      </c>
      <c r="D8879" t="s">
        <v>176</v>
      </c>
      <c r="E8879">
        <v>19924</v>
      </c>
      <c r="F8879">
        <v>79</v>
      </c>
      <c r="G8879">
        <v>32</v>
      </c>
      <c r="H8879">
        <f>_xlfn.XLOOKUP(FACT_IMPORTS[[#This Row],[hts_6]],DIM_PRODUCTS[hts_6],DIM_PRODUCTS[hts_4],,,)</f>
        <v>8413</v>
      </c>
      <c r="I8879" t="str" cm="1">
        <f t="array" ref="I8879">_xlfn.XLOOKUP(FACT_IMPORTS[[#This Row],[country_name]],DIM_COUNTRY[[#All],[Column2]],DIM_COUNTRY[[#All],[Column3]],,,)</f>
        <v>USMCA</v>
      </c>
    </row>
    <row r="8880" spans="1:9" x14ac:dyDescent="0.4">
      <c r="A8880" t="s">
        <v>64</v>
      </c>
      <c r="B8880" s="1">
        <v>44927</v>
      </c>
      <c r="C8880">
        <v>842132</v>
      </c>
      <c r="D8880" t="s">
        <v>176</v>
      </c>
      <c r="E8880">
        <v>231915</v>
      </c>
      <c r="F8880">
        <v>1739</v>
      </c>
      <c r="G8880">
        <v>2926</v>
      </c>
      <c r="H8880">
        <f>_xlfn.XLOOKUP(FACT_IMPORTS[[#This Row],[hts_6]],DIM_PRODUCTS[hts_6],DIM_PRODUCTS[hts_4],,,)</f>
        <v>8421</v>
      </c>
      <c r="I8880" t="str" cm="1">
        <f t="array" ref="I8880">_xlfn.XLOOKUP(FACT_IMPORTS[[#This Row],[country_name]],DIM_COUNTRY[[#All],[Column2]],DIM_COUNTRY[[#All],[Column3]],,,)</f>
        <v>USMCA</v>
      </c>
    </row>
    <row r="8881" spans="1:9" x14ac:dyDescent="0.4">
      <c r="A8881" t="s">
        <v>64</v>
      </c>
      <c r="B8881" s="1">
        <v>44927</v>
      </c>
      <c r="C8881">
        <v>848210</v>
      </c>
      <c r="D8881" t="s">
        <v>176</v>
      </c>
      <c r="E8881">
        <v>76186</v>
      </c>
      <c r="F8881">
        <v>876</v>
      </c>
      <c r="G8881">
        <v>285</v>
      </c>
      <c r="H8881">
        <f>_xlfn.XLOOKUP(FACT_IMPORTS[[#This Row],[hts_6]],DIM_PRODUCTS[hts_6],DIM_PRODUCTS[hts_4],,,)</f>
        <v>8482</v>
      </c>
      <c r="I8881" t="str" cm="1">
        <f t="array" ref="I8881">_xlfn.XLOOKUP(FACT_IMPORTS[[#This Row],[country_name]],DIM_COUNTRY[[#All],[Column2]],DIM_COUNTRY[[#All],[Column3]],,,)</f>
        <v>USMCA</v>
      </c>
    </row>
    <row r="8882" spans="1:9" x14ac:dyDescent="0.4">
      <c r="A8882" t="s">
        <v>64</v>
      </c>
      <c r="B8882" s="1">
        <v>44927</v>
      </c>
      <c r="C8882">
        <v>848220</v>
      </c>
      <c r="D8882" t="s">
        <v>176</v>
      </c>
      <c r="E8882">
        <v>0</v>
      </c>
      <c r="F8882">
        <v>0</v>
      </c>
      <c r="G8882">
        <v>0</v>
      </c>
      <c r="H8882">
        <f>_xlfn.XLOOKUP(FACT_IMPORTS[[#This Row],[hts_6]],DIM_PRODUCTS[hts_6],DIM_PRODUCTS[hts_4],,,)</f>
        <v>8482</v>
      </c>
      <c r="I8882" t="str" cm="1">
        <f t="array" ref="I8882">_xlfn.XLOOKUP(FACT_IMPORTS[[#This Row],[country_name]],DIM_COUNTRY[[#All],[Column2]],DIM_COUNTRY[[#All],[Column3]],,,)</f>
        <v>USMCA</v>
      </c>
    </row>
    <row r="8883" spans="1:9" x14ac:dyDescent="0.4">
      <c r="A8883" t="s">
        <v>64</v>
      </c>
      <c r="B8883" s="1">
        <v>44927</v>
      </c>
      <c r="C8883">
        <v>848310</v>
      </c>
      <c r="D8883" t="s">
        <v>176</v>
      </c>
      <c r="E8883">
        <v>13919</v>
      </c>
      <c r="F8883">
        <v>72</v>
      </c>
      <c r="G8883">
        <v>200</v>
      </c>
      <c r="H8883">
        <f>_xlfn.XLOOKUP(FACT_IMPORTS[[#This Row],[hts_6]],DIM_PRODUCTS[hts_6],DIM_PRODUCTS[hts_4],,,)</f>
        <v>8483</v>
      </c>
      <c r="I8883" t="str" cm="1">
        <f t="array" ref="I8883">_xlfn.XLOOKUP(FACT_IMPORTS[[#This Row],[country_name]],DIM_COUNTRY[[#All],[Column2]],DIM_COUNTRY[[#All],[Column3]],,,)</f>
        <v>USMCA</v>
      </c>
    </row>
    <row r="8884" spans="1:9" x14ac:dyDescent="0.4">
      <c r="A8884" t="s">
        <v>64</v>
      </c>
      <c r="B8884" s="1">
        <v>44927</v>
      </c>
      <c r="C8884">
        <v>850131</v>
      </c>
      <c r="D8884" t="s">
        <v>176</v>
      </c>
      <c r="E8884">
        <v>0</v>
      </c>
      <c r="F8884">
        <v>0</v>
      </c>
      <c r="G8884">
        <v>0</v>
      </c>
      <c r="H8884">
        <f>_xlfn.XLOOKUP(FACT_IMPORTS[[#This Row],[hts_6]],DIM_PRODUCTS[hts_6],DIM_PRODUCTS[hts_4],,,)</f>
        <v>8501</v>
      </c>
      <c r="I8884" t="str" cm="1">
        <f t="array" ref="I8884">_xlfn.XLOOKUP(FACT_IMPORTS[[#This Row],[country_name]],DIM_COUNTRY[[#All],[Column2]],DIM_COUNTRY[[#All],[Column3]],,,)</f>
        <v>USMCA</v>
      </c>
    </row>
    <row r="8885" spans="1:9" x14ac:dyDescent="0.4">
      <c r="A8885" t="s">
        <v>64</v>
      </c>
      <c r="B8885" s="1">
        <v>44927</v>
      </c>
      <c r="C8885">
        <v>850132</v>
      </c>
      <c r="D8885" t="s">
        <v>176</v>
      </c>
      <c r="E8885">
        <v>0</v>
      </c>
      <c r="F8885">
        <v>0</v>
      </c>
      <c r="G8885">
        <v>0</v>
      </c>
      <c r="H8885">
        <f>_xlfn.XLOOKUP(FACT_IMPORTS[[#This Row],[hts_6]],DIM_PRODUCTS[hts_6],DIM_PRODUCTS[hts_4],,,)</f>
        <v>8501</v>
      </c>
      <c r="I8885" t="str" cm="1">
        <f t="array" ref="I8885">_xlfn.XLOOKUP(FACT_IMPORTS[[#This Row],[country_name]],DIM_COUNTRY[[#All],[Column2]],DIM_COUNTRY[[#All],[Column3]],,,)</f>
        <v>USMCA</v>
      </c>
    </row>
    <row r="8886" spans="1:9" x14ac:dyDescent="0.4">
      <c r="A8886" t="s">
        <v>64</v>
      </c>
      <c r="B8886" s="1">
        <v>44927</v>
      </c>
      <c r="C8886">
        <v>850133</v>
      </c>
      <c r="D8886" t="s">
        <v>176</v>
      </c>
      <c r="E8886">
        <v>0</v>
      </c>
      <c r="F8886">
        <v>0</v>
      </c>
      <c r="G8886">
        <v>0</v>
      </c>
      <c r="H8886">
        <f>_xlfn.XLOOKUP(FACT_IMPORTS[[#This Row],[hts_6]],DIM_PRODUCTS[hts_6],DIM_PRODUCTS[hts_4],,,)</f>
        <v>8501</v>
      </c>
      <c r="I8886" t="str" cm="1">
        <f t="array" ref="I8886">_xlfn.XLOOKUP(FACT_IMPORTS[[#This Row],[country_name]],DIM_COUNTRY[[#All],[Column2]],DIM_COUNTRY[[#All],[Column3]],,,)</f>
        <v>USMCA</v>
      </c>
    </row>
    <row r="8887" spans="1:9" x14ac:dyDescent="0.4">
      <c r="A8887" t="s">
        <v>64</v>
      </c>
      <c r="B8887" s="1">
        <v>44927</v>
      </c>
      <c r="C8887">
        <v>850134</v>
      </c>
      <c r="D8887" t="s">
        <v>176</v>
      </c>
      <c r="E8887">
        <v>0</v>
      </c>
      <c r="F8887">
        <v>0</v>
      </c>
      <c r="G8887">
        <v>0</v>
      </c>
      <c r="H8887">
        <f>_xlfn.XLOOKUP(FACT_IMPORTS[[#This Row],[hts_6]],DIM_PRODUCTS[hts_6],DIM_PRODUCTS[hts_4],,,)</f>
        <v>8501</v>
      </c>
      <c r="I8887" t="str" cm="1">
        <f t="array" ref="I8887">_xlfn.XLOOKUP(FACT_IMPORTS[[#This Row],[country_name]],DIM_COUNTRY[[#All],[Column2]],DIM_COUNTRY[[#All],[Column3]],,,)</f>
        <v>USMCA</v>
      </c>
    </row>
    <row r="8888" spans="1:9" x14ac:dyDescent="0.4">
      <c r="A8888" t="s">
        <v>64</v>
      </c>
      <c r="B8888" s="1">
        <v>44927</v>
      </c>
      <c r="C8888">
        <v>850152</v>
      </c>
      <c r="D8888" t="s">
        <v>176</v>
      </c>
      <c r="E8888">
        <v>39917</v>
      </c>
      <c r="F8888">
        <v>23</v>
      </c>
      <c r="G8888">
        <v>1433</v>
      </c>
      <c r="H8888">
        <f>_xlfn.XLOOKUP(FACT_IMPORTS[[#This Row],[hts_6]],DIM_PRODUCTS[hts_6],DIM_PRODUCTS[hts_4],,,)</f>
        <v>8501</v>
      </c>
      <c r="I8888" t="str" cm="1">
        <f t="array" ref="I8888">_xlfn.XLOOKUP(FACT_IMPORTS[[#This Row],[country_name]],DIM_COUNTRY[[#All],[Column2]],DIM_COUNTRY[[#All],[Column3]],,,)</f>
        <v>USMCA</v>
      </c>
    </row>
    <row r="8889" spans="1:9" x14ac:dyDescent="0.4">
      <c r="A8889" t="s">
        <v>64</v>
      </c>
      <c r="B8889" s="1">
        <v>44927</v>
      </c>
      <c r="C8889">
        <v>850153</v>
      </c>
      <c r="D8889" t="s">
        <v>176</v>
      </c>
      <c r="E8889">
        <v>0</v>
      </c>
      <c r="F8889">
        <v>0</v>
      </c>
      <c r="G8889">
        <v>0</v>
      </c>
      <c r="H8889">
        <f>_xlfn.XLOOKUP(FACT_IMPORTS[[#This Row],[hts_6]],DIM_PRODUCTS[hts_6],DIM_PRODUCTS[hts_4],,,)</f>
        <v>8501</v>
      </c>
      <c r="I8889" t="str" cm="1">
        <f t="array" ref="I8889">_xlfn.XLOOKUP(FACT_IMPORTS[[#This Row],[country_name]],DIM_COUNTRY[[#All],[Column2]],DIM_COUNTRY[[#All],[Column3]],,,)</f>
        <v>USMCA</v>
      </c>
    </row>
    <row r="8890" spans="1:9" x14ac:dyDescent="0.4">
      <c r="A8890" t="s">
        <v>64</v>
      </c>
      <c r="B8890" s="1">
        <v>44927</v>
      </c>
      <c r="C8890">
        <v>850161</v>
      </c>
      <c r="D8890" t="s">
        <v>176</v>
      </c>
      <c r="E8890">
        <v>0</v>
      </c>
      <c r="F8890">
        <v>0</v>
      </c>
      <c r="G8890">
        <v>0</v>
      </c>
      <c r="H8890">
        <f>_xlfn.XLOOKUP(FACT_IMPORTS[[#This Row],[hts_6]],DIM_PRODUCTS[hts_6],DIM_PRODUCTS[hts_4],,,)</f>
        <v>8501</v>
      </c>
      <c r="I8890" t="str" cm="1">
        <f t="array" ref="I8890">_xlfn.XLOOKUP(FACT_IMPORTS[[#This Row],[country_name]],DIM_COUNTRY[[#All],[Column2]],DIM_COUNTRY[[#All],[Column3]],,,)</f>
        <v>USMCA</v>
      </c>
    </row>
    <row r="8891" spans="1:9" x14ac:dyDescent="0.4">
      <c r="A8891" t="s">
        <v>64</v>
      </c>
      <c r="B8891" s="1">
        <v>44927</v>
      </c>
      <c r="C8891">
        <v>850440</v>
      </c>
      <c r="D8891" t="s">
        <v>176</v>
      </c>
      <c r="E8891">
        <v>124963</v>
      </c>
      <c r="F8891">
        <v>262</v>
      </c>
      <c r="G8891">
        <v>1999</v>
      </c>
      <c r="H8891">
        <f>_xlfn.XLOOKUP(FACT_IMPORTS[[#This Row],[hts_6]],DIM_PRODUCTS[hts_6],DIM_PRODUCTS[hts_4],,,)</f>
        <v>8504</v>
      </c>
      <c r="I8891" t="str" cm="1">
        <f t="array" ref="I8891">_xlfn.XLOOKUP(FACT_IMPORTS[[#This Row],[country_name]],DIM_COUNTRY[[#All],[Column2]],DIM_COUNTRY[[#All],[Column3]],,,)</f>
        <v>USMCA</v>
      </c>
    </row>
    <row r="8892" spans="1:9" x14ac:dyDescent="0.4">
      <c r="A8892" t="s">
        <v>64</v>
      </c>
      <c r="B8892" s="1">
        <v>44927</v>
      </c>
      <c r="C8892">
        <v>850710</v>
      </c>
      <c r="D8892" t="s">
        <v>176</v>
      </c>
      <c r="E8892">
        <v>0</v>
      </c>
      <c r="F8892">
        <v>0</v>
      </c>
      <c r="G8892">
        <v>0</v>
      </c>
      <c r="H8892">
        <f>_xlfn.XLOOKUP(FACT_IMPORTS[[#This Row],[hts_6]],DIM_PRODUCTS[hts_6],DIM_PRODUCTS[hts_4],,,)</f>
        <v>8507</v>
      </c>
      <c r="I8892" t="str" cm="1">
        <f t="array" ref="I8892">_xlfn.XLOOKUP(FACT_IMPORTS[[#This Row],[country_name]],DIM_COUNTRY[[#All],[Column2]],DIM_COUNTRY[[#All],[Column3]],,,)</f>
        <v>USMCA</v>
      </c>
    </row>
    <row r="8893" spans="1:9" x14ac:dyDescent="0.4">
      <c r="A8893" t="s">
        <v>64</v>
      </c>
      <c r="B8893" s="1">
        <v>44927</v>
      </c>
      <c r="C8893">
        <v>850760</v>
      </c>
      <c r="D8893" t="s">
        <v>176</v>
      </c>
      <c r="E8893">
        <v>0</v>
      </c>
      <c r="F8893">
        <v>0</v>
      </c>
      <c r="G8893">
        <v>0</v>
      </c>
      <c r="H8893">
        <f>_xlfn.XLOOKUP(FACT_IMPORTS[[#This Row],[hts_6]],DIM_PRODUCTS[hts_6],DIM_PRODUCTS[hts_4],,,)</f>
        <v>8507</v>
      </c>
      <c r="I8893" t="str" cm="1">
        <f t="array" ref="I8893">_xlfn.XLOOKUP(FACT_IMPORTS[[#This Row],[country_name]],DIM_COUNTRY[[#All],[Column2]],DIM_COUNTRY[[#All],[Column3]],,,)</f>
        <v>USMCA</v>
      </c>
    </row>
    <row r="8894" spans="1:9" x14ac:dyDescent="0.4">
      <c r="A8894" t="s">
        <v>64</v>
      </c>
      <c r="B8894" s="1">
        <v>44927</v>
      </c>
      <c r="C8894">
        <v>850790</v>
      </c>
      <c r="D8894" t="s">
        <v>176</v>
      </c>
      <c r="E8894">
        <v>0</v>
      </c>
      <c r="F8894">
        <v>0</v>
      </c>
      <c r="G8894">
        <v>0</v>
      </c>
      <c r="H8894">
        <f>_xlfn.XLOOKUP(FACT_IMPORTS[[#This Row],[hts_6]],DIM_PRODUCTS[hts_6],DIM_PRODUCTS[hts_4],,,)</f>
        <v>8507</v>
      </c>
      <c r="I8894" t="str" cm="1">
        <f t="array" ref="I8894">_xlfn.XLOOKUP(FACT_IMPORTS[[#This Row],[country_name]],DIM_COUNTRY[[#All],[Column2]],DIM_COUNTRY[[#All],[Column3]],,,)</f>
        <v>USMCA</v>
      </c>
    </row>
    <row r="8895" spans="1:9" x14ac:dyDescent="0.4">
      <c r="A8895" t="s">
        <v>64</v>
      </c>
      <c r="B8895" s="1">
        <v>44927</v>
      </c>
      <c r="C8895">
        <v>851110</v>
      </c>
      <c r="D8895" t="s">
        <v>176</v>
      </c>
      <c r="E8895">
        <v>0</v>
      </c>
      <c r="F8895">
        <v>0</v>
      </c>
      <c r="G8895">
        <v>0</v>
      </c>
      <c r="H8895">
        <f>_xlfn.XLOOKUP(FACT_IMPORTS[[#This Row],[hts_6]],DIM_PRODUCTS[hts_6],DIM_PRODUCTS[hts_4],,,)</f>
        <v>8511</v>
      </c>
      <c r="I8895" t="str" cm="1">
        <f t="array" ref="I8895">_xlfn.XLOOKUP(FACT_IMPORTS[[#This Row],[country_name]],DIM_COUNTRY[[#All],[Column2]],DIM_COUNTRY[[#All],[Column3]],,,)</f>
        <v>USMCA</v>
      </c>
    </row>
    <row r="8896" spans="1:9" x14ac:dyDescent="0.4">
      <c r="A8896" t="s">
        <v>64</v>
      </c>
      <c r="B8896" s="1">
        <v>44927</v>
      </c>
      <c r="C8896">
        <v>851130</v>
      </c>
      <c r="D8896" t="s">
        <v>176</v>
      </c>
      <c r="E8896">
        <v>0</v>
      </c>
      <c r="F8896">
        <v>0</v>
      </c>
      <c r="G8896">
        <v>0</v>
      </c>
      <c r="H8896">
        <f>_xlfn.XLOOKUP(FACT_IMPORTS[[#This Row],[hts_6]],DIM_PRODUCTS[hts_6],DIM_PRODUCTS[hts_4],,,)</f>
        <v>8511</v>
      </c>
      <c r="I8896" t="str" cm="1">
        <f t="array" ref="I8896">_xlfn.XLOOKUP(FACT_IMPORTS[[#This Row],[country_name]],DIM_COUNTRY[[#All],[Column2]],DIM_COUNTRY[[#All],[Column3]],,,)</f>
        <v>USMCA</v>
      </c>
    </row>
    <row r="8897" spans="1:9" x14ac:dyDescent="0.4">
      <c r="A8897" t="s">
        <v>64</v>
      </c>
      <c r="B8897" s="1">
        <v>44927</v>
      </c>
      <c r="C8897">
        <v>851140</v>
      </c>
      <c r="D8897" t="s">
        <v>176</v>
      </c>
      <c r="E8897">
        <v>8160</v>
      </c>
      <c r="F8897">
        <v>74</v>
      </c>
      <c r="G8897">
        <v>10</v>
      </c>
      <c r="H8897">
        <f>_xlfn.XLOOKUP(FACT_IMPORTS[[#This Row],[hts_6]],DIM_PRODUCTS[hts_6],DIM_PRODUCTS[hts_4],,,)</f>
        <v>8511</v>
      </c>
      <c r="I8897" t="str" cm="1">
        <f t="array" ref="I8897">_xlfn.XLOOKUP(FACT_IMPORTS[[#This Row],[country_name]],DIM_COUNTRY[[#All],[Column2]],DIM_COUNTRY[[#All],[Column3]],,,)</f>
        <v>USMCA</v>
      </c>
    </row>
    <row r="8898" spans="1:9" x14ac:dyDescent="0.4">
      <c r="A8898" t="s">
        <v>64</v>
      </c>
      <c r="B8898" s="1">
        <v>44927</v>
      </c>
      <c r="C8898">
        <v>851150</v>
      </c>
      <c r="D8898" t="s">
        <v>176</v>
      </c>
      <c r="E8898">
        <v>15334</v>
      </c>
      <c r="F8898">
        <v>166</v>
      </c>
      <c r="G8898">
        <v>382</v>
      </c>
      <c r="H8898">
        <f>_xlfn.XLOOKUP(FACT_IMPORTS[[#This Row],[hts_6]],DIM_PRODUCTS[hts_6],DIM_PRODUCTS[hts_4],,,)</f>
        <v>8511</v>
      </c>
      <c r="I8898" t="str" cm="1">
        <f t="array" ref="I8898">_xlfn.XLOOKUP(FACT_IMPORTS[[#This Row],[country_name]],DIM_COUNTRY[[#All],[Column2]],DIM_COUNTRY[[#All],[Column3]],,,)</f>
        <v>USMCA</v>
      </c>
    </row>
    <row r="8899" spans="1:9" x14ac:dyDescent="0.4">
      <c r="A8899" t="s">
        <v>64</v>
      </c>
      <c r="B8899" s="1">
        <v>44927</v>
      </c>
      <c r="C8899">
        <v>851180</v>
      </c>
      <c r="D8899" t="s">
        <v>176</v>
      </c>
      <c r="E8899">
        <v>25661</v>
      </c>
      <c r="F8899">
        <v>226</v>
      </c>
      <c r="G8899">
        <v>50</v>
      </c>
      <c r="H8899">
        <f>_xlfn.XLOOKUP(FACT_IMPORTS[[#This Row],[hts_6]],DIM_PRODUCTS[hts_6],DIM_PRODUCTS[hts_4],,,)</f>
        <v>8511</v>
      </c>
      <c r="I8899" t="str" cm="1">
        <f t="array" ref="I8899">_xlfn.XLOOKUP(FACT_IMPORTS[[#This Row],[country_name]],DIM_COUNTRY[[#All],[Column2]],DIM_COUNTRY[[#All],[Column3]],,,)</f>
        <v>USMCA</v>
      </c>
    </row>
    <row r="8900" spans="1:9" x14ac:dyDescent="0.4">
      <c r="A8900" t="s">
        <v>64</v>
      </c>
      <c r="B8900" s="1">
        <v>44927</v>
      </c>
      <c r="C8900">
        <v>851190</v>
      </c>
      <c r="D8900" t="s">
        <v>176</v>
      </c>
      <c r="E8900">
        <v>0</v>
      </c>
      <c r="F8900">
        <v>0</v>
      </c>
      <c r="G8900">
        <v>0</v>
      </c>
      <c r="H8900">
        <f>_xlfn.XLOOKUP(FACT_IMPORTS[[#This Row],[hts_6]],DIM_PRODUCTS[hts_6],DIM_PRODUCTS[hts_4],,,)</f>
        <v>8511</v>
      </c>
      <c r="I8900" t="str" cm="1">
        <f t="array" ref="I8900">_xlfn.XLOOKUP(FACT_IMPORTS[[#This Row],[country_name]],DIM_COUNTRY[[#All],[Column2]],DIM_COUNTRY[[#All],[Column3]],,,)</f>
        <v>USMCA</v>
      </c>
    </row>
    <row r="8901" spans="1:9" x14ac:dyDescent="0.4">
      <c r="A8901" t="s">
        <v>64</v>
      </c>
      <c r="B8901" s="1">
        <v>44927</v>
      </c>
      <c r="C8901">
        <v>851220</v>
      </c>
      <c r="D8901" t="s">
        <v>176</v>
      </c>
      <c r="E8901">
        <v>113420</v>
      </c>
      <c r="F8901">
        <v>669</v>
      </c>
      <c r="G8901">
        <v>882</v>
      </c>
      <c r="H8901">
        <f>_xlfn.XLOOKUP(FACT_IMPORTS[[#This Row],[hts_6]],DIM_PRODUCTS[hts_6],DIM_PRODUCTS[hts_4],,,)</f>
        <v>8512</v>
      </c>
      <c r="I8901" t="str" cm="1">
        <f t="array" ref="I8901">_xlfn.XLOOKUP(FACT_IMPORTS[[#This Row],[country_name]],DIM_COUNTRY[[#All],[Column2]],DIM_COUNTRY[[#All],[Column3]],,,)</f>
        <v>USMCA</v>
      </c>
    </row>
    <row r="8902" spans="1:9" x14ac:dyDescent="0.4">
      <c r="A8902" t="s">
        <v>64</v>
      </c>
      <c r="B8902" s="1">
        <v>44927</v>
      </c>
      <c r="C8902">
        <v>851230</v>
      </c>
      <c r="D8902" t="s">
        <v>176</v>
      </c>
      <c r="E8902">
        <v>2783</v>
      </c>
      <c r="F8902">
        <v>250</v>
      </c>
      <c r="G8902">
        <v>193</v>
      </c>
      <c r="H8902">
        <f>_xlfn.XLOOKUP(FACT_IMPORTS[[#This Row],[hts_6]],DIM_PRODUCTS[hts_6],DIM_PRODUCTS[hts_4],,,)</f>
        <v>8512</v>
      </c>
      <c r="I8902" t="str" cm="1">
        <f t="array" ref="I8902">_xlfn.XLOOKUP(FACT_IMPORTS[[#This Row],[country_name]],DIM_COUNTRY[[#All],[Column2]],DIM_COUNTRY[[#All],[Column3]],,,)</f>
        <v>USMCA</v>
      </c>
    </row>
    <row r="8903" spans="1:9" x14ac:dyDescent="0.4">
      <c r="A8903" t="s">
        <v>64</v>
      </c>
      <c r="B8903" s="1">
        <v>44927</v>
      </c>
      <c r="C8903">
        <v>851240</v>
      </c>
      <c r="D8903" t="s">
        <v>176</v>
      </c>
      <c r="E8903">
        <v>0</v>
      </c>
      <c r="F8903">
        <v>0</v>
      </c>
      <c r="G8903">
        <v>0</v>
      </c>
      <c r="H8903">
        <f>_xlfn.XLOOKUP(FACT_IMPORTS[[#This Row],[hts_6]],DIM_PRODUCTS[hts_6],DIM_PRODUCTS[hts_4],,,)</f>
        <v>8512</v>
      </c>
      <c r="I8903" t="str" cm="1">
        <f t="array" ref="I8903">_xlfn.XLOOKUP(FACT_IMPORTS[[#This Row],[country_name]],DIM_COUNTRY[[#All],[Column2]],DIM_COUNTRY[[#All],[Column3]],,,)</f>
        <v>USMCA</v>
      </c>
    </row>
    <row r="8904" spans="1:9" x14ac:dyDescent="0.4">
      <c r="A8904" t="s">
        <v>64</v>
      </c>
      <c r="B8904" s="1">
        <v>44927</v>
      </c>
      <c r="C8904">
        <v>851290</v>
      </c>
      <c r="D8904" t="s">
        <v>176</v>
      </c>
      <c r="E8904">
        <v>0</v>
      </c>
      <c r="F8904">
        <v>0</v>
      </c>
      <c r="G8904">
        <v>0</v>
      </c>
      <c r="H8904">
        <f>_xlfn.XLOOKUP(FACT_IMPORTS[[#This Row],[hts_6]],DIM_PRODUCTS[hts_6],DIM_PRODUCTS[hts_4],,,)</f>
        <v>8512</v>
      </c>
      <c r="I8904" t="str" cm="1">
        <f t="array" ref="I8904">_xlfn.XLOOKUP(FACT_IMPORTS[[#This Row],[country_name]],DIM_COUNTRY[[#All],[Column2]],DIM_COUNTRY[[#All],[Column3]],,,)</f>
        <v>USMCA</v>
      </c>
    </row>
    <row r="8905" spans="1:9" x14ac:dyDescent="0.4">
      <c r="A8905" t="s">
        <v>64</v>
      </c>
      <c r="B8905" s="1">
        <v>44927</v>
      </c>
      <c r="C8905">
        <v>854231</v>
      </c>
      <c r="D8905" t="s">
        <v>176</v>
      </c>
      <c r="E8905">
        <v>45330</v>
      </c>
      <c r="F8905">
        <v>22</v>
      </c>
      <c r="G8905">
        <v>17</v>
      </c>
      <c r="H8905">
        <f>_xlfn.XLOOKUP(FACT_IMPORTS[[#This Row],[hts_6]],DIM_PRODUCTS[hts_6],DIM_PRODUCTS[hts_4],,,)</f>
        <v>8542</v>
      </c>
      <c r="I8905" t="str" cm="1">
        <f t="array" ref="I8905">_xlfn.XLOOKUP(FACT_IMPORTS[[#This Row],[country_name]],DIM_COUNTRY[[#All],[Column2]],DIM_COUNTRY[[#All],[Column3]],,,)</f>
        <v>USMCA</v>
      </c>
    </row>
    <row r="8906" spans="1:9" x14ac:dyDescent="0.4">
      <c r="A8906" t="s">
        <v>64</v>
      </c>
      <c r="B8906" s="1">
        <v>44927</v>
      </c>
      <c r="C8906">
        <v>854232</v>
      </c>
      <c r="D8906" t="s">
        <v>176</v>
      </c>
      <c r="E8906">
        <v>15739</v>
      </c>
      <c r="F8906">
        <v>4</v>
      </c>
      <c r="G8906">
        <v>6</v>
      </c>
      <c r="H8906">
        <f>_xlfn.XLOOKUP(FACT_IMPORTS[[#This Row],[hts_6]],DIM_PRODUCTS[hts_6],DIM_PRODUCTS[hts_4],,,)</f>
        <v>8542</v>
      </c>
      <c r="I8906" t="str" cm="1">
        <f t="array" ref="I8906">_xlfn.XLOOKUP(FACT_IMPORTS[[#This Row],[country_name]],DIM_COUNTRY[[#All],[Column2]],DIM_COUNTRY[[#All],[Column3]],,,)</f>
        <v>USMCA</v>
      </c>
    </row>
    <row r="8907" spans="1:9" x14ac:dyDescent="0.4">
      <c r="A8907" t="s">
        <v>64</v>
      </c>
      <c r="B8907" s="1">
        <v>44927</v>
      </c>
      <c r="C8907">
        <v>854290</v>
      </c>
      <c r="D8907" t="s">
        <v>176</v>
      </c>
      <c r="E8907">
        <v>2400</v>
      </c>
      <c r="F8907">
        <v>4</v>
      </c>
      <c r="G8907">
        <v>2</v>
      </c>
      <c r="H8907">
        <f>_xlfn.XLOOKUP(FACT_IMPORTS[[#This Row],[hts_6]],DIM_PRODUCTS[hts_6],DIM_PRODUCTS[hts_4],,,)</f>
        <v>8542</v>
      </c>
      <c r="I8907" t="str" cm="1">
        <f t="array" ref="I8907">_xlfn.XLOOKUP(FACT_IMPORTS[[#This Row],[country_name]],DIM_COUNTRY[[#All],[Column2]],DIM_COUNTRY[[#All],[Column3]],,,)</f>
        <v>USMCA</v>
      </c>
    </row>
    <row r="8908" spans="1:9" x14ac:dyDescent="0.4">
      <c r="A8908" t="s">
        <v>64</v>
      </c>
      <c r="B8908" s="1">
        <v>44927</v>
      </c>
      <c r="C8908">
        <v>854430</v>
      </c>
      <c r="D8908" t="s">
        <v>176</v>
      </c>
      <c r="E8908">
        <v>1572125</v>
      </c>
      <c r="F8908">
        <v>104861</v>
      </c>
      <c r="G8908">
        <v>9716</v>
      </c>
      <c r="H8908">
        <f>_xlfn.XLOOKUP(FACT_IMPORTS[[#This Row],[hts_6]],DIM_PRODUCTS[hts_6],DIM_PRODUCTS[hts_4],,,)</f>
        <v>8544</v>
      </c>
      <c r="I8908" t="str" cm="1">
        <f t="array" ref="I8908">_xlfn.XLOOKUP(FACT_IMPORTS[[#This Row],[country_name]],DIM_COUNTRY[[#All],[Column2]],DIM_COUNTRY[[#All],[Column3]],,,)</f>
        <v>USMCA</v>
      </c>
    </row>
    <row r="8909" spans="1:9" x14ac:dyDescent="0.4">
      <c r="A8909" t="s">
        <v>64</v>
      </c>
      <c r="B8909" s="1">
        <v>44927</v>
      </c>
      <c r="C8909">
        <v>870810</v>
      </c>
      <c r="D8909" t="s">
        <v>176</v>
      </c>
      <c r="E8909">
        <v>130331</v>
      </c>
      <c r="F8909">
        <v>775</v>
      </c>
      <c r="G8909">
        <v>691</v>
      </c>
      <c r="H8909">
        <f>_xlfn.XLOOKUP(FACT_IMPORTS[[#This Row],[hts_6]],DIM_PRODUCTS[hts_6],DIM_PRODUCTS[hts_4],,,)</f>
        <v>8708</v>
      </c>
      <c r="I8909" t="str" cm="1">
        <f t="array" ref="I8909">_xlfn.XLOOKUP(FACT_IMPORTS[[#This Row],[country_name]],DIM_COUNTRY[[#All],[Column2]],DIM_COUNTRY[[#All],[Column3]],,,)</f>
        <v>USMCA</v>
      </c>
    </row>
    <row r="8910" spans="1:9" x14ac:dyDescent="0.4">
      <c r="A8910" t="s">
        <v>64</v>
      </c>
      <c r="B8910" s="1">
        <v>44927</v>
      </c>
      <c r="C8910">
        <v>870821</v>
      </c>
      <c r="D8910" t="s">
        <v>176</v>
      </c>
      <c r="E8910">
        <v>0</v>
      </c>
      <c r="F8910">
        <v>0</v>
      </c>
      <c r="G8910">
        <v>0</v>
      </c>
      <c r="H8910">
        <f>_xlfn.XLOOKUP(FACT_IMPORTS[[#This Row],[hts_6]],DIM_PRODUCTS[hts_6],DIM_PRODUCTS[hts_4],,,)</f>
        <v>8708</v>
      </c>
      <c r="I8910" t="str" cm="1">
        <f t="array" ref="I8910">_xlfn.XLOOKUP(FACT_IMPORTS[[#This Row],[country_name]],DIM_COUNTRY[[#All],[Column2]],DIM_COUNTRY[[#All],[Column3]],,,)</f>
        <v>USMCA</v>
      </c>
    </row>
    <row r="8911" spans="1:9" x14ac:dyDescent="0.4">
      <c r="A8911" t="s">
        <v>64</v>
      </c>
      <c r="B8911" s="1">
        <v>44927</v>
      </c>
      <c r="C8911">
        <v>870822</v>
      </c>
      <c r="D8911" t="s">
        <v>176</v>
      </c>
      <c r="E8911">
        <v>5245</v>
      </c>
      <c r="F8911">
        <v>18</v>
      </c>
      <c r="G8911">
        <v>115</v>
      </c>
      <c r="H8911">
        <f>_xlfn.XLOOKUP(FACT_IMPORTS[[#This Row],[hts_6]],DIM_PRODUCTS[hts_6],DIM_PRODUCTS[hts_4],,,)</f>
        <v>8708</v>
      </c>
      <c r="I8911" t="str" cm="1">
        <f t="array" ref="I8911">_xlfn.XLOOKUP(FACT_IMPORTS[[#This Row],[country_name]],DIM_COUNTRY[[#All],[Column2]],DIM_COUNTRY[[#All],[Column3]],,,)</f>
        <v>USMCA</v>
      </c>
    </row>
    <row r="8912" spans="1:9" x14ac:dyDescent="0.4">
      <c r="A8912" t="s">
        <v>64</v>
      </c>
      <c r="B8912" s="1">
        <v>44927</v>
      </c>
      <c r="C8912">
        <v>870829</v>
      </c>
      <c r="D8912" t="s">
        <v>176</v>
      </c>
      <c r="E8912">
        <v>850037</v>
      </c>
      <c r="F8912">
        <v>22412</v>
      </c>
      <c r="G8912">
        <v>12477</v>
      </c>
      <c r="H8912">
        <f>_xlfn.XLOOKUP(FACT_IMPORTS[[#This Row],[hts_6]],DIM_PRODUCTS[hts_6],DIM_PRODUCTS[hts_4],,,)</f>
        <v>8708</v>
      </c>
      <c r="I8912" t="str" cm="1">
        <f t="array" ref="I8912">_xlfn.XLOOKUP(FACT_IMPORTS[[#This Row],[country_name]],DIM_COUNTRY[[#All],[Column2]],DIM_COUNTRY[[#All],[Column3]],,,)</f>
        <v>USMCA</v>
      </c>
    </row>
    <row r="8913" spans="1:9" x14ac:dyDescent="0.4">
      <c r="A8913" t="s">
        <v>64</v>
      </c>
      <c r="B8913" s="1">
        <v>44927</v>
      </c>
      <c r="C8913">
        <v>870830</v>
      </c>
      <c r="D8913" t="s">
        <v>176</v>
      </c>
      <c r="E8913">
        <v>459973</v>
      </c>
      <c r="F8913">
        <v>6520</v>
      </c>
      <c r="G8913">
        <v>3589</v>
      </c>
      <c r="H8913">
        <f>_xlfn.XLOOKUP(FACT_IMPORTS[[#This Row],[hts_6]],DIM_PRODUCTS[hts_6],DIM_PRODUCTS[hts_4],,,)</f>
        <v>8708</v>
      </c>
      <c r="I8913" t="str" cm="1">
        <f t="array" ref="I8913">_xlfn.XLOOKUP(FACT_IMPORTS[[#This Row],[country_name]],DIM_COUNTRY[[#All],[Column2]],DIM_COUNTRY[[#All],[Column3]],,,)</f>
        <v>USMCA</v>
      </c>
    </row>
    <row r="8914" spans="1:9" x14ac:dyDescent="0.4">
      <c r="A8914" t="s">
        <v>64</v>
      </c>
      <c r="B8914" s="1">
        <v>44927</v>
      </c>
      <c r="C8914">
        <v>870840</v>
      </c>
      <c r="D8914" t="s">
        <v>176</v>
      </c>
      <c r="E8914">
        <v>79302</v>
      </c>
      <c r="F8914">
        <v>120</v>
      </c>
      <c r="G8914">
        <v>684</v>
      </c>
      <c r="H8914">
        <f>_xlfn.XLOOKUP(FACT_IMPORTS[[#This Row],[hts_6]],DIM_PRODUCTS[hts_6],DIM_PRODUCTS[hts_4],,,)</f>
        <v>8708</v>
      </c>
      <c r="I8914" t="str" cm="1">
        <f t="array" ref="I8914">_xlfn.XLOOKUP(FACT_IMPORTS[[#This Row],[country_name]],DIM_COUNTRY[[#All],[Column2]],DIM_COUNTRY[[#All],[Column3]],,,)</f>
        <v>USMCA</v>
      </c>
    </row>
    <row r="8915" spans="1:9" x14ac:dyDescent="0.4">
      <c r="A8915" t="s">
        <v>64</v>
      </c>
      <c r="B8915" s="1">
        <v>44927</v>
      </c>
      <c r="C8915">
        <v>870850</v>
      </c>
      <c r="D8915" t="s">
        <v>176</v>
      </c>
      <c r="E8915">
        <v>78585</v>
      </c>
      <c r="F8915">
        <v>178</v>
      </c>
      <c r="G8915">
        <v>363</v>
      </c>
      <c r="H8915">
        <f>_xlfn.XLOOKUP(FACT_IMPORTS[[#This Row],[hts_6]],DIM_PRODUCTS[hts_6],DIM_PRODUCTS[hts_4],,,)</f>
        <v>8708</v>
      </c>
      <c r="I8915" t="str" cm="1">
        <f t="array" ref="I8915">_xlfn.XLOOKUP(FACT_IMPORTS[[#This Row],[country_name]],DIM_COUNTRY[[#All],[Column2]],DIM_COUNTRY[[#All],[Column3]],,,)</f>
        <v>USMCA</v>
      </c>
    </row>
    <row r="8916" spans="1:9" x14ac:dyDescent="0.4">
      <c r="A8916" t="s">
        <v>64</v>
      </c>
      <c r="B8916" s="1">
        <v>44927</v>
      </c>
      <c r="C8916">
        <v>870870</v>
      </c>
      <c r="D8916" t="s">
        <v>176</v>
      </c>
      <c r="E8916">
        <v>90944</v>
      </c>
      <c r="F8916">
        <v>2244</v>
      </c>
      <c r="G8916">
        <v>1966</v>
      </c>
      <c r="H8916">
        <f>_xlfn.XLOOKUP(FACT_IMPORTS[[#This Row],[hts_6]],DIM_PRODUCTS[hts_6],DIM_PRODUCTS[hts_4],,,)</f>
        <v>8708</v>
      </c>
      <c r="I8916" t="str" cm="1">
        <f t="array" ref="I8916">_xlfn.XLOOKUP(FACT_IMPORTS[[#This Row],[country_name]],DIM_COUNTRY[[#All],[Column2]],DIM_COUNTRY[[#All],[Column3]],,,)</f>
        <v>USMCA</v>
      </c>
    </row>
    <row r="8917" spans="1:9" x14ac:dyDescent="0.4">
      <c r="A8917" t="s">
        <v>64</v>
      </c>
      <c r="B8917" s="1">
        <v>44927</v>
      </c>
      <c r="C8917">
        <v>870880</v>
      </c>
      <c r="D8917" t="s">
        <v>176</v>
      </c>
      <c r="E8917">
        <v>130642</v>
      </c>
      <c r="F8917">
        <v>5183</v>
      </c>
      <c r="G8917">
        <v>713</v>
      </c>
      <c r="H8917">
        <f>_xlfn.XLOOKUP(FACT_IMPORTS[[#This Row],[hts_6]],DIM_PRODUCTS[hts_6],DIM_PRODUCTS[hts_4],,,)</f>
        <v>8708</v>
      </c>
      <c r="I8917" t="str" cm="1">
        <f t="array" ref="I8917">_xlfn.XLOOKUP(FACT_IMPORTS[[#This Row],[country_name]],DIM_COUNTRY[[#All],[Column2]],DIM_COUNTRY[[#All],[Column3]],,,)</f>
        <v>USMCA</v>
      </c>
    </row>
    <row r="8918" spans="1:9" x14ac:dyDescent="0.4">
      <c r="A8918" t="s">
        <v>64</v>
      </c>
      <c r="B8918" s="1">
        <v>44927</v>
      </c>
      <c r="C8918">
        <v>870891</v>
      </c>
      <c r="D8918" t="s">
        <v>176</v>
      </c>
      <c r="E8918">
        <v>22121</v>
      </c>
      <c r="F8918">
        <v>135</v>
      </c>
      <c r="G8918">
        <v>279</v>
      </c>
      <c r="H8918">
        <f>_xlfn.XLOOKUP(FACT_IMPORTS[[#This Row],[hts_6]],DIM_PRODUCTS[hts_6],DIM_PRODUCTS[hts_4],,,)</f>
        <v>8708</v>
      </c>
      <c r="I8918" t="str" cm="1">
        <f t="array" ref="I8918">_xlfn.XLOOKUP(FACT_IMPORTS[[#This Row],[country_name]],DIM_COUNTRY[[#All],[Column2]],DIM_COUNTRY[[#All],[Column3]],,,)</f>
        <v>USMCA</v>
      </c>
    </row>
    <row r="8919" spans="1:9" x14ac:dyDescent="0.4">
      <c r="A8919" t="s">
        <v>64</v>
      </c>
      <c r="B8919" s="1">
        <v>44927</v>
      </c>
      <c r="C8919">
        <v>870892</v>
      </c>
      <c r="D8919" t="s">
        <v>176</v>
      </c>
      <c r="E8919">
        <v>5265</v>
      </c>
      <c r="F8919">
        <v>1815</v>
      </c>
      <c r="G8919">
        <v>63</v>
      </c>
      <c r="H8919">
        <f>_xlfn.XLOOKUP(FACT_IMPORTS[[#This Row],[hts_6]],DIM_PRODUCTS[hts_6],DIM_PRODUCTS[hts_4],,,)</f>
        <v>8708</v>
      </c>
      <c r="I8919" t="str" cm="1">
        <f t="array" ref="I8919">_xlfn.XLOOKUP(FACT_IMPORTS[[#This Row],[country_name]],DIM_COUNTRY[[#All],[Column2]],DIM_COUNTRY[[#All],[Column3]],,,)</f>
        <v>USMCA</v>
      </c>
    </row>
    <row r="8920" spans="1:9" x14ac:dyDescent="0.4">
      <c r="A8920" t="s">
        <v>64</v>
      </c>
      <c r="B8920" s="1">
        <v>44927</v>
      </c>
      <c r="C8920">
        <v>870893</v>
      </c>
      <c r="D8920" t="s">
        <v>176</v>
      </c>
      <c r="E8920">
        <v>25745</v>
      </c>
      <c r="F8920">
        <v>3029</v>
      </c>
      <c r="G8920">
        <v>497</v>
      </c>
      <c r="H8920">
        <f>_xlfn.XLOOKUP(FACT_IMPORTS[[#This Row],[hts_6]],DIM_PRODUCTS[hts_6],DIM_PRODUCTS[hts_4],,,)</f>
        <v>8708</v>
      </c>
      <c r="I8920" t="str" cm="1">
        <f t="array" ref="I8920">_xlfn.XLOOKUP(FACT_IMPORTS[[#This Row],[country_name]],DIM_COUNTRY[[#All],[Column2]],DIM_COUNTRY[[#All],[Column3]],,,)</f>
        <v>USMCA</v>
      </c>
    </row>
    <row r="8921" spans="1:9" x14ac:dyDescent="0.4">
      <c r="A8921" t="s">
        <v>64</v>
      </c>
      <c r="B8921" s="1">
        <v>44927</v>
      </c>
      <c r="C8921">
        <v>870894</v>
      </c>
      <c r="D8921" t="s">
        <v>176</v>
      </c>
      <c r="E8921">
        <v>14242</v>
      </c>
      <c r="F8921">
        <v>150</v>
      </c>
      <c r="G8921">
        <v>182</v>
      </c>
      <c r="H8921">
        <f>_xlfn.XLOOKUP(FACT_IMPORTS[[#This Row],[hts_6]],DIM_PRODUCTS[hts_6],DIM_PRODUCTS[hts_4],,,)</f>
        <v>8708</v>
      </c>
      <c r="I8921" t="str" cm="1">
        <f t="array" ref="I8921">_xlfn.XLOOKUP(FACT_IMPORTS[[#This Row],[country_name]],DIM_COUNTRY[[#All],[Column2]],DIM_COUNTRY[[#All],[Column3]],,,)</f>
        <v>USMCA</v>
      </c>
    </row>
    <row r="8922" spans="1:9" x14ac:dyDescent="0.4">
      <c r="A8922" t="s">
        <v>64</v>
      </c>
      <c r="B8922" s="1">
        <v>44927</v>
      </c>
      <c r="C8922">
        <v>870895</v>
      </c>
      <c r="D8922" t="s">
        <v>176</v>
      </c>
      <c r="E8922">
        <v>66102</v>
      </c>
      <c r="F8922">
        <v>7288</v>
      </c>
      <c r="G8922">
        <v>7523</v>
      </c>
      <c r="H8922">
        <f>_xlfn.XLOOKUP(FACT_IMPORTS[[#This Row],[hts_6]],DIM_PRODUCTS[hts_6],DIM_PRODUCTS[hts_4],,,)</f>
        <v>8708</v>
      </c>
      <c r="I8922" t="str" cm="1">
        <f t="array" ref="I8922">_xlfn.XLOOKUP(FACT_IMPORTS[[#This Row],[country_name]],DIM_COUNTRY[[#All],[Column2]],DIM_COUNTRY[[#All],[Column3]],,,)</f>
        <v>USMCA</v>
      </c>
    </row>
    <row r="8923" spans="1:9" x14ac:dyDescent="0.4">
      <c r="A8923" t="s">
        <v>64</v>
      </c>
      <c r="B8923" s="1">
        <v>44927</v>
      </c>
      <c r="C8923">
        <v>870899</v>
      </c>
      <c r="D8923" t="s">
        <v>176</v>
      </c>
      <c r="E8923">
        <v>75199</v>
      </c>
      <c r="F8923">
        <v>1686</v>
      </c>
      <c r="G8923">
        <v>779</v>
      </c>
      <c r="H8923">
        <f>_xlfn.XLOOKUP(FACT_IMPORTS[[#This Row],[hts_6]],DIM_PRODUCTS[hts_6],DIM_PRODUCTS[hts_4],,,)</f>
        <v>8708</v>
      </c>
      <c r="I8923" t="str" cm="1">
        <f t="array" ref="I8923">_xlfn.XLOOKUP(FACT_IMPORTS[[#This Row],[country_name]],DIM_COUNTRY[[#All],[Column2]],DIM_COUNTRY[[#All],[Column3]],,,)</f>
        <v>USMCA</v>
      </c>
    </row>
    <row r="8924" spans="1:9" x14ac:dyDescent="0.4">
      <c r="A8924" t="s">
        <v>64</v>
      </c>
      <c r="B8924" s="1">
        <v>44927</v>
      </c>
      <c r="C8924">
        <v>940120</v>
      </c>
      <c r="D8924" t="s">
        <v>176</v>
      </c>
      <c r="E8924">
        <v>135559</v>
      </c>
      <c r="F8924">
        <v>376</v>
      </c>
      <c r="G8924">
        <v>618</v>
      </c>
      <c r="H8924">
        <f>_xlfn.XLOOKUP(FACT_IMPORTS[[#This Row],[hts_6]],DIM_PRODUCTS[hts_6],DIM_PRODUCTS[hts_4],,,)</f>
        <v>9401</v>
      </c>
      <c r="I8924" t="str" cm="1">
        <f t="array" ref="I8924">_xlfn.XLOOKUP(FACT_IMPORTS[[#This Row],[country_name]],DIM_COUNTRY[[#All],[Column2]],DIM_COUNTRY[[#All],[Column3]],,,)</f>
        <v>USMCA</v>
      </c>
    </row>
    <row r="8925" spans="1:9" x14ac:dyDescent="0.4">
      <c r="A8925" t="s">
        <v>64</v>
      </c>
      <c r="B8925" s="1">
        <v>44958</v>
      </c>
      <c r="C8925">
        <v>392630</v>
      </c>
      <c r="D8925" t="s">
        <v>176</v>
      </c>
      <c r="E8925">
        <v>1400</v>
      </c>
      <c r="F8925">
        <v>35</v>
      </c>
      <c r="G8925">
        <v>29</v>
      </c>
      <c r="H8925">
        <f>_xlfn.XLOOKUP(FACT_IMPORTS[[#This Row],[hts_6]],DIM_PRODUCTS[hts_6],DIM_PRODUCTS[hts_4],,,)</f>
        <v>3926</v>
      </c>
      <c r="I8925" t="str" cm="1">
        <f t="array" ref="I8925">_xlfn.XLOOKUP(FACT_IMPORTS[[#This Row],[country_name]],DIM_COUNTRY[[#All],[Column2]],DIM_COUNTRY[[#All],[Column3]],,,)</f>
        <v>USMCA</v>
      </c>
    </row>
    <row r="8926" spans="1:9" x14ac:dyDescent="0.4">
      <c r="A8926" t="s">
        <v>64</v>
      </c>
      <c r="B8926" s="1">
        <v>44958</v>
      </c>
      <c r="C8926">
        <v>401110</v>
      </c>
      <c r="D8926" t="s">
        <v>176</v>
      </c>
      <c r="E8926">
        <v>3021</v>
      </c>
      <c r="F8926">
        <v>15</v>
      </c>
      <c r="G8926">
        <v>1520</v>
      </c>
      <c r="H8926">
        <f>_xlfn.XLOOKUP(FACT_IMPORTS[[#This Row],[hts_6]],DIM_PRODUCTS[hts_6],DIM_PRODUCTS[hts_4],,,)</f>
        <v>4011</v>
      </c>
      <c r="I8926" t="str" cm="1">
        <f t="array" ref="I8926">_xlfn.XLOOKUP(FACT_IMPORTS[[#This Row],[country_name]],DIM_COUNTRY[[#All],[Column2]],DIM_COUNTRY[[#All],[Column3]],,,)</f>
        <v>USMCA</v>
      </c>
    </row>
    <row r="8927" spans="1:9" x14ac:dyDescent="0.4">
      <c r="A8927" t="s">
        <v>64</v>
      </c>
      <c r="B8927" s="1">
        <v>44958</v>
      </c>
      <c r="C8927">
        <v>401120</v>
      </c>
      <c r="D8927" t="s">
        <v>176</v>
      </c>
      <c r="E8927">
        <v>2451</v>
      </c>
      <c r="F8927">
        <v>8</v>
      </c>
      <c r="G8927">
        <v>26</v>
      </c>
      <c r="H8927">
        <f>_xlfn.XLOOKUP(FACT_IMPORTS[[#This Row],[hts_6]],DIM_PRODUCTS[hts_6],DIM_PRODUCTS[hts_4],,,)</f>
        <v>4011</v>
      </c>
      <c r="I8927" t="str" cm="1">
        <f t="array" ref="I8927">_xlfn.XLOOKUP(FACT_IMPORTS[[#This Row],[country_name]],DIM_COUNTRY[[#All],[Column2]],DIM_COUNTRY[[#All],[Column3]],,,)</f>
        <v>USMCA</v>
      </c>
    </row>
    <row r="8928" spans="1:9" x14ac:dyDescent="0.4">
      <c r="A8928" t="s">
        <v>64</v>
      </c>
      <c r="B8928" s="1">
        <v>44958</v>
      </c>
      <c r="C8928">
        <v>401190</v>
      </c>
      <c r="D8928" t="s">
        <v>176</v>
      </c>
      <c r="E8928">
        <v>0</v>
      </c>
      <c r="F8928">
        <v>0</v>
      </c>
      <c r="G8928">
        <v>0</v>
      </c>
      <c r="H8928">
        <f>_xlfn.XLOOKUP(FACT_IMPORTS[[#This Row],[hts_6]],DIM_PRODUCTS[hts_6],DIM_PRODUCTS[hts_4],,,)</f>
        <v>4011</v>
      </c>
      <c r="I8928" t="str" cm="1">
        <f t="array" ref="I8928">_xlfn.XLOOKUP(FACT_IMPORTS[[#This Row],[country_name]],DIM_COUNTRY[[#All],[Column2]],DIM_COUNTRY[[#All],[Column3]],,,)</f>
        <v>USMCA</v>
      </c>
    </row>
    <row r="8929" spans="1:9" x14ac:dyDescent="0.4">
      <c r="A8929" t="s">
        <v>64</v>
      </c>
      <c r="B8929" s="1">
        <v>44958</v>
      </c>
      <c r="C8929">
        <v>700910</v>
      </c>
      <c r="D8929" t="s">
        <v>176</v>
      </c>
      <c r="E8929">
        <v>0</v>
      </c>
      <c r="F8929">
        <v>0</v>
      </c>
      <c r="G8929">
        <v>0</v>
      </c>
      <c r="H8929">
        <f>_xlfn.XLOOKUP(FACT_IMPORTS[[#This Row],[hts_6]],DIM_PRODUCTS[hts_6],DIM_PRODUCTS[hts_4],,,)</f>
        <v>7009</v>
      </c>
      <c r="I8929" t="str" cm="1">
        <f t="array" ref="I8929">_xlfn.XLOOKUP(FACT_IMPORTS[[#This Row],[country_name]],DIM_COUNTRY[[#All],[Column2]],DIM_COUNTRY[[#All],[Column3]],,,)</f>
        <v>USMCA</v>
      </c>
    </row>
    <row r="8930" spans="1:9" x14ac:dyDescent="0.4">
      <c r="A8930" t="s">
        <v>64</v>
      </c>
      <c r="B8930" s="1">
        <v>44958</v>
      </c>
      <c r="C8930">
        <v>732010</v>
      </c>
      <c r="D8930" t="s">
        <v>176</v>
      </c>
      <c r="E8930">
        <v>0</v>
      </c>
      <c r="F8930">
        <v>0</v>
      </c>
      <c r="G8930">
        <v>0</v>
      </c>
      <c r="H8930">
        <f>_xlfn.XLOOKUP(FACT_IMPORTS[[#This Row],[hts_6]],DIM_PRODUCTS[hts_6],DIM_PRODUCTS[hts_4],,,)</f>
        <v>7320</v>
      </c>
      <c r="I8930" t="str" cm="1">
        <f t="array" ref="I8930">_xlfn.XLOOKUP(FACT_IMPORTS[[#This Row],[country_name]],DIM_COUNTRY[[#All],[Column2]],DIM_COUNTRY[[#All],[Column3]],,,)</f>
        <v>USMCA</v>
      </c>
    </row>
    <row r="8931" spans="1:9" x14ac:dyDescent="0.4">
      <c r="A8931" t="s">
        <v>64</v>
      </c>
      <c r="B8931" s="1">
        <v>44958</v>
      </c>
      <c r="C8931">
        <v>830230</v>
      </c>
      <c r="D8931" t="s">
        <v>176</v>
      </c>
      <c r="E8931">
        <v>0</v>
      </c>
      <c r="F8931">
        <v>0</v>
      </c>
      <c r="G8931">
        <v>0</v>
      </c>
      <c r="H8931">
        <f>_xlfn.XLOOKUP(FACT_IMPORTS[[#This Row],[hts_6]],DIM_PRODUCTS[hts_6],DIM_PRODUCTS[hts_4],,,)</f>
        <v>8302</v>
      </c>
      <c r="I8931" t="str" cm="1">
        <f t="array" ref="I8931">_xlfn.XLOOKUP(FACT_IMPORTS[[#This Row],[country_name]],DIM_COUNTRY[[#All],[Column2]],DIM_COUNTRY[[#All],[Column3]],,,)</f>
        <v>USMCA</v>
      </c>
    </row>
    <row r="8932" spans="1:9" x14ac:dyDescent="0.4">
      <c r="A8932" t="s">
        <v>64</v>
      </c>
      <c r="B8932" s="1">
        <v>44958</v>
      </c>
      <c r="C8932">
        <v>840733</v>
      </c>
      <c r="D8932" t="s">
        <v>176</v>
      </c>
      <c r="E8932">
        <v>0</v>
      </c>
      <c r="F8932">
        <v>0</v>
      </c>
      <c r="G8932">
        <v>0</v>
      </c>
      <c r="H8932">
        <f>_xlfn.XLOOKUP(FACT_IMPORTS[[#This Row],[hts_6]],DIM_PRODUCTS[hts_6],DIM_PRODUCTS[hts_4],,,)</f>
        <v>8407</v>
      </c>
      <c r="I8932" t="str" cm="1">
        <f t="array" ref="I8932">_xlfn.XLOOKUP(FACT_IMPORTS[[#This Row],[country_name]],DIM_COUNTRY[[#All],[Column2]],DIM_COUNTRY[[#All],[Column3]],,,)</f>
        <v>USMCA</v>
      </c>
    </row>
    <row r="8933" spans="1:9" x14ac:dyDescent="0.4">
      <c r="A8933" t="s">
        <v>64</v>
      </c>
      <c r="B8933" s="1">
        <v>44958</v>
      </c>
      <c r="C8933">
        <v>840734</v>
      </c>
      <c r="D8933" t="s">
        <v>176</v>
      </c>
      <c r="E8933">
        <v>68970</v>
      </c>
      <c r="F8933">
        <v>70</v>
      </c>
      <c r="G8933">
        <v>1135</v>
      </c>
      <c r="H8933">
        <f>_xlfn.XLOOKUP(FACT_IMPORTS[[#This Row],[hts_6]],DIM_PRODUCTS[hts_6],DIM_PRODUCTS[hts_4],,,)</f>
        <v>8407</v>
      </c>
      <c r="I8933" t="str" cm="1">
        <f t="array" ref="I8933">_xlfn.XLOOKUP(FACT_IMPORTS[[#This Row],[country_name]],DIM_COUNTRY[[#All],[Column2]],DIM_COUNTRY[[#All],[Column3]],,,)</f>
        <v>USMCA</v>
      </c>
    </row>
    <row r="8934" spans="1:9" x14ac:dyDescent="0.4">
      <c r="A8934" t="s">
        <v>64</v>
      </c>
      <c r="B8934" s="1">
        <v>44958</v>
      </c>
      <c r="C8934">
        <v>840820</v>
      </c>
      <c r="D8934" t="s">
        <v>176</v>
      </c>
      <c r="E8934">
        <v>49326</v>
      </c>
      <c r="F8934">
        <v>13</v>
      </c>
      <c r="G8934">
        <v>79</v>
      </c>
      <c r="H8934">
        <f>_xlfn.XLOOKUP(FACT_IMPORTS[[#This Row],[hts_6]],DIM_PRODUCTS[hts_6],DIM_PRODUCTS[hts_4],,,)</f>
        <v>8408</v>
      </c>
      <c r="I8934" t="str" cm="1">
        <f t="array" ref="I8934">_xlfn.XLOOKUP(FACT_IMPORTS[[#This Row],[country_name]],DIM_COUNTRY[[#All],[Column2]],DIM_COUNTRY[[#All],[Column3]],,,)</f>
        <v>USMCA</v>
      </c>
    </row>
    <row r="8935" spans="1:9" x14ac:dyDescent="0.4">
      <c r="A8935" t="s">
        <v>64</v>
      </c>
      <c r="B8935" s="1">
        <v>44958</v>
      </c>
      <c r="C8935">
        <v>840890</v>
      </c>
      <c r="D8935" t="s">
        <v>176</v>
      </c>
      <c r="E8935">
        <v>10489</v>
      </c>
      <c r="F8935">
        <v>3</v>
      </c>
      <c r="G8935">
        <v>84</v>
      </c>
      <c r="H8935">
        <f>_xlfn.XLOOKUP(FACT_IMPORTS[[#This Row],[hts_6]],DIM_PRODUCTS[hts_6],DIM_PRODUCTS[hts_4],,,)</f>
        <v>8408</v>
      </c>
      <c r="I8935" t="str" cm="1">
        <f t="array" ref="I8935">_xlfn.XLOOKUP(FACT_IMPORTS[[#This Row],[country_name]],DIM_COUNTRY[[#All],[Column2]],DIM_COUNTRY[[#All],[Column3]],,,)</f>
        <v>USMCA</v>
      </c>
    </row>
    <row r="8936" spans="1:9" x14ac:dyDescent="0.4">
      <c r="A8936" t="s">
        <v>64</v>
      </c>
      <c r="B8936" s="1">
        <v>44958</v>
      </c>
      <c r="C8936">
        <v>840991</v>
      </c>
      <c r="D8936" t="s">
        <v>176</v>
      </c>
      <c r="E8936">
        <v>706761</v>
      </c>
      <c r="F8936">
        <v>117656</v>
      </c>
      <c r="G8936">
        <v>7067</v>
      </c>
      <c r="H8936">
        <f>_xlfn.XLOOKUP(FACT_IMPORTS[[#This Row],[hts_6]],DIM_PRODUCTS[hts_6],DIM_PRODUCTS[hts_4],,,)</f>
        <v>8409</v>
      </c>
      <c r="I8936" t="str" cm="1">
        <f t="array" ref="I8936">_xlfn.XLOOKUP(FACT_IMPORTS[[#This Row],[country_name]],DIM_COUNTRY[[#All],[Column2]],DIM_COUNTRY[[#All],[Column3]],,,)</f>
        <v>USMCA</v>
      </c>
    </row>
    <row r="8937" spans="1:9" x14ac:dyDescent="0.4">
      <c r="A8937" t="s">
        <v>64</v>
      </c>
      <c r="B8937" s="1">
        <v>44958</v>
      </c>
      <c r="C8937">
        <v>840999</v>
      </c>
      <c r="D8937" t="s">
        <v>176</v>
      </c>
      <c r="E8937">
        <v>71232</v>
      </c>
      <c r="F8937">
        <v>2007</v>
      </c>
      <c r="G8937">
        <v>1680</v>
      </c>
      <c r="H8937">
        <f>_xlfn.XLOOKUP(FACT_IMPORTS[[#This Row],[hts_6]],DIM_PRODUCTS[hts_6],DIM_PRODUCTS[hts_4],,,)</f>
        <v>8409</v>
      </c>
      <c r="I8937" t="str" cm="1">
        <f t="array" ref="I8937">_xlfn.XLOOKUP(FACT_IMPORTS[[#This Row],[country_name]],DIM_COUNTRY[[#All],[Column2]],DIM_COUNTRY[[#All],[Column3]],,,)</f>
        <v>USMCA</v>
      </c>
    </row>
    <row r="8938" spans="1:9" x14ac:dyDescent="0.4">
      <c r="A8938" t="s">
        <v>64</v>
      </c>
      <c r="B8938" s="1">
        <v>44958</v>
      </c>
      <c r="C8938">
        <v>841330</v>
      </c>
      <c r="D8938" t="s">
        <v>176</v>
      </c>
      <c r="E8938">
        <v>20735</v>
      </c>
      <c r="F8938">
        <v>84</v>
      </c>
      <c r="G8938">
        <v>6156</v>
      </c>
      <c r="H8938">
        <f>_xlfn.XLOOKUP(FACT_IMPORTS[[#This Row],[hts_6]],DIM_PRODUCTS[hts_6],DIM_PRODUCTS[hts_4],,,)</f>
        <v>8413</v>
      </c>
      <c r="I8938" t="str" cm="1">
        <f t="array" ref="I8938">_xlfn.XLOOKUP(FACT_IMPORTS[[#This Row],[country_name]],DIM_COUNTRY[[#All],[Column2]],DIM_COUNTRY[[#All],[Column3]],,,)</f>
        <v>USMCA</v>
      </c>
    </row>
    <row r="8939" spans="1:9" x14ac:dyDescent="0.4">
      <c r="A8939" t="s">
        <v>64</v>
      </c>
      <c r="B8939" s="1">
        <v>44958</v>
      </c>
      <c r="C8939">
        <v>842132</v>
      </c>
      <c r="D8939" t="s">
        <v>176</v>
      </c>
      <c r="E8939">
        <v>155923</v>
      </c>
      <c r="F8939">
        <v>787</v>
      </c>
      <c r="G8939">
        <v>5936</v>
      </c>
      <c r="H8939">
        <f>_xlfn.XLOOKUP(FACT_IMPORTS[[#This Row],[hts_6]],DIM_PRODUCTS[hts_6],DIM_PRODUCTS[hts_4],,,)</f>
        <v>8421</v>
      </c>
      <c r="I8939" t="str" cm="1">
        <f t="array" ref="I8939">_xlfn.XLOOKUP(FACT_IMPORTS[[#This Row],[country_name]],DIM_COUNTRY[[#All],[Column2]],DIM_COUNTRY[[#All],[Column3]],,,)</f>
        <v>USMCA</v>
      </c>
    </row>
    <row r="8940" spans="1:9" x14ac:dyDescent="0.4">
      <c r="A8940" t="s">
        <v>64</v>
      </c>
      <c r="B8940" s="1">
        <v>44958</v>
      </c>
      <c r="C8940">
        <v>848210</v>
      </c>
      <c r="D8940" t="s">
        <v>176</v>
      </c>
      <c r="E8940">
        <v>0</v>
      </c>
      <c r="F8940">
        <v>0</v>
      </c>
      <c r="G8940">
        <v>0</v>
      </c>
      <c r="H8940">
        <f>_xlfn.XLOOKUP(FACT_IMPORTS[[#This Row],[hts_6]],DIM_PRODUCTS[hts_6],DIM_PRODUCTS[hts_4],,,)</f>
        <v>8482</v>
      </c>
      <c r="I8940" t="str" cm="1">
        <f t="array" ref="I8940">_xlfn.XLOOKUP(FACT_IMPORTS[[#This Row],[country_name]],DIM_COUNTRY[[#All],[Column2]],DIM_COUNTRY[[#All],[Column3]],,,)</f>
        <v>USMCA</v>
      </c>
    </row>
    <row r="8941" spans="1:9" x14ac:dyDescent="0.4">
      <c r="A8941" t="s">
        <v>64</v>
      </c>
      <c r="B8941" s="1">
        <v>44958</v>
      </c>
      <c r="C8941">
        <v>848220</v>
      </c>
      <c r="D8941" t="s">
        <v>176</v>
      </c>
      <c r="E8941">
        <v>0</v>
      </c>
      <c r="F8941">
        <v>0</v>
      </c>
      <c r="G8941">
        <v>0</v>
      </c>
      <c r="H8941">
        <f>_xlfn.XLOOKUP(FACT_IMPORTS[[#This Row],[hts_6]],DIM_PRODUCTS[hts_6],DIM_PRODUCTS[hts_4],,,)</f>
        <v>8482</v>
      </c>
      <c r="I8941" t="str" cm="1">
        <f t="array" ref="I8941">_xlfn.XLOOKUP(FACT_IMPORTS[[#This Row],[country_name]],DIM_COUNTRY[[#All],[Column2]],DIM_COUNTRY[[#All],[Column3]],,,)</f>
        <v>USMCA</v>
      </c>
    </row>
    <row r="8942" spans="1:9" x14ac:dyDescent="0.4">
      <c r="A8942" t="s">
        <v>64</v>
      </c>
      <c r="B8942" s="1">
        <v>44958</v>
      </c>
      <c r="C8942">
        <v>848310</v>
      </c>
      <c r="D8942" t="s">
        <v>176</v>
      </c>
      <c r="E8942">
        <v>0</v>
      </c>
      <c r="F8942">
        <v>0</v>
      </c>
      <c r="G8942">
        <v>0</v>
      </c>
      <c r="H8942">
        <f>_xlfn.XLOOKUP(FACT_IMPORTS[[#This Row],[hts_6]],DIM_PRODUCTS[hts_6],DIM_PRODUCTS[hts_4],,,)</f>
        <v>8483</v>
      </c>
      <c r="I8942" t="str" cm="1">
        <f t="array" ref="I8942">_xlfn.XLOOKUP(FACT_IMPORTS[[#This Row],[country_name]],DIM_COUNTRY[[#All],[Column2]],DIM_COUNTRY[[#All],[Column3]],,,)</f>
        <v>USMCA</v>
      </c>
    </row>
    <row r="8943" spans="1:9" x14ac:dyDescent="0.4">
      <c r="A8943" t="s">
        <v>64</v>
      </c>
      <c r="B8943" s="1">
        <v>44958</v>
      </c>
      <c r="C8943">
        <v>850131</v>
      </c>
      <c r="D8943" t="s">
        <v>176</v>
      </c>
      <c r="E8943">
        <v>7994</v>
      </c>
      <c r="F8943">
        <v>216</v>
      </c>
      <c r="G8943">
        <v>365</v>
      </c>
      <c r="H8943">
        <f>_xlfn.XLOOKUP(FACT_IMPORTS[[#This Row],[hts_6]],DIM_PRODUCTS[hts_6],DIM_PRODUCTS[hts_4],,,)</f>
        <v>8501</v>
      </c>
      <c r="I8943" t="str" cm="1">
        <f t="array" ref="I8943">_xlfn.XLOOKUP(FACT_IMPORTS[[#This Row],[country_name]],DIM_COUNTRY[[#All],[Column2]],DIM_COUNTRY[[#All],[Column3]],,,)</f>
        <v>USMCA</v>
      </c>
    </row>
    <row r="8944" spans="1:9" x14ac:dyDescent="0.4">
      <c r="A8944" t="s">
        <v>64</v>
      </c>
      <c r="B8944" s="1">
        <v>44958</v>
      </c>
      <c r="C8944">
        <v>850132</v>
      </c>
      <c r="D8944" t="s">
        <v>176</v>
      </c>
      <c r="E8944">
        <v>30134</v>
      </c>
      <c r="F8944">
        <v>17</v>
      </c>
      <c r="G8944">
        <v>36</v>
      </c>
      <c r="H8944">
        <f>_xlfn.XLOOKUP(FACT_IMPORTS[[#This Row],[hts_6]],DIM_PRODUCTS[hts_6],DIM_PRODUCTS[hts_4],,,)</f>
        <v>8501</v>
      </c>
      <c r="I8944" t="str" cm="1">
        <f t="array" ref="I8944">_xlfn.XLOOKUP(FACT_IMPORTS[[#This Row],[country_name]],DIM_COUNTRY[[#All],[Column2]],DIM_COUNTRY[[#All],[Column3]],,,)</f>
        <v>USMCA</v>
      </c>
    </row>
    <row r="8945" spans="1:9" x14ac:dyDescent="0.4">
      <c r="A8945" t="s">
        <v>64</v>
      </c>
      <c r="B8945" s="1">
        <v>44958</v>
      </c>
      <c r="C8945">
        <v>850133</v>
      </c>
      <c r="D8945" t="s">
        <v>176</v>
      </c>
      <c r="E8945">
        <v>0</v>
      </c>
      <c r="F8945">
        <v>0</v>
      </c>
      <c r="G8945">
        <v>0</v>
      </c>
      <c r="H8945">
        <f>_xlfn.XLOOKUP(FACT_IMPORTS[[#This Row],[hts_6]],DIM_PRODUCTS[hts_6],DIM_PRODUCTS[hts_4],,,)</f>
        <v>8501</v>
      </c>
      <c r="I8945" t="str" cm="1">
        <f t="array" ref="I8945">_xlfn.XLOOKUP(FACT_IMPORTS[[#This Row],[country_name]],DIM_COUNTRY[[#All],[Column2]],DIM_COUNTRY[[#All],[Column3]],,,)</f>
        <v>USMCA</v>
      </c>
    </row>
    <row r="8946" spans="1:9" x14ac:dyDescent="0.4">
      <c r="A8946" t="s">
        <v>64</v>
      </c>
      <c r="B8946" s="1">
        <v>44958</v>
      </c>
      <c r="C8946">
        <v>850134</v>
      </c>
      <c r="D8946" t="s">
        <v>176</v>
      </c>
      <c r="E8946">
        <v>0</v>
      </c>
      <c r="F8946">
        <v>0</v>
      </c>
      <c r="G8946">
        <v>0</v>
      </c>
      <c r="H8946">
        <f>_xlfn.XLOOKUP(FACT_IMPORTS[[#This Row],[hts_6]],DIM_PRODUCTS[hts_6],DIM_PRODUCTS[hts_4],,,)</f>
        <v>8501</v>
      </c>
      <c r="I8946" t="str" cm="1">
        <f t="array" ref="I8946">_xlfn.XLOOKUP(FACT_IMPORTS[[#This Row],[country_name]],DIM_COUNTRY[[#All],[Column2]],DIM_COUNTRY[[#All],[Column3]],,,)</f>
        <v>USMCA</v>
      </c>
    </row>
    <row r="8947" spans="1:9" x14ac:dyDescent="0.4">
      <c r="A8947" t="s">
        <v>64</v>
      </c>
      <c r="B8947" s="1">
        <v>44958</v>
      </c>
      <c r="C8947">
        <v>850152</v>
      </c>
      <c r="D8947" t="s">
        <v>176</v>
      </c>
      <c r="E8947">
        <v>53408</v>
      </c>
      <c r="F8947">
        <v>27</v>
      </c>
      <c r="G8947">
        <v>1068</v>
      </c>
      <c r="H8947">
        <f>_xlfn.XLOOKUP(FACT_IMPORTS[[#This Row],[hts_6]],DIM_PRODUCTS[hts_6],DIM_PRODUCTS[hts_4],,,)</f>
        <v>8501</v>
      </c>
      <c r="I8947" t="str" cm="1">
        <f t="array" ref="I8947">_xlfn.XLOOKUP(FACT_IMPORTS[[#This Row],[country_name]],DIM_COUNTRY[[#All],[Column2]],DIM_COUNTRY[[#All],[Column3]],,,)</f>
        <v>USMCA</v>
      </c>
    </row>
    <row r="8948" spans="1:9" x14ac:dyDescent="0.4">
      <c r="A8948" t="s">
        <v>64</v>
      </c>
      <c r="B8948" s="1">
        <v>44958</v>
      </c>
      <c r="C8948">
        <v>850153</v>
      </c>
      <c r="D8948" t="s">
        <v>176</v>
      </c>
      <c r="E8948">
        <v>0</v>
      </c>
      <c r="F8948">
        <v>0</v>
      </c>
      <c r="G8948">
        <v>0</v>
      </c>
      <c r="H8948">
        <f>_xlfn.XLOOKUP(FACT_IMPORTS[[#This Row],[hts_6]],DIM_PRODUCTS[hts_6],DIM_PRODUCTS[hts_4],,,)</f>
        <v>8501</v>
      </c>
      <c r="I8948" t="str" cm="1">
        <f t="array" ref="I8948">_xlfn.XLOOKUP(FACT_IMPORTS[[#This Row],[country_name]],DIM_COUNTRY[[#All],[Column2]],DIM_COUNTRY[[#All],[Column3]],,,)</f>
        <v>USMCA</v>
      </c>
    </row>
    <row r="8949" spans="1:9" x14ac:dyDescent="0.4">
      <c r="A8949" t="s">
        <v>64</v>
      </c>
      <c r="B8949" s="1">
        <v>44958</v>
      </c>
      <c r="C8949">
        <v>850161</v>
      </c>
      <c r="D8949" t="s">
        <v>176</v>
      </c>
      <c r="E8949">
        <v>0</v>
      </c>
      <c r="F8949">
        <v>0</v>
      </c>
      <c r="G8949">
        <v>0</v>
      </c>
      <c r="H8949">
        <f>_xlfn.XLOOKUP(FACT_IMPORTS[[#This Row],[hts_6]],DIM_PRODUCTS[hts_6],DIM_PRODUCTS[hts_4],,,)</f>
        <v>8501</v>
      </c>
      <c r="I8949" t="str" cm="1">
        <f t="array" ref="I8949">_xlfn.XLOOKUP(FACT_IMPORTS[[#This Row],[country_name]],DIM_COUNTRY[[#All],[Column2]],DIM_COUNTRY[[#All],[Column3]],,,)</f>
        <v>USMCA</v>
      </c>
    </row>
    <row r="8950" spans="1:9" x14ac:dyDescent="0.4">
      <c r="A8950" t="s">
        <v>64</v>
      </c>
      <c r="B8950" s="1">
        <v>44958</v>
      </c>
      <c r="C8950">
        <v>850440</v>
      </c>
      <c r="D8950" t="s">
        <v>176</v>
      </c>
      <c r="E8950">
        <v>18045</v>
      </c>
      <c r="F8950">
        <v>187</v>
      </c>
      <c r="G8950">
        <v>67</v>
      </c>
      <c r="H8950">
        <f>_xlfn.XLOOKUP(FACT_IMPORTS[[#This Row],[hts_6]],DIM_PRODUCTS[hts_6],DIM_PRODUCTS[hts_4],,,)</f>
        <v>8504</v>
      </c>
      <c r="I8950" t="str" cm="1">
        <f t="array" ref="I8950">_xlfn.XLOOKUP(FACT_IMPORTS[[#This Row],[country_name]],DIM_COUNTRY[[#All],[Column2]],DIM_COUNTRY[[#All],[Column3]],,,)</f>
        <v>USMCA</v>
      </c>
    </row>
    <row r="8951" spans="1:9" x14ac:dyDescent="0.4">
      <c r="A8951" t="s">
        <v>64</v>
      </c>
      <c r="B8951" s="1">
        <v>44958</v>
      </c>
      <c r="C8951">
        <v>850710</v>
      </c>
      <c r="D8951" t="s">
        <v>176</v>
      </c>
      <c r="E8951">
        <v>0</v>
      </c>
      <c r="F8951">
        <v>0</v>
      </c>
      <c r="G8951">
        <v>0</v>
      </c>
      <c r="H8951">
        <f>_xlfn.XLOOKUP(FACT_IMPORTS[[#This Row],[hts_6]],DIM_PRODUCTS[hts_6],DIM_PRODUCTS[hts_4],,,)</f>
        <v>8507</v>
      </c>
      <c r="I8951" t="str" cm="1">
        <f t="array" ref="I8951">_xlfn.XLOOKUP(FACT_IMPORTS[[#This Row],[country_name]],DIM_COUNTRY[[#All],[Column2]],DIM_COUNTRY[[#All],[Column3]],,,)</f>
        <v>USMCA</v>
      </c>
    </row>
    <row r="8952" spans="1:9" x14ac:dyDescent="0.4">
      <c r="A8952" t="s">
        <v>64</v>
      </c>
      <c r="B8952" s="1">
        <v>44958</v>
      </c>
      <c r="C8952">
        <v>850760</v>
      </c>
      <c r="D8952" t="s">
        <v>176</v>
      </c>
      <c r="E8952">
        <v>3854</v>
      </c>
      <c r="F8952">
        <v>15</v>
      </c>
      <c r="G8952">
        <v>8</v>
      </c>
      <c r="H8952">
        <f>_xlfn.XLOOKUP(FACT_IMPORTS[[#This Row],[hts_6]],DIM_PRODUCTS[hts_6],DIM_PRODUCTS[hts_4],,,)</f>
        <v>8507</v>
      </c>
      <c r="I8952" t="str" cm="1">
        <f t="array" ref="I8952">_xlfn.XLOOKUP(FACT_IMPORTS[[#This Row],[country_name]],DIM_COUNTRY[[#All],[Column2]],DIM_COUNTRY[[#All],[Column3]],,,)</f>
        <v>USMCA</v>
      </c>
    </row>
    <row r="8953" spans="1:9" x14ac:dyDescent="0.4">
      <c r="A8953" t="s">
        <v>64</v>
      </c>
      <c r="B8953" s="1">
        <v>44958</v>
      </c>
      <c r="C8953">
        <v>850790</v>
      </c>
      <c r="D8953" t="s">
        <v>176</v>
      </c>
      <c r="E8953">
        <v>0</v>
      </c>
      <c r="F8953">
        <v>0</v>
      </c>
      <c r="G8953">
        <v>0</v>
      </c>
      <c r="H8953">
        <f>_xlfn.XLOOKUP(FACT_IMPORTS[[#This Row],[hts_6]],DIM_PRODUCTS[hts_6],DIM_PRODUCTS[hts_4],,,)</f>
        <v>8507</v>
      </c>
      <c r="I8953" t="str" cm="1">
        <f t="array" ref="I8953">_xlfn.XLOOKUP(FACT_IMPORTS[[#This Row],[country_name]],DIM_COUNTRY[[#All],[Column2]],DIM_COUNTRY[[#All],[Column3]],,,)</f>
        <v>USMCA</v>
      </c>
    </row>
    <row r="8954" spans="1:9" x14ac:dyDescent="0.4">
      <c r="A8954" t="s">
        <v>64</v>
      </c>
      <c r="B8954" s="1">
        <v>44958</v>
      </c>
      <c r="C8954">
        <v>851110</v>
      </c>
      <c r="D8954" t="s">
        <v>176</v>
      </c>
      <c r="E8954">
        <v>0</v>
      </c>
      <c r="F8954">
        <v>0</v>
      </c>
      <c r="G8954">
        <v>0</v>
      </c>
      <c r="H8954">
        <f>_xlfn.XLOOKUP(FACT_IMPORTS[[#This Row],[hts_6]],DIM_PRODUCTS[hts_6],DIM_PRODUCTS[hts_4],,,)</f>
        <v>8511</v>
      </c>
      <c r="I8954" t="str" cm="1">
        <f t="array" ref="I8954">_xlfn.XLOOKUP(FACT_IMPORTS[[#This Row],[country_name]],DIM_COUNTRY[[#All],[Column2]],DIM_COUNTRY[[#All],[Column3]],,,)</f>
        <v>USMCA</v>
      </c>
    </row>
    <row r="8955" spans="1:9" x14ac:dyDescent="0.4">
      <c r="A8955" t="s">
        <v>64</v>
      </c>
      <c r="B8955" s="1">
        <v>44958</v>
      </c>
      <c r="C8955">
        <v>851130</v>
      </c>
      <c r="D8955" t="s">
        <v>176</v>
      </c>
      <c r="E8955">
        <v>0</v>
      </c>
      <c r="F8955">
        <v>0</v>
      </c>
      <c r="G8955">
        <v>0</v>
      </c>
      <c r="H8955">
        <f>_xlfn.XLOOKUP(FACT_IMPORTS[[#This Row],[hts_6]],DIM_PRODUCTS[hts_6],DIM_PRODUCTS[hts_4],,,)</f>
        <v>8511</v>
      </c>
      <c r="I8955" t="str" cm="1">
        <f t="array" ref="I8955">_xlfn.XLOOKUP(FACT_IMPORTS[[#This Row],[country_name]],DIM_COUNTRY[[#All],[Column2]],DIM_COUNTRY[[#All],[Column3]],,,)</f>
        <v>USMCA</v>
      </c>
    </row>
    <row r="8956" spans="1:9" x14ac:dyDescent="0.4">
      <c r="A8956" t="s">
        <v>64</v>
      </c>
      <c r="B8956" s="1">
        <v>44958</v>
      </c>
      <c r="C8956">
        <v>851140</v>
      </c>
      <c r="D8956" t="s">
        <v>176</v>
      </c>
      <c r="E8956">
        <v>3907</v>
      </c>
      <c r="F8956">
        <v>20</v>
      </c>
      <c r="G8956">
        <v>300</v>
      </c>
      <c r="H8956">
        <f>_xlfn.XLOOKUP(FACT_IMPORTS[[#This Row],[hts_6]],DIM_PRODUCTS[hts_6],DIM_PRODUCTS[hts_4],,,)</f>
        <v>8511</v>
      </c>
      <c r="I8956" t="str" cm="1">
        <f t="array" ref="I8956">_xlfn.XLOOKUP(FACT_IMPORTS[[#This Row],[country_name]],DIM_COUNTRY[[#All],[Column2]],DIM_COUNTRY[[#All],[Column3]],,,)</f>
        <v>USMCA</v>
      </c>
    </row>
    <row r="8957" spans="1:9" x14ac:dyDescent="0.4">
      <c r="A8957" t="s">
        <v>64</v>
      </c>
      <c r="B8957" s="1">
        <v>44958</v>
      </c>
      <c r="C8957">
        <v>851150</v>
      </c>
      <c r="D8957" t="s">
        <v>176</v>
      </c>
      <c r="E8957">
        <v>17695</v>
      </c>
      <c r="F8957">
        <v>34</v>
      </c>
      <c r="G8957">
        <v>189</v>
      </c>
      <c r="H8957">
        <f>_xlfn.XLOOKUP(FACT_IMPORTS[[#This Row],[hts_6]],DIM_PRODUCTS[hts_6],DIM_PRODUCTS[hts_4],,,)</f>
        <v>8511</v>
      </c>
      <c r="I8957" t="str" cm="1">
        <f t="array" ref="I8957">_xlfn.XLOOKUP(FACT_IMPORTS[[#This Row],[country_name]],DIM_COUNTRY[[#All],[Column2]],DIM_COUNTRY[[#All],[Column3]],,,)</f>
        <v>USMCA</v>
      </c>
    </row>
    <row r="8958" spans="1:9" x14ac:dyDescent="0.4">
      <c r="A8958" t="s">
        <v>64</v>
      </c>
      <c r="B8958" s="1">
        <v>44958</v>
      </c>
      <c r="C8958">
        <v>851180</v>
      </c>
      <c r="D8958" t="s">
        <v>176</v>
      </c>
      <c r="E8958">
        <v>0</v>
      </c>
      <c r="F8958">
        <v>0</v>
      </c>
      <c r="G8958">
        <v>0</v>
      </c>
      <c r="H8958">
        <f>_xlfn.XLOOKUP(FACT_IMPORTS[[#This Row],[hts_6]],DIM_PRODUCTS[hts_6],DIM_PRODUCTS[hts_4],,,)</f>
        <v>8511</v>
      </c>
      <c r="I8958" t="str" cm="1">
        <f t="array" ref="I8958">_xlfn.XLOOKUP(FACT_IMPORTS[[#This Row],[country_name]],DIM_COUNTRY[[#All],[Column2]],DIM_COUNTRY[[#All],[Column3]],,,)</f>
        <v>USMCA</v>
      </c>
    </row>
    <row r="8959" spans="1:9" x14ac:dyDescent="0.4">
      <c r="A8959" t="s">
        <v>64</v>
      </c>
      <c r="B8959" s="1">
        <v>44958</v>
      </c>
      <c r="C8959">
        <v>851190</v>
      </c>
      <c r="D8959" t="s">
        <v>176</v>
      </c>
      <c r="E8959">
        <v>0</v>
      </c>
      <c r="F8959">
        <v>0</v>
      </c>
      <c r="G8959">
        <v>0</v>
      </c>
      <c r="H8959">
        <f>_xlfn.XLOOKUP(FACT_IMPORTS[[#This Row],[hts_6]],DIM_PRODUCTS[hts_6],DIM_PRODUCTS[hts_4],,,)</f>
        <v>8511</v>
      </c>
      <c r="I8959" t="str" cm="1">
        <f t="array" ref="I8959">_xlfn.XLOOKUP(FACT_IMPORTS[[#This Row],[country_name]],DIM_COUNTRY[[#All],[Column2]],DIM_COUNTRY[[#All],[Column3]],,,)</f>
        <v>USMCA</v>
      </c>
    </row>
    <row r="8960" spans="1:9" x14ac:dyDescent="0.4">
      <c r="A8960" t="s">
        <v>64</v>
      </c>
      <c r="B8960" s="1">
        <v>44958</v>
      </c>
      <c r="C8960">
        <v>851220</v>
      </c>
      <c r="D8960" t="s">
        <v>176</v>
      </c>
      <c r="E8960">
        <v>50705</v>
      </c>
      <c r="F8960">
        <v>1660</v>
      </c>
      <c r="G8960">
        <v>5501</v>
      </c>
      <c r="H8960">
        <f>_xlfn.XLOOKUP(FACT_IMPORTS[[#This Row],[hts_6]],DIM_PRODUCTS[hts_6],DIM_PRODUCTS[hts_4],,,)</f>
        <v>8512</v>
      </c>
      <c r="I8960" t="str" cm="1">
        <f t="array" ref="I8960">_xlfn.XLOOKUP(FACT_IMPORTS[[#This Row],[country_name]],DIM_COUNTRY[[#All],[Column2]],DIM_COUNTRY[[#All],[Column3]],,,)</f>
        <v>USMCA</v>
      </c>
    </row>
    <row r="8961" spans="1:9" x14ac:dyDescent="0.4">
      <c r="A8961" t="s">
        <v>64</v>
      </c>
      <c r="B8961" s="1">
        <v>44958</v>
      </c>
      <c r="C8961">
        <v>851230</v>
      </c>
      <c r="D8961" t="s">
        <v>176</v>
      </c>
      <c r="E8961">
        <v>8288</v>
      </c>
      <c r="F8961">
        <v>1300</v>
      </c>
      <c r="G8961">
        <v>699</v>
      </c>
      <c r="H8961">
        <f>_xlfn.XLOOKUP(FACT_IMPORTS[[#This Row],[hts_6]],DIM_PRODUCTS[hts_6],DIM_PRODUCTS[hts_4],,,)</f>
        <v>8512</v>
      </c>
      <c r="I8961" t="str" cm="1">
        <f t="array" ref="I8961">_xlfn.XLOOKUP(FACT_IMPORTS[[#This Row],[country_name]],DIM_COUNTRY[[#All],[Column2]],DIM_COUNTRY[[#All],[Column3]],,,)</f>
        <v>USMCA</v>
      </c>
    </row>
    <row r="8962" spans="1:9" x14ac:dyDescent="0.4">
      <c r="A8962" t="s">
        <v>64</v>
      </c>
      <c r="B8962" s="1">
        <v>44958</v>
      </c>
      <c r="C8962">
        <v>851240</v>
      </c>
      <c r="D8962" t="s">
        <v>176</v>
      </c>
      <c r="E8962">
        <v>0</v>
      </c>
      <c r="F8962">
        <v>0</v>
      </c>
      <c r="G8962">
        <v>0</v>
      </c>
      <c r="H8962">
        <f>_xlfn.XLOOKUP(FACT_IMPORTS[[#This Row],[hts_6]],DIM_PRODUCTS[hts_6],DIM_PRODUCTS[hts_4],,,)</f>
        <v>8512</v>
      </c>
      <c r="I8962" t="str" cm="1">
        <f t="array" ref="I8962">_xlfn.XLOOKUP(FACT_IMPORTS[[#This Row],[country_name]],DIM_COUNTRY[[#All],[Column2]],DIM_COUNTRY[[#All],[Column3]],,,)</f>
        <v>USMCA</v>
      </c>
    </row>
    <row r="8963" spans="1:9" x14ac:dyDescent="0.4">
      <c r="A8963" t="s">
        <v>64</v>
      </c>
      <c r="B8963" s="1">
        <v>44958</v>
      </c>
      <c r="C8963">
        <v>851290</v>
      </c>
      <c r="D8963" t="s">
        <v>176</v>
      </c>
      <c r="E8963">
        <v>49045</v>
      </c>
      <c r="F8963">
        <v>5030</v>
      </c>
      <c r="G8963">
        <v>23998</v>
      </c>
      <c r="H8963">
        <f>_xlfn.XLOOKUP(FACT_IMPORTS[[#This Row],[hts_6]],DIM_PRODUCTS[hts_6],DIM_PRODUCTS[hts_4],,,)</f>
        <v>8512</v>
      </c>
      <c r="I8963" t="str" cm="1">
        <f t="array" ref="I8963">_xlfn.XLOOKUP(FACT_IMPORTS[[#This Row],[country_name]],DIM_COUNTRY[[#All],[Column2]],DIM_COUNTRY[[#All],[Column3]],,,)</f>
        <v>USMCA</v>
      </c>
    </row>
    <row r="8964" spans="1:9" x14ac:dyDescent="0.4">
      <c r="A8964" t="s">
        <v>64</v>
      </c>
      <c r="B8964" s="1">
        <v>44958</v>
      </c>
      <c r="C8964">
        <v>854231</v>
      </c>
      <c r="D8964" t="s">
        <v>176</v>
      </c>
      <c r="E8964">
        <v>2500</v>
      </c>
      <c r="F8964">
        <v>5</v>
      </c>
      <c r="G8964">
        <v>32</v>
      </c>
      <c r="H8964">
        <f>_xlfn.XLOOKUP(FACT_IMPORTS[[#This Row],[hts_6]],DIM_PRODUCTS[hts_6],DIM_PRODUCTS[hts_4],,,)</f>
        <v>8542</v>
      </c>
      <c r="I8964" t="str" cm="1">
        <f t="array" ref="I8964">_xlfn.XLOOKUP(FACT_IMPORTS[[#This Row],[country_name]],DIM_COUNTRY[[#All],[Column2]],DIM_COUNTRY[[#All],[Column3]],,,)</f>
        <v>USMCA</v>
      </c>
    </row>
    <row r="8965" spans="1:9" x14ac:dyDescent="0.4">
      <c r="A8965" t="s">
        <v>64</v>
      </c>
      <c r="B8965" s="1">
        <v>44958</v>
      </c>
      <c r="C8965">
        <v>854232</v>
      </c>
      <c r="D8965" t="s">
        <v>176</v>
      </c>
      <c r="E8965">
        <v>0</v>
      </c>
      <c r="F8965">
        <v>0</v>
      </c>
      <c r="G8965">
        <v>0</v>
      </c>
      <c r="H8965">
        <f>_xlfn.XLOOKUP(FACT_IMPORTS[[#This Row],[hts_6]],DIM_PRODUCTS[hts_6],DIM_PRODUCTS[hts_4],,,)</f>
        <v>8542</v>
      </c>
      <c r="I8965" t="str" cm="1">
        <f t="array" ref="I8965">_xlfn.XLOOKUP(FACT_IMPORTS[[#This Row],[country_name]],DIM_COUNTRY[[#All],[Column2]],DIM_COUNTRY[[#All],[Column3]],,,)</f>
        <v>USMCA</v>
      </c>
    </row>
    <row r="8966" spans="1:9" x14ac:dyDescent="0.4">
      <c r="A8966" t="s">
        <v>64</v>
      </c>
      <c r="B8966" s="1">
        <v>44958</v>
      </c>
      <c r="C8966">
        <v>854290</v>
      </c>
      <c r="D8966" t="s">
        <v>176</v>
      </c>
      <c r="E8966">
        <v>0</v>
      </c>
      <c r="F8966">
        <v>0</v>
      </c>
      <c r="G8966">
        <v>0</v>
      </c>
      <c r="H8966">
        <f>_xlfn.XLOOKUP(FACT_IMPORTS[[#This Row],[hts_6]],DIM_PRODUCTS[hts_6],DIM_PRODUCTS[hts_4],,,)</f>
        <v>8542</v>
      </c>
      <c r="I8966" t="str" cm="1">
        <f t="array" ref="I8966">_xlfn.XLOOKUP(FACT_IMPORTS[[#This Row],[country_name]],DIM_COUNTRY[[#All],[Column2]],DIM_COUNTRY[[#All],[Column3]],,,)</f>
        <v>USMCA</v>
      </c>
    </row>
    <row r="8967" spans="1:9" x14ac:dyDescent="0.4">
      <c r="A8967" t="s">
        <v>64</v>
      </c>
      <c r="B8967" s="1">
        <v>44958</v>
      </c>
      <c r="C8967">
        <v>854430</v>
      </c>
      <c r="D8967" t="s">
        <v>176</v>
      </c>
      <c r="E8967">
        <v>942089</v>
      </c>
      <c r="F8967">
        <v>69409</v>
      </c>
      <c r="G8967">
        <v>6770</v>
      </c>
      <c r="H8967">
        <f>_xlfn.XLOOKUP(FACT_IMPORTS[[#This Row],[hts_6]],DIM_PRODUCTS[hts_6],DIM_PRODUCTS[hts_4],,,)</f>
        <v>8544</v>
      </c>
      <c r="I8967" t="str" cm="1">
        <f t="array" ref="I8967">_xlfn.XLOOKUP(FACT_IMPORTS[[#This Row],[country_name]],DIM_COUNTRY[[#All],[Column2]],DIM_COUNTRY[[#All],[Column3]],,,)</f>
        <v>USMCA</v>
      </c>
    </row>
    <row r="8968" spans="1:9" x14ac:dyDescent="0.4">
      <c r="A8968" t="s">
        <v>64</v>
      </c>
      <c r="B8968" s="1">
        <v>44958</v>
      </c>
      <c r="C8968">
        <v>870810</v>
      </c>
      <c r="D8968" t="s">
        <v>176</v>
      </c>
      <c r="E8968">
        <v>49435</v>
      </c>
      <c r="F8968">
        <v>267</v>
      </c>
      <c r="G8968">
        <v>5676</v>
      </c>
      <c r="H8968">
        <f>_xlfn.XLOOKUP(FACT_IMPORTS[[#This Row],[hts_6]],DIM_PRODUCTS[hts_6],DIM_PRODUCTS[hts_4],,,)</f>
        <v>8708</v>
      </c>
      <c r="I8968" t="str" cm="1">
        <f t="array" ref="I8968">_xlfn.XLOOKUP(FACT_IMPORTS[[#This Row],[country_name]],DIM_COUNTRY[[#All],[Column2]],DIM_COUNTRY[[#All],[Column3]],,,)</f>
        <v>USMCA</v>
      </c>
    </row>
    <row r="8969" spans="1:9" x14ac:dyDescent="0.4">
      <c r="A8969" t="s">
        <v>64</v>
      </c>
      <c r="B8969" s="1">
        <v>44958</v>
      </c>
      <c r="C8969">
        <v>870821</v>
      </c>
      <c r="D8969" t="s">
        <v>176</v>
      </c>
      <c r="E8969">
        <v>0</v>
      </c>
      <c r="F8969">
        <v>0</v>
      </c>
      <c r="G8969">
        <v>0</v>
      </c>
      <c r="H8969">
        <f>_xlfn.XLOOKUP(FACT_IMPORTS[[#This Row],[hts_6]],DIM_PRODUCTS[hts_6],DIM_PRODUCTS[hts_4],,,)</f>
        <v>8708</v>
      </c>
      <c r="I8969" t="str" cm="1">
        <f t="array" ref="I8969">_xlfn.XLOOKUP(FACT_IMPORTS[[#This Row],[country_name]],DIM_COUNTRY[[#All],[Column2]],DIM_COUNTRY[[#All],[Column3]],,,)</f>
        <v>USMCA</v>
      </c>
    </row>
    <row r="8970" spans="1:9" x14ac:dyDescent="0.4">
      <c r="A8970" t="s">
        <v>64</v>
      </c>
      <c r="B8970" s="1">
        <v>44958</v>
      </c>
      <c r="C8970">
        <v>870822</v>
      </c>
      <c r="D8970" t="s">
        <v>176</v>
      </c>
      <c r="E8970">
        <v>6048</v>
      </c>
      <c r="F8970">
        <v>22</v>
      </c>
      <c r="G8970">
        <v>69</v>
      </c>
      <c r="H8970">
        <f>_xlfn.XLOOKUP(FACT_IMPORTS[[#This Row],[hts_6]],DIM_PRODUCTS[hts_6],DIM_PRODUCTS[hts_4],,,)</f>
        <v>8708</v>
      </c>
      <c r="I8970" t="str" cm="1">
        <f t="array" ref="I8970">_xlfn.XLOOKUP(FACT_IMPORTS[[#This Row],[country_name]],DIM_COUNTRY[[#All],[Column2]],DIM_COUNTRY[[#All],[Column3]],,,)</f>
        <v>USMCA</v>
      </c>
    </row>
    <row r="8971" spans="1:9" x14ac:dyDescent="0.4">
      <c r="A8971" t="s">
        <v>64</v>
      </c>
      <c r="B8971" s="1">
        <v>44958</v>
      </c>
      <c r="C8971">
        <v>870829</v>
      </c>
      <c r="D8971" t="s">
        <v>176</v>
      </c>
      <c r="E8971">
        <v>591333</v>
      </c>
      <c r="F8971">
        <v>18266</v>
      </c>
      <c r="G8971">
        <v>35770</v>
      </c>
      <c r="H8971">
        <f>_xlfn.XLOOKUP(FACT_IMPORTS[[#This Row],[hts_6]],DIM_PRODUCTS[hts_6],DIM_PRODUCTS[hts_4],,,)</f>
        <v>8708</v>
      </c>
      <c r="I8971" t="str" cm="1">
        <f t="array" ref="I8971">_xlfn.XLOOKUP(FACT_IMPORTS[[#This Row],[country_name]],DIM_COUNTRY[[#All],[Column2]],DIM_COUNTRY[[#All],[Column3]],,,)</f>
        <v>USMCA</v>
      </c>
    </row>
    <row r="8972" spans="1:9" x14ac:dyDescent="0.4">
      <c r="A8972" t="s">
        <v>64</v>
      </c>
      <c r="B8972" s="1">
        <v>44958</v>
      </c>
      <c r="C8972">
        <v>870830</v>
      </c>
      <c r="D8972" t="s">
        <v>176</v>
      </c>
      <c r="E8972">
        <v>63248</v>
      </c>
      <c r="F8972">
        <v>786</v>
      </c>
      <c r="G8972">
        <v>310</v>
      </c>
      <c r="H8972">
        <f>_xlfn.XLOOKUP(FACT_IMPORTS[[#This Row],[hts_6]],DIM_PRODUCTS[hts_6],DIM_PRODUCTS[hts_4],,,)</f>
        <v>8708</v>
      </c>
      <c r="I8972" t="str" cm="1">
        <f t="array" ref="I8972">_xlfn.XLOOKUP(FACT_IMPORTS[[#This Row],[country_name]],DIM_COUNTRY[[#All],[Column2]],DIM_COUNTRY[[#All],[Column3]],,,)</f>
        <v>USMCA</v>
      </c>
    </row>
    <row r="8973" spans="1:9" x14ac:dyDescent="0.4">
      <c r="A8973" t="s">
        <v>64</v>
      </c>
      <c r="B8973" s="1">
        <v>44958</v>
      </c>
      <c r="C8973">
        <v>870840</v>
      </c>
      <c r="D8973" t="s">
        <v>176</v>
      </c>
      <c r="E8973">
        <v>22062</v>
      </c>
      <c r="F8973">
        <v>6009</v>
      </c>
      <c r="G8973">
        <v>2284</v>
      </c>
      <c r="H8973">
        <f>_xlfn.XLOOKUP(FACT_IMPORTS[[#This Row],[hts_6]],DIM_PRODUCTS[hts_6],DIM_PRODUCTS[hts_4],,,)</f>
        <v>8708</v>
      </c>
      <c r="I8973" t="str" cm="1">
        <f t="array" ref="I8973">_xlfn.XLOOKUP(FACT_IMPORTS[[#This Row],[country_name]],DIM_COUNTRY[[#All],[Column2]],DIM_COUNTRY[[#All],[Column3]],,,)</f>
        <v>USMCA</v>
      </c>
    </row>
    <row r="8974" spans="1:9" x14ac:dyDescent="0.4">
      <c r="A8974" t="s">
        <v>64</v>
      </c>
      <c r="B8974" s="1">
        <v>44958</v>
      </c>
      <c r="C8974">
        <v>870850</v>
      </c>
      <c r="D8974" t="s">
        <v>176</v>
      </c>
      <c r="E8974">
        <v>31530</v>
      </c>
      <c r="F8974">
        <v>91</v>
      </c>
      <c r="G8974">
        <v>72</v>
      </c>
      <c r="H8974">
        <f>_xlfn.XLOOKUP(FACT_IMPORTS[[#This Row],[hts_6]],DIM_PRODUCTS[hts_6],DIM_PRODUCTS[hts_4],,,)</f>
        <v>8708</v>
      </c>
      <c r="I8974" t="str" cm="1">
        <f t="array" ref="I8974">_xlfn.XLOOKUP(FACT_IMPORTS[[#This Row],[country_name]],DIM_COUNTRY[[#All],[Column2]],DIM_COUNTRY[[#All],[Column3]],,,)</f>
        <v>USMCA</v>
      </c>
    </row>
    <row r="8975" spans="1:9" x14ac:dyDescent="0.4">
      <c r="A8975" t="s">
        <v>64</v>
      </c>
      <c r="B8975" s="1">
        <v>44958</v>
      </c>
      <c r="C8975">
        <v>870870</v>
      </c>
      <c r="D8975" t="s">
        <v>176</v>
      </c>
      <c r="E8975">
        <v>71873</v>
      </c>
      <c r="F8975">
        <v>1553</v>
      </c>
      <c r="G8975">
        <v>1678</v>
      </c>
      <c r="H8975">
        <f>_xlfn.XLOOKUP(FACT_IMPORTS[[#This Row],[hts_6]],DIM_PRODUCTS[hts_6],DIM_PRODUCTS[hts_4],,,)</f>
        <v>8708</v>
      </c>
      <c r="I8975" t="str" cm="1">
        <f t="array" ref="I8975">_xlfn.XLOOKUP(FACT_IMPORTS[[#This Row],[country_name]],DIM_COUNTRY[[#All],[Column2]],DIM_COUNTRY[[#All],[Column3]],,,)</f>
        <v>USMCA</v>
      </c>
    </row>
    <row r="8976" spans="1:9" x14ac:dyDescent="0.4">
      <c r="A8976" t="s">
        <v>64</v>
      </c>
      <c r="B8976" s="1">
        <v>44958</v>
      </c>
      <c r="C8976">
        <v>870880</v>
      </c>
      <c r="D8976" t="s">
        <v>176</v>
      </c>
      <c r="E8976">
        <v>2787</v>
      </c>
      <c r="F8976">
        <v>107</v>
      </c>
      <c r="G8976">
        <v>250</v>
      </c>
      <c r="H8976">
        <f>_xlfn.XLOOKUP(FACT_IMPORTS[[#This Row],[hts_6]],DIM_PRODUCTS[hts_6],DIM_PRODUCTS[hts_4],,,)</f>
        <v>8708</v>
      </c>
      <c r="I8976" t="str" cm="1">
        <f t="array" ref="I8976">_xlfn.XLOOKUP(FACT_IMPORTS[[#This Row],[country_name]],DIM_COUNTRY[[#All],[Column2]],DIM_COUNTRY[[#All],[Column3]],,,)</f>
        <v>USMCA</v>
      </c>
    </row>
    <row r="8977" spans="1:9" x14ac:dyDescent="0.4">
      <c r="A8977" t="s">
        <v>64</v>
      </c>
      <c r="B8977" s="1">
        <v>44958</v>
      </c>
      <c r="C8977">
        <v>870891</v>
      </c>
      <c r="D8977" t="s">
        <v>176</v>
      </c>
      <c r="E8977">
        <v>15973</v>
      </c>
      <c r="F8977">
        <v>163</v>
      </c>
      <c r="G8977">
        <v>26</v>
      </c>
      <c r="H8977">
        <f>_xlfn.XLOOKUP(FACT_IMPORTS[[#This Row],[hts_6]],DIM_PRODUCTS[hts_6],DIM_PRODUCTS[hts_4],,,)</f>
        <v>8708</v>
      </c>
      <c r="I8977" t="str" cm="1">
        <f t="array" ref="I8977">_xlfn.XLOOKUP(FACT_IMPORTS[[#This Row],[country_name]],DIM_COUNTRY[[#All],[Column2]],DIM_COUNTRY[[#All],[Column3]],,,)</f>
        <v>USMCA</v>
      </c>
    </row>
    <row r="8978" spans="1:9" x14ac:dyDescent="0.4">
      <c r="A8978" t="s">
        <v>64</v>
      </c>
      <c r="B8978" s="1">
        <v>44958</v>
      </c>
      <c r="C8978">
        <v>870892</v>
      </c>
      <c r="D8978" t="s">
        <v>176</v>
      </c>
      <c r="E8978">
        <v>40733</v>
      </c>
      <c r="F8978">
        <v>3661</v>
      </c>
      <c r="G8978">
        <v>362</v>
      </c>
      <c r="H8978">
        <f>_xlfn.XLOOKUP(FACT_IMPORTS[[#This Row],[hts_6]],DIM_PRODUCTS[hts_6],DIM_PRODUCTS[hts_4],,,)</f>
        <v>8708</v>
      </c>
      <c r="I8978" t="str" cm="1">
        <f t="array" ref="I8978">_xlfn.XLOOKUP(FACT_IMPORTS[[#This Row],[country_name]],DIM_COUNTRY[[#All],[Column2]],DIM_COUNTRY[[#All],[Column3]],,,)</f>
        <v>USMCA</v>
      </c>
    </row>
    <row r="8979" spans="1:9" x14ac:dyDescent="0.4">
      <c r="A8979" t="s">
        <v>64</v>
      </c>
      <c r="B8979" s="1">
        <v>44958</v>
      </c>
      <c r="C8979">
        <v>870893</v>
      </c>
      <c r="D8979" t="s">
        <v>176</v>
      </c>
      <c r="E8979">
        <v>66168</v>
      </c>
      <c r="F8979">
        <v>6059</v>
      </c>
      <c r="G8979">
        <v>26915</v>
      </c>
      <c r="H8979">
        <f>_xlfn.XLOOKUP(FACT_IMPORTS[[#This Row],[hts_6]],DIM_PRODUCTS[hts_6],DIM_PRODUCTS[hts_4],,,)</f>
        <v>8708</v>
      </c>
      <c r="I8979" t="str" cm="1">
        <f t="array" ref="I8979">_xlfn.XLOOKUP(FACT_IMPORTS[[#This Row],[country_name]],DIM_COUNTRY[[#All],[Column2]],DIM_COUNTRY[[#All],[Column3]],,,)</f>
        <v>USMCA</v>
      </c>
    </row>
    <row r="8980" spans="1:9" x14ac:dyDescent="0.4">
      <c r="A8980" t="s">
        <v>64</v>
      </c>
      <c r="B8980" s="1">
        <v>44958</v>
      </c>
      <c r="C8980">
        <v>870894</v>
      </c>
      <c r="D8980" t="s">
        <v>176</v>
      </c>
      <c r="E8980">
        <v>90399</v>
      </c>
      <c r="F8980">
        <v>342</v>
      </c>
      <c r="G8980">
        <v>8811</v>
      </c>
      <c r="H8980">
        <f>_xlfn.XLOOKUP(FACT_IMPORTS[[#This Row],[hts_6]],DIM_PRODUCTS[hts_6],DIM_PRODUCTS[hts_4],,,)</f>
        <v>8708</v>
      </c>
      <c r="I8980" t="str" cm="1">
        <f t="array" ref="I8980">_xlfn.XLOOKUP(FACT_IMPORTS[[#This Row],[country_name]],DIM_COUNTRY[[#All],[Column2]],DIM_COUNTRY[[#All],[Column3]],,,)</f>
        <v>USMCA</v>
      </c>
    </row>
    <row r="8981" spans="1:9" x14ac:dyDescent="0.4">
      <c r="A8981" t="s">
        <v>64</v>
      </c>
      <c r="B8981" s="1">
        <v>44958</v>
      </c>
      <c r="C8981">
        <v>870895</v>
      </c>
      <c r="D8981" t="s">
        <v>176</v>
      </c>
      <c r="E8981">
        <v>214346</v>
      </c>
      <c r="F8981">
        <v>7171</v>
      </c>
      <c r="G8981">
        <v>13224</v>
      </c>
      <c r="H8981">
        <f>_xlfn.XLOOKUP(FACT_IMPORTS[[#This Row],[hts_6]],DIM_PRODUCTS[hts_6],DIM_PRODUCTS[hts_4],,,)</f>
        <v>8708</v>
      </c>
      <c r="I8981" t="str" cm="1">
        <f t="array" ref="I8981">_xlfn.XLOOKUP(FACT_IMPORTS[[#This Row],[country_name]],DIM_COUNTRY[[#All],[Column2]],DIM_COUNTRY[[#All],[Column3]],,,)</f>
        <v>USMCA</v>
      </c>
    </row>
    <row r="8982" spans="1:9" x14ac:dyDescent="0.4">
      <c r="A8982" t="s">
        <v>64</v>
      </c>
      <c r="B8982" s="1">
        <v>44958</v>
      </c>
      <c r="C8982">
        <v>870899</v>
      </c>
      <c r="D8982" t="s">
        <v>176</v>
      </c>
      <c r="E8982">
        <v>62268</v>
      </c>
      <c r="F8982">
        <v>3194</v>
      </c>
      <c r="G8982">
        <v>1212</v>
      </c>
      <c r="H8982">
        <f>_xlfn.XLOOKUP(FACT_IMPORTS[[#This Row],[hts_6]],DIM_PRODUCTS[hts_6],DIM_PRODUCTS[hts_4],,,)</f>
        <v>8708</v>
      </c>
      <c r="I8982" t="str" cm="1">
        <f t="array" ref="I8982">_xlfn.XLOOKUP(FACT_IMPORTS[[#This Row],[country_name]],DIM_COUNTRY[[#All],[Column2]],DIM_COUNTRY[[#All],[Column3]],,,)</f>
        <v>USMCA</v>
      </c>
    </row>
    <row r="8983" spans="1:9" x14ac:dyDescent="0.4">
      <c r="A8983" t="s">
        <v>64</v>
      </c>
      <c r="B8983" s="1">
        <v>44958</v>
      </c>
      <c r="C8983">
        <v>940120</v>
      </c>
      <c r="D8983" t="s">
        <v>176</v>
      </c>
      <c r="E8983">
        <v>63245</v>
      </c>
      <c r="F8983">
        <v>349</v>
      </c>
      <c r="G8983">
        <v>2856</v>
      </c>
      <c r="H8983">
        <f>_xlfn.XLOOKUP(FACT_IMPORTS[[#This Row],[hts_6]],DIM_PRODUCTS[hts_6],DIM_PRODUCTS[hts_4],,,)</f>
        <v>9401</v>
      </c>
      <c r="I8983" t="str" cm="1">
        <f t="array" ref="I8983">_xlfn.XLOOKUP(FACT_IMPORTS[[#This Row],[country_name]],DIM_COUNTRY[[#All],[Column2]],DIM_COUNTRY[[#All],[Column3]],,,)</f>
        <v>USMCA</v>
      </c>
    </row>
    <row r="8984" spans="1:9" x14ac:dyDescent="0.4">
      <c r="A8984" t="s">
        <v>64</v>
      </c>
      <c r="B8984" s="1">
        <v>44986</v>
      </c>
      <c r="C8984">
        <v>392630</v>
      </c>
      <c r="D8984" t="s">
        <v>176</v>
      </c>
      <c r="E8984">
        <v>826</v>
      </c>
      <c r="F8984">
        <v>29</v>
      </c>
      <c r="G8984">
        <v>202</v>
      </c>
      <c r="H8984">
        <f>_xlfn.XLOOKUP(FACT_IMPORTS[[#This Row],[hts_6]],DIM_PRODUCTS[hts_6],DIM_PRODUCTS[hts_4],,,)</f>
        <v>3926</v>
      </c>
      <c r="I8984" t="str" cm="1">
        <f t="array" ref="I8984">_xlfn.XLOOKUP(FACT_IMPORTS[[#This Row],[country_name]],DIM_COUNTRY[[#All],[Column2]],DIM_COUNTRY[[#All],[Column3]],,,)</f>
        <v>USMCA</v>
      </c>
    </row>
    <row r="8985" spans="1:9" x14ac:dyDescent="0.4">
      <c r="A8985" t="s">
        <v>64</v>
      </c>
      <c r="B8985" s="1">
        <v>44986</v>
      </c>
      <c r="C8985">
        <v>401110</v>
      </c>
      <c r="D8985" t="s">
        <v>176</v>
      </c>
      <c r="E8985">
        <v>82145</v>
      </c>
      <c r="F8985">
        <v>1059</v>
      </c>
      <c r="G8985">
        <v>2173</v>
      </c>
      <c r="H8985">
        <f>_xlfn.XLOOKUP(FACT_IMPORTS[[#This Row],[hts_6]],DIM_PRODUCTS[hts_6],DIM_PRODUCTS[hts_4],,,)</f>
        <v>4011</v>
      </c>
      <c r="I8985" t="str" cm="1">
        <f t="array" ref="I8985">_xlfn.XLOOKUP(FACT_IMPORTS[[#This Row],[country_name]],DIM_COUNTRY[[#All],[Column2]],DIM_COUNTRY[[#All],[Column3]],,,)</f>
        <v>USMCA</v>
      </c>
    </row>
    <row r="8986" spans="1:9" x14ac:dyDescent="0.4">
      <c r="A8986" t="s">
        <v>64</v>
      </c>
      <c r="B8986" s="1">
        <v>44986</v>
      </c>
      <c r="C8986">
        <v>401120</v>
      </c>
      <c r="D8986" t="s">
        <v>176</v>
      </c>
      <c r="E8986">
        <v>0</v>
      </c>
      <c r="F8986">
        <v>0</v>
      </c>
      <c r="G8986">
        <v>0</v>
      </c>
      <c r="H8986">
        <f>_xlfn.XLOOKUP(FACT_IMPORTS[[#This Row],[hts_6]],DIM_PRODUCTS[hts_6],DIM_PRODUCTS[hts_4],,,)</f>
        <v>4011</v>
      </c>
      <c r="I8986" t="str" cm="1">
        <f t="array" ref="I8986">_xlfn.XLOOKUP(FACT_IMPORTS[[#This Row],[country_name]],DIM_COUNTRY[[#All],[Column2]],DIM_COUNTRY[[#All],[Column3]],,,)</f>
        <v>USMCA</v>
      </c>
    </row>
    <row r="8987" spans="1:9" x14ac:dyDescent="0.4">
      <c r="A8987" t="s">
        <v>64</v>
      </c>
      <c r="B8987" s="1">
        <v>44986</v>
      </c>
      <c r="C8987">
        <v>401190</v>
      </c>
      <c r="D8987" t="s">
        <v>176</v>
      </c>
      <c r="E8987">
        <v>0</v>
      </c>
      <c r="F8987">
        <v>0</v>
      </c>
      <c r="G8987">
        <v>0</v>
      </c>
      <c r="H8987">
        <f>_xlfn.XLOOKUP(FACT_IMPORTS[[#This Row],[hts_6]],DIM_PRODUCTS[hts_6],DIM_PRODUCTS[hts_4],,,)</f>
        <v>4011</v>
      </c>
      <c r="I8987" t="str" cm="1">
        <f t="array" ref="I8987">_xlfn.XLOOKUP(FACT_IMPORTS[[#This Row],[country_name]],DIM_COUNTRY[[#All],[Column2]],DIM_COUNTRY[[#All],[Column3]],,,)</f>
        <v>USMCA</v>
      </c>
    </row>
    <row r="8988" spans="1:9" x14ac:dyDescent="0.4">
      <c r="A8988" t="s">
        <v>64</v>
      </c>
      <c r="B8988" s="1">
        <v>44986</v>
      </c>
      <c r="C8988">
        <v>700910</v>
      </c>
      <c r="D8988" t="s">
        <v>176</v>
      </c>
      <c r="E8988">
        <v>3238</v>
      </c>
      <c r="F8988">
        <v>30</v>
      </c>
      <c r="G8988">
        <v>26</v>
      </c>
      <c r="H8988">
        <f>_xlfn.XLOOKUP(FACT_IMPORTS[[#This Row],[hts_6]],DIM_PRODUCTS[hts_6],DIM_PRODUCTS[hts_4],,,)</f>
        <v>7009</v>
      </c>
      <c r="I8988" t="str" cm="1">
        <f t="array" ref="I8988">_xlfn.XLOOKUP(FACT_IMPORTS[[#This Row],[country_name]],DIM_COUNTRY[[#All],[Column2]],DIM_COUNTRY[[#All],[Column3]],,,)</f>
        <v>USMCA</v>
      </c>
    </row>
    <row r="8989" spans="1:9" x14ac:dyDescent="0.4">
      <c r="A8989" t="s">
        <v>64</v>
      </c>
      <c r="B8989" s="1">
        <v>44986</v>
      </c>
      <c r="C8989">
        <v>732010</v>
      </c>
      <c r="D8989" t="s">
        <v>176</v>
      </c>
      <c r="E8989">
        <v>2303</v>
      </c>
      <c r="F8989">
        <v>386</v>
      </c>
      <c r="G8989">
        <v>137</v>
      </c>
      <c r="H8989">
        <f>_xlfn.XLOOKUP(FACT_IMPORTS[[#This Row],[hts_6]],DIM_PRODUCTS[hts_6],DIM_PRODUCTS[hts_4],,,)</f>
        <v>7320</v>
      </c>
      <c r="I8989" t="str" cm="1">
        <f t="array" ref="I8989">_xlfn.XLOOKUP(FACT_IMPORTS[[#This Row],[country_name]],DIM_COUNTRY[[#All],[Column2]],DIM_COUNTRY[[#All],[Column3]],,,)</f>
        <v>USMCA</v>
      </c>
    </row>
    <row r="8990" spans="1:9" x14ac:dyDescent="0.4">
      <c r="A8990" t="s">
        <v>64</v>
      </c>
      <c r="B8990" s="1">
        <v>44986</v>
      </c>
      <c r="C8990">
        <v>830230</v>
      </c>
      <c r="D8990" t="s">
        <v>176</v>
      </c>
      <c r="E8990">
        <v>0</v>
      </c>
      <c r="F8990">
        <v>0</v>
      </c>
      <c r="G8990">
        <v>0</v>
      </c>
      <c r="H8990">
        <f>_xlfn.XLOOKUP(FACT_IMPORTS[[#This Row],[hts_6]],DIM_PRODUCTS[hts_6],DIM_PRODUCTS[hts_4],,,)</f>
        <v>8302</v>
      </c>
      <c r="I8990" t="str" cm="1">
        <f t="array" ref="I8990">_xlfn.XLOOKUP(FACT_IMPORTS[[#This Row],[country_name]],DIM_COUNTRY[[#All],[Column2]],DIM_COUNTRY[[#All],[Column3]],,,)</f>
        <v>USMCA</v>
      </c>
    </row>
    <row r="8991" spans="1:9" x14ac:dyDescent="0.4">
      <c r="A8991" t="s">
        <v>64</v>
      </c>
      <c r="B8991" s="1">
        <v>44986</v>
      </c>
      <c r="C8991">
        <v>840733</v>
      </c>
      <c r="D8991" t="s">
        <v>176</v>
      </c>
      <c r="E8991">
        <v>0</v>
      </c>
      <c r="F8991">
        <v>0</v>
      </c>
      <c r="G8991">
        <v>0</v>
      </c>
      <c r="H8991">
        <f>_xlfn.XLOOKUP(FACT_IMPORTS[[#This Row],[hts_6]],DIM_PRODUCTS[hts_6],DIM_PRODUCTS[hts_4],,,)</f>
        <v>8407</v>
      </c>
      <c r="I8991" t="str" cm="1">
        <f t="array" ref="I8991">_xlfn.XLOOKUP(FACT_IMPORTS[[#This Row],[country_name]],DIM_COUNTRY[[#All],[Column2]],DIM_COUNTRY[[#All],[Column3]],,,)</f>
        <v>USMCA</v>
      </c>
    </row>
    <row r="8992" spans="1:9" x14ac:dyDescent="0.4">
      <c r="A8992" t="s">
        <v>64</v>
      </c>
      <c r="B8992" s="1">
        <v>44986</v>
      </c>
      <c r="C8992">
        <v>840734</v>
      </c>
      <c r="D8992" t="s">
        <v>176</v>
      </c>
      <c r="E8992">
        <v>51134</v>
      </c>
      <c r="F8992">
        <v>58</v>
      </c>
      <c r="G8992">
        <v>825</v>
      </c>
      <c r="H8992">
        <f>_xlfn.XLOOKUP(FACT_IMPORTS[[#This Row],[hts_6]],DIM_PRODUCTS[hts_6],DIM_PRODUCTS[hts_4],,,)</f>
        <v>8407</v>
      </c>
      <c r="I8992" t="str" cm="1">
        <f t="array" ref="I8992">_xlfn.XLOOKUP(FACT_IMPORTS[[#This Row],[country_name]],DIM_COUNTRY[[#All],[Column2]],DIM_COUNTRY[[#All],[Column3]],,,)</f>
        <v>USMCA</v>
      </c>
    </row>
    <row r="8993" spans="1:9" x14ac:dyDescent="0.4">
      <c r="A8993" t="s">
        <v>64</v>
      </c>
      <c r="B8993" s="1">
        <v>44986</v>
      </c>
      <c r="C8993">
        <v>840820</v>
      </c>
      <c r="D8993" t="s">
        <v>176</v>
      </c>
      <c r="E8993">
        <v>85631</v>
      </c>
      <c r="F8993">
        <v>18</v>
      </c>
      <c r="G8993">
        <v>214</v>
      </c>
      <c r="H8993">
        <f>_xlfn.XLOOKUP(FACT_IMPORTS[[#This Row],[hts_6]],DIM_PRODUCTS[hts_6],DIM_PRODUCTS[hts_4],,,)</f>
        <v>8408</v>
      </c>
      <c r="I8993" t="str" cm="1">
        <f t="array" ref="I8993">_xlfn.XLOOKUP(FACT_IMPORTS[[#This Row],[country_name]],DIM_COUNTRY[[#All],[Column2]],DIM_COUNTRY[[#All],[Column3]],,,)</f>
        <v>USMCA</v>
      </c>
    </row>
    <row r="8994" spans="1:9" x14ac:dyDescent="0.4">
      <c r="A8994" t="s">
        <v>64</v>
      </c>
      <c r="B8994" s="1">
        <v>44986</v>
      </c>
      <c r="C8994">
        <v>840890</v>
      </c>
      <c r="D8994" t="s">
        <v>176</v>
      </c>
      <c r="E8994">
        <v>2537</v>
      </c>
      <c r="F8994">
        <v>1</v>
      </c>
      <c r="G8994">
        <v>3</v>
      </c>
      <c r="H8994">
        <f>_xlfn.XLOOKUP(FACT_IMPORTS[[#This Row],[hts_6]],DIM_PRODUCTS[hts_6],DIM_PRODUCTS[hts_4],,,)</f>
        <v>8408</v>
      </c>
      <c r="I8994" t="str" cm="1">
        <f t="array" ref="I8994">_xlfn.XLOOKUP(FACT_IMPORTS[[#This Row],[country_name]],DIM_COUNTRY[[#All],[Column2]],DIM_COUNTRY[[#All],[Column3]],,,)</f>
        <v>USMCA</v>
      </c>
    </row>
    <row r="8995" spans="1:9" x14ac:dyDescent="0.4">
      <c r="A8995" t="s">
        <v>64</v>
      </c>
      <c r="B8995" s="1">
        <v>44986</v>
      </c>
      <c r="C8995">
        <v>840991</v>
      </c>
      <c r="D8995" t="s">
        <v>176</v>
      </c>
      <c r="E8995">
        <v>740340</v>
      </c>
      <c r="F8995">
        <v>107308</v>
      </c>
      <c r="G8995">
        <v>9298</v>
      </c>
      <c r="H8995">
        <f>_xlfn.XLOOKUP(FACT_IMPORTS[[#This Row],[hts_6]],DIM_PRODUCTS[hts_6],DIM_PRODUCTS[hts_4],,,)</f>
        <v>8409</v>
      </c>
      <c r="I8995" t="str" cm="1">
        <f t="array" ref="I8995">_xlfn.XLOOKUP(FACT_IMPORTS[[#This Row],[country_name]],DIM_COUNTRY[[#All],[Column2]],DIM_COUNTRY[[#All],[Column3]],,,)</f>
        <v>USMCA</v>
      </c>
    </row>
    <row r="8996" spans="1:9" x14ac:dyDescent="0.4">
      <c r="A8996" t="s">
        <v>64</v>
      </c>
      <c r="B8996" s="1">
        <v>44986</v>
      </c>
      <c r="C8996">
        <v>840999</v>
      </c>
      <c r="D8996" t="s">
        <v>176</v>
      </c>
      <c r="E8996">
        <v>32609</v>
      </c>
      <c r="F8996">
        <v>259</v>
      </c>
      <c r="G8996">
        <v>874</v>
      </c>
      <c r="H8996">
        <f>_xlfn.XLOOKUP(FACT_IMPORTS[[#This Row],[hts_6]],DIM_PRODUCTS[hts_6],DIM_PRODUCTS[hts_4],,,)</f>
        <v>8409</v>
      </c>
      <c r="I8996" t="str" cm="1">
        <f t="array" ref="I8996">_xlfn.XLOOKUP(FACT_IMPORTS[[#This Row],[country_name]],DIM_COUNTRY[[#All],[Column2]],DIM_COUNTRY[[#All],[Column3]],,,)</f>
        <v>USMCA</v>
      </c>
    </row>
    <row r="8997" spans="1:9" x14ac:dyDescent="0.4">
      <c r="A8997" t="s">
        <v>64</v>
      </c>
      <c r="B8997" s="1">
        <v>44986</v>
      </c>
      <c r="C8997">
        <v>841330</v>
      </c>
      <c r="D8997" t="s">
        <v>176</v>
      </c>
      <c r="E8997">
        <v>57454</v>
      </c>
      <c r="F8997">
        <v>170</v>
      </c>
      <c r="G8997">
        <v>207</v>
      </c>
      <c r="H8997">
        <f>_xlfn.XLOOKUP(FACT_IMPORTS[[#This Row],[hts_6]],DIM_PRODUCTS[hts_6],DIM_PRODUCTS[hts_4],,,)</f>
        <v>8413</v>
      </c>
      <c r="I8997" t="str" cm="1">
        <f t="array" ref="I8997">_xlfn.XLOOKUP(FACT_IMPORTS[[#This Row],[country_name]],DIM_COUNTRY[[#All],[Column2]],DIM_COUNTRY[[#All],[Column3]],,,)</f>
        <v>USMCA</v>
      </c>
    </row>
    <row r="8998" spans="1:9" x14ac:dyDescent="0.4">
      <c r="A8998" t="s">
        <v>64</v>
      </c>
      <c r="B8998" s="1">
        <v>44986</v>
      </c>
      <c r="C8998">
        <v>842132</v>
      </c>
      <c r="D8998" t="s">
        <v>176</v>
      </c>
      <c r="E8998">
        <v>77992</v>
      </c>
      <c r="F8998">
        <v>446</v>
      </c>
      <c r="G8998">
        <v>1597</v>
      </c>
      <c r="H8998">
        <f>_xlfn.XLOOKUP(FACT_IMPORTS[[#This Row],[hts_6]],DIM_PRODUCTS[hts_6],DIM_PRODUCTS[hts_4],,,)</f>
        <v>8421</v>
      </c>
      <c r="I8998" t="str" cm="1">
        <f t="array" ref="I8998">_xlfn.XLOOKUP(FACT_IMPORTS[[#This Row],[country_name]],DIM_COUNTRY[[#All],[Column2]],DIM_COUNTRY[[#All],[Column3]],,,)</f>
        <v>USMCA</v>
      </c>
    </row>
    <row r="8999" spans="1:9" x14ac:dyDescent="0.4">
      <c r="A8999" t="s">
        <v>64</v>
      </c>
      <c r="B8999" s="1">
        <v>44986</v>
      </c>
      <c r="C8999">
        <v>848210</v>
      </c>
      <c r="D8999" t="s">
        <v>176</v>
      </c>
      <c r="E8999">
        <v>0</v>
      </c>
      <c r="F8999">
        <v>0</v>
      </c>
      <c r="G8999">
        <v>0</v>
      </c>
      <c r="H8999">
        <f>_xlfn.XLOOKUP(FACT_IMPORTS[[#This Row],[hts_6]],DIM_PRODUCTS[hts_6],DIM_PRODUCTS[hts_4],,,)</f>
        <v>8482</v>
      </c>
      <c r="I8999" t="str" cm="1">
        <f t="array" ref="I8999">_xlfn.XLOOKUP(FACT_IMPORTS[[#This Row],[country_name]],DIM_COUNTRY[[#All],[Column2]],DIM_COUNTRY[[#All],[Column3]],,,)</f>
        <v>USMCA</v>
      </c>
    </row>
    <row r="9000" spans="1:9" x14ac:dyDescent="0.4">
      <c r="A9000" t="s">
        <v>64</v>
      </c>
      <c r="B9000" s="1">
        <v>44986</v>
      </c>
      <c r="C9000">
        <v>848220</v>
      </c>
      <c r="D9000" t="s">
        <v>176</v>
      </c>
      <c r="E9000">
        <v>0</v>
      </c>
      <c r="F9000">
        <v>0</v>
      </c>
      <c r="G9000">
        <v>0</v>
      </c>
      <c r="H9000">
        <f>_xlfn.XLOOKUP(FACT_IMPORTS[[#This Row],[hts_6]],DIM_PRODUCTS[hts_6],DIM_PRODUCTS[hts_4],,,)</f>
        <v>8482</v>
      </c>
      <c r="I9000" t="str" cm="1">
        <f t="array" ref="I9000">_xlfn.XLOOKUP(FACT_IMPORTS[[#This Row],[country_name]],DIM_COUNTRY[[#All],[Column2]],DIM_COUNTRY[[#All],[Column3]],,,)</f>
        <v>USMCA</v>
      </c>
    </row>
    <row r="9001" spans="1:9" x14ac:dyDescent="0.4">
      <c r="A9001" t="s">
        <v>64</v>
      </c>
      <c r="B9001" s="1">
        <v>44986</v>
      </c>
      <c r="C9001">
        <v>848310</v>
      </c>
      <c r="D9001" t="s">
        <v>176</v>
      </c>
      <c r="E9001">
        <v>0</v>
      </c>
      <c r="F9001">
        <v>0</v>
      </c>
      <c r="G9001">
        <v>0</v>
      </c>
      <c r="H9001">
        <f>_xlfn.XLOOKUP(FACT_IMPORTS[[#This Row],[hts_6]],DIM_PRODUCTS[hts_6],DIM_PRODUCTS[hts_4],,,)</f>
        <v>8483</v>
      </c>
      <c r="I9001" t="str" cm="1">
        <f t="array" ref="I9001">_xlfn.XLOOKUP(FACT_IMPORTS[[#This Row],[country_name]],DIM_COUNTRY[[#All],[Column2]],DIM_COUNTRY[[#All],[Column3]],,,)</f>
        <v>USMCA</v>
      </c>
    </row>
    <row r="9002" spans="1:9" x14ac:dyDescent="0.4">
      <c r="A9002" t="s">
        <v>64</v>
      </c>
      <c r="B9002" s="1">
        <v>44986</v>
      </c>
      <c r="C9002">
        <v>850131</v>
      </c>
      <c r="D9002" t="s">
        <v>176</v>
      </c>
      <c r="E9002">
        <v>7009</v>
      </c>
      <c r="F9002">
        <v>28</v>
      </c>
      <c r="G9002">
        <v>209</v>
      </c>
      <c r="H9002">
        <f>_xlfn.XLOOKUP(FACT_IMPORTS[[#This Row],[hts_6]],DIM_PRODUCTS[hts_6],DIM_PRODUCTS[hts_4],,,)</f>
        <v>8501</v>
      </c>
      <c r="I9002" t="str" cm="1">
        <f t="array" ref="I9002">_xlfn.XLOOKUP(FACT_IMPORTS[[#This Row],[country_name]],DIM_COUNTRY[[#All],[Column2]],DIM_COUNTRY[[#All],[Column3]],,,)</f>
        <v>USMCA</v>
      </c>
    </row>
    <row r="9003" spans="1:9" x14ac:dyDescent="0.4">
      <c r="A9003" t="s">
        <v>64</v>
      </c>
      <c r="B9003" s="1">
        <v>44986</v>
      </c>
      <c r="C9003">
        <v>850132</v>
      </c>
      <c r="D9003" t="s">
        <v>176</v>
      </c>
      <c r="E9003">
        <v>0</v>
      </c>
      <c r="F9003">
        <v>0</v>
      </c>
      <c r="G9003">
        <v>0</v>
      </c>
      <c r="H9003">
        <f>_xlfn.XLOOKUP(FACT_IMPORTS[[#This Row],[hts_6]],DIM_PRODUCTS[hts_6],DIM_PRODUCTS[hts_4],,,)</f>
        <v>8501</v>
      </c>
      <c r="I9003" t="str" cm="1">
        <f t="array" ref="I9003">_xlfn.XLOOKUP(FACT_IMPORTS[[#This Row],[country_name]],DIM_COUNTRY[[#All],[Column2]],DIM_COUNTRY[[#All],[Column3]],,,)</f>
        <v>USMCA</v>
      </c>
    </row>
    <row r="9004" spans="1:9" x14ac:dyDescent="0.4">
      <c r="A9004" t="s">
        <v>64</v>
      </c>
      <c r="B9004" s="1">
        <v>44986</v>
      </c>
      <c r="C9004">
        <v>850133</v>
      </c>
      <c r="D9004" t="s">
        <v>176</v>
      </c>
      <c r="E9004">
        <v>0</v>
      </c>
      <c r="F9004">
        <v>0</v>
      </c>
      <c r="G9004">
        <v>0</v>
      </c>
      <c r="H9004">
        <f>_xlfn.XLOOKUP(FACT_IMPORTS[[#This Row],[hts_6]],DIM_PRODUCTS[hts_6],DIM_PRODUCTS[hts_4],,,)</f>
        <v>8501</v>
      </c>
      <c r="I9004" t="str" cm="1">
        <f t="array" ref="I9004">_xlfn.XLOOKUP(FACT_IMPORTS[[#This Row],[country_name]],DIM_COUNTRY[[#All],[Column2]],DIM_COUNTRY[[#All],[Column3]],,,)</f>
        <v>USMCA</v>
      </c>
    </row>
    <row r="9005" spans="1:9" x14ac:dyDescent="0.4">
      <c r="A9005" t="s">
        <v>64</v>
      </c>
      <c r="B9005" s="1">
        <v>44986</v>
      </c>
      <c r="C9005">
        <v>850134</v>
      </c>
      <c r="D9005" t="s">
        <v>176</v>
      </c>
      <c r="E9005">
        <v>20750</v>
      </c>
      <c r="F9005">
        <v>1</v>
      </c>
      <c r="G9005">
        <v>150</v>
      </c>
      <c r="H9005">
        <f>_xlfn.XLOOKUP(FACT_IMPORTS[[#This Row],[hts_6]],DIM_PRODUCTS[hts_6],DIM_PRODUCTS[hts_4],,,)</f>
        <v>8501</v>
      </c>
      <c r="I9005" t="str" cm="1">
        <f t="array" ref="I9005">_xlfn.XLOOKUP(FACT_IMPORTS[[#This Row],[country_name]],DIM_COUNTRY[[#All],[Column2]],DIM_COUNTRY[[#All],[Column3]],,,)</f>
        <v>USMCA</v>
      </c>
    </row>
    <row r="9006" spans="1:9" x14ac:dyDescent="0.4">
      <c r="A9006" t="s">
        <v>64</v>
      </c>
      <c r="B9006" s="1">
        <v>44986</v>
      </c>
      <c r="C9006">
        <v>850152</v>
      </c>
      <c r="D9006" t="s">
        <v>176</v>
      </c>
      <c r="E9006">
        <v>33397</v>
      </c>
      <c r="F9006">
        <v>92</v>
      </c>
      <c r="G9006">
        <v>210</v>
      </c>
      <c r="H9006">
        <f>_xlfn.XLOOKUP(FACT_IMPORTS[[#This Row],[hts_6]],DIM_PRODUCTS[hts_6],DIM_PRODUCTS[hts_4],,,)</f>
        <v>8501</v>
      </c>
      <c r="I9006" t="str" cm="1">
        <f t="array" ref="I9006">_xlfn.XLOOKUP(FACT_IMPORTS[[#This Row],[country_name]],DIM_COUNTRY[[#All],[Column2]],DIM_COUNTRY[[#All],[Column3]],,,)</f>
        <v>USMCA</v>
      </c>
    </row>
    <row r="9007" spans="1:9" x14ac:dyDescent="0.4">
      <c r="A9007" t="s">
        <v>64</v>
      </c>
      <c r="B9007" s="1">
        <v>44986</v>
      </c>
      <c r="C9007">
        <v>850153</v>
      </c>
      <c r="D9007" t="s">
        <v>176</v>
      </c>
      <c r="E9007">
        <v>0</v>
      </c>
      <c r="F9007">
        <v>0</v>
      </c>
      <c r="G9007">
        <v>0</v>
      </c>
      <c r="H9007">
        <f>_xlfn.XLOOKUP(FACT_IMPORTS[[#This Row],[hts_6]],DIM_PRODUCTS[hts_6],DIM_PRODUCTS[hts_4],,,)</f>
        <v>8501</v>
      </c>
      <c r="I9007" t="str" cm="1">
        <f t="array" ref="I9007">_xlfn.XLOOKUP(FACT_IMPORTS[[#This Row],[country_name]],DIM_COUNTRY[[#All],[Column2]],DIM_COUNTRY[[#All],[Column3]],,,)</f>
        <v>USMCA</v>
      </c>
    </row>
    <row r="9008" spans="1:9" x14ac:dyDescent="0.4">
      <c r="A9008" t="s">
        <v>64</v>
      </c>
      <c r="B9008" s="1">
        <v>44986</v>
      </c>
      <c r="C9008">
        <v>850161</v>
      </c>
      <c r="D9008" t="s">
        <v>176</v>
      </c>
      <c r="E9008">
        <v>7711</v>
      </c>
      <c r="F9008">
        <v>1</v>
      </c>
      <c r="G9008">
        <v>200</v>
      </c>
      <c r="H9008">
        <f>_xlfn.XLOOKUP(FACT_IMPORTS[[#This Row],[hts_6]],DIM_PRODUCTS[hts_6],DIM_PRODUCTS[hts_4],,,)</f>
        <v>8501</v>
      </c>
      <c r="I9008" t="str" cm="1">
        <f t="array" ref="I9008">_xlfn.XLOOKUP(FACT_IMPORTS[[#This Row],[country_name]],DIM_COUNTRY[[#All],[Column2]],DIM_COUNTRY[[#All],[Column3]],,,)</f>
        <v>USMCA</v>
      </c>
    </row>
    <row r="9009" spans="1:9" x14ac:dyDescent="0.4">
      <c r="A9009" t="s">
        <v>64</v>
      </c>
      <c r="B9009" s="1">
        <v>44986</v>
      </c>
      <c r="C9009">
        <v>850440</v>
      </c>
      <c r="D9009" t="s">
        <v>176</v>
      </c>
      <c r="E9009">
        <v>23597</v>
      </c>
      <c r="F9009">
        <v>60</v>
      </c>
      <c r="G9009">
        <v>182</v>
      </c>
      <c r="H9009">
        <f>_xlfn.XLOOKUP(FACT_IMPORTS[[#This Row],[hts_6]],DIM_PRODUCTS[hts_6],DIM_PRODUCTS[hts_4],,,)</f>
        <v>8504</v>
      </c>
      <c r="I9009" t="str" cm="1">
        <f t="array" ref="I9009">_xlfn.XLOOKUP(FACT_IMPORTS[[#This Row],[country_name]],DIM_COUNTRY[[#All],[Column2]],DIM_COUNTRY[[#All],[Column3]],,,)</f>
        <v>USMCA</v>
      </c>
    </row>
    <row r="9010" spans="1:9" x14ac:dyDescent="0.4">
      <c r="A9010" t="s">
        <v>64</v>
      </c>
      <c r="B9010" s="1">
        <v>44986</v>
      </c>
      <c r="C9010">
        <v>850710</v>
      </c>
      <c r="D9010" t="s">
        <v>176</v>
      </c>
      <c r="E9010">
        <v>0</v>
      </c>
      <c r="F9010">
        <v>0</v>
      </c>
      <c r="G9010">
        <v>0</v>
      </c>
      <c r="H9010">
        <f>_xlfn.XLOOKUP(FACT_IMPORTS[[#This Row],[hts_6]],DIM_PRODUCTS[hts_6],DIM_PRODUCTS[hts_4],,,)</f>
        <v>8507</v>
      </c>
      <c r="I9010" t="str" cm="1">
        <f t="array" ref="I9010">_xlfn.XLOOKUP(FACT_IMPORTS[[#This Row],[country_name]],DIM_COUNTRY[[#All],[Column2]],DIM_COUNTRY[[#All],[Column3]],,,)</f>
        <v>USMCA</v>
      </c>
    </row>
    <row r="9011" spans="1:9" x14ac:dyDescent="0.4">
      <c r="A9011" t="s">
        <v>64</v>
      </c>
      <c r="B9011" s="1">
        <v>44986</v>
      </c>
      <c r="C9011">
        <v>850760</v>
      </c>
      <c r="D9011" t="s">
        <v>176</v>
      </c>
      <c r="E9011">
        <v>8764</v>
      </c>
      <c r="F9011">
        <v>47</v>
      </c>
      <c r="G9011">
        <v>90</v>
      </c>
      <c r="H9011">
        <f>_xlfn.XLOOKUP(FACT_IMPORTS[[#This Row],[hts_6]],DIM_PRODUCTS[hts_6],DIM_PRODUCTS[hts_4],,,)</f>
        <v>8507</v>
      </c>
      <c r="I9011" t="str" cm="1">
        <f t="array" ref="I9011">_xlfn.XLOOKUP(FACT_IMPORTS[[#This Row],[country_name]],DIM_COUNTRY[[#All],[Column2]],DIM_COUNTRY[[#All],[Column3]],,,)</f>
        <v>USMCA</v>
      </c>
    </row>
    <row r="9012" spans="1:9" x14ac:dyDescent="0.4">
      <c r="A9012" t="s">
        <v>64</v>
      </c>
      <c r="B9012" s="1">
        <v>44986</v>
      </c>
      <c r="C9012">
        <v>850790</v>
      </c>
      <c r="D9012" t="s">
        <v>176</v>
      </c>
      <c r="E9012">
        <v>0</v>
      </c>
      <c r="F9012">
        <v>0</v>
      </c>
      <c r="G9012">
        <v>0</v>
      </c>
      <c r="H9012">
        <f>_xlfn.XLOOKUP(FACT_IMPORTS[[#This Row],[hts_6]],DIM_PRODUCTS[hts_6],DIM_PRODUCTS[hts_4],,,)</f>
        <v>8507</v>
      </c>
      <c r="I9012" t="str" cm="1">
        <f t="array" ref="I9012">_xlfn.XLOOKUP(FACT_IMPORTS[[#This Row],[country_name]],DIM_COUNTRY[[#All],[Column2]],DIM_COUNTRY[[#All],[Column3]],,,)</f>
        <v>USMCA</v>
      </c>
    </row>
    <row r="9013" spans="1:9" x14ac:dyDescent="0.4">
      <c r="A9013" t="s">
        <v>64</v>
      </c>
      <c r="B9013" s="1">
        <v>44986</v>
      </c>
      <c r="C9013">
        <v>851110</v>
      </c>
      <c r="D9013" t="s">
        <v>176</v>
      </c>
      <c r="E9013">
        <v>0</v>
      </c>
      <c r="F9013">
        <v>0</v>
      </c>
      <c r="G9013">
        <v>0</v>
      </c>
      <c r="H9013">
        <f>_xlfn.XLOOKUP(FACT_IMPORTS[[#This Row],[hts_6]],DIM_PRODUCTS[hts_6],DIM_PRODUCTS[hts_4],,,)</f>
        <v>8511</v>
      </c>
      <c r="I9013" t="str" cm="1">
        <f t="array" ref="I9013">_xlfn.XLOOKUP(FACT_IMPORTS[[#This Row],[country_name]],DIM_COUNTRY[[#All],[Column2]],DIM_COUNTRY[[#All],[Column3]],,,)</f>
        <v>USMCA</v>
      </c>
    </row>
    <row r="9014" spans="1:9" x14ac:dyDescent="0.4">
      <c r="A9014" t="s">
        <v>64</v>
      </c>
      <c r="B9014" s="1">
        <v>44986</v>
      </c>
      <c r="C9014">
        <v>851130</v>
      </c>
      <c r="D9014" t="s">
        <v>176</v>
      </c>
      <c r="E9014">
        <v>2117</v>
      </c>
      <c r="F9014">
        <v>50</v>
      </c>
      <c r="G9014">
        <v>41</v>
      </c>
      <c r="H9014">
        <f>_xlfn.XLOOKUP(FACT_IMPORTS[[#This Row],[hts_6]],DIM_PRODUCTS[hts_6],DIM_PRODUCTS[hts_4],,,)</f>
        <v>8511</v>
      </c>
      <c r="I9014" t="str" cm="1">
        <f t="array" ref="I9014">_xlfn.XLOOKUP(FACT_IMPORTS[[#This Row],[country_name]],DIM_COUNTRY[[#All],[Column2]],DIM_COUNTRY[[#All],[Column3]],,,)</f>
        <v>USMCA</v>
      </c>
    </row>
    <row r="9015" spans="1:9" x14ac:dyDescent="0.4">
      <c r="A9015" t="s">
        <v>64</v>
      </c>
      <c r="B9015" s="1">
        <v>44986</v>
      </c>
      <c r="C9015">
        <v>851140</v>
      </c>
      <c r="D9015" t="s">
        <v>176</v>
      </c>
      <c r="E9015">
        <v>2557</v>
      </c>
      <c r="F9015">
        <v>4</v>
      </c>
      <c r="G9015">
        <v>37</v>
      </c>
      <c r="H9015">
        <f>_xlfn.XLOOKUP(FACT_IMPORTS[[#This Row],[hts_6]],DIM_PRODUCTS[hts_6],DIM_PRODUCTS[hts_4],,,)</f>
        <v>8511</v>
      </c>
      <c r="I9015" t="str" cm="1">
        <f t="array" ref="I9015">_xlfn.XLOOKUP(FACT_IMPORTS[[#This Row],[country_name]],DIM_COUNTRY[[#All],[Column2]],DIM_COUNTRY[[#All],[Column3]],,,)</f>
        <v>USMCA</v>
      </c>
    </row>
    <row r="9016" spans="1:9" x14ac:dyDescent="0.4">
      <c r="A9016" t="s">
        <v>64</v>
      </c>
      <c r="B9016" s="1">
        <v>44986</v>
      </c>
      <c r="C9016">
        <v>851150</v>
      </c>
      <c r="D9016" t="s">
        <v>176</v>
      </c>
      <c r="E9016">
        <v>22905</v>
      </c>
      <c r="F9016">
        <v>127</v>
      </c>
      <c r="G9016">
        <v>223</v>
      </c>
      <c r="H9016">
        <f>_xlfn.XLOOKUP(FACT_IMPORTS[[#This Row],[hts_6]],DIM_PRODUCTS[hts_6],DIM_PRODUCTS[hts_4],,,)</f>
        <v>8511</v>
      </c>
      <c r="I9016" t="str" cm="1">
        <f t="array" ref="I9016">_xlfn.XLOOKUP(FACT_IMPORTS[[#This Row],[country_name]],DIM_COUNTRY[[#All],[Column2]],DIM_COUNTRY[[#All],[Column3]],,,)</f>
        <v>USMCA</v>
      </c>
    </row>
    <row r="9017" spans="1:9" x14ac:dyDescent="0.4">
      <c r="A9017" t="s">
        <v>64</v>
      </c>
      <c r="B9017" s="1">
        <v>44986</v>
      </c>
      <c r="C9017">
        <v>851180</v>
      </c>
      <c r="D9017" t="s">
        <v>176</v>
      </c>
      <c r="E9017">
        <v>2843</v>
      </c>
      <c r="F9017">
        <v>217</v>
      </c>
      <c r="G9017">
        <v>5</v>
      </c>
      <c r="H9017">
        <f>_xlfn.XLOOKUP(FACT_IMPORTS[[#This Row],[hts_6]],DIM_PRODUCTS[hts_6],DIM_PRODUCTS[hts_4],,,)</f>
        <v>8511</v>
      </c>
      <c r="I9017" t="str" cm="1">
        <f t="array" ref="I9017">_xlfn.XLOOKUP(FACT_IMPORTS[[#This Row],[country_name]],DIM_COUNTRY[[#All],[Column2]],DIM_COUNTRY[[#All],[Column3]],,,)</f>
        <v>USMCA</v>
      </c>
    </row>
    <row r="9018" spans="1:9" x14ac:dyDescent="0.4">
      <c r="A9018" t="s">
        <v>64</v>
      </c>
      <c r="B9018" s="1">
        <v>44986</v>
      </c>
      <c r="C9018">
        <v>851190</v>
      </c>
      <c r="D9018" t="s">
        <v>176</v>
      </c>
      <c r="E9018">
        <v>0</v>
      </c>
      <c r="F9018">
        <v>0</v>
      </c>
      <c r="G9018">
        <v>0</v>
      </c>
      <c r="H9018">
        <f>_xlfn.XLOOKUP(FACT_IMPORTS[[#This Row],[hts_6]],DIM_PRODUCTS[hts_6],DIM_PRODUCTS[hts_4],,,)</f>
        <v>8511</v>
      </c>
      <c r="I9018" t="str" cm="1">
        <f t="array" ref="I9018">_xlfn.XLOOKUP(FACT_IMPORTS[[#This Row],[country_name]],DIM_COUNTRY[[#All],[Column2]],DIM_COUNTRY[[#All],[Column3]],,,)</f>
        <v>USMCA</v>
      </c>
    </row>
    <row r="9019" spans="1:9" x14ac:dyDescent="0.4">
      <c r="A9019" t="s">
        <v>64</v>
      </c>
      <c r="B9019" s="1">
        <v>44986</v>
      </c>
      <c r="C9019">
        <v>851220</v>
      </c>
      <c r="D9019" t="s">
        <v>176</v>
      </c>
      <c r="E9019">
        <v>430158</v>
      </c>
      <c r="F9019">
        <v>2057</v>
      </c>
      <c r="G9019">
        <v>2284</v>
      </c>
      <c r="H9019">
        <f>_xlfn.XLOOKUP(FACT_IMPORTS[[#This Row],[hts_6]],DIM_PRODUCTS[hts_6],DIM_PRODUCTS[hts_4],,,)</f>
        <v>8512</v>
      </c>
      <c r="I9019" t="str" cm="1">
        <f t="array" ref="I9019">_xlfn.XLOOKUP(FACT_IMPORTS[[#This Row],[country_name]],DIM_COUNTRY[[#All],[Column2]],DIM_COUNTRY[[#All],[Column3]],,,)</f>
        <v>USMCA</v>
      </c>
    </row>
    <row r="9020" spans="1:9" x14ac:dyDescent="0.4">
      <c r="A9020" t="s">
        <v>64</v>
      </c>
      <c r="B9020" s="1">
        <v>44986</v>
      </c>
      <c r="C9020">
        <v>851230</v>
      </c>
      <c r="D9020" t="s">
        <v>176</v>
      </c>
      <c r="E9020">
        <v>0</v>
      </c>
      <c r="F9020">
        <v>0</v>
      </c>
      <c r="G9020">
        <v>0</v>
      </c>
      <c r="H9020">
        <f>_xlfn.XLOOKUP(FACT_IMPORTS[[#This Row],[hts_6]],DIM_PRODUCTS[hts_6],DIM_PRODUCTS[hts_4],,,)</f>
        <v>8512</v>
      </c>
      <c r="I9020" t="str" cm="1">
        <f t="array" ref="I9020">_xlfn.XLOOKUP(FACT_IMPORTS[[#This Row],[country_name]],DIM_COUNTRY[[#All],[Column2]],DIM_COUNTRY[[#All],[Column3]],,,)</f>
        <v>USMCA</v>
      </c>
    </row>
    <row r="9021" spans="1:9" x14ac:dyDescent="0.4">
      <c r="A9021" t="s">
        <v>64</v>
      </c>
      <c r="B9021" s="1">
        <v>44986</v>
      </c>
      <c r="C9021">
        <v>851240</v>
      </c>
      <c r="D9021" t="s">
        <v>176</v>
      </c>
      <c r="E9021">
        <v>38267</v>
      </c>
      <c r="F9021">
        <v>1008</v>
      </c>
      <c r="G9021">
        <v>17784</v>
      </c>
      <c r="H9021">
        <f>_xlfn.XLOOKUP(FACT_IMPORTS[[#This Row],[hts_6]],DIM_PRODUCTS[hts_6],DIM_PRODUCTS[hts_4],,,)</f>
        <v>8512</v>
      </c>
      <c r="I9021" t="str" cm="1">
        <f t="array" ref="I9021">_xlfn.XLOOKUP(FACT_IMPORTS[[#This Row],[country_name]],DIM_COUNTRY[[#All],[Column2]],DIM_COUNTRY[[#All],[Column3]],,,)</f>
        <v>USMCA</v>
      </c>
    </row>
    <row r="9022" spans="1:9" x14ac:dyDescent="0.4">
      <c r="A9022" t="s">
        <v>64</v>
      </c>
      <c r="B9022" s="1">
        <v>44986</v>
      </c>
      <c r="C9022">
        <v>851290</v>
      </c>
      <c r="D9022" t="s">
        <v>176</v>
      </c>
      <c r="E9022">
        <v>7067</v>
      </c>
      <c r="F9022">
        <v>2466</v>
      </c>
      <c r="G9022">
        <v>12</v>
      </c>
      <c r="H9022">
        <f>_xlfn.XLOOKUP(FACT_IMPORTS[[#This Row],[hts_6]],DIM_PRODUCTS[hts_6],DIM_PRODUCTS[hts_4],,,)</f>
        <v>8512</v>
      </c>
      <c r="I9022" t="str" cm="1">
        <f t="array" ref="I9022">_xlfn.XLOOKUP(FACT_IMPORTS[[#This Row],[country_name]],DIM_COUNTRY[[#All],[Column2]],DIM_COUNTRY[[#All],[Column3]],,,)</f>
        <v>USMCA</v>
      </c>
    </row>
    <row r="9023" spans="1:9" x14ac:dyDescent="0.4">
      <c r="A9023" t="s">
        <v>64</v>
      </c>
      <c r="B9023" s="1">
        <v>44986</v>
      </c>
      <c r="C9023">
        <v>854231</v>
      </c>
      <c r="D9023" t="s">
        <v>176</v>
      </c>
      <c r="E9023">
        <v>2183</v>
      </c>
      <c r="F9023">
        <v>13</v>
      </c>
      <c r="G9023">
        <v>56</v>
      </c>
      <c r="H9023">
        <f>_xlfn.XLOOKUP(FACT_IMPORTS[[#This Row],[hts_6]],DIM_PRODUCTS[hts_6],DIM_PRODUCTS[hts_4],,,)</f>
        <v>8542</v>
      </c>
      <c r="I9023" t="str" cm="1">
        <f t="array" ref="I9023">_xlfn.XLOOKUP(FACT_IMPORTS[[#This Row],[country_name]],DIM_COUNTRY[[#All],[Column2]],DIM_COUNTRY[[#All],[Column3]],,,)</f>
        <v>USMCA</v>
      </c>
    </row>
    <row r="9024" spans="1:9" x14ac:dyDescent="0.4">
      <c r="A9024" t="s">
        <v>64</v>
      </c>
      <c r="B9024" s="1">
        <v>44986</v>
      </c>
      <c r="C9024">
        <v>854232</v>
      </c>
      <c r="D9024" t="s">
        <v>176</v>
      </c>
      <c r="E9024">
        <v>0</v>
      </c>
      <c r="F9024">
        <v>0</v>
      </c>
      <c r="G9024">
        <v>0</v>
      </c>
      <c r="H9024">
        <f>_xlfn.XLOOKUP(FACT_IMPORTS[[#This Row],[hts_6]],DIM_PRODUCTS[hts_6],DIM_PRODUCTS[hts_4],,,)</f>
        <v>8542</v>
      </c>
      <c r="I9024" t="str" cm="1">
        <f t="array" ref="I9024">_xlfn.XLOOKUP(FACT_IMPORTS[[#This Row],[country_name]],DIM_COUNTRY[[#All],[Column2]],DIM_COUNTRY[[#All],[Column3]],,,)</f>
        <v>USMCA</v>
      </c>
    </row>
    <row r="9025" spans="1:9" x14ac:dyDescent="0.4">
      <c r="A9025" t="s">
        <v>64</v>
      </c>
      <c r="B9025" s="1">
        <v>44986</v>
      </c>
      <c r="C9025">
        <v>854290</v>
      </c>
      <c r="D9025" t="s">
        <v>176</v>
      </c>
      <c r="E9025">
        <v>0</v>
      </c>
      <c r="F9025">
        <v>0</v>
      </c>
      <c r="G9025">
        <v>0</v>
      </c>
      <c r="H9025">
        <f>_xlfn.XLOOKUP(FACT_IMPORTS[[#This Row],[hts_6]],DIM_PRODUCTS[hts_6],DIM_PRODUCTS[hts_4],,,)</f>
        <v>8542</v>
      </c>
      <c r="I9025" t="str" cm="1">
        <f t="array" ref="I9025">_xlfn.XLOOKUP(FACT_IMPORTS[[#This Row],[country_name]],DIM_COUNTRY[[#All],[Column2]],DIM_COUNTRY[[#All],[Column3]],,,)</f>
        <v>USMCA</v>
      </c>
    </row>
    <row r="9026" spans="1:9" x14ac:dyDescent="0.4">
      <c r="A9026" t="s">
        <v>64</v>
      </c>
      <c r="B9026" s="1">
        <v>44986</v>
      </c>
      <c r="C9026">
        <v>854430</v>
      </c>
      <c r="D9026" t="s">
        <v>176</v>
      </c>
      <c r="E9026">
        <v>1100303</v>
      </c>
      <c r="F9026">
        <v>69157</v>
      </c>
      <c r="G9026">
        <v>6757</v>
      </c>
      <c r="H9026">
        <f>_xlfn.XLOOKUP(FACT_IMPORTS[[#This Row],[hts_6]],DIM_PRODUCTS[hts_6],DIM_PRODUCTS[hts_4],,,)</f>
        <v>8544</v>
      </c>
      <c r="I9026" t="str" cm="1">
        <f t="array" ref="I9026">_xlfn.XLOOKUP(FACT_IMPORTS[[#This Row],[country_name]],DIM_COUNTRY[[#All],[Column2]],DIM_COUNTRY[[#All],[Column3]],,,)</f>
        <v>USMCA</v>
      </c>
    </row>
    <row r="9027" spans="1:9" x14ac:dyDescent="0.4">
      <c r="A9027" t="s">
        <v>64</v>
      </c>
      <c r="B9027" s="1">
        <v>44986</v>
      </c>
      <c r="C9027">
        <v>870810</v>
      </c>
      <c r="D9027" t="s">
        <v>176</v>
      </c>
      <c r="E9027">
        <v>164699</v>
      </c>
      <c r="F9027">
        <v>1069</v>
      </c>
      <c r="G9027">
        <v>788</v>
      </c>
      <c r="H9027">
        <f>_xlfn.XLOOKUP(FACT_IMPORTS[[#This Row],[hts_6]],DIM_PRODUCTS[hts_6],DIM_PRODUCTS[hts_4],,,)</f>
        <v>8708</v>
      </c>
      <c r="I9027" t="str" cm="1">
        <f t="array" ref="I9027">_xlfn.XLOOKUP(FACT_IMPORTS[[#This Row],[country_name]],DIM_COUNTRY[[#All],[Column2]],DIM_COUNTRY[[#All],[Column3]],,,)</f>
        <v>USMCA</v>
      </c>
    </row>
    <row r="9028" spans="1:9" x14ac:dyDescent="0.4">
      <c r="A9028" t="s">
        <v>64</v>
      </c>
      <c r="B9028" s="1">
        <v>44986</v>
      </c>
      <c r="C9028">
        <v>870821</v>
      </c>
      <c r="D9028" t="s">
        <v>176</v>
      </c>
      <c r="E9028">
        <v>10924</v>
      </c>
      <c r="F9028">
        <v>114</v>
      </c>
      <c r="G9028">
        <v>23</v>
      </c>
      <c r="H9028">
        <f>_xlfn.XLOOKUP(FACT_IMPORTS[[#This Row],[hts_6]],DIM_PRODUCTS[hts_6],DIM_PRODUCTS[hts_4],,,)</f>
        <v>8708</v>
      </c>
      <c r="I9028" t="str" cm="1">
        <f t="array" ref="I9028">_xlfn.XLOOKUP(FACT_IMPORTS[[#This Row],[country_name]],DIM_COUNTRY[[#All],[Column2]],DIM_COUNTRY[[#All],[Column3]],,,)</f>
        <v>USMCA</v>
      </c>
    </row>
    <row r="9029" spans="1:9" x14ac:dyDescent="0.4">
      <c r="A9029" t="s">
        <v>64</v>
      </c>
      <c r="B9029" s="1">
        <v>44986</v>
      </c>
      <c r="C9029">
        <v>870822</v>
      </c>
      <c r="D9029" t="s">
        <v>176</v>
      </c>
      <c r="E9029">
        <v>2680</v>
      </c>
      <c r="F9029">
        <v>10</v>
      </c>
      <c r="G9029">
        <v>30</v>
      </c>
      <c r="H9029">
        <f>_xlfn.XLOOKUP(FACT_IMPORTS[[#This Row],[hts_6]],DIM_PRODUCTS[hts_6],DIM_PRODUCTS[hts_4],,,)</f>
        <v>8708</v>
      </c>
      <c r="I9029" t="str" cm="1">
        <f t="array" ref="I9029">_xlfn.XLOOKUP(FACT_IMPORTS[[#This Row],[country_name]],DIM_COUNTRY[[#All],[Column2]],DIM_COUNTRY[[#All],[Column3]],,,)</f>
        <v>USMCA</v>
      </c>
    </row>
    <row r="9030" spans="1:9" x14ac:dyDescent="0.4">
      <c r="A9030" t="s">
        <v>64</v>
      </c>
      <c r="B9030" s="1">
        <v>44986</v>
      </c>
      <c r="C9030">
        <v>870829</v>
      </c>
      <c r="D9030" t="s">
        <v>176</v>
      </c>
      <c r="E9030">
        <v>907014</v>
      </c>
      <c r="F9030">
        <v>27750</v>
      </c>
      <c r="G9030">
        <v>14225</v>
      </c>
      <c r="H9030">
        <f>_xlfn.XLOOKUP(FACT_IMPORTS[[#This Row],[hts_6]],DIM_PRODUCTS[hts_6],DIM_PRODUCTS[hts_4],,,)</f>
        <v>8708</v>
      </c>
      <c r="I9030" t="str" cm="1">
        <f t="array" ref="I9030">_xlfn.XLOOKUP(FACT_IMPORTS[[#This Row],[country_name]],DIM_COUNTRY[[#All],[Column2]],DIM_COUNTRY[[#All],[Column3]],,,)</f>
        <v>USMCA</v>
      </c>
    </row>
    <row r="9031" spans="1:9" x14ac:dyDescent="0.4">
      <c r="A9031" t="s">
        <v>64</v>
      </c>
      <c r="B9031" s="1">
        <v>44986</v>
      </c>
      <c r="C9031">
        <v>870830</v>
      </c>
      <c r="D9031" t="s">
        <v>176</v>
      </c>
      <c r="E9031">
        <v>86393</v>
      </c>
      <c r="F9031">
        <v>1377</v>
      </c>
      <c r="G9031">
        <v>451</v>
      </c>
      <c r="H9031">
        <f>_xlfn.XLOOKUP(FACT_IMPORTS[[#This Row],[hts_6]],DIM_PRODUCTS[hts_6],DIM_PRODUCTS[hts_4],,,)</f>
        <v>8708</v>
      </c>
      <c r="I9031" t="str" cm="1">
        <f t="array" ref="I9031">_xlfn.XLOOKUP(FACT_IMPORTS[[#This Row],[country_name]],DIM_COUNTRY[[#All],[Column2]],DIM_COUNTRY[[#All],[Column3]],,,)</f>
        <v>USMCA</v>
      </c>
    </row>
    <row r="9032" spans="1:9" x14ac:dyDescent="0.4">
      <c r="A9032" t="s">
        <v>64</v>
      </c>
      <c r="B9032" s="1">
        <v>44986</v>
      </c>
      <c r="C9032">
        <v>870840</v>
      </c>
      <c r="D9032" t="s">
        <v>176</v>
      </c>
      <c r="E9032">
        <v>74272</v>
      </c>
      <c r="F9032">
        <v>65</v>
      </c>
      <c r="G9032">
        <v>351</v>
      </c>
      <c r="H9032">
        <f>_xlfn.XLOOKUP(FACT_IMPORTS[[#This Row],[hts_6]],DIM_PRODUCTS[hts_6],DIM_PRODUCTS[hts_4],,,)</f>
        <v>8708</v>
      </c>
      <c r="I9032" t="str" cm="1">
        <f t="array" ref="I9032">_xlfn.XLOOKUP(FACT_IMPORTS[[#This Row],[country_name]],DIM_COUNTRY[[#All],[Column2]],DIM_COUNTRY[[#All],[Column3]],,,)</f>
        <v>USMCA</v>
      </c>
    </row>
    <row r="9033" spans="1:9" x14ac:dyDescent="0.4">
      <c r="A9033" t="s">
        <v>64</v>
      </c>
      <c r="B9033" s="1">
        <v>44986</v>
      </c>
      <c r="C9033">
        <v>870850</v>
      </c>
      <c r="D9033" t="s">
        <v>176</v>
      </c>
      <c r="E9033">
        <v>75701</v>
      </c>
      <c r="F9033">
        <v>283</v>
      </c>
      <c r="G9033">
        <v>205</v>
      </c>
      <c r="H9033">
        <f>_xlfn.XLOOKUP(FACT_IMPORTS[[#This Row],[hts_6]],DIM_PRODUCTS[hts_6],DIM_PRODUCTS[hts_4],,,)</f>
        <v>8708</v>
      </c>
      <c r="I9033" t="str" cm="1">
        <f t="array" ref="I9033">_xlfn.XLOOKUP(FACT_IMPORTS[[#This Row],[country_name]],DIM_COUNTRY[[#All],[Column2]],DIM_COUNTRY[[#All],[Column3]],,,)</f>
        <v>USMCA</v>
      </c>
    </row>
    <row r="9034" spans="1:9" x14ac:dyDescent="0.4">
      <c r="A9034" t="s">
        <v>64</v>
      </c>
      <c r="B9034" s="1">
        <v>44986</v>
      </c>
      <c r="C9034">
        <v>870870</v>
      </c>
      <c r="D9034" t="s">
        <v>176</v>
      </c>
      <c r="E9034">
        <v>104119</v>
      </c>
      <c r="F9034">
        <v>726</v>
      </c>
      <c r="G9034">
        <v>550</v>
      </c>
      <c r="H9034">
        <f>_xlfn.XLOOKUP(FACT_IMPORTS[[#This Row],[hts_6]],DIM_PRODUCTS[hts_6],DIM_PRODUCTS[hts_4],,,)</f>
        <v>8708</v>
      </c>
      <c r="I9034" t="str" cm="1">
        <f t="array" ref="I9034">_xlfn.XLOOKUP(FACT_IMPORTS[[#This Row],[country_name]],DIM_COUNTRY[[#All],[Column2]],DIM_COUNTRY[[#All],[Column3]],,,)</f>
        <v>USMCA</v>
      </c>
    </row>
    <row r="9035" spans="1:9" x14ac:dyDescent="0.4">
      <c r="A9035" t="s">
        <v>64</v>
      </c>
      <c r="B9035" s="1">
        <v>44986</v>
      </c>
      <c r="C9035">
        <v>870880</v>
      </c>
      <c r="D9035" t="s">
        <v>176</v>
      </c>
      <c r="E9035">
        <v>37248</v>
      </c>
      <c r="F9035">
        <v>4412</v>
      </c>
      <c r="G9035">
        <v>828</v>
      </c>
      <c r="H9035">
        <f>_xlfn.XLOOKUP(FACT_IMPORTS[[#This Row],[hts_6]],DIM_PRODUCTS[hts_6],DIM_PRODUCTS[hts_4],,,)</f>
        <v>8708</v>
      </c>
      <c r="I9035" t="str" cm="1">
        <f t="array" ref="I9035">_xlfn.XLOOKUP(FACT_IMPORTS[[#This Row],[country_name]],DIM_COUNTRY[[#All],[Column2]],DIM_COUNTRY[[#All],[Column3]],,,)</f>
        <v>USMCA</v>
      </c>
    </row>
    <row r="9036" spans="1:9" x14ac:dyDescent="0.4">
      <c r="A9036" t="s">
        <v>64</v>
      </c>
      <c r="B9036" s="1">
        <v>44986</v>
      </c>
      <c r="C9036">
        <v>870891</v>
      </c>
      <c r="D9036" t="s">
        <v>176</v>
      </c>
      <c r="E9036">
        <v>97868</v>
      </c>
      <c r="F9036">
        <v>1011</v>
      </c>
      <c r="G9036">
        <v>847</v>
      </c>
      <c r="H9036">
        <f>_xlfn.XLOOKUP(FACT_IMPORTS[[#This Row],[hts_6]],DIM_PRODUCTS[hts_6],DIM_PRODUCTS[hts_4],,,)</f>
        <v>8708</v>
      </c>
      <c r="I9036" t="str" cm="1">
        <f t="array" ref="I9036">_xlfn.XLOOKUP(FACT_IMPORTS[[#This Row],[country_name]],DIM_COUNTRY[[#All],[Column2]],DIM_COUNTRY[[#All],[Column3]],,,)</f>
        <v>USMCA</v>
      </c>
    </row>
    <row r="9037" spans="1:9" x14ac:dyDescent="0.4">
      <c r="A9037" t="s">
        <v>64</v>
      </c>
      <c r="B9037" s="1">
        <v>44986</v>
      </c>
      <c r="C9037">
        <v>870892</v>
      </c>
      <c r="D9037" t="s">
        <v>176</v>
      </c>
      <c r="E9037">
        <v>8331</v>
      </c>
      <c r="F9037">
        <v>798</v>
      </c>
      <c r="G9037">
        <v>537</v>
      </c>
      <c r="H9037">
        <f>_xlfn.XLOOKUP(FACT_IMPORTS[[#This Row],[hts_6]],DIM_PRODUCTS[hts_6],DIM_PRODUCTS[hts_4],,,)</f>
        <v>8708</v>
      </c>
      <c r="I9037" t="str" cm="1">
        <f t="array" ref="I9037">_xlfn.XLOOKUP(FACT_IMPORTS[[#This Row],[country_name]],DIM_COUNTRY[[#All],[Column2]],DIM_COUNTRY[[#All],[Column3]],,,)</f>
        <v>USMCA</v>
      </c>
    </row>
    <row r="9038" spans="1:9" x14ac:dyDescent="0.4">
      <c r="A9038" t="s">
        <v>64</v>
      </c>
      <c r="B9038" s="1">
        <v>44986</v>
      </c>
      <c r="C9038">
        <v>870893</v>
      </c>
      <c r="D9038" t="s">
        <v>176</v>
      </c>
      <c r="E9038">
        <v>12012</v>
      </c>
      <c r="F9038">
        <v>1976</v>
      </c>
      <c r="G9038">
        <v>285</v>
      </c>
      <c r="H9038">
        <f>_xlfn.XLOOKUP(FACT_IMPORTS[[#This Row],[hts_6]],DIM_PRODUCTS[hts_6],DIM_PRODUCTS[hts_4],,,)</f>
        <v>8708</v>
      </c>
      <c r="I9038" t="str" cm="1">
        <f t="array" ref="I9038">_xlfn.XLOOKUP(FACT_IMPORTS[[#This Row],[country_name]],DIM_COUNTRY[[#All],[Column2]],DIM_COUNTRY[[#All],[Column3]],,,)</f>
        <v>USMCA</v>
      </c>
    </row>
    <row r="9039" spans="1:9" x14ac:dyDescent="0.4">
      <c r="A9039" t="s">
        <v>64</v>
      </c>
      <c r="B9039" s="1">
        <v>44986</v>
      </c>
      <c r="C9039">
        <v>870894</v>
      </c>
      <c r="D9039" t="s">
        <v>176</v>
      </c>
      <c r="E9039">
        <v>199481</v>
      </c>
      <c r="F9039">
        <v>1018</v>
      </c>
      <c r="G9039">
        <v>1443</v>
      </c>
      <c r="H9039">
        <f>_xlfn.XLOOKUP(FACT_IMPORTS[[#This Row],[hts_6]],DIM_PRODUCTS[hts_6],DIM_PRODUCTS[hts_4],,,)</f>
        <v>8708</v>
      </c>
      <c r="I9039" t="str" cm="1">
        <f t="array" ref="I9039">_xlfn.XLOOKUP(FACT_IMPORTS[[#This Row],[country_name]],DIM_COUNTRY[[#All],[Column2]],DIM_COUNTRY[[#All],[Column3]],,,)</f>
        <v>USMCA</v>
      </c>
    </row>
    <row r="9040" spans="1:9" x14ac:dyDescent="0.4">
      <c r="A9040" t="s">
        <v>64</v>
      </c>
      <c r="B9040" s="1">
        <v>44986</v>
      </c>
      <c r="C9040">
        <v>870895</v>
      </c>
      <c r="D9040" t="s">
        <v>176</v>
      </c>
      <c r="E9040">
        <v>135302</v>
      </c>
      <c r="F9040">
        <v>3005</v>
      </c>
      <c r="G9040">
        <v>859</v>
      </c>
      <c r="H9040">
        <f>_xlfn.XLOOKUP(FACT_IMPORTS[[#This Row],[hts_6]],DIM_PRODUCTS[hts_6],DIM_PRODUCTS[hts_4],,,)</f>
        <v>8708</v>
      </c>
      <c r="I9040" t="str" cm="1">
        <f t="array" ref="I9040">_xlfn.XLOOKUP(FACT_IMPORTS[[#This Row],[country_name]],DIM_COUNTRY[[#All],[Column2]],DIM_COUNTRY[[#All],[Column3]],,,)</f>
        <v>USMCA</v>
      </c>
    </row>
    <row r="9041" spans="1:9" x14ac:dyDescent="0.4">
      <c r="A9041" t="s">
        <v>64</v>
      </c>
      <c r="B9041" s="1">
        <v>44986</v>
      </c>
      <c r="C9041">
        <v>870899</v>
      </c>
      <c r="D9041" t="s">
        <v>176</v>
      </c>
      <c r="E9041">
        <v>331690</v>
      </c>
      <c r="F9041">
        <v>3946</v>
      </c>
      <c r="G9041">
        <v>4516</v>
      </c>
      <c r="H9041">
        <f>_xlfn.XLOOKUP(FACT_IMPORTS[[#This Row],[hts_6]],DIM_PRODUCTS[hts_6],DIM_PRODUCTS[hts_4],,,)</f>
        <v>8708</v>
      </c>
      <c r="I9041" t="str" cm="1">
        <f t="array" ref="I9041">_xlfn.XLOOKUP(FACT_IMPORTS[[#This Row],[country_name]],DIM_COUNTRY[[#All],[Column2]],DIM_COUNTRY[[#All],[Column3]],,,)</f>
        <v>USMCA</v>
      </c>
    </row>
    <row r="9042" spans="1:9" x14ac:dyDescent="0.4">
      <c r="A9042" t="s">
        <v>64</v>
      </c>
      <c r="B9042" s="1">
        <v>44986</v>
      </c>
      <c r="C9042">
        <v>940120</v>
      </c>
      <c r="D9042" t="s">
        <v>176</v>
      </c>
      <c r="E9042">
        <v>64846</v>
      </c>
      <c r="F9042">
        <v>274</v>
      </c>
      <c r="G9042">
        <v>303</v>
      </c>
      <c r="H9042">
        <f>_xlfn.XLOOKUP(FACT_IMPORTS[[#This Row],[hts_6]],DIM_PRODUCTS[hts_6],DIM_PRODUCTS[hts_4],,,)</f>
        <v>9401</v>
      </c>
      <c r="I9042" t="str" cm="1">
        <f t="array" ref="I9042">_xlfn.XLOOKUP(FACT_IMPORTS[[#This Row],[country_name]],DIM_COUNTRY[[#All],[Column2]],DIM_COUNTRY[[#All],[Column3]],,,)</f>
        <v>USMCA</v>
      </c>
    </row>
    <row r="9043" spans="1:9" x14ac:dyDescent="0.4">
      <c r="A9043" t="s">
        <v>64</v>
      </c>
      <c r="B9043" s="1">
        <v>45017</v>
      </c>
      <c r="C9043">
        <v>392630</v>
      </c>
      <c r="D9043" t="s">
        <v>176</v>
      </c>
      <c r="E9043">
        <v>266</v>
      </c>
      <c r="F9043">
        <v>2</v>
      </c>
      <c r="G9043">
        <v>5</v>
      </c>
      <c r="H9043">
        <f>_xlfn.XLOOKUP(FACT_IMPORTS[[#This Row],[hts_6]],DIM_PRODUCTS[hts_6],DIM_PRODUCTS[hts_4],,,)</f>
        <v>3926</v>
      </c>
      <c r="I9043" t="str" cm="1">
        <f t="array" ref="I9043">_xlfn.XLOOKUP(FACT_IMPORTS[[#This Row],[country_name]],DIM_COUNTRY[[#All],[Column2]],DIM_COUNTRY[[#All],[Column3]],,,)</f>
        <v>USMCA</v>
      </c>
    </row>
    <row r="9044" spans="1:9" x14ac:dyDescent="0.4">
      <c r="A9044" t="s">
        <v>64</v>
      </c>
      <c r="B9044" s="1">
        <v>45017</v>
      </c>
      <c r="C9044">
        <v>401110</v>
      </c>
      <c r="D9044" t="s">
        <v>176</v>
      </c>
      <c r="E9044">
        <v>0</v>
      </c>
      <c r="F9044">
        <v>0</v>
      </c>
      <c r="G9044">
        <v>0</v>
      </c>
      <c r="H9044">
        <f>_xlfn.XLOOKUP(FACT_IMPORTS[[#This Row],[hts_6]],DIM_PRODUCTS[hts_6],DIM_PRODUCTS[hts_4],,,)</f>
        <v>4011</v>
      </c>
      <c r="I9044" t="str" cm="1">
        <f t="array" ref="I9044">_xlfn.XLOOKUP(FACT_IMPORTS[[#This Row],[country_name]],DIM_COUNTRY[[#All],[Column2]],DIM_COUNTRY[[#All],[Column3]],,,)</f>
        <v>USMCA</v>
      </c>
    </row>
    <row r="9045" spans="1:9" x14ac:dyDescent="0.4">
      <c r="A9045" t="s">
        <v>64</v>
      </c>
      <c r="B9045" s="1">
        <v>45017</v>
      </c>
      <c r="C9045">
        <v>401120</v>
      </c>
      <c r="D9045" t="s">
        <v>176</v>
      </c>
      <c r="E9045">
        <v>0</v>
      </c>
      <c r="F9045">
        <v>0</v>
      </c>
      <c r="G9045">
        <v>0</v>
      </c>
      <c r="H9045">
        <f>_xlfn.XLOOKUP(FACT_IMPORTS[[#This Row],[hts_6]],DIM_PRODUCTS[hts_6],DIM_PRODUCTS[hts_4],,,)</f>
        <v>4011</v>
      </c>
      <c r="I9045" t="str" cm="1">
        <f t="array" ref="I9045">_xlfn.XLOOKUP(FACT_IMPORTS[[#This Row],[country_name]],DIM_COUNTRY[[#All],[Column2]],DIM_COUNTRY[[#All],[Column3]],,,)</f>
        <v>USMCA</v>
      </c>
    </row>
    <row r="9046" spans="1:9" x14ac:dyDescent="0.4">
      <c r="A9046" t="s">
        <v>64</v>
      </c>
      <c r="B9046" s="1">
        <v>45017</v>
      </c>
      <c r="C9046">
        <v>401190</v>
      </c>
      <c r="D9046" t="s">
        <v>176</v>
      </c>
      <c r="E9046">
        <v>0</v>
      </c>
      <c r="F9046">
        <v>0</v>
      </c>
      <c r="G9046">
        <v>0</v>
      </c>
      <c r="H9046">
        <f>_xlfn.XLOOKUP(FACT_IMPORTS[[#This Row],[hts_6]],DIM_PRODUCTS[hts_6],DIM_PRODUCTS[hts_4],,,)</f>
        <v>4011</v>
      </c>
      <c r="I9046" t="str" cm="1">
        <f t="array" ref="I9046">_xlfn.XLOOKUP(FACT_IMPORTS[[#This Row],[country_name]],DIM_COUNTRY[[#All],[Column2]],DIM_COUNTRY[[#All],[Column3]],,,)</f>
        <v>USMCA</v>
      </c>
    </row>
    <row r="9047" spans="1:9" x14ac:dyDescent="0.4">
      <c r="A9047" t="s">
        <v>64</v>
      </c>
      <c r="B9047" s="1">
        <v>45017</v>
      </c>
      <c r="C9047">
        <v>700910</v>
      </c>
      <c r="D9047" t="s">
        <v>176</v>
      </c>
      <c r="E9047">
        <v>0</v>
      </c>
      <c r="F9047">
        <v>0</v>
      </c>
      <c r="G9047">
        <v>0</v>
      </c>
      <c r="H9047">
        <f>_xlfn.XLOOKUP(FACT_IMPORTS[[#This Row],[hts_6]],DIM_PRODUCTS[hts_6],DIM_PRODUCTS[hts_4],,,)</f>
        <v>7009</v>
      </c>
      <c r="I9047" t="str" cm="1">
        <f t="array" ref="I9047">_xlfn.XLOOKUP(FACT_IMPORTS[[#This Row],[country_name]],DIM_COUNTRY[[#All],[Column2]],DIM_COUNTRY[[#All],[Column3]],,,)</f>
        <v>USMCA</v>
      </c>
    </row>
    <row r="9048" spans="1:9" x14ac:dyDescent="0.4">
      <c r="A9048" t="s">
        <v>64</v>
      </c>
      <c r="B9048" s="1">
        <v>45017</v>
      </c>
      <c r="C9048">
        <v>732010</v>
      </c>
      <c r="D9048" t="s">
        <v>176</v>
      </c>
      <c r="E9048">
        <v>42071</v>
      </c>
      <c r="F9048">
        <v>20713</v>
      </c>
      <c r="G9048">
        <v>647</v>
      </c>
      <c r="H9048">
        <f>_xlfn.XLOOKUP(FACT_IMPORTS[[#This Row],[hts_6]],DIM_PRODUCTS[hts_6],DIM_PRODUCTS[hts_4],,,)</f>
        <v>7320</v>
      </c>
      <c r="I9048" t="str" cm="1">
        <f t="array" ref="I9048">_xlfn.XLOOKUP(FACT_IMPORTS[[#This Row],[country_name]],DIM_COUNTRY[[#All],[Column2]],DIM_COUNTRY[[#All],[Column3]],,,)</f>
        <v>USMCA</v>
      </c>
    </row>
    <row r="9049" spans="1:9" x14ac:dyDescent="0.4">
      <c r="A9049" t="s">
        <v>64</v>
      </c>
      <c r="B9049" s="1">
        <v>45017</v>
      </c>
      <c r="C9049">
        <v>830230</v>
      </c>
      <c r="D9049" t="s">
        <v>176</v>
      </c>
      <c r="E9049">
        <v>2021</v>
      </c>
      <c r="F9049">
        <v>259</v>
      </c>
      <c r="G9049">
        <v>40</v>
      </c>
      <c r="H9049">
        <f>_xlfn.XLOOKUP(FACT_IMPORTS[[#This Row],[hts_6]],DIM_PRODUCTS[hts_6],DIM_PRODUCTS[hts_4],,,)</f>
        <v>8302</v>
      </c>
      <c r="I9049" t="str" cm="1">
        <f t="array" ref="I9049">_xlfn.XLOOKUP(FACT_IMPORTS[[#This Row],[country_name]],DIM_COUNTRY[[#All],[Column2]],DIM_COUNTRY[[#All],[Column3]],,,)</f>
        <v>USMCA</v>
      </c>
    </row>
    <row r="9050" spans="1:9" x14ac:dyDescent="0.4">
      <c r="A9050" t="s">
        <v>64</v>
      </c>
      <c r="B9050" s="1">
        <v>45017</v>
      </c>
      <c r="C9050">
        <v>840733</v>
      </c>
      <c r="D9050" t="s">
        <v>176</v>
      </c>
      <c r="E9050">
        <v>2801</v>
      </c>
      <c r="F9050">
        <v>1</v>
      </c>
      <c r="G9050">
        <v>600</v>
      </c>
      <c r="H9050">
        <f>_xlfn.XLOOKUP(FACT_IMPORTS[[#This Row],[hts_6]],DIM_PRODUCTS[hts_6],DIM_PRODUCTS[hts_4],,,)</f>
        <v>8407</v>
      </c>
      <c r="I9050" t="str" cm="1">
        <f t="array" ref="I9050">_xlfn.XLOOKUP(FACT_IMPORTS[[#This Row],[country_name]],DIM_COUNTRY[[#All],[Column2]],DIM_COUNTRY[[#All],[Column3]],,,)</f>
        <v>USMCA</v>
      </c>
    </row>
    <row r="9051" spans="1:9" x14ac:dyDescent="0.4">
      <c r="A9051" t="s">
        <v>64</v>
      </c>
      <c r="B9051" s="1">
        <v>45017</v>
      </c>
      <c r="C9051">
        <v>840734</v>
      </c>
      <c r="D9051" t="s">
        <v>176</v>
      </c>
      <c r="E9051">
        <v>79613</v>
      </c>
      <c r="F9051">
        <v>71</v>
      </c>
      <c r="G9051">
        <v>1501</v>
      </c>
      <c r="H9051">
        <f>_xlfn.XLOOKUP(FACT_IMPORTS[[#This Row],[hts_6]],DIM_PRODUCTS[hts_6],DIM_PRODUCTS[hts_4],,,)</f>
        <v>8407</v>
      </c>
      <c r="I9051" t="str" cm="1">
        <f t="array" ref="I9051">_xlfn.XLOOKUP(FACT_IMPORTS[[#This Row],[country_name]],DIM_COUNTRY[[#All],[Column2]],DIM_COUNTRY[[#All],[Column3]],,,)</f>
        <v>USMCA</v>
      </c>
    </row>
    <row r="9052" spans="1:9" x14ac:dyDescent="0.4">
      <c r="A9052" t="s">
        <v>64</v>
      </c>
      <c r="B9052" s="1">
        <v>45017</v>
      </c>
      <c r="C9052">
        <v>840820</v>
      </c>
      <c r="D9052" t="s">
        <v>176</v>
      </c>
      <c r="E9052">
        <v>131003</v>
      </c>
      <c r="F9052">
        <v>24</v>
      </c>
      <c r="G9052">
        <v>380</v>
      </c>
      <c r="H9052">
        <f>_xlfn.XLOOKUP(FACT_IMPORTS[[#This Row],[hts_6]],DIM_PRODUCTS[hts_6],DIM_PRODUCTS[hts_4],,,)</f>
        <v>8408</v>
      </c>
      <c r="I9052" t="str" cm="1">
        <f t="array" ref="I9052">_xlfn.XLOOKUP(FACT_IMPORTS[[#This Row],[country_name]],DIM_COUNTRY[[#All],[Column2]],DIM_COUNTRY[[#All],[Column3]],,,)</f>
        <v>USMCA</v>
      </c>
    </row>
    <row r="9053" spans="1:9" x14ac:dyDescent="0.4">
      <c r="A9053" t="s">
        <v>64</v>
      </c>
      <c r="B9053" s="1">
        <v>45017</v>
      </c>
      <c r="C9053">
        <v>840890</v>
      </c>
      <c r="D9053" t="s">
        <v>176</v>
      </c>
      <c r="E9053">
        <v>6679</v>
      </c>
      <c r="F9053">
        <v>3</v>
      </c>
      <c r="G9053">
        <v>20</v>
      </c>
      <c r="H9053">
        <f>_xlfn.XLOOKUP(FACT_IMPORTS[[#This Row],[hts_6]],DIM_PRODUCTS[hts_6],DIM_PRODUCTS[hts_4],,,)</f>
        <v>8408</v>
      </c>
      <c r="I9053" t="str" cm="1">
        <f t="array" ref="I9053">_xlfn.XLOOKUP(FACT_IMPORTS[[#This Row],[country_name]],DIM_COUNTRY[[#All],[Column2]],DIM_COUNTRY[[#All],[Column3]],,,)</f>
        <v>USMCA</v>
      </c>
    </row>
    <row r="9054" spans="1:9" x14ac:dyDescent="0.4">
      <c r="A9054" t="s">
        <v>64</v>
      </c>
      <c r="B9054" s="1">
        <v>45017</v>
      </c>
      <c r="C9054">
        <v>840991</v>
      </c>
      <c r="D9054" t="s">
        <v>176</v>
      </c>
      <c r="E9054">
        <v>1037752</v>
      </c>
      <c r="F9054">
        <v>97038</v>
      </c>
      <c r="G9054">
        <v>10245</v>
      </c>
      <c r="H9054">
        <f>_xlfn.XLOOKUP(FACT_IMPORTS[[#This Row],[hts_6]],DIM_PRODUCTS[hts_6],DIM_PRODUCTS[hts_4],,,)</f>
        <v>8409</v>
      </c>
      <c r="I9054" t="str" cm="1">
        <f t="array" ref="I9054">_xlfn.XLOOKUP(FACT_IMPORTS[[#This Row],[country_name]],DIM_COUNTRY[[#All],[Column2]],DIM_COUNTRY[[#All],[Column3]],,,)</f>
        <v>USMCA</v>
      </c>
    </row>
    <row r="9055" spans="1:9" x14ac:dyDescent="0.4">
      <c r="A9055" t="s">
        <v>64</v>
      </c>
      <c r="B9055" s="1">
        <v>45017</v>
      </c>
      <c r="C9055">
        <v>840999</v>
      </c>
      <c r="D9055" t="s">
        <v>176</v>
      </c>
      <c r="E9055">
        <v>22620</v>
      </c>
      <c r="F9055">
        <v>621</v>
      </c>
      <c r="G9055">
        <v>1064</v>
      </c>
      <c r="H9055">
        <f>_xlfn.XLOOKUP(FACT_IMPORTS[[#This Row],[hts_6]],DIM_PRODUCTS[hts_6],DIM_PRODUCTS[hts_4],,,)</f>
        <v>8409</v>
      </c>
      <c r="I9055" t="str" cm="1">
        <f t="array" ref="I9055">_xlfn.XLOOKUP(FACT_IMPORTS[[#This Row],[country_name]],DIM_COUNTRY[[#All],[Column2]],DIM_COUNTRY[[#All],[Column3]],,,)</f>
        <v>USMCA</v>
      </c>
    </row>
    <row r="9056" spans="1:9" x14ac:dyDescent="0.4">
      <c r="A9056" t="s">
        <v>64</v>
      </c>
      <c r="B9056" s="1">
        <v>45017</v>
      </c>
      <c r="C9056">
        <v>841330</v>
      </c>
      <c r="D9056" t="s">
        <v>176</v>
      </c>
      <c r="E9056">
        <v>41723</v>
      </c>
      <c r="F9056">
        <v>160</v>
      </c>
      <c r="G9056">
        <v>124</v>
      </c>
      <c r="H9056">
        <f>_xlfn.XLOOKUP(FACT_IMPORTS[[#This Row],[hts_6]],DIM_PRODUCTS[hts_6],DIM_PRODUCTS[hts_4],,,)</f>
        <v>8413</v>
      </c>
      <c r="I9056" t="str" cm="1">
        <f t="array" ref="I9056">_xlfn.XLOOKUP(FACT_IMPORTS[[#This Row],[country_name]],DIM_COUNTRY[[#All],[Column2]],DIM_COUNTRY[[#All],[Column3]],,,)</f>
        <v>USMCA</v>
      </c>
    </row>
    <row r="9057" spans="1:9" x14ac:dyDescent="0.4">
      <c r="A9057" t="s">
        <v>64</v>
      </c>
      <c r="B9057" s="1">
        <v>45017</v>
      </c>
      <c r="C9057">
        <v>842132</v>
      </c>
      <c r="D9057" t="s">
        <v>176</v>
      </c>
      <c r="E9057">
        <v>92597</v>
      </c>
      <c r="F9057">
        <v>445</v>
      </c>
      <c r="G9057">
        <v>1725</v>
      </c>
      <c r="H9057">
        <f>_xlfn.XLOOKUP(FACT_IMPORTS[[#This Row],[hts_6]],DIM_PRODUCTS[hts_6],DIM_PRODUCTS[hts_4],,,)</f>
        <v>8421</v>
      </c>
      <c r="I9057" t="str" cm="1">
        <f t="array" ref="I9057">_xlfn.XLOOKUP(FACT_IMPORTS[[#This Row],[country_name]],DIM_COUNTRY[[#All],[Column2]],DIM_COUNTRY[[#All],[Column3]],,,)</f>
        <v>USMCA</v>
      </c>
    </row>
    <row r="9058" spans="1:9" x14ac:dyDescent="0.4">
      <c r="A9058" t="s">
        <v>64</v>
      </c>
      <c r="B9058" s="1">
        <v>45017</v>
      </c>
      <c r="C9058">
        <v>848210</v>
      </c>
      <c r="D9058" t="s">
        <v>176</v>
      </c>
      <c r="E9058">
        <v>0</v>
      </c>
      <c r="F9058">
        <v>0</v>
      </c>
      <c r="G9058">
        <v>0</v>
      </c>
      <c r="H9058">
        <f>_xlfn.XLOOKUP(FACT_IMPORTS[[#This Row],[hts_6]],DIM_PRODUCTS[hts_6],DIM_PRODUCTS[hts_4],,,)</f>
        <v>8482</v>
      </c>
      <c r="I9058" t="str" cm="1">
        <f t="array" ref="I9058">_xlfn.XLOOKUP(FACT_IMPORTS[[#This Row],[country_name]],DIM_COUNTRY[[#All],[Column2]],DIM_COUNTRY[[#All],[Column3]],,,)</f>
        <v>USMCA</v>
      </c>
    </row>
    <row r="9059" spans="1:9" x14ac:dyDescent="0.4">
      <c r="A9059" t="s">
        <v>64</v>
      </c>
      <c r="B9059" s="1">
        <v>45017</v>
      </c>
      <c r="C9059">
        <v>848220</v>
      </c>
      <c r="D9059" t="s">
        <v>176</v>
      </c>
      <c r="E9059">
        <v>0</v>
      </c>
      <c r="F9059">
        <v>0</v>
      </c>
      <c r="G9059">
        <v>0</v>
      </c>
      <c r="H9059">
        <f>_xlfn.XLOOKUP(FACT_IMPORTS[[#This Row],[hts_6]],DIM_PRODUCTS[hts_6],DIM_PRODUCTS[hts_4],,,)</f>
        <v>8482</v>
      </c>
      <c r="I9059" t="str" cm="1">
        <f t="array" ref="I9059">_xlfn.XLOOKUP(FACT_IMPORTS[[#This Row],[country_name]],DIM_COUNTRY[[#All],[Column2]],DIM_COUNTRY[[#All],[Column3]],,,)</f>
        <v>USMCA</v>
      </c>
    </row>
    <row r="9060" spans="1:9" x14ac:dyDescent="0.4">
      <c r="A9060" t="s">
        <v>64</v>
      </c>
      <c r="B9060" s="1">
        <v>45017</v>
      </c>
      <c r="C9060">
        <v>848310</v>
      </c>
      <c r="D9060" t="s">
        <v>176</v>
      </c>
      <c r="E9060">
        <v>0</v>
      </c>
      <c r="F9060">
        <v>0</v>
      </c>
      <c r="G9060">
        <v>0</v>
      </c>
      <c r="H9060">
        <f>_xlfn.XLOOKUP(FACT_IMPORTS[[#This Row],[hts_6]],DIM_PRODUCTS[hts_6],DIM_PRODUCTS[hts_4],,,)</f>
        <v>8483</v>
      </c>
      <c r="I9060" t="str" cm="1">
        <f t="array" ref="I9060">_xlfn.XLOOKUP(FACT_IMPORTS[[#This Row],[country_name]],DIM_COUNTRY[[#All],[Column2]],DIM_COUNTRY[[#All],[Column3]],,,)</f>
        <v>USMCA</v>
      </c>
    </row>
    <row r="9061" spans="1:9" x14ac:dyDescent="0.4">
      <c r="A9061" t="s">
        <v>64</v>
      </c>
      <c r="B9061" s="1">
        <v>45017</v>
      </c>
      <c r="C9061">
        <v>850131</v>
      </c>
      <c r="D9061" t="s">
        <v>176</v>
      </c>
      <c r="E9061">
        <v>35066</v>
      </c>
      <c r="F9061">
        <v>594</v>
      </c>
      <c r="G9061">
        <v>1279</v>
      </c>
      <c r="H9061">
        <f>_xlfn.XLOOKUP(FACT_IMPORTS[[#This Row],[hts_6]],DIM_PRODUCTS[hts_6],DIM_PRODUCTS[hts_4],,,)</f>
        <v>8501</v>
      </c>
      <c r="I9061" t="str" cm="1">
        <f t="array" ref="I9061">_xlfn.XLOOKUP(FACT_IMPORTS[[#This Row],[country_name]],DIM_COUNTRY[[#All],[Column2]],DIM_COUNTRY[[#All],[Column3]],,,)</f>
        <v>USMCA</v>
      </c>
    </row>
    <row r="9062" spans="1:9" x14ac:dyDescent="0.4">
      <c r="A9062" t="s">
        <v>64</v>
      </c>
      <c r="B9062" s="1">
        <v>45017</v>
      </c>
      <c r="C9062">
        <v>850132</v>
      </c>
      <c r="D9062" t="s">
        <v>176</v>
      </c>
      <c r="E9062">
        <v>0</v>
      </c>
      <c r="F9062">
        <v>0</v>
      </c>
      <c r="G9062">
        <v>0</v>
      </c>
      <c r="H9062">
        <f>_xlfn.XLOOKUP(FACT_IMPORTS[[#This Row],[hts_6]],DIM_PRODUCTS[hts_6],DIM_PRODUCTS[hts_4],,,)</f>
        <v>8501</v>
      </c>
      <c r="I9062" t="str" cm="1">
        <f t="array" ref="I9062">_xlfn.XLOOKUP(FACT_IMPORTS[[#This Row],[country_name]],DIM_COUNTRY[[#All],[Column2]],DIM_COUNTRY[[#All],[Column3]],,,)</f>
        <v>USMCA</v>
      </c>
    </row>
    <row r="9063" spans="1:9" x14ac:dyDescent="0.4">
      <c r="A9063" t="s">
        <v>64</v>
      </c>
      <c r="B9063" s="1">
        <v>45017</v>
      </c>
      <c r="C9063">
        <v>850133</v>
      </c>
      <c r="D9063" t="s">
        <v>176</v>
      </c>
      <c r="E9063">
        <v>0</v>
      </c>
      <c r="F9063">
        <v>0</v>
      </c>
      <c r="G9063">
        <v>0</v>
      </c>
      <c r="H9063">
        <f>_xlfn.XLOOKUP(FACT_IMPORTS[[#This Row],[hts_6]],DIM_PRODUCTS[hts_6],DIM_PRODUCTS[hts_4],,,)</f>
        <v>8501</v>
      </c>
      <c r="I9063" t="str" cm="1">
        <f t="array" ref="I9063">_xlfn.XLOOKUP(FACT_IMPORTS[[#This Row],[country_name]],DIM_COUNTRY[[#All],[Column2]],DIM_COUNTRY[[#All],[Column3]],,,)</f>
        <v>USMCA</v>
      </c>
    </row>
    <row r="9064" spans="1:9" x14ac:dyDescent="0.4">
      <c r="A9064" t="s">
        <v>64</v>
      </c>
      <c r="B9064" s="1">
        <v>45017</v>
      </c>
      <c r="C9064">
        <v>850134</v>
      </c>
      <c r="D9064" t="s">
        <v>176</v>
      </c>
      <c r="E9064">
        <v>0</v>
      </c>
      <c r="F9064">
        <v>0</v>
      </c>
      <c r="G9064">
        <v>0</v>
      </c>
      <c r="H9064">
        <f>_xlfn.XLOOKUP(FACT_IMPORTS[[#This Row],[hts_6]],DIM_PRODUCTS[hts_6],DIM_PRODUCTS[hts_4],,,)</f>
        <v>8501</v>
      </c>
      <c r="I9064" t="str" cm="1">
        <f t="array" ref="I9064">_xlfn.XLOOKUP(FACT_IMPORTS[[#This Row],[country_name]],DIM_COUNTRY[[#All],[Column2]],DIM_COUNTRY[[#All],[Column3]],,,)</f>
        <v>USMCA</v>
      </c>
    </row>
    <row r="9065" spans="1:9" x14ac:dyDescent="0.4">
      <c r="A9065" t="s">
        <v>64</v>
      </c>
      <c r="B9065" s="1">
        <v>45017</v>
      </c>
      <c r="C9065">
        <v>850152</v>
      </c>
      <c r="D9065" t="s">
        <v>176</v>
      </c>
      <c r="E9065">
        <v>25487</v>
      </c>
      <c r="F9065">
        <v>9</v>
      </c>
      <c r="G9065">
        <v>232</v>
      </c>
      <c r="H9065">
        <f>_xlfn.XLOOKUP(FACT_IMPORTS[[#This Row],[hts_6]],DIM_PRODUCTS[hts_6],DIM_PRODUCTS[hts_4],,,)</f>
        <v>8501</v>
      </c>
      <c r="I9065" t="str" cm="1">
        <f t="array" ref="I9065">_xlfn.XLOOKUP(FACT_IMPORTS[[#This Row],[country_name]],DIM_COUNTRY[[#All],[Column2]],DIM_COUNTRY[[#All],[Column3]],,,)</f>
        <v>USMCA</v>
      </c>
    </row>
    <row r="9066" spans="1:9" x14ac:dyDescent="0.4">
      <c r="A9066" t="s">
        <v>64</v>
      </c>
      <c r="B9066" s="1">
        <v>45017</v>
      </c>
      <c r="C9066">
        <v>850153</v>
      </c>
      <c r="D9066" t="s">
        <v>176</v>
      </c>
      <c r="E9066">
        <v>0</v>
      </c>
      <c r="F9066">
        <v>0</v>
      </c>
      <c r="G9066">
        <v>0</v>
      </c>
      <c r="H9066">
        <f>_xlfn.XLOOKUP(FACT_IMPORTS[[#This Row],[hts_6]],DIM_PRODUCTS[hts_6],DIM_PRODUCTS[hts_4],,,)</f>
        <v>8501</v>
      </c>
      <c r="I9066" t="str" cm="1">
        <f t="array" ref="I9066">_xlfn.XLOOKUP(FACT_IMPORTS[[#This Row],[country_name]],DIM_COUNTRY[[#All],[Column2]],DIM_COUNTRY[[#All],[Column3]],,,)</f>
        <v>USMCA</v>
      </c>
    </row>
    <row r="9067" spans="1:9" x14ac:dyDescent="0.4">
      <c r="A9067" t="s">
        <v>64</v>
      </c>
      <c r="B9067" s="1">
        <v>45017</v>
      </c>
      <c r="C9067">
        <v>850161</v>
      </c>
      <c r="D9067" t="s">
        <v>176</v>
      </c>
      <c r="E9067">
        <v>7711</v>
      </c>
      <c r="F9067">
        <v>1</v>
      </c>
      <c r="G9067">
        <v>200</v>
      </c>
      <c r="H9067">
        <f>_xlfn.XLOOKUP(FACT_IMPORTS[[#This Row],[hts_6]],DIM_PRODUCTS[hts_6],DIM_PRODUCTS[hts_4],,,)</f>
        <v>8501</v>
      </c>
      <c r="I9067" t="str" cm="1">
        <f t="array" ref="I9067">_xlfn.XLOOKUP(FACT_IMPORTS[[#This Row],[country_name]],DIM_COUNTRY[[#All],[Column2]],DIM_COUNTRY[[#All],[Column3]],,,)</f>
        <v>USMCA</v>
      </c>
    </row>
    <row r="9068" spans="1:9" x14ac:dyDescent="0.4">
      <c r="A9068" t="s">
        <v>64</v>
      </c>
      <c r="B9068" s="1">
        <v>45017</v>
      </c>
      <c r="C9068">
        <v>850440</v>
      </c>
      <c r="D9068" t="s">
        <v>176</v>
      </c>
      <c r="E9068">
        <v>43492</v>
      </c>
      <c r="F9068">
        <v>198</v>
      </c>
      <c r="G9068">
        <v>353</v>
      </c>
      <c r="H9068">
        <f>_xlfn.XLOOKUP(FACT_IMPORTS[[#This Row],[hts_6]],DIM_PRODUCTS[hts_6],DIM_PRODUCTS[hts_4],,,)</f>
        <v>8504</v>
      </c>
      <c r="I9068" t="str" cm="1">
        <f t="array" ref="I9068">_xlfn.XLOOKUP(FACT_IMPORTS[[#This Row],[country_name]],DIM_COUNTRY[[#All],[Column2]],DIM_COUNTRY[[#All],[Column3]],,,)</f>
        <v>USMCA</v>
      </c>
    </row>
    <row r="9069" spans="1:9" x14ac:dyDescent="0.4">
      <c r="A9069" t="s">
        <v>64</v>
      </c>
      <c r="B9069" s="1">
        <v>45017</v>
      </c>
      <c r="C9069">
        <v>850710</v>
      </c>
      <c r="D9069" t="s">
        <v>176</v>
      </c>
      <c r="E9069">
        <v>0</v>
      </c>
      <c r="F9069">
        <v>0</v>
      </c>
      <c r="G9069">
        <v>0</v>
      </c>
      <c r="H9069">
        <f>_xlfn.XLOOKUP(FACT_IMPORTS[[#This Row],[hts_6]],DIM_PRODUCTS[hts_6],DIM_PRODUCTS[hts_4],,,)</f>
        <v>8507</v>
      </c>
      <c r="I9069" t="str" cm="1">
        <f t="array" ref="I9069">_xlfn.XLOOKUP(FACT_IMPORTS[[#This Row],[country_name]],DIM_COUNTRY[[#All],[Column2]],DIM_COUNTRY[[#All],[Column3]],,,)</f>
        <v>USMCA</v>
      </c>
    </row>
    <row r="9070" spans="1:9" x14ac:dyDescent="0.4">
      <c r="A9070" t="s">
        <v>64</v>
      </c>
      <c r="B9070" s="1">
        <v>45017</v>
      </c>
      <c r="C9070">
        <v>850760</v>
      </c>
      <c r="D9070" t="s">
        <v>176</v>
      </c>
      <c r="E9070">
        <v>5305</v>
      </c>
      <c r="F9070">
        <v>28</v>
      </c>
      <c r="G9070">
        <v>515</v>
      </c>
      <c r="H9070">
        <f>_xlfn.XLOOKUP(FACT_IMPORTS[[#This Row],[hts_6]],DIM_PRODUCTS[hts_6],DIM_PRODUCTS[hts_4],,,)</f>
        <v>8507</v>
      </c>
      <c r="I9070" t="str" cm="1">
        <f t="array" ref="I9070">_xlfn.XLOOKUP(FACT_IMPORTS[[#This Row],[country_name]],DIM_COUNTRY[[#All],[Column2]],DIM_COUNTRY[[#All],[Column3]],,,)</f>
        <v>USMCA</v>
      </c>
    </row>
    <row r="9071" spans="1:9" x14ac:dyDescent="0.4">
      <c r="A9071" t="s">
        <v>64</v>
      </c>
      <c r="B9071" s="1">
        <v>45017</v>
      </c>
      <c r="C9071">
        <v>850790</v>
      </c>
      <c r="D9071" t="s">
        <v>176</v>
      </c>
      <c r="E9071">
        <v>0</v>
      </c>
      <c r="F9071">
        <v>0</v>
      </c>
      <c r="G9071">
        <v>0</v>
      </c>
      <c r="H9071">
        <f>_xlfn.XLOOKUP(FACT_IMPORTS[[#This Row],[hts_6]],DIM_PRODUCTS[hts_6],DIM_PRODUCTS[hts_4],,,)</f>
        <v>8507</v>
      </c>
      <c r="I9071" t="str" cm="1">
        <f t="array" ref="I9071">_xlfn.XLOOKUP(FACT_IMPORTS[[#This Row],[country_name]],DIM_COUNTRY[[#All],[Column2]],DIM_COUNTRY[[#All],[Column3]],,,)</f>
        <v>USMCA</v>
      </c>
    </row>
    <row r="9072" spans="1:9" x14ac:dyDescent="0.4">
      <c r="A9072" t="s">
        <v>64</v>
      </c>
      <c r="B9072" s="1">
        <v>45017</v>
      </c>
      <c r="C9072">
        <v>851110</v>
      </c>
      <c r="D9072" t="s">
        <v>176</v>
      </c>
      <c r="E9072">
        <v>0</v>
      </c>
      <c r="F9072">
        <v>0</v>
      </c>
      <c r="G9072">
        <v>0</v>
      </c>
      <c r="H9072">
        <f>_xlfn.XLOOKUP(FACT_IMPORTS[[#This Row],[hts_6]],DIM_PRODUCTS[hts_6],DIM_PRODUCTS[hts_4],,,)</f>
        <v>8511</v>
      </c>
      <c r="I9072" t="str" cm="1">
        <f t="array" ref="I9072">_xlfn.XLOOKUP(FACT_IMPORTS[[#This Row],[country_name]],DIM_COUNTRY[[#All],[Column2]],DIM_COUNTRY[[#All],[Column3]],,,)</f>
        <v>USMCA</v>
      </c>
    </row>
    <row r="9073" spans="1:9" x14ac:dyDescent="0.4">
      <c r="A9073" t="s">
        <v>64</v>
      </c>
      <c r="B9073" s="1">
        <v>45017</v>
      </c>
      <c r="C9073">
        <v>851130</v>
      </c>
      <c r="D9073" t="s">
        <v>176</v>
      </c>
      <c r="E9073">
        <v>0</v>
      </c>
      <c r="F9073">
        <v>0</v>
      </c>
      <c r="G9073">
        <v>0</v>
      </c>
      <c r="H9073">
        <f>_xlfn.XLOOKUP(FACT_IMPORTS[[#This Row],[hts_6]],DIM_PRODUCTS[hts_6],DIM_PRODUCTS[hts_4],,,)</f>
        <v>8511</v>
      </c>
      <c r="I9073" t="str" cm="1">
        <f t="array" ref="I9073">_xlfn.XLOOKUP(FACT_IMPORTS[[#This Row],[country_name]],DIM_COUNTRY[[#All],[Column2]],DIM_COUNTRY[[#All],[Column3]],,,)</f>
        <v>USMCA</v>
      </c>
    </row>
    <row r="9074" spans="1:9" x14ac:dyDescent="0.4">
      <c r="A9074" t="s">
        <v>64</v>
      </c>
      <c r="B9074" s="1">
        <v>45017</v>
      </c>
      <c r="C9074">
        <v>851140</v>
      </c>
      <c r="D9074" t="s">
        <v>176</v>
      </c>
      <c r="E9074">
        <v>7110</v>
      </c>
      <c r="F9074">
        <v>10</v>
      </c>
      <c r="G9074">
        <v>126</v>
      </c>
      <c r="H9074">
        <f>_xlfn.XLOOKUP(FACT_IMPORTS[[#This Row],[hts_6]],DIM_PRODUCTS[hts_6],DIM_PRODUCTS[hts_4],,,)</f>
        <v>8511</v>
      </c>
      <c r="I9074" t="str" cm="1">
        <f t="array" ref="I9074">_xlfn.XLOOKUP(FACT_IMPORTS[[#This Row],[country_name]],DIM_COUNTRY[[#All],[Column2]],DIM_COUNTRY[[#All],[Column3]],,,)</f>
        <v>USMCA</v>
      </c>
    </row>
    <row r="9075" spans="1:9" x14ac:dyDescent="0.4">
      <c r="A9075" t="s">
        <v>64</v>
      </c>
      <c r="B9075" s="1">
        <v>45017</v>
      </c>
      <c r="C9075">
        <v>851150</v>
      </c>
      <c r="D9075" t="s">
        <v>176</v>
      </c>
      <c r="E9075">
        <v>9036</v>
      </c>
      <c r="F9075">
        <v>18</v>
      </c>
      <c r="G9075">
        <v>75</v>
      </c>
      <c r="H9075">
        <f>_xlfn.XLOOKUP(FACT_IMPORTS[[#This Row],[hts_6]],DIM_PRODUCTS[hts_6],DIM_PRODUCTS[hts_4],,,)</f>
        <v>8511</v>
      </c>
      <c r="I9075" t="str" cm="1">
        <f t="array" ref="I9075">_xlfn.XLOOKUP(FACT_IMPORTS[[#This Row],[country_name]],DIM_COUNTRY[[#All],[Column2]],DIM_COUNTRY[[#All],[Column3]],,,)</f>
        <v>USMCA</v>
      </c>
    </row>
    <row r="9076" spans="1:9" x14ac:dyDescent="0.4">
      <c r="A9076" t="s">
        <v>64</v>
      </c>
      <c r="B9076" s="1">
        <v>45017</v>
      </c>
      <c r="C9076">
        <v>851180</v>
      </c>
      <c r="D9076" t="s">
        <v>176</v>
      </c>
      <c r="E9076">
        <v>6249</v>
      </c>
      <c r="F9076">
        <v>477</v>
      </c>
      <c r="G9076">
        <v>13</v>
      </c>
      <c r="H9076">
        <f>_xlfn.XLOOKUP(FACT_IMPORTS[[#This Row],[hts_6]],DIM_PRODUCTS[hts_6],DIM_PRODUCTS[hts_4],,,)</f>
        <v>8511</v>
      </c>
      <c r="I9076" t="str" cm="1">
        <f t="array" ref="I9076">_xlfn.XLOOKUP(FACT_IMPORTS[[#This Row],[country_name]],DIM_COUNTRY[[#All],[Column2]],DIM_COUNTRY[[#All],[Column3]],,,)</f>
        <v>USMCA</v>
      </c>
    </row>
    <row r="9077" spans="1:9" x14ac:dyDescent="0.4">
      <c r="A9077" t="s">
        <v>64</v>
      </c>
      <c r="B9077" s="1">
        <v>45017</v>
      </c>
      <c r="C9077">
        <v>851190</v>
      </c>
      <c r="D9077" t="s">
        <v>176</v>
      </c>
      <c r="E9077">
        <v>0</v>
      </c>
      <c r="F9077">
        <v>0</v>
      </c>
      <c r="G9077">
        <v>0</v>
      </c>
      <c r="H9077">
        <f>_xlfn.XLOOKUP(FACT_IMPORTS[[#This Row],[hts_6]],DIM_PRODUCTS[hts_6],DIM_PRODUCTS[hts_4],,,)</f>
        <v>8511</v>
      </c>
      <c r="I9077" t="str" cm="1">
        <f t="array" ref="I9077">_xlfn.XLOOKUP(FACT_IMPORTS[[#This Row],[country_name]],DIM_COUNTRY[[#All],[Column2]],DIM_COUNTRY[[#All],[Column3]],,,)</f>
        <v>USMCA</v>
      </c>
    </row>
    <row r="9078" spans="1:9" x14ac:dyDescent="0.4">
      <c r="A9078" t="s">
        <v>64</v>
      </c>
      <c r="B9078" s="1">
        <v>45017</v>
      </c>
      <c r="C9078">
        <v>851220</v>
      </c>
      <c r="D9078" t="s">
        <v>176</v>
      </c>
      <c r="E9078">
        <v>10426</v>
      </c>
      <c r="F9078">
        <v>81</v>
      </c>
      <c r="G9078">
        <v>75</v>
      </c>
      <c r="H9078">
        <f>_xlfn.XLOOKUP(FACT_IMPORTS[[#This Row],[hts_6]],DIM_PRODUCTS[hts_6],DIM_PRODUCTS[hts_4],,,)</f>
        <v>8512</v>
      </c>
      <c r="I9078" t="str" cm="1">
        <f t="array" ref="I9078">_xlfn.XLOOKUP(FACT_IMPORTS[[#This Row],[country_name]],DIM_COUNTRY[[#All],[Column2]],DIM_COUNTRY[[#All],[Column3]],,,)</f>
        <v>USMCA</v>
      </c>
    </row>
    <row r="9079" spans="1:9" x14ac:dyDescent="0.4">
      <c r="A9079" t="s">
        <v>64</v>
      </c>
      <c r="B9079" s="1">
        <v>45017</v>
      </c>
      <c r="C9079">
        <v>851230</v>
      </c>
      <c r="D9079" t="s">
        <v>176</v>
      </c>
      <c r="E9079">
        <v>0</v>
      </c>
      <c r="F9079">
        <v>0</v>
      </c>
      <c r="G9079">
        <v>0</v>
      </c>
      <c r="H9079">
        <f>_xlfn.XLOOKUP(FACT_IMPORTS[[#This Row],[hts_6]],DIM_PRODUCTS[hts_6],DIM_PRODUCTS[hts_4],,,)</f>
        <v>8512</v>
      </c>
      <c r="I9079" t="str" cm="1">
        <f t="array" ref="I9079">_xlfn.XLOOKUP(FACT_IMPORTS[[#This Row],[country_name]],DIM_COUNTRY[[#All],[Column2]],DIM_COUNTRY[[#All],[Column3]],,,)</f>
        <v>USMCA</v>
      </c>
    </row>
    <row r="9080" spans="1:9" x14ac:dyDescent="0.4">
      <c r="A9080" t="s">
        <v>64</v>
      </c>
      <c r="B9080" s="1">
        <v>45017</v>
      </c>
      <c r="C9080">
        <v>851240</v>
      </c>
      <c r="D9080" t="s">
        <v>176</v>
      </c>
      <c r="E9080">
        <v>0</v>
      </c>
      <c r="F9080">
        <v>0</v>
      </c>
      <c r="G9080">
        <v>0</v>
      </c>
      <c r="H9080">
        <f>_xlfn.XLOOKUP(FACT_IMPORTS[[#This Row],[hts_6]],DIM_PRODUCTS[hts_6],DIM_PRODUCTS[hts_4],,,)</f>
        <v>8512</v>
      </c>
      <c r="I9080" t="str" cm="1">
        <f t="array" ref="I9080">_xlfn.XLOOKUP(FACT_IMPORTS[[#This Row],[country_name]],DIM_COUNTRY[[#All],[Column2]],DIM_COUNTRY[[#All],[Column3]],,,)</f>
        <v>USMCA</v>
      </c>
    </row>
    <row r="9081" spans="1:9" x14ac:dyDescent="0.4">
      <c r="A9081" t="s">
        <v>64</v>
      </c>
      <c r="B9081" s="1">
        <v>45017</v>
      </c>
      <c r="C9081">
        <v>851290</v>
      </c>
      <c r="D9081" t="s">
        <v>176</v>
      </c>
      <c r="E9081">
        <v>82078</v>
      </c>
      <c r="F9081">
        <v>10453</v>
      </c>
      <c r="G9081">
        <v>172</v>
      </c>
      <c r="H9081">
        <f>_xlfn.XLOOKUP(FACT_IMPORTS[[#This Row],[hts_6]],DIM_PRODUCTS[hts_6],DIM_PRODUCTS[hts_4],,,)</f>
        <v>8512</v>
      </c>
      <c r="I9081" t="str" cm="1">
        <f t="array" ref="I9081">_xlfn.XLOOKUP(FACT_IMPORTS[[#This Row],[country_name]],DIM_COUNTRY[[#All],[Column2]],DIM_COUNTRY[[#All],[Column3]],,,)</f>
        <v>USMCA</v>
      </c>
    </row>
    <row r="9082" spans="1:9" x14ac:dyDescent="0.4">
      <c r="A9082" t="s">
        <v>64</v>
      </c>
      <c r="B9082" s="1">
        <v>45017</v>
      </c>
      <c r="C9082">
        <v>854231</v>
      </c>
      <c r="D9082" t="s">
        <v>176</v>
      </c>
      <c r="E9082">
        <v>2695</v>
      </c>
      <c r="F9082">
        <v>207</v>
      </c>
      <c r="G9082">
        <v>2</v>
      </c>
      <c r="H9082">
        <f>_xlfn.XLOOKUP(FACT_IMPORTS[[#This Row],[hts_6]],DIM_PRODUCTS[hts_6],DIM_PRODUCTS[hts_4],,,)</f>
        <v>8542</v>
      </c>
      <c r="I9082" t="str" cm="1">
        <f t="array" ref="I9082">_xlfn.XLOOKUP(FACT_IMPORTS[[#This Row],[country_name]],DIM_COUNTRY[[#All],[Column2]],DIM_COUNTRY[[#All],[Column3]],,,)</f>
        <v>USMCA</v>
      </c>
    </row>
    <row r="9083" spans="1:9" x14ac:dyDescent="0.4">
      <c r="A9083" t="s">
        <v>64</v>
      </c>
      <c r="B9083" s="1">
        <v>45017</v>
      </c>
      <c r="C9083">
        <v>854232</v>
      </c>
      <c r="D9083" t="s">
        <v>176</v>
      </c>
      <c r="E9083">
        <v>0</v>
      </c>
      <c r="F9083">
        <v>0</v>
      </c>
      <c r="G9083">
        <v>0</v>
      </c>
      <c r="H9083">
        <f>_xlfn.XLOOKUP(FACT_IMPORTS[[#This Row],[hts_6]],DIM_PRODUCTS[hts_6],DIM_PRODUCTS[hts_4],,,)</f>
        <v>8542</v>
      </c>
      <c r="I9083" t="str" cm="1">
        <f t="array" ref="I9083">_xlfn.XLOOKUP(FACT_IMPORTS[[#This Row],[country_name]],DIM_COUNTRY[[#All],[Column2]],DIM_COUNTRY[[#All],[Column3]],,,)</f>
        <v>USMCA</v>
      </c>
    </row>
    <row r="9084" spans="1:9" x14ac:dyDescent="0.4">
      <c r="A9084" t="s">
        <v>64</v>
      </c>
      <c r="B9084" s="1">
        <v>45017</v>
      </c>
      <c r="C9084">
        <v>854290</v>
      </c>
      <c r="D9084" t="s">
        <v>176</v>
      </c>
      <c r="E9084">
        <v>0</v>
      </c>
      <c r="F9084">
        <v>0</v>
      </c>
      <c r="G9084">
        <v>0</v>
      </c>
      <c r="H9084">
        <f>_xlfn.XLOOKUP(FACT_IMPORTS[[#This Row],[hts_6]],DIM_PRODUCTS[hts_6],DIM_PRODUCTS[hts_4],,,)</f>
        <v>8542</v>
      </c>
      <c r="I9084" t="str" cm="1">
        <f t="array" ref="I9084">_xlfn.XLOOKUP(FACT_IMPORTS[[#This Row],[country_name]],DIM_COUNTRY[[#All],[Column2]],DIM_COUNTRY[[#All],[Column3]],,,)</f>
        <v>USMCA</v>
      </c>
    </row>
    <row r="9085" spans="1:9" x14ac:dyDescent="0.4">
      <c r="A9085" t="s">
        <v>64</v>
      </c>
      <c r="B9085" s="1">
        <v>45017</v>
      </c>
      <c r="C9085">
        <v>854430</v>
      </c>
      <c r="D9085" t="s">
        <v>176</v>
      </c>
      <c r="E9085">
        <v>1048898</v>
      </c>
      <c r="F9085">
        <v>75492</v>
      </c>
      <c r="G9085">
        <v>7029</v>
      </c>
      <c r="H9085">
        <f>_xlfn.XLOOKUP(FACT_IMPORTS[[#This Row],[hts_6]],DIM_PRODUCTS[hts_6],DIM_PRODUCTS[hts_4],,,)</f>
        <v>8544</v>
      </c>
      <c r="I9085" t="str" cm="1">
        <f t="array" ref="I9085">_xlfn.XLOOKUP(FACT_IMPORTS[[#This Row],[country_name]],DIM_COUNTRY[[#All],[Column2]],DIM_COUNTRY[[#All],[Column3]],,,)</f>
        <v>USMCA</v>
      </c>
    </row>
    <row r="9086" spans="1:9" x14ac:dyDescent="0.4">
      <c r="A9086" t="s">
        <v>64</v>
      </c>
      <c r="B9086" s="1">
        <v>45017</v>
      </c>
      <c r="C9086">
        <v>870810</v>
      </c>
      <c r="D9086" t="s">
        <v>176</v>
      </c>
      <c r="E9086">
        <v>20547</v>
      </c>
      <c r="F9086">
        <v>138</v>
      </c>
      <c r="G9086">
        <v>98</v>
      </c>
      <c r="H9086">
        <f>_xlfn.XLOOKUP(FACT_IMPORTS[[#This Row],[hts_6]],DIM_PRODUCTS[hts_6],DIM_PRODUCTS[hts_4],,,)</f>
        <v>8708</v>
      </c>
      <c r="I9086" t="str" cm="1">
        <f t="array" ref="I9086">_xlfn.XLOOKUP(FACT_IMPORTS[[#This Row],[country_name]],DIM_COUNTRY[[#All],[Column2]],DIM_COUNTRY[[#All],[Column3]],,,)</f>
        <v>USMCA</v>
      </c>
    </row>
    <row r="9087" spans="1:9" x14ac:dyDescent="0.4">
      <c r="A9087" t="s">
        <v>64</v>
      </c>
      <c r="B9087" s="1">
        <v>45017</v>
      </c>
      <c r="C9087">
        <v>870821</v>
      </c>
      <c r="D9087" t="s">
        <v>176</v>
      </c>
      <c r="E9087">
        <v>0</v>
      </c>
      <c r="F9087">
        <v>0</v>
      </c>
      <c r="G9087">
        <v>0</v>
      </c>
      <c r="H9087">
        <f>_xlfn.XLOOKUP(FACT_IMPORTS[[#This Row],[hts_6]],DIM_PRODUCTS[hts_6],DIM_PRODUCTS[hts_4],,,)</f>
        <v>8708</v>
      </c>
      <c r="I9087" t="str" cm="1">
        <f t="array" ref="I9087">_xlfn.XLOOKUP(FACT_IMPORTS[[#This Row],[country_name]],DIM_COUNTRY[[#All],[Column2]],DIM_COUNTRY[[#All],[Column3]],,,)</f>
        <v>USMCA</v>
      </c>
    </row>
    <row r="9088" spans="1:9" x14ac:dyDescent="0.4">
      <c r="A9088" t="s">
        <v>64</v>
      </c>
      <c r="B9088" s="1">
        <v>45017</v>
      </c>
      <c r="C9088">
        <v>870822</v>
      </c>
      <c r="D9088" t="s">
        <v>176</v>
      </c>
      <c r="E9088">
        <v>0</v>
      </c>
      <c r="F9088">
        <v>0</v>
      </c>
      <c r="G9088">
        <v>0</v>
      </c>
      <c r="H9088">
        <f>_xlfn.XLOOKUP(FACT_IMPORTS[[#This Row],[hts_6]],DIM_PRODUCTS[hts_6],DIM_PRODUCTS[hts_4],,,)</f>
        <v>8708</v>
      </c>
      <c r="I9088" t="str" cm="1">
        <f t="array" ref="I9088">_xlfn.XLOOKUP(FACT_IMPORTS[[#This Row],[country_name]],DIM_COUNTRY[[#All],[Column2]],DIM_COUNTRY[[#All],[Column3]],,,)</f>
        <v>USMCA</v>
      </c>
    </row>
    <row r="9089" spans="1:9" x14ac:dyDescent="0.4">
      <c r="A9089" t="s">
        <v>64</v>
      </c>
      <c r="B9089" s="1">
        <v>45017</v>
      </c>
      <c r="C9089">
        <v>870829</v>
      </c>
      <c r="D9089" t="s">
        <v>176</v>
      </c>
      <c r="E9089">
        <v>1149553</v>
      </c>
      <c r="F9089">
        <v>14889</v>
      </c>
      <c r="G9089">
        <v>16298</v>
      </c>
      <c r="H9089">
        <f>_xlfn.XLOOKUP(FACT_IMPORTS[[#This Row],[hts_6]],DIM_PRODUCTS[hts_6],DIM_PRODUCTS[hts_4],,,)</f>
        <v>8708</v>
      </c>
      <c r="I9089" t="str" cm="1">
        <f t="array" ref="I9089">_xlfn.XLOOKUP(FACT_IMPORTS[[#This Row],[country_name]],DIM_COUNTRY[[#All],[Column2]],DIM_COUNTRY[[#All],[Column3]],,,)</f>
        <v>USMCA</v>
      </c>
    </row>
    <row r="9090" spans="1:9" x14ac:dyDescent="0.4">
      <c r="A9090" t="s">
        <v>64</v>
      </c>
      <c r="B9090" s="1">
        <v>45017</v>
      </c>
      <c r="C9090">
        <v>870830</v>
      </c>
      <c r="D9090" t="s">
        <v>176</v>
      </c>
      <c r="E9090">
        <v>141447</v>
      </c>
      <c r="F9090">
        <v>2807</v>
      </c>
      <c r="G9090">
        <v>1300</v>
      </c>
      <c r="H9090">
        <f>_xlfn.XLOOKUP(FACT_IMPORTS[[#This Row],[hts_6]],DIM_PRODUCTS[hts_6],DIM_PRODUCTS[hts_4],,,)</f>
        <v>8708</v>
      </c>
      <c r="I9090" t="str" cm="1">
        <f t="array" ref="I9090">_xlfn.XLOOKUP(FACT_IMPORTS[[#This Row],[country_name]],DIM_COUNTRY[[#All],[Column2]],DIM_COUNTRY[[#All],[Column3]],,,)</f>
        <v>USMCA</v>
      </c>
    </row>
    <row r="9091" spans="1:9" x14ac:dyDescent="0.4">
      <c r="A9091" t="s">
        <v>64</v>
      </c>
      <c r="B9091" s="1">
        <v>45017</v>
      </c>
      <c r="C9091">
        <v>870840</v>
      </c>
      <c r="D9091" t="s">
        <v>176</v>
      </c>
      <c r="E9091">
        <v>32801</v>
      </c>
      <c r="F9091">
        <v>19</v>
      </c>
      <c r="G9091">
        <v>3488</v>
      </c>
      <c r="H9091">
        <f>_xlfn.XLOOKUP(FACT_IMPORTS[[#This Row],[hts_6]],DIM_PRODUCTS[hts_6],DIM_PRODUCTS[hts_4],,,)</f>
        <v>8708</v>
      </c>
      <c r="I9091" t="str" cm="1">
        <f t="array" ref="I9091">_xlfn.XLOOKUP(FACT_IMPORTS[[#This Row],[country_name]],DIM_COUNTRY[[#All],[Column2]],DIM_COUNTRY[[#All],[Column3]],,,)</f>
        <v>USMCA</v>
      </c>
    </row>
    <row r="9092" spans="1:9" x14ac:dyDescent="0.4">
      <c r="A9092" t="s">
        <v>64</v>
      </c>
      <c r="B9092" s="1">
        <v>45017</v>
      </c>
      <c r="C9092">
        <v>870850</v>
      </c>
      <c r="D9092" t="s">
        <v>176</v>
      </c>
      <c r="E9092">
        <v>47136</v>
      </c>
      <c r="F9092">
        <v>376</v>
      </c>
      <c r="G9092">
        <v>900</v>
      </c>
      <c r="H9092">
        <f>_xlfn.XLOOKUP(FACT_IMPORTS[[#This Row],[hts_6]],DIM_PRODUCTS[hts_6],DIM_PRODUCTS[hts_4],,,)</f>
        <v>8708</v>
      </c>
      <c r="I9092" t="str" cm="1">
        <f t="array" ref="I9092">_xlfn.XLOOKUP(FACT_IMPORTS[[#This Row],[country_name]],DIM_COUNTRY[[#All],[Column2]],DIM_COUNTRY[[#All],[Column3]],,,)</f>
        <v>USMCA</v>
      </c>
    </row>
    <row r="9093" spans="1:9" x14ac:dyDescent="0.4">
      <c r="A9093" t="s">
        <v>64</v>
      </c>
      <c r="B9093" s="1">
        <v>45017</v>
      </c>
      <c r="C9093">
        <v>870870</v>
      </c>
      <c r="D9093" t="s">
        <v>176</v>
      </c>
      <c r="E9093">
        <v>38724</v>
      </c>
      <c r="F9093">
        <v>988</v>
      </c>
      <c r="G9093">
        <v>806</v>
      </c>
      <c r="H9093">
        <f>_xlfn.XLOOKUP(FACT_IMPORTS[[#This Row],[hts_6]],DIM_PRODUCTS[hts_6],DIM_PRODUCTS[hts_4],,,)</f>
        <v>8708</v>
      </c>
      <c r="I9093" t="str" cm="1">
        <f t="array" ref="I9093">_xlfn.XLOOKUP(FACT_IMPORTS[[#This Row],[country_name]],DIM_COUNTRY[[#All],[Column2]],DIM_COUNTRY[[#All],[Column3]],,,)</f>
        <v>USMCA</v>
      </c>
    </row>
    <row r="9094" spans="1:9" x14ac:dyDescent="0.4">
      <c r="A9094" t="s">
        <v>64</v>
      </c>
      <c r="B9094" s="1">
        <v>45017</v>
      </c>
      <c r="C9094">
        <v>870880</v>
      </c>
      <c r="D9094" t="s">
        <v>176</v>
      </c>
      <c r="E9094">
        <v>31389</v>
      </c>
      <c r="F9094">
        <v>3008</v>
      </c>
      <c r="G9094">
        <v>297</v>
      </c>
      <c r="H9094">
        <f>_xlfn.XLOOKUP(FACT_IMPORTS[[#This Row],[hts_6]],DIM_PRODUCTS[hts_6],DIM_PRODUCTS[hts_4],,,)</f>
        <v>8708</v>
      </c>
      <c r="I9094" t="str" cm="1">
        <f t="array" ref="I9094">_xlfn.XLOOKUP(FACT_IMPORTS[[#This Row],[country_name]],DIM_COUNTRY[[#All],[Column2]],DIM_COUNTRY[[#All],[Column3]],,,)</f>
        <v>USMCA</v>
      </c>
    </row>
    <row r="9095" spans="1:9" x14ac:dyDescent="0.4">
      <c r="A9095" t="s">
        <v>64</v>
      </c>
      <c r="B9095" s="1">
        <v>45017</v>
      </c>
      <c r="C9095">
        <v>870891</v>
      </c>
      <c r="D9095" t="s">
        <v>176</v>
      </c>
      <c r="E9095">
        <v>10192</v>
      </c>
      <c r="F9095">
        <v>101</v>
      </c>
      <c r="G9095">
        <v>63</v>
      </c>
      <c r="H9095">
        <f>_xlfn.XLOOKUP(FACT_IMPORTS[[#This Row],[hts_6]],DIM_PRODUCTS[hts_6],DIM_PRODUCTS[hts_4],,,)</f>
        <v>8708</v>
      </c>
      <c r="I9095" t="str" cm="1">
        <f t="array" ref="I9095">_xlfn.XLOOKUP(FACT_IMPORTS[[#This Row],[country_name]],DIM_COUNTRY[[#All],[Column2]],DIM_COUNTRY[[#All],[Column3]],,,)</f>
        <v>USMCA</v>
      </c>
    </row>
    <row r="9096" spans="1:9" x14ac:dyDescent="0.4">
      <c r="A9096" t="s">
        <v>64</v>
      </c>
      <c r="B9096" s="1">
        <v>45017</v>
      </c>
      <c r="C9096">
        <v>870892</v>
      </c>
      <c r="D9096" t="s">
        <v>176</v>
      </c>
      <c r="E9096">
        <v>11378</v>
      </c>
      <c r="F9096">
        <v>54</v>
      </c>
      <c r="G9096">
        <v>29</v>
      </c>
      <c r="H9096">
        <f>_xlfn.XLOOKUP(FACT_IMPORTS[[#This Row],[hts_6]],DIM_PRODUCTS[hts_6],DIM_PRODUCTS[hts_4],,,)</f>
        <v>8708</v>
      </c>
      <c r="I9096" t="str" cm="1">
        <f t="array" ref="I9096">_xlfn.XLOOKUP(FACT_IMPORTS[[#This Row],[country_name]],DIM_COUNTRY[[#All],[Column2]],DIM_COUNTRY[[#All],[Column3]],,,)</f>
        <v>USMCA</v>
      </c>
    </row>
    <row r="9097" spans="1:9" x14ac:dyDescent="0.4">
      <c r="A9097" t="s">
        <v>64</v>
      </c>
      <c r="B9097" s="1">
        <v>45017</v>
      </c>
      <c r="C9097">
        <v>870893</v>
      </c>
      <c r="D9097" t="s">
        <v>176</v>
      </c>
      <c r="E9097">
        <v>37017</v>
      </c>
      <c r="F9097">
        <v>1910</v>
      </c>
      <c r="G9097">
        <v>400</v>
      </c>
      <c r="H9097">
        <f>_xlfn.XLOOKUP(FACT_IMPORTS[[#This Row],[hts_6]],DIM_PRODUCTS[hts_6],DIM_PRODUCTS[hts_4],,,)</f>
        <v>8708</v>
      </c>
      <c r="I9097" t="str" cm="1">
        <f t="array" ref="I9097">_xlfn.XLOOKUP(FACT_IMPORTS[[#This Row],[country_name]],DIM_COUNTRY[[#All],[Column2]],DIM_COUNTRY[[#All],[Column3]],,,)</f>
        <v>USMCA</v>
      </c>
    </row>
    <row r="9098" spans="1:9" x14ac:dyDescent="0.4">
      <c r="A9098" t="s">
        <v>64</v>
      </c>
      <c r="B9098" s="1">
        <v>45017</v>
      </c>
      <c r="C9098">
        <v>870894</v>
      </c>
      <c r="D9098" t="s">
        <v>176</v>
      </c>
      <c r="E9098">
        <v>85371</v>
      </c>
      <c r="F9098">
        <v>1052</v>
      </c>
      <c r="G9098">
        <v>1781</v>
      </c>
      <c r="H9098">
        <f>_xlfn.XLOOKUP(FACT_IMPORTS[[#This Row],[hts_6]],DIM_PRODUCTS[hts_6],DIM_PRODUCTS[hts_4],,,)</f>
        <v>8708</v>
      </c>
      <c r="I9098" t="str" cm="1">
        <f t="array" ref="I9098">_xlfn.XLOOKUP(FACT_IMPORTS[[#This Row],[country_name]],DIM_COUNTRY[[#All],[Column2]],DIM_COUNTRY[[#All],[Column3]],,,)</f>
        <v>USMCA</v>
      </c>
    </row>
    <row r="9099" spans="1:9" x14ac:dyDescent="0.4">
      <c r="A9099" t="s">
        <v>64</v>
      </c>
      <c r="B9099" s="1">
        <v>45017</v>
      </c>
      <c r="C9099">
        <v>870895</v>
      </c>
      <c r="D9099" t="s">
        <v>176</v>
      </c>
      <c r="E9099">
        <v>3266</v>
      </c>
      <c r="F9099">
        <v>7500</v>
      </c>
      <c r="G9099">
        <v>327</v>
      </c>
      <c r="H9099">
        <f>_xlfn.XLOOKUP(FACT_IMPORTS[[#This Row],[hts_6]],DIM_PRODUCTS[hts_6],DIM_PRODUCTS[hts_4],,,)</f>
        <v>8708</v>
      </c>
      <c r="I9099" t="str" cm="1">
        <f t="array" ref="I9099">_xlfn.XLOOKUP(FACT_IMPORTS[[#This Row],[country_name]],DIM_COUNTRY[[#All],[Column2]],DIM_COUNTRY[[#All],[Column3]],,,)</f>
        <v>USMCA</v>
      </c>
    </row>
    <row r="9100" spans="1:9" x14ac:dyDescent="0.4">
      <c r="A9100" t="s">
        <v>64</v>
      </c>
      <c r="B9100" s="1">
        <v>45017</v>
      </c>
      <c r="C9100">
        <v>870899</v>
      </c>
      <c r="D9100" t="s">
        <v>176</v>
      </c>
      <c r="E9100">
        <v>83834</v>
      </c>
      <c r="F9100">
        <v>2031</v>
      </c>
      <c r="G9100">
        <v>1851</v>
      </c>
      <c r="H9100">
        <f>_xlfn.XLOOKUP(FACT_IMPORTS[[#This Row],[hts_6]],DIM_PRODUCTS[hts_6],DIM_PRODUCTS[hts_4],,,)</f>
        <v>8708</v>
      </c>
      <c r="I9100" t="str" cm="1">
        <f t="array" ref="I9100">_xlfn.XLOOKUP(FACT_IMPORTS[[#This Row],[country_name]],DIM_COUNTRY[[#All],[Column2]],DIM_COUNTRY[[#All],[Column3]],,,)</f>
        <v>USMCA</v>
      </c>
    </row>
    <row r="9101" spans="1:9" x14ac:dyDescent="0.4">
      <c r="A9101" t="s">
        <v>64</v>
      </c>
      <c r="B9101" s="1">
        <v>45017</v>
      </c>
      <c r="C9101">
        <v>940120</v>
      </c>
      <c r="D9101" t="s">
        <v>176</v>
      </c>
      <c r="E9101">
        <v>18139</v>
      </c>
      <c r="F9101">
        <v>72</v>
      </c>
      <c r="G9101">
        <v>79</v>
      </c>
      <c r="H9101">
        <f>_xlfn.XLOOKUP(FACT_IMPORTS[[#This Row],[hts_6]],DIM_PRODUCTS[hts_6],DIM_PRODUCTS[hts_4],,,)</f>
        <v>9401</v>
      </c>
      <c r="I9101" t="str" cm="1">
        <f t="array" ref="I9101">_xlfn.XLOOKUP(FACT_IMPORTS[[#This Row],[country_name]],DIM_COUNTRY[[#All],[Column2]],DIM_COUNTRY[[#All],[Column3]],,,)</f>
        <v>USMCA</v>
      </c>
    </row>
    <row r="9102" spans="1:9" x14ac:dyDescent="0.4">
      <c r="A9102" t="s">
        <v>64</v>
      </c>
      <c r="B9102" s="1">
        <v>45047</v>
      </c>
      <c r="C9102">
        <v>392630</v>
      </c>
      <c r="D9102" t="s">
        <v>176</v>
      </c>
      <c r="E9102">
        <v>10498</v>
      </c>
      <c r="F9102">
        <v>1296</v>
      </c>
      <c r="G9102">
        <v>287</v>
      </c>
      <c r="H9102">
        <f>_xlfn.XLOOKUP(FACT_IMPORTS[[#This Row],[hts_6]],DIM_PRODUCTS[hts_6],DIM_PRODUCTS[hts_4],,,)</f>
        <v>3926</v>
      </c>
      <c r="I9102" t="str" cm="1">
        <f t="array" ref="I9102">_xlfn.XLOOKUP(FACT_IMPORTS[[#This Row],[country_name]],DIM_COUNTRY[[#All],[Column2]],DIM_COUNTRY[[#All],[Column3]],,,)</f>
        <v>USMCA</v>
      </c>
    </row>
    <row r="9103" spans="1:9" x14ac:dyDescent="0.4">
      <c r="A9103" t="s">
        <v>64</v>
      </c>
      <c r="B9103" s="1">
        <v>45047</v>
      </c>
      <c r="C9103">
        <v>401110</v>
      </c>
      <c r="D9103" t="s">
        <v>176</v>
      </c>
      <c r="E9103">
        <v>5555</v>
      </c>
      <c r="F9103">
        <v>103</v>
      </c>
      <c r="G9103">
        <v>42</v>
      </c>
      <c r="H9103">
        <f>_xlfn.XLOOKUP(FACT_IMPORTS[[#This Row],[hts_6]],DIM_PRODUCTS[hts_6],DIM_PRODUCTS[hts_4],,,)</f>
        <v>4011</v>
      </c>
      <c r="I9103" t="str" cm="1">
        <f t="array" ref="I9103">_xlfn.XLOOKUP(FACT_IMPORTS[[#This Row],[country_name]],DIM_COUNTRY[[#All],[Column2]],DIM_COUNTRY[[#All],[Column3]],,,)</f>
        <v>USMCA</v>
      </c>
    </row>
    <row r="9104" spans="1:9" x14ac:dyDescent="0.4">
      <c r="A9104" t="s">
        <v>64</v>
      </c>
      <c r="B9104" s="1">
        <v>45047</v>
      </c>
      <c r="C9104">
        <v>401120</v>
      </c>
      <c r="D9104" t="s">
        <v>176</v>
      </c>
      <c r="E9104">
        <v>0</v>
      </c>
      <c r="F9104">
        <v>0</v>
      </c>
      <c r="G9104">
        <v>0</v>
      </c>
      <c r="H9104">
        <f>_xlfn.XLOOKUP(FACT_IMPORTS[[#This Row],[hts_6]],DIM_PRODUCTS[hts_6],DIM_PRODUCTS[hts_4],,,)</f>
        <v>4011</v>
      </c>
      <c r="I9104" t="str" cm="1">
        <f t="array" ref="I9104">_xlfn.XLOOKUP(FACT_IMPORTS[[#This Row],[country_name]],DIM_COUNTRY[[#All],[Column2]],DIM_COUNTRY[[#All],[Column3]],,,)</f>
        <v>USMCA</v>
      </c>
    </row>
    <row r="9105" spans="1:9" x14ac:dyDescent="0.4">
      <c r="A9105" t="s">
        <v>64</v>
      </c>
      <c r="B9105" s="1">
        <v>45047</v>
      </c>
      <c r="C9105">
        <v>401190</v>
      </c>
      <c r="D9105" t="s">
        <v>176</v>
      </c>
      <c r="E9105">
        <v>0</v>
      </c>
      <c r="F9105">
        <v>0</v>
      </c>
      <c r="G9105">
        <v>0</v>
      </c>
      <c r="H9105">
        <f>_xlfn.XLOOKUP(FACT_IMPORTS[[#This Row],[hts_6]],DIM_PRODUCTS[hts_6],DIM_PRODUCTS[hts_4],,,)</f>
        <v>4011</v>
      </c>
      <c r="I9105" t="str" cm="1">
        <f t="array" ref="I9105">_xlfn.XLOOKUP(FACT_IMPORTS[[#This Row],[country_name]],DIM_COUNTRY[[#All],[Column2]],DIM_COUNTRY[[#All],[Column3]],,,)</f>
        <v>USMCA</v>
      </c>
    </row>
    <row r="9106" spans="1:9" x14ac:dyDescent="0.4">
      <c r="A9106" t="s">
        <v>64</v>
      </c>
      <c r="B9106" s="1">
        <v>45047</v>
      </c>
      <c r="C9106">
        <v>700910</v>
      </c>
      <c r="D9106" t="s">
        <v>176</v>
      </c>
      <c r="E9106">
        <v>0</v>
      </c>
      <c r="F9106">
        <v>0</v>
      </c>
      <c r="G9106">
        <v>0</v>
      </c>
      <c r="H9106">
        <f>_xlfn.XLOOKUP(FACT_IMPORTS[[#This Row],[hts_6]],DIM_PRODUCTS[hts_6],DIM_PRODUCTS[hts_4],,,)</f>
        <v>7009</v>
      </c>
      <c r="I9106" t="str" cm="1">
        <f t="array" ref="I9106">_xlfn.XLOOKUP(FACT_IMPORTS[[#This Row],[country_name]],DIM_COUNTRY[[#All],[Column2]],DIM_COUNTRY[[#All],[Column3]],,,)</f>
        <v>USMCA</v>
      </c>
    </row>
    <row r="9107" spans="1:9" x14ac:dyDescent="0.4">
      <c r="A9107" t="s">
        <v>64</v>
      </c>
      <c r="B9107" s="1">
        <v>45047</v>
      </c>
      <c r="C9107">
        <v>732010</v>
      </c>
      <c r="D9107" t="s">
        <v>176</v>
      </c>
      <c r="E9107">
        <v>0</v>
      </c>
      <c r="F9107">
        <v>0</v>
      </c>
      <c r="G9107">
        <v>0</v>
      </c>
      <c r="H9107">
        <f>_xlfn.XLOOKUP(FACT_IMPORTS[[#This Row],[hts_6]],DIM_PRODUCTS[hts_6],DIM_PRODUCTS[hts_4],,,)</f>
        <v>7320</v>
      </c>
      <c r="I9107" t="str" cm="1">
        <f t="array" ref="I9107">_xlfn.XLOOKUP(FACT_IMPORTS[[#This Row],[country_name]],DIM_COUNTRY[[#All],[Column2]],DIM_COUNTRY[[#All],[Column3]],,,)</f>
        <v>USMCA</v>
      </c>
    </row>
    <row r="9108" spans="1:9" x14ac:dyDescent="0.4">
      <c r="A9108" t="s">
        <v>64</v>
      </c>
      <c r="B9108" s="1">
        <v>45047</v>
      </c>
      <c r="C9108">
        <v>830230</v>
      </c>
      <c r="D9108" t="s">
        <v>176</v>
      </c>
      <c r="E9108">
        <v>0</v>
      </c>
      <c r="F9108">
        <v>0</v>
      </c>
      <c r="G9108">
        <v>0</v>
      </c>
      <c r="H9108">
        <f>_xlfn.XLOOKUP(FACT_IMPORTS[[#This Row],[hts_6]],DIM_PRODUCTS[hts_6],DIM_PRODUCTS[hts_4],,,)</f>
        <v>8302</v>
      </c>
      <c r="I9108" t="str" cm="1">
        <f t="array" ref="I9108">_xlfn.XLOOKUP(FACT_IMPORTS[[#This Row],[country_name]],DIM_COUNTRY[[#All],[Column2]],DIM_COUNTRY[[#All],[Column3]],,,)</f>
        <v>USMCA</v>
      </c>
    </row>
    <row r="9109" spans="1:9" x14ac:dyDescent="0.4">
      <c r="A9109" t="s">
        <v>64</v>
      </c>
      <c r="B9109" s="1">
        <v>45047</v>
      </c>
      <c r="C9109">
        <v>840733</v>
      </c>
      <c r="D9109" t="s">
        <v>176</v>
      </c>
      <c r="E9109">
        <v>0</v>
      </c>
      <c r="F9109">
        <v>0</v>
      </c>
      <c r="G9109">
        <v>0</v>
      </c>
      <c r="H9109">
        <f>_xlfn.XLOOKUP(FACT_IMPORTS[[#This Row],[hts_6]],DIM_PRODUCTS[hts_6],DIM_PRODUCTS[hts_4],,,)</f>
        <v>8407</v>
      </c>
      <c r="I9109" t="str" cm="1">
        <f t="array" ref="I9109">_xlfn.XLOOKUP(FACT_IMPORTS[[#This Row],[country_name]],DIM_COUNTRY[[#All],[Column2]],DIM_COUNTRY[[#All],[Column3]],,,)</f>
        <v>USMCA</v>
      </c>
    </row>
    <row r="9110" spans="1:9" x14ac:dyDescent="0.4">
      <c r="A9110" t="s">
        <v>64</v>
      </c>
      <c r="B9110" s="1">
        <v>45047</v>
      </c>
      <c r="C9110">
        <v>840734</v>
      </c>
      <c r="D9110" t="s">
        <v>176</v>
      </c>
      <c r="E9110">
        <v>82986</v>
      </c>
      <c r="F9110">
        <v>91</v>
      </c>
      <c r="G9110">
        <v>749</v>
      </c>
      <c r="H9110">
        <f>_xlfn.XLOOKUP(FACT_IMPORTS[[#This Row],[hts_6]],DIM_PRODUCTS[hts_6],DIM_PRODUCTS[hts_4],,,)</f>
        <v>8407</v>
      </c>
      <c r="I9110" t="str" cm="1">
        <f t="array" ref="I9110">_xlfn.XLOOKUP(FACT_IMPORTS[[#This Row],[country_name]],DIM_COUNTRY[[#All],[Column2]],DIM_COUNTRY[[#All],[Column3]],,,)</f>
        <v>USMCA</v>
      </c>
    </row>
    <row r="9111" spans="1:9" x14ac:dyDescent="0.4">
      <c r="A9111" t="s">
        <v>64</v>
      </c>
      <c r="B9111" s="1">
        <v>45047</v>
      </c>
      <c r="C9111">
        <v>840820</v>
      </c>
      <c r="D9111" t="s">
        <v>176</v>
      </c>
      <c r="E9111">
        <v>215223</v>
      </c>
      <c r="F9111">
        <v>28</v>
      </c>
      <c r="G9111">
        <v>645</v>
      </c>
      <c r="H9111">
        <f>_xlfn.XLOOKUP(FACT_IMPORTS[[#This Row],[hts_6]],DIM_PRODUCTS[hts_6],DIM_PRODUCTS[hts_4],,,)</f>
        <v>8408</v>
      </c>
      <c r="I9111" t="str" cm="1">
        <f t="array" ref="I9111">_xlfn.XLOOKUP(FACT_IMPORTS[[#This Row],[country_name]],DIM_COUNTRY[[#All],[Column2]],DIM_COUNTRY[[#All],[Column3]],,,)</f>
        <v>USMCA</v>
      </c>
    </row>
    <row r="9112" spans="1:9" x14ac:dyDescent="0.4">
      <c r="A9112" t="s">
        <v>64</v>
      </c>
      <c r="B9112" s="1">
        <v>45047</v>
      </c>
      <c r="C9112">
        <v>840890</v>
      </c>
      <c r="D9112" t="s">
        <v>176</v>
      </c>
      <c r="E9112">
        <v>31355</v>
      </c>
      <c r="F9112">
        <v>1</v>
      </c>
      <c r="G9112">
        <v>65</v>
      </c>
      <c r="H9112">
        <f>_xlfn.XLOOKUP(FACT_IMPORTS[[#This Row],[hts_6]],DIM_PRODUCTS[hts_6],DIM_PRODUCTS[hts_4],,,)</f>
        <v>8408</v>
      </c>
      <c r="I9112" t="str" cm="1">
        <f t="array" ref="I9112">_xlfn.XLOOKUP(FACT_IMPORTS[[#This Row],[country_name]],DIM_COUNTRY[[#All],[Column2]],DIM_COUNTRY[[#All],[Column3]],,,)</f>
        <v>USMCA</v>
      </c>
    </row>
    <row r="9113" spans="1:9" x14ac:dyDescent="0.4">
      <c r="A9113" t="s">
        <v>64</v>
      </c>
      <c r="B9113" s="1">
        <v>45047</v>
      </c>
      <c r="C9113">
        <v>840991</v>
      </c>
      <c r="D9113" t="s">
        <v>176</v>
      </c>
      <c r="E9113">
        <v>849826</v>
      </c>
      <c r="F9113">
        <v>70895</v>
      </c>
      <c r="G9113">
        <v>6742</v>
      </c>
      <c r="H9113">
        <f>_xlfn.XLOOKUP(FACT_IMPORTS[[#This Row],[hts_6]],DIM_PRODUCTS[hts_6],DIM_PRODUCTS[hts_4],,,)</f>
        <v>8409</v>
      </c>
      <c r="I9113" t="str" cm="1">
        <f t="array" ref="I9113">_xlfn.XLOOKUP(FACT_IMPORTS[[#This Row],[country_name]],DIM_COUNTRY[[#All],[Column2]],DIM_COUNTRY[[#All],[Column3]],,,)</f>
        <v>USMCA</v>
      </c>
    </row>
    <row r="9114" spans="1:9" x14ac:dyDescent="0.4">
      <c r="A9114" t="s">
        <v>64</v>
      </c>
      <c r="B9114" s="1">
        <v>45047</v>
      </c>
      <c r="C9114">
        <v>840999</v>
      </c>
      <c r="D9114" t="s">
        <v>176</v>
      </c>
      <c r="E9114">
        <v>116852</v>
      </c>
      <c r="F9114">
        <v>2922</v>
      </c>
      <c r="G9114">
        <v>1483</v>
      </c>
      <c r="H9114">
        <f>_xlfn.XLOOKUP(FACT_IMPORTS[[#This Row],[hts_6]],DIM_PRODUCTS[hts_6],DIM_PRODUCTS[hts_4],,,)</f>
        <v>8409</v>
      </c>
      <c r="I9114" t="str" cm="1">
        <f t="array" ref="I9114">_xlfn.XLOOKUP(FACT_IMPORTS[[#This Row],[country_name]],DIM_COUNTRY[[#All],[Column2]],DIM_COUNTRY[[#All],[Column3]],,,)</f>
        <v>USMCA</v>
      </c>
    </row>
    <row r="9115" spans="1:9" x14ac:dyDescent="0.4">
      <c r="A9115" t="s">
        <v>64</v>
      </c>
      <c r="B9115" s="1">
        <v>45047</v>
      </c>
      <c r="C9115">
        <v>841330</v>
      </c>
      <c r="D9115" t="s">
        <v>176</v>
      </c>
      <c r="E9115">
        <v>52947</v>
      </c>
      <c r="F9115">
        <v>147</v>
      </c>
      <c r="G9115">
        <v>261</v>
      </c>
      <c r="H9115">
        <f>_xlfn.XLOOKUP(FACT_IMPORTS[[#This Row],[hts_6]],DIM_PRODUCTS[hts_6],DIM_PRODUCTS[hts_4],,,)</f>
        <v>8413</v>
      </c>
      <c r="I9115" t="str" cm="1">
        <f t="array" ref="I9115">_xlfn.XLOOKUP(FACT_IMPORTS[[#This Row],[country_name]],DIM_COUNTRY[[#All],[Column2]],DIM_COUNTRY[[#All],[Column3]],,,)</f>
        <v>USMCA</v>
      </c>
    </row>
    <row r="9116" spans="1:9" x14ac:dyDescent="0.4">
      <c r="A9116" t="s">
        <v>64</v>
      </c>
      <c r="B9116" s="1">
        <v>45047</v>
      </c>
      <c r="C9116">
        <v>842132</v>
      </c>
      <c r="D9116" t="s">
        <v>176</v>
      </c>
      <c r="E9116">
        <v>183477</v>
      </c>
      <c r="F9116">
        <v>1154</v>
      </c>
      <c r="G9116">
        <v>4597</v>
      </c>
      <c r="H9116">
        <f>_xlfn.XLOOKUP(FACT_IMPORTS[[#This Row],[hts_6]],DIM_PRODUCTS[hts_6],DIM_PRODUCTS[hts_4],,,)</f>
        <v>8421</v>
      </c>
      <c r="I9116" t="str" cm="1">
        <f t="array" ref="I9116">_xlfn.XLOOKUP(FACT_IMPORTS[[#This Row],[country_name]],DIM_COUNTRY[[#All],[Column2]],DIM_COUNTRY[[#All],[Column3]],,,)</f>
        <v>USMCA</v>
      </c>
    </row>
    <row r="9117" spans="1:9" x14ac:dyDescent="0.4">
      <c r="A9117" t="s">
        <v>64</v>
      </c>
      <c r="B9117" s="1">
        <v>45047</v>
      </c>
      <c r="C9117">
        <v>848210</v>
      </c>
      <c r="D9117" t="s">
        <v>176</v>
      </c>
      <c r="E9117">
        <v>0</v>
      </c>
      <c r="F9117">
        <v>0</v>
      </c>
      <c r="G9117">
        <v>0</v>
      </c>
      <c r="H9117">
        <f>_xlfn.XLOOKUP(FACT_IMPORTS[[#This Row],[hts_6]],DIM_PRODUCTS[hts_6],DIM_PRODUCTS[hts_4],,,)</f>
        <v>8482</v>
      </c>
      <c r="I9117" t="str" cm="1">
        <f t="array" ref="I9117">_xlfn.XLOOKUP(FACT_IMPORTS[[#This Row],[country_name]],DIM_COUNTRY[[#All],[Column2]],DIM_COUNTRY[[#All],[Column3]],,,)</f>
        <v>USMCA</v>
      </c>
    </row>
    <row r="9118" spans="1:9" x14ac:dyDescent="0.4">
      <c r="A9118" t="s">
        <v>64</v>
      </c>
      <c r="B9118" s="1">
        <v>45047</v>
      </c>
      <c r="C9118">
        <v>848220</v>
      </c>
      <c r="D9118" t="s">
        <v>176</v>
      </c>
      <c r="E9118">
        <v>22431</v>
      </c>
      <c r="F9118">
        <v>265</v>
      </c>
      <c r="G9118">
        <v>239</v>
      </c>
      <c r="H9118">
        <f>_xlfn.XLOOKUP(FACT_IMPORTS[[#This Row],[hts_6]],DIM_PRODUCTS[hts_6],DIM_PRODUCTS[hts_4],,,)</f>
        <v>8482</v>
      </c>
      <c r="I9118" t="str" cm="1">
        <f t="array" ref="I9118">_xlfn.XLOOKUP(FACT_IMPORTS[[#This Row],[country_name]],DIM_COUNTRY[[#All],[Column2]],DIM_COUNTRY[[#All],[Column3]],,,)</f>
        <v>USMCA</v>
      </c>
    </row>
    <row r="9119" spans="1:9" x14ac:dyDescent="0.4">
      <c r="A9119" t="s">
        <v>64</v>
      </c>
      <c r="B9119" s="1">
        <v>45047</v>
      </c>
      <c r="C9119">
        <v>848310</v>
      </c>
      <c r="D9119" t="s">
        <v>176</v>
      </c>
      <c r="E9119">
        <v>5744</v>
      </c>
      <c r="F9119">
        <v>1004</v>
      </c>
      <c r="G9119">
        <v>13</v>
      </c>
      <c r="H9119">
        <f>_xlfn.XLOOKUP(FACT_IMPORTS[[#This Row],[hts_6]],DIM_PRODUCTS[hts_6],DIM_PRODUCTS[hts_4],,,)</f>
        <v>8483</v>
      </c>
      <c r="I9119" t="str" cm="1">
        <f t="array" ref="I9119">_xlfn.XLOOKUP(FACT_IMPORTS[[#This Row],[country_name]],DIM_COUNTRY[[#All],[Column2]],DIM_COUNTRY[[#All],[Column3]],,,)</f>
        <v>USMCA</v>
      </c>
    </row>
    <row r="9120" spans="1:9" x14ac:dyDescent="0.4">
      <c r="A9120" t="s">
        <v>64</v>
      </c>
      <c r="B9120" s="1">
        <v>45047</v>
      </c>
      <c r="C9120">
        <v>850131</v>
      </c>
      <c r="D9120" t="s">
        <v>176</v>
      </c>
      <c r="E9120">
        <v>21675</v>
      </c>
      <c r="F9120">
        <v>1996</v>
      </c>
      <c r="G9120">
        <v>80</v>
      </c>
      <c r="H9120">
        <f>_xlfn.XLOOKUP(FACT_IMPORTS[[#This Row],[hts_6]],DIM_PRODUCTS[hts_6],DIM_PRODUCTS[hts_4],,,)</f>
        <v>8501</v>
      </c>
      <c r="I9120" t="str" cm="1">
        <f t="array" ref="I9120">_xlfn.XLOOKUP(FACT_IMPORTS[[#This Row],[country_name]],DIM_COUNTRY[[#All],[Column2]],DIM_COUNTRY[[#All],[Column3]],,,)</f>
        <v>USMCA</v>
      </c>
    </row>
    <row r="9121" spans="1:9" x14ac:dyDescent="0.4">
      <c r="A9121" t="s">
        <v>64</v>
      </c>
      <c r="B9121" s="1">
        <v>45047</v>
      </c>
      <c r="C9121">
        <v>850132</v>
      </c>
      <c r="D9121" t="s">
        <v>176</v>
      </c>
      <c r="E9121">
        <v>0</v>
      </c>
      <c r="F9121">
        <v>0</v>
      </c>
      <c r="G9121">
        <v>0</v>
      </c>
      <c r="H9121">
        <f>_xlfn.XLOOKUP(FACT_IMPORTS[[#This Row],[hts_6]],DIM_PRODUCTS[hts_6],DIM_PRODUCTS[hts_4],,,)</f>
        <v>8501</v>
      </c>
      <c r="I9121" t="str" cm="1">
        <f t="array" ref="I9121">_xlfn.XLOOKUP(FACT_IMPORTS[[#This Row],[country_name]],DIM_COUNTRY[[#All],[Column2]],DIM_COUNTRY[[#All],[Column3]],,,)</f>
        <v>USMCA</v>
      </c>
    </row>
    <row r="9122" spans="1:9" x14ac:dyDescent="0.4">
      <c r="A9122" t="s">
        <v>64</v>
      </c>
      <c r="B9122" s="1">
        <v>45047</v>
      </c>
      <c r="C9122">
        <v>850133</v>
      </c>
      <c r="D9122" t="s">
        <v>176</v>
      </c>
      <c r="E9122">
        <v>0</v>
      </c>
      <c r="F9122">
        <v>0</v>
      </c>
      <c r="G9122">
        <v>0</v>
      </c>
      <c r="H9122">
        <f>_xlfn.XLOOKUP(FACT_IMPORTS[[#This Row],[hts_6]],DIM_PRODUCTS[hts_6],DIM_PRODUCTS[hts_4],,,)</f>
        <v>8501</v>
      </c>
      <c r="I9122" t="str" cm="1">
        <f t="array" ref="I9122">_xlfn.XLOOKUP(FACT_IMPORTS[[#This Row],[country_name]],DIM_COUNTRY[[#All],[Column2]],DIM_COUNTRY[[#All],[Column3]],,,)</f>
        <v>USMCA</v>
      </c>
    </row>
    <row r="9123" spans="1:9" x14ac:dyDescent="0.4">
      <c r="A9123" t="s">
        <v>64</v>
      </c>
      <c r="B9123" s="1">
        <v>45047</v>
      </c>
      <c r="C9123">
        <v>850134</v>
      </c>
      <c r="D9123" t="s">
        <v>176</v>
      </c>
      <c r="E9123">
        <v>0</v>
      </c>
      <c r="F9123">
        <v>0</v>
      </c>
      <c r="G9123">
        <v>0</v>
      </c>
      <c r="H9123">
        <f>_xlfn.XLOOKUP(FACT_IMPORTS[[#This Row],[hts_6]],DIM_PRODUCTS[hts_6],DIM_PRODUCTS[hts_4],,,)</f>
        <v>8501</v>
      </c>
      <c r="I9123" t="str" cm="1">
        <f t="array" ref="I9123">_xlfn.XLOOKUP(FACT_IMPORTS[[#This Row],[country_name]],DIM_COUNTRY[[#All],[Column2]],DIM_COUNTRY[[#All],[Column3]],,,)</f>
        <v>USMCA</v>
      </c>
    </row>
    <row r="9124" spans="1:9" x14ac:dyDescent="0.4">
      <c r="A9124" t="s">
        <v>64</v>
      </c>
      <c r="B9124" s="1">
        <v>45047</v>
      </c>
      <c r="C9124">
        <v>850152</v>
      </c>
      <c r="D9124" t="s">
        <v>176</v>
      </c>
      <c r="E9124">
        <v>49664</v>
      </c>
      <c r="F9124">
        <v>39</v>
      </c>
      <c r="G9124">
        <v>1816</v>
      </c>
      <c r="H9124">
        <f>_xlfn.XLOOKUP(FACT_IMPORTS[[#This Row],[hts_6]],DIM_PRODUCTS[hts_6],DIM_PRODUCTS[hts_4],,,)</f>
        <v>8501</v>
      </c>
      <c r="I9124" t="str" cm="1">
        <f t="array" ref="I9124">_xlfn.XLOOKUP(FACT_IMPORTS[[#This Row],[country_name]],DIM_COUNTRY[[#All],[Column2]],DIM_COUNTRY[[#All],[Column3]],,,)</f>
        <v>USMCA</v>
      </c>
    </row>
    <row r="9125" spans="1:9" x14ac:dyDescent="0.4">
      <c r="A9125" t="s">
        <v>64</v>
      </c>
      <c r="B9125" s="1">
        <v>45047</v>
      </c>
      <c r="C9125">
        <v>850153</v>
      </c>
      <c r="D9125" t="s">
        <v>176</v>
      </c>
      <c r="E9125">
        <v>0</v>
      </c>
      <c r="F9125">
        <v>0</v>
      </c>
      <c r="G9125">
        <v>0</v>
      </c>
      <c r="H9125">
        <f>_xlfn.XLOOKUP(FACT_IMPORTS[[#This Row],[hts_6]],DIM_PRODUCTS[hts_6],DIM_PRODUCTS[hts_4],,,)</f>
        <v>8501</v>
      </c>
      <c r="I9125" t="str" cm="1">
        <f t="array" ref="I9125">_xlfn.XLOOKUP(FACT_IMPORTS[[#This Row],[country_name]],DIM_COUNTRY[[#All],[Column2]],DIM_COUNTRY[[#All],[Column3]],,,)</f>
        <v>USMCA</v>
      </c>
    </row>
    <row r="9126" spans="1:9" x14ac:dyDescent="0.4">
      <c r="A9126" t="s">
        <v>64</v>
      </c>
      <c r="B9126" s="1">
        <v>45047</v>
      </c>
      <c r="C9126">
        <v>850161</v>
      </c>
      <c r="D9126" t="s">
        <v>176</v>
      </c>
      <c r="E9126">
        <v>0</v>
      </c>
      <c r="F9126">
        <v>0</v>
      </c>
      <c r="G9126">
        <v>0</v>
      </c>
      <c r="H9126">
        <f>_xlfn.XLOOKUP(FACT_IMPORTS[[#This Row],[hts_6]],DIM_PRODUCTS[hts_6],DIM_PRODUCTS[hts_4],,,)</f>
        <v>8501</v>
      </c>
      <c r="I9126" t="str" cm="1">
        <f t="array" ref="I9126">_xlfn.XLOOKUP(FACT_IMPORTS[[#This Row],[country_name]],DIM_COUNTRY[[#All],[Column2]],DIM_COUNTRY[[#All],[Column3]],,,)</f>
        <v>USMCA</v>
      </c>
    </row>
    <row r="9127" spans="1:9" x14ac:dyDescent="0.4">
      <c r="A9127" t="s">
        <v>64</v>
      </c>
      <c r="B9127" s="1">
        <v>45047</v>
      </c>
      <c r="C9127">
        <v>850440</v>
      </c>
      <c r="D9127" t="s">
        <v>176</v>
      </c>
      <c r="E9127">
        <v>89039</v>
      </c>
      <c r="F9127">
        <v>4071</v>
      </c>
      <c r="G9127">
        <v>863</v>
      </c>
      <c r="H9127">
        <f>_xlfn.XLOOKUP(FACT_IMPORTS[[#This Row],[hts_6]],DIM_PRODUCTS[hts_6],DIM_PRODUCTS[hts_4],,,)</f>
        <v>8504</v>
      </c>
      <c r="I9127" t="str" cm="1">
        <f t="array" ref="I9127">_xlfn.XLOOKUP(FACT_IMPORTS[[#This Row],[country_name]],DIM_COUNTRY[[#All],[Column2]],DIM_COUNTRY[[#All],[Column3]],,,)</f>
        <v>USMCA</v>
      </c>
    </row>
    <row r="9128" spans="1:9" x14ac:dyDescent="0.4">
      <c r="A9128" t="s">
        <v>64</v>
      </c>
      <c r="B9128" s="1">
        <v>45047</v>
      </c>
      <c r="C9128">
        <v>850710</v>
      </c>
      <c r="D9128" t="s">
        <v>176</v>
      </c>
      <c r="E9128">
        <v>0</v>
      </c>
      <c r="F9128">
        <v>0</v>
      </c>
      <c r="G9128">
        <v>0</v>
      </c>
      <c r="H9128">
        <f>_xlfn.XLOOKUP(FACT_IMPORTS[[#This Row],[hts_6]],DIM_PRODUCTS[hts_6],DIM_PRODUCTS[hts_4],,,)</f>
        <v>8507</v>
      </c>
      <c r="I9128" t="str" cm="1">
        <f t="array" ref="I9128">_xlfn.XLOOKUP(FACT_IMPORTS[[#This Row],[country_name]],DIM_COUNTRY[[#All],[Column2]],DIM_COUNTRY[[#All],[Column3]],,,)</f>
        <v>USMCA</v>
      </c>
    </row>
    <row r="9129" spans="1:9" x14ac:dyDescent="0.4">
      <c r="A9129" t="s">
        <v>64</v>
      </c>
      <c r="B9129" s="1">
        <v>45047</v>
      </c>
      <c r="C9129">
        <v>850760</v>
      </c>
      <c r="D9129" t="s">
        <v>176</v>
      </c>
      <c r="E9129">
        <v>0</v>
      </c>
      <c r="F9129">
        <v>0</v>
      </c>
      <c r="G9129">
        <v>0</v>
      </c>
      <c r="H9129">
        <f>_xlfn.XLOOKUP(FACT_IMPORTS[[#This Row],[hts_6]],DIM_PRODUCTS[hts_6],DIM_PRODUCTS[hts_4],,,)</f>
        <v>8507</v>
      </c>
      <c r="I9129" t="str" cm="1">
        <f t="array" ref="I9129">_xlfn.XLOOKUP(FACT_IMPORTS[[#This Row],[country_name]],DIM_COUNTRY[[#All],[Column2]],DIM_COUNTRY[[#All],[Column3]],,,)</f>
        <v>USMCA</v>
      </c>
    </row>
    <row r="9130" spans="1:9" x14ac:dyDescent="0.4">
      <c r="A9130" t="s">
        <v>64</v>
      </c>
      <c r="B9130" s="1">
        <v>45047</v>
      </c>
      <c r="C9130">
        <v>850790</v>
      </c>
      <c r="D9130" t="s">
        <v>176</v>
      </c>
      <c r="E9130">
        <v>0</v>
      </c>
      <c r="F9130">
        <v>0</v>
      </c>
      <c r="G9130">
        <v>0</v>
      </c>
      <c r="H9130">
        <f>_xlfn.XLOOKUP(FACT_IMPORTS[[#This Row],[hts_6]],DIM_PRODUCTS[hts_6],DIM_PRODUCTS[hts_4],,,)</f>
        <v>8507</v>
      </c>
      <c r="I9130" t="str" cm="1">
        <f t="array" ref="I9130">_xlfn.XLOOKUP(FACT_IMPORTS[[#This Row],[country_name]],DIM_COUNTRY[[#All],[Column2]],DIM_COUNTRY[[#All],[Column3]],,,)</f>
        <v>USMCA</v>
      </c>
    </row>
    <row r="9131" spans="1:9" x14ac:dyDescent="0.4">
      <c r="A9131" t="s">
        <v>64</v>
      </c>
      <c r="B9131" s="1">
        <v>45047</v>
      </c>
      <c r="C9131">
        <v>851110</v>
      </c>
      <c r="D9131" t="s">
        <v>176</v>
      </c>
      <c r="E9131">
        <v>0</v>
      </c>
      <c r="F9131">
        <v>0</v>
      </c>
      <c r="G9131">
        <v>0</v>
      </c>
      <c r="H9131">
        <f>_xlfn.XLOOKUP(FACT_IMPORTS[[#This Row],[hts_6]],DIM_PRODUCTS[hts_6],DIM_PRODUCTS[hts_4],,,)</f>
        <v>8511</v>
      </c>
      <c r="I9131" t="str" cm="1">
        <f t="array" ref="I9131">_xlfn.XLOOKUP(FACT_IMPORTS[[#This Row],[country_name]],DIM_COUNTRY[[#All],[Column2]],DIM_COUNTRY[[#All],[Column3]],,,)</f>
        <v>USMCA</v>
      </c>
    </row>
    <row r="9132" spans="1:9" x14ac:dyDescent="0.4">
      <c r="A9132" t="s">
        <v>64</v>
      </c>
      <c r="B9132" s="1">
        <v>45047</v>
      </c>
      <c r="C9132">
        <v>851130</v>
      </c>
      <c r="D9132" t="s">
        <v>176</v>
      </c>
      <c r="E9132">
        <v>0</v>
      </c>
      <c r="F9132">
        <v>0</v>
      </c>
      <c r="G9132">
        <v>0</v>
      </c>
      <c r="H9132">
        <f>_xlfn.XLOOKUP(FACT_IMPORTS[[#This Row],[hts_6]],DIM_PRODUCTS[hts_6],DIM_PRODUCTS[hts_4],,,)</f>
        <v>8511</v>
      </c>
      <c r="I9132" t="str" cm="1">
        <f t="array" ref="I9132">_xlfn.XLOOKUP(FACT_IMPORTS[[#This Row],[country_name]],DIM_COUNTRY[[#All],[Column2]],DIM_COUNTRY[[#All],[Column3]],,,)</f>
        <v>USMCA</v>
      </c>
    </row>
    <row r="9133" spans="1:9" x14ac:dyDescent="0.4">
      <c r="A9133" t="s">
        <v>64</v>
      </c>
      <c r="B9133" s="1">
        <v>45047</v>
      </c>
      <c r="C9133">
        <v>851140</v>
      </c>
      <c r="D9133" t="s">
        <v>176</v>
      </c>
      <c r="E9133">
        <v>4830</v>
      </c>
      <c r="F9133">
        <v>14</v>
      </c>
      <c r="G9133">
        <v>73</v>
      </c>
      <c r="H9133">
        <f>_xlfn.XLOOKUP(FACT_IMPORTS[[#This Row],[hts_6]],DIM_PRODUCTS[hts_6],DIM_PRODUCTS[hts_4],,,)</f>
        <v>8511</v>
      </c>
      <c r="I9133" t="str" cm="1">
        <f t="array" ref="I9133">_xlfn.XLOOKUP(FACT_IMPORTS[[#This Row],[country_name]],DIM_COUNTRY[[#All],[Column2]],DIM_COUNTRY[[#All],[Column3]],,,)</f>
        <v>USMCA</v>
      </c>
    </row>
    <row r="9134" spans="1:9" x14ac:dyDescent="0.4">
      <c r="A9134" t="s">
        <v>64</v>
      </c>
      <c r="B9134" s="1">
        <v>45047</v>
      </c>
      <c r="C9134">
        <v>851150</v>
      </c>
      <c r="D9134" t="s">
        <v>176</v>
      </c>
      <c r="E9134">
        <v>4438</v>
      </c>
      <c r="F9134">
        <v>135</v>
      </c>
      <c r="G9134">
        <v>50</v>
      </c>
      <c r="H9134">
        <f>_xlfn.XLOOKUP(FACT_IMPORTS[[#This Row],[hts_6]],DIM_PRODUCTS[hts_6],DIM_PRODUCTS[hts_4],,,)</f>
        <v>8511</v>
      </c>
      <c r="I9134" t="str" cm="1">
        <f t="array" ref="I9134">_xlfn.XLOOKUP(FACT_IMPORTS[[#This Row],[country_name]],DIM_COUNTRY[[#All],[Column2]],DIM_COUNTRY[[#All],[Column3]],,,)</f>
        <v>USMCA</v>
      </c>
    </row>
    <row r="9135" spans="1:9" x14ac:dyDescent="0.4">
      <c r="A9135" t="s">
        <v>64</v>
      </c>
      <c r="B9135" s="1">
        <v>45047</v>
      </c>
      <c r="C9135">
        <v>851180</v>
      </c>
      <c r="D9135" t="s">
        <v>176</v>
      </c>
      <c r="E9135">
        <v>7983</v>
      </c>
      <c r="F9135">
        <v>498</v>
      </c>
      <c r="G9135">
        <v>14</v>
      </c>
      <c r="H9135">
        <f>_xlfn.XLOOKUP(FACT_IMPORTS[[#This Row],[hts_6]],DIM_PRODUCTS[hts_6],DIM_PRODUCTS[hts_4],,,)</f>
        <v>8511</v>
      </c>
      <c r="I9135" t="str" cm="1">
        <f t="array" ref="I9135">_xlfn.XLOOKUP(FACT_IMPORTS[[#This Row],[country_name]],DIM_COUNTRY[[#All],[Column2]],DIM_COUNTRY[[#All],[Column3]],,,)</f>
        <v>USMCA</v>
      </c>
    </row>
    <row r="9136" spans="1:9" x14ac:dyDescent="0.4">
      <c r="A9136" t="s">
        <v>64</v>
      </c>
      <c r="B9136" s="1">
        <v>45047</v>
      </c>
      <c r="C9136">
        <v>851190</v>
      </c>
      <c r="D9136" t="s">
        <v>176</v>
      </c>
      <c r="E9136">
        <v>0</v>
      </c>
      <c r="F9136">
        <v>0</v>
      </c>
      <c r="G9136">
        <v>0</v>
      </c>
      <c r="H9136">
        <f>_xlfn.XLOOKUP(FACT_IMPORTS[[#This Row],[hts_6]],DIM_PRODUCTS[hts_6],DIM_PRODUCTS[hts_4],,,)</f>
        <v>8511</v>
      </c>
      <c r="I9136" t="str" cm="1">
        <f t="array" ref="I9136">_xlfn.XLOOKUP(FACT_IMPORTS[[#This Row],[country_name]],DIM_COUNTRY[[#All],[Column2]],DIM_COUNTRY[[#All],[Column3]],,,)</f>
        <v>USMCA</v>
      </c>
    </row>
    <row r="9137" spans="1:9" x14ac:dyDescent="0.4">
      <c r="A9137" t="s">
        <v>64</v>
      </c>
      <c r="B9137" s="1">
        <v>45047</v>
      </c>
      <c r="C9137">
        <v>851220</v>
      </c>
      <c r="D9137" t="s">
        <v>176</v>
      </c>
      <c r="E9137">
        <v>265295</v>
      </c>
      <c r="F9137">
        <v>2658</v>
      </c>
      <c r="G9137">
        <v>1911</v>
      </c>
      <c r="H9137">
        <f>_xlfn.XLOOKUP(FACT_IMPORTS[[#This Row],[hts_6]],DIM_PRODUCTS[hts_6],DIM_PRODUCTS[hts_4],,,)</f>
        <v>8512</v>
      </c>
      <c r="I9137" t="str" cm="1">
        <f t="array" ref="I9137">_xlfn.XLOOKUP(FACT_IMPORTS[[#This Row],[country_name]],DIM_COUNTRY[[#All],[Column2]],DIM_COUNTRY[[#All],[Column3]],,,)</f>
        <v>USMCA</v>
      </c>
    </row>
    <row r="9138" spans="1:9" x14ac:dyDescent="0.4">
      <c r="A9138" t="s">
        <v>64</v>
      </c>
      <c r="B9138" s="1">
        <v>45047</v>
      </c>
      <c r="C9138">
        <v>851230</v>
      </c>
      <c r="D9138" t="s">
        <v>176</v>
      </c>
      <c r="E9138">
        <v>0</v>
      </c>
      <c r="F9138">
        <v>0</v>
      </c>
      <c r="G9138">
        <v>0</v>
      </c>
      <c r="H9138">
        <f>_xlfn.XLOOKUP(FACT_IMPORTS[[#This Row],[hts_6]],DIM_PRODUCTS[hts_6],DIM_PRODUCTS[hts_4],,,)</f>
        <v>8512</v>
      </c>
      <c r="I9138" t="str" cm="1">
        <f t="array" ref="I9138">_xlfn.XLOOKUP(FACT_IMPORTS[[#This Row],[country_name]],DIM_COUNTRY[[#All],[Column2]],DIM_COUNTRY[[#All],[Column3]],,,)</f>
        <v>USMCA</v>
      </c>
    </row>
    <row r="9139" spans="1:9" x14ac:dyDescent="0.4">
      <c r="A9139" t="s">
        <v>64</v>
      </c>
      <c r="B9139" s="1">
        <v>45047</v>
      </c>
      <c r="C9139">
        <v>851240</v>
      </c>
      <c r="D9139" t="s">
        <v>176</v>
      </c>
      <c r="E9139">
        <v>0</v>
      </c>
      <c r="F9139">
        <v>0</v>
      </c>
      <c r="G9139">
        <v>0</v>
      </c>
      <c r="H9139">
        <f>_xlfn.XLOOKUP(FACT_IMPORTS[[#This Row],[hts_6]],DIM_PRODUCTS[hts_6],DIM_PRODUCTS[hts_4],,,)</f>
        <v>8512</v>
      </c>
      <c r="I9139" t="str" cm="1">
        <f t="array" ref="I9139">_xlfn.XLOOKUP(FACT_IMPORTS[[#This Row],[country_name]],DIM_COUNTRY[[#All],[Column2]],DIM_COUNTRY[[#All],[Column3]],,,)</f>
        <v>USMCA</v>
      </c>
    </row>
    <row r="9140" spans="1:9" x14ac:dyDescent="0.4">
      <c r="A9140" t="s">
        <v>64</v>
      </c>
      <c r="B9140" s="1">
        <v>45047</v>
      </c>
      <c r="C9140">
        <v>851290</v>
      </c>
      <c r="D9140" t="s">
        <v>176</v>
      </c>
      <c r="E9140">
        <v>297738</v>
      </c>
      <c r="F9140">
        <v>25104</v>
      </c>
      <c r="G9140">
        <v>627</v>
      </c>
      <c r="H9140">
        <f>_xlfn.XLOOKUP(FACT_IMPORTS[[#This Row],[hts_6]],DIM_PRODUCTS[hts_6],DIM_PRODUCTS[hts_4],,,)</f>
        <v>8512</v>
      </c>
      <c r="I9140" t="str" cm="1">
        <f t="array" ref="I9140">_xlfn.XLOOKUP(FACT_IMPORTS[[#This Row],[country_name]],DIM_COUNTRY[[#All],[Column2]],DIM_COUNTRY[[#All],[Column3]],,,)</f>
        <v>USMCA</v>
      </c>
    </row>
    <row r="9141" spans="1:9" x14ac:dyDescent="0.4">
      <c r="A9141" t="s">
        <v>64</v>
      </c>
      <c r="B9141" s="1">
        <v>45047</v>
      </c>
      <c r="C9141">
        <v>854231</v>
      </c>
      <c r="D9141" t="s">
        <v>176</v>
      </c>
      <c r="E9141">
        <v>0</v>
      </c>
      <c r="F9141">
        <v>0</v>
      </c>
      <c r="G9141">
        <v>0</v>
      </c>
      <c r="H9141">
        <f>_xlfn.XLOOKUP(FACT_IMPORTS[[#This Row],[hts_6]],DIM_PRODUCTS[hts_6],DIM_PRODUCTS[hts_4],,,)</f>
        <v>8542</v>
      </c>
      <c r="I9141" t="str" cm="1">
        <f t="array" ref="I9141">_xlfn.XLOOKUP(FACT_IMPORTS[[#This Row],[country_name]],DIM_COUNTRY[[#All],[Column2]],DIM_COUNTRY[[#All],[Column3]],,,)</f>
        <v>USMCA</v>
      </c>
    </row>
    <row r="9142" spans="1:9" x14ac:dyDescent="0.4">
      <c r="A9142" t="s">
        <v>64</v>
      </c>
      <c r="B9142" s="1">
        <v>45047</v>
      </c>
      <c r="C9142">
        <v>854232</v>
      </c>
      <c r="D9142" t="s">
        <v>176</v>
      </c>
      <c r="E9142">
        <v>2264</v>
      </c>
      <c r="F9142">
        <v>98</v>
      </c>
      <c r="G9142">
        <v>1</v>
      </c>
      <c r="H9142">
        <f>_xlfn.XLOOKUP(FACT_IMPORTS[[#This Row],[hts_6]],DIM_PRODUCTS[hts_6],DIM_PRODUCTS[hts_4],,,)</f>
        <v>8542</v>
      </c>
      <c r="I9142" t="str" cm="1">
        <f t="array" ref="I9142">_xlfn.XLOOKUP(FACT_IMPORTS[[#This Row],[country_name]],DIM_COUNTRY[[#All],[Column2]],DIM_COUNTRY[[#All],[Column3]],,,)</f>
        <v>USMCA</v>
      </c>
    </row>
    <row r="9143" spans="1:9" x14ac:dyDescent="0.4">
      <c r="A9143" t="s">
        <v>64</v>
      </c>
      <c r="B9143" s="1">
        <v>45047</v>
      </c>
      <c r="C9143">
        <v>854290</v>
      </c>
      <c r="D9143" t="s">
        <v>176</v>
      </c>
      <c r="E9143">
        <v>6000</v>
      </c>
      <c r="F9143">
        <v>10</v>
      </c>
      <c r="G9143">
        <v>40</v>
      </c>
      <c r="H9143">
        <f>_xlfn.XLOOKUP(FACT_IMPORTS[[#This Row],[hts_6]],DIM_PRODUCTS[hts_6],DIM_PRODUCTS[hts_4],,,)</f>
        <v>8542</v>
      </c>
      <c r="I9143" t="str" cm="1">
        <f t="array" ref="I9143">_xlfn.XLOOKUP(FACT_IMPORTS[[#This Row],[country_name]],DIM_COUNTRY[[#All],[Column2]],DIM_COUNTRY[[#All],[Column3]],,,)</f>
        <v>USMCA</v>
      </c>
    </row>
    <row r="9144" spans="1:9" x14ac:dyDescent="0.4">
      <c r="A9144" t="s">
        <v>64</v>
      </c>
      <c r="B9144" s="1">
        <v>45047</v>
      </c>
      <c r="C9144">
        <v>854430</v>
      </c>
      <c r="D9144" t="s">
        <v>176</v>
      </c>
      <c r="E9144">
        <v>1200281</v>
      </c>
      <c r="F9144">
        <v>107975</v>
      </c>
      <c r="G9144">
        <v>7769</v>
      </c>
      <c r="H9144">
        <f>_xlfn.XLOOKUP(FACT_IMPORTS[[#This Row],[hts_6]],DIM_PRODUCTS[hts_6],DIM_PRODUCTS[hts_4],,,)</f>
        <v>8544</v>
      </c>
      <c r="I9144" t="str" cm="1">
        <f t="array" ref="I9144">_xlfn.XLOOKUP(FACT_IMPORTS[[#This Row],[country_name]],DIM_COUNTRY[[#All],[Column2]],DIM_COUNTRY[[#All],[Column3]],,,)</f>
        <v>USMCA</v>
      </c>
    </row>
    <row r="9145" spans="1:9" x14ac:dyDescent="0.4">
      <c r="A9145" t="s">
        <v>64</v>
      </c>
      <c r="B9145" s="1">
        <v>45047</v>
      </c>
      <c r="C9145">
        <v>870810</v>
      </c>
      <c r="D9145" t="s">
        <v>176</v>
      </c>
      <c r="E9145">
        <v>54240</v>
      </c>
      <c r="F9145">
        <v>304</v>
      </c>
      <c r="G9145">
        <v>345</v>
      </c>
      <c r="H9145">
        <f>_xlfn.XLOOKUP(FACT_IMPORTS[[#This Row],[hts_6]],DIM_PRODUCTS[hts_6],DIM_PRODUCTS[hts_4],,,)</f>
        <v>8708</v>
      </c>
      <c r="I9145" t="str" cm="1">
        <f t="array" ref="I9145">_xlfn.XLOOKUP(FACT_IMPORTS[[#This Row],[country_name]],DIM_COUNTRY[[#All],[Column2]],DIM_COUNTRY[[#All],[Column3]],,,)</f>
        <v>USMCA</v>
      </c>
    </row>
    <row r="9146" spans="1:9" x14ac:dyDescent="0.4">
      <c r="A9146" t="s">
        <v>64</v>
      </c>
      <c r="B9146" s="1">
        <v>45047</v>
      </c>
      <c r="C9146">
        <v>870821</v>
      </c>
      <c r="D9146" t="s">
        <v>176</v>
      </c>
      <c r="E9146">
        <v>2046</v>
      </c>
      <c r="F9146">
        <v>123</v>
      </c>
      <c r="G9146">
        <v>93</v>
      </c>
      <c r="H9146">
        <f>_xlfn.XLOOKUP(FACT_IMPORTS[[#This Row],[hts_6]],DIM_PRODUCTS[hts_6],DIM_PRODUCTS[hts_4],,,)</f>
        <v>8708</v>
      </c>
      <c r="I9146" t="str" cm="1">
        <f t="array" ref="I9146">_xlfn.XLOOKUP(FACT_IMPORTS[[#This Row],[country_name]],DIM_COUNTRY[[#All],[Column2]],DIM_COUNTRY[[#All],[Column3]],,,)</f>
        <v>USMCA</v>
      </c>
    </row>
    <row r="9147" spans="1:9" x14ac:dyDescent="0.4">
      <c r="A9147" t="s">
        <v>64</v>
      </c>
      <c r="B9147" s="1">
        <v>45047</v>
      </c>
      <c r="C9147">
        <v>870822</v>
      </c>
      <c r="D9147" t="s">
        <v>176</v>
      </c>
      <c r="E9147">
        <v>12380</v>
      </c>
      <c r="F9147">
        <v>40</v>
      </c>
      <c r="G9147">
        <v>137</v>
      </c>
      <c r="H9147">
        <f>_xlfn.XLOOKUP(FACT_IMPORTS[[#This Row],[hts_6]],DIM_PRODUCTS[hts_6],DIM_PRODUCTS[hts_4],,,)</f>
        <v>8708</v>
      </c>
      <c r="I9147" t="str" cm="1">
        <f t="array" ref="I9147">_xlfn.XLOOKUP(FACT_IMPORTS[[#This Row],[country_name]],DIM_COUNTRY[[#All],[Column2]],DIM_COUNTRY[[#All],[Column3]],,,)</f>
        <v>USMCA</v>
      </c>
    </row>
    <row r="9148" spans="1:9" x14ac:dyDescent="0.4">
      <c r="A9148" t="s">
        <v>64</v>
      </c>
      <c r="B9148" s="1">
        <v>45047</v>
      </c>
      <c r="C9148">
        <v>870829</v>
      </c>
      <c r="D9148" t="s">
        <v>176</v>
      </c>
      <c r="E9148">
        <v>982234</v>
      </c>
      <c r="F9148">
        <v>13722</v>
      </c>
      <c r="G9148">
        <v>15913</v>
      </c>
      <c r="H9148">
        <f>_xlfn.XLOOKUP(FACT_IMPORTS[[#This Row],[hts_6]],DIM_PRODUCTS[hts_6],DIM_PRODUCTS[hts_4],,,)</f>
        <v>8708</v>
      </c>
      <c r="I9148" t="str" cm="1">
        <f t="array" ref="I9148">_xlfn.XLOOKUP(FACT_IMPORTS[[#This Row],[country_name]],DIM_COUNTRY[[#All],[Column2]],DIM_COUNTRY[[#All],[Column3]],,,)</f>
        <v>USMCA</v>
      </c>
    </row>
    <row r="9149" spans="1:9" x14ac:dyDescent="0.4">
      <c r="A9149" t="s">
        <v>64</v>
      </c>
      <c r="B9149" s="1">
        <v>45047</v>
      </c>
      <c r="C9149">
        <v>870830</v>
      </c>
      <c r="D9149" t="s">
        <v>176</v>
      </c>
      <c r="E9149">
        <v>225331</v>
      </c>
      <c r="F9149">
        <v>4094</v>
      </c>
      <c r="G9149">
        <v>929</v>
      </c>
      <c r="H9149">
        <f>_xlfn.XLOOKUP(FACT_IMPORTS[[#This Row],[hts_6]],DIM_PRODUCTS[hts_6],DIM_PRODUCTS[hts_4],,,)</f>
        <v>8708</v>
      </c>
      <c r="I9149" t="str" cm="1">
        <f t="array" ref="I9149">_xlfn.XLOOKUP(FACT_IMPORTS[[#This Row],[country_name]],DIM_COUNTRY[[#All],[Column2]],DIM_COUNTRY[[#All],[Column3]],,,)</f>
        <v>USMCA</v>
      </c>
    </row>
    <row r="9150" spans="1:9" x14ac:dyDescent="0.4">
      <c r="A9150" t="s">
        <v>64</v>
      </c>
      <c r="B9150" s="1">
        <v>45047</v>
      </c>
      <c r="C9150">
        <v>870840</v>
      </c>
      <c r="D9150" t="s">
        <v>176</v>
      </c>
      <c r="E9150">
        <v>97507</v>
      </c>
      <c r="F9150">
        <v>10338</v>
      </c>
      <c r="G9150">
        <v>3911</v>
      </c>
      <c r="H9150">
        <f>_xlfn.XLOOKUP(FACT_IMPORTS[[#This Row],[hts_6]],DIM_PRODUCTS[hts_6],DIM_PRODUCTS[hts_4],,,)</f>
        <v>8708</v>
      </c>
      <c r="I9150" t="str" cm="1">
        <f t="array" ref="I9150">_xlfn.XLOOKUP(FACT_IMPORTS[[#This Row],[country_name]],DIM_COUNTRY[[#All],[Column2]],DIM_COUNTRY[[#All],[Column3]],,,)</f>
        <v>USMCA</v>
      </c>
    </row>
    <row r="9151" spans="1:9" x14ac:dyDescent="0.4">
      <c r="A9151" t="s">
        <v>64</v>
      </c>
      <c r="B9151" s="1">
        <v>45047</v>
      </c>
      <c r="C9151">
        <v>870850</v>
      </c>
      <c r="D9151" t="s">
        <v>176</v>
      </c>
      <c r="E9151">
        <v>106417</v>
      </c>
      <c r="F9151">
        <v>769</v>
      </c>
      <c r="G9151">
        <v>3880</v>
      </c>
      <c r="H9151">
        <f>_xlfn.XLOOKUP(FACT_IMPORTS[[#This Row],[hts_6]],DIM_PRODUCTS[hts_6],DIM_PRODUCTS[hts_4],,,)</f>
        <v>8708</v>
      </c>
      <c r="I9151" t="str" cm="1">
        <f t="array" ref="I9151">_xlfn.XLOOKUP(FACT_IMPORTS[[#This Row],[country_name]],DIM_COUNTRY[[#All],[Column2]],DIM_COUNTRY[[#All],[Column3]],,,)</f>
        <v>USMCA</v>
      </c>
    </row>
    <row r="9152" spans="1:9" x14ac:dyDescent="0.4">
      <c r="A9152" t="s">
        <v>64</v>
      </c>
      <c r="B9152" s="1">
        <v>45047</v>
      </c>
      <c r="C9152">
        <v>870870</v>
      </c>
      <c r="D9152" t="s">
        <v>176</v>
      </c>
      <c r="E9152">
        <v>326289</v>
      </c>
      <c r="F9152">
        <v>8378</v>
      </c>
      <c r="G9152">
        <v>7124</v>
      </c>
      <c r="H9152">
        <f>_xlfn.XLOOKUP(FACT_IMPORTS[[#This Row],[hts_6]],DIM_PRODUCTS[hts_6],DIM_PRODUCTS[hts_4],,,)</f>
        <v>8708</v>
      </c>
      <c r="I9152" t="str" cm="1">
        <f t="array" ref="I9152">_xlfn.XLOOKUP(FACT_IMPORTS[[#This Row],[country_name]],DIM_COUNTRY[[#All],[Column2]],DIM_COUNTRY[[#All],[Column3]],,,)</f>
        <v>USMCA</v>
      </c>
    </row>
    <row r="9153" spans="1:9" x14ac:dyDescent="0.4">
      <c r="A9153" t="s">
        <v>64</v>
      </c>
      <c r="B9153" s="1">
        <v>45047</v>
      </c>
      <c r="C9153">
        <v>870880</v>
      </c>
      <c r="D9153" t="s">
        <v>176</v>
      </c>
      <c r="E9153">
        <v>27211</v>
      </c>
      <c r="F9153">
        <v>3103</v>
      </c>
      <c r="G9153">
        <v>729</v>
      </c>
      <c r="H9153">
        <f>_xlfn.XLOOKUP(FACT_IMPORTS[[#This Row],[hts_6]],DIM_PRODUCTS[hts_6],DIM_PRODUCTS[hts_4],,,)</f>
        <v>8708</v>
      </c>
      <c r="I9153" t="str" cm="1">
        <f t="array" ref="I9153">_xlfn.XLOOKUP(FACT_IMPORTS[[#This Row],[country_name]],DIM_COUNTRY[[#All],[Column2]],DIM_COUNTRY[[#All],[Column3]],,,)</f>
        <v>USMCA</v>
      </c>
    </row>
    <row r="9154" spans="1:9" x14ac:dyDescent="0.4">
      <c r="A9154" t="s">
        <v>64</v>
      </c>
      <c r="B9154" s="1">
        <v>45047</v>
      </c>
      <c r="C9154">
        <v>870891</v>
      </c>
      <c r="D9154" t="s">
        <v>176</v>
      </c>
      <c r="E9154">
        <v>55033</v>
      </c>
      <c r="F9154">
        <v>369</v>
      </c>
      <c r="G9154">
        <v>379</v>
      </c>
      <c r="H9154">
        <f>_xlfn.XLOOKUP(FACT_IMPORTS[[#This Row],[hts_6]],DIM_PRODUCTS[hts_6],DIM_PRODUCTS[hts_4],,,)</f>
        <v>8708</v>
      </c>
      <c r="I9154" t="str" cm="1">
        <f t="array" ref="I9154">_xlfn.XLOOKUP(FACT_IMPORTS[[#This Row],[country_name]],DIM_COUNTRY[[#All],[Column2]],DIM_COUNTRY[[#All],[Column3]],,,)</f>
        <v>USMCA</v>
      </c>
    </row>
    <row r="9155" spans="1:9" x14ac:dyDescent="0.4">
      <c r="A9155" t="s">
        <v>64</v>
      </c>
      <c r="B9155" s="1">
        <v>45047</v>
      </c>
      <c r="C9155">
        <v>870892</v>
      </c>
      <c r="D9155" t="s">
        <v>176</v>
      </c>
      <c r="E9155">
        <v>54471</v>
      </c>
      <c r="F9155">
        <v>29657</v>
      </c>
      <c r="G9155">
        <v>395</v>
      </c>
      <c r="H9155">
        <f>_xlfn.XLOOKUP(FACT_IMPORTS[[#This Row],[hts_6]],DIM_PRODUCTS[hts_6],DIM_PRODUCTS[hts_4],,,)</f>
        <v>8708</v>
      </c>
      <c r="I9155" t="str" cm="1">
        <f t="array" ref="I9155">_xlfn.XLOOKUP(FACT_IMPORTS[[#This Row],[country_name]],DIM_COUNTRY[[#All],[Column2]],DIM_COUNTRY[[#All],[Column3]],,,)</f>
        <v>USMCA</v>
      </c>
    </row>
    <row r="9156" spans="1:9" x14ac:dyDescent="0.4">
      <c r="A9156" t="s">
        <v>64</v>
      </c>
      <c r="B9156" s="1">
        <v>45047</v>
      </c>
      <c r="C9156">
        <v>870893</v>
      </c>
      <c r="D9156" t="s">
        <v>176</v>
      </c>
      <c r="E9156">
        <v>17437</v>
      </c>
      <c r="F9156">
        <v>5926</v>
      </c>
      <c r="G9156">
        <v>741</v>
      </c>
      <c r="H9156">
        <f>_xlfn.XLOOKUP(FACT_IMPORTS[[#This Row],[hts_6]],DIM_PRODUCTS[hts_6],DIM_PRODUCTS[hts_4],,,)</f>
        <v>8708</v>
      </c>
      <c r="I9156" t="str" cm="1">
        <f t="array" ref="I9156">_xlfn.XLOOKUP(FACT_IMPORTS[[#This Row],[country_name]],DIM_COUNTRY[[#All],[Column2]],DIM_COUNTRY[[#All],[Column3]],,,)</f>
        <v>USMCA</v>
      </c>
    </row>
    <row r="9157" spans="1:9" x14ac:dyDescent="0.4">
      <c r="A9157" t="s">
        <v>64</v>
      </c>
      <c r="B9157" s="1">
        <v>45047</v>
      </c>
      <c r="C9157">
        <v>870894</v>
      </c>
      <c r="D9157" t="s">
        <v>176</v>
      </c>
      <c r="E9157">
        <v>65502</v>
      </c>
      <c r="F9157">
        <v>211</v>
      </c>
      <c r="G9157">
        <v>483</v>
      </c>
      <c r="H9157">
        <f>_xlfn.XLOOKUP(FACT_IMPORTS[[#This Row],[hts_6]],DIM_PRODUCTS[hts_6],DIM_PRODUCTS[hts_4],,,)</f>
        <v>8708</v>
      </c>
      <c r="I9157" t="str" cm="1">
        <f t="array" ref="I9157">_xlfn.XLOOKUP(FACT_IMPORTS[[#This Row],[country_name]],DIM_COUNTRY[[#All],[Column2]],DIM_COUNTRY[[#All],[Column3]],,,)</f>
        <v>USMCA</v>
      </c>
    </row>
    <row r="9158" spans="1:9" x14ac:dyDescent="0.4">
      <c r="A9158" t="s">
        <v>64</v>
      </c>
      <c r="B9158" s="1">
        <v>45047</v>
      </c>
      <c r="C9158">
        <v>870895</v>
      </c>
      <c r="D9158" t="s">
        <v>176</v>
      </c>
      <c r="E9158">
        <v>481573</v>
      </c>
      <c r="F9158">
        <v>10338</v>
      </c>
      <c r="G9158">
        <v>22372</v>
      </c>
      <c r="H9158">
        <f>_xlfn.XLOOKUP(FACT_IMPORTS[[#This Row],[hts_6]],DIM_PRODUCTS[hts_6],DIM_PRODUCTS[hts_4],,,)</f>
        <v>8708</v>
      </c>
      <c r="I9158" t="str" cm="1">
        <f t="array" ref="I9158">_xlfn.XLOOKUP(FACT_IMPORTS[[#This Row],[country_name]],DIM_COUNTRY[[#All],[Column2]],DIM_COUNTRY[[#All],[Column3]],,,)</f>
        <v>USMCA</v>
      </c>
    </row>
    <row r="9159" spans="1:9" x14ac:dyDescent="0.4">
      <c r="A9159" t="s">
        <v>64</v>
      </c>
      <c r="B9159" s="1">
        <v>45047</v>
      </c>
      <c r="C9159">
        <v>870899</v>
      </c>
      <c r="D9159" t="s">
        <v>176</v>
      </c>
      <c r="E9159">
        <v>502615</v>
      </c>
      <c r="F9159">
        <v>10642</v>
      </c>
      <c r="G9159">
        <v>3480</v>
      </c>
      <c r="H9159">
        <f>_xlfn.XLOOKUP(FACT_IMPORTS[[#This Row],[hts_6]],DIM_PRODUCTS[hts_6],DIM_PRODUCTS[hts_4],,,)</f>
        <v>8708</v>
      </c>
      <c r="I9159" t="str" cm="1">
        <f t="array" ref="I9159">_xlfn.XLOOKUP(FACT_IMPORTS[[#This Row],[country_name]],DIM_COUNTRY[[#All],[Column2]],DIM_COUNTRY[[#All],[Column3]],,,)</f>
        <v>USMCA</v>
      </c>
    </row>
    <row r="9160" spans="1:9" x14ac:dyDescent="0.4">
      <c r="A9160" t="s">
        <v>64</v>
      </c>
      <c r="B9160" s="1">
        <v>45047</v>
      </c>
      <c r="C9160">
        <v>940120</v>
      </c>
      <c r="D9160" t="s">
        <v>176</v>
      </c>
      <c r="E9160">
        <v>25081</v>
      </c>
      <c r="F9160">
        <v>87</v>
      </c>
      <c r="G9160">
        <v>229</v>
      </c>
      <c r="H9160">
        <f>_xlfn.XLOOKUP(FACT_IMPORTS[[#This Row],[hts_6]],DIM_PRODUCTS[hts_6],DIM_PRODUCTS[hts_4],,,)</f>
        <v>9401</v>
      </c>
      <c r="I9160" t="str" cm="1">
        <f t="array" ref="I9160">_xlfn.XLOOKUP(FACT_IMPORTS[[#This Row],[country_name]],DIM_COUNTRY[[#All],[Column2]],DIM_COUNTRY[[#All],[Column3]],,,)</f>
        <v>USMCA</v>
      </c>
    </row>
    <row r="9161" spans="1:9" x14ac:dyDescent="0.4">
      <c r="A9161" t="s">
        <v>64</v>
      </c>
      <c r="B9161" s="1">
        <v>45078</v>
      </c>
      <c r="C9161">
        <v>392630</v>
      </c>
      <c r="D9161" t="s">
        <v>176</v>
      </c>
      <c r="E9161">
        <v>1676</v>
      </c>
      <c r="F9161">
        <v>676</v>
      </c>
      <c r="G9161">
        <v>20</v>
      </c>
      <c r="H9161">
        <f>_xlfn.XLOOKUP(FACT_IMPORTS[[#This Row],[hts_6]],DIM_PRODUCTS[hts_6],DIM_PRODUCTS[hts_4],,,)</f>
        <v>3926</v>
      </c>
      <c r="I9161" t="str" cm="1">
        <f t="array" ref="I9161">_xlfn.XLOOKUP(FACT_IMPORTS[[#This Row],[country_name]],DIM_COUNTRY[[#All],[Column2]],DIM_COUNTRY[[#All],[Column3]],,,)</f>
        <v>USMCA</v>
      </c>
    </row>
    <row r="9162" spans="1:9" x14ac:dyDescent="0.4">
      <c r="A9162" t="s">
        <v>64</v>
      </c>
      <c r="B9162" s="1">
        <v>45078</v>
      </c>
      <c r="C9162">
        <v>401110</v>
      </c>
      <c r="D9162" t="s">
        <v>176</v>
      </c>
      <c r="E9162">
        <v>123100</v>
      </c>
      <c r="F9162">
        <v>1061</v>
      </c>
      <c r="G9162">
        <v>2475</v>
      </c>
      <c r="H9162">
        <f>_xlfn.XLOOKUP(FACT_IMPORTS[[#This Row],[hts_6]],DIM_PRODUCTS[hts_6],DIM_PRODUCTS[hts_4],,,)</f>
        <v>4011</v>
      </c>
      <c r="I9162" t="str" cm="1">
        <f t="array" ref="I9162">_xlfn.XLOOKUP(FACT_IMPORTS[[#This Row],[country_name]],DIM_COUNTRY[[#All],[Column2]],DIM_COUNTRY[[#All],[Column3]],,,)</f>
        <v>USMCA</v>
      </c>
    </row>
    <row r="9163" spans="1:9" x14ac:dyDescent="0.4">
      <c r="A9163" t="s">
        <v>64</v>
      </c>
      <c r="B9163" s="1">
        <v>45078</v>
      </c>
      <c r="C9163">
        <v>401120</v>
      </c>
      <c r="D9163" t="s">
        <v>176</v>
      </c>
      <c r="E9163">
        <v>0</v>
      </c>
      <c r="F9163">
        <v>0</v>
      </c>
      <c r="G9163">
        <v>0</v>
      </c>
      <c r="H9163">
        <f>_xlfn.XLOOKUP(FACT_IMPORTS[[#This Row],[hts_6]],DIM_PRODUCTS[hts_6],DIM_PRODUCTS[hts_4],,,)</f>
        <v>4011</v>
      </c>
      <c r="I9163" t="str" cm="1">
        <f t="array" ref="I9163">_xlfn.XLOOKUP(FACT_IMPORTS[[#This Row],[country_name]],DIM_COUNTRY[[#All],[Column2]],DIM_COUNTRY[[#All],[Column3]],,,)</f>
        <v>USMCA</v>
      </c>
    </row>
    <row r="9164" spans="1:9" x14ac:dyDescent="0.4">
      <c r="A9164" t="s">
        <v>64</v>
      </c>
      <c r="B9164" s="1">
        <v>45078</v>
      </c>
      <c r="C9164">
        <v>401190</v>
      </c>
      <c r="D9164" t="s">
        <v>176</v>
      </c>
      <c r="E9164">
        <v>0</v>
      </c>
      <c r="F9164">
        <v>0</v>
      </c>
      <c r="G9164">
        <v>0</v>
      </c>
      <c r="H9164">
        <f>_xlfn.XLOOKUP(FACT_IMPORTS[[#This Row],[hts_6]],DIM_PRODUCTS[hts_6],DIM_PRODUCTS[hts_4],,,)</f>
        <v>4011</v>
      </c>
      <c r="I9164" t="str" cm="1">
        <f t="array" ref="I9164">_xlfn.XLOOKUP(FACT_IMPORTS[[#This Row],[country_name]],DIM_COUNTRY[[#All],[Column2]],DIM_COUNTRY[[#All],[Column3]],,,)</f>
        <v>USMCA</v>
      </c>
    </row>
    <row r="9165" spans="1:9" x14ac:dyDescent="0.4">
      <c r="A9165" t="s">
        <v>64</v>
      </c>
      <c r="B9165" s="1">
        <v>45078</v>
      </c>
      <c r="C9165">
        <v>700910</v>
      </c>
      <c r="D9165" t="s">
        <v>176</v>
      </c>
      <c r="E9165">
        <v>0</v>
      </c>
      <c r="F9165">
        <v>0</v>
      </c>
      <c r="G9165">
        <v>0</v>
      </c>
      <c r="H9165">
        <f>_xlfn.XLOOKUP(FACT_IMPORTS[[#This Row],[hts_6]],DIM_PRODUCTS[hts_6],DIM_PRODUCTS[hts_4],,,)</f>
        <v>7009</v>
      </c>
      <c r="I9165" t="str" cm="1">
        <f t="array" ref="I9165">_xlfn.XLOOKUP(FACT_IMPORTS[[#This Row],[country_name]],DIM_COUNTRY[[#All],[Column2]],DIM_COUNTRY[[#All],[Column3]],,,)</f>
        <v>USMCA</v>
      </c>
    </row>
    <row r="9166" spans="1:9" x14ac:dyDescent="0.4">
      <c r="A9166" t="s">
        <v>64</v>
      </c>
      <c r="B9166" s="1">
        <v>45078</v>
      </c>
      <c r="C9166">
        <v>732010</v>
      </c>
      <c r="D9166" t="s">
        <v>176</v>
      </c>
      <c r="E9166">
        <v>0</v>
      </c>
      <c r="F9166">
        <v>0</v>
      </c>
      <c r="G9166">
        <v>0</v>
      </c>
      <c r="H9166">
        <f>_xlfn.XLOOKUP(FACT_IMPORTS[[#This Row],[hts_6]],DIM_PRODUCTS[hts_6],DIM_PRODUCTS[hts_4],,,)</f>
        <v>7320</v>
      </c>
      <c r="I9166" t="str" cm="1">
        <f t="array" ref="I9166">_xlfn.XLOOKUP(FACT_IMPORTS[[#This Row],[country_name]],DIM_COUNTRY[[#All],[Column2]],DIM_COUNTRY[[#All],[Column3]],,,)</f>
        <v>USMCA</v>
      </c>
    </row>
    <row r="9167" spans="1:9" x14ac:dyDescent="0.4">
      <c r="A9167" t="s">
        <v>64</v>
      </c>
      <c r="B9167" s="1">
        <v>45078</v>
      </c>
      <c r="C9167">
        <v>830230</v>
      </c>
      <c r="D9167" t="s">
        <v>176</v>
      </c>
      <c r="E9167">
        <v>0</v>
      </c>
      <c r="F9167">
        <v>0</v>
      </c>
      <c r="G9167">
        <v>0</v>
      </c>
      <c r="H9167">
        <f>_xlfn.XLOOKUP(FACT_IMPORTS[[#This Row],[hts_6]],DIM_PRODUCTS[hts_6],DIM_PRODUCTS[hts_4],,,)</f>
        <v>8302</v>
      </c>
      <c r="I9167" t="str" cm="1">
        <f t="array" ref="I9167">_xlfn.XLOOKUP(FACT_IMPORTS[[#This Row],[country_name]],DIM_COUNTRY[[#All],[Column2]],DIM_COUNTRY[[#All],[Column3]],,,)</f>
        <v>USMCA</v>
      </c>
    </row>
    <row r="9168" spans="1:9" x14ac:dyDescent="0.4">
      <c r="A9168" t="s">
        <v>64</v>
      </c>
      <c r="B9168" s="1">
        <v>45078</v>
      </c>
      <c r="C9168">
        <v>840733</v>
      </c>
      <c r="D9168" t="s">
        <v>176</v>
      </c>
      <c r="E9168">
        <v>0</v>
      </c>
      <c r="F9168">
        <v>0</v>
      </c>
      <c r="G9168">
        <v>0</v>
      </c>
      <c r="H9168">
        <f>_xlfn.XLOOKUP(FACT_IMPORTS[[#This Row],[hts_6]],DIM_PRODUCTS[hts_6],DIM_PRODUCTS[hts_4],,,)</f>
        <v>8407</v>
      </c>
      <c r="I9168" t="str" cm="1">
        <f t="array" ref="I9168">_xlfn.XLOOKUP(FACT_IMPORTS[[#This Row],[country_name]],DIM_COUNTRY[[#All],[Column2]],DIM_COUNTRY[[#All],[Column3]],,,)</f>
        <v>USMCA</v>
      </c>
    </row>
    <row r="9169" spans="1:9" x14ac:dyDescent="0.4">
      <c r="A9169" t="s">
        <v>64</v>
      </c>
      <c r="B9169" s="1">
        <v>45078</v>
      </c>
      <c r="C9169">
        <v>840734</v>
      </c>
      <c r="D9169" t="s">
        <v>176</v>
      </c>
      <c r="E9169">
        <v>70034</v>
      </c>
      <c r="F9169">
        <v>64</v>
      </c>
      <c r="G9169">
        <v>600</v>
      </c>
      <c r="H9169">
        <f>_xlfn.XLOOKUP(FACT_IMPORTS[[#This Row],[hts_6]],DIM_PRODUCTS[hts_6],DIM_PRODUCTS[hts_4],,,)</f>
        <v>8407</v>
      </c>
      <c r="I9169" t="str" cm="1">
        <f t="array" ref="I9169">_xlfn.XLOOKUP(FACT_IMPORTS[[#This Row],[country_name]],DIM_COUNTRY[[#All],[Column2]],DIM_COUNTRY[[#All],[Column3]],,,)</f>
        <v>USMCA</v>
      </c>
    </row>
    <row r="9170" spans="1:9" x14ac:dyDescent="0.4">
      <c r="A9170" t="s">
        <v>64</v>
      </c>
      <c r="B9170" s="1">
        <v>45078</v>
      </c>
      <c r="C9170">
        <v>840820</v>
      </c>
      <c r="D9170" t="s">
        <v>176</v>
      </c>
      <c r="E9170">
        <v>27367</v>
      </c>
      <c r="F9170">
        <v>7</v>
      </c>
      <c r="G9170">
        <v>91</v>
      </c>
      <c r="H9170">
        <f>_xlfn.XLOOKUP(FACT_IMPORTS[[#This Row],[hts_6]],DIM_PRODUCTS[hts_6],DIM_PRODUCTS[hts_4],,,)</f>
        <v>8408</v>
      </c>
      <c r="I9170" t="str" cm="1">
        <f t="array" ref="I9170">_xlfn.XLOOKUP(FACT_IMPORTS[[#This Row],[country_name]],DIM_COUNTRY[[#All],[Column2]],DIM_COUNTRY[[#All],[Column3]],,,)</f>
        <v>USMCA</v>
      </c>
    </row>
    <row r="9171" spans="1:9" x14ac:dyDescent="0.4">
      <c r="A9171" t="s">
        <v>64</v>
      </c>
      <c r="B9171" s="1">
        <v>45078</v>
      </c>
      <c r="C9171">
        <v>840890</v>
      </c>
      <c r="D9171" t="s">
        <v>176</v>
      </c>
      <c r="E9171">
        <v>2150</v>
      </c>
      <c r="F9171">
        <v>1</v>
      </c>
      <c r="G9171">
        <v>13</v>
      </c>
      <c r="H9171">
        <f>_xlfn.XLOOKUP(FACT_IMPORTS[[#This Row],[hts_6]],DIM_PRODUCTS[hts_6],DIM_PRODUCTS[hts_4],,,)</f>
        <v>8408</v>
      </c>
      <c r="I9171" t="str" cm="1">
        <f t="array" ref="I9171">_xlfn.XLOOKUP(FACT_IMPORTS[[#This Row],[country_name]],DIM_COUNTRY[[#All],[Column2]],DIM_COUNTRY[[#All],[Column3]],,,)</f>
        <v>USMCA</v>
      </c>
    </row>
    <row r="9172" spans="1:9" x14ac:dyDescent="0.4">
      <c r="A9172" t="s">
        <v>64</v>
      </c>
      <c r="B9172" s="1">
        <v>45078</v>
      </c>
      <c r="C9172">
        <v>840991</v>
      </c>
      <c r="D9172" t="s">
        <v>176</v>
      </c>
      <c r="E9172">
        <v>598988</v>
      </c>
      <c r="F9172">
        <v>77112</v>
      </c>
      <c r="G9172">
        <v>7292</v>
      </c>
      <c r="H9172">
        <f>_xlfn.XLOOKUP(FACT_IMPORTS[[#This Row],[hts_6]],DIM_PRODUCTS[hts_6],DIM_PRODUCTS[hts_4],,,)</f>
        <v>8409</v>
      </c>
      <c r="I9172" t="str" cm="1">
        <f t="array" ref="I9172">_xlfn.XLOOKUP(FACT_IMPORTS[[#This Row],[country_name]],DIM_COUNTRY[[#All],[Column2]],DIM_COUNTRY[[#All],[Column3]],,,)</f>
        <v>USMCA</v>
      </c>
    </row>
    <row r="9173" spans="1:9" x14ac:dyDescent="0.4">
      <c r="A9173" t="s">
        <v>64</v>
      </c>
      <c r="B9173" s="1">
        <v>45078</v>
      </c>
      <c r="C9173">
        <v>840999</v>
      </c>
      <c r="D9173" t="s">
        <v>176</v>
      </c>
      <c r="E9173">
        <v>72676</v>
      </c>
      <c r="F9173">
        <v>1989</v>
      </c>
      <c r="G9173">
        <v>1465</v>
      </c>
      <c r="H9173">
        <f>_xlfn.XLOOKUP(FACT_IMPORTS[[#This Row],[hts_6]],DIM_PRODUCTS[hts_6],DIM_PRODUCTS[hts_4],,,)</f>
        <v>8409</v>
      </c>
      <c r="I9173" t="str" cm="1">
        <f t="array" ref="I9173">_xlfn.XLOOKUP(FACT_IMPORTS[[#This Row],[country_name]],DIM_COUNTRY[[#All],[Column2]],DIM_COUNTRY[[#All],[Column3]],,,)</f>
        <v>USMCA</v>
      </c>
    </row>
    <row r="9174" spans="1:9" x14ac:dyDescent="0.4">
      <c r="A9174" t="s">
        <v>64</v>
      </c>
      <c r="B9174" s="1">
        <v>45078</v>
      </c>
      <c r="C9174">
        <v>841330</v>
      </c>
      <c r="D9174" t="s">
        <v>176</v>
      </c>
      <c r="E9174">
        <v>58582</v>
      </c>
      <c r="F9174">
        <v>594</v>
      </c>
      <c r="G9174">
        <v>223</v>
      </c>
      <c r="H9174">
        <f>_xlfn.XLOOKUP(FACT_IMPORTS[[#This Row],[hts_6]],DIM_PRODUCTS[hts_6],DIM_PRODUCTS[hts_4],,,)</f>
        <v>8413</v>
      </c>
      <c r="I9174" t="str" cm="1">
        <f t="array" ref="I9174">_xlfn.XLOOKUP(FACT_IMPORTS[[#This Row],[country_name]],DIM_COUNTRY[[#All],[Column2]],DIM_COUNTRY[[#All],[Column3]],,,)</f>
        <v>USMCA</v>
      </c>
    </row>
    <row r="9175" spans="1:9" x14ac:dyDescent="0.4">
      <c r="A9175" t="s">
        <v>64</v>
      </c>
      <c r="B9175" s="1">
        <v>45078</v>
      </c>
      <c r="C9175">
        <v>842132</v>
      </c>
      <c r="D9175" t="s">
        <v>176</v>
      </c>
      <c r="E9175">
        <v>361473</v>
      </c>
      <c r="F9175">
        <v>2156</v>
      </c>
      <c r="G9175">
        <v>4866</v>
      </c>
      <c r="H9175">
        <f>_xlfn.XLOOKUP(FACT_IMPORTS[[#This Row],[hts_6]],DIM_PRODUCTS[hts_6],DIM_PRODUCTS[hts_4],,,)</f>
        <v>8421</v>
      </c>
      <c r="I9175" t="str" cm="1">
        <f t="array" ref="I9175">_xlfn.XLOOKUP(FACT_IMPORTS[[#This Row],[country_name]],DIM_COUNTRY[[#All],[Column2]],DIM_COUNTRY[[#All],[Column3]],,,)</f>
        <v>USMCA</v>
      </c>
    </row>
    <row r="9176" spans="1:9" x14ac:dyDescent="0.4">
      <c r="A9176" t="s">
        <v>64</v>
      </c>
      <c r="B9176" s="1">
        <v>45078</v>
      </c>
      <c r="C9176">
        <v>848210</v>
      </c>
      <c r="D9176" t="s">
        <v>176</v>
      </c>
      <c r="E9176">
        <v>34504</v>
      </c>
      <c r="F9176">
        <v>751</v>
      </c>
      <c r="G9176">
        <v>561</v>
      </c>
      <c r="H9176">
        <f>_xlfn.XLOOKUP(FACT_IMPORTS[[#This Row],[hts_6]],DIM_PRODUCTS[hts_6],DIM_PRODUCTS[hts_4],,,)</f>
        <v>8482</v>
      </c>
      <c r="I9176" t="str" cm="1">
        <f t="array" ref="I9176">_xlfn.XLOOKUP(FACT_IMPORTS[[#This Row],[country_name]],DIM_COUNTRY[[#All],[Column2]],DIM_COUNTRY[[#All],[Column3]],,,)</f>
        <v>USMCA</v>
      </c>
    </row>
    <row r="9177" spans="1:9" x14ac:dyDescent="0.4">
      <c r="A9177" t="s">
        <v>64</v>
      </c>
      <c r="B9177" s="1">
        <v>45078</v>
      </c>
      <c r="C9177">
        <v>848220</v>
      </c>
      <c r="D9177" t="s">
        <v>176</v>
      </c>
      <c r="E9177">
        <v>0</v>
      </c>
      <c r="F9177">
        <v>0</v>
      </c>
      <c r="G9177">
        <v>0</v>
      </c>
      <c r="H9177">
        <f>_xlfn.XLOOKUP(FACT_IMPORTS[[#This Row],[hts_6]],DIM_PRODUCTS[hts_6],DIM_PRODUCTS[hts_4],,,)</f>
        <v>8482</v>
      </c>
      <c r="I9177" t="str" cm="1">
        <f t="array" ref="I9177">_xlfn.XLOOKUP(FACT_IMPORTS[[#This Row],[country_name]],DIM_COUNTRY[[#All],[Column2]],DIM_COUNTRY[[#All],[Column3]],,,)</f>
        <v>USMCA</v>
      </c>
    </row>
    <row r="9178" spans="1:9" x14ac:dyDescent="0.4">
      <c r="A9178" t="s">
        <v>64</v>
      </c>
      <c r="B9178" s="1">
        <v>45078</v>
      </c>
      <c r="C9178">
        <v>848310</v>
      </c>
      <c r="D9178" t="s">
        <v>176</v>
      </c>
      <c r="E9178">
        <v>0</v>
      </c>
      <c r="F9178">
        <v>0</v>
      </c>
      <c r="G9178">
        <v>0</v>
      </c>
      <c r="H9178">
        <f>_xlfn.XLOOKUP(FACT_IMPORTS[[#This Row],[hts_6]],DIM_PRODUCTS[hts_6],DIM_PRODUCTS[hts_4],,,)</f>
        <v>8483</v>
      </c>
      <c r="I9178" t="str" cm="1">
        <f t="array" ref="I9178">_xlfn.XLOOKUP(FACT_IMPORTS[[#This Row],[country_name]],DIM_COUNTRY[[#All],[Column2]],DIM_COUNTRY[[#All],[Column3]],,,)</f>
        <v>USMCA</v>
      </c>
    </row>
    <row r="9179" spans="1:9" x14ac:dyDescent="0.4">
      <c r="A9179" t="s">
        <v>64</v>
      </c>
      <c r="B9179" s="1">
        <v>45078</v>
      </c>
      <c r="C9179">
        <v>850131</v>
      </c>
      <c r="D9179" t="s">
        <v>176</v>
      </c>
      <c r="E9179">
        <v>37282</v>
      </c>
      <c r="F9179">
        <v>3744</v>
      </c>
      <c r="G9179">
        <v>3426</v>
      </c>
      <c r="H9179">
        <f>_xlfn.XLOOKUP(FACT_IMPORTS[[#This Row],[hts_6]],DIM_PRODUCTS[hts_6],DIM_PRODUCTS[hts_4],,,)</f>
        <v>8501</v>
      </c>
      <c r="I9179" t="str" cm="1">
        <f t="array" ref="I9179">_xlfn.XLOOKUP(FACT_IMPORTS[[#This Row],[country_name]],DIM_COUNTRY[[#All],[Column2]],DIM_COUNTRY[[#All],[Column3]],,,)</f>
        <v>USMCA</v>
      </c>
    </row>
    <row r="9180" spans="1:9" x14ac:dyDescent="0.4">
      <c r="A9180" t="s">
        <v>64</v>
      </c>
      <c r="B9180" s="1">
        <v>45078</v>
      </c>
      <c r="C9180">
        <v>850132</v>
      </c>
      <c r="D9180" t="s">
        <v>176</v>
      </c>
      <c r="E9180">
        <v>2641</v>
      </c>
      <c r="F9180">
        <v>2</v>
      </c>
      <c r="G9180">
        <v>9</v>
      </c>
      <c r="H9180">
        <f>_xlfn.XLOOKUP(FACT_IMPORTS[[#This Row],[hts_6]],DIM_PRODUCTS[hts_6],DIM_PRODUCTS[hts_4],,,)</f>
        <v>8501</v>
      </c>
      <c r="I9180" t="str" cm="1">
        <f t="array" ref="I9180">_xlfn.XLOOKUP(FACT_IMPORTS[[#This Row],[country_name]],DIM_COUNTRY[[#All],[Column2]],DIM_COUNTRY[[#All],[Column3]],,,)</f>
        <v>USMCA</v>
      </c>
    </row>
    <row r="9181" spans="1:9" x14ac:dyDescent="0.4">
      <c r="A9181" t="s">
        <v>64</v>
      </c>
      <c r="B9181" s="1">
        <v>45078</v>
      </c>
      <c r="C9181">
        <v>850133</v>
      </c>
      <c r="D9181" t="s">
        <v>176</v>
      </c>
      <c r="E9181">
        <v>0</v>
      </c>
      <c r="F9181">
        <v>0</v>
      </c>
      <c r="G9181">
        <v>0</v>
      </c>
      <c r="H9181">
        <f>_xlfn.XLOOKUP(FACT_IMPORTS[[#This Row],[hts_6]],DIM_PRODUCTS[hts_6],DIM_PRODUCTS[hts_4],,,)</f>
        <v>8501</v>
      </c>
      <c r="I9181" t="str" cm="1">
        <f t="array" ref="I9181">_xlfn.XLOOKUP(FACT_IMPORTS[[#This Row],[country_name]],DIM_COUNTRY[[#All],[Column2]],DIM_COUNTRY[[#All],[Column3]],,,)</f>
        <v>USMCA</v>
      </c>
    </row>
    <row r="9182" spans="1:9" x14ac:dyDescent="0.4">
      <c r="A9182" t="s">
        <v>64</v>
      </c>
      <c r="B9182" s="1">
        <v>45078</v>
      </c>
      <c r="C9182">
        <v>850134</v>
      </c>
      <c r="D9182" t="s">
        <v>176</v>
      </c>
      <c r="E9182">
        <v>0</v>
      </c>
      <c r="F9182">
        <v>0</v>
      </c>
      <c r="G9182">
        <v>0</v>
      </c>
      <c r="H9182">
        <f>_xlfn.XLOOKUP(FACT_IMPORTS[[#This Row],[hts_6]],DIM_PRODUCTS[hts_6],DIM_PRODUCTS[hts_4],,,)</f>
        <v>8501</v>
      </c>
      <c r="I9182" t="str" cm="1">
        <f t="array" ref="I9182">_xlfn.XLOOKUP(FACT_IMPORTS[[#This Row],[country_name]],DIM_COUNTRY[[#All],[Column2]],DIM_COUNTRY[[#All],[Column3]],,,)</f>
        <v>USMCA</v>
      </c>
    </row>
    <row r="9183" spans="1:9" x14ac:dyDescent="0.4">
      <c r="A9183" t="s">
        <v>64</v>
      </c>
      <c r="B9183" s="1">
        <v>45078</v>
      </c>
      <c r="C9183">
        <v>850152</v>
      </c>
      <c r="D9183" t="s">
        <v>176</v>
      </c>
      <c r="E9183">
        <v>11869</v>
      </c>
      <c r="F9183">
        <v>11</v>
      </c>
      <c r="G9183">
        <v>277</v>
      </c>
      <c r="H9183">
        <f>_xlfn.XLOOKUP(FACT_IMPORTS[[#This Row],[hts_6]],DIM_PRODUCTS[hts_6],DIM_PRODUCTS[hts_4],,,)</f>
        <v>8501</v>
      </c>
      <c r="I9183" t="str" cm="1">
        <f t="array" ref="I9183">_xlfn.XLOOKUP(FACT_IMPORTS[[#This Row],[country_name]],DIM_COUNTRY[[#All],[Column2]],DIM_COUNTRY[[#All],[Column3]],,,)</f>
        <v>USMCA</v>
      </c>
    </row>
    <row r="9184" spans="1:9" x14ac:dyDescent="0.4">
      <c r="A9184" t="s">
        <v>64</v>
      </c>
      <c r="B9184" s="1">
        <v>45078</v>
      </c>
      <c r="C9184">
        <v>850153</v>
      </c>
      <c r="D9184" t="s">
        <v>176</v>
      </c>
      <c r="E9184">
        <v>4069</v>
      </c>
      <c r="F9184">
        <v>1</v>
      </c>
      <c r="G9184">
        <v>89</v>
      </c>
      <c r="H9184">
        <f>_xlfn.XLOOKUP(FACT_IMPORTS[[#This Row],[hts_6]],DIM_PRODUCTS[hts_6],DIM_PRODUCTS[hts_4],,,)</f>
        <v>8501</v>
      </c>
      <c r="I9184" t="str" cm="1">
        <f t="array" ref="I9184">_xlfn.XLOOKUP(FACT_IMPORTS[[#This Row],[country_name]],DIM_COUNTRY[[#All],[Column2]],DIM_COUNTRY[[#All],[Column3]],,,)</f>
        <v>USMCA</v>
      </c>
    </row>
    <row r="9185" spans="1:9" x14ac:dyDescent="0.4">
      <c r="A9185" t="s">
        <v>64</v>
      </c>
      <c r="B9185" s="1">
        <v>45078</v>
      </c>
      <c r="C9185">
        <v>850161</v>
      </c>
      <c r="D9185" t="s">
        <v>176</v>
      </c>
      <c r="E9185">
        <v>0</v>
      </c>
      <c r="F9185">
        <v>0</v>
      </c>
      <c r="G9185">
        <v>0</v>
      </c>
      <c r="H9185">
        <f>_xlfn.XLOOKUP(FACT_IMPORTS[[#This Row],[hts_6]],DIM_PRODUCTS[hts_6],DIM_PRODUCTS[hts_4],,,)</f>
        <v>8501</v>
      </c>
      <c r="I9185" t="str" cm="1">
        <f t="array" ref="I9185">_xlfn.XLOOKUP(FACT_IMPORTS[[#This Row],[country_name]],DIM_COUNTRY[[#All],[Column2]],DIM_COUNTRY[[#All],[Column3]],,,)</f>
        <v>USMCA</v>
      </c>
    </row>
    <row r="9186" spans="1:9" x14ac:dyDescent="0.4">
      <c r="A9186" t="s">
        <v>64</v>
      </c>
      <c r="B9186" s="1">
        <v>45078</v>
      </c>
      <c r="C9186">
        <v>850440</v>
      </c>
      <c r="D9186" t="s">
        <v>176</v>
      </c>
      <c r="E9186">
        <v>44824</v>
      </c>
      <c r="F9186">
        <v>150</v>
      </c>
      <c r="G9186">
        <v>555</v>
      </c>
      <c r="H9186">
        <f>_xlfn.XLOOKUP(FACT_IMPORTS[[#This Row],[hts_6]],DIM_PRODUCTS[hts_6],DIM_PRODUCTS[hts_4],,,)</f>
        <v>8504</v>
      </c>
      <c r="I9186" t="str" cm="1">
        <f t="array" ref="I9186">_xlfn.XLOOKUP(FACT_IMPORTS[[#This Row],[country_name]],DIM_COUNTRY[[#All],[Column2]],DIM_COUNTRY[[#All],[Column3]],,,)</f>
        <v>USMCA</v>
      </c>
    </row>
    <row r="9187" spans="1:9" x14ac:dyDescent="0.4">
      <c r="A9187" t="s">
        <v>64</v>
      </c>
      <c r="B9187" s="1">
        <v>45078</v>
      </c>
      <c r="C9187">
        <v>850710</v>
      </c>
      <c r="D9187" t="s">
        <v>176</v>
      </c>
      <c r="E9187">
        <v>0</v>
      </c>
      <c r="F9187">
        <v>0</v>
      </c>
      <c r="G9187">
        <v>0</v>
      </c>
      <c r="H9187">
        <f>_xlfn.XLOOKUP(FACT_IMPORTS[[#This Row],[hts_6]],DIM_PRODUCTS[hts_6],DIM_PRODUCTS[hts_4],,,)</f>
        <v>8507</v>
      </c>
      <c r="I9187" t="str" cm="1">
        <f t="array" ref="I9187">_xlfn.XLOOKUP(FACT_IMPORTS[[#This Row],[country_name]],DIM_COUNTRY[[#All],[Column2]],DIM_COUNTRY[[#All],[Column3]],,,)</f>
        <v>USMCA</v>
      </c>
    </row>
    <row r="9188" spans="1:9" x14ac:dyDescent="0.4">
      <c r="A9188" t="s">
        <v>64</v>
      </c>
      <c r="B9188" s="1">
        <v>45078</v>
      </c>
      <c r="C9188">
        <v>850760</v>
      </c>
      <c r="D9188" t="s">
        <v>176</v>
      </c>
      <c r="E9188">
        <v>0</v>
      </c>
      <c r="F9188">
        <v>0</v>
      </c>
      <c r="G9188">
        <v>0</v>
      </c>
      <c r="H9188">
        <f>_xlfn.XLOOKUP(FACT_IMPORTS[[#This Row],[hts_6]],DIM_PRODUCTS[hts_6],DIM_PRODUCTS[hts_4],,,)</f>
        <v>8507</v>
      </c>
      <c r="I9188" t="str" cm="1">
        <f t="array" ref="I9188">_xlfn.XLOOKUP(FACT_IMPORTS[[#This Row],[country_name]],DIM_COUNTRY[[#All],[Column2]],DIM_COUNTRY[[#All],[Column3]],,,)</f>
        <v>USMCA</v>
      </c>
    </row>
    <row r="9189" spans="1:9" x14ac:dyDescent="0.4">
      <c r="A9189" t="s">
        <v>64</v>
      </c>
      <c r="B9189" s="1">
        <v>45078</v>
      </c>
      <c r="C9189">
        <v>850790</v>
      </c>
      <c r="D9189" t="s">
        <v>176</v>
      </c>
      <c r="E9189">
        <v>0</v>
      </c>
      <c r="F9189">
        <v>0</v>
      </c>
      <c r="G9189">
        <v>0</v>
      </c>
      <c r="H9189">
        <f>_xlfn.XLOOKUP(FACT_IMPORTS[[#This Row],[hts_6]],DIM_PRODUCTS[hts_6],DIM_PRODUCTS[hts_4],,,)</f>
        <v>8507</v>
      </c>
      <c r="I9189" t="str" cm="1">
        <f t="array" ref="I9189">_xlfn.XLOOKUP(FACT_IMPORTS[[#This Row],[country_name]],DIM_COUNTRY[[#All],[Column2]],DIM_COUNTRY[[#All],[Column3]],,,)</f>
        <v>USMCA</v>
      </c>
    </row>
    <row r="9190" spans="1:9" x14ac:dyDescent="0.4">
      <c r="A9190" t="s">
        <v>64</v>
      </c>
      <c r="B9190" s="1">
        <v>45078</v>
      </c>
      <c r="C9190">
        <v>851110</v>
      </c>
      <c r="D9190" t="s">
        <v>176</v>
      </c>
      <c r="E9190">
        <v>0</v>
      </c>
      <c r="F9190">
        <v>0</v>
      </c>
      <c r="G9190">
        <v>0</v>
      </c>
      <c r="H9190">
        <f>_xlfn.XLOOKUP(FACT_IMPORTS[[#This Row],[hts_6]],DIM_PRODUCTS[hts_6],DIM_PRODUCTS[hts_4],,,)</f>
        <v>8511</v>
      </c>
      <c r="I9190" t="str" cm="1">
        <f t="array" ref="I9190">_xlfn.XLOOKUP(FACT_IMPORTS[[#This Row],[country_name]],DIM_COUNTRY[[#All],[Column2]],DIM_COUNTRY[[#All],[Column3]],,,)</f>
        <v>USMCA</v>
      </c>
    </row>
    <row r="9191" spans="1:9" x14ac:dyDescent="0.4">
      <c r="A9191" t="s">
        <v>64</v>
      </c>
      <c r="B9191" s="1">
        <v>45078</v>
      </c>
      <c r="C9191">
        <v>851130</v>
      </c>
      <c r="D9191" t="s">
        <v>176</v>
      </c>
      <c r="E9191">
        <v>0</v>
      </c>
      <c r="F9191">
        <v>0</v>
      </c>
      <c r="G9191">
        <v>0</v>
      </c>
      <c r="H9191">
        <f>_xlfn.XLOOKUP(FACT_IMPORTS[[#This Row],[hts_6]],DIM_PRODUCTS[hts_6],DIM_PRODUCTS[hts_4],,,)</f>
        <v>8511</v>
      </c>
      <c r="I9191" t="str" cm="1">
        <f t="array" ref="I9191">_xlfn.XLOOKUP(FACT_IMPORTS[[#This Row],[country_name]],DIM_COUNTRY[[#All],[Column2]],DIM_COUNTRY[[#All],[Column3]],,,)</f>
        <v>USMCA</v>
      </c>
    </row>
    <row r="9192" spans="1:9" x14ac:dyDescent="0.4">
      <c r="A9192" t="s">
        <v>64</v>
      </c>
      <c r="B9192" s="1">
        <v>45078</v>
      </c>
      <c r="C9192">
        <v>851140</v>
      </c>
      <c r="D9192" t="s">
        <v>176</v>
      </c>
      <c r="E9192">
        <v>33345</v>
      </c>
      <c r="F9192">
        <v>234</v>
      </c>
      <c r="G9192">
        <v>277</v>
      </c>
      <c r="H9192">
        <f>_xlfn.XLOOKUP(FACT_IMPORTS[[#This Row],[hts_6]],DIM_PRODUCTS[hts_6],DIM_PRODUCTS[hts_4],,,)</f>
        <v>8511</v>
      </c>
      <c r="I9192" t="str" cm="1">
        <f t="array" ref="I9192">_xlfn.XLOOKUP(FACT_IMPORTS[[#This Row],[country_name]],DIM_COUNTRY[[#All],[Column2]],DIM_COUNTRY[[#All],[Column3]],,,)</f>
        <v>USMCA</v>
      </c>
    </row>
    <row r="9193" spans="1:9" x14ac:dyDescent="0.4">
      <c r="A9193" t="s">
        <v>64</v>
      </c>
      <c r="B9193" s="1">
        <v>45078</v>
      </c>
      <c r="C9193">
        <v>851150</v>
      </c>
      <c r="D9193" t="s">
        <v>176</v>
      </c>
      <c r="E9193">
        <v>39273</v>
      </c>
      <c r="F9193">
        <v>186</v>
      </c>
      <c r="G9193">
        <v>388</v>
      </c>
      <c r="H9193">
        <f>_xlfn.XLOOKUP(FACT_IMPORTS[[#This Row],[hts_6]],DIM_PRODUCTS[hts_6],DIM_PRODUCTS[hts_4],,,)</f>
        <v>8511</v>
      </c>
      <c r="I9193" t="str" cm="1">
        <f t="array" ref="I9193">_xlfn.XLOOKUP(FACT_IMPORTS[[#This Row],[country_name]],DIM_COUNTRY[[#All],[Column2]],DIM_COUNTRY[[#All],[Column3]],,,)</f>
        <v>USMCA</v>
      </c>
    </row>
    <row r="9194" spans="1:9" x14ac:dyDescent="0.4">
      <c r="A9194" t="s">
        <v>64</v>
      </c>
      <c r="B9194" s="1">
        <v>45078</v>
      </c>
      <c r="C9194">
        <v>851180</v>
      </c>
      <c r="D9194" t="s">
        <v>176</v>
      </c>
      <c r="E9194">
        <v>5338</v>
      </c>
      <c r="F9194">
        <v>333</v>
      </c>
      <c r="G9194">
        <v>10</v>
      </c>
      <c r="H9194">
        <f>_xlfn.XLOOKUP(FACT_IMPORTS[[#This Row],[hts_6]],DIM_PRODUCTS[hts_6],DIM_PRODUCTS[hts_4],,,)</f>
        <v>8511</v>
      </c>
      <c r="I9194" t="str" cm="1">
        <f t="array" ref="I9194">_xlfn.XLOOKUP(FACT_IMPORTS[[#This Row],[country_name]],DIM_COUNTRY[[#All],[Column2]],DIM_COUNTRY[[#All],[Column3]],,,)</f>
        <v>USMCA</v>
      </c>
    </row>
    <row r="9195" spans="1:9" x14ac:dyDescent="0.4">
      <c r="A9195" t="s">
        <v>64</v>
      </c>
      <c r="B9195" s="1">
        <v>45078</v>
      </c>
      <c r="C9195">
        <v>851190</v>
      </c>
      <c r="D9195" t="s">
        <v>176</v>
      </c>
      <c r="E9195">
        <v>0</v>
      </c>
      <c r="F9195">
        <v>0</v>
      </c>
      <c r="G9195">
        <v>0</v>
      </c>
      <c r="H9195">
        <f>_xlfn.XLOOKUP(FACT_IMPORTS[[#This Row],[hts_6]],DIM_PRODUCTS[hts_6],DIM_PRODUCTS[hts_4],,,)</f>
        <v>8511</v>
      </c>
      <c r="I9195" t="str" cm="1">
        <f t="array" ref="I9195">_xlfn.XLOOKUP(FACT_IMPORTS[[#This Row],[country_name]],DIM_COUNTRY[[#All],[Column2]],DIM_COUNTRY[[#All],[Column3]],,,)</f>
        <v>USMCA</v>
      </c>
    </row>
    <row r="9196" spans="1:9" x14ac:dyDescent="0.4">
      <c r="A9196" t="s">
        <v>64</v>
      </c>
      <c r="B9196" s="1">
        <v>45078</v>
      </c>
      <c r="C9196">
        <v>851220</v>
      </c>
      <c r="D9196" t="s">
        <v>176</v>
      </c>
      <c r="E9196">
        <v>9850</v>
      </c>
      <c r="F9196">
        <v>32</v>
      </c>
      <c r="G9196">
        <v>23</v>
      </c>
      <c r="H9196">
        <f>_xlfn.XLOOKUP(FACT_IMPORTS[[#This Row],[hts_6]],DIM_PRODUCTS[hts_6],DIM_PRODUCTS[hts_4],,,)</f>
        <v>8512</v>
      </c>
      <c r="I9196" t="str" cm="1">
        <f t="array" ref="I9196">_xlfn.XLOOKUP(FACT_IMPORTS[[#This Row],[country_name]],DIM_COUNTRY[[#All],[Column2]],DIM_COUNTRY[[#All],[Column3]],,,)</f>
        <v>USMCA</v>
      </c>
    </row>
    <row r="9197" spans="1:9" x14ac:dyDescent="0.4">
      <c r="A9197" t="s">
        <v>64</v>
      </c>
      <c r="B9197" s="1">
        <v>45078</v>
      </c>
      <c r="C9197">
        <v>851230</v>
      </c>
      <c r="D9197" t="s">
        <v>176</v>
      </c>
      <c r="E9197">
        <v>0</v>
      </c>
      <c r="F9197">
        <v>0</v>
      </c>
      <c r="G9197">
        <v>0</v>
      </c>
      <c r="H9197">
        <f>_xlfn.XLOOKUP(FACT_IMPORTS[[#This Row],[hts_6]],DIM_PRODUCTS[hts_6],DIM_PRODUCTS[hts_4],,,)</f>
        <v>8512</v>
      </c>
      <c r="I9197" t="str" cm="1">
        <f t="array" ref="I9197">_xlfn.XLOOKUP(FACT_IMPORTS[[#This Row],[country_name]],DIM_COUNTRY[[#All],[Column2]],DIM_COUNTRY[[#All],[Column3]],,,)</f>
        <v>USMCA</v>
      </c>
    </row>
    <row r="9198" spans="1:9" x14ac:dyDescent="0.4">
      <c r="A9198" t="s">
        <v>64</v>
      </c>
      <c r="B9198" s="1">
        <v>45078</v>
      </c>
      <c r="C9198">
        <v>851240</v>
      </c>
      <c r="D9198" t="s">
        <v>176</v>
      </c>
      <c r="E9198">
        <v>0</v>
      </c>
      <c r="F9198">
        <v>0</v>
      </c>
      <c r="G9198">
        <v>0</v>
      </c>
      <c r="H9198">
        <f>_xlfn.XLOOKUP(FACT_IMPORTS[[#This Row],[hts_6]],DIM_PRODUCTS[hts_6],DIM_PRODUCTS[hts_4],,,)</f>
        <v>8512</v>
      </c>
      <c r="I9198" t="str" cm="1">
        <f t="array" ref="I9198">_xlfn.XLOOKUP(FACT_IMPORTS[[#This Row],[country_name]],DIM_COUNTRY[[#All],[Column2]],DIM_COUNTRY[[#All],[Column3]],,,)</f>
        <v>USMCA</v>
      </c>
    </row>
    <row r="9199" spans="1:9" x14ac:dyDescent="0.4">
      <c r="A9199" t="s">
        <v>64</v>
      </c>
      <c r="B9199" s="1">
        <v>45078</v>
      </c>
      <c r="C9199">
        <v>851290</v>
      </c>
      <c r="D9199" t="s">
        <v>176</v>
      </c>
      <c r="E9199">
        <v>130471</v>
      </c>
      <c r="F9199">
        <v>12135</v>
      </c>
      <c r="G9199">
        <v>342</v>
      </c>
      <c r="H9199">
        <f>_xlfn.XLOOKUP(FACT_IMPORTS[[#This Row],[hts_6]],DIM_PRODUCTS[hts_6],DIM_PRODUCTS[hts_4],,,)</f>
        <v>8512</v>
      </c>
      <c r="I9199" t="str" cm="1">
        <f t="array" ref="I9199">_xlfn.XLOOKUP(FACT_IMPORTS[[#This Row],[country_name]],DIM_COUNTRY[[#All],[Column2]],DIM_COUNTRY[[#All],[Column3]],,,)</f>
        <v>USMCA</v>
      </c>
    </row>
    <row r="9200" spans="1:9" x14ac:dyDescent="0.4">
      <c r="A9200" t="s">
        <v>64</v>
      </c>
      <c r="B9200" s="1">
        <v>45078</v>
      </c>
      <c r="C9200">
        <v>854231</v>
      </c>
      <c r="D9200" t="s">
        <v>176</v>
      </c>
      <c r="E9200">
        <v>0</v>
      </c>
      <c r="F9200">
        <v>0</v>
      </c>
      <c r="G9200">
        <v>0</v>
      </c>
      <c r="H9200">
        <f>_xlfn.XLOOKUP(FACT_IMPORTS[[#This Row],[hts_6]],DIM_PRODUCTS[hts_6],DIM_PRODUCTS[hts_4],,,)</f>
        <v>8542</v>
      </c>
      <c r="I9200" t="str" cm="1">
        <f t="array" ref="I9200">_xlfn.XLOOKUP(FACT_IMPORTS[[#This Row],[country_name]],DIM_COUNTRY[[#All],[Column2]],DIM_COUNTRY[[#All],[Column3]],,,)</f>
        <v>USMCA</v>
      </c>
    </row>
    <row r="9201" spans="1:9" x14ac:dyDescent="0.4">
      <c r="A9201" t="s">
        <v>64</v>
      </c>
      <c r="B9201" s="1">
        <v>45078</v>
      </c>
      <c r="C9201">
        <v>854232</v>
      </c>
      <c r="D9201" t="s">
        <v>176</v>
      </c>
      <c r="E9201">
        <v>5239</v>
      </c>
      <c r="F9201">
        <v>2</v>
      </c>
      <c r="G9201">
        <v>12</v>
      </c>
      <c r="H9201">
        <f>_xlfn.XLOOKUP(FACT_IMPORTS[[#This Row],[hts_6]],DIM_PRODUCTS[hts_6],DIM_PRODUCTS[hts_4],,,)</f>
        <v>8542</v>
      </c>
      <c r="I9201" t="str" cm="1">
        <f t="array" ref="I9201">_xlfn.XLOOKUP(FACT_IMPORTS[[#This Row],[country_name]],DIM_COUNTRY[[#All],[Column2]],DIM_COUNTRY[[#All],[Column3]],,,)</f>
        <v>USMCA</v>
      </c>
    </row>
    <row r="9202" spans="1:9" x14ac:dyDescent="0.4">
      <c r="A9202" t="s">
        <v>64</v>
      </c>
      <c r="B9202" s="1">
        <v>45078</v>
      </c>
      <c r="C9202">
        <v>854290</v>
      </c>
      <c r="D9202" t="s">
        <v>176</v>
      </c>
      <c r="E9202">
        <v>2383</v>
      </c>
      <c r="F9202">
        <v>4</v>
      </c>
      <c r="G9202">
        <v>5</v>
      </c>
      <c r="H9202">
        <f>_xlfn.XLOOKUP(FACT_IMPORTS[[#This Row],[hts_6]],DIM_PRODUCTS[hts_6],DIM_PRODUCTS[hts_4],,,)</f>
        <v>8542</v>
      </c>
      <c r="I9202" t="str" cm="1">
        <f t="array" ref="I9202">_xlfn.XLOOKUP(FACT_IMPORTS[[#This Row],[country_name]],DIM_COUNTRY[[#All],[Column2]],DIM_COUNTRY[[#All],[Column3]],,,)</f>
        <v>USMCA</v>
      </c>
    </row>
    <row r="9203" spans="1:9" x14ac:dyDescent="0.4">
      <c r="A9203" t="s">
        <v>64</v>
      </c>
      <c r="B9203" s="1">
        <v>45078</v>
      </c>
      <c r="C9203">
        <v>854430</v>
      </c>
      <c r="D9203" t="s">
        <v>176</v>
      </c>
      <c r="E9203">
        <v>829607</v>
      </c>
      <c r="F9203">
        <v>74361</v>
      </c>
      <c r="G9203">
        <v>5308</v>
      </c>
      <c r="H9203">
        <f>_xlfn.XLOOKUP(FACT_IMPORTS[[#This Row],[hts_6]],DIM_PRODUCTS[hts_6],DIM_PRODUCTS[hts_4],,,)</f>
        <v>8544</v>
      </c>
      <c r="I9203" t="str" cm="1">
        <f t="array" ref="I9203">_xlfn.XLOOKUP(FACT_IMPORTS[[#This Row],[country_name]],DIM_COUNTRY[[#All],[Column2]],DIM_COUNTRY[[#All],[Column3]],,,)</f>
        <v>USMCA</v>
      </c>
    </row>
    <row r="9204" spans="1:9" x14ac:dyDescent="0.4">
      <c r="A9204" t="s">
        <v>64</v>
      </c>
      <c r="B9204" s="1">
        <v>45078</v>
      </c>
      <c r="C9204">
        <v>870810</v>
      </c>
      <c r="D9204" t="s">
        <v>176</v>
      </c>
      <c r="E9204">
        <v>11259</v>
      </c>
      <c r="F9204">
        <v>55</v>
      </c>
      <c r="G9204">
        <v>137</v>
      </c>
      <c r="H9204">
        <f>_xlfn.XLOOKUP(FACT_IMPORTS[[#This Row],[hts_6]],DIM_PRODUCTS[hts_6],DIM_PRODUCTS[hts_4],,,)</f>
        <v>8708</v>
      </c>
      <c r="I9204" t="str" cm="1">
        <f t="array" ref="I9204">_xlfn.XLOOKUP(FACT_IMPORTS[[#This Row],[country_name]],DIM_COUNTRY[[#All],[Column2]],DIM_COUNTRY[[#All],[Column3]],,,)</f>
        <v>USMCA</v>
      </c>
    </row>
    <row r="9205" spans="1:9" x14ac:dyDescent="0.4">
      <c r="A9205" t="s">
        <v>64</v>
      </c>
      <c r="B9205" s="1">
        <v>45078</v>
      </c>
      <c r="C9205">
        <v>870821</v>
      </c>
      <c r="D9205" t="s">
        <v>176</v>
      </c>
      <c r="E9205">
        <v>0</v>
      </c>
      <c r="F9205">
        <v>0</v>
      </c>
      <c r="G9205">
        <v>0</v>
      </c>
      <c r="H9205">
        <f>_xlfn.XLOOKUP(FACT_IMPORTS[[#This Row],[hts_6]],DIM_PRODUCTS[hts_6],DIM_PRODUCTS[hts_4],,,)</f>
        <v>8708</v>
      </c>
      <c r="I9205" t="str" cm="1">
        <f t="array" ref="I9205">_xlfn.XLOOKUP(FACT_IMPORTS[[#This Row],[country_name]],DIM_COUNTRY[[#All],[Column2]],DIM_COUNTRY[[#All],[Column3]],,,)</f>
        <v>USMCA</v>
      </c>
    </row>
    <row r="9206" spans="1:9" x14ac:dyDescent="0.4">
      <c r="A9206" t="s">
        <v>64</v>
      </c>
      <c r="B9206" s="1">
        <v>45078</v>
      </c>
      <c r="C9206">
        <v>870822</v>
      </c>
      <c r="D9206" t="s">
        <v>176</v>
      </c>
      <c r="E9206">
        <v>2151</v>
      </c>
      <c r="F9206">
        <v>10</v>
      </c>
      <c r="G9206">
        <v>43</v>
      </c>
      <c r="H9206">
        <f>_xlfn.XLOOKUP(FACT_IMPORTS[[#This Row],[hts_6]],DIM_PRODUCTS[hts_6],DIM_PRODUCTS[hts_4],,,)</f>
        <v>8708</v>
      </c>
      <c r="I9206" t="str" cm="1">
        <f t="array" ref="I9206">_xlfn.XLOOKUP(FACT_IMPORTS[[#This Row],[country_name]],DIM_COUNTRY[[#All],[Column2]],DIM_COUNTRY[[#All],[Column3]],,,)</f>
        <v>USMCA</v>
      </c>
    </row>
    <row r="9207" spans="1:9" x14ac:dyDescent="0.4">
      <c r="A9207" t="s">
        <v>64</v>
      </c>
      <c r="B9207" s="1">
        <v>45078</v>
      </c>
      <c r="C9207">
        <v>870829</v>
      </c>
      <c r="D9207" t="s">
        <v>176</v>
      </c>
      <c r="E9207">
        <v>751132</v>
      </c>
      <c r="F9207">
        <v>11987</v>
      </c>
      <c r="G9207">
        <v>18404</v>
      </c>
      <c r="H9207">
        <f>_xlfn.XLOOKUP(FACT_IMPORTS[[#This Row],[hts_6]],DIM_PRODUCTS[hts_6],DIM_PRODUCTS[hts_4],,,)</f>
        <v>8708</v>
      </c>
      <c r="I9207" t="str" cm="1">
        <f t="array" ref="I9207">_xlfn.XLOOKUP(FACT_IMPORTS[[#This Row],[country_name]],DIM_COUNTRY[[#All],[Column2]],DIM_COUNTRY[[#All],[Column3]],,,)</f>
        <v>USMCA</v>
      </c>
    </row>
    <row r="9208" spans="1:9" x14ac:dyDescent="0.4">
      <c r="A9208" t="s">
        <v>64</v>
      </c>
      <c r="B9208" s="1">
        <v>45078</v>
      </c>
      <c r="C9208">
        <v>870830</v>
      </c>
      <c r="D9208" t="s">
        <v>176</v>
      </c>
      <c r="E9208">
        <v>154101</v>
      </c>
      <c r="F9208">
        <v>3387</v>
      </c>
      <c r="G9208">
        <v>1272</v>
      </c>
      <c r="H9208">
        <f>_xlfn.XLOOKUP(FACT_IMPORTS[[#This Row],[hts_6]],DIM_PRODUCTS[hts_6],DIM_PRODUCTS[hts_4],,,)</f>
        <v>8708</v>
      </c>
      <c r="I9208" t="str" cm="1">
        <f t="array" ref="I9208">_xlfn.XLOOKUP(FACT_IMPORTS[[#This Row],[country_name]],DIM_COUNTRY[[#All],[Column2]],DIM_COUNTRY[[#All],[Column3]],,,)</f>
        <v>USMCA</v>
      </c>
    </row>
    <row r="9209" spans="1:9" x14ac:dyDescent="0.4">
      <c r="A9209" t="s">
        <v>64</v>
      </c>
      <c r="B9209" s="1">
        <v>45078</v>
      </c>
      <c r="C9209">
        <v>870840</v>
      </c>
      <c r="D9209" t="s">
        <v>176</v>
      </c>
      <c r="E9209">
        <v>82056</v>
      </c>
      <c r="F9209">
        <v>2051</v>
      </c>
      <c r="G9209">
        <v>630</v>
      </c>
      <c r="H9209">
        <f>_xlfn.XLOOKUP(FACT_IMPORTS[[#This Row],[hts_6]],DIM_PRODUCTS[hts_6],DIM_PRODUCTS[hts_4],,,)</f>
        <v>8708</v>
      </c>
      <c r="I9209" t="str" cm="1">
        <f t="array" ref="I9209">_xlfn.XLOOKUP(FACT_IMPORTS[[#This Row],[country_name]],DIM_COUNTRY[[#All],[Column2]],DIM_COUNTRY[[#All],[Column3]],,,)</f>
        <v>USMCA</v>
      </c>
    </row>
    <row r="9210" spans="1:9" x14ac:dyDescent="0.4">
      <c r="A9210" t="s">
        <v>64</v>
      </c>
      <c r="B9210" s="1">
        <v>45078</v>
      </c>
      <c r="C9210">
        <v>870850</v>
      </c>
      <c r="D9210" t="s">
        <v>176</v>
      </c>
      <c r="E9210">
        <v>45179</v>
      </c>
      <c r="F9210">
        <v>82</v>
      </c>
      <c r="G9210">
        <v>120</v>
      </c>
      <c r="H9210">
        <f>_xlfn.XLOOKUP(FACT_IMPORTS[[#This Row],[hts_6]],DIM_PRODUCTS[hts_6],DIM_PRODUCTS[hts_4],,,)</f>
        <v>8708</v>
      </c>
      <c r="I9210" t="str" cm="1">
        <f t="array" ref="I9210">_xlfn.XLOOKUP(FACT_IMPORTS[[#This Row],[country_name]],DIM_COUNTRY[[#All],[Column2]],DIM_COUNTRY[[#All],[Column3]],,,)</f>
        <v>USMCA</v>
      </c>
    </row>
    <row r="9211" spans="1:9" x14ac:dyDescent="0.4">
      <c r="A9211" t="s">
        <v>64</v>
      </c>
      <c r="B9211" s="1">
        <v>45078</v>
      </c>
      <c r="C9211">
        <v>870870</v>
      </c>
      <c r="D9211" t="s">
        <v>176</v>
      </c>
      <c r="E9211">
        <v>72048</v>
      </c>
      <c r="F9211">
        <v>1752</v>
      </c>
      <c r="G9211">
        <v>1465</v>
      </c>
      <c r="H9211">
        <f>_xlfn.XLOOKUP(FACT_IMPORTS[[#This Row],[hts_6]],DIM_PRODUCTS[hts_6],DIM_PRODUCTS[hts_4],,,)</f>
        <v>8708</v>
      </c>
      <c r="I9211" t="str" cm="1">
        <f t="array" ref="I9211">_xlfn.XLOOKUP(FACT_IMPORTS[[#This Row],[country_name]],DIM_COUNTRY[[#All],[Column2]],DIM_COUNTRY[[#All],[Column3]],,,)</f>
        <v>USMCA</v>
      </c>
    </row>
    <row r="9212" spans="1:9" x14ac:dyDescent="0.4">
      <c r="A9212" t="s">
        <v>64</v>
      </c>
      <c r="B9212" s="1">
        <v>45078</v>
      </c>
      <c r="C9212">
        <v>870880</v>
      </c>
      <c r="D9212" t="s">
        <v>176</v>
      </c>
      <c r="E9212">
        <v>65817</v>
      </c>
      <c r="F9212">
        <v>1955</v>
      </c>
      <c r="G9212">
        <v>486</v>
      </c>
      <c r="H9212">
        <f>_xlfn.XLOOKUP(FACT_IMPORTS[[#This Row],[hts_6]],DIM_PRODUCTS[hts_6],DIM_PRODUCTS[hts_4],,,)</f>
        <v>8708</v>
      </c>
      <c r="I9212" t="str" cm="1">
        <f t="array" ref="I9212">_xlfn.XLOOKUP(FACT_IMPORTS[[#This Row],[country_name]],DIM_COUNTRY[[#All],[Column2]],DIM_COUNTRY[[#All],[Column3]],,,)</f>
        <v>USMCA</v>
      </c>
    </row>
    <row r="9213" spans="1:9" x14ac:dyDescent="0.4">
      <c r="A9213" t="s">
        <v>64</v>
      </c>
      <c r="B9213" s="1">
        <v>45078</v>
      </c>
      <c r="C9213">
        <v>870891</v>
      </c>
      <c r="D9213" t="s">
        <v>176</v>
      </c>
      <c r="E9213">
        <v>19330</v>
      </c>
      <c r="F9213">
        <v>100</v>
      </c>
      <c r="G9213">
        <v>6795</v>
      </c>
      <c r="H9213">
        <f>_xlfn.XLOOKUP(FACT_IMPORTS[[#This Row],[hts_6]],DIM_PRODUCTS[hts_6],DIM_PRODUCTS[hts_4],,,)</f>
        <v>8708</v>
      </c>
      <c r="I9213" t="str" cm="1">
        <f t="array" ref="I9213">_xlfn.XLOOKUP(FACT_IMPORTS[[#This Row],[country_name]],DIM_COUNTRY[[#All],[Column2]],DIM_COUNTRY[[#All],[Column3]],,,)</f>
        <v>USMCA</v>
      </c>
    </row>
    <row r="9214" spans="1:9" x14ac:dyDescent="0.4">
      <c r="A9214" t="s">
        <v>64</v>
      </c>
      <c r="B9214" s="1">
        <v>45078</v>
      </c>
      <c r="C9214">
        <v>870892</v>
      </c>
      <c r="D9214" t="s">
        <v>176</v>
      </c>
      <c r="E9214">
        <v>11950</v>
      </c>
      <c r="F9214">
        <v>937</v>
      </c>
      <c r="G9214">
        <v>63</v>
      </c>
      <c r="H9214">
        <f>_xlfn.XLOOKUP(FACT_IMPORTS[[#This Row],[hts_6]],DIM_PRODUCTS[hts_6],DIM_PRODUCTS[hts_4],,,)</f>
        <v>8708</v>
      </c>
      <c r="I9214" t="str" cm="1">
        <f t="array" ref="I9214">_xlfn.XLOOKUP(FACT_IMPORTS[[#This Row],[country_name]],DIM_COUNTRY[[#All],[Column2]],DIM_COUNTRY[[#All],[Column3]],,,)</f>
        <v>USMCA</v>
      </c>
    </row>
    <row r="9215" spans="1:9" x14ac:dyDescent="0.4">
      <c r="A9215" t="s">
        <v>64</v>
      </c>
      <c r="B9215" s="1">
        <v>45078</v>
      </c>
      <c r="C9215">
        <v>870893</v>
      </c>
      <c r="D9215" t="s">
        <v>176</v>
      </c>
      <c r="E9215">
        <v>167966</v>
      </c>
      <c r="F9215">
        <v>7782</v>
      </c>
      <c r="G9215">
        <v>941</v>
      </c>
      <c r="H9215">
        <f>_xlfn.XLOOKUP(FACT_IMPORTS[[#This Row],[hts_6]],DIM_PRODUCTS[hts_6],DIM_PRODUCTS[hts_4],,,)</f>
        <v>8708</v>
      </c>
      <c r="I9215" t="str" cm="1">
        <f t="array" ref="I9215">_xlfn.XLOOKUP(FACT_IMPORTS[[#This Row],[country_name]],DIM_COUNTRY[[#All],[Column2]],DIM_COUNTRY[[#All],[Column3]],,,)</f>
        <v>USMCA</v>
      </c>
    </row>
    <row r="9216" spans="1:9" x14ac:dyDescent="0.4">
      <c r="A9216" t="s">
        <v>64</v>
      </c>
      <c r="B9216" s="1">
        <v>45078</v>
      </c>
      <c r="C9216">
        <v>870894</v>
      </c>
      <c r="D9216" t="s">
        <v>176</v>
      </c>
      <c r="E9216">
        <v>174548</v>
      </c>
      <c r="F9216">
        <v>629</v>
      </c>
      <c r="G9216">
        <v>13739</v>
      </c>
      <c r="H9216">
        <f>_xlfn.XLOOKUP(FACT_IMPORTS[[#This Row],[hts_6]],DIM_PRODUCTS[hts_6],DIM_PRODUCTS[hts_4],,,)</f>
        <v>8708</v>
      </c>
      <c r="I9216" t="str" cm="1">
        <f t="array" ref="I9216">_xlfn.XLOOKUP(FACT_IMPORTS[[#This Row],[country_name]],DIM_COUNTRY[[#All],[Column2]],DIM_COUNTRY[[#All],[Column3]],,,)</f>
        <v>USMCA</v>
      </c>
    </row>
    <row r="9217" spans="1:9" x14ac:dyDescent="0.4">
      <c r="A9217" t="s">
        <v>64</v>
      </c>
      <c r="B9217" s="1">
        <v>45078</v>
      </c>
      <c r="C9217">
        <v>870895</v>
      </c>
      <c r="D9217" t="s">
        <v>176</v>
      </c>
      <c r="E9217">
        <v>153510</v>
      </c>
      <c r="F9217">
        <v>3214</v>
      </c>
      <c r="G9217">
        <v>6750</v>
      </c>
      <c r="H9217">
        <f>_xlfn.XLOOKUP(FACT_IMPORTS[[#This Row],[hts_6]],DIM_PRODUCTS[hts_6],DIM_PRODUCTS[hts_4],,,)</f>
        <v>8708</v>
      </c>
      <c r="I9217" t="str" cm="1">
        <f t="array" ref="I9217">_xlfn.XLOOKUP(FACT_IMPORTS[[#This Row],[country_name]],DIM_COUNTRY[[#All],[Column2]],DIM_COUNTRY[[#All],[Column3]],,,)</f>
        <v>USMCA</v>
      </c>
    </row>
    <row r="9218" spans="1:9" x14ac:dyDescent="0.4">
      <c r="A9218" t="s">
        <v>64</v>
      </c>
      <c r="B9218" s="1">
        <v>45078</v>
      </c>
      <c r="C9218">
        <v>870899</v>
      </c>
      <c r="D9218" t="s">
        <v>176</v>
      </c>
      <c r="E9218">
        <v>182219</v>
      </c>
      <c r="F9218">
        <v>4617</v>
      </c>
      <c r="G9218">
        <v>15758</v>
      </c>
      <c r="H9218">
        <f>_xlfn.XLOOKUP(FACT_IMPORTS[[#This Row],[hts_6]],DIM_PRODUCTS[hts_6],DIM_PRODUCTS[hts_4],,,)</f>
        <v>8708</v>
      </c>
      <c r="I9218" t="str" cm="1">
        <f t="array" ref="I9218">_xlfn.XLOOKUP(FACT_IMPORTS[[#This Row],[country_name]],DIM_COUNTRY[[#All],[Column2]],DIM_COUNTRY[[#All],[Column3]],,,)</f>
        <v>USMCA</v>
      </c>
    </row>
    <row r="9219" spans="1:9" x14ac:dyDescent="0.4">
      <c r="A9219" t="s">
        <v>64</v>
      </c>
      <c r="B9219" s="1">
        <v>45078</v>
      </c>
      <c r="C9219">
        <v>940120</v>
      </c>
      <c r="D9219" t="s">
        <v>176</v>
      </c>
      <c r="E9219">
        <v>21525</v>
      </c>
      <c r="F9219">
        <v>60</v>
      </c>
      <c r="G9219">
        <v>2458</v>
      </c>
      <c r="H9219">
        <f>_xlfn.XLOOKUP(FACT_IMPORTS[[#This Row],[hts_6]],DIM_PRODUCTS[hts_6],DIM_PRODUCTS[hts_4],,,)</f>
        <v>9401</v>
      </c>
      <c r="I9219" t="str" cm="1">
        <f t="array" ref="I9219">_xlfn.XLOOKUP(FACT_IMPORTS[[#This Row],[country_name]],DIM_COUNTRY[[#All],[Column2]],DIM_COUNTRY[[#All],[Column3]],,,)</f>
        <v>USMCA</v>
      </c>
    </row>
    <row r="9220" spans="1:9" x14ac:dyDescent="0.4">
      <c r="A9220" t="s">
        <v>64</v>
      </c>
      <c r="B9220" s="1">
        <v>45108</v>
      </c>
      <c r="C9220">
        <v>392630</v>
      </c>
      <c r="D9220" t="s">
        <v>176</v>
      </c>
      <c r="E9220">
        <v>843</v>
      </c>
      <c r="F9220">
        <v>343</v>
      </c>
      <c r="G9220">
        <v>55</v>
      </c>
      <c r="H9220">
        <f>_xlfn.XLOOKUP(FACT_IMPORTS[[#This Row],[hts_6]],DIM_PRODUCTS[hts_6],DIM_PRODUCTS[hts_4],,,)</f>
        <v>3926</v>
      </c>
      <c r="I9220" t="str" cm="1">
        <f t="array" ref="I9220">_xlfn.XLOOKUP(FACT_IMPORTS[[#This Row],[country_name]],DIM_COUNTRY[[#All],[Column2]],DIM_COUNTRY[[#All],[Column3]],,,)</f>
        <v>USMCA</v>
      </c>
    </row>
    <row r="9221" spans="1:9" x14ac:dyDescent="0.4">
      <c r="A9221" t="s">
        <v>64</v>
      </c>
      <c r="B9221" s="1">
        <v>45108</v>
      </c>
      <c r="C9221">
        <v>401110</v>
      </c>
      <c r="D9221" t="s">
        <v>176</v>
      </c>
      <c r="E9221">
        <v>53518</v>
      </c>
      <c r="F9221">
        <v>723</v>
      </c>
      <c r="G9221">
        <v>856</v>
      </c>
      <c r="H9221">
        <f>_xlfn.XLOOKUP(FACT_IMPORTS[[#This Row],[hts_6]],DIM_PRODUCTS[hts_6],DIM_PRODUCTS[hts_4],,,)</f>
        <v>4011</v>
      </c>
      <c r="I9221" t="str" cm="1">
        <f t="array" ref="I9221">_xlfn.XLOOKUP(FACT_IMPORTS[[#This Row],[country_name]],DIM_COUNTRY[[#All],[Column2]],DIM_COUNTRY[[#All],[Column3]],,,)</f>
        <v>USMCA</v>
      </c>
    </row>
    <row r="9222" spans="1:9" x14ac:dyDescent="0.4">
      <c r="A9222" t="s">
        <v>64</v>
      </c>
      <c r="B9222" s="1">
        <v>45108</v>
      </c>
      <c r="C9222">
        <v>401120</v>
      </c>
      <c r="D9222" t="s">
        <v>176</v>
      </c>
      <c r="E9222">
        <v>0</v>
      </c>
      <c r="F9222">
        <v>0</v>
      </c>
      <c r="G9222">
        <v>0</v>
      </c>
      <c r="H9222">
        <f>_xlfn.XLOOKUP(FACT_IMPORTS[[#This Row],[hts_6]],DIM_PRODUCTS[hts_6],DIM_PRODUCTS[hts_4],,,)</f>
        <v>4011</v>
      </c>
      <c r="I9222" t="str" cm="1">
        <f t="array" ref="I9222">_xlfn.XLOOKUP(FACT_IMPORTS[[#This Row],[country_name]],DIM_COUNTRY[[#All],[Column2]],DIM_COUNTRY[[#All],[Column3]],,,)</f>
        <v>USMCA</v>
      </c>
    </row>
    <row r="9223" spans="1:9" x14ac:dyDescent="0.4">
      <c r="A9223" t="s">
        <v>64</v>
      </c>
      <c r="B9223" s="1">
        <v>45108</v>
      </c>
      <c r="C9223">
        <v>401190</v>
      </c>
      <c r="D9223" t="s">
        <v>176</v>
      </c>
      <c r="E9223">
        <v>0</v>
      </c>
      <c r="F9223">
        <v>0</v>
      </c>
      <c r="G9223">
        <v>0</v>
      </c>
      <c r="H9223">
        <f>_xlfn.XLOOKUP(FACT_IMPORTS[[#This Row],[hts_6]],DIM_PRODUCTS[hts_6],DIM_PRODUCTS[hts_4],,,)</f>
        <v>4011</v>
      </c>
      <c r="I9223" t="str" cm="1">
        <f t="array" ref="I9223">_xlfn.XLOOKUP(FACT_IMPORTS[[#This Row],[country_name]],DIM_COUNTRY[[#All],[Column2]],DIM_COUNTRY[[#All],[Column3]],,,)</f>
        <v>USMCA</v>
      </c>
    </row>
    <row r="9224" spans="1:9" x14ac:dyDescent="0.4">
      <c r="A9224" t="s">
        <v>64</v>
      </c>
      <c r="B9224" s="1">
        <v>45108</v>
      </c>
      <c r="C9224">
        <v>700910</v>
      </c>
      <c r="D9224" t="s">
        <v>176</v>
      </c>
      <c r="E9224">
        <v>0</v>
      </c>
      <c r="F9224">
        <v>0</v>
      </c>
      <c r="G9224">
        <v>0</v>
      </c>
      <c r="H9224">
        <f>_xlfn.XLOOKUP(FACT_IMPORTS[[#This Row],[hts_6]],DIM_PRODUCTS[hts_6],DIM_PRODUCTS[hts_4],,,)</f>
        <v>7009</v>
      </c>
      <c r="I9224" t="str" cm="1">
        <f t="array" ref="I9224">_xlfn.XLOOKUP(FACT_IMPORTS[[#This Row],[country_name]],DIM_COUNTRY[[#All],[Column2]],DIM_COUNTRY[[#All],[Column3]],,,)</f>
        <v>USMCA</v>
      </c>
    </row>
    <row r="9225" spans="1:9" x14ac:dyDescent="0.4">
      <c r="A9225" t="s">
        <v>64</v>
      </c>
      <c r="B9225" s="1">
        <v>45108</v>
      </c>
      <c r="C9225">
        <v>732010</v>
      </c>
      <c r="D9225" t="s">
        <v>176</v>
      </c>
      <c r="E9225">
        <v>0</v>
      </c>
      <c r="F9225">
        <v>0</v>
      </c>
      <c r="G9225">
        <v>0</v>
      </c>
      <c r="H9225">
        <f>_xlfn.XLOOKUP(FACT_IMPORTS[[#This Row],[hts_6]],DIM_PRODUCTS[hts_6],DIM_PRODUCTS[hts_4],,,)</f>
        <v>7320</v>
      </c>
      <c r="I9225" t="str" cm="1">
        <f t="array" ref="I9225">_xlfn.XLOOKUP(FACT_IMPORTS[[#This Row],[country_name]],DIM_COUNTRY[[#All],[Column2]],DIM_COUNTRY[[#All],[Column3]],,,)</f>
        <v>USMCA</v>
      </c>
    </row>
    <row r="9226" spans="1:9" x14ac:dyDescent="0.4">
      <c r="A9226" t="s">
        <v>64</v>
      </c>
      <c r="B9226" s="1">
        <v>45108</v>
      </c>
      <c r="C9226">
        <v>830230</v>
      </c>
      <c r="D9226" t="s">
        <v>176</v>
      </c>
      <c r="E9226">
        <v>55619</v>
      </c>
      <c r="F9226">
        <v>6606</v>
      </c>
      <c r="G9226">
        <v>29</v>
      </c>
      <c r="H9226">
        <f>_xlfn.XLOOKUP(FACT_IMPORTS[[#This Row],[hts_6]],DIM_PRODUCTS[hts_6],DIM_PRODUCTS[hts_4],,,)</f>
        <v>8302</v>
      </c>
      <c r="I9226" t="str" cm="1">
        <f t="array" ref="I9226">_xlfn.XLOOKUP(FACT_IMPORTS[[#This Row],[country_name]],DIM_COUNTRY[[#All],[Column2]],DIM_COUNTRY[[#All],[Column3]],,,)</f>
        <v>USMCA</v>
      </c>
    </row>
    <row r="9227" spans="1:9" x14ac:dyDescent="0.4">
      <c r="A9227" t="s">
        <v>64</v>
      </c>
      <c r="B9227" s="1">
        <v>45108</v>
      </c>
      <c r="C9227">
        <v>840733</v>
      </c>
      <c r="D9227" t="s">
        <v>176</v>
      </c>
      <c r="E9227">
        <v>0</v>
      </c>
      <c r="F9227">
        <v>0</v>
      </c>
      <c r="G9227">
        <v>0</v>
      </c>
      <c r="H9227">
        <f>_xlfn.XLOOKUP(FACT_IMPORTS[[#This Row],[hts_6]],DIM_PRODUCTS[hts_6],DIM_PRODUCTS[hts_4],,,)</f>
        <v>8407</v>
      </c>
      <c r="I9227" t="str" cm="1">
        <f t="array" ref="I9227">_xlfn.XLOOKUP(FACT_IMPORTS[[#This Row],[country_name]],DIM_COUNTRY[[#All],[Column2]],DIM_COUNTRY[[#All],[Column3]],,,)</f>
        <v>USMCA</v>
      </c>
    </row>
    <row r="9228" spans="1:9" x14ac:dyDescent="0.4">
      <c r="A9228" t="s">
        <v>64</v>
      </c>
      <c r="B9228" s="1">
        <v>45108</v>
      </c>
      <c r="C9228">
        <v>840734</v>
      </c>
      <c r="D9228" t="s">
        <v>176</v>
      </c>
      <c r="E9228">
        <v>253427</v>
      </c>
      <c r="F9228">
        <v>80</v>
      </c>
      <c r="G9228">
        <v>1040</v>
      </c>
      <c r="H9228">
        <f>_xlfn.XLOOKUP(FACT_IMPORTS[[#This Row],[hts_6]],DIM_PRODUCTS[hts_6],DIM_PRODUCTS[hts_4],,,)</f>
        <v>8407</v>
      </c>
      <c r="I9228" t="str" cm="1">
        <f t="array" ref="I9228">_xlfn.XLOOKUP(FACT_IMPORTS[[#This Row],[country_name]],DIM_COUNTRY[[#All],[Column2]],DIM_COUNTRY[[#All],[Column3]],,,)</f>
        <v>USMCA</v>
      </c>
    </row>
    <row r="9229" spans="1:9" x14ac:dyDescent="0.4">
      <c r="A9229" t="s">
        <v>64</v>
      </c>
      <c r="B9229" s="1">
        <v>45108</v>
      </c>
      <c r="C9229">
        <v>840820</v>
      </c>
      <c r="D9229" t="s">
        <v>176</v>
      </c>
      <c r="E9229">
        <v>26600</v>
      </c>
      <c r="F9229">
        <v>6</v>
      </c>
      <c r="G9229">
        <v>199</v>
      </c>
      <c r="H9229">
        <f>_xlfn.XLOOKUP(FACT_IMPORTS[[#This Row],[hts_6]],DIM_PRODUCTS[hts_6],DIM_PRODUCTS[hts_4],,,)</f>
        <v>8408</v>
      </c>
      <c r="I9229" t="str" cm="1">
        <f t="array" ref="I9229">_xlfn.XLOOKUP(FACT_IMPORTS[[#This Row],[country_name]],DIM_COUNTRY[[#All],[Column2]],DIM_COUNTRY[[#All],[Column3]],,,)</f>
        <v>USMCA</v>
      </c>
    </row>
    <row r="9230" spans="1:9" x14ac:dyDescent="0.4">
      <c r="A9230" t="s">
        <v>64</v>
      </c>
      <c r="B9230" s="1">
        <v>45108</v>
      </c>
      <c r="C9230">
        <v>840890</v>
      </c>
      <c r="D9230" t="s">
        <v>176</v>
      </c>
      <c r="E9230">
        <v>7200</v>
      </c>
      <c r="F9230">
        <v>3</v>
      </c>
      <c r="G9230">
        <v>33</v>
      </c>
      <c r="H9230">
        <f>_xlfn.XLOOKUP(FACT_IMPORTS[[#This Row],[hts_6]],DIM_PRODUCTS[hts_6],DIM_PRODUCTS[hts_4],,,)</f>
        <v>8408</v>
      </c>
      <c r="I9230" t="str" cm="1">
        <f t="array" ref="I9230">_xlfn.XLOOKUP(FACT_IMPORTS[[#This Row],[country_name]],DIM_COUNTRY[[#All],[Column2]],DIM_COUNTRY[[#All],[Column3]],,,)</f>
        <v>USMCA</v>
      </c>
    </row>
    <row r="9231" spans="1:9" x14ac:dyDescent="0.4">
      <c r="A9231" t="s">
        <v>64</v>
      </c>
      <c r="B9231" s="1">
        <v>45108</v>
      </c>
      <c r="C9231">
        <v>840991</v>
      </c>
      <c r="D9231" t="s">
        <v>176</v>
      </c>
      <c r="E9231">
        <v>793007</v>
      </c>
      <c r="F9231">
        <v>78966</v>
      </c>
      <c r="G9231">
        <v>3825</v>
      </c>
      <c r="H9231">
        <f>_xlfn.XLOOKUP(FACT_IMPORTS[[#This Row],[hts_6]],DIM_PRODUCTS[hts_6],DIM_PRODUCTS[hts_4],,,)</f>
        <v>8409</v>
      </c>
      <c r="I9231" t="str" cm="1">
        <f t="array" ref="I9231">_xlfn.XLOOKUP(FACT_IMPORTS[[#This Row],[country_name]],DIM_COUNTRY[[#All],[Column2]],DIM_COUNTRY[[#All],[Column3]],,,)</f>
        <v>USMCA</v>
      </c>
    </row>
    <row r="9232" spans="1:9" x14ac:dyDescent="0.4">
      <c r="A9232" t="s">
        <v>64</v>
      </c>
      <c r="B9232" s="1">
        <v>45108</v>
      </c>
      <c r="C9232">
        <v>840999</v>
      </c>
      <c r="D9232" t="s">
        <v>176</v>
      </c>
      <c r="E9232">
        <v>66206</v>
      </c>
      <c r="F9232">
        <v>2344</v>
      </c>
      <c r="G9232">
        <v>1129</v>
      </c>
      <c r="H9232">
        <f>_xlfn.XLOOKUP(FACT_IMPORTS[[#This Row],[hts_6]],DIM_PRODUCTS[hts_6],DIM_PRODUCTS[hts_4],,,)</f>
        <v>8409</v>
      </c>
      <c r="I9232" t="str" cm="1">
        <f t="array" ref="I9232">_xlfn.XLOOKUP(FACT_IMPORTS[[#This Row],[country_name]],DIM_COUNTRY[[#All],[Column2]],DIM_COUNTRY[[#All],[Column3]],,,)</f>
        <v>USMCA</v>
      </c>
    </row>
    <row r="9233" spans="1:9" x14ac:dyDescent="0.4">
      <c r="A9233" t="s">
        <v>64</v>
      </c>
      <c r="B9233" s="1">
        <v>45108</v>
      </c>
      <c r="C9233">
        <v>841330</v>
      </c>
      <c r="D9233" t="s">
        <v>176</v>
      </c>
      <c r="E9233">
        <v>62046</v>
      </c>
      <c r="F9233">
        <v>111</v>
      </c>
      <c r="G9233">
        <v>625</v>
      </c>
      <c r="H9233">
        <f>_xlfn.XLOOKUP(FACT_IMPORTS[[#This Row],[hts_6]],DIM_PRODUCTS[hts_6],DIM_PRODUCTS[hts_4],,,)</f>
        <v>8413</v>
      </c>
      <c r="I9233" t="str" cm="1">
        <f t="array" ref="I9233">_xlfn.XLOOKUP(FACT_IMPORTS[[#This Row],[country_name]],DIM_COUNTRY[[#All],[Column2]],DIM_COUNTRY[[#All],[Column3]],,,)</f>
        <v>USMCA</v>
      </c>
    </row>
    <row r="9234" spans="1:9" x14ac:dyDescent="0.4">
      <c r="A9234" t="s">
        <v>64</v>
      </c>
      <c r="B9234" s="1">
        <v>45108</v>
      </c>
      <c r="C9234">
        <v>842132</v>
      </c>
      <c r="D9234" t="s">
        <v>176</v>
      </c>
      <c r="E9234">
        <v>300974</v>
      </c>
      <c r="F9234">
        <v>2034</v>
      </c>
      <c r="G9234">
        <v>2164</v>
      </c>
      <c r="H9234">
        <f>_xlfn.XLOOKUP(FACT_IMPORTS[[#This Row],[hts_6]],DIM_PRODUCTS[hts_6],DIM_PRODUCTS[hts_4],,,)</f>
        <v>8421</v>
      </c>
      <c r="I9234" t="str" cm="1">
        <f t="array" ref="I9234">_xlfn.XLOOKUP(FACT_IMPORTS[[#This Row],[country_name]],DIM_COUNTRY[[#All],[Column2]],DIM_COUNTRY[[#All],[Column3]],,,)</f>
        <v>USMCA</v>
      </c>
    </row>
    <row r="9235" spans="1:9" x14ac:dyDescent="0.4">
      <c r="A9235" t="s">
        <v>64</v>
      </c>
      <c r="B9235" s="1">
        <v>45108</v>
      </c>
      <c r="C9235">
        <v>848210</v>
      </c>
      <c r="D9235" t="s">
        <v>176</v>
      </c>
      <c r="E9235">
        <v>0</v>
      </c>
      <c r="F9235">
        <v>0</v>
      </c>
      <c r="G9235">
        <v>0</v>
      </c>
      <c r="H9235">
        <f>_xlfn.XLOOKUP(FACT_IMPORTS[[#This Row],[hts_6]],DIM_PRODUCTS[hts_6],DIM_PRODUCTS[hts_4],,,)</f>
        <v>8482</v>
      </c>
      <c r="I9235" t="str" cm="1">
        <f t="array" ref="I9235">_xlfn.XLOOKUP(FACT_IMPORTS[[#This Row],[country_name]],DIM_COUNTRY[[#All],[Column2]],DIM_COUNTRY[[#All],[Column3]],,,)</f>
        <v>USMCA</v>
      </c>
    </row>
    <row r="9236" spans="1:9" x14ac:dyDescent="0.4">
      <c r="A9236" t="s">
        <v>64</v>
      </c>
      <c r="B9236" s="1">
        <v>45108</v>
      </c>
      <c r="C9236">
        <v>848220</v>
      </c>
      <c r="D9236" t="s">
        <v>176</v>
      </c>
      <c r="E9236">
        <v>0</v>
      </c>
      <c r="F9236">
        <v>0</v>
      </c>
      <c r="G9236">
        <v>0</v>
      </c>
      <c r="H9236">
        <f>_xlfn.XLOOKUP(FACT_IMPORTS[[#This Row],[hts_6]],DIM_PRODUCTS[hts_6],DIM_PRODUCTS[hts_4],,,)</f>
        <v>8482</v>
      </c>
      <c r="I9236" t="str" cm="1">
        <f t="array" ref="I9236">_xlfn.XLOOKUP(FACT_IMPORTS[[#This Row],[country_name]],DIM_COUNTRY[[#All],[Column2]],DIM_COUNTRY[[#All],[Column3]],,,)</f>
        <v>USMCA</v>
      </c>
    </row>
    <row r="9237" spans="1:9" x14ac:dyDescent="0.4">
      <c r="A9237" t="s">
        <v>64</v>
      </c>
      <c r="B9237" s="1">
        <v>45108</v>
      </c>
      <c r="C9237">
        <v>848310</v>
      </c>
      <c r="D9237" t="s">
        <v>176</v>
      </c>
      <c r="E9237">
        <v>0</v>
      </c>
      <c r="F9237">
        <v>0</v>
      </c>
      <c r="G9237">
        <v>0</v>
      </c>
      <c r="H9237">
        <f>_xlfn.XLOOKUP(FACT_IMPORTS[[#This Row],[hts_6]],DIM_PRODUCTS[hts_6],DIM_PRODUCTS[hts_4],,,)</f>
        <v>8483</v>
      </c>
      <c r="I9237" t="str" cm="1">
        <f t="array" ref="I9237">_xlfn.XLOOKUP(FACT_IMPORTS[[#This Row],[country_name]],DIM_COUNTRY[[#All],[Column2]],DIM_COUNTRY[[#All],[Column3]],,,)</f>
        <v>USMCA</v>
      </c>
    </row>
    <row r="9238" spans="1:9" x14ac:dyDescent="0.4">
      <c r="A9238" t="s">
        <v>64</v>
      </c>
      <c r="B9238" s="1">
        <v>45108</v>
      </c>
      <c r="C9238">
        <v>850131</v>
      </c>
      <c r="D9238" t="s">
        <v>176</v>
      </c>
      <c r="E9238">
        <v>107684</v>
      </c>
      <c r="F9238">
        <v>11085</v>
      </c>
      <c r="G9238">
        <v>426</v>
      </c>
      <c r="H9238">
        <f>_xlfn.XLOOKUP(FACT_IMPORTS[[#This Row],[hts_6]],DIM_PRODUCTS[hts_6],DIM_PRODUCTS[hts_4],,,)</f>
        <v>8501</v>
      </c>
      <c r="I9238" t="str" cm="1">
        <f t="array" ref="I9238">_xlfn.XLOOKUP(FACT_IMPORTS[[#This Row],[country_name]],DIM_COUNTRY[[#All],[Column2]],DIM_COUNTRY[[#All],[Column3]],,,)</f>
        <v>USMCA</v>
      </c>
    </row>
    <row r="9239" spans="1:9" x14ac:dyDescent="0.4">
      <c r="A9239" t="s">
        <v>64</v>
      </c>
      <c r="B9239" s="1">
        <v>45108</v>
      </c>
      <c r="C9239">
        <v>850132</v>
      </c>
      <c r="D9239" t="s">
        <v>176</v>
      </c>
      <c r="E9239">
        <v>4798</v>
      </c>
      <c r="F9239">
        <v>4</v>
      </c>
      <c r="G9239">
        <v>143</v>
      </c>
      <c r="H9239">
        <f>_xlfn.XLOOKUP(FACT_IMPORTS[[#This Row],[hts_6]],DIM_PRODUCTS[hts_6],DIM_PRODUCTS[hts_4],,,)</f>
        <v>8501</v>
      </c>
      <c r="I9239" t="str" cm="1">
        <f t="array" ref="I9239">_xlfn.XLOOKUP(FACT_IMPORTS[[#This Row],[country_name]],DIM_COUNTRY[[#All],[Column2]],DIM_COUNTRY[[#All],[Column3]],,,)</f>
        <v>USMCA</v>
      </c>
    </row>
    <row r="9240" spans="1:9" x14ac:dyDescent="0.4">
      <c r="A9240" t="s">
        <v>64</v>
      </c>
      <c r="B9240" s="1">
        <v>45108</v>
      </c>
      <c r="C9240">
        <v>850133</v>
      </c>
      <c r="D9240" t="s">
        <v>176</v>
      </c>
      <c r="E9240">
        <v>0</v>
      </c>
      <c r="F9240">
        <v>0</v>
      </c>
      <c r="G9240">
        <v>0</v>
      </c>
      <c r="H9240">
        <f>_xlfn.XLOOKUP(FACT_IMPORTS[[#This Row],[hts_6]],DIM_PRODUCTS[hts_6],DIM_PRODUCTS[hts_4],,,)</f>
        <v>8501</v>
      </c>
      <c r="I9240" t="str" cm="1">
        <f t="array" ref="I9240">_xlfn.XLOOKUP(FACT_IMPORTS[[#This Row],[country_name]],DIM_COUNTRY[[#All],[Column2]],DIM_COUNTRY[[#All],[Column3]],,,)</f>
        <v>USMCA</v>
      </c>
    </row>
    <row r="9241" spans="1:9" x14ac:dyDescent="0.4">
      <c r="A9241" t="s">
        <v>64</v>
      </c>
      <c r="B9241" s="1">
        <v>45108</v>
      </c>
      <c r="C9241">
        <v>850134</v>
      </c>
      <c r="D9241" t="s">
        <v>176</v>
      </c>
      <c r="E9241">
        <v>0</v>
      </c>
      <c r="F9241">
        <v>0</v>
      </c>
      <c r="G9241">
        <v>0</v>
      </c>
      <c r="H9241">
        <f>_xlfn.XLOOKUP(FACT_IMPORTS[[#This Row],[hts_6]],DIM_PRODUCTS[hts_6],DIM_PRODUCTS[hts_4],,,)</f>
        <v>8501</v>
      </c>
      <c r="I9241" t="str" cm="1">
        <f t="array" ref="I9241">_xlfn.XLOOKUP(FACT_IMPORTS[[#This Row],[country_name]],DIM_COUNTRY[[#All],[Column2]],DIM_COUNTRY[[#All],[Column3]],,,)</f>
        <v>USMCA</v>
      </c>
    </row>
    <row r="9242" spans="1:9" x14ac:dyDescent="0.4">
      <c r="A9242" t="s">
        <v>64</v>
      </c>
      <c r="B9242" s="1">
        <v>45108</v>
      </c>
      <c r="C9242">
        <v>850152</v>
      </c>
      <c r="D9242" t="s">
        <v>176</v>
      </c>
      <c r="E9242">
        <v>35684</v>
      </c>
      <c r="F9242">
        <v>58</v>
      </c>
      <c r="G9242">
        <v>739</v>
      </c>
      <c r="H9242">
        <f>_xlfn.XLOOKUP(FACT_IMPORTS[[#This Row],[hts_6]],DIM_PRODUCTS[hts_6],DIM_PRODUCTS[hts_4],,,)</f>
        <v>8501</v>
      </c>
      <c r="I9242" t="str" cm="1">
        <f t="array" ref="I9242">_xlfn.XLOOKUP(FACT_IMPORTS[[#This Row],[country_name]],DIM_COUNTRY[[#All],[Column2]],DIM_COUNTRY[[#All],[Column3]],,,)</f>
        <v>USMCA</v>
      </c>
    </row>
    <row r="9243" spans="1:9" x14ac:dyDescent="0.4">
      <c r="A9243" t="s">
        <v>64</v>
      </c>
      <c r="B9243" s="1">
        <v>45108</v>
      </c>
      <c r="C9243">
        <v>850153</v>
      </c>
      <c r="D9243" t="s">
        <v>176</v>
      </c>
      <c r="E9243">
        <v>0</v>
      </c>
      <c r="F9243">
        <v>0</v>
      </c>
      <c r="G9243">
        <v>0</v>
      </c>
      <c r="H9243">
        <f>_xlfn.XLOOKUP(FACT_IMPORTS[[#This Row],[hts_6]],DIM_PRODUCTS[hts_6],DIM_PRODUCTS[hts_4],,,)</f>
        <v>8501</v>
      </c>
      <c r="I9243" t="str" cm="1">
        <f t="array" ref="I9243">_xlfn.XLOOKUP(FACT_IMPORTS[[#This Row],[country_name]],DIM_COUNTRY[[#All],[Column2]],DIM_COUNTRY[[#All],[Column3]],,,)</f>
        <v>USMCA</v>
      </c>
    </row>
    <row r="9244" spans="1:9" x14ac:dyDescent="0.4">
      <c r="A9244" t="s">
        <v>64</v>
      </c>
      <c r="B9244" s="1">
        <v>45108</v>
      </c>
      <c r="C9244">
        <v>850161</v>
      </c>
      <c r="D9244" t="s">
        <v>176</v>
      </c>
      <c r="E9244">
        <v>0</v>
      </c>
      <c r="F9244">
        <v>0</v>
      </c>
      <c r="G9244">
        <v>0</v>
      </c>
      <c r="H9244">
        <f>_xlfn.XLOOKUP(FACT_IMPORTS[[#This Row],[hts_6]],DIM_PRODUCTS[hts_6],DIM_PRODUCTS[hts_4],,,)</f>
        <v>8501</v>
      </c>
      <c r="I9244" t="str" cm="1">
        <f t="array" ref="I9244">_xlfn.XLOOKUP(FACT_IMPORTS[[#This Row],[country_name]],DIM_COUNTRY[[#All],[Column2]],DIM_COUNTRY[[#All],[Column3]],,,)</f>
        <v>USMCA</v>
      </c>
    </row>
    <row r="9245" spans="1:9" x14ac:dyDescent="0.4">
      <c r="A9245" t="s">
        <v>64</v>
      </c>
      <c r="B9245" s="1">
        <v>45108</v>
      </c>
      <c r="C9245">
        <v>850440</v>
      </c>
      <c r="D9245" t="s">
        <v>176</v>
      </c>
      <c r="E9245">
        <v>53059</v>
      </c>
      <c r="F9245">
        <v>490</v>
      </c>
      <c r="G9245">
        <v>297</v>
      </c>
      <c r="H9245">
        <f>_xlfn.XLOOKUP(FACT_IMPORTS[[#This Row],[hts_6]],DIM_PRODUCTS[hts_6],DIM_PRODUCTS[hts_4],,,)</f>
        <v>8504</v>
      </c>
      <c r="I9245" t="str" cm="1">
        <f t="array" ref="I9245">_xlfn.XLOOKUP(FACT_IMPORTS[[#This Row],[country_name]],DIM_COUNTRY[[#All],[Column2]],DIM_COUNTRY[[#All],[Column3]],,,)</f>
        <v>USMCA</v>
      </c>
    </row>
    <row r="9246" spans="1:9" x14ac:dyDescent="0.4">
      <c r="A9246" t="s">
        <v>64</v>
      </c>
      <c r="B9246" s="1">
        <v>45108</v>
      </c>
      <c r="C9246">
        <v>850710</v>
      </c>
      <c r="D9246" t="s">
        <v>176</v>
      </c>
      <c r="E9246">
        <v>2385</v>
      </c>
      <c r="F9246">
        <v>9</v>
      </c>
      <c r="G9246">
        <v>68</v>
      </c>
      <c r="H9246">
        <f>_xlfn.XLOOKUP(FACT_IMPORTS[[#This Row],[hts_6]],DIM_PRODUCTS[hts_6],DIM_PRODUCTS[hts_4],,,)</f>
        <v>8507</v>
      </c>
      <c r="I9246" t="str" cm="1">
        <f t="array" ref="I9246">_xlfn.XLOOKUP(FACT_IMPORTS[[#This Row],[country_name]],DIM_COUNTRY[[#All],[Column2]],DIM_COUNTRY[[#All],[Column3]],,,)</f>
        <v>USMCA</v>
      </c>
    </row>
    <row r="9247" spans="1:9" x14ac:dyDescent="0.4">
      <c r="A9247" t="s">
        <v>64</v>
      </c>
      <c r="B9247" s="1">
        <v>45108</v>
      </c>
      <c r="C9247">
        <v>850760</v>
      </c>
      <c r="D9247" t="s">
        <v>176</v>
      </c>
      <c r="E9247">
        <v>0</v>
      </c>
      <c r="F9247">
        <v>0</v>
      </c>
      <c r="G9247">
        <v>0</v>
      </c>
      <c r="H9247">
        <f>_xlfn.XLOOKUP(FACT_IMPORTS[[#This Row],[hts_6]],DIM_PRODUCTS[hts_6],DIM_PRODUCTS[hts_4],,,)</f>
        <v>8507</v>
      </c>
      <c r="I9247" t="str" cm="1">
        <f t="array" ref="I9247">_xlfn.XLOOKUP(FACT_IMPORTS[[#This Row],[country_name]],DIM_COUNTRY[[#All],[Column2]],DIM_COUNTRY[[#All],[Column3]],,,)</f>
        <v>USMCA</v>
      </c>
    </row>
    <row r="9248" spans="1:9" x14ac:dyDescent="0.4">
      <c r="A9248" t="s">
        <v>64</v>
      </c>
      <c r="B9248" s="1">
        <v>45108</v>
      </c>
      <c r="C9248">
        <v>850790</v>
      </c>
      <c r="D9248" t="s">
        <v>176</v>
      </c>
      <c r="E9248">
        <v>0</v>
      </c>
      <c r="F9248">
        <v>0</v>
      </c>
      <c r="G9248">
        <v>0</v>
      </c>
      <c r="H9248">
        <f>_xlfn.XLOOKUP(FACT_IMPORTS[[#This Row],[hts_6]],DIM_PRODUCTS[hts_6],DIM_PRODUCTS[hts_4],,,)</f>
        <v>8507</v>
      </c>
      <c r="I9248" t="str" cm="1">
        <f t="array" ref="I9248">_xlfn.XLOOKUP(FACT_IMPORTS[[#This Row],[country_name]],DIM_COUNTRY[[#All],[Column2]],DIM_COUNTRY[[#All],[Column3]],,,)</f>
        <v>USMCA</v>
      </c>
    </row>
    <row r="9249" spans="1:9" x14ac:dyDescent="0.4">
      <c r="A9249" t="s">
        <v>64</v>
      </c>
      <c r="B9249" s="1">
        <v>45108</v>
      </c>
      <c r="C9249">
        <v>851110</v>
      </c>
      <c r="D9249" t="s">
        <v>176</v>
      </c>
      <c r="E9249">
        <v>0</v>
      </c>
      <c r="F9249">
        <v>0</v>
      </c>
      <c r="G9249">
        <v>0</v>
      </c>
      <c r="H9249">
        <f>_xlfn.XLOOKUP(FACT_IMPORTS[[#This Row],[hts_6]],DIM_PRODUCTS[hts_6],DIM_PRODUCTS[hts_4],,,)</f>
        <v>8511</v>
      </c>
      <c r="I9249" t="str" cm="1">
        <f t="array" ref="I9249">_xlfn.XLOOKUP(FACT_IMPORTS[[#This Row],[country_name]],DIM_COUNTRY[[#All],[Column2]],DIM_COUNTRY[[#All],[Column3]],,,)</f>
        <v>USMCA</v>
      </c>
    </row>
    <row r="9250" spans="1:9" x14ac:dyDescent="0.4">
      <c r="A9250" t="s">
        <v>64</v>
      </c>
      <c r="B9250" s="1">
        <v>45108</v>
      </c>
      <c r="C9250">
        <v>851130</v>
      </c>
      <c r="D9250" t="s">
        <v>176</v>
      </c>
      <c r="E9250">
        <v>0</v>
      </c>
      <c r="F9250">
        <v>0</v>
      </c>
      <c r="G9250">
        <v>0</v>
      </c>
      <c r="H9250">
        <f>_xlfn.XLOOKUP(FACT_IMPORTS[[#This Row],[hts_6]],DIM_PRODUCTS[hts_6],DIM_PRODUCTS[hts_4],,,)</f>
        <v>8511</v>
      </c>
      <c r="I9250" t="str" cm="1">
        <f t="array" ref="I9250">_xlfn.XLOOKUP(FACT_IMPORTS[[#This Row],[country_name]],DIM_COUNTRY[[#All],[Column2]],DIM_COUNTRY[[#All],[Column3]],,,)</f>
        <v>USMCA</v>
      </c>
    </row>
    <row r="9251" spans="1:9" x14ac:dyDescent="0.4">
      <c r="A9251" t="s">
        <v>64</v>
      </c>
      <c r="B9251" s="1">
        <v>45108</v>
      </c>
      <c r="C9251">
        <v>851140</v>
      </c>
      <c r="D9251" t="s">
        <v>176</v>
      </c>
      <c r="E9251">
        <v>48001</v>
      </c>
      <c r="F9251">
        <v>100</v>
      </c>
      <c r="G9251">
        <v>93</v>
      </c>
      <c r="H9251">
        <f>_xlfn.XLOOKUP(FACT_IMPORTS[[#This Row],[hts_6]],DIM_PRODUCTS[hts_6],DIM_PRODUCTS[hts_4],,,)</f>
        <v>8511</v>
      </c>
      <c r="I9251" t="str" cm="1">
        <f t="array" ref="I9251">_xlfn.XLOOKUP(FACT_IMPORTS[[#This Row],[country_name]],DIM_COUNTRY[[#All],[Column2]],DIM_COUNTRY[[#All],[Column3]],,,)</f>
        <v>USMCA</v>
      </c>
    </row>
    <row r="9252" spans="1:9" x14ac:dyDescent="0.4">
      <c r="A9252" t="s">
        <v>64</v>
      </c>
      <c r="B9252" s="1">
        <v>45108</v>
      </c>
      <c r="C9252">
        <v>851150</v>
      </c>
      <c r="D9252" t="s">
        <v>176</v>
      </c>
      <c r="E9252">
        <v>3800</v>
      </c>
      <c r="F9252">
        <v>43</v>
      </c>
      <c r="G9252">
        <v>127</v>
      </c>
      <c r="H9252">
        <f>_xlfn.XLOOKUP(FACT_IMPORTS[[#This Row],[hts_6]],DIM_PRODUCTS[hts_6],DIM_PRODUCTS[hts_4],,,)</f>
        <v>8511</v>
      </c>
      <c r="I9252" t="str" cm="1">
        <f t="array" ref="I9252">_xlfn.XLOOKUP(FACT_IMPORTS[[#This Row],[country_name]],DIM_COUNTRY[[#All],[Column2]],DIM_COUNTRY[[#All],[Column3]],,,)</f>
        <v>USMCA</v>
      </c>
    </row>
    <row r="9253" spans="1:9" x14ac:dyDescent="0.4">
      <c r="A9253" t="s">
        <v>64</v>
      </c>
      <c r="B9253" s="1">
        <v>45108</v>
      </c>
      <c r="C9253">
        <v>851180</v>
      </c>
      <c r="D9253" t="s">
        <v>176</v>
      </c>
      <c r="E9253">
        <v>5370</v>
      </c>
      <c r="F9253">
        <v>238</v>
      </c>
      <c r="G9253">
        <v>4</v>
      </c>
      <c r="H9253">
        <f>_xlfn.XLOOKUP(FACT_IMPORTS[[#This Row],[hts_6]],DIM_PRODUCTS[hts_6],DIM_PRODUCTS[hts_4],,,)</f>
        <v>8511</v>
      </c>
      <c r="I9253" t="str" cm="1">
        <f t="array" ref="I9253">_xlfn.XLOOKUP(FACT_IMPORTS[[#This Row],[country_name]],DIM_COUNTRY[[#All],[Column2]],DIM_COUNTRY[[#All],[Column3]],,,)</f>
        <v>USMCA</v>
      </c>
    </row>
    <row r="9254" spans="1:9" x14ac:dyDescent="0.4">
      <c r="A9254" t="s">
        <v>64</v>
      </c>
      <c r="B9254" s="1">
        <v>45108</v>
      </c>
      <c r="C9254">
        <v>851190</v>
      </c>
      <c r="D9254" t="s">
        <v>176</v>
      </c>
      <c r="E9254">
        <v>2121</v>
      </c>
      <c r="F9254">
        <v>1</v>
      </c>
      <c r="G9254">
        <v>34</v>
      </c>
      <c r="H9254">
        <f>_xlfn.XLOOKUP(FACT_IMPORTS[[#This Row],[hts_6]],DIM_PRODUCTS[hts_6],DIM_PRODUCTS[hts_4],,,)</f>
        <v>8511</v>
      </c>
      <c r="I9254" t="str" cm="1">
        <f t="array" ref="I9254">_xlfn.XLOOKUP(FACT_IMPORTS[[#This Row],[country_name]],DIM_COUNTRY[[#All],[Column2]],DIM_COUNTRY[[#All],[Column3]],,,)</f>
        <v>USMCA</v>
      </c>
    </row>
    <row r="9255" spans="1:9" x14ac:dyDescent="0.4">
      <c r="A9255" t="s">
        <v>64</v>
      </c>
      <c r="B9255" s="1">
        <v>45108</v>
      </c>
      <c r="C9255">
        <v>851220</v>
      </c>
      <c r="D9255" t="s">
        <v>176</v>
      </c>
      <c r="E9255">
        <v>171613</v>
      </c>
      <c r="F9255">
        <v>5302</v>
      </c>
      <c r="G9255">
        <v>376</v>
      </c>
      <c r="H9255">
        <f>_xlfn.XLOOKUP(FACT_IMPORTS[[#This Row],[hts_6]],DIM_PRODUCTS[hts_6],DIM_PRODUCTS[hts_4],,,)</f>
        <v>8512</v>
      </c>
      <c r="I9255" t="str" cm="1">
        <f t="array" ref="I9255">_xlfn.XLOOKUP(FACT_IMPORTS[[#This Row],[country_name]],DIM_COUNTRY[[#All],[Column2]],DIM_COUNTRY[[#All],[Column3]],,,)</f>
        <v>USMCA</v>
      </c>
    </row>
    <row r="9256" spans="1:9" x14ac:dyDescent="0.4">
      <c r="A9256" t="s">
        <v>64</v>
      </c>
      <c r="B9256" s="1">
        <v>45108</v>
      </c>
      <c r="C9256">
        <v>851230</v>
      </c>
      <c r="D9256" t="s">
        <v>176</v>
      </c>
      <c r="E9256">
        <v>0</v>
      </c>
      <c r="F9256">
        <v>0</v>
      </c>
      <c r="G9256">
        <v>0</v>
      </c>
      <c r="H9256">
        <f>_xlfn.XLOOKUP(FACT_IMPORTS[[#This Row],[hts_6]],DIM_PRODUCTS[hts_6],DIM_PRODUCTS[hts_4],,,)</f>
        <v>8512</v>
      </c>
      <c r="I9256" t="str" cm="1">
        <f t="array" ref="I9256">_xlfn.XLOOKUP(FACT_IMPORTS[[#This Row],[country_name]],DIM_COUNTRY[[#All],[Column2]],DIM_COUNTRY[[#All],[Column3]],,,)</f>
        <v>USMCA</v>
      </c>
    </row>
    <row r="9257" spans="1:9" x14ac:dyDescent="0.4">
      <c r="A9257" t="s">
        <v>64</v>
      </c>
      <c r="B9257" s="1">
        <v>45108</v>
      </c>
      <c r="C9257">
        <v>851240</v>
      </c>
      <c r="D9257" t="s">
        <v>176</v>
      </c>
      <c r="E9257">
        <v>0</v>
      </c>
      <c r="F9257">
        <v>0</v>
      </c>
      <c r="G9257">
        <v>0</v>
      </c>
      <c r="H9257">
        <f>_xlfn.XLOOKUP(FACT_IMPORTS[[#This Row],[hts_6]],DIM_PRODUCTS[hts_6],DIM_PRODUCTS[hts_4],,,)</f>
        <v>8512</v>
      </c>
      <c r="I9257" t="str" cm="1">
        <f t="array" ref="I9257">_xlfn.XLOOKUP(FACT_IMPORTS[[#This Row],[country_name]],DIM_COUNTRY[[#All],[Column2]],DIM_COUNTRY[[#All],[Column3]],,,)</f>
        <v>USMCA</v>
      </c>
    </row>
    <row r="9258" spans="1:9" x14ac:dyDescent="0.4">
      <c r="A9258" t="s">
        <v>64</v>
      </c>
      <c r="B9258" s="1">
        <v>45108</v>
      </c>
      <c r="C9258">
        <v>851290</v>
      </c>
      <c r="D9258" t="s">
        <v>176</v>
      </c>
      <c r="E9258">
        <v>254565</v>
      </c>
      <c r="F9258">
        <v>21013</v>
      </c>
      <c r="G9258">
        <v>2209</v>
      </c>
      <c r="H9258">
        <f>_xlfn.XLOOKUP(FACT_IMPORTS[[#This Row],[hts_6]],DIM_PRODUCTS[hts_6],DIM_PRODUCTS[hts_4],,,)</f>
        <v>8512</v>
      </c>
      <c r="I9258" t="str" cm="1">
        <f t="array" ref="I9258">_xlfn.XLOOKUP(FACT_IMPORTS[[#This Row],[country_name]],DIM_COUNTRY[[#All],[Column2]],DIM_COUNTRY[[#All],[Column3]],,,)</f>
        <v>USMCA</v>
      </c>
    </row>
    <row r="9259" spans="1:9" x14ac:dyDescent="0.4">
      <c r="A9259" t="s">
        <v>64</v>
      </c>
      <c r="B9259" s="1">
        <v>45108</v>
      </c>
      <c r="C9259">
        <v>854231</v>
      </c>
      <c r="D9259" t="s">
        <v>176</v>
      </c>
      <c r="E9259">
        <v>2658</v>
      </c>
      <c r="F9259">
        <v>3</v>
      </c>
      <c r="G9259">
        <v>11</v>
      </c>
      <c r="H9259">
        <f>_xlfn.XLOOKUP(FACT_IMPORTS[[#This Row],[hts_6]],DIM_PRODUCTS[hts_6],DIM_PRODUCTS[hts_4],,,)</f>
        <v>8542</v>
      </c>
      <c r="I9259" t="str" cm="1">
        <f t="array" ref="I9259">_xlfn.XLOOKUP(FACT_IMPORTS[[#This Row],[country_name]],DIM_COUNTRY[[#All],[Column2]],DIM_COUNTRY[[#All],[Column3]],,,)</f>
        <v>USMCA</v>
      </c>
    </row>
    <row r="9260" spans="1:9" x14ac:dyDescent="0.4">
      <c r="A9260" t="s">
        <v>64</v>
      </c>
      <c r="B9260" s="1">
        <v>45108</v>
      </c>
      <c r="C9260">
        <v>854232</v>
      </c>
      <c r="D9260" t="s">
        <v>176</v>
      </c>
      <c r="E9260">
        <v>0</v>
      </c>
      <c r="F9260">
        <v>0</v>
      </c>
      <c r="G9260">
        <v>0</v>
      </c>
      <c r="H9260">
        <f>_xlfn.XLOOKUP(FACT_IMPORTS[[#This Row],[hts_6]],DIM_PRODUCTS[hts_6],DIM_PRODUCTS[hts_4],,,)</f>
        <v>8542</v>
      </c>
      <c r="I9260" t="str" cm="1">
        <f t="array" ref="I9260">_xlfn.XLOOKUP(FACT_IMPORTS[[#This Row],[country_name]],DIM_COUNTRY[[#All],[Column2]],DIM_COUNTRY[[#All],[Column3]],,,)</f>
        <v>USMCA</v>
      </c>
    </row>
    <row r="9261" spans="1:9" x14ac:dyDescent="0.4">
      <c r="A9261" t="s">
        <v>64</v>
      </c>
      <c r="B9261" s="1">
        <v>45108</v>
      </c>
      <c r="C9261">
        <v>854290</v>
      </c>
      <c r="D9261" t="s">
        <v>176</v>
      </c>
      <c r="E9261">
        <v>0</v>
      </c>
      <c r="F9261">
        <v>0</v>
      </c>
      <c r="G9261">
        <v>0</v>
      </c>
      <c r="H9261">
        <f>_xlfn.XLOOKUP(FACT_IMPORTS[[#This Row],[hts_6]],DIM_PRODUCTS[hts_6],DIM_PRODUCTS[hts_4],,,)</f>
        <v>8542</v>
      </c>
      <c r="I9261" t="str" cm="1">
        <f t="array" ref="I9261">_xlfn.XLOOKUP(FACT_IMPORTS[[#This Row],[country_name]],DIM_COUNTRY[[#All],[Column2]],DIM_COUNTRY[[#All],[Column3]],,,)</f>
        <v>USMCA</v>
      </c>
    </row>
    <row r="9262" spans="1:9" x14ac:dyDescent="0.4">
      <c r="A9262" t="s">
        <v>64</v>
      </c>
      <c r="B9262" s="1">
        <v>45108</v>
      </c>
      <c r="C9262">
        <v>854430</v>
      </c>
      <c r="D9262" t="s">
        <v>176</v>
      </c>
      <c r="E9262">
        <v>989077</v>
      </c>
      <c r="F9262">
        <v>79693</v>
      </c>
      <c r="G9262">
        <v>7747</v>
      </c>
      <c r="H9262">
        <f>_xlfn.XLOOKUP(FACT_IMPORTS[[#This Row],[hts_6]],DIM_PRODUCTS[hts_6],DIM_PRODUCTS[hts_4],,,)</f>
        <v>8544</v>
      </c>
      <c r="I9262" t="str" cm="1">
        <f t="array" ref="I9262">_xlfn.XLOOKUP(FACT_IMPORTS[[#This Row],[country_name]],DIM_COUNTRY[[#All],[Column2]],DIM_COUNTRY[[#All],[Column3]],,,)</f>
        <v>USMCA</v>
      </c>
    </row>
    <row r="9263" spans="1:9" x14ac:dyDescent="0.4">
      <c r="A9263" t="s">
        <v>64</v>
      </c>
      <c r="B9263" s="1">
        <v>45108</v>
      </c>
      <c r="C9263">
        <v>870810</v>
      </c>
      <c r="D9263" t="s">
        <v>176</v>
      </c>
      <c r="E9263">
        <v>20980</v>
      </c>
      <c r="F9263">
        <v>114</v>
      </c>
      <c r="G9263">
        <v>31</v>
      </c>
      <c r="H9263">
        <f>_xlfn.XLOOKUP(FACT_IMPORTS[[#This Row],[hts_6]],DIM_PRODUCTS[hts_6],DIM_PRODUCTS[hts_4],,,)</f>
        <v>8708</v>
      </c>
      <c r="I9263" t="str" cm="1">
        <f t="array" ref="I9263">_xlfn.XLOOKUP(FACT_IMPORTS[[#This Row],[country_name]],DIM_COUNTRY[[#All],[Column2]],DIM_COUNTRY[[#All],[Column3]],,,)</f>
        <v>USMCA</v>
      </c>
    </row>
    <row r="9264" spans="1:9" x14ac:dyDescent="0.4">
      <c r="A9264" t="s">
        <v>64</v>
      </c>
      <c r="B9264" s="1">
        <v>45108</v>
      </c>
      <c r="C9264">
        <v>870821</v>
      </c>
      <c r="D9264" t="s">
        <v>176</v>
      </c>
      <c r="E9264">
        <v>0</v>
      </c>
      <c r="F9264">
        <v>0</v>
      </c>
      <c r="G9264">
        <v>0</v>
      </c>
      <c r="H9264">
        <f>_xlfn.XLOOKUP(FACT_IMPORTS[[#This Row],[hts_6]],DIM_PRODUCTS[hts_6],DIM_PRODUCTS[hts_4],,,)</f>
        <v>8708</v>
      </c>
      <c r="I9264" t="str" cm="1">
        <f t="array" ref="I9264">_xlfn.XLOOKUP(FACT_IMPORTS[[#This Row],[country_name]],DIM_COUNTRY[[#All],[Column2]],DIM_COUNTRY[[#All],[Column3]],,,)</f>
        <v>USMCA</v>
      </c>
    </row>
    <row r="9265" spans="1:9" x14ac:dyDescent="0.4">
      <c r="A9265" t="s">
        <v>64</v>
      </c>
      <c r="B9265" s="1">
        <v>45108</v>
      </c>
      <c r="C9265">
        <v>870822</v>
      </c>
      <c r="D9265" t="s">
        <v>176</v>
      </c>
      <c r="E9265">
        <v>0</v>
      </c>
      <c r="F9265">
        <v>0</v>
      </c>
      <c r="G9265">
        <v>0</v>
      </c>
      <c r="H9265">
        <f>_xlfn.XLOOKUP(FACT_IMPORTS[[#This Row],[hts_6]],DIM_PRODUCTS[hts_6],DIM_PRODUCTS[hts_4],,,)</f>
        <v>8708</v>
      </c>
      <c r="I9265" t="str" cm="1">
        <f t="array" ref="I9265">_xlfn.XLOOKUP(FACT_IMPORTS[[#This Row],[country_name]],DIM_COUNTRY[[#All],[Column2]],DIM_COUNTRY[[#All],[Column3]],,,)</f>
        <v>USMCA</v>
      </c>
    </row>
    <row r="9266" spans="1:9" x14ac:dyDescent="0.4">
      <c r="A9266" t="s">
        <v>64</v>
      </c>
      <c r="B9266" s="1">
        <v>45108</v>
      </c>
      <c r="C9266">
        <v>870829</v>
      </c>
      <c r="D9266" t="s">
        <v>176</v>
      </c>
      <c r="E9266">
        <v>769990</v>
      </c>
      <c r="F9266">
        <v>14241</v>
      </c>
      <c r="G9266">
        <v>8862</v>
      </c>
      <c r="H9266">
        <f>_xlfn.XLOOKUP(FACT_IMPORTS[[#This Row],[hts_6]],DIM_PRODUCTS[hts_6],DIM_PRODUCTS[hts_4],,,)</f>
        <v>8708</v>
      </c>
      <c r="I9266" t="str" cm="1">
        <f t="array" ref="I9266">_xlfn.XLOOKUP(FACT_IMPORTS[[#This Row],[country_name]],DIM_COUNTRY[[#All],[Column2]],DIM_COUNTRY[[#All],[Column3]],,,)</f>
        <v>USMCA</v>
      </c>
    </row>
    <row r="9267" spans="1:9" x14ac:dyDescent="0.4">
      <c r="A9267" t="s">
        <v>64</v>
      </c>
      <c r="B9267" s="1">
        <v>45108</v>
      </c>
      <c r="C9267">
        <v>870830</v>
      </c>
      <c r="D9267" t="s">
        <v>176</v>
      </c>
      <c r="E9267">
        <v>210401</v>
      </c>
      <c r="F9267">
        <v>3576</v>
      </c>
      <c r="G9267">
        <v>3907</v>
      </c>
      <c r="H9267">
        <f>_xlfn.XLOOKUP(FACT_IMPORTS[[#This Row],[hts_6]],DIM_PRODUCTS[hts_6],DIM_PRODUCTS[hts_4],,,)</f>
        <v>8708</v>
      </c>
      <c r="I9267" t="str" cm="1">
        <f t="array" ref="I9267">_xlfn.XLOOKUP(FACT_IMPORTS[[#This Row],[country_name]],DIM_COUNTRY[[#All],[Column2]],DIM_COUNTRY[[#All],[Column3]],,,)</f>
        <v>USMCA</v>
      </c>
    </row>
    <row r="9268" spans="1:9" x14ac:dyDescent="0.4">
      <c r="A9268" t="s">
        <v>64</v>
      </c>
      <c r="B9268" s="1">
        <v>45108</v>
      </c>
      <c r="C9268">
        <v>870840</v>
      </c>
      <c r="D9268" t="s">
        <v>176</v>
      </c>
      <c r="E9268">
        <v>63543</v>
      </c>
      <c r="F9268">
        <v>38</v>
      </c>
      <c r="G9268">
        <v>61</v>
      </c>
      <c r="H9268">
        <f>_xlfn.XLOOKUP(FACT_IMPORTS[[#This Row],[hts_6]],DIM_PRODUCTS[hts_6],DIM_PRODUCTS[hts_4],,,)</f>
        <v>8708</v>
      </c>
      <c r="I9268" t="str" cm="1">
        <f t="array" ref="I9268">_xlfn.XLOOKUP(FACT_IMPORTS[[#This Row],[country_name]],DIM_COUNTRY[[#All],[Column2]],DIM_COUNTRY[[#All],[Column3]],,,)</f>
        <v>USMCA</v>
      </c>
    </row>
    <row r="9269" spans="1:9" x14ac:dyDescent="0.4">
      <c r="A9269" t="s">
        <v>64</v>
      </c>
      <c r="B9269" s="1">
        <v>45108</v>
      </c>
      <c r="C9269">
        <v>870850</v>
      </c>
      <c r="D9269" t="s">
        <v>176</v>
      </c>
      <c r="E9269">
        <v>46799</v>
      </c>
      <c r="F9269">
        <v>1870</v>
      </c>
      <c r="G9269">
        <v>1502</v>
      </c>
      <c r="H9269">
        <f>_xlfn.XLOOKUP(FACT_IMPORTS[[#This Row],[hts_6]],DIM_PRODUCTS[hts_6],DIM_PRODUCTS[hts_4],,,)</f>
        <v>8708</v>
      </c>
      <c r="I9269" t="str" cm="1">
        <f t="array" ref="I9269">_xlfn.XLOOKUP(FACT_IMPORTS[[#This Row],[country_name]],DIM_COUNTRY[[#All],[Column2]],DIM_COUNTRY[[#All],[Column3]],,,)</f>
        <v>USMCA</v>
      </c>
    </row>
    <row r="9270" spans="1:9" x14ac:dyDescent="0.4">
      <c r="A9270" t="s">
        <v>64</v>
      </c>
      <c r="B9270" s="1">
        <v>45108</v>
      </c>
      <c r="C9270">
        <v>870870</v>
      </c>
      <c r="D9270" t="s">
        <v>176</v>
      </c>
      <c r="E9270">
        <v>68933</v>
      </c>
      <c r="F9270">
        <v>1589</v>
      </c>
      <c r="G9270">
        <v>1260</v>
      </c>
      <c r="H9270">
        <f>_xlfn.XLOOKUP(FACT_IMPORTS[[#This Row],[hts_6]],DIM_PRODUCTS[hts_6],DIM_PRODUCTS[hts_4],,,)</f>
        <v>8708</v>
      </c>
      <c r="I9270" t="str" cm="1">
        <f t="array" ref="I9270">_xlfn.XLOOKUP(FACT_IMPORTS[[#This Row],[country_name]],DIM_COUNTRY[[#All],[Column2]],DIM_COUNTRY[[#All],[Column3]],,,)</f>
        <v>USMCA</v>
      </c>
    </row>
    <row r="9271" spans="1:9" x14ac:dyDescent="0.4">
      <c r="A9271" t="s">
        <v>64</v>
      </c>
      <c r="B9271" s="1">
        <v>45108</v>
      </c>
      <c r="C9271">
        <v>870880</v>
      </c>
      <c r="D9271" t="s">
        <v>176</v>
      </c>
      <c r="E9271">
        <v>46407</v>
      </c>
      <c r="F9271">
        <v>1852</v>
      </c>
      <c r="G9271">
        <v>227</v>
      </c>
      <c r="H9271">
        <f>_xlfn.XLOOKUP(FACT_IMPORTS[[#This Row],[hts_6]],DIM_PRODUCTS[hts_6],DIM_PRODUCTS[hts_4],,,)</f>
        <v>8708</v>
      </c>
      <c r="I9271" t="str" cm="1">
        <f t="array" ref="I9271">_xlfn.XLOOKUP(FACT_IMPORTS[[#This Row],[country_name]],DIM_COUNTRY[[#All],[Column2]],DIM_COUNTRY[[#All],[Column3]],,,)</f>
        <v>USMCA</v>
      </c>
    </row>
    <row r="9272" spans="1:9" x14ac:dyDescent="0.4">
      <c r="A9272" t="s">
        <v>64</v>
      </c>
      <c r="B9272" s="1">
        <v>45108</v>
      </c>
      <c r="C9272">
        <v>870891</v>
      </c>
      <c r="D9272" t="s">
        <v>176</v>
      </c>
      <c r="E9272">
        <v>15633</v>
      </c>
      <c r="F9272">
        <v>134</v>
      </c>
      <c r="G9272">
        <v>251</v>
      </c>
      <c r="H9272">
        <f>_xlfn.XLOOKUP(FACT_IMPORTS[[#This Row],[hts_6]],DIM_PRODUCTS[hts_6],DIM_PRODUCTS[hts_4],,,)</f>
        <v>8708</v>
      </c>
      <c r="I9272" t="str" cm="1">
        <f t="array" ref="I9272">_xlfn.XLOOKUP(FACT_IMPORTS[[#This Row],[country_name]],DIM_COUNTRY[[#All],[Column2]],DIM_COUNTRY[[#All],[Column3]],,,)</f>
        <v>USMCA</v>
      </c>
    </row>
    <row r="9273" spans="1:9" x14ac:dyDescent="0.4">
      <c r="A9273" t="s">
        <v>64</v>
      </c>
      <c r="B9273" s="1">
        <v>45108</v>
      </c>
      <c r="C9273">
        <v>870892</v>
      </c>
      <c r="D9273" t="s">
        <v>176</v>
      </c>
      <c r="E9273">
        <v>34447</v>
      </c>
      <c r="F9273">
        <v>334</v>
      </c>
      <c r="G9273">
        <v>307</v>
      </c>
      <c r="H9273">
        <f>_xlfn.XLOOKUP(FACT_IMPORTS[[#This Row],[hts_6]],DIM_PRODUCTS[hts_6],DIM_PRODUCTS[hts_4],,,)</f>
        <v>8708</v>
      </c>
      <c r="I9273" t="str" cm="1">
        <f t="array" ref="I9273">_xlfn.XLOOKUP(FACT_IMPORTS[[#This Row],[country_name]],DIM_COUNTRY[[#All],[Column2]],DIM_COUNTRY[[#All],[Column3]],,,)</f>
        <v>USMCA</v>
      </c>
    </row>
    <row r="9274" spans="1:9" x14ac:dyDescent="0.4">
      <c r="A9274" t="s">
        <v>64</v>
      </c>
      <c r="B9274" s="1">
        <v>45108</v>
      </c>
      <c r="C9274">
        <v>870893</v>
      </c>
      <c r="D9274" t="s">
        <v>176</v>
      </c>
      <c r="E9274">
        <v>7844</v>
      </c>
      <c r="F9274">
        <v>1063</v>
      </c>
      <c r="G9274">
        <v>246</v>
      </c>
      <c r="H9274">
        <f>_xlfn.XLOOKUP(FACT_IMPORTS[[#This Row],[hts_6]],DIM_PRODUCTS[hts_6],DIM_PRODUCTS[hts_4],,,)</f>
        <v>8708</v>
      </c>
      <c r="I9274" t="str" cm="1">
        <f t="array" ref="I9274">_xlfn.XLOOKUP(FACT_IMPORTS[[#This Row],[country_name]],DIM_COUNTRY[[#All],[Column2]],DIM_COUNTRY[[#All],[Column3]],,,)</f>
        <v>USMCA</v>
      </c>
    </row>
    <row r="9275" spans="1:9" x14ac:dyDescent="0.4">
      <c r="A9275" t="s">
        <v>64</v>
      </c>
      <c r="B9275" s="1">
        <v>45108</v>
      </c>
      <c r="C9275">
        <v>870894</v>
      </c>
      <c r="D9275" t="s">
        <v>176</v>
      </c>
      <c r="E9275">
        <v>46106</v>
      </c>
      <c r="F9275">
        <v>201</v>
      </c>
      <c r="G9275">
        <v>427</v>
      </c>
      <c r="H9275">
        <f>_xlfn.XLOOKUP(FACT_IMPORTS[[#This Row],[hts_6]],DIM_PRODUCTS[hts_6],DIM_PRODUCTS[hts_4],,,)</f>
        <v>8708</v>
      </c>
      <c r="I9275" t="str" cm="1">
        <f t="array" ref="I9275">_xlfn.XLOOKUP(FACT_IMPORTS[[#This Row],[country_name]],DIM_COUNTRY[[#All],[Column2]],DIM_COUNTRY[[#All],[Column3]],,,)</f>
        <v>USMCA</v>
      </c>
    </row>
    <row r="9276" spans="1:9" x14ac:dyDescent="0.4">
      <c r="A9276" t="s">
        <v>64</v>
      </c>
      <c r="B9276" s="1">
        <v>45108</v>
      </c>
      <c r="C9276">
        <v>870895</v>
      </c>
      <c r="D9276" t="s">
        <v>176</v>
      </c>
      <c r="E9276">
        <v>41316</v>
      </c>
      <c r="F9276">
        <v>5395</v>
      </c>
      <c r="G9276">
        <v>2394</v>
      </c>
      <c r="H9276">
        <f>_xlfn.XLOOKUP(FACT_IMPORTS[[#This Row],[hts_6]],DIM_PRODUCTS[hts_6],DIM_PRODUCTS[hts_4],,,)</f>
        <v>8708</v>
      </c>
      <c r="I9276" t="str" cm="1">
        <f t="array" ref="I9276">_xlfn.XLOOKUP(FACT_IMPORTS[[#This Row],[country_name]],DIM_COUNTRY[[#All],[Column2]],DIM_COUNTRY[[#All],[Column3]],,,)</f>
        <v>USMCA</v>
      </c>
    </row>
    <row r="9277" spans="1:9" x14ac:dyDescent="0.4">
      <c r="A9277" t="s">
        <v>64</v>
      </c>
      <c r="B9277" s="1">
        <v>45108</v>
      </c>
      <c r="C9277">
        <v>870899</v>
      </c>
      <c r="D9277" t="s">
        <v>176</v>
      </c>
      <c r="E9277">
        <v>129145</v>
      </c>
      <c r="F9277">
        <v>5669</v>
      </c>
      <c r="G9277">
        <v>5906</v>
      </c>
      <c r="H9277">
        <f>_xlfn.XLOOKUP(FACT_IMPORTS[[#This Row],[hts_6]],DIM_PRODUCTS[hts_6],DIM_PRODUCTS[hts_4],,,)</f>
        <v>8708</v>
      </c>
      <c r="I9277" t="str" cm="1">
        <f t="array" ref="I9277">_xlfn.XLOOKUP(FACT_IMPORTS[[#This Row],[country_name]],DIM_COUNTRY[[#All],[Column2]],DIM_COUNTRY[[#All],[Column3]],,,)</f>
        <v>USMCA</v>
      </c>
    </row>
    <row r="9278" spans="1:9" x14ac:dyDescent="0.4">
      <c r="A9278" t="s">
        <v>64</v>
      </c>
      <c r="B9278" s="1">
        <v>45108</v>
      </c>
      <c r="C9278">
        <v>940120</v>
      </c>
      <c r="D9278" t="s">
        <v>176</v>
      </c>
      <c r="E9278">
        <v>24746</v>
      </c>
      <c r="F9278">
        <v>97</v>
      </c>
      <c r="G9278">
        <v>1792</v>
      </c>
      <c r="H9278">
        <f>_xlfn.XLOOKUP(FACT_IMPORTS[[#This Row],[hts_6]],DIM_PRODUCTS[hts_6],DIM_PRODUCTS[hts_4],,,)</f>
        <v>9401</v>
      </c>
      <c r="I9278" t="str" cm="1">
        <f t="array" ref="I9278">_xlfn.XLOOKUP(FACT_IMPORTS[[#This Row],[country_name]],DIM_COUNTRY[[#All],[Column2]],DIM_COUNTRY[[#All],[Column3]],,,)</f>
        <v>USMCA</v>
      </c>
    </row>
    <row r="9279" spans="1:9" x14ac:dyDescent="0.4">
      <c r="A9279" t="s">
        <v>64</v>
      </c>
      <c r="B9279" s="1">
        <v>45139</v>
      </c>
      <c r="C9279">
        <v>392630</v>
      </c>
      <c r="D9279" t="s">
        <v>176</v>
      </c>
      <c r="E9279">
        <v>3370</v>
      </c>
      <c r="F9279">
        <v>528</v>
      </c>
      <c r="G9279">
        <v>106</v>
      </c>
      <c r="H9279">
        <f>_xlfn.XLOOKUP(FACT_IMPORTS[[#This Row],[hts_6]],DIM_PRODUCTS[hts_6],DIM_PRODUCTS[hts_4],,,)</f>
        <v>3926</v>
      </c>
      <c r="I9279" t="str" cm="1">
        <f t="array" ref="I9279">_xlfn.XLOOKUP(FACT_IMPORTS[[#This Row],[country_name]],DIM_COUNTRY[[#All],[Column2]],DIM_COUNTRY[[#All],[Column3]],,,)</f>
        <v>USMCA</v>
      </c>
    </row>
    <row r="9280" spans="1:9" x14ac:dyDescent="0.4">
      <c r="A9280" t="s">
        <v>64</v>
      </c>
      <c r="B9280" s="1">
        <v>45139</v>
      </c>
      <c r="C9280">
        <v>401110</v>
      </c>
      <c r="D9280" t="s">
        <v>176</v>
      </c>
      <c r="E9280">
        <v>34280</v>
      </c>
      <c r="F9280">
        <v>457</v>
      </c>
      <c r="G9280">
        <v>2464</v>
      </c>
      <c r="H9280">
        <f>_xlfn.XLOOKUP(FACT_IMPORTS[[#This Row],[hts_6]],DIM_PRODUCTS[hts_6],DIM_PRODUCTS[hts_4],,,)</f>
        <v>4011</v>
      </c>
      <c r="I9280" t="str" cm="1">
        <f t="array" ref="I9280">_xlfn.XLOOKUP(FACT_IMPORTS[[#This Row],[country_name]],DIM_COUNTRY[[#All],[Column2]],DIM_COUNTRY[[#All],[Column3]],,,)</f>
        <v>USMCA</v>
      </c>
    </row>
    <row r="9281" spans="1:9" x14ac:dyDescent="0.4">
      <c r="A9281" t="s">
        <v>64</v>
      </c>
      <c r="B9281" s="1">
        <v>45139</v>
      </c>
      <c r="C9281">
        <v>401120</v>
      </c>
      <c r="D9281" t="s">
        <v>176</v>
      </c>
      <c r="E9281">
        <v>0</v>
      </c>
      <c r="F9281">
        <v>0</v>
      </c>
      <c r="G9281">
        <v>0</v>
      </c>
      <c r="H9281">
        <f>_xlfn.XLOOKUP(FACT_IMPORTS[[#This Row],[hts_6]],DIM_PRODUCTS[hts_6],DIM_PRODUCTS[hts_4],,,)</f>
        <v>4011</v>
      </c>
      <c r="I9281" t="str" cm="1">
        <f t="array" ref="I9281">_xlfn.XLOOKUP(FACT_IMPORTS[[#This Row],[country_name]],DIM_COUNTRY[[#All],[Column2]],DIM_COUNTRY[[#All],[Column3]],,,)</f>
        <v>USMCA</v>
      </c>
    </row>
    <row r="9282" spans="1:9" x14ac:dyDescent="0.4">
      <c r="A9282" t="s">
        <v>64</v>
      </c>
      <c r="B9282" s="1">
        <v>45139</v>
      </c>
      <c r="C9282">
        <v>401190</v>
      </c>
      <c r="D9282" t="s">
        <v>176</v>
      </c>
      <c r="E9282">
        <v>0</v>
      </c>
      <c r="F9282">
        <v>0</v>
      </c>
      <c r="G9282">
        <v>0</v>
      </c>
      <c r="H9282">
        <f>_xlfn.XLOOKUP(FACT_IMPORTS[[#This Row],[hts_6]],DIM_PRODUCTS[hts_6],DIM_PRODUCTS[hts_4],,,)</f>
        <v>4011</v>
      </c>
      <c r="I9282" t="str" cm="1">
        <f t="array" ref="I9282">_xlfn.XLOOKUP(FACT_IMPORTS[[#This Row],[country_name]],DIM_COUNTRY[[#All],[Column2]],DIM_COUNTRY[[#All],[Column3]],,,)</f>
        <v>USMCA</v>
      </c>
    </row>
    <row r="9283" spans="1:9" x14ac:dyDescent="0.4">
      <c r="A9283" t="s">
        <v>64</v>
      </c>
      <c r="B9283" s="1">
        <v>45139</v>
      </c>
      <c r="C9283">
        <v>700910</v>
      </c>
      <c r="D9283" t="s">
        <v>176</v>
      </c>
      <c r="E9283">
        <v>2546</v>
      </c>
      <c r="F9283">
        <v>17</v>
      </c>
      <c r="G9283">
        <v>9</v>
      </c>
      <c r="H9283">
        <f>_xlfn.XLOOKUP(FACT_IMPORTS[[#This Row],[hts_6]],DIM_PRODUCTS[hts_6],DIM_PRODUCTS[hts_4],,,)</f>
        <v>7009</v>
      </c>
      <c r="I9283" t="str" cm="1">
        <f t="array" ref="I9283">_xlfn.XLOOKUP(FACT_IMPORTS[[#This Row],[country_name]],DIM_COUNTRY[[#All],[Column2]],DIM_COUNTRY[[#All],[Column3]],,,)</f>
        <v>USMCA</v>
      </c>
    </row>
    <row r="9284" spans="1:9" x14ac:dyDescent="0.4">
      <c r="A9284" t="s">
        <v>64</v>
      </c>
      <c r="B9284" s="1">
        <v>45139</v>
      </c>
      <c r="C9284">
        <v>732010</v>
      </c>
      <c r="D9284" t="s">
        <v>176</v>
      </c>
      <c r="E9284">
        <v>7452</v>
      </c>
      <c r="F9284">
        <v>4920</v>
      </c>
      <c r="G9284">
        <v>153</v>
      </c>
      <c r="H9284">
        <f>_xlfn.XLOOKUP(FACT_IMPORTS[[#This Row],[hts_6]],DIM_PRODUCTS[hts_6],DIM_PRODUCTS[hts_4],,,)</f>
        <v>7320</v>
      </c>
      <c r="I9284" t="str" cm="1">
        <f t="array" ref="I9284">_xlfn.XLOOKUP(FACT_IMPORTS[[#This Row],[country_name]],DIM_COUNTRY[[#All],[Column2]],DIM_COUNTRY[[#All],[Column3]],,,)</f>
        <v>USMCA</v>
      </c>
    </row>
    <row r="9285" spans="1:9" x14ac:dyDescent="0.4">
      <c r="A9285" t="s">
        <v>64</v>
      </c>
      <c r="B9285" s="1">
        <v>45139</v>
      </c>
      <c r="C9285">
        <v>830230</v>
      </c>
      <c r="D9285" t="s">
        <v>176</v>
      </c>
      <c r="E9285">
        <v>28435</v>
      </c>
      <c r="F9285">
        <v>3680</v>
      </c>
      <c r="G9285">
        <v>150</v>
      </c>
      <c r="H9285">
        <f>_xlfn.XLOOKUP(FACT_IMPORTS[[#This Row],[hts_6]],DIM_PRODUCTS[hts_6],DIM_PRODUCTS[hts_4],,,)</f>
        <v>8302</v>
      </c>
      <c r="I9285" t="str" cm="1">
        <f t="array" ref="I9285">_xlfn.XLOOKUP(FACT_IMPORTS[[#This Row],[country_name]],DIM_COUNTRY[[#All],[Column2]],DIM_COUNTRY[[#All],[Column3]],,,)</f>
        <v>USMCA</v>
      </c>
    </row>
    <row r="9286" spans="1:9" x14ac:dyDescent="0.4">
      <c r="A9286" t="s">
        <v>64</v>
      </c>
      <c r="B9286" s="1">
        <v>45139</v>
      </c>
      <c r="C9286">
        <v>840733</v>
      </c>
      <c r="D9286" t="s">
        <v>176</v>
      </c>
      <c r="E9286">
        <v>47000</v>
      </c>
      <c r="F9286">
        <v>6</v>
      </c>
      <c r="G9286">
        <v>1200</v>
      </c>
      <c r="H9286">
        <f>_xlfn.XLOOKUP(FACT_IMPORTS[[#This Row],[hts_6]],DIM_PRODUCTS[hts_6],DIM_PRODUCTS[hts_4],,,)</f>
        <v>8407</v>
      </c>
      <c r="I9286" t="str" cm="1">
        <f t="array" ref="I9286">_xlfn.XLOOKUP(FACT_IMPORTS[[#This Row],[country_name]],DIM_COUNTRY[[#All],[Column2]],DIM_COUNTRY[[#All],[Column3]],,,)</f>
        <v>USMCA</v>
      </c>
    </row>
    <row r="9287" spans="1:9" x14ac:dyDescent="0.4">
      <c r="A9287" t="s">
        <v>64</v>
      </c>
      <c r="B9287" s="1">
        <v>45139</v>
      </c>
      <c r="C9287">
        <v>840734</v>
      </c>
      <c r="D9287" t="s">
        <v>176</v>
      </c>
      <c r="E9287">
        <v>1016917</v>
      </c>
      <c r="F9287">
        <v>125</v>
      </c>
      <c r="G9287">
        <v>1678</v>
      </c>
      <c r="H9287">
        <f>_xlfn.XLOOKUP(FACT_IMPORTS[[#This Row],[hts_6]],DIM_PRODUCTS[hts_6],DIM_PRODUCTS[hts_4],,,)</f>
        <v>8407</v>
      </c>
      <c r="I9287" t="str" cm="1">
        <f t="array" ref="I9287">_xlfn.XLOOKUP(FACT_IMPORTS[[#This Row],[country_name]],DIM_COUNTRY[[#All],[Column2]],DIM_COUNTRY[[#All],[Column3]],,,)</f>
        <v>USMCA</v>
      </c>
    </row>
    <row r="9288" spans="1:9" x14ac:dyDescent="0.4">
      <c r="A9288" t="s">
        <v>64</v>
      </c>
      <c r="B9288" s="1">
        <v>45139</v>
      </c>
      <c r="C9288">
        <v>840820</v>
      </c>
      <c r="D9288" t="s">
        <v>176</v>
      </c>
      <c r="E9288">
        <v>47000</v>
      </c>
      <c r="F9288">
        <v>12</v>
      </c>
      <c r="G9288">
        <v>124</v>
      </c>
      <c r="H9288">
        <f>_xlfn.XLOOKUP(FACT_IMPORTS[[#This Row],[hts_6]],DIM_PRODUCTS[hts_6],DIM_PRODUCTS[hts_4],,,)</f>
        <v>8408</v>
      </c>
      <c r="I9288" t="str" cm="1">
        <f t="array" ref="I9288">_xlfn.XLOOKUP(FACT_IMPORTS[[#This Row],[country_name]],DIM_COUNTRY[[#All],[Column2]],DIM_COUNTRY[[#All],[Column3]],,,)</f>
        <v>USMCA</v>
      </c>
    </row>
    <row r="9289" spans="1:9" x14ac:dyDescent="0.4">
      <c r="A9289" t="s">
        <v>64</v>
      </c>
      <c r="B9289" s="1">
        <v>45139</v>
      </c>
      <c r="C9289">
        <v>840890</v>
      </c>
      <c r="D9289" t="s">
        <v>176</v>
      </c>
      <c r="E9289">
        <v>0</v>
      </c>
      <c r="F9289">
        <v>0</v>
      </c>
      <c r="G9289">
        <v>0</v>
      </c>
      <c r="H9289">
        <f>_xlfn.XLOOKUP(FACT_IMPORTS[[#This Row],[hts_6]],DIM_PRODUCTS[hts_6],DIM_PRODUCTS[hts_4],,,)</f>
        <v>8408</v>
      </c>
      <c r="I9289" t="str" cm="1">
        <f t="array" ref="I9289">_xlfn.XLOOKUP(FACT_IMPORTS[[#This Row],[country_name]],DIM_COUNTRY[[#All],[Column2]],DIM_COUNTRY[[#All],[Column3]],,,)</f>
        <v>USMCA</v>
      </c>
    </row>
    <row r="9290" spans="1:9" x14ac:dyDescent="0.4">
      <c r="A9290" t="s">
        <v>64</v>
      </c>
      <c r="B9290" s="1">
        <v>45139</v>
      </c>
      <c r="C9290">
        <v>840991</v>
      </c>
      <c r="D9290" t="s">
        <v>176</v>
      </c>
      <c r="E9290">
        <v>1208909</v>
      </c>
      <c r="F9290">
        <v>161732</v>
      </c>
      <c r="G9290">
        <v>10667</v>
      </c>
      <c r="H9290">
        <f>_xlfn.XLOOKUP(FACT_IMPORTS[[#This Row],[hts_6]],DIM_PRODUCTS[hts_6],DIM_PRODUCTS[hts_4],,,)</f>
        <v>8409</v>
      </c>
      <c r="I9290" t="str" cm="1">
        <f t="array" ref="I9290">_xlfn.XLOOKUP(FACT_IMPORTS[[#This Row],[country_name]],DIM_COUNTRY[[#All],[Column2]],DIM_COUNTRY[[#All],[Column3]],,,)</f>
        <v>USMCA</v>
      </c>
    </row>
    <row r="9291" spans="1:9" x14ac:dyDescent="0.4">
      <c r="A9291" t="s">
        <v>64</v>
      </c>
      <c r="B9291" s="1">
        <v>45139</v>
      </c>
      <c r="C9291">
        <v>840999</v>
      </c>
      <c r="D9291" t="s">
        <v>176</v>
      </c>
      <c r="E9291">
        <v>56433</v>
      </c>
      <c r="F9291">
        <v>1612</v>
      </c>
      <c r="G9291">
        <v>447</v>
      </c>
      <c r="H9291">
        <f>_xlfn.XLOOKUP(FACT_IMPORTS[[#This Row],[hts_6]],DIM_PRODUCTS[hts_6],DIM_PRODUCTS[hts_4],,,)</f>
        <v>8409</v>
      </c>
      <c r="I9291" t="str" cm="1">
        <f t="array" ref="I9291">_xlfn.XLOOKUP(FACT_IMPORTS[[#This Row],[country_name]],DIM_COUNTRY[[#All],[Column2]],DIM_COUNTRY[[#All],[Column3]],,,)</f>
        <v>USMCA</v>
      </c>
    </row>
    <row r="9292" spans="1:9" x14ac:dyDescent="0.4">
      <c r="A9292" t="s">
        <v>64</v>
      </c>
      <c r="B9292" s="1">
        <v>45139</v>
      </c>
      <c r="C9292">
        <v>841330</v>
      </c>
      <c r="D9292" t="s">
        <v>176</v>
      </c>
      <c r="E9292">
        <v>113039</v>
      </c>
      <c r="F9292">
        <v>253</v>
      </c>
      <c r="G9292">
        <v>593</v>
      </c>
      <c r="H9292">
        <f>_xlfn.XLOOKUP(FACT_IMPORTS[[#This Row],[hts_6]],DIM_PRODUCTS[hts_6],DIM_PRODUCTS[hts_4],,,)</f>
        <v>8413</v>
      </c>
      <c r="I9292" t="str" cm="1">
        <f t="array" ref="I9292">_xlfn.XLOOKUP(FACT_IMPORTS[[#This Row],[country_name]],DIM_COUNTRY[[#All],[Column2]],DIM_COUNTRY[[#All],[Column3]],,,)</f>
        <v>USMCA</v>
      </c>
    </row>
    <row r="9293" spans="1:9" x14ac:dyDescent="0.4">
      <c r="A9293" t="s">
        <v>64</v>
      </c>
      <c r="B9293" s="1">
        <v>45139</v>
      </c>
      <c r="C9293">
        <v>842132</v>
      </c>
      <c r="D9293" t="s">
        <v>176</v>
      </c>
      <c r="E9293">
        <v>188377</v>
      </c>
      <c r="F9293">
        <v>1106</v>
      </c>
      <c r="G9293">
        <v>811</v>
      </c>
      <c r="H9293">
        <f>_xlfn.XLOOKUP(FACT_IMPORTS[[#This Row],[hts_6]],DIM_PRODUCTS[hts_6],DIM_PRODUCTS[hts_4],,,)</f>
        <v>8421</v>
      </c>
      <c r="I9293" t="str" cm="1">
        <f t="array" ref="I9293">_xlfn.XLOOKUP(FACT_IMPORTS[[#This Row],[country_name]],DIM_COUNTRY[[#All],[Column2]],DIM_COUNTRY[[#All],[Column3]],,,)</f>
        <v>USMCA</v>
      </c>
    </row>
    <row r="9294" spans="1:9" x14ac:dyDescent="0.4">
      <c r="A9294" t="s">
        <v>64</v>
      </c>
      <c r="B9294" s="1">
        <v>45139</v>
      </c>
      <c r="C9294">
        <v>848210</v>
      </c>
      <c r="D9294" t="s">
        <v>176</v>
      </c>
      <c r="E9294">
        <v>0</v>
      </c>
      <c r="F9294">
        <v>0</v>
      </c>
      <c r="G9294">
        <v>0</v>
      </c>
      <c r="H9294">
        <f>_xlfn.XLOOKUP(FACT_IMPORTS[[#This Row],[hts_6]],DIM_PRODUCTS[hts_6],DIM_PRODUCTS[hts_4],,,)</f>
        <v>8482</v>
      </c>
      <c r="I9294" t="str" cm="1">
        <f t="array" ref="I9294">_xlfn.XLOOKUP(FACT_IMPORTS[[#This Row],[country_name]],DIM_COUNTRY[[#All],[Column2]],DIM_COUNTRY[[#All],[Column3]],,,)</f>
        <v>USMCA</v>
      </c>
    </row>
    <row r="9295" spans="1:9" x14ac:dyDescent="0.4">
      <c r="A9295" t="s">
        <v>64</v>
      </c>
      <c r="B9295" s="1">
        <v>45139</v>
      </c>
      <c r="C9295">
        <v>848220</v>
      </c>
      <c r="D9295" t="s">
        <v>176</v>
      </c>
      <c r="E9295">
        <v>0</v>
      </c>
      <c r="F9295">
        <v>0</v>
      </c>
      <c r="G9295">
        <v>0</v>
      </c>
      <c r="H9295">
        <f>_xlfn.XLOOKUP(FACT_IMPORTS[[#This Row],[hts_6]],DIM_PRODUCTS[hts_6],DIM_PRODUCTS[hts_4],,,)</f>
        <v>8482</v>
      </c>
      <c r="I9295" t="str" cm="1">
        <f t="array" ref="I9295">_xlfn.XLOOKUP(FACT_IMPORTS[[#This Row],[country_name]],DIM_COUNTRY[[#All],[Column2]],DIM_COUNTRY[[#All],[Column3]],,,)</f>
        <v>USMCA</v>
      </c>
    </row>
    <row r="9296" spans="1:9" x14ac:dyDescent="0.4">
      <c r="A9296" t="s">
        <v>64</v>
      </c>
      <c r="B9296" s="1">
        <v>45139</v>
      </c>
      <c r="C9296">
        <v>848310</v>
      </c>
      <c r="D9296" t="s">
        <v>176</v>
      </c>
      <c r="E9296">
        <v>0</v>
      </c>
      <c r="F9296">
        <v>0</v>
      </c>
      <c r="G9296">
        <v>0</v>
      </c>
      <c r="H9296">
        <f>_xlfn.XLOOKUP(FACT_IMPORTS[[#This Row],[hts_6]],DIM_PRODUCTS[hts_6],DIM_PRODUCTS[hts_4],,,)</f>
        <v>8483</v>
      </c>
      <c r="I9296" t="str" cm="1">
        <f t="array" ref="I9296">_xlfn.XLOOKUP(FACT_IMPORTS[[#This Row],[country_name]],DIM_COUNTRY[[#All],[Column2]],DIM_COUNTRY[[#All],[Column3]],,,)</f>
        <v>USMCA</v>
      </c>
    </row>
    <row r="9297" spans="1:9" x14ac:dyDescent="0.4">
      <c r="A9297" t="s">
        <v>64</v>
      </c>
      <c r="B9297" s="1">
        <v>45139</v>
      </c>
      <c r="C9297">
        <v>850131</v>
      </c>
      <c r="D9297" t="s">
        <v>176</v>
      </c>
      <c r="E9297">
        <v>178090</v>
      </c>
      <c r="F9297">
        <v>12384</v>
      </c>
      <c r="G9297">
        <v>8671</v>
      </c>
      <c r="H9297">
        <f>_xlfn.XLOOKUP(FACT_IMPORTS[[#This Row],[hts_6]],DIM_PRODUCTS[hts_6],DIM_PRODUCTS[hts_4],,,)</f>
        <v>8501</v>
      </c>
      <c r="I9297" t="str" cm="1">
        <f t="array" ref="I9297">_xlfn.XLOOKUP(FACT_IMPORTS[[#This Row],[country_name]],DIM_COUNTRY[[#All],[Column2]],DIM_COUNTRY[[#All],[Column3]],,,)</f>
        <v>USMCA</v>
      </c>
    </row>
    <row r="9298" spans="1:9" x14ac:dyDescent="0.4">
      <c r="A9298" t="s">
        <v>64</v>
      </c>
      <c r="B9298" s="1">
        <v>45139</v>
      </c>
      <c r="C9298">
        <v>850132</v>
      </c>
      <c r="D9298" t="s">
        <v>176</v>
      </c>
      <c r="E9298">
        <v>0</v>
      </c>
      <c r="F9298">
        <v>0</v>
      </c>
      <c r="G9298">
        <v>0</v>
      </c>
      <c r="H9298">
        <f>_xlfn.XLOOKUP(FACT_IMPORTS[[#This Row],[hts_6]],DIM_PRODUCTS[hts_6],DIM_PRODUCTS[hts_4],,,)</f>
        <v>8501</v>
      </c>
      <c r="I9298" t="str" cm="1">
        <f t="array" ref="I9298">_xlfn.XLOOKUP(FACT_IMPORTS[[#This Row],[country_name]],DIM_COUNTRY[[#All],[Column2]],DIM_COUNTRY[[#All],[Column3]],,,)</f>
        <v>USMCA</v>
      </c>
    </row>
    <row r="9299" spans="1:9" x14ac:dyDescent="0.4">
      <c r="A9299" t="s">
        <v>64</v>
      </c>
      <c r="B9299" s="1">
        <v>45139</v>
      </c>
      <c r="C9299">
        <v>850133</v>
      </c>
      <c r="D9299" t="s">
        <v>176</v>
      </c>
      <c r="E9299">
        <v>2928</v>
      </c>
      <c r="F9299">
        <v>1</v>
      </c>
      <c r="G9299">
        <v>250</v>
      </c>
      <c r="H9299">
        <f>_xlfn.XLOOKUP(FACT_IMPORTS[[#This Row],[hts_6]],DIM_PRODUCTS[hts_6],DIM_PRODUCTS[hts_4],,,)</f>
        <v>8501</v>
      </c>
      <c r="I9299" t="str" cm="1">
        <f t="array" ref="I9299">_xlfn.XLOOKUP(FACT_IMPORTS[[#This Row],[country_name]],DIM_COUNTRY[[#All],[Column2]],DIM_COUNTRY[[#All],[Column3]],,,)</f>
        <v>USMCA</v>
      </c>
    </row>
    <row r="9300" spans="1:9" x14ac:dyDescent="0.4">
      <c r="A9300" t="s">
        <v>64</v>
      </c>
      <c r="B9300" s="1">
        <v>45139</v>
      </c>
      <c r="C9300">
        <v>850134</v>
      </c>
      <c r="D9300" t="s">
        <v>176</v>
      </c>
      <c r="E9300">
        <v>0</v>
      </c>
      <c r="F9300">
        <v>0</v>
      </c>
      <c r="G9300">
        <v>0</v>
      </c>
      <c r="H9300">
        <f>_xlfn.XLOOKUP(FACT_IMPORTS[[#This Row],[hts_6]],DIM_PRODUCTS[hts_6],DIM_PRODUCTS[hts_4],,,)</f>
        <v>8501</v>
      </c>
      <c r="I9300" t="str" cm="1">
        <f t="array" ref="I9300">_xlfn.XLOOKUP(FACT_IMPORTS[[#This Row],[country_name]],DIM_COUNTRY[[#All],[Column2]],DIM_COUNTRY[[#All],[Column3]],,,)</f>
        <v>USMCA</v>
      </c>
    </row>
    <row r="9301" spans="1:9" x14ac:dyDescent="0.4">
      <c r="A9301" t="s">
        <v>64</v>
      </c>
      <c r="B9301" s="1">
        <v>45139</v>
      </c>
      <c r="C9301">
        <v>850152</v>
      </c>
      <c r="D9301" t="s">
        <v>176</v>
      </c>
      <c r="E9301">
        <v>24961</v>
      </c>
      <c r="F9301">
        <v>108</v>
      </c>
      <c r="G9301">
        <v>366</v>
      </c>
      <c r="H9301">
        <f>_xlfn.XLOOKUP(FACT_IMPORTS[[#This Row],[hts_6]],DIM_PRODUCTS[hts_6],DIM_PRODUCTS[hts_4],,,)</f>
        <v>8501</v>
      </c>
      <c r="I9301" t="str" cm="1">
        <f t="array" ref="I9301">_xlfn.XLOOKUP(FACT_IMPORTS[[#This Row],[country_name]],DIM_COUNTRY[[#All],[Column2]],DIM_COUNTRY[[#All],[Column3]],,,)</f>
        <v>USMCA</v>
      </c>
    </row>
    <row r="9302" spans="1:9" x14ac:dyDescent="0.4">
      <c r="A9302" t="s">
        <v>64</v>
      </c>
      <c r="B9302" s="1">
        <v>45139</v>
      </c>
      <c r="C9302">
        <v>850153</v>
      </c>
      <c r="D9302" t="s">
        <v>176</v>
      </c>
      <c r="E9302">
        <v>20560</v>
      </c>
      <c r="F9302">
        <v>3</v>
      </c>
      <c r="G9302">
        <v>310</v>
      </c>
      <c r="H9302">
        <f>_xlfn.XLOOKUP(FACT_IMPORTS[[#This Row],[hts_6]],DIM_PRODUCTS[hts_6],DIM_PRODUCTS[hts_4],,,)</f>
        <v>8501</v>
      </c>
      <c r="I9302" t="str" cm="1">
        <f t="array" ref="I9302">_xlfn.XLOOKUP(FACT_IMPORTS[[#This Row],[country_name]],DIM_COUNTRY[[#All],[Column2]],DIM_COUNTRY[[#All],[Column3]],,,)</f>
        <v>USMCA</v>
      </c>
    </row>
    <row r="9303" spans="1:9" x14ac:dyDescent="0.4">
      <c r="A9303" t="s">
        <v>64</v>
      </c>
      <c r="B9303" s="1">
        <v>45139</v>
      </c>
      <c r="C9303">
        <v>850161</v>
      </c>
      <c r="D9303" t="s">
        <v>176</v>
      </c>
      <c r="E9303">
        <v>0</v>
      </c>
      <c r="F9303">
        <v>0</v>
      </c>
      <c r="G9303">
        <v>0</v>
      </c>
      <c r="H9303">
        <f>_xlfn.XLOOKUP(FACT_IMPORTS[[#This Row],[hts_6]],DIM_PRODUCTS[hts_6],DIM_PRODUCTS[hts_4],,,)</f>
        <v>8501</v>
      </c>
      <c r="I9303" t="str" cm="1">
        <f t="array" ref="I9303">_xlfn.XLOOKUP(FACT_IMPORTS[[#This Row],[country_name]],DIM_COUNTRY[[#All],[Column2]],DIM_COUNTRY[[#All],[Column3]],,,)</f>
        <v>USMCA</v>
      </c>
    </row>
    <row r="9304" spans="1:9" x14ac:dyDescent="0.4">
      <c r="A9304" t="s">
        <v>64</v>
      </c>
      <c r="B9304" s="1">
        <v>45139</v>
      </c>
      <c r="C9304">
        <v>850440</v>
      </c>
      <c r="D9304" t="s">
        <v>176</v>
      </c>
      <c r="E9304">
        <v>44723</v>
      </c>
      <c r="F9304">
        <v>963</v>
      </c>
      <c r="G9304">
        <v>548</v>
      </c>
      <c r="H9304">
        <f>_xlfn.XLOOKUP(FACT_IMPORTS[[#This Row],[hts_6]],DIM_PRODUCTS[hts_6],DIM_PRODUCTS[hts_4],,,)</f>
        <v>8504</v>
      </c>
      <c r="I9304" t="str" cm="1">
        <f t="array" ref="I9304">_xlfn.XLOOKUP(FACT_IMPORTS[[#This Row],[country_name]],DIM_COUNTRY[[#All],[Column2]],DIM_COUNTRY[[#All],[Column3]],,,)</f>
        <v>USMCA</v>
      </c>
    </row>
    <row r="9305" spans="1:9" x14ac:dyDescent="0.4">
      <c r="A9305" t="s">
        <v>64</v>
      </c>
      <c r="B9305" s="1">
        <v>45139</v>
      </c>
      <c r="C9305">
        <v>850710</v>
      </c>
      <c r="D9305" t="s">
        <v>176</v>
      </c>
      <c r="E9305">
        <v>0</v>
      </c>
      <c r="F9305">
        <v>0</v>
      </c>
      <c r="G9305">
        <v>0</v>
      </c>
      <c r="H9305">
        <f>_xlfn.XLOOKUP(FACT_IMPORTS[[#This Row],[hts_6]],DIM_PRODUCTS[hts_6],DIM_PRODUCTS[hts_4],,,)</f>
        <v>8507</v>
      </c>
      <c r="I9305" t="str" cm="1">
        <f t="array" ref="I9305">_xlfn.XLOOKUP(FACT_IMPORTS[[#This Row],[country_name]],DIM_COUNTRY[[#All],[Column2]],DIM_COUNTRY[[#All],[Column3]],,,)</f>
        <v>USMCA</v>
      </c>
    </row>
    <row r="9306" spans="1:9" x14ac:dyDescent="0.4">
      <c r="A9306" t="s">
        <v>64</v>
      </c>
      <c r="B9306" s="1">
        <v>45139</v>
      </c>
      <c r="C9306">
        <v>850760</v>
      </c>
      <c r="D9306" t="s">
        <v>176</v>
      </c>
      <c r="E9306">
        <v>41791</v>
      </c>
      <c r="F9306">
        <v>120</v>
      </c>
      <c r="G9306">
        <v>19</v>
      </c>
      <c r="H9306">
        <f>_xlfn.XLOOKUP(FACT_IMPORTS[[#This Row],[hts_6]],DIM_PRODUCTS[hts_6],DIM_PRODUCTS[hts_4],,,)</f>
        <v>8507</v>
      </c>
      <c r="I9306" t="str" cm="1">
        <f t="array" ref="I9306">_xlfn.XLOOKUP(FACT_IMPORTS[[#This Row],[country_name]],DIM_COUNTRY[[#All],[Column2]],DIM_COUNTRY[[#All],[Column3]],,,)</f>
        <v>USMCA</v>
      </c>
    </row>
    <row r="9307" spans="1:9" x14ac:dyDescent="0.4">
      <c r="A9307" t="s">
        <v>64</v>
      </c>
      <c r="B9307" s="1">
        <v>45139</v>
      </c>
      <c r="C9307">
        <v>850790</v>
      </c>
      <c r="D9307" t="s">
        <v>176</v>
      </c>
      <c r="E9307">
        <v>0</v>
      </c>
      <c r="F9307">
        <v>0</v>
      </c>
      <c r="G9307">
        <v>0</v>
      </c>
      <c r="H9307">
        <f>_xlfn.XLOOKUP(FACT_IMPORTS[[#This Row],[hts_6]],DIM_PRODUCTS[hts_6],DIM_PRODUCTS[hts_4],,,)</f>
        <v>8507</v>
      </c>
      <c r="I9307" t="str" cm="1">
        <f t="array" ref="I9307">_xlfn.XLOOKUP(FACT_IMPORTS[[#This Row],[country_name]],DIM_COUNTRY[[#All],[Column2]],DIM_COUNTRY[[#All],[Column3]],,,)</f>
        <v>USMCA</v>
      </c>
    </row>
    <row r="9308" spans="1:9" x14ac:dyDescent="0.4">
      <c r="A9308" t="s">
        <v>64</v>
      </c>
      <c r="B9308" s="1">
        <v>45139</v>
      </c>
      <c r="C9308">
        <v>851110</v>
      </c>
      <c r="D9308" t="s">
        <v>176</v>
      </c>
      <c r="E9308">
        <v>0</v>
      </c>
      <c r="F9308">
        <v>0</v>
      </c>
      <c r="G9308">
        <v>0</v>
      </c>
      <c r="H9308">
        <f>_xlfn.XLOOKUP(FACT_IMPORTS[[#This Row],[hts_6]],DIM_PRODUCTS[hts_6],DIM_PRODUCTS[hts_4],,,)</f>
        <v>8511</v>
      </c>
      <c r="I9308" t="str" cm="1">
        <f t="array" ref="I9308">_xlfn.XLOOKUP(FACT_IMPORTS[[#This Row],[country_name]],DIM_COUNTRY[[#All],[Column2]],DIM_COUNTRY[[#All],[Column3]],,,)</f>
        <v>USMCA</v>
      </c>
    </row>
    <row r="9309" spans="1:9" x14ac:dyDescent="0.4">
      <c r="A9309" t="s">
        <v>64</v>
      </c>
      <c r="B9309" s="1">
        <v>45139</v>
      </c>
      <c r="C9309">
        <v>851130</v>
      </c>
      <c r="D9309" t="s">
        <v>176</v>
      </c>
      <c r="E9309">
        <v>0</v>
      </c>
      <c r="F9309">
        <v>0</v>
      </c>
      <c r="G9309">
        <v>0</v>
      </c>
      <c r="H9309">
        <f>_xlfn.XLOOKUP(FACT_IMPORTS[[#This Row],[hts_6]],DIM_PRODUCTS[hts_6],DIM_PRODUCTS[hts_4],,,)</f>
        <v>8511</v>
      </c>
      <c r="I9309" t="str" cm="1">
        <f t="array" ref="I9309">_xlfn.XLOOKUP(FACT_IMPORTS[[#This Row],[country_name]],DIM_COUNTRY[[#All],[Column2]],DIM_COUNTRY[[#All],[Column3]],,,)</f>
        <v>USMCA</v>
      </c>
    </row>
    <row r="9310" spans="1:9" x14ac:dyDescent="0.4">
      <c r="A9310" t="s">
        <v>64</v>
      </c>
      <c r="B9310" s="1">
        <v>45139</v>
      </c>
      <c r="C9310">
        <v>851140</v>
      </c>
      <c r="D9310" t="s">
        <v>176</v>
      </c>
      <c r="E9310">
        <v>24286</v>
      </c>
      <c r="F9310">
        <v>133</v>
      </c>
      <c r="G9310">
        <v>19</v>
      </c>
      <c r="H9310">
        <f>_xlfn.XLOOKUP(FACT_IMPORTS[[#This Row],[hts_6]],DIM_PRODUCTS[hts_6],DIM_PRODUCTS[hts_4],,,)</f>
        <v>8511</v>
      </c>
      <c r="I9310" t="str" cm="1">
        <f t="array" ref="I9310">_xlfn.XLOOKUP(FACT_IMPORTS[[#This Row],[country_name]],DIM_COUNTRY[[#All],[Column2]],DIM_COUNTRY[[#All],[Column3]],,,)</f>
        <v>USMCA</v>
      </c>
    </row>
    <row r="9311" spans="1:9" x14ac:dyDescent="0.4">
      <c r="A9311" t="s">
        <v>64</v>
      </c>
      <c r="B9311" s="1">
        <v>45139</v>
      </c>
      <c r="C9311">
        <v>851150</v>
      </c>
      <c r="D9311" t="s">
        <v>176</v>
      </c>
      <c r="E9311">
        <v>22565</v>
      </c>
      <c r="F9311">
        <v>155</v>
      </c>
      <c r="G9311">
        <v>69</v>
      </c>
      <c r="H9311">
        <f>_xlfn.XLOOKUP(FACT_IMPORTS[[#This Row],[hts_6]],DIM_PRODUCTS[hts_6],DIM_PRODUCTS[hts_4],,,)</f>
        <v>8511</v>
      </c>
      <c r="I9311" t="str" cm="1">
        <f t="array" ref="I9311">_xlfn.XLOOKUP(FACT_IMPORTS[[#This Row],[country_name]],DIM_COUNTRY[[#All],[Column2]],DIM_COUNTRY[[#All],[Column3]],,,)</f>
        <v>USMCA</v>
      </c>
    </row>
    <row r="9312" spans="1:9" x14ac:dyDescent="0.4">
      <c r="A9312" t="s">
        <v>64</v>
      </c>
      <c r="B9312" s="1">
        <v>45139</v>
      </c>
      <c r="C9312">
        <v>851180</v>
      </c>
      <c r="D9312" t="s">
        <v>176</v>
      </c>
      <c r="E9312">
        <v>0</v>
      </c>
      <c r="F9312">
        <v>0</v>
      </c>
      <c r="G9312">
        <v>0</v>
      </c>
      <c r="H9312">
        <f>_xlfn.XLOOKUP(FACT_IMPORTS[[#This Row],[hts_6]],DIM_PRODUCTS[hts_6],DIM_PRODUCTS[hts_4],,,)</f>
        <v>8511</v>
      </c>
      <c r="I9312" t="str" cm="1">
        <f t="array" ref="I9312">_xlfn.XLOOKUP(FACT_IMPORTS[[#This Row],[country_name]],DIM_COUNTRY[[#All],[Column2]],DIM_COUNTRY[[#All],[Column3]],,,)</f>
        <v>USMCA</v>
      </c>
    </row>
    <row r="9313" spans="1:9" x14ac:dyDescent="0.4">
      <c r="A9313" t="s">
        <v>64</v>
      </c>
      <c r="B9313" s="1">
        <v>45139</v>
      </c>
      <c r="C9313">
        <v>851190</v>
      </c>
      <c r="D9313" t="s">
        <v>176</v>
      </c>
      <c r="E9313">
        <v>0</v>
      </c>
      <c r="F9313">
        <v>0</v>
      </c>
      <c r="G9313">
        <v>0</v>
      </c>
      <c r="H9313">
        <f>_xlfn.XLOOKUP(FACT_IMPORTS[[#This Row],[hts_6]],DIM_PRODUCTS[hts_6],DIM_PRODUCTS[hts_4],,,)</f>
        <v>8511</v>
      </c>
      <c r="I9313" t="str" cm="1">
        <f t="array" ref="I9313">_xlfn.XLOOKUP(FACT_IMPORTS[[#This Row],[country_name]],DIM_COUNTRY[[#All],[Column2]],DIM_COUNTRY[[#All],[Column3]],,,)</f>
        <v>USMCA</v>
      </c>
    </row>
    <row r="9314" spans="1:9" x14ac:dyDescent="0.4">
      <c r="A9314" t="s">
        <v>64</v>
      </c>
      <c r="B9314" s="1">
        <v>45139</v>
      </c>
      <c r="C9314">
        <v>851220</v>
      </c>
      <c r="D9314" t="s">
        <v>176</v>
      </c>
      <c r="E9314">
        <v>25142</v>
      </c>
      <c r="F9314">
        <v>162</v>
      </c>
      <c r="G9314">
        <v>56</v>
      </c>
      <c r="H9314">
        <f>_xlfn.XLOOKUP(FACT_IMPORTS[[#This Row],[hts_6]],DIM_PRODUCTS[hts_6],DIM_PRODUCTS[hts_4],,,)</f>
        <v>8512</v>
      </c>
      <c r="I9314" t="str" cm="1">
        <f t="array" ref="I9314">_xlfn.XLOOKUP(FACT_IMPORTS[[#This Row],[country_name]],DIM_COUNTRY[[#All],[Column2]],DIM_COUNTRY[[#All],[Column3]],,,)</f>
        <v>USMCA</v>
      </c>
    </row>
    <row r="9315" spans="1:9" x14ac:dyDescent="0.4">
      <c r="A9315" t="s">
        <v>64</v>
      </c>
      <c r="B9315" s="1">
        <v>45139</v>
      </c>
      <c r="C9315">
        <v>851230</v>
      </c>
      <c r="D9315" t="s">
        <v>176</v>
      </c>
      <c r="E9315">
        <v>6530</v>
      </c>
      <c r="F9315">
        <v>1220</v>
      </c>
      <c r="G9315">
        <v>279</v>
      </c>
      <c r="H9315">
        <f>_xlfn.XLOOKUP(FACT_IMPORTS[[#This Row],[hts_6]],DIM_PRODUCTS[hts_6],DIM_PRODUCTS[hts_4],,,)</f>
        <v>8512</v>
      </c>
      <c r="I9315" t="str" cm="1">
        <f t="array" ref="I9315">_xlfn.XLOOKUP(FACT_IMPORTS[[#This Row],[country_name]],DIM_COUNTRY[[#All],[Column2]],DIM_COUNTRY[[#All],[Column3]],,,)</f>
        <v>USMCA</v>
      </c>
    </row>
    <row r="9316" spans="1:9" x14ac:dyDescent="0.4">
      <c r="A9316" t="s">
        <v>64</v>
      </c>
      <c r="B9316" s="1">
        <v>45139</v>
      </c>
      <c r="C9316">
        <v>851240</v>
      </c>
      <c r="D9316" t="s">
        <v>176</v>
      </c>
      <c r="E9316">
        <v>0</v>
      </c>
      <c r="F9316">
        <v>0</v>
      </c>
      <c r="G9316">
        <v>0</v>
      </c>
      <c r="H9316">
        <f>_xlfn.XLOOKUP(FACT_IMPORTS[[#This Row],[hts_6]],DIM_PRODUCTS[hts_6],DIM_PRODUCTS[hts_4],,,)</f>
        <v>8512</v>
      </c>
      <c r="I9316" t="str" cm="1">
        <f t="array" ref="I9316">_xlfn.XLOOKUP(FACT_IMPORTS[[#This Row],[country_name]],DIM_COUNTRY[[#All],[Column2]],DIM_COUNTRY[[#All],[Column3]],,,)</f>
        <v>USMCA</v>
      </c>
    </row>
    <row r="9317" spans="1:9" x14ac:dyDescent="0.4">
      <c r="A9317" t="s">
        <v>64</v>
      </c>
      <c r="B9317" s="1">
        <v>45139</v>
      </c>
      <c r="C9317">
        <v>851290</v>
      </c>
      <c r="D9317" t="s">
        <v>176</v>
      </c>
      <c r="E9317">
        <v>12612</v>
      </c>
      <c r="F9317">
        <v>35</v>
      </c>
      <c r="G9317">
        <v>1114</v>
      </c>
      <c r="H9317">
        <f>_xlfn.XLOOKUP(FACT_IMPORTS[[#This Row],[hts_6]],DIM_PRODUCTS[hts_6],DIM_PRODUCTS[hts_4],,,)</f>
        <v>8512</v>
      </c>
      <c r="I9317" t="str" cm="1">
        <f t="array" ref="I9317">_xlfn.XLOOKUP(FACT_IMPORTS[[#This Row],[country_name]],DIM_COUNTRY[[#All],[Column2]],DIM_COUNTRY[[#All],[Column3]],,,)</f>
        <v>USMCA</v>
      </c>
    </row>
    <row r="9318" spans="1:9" x14ac:dyDescent="0.4">
      <c r="A9318" t="s">
        <v>64</v>
      </c>
      <c r="B9318" s="1">
        <v>45139</v>
      </c>
      <c r="C9318">
        <v>854231</v>
      </c>
      <c r="D9318" t="s">
        <v>176</v>
      </c>
      <c r="E9318">
        <v>0</v>
      </c>
      <c r="F9318">
        <v>0</v>
      </c>
      <c r="G9318">
        <v>0</v>
      </c>
      <c r="H9318">
        <f>_xlfn.XLOOKUP(FACT_IMPORTS[[#This Row],[hts_6]],DIM_PRODUCTS[hts_6],DIM_PRODUCTS[hts_4],,,)</f>
        <v>8542</v>
      </c>
      <c r="I9318" t="str" cm="1">
        <f t="array" ref="I9318">_xlfn.XLOOKUP(FACT_IMPORTS[[#This Row],[country_name]],DIM_COUNTRY[[#All],[Column2]],DIM_COUNTRY[[#All],[Column3]],,,)</f>
        <v>USMCA</v>
      </c>
    </row>
    <row r="9319" spans="1:9" x14ac:dyDescent="0.4">
      <c r="A9319" t="s">
        <v>64</v>
      </c>
      <c r="B9319" s="1">
        <v>45139</v>
      </c>
      <c r="C9319">
        <v>854232</v>
      </c>
      <c r="D9319" t="s">
        <v>176</v>
      </c>
      <c r="E9319">
        <v>0</v>
      </c>
      <c r="F9319">
        <v>0</v>
      </c>
      <c r="G9319">
        <v>0</v>
      </c>
      <c r="H9319">
        <f>_xlfn.XLOOKUP(FACT_IMPORTS[[#This Row],[hts_6]],DIM_PRODUCTS[hts_6],DIM_PRODUCTS[hts_4],,,)</f>
        <v>8542</v>
      </c>
      <c r="I9319" t="str" cm="1">
        <f t="array" ref="I9319">_xlfn.XLOOKUP(FACT_IMPORTS[[#This Row],[country_name]],DIM_COUNTRY[[#All],[Column2]],DIM_COUNTRY[[#All],[Column3]],,,)</f>
        <v>USMCA</v>
      </c>
    </row>
    <row r="9320" spans="1:9" x14ac:dyDescent="0.4">
      <c r="A9320" t="s">
        <v>64</v>
      </c>
      <c r="B9320" s="1">
        <v>45139</v>
      </c>
      <c r="C9320">
        <v>854290</v>
      </c>
      <c r="D9320" t="s">
        <v>176</v>
      </c>
      <c r="E9320">
        <v>2400</v>
      </c>
      <c r="F9320">
        <v>4</v>
      </c>
      <c r="G9320">
        <v>1</v>
      </c>
      <c r="H9320">
        <f>_xlfn.XLOOKUP(FACT_IMPORTS[[#This Row],[hts_6]],DIM_PRODUCTS[hts_6],DIM_PRODUCTS[hts_4],,,)</f>
        <v>8542</v>
      </c>
      <c r="I9320" t="str" cm="1">
        <f t="array" ref="I9320">_xlfn.XLOOKUP(FACT_IMPORTS[[#This Row],[country_name]],DIM_COUNTRY[[#All],[Column2]],DIM_COUNTRY[[#All],[Column3]],,,)</f>
        <v>USMCA</v>
      </c>
    </row>
    <row r="9321" spans="1:9" x14ac:dyDescent="0.4">
      <c r="A9321" t="s">
        <v>64</v>
      </c>
      <c r="B9321" s="1">
        <v>45139</v>
      </c>
      <c r="C9321">
        <v>854430</v>
      </c>
      <c r="D9321" t="s">
        <v>176</v>
      </c>
      <c r="E9321">
        <v>1208272</v>
      </c>
      <c r="F9321">
        <v>87390</v>
      </c>
      <c r="G9321">
        <v>7532</v>
      </c>
      <c r="H9321">
        <f>_xlfn.XLOOKUP(FACT_IMPORTS[[#This Row],[hts_6]],DIM_PRODUCTS[hts_6],DIM_PRODUCTS[hts_4],,,)</f>
        <v>8544</v>
      </c>
      <c r="I9321" t="str" cm="1">
        <f t="array" ref="I9321">_xlfn.XLOOKUP(FACT_IMPORTS[[#This Row],[country_name]],DIM_COUNTRY[[#All],[Column2]],DIM_COUNTRY[[#All],[Column3]],,,)</f>
        <v>USMCA</v>
      </c>
    </row>
    <row r="9322" spans="1:9" x14ac:dyDescent="0.4">
      <c r="A9322" t="s">
        <v>64</v>
      </c>
      <c r="B9322" s="1">
        <v>45139</v>
      </c>
      <c r="C9322">
        <v>870810</v>
      </c>
      <c r="D9322" t="s">
        <v>176</v>
      </c>
      <c r="E9322">
        <v>20931</v>
      </c>
      <c r="F9322">
        <v>112</v>
      </c>
      <c r="G9322">
        <v>12</v>
      </c>
      <c r="H9322">
        <f>_xlfn.XLOOKUP(FACT_IMPORTS[[#This Row],[hts_6]],DIM_PRODUCTS[hts_6],DIM_PRODUCTS[hts_4],,,)</f>
        <v>8708</v>
      </c>
      <c r="I9322" t="str" cm="1">
        <f t="array" ref="I9322">_xlfn.XLOOKUP(FACT_IMPORTS[[#This Row],[country_name]],DIM_COUNTRY[[#All],[Column2]],DIM_COUNTRY[[#All],[Column3]],,,)</f>
        <v>USMCA</v>
      </c>
    </row>
    <row r="9323" spans="1:9" x14ac:dyDescent="0.4">
      <c r="A9323" t="s">
        <v>64</v>
      </c>
      <c r="B9323" s="1">
        <v>45139</v>
      </c>
      <c r="C9323">
        <v>870821</v>
      </c>
      <c r="D9323" t="s">
        <v>176</v>
      </c>
      <c r="E9323">
        <v>0</v>
      </c>
      <c r="F9323">
        <v>0</v>
      </c>
      <c r="G9323">
        <v>0</v>
      </c>
      <c r="H9323">
        <f>_xlfn.XLOOKUP(FACT_IMPORTS[[#This Row],[hts_6]],DIM_PRODUCTS[hts_6],DIM_PRODUCTS[hts_4],,,)</f>
        <v>8708</v>
      </c>
      <c r="I9323" t="str" cm="1">
        <f t="array" ref="I9323">_xlfn.XLOOKUP(FACT_IMPORTS[[#This Row],[country_name]],DIM_COUNTRY[[#All],[Column2]],DIM_COUNTRY[[#All],[Column3]],,,)</f>
        <v>USMCA</v>
      </c>
    </row>
    <row r="9324" spans="1:9" x14ac:dyDescent="0.4">
      <c r="A9324" t="s">
        <v>64</v>
      </c>
      <c r="B9324" s="1">
        <v>45139</v>
      </c>
      <c r="C9324">
        <v>870822</v>
      </c>
      <c r="D9324" t="s">
        <v>176</v>
      </c>
      <c r="E9324">
        <v>4637</v>
      </c>
      <c r="F9324">
        <v>22</v>
      </c>
      <c r="G9324">
        <v>100</v>
      </c>
      <c r="H9324">
        <f>_xlfn.XLOOKUP(FACT_IMPORTS[[#This Row],[hts_6]],DIM_PRODUCTS[hts_6],DIM_PRODUCTS[hts_4],,,)</f>
        <v>8708</v>
      </c>
      <c r="I9324" t="str" cm="1">
        <f t="array" ref="I9324">_xlfn.XLOOKUP(FACT_IMPORTS[[#This Row],[country_name]],DIM_COUNTRY[[#All],[Column2]],DIM_COUNTRY[[#All],[Column3]],,,)</f>
        <v>USMCA</v>
      </c>
    </row>
    <row r="9325" spans="1:9" x14ac:dyDescent="0.4">
      <c r="A9325" t="s">
        <v>64</v>
      </c>
      <c r="B9325" s="1">
        <v>45139</v>
      </c>
      <c r="C9325">
        <v>870829</v>
      </c>
      <c r="D9325" t="s">
        <v>176</v>
      </c>
      <c r="E9325">
        <v>1208213</v>
      </c>
      <c r="F9325">
        <v>14850</v>
      </c>
      <c r="G9325">
        <v>13751</v>
      </c>
      <c r="H9325">
        <f>_xlfn.XLOOKUP(FACT_IMPORTS[[#This Row],[hts_6]],DIM_PRODUCTS[hts_6],DIM_PRODUCTS[hts_4],,,)</f>
        <v>8708</v>
      </c>
      <c r="I9325" t="str" cm="1">
        <f t="array" ref="I9325">_xlfn.XLOOKUP(FACT_IMPORTS[[#This Row],[country_name]],DIM_COUNTRY[[#All],[Column2]],DIM_COUNTRY[[#All],[Column3]],,,)</f>
        <v>USMCA</v>
      </c>
    </row>
    <row r="9326" spans="1:9" x14ac:dyDescent="0.4">
      <c r="A9326" t="s">
        <v>64</v>
      </c>
      <c r="B9326" s="1">
        <v>45139</v>
      </c>
      <c r="C9326">
        <v>870830</v>
      </c>
      <c r="D9326" t="s">
        <v>176</v>
      </c>
      <c r="E9326">
        <v>147877</v>
      </c>
      <c r="F9326">
        <v>6277</v>
      </c>
      <c r="G9326">
        <v>10493</v>
      </c>
      <c r="H9326">
        <f>_xlfn.XLOOKUP(FACT_IMPORTS[[#This Row],[hts_6]],DIM_PRODUCTS[hts_6],DIM_PRODUCTS[hts_4],,,)</f>
        <v>8708</v>
      </c>
      <c r="I9326" t="str" cm="1">
        <f t="array" ref="I9326">_xlfn.XLOOKUP(FACT_IMPORTS[[#This Row],[country_name]],DIM_COUNTRY[[#All],[Column2]],DIM_COUNTRY[[#All],[Column3]],,,)</f>
        <v>USMCA</v>
      </c>
    </row>
    <row r="9327" spans="1:9" x14ac:dyDescent="0.4">
      <c r="A9327" t="s">
        <v>64</v>
      </c>
      <c r="B9327" s="1">
        <v>45139</v>
      </c>
      <c r="C9327">
        <v>870840</v>
      </c>
      <c r="D9327" t="s">
        <v>176</v>
      </c>
      <c r="E9327">
        <v>48107</v>
      </c>
      <c r="F9327">
        <v>28</v>
      </c>
      <c r="G9327">
        <v>40</v>
      </c>
      <c r="H9327">
        <f>_xlfn.XLOOKUP(FACT_IMPORTS[[#This Row],[hts_6]],DIM_PRODUCTS[hts_6],DIM_PRODUCTS[hts_4],,,)</f>
        <v>8708</v>
      </c>
      <c r="I9327" t="str" cm="1">
        <f t="array" ref="I9327">_xlfn.XLOOKUP(FACT_IMPORTS[[#This Row],[country_name]],DIM_COUNTRY[[#All],[Column2]],DIM_COUNTRY[[#All],[Column3]],,,)</f>
        <v>USMCA</v>
      </c>
    </row>
    <row r="9328" spans="1:9" x14ac:dyDescent="0.4">
      <c r="A9328" t="s">
        <v>64</v>
      </c>
      <c r="B9328" s="1">
        <v>45139</v>
      </c>
      <c r="C9328">
        <v>870850</v>
      </c>
      <c r="D9328" t="s">
        <v>176</v>
      </c>
      <c r="E9328">
        <v>44733</v>
      </c>
      <c r="F9328">
        <v>6076</v>
      </c>
      <c r="G9328">
        <v>124</v>
      </c>
      <c r="H9328">
        <f>_xlfn.XLOOKUP(FACT_IMPORTS[[#This Row],[hts_6]],DIM_PRODUCTS[hts_6],DIM_PRODUCTS[hts_4],,,)</f>
        <v>8708</v>
      </c>
      <c r="I9328" t="str" cm="1">
        <f t="array" ref="I9328">_xlfn.XLOOKUP(FACT_IMPORTS[[#This Row],[country_name]],DIM_COUNTRY[[#All],[Column2]],DIM_COUNTRY[[#All],[Column3]],,,)</f>
        <v>USMCA</v>
      </c>
    </row>
    <row r="9329" spans="1:9" x14ac:dyDescent="0.4">
      <c r="A9329" t="s">
        <v>64</v>
      </c>
      <c r="B9329" s="1">
        <v>45139</v>
      </c>
      <c r="C9329">
        <v>870870</v>
      </c>
      <c r="D9329" t="s">
        <v>176</v>
      </c>
      <c r="E9329">
        <v>94290</v>
      </c>
      <c r="F9329">
        <v>1584</v>
      </c>
      <c r="G9329">
        <v>2059</v>
      </c>
      <c r="H9329">
        <f>_xlfn.XLOOKUP(FACT_IMPORTS[[#This Row],[hts_6]],DIM_PRODUCTS[hts_6],DIM_PRODUCTS[hts_4],,,)</f>
        <v>8708</v>
      </c>
      <c r="I9329" t="str" cm="1">
        <f t="array" ref="I9329">_xlfn.XLOOKUP(FACT_IMPORTS[[#This Row],[country_name]],DIM_COUNTRY[[#All],[Column2]],DIM_COUNTRY[[#All],[Column3]],,,)</f>
        <v>USMCA</v>
      </c>
    </row>
    <row r="9330" spans="1:9" x14ac:dyDescent="0.4">
      <c r="A9330" t="s">
        <v>64</v>
      </c>
      <c r="B9330" s="1">
        <v>45139</v>
      </c>
      <c r="C9330">
        <v>870880</v>
      </c>
      <c r="D9330" t="s">
        <v>176</v>
      </c>
      <c r="E9330">
        <v>44968</v>
      </c>
      <c r="F9330">
        <v>2578</v>
      </c>
      <c r="G9330">
        <v>368</v>
      </c>
      <c r="H9330">
        <f>_xlfn.XLOOKUP(FACT_IMPORTS[[#This Row],[hts_6]],DIM_PRODUCTS[hts_6],DIM_PRODUCTS[hts_4],,,)</f>
        <v>8708</v>
      </c>
      <c r="I9330" t="str" cm="1">
        <f t="array" ref="I9330">_xlfn.XLOOKUP(FACT_IMPORTS[[#This Row],[country_name]],DIM_COUNTRY[[#All],[Column2]],DIM_COUNTRY[[#All],[Column3]],,,)</f>
        <v>USMCA</v>
      </c>
    </row>
    <row r="9331" spans="1:9" x14ac:dyDescent="0.4">
      <c r="A9331" t="s">
        <v>64</v>
      </c>
      <c r="B9331" s="1">
        <v>45139</v>
      </c>
      <c r="C9331">
        <v>870891</v>
      </c>
      <c r="D9331" t="s">
        <v>176</v>
      </c>
      <c r="E9331">
        <v>4720</v>
      </c>
      <c r="F9331">
        <v>18</v>
      </c>
      <c r="G9331">
        <v>151</v>
      </c>
      <c r="H9331">
        <f>_xlfn.XLOOKUP(FACT_IMPORTS[[#This Row],[hts_6]],DIM_PRODUCTS[hts_6],DIM_PRODUCTS[hts_4],,,)</f>
        <v>8708</v>
      </c>
      <c r="I9331" t="str" cm="1">
        <f t="array" ref="I9331">_xlfn.XLOOKUP(FACT_IMPORTS[[#This Row],[country_name]],DIM_COUNTRY[[#All],[Column2]],DIM_COUNTRY[[#All],[Column3]],,,)</f>
        <v>USMCA</v>
      </c>
    </row>
    <row r="9332" spans="1:9" x14ac:dyDescent="0.4">
      <c r="A9332" t="s">
        <v>64</v>
      </c>
      <c r="B9332" s="1">
        <v>45139</v>
      </c>
      <c r="C9332">
        <v>870892</v>
      </c>
      <c r="D9332" t="s">
        <v>176</v>
      </c>
      <c r="E9332">
        <v>6715</v>
      </c>
      <c r="F9332">
        <v>53</v>
      </c>
      <c r="G9332">
        <v>3</v>
      </c>
      <c r="H9332">
        <f>_xlfn.XLOOKUP(FACT_IMPORTS[[#This Row],[hts_6]],DIM_PRODUCTS[hts_6],DIM_PRODUCTS[hts_4],,,)</f>
        <v>8708</v>
      </c>
      <c r="I9332" t="str" cm="1">
        <f t="array" ref="I9332">_xlfn.XLOOKUP(FACT_IMPORTS[[#This Row],[country_name]],DIM_COUNTRY[[#All],[Column2]],DIM_COUNTRY[[#All],[Column3]],,,)</f>
        <v>USMCA</v>
      </c>
    </row>
    <row r="9333" spans="1:9" x14ac:dyDescent="0.4">
      <c r="A9333" t="s">
        <v>64</v>
      </c>
      <c r="B9333" s="1">
        <v>45139</v>
      </c>
      <c r="C9333">
        <v>870893</v>
      </c>
      <c r="D9333" t="s">
        <v>176</v>
      </c>
      <c r="E9333">
        <v>31856</v>
      </c>
      <c r="F9333">
        <v>1645</v>
      </c>
      <c r="G9333">
        <v>464</v>
      </c>
      <c r="H9333">
        <f>_xlfn.XLOOKUP(FACT_IMPORTS[[#This Row],[hts_6]],DIM_PRODUCTS[hts_6],DIM_PRODUCTS[hts_4],,,)</f>
        <v>8708</v>
      </c>
      <c r="I9333" t="str" cm="1">
        <f t="array" ref="I9333">_xlfn.XLOOKUP(FACT_IMPORTS[[#This Row],[country_name]],DIM_COUNTRY[[#All],[Column2]],DIM_COUNTRY[[#All],[Column3]],,,)</f>
        <v>USMCA</v>
      </c>
    </row>
    <row r="9334" spans="1:9" x14ac:dyDescent="0.4">
      <c r="A9334" t="s">
        <v>64</v>
      </c>
      <c r="B9334" s="1">
        <v>45139</v>
      </c>
      <c r="C9334">
        <v>870894</v>
      </c>
      <c r="D9334" t="s">
        <v>176</v>
      </c>
      <c r="E9334">
        <v>55433</v>
      </c>
      <c r="F9334">
        <v>283</v>
      </c>
      <c r="G9334">
        <v>644</v>
      </c>
      <c r="H9334">
        <f>_xlfn.XLOOKUP(FACT_IMPORTS[[#This Row],[hts_6]],DIM_PRODUCTS[hts_6],DIM_PRODUCTS[hts_4],,,)</f>
        <v>8708</v>
      </c>
      <c r="I9334" t="str" cm="1">
        <f t="array" ref="I9334">_xlfn.XLOOKUP(FACT_IMPORTS[[#This Row],[country_name]],DIM_COUNTRY[[#All],[Column2]],DIM_COUNTRY[[#All],[Column3]],,,)</f>
        <v>USMCA</v>
      </c>
    </row>
    <row r="9335" spans="1:9" x14ac:dyDescent="0.4">
      <c r="A9335" t="s">
        <v>64</v>
      </c>
      <c r="B9335" s="1">
        <v>45139</v>
      </c>
      <c r="C9335">
        <v>870895</v>
      </c>
      <c r="D9335" t="s">
        <v>176</v>
      </c>
      <c r="E9335">
        <v>233411</v>
      </c>
      <c r="F9335">
        <v>3612</v>
      </c>
      <c r="G9335">
        <v>633</v>
      </c>
      <c r="H9335">
        <f>_xlfn.XLOOKUP(FACT_IMPORTS[[#This Row],[hts_6]],DIM_PRODUCTS[hts_6],DIM_PRODUCTS[hts_4],,,)</f>
        <v>8708</v>
      </c>
      <c r="I9335" t="str" cm="1">
        <f t="array" ref="I9335">_xlfn.XLOOKUP(FACT_IMPORTS[[#This Row],[country_name]],DIM_COUNTRY[[#All],[Column2]],DIM_COUNTRY[[#All],[Column3]],,,)</f>
        <v>USMCA</v>
      </c>
    </row>
    <row r="9336" spans="1:9" x14ac:dyDescent="0.4">
      <c r="A9336" t="s">
        <v>64</v>
      </c>
      <c r="B9336" s="1">
        <v>45139</v>
      </c>
      <c r="C9336">
        <v>870899</v>
      </c>
      <c r="D9336" t="s">
        <v>176</v>
      </c>
      <c r="E9336">
        <v>229407</v>
      </c>
      <c r="F9336">
        <v>5754</v>
      </c>
      <c r="G9336">
        <v>5883</v>
      </c>
      <c r="H9336">
        <f>_xlfn.XLOOKUP(FACT_IMPORTS[[#This Row],[hts_6]],DIM_PRODUCTS[hts_6],DIM_PRODUCTS[hts_4],,,)</f>
        <v>8708</v>
      </c>
      <c r="I9336" t="str" cm="1">
        <f t="array" ref="I9336">_xlfn.XLOOKUP(FACT_IMPORTS[[#This Row],[country_name]],DIM_COUNTRY[[#All],[Column2]],DIM_COUNTRY[[#All],[Column3]],,,)</f>
        <v>USMCA</v>
      </c>
    </row>
    <row r="9337" spans="1:9" x14ac:dyDescent="0.4">
      <c r="A9337" t="s">
        <v>64</v>
      </c>
      <c r="B9337" s="1">
        <v>45139</v>
      </c>
      <c r="C9337">
        <v>940120</v>
      </c>
      <c r="D9337" t="s">
        <v>176</v>
      </c>
      <c r="E9337">
        <v>14087</v>
      </c>
      <c r="F9337">
        <v>71</v>
      </c>
      <c r="G9337">
        <v>23</v>
      </c>
      <c r="H9337">
        <f>_xlfn.XLOOKUP(FACT_IMPORTS[[#This Row],[hts_6]],DIM_PRODUCTS[hts_6],DIM_PRODUCTS[hts_4],,,)</f>
        <v>9401</v>
      </c>
      <c r="I9337" t="str" cm="1">
        <f t="array" ref="I9337">_xlfn.XLOOKUP(FACT_IMPORTS[[#This Row],[country_name]],DIM_COUNTRY[[#All],[Column2]],DIM_COUNTRY[[#All],[Column3]],,,)</f>
        <v>USMCA</v>
      </c>
    </row>
    <row r="9338" spans="1:9" x14ac:dyDescent="0.4">
      <c r="A9338" t="s">
        <v>64</v>
      </c>
      <c r="B9338" s="1">
        <v>45170</v>
      </c>
      <c r="C9338">
        <v>392630</v>
      </c>
      <c r="D9338" t="s">
        <v>176</v>
      </c>
      <c r="E9338">
        <v>9312</v>
      </c>
      <c r="F9338">
        <v>6915</v>
      </c>
      <c r="G9338">
        <v>593</v>
      </c>
      <c r="H9338">
        <f>_xlfn.XLOOKUP(FACT_IMPORTS[[#This Row],[hts_6]],DIM_PRODUCTS[hts_6],DIM_PRODUCTS[hts_4],,,)</f>
        <v>3926</v>
      </c>
      <c r="I9338" t="str" cm="1">
        <f t="array" ref="I9338">_xlfn.XLOOKUP(FACT_IMPORTS[[#This Row],[country_name]],DIM_COUNTRY[[#All],[Column2]],DIM_COUNTRY[[#All],[Column3]],,,)</f>
        <v>USMCA</v>
      </c>
    </row>
    <row r="9339" spans="1:9" x14ac:dyDescent="0.4">
      <c r="A9339" t="s">
        <v>64</v>
      </c>
      <c r="B9339" s="1">
        <v>45170</v>
      </c>
      <c r="C9339">
        <v>401110</v>
      </c>
      <c r="D9339" t="s">
        <v>176</v>
      </c>
      <c r="E9339">
        <v>55806</v>
      </c>
      <c r="F9339">
        <v>872</v>
      </c>
      <c r="G9339">
        <v>4705</v>
      </c>
      <c r="H9339">
        <f>_xlfn.XLOOKUP(FACT_IMPORTS[[#This Row],[hts_6]],DIM_PRODUCTS[hts_6],DIM_PRODUCTS[hts_4],,,)</f>
        <v>4011</v>
      </c>
      <c r="I9339" t="str" cm="1">
        <f t="array" ref="I9339">_xlfn.XLOOKUP(FACT_IMPORTS[[#This Row],[country_name]],DIM_COUNTRY[[#All],[Column2]],DIM_COUNTRY[[#All],[Column3]],,,)</f>
        <v>USMCA</v>
      </c>
    </row>
    <row r="9340" spans="1:9" x14ac:dyDescent="0.4">
      <c r="A9340" t="s">
        <v>64</v>
      </c>
      <c r="B9340" s="1">
        <v>45170</v>
      </c>
      <c r="C9340">
        <v>401120</v>
      </c>
      <c r="D9340" t="s">
        <v>176</v>
      </c>
      <c r="E9340">
        <v>4440</v>
      </c>
      <c r="F9340">
        <v>66</v>
      </c>
      <c r="G9340">
        <v>4476</v>
      </c>
      <c r="H9340">
        <f>_xlfn.XLOOKUP(FACT_IMPORTS[[#This Row],[hts_6]],DIM_PRODUCTS[hts_6],DIM_PRODUCTS[hts_4],,,)</f>
        <v>4011</v>
      </c>
      <c r="I9340" t="str" cm="1">
        <f t="array" ref="I9340">_xlfn.XLOOKUP(FACT_IMPORTS[[#This Row],[country_name]],DIM_COUNTRY[[#All],[Column2]],DIM_COUNTRY[[#All],[Column3]],,,)</f>
        <v>USMCA</v>
      </c>
    </row>
    <row r="9341" spans="1:9" x14ac:dyDescent="0.4">
      <c r="A9341" t="s">
        <v>64</v>
      </c>
      <c r="B9341" s="1">
        <v>45170</v>
      </c>
      <c r="C9341">
        <v>401190</v>
      </c>
      <c r="D9341" t="s">
        <v>176</v>
      </c>
      <c r="E9341">
        <v>2636</v>
      </c>
      <c r="F9341">
        <v>27</v>
      </c>
      <c r="G9341">
        <v>2</v>
      </c>
      <c r="H9341">
        <f>_xlfn.XLOOKUP(FACT_IMPORTS[[#This Row],[hts_6]],DIM_PRODUCTS[hts_6],DIM_PRODUCTS[hts_4],,,)</f>
        <v>4011</v>
      </c>
      <c r="I9341" t="str" cm="1">
        <f t="array" ref="I9341">_xlfn.XLOOKUP(FACT_IMPORTS[[#This Row],[country_name]],DIM_COUNTRY[[#All],[Column2]],DIM_COUNTRY[[#All],[Column3]],,,)</f>
        <v>USMCA</v>
      </c>
    </row>
    <row r="9342" spans="1:9" x14ac:dyDescent="0.4">
      <c r="A9342" t="s">
        <v>64</v>
      </c>
      <c r="B9342" s="1">
        <v>45170</v>
      </c>
      <c r="C9342">
        <v>700910</v>
      </c>
      <c r="D9342" t="s">
        <v>176</v>
      </c>
      <c r="E9342">
        <v>2685</v>
      </c>
      <c r="F9342">
        <v>16</v>
      </c>
      <c r="G9342">
        <v>199</v>
      </c>
      <c r="H9342">
        <f>_xlfn.XLOOKUP(FACT_IMPORTS[[#This Row],[hts_6]],DIM_PRODUCTS[hts_6],DIM_PRODUCTS[hts_4],,,)</f>
        <v>7009</v>
      </c>
      <c r="I9342" t="str" cm="1">
        <f t="array" ref="I9342">_xlfn.XLOOKUP(FACT_IMPORTS[[#This Row],[country_name]],DIM_COUNTRY[[#All],[Column2]],DIM_COUNTRY[[#All],[Column3]],,,)</f>
        <v>USMCA</v>
      </c>
    </row>
    <row r="9343" spans="1:9" x14ac:dyDescent="0.4">
      <c r="A9343" t="s">
        <v>64</v>
      </c>
      <c r="B9343" s="1">
        <v>45170</v>
      </c>
      <c r="C9343">
        <v>732010</v>
      </c>
      <c r="D9343" t="s">
        <v>176</v>
      </c>
      <c r="E9343">
        <v>0</v>
      </c>
      <c r="F9343">
        <v>0</v>
      </c>
      <c r="G9343">
        <v>0</v>
      </c>
      <c r="H9343">
        <f>_xlfn.XLOOKUP(FACT_IMPORTS[[#This Row],[hts_6]],DIM_PRODUCTS[hts_6],DIM_PRODUCTS[hts_4],,,)</f>
        <v>7320</v>
      </c>
      <c r="I9343" t="str" cm="1">
        <f t="array" ref="I9343">_xlfn.XLOOKUP(FACT_IMPORTS[[#This Row],[country_name]],DIM_COUNTRY[[#All],[Column2]],DIM_COUNTRY[[#All],[Column3]],,,)</f>
        <v>USMCA</v>
      </c>
    </row>
    <row r="9344" spans="1:9" x14ac:dyDescent="0.4">
      <c r="A9344" t="s">
        <v>64</v>
      </c>
      <c r="B9344" s="1">
        <v>45170</v>
      </c>
      <c r="C9344">
        <v>830230</v>
      </c>
      <c r="D9344" t="s">
        <v>176</v>
      </c>
      <c r="E9344">
        <v>0</v>
      </c>
      <c r="F9344">
        <v>0</v>
      </c>
      <c r="G9344">
        <v>0</v>
      </c>
      <c r="H9344">
        <f>_xlfn.XLOOKUP(FACT_IMPORTS[[#This Row],[hts_6]],DIM_PRODUCTS[hts_6],DIM_PRODUCTS[hts_4],,,)</f>
        <v>8302</v>
      </c>
      <c r="I9344" t="str" cm="1">
        <f t="array" ref="I9344">_xlfn.XLOOKUP(FACT_IMPORTS[[#This Row],[country_name]],DIM_COUNTRY[[#All],[Column2]],DIM_COUNTRY[[#All],[Column3]],,,)</f>
        <v>USMCA</v>
      </c>
    </row>
    <row r="9345" spans="1:9" x14ac:dyDescent="0.4">
      <c r="A9345" t="s">
        <v>64</v>
      </c>
      <c r="B9345" s="1">
        <v>45170</v>
      </c>
      <c r="C9345">
        <v>840733</v>
      </c>
      <c r="D9345" t="s">
        <v>176</v>
      </c>
      <c r="E9345">
        <v>17000</v>
      </c>
      <c r="F9345">
        <v>2</v>
      </c>
      <c r="G9345">
        <v>600</v>
      </c>
      <c r="H9345">
        <f>_xlfn.XLOOKUP(FACT_IMPORTS[[#This Row],[hts_6]],DIM_PRODUCTS[hts_6],DIM_PRODUCTS[hts_4],,,)</f>
        <v>8407</v>
      </c>
      <c r="I9345" t="str" cm="1">
        <f t="array" ref="I9345">_xlfn.XLOOKUP(FACT_IMPORTS[[#This Row],[country_name]],DIM_COUNTRY[[#All],[Column2]],DIM_COUNTRY[[#All],[Column3]],,,)</f>
        <v>USMCA</v>
      </c>
    </row>
    <row r="9346" spans="1:9" x14ac:dyDescent="0.4">
      <c r="A9346" t="s">
        <v>64</v>
      </c>
      <c r="B9346" s="1">
        <v>45170</v>
      </c>
      <c r="C9346">
        <v>840734</v>
      </c>
      <c r="D9346" t="s">
        <v>176</v>
      </c>
      <c r="E9346">
        <v>563259</v>
      </c>
      <c r="F9346">
        <v>194</v>
      </c>
      <c r="G9346">
        <v>1310</v>
      </c>
      <c r="H9346">
        <f>_xlfn.XLOOKUP(FACT_IMPORTS[[#This Row],[hts_6]],DIM_PRODUCTS[hts_6],DIM_PRODUCTS[hts_4],,,)</f>
        <v>8407</v>
      </c>
      <c r="I9346" t="str" cm="1">
        <f t="array" ref="I9346">_xlfn.XLOOKUP(FACT_IMPORTS[[#This Row],[country_name]],DIM_COUNTRY[[#All],[Column2]],DIM_COUNTRY[[#All],[Column3]],,,)</f>
        <v>USMCA</v>
      </c>
    </row>
    <row r="9347" spans="1:9" x14ac:dyDescent="0.4">
      <c r="A9347" t="s">
        <v>64</v>
      </c>
      <c r="B9347" s="1">
        <v>45170</v>
      </c>
      <c r="C9347">
        <v>840820</v>
      </c>
      <c r="D9347" t="s">
        <v>176</v>
      </c>
      <c r="E9347">
        <v>64484</v>
      </c>
      <c r="F9347">
        <v>9</v>
      </c>
      <c r="G9347">
        <v>145</v>
      </c>
      <c r="H9347">
        <f>_xlfn.XLOOKUP(FACT_IMPORTS[[#This Row],[hts_6]],DIM_PRODUCTS[hts_6],DIM_PRODUCTS[hts_4],,,)</f>
        <v>8408</v>
      </c>
      <c r="I9347" t="str" cm="1">
        <f t="array" ref="I9347">_xlfn.XLOOKUP(FACT_IMPORTS[[#This Row],[country_name]],DIM_COUNTRY[[#All],[Column2]],DIM_COUNTRY[[#All],[Column3]],,,)</f>
        <v>USMCA</v>
      </c>
    </row>
    <row r="9348" spans="1:9" x14ac:dyDescent="0.4">
      <c r="A9348" t="s">
        <v>64</v>
      </c>
      <c r="B9348" s="1">
        <v>45170</v>
      </c>
      <c r="C9348">
        <v>840890</v>
      </c>
      <c r="D9348" t="s">
        <v>176</v>
      </c>
      <c r="E9348">
        <v>3050</v>
      </c>
      <c r="F9348">
        <v>1</v>
      </c>
      <c r="G9348">
        <v>16</v>
      </c>
      <c r="H9348">
        <f>_xlfn.XLOOKUP(FACT_IMPORTS[[#This Row],[hts_6]],DIM_PRODUCTS[hts_6],DIM_PRODUCTS[hts_4],,,)</f>
        <v>8408</v>
      </c>
      <c r="I9348" t="str" cm="1">
        <f t="array" ref="I9348">_xlfn.XLOOKUP(FACT_IMPORTS[[#This Row],[country_name]],DIM_COUNTRY[[#All],[Column2]],DIM_COUNTRY[[#All],[Column3]],,,)</f>
        <v>USMCA</v>
      </c>
    </row>
    <row r="9349" spans="1:9" x14ac:dyDescent="0.4">
      <c r="A9349" t="s">
        <v>64</v>
      </c>
      <c r="B9349" s="1">
        <v>45170</v>
      </c>
      <c r="C9349">
        <v>840991</v>
      </c>
      <c r="D9349" t="s">
        <v>176</v>
      </c>
      <c r="E9349">
        <v>901043</v>
      </c>
      <c r="F9349">
        <v>78307</v>
      </c>
      <c r="G9349">
        <v>6914</v>
      </c>
      <c r="H9349">
        <f>_xlfn.XLOOKUP(FACT_IMPORTS[[#This Row],[hts_6]],DIM_PRODUCTS[hts_6],DIM_PRODUCTS[hts_4],,,)</f>
        <v>8409</v>
      </c>
      <c r="I9349" t="str" cm="1">
        <f t="array" ref="I9349">_xlfn.XLOOKUP(FACT_IMPORTS[[#This Row],[country_name]],DIM_COUNTRY[[#All],[Column2]],DIM_COUNTRY[[#All],[Column3]],,,)</f>
        <v>USMCA</v>
      </c>
    </row>
    <row r="9350" spans="1:9" x14ac:dyDescent="0.4">
      <c r="A9350" t="s">
        <v>64</v>
      </c>
      <c r="B9350" s="1">
        <v>45170</v>
      </c>
      <c r="C9350">
        <v>840999</v>
      </c>
      <c r="D9350" t="s">
        <v>176</v>
      </c>
      <c r="E9350">
        <v>20417</v>
      </c>
      <c r="F9350">
        <v>621</v>
      </c>
      <c r="G9350">
        <v>673</v>
      </c>
      <c r="H9350">
        <f>_xlfn.XLOOKUP(FACT_IMPORTS[[#This Row],[hts_6]],DIM_PRODUCTS[hts_6],DIM_PRODUCTS[hts_4],,,)</f>
        <v>8409</v>
      </c>
      <c r="I9350" t="str" cm="1">
        <f t="array" ref="I9350">_xlfn.XLOOKUP(FACT_IMPORTS[[#This Row],[country_name]],DIM_COUNTRY[[#All],[Column2]],DIM_COUNTRY[[#All],[Column3]],,,)</f>
        <v>USMCA</v>
      </c>
    </row>
    <row r="9351" spans="1:9" x14ac:dyDescent="0.4">
      <c r="A9351" t="s">
        <v>64</v>
      </c>
      <c r="B9351" s="1">
        <v>45170</v>
      </c>
      <c r="C9351">
        <v>841330</v>
      </c>
      <c r="D9351" t="s">
        <v>176</v>
      </c>
      <c r="E9351">
        <v>42541</v>
      </c>
      <c r="F9351">
        <v>99</v>
      </c>
      <c r="G9351">
        <v>45</v>
      </c>
      <c r="H9351">
        <f>_xlfn.XLOOKUP(FACT_IMPORTS[[#This Row],[hts_6]],DIM_PRODUCTS[hts_6],DIM_PRODUCTS[hts_4],,,)</f>
        <v>8413</v>
      </c>
      <c r="I9351" t="str" cm="1">
        <f t="array" ref="I9351">_xlfn.XLOOKUP(FACT_IMPORTS[[#This Row],[country_name]],DIM_COUNTRY[[#All],[Column2]],DIM_COUNTRY[[#All],[Column3]],,,)</f>
        <v>USMCA</v>
      </c>
    </row>
    <row r="9352" spans="1:9" x14ac:dyDescent="0.4">
      <c r="A9352" t="s">
        <v>64</v>
      </c>
      <c r="B9352" s="1">
        <v>45170</v>
      </c>
      <c r="C9352">
        <v>842132</v>
      </c>
      <c r="D9352" t="s">
        <v>176</v>
      </c>
      <c r="E9352">
        <v>203067</v>
      </c>
      <c r="F9352">
        <v>1067</v>
      </c>
      <c r="G9352">
        <v>2605</v>
      </c>
      <c r="H9352">
        <f>_xlfn.XLOOKUP(FACT_IMPORTS[[#This Row],[hts_6]],DIM_PRODUCTS[hts_6],DIM_PRODUCTS[hts_4],,,)</f>
        <v>8421</v>
      </c>
      <c r="I9352" t="str" cm="1">
        <f t="array" ref="I9352">_xlfn.XLOOKUP(FACT_IMPORTS[[#This Row],[country_name]],DIM_COUNTRY[[#All],[Column2]],DIM_COUNTRY[[#All],[Column3]],,,)</f>
        <v>USMCA</v>
      </c>
    </row>
    <row r="9353" spans="1:9" x14ac:dyDescent="0.4">
      <c r="A9353" t="s">
        <v>64</v>
      </c>
      <c r="B9353" s="1">
        <v>45170</v>
      </c>
      <c r="C9353">
        <v>848210</v>
      </c>
      <c r="D9353" t="s">
        <v>176</v>
      </c>
      <c r="E9353">
        <v>31326</v>
      </c>
      <c r="F9353">
        <v>4600</v>
      </c>
      <c r="G9353">
        <v>200</v>
      </c>
      <c r="H9353">
        <f>_xlfn.XLOOKUP(FACT_IMPORTS[[#This Row],[hts_6]],DIM_PRODUCTS[hts_6],DIM_PRODUCTS[hts_4],,,)</f>
        <v>8482</v>
      </c>
      <c r="I9353" t="str" cm="1">
        <f t="array" ref="I9353">_xlfn.XLOOKUP(FACT_IMPORTS[[#This Row],[country_name]],DIM_COUNTRY[[#All],[Column2]],DIM_COUNTRY[[#All],[Column3]],,,)</f>
        <v>USMCA</v>
      </c>
    </row>
    <row r="9354" spans="1:9" x14ac:dyDescent="0.4">
      <c r="A9354" t="s">
        <v>64</v>
      </c>
      <c r="B9354" s="1">
        <v>45170</v>
      </c>
      <c r="C9354">
        <v>848220</v>
      </c>
      <c r="D9354" t="s">
        <v>176</v>
      </c>
      <c r="E9354">
        <v>0</v>
      </c>
      <c r="F9354">
        <v>0</v>
      </c>
      <c r="G9354">
        <v>0</v>
      </c>
      <c r="H9354">
        <f>_xlfn.XLOOKUP(FACT_IMPORTS[[#This Row],[hts_6]],DIM_PRODUCTS[hts_6],DIM_PRODUCTS[hts_4],,,)</f>
        <v>8482</v>
      </c>
      <c r="I9354" t="str" cm="1">
        <f t="array" ref="I9354">_xlfn.XLOOKUP(FACT_IMPORTS[[#This Row],[country_name]],DIM_COUNTRY[[#All],[Column2]],DIM_COUNTRY[[#All],[Column3]],,,)</f>
        <v>USMCA</v>
      </c>
    </row>
    <row r="9355" spans="1:9" x14ac:dyDescent="0.4">
      <c r="A9355" t="s">
        <v>64</v>
      </c>
      <c r="B9355" s="1">
        <v>45170</v>
      </c>
      <c r="C9355">
        <v>848310</v>
      </c>
      <c r="D9355" t="s">
        <v>176</v>
      </c>
      <c r="E9355">
        <v>49700</v>
      </c>
      <c r="F9355">
        <v>644</v>
      </c>
      <c r="G9355">
        <v>200</v>
      </c>
      <c r="H9355">
        <f>_xlfn.XLOOKUP(FACT_IMPORTS[[#This Row],[hts_6]],DIM_PRODUCTS[hts_6],DIM_PRODUCTS[hts_4],,,)</f>
        <v>8483</v>
      </c>
      <c r="I9355" t="str" cm="1">
        <f t="array" ref="I9355">_xlfn.XLOOKUP(FACT_IMPORTS[[#This Row],[country_name]],DIM_COUNTRY[[#All],[Column2]],DIM_COUNTRY[[#All],[Column3]],,,)</f>
        <v>USMCA</v>
      </c>
    </row>
    <row r="9356" spans="1:9" x14ac:dyDescent="0.4">
      <c r="A9356" t="s">
        <v>64</v>
      </c>
      <c r="B9356" s="1">
        <v>45170</v>
      </c>
      <c r="C9356">
        <v>850131</v>
      </c>
      <c r="D9356" t="s">
        <v>176</v>
      </c>
      <c r="E9356">
        <v>0</v>
      </c>
      <c r="F9356">
        <v>0</v>
      </c>
      <c r="G9356">
        <v>0</v>
      </c>
      <c r="H9356">
        <f>_xlfn.XLOOKUP(FACT_IMPORTS[[#This Row],[hts_6]],DIM_PRODUCTS[hts_6],DIM_PRODUCTS[hts_4],,,)</f>
        <v>8501</v>
      </c>
      <c r="I9356" t="str" cm="1">
        <f t="array" ref="I9356">_xlfn.XLOOKUP(FACT_IMPORTS[[#This Row],[country_name]],DIM_COUNTRY[[#All],[Column2]],DIM_COUNTRY[[#All],[Column3]],,,)</f>
        <v>USMCA</v>
      </c>
    </row>
    <row r="9357" spans="1:9" x14ac:dyDescent="0.4">
      <c r="A9357" t="s">
        <v>64</v>
      </c>
      <c r="B9357" s="1">
        <v>45170</v>
      </c>
      <c r="C9357">
        <v>850132</v>
      </c>
      <c r="D9357" t="s">
        <v>176</v>
      </c>
      <c r="E9357">
        <v>0</v>
      </c>
      <c r="F9357">
        <v>0</v>
      </c>
      <c r="G9357">
        <v>0</v>
      </c>
      <c r="H9357">
        <f>_xlfn.XLOOKUP(FACT_IMPORTS[[#This Row],[hts_6]],DIM_PRODUCTS[hts_6],DIM_PRODUCTS[hts_4],,,)</f>
        <v>8501</v>
      </c>
      <c r="I9357" t="str" cm="1">
        <f t="array" ref="I9357">_xlfn.XLOOKUP(FACT_IMPORTS[[#This Row],[country_name]],DIM_COUNTRY[[#All],[Column2]],DIM_COUNTRY[[#All],[Column3]],,,)</f>
        <v>USMCA</v>
      </c>
    </row>
    <row r="9358" spans="1:9" x14ac:dyDescent="0.4">
      <c r="A9358" t="s">
        <v>64</v>
      </c>
      <c r="B9358" s="1">
        <v>45170</v>
      </c>
      <c r="C9358">
        <v>850133</v>
      </c>
      <c r="D9358" t="s">
        <v>176</v>
      </c>
      <c r="E9358">
        <v>0</v>
      </c>
      <c r="F9358">
        <v>0</v>
      </c>
      <c r="G9358">
        <v>0</v>
      </c>
      <c r="H9358">
        <f>_xlfn.XLOOKUP(FACT_IMPORTS[[#This Row],[hts_6]],DIM_PRODUCTS[hts_6],DIM_PRODUCTS[hts_4],,,)</f>
        <v>8501</v>
      </c>
      <c r="I9358" t="str" cm="1">
        <f t="array" ref="I9358">_xlfn.XLOOKUP(FACT_IMPORTS[[#This Row],[country_name]],DIM_COUNTRY[[#All],[Column2]],DIM_COUNTRY[[#All],[Column3]],,,)</f>
        <v>USMCA</v>
      </c>
    </row>
    <row r="9359" spans="1:9" x14ac:dyDescent="0.4">
      <c r="A9359" t="s">
        <v>64</v>
      </c>
      <c r="B9359" s="1">
        <v>45170</v>
      </c>
      <c r="C9359">
        <v>850134</v>
      </c>
      <c r="D9359" t="s">
        <v>176</v>
      </c>
      <c r="E9359">
        <v>0</v>
      </c>
      <c r="F9359">
        <v>0</v>
      </c>
      <c r="G9359">
        <v>0</v>
      </c>
      <c r="H9359">
        <f>_xlfn.XLOOKUP(FACT_IMPORTS[[#This Row],[hts_6]],DIM_PRODUCTS[hts_6],DIM_PRODUCTS[hts_4],,,)</f>
        <v>8501</v>
      </c>
      <c r="I9359" t="str" cm="1">
        <f t="array" ref="I9359">_xlfn.XLOOKUP(FACT_IMPORTS[[#This Row],[country_name]],DIM_COUNTRY[[#All],[Column2]],DIM_COUNTRY[[#All],[Column3]],,,)</f>
        <v>USMCA</v>
      </c>
    </row>
    <row r="9360" spans="1:9" x14ac:dyDescent="0.4">
      <c r="A9360" t="s">
        <v>64</v>
      </c>
      <c r="B9360" s="1">
        <v>45170</v>
      </c>
      <c r="C9360">
        <v>850152</v>
      </c>
      <c r="D9360" t="s">
        <v>176</v>
      </c>
      <c r="E9360">
        <v>68228</v>
      </c>
      <c r="F9360">
        <v>78</v>
      </c>
      <c r="G9360">
        <v>4616</v>
      </c>
      <c r="H9360">
        <f>_xlfn.XLOOKUP(FACT_IMPORTS[[#This Row],[hts_6]],DIM_PRODUCTS[hts_6],DIM_PRODUCTS[hts_4],,,)</f>
        <v>8501</v>
      </c>
      <c r="I9360" t="str" cm="1">
        <f t="array" ref="I9360">_xlfn.XLOOKUP(FACT_IMPORTS[[#This Row],[country_name]],DIM_COUNTRY[[#All],[Column2]],DIM_COUNTRY[[#All],[Column3]],,,)</f>
        <v>USMCA</v>
      </c>
    </row>
    <row r="9361" spans="1:9" x14ac:dyDescent="0.4">
      <c r="A9361" t="s">
        <v>64</v>
      </c>
      <c r="B9361" s="1">
        <v>45170</v>
      </c>
      <c r="C9361">
        <v>850153</v>
      </c>
      <c r="D9361" t="s">
        <v>176</v>
      </c>
      <c r="E9361">
        <v>37701</v>
      </c>
      <c r="F9361">
        <v>4</v>
      </c>
      <c r="G9361">
        <v>2481</v>
      </c>
      <c r="H9361">
        <f>_xlfn.XLOOKUP(FACT_IMPORTS[[#This Row],[hts_6]],DIM_PRODUCTS[hts_6],DIM_PRODUCTS[hts_4],,,)</f>
        <v>8501</v>
      </c>
      <c r="I9361" t="str" cm="1">
        <f t="array" ref="I9361">_xlfn.XLOOKUP(FACT_IMPORTS[[#This Row],[country_name]],DIM_COUNTRY[[#All],[Column2]],DIM_COUNTRY[[#All],[Column3]],,,)</f>
        <v>USMCA</v>
      </c>
    </row>
    <row r="9362" spans="1:9" x14ac:dyDescent="0.4">
      <c r="A9362" t="s">
        <v>64</v>
      </c>
      <c r="B9362" s="1">
        <v>45170</v>
      </c>
      <c r="C9362">
        <v>850161</v>
      </c>
      <c r="D9362" t="s">
        <v>176</v>
      </c>
      <c r="E9362">
        <v>0</v>
      </c>
      <c r="F9362">
        <v>0</v>
      </c>
      <c r="G9362">
        <v>0</v>
      </c>
      <c r="H9362">
        <f>_xlfn.XLOOKUP(FACT_IMPORTS[[#This Row],[hts_6]],DIM_PRODUCTS[hts_6],DIM_PRODUCTS[hts_4],,,)</f>
        <v>8501</v>
      </c>
      <c r="I9362" t="str" cm="1">
        <f t="array" ref="I9362">_xlfn.XLOOKUP(FACT_IMPORTS[[#This Row],[country_name]],DIM_COUNTRY[[#All],[Column2]],DIM_COUNTRY[[#All],[Column3]],,,)</f>
        <v>USMCA</v>
      </c>
    </row>
    <row r="9363" spans="1:9" x14ac:dyDescent="0.4">
      <c r="A9363" t="s">
        <v>64</v>
      </c>
      <c r="B9363" s="1">
        <v>45170</v>
      </c>
      <c r="C9363">
        <v>850440</v>
      </c>
      <c r="D9363" t="s">
        <v>176</v>
      </c>
      <c r="E9363">
        <v>45354</v>
      </c>
      <c r="F9363">
        <v>243</v>
      </c>
      <c r="G9363">
        <v>210</v>
      </c>
      <c r="H9363">
        <f>_xlfn.XLOOKUP(FACT_IMPORTS[[#This Row],[hts_6]],DIM_PRODUCTS[hts_6],DIM_PRODUCTS[hts_4],,,)</f>
        <v>8504</v>
      </c>
      <c r="I9363" t="str" cm="1">
        <f t="array" ref="I9363">_xlfn.XLOOKUP(FACT_IMPORTS[[#This Row],[country_name]],DIM_COUNTRY[[#All],[Column2]],DIM_COUNTRY[[#All],[Column3]],,,)</f>
        <v>USMCA</v>
      </c>
    </row>
    <row r="9364" spans="1:9" x14ac:dyDescent="0.4">
      <c r="A9364" t="s">
        <v>64</v>
      </c>
      <c r="B9364" s="1">
        <v>45170</v>
      </c>
      <c r="C9364">
        <v>850710</v>
      </c>
      <c r="D9364" t="s">
        <v>176</v>
      </c>
      <c r="E9364">
        <v>0</v>
      </c>
      <c r="F9364">
        <v>0</v>
      </c>
      <c r="G9364">
        <v>0</v>
      </c>
      <c r="H9364">
        <f>_xlfn.XLOOKUP(FACT_IMPORTS[[#This Row],[hts_6]],DIM_PRODUCTS[hts_6],DIM_PRODUCTS[hts_4],,,)</f>
        <v>8507</v>
      </c>
      <c r="I9364" t="str" cm="1">
        <f t="array" ref="I9364">_xlfn.XLOOKUP(FACT_IMPORTS[[#This Row],[country_name]],DIM_COUNTRY[[#All],[Column2]],DIM_COUNTRY[[#All],[Column3]],,,)</f>
        <v>USMCA</v>
      </c>
    </row>
    <row r="9365" spans="1:9" x14ac:dyDescent="0.4">
      <c r="A9365" t="s">
        <v>64</v>
      </c>
      <c r="B9365" s="1">
        <v>45170</v>
      </c>
      <c r="C9365">
        <v>850760</v>
      </c>
      <c r="D9365" t="s">
        <v>176</v>
      </c>
      <c r="E9365">
        <v>3483</v>
      </c>
      <c r="F9365">
        <v>10</v>
      </c>
      <c r="G9365">
        <v>7</v>
      </c>
      <c r="H9365">
        <f>_xlfn.XLOOKUP(FACT_IMPORTS[[#This Row],[hts_6]],DIM_PRODUCTS[hts_6],DIM_PRODUCTS[hts_4],,,)</f>
        <v>8507</v>
      </c>
      <c r="I9365" t="str" cm="1">
        <f t="array" ref="I9365">_xlfn.XLOOKUP(FACT_IMPORTS[[#This Row],[country_name]],DIM_COUNTRY[[#All],[Column2]],DIM_COUNTRY[[#All],[Column3]],,,)</f>
        <v>USMCA</v>
      </c>
    </row>
    <row r="9366" spans="1:9" x14ac:dyDescent="0.4">
      <c r="A9366" t="s">
        <v>64</v>
      </c>
      <c r="B9366" s="1">
        <v>45170</v>
      </c>
      <c r="C9366">
        <v>850790</v>
      </c>
      <c r="D9366" t="s">
        <v>176</v>
      </c>
      <c r="E9366">
        <v>0</v>
      </c>
      <c r="F9366">
        <v>0</v>
      </c>
      <c r="G9366">
        <v>0</v>
      </c>
      <c r="H9366">
        <f>_xlfn.XLOOKUP(FACT_IMPORTS[[#This Row],[hts_6]],DIM_PRODUCTS[hts_6],DIM_PRODUCTS[hts_4],,,)</f>
        <v>8507</v>
      </c>
      <c r="I9366" t="str" cm="1">
        <f t="array" ref="I9366">_xlfn.XLOOKUP(FACT_IMPORTS[[#This Row],[country_name]],DIM_COUNTRY[[#All],[Column2]],DIM_COUNTRY[[#All],[Column3]],,,)</f>
        <v>USMCA</v>
      </c>
    </row>
    <row r="9367" spans="1:9" x14ac:dyDescent="0.4">
      <c r="A9367" t="s">
        <v>64</v>
      </c>
      <c r="B9367" s="1">
        <v>45170</v>
      </c>
      <c r="C9367">
        <v>851110</v>
      </c>
      <c r="D9367" t="s">
        <v>176</v>
      </c>
      <c r="E9367">
        <v>0</v>
      </c>
      <c r="F9367">
        <v>0</v>
      </c>
      <c r="G9367">
        <v>0</v>
      </c>
      <c r="H9367">
        <f>_xlfn.XLOOKUP(FACT_IMPORTS[[#This Row],[hts_6]],DIM_PRODUCTS[hts_6],DIM_PRODUCTS[hts_4],,,)</f>
        <v>8511</v>
      </c>
      <c r="I9367" t="str" cm="1">
        <f t="array" ref="I9367">_xlfn.XLOOKUP(FACT_IMPORTS[[#This Row],[country_name]],DIM_COUNTRY[[#All],[Column2]],DIM_COUNTRY[[#All],[Column3]],,,)</f>
        <v>USMCA</v>
      </c>
    </row>
    <row r="9368" spans="1:9" x14ac:dyDescent="0.4">
      <c r="A9368" t="s">
        <v>64</v>
      </c>
      <c r="B9368" s="1">
        <v>45170</v>
      </c>
      <c r="C9368">
        <v>851130</v>
      </c>
      <c r="D9368" t="s">
        <v>176</v>
      </c>
      <c r="E9368">
        <v>0</v>
      </c>
      <c r="F9368">
        <v>0</v>
      </c>
      <c r="G9368">
        <v>0</v>
      </c>
      <c r="H9368">
        <f>_xlfn.XLOOKUP(FACT_IMPORTS[[#This Row],[hts_6]],DIM_PRODUCTS[hts_6],DIM_PRODUCTS[hts_4],,,)</f>
        <v>8511</v>
      </c>
      <c r="I9368" t="str" cm="1">
        <f t="array" ref="I9368">_xlfn.XLOOKUP(FACT_IMPORTS[[#This Row],[country_name]],DIM_COUNTRY[[#All],[Column2]],DIM_COUNTRY[[#All],[Column3]],,,)</f>
        <v>USMCA</v>
      </c>
    </row>
    <row r="9369" spans="1:9" x14ac:dyDescent="0.4">
      <c r="A9369" t="s">
        <v>64</v>
      </c>
      <c r="B9369" s="1">
        <v>45170</v>
      </c>
      <c r="C9369">
        <v>851140</v>
      </c>
      <c r="D9369" t="s">
        <v>176</v>
      </c>
      <c r="E9369">
        <v>48835</v>
      </c>
      <c r="F9369">
        <v>126</v>
      </c>
      <c r="G9369">
        <v>100</v>
      </c>
      <c r="H9369">
        <f>_xlfn.XLOOKUP(FACT_IMPORTS[[#This Row],[hts_6]],DIM_PRODUCTS[hts_6],DIM_PRODUCTS[hts_4],,,)</f>
        <v>8511</v>
      </c>
      <c r="I9369" t="str" cm="1">
        <f t="array" ref="I9369">_xlfn.XLOOKUP(FACT_IMPORTS[[#This Row],[country_name]],DIM_COUNTRY[[#All],[Column2]],DIM_COUNTRY[[#All],[Column3]],,,)</f>
        <v>USMCA</v>
      </c>
    </row>
    <row r="9370" spans="1:9" x14ac:dyDescent="0.4">
      <c r="A9370" t="s">
        <v>64</v>
      </c>
      <c r="B9370" s="1">
        <v>45170</v>
      </c>
      <c r="C9370">
        <v>851150</v>
      </c>
      <c r="D9370" t="s">
        <v>176</v>
      </c>
      <c r="E9370">
        <v>22167</v>
      </c>
      <c r="F9370">
        <v>119</v>
      </c>
      <c r="G9370">
        <v>23</v>
      </c>
      <c r="H9370">
        <f>_xlfn.XLOOKUP(FACT_IMPORTS[[#This Row],[hts_6]],DIM_PRODUCTS[hts_6],DIM_PRODUCTS[hts_4],,,)</f>
        <v>8511</v>
      </c>
      <c r="I9370" t="str" cm="1">
        <f t="array" ref="I9370">_xlfn.XLOOKUP(FACT_IMPORTS[[#This Row],[country_name]],DIM_COUNTRY[[#All],[Column2]],DIM_COUNTRY[[#All],[Column3]],,,)</f>
        <v>USMCA</v>
      </c>
    </row>
    <row r="9371" spans="1:9" x14ac:dyDescent="0.4">
      <c r="A9371" t="s">
        <v>64</v>
      </c>
      <c r="B9371" s="1">
        <v>45170</v>
      </c>
      <c r="C9371">
        <v>851180</v>
      </c>
      <c r="D9371" t="s">
        <v>176</v>
      </c>
      <c r="E9371">
        <v>6524</v>
      </c>
      <c r="F9371">
        <v>308</v>
      </c>
      <c r="G9371">
        <v>4</v>
      </c>
      <c r="H9371">
        <f>_xlfn.XLOOKUP(FACT_IMPORTS[[#This Row],[hts_6]],DIM_PRODUCTS[hts_6],DIM_PRODUCTS[hts_4],,,)</f>
        <v>8511</v>
      </c>
      <c r="I9371" t="str" cm="1">
        <f t="array" ref="I9371">_xlfn.XLOOKUP(FACT_IMPORTS[[#This Row],[country_name]],DIM_COUNTRY[[#All],[Column2]],DIM_COUNTRY[[#All],[Column3]],,,)</f>
        <v>USMCA</v>
      </c>
    </row>
    <row r="9372" spans="1:9" x14ac:dyDescent="0.4">
      <c r="A9372" t="s">
        <v>64</v>
      </c>
      <c r="B9372" s="1">
        <v>45170</v>
      </c>
      <c r="C9372">
        <v>851190</v>
      </c>
      <c r="D9372" t="s">
        <v>176</v>
      </c>
      <c r="E9372">
        <v>0</v>
      </c>
      <c r="F9372">
        <v>0</v>
      </c>
      <c r="G9372">
        <v>0</v>
      </c>
      <c r="H9372">
        <f>_xlfn.XLOOKUP(FACT_IMPORTS[[#This Row],[hts_6]],DIM_PRODUCTS[hts_6],DIM_PRODUCTS[hts_4],,,)</f>
        <v>8511</v>
      </c>
      <c r="I9372" t="str" cm="1">
        <f t="array" ref="I9372">_xlfn.XLOOKUP(FACT_IMPORTS[[#This Row],[country_name]],DIM_COUNTRY[[#All],[Column2]],DIM_COUNTRY[[#All],[Column3]],,,)</f>
        <v>USMCA</v>
      </c>
    </row>
    <row r="9373" spans="1:9" x14ac:dyDescent="0.4">
      <c r="A9373" t="s">
        <v>64</v>
      </c>
      <c r="B9373" s="1">
        <v>45170</v>
      </c>
      <c r="C9373">
        <v>851220</v>
      </c>
      <c r="D9373" t="s">
        <v>176</v>
      </c>
      <c r="E9373">
        <v>30558</v>
      </c>
      <c r="F9373">
        <v>1189</v>
      </c>
      <c r="G9373">
        <v>748</v>
      </c>
      <c r="H9373">
        <f>_xlfn.XLOOKUP(FACT_IMPORTS[[#This Row],[hts_6]],DIM_PRODUCTS[hts_6],DIM_PRODUCTS[hts_4],,,)</f>
        <v>8512</v>
      </c>
      <c r="I9373" t="str" cm="1">
        <f t="array" ref="I9373">_xlfn.XLOOKUP(FACT_IMPORTS[[#This Row],[country_name]],DIM_COUNTRY[[#All],[Column2]],DIM_COUNTRY[[#All],[Column3]],,,)</f>
        <v>USMCA</v>
      </c>
    </row>
    <row r="9374" spans="1:9" x14ac:dyDescent="0.4">
      <c r="A9374" t="s">
        <v>64</v>
      </c>
      <c r="B9374" s="1">
        <v>45170</v>
      </c>
      <c r="C9374">
        <v>851230</v>
      </c>
      <c r="D9374" t="s">
        <v>176</v>
      </c>
      <c r="E9374">
        <v>7209</v>
      </c>
      <c r="F9374">
        <v>900</v>
      </c>
      <c r="G9374">
        <v>276</v>
      </c>
      <c r="H9374">
        <f>_xlfn.XLOOKUP(FACT_IMPORTS[[#This Row],[hts_6]],DIM_PRODUCTS[hts_6],DIM_PRODUCTS[hts_4],,,)</f>
        <v>8512</v>
      </c>
      <c r="I9374" t="str" cm="1">
        <f t="array" ref="I9374">_xlfn.XLOOKUP(FACT_IMPORTS[[#This Row],[country_name]],DIM_COUNTRY[[#All],[Column2]],DIM_COUNTRY[[#All],[Column3]],,,)</f>
        <v>USMCA</v>
      </c>
    </row>
    <row r="9375" spans="1:9" x14ac:dyDescent="0.4">
      <c r="A9375" t="s">
        <v>64</v>
      </c>
      <c r="B9375" s="1">
        <v>45170</v>
      </c>
      <c r="C9375">
        <v>851240</v>
      </c>
      <c r="D9375" t="s">
        <v>176</v>
      </c>
      <c r="E9375">
        <v>0</v>
      </c>
      <c r="F9375">
        <v>0</v>
      </c>
      <c r="G9375">
        <v>0</v>
      </c>
      <c r="H9375">
        <f>_xlfn.XLOOKUP(FACT_IMPORTS[[#This Row],[hts_6]],DIM_PRODUCTS[hts_6],DIM_PRODUCTS[hts_4],,,)</f>
        <v>8512</v>
      </c>
      <c r="I9375" t="str" cm="1">
        <f t="array" ref="I9375">_xlfn.XLOOKUP(FACT_IMPORTS[[#This Row],[country_name]],DIM_COUNTRY[[#All],[Column2]],DIM_COUNTRY[[#All],[Column3]],,,)</f>
        <v>USMCA</v>
      </c>
    </row>
    <row r="9376" spans="1:9" x14ac:dyDescent="0.4">
      <c r="A9376" t="s">
        <v>64</v>
      </c>
      <c r="B9376" s="1">
        <v>45170</v>
      </c>
      <c r="C9376">
        <v>851290</v>
      </c>
      <c r="D9376" t="s">
        <v>176</v>
      </c>
      <c r="E9376">
        <v>82007</v>
      </c>
      <c r="F9376">
        <v>6955</v>
      </c>
      <c r="G9376">
        <v>306</v>
      </c>
      <c r="H9376">
        <f>_xlfn.XLOOKUP(FACT_IMPORTS[[#This Row],[hts_6]],DIM_PRODUCTS[hts_6],DIM_PRODUCTS[hts_4],,,)</f>
        <v>8512</v>
      </c>
      <c r="I9376" t="str" cm="1">
        <f t="array" ref="I9376">_xlfn.XLOOKUP(FACT_IMPORTS[[#This Row],[country_name]],DIM_COUNTRY[[#All],[Column2]],DIM_COUNTRY[[#All],[Column3]],,,)</f>
        <v>USMCA</v>
      </c>
    </row>
    <row r="9377" spans="1:9" x14ac:dyDescent="0.4">
      <c r="A9377" t="s">
        <v>64</v>
      </c>
      <c r="B9377" s="1">
        <v>45170</v>
      </c>
      <c r="C9377">
        <v>854231</v>
      </c>
      <c r="D9377" t="s">
        <v>176</v>
      </c>
      <c r="E9377">
        <v>3089</v>
      </c>
      <c r="F9377">
        <v>1</v>
      </c>
      <c r="G9377">
        <v>12</v>
      </c>
      <c r="H9377">
        <f>_xlfn.XLOOKUP(FACT_IMPORTS[[#This Row],[hts_6]],DIM_PRODUCTS[hts_6],DIM_PRODUCTS[hts_4],,,)</f>
        <v>8542</v>
      </c>
      <c r="I9377" t="str" cm="1">
        <f t="array" ref="I9377">_xlfn.XLOOKUP(FACT_IMPORTS[[#This Row],[country_name]],DIM_COUNTRY[[#All],[Column2]],DIM_COUNTRY[[#All],[Column3]],,,)</f>
        <v>USMCA</v>
      </c>
    </row>
    <row r="9378" spans="1:9" x14ac:dyDescent="0.4">
      <c r="A9378" t="s">
        <v>64</v>
      </c>
      <c r="B9378" s="1">
        <v>45170</v>
      </c>
      <c r="C9378">
        <v>854232</v>
      </c>
      <c r="D9378" t="s">
        <v>176</v>
      </c>
      <c r="E9378">
        <v>0</v>
      </c>
      <c r="F9378">
        <v>0</v>
      </c>
      <c r="G9378">
        <v>0</v>
      </c>
      <c r="H9378">
        <f>_xlfn.XLOOKUP(FACT_IMPORTS[[#This Row],[hts_6]],DIM_PRODUCTS[hts_6],DIM_PRODUCTS[hts_4],,,)</f>
        <v>8542</v>
      </c>
      <c r="I9378" t="str" cm="1">
        <f t="array" ref="I9378">_xlfn.XLOOKUP(FACT_IMPORTS[[#This Row],[country_name]],DIM_COUNTRY[[#All],[Column2]],DIM_COUNTRY[[#All],[Column3]],,,)</f>
        <v>USMCA</v>
      </c>
    </row>
    <row r="9379" spans="1:9" x14ac:dyDescent="0.4">
      <c r="A9379" t="s">
        <v>64</v>
      </c>
      <c r="B9379" s="1">
        <v>45170</v>
      </c>
      <c r="C9379">
        <v>854290</v>
      </c>
      <c r="D9379" t="s">
        <v>176</v>
      </c>
      <c r="E9379">
        <v>22816</v>
      </c>
      <c r="F9379">
        <v>7</v>
      </c>
      <c r="G9379">
        <v>54</v>
      </c>
      <c r="H9379">
        <f>_xlfn.XLOOKUP(FACT_IMPORTS[[#This Row],[hts_6]],DIM_PRODUCTS[hts_6],DIM_PRODUCTS[hts_4],,,)</f>
        <v>8542</v>
      </c>
      <c r="I9379" t="str" cm="1">
        <f t="array" ref="I9379">_xlfn.XLOOKUP(FACT_IMPORTS[[#This Row],[country_name]],DIM_COUNTRY[[#All],[Column2]],DIM_COUNTRY[[#All],[Column3]],,,)</f>
        <v>USMCA</v>
      </c>
    </row>
    <row r="9380" spans="1:9" x14ac:dyDescent="0.4">
      <c r="A9380" t="s">
        <v>64</v>
      </c>
      <c r="B9380" s="1">
        <v>45170</v>
      </c>
      <c r="C9380">
        <v>854430</v>
      </c>
      <c r="D9380" t="s">
        <v>176</v>
      </c>
      <c r="E9380">
        <v>996386</v>
      </c>
      <c r="F9380">
        <v>78998</v>
      </c>
      <c r="G9380">
        <v>6887</v>
      </c>
      <c r="H9380">
        <f>_xlfn.XLOOKUP(FACT_IMPORTS[[#This Row],[hts_6]],DIM_PRODUCTS[hts_6],DIM_PRODUCTS[hts_4],,,)</f>
        <v>8544</v>
      </c>
      <c r="I9380" t="str" cm="1">
        <f t="array" ref="I9380">_xlfn.XLOOKUP(FACT_IMPORTS[[#This Row],[country_name]],DIM_COUNTRY[[#All],[Column2]],DIM_COUNTRY[[#All],[Column3]],,,)</f>
        <v>USMCA</v>
      </c>
    </row>
    <row r="9381" spans="1:9" x14ac:dyDescent="0.4">
      <c r="A9381" t="s">
        <v>64</v>
      </c>
      <c r="B9381" s="1">
        <v>45170</v>
      </c>
      <c r="C9381">
        <v>870810</v>
      </c>
      <c r="D9381" t="s">
        <v>176</v>
      </c>
      <c r="E9381">
        <v>34658</v>
      </c>
      <c r="F9381">
        <v>188</v>
      </c>
      <c r="G9381">
        <v>33</v>
      </c>
      <c r="H9381">
        <f>_xlfn.XLOOKUP(FACT_IMPORTS[[#This Row],[hts_6]],DIM_PRODUCTS[hts_6],DIM_PRODUCTS[hts_4],,,)</f>
        <v>8708</v>
      </c>
      <c r="I9381" t="str" cm="1">
        <f t="array" ref="I9381">_xlfn.XLOOKUP(FACT_IMPORTS[[#This Row],[country_name]],DIM_COUNTRY[[#All],[Column2]],DIM_COUNTRY[[#All],[Column3]],,,)</f>
        <v>USMCA</v>
      </c>
    </row>
    <row r="9382" spans="1:9" x14ac:dyDescent="0.4">
      <c r="A9382" t="s">
        <v>64</v>
      </c>
      <c r="B9382" s="1">
        <v>45170</v>
      </c>
      <c r="C9382">
        <v>870821</v>
      </c>
      <c r="D9382" t="s">
        <v>176</v>
      </c>
      <c r="E9382">
        <v>2394</v>
      </c>
      <c r="F9382">
        <v>233</v>
      </c>
      <c r="G9382">
        <v>42</v>
      </c>
      <c r="H9382">
        <f>_xlfn.XLOOKUP(FACT_IMPORTS[[#This Row],[hts_6]],DIM_PRODUCTS[hts_6],DIM_PRODUCTS[hts_4],,,)</f>
        <v>8708</v>
      </c>
      <c r="I9382" t="str" cm="1">
        <f t="array" ref="I9382">_xlfn.XLOOKUP(FACT_IMPORTS[[#This Row],[country_name]],DIM_COUNTRY[[#All],[Column2]],DIM_COUNTRY[[#All],[Column3]],,,)</f>
        <v>USMCA</v>
      </c>
    </row>
    <row r="9383" spans="1:9" x14ac:dyDescent="0.4">
      <c r="A9383" t="s">
        <v>64</v>
      </c>
      <c r="B9383" s="1">
        <v>45170</v>
      </c>
      <c r="C9383">
        <v>870822</v>
      </c>
      <c r="D9383" t="s">
        <v>176</v>
      </c>
      <c r="E9383">
        <v>8292</v>
      </c>
      <c r="F9383">
        <v>13</v>
      </c>
      <c r="G9383">
        <v>150</v>
      </c>
      <c r="H9383">
        <f>_xlfn.XLOOKUP(FACT_IMPORTS[[#This Row],[hts_6]],DIM_PRODUCTS[hts_6],DIM_PRODUCTS[hts_4],,,)</f>
        <v>8708</v>
      </c>
      <c r="I9383" t="str" cm="1">
        <f t="array" ref="I9383">_xlfn.XLOOKUP(FACT_IMPORTS[[#This Row],[country_name]],DIM_COUNTRY[[#All],[Column2]],DIM_COUNTRY[[#All],[Column3]],,,)</f>
        <v>USMCA</v>
      </c>
    </row>
    <row r="9384" spans="1:9" x14ac:dyDescent="0.4">
      <c r="A9384" t="s">
        <v>64</v>
      </c>
      <c r="B9384" s="1">
        <v>45170</v>
      </c>
      <c r="C9384">
        <v>870829</v>
      </c>
      <c r="D9384" t="s">
        <v>176</v>
      </c>
      <c r="E9384">
        <v>830924</v>
      </c>
      <c r="F9384">
        <v>10876</v>
      </c>
      <c r="G9384">
        <v>27413</v>
      </c>
      <c r="H9384">
        <f>_xlfn.XLOOKUP(FACT_IMPORTS[[#This Row],[hts_6]],DIM_PRODUCTS[hts_6],DIM_PRODUCTS[hts_4],,,)</f>
        <v>8708</v>
      </c>
      <c r="I9384" t="str" cm="1">
        <f t="array" ref="I9384">_xlfn.XLOOKUP(FACT_IMPORTS[[#This Row],[country_name]],DIM_COUNTRY[[#All],[Column2]],DIM_COUNTRY[[#All],[Column3]],,,)</f>
        <v>USMCA</v>
      </c>
    </row>
    <row r="9385" spans="1:9" x14ac:dyDescent="0.4">
      <c r="A9385" t="s">
        <v>64</v>
      </c>
      <c r="B9385" s="1">
        <v>45170</v>
      </c>
      <c r="C9385">
        <v>870830</v>
      </c>
      <c r="D9385" t="s">
        <v>176</v>
      </c>
      <c r="E9385">
        <v>425432</v>
      </c>
      <c r="F9385">
        <v>7401</v>
      </c>
      <c r="G9385">
        <v>49498</v>
      </c>
      <c r="H9385">
        <f>_xlfn.XLOOKUP(FACT_IMPORTS[[#This Row],[hts_6]],DIM_PRODUCTS[hts_6],DIM_PRODUCTS[hts_4],,,)</f>
        <v>8708</v>
      </c>
      <c r="I9385" t="str" cm="1">
        <f t="array" ref="I9385">_xlfn.XLOOKUP(FACT_IMPORTS[[#This Row],[country_name]],DIM_COUNTRY[[#All],[Column2]],DIM_COUNTRY[[#All],[Column3]],,,)</f>
        <v>USMCA</v>
      </c>
    </row>
    <row r="9386" spans="1:9" x14ac:dyDescent="0.4">
      <c r="A9386" t="s">
        <v>64</v>
      </c>
      <c r="B9386" s="1">
        <v>45170</v>
      </c>
      <c r="C9386">
        <v>870840</v>
      </c>
      <c r="D9386" t="s">
        <v>176</v>
      </c>
      <c r="E9386">
        <v>53965</v>
      </c>
      <c r="F9386">
        <v>33</v>
      </c>
      <c r="G9386">
        <v>385</v>
      </c>
      <c r="H9386">
        <f>_xlfn.XLOOKUP(FACT_IMPORTS[[#This Row],[hts_6]],DIM_PRODUCTS[hts_6],DIM_PRODUCTS[hts_4],,,)</f>
        <v>8708</v>
      </c>
      <c r="I9386" t="str" cm="1">
        <f t="array" ref="I9386">_xlfn.XLOOKUP(FACT_IMPORTS[[#This Row],[country_name]],DIM_COUNTRY[[#All],[Column2]],DIM_COUNTRY[[#All],[Column3]],,,)</f>
        <v>USMCA</v>
      </c>
    </row>
    <row r="9387" spans="1:9" x14ac:dyDescent="0.4">
      <c r="A9387" t="s">
        <v>64</v>
      </c>
      <c r="B9387" s="1">
        <v>45170</v>
      </c>
      <c r="C9387">
        <v>870850</v>
      </c>
      <c r="D9387" t="s">
        <v>176</v>
      </c>
      <c r="E9387">
        <v>70479</v>
      </c>
      <c r="F9387">
        <v>129</v>
      </c>
      <c r="G9387">
        <v>59</v>
      </c>
      <c r="H9387">
        <f>_xlfn.XLOOKUP(FACT_IMPORTS[[#This Row],[hts_6]],DIM_PRODUCTS[hts_6],DIM_PRODUCTS[hts_4],,,)</f>
        <v>8708</v>
      </c>
      <c r="I9387" t="str" cm="1">
        <f t="array" ref="I9387">_xlfn.XLOOKUP(FACT_IMPORTS[[#This Row],[country_name]],DIM_COUNTRY[[#All],[Column2]],DIM_COUNTRY[[#All],[Column3]],,,)</f>
        <v>USMCA</v>
      </c>
    </row>
    <row r="9388" spans="1:9" x14ac:dyDescent="0.4">
      <c r="A9388" t="s">
        <v>64</v>
      </c>
      <c r="B9388" s="1">
        <v>45170</v>
      </c>
      <c r="C9388">
        <v>870870</v>
      </c>
      <c r="D9388" t="s">
        <v>176</v>
      </c>
      <c r="E9388">
        <v>91023</v>
      </c>
      <c r="F9388">
        <v>1558</v>
      </c>
      <c r="G9388">
        <v>3283</v>
      </c>
      <c r="H9388">
        <f>_xlfn.XLOOKUP(FACT_IMPORTS[[#This Row],[hts_6]],DIM_PRODUCTS[hts_6],DIM_PRODUCTS[hts_4],,,)</f>
        <v>8708</v>
      </c>
      <c r="I9388" t="str" cm="1">
        <f t="array" ref="I9388">_xlfn.XLOOKUP(FACT_IMPORTS[[#This Row],[country_name]],DIM_COUNTRY[[#All],[Column2]],DIM_COUNTRY[[#All],[Column3]],,,)</f>
        <v>USMCA</v>
      </c>
    </row>
    <row r="9389" spans="1:9" x14ac:dyDescent="0.4">
      <c r="A9389" t="s">
        <v>64</v>
      </c>
      <c r="B9389" s="1">
        <v>45170</v>
      </c>
      <c r="C9389">
        <v>870880</v>
      </c>
      <c r="D9389" t="s">
        <v>176</v>
      </c>
      <c r="E9389">
        <v>106826</v>
      </c>
      <c r="F9389">
        <v>6286</v>
      </c>
      <c r="G9389">
        <v>1131</v>
      </c>
      <c r="H9389">
        <f>_xlfn.XLOOKUP(FACT_IMPORTS[[#This Row],[hts_6]],DIM_PRODUCTS[hts_6],DIM_PRODUCTS[hts_4],,,)</f>
        <v>8708</v>
      </c>
      <c r="I9389" t="str" cm="1">
        <f t="array" ref="I9389">_xlfn.XLOOKUP(FACT_IMPORTS[[#This Row],[country_name]],DIM_COUNTRY[[#All],[Column2]],DIM_COUNTRY[[#All],[Column3]],,,)</f>
        <v>USMCA</v>
      </c>
    </row>
    <row r="9390" spans="1:9" x14ac:dyDescent="0.4">
      <c r="A9390" t="s">
        <v>64</v>
      </c>
      <c r="B9390" s="1">
        <v>45170</v>
      </c>
      <c r="C9390">
        <v>870891</v>
      </c>
      <c r="D9390" t="s">
        <v>176</v>
      </c>
      <c r="E9390">
        <v>6840</v>
      </c>
      <c r="F9390">
        <v>59</v>
      </c>
      <c r="G9390">
        <v>410</v>
      </c>
      <c r="H9390">
        <f>_xlfn.XLOOKUP(FACT_IMPORTS[[#This Row],[hts_6]],DIM_PRODUCTS[hts_6],DIM_PRODUCTS[hts_4],,,)</f>
        <v>8708</v>
      </c>
      <c r="I9390" t="str" cm="1">
        <f t="array" ref="I9390">_xlfn.XLOOKUP(FACT_IMPORTS[[#This Row],[country_name]],DIM_COUNTRY[[#All],[Column2]],DIM_COUNTRY[[#All],[Column3]],,,)</f>
        <v>USMCA</v>
      </c>
    </row>
    <row r="9391" spans="1:9" x14ac:dyDescent="0.4">
      <c r="A9391" t="s">
        <v>64</v>
      </c>
      <c r="B9391" s="1">
        <v>45170</v>
      </c>
      <c r="C9391">
        <v>870892</v>
      </c>
      <c r="D9391" t="s">
        <v>176</v>
      </c>
      <c r="E9391">
        <v>0</v>
      </c>
      <c r="F9391">
        <v>0</v>
      </c>
      <c r="G9391">
        <v>0</v>
      </c>
      <c r="H9391">
        <f>_xlfn.XLOOKUP(FACT_IMPORTS[[#This Row],[hts_6]],DIM_PRODUCTS[hts_6],DIM_PRODUCTS[hts_4],,,)</f>
        <v>8708</v>
      </c>
      <c r="I9391" t="str" cm="1">
        <f t="array" ref="I9391">_xlfn.XLOOKUP(FACT_IMPORTS[[#This Row],[country_name]],DIM_COUNTRY[[#All],[Column2]],DIM_COUNTRY[[#All],[Column3]],,,)</f>
        <v>USMCA</v>
      </c>
    </row>
    <row r="9392" spans="1:9" x14ac:dyDescent="0.4">
      <c r="A9392" t="s">
        <v>64</v>
      </c>
      <c r="B9392" s="1">
        <v>45170</v>
      </c>
      <c r="C9392">
        <v>870893</v>
      </c>
      <c r="D9392" t="s">
        <v>176</v>
      </c>
      <c r="E9392">
        <v>19589</v>
      </c>
      <c r="F9392">
        <v>7032</v>
      </c>
      <c r="G9392">
        <v>431</v>
      </c>
      <c r="H9392">
        <f>_xlfn.XLOOKUP(FACT_IMPORTS[[#This Row],[hts_6]],DIM_PRODUCTS[hts_6],DIM_PRODUCTS[hts_4],,,)</f>
        <v>8708</v>
      </c>
      <c r="I9392" t="str" cm="1">
        <f t="array" ref="I9392">_xlfn.XLOOKUP(FACT_IMPORTS[[#This Row],[country_name]],DIM_COUNTRY[[#All],[Column2]],DIM_COUNTRY[[#All],[Column3]],,,)</f>
        <v>USMCA</v>
      </c>
    </row>
    <row r="9393" spans="1:9" x14ac:dyDescent="0.4">
      <c r="A9393" t="s">
        <v>64</v>
      </c>
      <c r="B9393" s="1">
        <v>45170</v>
      </c>
      <c r="C9393">
        <v>870894</v>
      </c>
      <c r="D9393" t="s">
        <v>176</v>
      </c>
      <c r="E9393">
        <v>60347</v>
      </c>
      <c r="F9393">
        <v>212</v>
      </c>
      <c r="G9393">
        <v>1208</v>
      </c>
      <c r="H9393">
        <f>_xlfn.XLOOKUP(FACT_IMPORTS[[#This Row],[hts_6]],DIM_PRODUCTS[hts_6],DIM_PRODUCTS[hts_4],,,)</f>
        <v>8708</v>
      </c>
      <c r="I9393" t="str" cm="1">
        <f t="array" ref="I9393">_xlfn.XLOOKUP(FACT_IMPORTS[[#This Row],[country_name]],DIM_COUNTRY[[#All],[Column2]],DIM_COUNTRY[[#All],[Column3]],,,)</f>
        <v>USMCA</v>
      </c>
    </row>
    <row r="9394" spans="1:9" x14ac:dyDescent="0.4">
      <c r="A9394" t="s">
        <v>64</v>
      </c>
      <c r="B9394" s="1">
        <v>45170</v>
      </c>
      <c r="C9394">
        <v>870895</v>
      </c>
      <c r="D9394" t="s">
        <v>176</v>
      </c>
      <c r="E9394">
        <v>80369</v>
      </c>
      <c r="F9394">
        <v>4561</v>
      </c>
      <c r="G9394">
        <v>905</v>
      </c>
      <c r="H9394">
        <f>_xlfn.XLOOKUP(FACT_IMPORTS[[#This Row],[hts_6]],DIM_PRODUCTS[hts_6],DIM_PRODUCTS[hts_4],,,)</f>
        <v>8708</v>
      </c>
      <c r="I9394" t="str" cm="1">
        <f t="array" ref="I9394">_xlfn.XLOOKUP(FACT_IMPORTS[[#This Row],[country_name]],DIM_COUNTRY[[#All],[Column2]],DIM_COUNTRY[[#All],[Column3]],,,)</f>
        <v>USMCA</v>
      </c>
    </row>
    <row r="9395" spans="1:9" x14ac:dyDescent="0.4">
      <c r="A9395" t="s">
        <v>64</v>
      </c>
      <c r="B9395" s="1">
        <v>45170</v>
      </c>
      <c r="C9395">
        <v>870899</v>
      </c>
      <c r="D9395" t="s">
        <v>176</v>
      </c>
      <c r="E9395">
        <v>112294</v>
      </c>
      <c r="F9395">
        <v>3887</v>
      </c>
      <c r="G9395">
        <v>1482</v>
      </c>
      <c r="H9395">
        <f>_xlfn.XLOOKUP(FACT_IMPORTS[[#This Row],[hts_6]],DIM_PRODUCTS[hts_6],DIM_PRODUCTS[hts_4],,,)</f>
        <v>8708</v>
      </c>
      <c r="I9395" t="str" cm="1">
        <f t="array" ref="I9395">_xlfn.XLOOKUP(FACT_IMPORTS[[#This Row],[country_name]],DIM_COUNTRY[[#All],[Column2]],DIM_COUNTRY[[#All],[Column3]],,,)</f>
        <v>USMCA</v>
      </c>
    </row>
    <row r="9396" spans="1:9" x14ac:dyDescent="0.4">
      <c r="A9396" t="s">
        <v>64</v>
      </c>
      <c r="B9396" s="1">
        <v>45170</v>
      </c>
      <c r="C9396">
        <v>940120</v>
      </c>
      <c r="D9396" t="s">
        <v>176</v>
      </c>
      <c r="E9396">
        <v>2862</v>
      </c>
      <c r="F9396">
        <v>15</v>
      </c>
      <c r="G9396">
        <v>205</v>
      </c>
      <c r="H9396">
        <f>_xlfn.XLOOKUP(FACT_IMPORTS[[#This Row],[hts_6]],DIM_PRODUCTS[hts_6],DIM_PRODUCTS[hts_4],,,)</f>
        <v>9401</v>
      </c>
      <c r="I9396" t="str" cm="1">
        <f t="array" ref="I9396">_xlfn.XLOOKUP(FACT_IMPORTS[[#This Row],[country_name]],DIM_COUNTRY[[#All],[Column2]],DIM_COUNTRY[[#All],[Column3]],,,)</f>
        <v>USMCA</v>
      </c>
    </row>
    <row r="9397" spans="1:9" x14ac:dyDescent="0.4">
      <c r="A9397" t="s">
        <v>64</v>
      </c>
      <c r="B9397" s="1">
        <v>45200</v>
      </c>
      <c r="C9397">
        <v>392630</v>
      </c>
      <c r="D9397" t="s">
        <v>176</v>
      </c>
      <c r="E9397">
        <v>1984</v>
      </c>
      <c r="F9397">
        <v>37</v>
      </c>
      <c r="G9397">
        <v>34</v>
      </c>
      <c r="H9397">
        <f>_xlfn.XLOOKUP(FACT_IMPORTS[[#This Row],[hts_6]],DIM_PRODUCTS[hts_6],DIM_PRODUCTS[hts_4],,,)</f>
        <v>3926</v>
      </c>
      <c r="I9397" t="str" cm="1">
        <f t="array" ref="I9397">_xlfn.XLOOKUP(FACT_IMPORTS[[#This Row],[country_name]],DIM_COUNTRY[[#All],[Column2]],DIM_COUNTRY[[#All],[Column3]],,,)</f>
        <v>USMCA</v>
      </c>
    </row>
    <row r="9398" spans="1:9" x14ac:dyDescent="0.4">
      <c r="A9398" t="s">
        <v>64</v>
      </c>
      <c r="B9398" s="1">
        <v>45200</v>
      </c>
      <c r="C9398">
        <v>401110</v>
      </c>
      <c r="D9398" t="s">
        <v>176</v>
      </c>
      <c r="E9398">
        <v>112803</v>
      </c>
      <c r="F9398">
        <v>1541</v>
      </c>
      <c r="G9398">
        <v>2645</v>
      </c>
      <c r="H9398">
        <f>_xlfn.XLOOKUP(FACT_IMPORTS[[#This Row],[hts_6]],DIM_PRODUCTS[hts_6],DIM_PRODUCTS[hts_4],,,)</f>
        <v>4011</v>
      </c>
      <c r="I9398" t="str" cm="1">
        <f t="array" ref="I9398">_xlfn.XLOOKUP(FACT_IMPORTS[[#This Row],[country_name]],DIM_COUNTRY[[#All],[Column2]],DIM_COUNTRY[[#All],[Column3]],,,)</f>
        <v>USMCA</v>
      </c>
    </row>
    <row r="9399" spans="1:9" x14ac:dyDescent="0.4">
      <c r="A9399" t="s">
        <v>64</v>
      </c>
      <c r="B9399" s="1">
        <v>45200</v>
      </c>
      <c r="C9399">
        <v>401120</v>
      </c>
      <c r="D9399" t="s">
        <v>176</v>
      </c>
      <c r="E9399">
        <v>16586</v>
      </c>
      <c r="F9399">
        <v>180</v>
      </c>
      <c r="G9399">
        <v>528</v>
      </c>
      <c r="H9399">
        <f>_xlfn.XLOOKUP(FACT_IMPORTS[[#This Row],[hts_6]],DIM_PRODUCTS[hts_6],DIM_PRODUCTS[hts_4],,,)</f>
        <v>4011</v>
      </c>
      <c r="I9399" t="str" cm="1">
        <f t="array" ref="I9399">_xlfn.XLOOKUP(FACT_IMPORTS[[#This Row],[country_name]],DIM_COUNTRY[[#All],[Column2]],DIM_COUNTRY[[#All],[Column3]],,,)</f>
        <v>USMCA</v>
      </c>
    </row>
    <row r="9400" spans="1:9" x14ac:dyDescent="0.4">
      <c r="A9400" t="s">
        <v>64</v>
      </c>
      <c r="B9400" s="1">
        <v>45200</v>
      </c>
      <c r="C9400">
        <v>401190</v>
      </c>
      <c r="D9400" t="s">
        <v>176</v>
      </c>
      <c r="E9400">
        <v>0</v>
      </c>
      <c r="F9400">
        <v>0</v>
      </c>
      <c r="G9400">
        <v>0</v>
      </c>
      <c r="H9400">
        <f>_xlfn.XLOOKUP(FACT_IMPORTS[[#This Row],[hts_6]],DIM_PRODUCTS[hts_6],DIM_PRODUCTS[hts_4],,,)</f>
        <v>4011</v>
      </c>
      <c r="I9400" t="str" cm="1">
        <f t="array" ref="I9400">_xlfn.XLOOKUP(FACT_IMPORTS[[#This Row],[country_name]],DIM_COUNTRY[[#All],[Column2]],DIM_COUNTRY[[#All],[Column3]],,,)</f>
        <v>USMCA</v>
      </c>
    </row>
    <row r="9401" spans="1:9" x14ac:dyDescent="0.4">
      <c r="A9401" t="s">
        <v>64</v>
      </c>
      <c r="B9401" s="1">
        <v>45200</v>
      </c>
      <c r="C9401">
        <v>700910</v>
      </c>
      <c r="D9401" t="s">
        <v>176</v>
      </c>
      <c r="E9401">
        <v>0</v>
      </c>
      <c r="F9401">
        <v>0</v>
      </c>
      <c r="G9401">
        <v>0</v>
      </c>
      <c r="H9401">
        <f>_xlfn.XLOOKUP(FACT_IMPORTS[[#This Row],[hts_6]],DIM_PRODUCTS[hts_6],DIM_PRODUCTS[hts_4],,,)</f>
        <v>7009</v>
      </c>
      <c r="I9401" t="str" cm="1">
        <f t="array" ref="I9401">_xlfn.XLOOKUP(FACT_IMPORTS[[#This Row],[country_name]],DIM_COUNTRY[[#All],[Column2]],DIM_COUNTRY[[#All],[Column3]],,,)</f>
        <v>USMCA</v>
      </c>
    </row>
    <row r="9402" spans="1:9" x14ac:dyDescent="0.4">
      <c r="A9402" t="s">
        <v>64</v>
      </c>
      <c r="B9402" s="1">
        <v>45200</v>
      </c>
      <c r="C9402">
        <v>732010</v>
      </c>
      <c r="D9402" t="s">
        <v>176</v>
      </c>
      <c r="E9402">
        <v>2004</v>
      </c>
      <c r="F9402">
        <v>103</v>
      </c>
      <c r="G9402">
        <v>89</v>
      </c>
      <c r="H9402">
        <f>_xlfn.XLOOKUP(FACT_IMPORTS[[#This Row],[hts_6]],DIM_PRODUCTS[hts_6],DIM_PRODUCTS[hts_4],,,)</f>
        <v>7320</v>
      </c>
      <c r="I9402" t="str" cm="1">
        <f t="array" ref="I9402">_xlfn.XLOOKUP(FACT_IMPORTS[[#This Row],[country_name]],DIM_COUNTRY[[#All],[Column2]],DIM_COUNTRY[[#All],[Column3]],,,)</f>
        <v>USMCA</v>
      </c>
    </row>
    <row r="9403" spans="1:9" x14ac:dyDescent="0.4">
      <c r="A9403" t="s">
        <v>64</v>
      </c>
      <c r="B9403" s="1">
        <v>45200</v>
      </c>
      <c r="C9403">
        <v>830230</v>
      </c>
      <c r="D9403" t="s">
        <v>176</v>
      </c>
      <c r="E9403">
        <v>6195</v>
      </c>
      <c r="F9403">
        <v>1284</v>
      </c>
      <c r="G9403">
        <v>30</v>
      </c>
      <c r="H9403">
        <f>_xlfn.XLOOKUP(FACT_IMPORTS[[#This Row],[hts_6]],DIM_PRODUCTS[hts_6],DIM_PRODUCTS[hts_4],,,)</f>
        <v>8302</v>
      </c>
      <c r="I9403" t="str" cm="1">
        <f t="array" ref="I9403">_xlfn.XLOOKUP(FACT_IMPORTS[[#This Row],[country_name]],DIM_COUNTRY[[#All],[Column2]],DIM_COUNTRY[[#All],[Column3]],,,)</f>
        <v>USMCA</v>
      </c>
    </row>
    <row r="9404" spans="1:9" x14ac:dyDescent="0.4">
      <c r="A9404" t="s">
        <v>64</v>
      </c>
      <c r="B9404" s="1">
        <v>45200</v>
      </c>
      <c r="C9404">
        <v>840733</v>
      </c>
      <c r="D9404" t="s">
        <v>176</v>
      </c>
      <c r="E9404">
        <v>34000</v>
      </c>
      <c r="F9404">
        <v>4</v>
      </c>
      <c r="G9404">
        <v>900</v>
      </c>
      <c r="H9404">
        <f>_xlfn.XLOOKUP(FACT_IMPORTS[[#This Row],[hts_6]],DIM_PRODUCTS[hts_6],DIM_PRODUCTS[hts_4],,,)</f>
        <v>8407</v>
      </c>
      <c r="I9404" t="str" cm="1">
        <f t="array" ref="I9404">_xlfn.XLOOKUP(FACT_IMPORTS[[#This Row],[country_name]],DIM_COUNTRY[[#All],[Column2]],DIM_COUNTRY[[#All],[Column3]],,,)</f>
        <v>USMCA</v>
      </c>
    </row>
    <row r="9405" spans="1:9" x14ac:dyDescent="0.4">
      <c r="A9405" t="s">
        <v>64</v>
      </c>
      <c r="B9405" s="1">
        <v>45200</v>
      </c>
      <c r="C9405">
        <v>840734</v>
      </c>
      <c r="D9405" t="s">
        <v>176</v>
      </c>
      <c r="E9405">
        <v>38458</v>
      </c>
      <c r="F9405">
        <v>62</v>
      </c>
      <c r="G9405">
        <v>838</v>
      </c>
      <c r="H9405">
        <f>_xlfn.XLOOKUP(FACT_IMPORTS[[#This Row],[hts_6]],DIM_PRODUCTS[hts_6],DIM_PRODUCTS[hts_4],,,)</f>
        <v>8407</v>
      </c>
      <c r="I9405" t="str" cm="1">
        <f t="array" ref="I9405">_xlfn.XLOOKUP(FACT_IMPORTS[[#This Row],[country_name]],DIM_COUNTRY[[#All],[Column2]],DIM_COUNTRY[[#All],[Column3]],,,)</f>
        <v>USMCA</v>
      </c>
    </row>
    <row r="9406" spans="1:9" x14ac:dyDescent="0.4">
      <c r="A9406" t="s">
        <v>64</v>
      </c>
      <c r="B9406" s="1">
        <v>45200</v>
      </c>
      <c r="C9406">
        <v>840820</v>
      </c>
      <c r="D9406" t="s">
        <v>176</v>
      </c>
      <c r="E9406">
        <v>139102</v>
      </c>
      <c r="F9406">
        <v>21</v>
      </c>
      <c r="G9406">
        <v>221</v>
      </c>
      <c r="H9406">
        <f>_xlfn.XLOOKUP(FACT_IMPORTS[[#This Row],[hts_6]],DIM_PRODUCTS[hts_6],DIM_PRODUCTS[hts_4],,,)</f>
        <v>8408</v>
      </c>
      <c r="I9406" t="str" cm="1">
        <f t="array" ref="I9406">_xlfn.XLOOKUP(FACT_IMPORTS[[#This Row],[country_name]],DIM_COUNTRY[[#All],[Column2]],DIM_COUNTRY[[#All],[Column3]],,,)</f>
        <v>USMCA</v>
      </c>
    </row>
    <row r="9407" spans="1:9" x14ac:dyDescent="0.4">
      <c r="A9407" t="s">
        <v>64</v>
      </c>
      <c r="B9407" s="1">
        <v>45200</v>
      </c>
      <c r="C9407">
        <v>840890</v>
      </c>
      <c r="D9407" t="s">
        <v>176</v>
      </c>
      <c r="E9407">
        <v>14400</v>
      </c>
      <c r="F9407">
        <v>2</v>
      </c>
      <c r="G9407">
        <v>27</v>
      </c>
      <c r="H9407">
        <f>_xlfn.XLOOKUP(FACT_IMPORTS[[#This Row],[hts_6]],DIM_PRODUCTS[hts_6],DIM_PRODUCTS[hts_4],,,)</f>
        <v>8408</v>
      </c>
      <c r="I9407" t="str" cm="1">
        <f t="array" ref="I9407">_xlfn.XLOOKUP(FACT_IMPORTS[[#This Row],[country_name]],DIM_COUNTRY[[#All],[Column2]],DIM_COUNTRY[[#All],[Column3]],,,)</f>
        <v>USMCA</v>
      </c>
    </row>
    <row r="9408" spans="1:9" x14ac:dyDescent="0.4">
      <c r="A9408" t="s">
        <v>64</v>
      </c>
      <c r="B9408" s="1">
        <v>45200</v>
      </c>
      <c r="C9408">
        <v>840991</v>
      </c>
      <c r="D9408" t="s">
        <v>176</v>
      </c>
      <c r="E9408">
        <v>571037</v>
      </c>
      <c r="F9408">
        <v>69090</v>
      </c>
      <c r="G9408">
        <v>3384</v>
      </c>
      <c r="H9408">
        <f>_xlfn.XLOOKUP(FACT_IMPORTS[[#This Row],[hts_6]],DIM_PRODUCTS[hts_6],DIM_PRODUCTS[hts_4],,,)</f>
        <v>8409</v>
      </c>
      <c r="I9408" t="str" cm="1">
        <f t="array" ref="I9408">_xlfn.XLOOKUP(FACT_IMPORTS[[#This Row],[country_name]],DIM_COUNTRY[[#All],[Column2]],DIM_COUNTRY[[#All],[Column3]],,,)</f>
        <v>USMCA</v>
      </c>
    </row>
    <row r="9409" spans="1:9" x14ac:dyDescent="0.4">
      <c r="A9409" t="s">
        <v>64</v>
      </c>
      <c r="B9409" s="1">
        <v>45200</v>
      </c>
      <c r="C9409">
        <v>840999</v>
      </c>
      <c r="D9409" t="s">
        <v>176</v>
      </c>
      <c r="E9409">
        <v>109499</v>
      </c>
      <c r="F9409">
        <v>3386</v>
      </c>
      <c r="G9409">
        <v>1032</v>
      </c>
      <c r="H9409">
        <f>_xlfn.XLOOKUP(FACT_IMPORTS[[#This Row],[hts_6]],DIM_PRODUCTS[hts_6],DIM_PRODUCTS[hts_4],,,)</f>
        <v>8409</v>
      </c>
      <c r="I9409" t="str" cm="1">
        <f t="array" ref="I9409">_xlfn.XLOOKUP(FACT_IMPORTS[[#This Row],[country_name]],DIM_COUNTRY[[#All],[Column2]],DIM_COUNTRY[[#All],[Column3]],,,)</f>
        <v>USMCA</v>
      </c>
    </row>
    <row r="9410" spans="1:9" x14ac:dyDescent="0.4">
      <c r="A9410" t="s">
        <v>64</v>
      </c>
      <c r="B9410" s="1">
        <v>45200</v>
      </c>
      <c r="C9410">
        <v>841330</v>
      </c>
      <c r="D9410" t="s">
        <v>176</v>
      </c>
      <c r="E9410">
        <v>41261</v>
      </c>
      <c r="F9410">
        <v>64</v>
      </c>
      <c r="G9410">
        <v>39</v>
      </c>
      <c r="H9410">
        <f>_xlfn.XLOOKUP(FACT_IMPORTS[[#This Row],[hts_6]],DIM_PRODUCTS[hts_6],DIM_PRODUCTS[hts_4],,,)</f>
        <v>8413</v>
      </c>
      <c r="I9410" t="str" cm="1">
        <f t="array" ref="I9410">_xlfn.XLOOKUP(FACT_IMPORTS[[#This Row],[country_name]],DIM_COUNTRY[[#All],[Column2]],DIM_COUNTRY[[#All],[Column3]],,,)</f>
        <v>USMCA</v>
      </c>
    </row>
    <row r="9411" spans="1:9" x14ac:dyDescent="0.4">
      <c r="A9411" t="s">
        <v>64</v>
      </c>
      <c r="B9411" s="1">
        <v>45200</v>
      </c>
      <c r="C9411">
        <v>842132</v>
      </c>
      <c r="D9411" t="s">
        <v>176</v>
      </c>
      <c r="E9411">
        <v>150567</v>
      </c>
      <c r="F9411">
        <v>674</v>
      </c>
      <c r="G9411">
        <v>1864</v>
      </c>
      <c r="H9411">
        <f>_xlfn.XLOOKUP(FACT_IMPORTS[[#This Row],[hts_6]],DIM_PRODUCTS[hts_6],DIM_PRODUCTS[hts_4],,,)</f>
        <v>8421</v>
      </c>
      <c r="I9411" t="str" cm="1">
        <f t="array" ref="I9411">_xlfn.XLOOKUP(FACT_IMPORTS[[#This Row],[country_name]],DIM_COUNTRY[[#All],[Column2]],DIM_COUNTRY[[#All],[Column3]],,,)</f>
        <v>USMCA</v>
      </c>
    </row>
    <row r="9412" spans="1:9" x14ac:dyDescent="0.4">
      <c r="A9412" t="s">
        <v>64</v>
      </c>
      <c r="B9412" s="1">
        <v>45200</v>
      </c>
      <c r="C9412">
        <v>848210</v>
      </c>
      <c r="D9412" t="s">
        <v>176</v>
      </c>
      <c r="E9412">
        <v>5043</v>
      </c>
      <c r="F9412">
        <v>1</v>
      </c>
      <c r="G9412">
        <v>252</v>
      </c>
      <c r="H9412">
        <f>_xlfn.XLOOKUP(FACT_IMPORTS[[#This Row],[hts_6]],DIM_PRODUCTS[hts_6],DIM_PRODUCTS[hts_4],,,)</f>
        <v>8482</v>
      </c>
      <c r="I9412" t="str" cm="1">
        <f t="array" ref="I9412">_xlfn.XLOOKUP(FACT_IMPORTS[[#This Row],[country_name]],DIM_COUNTRY[[#All],[Column2]],DIM_COUNTRY[[#All],[Column3]],,,)</f>
        <v>USMCA</v>
      </c>
    </row>
    <row r="9413" spans="1:9" x14ac:dyDescent="0.4">
      <c r="A9413" t="s">
        <v>64</v>
      </c>
      <c r="B9413" s="1">
        <v>45200</v>
      </c>
      <c r="C9413">
        <v>848220</v>
      </c>
      <c r="D9413" t="s">
        <v>176</v>
      </c>
      <c r="E9413">
        <v>0</v>
      </c>
      <c r="F9413">
        <v>0</v>
      </c>
      <c r="G9413">
        <v>0</v>
      </c>
      <c r="H9413">
        <f>_xlfn.XLOOKUP(FACT_IMPORTS[[#This Row],[hts_6]],DIM_PRODUCTS[hts_6],DIM_PRODUCTS[hts_4],,,)</f>
        <v>8482</v>
      </c>
      <c r="I9413" t="str" cm="1">
        <f t="array" ref="I9413">_xlfn.XLOOKUP(FACT_IMPORTS[[#This Row],[country_name]],DIM_COUNTRY[[#All],[Column2]],DIM_COUNTRY[[#All],[Column3]],,,)</f>
        <v>USMCA</v>
      </c>
    </row>
    <row r="9414" spans="1:9" x14ac:dyDescent="0.4">
      <c r="A9414" t="s">
        <v>64</v>
      </c>
      <c r="B9414" s="1">
        <v>45200</v>
      </c>
      <c r="C9414">
        <v>848310</v>
      </c>
      <c r="D9414" t="s">
        <v>176</v>
      </c>
      <c r="E9414">
        <v>8910</v>
      </c>
      <c r="F9414">
        <v>3456</v>
      </c>
      <c r="G9414">
        <v>200</v>
      </c>
      <c r="H9414">
        <f>_xlfn.XLOOKUP(FACT_IMPORTS[[#This Row],[hts_6]],DIM_PRODUCTS[hts_6],DIM_PRODUCTS[hts_4],,,)</f>
        <v>8483</v>
      </c>
      <c r="I9414" t="str" cm="1">
        <f t="array" ref="I9414">_xlfn.XLOOKUP(FACT_IMPORTS[[#This Row],[country_name]],DIM_COUNTRY[[#All],[Column2]],DIM_COUNTRY[[#All],[Column3]],,,)</f>
        <v>USMCA</v>
      </c>
    </row>
    <row r="9415" spans="1:9" x14ac:dyDescent="0.4">
      <c r="A9415" t="s">
        <v>64</v>
      </c>
      <c r="B9415" s="1">
        <v>45200</v>
      </c>
      <c r="C9415">
        <v>850131</v>
      </c>
      <c r="D9415" t="s">
        <v>176</v>
      </c>
      <c r="E9415">
        <v>7252</v>
      </c>
      <c r="F9415">
        <v>2</v>
      </c>
      <c r="G9415">
        <v>28</v>
      </c>
      <c r="H9415">
        <f>_xlfn.XLOOKUP(FACT_IMPORTS[[#This Row],[hts_6]],DIM_PRODUCTS[hts_6],DIM_PRODUCTS[hts_4],,,)</f>
        <v>8501</v>
      </c>
      <c r="I9415" t="str" cm="1">
        <f t="array" ref="I9415">_xlfn.XLOOKUP(FACT_IMPORTS[[#This Row],[country_name]],DIM_COUNTRY[[#All],[Column2]],DIM_COUNTRY[[#All],[Column3]],,,)</f>
        <v>USMCA</v>
      </c>
    </row>
    <row r="9416" spans="1:9" x14ac:dyDescent="0.4">
      <c r="A9416" t="s">
        <v>64</v>
      </c>
      <c r="B9416" s="1">
        <v>45200</v>
      </c>
      <c r="C9416">
        <v>850132</v>
      </c>
      <c r="D9416" t="s">
        <v>176</v>
      </c>
      <c r="E9416">
        <v>10350</v>
      </c>
      <c r="F9416">
        <v>3</v>
      </c>
      <c r="G9416">
        <v>11</v>
      </c>
      <c r="H9416">
        <f>_xlfn.XLOOKUP(FACT_IMPORTS[[#This Row],[hts_6]],DIM_PRODUCTS[hts_6],DIM_PRODUCTS[hts_4],,,)</f>
        <v>8501</v>
      </c>
      <c r="I9416" t="str" cm="1">
        <f t="array" ref="I9416">_xlfn.XLOOKUP(FACT_IMPORTS[[#This Row],[country_name]],DIM_COUNTRY[[#All],[Column2]],DIM_COUNTRY[[#All],[Column3]],,,)</f>
        <v>USMCA</v>
      </c>
    </row>
    <row r="9417" spans="1:9" x14ac:dyDescent="0.4">
      <c r="A9417" t="s">
        <v>64</v>
      </c>
      <c r="B9417" s="1">
        <v>45200</v>
      </c>
      <c r="C9417">
        <v>850133</v>
      </c>
      <c r="D9417" t="s">
        <v>176</v>
      </c>
      <c r="E9417">
        <v>0</v>
      </c>
      <c r="F9417">
        <v>0</v>
      </c>
      <c r="G9417">
        <v>0</v>
      </c>
      <c r="H9417">
        <f>_xlfn.XLOOKUP(FACT_IMPORTS[[#This Row],[hts_6]],DIM_PRODUCTS[hts_6],DIM_PRODUCTS[hts_4],,,)</f>
        <v>8501</v>
      </c>
      <c r="I9417" t="str" cm="1">
        <f t="array" ref="I9417">_xlfn.XLOOKUP(FACT_IMPORTS[[#This Row],[country_name]],DIM_COUNTRY[[#All],[Column2]],DIM_COUNTRY[[#All],[Column3]],,,)</f>
        <v>USMCA</v>
      </c>
    </row>
    <row r="9418" spans="1:9" x14ac:dyDescent="0.4">
      <c r="A9418" t="s">
        <v>64</v>
      </c>
      <c r="B9418" s="1">
        <v>45200</v>
      </c>
      <c r="C9418">
        <v>850134</v>
      </c>
      <c r="D9418" t="s">
        <v>176</v>
      </c>
      <c r="E9418">
        <v>0</v>
      </c>
      <c r="F9418">
        <v>0</v>
      </c>
      <c r="G9418">
        <v>0</v>
      </c>
      <c r="H9418">
        <f>_xlfn.XLOOKUP(FACT_IMPORTS[[#This Row],[hts_6]],DIM_PRODUCTS[hts_6],DIM_PRODUCTS[hts_4],,,)</f>
        <v>8501</v>
      </c>
      <c r="I9418" t="str" cm="1">
        <f t="array" ref="I9418">_xlfn.XLOOKUP(FACT_IMPORTS[[#This Row],[country_name]],DIM_COUNTRY[[#All],[Column2]],DIM_COUNTRY[[#All],[Column3]],,,)</f>
        <v>USMCA</v>
      </c>
    </row>
    <row r="9419" spans="1:9" x14ac:dyDescent="0.4">
      <c r="A9419" t="s">
        <v>64</v>
      </c>
      <c r="B9419" s="1">
        <v>45200</v>
      </c>
      <c r="C9419">
        <v>850152</v>
      </c>
      <c r="D9419" t="s">
        <v>176</v>
      </c>
      <c r="E9419">
        <v>15644</v>
      </c>
      <c r="F9419">
        <v>8</v>
      </c>
      <c r="G9419">
        <v>256</v>
      </c>
      <c r="H9419">
        <f>_xlfn.XLOOKUP(FACT_IMPORTS[[#This Row],[hts_6]],DIM_PRODUCTS[hts_6],DIM_PRODUCTS[hts_4],,,)</f>
        <v>8501</v>
      </c>
      <c r="I9419" t="str" cm="1">
        <f t="array" ref="I9419">_xlfn.XLOOKUP(FACT_IMPORTS[[#This Row],[country_name]],DIM_COUNTRY[[#All],[Column2]],DIM_COUNTRY[[#All],[Column3]],,,)</f>
        <v>USMCA</v>
      </c>
    </row>
    <row r="9420" spans="1:9" x14ac:dyDescent="0.4">
      <c r="A9420" t="s">
        <v>64</v>
      </c>
      <c r="B9420" s="1">
        <v>45200</v>
      </c>
      <c r="C9420">
        <v>850153</v>
      </c>
      <c r="D9420" t="s">
        <v>176</v>
      </c>
      <c r="E9420">
        <v>12159</v>
      </c>
      <c r="F9420">
        <v>3</v>
      </c>
      <c r="G9420">
        <v>200</v>
      </c>
      <c r="H9420">
        <f>_xlfn.XLOOKUP(FACT_IMPORTS[[#This Row],[hts_6]],DIM_PRODUCTS[hts_6],DIM_PRODUCTS[hts_4],,,)</f>
        <v>8501</v>
      </c>
      <c r="I9420" t="str" cm="1">
        <f t="array" ref="I9420">_xlfn.XLOOKUP(FACT_IMPORTS[[#This Row],[country_name]],DIM_COUNTRY[[#All],[Column2]],DIM_COUNTRY[[#All],[Column3]],,,)</f>
        <v>USMCA</v>
      </c>
    </row>
    <row r="9421" spans="1:9" x14ac:dyDescent="0.4">
      <c r="A9421" t="s">
        <v>64</v>
      </c>
      <c r="B9421" s="1">
        <v>45200</v>
      </c>
      <c r="C9421">
        <v>850161</v>
      </c>
      <c r="D9421" t="s">
        <v>176</v>
      </c>
      <c r="E9421">
        <v>3400</v>
      </c>
      <c r="F9421">
        <v>1</v>
      </c>
      <c r="G9421">
        <v>100</v>
      </c>
      <c r="H9421">
        <f>_xlfn.XLOOKUP(FACT_IMPORTS[[#This Row],[hts_6]],DIM_PRODUCTS[hts_6],DIM_PRODUCTS[hts_4],,,)</f>
        <v>8501</v>
      </c>
      <c r="I9421" t="str" cm="1">
        <f t="array" ref="I9421">_xlfn.XLOOKUP(FACT_IMPORTS[[#This Row],[country_name]],DIM_COUNTRY[[#All],[Column2]],DIM_COUNTRY[[#All],[Column3]],,,)</f>
        <v>USMCA</v>
      </c>
    </row>
    <row r="9422" spans="1:9" x14ac:dyDescent="0.4">
      <c r="A9422" t="s">
        <v>64</v>
      </c>
      <c r="B9422" s="1">
        <v>45200</v>
      </c>
      <c r="C9422">
        <v>850440</v>
      </c>
      <c r="D9422" t="s">
        <v>176</v>
      </c>
      <c r="E9422">
        <v>58878</v>
      </c>
      <c r="F9422">
        <v>488</v>
      </c>
      <c r="G9422">
        <v>434</v>
      </c>
      <c r="H9422">
        <f>_xlfn.XLOOKUP(FACT_IMPORTS[[#This Row],[hts_6]],DIM_PRODUCTS[hts_6],DIM_PRODUCTS[hts_4],,,)</f>
        <v>8504</v>
      </c>
      <c r="I9422" t="str" cm="1">
        <f t="array" ref="I9422">_xlfn.XLOOKUP(FACT_IMPORTS[[#This Row],[country_name]],DIM_COUNTRY[[#All],[Column2]],DIM_COUNTRY[[#All],[Column3]],,,)</f>
        <v>USMCA</v>
      </c>
    </row>
    <row r="9423" spans="1:9" x14ac:dyDescent="0.4">
      <c r="A9423" t="s">
        <v>64</v>
      </c>
      <c r="B9423" s="1">
        <v>45200</v>
      </c>
      <c r="C9423">
        <v>850710</v>
      </c>
      <c r="D9423" t="s">
        <v>176</v>
      </c>
      <c r="E9423">
        <v>0</v>
      </c>
      <c r="F9423">
        <v>0</v>
      </c>
      <c r="G9423">
        <v>0</v>
      </c>
      <c r="H9423">
        <f>_xlfn.XLOOKUP(FACT_IMPORTS[[#This Row],[hts_6]],DIM_PRODUCTS[hts_6],DIM_PRODUCTS[hts_4],,,)</f>
        <v>8507</v>
      </c>
      <c r="I9423" t="str" cm="1">
        <f t="array" ref="I9423">_xlfn.XLOOKUP(FACT_IMPORTS[[#This Row],[country_name]],DIM_COUNTRY[[#All],[Column2]],DIM_COUNTRY[[#All],[Column3]],,,)</f>
        <v>USMCA</v>
      </c>
    </row>
    <row r="9424" spans="1:9" x14ac:dyDescent="0.4">
      <c r="A9424" t="s">
        <v>64</v>
      </c>
      <c r="B9424" s="1">
        <v>45200</v>
      </c>
      <c r="C9424">
        <v>850760</v>
      </c>
      <c r="D9424" t="s">
        <v>176</v>
      </c>
      <c r="E9424">
        <v>0</v>
      </c>
      <c r="F9424">
        <v>0</v>
      </c>
      <c r="G9424">
        <v>0</v>
      </c>
      <c r="H9424">
        <f>_xlfn.XLOOKUP(FACT_IMPORTS[[#This Row],[hts_6]],DIM_PRODUCTS[hts_6],DIM_PRODUCTS[hts_4],,,)</f>
        <v>8507</v>
      </c>
      <c r="I9424" t="str" cm="1">
        <f t="array" ref="I9424">_xlfn.XLOOKUP(FACT_IMPORTS[[#This Row],[country_name]],DIM_COUNTRY[[#All],[Column2]],DIM_COUNTRY[[#All],[Column3]],,,)</f>
        <v>USMCA</v>
      </c>
    </row>
    <row r="9425" spans="1:9" x14ac:dyDescent="0.4">
      <c r="A9425" t="s">
        <v>64</v>
      </c>
      <c r="B9425" s="1">
        <v>45200</v>
      </c>
      <c r="C9425">
        <v>850790</v>
      </c>
      <c r="D9425" t="s">
        <v>176</v>
      </c>
      <c r="E9425">
        <v>15000</v>
      </c>
      <c r="F9425">
        <v>447</v>
      </c>
      <c r="G9425">
        <v>156</v>
      </c>
      <c r="H9425">
        <f>_xlfn.XLOOKUP(FACT_IMPORTS[[#This Row],[hts_6]],DIM_PRODUCTS[hts_6],DIM_PRODUCTS[hts_4],,,)</f>
        <v>8507</v>
      </c>
      <c r="I9425" t="str" cm="1">
        <f t="array" ref="I9425">_xlfn.XLOOKUP(FACT_IMPORTS[[#This Row],[country_name]],DIM_COUNTRY[[#All],[Column2]],DIM_COUNTRY[[#All],[Column3]],,,)</f>
        <v>USMCA</v>
      </c>
    </row>
    <row r="9426" spans="1:9" x14ac:dyDescent="0.4">
      <c r="A9426" t="s">
        <v>64</v>
      </c>
      <c r="B9426" s="1">
        <v>45200</v>
      </c>
      <c r="C9426">
        <v>851110</v>
      </c>
      <c r="D9426" t="s">
        <v>176</v>
      </c>
      <c r="E9426">
        <v>0</v>
      </c>
      <c r="F9426">
        <v>0</v>
      </c>
      <c r="G9426">
        <v>0</v>
      </c>
      <c r="H9426">
        <f>_xlfn.XLOOKUP(FACT_IMPORTS[[#This Row],[hts_6]],DIM_PRODUCTS[hts_6],DIM_PRODUCTS[hts_4],,,)</f>
        <v>8511</v>
      </c>
      <c r="I9426" t="str" cm="1">
        <f t="array" ref="I9426">_xlfn.XLOOKUP(FACT_IMPORTS[[#This Row],[country_name]],DIM_COUNTRY[[#All],[Column2]],DIM_COUNTRY[[#All],[Column3]],,,)</f>
        <v>USMCA</v>
      </c>
    </row>
    <row r="9427" spans="1:9" x14ac:dyDescent="0.4">
      <c r="A9427" t="s">
        <v>64</v>
      </c>
      <c r="B9427" s="1">
        <v>45200</v>
      </c>
      <c r="C9427">
        <v>851130</v>
      </c>
      <c r="D9427" t="s">
        <v>176</v>
      </c>
      <c r="E9427">
        <v>0</v>
      </c>
      <c r="F9427">
        <v>0</v>
      </c>
      <c r="G9427">
        <v>0</v>
      </c>
      <c r="H9427">
        <f>_xlfn.XLOOKUP(FACT_IMPORTS[[#This Row],[hts_6]],DIM_PRODUCTS[hts_6],DIM_PRODUCTS[hts_4],,,)</f>
        <v>8511</v>
      </c>
      <c r="I9427" t="str" cm="1">
        <f t="array" ref="I9427">_xlfn.XLOOKUP(FACT_IMPORTS[[#This Row],[country_name]],DIM_COUNTRY[[#All],[Column2]],DIM_COUNTRY[[#All],[Column3]],,,)</f>
        <v>USMCA</v>
      </c>
    </row>
    <row r="9428" spans="1:9" x14ac:dyDescent="0.4">
      <c r="A9428" t="s">
        <v>64</v>
      </c>
      <c r="B9428" s="1">
        <v>45200</v>
      </c>
      <c r="C9428">
        <v>851140</v>
      </c>
      <c r="D9428" t="s">
        <v>176</v>
      </c>
      <c r="E9428">
        <v>0</v>
      </c>
      <c r="F9428">
        <v>0</v>
      </c>
      <c r="G9428">
        <v>0</v>
      </c>
      <c r="H9428">
        <f>_xlfn.XLOOKUP(FACT_IMPORTS[[#This Row],[hts_6]],DIM_PRODUCTS[hts_6],DIM_PRODUCTS[hts_4],,,)</f>
        <v>8511</v>
      </c>
      <c r="I9428" t="str" cm="1">
        <f t="array" ref="I9428">_xlfn.XLOOKUP(FACT_IMPORTS[[#This Row],[country_name]],DIM_COUNTRY[[#All],[Column2]],DIM_COUNTRY[[#All],[Column3]],,,)</f>
        <v>USMCA</v>
      </c>
    </row>
    <row r="9429" spans="1:9" x14ac:dyDescent="0.4">
      <c r="A9429" t="s">
        <v>64</v>
      </c>
      <c r="B9429" s="1">
        <v>45200</v>
      </c>
      <c r="C9429">
        <v>851150</v>
      </c>
      <c r="D9429" t="s">
        <v>176</v>
      </c>
      <c r="E9429">
        <v>34702</v>
      </c>
      <c r="F9429">
        <v>578</v>
      </c>
      <c r="G9429">
        <v>86</v>
      </c>
      <c r="H9429">
        <f>_xlfn.XLOOKUP(FACT_IMPORTS[[#This Row],[hts_6]],DIM_PRODUCTS[hts_6],DIM_PRODUCTS[hts_4],,,)</f>
        <v>8511</v>
      </c>
      <c r="I9429" t="str" cm="1">
        <f t="array" ref="I9429">_xlfn.XLOOKUP(FACT_IMPORTS[[#This Row],[country_name]],DIM_COUNTRY[[#All],[Column2]],DIM_COUNTRY[[#All],[Column3]],,,)</f>
        <v>USMCA</v>
      </c>
    </row>
    <row r="9430" spans="1:9" x14ac:dyDescent="0.4">
      <c r="A9430" t="s">
        <v>64</v>
      </c>
      <c r="B9430" s="1">
        <v>45200</v>
      </c>
      <c r="C9430">
        <v>851180</v>
      </c>
      <c r="D9430" t="s">
        <v>176</v>
      </c>
      <c r="E9430">
        <v>7310</v>
      </c>
      <c r="F9430">
        <v>237</v>
      </c>
      <c r="G9430">
        <v>4</v>
      </c>
      <c r="H9430">
        <f>_xlfn.XLOOKUP(FACT_IMPORTS[[#This Row],[hts_6]],DIM_PRODUCTS[hts_6],DIM_PRODUCTS[hts_4],,,)</f>
        <v>8511</v>
      </c>
      <c r="I9430" t="str" cm="1">
        <f t="array" ref="I9430">_xlfn.XLOOKUP(FACT_IMPORTS[[#This Row],[country_name]],DIM_COUNTRY[[#All],[Column2]],DIM_COUNTRY[[#All],[Column3]],,,)</f>
        <v>USMCA</v>
      </c>
    </row>
    <row r="9431" spans="1:9" x14ac:dyDescent="0.4">
      <c r="A9431" t="s">
        <v>64</v>
      </c>
      <c r="B9431" s="1">
        <v>45200</v>
      </c>
      <c r="C9431">
        <v>851190</v>
      </c>
      <c r="D9431" t="s">
        <v>176</v>
      </c>
      <c r="E9431">
        <v>0</v>
      </c>
      <c r="F9431">
        <v>0</v>
      </c>
      <c r="G9431">
        <v>0</v>
      </c>
      <c r="H9431">
        <f>_xlfn.XLOOKUP(FACT_IMPORTS[[#This Row],[hts_6]],DIM_PRODUCTS[hts_6],DIM_PRODUCTS[hts_4],,,)</f>
        <v>8511</v>
      </c>
      <c r="I9431" t="str" cm="1">
        <f t="array" ref="I9431">_xlfn.XLOOKUP(FACT_IMPORTS[[#This Row],[country_name]],DIM_COUNTRY[[#All],[Column2]],DIM_COUNTRY[[#All],[Column3]],,,)</f>
        <v>USMCA</v>
      </c>
    </row>
    <row r="9432" spans="1:9" x14ac:dyDescent="0.4">
      <c r="A9432" t="s">
        <v>64</v>
      </c>
      <c r="B9432" s="1">
        <v>45200</v>
      </c>
      <c r="C9432">
        <v>851220</v>
      </c>
      <c r="D9432" t="s">
        <v>176</v>
      </c>
      <c r="E9432">
        <v>50132</v>
      </c>
      <c r="F9432">
        <v>2552</v>
      </c>
      <c r="G9432">
        <v>1468</v>
      </c>
      <c r="H9432">
        <f>_xlfn.XLOOKUP(FACT_IMPORTS[[#This Row],[hts_6]],DIM_PRODUCTS[hts_6],DIM_PRODUCTS[hts_4],,,)</f>
        <v>8512</v>
      </c>
      <c r="I9432" t="str" cm="1">
        <f t="array" ref="I9432">_xlfn.XLOOKUP(FACT_IMPORTS[[#This Row],[country_name]],DIM_COUNTRY[[#All],[Column2]],DIM_COUNTRY[[#All],[Column3]],,,)</f>
        <v>USMCA</v>
      </c>
    </row>
    <row r="9433" spans="1:9" x14ac:dyDescent="0.4">
      <c r="A9433" t="s">
        <v>64</v>
      </c>
      <c r="B9433" s="1">
        <v>45200</v>
      </c>
      <c r="C9433">
        <v>851230</v>
      </c>
      <c r="D9433" t="s">
        <v>176</v>
      </c>
      <c r="E9433">
        <v>0</v>
      </c>
      <c r="F9433">
        <v>0</v>
      </c>
      <c r="G9433">
        <v>0</v>
      </c>
      <c r="H9433">
        <f>_xlfn.XLOOKUP(FACT_IMPORTS[[#This Row],[hts_6]],DIM_PRODUCTS[hts_6],DIM_PRODUCTS[hts_4],,,)</f>
        <v>8512</v>
      </c>
      <c r="I9433" t="str" cm="1">
        <f t="array" ref="I9433">_xlfn.XLOOKUP(FACT_IMPORTS[[#This Row],[country_name]],DIM_COUNTRY[[#All],[Column2]],DIM_COUNTRY[[#All],[Column3]],,,)</f>
        <v>USMCA</v>
      </c>
    </row>
    <row r="9434" spans="1:9" x14ac:dyDescent="0.4">
      <c r="A9434" t="s">
        <v>64</v>
      </c>
      <c r="B9434" s="1">
        <v>45200</v>
      </c>
      <c r="C9434">
        <v>851240</v>
      </c>
      <c r="D9434" t="s">
        <v>176</v>
      </c>
      <c r="E9434">
        <v>0</v>
      </c>
      <c r="F9434">
        <v>0</v>
      </c>
      <c r="G9434">
        <v>0</v>
      </c>
      <c r="H9434">
        <f>_xlfn.XLOOKUP(FACT_IMPORTS[[#This Row],[hts_6]],DIM_PRODUCTS[hts_6],DIM_PRODUCTS[hts_4],,,)</f>
        <v>8512</v>
      </c>
      <c r="I9434" t="str" cm="1">
        <f t="array" ref="I9434">_xlfn.XLOOKUP(FACT_IMPORTS[[#This Row],[country_name]],DIM_COUNTRY[[#All],[Column2]],DIM_COUNTRY[[#All],[Column3]],,,)</f>
        <v>USMCA</v>
      </c>
    </row>
    <row r="9435" spans="1:9" x14ac:dyDescent="0.4">
      <c r="A9435" t="s">
        <v>64</v>
      </c>
      <c r="B9435" s="1">
        <v>45200</v>
      </c>
      <c r="C9435">
        <v>851290</v>
      </c>
      <c r="D9435" t="s">
        <v>176</v>
      </c>
      <c r="E9435">
        <v>47482</v>
      </c>
      <c r="F9435">
        <v>3242</v>
      </c>
      <c r="G9435">
        <v>158</v>
      </c>
      <c r="H9435">
        <f>_xlfn.XLOOKUP(FACT_IMPORTS[[#This Row],[hts_6]],DIM_PRODUCTS[hts_6],DIM_PRODUCTS[hts_4],,,)</f>
        <v>8512</v>
      </c>
      <c r="I9435" t="str" cm="1">
        <f t="array" ref="I9435">_xlfn.XLOOKUP(FACT_IMPORTS[[#This Row],[country_name]],DIM_COUNTRY[[#All],[Column2]],DIM_COUNTRY[[#All],[Column3]],,,)</f>
        <v>USMCA</v>
      </c>
    </row>
    <row r="9436" spans="1:9" x14ac:dyDescent="0.4">
      <c r="A9436" t="s">
        <v>64</v>
      </c>
      <c r="B9436" s="1">
        <v>45200</v>
      </c>
      <c r="C9436">
        <v>854231</v>
      </c>
      <c r="D9436" t="s">
        <v>176</v>
      </c>
      <c r="E9436">
        <v>4561</v>
      </c>
      <c r="F9436">
        <v>32</v>
      </c>
      <c r="G9436">
        <v>11</v>
      </c>
      <c r="H9436">
        <f>_xlfn.XLOOKUP(FACT_IMPORTS[[#This Row],[hts_6]],DIM_PRODUCTS[hts_6],DIM_PRODUCTS[hts_4],,,)</f>
        <v>8542</v>
      </c>
      <c r="I9436" t="str" cm="1">
        <f t="array" ref="I9436">_xlfn.XLOOKUP(FACT_IMPORTS[[#This Row],[country_name]],DIM_COUNTRY[[#All],[Column2]],DIM_COUNTRY[[#All],[Column3]],,,)</f>
        <v>USMCA</v>
      </c>
    </row>
    <row r="9437" spans="1:9" x14ac:dyDescent="0.4">
      <c r="A9437" t="s">
        <v>64</v>
      </c>
      <c r="B9437" s="1">
        <v>45200</v>
      </c>
      <c r="C9437">
        <v>854232</v>
      </c>
      <c r="D9437" t="s">
        <v>176</v>
      </c>
      <c r="E9437">
        <v>0</v>
      </c>
      <c r="F9437">
        <v>0</v>
      </c>
      <c r="G9437">
        <v>0</v>
      </c>
      <c r="H9437">
        <f>_xlfn.XLOOKUP(FACT_IMPORTS[[#This Row],[hts_6]],DIM_PRODUCTS[hts_6],DIM_PRODUCTS[hts_4],,,)</f>
        <v>8542</v>
      </c>
      <c r="I9437" t="str" cm="1">
        <f t="array" ref="I9437">_xlfn.XLOOKUP(FACT_IMPORTS[[#This Row],[country_name]],DIM_COUNTRY[[#All],[Column2]],DIM_COUNTRY[[#All],[Column3]],,,)</f>
        <v>USMCA</v>
      </c>
    </row>
    <row r="9438" spans="1:9" x14ac:dyDescent="0.4">
      <c r="A9438" t="s">
        <v>64</v>
      </c>
      <c r="B9438" s="1">
        <v>45200</v>
      </c>
      <c r="C9438">
        <v>854290</v>
      </c>
      <c r="D9438" t="s">
        <v>176</v>
      </c>
      <c r="E9438">
        <v>0</v>
      </c>
      <c r="F9438">
        <v>0</v>
      </c>
      <c r="G9438">
        <v>0</v>
      </c>
      <c r="H9438">
        <f>_xlfn.XLOOKUP(FACT_IMPORTS[[#This Row],[hts_6]],DIM_PRODUCTS[hts_6],DIM_PRODUCTS[hts_4],,,)</f>
        <v>8542</v>
      </c>
      <c r="I9438" t="str" cm="1">
        <f t="array" ref="I9438">_xlfn.XLOOKUP(FACT_IMPORTS[[#This Row],[country_name]],DIM_COUNTRY[[#All],[Column2]],DIM_COUNTRY[[#All],[Column3]],,,)</f>
        <v>USMCA</v>
      </c>
    </row>
    <row r="9439" spans="1:9" x14ac:dyDescent="0.4">
      <c r="A9439" t="s">
        <v>64</v>
      </c>
      <c r="B9439" s="1">
        <v>45200</v>
      </c>
      <c r="C9439">
        <v>854430</v>
      </c>
      <c r="D9439" t="s">
        <v>176</v>
      </c>
      <c r="E9439">
        <v>1077930</v>
      </c>
      <c r="F9439">
        <v>95573</v>
      </c>
      <c r="G9439">
        <v>7262</v>
      </c>
      <c r="H9439">
        <f>_xlfn.XLOOKUP(FACT_IMPORTS[[#This Row],[hts_6]],DIM_PRODUCTS[hts_6],DIM_PRODUCTS[hts_4],,,)</f>
        <v>8544</v>
      </c>
      <c r="I9439" t="str" cm="1">
        <f t="array" ref="I9439">_xlfn.XLOOKUP(FACT_IMPORTS[[#This Row],[country_name]],DIM_COUNTRY[[#All],[Column2]],DIM_COUNTRY[[#All],[Column3]],,,)</f>
        <v>USMCA</v>
      </c>
    </row>
    <row r="9440" spans="1:9" x14ac:dyDescent="0.4">
      <c r="A9440" t="s">
        <v>64</v>
      </c>
      <c r="B9440" s="1">
        <v>45200</v>
      </c>
      <c r="C9440">
        <v>870810</v>
      </c>
      <c r="D9440" t="s">
        <v>176</v>
      </c>
      <c r="E9440">
        <v>17992</v>
      </c>
      <c r="F9440">
        <v>143</v>
      </c>
      <c r="G9440">
        <v>56</v>
      </c>
      <c r="H9440">
        <f>_xlfn.XLOOKUP(FACT_IMPORTS[[#This Row],[hts_6]],DIM_PRODUCTS[hts_6],DIM_PRODUCTS[hts_4],,,)</f>
        <v>8708</v>
      </c>
      <c r="I9440" t="str" cm="1">
        <f t="array" ref="I9440">_xlfn.XLOOKUP(FACT_IMPORTS[[#This Row],[country_name]],DIM_COUNTRY[[#All],[Column2]],DIM_COUNTRY[[#All],[Column3]],,,)</f>
        <v>USMCA</v>
      </c>
    </row>
    <row r="9441" spans="1:9" x14ac:dyDescent="0.4">
      <c r="A9441" t="s">
        <v>64</v>
      </c>
      <c r="B9441" s="1">
        <v>45200</v>
      </c>
      <c r="C9441">
        <v>870821</v>
      </c>
      <c r="D9441" t="s">
        <v>176</v>
      </c>
      <c r="E9441">
        <v>0</v>
      </c>
      <c r="F9441">
        <v>0</v>
      </c>
      <c r="G9441">
        <v>0</v>
      </c>
      <c r="H9441">
        <f>_xlfn.XLOOKUP(FACT_IMPORTS[[#This Row],[hts_6]],DIM_PRODUCTS[hts_6],DIM_PRODUCTS[hts_4],,,)</f>
        <v>8708</v>
      </c>
      <c r="I9441" t="str" cm="1">
        <f t="array" ref="I9441">_xlfn.XLOOKUP(FACT_IMPORTS[[#This Row],[country_name]],DIM_COUNTRY[[#All],[Column2]],DIM_COUNTRY[[#All],[Column3]],,,)</f>
        <v>USMCA</v>
      </c>
    </row>
    <row r="9442" spans="1:9" x14ac:dyDescent="0.4">
      <c r="A9442" t="s">
        <v>64</v>
      </c>
      <c r="B9442" s="1">
        <v>45200</v>
      </c>
      <c r="C9442">
        <v>870822</v>
      </c>
      <c r="D9442" t="s">
        <v>176</v>
      </c>
      <c r="E9442">
        <v>3474</v>
      </c>
      <c r="F9442">
        <v>19</v>
      </c>
      <c r="G9442">
        <v>152</v>
      </c>
      <c r="H9442">
        <f>_xlfn.XLOOKUP(FACT_IMPORTS[[#This Row],[hts_6]],DIM_PRODUCTS[hts_6],DIM_PRODUCTS[hts_4],,,)</f>
        <v>8708</v>
      </c>
      <c r="I9442" t="str" cm="1">
        <f t="array" ref="I9442">_xlfn.XLOOKUP(FACT_IMPORTS[[#This Row],[country_name]],DIM_COUNTRY[[#All],[Column2]],DIM_COUNTRY[[#All],[Column3]],,,)</f>
        <v>USMCA</v>
      </c>
    </row>
    <row r="9443" spans="1:9" x14ac:dyDescent="0.4">
      <c r="A9443" t="s">
        <v>64</v>
      </c>
      <c r="B9443" s="1">
        <v>45200</v>
      </c>
      <c r="C9443">
        <v>870829</v>
      </c>
      <c r="D9443" t="s">
        <v>176</v>
      </c>
      <c r="E9443">
        <v>1030761</v>
      </c>
      <c r="F9443">
        <v>12967</v>
      </c>
      <c r="G9443">
        <v>15069</v>
      </c>
      <c r="H9443">
        <f>_xlfn.XLOOKUP(FACT_IMPORTS[[#This Row],[hts_6]],DIM_PRODUCTS[hts_6],DIM_PRODUCTS[hts_4],,,)</f>
        <v>8708</v>
      </c>
      <c r="I9443" t="str" cm="1">
        <f t="array" ref="I9443">_xlfn.XLOOKUP(FACT_IMPORTS[[#This Row],[country_name]],DIM_COUNTRY[[#All],[Column2]],DIM_COUNTRY[[#All],[Column3]],,,)</f>
        <v>USMCA</v>
      </c>
    </row>
    <row r="9444" spans="1:9" x14ac:dyDescent="0.4">
      <c r="A9444" t="s">
        <v>64</v>
      </c>
      <c r="B9444" s="1">
        <v>45200</v>
      </c>
      <c r="C9444">
        <v>870830</v>
      </c>
      <c r="D9444" t="s">
        <v>176</v>
      </c>
      <c r="E9444">
        <v>116886</v>
      </c>
      <c r="F9444">
        <v>3752</v>
      </c>
      <c r="G9444">
        <v>1250</v>
      </c>
      <c r="H9444">
        <f>_xlfn.XLOOKUP(FACT_IMPORTS[[#This Row],[hts_6]],DIM_PRODUCTS[hts_6],DIM_PRODUCTS[hts_4],,,)</f>
        <v>8708</v>
      </c>
      <c r="I9444" t="str" cm="1">
        <f t="array" ref="I9444">_xlfn.XLOOKUP(FACT_IMPORTS[[#This Row],[country_name]],DIM_COUNTRY[[#All],[Column2]],DIM_COUNTRY[[#All],[Column3]],,,)</f>
        <v>USMCA</v>
      </c>
    </row>
    <row r="9445" spans="1:9" x14ac:dyDescent="0.4">
      <c r="A9445" t="s">
        <v>64</v>
      </c>
      <c r="B9445" s="1">
        <v>45200</v>
      </c>
      <c r="C9445">
        <v>870840</v>
      </c>
      <c r="D9445" t="s">
        <v>176</v>
      </c>
      <c r="E9445">
        <v>53807</v>
      </c>
      <c r="F9445">
        <v>6341</v>
      </c>
      <c r="G9445">
        <v>716</v>
      </c>
      <c r="H9445">
        <f>_xlfn.XLOOKUP(FACT_IMPORTS[[#This Row],[hts_6]],DIM_PRODUCTS[hts_6],DIM_PRODUCTS[hts_4],,,)</f>
        <v>8708</v>
      </c>
      <c r="I9445" t="str" cm="1">
        <f t="array" ref="I9445">_xlfn.XLOOKUP(FACT_IMPORTS[[#This Row],[country_name]],DIM_COUNTRY[[#All],[Column2]],DIM_COUNTRY[[#All],[Column3]],,,)</f>
        <v>USMCA</v>
      </c>
    </row>
    <row r="9446" spans="1:9" x14ac:dyDescent="0.4">
      <c r="A9446" t="s">
        <v>64</v>
      </c>
      <c r="B9446" s="1">
        <v>45200</v>
      </c>
      <c r="C9446">
        <v>870850</v>
      </c>
      <c r="D9446" t="s">
        <v>176</v>
      </c>
      <c r="E9446">
        <v>26434</v>
      </c>
      <c r="F9446">
        <v>55</v>
      </c>
      <c r="G9446">
        <v>18</v>
      </c>
      <c r="H9446">
        <f>_xlfn.XLOOKUP(FACT_IMPORTS[[#This Row],[hts_6]],DIM_PRODUCTS[hts_6],DIM_PRODUCTS[hts_4],,,)</f>
        <v>8708</v>
      </c>
      <c r="I9446" t="str" cm="1">
        <f t="array" ref="I9446">_xlfn.XLOOKUP(FACT_IMPORTS[[#This Row],[country_name]],DIM_COUNTRY[[#All],[Column2]],DIM_COUNTRY[[#All],[Column3]],,,)</f>
        <v>USMCA</v>
      </c>
    </row>
    <row r="9447" spans="1:9" x14ac:dyDescent="0.4">
      <c r="A9447" t="s">
        <v>64</v>
      </c>
      <c r="B9447" s="1">
        <v>45200</v>
      </c>
      <c r="C9447">
        <v>870870</v>
      </c>
      <c r="D9447" t="s">
        <v>176</v>
      </c>
      <c r="E9447">
        <v>30608</v>
      </c>
      <c r="F9447">
        <v>536</v>
      </c>
      <c r="G9447">
        <v>766</v>
      </c>
      <c r="H9447">
        <f>_xlfn.XLOOKUP(FACT_IMPORTS[[#This Row],[hts_6]],DIM_PRODUCTS[hts_6],DIM_PRODUCTS[hts_4],,,)</f>
        <v>8708</v>
      </c>
      <c r="I9447" t="str" cm="1">
        <f t="array" ref="I9447">_xlfn.XLOOKUP(FACT_IMPORTS[[#This Row],[country_name]],DIM_COUNTRY[[#All],[Column2]],DIM_COUNTRY[[#All],[Column3]],,,)</f>
        <v>USMCA</v>
      </c>
    </row>
    <row r="9448" spans="1:9" x14ac:dyDescent="0.4">
      <c r="A9448" t="s">
        <v>64</v>
      </c>
      <c r="B9448" s="1">
        <v>45200</v>
      </c>
      <c r="C9448">
        <v>870880</v>
      </c>
      <c r="D9448" t="s">
        <v>176</v>
      </c>
      <c r="E9448">
        <v>44705</v>
      </c>
      <c r="F9448">
        <v>10541</v>
      </c>
      <c r="G9448">
        <v>1474</v>
      </c>
      <c r="H9448">
        <f>_xlfn.XLOOKUP(FACT_IMPORTS[[#This Row],[hts_6]],DIM_PRODUCTS[hts_6],DIM_PRODUCTS[hts_4],,,)</f>
        <v>8708</v>
      </c>
      <c r="I9448" t="str" cm="1">
        <f t="array" ref="I9448">_xlfn.XLOOKUP(FACT_IMPORTS[[#This Row],[country_name]],DIM_COUNTRY[[#All],[Column2]],DIM_COUNTRY[[#All],[Column3]],,,)</f>
        <v>USMCA</v>
      </c>
    </row>
    <row r="9449" spans="1:9" x14ac:dyDescent="0.4">
      <c r="A9449" t="s">
        <v>64</v>
      </c>
      <c r="B9449" s="1">
        <v>45200</v>
      </c>
      <c r="C9449">
        <v>870891</v>
      </c>
      <c r="D9449" t="s">
        <v>176</v>
      </c>
      <c r="E9449">
        <v>21377</v>
      </c>
      <c r="F9449">
        <v>180</v>
      </c>
      <c r="G9449">
        <v>251</v>
      </c>
      <c r="H9449">
        <f>_xlfn.XLOOKUP(FACT_IMPORTS[[#This Row],[hts_6]],DIM_PRODUCTS[hts_6],DIM_PRODUCTS[hts_4],,,)</f>
        <v>8708</v>
      </c>
      <c r="I9449" t="str" cm="1">
        <f t="array" ref="I9449">_xlfn.XLOOKUP(FACT_IMPORTS[[#This Row],[country_name]],DIM_COUNTRY[[#All],[Column2]],DIM_COUNTRY[[#All],[Column3]],,,)</f>
        <v>USMCA</v>
      </c>
    </row>
    <row r="9450" spans="1:9" x14ac:dyDescent="0.4">
      <c r="A9450" t="s">
        <v>64</v>
      </c>
      <c r="B9450" s="1">
        <v>45200</v>
      </c>
      <c r="C9450">
        <v>870892</v>
      </c>
      <c r="D9450" t="s">
        <v>176</v>
      </c>
      <c r="E9450">
        <v>7402</v>
      </c>
      <c r="F9450">
        <v>38</v>
      </c>
      <c r="G9450">
        <v>172</v>
      </c>
      <c r="H9450">
        <f>_xlfn.XLOOKUP(FACT_IMPORTS[[#This Row],[hts_6]],DIM_PRODUCTS[hts_6],DIM_PRODUCTS[hts_4],,,)</f>
        <v>8708</v>
      </c>
      <c r="I9450" t="str" cm="1">
        <f t="array" ref="I9450">_xlfn.XLOOKUP(FACT_IMPORTS[[#This Row],[country_name]],DIM_COUNTRY[[#All],[Column2]],DIM_COUNTRY[[#All],[Column3]],,,)</f>
        <v>USMCA</v>
      </c>
    </row>
    <row r="9451" spans="1:9" x14ac:dyDescent="0.4">
      <c r="A9451" t="s">
        <v>64</v>
      </c>
      <c r="B9451" s="1">
        <v>45200</v>
      </c>
      <c r="C9451">
        <v>870893</v>
      </c>
      <c r="D9451" t="s">
        <v>176</v>
      </c>
      <c r="E9451">
        <v>16744</v>
      </c>
      <c r="F9451">
        <v>3598</v>
      </c>
      <c r="G9451">
        <v>621</v>
      </c>
      <c r="H9451">
        <f>_xlfn.XLOOKUP(FACT_IMPORTS[[#This Row],[hts_6]],DIM_PRODUCTS[hts_6],DIM_PRODUCTS[hts_4],,,)</f>
        <v>8708</v>
      </c>
      <c r="I9451" t="str" cm="1">
        <f t="array" ref="I9451">_xlfn.XLOOKUP(FACT_IMPORTS[[#This Row],[country_name]],DIM_COUNTRY[[#All],[Column2]],DIM_COUNTRY[[#All],[Column3]],,,)</f>
        <v>USMCA</v>
      </c>
    </row>
    <row r="9452" spans="1:9" x14ac:dyDescent="0.4">
      <c r="A9452" t="s">
        <v>64</v>
      </c>
      <c r="B9452" s="1">
        <v>45200</v>
      </c>
      <c r="C9452">
        <v>870894</v>
      </c>
      <c r="D9452" t="s">
        <v>176</v>
      </c>
      <c r="E9452">
        <v>117155</v>
      </c>
      <c r="F9452">
        <v>653</v>
      </c>
      <c r="G9452">
        <v>2295</v>
      </c>
      <c r="H9452">
        <f>_xlfn.XLOOKUP(FACT_IMPORTS[[#This Row],[hts_6]],DIM_PRODUCTS[hts_6],DIM_PRODUCTS[hts_4],,,)</f>
        <v>8708</v>
      </c>
      <c r="I9452" t="str" cm="1">
        <f t="array" ref="I9452">_xlfn.XLOOKUP(FACT_IMPORTS[[#This Row],[country_name]],DIM_COUNTRY[[#All],[Column2]],DIM_COUNTRY[[#All],[Column3]],,,)</f>
        <v>USMCA</v>
      </c>
    </row>
    <row r="9453" spans="1:9" x14ac:dyDescent="0.4">
      <c r="A9453" t="s">
        <v>64</v>
      </c>
      <c r="B9453" s="1">
        <v>45200</v>
      </c>
      <c r="C9453">
        <v>870895</v>
      </c>
      <c r="D9453" t="s">
        <v>176</v>
      </c>
      <c r="E9453">
        <v>64878</v>
      </c>
      <c r="F9453">
        <v>4181</v>
      </c>
      <c r="G9453">
        <v>1307</v>
      </c>
      <c r="H9453">
        <f>_xlfn.XLOOKUP(FACT_IMPORTS[[#This Row],[hts_6]],DIM_PRODUCTS[hts_6],DIM_PRODUCTS[hts_4],,,)</f>
        <v>8708</v>
      </c>
      <c r="I9453" t="str" cm="1">
        <f t="array" ref="I9453">_xlfn.XLOOKUP(FACT_IMPORTS[[#This Row],[country_name]],DIM_COUNTRY[[#All],[Column2]],DIM_COUNTRY[[#All],[Column3]],,,)</f>
        <v>USMCA</v>
      </c>
    </row>
    <row r="9454" spans="1:9" x14ac:dyDescent="0.4">
      <c r="A9454" t="s">
        <v>64</v>
      </c>
      <c r="B9454" s="1">
        <v>45200</v>
      </c>
      <c r="C9454">
        <v>870899</v>
      </c>
      <c r="D9454" t="s">
        <v>176</v>
      </c>
      <c r="E9454">
        <v>144907</v>
      </c>
      <c r="F9454">
        <v>5288</v>
      </c>
      <c r="G9454">
        <v>3892</v>
      </c>
      <c r="H9454">
        <f>_xlfn.XLOOKUP(FACT_IMPORTS[[#This Row],[hts_6]],DIM_PRODUCTS[hts_6],DIM_PRODUCTS[hts_4],,,)</f>
        <v>8708</v>
      </c>
      <c r="I9454" t="str" cm="1">
        <f t="array" ref="I9454">_xlfn.XLOOKUP(FACT_IMPORTS[[#This Row],[country_name]],DIM_COUNTRY[[#All],[Column2]],DIM_COUNTRY[[#All],[Column3]],,,)</f>
        <v>USMCA</v>
      </c>
    </row>
    <row r="9455" spans="1:9" x14ac:dyDescent="0.4">
      <c r="A9455" t="s">
        <v>64</v>
      </c>
      <c r="B9455" s="1">
        <v>45200</v>
      </c>
      <c r="C9455">
        <v>940120</v>
      </c>
      <c r="D9455" t="s">
        <v>176</v>
      </c>
      <c r="E9455">
        <v>10595</v>
      </c>
      <c r="F9455">
        <v>39</v>
      </c>
      <c r="G9455">
        <v>20</v>
      </c>
      <c r="H9455">
        <f>_xlfn.XLOOKUP(FACT_IMPORTS[[#This Row],[hts_6]],DIM_PRODUCTS[hts_6],DIM_PRODUCTS[hts_4],,,)</f>
        <v>9401</v>
      </c>
      <c r="I9455" t="str" cm="1">
        <f t="array" ref="I9455">_xlfn.XLOOKUP(FACT_IMPORTS[[#This Row],[country_name]],DIM_COUNTRY[[#All],[Column2]],DIM_COUNTRY[[#All],[Column3]],,,)</f>
        <v>USMCA</v>
      </c>
    </row>
    <row r="9456" spans="1:9" x14ac:dyDescent="0.4">
      <c r="A9456" t="s">
        <v>64</v>
      </c>
      <c r="B9456" s="1">
        <v>45231</v>
      </c>
      <c r="C9456">
        <v>392630</v>
      </c>
      <c r="D9456" t="s">
        <v>176</v>
      </c>
      <c r="E9456">
        <v>1059</v>
      </c>
      <c r="F9456">
        <v>51</v>
      </c>
      <c r="G9456">
        <v>30</v>
      </c>
      <c r="H9456">
        <f>_xlfn.XLOOKUP(FACT_IMPORTS[[#This Row],[hts_6]],DIM_PRODUCTS[hts_6],DIM_PRODUCTS[hts_4],,,)</f>
        <v>3926</v>
      </c>
      <c r="I9456" t="str" cm="1">
        <f t="array" ref="I9456">_xlfn.XLOOKUP(FACT_IMPORTS[[#This Row],[country_name]],DIM_COUNTRY[[#All],[Column2]],DIM_COUNTRY[[#All],[Column3]],,,)</f>
        <v>USMCA</v>
      </c>
    </row>
    <row r="9457" spans="1:9" x14ac:dyDescent="0.4">
      <c r="A9457" t="s">
        <v>64</v>
      </c>
      <c r="B9457" s="1">
        <v>45231</v>
      </c>
      <c r="C9457">
        <v>401110</v>
      </c>
      <c r="D9457" t="s">
        <v>176</v>
      </c>
      <c r="E9457">
        <v>18174</v>
      </c>
      <c r="F9457">
        <v>225</v>
      </c>
      <c r="G9457">
        <v>636</v>
      </c>
      <c r="H9457">
        <f>_xlfn.XLOOKUP(FACT_IMPORTS[[#This Row],[hts_6]],DIM_PRODUCTS[hts_6],DIM_PRODUCTS[hts_4],,,)</f>
        <v>4011</v>
      </c>
      <c r="I9457" t="str" cm="1">
        <f t="array" ref="I9457">_xlfn.XLOOKUP(FACT_IMPORTS[[#This Row],[country_name]],DIM_COUNTRY[[#All],[Column2]],DIM_COUNTRY[[#All],[Column3]],,,)</f>
        <v>USMCA</v>
      </c>
    </row>
    <row r="9458" spans="1:9" x14ac:dyDescent="0.4">
      <c r="A9458" t="s">
        <v>64</v>
      </c>
      <c r="B9458" s="1">
        <v>45231</v>
      </c>
      <c r="C9458">
        <v>401120</v>
      </c>
      <c r="D9458" t="s">
        <v>176</v>
      </c>
      <c r="E9458">
        <v>10116</v>
      </c>
      <c r="F9458">
        <v>160</v>
      </c>
      <c r="G9458">
        <v>7530</v>
      </c>
      <c r="H9458">
        <f>_xlfn.XLOOKUP(FACT_IMPORTS[[#This Row],[hts_6]],DIM_PRODUCTS[hts_6],DIM_PRODUCTS[hts_4],,,)</f>
        <v>4011</v>
      </c>
      <c r="I9458" t="str" cm="1">
        <f t="array" ref="I9458">_xlfn.XLOOKUP(FACT_IMPORTS[[#This Row],[country_name]],DIM_COUNTRY[[#All],[Column2]],DIM_COUNTRY[[#All],[Column3]],,,)</f>
        <v>USMCA</v>
      </c>
    </row>
    <row r="9459" spans="1:9" x14ac:dyDescent="0.4">
      <c r="A9459" t="s">
        <v>64</v>
      </c>
      <c r="B9459" s="1">
        <v>45231</v>
      </c>
      <c r="C9459">
        <v>401190</v>
      </c>
      <c r="D9459" t="s">
        <v>176</v>
      </c>
      <c r="E9459">
        <v>0</v>
      </c>
      <c r="F9459">
        <v>0</v>
      </c>
      <c r="G9459">
        <v>0</v>
      </c>
      <c r="H9459">
        <f>_xlfn.XLOOKUP(FACT_IMPORTS[[#This Row],[hts_6]],DIM_PRODUCTS[hts_6],DIM_PRODUCTS[hts_4],,,)</f>
        <v>4011</v>
      </c>
      <c r="I9459" t="str" cm="1">
        <f t="array" ref="I9459">_xlfn.XLOOKUP(FACT_IMPORTS[[#This Row],[country_name]],DIM_COUNTRY[[#All],[Column2]],DIM_COUNTRY[[#All],[Column3]],,,)</f>
        <v>USMCA</v>
      </c>
    </row>
    <row r="9460" spans="1:9" x14ac:dyDescent="0.4">
      <c r="A9460" t="s">
        <v>64</v>
      </c>
      <c r="B9460" s="1">
        <v>45231</v>
      </c>
      <c r="C9460">
        <v>700910</v>
      </c>
      <c r="D9460" t="s">
        <v>176</v>
      </c>
      <c r="E9460">
        <v>0</v>
      </c>
      <c r="F9460">
        <v>0</v>
      </c>
      <c r="G9460">
        <v>0</v>
      </c>
      <c r="H9460">
        <f>_xlfn.XLOOKUP(FACT_IMPORTS[[#This Row],[hts_6]],DIM_PRODUCTS[hts_6],DIM_PRODUCTS[hts_4],,,)</f>
        <v>7009</v>
      </c>
      <c r="I9460" t="str" cm="1">
        <f t="array" ref="I9460">_xlfn.XLOOKUP(FACT_IMPORTS[[#This Row],[country_name]],DIM_COUNTRY[[#All],[Column2]],DIM_COUNTRY[[#All],[Column3]],,,)</f>
        <v>USMCA</v>
      </c>
    </row>
    <row r="9461" spans="1:9" x14ac:dyDescent="0.4">
      <c r="A9461" t="s">
        <v>64</v>
      </c>
      <c r="B9461" s="1">
        <v>45231</v>
      </c>
      <c r="C9461">
        <v>732010</v>
      </c>
      <c r="D9461" t="s">
        <v>176</v>
      </c>
      <c r="E9461">
        <v>0</v>
      </c>
      <c r="F9461">
        <v>0</v>
      </c>
      <c r="G9461">
        <v>0</v>
      </c>
      <c r="H9461">
        <f>_xlfn.XLOOKUP(FACT_IMPORTS[[#This Row],[hts_6]],DIM_PRODUCTS[hts_6],DIM_PRODUCTS[hts_4],,,)</f>
        <v>7320</v>
      </c>
      <c r="I9461" t="str" cm="1">
        <f t="array" ref="I9461">_xlfn.XLOOKUP(FACT_IMPORTS[[#This Row],[country_name]],DIM_COUNTRY[[#All],[Column2]],DIM_COUNTRY[[#All],[Column3]],,,)</f>
        <v>USMCA</v>
      </c>
    </row>
    <row r="9462" spans="1:9" x14ac:dyDescent="0.4">
      <c r="A9462" t="s">
        <v>64</v>
      </c>
      <c r="B9462" s="1">
        <v>45231</v>
      </c>
      <c r="C9462">
        <v>830230</v>
      </c>
      <c r="D9462" t="s">
        <v>176</v>
      </c>
      <c r="E9462">
        <v>18834</v>
      </c>
      <c r="F9462">
        <v>2795</v>
      </c>
      <c r="G9462">
        <v>26</v>
      </c>
      <c r="H9462">
        <f>_xlfn.XLOOKUP(FACT_IMPORTS[[#This Row],[hts_6]],DIM_PRODUCTS[hts_6],DIM_PRODUCTS[hts_4],,,)</f>
        <v>8302</v>
      </c>
      <c r="I9462" t="str" cm="1">
        <f t="array" ref="I9462">_xlfn.XLOOKUP(FACT_IMPORTS[[#This Row],[country_name]],DIM_COUNTRY[[#All],[Column2]],DIM_COUNTRY[[#All],[Column3]],,,)</f>
        <v>USMCA</v>
      </c>
    </row>
    <row r="9463" spans="1:9" x14ac:dyDescent="0.4">
      <c r="A9463" t="s">
        <v>64</v>
      </c>
      <c r="B9463" s="1">
        <v>45231</v>
      </c>
      <c r="C9463">
        <v>840733</v>
      </c>
      <c r="D9463" t="s">
        <v>176</v>
      </c>
      <c r="E9463">
        <v>0</v>
      </c>
      <c r="F9463">
        <v>0</v>
      </c>
      <c r="G9463">
        <v>0</v>
      </c>
      <c r="H9463">
        <f>_xlfn.XLOOKUP(FACT_IMPORTS[[#This Row],[hts_6]],DIM_PRODUCTS[hts_6],DIM_PRODUCTS[hts_4],,,)</f>
        <v>8407</v>
      </c>
      <c r="I9463" t="str" cm="1">
        <f t="array" ref="I9463">_xlfn.XLOOKUP(FACT_IMPORTS[[#This Row],[country_name]],DIM_COUNTRY[[#All],[Column2]],DIM_COUNTRY[[#All],[Column3]],,,)</f>
        <v>USMCA</v>
      </c>
    </row>
    <row r="9464" spans="1:9" x14ac:dyDescent="0.4">
      <c r="A9464" t="s">
        <v>64</v>
      </c>
      <c r="B9464" s="1">
        <v>45231</v>
      </c>
      <c r="C9464">
        <v>840734</v>
      </c>
      <c r="D9464" t="s">
        <v>176</v>
      </c>
      <c r="E9464">
        <v>42088</v>
      </c>
      <c r="F9464">
        <v>35</v>
      </c>
      <c r="G9464">
        <v>582</v>
      </c>
      <c r="H9464">
        <f>_xlfn.XLOOKUP(FACT_IMPORTS[[#This Row],[hts_6]],DIM_PRODUCTS[hts_6],DIM_PRODUCTS[hts_4],,,)</f>
        <v>8407</v>
      </c>
      <c r="I9464" t="str" cm="1">
        <f t="array" ref="I9464">_xlfn.XLOOKUP(FACT_IMPORTS[[#This Row],[country_name]],DIM_COUNTRY[[#All],[Column2]],DIM_COUNTRY[[#All],[Column3]],,,)</f>
        <v>USMCA</v>
      </c>
    </row>
    <row r="9465" spans="1:9" x14ac:dyDescent="0.4">
      <c r="A9465" t="s">
        <v>64</v>
      </c>
      <c r="B9465" s="1">
        <v>45231</v>
      </c>
      <c r="C9465">
        <v>840820</v>
      </c>
      <c r="D9465" t="s">
        <v>176</v>
      </c>
      <c r="E9465">
        <v>77556</v>
      </c>
      <c r="F9465">
        <v>15</v>
      </c>
      <c r="G9465">
        <v>143</v>
      </c>
      <c r="H9465">
        <f>_xlfn.XLOOKUP(FACT_IMPORTS[[#This Row],[hts_6]],DIM_PRODUCTS[hts_6],DIM_PRODUCTS[hts_4],,,)</f>
        <v>8408</v>
      </c>
      <c r="I9465" t="str" cm="1">
        <f t="array" ref="I9465">_xlfn.XLOOKUP(FACT_IMPORTS[[#This Row],[country_name]],DIM_COUNTRY[[#All],[Column2]],DIM_COUNTRY[[#All],[Column3]],,,)</f>
        <v>USMCA</v>
      </c>
    </row>
    <row r="9466" spans="1:9" x14ac:dyDescent="0.4">
      <c r="A9466" t="s">
        <v>64</v>
      </c>
      <c r="B9466" s="1">
        <v>45231</v>
      </c>
      <c r="C9466">
        <v>840890</v>
      </c>
      <c r="D9466" t="s">
        <v>176</v>
      </c>
      <c r="E9466">
        <v>71506</v>
      </c>
      <c r="F9466">
        <v>5</v>
      </c>
      <c r="G9466">
        <v>227</v>
      </c>
      <c r="H9466">
        <f>_xlfn.XLOOKUP(FACT_IMPORTS[[#This Row],[hts_6]],DIM_PRODUCTS[hts_6],DIM_PRODUCTS[hts_4],,,)</f>
        <v>8408</v>
      </c>
      <c r="I9466" t="str" cm="1">
        <f t="array" ref="I9466">_xlfn.XLOOKUP(FACT_IMPORTS[[#This Row],[country_name]],DIM_COUNTRY[[#All],[Column2]],DIM_COUNTRY[[#All],[Column3]],,,)</f>
        <v>USMCA</v>
      </c>
    </row>
    <row r="9467" spans="1:9" x14ac:dyDescent="0.4">
      <c r="A9467" t="s">
        <v>64</v>
      </c>
      <c r="B9467" s="1">
        <v>45231</v>
      </c>
      <c r="C9467">
        <v>840991</v>
      </c>
      <c r="D9467" t="s">
        <v>176</v>
      </c>
      <c r="E9467">
        <v>455809</v>
      </c>
      <c r="F9467">
        <v>60481</v>
      </c>
      <c r="G9467">
        <v>2918</v>
      </c>
      <c r="H9467">
        <f>_xlfn.XLOOKUP(FACT_IMPORTS[[#This Row],[hts_6]],DIM_PRODUCTS[hts_6],DIM_PRODUCTS[hts_4],,,)</f>
        <v>8409</v>
      </c>
      <c r="I9467" t="str" cm="1">
        <f t="array" ref="I9467">_xlfn.XLOOKUP(FACT_IMPORTS[[#This Row],[country_name]],DIM_COUNTRY[[#All],[Column2]],DIM_COUNTRY[[#All],[Column3]],,,)</f>
        <v>USMCA</v>
      </c>
    </row>
    <row r="9468" spans="1:9" x14ac:dyDescent="0.4">
      <c r="A9468" t="s">
        <v>64</v>
      </c>
      <c r="B9468" s="1">
        <v>45231</v>
      </c>
      <c r="C9468">
        <v>840999</v>
      </c>
      <c r="D9468" t="s">
        <v>176</v>
      </c>
      <c r="E9468">
        <v>130139</v>
      </c>
      <c r="F9468">
        <v>1160</v>
      </c>
      <c r="G9468">
        <v>1040</v>
      </c>
      <c r="H9468">
        <f>_xlfn.XLOOKUP(FACT_IMPORTS[[#This Row],[hts_6]],DIM_PRODUCTS[hts_6],DIM_PRODUCTS[hts_4],,,)</f>
        <v>8409</v>
      </c>
      <c r="I9468" t="str" cm="1">
        <f t="array" ref="I9468">_xlfn.XLOOKUP(FACT_IMPORTS[[#This Row],[country_name]],DIM_COUNTRY[[#All],[Column2]],DIM_COUNTRY[[#All],[Column3]],,,)</f>
        <v>USMCA</v>
      </c>
    </row>
    <row r="9469" spans="1:9" x14ac:dyDescent="0.4">
      <c r="A9469" t="s">
        <v>64</v>
      </c>
      <c r="B9469" s="1">
        <v>45231</v>
      </c>
      <c r="C9469">
        <v>841330</v>
      </c>
      <c r="D9469" t="s">
        <v>176</v>
      </c>
      <c r="E9469">
        <v>82850</v>
      </c>
      <c r="F9469">
        <v>85</v>
      </c>
      <c r="G9469">
        <v>250</v>
      </c>
      <c r="H9469">
        <f>_xlfn.XLOOKUP(FACT_IMPORTS[[#This Row],[hts_6]],DIM_PRODUCTS[hts_6],DIM_PRODUCTS[hts_4],,,)</f>
        <v>8413</v>
      </c>
      <c r="I9469" t="str" cm="1">
        <f t="array" ref="I9469">_xlfn.XLOOKUP(FACT_IMPORTS[[#This Row],[country_name]],DIM_COUNTRY[[#All],[Column2]],DIM_COUNTRY[[#All],[Column3]],,,)</f>
        <v>USMCA</v>
      </c>
    </row>
    <row r="9470" spans="1:9" x14ac:dyDescent="0.4">
      <c r="A9470" t="s">
        <v>64</v>
      </c>
      <c r="B9470" s="1">
        <v>45231</v>
      </c>
      <c r="C9470">
        <v>842132</v>
      </c>
      <c r="D9470" t="s">
        <v>176</v>
      </c>
      <c r="E9470">
        <v>112416</v>
      </c>
      <c r="F9470">
        <v>613</v>
      </c>
      <c r="G9470">
        <v>543</v>
      </c>
      <c r="H9470">
        <f>_xlfn.XLOOKUP(FACT_IMPORTS[[#This Row],[hts_6]],DIM_PRODUCTS[hts_6],DIM_PRODUCTS[hts_4],,,)</f>
        <v>8421</v>
      </c>
      <c r="I9470" t="str" cm="1">
        <f t="array" ref="I9470">_xlfn.XLOOKUP(FACT_IMPORTS[[#This Row],[country_name]],DIM_COUNTRY[[#All],[Column2]],DIM_COUNTRY[[#All],[Column3]],,,)</f>
        <v>USMCA</v>
      </c>
    </row>
    <row r="9471" spans="1:9" x14ac:dyDescent="0.4">
      <c r="A9471" t="s">
        <v>64</v>
      </c>
      <c r="B9471" s="1">
        <v>45231</v>
      </c>
      <c r="C9471">
        <v>848210</v>
      </c>
      <c r="D9471" t="s">
        <v>176</v>
      </c>
      <c r="E9471">
        <v>0</v>
      </c>
      <c r="F9471">
        <v>0</v>
      </c>
      <c r="G9471">
        <v>0</v>
      </c>
      <c r="H9471">
        <f>_xlfn.XLOOKUP(FACT_IMPORTS[[#This Row],[hts_6]],DIM_PRODUCTS[hts_6],DIM_PRODUCTS[hts_4],,,)</f>
        <v>8482</v>
      </c>
      <c r="I9471" t="str" cm="1">
        <f t="array" ref="I9471">_xlfn.XLOOKUP(FACT_IMPORTS[[#This Row],[country_name]],DIM_COUNTRY[[#All],[Column2]],DIM_COUNTRY[[#All],[Column3]],,,)</f>
        <v>USMCA</v>
      </c>
    </row>
    <row r="9472" spans="1:9" x14ac:dyDescent="0.4">
      <c r="A9472" t="s">
        <v>64</v>
      </c>
      <c r="B9472" s="1">
        <v>45231</v>
      </c>
      <c r="C9472">
        <v>848220</v>
      </c>
      <c r="D9472" t="s">
        <v>176</v>
      </c>
      <c r="E9472">
        <v>0</v>
      </c>
      <c r="F9472">
        <v>0</v>
      </c>
      <c r="G9472">
        <v>0</v>
      </c>
      <c r="H9472">
        <f>_xlfn.XLOOKUP(FACT_IMPORTS[[#This Row],[hts_6]],DIM_PRODUCTS[hts_6],DIM_PRODUCTS[hts_4],,,)</f>
        <v>8482</v>
      </c>
      <c r="I9472" t="str" cm="1">
        <f t="array" ref="I9472">_xlfn.XLOOKUP(FACT_IMPORTS[[#This Row],[country_name]],DIM_COUNTRY[[#All],[Column2]],DIM_COUNTRY[[#All],[Column3]],,,)</f>
        <v>USMCA</v>
      </c>
    </row>
    <row r="9473" spans="1:9" x14ac:dyDescent="0.4">
      <c r="A9473" t="s">
        <v>64</v>
      </c>
      <c r="B9473" s="1">
        <v>45231</v>
      </c>
      <c r="C9473">
        <v>848310</v>
      </c>
      <c r="D9473" t="s">
        <v>176</v>
      </c>
      <c r="E9473">
        <v>0</v>
      </c>
      <c r="F9473">
        <v>0</v>
      </c>
      <c r="G9473">
        <v>0</v>
      </c>
      <c r="H9473">
        <f>_xlfn.XLOOKUP(FACT_IMPORTS[[#This Row],[hts_6]],DIM_PRODUCTS[hts_6],DIM_PRODUCTS[hts_4],,,)</f>
        <v>8483</v>
      </c>
      <c r="I9473" t="str" cm="1">
        <f t="array" ref="I9473">_xlfn.XLOOKUP(FACT_IMPORTS[[#This Row],[country_name]],DIM_COUNTRY[[#All],[Column2]],DIM_COUNTRY[[#All],[Column3]],,,)</f>
        <v>USMCA</v>
      </c>
    </row>
    <row r="9474" spans="1:9" x14ac:dyDescent="0.4">
      <c r="A9474" t="s">
        <v>64</v>
      </c>
      <c r="B9474" s="1">
        <v>45231</v>
      </c>
      <c r="C9474">
        <v>850131</v>
      </c>
      <c r="D9474" t="s">
        <v>176</v>
      </c>
      <c r="E9474">
        <v>12960</v>
      </c>
      <c r="F9474">
        <v>398</v>
      </c>
      <c r="G9474">
        <v>256</v>
      </c>
      <c r="H9474">
        <f>_xlfn.XLOOKUP(FACT_IMPORTS[[#This Row],[hts_6]],DIM_PRODUCTS[hts_6],DIM_PRODUCTS[hts_4],,,)</f>
        <v>8501</v>
      </c>
      <c r="I9474" t="str" cm="1">
        <f t="array" ref="I9474">_xlfn.XLOOKUP(FACT_IMPORTS[[#This Row],[country_name]],DIM_COUNTRY[[#All],[Column2]],DIM_COUNTRY[[#All],[Column3]],,,)</f>
        <v>USMCA</v>
      </c>
    </row>
    <row r="9475" spans="1:9" x14ac:dyDescent="0.4">
      <c r="A9475" t="s">
        <v>64</v>
      </c>
      <c r="B9475" s="1">
        <v>45231</v>
      </c>
      <c r="C9475">
        <v>850132</v>
      </c>
      <c r="D9475" t="s">
        <v>176</v>
      </c>
      <c r="E9475">
        <v>6017</v>
      </c>
      <c r="F9475">
        <v>5</v>
      </c>
      <c r="G9475">
        <v>125</v>
      </c>
      <c r="H9475">
        <f>_xlfn.XLOOKUP(FACT_IMPORTS[[#This Row],[hts_6]],DIM_PRODUCTS[hts_6],DIM_PRODUCTS[hts_4],,,)</f>
        <v>8501</v>
      </c>
      <c r="I9475" t="str" cm="1">
        <f t="array" ref="I9475">_xlfn.XLOOKUP(FACT_IMPORTS[[#This Row],[country_name]],DIM_COUNTRY[[#All],[Column2]],DIM_COUNTRY[[#All],[Column3]],,,)</f>
        <v>USMCA</v>
      </c>
    </row>
    <row r="9476" spans="1:9" x14ac:dyDescent="0.4">
      <c r="A9476" t="s">
        <v>64</v>
      </c>
      <c r="B9476" s="1">
        <v>45231</v>
      </c>
      <c r="C9476">
        <v>850133</v>
      </c>
      <c r="D9476" t="s">
        <v>176</v>
      </c>
      <c r="E9476">
        <v>0</v>
      </c>
      <c r="F9476">
        <v>0</v>
      </c>
      <c r="G9476">
        <v>0</v>
      </c>
      <c r="H9476">
        <f>_xlfn.XLOOKUP(FACT_IMPORTS[[#This Row],[hts_6]],DIM_PRODUCTS[hts_6],DIM_PRODUCTS[hts_4],,,)</f>
        <v>8501</v>
      </c>
      <c r="I9476" t="str" cm="1">
        <f t="array" ref="I9476">_xlfn.XLOOKUP(FACT_IMPORTS[[#This Row],[country_name]],DIM_COUNTRY[[#All],[Column2]],DIM_COUNTRY[[#All],[Column3]],,,)</f>
        <v>USMCA</v>
      </c>
    </row>
    <row r="9477" spans="1:9" x14ac:dyDescent="0.4">
      <c r="A9477" t="s">
        <v>64</v>
      </c>
      <c r="B9477" s="1">
        <v>45231</v>
      </c>
      <c r="C9477">
        <v>850134</v>
      </c>
      <c r="D9477" t="s">
        <v>176</v>
      </c>
      <c r="E9477">
        <v>0</v>
      </c>
      <c r="F9477">
        <v>0</v>
      </c>
      <c r="G9477">
        <v>0</v>
      </c>
      <c r="H9477">
        <f>_xlfn.XLOOKUP(FACT_IMPORTS[[#This Row],[hts_6]],DIM_PRODUCTS[hts_6],DIM_PRODUCTS[hts_4],,,)</f>
        <v>8501</v>
      </c>
      <c r="I9477" t="str" cm="1">
        <f t="array" ref="I9477">_xlfn.XLOOKUP(FACT_IMPORTS[[#This Row],[country_name]],DIM_COUNTRY[[#All],[Column2]],DIM_COUNTRY[[#All],[Column3]],,,)</f>
        <v>USMCA</v>
      </c>
    </row>
    <row r="9478" spans="1:9" x14ac:dyDescent="0.4">
      <c r="A9478" t="s">
        <v>64</v>
      </c>
      <c r="B9478" s="1">
        <v>45231</v>
      </c>
      <c r="C9478">
        <v>850152</v>
      </c>
      <c r="D9478" t="s">
        <v>176</v>
      </c>
      <c r="E9478">
        <v>82076</v>
      </c>
      <c r="F9478">
        <v>62</v>
      </c>
      <c r="G9478">
        <v>4547</v>
      </c>
      <c r="H9478">
        <f>_xlfn.XLOOKUP(FACT_IMPORTS[[#This Row],[hts_6]],DIM_PRODUCTS[hts_6],DIM_PRODUCTS[hts_4],,,)</f>
        <v>8501</v>
      </c>
      <c r="I9478" t="str" cm="1">
        <f t="array" ref="I9478">_xlfn.XLOOKUP(FACT_IMPORTS[[#This Row],[country_name]],DIM_COUNTRY[[#All],[Column2]],DIM_COUNTRY[[#All],[Column3]],,,)</f>
        <v>USMCA</v>
      </c>
    </row>
    <row r="9479" spans="1:9" x14ac:dyDescent="0.4">
      <c r="A9479" t="s">
        <v>64</v>
      </c>
      <c r="B9479" s="1">
        <v>45231</v>
      </c>
      <c r="C9479">
        <v>850153</v>
      </c>
      <c r="D9479" t="s">
        <v>176</v>
      </c>
      <c r="E9479">
        <v>7542</v>
      </c>
      <c r="F9479">
        <v>2</v>
      </c>
      <c r="G9479">
        <v>43</v>
      </c>
      <c r="H9479">
        <f>_xlfn.XLOOKUP(FACT_IMPORTS[[#This Row],[hts_6]],DIM_PRODUCTS[hts_6],DIM_PRODUCTS[hts_4],,,)</f>
        <v>8501</v>
      </c>
      <c r="I9479" t="str" cm="1">
        <f t="array" ref="I9479">_xlfn.XLOOKUP(FACT_IMPORTS[[#This Row],[country_name]],DIM_COUNTRY[[#All],[Column2]],DIM_COUNTRY[[#All],[Column3]],,,)</f>
        <v>USMCA</v>
      </c>
    </row>
    <row r="9480" spans="1:9" x14ac:dyDescent="0.4">
      <c r="A9480" t="s">
        <v>64</v>
      </c>
      <c r="B9480" s="1">
        <v>45231</v>
      </c>
      <c r="C9480">
        <v>850161</v>
      </c>
      <c r="D9480" t="s">
        <v>176</v>
      </c>
      <c r="E9480">
        <v>0</v>
      </c>
      <c r="F9480">
        <v>0</v>
      </c>
      <c r="G9480">
        <v>0</v>
      </c>
      <c r="H9480">
        <f>_xlfn.XLOOKUP(FACT_IMPORTS[[#This Row],[hts_6]],DIM_PRODUCTS[hts_6],DIM_PRODUCTS[hts_4],,,)</f>
        <v>8501</v>
      </c>
      <c r="I9480" t="str" cm="1">
        <f t="array" ref="I9480">_xlfn.XLOOKUP(FACT_IMPORTS[[#This Row],[country_name]],DIM_COUNTRY[[#All],[Column2]],DIM_COUNTRY[[#All],[Column3]],,,)</f>
        <v>USMCA</v>
      </c>
    </row>
    <row r="9481" spans="1:9" x14ac:dyDescent="0.4">
      <c r="A9481" t="s">
        <v>64</v>
      </c>
      <c r="B9481" s="1">
        <v>45231</v>
      </c>
      <c r="C9481">
        <v>850440</v>
      </c>
      <c r="D9481" t="s">
        <v>176</v>
      </c>
      <c r="E9481">
        <v>41607</v>
      </c>
      <c r="F9481">
        <v>78</v>
      </c>
      <c r="G9481">
        <v>711</v>
      </c>
      <c r="H9481">
        <f>_xlfn.XLOOKUP(FACT_IMPORTS[[#This Row],[hts_6]],DIM_PRODUCTS[hts_6],DIM_PRODUCTS[hts_4],,,)</f>
        <v>8504</v>
      </c>
      <c r="I9481" t="str" cm="1">
        <f t="array" ref="I9481">_xlfn.XLOOKUP(FACT_IMPORTS[[#This Row],[country_name]],DIM_COUNTRY[[#All],[Column2]],DIM_COUNTRY[[#All],[Column3]],,,)</f>
        <v>USMCA</v>
      </c>
    </row>
    <row r="9482" spans="1:9" x14ac:dyDescent="0.4">
      <c r="A9482" t="s">
        <v>64</v>
      </c>
      <c r="B9482" s="1">
        <v>45231</v>
      </c>
      <c r="C9482">
        <v>850710</v>
      </c>
      <c r="D9482" t="s">
        <v>176</v>
      </c>
      <c r="E9482">
        <v>0</v>
      </c>
      <c r="F9482">
        <v>0</v>
      </c>
      <c r="G9482">
        <v>0</v>
      </c>
      <c r="H9482">
        <f>_xlfn.XLOOKUP(FACT_IMPORTS[[#This Row],[hts_6]],DIM_PRODUCTS[hts_6],DIM_PRODUCTS[hts_4],,,)</f>
        <v>8507</v>
      </c>
      <c r="I9482" t="str" cm="1">
        <f t="array" ref="I9482">_xlfn.XLOOKUP(FACT_IMPORTS[[#This Row],[country_name]],DIM_COUNTRY[[#All],[Column2]],DIM_COUNTRY[[#All],[Column3]],,,)</f>
        <v>USMCA</v>
      </c>
    </row>
    <row r="9483" spans="1:9" x14ac:dyDescent="0.4">
      <c r="A9483" t="s">
        <v>64</v>
      </c>
      <c r="B9483" s="1">
        <v>45231</v>
      </c>
      <c r="C9483">
        <v>850760</v>
      </c>
      <c r="D9483" t="s">
        <v>176</v>
      </c>
      <c r="E9483">
        <v>0</v>
      </c>
      <c r="F9483">
        <v>0</v>
      </c>
      <c r="G9483">
        <v>0</v>
      </c>
      <c r="H9483">
        <f>_xlfn.XLOOKUP(FACT_IMPORTS[[#This Row],[hts_6]],DIM_PRODUCTS[hts_6],DIM_PRODUCTS[hts_4],,,)</f>
        <v>8507</v>
      </c>
      <c r="I9483" t="str" cm="1">
        <f t="array" ref="I9483">_xlfn.XLOOKUP(FACT_IMPORTS[[#This Row],[country_name]],DIM_COUNTRY[[#All],[Column2]],DIM_COUNTRY[[#All],[Column3]],,,)</f>
        <v>USMCA</v>
      </c>
    </row>
    <row r="9484" spans="1:9" x14ac:dyDescent="0.4">
      <c r="A9484" t="s">
        <v>64</v>
      </c>
      <c r="B9484" s="1">
        <v>45231</v>
      </c>
      <c r="C9484">
        <v>850790</v>
      </c>
      <c r="D9484" t="s">
        <v>176</v>
      </c>
      <c r="E9484">
        <v>15000</v>
      </c>
      <c r="F9484">
        <v>3674</v>
      </c>
      <c r="G9484">
        <v>75</v>
      </c>
      <c r="H9484">
        <f>_xlfn.XLOOKUP(FACT_IMPORTS[[#This Row],[hts_6]],DIM_PRODUCTS[hts_6],DIM_PRODUCTS[hts_4],,,)</f>
        <v>8507</v>
      </c>
      <c r="I9484" t="str" cm="1">
        <f t="array" ref="I9484">_xlfn.XLOOKUP(FACT_IMPORTS[[#This Row],[country_name]],DIM_COUNTRY[[#All],[Column2]],DIM_COUNTRY[[#All],[Column3]],,,)</f>
        <v>USMCA</v>
      </c>
    </row>
    <row r="9485" spans="1:9" x14ac:dyDescent="0.4">
      <c r="A9485" t="s">
        <v>64</v>
      </c>
      <c r="B9485" s="1">
        <v>45231</v>
      </c>
      <c r="C9485">
        <v>851110</v>
      </c>
      <c r="D9485" t="s">
        <v>176</v>
      </c>
      <c r="E9485">
        <v>6509</v>
      </c>
      <c r="F9485">
        <v>19</v>
      </c>
      <c r="G9485">
        <v>8</v>
      </c>
      <c r="H9485">
        <f>_xlfn.XLOOKUP(FACT_IMPORTS[[#This Row],[hts_6]],DIM_PRODUCTS[hts_6],DIM_PRODUCTS[hts_4],,,)</f>
        <v>8511</v>
      </c>
      <c r="I9485" t="str" cm="1">
        <f t="array" ref="I9485">_xlfn.XLOOKUP(FACT_IMPORTS[[#This Row],[country_name]],DIM_COUNTRY[[#All],[Column2]],DIM_COUNTRY[[#All],[Column3]],,,)</f>
        <v>USMCA</v>
      </c>
    </row>
    <row r="9486" spans="1:9" x14ac:dyDescent="0.4">
      <c r="A9486" t="s">
        <v>64</v>
      </c>
      <c r="B9486" s="1">
        <v>45231</v>
      </c>
      <c r="C9486">
        <v>851130</v>
      </c>
      <c r="D9486" t="s">
        <v>176</v>
      </c>
      <c r="E9486">
        <v>0</v>
      </c>
      <c r="F9486">
        <v>0</v>
      </c>
      <c r="G9486">
        <v>0</v>
      </c>
      <c r="H9486">
        <f>_xlfn.XLOOKUP(FACT_IMPORTS[[#This Row],[hts_6]],DIM_PRODUCTS[hts_6],DIM_PRODUCTS[hts_4],,,)</f>
        <v>8511</v>
      </c>
      <c r="I9486" t="str" cm="1">
        <f t="array" ref="I9486">_xlfn.XLOOKUP(FACT_IMPORTS[[#This Row],[country_name]],DIM_COUNTRY[[#All],[Column2]],DIM_COUNTRY[[#All],[Column3]],,,)</f>
        <v>USMCA</v>
      </c>
    </row>
    <row r="9487" spans="1:9" x14ac:dyDescent="0.4">
      <c r="A9487" t="s">
        <v>64</v>
      </c>
      <c r="B9487" s="1">
        <v>45231</v>
      </c>
      <c r="C9487">
        <v>851140</v>
      </c>
      <c r="D9487" t="s">
        <v>176</v>
      </c>
      <c r="E9487">
        <v>22031</v>
      </c>
      <c r="F9487">
        <v>75</v>
      </c>
      <c r="G9487">
        <v>37</v>
      </c>
      <c r="H9487">
        <f>_xlfn.XLOOKUP(FACT_IMPORTS[[#This Row],[hts_6]],DIM_PRODUCTS[hts_6],DIM_PRODUCTS[hts_4],,,)</f>
        <v>8511</v>
      </c>
      <c r="I9487" t="str" cm="1">
        <f t="array" ref="I9487">_xlfn.XLOOKUP(FACT_IMPORTS[[#This Row],[country_name]],DIM_COUNTRY[[#All],[Column2]],DIM_COUNTRY[[#All],[Column3]],,,)</f>
        <v>USMCA</v>
      </c>
    </row>
    <row r="9488" spans="1:9" x14ac:dyDescent="0.4">
      <c r="A9488" t="s">
        <v>64</v>
      </c>
      <c r="B9488" s="1">
        <v>45231</v>
      </c>
      <c r="C9488">
        <v>851150</v>
      </c>
      <c r="D9488" t="s">
        <v>176</v>
      </c>
      <c r="E9488">
        <v>14295</v>
      </c>
      <c r="F9488">
        <v>67</v>
      </c>
      <c r="G9488">
        <v>63</v>
      </c>
      <c r="H9488">
        <f>_xlfn.XLOOKUP(FACT_IMPORTS[[#This Row],[hts_6]],DIM_PRODUCTS[hts_6],DIM_PRODUCTS[hts_4],,,)</f>
        <v>8511</v>
      </c>
      <c r="I9488" t="str" cm="1">
        <f t="array" ref="I9488">_xlfn.XLOOKUP(FACT_IMPORTS[[#This Row],[country_name]],DIM_COUNTRY[[#All],[Column2]],DIM_COUNTRY[[#All],[Column3]],,,)</f>
        <v>USMCA</v>
      </c>
    </row>
    <row r="9489" spans="1:9" x14ac:dyDescent="0.4">
      <c r="A9489" t="s">
        <v>64</v>
      </c>
      <c r="B9489" s="1">
        <v>45231</v>
      </c>
      <c r="C9489">
        <v>851180</v>
      </c>
      <c r="D9489" t="s">
        <v>176</v>
      </c>
      <c r="E9489">
        <v>17681</v>
      </c>
      <c r="F9489">
        <v>937</v>
      </c>
      <c r="G9489">
        <v>12</v>
      </c>
      <c r="H9489">
        <f>_xlfn.XLOOKUP(FACT_IMPORTS[[#This Row],[hts_6]],DIM_PRODUCTS[hts_6],DIM_PRODUCTS[hts_4],,,)</f>
        <v>8511</v>
      </c>
      <c r="I9489" t="str" cm="1">
        <f t="array" ref="I9489">_xlfn.XLOOKUP(FACT_IMPORTS[[#This Row],[country_name]],DIM_COUNTRY[[#All],[Column2]],DIM_COUNTRY[[#All],[Column3]],,,)</f>
        <v>USMCA</v>
      </c>
    </row>
    <row r="9490" spans="1:9" x14ac:dyDescent="0.4">
      <c r="A9490" t="s">
        <v>64</v>
      </c>
      <c r="B9490" s="1">
        <v>45231</v>
      </c>
      <c r="C9490">
        <v>851190</v>
      </c>
      <c r="D9490" t="s">
        <v>176</v>
      </c>
      <c r="E9490">
        <v>8924</v>
      </c>
      <c r="F9490">
        <v>146</v>
      </c>
      <c r="G9490">
        <v>75</v>
      </c>
      <c r="H9490">
        <f>_xlfn.XLOOKUP(FACT_IMPORTS[[#This Row],[hts_6]],DIM_PRODUCTS[hts_6],DIM_PRODUCTS[hts_4],,,)</f>
        <v>8511</v>
      </c>
      <c r="I9490" t="str" cm="1">
        <f t="array" ref="I9490">_xlfn.XLOOKUP(FACT_IMPORTS[[#This Row],[country_name]],DIM_COUNTRY[[#All],[Column2]],DIM_COUNTRY[[#All],[Column3]],,,)</f>
        <v>USMCA</v>
      </c>
    </row>
    <row r="9491" spans="1:9" x14ac:dyDescent="0.4">
      <c r="A9491" t="s">
        <v>64</v>
      </c>
      <c r="B9491" s="1">
        <v>45231</v>
      </c>
      <c r="C9491">
        <v>851220</v>
      </c>
      <c r="D9491" t="s">
        <v>176</v>
      </c>
      <c r="E9491">
        <v>13812</v>
      </c>
      <c r="F9491">
        <v>105</v>
      </c>
      <c r="G9491">
        <v>53</v>
      </c>
      <c r="H9491">
        <f>_xlfn.XLOOKUP(FACT_IMPORTS[[#This Row],[hts_6]],DIM_PRODUCTS[hts_6],DIM_PRODUCTS[hts_4],,,)</f>
        <v>8512</v>
      </c>
      <c r="I9491" t="str" cm="1">
        <f t="array" ref="I9491">_xlfn.XLOOKUP(FACT_IMPORTS[[#This Row],[country_name]],DIM_COUNTRY[[#All],[Column2]],DIM_COUNTRY[[#All],[Column3]],,,)</f>
        <v>USMCA</v>
      </c>
    </row>
    <row r="9492" spans="1:9" x14ac:dyDescent="0.4">
      <c r="A9492" t="s">
        <v>64</v>
      </c>
      <c r="B9492" s="1">
        <v>45231</v>
      </c>
      <c r="C9492">
        <v>851230</v>
      </c>
      <c r="D9492" t="s">
        <v>176</v>
      </c>
      <c r="E9492">
        <v>0</v>
      </c>
      <c r="F9492">
        <v>0</v>
      </c>
      <c r="G9492">
        <v>0</v>
      </c>
      <c r="H9492">
        <f>_xlfn.XLOOKUP(FACT_IMPORTS[[#This Row],[hts_6]],DIM_PRODUCTS[hts_6],DIM_PRODUCTS[hts_4],,,)</f>
        <v>8512</v>
      </c>
      <c r="I9492" t="str" cm="1">
        <f t="array" ref="I9492">_xlfn.XLOOKUP(FACT_IMPORTS[[#This Row],[country_name]],DIM_COUNTRY[[#All],[Column2]],DIM_COUNTRY[[#All],[Column3]],,,)</f>
        <v>USMCA</v>
      </c>
    </row>
    <row r="9493" spans="1:9" x14ac:dyDescent="0.4">
      <c r="A9493" t="s">
        <v>64</v>
      </c>
      <c r="B9493" s="1">
        <v>45231</v>
      </c>
      <c r="C9493">
        <v>851240</v>
      </c>
      <c r="D9493" t="s">
        <v>176</v>
      </c>
      <c r="E9493">
        <v>0</v>
      </c>
      <c r="F9493">
        <v>0</v>
      </c>
      <c r="G9493">
        <v>0</v>
      </c>
      <c r="H9493">
        <f>_xlfn.XLOOKUP(FACT_IMPORTS[[#This Row],[hts_6]],DIM_PRODUCTS[hts_6],DIM_PRODUCTS[hts_4],,,)</f>
        <v>8512</v>
      </c>
      <c r="I9493" t="str" cm="1">
        <f t="array" ref="I9493">_xlfn.XLOOKUP(FACT_IMPORTS[[#This Row],[country_name]],DIM_COUNTRY[[#All],[Column2]],DIM_COUNTRY[[#All],[Column3]],,,)</f>
        <v>USMCA</v>
      </c>
    </row>
    <row r="9494" spans="1:9" x14ac:dyDescent="0.4">
      <c r="A9494" t="s">
        <v>64</v>
      </c>
      <c r="B9494" s="1">
        <v>45231</v>
      </c>
      <c r="C9494">
        <v>851290</v>
      </c>
      <c r="D9494" t="s">
        <v>176</v>
      </c>
      <c r="E9494">
        <v>0</v>
      </c>
      <c r="F9494">
        <v>0</v>
      </c>
      <c r="G9494">
        <v>0</v>
      </c>
      <c r="H9494">
        <f>_xlfn.XLOOKUP(FACT_IMPORTS[[#This Row],[hts_6]],DIM_PRODUCTS[hts_6],DIM_PRODUCTS[hts_4],,,)</f>
        <v>8512</v>
      </c>
      <c r="I9494" t="str" cm="1">
        <f t="array" ref="I9494">_xlfn.XLOOKUP(FACT_IMPORTS[[#This Row],[country_name]],DIM_COUNTRY[[#All],[Column2]],DIM_COUNTRY[[#All],[Column3]],,,)</f>
        <v>USMCA</v>
      </c>
    </row>
    <row r="9495" spans="1:9" x14ac:dyDescent="0.4">
      <c r="A9495" t="s">
        <v>64</v>
      </c>
      <c r="B9495" s="1">
        <v>45231</v>
      </c>
      <c r="C9495">
        <v>854231</v>
      </c>
      <c r="D9495" t="s">
        <v>176</v>
      </c>
      <c r="E9495">
        <v>0</v>
      </c>
      <c r="F9495">
        <v>0</v>
      </c>
      <c r="G9495">
        <v>0</v>
      </c>
      <c r="H9495">
        <f>_xlfn.XLOOKUP(FACT_IMPORTS[[#This Row],[hts_6]],DIM_PRODUCTS[hts_6],DIM_PRODUCTS[hts_4],,,)</f>
        <v>8542</v>
      </c>
      <c r="I9495" t="str" cm="1">
        <f t="array" ref="I9495">_xlfn.XLOOKUP(FACT_IMPORTS[[#This Row],[country_name]],DIM_COUNTRY[[#All],[Column2]],DIM_COUNTRY[[#All],[Column3]],,,)</f>
        <v>USMCA</v>
      </c>
    </row>
    <row r="9496" spans="1:9" x14ac:dyDescent="0.4">
      <c r="A9496" t="s">
        <v>64</v>
      </c>
      <c r="B9496" s="1">
        <v>45231</v>
      </c>
      <c r="C9496">
        <v>854232</v>
      </c>
      <c r="D9496" t="s">
        <v>176</v>
      </c>
      <c r="E9496">
        <v>0</v>
      </c>
      <c r="F9496">
        <v>0</v>
      </c>
      <c r="G9496">
        <v>0</v>
      </c>
      <c r="H9496">
        <f>_xlfn.XLOOKUP(FACT_IMPORTS[[#This Row],[hts_6]],DIM_PRODUCTS[hts_6],DIM_PRODUCTS[hts_4],,,)</f>
        <v>8542</v>
      </c>
      <c r="I9496" t="str" cm="1">
        <f t="array" ref="I9496">_xlfn.XLOOKUP(FACT_IMPORTS[[#This Row],[country_name]],DIM_COUNTRY[[#All],[Column2]],DIM_COUNTRY[[#All],[Column3]],,,)</f>
        <v>USMCA</v>
      </c>
    </row>
    <row r="9497" spans="1:9" x14ac:dyDescent="0.4">
      <c r="A9497" t="s">
        <v>64</v>
      </c>
      <c r="B9497" s="1">
        <v>45231</v>
      </c>
      <c r="C9497">
        <v>854290</v>
      </c>
      <c r="D9497" t="s">
        <v>176</v>
      </c>
      <c r="E9497">
        <v>0</v>
      </c>
      <c r="F9497">
        <v>0</v>
      </c>
      <c r="G9497">
        <v>0</v>
      </c>
      <c r="H9497">
        <f>_xlfn.XLOOKUP(FACT_IMPORTS[[#This Row],[hts_6]],DIM_PRODUCTS[hts_6],DIM_PRODUCTS[hts_4],,,)</f>
        <v>8542</v>
      </c>
      <c r="I9497" t="str" cm="1">
        <f t="array" ref="I9497">_xlfn.XLOOKUP(FACT_IMPORTS[[#This Row],[country_name]],DIM_COUNTRY[[#All],[Column2]],DIM_COUNTRY[[#All],[Column3]],,,)</f>
        <v>USMCA</v>
      </c>
    </row>
    <row r="9498" spans="1:9" x14ac:dyDescent="0.4">
      <c r="A9498" t="s">
        <v>64</v>
      </c>
      <c r="B9498" s="1">
        <v>45231</v>
      </c>
      <c r="C9498">
        <v>854430</v>
      </c>
      <c r="D9498" t="s">
        <v>176</v>
      </c>
      <c r="E9498">
        <v>1044916</v>
      </c>
      <c r="F9498">
        <v>81354</v>
      </c>
      <c r="G9498">
        <v>7537</v>
      </c>
      <c r="H9498">
        <f>_xlfn.XLOOKUP(FACT_IMPORTS[[#This Row],[hts_6]],DIM_PRODUCTS[hts_6],DIM_PRODUCTS[hts_4],,,)</f>
        <v>8544</v>
      </c>
      <c r="I9498" t="str" cm="1">
        <f t="array" ref="I9498">_xlfn.XLOOKUP(FACT_IMPORTS[[#This Row],[country_name]],DIM_COUNTRY[[#All],[Column2]],DIM_COUNTRY[[#All],[Column3]],,,)</f>
        <v>USMCA</v>
      </c>
    </row>
    <row r="9499" spans="1:9" x14ac:dyDescent="0.4">
      <c r="A9499" t="s">
        <v>64</v>
      </c>
      <c r="B9499" s="1">
        <v>45231</v>
      </c>
      <c r="C9499">
        <v>870810</v>
      </c>
      <c r="D9499" t="s">
        <v>176</v>
      </c>
      <c r="E9499">
        <v>5620</v>
      </c>
      <c r="F9499">
        <v>42</v>
      </c>
      <c r="G9499">
        <v>162</v>
      </c>
      <c r="H9499">
        <f>_xlfn.XLOOKUP(FACT_IMPORTS[[#This Row],[hts_6]],DIM_PRODUCTS[hts_6],DIM_PRODUCTS[hts_4],,,)</f>
        <v>8708</v>
      </c>
      <c r="I9499" t="str" cm="1">
        <f t="array" ref="I9499">_xlfn.XLOOKUP(FACT_IMPORTS[[#This Row],[country_name]],DIM_COUNTRY[[#All],[Column2]],DIM_COUNTRY[[#All],[Column3]],,,)</f>
        <v>USMCA</v>
      </c>
    </row>
    <row r="9500" spans="1:9" x14ac:dyDescent="0.4">
      <c r="A9500" t="s">
        <v>64</v>
      </c>
      <c r="B9500" s="1">
        <v>45231</v>
      </c>
      <c r="C9500">
        <v>870821</v>
      </c>
      <c r="D9500" t="s">
        <v>176</v>
      </c>
      <c r="E9500">
        <v>0</v>
      </c>
      <c r="F9500">
        <v>0</v>
      </c>
      <c r="G9500">
        <v>0</v>
      </c>
      <c r="H9500">
        <f>_xlfn.XLOOKUP(FACT_IMPORTS[[#This Row],[hts_6]],DIM_PRODUCTS[hts_6],DIM_PRODUCTS[hts_4],,,)</f>
        <v>8708</v>
      </c>
      <c r="I9500" t="str" cm="1">
        <f t="array" ref="I9500">_xlfn.XLOOKUP(FACT_IMPORTS[[#This Row],[country_name]],DIM_COUNTRY[[#All],[Column2]],DIM_COUNTRY[[#All],[Column3]],,,)</f>
        <v>USMCA</v>
      </c>
    </row>
    <row r="9501" spans="1:9" x14ac:dyDescent="0.4">
      <c r="A9501" t="s">
        <v>64</v>
      </c>
      <c r="B9501" s="1">
        <v>45231</v>
      </c>
      <c r="C9501">
        <v>870822</v>
      </c>
      <c r="D9501" t="s">
        <v>176</v>
      </c>
      <c r="E9501">
        <v>0</v>
      </c>
      <c r="F9501">
        <v>0</v>
      </c>
      <c r="G9501">
        <v>0</v>
      </c>
      <c r="H9501">
        <f>_xlfn.XLOOKUP(FACT_IMPORTS[[#This Row],[hts_6]],DIM_PRODUCTS[hts_6],DIM_PRODUCTS[hts_4],,,)</f>
        <v>8708</v>
      </c>
      <c r="I9501" t="str" cm="1">
        <f t="array" ref="I9501">_xlfn.XLOOKUP(FACT_IMPORTS[[#This Row],[country_name]],DIM_COUNTRY[[#All],[Column2]],DIM_COUNTRY[[#All],[Column3]],,,)</f>
        <v>USMCA</v>
      </c>
    </row>
    <row r="9502" spans="1:9" x14ac:dyDescent="0.4">
      <c r="A9502" t="s">
        <v>64</v>
      </c>
      <c r="B9502" s="1">
        <v>45231</v>
      </c>
      <c r="C9502">
        <v>870829</v>
      </c>
      <c r="D9502" t="s">
        <v>176</v>
      </c>
      <c r="E9502">
        <v>904742</v>
      </c>
      <c r="F9502">
        <v>12257</v>
      </c>
      <c r="G9502">
        <v>13963</v>
      </c>
      <c r="H9502">
        <f>_xlfn.XLOOKUP(FACT_IMPORTS[[#This Row],[hts_6]],DIM_PRODUCTS[hts_6],DIM_PRODUCTS[hts_4],,,)</f>
        <v>8708</v>
      </c>
      <c r="I9502" t="str" cm="1">
        <f t="array" ref="I9502">_xlfn.XLOOKUP(FACT_IMPORTS[[#This Row],[country_name]],DIM_COUNTRY[[#All],[Column2]],DIM_COUNTRY[[#All],[Column3]],,,)</f>
        <v>USMCA</v>
      </c>
    </row>
    <row r="9503" spans="1:9" x14ac:dyDescent="0.4">
      <c r="A9503" t="s">
        <v>64</v>
      </c>
      <c r="B9503" s="1">
        <v>45231</v>
      </c>
      <c r="C9503">
        <v>870830</v>
      </c>
      <c r="D9503" t="s">
        <v>176</v>
      </c>
      <c r="E9503">
        <v>187886</v>
      </c>
      <c r="F9503">
        <v>4403</v>
      </c>
      <c r="G9503">
        <v>1972</v>
      </c>
      <c r="H9503">
        <f>_xlfn.XLOOKUP(FACT_IMPORTS[[#This Row],[hts_6]],DIM_PRODUCTS[hts_6],DIM_PRODUCTS[hts_4],,,)</f>
        <v>8708</v>
      </c>
      <c r="I9503" t="str" cm="1">
        <f t="array" ref="I9503">_xlfn.XLOOKUP(FACT_IMPORTS[[#This Row],[country_name]],DIM_COUNTRY[[#All],[Column2]],DIM_COUNTRY[[#All],[Column3]],,,)</f>
        <v>USMCA</v>
      </c>
    </row>
    <row r="9504" spans="1:9" x14ac:dyDescent="0.4">
      <c r="A9504" t="s">
        <v>64</v>
      </c>
      <c r="B9504" s="1">
        <v>45231</v>
      </c>
      <c r="C9504">
        <v>870840</v>
      </c>
      <c r="D9504" t="s">
        <v>176</v>
      </c>
      <c r="E9504">
        <v>98135</v>
      </c>
      <c r="F9504">
        <v>695</v>
      </c>
      <c r="G9504">
        <v>736</v>
      </c>
      <c r="H9504">
        <f>_xlfn.XLOOKUP(FACT_IMPORTS[[#This Row],[hts_6]],DIM_PRODUCTS[hts_6],DIM_PRODUCTS[hts_4],,,)</f>
        <v>8708</v>
      </c>
      <c r="I9504" t="str" cm="1">
        <f t="array" ref="I9504">_xlfn.XLOOKUP(FACT_IMPORTS[[#This Row],[country_name]],DIM_COUNTRY[[#All],[Column2]],DIM_COUNTRY[[#All],[Column3]],,,)</f>
        <v>USMCA</v>
      </c>
    </row>
    <row r="9505" spans="1:9" x14ac:dyDescent="0.4">
      <c r="A9505" t="s">
        <v>64</v>
      </c>
      <c r="B9505" s="1">
        <v>45231</v>
      </c>
      <c r="C9505">
        <v>870850</v>
      </c>
      <c r="D9505" t="s">
        <v>176</v>
      </c>
      <c r="E9505">
        <v>32286</v>
      </c>
      <c r="F9505">
        <v>73</v>
      </c>
      <c r="G9505">
        <v>63</v>
      </c>
      <c r="H9505">
        <f>_xlfn.XLOOKUP(FACT_IMPORTS[[#This Row],[hts_6]],DIM_PRODUCTS[hts_6],DIM_PRODUCTS[hts_4],,,)</f>
        <v>8708</v>
      </c>
      <c r="I9505" t="str" cm="1">
        <f t="array" ref="I9505">_xlfn.XLOOKUP(FACT_IMPORTS[[#This Row],[country_name]],DIM_COUNTRY[[#All],[Column2]],DIM_COUNTRY[[#All],[Column3]],,,)</f>
        <v>USMCA</v>
      </c>
    </row>
    <row r="9506" spans="1:9" x14ac:dyDescent="0.4">
      <c r="A9506" t="s">
        <v>64</v>
      </c>
      <c r="B9506" s="1">
        <v>45231</v>
      </c>
      <c r="C9506">
        <v>870870</v>
      </c>
      <c r="D9506" t="s">
        <v>176</v>
      </c>
      <c r="E9506">
        <v>49364</v>
      </c>
      <c r="F9506">
        <v>962</v>
      </c>
      <c r="G9506">
        <v>1011</v>
      </c>
      <c r="H9506">
        <f>_xlfn.XLOOKUP(FACT_IMPORTS[[#This Row],[hts_6]],DIM_PRODUCTS[hts_6],DIM_PRODUCTS[hts_4],,,)</f>
        <v>8708</v>
      </c>
      <c r="I9506" t="str" cm="1">
        <f t="array" ref="I9506">_xlfn.XLOOKUP(FACT_IMPORTS[[#This Row],[country_name]],DIM_COUNTRY[[#All],[Column2]],DIM_COUNTRY[[#All],[Column3]],,,)</f>
        <v>USMCA</v>
      </c>
    </row>
    <row r="9507" spans="1:9" x14ac:dyDescent="0.4">
      <c r="A9507" t="s">
        <v>64</v>
      </c>
      <c r="B9507" s="1">
        <v>45231</v>
      </c>
      <c r="C9507">
        <v>870880</v>
      </c>
      <c r="D9507" t="s">
        <v>176</v>
      </c>
      <c r="E9507">
        <v>41236</v>
      </c>
      <c r="F9507">
        <v>2247</v>
      </c>
      <c r="G9507">
        <v>556</v>
      </c>
      <c r="H9507">
        <f>_xlfn.XLOOKUP(FACT_IMPORTS[[#This Row],[hts_6]],DIM_PRODUCTS[hts_6],DIM_PRODUCTS[hts_4],,,)</f>
        <v>8708</v>
      </c>
      <c r="I9507" t="str" cm="1">
        <f t="array" ref="I9507">_xlfn.XLOOKUP(FACT_IMPORTS[[#This Row],[country_name]],DIM_COUNTRY[[#All],[Column2]],DIM_COUNTRY[[#All],[Column3]],,,)</f>
        <v>USMCA</v>
      </c>
    </row>
    <row r="9508" spans="1:9" x14ac:dyDescent="0.4">
      <c r="A9508" t="s">
        <v>64</v>
      </c>
      <c r="B9508" s="1">
        <v>45231</v>
      </c>
      <c r="C9508">
        <v>870891</v>
      </c>
      <c r="D9508" t="s">
        <v>176</v>
      </c>
      <c r="E9508">
        <v>59249</v>
      </c>
      <c r="F9508">
        <v>68</v>
      </c>
      <c r="G9508">
        <v>803</v>
      </c>
      <c r="H9508">
        <f>_xlfn.XLOOKUP(FACT_IMPORTS[[#This Row],[hts_6]],DIM_PRODUCTS[hts_6],DIM_PRODUCTS[hts_4],,,)</f>
        <v>8708</v>
      </c>
      <c r="I9508" t="str" cm="1">
        <f t="array" ref="I9508">_xlfn.XLOOKUP(FACT_IMPORTS[[#This Row],[country_name]],DIM_COUNTRY[[#All],[Column2]],DIM_COUNTRY[[#All],[Column3]],,,)</f>
        <v>USMCA</v>
      </c>
    </row>
    <row r="9509" spans="1:9" x14ac:dyDescent="0.4">
      <c r="A9509" t="s">
        <v>64</v>
      </c>
      <c r="B9509" s="1">
        <v>45231</v>
      </c>
      <c r="C9509">
        <v>870892</v>
      </c>
      <c r="D9509" t="s">
        <v>176</v>
      </c>
      <c r="E9509">
        <v>5777</v>
      </c>
      <c r="F9509">
        <v>121</v>
      </c>
      <c r="G9509">
        <v>28</v>
      </c>
      <c r="H9509">
        <f>_xlfn.XLOOKUP(FACT_IMPORTS[[#This Row],[hts_6]],DIM_PRODUCTS[hts_6],DIM_PRODUCTS[hts_4],,,)</f>
        <v>8708</v>
      </c>
      <c r="I9509" t="str" cm="1">
        <f t="array" ref="I9509">_xlfn.XLOOKUP(FACT_IMPORTS[[#This Row],[country_name]],DIM_COUNTRY[[#All],[Column2]],DIM_COUNTRY[[#All],[Column3]],,,)</f>
        <v>USMCA</v>
      </c>
    </row>
    <row r="9510" spans="1:9" x14ac:dyDescent="0.4">
      <c r="A9510" t="s">
        <v>64</v>
      </c>
      <c r="B9510" s="1">
        <v>45231</v>
      </c>
      <c r="C9510">
        <v>870893</v>
      </c>
      <c r="D9510" t="s">
        <v>176</v>
      </c>
      <c r="E9510">
        <v>46580</v>
      </c>
      <c r="F9510">
        <v>4203</v>
      </c>
      <c r="G9510">
        <v>1893</v>
      </c>
      <c r="H9510">
        <f>_xlfn.XLOOKUP(FACT_IMPORTS[[#This Row],[hts_6]],DIM_PRODUCTS[hts_6],DIM_PRODUCTS[hts_4],,,)</f>
        <v>8708</v>
      </c>
      <c r="I9510" t="str" cm="1">
        <f t="array" ref="I9510">_xlfn.XLOOKUP(FACT_IMPORTS[[#This Row],[country_name]],DIM_COUNTRY[[#All],[Column2]],DIM_COUNTRY[[#All],[Column3]],,,)</f>
        <v>USMCA</v>
      </c>
    </row>
    <row r="9511" spans="1:9" x14ac:dyDescent="0.4">
      <c r="A9511" t="s">
        <v>64</v>
      </c>
      <c r="B9511" s="1">
        <v>45231</v>
      </c>
      <c r="C9511">
        <v>870894</v>
      </c>
      <c r="D9511" t="s">
        <v>176</v>
      </c>
      <c r="E9511">
        <v>54068</v>
      </c>
      <c r="F9511">
        <v>624</v>
      </c>
      <c r="G9511">
        <v>693</v>
      </c>
      <c r="H9511">
        <f>_xlfn.XLOOKUP(FACT_IMPORTS[[#This Row],[hts_6]],DIM_PRODUCTS[hts_6],DIM_PRODUCTS[hts_4],,,)</f>
        <v>8708</v>
      </c>
      <c r="I9511" t="str" cm="1">
        <f t="array" ref="I9511">_xlfn.XLOOKUP(FACT_IMPORTS[[#This Row],[country_name]],DIM_COUNTRY[[#All],[Column2]],DIM_COUNTRY[[#All],[Column3]],,,)</f>
        <v>USMCA</v>
      </c>
    </row>
    <row r="9512" spans="1:9" x14ac:dyDescent="0.4">
      <c r="A9512" t="s">
        <v>64</v>
      </c>
      <c r="B9512" s="1">
        <v>45231</v>
      </c>
      <c r="C9512">
        <v>870895</v>
      </c>
      <c r="D9512" t="s">
        <v>176</v>
      </c>
      <c r="E9512">
        <v>32720</v>
      </c>
      <c r="F9512">
        <v>3353</v>
      </c>
      <c r="G9512">
        <v>2004</v>
      </c>
      <c r="H9512">
        <f>_xlfn.XLOOKUP(FACT_IMPORTS[[#This Row],[hts_6]],DIM_PRODUCTS[hts_6],DIM_PRODUCTS[hts_4],,,)</f>
        <v>8708</v>
      </c>
      <c r="I9512" t="str" cm="1">
        <f t="array" ref="I9512">_xlfn.XLOOKUP(FACT_IMPORTS[[#This Row],[country_name]],DIM_COUNTRY[[#All],[Column2]],DIM_COUNTRY[[#All],[Column3]],,,)</f>
        <v>USMCA</v>
      </c>
    </row>
    <row r="9513" spans="1:9" x14ac:dyDescent="0.4">
      <c r="A9513" t="s">
        <v>64</v>
      </c>
      <c r="B9513" s="1">
        <v>45231</v>
      </c>
      <c r="C9513">
        <v>870899</v>
      </c>
      <c r="D9513" t="s">
        <v>176</v>
      </c>
      <c r="E9513">
        <v>200577</v>
      </c>
      <c r="F9513">
        <v>26550</v>
      </c>
      <c r="G9513">
        <v>1740</v>
      </c>
      <c r="H9513">
        <f>_xlfn.XLOOKUP(FACT_IMPORTS[[#This Row],[hts_6]],DIM_PRODUCTS[hts_6],DIM_PRODUCTS[hts_4],,,)</f>
        <v>8708</v>
      </c>
      <c r="I9513" t="str" cm="1">
        <f t="array" ref="I9513">_xlfn.XLOOKUP(FACT_IMPORTS[[#This Row],[country_name]],DIM_COUNTRY[[#All],[Column2]],DIM_COUNTRY[[#All],[Column3]],,,)</f>
        <v>USMCA</v>
      </c>
    </row>
    <row r="9514" spans="1:9" x14ac:dyDescent="0.4">
      <c r="A9514" t="s">
        <v>64</v>
      </c>
      <c r="B9514" s="1">
        <v>45231</v>
      </c>
      <c r="C9514">
        <v>940120</v>
      </c>
      <c r="D9514" t="s">
        <v>176</v>
      </c>
      <c r="E9514">
        <v>10488</v>
      </c>
      <c r="F9514">
        <v>53</v>
      </c>
      <c r="G9514">
        <v>33</v>
      </c>
      <c r="H9514">
        <f>_xlfn.XLOOKUP(FACT_IMPORTS[[#This Row],[hts_6]],DIM_PRODUCTS[hts_6],DIM_PRODUCTS[hts_4],,,)</f>
        <v>9401</v>
      </c>
      <c r="I9514" t="str" cm="1">
        <f t="array" ref="I9514">_xlfn.XLOOKUP(FACT_IMPORTS[[#This Row],[country_name]],DIM_COUNTRY[[#All],[Column2]],DIM_COUNTRY[[#All],[Column3]],,,)</f>
        <v>USMCA</v>
      </c>
    </row>
    <row r="9515" spans="1:9" x14ac:dyDescent="0.4">
      <c r="A9515" t="s">
        <v>64</v>
      </c>
      <c r="B9515" s="1">
        <v>45261</v>
      </c>
      <c r="C9515">
        <v>392630</v>
      </c>
      <c r="D9515" t="s">
        <v>176</v>
      </c>
      <c r="E9515">
        <v>1549</v>
      </c>
      <c r="F9515">
        <v>14</v>
      </c>
      <c r="G9515">
        <v>31</v>
      </c>
      <c r="H9515">
        <f>_xlfn.XLOOKUP(FACT_IMPORTS[[#This Row],[hts_6]],DIM_PRODUCTS[hts_6],DIM_PRODUCTS[hts_4],,,)</f>
        <v>3926</v>
      </c>
      <c r="I9515" t="str" cm="1">
        <f t="array" ref="I9515">_xlfn.XLOOKUP(FACT_IMPORTS[[#This Row],[country_name]],DIM_COUNTRY[[#All],[Column2]],DIM_COUNTRY[[#All],[Column3]],,,)</f>
        <v>USMCA</v>
      </c>
    </row>
    <row r="9516" spans="1:9" x14ac:dyDescent="0.4">
      <c r="A9516" t="s">
        <v>64</v>
      </c>
      <c r="B9516" s="1">
        <v>45261</v>
      </c>
      <c r="C9516">
        <v>401110</v>
      </c>
      <c r="D9516" t="s">
        <v>176</v>
      </c>
      <c r="E9516">
        <v>30456</v>
      </c>
      <c r="F9516">
        <v>374</v>
      </c>
      <c r="G9516">
        <v>859</v>
      </c>
      <c r="H9516">
        <f>_xlfn.XLOOKUP(FACT_IMPORTS[[#This Row],[hts_6]],DIM_PRODUCTS[hts_6],DIM_PRODUCTS[hts_4],,,)</f>
        <v>4011</v>
      </c>
      <c r="I9516" t="str" cm="1">
        <f t="array" ref="I9516">_xlfn.XLOOKUP(FACT_IMPORTS[[#This Row],[country_name]],DIM_COUNTRY[[#All],[Column2]],DIM_COUNTRY[[#All],[Column3]],,,)</f>
        <v>USMCA</v>
      </c>
    </row>
    <row r="9517" spans="1:9" x14ac:dyDescent="0.4">
      <c r="A9517" t="s">
        <v>64</v>
      </c>
      <c r="B9517" s="1">
        <v>45261</v>
      </c>
      <c r="C9517">
        <v>401120</v>
      </c>
      <c r="D9517" t="s">
        <v>176</v>
      </c>
      <c r="E9517">
        <v>0</v>
      </c>
      <c r="F9517">
        <v>0</v>
      </c>
      <c r="G9517">
        <v>0</v>
      </c>
      <c r="H9517">
        <f>_xlfn.XLOOKUP(FACT_IMPORTS[[#This Row],[hts_6]],DIM_PRODUCTS[hts_6],DIM_PRODUCTS[hts_4],,,)</f>
        <v>4011</v>
      </c>
      <c r="I9517" t="str" cm="1">
        <f t="array" ref="I9517">_xlfn.XLOOKUP(FACT_IMPORTS[[#This Row],[country_name]],DIM_COUNTRY[[#All],[Column2]],DIM_COUNTRY[[#All],[Column3]],,,)</f>
        <v>USMCA</v>
      </c>
    </row>
    <row r="9518" spans="1:9" x14ac:dyDescent="0.4">
      <c r="A9518" t="s">
        <v>64</v>
      </c>
      <c r="B9518" s="1">
        <v>45261</v>
      </c>
      <c r="C9518">
        <v>401190</v>
      </c>
      <c r="D9518" t="s">
        <v>176</v>
      </c>
      <c r="E9518">
        <v>0</v>
      </c>
      <c r="F9518">
        <v>0</v>
      </c>
      <c r="G9518">
        <v>0</v>
      </c>
      <c r="H9518">
        <f>_xlfn.XLOOKUP(FACT_IMPORTS[[#This Row],[hts_6]],DIM_PRODUCTS[hts_6],DIM_PRODUCTS[hts_4],,,)</f>
        <v>4011</v>
      </c>
      <c r="I9518" t="str" cm="1">
        <f t="array" ref="I9518">_xlfn.XLOOKUP(FACT_IMPORTS[[#This Row],[country_name]],DIM_COUNTRY[[#All],[Column2]],DIM_COUNTRY[[#All],[Column3]],,,)</f>
        <v>USMCA</v>
      </c>
    </row>
    <row r="9519" spans="1:9" x14ac:dyDescent="0.4">
      <c r="A9519" t="s">
        <v>64</v>
      </c>
      <c r="B9519" s="1">
        <v>45261</v>
      </c>
      <c r="C9519">
        <v>700910</v>
      </c>
      <c r="D9519" t="s">
        <v>176</v>
      </c>
      <c r="E9519">
        <v>0</v>
      </c>
      <c r="F9519">
        <v>0</v>
      </c>
      <c r="G9519">
        <v>0</v>
      </c>
      <c r="H9519">
        <f>_xlfn.XLOOKUP(FACT_IMPORTS[[#This Row],[hts_6]],DIM_PRODUCTS[hts_6],DIM_PRODUCTS[hts_4],,,)</f>
        <v>7009</v>
      </c>
      <c r="I9519" t="str" cm="1">
        <f t="array" ref="I9519">_xlfn.XLOOKUP(FACT_IMPORTS[[#This Row],[country_name]],DIM_COUNTRY[[#All],[Column2]],DIM_COUNTRY[[#All],[Column3]],,,)</f>
        <v>USMCA</v>
      </c>
    </row>
    <row r="9520" spans="1:9" x14ac:dyDescent="0.4">
      <c r="A9520" t="s">
        <v>64</v>
      </c>
      <c r="B9520" s="1">
        <v>45261</v>
      </c>
      <c r="C9520">
        <v>732010</v>
      </c>
      <c r="D9520" t="s">
        <v>176</v>
      </c>
      <c r="E9520">
        <v>16978</v>
      </c>
      <c r="F9520">
        <v>3156</v>
      </c>
      <c r="G9520">
        <v>212</v>
      </c>
      <c r="H9520">
        <f>_xlfn.XLOOKUP(FACT_IMPORTS[[#This Row],[hts_6]],DIM_PRODUCTS[hts_6],DIM_PRODUCTS[hts_4],,,)</f>
        <v>7320</v>
      </c>
      <c r="I9520" t="str" cm="1">
        <f t="array" ref="I9520">_xlfn.XLOOKUP(FACT_IMPORTS[[#This Row],[country_name]],DIM_COUNTRY[[#All],[Column2]],DIM_COUNTRY[[#All],[Column3]],,,)</f>
        <v>USMCA</v>
      </c>
    </row>
    <row r="9521" spans="1:9" x14ac:dyDescent="0.4">
      <c r="A9521" t="s">
        <v>64</v>
      </c>
      <c r="B9521" s="1">
        <v>45261</v>
      </c>
      <c r="C9521">
        <v>830230</v>
      </c>
      <c r="D9521" t="s">
        <v>176</v>
      </c>
      <c r="E9521">
        <v>0</v>
      </c>
      <c r="F9521">
        <v>0</v>
      </c>
      <c r="G9521">
        <v>0</v>
      </c>
      <c r="H9521">
        <f>_xlfn.XLOOKUP(FACT_IMPORTS[[#This Row],[hts_6]],DIM_PRODUCTS[hts_6],DIM_PRODUCTS[hts_4],,,)</f>
        <v>8302</v>
      </c>
      <c r="I9521" t="str" cm="1">
        <f t="array" ref="I9521">_xlfn.XLOOKUP(FACT_IMPORTS[[#This Row],[country_name]],DIM_COUNTRY[[#All],[Column2]],DIM_COUNTRY[[#All],[Column3]],,,)</f>
        <v>USMCA</v>
      </c>
    </row>
    <row r="9522" spans="1:9" x14ac:dyDescent="0.4">
      <c r="A9522" t="s">
        <v>64</v>
      </c>
      <c r="B9522" s="1">
        <v>45261</v>
      </c>
      <c r="C9522">
        <v>840733</v>
      </c>
      <c r="D9522" t="s">
        <v>176</v>
      </c>
      <c r="E9522">
        <v>27000</v>
      </c>
      <c r="F9522">
        <v>3</v>
      </c>
      <c r="G9522">
        <v>900</v>
      </c>
      <c r="H9522">
        <f>_xlfn.XLOOKUP(FACT_IMPORTS[[#This Row],[hts_6]],DIM_PRODUCTS[hts_6],DIM_PRODUCTS[hts_4],,,)</f>
        <v>8407</v>
      </c>
      <c r="I9522" t="str" cm="1">
        <f t="array" ref="I9522">_xlfn.XLOOKUP(FACT_IMPORTS[[#This Row],[country_name]],DIM_COUNTRY[[#All],[Column2]],DIM_COUNTRY[[#All],[Column3]],,,)</f>
        <v>USMCA</v>
      </c>
    </row>
    <row r="9523" spans="1:9" x14ac:dyDescent="0.4">
      <c r="A9523" t="s">
        <v>64</v>
      </c>
      <c r="B9523" s="1">
        <v>45261</v>
      </c>
      <c r="C9523">
        <v>840734</v>
      </c>
      <c r="D9523" t="s">
        <v>176</v>
      </c>
      <c r="E9523">
        <v>55768</v>
      </c>
      <c r="F9523">
        <v>52</v>
      </c>
      <c r="G9523">
        <v>1045</v>
      </c>
      <c r="H9523">
        <f>_xlfn.XLOOKUP(FACT_IMPORTS[[#This Row],[hts_6]],DIM_PRODUCTS[hts_6],DIM_PRODUCTS[hts_4],,,)</f>
        <v>8407</v>
      </c>
      <c r="I9523" t="str" cm="1">
        <f t="array" ref="I9523">_xlfn.XLOOKUP(FACT_IMPORTS[[#This Row],[country_name]],DIM_COUNTRY[[#All],[Column2]],DIM_COUNTRY[[#All],[Column3]],,,)</f>
        <v>USMCA</v>
      </c>
    </row>
    <row r="9524" spans="1:9" x14ac:dyDescent="0.4">
      <c r="A9524" t="s">
        <v>64</v>
      </c>
      <c r="B9524" s="1">
        <v>45261</v>
      </c>
      <c r="C9524">
        <v>840820</v>
      </c>
      <c r="D9524" t="s">
        <v>176</v>
      </c>
      <c r="E9524">
        <v>120474</v>
      </c>
      <c r="F9524">
        <v>21</v>
      </c>
      <c r="G9524">
        <v>271</v>
      </c>
      <c r="H9524">
        <f>_xlfn.XLOOKUP(FACT_IMPORTS[[#This Row],[hts_6]],DIM_PRODUCTS[hts_6],DIM_PRODUCTS[hts_4],,,)</f>
        <v>8408</v>
      </c>
      <c r="I9524" t="str" cm="1">
        <f t="array" ref="I9524">_xlfn.XLOOKUP(FACT_IMPORTS[[#This Row],[country_name]],DIM_COUNTRY[[#All],[Column2]],DIM_COUNTRY[[#All],[Column3]],,,)</f>
        <v>USMCA</v>
      </c>
    </row>
    <row r="9525" spans="1:9" x14ac:dyDescent="0.4">
      <c r="A9525" t="s">
        <v>64</v>
      </c>
      <c r="B9525" s="1">
        <v>45261</v>
      </c>
      <c r="C9525">
        <v>840890</v>
      </c>
      <c r="D9525" t="s">
        <v>176</v>
      </c>
      <c r="E9525">
        <v>42189</v>
      </c>
      <c r="F9525">
        <v>3</v>
      </c>
      <c r="G9525">
        <v>193</v>
      </c>
      <c r="H9525">
        <f>_xlfn.XLOOKUP(FACT_IMPORTS[[#This Row],[hts_6]],DIM_PRODUCTS[hts_6],DIM_PRODUCTS[hts_4],,,)</f>
        <v>8408</v>
      </c>
      <c r="I9525" t="str" cm="1">
        <f t="array" ref="I9525">_xlfn.XLOOKUP(FACT_IMPORTS[[#This Row],[country_name]],DIM_COUNTRY[[#All],[Column2]],DIM_COUNTRY[[#All],[Column3]],,,)</f>
        <v>USMCA</v>
      </c>
    </row>
    <row r="9526" spans="1:9" x14ac:dyDescent="0.4">
      <c r="A9526" t="s">
        <v>64</v>
      </c>
      <c r="B9526" s="1">
        <v>45261</v>
      </c>
      <c r="C9526">
        <v>840991</v>
      </c>
      <c r="D9526" t="s">
        <v>176</v>
      </c>
      <c r="E9526">
        <v>867718</v>
      </c>
      <c r="F9526">
        <v>76605</v>
      </c>
      <c r="G9526">
        <v>3847</v>
      </c>
      <c r="H9526">
        <f>_xlfn.XLOOKUP(FACT_IMPORTS[[#This Row],[hts_6]],DIM_PRODUCTS[hts_6],DIM_PRODUCTS[hts_4],,,)</f>
        <v>8409</v>
      </c>
      <c r="I9526" t="str" cm="1">
        <f t="array" ref="I9526">_xlfn.XLOOKUP(FACT_IMPORTS[[#This Row],[country_name]],DIM_COUNTRY[[#All],[Column2]],DIM_COUNTRY[[#All],[Column3]],,,)</f>
        <v>USMCA</v>
      </c>
    </row>
    <row r="9527" spans="1:9" x14ac:dyDescent="0.4">
      <c r="A9527" t="s">
        <v>64</v>
      </c>
      <c r="B9527" s="1">
        <v>45261</v>
      </c>
      <c r="C9527">
        <v>840999</v>
      </c>
      <c r="D9527" t="s">
        <v>176</v>
      </c>
      <c r="E9527">
        <v>14295</v>
      </c>
      <c r="F9527">
        <v>315</v>
      </c>
      <c r="G9527">
        <v>451</v>
      </c>
      <c r="H9527">
        <f>_xlfn.XLOOKUP(FACT_IMPORTS[[#This Row],[hts_6]],DIM_PRODUCTS[hts_6],DIM_PRODUCTS[hts_4],,,)</f>
        <v>8409</v>
      </c>
      <c r="I9527" t="str" cm="1">
        <f t="array" ref="I9527">_xlfn.XLOOKUP(FACT_IMPORTS[[#This Row],[country_name]],DIM_COUNTRY[[#All],[Column2]],DIM_COUNTRY[[#All],[Column3]],,,)</f>
        <v>USMCA</v>
      </c>
    </row>
    <row r="9528" spans="1:9" x14ac:dyDescent="0.4">
      <c r="A9528" t="s">
        <v>64</v>
      </c>
      <c r="B9528" s="1">
        <v>45261</v>
      </c>
      <c r="C9528">
        <v>841330</v>
      </c>
      <c r="D9528" t="s">
        <v>176</v>
      </c>
      <c r="E9528">
        <v>49491</v>
      </c>
      <c r="F9528">
        <v>269</v>
      </c>
      <c r="G9528">
        <v>116</v>
      </c>
      <c r="H9528">
        <f>_xlfn.XLOOKUP(FACT_IMPORTS[[#This Row],[hts_6]],DIM_PRODUCTS[hts_6],DIM_PRODUCTS[hts_4],,,)</f>
        <v>8413</v>
      </c>
      <c r="I9528" t="str" cm="1">
        <f t="array" ref="I9528">_xlfn.XLOOKUP(FACT_IMPORTS[[#This Row],[country_name]],DIM_COUNTRY[[#All],[Column2]],DIM_COUNTRY[[#All],[Column3]],,,)</f>
        <v>USMCA</v>
      </c>
    </row>
    <row r="9529" spans="1:9" x14ac:dyDescent="0.4">
      <c r="A9529" t="s">
        <v>64</v>
      </c>
      <c r="B9529" s="1">
        <v>45261</v>
      </c>
      <c r="C9529">
        <v>842132</v>
      </c>
      <c r="D9529" t="s">
        <v>176</v>
      </c>
      <c r="E9529">
        <v>200302</v>
      </c>
      <c r="F9529">
        <v>731</v>
      </c>
      <c r="G9529">
        <v>722</v>
      </c>
      <c r="H9529">
        <f>_xlfn.XLOOKUP(FACT_IMPORTS[[#This Row],[hts_6]],DIM_PRODUCTS[hts_6],DIM_PRODUCTS[hts_4],,,)</f>
        <v>8421</v>
      </c>
      <c r="I9529" t="str" cm="1">
        <f t="array" ref="I9529">_xlfn.XLOOKUP(FACT_IMPORTS[[#This Row],[country_name]],DIM_COUNTRY[[#All],[Column2]],DIM_COUNTRY[[#All],[Column3]],,,)</f>
        <v>USMCA</v>
      </c>
    </row>
    <row r="9530" spans="1:9" x14ac:dyDescent="0.4">
      <c r="A9530" t="s">
        <v>64</v>
      </c>
      <c r="B9530" s="1">
        <v>45261</v>
      </c>
      <c r="C9530">
        <v>848210</v>
      </c>
      <c r="D9530" t="s">
        <v>176</v>
      </c>
      <c r="E9530">
        <v>0</v>
      </c>
      <c r="F9530">
        <v>0</v>
      </c>
      <c r="G9530">
        <v>0</v>
      </c>
      <c r="H9530">
        <f>_xlfn.XLOOKUP(FACT_IMPORTS[[#This Row],[hts_6]],DIM_PRODUCTS[hts_6],DIM_PRODUCTS[hts_4],,,)</f>
        <v>8482</v>
      </c>
      <c r="I9530" t="str" cm="1">
        <f t="array" ref="I9530">_xlfn.XLOOKUP(FACT_IMPORTS[[#This Row],[country_name]],DIM_COUNTRY[[#All],[Column2]],DIM_COUNTRY[[#All],[Column3]],,,)</f>
        <v>USMCA</v>
      </c>
    </row>
    <row r="9531" spans="1:9" x14ac:dyDescent="0.4">
      <c r="A9531" t="s">
        <v>64</v>
      </c>
      <c r="B9531" s="1">
        <v>45261</v>
      </c>
      <c r="C9531">
        <v>848220</v>
      </c>
      <c r="D9531" t="s">
        <v>176</v>
      </c>
      <c r="E9531">
        <v>0</v>
      </c>
      <c r="F9531">
        <v>0</v>
      </c>
      <c r="G9531">
        <v>0</v>
      </c>
      <c r="H9531">
        <f>_xlfn.XLOOKUP(FACT_IMPORTS[[#This Row],[hts_6]],DIM_PRODUCTS[hts_6],DIM_PRODUCTS[hts_4],,,)</f>
        <v>8482</v>
      </c>
      <c r="I9531" t="str" cm="1">
        <f t="array" ref="I9531">_xlfn.XLOOKUP(FACT_IMPORTS[[#This Row],[country_name]],DIM_COUNTRY[[#All],[Column2]],DIM_COUNTRY[[#All],[Column3]],,,)</f>
        <v>USMCA</v>
      </c>
    </row>
    <row r="9532" spans="1:9" x14ac:dyDescent="0.4">
      <c r="A9532" t="s">
        <v>64</v>
      </c>
      <c r="B9532" s="1">
        <v>45261</v>
      </c>
      <c r="C9532">
        <v>848310</v>
      </c>
      <c r="D9532" t="s">
        <v>176</v>
      </c>
      <c r="E9532">
        <v>2642</v>
      </c>
      <c r="F9532">
        <v>1</v>
      </c>
      <c r="G9532">
        <v>17</v>
      </c>
      <c r="H9532">
        <f>_xlfn.XLOOKUP(FACT_IMPORTS[[#This Row],[hts_6]],DIM_PRODUCTS[hts_6],DIM_PRODUCTS[hts_4],,,)</f>
        <v>8483</v>
      </c>
      <c r="I9532" t="str" cm="1">
        <f t="array" ref="I9532">_xlfn.XLOOKUP(FACT_IMPORTS[[#This Row],[country_name]],DIM_COUNTRY[[#All],[Column2]],DIM_COUNTRY[[#All],[Column3]],,,)</f>
        <v>USMCA</v>
      </c>
    </row>
    <row r="9533" spans="1:9" x14ac:dyDescent="0.4">
      <c r="A9533" t="s">
        <v>64</v>
      </c>
      <c r="B9533" s="1">
        <v>45261</v>
      </c>
      <c r="C9533">
        <v>850131</v>
      </c>
      <c r="D9533" t="s">
        <v>176</v>
      </c>
      <c r="E9533">
        <v>6278</v>
      </c>
      <c r="F9533">
        <v>375</v>
      </c>
      <c r="G9533">
        <v>114</v>
      </c>
      <c r="H9533">
        <f>_xlfn.XLOOKUP(FACT_IMPORTS[[#This Row],[hts_6]],DIM_PRODUCTS[hts_6],DIM_PRODUCTS[hts_4],,,)</f>
        <v>8501</v>
      </c>
      <c r="I9533" t="str" cm="1">
        <f t="array" ref="I9533">_xlfn.XLOOKUP(FACT_IMPORTS[[#This Row],[country_name]],DIM_COUNTRY[[#All],[Column2]],DIM_COUNTRY[[#All],[Column3]],,,)</f>
        <v>USMCA</v>
      </c>
    </row>
    <row r="9534" spans="1:9" x14ac:dyDescent="0.4">
      <c r="A9534" t="s">
        <v>64</v>
      </c>
      <c r="B9534" s="1">
        <v>45261</v>
      </c>
      <c r="C9534">
        <v>850132</v>
      </c>
      <c r="D9534" t="s">
        <v>176</v>
      </c>
      <c r="E9534">
        <v>12696</v>
      </c>
      <c r="F9534">
        <v>4</v>
      </c>
      <c r="G9534">
        <v>12</v>
      </c>
      <c r="H9534">
        <f>_xlfn.XLOOKUP(FACT_IMPORTS[[#This Row],[hts_6]],DIM_PRODUCTS[hts_6],DIM_PRODUCTS[hts_4],,,)</f>
        <v>8501</v>
      </c>
      <c r="I9534" t="str" cm="1">
        <f t="array" ref="I9534">_xlfn.XLOOKUP(FACT_IMPORTS[[#This Row],[country_name]],DIM_COUNTRY[[#All],[Column2]],DIM_COUNTRY[[#All],[Column3]],,,)</f>
        <v>USMCA</v>
      </c>
    </row>
    <row r="9535" spans="1:9" x14ac:dyDescent="0.4">
      <c r="A9535" t="s">
        <v>64</v>
      </c>
      <c r="B9535" s="1">
        <v>45261</v>
      </c>
      <c r="C9535">
        <v>850133</v>
      </c>
      <c r="D9535" t="s">
        <v>176</v>
      </c>
      <c r="E9535">
        <v>0</v>
      </c>
      <c r="F9535">
        <v>0</v>
      </c>
      <c r="G9535">
        <v>0</v>
      </c>
      <c r="H9535">
        <f>_xlfn.XLOOKUP(FACT_IMPORTS[[#This Row],[hts_6]],DIM_PRODUCTS[hts_6],DIM_PRODUCTS[hts_4],,,)</f>
        <v>8501</v>
      </c>
      <c r="I9535" t="str" cm="1">
        <f t="array" ref="I9535">_xlfn.XLOOKUP(FACT_IMPORTS[[#This Row],[country_name]],DIM_COUNTRY[[#All],[Column2]],DIM_COUNTRY[[#All],[Column3]],,,)</f>
        <v>USMCA</v>
      </c>
    </row>
    <row r="9536" spans="1:9" x14ac:dyDescent="0.4">
      <c r="A9536" t="s">
        <v>64</v>
      </c>
      <c r="B9536" s="1">
        <v>45261</v>
      </c>
      <c r="C9536">
        <v>850134</v>
      </c>
      <c r="D9536" t="s">
        <v>176</v>
      </c>
      <c r="E9536">
        <v>0</v>
      </c>
      <c r="F9536">
        <v>0</v>
      </c>
      <c r="G9536">
        <v>0</v>
      </c>
      <c r="H9536">
        <f>_xlfn.XLOOKUP(FACT_IMPORTS[[#This Row],[hts_6]],DIM_PRODUCTS[hts_6],DIM_PRODUCTS[hts_4],,,)</f>
        <v>8501</v>
      </c>
      <c r="I9536" t="str" cm="1">
        <f t="array" ref="I9536">_xlfn.XLOOKUP(FACT_IMPORTS[[#This Row],[country_name]],DIM_COUNTRY[[#All],[Column2]],DIM_COUNTRY[[#All],[Column3]],,,)</f>
        <v>USMCA</v>
      </c>
    </row>
    <row r="9537" spans="1:9" x14ac:dyDescent="0.4">
      <c r="A9537" t="s">
        <v>64</v>
      </c>
      <c r="B9537" s="1">
        <v>45261</v>
      </c>
      <c r="C9537">
        <v>850152</v>
      </c>
      <c r="D9537" t="s">
        <v>176</v>
      </c>
      <c r="E9537">
        <v>103301</v>
      </c>
      <c r="F9537">
        <v>92</v>
      </c>
      <c r="G9537">
        <v>513</v>
      </c>
      <c r="H9537">
        <f>_xlfn.XLOOKUP(FACT_IMPORTS[[#This Row],[hts_6]],DIM_PRODUCTS[hts_6],DIM_PRODUCTS[hts_4],,,)</f>
        <v>8501</v>
      </c>
      <c r="I9537" t="str" cm="1">
        <f t="array" ref="I9537">_xlfn.XLOOKUP(FACT_IMPORTS[[#This Row],[country_name]],DIM_COUNTRY[[#All],[Column2]],DIM_COUNTRY[[#All],[Column3]],,,)</f>
        <v>USMCA</v>
      </c>
    </row>
    <row r="9538" spans="1:9" x14ac:dyDescent="0.4">
      <c r="A9538" t="s">
        <v>64</v>
      </c>
      <c r="B9538" s="1">
        <v>45261</v>
      </c>
      <c r="C9538">
        <v>850153</v>
      </c>
      <c r="D9538" t="s">
        <v>176</v>
      </c>
      <c r="E9538">
        <v>8672</v>
      </c>
      <c r="F9538">
        <v>1</v>
      </c>
      <c r="G9538">
        <v>20</v>
      </c>
      <c r="H9538">
        <f>_xlfn.XLOOKUP(FACT_IMPORTS[[#This Row],[hts_6]],DIM_PRODUCTS[hts_6],DIM_PRODUCTS[hts_4],,,)</f>
        <v>8501</v>
      </c>
      <c r="I9538" t="str" cm="1">
        <f t="array" ref="I9538">_xlfn.XLOOKUP(FACT_IMPORTS[[#This Row],[country_name]],DIM_COUNTRY[[#All],[Column2]],DIM_COUNTRY[[#All],[Column3]],,,)</f>
        <v>USMCA</v>
      </c>
    </row>
    <row r="9539" spans="1:9" x14ac:dyDescent="0.4">
      <c r="A9539" t="s">
        <v>64</v>
      </c>
      <c r="B9539" s="1">
        <v>45261</v>
      </c>
      <c r="C9539">
        <v>850161</v>
      </c>
      <c r="D9539" t="s">
        <v>176</v>
      </c>
      <c r="E9539">
        <v>0</v>
      </c>
      <c r="F9539">
        <v>0</v>
      </c>
      <c r="G9539">
        <v>0</v>
      </c>
      <c r="H9539">
        <f>_xlfn.XLOOKUP(FACT_IMPORTS[[#This Row],[hts_6]],DIM_PRODUCTS[hts_6],DIM_PRODUCTS[hts_4],,,)</f>
        <v>8501</v>
      </c>
      <c r="I9539" t="str" cm="1">
        <f t="array" ref="I9539">_xlfn.XLOOKUP(FACT_IMPORTS[[#This Row],[country_name]],DIM_COUNTRY[[#All],[Column2]],DIM_COUNTRY[[#All],[Column3]],,,)</f>
        <v>USMCA</v>
      </c>
    </row>
    <row r="9540" spans="1:9" x14ac:dyDescent="0.4">
      <c r="A9540" t="s">
        <v>64</v>
      </c>
      <c r="B9540" s="1">
        <v>45261</v>
      </c>
      <c r="C9540">
        <v>850440</v>
      </c>
      <c r="D9540" t="s">
        <v>176</v>
      </c>
      <c r="E9540">
        <v>597350</v>
      </c>
      <c r="F9540">
        <v>3660</v>
      </c>
      <c r="G9540">
        <v>5377</v>
      </c>
      <c r="H9540">
        <f>_xlfn.XLOOKUP(FACT_IMPORTS[[#This Row],[hts_6]],DIM_PRODUCTS[hts_6],DIM_PRODUCTS[hts_4],,,)</f>
        <v>8504</v>
      </c>
      <c r="I9540" t="str" cm="1">
        <f t="array" ref="I9540">_xlfn.XLOOKUP(FACT_IMPORTS[[#This Row],[country_name]],DIM_COUNTRY[[#All],[Column2]],DIM_COUNTRY[[#All],[Column3]],,,)</f>
        <v>USMCA</v>
      </c>
    </row>
    <row r="9541" spans="1:9" x14ac:dyDescent="0.4">
      <c r="A9541" t="s">
        <v>64</v>
      </c>
      <c r="B9541" s="1">
        <v>45261</v>
      </c>
      <c r="C9541">
        <v>850710</v>
      </c>
      <c r="D9541" t="s">
        <v>176</v>
      </c>
      <c r="E9541">
        <v>0</v>
      </c>
      <c r="F9541">
        <v>0</v>
      </c>
      <c r="G9541">
        <v>0</v>
      </c>
      <c r="H9541">
        <f>_xlfn.XLOOKUP(FACT_IMPORTS[[#This Row],[hts_6]],DIM_PRODUCTS[hts_6],DIM_PRODUCTS[hts_4],,,)</f>
        <v>8507</v>
      </c>
      <c r="I9541" t="str" cm="1">
        <f t="array" ref="I9541">_xlfn.XLOOKUP(FACT_IMPORTS[[#This Row],[country_name]],DIM_COUNTRY[[#All],[Column2]],DIM_COUNTRY[[#All],[Column3]],,,)</f>
        <v>USMCA</v>
      </c>
    </row>
    <row r="9542" spans="1:9" x14ac:dyDescent="0.4">
      <c r="A9542" t="s">
        <v>64</v>
      </c>
      <c r="B9542" s="1">
        <v>45261</v>
      </c>
      <c r="C9542">
        <v>850760</v>
      </c>
      <c r="D9542" t="s">
        <v>176</v>
      </c>
      <c r="E9542">
        <v>8246</v>
      </c>
      <c r="F9542">
        <v>4</v>
      </c>
      <c r="G9542">
        <v>200</v>
      </c>
      <c r="H9542">
        <f>_xlfn.XLOOKUP(FACT_IMPORTS[[#This Row],[hts_6]],DIM_PRODUCTS[hts_6],DIM_PRODUCTS[hts_4],,,)</f>
        <v>8507</v>
      </c>
      <c r="I9542" t="str" cm="1">
        <f t="array" ref="I9542">_xlfn.XLOOKUP(FACT_IMPORTS[[#This Row],[country_name]],DIM_COUNTRY[[#All],[Column2]],DIM_COUNTRY[[#All],[Column3]],,,)</f>
        <v>USMCA</v>
      </c>
    </row>
    <row r="9543" spans="1:9" x14ac:dyDescent="0.4">
      <c r="A9543" t="s">
        <v>64</v>
      </c>
      <c r="B9543" s="1">
        <v>45261</v>
      </c>
      <c r="C9543">
        <v>850790</v>
      </c>
      <c r="D9543" t="s">
        <v>176</v>
      </c>
      <c r="E9543">
        <v>0</v>
      </c>
      <c r="F9543">
        <v>0</v>
      </c>
      <c r="G9543">
        <v>0</v>
      </c>
      <c r="H9543">
        <f>_xlfn.XLOOKUP(FACT_IMPORTS[[#This Row],[hts_6]],DIM_PRODUCTS[hts_6],DIM_PRODUCTS[hts_4],,,)</f>
        <v>8507</v>
      </c>
      <c r="I9543" t="str" cm="1">
        <f t="array" ref="I9543">_xlfn.XLOOKUP(FACT_IMPORTS[[#This Row],[country_name]],DIM_COUNTRY[[#All],[Column2]],DIM_COUNTRY[[#All],[Column3]],,,)</f>
        <v>USMCA</v>
      </c>
    </row>
    <row r="9544" spans="1:9" x14ac:dyDescent="0.4">
      <c r="A9544" t="s">
        <v>64</v>
      </c>
      <c r="B9544" s="1">
        <v>45261</v>
      </c>
      <c r="C9544">
        <v>851110</v>
      </c>
      <c r="D9544" t="s">
        <v>176</v>
      </c>
      <c r="E9544">
        <v>0</v>
      </c>
      <c r="F9544">
        <v>0</v>
      </c>
      <c r="G9544">
        <v>0</v>
      </c>
      <c r="H9544">
        <f>_xlfn.XLOOKUP(FACT_IMPORTS[[#This Row],[hts_6]],DIM_PRODUCTS[hts_6],DIM_PRODUCTS[hts_4],,,)</f>
        <v>8511</v>
      </c>
      <c r="I9544" t="str" cm="1">
        <f t="array" ref="I9544">_xlfn.XLOOKUP(FACT_IMPORTS[[#This Row],[country_name]],DIM_COUNTRY[[#All],[Column2]],DIM_COUNTRY[[#All],[Column3]],,,)</f>
        <v>USMCA</v>
      </c>
    </row>
    <row r="9545" spans="1:9" x14ac:dyDescent="0.4">
      <c r="A9545" t="s">
        <v>64</v>
      </c>
      <c r="B9545" s="1">
        <v>45261</v>
      </c>
      <c r="C9545">
        <v>851130</v>
      </c>
      <c r="D9545" t="s">
        <v>176</v>
      </c>
      <c r="E9545">
        <v>0</v>
      </c>
      <c r="F9545">
        <v>0</v>
      </c>
      <c r="G9545">
        <v>0</v>
      </c>
      <c r="H9545">
        <f>_xlfn.XLOOKUP(FACT_IMPORTS[[#This Row],[hts_6]],DIM_PRODUCTS[hts_6],DIM_PRODUCTS[hts_4],,,)</f>
        <v>8511</v>
      </c>
      <c r="I9545" t="str" cm="1">
        <f t="array" ref="I9545">_xlfn.XLOOKUP(FACT_IMPORTS[[#This Row],[country_name]],DIM_COUNTRY[[#All],[Column2]],DIM_COUNTRY[[#All],[Column3]],,,)</f>
        <v>USMCA</v>
      </c>
    </row>
    <row r="9546" spans="1:9" x14ac:dyDescent="0.4">
      <c r="A9546" t="s">
        <v>64</v>
      </c>
      <c r="B9546" s="1">
        <v>45261</v>
      </c>
      <c r="C9546">
        <v>851140</v>
      </c>
      <c r="D9546" t="s">
        <v>176</v>
      </c>
      <c r="E9546">
        <v>97859</v>
      </c>
      <c r="F9546">
        <v>312</v>
      </c>
      <c r="G9546">
        <v>8123</v>
      </c>
      <c r="H9546">
        <f>_xlfn.XLOOKUP(FACT_IMPORTS[[#This Row],[hts_6]],DIM_PRODUCTS[hts_6],DIM_PRODUCTS[hts_4],,,)</f>
        <v>8511</v>
      </c>
      <c r="I9546" t="str" cm="1">
        <f t="array" ref="I9546">_xlfn.XLOOKUP(FACT_IMPORTS[[#This Row],[country_name]],DIM_COUNTRY[[#All],[Column2]],DIM_COUNTRY[[#All],[Column3]],,,)</f>
        <v>USMCA</v>
      </c>
    </row>
    <row r="9547" spans="1:9" x14ac:dyDescent="0.4">
      <c r="A9547" t="s">
        <v>64</v>
      </c>
      <c r="B9547" s="1">
        <v>45261</v>
      </c>
      <c r="C9547">
        <v>851150</v>
      </c>
      <c r="D9547" t="s">
        <v>176</v>
      </c>
      <c r="E9547">
        <v>53547</v>
      </c>
      <c r="F9547">
        <v>105</v>
      </c>
      <c r="G9547">
        <v>54</v>
      </c>
      <c r="H9547">
        <f>_xlfn.XLOOKUP(FACT_IMPORTS[[#This Row],[hts_6]],DIM_PRODUCTS[hts_6],DIM_PRODUCTS[hts_4],,,)</f>
        <v>8511</v>
      </c>
      <c r="I9547" t="str" cm="1">
        <f t="array" ref="I9547">_xlfn.XLOOKUP(FACT_IMPORTS[[#This Row],[country_name]],DIM_COUNTRY[[#All],[Column2]],DIM_COUNTRY[[#All],[Column3]],,,)</f>
        <v>USMCA</v>
      </c>
    </row>
    <row r="9548" spans="1:9" x14ac:dyDescent="0.4">
      <c r="A9548" t="s">
        <v>64</v>
      </c>
      <c r="B9548" s="1">
        <v>45261</v>
      </c>
      <c r="C9548">
        <v>851180</v>
      </c>
      <c r="D9548" t="s">
        <v>176</v>
      </c>
      <c r="E9548">
        <v>3302</v>
      </c>
      <c r="F9548">
        <v>59</v>
      </c>
      <c r="G9548">
        <v>1</v>
      </c>
      <c r="H9548">
        <f>_xlfn.XLOOKUP(FACT_IMPORTS[[#This Row],[hts_6]],DIM_PRODUCTS[hts_6],DIM_PRODUCTS[hts_4],,,)</f>
        <v>8511</v>
      </c>
      <c r="I9548" t="str" cm="1">
        <f t="array" ref="I9548">_xlfn.XLOOKUP(FACT_IMPORTS[[#This Row],[country_name]],DIM_COUNTRY[[#All],[Column2]],DIM_COUNTRY[[#All],[Column3]],,,)</f>
        <v>USMCA</v>
      </c>
    </row>
    <row r="9549" spans="1:9" x14ac:dyDescent="0.4">
      <c r="A9549" t="s">
        <v>64</v>
      </c>
      <c r="B9549" s="1">
        <v>45261</v>
      </c>
      <c r="C9549">
        <v>851190</v>
      </c>
      <c r="D9549" t="s">
        <v>176</v>
      </c>
      <c r="E9549">
        <v>0</v>
      </c>
      <c r="F9549">
        <v>0</v>
      </c>
      <c r="G9549">
        <v>0</v>
      </c>
      <c r="H9549">
        <f>_xlfn.XLOOKUP(FACT_IMPORTS[[#This Row],[hts_6]],DIM_PRODUCTS[hts_6],DIM_PRODUCTS[hts_4],,,)</f>
        <v>8511</v>
      </c>
      <c r="I9549" t="str" cm="1">
        <f t="array" ref="I9549">_xlfn.XLOOKUP(FACT_IMPORTS[[#This Row],[country_name]],DIM_COUNTRY[[#All],[Column2]],DIM_COUNTRY[[#All],[Column3]],,,)</f>
        <v>USMCA</v>
      </c>
    </row>
    <row r="9550" spans="1:9" x14ac:dyDescent="0.4">
      <c r="A9550" t="s">
        <v>64</v>
      </c>
      <c r="B9550" s="1">
        <v>45261</v>
      </c>
      <c r="C9550">
        <v>851220</v>
      </c>
      <c r="D9550" t="s">
        <v>176</v>
      </c>
      <c r="E9550">
        <v>46612</v>
      </c>
      <c r="F9550">
        <v>287</v>
      </c>
      <c r="G9550">
        <v>367</v>
      </c>
      <c r="H9550">
        <f>_xlfn.XLOOKUP(FACT_IMPORTS[[#This Row],[hts_6]],DIM_PRODUCTS[hts_6],DIM_PRODUCTS[hts_4],,,)</f>
        <v>8512</v>
      </c>
      <c r="I9550" t="str" cm="1">
        <f t="array" ref="I9550">_xlfn.XLOOKUP(FACT_IMPORTS[[#This Row],[country_name]],DIM_COUNTRY[[#All],[Column2]],DIM_COUNTRY[[#All],[Column3]],,,)</f>
        <v>USMCA</v>
      </c>
    </row>
    <row r="9551" spans="1:9" x14ac:dyDescent="0.4">
      <c r="A9551" t="s">
        <v>64</v>
      </c>
      <c r="B9551" s="1">
        <v>45261</v>
      </c>
      <c r="C9551">
        <v>851230</v>
      </c>
      <c r="D9551" t="s">
        <v>176</v>
      </c>
      <c r="E9551">
        <v>4005</v>
      </c>
      <c r="F9551">
        <v>500</v>
      </c>
      <c r="G9551">
        <v>340</v>
      </c>
      <c r="H9551">
        <f>_xlfn.XLOOKUP(FACT_IMPORTS[[#This Row],[hts_6]],DIM_PRODUCTS[hts_6],DIM_PRODUCTS[hts_4],,,)</f>
        <v>8512</v>
      </c>
      <c r="I9551" t="str" cm="1">
        <f t="array" ref="I9551">_xlfn.XLOOKUP(FACT_IMPORTS[[#This Row],[country_name]],DIM_COUNTRY[[#All],[Column2]],DIM_COUNTRY[[#All],[Column3]],,,)</f>
        <v>USMCA</v>
      </c>
    </row>
    <row r="9552" spans="1:9" x14ac:dyDescent="0.4">
      <c r="A9552" t="s">
        <v>64</v>
      </c>
      <c r="B9552" s="1">
        <v>45261</v>
      </c>
      <c r="C9552">
        <v>851240</v>
      </c>
      <c r="D9552" t="s">
        <v>176</v>
      </c>
      <c r="E9552">
        <v>0</v>
      </c>
      <c r="F9552">
        <v>0</v>
      </c>
      <c r="G9552">
        <v>0</v>
      </c>
      <c r="H9552">
        <f>_xlfn.XLOOKUP(FACT_IMPORTS[[#This Row],[hts_6]],DIM_PRODUCTS[hts_6],DIM_PRODUCTS[hts_4],,,)</f>
        <v>8512</v>
      </c>
      <c r="I9552" t="str" cm="1">
        <f t="array" ref="I9552">_xlfn.XLOOKUP(FACT_IMPORTS[[#This Row],[country_name]],DIM_COUNTRY[[#All],[Column2]],DIM_COUNTRY[[#All],[Column3]],,,)</f>
        <v>USMCA</v>
      </c>
    </row>
    <row r="9553" spans="1:9" x14ac:dyDescent="0.4">
      <c r="A9553" t="s">
        <v>64</v>
      </c>
      <c r="B9553" s="1">
        <v>45261</v>
      </c>
      <c r="C9553">
        <v>851290</v>
      </c>
      <c r="D9553" t="s">
        <v>176</v>
      </c>
      <c r="E9553">
        <v>56854</v>
      </c>
      <c r="F9553">
        <v>490</v>
      </c>
      <c r="G9553">
        <v>3</v>
      </c>
      <c r="H9553">
        <f>_xlfn.XLOOKUP(FACT_IMPORTS[[#This Row],[hts_6]],DIM_PRODUCTS[hts_6],DIM_PRODUCTS[hts_4],,,)</f>
        <v>8512</v>
      </c>
      <c r="I9553" t="str" cm="1">
        <f t="array" ref="I9553">_xlfn.XLOOKUP(FACT_IMPORTS[[#This Row],[country_name]],DIM_COUNTRY[[#All],[Column2]],DIM_COUNTRY[[#All],[Column3]],,,)</f>
        <v>USMCA</v>
      </c>
    </row>
    <row r="9554" spans="1:9" x14ac:dyDescent="0.4">
      <c r="A9554" t="s">
        <v>64</v>
      </c>
      <c r="B9554" s="1">
        <v>45261</v>
      </c>
      <c r="C9554">
        <v>854231</v>
      </c>
      <c r="D9554" t="s">
        <v>176</v>
      </c>
      <c r="E9554">
        <v>0</v>
      </c>
      <c r="F9554">
        <v>0</v>
      </c>
      <c r="G9554">
        <v>0</v>
      </c>
      <c r="H9554">
        <f>_xlfn.XLOOKUP(FACT_IMPORTS[[#This Row],[hts_6]],DIM_PRODUCTS[hts_6],DIM_PRODUCTS[hts_4],,,)</f>
        <v>8542</v>
      </c>
      <c r="I9554" t="str" cm="1">
        <f t="array" ref="I9554">_xlfn.XLOOKUP(FACT_IMPORTS[[#This Row],[country_name]],DIM_COUNTRY[[#All],[Column2]],DIM_COUNTRY[[#All],[Column3]],,,)</f>
        <v>USMCA</v>
      </c>
    </row>
    <row r="9555" spans="1:9" x14ac:dyDescent="0.4">
      <c r="A9555" t="s">
        <v>64</v>
      </c>
      <c r="B9555" s="1">
        <v>45261</v>
      </c>
      <c r="C9555">
        <v>854232</v>
      </c>
      <c r="D9555" t="s">
        <v>176</v>
      </c>
      <c r="E9555">
        <v>0</v>
      </c>
      <c r="F9555">
        <v>0</v>
      </c>
      <c r="G9555">
        <v>0</v>
      </c>
      <c r="H9555">
        <f>_xlfn.XLOOKUP(FACT_IMPORTS[[#This Row],[hts_6]],DIM_PRODUCTS[hts_6],DIM_PRODUCTS[hts_4],,,)</f>
        <v>8542</v>
      </c>
      <c r="I9555" t="str" cm="1">
        <f t="array" ref="I9555">_xlfn.XLOOKUP(FACT_IMPORTS[[#This Row],[country_name]],DIM_COUNTRY[[#All],[Column2]],DIM_COUNTRY[[#All],[Column3]],,,)</f>
        <v>USMCA</v>
      </c>
    </row>
    <row r="9556" spans="1:9" x14ac:dyDescent="0.4">
      <c r="A9556" t="s">
        <v>64</v>
      </c>
      <c r="B9556" s="1">
        <v>45261</v>
      </c>
      <c r="C9556">
        <v>854290</v>
      </c>
      <c r="D9556" t="s">
        <v>176</v>
      </c>
      <c r="E9556">
        <v>5796</v>
      </c>
      <c r="F9556">
        <v>7</v>
      </c>
      <c r="G9556">
        <v>8</v>
      </c>
      <c r="H9556">
        <f>_xlfn.XLOOKUP(FACT_IMPORTS[[#This Row],[hts_6]],DIM_PRODUCTS[hts_6],DIM_PRODUCTS[hts_4],,,)</f>
        <v>8542</v>
      </c>
      <c r="I9556" t="str" cm="1">
        <f t="array" ref="I9556">_xlfn.XLOOKUP(FACT_IMPORTS[[#This Row],[country_name]],DIM_COUNTRY[[#All],[Column2]],DIM_COUNTRY[[#All],[Column3]],,,)</f>
        <v>USMCA</v>
      </c>
    </row>
    <row r="9557" spans="1:9" x14ac:dyDescent="0.4">
      <c r="A9557" t="s">
        <v>64</v>
      </c>
      <c r="B9557" s="1">
        <v>45261</v>
      </c>
      <c r="C9557">
        <v>854430</v>
      </c>
      <c r="D9557" t="s">
        <v>176</v>
      </c>
      <c r="E9557">
        <v>1075839</v>
      </c>
      <c r="F9557">
        <v>59421</v>
      </c>
      <c r="G9557">
        <v>11473</v>
      </c>
      <c r="H9557">
        <f>_xlfn.XLOOKUP(FACT_IMPORTS[[#This Row],[hts_6]],DIM_PRODUCTS[hts_6],DIM_PRODUCTS[hts_4],,,)</f>
        <v>8544</v>
      </c>
      <c r="I9557" t="str" cm="1">
        <f t="array" ref="I9557">_xlfn.XLOOKUP(FACT_IMPORTS[[#This Row],[country_name]],DIM_COUNTRY[[#All],[Column2]],DIM_COUNTRY[[#All],[Column3]],,,)</f>
        <v>USMCA</v>
      </c>
    </row>
    <row r="9558" spans="1:9" x14ac:dyDescent="0.4">
      <c r="A9558" t="s">
        <v>64</v>
      </c>
      <c r="B9558" s="1">
        <v>45261</v>
      </c>
      <c r="C9558">
        <v>870810</v>
      </c>
      <c r="D9558" t="s">
        <v>176</v>
      </c>
      <c r="E9558">
        <v>2295</v>
      </c>
      <c r="F9558">
        <v>29</v>
      </c>
      <c r="G9558">
        <v>2</v>
      </c>
      <c r="H9558">
        <f>_xlfn.XLOOKUP(FACT_IMPORTS[[#This Row],[hts_6]],DIM_PRODUCTS[hts_6],DIM_PRODUCTS[hts_4],,,)</f>
        <v>8708</v>
      </c>
      <c r="I9558" t="str" cm="1">
        <f t="array" ref="I9558">_xlfn.XLOOKUP(FACT_IMPORTS[[#This Row],[country_name]],DIM_COUNTRY[[#All],[Column2]],DIM_COUNTRY[[#All],[Column3]],,,)</f>
        <v>USMCA</v>
      </c>
    </row>
    <row r="9559" spans="1:9" x14ac:dyDescent="0.4">
      <c r="A9559" t="s">
        <v>64</v>
      </c>
      <c r="B9559" s="1">
        <v>45261</v>
      </c>
      <c r="C9559">
        <v>870821</v>
      </c>
      <c r="D9559" t="s">
        <v>176</v>
      </c>
      <c r="E9559">
        <v>0</v>
      </c>
      <c r="F9559">
        <v>0</v>
      </c>
      <c r="G9559">
        <v>0</v>
      </c>
      <c r="H9559">
        <f>_xlfn.XLOOKUP(FACT_IMPORTS[[#This Row],[hts_6]],DIM_PRODUCTS[hts_6],DIM_PRODUCTS[hts_4],,,)</f>
        <v>8708</v>
      </c>
      <c r="I9559" t="str" cm="1">
        <f t="array" ref="I9559">_xlfn.XLOOKUP(FACT_IMPORTS[[#This Row],[country_name]],DIM_COUNTRY[[#All],[Column2]],DIM_COUNTRY[[#All],[Column3]],,,)</f>
        <v>USMCA</v>
      </c>
    </row>
    <row r="9560" spans="1:9" x14ac:dyDescent="0.4">
      <c r="A9560" t="s">
        <v>64</v>
      </c>
      <c r="B9560" s="1">
        <v>45261</v>
      </c>
      <c r="C9560">
        <v>870822</v>
      </c>
      <c r="D9560" t="s">
        <v>176</v>
      </c>
      <c r="E9560">
        <v>0</v>
      </c>
      <c r="F9560">
        <v>0</v>
      </c>
      <c r="G9560">
        <v>0</v>
      </c>
      <c r="H9560">
        <f>_xlfn.XLOOKUP(FACT_IMPORTS[[#This Row],[hts_6]],DIM_PRODUCTS[hts_6],DIM_PRODUCTS[hts_4],,,)</f>
        <v>8708</v>
      </c>
      <c r="I9560" t="str" cm="1">
        <f t="array" ref="I9560">_xlfn.XLOOKUP(FACT_IMPORTS[[#This Row],[country_name]],DIM_COUNTRY[[#All],[Column2]],DIM_COUNTRY[[#All],[Column3]],,,)</f>
        <v>USMCA</v>
      </c>
    </row>
    <row r="9561" spans="1:9" x14ac:dyDescent="0.4">
      <c r="A9561" t="s">
        <v>64</v>
      </c>
      <c r="B9561" s="1">
        <v>45261</v>
      </c>
      <c r="C9561">
        <v>870829</v>
      </c>
      <c r="D9561" t="s">
        <v>176</v>
      </c>
      <c r="E9561">
        <v>953410</v>
      </c>
      <c r="F9561">
        <v>11999</v>
      </c>
      <c r="G9561">
        <v>11131</v>
      </c>
      <c r="H9561">
        <f>_xlfn.XLOOKUP(FACT_IMPORTS[[#This Row],[hts_6]],DIM_PRODUCTS[hts_6],DIM_PRODUCTS[hts_4],,,)</f>
        <v>8708</v>
      </c>
      <c r="I9561" t="str" cm="1">
        <f t="array" ref="I9561">_xlfn.XLOOKUP(FACT_IMPORTS[[#This Row],[country_name]],DIM_COUNTRY[[#All],[Column2]],DIM_COUNTRY[[#All],[Column3]],,,)</f>
        <v>USMCA</v>
      </c>
    </row>
    <row r="9562" spans="1:9" x14ac:dyDescent="0.4">
      <c r="A9562" t="s">
        <v>64</v>
      </c>
      <c r="B9562" s="1">
        <v>45261</v>
      </c>
      <c r="C9562">
        <v>870830</v>
      </c>
      <c r="D9562" t="s">
        <v>176</v>
      </c>
      <c r="E9562">
        <v>87866</v>
      </c>
      <c r="F9562">
        <v>1969</v>
      </c>
      <c r="G9562">
        <v>1862</v>
      </c>
      <c r="H9562">
        <f>_xlfn.XLOOKUP(FACT_IMPORTS[[#This Row],[hts_6]],DIM_PRODUCTS[hts_6],DIM_PRODUCTS[hts_4],,,)</f>
        <v>8708</v>
      </c>
      <c r="I9562" t="str" cm="1">
        <f t="array" ref="I9562">_xlfn.XLOOKUP(FACT_IMPORTS[[#This Row],[country_name]],DIM_COUNTRY[[#All],[Column2]],DIM_COUNTRY[[#All],[Column3]],,,)</f>
        <v>USMCA</v>
      </c>
    </row>
    <row r="9563" spans="1:9" x14ac:dyDescent="0.4">
      <c r="A9563" t="s">
        <v>64</v>
      </c>
      <c r="B9563" s="1">
        <v>45261</v>
      </c>
      <c r="C9563">
        <v>870840</v>
      </c>
      <c r="D9563" t="s">
        <v>176</v>
      </c>
      <c r="E9563">
        <v>111070</v>
      </c>
      <c r="F9563">
        <v>53</v>
      </c>
      <c r="G9563">
        <v>472</v>
      </c>
      <c r="H9563">
        <f>_xlfn.XLOOKUP(FACT_IMPORTS[[#This Row],[hts_6]],DIM_PRODUCTS[hts_6],DIM_PRODUCTS[hts_4],,,)</f>
        <v>8708</v>
      </c>
      <c r="I9563" t="str" cm="1">
        <f t="array" ref="I9563">_xlfn.XLOOKUP(FACT_IMPORTS[[#This Row],[country_name]],DIM_COUNTRY[[#All],[Column2]],DIM_COUNTRY[[#All],[Column3]],,,)</f>
        <v>USMCA</v>
      </c>
    </row>
    <row r="9564" spans="1:9" x14ac:dyDescent="0.4">
      <c r="A9564" t="s">
        <v>64</v>
      </c>
      <c r="B9564" s="1">
        <v>45261</v>
      </c>
      <c r="C9564">
        <v>870850</v>
      </c>
      <c r="D9564" t="s">
        <v>176</v>
      </c>
      <c r="E9564">
        <v>37262</v>
      </c>
      <c r="F9564">
        <v>132</v>
      </c>
      <c r="G9564">
        <v>27</v>
      </c>
      <c r="H9564">
        <f>_xlfn.XLOOKUP(FACT_IMPORTS[[#This Row],[hts_6]],DIM_PRODUCTS[hts_6],DIM_PRODUCTS[hts_4],,,)</f>
        <v>8708</v>
      </c>
      <c r="I9564" t="str" cm="1">
        <f t="array" ref="I9564">_xlfn.XLOOKUP(FACT_IMPORTS[[#This Row],[country_name]],DIM_COUNTRY[[#All],[Column2]],DIM_COUNTRY[[#All],[Column3]],,,)</f>
        <v>USMCA</v>
      </c>
    </row>
    <row r="9565" spans="1:9" x14ac:dyDescent="0.4">
      <c r="A9565" t="s">
        <v>64</v>
      </c>
      <c r="B9565" s="1">
        <v>45261</v>
      </c>
      <c r="C9565">
        <v>870870</v>
      </c>
      <c r="D9565" t="s">
        <v>176</v>
      </c>
      <c r="E9565">
        <v>93064</v>
      </c>
      <c r="F9565">
        <v>2412</v>
      </c>
      <c r="G9565">
        <v>2204</v>
      </c>
      <c r="H9565">
        <f>_xlfn.XLOOKUP(FACT_IMPORTS[[#This Row],[hts_6]],DIM_PRODUCTS[hts_6],DIM_PRODUCTS[hts_4],,,)</f>
        <v>8708</v>
      </c>
      <c r="I9565" t="str" cm="1">
        <f t="array" ref="I9565">_xlfn.XLOOKUP(FACT_IMPORTS[[#This Row],[country_name]],DIM_COUNTRY[[#All],[Column2]],DIM_COUNTRY[[#All],[Column3]],,,)</f>
        <v>USMCA</v>
      </c>
    </row>
    <row r="9566" spans="1:9" x14ac:dyDescent="0.4">
      <c r="A9566" t="s">
        <v>64</v>
      </c>
      <c r="B9566" s="1">
        <v>45261</v>
      </c>
      <c r="C9566">
        <v>870880</v>
      </c>
      <c r="D9566" t="s">
        <v>176</v>
      </c>
      <c r="E9566">
        <v>11722</v>
      </c>
      <c r="F9566">
        <v>1144</v>
      </c>
      <c r="G9566">
        <v>501</v>
      </c>
      <c r="H9566">
        <f>_xlfn.XLOOKUP(FACT_IMPORTS[[#This Row],[hts_6]],DIM_PRODUCTS[hts_6],DIM_PRODUCTS[hts_4],,,)</f>
        <v>8708</v>
      </c>
      <c r="I9566" t="str" cm="1">
        <f t="array" ref="I9566">_xlfn.XLOOKUP(FACT_IMPORTS[[#This Row],[country_name]],DIM_COUNTRY[[#All],[Column2]],DIM_COUNTRY[[#All],[Column3]],,,)</f>
        <v>USMCA</v>
      </c>
    </row>
    <row r="9567" spans="1:9" x14ac:dyDescent="0.4">
      <c r="A9567" t="s">
        <v>64</v>
      </c>
      <c r="B9567" s="1">
        <v>45261</v>
      </c>
      <c r="C9567">
        <v>870891</v>
      </c>
      <c r="D9567" t="s">
        <v>176</v>
      </c>
      <c r="E9567">
        <v>7063</v>
      </c>
      <c r="F9567">
        <v>53</v>
      </c>
      <c r="G9567">
        <v>1250</v>
      </c>
      <c r="H9567">
        <f>_xlfn.XLOOKUP(FACT_IMPORTS[[#This Row],[hts_6]],DIM_PRODUCTS[hts_6],DIM_PRODUCTS[hts_4],,,)</f>
        <v>8708</v>
      </c>
      <c r="I9567" t="str" cm="1">
        <f t="array" ref="I9567">_xlfn.XLOOKUP(FACT_IMPORTS[[#This Row],[country_name]],DIM_COUNTRY[[#All],[Column2]],DIM_COUNTRY[[#All],[Column3]],,,)</f>
        <v>USMCA</v>
      </c>
    </row>
    <row r="9568" spans="1:9" x14ac:dyDescent="0.4">
      <c r="A9568" t="s">
        <v>64</v>
      </c>
      <c r="B9568" s="1">
        <v>45261</v>
      </c>
      <c r="C9568">
        <v>870892</v>
      </c>
      <c r="D9568" t="s">
        <v>176</v>
      </c>
      <c r="E9568">
        <v>8834</v>
      </c>
      <c r="F9568">
        <v>39</v>
      </c>
      <c r="G9568">
        <v>29</v>
      </c>
      <c r="H9568">
        <f>_xlfn.XLOOKUP(FACT_IMPORTS[[#This Row],[hts_6]],DIM_PRODUCTS[hts_6],DIM_PRODUCTS[hts_4],,,)</f>
        <v>8708</v>
      </c>
      <c r="I9568" t="str" cm="1">
        <f t="array" ref="I9568">_xlfn.XLOOKUP(FACT_IMPORTS[[#This Row],[country_name]],DIM_COUNTRY[[#All],[Column2]],DIM_COUNTRY[[#All],[Column3]],,,)</f>
        <v>USMCA</v>
      </c>
    </row>
    <row r="9569" spans="1:9" x14ac:dyDescent="0.4">
      <c r="A9569" t="s">
        <v>64</v>
      </c>
      <c r="B9569" s="1">
        <v>45261</v>
      </c>
      <c r="C9569">
        <v>870893</v>
      </c>
      <c r="D9569" t="s">
        <v>176</v>
      </c>
      <c r="E9569">
        <v>17198</v>
      </c>
      <c r="F9569">
        <v>4132</v>
      </c>
      <c r="G9569">
        <v>437</v>
      </c>
      <c r="H9569">
        <f>_xlfn.XLOOKUP(FACT_IMPORTS[[#This Row],[hts_6]],DIM_PRODUCTS[hts_6],DIM_PRODUCTS[hts_4],,,)</f>
        <v>8708</v>
      </c>
      <c r="I9569" t="str" cm="1">
        <f t="array" ref="I9569">_xlfn.XLOOKUP(FACT_IMPORTS[[#This Row],[country_name]],DIM_COUNTRY[[#All],[Column2]],DIM_COUNTRY[[#All],[Column3]],,,)</f>
        <v>USMCA</v>
      </c>
    </row>
    <row r="9570" spans="1:9" x14ac:dyDescent="0.4">
      <c r="A9570" t="s">
        <v>64</v>
      </c>
      <c r="B9570" s="1">
        <v>45261</v>
      </c>
      <c r="C9570">
        <v>870894</v>
      </c>
      <c r="D9570" t="s">
        <v>176</v>
      </c>
      <c r="E9570">
        <v>148293</v>
      </c>
      <c r="F9570">
        <v>499</v>
      </c>
      <c r="G9570">
        <v>16206</v>
      </c>
      <c r="H9570">
        <f>_xlfn.XLOOKUP(FACT_IMPORTS[[#This Row],[hts_6]],DIM_PRODUCTS[hts_6],DIM_PRODUCTS[hts_4],,,)</f>
        <v>8708</v>
      </c>
      <c r="I9570" t="str" cm="1">
        <f t="array" ref="I9570">_xlfn.XLOOKUP(FACT_IMPORTS[[#This Row],[country_name]],DIM_COUNTRY[[#All],[Column2]],DIM_COUNTRY[[#All],[Column3]],,,)</f>
        <v>USMCA</v>
      </c>
    </row>
    <row r="9571" spans="1:9" x14ac:dyDescent="0.4">
      <c r="A9571" t="s">
        <v>64</v>
      </c>
      <c r="B9571" s="1">
        <v>45261</v>
      </c>
      <c r="C9571">
        <v>870895</v>
      </c>
      <c r="D9571" t="s">
        <v>176</v>
      </c>
      <c r="E9571">
        <v>88282</v>
      </c>
      <c r="F9571">
        <v>3924</v>
      </c>
      <c r="G9571">
        <v>2700</v>
      </c>
      <c r="H9571">
        <f>_xlfn.XLOOKUP(FACT_IMPORTS[[#This Row],[hts_6]],DIM_PRODUCTS[hts_6],DIM_PRODUCTS[hts_4],,,)</f>
        <v>8708</v>
      </c>
      <c r="I9571" t="str" cm="1">
        <f t="array" ref="I9571">_xlfn.XLOOKUP(FACT_IMPORTS[[#This Row],[country_name]],DIM_COUNTRY[[#All],[Column2]],DIM_COUNTRY[[#All],[Column3]],,,)</f>
        <v>USMCA</v>
      </c>
    </row>
    <row r="9572" spans="1:9" x14ac:dyDescent="0.4">
      <c r="A9572" t="s">
        <v>64</v>
      </c>
      <c r="B9572" s="1">
        <v>45261</v>
      </c>
      <c r="C9572">
        <v>870899</v>
      </c>
      <c r="D9572" t="s">
        <v>176</v>
      </c>
      <c r="E9572">
        <v>260813</v>
      </c>
      <c r="F9572">
        <v>5110</v>
      </c>
      <c r="G9572">
        <v>7024</v>
      </c>
      <c r="H9572">
        <f>_xlfn.XLOOKUP(FACT_IMPORTS[[#This Row],[hts_6]],DIM_PRODUCTS[hts_6],DIM_PRODUCTS[hts_4],,,)</f>
        <v>8708</v>
      </c>
      <c r="I9572" t="str" cm="1">
        <f t="array" ref="I9572">_xlfn.XLOOKUP(FACT_IMPORTS[[#This Row],[country_name]],DIM_COUNTRY[[#All],[Column2]],DIM_COUNTRY[[#All],[Column3]],,,)</f>
        <v>USMCA</v>
      </c>
    </row>
    <row r="9573" spans="1:9" x14ac:dyDescent="0.4">
      <c r="A9573" t="s">
        <v>64</v>
      </c>
      <c r="B9573" s="1">
        <v>45261</v>
      </c>
      <c r="C9573">
        <v>940120</v>
      </c>
      <c r="D9573" t="s">
        <v>176</v>
      </c>
      <c r="E9573">
        <v>23690</v>
      </c>
      <c r="F9573">
        <v>69</v>
      </c>
      <c r="G9573">
        <v>240</v>
      </c>
      <c r="H9573">
        <f>_xlfn.XLOOKUP(FACT_IMPORTS[[#This Row],[hts_6]],DIM_PRODUCTS[hts_6],DIM_PRODUCTS[hts_4],,,)</f>
        <v>9401</v>
      </c>
      <c r="I9573" t="str" cm="1">
        <f t="array" ref="I9573">_xlfn.XLOOKUP(FACT_IMPORTS[[#This Row],[country_name]],DIM_COUNTRY[[#All],[Column2]],DIM_COUNTRY[[#All],[Column3]],,,)</f>
        <v>USMCA</v>
      </c>
    </row>
    <row r="9574" spans="1:9" x14ac:dyDescent="0.4">
      <c r="A9574" t="s">
        <v>64</v>
      </c>
      <c r="B9574" s="1">
        <v>45292</v>
      </c>
      <c r="C9574">
        <v>392630</v>
      </c>
      <c r="D9574" t="s">
        <v>176</v>
      </c>
      <c r="E9574">
        <v>1980</v>
      </c>
      <c r="F9574">
        <v>930</v>
      </c>
      <c r="G9574">
        <v>57</v>
      </c>
      <c r="H9574">
        <f>_xlfn.XLOOKUP(FACT_IMPORTS[[#This Row],[hts_6]],DIM_PRODUCTS[hts_6],DIM_PRODUCTS[hts_4],,,)</f>
        <v>3926</v>
      </c>
      <c r="I9574" t="str" cm="1">
        <f t="array" ref="I9574">_xlfn.XLOOKUP(FACT_IMPORTS[[#This Row],[country_name]],DIM_COUNTRY[[#All],[Column2]],DIM_COUNTRY[[#All],[Column3]],,,)</f>
        <v>USMCA</v>
      </c>
    </row>
    <row r="9575" spans="1:9" x14ac:dyDescent="0.4">
      <c r="A9575" t="s">
        <v>64</v>
      </c>
      <c r="B9575" s="1">
        <v>45292</v>
      </c>
      <c r="C9575">
        <v>401110</v>
      </c>
      <c r="D9575" t="s">
        <v>176</v>
      </c>
      <c r="E9575">
        <v>1077</v>
      </c>
      <c r="F9575">
        <v>8</v>
      </c>
      <c r="G9575">
        <v>3</v>
      </c>
      <c r="H9575">
        <f>_xlfn.XLOOKUP(FACT_IMPORTS[[#This Row],[hts_6]],DIM_PRODUCTS[hts_6],DIM_PRODUCTS[hts_4],,,)</f>
        <v>4011</v>
      </c>
      <c r="I9575" t="str" cm="1">
        <f t="array" ref="I9575">_xlfn.XLOOKUP(FACT_IMPORTS[[#This Row],[country_name]],DIM_COUNTRY[[#All],[Column2]],DIM_COUNTRY[[#All],[Column3]],,,)</f>
        <v>USMCA</v>
      </c>
    </row>
    <row r="9576" spans="1:9" x14ac:dyDescent="0.4">
      <c r="A9576" t="s">
        <v>64</v>
      </c>
      <c r="B9576" s="1">
        <v>45292</v>
      </c>
      <c r="C9576">
        <v>401120</v>
      </c>
      <c r="D9576" t="s">
        <v>176</v>
      </c>
      <c r="E9576">
        <v>0</v>
      </c>
      <c r="F9576">
        <v>0</v>
      </c>
      <c r="G9576">
        <v>0</v>
      </c>
      <c r="H9576">
        <f>_xlfn.XLOOKUP(FACT_IMPORTS[[#This Row],[hts_6]],DIM_PRODUCTS[hts_6],DIM_PRODUCTS[hts_4],,,)</f>
        <v>4011</v>
      </c>
      <c r="I9576" t="str" cm="1">
        <f t="array" ref="I9576">_xlfn.XLOOKUP(FACT_IMPORTS[[#This Row],[country_name]],DIM_COUNTRY[[#All],[Column2]],DIM_COUNTRY[[#All],[Column3]],,,)</f>
        <v>USMCA</v>
      </c>
    </row>
    <row r="9577" spans="1:9" x14ac:dyDescent="0.4">
      <c r="A9577" t="s">
        <v>64</v>
      </c>
      <c r="B9577" s="1">
        <v>45292</v>
      </c>
      <c r="C9577">
        <v>700711</v>
      </c>
      <c r="D9577" t="s">
        <v>176</v>
      </c>
      <c r="E9577">
        <v>0</v>
      </c>
      <c r="F9577">
        <v>0</v>
      </c>
      <c r="G9577">
        <v>0</v>
      </c>
      <c r="H9577">
        <f>_xlfn.XLOOKUP(FACT_IMPORTS[[#This Row],[hts_6]],DIM_PRODUCTS[hts_6],DIM_PRODUCTS[hts_4],,,)</f>
        <v>7007</v>
      </c>
      <c r="I9577" t="str" cm="1">
        <f t="array" ref="I9577">_xlfn.XLOOKUP(FACT_IMPORTS[[#This Row],[country_name]],DIM_COUNTRY[[#All],[Column2]],DIM_COUNTRY[[#All],[Column3]],,,)</f>
        <v>USMCA</v>
      </c>
    </row>
    <row r="9578" spans="1:9" x14ac:dyDescent="0.4">
      <c r="A9578" t="s">
        <v>64</v>
      </c>
      <c r="B9578" s="1">
        <v>45292</v>
      </c>
      <c r="C9578">
        <v>700721</v>
      </c>
      <c r="D9578" t="s">
        <v>176</v>
      </c>
      <c r="E9578">
        <v>8292</v>
      </c>
      <c r="F9578">
        <v>19</v>
      </c>
      <c r="G9578">
        <v>150</v>
      </c>
      <c r="H9578">
        <f>_xlfn.XLOOKUP(FACT_IMPORTS[[#This Row],[hts_6]],DIM_PRODUCTS[hts_6],DIM_PRODUCTS[hts_4],,,)</f>
        <v>7007</v>
      </c>
      <c r="I9578" t="str" cm="1">
        <f t="array" ref="I9578">_xlfn.XLOOKUP(FACT_IMPORTS[[#This Row],[country_name]],DIM_COUNTRY[[#All],[Column2]],DIM_COUNTRY[[#All],[Column3]],,,)</f>
        <v>USMCA</v>
      </c>
    </row>
    <row r="9579" spans="1:9" x14ac:dyDescent="0.4">
      <c r="A9579" t="s">
        <v>64</v>
      </c>
      <c r="B9579" s="1">
        <v>45292</v>
      </c>
      <c r="C9579">
        <v>700910</v>
      </c>
      <c r="D9579" t="s">
        <v>176</v>
      </c>
      <c r="E9579">
        <v>0</v>
      </c>
      <c r="F9579">
        <v>0</v>
      </c>
      <c r="G9579">
        <v>0</v>
      </c>
      <c r="H9579">
        <f>_xlfn.XLOOKUP(FACT_IMPORTS[[#This Row],[hts_6]],DIM_PRODUCTS[hts_6],DIM_PRODUCTS[hts_4],,,)</f>
        <v>7009</v>
      </c>
      <c r="I9579" t="str" cm="1">
        <f t="array" ref="I9579">_xlfn.XLOOKUP(FACT_IMPORTS[[#This Row],[country_name]],DIM_COUNTRY[[#All],[Column2]],DIM_COUNTRY[[#All],[Column3]],,,)</f>
        <v>USMCA</v>
      </c>
    </row>
    <row r="9580" spans="1:9" x14ac:dyDescent="0.4">
      <c r="A9580" t="s">
        <v>64</v>
      </c>
      <c r="B9580" s="1">
        <v>45292</v>
      </c>
      <c r="C9580">
        <v>732010</v>
      </c>
      <c r="D9580" t="s">
        <v>176</v>
      </c>
      <c r="E9580">
        <v>0</v>
      </c>
      <c r="F9580">
        <v>0</v>
      </c>
      <c r="G9580">
        <v>0</v>
      </c>
      <c r="H9580">
        <f>_xlfn.XLOOKUP(FACT_IMPORTS[[#This Row],[hts_6]],DIM_PRODUCTS[hts_6],DIM_PRODUCTS[hts_4],,,)</f>
        <v>7320</v>
      </c>
      <c r="I9580" t="str" cm="1">
        <f t="array" ref="I9580">_xlfn.XLOOKUP(FACT_IMPORTS[[#This Row],[country_name]],DIM_COUNTRY[[#All],[Column2]],DIM_COUNTRY[[#All],[Column3]],,,)</f>
        <v>USMCA</v>
      </c>
    </row>
    <row r="9581" spans="1:9" x14ac:dyDescent="0.4">
      <c r="A9581" t="s">
        <v>64</v>
      </c>
      <c r="B9581" s="1">
        <v>45292</v>
      </c>
      <c r="C9581">
        <v>830230</v>
      </c>
      <c r="D9581" t="s">
        <v>176</v>
      </c>
      <c r="E9581">
        <v>2127</v>
      </c>
      <c r="F9581">
        <v>283</v>
      </c>
      <c r="G9581">
        <v>90</v>
      </c>
      <c r="H9581">
        <f>_xlfn.XLOOKUP(FACT_IMPORTS[[#This Row],[hts_6]],DIM_PRODUCTS[hts_6],DIM_PRODUCTS[hts_4],,,)</f>
        <v>8302</v>
      </c>
      <c r="I9581" t="str" cm="1">
        <f t="array" ref="I9581">_xlfn.XLOOKUP(FACT_IMPORTS[[#This Row],[country_name]],DIM_COUNTRY[[#All],[Column2]],DIM_COUNTRY[[#All],[Column3]],,,)</f>
        <v>USMCA</v>
      </c>
    </row>
    <row r="9582" spans="1:9" x14ac:dyDescent="0.4">
      <c r="A9582" t="s">
        <v>64</v>
      </c>
      <c r="B9582" s="1">
        <v>45292</v>
      </c>
      <c r="C9582">
        <v>840733</v>
      </c>
      <c r="D9582" t="s">
        <v>176</v>
      </c>
      <c r="E9582">
        <v>34000</v>
      </c>
      <c r="F9582">
        <v>4</v>
      </c>
      <c r="G9582">
        <v>900</v>
      </c>
      <c r="H9582">
        <f>_xlfn.XLOOKUP(FACT_IMPORTS[[#This Row],[hts_6]],DIM_PRODUCTS[hts_6],DIM_PRODUCTS[hts_4],,,)</f>
        <v>8407</v>
      </c>
      <c r="I9582" t="str" cm="1">
        <f t="array" ref="I9582">_xlfn.XLOOKUP(FACT_IMPORTS[[#This Row],[country_name]],DIM_COUNTRY[[#All],[Column2]],DIM_COUNTRY[[#All],[Column3]],,,)</f>
        <v>USMCA</v>
      </c>
    </row>
    <row r="9583" spans="1:9" x14ac:dyDescent="0.4">
      <c r="A9583" t="s">
        <v>64</v>
      </c>
      <c r="B9583" s="1">
        <v>45292</v>
      </c>
      <c r="C9583">
        <v>840734</v>
      </c>
      <c r="D9583" t="s">
        <v>176</v>
      </c>
      <c r="E9583">
        <v>34324</v>
      </c>
      <c r="F9583">
        <v>37</v>
      </c>
      <c r="G9583">
        <v>531</v>
      </c>
      <c r="H9583">
        <f>_xlfn.XLOOKUP(FACT_IMPORTS[[#This Row],[hts_6]],DIM_PRODUCTS[hts_6],DIM_PRODUCTS[hts_4],,,)</f>
        <v>8407</v>
      </c>
      <c r="I9583" t="str" cm="1">
        <f t="array" ref="I9583">_xlfn.XLOOKUP(FACT_IMPORTS[[#This Row],[country_name]],DIM_COUNTRY[[#All],[Column2]],DIM_COUNTRY[[#All],[Column3]],,,)</f>
        <v>USMCA</v>
      </c>
    </row>
    <row r="9584" spans="1:9" x14ac:dyDescent="0.4">
      <c r="A9584" t="s">
        <v>64</v>
      </c>
      <c r="B9584" s="1">
        <v>45292</v>
      </c>
      <c r="C9584">
        <v>840820</v>
      </c>
      <c r="D9584" t="s">
        <v>176</v>
      </c>
      <c r="E9584">
        <v>31780</v>
      </c>
      <c r="F9584">
        <v>5</v>
      </c>
      <c r="G9584">
        <v>82</v>
      </c>
      <c r="H9584">
        <f>_xlfn.XLOOKUP(FACT_IMPORTS[[#This Row],[hts_6]],DIM_PRODUCTS[hts_6],DIM_PRODUCTS[hts_4],,,)</f>
        <v>8408</v>
      </c>
      <c r="I9584" t="str" cm="1">
        <f t="array" ref="I9584">_xlfn.XLOOKUP(FACT_IMPORTS[[#This Row],[country_name]],DIM_COUNTRY[[#All],[Column2]],DIM_COUNTRY[[#All],[Column3]],,,)</f>
        <v>USMCA</v>
      </c>
    </row>
    <row r="9585" spans="1:9" x14ac:dyDescent="0.4">
      <c r="A9585" t="s">
        <v>64</v>
      </c>
      <c r="B9585" s="1">
        <v>45292</v>
      </c>
      <c r="C9585">
        <v>840890</v>
      </c>
      <c r="D9585" t="s">
        <v>176</v>
      </c>
      <c r="E9585">
        <v>9900</v>
      </c>
      <c r="F9585">
        <v>4</v>
      </c>
      <c r="G9585">
        <v>45</v>
      </c>
      <c r="H9585">
        <f>_xlfn.XLOOKUP(FACT_IMPORTS[[#This Row],[hts_6]],DIM_PRODUCTS[hts_6],DIM_PRODUCTS[hts_4],,,)</f>
        <v>8408</v>
      </c>
      <c r="I9585" t="str" cm="1">
        <f t="array" ref="I9585">_xlfn.XLOOKUP(FACT_IMPORTS[[#This Row],[country_name]],DIM_COUNTRY[[#All],[Column2]],DIM_COUNTRY[[#All],[Column3]],,,)</f>
        <v>USMCA</v>
      </c>
    </row>
    <row r="9586" spans="1:9" x14ac:dyDescent="0.4">
      <c r="A9586" t="s">
        <v>64</v>
      </c>
      <c r="B9586" s="1">
        <v>45292</v>
      </c>
      <c r="C9586">
        <v>840991</v>
      </c>
      <c r="D9586" t="s">
        <v>176</v>
      </c>
      <c r="E9586">
        <v>386082</v>
      </c>
      <c r="F9586">
        <v>48535</v>
      </c>
      <c r="G9586">
        <v>2714</v>
      </c>
      <c r="H9586">
        <f>_xlfn.XLOOKUP(FACT_IMPORTS[[#This Row],[hts_6]],DIM_PRODUCTS[hts_6],DIM_PRODUCTS[hts_4],,,)</f>
        <v>8409</v>
      </c>
      <c r="I9586" t="str" cm="1">
        <f t="array" ref="I9586">_xlfn.XLOOKUP(FACT_IMPORTS[[#This Row],[country_name]],DIM_COUNTRY[[#All],[Column2]],DIM_COUNTRY[[#All],[Column3]],,,)</f>
        <v>USMCA</v>
      </c>
    </row>
    <row r="9587" spans="1:9" x14ac:dyDescent="0.4">
      <c r="A9587" t="s">
        <v>64</v>
      </c>
      <c r="B9587" s="1">
        <v>45292</v>
      </c>
      <c r="C9587">
        <v>840999</v>
      </c>
      <c r="D9587" t="s">
        <v>176</v>
      </c>
      <c r="E9587">
        <v>133240</v>
      </c>
      <c r="F9587">
        <v>3852</v>
      </c>
      <c r="G9587">
        <v>1425</v>
      </c>
      <c r="H9587">
        <f>_xlfn.XLOOKUP(FACT_IMPORTS[[#This Row],[hts_6]],DIM_PRODUCTS[hts_6],DIM_PRODUCTS[hts_4],,,)</f>
        <v>8409</v>
      </c>
      <c r="I9587" t="str" cm="1">
        <f t="array" ref="I9587">_xlfn.XLOOKUP(FACT_IMPORTS[[#This Row],[country_name]],DIM_COUNTRY[[#All],[Column2]],DIM_COUNTRY[[#All],[Column3]],,,)</f>
        <v>USMCA</v>
      </c>
    </row>
    <row r="9588" spans="1:9" x14ac:dyDescent="0.4">
      <c r="A9588" t="s">
        <v>64</v>
      </c>
      <c r="B9588" s="1">
        <v>45292</v>
      </c>
      <c r="C9588">
        <v>841330</v>
      </c>
      <c r="D9588" t="s">
        <v>176</v>
      </c>
      <c r="E9588">
        <v>41442</v>
      </c>
      <c r="F9588">
        <v>21</v>
      </c>
      <c r="G9588">
        <v>60</v>
      </c>
      <c r="H9588">
        <f>_xlfn.XLOOKUP(FACT_IMPORTS[[#This Row],[hts_6]],DIM_PRODUCTS[hts_6],DIM_PRODUCTS[hts_4],,,)</f>
        <v>8413</v>
      </c>
      <c r="I9588" t="str" cm="1">
        <f t="array" ref="I9588">_xlfn.XLOOKUP(FACT_IMPORTS[[#This Row],[country_name]],DIM_COUNTRY[[#All],[Column2]],DIM_COUNTRY[[#All],[Column3]],,,)</f>
        <v>USMCA</v>
      </c>
    </row>
    <row r="9589" spans="1:9" x14ac:dyDescent="0.4">
      <c r="A9589" t="s">
        <v>64</v>
      </c>
      <c r="B9589" s="1">
        <v>45292</v>
      </c>
      <c r="C9589">
        <v>842132</v>
      </c>
      <c r="D9589" t="s">
        <v>176</v>
      </c>
      <c r="E9589">
        <v>171585</v>
      </c>
      <c r="F9589">
        <v>701</v>
      </c>
      <c r="G9589">
        <v>1461</v>
      </c>
      <c r="H9589">
        <f>_xlfn.XLOOKUP(FACT_IMPORTS[[#This Row],[hts_6]],DIM_PRODUCTS[hts_6],DIM_PRODUCTS[hts_4],,,)</f>
        <v>8421</v>
      </c>
      <c r="I9589" t="str" cm="1">
        <f t="array" ref="I9589">_xlfn.XLOOKUP(FACT_IMPORTS[[#This Row],[country_name]],DIM_COUNTRY[[#All],[Column2]],DIM_COUNTRY[[#All],[Column3]],,,)</f>
        <v>USMCA</v>
      </c>
    </row>
    <row r="9590" spans="1:9" x14ac:dyDescent="0.4">
      <c r="A9590" t="s">
        <v>64</v>
      </c>
      <c r="B9590" s="1">
        <v>45292</v>
      </c>
      <c r="C9590">
        <v>848210</v>
      </c>
      <c r="D9590" t="s">
        <v>176</v>
      </c>
      <c r="E9590">
        <v>0</v>
      </c>
      <c r="F9590">
        <v>0</v>
      </c>
      <c r="G9590">
        <v>0</v>
      </c>
      <c r="H9590">
        <f>_xlfn.XLOOKUP(FACT_IMPORTS[[#This Row],[hts_6]],DIM_PRODUCTS[hts_6],DIM_PRODUCTS[hts_4],,,)</f>
        <v>8482</v>
      </c>
      <c r="I9590" t="str" cm="1">
        <f t="array" ref="I9590">_xlfn.XLOOKUP(FACT_IMPORTS[[#This Row],[country_name]],DIM_COUNTRY[[#All],[Column2]],DIM_COUNTRY[[#All],[Column3]],,,)</f>
        <v>USMCA</v>
      </c>
    </row>
    <row r="9591" spans="1:9" x14ac:dyDescent="0.4">
      <c r="A9591" t="s">
        <v>64</v>
      </c>
      <c r="B9591" s="1">
        <v>45292</v>
      </c>
      <c r="C9591">
        <v>848220</v>
      </c>
      <c r="D9591" t="s">
        <v>176</v>
      </c>
      <c r="E9591">
        <v>0</v>
      </c>
      <c r="F9591">
        <v>0</v>
      </c>
      <c r="G9591">
        <v>0</v>
      </c>
      <c r="H9591">
        <f>_xlfn.XLOOKUP(FACT_IMPORTS[[#This Row],[hts_6]],DIM_PRODUCTS[hts_6],DIM_PRODUCTS[hts_4],,,)</f>
        <v>8482</v>
      </c>
      <c r="I9591" t="str" cm="1">
        <f t="array" ref="I9591">_xlfn.XLOOKUP(FACT_IMPORTS[[#This Row],[country_name]],DIM_COUNTRY[[#All],[Column2]],DIM_COUNTRY[[#All],[Column3]],,,)</f>
        <v>USMCA</v>
      </c>
    </row>
    <row r="9592" spans="1:9" x14ac:dyDescent="0.4">
      <c r="A9592" t="s">
        <v>64</v>
      </c>
      <c r="B9592" s="1">
        <v>45292</v>
      </c>
      <c r="C9592">
        <v>848310</v>
      </c>
      <c r="D9592" t="s">
        <v>176</v>
      </c>
      <c r="E9592">
        <v>0</v>
      </c>
      <c r="F9592">
        <v>0</v>
      </c>
      <c r="G9592">
        <v>0</v>
      </c>
      <c r="H9592">
        <f>_xlfn.XLOOKUP(FACT_IMPORTS[[#This Row],[hts_6]],DIM_PRODUCTS[hts_6],DIM_PRODUCTS[hts_4],,,)</f>
        <v>8483</v>
      </c>
      <c r="I9592" t="str" cm="1">
        <f t="array" ref="I9592">_xlfn.XLOOKUP(FACT_IMPORTS[[#This Row],[country_name]],DIM_COUNTRY[[#All],[Column2]],DIM_COUNTRY[[#All],[Column3]],,,)</f>
        <v>USMCA</v>
      </c>
    </row>
    <row r="9593" spans="1:9" x14ac:dyDescent="0.4">
      <c r="A9593" t="s">
        <v>64</v>
      </c>
      <c r="B9593" s="1">
        <v>45292</v>
      </c>
      <c r="C9593">
        <v>850131</v>
      </c>
      <c r="D9593" t="s">
        <v>176</v>
      </c>
      <c r="E9593">
        <v>13477</v>
      </c>
      <c r="F9593">
        <v>845</v>
      </c>
      <c r="G9593">
        <v>298</v>
      </c>
      <c r="H9593">
        <f>_xlfn.XLOOKUP(FACT_IMPORTS[[#This Row],[hts_6]],DIM_PRODUCTS[hts_6],DIM_PRODUCTS[hts_4],,,)</f>
        <v>8501</v>
      </c>
      <c r="I9593" t="str" cm="1">
        <f t="array" ref="I9593">_xlfn.XLOOKUP(FACT_IMPORTS[[#This Row],[country_name]],DIM_COUNTRY[[#All],[Column2]],DIM_COUNTRY[[#All],[Column3]],,,)</f>
        <v>USMCA</v>
      </c>
    </row>
    <row r="9594" spans="1:9" x14ac:dyDescent="0.4">
      <c r="A9594" t="s">
        <v>64</v>
      </c>
      <c r="B9594" s="1">
        <v>45292</v>
      </c>
      <c r="C9594">
        <v>850132</v>
      </c>
      <c r="D9594" t="s">
        <v>176</v>
      </c>
      <c r="E9594">
        <v>0</v>
      </c>
      <c r="F9594">
        <v>0</v>
      </c>
      <c r="G9594">
        <v>0</v>
      </c>
      <c r="H9594">
        <f>_xlfn.XLOOKUP(FACT_IMPORTS[[#This Row],[hts_6]],DIM_PRODUCTS[hts_6],DIM_PRODUCTS[hts_4],,,)</f>
        <v>8501</v>
      </c>
      <c r="I9594" t="str" cm="1">
        <f t="array" ref="I9594">_xlfn.XLOOKUP(FACT_IMPORTS[[#This Row],[country_name]],DIM_COUNTRY[[#All],[Column2]],DIM_COUNTRY[[#All],[Column3]],,,)</f>
        <v>USMCA</v>
      </c>
    </row>
    <row r="9595" spans="1:9" x14ac:dyDescent="0.4">
      <c r="A9595" t="s">
        <v>64</v>
      </c>
      <c r="B9595" s="1">
        <v>45292</v>
      </c>
      <c r="C9595">
        <v>850133</v>
      </c>
      <c r="D9595" t="s">
        <v>176</v>
      </c>
      <c r="E9595">
        <v>14801</v>
      </c>
      <c r="F9595">
        <v>1</v>
      </c>
      <c r="G9595">
        <v>75</v>
      </c>
      <c r="H9595">
        <f>_xlfn.XLOOKUP(FACT_IMPORTS[[#This Row],[hts_6]],DIM_PRODUCTS[hts_6],DIM_PRODUCTS[hts_4],,,)</f>
        <v>8501</v>
      </c>
      <c r="I9595" t="str" cm="1">
        <f t="array" ref="I9595">_xlfn.XLOOKUP(FACT_IMPORTS[[#This Row],[country_name]],DIM_COUNTRY[[#All],[Column2]],DIM_COUNTRY[[#All],[Column3]],,,)</f>
        <v>USMCA</v>
      </c>
    </row>
    <row r="9596" spans="1:9" x14ac:dyDescent="0.4">
      <c r="A9596" t="s">
        <v>64</v>
      </c>
      <c r="B9596" s="1">
        <v>45292</v>
      </c>
      <c r="C9596">
        <v>850152</v>
      </c>
      <c r="D9596" t="s">
        <v>176</v>
      </c>
      <c r="E9596">
        <v>119155</v>
      </c>
      <c r="F9596">
        <v>92</v>
      </c>
      <c r="G9596">
        <v>1350</v>
      </c>
      <c r="H9596">
        <f>_xlfn.XLOOKUP(FACT_IMPORTS[[#This Row],[hts_6]],DIM_PRODUCTS[hts_6],DIM_PRODUCTS[hts_4],,,)</f>
        <v>8501</v>
      </c>
      <c r="I9596" t="str" cm="1">
        <f t="array" ref="I9596">_xlfn.XLOOKUP(FACT_IMPORTS[[#This Row],[country_name]],DIM_COUNTRY[[#All],[Column2]],DIM_COUNTRY[[#All],[Column3]],,,)</f>
        <v>USMCA</v>
      </c>
    </row>
    <row r="9597" spans="1:9" x14ac:dyDescent="0.4">
      <c r="A9597" t="s">
        <v>64</v>
      </c>
      <c r="B9597" s="1">
        <v>45292</v>
      </c>
      <c r="C9597">
        <v>850153</v>
      </c>
      <c r="D9597" t="s">
        <v>176</v>
      </c>
      <c r="E9597">
        <v>0</v>
      </c>
      <c r="F9597">
        <v>0</v>
      </c>
      <c r="G9597">
        <v>0</v>
      </c>
      <c r="H9597">
        <f>_xlfn.XLOOKUP(FACT_IMPORTS[[#This Row],[hts_6]],DIM_PRODUCTS[hts_6],DIM_PRODUCTS[hts_4],,,)</f>
        <v>8501</v>
      </c>
      <c r="I9597" t="str" cm="1">
        <f t="array" ref="I9597">_xlfn.XLOOKUP(FACT_IMPORTS[[#This Row],[country_name]],DIM_COUNTRY[[#All],[Column2]],DIM_COUNTRY[[#All],[Column3]],,,)</f>
        <v>USMCA</v>
      </c>
    </row>
    <row r="9598" spans="1:9" x14ac:dyDescent="0.4">
      <c r="A9598" t="s">
        <v>64</v>
      </c>
      <c r="B9598" s="1">
        <v>45292</v>
      </c>
      <c r="C9598">
        <v>850161</v>
      </c>
      <c r="D9598" t="s">
        <v>176</v>
      </c>
      <c r="E9598">
        <v>15000</v>
      </c>
      <c r="F9598">
        <v>1</v>
      </c>
      <c r="G9598">
        <v>250</v>
      </c>
      <c r="H9598">
        <f>_xlfn.XLOOKUP(FACT_IMPORTS[[#This Row],[hts_6]],DIM_PRODUCTS[hts_6],DIM_PRODUCTS[hts_4],,,)</f>
        <v>8501</v>
      </c>
      <c r="I9598" t="str" cm="1">
        <f t="array" ref="I9598">_xlfn.XLOOKUP(FACT_IMPORTS[[#This Row],[country_name]],DIM_COUNTRY[[#All],[Column2]],DIM_COUNTRY[[#All],[Column3]],,,)</f>
        <v>USMCA</v>
      </c>
    </row>
    <row r="9599" spans="1:9" x14ac:dyDescent="0.4">
      <c r="A9599" t="s">
        <v>64</v>
      </c>
      <c r="B9599" s="1">
        <v>45292</v>
      </c>
      <c r="C9599">
        <v>850440</v>
      </c>
      <c r="D9599" t="s">
        <v>176</v>
      </c>
      <c r="E9599">
        <v>276974</v>
      </c>
      <c r="F9599">
        <v>887</v>
      </c>
      <c r="G9599">
        <v>1910</v>
      </c>
      <c r="H9599">
        <f>_xlfn.XLOOKUP(FACT_IMPORTS[[#This Row],[hts_6]],DIM_PRODUCTS[hts_6],DIM_PRODUCTS[hts_4],,,)</f>
        <v>8504</v>
      </c>
      <c r="I9599" t="str" cm="1">
        <f t="array" ref="I9599">_xlfn.XLOOKUP(FACT_IMPORTS[[#This Row],[country_name]],DIM_COUNTRY[[#All],[Column2]],DIM_COUNTRY[[#All],[Column3]],,,)</f>
        <v>USMCA</v>
      </c>
    </row>
    <row r="9600" spans="1:9" x14ac:dyDescent="0.4">
      <c r="A9600" t="s">
        <v>64</v>
      </c>
      <c r="B9600" s="1">
        <v>45292</v>
      </c>
      <c r="C9600">
        <v>850710</v>
      </c>
      <c r="D9600" t="s">
        <v>176</v>
      </c>
      <c r="E9600">
        <v>0</v>
      </c>
      <c r="F9600">
        <v>0</v>
      </c>
      <c r="G9600">
        <v>0</v>
      </c>
      <c r="H9600">
        <f>_xlfn.XLOOKUP(FACT_IMPORTS[[#This Row],[hts_6]],DIM_PRODUCTS[hts_6],DIM_PRODUCTS[hts_4],,,)</f>
        <v>8507</v>
      </c>
      <c r="I9600" t="str" cm="1">
        <f t="array" ref="I9600">_xlfn.XLOOKUP(FACT_IMPORTS[[#This Row],[country_name]],DIM_COUNTRY[[#All],[Column2]],DIM_COUNTRY[[#All],[Column3]],,,)</f>
        <v>USMCA</v>
      </c>
    </row>
    <row r="9601" spans="1:9" x14ac:dyDescent="0.4">
      <c r="A9601" t="s">
        <v>64</v>
      </c>
      <c r="B9601" s="1">
        <v>45292</v>
      </c>
      <c r="C9601">
        <v>850760</v>
      </c>
      <c r="D9601" t="s">
        <v>176</v>
      </c>
      <c r="E9601">
        <v>0</v>
      </c>
      <c r="F9601">
        <v>0</v>
      </c>
      <c r="G9601">
        <v>0</v>
      </c>
      <c r="H9601">
        <f>_xlfn.XLOOKUP(FACT_IMPORTS[[#This Row],[hts_6]],DIM_PRODUCTS[hts_6],DIM_PRODUCTS[hts_4],,,)</f>
        <v>8507</v>
      </c>
      <c r="I9601" t="str" cm="1">
        <f t="array" ref="I9601">_xlfn.XLOOKUP(FACT_IMPORTS[[#This Row],[country_name]],DIM_COUNTRY[[#All],[Column2]],DIM_COUNTRY[[#All],[Column3]],,,)</f>
        <v>USMCA</v>
      </c>
    </row>
    <row r="9602" spans="1:9" x14ac:dyDescent="0.4">
      <c r="A9602" t="s">
        <v>64</v>
      </c>
      <c r="B9602" s="1">
        <v>45292</v>
      </c>
      <c r="C9602">
        <v>851110</v>
      </c>
      <c r="D9602" t="s">
        <v>176</v>
      </c>
      <c r="E9602">
        <v>0</v>
      </c>
      <c r="F9602">
        <v>0</v>
      </c>
      <c r="G9602">
        <v>0</v>
      </c>
      <c r="H9602">
        <f>_xlfn.XLOOKUP(FACT_IMPORTS[[#This Row],[hts_6]],DIM_PRODUCTS[hts_6],DIM_PRODUCTS[hts_4],,,)</f>
        <v>8511</v>
      </c>
      <c r="I9602" t="str" cm="1">
        <f t="array" ref="I9602">_xlfn.XLOOKUP(FACT_IMPORTS[[#This Row],[country_name]],DIM_COUNTRY[[#All],[Column2]],DIM_COUNTRY[[#All],[Column3]],,,)</f>
        <v>USMCA</v>
      </c>
    </row>
    <row r="9603" spans="1:9" x14ac:dyDescent="0.4">
      <c r="A9603" t="s">
        <v>64</v>
      </c>
      <c r="B9603" s="1">
        <v>45292</v>
      </c>
      <c r="C9603">
        <v>851120</v>
      </c>
      <c r="D9603" t="s">
        <v>176</v>
      </c>
      <c r="E9603">
        <v>0</v>
      </c>
      <c r="F9603">
        <v>0</v>
      </c>
      <c r="G9603">
        <v>0</v>
      </c>
      <c r="H9603">
        <f>_xlfn.XLOOKUP(FACT_IMPORTS[[#This Row],[hts_6]],DIM_PRODUCTS[hts_6],DIM_PRODUCTS[hts_4],,,)</f>
        <v>8511</v>
      </c>
      <c r="I9603" t="str" cm="1">
        <f t="array" ref="I9603">_xlfn.XLOOKUP(FACT_IMPORTS[[#This Row],[country_name]],DIM_COUNTRY[[#All],[Column2]],DIM_COUNTRY[[#All],[Column3]],,,)</f>
        <v>USMCA</v>
      </c>
    </row>
    <row r="9604" spans="1:9" x14ac:dyDescent="0.4">
      <c r="A9604" t="s">
        <v>64</v>
      </c>
      <c r="B9604" s="1">
        <v>45292</v>
      </c>
      <c r="C9604">
        <v>851140</v>
      </c>
      <c r="D9604" t="s">
        <v>176</v>
      </c>
      <c r="E9604">
        <v>41493</v>
      </c>
      <c r="F9604">
        <v>214</v>
      </c>
      <c r="G9604">
        <v>266</v>
      </c>
      <c r="H9604">
        <f>_xlfn.XLOOKUP(FACT_IMPORTS[[#This Row],[hts_6]],DIM_PRODUCTS[hts_6],DIM_PRODUCTS[hts_4],,,)</f>
        <v>8511</v>
      </c>
      <c r="I9604" t="str" cm="1">
        <f t="array" ref="I9604">_xlfn.XLOOKUP(FACT_IMPORTS[[#This Row],[country_name]],DIM_COUNTRY[[#All],[Column2]],DIM_COUNTRY[[#All],[Column3]],,,)</f>
        <v>USMCA</v>
      </c>
    </row>
    <row r="9605" spans="1:9" x14ac:dyDescent="0.4">
      <c r="A9605" t="s">
        <v>64</v>
      </c>
      <c r="B9605" s="1">
        <v>45292</v>
      </c>
      <c r="C9605">
        <v>851150</v>
      </c>
      <c r="D9605" t="s">
        <v>176</v>
      </c>
      <c r="E9605">
        <v>13231</v>
      </c>
      <c r="F9605">
        <v>137</v>
      </c>
      <c r="G9605">
        <v>67</v>
      </c>
      <c r="H9605">
        <f>_xlfn.XLOOKUP(FACT_IMPORTS[[#This Row],[hts_6]],DIM_PRODUCTS[hts_6],DIM_PRODUCTS[hts_4],,,)</f>
        <v>8511</v>
      </c>
      <c r="I9605" t="str" cm="1">
        <f t="array" ref="I9605">_xlfn.XLOOKUP(FACT_IMPORTS[[#This Row],[country_name]],DIM_COUNTRY[[#All],[Column2]],DIM_COUNTRY[[#All],[Column3]],,,)</f>
        <v>USMCA</v>
      </c>
    </row>
    <row r="9606" spans="1:9" x14ac:dyDescent="0.4">
      <c r="A9606" t="s">
        <v>64</v>
      </c>
      <c r="B9606" s="1">
        <v>45292</v>
      </c>
      <c r="C9606">
        <v>851180</v>
      </c>
      <c r="D9606" t="s">
        <v>176</v>
      </c>
      <c r="E9606">
        <v>0</v>
      </c>
      <c r="F9606">
        <v>0</v>
      </c>
      <c r="G9606">
        <v>0</v>
      </c>
      <c r="H9606">
        <f>_xlfn.XLOOKUP(FACT_IMPORTS[[#This Row],[hts_6]],DIM_PRODUCTS[hts_6],DIM_PRODUCTS[hts_4],,,)</f>
        <v>8511</v>
      </c>
      <c r="I9606" t="str" cm="1">
        <f t="array" ref="I9606">_xlfn.XLOOKUP(FACT_IMPORTS[[#This Row],[country_name]],DIM_COUNTRY[[#All],[Column2]],DIM_COUNTRY[[#All],[Column3]],,,)</f>
        <v>USMCA</v>
      </c>
    </row>
    <row r="9607" spans="1:9" x14ac:dyDescent="0.4">
      <c r="A9607" t="s">
        <v>64</v>
      </c>
      <c r="B9607" s="1">
        <v>45292</v>
      </c>
      <c r="C9607">
        <v>851190</v>
      </c>
      <c r="D9607" t="s">
        <v>176</v>
      </c>
      <c r="E9607">
        <v>0</v>
      </c>
      <c r="F9607">
        <v>0</v>
      </c>
      <c r="G9607">
        <v>0</v>
      </c>
      <c r="H9607">
        <f>_xlfn.XLOOKUP(FACT_IMPORTS[[#This Row],[hts_6]],DIM_PRODUCTS[hts_6],DIM_PRODUCTS[hts_4],,,)</f>
        <v>8511</v>
      </c>
      <c r="I9607" t="str" cm="1">
        <f t="array" ref="I9607">_xlfn.XLOOKUP(FACT_IMPORTS[[#This Row],[country_name]],DIM_COUNTRY[[#All],[Column2]],DIM_COUNTRY[[#All],[Column3]],,,)</f>
        <v>USMCA</v>
      </c>
    </row>
    <row r="9608" spans="1:9" x14ac:dyDescent="0.4">
      <c r="A9608" t="s">
        <v>64</v>
      </c>
      <c r="B9608" s="1">
        <v>45292</v>
      </c>
      <c r="C9608">
        <v>851220</v>
      </c>
      <c r="D9608" t="s">
        <v>176</v>
      </c>
      <c r="E9608">
        <v>184570</v>
      </c>
      <c r="F9608">
        <v>11608</v>
      </c>
      <c r="G9608">
        <v>7216</v>
      </c>
      <c r="H9608">
        <f>_xlfn.XLOOKUP(FACT_IMPORTS[[#This Row],[hts_6]],DIM_PRODUCTS[hts_6],DIM_PRODUCTS[hts_4],,,)</f>
        <v>8512</v>
      </c>
      <c r="I9608" t="str" cm="1">
        <f t="array" ref="I9608">_xlfn.XLOOKUP(FACT_IMPORTS[[#This Row],[country_name]],DIM_COUNTRY[[#All],[Column2]],DIM_COUNTRY[[#All],[Column3]],,,)</f>
        <v>USMCA</v>
      </c>
    </row>
    <row r="9609" spans="1:9" x14ac:dyDescent="0.4">
      <c r="A9609" t="s">
        <v>64</v>
      </c>
      <c r="B9609" s="1">
        <v>45292</v>
      </c>
      <c r="C9609">
        <v>851230</v>
      </c>
      <c r="D9609" t="s">
        <v>176</v>
      </c>
      <c r="E9609">
        <v>0</v>
      </c>
      <c r="F9609">
        <v>0</v>
      </c>
      <c r="G9609">
        <v>0</v>
      </c>
      <c r="H9609">
        <f>_xlfn.XLOOKUP(FACT_IMPORTS[[#This Row],[hts_6]],DIM_PRODUCTS[hts_6],DIM_PRODUCTS[hts_4],,,)</f>
        <v>8512</v>
      </c>
      <c r="I9609" t="str" cm="1">
        <f t="array" ref="I9609">_xlfn.XLOOKUP(FACT_IMPORTS[[#This Row],[country_name]],DIM_COUNTRY[[#All],[Column2]],DIM_COUNTRY[[#All],[Column3]],,,)</f>
        <v>USMCA</v>
      </c>
    </row>
    <row r="9610" spans="1:9" x14ac:dyDescent="0.4">
      <c r="A9610" t="s">
        <v>64</v>
      </c>
      <c r="B9610" s="1">
        <v>45292</v>
      </c>
      <c r="C9610">
        <v>851290</v>
      </c>
      <c r="D9610" t="s">
        <v>176</v>
      </c>
      <c r="E9610">
        <v>8467</v>
      </c>
      <c r="F9610">
        <v>451</v>
      </c>
      <c r="G9610">
        <v>381</v>
      </c>
      <c r="H9610">
        <f>_xlfn.XLOOKUP(FACT_IMPORTS[[#This Row],[hts_6]],DIM_PRODUCTS[hts_6],DIM_PRODUCTS[hts_4],,,)</f>
        <v>8512</v>
      </c>
      <c r="I9610" t="str" cm="1">
        <f t="array" ref="I9610">_xlfn.XLOOKUP(FACT_IMPORTS[[#This Row],[country_name]],DIM_COUNTRY[[#All],[Column2]],DIM_COUNTRY[[#All],[Column3]],,,)</f>
        <v>USMCA</v>
      </c>
    </row>
    <row r="9611" spans="1:9" x14ac:dyDescent="0.4">
      <c r="A9611" t="s">
        <v>64</v>
      </c>
      <c r="B9611" s="1">
        <v>45292</v>
      </c>
      <c r="C9611">
        <v>854231</v>
      </c>
      <c r="D9611" t="s">
        <v>176</v>
      </c>
      <c r="E9611">
        <v>0</v>
      </c>
      <c r="F9611">
        <v>0</v>
      </c>
      <c r="G9611">
        <v>0</v>
      </c>
      <c r="H9611">
        <f>_xlfn.XLOOKUP(FACT_IMPORTS[[#This Row],[hts_6]],DIM_PRODUCTS[hts_6],DIM_PRODUCTS[hts_4],,,)</f>
        <v>8542</v>
      </c>
      <c r="I9611" t="str" cm="1">
        <f t="array" ref="I9611">_xlfn.XLOOKUP(FACT_IMPORTS[[#This Row],[country_name]],DIM_COUNTRY[[#All],[Column2]],DIM_COUNTRY[[#All],[Column3]],,,)</f>
        <v>USMCA</v>
      </c>
    </row>
    <row r="9612" spans="1:9" x14ac:dyDescent="0.4">
      <c r="A9612" t="s">
        <v>64</v>
      </c>
      <c r="B9612" s="1">
        <v>45292</v>
      </c>
      <c r="C9612">
        <v>854239</v>
      </c>
      <c r="D9612" t="s">
        <v>176</v>
      </c>
      <c r="E9612">
        <v>0</v>
      </c>
      <c r="F9612">
        <v>0</v>
      </c>
      <c r="G9612">
        <v>0</v>
      </c>
      <c r="H9612">
        <f>_xlfn.XLOOKUP(FACT_IMPORTS[[#This Row],[hts_6]],DIM_PRODUCTS[hts_6],DIM_PRODUCTS[hts_4],,,)</f>
        <v>8542</v>
      </c>
      <c r="I9612" t="str" cm="1">
        <f t="array" ref="I9612">_xlfn.XLOOKUP(FACT_IMPORTS[[#This Row],[country_name]],DIM_COUNTRY[[#All],[Column2]],DIM_COUNTRY[[#All],[Column3]],,,)</f>
        <v>USMCA</v>
      </c>
    </row>
    <row r="9613" spans="1:9" x14ac:dyDescent="0.4">
      <c r="A9613" t="s">
        <v>64</v>
      </c>
      <c r="B9613" s="1">
        <v>45292</v>
      </c>
      <c r="C9613">
        <v>854290</v>
      </c>
      <c r="D9613" t="s">
        <v>176</v>
      </c>
      <c r="E9613">
        <v>2520</v>
      </c>
      <c r="F9613">
        <v>3</v>
      </c>
      <c r="G9613">
        <v>5</v>
      </c>
      <c r="H9613">
        <f>_xlfn.XLOOKUP(FACT_IMPORTS[[#This Row],[hts_6]],DIM_PRODUCTS[hts_6],DIM_PRODUCTS[hts_4],,,)</f>
        <v>8542</v>
      </c>
      <c r="I9613" t="str" cm="1">
        <f t="array" ref="I9613">_xlfn.XLOOKUP(FACT_IMPORTS[[#This Row],[country_name]],DIM_COUNTRY[[#All],[Column2]],DIM_COUNTRY[[#All],[Column3]],,,)</f>
        <v>USMCA</v>
      </c>
    </row>
    <row r="9614" spans="1:9" x14ac:dyDescent="0.4">
      <c r="A9614" t="s">
        <v>64</v>
      </c>
      <c r="B9614" s="1">
        <v>45292</v>
      </c>
      <c r="C9614">
        <v>854430</v>
      </c>
      <c r="D9614" t="s">
        <v>176</v>
      </c>
      <c r="E9614">
        <v>494492</v>
      </c>
      <c r="F9614">
        <v>31937</v>
      </c>
      <c r="G9614">
        <v>3890</v>
      </c>
      <c r="H9614">
        <f>_xlfn.XLOOKUP(FACT_IMPORTS[[#This Row],[hts_6]],DIM_PRODUCTS[hts_6],DIM_PRODUCTS[hts_4],,,)</f>
        <v>8544</v>
      </c>
      <c r="I9614" t="str" cm="1">
        <f t="array" ref="I9614">_xlfn.XLOOKUP(FACT_IMPORTS[[#This Row],[country_name]],DIM_COUNTRY[[#All],[Column2]],DIM_COUNTRY[[#All],[Column3]],,,)</f>
        <v>USMCA</v>
      </c>
    </row>
    <row r="9615" spans="1:9" x14ac:dyDescent="0.4">
      <c r="A9615" t="s">
        <v>64</v>
      </c>
      <c r="B9615" s="1">
        <v>45292</v>
      </c>
      <c r="C9615">
        <v>870810</v>
      </c>
      <c r="D9615" t="s">
        <v>176</v>
      </c>
      <c r="E9615">
        <v>12362</v>
      </c>
      <c r="F9615">
        <v>235</v>
      </c>
      <c r="G9615">
        <v>116</v>
      </c>
      <c r="H9615">
        <f>_xlfn.XLOOKUP(FACT_IMPORTS[[#This Row],[hts_6]],DIM_PRODUCTS[hts_6],DIM_PRODUCTS[hts_4],,,)</f>
        <v>8708</v>
      </c>
      <c r="I9615" t="str" cm="1">
        <f t="array" ref="I9615">_xlfn.XLOOKUP(FACT_IMPORTS[[#This Row],[country_name]],DIM_COUNTRY[[#All],[Column2]],DIM_COUNTRY[[#All],[Column3]],,,)</f>
        <v>USMCA</v>
      </c>
    </row>
    <row r="9616" spans="1:9" x14ac:dyDescent="0.4">
      <c r="A9616" t="s">
        <v>64</v>
      </c>
      <c r="B9616" s="1">
        <v>45292</v>
      </c>
      <c r="C9616">
        <v>870822</v>
      </c>
      <c r="D9616" t="s">
        <v>176</v>
      </c>
      <c r="E9616">
        <v>0</v>
      </c>
      <c r="F9616">
        <v>0</v>
      </c>
      <c r="G9616">
        <v>0</v>
      </c>
      <c r="H9616">
        <f>_xlfn.XLOOKUP(FACT_IMPORTS[[#This Row],[hts_6]],DIM_PRODUCTS[hts_6],DIM_PRODUCTS[hts_4],,,)</f>
        <v>8708</v>
      </c>
      <c r="I9616" t="str" cm="1">
        <f t="array" ref="I9616">_xlfn.XLOOKUP(FACT_IMPORTS[[#This Row],[country_name]],DIM_COUNTRY[[#All],[Column2]],DIM_COUNTRY[[#All],[Column3]],,,)</f>
        <v>USMCA</v>
      </c>
    </row>
    <row r="9617" spans="1:9" x14ac:dyDescent="0.4">
      <c r="A9617" t="s">
        <v>64</v>
      </c>
      <c r="B9617" s="1">
        <v>45292</v>
      </c>
      <c r="C9617">
        <v>870829</v>
      </c>
      <c r="D9617" t="s">
        <v>176</v>
      </c>
      <c r="E9617">
        <v>927895</v>
      </c>
      <c r="F9617">
        <v>17302</v>
      </c>
      <c r="G9617">
        <v>25697</v>
      </c>
      <c r="H9617">
        <f>_xlfn.XLOOKUP(FACT_IMPORTS[[#This Row],[hts_6]],DIM_PRODUCTS[hts_6],DIM_PRODUCTS[hts_4],,,)</f>
        <v>8708</v>
      </c>
      <c r="I9617" t="str" cm="1">
        <f t="array" ref="I9617">_xlfn.XLOOKUP(FACT_IMPORTS[[#This Row],[country_name]],DIM_COUNTRY[[#All],[Column2]],DIM_COUNTRY[[#All],[Column3]],,,)</f>
        <v>USMCA</v>
      </c>
    </row>
    <row r="9618" spans="1:9" x14ac:dyDescent="0.4">
      <c r="A9618" t="s">
        <v>64</v>
      </c>
      <c r="B9618" s="1">
        <v>45292</v>
      </c>
      <c r="C9618">
        <v>870830</v>
      </c>
      <c r="D9618" t="s">
        <v>176</v>
      </c>
      <c r="E9618">
        <v>425112</v>
      </c>
      <c r="F9618">
        <v>6918</v>
      </c>
      <c r="G9618">
        <v>5507</v>
      </c>
      <c r="H9618">
        <f>_xlfn.XLOOKUP(FACT_IMPORTS[[#This Row],[hts_6]],DIM_PRODUCTS[hts_6],DIM_PRODUCTS[hts_4],,,)</f>
        <v>8708</v>
      </c>
      <c r="I9618" t="str" cm="1">
        <f t="array" ref="I9618">_xlfn.XLOOKUP(FACT_IMPORTS[[#This Row],[country_name]],DIM_COUNTRY[[#All],[Column2]],DIM_COUNTRY[[#All],[Column3]],,,)</f>
        <v>USMCA</v>
      </c>
    </row>
    <row r="9619" spans="1:9" x14ac:dyDescent="0.4">
      <c r="A9619" t="s">
        <v>64</v>
      </c>
      <c r="B9619" s="1">
        <v>45292</v>
      </c>
      <c r="C9619">
        <v>870840</v>
      </c>
      <c r="D9619" t="s">
        <v>176</v>
      </c>
      <c r="E9619">
        <v>165024</v>
      </c>
      <c r="F9619">
        <v>776</v>
      </c>
      <c r="G9619">
        <v>7139</v>
      </c>
      <c r="H9619">
        <f>_xlfn.XLOOKUP(FACT_IMPORTS[[#This Row],[hts_6]],DIM_PRODUCTS[hts_6],DIM_PRODUCTS[hts_4],,,)</f>
        <v>8708</v>
      </c>
      <c r="I9619" t="str" cm="1">
        <f t="array" ref="I9619">_xlfn.XLOOKUP(FACT_IMPORTS[[#This Row],[country_name]],DIM_COUNTRY[[#All],[Column2]],DIM_COUNTRY[[#All],[Column3]],,,)</f>
        <v>USMCA</v>
      </c>
    </row>
    <row r="9620" spans="1:9" x14ac:dyDescent="0.4">
      <c r="A9620" t="s">
        <v>64</v>
      </c>
      <c r="B9620" s="1">
        <v>45292</v>
      </c>
      <c r="C9620">
        <v>870850</v>
      </c>
      <c r="D9620" t="s">
        <v>176</v>
      </c>
      <c r="E9620">
        <v>39797</v>
      </c>
      <c r="F9620">
        <v>84</v>
      </c>
      <c r="G9620">
        <v>68</v>
      </c>
      <c r="H9620">
        <f>_xlfn.XLOOKUP(FACT_IMPORTS[[#This Row],[hts_6]],DIM_PRODUCTS[hts_6],DIM_PRODUCTS[hts_4],,,)</f>
        <v>8708</v>
      </c>
      <c r="I9620" t="str" cm="1">
        <f t="array" ref="I9620">_xlfn.XLOOKUP(FACT_IMPORTS[[#This Row],[country_name]],DIM_COUNTRY[[#All],[Column2]],DIM_COUNTRY[[#All],[Column3]],,,)</f>
        <v>USMCA</v>
      </c>
    </row>
    <row r="9621" spans="1:9" x14ac:dyDescent="0.4">
      <c r="A9621" t="s">
        <v>64</v>
      </c>
      <c r="B9621" s="1">
        <v>45292</v>
      </c>
      <c r="C9621">
        <v>870870</v>
      </c>
      <c r="D9621" t="s">
        <v>176</v>
      </c>
      <c r="E9621">
        <v>149903</v>
      </c>
      <c r="F9621">
        <v>2364</v>
      </c>
      <c r="G9621">
        <v>2070</v>
      </c>
      <c r="H9621">
        <f>_xlfn.XLOOKUP(FACT_IMPORTS[[#This Row],[hts_6]],DIM_PRODUCTS[hts_6],DIM_PRODUCTS[hts_4],,,)</f>
        <v>8708</v>
      </c>
      <c r="I9621" t="str" cm="1">
        <f t="array" ref="I9621">_xlfn.XLOOKUP(FACT_IMPORTS[[#This Row],[country_name]],DIM_COUNTRY[[#All],[Column2]],DIM_COUNTRY[[#All],[Column3]],,,)</f>
        <v>USMCA</v>
      </c>
    </row>
    <row r="9622" spans="1:9" x14ac:dyDescent="0.4">
      <c r="A9622" t="s">
        <v>64</v>
      </c>
      <c r="B9622" s="1">
        <v>45292</v>
      </c>
      <c r="C9622">
        <v>870880</v>
      </c>
      <c r="D9622" t="s">
        <v>176</v>
      </c>
      <c r="E9622">
        <v>34631</v>
      </c>
      <c r="F9622">
        <v>2317</v>
      </c>
      <c r="G9622">
        <v>825</v>
      </c>
      <c r="H9622">
        <f>_xlfn.XLOOKUP(FACT_IMPORTS[[#This Row],[hts_6]],DIM_PRODUCTS[hts_6],DIM_PRODUCTS[hts_4],,,)</f>
        <v>8708</v>
      </c>
      <c r="I9622" t="str" cm="1">
        <f t="array" ref="I9622">_xlfn.XLOOKUP(FACT_IMPORTS[[#This Row],[country_name]],DIM_COUNTRY[[#All],[Column2]],DIM_COUNTRY[[#All],[Column3]],,,)</f>
        <v>USMCA</v>
      </c>
    </row>
    <row r="9623" spans="1:9" x14ac:dyDescent="0.4">
      <c r="A9623" t="s">
        <v>64</v>
      </c>
      <c r="B9623" s="1">
        <v>45292</v>
      </c>
      <c r="C9623">
        <v>870891</v>
      </c>
      <c r="D9623" t="s">
        <v>176</v>
      </c>
      <c r="E9623">
        <v>31356</v>
      </c>
      <c r="F9623">
        <v>269</v>
      </c>
      <c r="G9623">
        <v>424</v>
      </c>
      <c r="H9623">
        <f>_xlfn.XLOOKUP(FACT_IMPORTS[[#This Row],[hts_6]],DIM_PRODUCTS[hts_6],DIM_PRODUCTS[hts_4],,,)</f>
        <v>8708</v>
      </c>
      <c r="I9623" t="str" cm="1">
        <f t="array" ref="I9623">_xlfn.XLOOKUP(FACT_IMPORTS[[#This Row],[country_name]],DIM_COUNTRY[[#All],[Column2]],DIM_COUNTRY[[#All],[Column3]],,,)</f>
        <v>USMCA</v>
      </c>
    </row>
    <row r="9624" spans="1:9" x14ac:dyDescent="0.4">
      <c r="A9624" t="s">
        <v>64</v>
      </c>
      <c r="B9624" s="1">
        <v>45292</v>
      </c>
      <c r="C9624">
        <v>870892</v>
      </c>
      <c r="D9624" t="s">
        <v>176</v>
      </c>
      <c r="E9624">
        <v>11856</v>
      </c>
      <c r="F9624">
        <v>1464</v>
      </c>
      <c r="G9624">
        <v>3000</v>
      </c>
      <c r="H9624">
        <f>_xlfn.XLOOKUP(FACT_IMPORTS[[#This Row],[hts_6]],DIM_PRODUCTS[hts_6],DIM_PRODUCTS[hts_4],,,)</f>
        <v>8708</v>
      </c>
      <c r="I9624" t="str" cm="1">
        <f t="array" ref="I9624">_xlfn.XLOOKUP(FACT_IMPORTS[[#This Row],[country_name]],DIM_COUNTRY[[#All],[Column2]],DIM_COUNTRY[[#All],[Column3]],,,)</f>
        <v>USMCA</v>
      </c>
    </row>
    <row r="9625" spans="1:9" x14ac:dyDescent="0.4">
      <c r="A9625" t="s">
        <v>64</v>
      </c>
      <c r="B9625" s="1">
        <v>45292</v>
      </c>
      <c r="C9625">
        <v>870893</v>
      </c>
      <c r="D9625" t="s">
        <v>176</v>
      </c>
      <c r="E9625">
        <v>6384</v>
      </c>
      <c r="F9625">
        <v>2064</v>
      </c>
      <c r="G9625">
        <v>315</v>
      </c>
      <c r="H9625">
        <f>_xlfn.XLOOKUP(FACT_IMPORTS[[#This Row],[hts_6]],DIM_PRODUCTS[hts_6],DIM_PRODUCTS[hts_4],,,)</f>
        <v>8708</v>
      </c>
      <c r="I9625" t="str" cm="1">
        <f t="array" ref="I9625">_xlfn.XLOOKUP(FACT_IMPORTS[[#This Row],[country_name]],DIM_COUNTRY[[#All],[Column2]],DIM_COUNTRY[[#All],[Column3]],,,)</f>
        <v>USMCA</v>
      </c>
    </row>
    <row r="9626" spans="1:9" x14ac:dyDescent="0.4">
      <c r="A9626" t="s">
        <v>64</v>
      </c>
      <c r="B9626" s="1">
        <v>45292</v>
      </c>
      <c r="C9626">
        <v>870894</v>
      </c>
      <c r="D9626" t="s">
        <v>176</v>
      </c>
      <c r="E9626">
        <v>32568</v>
      </c>
      <c r="F9626">
        <v>76</v>
      </c>
      <c r="G9626">
        <v>164</v>
      </c>
      <c r="H9626">
        <f>_xlfn.XLOOKUP(FACT_IMPORTS[[#This Row],[hts_6]],DIM_PRODUCTS[hts_6],DIM_PRODUCTS[hts_4],,,)</f>
        <v>8708</v>
      </c>
      <c r="I9626" t="str" cm="1">
        <f t="array" ref="I9626">_xlfn.XLOOKUP(FACT_IMPORTS[[#This Row],[country_name]],DIM_COUNTRY[[#All],[Column2]],DIM_COUNTRY[[#All],[Column3]],,,)</f>
        <v>USMCA</v>
      </c>
    </row>
    <row r="9627" spans="1:9" x14ac:dyDescent="0.4">
      <c r="A9627" t="s">
        <v>64</v>
      </c>
      <c r="B9627" s="1">
        <v>45292</v>
      </c>
      <c r="C9627">
        <v>870895</v>
      </c>
      <c r="D9627" t="s">
        <v>176</v>
      </c>
      <c r="E9627">
        <v>68363</v>
      </c>
      <c r="F9627">
        <v>3027</v>
      </c>
      <c r="G9627">
        <v>1904</v>
      </c>
      <c r="H9627">
        <f>_xlfn.XLOOKUP(FACT_IMPORTS[[#This Row],[hts_6]],DIM_PRODUCTS[hts_6],DIM_PRODUCTS[hts_4],,,)</f>
        <v>8708</v>
      </c>
      <c r="I9627" t="str" cm="1">
        <f t="array" ref="I9627">_xlfn.XLOOKUP(FACT_IMPORTS[[#This Row],[country_name]],DIM_COUNTRY[[#All],[Column2]],DIM_COUNTRY[[#All],[Column3]],,,)</f>
        <v>USMCA</v>
      </c>
    </row>
    <row r="9628" spans="1:9" x14ac:dyDescent="0.4">
      <c r="A9628" t="s">
        <v>64</v>
      </c>
      <c r="B9628" s="1">
        <v>45292</v>
      </c>
      <c r="C9628">
        <v>870899</v>
      </c>
      <c r="D9628" t="s">
        <v>176</v>
      </c>
      <c r="E9628">
        <v>212001</v>
      </c>
      <c r="F9628">
        <v>3188</v>
      </c>
      <c r="G9628">
        <v>2004</v>
      </c>
      <c r="H9628">
        <f>_xlfn.XLOOKUP(FACT_IMPORTS[[#This Row],[hts_6]],DIM_PRODUCTS[hts_6],DIM_PRODUCTS[hts_4],,,)</f>
        <v>8708</v>
      </c>
      <c r="I9628" t="str" cm="1">
        <f t="array" ref="I9628">_xlfn.XLOOKUP(FACT_IMPORTS[[#This Row],[country_name]],DIM_COUNTRY[[#All],[Column2]],DIM_COUNTRY[[#All],[Column3]],,,)</f>
        <v>USMCA</v>
      </c>
    </row>
    <row r="9629" spans="1:9" x14ac:dyDescent="0.4">
      <c r="A9629" t="s">
        <v>64</v>
      </c>
      <c r="B9629" s="1">
        <v>45292</v>
      </c>
      <c r="C9629">
        <v>940120</v>
      </c>
      <c r="D9629" t="s">
        <v>176</v>
      </c>
      <c r="E9629">
        <v>4432</v>
      </c>
      <c r="F9629">
        <v>37</v>
      </c>
      <c r="G9629">
        <v>17</v>
      </c>
      <c r="H9629">
        <f>_xlfn.XLOOKUP(FACT_IMPORTS[[#This Row],[hts_6]],DIM_PRODUCTS[hts_6],DIM_PRODUCTS[hts_4],,,)</f>
        <v>9401</v>
      </c>
      <c r="I9629" t="str" cm="1">
        <f t="array" ref="I9629">_xlfn.XLOOKUP(FACT_IMPORTS[[#This Row],[country_name]],DIM_COUNTRY[[#All],[Column2]],DIM_COUNTRY[[#All],[Column3]],,,)</f>
        <v>USMCA</v>
      </c>
    </row>
    <row r="9630" spans="1:9" x14ac:dyDescent="0.4">
      <c r="A9630" t="s">
        <v>64</v>
      </c>
      <c r="B9630" s="1">
        <v>45323</v>
      </c>
      <c r="C9630">
        <v>392630</v>
      </c>
      <c r="D9630" t="s">
        <v>176</v>
      </c>
      <c r="E9630">
        <v>3977</v>
      </c>
      <c r="F9630">
        <v>474</v>
      </c>
      <c r="G9630">
        <v>192</v>
      </c>
      <c r="H9630">
        <f>_xlfn.XLOOKUP(FACT_IMPORTS[[#This Row],[hts_6]],DIM_PRODUCTS[hts_6],DIM_PRODUCTS[hts_4],,,)</f>
        <v>3926</v>
      </c>
      <c r="I9630" t="str" cm="1">
        <f t="array" ref="I9630">_xlfn.XLOOKUP(FACT_IMPORTS[[#This Row],[country_name]],DIM_COUNTRY[[#All],[Column2]],DIM_COUNTRY[[#All],[Column3]],,,)</f>
        <v>USMCA</v>
      </c>
    </row>
    <row r="9631" spans="1:9" x14ac:dyDescent="0.4">
      <c r="A9631" t="s">
        <v>64</v>
      </c>
      <c r="B9631" s="1">
        <v>45323</v>
      </c>
      <c r="C9631">
        <v>401110</v>
      </c>
      <c r="D9631" t="s">
        <v>176</v>
      </c>
      <c r="E9631">
        <v>122922</v>
      </c>
      <c r="F9631">
        <v>958</v>
      </c>
      <c r="G9631">
        <v>3124</v>
      </c>
      <c r="H9631">
        <f>_xlfn.XLOOKUP(FACT_IMPORTS[[#This Row],[hts_6]],DIM_PRODUCTS[hts_6],DIM_PRODUCTS[hts_4],,,)</f>
        <v>4011</v>
      </c>
      <c r="I9631" t="str" cm="1">
        <f t="array" ref="I9631">_xlfn.XLOOKUP(FACT_IMPORTS[[#This Row],[country_name]],DIM_COUNTRY[[#All],[Column2]],DIM_COUNTRY[[#All],[Column3]],,,)</f>
        <v>USMCA</v>
      </c>
    </row>
    <row r="9632" spans="1:9" x14ac:dyDescent="0.4">
      <c r="A9632" t="s">
        <v>64</v>
      </c>
      <c r="B9632" s="1">
        <v>45323</v>
      </c>
      <c r="C9632">
        <v>401120</v>
      </c>
      <c r="D9632" t="s">
        <v>176</v>
      </c>
      <c r="E9632">
        <v>8535</v>
      </c>
      <c r="F9632">
        <v>133</v>
      </c>
      <c r="G9632">
        <v>5962</v>
      </c>
      <c r="H9632">
        <f>_xlfn.XLOOKUP(FACT_IMPORTS[[#This Row],[hts_6]],DIM_PRODUCTS[hts_6],DIM_PRODUCTS[hts_4],,,)</f>
        <v>4011</v>
      </c>
      <c r="I9632" t="str" cm="1">
        <f t="array" ref="I9632">_xlfn.XLOOKUP(FACT_IMPORTS[[#This Row],[country_name]],DIM_COUNTRY[[#All],[Column2]],DIM_COUNTRY[[#All],[Column3]],,,)</f>
        <v>USMCA</v>
      </c>
    </row>
    <row r="9633" spans="1:9" x14ac:dyDescent="0.4">
      <c r="A9633" t="s">
        <v>64</v>
      </c>
      <c r="B9633" s="1">
        <v>45323</v>
      </c>
      <c r="C9633">
        <v>700711</v>
      </c>
      <c r="D9633" t="s">
        <v>176</v>
      </c>
      <c r="E9633">
        <v>0</v>
      </c>
      <c r="F9633">
        <v>0</v>
      </c>
      <c r="G9633">
        <v>0</v>
      </c>
      <c r="H9633">
        <f>_xlfn.XLOOKUP(FACT_IMPORTS[[#This Row],[hts_6]],DIM_PRODUCTS[hts_6],DIM_PRODUCTS[hts_4],,,)</f>
        <v>7007</v>
      </c>
      <c r="I9633" t="str" cm="1">
        <f t="array" ref="I9633">_xlfn.XLOOKUP(FACT_IMPORTS[[#This Row],[country_name]],DIM_COUNTRY[[#All],[Column2]],DIM_COUNTRY[[#All],[Column3]],,,)</f>
        <v>USMCA</v>
      </c>
    </row>
    <row r="9634" spans="1:9" x14ac:dyDescent="0.4">
      <c r="A9634" t="s">
        <v>64</v>
      </c>
      <c r="B9634" s="1">
        <v>45323</v>
      </c>
      <c r="C9634">
        <v>700721</v>
      </c>
      <c r="D9634" t="s">
        <v>176</v>
      </c>
      <c r="E9634">
        <v>0</v>
      </c>
      <c r="F9634">
        <v>0</v>
      </c>
      <c r="G9634">
        <v>0</v>
      </c>
      <c r="H9634">
        <f>_xlfn.XLOOKUP(FACT_IMPORTS[[#This Row],[hts_6]],DIM_PRODUCTS[hts_6],DIM_PRODUCTS[hts_4],,,)</f>
        <v>7007</v>
      </c>
      <c r="I9634" t="str" cm="1">
        <f t="array" ref="I9634">_xlfn.XLOOKUP(FACT_IMPORTS[[#This Row],[country_name]],DIM_COUNTRY[[#All],[Column2]],DIM_COUNTRY[[#All],[Column3]],,,)</f>
        <v>USMCA</v>
      </c>
    </row>
    <row r="9635" spans="1:9" x14ac:dyDescent="0.4">
      <c r="A9635" t="s">
        <v>64</v>
      </c>
      <c r="B9635" s="1">
        <v>45323</v>
      </c>
      <c r="C9635">
        <v>700910</v>
      </c>
      <c r="D9635" t="s">
        <v>176</v>
      </c>
      <c r="E9635">
        <v>3066</v>
      </c>
      <c r="F9635">
        <v>1200</v>
      </c>
      <c r="G9635">
        <v>100</v>
      </c>
      <c r="H9635">
        <f>_xlfn.XLOOKUP(FACT_IMPORTS[[#This Row],[hts_6]],DIM_PRODUCTS[hts_6],DIM_PRODUCTS[hts_4],,,)</f>
        <v>7009</v>
      </c>
      <c r="I9635" t="str" cm="1">
        <f t="array" ref="I9635">_xlfn.XLOOKUP(FACT_IMPORTS[[#This Row],[country_name]],DIM_COUNTRY[[#All],[Column2]],DIM_COUNTRY[[#All],[Column3]],,,)</f>
        <v>USMCA</v>
      </c>
    </row>
    <row r="9636" spans="1:9" x14ac:dyDescent="0.4">
      <c r="A9636" t="s">
        <v>64</v>
      </c>
      <c r="B9636" s="1">
        <v>45323</v>
      </c>
      <c r="C9636">
        <v>732010</v>
      </c>
      <c r="D9636" t="s">
        <v>176</v>
      </c>
      <c r="E9636">
        <v>0</v>
      </c>
      <c r="F9636">
        <v>0</v>
      </c>
      <c r="G9636">
        <v>0</v>
      </c>
      <c r="H9636">
        <f>_xlfn.XLOOKUP(FACT_IMPORTS[[#This Row],[hts_6]],DIM_PRODUCTS[hts_6],DIM_PRODUCTS[hts_4],,,)</f>
        <v>7320</v>
      </c>
      <c r="I9636" t="str" cm="1">
        <f t="array" ref="I9636">_xlfn.XLOOKUP(FACT_IMPORTS[[#This Row],[country_name]],DIM_COUNTRY[[#All],[Column2]],DIM_COUNTRY[[#All],[Column3]],,,)</f>
        <v>USMCA</v>
      </c>
    </row>
    <row r="9637" spans="1:9" x14ac:dyDescent="0.4">
      <c r="A9637" t="s">
        <v>64</v>
      </c>
      <c r="B9637" s="1">
        <v>45323</v>
      </c>
      <c r="C9637">
        <v>830230</v>
      </c>
      <c r="D9637" t="s">
        <v>176</v>
      </c>
      <c r="E9637">
        <v>4767</v>
      </c>
      <c r="F9637">
        <v>410</v>
      </c>
      <c r="G9637">
        <v>1215</v>
      </c>
      <c r="H9637">
        <f>_xlfn.XLOOKUP(FACT_IMPORTS[[#This Row],[hts_6]],DIM_PRODUCTS[hts_6],DIM_PRODUCTS[hts_4],,,)</f>
        <v>8302</v>
      </c>
      <c r="I9637" t="str" cm="1">
        <f t="array" ref="I9637">_xlfn.XLOOKUP(FACT_IMPORTS[[#This Row],[country_name]],DIM_COUNTRY[[#All],[Column2]],DIM_COUNTRY[[#All],[Column3]],,,)</f>
        <v>USMCA</v>
      </c>
    </row>
    <row r="9638" spans="1:9" x14ac:dyDescent="0.4">
      <c r="A9638" t="s">
        <v>64</v>
      </c>
      <c r="B9638" s="1">
        <v>45323</v>
      </c>
      <c r="C9638">
        <v>840733</v>
      </c>
      <c r="D9638" t="s">
        <v>176</v>
      </c>
      <c r="E9638">
        <v>8500</v>
      </c>
      <c r="F9638">
        <v>1</v>
      </c>
      <c r="G9638">
        <v>300</v>
      </c>
      <c r="H9638">
        <f>_xlfn.XLOOKUP(FACT_IMPORTS[[#This Row],[hts_6]],DIM_PRODUCTS[hts_6],DIM_PRODUCTS[hts_4],,,)</f>
        <v>8407</v>
      </c>
      <c r="I9638" t="str" cm="1">
        <f t="array" ref="I9638">_xlfn.XLOOKUP(FACT_IMPORTS[[#This Row],[country_name]],DIM_COUNTRY[[#All],[Column2]],DIM_COUNTRY[[#All],[Column3]],,,)</f>
        <v>USMCA</v>
      </c>
    </row>
    <row r="9639" spans="1:9" x14ac:dyDescent="0.4">
      <c r="A9639" t="s">
        <v>64</v>
      </c>
      <c r="B9639" s="1">
        <v>45323</v>
      </c>
      <c r="C9639">
        <v>840734</v>
      </c>
      <c r="D9639" t="s">
        <v>176</v>
      </c>
      <c r="E9639">
        <v>218130</v>
      </c>
      <c r="F9639">
        <v>129</v>
      </c>
      <c r="G9639">
        <v>621</v>
      </c>
      <c r="H9639">
        <f>_xlfn.XLOOKUP(FACT_IMPORTS[[#This Row],[hts_6]],DIM_PRODUCTS[hts_6],DIM_PRODUCTS[hts_4],,,)</f>
        <v>8407</v>
      </c>
      <c r="I9639" t="str" cm="1">
        <f t="array" ref="I9639">_xlfn.XLOOKUP(FACT_IMPORTS[[#This Row],[country_name]],DIM_COUNTRY[[#All],[Column2]],DIM_COUNTRY[[#All],[Column3]],,,)</f>
        <v>USMCA</v>
      </c>
    </row>
    <row r="9640" spans="1:9" x14ac:dyDescent="0.4">
      <c r="A9640" t="s">
        <v>64</v>
      </c>
      <c r="B9640" s="1">
        <v>45323</v>
      </c>
      <c r="C9640">
        <v>840820</v>
      </c>
      <c r="D9640" t="s">
        <v>176</v>
      </c>
      <c r="E9640">
        <v>55200</v>
      </c>
      <c r="F9640">
        <v>10</v>
      </c>
      <c r="G9640">
        <v>64</v>
      </c>
      <c r="H9640">
        <f>_xlfn.XLOOKUP(FACT_IMPORTS[[#This Row],[hts_6]],DIM_PRODUCTS[hts_6],DIM_PRODUCTS[hts_4],,,)</f>
        <v>8408</v>
      </c>
      <c r="I9640" t="str" cm="1">
        <f t="array" ref="I9640">_xlfn.XLOOKUP(FACT_IMPORTS[[#This Row],[country_name]],DIM_COUNTRY[[#All],[Column2]],DIM_COUNTRY[[#All],[Column3]],,,)</f>
        <v>USMCA</v>
      </c>
    </row>
    <row r="9641" spans="1:9" x14ac:dyDescent="0.4">
      <c r="A9641" t="s">
        <v>64</v>
      </c>
      <c r="B9641" s="1">
        <v>45323</v>
      </c>
      <c r="C9641">
        <v>840890</v>
      </c>
      <c r="D9641" t="s">
        <v>176</v>
      </c>
      <c r="E9641">
        <v>8550</v>
      </c>
      <c r="F9641">
        <v>3</v>
      </c>
      <c r="G9641">
        <v>39</v>
      </c>
      <c r="H9641">
        <f>_xlfn.XLOOKUP(FACT_IMPORTS[[#This Row],[hts_6]],DIM_PRODUCTS[hts_6],DIM_PRODUCTS[hts_4],,,)</f>
        <v>8408</v>
      </c>
      <c r="I9641" t="str" cm="1">
        <f t="array" ref="I9641">_xlfn.XLOOKUP(FACT_IMPORTS[[#This Row],[country_name]],DIM_COUNTRY[[#All],[Column2]],DIM_COUNTRY[[#All],[Column3]],,,)</f>
        <v>USMCA</v>
      </c>
    </row>
    <row r="9642" spans="1:9" x14ac:dyDescent="0.4">
      <c r="A9642" t="s">
        <v>64</v>
      </c>
      <c r="B9642" s="1">
        <v>45323</v>
      </c>
      <c r="C9642">
        <v>840991</v>
      </c>
      <c r="D9642" t="s">
        <v>176</v>
      </c>
      <c r="E9642">
        <v>576734</v>
      </c>
      <c r="F9642">
        <v>77883</v>
      </c>
      <c r="G9642">
        <v>3020</v>
      </c>
      <c r="H9642">
        <f>_xlfn.XLOOKUP(FACT_IMPORTS[[#This Row],[hts_6]],DIM_PRODUCTS[hts_6],DIM_PRODUCTS[hts_4],,,)</f>
        <v>8409</v>
      </c>
      <c r="I9642" t="str" cm="1">
        <f t="array" ref="I9642">_xlfn.XLOOKUP(FACT_IMPORTS[[#This Row],[country_name]],DIM_COUNTRY[[#All],[Column2]],DIM_COUNTRY[[#All],[Column3]],,,)</f>
        <v>USMCA</v>
      </c>
    </row>
    <row r="9643" spans="1:9" x14ac:dyDescent="0.4">
      <c r="A9643" t="s">
        <v>64</v>
      </c>
      <c r="B9643" s="1">
        <v>45323</v>
      </c>
      <c r="C9643">
        <v>840999</v>
      </c>
      <c r="D9643" t="s">
        <v>176</v>
      </c>
      <c r="E9643">
        <v>42494</v>
      </c>
      <c r="F9643">
        <v>2142</v>
      </c>
      <c r="G9643">
        <v>648</v>
      </c>
      <c r="H9643">
        <f>_xlfn.XLOOKUP(FACT_IMPORTS[[#This Row],[hts_6]],DIM_PRODUCTS[hts_6],DIM_PRODUCTS[hts_4],,,)</f>
        <v>8409</v>
      </c>
      <c r="I9643" t="str" cm="1">
        <f t="array" ref="I9643">_xlfn.XLOOKUP(FACT_IMPORTS[[#This Row],[country_name]],DIM_COUNTRY[[#All],[Column2]],DIM_COUNTRY[[#All],[Column3]],,,)</f>
        <v>USMCA</v>
      </c>
    </row>
    <row r="9644" spans="1:9" x14ac:dyDescent="0.4">
      <c r="A9644" t="s">
        <v>64</v>
      </c>
      <c r="B9644" s="1">
        <v>45323</v>
      </c>
      <c r="C9644">
        <v>841330</v>
      </c>
      <c r="D9644" t="s">
        <v>176</v>
      </c>
      <c r="E9644">
        <v>24451</v>
      </c>
      <c r="F9644">
        <v>24</v>
      </c>
      <c r="G9644">
        <v>24</v>
      </c>
      <c r="H9644">
        <f>_xlfn.XLOOKUP(FACT_IMPORTS[[#This Row],[hts_6]],DIM_PRODUCTS[hts_6],DIM_PRODUCTS[hts_4],,,)</f>
        <v>8413</v>
      </c>
      <c r="I9644" t="str" cm="1">
        <f t="array" ref="I9644">_xlfn.XLOOKUP(FACT_IMPORTS[[#This Row],[country_name]],DIM_COUNTRY[[#All],[Column2]],DIM_COUNTRY[[#All],[Column3]],,,)</f>
        <v>USMCA</v>
      </c>
    </row>
    <row r="9645" spans="1:9" x14ac:dyDescent="0.4">
      <c r="A9645" t="s">
        <v>64</v>
      </c>
      <c r="B9645" s="1">
        <v>45323</v>
      </c>
      <c r="C9645">
        <v>842132</v>
      </c>
      <c r="D9645" t="s">
        <v>176</v>
      </c>
      <c r="E9645">
        <v>468398</v>
      </c>
      <c r="F9645">
        <v>3799</v>
      </c>
      <c r="G9645">
        <v>2151</v>
      </c>
      <c r="H9645">
        <f>_xlfn.XLOOKUP(FACT_IMPORTS[[#This Row],[hts_6]],DIM_PRODUCTS[hts_6],DIM_PRODUCTS[hts_4],,,)</f>
        <v>8421</v>
      </c>
      <c r="I9645" t="str" cm="1">
        <f t="array" ref="I9645">_xlfn.XLOOKUP(FACT_IMPORTS[[#This Row],[country_name]],DIM_COUNTRY[[#All],[Column2]],DIM_COUNTRY[[#All],[Column3]],,,)</f>
        <v>USMCA</v>
      </c>
    </row>
    <row r="9646" spans="1:9" x14ac:dyDescent="0.4">
      <c r="A9646" t="s">
        <v>64</v>
      </c>
      <c r="B9646" s="1">
        <v>45323</v>
      </c>
      <c r="C9646">
        <v>848210</v>
      </c>
      <c r="D9646" t="s">
        <v>176</v>
      </c>
      <c r="E9646">
        <v>4198</v>
      </c>
      <c r="F9646">
        <v>45</v>
      </c>
      <c r="G9646">
        <v>150</v>
      </c>
      <c r="H9646">
        <f>_xlfn.XLOOKUP(FACT_IMPORTS[[#This Row],[hts_6]],DIM_PRODUCTS[hts_6],DIM_PRODUCTS[hts_4],,,)</f>
        <v>8482</v>
      </c>
      <c r="I9646" t="str" cm="1">
        <f t="array" ref="I9646">_xlfn.XLOOKUP(FACT_IMPORTS[[#This Row],[country_name]],DIM_COUNTRY[[#All],[Column2]],DIM_COUNTRY[[#All],[Column3]],,,)</f>
        <v>USMCA</v>
      </c>
    </row>
    <row r="9647" spans="1:9" x14ac:dyDescent="0.4">
      <c r="A9647" t="s">
        <v>64</v>
      </c>
      <c r="B9647" s="1">
        <v>45323</v>
      </c>
      <c r="C9647">
        <v>848220</v>
      </c>
      <c r="D9647" t="s">
        <v>176</v>
      </c>
      <c r="E9647">
        <v>0</v>
      </c>
      <c r="F9647">
        <v>0</v>
      </c>
      <c r="G9647">
        <v>0</v>
      </c>
      <c r="H9647">
        <f>_xlfn.XLOOKUP(FACT_IMPORTS[[#This Row],[hts_6]],DIM_PRODUCTS[hts_6],DIM_PRODUCTS[hts_4],,,)</f>
        <v>8482</v>
      </c>
      <c r="I9647" t="str" cm="1">
        <f t="array" ref="I9647">_xlfn.XLOOKUP(FACT_IMPORTS[[#This Row],[country_name]],DIM_COUNTRY[[#All],[Column2]],DIM_COUNTRY[[#All],[Column3]],,,)</f>
        <v>USMCA</v>
      </c>
    </row>
    <row r="9648" spans="1:9" x14ac:dyDescent="0.4">
      <c r="A9648" t="s">
        <v>64</v>
      </c>
      <c r="B9648" s="1">
        <v>45323</v>
      </c>
      <c r="C9648">
        <v>848310</v>
      </c>
      <c r="D9648" t="s">
        <v>176</v>
      </c>
      <c r="E9648">
        <v>85217</v>
      </c>
      <c r="F9648">
        <v>4896</v>
      </c>
      <c r="G9648">
        <v>280</v>
      </c>
      <c r="H9648">
        <f>_xlfn.XLOOKUP(FACT_IMPORTS[[#This Row],[hts_6]],DIM_PRODUCTS[hts_6],DIM_PRODUCTS[hts_4],,,)</f>
        <v>8483</v>
      </c>
      <c r="I9648" t="str" cm="1">
        <f t="array" ref="I9648">_xlfn.XLOOKUP(FACT_IMPORTS[[#This Row],[country_name]],DIM_COUNTRY[[#All],[Column2]],DIM_COUNTRY[[#All],[Column3]],,,)</f>
        <v>USMCA</v>
      </c>
    </row>
    <row r="9649" spans="1:9" x14ac:dyDescent="0.4">
      <c r="A9649" t="s">
        <v>64</v>
      </c>
      <c r="B9649" s="1">
        <v>45323</v>
      </c>
      <c r="C9649">
        <v>850131</v>
      </c>
      <c r="D9649" t="s">
        <v>176</v>
      </c>
      <c r="E9649">
        <v>6257</v>
      </c>
      <c r="F9649">
        <v>130</v>
      </c>
      <c r="G9649">
        <v>83</v>
      </c>
      <c r="H9649">
        <f>_xlfn.XLOOKUP(FACT_IMPORTS[[#This Row],[hts_6]],DIM_PRODUCTS[hts_6],DIM_PRODUCTS[hts_4],,,)</f>
        <v>8501</v>
      </c>
      <c r="I9649" t="str" cm="1">
        <f t="array" ref="I9649">_xlfn.XLOOKUP(FACT_IMPORTS[[#This Row],[country_name]],DIM_COUNTRY[[#All],[Column2]],DIM_COUNTRY[[#All],[Column3]],,,)</f>
        <v>USMCA</v>
      </c>
    </row>
    <row r="9650" spans="1:9" x14ac:dyDescent="0.4">
      <c r="A9650" t="s">
        <v>64</v>
      </c>
      <c r="B9650" s="1">
        <v>45323</v>
      </c>
      <c r="C9650">
        <v>850132</v>
      </c>
      <c r="D9650" t="s">
        <v>176</v>
      </c>
      <c r="E9650">
        <v>45079</v>
      </c>
      <c r="F9650">
        <v>1</v>
      </c>
      <c r="G9650">
        <v>200</v>
      </c>
      <c r="H9650">
        <f>_xlfn.XLOOKUP(FACT_IMPORTS[[#This Row],[hts_6]],DIM_PRODUCTS[hts_6],DIM_PRODUCTS[hts_4],,,)</f>
        <v>8501</v>
      </c>
      <c r="I9650" t="str" cm="1">
        <f t="array" ref="I9650">_xlfn.XLOOKUP(FACT_IMPORTS[[#This Row],[country_name]],DIM_COUNTRY[[#All],[Column2]],DIM_COUNTRY[[#All],[Column3]],,,)</f>
        <v>USMCA</v>
      </c>
    </row>
    <row r="9651" spans="1:9" x14ac:dyDescent="0.4">
      <c r="A9651" t="s">
        <v>64</v>
      </c>
      <c r="B9651" s="1">
        <v>45323</v>
      </c>
      <c r="C9651">
        <v>850133</v>
      </c>
      <c r="D9651" t="s">
        <v>176</v>
      </c>
      <c r="E9651">
        <v>0</v>
      </c>
      <c r="F9651">
        <v>0</v>
      </c>
      <c r="G9651">
        <v>0</v>
      </c>
      <c r="H9651">
        <f>_xlfn.XLOOKUP(FACT_IMPORTS[[#This Row],[hts_6]],DIM_PRODUCTS[hts_6],DIM_PRODUCTS[hts_4],,,)</f>
        <v>8501</v>
      </c>
      <c r="I9651" t="str" cm="1">
        <f t="array" ref="I9651">_xlfn.XLOOKUP(FACT_IMPORTS[[#This Row],[country_name]],DIM_COUNTRY[[#All],[Column2]],DIM_COUNTRY[[#All],[Column3]],,,)</f>
        <v>USMCA</v>
      </c>
    </row>
    <row r="9652" spans="1:9" x14ac:dyDescent="0.4">
      <c r="A9652" t="s">
        <v>64</v>
      </c>
      <c r="B9652" s="1">
        <v>45323</v>
      </c>
      <c r="C9652">
        <v>850152</v>
      </c>
      <c r="D9652" t="s">
        <v>176</v>
      </c>
      <c r="E9652">
        <v>84223</v>
      </c>
      <c r="F9652">
        <v>230</v>
      </c>
      <c r="G9652">
        <v>1580</v>
      </c>
      <c r="H9652">
        <f>_xlfn.XLOOKUP(FACT_IMPORTS[[#This Row],[hts_6]],DIM_PRODUCTS[hts_6],DIM_PRODUCTS[hts_4],,,)</f>
        <v>8501</v>
      </c>
      <c r="I9652" t="str" cm="1">
        <f t="array" ref="I9652">_xlfn.XLOOKUP(FACT_IMPORTS[[#This Row],[country_name]],DIM_COUNTRY[[#All],[Column2]],DIM_COUNTRY[[#All],[Column3]],,,)</f>
        <v>USMCA</v>
      </c>
    </row>
    <row r="9653" spans="1:9" x14ac:dyDescent="0.4">
      <c r="A9653" t="s">
        <v>64</v>
      </c>
      <c r="B9653" s="1">
        <v>45323</v>
      </c>
      <c r="C9653">
        <v>850153</v>
      </c>
      <c r="D9653" t="s">
        <v>176</v>
      </c>
      <c r="E9653">
        <v>0</v>
      </c>
      <c r="F9653">
        <v>0</v>
      </c>
      <c r="G9653">
        <v>0</v>
      </c>
      <c r="H9653">
        <f>_xlfn.XLOOKUP(FACT_IMPORTS[[#This Row],[hts_6]],DIM_PRODUCTS[hts_6],DIM_PRODUCTS[hts_4],,,)</f>
        <v>8501</v>
      </c>
      <c r="I9653" t="str" cm="1">
        <f t="array" ref="I9653">_xlfn.XLOOKUP(FACT_IMPORTS[[#This Row],[country_name]],DIM_COUNTRY[[#All],[Column2]],DIM_COUNTRY[[#All],[Column3]],,,)</f>
        <v>USMCA</v>
      </c>
    </row>
    <row r="9654" spans="1:9" x14ac:dyDescent="0.4">
      <c r="A9654" t="s">
        <v>64</v>
      </c>
      <c r="B9654" s="1">
        <v>45323</v>
      </c>
      <c r="C9654">
        <v>850161</v>
      </c>
      <c r="D9654" t="s">
        <v>176</v>
      </c>
      <c r="E9654">
        <v>0</v>
      </c>
      <c r="F9654">
        <v>0</v>
      </c>
      <c r="G9654">
        <v>0</v>
      </c>
      <c r="H9654">
        <f>_xlfn.XLOOKUP(FACT_IMPORTS[[#This Row],[hts_6]],DIM_PRODUCTS[hts_6],DIM_PRODUCTS[hts_4],,,)</f>
        <v>8501</v>
      </c>
      <c r="I9654" t="str" cm="1">
        <f t="array" ref="I9654">_xlfn.XLOOKUP(FACT_IMPORTS[[#This Row],[country_name]],DIM_COUNTRY[[#All],[Column2]],DIM_COUNTRY[[#All],[Column3]],,,)</f>
        <v>USMCA</v>
      </c>
    </row>
    <row r="9655" spans="1:9" x14ac:dyDescent="0.4">
      <c r="A9655" t="s">
        <v>64</v>
      </c>
      <c r="B9655" s="1">
        <v>45323</v>
      </c>
      <c r="C9655">
        <v>850440</v>
      </c>
      <c r="D9655" t="s">
        <v>176</v>
      </c>
      <c r="E9655">
        <v>192974</v>
      </c>
      <c r="F9655">
        <v>4152</v>
      </c>
      <c r="G9655">
        <v>1185</v>
      </c>
      <c r="H9655">
        <f>_xlfn.XLOOKUP(FACT_IMPORTS[[#This Row],[hts_6]],DIM_PRODUCTS[hts_6],DIM_PRODUCTS[hts_4],,,)</f>
        <v>8504</v>
      </c>
      <c r="I9655" t="str" cm="1">
        <f t="array" ref="I9655">_xlfn.XLOOKUP(FACT_IMPORTS[[#This Row],[country_name]],DIM_COUNTRY[[#All],[Column2]],DIM_COUNTRY[[#All],[Column3]],,,)</f>
        <v>USMCA</v>
      </c>
    </row>
    <row r="9656" spans="1:9" x14ac:dyDescent="0.4">
      <c r="A9656" t="s">
        <v>64</v>
      </c>
      <c r="B9656" s="1">
        <v>45323</v>
      </c>
      <c r="C9656">
        <v>850710</v>
      </c>
      <c r="D9656" t="s">
        <v>176</v>
      </c>
      <c r="E9656">
        <v>3769</v>
      </c>
      <c r="F9656">
        <v>78</v>
      </c>
      <c r="G9656">
        <v>390</v>
      </c>
      <c r="H9656">
        <f>_xlfn.XLOOKUP(FACT_IMPORTS[[#This Row],[hts_6]],DIM_PRODUCTS[hts_6],DIM_PRODUCTS[hts_4],,,)</f>
        <v>8507</v>
      </c>
      <c r="I9656" t="str" cm="1">
        <f t="array" ref="I9656">_xlfn.XLOOKUP(FACT_IMPORTS[[#This Row],[country_name]],DIM_COUNTRY[[#All],[Column2]],DIM_COUNTRY[[#All],[Column3]],,,)</f>
        <v>USMCA</v>
      </c>
    </row>
    <row r="9657" spans="1:9" x14ac:dyDescent="0.4">
      <c r="A9657" t="s">
        <v>64</v>
      </c>
      <c r="B9657" s="1">
        <v>45323</v>
      </c>
      <c r="C9657">
        <v>850760</v>
      </c>
      <c r="D9657" t="s">
        <v>176</v>
      </c>
      <c r="E9657">
        <v>0</v>
      </c>
      <c r="F9657">
        <v>0</v>
      </c>
      <c r="G9657">
        <v>0</v>
      </c>
      <c r="H9657">
        <f>_xlfn.XLOOKUP(FACT_IMPORTS[[#This Row],[hts_6]],DIM_PRODUCTS[hts_6],DIM_PRODUCTS[hts_4],,,)</f>
        <v>8507</v>
      </c>
      <c r="I9657" t="str" cm="1">
        <f t="array" ref="I9657">_xlfn.XLOOKUP(FACT_IMPORTS[[#This Row],[country_name]],DIM_COUNTRY[[#All],[Column2]],DIM_COUNTRY[[#All],[Column3]],,,)</f>
        <v>USMCA</v>
      </c>
    </row>
    <row r="9658" spans="1:9" x14ac:dyDescent="0.4">
      <c r="A9658" t="s">
        <v>64</v>
      </c>
      <c r="B9658" s="1">
        <v>45323</v>
      </c>
      <c r="C9658">
        <v>851110</v>
      </c>
      <c r="D9658" t="s">
        <v>176</v>
      </c>
      <c r="E9658">
        <v>0</v>
      </c>
      <c r="F9658">
        <v>0</v>
      </c>
      <c r="G9658">
        <v>0</v>
      </c>
      <c r="H9658">
        <f>_xlfn.XLOOKUP(FACT_IMPORTS[[#This Row],[hts_6]],DIM_PRODUCTS[hts_6],DIM_PRODUCTS[hts_4],,,)</f>
        <v>8511</v>
      </c>
      <c r="I9658" t="str" cm="1">
        <f t="array" ref="I9658">_xlfn.XLOOKUP(FACT_IMPORTS[[#This Row],[country_name]],DIM_COUNTRY[[#All],[Column2]],DIM_COUNTRY[[#All],[Column3]],,,)</f>
        <v>USMCA</v>
      </c>
    </row>
    <row r="9659" spans="1:9" x14ac:dyDescent="0.4">
      <c r="A9659" t="s">
        <v>64</v>
      </c>
      <c r="B9659" s="1">
        <v>45323</v>
      </c>
      <c r="C9659">
        <v>851120</v>
      </c>
      <c r="D9659" t="s">
        <v>176</v>
      </c>
      <c r="E9659">
        <v>0</v>
      </c>
      <c r="F9659">
        <v>0</v>
      </c>
      <c r="G9659">
        <v>0</v>
      </c>
      <c r="H9659">
        <f>_xlfn.XLOOKUP(FACT_IMPORTS[[#This Row],[hts_6]],DIM_PRODUCTS[hts_6],DIM_PRODUCTS[hts_4],,,)</f>
        <v>8511</v>
      </c>
      <c r="I9659" t="str" cm="1">
        <f t="array" ref="I9659">_xlfn.XLOOKUP(FACT_IMPORTS[[#This Row],[country_name]],DIM_COUNTRY[[#All],[Column2]],DIM_COUNTRY[[#All],[Column3]],,,)</f>
        <v>USMCA</v>
      </c>
    </row>
    <row r="9660" spans="1:9" x14ac:dyDescent="0.4">
      <c r="A9660" t="s">
        <v>64</v>
      </c>
      <c r="B9660" s="1">
        <v>45323</v>
      </c>
      <c r="C9660">
        <v>851140</v>
      </c>
      <c r="D9660" t="s">
        <v>176</v>
      </c>
      <c r="E9660">
        <v>120386</v>
      </c>
      <c r="F9660">
        <v>973</v>
      </c>
      <c r="G9660">
        <v>139</v>
      </c>
      <c r="H9660">
        <f>_xlfn.XLOOKUP(FACT_IMPORTS[[#This Row],[hts_6]],DIM_PRODUCTS[hts_6],DIM_PRODUCTS[hts_4],,,)</f>
        <v>8511</v>
      </c>
      <c r="I9660" t="str" cm="1">
        <f t="array" ref="I9660">_xlfn.XLOOKUP(FACT_IMPORTS[[#This Row],[country_name]],DIM_COUNTRY[[#All],[Column2]],DIM_COUNTRY[[#All],[Column3]],,,)</f>
        <v>USMCA</v>
      </c>
    </row>
    <row r="9661" spans="1:9" x14ac:dyDescent="0.4">
      <c r="A9661" t="s">
        <v>64</v>
      </c>
      <c r="B9661" s="1">
        <v>45323</v>
      </c>
      <c r="C9661">
        <v>851150</v>
      </c>
      <c r="D9661" t="s">
        <v>176</v>
      </c>
      <c r="E9661">
        <v>28656</v>
      </c>
      <c r="F9661">
        <v>202</v>
      </c>
      <c r="G9661">
        <v>167</v>
      </c>
      <c r="H9661">
        <f>_xlfn.XLOOKUP(FACT_IMPORTS[[#This Row],[hts_6]],DIM_PRODUCTS[hts_6],DIM_PRODUCTS[hts_4],,,)</f>
        <v>8511</v>
      </c>
      <c r="I9661" t="str" cm="1">
        <f t="array" ref="I9661">_xlfn.XLOOKUP(FACT_IMPORTS[[#This Row],[country_name]],DIM_COUNTRY[[#All],[Column2]],DIM_COUNTRY[[#All],[Column3]],,,)</f>
        <v>USMCA</v>
      </c>
    </row>
    <row r="9662" spans="1:9" x14ac:dyDescent="0.4">
      <c r="A9662" t="s">
        <v>64</v>
      </c>
      <c r="B9662" s="1">
        <v>45323</v>
      </c>
      <c r="C9662">
        <v>851180</v>
      </c>
      <c r="D9662" t="s">
        <v>176</v>
      </c>
      <c r="E9662">
        <v>3366</v>
      </c>
      <c r="F9662">
        <v>27</v>
      </c>
      <c r="G9662">
        <v>1</v>
      </c>
      <c r="H9662">
        <f>_xlfn.XLOOKUP(FACT_IMPORTS[[#This Row],[hts_6]],DIM_PRODUCTS[hts_6],DIM_PRODUCTS[hts_4],,,)</f>
        <v>8511</v>
      </c>
      <c r="I9662" t="str" cm="1">
        <f t="array" ref="I9662">_xlfn.XLOOKUP(FACT_IMPORTS[[#This Row],[country_name]],DIM_COUNTRY[[#All],[Column2]],DIM_COUNTRY[[#All],[Column3]],,,)</f>
        <v>USMCA</v>
      </c>
    </row>
    <row r="9663" spans="1:9" x14ac:dyDescent="0.4">
      <c r="A9663" t="s">
        <v>64</v>
      </c>
      <c r="B9663" s="1">
        <v>45323</v>
      </c>
      <c r="C9663">
        <v>851190</v>
      </c>
      <c r="D9663" t="s">
        <v>176</v>
      </c>
      <c r="E9663">
        <v>0</v>
      </c>
      <c r="F9663">
        <v>0</v>
      </c>
      <c r="G9663">
        <v>0</v>
      </c>
      <c r="H9663">
        <f>_xlfn.XLOOKUP(FACT_IMPORTS[[#This Row],[hts_6]],DIM_PRODUCTS[hts_6],DIM_PRODUCTS[hts_4],,,)</f>
        <v>8511</v>
      </c>
      <c r="I9663" t="str" cm="1">
        <f t="array" ref="I9663">_xlfn.XLOOKUP(FACT_IMPORTS[[#This Row],[country_name]],DIM_COUNTRY[[#All],[Column2]],DIM_COUNTRY[[#All],[Column3]],,,)</f>
        <v>USMCA</v>
      </c>
    </row>
    <row r="9664" spans="1:9" x14ac:dyDescent="0.4">
      <c r="A9664" t="s">
        <v>64</v>
      </c>
      <c r="B9664" s="1">
        <v>45323</v>
      </c>
      <c r="C9664">
        <v>851220</v>
      </c>
      <c r="D9664" t="s">
        <v>176</v>
      </c>
      <c r="E9664">
        <v>74847</v>
      </c>
      <c r="F9664">
        <v>8755</v>
      </c>
      <c r="G9664">
        <v>504</v>
      </c>
      <c r="H9664">
        <f>_xlfn.XLOOKUP(FACT_IMPORTS[[#This Row],[hts_6]],DIM_PRODUCTS[hts_6],DIM_PRODUCTS[hts_4],,,)</f>
        <v>8512</v>
      </c>
      <c r="I9664" t="str" cm="1">
        <f t="array" ref="I9664">_xlfn.XLOOKUP(FACT_IMPORTS[[#This Row],[country_name]],DIM_COUNTRY[[#All],[Column2]],DIM_COUNTRY[[#All],[Column3]],,,)</f>
        <v>USMCA</v>
      </c>
    </row>
    <row r="9665" spans="1:9" x14ac:dyDescent="0.4">
      <c r="A9665" t="s">
        <v>64</v>
      </c>
      <c r="B9665" s="1">
        <v>45323</v>
      </c>
      <c r="C9665">
        <v>851230</v>
      </c>
      <c r="D9665" t="s">
        <v>176</v>
      </c>
      <c r="E9665">
        <v>0</v>
      </c>
      <c r="F9665">
        <v>0</v>
      </c>
      <c r="G9665">
        <v>0</v>
      </c>
      <c r="H9665">
        <f>_xlfn.XLOOKUP(FACT_IMPORTS[[#This Row],[hts_6]],DIM_PRODUCTS[hts_6],DIM_PRODUCTS[hts_4],,,)</f>
        <v>8512</v>
      </c>
      <c r="I9665" t="str" cm="1">
        <f t="array" ref="I9665">_xlfn.XLOOKUP(FACT_IMPORTS[[#This Row],[country_name]],DIM_COUNTRY[[#All],[Column2]],DIM_COUNTRY[[#All],[Column3]],,,)</f>
        <v>USMCA</v>
      </c>
    </row>
    <row r="9666" spans="1:9" x14ac:dyDescent="0.4">
      <c r="A9666" t="s">
        <v>64</v>
      </c>
      <c r="B9666" s="1">
        <v>45323</v>
      </c>
      <c r="C9666">
        <v>851290</v>
      </c>
      <c r="D9666" t="s">
        <v>176</v>
      </c>
      <c r="E9666">
        <v>2689</v>
      </c>
      <c r="F9666">
        <v>85</v>
      </c>
      <c r="G9666">
        <v>269</v>
      </c>
      <c r="H9666">
        <f>_xlfn.XLOOKUP(FACT_IMPORTS[[#This Row],[hts_6]],DIM_PRODUCTS[hts_6],DIM_PRODUCTS[hts_4],,,)</f>
        <v>8512</v>
      </c>
      <c r="I9666" t="str" cm="1">
        <f t="array" ref="I9666">_xlfn.XLOOKUP(FACT_IMPORTS[[#This Row],[country_name]],DIM_COUNTRY[[#All],[Column2]],DIM_COUNTRY[[#All],[Column3]],,,)</f>
        <v>USMCA</v>
      </c>
    </row>
    <row r="9667" spans="1:9" x14ac:dyDescent="0.4">
      <c r="A9667" t="s">
        <v>64</v>
      </c>
      <c r="B9667" s="1">
        <v>45323</v>
      </c>
      <c r="C9667">
        <v>854231</v>
      </c>
      <c r="D9667" t="s">
        <v>176</v>
      </c>
      <c r="E9667">
        <v>0</v>
      </c>
      <c r="F9667">
        <v>0</v>
      </c>
      <c r="G9667">
        <v>0</v>
      </c>
      <c r="H9667">
        <f>_xlfn.XLOOKUP(FACT_IMPORTS[[#This Row],[hts_6]],DIM_PRODUCTS[hts_6],DIM_PRODUCTS[hts_4],,,)</f>
        <v>8542</v>
      </c>
      <c r="I9667" t="str" cm="1">
        <f t="array" ref="I9667">_xlfn.XLOOKUP(FACT_IMPORTS[[#This Row],[country_name]],DIM_COUNTRY[[#All],[Column2]],DIM_COUNTRY[[#All],[Column3]],,,)</f>
        <v>USMCA</v>
      </c>
    </row>
    <row r="9668" spans="1:9" x14ac:dyDescent="0.4">
      <c r="A9668" t="s">
        <v>64</v>
      </c>
      <c r="B9668" s="1">
        <v>45323</v>
      </c>
      <c r="C9668">
        <v>854239</v>
      </c>
      <c r="D9668" t="s">
        <v>176</v>
      </c>
      <c r="E9668">
        <v>3063</v>
      </c>
      <c r="F9668">
        <v>8713</v>
      </c>
      <c r="G9668">
        <v>8</v>
      </c>
      <c r="H9668">
        <f>_xlfn.XLOOKUP(FACT_IMPORTS[[#This Row],[hts_6]],DIM_PRODUCTS[hts_6],DIM_PRODUCTS[hts_4],,,)</f>
        <v>8542</v>
      </c>
      <c r="I9668" t="str" cm="1">
        <f t="array" ref="I9668">_xlfn.XLOOKUP(FACT_IMPORTS[[#This Row],[country_name]],DIM_COUNTRY[[#All],[Column2]],DIM_COUNTRY[[#All],[Column3]],,,)</f>
        <v>USMCA</v>
      </c>
    </row>
    <row r="9669" spans="1:9" x14ac:dyDescent="0.4">
      <c r="A9669" t="s">
        <v>64</v>
      </c>
      <c r="B9669" s="1">
        <v>45323</v>
      </c>
      <c r="C9669">
        <v>854290</v>
      </c>
      <c r="D9669" t="s">
        <v>176</v>
      </c>
      <c r="E9669">
        <v>0</v>
      </c>
      <c r="F9669">
        <v>0</v>
      </c>
      <c r="G9669">
        <v>0</v>
      </c>
      <c r="H9669">
        <f>_xlfn.XLOOKUP(FACT_IMPORTS[[#This Row],[hts_6]],DIM_PRODUCTS[hts_6],DIM_PRODUCTS[hts_4],,,)</f>
        <v>8542</v>
      </c>
      <c r="I9669" t="str" cm="1">
        <f t="array" ref="I9669">_xlfn.XLOOKUP(FACT_IMPORTS[[#This Row],[country_name]],DIM_COUNTRY[[#All],[Column2]],DIM_COUNTRY[[#All],[Column3]],,,)</f>
        <v>USMCA</v>
      </c>
    </row>
    <row r="9670" spans="1:9" x14ac:dyDescent="0.4">
      <c r="A9670" t="s">
        <v>64</v>
      </c>
      <c r="B9670" s="1">
        <v>45323</v>
      </c>
      <c r="C9670">
        <v>854430</v>
      </c>
      <c r="D9670" t="s">
        <v>176</v>
      </c>
      <c r="E9670">
        <v>484818</v>
      </c>
      <c r="F9670">
        <v>37728</v>
      </c>
      <c r="G9670">
        <v>4596</v>
      </c>
      <c r="H9670">
        <f>_xlfn.XLOOKUP(FACT_IMPORTS[[#This Row],[hts_6]],DIM_PRODUCTS[hts_6],DIM_PRODUCTS[hts_4],,,)</f>
        <v>8544</v>
      </c>
      <c r="I9670" t="str" cm="1">
        <f t="array" ref="I9670">_xlfn.XLOOKUP(FACT_IMPORTS[[#This Row],[country_name]],DIM_COUNTRY[[#All],[Column2]],DIM_COUNTRY[[#All],[Column3]],,,)</f>
        <v>USMCA</v>
      </c>
    </row>
    <row r="9671" spans="1:9" x14ac:dyDescent="0.4">
      <c r="A9671" t="s">
        <v>64</v>
      </c>
      <c r="B9671" s="1">
        <v>45323</v>
      </c>
      <c r="C9671">
        <v>870810</v>
      </c>
      <c r="D9671" t="s">
        <v>176</v>
      </c>
      <c r="E9671">
        <v>2082</v>
      </c>
      <c r="F9671">
        <v>1</v>
      </c>
      <c r="G9671">
        <v>455</v>
      </c>
      <c r="H9671">
        <f>_xlfn.XLOOKUP(FACT_IMPORTS[[#This Row],[hts_6]],DIM_PRODUCTS[hts_6],DIM_PRODUCTS[hts_4],,,)</f>
        <v>8708</v>
      </c>
      <c r="I9671" t="str" cm="1">
        <f t="array" ref="I9671">_xlfn.XLOOKUP(FACT_IMPORTS[[#This Row],[country_name]],DIM_COUNTRY[[#All],[Column2]],DIM_COUNTRY[[#All],[Column3]],,,)</f>
        <v>USMCA</v>
      </c>
    </row>
    <row r="9672" spans="1:9" x14ac:dyDescent="0.4">
      <c r="A9672" t="s">
        <v>64</v>
      </c>
      <c r="B9672" s="1">
        <v>45323</v>
      </c>
      <c r="C9672">
        <v>870822</v>
      </c>
      <c r="D9672" t="s">
        <v>176</v>
      </c>
      <c r="E9672">
        <v>0</v>
      </c>
      <c r="F9672">
        <v>0</v>
      </c>
      <c r="G9672">
        <v>0</v>
      </c>
      <c r="H9672">
        <f>_xlfn.XLOOKUP(FACT_IMPORTS[[#This Row],[hts_6]],DIM_PRODUCTS[hts_6],DIM_PRODUCTS[hts_4],,,)</f>
        <v>8708</v>
      </c>
      <c r="I9672" t="str" cm="1">
        <f t="array" ref="I9672">_xlfn.XLOOKUP(FACT_IMPORTS[[#This Row],[country_name]],DIM_COUNTRY[[#All],[Column2]],DIM_COUNTRY[[#All],[Column3]],,,)</f>
        <v>USMCA</v>
      </c>
    </row>
    <row r="9673" spans="1:9" x14ac:dyDescent="0.4">
      <c r="A9673" t="s">
        <v>64</v>
      </c>
      <c r="B9673" s="1">
        <v>45323</v>
      </c>
      <c r="C9673">
        <v>870829</v>
      </c>
      <c r="D9673" t="s">
        <v>176</v>
      </c>
      <c r="E9673">
        <v>752238</v>
      </c>
      <c r="F9673">
        <v>19592</v>
      </c>
      <c r="G9673">
        <v>40150</v>
      </c>
      <c r="H9673">
        <f>_xlfn.XLOOKUP(FACT_IMPORTS[[#This Row],[hts_6]],DIM_PRODUCTS[hts_6],DIM_PRODUCTS[hts_4],,,)</f>
        <v>8708</v>
      </c>
      <c r="I9673" t="str" cm="1">
        <f t="array" ref="I9673">_xlfn.XLOOKUP(FACT_IMPORTS[[#This Row],[country_name]],DIM_COUNTRY[[#All],[Column2]],DIM_COUNTRY[[#All],[Column3]],,,)</f>
        <v>USMCA</v>
      </c>
    </row>
    <row r="9674" spans="1:9" x14ac:dyDescent="0.4">
      <c r="A9674" t="s">
        <v>64</v>
      </c>
      <c r="B9674" s="1">
        <v>45323</v>
      </c>
      <c r="C9674">
        <v>870830</v>
      </c>
      <c r="D9674" t="s">
        <v>176</v>
      </c>
      <c r="E9674">
        <v>813148</v>
      </c>
      <c r="F9674">
        <v>13291</v>
      </c>
      <c r="G9674">
        <v>5234</v>
      </c>
      <c r="H9674">
        <f>_xlfn.XLOOKUP(FACT_IMPORTS[[#This Row],[hts_6]],DIM_PRODUCTS[hts_6],DIM_PRODUCTS[hts_4],,,)</f>
        <v>8708</v>
      </c>
      <c r="I9674" t="str" cm="1">
        <f t="array" ref="I9674">_xlfn.XLOOKUP(FACT_IMPORTS[[#This Row],[country_name]],DIM_COUNTRY[[#All],[Column2]],DIM_COUNTRY[[#All],[Column3]],,,)</f>
        <v>USMCA</v>
      </c>
    </row>
    <row r="9675" spans="1:9" x14ac:dyDescent="0.4">
      <c r="A9675" t="s">
        <v>64</v>
      </c>
      <c r="B9675" s="1">
        <v>45323</v>
      </c>
      <c r="C9675">
        <v>870840</v>
      </c>
      <c r="D9675" t="s">
        <v>176</v>
      </c>
      <c r="E9675">
        <v>223728</v>
      </c>
      <c r="F9675">
        <v>820</v>
      </c>
      <c r="G9675">
        <v>3255</v>
      </c>
      <c r="H9675">
        <f>_xlfn.XLOOKUP(FACT_IMPORTS[[#This Row],[hts_6]],DIM_PRODUCTS[hts_6],DIM_PRODUCTS[hts_4],,,)</f>
        <v>8708</v>
      </c>
      <c r="I9675" t="str" cm="1">
        <f t="array" ref="I9675">_xlfn.XLOOKUP(FACT_IMPORTS[[#This Row],[country_name]],DIM_COUNTRY[[#All],[Column2]],DIM_COUNTRY[[#All],[Column3]],,,)</f>
        <v>USMCA</v>
      </c>
    </row>
    <row r="9676" spans="1:9" x14ac:dyDescent="0.4">
      <c r="A9676" t="s">
        <v>64</v>
      </c>
      <c r="B9676" s="1">
        <v>45323</v>
      </c>
      <c r="C9676">
        <v>870850</v>
      </c>
      <c r="D9676" t="s">
        <v>176</v>
      </c>
      <c r="E9676">
        <v>16844</v>
      </c>
      <c r="F9676">
        <v>41</v>
      </c>
      <c r="G9676">
        <v>7</v>
      </c>
      <c r="H9676">
        <f>_xlfn.XLOOKUP(FACT_IMPORTS[[#This Row],[hts_6]],DIM_PRODUCTS[hts_6],DIM_PRODUCTS[hts_4],,,)</f>
        <v>8708</v>
      </c>
      <c r="I9676" t="str" cm="1">
        <f t="array" ref="I9676">_xlfn.XLOOKUP(FACT_IMPORTS[[#This Row],[country_name]],DIM_COUNTRY[[#All],[Column2]],DIM_COUNTRY[[#All],[Column3]],,,)</f>
        <v>USMCA</v>
      </c>
    </row>
    <row r="9677" spans="1:9" x14ac:dyDescent="0.4">
      <c r="A9677" t="s">
        <v>64</v>
      </c>
      <c r="B9677" s="1">
        <v>45323</v>
      </c>
      <c r="C9677">
        <v>870870</v>
      </c>
      <c r="D9677" t="s">
        <v>176</v>
      </c>
      <c r="E9677">
        <v>88781</v>
      </c>
      <c r="F9677">
        <v>1561</v>
      </c>
      <c r="G9677">
        <v>1518</v>
      </c>
      <c r="H9677">
        <f>_xlfn.XLOOKUP(FACT_IMPORTS[[#This Row],[hts_6]],DIM_PRODUCTS[hts_6],DIM_PRODUCTS[hts_4],,,)</f>
        <v>8708</v>
      </c>
      <c r="I9677" t="str" cm="1">
        <f t="array" ref="I9677">_xlfn.XLOOKUP(FACT_IMPORTS[[#This Row],[country_name]],DIM_COUNTRY[[#All],[Column2]],DIM_COUNTRY[[#All],[Column3]],,,)</f>
        <v>USMCA</v>
      </c>
    </row>
    <row r="9678" spans="1:9" x14ac:dyDescent="0.4">
      <c r="A9678" t="s">
        <v>64</v>
      </c>
      <c r="B9678" s="1">
        <v>45323</v>
      </c>
      <c r="C9678">
        <v>870880</v>
      </c>
      <c r="D9678" t="s">
        <v>176</v>
      </c>
      <c r="E9678">
        <v>16675</v>
      </c>
      <c r="F9678">
        <v>1258</v>
      </c>
      <c r="G9678">
        <v>365</v>
      </c>
      <c r="H9678">
        <f>_xlfn.XLOOKUP(FACT_IMPORTS[[#This Row],[hts_6]],DIM_PRODUCTS[hts_6],DIM_PRODUCTS[hts_4],,,)</f>
        <v>8708</v>
      </c>
      <c r="I9678" t="str" cm="1">
        <f t="array" ref="I9678">_xlfn.XLOOKUP(FACT_IMPORTS[[#This Row],[country_name]],DIM_COUNTRY[[#All],[Column2]],DIM_COUNTRY[[#All],[Column3]],,,)</f>
        <v>USMCA</v>
      </c>
    </row>
    <row r="9679" spans="1:9" x14ac:dyDescent="0.4">
      <c r="A9679" t="s">
        <v>64</v>
      </c>
      <c r="B9679" s="1">
        <v>45323</v>
      </c>
      <c r="C9679">
        <v>870891</v>
      </c>
      <c r="D9679" t="s">
        <v>176</v>
      </c>
      <c r="E9679">
        <v>5871</v>
      </c>
      <c r="F9679">
        <v>5</v>
      </c>
      <c r="G9679">
        <v>63</v>
      </c>
      <c r="H9679">
        <f>_xlfn.XLOOKUP(FACT_IMPORTS[[#This Row],[hts_6]],DIM_PRODUCTS[hts_6],DIM_PRODUCTS[hts_4],,,)</f>
        <v>8708</v>
      </c>
      <c r="I9679" t="str" cm="1">
        <f t="array" ref="I9679">_xlfn.XLOOKUP(FACT_IMPORTS[[#This Row],[country_name]],DIM_COUNTRY[[#All],[Column2]],DIM_COUNTRY[[#All],[Column3]],,,)</f>
        <v>USMCA</v>
      </c>
    </row>
    <row r="9680" spans="1:9" x14ac:dyDescent="0.4">
      <c r="A9680" t="s">
        <v>64</v>
      </c>
      <c r="B9680" s="1">
        <v>45323</v>
      </c>
      <c r="C9680">
        <v>870892</v>
      </c>
      <c r="D9680" t="s">
        <v>176</v>
      </c>
      <c r="E9680">
        <v>5440</v>
      </c>
      <c r="F9680">
        <v>176</v>
      </c>
      <c r="G9680">
        <v>109</v>
      </c>
      <c r="H9680">
        <f>_xlfn.XLOOKUP(FACT_IMPORTS[[#This Row],[hts_6]],DIM_PRODUCTS[hts_6],DIM_PRODUCTS[hts_4],,,)</f>
        <v>8708</v>
      </c>
      <c r="I9680" t="str" cm="1">
        <f t="array" ref="I9680">_xlfn.XLOOKUP(FACT_IMPORTS[[#This Row],[country_name]],DIM_COUNTRY[[#All],[Column2]],DIM_COUNTRY[[#All],[Column3]],,,)</f>
        <v>USMCA</v>
      </c>
    </row>
    <row r="9681" spans="1:9" x14ac:dyDescent="0.4">
      <c r="A9681" t="s">
        <v>64</v>
      </c>
      <c r="B9681" s="1">
        <v>45323</v>
      </c>
      <c r="C9681">
        <v>870893</v>
      </c>
      <c r="D9681" t="s">
        <v>176</v>
      </c>
      <c r="E9681">
        <v>3005</v>
      </c>
      <c r="F9681">
        <v>4</v>
      </c>
      <c r="G9681">
        <v>4</v>
      </c>
      <c r="H9681">
        <f>_xlfn.XLOOKUP(FACT_IMPORTS[[#This Row],[hts_6]],DIM_PRODUCTS[hts_6],DIM_PRODUCTS[hts_4],,,)</f>
        <v>8708</v>
      </c>
      <c r="I9681" t="str" cm="1">
        <f t="array" ref="I9681">_xlfn.XLOOKUP(FACT_IMPORTS[[#This Row],[country_name]],DIM_COUNTRY[[#All],[Column2]],DIM_COUNTRY[[#All],[Column3]],,,)</f>
        <v>USMCA</v>
      </c>
    </row>
    <row r="9682" spans="1:9" x14ac:dyDescent="0.4">
      <c r="A9682" t="s">
        <v>64</v>
      </c>
      <c r="B9682" s="1">
        <v>45323</v>
      </c>
      <c r="C9682">
        <v>870894</v>
      </c>
      <c r="D9682" t="s">
        <v>176</v>
      </c>
      <c r="E9682">
        <v>47263</v>
      </c>
      <c r="F9682">
        <v>125</v>
      </c>
      <c r="G9682">
        <v>337</v>
      </c>
      <c r="H9682">
        <f>_xlfn.XLOOKUP(FACT_IMPORTS[[#This Row],[hts_6]],DIM_PRODUCTS[hts_6],DIM_PRODUCTS[hts_4],,,)</f>
        <v>8708</v>
      </c>
      <c r="I9682" t="str" cm="1">
        <f t="array" ref="I9682">_xlfn.XLOOKUP(FACT_IMPORTS[[#This Row],[country_name]],DIM_COUNTRY[[#All],[Column2]],DIM_COUNTRY[[#All],[Column3]],,,)</f>
        <v>USMCA</v>
      </c>
    </row>
    <row r="9683" spans="1:9" x14ac:dyDescent="0.4">
      <c r="A9683" t="s">
        <v>64</v>
      </c>
      <c r="B9683" s="1">
        <v>45323</v>
      </c>
      <c r="C9683">
        <v>870895</v>
      </c>
      <c r="D9683" t="s">
        <v>176</v>
      </c>
      <c r="E9683">
        <v>34557</v>
      </c>
      <c r="F9683">
        <v>3810</v>
      </c>
      <c r="G9683">
        <v>5283</v>
      </c>
      <c r="H9683">
        <f>_xlfn.XLOOKUP(FACT_IMPORTS[[#This Row],[hts_6]],DIM_PRODUCTS[hts_6],DIM_PRODUCTS[hts_4],,,)</f>
        <v>8708</v>
      </c>
      <c r="I9683" t="str" cm="1">
        <f t="array" ref="I9683">_xlfn.XLOOKUP(FACT_IMPORTS[[#This Row],[country_name]],DIM_COUNTRY[[#All],[Column2]],DIM_COUNTRY[[#All],[Column3]],,,)</f>
        <v>USMCA</v>
      </c>
    </row>
    <row r="9684" spans="1:9" x14ac:dyDescent="0.4">
      <c r="A9684" t="s">
        <v>64</v>
      </c>
      <c r="B9684" s="1">
        <v>45323</v>
      </c>
      <c r="C9684">
        <v>870899</v>
      </c>
      <c r="D9684" t="s">
        <v>176</v>
      </c>
      <c r="E9684">
        <v>99524</v>
      </c>
      <c r="F9684">
        <v>1918</v>
      </c>
      <c r="G9684">
        <v>1438</v>
      </c>
      <c r="H9684">
        <f>_xlfn.XLOOKUP(FACT_IMPORTS[[#This Row],[hts_6]],DIM_PRODUCTS[hts_6],DIM_PRODUCTS[hts_4],,,)</f>
        <v>8708</v>
      </c>
      <c r="I9684" t="str" cm="1">
        <f t="array" ref="I9684">_xlfn.XLOOKUP(FACT_IMPORTS[[#This Row],[country_name]],DIM_COUNTRY[[#All],[Column2]],DIM_COUNTRY[[#All],[Column3]],,,)</f>
        <v>USMCA</v>
      </c>
    </row>
    <row r="9685" spans="1:9" x14ac:dyDescent="0.4">
      <c r="A9685" t="s">
        <v>64</v>
      </c>
      <c r="B9685" s="1">
        <v>45323</v>
      </c>
      <c r="C9685">
        <v>940120</v>
      </c>
      <c r="D9685" t="s">
        <v>176</v>
      </c>
      <c r="E9685">
        <v>14444</v>
      </c>
      <c r="F9685">
        <v>31</v>
      </c>
      <c r="G9685">
        <v>54</v>
      </c>
      <c r="H9685">
        <f>_xlfn.XLOOKUP(FACT_IMPORTS[[#This Row],[hts_6]],DIM_PRODUCTS[hts_6],DIM_PRODUCTS[hts_4],,,)</f>
        <v>9401</v>
      </c>
      <c r="I9685" t="str" cm="1">
        <f t="array" ref="I9685">_xlfn.XLOOKUP(FACT_IMPORTS[[#This Row],[country_name]],DIM_COUNTRY[[#All],[Column2]],DIM_COUNTRY[[#All],[Column3]],,,)</f>
        <v>USMCA</v>
      </c>
    </row>
    <row r="9686" spans="1:9" x14ac:dyDescent="0.4">
      <c r="A9686" t="s">
        <v>64</v>
      </c>
      <c r="B9686" s="1">
        <v>45352</v>
      </c>
      <c r="C9686">
        <v>392630</v>
      </c>
      <c r="D9686" t="s">
        <v>176</v>
      </c>
      <c r="E9686">
        <v>4247</v>
      </c>
      <c r="F9686">
        <v>38</v>
      </c>
      <c r="G9686">
        <v>59</v>
      </c>
      <c r="H9686">
        <f>_xlfn.XLOOKUP(FACT_IMPORTS[[#This Row],[hts_6]],DIM_PRODUCTS[hts_6],DIM_PRODUCTS[hts_4],,,)</f>
        <v>3926</v>
      </c>
      <c r="I9686" t="str" cm="1">
        <f t="array" ref="I9686">_xlfn.XLOOKUP(FACT_IMPORTS[[#This Row],[country_name]],DIM_COUNTRY[[#All],[Column2]],DIM_COUNTRY[[#All],[Column3]],,,)</f>
        <v>USMCA</v>
      </c>
    </row>
    <row r="9687" spans="1:9" x14ac:dyDescent="0.4">
      <c r="A9687" t="s">
        <v>64</v>
      </c>
      <c r="B9687" s="1">
        <v>45352</v>
      </c>
      <c r="C9687">
        <v>401110</v>
      </c>
      <c r="D9687" t="s">
        <v>176</v>
      </c>
      <c r="E9687">
        <v>357</v>
      </c>
      <c r="F9687">
        <v>4</v>
      </c>
      <c r="G9687">
        <v>1</v>
      </c>
      <c r="H9687">
        <f>_xlfn.XLOOKUP(FACT_IMPORTS[[#This Row],[hts_6]],DIM_PRODUCTS[hts_6],DIM_PRODUCTS[hts_4],,,)</f>
        <v>4011</v>
      </c>
      <c r="I9687" t="str" cm="1">
        <f t="array" ref="I9687">_xlfn.XLOOKUP(FACT_IMPORTS[[#This Row],[country_name]],DIM_COUNTRY[[#All],[Column2]],DIM_COUNTRY[[#All],[Column3]],,,)</f>
        <v>USMCA</v>
      </c>
    </row>
    <row r="9688" spans="1:9" x14ac:dyDescent="0.4">
      <c r="A9688" t="s">
        <v>64</v>
      </c>
      <c r="B9688" s="1">
        <v>45352</v>
      </c>
      <c r="C9688">
        <v>401120</v>
      </c>
      <c r="D9688" t="s">
        <v>176</v>
      </c>
      <c r="E9688">
        <v>8235</v>
      </c>
      <c r="F9688">
        <v>123</v>
      </c>
      <c r="G9688">
        <v>5558</v>
      </c>
      <c r="H9688">
        <f>_xlfn.XLOOKUP(FACT_IMPORTS[[#This Row],[hts_6]],DIM_PRODUCTS[hts_6],DIM_PRODUCTS[hts_4],,,)</f>
        <v>4011</v>
      </c>
      <c r="I9688" t="str" cm="1">
        <f t="array" ref="I9688">_xlfn.XLOOKUP(FACT_IMPORTS[[#This Row],[country_name]],DIM_COUNTRY[[#All],[Column2]],DIM_COUNTRY[[#All],[Column3]],,,)</f>
        <v>USMCA</v>
      </c>
    </row>
    <row r="9689" spans="1:9" x14ac:dyDescent="0.4">
      <c r="A9689" t="s">
        <v>64</v>
      </c>
      <c r="B9689" s="1">
        <v>45352</v>
      </c>
      <c r="C9689">
        <v>700711</v>
      </c>
      <c r="D9689" t="s">
        <v>176</v>
      </c>
      <c r="E9689">
        <v>0</v>
      </c>
      <c r="F9689">
        <v>0</v>
      </c>
      <c r="G9689">
        <v>0</v>
      </c>
      <c r="H9689">
        <f>_xlfn.XLOOKUP(FACT_IMPORTS[[#This Row],[hts_6]],DIM_PRODUCTS[hts_6],DIM_PRODUCTS[hts_4],,,)</f>
        <v>7007</v>
      </c>
      <c r="I9689" t="str" cm="1">
        <f t="array" ref="I9689">_xlfn.XLOOKUP(FACT_IMPORTS[[#This Row],[country_name]],DIM_COUNTRY[[#All],[Column2]],DIM_COUNTRY[[#All],[Column3]],,,)</f>
        <v>USMCA</v>
      </c>
    </row>
    <row r="9690" spans="1:9" x14ac:dyDescent="0.4">
      <c r="A9690" t="s">
        <v>64</v>
      </c>
      <c r="B9690" s="1">
        <v>45352</v>
      </c>
      <c r="C9690">
        <v>700721</v>
      </c>
      <c r="D9690" t="s">
        <v>176</v>
      </c>
      <c r="E9690">
        <v>0</v>
      </c>
      <c r="F9690">
        <v>0</v>
      </c>
      <c r="G9690">
        <v>0</v>
      </c>
      <c r="H9690">
        <f>_xlfn.XLOOKUP(FACT_IMPORTS[[#This Row],[hts_6]],DIM_PRODUCTS[hts_6],DIM_PRODUCTS[hts_4],,,)</f>
        <v>7007</v>
      </c>
      <c r="I9690" t="str" cm="1">
        <f t="array" ref="I9690">_xlfn.XLOOKUP(FACT_IMPORTS[[#This Row],[country_name]],DIM_COUNTRY[[#All],[Column2]],DIM_COUNTRY[[#All],[Column3]],,,)</f>
        <v>USMCA</v>
      </c>
    </row>
    <row r="9691" spans="1:9" x14ac:dyDescent="0.4">
      <c r="A9691" t="s">
        <v>64</v>
      </c>
      <c r="B9691" s="1">
        <v>45352</v>
      </c>
      <c r="C9691">
        <v>700910</v>
      </c>
      <c r="D9691" t="s">
        <v>176</v>
      </c>
      <c r="E9691">
        <v>0</v>
      </c>
      <c r="F9691">
        <v>0</v>
      </c>
      <c r="G9691">
        <v>0</v>
      </c>
      <c r="H9691">
        <f>_xlfn.XLOOKUP(FACT_IMPORTS[[#This Row],[hts_6]],DIM_PRODUCTS[hts_6],DIM_PRODUCTS[hts_4],,,)</f>
        <v>7009</v>
      </c>
      <c r="I9691" t="str" cm="1">
        <f t="array" ref="I9691">_xlfn.XLOOKUP(FACT_IMPORTS[[#This Row],[country_name]],DIM_COUNTRY[[#All],[Column2]],DIM_COUNTRY[[#All],[Column3]],,,)</f>
        <v>USMCA</v>
      </c>
    </row>
    <row r="9692" spans="1:9" x14ac:dyDescent="0.4">
      <c r="A9692" t="s">
        <v>64</v>
      </c>
      <c r="B9692" s="1">
        <v>45352</v>
      </c>
      <c r="C9692">
        <v>732010</v>
      </c>
      <c r="D9692" t="s">
        <v>176</v>
      </c>
      <c r="E9692">
        <v>7990</v>
      </c>
      <c r="F9692">
        <v>3007</v>
      </c>
      <c r="G9692">
        <v>106</v>
      </c>
      <c r="H9692">
        <f>_xlfn.XLOOKUP(FACT_IMPORTS[[#This Row],[hts_6]],DIM_PRODUCTS[hts_6],DIM_PRODUCTS[hts_4],,,)</f>
        <v>7320</v>
      </c>
      <c r="I9692" t="str" cm="1">
        <f t="array" ref="I9692">_xlfn.XLOOKUP(FACT_IMPORTS[[#This Row],[country_name]],DIM_COUNTRY[[#All],[Column2]],DIM_COUNTRY[[#All],[Column3]],,,)</f>
        <v>USMCA</v>
      </c>
    </row>
    <row r="9693" spans="1:9" x14ac:dyDescent="0.4">
      <c r="A9693" t="s">
        <v>64</v>
      </c>
      <c r="B9693" s="1">
        <v>45352</v>
      </c>
      <c r="C9693">
        <v>830230</v>
      </c>
      <c r="D9693" t="s">
        <v>176</v>
      </c>
      <c r="E9693">
        <v>15380</v>
      </c>
      <c r="F9693">
        <v>1792</v>
      </c>
      <c r="G9693">
        <v>200</v>
      </c>
      <c r="H9693">
        <f>_xlfn.XLOOKUP(FACT_IMPORTS[[#This Row],[hts_6]],DIM_PRODUCTS[hts_6],DIM_PRODUCTS[hts_4],,,)</f>
        <v>8302</v>
      </c>
      <c r="I9693" t="str" cm="1">
        <f t="array" ref="I9693">_xlfn.XLOOKUP(FACT_IMPORTS[[#This Row],[country_name]],DIM_COUNTRY[[#All],[Column2]],DIM_COUNTRY[[#All],[Column3]],,,)</f>
        <v>USMCA</v>
      </c>
    </row>
    <row r="9694" spans="1:9" x14ac:dyDescent="0.4">
      <c r="A9694" t="s">
        <v>64</v>
      </c>
      <c r="B9694" s="1">
        <v>45352</v>
      </c>
      <c r="C9694">
        <v>840733</v>
      </c>
      <c r="D9694" t="s">
        <v>176</v>
      </c>
      <c r="E9694">
        <v>8500</v>
      </c>
      <c r="F9694">
        <v>1</v>
      </c>
      <c r="G9694">
        <v>100</v>
      </c>
      <c r="H9694">
        <f>_xlfn.XLOOKUP(FACT_IMPORTS[[#This Row],[hts_6]],DIM_PRODUCTS[hts_6],DIM_PRODUCTS[hts_4],,,)</f>
        <v>8407</v>
      </c>
      <c r="I9694" t="str" cm="1">
        <f t="array" ref="I9694">_xlfn.XLOOKUP(FACT_IMPORTS[[#This Row],[country_name]],DIM_COUNTRY[[#All],[Column2]],DIM_COUNTRY[[#All],[Column3]],,,)</f>
        <v>USMCA</v>
      </c>
    </row>
    <row r="9695" spans="1:9" x14ac:dyDescent="0.4">
      <c r="A9695" t="s">
        <v>64</v>
      </c>
      <c r="B9695" s="1">
        <v>45352</v>
      </c>
      <c r="C9695">
        <v>840734</v>
      </c>
      <c r="D9695" t="s">
        <v>176</v>
      </c>
      <c r="E9695">
        <v>46105</v>
      </c>
      <c r="F9695">
        <v>40</v>
      </c>
      <c r="G9695">
        <v>545</v>
      </c>
      <c r="H9695">
        <f>_xlfn.XLOOKUP(FACT_IMPORTS[[#This Row],[hts_6]],DIM_PRODUCTS[hts_6],DIM_PRODUCTS[hts_4],,,)</f>
        <v>8407</v>
      </c>
      <c r="I9695" t="str" cm="1">
        <f t="array" ref="I9695">_xlfn.XLOOKUP(FACT_IMPORTS[[#This Row],[country_name]],DIM_COUNTRY[[#All],[Column2]],DIM_COUNTRY[[#All],[Column3]],,,)</f>
        <v>USMCA</v>
      </c>
    </row>
    <row r="9696" spans="1:9" x14ac:dyDescent="0.4">
      <c r="A9696" t="s">
        <v>64</v>
      </c>
      <c r="B9696" s="1">
        <v>45352</v>
      </c>
      <c r="C9696">
        <v>840820</v>
      </c>
      <c r="D9696" t="s">
        <v>176</v>
      </c>
      <c r="E9696">
        <v>100188</v>
      </c>
      <c r="F9696">
        <v>18</v>
      </c>
      <c r="G9696">
        <v>154</v>
      </c>
      <c r="H9696">
        <f>_xlfn.XLOOKUP(FACT_IMPORTS[[#This Row],[hts_6]],DIM_PRODUCTS[hts_6],DIM_PRODUCTS[hts_4],,,)</f>
        <v>8408</v>
      </c>
      <c r="I9696" t="str" cm="1">
        <f t="array" ref="I9696">_xlfn.XLOOKUP(FACT_IMPORTS[[#This Row],[country_name]],DIM_COUNTRY[[#All],[Column2]],DIM_COUNTRY[[#All],[Column3]],,,)</f>
        <v>USMCA</v>
      </c>
    </row>
    <row r="9697" spans="1:9" x14ac:dyDescent="0.4">
      <c r="A9697" t="s">
        <v>64</v>
      </c>
      <c r="B9697" s="1">
        <v>45352</v>
      </c>
      <c r="C9697">
        <v>840890</v>
      </c>
      <c r="D9697" t="s">
        <v>176</v>
      </c>
      <c r="E9697">
        <v>11395</v>
      </c>
      <c r="F9697">
        <v>1</v>
      </c>
      <c r="G9697">
        <v>28</v>
      </c>
      <c r="H9697">
        <f>_xlfn.XLOOKUP(FACT_IMPORTS[[#This Row],[hts_6]],DIM_PRODUCTS[hts_6],DIM_PRODUCTS[hts_4],,,)</f>
        <v>8408</v>
      </c>
      <c r="I9697" t="str" cm="1">
        <f t="array" ref="I9697">_xlfn.XLOOKUP(FACT_IMPORTS[[#This Row],[country_name]],DIM_COUNTRY[[#All],[Column2]],DIM_COUNTRY[[#All],[Column3]],,,)</f>
        <v>USMCA</v>
      </c>
    </row>
    <row r="9698" spans="1:9" x14ac:dyDescent="0.4">
      <c r="A9698" t="s">
        <v>64</v>
      </c>
      <c r="B9698" s="1">
        <v>45352</v>
      </c>
      <c r="C9698">
        <v>840991</v>
      </c>
      <c r="D9698" t="s">
        <v>176</v>
      </c>
      <c r="E9698">
        <v>530214</v>
      </c>
      <c r="F9698">
        <v>97024</v>
      </c>
      <c r="G9698">
        <v>4762</v>
      </c>
      <c r="H9698">
        <f>_xlfn.XLOOKUP(FACT_IMPORTS[[#This Row],[hts_6]],DIM_PRODUCTS[hts_6],DIM_PRODUCTS[hts_4],,,)</f>
        <v>8409</v>
      </c>
      <c r="I9698" t="str" cm="1">
        <f t="array" ref="I9698">_xlfn.XLOOKUP(FACT_IMPORTS[[#This Row],[country_name]],DIM_COUNTRY[[#All],[Column2]],DIM_COUNTRY[[#All],[Column3]],,,)</f>
        <v>USMCA</v>
      </c>
    </row>
    <row r="9699" spans="1:9" x14ac:dyDescent="0.4">
      <c r="A9699" t="s">
        <v>64</v>
      </c>
      <c r="B9699" s="1">
        <v>45352</v>
      </c>
      <c r="C9699">
        <v>840999</v>
      </c>
      <c r="D9699" t="s">
        <v>176</v>
      </c>
      <c r="E9699">
        <v>104055</v>
      </c>
      <c r="F9699">
        <v>2549</v>
      </c>
      <c r="G9699">
        <v>1695</v>
      </c>
      <c r="H9699">
        <f>_xlfn.XLOOKUP(FACT_IMPORTS[[#This Row],[hts_6]],DIM_PRODUCTS[hts_6],DIM_PRODUCTS[hts_4],,,)</f>
        <v>8409</v>
      </c>
      <c r="I9699" t="str" cm="1">
        <f t="array" ref="I9699">_xlfn.XLOOKUP(FACT_IMPORTS[[#This Row],[country_name]],DIM_COUNTRY[[#All],[Column2]],DIM_COUNTRY[[#All],[Column3]],,,)</f>
        <v>USMCA</v>
      </c>
    </row>
    <row r="9700" spans="1:9" x14ac:dyDescent="0.4">
      <c r="A9700" t="s">
        <v>64</v>
      </c>
      <c r="B9700" s="1">
        <v>45352</v>
      </c>
      <c r="C9700">
        <v>841330</v>
      </c>
      <c r="D9700" t="s">
        <v>176</v>
      </c>
      <c r="E9700">
        <v>15421</v>
      </c>
      <c r="F9700">
        <v>14</v>
      </c>
      <c r="G9700">
        <v>24</v>
      </c>
      <c r="H9700">
        <f>_xlfn.XLOOKUP(FACT_IMPORTS[[#This Row],[hts_6]],DIM_PRODUCTS[hts_6],DIM_PRODUCTS[hts_4],,,)</f>
        <v>8413</v>
      </c>
      <c r="I9700" t="str" cm="1">
        <f t="array" ref="I9700">_xlfn.XLOOKUP(FACT_IMPORTS[[#This Row],[country_name]],DIM_COUNTRY[[#All],[Column2]],DIM_COUNTRY[[#All],[Column3]],,,)</f>
        <v>USMCA</v>
      </c>
    </row>
    <row r="9701" spans="1:9" x14ac:dyDescent="0.4">
      <c r="A9701" t="s">
        <v>64</v>
      </c>
      <c r="B9701" s="1">
        <v>45352</v>
      </c>
      <c r="C9701">
        <v>842132</v>
      </c>
      <c r="D9701" t="s">
        <v>176</v>
      </c>
      <c r="E9701">
        <v>130487</v>
      </c>
      <c r="F9701">
        <v>804</v>
      </c>
      <c r="G9701">
        <v>900</v>
      </c>
      <c r="H9701">
        <f>_xlfn.XLOOKUP(FACT_IMPORTS[[#This Row],[hts_6]],DIM_PRODUCTS[hts_6],DIM_PRODUCTS[hts_4],,,)</f>
        <v>8421</v>
      </c>
      <c r="I9701" t="str" cm="1">
        <f t="array" ref="I9701">_xlfn.XLOOKUP(FACT_IMPORTS[[#This Row],[country_name]],DIM_COUNTRY[[#All],[Column2]],DIM_COUNTRY[[#All],[Column3]],,,)</f>
        <v>USMCA</v>
      </c>
    </row>
    <row r="9702" spans="1:9" x14ac:dyDescent="0.4">
      <c r="A9702" t="s">
        <v>64</v>
      </c>
      <c r="B9702" s="1">
        <v>45352</v>
      </c>
      <c r="C9702">
        <v>848210</v>
      </c>
      <c r="D9702" t="s">
        <v>176</v>
      </c>
      <c r="E9702">
        <v>0</v>
      </c>
      <c r="F9702">
        <v>0</v>
      </c>
      <c r="G9702">
        <v>0</v>
      </c>
      <c r="H9702">
        <f>_xlfn.XLOOKUP(FACT_IMPORTS[[#This Row],[hts_6]],DIM_PRODUCTS[hts_6],DIM_PRODUCTS[hts_4],,,)</f>
        <v>8482</v>
      </c>
      <c r="I9702" t="str" cm="1">
        <f t="array" ref="I9702">_xlfn.XLOOKUP(FACT_IMPORTS[[#This Row],[country_name]],DIM_COUNTRY[[#All],[Column2]],DIM_COUNTRY[[#All],[Column3]],,,)</f>
        <v>USMCA</v>
      </c>
    </row>
    <row r="9703" spans="1:9" x14ac:dyDescent="0.4">
      <c r="A9703" t="s">
        <v>64</v>
      </c>
      <c r="B9703" s="1">
        <v>45352</v>
      </c>
      <c r="C9703">
        <v>848220</v>
      </c>
      <c r="D9703" t="s">
        <v>176</v>
      </c>
      <c r="E9703">
        <v>0</v>
      </c>
      <c r="F9703">
        <v>0</v>
      </c>
      <c r="G9703">
        <v>0</v>
      </c>
      <c r="H9703">
        <f>_xlfn.XLOOKUP(FACT_IMPORTS[[#This Row],[hts_6]],DIM_PRODUCTS[hts_6],DIM_PRODUCTS[hts_4],,,)</f>
        <v>8482</v>
      </c>
      <c r="I9703" t="str" cm="1">
        <f t="array" ref="I9703">_xlfn.XLOOKUP(FACT_IMPORTS[[#This Row],[country_name]],DIM_COUNTRY[[#All],[Column2]],DIM_COUNTRY[[#All],[Column3]],,,)</f>
        <v>USMCA</v>
      </c>
    </row>
    <row r="9704" spans="1:9" x14ac:dyDescent="0.4">
      <c r="A9704" t="s">
        <v>64</v>
      </c>
      <c r="B9704" s="1">
        <v>45352</v>
      </c>
      <c r="C9704">
        <v>848310</v>
      </c>
      <c r="D9704" t="s">
        <v>176</v>
      </c>
      <c r="E9704">
        <v>0</v>
      </c>
      <c r="F9704">
        <v>0</v>
      </c>
      <c r="G9704">
        <v>0</v>
      </c>
      <c r="H9704">
        <f>_xlfn.XLOOKUP(FACT_IMPORTS[[#This Row],[hts_6]],DIM_PRODUCTS[hts_6],DIM_PRODUCTS[hts_4],,,)</f>
        <v>8483</v>
      </c>
      <c r="I9704" t="str" cm="1">
        <f t="array" ref="I9704">_xlfn.XLOOKUP(FACT_IMPORTS[[#This Row],[country_name]],DIM_COUNTRY[[#All],[Column2]],DIM_COUNTRY[[#All],[Column3]],,,)</f>
        <v>USMCA</v>
      </c>
    </row>
    <row r="9705" spans="1:9" x14ac:dyDescent="0.4">
      <c r="A9705" t="s">
        <v>64</v>
      </c>
      <c r="B9705" s="1">
        <v>45352</v>
      </c>
      <c r="C9705">
        <v>850131</v>
      </c>
      <c r="D9705" t="s">
        <v>176</v>
      </c>
      <c r="E9705">
        <v>53455</v>
      </c>
      <c r="F9705">
        <v>154</v>
      </c>
      <c r="G9705">
        <v>989</v>
      </c>
      <c r="H9705">
        <f>_xlfn.XLOOKUP(FACT_IMPORTS[[#This Row],[hts_6]],DIM_PRODUCTS[hts_6],DIM_PRODUCTS[hts_4],,,)</f>
        <v>8501</v>
      </c>
      <c r="I9705" t="str" cm="1">
        <f t="array" ref="I9705">_xlfn.XLOOKUP(FACT_IMPORTS[[#This Row],[country_name]],DIM_COUNTRY[[#All],[Column2]],DIM_COUNTRY[[#All],[Column3]],,,)</f>
        <v>USMCA</v>
      </c>
    </row>
    <row r="9706" spans="1:9" x14ac:dyDescent="0.4">
      <c r="A9706" t="s">
        <v>64</v>
      </c>
      <c r="B9706" s="1">
        <v>45352</v>
      </c>
      <c r="C9706">
        <v>850132</v>
      </c>
      <c r="D9706" t="s">
        <v>176</v>
      </c>
      <c r="E9706">
        <v>10439</v>
      </c>
      <c r="F9706">
        <v>5</v>
      </c>
      <c r="G9706">
        <v>139</v>
      </c>
      <c r="H9706">
        <f>_xlfn.XLOOKUP(FACT_IMPORTS[[#This Row],[hts_6]],DIM_PRODUCTS[hts_6],DIM_PRODUCTS[hts_4],,,)</f>
        <v>8501</v>
      </c>
      <c r="I9706" t="str" cm="1">
        <f t="array" ref="I9706">_xlfn.XLOOKUP(FACT_IMPORTS[[#This Row],[country_name]],DIM_COUNTRY[[#All],[Column2]],DIM_COUNTRY[[#All],[Column3]],,,)</f>
        <v>USMCA</v>
      </c>
    </row>
    <row r="9707" spans="1:9" x14ac:dyDescent="0.4">
      <c r="A9707" t="s">
        <v>64</v>
      </c>
      <c r="B9707" s="1">
        <v>45352</v>
      </c>
      <c r="C9707">
        <v>850133</v>
      </c>
      <c r="D9707" t="s">
        <v>176</v>
      </c>
      <c r="E9707">
        <v>0</v>
      </c>
      <c r="F9707">
        <v>0</v>
      </c>
      <c r="G9707">
        <v>0</v>
      </c>
      <c r="H9707">
        <f>_xlfn.XLOOKUP(FACT_IMPORTS[[#This Row],[hts_6]],DIM_PRODUCTS[hts_6],DIM_PRODUCTS[hts_4],,,)</f>
        <v>8501</v>
      </c>
      <c r="I9707" t="str" cm="1">
        <f t="array" ref="I9707">_xlfn.XLOOKUP(FACT_IMPORTS[[#This Row],[country_name]],DIM_COUNTRY[[#All],[Column2]],DIM_COUNTRY[[#All],[Column3]],,,)</f>
        <v>USMCA</v>
      </c>
    </row>
    <row r="9708" spans="1:9" x14ac:dyDescent="0.4">
      <c r="A9708" t="s">
        <v>64</v>
      </c>
      <c r="B9708" s="1">
        <v>45352</v>
      </c>
      <c r="C9708">
        <v>850152</v>
      </c>
      <c r="D9708" t="s">
        <v>176</v>
      </c>
      <c r="E9708">
        <v>137299</v>
      </c>
      <c r="F9708">
        <v>123</v>
      </c>
      <c r="G9708">
        <v>963</v>
      </c>
      <c r="H9708">
        <f>_xlfn.XLOOKUP(FACT_IMPORTS[[#This Row],[hts_6]],DIM_PRODUCTS[hts_6],DIM_PRODUCTS[hts_4],,,)</f>
        <v>8501</v>
      </c>
      <c r="I9708" t="str" cm="1">
        <f t="array" ref="I9708">_xlfn.XLOOKUP(FACT_IMPORTS[[#This Row],[country_name]],DIM_COUNTRY[[#All],[Column2]],DIM_COUNTRY[[#All],[Column3]],,,)</f>
        <v>USMCA</v>
      </c>
    </row>
    <row r="9709" spans="1:9" x14ac:dyDescent="0.4">
      <c r="A9709" t="s">
        <v>64</v>
      </c>
      <c r="B9709" s="1">
        <v>45352</v>
      </c>
      <c r="C9709">
        <v>850153</v>
      </c>
      <c r="D9709" t="s">
        <v>176</v>
      </c>
      <c r="E9709">
        <v>638952</v>
      </c>
      <c r="F9709">
        <v>21</v>
      </c>
      <c r="G9709">
        <v>623</v>
      </c>
      <c r="H9709">
        <f>_xlfn.XLOOKUP(FACT_IMPORTS[[#This Row],[hts_6]],DIM_PRODUCTS[hts_6],DIM_PRODUCTS[hts_4],,,)</f>
        <v>8501</v>
      </c>
      <c r="I9709" t="str" cm="1">
        <f t="array" ref="I9709">_xlfn.XLOOKUP(FACT_IMPORTS[[#This Row],[country_name]],DIM_COUNTRY[[#All],[Column2]],DIM_COUNTRY[[#All],[Column3]],,,)</f>
        <v>USMCA</v>
      </c>
    </row>
    <row r="9710" spans="1:9" x14ac:dyDescent="0.4">
      <c r="A9710" t="s">
        <v>64</v>
      </c>
      <c r="B9710" s="1">
        <v>45352</v>
      </c>
      <c r="C9710">
        <v>850161</v>
      </c>
      <c r="D9710" t="s">
        <v>176</v>
      </c>
      <c r="E9710">
        <v>0</v>
      </c>
      <c r="F9710">
        <v>0</v>
      </c>
      <c r="G9710">
        <v>0</v>
      </c>
      <c r="H9710">
        <f>_xlfn.XLOOKUP(FACT_IMPORTS[[#This Row],[hts_6]],DIM_PRODUCTS[hts_6],DIM_PRODUCTS[hts_4],,,)</f>
        <v>8501</v>
      </c>
      <c r="I9710" t="str" cm="1">
        <f t="array" ref="I9710">_xlfn.XLOOKUP(FACT_IMPORTS[[#This Row],[country_name]],DIM_COUNTRY[[#All],[Column2]],DIM_COUNTRY[[#All],[Column3]],,,)</f>
        <v>USMCA</v>
      </c>
    </row>
    <row r="9711" spans="1:9" x14ac:dyDescent="0.4">
      <c r="A9711" t="s">
        <v>64</v>
      </c>
      <c r="B9711" s="1">
        <v>45352</v>
      </c>
      <c r="C9711">
        <v>850440</v>
      </c>
      <c r="D9711" t="s">
        <v>176</v>
      </c>
      <c r="E9711">
        <v>130134</v>
      </c>
      <c r="F9711">
        <v>395</v>
      </c>
      <c r="G9711">
        <v>1540</v>
      </c>
      <c r="H9711">
        <f>_xlfn.XLOOKUP(FACT_IMPORTS[[#This Row],[hts_6]],DIM_PRODUCTS[hts_6],DIM_PRODUCTS[hts_4],,,)</f>
        <v>8504</v>
      </c>
      <c r="I9711" t="str" cm="1">
        <f t="array" ref="I9711">_xlfn.XLOOKUP(FACT_IMPORTS[[#This Row],[country_name]],DIM_COUNTRY[[#All],[Column2]],DIM_COUNTRY[[#All],[Column3]],,,)</f>
        <v>USMCA</v>
      </c>
    </row>
    <row r="9712" spans="1:9" x14ac:dyDescent="0.4">
      <c r="A9712" t="s">
        <v>64</v>
      </c>
      <c r="B9712" s="1">
        <v>45352</v>
      </c>
      <c r="C9712">
        <v>850710</v>
      </c>
      <c r="D9712" t="s">
        <v>176</v>
      </c>
      <c r="E9712">
        <v>0</v>
      </c>
      <c r="F9712">
        <v>0</v>
      </c>
      <c r="G9712">
        <v>0</v>
      </c>
      <c r="H9712">
        <f>_xlfn.XLOOKUP(FACT_IMPORTS[[#This Row],[hts_6]],DIM_PRODUCTS[hts_6],DIM_PRODUCTS[hts_4],,,)</f>
        <v>8507</v>
      </c>
      <c r="I9712" t="str" cm="1">
        <f t="array" ref="I9712">_xlfn.XLOOKUP(FACT_IMPORTS[[#This Row],[country_name]],DIM_COUNTRY[[#All],[Column2]],DIM_COUNTRY[[#All],[Column3]],,,)</f>
        <v>USMCA</v>
      </c>
    </row>
    <row r="9713" spans="1:9" x14ac:dyDescent="0.4">
      <c r="A9713" t="s">
        <v>64</v>
      </c>
      <c r="B9713" s="1">
        <v>45352</v>
      </c>
      <c r="C9713">
        <v>850760</v>
      </c>
      <c r="D9713" t="s">
        <v>176</v>
      </c>
      <c r="E9713">
        <v>3735</v>
      </c>
      <c r="F9713">
        <v>8</v>
      </c>
      <c r="G9713">
        <v>10</v>
      </c>
      <c r="H9713">
        <f>_xlfn.XLOOKUP(FACT_IMPORTS[[#This Row],[hts_6]],DIM_PRODUCTS[hts_6],DIM_PRODUCTS[hts_4],,,)</f>
        <v>8507</v>
      </c>
      <c r="I9713" t="str" cm="1">
        <f t="array" ref="I9713">_xlfn.XLOOKUP(FACT_IMPORTS[[#This Row],[country_name]],DIM_COUNTRY[[#All],[Column2]],DIM_COUNTRY[[#All],[Column3]],,,)</f>
        <v>USMCA</v>
      </c>
    </row>
    <row r="9714" spans="1:9" x14ac:dyDescent="0.4">
      <c r="A9714" t="s">
        <v>64</v>
      </c>
      <c r="B9714" s="1">
        <v>45352</v>
      </c>
      <c r="C9714">
        <v>851110</v>
      </c>
      <c r="D9714" t="s">
        <v>176</v>
      </c>
      <c r="E9714">
        <v>2533</v>
      </c>
      <c r="F9714">
        <v>1</v>
      </c>
      <c r="G9714">
        <v>1</v>
      </c>
      <c r="H9714">
        <f>_xlfn.XLOOKUP(FACT_IMPORTS[[#This Row],[hts_6]],DIM_PRODUCTS[hts_6],DIM_PRODUCTS[hts_4],,,)</f>
        <v>8511</v>
      </c>
      <c r="I9714" t="str" cm="1">
        <f t="array" ref="I9714">_xlfn.XLOOKUP(FACT_IMPORTS[[#This Row],[country_name]],DIM_COUNTRY[[#All],[Column2]],DIM_COUNTRY[[#All],[Column3]],,,)</f>
        <v>USMCA</v>
      </c>
    </row>
    <row r="9715" spans="1:9" x14ac:dyDescent="0.4">
      <c r="A9715" t="s">
        <v>64</v>
      </c>
      <c r="B9715" s="1">
        <v>45352</v>
      </c>
      <c r="C9715">
        <v>851120</v>
      </c>
      <c r="D9715" t="s">
        <v>176</v>
      </c>
      <c r="E9715">
        <v>4989</v>
      </c>
      <c r="F9715">
        <v>25</v>
      </c>
      <c r="G9715">
        <v>2</v>
      </c>
      <c r="H9715">
        <f>_xlfn.XLOOKUP(FACT_IMPORTS[[#This Row],[hts_6]],DIM_PRODUCTS[hts_6],DIM_PRODUCTS[hts_4],,,)</f>
        <v>8511</v>
      </c>
      <c r="I9715" t="str" cm="1">
        <f t="array" ref="I9715">_xlfn.XLOOKUP(FACT_IMPORTS[[#This Row],[country_name]],DIM_COUNTRY[[#All],[Column2]],DIM_COUNTRY[[#All],[Column3]],,,)</f>
        <v>USMCA</v>
      </c>
    </row>
    <row r="9716" spans="1:9" x14ac:dyDescent="0.4">
      <c r="A9716" t="s">
        <v>64</v>
      </c>
      <c r="B9716" s="1">
        <v>45352</v>
      </c>
      <c r="C9716">
        <v>851140</v>
      </c>
      <c r="D9716" t="s">
        <v>176</v>
      </c>
      <c r="E9716">
        <v>159654</v>
      </c>
      <c r="F9716">
        <v>942</v>
      </c>
      <c r="G9716">
        <v>1024</v>
      </c>
      <c r="H9716">
        <f>_xlfn.XLOOKUP(FACT_IMPORTS[[#This Row],[hts_6]],DIM_PRODUCTS[hts_6],DIM_PRODUCTS[hts_4],,,)</f>
        <v>8511</v>
      </c>
      <c r="I9716" t="str" cm="1">
        <f t="array" ref="I9716">_xlfn.XLOOKUP(FACT_IMPORTS[[#This Row],[country_name]],DIM_COUNTRY[[#All],[Column2]],DIM_COUNTRY[[#All],[Column3]],,,)</f>
        <v>USMCA</v>
      </c>
    </row>
    <row r="9717" spans="1:9" x14ac:dyDescent="0.4">
      <c r="A9717" t="s">
        <v>64</v>
      </c>
      <c r="B9717" s="1">
        <v>45352</v>
      </c>
      <c r="C9717">
        <v>851150</v>
      </c>
      <c r="D9717" t="s">
        <v>176</v>
      </c>
      <c r="E9717">
        <v>28221</v>
      </c>
      <c r="F9717">
        <v>231</v>
      </c>
      <c r="G9717">
        <v>1968</v>
      </c>
      <c r="H9717">
        <f>_xlfn.XLOOKUP(FACT_IMPORTS[[#This Row],[hts_6]],DIM_PRODUCTS[hts_6],DIM_PRODUCTS[hts_4],,,)</f>
        <v>8511</v>
      </c>
      <c r="I9717" t="str" cm="1">
        <f t="array" ref="I9717">_xlfn.XLOOKUP(FACT_IMPORTS[[#This Row],[country_name]],DIM_COUNTRY[[#All],[Column2]],DIM_COUNTRY[[#All],[Column3]],,,)</f>
        <v>USMCA</v>
      </c>
    </row>
    <row r="9718" spans="1:9" x14ac:dyDescent="0.4">
      <c r="A9718" t="s">
        <v>64</v>
      </c>
      <c r="B9718" s="1">
        <v>45352</v>
      </c>
      <c r="C9718">
        <v>851180</v>
      </c>
      <c r="D9718" t="s">
        <v>176</v>
      </c>
      <c r="E9718">
        <v>0</v>
      </c>
      <c r="F9718">
        <v>0</v>
      </c>
      <c r="G9718">
        <v>0</v>
      </c>
      <c r="H9718">
        <f>_xlfn.XLOOKUP(FACT_IMPORTS[[#This Row],[hts_6]],DIM_PRODUCTS[hts_6],DIM_PRODUCTS[hts_4],,,)</f>
        <v>8511</v>
      </c>
      <c r="I9718" t="str" cm="1">
        <f t="array" ref="I9718">_xlfn.XLOOKUP(FACT_IMPORTS[[#This Row],[country_name]],DIM_COUNTRY[[#All],[Column2]],DIM_COUNTRY[[#All],[Column3]],,,)</f>
        <v>USMCA</v>
      </c>
    </row>
    <row r="9719" spans="1:9" x14ac:dyDescent="0.4">
      <c r="A9719" t="s">
        <v>64</v>
      </c>
      <c r="B9719" s="1">
        <v>45352</v>
      </c>
      <c r="C9719">
        <v>851190</v>
      </c>
      <c r="D9719" t="s">
        <v>176</v>
      </c>
      <c r="E9719">
        <v>0</v>
      </c>
      <c r="F9719">
        <v>0</v>
      </c>
      <c r="G9719">
        <v>0</v>
      </c>
      <c r="H9719">
        <f>_xlfn.XLOOKUP(FACT_IMPORTS[[#This Row],[hts_6]],DIM_PRODUCTS[hts_6],DIM_PRODUCTS[hts_4],,,)</f>
        <v>8511</v>
      </c>
      <c r="I9719" t="str" cm="1">
        <f t="array" ref="I9719">_xlfn.XLOOKUP(FACT_IMPORTS[[#This Row],[country_name]],DIM_COUNTRY[[#All],[Column2]],DIM_COUNTRY[[#All],[Column3]],,,)</f>
        <v>USMCA</v>
      </c>
    </row>
    <row r="9720" spans="1:9" x14ac:dyDescent="0.4">
      <c r="A9720" t="s">
        <v>64</v>
      </c>
      <c r="B9720" s="1">
        <v>45352</v>
      </c>
      <c r="C9720">
        <v>851220</v>
      </c>
      <c r="D9720" t="s">
        <v>176</v>
      </c>
      <c r="E9720">
        <v>113469</v>
      </c>
      <c r="F9720">
        <v>486</v>
      </c>
      <c r="G9720">
        <v>202</v>
      </c>
      <c r="H9720">
        <f>_xlfn.XLOOKUP(FACT_IMPORTS[[#This Row],[hts_6]],DIM_PRODUCTS[hts_6],DIM_PRODUCTS[hts_4],,,)</f>
        <v>8512</v>
      </c>
      <c r="I9720" t="str" cm="1">
        <f t="array" ref="I9720">_xlfn.XLOOKUP(FACT_IMPORTS[[#This Row],[country_name]],DIM_COUNTRY[[#All],[Column2]],DIM_COUNTRY[[#All],[Column3]],,,)</f>
        <v>USMCA</v>
      </c>
    </row>
    <row r="9721" spans="1:9" x14ac:dyDescent="0.4">
      <c r="A9721" t="s">
        <v>64</v>
      </c>
      <c r="B9721" s="1">
        <v>45352</v>
      </c>
      <c r="C9721">
        <v>851230</v>
      </c>
      <c r="D9721" t="s">
        <v>176</v>
      </c>
      <c r="E9721">
        <v>3657</v>
      </c>
      <c r="F9721">
        <v>11</v>
      </c>
      <c r="G9721">
        <v>8</v>
      </c>
      <c r="H9721">
        <f>_xlfn.XLOOKUP(FACT_IMPORTS[[#This Row],[hts_6]],DIM_PRODUCTS[hts_6],DIM_PRODUCTS[hts_4],,,)</f>
        <v>8512</v>
      </c>
      <c r="I9721" t="str" cm="1">
        <f t="array" ref="I9721">_xlfn.XLOOKUP(FACT_IMPORTS[[#This Row],[country_name]],DIM_COUNTRY[[#All],[Column2]],DIM_COUNTRY[[#All],[Column3]],,,)</f>
        <v>USMCA</v>
      </c>
    </row>
    <row r="9722" spans="1:9" x14ac:dyDescent="0.4">
      <c r="A9722" t="s">
        <v>64</v>
      </c>
      <c r="B9722" s="1">
        <v>45352</v>
      </c>
      <c r="C9722">
        <v>851290</v>
      </c>
      <c r="D9722" t="s">
        <v>176</v>
      </c>
      <c r="E9722">
        <v>2045</v>
      </c>
      <c r="F9722">
        <v>210</v>
      </c>
      <c r="G9722">
        <v>455</v>
      </c>
      <c r="H9722">
        <f>_xlfn.XLOOKUP(FACT_IMPORTS[[#This Row],[hts_6]],DIM_PRODUCTS[hts_6],DIM_PRODUCTS[hts_4],,,)</f>
        <v>8512</v>
      </c>
      <c r="I9722" t="str" cm="1">
        <f t="array" ref="I9722">_xlfn.XLOOKUP(FACT_IMPORTS[[#This Row],[country_name]],DIM_COUNTRY[[#All],[Column2]],DIM_COUNTRY[[#All],[Column3]],,,)</f>
        <v>USMCA</v>
      </c>
    </row>
    <row r="9723" spans="1:9" x14ac:dyDescent="0.4">
      <c r="A9723" t="s">
        <v>64</v>
      </c>
      <c r="B9723" s="1">
        <v>45352</v>
      </c>
      <c r="C9723">
        <v>854231</v>
      </c>
      <c r="D9723" t="s">
        <v>176</v>
      </c>
      <c r="E9723">
        <v>10223</v>
      </c>
      <c r="F9723">
        <v>2</v>
      </c>
      <c r="G9723">
        <v>39</v>
      </c>
      <c r="H9723">
        <f>_xlfn.XLOOKUP(FACT_IMPORTS[[#This Row],[hts_6]],DIM_PRODUCTS[hts_6],DIM_PRODUCTS[hts_4],,,)</f>
        <v>8542</v>
      </c>
      <c r="I9723" t="str" cm="1">
        <f t="array" ref="I9723">_xlfn.XLOOKUP(FACT_IMPORTS[[#This Row],[country_name]],DIM_COUNTRY[[#All],[Column2]],DIM_COUNTRY[[#All],[Column3]],,,)</f>
        <v>USMCA</v>
      </c>
    </row>
    <row r="9724" spans="1:9" x14ac:dyDescent="0.4">
      <c r="A9724" t="s">
        <v>64</v>
      </c>
      <c r="B9724" s="1">
        <v>45352</v>
      </c>
      <c r="C9724">
        <v>854239</v>
      </c>
      <c r="D9724" t="s">
        <v>176</v>
      </c>
      <c r="E9724">
        <v>0</v>
      </c>
      <c r="F9724">
        <v>0</v>
      </c>
      <c r="G9724">
        <v>0</v>
      </c>
      <c r="H9724">
        <f>_xlfn.XLOOKUP(FACT_IMPORTS[[#This Row],[hts_6]],DIM_PRODUCTS[hts_6],DIM_PRODUCTS[hts_4],,,)</f>
        <v>8542</v>
      </c>
      <c r="I9724" t="str" cm="1">
        <f t="array" ref="I9724">_xlfn.XLOOKUP(FACT_IMPORTS[[#This Row],[country_name]],DIM_COUNTRY[[#All],[Column2]],DIM_COUNTRY[[#All],[Column3]],,,)</f>
        <v>USMCA</v>
      </c>
    </row>
    <row r="9725" spans="1:9" x14ac:dyDescent="0.4">
      <c r="A9725" t="s">
        <v>64</v>
      </c>
      <c r="B9725" s="1">
        <v>45352</v>
      </c>
      <c r="C9725">
        <v>854290</v>
      </c>
      <c r="D9725" t="s">
        <v>176</v>
      </c>
      <c r="E9725">
        <v>0</v>
      </c>
      <c r="F9725">
        <v>0</v>
      </c>
      <c r="G9725">
        <v>0</v>
      </c>
      <c r="H9725">
        <f>_xlfn.XLOOKUP(FACT_IMPORTS[[#This Row],[hts_6]],DIM_PRODUCTS[hts_6],DIM_PRODUCTS[hts_4],,,)</f>
        <v>8542</v>
      </c>
      <c r="I9725" t="str" cm="1">
        <f t="array" ref="I9725">_xlfn.XLOOKUP(FACT_IMPORTS[[#This Row],[country_name]],DIM_COUNTRY[[#All],[Column2]],DIM_COUNTRY[[#All],[Column3]],,,)</f>
        <v>USMCA</v>
      </c>
    </row>
    <row r="9726" spans="1:9" x14ac:dyDescent="0.4">
      <c r="A9726" t="s">
        <v>64</v>
      </c>
      <c r="B9726" s="1">
        <v>45352</v>
      </c>
      <c r="C9726">
        <v>854430</v>
      </c>
      <c r="D9726" t="s">
        <v>176</v>
      </c>
      <c r="E9726">
        <v>456093</v>
      </c>
      <c r="F9726">
        <v>26835</v>
      </c>
      <c r="G9726">
        <v>2985</v>
      </c>
      <c r="H9726">
        <f>_xlfn.XLOOKUP(FACT_IMPORTS[[#This Row],[hts_6]],DIM_PRODUCTS[hts_6],DIM_PRODUCTS[hts_4],,,)</f>
        <v>8544</v>
      </c>
      <c r="I9726" t="str" cm="1">
        <f t="array" ref="I9726">_xlfn.XLOOKUP(FACT_IMPORTS[[#This Row],[country_name]],DIM_COUNTRY[[#All],[Column2]],DIM_COUNTRY[[#All],[Column3]],,,)</f>
        <v>USMCA</v>
      </c>
    </row>
    <row r="9727" spans="1:9" x14ac:dyDescent="0.4">
      <c r="A9727" t="s">
        <v>64</v>
      </c>
      <c r="B9727" s="1">
        <v>45352</v>
      </c>
      <c r="C9727">
        <v>870810</v>
      </c>
      <c r="D9727" t="s">
        <v>176</v>
      </c>
      <c r="E9727">
        <v>13988</v>
      </c>
      <c r="F9727">
        <v>79</v>
      </c>
      <c r="G9727">
        <v>24</v>
      </c>
      <c r="H9727">
        <f>_xlfn.XLOOKUP(FACT_IMPORTS[[#This Row],[hts_6]],DIM_PRODUCTS[hts_6],DIM_PRODUCTS[hts_4],,,)</f>
        <v>8708</v>
      </c>
      <c r="I9727" t="str" cm="1">
        <f t="array" ref="I9727">_xlfn.XLOOKUP(FACT_IMPORTS[[#This Row],[country_name]],DIM_COUNTRY[[#All],[Column2]],DIM_COUNTRY[[#All],[Column3]],,,)</f>
        <v>USMCA</v>
      </c>
    </row>
    <row r="9728" spans="1:9" x14ac:dyDescent="0.4">
      <c r="A9728" t="s">
        <v>64</v>
      </c>
      <c r="B9728" s="1">
        <v>45352</v>
      </c>
      <c r="C9728">
        <v>870822</v>
      </c>
      <c r="D9728" t="s">
        <v>176</v>
      </c>
      <c r="E9728">
        <v>10390</v>
      </c>
      <c r="F9728">
        <v>24</v>
      </c>
      <c r="G9728">
        <v>1</v>
      </c>
      <c r="H9728">
        <f>_xlfn.XLOOKUP(FACT_IMPORTS[[#This Row],[hts_6]],DIM_PRODUCTS[hts_6],DIM_PRODUCTS[hts_4],,,)</f>
        <v>8708</v>
      </c>
      <c r="I9728" t="str" cm="1">
        <f t="array" ref="I9728">_xlfn.XLOOKUP(FACT_IMPORTS[[#This Row],[country_name]],DIM_COUNTRY[[#All],[Column2]],DIM_COUNTRY[[#All],[Column3]],,,)</f>
        <v>USMCA</v>
      </c>
    </row>
    <row r="9729" spans="1:9" x14ac:dyDescent="0.4">
      <c r="A9729" t="s">
        <v>64</v>
      </c>
      <c r="B9729" s="1">
        <v>45352</v>
      </c>
      <c r="C9729">
        <v>870829</v>
      </c>
      <c r="D9729" t="s">
        <v>176</v>
      </c>
      <c r="E9729">
        <v>856695</v>
      </c>
      <c r="F9729">
        <v>16833</v>
      </c>
      <c r="G9729">
        <v>67297</v>
      </c>
      <c r="H9729">
        <f>_xlfn.XLOOKUP(FACT_IMPORTS[[#This Row],[hts_6]],DIM_PRODUCTS[hts_6],DIM_PRODUCTS[hts_4],,,)</f>
        <v>8708</v>
      </c>
      <c r="I9729" t="str" cm="1">
        <f t="array" ref="I9729">_xlfn.XLOOKUP(FACT_IMPORTS[[#This Row],[country_name]],DIM_COUNTRY[[#All],[Column2]],DIM_COUNTRY[[#All],[Column3]],,,)</f>
        <v>USMCA</v>
      </c>
    </row>
    <row r="9730" spans="1:9" x14ac:dyDescent="0.4">
      <c r="A9730" t="s">
        <v>64</v>
      </c>
      <c r="B9730" s="1">
        <v>45352</v>
      </c>
      <c r="C9730">
        <v>870830</v>
      </c>
      <c r="D9730" t="s">
        <v>176</v>
      </c>
      <c r="E9730">
        <v>582800</v>
      </c>
      <c r="F9730">
        <v>10330</v>
      </c>
      <c r="G9730">
        <v>2862</v>
      </c>
      <c r="H9730">
        <f>_xlfn.XLOOKUP(FACT_IMPORTS[[#This Row],[hts_6]],DIM_PRODUCTS[hts_6],DIM_PRODUCTS[hts_4],,,)</f>
        <v>8708</v>
      </c>
      <c r="I9730" t="str" cm="1">
        <f t="array" ref="I9730">_xlfn.XLOOKUP(FACT_IMPORTS[[#This Row],[country_name]],DIM_COUNTRY[[#All],[Column2]],DIM_COUNTRY[[#All],[Column3]],,,)</f>
        <v>USMCA</v>
      </c>
    </row>
    <row r="9731" spans="1:9" x14ac:dyDescent="0.4">
      <c r="A9731" t="s">
        <v>64</v>
      </c>
      <c r="B9731" s="1">
        <v>45352</v>
      </c>
      <c r="C9731">
        <v>870840</v>
      </c>
      <c r="D9731" t="s">
        <v>176</v>
      </c>
      <c r="E9731">
        <v>85280</v>
      </c>
      <c r="F9731">
        <v>147</v>
      </c>
      <c r="G9731">
        <v>286</v>
      </c>
      <c r="H9731">
        <f>_xlfn.XLOOKUP(FACT_IMPORTS[[#This Row],[hts_6]],DIM_PRODUCTS[hts_6],DIM_PRODUCTS[hts_4],,,)</f>
        <v>8708</v>
      </c>
      <c r="I9731" t="str" cm="1">
        <f t="array" ref="I9731">_xlfn.XLOOKUP(FACT_IMPORTS[[#This Row],[country_name]],DIM_COUNTRY[[#All],[Column2]],DIM_COUNTRY[[#All],[Column3]],,,)</f>
        <v>USMCA</v>
      </c>
    </row>
    <row r="9732" spans="1:9" x14ac:dyDescent="0.4">
      <c r="A9732" t="s">
        <v>64</v>
      </c>
      <c r="B9732" s="1">
        <v>45352</v>
      </c>
      <c r="C9732">
        <v>870850</v>
      </c>
      <c r="D9732" t="s">
        <v>176</v>
      </c>
      <c r="E9732">
        <v>50615</v>
      </c>
      <c r="F9732">
        <v>35</v>
      </c>
      <c r="G9732">
        <v>80</v>
      </c>
      <c r="H9732">
        <f>_xlfn.XLOOKUP(FACT_IMPORTS[[#This Row],[hts_6]],DIM_PRODUCTS[hts_6],DIM_PRODUCTS[hts_4],,,)</f>
        <v>8708</v>
      </c>
      <c r="I9732" t="str" cm="1">
        <f t="array" ref="I9732">_xlfn.XLOOKUP(FACT_IMPORTS[[#This Row],[country_name]],DIM_COUNTRY[[#All],[Column2]],DIM_COUNTRY[[#All],[Column3]],,,)</f>
        <v>USMCA</v>
      </c>
    </row>
    <row r="9733" spans="1:9" x14ac:dyDescent="0.4">
      <c r="A9733" t="s">
        <v>64</v>
      </c>
      <c r="B9733" s="1">
        <v>45352</v>
      </c>
      <c r="C9733">
        <v>870870</v>
      </c>
      <c r="D9733" t="s">
        <v>176</v>
      </c>
      <c r="E9733">
        <v>71184</v>
      </c>
      <c r="F9733">
        <v>1304</v>
      </c>
      <c r="G9733">
        <v>1112</v>
      </c>
      <c r="H9733">
        <f>_xlfn.XLOOKUP(FACT_IMPORTS[[#This Row],[hts_6]],DIM_PRODUCTS[hts_6],DIM_PRODUCTS[hts_4],,,)</f>
        <v>8708</v>
      </c>
      <c r="I9733" t="str" cm="1">
        <f t="array" ref="I9733">_xlfn.XLOOKUP(FACT_IMPORTS[[#This Row],[country_name]],DIM_COUNTRY[[#All],[Column2]],DIM_COUNTRY[[#All],[Column3]],,,)</f>
        <v>USMCA</v>
      </c>
    </row>
    <row r="9734" spans="1:9" x14ac:dyDescent="0.4">
      <c r="A9734" t="s">
        <v>64</v>
      </c>
      <c r="B9734" s="1">
        <v>45352</v>
      </c>
      <c r="C9734">
        <v>870880</v>
      </c>
      <c r="D9734" t="s">
        <v>176</v>
      </c>
      <c r="E9734">
        <v>35332</v>
      </c>
      <c r="F9734">
        <v>2465</v>
      </c>
      <c r="G9734">
        <v>1205</v>
      </c>
      <c r="H9734">
        <f>_xlfn.XLOOKUP(FACT_IMPORTS[[#This Row],[hts_6]],DIM_PRODUCTS[hts_6],DIM_PRODUCTS[hts_4],,,)</f>
        <v>8708</v>
      </c>
      <c r="I9734" t="str" cm="1">
        <f t="array" ref="I9734">_xlfn.XLOOKUP(FACT_IMPORTS[[#This Row],[country_name]],DIM_COUNTRY[[#All],[Column2]],DIM_COUNTRY[[#All],[Column3]],,,)</f>
        <v>USMCA</v>
      </c>
    </row>
    <row r="9735" spans="1:9" x14ac:dyDescent="0.4">
      <c r="A9735" t="s">
        <v>64</v>
      </c>
      <c r="B9735" s="1">
        <v>45352</v>
      </c>
      <c r="C9735">
        <v>870891</v>
      </c>
      <c r="D9735" t="s">
        <v>176</v>
      </c>
      <c r="E9735">
        <v>112478</v>
      </c>
      <c r="F9735">
        <v>715</v>
      </c>
      <c r="G9735">
        <v>582</v>
      </c>
      <c r="H9735">
        <f>_xlfn.XLOOKUP(FACT_IMPORTS[[#This Row],[hts_6]],DIM_PRODUCTS[hts_6],DIM_PRODUCTS[hts_4],,,)</f>
        <v>8708</v>
      </c>
      <c r="I9735" t="str" cm="1">
        <f t="array" ref="I9735">_xlfn.XLOOKUP(FACT_IMPORTS[[#This Row],[country_name]],DIM_COUNTRY[[#All],[Column2]],DIM_COUNTRY[[#All],[Column3]],,,)</f>
        <v>USMCA</v>
      </c>
    </row>
    <row r="9736" spans="1:9" x14ac:dyDescent="0.4">
      <c r="A9736" t="s">
        <v>64</v>
      </c>
      <c r="B9736" s="1">
        <v>45352</v>
      </c>
      <c r="C9736">
        <v>870892</v>
      </c>
      <c r="D9736" t="s">
        <v>176</v>
      </c>
      <c r="E9736">
        <v>2400</v>
      </c>
      <c r="F9736">
        <v>6</v>
      </c>
      <c r="G9736">
        <v>3</v>
      </c>
      <c r="H9736">
        <f>_xlfn.XLOOKUP(FACT_IMPORTS[[#This Row],[hts_6]],DIM_PRODUCTS[hts_6],DIM_PRODUCTS[hts_4],,,)</f>
        <v>8708</v>
      </c>
      <c r="I9736" t="str" cm="1">
        <f t="array" ref="I9736">_xlfn.XLOOKUP(FACT_IMPORTS[[#This Row],[country_name]],DIM_COUNTRY[[#All],[Column2]],DIM_COUNTRY[[#All],[Column3]],,,)</f>
        <v>USMCA</v>
      </c>
    </row>
    <row r="9737" spans="1:9" x14ac:dyDescent="0.4">
      <c r="A9737" t="s">
        <v>64</v>
      </c>
      <c r="B9737" s="1">
        <v>45352</v>
      </c>
      <c r="C9737">
        <v>870893</v>
      </c>
      <c r="D9737" t="s">
        <v>176</v>
      </c>
      <c r="E9737">
        <v>53610</v>
      </c>
      <c r="F9737">
        <v>1883</v>
      </c>
      <c r="G9737">
        <v>1028</v>
      </c>
      <c r="H9737">
        <f>_xlfn.XLOOKUP(FACT_IMPORTS[[#This Row],[hts_6]],DIM_PRODUCTS[hts_6],DIM_PRODUCTS[hts_4],,,)</f>
        <v>8708</v>
      </c>
      <c r="I9737" t="str" cm="1">
        <f t="array" ref="I9737">_xlfn.XLOOKUP(FACT_IMPORTS[[#This Row],[country_name]],DIM_COUNTRY[[#All],[Column2]],DIM_COUNTRY[[#All],[Column3]],,,)</f>
        <v>USMCA</v>
      </c>
    </row>
    <row r="9738" spans="1:9" x14ac:dyDescent="0.4">
      <c r="A9738" t="s">
        <v>64</v>
      </c>
      <c r="B9738" s="1">
        <v>45352</v>
      </c>
      <c r="C9738">
        <v>870894</v>
      </c>
      <c r="D9738" t="s">
        <v>176</v>
      </c>
      <c r="E9738">
        <v>92236</v>
      </c>
      <c r="F9738">
        <v>4154</v>
      </c>
      <c r="G9738">
        <v>1092</v>
      </c>
      <c r="H9738">
        <f>_xlfn.XLOOKUP(FACT_IMPORTS[[#This Row],[hts_6]],DIM_PRODUCTS[hts_6],DIM_PRODUCTS[hts_4],,,)</f>
        <v>8708</v>
      </c>
      <c r="I9738" t="str" cm="1">
        <f t="array" ref="I9738">_xlfn.XLOOKUP(FACT_IMPORTS[[#This Row],[country_name]],DIM_COUNTRY[[#All],[Column2]],DIM_COUNTRY[[#All],[Column3]],,,)</f>
        <v>USMCA</v>
      </c>
    </row>
    <row r="9739" spans="1:9" x14ac:dyDescent="0.4">
      <c r="A9739" t="s">
        <v>64</v>
      </c>
      <c r="B9739" s="1">
        <v>45352</v>
      </c>
      <c r="C9739">
        <v>870895</v>
      </c>
      <c r="D9739" t="s">
        <v>176</v>
      </c>
      <c r="E9739">
        <v>37622</v>
      </c>
      <c r="F9739">
        <v>4148</v>
      </c>
      <c r="G9739">
        <v>6238</v>
      </c>
      <c r="H9739">
        <f>_xlfn.XLOOKUP(FACT_IMPORTS[[#This Row],[hts_6]],DIM_PRODUCTS[hts_6],DIM_PRODUCTS[hts_4],,,)</f>
        <v>8708</v>
      </c>
      <c r="I9739" t="str" cm="1">
        <f t="array" ref="I9739">_xlfn.XLOOKUP(FACT_IMPORTS[[#This Row],[country_name]],DIM_COUNTRY[[#All],[Column2]],DIM_COUNTRY[[#All],[Column3]],,,)</f>
        <v>USMCA</v>
      </c>
    </row>
    <row r="9740" spans="1:9" x14ac:dyDescent="0.4">
      <c r="A9740" t="s">
        <v>64</v>
      </c>
      <c r="B9740" s="1">
        <v>45352</v>
      </c>
      <c r="C9740">
        <v>870899</v>
      </c>
      <c r="D9740" t="s">
        <v>176</v>
      </c>
      <c r="E9740">
        <v>161239</v>
      </c>
      <c r="F9740">
        <v>3011</v>
      </c>
      <c r="G9740">
        <v>2313</v>
      </c>
      <c r="H9740">
        <f>_xlfn.XLOOKUP(FACT_IMPORTS[[#This Row],[hts_6]],DIM_PRODUCTS[hts_6],DIM_PRODUCTS[hts_4],,,)</f>
        <v>8708</v>
      </c>
      <c r="I9740" t="str" cm="1">
        <f t="array" ref="I9740">_xlfn.XLOOKUP(FACT_IMPORTS[[#This Row],[country_name]],DIM_COUNTRY[[#All],[Column2]],DIM_COUNTRY[[#All],[Column3]],,,)</f>
        <v>USMCA</v>
      </c>
    </row>
    <row r="9741" spans="1:9" x14ac:dyDescent="0.4">
      <c r="A9741" t="s">
        <v>64</v>
      </c>
      <c r="B9741" s="1">
        <v>45352</v>
      </c>
      <c r="C9741">
        <v>940120</v>
      </c>
      <c r="D9741" t="s">
        <v>176</v>
      </c>
      <c r="E9741">
        <v>10601</v>
      </c>
      <c r="F9741">
        <v>44</v>
      </c>
      <c r="G9741">
        <v>37</v>
      </c>
      <c r="H9741">
        <f>_xlfn.XLOOKUP(FACT_IMPORTS[[#This Row],[hts_6]],DIM_PRODUCTS[hts_6],DIM_PRODUCTS[hts_4],,,)</f>
        <v>9401</v>
      </c>
      <c r="I9741" t="str" cm="1">
        <f t="array" ref="I9741">_xlfn.XLOOKUP(FACT_IMPORTS[[#This Row],[country_name]],DIM_COUNTRY[[#All],[Column2]],DIM_COUNTRY[[#All],[Column3]],,,)</f>
        <v>USMCA</v>
      </c>
    </row>
    <row r="9742" spans="1:9" x14ac:dyDescent="0.4">
      <c r="A9742" t="s">
        <v>64</v>
      </c>
      <c r="B9742" s="1">
        <v>45383</v>
      </c>
      <c r="C9742">
        <v>392630</v>
      </c>
      <c r="D9742" t="s">
        <v>176</v>
      </c>
      <c r="E9742">
        <v>4959</v>
      </c>
      <c r="F9742">
        <v>456</v>
      </c>
      <c r="G9742">
        <v>313</v>
      </c>
      <c r="H9742">
        <f>_xlfn.XLOOKUP(FACT_IMPORTS[[#This Row],[hts_6]],DIM_PRODUCTS[hts_6],DIM_PRODUCTS[hts_4],,,)</f>
        <v>3926</v>
      </c>
      <c r="I9742" t="str" cm="1">
        <f t="array" ref="I9742">_xlfn.XLOOKUP(FACT_IMPORTS[[#This Row],[country_name]],DIM_COUNTRY[[#All],[Column2]],DIM_COUNTRY[[#All],[Column3]],,,)</f>
        <v>USMCA</v>
      </c>
    </row>
    <row r="9743" spans="1:9" x14ac:dyDescent="0.4">
      <c r="A9743" t="s">
        <v>64</v>
      </c>
      <c r="B9743" s="1">
        <v>45383</v>
      </c>
      <c r="C9743">
        <v>401110</v>
      </c>
      <c r="D9743" t="s">
        <v>176</v>
      </c>
      <c r="E9743">
        <v>12975</v>
      </c>
      <c r="F9743">
        <v>72</v>
      </c>
      <c r="G9743">
        <v>726</v>
      </c>
      <c r="H9743">
        <f>_xlfn.XLOOKUP(FACT_IMPORTS[[#This Row],[hts_6]],DIM_PRODUCTS[hts_6],DIM_PRODUCTS[hts_4],,,)</f>
        <v>4011</v>
      </c>
      <c r="I9743" t="str" cm="1">
        <f t="array" ref="I9743">_xlfn.XLOOKUP(FACT_IMPORTS[[#This Row],[country_name]],DIM_COUNTRY[[#All],[Column2]],DIM_COUNTRY[[#All],[Column3]],,,)</f>
        <v>USMCA</v>
      </c>
    </row>
    <row r="9744" spans="1:9" x14ac:dyDescent="0.4">
      <c r="A9744" t="s">
        <v>64</v>
      </c>
      <c r="B9744" s="1">
        <v>45383</v>
      </c>
      <c r="C9744">
        <v>401120</v>
      </c>
      <c r="D9744" t="s">
        <v>176</v>
      </c>
      <c r="E9744">
        <v>2728</v>
      </c>
      <c r="F9744">
        <v>42</v>
      </c>
      <c r="G9744">
        <v>2763</v>
      </c>
      <c r="H9744">
        <f>_xlfn.XLOOKUP(FACT_IMPORTS[[#This Row],[hts_6]],DIM_PRODUCTS[hts_6],DIM_PRODUCTS[hts_4],,,)</f>
        <v>4011</v>
      </c>
      <c r="I9744" t="str" cm="1">
        <f t="array" ref="I9744">_xlfn.XLOOKUP(FACT_IMPORTS[[#This Row],[country_name]],DIM_COUNTRY[[#All],[Column2]],DIM_COUNTRY[[#All],[Column3]],,,)</f>
        <v>USMCA</v>
      </c>
    </row>
    <row r="9745" spans="1:9" x14ac:dyDescent="0.4">
      <c r="A9745" t="s">
        <v>64</v>
      </c>
      <c r="B9745" s="1">
        <v>45383</v>
      </c>
      <c r="C9745">
        <v>700711</v>
      </c>
      <c r="D9745" t="s">
        <v>176</v>
      </c>
      <c r="E9745">
        <v>8393</v>
      </c>
      <c r="F9745">
        <v>2</v>
      </c>
      <c r="G9745">
        <v>138</v>
      </c>
      <c r="H9745">
        <f>_xlfn.XLOOKUP(FACT_IMPORTS[[#This Row],[hts_6]],DIM_PRODUCTS[hts_6],DIM_PRODUCTS[hts_4],,,)</f>
        <v>7007</v>
      </c>
      <c r="I9745" t="str" cm="1">
        <f t="array" ref="I9745">_xlfn.XLOOKUP(FACT_IMPORTS[[#This Row],[country_name]],DIM_COUNTRY[[#All],[Column2]],DIM_COUNTRY[[#All],[Column3]],,,)</f>
        <v>USMCA</v>
      </c>
    </row>
    <row r="9746" spans="1:9" x14ac:dyDescent="0.4">
      <c r="A9746" t="s">
        <v>64</v>
      </c>
      <c r="B9746" s="1">
        <v>45383</v>
      </c>
      <c r="C9746">
        <v>700721</v>
      </c>
      <c r="D9746" t="s">
        <v>176</v>
      </c>
      <c r="E9746">
        <v>0</v>
      </c>
      <c r="F9746">
        <v>0</v>
      </c>
      <c r="G9746">
        <v>0</v>
      </c>
      <c r="H9746">
        <f>_xlfn.XLOOKUP(FACT_IMPORTS[[#This Row],[hts_6]],DIM_PRODUCTS[hts_6],DIM_PRODUCTS[hts_4],,,)</f>
        <v>7007</v>
      </c>
      <c r="I9746" t="str" cm="1">
        <f t="array" ref="I9746">_xlfn.XLOOKUP(FACT_IMPORTS[[#This Row],[country_name]],DIM_COUNTRY[[#All],[Column2]],DIM_COUNTRY[[#All],[Column3]],,,)</f>
        <v>USMCA</v>
      </c>
    </row>
    <row r="9747" spans="1:9" x14ac:dyDescent="0.4">
      <c r="A9747" t="s">
        <v>64</v>
      </c>
      <c r="B9747" s="1">
        <v>45383</v>
      </c>
      <c r="C9747">
        <v>700910</v>
      </c>
      <c r="D9747" t="s">
        <v>176</v>
      </c>
      <c r="E9747">
        <v>2709</v>
      </c>
      <c r="F9747">
        <v>22</v>
      </c>
      <c r="G9747">
        <v>250</v>
      </c>
      <c r="H9747">
        <f>_xlfn.XLOOKUP(FACT_IMPORTS[[#This Row],[hts_6]],DIM_PRODUCTS[hts_6],DIM_PRODUCTS[hts_4],,,)</f>
        <v>7009</v>
      </c>
      <c r="I9747" t="str" cm="1">
        <f t="array" ref="I9747">_xlfn.XLOOKUP(FACT_IMPORTS[[#This Row],[country_name]],DIM_COUNTRY[[#All],[Column2]],DIM_COUNTRY[[#All],[Column3]],,,)</f>
        <v>USMCA</v>
      </c>
    </row>
    <row r="9748" spans="1:9" x14ac:dyDescent="0.4">
      <c r="A9748" t="s">
        <v>64</v>
      </c>
      <c r="B9748" s="1">
        <v>45383</v>
      </c>
      <c r="C9748">
        <v>732010</v>
      </c>
      <c r="D9748" t="s">
        <v>176</v>
      </c>
      <c r="E9748">
        <v>10557</v>
      </c>
      <c r="F9748">
        <v>7182</v>
      </c>
      <c r="G9748">
        <v>200</v>
      </c>
      <c r="H9748">
        <f>_xlfn.XLOOKUP(FACT_IMPORTS[[#This Row],[hts_6]],DIM_PRODUCTS[hts_6],DIM_PRODUCTS[hts_4],,,)</f>
        <v>7320</v>
      </c>
      <c r="I9748" t="str" cm="1">
        <f t="array" ref="I9748">_xlfn.XLOOKUP(FACT_IMPORTS[[#This Row],[country_name]],DIM_COUNTRY[[#All],[Column2]],DIM_COUNTRY[[#All],[Column3]],,,)</f>
        <v>USMCA</v>
      </c>
    </row>
    <row r="9749" spans="1:9" x14ac:dyDescent="0.4">
      <c r="A9749" t="s">
        <v>64</v>
      </c>
      <c r="B9749" s="1">
        <v>45383</v>
      </c>
      <c r="C9749">
        <v>830230</v>
      </c>
      <c r="D9749" t="s">
        <v>176</v>
      </c>
      <c r="E9749">
        <v>12911</v>
      </c>
      <c r="F9749">
        <v>1944</v>
      </c>
      <c r="G9749">
        <v>3690</v>
      </c>
      <c r="H9749">
        <f>_xlfn.XLOOKUP(FACT_IMPORTS[[#This Row],[hts_6]],DIM_PRODUCTS[hts_6],DIM_PRODUCTS[hts_4],,,)</f>
        <v>8302</v>
      </c>
      <c r="I9749" t="str" cm="1">
        <f t="array" ref="I9749">_xlfn.XLOOKUP(FACT_IMPORTS[[#This Row],[country_name]],DIM_COUNTRY[[#All],[Column2]],DIM_COUNTRY[[#All],[Column3]],,,)</f>
        <v>USMCA</v>
      </c>
    </row>
    <row r="9750" spans="1:9" x14ac:dyDescent="0.4">
      <c r="A9750" t="s">
        <v>64</v>
      </c>
      <c r="B9750" s="1">
        <v>45383</v>
      </c>
      <c r="C9750">
        <v>840733</v>
      </c>
      <c r="D9750" t="s">
        <v>176</v>
      </c>
      <c r="E9750">
        <v>0</v>
      </c>
      <c r="F9750">
        <v>0</v>
      </c>
      <c r="G9750">
        <v>0</v>
      </c>
      <c r="H9750">
        <f>_xlfn.XLOOKUP(FACT_IMPORTS[[#This Row],[hts_6]],DIM_PRODUCTS[hts_6],DIM_PRODUCTS[hts_4],,,)</f>
        <v>8407</v>
      </c>
      <c r="I9750" t="str" cm="1">
        <f t="array" ref="I9750">_xlfn.XLOOKUP(FACT_IMPORTS[[#This Row],[country_name]],DIM_COUNTRY[[#All],[Column2]],DIM_COUNTRY[[#All],[Column3]],,,)</f>
        <v>USMCA</v>
      </c>
    </row>
    <row r="9751" spans="1:9" x14ac:dyDescent="0.4">
      <c r="A9751" t="s">
        <v>64</v>
      </c>
      <c r="B9751" s="1">
        <v>45383</v>
      </c>
      <c r="C9751">
        <v>840734</v>
      </c>
      <c r="D9751" t="s">
        <v>176</v>
      </c>
      <c r="E9751">
        <v>104392</v>
      </c>
      <c r="F9751">
        <v>75</v>
      </c>
      <c r="G9751">
        <v>482</v>
      </c>
      <c r="H9751">
        <f>_xlfn.XLOOKUP(FACT_IMPORTS[[#This Row],[hts_6]],DIM_PRODUCTS[hts_6],DIM_PRODUCTS[hts_4],,,)</f>
        <v>8407</v>
      </c>
      <c r="I9751" t="str" cm="1">
        <f t="array" ref="I9751">_xlfn.XLOOKUP(FACT_IMPORTS[[#This Row],[country_name]],DIM_COUNTRY[[#All],[Column2]],DIM_COUNTRY[[#All],[Column3]],,,)</f>
        <v>USMCA</v>
      </c>
    </row>
    <row r="9752" spans="1:9" x14ac:dyDescent="0.4">
      <c r="A9752" t="s">
        <v>64</v>
      </c>
      <c r="B9752" s="1">
        <v>45383</v>
      </c>
      <c r="C9752">
        <v>840820</v>
      </c>
      <c r="D9752" t="s">
        <v>176</v>
      </c>
      <c r="E9752">
        <v>95220</v>
      </c>
      <c r="F9752">
        <v>17</v>
      </c>
      <c r="G9752">
        <v>224</v>
      </c>
      <c r="H9752">
        <f>_xlfn.XLOOKUP(FACT_IMPORTS[[#This Row],[hts_6]],DIM_PRODUCTS[hts_6],DIM_PRODUCTS[hts_4],,,)</f>
        <v>8408</v>
      </c>
      <c r="I9752" t="str" cm="1">
        <f t="array" ref="I9752">_xlfn.XLOOKUP(FACT_IMPORTS[[#This Row],[country_name]],DIM_COUNTRY[[#All],[Column2]],DIM_COUNTRY[[#All],[Column3]],,,)</f>
        <v>USMCA</v>
      </c>
    </row>
    <row r="9753" spans="1:9" x14ac:dyDescent="0.4">
      <c r="A9753" t="s">
        <v>64</v>
      </c>
      <c r="B9753" s="1">
        <v>45383</v>
      </c>
      <c r="C9753">
        <v>840890</v>
      </c>
      <c r="D9753" t="s">
        <v>176</v>
      </c>
      <c r="E9753">
        <v>2700</v>
      </c>
      <c r="F9753">
        <v>1</v>
      </c>
      <c r="G9753">
        <v>15</v>
      </c>
      <c r="H9753">
        <f>_xlfn.XLOOKUP(FACT_IMPORTS[[#This Row],[hts_6]],DIM_PRODUCTS[hts_6],DIM_PRODUCTS[hts_4],,,)</f>
        <v>8408</v>
      </c>
      <c r="I9753" t="str" cm="1">
        <f t="array" ref="I9753">_xlfn.XLOOKUP(FACT_IMPORTS[[#This Row],[country_name]],DIM_COUNTRY[[#All],[Column2]],DIM_COUNTRY[[#All],[Column3]],,,)</f>
        <v>USMCA</v>
      </c>
    </row>
    <row r="9754" spans="1:9" x14ac:dyDescent="0.4">
      <c r="A9754" t="s">
        <v>64</v>
      </c>
      <c r="B9754" s="1">
        <v>45383</v>
      </c>
      <c r="C9754">
        <v>840991</v>
      </c>
      <c r="D9754" t="s">
        <v>176</v>
      </c>
      <c r="E9754">
        <v>547574</v>
      </c>
      <c r="F9754">
        <v>66704</v>
      </c>
      <c r="G9754">
        <v>3158</v>
      </c>
      <c r="H9754">
        <f>_xlfn.XLOOKUP(FACT_IMPORTS[[#This Row],[hts_6]],DIM_PRODUCTS[hts_6],DIM_PRODUCTS[hts_4],,,)</f>
        <v>8409</v>
      </c>
      <c r="I9754" t="str" cm="1">
        <f t="array" ref="I9754">_xlfn.XLOOKUP(FACT_IMPORTS[[#This Row],[country_name]],DIM_COUNTRY[[#All],[Column2]],DIM_COUNTRY[[#All],[Column3]],,,)</f>
        <v>USMCA</v>
      </c>
    </row>
    <row r="9755" spans="1:9" x14ac:dyDescent="0.4">
      <c r="A9755" t="s">
        <v>64</v>
      </c>
      <c r="B9755" s="1">
        <v>45383</v>
      </c>
      <c r="C9755">
        <v>840999</v>
      </c>
      <c r="D9755" t="s">
        <v>176</v>
      </c>
      <c r="E9755">
        <v>68667</v>
      </c>
      <c r="F9755">
        <v>1655</v>
      </c>
      <c r="G9755">
        <v>1485</v>
      </c>
      <c r="H9755">
        <f>_xlfn.XLOOKUP(FACT_IMPORTS[[#This Row],[hts_6]],DIM_PRODUCTS[hts_6],DIM_PRODUCTS[hts_4],,,)</f>
        <v>8409</v>
      </c>
      <c r="I9755" t="str" cm="1">
        <f t="array" ref="I9755">_xlfn.XLOOKUP(FACT_IMPORTS[[#This Row],[country_name]],DIM_COUNTRY[[#All],[Column2]],DIM_COUNTRY[[#All],[Column3]],,,)</f>
        <v>USMCA</v>
      </c>
    </row>
    <row r="9756" spans="1:9" x14ac:dyDescent="0.4">
      <c r="A9756" t="s">
        <v>64</v>
      </c>
      <c r="B9756" s="1">
        <v>45383</v>
      </c>
      <c r="C9756">
        <v>841330</v>
      </c>
      <c r="D9756" t="s">
        <v>176</v>
      </c>
      <c r="E9756">
        <v>27875</v>
      </c>
      <c r="F9756">
        <v>48</v>
      </c>
      <c r="G9756">
        <v>63</v>
      </c>
      <c r="H9756">
        <f>_xlfn.XLOOKUP(FACT_IMPORTS[[#This Row],[hts_6]],DIM_PRODUCTS[hts_6],DIM_PRODUCTS[hts_4],,,)</f>
        <v>8413</v>
      </c>
      <c r="I9756" t="str" cm="1">
        <f t="array" ref="I9756">_xlfn.XLOOKUP(FACT_IMPORTS[[#This Row],[country_name]],DIM_COUNTRY[[#All],[Column2]],DIM_COUNTRY[[#All],[Column3]],,,)</f>
        <v>USMCA</v>
      </c>
    </row>
    <row r="9757" spans="1:9" x14ac:dyDescent="0.4">
      <c r="A9757" t="s">
        <v>64</v>
      </c>
      <c r="B9757" s="1">
        <v>45383</v>
      </c>
      <c r="C9757">
        <v>842132</v>
      </c>
      <c r="D9757" t="s">
        <v>176</v>
      </c>
      <c r="E9757">
        <v>124678</v>
      </c>
      <c r="F9757">
        <v>751</v>
      </c>
      <c r="G9757">
        <v>303</v>
      </c>
      <c r="H9757">
        <f>_xlfn.XLOOKUP(FACT_IMPORTS[[#This Row],[hts_6]],DIM_PRODUCTS[hts_6],DIM_PRODUCTS[hts_4],,,)</f>
        <v>8421</v>
      </c>
      <c r="I9757" t="str" cm="1">
        <f t="array" ref="I9757">_xlfn.XLOOKUP(FACT_IMPORTS[[#This Row],[country_name]],DIM_COUNTRY[[#All],[Column2]],DIM_COUNTRY[[#All],[Column3]],,,)</f>
        <v>USMCA</v>
      </c>
    </row>
    <row r="9758" spans="1:9" x14ac:dyDescent="0.4">
      <c r="A9758" t="s">
        <v>64</v>
      </c>
      <c r="B9758" s="1">
        <v>45383</v>
      </c>
      <c r="C9758">
        <v>848210</v>
      </c>
      <c r="D9758" t="s">
        <v>176</v>
      </c>
      <c r="E9758">
        <v>0</v>
      </c>
      <c r="F9758">
        <v>0</v>
      </c>
      <c r="G9758">
        <v>0</v>
      </c>
      <c r="H9758">
        <f>_xlfn.XLOOKUP(FACT_IMPORTS[[#This Row],[hts_6]],DIM_PRODUCTS[hts_6],DIM_PRODUCTS[hts_4],,,)</f>
        <v>8482</v>
      </c>
      <c r="I9758" t="str" cm="1">
        <f t="array" ref="I9758">_xlfn.XLOOKUP(FACT_IMPORTS[[#This Row],[country_name]],DIM_COUNTRY[[#All],[Column2]],DIM_COUNTRY[[#All],[Column3]],,,)</f>
        <v>USMCA</v>
      </c>
    </row>
    <row r="9759" spans="1:9" x14ac:dyDescent="0.4">
      <c r="A9759" t="s">
        <v>64</v>
      </c>
      <c r="B9759" s="1">
        <v>45383</v>
      </c>
      <c r="C9759">
        <v>848220</v>
      </c>
      <c r="D9759" t="s">
        <v>176</v>
      </c>
      <c r="E9759">
        <v>0</v>
      </c>
      <c r="F9759">
        <v>0</v>
      </c>
      <c r="G9759">
        <v>0</v>
      </c>
      <c r="H9759">
        <f>_xlfn.XLOOKUP(FACT_IMPORTS[[#This Row],[hts_6]],DIM_PRODUCTS[hts_6],DIM_PRODUCTS[hts_4],,,)</f>
        <v>8482</v>
      </c>
      <c r="I9759" t="str" cm="1">
        <f t="array" ref="I9759">_xlfn.XLOOKUP(FACT_IMPORTS[[#This Row],[country_name]],DIM_COUNTRY[[#All],[Column2]],DIM_COUNTRY[[#All],[Column3]],,,)</f>
        <v>USMCA</v>
      </c>
    </row>
    <row r="9760" spans="1:9" x14ac:dyDescent="0.4">
      <c r="A9760" t="s">
        <v>64</v>
      </c>
      <c r="B9760" s="1">
        <v>45383</v>
      </c>
      <c r="C9760">
        <v>848310</v>
      </c>
      <c r="D9760" t="s">
        <v>176</v>
      </c>
      <c r="E9760">
        <v>0</v>
      </c>
      <c r="F9760">
        <v>0</v>
      </c>
      <c r="G9760">
        <v>0</v>
      </c>
      <c r="H9760">
        <f>_xlfn.XLOOKUP(FACT_IMPORTS[[#This Row],[hts_6]],DIM_PRODUCTS[hts_6],DIM_PRODUCTS[hts_4],,,)</f>
        <v>8483</v>
      </c>
      <c r="I9760" t="str" cm="1">
        <f t="array" ref="I9760">_xlfn.XLOOKUP(FACT_IMPORTS[[#This Row],[country_name]],DIM_COUNTRY[[#All],[Column2]],DIM_COUNTRY[[#All],[Column3]],,,)</f>
        <v>USMCA</v>
      </c>
    </row>
    <row r="9761" spans="1:9" x14ac:dyDescent="0.4">
      <c r="A9761" t="s">
        <v>64</v>
      </c>
      <c r="B9761" s="1">
        <v>45383</v>
      </c>
      <c r="C9761">
        <v>850131</v>
      </c>
      <c r="D9761" t="s">
        <v>176</v>
      </c>
      <c r="E9761">
        <v>25037</v>
      </c>
      <c r="F9761">
        <v>403</v>
      </c>
      <c r="G9761">
        <v>43</v>
      </c>
      <c r="H9761">
        <f>_xlfn.XLOOKUP(FACT_IMPORTS[[#This Row],[hts_6]],DIM_PRODUCTS[hts_6],DIM_PRODUCTS[hts_4],,,)</f>
        <v>8501</v>
      </c>
      <c r="I9761" t="str" cm="1">
        <f t="array" ref="I9761">_xlfn.XLOOKUP(FACT_IMPORTS[[#This Row],[country_name]],DIM_COUNTRY[[#All],[Column2]],DIM_COUNTRY[[#All],[Column3]],,,)</f>
        <v>USMCA</v>
      </c>
    </row>
    <row r="9762" spans="1:9" x14ac:dyDescent="0.4">
      <c r="A9762" t="s">
        <v>64</v>
      </c>
      <c r="B9762" s="1">
        <v>45383</v>
      </c>
      <c r="C9762">
        <v>850132</v>
      </c>
      <c r="D9762" t="s">
        <v>176</v>
      </c>
      <c r="E9762">
        <v>4613</v>
      </c>
      <c r="F9762">
        <v>1</v>
      </c>
      <c r="G9762">
        <v>5</v>
      </c>
      <c r="H9762">
        <f>_xlfn.XLOOKUP(FACT_IMPORTS[[#This Row],[hts_6]],DIM_PRODUCTS[hts_6],DIM_PRODUCTS[hts_4],,,)</f>
        <v>8501</v>
      </c>
      <c r="I9762" t="str" cm="1">
        <f t="array" ref="I9762">_xlfn.XLOOKUP(FACT_IMPORTS[[#This Row],[country_name]],DIM_COUNTRY[[#All],[Column2]],DIM_COUNTRY[[#All],[Column3]],,,)</f>
        <v>USMCA</v>
      </c>
    </row>
    <row r="9763" spans="1:9" x14ac:dyDescent="0.4">
      <c r="A9763" t="s">
        <v>64</v>
      </c>
      <c r="B9763" s="1">
        <v>45383</v>
      </c>
      <c r="C9763">
        <v>850133</v>
      </c>
      <c r="D9763" t="s">
        <v>176</v>
      </c>
      <c r="E9763">
        <v>0</v>
      </c>
      <c r="F9763">
        <v>0</v>
      </c>
      <c r="G9763">
        <v>0</v>
      </c>
      <c r="H9763">
        <f>_xlfn.XLOOKUP(FACT_IMPORTS[[#This Row],[hts_6]],DIM_PRODUCTS[hts_6],DIM_PRODUCTS[hts_4],,,)</f>
        <v>8501</v>
      </c>
      <c r="I9763" t="str" cm="1">
        <f t="array" ref="I9763">_xlfn.XLOOKUP(FACT_IMPORTS[[#This Row],[country_name]],DIM_COUNTRY[[#All],[Column2]],DIM_COUNTRY[[#All],[Column3]],,,)</f>
        <v>USMCA</v>
      </c>
    </row>
    <row r="9764" spans="1:9" x14ac:dyDescent="0.4">
      <c r="A9764" t="s">
        <v>64</v>
      </c>
      <c r="B9764" s="1">
        <v>45383</v>
      </c>
      <c r="C9764">
        <v>850152</v>
      </c>
      <c r="D9764" t="s">
        <v>176</v>
      </c>
      <c r="E9764">
        <v>16474</v>
      </c>
      <c r="F9764">
        <v>16</v>
      </c>
      <c r="G9764">
        <v>337</v>
      </c>
      <c r="H9764">
        <f>_xlfn.XLOOKUP(FACT_IMPORTS[[#This Row],[hts_6]],DIM_PRODUCTS[hts_6],DIM_PRODUCTS[hts_4],,,)</f>
        <v>8501</v>
      </c>
      <c r="I9764" t="str" cm="1">
        <f t="array" ref="I9764">_xlfn.XLOOKUP(FACT_IMPORTS[[#This Row],[country_name]],DIM_COUNTRY[[#All],[Column2]],DIM_COUNTRY[[#All],[Column3]],,,)</f>
        <v>USMCA</v>
      </c>
    </row>
    <row r="9765" spans="1:9" x14ac:dyDescent="0.4">
      <c r="A9765" t="s">
        <v>64</v>
      </c>
      <c r="B9765" s="1">
        <v>45383</v>
      </c>
      <c r="C9765">
        <v>850153</v>
      </c>
      <c r="D9765" t="s">
        <v>176</v>
      </c>
      <c r="E9765">
        <v>5000</v>
      </c>
      <c r="F9765">
        <v>1</v>
      </c>
      <c r="G9765">
        <v>4</v>
      </c>
      <c r="H9765">
        <f>_xlfn.XLOOKUP(FACT_IMPORTS[[#This Row],[hts_6]],DIM_PRODUCTS[hts_6],DIM_PRODUCTS[hts_4],,,)</f>
        <v>8501</v>
      </c>
      <c r="I9765" t="str" cm="1">
        <f t="array" ref="I9765">_xlfn.XLOOKUP(FACT_IMPORTS[[#This Row],[country_name]],DIM_COUNTRY[[#All],[Column2]],DIM_COUNTRY[[#All],[Column3]],,,)</f>
        <v>USMCA</v>
      </c>
    </row>
    <row r="9766" spans="1:9" x14ac:dyDescent="0.4">
      <c r="A9766" t="s">
        <v>64</v>
      </c>
      <c r="B9766" s="1">
        <v>45383</v>
      </c>
      <c r="C9766">
        <v>850161</v>
      </c>
      <c r="D9766" t="s">
        <v>176</v>
      </c>
      <c r="E9766">
        <v>0</v>
      </c>
      <c r="F9766">
        <v>0</v>
      </c>
      <c r="G9766">
        <v>0</v>
      </c>
      <c r="H9766">
        <f>_xlfn.XLOOKUP(FACT_IMPORTS[[#This Row],[hts_6]],DIM_PRODUCTS[hts_6],DIM_PRODUCTS[hts_4],,,)</f>
        <v>8501</v>
      </c>
      <c r="I9766" t="str" cm="1">
        <f t="array" ref="I9766">_xlfn.XLOOKUP(FACT_IMPORTS[[#This Row],[country_name]],DIM_COUNTRY[[#All],[Column2]],DIM_COUNTRY[[#All],[Column3]],,,)</f>
        <v>USMCA</v>
      </c>
    </row>
    <row r="9767" spans="1:9" x14ac:dyDescent="0.4">
      <c r="A9767" t="s">
        <v>64</v>
      </c>
      <c r="B9767" s="1">
        <v>45383</v>
      </c>
      <c r="C9767">
        <v>850440</v>
      </c>
      <c r="D9767" t="s">
        <v>176</v>
      </c>
      <c r="E9767">
        <v>86907</v>
      </c>
      <c r="F9767">
        <v>494</v>
      </c>
      <c r="G9767">
        <v>7409</v>
      </c>
      <c r="H9767">
        <f>_xlfn.XLOOKUP(FACT_IMPORTS[[#This Row],[hts_6]],DIM_PRODUCTS[hts_6],DIM_PRODUCTS[hts_4],,,)</f>
        <v>8504</v>
      </c>
      <c r="I9767" t="str" cm="1">
        <f t="array" ref="I9767">_xlfn.XLOOKUP(FACT_IMPORTS[[#This Row],[country_name]],DIM_COUNTRY[[#All],[Column2]],DIM_COUNTRY[[#All],[Column3]],,,)</f>
        <v>USMCA</v>
      </c>
    </row>
    <row r="9768" spans="1:9" x14ac:dyDescent="0.4">
      <c r="A9768" t="s">
        <v>64</v>
      </c>
      <c r="B9768" s="1">
        <v>45383</v>
      </c>
      <c r="C9768">
        <v>850710</v>
      </c>
      <c r="D9768" t="s">
        <v>176</v>
      </c>
      <c r="E9768">
        <v>0</v>
      </c>
      <c r="F9768">
        <v>0</v>
      </c>
      <c r="G9768">
        <v>0</v>
      </c>
      <c r="H9768">
        <f>_xlfn.XLOOKUP(FACT_IMPORTS[[#This Row],[hts_6]],DIM_PRODUCTS[hts_6],DIM_PRODUCTS[hts_4],,,)</f>
        <v>8507</v>
      </c>
      <c r="I9768" t="str" cm="1">
        <f t="array" ref="I9768">_xlfn.XLOOKUP(FACT_IMPORTS[[#This Row],[country_name]],DIM_COUNTRY[[#All],[Column2]],DIM_COUNTRY[[#All],[Column3]],,,)</f>
        <v>USMCA</v>
      </c>
    </row>
    <row r="9769" spans="1:9" x14ac:dyDescent="0.4">
      <c r="A9769" t="s">
        <v>64</v>
      </c>
      <c r="B9769" s="1">
        <v>45383</v>
      </c>
      <c r="C9769">
        <v>850760</v>
      </c>
      <c r="D9769" t="s">
        <v>176</v>
      </c>
      <c r="E9769">
        <v>0</v>
      </c>
      <c r="F9769">
        <v>0</v>
      </c>
      <c r="G9769">
        <v>0</v>
      </c>
      <c r="H9769">
        <f>_xlfn.XLOOKUP(FACT_IMPORTS[[#This Row],[hts_6]],DIM_PRODUCTS[hts_6],DIM_PRODUCTS[hts_4],,,)</f>
        <v>8507</v>
      </c>
      <c r="I9769" t="str" cm="1">
        <f t="array" ref="I9769">_xlfn.XLOOKUP(FACT_IMPORTS[[#This Row],[country_name]],DIM_COUNTRY[[#All],[Column2]],DIM_COUNTRY[[#All],[Column3]],,,)</f>
        <v>USMCA</v>
      </c>
    </row>
    <row r="9770" spans="1:9" x14ac:dyDescent="0.4">
      <c r="A9770" t="s">
        <v>64</v>
      </c>
      <c r="B9770" s="1">
        <v>45383</v>
      </c>
      <c r="C9770">
        <v>851110</v>
      </c>
      <c r="D9770" t="s">
        <v>176</v>
      </c>
      <c r="E9770">
        <v>0</v>
      </c>
      <c r="F9770">
        <v>0</v>
      </c>
      <c r="G9770">
        <v>0</v>
      </c>
      <c r="H9770">
        <f>_xlfn.XLOOKUP(FACT_IMPORTS[[#This Row],[hts_6]],DIM_PRODUCTS[hts_6],DIM_PRODUCTS[hts_4],,,)</f>
        <v>8511</v>
      </c>
      <c r="I9770" t="str" cm="1">
        <f t="array" ref="I9770">_xlfn.XLOOKUP(FACT_IMPORTS[[#This Row],[country_name]],DIM_COUNTRY[[#All],[Column2]],DIM_COUNTRY[[#All],[Column3]],,,)</f>
        <v>USMCA</v>
      </c>
    </row>
    <row r="9771" spans="1:9" x14ac:dyDescent="0.4">
      <c r="A9771" t="s">
        <v>64</v>
      </c>
      <c r="B9771" s="1">
        <v>45383</v>
      </c>
      <c r="C9771">
        <v>851120</v>
      </c>
      <c r="D9771" t="s">
        <v>176</v>
      </c>
      <c r="E9771">
        <v>2395</v>
      </c>
      <c r="F9771">
        <v>12</v>
      </c>
      <c r="G9771">
        <v>1</v>
      </c>
      <c r="H9771">
        <f>_xlfn.XLOOKUP(FACT_IMPORTS[[#This Row],[hts_6]],DIM_PRODUCTS[hts_6],DIM_PRODUCTS[hts_4],,,)</f>
        <v>8511</v>
      </c>
      <c r="I9771" t="str" cm="1">
        <f t="array" ref="I9771">_xlfn.XLOOKUP(FACT_IMPORTS[[#This Row],[country_name]],DIM_COUNTRY[[#All],[Column2]],DIM_COUNTRY[[#All],[Column3]],,,)</f>
        <v>USMCA</v>
      </c>
    </row>
    <row r="9772" spans="1:9" x14ac:dyDescent="0.4">
      <c r="A9772" t="s">
        <v>64</v>
      </c>
      <c r="B9772" s="1">
        <v>45383</v>
      </c>
      <c r="C9772">
        <v>851140</v>
      </c>
      <c r="D9772" t="s">
        <v>176</v>
      </c>
      <c r="E9772">
        <v>25005</v>
      </c>
      <c r="F9772">
        <v>126</v>
      </c>
      <c r="G9772">
        <v>318</v>
      </c>
      <c r="H9772">
        <f>_xlfn.XLOOKUP(FACT_IMPORTS[[#This Row],[hts_6]],DIM_PRODUCTS[hts_6],DIM_PRODUCTS[hts_4],,,)</f>
        <v>8511</v>
      </c>
      <c r="I9772" t="str" cm="1">
        <f t="array" ref="I9772">_xlfn.XLOOKUP(FACT_IMPORTS[[#This Row],[country_name]],DIM_COUNTRY[[#All],[Column2]],DIM_COUNTRY[[#All],[Column3]],,,)</f>
        <v>USMCA</v>
      </c>
    </row>
    <row r="9773" spans="1:9" x14ac:dyDescent="0.4">
      <c r="A9773" t="s">
        <v>64</v>
      </c>
      <c r="B9773" s="1">
        <v>45383</v>
      </c>
      <c r="C9773">
        <v>851150</v>
      </c>
      <c r="D9773" t="s">
        <v>176</v>
      </c>
      <c r="E9773">
        <v>15352</v>
      </c>
      <c r="F9773">
        <v>60</v>
      </c>
      <c r="G9773">
        <v>55</v>
      </c>
      <c r="H9773">
        <f>_xlfn.XLOOKUP(FACT_IMPORTS[[#This Row],[hts_6]],DIM_PRODUCTS[hts_6],DIM_PRODUCTS[hts_4],,,)</f>
        <v>8511</v>
      </c>
      <c r="I9773" t="str" cm="1">
        <f t="array" ref="I9773">_xlfn.XLOOKUP(FACT_IMPORTS[[#This Row],[country_name]],DIM_COUNTRY[[#All],[Column2]],DIM_COUNTRY[[#All],[Column3]],,,)</f>
        <v>USMCA</v>
      </c>
    </row>
    <row r="9774" spans="1:9" x14ac:dyDescent="0.4">
      <c r="A9774" t="s">
        <v>64</v>
      </c>
      <c r="B9774" s="1">
        <v>45383</v>
      </c>
      <c r="C9774">
        <v>851180</v>
      </c>
      <c r="D9774" t="s">
        <v>176</v>
      </c>
      <c r="E9774">
        <v>0</v>
      </c>
      <c r="F9774">
        <v>0</v>
      </c>
      <c r="G9774">
        <v>0</v>
      </c>
      <c r="H9774">
        <f>_xlfn.XLOOKUP(FACT_IMPORTS[[#This Row],[hts_6]],DIM_PRODUCTS[hts_6],DIM_PRODUCTS[hts_4],,,)</f>
        <v>8511</v>
      </c>
      <c r="I9774" t="str" cm="1">
        <f t="array" ref="I9774">_xlfn.XLOOKUP(FACT_IMPORTS[[#This Row],[country_name]],DIM_COUNTRY[[#All],[Column2]],DIM_COUNTRY[[#All],[Column3]],,,)</f>
        <v>USMCA</v>
      </c>
    </row>
    <row r="9775" spans="1:9" x14ac:dyDescent="0.4">
      <c r="A9775" t="s">
        <v>64</v>
      </c>
      <c r="B9775" s="1">
        <v>45383</v>
      </c>
      <c r="C9775">
        <v>851190</v>
      </c>
      <c r="D9775" t="s">
        <v>176</v>
      </c>
      <c r="E9775">
        <v>0</v>
      </c>
      <c r="F9775">
        <v>0</v>
      </c>
      <c r="G9775">
        <v>0</v>
      </c>
      <c r="H9775">
        <f>_xlfn.XLOOKUP(FACT_IMPORTS[[#This Row],[hts_6]],DIM_PRODUCTS[hts_6],DIM_PRODUCTS[hts_4],,,)</f>
        <v>8511</v>
      </c>
      <c r="I9775" t="str" cm="1">
        <f t="array" ref="I9775">_xlfn.XLOOKUP(FACT_IMPORTS[[#This Row],[country_name]],DIM_COUNTRY[[#All],[Column2]],DIM_COUNTRY[[#All],[Column3]],,,)</f>
        <v>USMCA</v>
      </c>
    </row>
    <row r="9776" spans="1:9" x14ac:dyDescent="0.4">
      <c r="A9776" t="s">
        <v>64</v>
      </c>
      <c r="B9776" s="1">
        <v>45383</v>
      </c>
      <c r="C9776">
        <v>851220</v>
      </c>
      <c r="D9776" t="s">
        <v>176</v>
      </c>
      <c r="E9776">
        <v>14063</v>
      </c>
      <c r="F9776">
        <v>2180</v>
      </c>
      <c r="G9776">
        <v>720</v>
      </c>
      <c r="H9776">
        <f>_xlfn.XLOOKUP(FACT_IMPORTS[[#This Row],[hts_6]],DIM_PRODUCTS[hts_6],DIM_PRODUCTS[hts_4],,,)</f>
        <v>8512</v>
      </c>
      <c r="I9776" t="str" cm="1">
        <f t="array" ref="I9776">_xlfn.XLOOKUP(FACT_IMPORTS[[#This Row],[country_name]],DIM_COUNTRY[[#All],[Column2]],DIM_COUNTRY[[#All],[Column3]],,,)</f>
        <v>USMCA</v>
      </c>
    </row>
    <row r="9777" spans="1:9" x14ac:dyDescent="0.4">
      <c r="A9777" t="s">
        <v>64</v>
      </c>
      <c r="B9777" s="1">
        <v>45383</v>
      </c>
      <c r="C9777">
        <v>851230</v>
      </c>
      <c r="D9777" t="s">
        <v>176</v>
      </c>
      <c r="E9777">
        <v>0</v>
      </c>
      <c r="F9777">
        <v>0</v>
      </c>
      <c r="G9777">
        <v>0</v>
      </c>
      <c r="H9777">
        <f>_xlfn.XLOOKUP(FACT_IMPORTS[[#This Row],[hts_6]],DIM_PRODUCTS[hts_6],DIM_PRODUCTS[hts_4],,,)</f>
        <v>8512</v>
      </c>
      <c r="I9777" t="str" cm="1">
        <f t="array" ref="I9777">_xlfn.XLOOKUP(FACT_IMPORTS[[#This Row],[country_name]],DIM_COUNTRY[[#All],[Column2]],DIM_COUNTRY[[#All],[Column3]],,,)</f>
        <v>USMCA</v>
      </c>
    </row>
    <row r="9778" spans="1:9" x14ac:dyDescent="0.4">
      <c r="A9778" t="s">
        <v>64</v>
      </c>
      <c r="B9778" s="1">
        <v>45383</v>
      </c>
      <c r="C9778">
        <v>851290</v>
      </c>
      <c r="D9778" t="s">
        <v>176</v>
      </c>
      <c r="E9778">
        <v>0</v>
      </c>
      <c r="F9778">
        <v>0</v>
      </c>
      <c r="G9778">
        <v>0</v>
      </c>
      <c r="H9778">
        <f>_xlfn.XLOOKUP(FACT_IMPORTS[[#This Row],[hts_6]],DIM_PRODUCTS[hts_6],DIM_PRODUCTS[hts_4],,,)</f>
        <v>8512</v>
      </c>
      <c r="I9778" t="str" cm="1">
        <f t="array" ref="I9778">_xlfn.XLOOKUP(FACT_IMPORTS[[#This Row],[country_name]],DIM_COUNTRY[[#All],[Column2]],DIM_COUNTRY[[#All],[Column3]],,,)</f>
        <v>USMCA</v>
      </c>
    </row>
    <row r="9779" spans="1:9" x14ac:dyDescent="0.4">
      <c r="A9779" t="s">
        <v>64</v>
      </c>
      <c r="B9779" s="1">
        <v>45383</v>
      </c>
      <c r="C9779">
        <v>854231</v>
      </c>
      <c r="D9779" t="s">
        <v>176</v>
      </c>
      <c r="E9779">
        <v>8926</v>
      </c>
      <c r="F9779">
        <v>1</v>
      </c>
      <c r="G9779">
        <v>32</v>
      </c>
      <c r="H9779">
        <f>_xlfn.XLOOKUP(FACT_IMPORTS[[#This Row],[hts_6]],DIM_PRODUCTS[hts_6],DIM_PRODUCTS[hts_4],,,)</f>
        <v>8542</v>
      </c>
      <c r="I9779" t="str" cm="1">
        <f t="array" ref="I9779">_xlfn.XLOOKUP(FACT_IMPORTS[[#This Row],[country_name]],DIM_COUNTRY[[#All],[Column2]],DIM_COUNTRY[[#All],[Column3]],,,)</f>
        <v>USMCA</v>
      </c>
    </row>
    <row r="9780" spans="1:9" x14ac:dyDescent="0.4">
      <c r="A9780" t="s">
        <v>64</v>
      </c>
      <c r="B9780" s="1">
        <v>45383</v>
      </c>
      <c r="C9780">
        <v>854239</v>
      </c>
      <c r="D9780" t="s">
        <v>176</v>
      </c>
      <c r="E9780">
        <v>0</v>
      </c>
      <c r="F9780">
        <v>0</v>
      </c>
      <c r="G9780">
        <v>0</v>
      </c>
      <c r="H9780">
        <f>_xlfn.XLOOKUP(FACT_IMPORTS[[#This Row],[hts_6]],DIM_PRODUCTS[hts_6],DIM_PRODUCTS[hts_4],,,)</f>
        <v>8542</v>
      </c>
      <c r="I9780" t="str" cm="1">
        <f t="array" ref="I9780">_xlfn.XLOOKUP(FACT_IMPORTS[[#This Row],[country_name]],DIM_COUNTRY[[#All],[Column2]],DIM_COUNTRY[[#All],[Column3]],,,)</f>
        <v>USMCA</v>
      </c>
    </row>
    <row r="9781" spans="1:9" x14ac:dyDescent="0.4">
      <c r="A9781" t="s">
        <v>64</v>
      </c>
      <c r="B9781" s="1">
        <v>45383</v>
      </c>
      <c r="C9781">
        <v>854290</v>
      </c>
      <c r="D9781" t="s">
        <v>176</v>
      </c>
      <c r="E9781">
        <v>2484</v>
      </c>
      <c r="F9781">
        <v>3</v>
      </c>
      <c r="G9781">
        <v>3</v>
      </c>
      <c r="H9781">
        <f>_xlfn.XLOOKUP(FACT_IMPORTS[[#This Row],[hts_6]],DIM_PRODUCTS[hts_6],DIM_PRODUCTS[hts_4],,,)</f>
        <v>8542</v>
      </c>
      <c r="I9781" t="str" cm="1">
        <f t="array" ref="I9781">_xlfn.XLOOKUP(FACT_IMPORTS[[#This Row],[country_name]],DIM_COUNTRY[[#All],[Column2]],DIM_COUNTRY[[#All],[Column3]],,,)</f>
        <v>USMCA</v>
      </c>
    </row>
    <row r="9782" spans="1:9" x14ac:dyDescent="0.4">
      <c r="A9782" t="s">
        <v>64</v>
      </c>
      <c r="B9782" s="1">
        <v>45383</v>
      </c>
      <c r="C9782">
        <v>854430</v>
      </c>
      <c r="D9782" t="s">
        <v>176</v>
      </c>
      <c r="E9782">
        <v>504687</v>
      </c>
      <c r="F9782">
        <v>43140</v>
      </c>
      <c r="G9782">
        <v>2749</v>
      </c>
      <c r="H9782">
        <f>_xlfn.XLOOKUP(FACT_IMPORTS[[#This Row],[hts_6]],DIM_PRODUCTS[hts_6],DIM_PRODUCTS[hts_4],,,)</f>
        <v>8544</v>
      </c>
      <c r="I9782" t="str" cm="1">
        <f t="array" ref="I9782">_xlfn.XLOOKUP(FACT_IMPORTS[[#This Row],[country_name]],DIM_COUNTRY[[#All],[Column2]],DIM_COUNTRY[[#All],[Column3]],,,)</f>
        <v>USMCA</v>
      </c>
    </row>
    <row r="9783" spans="1:9" x14ac:dyDescent="0.4">
      <c r="A9783" t="s">
        <v>64</v>
      </c>
      <c r="B9783" s="1">
        <v>45383</v>
      </c>
      <c r="C9783">
        <v>870810</v>
      </c>
      <c r="D9783" t="s">
        <v>176</v>
      </c>
      <c r="E9783">
        <v>37371</v>
      </c>
      <c r="F9783">
        <v>287</v>
      </c>
      <c r="G9783">
        <v>41</v>
      </c>
      <c r="H9783">
        <f>_xlfn.XLOOKUP(FACT_IMPORTS[[#This Row],[hts_6]],DIM_PRODUCTS[hts_6],DIM_PRODUCTS[hts_4],,,)</f>
        <v>8708</v>
      </c>
      <c r="I9783" t="str" cm="1">
        <f t="array" ref="I9783">_xlfn.XLOOKUP(FACT_IMPORTS[[#This Row],[country_name]],DIM_COUNTRY[[#All],[Column2]],DIM_COUNTRY[[#All],[Column3]],,,)</f>
        <v>USMCA</v>
      </c>
    </row>
    <row r="9784" spans="1:9" x14ac:dyDescent="0.4">
      <c r="A9784" t="s">
        <v>64</v>
      </c>
      <c r="B9784" s="1">
        <v>45383</v>
      </c>
      <c r="C9784">
        <v>870822</v>
      </c>
      <c r="D9784" t="s">
        <v>176</v>
      </c>
      <c r="E9784">
        <v>0</v>
      </c>
      <c r="F9784">
        <v>0</v>
      </c>
      <c r="G9784">
        <v>0</v>
      </c>
      <c r="H9784">
        <f>_xlfn.XLOOKUP(FACT_IMPORTS[[#This Row],[hts_6]],DIM_PRODUCTS[hts_6],DIM_PRODUCTS[hts_4],,,)</f>
        <v>8708</v>
      </c>
      <c r="I9784" t="str" cm="1">
        <f t="array" ref="I9784">_xlfn.XLOOKUP(FACT_IMPORTS[[#This Row],[country_name]],DIM_COUNTRY[[#All],[Column2]],DIM_COUNTRY[[#All],[Column3]],,,)</f>
        <v>USMCA</v>
      </c>
    </row>
    <row r="9785" spans="1:9" x14ac:dyDescent="0.4">
      <c r="A9785" t="s">
        <v>64</v>
      </c>
      <c r="B9785" s="1">
        <v>45383</v>
      </c>
      <c r="C9785">
        <v>870829</v>
      </c>
      <c r="D9785" t="s">
        <v>176</v>
      </c>
      <c r="E9785">
        <v>999515</v>
      </c>
      <c r="F9785">
        <v>40145</v>
      </c>
      <c r="G9785">
        <v>26929</v>
      </c>
      <c r="H9785">
        <f>_xlfn.XLOOKUP(FACT_IMPORTS[[#This Row],[hts_6]],DIM_PRODUCTS[hts_6],DIM_PRODUCTS[hts_4],,,)</f>
        <v>8708</v>
      </c>
      <c r="I9785" t="str" cm="1">
        <f t="array" ref="I9785">_xlfn.XLOOKUP(FACT_IMPORTS[[#This Row],[country_name]],DIM_COUNTRY[[#All],[Column2]],DIM_COUNTRY[[#All],[Column3]],,,)</f>
        <v>USMCA</v>
      </c>
    </row>
    <row r="9786" spans="1:9" x14ac:dyDescent="0.4">
      <c r="A9786" t="s">
        <v>64</v>
      </c>
      <c r="B9786" s="1">
        <v>45383</v>
      </c>
      <c r="C9786">
        <v>870830</v>
      </c>
      <c r="D9786" t="s">
        <v>176</v>
      </c>
      <c r="E9786">
        <v>1012917</v>
      </c>
      <c r="F9786">
        <v>17930</v>
      </c>
      <c r="G9786">
        <v>8846</v>
      </c>
      <c r="H9786">
        <f>_xlfn.XLOOKUP(FACT_IMPORTS[[#This Row],[hts_6]],DIM_PRODUCTS[hts_6],DIM_PRODUCTS[hts_4],,,)</f>
        <v>8708</v>
      </c>
      <c r="I9786" t="str" cm="1">
        <f t="array" ref="I9786">_xlfn.XLOOKUP(FACT_IMPORTS[[#This Row],[country_name]],DIM_COUNTRY[[#All],[Column2]],DIM_COUNTRY[[#All],[Column3]],,,)</f>
        <v>USMCA</v>
      </c>
    </row>
    <row r="9787" spans="1:9" x14ac:dyDescent="0.4">
      <c r="A9787" t="s">
        <v>64</v>
      </c>
      <c r="B9787" s="1">
        <v>45383</v>
      </c>
      <c r="C9787">
        <v>870840</v>
      </c>
      <c r="D9787" t="s">
        <v>176</v>
      </c>
      <c r="E9787">
        <v>157157</v>
      </c>
      <c r="F9787">
        <v>149</v>
      </c>
      <c r="G9787">
        <v>316</v>
      </c>
      <c r="H9787">
        <f>_xlfn.XLOOKUP(FACT_IMPORTS[[#This Row],[hts_6]],DIM_PRODUCTS[hts_6],DIM_PRODUCTS[hts_4],,,)</f>
        <v>8708</v>
      </c>
      <c r="I9787" t="str" cm="1">
        <f t="array" ref="I9787">_xlfn.XLOOKUP(FACT_IMPORTS[[#This Row],[country_name]],DIM_COUNTRY[[#All],[Column2]],DIM_COUNTRY[[#All],[Column3]],,,)</f>
        <v>USMCA</v>
      </c>
    </row>
    <row r="9788" spans="1:9" x14ac:dyDescent="0.4">
      <c r="A9788" t="s">
        <v>64</v>
      </c>
      <c r="B9788" s="1">
        <v>45383</v>
      </c>
      <c r="C9788">
        <v>870850</v>
      </c>
      <c r="D9788" t="s">
        <v>176</v>
      </c>
      <c r="E9788">
        <v>50260</v>
      </c>
      <c r="F9788">
        <v>59</v>
      </c>
      <c r="G9788">
        <v>20057</v>
      </c>
      <c r="H9788">
        <f>_xlfn.XLOOKUP(FACT_IMPORTS[[#This Row],[hts_6]],DIM_PRODUCTS[hts_6],DIM_PRODUCTS[hts_4],,,)</f>
        <v>8708</v>
      </c>
      <c r="I9788" t="str" cm="1">
        <f t="array" ref="I9788">_xlfn.XLOOKUP(FACT_IMPORTS[[#This Row],[country_name]],DIM_COUNTRY[[#All],[Column2]],DIM_COUNTRY[[#All],[Column3]],,,)</f>
        <v>USMCA</v>
      </c>
    </row>
    <row r="9789" spans="1:9" x14ac:dyDescent="0.4">
      <c r="A9789" t="s">
        <v>64</v>
      </c>
      <c r="B9789" s="1">
        <v>45383</v>
      </c>
      <c r="C9789">
        <v>870870</v>
      </c>
      <c r="D9789" t="s">
        <v>176</v>
      </c>
      <c r="E9789">
        <v>38012</v>
      </c>
      <c r="F9789">
        <v>798</v>
      </c>
      <c r="G9789">
        <v>933</v>
      </c>
      <c r="H9789">
        <f>_xlfn.XLOOKUP(FACT_IMPORTS[[#This Row],[hts_6]],DIM_PRODUCTS[hts_6],DIM_PRODUCTS[hts_4],,,)</f>
        <v>8708</v>
      </c>
      <c r="I9789" t="str" cm="1">
        <f t="array" ref="I9789">_xlfn.XLOOKUP(FACT_IMPORTS[[#This Row],[country_name]],DIM_COUNTRY[[#All],[Column2]],DIM_COUNTRY[[#All],[Column3]],,,)</f>
        <v>USMCA</v>
      </c>
    </row>
    <row r="9790" spans="1:9" x14ac:dyDescent="0.4">
      <c r="A9790" t="s">
        <v>64</v>
      </c>
      <c r="B9790" s="1">
        <v>45383</v>
      </c>
      <c r="C9790">
        <v>870880</v>
      </c>
      <c r="D9790" t="s">
        <v>176</v>
      </c>
      <c r="E9790">
        <v>42346</v>
      </c>
      <c r="F9790">
        <v>2019</v>
      </c>
      <c r="G9790">
        <v>600</v>
      </c>
      <c r="H9790">
        <f>_xlfn.XLOOKUP(FACT_IMPORTS[[#This Row],[hts_6]],DIM_PRODUCTS[hts_6],DIM_PRODUCTS[hts_4],,,)</f>
        <v>8708</v>
      </c>
      <c r="I9790" t="str" cm="1">
        <f t="array" ref="I9790">_xlfn.XLOOKUP(FACT_IMPORTS[[#This Row],[country_name]],DIM_COUNTRY[[#All],[Column2]],DIM_COUNTRY[[#All],[Column3]],,,)</f>
        <v>USMCA</v>
      </c>
    </row>
    <row r="9791" spans="1:9" x14ac:dyDescent="0.4">
      <c r="A9791" t="s">
        <v>64</v>
      </c>
      <c r="B9791" s="1">
        <v>45383</v>
      </c>
      <c r="C9791">
        <v>870891</v>
      </c>
      <c r="D9791" t="s">
        <v>176</v>
      </c>
      <c r="E9791">
        <v>211001</v>
      </c>
      <c r="F9791">
        <v>14709</v>
      </c>
      <c r="G9791">
        <v>1762</v>
      </c>
      <c r="H9791">
        <f>_xlfn.XLOOKUP(FACT_IMPORTS[[#This Row],[hts_6]],DIM_PRODUCTS[hts_6],DIM_PRODUCTS[hts_4],,,)</f>
        <v>8708</v>
      </c>
      <c r="I9791" t="str" cm="1">
        <f t="array" ref="I9791">_xlfn.XLOOKUP(FACT_IMPORTS[[#This Row],[country_name]],DIM_COUNTRY[[#All],[Column2]],DIM_COUNTRY[[#All],[Column3]],,,)</f>
        <v>USMCA</v>
      </c>
    </row>
    <row r="9792" spans="1:9" x14ac:dyDescent="0.4">
      <c r="A9792" t="s">
        <v>64</v>
      </c>
      <c r="B9792" s="1">
        <v>45383</v>
      </c>
      <c r="C9792">
        <v>870892</v>
      </c>
      <c r="D9792" t="s">
        <v>176</v>
      </c>
      <c r="E9792">
        <v>13905</v>
      </c>
      <c r="F9792">
        <v>180</v>
      </c>
      <c r="G9792">
        <v>9</v>
      </c>
      <c r="H9792">
        <f>_xlfn.XLOOKUP(FACT_IMPORTS[[#This Row],[hts_6]],DIM_PRODUCTS[hts_6],DIM_PRODUCTS[hts_4],,,)</f>
        <v>8708</v>
      </c>
      <c r="I9792" t="str" cm="1">
        <f t="array" ref="I9792">_xlfn.XLOOKUP(FACT_IMPORTS[[#This Row],[country_name]],DIM_COUNTRY[[#All],[Column2]],DIM_COUNTRY[[#All],[Column3]],,,)</f>
        <v>USMCA</v>
      </c>
    </row>
    <row r="9793" spans="1:9" x14ac:dyDescent="0.4">
      <c r="A9793" t="s">
        <v>64</v>
      </c>
      <c r="B9793" s="1">
        <v>45383</v>
      </c>
      <c r="C9793">
        <v>870893</v>
      </c>
      <c r="D9793" t="s">
        <v>176</v>
      </c>
      <c r="E9793">
        <v>32062</v>
      </c>
      <c r="F9793">
        <v>2426</v>
      </c>
      <c r="G9793">
        <v>428</v>
      </c>
      <c r="H9793">
        <f>_xlfn.XLOOKUP(FACT_IMPORTS[[#This Row],[hts_6]],DIM_PRODUCTS[hts_6],DIM_PRODUCTS[hts_4],,,)</f>
        <v>8708</v>
      </c>
      <c r="I9793" t="str" cm="1">
        <f t="array" ref="I9793">_xlfn.XLOOKUP(FACT_IMPORTS[[#This Row],[country_name]],DIM_COUNTRY[[#All],[Column2]],DIM_COUNTRY[[#All],[Column3]],,,)</f>
        <v>USMCA</v>
      </c>
    </row>
    <row r="9794" spans="1:9" x14ac:dyDescent="0.4">
      <c r="A9794" t="s">
        <v>64</v>
      </c>
      <c r="B9794" s="1">
        <v>45383</v>
      </c>
      <c r="C9794">
        <v>870894</v>
      </c>
      <c r="D9794" t="s">
        <v>176</v>
      </c>
      <c r="E9794">
        <v>72814</v>
      </c>
      <c r="F9794">
        <v>235</v>
      </c>
      <c r="G9794">
        <v>1644</v>
      </c>
      <c r="H9794">
        <f>_xlfn.XLOOKUP(FACT_IMPORTS[[#This Row],[hts_6]],DIM_PRODUCTS[hts_6],DIM_PRODUCTS[hts_4],,,)</f>
        <v>8708</v>
      </c>
      <c r="I9794" t="str" cm="1">
        <f t="array" ref="I9794">_xlfn.XLOOKUP(FACT_IMPORTS[[#This Row],[country_name]],DIM_COUNTRY[[#All],[Column2]],DIM_COUNTRY[[#All],[Column3]],,,)</f>
        <v>USMCA</v>
      </c>
    </row>
    <row r="9795" spans="1:9" x14ac:dyDescent="0.4">
      <c r="A9795" t="s">
        <v>64</v>
      </c>
      <c r="B9795" s="1">
        <v>45383</v>
      </c>
      <c r="C9795">
        <v>870895</v>
      </c>
      <c r="D9795" t="s">
        <v>176</v>
      </c>
      <c r="E9795">
        <v>0</v>
      </c>
      <c r="F9795">
        <v>0</v>
      </c>
      <c r="G9795">
        <v>0</v>
      </c>
      <c r="H9795">
        <f>_xlfn.XLOOKUP(FACT_IMPORTS[[#This Row],[hts_6]],DIM_PRODUCTS[hts_6],DIM_PRODUCTS[hts_4],,,)</f>
        <v>8708</v>
      </c>
      <c r="I9795" t="str" cm="1">
        <f t="array" ref="I9795">_xlfn.XLOOKUP(FACT_IMPORTS[[#This Row],[country_name]],DIM_COUNTRY[[#All],[Column2]],DIM_COUNTRY[[#All],[Column3]],,,)</f>
        <v>USMCA</v>
      </c>
    </row>
    <row r="9796" spans="1:9" x14ac:dyDescent="0.4">
      <c r="A9796" t="s">
        <v>64</v>
      </c>
      <c r="B9796" s="1">
        <v>45383</v>
      </c>
      <c r="C9796">
        <v>870899</v>
      </c>
      <c r="D9796" t="s">
        <v>176</v>
      </c>
      <c r="E9796">
        <v>359286</v>
      </c>
      <c r="F9796">
        <v>3466</v>
      </c>
      <c r="G9796">
        <v>2859</v>
      </c>
      <c r="H9796">
        <f>_xlfn.XLOOKUP(FACT_IMPORTS[[#This Row],[hts_6]],DIM_PRODUCTS[hts_6],DIM_PRODUCTS[hts_4],,,)</f>
        <v>8708</v>
      </c>
      <c r="I9796" t="str" cm="1">
        <f t="array" ref="I9796">_xlfn.XLOOKUP(FACT_IMPORTS[[#This Row],[country_name]],DIM_COUNTRY[[#All],[Column2]],DIM_COUNTRY[[#All],[Column3]],,,)</f>
        <v>USMCA</v>
      </c>
    </row>
    <row r="9797" spans="1:9" x14ac:dyDescent="0.4">
      <c r="A9797" t="s">
        <v>64</v>
      </c>
      <c r="B9797" s="1">
        <v>45383</v>
      </c>
      <c r="C9797">
        <v>940120</v>
      </c>
      <c r="D9797" t="s">
        <v>176</v>
      </c>
      <c r="E9797">
        <v>54190</v>
      </c>
      <c r="F9797">
        <v>127</v>
      </c>
      <c r="G9797">
        <v>3239</v>
      </c>
      <c r="H9797">
        <f>_xlfn.XLOOKUP(FACT_IMPORTS[[#This Row],[hts_6]],DIM_PRODUCTS[hts_6],DIM_PRODUCTS[hts_4],,,)</f>
        <v>9401</v>
      </c>
      <c r="I9797" t="str" cm="1">
        <f t="array" ref="I9797">_xlfn.XLOOKUP(FACT_IMPORTS[[#This Row],[country_name]],DIM_COUNTRY[[#All],[Column2]],DIM_COUNTRY[[#All],[Column3]],,,)</f>
        <v>USMCA</v>
      </c>
    </row>
    <row r="9798" spans="1:9" x14ac:dyDescent="0.4">
      <c r="A9798" t="s">
        <v>64</v>
      </c>
      <c r="B9798" s="1">
        <v>45413</v>
      </c>
      <c r="C9798">
        <v>392630</v>
      </c>
      <c r="D9798" t="s">
        <v>176</v>
      </c>
      <c r="E9798">
        <v>5913</v>
      </c>
      <c r="F9798">
        <v>632</v>
      </c>
      <c r="G9798">
        <v>1046</v>
      </c>
      <c r="H9798">
        <f>_xlfn.XLOOKUP(FACT_IMPORTS[[#This Row],[hts_6]],DIM_PRODUCTS[hts_6],DIM_PRODUCTS[hts_4],,,)</f>
        <v>3926</v>
      </c>
      <c r="I9798" t="str" cm="1">
        <f t="array" ref="I9798">_xlfn.XLOOKUP(FACT_IMPORTS[[#This Row],[country_name]],DIM_COUNTRY[[#All],[Column2]],DIM_COUNTRY[[#All],[Column3]],,,)</f>
        <v>USMCA</v>
      </c>
    </row>
    <row r="9799" spans="1:9" x14ac:dyDescent="0.4">
      <c r="A9799" t="s">
        <v>64</v>
      </c>
      <c r="B9799" s="1">
        <v>45413</v>
      </c>
      <c r="C9799">
        <v>401110</v>
      </c>
      <c r="D9799" t="s">
        <v>176</v>
      </c>
      <c r="E9799">
        <v>39515</v>
      </c>
      <c r="F9799">
        <v>338</v>
      </c>
      <c r="G9799">
        <v>1124</v>
      </c>
      <c r="H9799">
        <f>_xlfn.XLOOKUP(FACT_IMPORTS[[#This Row],[hts_6]],DIM_PRODUCTS[hts_6],DIM_PRODUCTS[hts_4],,,)</f>
        <v>4011</v>
      </c>
      <c r="I9799" t="str" cm="1">
        <f t="array" ref="I9799">_xlfn.XLOOKUP(FACT_IMPORTS[[#This Row],[country_name]],DIM_COUNTRY[[#All],[Column2]],DIM_COUNTRY[[#All],[Column3]],,,)</f>
        <v>USMCA</v>
      </c>
    </row>
    <row r="9800" spans="1:9" x14ac:dyDescent="0.4">
      <c r="A9800" t="s">
        <v>64</v>
      </c>
      <c r="B9800" s="1">
        <v>45413</v>
      </c>
      <c r="C9800">
        <v>401120</v>
      </c>
      <c r="D9800" t="s">
        <v>176</v>
      </c>
      <c r="E9800">
        <v>0</v>
      </c>
      <c r="F9800">
        <v>0</v>
      </c>
      <c r="G9800">
        <v>0</v>
      </c>
      <c r="H9800">
        <f>_xlfn.XLOOKUP(FACT_IMPORTS[[#This Row],[hts_6]],DIM_PRODUCTS[hts_6],DIM_PRODUCTS[hts_4],,,)</f>
        <v>4011</v>
      </c>
      <c r="I9800" t="str" cm="1">
        <f t="array" ref="I9800">_xlfn.XLOOKUP(FACT_IMPORTS[[#This Row],[country_name]],DIM_COUNTRY[[#All],[Column2]],DIM_COUNTRY[[#All],[Column3]],,,)</f>
        <v>USMCA</v>
      </c>
    </row>
    <row r="9801" spans="1:9" x14ac:dyDescent="0.4">
      <c r="A9801" t="s">
        <v>64</v>
      </c>
      <c r="B9801" s="1">
        <v>45413</v>
      </c>
      <c r="C9801">
        <v>700711</v>
      </c>
      <c r="D9801" t="s">
        <v>176</v>
      </c>
      <c r="E9801">
        <v>17485</v>
      </c>
      <c r="F9801">
        <v>795</v>
      </c>
      <c r="G9801">
        <v>288</v>
      </c>
      <c r="H9801">
        <f>_xlfn.XLOOKUP(FACT_IMPORTS[[#This Row],[hts_6]],DIM_PRODUCTS[hts_6],DIM_PRODUCTS[hts_4],,,)</f>
        <v>7007</v>
      </c>
      <c r="I9801" t="str" cm="1">
        <f t="array" ref="I9801">_xlfn.XLOOKUP(FACT_IMPORTS[[#This Row],[country_name]],DIM_COUNTRY[[#All],[Column2]],DIM_COUNTRY[[#All],[Column3]],,,)</f>
        <v>USMCA</v>
      </c>
    </row>
    <row r="9802" spans="1:9" x14ac:dyDescent="0.4">
      <c r="A9802" t="s">
        <v>64</v>
      </c>
      <c r="B9802" s="1">
        <v>45413</v>
      </c>
      <c r="C9802">
        <v>700721</v>
      </c>
      <c r="D9802" t="s">
        <v>176</v>
      </c>
      <c r="E9802">
        <v>0</v>
      </c>
      <c r="F9802">
        <v>0</v>
      </c>
      <c r="G9802">
        <v>0</v>
      </c>
      <c r="H9802">
        <f>_xlfn.XLOOKUP(FACT_IMPORTS[[#This Row],[hts_6]],DIM_PRODUCTS[hts_6],DIM_PRODUCTS[hts_4],,,)</f>
        <v>7007</v>
      </c>
      <c r="I9802" t="str" cm="1">
        <f t="array" ref="I9802">_xlfn.XLOOKUP(FACT_IMPORTS[[#This Row],[country_name]],DIM_COUNTRY[[#All],[Column2]],DIM_COUNTRY[[#All],[Column3]],,,)</f>
        <v>USMCA</v>
      </c>
    </row>
    <row r="9803" spans="1:9" x14ac:dyDescent="0.4">
      <c r="A9803" t="s">
        <v>64</v>
      </c>
      <c r="B9803" s="1">
        <v>45413</v>
      </c>
      <c r="C9803">
        <v>700910</v>
      </c>
      <c r="D9803" t="s">
        <v>176</v>
      </c>
      <c r="E9803">
        <v>23527</v>
      </c>
      <c r="F9803">
        <v>66</v>
      </c>
      <c r="G9803">
        <v>234</v>
      </c>
      <c r="H9803">
        <f>_xlfn.XLOOKUP(FACT_IMPORTS[[#This Row],[hts_6]],DIM_PRODUCTS[hts_6],DIM_PRODUCTS[hts_4],,,)</f>
        <v>7009</v>
      </c>
      <c r="I9803" t="str" cm="1">
        <f t="array" ref="I9803">_xlfn.XLOOKUP(FACT_IMPORTS[[#This Row],[country_name]],DIM_COUNTRY[[#All],[Column2]],DIM_COUNTRY[[#All],[Column3]],,,)</f>
        <v>USMCA</v>
      </c>
    </row>
    <row r="9804" spans="1:9" x14ac:dyDescent="0.4">
      <c r="A9804" t="s">
        <v>64</v>
      </c>
      <c r="B9804" s="1">
        <v>45413</v>
      </c>
      <c r="C9804">
        <v>732010</v>
      </c>
      <c r="D9804" t="s">
        <v>176</v>
      </c>
      <c r="E9804">
        <v>17973</v>
      </c>
      <c r="F9804">
        <v>6841</v>
      </c>
      <c r="G9804">
        <v>190</v>
      </c>
      <c r="H9804">
        <f>_xlfn.XLOOKUP(FACT_IMPORTS[[#This Row],[hts_6]],DIM_PRODUCTS[hts_6],DIM_PRODUCTS[hts_4],,,)</f>
        <v>7320</v>
      </c>
      <c r="I9804" t="str" cm="1">
        <f t="array" ref="I9804">_xlfn.XLOOKUP(FACT_IMPORTS[[#This Row],[country_name]],DIM_COUNTRY[[#All],[Column2]],DIM_COUNTRY[[#All],[Column3]],,,)</f>
        <v>USMCA</v>
      </c>
    </row>
    <row r="9805" spans="1:9" x14ac:dyDescent="0.4">
      <c r="A9805" t="s">
        <v>64</v>
      </c>
      <c r="B9805" s="1">
        <v>45413</v>
      </c>
      <c r="C9805">
        <v>830230</v>
      </c>
      <c r="D9805" t="s">
        <v>176</v>
      </c>
      <c r="E9805">
        <v>12148</v>
      </c>
      <c r="F9805">
        <v>435</v>
      </c>
      <c r="G9805">
        <v>941</v>
      </c>
      <c r="H9805">
        <f>_xlfn.XLOOKUP(FACT_IMPORTS[[#This Row],[hts_6]],DIM_PRODUCTS[hts_6],DIM_PRODUCTS[hts_4],,,)</f>
        <v>8302</v>
      </c>
      <c r="I9805" t="str" cm="1">
        <f t="array" ref="I9805">_xlfn.XLOOKUP(FACT_IMPORTS[[#This Row],[country_name]],DIM_COUNTRY[[#All],[Column2]],DIM_COUNTRY[[#All],[Column3]],,,)</f>
        <v>USMCA</v>
      </c>
    </row>
    <row r="9806" spans="1:9" x14ac:dyDescent="0.4">
      <c r="A9806" t="s">
        <v>64</v>
      </c>
      <c r="B9806" s="1">
        <v>45413</v>
      </c>
      <c r="C9806">
        <v>840733</v>
      </c>
      <c r="D9806" t="s">
        <v>176</v>
      </c>
      <c r="E9806">
        <v>20000</v>
      </c>
      <c r="F9806">
        <v>3</v>
      </c>
      <c r="G9806">
        <v>367</v>
      </c>
      <c r="H9806">
        <f>_xlfn.XLOOKUP(FACT_IMPORTS[[#This Row],[hts_6]],DIM_PRODUCTS[hts_6],DIM_PRODUCTS[hts_4],,,)</f>
        <v>8407</v>
      </c>
      <c r="I9806" t="str" cm="1">
        <f t="array" ref="I9806">_xlfn.XLOOKUP(FACT_IMPORTS[[#This Row],[country_name]],DIM_COUNTRY[[#All],[Column2]],DIM_COUNTRY[[#All],[Column3]],,,)</f>
        <v>USMCA</v>
      </c>
    </row>
    <row r="9807" spans="1:9" x14ac:dyDescent="0.4">
      <c r="A9807" t="s">
        <v>64</v>
      </c>
      <c r="B9807" s="1">
        <v>45413</v>
      </c>
      <c r="C9807">
        <v>840734</v>
      </c>
      <c r="D9807" t="s">
        <v>176</v>
      </c>
      <c r="E9807">
        <v>49569</v>
      </c>
      <c r="F9807">
        <v>41</v>
      </c>
      <c r="G9807">
        <v>492</v>
      </c>
      <c r="H9807">
        <f>_xlfn.XLOOKUP(FACT_IMPORTS[[#This Row],[hts_6]],DIM_PRODUCTS[hts_6],DIM_PRODUCTS[hts_4],,,)</f>
        <v>8407</v>
      </c>
      <c r="I9807" t="str" cm="1">
        <f t="array" ref="I9807">_xlfn.XLOOKUP(FACT_IMPORTS[[#This Row],[country_name]],DIM_COUNTRY[[#All],[Column2]],DIM_COUNTRY[[#All],[Column3]],,,)</f>
        <v>USMCA</v>
      </c>
    </row>
    <row r="9808" spans="1:9" x14ac:dyDescent="0.4">
      <c r="A9808" t="s">
        <v>64</v>
      </c>
      <c r="B9808" s="1">
        <v>45413</v>
      </c>
      <c r="C9808">
        <v>840820</v>
      </c>
      <c r="D9808" t="s">
        <v>176</v>
      </c>
      <c r="E9808">
        <v>101582</v>
      </c>
      <c r="F9808">
        <v>20</v>
      </c>
      <c r="G9808">
        <v>187</v>
      </c>
      <c r="H9808">
        <f>_xlfn.XLOOKUP(FACT_IMPORTS[[#This Row],[hts_6]],DIM_PRODUCTS[hts_6],DIM_PRODUCTS[hts_4],,,)</f>
        <v>8408</v>
      </c>
      <c r="I9808" t="str" cm="1">
        <f t="array" ref="I9808">_xlfn.XLOOKUP(FACT_IMPORTS[[#This Row],[country_name]],DIM_COUNTRY[[#All],[Column2]],DIM_COUNTRY[[#All],[Column3]],,,)</f>
        <v>USMCA</v>
      </c>
    </row>
    <row r="9809" spans="1:9" x14ac:dyDescent="0.4">
      <c r="A9809" t="s">
        <v>64</v>
      </c>
      <c r="B9809" s="1">
        <v>45413</v>
      </c>
      <c r="C9809">
        <v>840890</v>
      </c>
      <c r="D9809" t="s">
        <v>176</v>
      </c>
      <c r="E9809">
        <v>2700</v>
      </c>
      <c r="F9809">
        <v>1</v>
      </c>
      <c r="G9809">
        <v>15</v>
      </c>
      <c r="H9809">
        <f>_xlfn.XLOOKUP(FACT_IMPORTS[[#This Row],[hts_6]],DIM_PRODUCTS[hts_6],DIM_PRODUCTS[hts_4],,,)</f>
        <v>8408</v>
      </c>
      <c r="I9809" t="str" cm="1">
        <f t="array" ref="I9809">_xlfn.XLOOKUP(FACT_IMPORTS[[#This Row],[country_name]],DIM_COUNTRY[[#All],[Column2]],DIM_COUNTRY[[#All],[Column3]],,,)</f>
        <v>USMCA</v>
      </c>
    </row>
    <row r="9810" spans="1:9" x14ac:dyDescent="0.4">
      <c r="A9810" t="s">
        <v>64</v>
      </c>
      <c r="B9810" s="1">
        <v>45413</v>
      </c>
      <c r="C9810">
        <v>840991</v>
      </c>
      <c r="D9810" t="s">
        <v>176</v>
      </c>
      <c r="E9810">
        <v>823770</v>
      </c>
      <c r="F9810">
        <v>75564</v>
      </c>
      <c r="G9810">
        <v>3636</v>
      </c>
      <c r="H9810">
        <f>_xlfn.XLOOKUP(FACT_IMPORTS[[#This Row],[hts_6]],DIM_PRODUCTS[hts_6],DIM_PRODUCTS[hts_4],,,)</f>
        <v>8409</v>
      </c>
      <c r="I9810" t="str" cm="1">
        <f t="array" ref="I9810">_xlfn.XLOOKUP(FACT_IMPORTS[[#This Row],[country_name]],DIM_COUNTRY[[#All],[Column2]],DIM_COUNTRY[[#All],[Column3]],,,)</f>
        <v>USMCA</v>
      </c>
    </row>
    <row r="9811" spans="1:9" x14ac:dyDescent="0.4">
      <c r="A9811" t="s">
        <v>64</v>
      </c>
      <c r="B9811" s="1">
        <v>45413</v>
      </c>
      <c r="C9811">
        <v>840999</v>
      </c>
      <c r="D9811" t="s">
        <v>176</v>
      </c>
      <c r="E9811">
        <v>41087</v>
      </c>
      <c r="F9811">
        <v>862</v>
      </c>
      <c r="G9811">
        <v>647</v>
      </c>
      <c r="H9811">
        <f>_xlfn.XLOOKUP(FACT_IMPORTS[[#This Row],[hts_6]],DIM_PRODUCTS[hts_6],DIM_PRODUCTS[hts_4],,,)</f>
        <v>8409</v>
      </c>
      <c r="I9811" t="str" cm="1">
        <f t="array" ref="I9811">_xlfn.XLOOKUP(FACT_IMPORTS[[#This Row],[country_name]],DIM_COUNTRY[[#All],[Column2]],DIM_COUNTRY[[#All],[Column3]],,,)</f>
        <v>USMCA</v>
      </c>
    </row>
    <row r="9812" spans="1:9" x14ac:dyDescent="0.4">
      <c r="A9812" t="s">
        <v>64</v>
      </c>
      <c r="B9812" s="1">
        <v>45413</v>
      </c>
      <c r="C9812">
        <v>841330</v>
      </c>
      <c r="D9812" t="s">
        <v>176</v>
      </c>
      <c r="E9812">
        <v>56143</v>
      </c>
      <c r="F9812">
        <v>51</v>
      </c>
      <c r="G9812">
        <v>73</v>
      </c>
      <c r="H9812">
        <f>_xlfn.XLOOKUP(FACT_IMPORTS[[#This Row],[hts_6]],DIM_PRODUCTS[hts_6],DIM_PRODUCTS[hts_4],,,)</f>
        <v>8413</v>
      </c>
      <c r="I9812" t="str" cm="1">
        <f t="array" ref="I9812">_xlfn.XLOOKUP(FACT_IMPORTS[[#This Row],[country_name]],DIM_COUNTRY[[#All],[Column2]],DIM_COUNTRY[[#All],[Column3]],,,)</f>
        <v>USMCA</v>
      </c>
    </row>
    <row r="9813" spans="1:9" x14ac:dyDescent="0.4">
      <c r="A9813" t="s">
        <v>64</v>
      </c>
      <c r="B9813" s="1">
        <v>45413</v>
      </c>
      <c r="C9813">
        <v>842132</v>
      </c>
      <c r="D9813" t="s">
        <v>176</v>
      </c>
      <c r="E9813">
        <v>250282</v>
      </c>
      <c r="F9813">
        <v>1082</v>
      </c>
      <c r="G9813">
        <v>1267</v>
      </c>
      <c r="H9813">
        <f>_xlfn.XLOOKUP(FACT_IMPORTS[[#This Row],[hts_6]],DIM_PRODUCTS[hts_6],DIM_PRODUCTS[hts_4],,,)</f>
        <v>8421</v>
      </c>
      <c r="I9813" t="str" cm="1">
        <f t="array" ref="I9813">_xlfn.XLOOKUP(FACT_IMPORTS[[#This Row],[country_name]],DIM_COUNTRY[[#All],[Column2]],DIM_COUNTRY[[#All],[Column3]],,,)</f>
        <v>USMCA</v>
      </c>
    </row>
    <row r="9814" spans="1:9" x14ac:dyDescent="0.4">
      <c r="A9814" t="s">
        <v>64</v>
      </c>
      <c r="B9814" s="1">
        <v>45413</v>
      </c>
      <c r="C9814">
        <v>848210</v>
      </c>
      <c r="D9814" t="s">
        <v>176</v>
      </c>
      <c r="E9814">
        <v>0</v>
      </c>
      <c r="F9814">
        <v>0</v>
      </c>
      <c r="G9814">
        <v>0</v>
      </c>
      <c r="H9814">
        <f>_xlfn.XLOOKUP(FACT_IMPORTS[[#This Row],[hts_6]],DIM_PRODUCTS[hts_6],DIM_PRODUCTS[hts_4],,,)</f>
        <v>8482</v>
      </c>
      <c r="I9814" t="str" cm="1">
        <f t="array" ref="I9814">_xlfn.XLOOKUP(FACT_IMPORTS[[#This Row],[country_name]],DIM_COUNTRY[[#All],[Column2]],DIM_COUNTRY[[#All],[Column3]],,,)</f>
        <v>USMCA</v>
      </c>
    </row>
    <row r="9815" spans="1:9" x14ac:dyDescent="0.4">
      <c r="A9815" t="s">
        <v>64</v>
      </c>
      <c r="B9815" s="1">
        <v>45413</v>
      </c>
      <c r="C9815">
        <v>848220</v>
      </c>
      <c r="D9815" t="s">
        <v>176</v>
      </c>
      <c r="E9815">
        <v>0</v>
      </c>
      <c r="F9815">
        <v>0</v>
      </c>
      <c r="G9815">
        <v>0</v>
      </c>
      <c r="H9815">
        <f>_xlfn.XLOOKUP(FACT_IMPORTS[[#This Row],[hts_6]],DIM_PRODUCTS[hts_6],DIM_PRODUCTS[hts_4],,,)</f>
        <v>8482</v>
      </c>
      <c r="I9815" t="str" cm="1">
        <f t="array" ref="I9815">_xlfn.XLOOKUP(FACT_IMPORTS[[#This Row],[country_name]],DIM_COUNTRY[[#All],[Column2]],DIM_COUNTRY[[#All],[Column3]],,,)</f>
        <v>USMCA</v>
      </c>
    </row>
    <row r="9816" spans="1:9" x14ac:dyDescent="0.4">
      <c r="A9816" t="s">
        <v>64</v>
      </c>
      <c r="B9816" s="1">
        <v>45413</v>
      </c>
      <c r="C9816">
        <v>848310</v>
      </c>
      <c r="D9816" t="s">
        <v>176</v>
      </c>
      <c r="E9816">
        <v>0</v>
      </c>
      <c r="F9816">
        <v>0</v>
      </c>
      <c r="G9816">
        <v>0</v>
      </c>
      <c r="H9816">
        <f>_xlfn.XLOOKUP(FACT_IMPORTS[[#This Row],[hts_6]],DIM_PRODUCTS[hts_6],DIM_PRODUCTS[hts_4],,,)</f>
        <v>8483</v>
      </c>
      <c r="I9816" t="str" cm="1">
        <f t="array" ref="I9816">_xlfn.XLOOKUP(FACT_IMPORTS[[#This Row],[country_name]],DIM_COUNTRY[[#All],[Column2]],DIM_COUNTRY[[#All],[Column3]],,,)</f>
        <v>USMCA</v>
      </c>
    </row>
    <row r="9817" spans="1:9" x14ac:dyDescent="0.4">
      <c r="A9817" t="s">
        <v>64</v>
      </c>
      <c r="B9817" s="1">
        <v>45413</v>
      </c>
      <c r="C9817">
        <v>850131</v>
      </c>
      <c r="D9817" t="s">
        <v>176</v>
      </c>
      <c r="E9817">
        <v>38703</v>
      </c>
      <c r="F9817">
        <v>165</v>
      </c>
      <c r="G9817">
        <v>540</v>
      </c>
      <c r="H9817">
        <f>_xlfn.XLOOKUP(FACT_IMPORTS[[#This Row],[hts_6]],DIM_PRODUCTS[hts_6],DIM_PRODUCTS[hts_4],,,)</f>
        <v>8501</v>
      </c>
      <c r="I9817" t="str" cm="1">
        <f t="array" ref="I9817">_xlfn.XLOOKUP(FACT_IMPORTS[[#This Row],[country_name]],DIM_COUNTRY[[#All],[Column2]],DIM_COUNTRY[[#All],[Column3]],,,)</f>
        <v>USMCA</v>
      </c>
    </row>
    <row r="9818" spans="1:9" x14ac:dyDescent="0.4">
      <c r="A9818" t="s">
        <v>64</v>
      </c>
      <c r="B9818" s="1">
        <v>45413</v>
      </c>
      <c r="C9818">
        <v>850132</v>
      </c>
      <c r="D9818" t="s">
        <v>176</v>
      </c>
      <c r="E9818">
        <v>7005</v>
      </c>
      <c r="F9818">
        <v>22</v>
      </c>
      <c r="G9818">
        <v>554</v>
      </c>
      <c r="H9818">
        <f>_xlfn.XLOOKUP(FACT_IMPORTS[[#This Row],[hts_6]],DIM_PRODUCTS[hts_6],DIM_PRODUCTS[hts_4],,,)</f>
        <v>8501</v>
      </c>
      <c r="I9818" t="str" cm="1">
        <f t="array" ref="I9818">_xlfn.XLOOKUP(FACT_IMPORTS[[#This Row],[country_name]],DIM_COUNTRY[[#All],[Column2]],DIM_COUNTRY[[#All],[Column3]],,,)</f>
        <v>USMCA</v>
      </c>
    </row>
    <row r="9819" spans="1:9" x14ac:dyDescent="0.4">
      <c r="A9819" t="s">
        <v>64</v>
      </c>
      <c r="B9819" s="1">
        <v>45413</v>
      </c>
      <c r="C9819">
        <v>850133</v>
      </c>
      <c r="D9819" t="s">
        <v>176</v>
      </c>
      <c r="E9819">
        <v>0</v>
      </c>
      <c r="F9819">
        <v>0</v>
      </c>
      <c r="G9819">
        <v>0</v>
      </c>
      <c r="H9819">
        <f>_xlfn.XLOOKUP(FACT_IMPORTS[[#This Row],[hts_6]],DIM_PRODUCTS[hts_6],DIM_PRODUCTS[hts_4],,,)</f>
        <v>8501</v>
      </c>
      <c r="I9819" t="str" cm="1">
        <f t="array" ref="I9819">_xlfn.XLOOKUP(FACT_IMPORTS[[#This Row],[country_name]],DIM_COUNTRY[[#All],[Column2]],DIM_COUNTRY[[#All],[Column3]],,,)</f>
        <v>USMCA</v>
      </c>
    </row>
    <row r="9820" spans="1:9" x14ac:dyDescent="0.4">
      <c r="A9820" t="s">
        <v>64</v>
      </c>
      <c r="B9820" s="1">
        <v>45413</v>
      </c>
      <c r="C9820">
        <v>850152</v>
      </c>
      <c r="D9820" t="s">
        <v>176</v>
      </c>
      <c r="E9820">
        <v>51222</v>
      </c>
      <c r="F9820">
        <v>19</v>
      </c>
      <c r="G9820">
        <v>1371</v>
      </c>
      <c r="H9820">
        <f>_xlfn.XLOOKUP(FACT_IMPORTS[[#This Row],[hts_6]],DIM_PRODUCTS[hts_6],DIM_PRODUCTS[hts_4],,,)</f>
        <v>8501</v>
      </c>
      <c r="I9820" t="str" cm="1">
        <f t="array" ref="I9820">_xlfn.XLOOKUP(FACT_IMPORTS[[#This Row],[country_name]],DIM_COUNTRY[[#All],[Column2]],DIM_COUNTRY[[#All],[Column3]],,,)</f>
        <v>USMCA</v>
      </c>
    </row>
    <row r="9821" spans="1:9" x14ac:dyDescent="0.4">
      <c r="A9821" t="s">
        <v>64</v>
      </c>
      <c r="B9821" s="1">
        <v>45413</v>
      </c>
      <c r="C9821">
        <v>850153</v>
      </c>
      <c r="D9821" t="s">
        <v>176</v>
      </c>
      <c r="E9821">
        <v>49557</v>
      </c>
      <c r="F9821">
        <v>17</v>
      </c>
      <c r="G9821">
        <v>203</v>
      </c>
      <c r="H9821">
        <f>_xlfn.XLOOKUP(FACT_IMPORTS[[#This Row],[hts_6]],DIM_PRODUCTS[hts_6],DIM_PRODUCTS[hts_4],,,)</f>
        <v>8501</v>
      </c>
      <c r="I9821" t="str" cm="1">
        <f t="array" ref="I9821">_xlfn.XLOOKUP(FACT_IMPORTS[[#This Row],[country_name]],DIM_COUNTRY[[#All],[Column2]],DIM_COUNTRY[[#All],[Column3]],,,)</f>
        <v>USMCA</v>
      </c>
    </row>
    <row r="9822" spans="1:9" x14ac:dyDescent="0.4">
      <c r="A9822" t="s">
        <v>64</v>
      </c>
      <c r="B9822" s="1">
        <v>45413</v>
      </c>
      <c r="C9822">
        <v>850161</v>
      </c>
      <c r="D9822" t="s">
        <v>176</v>
      </c>
      <c r="E9822">
        <v>0</v>
      </c>
      <c r="F9822">
        <v>0</v>
      </c>
      <c r="G9822">
        <v>0</v>
      </c>
      <c r="H9822">
        <f>_xlfn.XLOOKUP(FACT_IMPORTS[[#This Row],[hts_6]],DIM_PRODUCTS[hts_6],DIM_PRODUCTS[hts_4],,,)</f>
        <v>8501</v>
      </c>
      <c r="I9822" t="str" cm="1">
        <f t="array" ref="I9822">_xlfn.XLOOKUP(FACT_IMPORTS[[#This Row],[country_name]],DIM_COUNTRY[[#All],[Column2]],DIM_COUNTRY[[#All],[Column3]],,,)</f>
        <v>USMCA</v>
      </c>
    </row>
    <row r="9823" spans="1:9" x14ac:dyDescent="0.4">
      <c r="A9823" t="s">
        <v>64</v>
      </c>
      <c r="B9823" s="1">
        <v>45413</v>
      </c>
      <c r="C9823">
        <v>850440</v>
      </c>
      <c r="D9823" t="s">
        <v>176</v>
      </c>
      <c r="E9823">
        <v>119784</v>
      </c>
      <c r="F9823">
        <v>2353</v>
      </c>
      <c r="G9823">
        <v>5160</v>
      </c>
      <c r="H9823">
        <f>_xlfn.XLOOKUP(FACT_IMPORTS[[#This Row],[hts_6]],DIM_PRODUCTS[hts_6],DIM_PRODUCTS[hts_4],,,)</f>
        <v>8504</v>
      </c>
      <c r="I9823" t="str" cm="1">
        <f t="array" ref="I9823">_xlfn.XLOOKUP(FACT_IMPORTS[[#This Row],[country_name]],DIM_COUNTRY[[#All],[Column2]],DIM_COUNTRY[[#All],[Column3]],,,)</f>
        <v>USMCA</v>
      </c>
    </row>
    <row r="9824" spans="1:9" x14ac:dyDescent="0.4">
      <c r="A9824" t="s">
        <v>64</v>
      </c>
      <c r="B9824" s="1">
        <v>45413</v>
      </c>
      <c r="C9824">
        <v>850710</v>
      </c>
      <c r="D9824" t="s">
        <v>176</v>
      </c>
      <c r="E9824">
        <v>0</v>
      </c>
      <c r="F9824">
        <v>0</v>
      </c>
      <c r="G9824">
        <v>0</v>
      </c>
      <c r="H9824">
        <f>_xlfn.XLOOKUP(FACT_IMPORTS[[#This Row],[hts_6]],DIM_PRODUCTS[hts_6],DIM_PRODUCTS[hts_4],,,)</f>
        <v>8507</v>
      </c>
      <c r="I9824" t="str" cm="1">
        <f t="array" ref="I9824">_xlfn.XLOOKUP(FACT_IMPORTS[[#This Row],[country_name]],DIM_COUNTRY[[#All],[Column2]],DIM_COUNTRY[[#All],[Column3]],,,)</f>
        <v>USMCA</v>
      </c>
    </row>
    <row r="9825" spans="1:9" x14ac:dyDescent="0.4">
      <c r="A9825" t="s">
        <v>64</v>
      </c>
      <c r="B9825" s="1">
        <v>45413</v>
      </c>
      <c r="C9825">
        <v>850760</v>
      </c>
      <c r="D9825" t="s">
        <v>176</v>
      </c>
      <c r="E9825">
        <v>0</v>
      </c>
      <c r="F9825">
        <v>0</v>
      </c>
      <c r="G9825">
        <v>0</v>
      </c>
      <c r="H9825">
        <f>_xlfn.XLOOKUP(FACT_IMPORTS[[#This Row],[hts_6]],DIM_PRODUCTS[hts_6],DIM_PRODUCTS[hts_4],,,)</f>
        <v>8507</v>
      </c>
      <c r="I9825" t="str" cm="1">
        <f t="array" ref="I9825">_xlfn.XLOOKUP(FACT_IMPORTS[[#This Row],[country_name]],DIM_COUNTRY[[#All],[Column2]],DIM_COUNTRY[[#All],[Column3]],,,)</f>
        <v>USMCA</v>
      </c>
    </row>
    <row r="9826" spans="1:9" x14ac:dyDescent="0.4">
      <c r="A9826" t="s">
        <v>64</v>
      </c>
      <c r="B9826" s="1">
        <v>45413</v>
      </c>
      <c r="C9826">
        <v>851110</v>
      </c>
      <c r="D9826" t="s">
        <v>176</v>
      </c>
      <c r="E9826">
        <v>0</v>
      </c>
      <c r="F9826">
        <v>0</v>
      </c>
      <c r="G9826">
        <v>0</v>
      </c>
      <c r="H9826">
        <f>_xlfn.XLOOKUP(FACT_IMPORTS[[#This Row],[hts_6]],DIM_PRODUCTS[hts_6],DIM_PRODUCTS[hts_4],,,)</f>
        <v>8511</v>
      </c>
      <c r="I9826" t="str" cm="1">
        <f t="array" ref="I9826">_xlfn.XLOOKUP(FACT_IMPORTS[[#This Row],[country_name]],DIM_COUNTRY[[#All],[Column2]],DIM_COUNTRY[[#All],[Column3]],,,)</f>
        <v>USMCA</v>
      </c>
    </row>
    <row r="9827" spans="1:9" x14ac:dyDescent="0.4">
      <c r="A9827" t="s">
        <v>64</v>
      </c>
      <c r="B9827" s="1">
        <v>45413</v>
      </c>
      <c r="C9827">
        <v>851120</v>
      </c>
      <c r="D9827" t="s">
        <v>176</v>
      </c>
      <c r="E9827">
        <v>0</v>
      </c>
      <c r="F9827">
        <v>0</v>
      </c>
      <c r="G9827">
        <v>0</v>
      </c>
      <c r="H9827">
        <f>_xlfn.XLOOKUP(FACT_IMPORTS[[#This Row],[hts_6]],DIM_PRODUCTS[hts_6],DIM_PRODUCTS[hts_4],,,)</f>
        <v>8511</v>
      </c>
      <c r="I9827" t="str" cm="1">
        <f t="array" ref="I9827">_xlfn.XLOOKUP(FACT_IMPORTS[[#This Row],[country_name]],DIM_COUNTRY[[#All],[Column2]],DIM_COUNTRY[[#All],[Column3]],,,)</f>
        <v>USMCA</v>
      </c>
    </row>
    <row r="9828" spans="1:9" x14ac:dyDescent="0.4">
      <c r="A9828" t="s">
        <v>64</v>
      </c>
      <c r="B9828" s="1">
        <v>45413</v>
      </c>
      <c r="C9828">
        <v>851140</v>
      </c>
      <c r="D9828" t="s">
        <v>176</v>
      </c>
      <c r="E9828">
        <v>5187</v>
      </c>
      <c r="F9828">
        <v>42</v>
      </c>
      <c r="G9828">
        <v>7</v>
      </c>
      <c r="H9828">
        <f>_xlfn.XLOOKUP(FACT_IMPORTS[[#This Row],[hts_6]],DIM_PRODUCTS[hts_6],DIM_PRODUCTS[hts_4],,,)</f>
        <v>8511</v>
      </c>
      <c r="I9828" t="str" cm="1">
        <f t="array" ref="I9828">_xlfn.XLOOKUP(FACT_IMPORTS[[#This Row],[country_name]],DIM_COUNTRY[[#All],[Column2]],DIM_COUNTRY[[#All],[Column3]],,,)</f>
        <v>USMCA</v>
      </c>
    </row>
    <row r="9829" spans="1:9" x14ac:dyDescent="0.4">
      <c r="A9829" t="s">
        <v>64</v>
      </c>
      <c r="B9829" s="1">
        <v>45413</v>
      </c>
      <c r="C9829">
        <v>851150</v>
      </c>
      <c r="D9829" t="s">
        <v>176</v>
      </c>
      <c r="E9829">
        <v>8711</v>
      </c>
      <c r="F9829">
        <v>44</v>
      </c>
      <c r="G9829">
        <v>279</v>
      </c>
      <c r="H9829">
        <f>_xlfn.XLOOKUP(FACT_IMPORTS[[#This Row],[hts_6]],DIM_PRODUCTS[hts_6],DIM_PRODUCTS[hts_4],,,)</f>
        <v>8511</v>
      </c>
      <c r="I9829" t="str" cm="1">
        <f t="array" ref="I9829">_xlfn.XLOOKUP(FACT_IMPORTS[[#This Row],[country_name]],DIM_COUNTRY[[#All],[Column2]],DIM_COUNTRY[[#All],[Column3]],,,)</f>
        <v>USMCA</v>
      </c>
    </row>
    <row r="9830" spans="1:9" x14ac:dyDescent="0.4">
      <c r="A9830" t="s">
        <v>64</v>
      </c>
      <c r="B9830" s="1">
        <v>45413</v>
      </c>
      <c r="C9830">
        <v>851180</v>
      </c>
      <c r="D9830" t="s">
        <v>176</v>
      </c>
      <c r="E9830">
        <v>7165</v>
      </c>
      <c r="F9830">
        <v>224</v>
      </c>
      <c r="G9830">
        <v>2</v>
      </c>
      <c r="H9830">
        <f>_xlfn.XLOOKUP(FACT_IMPORTS[[#This Row],[hts_6]],DIM_PRODUCTS[hts_6],DIM_PRODUCTS[hts_4],,,)</f>
        <v>8511</v>
      </c>
      <c r="I9830" t="str" cm="1">
        <f t="array" ref="I9830">_xlfn.XLOOKUP(FACT_IMPORTS[[#This Row],[country_name]],DIM_COUNTRY[[#All],[Column2]],DIM_COUNTRY[[#All],[Column3]],,,)</f>
        <v>USMCA</v>
      </c>
    </row>
    <row r="9831" spans="1:9" x14ac:dyDescent="0.4">
      <c r="A9831" t="s">
        <v>64</v>
      </c>
      <c r="B9831" s="1">
        <v>45413</v>
      </c>
      <c r="C9831">
        <v>851190</v>
      </c>
      <c r="D9831" t="s">
        <v>176</v>
      </c>
      <c r="E9831">
        <v>0</v>
      </c>
      <c r="F9831">
        <v>0</v>
      </c>
      <c r="G9831">
        <v>0</v>
      </c>
      <c r="H9831">
        <f>_xlfn.XLOOKUP(FACT_IMPORTS[[#This Row],[hts_6]],DIM_PRODUCTS[hts_6],DIM_PRODUCTS[hts_4],,,)</f>
        <v>8511</v>
      </c>
      <c r="I9831" t="str" cm="1">
        <f t="array" ref="I9831">_xlfn.XLOOKUP(FACT_IMPORTS[[#This Row],[country_name]],DIM_COUNTRY[[#All],[Column2]],DIM_COUNTRY[[#All],[Column3]],,,)</f>
        <v>USMCA</v>
      </c>
    </row>
    <row r="9832" spans="1:9" x14ac:dyDescent="0.4">
      <c r="A9832" t="s">
        <v>64</v>
      </c>
      <c r="B9832" s="1">
        <v>45413</v>
      </c>
      <c r="C9832">
        <v>851220</v>
      </c>
      <c r="D9832" t="s">
        <v>176</v>
      </c>
      <c r="E9832">
        <v>16039</v>
      </c>
      <c r="F9832">
        <v>4838</v>
      </c>
      <c r="G9832">
        <v>67</v>
      </c>
      <c r="H9832">
        <f>_xlfn.XLOOKUP(FACT_IMPORTS[[#This Row],[hts_6]],DIM_PRODUCTS[hts_6],DIM_PRODUCTS[hts_4],,,)</f>
        <v>8512</v>
      </c>
      <c r="I9832" t="str" cm="1">
        <f t="array" ref="I9832">_xlfn.XLOOKUP(FACT_IMPORTS[[#This Row],[country_name]],DIM_COUNTRY[[#All],[Column2]],DIM_COUNTRY[[#All],[Column3]],,,)</f>
        <v>USMCA</v>
      </c>
    </row>
    <row r="9833" spans="1:9" x14ac:dyDescent="0.4">
      <c r="A9833" t="s">
        <v>64</v>
      </c>
      <c r="B9833" s="1">
        <v>45413</v>
      </c>
      <c r="C9833">
        <v>851230</v>
      </c>
      <c r="D9833" t="s">
        <v>176</v>
      </c>
      <c r="E9833">
        <v>0</v>
      </c>
      <c r="F9833">
        <v>0</v>
      </c>
      <c r="G9833">
        <v>0</v>
      </c>
      <c r="H9833">
        <f>_xlfn.XLOOKUP(FACT_IMPORTS[[#This Row],[hts_6]],DIM_PRODUCTS[hts_6],DIM_PRODUCTS[hts_4],,,)</f>
        <v>8512</v>
      </c>
      <c r="I9833" t="str" cm="1">
        <f t="array" ref="I9833">_xlfn.XLOOKUP(FACT_IMPORTS[[#This Row],[country_name]],DIM_COUNTRY[[#All],[Column2]],DIM_COUNTRY[[#All],[Column3]],,,)</f>
        <v>USMCA</v>
      </c>
    </row>
    <row r="9834" spans="1:9" x14ac:dyDescent="0.4">
      <c r="A9834" t="s">
        <v>64</v>
      </c>
      <c r="B9834" s="1">
        <v>45413</v>
      </c>
      <c r="C9834">
        <v>851290</v>
      </c>
      <c r="D9834" t="s">
        <v>176</v>
      </c>
      <c r="E9834">
        <v>0</v>
      </c>
      <c r="F9834">
        <v>0</v>
      </c>
      <c r="G9834">
        <v>0</v>
      </c>
      <c r="H9834">
        <f>_xlfn.XLOOKUP(FACT_IMPORTS[[#This Row],[hts_6]],DIM_PRODUCTS[hts_6],DIM_PRODUCTS[hts_4],,,)</f>
        <v>8512</v>
      </c>
      <c r="I9834" t="str" cm="1">
        <f t="array" ref="I9834">_xlfn.XLOOKUP(FACT_IMPORTS[[#This Row],[country_name]],DIM_COUNTRY[[#All],[Column2]],DIM_COUNTRY[[#All],[Column3]],,,)</f>
        <v>USMCA</v>
      </c>
    </row>
    <row r="9835" spans="1:9" x14ac:dyDescent="0.4">
      <c r="A9835" t="s">
        <v>64</v>
      </c>
      <c r="B9835" s="1">
        <v>45413</v>
      </c>
      <c r="C9835">
        <v>854231</v>
      </c>
      <c r="D9835" t="s">
        <v>176</v>
      </c>
      <c r="E9835">
        <v>0</v>
      </c>
      <c r="F9835">
        <v>0</v>
      </c>
      <c r="G9835">
        <v>0</v>
      </c>
      <c r="H9835">
        <f>_xlfn.XLOOKUP(FACT_IMPORTS[[#This Row],[hts_6]],DIM_PRODUCTS[hts_6],DIM_PRODUCTS[hts_4],,,)</f>
        <v>8542</v>
      </c>
      <c r="I9835" t="str" cm="1">
        <f t="array" ref="I9835">_xlfn.XLOOKUP(FACT_IMPORTS[[#This Row],[country_name]],DIM_COUNTRY[[#All],[Column2]],DIM_COUNTRY[[#All],[Column3]],,,)</f>
        <v>USMCA</v>
      </c>
    </row>
    <row r="9836" spans="1:9" x14ac:dyDescent="0.4">
      <c r="A9836" t="s">
        <v>64</v>
      </c>
      <c r="B9836" s="1">
        <v>45413</v>
      </c>
      <c r="C9836">
        <v>854239</v>
      </c>
      <c r="D9836" t="s">
        <v>176</v>
      </c>
      <c r="E9836">
        <v>0</v>
      </c>
      <c r="F9836">
        <v>0</v>
      </c>
      <c r="G9836">
        <v>0</v>
      </c>
      <c r="H9836">
        <f>_xlfn.XLOOKUP(FACT_IMPORTS[[#This Row],[hts_6]],DIM_PRODUCTS[hts_6],DIM_PRODUCTS[hts_4],,,)</f>
        <v>8542</v>
      </c>
      <c r="I9836" t="str" cm="1">
        <f t="array" ref="I9836">_xlfn.XLOOKUP(FACT_IMPORTS[[#This Row],[country_name]],DIM_COUNTRY[[#All],[Column2]],DIM_COUNTRY[[#All],[Column3]],,,)</f>
        <v>USMCA</v>
      </c>
    </row>
    <row r="9837" spans="1:9" x14ac:dyDescent="0.4">
      <c r="A9837" t="s">
        <v>64</v>
      </c>
      <c r="B9837" s="1">
        <v>45413</v>
      </c>
      <c r="C9837">
        <v>854290</v>
      </c>
      <c r="D9837" t="s">
        <v>176</v>
      </c>
      <c r="E9837">
        <v>11592</v>
      </c>
      <c r="F9837">
        <v>14</v>
      </c>
      <c r="G9837">
        <v>9</v>
      </c>
      <c r="H9837">
        <f>_xlfn.XLOOKUP(FACT_IMPORTS[[#This Row],[hts_6]],DIM_PRODUCTS[hts_6],DIM_PRODUCTS[hts_4],,,)</f>
        <v>8542</v>
      </c>
      <c r="I9837" t="str" cm="1">
        <f t="array" ref="I9837">_xlfn.XLOOKUP(FACT_IMPORTS[[#This Row],[country_name]],DIM_COUNTRY[[#All],[Column2]],DIM_COUNTRY[[#All],[Column3]],,,)</f>
        <v>USMCA</v>
      </c>
    </row>
    <row r="9838" spans="1:9" x14ac:dyDescent="0.4">
      <c r="A9838" t="s">
        <v>64</v>
      </c>
      <c r="B9838" s="1">
        <v>45413</v>
      </c>
      <c r="C9838">
        <v>854430</v>
      </c>
      <c r="D9838" t="s">
        <v>176</v>
      </c>
      <c r="E9838">
        <v>410287</v>
      </c>
      <c r="F9838">
        <v>50658</v>
      </c>
      <c r="G9838">
        <v>7373</v>
      </c>
      <c r="H9838">
        <f>_xlfn.XLOOKUP(FACT_IMPORTS[[#This Row],[hts_6]],DIM_PRODUCTS[hts_6],DIM_PRODUCTS[hts_4],,,)</f>
        <v>8544</v>
      </c>
      <c r="I9838" t="str" cm="1">
        <f t="array" ref="I9838">_xlfn.XLOOKUP(FACT_IMPORTS[[#This Row],[country_name]],DIM_COUNTRY[[#All],[Column2]],DIM_COUNTRY[[#All],[Column3]],,,)</f>
        <v>USMCA</v>
      </c>
    </row>
    <row r="9839" spans="1:9" x14ac:dyDescent="0.4">
      <c r="A9839" t="s">
        <v>64</v>
      </c>
      <c r="B9839" s="1">
        <v>45413</v>
      </c>
      <c r="C9839">
        <v>870810</v>
      </c>
      <c r="D9839" t="s">
        <v>176</v>
      </c>
      <c r="E9839">
        <v>6734</v>
      </c>
      <c r="F9839">
        <v>25</v>
      </c>
      <c r="G9839">
        <v>14</v>
      </c>
      <c r="H9839">
        <f>_xlfn.XLOOKUP(FACT_IMPORTS[[#This Row],[hts_6]],DIM_PRODUCTS[hts_6],DIM_PRODUCTS[hts_4],,,)</f>
        <v>8708</v>
      </c>
      <c r="I9839" t="str" cm="1">
        <f t="array" ref="I9839">_xlfn.XLOOKUP(FACT_IMPORTS[[#This Row],[country_name]],DIM_COUNTRY[[#All],[Column2]],DIM_COUNTRY[[#All],[Column3]],,,)</f>
        <v>USMCA</v>
      </c>
    </row>
    <row r="9840" spans="1:9" x14ac:dyDescent="0.4">
      <c r="A9840" t="s">
        <v>64</v>
      </c>
      <c r="B9840" s="1">
        <v>45413</v>
      </c>
      <c r="C9840">
        <v>870822</v>
      </c>
      <c r="D9840" t="s">
        <v>176</v>
      </c>
      <c r="E9840">
        <v>0</v>
      </c>
      <c r="F9840">
        <v>0</v>
      </c>
      <c r="G9840">
        <v>0</v>
      </c>
      <c r="H9840">
        <f>_xlfn.XLOOKUP(FACT_IMPORTS[[#This Row],[hts_6]],DIM_PRODUCTS[hts_6],DIM_PRODUCTS[hts_4],,,)</f>
        <v>8708</v>
      </c>
      <c r="I9840" t="str" cm="1">
        <f t="array" ref="I9840">_xlfn.XLOOKUP(FACT_IMPORTS[[#This Row],[country_name]],DIM_COUNTRY[[#All],[Column2]],DIM_COUNTRY[[#All],[Column3]],,,)</f>
        <v>USMCA</v>
      </c>
    </row>
    <row r="9841" spans="1:9" x14ac:dyDescent="0.4">
      <c r="A9841" t="s">
        <v>64</v>
      </c>
      <c r="B9841" s="1">
        <v>45413</v>
      </c>
      <c r="C9841">
        <v>870829</v>
      </c>
      <c r="D9841" t="s">
        <v>176</v>
      </c>
      <c r="E9841">
        <v>774564</v>
      </c>
      <c r="F9841">
        <v>26288</v>
      </c>
      <c r="G9841">
        <v>26801</v>
      </c>
      <c r="H9841">
        <f>_xlfn.XLOOKUP(FACT_IMPORTS[[#This Row],[hts_6]],DIM_PRODUCTS[hts_6],DIM_PRODUCTS[hts_4],,,)</f>
        <v>8708</v>
      </c>
      <c r="I9841" t="str" cm="1">
        <f t="array" ref="I9841">_xlfn.XLOOKUP(FACT_IMPORTS[[#This Row],[country_name]],DIM_COUNTRY[[#All],[Column2]],DIM_COUNTRY[[#All],[Column3]],,,)</f>
        <v>USMCA</v>
      </c>
    </row>
    <row r="9842" spans="1:9" x14ac:dyDescent="0.4">
      <c r="A9842" t="s">
        <v>64</v>
      </c>
      <c r="B9842" s="1">
        <v>45413</v>
      </c>
      <c r="C9842">
        <v>870830</v>
      </c>
      <c r="D9842" t="s">
        <v>176</v>
      </c>
      <c r="E9842">
        <v>834739</v>
      </c>
      <c r="F9842">
        <v>15420</v>
      </c>
      <c r="G9842">
        <v>3984</v>
      </c>
      <c r="H9842">
        <f>_xlfn.XLOOKUP(FACT_IMPORTS[[#This Row],[hts_6]],DIM_PRODUCTS[hts_6],DIM_PRODUCTS[hts_4],,,)</f>
        <v>8708</v>
      </c>
      <c r="I9842" t="str" cm="1">
        <f t="array" ref="I9842">_xlfn.XLOOKUP(FACT_IMPORTS[[#This Row],[country_name]],DIM_COUNTRY[[#All],[Column2]],DIM_COUNTRY[[#All],[Column3]],,,)</f>
        <v>USMCA</v>
      </c>
    </row>
    <row r="9843" spans="1:9" x14ac:dyDescent="0.4">
      <c r="A9843" t="s">
        <v>64</v>
      </c>
      <c r="B9843" s="1">
        <v>45413</v>
      </c>
      <c r="C9843">
        <v>870840</v>
      </c>
      <c r="D9843" t="s">
        <v>176</v>
      </c>
      <c r="E9843">
        <v>117359</v>
      </c>
      <c r="F9843">
        <v>123</v>
      </c>
      <c r="G9843">
        <v>358</v>
      </c>
      <c r="H9843">
        <f>_xlfn.XLOOKUP(FACT_IMPORTS[[#This Row],[hts_6]],DIM_PRODUCTS[hts_6],DIM_PRODUCTS[hts_4],,,)</f>
        <v>8708</v>
      </c>
      <c r="I9843" t="str" cm="1">
        <f t="array" ref="I9843">_xlfn.XLOOKUP(FACT_IMPORTS[[#This Row],[country_name]],DIM_COUNTRY[[#All],[Column2]],DIM_COUNTRY[[#All],[Column3]],,,)</f>
        <v>USMCA</v>
      </c>
    </row>
    <row r="9844" spans="1:9" x14ac:dyDescent="0.4">
      <c r="A9844" t="s">
        <v>64</v>
      </c>
      <c r="B9844" s="1">
        <v>45413</v>
      </c>
      <c r="C9844">
        <v>870850</v>
      </c>
      <c r="D9844" t="s">
        <v>176</v>
      </c>
      <c r="E9844">
        <v>13740</v>
      </c>
      <c r="F9844">
        <v>80</v>
      </c>
      <c r="G9844">
        <v>487</v>
      </c>
      <c r="H9844">
        <f>_xlfn.XLOOKUP(FACT_IMPORTS[[#This Row],[hts_6]],DIM_PRODUCTS[hts_6],DIM_PRODUCTS[hts_4],,,)</f>
        <v>8708</v>
      </c>
      <c r="I9844" t="str" cm="1">
        <f t="array" ref="I9844">_xlfn.XLOOKUP(FACT_IMPORTS[[#This Row],[country_name]],DIM_COUNTRY[[#All],[Column2]],DIM_COUNTRY[[#All],[Column3]],,,)</f>
        <v>USMCA</v>
      </c>
    </row>
    <row r="9845" spans="1:9" x14ac:dyDescent="0.4">
      <c r="A9845" t="s">
        <v>64</v>
      </c>
      <c r="B9845" s="1">
        <v>45413</v>
      </c>
      <c r="C9845">
        <v>870870</v>
      </c>
      <c r="D9845" t="s">
        <v>176</v>
      </c>
      <c r="E9845">
        <v>46186</v>
      </c>
      <c r="F9845">
        <v>1017</v>
      </c>
      <c r="G9845">
        <v>897</v>
      </c>
      <c r="H9845">
        <f>_xlfn.XLOOKUP(FACT_IMPORTS[[#This Row],[hts_6]],DIM_PRODUCTS[hts_6],DIM_PRODUCTS[hts_4],,,)</f>
        <v>8708</v>
      </c>
      <c r="I9845" t="str" cm="1">
        <f t="array" ref="I9845">_xlfn.XLOOKUP(FACT_IMPORTS[[#This Row],[country_name]],DIM_COUNTRY[[#All],[Column2]],DIM_COUNTRY[[#All],[Column3]],,,)</f>
        <v>USMCA</v>
      </c>
    </row>
    <row r="9846" spans="1:9" x14ac:dyDescent="0.4">
      <c r="A9846" t="s">
        <v>64</v>
      </c>
      <c r="B9846" s="1">
        <v>45413</v>
      </c>
      <c r="C9846">
        <v>870880</v>
      </c>
      <c r="D9846" t="s">
        <v>176</v>
      </c>
      <c r="E9846">
        <v>14188</v>
      </c>
      <c r="F9846">
        <v>1390</v>
      </c>
      <c r="G9846">
        <v>265</v>
      </c>
      <c r="H9846">
        <f>_xlfn.XLOOKUP(FACT_IMPORTS[[#This Row],[hts_6]],DIM_PRODUCTS[hts_6],DIM_PRODUCTS[hts_4],,,)</f>
        <v>8708</v>
      </c>
      <c r="I9846" t="str" cm="1">
        <f t="array" ref="I9846">_xlfn.XLOOKUP(FACT_IMPORTS[[#This Row],[country_name]],DIM_COUNTRY[[#All],[Column2]],DIM_COUNTRY[[#All],[Column3]],,,)</f>
        <v>USMCA</v>
      </c>
    </row>
    <row r="9847" spans="1:9" x14ac:dyDescent="0.4">
      <c r="A9847" t="s">
        <v>64</v>
      </c>
      <c r="B9847" s="1">
        <v>45413</v>
      </c>
      <c r="C9847">
        <v>870891</v>
      </c>
      <c r="D9847" t="s">
        <v>176</v>
      </c>
      <c r="E9847">
        <v>12400</v>
      </c>
      <c r="F9847">
        <v>113</v>
      </c>
      <c r="G9847">
        <v>37</v>
      </c>
      <c r="H9847">
        <f>_xlfn.XLOOKUP(FACT_IMPORTS[[#This Row],[hts_6]],DIM_PRODUCTS[hts_6],DIM_PRODUCTS[hts_4],,,)</f>
        <v>8708</v>
      </c>
      <c r="I9847" t="str" cm="1">
        <f t="array" ref="I9847">_xlfn.XLOOKUP(FACT_IMPORTS[[#This Row],[country_name]],DIM_COUNTRY[[#All],[Column2]],DIM_COUNTRY[[#All],[Column3]],,,)</f>
        <v>USMCA</v>
      </c>
    </row>
    <row r="9848" spans="1:9" x14ac:dyDescent="0.4">
      <c r="A9848" t="s">
        <v>64</v>
      </c>
      <c r="B9848" s="1">
        <v>45413</v>
      </c>
      <c r="C9848">
        <v>870892</v>
      </c>
      <c r="D9848" t="s">
        <v>176</v>
      </c>
      <c r="E9848">
        <v>0</v>
      </c>
      <c r="F9848">
        <v>0</v>
      </c>
      <c r="G9848">
        <v>0</v>
      </c>
      <c r="H9848">
        <f>_xlfn.XLOOKUP(FACT_IMPORTS[[#This Row],[hts_6]],DIM_PRODUCTS[hts_6],DIM_PRODUCTS[hts_4],,,)</f>
        <v>8708</v>
      </c>
      <c r="I9848" t="str" cm="1">
        <f t="array" ref="I9848">_xlfn.XLOOKUP(FACT_IMPORTS[[#This Row],[country_name]],DIM_COUNTRY[[#All],[Column2]],DIM_COUNTRY[[#All],[Column3]],,,)</f>
        <v>USMCA</v>
      </c>
    </row>
    <row r="9849" spans="1:9" x14ac:dyDescent="0.4">
      <c r="A9849" t="s">
        <v>64</v>
      </c>
      <c r="B9849" s="1">
        <v>45413</v>
      </c>
      <c r="C9849">
        <v>870893</v>
      </c>
      <c r="D9849" t="s">
        <v>176</v>
      </c>
      <c r="E9849">
        <v>133893</v>
      </c>
      <c r="F9849">
        <v>3973</v>
      </c>
      <c r="G9849">
        <v>28534</v>
      </c>
      <c r="H9849">
        <f>_xlfn.XLOOKUP(FACT_IMPORTS[[#This Row],[hts_6]],DIM_PRODUCTS[hts_6],DIM_PRODUCTS[hts_4],,,)</f>
        <v>8708</v>
      </c>
      <c r="I9849" t="str" cm="1">
        <f t="array" ref="I9849">_xlfn.XLOOKUP(FACT_IMPORTS[[#This Row],[country_name]],DIM_COUNTRY[[#All],[Column2]],DIM_COUNTRY[[#All],[Column3]],,,)</f>
        <v>USMCA</v>
      </c>
    </row>
    <row r="9850" spans="1:9" x14ac:dyDescent="0.4">
      <c r="A9850" t="s">
        <v>64</v>
      </c>
      <c r="B9850" s="1">
        <v>45413</v>
      </c>
      <c r="C9850">
        <v>870894</v>
      </c>
      <c r="D9850" t="s">
        <v>176</v>
      </c>
      <c r="E9850">
        <v>64830</v>
      </c>
      <c r="F9850">
        <v>348</v>
      </c>
      <c r="G9850">
        <v>1196</v>
      </c>
      <c r="H9850">
        <f>_xlfn.XLOOKUP(FACT_IMPORTS[[#This Row],[hts_6]],DIM_PRODUCTS[hts_6],DIM_PRODUCTS[hts_4],,,)</f>
        <v>8708</v>
      </c>
      <c r="I9850" t="str" cm="1">
        <f t="array" ref="I9850">_xlfn.XLOOKUP(FACT_IMPORTS[[#This Row],[country_name]],DIM_COUNTRY[[#All],[Column2]],DIM_COUNTRY[[#All],[Column3]],,,)</f>
        <v>USMCA</v>
      </c>
    </row>
    <row r="9851" spans="1:9" x14ac:dyDescent="0.4">
      <c r="A9851" t="s">
        <v>64</v>
      </c>
      <c r="B9851" s="1">
        <v>45413</v>
      </c>
      <c r="C9851">
        <v>870895</v>
      </c>
      <c r="D9851" t="s">
        <v>176</v>
      </c>
      <c r="E9851">
        <v>57379</v>
      </c>
      <c r="F9851">
        <v>3446</v>
      </c>
      <c r="G9851">
        <v>2784</v>
      </c>
      <c r="H9851">
        <f>_xlfn.XLOOKUP(FACT_IMPORTS[[#This Row],[hts_6]],DIM_PRODUCTS[hts_6],DIM_PRODUCTS[hts_4],,,)</f>
        <v>8708</v>
      </c>
      <c r="I9851" t="str" cm="1">
        <f t="array" ref="I9851">_xlfn.XLOOKUP(FACT_IMPORTS[[#This Row],[country_name]],DIM_COUNTRY[[#All],[Column2]],DIM_COUNTRY[[#All],[Column3]],,,)</f>
        <v>USMCA</v>
      </c>
    </row>
    <row r="9852" spans="1:9" x14ac:dyDescent="0.4">
      <c r="A9852" t="s">
        <v>64</v>
      </c>
      <c r="B9852" s="1">
        <v>45413</v>
      </c>
      <c r="C9852">
        <v>870899</v>
      </c>
      <c r="D9852" t="s">
        <v>176</v>
      </c>
      <c r="E9852">
        <v>205622</v>
      </c>
      <c r="F9852">
        <v>986</v>
      </c>
      <c r="G9852">
        <v>3512</v>
      </c>
      <c r="H9852">
        <f>_xlfn.XLOOKUP(FACT_IMPORTS[[#This Row],[hts_6]],DIM_PRODUCTS[hts_6],DIM_PRODUCTS[hts_4],,,)</f>
        <v>8708</v>
      </c>
      <c r="I9852" t="str" cm="1">
        <f t="array" ref="I9852">_xlfn.XLOOKUP(FACT_IMPORTS[[#This Row],[country_name]],DIM_COUNTRY[[#All],[Column2]],DIM_COUNTRY[[#All],[Column3]],,,)</f>
        <v>USMCA</v>
      </c>
    </row>
    <row r="9853" spans="1:9" x14ac:dyDescent="0.4">
      <c r="A9853" t="s">
        <v>64</v>
      </c>
      <c r="B9853" s="1">
        <v>45413</v>
      </c>
      <c r="C9853">
        <v>940120</v>
      </c>
      <c r="D9853" t="s">
        <v>176</v>
      </c>
      <c r="E9853">
        <v>14877</v>
      </c>
      <c r="F9853">
        <v>55</v>
      </c>
      <c r="G9853">
        <v>234</v>
      </c>
      <c r="H9853">
        <f>_xlfn.XLOOKUP(FACT_IMPORTS[[#This Row],[hts_6]],DIM_PRODUCTS[hts_6],DIM_PRODUCTS[hts_4],,,)</f>
        <v>9401</v>
      </c>
      <c r="I9853" t="str" cm="1">
        <f t="array" ref="I9853">_xlfn.XLOOKUP(FACT_IMPORTS[[#This Row],[country_name]],DIM_COUNTRY[[#All],[Column2]],DIM_COUNTRY[[#All],[Column3]],,,)</f>
        <v>USMCA</v>
      </c>
    </row>
    <row r="9854" spans="1:9" x14ac:dyDescent="0.4">
      <c r="A9854" t="s">
        <v>64</v>
      </c>
      <c r="B9854" s="1">
        <v>45444</v>
      </c>
      <c r="C9854">
        <v>392630</v>
      </c>
      <c r="D9854" t="s">
        <v>176</v>
      </c>
      <c r="E9854">
        <v>4386</v>
      </c>
      <c r="F9854">
        <v>385</v>
      </c>
      <c r="G9854">
        <v>215</v>
      </c>
      <c r="H9854">
        <f>_xlfn.XLOOKUP(FACT_IMPORTS[[#This Row],[hts_6]],DIM_PRODUCTS[hts_6],DIM_PRODUCTS[hts_4],,,)</f>
        <v>3926</v>
      </c>
      <c r="I9854" t="str" cm="1">
        <f t="array" ref="I9854">_xlfn.XLOOKUP(FACT_IMPORTS[[#This Row],[country_name]],DIM_COUNTRY[[#All],[Column2]],DIM_COUNTRY[[#All],[Column3]],,,)</f>
        <v>USMCA</v>
      </c>
    </row>
    <row r="9855" spans="1:9" x14ac:dyDescent="0.4">
      <c r="A9855" t="s">
        <v>64</v>
      </c>
      <c r="B9855" s="1">
        <v>45444</v>
      </c>
      <c r="C9855">
        <v>401110</v>
      </c>
      <c r="D9855" t="s">
        <v>176</v>
      </c>
      <c r="E9855">
        <v>68256</v>
      </c>
      <c r="F9855">
        <v>581</v>
      </c>
      <c r="G9855">
        <v>1695</v>
      </c>
      <c r="H9855">
        <f>_xlfn.XLOOKUP(FACT_IMPORTS[[#This Row],[hts_6]],DIM_PRODUCTS[hts_6],DIM_PRODUCTS[hts_4],,,)</f>
        <v>4011</v>
      </c>
      <c r="I9855" t="str" cm="1">
        <f t="array" ref="I9855">_xlfn.XLOOKUP(FACT_IMPORTS[[#This Row],[country_name]],DIM_COUNTRY[[#All],[Column2]],DIM_COUNTRY[[#All],[Column3]],,,)</f>
        <v>USMCA</v>
      </c>
    </row>
    <row r="9856" spans="1:9" x14ac:dyDescent="0.4">
      <c r="A9856" t="s">
        <v>64</v>
      </c>
      <c r="B9856" s="1">
        <v>45444</v>
      </c>
      <c r="C9856">
        <v>401120</v>
      </c>
      <c r="D9856" t="s">
        <v>176</v>
      </c>
      <c r="E9856">
        <v>2449</v>
      </c>
      <c r="F9856">
        <v>28</v>
      </c>
      <c r="G9856">
        <v>25</v>
      </c>
      <c r="H9856">
        <f>_xlfn.XLOOKUP(FACT_IMPORTS[[#This Row],[hts_6]],DIM_PRODUCTS[hts_6],DIM_PRODUCTS[hts_4],,,)</f>
        <v>4011</v>
      </c>
      <c r="I9856" t="str" cm="1">
        <f t="array" ref="I9856">_xlfn.XLOOKUP(FACT_IMPORTS[[#This Row],[country_name]],DIM_COUNTRY[[#All],[Column2]],DIM_COUNTRY[[#All],[Column3]],,,)</f>
        <v>USMCA</v>
      </c>
    </row>
    <row r="9857" spans="1:9" x14ac:dyDescent="0.4">
      <c r="A9857" t="s">
        <v>64</v>
      </c>
      <c r="B9857" s="1">
        <v>45444</v>
      </c>
      <c r="C9857">
        <v>700711</v>
      </c>
      <c r="D9857" t="s">
        <v>176</v>
      </c>
      <c r="E9857">
        <v>0</v>
      </c>
      <c r="F9857">
        <v>0</v>
      </c>
      <c r="G9857">
        <v>0</v>
      </c>
      <c r="H9857">
        <f>_xlfn.XLOOKUP(FACT_IMPORTS[[#This Row],[hts_6]],DIM_PRODUCTS[hts_6],DIM_PRODUCTS[hts_4],,,)</f>
        <v>7007</v>
      </c>
      <c r="I9857" t="str" cm="1">
        <f t="array" ref="I9857">_xlfn.XLOOKUP(FACT_IMPORTS[[#This Row],[country_name]],DIM_COUNTRY[[#All],[Column2]],DIM_COUNTRY[[#All],[Column3]],,,)</f>
        <v>USMCA</v>
      </c>
    </row>
    <row r="9858" spans="1:9" x14ac:dyDescent="0.4">
      <c r="A9858" t="s">
        <v>64</v>
      </c>
      <c r="B9858" s="1">
        <v>45444</v>
      </c>
      <c r="C9858">
        <v>700721</v>
      </c>
      <c r="D9858" t="s">
        <v>176</v>
      </c>
      <c r="E9858">
        <v>0</v>
      </c>
      <c r="F9858">
        <v>0</v>
      </c>
      <c r="G9858">
        <v>0</v>
      </c>
      <c r="H9858">
        <f>_xlfn.XLOOKUP(FACT_IMPORTS[[#This Row],[hts_6]],DIM_PRODUCTS[hts_6],DIM_PRODUCTS[hts_4],,,)</f>
        <v>7007</v>
      </c>
      <c r="I9858" t="str" cm="1">
        <f t="array" ref="I9858">_xlfn.XLOOKUP(FACT_IMPORTS[[#This Row],[country_name]],DIM_COUNTRY[[#All],[Column2]],DIM_COUNTRY[[#All],[Column3]],,,)</f>
        <v>USMCA</v>
      </c>
    </row>
    <row r="9859" spans="1:9" x14ac:dyDescent="0.4">
      <c r="A9859" t="s">
        <v>64</v>
      </c>
      <c r="B9859" s="1">
        <v>45444</v>
      </c>
      <c r="C9859">
        <v>700910</v>
      </c>
      <c r="D9859" t="s">
        <v>176</v>
      </c>
      <c r="E9859">
        <v>85498</v>
      </c>
      <c r="F9859">
        <v>26785</v>
      </c>
      <c r="G9859">
        <v>718</v>
      </c>
      <c r="H9859">
        <f>_xlfn.XLOOKUP(FACT_IMPORTS[[#This Row],[hts_6]],DIM_PRODUCTS[hts_6],DIM_PRODUCTS[hts_4],,,)</f>
        <v>7009</v>
      </c>
      <c r="I9859" t="str" cm="1">
        <f t="array" ref="I9859">_xlfn.XLOOKUP(FACT_IMPORTS[[#This Row],[country_name]],DIM_COUNTRY[[#All],[Column2]],DIM_COUNTRY[[#All],[Column3]],,,)</f>
        <v>USMCA</v>
      </c>
    </row>
    <row r="9860" spans="1:9" x14ac:dyDescent="0.4">
      <c r="A9860" t="s">
        <v>64</v>
      </c>
      <c r="B9860" s="1">
        <v>45444</v>
      </c>
      <c r="C9860">
        <v>732010</v>
      </c>
      <c r="D9860" t="s">
        <v>176</v>
      </c>
      <c r="E9860">
        <v>111297</v>
      </c>
      <c r="F9860">
        <v>31330</v>
      </c>
      <c r="G9860">
        <v>970</v>
      </c>
      <c r="H9860">
        <f>_xlfn.XLOOKUP(FACT_IMPORTS[[#This Row],[hts_6]],DIM_PRODUCTS[hts_6],DIM_PRODUCTS[hts_4],,,)</f>
        <v>7320</v>
      </c>
      <c r="I9860" t="str" cm="1">
        <f t="array" ref="I9860">_xlfn.XLOOKUP(FACT_IMPORTS[[#This Row],[country_name]],DIM_COUNTRY[[#All],[Column2]],DIM_COUNTRY[[#All],[Column3]],,,)</f>
        <v>USMCA</v>
      </c>
    </row>
    <row r="9861" spans="1:9" x14ac:dyDescent="0.4">
      <c r="A9861" t="s">
        <v>64</v>
      </c>
      <c r="B9861" s="1">
        <v>45444</v>
      </c>
      <c r="C9861">
        <v>830230</v>
      </c>
      <c r="D9861" t="s">
        <v>176</v>
      </c>
      <c r="E9861">
        <v>24190</v>
      </c>
      <c r="F9861">
        <v>1123</v>
      </c>
      <c r="G9861">
        <v>230</v>
      </c>
      <c r="H9861">
        <f>_xlfn.XLOOKUP(FACT_IMPORTS[[#This Row],[hts_6]],DIM_PRODUCTS[hts_6],DIM_PRODUCTS[hts_4],,,)</f>
        <v>8302</v>
      </c>
      <c r="I9861" t="str" cm="1">
        <f t="array" ref="I9861">_xlfn.XLOOKUP(FACT_IMPORTS[[#This Row],[country_name]],DIM_COUNTRY[[#All],[Column2]],DIM_COUNTRY[[#All],[Column3]],,,)</f>
        <v>USMCA</v>
      </c>
    </row>
    <row r="9862" spans="1:9" x14ac:dyDescent="0.4">
      <c r="A9862" t="s">
        <v>64</v>
      </c>
      <c r="B9862" s="1">
        <v>45444</v>
      </c>
      <c r="C9862">
        <v>840733</v>
      </c>
      <c r="D9862" t="s">
        <v>176</v>
      </c>
      <c r="E9862">
        <v>13250</v>
      </c>
      <c r="F9862">
        <v>2</v>
      </c>
      <c r="G9862">
        <v>150</v>
      </c>
      <c r="H9862">
        <f>_xlfn.XLOOKUP(FACT_IMPORTS[[#This Row],[hts_6]],DIM_PRODUCTS[hts_6],DIM_PRODUCTS[hts_4],,,)</f>
        <v>8407</v>
      </c>
      <c r="I9862" t="str" cm="1">
        <f t="array" ref="I9862">_xlfn.XLOOKUP(FACT_IMPORTS[[#This Row],[country_name]],DIM_COUNTRY[[#All],[Column2]],DIM_COUNTRY[[#All],[Column3]],,,)</f>
        <v>USMCA</v>
      </c>
    </row>
    <row r="9863" spans="1:9" x14ac:dyDescent="0.4">
      <c r="A9863" t="s">
        <v>64</v>
      </c>
      <c r="B9863" s="1">
        <v>45444</v>
      </c>
      <c r="C9863">
        <v>840734</v>
      </c>
      <c r="D9863" t="s">
        <v>176</v>
      </c>
      <c r="E9863">
        <v>48718</v>
      </c>
      <c r="F9863">
        <v>64</v>
      </c>
      <c r="G9863">
        <v>368</v>
      </c>
      <c r="H9863">
        <f>_xlfn.XLOOKUP(FACT_IMPORTS[[#This Row],[hts_6]],DIM_PRODUCTS[hts_6],DIM_PRODUCTS[hts_4],,,)</f>
        <v>8407</v>
      </c>
      <c r="I9863" t="str" cm="1">
        <f t="array" ref="I9863">_xlfn.XLOOKUP(FACT_IMPORTS[[#This Row],[country_name]],DIM_COUNTRY[[#All],[Column2]],DIM_COUNTRY[[#All],[Column3]],,,)</f>
        <v>USMCA</v>
      </c>
    </row>
    <row r="9864" spans="1:9" x14ac:dyDescent="0.4">
      <c r="A9864" t="s">
        <v>64</v>
      </c>
      <c r="B9864" s="1">
        <v>45444</v>
      </c>
      <c r="C9864">
        <v>840820</v>
      </c>
      <c r="D9864" t="s">
        <v>176</v>
      </c>
      <c r="E9864">
        <v>33810</v>
      </c>
      <c r="F9864">
        <v>6</v>
      </c>
      <c r="G9864">
        <v>127</v>
      </c>
      <c r="H9864">
        <f>_xlfn.XLOOKUP(FACT_IMPORTS[[#This Row],[hts_6]],DIM_PRODUCTS[hts_6],DIM_PRODUCTS[hts_4],,,)</f>
        <v>8408</v>
      </c>
      <c r="I9864" t="str" cm="1">
        <f t="array" ref="I9864">_xlfn.XLOOKUP(FACT_IMPORTS[[#This Row],[country_name]],DIM_COUNTRY[[#All],[Column2]],DIM_COUNTRY[[#All],[Column3]],,,)</f>
        <v>USMCA</v>
      </c>
    </row>
    <row r="9865" spans="1:9" x14ac:dyDescent="0.4">
      <c r="A9865" t="s">
        <v>64</v>
      </c>
      <c r="B9865" s="1">
        <v>45444</v>
      </c>
      <c r="C9865">
        <v>840890</v>
      </c>
      <c r="D9865" t="s">
        <v>176</v>
      </c>
      <c r="E9865">
        <v>20886</v>
      </c>
      <c r="F9865">
        <v>5</v>
      </c>
      <c r="G9865">
        <v>250</v>
      </c>
      <c r="H9865">
        <f>_xlfn.XLOOKUP(FACT_IMPORTS[[#This Row],[hts_6]],DIM_PRODUCTS[hts_6],DIM_PRODUCTS[hts_4],,,)</f>
        <v>8408</v>
      </c>
      <c r="I9865" t="str" cm="1">
        <f t="array" ref="I9865">_xlfn.XLOOKUP(FACT_IMPORTS[[#This Row],[country_name]],DIM_COUNTRY[[#All],[Column2]],DIM_COUNTRY[[#All],[Column3]],,,)</f>
        <v>USMCA</v>
      </c>
    </row>
    <row r="9866" spans="1:9" x14ac:dyDescent="0.4">
      <c r="A9866" t="s">
        <v>64</v>
      </c>
      <c r="B9866" s="1">
        <v>45444</v>
      </c>
      <c r="C9866">
        <v>840991</v>
      </c>
      <c r="D9866" t="s">
        <v>176</v>
      </c>
      <c r="E9866">
        <v>546901</v>
      </c>
      <c r="F9866">
        <v>62032</v>
      </c>
      <c r="G9866">
        <v>746</v>
      </c>
      <c r="H9866">
        <f>_xlfn.XLOOKUP(FACT_IMPORTS[[#This Row],[hts_6]],DIM_PRODUCTS[hts_6],DIM_PRODUCTS[hts_4],,,)</f>
        <v>8409</v>
      </c>
      <c r="I9866" t="str" cm="1">
        <f t="array" ref="I9866">_xlfn.XLOOKUP(FACT_IMPORTS[[#This Row],[country_name]],DIM_COUNTRY[[#All],[Column2]],DIM_COUNTRY[[#All],[Column3]],,,)</f>
        <v>USMCA</v>
      </c>
    </row>
    <row r="9867" spans="1:9" x14ac:dyDescent="0.4">
      <c r="A9867" t="s">
        <v>64</v>
      </c>
      <c r="B9867" s="1">
        <v>45444</v>
      </c>
      <c r="C9867">
        <v>840999</v>
      </c>
      <c r="D9867" t="s">
        <v>176</v>
      </c>
      <c r="E9867">
        <v>29657</v>
      </c>
      <c r="F9867">
        <v>1999</v>
      </c>
      <c r="G9867">
        <v>381</v>
      </c>
      <c r="H9867">
        <f>_xlfn.XLOOKUP(FACT_IMPORTS[[#This Row],[hts_6]],DIM_PRODUCTS[hts_6],DIM_PRODUCTS[hts_4],,,)</f>
        <v>8409</v>
      </c>
      <c r="I9867" t="str" cm="1">
        <f t="array" ref="I9867">_xlfn.XLOOKUP(FACT_IMPORTS[[#This Row],[country_name]],DIM_COUNTRY[[#All],[Column2]],DIM_COUNTRY[[#All],[Column3]],,,)</f>
        <v>USMCA</v>
      </c>
    </row>
    <row r="9868" spans="1:9" x14ac:dyDescent="0.4">
      <c r="A9868" t="s">
        <v>64</v>
      </c>
      <c r="B9868" s="1">
        <v>45444</v>
      </c>
      <c r="C9868">
        <v>841330</v>
      </c>
      <c r="D9868" t="s">
        <v>176</v>
      </c>
      <c r="E9868">
        <v>36848</v>
      </c>
      <c r="F9868">
        <v>105</v>
      </c>
      <c r="G9868">
        <v>382</v>
      </c>
      <c r="H9868">
        <f>_xlfn.XLOOKUP(FACT_IMPORTS[[#This Row],[hts_6]],DIM_PRODUCTS[hts_6],DIM_PRODUCTS[hts_4],,,)</f>
        <v>8413</v>
      </c>
      <c r="I9868" t="str" cm="1">
        <f t="array" ref="I9868">_xlfn.XLOOKUP(FACT_IMPORTS[[#This Row],[country_name]],DIM_COUNTRY[[#All],[Column2]],DIM_COUNTRY[[#All],[Column3]],,,)</f>
        <v>USMCA</v>
      </c>
    </row>
    <row r="9869" spans="1:9" x14ac:dyDescent="0.4">
      <c r="A9869" t="s">
        <v>64</v>
      </c>
      <c r="B9869" s="1">
        <v>45444</v>
      </c>
      <c r="C9869">
        <v>842132</v>
      </c>
      <c r="D9869" t="s">
        <v>176</v>
      </c>
      <c r="E9869">
        <v>135591</v>
      </c>
      <c r="F9869">
        <v>622</v>
      </c>
      <c r="G9869">
        <v>1429</v>
      </c>
      <c r="H9869">
        <f>_xlfn.XLOOKUP(FACT_IMPORTS[[#This Row],[hts_6]],DIM_PRODUCTS[hts_6],DIM_PRODUCTS[hts_4],,,)</f>
        <v>8421</v>
      </c>
      <c r="I9869" t="str" cm="1">
        <f t="array" ref="I9869">_xlfn.XLOOKUP(FACT_IMPORTS[[#This Row],[country_name]],DIM_COUNTRY[[#All],[Column2]],DIM_COUNTRY[[#All],[Column3]],,,)</f>
        <v>USMCA</v>
      </c>
    </row>
    <row r="9870" spans="1:9" x14ac:dyDescent="0.4">
      <c r="A9870" t="s">
        <v>64</v>
      </c>
      <c r="B9870" s="1">
        <v>45444</v>
      </c>
      <c r="C9870">
        <v>848210</v>
      </c>
      <c r="D9870" t="s">
        <v>176</v>
      </c>
      <c r="E9870">
        <v>10142</v>
      </c>
      <c r="F9870">
        <v>127</v>
      </c>
      <c r="G9870">
        <v>111</v>
      </c>
      <c r="H9870">
        <f>_xlfn.XLOOKUP(FACT_IMPORTS[[#This Row],[hts_6]],DIM_PRODUCTS[hts_6],DIM_PRODUCTS[hts_4],,,)</f>
        <v>8482</v>
      </c>
      <c r="I9870" t="str" cm="1">
        <f t="array" ref="I9870">_xlfn.XLOOKUP(FACT_IMPORTS[[#This Row],[country_name]],DIM_COUNTRY[[#All],[Column2]],DIM_COUNTRY[[#All],[Column3]],,,)</f>
        <v>USMCA</v>
      </c>
    </row>
    <row r="9871" spans="1:9" x14ac:dyDescent="0.4">
      <c r="A9871" t="s">
        <v>64</v>
      </c>
      <c r="B9871" s="1">
        <v>45444</v>
      </c>
      <c r="C9871">
        <v>848220</v>
      </c>
      <c r="D9871" t="s">
        <v>176</v>
      </c>
      <c r="E9871">
        <v>2945</v>
      </c>
      <c r="F9871">
        <v>25</v>
      </c>
      <c r="G9871">
        <v>33</v>
      </c>
      <c r="H9871">
        <f>_xlfn.XLOOKUP(FACT_IMPORTS[[#This Row],[hts_6]],DIM_PRODUCTS[hts_6],DIM_PRODUCTS[hts_4],,,)</f>
        <v>8482</v>
      </c>
      <c r="I9871" t="str" cm="1">
        <f t="array" ref="I9871">_xlfn.XLOOKUP(FACT_IMPORTS[[#This Row],[country_name]],DIM_COUNTRY[[#All],[Column2]],DIM_COUNTRY[[#All],[Column3]],,,)</f>
        <v>USMCA</v>
      </c>
    </row>
    <row r="9872" spans="1:9" x14ac:dyDescent="0.4">
      <c r="A9872" t="s">
        <v>64</v>
      </c>
      <c r="B9872" s="1">
        <v>45444</v>
      </c>
      <c r="C9872">
        <v>848310</v>
      </c>
      <c r="D9872" t="s">
        <v>176</v>
      </c>
      <c r="E9872">
        <v>22664</v>
      </c>
      <c r="F9872">
        <v>72</v>
      </c>
      <c r="G9872">
        <v>31</v>
      </c>
      <c r="H9872">
        <f>_xlfn.XLOOKUP(FACT_IMPORTS[[#This Row],[hts_6]],DIM_PRODUCTS[hts_6],DIM_PRODUCTS[hts_4],,,)</f>
        <v>8483</v>
      </c>
      <c r="I9872" t="str" cm="1">
        <f t="array" ref="I9872">_xlfn.XLOOKUP(FACT_IMPORTS[[#This Row],[country_name]],DIM_COUNTRY[[#All],[Column2]],DIM_COUNTRY[[#All],[Column3]],,,)</f>
        <v>USMCA</v>
      </c>
    </row>
    <row r="9873" spans="1:9" x14ac:dyDescent="0.4">
      <c r="A9873" t="s">
        <v>64</v>
      </c>
      <c r="B9873" s="1">
        <v>45444</v>
      </c>
      <c r="C9873">
        <v>850131</v>
      </c>
      <c r="D9873" t="s">
        <v>176</v>
      </c>
      <c r="E9873">
        <v>12642</v>
      </c>
      <c r="F9873">
        <v>392</v>
      </c>
      <c r="G9873">
        <v>327</v>
      </c>
      <c r="H9873">
        <f>_xlfn.XLOOKUP(FACT_IMPORTS[[#This Row],[hts_6]],DIM_PRODUCTS[hts_6],DIM_PRODUCTS[hts_4],,,)</f>
        <v>8501</v>
      </c>
      <c r="I9873" t="str" cm="1">
        <f t="array" ref="I9873">_xlfn.XLOOKUP(FACT_IMPORTS[[#This Row],[country_name]],DIM_COUNTRY[[#All],[Column2]],DIM_COUNTRY[[#All],[Column3]],,,)</f>
        <v>USMCA</v>
      </c>
    </row>
    <row r="9874" spans="1:9" x14ac:dyDescent="0.4">
      <c r="A9874" t="s">
        <v>64</v>
      </c>
      <c r="B9874" s="1">
        <v>45444</v>
      </c>
      <c r="C9874">
        <v>850132</v>
      </c>
      <c r="D9874" t="s">
        <v>176</v>
      </c>
      <c r="E9874">
        <v>7769</v>
      </c>
      <c r="F9874">
        <v>4</v>
      </c>
      <c r="G9874">
        <v>395</v>
      </c>
      <c r="H9874">
        <f>_xlfn.XLOOKUP(FACT_IMPORTS[[#This Row],[hts_6]],DIM_PRODUCTS[hts_6],DIM_PRODUCTS[hts_4],,,)</f>
        <v>8501</v>
      </c>
      <c r="I9874" t="str" cm="1">
        <f t="array" ref="I9874">_xlfn.XLOOKUP(FACT_IMPORTS[[#This Row],[country_name]],DIM_COUNTRY[[#All],[Column2]],DIM_COUNTRY[[#All],[Column3]],,,)</f>
        <v>USMCA</v>
      </c>
    </row>
    <row r="9875" spans="1:9" x14ac:dyDescent="0.4">
      <c r="A9875" t="s">
        <v>64</v>
      </c>
      <c r="B9875" s="1">
        <v>45444</v>
      </c>
      <c r="C9875">
        <v>850133</v>
      </c>
      <c r="D9875" t="s">
        <v>176</v>
      </c>
      <c r="E9875">
        <v>0</v>
      </c>
      <c r="F9875">
        <v>0</v>
      </c>
      <c r="G9875">
        <v>0</v>
      </c>
      <c r="H9875">
        <f>_xlfn.XLOOKUP(FACT_IMPORTS[[#This Row],[hts_6]],DIM_PRODUCTS[hts_6],DIM_PRODUCTS[hts_4],,,)</f>
        <v>8501</v>
      </c>
      <c r="I9875" t="str" cm="1">
        <f t="array" ref="I9875">_xlfn.XLOOKUP(FACT_IMPORTS[[#This Row],[country_name]],DIM_COUNTRY[[#All],[Column2]],DIM_COUNTRY[[#All],[Column3]],,,)</f>
        <v>USMCA</v>
      </c>
    </row>
    <row r="9876" spans="1:9" x14ac:dyDescent="0.4">
      <c r="A9876" t="s">
        <v>64</v>
      </c>
      <c r="B9876" s="1">
        <v>45444</v>
      </c>
      <c r="C9876">
        <v>850152</v>
      </c>
      <c r="D9876" t="s">
        <v>176</v>
      </c>
      <c r="E9876">
        <v>38410</v>
      </c>
      <c r="F9876">
        <v>12</v>
      </c>
      <c r="G9876">
        <v>1405</v>
      </c>
      <c r="H9876">
        <f>_xlfn.XLOOKUP(FACT_IMPORTS[[#This Row],[hts_6]],DIM_PRODUCTS[hts_6],DIM_PRODUCTS[hts_4],,,)</f>
        <v>8501</v>
      </c>
      <c r="I9876" t="str" cm="1">
        <f t="array" ref="I9876">_xlfn.XLOOKUP(FACT_IMPORTS[[#This Row],[country_name]],DIM_COUNTRY[[#All],[Column2]],DIM_COUNTRY[[#All],[Column3]],,,)</f>
        <v>USMCA</v>
      </c>
    </row>
    <row r="9877" spans="1:9" x14ac:dyDescent="0.4">
      <c r="A9877" t="s">
        <v>64</v>
      </c>
      <c r="B9877" s="1">
        <v>45444</v>
      </c>
      <c r="C9877">
        <v>850153</v>
      </c>
      <c r="D9877" t="s">
        <v>176</v>
      </c>
      <c r="E9877">
        <v>3000</v>
      </c>
      <c r="F9877">
        <v>1</v>
      </c>
      <c r="G9877">
        <v>1</v>
      </c>
      <c r="H9877">
        <f>_xlfn.XLOOKUP(FACT_IMPORTS[[#This Row],[hts_6]],DIM_PRODUCTS[hts_6],DIM_PRODUCTS[hts_4],,,)</f>
        <v>8501</v>
      </c>
      <c r="I9877" t="str" cm="1">
        <f t="array" ref="I9877">_xlfn.XLOOKUP(FACT_IMPORTS[[#This Row],[country_name]],DIM_COUNTRY[[#All],[Column2]],DIM_COUNTRY[[#All],[Column3]],,,)</f>
        <v>USMCA</v>
      </c>
    </row>
    <row r="9878" spans="1:9" x14ac:dyDescent="0.4">
      <c r="A9878" t="s">
        <v>64</v>
      </c>
      <c r="B9878" s="1">
        <v>45444</v>
      </c>
      <c r="C9878">
        <v>850161</v>
      </c>
      <c r="D9878" t="s">
        <v>176</v>
      </c>
      <c r="E9878">
        <v>0</v>
      </c>
      <c r="F9878">
        <v>0</v>
      </c>
      <c r="G9878">
        <v>0</v>
      </c>
      <c r="H9878">
        <f>_xlfn.XLOOKUP(FACT_IMPORTS[[#This Row],[hts_6]],DIM_PRODUCTS[hts_6],DIM_PRODUCTS[hts_4],,,)</f>
        <v>8501</v>
      </c>
      <c r="I9878" t="str" cm="1">
        <f t="array" ref="I9878">_xlfn.XLOOKUP(FACT_IMPORTS[[#This Row],[country_name]],DIM_COUNTRY[[#All],[Column2]],DIM_COUNTRY[[#All],[Column3]],,,)</f>
        <v>USMCA</v>
      </c>
    </row>
    <row r="9879" spans="1:9" x14ac:dyDescent="0.4">
      <c r="A9879" t="s">
        <v>64</v>
      </c>
      <c r="B9879" s="1">
        <v>45444</v>
      </c>
      <c r="C9879">
        <v>850440</v>
      </c>
      <c r="D9879" t="s">
        <v>176</v>
      </c>
      <c r="E9879">
        <v>90399</v>
      </c>
      <c r="F9879">
        <v>2125</v>
      </c>
      <c r="G9879">
        <v>2570</v>
      </c>
      <c r="H9879">
        <f>_xlfn.XLOOKUP(FACT_IMPORTS[[#This Row],[hts_6]],DIM_PRODUCTS[hts_6],DIM_PRODUCTS[hts_4],,,)</f>
        <v>8504</v>
      </c>
      <c r="I9879" t="str" cm="1">
        <f t="array" ref="I9879">_xlfn.XLOOKUP(FACT_IMPORTS[[#This Row],[country_name]],DIM_COUNTRY[[#All],[Column2]],DIM_COUNTRY[[#All],[Column3]],,,)</f>
        <v>USMCA</v>
      </c>
    </row>
    <row r="9880" spans="1:9" x14ac:dyDescent="0.4">
      <c r="A9880" t="s">
        <v>64</v>
      </c>
      <c r="B9880" s="1">
        <v>45444</v>
      </c>
      <c r="C9880">
        <v>850710</v>
      </c>
      <c r="D9880" t="s">
        <v>176</v>
      </c>
      <c r="E9880">
        <v>0</v>
      </c>
      <c r="F9880">
        <v>0</v>
      </c>
      <c r="G9880">
        <v>0</v>
      </c>
      <c r="H9880">
        <f>_xlfn.XLOOKUP(FACT_IMPORTS[[#This Row],[hts_6]],DIM_PRODUCTS[hts_6],DIM_PRODUCTS[hts_4],,,)</f>
        <v>8507</v>
      </c>
      <c r="I9880" t="str" cm="1">
        <f t="array" ref="I9880">_xlfn.XLOOKUP(FACT_IMPORTS[[#This Row],[country_name]],DIM_COUNTRY[[#All],[Column2]],DIM_COUNTRY[[#All],[Column3]],,,)</f>
        <v>USMCA</v>
      </c>
    </row>
    <row r="9881" spans="1:9" x14ac:dyDescent="0.4">
      <c r="A9881" t="s">
        <v>64</v>
      </c>
      <c r="B9881" s="1">
        <v>45444</v>
      </c>
      <c r="C9881">
        <v>850760</v>
      </c>
      <c r="D9881" t="s">
        <v>176</v>
      </c>
      <c r="E9881">
        <v>0</v>
      </c>
      <c r="F9881">
        <v>0</v>
      </c>
      <c r="G9881">
        <v>0</v>
      </c>
      <c r="H9881">
        <f>_xlfn.XLOOKUP(FACT_IMPORTS[[#This Row],[hts_6]],DIM_PRODUCTS[hts_6],DIM_PRODUCTS[hts_4],,,)</f>
        <v>8507</v>
      </c>
      <c r="I9881" t="str" cm="1">
        <f t="array" ref="I9881">_xlfn.XLOOKUP(FACT_IMPORTS[[#This Row],[country_name]],DIM_COUNTRY[[#All],[Column2]],DIM_COUNTRY[[#All],[Column3]],,,)</f>
        <v>USMCA</v>
      </c>
    </row>
    <row r="9882" spans="1:9" x14ac:dyDescent="0.4">
      <c r="A9882" t="s">
        <v>64</v>
      </c>
      <c r="B9882" s="1">
        <v>45444</v>
      </c>
      <c r="C9882">
        <v>851110</v>
      </c>
      <c r="D9882" t="s">
        <v>176</v>
      </c>
      <c r="E9882">
        <v>2682</v>
      </c>
      <c r="F9882">
        <v>29</v>
      </c>
      <c r="G9882">
        <v>7</v>
      </c>
      <c r="H9882">
        <f>_xlfn.XLOOKUP(FACT_IMPORTS[[#This Row],[hts_6]],DIM_PRODUCTS[hts_6],DIM_PRODUCTS[hts_4],,,)</f>
        <v>8511</v>
      </c>
      <c r="I9882" t="str" cm="1">
        <f t="array" ref="I9882">_xlfn.XLOOKUP(FACT_IMPORTS[[#This Row],[country_name]],DIM_COUNTRY[[#All],[Column2]],DIM_COUNTRY[[#All],[Column3]],,,)</f>
        <v>USMCA</v>
      </c>
    </row>
    <row r="9883" spans="1:9" x14ac:dyDescent="0.4">
      <c r="A9883" t="s">
        <v>64</v>
      </c>
      <c r="B9883" s="1">
        <v>45444</v>
      </c>
      <c r="C9883">
        <v>851120</v>
      </c>
      <c r="D9883" t="s">
        <v>176</v>
      </c>
      <c r="E9883">
        <v>0</v>
      </c>
      <c r="F9883">
        <v>0</v>
      </c>
      <c r="G9883">
        <v>0</v>
      </c>
      <c r="H9883">
        <f>_xlfn.XLOOKUP(FACT_IMPORTS[[#This Row],[hts_6]],DIM_PRODUCTS[hts_6],DIM_PRODUCTS[hts_4],,,)</f>
        <v>8511</v>
      </c>
      <c r="I9883" t="str" cm="1">
        <f t="array" ref="I9883">_xlfn.XLOOKUP(FACT_IMPORTS[[#This Row],[country_name]],DIM_COUNTRY[[#All],[Column2]],DIM_COUNTRY[[#All],[Column3]],,,)</f>
        <v>USMCA</v>
      </c>
    </row>
    <row r="9884" spans="1:9" x14ac:dyDescent="0.4">
      <c r="A9884" t="s">
        <v>64</v>
      </c>
      <c r="B9884" s="1">
        <v>45444</v>
      </c>
      <c r="C9884">
        <v>851140</v>
      </c>
      <c r="D9884" t="s">
        <v>176</v>
      </c>
      <c r="E9884">
        <v>51002</v>
      </c>
      <c r="F9884">
        <v>127</v>
      </c>
      <c r="G9884">
        <v>166</v>
      </c>
      <c r="H9884">
        <f>_xlfn.XLOOKUP(FACT_IMPORTS[[#This Row],[hts_6]],DIM_PRODUCTS[hts_6],DIM_PRODUCTS[hts_4],,,)</f>
        <v>8511</v>
      </c>
      <c r="I9884" t="str" cm="1">
        <f t="array" ref="I9884">_xlfn.XLOOKUP(FACT_IMPORTS[[#This Row],[country_name]],DIM_COUNTRY[[#All],[Column2]],DIM_COUNTRY[[#All],[Column3]],,,)</f>
        <v>USMCA</v>
      </c>
    </row>
    <row r="9885" spans="1:9" x14ac:dyDescent="0.4">
      <c r="A9885" t="s">
        <v>64</v>
      </c>
      <c r="B9885" s="1">
        <v>45444</v>
      </c>
      <c r="C9885">
        <v>851150</v>
      </c>
      <c r="D9885" t="s">
        <v>176</v>
      </c>
      <c r="E9885">
        <v>6715</v>
      </c>
      <c r="F9885">
        <v>12</v>
      </c>
      <c r="G9885">
        <v>23</v>
      </c>
      <c r="H9885">
        <f>_xlfn.XLOOKUP(FACT_IMPORTS[[#This Row],[hts_6]],DIM_PRODUCTS[hts_6],DIM_PRODUCTS[hts_4],,,)</f>
        <v>8511</v>
      </c>
      <c r="I9885" t="str" cm="1">
        <f t="array" ref="I9885">_xlfn.XLOOKUP(FACT_IMPORTS[[#This Row],[country_name]],DIM_COUNTRY[[#All],[Column2]],DIM_COUNTRY[[#All],[Column3]],,,)</f>
        <v>USMCA</v>
      </c>
    </row>
    <row r="9886" spans="1:9" x14ac:dyDescent="0.4">
      <c r="A9886" t="s">
        <v>64</v>
      </c>
      <c r="B9886" s="1">
        <v>45444</v>
      </c>
      <c r="C9886">
        <v>851180</v>
      </c>
      <c r="D9886" t="s">
        <v>176</v>
      </c>
      <c r="E9886">
        <v>3046</v>
      </c>
      <c r="F9886">
        <v>136</v>
      </c>
      <c r="G9886">
        <v>3</v>
      </c>
      <c r="H9886">
        <f>_xlfn.XLOOKUP(FACT_IMPORTS[[#This Row],[hts_6]],DIM_PRODUCTS[hts_6],DIM_PRODUCTS[hts_4],,,)</f>
        <v>8511</v>
      </c>
      <c r="I9886" t="str" cm="1">
        <f t="array" ref="I9886">_xlfn.XLOOKUP(FACT_IMPORTS[[#This Row],[country_name]],DIM_COUNTRY[[#All],[Column2]],DIM_COUNTRY[[#All],[Column3]],,,)</f>
        <v>USMCA</v>
      </c>
    </row>
    <row r="9887" spans="1:9" x14ac:dyDescent="0.4">
      <c r="A9887" t="s">
        <v>64</v>
      </c>
      <c r="B9887" s="1">
        <v>45444</v>
      </c>
      <c r="C9887">
        <v>851190</v>
      </c>
      <c r="D9887" t="s">
        <v>176</v>
      </c>
      <c r="E9887">
        <v>0</v>
      </c>
      <c r="F9887">
        <v>0</v>
      </c>
      <c r="G9887">
        <v>0</v>
      </c>
      <c r="H9887">
        <f>_xlfn.XLOOKUP(FACT_IMPORTS[[#This Row],[hts_6]],DIM_PRODUCTS[hts_6],DIM_PRODUCTS[hts_4],,,)</f>
        <v>8511</v>
      </c>
      <c r="I9887" t="str" cm="1">
        <f t="array" ref="I9887">_xlfn.XLOOKUP(FACT_IMPORTS[[#This Row],[country_name]],DIM_COUNTRY[[#All],[Column2]],DIM_COUNTRY[[#All],[Column3]],,,)</f>
        <v>USMCA</v>
      </c>
    </row>
    <row r="9888" spans="1:9" x14ac:dyDescent="0.4">
      <c r="A9888" t="s">
        <v>64</v>
      </c>
      <c r="B9888" s="1">
        <v>45444</v>
      </c>
      <c r="C9888">
        <v>851220</v>
      </c>
      <c r="D9888" t="s">
        <v>176</v>
      </c>
      <c r="E9888">
        <v>6495</v>
      </c>
      <c r="F9888">
        <v>22</v>
      </c>
      <c r="G9888">
        <v>434</v>
      </c>
      <c r="H9888">
        <f>_xlfn.XLOOKUP(FACT_IMPORTS[[#This Row],[hts_6]],DIM_PRODUCTS[hts_6],DIM_PRODUCTS[hts_4],,,)</f>
        <v>8512</v>
      </c>
      <c r="I9888" t="str" cm="1">
        <f t="array" ref="I9888">_xlfn.XLOOKUP(FACT_IMPORTS[[#This Row],[country_name]],DIM_COUNTRY[[#All],[Column2]],DIM_COUNTRY[[#All],[Column3]],,,)</f>
        <v>USMCA</v>
      </c>
    </row>
    <row r="9889" spans="1:9" x14ac:dyDescent="0.4">
      <c r="A9889" t="s">
        <v>64</v>
      </c>
      <c r="B9889" s="1">
        <v>45444</v>
      </c>
      <c r="C9889">
        <v>851230</v>
      </c>
      <c r="D9889" t="s">
        <v>176</v>
      </c>
      <c r="E9889">
        <v>2028</v>
      </c>
      <c r="F9889">
        <v>250</v>
      </c>
      <c r="G9889">
        <v>398</v>
      </c>
      <c r="H9889">
        <f>_xlfn.XLOOKUP(FACT_IMPORTS[[#This Row],[hts_6]],DIM_PRODUCTS[hts_6],DIM_PRODUCTS[hts_4],,,)</f>
        <v>8512</v>
      </c>
      <c r="I9889" t="str" cm="1">
        <f t="array" ref="I9889">_xlfn.XLOOKUP(FACT_IMPORTS[[#This Row],[country_name]],DIM_COUNTRY[[#All],[Column2]],DIM_COUNTRY[[#All],[Column3]],,,)</f>
        <v>USMCA</v>
      </c>
    </row>
    <row r="9890" spans="1:9" x14ac:dyDescent="0.4">
      <c r="A9890" t="s">
        <v>64</v>
      </c>
      <c r="B9890" s="1">
        <v>45444</v>
      </c>
      <c r="C9890">
        <v>851290</v>
      </c>
      <c r="D9890" t="s">
        <v>176</v>
      </c>
      <c r="E9890">
        <v>15430</v>
      </c>
      <c r="F9890">
        <v>195</v>
      </c>
      <c r="G9890">
        <v>1185</v>
      </c>
      <c r="H9890">
        <f>_xlfn.XLOOKUP(FACT_IMPORTS[[#This Row],[hts_6]],DIM_PRODUCTS[hts_6],DIM_PRODUCTS[hts_4],,,)</f>
        <v>8512</v>
      </c>
      <c r="I9890" t="str" cm="1">
        <f t="array" ref="I9890">_xlfn.XLOOKUP(FACT_IMPORTS[[#This Row],[country_name]],DIM_COUNTRY[[#All],[Column2]],DIM_COUNTRY[[#All],[Column3]],,,)</f>
        <v>USMCA</v>
      </c>
    </row>
    <row r="9891" spans="1:9" x14ac:dyDescent="0.4">
      <c r="A9891" t="s">
        <v>64</v>
      </c>
      <c r="B9891" s="1">
        <v>45444</v>
      </c>
      <c r="C9891">
        <v>854231</v>
      </c>
      <c r="D9891" t="s">
        <v>176</v>
      </c>
      <c r="E9891">
        <v>0</v>
      </c>
      <c r="F9891">
        <v>0</v>
      </c>
      <c r="G9891">
        <v>0</v>
      </c>
      <c r="H9891">
        <f>_xlfn.XLOOKUP(FACT_IMPORTS[[#This Row],[hts_6]],DIM_PRODUCTS[hts_6],DIM_PRODUCTS[hts_4],,,)</f>
        <v>8542</v>
      </c>
      <c r="I9891" t="str" cm="1">
        <f t="array" ref="I9891">_xlfn.XLOOKUP(FACT_IMPORTS[[#This Row],[country_name]],DIM_COUNTRY[[#All],[Column2]],DIM_COUNTRY[[#All],[Column3]],,,)</f>
        <v>USMCA</v>
      </c>
    </row>
    <row r="9892" spans="1:9" x14ac:dyDescent="0.4">
      <c r="A9892" t="s">
        <v>64</v>
      </c>
      <c r="B9892" s="1">
        <v>45444</v>
      </c>
      <c r="C9892">
        <v>854239</v>
      </c>
      <c r="D9892" t="s">
        <v>176</v>
      </c>
      <c r="E9892">
        <v>0</v>
      </c>
      <c r="F9892">
        <v>0</v>
      </c>
      <c r="G9892">
        <v>0</v>
      </c>
      <c r="H9892">
        <f>_xlfn.XLOOKUP(FACT_IMPORTS[[#This Row],[hts_6]],DIM_PRODUCTS[hts_6],DIM_PRODUCTS[hts_4],,,)</f>
        <v>8542</v>
      </c>
      <c r="I9892" t="str" cm="1">
        <f t="array" ref="I9892">_xlfn.XLOOKUP(FACT_IMPORTS[[#This Row],[country_name]],DIM_COUNTRY[[#All],[Column2]],DIM_COUNTRY[[#All],[Column3]],,,)</f>
        <v>USMCA</v>
      </c>
    </row>
    <row r="9893" spans="1:9" x14ac:dyDescent="0.4">
      <c r="A9893" t="s">
        <v>64</v>
      </c>
      <c r="B9893" s="1">
        <v>45444</v>
      </c>
      <c r="C9893">
        <v>854290</v>
      </c>
      <c r="D9893" t="s">
        <v>176</v>
      </c>
      <c r="E9893">
        <v>11592</v>
      </c>
      <c r="F9893">
        <v>14</v>
      </c>
      <c r="G9893">
        <v>10</v>
      </c>
      <c r="H9893">
        <f>_xlfn.XLOOKUP(FACT_IMPORTS[[#This Row],[hts_6]],DIM_PRODUCTS[hts_6],DIM_PRODUCTS[hts_4],,,)</f>
        <v>8542</v>
      </c>
      <c r="I9893" t="str" cm="1">
        <f t="array" ref="I9893">_xlfn.XLOOKUP(FACT_IMPORTS[[#This Row],[country_name]],DIM_COUNTRY[[#All],[Column2]],DIM_COUNTRY[[#All],[Column3]],,,)</f>
        <v>USMCA</v>
      </c>
    </row>
    <row r="9894" spans="1:9" x14ac:dyDescent="0.4">
      <c r="A9894" t="s">
        <v>64</v>
      </c>
      <c r="B9894" s="1">
        <v>45444</v>
      </c>
      <c r="C9894">
        <v>854430</v>
      </c>
      <c r="D9894" t="s">
        <v>176</v>
      </c>
      <c r="E9894">
        <v>800579</v>
      </c>
      <c r="F9894">
        <v>47200</v>
      </c>
      <c r="G9894">
        <v>57271</v>
      </c>
      <c r="H9894">
        <f>_xlfn.XLOOKUP(FACT_IMPORTS[[#This Row],[hts_6]],DIM_PRODUCTS[hts_6],DIM_PRODUCTS[hts_4],,,)</f>
        <v>8544</v>
      </c>
      <c r="I9894" t="str" cm="1">
        <f t="array" ref="I9894">_xlfn.XLOOKUP(FACT_IMPORTS[[#This Row],[country_name]],DIM_COUNTRY[[#All],[Column2]],DIM_COUNTRY[[#All],[Column3]],,,)</f>
        <v>USMCA</v>
      </c>
    </row>
    <row r="9895" spans="1:9" x14ac:dyDescent="0.4">
      <c r="A9895" t="s">
        <v>64</v>
      </c>
      <c r="B9895" s="1">
        <v>45444</v>
      </c>
      <c r="C9895">
        <v>870810</v>
      </c>
      <c r="D9895" t="s">
        <v>176</v>
      </c>
      <c r="E9895">
        <v>21526</v>
      </c>
      <c r="F9895">
        <v>133</v>
      </c>
      <c r="G9895">
        <v>15</v>
      </c>
      <c r="H9895">
        <f>_xlfn.XLOOKUP(FACT_IMPORTS[[#This Row],[hts_6]],DIM_PRODUCTS[hts_6],DIM_PRODUCTS[hts_4],,,)</f>
        <v>8708</v>
      </c>
      <c r="I9895" t="str" cm="1">
        <f t="array" ref="I9895">_xlfn.XLOOKUP(FACT_IMPORTS[[#This Row],[country_name]],DIM_COUNTRY[[#All],[Column2]],DIM_COUNTRY[[#All],[Column3]],,,)</f>
        <v>USMCA</v>
      </c>
    </row>
    <row r="9896" spans="1:9" x14ac:dyDescent="0.4">
      <c r="A9896" t="s">
        <v>64</v>
      </c>
      <c r="B9896" s="1">
        <v>45444</v>
      </c>
      <c r="C9896">
        <v>870822</v>
      </c>
      <c r="D9896" t="s">
        <v>176</v>
      </c>
      <c r="E9896">
        <v>0</v>
      </c>
      <c r="F9896">
        <v>0</v>
      </c>
      <c r="G9896">
        <v>0</v>
      </c>
      <c r="H9896">
        <f>_xlfn.XLOOKUP(FACT_IMPORTS[[#This Row],[hts_6]],DIM_PRODUCTS[hts_6],DIM_PRODUCTS[hts_4],,,)</f>
        <v>8708</v>
      </c>
      <c r="I9896" t="str" cm="1">
        <f t="array" ref="I9896">_xlfn.XLOOKUP(FACT_IMPORTS[[#This Row],[country_name]],DIM_COUNTRY[[#All],[Column2]],DIM_COUNTRY[[#All],[Column3]],,,)</f>
        <v>USMCA</v>
      </c>
    </row>
    <row r="9897" spans="1:9" x14ac:dyDescent="0.4">
      <c r="A9897" t="s">
        <v>64</v>
      </c>
      <c r="B9897" s="1">
        <v>45444</v>
      </c>
      <c r="C9897">
        <v>870829</v>
      </c>
      <c r="D9897" t="s">
        <v>176</v>
      </c>
      <c r="E9897">
        <v>530004</v>
      </c>
      <c r="F9897">
        <v>14823</v>
      </c>
      <c r="G9897">
        <v>12105</v>
      </c>
      <c r="H9897">
        <f>_xlfn.XLOOKUP(FACT_IMPORTS[[#This Row],[hts_6]],DIM_PRODUCTS[hts_6],DIM_PRODUCTS[hts_4],,,)</f>
        <v>8708</v>
      </c>
      <c r="I9897" t="str" cm="1">
        <f t="array" ref="I9897">_xlfn.XLOOKUP(FACT_IMPORTS[[#This Row],[country_name]],DIM_COUNTRY[[#All],[Column2]],DIM_COUNTRY[[#All],[Column3]],,,)</f>
        <v>USMCA</v>
      </c>
    </row>
    <row r="9898" spans="1:9" x14ac:dyDescent="0.4">
      <c r="A9898" t="s">
        <v>64</v>
      </c>
      <c r="B9898" s="1">
        <v>45444</v>
      </c>
      <c r="C9898">
        <v>870830</v>
      </c>
      <c r="D9898" t="s">
        <v>176</v>
      </c>
      <c r="E9898">
        <v>761802</v>
      </c>
      <c r="F9898">
        <v>22131</v>
      </c>
      <c r="G9898">
        <v>4705</v>
      </c>
      <c r="H9898">
        <f>_xlfn.XLOOKUP(FACT_IMPORTS[[#This Row],[hts_6]],DIM_PRODUCTS[hts_6],DIM_PRODUCTS[hts_4],,,)</f>
        <v>8708</v>
      </c>
      <c r="I9898" t="str" cm="1">
        <f t="array" ref="I9898">_xlfn.XLOOKUP(FACT_IMPORTS[[#This Row],[country_name]],DIM_COUNTRY[[#All],[Column2]],DIM_COUNTRY[[#All],[Column3]],,,)</f>
        <v>USMCA</v>
      </c>
    </row>
    <row r="9899" spans="1:9" x14ac:dyDescent="0.4">
      <c r="A9899" t="s">
        <v>64</v>
      </c>
      <c r="B9899" s="1">
        <v>45444</v>
      </c>
      <c r="C9899">
        <v>870840</v>
      </c>
      <c r="D9899" t="s">
        <v>176</v>
      </c>
      <c r="E9899">
        <v>195744</v>
      </c>
      <c r="F9899">
        <v>659</v>
      </c>
      <c r="G9899">
        <v>1115</v>
      </c>
      <c r="H9899">
        <f>_xlfn.XLOOKUP(FACT_IMPORTS[[#This Row],[hts_6]],DIM_PRODUCTS[hts_6],DIM_PRODUCTS[hts_4],,,)</f>
        <v>8708</v>
      </c>
      <c r="I9899" t="str" cm="1">
        <f t="array" ref="I9899">_xlfn.XLOOKUP(FACT_IMPORTS[[#This Row],[country_name]],DIM_COUNTRY[[#All],[Column2]],DIM_COUNTRY[[#All],[Column3]],,,)</f>
        <v>USMCA</v>
      </c>
    </row>
    <row r="9900" spans="1:9" x14ac:dyDescent="0.4">
      <c r="A9900" t="s">
        <v>64</v>
      </c>
      <c r="B9900" s="1">
        <v>45444</v>
      </c>
      <c r="C9900">
        <v>870850</v>
      </c>
      <c r="D9900" t="s">
        <v>176</v>
      </c>
      <c r="E9900">
        <v>30067</v>
      </c>
      <c r="F9900">
        <v>66</v>
      </c>
      <c r="G9900">
        <v>353</v>
      </c>
      <c r="H9900">
        <f>_xlfn.XLOOKUP(FACT_IMPORTS[[#This Row],[hts_6]],DIM_PRODUCTS[hts_6],DIM_PRODUCTS[hts_4],,,)</f>
        <v>8708</v>
      </c>
      <c r="I9900" t="str" cm="1">
        <f t="array" ref="I9900">_xlfn.XLOOKUP(FACT_IMPORTS[[#This Row],[country_name]],DIM_COUNTRY[[#All],[Column2]],DIM_COUNTRY[[#All],[Column3]],,,)</f>
        <v>USMCA</v>
      </c>
    </row>
    <row r="9901" spans="1:9" x14ac:dyDescent="0.4">
      <c r="A9901" t="s">
        <v>64</v>
      </c>
      <c r="B9901" s="1">
        <v>45444</v>
      </c>
      <c r="C9901">
        <v>870870</v>
      </c>
      <c r="D9901" t="s">
        <v>176</v>
      </c>
      <c r="E9901">
        <v>47237</v>
      </c>
      <c r="F9901">
        <v>1279</v>
      </c>
      <c r="G9901">
        <v>968</v>
      </c>
      <c r="H9901">
        <f>_xlfn.XLOOKUP(FACT_IMPORTS[[#This Row],[hts_6]],DIM_PRODUCTS[hts_6],DIM_PRODUCTS[hts_4],,,)</f>
        <v>8708</v>
      </c>
      <c r="I9901" t="str" cm="1">
        <f t="array" ref="I9901">_xlfn.XLOOKUP(FACT_IMPORTS[[#This Row],[country_name]],DIM_COUNTRY[[#All],[Column2]],DIM_COUNTRY[[#All],[Column3]],,,)</f>
        <v>USMCA</v>
      </c>
    </row>
    <row r="9902" spans="1:9" x14ac:dyDescent="0.4">
      <c r="A9902" t="s">
        <v>64</v>
      </c>
      <c r="B9902" s="1">
        <v>45444</v>
      </c>
      <c r="C9902">
        <v>870880</v>
      </c>
      <c r="D9902" t="s">
        <v>176</v>
      </c>
      <c r="E9902">
        <v>17133</v>
      </c>
      <c r="F9902">
        <v>2419</v>
      </c>
      <c r="G9902">
        <v>842</v>
      </c>
      <c r="H9902">
        <f>_xlfn.XLOOKUP(FACT_IMPORTS[[#This Row],[hts_6]],DIM_PRODUCTS[hts_6],DIM_PRODUCTS[hts_4],,,)</f>
        <v>8708</v>
      </c>
      <c r="I9902" t="str" cm="1">
        <f t="array" ref="I9902">_xlfn.XLOOKUP(FACT_IMPORTS[[#This Row],[country_name]],DIM_COUNTRY[[#All],[Column2]],DIM_COUNTRY[[#All],[Column3]],,,)</f>
        <v>USMCA</v>
      </c>
    </row>
    <row r="9903" spans="1:9" x14ac:dyDescent="0.4">
      <c r="A9903" t="s">
        <v>64</v>
      </c>
      <c r="B9903" s="1">
        <v>45444</v>
      </c>
      <c r="C9903">
        <v>870891</v>
      </c>
      <c r="D9903" t="s">
        <v>176</v>
      </c>
      <c r="E9903">
        <v>12823</v>
      </c>
      <c r="F9903">
        <v>49</v>
      </c>
      <c r="G9903">
        <v>8</v>
      </c>
      <c r="H9903">
        <f>_xlfn.XLOOKUP(FACT_IMPORTS[[#This Row],[hts_6]],DIM_PRODUCTS[hts_6],DIM_PRODUCTS[hts_4],,,)</f>
        <v>8708</v>
      </c>
      <c r="I9903" t="str" cm="1">
        <f t="array" ref="I9903">_xlfn.XLOOKUP(FACT_IMPORTS[[#This Row],[country_name]],DIM_COUNTRY[[#All],[Column2]],DIM_COUNTRY[[#All],[Column3]],,,)</f>
        <v>USMCA</v>
      </c>
    </row>
    <row r="9904" spans="1:9" x14ac:dyDescent="0.4">
      <c r="A9904" t="s">
        <v>64</v>
      </c>
      <c r="B9904" s="1">
        <v>45444</v>
      </c>
      <c r="C9904">
        <v>870892</v>
      </c>
      <c r="D9904" t="s">
        <v>176</v>
      </c>
      <c r="E9904">
        <v>16564</v>
      </c>
      <c r="F9904">
        <v>120</v>
      </c>
      <c r="G9904">
        <v>31</v>
      </c>
      <c r="H9904">
        <f>_xlfn.XLOOKUP(FACT_IMPORTS[[#This Row],[hts_6]],DIM_PRODUCTS[hts_6],DIM_PRODUCTS[hts_4],,,)</f>
        <v>8708</v>
      </c>
      <c r="I9904" t="str" cm="1">
        <f t="array" ref="I9904">_xlfn.XLOOKUP(FACT_IMPORTS[[#This Row],[country_name]],DIM_COUNTRY[[#All],[Column2]],DIM_COUNTRY[[#All],[Column3]],,,)</f>
        <v>USMCA</v>
      </c>
    </row>
    <row r="9905" spans="1:9" x14ac:dyDescent="0.4">
      <c r="A9905" t="s">
        <v>64</v>
      </c>
      <c r="B9905" s="1">
        <v>45444</v>
      </c>
      <c r="C9905">
        <v>870893</v>
      </c>
      <c r="D9905" t="s">
        <v>176</v>
      </c>
      <c r="E9905">
        <v>197524</v>
      </c>
      <c r="F9905">
        <v>10231</v>
      </c>
      <c r="G9905">
        <v>53858</v>
      </c>
      <c r="H9905">
        <f>_xlfn.XLOOKUP(FACT_IMPORTS[[#This Row],[hts_6]],DIM_PRODUCTS[hts_6],DIM_PRODUCTS[hts_4],,,)</f>
        <v>8708</v>
      </c>
      <c r="I9905" t="str" cm="1">
        <f t="array" ref="I9905">_xlfn.XLOOKUP(FACT_IMPORTS[[#This Row],[country_name]],DIM_COUNTRY[[#All],[Column2]],DIM_COUNTRY[[#All],[Column3]],,,)</f>
        <v>USMCA</v>
      </c>
    </row>
    <row r="9906" spans="1:9" x14ac:dyDescent="0.4">
      <c r="A9906" t="s">
        <v>64</v>
      </c>
      <c r="B9906" s="1">
        <v>45444</v>
      </c>
      <c r="C9906">
        <v>870894</v>
      </c>
      <c r="D9906" t="s">
        <v>176</v>
      </c>
      <c r="E9906">
        <v>43641</v>
      </c>
      <c r="F9906">
        <v>177</v>
      </c>
      <c r="G9906">
        <v>2197</v>
      </c>
      <c r="H9906">
        <f>_xlfn.XLOOKUP(FACT_IMPORTS[[#This Row],[hts_6]],DIM_PRODUCTS[hts_6],DIM_PRODUCTS[hts_4],,,)</f>
        <v>8708</v>
      </c>
      <c r="I9906" t="str" cm="1">
        <f t="array" ref="I9906">_xlfn.XLOOKUP(FACT_IMPORTS[[#This Row],[country_name]],DIM_COUNTRY[[#All],[Column2]],DIM_COUNTRY[[#All],[Column3]],,,)</f>
        <v>USMCA</v>
      </c>
    </row>
    <row r="9907" spans="1:9" x14ac:dyDescent="0.4">
      <c r="A9907" t="s">
        <v>64</v>
      </c>
      <c r="B9907" s="1">
        <v>45444</v>
      </c>
      <c r="C9907">
        <v>870895</v>
      </c>
      <c r="D9907" t="s">
        <v>176</v>
      </c>
      <c r="E9907">
        <v>10576</v>
      </c>
      <c r="F9907">
        <v>1166</v>
      </c>
      <c r="G9907">
        <v>1041</v>
      </c>
      <c r="H9907">
        <f>_xlfn.XLOOKUP(FACT_IMPORTS[[#This Row],[hts_6]],DIM_PRODUCTS[hts_6],DIM_PRODUCTS[hts_4],,,)</f>
        <v>8708</v>
      </c>
      <c r="I9907" t="str" cm="1">
        <f t="array" ref="I9907">_xlfn.XLOOKUP(FACT_IMPORTS[[#This Row],[country_name]],DIM_COUNTRY[[#All],[Column2]],DIM_COUNTRY[[#All],[Column3]],,,)</f>
        <v>USMCA</v>
      </c>
    </row>
    <row r="9908" spans="1:9" x14ac:dyDescent="0.4">
      <c r="A9908" t="s">
        <v>64</v>
      </c>
      <c r="B9908" s="1">
        <v>45444</v>
      </c>
      <c r="C9908">
        <v>870899</v>
      </c>
      <c r="D9908" t="s">
        <v>176</v>
      </c>
      <c r="E9908">
        <v>123432</v>
      </c>
      <c r="F9908">
        <v>2492</v>
      </c>
      <c r="G9908">
        <v>8543</v>
      </c>
      <c r="H9908">
        <f>_xlfn.XLOOKUP(FACT_IMPORTS[[#This Row],[hts_6]],DIM_PRODUCTS[hts_6],DIM_PRODUCTS[hts_4],,,)</f>
        <v>8708</v>
      </c>
      <c r="I9908" t="str" cm="1">
        <f t="array" ref="I9908">_xlfn.XLOOKUP(FACT_IMPORTS[[#This Row],[country_name]],DIM_COUNTRY[[#All],[Column2]],DIM_COUNTRY[[#All],[Column3]],,,)</f>
        <v>USMCA</v>
      </c>
    </row>
    <row r="9909" spans="1:9" x14ac:dyDescent="0.4">
      <c r="A9909" t="s">
        <v>64</v>
      </c>
      <c r="B9909" s="1">
        <v>45444</v>
      </c>
      <c r="C9909">
        <v>940120</v>
      </c>
      <c r="D9909" t="s">
        <v>176</v>
      </c>
      <c r="E9909">
        <v>13605</v>
      </c>
      <c r="F9909">
        <v>72</v>
      </c>
      <c r="G9909">
        <v>212</v>
      </c>
      <c r="H9909">
        <f>_xlfn.XLOOKUP(FACT_IMPORTS[[#This Row],[hts_6]],DIM_PRODUCTS[hts_6],DIM_PRODUCTS[hts_4],,,)</f>
        <v>9401</v>
      </c>
      <c r="I9909" t="str" cm="1">
        <f t="array" ref="I9909">_xlfn.XLOOKUP(FACT_IMPORTS[[#This Row],[country_name]],DIM_COUNTRY[[#All],[Column2]],DIM_COUNTRY[[#All],[Column3]],,,)</f>
        <v>USMCA</v>
      </c>
    </row>
    <row r="9910" spans="1:9" x14ac:dyDescent="0.4">
      <c r="A9910" t="s">
        <v>64</v>
      </c>
      <c r="B9910" s="1">
        <v>45474</v>
      </c>
      <c r="C9910">
        <v>392630</v>
      </c>
      <c r="D9910" t="s">
        <v>176</v>
      </c>
      <c r="E9910">
        <v>2584</v>
      </c>
      <c r="F9910">
        <v>49</v>
      </c>
      <c r="G9910">
        <v>52</v>
      </c>
      <c r="H9910">
        <f>_xlfn.XLOOKUP(FACT_IMPORTS[[#This Row],[hts_6]],DIM_PRODUCTS[hts_6],DIM_PRODUCTS[hts_4],,,)</f>
        <v>3926</v>
      </c>
      <c r="I9910" t="str" cm="1">
        <f t="array" ref="I9910">_xlfn.XLOOKUP(FACT_IMPORTS[[#This Row],[country_name]],DIM_COUNTRY[[#All],[Column2]],DIM_COUNTRY[[#All],[Column3]],,,)</f>
        <v>USMCA</v>
      </c>
    </row>
    <row r="9911" spans="1:9" x14ac:dyDescent="0.4">
      <c r="A9911" t="s">
        <v>64</v>
      </c>
      <c r="B9911" s="1">
        <v>45474</v>
      </c>
      <c r="C9911">
        <v>401110</v>
      </c>
      <c r="D9911" t="s">
        <v>176</v>
      </c>
      <c r="E9911">
        <v>41388</v>
      </c>
      <c r="F9911">
        <v>362</v>
      </c>
      <c r="G9911">
        <v>1145</v>
      </c>
      <c r="H9911">
        <f>_xlfn.XLOOKUP(FACT_IMPORTS[[#This Row],[hts_6]],DIM_PRODUCTS[hts_6],DIM_PRODUCTS[hts_4],,,)</f>
        <v>4011</v>
      </c>
      <c r="I9911" t="str" cm="1">
        <f t="array" ref="I9911">_xlfn.XLOOKUP(FACT_IMPORTS[[#This Row],[country_name]],DIM_COUNTRY[[#All],[Column2]],DIM_COUNTRY[[#All],[Column3]],,,)</f>
        <v>USMCA</v>
      </c>
    </row>
    <row r="9912" spans="1:9" x14ac:dyDescent="0.4">
      <c r="A9912" t="s">
        <v>64</v>
      </c>
      <c r="B9912" s="1">
        <v>45474</v>
      </c>
      <c r="C9912">
        <v>401120</v>
      </c>
      <c r="D9912" t="s">
        <v>176</v>
      </c>
      <c r="E9912">
        <v>2391</v>
      </c>
      <c r="F9912">
        <v>18</v>
      </c>
      <c r="G9912">
        <v>2</v>
      </c>
      <c r="H9912">
        <f>_xlfn.XLOOKUP(FACT_IMPORTS[[#This Row],[hts_6]],DIM_PRODUCTS[hts_6],DIM_PRODUCTS[hts_4],,,)</f>
        <v>4011</v>
      </c>
      <c r="I9912" t="str" cm="1">
        <f t="array" ref="I9912">_xlfn.XLOOKUP(FACT_IMPORTS[[#This Row],[country_name]],DIM_COUNTRY[[#All],[Column2]],DIM_COUNTRY[[#All],[Column3]],,,)</f>
        <v>USMCA</v>
      </c>
    </row>
    <row r="9913" spans="1:9" x14ac:dyDescent="0.4">
      <c r="A9913" t="s">
        <v>64</v>
      </c>
      <c r="B9913" s="1">
        <v>45474</v>
      </c>
      <c r="C9913">
        <v>700711</v>
      </c>
      <c r="D9913" t="s">
        <v>176</v>
      </c>
      <c r="E9913">
        <v>0</v>
      </c>
      <c r="F9913">
        <v>0</v>
      </c>
      <c r="G9913">
        <v>0</v>
      </c>
      <c r="H9913">
        <f>_xlfn.XLOOKUP(FACT_IMPORTS[[#This Row],[hts_6]],DIM_PRODUCTS[hts_6],DIM_PRODUCTS[hts_4],,,)</f>
        <v>7007</v>
      </c>
      <c r="I9913" t="str" cm="1">
        <f t="array" ref="I9913">_xlfn.XLOOKUP(FACT_IMPORTS[[#This Row],[country_name]],DIM_COUNTRY[[#All],[Column2]],DIM_COUNTRY[[#All],[Column3]],,,)</f>
        <v>USMCA</v>
      </c>
    </row>
    <row r="9914" spans="1:9" x14ac:dyDescent="0.4">
      <c r="A9914" t="s">
        <v>64</v>
      </c>
      <c r="B9914" s="1">
        <v>45474</v>
      </c>
      <c r="C9914">
        <v>700721</v>
      </c>
      <c r="D9914" t="s">
        <v>176</v>
      </c>
      <c r="E9914">
        <v>0</v>
      </c>
      <c r="F9914">
        <v>0</v>
      </c>
      <c r="G9914">
        <v>0</v>
      </c>
      <c r="H9914">
        <f>_xlfn.XLOOKUP(FACT_IMPORTS[[#This Row],[hts_6]],DIM_PRODUCTS[hts_6],DIM_PRODUCTS[hts_4],,,)</f>
        <v>7007</v>
      </c>
      <c r="I9914" t="str" cm="1">
        <f t="array" ref="I9914">_xlfn.XLOOKUP(FACT_IMPORTS[[#This Row],[country_name]],DIM_COUNTRY[[#All],[Column2]],DIM_COUNTRY[[#All],[Column3]],,,)</f>
        <v>USMCA</v>
      </c>
    </row>
    <row r="9915" spans="1:9" x14ac:dyDescent="0.4">
      <c r="A9915" t="s">
        <v>64</v>
      </c>
      <c r="B9915" s="1">
        <v>45474</v>
      </c>
      <c r="C9915">
        <v>700910</v>
      </c>
      <c r="D9915" t="s">
        <v>176</v>
      </c>
      <c r="E9915">
        <v>2542</v>
      </c>
      <c r="F9915">
        <v>2</v>
      </c>
      <c r="G9915">
        <v>234</v>
      </c>
      <c r="H9915">
        <f>_xlfn.XLOOKUP(FACT_IMPORTS[[#This Row],[hts_6]],DIM_PRODUCTS[hts_6],DIM_PRODUCTS[hts_4],,,)</f>
        <v>7009</v>
      </c>
      <c r="I9915" t="str" cm="1">
        <f t="array" ref="I9915">_xlfn.XLOOKUP(FACT_IMPORTS[[#This Row],[country_name]],DIM_COUNTRY[[#All],[Column2]],DIM_COUNTRY[[#All],[Column3]],,,)</f>
        <v>USMCA</v>
      </c>
    </row>
    <row r="9916" spans="1:9" x14ac:dyDescent="0.4">
      <c r="A9916" t="s">
        <v>64</v>
      </c>
      <c r="B9916" s="1">
        <v>45474</v>
      </c>
      <c r="C9916">
        <v>732010</v>
      </c>
      <c r="D9916" t="s">
        <v>176</v>
      </c>
      <c r="E9916">
        <v>15890</v>
      </c>
      <c r="F9916">
        <v>6113</v>
      </c>
      <c r="G9916">
        <v>136</v>
      </c>
      <c r="H9916">
        <f>_xlfn.XLOOKUP(FACT_IMPORTS[[#This Row],[hts_6]],DIM_PRODUCTS[hts_6],DIM_PRODUCTS[hts_4],,,)</f>
        <v>7320</v>
      </c>
      <c r="I9916" t="str" cm="1">
        <f t="array" ref="I9916">_xlfn.XLOOKUP(FACT_IMPORTS[[#This Row],[country_name]],DIM_COUNTRY[[#All],[Column2]],DIM_COUNTRY[[#All],[Column3]],,,)</f>
        <v>USMCA</v>
      </c>
    </row>
    <row r="9917" spans="1:9" x14ac:dyDescent="0.4">
      <c r="A9917" t="s">
        <v>64</v>
      </c>
      <c r="B9917" s="1">
        <v>45474</v>
      </c>
      <c r="C9917">
        <v>830230</v>
      </c>
      <c r="D9917" t="s">
        <v>176</v>
      </c>
      <c r="E9917">
        <v>12000</v>
      </c>
      <c r="F9917">
        <v>2445</v>
      </c>
      <c r="G9917">
        <v>414</v>
      </c>
      <c r="H9917">
        <f>_xlfn.XLOOKUP(FACT_IMPORTS[[#This Row],[hts_6]],DIM_PRODUCTS[hts_6],DIM_PRODUCTS[hts_4],,,)</f>
        <v>8302</v>
      </c>
      <c r="I9917" t="str" cm="1">
        <f t="array" ref="I9917">_xlfn.XLOOKUP(FACT_IMPORTS[[#This Row],[country_name]],DIM_COUNTRY[[#All],[Column2]],DIM_COUNTRY[[#All],[Column3]],,,)</f>
        <v>USMCA</v>
      </c>
    </row>
    <row r="9918" spans="1:9" x14ac:dyDescent="0.4">
      <c r="A9918" t="s">
        <v>64</v>
      </c>
      <c r="B9918" s="1">
        <v>45474</v>
      </c>
      <c r="C9918">
        <v>840733</v>
      </c>
      <c r="D9918" t="s">
        <v>176</v>
      </c>
      <c r="E9918">
        <v>17000</v>
      </c>
      <c r="F9918">
        <v>2</v>
      </c>
      <c r="G9918">
        <v>150</v>
      </c>
      <c r="H9918">
        <f>_xlfn.XLOOKUP(FACT_IMPORTS[[#This Row],[hts_6]],DIM_PRODUCTS[hts_6],DIM_PRODUCTS[hts_4],,,)</f>
        <v>8407</v>
      </c>
      <c r="I9918" t="str" cm="1">
        <f t="array" ref="I9918">_xlfn.XLOOKUP(FACT_IMPORTS[[#This Row],[country_name]],DIM_COUNTRY[[#All],[Column2]],DIM_COUNTRY[[#All],[Column3]],,,)</f>
        <v>USMCA</v>
      </c>
    </row>
    <row r="9919" spans="1:9" x14ac:dyDescent="0.4">
      <c r="A9919" t="s">
        <v>64</v>
      </c>
      <c r="B9919" s="1">
        <v>45474</v>
      </c>
      <c r="C9919">
        <v>840734</v>
      </c>
      <c r="D9919" t="s">
        <v>176</v>
      </c>
      <c r="E9919">
        <v>59262</v>
      </c>
      <c r="F9919">
        <v>30</v>
      </c>
      <c r="G9919">
        <v>878</v>
      </c>
      <c r="H9919">
        <f>_xlfn.XLOOKUP(FACT_IMPORTS[[#This Row],[hts_6]],DIM_PRODUCTS[hts_6],DIM_PRODUCTS[hts_4],,,)</f>
        <v>8407</v>
      </c>
      <c r="I9919" t="str" cm="1">
        <f t="array" ref="I9919">_xlfn.XLOOKUP(FACT_IMPORTS[[#This Row],[country_name]],DIM_COUNTRY[[#All],[Column2]],DIM_COUNTRY[[#All],[Column3]],,,)</f>
        <v>USMCA</v>
      </c>
    </row>
    <row r="9920" spans="1:9" x14ac:dyDescent="0.4">
      <c r="A9920" t="s">
        <v>64</v>
      </c>
      <c r="B9920" s="1">
        <v>45474</v>
      </c>
      <c r="C9920">
        <v>840820</v>
      </c>
      <c r="D9920" t="s">
        <v>176</v>
      </c>
      <c r="E9920">
        <v>91260</v>
      </c>
      <c r="F9920">
        <v>16</v>
      </c>
      <c r="G9920">
        <v>179</v>
      </c>
      <c r="H9920">
        <f>_xlfn.XLOOKUP(FACT_IMPORTS[[#This Row],[hts_6]],DIM_PRODUCTS[hts_6],DIM_PRODUCTS[hts_4],,,)</f>
        <v>8408</v>
      </c>
      <c r="I9920" t="str" cm="1">
        <f t="array" ref="I9920">_xlfn.XLOOKUP(FACT_IMPORTS[[#This Row],[country_name]],DIM_COUNTRY[[#All],[Column2]],DIM_COUNTRY[[#All],[Column3]],,,)</f>
        <v>USMCA</v>
      </c>
    </row>
    <row r="9921" spans="1:9" x14ac:dyDescent="0.4">
      <c r="A9921" t="s">
        <v>64</v>
      </c>
      <c r="B9921" s="1">
        <v>45474</v>
      </c>
      <c r="C9921">
        <v>840890</v>
      </c>
      <c r="D9921" t="s">
        <v>176</v>
      </c>
      <c r="E9921">
        <v>3500</v>
      </c>
      <c r="F9921">
        <v>1</v>
      </c>
      <c r="G9921">
        <v>17</v>
      </c>
      <c r="H9921">
        <f>_xlfn.XLOOKUP(FACT_IMPORTS[[#This Row],[hts_6]],DIM_PRODUCTS[hts_6],DIM_PRODUCTS[hts_4],,,)</f>
        <v>8408</v>
      </c>
      <c r="I9921" t="str" cm="1">
        <f t="array" ref="I9921">_xlfn.XLOOKUP(FACT_IMPORTS[[#This Row],[country_name]],DIM_COUNTRY[[#All],[Column2]],DIM_COUNTRY[[#All],[Column3]],,,)</f>
        <v>USMCA</v>
      </c>
    </row>
    <row r="9922" spans="1:9" x14ac:dyDescent="0.4">
      <c r="A9922" t="s">
        <v>64</v>
      </c>
      <c r="B9922" s="1">
        <v>45474</v>
      </c>
      <c r="C9922">
        <v>840991</v>
      </c>
      <c r="D9922" t="s">
        <v>176</v>
      </c>
      <c r="E9922">
        <v>709482</v>
      </c>
      <c r="F9922">
        <v>53476</v>
      </c>
      <c r="G9922">
        <v>4009</v>
      </c>
      <c r="H9922">
        <f>_xlfn.XLOOKUP(FACT_IMPORTS[[#This Row],[hts_6]],DIM_PRODUCTS[hts_6],DIM_PRODUCTS[hts_4],,,)</f>
        <v>8409</v>
      </c>
      <c r="I9922" t="str" cm="1">
        <f t="array" ref="I9922">_xlfn.XLOOKUP(FACT_IMPORTS[[#This Row],[country_name]],DIM_COUNTRY[[#All],[Column2]],DIM_COUNTRY[[#All],[Column3]],,,)</f>
        <v>USMCA</v>
      </c>
    </row>
    <row r="9923" spans="1:9" x14ac:dyDescent="0.4">
      <c r="A9923" t="s">
        <v>64</v>
      </c>
      <c r="B9923" s="1">
        <v>45474</v>
      </c>
      <c r="C9923">
        <v>840999</v>
      </c>
      <c r="D9923" t="s">
        <v>176</v>
      </c>
      <c r="E9923">
        <v>85495</v>
      </c>
      <c r="F9923">
        <v>1337</v>
      </c>
      <c r="G9923">
        <v>540</v>
      </c>
      <c r="H9923">
        <f>_xlfn.XLOOKUP(FACT_IMPORTS[[#This Row],[hts_6]],DIM_PRODUCTS[hts_6],DIM_PRODUCTS[hts_4],,,)</f>
        <v>8409</v>
      </c>
      <c r="I9923" t="str" cm="1">
        <f t="array" ref="I9923">_xlfn.XLOOKUP(FACT_IMPORTS[[#This Row],[country_name]],DIM_COUNTRY[[#All],[Column2]],DIM_COUNTRY[[#All],[Column3]],,,)</f>
        <v>USMCA</v>
      </c>
    </row>
    <row r="9924" spans="1:9" x14ac:dyDescent="0.4">
      <c r="A9924" t="s">
        <v>64</v>
      </c>
      <c r="B9924" s="1">
        <v>45474</v>
      </c>
      <c r="C9924">
        <v>841330</v>
      </c>
      <c r="D9924" t="s">
        <v>176</v>
      </c>
      <c r="E9924">
        <v>52951</v>
      </c>
      <c r="F9924">
        <v>100</v>
      </c>
      <c r="G9924">
        <v>186</v>
      </c>
      <c r="H9924">
        <f>_xlfn.XLOOKUP(FACT_IMPORTS[[#This Row],[hts_6]],DIM_PRODUCTS[hts_6],DIM_PRODUCTS[hts_4],,,)</f>
        <v>8413</v>
      </c>
      <c r="I9924" t="str" cm="1">
        <f t="array" ref="I9924">_xlfn.XLOOKUP(FACT_IMPORTS[[#This Row],[country_name]],DIM_COUNTRY[[#All],[Column2]],DIM_COUNTRY[[#All],[Column3]],,,)</f>
        <v>USMCA</v>
      </c>
    </row>
    <row r="9925" spans="1:9" x14ac:dyDescent="0.4">
      <c r="A9925" t="s">
        <v>64</v>
      </c>
      <c r="B9925" s="1">
        <v>45474</v>
      </c>
      <c r="C9925">
        <v>842132</v>
      </c>
      <c r="D9925" t="s">
        <v>176</v>
      </c>
      <c r="E9925">
        <v>558425</v>
      </c>
      <c r="F9925">
        <v>1660</v>
      </c>
      <c r="G9925">
        <v>1005</v>
      </c>
      <c r="H9925">
        <f>_xlfn.XLOOKUP(FACT_IMPORTS[[#This Row],[hts_6]],DIM_PRODUCTS[hts_6],DIM_PRODUCTS[hts_4],,,)</f>
        <v>8421</v>
      </c>
      <c r="I9925" t="str" cm="1">
        <f t="array" ref="I9925">_xlfn.XLOOKUP(FACT_IMPORTS[[#This Row],[country_name]],DIM_COUNTRY[[#All],[Column2]],DIM_COUNTRY[[#All],[Column3]],,,)</f>
        <v>USMCA</v>
      </c>
    </row>
    <row r="9926" spans="1:9" x14ac:dyDescent="0.4">
      <c r="A9926" t="s">
        <v>64</v>
      </c>
      <c r="B9926" s="1">
        <v>45474</v>
      </c>
      <c r="C9926">
        <v>848210</v>
      </c>
      <c r="D9926" t="s">
        <v>176</v>
      </c>
      <c r="E9926">
        <v>0</v>
      </c>
      <c r="F9926">
        <v>0</v>
      </c>
      <c r="G9926">
        <v>0</v>
      </c>
      <c r="H9926">
        <f>_xlfn.XLOOKUP(FACT_IMPORTS[[#This Row],[hts_6]],DIM_PRODUCTS[hts_6],DIM_PRODUCTS[hts_4],,,)</f>
        <v>8482</v>
      </c>
      <c r="I9926" t="str" cm="1">
        <f t="array" ref="I9926">_xlfn.XLOOKUP(FACT_IMPORTS[[#This Row],[country_name]],DIM_COUNTRY[[#All],[Column2]],DIM_COUNTRY[[#All],[Column3]],,,)</f>
        <v>USMCA</v>
      </c>
    </row>
    <row r="9927" spans="1:9" x14ac:dyDescent="0.4">
      <c r="A9927" t="s">
        <v>64</v>
      </c>
      <c r="B9927" s="1">
        <v>45474</v>
      </c>
      <c r="C9927">
        <v>848220</v>
      </c>
      <c r="D9927" t="s">
        <v>176</v>
      </c>
      <c r="E9927">
        <v>0</v>
      </c>
      <c r="F9927">
        <v>0</v>
      </c>
      <c r="G9927">
        <v>0</v>
      </c>
      <c r="H9927">
        <f>_xlfn.XLOOKUP(FACT_IMPORTS[[#This Row],[hts_6]],DIM_PRODUCTS[hts_6],DIM_PRODUCTS[hts_4],,,)</f>
        <v>8482</v>
      </c>
      <c r="I9927" t="str" cm="1">
        <f t="array" ref="I9927">_xlfn.XLOOKUP(FACT_IMPORTS[[#This Row],[country_name]],DIM_COUNTRY[[#All],[Column2]],DIM_COUNTRY[[#All],[Column3]],,,)</f>
        <v>USMCA</v>
      </c>
    </row>
    <row r="9928" spans="1:9" x14ac:dyDescent="0.4">
      <c r="A9928" t="s">
        <v>64</v>
      </c>
      <c r="B9928" s="1">
        <v>45474</v>
      </c>
      <c r="C9928">
        <v>848310</v>
      </c>
      <c r="D9928" t="s">
        <v>176</v>
      </c>
      <c r="E9928">
        <v>0</v>
      </c>
      <c r="F9928">
        <v>0</v>
      </c>
      <c r="G9928">
        <v>0</v>
      </c>
      <c r="H9928">
        <f>_xlfn.XLOOKUP(FACT_IMPORTS[[#This Row],[hts_6]],DIM_PRODUCTS[hts_6],DIM_PRODUCTS[hts_4],,,)</f>
        <v>8483</v>
      </c>
      <c r="I9928" t="str" cm="1">
        <f t="array" ref="I9928">_xlfn.XLOOKUP(FACT_IMPORTS[[#This Row],[country_name]],DIM_COUNTRY[[#All],[Column2]],DIM_COUNTRY[[#All],[Column3]],,,)</f>
        <v>USMCA</v>
      </c>
    </row>
    <row r="9929" spans="1:9" x14ac:dyDescent="0.4">
      <c r="A9929" t="s">
        <v>64</v>
      </c>
      <c r="B9929" s="1">
        <v>45474</v>
      </c>
      <c r="C9929">
        <v>850131</v>
      </c>
      <c r="D9929" t="s">
        <v>176</v>
      </c>
      <c r="E9929">
        <v>71294</v>
      </c>
      <c r="F9929">
        <v>602</v>
      </c>
      <c r="G9929">
        <v>598</v>
      </c>
      <c r="H9929">
        <f>_xlfn.XLOOKUP(FACT_IMPORTS[[#This Row],[hts_6]],DIM_PRODUCTS[hts_6],DIM_PRODUCTS[hts_4],,,)</f>
        <v>8501</v>
      </c>
      <c r="I9929" t="str" cm="1">
        <f t="array" ref="I9929">_xlfn.XLOOKUP(FACT_IMPORTS[[#This Row],[country_name]],DIM_COUNTRY[[#All],[Column2]],DIM_COUNTRY[[#All],[Column3]],,,)</f>
        <v>USMCA</v>
      </c>
    </row>
    <row r="9930" spans="1:9" x14ac:dyDescent="0.4">
      <c r="A9930" t="s">
        <v>64</v>
      </c>
      <c r="B9930" s="1">
        <v>45474</v>
      </c>
      <c r="C9930">
        <v>850132</v>
      </c>
      <c r="D9930" t="s">
        <v>176</v>
      </c>
      <c r="E9930">
        <v>0</v>
      </c>
      <c r="F9930">
        <v>0</v>
      </c>
      <c r="G9930">
        <v>0</v>
      </c>
      <c r="H9930">
        <f>_xlfn.XLOOKUP(FACT_IMPORTS[[#This Row],[hts_6]],DIM_PRODUCTS[hts_6],DIM_PRODUCTS[hts_4],,,)</f>
        <v>8501</v>
      </c>
      <c r="I9930" t="str" cm="1">
        <f t="array" ref="I9930">_xlfn.XLOOKUP(FACT_IMPORTS[[#This Row],[country_name]],DIM_COUNTRY[[#All],[Column2]],DIM_COUNTRY[[#All],[Column3]],,,)</f>
        <v>USMCA</v>
      </c>
    </row>
    <row r="9931" spans="1:9" x14ac:dyDescent="0.4">
      <c r="A9931" t="s">
        <v>64</v>
      </c>
      <c r="B9931" s="1">
        <v>45474</v>
      </c>
      <c r="C9931">
        <v>850133</v>
      </c>
      <c r="D9931" t="s">
        <v>176</v>
      </c>
      <c r="E9931">
        <v>0</v>
      </c>
      <c r="F9931">
        <v>0</v>
      </c>
      <c r="G9931">
        <v>0</v>
      </c>
      <c r="H9931">
        <f>_xlfn.XLOOKUP(FACT_IMPORTS[[#This Row],[hts_6]],DIM_PRODUCTS[hts_6],DIM_PRODUCTS[hts_4],,,)</f>
        <v>8501</v>
      </c>
      <c r="I9931" t="str" cm="1">
        <f t="array" ref="I9931">_xlfn.XLOOKUP(FACT_IMPORTS[[#This Row],[country_name]],DIM_COUNTRY[[#All],[Column2]],DIM_COUNTRY[[#All],[Column3]],,,)</f>
        <v>USMCA</v>
      </c>
    </row>
    <row r="9932" spans="1:9" x14ac:dyDescent="0.4">
      <c r="A9932" t="s">
        <v>64</v>
      </c>
      <c r="B9932" s="1">
        <v>45474</v>
      </c>
      <c r="C9932">
        <v>850152</v>
      </c>
      <c r="D9932" t="s">
        <v>176</v>
      </c>
      <c r="E9932">
        <v>93827</v>
      </c>
      <c r="F9932">
        <v>25</v>
      </c>
      <c r="G9932">
        <v>637</v>
      </c>
      <c r="H9932">
        <f>_xlfn.XLOOKUP(FACT_IMPORTS[[#This Row],[hts_6]],DIM_PRODUCTS[hts_6],DIM_PRODUCTS[hts_4],,,)</f>
        <v>8501</v>
      </c>
      <c r="I9932" t="str" cm="1">
        <f t="array" ref="I9932">_xlfn.XLOOKUP(FACT_IMPORTS[[#This Row],[country_name]],DIM_COUNTRY[[#All],[Column2]],DIM_COUNTRY[[#All],[Column3]],,,)</f>
        <v>USMCA</v>
      </c>
    </row>
    <row r="9933" spans="1:9" x14ac:dyDescent="0.4">
      <c r="A9933" t="s">
        <v>64</v>
      </c>
      <c r="B9933" s="1">
        <v>45474</v>
      </c>
      <c r="C9933">
        <v>850153</v>
      </c>
      <c r="D9933" t="s">
        <v>176</v>
      </c>
      <c r="E9933">
        <v>53554</v>
      </c>
      <c r="F9933">
        <v>5</v>
      </c>
      <c r="G9933">
        <v>299</v>
      </c>
      <c r="H9933">
        <f>_xlfn.XLOOKUP(FACT_IMPORTS[[#This Row],[hts_6]],DIM_PRODUCTS[hts_6],DIM_PRODUCTS[hts_4],,,)</f>
        <v>8501</v>
      </c>
      <c r="I9933" t="str" cm="1">
        <f t="array" ref="I9933">_xlfn.XLOOKUP(FACT_IMPORTS[[#This Row],[country_name]],DIM_COUNTRY[[#All],[Column2]],DIM_COUNTRY[[#All],[Column3]],,,)</f>
        <v>USMCA</v>
      </c>
    </row>
    <row r="9934" spans="1:9" x14ac:dyDescent="0.4">
      <c r="A9934" t="s">
        <v>64</v>
      </c>
      <c r="B9934" s="1">
        <v>45474</v>
      </c>
      <c r="C9934">
        <v>850161</v>
      </c>
      <c r="D9934" t="s">
        <v>176</v>
      </c>
      <c r="E9934">
        <v>3919</v>
      </c>
      <c r="F9934">
        <v>1</v>
      </c>
      <c r="G9934">
        <v>500</v>
      </c>
      <c r="H9934">
        <f>_xlfn.XLOOKUP(FACT_IMPORTS[[#This Row],[hts_6]],DIM_PRODUCTS[hts_6],DIM_PRODUCTS[hts_4],,,)</f>
        <v>8501</v>
      </c>
      <c r="I9934" t="str" cm="1">
        <f t="array" ref="I9934">_xlfn.XLOOKUP(FACT_IMPORTS[[#This Row],[country_name]],DIM_COUNTRY[[#All],[Column2]],DIM_COUNTRY[[#All],[Column3]],,,)</f>
        <v>USMCA</v>
      </c>
    </row>
    <row r="9935" spans="1:9" x14ac:dyDescent="0.4">
      <c r="A9935" t="s">
        <v>64</v>
      </c>
      <c r="B9935" s="1">
        <v>45474</v>
      </c>
      <c r="C9935">
        <v>850440</v>
      </c>
      <c r="D9935" t="s">
        <v>176</v>
      </c>
      <c r="E9935">
        <v>770767</v>
      </c>
      <c r="F9935">
        <v>758</v>
      </c>
      <c r="G9935">
        <v>1543</v>
      </c>
      <c r="H9935">
        <f>_xlfn.XLOOKUP(FACT_IMPORTS[[#This Row],[hts_6]],DIM_PRODUCTS[hts_6],DIM_PRODUCTS[hts_4],,,)</f>
        <v>8504</v>
      </c>
      <c r="I9935" t="str" cm="1">
        <f t="array" ref="I9935">_xlfn.XLOOKUP(FACT_IMPORTS[[#This Row],[country_name]],DIM_COUNTRY[[#All],[Column2]],DIM_COUNTRY[[#All],[Column3]],,,)</f>
        <v>USMCA</v>
      </c>
    </row>
    <row r="9936" spans="1:9" x14ac:dyDescent="0.4">
      <c r="A9936" t="s">
        <v>64</v>
      </c>
      <c r="B9936" s="1">
        <v>45474</v>
      </c>
      <c r="C9936">
        <v>850710</v>
      </c>
      <c r="D9936" t="s">
        <v>176</v>
      </c>
      <c r="E9936">
        <v>0</v>
      </c>
      <c r="F9936">
        <v>0</v>
      </c>
      <c r="G9936">
        <v>0</v>
      </c>
      <c r="H9936">
        <f>_xlfn.XLOOKUP(FACT_IMPORTS[[#This Row],[hts_6]],DIM_PRODUCTS[hts_6],DIM_PRODUCTS[hts_4],,,)</f>
        <v>8507</v>
      </c>
      <c r="I9936" t="str" cm="1">
        <f t="array" ref="I9936">_xlfn.XLOOKUP(FACT_IMPORTS[[#This Row],[country_name]],DIM_COUNTRY[[#All],[Column2]],DIM_COUNTRY[[#All],[Column3]],,,)</f>
        <v>USMCA</v>
      </c>
    </row>
    <row r="9937" spans="1:9" x14ac:dyDescent="0.4">
      <c r="A9937" t="s">
        <v>64</v>
      </c>
      <c r="B9937" s="1">
        <v>45474</v>
      </c>
      <c r="C9937">
        <v>850760</v>
      </c>
      <c r="D9937" t="s">
        <v>176</v>
      </c>
      <c r="E9937">
        <v>0</v>
      </c>
      <c r="F9937">
        <v>0</v>
      </c>
      <c r="G9937">
        <v>0</v>
      </c>
      <c r="H9937">
        <f>_xlfn.XLOOKUP(FACT_IMPORTS[[#This Row],[hts_6]],DIM_PRODUCTS[hts_6],DIM_PRODUCTS[hts_4],,,)</f>
        <v>8507</v>
      </c>
      <c r="I9937" t="str" cm="1">
        <f t="array" ref="I9937">_xlfn.XLOOKUP(FACT_IMPORTS[[#This Row],[country_name]],DIM_COUNTRY[[#All],[Column2]],DIM_COUNTRY[[#All],[Column3]],,,)</f>
        <v>USMCA</v>
      </c>
    </row>
    <row r="9938" spans="1:9" x14ac:dyDescent="0.4">
      <c r="A9938" t="s">
        <v>64</v>
      </c>
      <c r="B9938" s="1">
        <v>45474</v>
      </c>
      <c r="C9938">
        <v>851110</v>
      </c>
      <c r="D9938" t="s">
        <v>176</v>
      </c>
      <c r="E9938">
        <v>0</v>
      </c>
      <c r="F9938">
        <v>0</v>
      </c>
      <c r="G9938">
        <v>0</v>
      </c>
      <c r="H9938">
        <f>_xlfn.XLOOKUP(FACT_IMPORTS[[#This Row],[hts_6]],DIM_PRODUCTS[hts_6],DIM_PRODUCTS[hts_4],,,)</f>
        <v>8511</v>
      </c>
      <c r="I9938" t="str" cm="1">
        <f t="array" ref="I9938">_xlfn.XLOOKUP(FACT_IMPORTS[[#This Row],[country_name]],DIM_COUNTRY[[#All],[Column2]],DIM_COUNTRY[[#All],[Column3]],,,)</f>
        <v>USMCA</v>
      </c>
    </row>
    <row r="9939" spans="1:9" x14ac:dyDescent="0.4">
      <c r="A9939" t="s">
        <v>64</v>
      </c>
      <c r="B9939" s="1">
        <v>45474</v>
      </c>
      <c r="C9939">
        <v>851120</v>
      </c>
      <c r="D9939" t="s">
        <v>176</v>
      </c>
      <c r="E9939">
        <v>0</v>
      </c>
      <c r="F9939">
        <v>0</v>
      </c>
      <c r="G9939">
        <v>0</v>
      </c>
      <c r="H9939">
        <f>_xlfn.XLOOKUP(FACT_IMPORTS[[#This Row],[hts_6]],DIM_PRODUCTS[hts_6],DIM_PRODUCTS[hts_4],,,)</f>
        <v>8511</v>
      </c>
      <c r="I9939" t="str" cm="1">
        <f t="array" ref="I9939">_xlfn.XLOOKUP(FACT_IMPORTS[[#This Row],[country_name]],DIM_COUNTRY[[#All],[Column2]],DIM_COUNTRY[[#All],[Column3]],,,)</f>
        <v>USMCA</v>
      </c>
    </row>
    <row r="9940" spans="1:9" x14ac:dyDescent="0.4">
      <c r="A9940" t="s">
        <v>64</v>
      </c>
      <c r="B9940" s="1">
        <v>45474</v>
      </c>
      <c r="C9940">
        <v>851140</v>
      </c>
      <c r="D9940" t="s">
        <v>176</v>
      </c>
      <c r="E9940">
        <v>23836</v>
      </c>
      <c r="F9940">
        <v>113</v>
      </c>
      <c r="G9940">
        <v>239</v>
      </c>
      <c r="H9940">
        <f>_xlfn.XLOOKUP(FACT_IMPORTS[[#This Row],[hts_6]],DIM_PRODUCTS[hts_6],DIM_PRODUCTS[hts_4],,,)</f>
        <v>8511</v>
      </c>
      <c r="I9940" t="str" cm="1">
        <f t="array" ref="I9940">_xlfn.XLOOKUP(FACT_IMPORTS[[#This Row],[country_name]],DIM_COUNTRY[[#All],[Column2]],DIM_COUNTRY[[#All],[Column3]],,,)</f>
        <v>USMCA</v>
      </c>
    </row>
    <row r="9941" spans="1:9" x14ac:dyDescent="0.4">
      <c r="A9941" t="s">
        <v>64</v>
      </c>
      <c r="B9941" s="1">
        <v>45474</v>
      </c>
      <c r="C9941">
        <v>851150</v>
      </c>
      <c r="D9941" t="s">
        <v>176</v>
      </c>
      <c r="E9941">
        <v>7085</v>
      </c>
      <c r="F9941">
        <v>24</v>
      </c>
      <c r="G9941">
        <v>480</v>
      </c>
      <c r="H9941">
        <f>_xlfn.XLOOKUP(FACT_IMPORTS[[#This Row],[hts_6]],DIM_PRODUCTS[hts_6],DIM_PRODUCTS[hts_4],,,)</f>
        <v>8511</v>
      </c>
      <c r="I9941" t="str" cm="1">
        <f t="array" ref="I9941">_xlfn.XLOOKUP(FACT_IMPORTS[[#This Row],[country_name]],DIM_COUNTRY[[#All],[Column2]],DIM_COUNTRY[[#All],[Column3]],,,)</f>
        <v>USMCA</v>
      </c>
    </row>
    <row r="9942" spans="1:9" x14ac:dyDescent="0.4">
      <c r="A9942" t="s">
        <v>64</v>
      </c>
      <c r="B9942" s="1">
        <v>45474</v>
      </c>
      <c r="C9942">
        <v>851180</v>
      </c>
      <c r="D9942" t="s">
        <v>176</v>
      </c>
      <c r="E9942">
        <v>6172</v>
      </c>
      <c r="F9942">
        <v>50</v>
      </c>
      <c r="G9942">
        <v>1</v>
      </c>
      <c r="H9942">
        <f>_xlfn.XLOOKUP(FACT_IMPORTS[[#This Row],[hts_6]],DIM_PRODUCTS[hts_6],DIM_PRODUCTS[hts_4],,,)</f>
        <v>8511</v>
      </c>
      <c r="I9942" t="str" cm="1">
        <f t="array" ref="I9942">_xlfn.XLOOKUP(FACT_IMPORTS[[#This Row],[country_name]],DIM_COUNTRY[[#All],[Column2]],DIM_COUNTRY[[#All],[Column3]],,,)</f>
        <v>USMCA</v>
      </c>
    </row>
    <row r="9943" spans="1:9" x14ac:dyDescent="0.4">
      <c r="A9943" t="s">
        <v>64</v>
      </c>
      <c r="B9943" s="1">
        <v>45474</v>
      </c>
      <c r="C9943">
        <v>851190</v>
      </c>
      <c r="D9943" t="s">
        <v>176</v>
      </c>
      <c r="E9943">
        <v>12101</v>
      </c>
      <c r="F9943">
        <v>101</v>
      </c>
      <c r="G9943">
        <v>26</v>
      </c>
      <c r="H9943">
        <f>_xlfn.XLOOKUP(FACT_IMPORTS[[#This Row],[hts_6]],DIM_PRODUCTS[hts_6],DIM_PRODUCTS[hts_4],,,)</f>
        <v>8511</v>
      </c>
      <c r="I9943" t="str" cm="1">
        <f t="array" ref="I9943">_xlfn.XLOOKUP(FACT_IMPORTS[[#This Row],[country_name]],DIM_COUNTRY[[#All],[Column2]],DIM_COUNTRY[[#All],[Column3]],,,)</f>
        <v>USMCA</v>
      </c>
    </row>
    <row r="9944" spans="1:9" x14ac:dyDescent="0.4">
      <c r="A9944" t="s">
        <v>64</v>
      </c>
      <c r="B9944" s="1">
        <v>45474</v>
      </c>
      <c r="C9944">
        <v>851220</v>
      </c>
      <c r="D9944" t="s">
        <v>176</v>
      </c>
      <c r="E9944">
        <v>19207</v>
      </c>
      <c r="F9944">
        <v>1054</v>
      </c>
      <c r="G9944">
        <v>265</v>
      </c>
      <c r="H9944">
        <f>_xlfn.XLOOKUP(FACT_IMPORTS[[#This Row],[hts_6]],DIM_PRODUCTS[hts_6],DIM_PRODUCTS[hts_4],,,)</f>
        <v>8512</v>
      </c>
      <c r="I9944" t="str" cm="1">
        <f t="array" ref="I9944">_xlfn.XLOOKUP(FACT_IMPORTS[[#This Row],[country_name]],DIM_COUNTRY[[#All],[Column2]],DIM_COUNTRY[[#All],[Column3]],,,)</f>
        <v>USMCA</v>
      </c>
    </row>
    <row r="9945" spans="1:9" x14ac:dyDescent="0.4">
      <c r="A9945" t="s">
        <v>64</v>
      </c>
      <c r="B9945" s="1">
        <v>45474</v>
      </c>
      <c r="C9945">
        <v>851230</v>
      </c>
      <c r="D9945" t="s">
        <v>176</v>
      </c>
      <c r="E9945">
        <v>2053</v>
      </c>
      <c r="F9945">
        <v>250</v>
      </c>
      <c r="G9945">
        <v>269</v>
      </c>
      <c r="H9945">
        <f>_xlfn.XLOOKUP(FACT_IMPORTS[[#This Row],[hts_6]],DIM_PRODUCTS[hts_6],DIM_PRODUCTS[hts_4],,,)</f>
        <v>8512</v>
      </c>
      <c r="I9945" t="str" cm="1">
        <f t="array" ref="I9945">_xlfn.XLOOKUP(FACT_IMPORTS[[#This Row],[country_name]],DIM_COUNTRY[[#All],[Column2]],DIM_COUNTRY[[#All],[Column3]],,,)</f>
        <v>USMCA</v>
      </c>
    </row>
    <row r="9946" spans="1:9" x14ac:dyDescent="0.4">
      <c r="A9946" t="s">
        <v>64</v>
      </c>
      <c r="B9946" s="1">
        <v>45474</v>
      </c>
      <c r="C9946">
        <v>851290</v>
      </c>
      <c r="D9946" t="s">
        <v>176</v>
      </c>
      <c r="E9946">
        <v>27767</v>
      </c>
      <c r="F9946">
        <v>898</v>
      </c>
      <c r="G9946">
        <v>640</v>
      </c>
      <c r="H9946">
        <f>_xlfn.XLOOKUP(FACT_IMPORTS[[#This Row],[hts_6]],DIM_PRODUCTS[hts_6],DIM_PRODUCTS[hts_4],,,)</f>
        <v>8512</v>
      </c>
      <c r="I9946" t="str" cm="1">
        <f t="array" ref="I9946">_xlfn.XLOOKUP(FACT_IMPORTS[[#This Row],[country_name]],DIM_COUNTRY[[#All],[Column2]],DIM_COUNTRY[[#All],[Column3]],,,)</f>
        <v>USMCA</v>
      </c>
    </row>
    <row r="9947" spans="1:9" x14ac:dyDescent="0.4">
      <c r="A9947" t="s">
        <v>64</v>
      </c>
      <c r="B9947" s="1">
        <v>45474</v>
      </c>
      <c r="C9947">
        <v>854231</v>
      </c>
      <c r="D9947" t="s">
        <v>176</v>
      </c>
      <c r="E9947">
        <v>0</v>
      </c>
      <c r="F9947">
        <v>0</v>
      </c>
      <c r="G9947">
        <v>0</v>
      </c>
      <c r="H9947">
        <f>_xlfn.XLOOKUP(FACT_IMPORTS[[#This Row],[hts_6]],DIM_PRODUCTS[hts_6],DIM_PRODUCTS[hts_4],,,)</f>
        <v>8542</v>
      </c>
      <c r="I9947" t="str" cm="1">
        <f t="array" ref="I9947">_xlfn.XLOOKUP(FACT_IMPORTS[[#This Row],[country_name]],DIM_COUNTRY[[#All],[Column2]],DIM_COUNTRY[[#All],[Column3]],,,)</f>
        <v>USMCA</v>
      </c>
    </row>
    <row r="9948" spans="1:9" x14ac:dyDescent="0.4">
      <c r="A9948" t="s">
        <v>64</v>
      </c>
      <c r="B9948" s="1">
        <v>45474</v>
      </c>
      <c r="C9948">
        <v>854239</v>
      </c>
      <c r="D9948" t="s">
        <v>176</v>
      </c>
      <c r="E9948">
        <v>0</v>
      </c>
      <c r="F9948">
        <v>0</v>
      </c>
      <c r="G9948">
        <v>0</v>
      </c>
      <c r="H9948">
        <f>_xlfn.XLOOKUP(FACT_IMPORTS[[#This Row],[hts_6]],DIM_PRODUCTS[hts_6],DIM_PRODUCTS[hts_4],,,)</f>
        <v>8542</v>
      </c>
      <c r="I9948" t="str" cm="1">
        <f t="array" ref="I9948">_xlfn.XLOOKUP(FACT_IMPORTS[[#This Row],[country_name]],DIM_COUNTRY[[#All],[Column2]],DIM_COUNTRY[[#All],[Column3]],,,)</f>
        <v>USMCA</v>
      </c>
    </row>
    <row r="9949" spans="1:9" x14ac:dyDescent="0.4">
      <c r="A9949" t="s">
        <v>64</v>
      </c>
      <c r="B9949" s="1">
        <v>45474</v>
      </c>
      <c r="C9949">
        <v>854290</v>
      </c>
      <c r="D9949" t="s">
        <v>176</v>
      </c>
      <c r="E9949">
        <v>3312</v>
      </c>
      <c r="F9949">
        <v>4</v>
      </c>
      <c r="G9949">
        <v>3</v>
      </c>
      <c r="H9949">
        <f>_xlfn.XLOOKUP(FACT_IMPORTS[[#This Row],[hts_6]],DIM_PRODUCTS[hts_6],DIM_PRODUCTS[hts_4],,,)</f>
        <v>8542</v>
      </c>
      <c r="I9949" t="str" cm="1">
        <f t="array" ref="I9949">_xlfn.XLOOKUP(FACT_IMPORTS[[#This Row],[country_name]],DIM_COUNTRY[[#All],[Column2]],DIM_COUNTRY[[#All],[Column3]],,,)</f>
        <v>USMCA</v>
      </c>
    </row>
    <row r="9950" spans="1:9" x14ac:dyDescent="0.4">
      <c r="A9950" t="s">
        <v>64</v>
      </c>
      <c r="B9950" s="1">
        <v>45474</v>
      </c>
      <c r="C9950">
        <v>854430</v>
      </c>
      <c r="D9950" t="s">
        <v>176</v>
      </c>
      <c r="E9950">
        <v>962254</v>
      </c>
      <c r="F9950">
        <v>25753</v>
      </c>
      <c r="G9950">
        <v>3968</v>
      </c>
      <c r="H9950">
        <f>_xlfn.XLOOKUP(FACT_IMPORTS[[#This Row],[hts_6]],DIM_PRODUCTS[hts_6],DIM_PRODUCTS[hts_4],,,)</f>
        <v>8544</v>
      </c>
      <c r="I9950" t="str" cm="1">
        <f t="array" ref="I9950">_xlfn.XLOOKUP(FACT_IMPORTS[[#This Row],[country_name]],DIM_COUNTRY[[#All],[Column2]],DIM_COUNTRY[[#All],[Column3]],,,)</f>
        <v>USMCA</v>
      </c>
    </row>
    <row r="9951" spans="1:9" x14ac:dyDescent="0.4">
      <c r="A9951" t="s">
        <v>64</v>
      </c>
      <c r="B9951" s="1">
        <v>45474</v>
      </c>
      <c r="C9951">
        <v>870810</v>
      </c>
      <c r="D9951" t="s">
        <v>176</v>
      </c>
      <c r="E9951">
        <v>17594</v>
      </c>
      <c r="F9951">
        <v>114</v>
      </c>
      <c r="G9951">
        <v>16</v>
      </c>
      <c r="H9951">
        <f>_xlfn.XLOOKUP(FACT_IMPORTS[[#This Row],[hts_6]],DIM_PRODUCTS[hts_6],DIM_PRODUCTS[hts_4],,,)</f>
        <v>8708</v>
      </c>
      <c r="I9951" t="str" cm="1">
        <f t="array" ref="I9951">_xlfn.XLOOKUP(FACT_IMPORTS[[#This Row],[country_name]],DIM_COUNTRY[[#All],[Column2]],DIM_COUNTRY[[#All],[Column3]],,,)</f>
        <v>USMCA</v>
      </c>
    </row>
    <row r="9952" spans="1:9" x14ac:dyDescent="0.4">
      <c r="A9952" t="s">
        <v>64</v>
      </c>
      <c r="B9952" s="1">
        <v>45474</v>
      </c>
      <c r="C9952">
        <v>870822</v>
      </c>
      <c r="D9952" t="s">
        <v>176</v>
      </c>
      <c r="E9952">
        <v>0</v>
      </c>
      <c r="F9952">
        <v>0</v>
      </c>
      <c r="G9952">
        <v>0</v>
      </c>
      <c r="H9952">
        <f>_xlfn.XLOOKUP(FACT_IMPORTS[[#This Row],[hts_6]],DIM_PRODUCTS[hts_6],DIM_PRODUCTS[hts_4],,,)</f>
        <v>8708</v>
      </c>
      <c r="I9952" t="str" cm="1">
        <f t="array" ref="I9952">_xlfn.XLOOKUP(FACT_IMPORTS[[#This Row],[country_name]],DIM_COUNTRY[[#All],[Column2]],DIM_COUNTRY[[#All],[Column3]],,,)</f>
        <v>USMCA</v>
      </c>
    </row>
    <row r="9953" spans="1:9" x14ac:dyDescent="0.4">
      <c r="A9953" t="s">
        <v>64</v>
      </c>
      <c r="B9953" s="1">
        <v>45474</v>
      </c>
      <c r="C9953">
        <v>870829</v>
      </c>
      <c r="D9953" t="s">
        <v>176</v>
      </c>
      <c r="E9953">
        <v>485321</v>
      </c>
      <c r="F9953">
        <v>9590</v>
      </c>
      <c r="G9953">
        <v>7392</v>
      </c>
      <c r="H9953">
        <f>_xlfn.XLOOKUP(FACT_IMPORTS[[#This Row],[hts_6]],DIM_PRODUCTS[hts_6],DIM_PRODUCTS[hts_4],,,)</f>
        <v>8708</v>
      </c>
      <c r="I9953" t="str" cm="1">
        <f t="array" ref="I9953">_xlfn.XLOOKUP(FACT_IMPORTS[[#This Row],[country_name]],DIM_COUNTRY[[#All],[Column2]],DIM_COUNTRY[[#All],[Column3]],,,)</f>
        <v>USMCA</v>
      </c>
    </row>
    <row r="9954" spans="1:9" x14ac:dyDescent="0.4">
      <c r="A9954" t="s">
        <v>64</v>
      </c>
      <c r="B9954" s="1">
        <v>45474</v>
      </c>
      <c r="C9954">
        <v>870830</v>
      </c>
      <c r="D9954" t="s">
        <v>176</v>
      </c>
      <c r="E9954">
        <v>799625</v>
      </c>
      <c r="F9954">
        <v>17740</v>
      </c>
      <c r="G9954">
        <v>2196</v>
      </c>
      <c r="H9954">
        <f>_xlfn.XLOOKUP(FACT_IMPORTS[[#This Row],[hts_6]],DIM_PRODUCTS[hts_6],DIM_PRODUCTS[hts_4],,,)</f>
        <v>8708</v>
      </c>
      <c r="I9954" t="str" cm="1">
        <f t="array" ref="I9954">_xlfn.XLOOKUP(FACT_IMPORTS[[#This Row],[country_name]],DIM_COUNTRY[[#All],[Column2]],DIM_COUNTRY[[#All],[Column3]],,,)</f>
        <v>USMCA</v>
      </c>
    </row>
    <row r="9955" spans="1:9" x14ac:dyDescent="0.4">
      <c r="A9955" t="s">
        <v>64</v>
      </c>
      <c r="B9955" s="1">
        <v>45474</v>
      </c>
      <c r="C9955">
        <v>870840</v>
      </c>
      <c r="D9955" t="s">
        <v>176</v>
      </c>
      <c r="E9955">
        <v>106329</v>
      </c>
      <c r="F9955">
        <v>100</v>
      </c>
      <c r="G9955">
        <v>3285</v>
      </c>
      <c r="H9955">
        <f>_xlfn.XLOOKUP(FACT_IMPORTS[[#This Row],[hts_6]],DIM_PRODUCTS[hts_6],DIM_PRODUCTS[hts_4],,,)</f>
        <v>8708</v>
      </c>
      <c r="I9955" t="str" cm="1">
        <f t="array" ref="I9955">_xlfn.XLOOKUP(FACT_IMPORTS[[#This Row],[country_name]],DIM_COUNTRY[[#All],[Column2]],DIM_COUNTRY[[#All],[Column3]],,,)</f>
        <v>USMCA</v>
      </c>
    </row>
    <row r="9956" spans="1:9" x14ac:dyDescent="0.4">
      <c r="A9956" t="s">
        <v>64</v>
      </c>
      <c r="B9956" s="1">
        <v>45474</v>
      </c>
      <c r="C9956">
        <v>870850</v>
      </c>
      <c r="D9956" t="s">
        <v>176</v>
      </c>
      <c r="E9956">
        <v>128164</v>
      </c>
      <c r="F9956">
        <v>287</v>
      </c>
      <c r="G9956">
        <v>727</v>
      </c>
      <c r="H9956">
        <f>_xlfn.XLOOKUP(FACT_IMPORTS[[#This Row],[hts_6]],DIM_PRODUCTS[hts_6],DIM_PRODUCTS[hts_4],,,)</f>
        <v>8708</v>
      </c>
      <c r="I9956" t="str" cm="1">
        <f t="array" ref="I9956">_xlfn.XLOOKUP(FACT_IMPORTS[[#This Row],[country_name]],DIM_COUNTRY[[#All],[Column2]],DIM_COUNTRY[[#All],[Column3]],,,)</f>
        <v>USMCA</v>
      </c>
    </row>
    <row r="9957" spans="1:9" x14ac:dyDescent="0.4">
      <c r="A9957" t="s">
        <v>64</v>
      </c>
      <c r="B9957" s="1">
        <v>45474</v>
      </c>
      <c r="C9957">
        <v>870870</v>
      </c>
      <c r="D9957" t="s">
        <v>176</v>
      </c>
      <c r="E9957">
        <v>55405</v>
      </c>
      <c r="F9957">
        <v>1644</v>
      </c>
      <c r="G9957">
        <v>1297</v>
      </c>
      <c r="H9957">
        <f>_xlfn.XLOOKUP(FACT_IMPORTS[[#This Row],[hts_6]],DIM_PRODUCTS[hts_6],DIM_PRODUCTS[hts_4],,,)</f>
        <v>8708</v>
      </c>
      <c r="I9957" t="str" cm="1">
        <f t="array" ref="I9957">_xlfn.XLOOKUP(FACT_IMPORTS[[#This Row],[country_name]],DIM_COUNTRY[[#All],[Column2]],DIM_COUNTRY[[#All],[Column3]],,,)</f>
        <v>USMCA</v>
      </c>
    </row>
    <row r="9958" spans="1:9" x14ac:dyDescent="0.4">
      <c r="A9958" t="s">
        <v>64</v>
      </c>
      <c r="B9958" s="1">
        <v>45474</v>
      </c>
      <c r="C9958">
        <v>870880</v>
      </c>
      <c r="D9958" t="s">
        <v>176</v>
      </c>
      <c r="E9958">
        <v>27303</v>
      </c>
      <c r="F9958">
        <v>2264</v>
      </c>
      <c r="G9958">
        <v>551</v>
      </c>
      <c r="H9958">
        <f>_xlfn.XLOOKUP(FACT_IMPORTS[[#This Row],[hts_6]],DIM_PRODUCTS[hts_6],DIM_PRODUCTS[hts_4],,,)</f>
        <v>8708</v>
      </c>
      <c r="I9958" t="str" cm="1">
        <f t="array" ref="I9958">_xlfn.XLOOKUP(FACT_IMPORTS[[#This Row],[country_name]],DIM_COUNTRY[[#All],[Column2]],DIM_COUNTRY[[#All],[Column3]],,,)</f>
        <v>USMCA</v>
      </c>
    </row>
    <row r="9959" spans="1:9" x14ac:dyDescent="0.4">
      <c r="A9959" t="s">
        <v>64</v>
      </c>
      <c r="B9959" s="1">
        <v>45474</v>
      </c>
      <c r="C9959">
        <v>870891</v>
      </c>
      <c r="D9959" t="s">
        <v>176</v>
      </c>
      <c r="E9959">
        <v>23573</v>
      </c>
      <c r="F9959">
        <v>233</v>
      </c>
      <c r="G9959">
        <v>333</v>
      </c>
      <c r="H9959">
        <f>_xlfn.XLOOKUP(FACT_IMPORTS[[#This Row],[hts_6]],DIM_PRODUCTS[hts_6],DIM_PRODUCTS[hts_4],,,)</f>
        <v>8708</v>
      </c>
      <c r="I9959" t="str" cm="1">
        <f t="array" ref="I9959">_xlfn.XLOOKUP(FACT_IMPORTS[[#This Row],[country_name]],DIM_COUNTRY[[#All],[Column2]],DIM_COUNTRY[[#All],[Column3]],,,)</f>
        <v>USMCA</v>
      </c>
    </row>
    <row r="9960" spans="1:9" x14ac:dyDescent="0.4">
      <c r="A9960" t="s">
        <v>64</v>
      </c>
      <c r="B9960" s="1">
        <v>45474</v>
      </c>
      <c r="C9960">
        <v>870892</v>
      </c>
      <c r="D9960" t="s">
        <v>176</v>
      </c>
      <c r="E9960">
        <v>6427</v>
      </c>
      <c r="F9960">
        <v>92</v>
      </c>
      <c r="G9960">
        <v>25</v>
      </c>
      <c r="H9960">
        <f>_xlfn.XLOOKUP(FACT_IMPORTS[[#This Row],[hts_6]],DIM_PRODUCTS[hts_6],DIM_PRODUCTS[hts_4],,,)</f>
        <v>8708</v>
      </c>
      <c r="I9960" t="str" cm="1">
        <f t="array" ref="I9960">_xlfn.XLOOKUP(FACT_IMPORTS[[#This Row],[country_name]],DIM_COUNTRY[[#All],[Column2]],DIM_COUNTRY[[#All],[Column3]],,,)</f>
        <v>USMCA</v>
      </c>
    </row>
    <row r="9961" spans="1:9" x14ac:dyDescent="0.4">
      <c r="A9961" t="s">
        <v>64</v>
      </c>
      <c r="B9961" s="1">
        <v>45474</v>
      </c>
      <c r="C9961">
        <v>870893</v>
      </c>
      <c r="D9961" t="s">
        <v>176</v>
      </c>
      <c r="E9961">
        <v>7961</v>
      </c>
      <c r="F9961">
        <v>9</v>
      </c>
      <c r="G9961">
        <v>94</v>
      </c>
      <c r="H9961">
        <f>_xlfn.XLOOKUP(FACT_IMPORTS[[#This Row],[hts_6]],DIM_PRODUCTS[hts_6],DIM_PRODUCTS[hts_4],,,)</f>
        <v>8708</v>
      </c>
      <c r="I9961" t="str" cm="1">
        <f t="array" ref="I9961">_xlfn.XLOOKUP(FACT_IMPORTS[[#This Row],[country_name]],DIM_COUNTRY[[#All],[Column2]],DIM_COUNTRY[[#All],[Column3]],,,)</f>
        <v>USMCA</v>
      </c>
    </row>
    <row r="9962" spans="1:9" x14ac:dyDescent="0.4">
      <c r="A9962" t="s">
        <v>64</v>
      </c>
      <c r="B9962" s="1">
        <v>45474</v>
      </c>
      <c r="C9962">
        <v>870894</v>
      </c>
      <c r="D9962" t="s">
        <v>176</v>
      </c>
      <c r="E9962">
        <v>83985</v>
      </c>
      <c r="F9962">
        <v>249</v>
      </c>
      <c r="G9962">
        <v>1430</v>
      </c>
      <c r="H9962">
        <f>_xlfn.XLOOKUP(FACT_IMPORTS[[#This Row],[hts_6]],DIM_PRODUCTS[hts_6],DIM_PRODUCTS[hts_4],,,)</f>
        <v>8708</v>
      </c>
      <c r="I9962" t="str" cm="1">
        <f t="array" ref="I9962">_xlfn.XLOOKUP(FACT_IMPORTS[[#This Row],[country_name]],DIM_COUNTRY[[#All],[Column2]],DIM_COUNTRY[[#All],[Column3]],,,)</f>
        <v>USMCA</v>
      </c>
    </row>
    <row r="9963" spans="1:9" x14ac:dyDescent="0.4">
      <c r="A9963" t="s">
        <v>64</v>
      </c>
      <c r="B9963" s="1">
        <v>45474</v>
      </c>
      <c r="C9963">
        <v>870895</v>
      </c>
      <c r="D9963" t="s">
        <v>176</v>
      </c>
      <c r="E9963">
        <v>34809</v>
      </c>
      <c r="F9963">
        <v>998</v>
      </c>
      <c r="G9963">
        <v>2405</v>
      </c>
      <c r="H9963">
        <f>_xlfn.XLOOKUP(FACT_IMPORTS[[#This Row],[hts_6]],DIM_PRODUCTS[hts_6],DIM_PRODUCTS[hts_4],,,)</f>
        <v>8708</v>
      </c>
      <c r="I9963" t="str" cm="1">
        <f t="array" ref="I9963">_xlfn.XLOOKUP(FACT_IMPORTS[[#This Row],[country_name]],DIM_COUNTRY[[#All],[Column2]],DIM_COUNTRY[[#All],[Column3]],,,)</f>
        <v>USMCA</v>
      </c>
    </row>
    <row r="9964" spans="1:9" x14ac:dyDescent="0.4">
      <c r="A9964" t="s">
        <v>64</v>
      </c>
      <c r="B9964" s="1">
        <v>45474</v>
      </c>
      <c r="C9964">
        <v>870899</v>
      </c>
      <c r="D9964" t="s">
        <v>176</v>
      </c>
      <c r="E9964">
        <v>84339</v>
      </c>
      <c r="F9964">
        <v>1283</v>
      </c>
      <c r="G9964">
        <v>1690</v>
      </c>
      <c r="H9964">
        <f>_xlfn.XLOOKUP(FACT_IMPORTS[[#This Row],[hts_6]],DIM_PRODUCTS[hts_6],DIM_PRODUCTS[hts_4],,,)</f>
        <v>8708</v>
      </c>
      <c r="I9964" t="str" cm="1">
        <f t="array" ref="I9964">_xlfn.XLOOKUP(FACT_IMPORTS[[#This Row],[country_name]],DIM_COUNTRY[[#All],[Column2]],DIM_COUNTRY[[#All],[Column3]],,,)</f>
        <v>USMCA</v>
      </c>
    </row>
    <row r="9965" spans="1:9" x14ac:dyDescent="0.4">
      <c r="A9965" t="s">
        <v>64</v>
      </c>
      <c r="B9965" s="1">
        <v>45474</v>
      </c>
      <c r="C9965">
        <v>940120</v>
      </c>
      <c r="D9965" t="s">
        <v>176</v>
      </c>
      <c r="E9965">
        <v>17596</v>
      </c>
      <c r="F9965">
        <v>83</v>
      </c>
      <c r="G9965">
        <v>208</v>
      </c>
      <c r="H9965">
        <f>_xlfn.XLOOKUP(FACT_IMPORTS[[#This Row],[hts_6]],DIM_PRODUCTS[hts_6],DIM_PRODUCTS[hts_4],,,)</f>
        <v>9401</v>
      </c>
      <c r="I9965" t="str" cm="1">
        <f t="array" ref="I9965">_xlfn.XLOOKUP(FACT_IMPORTS[[#This Row],[country_name]],DIM_COUNTRY[[#All],[Column2]],DIM_COUNTRY[[#All],[Column3]],,,)</f>
        <v>USMCA</v>
      </c>
    </row>
    <row r="9966" spans="1:9" x14ac:dyDescent="0.4">
      <c r="A9966" t="s">
        <v>64</v>
      </c>
      <c r="B9966" s="1">
        <v>45505</v>
      </c>
      <c r="C9966">
        <v>392630</v>
      </c>
      <c r="D9966" t="s">
        <v>176</v>
      </c>
      <c r="E9966">
        <v>13698</v>
      </c>
      <c r="F9966">
        <v>1202</v>
      </c>
      <c r="G9966">
        <v>684</v>
      </c>
      <c r="H9966">
        <f>_xlfn.XLOOKUP(FACT_IMPORTS[[#This Row],[hts_6]],DIM_PRODUCTS[hts_6],DIM_PRODUCTS[hts_4],,,)</f>
        <v>3926</v>
      </c>
      <c r="I9966" t="str" cm="1">
        <f t="array" ref="I9966">_xlfn.XLOOKUP(FACT_IMPORTS[[#This Row],[country_name]],DIM_COUNTRY[[#All],[Column2]],DIM_COUNTRY[[#All],[Column3]],,,)</f>
        <v>USMCA</v>
      </c>
    </row>
    <row r="9967" spans="1:9" x14ac:dyDescent="0.4">
      <c r="A9967" t="s">
        <v>64</v>
      </c>
      <c r="B9967" s="1">
        <v>45505</v>
      </c>
      <c r="C9967">
        <v>401110</v>
      </c>
      <c r="D9967" t="s">
        <v>176</v>
      </c>
      <c r="E9967">
        <v>3296</v>
      </c>
      <c r="F9967">
        <v>34</v>
      </c>
      <c r="G9967">
        <v>335</v>
      </c>
      <c r="H9967">
        <f>_xlfn.XLOOKUP(FACT_IMPORTS[[#This Row],[hts_6]],DIM_PRODUCTS[hts_6],DIM_PRODUCTS[hts_4],,,)</f>
        <v>4011</v>
      </c>
      <c r="I9967" t="str" cm="1">
        <f t="array" ref="I9967">_xlfn.XLOOKUP(FACT_IMPORTS[[#This Row],[country_name]],DIM_COUNTRY[[#All],[Column2]],DIM_COUNTRY[[#All],[Column3]],,,)</f>
        <v>USMCA</v>
      </c>
    </row>
    <row r="9968" spans="1:9" x14ac:dyDescent="0.4">
      <c r="A9968" t="s">
        <v>64</v>
      </c>
      <c r="B9968" s="1">
        <v>45505</v>
      </c>
      <c r="C9968">
        <v>401120</v>
      </c>
      <c r="D9968" t="s">
        <v>176</v>
      </c>
      <c r="E9968">
        <v>0</v>
      </c>
      <c r="F9968">
        <v>0</v>
      </c>
      <c r="G9968">
        <v>0</v>
      </c>
      <c r="H9968">
        <f>_xlfn.XLOOKUP(FACT_IMPORTS[[#This Row],[hts_6]],DIM_PRODUCTS[hts_6],DIM_PRODUCTS[hts_4],,,)</f>
        <v>4011</v>
      </c>
      <c r="I9968" t="str" cm="1">
        <f t="array" ref="I9968">_xlfn.XLOOKUP(FACT_IMPORTS[[#This Row],[country_name]],DIM_COUNTRY[[#All],[Column2]],DIM_COUNTRY[[#All],[Column3]],,,)</f>
        <v>USMCA</v>
      </c>
    </row>
    <row r="9969" spans="1:9" x14ac:dyDescent="0.4">
      <c r="A9969" t="s">
        <v>64</v>
      </c>
      <c r="B9969" s="1">
        <v>45505</v>
      </c>
      <c r="C9969">
        <v>700711</v>
      </c>
      <c r="D9969" t="s">
        <v>176</v>
      </c>
      <c r="E9969">
        <v>9475</v>
      </c>
      <c r="F9969">
        <v>18</v>
      </c>
      <c r="G9969">
        <v>68</v>
      </c>
      <c r="H9969">
        <f>_xlfn.XLOOKUP(FACT_IMPORTS[[#This Row],[hts_6]],DIM_PRODUCTS[hts_6],DIM_PRODUCTS[hts_4],,,)</f>
        <v>7007</v>
      </c>
      <c r="I9969" t="str" cm="1">
        <f t="array" ref="I9969">_xlfn.XLOOKUP(FACT_IMPORTS[[#This Row],[country_name]],DIM_COUNTRY[[#All],[Column2]],DIM_COUNTRY[[#All],[Column3]],,,)</f>
        <v>USMCA</v>
      </c>
    </row>
    <row r="9970" spans="1:9" x14ac:dyDescent="0.4">
      <c r="A9970" t="s">
        <v>64</v>
      </c>
      <c r="B9970" s="1">
        <v>45505</v>
      </c>
      <c r="C9970">
        <v>700721</v>
      </c>
      <c r="D9970" t="s">
        <v>176</v>
      </c>
      <c r="E9970">
        <v>6378</v>
      </c>
      <c r="F9970">
        <v>12</v>
      </c>
      <c r="G9970">
        <v>1650</v>
      </c>
      <c r="H9970">
        <f>_xlfn.XLOOKUP(FACT_IMPORTS[[#This Row],[hts_6]],DIM_PRODUCTS[hts_6],DIM_PRODUCTS[hts_4],,,)</f>
        <v>7007</v>
      </c>
      <c r="I9970" t="str" cm="1">
        <f t="array" ref="I9970">_xlfn.XLOOKUP(FACT_IMPORTS[[#This Row],[country_name]],DIM_COUNTRY[[#All],[Column2]],DIM_COUNTRY[[#All],[Column3]],,,)</f>
        <v>USMCA</v>
      </c>
    </row>
    <row r="9971" spans="1:9" x14ac:dyDescent="0.4">
      <c r="A9971" t="s">
        <v>64</v>
      </c>
      <c r="B9971" s="1">
        <v>45505</v>
      </c>
      <c r="C9971">
        <v>700910</v>
      </c>
      <c r="D9971" t="s">
        <v>176</v>
      </c>
      <c r="E9971">
        <v>0</v>
      </c>
      <c r="F9971">
        <v>0</v>
      </c>
      <c r="G9971">
        <v>0</v>
      </c>
      <c r="H9971">
        <f>_xlfn.XLOOKUP(FACT_IMPORTS[[#This Row],[hts_6]],DIM_PRODUCTS[hts_6],DIM_PRODUCTS[hts_4],,,)</f>
        <v>7009</v>
      </c>
      <c r="I9971" t="str" cm="1">
        <f t="array" ref="I9971">_xlfn.XLOOKUP(FACT_IMPORTS[[#This Row],[country_name]],DIM_COUNTRY[[#All],[Column2]],DIM_COUNTRY[[#All],[Column3]],,,)</f>
        <v>USMCA</v>
      </c>
    </row>
    <row r="9972" spans="1:9" x14ac:dyDescent="0.4">
      <c r="A9972" t="s">
        <v>64</v>
      </c>
      <c r="B9972" s="1">
        <v>45505</v>
      </c>
      <c r="C9972">
        <v>732010</v>
      </c>
      <c r="D9972" t="s">
        <v>176</v>
      </c>
      <c r="E9972">
        <v>0</v>
      </c>
      <c r="F9972">
        <v>0</v>
      </c>
      <c r="G9972">
        <v>0</v>
      </c>
      <c r="H9972">
        <f>_xlfn.XLOOKUP(FACT_IMPORTS[[#This Row],[hts_6]],DIM_PRODUCTS[hts_6],DIM_PRODUCTS[hts_4],,,)</f>
        <v>7320</v>
      </c>
      <c r="I9972" t="str" cm="1">
        <f t="array" ref="I9972">_xlfn.XLOOKUP(FACT_IMPORTS[[#This Row],[country_name]],DIM_COUNTRY[[#All],[Column2]],DIM_COUNTRY[[#All],[Column3]],,,)</f>
        <v>USMCA</v>
      </c>
    </row>
    <row r="9973" spans="1:9" x14ac:dyDescent="0.4">
      <c r="A9973" t="s">
        <v>64</v>
      </c>
      <c r="B9973" s="1">
        <v>45505</v>
      </c>
      <c r="C9973">
        <v>830230</v>
      </c>
      <c r="D9973" t="s">
        <v>176</v>
      </c>
      <c r="E9973">
        <v>14778</v>
      </c>
      <c r="F9973">
        <v>80</v>
      </c>
      <c r="G9973">
        <v>1477</v>
      </c>
      <c r="H9973">
        <f>_xlfn.XLOOKUP(FACT_IMPORTS[[#This Row],[hts_6]],DIM_PRODUCTS[hts_6],DIM_PRODUCTS[hts_4],,,)</f>
        <v>8302</v>
      </c>
      <c r="I9973" t="str" cm="1">
        <f t="array" ref="I9973">_xlfn.XLOOKUP(FACT_IMPORTS[[#This Row],[country_name]],DIM_COUNTRY[[#All],[Column2]],DIM_COUNTRY[[#All],[Column3]],,,)</f>
        <v>USMCA</v>
      </c>
    </row>
    <row r="9974" spans="1:9" x14ac:dyDescent="0.4">
      <c r="A9974" t="s">
        <v>64</v>
      </c>
      <c r="B9974" s="1">
        <v>45505</v>
      </c>
      <c r="C9974">
        <v>840733</v>
      </c>
      <c r="D9974" t="s">
        <v>176</v>
      </c>
      <c r="E9974">
        <v>27000</v>
      </c>
      <c r="F9974">
        <v>2</v>
      </c>
      <c r="G9974">
        <v>500</v>
      </c>
      <c r="H9974">
        <f>_xlfn.XLOOKUP(FACT_IMPORTS[[#This Row],[hts_6]],DIM_PRODUCTS[hts_6],DIM_PRODUCTS[hts_4],,,)</f>
        <v>8407</v>
      </c>
      <c r="I9974" t="str" cm="1">
        <f t="array" ref="I9974">_xlfn.XLOOKUP(FACT_IMPORTS[[#This Row],[country_name]],DIM_COUNTRY[[#All],[Column2]],DIM_COUNTRY[[#All],[Column3]],,,)</f>
        <v>USMCA</v>
      </c>
    </row>
    <row r="9975" spans="1:9" x14ac:dyDescent="0.4">
      <c r="A9975" t="s">
        <v>64</v>
      </c>
      <c r="B9975" s="1">
        <v>45505</v>
      </c>
      <c r="C9975">
        <v>840734</v>
      </c>
      <c r="D9975" t="s">
        <v>176</v>
      </c>
      <c r="E9975">
        <v>162026</v>
      </c>
      <c r="F9975">
        <v>86</v>
      </c>
      <c r="G9975">
        <v>1291</v>
      </c>
      <c r="H9975">
        <f>_xlfn.XLOOKUP(FACT_IMPORTS[[#This Row],[hts_6]],DIM_PRODUCTS[hts_6],DIM_PRODUCTS[hts_4],,,)</f>
        <v>8407</v>
      </c>
      <c r="I9975" t="str" cm="1">
        <f t="array" ref="I9975">_xlfn.XLOOKUP(FACT_IMPORTS[[#This Row],[country_name]],DIM_COUNTRY[[#All],[Column2]],DIM_COUNTRY[[#All],[Column3]],,,)</f>
        <v>USMCA</v>
      </c>
    </row>
    <row r="9976" spans="1:9" x14ac:dyDescent="0.4">
      <c r="A9976" t="s">
        <v>64</v>
      </c>
      <c r="B9976" s="1">
        <v>45505</v>
      </c>
      <c r="C9976">
        <v>840820</v>
      </c>
      <c r="D9976" t="s">
        <v>176</v>
      </c>
      <c r="E9976">
        <v>55720</v>
      </c>
      <c r="F9976">
        <v>10</v>
      </c>
      <c r="G9976">
        <v>182</v>
      </c>
      <c r="H9976">
        <f>_xlfn.XLOOKUP(FACT_IMPORTS[[#This Row],[hts_6]],DIM_PRODUCTS[hts_6],DIM_PRODUCTS[hts_4],,,)</f>
        <v>8408</v>
      </c>
      <c r="I9976" t="str" cm="1">
        <f t="array" ref="I9976">_xlfn.XLOOKUP(FACT_IMPORTS[[#This Row],[country_name]],DIM_COUNTRY[[#All],[Column2]],DIM_COUNTRY[[#All],[Column3]],,,)</f>
        <v>USMCA</v>
      </c>
    </row>
    <row r="9977" spans="1:9" x14ac:dyDescent="0.4">
      <c r="A9977" t="s">
        <v>64</v>
      </c>
      <c r="B9977" s="1">
        <v>45505</v>
      </c>
      <c r="C9977">
        <v>840890</v>
      </c>
      <c r="D9977" t="s">
        <v>176</v>
      </c>
      <c r="E9977">
        <v>57490</v>
      </c>
      <c r="F9977">
        <v>5</v>
      </c>
      <c r="G9977">
        <v>79</v>
      </c>
      <c r="H9977">
        <f>_xlfn.XLOOKUP(FACT_IMPORTS[[#This Row],[hts_6]],DIM_PRODUCTS[hts_6],DIM_PRODUCTS[hts_4],,,)</f>
        <v>8408</v>
      </c>
      <c r="I9977" t="str" cm="1">
        <f t="array" ref="I9977">_xlfn.XLOOKUP(FACT_IMPORTS[[#This Row],[country_name]],DIM_COUNTRY[[#All],[Column2]],DIM_COUNTRY[[#All],[Column3]],,,)</f>
        <v>USMCA</v>
      </c>
    </row>
    <row r="9978" spans="1:9" x14ac:dyDescent="0.4">
      <c r="A9978" t="s">
        <v>64</v>
      </c>
      <c r="B9978" s="1">
        <v>45505</v>
      </c>
      <c r="C9978">
        <v>840991</v>
      </c>
      <c r="D9978" t="s">
        <v>176</v>
      </c>
      <c r="E9978">
        <v>1182289</v>
      </c>
      <c r="F9978">
        <v>134845</v>
      </c>
      <c r="G9978">
        <v>4580</v>
      </c>
      <c r="H9978">
        <f>_xlfn.XLOOKUP(FACT_IMPORTS[[#This Row],[hts_6]],DIM_PRODUCTS[hts_6],DIM_PRODUCTS[hts_4],,,)</f>
        <v>8409</v>
      </c>
      <c r="I9978" t="str" cm="1">
        <f t="array" ref="I9978">_xlfn.XLOOKUP(FACT_IMPORTS[[#This Row],[country_name]],DIM_COUNTRY[[#All],[Column2]],DIM_COUNTRY[[#All],[Column3]],,,)</f>
        <v>USMCA</v>
      </c>
    </row>
    <row r="9979" spans="1:9" x14ac:dyDescent="0.4">
      <c r="A9979" t="s">
        <v>64</v>
      </c>
      <c r="B9979" s="1">
        <v>45505</v>
      </c>
      <c r="C9979">
        <v>840999</v>
      </c>
      <c r="D9979" t="s">
        <v>176</v>
      </c>
      <c r="E9979">
        <v>8425</v>
      </c>
      <c r="F9979">
        <v>340</v>
      </c>
      <c r="G9979">
        <v>460</v>
      </c>
      <c r="H9979">
        <f>_xlfn.XLOOKUP(FACT_IMPORTS[[#This Row],[hts_6]],DIM_PRODUCTS[hts_6],DIM_PRODUCTS[hts_4],,,)</f>
        <v>8409</v>
      </c>
      <c r="I9979" t="str" cm="1">
        <f t="array" ref="I9979">_xlfn.XLOOKUP(FACT_IMPORTS[[#This Row],[country_name]],DIM_COUNTRY[[#All],[Column2]],DIM_COUNTRY[[#All],[Column3]],,,)</f>
        <v>USMCA</v>
      </c>
    </row>
    <row r="9980" spans="1:9" x14ac:dyDescent="0.4">
      <c r="A9980" t="s">
        <v>64</v>
      </c>
      <c r="B9980" s="1">
        <v>45505</v>
      </c>
      <c r="C9980">
        <v>841330</v>
      </c>
      <c r="D9980" t="s">
        <v>176</v>
      </c>
      <c r="E9980">
        <v>29240</v>
      </c>
      <c r="F9980">
        <v>23</v>
      </c>
      <c r="G9980">
        <v>34</v>
      </c>
      <c r="H9980">
        <f>_xlfn.XLOOKUP(FACT_IMPORTS[[#This Row],[hts_6]],DIM_PRODUCTS[hts_6],DIM_PRODUCTS[hts_4],,,)</f>
        <v>8413</v>
      </c>
      <c r="I9980" t="str" cm="1">
        <f t="array" ref="I9980">_xlfn.XLOOKUP(FACT_IMPORTS[[#This Row],[country_name]],DIM_COUNTRY[[#All],[Column2]],DIM_COUNTRY[[#All],[Column3]],,,)</f>
        <v>USMCA</v>
      </c>
    </row>
    <row r="9981" spans="1:9" x14ac:dyDescent="0.4">
      <c r="A9981" t="s">
        <v>64</v>
      </c>
      <c r="B9981" s="1">
        <v>45505</v>
      </c>
      <c r="C9981">
        <v>842132</v>
      </c>
      <c r="D9981" t="s">
        <v>176</v>
      </c>
      <c r="E9981">
        <v>79530</v>
      </c>
      <c r="F9981">
        <v>327</v>
      </c>
      <c r="G9981">
        <v>534</v>
      </c>
      <c r="H9981">
        <f>_xlfn.XLOOKUP(FACT_IMPORTS[[#This Row],[hts_6]],DIM_PRODUCTS[hts_6],DIM_PRODUCTS[hts_4],,,)</f>
        <v>8421</v>
      </c>
      <c r="I9981" t="str" cm="1">
        <f t="array" ref="I9981">_xlfn.XLOOKUP(FACT_IMPORTS[[#This Row],[country_name]],DIM_COUNTRY[[#All],[Column2]],DIM_COUNTRY[[#All],[Column3]],,,)</f>
        <v>USMCA</v>
      </c>
    </row>
    <row r="9982" spans="1:9" x14ac:dyDescent="0.4">
      <c r="A9982" t="s">
        <v>64</v>
      </c>
      <c r="B9982" s="1">
        <v>45505</v>
      </c>
      <c r="C9982">
        <v>848210</v>
      </c>
      <c r="D9982" t="s">
        <v>176</v>
      </c>
      <c r="E9982">
        <v>0</v>
      </c>
      <c r="F9982">
        <v>0</v>
      </c>
      <c r="G9982">
        <v>0</v>
      </c>
      <c r="H9982">
        <f>_xlfn.XLOOKUP(FACT_IMPORTS[[#This Row],[hts_6]],DIM_PRODUCTS[hts_6],DIM_PRODUCTS[hts_4],,,)</f>
        <v>8482</v>
      </c>
      <c r="I9982" t="str" cm="1">
        <f t="array" ref="I9982">_xlfn.XLOOKUP(FACT_IMPORTS[[#This Row],[country_name]],DIM_COUNTRY[[#All],[Column2]],DIM_COUNTRY[[#All],[Column3]],,,)</f>
        <v>USMCA</v>
      </c>
    </row>
    <row r="9983" spans="1:9" x14ac:dyDescent="0.4">
      <c r="A9983" t="s">
        <v>64</v>
      </c>
      <c r="B9983" s="1">
        <v>45505</v>
      </c>
      <c r="C9983">
        <v>848220</v>
      </c>
      <c r="D9983" t="s">
        <v>176</v>
      </c>
      <c r="E9983">
        <v>0</v>
      </c>
      <c r="F9983">
        <v>0</v>
      </c>
      <c r="G9983">
        <v>0</v>
      </c>
      <c r="H9983">
        <f>_xlfn.XLOOKUP(FACT_IMPORTS[[#This Row],[hts_6]],DIM_PRODUCTS[hts_6],DIM_PRODUCTS[hts_4],,,)</f>
        <v>8482</v>
      </c>
      <c r="I9983" t="str" cm="1">
        <f t="array" ref="I9983">_xlfn.XLOOKUP(FACT_IMPORTS[[#This Row],[country_name]],DIM_COUNTRY[[#All],[Column2]],DIM_COUNTRY[[#All],[Column3]],,,)</f>
        <v>USMCA</v>
      </c>
    </row>
    <row r="9984" spans="1:9" x14ac:dyDescent="0.4">
      <c r="A9984" t="s">
        <v>64</v>
      </c>
      <c r="B9984" s="1">
        <v>45505</v>
      </c>
      <c r="C9984">
        <v>848310</v>
      </c>
      <c r="D9984" t="s">
        <v>176</v>
      </c>
      <c r="E9984">
        <v>0</v>
      </c>
      <c r="F9984">
        <v>0</v>
      </c>
      <c r="G9984">
        <v>0</v>
      </c>
      <c r="H9984">
        <f>_xlfn.XLOOKUP(FACT_IMPORTS[[#This Row],[hts_6]],DIM_PRODUCTS[hts_6],DIM_PRODUCTS[hts_4],,,)</f>
        <v>8483</v>
      </c>
      <c r="I9984" t="str" cm="1">
        <f t="array" ref="I9984">_xlfn.XLOOKUP(FACT_IMPORTS[[#This Row],[country_name]],DIM_COUNTRY[[#All],[Column2]],DIM_COUNTRY[[#All],[Column3]],,,)</f>
        <v>USMCA</v>
      </c>
    </row>
    <row r="9985" spans="1:9" x14ac:dyDescent="0.4">
      <c r="A9985" t="s">
        <v>64</v>
      </c>
      <c r="B9985" s="1">
        <v>45505</v>
      </c>
      <c r="C9985">
        <v>850131</v>
      </c>
      <c r="D9985" t="s">
        <v>176</v>
      </c>
      <c r="E9985">
        <v>59981</v>
      </c>
      <c r="F9985">
        <v>250</v>
      </c>
      <c r="G9985">
        <v>1241</v>
      </c>
      <c r="H9985">
        <f>_xlfn.XLOOKUP(FACT_IMPORTS[[#This Row],[hts_6]],DIM_PRODUCTS[hts_6],DIM_PRODUCTS[hts_4],,,)</f>
        <v>8501</v>
      </c>
      <c r="I9985" t="str" cm="1">
        <f t="array" ref="I9985">_xlfn.XLOOKUP(FACT_IMPORTS[[#This Row],[country_name]],DIM_COUNTRY[[#All],[Column2]],DIM_COUNTRY[[#All],[Column3]],,,)</f>
        <v>USMCA</v>
      </c>
    </row>
    <row r="9986" spans="1:9" x14ac:dyDescent="0.4">
      <c r="A9986" t="s">
        <v>64</v>
      </c>
      <c r="B9986" s="1">
        <v>45505</v>
      </c>
      <c r="C9986">
        <v>850132</v>
      </c>
      <c r="D9986" t="s">
        <v>176</v>
      </c>
      <c r="E9986">
        <v>2006</v>
      </c>
      <c r="F9986">
        <v>1</v>
      </c>
      <c r="G9986">
        <v>40</v>
      </c>
      <c r="H9986">
        <f>_xlfn.XLOOKUP(FACT_IMPORTS[[#This Row],[hts_6]],DIM_PRODUCTS[hts_6],DIM_PRODUCTS[hts_4],,,)</f>
        <v>8501</v>
      </c>
      <c r="I9986" t="str" cm="1">
        <f t="array" ref="I9986">_xlfn.XLOOKUP(FACT_IMPORTS[[#This Row],[country_name]],DIM_COUNTRY[[#All],[Column2]],DIM_COUNTRY[[#All],[Column3]],,,)</f>
        <v>USMCA</v>
      </c>
    </row>
    <row r="9987" spans="1:9" x14ac:dyDescent="0.4">
      <c r="A9987" t="s">
        <v>64</v>
      </c>
      <c r="B9987" s="1">
        <v>45505</v>
      </c>
      <c r="C9987">
        <v>850133</v>
      </c>
      <c r="D9987" t="s">
        <v>176</v>
      </c>
      <c r="E9987">
        <v>0</v>
      </c>
      <c r="F9987">
        <v>0</v>
      </c>
      <c r="G9987">
        <v>0</v>
      </c>
      <c r="H9987">
        <f>_xlfn.XLOOKUP(FACT_IMPORTS[[#This Row],[hts_6]],DIM_PRODUCTS[hts_6],DIM_PRODUCTS[hts_4],,,)</f>
        <v>8501</v>
      </c>
      <c r="I9987" t="str" cm="1">
        <f t="array" ref="I9987">_xlfn.XLOOKUP(FACT_IMPORTS[[#This Row],[country_name]],DIM_COUNTRY[[#All],[Column2]],DIM_COUNTRY[[#All],[Column3]],,,)</f>
        <v>USMCA</v>
      </c>
    </row>
    <row r="9988" spans="1:9" x14ac:dyDescent="0.4">
      <c r="A9988" t="s">
        <v>64</v>
      </c>
      <c r="B9988" s="1">
        <v>45505</v>
      </c>
      <c r="C9988">
        <v>850152</v>
      </c>
      <c r="D9988" t="s">
        <v>176</v>
      </c>
      <c r="E9988">
        <v>24300</v>
      </c>
      <c r="F9988">
        <v>16</v>
      </c>
      <c r="G9988">
        <v>256</v>
      </c>
      <c r="H9988">
        <f>_xlfn.XLOOKUP(FACT_IMPORTS[[#This Row],[hts_6]],DIM_PRODUCTS[hts_6],DIM_PRODUCTS[hts_4],,,)</f>
        <v>8501</v>
      </c>
      <c r="I9988" t="str" cm="1">
        <f t="array" ref="I9988">_xlfn.XLOOKUP(FACT_IMPORTS[[#This Row],[country_name]],DIM_COUNTRY[[#All],[Column2]],DIM_COUNTRY[[#All],[Column3]],,,)</f>
        <v>USMCA</v>
      </c>
    </row>
    <row r="9989" spans="1:9" x14ac:dyDescent="0.4">
      <c r="A9989" t="s">
        <v>64</v>
      </c>
      <c r="B9989" s="1">
        <v>45505</v>
      </c>
      <c r="C9989">
        <v>850153</v>
      </c>
      <c r="D9989" t="s">
        <v>176</v>
      </c>
      <c r="E9989">
        <v>409802</v>
      </c>
      <c r="F9989">
        <v>169</v>
      </c>
      <c r="G9989">
        <v>403</v>
      </c>
      <c r="H9989">
        <f>_xlfn.XLOOKUP(FACT_IMPORTS[[#This Row],[hts_6]],DIM_PRODUCTS[hts_6],DIM_PRODUCTS[hts_4],,,)</f>
        <v>8501</v>
      </c>
      <c r="I9989" t="str" cm="1">
        <f t="array" ref="I9989">_xlfn.XLOOKUP(FACT_IMPORTS[[#This Row],[country_name]],DIM_COUNTRY[[#All],[Column2]],DIM_COUNTRY[[#All],[Column3]],,,)</f>
        <v>USMCA</v>
      </c>
    </row>
    <row r="9990" spans="1:9" x14ac:dyDescent="0.4">
      <c r="A9990" t="s">
        <v>64</v>
      </c>
      <c r="B9990" s="1">
        <v>45505</v>
      </c>
      <c r="C9990">
        <v>850161</v>
      </c>
      <c r="D9990" t="s">
        <v>176</v>
      </c>
      <c r="E9990">
        <v>0</v>
      </c>
      <c r="F9990">
        <v>0</v>
      </c>
      <c r="G9990">
        <v>0</v>
      </c>
      <c r="H9990">
        <f>_xlfn.XLOOKUP(FACT_IMPORTS[[#This Row],[hts_6]],DIM_PRODUCTS[hts_6],DIM_PRODUCTS[hts_4],,,)</f>
        <v>8501</v>
      </c>
      <c r="I9990" t="str" cm="1">
        <f t="array" ref="I9990">_xlfn.XLOOKUP(FACT_IMPORTS[[#This Row],[country_name]],DIM_COUNTRY[[#All],[Column2]],DIM_COUNTRY[[#All],[Column3]],,,)</f>
        <v>USMCA</v>
      </c>
    </row>
    <row r="9991" spans="1:9" x14ac:dyDescent="0.4">
      <c r="A9991" t="s">
        <v>64</v>
      </c>
      <c r="B9991" s="1">
        <v>45505</v>
      </c>
      <c r="C9991">
        <v>850440</v>
      </c>
      <c r="D9991" t="s">
        <v>176</v>
      </c>
      <c r="E9991">
        <v>186845</v>
      </c>
      <c r="F9991">
        <v>171</v>
      </c>
      <c r="G9991">
        <v>12639</v>
      </c>
      <c r="H9991">
        <f>_xlfn.XLOOKUP(FACT_IMPORTS[[#This Row],[hts_6]],DIM_PRODUCTS[hts_6],DIM_PRODUCTS[hts_4],,,)</f>
        <v>8504</v>
      </c>
      <c r="I9991" t="str" cm="1">
        <f t="array" ref="I9991">_xlfn.XLOOKUP(FACT_IMPORTS[[#This Row],[country_name]],DIM_COUNTRY[[#All],[Column2]],DIM_COUNTRY[[#All],[Column3]],,,)</f>
        <v>USMCA</v>
      </c>
    </row>
    <row r="9992" spans="1:9" x14ac:dyDescent="0.4">
      <c r="A9992" t="s">
        <v>64</v>
      </c>
      <c r="B9992" s="1">
        <v>45505</v>
      </c>
      <c r="C9992">
        <v>850710</v>
      </c>
      <c r="D9992" t="s">
        <v>176</v>
      </c>
      <c r="E9992">
        <v>0</v>
      </c>
      <c r="F9992">
        <v>0</v>
      </c>
      <c r="G9992">
        <v>0</v>
      </c>
      <c r="H9992">
        <f>_xlfn.XLOOKUP(FACT_IMPORTS[[#This Row],[hts_6]],DIM_PRODUCTS[hts_6],DIM_PRODUCTS[hts_4],,,)</f>
        <v>8507</v>
      </c>
      <c r="I9992" t="str" cm="1">
        <f t="array" ref="I9992">_xlfn.XLOOKUP(FACT_IMPORTS[[#This Row],[country_name]],DIM_COUNTRY[[#All],[Column2]],DIM_COUNTRY[[#All],[Column3]],,,)</f>
        <v>USMCA</v>
      </c>
    </row>
    <row r="9993" spans="1:9" x14ac:dyDescent="0.4">
      <c r="A9993" t="s">
        <v>64</v>
      </c>
      <c r="B9993" s="1">
        <v>45505</v>
      </c>
      <c r="C9993">
        <v>850760</v>
      </c>
      <c r="D9993" t="s">
        <v>176</v>
      </c>
      <c r="E9993">
        <v>0</v>
      </c>
      <c r="F9993">
        <v>0</v>
      </c>
      <c r="G9993">
        <v>0</v>
      </c>
      <c r="H9993">
        <f>_xlfn.XLOOKUP(FACT_IMPORTS[[#This Row],[hts_6]],DIM_PRODUCTS[hts_6],DIM_PRODUCTS[hts_4],,,)</f>
        <v>8507</v>
      </c>
      <c r="I9993" t="str" cm="1">
        <f t="array" ref="I9993">_xlfn.XLOOKUP(FACT_IMPORTS[[#This Row],[country_name]],DIM_COUNTRY[[#All],[Column2]],DIM_COUNTRY[[#All],[Column3]],,,)</f>
        <v>USMCA</v>
      </c>
    </row>
    <row r="9994" spans="1:9" x14ac:dyDescent="0.4">
      <c r="A9994" t="s">
        <v>64</v>
      </c>
      <c r="B9994" s="1">
        <v>45505</v>
      </c>
      <c r="C9994">
        <v>851110</v>
      </c>
      <c r="D9994" t="s">
        <v>176</v>
      </c>
      <c r="E9994">
        <v>0</v>
      </c>
      <c r="F9994">
        <v>0</v>
      </c>
      <c r="G9994">
        <v>0</v>
      </c>
      <c r="H9994">
        <f>_xlfn.XLOOKUP(FACT_IMPORTS[[#This Row],[hts_6]],DIM_PRODUCTS[hts_6],DIM_PRODUCTS[hts_4],,,)</f>
        <v>8511</v>
      </c>
      <c r="I9994" t="str" cm="1">
        <f t="array" ref="I9994">_xlfn.XLOOKUP(FACT_IMPORTS[[#This Row],[country_name]],DIM_COUNTRY[[#All],[Column2]],DIM_COUNTRY[[#All],[Column3]],,,)</f>
        <v>USMCA</v>
      </c>
    </row>
    <row r="9995" spans="1:9" x14ac:dyDescent="0.4">
      <c r="A9995" t="s">
        <v>64</v>
      </c>
      <c r="B9995" s="1">
        <v>45505</v>
      </c>
      <c r="C9995">
        <v>851120</v>
      </c>
      <c r="D9995" t="s">
        <v>176</v>
      </c>
      <c r="E9995">
        <v>0</v>
      </c>
      <c r="F9995">
        <v>0</v>
      </c>
      <c r="G9995">
        <v>0</v>
      </c>
      <c r="H9995">
        <f>_xlfn.XLOOKUP(FACT_IMPORTS[[#This Row],[hts_6]],DIM_PRODUCTS[hts_6],DIM_PRODUCTS[hts_4],,,)</f>
        <v>8511</v>
      </c>
      <c r="I9995" t="str" cm="1">
        <f t="array" ref="I9995">_xlfn.XLOOKUP(FACT_IMPORTS[[#This Row],[country_name]],DIM_COUNTRY[[#All],[Column2]],DIM_COUNTRY[[#All],[Column3]],,,)</f>
        <v>USMCA</v>
      </c>
    </row>
    <row r="9996" spans="1:9" x14ac:dyDescent="0.4">
      <c r="A9996" t="s">
        <v>64</v>
      </c>
      <c r="B9996" s="1">
        <v>45505</v>
      </c>
      <c r="C9996">
        <v>851140</v>
      </c>
      <c r="D9996" t="s">
        <v>176</v>
      </c>
      <c r="E9996">
        <v>9113</v>
      </c>
      <c r="F9996">
        <v>91</v>
      </c>
      <c r="G9996">
        <v>87</v>
      </c>
      <c r="H9996">
        <f>_xlfn.XLOOKUP(FACT_IMPORTS[[#This Row],[hts_6]],DIM_PRODUCTS[hts_6],DIM_PRODUCTS[hts_4],,,)</f>
        <v>8511</v>
      </c>
      <c r="I9996" t="str" cm="1">
        <f t="array" ref="I9996">_xlfn.XLOOKUP(FACT_IMPORTS[[#This Row],[country_name]],DIM_COUNTRY[[#All],[Column2]],DIM_COUNTRY[[#All],[Column3]],,,)</f>
        <v>USMCA</v>
      </c>
    </row>
    <row r="9997" spans="1:9" x14ac:dyDescent="0.4">
      <c r="A9997" t="s">
        <v>64</v>
      </c>
      <c r="B9997" s="1">
        <v>45505</v>
      </c>
      <c r="C9997">
        <v>851150</v>
      </c>
      <c r="D9997" t="s">
        <v>176</v>
      </c>
      <c r="E9997">
        <v>3620</v>
      </c>
      <c r="F9997">
        <v>5</v>
      </c>
      <c r="G9997">
        <v>14</v>
      </c>
      <c r="H9997">
        <f>_xlfn.XLOOKUP(FACT_IMPORTS[[#This Row],[hts_6]],DIM_PRODUCTS[hts_6],DIM_PRODUCTS[hts_4],,,)</f>
        <v>8511</v>
      </c>
      <c r="I9997" t="str" cm="1">
        <f t="array" ref="I9997">_xlfn.XLOOKUP(FACT_IMPORTS[[#This Row],[country_name]],DIM_COUNTRY[[#All],[Column2]],DIM_COUNTRY[[#All],[Column3]],,,)</f>
        <v>USMCA</v>
      </c>
    </row>
    <row r="9998" spans="1:9" x14ac:dyDescent="0.4">
      <c r="A9998" t="s">
        <v>64</v>
      </c>
      <c r="B9998" s="1">
        <v>45505</v>
      </c>
      <c r="C9998">
        <v>851180</v>
      </c>
      <c r="D9998" t="s">
        <v>176</v>
      </c>
      <c r="E9998">
        <v>2453</v>
      </c>
      <c r="F9998">
        <v>55</v>
      </c>
      <c r="G9998">
        <v>1</v>
      </c>
      <c r="H9998">
        <f>_xlfn.XLOOKUP(FACT_IMPORTS[[#This Row],[hts_6]],DIM_PRODUCTS[hts_6],DIM_PRODUCTS[hts_4],,,)</f>
        <v>8511</v>
      </c>
      <c r="I9998" t="str" cm="1">
        <f t="array" ref="I9998">_xlfn.XLOOKUP(FACT_IMPORTS[[#This Row],[country_name]],DIM_COUNTRY[[#All],[Column2]],DIM_COUNTRY[[#All],[Column3]],,,)</f>
        <v>USMCA</v>
      </c>
    </row>
    <row r="9999" spans="1:9" x14ac:dyDescent="0.4">
      <c r="A9999" t="s">
        <v>64</v>
      </c>
      <c r="B9999" s="1">
        <v>45505</v>
      </c>
      <c r="C9999">
        <v>851190</v>
      </c>
      <c r="D9999" t="s">
        <v>176</v>
      </c>
      <c r="E9999">
        <v>0</v>
      </c>
      <c r="F9999">
        <v>0</v>
      </c>
      <c r="G9999">
        <v>0</v>
      </c>
      <c r="H9999">
        <f>_xlfn.XLOOKUP(FACT_IMPORTS[[#This Row],[hts_6]],DIM_PRODUCTS[hts_6],DIM_PRODUCTS[hts_4],,,)</f>
        <v>8511</v>
      </c>
      <c r="I9999" t="str" cm="1">
        <f t="array" ref="I9999">_xlfn.XLOOKUP(FACT_IMPORTS[[#This Row],[country_name]],DIM_COUNTRY[[#All],[Column2]],DIM_COUNTRY[[#All],[Column3]],,,)</f>
        <v>USMCA</v>
      </c>
    </row>
    <row r="10000" spans="1:9" x14ac:dyDescent="0.4">
      <c r="A10000" t="s">
        <v>64</v>
      </c>
      <c r="B10000" s="1">
        <v>45505</v>
      </c>
      <c r="C10000">
        <v>851220</v>
      </c>
      <c r="D10000" t="s">
        <v>176</v>
      </c>
      <c r="E10000">
        <v>49385</v>
      </c>
      <c r="F10000">
        <v>274</v>
      </c>
      <c r="G10000">
        <v>516</v>
      </c>
      <c r="H10000">
        <f>_xlfn.XLOOKUP(FACT_IMPORTS[[#This Row],[hts_6]],DIM_PRODUCTS[hts_6],DIM_PRODUCTS[hts_4],,,)</f>
        <v>8512</v>
      </c>
      <c r="I10000" t="str" cm="1">
        <f t="array" ref="I10000">_xlfn.XLOOKUP(FACT_IMPORTS[[#This Row],[country_name]],DIM_COUNTRY[[#All],[Column2]],DIM_COUNTRY[[#All],[Column3]],,,)</f>
        <v>USMCA</v>
      </c>
    </row>
    <row r="10001" spans="1:9" x14ac:dyDescent="0.4">
      <c r="A10001" t="s">
        <v>64</v>
      </c>
      <c r="B10001" s="1">
        <v>45505</v>
      </c>
      <c r="C10001">
        <v>851230</v>
      </c>
      <c r="D10001" t="s">
        <v>176</v>
      </c>
      <c r="E10001">
        <v>3695</v>
      </c>
      <c r="F10001">
        <v>450</v>
      </c>
      <c r="G10001">
        <v>180</v>
      </c>
      <c r="H10001">
        <f>_xlfn.XLOOKUP(FACT_IMPORTS[[#This Row],[hts_6]],DIM_PRODUCTS[hts_6],DIM_PRODUCTS[hts_4],,,)</f>
        <v>8512</v>
      </c>
      <c r="I10001" t="str" cm="1">
        <f t="array" ref="I10001">_xlfn.XLOOKUP(FACT_IMPORTS[[#This Row],[country_name]],DIM_COUNTRY[[#All],[Column2]],DIM_COUNTRY[[#All],[Column3]],,,)</f>
        <v>USMCA</v>
      </c>
    </row>
    <row r="10002" spans="1:9" x14ac:dyDescent="0.4">
      <c r="A10002" t="s">
        <v>64</v>
      </c>
      <c r="B10002" s="1">
        <v>45505</v>
      </c>
      <c r="C10002">
        <v>851290</v>
      </c>
      <c r="D10002" t="s">
        <v>176</v>
      </c>
      <c r="E10002">
        <v>22827</v>
      </c>
      <c r="F10002">
        <v>809</v>
      </c>
      <c r="G10002">
        <v>400</v>
      </c>
      <c r="H10002">
        <f>_xlfn.XLOOKUP(FACT_IMPORTS[[#This Row],[hts_6]],DIM_PRODUCTS[hts_6],DIM_PRODUCTS[hts_4],,,)</f>
        <v>8512</v>
      </c>
      <c r="I10002" t="str" cm="1">
        <f t="array" ref="I10002">_xlfn.XLOOKUP(FACT_IMPORTS[[#This Row],[country_name]],DIM_COUNTRY[[#All],[Column2]],DIM_COUNTRY[[#All],[Column3]],,,)</f>
        <v>USMCA</v>
      </c>
    </row>
    <row r="10003" spans="1:9" x14ac:dyDescent="0.4">
      <c r="A10003" t="s">
        <v>64</v>
      </c>
      <c r="B10003" s="1">
        <v>45505</v>
      </c>
      <c r="C10003">
        <v>854231</v>
      </c>
      <c r="D10003" t="s">
        <v>176</v>
      </c>
      <c r="E10003">
        <v>8044</v>
      </c>
      <c r="F10003">
        <v>10</v>
      </c>
      <c r="G10003">
        <v>47</v>
      </c>
      <c r="H10003">
        <f>_xlfn.XLOOKUP(FACT_IMPORTS[[#This Row],[hts_6]],DIM_PRODUCTS[hts_6],DIM_PRODUCTS[hts_4],,,)</f>
        <v>8542</v>
      </c>
      <c r="I10003" t="str" cm="1">
        <f t="array" ref="I10003">_xlfn.XLOOKUP(FACT_IMPORTS[[#This Row],[country_name]],DIM_COUNTRY[[#All],[Column2]],DIM_COUNTRY[[#All],[Column3]],,,)</f>
        <v>USMCA</v>
      </c>
    </row>
    <row r="10004" spans="1:9" x14ac:dyDescent="0.4">
      <c r="A10004" t="s">
        <v>64</v>
      </c>
      <c r="B10004" s="1">
        <v>45505</v>
      </c>
      <c r="C10004">
        <v>854239</v>
      </c>
      <c r="D10004" t="s">
        <v>176</v>
      </c>
      <c r="E10004">
        <v>0</v>
      </c>
      <c r="F10004">
        <v>0</v>
      </c>
      <c r="G10004">
        <v>0</v>
      </c>
      <c r="H10004">
        <f>_xlfn.XLOOKUP(FACT_IMPORTS[[#This Row],[hts_6]],DIM_PRODUCTS[hts_6],DIM_PRODUCTS[hts_4],,,)</f>
        <v>8542</v>
      </c>
      <c r="I10004" t="str" cm="1">
        <f t="array" ref="I10004">_xlfn.XLOOKUP(FACT_IMPORTS[[#This Row],[country_name]],DIM_COUNTRY[[#All],[Column2]],DIM_COUNTRY[[#All],[Column3]],,,)</f>
        <v>USMCA</v>
      </c>
    </row>
    <row r="10005" spans="1:9" x14ac:dyDescent="0.4">
      <c r="A10005" t="s">
        <v>64</v>
      </c>
      <c r="B10005" s="1">
        <v>45505</v>
      </c>
      <c r="C10005">
        <v>854290</v>
      </c>
      <c r="D10005" t="s">
        <v>176</v>
      </c>
      <c r="E10005">
        <v>0</v>
      </c>
      <c r="F10005">
        <v>0</v>
      </c>
      <c r="G10005">
        <v>0</v>
      </c>
      <c r="H10005">
        <f>_xlfn.XLOOKUP(FACT_IMPORTS[[#This Row],[hts_6]],DIM_PRODUCTS[hts_6],DIM_PRODUCTS[hts_4],,,)</f>
        <v>8542</v>
      </c>
      <c r="I10005" t="str" cm="1">
        <f t="array" ref="I10005">_xlfn.XLOOKUP(FACT_IMPORTS[[#This Row],[country_name]],DIM_COUNTRY[[#All],[Column2]],DIM_COUNTRY[[#All],[Column3]],,,)</f>
        <v>USMCA</v>
      </c>
    </row>
    <row r="10006" spans="1:9" x14ac:dyDescent="0.4">
      <c r="A10006" t="s">
        <v>64</v>
      </c>
      <c r="B10006" s="1">
        <v>45505</v>
      </c>
      <c r="C10006">
        <v>854430</v>
      </c>
      <c r="D10006" t="s">
        <v>176</v>
      </c>
      <c r="E10006">
        <v>595061</v>
      </c>
      <c r="F10006">
        <v>54045</v>
      </c>
      <c r="G10006">
        <v>3912</v>
      </c>
      <c r="H10006">
        <f>_xlfn.XLOOKUP(FACT_IMPORTS[[#This Row],[hts_6]],DIM_PRODUCTS[hts_6],DIM_PRODUCTS[hts_4],,,)</f>
        <v>8544</v>
      </c>
      <c r="I10006" t="str" cm="1">
        <f t="array" ref="I10006">_xlfn.XLOOKUP(FACT_IMPORTS[[#This Row],[country_name]],DIM_COUNTRY[[#All],[Column2]],DIM_COUNTRY[[#All],[Column3]],,,)</f>
        <v>USMCA</v>
      </c>
    </row>
    <row r="10007" spans="1:9" x14ac:dyDescent="0.4">
      <c r="A10007" t="s">
        <v>64</v>
      </c>
      <c r="B10007" s="1">
        <v>45505</v>
      </c>
      <c r="C10007">
        <v>870810</v>
      </c>
      <c r="D10007" t="s">
        <v>176</v>
      </c>
      <c r="E10007">
        <v>9073</v>
      </c>
      <c r="F10007">
        <v>47</v>
      </c>
      <c r="G10007">
        <v>7</v>
      </c>
      <c r="H10007">
        <f>_xlfn.XLOOKUP(FACT_IMPORTS[[#This Row],[hts_6]],DIM_PRODUCTS[hts_6],DIM_PRODUCTS[hts_4],,,)</f>
        <v>8708</v>
      </c>
      <c r="I10007" t="str" cm="1">
        <f t="array" ref="I10007">_xlfn.XLOOKUP(FACT_IMPORTS[[#This Row],[country_name]],DIM_COUNTRY[[#All],[Column2]],DIM_COUNTRY[[#All],[Column3]],,,)</f>
        <v>USMCA</v>
      </c>
    </row>
    <row r="10008" spans="1:9" x14ac:dyDescent="0.4">
      <c r="A10008" t="s">
        <v>64</v>
      </c>
      <c r="B10008" s="1">
        <v>45505</v>
      </c>
      <c r="C10008">
        <v>870822</v>
      </c>
      <c r="D10008" t="s">
        <v>176</v>
      </c>
      <c r="E10008">
        <v>0</v>
      </c>
      <c r="F10008">
        <v>0</v>
      </c>
      <c r="G10008">
        <v>0</v>
      </c>
      <c r="H10008">
        <f>_xlfn.XLOOKUP(FACT_IMPORTS[[#This Row],[hts_6]],DIM_PRODUCTS[hts_6],DIM_PRODUCTS[hts_4],,,)</f>
        <v>8708</v>
      </c>
      <c r="I10008" t="str" cm="1">
        <f t="array" ref="I10008">_xlfn.XLOOKUP(FACT_IMPORTS[[#This Row],[country_name]],DIM_COUNTRY[[#All],[Column2]],DIM_COUNTRY[[#All],[Column3]],,,)</f>
        <v>USMCA</v>
      </c>
    </row>
    <row r="10009" spans="1:9" x14ac:dyDescent="0.4">
      <c r="A10009" t="s">
        <v>64</v>
      </c>
      <c r="B10009" s="1">
        <v>45505</v>
      </c>
      <c r="C10009">
        <v>870829</v>
      </c>
      <c r="D10009" t="s">
        <v>176</v>
      </c>
      <c r="E10009">
        <v>552218</v>
      </c>
      <c r="F10009">
        <v>13712</v>
      </c>
      <c r="G10009">
        <v>17778</v>
      </c>
      <c r="H10009">
        <f>_xlfn.XLOOKUP(FACT_IMPORTS[[#This Row],[hts_6]],DIM_PRODUCTS[hts_6],DIM_PRODUCTS[hts_4],,,)</f>
        <v>8708</v>
      </c>
      <c r="I10009" t="str" cm="1">
        <f t="array" ref="I10009">_xlfn.XLOOKUP(FACT_IMPORTS[[#This Row],[country_name]],DIM_COUNTRY[[#All],[Column2]],DIM_COUNTRY[[#All],[Column3]],,,)</f>
        <v>USMCA</v>
      </c>
    </row>
    <row r="10010" spans="1:9" x14ac:dyDescent="0.4">
      <c r="A10010" t="s">
        <v>64</v>
      </c>
      <c r="B10010" s="1">
        <v>45505</v>
      </c>
      <c r="C10010">
        <v>870830</v>
      </c>
      <c r="D10010" t="s">
        <v>176</v>
      </c>
      <c r="E10010">
        <v>683162</v>
      </c>
      <c r="F10010">
        <v>15013</v>
      </c>
      <c r="G10010">
        <v>2202</v>
      </c>
      <c r="H10010">
        <f>_xlfn.XLOOKUP(FACT_IMPORTS[[#This Row],[hts_6]],DIM_PRODUCTS[hts_6],DIM_PRODUCTS[hts_4],,,)</f>
        <v>8708</v>
      </c>
      <c r="I10010" t="str" cm="1">
        <f t="array" ref="I10010">_xlfn.XLOOKUP(FACT_IMPORTS[[#This Row],[country_name]],DIM_COUNTRY[[#All],[Column2]],DIM_COUNTRY[[#All],[Column3]],,,)</f>
        <v>USMCA</v>
      </c>
    </row>
    <row r="10011" spans="1:9" x14ac:dyDescent="0.4">
      <c r="A10011" t="s">
        <v>64</v>
      </c>
      <c r="B10011" s="1">
        <v>45505</v>
      </c>
      <c r="C10011">
        <v>870840</v>
      </c>
      <c r="D10011" t="s">
        <v>176</v>
      </c>
      <c r="E10011">
        <v>142409</v>
      </c>
      <c r="F10011">
        <v>65</v>
      </c>
      <c r="G10011">
        <v>357</v>
      </c>
      <c r="H10011">
        <f>_xlfn.XLOOKUP(FACT_IMPORTS[[#This Row],[hts_6]],DIM_PRODUCTS[hts_6],DIM_PRODUCTS[hts_4],,,)</f>
        <v>8708</v>
      </c>
      <c r="I10011" t="str" cm="1">
        <f t="array" ref="I10011">_xlfn.XLOOKUP(FACT_IMPORTS[[#This Row],[country_name]],DIM_COUNTRY[[#All],[Column2]],DIM_COUNTRY[[#All],[Column3]],,,)</f>
        <v>USMCA</v>
      </c>
    </row>
    <row r="10012" spans="1:9" x14ac:dyDescent="0.4">
      <c r="A10012" t="s">
        <v>64</v>
      </c>
      <c r="B10012" s="1">
        <v>45505</v>
      </c>
      <c r="C10012">
        <v>870850</v>
      </c>
      <c r="D10012" t="s">
        <v>176</v>
      </c>
      <c r="E10012">
        <v>70424</v>
      </c>
      <c r="F10012">
        <v>1478</v>
      </c>
      <c r="G10012">
        <v>145</v>
      </c>
      <c r="H10012">
        <f>_xlfn.XLOOKUP(FACT_IMPORTS[[#This Row],[hts_6]],DIM_PRODUCTS[hts_6],DIM_PRODUCTS[hts_4],,,)</f>
        <v>8708</v>
      </c>
      <c r="I10012" t="str" cm="1">
        <f t="array" ref="I10012">_xlfn.XLOOKUP(FACT_IMPORTS[[#This Row],[country_name]],DIM_COUNTRY[[#All],[Column2]],DIM_COUNTRY[[#All],[Column3]],,,)</f>
        <v>USMCA</v>
      </c>
    </row>
    <row r="10013" spans="1:9" x14ac:dyDescent="0.4">
      <c r="A10013" t="s">
        <v>64</v>
      </c>
      <c r="B10013" s="1">
        <v>45505</v>
      </c>
      <c r="C10013">
        <v>870870</v>
      </c>
      <c r="D10013" t="s">
        <v>176</v>
      </c>
      <c r="E10013">
        <v>22297</v>
      </c>
      <c r="F10013">
        <v>683</v>
      </c>
      <c r="G10013">
        <v>423</v>
      </c>
      <c r="H10013">
        <f>_xlfn.XLOOKUP(FACT_IMPORTS[[#This Row],[hts_6]],DIM_PRODUCTS[hts_6],DIM_PRODUCTS[hts_4],,,)</f>
        <v>8708</v>
      </c>
      <c r="I10013" t="str" cm="1">
        <f t="array" ref="I10013">_xlfn.XLOOKUP(FACT_IMPORTS[[#This Row],[country_name]],DIM_COUNTRY[[#All],[Column2]],DIM_COUNTRY[[#All],[Column3]],,,)</f>
        <v>USMCA</v>
      </c>
    </row>
    <row r="10014" spans="1:9" x14ac:dyDescent="0.4">
      <c r="A10014" t="s">
        <v>64</v>
      </c>
      <c r="B10014" s="1">
        <v>45505</v>
      </c>
      <c r="C10014">
        <v>870880</v>
      </c>
      <c r="D10014" t="s">
        <v>176</v>
      </c>
      <c r="E10014">
        <v>7381</v>
      </c>
      <c r="F10014">
        <v>47</v>
      </c>
      <c r="G10014">
        <v>285</v>
      </c>
      <c r="H10014">
        <f>_xlfn.XLOOKUP(FACT_IMPORTS[[#This Row],[hts_6]],DIM_PRODUCTS[hts_6],DIM_PRODUCTS[hts_4],,,)</f>
        <v>8708</v>
      </c>
      <c r="I10014" t="str" cm="1">
        <f t="array" ref="I10014">_xlfn.XLOOKUP(FACT_IMPORTS[[#This Row],[country_name]],DIM_COUNTRY[[#All],[Column2]],DIM_COUNTRY[[#All],[Column3]],,,)</f>
        <v>USMCA</v>
      </c>
    </row>
    <row r="10015" spans="1:9" x14ac:dyDescent="0.4">
      <c r="A10015" t="s">
        <v>64</v>
      </c>
      <c r="B10015" s="1">
        <v>45505</v>
      </c>
      <c r="C10015">
        <v>870891</v>
      </c>
      <c r="D10015" t="s">
        <v>176</v>
      </c>
      <c r="E10015">
        <v>0</v>
      </c>
      <c r="F10015">
        <v>0</v>
      </c>
      <c r="G10015">
        <v>0</v>
      </c>
      <c r="H10015">
        <f>_xlfn.XLOOKUP(FACT_IMPORTS[[#This Row],[hts_6]],DIM_PRODUCTS[hts_6],DIM_PRODUCTS[hts_4],,,)</f>
        <v>8708</v>
      </c>
      <c r="I10015" t="str" cm="1">
        <f t="array" ref="I10015">_xlfn.XLOOKUP(FACT_IMPORTS[[#This Row],[country_name]],DIM_COUNTRY[[#All],[Column2]],DIM_COUNTRY[[#All],[Column3]],,,)</f>
        <v>USMCA</v>
      </c>
    </row>
    <row r="10016" spans="1:9" x14ac:dyDescent="0.4">
      <c r="A10016" t="s">
        <v>64</v>
      </c>
      <c r="B10016" s="1">
        <v>45505</v>
      </c>
      <c r="C10016">
        <v>870892</v>
      </c>
      <c r="D10016" t="s">
        <v>176</v>
      </c>
      <c r="E10016">
        <v>0</v>
      </c>
      <c r="F10016">
        <v>0</v>
      </c>
      <c r="G10016">
        <v>0</v>
      </c>
      <c r="H10016">
        <f>_xlfn.XLOOKUP(FACT_IMPORTS[[#This Row],[hts_6]],DIM_PRODUCTS[hts_6],DIM_PRODUCTS[hts_4],,,)</f>
        <v>8708</v>
      </c>
      <c r="I10016" t="str" cm="1">
        <f t="array" ref="I10016">_xlfn.XLOOKUP(FACT_IMPORTS[[#This Row],[country_name]],DIM_COUNTRY[[#All],[Column2]],DIM_COUNTRY[[#All],[Column3]],,,)</f>
        <v>USMCA</v>
      </c>
    </row>
    <row r="10017" spans="1:9" x14ac:dyDescent="0.4">
      <c r="A10017" t="s">
        <v>64</v>
      </c>
      <c r="B10017" s="1">
        <v>45505</v>
      </c>
      <c r="C10017">
        <v>870893</v>
      </c>
      <c r="D10017" t="s">
        <v>176</v>
      </c>
      <c r="E10017">
        <v>18042</v>
      </c>
      <c r="F10017">
        <v>1242</v>
      </c>
      <c r="G10017">
        <v>1246</v>
      </c>
      <c r="H10017">
        <f>_xlfn.XLOOKUP(FACT_IMPORTS[[#This Row],[hts_6]],DIM_PRODUCTS[hts_6],DIM_PRODUCTS[hts_4],,,)</f>
        <v>8708</v>
      </c>
      <c r="I10017" t="str" cm="1">
        <f t="array" ref="I10017">_xlfn.XLOOKUP(FACT_IMPORTS[[#This Row],[country_name]],DIM_COUNTRY[[#All],[Column2]],DIM_COUNTRY[[#All],[Column3]],,,)</f>
        <v>USMCA</v>
      </c>
    </row>
    <row r="10018" spans="1:9" x14ac:dyDescent="0.4">
      <c r="A10018" t="s">
        <v>64</v>
      </c>
      <c r="B10018" s="1">
        <v>45505</v>
      </c>
      <c r="C10018">
        <v>870894</v>
      </c>
      <c r="D10018" t="s">
        <v>176</v>
      </c>
      <c r="E10018">
        <v>51166</v>
      </c>
      <c r="F10018">
        <v>390</v>
      </c>
      <c r="G10018">
        <v>1707</v>
      </c>
      <c r="H10018">
        <f>_xlfn.XLOOKUP(FACT_IMPORTS[[#This Row],[hts_6]],DIM_PRODUCTS[hts_6],DIM_PRODUCTS[hts_4],,,)</f>
        <v>8708</v>
      </c>
      <c r="I10018" t="str" cm="1">
        <f t="array" ref="I10018">_xlfn.XLOOKUP(FACT_IMPORTS[[#This Row],[country_name]],DIM_COUNTRY[[#All],[Column2]],DIM_COUNTRY[[#All],[Column3]],,,)</f>
        <v>USMCA</v>
      </c>
    </row>
    <row r="10019" spans="1:9" x14ac:dyDescent="0.4">
      <c r="A10019" t="s">
        <v>64</v>
      </c>
      <c r="B10019" s="1">
        <v>45505</v>
      </c>
      <c r="C10019">
        <v>870895</v>
      </c>
      <c r="D10019" t="s">
        <v>176</v>
      </c>
      <c r="E10019">
        <v>3700</v>
      </c>
      <c r="F10019">
        <v>192</v>
      </c>
      <c r="G10019">
        <v>1000</v>
      </c>
      <c r="H10019">
        <f>_xlfn.XLOOKUP(FACT_IMPORTS[[#This Row],[hts_6]],DIM_PRODUCTS[hts_6],DIM_PRODUCTS[hts_4],,,)</f>
        <v>8708</v>
      </c>
      <c r="I10019" t="str" cm="1">
        <f t="array" ref="I10019">_xlfn.XLOOKUP(FACT_IMPORTS[[#This Row],[country_name]],DIM_COUNTRY[[#All],[Column2]],DIM_COUNTRY[[#All],[Column3]],,,)</f>
        <v>USMCA</v>
      </c>
    </row>
    <row r="10020" spans="1:9" x14ac:dyDescent="0.4">
      <c r="A10020" t="s">
        <v>64</v>
      </c>
      <c r="B10020" s="1">
        <v>45505</v>
      </c>
      <c r="C10020">
        <v>870899</v>
      </c>
      <c r="D10020" t="s">
        <v>176</v>
      </c>
      <c r="E10020">
        <v>205957</v>
      </c>
      <c r="F10020">
        <v>1643</v>
      </c>
      <c r="G10020">
        <v>3816</v>
      </c>
      <c r="H10020">
        <f>_xlfn.XLOOKUP(FACT_IMPORTS[[#This Row],[hts_6]],DIM_PRODUCTS[hts_6],DIM_PRODUCTS[hts_4],,,)</f>
        <v>8708</v>
      </c>
      <c r="I10020" t="str" cm="1">
        <f t="array" ref="I10020">_xlfn.XLOOKUP(FACT_IMPORTS[[#This Row],[country_name]],DIM_COUNTRY[[#All],[Column2]],DIM_COUNTRY[[#All],[Column3]],,,)</f>
        <v>USMCA</v>
      </c>
    </row>
    <row r="10021" spans="1:9" x14ac:dyDescent="0.4">
      <c r="A10021" t="s">
        <v>64</v>
      </c>
      <c r="B10021" s="1">
        <v>45505</v>
      </c>
      <c r="C10021">
        <v>940120</v>
      </c>
      <c r="D10021" t="s">
        <v>176</v>
      </c>
      <c r="E10021">
        <v>12412</v>
      </c>
      <c r="F10021">
        <v>35</v>
      </c>
      <c r="G10021">
        <v>99</v>
      </c>
      <c r="H10021">
        <f>_xlfn.XLOOKUP(FACT_IMPORTS[[#This Row],[hts_6]],DIM_PRODUCTS[hts_6],DIM_PRODUCTS[hts_4],,,)</f>
        <v>9401</v>
      </c>
      <c r="I10021" t="str" cm="1">
        <f t="array" ref="I10021">_xlfn.XLOOKUP(FACT_IMPORTS[[#This Row],[country_name]],DIM_COUNTRY[[#All],[Column2]],DIM_COUNTRY[[#All],[Column3]],,,)</f>
        <v>USMCA</v>
      </c>
    </row>
    <row r="10022" spans="1:9" x14ac:dyDescent="0.4">
      <c r="A10022" t="s">
        <v>64</v>
      </c>
      <c r="B10022" s="1">
        <v>45536</v>
      </c>
      <c r="C10022">
        <v>392630</v>
      </c>
      <c r="D10022" t="s">
        <v>176</v>
      </c>
      <c r="E10022">
        <v>3247</v>
      </c>
      <c r="F10022">
        <v>92</v>
      </c>
      <c r="G10022">
        <v>271</v>
      </c>
      <c r="H10022">
        <f>_xlfn.XLOOKUP(FACT_IMPORTS[[#This Row],[hts_6]],DIM_PRODUCTS[hts_6],DIM_PRODUCTS[hts_4],,,)</f>
        <v>3926</v>
      </c>
      <c r="I10022" t="str" cm="1">
        <f t="array" ref="I10022">_xlfn.XLOOKUP(FACT_IMPORTS[[#This Row],[country_name]],DIM_COUNTRY[[#All],[Column2]],DIM_COUNTRY[[#All],[Column3]],,,)</f>
        <v>USMCA</v>
      </c>
    </row>
    <row r="10023" spans="1:9" x14ac:dyDescent="0.4">
      <c r="A10023" t="s">
        <v>64</v>
      </c>
      <c r="B10023" s="1">
        <v>45536</v>
      </c>
      <c r="C10023">
        <v>401110</v>
      </c>
      <c r="D10023" t="s">
        <v>176</v>
      </c>
      <c r="E10023">
        <v>74895</v>
      </c>
      <c r="F10023">
        <v>663</v>
      </c>
      <c r="G10023">
        <v>1952</v>
      </c>
      <c r="H10023">
        <f>_xlfn.XLOOKUP(FACT_IMPORTS[[#This Row],[hts_6]],DIM_PRODUCTS[hts_6],DIM_PRODUCTS[hts_4],,,)</f>
        <v>4011</v>
      </c>
      <c r="I10023" t="str" cm="1">
        <f t="array" ref="I10023">_xlfn.XLOOKUP(FACT_IMPORTS[[#This Row],[country_name]],DIM_COUNTRY[[#All],[Column2]],DIM_COUNTRY[[#All],[Column3]],,,)</f>
        <v>USMCA</v>
      </c>
    </row>
    <row r="10024" spans="1:9" x14ac:dyDescent="0.4">
      <c r="A10024" t="s">
        <v>64</v>
      </c>
      <c r="B10024" s="1">
        <v>45536</v>
      </c>
      <c r="C10024">
        <v>401120</v>
      </c>
      <c r="D10024" t="s">
        <v>176</v>
      </c>
      <c r="E10024">
        <v>0</v>
      </c>
      <c r="F10024">
        <v>0</v>
      </c>
      <c r="G10024">
        <v>0</v>
      </c>
      <c r="H10024">
        <f>_xlfn.XLOOKUP(FACT_IMPORTS[[#This Row],[hts_6]],DIM_PRODUCTS[hts_6],DIM_PRODUCTS[hts_4],,,)</f>
        <v>4011</v>
      </c>
      <c r="I10024" t="str" cm="1">
        <f t="array" ref="I10024">_xlfn.XLOOKUP(FACT_IMPORTS[[#This Row],[country_name]],DIM_COUNTRY[[#All],[Column2]],DIM_COUNTRY[[#All],[Column3]],,,)</f>
        <v>USMCA</v>
      </c>
    </row>
    <row r="10025" spans="1:9" x14ac:dyDescent="0.4">
      <c r="A10025" t="s">
        <v>64</v>
      </c>
      <c r="B10025" s="1">
        <v>45536</v>
      </c>
      <c r="C10025">
        <v>700711</v>
      </c>
      <c r="D10025" t="s">
        <v>176</v>
      </c>
      <c r="E10025">
        <v>18950</v>
      </c>
      <c r="F10025">
        <v>861</v>
      </c>
      <c r="G10025">
        <v>310</v>
      </c>
      <c r="H10025">
        <f>_xlfn.XLOOKUP(FACT_IMPORTS[[#This Row],[hts_6]],DIM_PRODUCTS[hts_6],DIM_PRODUCTS[hts_4],,,)</f>
        <v>7007</v>
      </c>
      <c r="I10025" t="str" cm="1">
        <f t="array" ref="I10025">_xlfn.XLOOKUP(FACT_IMPORTS[[#This Row],[country_name]],DIM_COUNTRY[[#All],[Column2]],DIM_COUNTRY[[#All],[Column3]],,,)</f>
        <v>USMCA</v>
      </c>
    </row>
    <row r="10026" spans="1:9" x14ac:dyDescent="0.4">
      <c r="A10026" t="s">
        <v>64</v>
      </c>
      <c r="B10026" s="1">
        <v>45536</v>
      </c>
      <c r="C10026">
        <v>700721</v>
      </c>
      <c r="D10026" t="s">
        <v>176</v>
      </c>
      <c r="E10026">
        <v>0</v>
      </c>
      <c r="F10026">
        <v>0</v>
      </c>
      <c r="G10026">
        <v>0</v>
      </c>
      <c r="H10026">
        <f>_xlfn.XLOOKUP(FACT_IMPORTS[[#This Row],[hts_6]],DIM_PRODUCTS[hts_6],DIM_PRODUCTS[hts_4],,,)</f>
        <v>7007</v>
      </c>
      <c r="I10026" t="str" cm="1">
        <f t="array" ref="I10026">_xlfn.XLOOKUP(FACT_IMPORTS[[#This Row],[country_name]],DIM_COUNTRY[[#All],[Column2]],DIM_COUNTRY[[#All],[Column3]],,,)</f>
        <v>USMCA</v>
      </c>
    </row>
    <row r="10027" spans="1:9" x14ac:dyDescent="0.4">
      <c r="A10027" t="s">
        <v>64</v>
      </c>
      <c r="B10027" s="1">
        <v>45536</v>
      </c>
      <c r="C10027">
        <v>700910</v>
      </c>
      <c r="D10027" t="s">
        <v>176</v>
      </c>
      <c r="E10027">
        <v>0</v>
      </c>
      <c r="F10027">
        <v>0</v>
      </c>
      <c r="G10027">
        <v>0</v>
      </c>
      <c r="H10027">
        <f>_xlfn.XLOOKUP(FACT_IMPORTS[[#This Row],[hts_6]],DIM_PRODUCTS[hts_6],DIM_PRODUCTS[hts_4],,,)</f>
        <v>7009</v>
      </c>
      <c r="I10027" t="str" cm="1">
        <f t="array" ref="I10027">_xlfn.XLOOKUP(FACT_IMPORTS[[#This Row],[country_name]],DIM_COUNTRY[[#All],[Column2]],DIM_COUNTRY[[#All],[Column3]],,,)</f>
        <v>USMCA</v>
      </c>
    </row>
    <row r="10028" spans="1:9" x14ac:dyDescent="0.4">
      <c r="A10028" t="s">
        <v>64</v>
      </c>
      <c r="B10028" s="1">
        <v>45536</v>
      </c>
      <c r="C10028">
        <v>732010</v>
      </c>
      <c r="D10028" t="s">
        <v>176</v>
      </c>
      <c r="E10028">
        <v>0</v>
      </c>
      <c r="F10028">
        <v>0</v>
      </c>
      <c r="G10028">
        <v>0</v>
      </c>
      <c r="H10028">
        <f>_xlfn.XLOOKUP(FACT_IMPORTS[[#This Row],[hts_6]],DIM_PRODUCTS[hts_6],DIM_PRODUCTS[hts_4],,,)</f>
        <v>7320</v>
      </c>
      <c r="I10028" t="str" cm="1">
        <f t="array" ref="I10028">_xlfn.XLOOKUP(FACT_IMPORTS[[#This Row],[country_name]],DIM_COUNTRY[[#All],[Column2]],DIM_COUNTRY[[#All],[Column3]],,,)</f>
        <v>USMCA</v>
      </c>
    </row>
    <row r="10029" spans="1:9" x14ac:dyDescent="0.4">
      <c r="A10029" t="s">
        <v>64</v>
      </c>
      <c r="B10029" s="1">
        <v>45536</v>
      </c>
      <c r="C10029">
        <v>830230</v>
      </c>
      <c r="D10029" t="s">
        <v>176</v>
      </c>
      <c r="E10029">
        <v>5800</v>
      </c>
      <c r="F10029">
        <v>100</v>
      </c>
      <c r="G10029">
        <v>234</v>
      </c>
      <c r="H10029">
        <f>_xlfn.XLOOKUP(FACT_IMPORTS[[#This Row],[hts_6]],DIM_PRODUCTS[hts_6],DIM_PRODUCTS[hts_4],,,)</f>
        <v>8302</v>
      </c>
      <c r="I10029" t="str" cm="1">
        <f t="array" ref="I10029">_xlfn.XLOOKUP(FACT_IMPORTS[[#This Row],[country_name]],DIM_COUNTRY[[#All],[Column2]],DIM_COUNTRY[[#All],[Column3]],,,)</f>
        <v>USMCA</v>
      </c>
    </row>
    <row r="10030" spans="1:9" x14ac:dyDescent="0.4">
      <c r="A10030" t="s">
        <v>64</v>
      </c>
      <c r="B10030" s="1">
        <v>45536</v>
      </c>
      <c r="C10030">
        <v>840733</v>
      </c>
      <c r="D10030" t="s">
        <v>176</v>
      </c>
      <c r="E10030">
        <v>0</v>
      </c>
      <c r="F10030">
        <v>0</v>
      </c>
      <c r="G10030">
        <v>0</v>
      </c>
      <c r="H10030">
        <f>_xlfn.XLOOKUP(FACT_IMPORTS[[#This Row],[hts_6]],DIM_PRODUCTS[hts_6],DIM_PRODUCTS[hts_4],,,)</f>
        <v>8407</v>
      </c>
      <c r="I10030" t="str" cm="1">
        <f t="array" ref="I10030">_xlfn.XLOOKUP(FACT_IMPORTS[[#This Row],[country_name]],DIM_COUNTRY[[#All],[Column2]],DIM_COUNTRY[[#All],[Column3]],,,)</f>
        <v>USMCA</v>
      </c>
    </row>
    <row r="10031" spans="1:9" x14ac:dyDescent="0.4">
      <c r="A10031" t="s">
        <v>64</v>
      </c>
      <c r="B10031" s="1">
        <v>45536</v>
      </c>
      <c r="C10031">
        <v>840734</v>
      </c>
      <c r="D10031" t="s">
        <v>176</v>
      </c>
      <c r="E10031">
        <v>86171</v>
      </c>
      <c r="F10031">
        <v>33</v>
      </c>
      <c r="G10031">
        <v>296</v>
      </c>
      <c r="H10031">
        <f>_xlfn.XLOOKUP(FACT_IMPORTS[[#This Row],[hts_6]],DIM_PRODUCTS[hts_6],DIM_PRODUCTS[hts_4],,,)</f>
        <v>8407</v>
      </c>
      <c r="I10031" t="str" cm="1">
        <f t="array" ref="I10031">_xlfn.XLOOKUP(FACT_IMPORTS[[#This Row],[country_name]],DIM_COUNTRY[[#All],[Column2]],DIM_COUNTRY[[#All],[Column3]],,,)</f>
        <v>USMCA</v>
      </c>
    </row>
    <row r="10032" spans="1:9" x14ac:dyDescent="0.4">
      <c r="A10032" t="s">
        <v>64</v>
      </c>
      <c r="B10032" s="1">
        <v>45536</v>
      </c>
      <c r="C10032">
        <v>840820</v>
      </c>
      <c r="D10032" t="s">
        <v>176</v>
      </c>
      <c r="E10032">
        <v>46200</v>
      </c>
      <c r="F10032">
        <v>8</v>
      </c>
      <c r="G10032">
        <v>81</v>
      </c>
      <c r="H10032">
        <f>_xlfn.XLOOKUP(FACT_IMPORTS[[#This Row],[hts_6]],DIM_PRODUCTS[hts_6],DIM_PRODUCTS[hts_4],,,)</f>
        <v>8408</v>
      </c>
      <c r="I10032" t="str" cm="1">
        <f t="array" ref="I10032">_xlfn.XLOOKUP(FACT_IMPORTS[[#This Row],[country_name]],DIM_COUNTRY[[#All],[Column2]],DIM_COUNTRY[[#All],[Column3]],,,)</f>
        <v>USMCA</v>
      </c>
    </row>
    <row r="10033" spans="1:9" x14ac:dyDescent="0.4">
      <c r="A10033" t="s">
        <v>64</v>
      </c>
      <c r="B10033" s="1">
        <v>45536</v>
      </c>
      <c r="C10033">
        <v>840890</v>
      </c>
      <c r="D10033" t="s">
        <v>176</v>
      </c>
      <c r="E10033">
        <v>28300</v>
      </c>
      <c r="F10033">
        <v>6</v>
      </c>
      <c r="G10033">
        <v>175</v>
      </c>
      <c r="H10033">
        <f>_xlfn.XLOOKUP(FACT_IMPORTS[[#This Row],[hts_6]],DIM_PRODUCTS[hts_6],DIM_PRODUCTS[hts_4],,,)</f>
        <v>8408</v>
      </c>
      <c r="I10033" t="str" cm="1">
        <f t="array" ref="I10033">_xlfn.XLOOKUP(FACT_IMPORTS[[#This Row],[country_name]],DIM_COUNTRY[[#All],[Column2]],DIM_COUNTRY[[#All],[Column3]],,,)</f>
        <v>USMCA</v>
      </c>
    </row>
    <row r="10034" spans="1:9" x14ac:dyDescent="0.4">
      <c r="A10034" t="s">
        <v>64</v>
      </c>
      <c r="B10034" s="1">
        <v>45536</v>
      </c>
      <c r="C10034">
        <v>840991</v>
      </c>
      <c r="D10034" t="s">
        <v>176</v>
      </c>
      <c r="E10034">
        <v>755143</v>
      </c>
      <c r="F10034">
        <v>63088</v>
      </c>
      <c r="G10034">
        <v>2795</v>
      </c>
      <c r="H10034">
        <f>_xlfn.XLOOKUP(FACT_IMPORTS[[#This Row],[hts_6]],DIM_PRODUCTS[hts_6],DIM_PRODUCTS[hts_4],,,)</f>
        <v>8409</v>
      </c>
      <c r="I10034" t="str" cm="1">
        <f t="array" ref="I10034">_xlfn.XLOOKUP(FACT_IMPORTS[[#This Row],[country_name]],DIM_COUNTRY[[#All],[Column2]],DIM_COUNTRY[[#All],[Column3]],,,)</f>
        <v>USMCA</v>
      </c>
    </row>
    <row r="10035" spans="1:9" x14ac:dyDescent="0.4">
      <c r="A10035" t="s">
        <v>64</v>
      </c>
      <c r="B10035" s="1">
        <v>45536</v>
      </c>
      <c r="C10035">
        <v>840999</v>
      </c>
      <c r="D10035" t="s">
        <v>176</v>
      </c>
      <c r="E10035">
        <v>71049</v>
      </c>
      <c r="F10035">
        <v>1984</v>
      </c>
      <c r="G10035">
        <v>931</v>
      </c>
      <c r="H10035">
        <f>_xlfn.XLOOKUP(FACT_IMPORTS[[#This Row],[hts_6]],DIM_PRODUCTS[hts_6],DIM_PRODUCTS[hts_4],,,)</f>
        <v>8409</v>
      </c>
      <c r="I10035" t="str" cm="1">
        <f t="array" ref="I10035">_xlfn.XLOOKUP(FACT_IMPORTS[[#This Row],[country_name]],DIM_COUNTRY[[#All],[Column2]],DIM_COUNTRY[[#All],[Column3]],,,)</f>
        <v>USMCA</v>
      </c>
    </row>
    <row r="10036" spans="1:9" x14ac:dyDescent="0.4">
      <c r="A10036" t="s">
        <v>64</v>
      </c>
      <c r="B10036" s="1">
        <v>45536</v>
      </c>
      <c r="C10036">
        <v>841330</v>
      </c>
      <c r="D10036" t="s">
        <v>176</v>
      </c>
      <c r="E10036">
        <v>46945</v>
      </c>
      <c r="F10036">
        <v>35</v>
      </c>
      <c r="G10036">
        <v>70</v>
      </c>
      <c r="H10036">
        <f>_xlfn.XLOOKUP(FACT_IMPORTS[[#This Row],[hts_6]],DIM_PRODUCTS[hts_6],DIM_PRODUCTS[hts_4],,,)</f>
        <v>8413</v>
      </c>
      <c r="I10036" t="str" cm="1">
        <f t="array" ref="I10036">_xlfn.XLOOKUP(FACT_IMPORTS[[#This Row],[country_name]],DIM_COUNTRY[[#All],[Column2]],DIM_COUNTRY[[#All],[Column3]],,,)</f>
        <v>USMCA</v>
      </c>
    </row>
    <row r="10037" spans="1:9" x14ac:dyDescent="0.4">
      <c r="A10037" t="s">
        <v>64</v>
      </c>
      <c r="B10037" s="1">
        <v>45536</v>
      </c>
      <c r="C10037">
        <v>842132</v>
      </c>
      <c r="D10037" t="s">
        <v>176</v>
      </c>
      <c r="E10037">
        <v>86952</v>
      </c>
      <c r="F10037">
        <v>319</v>
      </c>
      <c r="G10037">
        <v>274</v>
      </c>
      <c r="H10037">
        <f>_xlfn.XLOOKUP(FACT_IMPORTS[[#This Row],[hts_6]],DIM_PRODUCTS[hts_6],DIM_PRODUCTS[hts_4],,,)</f>
        <v>8421</v>
      </c>
      <c r="I10037" t="str" cm="1">
        <f t="array" ref="I10037">_xlfn.XLOOKUP(FACT_IMPORTS[[#This Row],[country_name]],DIM_COUNTRY[[#All],[Column2]],DIM_COUNTRY[[#All],[Column3]],,,)</f>
        <v>USMCA</v>
      </c>
    </row>
    <row r="10038" spans="1:9" x14ac:dyDescent="0.4">
      <c r="A10038" t="s">
        <v>64</v>
      </c>
      <c r="B10038" s="1">
        <v>45536</v>
      </c>
      <c r="C10038">
        <v>848210</v>
      </c>
      <c r="D10038" t="s">
        <v>176</v>
      </c>
      <c r="E10038">
        <v>0</v>
      </c>
      <c r="F10038">
        <v>0</v>
      </c>
      <c r="G10038">
        <v>0</v>
      </c>
      <c r="H10038">
        <f>_xlfn.XLOOKUP(FACT_IMPORTS[[#This Row],[hts_6]],DIM_PRODUCTS[hts_6],DIM_PRODUCTS[hts_4],,,)</f>
        <v>8482</v>
      </c>
      <c r="I10038" t="str" cm="1">
        <f t="array" ref="I10038">_xlfn.XLOOKUP(FACT_IMPORTS[[#This Row],[country_name]],DIM_COUNTRY[[#All],[Column2]],DIM_COUNTRY[[#All],[Column3]],,,)</f>
        <v>USMCA</v>
      </c>
    </row>
    <row r="10039" spans="1:9" x14ac:dyDescent="0.4">
      <c r="A10039" t="s">
        <v>64</v>
      </c>
      <c r="B10039" s="1">
        <v>45536</v>
      </c>
      <c r="C10039">
        <v>848220</v>
      </c>
      <c r="D10039" t="s">
        <v>176</v>
      </c>
      <c r="E10039">
        <v>0</v>
      </c>
      <c r="F10039">
        <v>0</v>
      </c>
      <c r="G10039">
        <v>0</v>
      </c>
      <c r="H10039">
        <f>_xlfn.XLOOKUP(FACT_IMPORTS[[#This Row],[hts_6]],DIM_PRODUCTS[hts_6],DIM_PRODUCTS[hts_4],,,)</f>
        <v>8482</v>
      </c>
      <c r="I10039" t="str" cm="1">
        <f t="array" ref="I10039">_xlfn.XLOOKUP(FACT_IMPORTS[[#This Row],[country_name]],DIM_COUNTRY[[#All],[Column2]],DIM_COUNTRY[[#All],[Column3]],,,)</f>
        <v>USMCA</v>
      </c>
    </row>
    <row r="10040" spans="1:9" x14ac:dyDescent="0.4">
      <c r="A10040" t="s">
        <v>64</v>
      </c>
      <c r="B10040" s="1">
        <v>45536</v>
      </c>
      <c r="C10040">
        <v>848310</v>
      </c>
      <c r="D10040" t="s">
        <v>176</v>
      </c>
      <c r="E10040">
        <v>0</v>
      </c>
      <c r="F10040">
        <v>0</v>
      </c>
      <c r="G10040">
        <v>0</v>
      </c>
      <c r="H10040">
        <f>_xlfn.XLOOKUP(FACT_IMPORTS[[#This Row],[hts_6]],DIM_PRODUCTS[hts_6],DIM_PRODUCTS[hts_4],,,)</f>
        <v>8483</v>
      </c>
      <c r="I10040" t="str" cm="1">
        <f t="array" ref="I10040">_xlfn.XLOOKUP(FACT_IMPORTS[[#This Row],[country_name]],DIM_COUNTRY[[#All],[Column2]],DIM_COUNTRY[[#All],[Column3]],,,)</f>
        <v>USMCA</v>
      </c>
    </row>
    <row r="10041" spans="1:9" x14ac:dyDescent="0.4">
      <c r="A10041" t="s">
        <v>64</v>
      </c>
      <c r="B10041" s="1">
        <v>45536</v>
      </c>
      <c r="C10041">
        <v>850131</v>
      </c>
      <c r="D10041" t="s">
        <v>176</v>
      </c>
      <c r="E10041">
        <v>9029</v>
      </c>
      <c r="F10041">
        <v>39</v>
      </c>
      <c r="G10041">
        <v>105</v>
      </c>
      <c r="H10041">
        <f>_xlfn.XLOOKUP(FACT_IMPORTS[[#This Row],[hts_6]],DIM_PRODUCTS[hts_6],DIM_PRODUCTS[hts_4],,,)</f>
        <v>8501</v>
      </c>
      <c r="I10041" t="str" cm="1">
        <f t="array" ref="I10041">_xlfn.XLOOKUP(FACT_IMPORTS[[#This Row],[country_name]],DIM_COUNTRY[[#All],[Column2]],DIM_COUNTRY[[#All],[Column3]],,,)</f>
        <v>USMCA</v>
      </c>
    </row>
    <row r="10042" spans="1:9" x14ac:dyDescent="0.4">
      <c r="A10042" t="s">
        <v>64</v>
      </c>
      <c r="B10042" s="1">
        <v>45536</v>
      </c>
      <c r="C10042">
        <v>850132</v>
      </c>
      <c r="D10042" t="s">
        <v>176</v>
      </c>
      <c r="E10042">
        <v>0</v>
      </c>
      <c r="F10042">
        <v>0</v>
      </c>
      <c r="G10042">
        <v>0</v>
      </c>
      <c r="H10042">
        <f>_xlfn.XLOOKUP(FACT_IMPORTS[[#This Row],[hts_6]],DIM_PRODUCTS[hts_6],DIM_PRODUCTS[hts_4],,,)</f>
        <v>8501</v>
      </c>
      <c r="I10042" t="str" cm="1">
        <f t="array" ref="I10042">_xlfn.XLOOKUP(FACT_IMPORTS[[#This Row],[country_name]],DIM_COUNTRY[[#All],[Column2]],DIM_COUNTRY[[#All],[Column3]],,,)</f>
        <v>USMCA</v>
      </c>
    </row>
    <row r="10043" spans="1:9" x14ac:dyDescent="0.4">
      <c r="A10043" t="s">
        <v>64</v>
      </c>
      <c r="B10043" s="1">
        <v>45536</v>
      </c>
      <c r="C10043">
        <v>850133</v>
      </c>
      <c r="D10043" t="s">
        <v>176</v>
      </c>
      <c r="E10043">
        <v>0</v>
      </c>
      <c r="F10043">
        <v>0</v>
      </c>
      <c r="G10043">
        <v>0</v>
      </c>
      <c r="H10043">
        <f>_xlfn.XLOOKUP(FACT_IMPORTS[[#This Row],[hts_6]],DIM_PRODUCTS[hts_6],DIM_PRODUCTS[hts_4],,,)</f>
        <v>8501</v>
      </c>
      <c r="I10043" t="str" cm="1">
        <f t="array" ref="I10043">_xlfn.XLOOKUP(FACT_IMPORTS[[#This Row],[country_name]],DIM_COUNTRY[[#All],[Column2]],DIM_COUNTRY[[#All],[Column3]],,,)</f>
        <v>USMCA</v>
      </c>
    </row>
    <row r="10044" spans="1:9" x14ac:dyDescent="0.4">
      <c r="A10044" t="s">
        <v>64</v>
      </c>
      <c r="B10044" s="1">
        <v>45536</v>
      </c>
      <c r="C10044">
        <v>850152</v>
      </c>
      <c r="D10044" t="s">
        <v>176</v>
      </c>
      <c r="E10044">
        <v>102460</v>
      </c>
      <c r="F10044">
        <v>94</v>
      </c>
      <c r="G10044">
        <v>1078</v>
      </c>
      <c r="H10044">
        <f>_xlfn.XLOOKUP(FACT_IMPORTS[[#This Row],[hts_6]],DIM_PRODUCTS[hts_6],DIM_PRODUCTS[hts_4],,,)</f>
        <v>8501</v>
      </c>
      <c r="I10044" t="str" cm="1">
        <f t="array" ref="I10044">_xlfn.XLOOKUP(FACT_IMPORTS[[#This Row],[country_name]],DIM_COUNTRY[[#All],[Column2]],DIM_COUNTRY[[#All],[Column3]],,,)</f>
        <v>USMCA</v>
      </c>
    </row>
    <row r="10045" spans="1:9" x14ac:dyDescent="0.4">
      <c r="A10045" t="s">
        <v>64</v>
      </c>
      <c r="B10045" s="1">
        <v>45536</v>
      </c>
      <c r="C10045">
        <v>850153</v>
      </c>
      <c r="D10045" t="s">
        <v>176</v>
      </c>
      <c r="E10045">
        <v>23241</v>
      </c>
      <c r="F10045">
        <v>6</v>
      </c>
      <c r="G10045">
        <v>209</v>
      </c>
      <c r="H10045">
        <f>_xlfn.XLOOKUP(FACT_IMPORTS[[#This Row],[hts_6]],DIM_PRODUCTS[hts_6],DIM_PRODUCTS[hts_4],,,)</f>
        <v>8501</v>
      </c>
      <c r="I10045" t="str" cm="1">
        <f t="array" ref="I10045">_xlfn.XLOOKUP(FACT_IMPORTS[[#This Row],[country_name]],DIM_COUNTRY[[#All],[Column2]],DIM_COUNTRY[[#All],[Column3]],,,)</f>
        <v>USMCA</v>
      </c>
    </row>
    <row r="10046" spans="1:9" x14ac:dyDescent="0.4">
      <c r="A10046" t="s">
        <v>64</v>
      </c>
      <c r="B10046" s="1">
        <v>45536</v>
      </c>
      <c r="C10046">
        <v>850161</v>
      </c>
      <c r="D10046" t="s">
        <v>176</v>
      </c>
      <c r="E10046">
        <v>0</v>
      </c>
      <c r="F10046">
        <v>0</v>
      </c>
      <c r="G10046">
        <v>0</v>
      </c>
      <c r="H10046">
        <f>_xlfn.XLOOKUP(FACT_IMPORTS[[#This Row],[hts_6]],DIM_PRODUCTS[hts_6],DIM_PRODUCTS[hts_4],,,)</f>
        <v>8501</v>
      </c>
      <c r="I10046" t="str" cm="1">
        <f t="array" ref="I10046">_xlfn.XLOOKUP(FACT_IMPORTS[[#This Row],[country_name]],DIM_COUNTRY[[#All],[Column2]],DIM_COUNTRY[[#All],[Column3]],,,)</f>
        <v>USMCA</v>
      </c>
    </row>
    <row r="10047" spans="1:9" x14ac:dyDescent="0.4">
      <c r="A10047" t="s">
        <v>64</v>
      </c>
      <c r="B10047" s="1">
        <v>45536</v>
      </c>
      <c r="C10047">
        <v>850440</v>
      </c>
      <c r="D10047" t="s">
        <v>176</v>
      </c>
      <c r="E10047">
        <v>81560</v>
      </c>
      <c r="F10047">
        <v>938</v>
      </c>
      <c r="G10047">
        <v>2238</v>
      </c>
      <c r="H10047">
        <f>_xlfn.XLOOKUP(FACT_IMPORTS[[#This Row],[hts_6]],DIM_PRODUCTS[hts_6],DIM_PRODUCTS[hts_4],,,)</f>
        <v>8504</v>
      </c>
      <c r="I10047" t="str" cm="1">
        <f t="array" ref="I10047">_xlfn.XLOOKUP(FACT_IMPORTS[[#This Row],[country_name]],DIM_COUNTRY[[#All],[Column2]],DIM_COUNTRY[[#All],[Column3]],,,)</f>
        <v>USMCA</v>
      </c>
    </row>
    <row r="10048" spans="1:9" x14ac:dyDescent="0.4">
      <c r="A10048" t="s">
        <v>64</v>
      </c>
      <c r="B10048" s="1">
        <v>45536</v>
      </c>
      <c r="C10048">
        <v>850710</v>
      </c>
      <c r="D10048" t="s">
        <v>176</v>
      </c>
      <c r="E10048">
        <v>0</v>
      </c>
      <c r="F10048">
        <v>0</v>
      </c>
      <c r="G10048">
        <v>0</v>
      </c>
      <c r="H10048">
        <f>_xlfn.XLOOKUP(FACT_IMPORTS[[#This Row],[hts_6]],DIM_PRODUCTS[hts_6],DIM_PRODUCTS[hts_4],,,)</f>
        <v>8507</v>
      </c>
      <c r="I10048" t="str" cm="1">
        <f t="array" ref="I10048">_xlfn.XLOOKUP(FACT_IMPORTS[[#This Row],[country_name]],DIM_COUNTRY[[#All],[Column2]],DIM_COUNTRY[[#All],[Column3]],,,)</f>
        <v>USMCA</v>
      </c>
    </row>
    <row r="10049" spans="1:9" x14ac:dyDescent="0.4">
      <c r="A10049" t="s">
        <v>64</v>
      </c>
      <c r="B10049" s="1">
        <v>45536</v>
      </c>
      <c r="C10049">
        <v>850760</v>
      </c>
      <c r="D10049" t="s">
        <v>176</v>
      </c>
      <c r="E10049">
        <v>0</v>
      </c>
      <c r="F10049">
        <v>0</v>
      </c>
      <c r="G10049">
        <v>0</v>
      </c>
      <c r="H10049">
        <f>_xlfn.XLOOKUP(FACT_IMPORTS[[#This Row],[hts_6]],DIM_PRODUCTS[hts_6],DIM_PRODUCTS[hts_4],,,)</f>
        <v>8507</v>
      </c>
      <c r="I10049" t="str" cm="1">
        <f t="array" ref="I10049">_xlfn.XLOOKUP(FACT_IMPORTS[[#This Row],[country_name]],DIM_COUNTRY[[#All],[Column2]],DIM_COUNTRY[[#All],[Column3]],,,)</f>
        <v>USMCA</v>
      </c>
    </row>
    <row r="10050" spans="1:9" x14ac:dyDescent="0.4">
      <c r="A10050" t="s">
        <v>64</v>
      </c>
      <c r="B10050" s="1">
        <v>45536</v>
      </c>
      <c r="C10050">
        <v>851110</v>
      </c>
      <c r="D10050" t="s">
        <v>176</v>
      </c>
      <c r="E10050">
        <v>0</v>
      </c>
      <c r="F10050">
        <v>0</v>
      </c>
      <c r="G10050">
        <v>0</v>
      </c>
      <c r="H10050">
        <f>_xlfn.XLOOKUP(FACT_IMPORTS[[#This Row],[hts_6]],DIM_PRODUCTS[hts_6],DIM_PRODUCTS[hts_4],,,)</f>
        <v>8511</v>
      </c>
      <c r="I10050" t="str" cm="1">
        <f t="array" ref="I10050">_xlfn.XLOOKUP(FACT_IMPORTS[[#This Row],[country_name]],DIM_COUNTRY[[#All],[Column2]],DIM_COUNTRY[[#All],[Column3]],,,)</f>
        <v>USMCA</v>
      </c>
    </row>
    <row r="10051" spans="1:9" x14ac:dyDescent="0.4">
      <c r="A10051" t="s">
        <v>64</v>
      </c>
      <c r="B10051" s="1">
        <v>45536</v>
      </c>
      <c r="C10051">
        <v>851120</v>
      </c>
      <c r="D10051" t="s">
        <v>176</v>
      </c>
      <c r="E10051">
        <v>0</v>
      </c>
      <c r="F10051">
        <v>0</v>
      </c>
      <c r="G10051">
        <v>0</v>
      </c>
      <c r="H10051">
        <f>_xlfn.XLOOKUP(FACT_IMPORTS[[#This Row],[hts_6]],DIM_PRODUCTS[hts_6],DIM_PRODUCTS[hts_4],,,)</f>
        <v>8511</v>
      </c>
      <c r="I10051" t="str" cm="1">
        <f t="array" ref="I10051">_xlfn.XLOOKUP(FACT_IMPORTS[[#This Row],[country_name]],DIM_COUNTRY[[#All],[Column2]],DIM_COUNTRY[[#All],[Column3]],,,)</f>
        <v>USMCA</v>
      </c>
    </row>
    <row r="10052" spans="1:9" x14ac:dyDescent="0.4">
      <c r="A10052" t="s">
        <v>64</v>
      </c>
      <c r="B10052" s="1">
        <v>45536</v>
      </c>
      <c r="C10052">
        <v>851140</v>
      </c>
      <c r="D10052" t="s">
        <v>176</v>
      </c>
      <c r="E10052">
        <v>16832</v>
      </c>
      <c r="F10052">
        <v>72</v>
      </c>
      <c r="G10052">
        <v>1515</v>
      </c>
      <c r="H10052">
        <f>_xlfn.XLOOKUP(FACT_IMPORTS[[#This Row],[hts_6]],DIM_PRODUCTS[hts_6],DIM_PRODUCTS[hts_4],,,)</f>
        <v>8511</v>
      </c>
      <c r="I10052" t="str" cm="1">
        <f t="array" ref="I10052">_xlfn.XLOOKUP(FACT_IMPORTS[[#This Row],[country_name]],DIM_COUNTRY[[#All],[Column2]],DIM_COUNTRY[[#All],[Column3]],,,)</f>
        <v>USMCA</v>
      </c>
    </row>
    <row r="10053" spans="1:9" x14ac:dyDescent="0.4">
      <c r="A10053" t="s">
        <v>64</v>
      </c>
      <c r="B10053" s="1">
        <v>45536</v>
      </c>
      <c r="C10053">
        <v>851150</v>
      </c>
      <c r="D10053" t="s">
        <v>176</v>
      </c>
      <c r="E10053">
        <v>15062</v>
      </c>
      <c r="F10053">
        <v>69</v>
      </c>
      <c r="G10053">
        <v>606</v>
      </c>
      <c r="H10053">
        <f>_xlfn.XLOOKUP(FACT_IMPORTS[[#This Row],[hts_6]],DIM_PRODUCTS[hts_6],DIM_PRODUCTS[hts_4],,,)</f>
        <v>8511</v>
      </c>
      <c r="I10053" t="str" cm="1">
        <f t="array" ref="I10053">_xlfn.XLOOKUP(FACT_IMPORTS[[#This Row],[country_name]],DIM_COUNTRY[[#All],[Column2]],DIM_COUNTRY[[#All],[Column3]],,,)</f>
        <v>USMCA</v>
      </c>
    </row>
    <row r="10054" spans="1:9" x14ac:dyDescent="0.4">
      <c r="A10054" t="s">
        <v>64</v>
      </c>
      <c r="B10054" s="1">
        <v>45536</v>
      </c>
      <c r="C10054">
        <v>851180</v>
      </c>
      <c r="D10054" t="s">
        <v>176</v>
      </c>
      <c r="E10054">
        <v>0</v>
      </c>
      <c r="F10054">
        <v>0</v>
      </c>
      <c r="G10054">
        <v>0</v>
      </c>
      <c r="H10054">
        <f>_xlfn.XLOOKUP(FACT_IMPORTS[[#This Row],[hts_6]],DIM_PRODUCTS[hts_6],DIM_PRODUCTS[hts_4],,,)</f>
        <v>8511</v>
      </c>
      <c r="I10054" t="str" cm="1">
        <f t="array" ref="I10054">_xlfn.XLOOKUP(FACT_IMPORTS[[#This Row],[country_name]],DIM_COUNTRY[[#All],[Column2]],DIM_COUNTRY[[#All],[Column3]],,,)</f>
        <v>USMCA</v>
      </c>
    </row>
    <row r="10055" spans="1:9" x14ac:dyDescent="0.4">
      <c r="A10055" t="s">
        <v>64</v>
      </c>
      <c r="B10055" s="1">
        <v>45536</v>
      </c>
      <c r="C10055">
        <v>851190</v>
      </c>
      <c r="D10055" t="s">
        <v>176</v>
      </c>
      <c r="E10055">
        <v>21984</v>
      </c>
      <c r="F10055">
        <v>2537</v>
      </c>
      <c r="G10055">
        <v>519</v>
      </c>
      <c r="H10055">
        <f>_xlfn.XLOOKUP(FACT_IMPORTS[[#This Row],[hts_6]],DIM_PRODUCTS[hts_6],DIM_PRODUCTS[hts_4],,,)</f>
        <v>8511</v>
      </c>
      <c r="I10055" t="str" cm="1">
        <f t="array" ref="I10055">_xlfn.XLOOKUP(FACT_IMPORTS[[#This Row],[country_name]],DIM_COUNTRY[[#All],[Column2]],DIM_COUNTRY[[#All],[Column3]],,,)</f>
        <v>USMCA</v>
      </c>
    </row>
    <row r="10056" spans="1:9" x14ac:dyDescent="0.4">
      <c r="A10056" t="s">
        <v>64</v>
      </c>
      <c r="B10056" s="1">
        <v>45536</v>
      </c>
      <c r="C10056">
        <v>851220</v>
      </c>
      <c r="D10056" t="s">
        <v>176</v>
      </c>
      <c r="E10056">
        <v>108644</v>
      </c>
      <c r="F10056">
        <v>1288</v>
      </c>
      <c r="G10056">
        <v>430</v>
      </c>
      <c r="H10056">
        <f>_xlfn.XLOOKUP(FACT_IMPORTS[[#This Row],[hts_6]],DIM_PRODUCTS[hts_6],DIM_PRODUCTS[hts_4],,,)</f>
        <v>8512</v>
      </c>
      <c r="I10056" t="str" cm="1">
        <f t="array" ref="I10056">_xlfn.XLOOKUP(FACT_IMPORTS[[#This Row],[country_name]],DIM_COUNTRY[[#All],[Column2]],DIM_COUNTRY[[#All],[Column3]],,,)</f>
        <v>USMCA</v>
      </c>
    </row>
    <row r="10057" spans="1:9" x14ac:dyDescent="0.4">
      <c r="A10057" t="s">
        <v>64</v>
      </c>
      <c r="B10057" s="1">
        <v>45536</v>
      </c>
      <c r="C10057">
        <v>851230</v>
      </c>
      <c r="D10057" t="s">
        <v>176</v>
      </c>
      <c r="E10057">
        <v>0</v>
      </c>
      <c r="F10057">
        <v>0</v>
      </c>
      <c r="G10057">
        <v>0</v>
      </c>
      <c r="H10057">
        <f>_xlfn.XLOOKUP(FACT_IMPORTS[[#This Row],[hts_6]],DIM_PRODUCTS[hts_6],DIM_PRODUCTS[hts_4],,,)</f>
        <v>8512</v>
      </c>
      <c r="I10057" t="str" cm="1">
        <f t="array" ref="I10057">_xlfn.XLOOKUP(FACT_IMPORTS[[#This Row],[country_name]],DIM_COUNTRY[[#All],[Column2]],DIM_COUNTRY[[#All],[Column3]],,,)</f>
        <v>USMCA</v>
      </c>
    </row>
    <row r="10058" spans="1:9" x14ac:dyDescent="0.4">
      <c r="A10058" t="s">
        <v>64</v>
      </c>
      <c r="B10058" s="1">
        <v>45536</v>
      </c>
      <c r="C10058">
        <v>851290</v>
      </c>
      <c r="D10058" t="s">
        <v>176</v>
      </c>
      <c r="E10058">
        <v>0</v>
      </c>
      <c r="F10058">
        <v>0</v>
      </c>
      <c r="G10058">
        <v>0</v>
      </c>
      <c r="H10058">
        <f>_xlfn.XLOOKUP(FACT_IMPORTS[[#This Row],[hts_6]],DIM_PRODUCTS[hts_6],DIM_PRODUCTS[hts_4],,,)</f>
        <v>8512</v>
      </c>
      <c r="I10058" t="str" cm="1">
        <f t="array" ref="I10058">_xlfn.XLOOKUP(FACT_IMPORTS[[#This Row],[country_name]],DIM_COUNTRY[[#All],[Column2]],DIM_COUNTRY[[#All],[Column3]],,,)</f>
        <v>USMCA</v>
      </c>
    </row>
    <row r="10059" spans="1:9" x14ac:dyDescent="0.4">
      <c r="A10059" t="s">
        <v>64</v>
      </c>
      <c r="B10059" s="1">
        <v>45536</v>
      </c>
      <c r="C10059">
        <v>854231</v>
      </c>
      <c r="D10059" t="s">
        <v>176</v>
      </c>
      <c r="E10059">
        <v>0</v>
      </c>
      <c r="F10059">
        <v>0</v>
      </c>
      <c r="G10059">
        <v>0</v>
      </c>
      <c r="H10059">
        <f>_xlfn.XLOOKUP(FACT_IMPORTS[[#This Row],[hts_6]],DIM_PRODUCTS[hts_6],DIM_PRODUCTS[hts_4],,,)</f>
        <v>8542</v>
      </c>
      <c r="I10059" t="str" cm="1">
        <f t="array" ref="I10059">_xlfn.XLOOKUP(FACT_IMPORTS[[#This Row],[country_name]],DIM_COUNTRY[[#All],[Column2]],DIM_COUNTRY[[#All],[Column3]],,,)</f>
        <v>USMCA</v>
      </c>
    </row>
    <row r="10060" spans="1:9" x14ac:dyDescent="0.4">
      <c r="A10060" t="s">
        <v>64</v>
      </c>
      <c r="B10060" s="1">
        <v>45536</v>
      </c>
      <c r="C10060">
        <v>854239</v>
      </c>
      <c r="D10060" t="s">
        <v>176</v>
      </c>
      <c r="E10060">
        <v>0</v>
      </c>
      <c r="F10060">
        <v>0</v>
      </c>
      <c r="G10060">
        <v>0</v>
      </c>
      <c r="H10060">
        <f>_xlfn.XLOOKUP(FACT_IMPORTS[[#This Row],[hts_6]],DIM_PRODUCTS[hts_6],DIM_PRODUCTS[hts_4],,,)</f>
        <v>8542</v>
      </c>
      <c r="I10060" t="str" cm="1">
        <f t="array" ref="I10060">_xlfn.XLOOKUP(FACT_IMPORTS[[#This Row],[country_name]],DIM_COUNTRY[[#All],[Column2]],DIM_COUNTRY[[#All],[Column3]],,,)</f>
        <v>USMCA</v>
      </c>
    </row>
    <row r="10061" spans="1:9" x14ac:dyDescent="0.4">
      <c r="A10061" t="s">
        <v>64</v>
      </c>
      <c r="B10061" s="1">
        <v>45536</v>
      </c>
      <c r="C10061">
        <v>854290</v>
      </c>
      <c r="D10061" t="s">
        <v>176</v>
      </c>
      <c r="E10061">
        <v>3360</v>
      </c>
      <c r="F10061">
        <v>4</v>
      </c>
      <c r="G10061">
        <v>3</v>
      </c>
      <c r="H10061">
        <f>_xlfn.XLOOKUP(FACT_IMPORTS[[#This Row],[hts_6]],DIM_PRODUCTS[hts_6],DIM_PRODUCTS[hts_4],,,)</f>
        <v>8542</v>
      </c>
      <c r="I10061" t="str" cm="1">
        <f t="array" ref="I10061">_xlfn.XLOOKUP(FACT_IMPORTS[[#This Row],[country_name]],DIM_COUNTRY[[#All],[Column2]],DIM_COUNTRY[[#All],[Column3]],,,)</f>
        <v>USMCA</v>
      </c>
    </row>
    <row r="10062" spans="1:9" x14ac:dyDescent="0.4">
      <c r="A10062" t="s">
        <v>64</v>
      </c>
      <c r="B10062" s="1">
        <v>45536</v>
      </c>
      <c r="C10062">
        <v>854430</v>
      </c>
      <c r="D10062" t="s">
        <v>176</v>
      </c>
      <c r="E10062">
        <v>859276</v>
      </c>
      <c r="F10062">
        <v>53648</v>
      </c>
      <c r="G10062">
        <v>33152</v>
      </c>
      <c r="H10062">
        <f>_xlfn.XLOOKUP(FACT_IMPORTS[[#This Row],[hts_6]],DIM_PRODUCTS[hts_6],DIM_PRODUCTS[hts_4],,,)</f>
        <v>8544</v>
      </c>
      <c r="I10062" t="str" cm="1">
        <f t="array" ref="I10062">_xlfn.XLOOKUP(FACT_IMPORTS[[#This Row],[country_name]],DIM_COUNTRY[[#All],[Column2]],DIM_COUNTRY[[#All],[Column3]],,,)</f>
        <v>USMCA</v>
      </c>
    </row>
    <row r="10063" spans="1:9" x14ac:dyDescent="0.4">
      <c r="A10063" t="s">
        <v>64</v>
      </c>
      <c r="B10063" s="1">
        <v>45536</v>
      </c>
      <c r="C10063">
        <v>870810</v>
      </c>
      <c r="D10063" t="s">
        <v>176</v>
      </c>
      <c r="E10063">
        <v>20925</v>
      </c>
      <c r="F10063">
        <v>72</v>
      </c>
      <c r="G10063">
        <v>116</v>
      </c>
      <c r="H10063">
        <f>_xlfn.XLOOKUP(FACT_IMPORTS[[#This Row],[hts_6]],DIM_PRODUCTS[hts_6],DIM_PRODUCTS[hts_4],,,)</f>
        <v>8708</v>
      </c>
      <c r="I10063" t="str" cm="1">
        <f t="array" ref="I10063">_xlfn.XLOOKUP(FACT_IMPORTS[[#This Row],[country_name]],DIM_COUNTRY[[#All],[Column2]],DIM_COUNTRY[[#All],[Column3]],,,)</f>
        <v>USMCA</v>
      </c>
    </row>
    <row r="10064" spans="1:9" x14ac:dyDescent="0.4">
      <c r="A10064" t="s">
        <v>64</v>
      </c>
      <c r="B10064" s="1">
        <v>45536</v>
      </c>
      <c r="C10064">
        <v>870822</v>
      </c>
      <c r="D10064" t="s">
        <v>176</v>
      </c>
      <c r="E10064">
        <v>0</v>
      </c>
      <c r="F10064">
        <v>0</v>
      </c>
      <c r="G10064">
        <v>0</v>
      </c>
      <c r="H10064">
        <f>_xlfn.XLOOKUP(FACT_IMPORTS[[#This Row],[hts_6]],DIM_PRODUCTS[hts_6],DIM_PRODUCTS[hts_4],,,)</f>
        <v>8708</v>
      </c>
      <c r="I10064" t="str" cm="1">
        <f t="array" ref="I10064">_xlfn.XLOOKUP(FACT_IMPORTS[[#This Row],[country_name]],DIM_COUNTRY[[#All],[Column2]],DIM_COUNTRY[[#All],[Column3]],,,)</f>
        <v>USMCA</v>
      </c>
    </row>
    <row r="10065" spans="1:9" x14ac:dyDescent="0.4">
      <c r="A10065" t="s">
        <v>64</v>
      </c>
      <c r="B10065" s="1">
        <v>45536</v>
      </c>
      <c r="C10065">
        <v>870829</v>
      </c>
      <c r="D10065" t="s">
        <v>176</v>
      </c>
      <c r="E10065">
        <v>422460</v>
      </c>
      <c r="F10065">
        <v>7596</v>
      </c>
      <c r="G10065">
        <v>11391</v>
      </c>
      <c r="H10065">
        <f>_xlfn.XLOOKUP(FACT_IMPORTS[[#This Row],[hts_6]],DIM_PRODUCTS[hts_6],DIM_PRODUCTS[hts_4],,,)</f>
        <v>8708</v>
      </c>
      <c r="I10065" t="str" cm="1">
        <f t="array" ref="I10065">_xlfn.XLOOKUP(FACT_IMPORTS[[#This Row],[country_name]],DIM_COUNTRY[[#All],[Column2]],DIM_COUNTRY[[#All],[Column3]],,,)</f>
        <v>USMCA</v>
      </c>
    </row>
    <row r="10066" spans="1:9" x14ac:dyDescent="0.4">
      <c r="A10066" t="s">
        <v>64</v>
      </c>
      <c r="B10066" s="1">
        <v>45536</v>
      </c>
      <c r="C10066">
        <v>870830</v>
      </c>
      <c r="D10066" t="s">
        <v>176</v>
      </c>
      <c r="E10066">
        <v>851402</v>
      </c>
      <c r="F10066">
        <v>18729</v>
      </c>
      <c r="G10066">
        <v>3440</v>
      </c>
      <c r="H10066">
        <f>_xlfn.XLOOKUP(FACT_IMPORTS[[#This Row],[hts_6]],DIM_PRODUCTS[hts_6],DIM_PRODUCTS[hts_4],,,)</f>
        <v>8708</v>
      </c>
      <c r="I10066" t="str" cm="1">
        <f t="array" ref="I10066">_xlfn.XLOOKUP(FACT_IMPORTS[[#This Row],[country_name]],DIM_COUNTRY[[#All],[Column2]],DIM_COUNTRY[[#All],[Column3]],,,)</f>
        <v>USMCA</v>
      </c>
    </row>
    <row r="10067" spans="1:9" x14ac:dyDescent="0.4">
      <c r="A10067" t="s">
        <v>64</v>
      </c>
      <c r="B10067" s="1">
        <v>45536</v>
      </c>
      <c r="C10067">
        <v>870840</v>
      </c>
      <c r="D10067" t="s">
        <v>176</v>
      </c>
      <c r="E10067">
        <v>119350</v>
      </c>
      <c r="F10067">
        <v>206</v>
      </c>
      <c r="G10067">
        <v>1296</v>
      </c>
      <c r="H10067">
        <f>_xlfn.XLOOKUP(FACT_IMPORTS[[#This Row],[hts_6]],DIM_PRODUCTS[hts_6],DIM_PRODUCTS[hts_4],,,)</f>
        <v>8708</v>
      </c>
      <c r="I10067" t="str" cm="1">
        <f t="array" ref="I10067">_xlfn.XLOOKUP(FACT_IMPORTS[[#This Row],[country_name]],DIM_COUNTRY[[#All],[Column2]],DIM_COUNTRY[[#All],[Column3]],,,)</f>
        <v>USMCA</v>
      </c>
    </row>
    <row r="10068" spans="1:9" x14ac:dyDescent="0.4">
      <c r="A10068" t="s">
        <v>64</v>
      </c>
      <c r="B10068" s="1">
        <v>45536</v>
      </c>
      <c r="C10068">
        <v>870850</v>
      </c>
      <c r="D10068" t="s">
        <v>176</v>
      </c>
      <c r="E10068">
        <v>88280</v>
      </c>
      <c r="F10068">
        <v>1240</v>
      </c>
      <c r="G10068">
        <v>342</v>
      </c>
      <c r="H10068">
        <f>_xlfn.XLOOKUP(FACT_IMPORTS[[#This Row],[hts_6]],DIM_PRODUCTS[hts_6],DIM_PRODUCTS[hts_4],,,)</f>
        <v>8708</v>
      </c>
      <c r="I10068" t="str" cm="1">
        <f t="array" ref="I10068">_xlfn.XLOOKUP(FACT_IMPORTS[[#This Row],[country_name]],DIM_COUNTRY[[#All],[Column2]],DIM_COUNTRY[[#All],[Column3]],,,)</f>
        <v>USMCA</v>
      </c>
    </row>
    <row r="10069" spans="1:9" x14ac:dyDescent="0.4">
      <c r="A10069" t="s">
        <v>64</v>
      </c>
      <c r="B10069" s="1">
        <v>45536</v>
      </c>
      <c r="C10069">
        <v>870870</v>
      </c>
      <c r="D10069" t="s">
        <v>176</v>
      </c>
      <c r="E10069">
        <v>42959</v>
      </c>
      <c r="F10069">
        <v>1073</v>
      </c>
      <c r="G10069">
        <v>673</v>
      </c>
      <c r="H10069">
        <f>_xlfn.XLOOKUP(FACT_IMPORTS[[#This Row],[hts_6]],DIM_PRODUCTS[hts_6],DIM_PRODUCTS[hts_4],,,)</f>
        <v>8708</v>
      </c>
      <c r="I10069" t="str" cm="1">
        <f t="array" ref="I10069">_xlfn.XLOOKUP(FACT_IMPORTS[[#This Row],[country_name]],DIM_COUNTRY[[#All],[Column2]],DIM_COUNTRY[[#All],[Column3]],,,)</f>
        <v>USMCA</v>
      </c>
    </row>
    <row r="10070" spans="1:9" x14ac:dyDescent="0.4">
      <c r="A10070" t="s">
        <v>64</v>
      </c>
      <c r="B10070" s="1">
        <v>45536</v>
      </c>
      <c r="C10070">
        <v>870880</v>
      </c>
      <c r="D10070" t="s">
        <v>176</v>
      </c>
      <c r="E10070">
        <v>83160</v>
      </c>
      <c r="F10070">
        <v>6530</v>
      </c>
      <c r="G10070">
        <v>290</v>
      </c>
      <c r="H10070">
        <f>_xlfn.XLOOKUP(FACT_IMPORTS[[#This Row],[hts_6]],DIM_PRODUCTS[hts_6],DIM_PRODUCTS[hts_4],,,)</f>
        <v>8708</v>
      </c>
      <c r="I10070" t="str" cm="1">
        <f t="array" ref="I10070">_xlfn.XLOOKUP(FACT_IMPORTS[[#This Row],[country_name]],DIM_COUNTRY[[#All],[Column2]],DIM_COUNTRY[[#All],[Column3]],,,)</f>
        <v>USMCA</v>
      </c>
    </row>
    <row r="10071" spans="1:9" x14ac:dyDescent="0.4">
      <c r="A10071" t="s">
        <v>64</v>
      </c>
      <c r="B10071" s="1">
        <v>45536</v>
      </c>
      <c r="C10071">
        <v>870891</v>
      </c>
      <c r="D10071" t="s">
        <v>176</v>
      </c>
      <c r="E10071">
        <v>26021</v>
      </c>
      <c r="F10071">
        <v>787</v>
      </c>
      <c r="G10071">
        <v>204</v>
      </c>
      <c r="H10071">
        <f>_xlfn.XLOOKUP(FACT_IMPORTS[[#This Row],[hts_6]],DIM_PRODUCTS[hts_6],DIM_PRODUCTS[hts_4],,,)</f>
        <v>8708</v>
      </c>
      <c r="I10071" t="str" cm="1">
        <f t="array" ref="I10071">_xlfn.XLOOKUP(FACT_IMPORTS[[#This Row],[country_name]],DIM_COUNTRY[[#All],[Column2]],DIM_COUNTRY[[#All],[Column3]],,,)</f>
        <v>USMCA</v>
      </c>
    </row>
    <row r="10072" spans="1:9" x14ac:dyDescent="0.4">
      <c r="A10072" t="s">
        <v>64</v>
      </c>
      <c r="B10072" s="1">
        <v>45536</v>
      </c>
      <c r="C10072">
        <v>870892</v>
      </c>
      <c r="D10072" t="s">
        <v>176</v>
      </c>
      <c r="E10072">
        <v>2891</v>
      </c>
      <c r="F10072">
        <v>20</v>
      </c>
      <c r="G10072">
        <v>1</v>
      </c>
      <c r="H10072">
        <f>_xlfn.XLOOKUP(FACT_IMPORTS[[#This Row],[hts_6]],DIM_PRODUCTS[hts_6],DIM_PRODUCTS[hts_4],,,)</f>
        <v>8708</v>
      </c>
      <c r="I10072" t="str" cm="1">
        <f t="array" ref="I10072">_xlfn.XLOOKUP(FACT_IMPORTS[[#This Row],[country_name]],DIM_COUNTRY[[#All],[Column2]],DIM_COUNTRY[[#All],[Column3]],,,)</f>
        <v>USMCA</v>
      </c>
    </row>
    <row r="10073" spans="1:9" x14ac:dyDescent="0.4">
      <c r="A10073" t="s">
        <v>64</v>
      </c>
      <c r="B10073" s="1">
        <v>45536</v>
      </c>
      <c r="C10073">
        <v>870893</v>
      </c>
      <c r="D10073" t="s">
        <v>176</v>
      </c>
      <c r="E10073">
        <v>12841</v>
      </c>
      <c r="F10073">
        <v>2434</v>
      </c>
      <c r="G10073">
        <v>355</v>
      </c>
      <c r="H10073">
        <f>_xlfn.XLOOKUP(FACT_IMPORTS[[#This Row],[hts_6]],DIM_PRODUCTS[hts_6],DIM_PRODUCTS[hts_4],,,)</f>
        <v>8708</v>
      </c>
      <c r="I10073" t="str" cm="1">
        <f t="array" ref="I10073">_xlfn.XLOOKUP(FACT_IMPORTS[[#This Row],[country_name]],DIM_COUNTRY[[#All],[Column2]],DIM_COUNTRY[[#All],[Column3]],,,)</f>
        <v>USMCA</v>
      </c>
    </row>
    <row r="10074" spans="1:9" x14ac:dyDescent="0.4">
      <c r="A10074" t="s">
        <v>64</v>
      </c>
      <c r="B10074" s="1">
        <v>45536</v>
      </c>
      <c r="C10074">
        <v>870894</v>
      </c>
      <c r="D10074" t="s">
        <v>176</v>
      </c>
      <c r="E10074">
        <v>101424</v>
      </c>
      <c r="F10074">
        <v>1148</v>
      </c>
      <c r="G10074">
        <v>135</v>
      </c>
      <c r="H10074">
        <f>_xlfn.XLOOKUP(FACT_IMPORTS[[#This Row],[hts_6]],DIM_PRODUCTS[hts_6],DIM_PRODUCTS[hts_4],,,)</f>
        <v>8708</v>
      </c>
      <c r="I10074" t="str" cm="1">
        <f t="array" ref="I10074">_xlfn.XLOOKUP(FACT_IMPORTS[[#This Row],[country_name]],DIM_COUNTRY[[#All],[Column2]],DIM_COUNTRY[[#All],[Column3]],,,)</f>
        <v>USMCA</v>
      </c>
    </row>
    <row r="10075" spans="1:9" x14ac:dyDescent="0.4">
      <c r="A10075" t="s">
        <v>64</v>
      </c>
      <c r="B10075" s="1">
        <v>45536</v>
      </c>
      <c r="C10075">
        <v>870895</v>
      </c>
      <c r="D10075" t="s">
        <v>176</v>
      </c>
      <c r="E10075">
        <v>96635</v>
      </c>
      <c r="F10075">
        <v>2764</v>
      </c>
      <c r="G10075">
        <v>3579</v>
      </c>
      <c r="H10075">
        <f>_xlfn.XLOOKUP(FACT_IMPORTS[[#This Row],[hts_6]],DIM_PRODUCTS[hts_6],DIM_PRODUCTS[hts_4],,,)</f>
        <v>8708</v>
      </c>
      <c r="I10075" t="str" cm="1">
        <f t="array" ref="I10075">_xlfn.XLOOKUP(FACT_IMPORTS[[#This Row],[country_name]],DIM_COUNTRY[[#All],[Column2]],DIM_COUNTRY[[#All],[Column3]],,,)</f>
        <v>USMCA</v>
      </c>
    </row>
    <row r="10076" spans="1:9" x14ac:dyDescent="0.4">
      <c r="A10076" t="s">
        <v>64</v>
      </c>
      <c r="B10076" s="1">
        <v>45536</v>
      </c>
      <c r="C10076">
        <v>870899</v>
      </c>
      <c r="D10076" t="s">
        <v>176</v>
      </c>
      <c r="E10076">
        <v>368015</v>
      </c>
      <c r="F10076">
        <v>2698</v>
      </c>
      <c r="G10076">
        <v>2792</v>
      </c>
      <c r="H10076">
        <f>_xlfn.XLOOKUP(FACT_IMPORTS[[#This Row],[hts_6]],DIM_PRODUCTS[hts_6],DIM_PRODUCTS[hts_4],,,)</f>
        <v>8708</v>
      </c>
      <c r="I10076" t="str" cm="1">
        <f t="array" ref="I10076">_xlfn.XLOOKUP(FACT_IMPORTS[[#This Row],[country_name]],DIM_COUNTRY[[#All],[Column2]],DIM_COUNTRY[[#All],[Column3]],,,)</f>
        <v>USMCA</v>
      </c>
    </row>
    <row r="10077" spans="1:9" x14ac:dyDescent="0.4">
      <c r="A10077" t="s">
        <v>64</v>
      </c>
      <c r="B10077" s="1">
        <v>45536</v>
      </c>
      <c r="C10077">
        <v>940120</v>
      </c>
      <c r="D10077" t="s">
        <v>176</v>
      </c>
      <c r="E10077">
        <v>17438</v>
      </c>
      <c r="F10077">
        <v>66</v>
      </c>
      <c r="G10077">
        <v>284</v>
      </c>
      <c r="H10077">
        <f>_xlfn.XLOOKUP(FACT_IMPORTS[[#This Row],[hts_6]],DIM_PRODUCTS[hts_6],DIM_PRODUCTS[hts_4],,,)</f>
        <v>9401</v>
      </c>
      <c r="I10077" t="str" cm="1">
        <f t="array" ref="I10077">_xlfn.XLOOKUP(FACT_IMPORTS[[#This Row],[country_name]],DIM_COUNTRY[[#All],[Column2]],DIM_COUNTRY[[#All],[Column3]],,,)</f>
        <v>USMCA</v>
      </c>
    </row>
    <row r="10078" spans="1:9" x14ac:dyDescent="0.4">
      <c r="A10078" t="s">
        <v>64</v>
      </c>
      <c r="B10078" s="1">
        <v>45566</v>
      </c>
      <c r="C10078">
        <v>392630</v>
      </c>
      <c r="D10078" t="s">
        <v>176</v>
      </c>
      <c r="E10078">
        <v>13159</v>
      </c>
      <c r="F10078">
        <v>409</v>
      </c>
      <c r="G10078">
        <v>2152</v>
      </c>
      <c r="H10078">
        <f>_xlfn.XLOOKUP(FACT_IMPORTS[[#This Row],[hts_6]],DIM_PRODUCTS[hts_6],DIM_PRODUCTS[hts_4],,,)</f>
        <v>3926</v>
      </c>
      <c r="I10078" t="str" cm="1">
        <f t="array" ref="I10078">_xlfn.XLOOKUP(FACT_IMPORTS[[#This Row],[country_name]],DIM_COUNTRY[[#All],[Column2]],DIM_COUNTRY[[#All],[Column3]],,,)</f>
        <v>USMCA</v>
      </c>
    </row>
    <row r="10079" spans="1:9" x14ac:dyDescent="0.4">
      <c r="A10079" t="s">
        <v>64</v>
      </c>
      <c r="B10079" s="1">
        <v>45566</v>
      </c>
      <c r="C10079">
        <v>401110</v>
      </c>
      <c r="D10079" t="s">
        <v>176</v>
      </c>
      <c r="E10079">
        <v>114260</v>
      </c>
      <c r="F10079">
        <v>1064</v>
      </c>
      <c r="G10079">
        <v>3856</v>
      </c>
      <c r="H10079">
        <f>_xlfn.XLOOKUP(FACT_IMPORTS[[#This Row],[hts_6]],DIM_PRODUCTS[hts_6],DIM_PRODUCTS[hts_4],,,)</f>
        <v>4011</v>
      </c>
      <c r="I10079" t="str" cm="1">
        <f t="array" ref="I10079">_xlfn.XLOOKUP(FACT_IMPORTS[[#This Row],[country_name]],DIM_COUNTRY[[#All],[Column2]],DIM_COUNTRY[[#All],[Column3]],,,)</f>
        <v>USMCA</v>
      </c>
    </row>
    <row r="10080" spans="1:9" x14ac:dyDescent="0.4">
      <c r="A10080" t="s">
        <v>64</v>
      </c>
      <c r="B10080" s="1">
        <v>45566</v>
      </c>
      <c r="C10080">
        <v>401120</v>
      </c>
      <c r="D10080" t="s">
        <v>176</v>
      </c>
      <c r="E10080">
        <v>44155</v>
      </c>
      <c r="F10080">
        <v>540</v>
      </c>
      <c r="G10080">
        <v>485</v>
      </c>
      <c r="H10080">
        <f>_xlfn.XLOOKUP(FACT_IMPORTS[[#This Row],[hts_6]],DIM_PRODUCTS[hts_6],DIM_PRODUCTS[hts_4],,,)</f>
        <v>4011</v>
      </c>
      <c r="I10080" t="str" cm="1">
        <f t="array" ref="I10080">_xlfn.XLOOKUP(FACT_IMPORTS[[#This Row],[country_name]],DIM_COUNTRY[[#All],[Column2]],DIM_COUNTRY[[#All],[Column3]],,,)</f>
        <v>USMCA</v>
      </c>
    </row>
    <row r="10081" spans="1:9" x14ac:dyDescent="0.4">
      <c r="A10081" t="s">
        <v>64</v>
      </c>
      <c r="B10081" s="1">
        <v>45566</v>
      </c>
      <c r="C10081">
        <v>700711</v>
      </c>
      <c r="D10081" t="s">
        <v>176</v>
      </c>
      <c r="E10081">
        <v>0</v>
      </c>
      <c r="F10081">
        <v>0</v>
      </c>
      <c r="G10081">
        <v>0</v>
      </c>
      <c r="H10081">
        <f>_xlfn.XLOOKUP(FACT_IMPORTS[[#This Row],[hts_6]],DIM_PRODUCTS[hts_6],DIM_PRODUCTS[hts_4],,,)</f>
        <v>7007</v>
      </c>
      <c r="I10081" t="str" cm="1">
        <f t="array" ref="I10081">_xlfn.XLOOKUP(FACT_IMPORTS[[#This Row],[country_name]],DIM_COUNTRY[[#All],[Column2]],DIM_COUNTRY[[#All],[Column3]],,,)</f>
        <v>USMCA</v>
      </c>
    </row>
    <row r="10082" spans="1:9" x14ac:dyDescent="0.4">
      <c r="A10082" t="s">
        <v>64</v>
      </c>
      <c r="B10082" s="1">
        <v>45566</v>
      </c>
      <c r="C10082">
        <v>700721</v>
      </c>
      <c r="D10082" t="s">
        <v>176</v>
      </c>
      <c r="E10082">
        <v>0</v>
      </c>
      <c r="F10082">
        <v>0</v>
      </c>
      <c r="G10082">
        <v>0</v>
      </c>
      <c r="H10082">
        <f>_xlfn.XLOOKUP(FACT_IMPORTS[[#This Row],[hts_6]],DIM_PRODUCTS[hts_6],DIM_PRODUCTS[hts_4],,,)</f>
        <v>7007</v>
      </c>
      <c r="I10082" t="str" cm="1">
        <f t="array" ref="I10082">_xlfn.XLOOKUP(FACT_IMPORTS[[#This Row],[country_name]],DIM_COUNTRY[[#All],[Column2]],DIM_COUNTRY[[#All],[Column3]],,,)</f>
        <v>USMCA</v>
      </c>
    </row>
    <row r="10083" spans="1:9" x14ac:dyDescent="0.4">
      <c r="A10083" t="s">
        <v>64</v>
      </c>
      <c r="B10083" s="1">
        <v>45566</v>
      </c>
      <c r="C10083">
        <v>700910</v>
      </c>
      <c r="D10083" t="s">
        <v>176</v>
      </c>
      <c r="E10083">
        <v>3985</v>
      </c>
      <c r="F10083">
        <v>18</v>
      </c>
      <c r="G10083">
        <v>234</v>
      </c>
      <c r="H10083">
        <f>_xlfn.XLOOKUP(FACT_IMPORTS[[#This Row],[hts_6]],DIM_PRODUCTS[hts_6],DIM_PRODUCTS[hts_4],,,)</f>
        <v>7009</v>
      </c>
      <c r="I10083" t="str" cm="1">
        <f t="array" ref="I10083">_xlfn.XLOOKUP(FACT_IMPORTS[[#This Row],[country_name]],DIM_COUNTRY[[#All],[Column2]],DIM_COUNTRY[[#All],[Column3]],,,)</f>
        <v>USMCA</v>
      </c>
    </row>
    <row r="10084" spans="1:9" x14ac:dyDescent="0.4">
      <c r="A10084" t="s">
        <v>64</v>
      </c>
      <c r="B10084" s="1">
        <v>45566</v>
      </c>
      <c r="C10084">
        <v>732010</v>
      </c>
      <c r="D10084" t="s">
        <v>176</v>
      </c>
      <c r="E10084">
        <v>0</v>
      </c>
      <c r="F10084">
        <v>0</v>
      </c>
      <c r="G10084">
        <v>0</v>
      </c>
      <c r="H10084">
        <f>_xlfn.XLOOKUP(FACT_IMPORTS[[#This Row],[hts_6]],DIM_PRODUCTS[hts_6],DIM_PRODUCTS[hts_4],,,)</f>
        <v>7320</v>
      </c>
      <c r="I10084" t="str" cm="1">
        <f t="array" ref="I10084">_xlfn.XLOOKUP(FACT_IMPORTS[[#This Row],[country_name]],DIM_COUNTRY[[#All],[Column2]],DIM_COUNTRY[[#All],[Column3]],,,)</f>
        <v>USMCA</v>
      </c>
    </row>
    <row r="10085" spans="1:9" x14ac:dyDescent="0.4">
      <c r="A10085" t="s">
        <v>64</v>
      </c>
      <c r="B10085" s="1">
        <v>45566</v>
      </c>
      <c r="C10085">
        <v>830230</v>
      </c>
      <c r="D10085" t="s">
        <v>176</v>
      </c>
      <c r="E10085">
        <v>17826</v>
      </c>
      <c r="F10085">
        <v>401</v>
      </c>
      <c r="G10085">
        <v>1117</v>
      </c>
      <c r="H10085">
        <f>_xlfn.XLOOKUP(FACT_IMPORTS[[#This Row],[hts_6]],DIM_PRODUCTS[hts_6],DIM_PRODUCTS[hts_4],,,)</f>
        <v>8302</v>
      </c>
      <c r="I10085" t="str" cm="1">
        <f t="array" ref="I10085">_xlfn.XLOOKUP(FACT_IMPORTS[[#This Row],[country_name]],DIM_COUNTRY[[#All],[Column2]],DIM_COUNTRY[[#All],[Column3]],,,)</f>
        <v>USMCA</v>
      </c>
    </row>
    <row r="10086" spans="1:9" x14ac:dyDescent="0.4">
      <c r="A10086" t="s">
        <v>64</v>
      </c>
      <c r="B10086" s="1">
        <v>45566</v>
      </c>
      <c r="C10086">
        <v>840733</v>
      </c>
      <c r="D10086" t="s">
        <v>176</v>
      </c>
      <c r="E10086">
        <v>7125</v>
      </c>
      <c r="F10086">
        <v>2</v>
      </c>
      <c r="G10086">
        <v>28</v>
      </c>
      <c r="H10086">
        <f>_xlfn.XLOOKUP(FACT_IMPORTS[[#This Row],[hts_6]],DIM_PRODUCTS[hts_6],DIM_PRODUCTS[hts_4],,,)</f>
        <v>8407</v>
      </c>
      <c r="I10086" t="str" cm="1">
        <f t="array" ref="I10086">_xlfn.XLOOKUP(FACT_IMPORTS[[#This Row],[country_name]],DIM_COUNTRY[[#All],[Column2]],DIM_COUNTRY[[#All],[Column3]],,,)</f>
        <v>USMCA</v>
      </c>
    </row>
    <row r="10087" spans="1:9" x14ac:dyDescent="0.4">
      <c r="A10087" t="s">
        <v>64</v>
      </c>
      <c r="B10087" s="1">
        <v>45566</v>
      </c>
      <c r="C10087">
        <v>840734</v>
      </c>
      <c r="D10087" t="s">
        <v>176</v>
      </c>
      <c r="E10087">
        <v>79552</v>
      </c>
      <c r="F10087">
        <v>109</v>
      </c>
      <c r="G10087">
        <v>472</v>
      </c>
      <c r="H10087">
        <f>_xlfn.XLOOKUP(FACT_IMPORTS[[#This Row],[hts_6]],DIM_PRODUCTS[hts_6],DIM_PRODUCTS[hts_4],,,)</f>
        <v>8407</v>
      </c>
      <c r="I10087" t="str" cm="1">
        <f t="array" ref="I10087">_xlfn.XLOOKUP(FACT_IMPORTS[[#This Row],[country_name]],DIM_COUNTRY[[#All],[Column2]],DIM_COUNTRY[[#All],[Column3]],,,)</f>
        <v>USMCA</v>
      </c>
    </row>
    <row r="10088" spans="1:9" x14ac:dyDescent="0.4">
      <c r="A10088" t="s">
        <v>64</v>
      </c>
      <c r="B10088" s="1">
        <v>45566</v>
      </c>
      <c r="C10088">
        <v>840820</v>
      </c>
      <c r="D10088" t="s">
        <v>176</v>
      </c>
      <c r="E10088">
        <v>34340</v>
      </c>
      <c r="F10088">
        <v>7</v>
      </c>
      <c r="G10088">
        <v>57</v>
      </c>
      <c r="H10088">
        <f>_xlfn.XLOOKUP(FACT_IMPORTS[[#This Row],[hts_6]],DIM_PRODUCTS[hts_6],DIM_PRODUCTS[hts_4],,,)</f>
        <v>8408</v>
      </c>
      <c r="I10088" t="str" cm="1">
        <f t="array" ref="I10088">_xlfn.XLOOKUP(FACT_IMPORTS[[#This Row],[country_name]],DIM_COUNTRY[[#All],[Column2]],DIM_COUNTRY[[#All],[Column3]],,,)</f>
        <v>USMCA</v>
      </c>
    </row>
    <row r="10089" spans="1:9" x14ac:dyDescent="0.4">
      <c r="A10089" t="s">
        <v>64</v>
      </c>
      <c r="B10089" s="1">
        <v>45566</v>
      </c>
      <c r="C10089">
        <v>840890</v>
      </c>
      <c r="D10089" t="s">
        <v>176</v>
      </c>
      <c r="E10089">
        <v>85285</v>
      </c>
      <c r="F10089">
        <v>5</v>
      </c>
      <c r="G10089">
        <v>282</v>
      </c>
      <c r="H10089">
        <f>_xlfn.XLOOKUP(FACT_IMPORTS[[#This Row],[hts_6]],DIM_PRODUCTS[hts_6],DIM_PRODUCTS[hts_4],,,)</f>
        <v>8408</v>
      </c>
      <c r="I10089" t="str" cm="1">
        <f t="array" ref="I10089">_xlfn.XLOOKUP(FACT_IMPORTS[[#This Row],[country_name]],DIM_COUNTRY[[#All],[Column2]],DIM_COUNTRY[[#All],[Column3]],,,)</f>
        <v>USMCA</v>
      </c>
    </row>
    <row r="10090" spans="1:9" x14ac:dyDescent="0.4">
      <c r="A10090" t="s">
        <v>64</v>
      </c>
      <c r="B10090" s="1">
        <v>45566</v>
      </c>
      <c r="C10090">
        <v>840991</v>
      </c>
      <c r="D10090" t="s">
        <v>176</v>
      </c>
      <c r="E10090">
        <v>677678</v>
      </c>
      <c r="F10090">
        <v>68173</v>
      </c>
      <c r="G10090">
        <v>2008</v>
      </c>
      <c r="H10090">
        <f>_xlfn.XLOOKUP(FACT_IMPORTS[[#This Row],[hts_6]],DIM_PRODUCTS[hts_6],DIM_PRODUCTS[hts_4],,,)</f>
        <v>8409</v>
      </c>
      <c r="I10090" t="str" cm="1">
        <f t="array" ref="I10090">_xlfn.XLOOKUP(FACT_IMPORTS[[#This Row],[country_name]],DIM_COUNTRY[[#All],[Column2]],DIM_COUNTRY[[#All],[Column3]],,,)</f>
        <v>USMCA</v>
      </c>
    </row>
    <row r="10091" spans="1:9" x14ac:dyDescent="0.4">
      <c r="A10091" t="s">
        <v>64</v>
      </c>
      <c r="B10091" s="1">
        <v>45566</v>
      </c>
      <c r="C10091">
        <v>840999</v>
      </c>
      <c r="D10091" t="s">
        <v>176</v>
      </c>
      <c r="E10091">
        <v>44994</v>
      </c>
      <c r="F10091">
        <v>926</v>
      </c>
      <c r="G10091">
        <v>1304</v>
      </c>
      <c r="H10091">
        <f>_xlfn.XLOOKUP(FACT_IMPORTS[[#This Row],[hts_6]],DIM_PRODUCTS[hts_6],DIM_PRODUCTS[hts_4],,,)</f>
        <v>8409</v>
      </c>
      <c r="I10091" t="str" cm="1">
        <f t="array" ref="I10091">_xlfn.XLOOKUP(FACT_IMPORTS[[#This Row],[country_name]],DIM_COUNTRY[[#All],[Column2]],DIM_COUNTRY[[#All],[Column3]],,,)</f>
        <v>USMCA</v>
      </c>
    </row>
    <row r="10092" spans="1:9" x14ac:dyDescent="0.4">
      <c r="A10092" t="s">
        <v>64</v>
      </c>
      <c r="B10092" s="1">
        <v>45566</v>
      </c>
      <c r="C10092">
        <v>841330</v>
      </c>
      <c r="D10092" t="s">
        <v>176</v>
      </c>
      <c r="E10092">
        <v>33810</v>
      </c>
      <c r="F10092">
        <v>21</v>
      </c>
      <c r="G10092">
        <v>34</v>
      </c>
      <c r="H10092">
        <f>_xlfn.XLOOKUP(FACT_IMPORTS[[#This Row],[hts_6]],DIM_PRODUCTS[hts_6],DIM_PRODUCTS[hts_4],,,)</f>
        <v>8413</v>
      </c>
      <c r="I10092" t="str" cm="1">
        <f t="array" ref="I10092">_xlfn.XLOOKUP(FACT_IMPORTS[[#This Row],[country_name]],DIM_COUNTRY[[#All],[Column2]],DIM_COUNTRY[[#All],[Column3]],,,)</f>
        <v>USMCA</v>
      </c>
    </row>
    <row r="10093" spans="1:9" x14ac:dyDescent="0.4">
      <c r="A10093" t="s">
        <v>64</v>
      </c>
      <c r="B10093" s="1">
        <v>45566</v>
      </c>
      <c r="C10093">
        <v>842132</v>
      </c>
      <c r="D10093" t="s">
        <v>176</v>
      </c>
      <c r="E10093">
        <v>87870</v>
      </c>
      <c r="F10093">
        <v>451</v>
      </c>
      <c r="G10093">
        <v>863</v>
      </c>
      <c r="H10093">
        <f>_xlfn.XLOOKUP(FACT_IMPORTS[[#This Row],[hts_6]],DIM_PRODUCTS[hts_6],DIM_PRODUCTS[hts_4],,,)</f>
        <v>8421</v>
      </c>
      <c r="I10093" t="str" cm="1">
        <f t="array" ref="I10093">_xlfn.XLOOKUP(FACT_IMPORTS[[#This Row],[country_name]],DIM_COUNTRY[[#All],[Column2]],DIM_COUNTRY[[#All],[Column3]],,,)</f>
        <v>USMCA</v>
      </c>
    </row>
    <row r="10094" spans="1:9" x14ac:dyDescent="0.4">
      <c r="A10094" t="s">
        <v>64</v>
      </c>
      <c r="B10094" s="1">
        <v>45566</v>
      </c>
      <c r="C10094">
        <v>848210</v>
      </c>
      <c r="D10094" t="s">
        <v>176</v>
      </c>
      <c r="E10094">
        <v>8333</v>
      </c>
      <c r="F10094">
        <v>768</v>
      </c>
      <c r="G10094">
        <v>833</v>
      </c>
      <c r="H10094">
        <f>_xlfn.XLOOKUP(FACT_IMPORTS[[#This Row],[hts_6]],DIM_PRODUCTS[hts_6],DIM_PRODUCTS[hts_4],,,)</f>
        <v>8482</v>
      </c>
      <c r="I10094" t="str" cm="1">
        <f t="array" ref="I10094">_xlfn.XLOOKUP(FACT_IMPORTS[[#This Row],[country_name]],DIM_COUNTRY[[#All],[Column2]],DIM_COUNTRY[[#All],[Column3]],,,)</f>
        <v>USMCA</v>
      </c>
    </row>
    <row r="10095" spans="1:9" x14ac:dyDescent="0.4">
      <c r="A10095" t="s">
        <v>64</v>
      </c>
      <c r="B10095" s="1">
        <v>45566</v>
      </c>
      <c r="C10095">
        <v>848220</v>
      </c>
      <c r="D10095" t="s">
        <v>176</v>
      </c>
      <c r="E10095">
        <v>0</v>
      </c>
      <c r="F10095">
        <v>0</v>
      </c>
      <c r="G10095">
        <v>0</v>
      </c>
      <c r="H10095">
        <f>_xlfn.XLOOKUP(FACT_IMPORTS[[#This Row],[hts_6]],DIM_PRODUCTS[hts_6],DIM_PRODUCTS[hts_4],,,)</f>
        <v>8482</v>
      </c>
      <c r="I10095" t="str" cm="1">
        <f t="array" ref="I10095">_xlfn.XLOOKUP(FACT_IMPORTS[[#This Row],[country_name]],DIM_COUNTRY[[#All],[Column2]],DIM_COUNTRY[[#All],[Column3]],,,)</f>
        <v>USMCA</v>
      </c>
    </row>
    <row r="10096" spans="1:9" x14ac:dyDescent="0.4">
      <c r="A10096" t="s">
        <v>64</v>
      </c>
      <c r="B10096" s="1">
        <v>45566</v>
      </c>
      <c r="C10096">
        <v>848310</v>
      </c>
      <c r="D10096" t="s">
        <v>176</v>
      </c>
      <c r="E10096">
        <v>0</v>
      </c>
      <c r="F10096">
        <v>0</v>
      </c>
      <c r="G10096">
        <v>0</v>
      </c>
      <c r="H10096">
        <f>_xlfn.XLOOKUP(FACT_IMPORTS[[#This Row],[hts_6]],DIM_PRODUCTS[hts_6],DIM_PRODUCTS[hts_4],,,)</f>
        <v>8483</v>
      </c>
      <c r="I10096" t="str" cm="1">
        <f t="array" ref="I10096">_xlfn.XLOOKUP(FACT_IMPORTS[[#This Row],[country_name]],DIM_COUNTRY[[#All],[Column2]],DIM_COUNTRY[[#All],[Column3]],,,)</f>
        <v>USMCA</v>
      </c>
    </row>
    <row r="10097" spans="1:9" x14ac:dyDescent="0.4">
      <c r="A10097" t="s">
        <v>64</v>
      </c>
      <c r="B10097" s="1">
        <v>45566</v>
      </c>
      <c r="C10097">
        <v>850131</v>
      </c>
      <c r="D10097" t="s">
        <v>176</v>
      </c>
      <c r="E10097">
        <v>77988</v>
      </c>
      <c r="F10097">
        <v>627</v>
      </c>
      <c r="G10097">
        <v>95</v>
      </c>
      <c r="H10097">
        <f>_xlfn.XLOOKUP(FACT_IMPORTS[[#This Row],[hts_6]],DIM_PRODUCTS[hts_6],DIM_PRODUCTS[hts_4],,,)</f>
        <v>8501</v>
      </c>
      <c r="I10097" t="str" cm="1">
        <f t="array" ref="I10097">_xlfn.XLOOKUP(FACT_IMPORTS[[#This Row],[country_name]],DIM_COUNTRY[[#All],[Column2]],DIM_COUNTRY[[#All],[Column3]],,,)</f>
        <v>USMCA</v>
      </c>
    </row>
    <row r="10098" spans="1:9" x14ac:dyDescent="0.4">
      <c r="A10098" t="s">
        <v>64</v>
      </c>
      <c r="B10098" s="1">
        <v>45566</v>
      </c>
      <c r="C10098">
        <v>850132</v>
      </c>
      <c r="D10098" t="s">
        <v>176</v>
      </c>
      <c r="E10098">
        <v>2218</v>
      </c>
      <c r="F10098">
        <v>41</v>
      </c>
      <c r="G10098">
        <v>44</v>
      </c>
      <c r="H10098">
        <f>_xlfn.XLOOKUP(FACT_IMPORTS[[#This Row],[hts_6]],DIM_PRODUCTS[hts_6],DIM_PRODUCTS[hts_4],,,)</f>
        <v>8501</v>
      </c>
      <c r="I10098" t="str" cm="1">
        <f t="array" ref="I10098">_xlfn.XLOOKUP(FACT_IMPORTS[[#This Row],[country_name]],DIM_COUNTRY[[#All],[Column2]],DIM_COUNTRY[[#All],[Column3]],,,)</f>
        <v>USMCA</v>
      </c>
    </row>
    <row r="10099" spans="1:9" x14ac:dyDescent="0.4">
      <c r="A10099" t="s">
        <v>64</v>
      </c>
      <c r="B10099" s="1">
        <v>45566</v>
      </c>
      <c r="C10099">
        <v>850133</v>
      </c>
      <c r="D10099" t="s">
        <v>176</v>
      </c>
      <c r="E10099">
        <v>0</v>
      </c>
      <c r="F10099">
        <v>0</v>
      </c>
      <c r="G10099">
        <v>0</v>
      </c>
      <c r="H10099">
        <f>_xlfn.XLOOKUP(FACT_IMPORTS[[#This Row],[hts_6]],DIM_PRODUCTS[hts_6],DIM_PRODUCTS[hts_4],,,)</f>
        <v>8501</v>
      </c>
      <c r="I10099" t="str" cm="1">
        <f t="array" ref="I10099">_xlfn.XLOOKUP(FACT_IMPORTS[[#This Row],[country_name]],DIM_COUNTRY[[#All],[Column2]],DIM_COUNTRY[[#All],[Column3]],,,)</f>
        <v>USMCA</v>
      </c>
    </row>
    <row r="10100" spans="1:9" x14ac:dyDescent="0.4">
      <c r="A10100" t="s">
        <v>64</v>
      </c>
      <c r="B10100" s="1">
        <v>45566</v>
      </c>
      <c r="C10100">
        <v>850152</v>
      </c>
      <c r="D10100" t="s">
        <v>176</v>
      </c>
      <c r="E10100">
        <v>44428</v>
      </c>
      <c r="F10100">
        <v>40</v>
      </c>
      <c r="G10100">
        <v>820</v>
      </c>
      <c r="H10100">
        <f>_xlfn.XLOOKUP(FACT_IMPORTS[[#This Row],[hts_6]],DIM_PRODUCTS[hts_6],DIM_PRODUCTS[hts_4],,,)</f>
        <v>8501</v>
      </c>
      <c r="I10100" t="str" cm="1">
        <f t="array" ref="I10100">_xlfn.XLOOKUP(FACT_IMPORTS[[#This Row],[country_name]],DIM_COUNTRY[[#All],[Column2]],DIM_COUNTRY[[#All],[Column3]],,,)</f>
        <v>USMCA</v>
      </c>
    </row>
    <row r="10101" spans="1:9" x14ac:dyDescent="0.4">
      <c r="A10101" t="s">
        <v>64</v>
      </c>
      <c r="B10101" s="1">
        <v>45566</v>
      </c>
      <c r="C10101">
        <v>850153</v>
      </c>
      <c r="D10101" t="s">
        <v>176</v>
      </c>
      <c r="E10101">
        <v>10000</v>
      </c>
      <c r="F10101">
        <v>2</v>
      </c>
      <c r="G10101">
        <v>8</v>
      </c>
      <c r="H10101">
        <f>_xlfn.XLOOKUP(FACT_IMPORTS[[#This Row],[hts_6]],DIM_PRODUCTS[hts_6],DIM_PRODUCTS[hts_4],,,)</f>
        <v>8501</v>
      </c>
      <c r="I10101" t="str" cm="1">
        <f t="array" ref="I10101">_xlfn.XLOOKUP(FACT_IMPORTS[[#This Row],[country_name]],DIM_COUNTRY[[#All],[Column2]],DIM_COUNTRY[[#All],[Column3]],,,)</f>
        <v>USMCA</v>
      </c>
    </row>
    <row r="10102" spans="1:9" x14ac:dyDescent="0.4">
      <c r="A10102" t="s">
        <v>64</v>
      </c>
      <c r="B10102" s="1">
        <v>45566</v>
      </c>
      <c r="C10102">
        <v>850161</v>
      </c>
      <c r="D10102" t="s">
        <v>176</v>
      </c>
      <c r="E10102">
        <v>0</v>
      </c>
      <c r="F10102">
        <v>0</v>
      </c>
      <c r="G10102">
        <v>0</v>
      </c>
      <c r="H10102">
        <f>_xlfn.XLOOKUP(FACT_IMPORTS[[#This Row],[hts_6]],DIM_PRODUCTS[hts_6],DIM_PRODUCTS[hts_4],,,)</f>
        <v>8501</v>
      </c>
      <c r="I10102" t="str" cm="1">
        <f t="array" ref="I10102">_xlfn.XLOOKUP(FACT_IMPORTS[[#This Row],[country_name]],DIM_COUNTRY[[#All],[Column2]],DIM_COUNTRY[[#All],[Column3]],,,)</f>
        <v>USMCA</v>
      </c>
    </row>
    <row r="10103" spans="1:9" x14ac:dyDescent="0.4">
      <c r="A10103" t="s">
        <v>64</v>
      </c>
      <c r="B10103" s="1">
        <v>45566</v>
      </c>
      <c r="C10103">
        <v>850440</v>
      </c>
      <c r="D10103" t="s">
        <v>176</v>
      </c>
      <c r="E10103">
        <v>230451</v>
      </c>
      <c r="F10103">
        <v>2345</v>
      </c>
      <c r="G10103">
        <v>1198</v>
      </c>
      <c r="H10103">
        <f>_xlfn.XLOOKUP(FACT_IMPORTS[[#This Row],[hts_6]],DIM_PRODUCTS[hts_6],DIM_PRODUCTS[hts_4],,,)</f>
        <v>8504</v>
      </c>
      <c r="I10103" t="str" cm="1">
        <f t="array" ref="I10103">_xlfn.XLOOKUP(FACT_IMPORTS[[#This Row],[country_name]],DIM_COUNTRY[[#All],[Column2]],DIM_COUNTRY[[#All],[Column3]],,,)</f>
        <v>USMCA</v>
      </c>
    </row>
    <row r="10104" spans="1:9" x14ac:dyDescent="0.4">
      <c r="A10104" t="s">
        <v>64</v>
      </c>
      <c r="B10104" s="1">
        <v>45566</v>
      </c>
      <c r="C10104">
        <v>850710</v>
      </c>
      <c r="D10104" t="s">
        <v>176</v>
      </c>
      <c r="E10104">
        <v>0</v>
      </c>
      <c r="F10104">
        <v>0</v>
      </c>
      <c r="G10104">
        <v>0</v>
      </c>
      <c r="H10104">
        <f>_xlfn.XLOOKUP(FACT_IMPORTS[[#This Row],[hts_6]],DIM_PRODUCTS[hts_6],DIM_PRODUCTS[hts_4],,,)</f>
        <v>8507</v>
      </c>
      <c r="I10104" t="str" cm="1">
        <f t="array" ref="I10104">_xlfn.XLOOKUP(FACT_IMPORTS[[#This Row],[country_name]],DIM_COUNTRY[[#All],[Column2]],DIM_COUNTRY[[#All],[Column3]],,,)</f>
        <v>USMCA</v>
      </c>
    </row>
    <row r="10105" spans="1:9" x14ac:dyDescent="0.4">
      <c r="A10105" t="s">
        <v>64</v>
      </c>
      <c r="B10105" s="1">
        <v>45566</v>
      </c>
      <c r="C10105">
        <v>850760</v>
      </c>
      <c r="D10105" t="s">
        <v>176</v>
      </c>
      <c r="E10105">
        <v>0</v>
      </c>
      <c r="F10105">
        <v>0</v>
      </c>
      <c r="G10105">
        <v>0</v>
      </c>
      <c r="H10105">
        <f>_xlfn.XLOOKUP(FACT_IMPORTS[[#This Row],[hts_6]],DIM_PRODUCTS[hts_6],DIM_PRODUCTS[hts_4],,,)</f>
        <v>8507</v>
      </c>
      <c r="I10105" t="str" cm="1">
        <f t="array" ref="I10105">_xlfn.XLOOKUP(FACT_IMPORTS[[#This Row],[country_name]],DIM_COUNTRY[[#All],[Column2]],DIM_COUNTRY[[#All],[Column3]],,,)</f>
        <v>USMCA</v>
      </c>
    </row>
    <row r="10106" spans="1:9" x14ac:dyDescent="0.4">
      <c r="A10106" t="s">
        <v>64</v>
      </c>
      <c r="B10106" s="1">
        <v>45566</v>
      </c>
      <c r="C10106">
        <v>851110</v>
      </c>
      <c r="D10106" t="s">
        <v>176</v>
      </c>
      <c r="E10106">
        <v>0</v>
      </c>
      <c r="F10106">
        <v>0</v>
      </c>
      <c r="G10106">
        <v>0</v>
      </c>
      <c r="H10106">
        <f>_xlfn.XLOOKUP(FACT_IMPORTS[[#This Row],[hts_6]],DIM_PRODUCTS[hts_6],DIM_PRODUCTS[hts_4],,,)</f>
        <v>8511</v>
      </c>
      <c r="I10106" t="str" cm="1">
        <f t="array" ref="I10106">_xlfn.XLOOKUP(FACT_IMPORTS[[#This Row],[country_name]],DIM_COUNTRY[[#All],[Column2]],DIM_COUNTRY[[#All],[Column3]],,,)</f>
        <v>USMCA</v>
      </c>
    </row>
    <row r="10107" spans="1:9" x14ac:dyDescent="0.4">
      <c r="A10107" t="s">
        <v>64</v>
      </c>
      <c r="B10107" s="1">
        <v>45566</v>
      </c>
      <c r="C10107">
        <v>851120</v>
      </c>
      <c r="D10107" t="s">
        <v>176</v>
      </c>
      <c r="E10107">
        <v>0</v>
      </c>
      <c r="F10107">
        <v>0</v>
      </c>
      <c r="G10107">
        <v>0</v>
      </c>
      <c r="H10107">
        <f>_xlfn.XLOOKUP(FACT_IMPORTS[[#This Row],[hts_6]],DIM_PRODUCTS[hts_6],DIM_PRODUCTS[hts_4],,,)</f>
        <v>8511</v>
      </c>
      <c r="I10107" t="str" cm="1">
        <f t="array" ref="I10107">_xlfn.XLOOKUP(FACT_IMPORTS[[#This Row],[country_name]],DIM_COUNTRY[[#All],[Column2]],DIM_COUNTRY[[#All],[Column3]],,,)</f>
        <v>USMCA</v>
      </c>
    </row>
    <row r="10108" spans="1:9" x14ac:dyDescent="0.4">
      <c r="A10108" t="s">
        <v>64</v>
      </c>
      <c r="B10108" s="1">
        <v>45566</v>
      </c>
      <c r="C10108">
        <v>851140</v>
      </c>
      <c r="D10108" t="s">
        <v>176</v>
      </c>
      <c r="E10108">
        <v>48234</v>
      </c>
      <c r="F10108">
        <v>299</v>
      </c>
      <c r="G10108">
        <v>824</v>
      </c>
      <c r="H10108">
        <f>_xlfn.XLOOKUP(FACT_IMPORTS[[#This Row],[hts_6]],DIM_PRODUCTS[hts_6],DIM_PRODUCTS[hts_4],,,)</f>
        <v>8511</v>
      </c>
      <c r="I10108" t="str" cm="1">
        <f t="array" ref="I10108">_xlfn.XLOOKUP(FACT_IMPORTS[[#This Row],[country_name]],DIM_COUNTRY[[#All],[Column2]],DIM_COUNTRY[[#All],[Column3]],,,)</f>
        <v>USMCA</v>
      </c>
    </row>
    <row r="10109" spans="1:9" x14ac:dyDescent="0.4">
      <c r="A10109" t="s">
        <v>64</v>
      </c>
      <c r="B10109" s="1">
        <v>45566</v>
      </c>
      <c r="C10109">
        <v>851150</v>
      </c>
      <c r="D10109" t="s">
        <v>176</v>
      </c>
      <c r="E10109">
        <v>8900</v>
      </c>
      <c r="F10109">
        <v>9</v>
      </c>
      <c r="G10109">
        <v>84</v>
      </c>
      <c r="H10109">
        <f>_xlfn.XLOOKUP(FACT_IMPORTS[[#This Row],[hts_6]],DIM_PRODUCTS[hts_6],DIM_PRODUCTS[hts_4],,,)</f>
        <v>8511</v>
      </c>
      <c r="I10109" t="str" cm="1">
        <f t="array" ref="I10109">_xlfn.XLOOKUP(FACT_IMPORTS[[#This Row],[country_name]],DIM_COUNTRY[[#All],[Column2]],DIM_COUNTRY[[#All],[Column3]],,,)</f>
        <v>USMCA</v>
      </c>
    </row>
    <row r="10110" spans="1:9" x14ac:dyDescent="0.4">
      <c r="A10110" t="s">
        <v>64</v>
      </c>
      <c r="B10110" s="1">
        <v>45566</v>
      </c>
      <c r="C10110">
        <v>851180</v>
      </c>
      <c r="D10110" t="s">
        <v>176</v>
      </c>
      <c r="E10110">
        <v>0</v>
      </c>
      <c r="F10110">
        <v>0</v>
      </c>
      <c r="G10110">
        <v>0</v>
      </c>
      <c r="H10110">
        <f>_xlfn.XLOOKUP(FACT_IMPORTS[[#This Row],[hts_6]],DIM_PRODUCTS[hts_6],DIM_PRODUCTS[hts_4],,,)</f>
        <v>8511</v>
      </c>
      <c r="I10110" t="str" cm="1">
        <f t="array" ref="I10110">_xlfn.XLOOKUP(FACT_IMPORTS[[#This Row],[country_name]],DIM_COUNTRY[[#All],[Column2]],DIM_COUNTRY[[#All],[Column3]],,,)</f>
        <v>USMCA</v>
      </c>
    </row>
    <row r="10111" spans="1:9" x14ac:dyDescent="0.4">
      <c r="A10111" t="s">
        <v>64</v>
      </c>
      <c r="B10111" s="1">
        <v>45566</v>
      </c>
      <c r="C10111">
        <v>851190</v>
      </c>
      <c r="D10111" t="s">
        <v>176</v>
      </c>
      <c r="E10111">
        <v>0</v>
      </c>
      <c r="F10111">
        <v>0</v>
      </c>
      <c r="G10111">
        <v>0</v>
      </c>
      <c r="H10111">
        <f>_xlfn.XLOOKUP(FACT_IMPORTS[[#This Row],[hts_6]],DIM_PRODUCTS[hts_6],DIM_PRODUCTS[hts_4],,,)</f>
        <v>8511</v>
      </c>
      <c r="I10111" t="str" cm="1">
        <f t="array" ref="I10111">_xlfn.XLOOKUP(FACT_IMPORTS[[#This Row],[country_name]],DIM_COUNTRY[[#All],[Column2]],DIM_COUNTRY[[#All],[Column3]],,,)</f>
        <v>USMCA</v>
      </c>
    </row>
    <row r="10112" spans="1:9" x14ac:dyDescent="0.4">
      <c r="A10112" t="s">
        <v>64</v>
      </c>
      <c r="B10112" s="1">
        <v>45566</v>
      </c>
      <c r="C10112">
        <v>851220</v>
      </c>
      <c r="D10112" t="s">
        <v>176</v>
      </c>
      <c r="E10112">
        <v>13843</v>
      </c>
      <c r="F10112">
        <v>120</v>
      </c>
      <c r="G10112">
        <v>444</v>
      </c>
      <c r="H10112">
        <f>_xlfn.XLOOKUP(FACT_IMPORTS[[#This Row],[hts_6]],DIM_PRODUCTS[hts_6],DIM_PRODUCTS[hts_4],,,)</f>
        <v>8512</v>
      </c>
      <c r="I10112" t="str" cm="1">
        <f t="array" ref="I10112">_xlfn.XLOOKUP(FACT_IMPORTS[[#This Row],[country_name]],DIM_COUNTRY[[#All],[Column2]],DIM_COUNTRY[[#All],[Column3]],,,)</f>
        <v>USMCA</v>
      </c>
    </row>
    <row r="10113" spans="1:9" x14ac:dyDescent="0.4">
      <c r="A10113" t="s">
        <v>64</v>
      </c>
      <c r="B10113" s="1">
        <v>45566</v>
      </c>
      <c r="C10113">
        <v>851230</v>
      </c>
      <c r="D10113" t="s">
        <v>176</v>
      </c>
      <c r="E10113">
        <v>13169</v>
      </c>
      <c r="F10113">
        <v>1604</v>
      </c>
      <c r="G10113">
        <v>980</v>
      </c>
      <c r="H10113">
        <f>_xlfn.XLOOKUP(FACT_IMPORTS[[#This Row],[hts_6]],DIM_PRODUCTS[hts_6],DIM_PRODUCTS[hts_4],,,)</f>
        <v>8512</v>
      </c>
      <c r="I10113" t="str" cm="1">
        <f t="array" ref="I10113">_xlfn.XLOOKUP(FACT_IMPORTS[[#This Row],[country_name]],DIM_COUNTRY[[#All],[Column2]],DIM_COUNTRY[[#All],[Column3]],,,)</f>
        <v>USMCA</v>
      </c>
    </row>
    <row r="10114" spans="1:9" x14ac:dyDescent="0.4">
      <c r="A10114" t="s">
        <v>64</v>
      </c>
      <c r="B10114" s="1">
        <v>45566</v>
      </c>
      <c r="C10114">
        <v>851290</v>
      </c>
      <c r="D10114" t="s">
        <v>176</v>
      </c>
      <c r="E10114">
        <v>2147</v>
      </c>
      <c r="F10114">
        <v>49</v>
      </c>
      <c r="G10114">
        <v>23</v>
      </c>
      <c r="H10114">
        <f>_xlfn.XLOOKUP(FACT_IMPORTS[[#This Row],[hts_6]],DIM_PRODUCTS[hts_6],DIM_PRODUCTS[hts_4],,,)</f>
        <v>8512</v>
      </c>
      <c r="I10114" t="str" cm="1">
        <f t="array" ref="I10114">_xlfn.XLOOKUP(FACT_IMPORTS[[#This Row],[country_name]],DIM_COUNTRY[[#All],[Column2]],DIM_COUNTRY[[#All],[Column3]],,,)</f>
        <v>USMCA</v>
      </c>
    </row>
    <row r="10115" spans="1:9" x14ac:dyDescent="0.4">
      <c r="A10115" t="s">
        <v>64</v>
      </c>
      <c r="B10115" s="1">
        <v>45566</v>
      </c>
      <c r="C10115">
        <v>854231</v>
      </c>
      <c r="D10115" t="s">
        <v>176</v>
      </c>
      <c r="E10115">
        <v>0</v>
      </c>
      <c r="F10115">
        <v>0</v>
      </c>
      <c r="G10115">
        <v>0</v>
      </c>
      <c r="H10115">
        <f>_xlfn.XLOOKUP(FACT_IMPORTS[[#This Row],[hts_6]],DIM_PRODUCTS[hts_6],DIM_PRODUCTS[hts_4],,,)</f>
        <v>8542</v>
      </c>
      <c r="I10115" t="str" cm="1">
        <f t="array" ref="I10115">_xlfn.XLOOKUP(FACT_IMPORTS[[#This Row],[country_name]],DIM_COUNTRY[[#All],[Column2]],DIM_COUNTRY[[#All],[Column3]],,,)</f>
        <v>USMCA</v>
      </c>
    </row>
    <row r="10116" spans="1:9" x14ac:dyDescent="0.4">
      <c r="A10116" t="s">
        <v>64</v>
      </c>
      <c r="B10116" s="1">
        <v>45566</v>
      </c>
      <c r="C10116">
        <v>854239</v>
      </c>
      <c r="D10116" t="s">
        <v>176</v>
      </c>
      <c r="E10116">
        <v>0</v>
      </c>
      <c r="F10116">
        <v>0</v>
      </c>
      <c r="G10116">
        <v>0</v>
      </c>
      <c r="H10116">
        <f>_xlfn.XLOOKUP(FACT_IMPORTS[[#This Row],[hts_6]],DIM_PRODUCTS[hts_6],DIM_PRODUCTS[hts_4],,,)</f>
        <v>8542</v>
      </c>
      <c r="I10116" t="str" cm="1">
        <f t="array" ref="I10116">_xlfn.XLOOKUP(FACT_IMPORTS[[#This Row],[country_name]],DIM_COUNTRY[[#All],[Column2]],DIM_COUNTRY[[#All],[Column3]],,,)</f>
        <v>USMCA</v>
      </c>
    </row>
    <row r="10117" spans="1:9" x14ac:dyDescent="0.4">
      <c r="A10117" t="s">
        <v>64</v>
      </c>
      <c r="B10117" s="1">
        <v>45566</v>
      </c>
      <c r="C10117">
        <v>854290</v>
      </c>
      <c r="D10117" t="s">
        <v>176</v>
      </c>
      <c r="E10117">
        <v>0</v>
      </c>
      <c r="F10117">
        <v>0</v>
      </c>
      <c r="G10117">
        <v>0</v>
      </c>
      <c r="H10117">
        <f>_xlfn.XLOOKUP(FACT_IMPORTS[[#This Row],[hts_6]],DIM_PRODUCTS[hts_6],DIM_PRODUCTS[hts_4],,,)</f>
        <v>8542</v>
      </c>
      <c r="I10117" t="str" cm="1">
        <f t="array" ref="I10117">_xlfn.XLOOKUP(FACT_IMPORTS[[#This Row],[country_name]],DIM_COUNTRY[[#All],[Column2]],DIM_COUNTRY[[#All],[Column3]],,,)</f>
        <v>USMCA</v>
      </c>
    </row>
    <row r="10118" spans="1:9" x14ac:dyDescent="0.4">
      <c r="A10118" t="s">
        <v>64</v>
      </c>
      <c r="B10118" s="1">
        <v>45566</v>
      </c>
      <c r="C10118">
        <v>854430</v>
      </c>
      <c r="D10118" t="s">
        <v>176</v>
      </c>
      <c r="E10118">
        <v>502917</v>
      </c>
      <c r="F10118">
        <v>48806</v>
      </c>
      <c r="G10118">
        <v>4754</v>
      </c>
      <c r="H10118">
        <f>_xlfn.XLOOKUP(FACT_IMPORTS[[#This Row],[hts_6]],DIM_PRODUCTS[hts_6],DIM_PRODUCTS[hts_4],,,)</f>
        <v>8544</v>
      </c>
      <c r="I10118" t="str" cm="1">
        <f t="array" ref="I10118">_xlfn.XLOOKUP(FACT_IMPORTS[[#This Row],[country_name]],DIM_COUNTRY[[#All],[Column2]],DIM_COUNTRY[[#All],[Column3]],,,)</f>
        <v>USMCA</v>
      </c>
    </row>
    <row r="10119" spans="1:9" x14ac:dyDescent="0.4">
      <c r="A10119" t="s">
        <v>64</v>
      </c>
      <c r="B10119" s="1">
        <v>45566</v>
      </c>
      <c r="C10119">
        <v>870810</v>
      </c>
      <c r="D10119" t="s">
        <v>176</v>
      </c>
      <c r="E10119">
        <v>14287</v>
      </c>
      <c r="F10119">
        <v>102</v>
      </c>
      <c r="G10119">
        <v>22</v>
      </c>
      <c r="H10119">
        <f>_xlfn.XLOOKUP(FACT_IMPORTS[[#This Row],[hts_6]],DIM_PRODUCTS[hts_6],DIM_PRODUCTS[hts_4],,,)</f>
        <v>8708</v>
      </c>
      <c r="I10119" t="str" cm="1">
        <f t="array" ref="I10119">_xlfn.XLOOKUP(FACT_IMPORTS[[#This Row],[country_name]],DIM_COUNTRY[[#All],[Column2]],DIM_COUNTRY[[#All],[Column3]],,,)</f>
        <v>USMCA</v>
      </c>
    </row>
    <row r="10120" spans="1:9" x14ac:dyDescent="0.4">
      <c r="A10120" t="s">
        <v>64</v>
      </c>
      <c r="B10120" s="1">
        <v>45566</v>
      </c>
      <c r="C10120">
        <v>870822</v>
      </c>
      <c r="D10120" t="s">
        <v>176</v>
      </c>
      <c r="E10120">
        <v>0</v>
      </c>
      <c r="F10120">
        <v>0</v>
      </c>
      <c r="G10120">
        <v>0</v>
      </c>
      <c r="H10120">
        <f>_xlfn.XLOOKUP(FACT_IMPORTS[[#This Row],[hts_6]],DIM_PRODUCTS[hts_6],DIM_PRODUCTS[hts_4],,,)</f>
        <v>8708</v>
      </c>
      <c r="I10120" t="str" cm="1">
        <f t="array" ref="I10120">_xlfn.XLOOKUP(FACT_IMPORTS[[#This Row],[country_name]],DIM_COUNTRY[[#All],[Column2]],DIM_COUNTRY[[#All],[Column3]],,,)</f>
        <v>USMCA</v>
      </c>
    </row>
    <row r="10121" spans="1:9" x14ac:dyDescent="0.4">
      <c r="A10121" t="s">
        <v>64</v>
      </c>
      <c r="B10121" s="1">
        <v>45566</v>
      </c>
      <c r="C10121">
        <v>870829</v>
      </c>
      <c r="D10121" t="s">
        <v>176</v>
      </c>
      <c r="E10121">
        <v>991939</v>
      </c>
      <c r="F10121">
        <v>17235</v>
      </c>
      <c r="G10121">
        <v>30979</v>
      </c>
      <c r="H10121">
        <f>_xlfn.XLOOKUP(FACT_IMPORTS[[#This Row],[hts_6]],DIM_PRODUCTS[hts_6],DIM_PRODUCTS[hts_4],,,)</f>
        <v>8708</v>
      </c>
      <c r="I10121" t="str" cm="1">
        <f t="array" ref="I10121">_xlfn.XLOOKUP(FACT_IMPORTS[[#This Row],[country_name]],DIM_COUNTRY[[#All],[Column2]],DIM_COUNTRY[[#All],[Column3]],,,)</f>
        <v>USMCA</v>
      </c>
    </row>
    <row r="10122" spans="1:9" x14ac:dyDescent="0.4">
      <c r="A10122" t="s">
        <v>64</v>
      </c>
      <c r="B10122" s="1">
        <v>45566</v>
      </c>
      <c r="C10122">
        <v>870830</v>
      </c>
      <c r="D10122" t="s">
        <v>176</v>
      </c>
      <c r="E10122">
        <v>448845</v>
      </c>
      <c r="F10122">
        <v>8087</v>
      </c>
      <c r="G10122">
        <v>1621</v>
      </c>
      <c r="H10122">
        <f>_xlfn.XLOOKUP(FACT_IMPORTS[[#This Row],[hts_6]],DIM_PRODUCTS[hts_6],DIM_PRODUCTS[hts_4],,,)</f>
        <v>8708</v>
      </c>
      <c r="I10122" t="str" cm="1">
        <f t="array" ref="I10122">_xlfn.XLOOKUP(FACT_IMPORTS[[#This Row],[country_name]],DIM_COUNTRY[[#All],[Column2]],DIM_COUNTRY[[#All],[Column3]],,,)</f>
        <v>USMCA</v>
      </c>
    </row>
    <row r="10123" spans="1:9" x14ac:dyDescent="0.4">
      <c r="A10123" t="s">
        <v>64</v>
      </c>
      <c r="B10123" s="1">
        <v>45566</v>
      </c>
      <c r="C10123">
        <v>870840</v>
      </c>
      <c r="D10123" t="s">
        <v>176</v>
      </c>
      <c r="E10123">
        <v>133866</v>
      </c>
      <c r="F10123">
        <v>209</v>
      </c>
      <c r="G10123">
        <v>1230</v>
      </c>
      <c r="H10123">
        <f>_xlfn.XLOOKUP(FACT_IMPORTS[[#This Row],[hts_6]],DIM_PRODUCTS[hts_6],DIM_PRODUCTS[hts_4],,,)</f>
        <v>8708</v>
      </c>
      <c r="I10123" t="str" cm="1">
        <f t="array" ref="I10123">_xlfn.XLOOKUP(FACT_IMPORTS[[#This Row],[country_name]],DIM_COUNTRY[[#All],[Column2]],DIM_COUNTRY[[#All],[Column3]],,,)</f>
        <v>USMCA</v>
      </c>
    </row>
    <row r="10124" spans="1:9" x14ac:dyDescent="0.4">
      <c r="A10124" t="s">
        <v>64</v>
      </c>
      <c r="B10124" s="1">
        <v>45566</v>
      </c>
      <c r="C10124">
        <v>870850</v>
      </c>
      <c r="D10124" t="s">
        <v>176</v>
      </c>
      <c r="E10124">
        <v>81495</v>
      </c>
      <c r="F10124">
        <v>596</v>
      </c>
      <c r="G10124">
        <v>682</v>
      </c>
      <c r="H10124">
        <f>_xlfn.XLOOKUP(FACT_IMPORTS[[#This Row],[hts_6]],DIM_PRODUCTS[hts_6],DIM_PRODUCTS[hts_4],,,)</f>
        <v>8708</v>
      </c>
      <c r="I10124" t="str" cm="1">
        <f t="array" ref="I10124">_xlfn.XLOOKUP(FACT_IMPORTS[[#This Row],[country_name]],DIM_COUNTRY[[#All],[Column2]],DIM_COUNTRY[[#All],[Column3]],,,)</f>
        <v>USMCA</v>
      </c>
    </row>
    <row r="10125" spans="1:9" x14ac:dyDescent="0.4">
      <c r="A10125" t="s">
        <v>64</v>
      </c>
      <c r="B10125" s="1">
        <v>45566</v>
      </c>
      <c r="C10125">
        <v>870870</v>
      </c>
      <c r="D10125" t="s">
        <v>176</v>
      </c>
      <c r="E10125">
        <v>29628</v>
      </c>
      <c r="F10125">
        <v>712</v>
      </c>
      <c r="G10125">
        <v>510</v>
      </c>
      <c r="H10125">
        <f>_xlfn.XLOOKUP(FACT_IMPORTS[[#This Row],[hts_6]],DIM_PRODUCTS[hts_6],DIM_PRODUCTS[hts_4],,,)</f>
        <v>8708</v>
      </c>
      <c r="I10125" t="str" cm="1">
        <f t="array" ref="I10125">_xlfn.XLOOKUP(FACT_IMPORTS[[#This Row],[country_name]],DIM_COUNTRY[[#All],[Column2]],DIM_COUNTRY[[#All],[Column3]],,,)</f>
        <v>USMCA</v>
      </c>
    </row>
    <row r="10126" spans="1:9" x14ac:dyDescent="0.4">
      <c r="A10126" t="s">
        <v>64</v>
      </c>
      <c r="B10126" s="1">
        <v>45566</v>
      </c>
      <c r="C10126">
        <v>870880</v>
      </c>
      <c r="D10126" t="s">
        <v>176</v>
      </c>
      <c r="E10126">
        <v>58028</v>
      </c>
      <c r="F10126">
        <v>2398</v>
      </c>
      <c r="G10126">
        <v>514</v>
      </c>
      <c r="H10126">
        <f>_xlfn.XLOOKUP(FACT_IMPORTS[[#This Row],[hts_6]],DIM_PRODUCTS[hts_6],DIM_PRODUCTS[hts_4],,,)</f>
        <v>8708</v>
      </c>
      <c r="I10126" t="str" cm="1">
        <f t="array" ref="I10126">_xlfn.XLOOKUP(FACT_IMPORTS[[#This Row],[country_name]],DIM_COUNTRY[[#All],[Column2]],DIM_COUNTRY[[#All],[Column3]],,,)</f>
        <v>USMCA</v>
      </c>
    </row>
    <row r="10127" spans="1:9" x14ac:dyDescent="0.4">
      <c r="A10127" t="s">
        <v>64</v>
      </c>
      <c r="B10127" s="1">
        <v>45566</v>
      </c>
      <c r="C10127">
        <v>870891</v>
      </c>
      <c r="D10127" t="s">
        <v>176</v>
      </c>
      <c r="E10127">
        <v>19535</v>
      </c>
      <c r="F10127">
        <v>803</v>
      </c>
      <c r="G10127">
        <v>212</v>
      </c>
      <c r="H10127">
        <f>_xlfn.XLOOKUP(FACT_IMPORTS[[#This Row],[hts_6]],DIM_PRODUCTS[hts_6],DIM_PRODUCTS[hts_4],,,)</f>
        <v>8708</v>
      </c>
      <c r="I10127" t="str" cm="1">
        <f t="array" ref="I10127">_xlfn.XLOOKUP(FACT_IMPORTS[[#This Row],[country_name]],DIM_COUNTRY[[#All],[Column2]],DIM_COUNTRY[[#All],[Column3]],,,)</f>
        <v>USMCA</v>
      </c>
    </row>
    <row r="10128" spans="1:9" x14ac:dyDescent="0.4">
      <c r="A10128" t="s">
        <v>64</v>
      </c>
      <c r="B10128" s="1">
        <v>45566</v>
      </c>
      <c r="C10128">
        <v>870892</v>
      </c>
      <c r="D10128" t="s">
        <v>176</v>
      </c>
      <c r="E10128">
        <v>0</v>
      </c>
      <c r="F10128">
        <v>0</v>
      </c>
      <c r="G10128">
        <v>0</v>
      </c>
      <c r="H10128">
        <f>_xlfn.XLOOKUP(FACT_IMPORTS[[#This Row],[hts_6]],DIM_PRODUCTS[hts_6],DIM_PRODUCTS[hts_4],,,)</f>
        <v>8708</v>
      </c>
      <c r="I10128" t="str" cm="1">
        <f t="array" ref="I10128">_xlfn.XLOOKUP(FACT_IMPORTS[[#This Row],[country_name]],DIM_COUNTRY[[#All],[Column2]],DIM_COUNTRY[[#All],[Column3]],,,)</f>
        <v>USMCA</v>
      </c>
    </row>
    <row r="10129" spans="1:9" x14ac:dyDescent="0.4">
      <c r="A10129" t="s">
        <v>64</v>
      </c>
      <c r="B10129" s="1">
        <v>45566</v>
      </c>
      <c r="C10129">
        <v>870893</v>
      </c>
      <c r="D10129" t="s">
        <v>176</v>
      </c>
      <c r="E10129">
        <v>13308</v>
      </c>
      <c r="F10129">
        <v>4800</v>
      </c>
      <c r="G10129">
        <v>694</v>
      </c>
      <c r="H10129">
        <f>_xlfn.XLOOKUP(FACT_IMPORTS[[#This Row],[hts_6]],DIM_PRODUCTS[hts_6],DIM_PRODUCTS[hts_4],,,)</f>
        <v>8708</v>
      </c>
      <c r="I10129" t="str" cm="1">
        <f t="array" ref="I10129">_xlfn.XLOOKUP(FACT_IMPORTS[[#This Row],[country_name]],DIM_COUNTRY[[#All],[Column2]],DIM_COUNTRY[[#All],[Column3]],,,)</f>
        <v>USMCA</v>
      </c>
    </row>
    <row r="10130" spans="1:9" x14ac:dyDescent="0.4">
      <c r="A10130" t="s">
        <v>64</v>
      </c>
      <c r="B10130" s="1">
        <v>45566</v>
      </c>
      <c r="C10130">
        <v>870894</v>
      </c>
      <c r="D10130" t="s">
        <v>176</v>
      </c>
      <c r="E10130">
        <v>40357</v>
      </c>
      <c r="F10130">
        <v>654</v>
      </c>
      <c r="G10130">
        <v>666</v>
      </c>
      <c r="H10130">
        <f>_xlfn.XLOOKUP(FACT_IMPORTS[[#This Row],[hts_6]],DIM_PRODUCTS[hts_6],DIM_PRODUCTS[hts_4],,,)</f>
        <v>8708</v>
      </c>
      <c r="I10130" t="str" cm="1">
        <f t="array" ref="I10130">_xlfn.XLOOKUP(FACT_IMPORTS[[#This Row],[country_name]],DIM_COUNTRY[[#All],[Column2]],DIM_COUNTRY[[#All],[Column3]],,,)</f>
        <v>USMCA</v>
      </c>
    </row>
    <row r="10131" spans="1:9" x14ac:dyDescent="0.4">
      <c r="A10131" t="s">
        <v>64</v>
      </c>
      <c r="B10131" s="1">
        <v>45566</v>
      </c>
      <c r="C10131">
        <v>870895</v>
      </c>
      <c r="D10131" t="s">
        <v>176</v>
      </c>
      <c r="E10131">
        <v>4384</v>
      </c>
      <c r="F10131">
        <v>20</v>
      </c>
      <c r="G10131">
        <v>150</v>
      </c>
      <c r="H10131">
        <f>_xlfn.XLOOKUP(FACT_IMPORTS[[#This Row],[hts_6]],DIM_PRODUCTS[hts_6],DIM_PRODUCTS[hts_4],,,)</f>
        <v>8708</v>
      </c>
      <c r="I10131" t="str" cm="1">
        <f t="array" ref="I10131">_xlfn.XLOOKUP(FACT_IMPORTS[[#This Row],[country_name]],DIM_COUNTRY[[#All],[Column2]],DIM_COUNTRY[[#All],[Column3]],,,)</f>
        <v>USMCA</v>
      </c>
    </row>
    <row r="10132" spans="1:9" x14ac:dyDescent="0.4">
      <c r="A10132" t="s">
        <v>64</v>
      </c>
      <c r="B10132" s="1">
        <v>45566</v>
      </c>
      <c r="C10132">
        <v>870899</v>
      </c>
      <c r="D10132" t="s">
        <v>176</v>
      </c>
      <c r="E10132">
        <v>151817</v>
      </c>
      <c r="F10132">
        <v>40816</v>
      </c>
      <c r="G10132">
        <v>1658</v>
      </c>
      <c r="H10132">
        <f>_xlfn.XLOOKUP(FACT_IMPORTS[[#This Row],[hts_6]],DIM_PRODUCTS[hts_6],DIM_PRODUCTS[hts_4],,,)</f>
        <v>8708</v>
      </c>
      <c r="I10132" t="str" cm="1">
        <f t="array" ref="I10132">_xlfn.XLOOKUP(FACT_IMPORTS[[#This Row],[country_name]],DIM_COUNTRY[[#All],[Column2]],DIM_COUNTRY[[#All],[Column3]],,,)</f>
        <v>USMCA</v>
      </c>
    </row>
    <row r="10133" spans="1:9" x14ac:dyDescent="0.4">
      <c r="A10133" t="s">
        <v>64</v>
      </c>
      <c r="B10133" s="1">
        <v>45566</v>
      </c>
      <c r="C10133">
        <v>940120</v>
      </c>
      <c r="D10133" t="s">
        <v>176</v>
      </c>
      <c r="E10133">
        <v>17688</v>
      </c>
      <c r="F10133">
        <v>79</v>
      </c>
      <c r="G10133">
        <v>87</v>
      </c>
      <c r="H10133">
        <f>_xlfn.XLOOKUP(FACT_IMPORTS[[#This Row],[hts_6]],DIM_PRODUCTS[hts_6],DIM_PRODUCTS[hts_4],,,)</f>
        <v>9401</v>
      </c>
      <c r="I10133" t="str" cm="1">
        <f t="array" ref="I10133">_xlfn.XLOOKUP(FACT_IMPORTS[[#This Row],[country_name]],DIM_COUNTRY[[#All],[Column2]],DIM_COUNTRY[[#All],[Column3]],,,)</f>
        <v>USMCA</v>
      </c>
    </row>
    <row r="10134" spans="1:9" x14ac:dyDescent="0.4">
      <c r="A10134" t="s">
        <v>64</v>
      </c>
      <c r="B10134" s="1">
        <v>45597</v>
      </c>
      <c r="C10134">
        <v>392630</v>
      </c>
      <c r="D10134" t="s">
        <v>176</v>
      </c>
      <c r="E10134">
        <v>2310</v>
      </c>
      <c r="F10134">
        <v>744</v>
      </c>
      <c r="G10134">
        <v>45</v>
      </c>
      <c r="H10134">
        <f>_xlfn.XLOOKUP(FACT_IMPORTS[[#This Row],[hts_6]],DIM_PRODUCTS[hts_6],DIM_PRODUCTS[hts_4],,,)</f>
        <v>3926</v>
      </c>
      <c r="I10134" t="str" cm="1">
        <f t="array" ref="I10134">_xlfn.XLOOKUP(FACT_IMPORTS[[#This Row],[country_name]],DIM_COUNTRY[[#All],[Column2]],DIM_COUNTRY[[#All],[Column3]],,,)</f>
        <v>USMCA</v>
      </c>
    </row>
    <row r="10135" spans="1:9" x14ac:dyDescent="0.4">
      <c r="A10135" t="s">
        <v>64</v>
      </c>
      <c r="B10135" s="1">
        <v>45597</v>
      </c>
      <c r="C10135">
        <v>401110</v>
      </c>
      <c r="D10135" t="s">
        <v>176</v>
      </c>
      <c r="E10135">
        <v>7327</v>
      </c>
      <c r="F10135">
        <v>73</v>
      </c>
      <c r="G10135">
        <v>313</v>
      </c>
      <c r="H10135">
        <f>_xlfn.XLOOKUP(FACT_IMPORTS[[#This Row],[hts_6]],DIM_PRODUCTS[hts_6],DIM_PRODUCTS[hts_4],,,)</f>
        <v>4011</v>
      </c>
      <c r="I10135" t="str" cm="1">
        <f t="array" ref="I10135">_xlfn.XLOOKUP(FACT_IMPORTS[[#This Row],[country_name]],DIM_COUNTRY[[#All],[Column2]],DIM_COUNTRY[[#All],[Column3]],,,)</f>
        <v>USMCA</v>
      </c>
    </row>
    <row r="10136" spans="1:9" x14ac:dyDescent="0.4">
      <c r="A10136" t="s">
        <v>64</v>
      </c>
      <c r="B10136" s="1">
        <v>45597</v>
      </c>
      <c r="C10136">
        <v>401120</v>
      </c>
      <c r="D10136" t="s">
        <v>176</v>
      </c>
      <c r="E10136">
        <v>1716</v>
      </c>
      <c r="F10136">
        <v>20</v>
      </c>
      <c r="G10136">
        <v>150</v>
      </c>
      <c r="H10136">
        <f>_xlfn.XLOOKUP(FACT_IMPORTS[[#This Row],[hts_6]],DIM_PRODUCTS[hts_6],DIM_PRODUCTS[hts_4],,,)</f>
        <v>4011</v>
      </c>
      <c r="I10136" t="str" cm="1">
        <f t="array" ref="I10136">_xlfn.XLOOKUP(FACT_IMPORTS[[#This Row],[country_name]],DIM_COUNTRY[[#All],[Column2]],DIM_COUNTRY[[#All],[Column3]],,,)</f>
        <v>USMCA</v>
      </c>
    </row>
    <row r="10137" spans="1:9" x14ac:dyDescent="0.4">
      <c r="A10137" t="s">
        <v>64</v>
      </c>
      <c r="B10137" s="1">
        <v>45597</v>
      </c>
      <c r="C10137">
        <v>700711</v>
      </c>
      <c r="D10137" t="s">
        <v>176</v>
      </c>
      <c r="E10137">
        <v>0</v>
      </c>
      <c r="F10137">
        <v>0</v>
      </c>
      <c r="G10137">
        <v>0</v>
      </c>
      <c r="H10137">
        <f>_xlfn.XLOOKUP(FACT_IMPORTS[[#This Row],[hts_6]],DIM_PRODUCTS[hts_6],DIM_PRODUCTS[hts_4],,,)</f>
        <v>7007</v>
      </c>
      <c r="I10137" t="str" cm="1">
        <f t="array" ref="I10137">_xlfn.XLOOKUP(FACT_IMPORTS[[#This Row],[country_name]],DIM_COUNTRY[[#All],[Column2]],DIM_COUNTRY[[#All],[Column3]],,,)</f>
        <v>USMCA</v>
      </c>
    </row>
    <row r="10138" spans="1:9" x14ac:dyDescent="0.4">
      <c r="A10138" t="s">
        <v>64</v>
      </c>
      <c r="B10138" s="1">
        <v>45597</v>
      </c>
      <c r="C10138">
        <v>700721</v>
      </c>
      <c r="D10138" t="s">
        <v>176</v>
      </c>
      <c r="E10138">
        <v>0</v>
      </c>
      <c r="F10138">
        <v>0</v>
      </c>
      <c r="G10138">
        <v>0</v>
      </c>
      <c r="H10138">
        <f>_xlfn.XLOOKUP(FACT_IMPORTS[[#This Row],[hts_6]],DIM_PRODUCTS[hts_6],DIM_PRODUCTS[hts_4],,,)</f>
        <v>7007</v>
      </c>
      <c r="I10138" t="str" cm="1">
        <f t="array" ref="I10138">_xlfn.XLOOKUP(FACT_IMPORTS[[#This Row],[country_name]],DIM_COUNTRY[[#All],[Column2]],DIM_COUNTRY[[#All],[Column3]],,,)</f>
        <v>USMCA</v>
      </c>
    </row>
    <row r="10139" spans="1:9" x14ac:dyDescent="0.4">
      <c r="A10139" t="s">
        <v>64</v>
      </c>
      <c r="B10139" s="1">
        <v>45597</v>
      </c>
      <c r="C10139">
        <v>700910</v>
      </c>
      <c r="D10139" t="s">
        <v>176</v>
      </c>
      <c r="E10139">
        <v>2680</v>
      </c>
      <c r="F10139">
        <v>16</v>
      </c>
      <c r="G10139">
        <v>250</v>
      </c>
      <c r="H10139">
        <f>_xlfn.XLOOKUP(FACT_IMPORTS[[#This Row],[hts_6]],DIM_PRODUCTS[hts_6],DIM_PRODUCTS[hts_4],,,)</f>
        <v>7009</v>
      </c>
      <c r="I10139" t="str" cm="1">
        <f t="array" ref="I10139">_xlfn.XLOOKUP(FACT_IMPORTS[[#This Row],[country_name]],DIM_COUNTRY[[#All],[Column2]],DIM_COUNTRY[[#All],[Column3]],,,)</f>
        <v>USMCA</v>
      </c>
    </row>
    <row r="10140" spans="1:9" x14ac:dyDescent="0.4">
      <c r="A10140" t="s">
        <v>64</v>
      </c>
      <c r="B10140" s="1">
        <v>45597</v>
      </c>
      <c r="C10140">
        <v>732010</v>
      </c>
      <c r="D10140" t="s">
        <v>176</v>
      </c>
      <c r="E10140">
        <v>7000</v>
      </c>
      <c r="F10140">
        <v>148</v>
      </c>
      <c r="G10140">
        <v>455</v>
      </c>
      <c r="H10140">
        <f>_xlfn.XLOOKUP(FACT_IMPORTS[[#This Row],[hts_6]],DIM_PRODUCTS[hts_6],DIM_PRODUCTS[hts_4],,,)</f>
        <v>7320</v>
      </c>
      <c r="I10140" t="str" cm="1">
        <f t="array" ref="I10140">_xlfn.XLOOKUP(FACT_IMPORTS[[#This Row],[country_name]],DIM_COUNTRY[[#All],[Column2]],DIM_COUNTRY[[#All],[Column3]],,,)</f>
        <v>USMCA</v>
      </c>
    </row>
    <row r="10141" spans="1:9" x14ac:dyDescent="0.4">
      <c r="A10141" t="s">
        <v>64</v>
      </c>
      <c r="B10141" s="1">
        <v>45597</v>
      </c>
      <c r="C10141">
        <v>830230</v>
      </c>
      <c r="D10141" t="s">
        <v>176</v>
      </c>
      <c r="E10141">
        <v>13141</v>
      </c>
      <c r="F10141">
        <v>300</v>
      </c>
      <c r="G10141">
        <v>280</v>
      </c>
      <c r="H10141">
        <f>_xlfn.XLOOKUP(FACT_IMPORTS[[#This Row],[hts_6]],DIM_PRODUCTS[hts_6],DIM_PRODUCTS[hts_4],,,)</f>
        <v>8302</v>
      </c>
      <c r="I10141" t="str" cm="1">
        <f t="array" ref="I10141">_xlfn.XLOOKUP(FACT_IMPORTS[[#This Row],[country_name]],DIM_COUNTRY[[#All],[Column2]],DIM_COUNTRY[[#All],[Column3]],,,)</f>
        <v>USMCA</v>
      </c>
    </row>
    <row r="10142" spans="1:9" x14ac:dyDescent="0.4">
      <c r="A10142" t="s">
        <v>64</v>
      </c>
      <c r="B10142" s="1">
        <v>45597</v>
      </c>
      <c r="C10142">
        <v>840733</v>
      </c>
      <c r="D10142" t="s">
        <v>176</v>
      </c>
      <c r="E10142">
        <v>40500</v>
      </c>
      <c r="F10142">
        <v>3</v>
      </c>
      <c r="G10142">
        <v>500</v>
      </c>
      <c r="H10142">
        <f>_xlfn.XLOOKUP(FACT_IMPORTS[[#This Row],[hts_6]],DIM_PRODUCTS[hts_6],DIM_PRODUCTS[hts_4],,,)</f>
        <v>8407</v>
      </c>
      <c r="I10142" t="str" cm="1">
        <f t="array" ref="I10142">_xlfn.XLOOKUP(FACT_IMPORTS[[#This Row],[country_name]],DIM_COUNTRY[[#All],[Column2]],DIM_COUNTRY[[#All],[Column3]],,,)</f>
        <v>USMCA</v>
      </c>
    </row>
    <row r="10143" spans="1:9" x14ac:dyDescent="0.4">
      <c r="A10143" t="s">
        <v>64</v>
      </c>
      <c r="B10143" s="1">
        <v>45597</v>
      </c>
      <c r="C10143">
        <v>840734</v>
      </c>
      <c r="D10143" t="s">
        <v>176</v>
      </c>
      <c r="E10143">
        <v>107766</v>
      </c>
      <c r="F10143">
        <v>66</v>
      </c>
      <c r="G10143">
        <v>810</v>
      </c>
      <c r="H10143">
        <f>_xlfn.XLOOKUP(FACT_IMPORTS[[#This Row],[hts_6]],DIM_PRODUCTS[hts_6],DIM_PRODUCTS[hts_4],,,)</f>
        <v>8407</v>
      </c>
      <c r="I10143" t="str" cm="1">
        <f t="array" ref="I10143">_xlfn.XLOOKUP(FACT_IMPORTS[[#This Row],[country_name]],DIM_COUNTRY[[#All],[Column2]],DIM_COUNTRY[[#All],[Column3]],,,)</f>
        <v>USMCA</v>
      </c>
    </row>
    <row r="10144" spans="1:9" x14ac:dyDescent="0.4">
      <c r="A10144" t="s">
        <v>64</v>
      </c>
      <c r="B10144" s="1">
        <v>45597</v>
      </c>
      <c r="C10144">
        <v>840820</v>
      </c>
      <c r="D10144" t="s">
        <v>176</v>
      </c>
      <c r="E10144">
        <v>66263</v>
      </c>
      <c r="F10144">
        <v>8</v>
      </c>
      <c r="G10144">
        <v>131</v>
      </c>
      <c r="H10144">
        <f>_xlfn.XLOOKUP(FACT_IMPORTS[[#This Row],[hts_6]],DIM_PRODUCTS[hts_6],DIM_PRODUCTS[hts_4],,,)</f>
        <v>8408</v>
      </c>
      <c r="I10144" t="str" cm="1">
        <f t="array" ref="I10144">_xlfn.XLOOKUP(FACT_IMPORTS[[#This Row],[country_name]],DIM_COUNTRY[[#All],[Column2]],DIM_COUNTRY[[#All],[Column3]],,,)</f>
        <v>USMCA</v>
      </c>
    </row>
    <row r="10145" spans="1:9" x14ac:dyDescent="0.4">
      <c r="A10145" t="s">
        <v>64</v>
      </c>
      <c r="B10145" s="1">
        <v>45597</v>
      </c>
      <c r="C10145">
        <v>840890</v>
      </c>
      <c r="D10145" t="s">
        <v>176</v>
      </c>
      <c r="E10145">
        <v>15950</v>
      </c>
      <c r="F10145">
        <v>6</v>
      </c>
      <c r="G10145">
        <v>55</v>
      </c>
      <c r="H10145">
        <f>_xlfn.XLOOKUP(FACT_IMPORTS[[#This Row],[hts_6]],DIM_PRODUCTS[hts_6],DIM_PRODUCTS[hts_4],,,)</f>
        <v>8408</v>
      </c>
      <c r="I10145" t="str" cm="1">
        <f t="array" ref="I10145">_xlfn.XLOOKUP(FACT_IMPORTS[[#This Row],[country_name]],DIM_COUNTRY[[#All],[Column2]],DIM_COUNTRY[[#All],[Column3]],,,)</f>
        <v>USMCA</v>
      </c>
    </row>
    <row r="10146" spans="1:9" x14ac:dyDescent="0.4">
      <c r="A10146" t="s">
        <v>64</v>
      </c>
      <c r="B10146" s="1">
        <v>45597</v>
      </c>
      <c r="C10146">
        <v>840991</v>
      </c>
      <c r="D10146" t="s">
        <v>176</v>
      </c>
      <c r="E10146">
        <v>778347</v>
      </c>
      <c r="F10146">
        <v>42169</v>
      </c>
      <c r="G10146">
        <v>2405</v>
      </c>
      <c r="H10146">
        <f>_xlfn.XLOOKUP(FACT_IMPORTS[[#This Row],[hts_6]],DIM_PRODUCTS[hts_6],DIM_PRODUCTS[hts_4],,,)</f>
        <v>8409</v>
      </c>
      <c r="I10146" t="str" cm="1">
        <f t="array" ref="I10146">_xlfn.XLOOKUP(FACT_IMPORTS[[#This Row],[country_name]],DIM_COUNTRY[[#All],[Column2]],DIM_COUNTRY[[#All],[Column3]],,,)</f>
        <v>USMCA</v>
      </c>
    </row>
    <row r="10147" spans="1:9" x14ac:dyDescent="0.4">
      <c r="A10147" t="s">
        <v>64</v>
      </c>
      <c r="B10147" s="1">
        <v>45597</v>
      </c>
      <c r="C10147">
        <v>840999</v>
      </c>
      <c r="D10147" t="s">
        <v>176</v>
      </c>
      <c r="E10147">
        <v>56517</v>
      </c>
      <c r="F10147">
        <v>1159</v>
      </c>
      <c r="G10147">
        <v>1376</v>
      </c>
      <c r="H10147">
        <f>_xlfn.XLOOKUP(FACT_IMPORTS[[#This Row],[hts_6]],DIM_PRODUCTS[hts_6],DIM_PRODUCTS[hts_4],,,)</f>
        <v>8409</v>
      </c>
      <c r="I10147" t="str" cm="1">
        <f t="array" ref="I10147">_xlfn.XLOOKUP(FACT_IMPORTS[[#This Row],[country_name]],DIM_COUNTRY[[#All],[Column2]],DIM_COUNTRY[[#All],[Column3]],,,)</f>
        <v>USMCA</v>
      </c>
    </row>
    <row r="10148" spans="1:9" x14ac:dyDescent="0.4">
      <c r="A10148" t="s">
        <v>64</v>
      </c>
      <c r="B10148" s="1">
        <v>45597</v>
      </c>
      <c r="C10148">
        <v>841330</v>
      </c>
      <c r="D10148" t="s">
        <v>176</v>
      </c>
      <c r="E10148">
        <v>48102</v>
      </c>
      <c r="F10148">
        <v>98</v>
      </c>
      <c r="G10148">
        <v>65</v>
      </c>
      <c r="H10148">
        <f>_xlfn.XLOOKUP(FACT_IMPORTS[[#This Row],[hts_6]],DIM_PRODUCTS[hts_6],DIM_PRODUCTS[hts_4],,,)</f>
        <v>8413</v>
      </c>
      <c r="I10148" t="str" cm="1">
        <f t="array" ref="I10148">_xlfn.XLOOKUP(FACT_IMPORTS[[#This Row],[country_name]],DIM_COUNTRY[[#All],[Column2]],DIM_COUNTRY[[#All],[Column3]],,,)</f>
        <v>USMCA</v>
      </c>
    </row>
    <row r="10149" spans="1:9" x14ac:dyDescent="0.4">
      <c r="A10149" t="s">
        <v>64</v>
      </c>
      <c r="B10149" s="1">
        <v>45597</v>
      </c>
      <c r="C10149">
        <v>842132</v>
      </c>
      <c r="D10149" t="s">
        <v>176</v>
      </c>
      <c r="E10149">
        <v>89795</v>
      </c>
      <c r="F10149">
        <v>314</v>
      </c>
      <c r="G10149">
        <v>523</v>
      </c>
      <c r="H10149">
        <f>_xlfn.XLOOKUP(FACT_IMPORTS[[#This Row],[hts_6]],DIM_PRODUCTS[hts_6],DIM_PRODUCTS[hts_4],,,)</f>
        <v>8421</v>
      </c>
      <c r="I10149" t="str" cm="1">
        <f t="array" ref="I10149">_xlfn.XLOOKUP(FACT_IMPORTS[[#This Row],[country_name]],DIM_COUNTRY[[#All],[Column2]],DIM_COUNTRY[[#All],[Column3]],,,)</f>
        <v>USMCA</v>
      </c>
    </row>
    <row r="10150" spans="1:9" x14ac:dyDescent="0.4">
      <c r="A10150" t="s">
        <v>64</v>
      </c>
      <c r="B10150" s="1">
        <v>45597</v>
      </c>
      <c r="C10150">
        <v>848210</v>
      </c>
      <c r="D10150" t="s">
        <v>176</v>
      </c>
      <c r="E10150">
        <v>2400</v>
      </c>
      <c r="F10150">
        <v>16</v>
      </c>
      <c r="G10150">
        <v>42</v>
      </c>
      <c r="H10150">
        <f>_xlfn.XLOOKUP(FACT_IMPORTS[[#This Row],[hts_6]],DIM_PRODUCTS[hts_6],DIM_PRODUCTS[hts_4],,,)</f>
        <v>8482</v>
      </c>
      <c r="I10150" t="str" cm="1">
        <f t="array" ref="I10150">_xlfn.XLOOKUP(FACT_IMPORTS[[#This Row],[country_name]],DIM_COUNTRY[[#All],[Column2]],DIM_COUNTRY[[#All],[Column3]],,,)</f>
        <v>USMCA</v>
      </c>
    </row>
    <row r="10151" spans="1:9" x14ac:dyDescent="0.4">
      <c r="A10151" t="s">
        <v>64</v>
      </c>
      <c r="B10151" s="1">
        <v>45597</v>
      </c>
      <c r="C10151">
        <v>848220</v>
      </c>
      <c r="D10151" t="s">
        <v>176</v>
      </c>
      <c r="E10151">
        <v>0</v>
      </c>
      <c r="F10151">
        <v>0</v>
      </c>
      <c r="G10151">
        <v>0</v>
      </c>
      <c r="H10151">
        <f>_xlfn.XLOOKUP(FACT_IMPORTS[[#This Row],[hts_6]],DIM_PRODUCTS[hts_6],DIM_PRODUCTS[hts_4],,,)</f>
        <v>8482</v>
      </c>
      <c r="I10151" t="str" cm="1">
        <f t="array" ref="I10151">_xlfn.XLOOKUP(FACT_IMPORTS[[#This Row],[country_name]],DIM_COUNTRY[[#All],[Column2]],DIM_COUNTRY[[#All],[Column3]],,,)</f>
        <v>USMCA</v>
      </c>
    </row>
    <row r="10152" spans="1:9" x14ac:dyDescent="0.4">
      <c r="A10152" t="s">
        <v>64</v>
      </c>
      <c r="B10152" s="1">
        <v>45597</v>
      </c>
      <c r="C10152">
        <v>848310</v>
      </c>
      <c r="D10152" t="s">
        <v>176</v>
      </c>
      <c r="E10152">
        <v>0</v>
      </c>
      <c r="F10152">
        <v>0</v>
      </c>
      <c r="G10152">
        <v>0</v>
      </c>
      <c r="H10152">
        <f>_xlfn.XLOOKUP(FACT_IMPORTS[[#This Row],[hts_6]],DIM_PRODUCTS[hts_6],DIM_PRODUCTS[hts_4],,,)</f>
        <v>8483</v>
      </c>
      <c r="I10152" t="str" cm="1">
        <f t="array" ref="I10152">_xlfn.XLOOKUP(FACT_IMPORTS[[#This Row],[country_name]],DIM_COUNTRY[[#All],[Column2]],DIM_COUNTRY[[#All],[Column3]],,,)</f>
        <v>USMCA</v>
      </c>
    </row>
    <row r="10153" spans="1:9" x14ac:dyDescent="0.4">
      <c r="A10153" t="s">
        <v>64</v>
      </c>
      <c r="B10153" s="1">
        <v>45597</v>
      </c>
      <c r="C10153">
        <v>850131</v>
      </c>
      <c r="D10153" t="s">
        <v>176</v>
      </c>
      <c r="E10153">
        <v>14866</v>
      </c>
      <c r="F10153">
        <v>293</v>
      </c>
      <c r="G10153">
        <v>394</v>
      </c>
      <c r="H10153">
        <f>_xlfn.XLOOKUP(FACT_IMPORTS[[#This Row],[hts_6]],DIM_PRODUCTS[hts_6],DIM_PRODUCTS[hts_4],,,)</f>
        <v>8501</v>
      </c>
      <c r="I10153" t="str" cm="1">
        <f t="array" ref="I10153">_xlfn.XLOOKUP(FACT_IMPORTS[[#This Row],[country_name]],DIM_COUNTRY[[#All],[Column2]],DIM_COUNTRY[[#All],[Column3]],,,)</f>
        <v>USMCA</v>
      </c>
    </row>
    <row r="10154" spans="1:9" x14ac:dyDescent="0.4">
      <c r="A10154" t="s">
        <v>64</v>
      </c>
      <c r="B10154" s="1">
        <v>45597</v>
      </c>
      <c r="C10154">
        <v>850132</v>
      </c>
      <c r="D10154" t="s">
        <v>176</v>
      </c>
      <c r="E10154">
        <v>7082</v>
      </c>
      <c r="F10154">
        <v>5</v>
      </c>
      <c r="G10154">
        <v>202</v>
      </c>
      <c r="H10154">
        <f>_xlfn.XLOOKUP(FACT_IMPORTS[[#This Row],[hts_6]],DIM_PRODUCTS[hts_6],DIM_PRODUCTS[hts_4],,,)</f>
        <v>8501</v>
      </c>
      <c r="I10154" t="str" cm="1">
        <f t="array" ref="I10154">_xlfn.XLOOKUP(FACT_IMPORTS[[#This Row],[country_name]],DIM_COUNTRY[[#All],[Column2]],DIM_COUNTRY[[#All],[Column3]],,,)</f>
        <v>USMCA</v>
      </c>
    </row>
    <row r="10155" spans="1:9" x14ac:dyDescent="0.4">
      <c r="A10155" t="s">
        <v>64</v>
      </c>
      <c r="B10155" s="1">
        <v>45597</v>
      </c>
      <c r="C10155">
        <v>850133</v>
      </c>
      <c r="D10155" t="s">
        <v>176</v>
      </c>
      <c r="E10155">
        <v>0</v>
      </c>
      <c r="F10155">
        <v>0</v>
      </c>
      <c r="G10155">
        <v>0</v>
      </c>
      <c r="H10155">
        <f>_xlfn.XLOOKUP(FACT_IMPORTS[[#This Row],[hts_6]],DIM_PRODUCTS[hts_6],DIM_PRODUCTS[hts_4],,,)</f>
        <v>8501</v>
      </c>
      <c r="I10155" t="str" cm="1">
        <f t="array" ref="I10155">_xlfn.XLOOKUP(FACT_IMPORTS[[#This Row],[country_name]],DIM_COUNTRY[[#All],[Column2]],DIM_COUNTRY[[#All],[Column3]],,,)</f>
        <v>USMCA</v>
      </c>
    </row>
    <row r="10156" spans="1:9" x14ac:dyDescent="0.4">
      <c r="A10156" t="s">
        <v>64</v>
      </c>
      <c r="B10156" s="1">
        <v>45597</v>
      </c>
      <c r="C10156">
        <v>850152</v>
      </c>
      <c r="D10156" t="s">
        <v>176</v>
      </c>
      <c r="E10156">
        <v>27143</v>
      </c>
      <c r="F10156">
        <v>31</v>
      </c>
      <c r="G10156">
        <v>614</v>
      </c>
      <c r="H10156">
        <f>_xlfn.XLOOKUP(FACT_IMPORTS[[#This Row],[hts_6]],DIM_PRODUCTS[hts_6],DIM_PRODUCTS[hts_4],,,)</f>
        <v>8501</v>
      </c>
      <c r="I10156" t="str" cm="1">
        <f t="array" ref="I10156">_xlfn.XLOOKUP(FACT_IMPORTS[[#This Row],[country_name]],DIM_COUNTRY[[#All],[Column2]],DIM_COUNTRY[[#All],[Column3]],,,)</f>
        <v>USMCA</v>
      </c>
    </row>
    <row r="10157" spans="1:9" x14ac:dyDescent="0.4">
      <c r="A10157" t="s">
        <v>64</v>
      </c>
      <c r="B10157" s="1">
        <v>45597</v>
      </c>
      <c r="C10157">
        <v>850153</v>
      </c>
      <c r="D10157" t="s">
        <v>176</v>
      </c>
      <c r="E10157">
        <v>37653</v>
      </c>
      <c r="F10157">
        <v>6</v>
      </c>
      <c r="G10157">
        <v>236</v>
      </c>
      <c r="H10157">
        <f>_xlfn.XLOOKUP(FACT_IMPORTS[[#This Row],[hts_6]],DIM_PRODUCTS[hts_6],DIM_PRODUCTS[hts_4],,,)</f>
        <v>8501</v>
      </c>
      <c r="I10157" t="str" cm="1">
        <f t="array" ref="I10157">_xlfn.XLOOKUP(FACT_IMPORTS[[#This Row],[country_name]],DIM_COUNTRY[[#All],[Column2]],DIM_COUNTRY[[#All],[Column3]],,,)</f>
        <v>USMCA</v>
      </c>
    </row>
    <row r="10158" spans="1:9" x14ac:dyDescent="0.4">
      <c r="A10158" t="s">
        <v>64</v>
      </c>
      <c r="B10158" s="1">
        <v>45597</v>
      </c>
      <c r="C10158">
        <v>850161</v>
      </c>
      <c r="D10158" t="s">
        <v>176</v>
      </c>
      <c r="E10158">
        <v>0</v>
      </c>
      <c r="F10158">
        <v>0</v>
      </c>
      <c r="G10158">
        <v>0</v>
      </c>
      <c r="H10158">
        <f>_xlfn.XLOOKUP(FACT_IMPORTS[[#This Row],[hts_6]],DIM_PRODUCTS[hts_6],DIM_PRODUCTS[hts_4],,,)</f>
        <v>8501</v>
      </c>
      <c r="I10158" t="str" cm="1">
        <f t="array" ref="I10158">_xlfn.XLOOKUP(FACT_IMPORTS[[#This Row],[country_name]],DIM_COUNTRY[[#All],[Column2]],DIM_COUNTRY[[#All],[Column3]],,,)</f>
        <v>USMCA</v>
      </c>
    </row>
    <row r="10159" spans="1:9" x14ac:dyDescent="0.4">
      <c r="A10159" t="s">
        <v>64</v>
      </c>
      <c r="B10159" s="1">
        <v>45597</v>
      </c>
      <c r="C10159">
        <v>850440</v>
      </c>
      <c r="D10159" t="s">
        <v>176</v>
      </c>
      <c r="E10159">
        <v>88333</v>
      </c>
      <c r="F10159">
        <v>123</v>
      </c>
      <c r="G10159">
        <v>432</v>
      </c>
      <c r="H10159">
        <f>_xlfn.XLOOKUP(FACT_IMPORTS[[#This Row],[hts_6]],DIM_PRODUCTS[hts_6],DIM_PRODUCTS[hts_4],,,)</f>
        <v>8504</v>
      </c>
      <c r="I10159" t="str" cm="1">
        <f t="array" ref="I10159">_xlfn.XLOOKUP(FACT_IMPORTS[[#This Row],[country_name]],DIM_COUNTRY[[#All],[Column2]],DIM_COUNTRY[[#All],[Column3]],,,)</f>
        <v>USMCA</v>
      </c>
    </row>
    <row r="10160" spans="1:9" x14ac:dyDescent="0.4">
      <c r="A10160" t="s">
        <v>64</v>
      </c>
      <c r="B10160" s="1">
        <v>45597</v>
      </c>
      <c r="C10160">
        <v>850710</v>
      </c>
      <c r="D10160" t="s">
        <v>176</v>
      </c>
      <c r="E10160">
        <v>0</v>
      </c>
      <c r="F10160">
        <v>0</v>
      </c>
      <c r="G10160">
        <v>0</v>
      </c>
      <c r="H10160">
        <f>_xlfn.XLOOKUP(FACT_IMPORTS[[#This Row],[hts_6]],DIM_PRODUCTS[hts_6],DIM_PRODUCTS[hts_4],,,)</f>
        <v>8507</v>
      </c>
      <c r="I10160" t="str" cm="1">
        <f t="array" ref="I10160">_xlfn.XLOOKUP(FACT_IMPORTS[[#This Row],[country_name]],DIM_COUNTRY[[#All],[Column2]],DIM_COUNTRY[[#All],[Column3]],,,)</f>
        <v>USMCA</v>
      </c>
    </row>
    <row r="10161" spans="1:9" x14ac:dyDescent="0.4">
      <c r="A10161" t="s">
        <v>64</v>
      </c>
      <c r="B10161" s="1">
        <v>45597</v>
      </c>
      <c r="C10161">
        <v>850760</v>
      </c>
      <c r="D10161" t="s">
        <v>176</v>
      </c>
      <c r="E10161">
        <v>0</v>
      </c>
      <c r="F10161">
        <v>0</v>
      </c>
      <c r="G10161">
        <v>0</v>
      </c>
      <c r="H10161">
        <f>_xlfn.XLOOKUP(FACT_IMPORTS[[#This Row],[hts_6]],DIM_PRODUCTS[hts_6],DIM_PRODUCTS[hts_4],,,)</f>
        <v>8507</v>
      </c>
      <c r="I10161" t="str" cm="1">
        <f t="array" ref="I10161">_xlfn.XLOOKUP(FACT_IMPORTS[[#This Row],[country_name]],DIM_COUNTRY[[#All],[Column2]],DIM_COUNTRY[[#All],[Column3]],,,)</f>
        <v>USMCA</v>
      </c>
    </row>
    <row r="10162" spans="1:9" x14ac:dyDescent="0.4">
      <c r="A10162" t="s">
        <v>64</v>
      </c>
      <c r="B10162" s="1">
        <v>45597</v>
      </c>
      <c r="C10162">
        <v>851110</v>
      </c>
      <c r="D10162" t="s">
        <v>176</v>
      </c>
      <c r="E10162">
        <v>3650</v>
      </c>
      <c r="F10162">
        <v>37</v>
      </c>
      <c r="G10162">
        <v>6</v>
      </c>
      <c r="H10162">
        <f>_xlfn.XLOOKUP(FACT_IMPORTS[[#This Row],[hts_6]],DIM_PRODUCTS[hts_6],DIM_PRODUCTS[hts_4],,,)</f>
        <v>8511</v>
      </c>
      <c r="I10162" t="str" cm="1">
        <f t="array" ref="I10162">_xlfn.XLOOKUP(FACT_IMPORTS[[#This Row],[country_name]],DIM_COUNTRY[[#All],[Column2]],DIM_COUNTRY[[#All],[Column3]],,,)</f>
        <v>USMCA</v>
      </c>
    </row>
    <row r="10163" spans="1:9" x14ac:dyDescent="0.4">
      <c r="A10163" t="s">
        <v>64</v>
      </c>
      <c r="B10163" s="1">
        <v>45597</v>
      </c>
      <c r="C10163">
        <v>851120</v>
      </c>
      <c r="D10163" t="s">
        <v>176</v>
      </c>
      <c r="E10163">
        <v>0</v>
      </c>
      <c r="F10163">
        <v>0</v>
      </c>
      <c r="G10163">
        <v>0</v>
      </c>
      <c r="H10163">
        <f>_xlfn.XLOOKUP(FACT_IMPORTS[[#This Row],[hts_6]],DIM_PRODUCTS[hts_6],DIM_PRODUCTS[hts_4],,,)</f>
        <v>8511</v>
      </c>
      <c r="I10163" t="str" cm="1">
        <f t="array" ref="I10163">_xlfn.XLOOKUP(FACT_IMPORTS[[#This Row],[country_name]],DIM_COUNTRY[[#All],[Column2]],DIM_COUNTRY[[#All],[Column3]],,,)</f>
        <v>USMCA</v>
      </c>
    </row>
    <row r="10164" spans="1:9" x14ac:dyDescent="0.4">
      <c r="A10164" t="s">
        <v>64</v>
      </c>
      <c r="B10164" s="1">
        <v>45597</v>
      </c>
      <c r="C10164">
        <v>851140</v>
      </c>
      <c r="D10164" t="s">
        <v>176</v>
      </c>
      <c r="E10164">
        <v>14556</v>
      </c>
      <c r="F10164">
        <v>36</v>
      </c>
      <c r="G10164">
        <v>108</v>
      </c>
      <c r="H10164">
        <f>_xlfn.XLOOKUP(FACT_IMPORTS[[#This Row],[hts_6]],DIM_PRODUCTS[hts_6],DIM_PRODUCTS[hts_4],,,)</f>
        <v>8511</v>
      </c>
      <c r="I10164" t="str" cm="1">
        <f t="array" ref="I10164">_xlfn.XLOOKUP(FACT_IMPORTS[[#This Row],[country_name]],DIM_COUNTRY[[#All],[Column2]],DIM_COUNTRY[[#All],[Column3]],,,)</f>
        <v>USMCA</v>
      </c>
    </row>
    <row r="10165" spans="1:9" x14ac:dyDescent="0.4">
      <c r="A10165" t="s">
        <v>64</v>
      </c>
      <c r="B10165" s="1">
        <v>45597</v>
      </c>
      <c r="C10165">
        <v>851150</v>
      </c>
      <c r="D10165" t="s">
        <v>176</v>
      </c>
      <c r="E10165">
        <v>23230</v>
      </c>
      <c r="F10165">
        <v>4</v>
      </c>
      <c r="G10165">
        <v>7</v>
      </c>
      <c r="H10165">
        <f>_xlfn.XLOOKUP(FACT_IMPORTS[[#This Row],[hts_6]],DIM_PRODUCTS[hts_6],DIM_PRODUCTS[hts_4],,,)</f>
        <v>8511</v>
      </c>
      <c r="I10165" t="str" cm="1">
        <f t="array" ref="I10165">_xlfn.XLOOKUP(FACT_IMPORTS[[#This Row],[country_name]],DIM_COUNTRY[[#All],[Column2]],DIM_COUNTRY[[#All],[Column3]],,,)</f>
        <v>USMCA</v>
      </c>
    </row>
    <row r="10166" spans="1:9" x14ac:dyDescent="0.4">
      <c r="A10166" t="s">
        <v>64</v>
      </c>
      <c r="B10166" s="1">
        <v>45597</v>
      </c>
      <c r="C10166">
        <v>851180</v>
      </c>
      <c r="D10166" t="s">
        <v>176</v>
      </c>
      <c r="E10166">
        <v>7631</v>
      </c>
      <c r="F10166">
        <v>273</v>
      </c>
      <c r="G10166">
        <v>3</v>
      </c>
      <c r="H10166">
        <f>_xlfn.XLOOKUP(FACT_IMPORTS[[#This Row],[hts_6]],DIM_PRODUCTS[hts_6],DIM_PRODUCTS[hts_4],,,)</f>
        <v>8511</v>
      </c>
      <c r="I10166" t="str" cm="1">
        <f t="array" ref="I10166">_xlfn.XLOOKUP(FACT_IMPORTS[[#This Row],[country_name]],DIM_COUNTRY[[#All],[Column2]],DIM_COUNTRY[[#All],[Column3]],,,)</f>
        <v>USMCA</v>
      </c>
    </row>
    <row r="10167" spans="1:9" x14ac:dyDescent="0.4">
      <c r="A10167" t="s">
        <v>64</v>
      </c>
      <c r="B10167" s="1">
        <v>45597</v>
      </c>
      <c r="C10167">
        <v>851190</v>
      </c>
      <c r="D10167" t="s">
        <v>176</v>
      </c>
      <c r="E10167">
        <v>0</v>
      </c>
      <c r="F10167">
        <v>0</v>
      </c>
      <c r="G10167">
        <v>0</v>
      </c>
      <c r="H10167">
        <f>_xlfn.XLOOKUP(FACT_IMPORTS[[#This Row],[hts_6]],DIM_PRODUCTS[hts_6],DIM_PRODUCTS[hts_4],,,)</f>
        <v>8511</v>
      </c>
      <c r="I10167" t="str" cm="1">
        <f t="array" ref="I10167">_xlfn.XLOOKUP(FACT_IMPORTS[[#This Row],[country_name]],DIM_COUNTRY[[#All],[Column2]],DIM_COUNTRY[[#All],[Column3]],,,)</f>
        <v>USMCA</v>
      </c>
    </row>
    <row r="10168" spans="1:9" x14ac:dyDescent="0.4">
      <c r="A10168" t="s">
        <v>64</v>
      </c>
      <c r="B10168" s="1">
        <v>45597</v>
      </c>
      <c r="C10168">
        <v>851220</v>
      </c>
      <c r="D10168" t="s">
        <v>176</v>
      </c>
      <c r="E10168">
        <v>57095</v>
      </c>
      <c r="F10168">
        <v>1273</v>
      </c>
      <c r="G10168">
        <v>217</v>
      </c>
      <c r="H10168">
        <f>_xlfn.XLOOKUP(FACT_IMPORTS[[#This Row],[hts_6]],DIM_PRODUCTS[hts_6],DIM_PRODUCTS[hts_4],,,)</f>
        <v>8512</v>
      </c>
      <c r="I10168" t="str" cm="1">
        <f t="array" ref="I10168">_xlfn.XLOOKUP(FACT_IMPORTS[[#This Row],[country_name]],DIM_COUNTRY[[#All],[Column2]],DIM_COUNTRY[[#All],[Column3]],,,)</f>
        <v>USMCA</v>
      </c>
    </row>
    <row r="10169" spans="1:9" x14ac:dyDescent="0.4">
      <c r="A10169" t="s">
        <v>64</v>
      </c>
      <c r="B10169" s="1">
        <v>45597</v>
      </c>
      <c r="C10169">
        <v>851230</v>
      </c>
      <c r="D10169" t="s">
        <v>176</v>
      </c>
      <c r="E10169">
        <v>6568</v>
      </c>
      <c r="F10169">
        <v>800</v>
      </c>
      <c r="G10169">
        <v>589</v>
      </c>
      <c r="H10169">
        <f>_xlfn.XLOOKUP(FACT_IMPORTS[[#This Row],[hts_6]],DIM_PRODUCTS[hts_6],DIM_PRODUCTS[hts_4],,,)</f>
        <v>8512</v>
      </c>
      <c r="I10169" t="str" cm="1">
        <f t="array" ref="I10169">_xlfn.XLOOKUP(FACT_IMPORTS[[#This Row],[country_name]],DIM_COUNTRY[[#All],[Column2]],DIM_COUNTRY[[#All],[Column3]],,,)</f>
        <v>USMCA</v>
      </c>
    </row>
    <row r="10170" spans="1:9" x14ac:dyDescent="0.4">
      <c r="A10170" t="s">
        <v>64</v>
      </c>
      <c r="B10170" s="1">
        <v>45597</v>
      </c>
      <c r="C10170">
        <v>851290</v>
      </c>
      <c r="D10170" t="s">
        <v>176</v>
      </c>
      <c r="E10170">
        <v>100640</v>
      </c>
      <c r="F10170">
        <v>660</v>
      </c>
      <c r="G10170">
        <v>1331</v>
      </c>
      <c r="H10170">
        <f>_xlfn.XLOOKUP(FACT_IMPORTS[[#This Row],[hts_6]],DIM_PRODUCTS[hts_6],DIM_PRODUCTS[hts_4],,,)</f>
        <v>8512</v>
      </c>
      <c r="I10170" t="str" cm="1">
        <f t="array" ref="I10170">_xlfn.XLOOKUP(FACT_IMPORTS[[#This Row],[country_name]],DIM_COUNTRY[[#All],[Column2]],DIM_COUNTRY[[#All],[Column3]],,,)</f>
        <v>USMCA</v>
      </c>
    </row>
    <row r="10171" spans="1:9" x14ac:dyDescent="0.4">
      <c r="A10171" t="s">
        <v>64</v>
      </c>
      <c r="B10171" s="1">
        <v>45597</v>
      </c>
      <c r="C10171">
        <v>854231</v>
      </c>
      <c r="D10171" t="s">
        <v>176</v>
      </c>
      <c r="E10171">
        <v>0</v>
      </c>
      <c r="F10171">
        <v>0</v>
      </c>
      <c r="G10171">
        <v>0</v>
      </c>
      <c r="H10171">
        <f>_xlfn.XLOOKUP(FACT_IMPORTS[[#This Row],[hts_6]],DIM_PRODUCTS[hts_6],DIM_PRODUCTS[hts_4],,,)</f>
        <v>8542</v>
      </c>
      <c r="I10171" t="str" cm="1">
        <f t="array" ref="I10171">_xlfn.XLOOKUP(FACT_IMPORTS[[#This Row],[country_name]],DIM_COUNTRY[[#All],[Column2]],DIM_COUNTRY[[#All],[Column3]],,,)</f>
        <v>USMCA</v>
      </c>
    </row>
    <row r="10172" spans="1:9" x14ac:dyDescent="0.4">
      <c r="A10172" t="s">
        <v>64</v>
      </c>
      <c r="B10172" s="1">
        <v>45597</v>
      </c>
      <c r="C10172">
        <v>854239</v>
      </c>
      <c r="D10172" t="s">
        <v>176</v>
      </c>
      <c r="E10172">
        <v>0</v>
      </c>
      <c r="F10172">
        <v>0</v>
      </c>
      <c r="G10172">
        <v>0</v>
      </c>
      <c r="H10172">
        <f>_xlfn.XLOOKUP(FACT_IMPORTS[[#This Row],[hts_6]],DIM_PRODUCTS[hts_6],DIM_PRODUCTS[hts_4],,,)</f>
        <v>8542</v>
      </c>
      <c r="I10172" t="str" cm="1">
        <f t="array" ref="I10172">_xlfn.XLOOKUP(FACT_IMPORTS[[#This Row],[country_name]],DIM_COUNTRY[[#All],[Column2]],DIM_COUNTRY[[#All],[Column3]],,,)</f>
        <v>USMCA</v>
      </c>
    </row>
    <row r="10173" spans="1:9" x14ac:dyDescent="0.4">
      <c r="A10173" t="s">
        <v>64</v>
      </c>
      <c r="B10173" s="1">
        <v>45597</v>
      </c>
      <c r="C10173">
        <v>854290</v>
      </c>
      <c r="D10173" t="s">
        <v>176</v>
      </c>
      <c r="E10173">
        <v>2520</v>
      </c>
      <c r="F10173">
        <v>3</v>
      </c>
      <c r="G10173">
        <v>3</v>
      </c>
      <c r="H10173">
        <f>_xlfn.XLOOKUP(FACT_IMPORTS[[#This Row],[hts_6]],DIM_PRODUCTS[hts_6],DIM_PRODUCTS[hts_4],,,)</f>
        <v>8542</v>
      </c>
      <c r="I10173" t="str" cm="1">
        <f t="array" ref="I10173">_xlfn.XLOOKUP(FACT_IMPORTS[[#This Row],[country_name]],DIM_COUNTRY[[#All],[Column2]],DIM_COUNTRY[[#All],[Column3]],,,)</f>
        <v>USMCA</v>
      </c>
    </row>
    <row r="10174" spans="1:9" x14ac:dyDescent="0.4">
      <c r="A10174" t="s">
        <v>64</v>
      </c>
      <c r="B10174" s="1">
        <v>45597</v>
      </c>
      <c r="C10174">
        <v>854430</v>
      </c>
      <c r="D10174" t="s">
        <v>176</v>
      </c>
      <c r="E10174">
        <v>358652</v>
      </c>
      <c r="F10174">
        <v>56862</v>
      </c>
      <c r="G10174">
        <v>10054</v>
      </c>
      <c r="H10174">
        <f>_xlfn.XLOOKUP(FACT_IMPORTS[[#This Row],[hts_6]],DIM_PRODUCTS[hts_6],DIM_PRODUCTS[hts_4],,,)</f>
        <v>8544</v>
      </c>
      <c r="I10174" t="str" cm="1">
        <f t="array" ref="I10174">_xlfn.XLOOKUP(FACT_IMPORTS[[#This Row],[country_name]],DIM_COUNTRY[[#All],[Column2]],DIM_COUNTRY[[#All],[Column3]],,,)</f>
        <v>USMCA</v>
      </c>
    </row>
    <row r="10175" spans="1:9" x14ac:dyDescent="0.4">
      <c r="A10175" t="s">
        <v>64</v>
      </c>
      <c r="B10175" s="1">
        <v>45597</v>
      </c>
      <c r="C10175">
        <v>870810</v>
      </c>
      <c r="D10175" t="s">
        <v>176</v>
      </c>
      <c r="E10175">
        <v>6597</v>
      </c>
      <c r="F10175">
        <v>53</v>
      </c>
      <c r="G10175">
        <v>6</v>
      </c>
      <c r="H10175">
        <f>_xlfn.XLOOKUP(FACT_IMPORTS[[#This Row],[hts_6]],DIM_PRODUCTS[hts_6],DIM_PRODUCTS[hts_4],,,)</f>
        <v>8708</v>
      </c>
      <c r="I10175" t="str" cm="1">
        <f t="array" ref="I10175">_xlfn.XLOOKUP(FACT_IMPORTS[[#This Row],[country_name]],DIM_COUNTRY[[#All],[Column2]],DIM_COUNTRY[[#All],[Column3]],,,)</f>
        <v>USMCA</v>
      </c>
    </row>
    <row r="10176" spans="1:9" x14ac:dyDescent="0.4">
      <c r="A10176" t="s">
        <v>64</v>
      </c>
      <c r="B10176" s="1">
        <v>45597</v>
      </c>
      <c r="C10176">
        <v>870822</v>
      </c>
      <c r="D10176" t="s">
        <v>176</v>
      </c>
      <c r="E10176">
        <v>0</v>
      </c>
      <c r="F10176">
        <v>0</v>
      </c>
      <c r="G10176">
        <v>0</v>
      </c>
      <c r="H10176">
        <f>_xlfn.XLOOKUP(FACT_IMPORTS[[#This Row],[hts_6]],DIM_PRODUCTS[hts_6],DIM_PRODUCTS[hts_4],,,)</f>
        <v>8708</v>
      </c>
      <c r="I10176" t="str" cm="1">
        <f t="array" ref="I10176">_xlfn.XLOOKUP(FACT_IMPORTS[[#This Row],[country_name]],DIM_COUNTRY[[#All],[Column2]],DIM_COUNTRY[[#All],[Column3]],,,)</f>
        <v>USMCA</v>
      </c>
    </row>
    <row r="10177" spans="1:9" x14ac:dyDescent="0.4">
      <c r="A10177" t="s">
        <v>64</v>
      </c>
      <c r="B10177" s="1">
        <v>45597</v>
      </c>
      <c r="C10177">
        <v>870829</v>
      </c>
      <c r="D10177" t="s">
        <v>176</v>
      </c>
      <c r="E10177">
        <v>1471667</v>
      </c>
      <c r="F10177">
        <v>34526</v>
      </c>
      <c r="G10177">
        <v>16075</v>
      </c>
      <c r="H10177">
        <f>_xlfn.XLOOKUP(FACT_IMPORTS[[#This Row],[hts_6]],DIM_PRODUCTS[hts_6],DIM_PRODUCTS[hts_4],,,)</f>
        <v>8708</v>
      </c>
      <c r="I10177" t="str" cm="1">
        <f t="array" ref="I10177">_xlfn.XLOOKUP(FACT_IMPORTS[[#This Row],[country_name]],DIM_COUNTRY[[#All],[Column2]],DIM_COUNTRY[[#All],[Column3]],,,)</f>
        <v>USMCA</v>
      </c>
    </row>
    <row r="10178" spans="1:9" x14ac:dyDescent="0.4">
      <c r="A10178" t="s">
        <v>64</v>
      </c>
      <c r="B10178" s="1">
        <v>45597</v>
      </c>
      <c r="C10178">
        <v>870830</v>
      </c>
      <c r="D10178" t="s">
        <v>176</v>
      </c>
      <c r="E10178">
        <v>2120972</v>
      </c>
      <c r="F10178">
        <v>15175</v>
      </c>
      <c r="G10178">
        <v>5403</v>
      </c>
      <c r="H10178">
        <f>_xlfn.XLOOKUP(FACT_IMPORTS[[#This Row],[hts_6]],DIM_PRODUCTS[hts_6],DIM_PRODUCTS[hts_4],,,)</f>
        <v>8708</v>
      </c>
      <c r="I10178" t="str" cm="1">
        <f t="array" ref="I10178">_xlfn.XLOOKUP(FACT_IMPORTS[[#This Row],[country_name]],DIM_COUNTRY[[#All],[Column2]],DIM_COUNTRY[[#All],[Column3]],,,)</f>
        <v>USMCA</v>
      </c>
    </row>
    <row r="10179" spans="1:9" x14ac:dyDescent="0.4">
      <c r="A10179" t="s">
        <v>64</v>
      </c>
      <c r="B10179" s="1">
        <v>45597</v>
      </c>
      <c r="C10179">
        <v>870840</v>
      </c>
      <c r="D10179" t="s">
        <v>176</v>
      </c>
      <c r="E10179">
        <v>258839</v>
      </c>
      <c r="F10179">
        <v>1031</v>
      </c>
      <c r="G10179">
        <v>1235</v>
      </c>
      <c r="H10179">
        <f>_xlfn.XLOOKUP(FACT_IMPORTS[[#This Row],[hts_6]],DIM_PRODUCTS[hts_6],DIM_PRODUCTS[hts_4],,,)</f>
        <v>8708</v>
      </c>
      <c r="I10179" t="str" cm="1">
        <f t="array" ref="I10179">_xlfn.XLOOKUP(FACT_IMPORTS[[#This Row],[country_name]],DIM_COUNTRY[[#All],[Column2]],DIM_COUNTRY[[#All],[Column3]],,,)</f>
        <v>USMCA</v>
      </c>
    </row>
    <row r="10180" spans="1:9" x14ac:dyDescent="0.4">
      <c r="A10180" t="s">
        <v>64</v>
      </c>
      <c r="B10180" s="1">
        <v>45597</v>
      </c>
      <c r="C10180">
        <v>870850</v>
      </c>
      <c r="D10180" t="s">
        <v>176</v>
      </c>
      <c r="E10180">
        <v>84732</v>
      </c>
      <c r="F10180">
        <v>163</v>
      </c>
      <c r="G10180">
        <v>437</v>
      </c>
      <c r="H10180">
        <f>_xlfn.XLOOKUP(FACT_IMPORTS[[#This Row],[hts_6]],DIM_PRODUCTS[hts_6],DIM_PRODUCTS[hts_4],,,)</f>
        <v>8708</v>
      </c>
      <c r="I10180" t="str" cm="1">
        <f t="array" ref="I10180">_xlfn.XLOOKUP(FACT_IMPORTS[[#This Row],[country_name]],DIM_COUNTRY[[#All],[Column2]],DIM_COUNTRY[[#All],[Column3]],,,)</f>
        <v>USMCA</v>
      </c>
    </row>
    <row r="10181" spans="1:9" x14ac:dyDescent="0.4">
      <c r="A10181" t="s">
        <v>64</v>
      </c>
      <c r="B10181" s="1">
        <v>45597</v>
      </c>
      <c r="C10181">
        <v>870870</v>
      </c>
      <c r="D10181" t="s">
        <v>176</v>
      </c>
      <c r="E10181">
        <v>61567</v>
      </c>
      <c r="F10181">
        <v>1018</v>
      </c>
      <c r="G10181">
        <v>649</v>
      </c>
      <c r="H10181">
        <f>_xlfn.XLOOKUP(FACT_IMPORTS[[#This Row],[hts_6]],DIM_PRODUCTS[hts_6],DIM_PRODUCTS[hts_4],,,)</f>
        <v>8708</v>
      </c>
      <c r="I10181" t="str" cm="1">
        <f t="array" ref="I10181">_xlfn.XLOOKUP(FACT_IMPORTS[[#This Row],[country_name]],DIM_COUNTRY[[#All],[Column2]],DIM_COUNTRY[[#All],[Column3]],,,)</f>
        <v>USMCA</v>
      </c>
    </row>
    <row r="10182" spans="1:9" x14ac:dyDescent="0.4">
      <c r="A10182" t="s">
        <v>64</v>
      </c>
      <c r="B10182" s="1">
        <v>45597</v>
      </c>
      <c r="C10182">
        <v>870880</v>
      </c>
      <c r="D10182" t="s">
        <v>176</v>
      </c>
      <c r="E10182">
        <v>325075</v>
      </c>
      <c r="F10182">
        <v>14006</v>
      </c>
      <c r="G10182">
        <v>352</v>
      </c>
      <c r="H10182">
        <f>_xlfn.XLOOKUP(FACT_IMPORTS[[#This Row],[hts_6]],DIM_PRODUCTS[hts_6],DIM_PRODUCTS[hts_4],,,)</f>
        <v>8708</v>
      </c>
      <c r="I10182" t="str" cm="1">
        <f t="array" ref="I10182">_xlfn.XLOOKUP(FACT_IMPORTS[[#This Row],[country_name]],DIM_COUNTRY[[#All],[Column2]],DIM_COUNTRY[[#All],[Column3]],,,)</f>
        <v>USMCA</v>
      </c>
    </row>
    <row r="10183" spans="1:9" x14ac:dyDescent="0.4">
      <c r="A10183" t="s">
        <v>64</v>
      </c>
      <c r="B10183" s="1">
        <v>45597</v>
      </c>
      <c r="C10183">
        <v>870891</v>
      </c>
      <c r="D10183" t="s">
        <v>176</v>
      </c>
      <c r="E10183">
        <v>3617</v>
      </c>
      <c r="F10183">
        <v>41</v>
      </c>
      <c r="G10183">
        <v>1</v>
      </c>
      <c r="H10183">
        <f>_xlfn.XLOOKUP(FACT_IMPORTS[[#This Row],[hts_6]],DIM_PRODUCTS[hts_6],DIM_PRODUCTS[hts_4],,,)</f>
        <v>8708</v>
      </c>
      <c r="I10183" t="str" cm="1">
        <f t="array" ref="I10183">_xlfn.XLOOKUP(FACT_IMPORTS[[#This Row],[country_name]],DIM_COUNTRY[[#All],[Column2]],DIM_COUNTRY[[#All],[Column3]],,,)</f>
        <v>USMCA</v>
      </c>
    </row>
    <row r="10184" spans="1:9" x14ac:dyDescent="0.4">
      <c r="A10184" t="s">
        <v>64</v>
      </c>
      <c r="B10184" s="1">
        <v>45597</v>
      </c>
      <c r="C10184">
        <v>870892</v>
      </c>
      <c r="D10184" t="s">
        <v>176</v>
      </c>
      <c r="E10184">
        <v>0</v>
      </c>
      <c r="F10184">
        <v>0</v>
      </c>
      <c r="G10184">
        <v>0</v>
      </c>
      <c r="H10184">
        <f>_xlfn.XLOOKUP(FACT_IMPORTS[[#This Row],[hts_6]],DIM_PRODUCTS[hts_6],DIM_PRODUCTS[hts_4],,,)</f>
        <v>8708</v>
      </c>
      <c r="I10184" t="str" cm="1">
        <f t="array" ref="I10184">_xlfn.XLOOKUP(FACT_IMPORTS[[#This Row],[country_name]],DIM_COUNTRY[[#All],[Column2]],DIM_COUNTRY[[#All],[Column3]],,,)</f>
        <v>USMCA</v>
      </c>
    </row>
    <row r="10185" spans="1:9" x14ac:dyDescent="0.4">
      <c r="A10185" t="s">
        <v>64</v>
      </c>
      <c r="B10185" s="1">
        <v>45597</v>
      </c>
      <c r="C10185">
        <v>870893</v>
      </c>
      <c r="D10185" t="s">
        <v>176</v>
      </c>
      <c r="E10185">
        <v>6458</v>
      </c>
      <c r="F10185">
        <v>1441</v>
      </c>
      <c r="G10185">
        <v>157</v>
      </c>
      <c r="H10185">
        <f>_xlfn.XLOOKUP(FACT_IMPORTS[[#This Row],[hts_6]],DIM_PRODUCTS[hts_6],DIM_PRODUCTS[hts_4],,,)</f>
        <v>8708</v>
      </c>
      <c r="I10185" t="str" cm="1">
        <f t="array" ref="I10185">_xlfn.XLOOKUP(FACT_IMPORTS[[#This Row],[country_name]],DIM_COUNTRY[[#All],[Column2]],DIM_COUNTRY[[#All],[Column3]],,,)</f>
        <v>USMCA</v>
      </c>
    </row>
    <row r="10186" spans="1:9" x14ac:dyDescent="0.4">
      <c r="A10186" t="s">
        <v>64</v>
      </c>
      <c r="B10186" s="1">
        <v>45597</v>
      </c>
      <c r="C10186">
        <v>870894</v>
      </c>
      <c r="D10186" t="s">
        <v>176</v>
      </c>
      <c r="E10186">
        <v>10802</v>
      </c>
      <c r="F10186">
        <v>26</v>
      </c>
      <c r="G10186">
        <v>265</v>
      </c>
      <c r="H10186">
        <f>_xlfn.XLOOKUP(FACT_IMPORTS[[#This Row],[hts_6]],DIM_PRODUCTS[hts_6],DIM_PRODUCTS[hts_4],,,)</f>
        <v>8708</v>
      </c>
      <c r="I10186" t="str" cm="1">
        <f t="array" ref="I10186">_xlfn.XLOOKUP(FACT_IMPORTS[[#This Row],[country_name]],DIM_COUNTRY[[#All],[Column2]],DIM_COUNTRY[[#All],[Column3]],,,)</f>
        <v>USMCA</v>
      </c>
    </row>
    <row r="10187" spans="1:9" x14ac:dyDescent="0.4">
      <c r="A10187" t="s">
        <v>64</v>
      </c>
      <c r="B10187" s="1">
        <v>45597</v>
      </c>
      <c r="C10187">
        <v>870895</v>
      </c>
      <c r="D10187" t="s">
        <v>176</v>
      </c>
      <c r="E10187">
        <v>3989</v>
      </c>
      <c r="F10187">
        <v>90</v>
      </c>
      <c r="G10187">
        <v>25</v>
      </c>
      <c r="H10187">
        <f>_xlfn.XLOOKUP(FACT_IMPORTS[[#This Row],[hts_6]],DIM_PRODUCTS[hts_6],DIM_PRODUCTS[hts_4],,,)</f>
        <v>8708</v>
      </c>
      <c r="I10187" t="str" cm="1">
        <f t="array" ref="I10187">_xlfn.XLOOKUP(FACT_IMPORTS[[#This Row],[country_name]],DIM_COUNTRY[[#All],[Column2]],DIM_COUNTRY[[#All],[Column3]],,,)</f>
        <v>USMCA</v>
      </c>
    </row>
    <row r="10188" spans="1:9" x14ac:dyDescent="0.4">
      <c r="A10188" t="s">
        <v>64</v>
      </c>
      <c r="B10188" s="1">
        <v>45597</v>
      </c>
      <c r="C10188">
        <v>870899</v>
      </c>
      <c r="D10188" t="s">
        <v>176</v>
      </c>
      <c r="E10188">
        <v>145429</v>
      </c>
      <c r="F10188">
        <v>2850</v>
      </c>
      <c r="G10188">
        <v>2087</v>
      </c>
      <c r="H10188">
        <f>_xlfn.XLOOKUP(FACT_IMPORTS[[#This Row],[hts_6]],DIM_PRODUCTS[hts_6],DIM_PRODUCTS[hts_4],,,)</f>
        <v>8708</v>
      </c>
      <c r="I10188" t="str" cm="1">
        <f t="array" ref="I10188">_xlfn.XLOOKUP(FACT_IMPORTS[[#This Row],[country_name]],DIM_COUNTRY[[#All],[Column2]],DIM_COUNTRY[[#All],[Column3]],,,)</f>
        <v>USMCA</v>
      </c>
    </row>
    <row r="10189" spans="1:9" x14ac:dyDescent="0.4">
      <c r="A10189" t="s">
        <v>64</v>
      </c>
      <c r="B10189" s="1">
        <v>45597</v>
      </c>
      <c r="C10189">
        <v>940120</v>
      </c>
      <c r="D10189" t="s">
        <v>176</v>
      </c>
      <c r="E10189">
        <v>24998</v>
      </c>
      <c r="F10189">
        <v>107</v>
      </c>
      <c r="G10189">
        <v>2097</v>
      </c>
      <c r="H10189">
        <f>_xlfn.XLOOKUP(FACT_IMPORTS[[#This Row],[hts_6]],DIM_PRODUCTS[hts_6],DIM_PRODUCTS[hts_4],,,)</f>
        <v>9401</v>
      </c>
      <c r="I10189" t="str" cm="1">
        <f t="array" ref="I10189">_xlfn.XLOOKUP(FACT_IMPORTS[[#This Row],[country_name]],DIM_COUNTRY[[#All],[Column2]],DIM_COUNTRY[[#All],[Column3]],,,)</f>
        <v>USMCA</v>
      </c>
    </row>
    <row r="10190" spans="1:9" x14ac:dyDescent="0.4">
      <c r="A10190" t="s">
        <v>64</v>
      </c>
      <c r="B10190" s="1">
        <v>45627</v>
      </c>
      <c r="C10190">
        <v>392630</v>
      </c>
      <c r="D10190" t="s">
        <v>176</v>
      </c>
      <c r="E10190">
        <v>3753</v>
      </c>
      <c r="F10190">
        <v>409</v>
      </c>
      <c r="G10190">
        <v>293</v>
      </c>
      <c r="H10190">
        <f>_xlfn.XLOOKUP(FACT_IMPORTS[[#This Row],[hts_6]],DIM_PRODUCTS[hts_6],DIM_PRODUCTS[hts_4],,,)</f>
        <v>3926</v>
      </c>
      <c r="I10190" t="str" cm="1">
        <f t="array" ref="I10190">_xlfn.XLOOKUP(FACT_IMPORTS[[#This Row],[country_name]],DIM_COUNTRY[[#All],[Column2]],DIM_COUNTRY[[#All],[Column3]],,,)</f>
        <v>USMCA</v>
      </c>
    </row>
    <row r="10191" spans="1:9" x14ac:dyDescent="0.4">
      <c r="A10191" t="s">
        <v>64</v>
      </c>
      <c r="B10191" s="1">
        <v>45627</v>
      </c>
      <c r="C10191">
        <v>401110</v>
      </c>
      <c r="D10191" t="s">
        <v>176</v>
      </c>
      <c r="E10191">
        <v>7397</v>
      </c>
      <c r="F10191">
        <v>94</v>
      </c>
      <c r="G10191">
        <v>116</v>
      </c>
      <c r="H10191">
        <f>_xlfn.XLOOKUP(FACT_IMPORTS[[#This Row],[hts_6]],DIM_PRODUCTS[hts_6],DIM_PRODUCTS[hts_4],,,)</f>
        <v>4011</v>
      </c>
      <c r="I10191" t="str" cm="1">
        <f t="array" ref="I10191">_xlfn.XLOOKUP(FACT_IMPORTS[[#This Row],[country_name]],DIM_COUNTRY[[#All],[Column2]],DIM_COUNTRY[[#All],[Column3]],,,)</f>
        <v>USMCA</v>
      </c>
    </row>
    <row r="10192" spans="1:9" x14ac:dyDescent="0.4">
      <c r="A10192" t="s">
        <v>64</v>
      </c>
      <c r="B10192" s="1">
        <v>45627</v>
      </c>
      <c r="C10192">
        <v>401120</v>
      </c>
      <c r="D10192" t="s">
        <v>176</v>
      </c>
      <c r="E10192">
        <v>29148</v>
      </c>
      <c r="F10192">
        <v>340</v>
      </c>
      <c r="G10192">
        <v>150</v>
      </c>
      <c r="H10192">
        <f>_xlfn.XLOOKUP(FACT_IMPORTS[[#This Row],[hts_6]],DIM_PRODUCTS[hts_6],DIM_PRODUCTS[hts_4],,,)</f>
        <v>4011</v>
      </c>
      <c r="I10192" t="str" cm="1">
        <f t="array" ref="I10192">_xlfn.XLOOKUP(FACT_IMPORTS[[#This Row],[country_name]],DIM_COUNTRY[[#All],[Column2]],DIM_COUNTRY[[#All],[Column3]],,,)</f>
        <v>USMCA</v>
      </c>
    </row>
    <row r="10193" spans="1:9" x14ac:dyDescent="0.4">
      <c r="A10193" t="s">
        <v>64</v>
      </c>
      <c r="B10193" s="1">
        <v>45627</v>
      </c>
      <c r="C10193">
        <v>700711</v>
      </c>
      <c r="D10193" t="s">
        <v>176</v>
      </c>
      <c r="E10193">
        <v>0</v>
      </c>
      <c r="F10193">
        <v>0</v>
      </c>
      <c r="G10193">
        <v>0</v>
      </c>
      <c r="H10193">
        <f>_xlfn.XLOOKUP(FACT_IMPORTS[[#This Row],[hts_6]],DIM_PRODUCTS[hts_6],DIM_PRODUCTS[hts_4],,,)</f>
        <v>7007</v>
      </c>
      <c r="I10193" t="str" cm="1">
        <f t="array" ref="I10193">_xlfn.XLOOKUP(FACT_IMPORTS[[#This Row],[country_name]],DIM_COUNTRY[[#All],[Column2]],DIM_COUNTRY[[#All],[Column3]],,,)</f>
        <v>USMCA</v>
      </c>
    </row>
    <row r="10194" spans="1:9" x14ac:dyDescent="0.4">
      <c r="A10194" t="s">
        <v>64</v>
      </c>
      <c r="B10194" s="1">
        <v>45627</v>
      </c>
      <c r="C10194">
        <v>700721</v>
      </c>
      <c r="D10194" t="s">
        <v>176</v>
      </c>
      <c r="E10194">
        <v>0</v>
      </c>
      <c r="F10194">
        <v>0</v>
      </c>
      <c r="G10194">
        <v>0</v>
      </c>
      <c r="H10194">
        <f>_xlfn.XLOOKUP(FACT_IMPORTS[[#This Row],[hts_6]],DIM_PRODUCTS[hts_6],DIM_PRODUCTS[hts_4],,,)</f>
        <v>7007</v>
      </c>
      <c r="I10194" t="str" cm="1">
        <f t="array" ref="I10194">_xlfn.XLOOKUP(FACT_IMPORTS[[#This Row],[country_name]],DIM_COUNTRY[[#All],[Column2]],DIM_COUNTRY[[#All],[Column3]],,,)</f>
        <v>USMCA</v>
      </c>
    </row>
    <row r="10195" spans="1:9" x14ac:dyDescent="0.4">
      <c r="A10195" t="s">
        <v>64</v>
      </c>
      <c r="B10195" s="1">
        <v>45627</v>
      </c>
      <c r="C10195">
        <v>700910</v>
      </c>
      <c r="D10195" t="s">
        <v>176</v>
      </c>
      <c r="E10195">
        <v>0</v>
      </c>
      <c r="F10195">
        <v>0</v>
      </c>
      <c r="G10195">
        <v>0</v>
      </c>
      <c r="H10195">
        <f>_xlfn.XLOOKUP(FACT_IMPORTS[[#This Row],[hts_6]],DIM_PRODUCTS[hts_6],DIM_PRODUCTS[hts_4],,,)</f>
        <v>7009</v>
      </c>
      <c r="I10195" t="str" cm="1">
        <f t="array" ref="I10195">_xlfn.XLOOKUP(FACT_IMPORTS[[#This Row],[country_name]],DIM_COUNTRY[[#All],[Column2]],DIM_COUNTRY[[#All],[Column3]],,,)</f>
        <v>USMCA</v>
      </c>
    </row>
    <row r="10196" spans="1:9" x14ac:dyDescent="0.4">
      <c r="A10196" t="s">
        <v>64</v>
      </c>
      <c r="B10196" s="1">
        <v>45627</v>
      </c>
      <c r="C10196">
        <v>732010</v>
      </c>
      <c r="D10196" t="s">
        <v>176</v>
      </c>
      <c r="E10196">
        <v>0</v>
      </c>
      <c r="F10196">
        <v>0</v>
      </c>
      <c r="G10196">
        <v>0</v>
      </c>
      <c r="H10196">
        <f>_xlfn.XLOOKUP(FACT_IMPORTS[[#This Row],[hts_6]],DIM_PRODUCTS[hts_6],DIM_PRODUCTS[hts_4],,,)</f>
        <v>7320</v>
      </c>
      <c r="I10196" t="str" cm="1">
        <f t="array" ref="I10196">_xlfn.XLOOKUP(FACT_IMPORTS[[#This Row],[country_name]],DIM_COUNTRY[[#All],[Column2]],DIM_COUNTRY[[#All],[Column3]],,,)</f>
        <v>USMCA</v>
      </c>
    </row>
    <row r="10197" spans="1:9" x14ac:dyDescent="0.4">
      <c r="A10197" t="s">
        <v>64</v>
      </c>
      <c r="B10197" s="1">
        <v>45627</v>
      </c>
      <c r="C10197">
        <v>830230</v>
      </c>
      <c r="D10197" t="s">
        <v>176</v>
      </c>
      <c r="E10197">
        <v>40127</v>
      </c>
      <c r="F10197">
        <v>2495</v>
      </c>
      <c r="G10197">
        <v>930</v>
      </c>
      <c r="H10197">
        <f>_xlfn.XLOOKUP(FACT_IMPORTS[[#This Row],[hts_6]],DIM_PRODUCTS[hts_6],DIM_PRODUCTS[hts_4],,,)</f>
        <v>8302</v>
      </c>
      <c r="I10197" t="str" cm="1">
        <f t="array" ref="I10197">_xlfn.XLOOKUP(FACT_IMPORTS[[#This Row],[country_name]],DIM_COUNTRY[[#All],[Column2]],DIM_COUNTRY[[#All],[Column3]],,,)</f>
        <v>USMCA</v>
      </c>
    </row>
    <row r="10198" spans="1:9" x14ac:dyDescent="0.4">
      <c r="A10198" t="s">
        <v>64</v>
      </c>
      <c r="B10198" s="1">
        <v>45627</v>
      </c>
      <c r="C10198">
        <v>840733</v>
      </c>
      <c r="D10198" t="s">
        <v>176</v>
      </c>
      <c r="E10198">
        <v>20809</v>
      </c>
      <c r="F10198">
        <v>3</v>
      </c>
      <c r="G10198">
        <v>303</v>
      </c>
      <c r="H10198">
        <f>_xlfn.XLOOKUP(FACT_IMPORTS[[#This Row],[hts_6]],DIM_PRODUCTS[hts_6],DIM_PRODUCTS[hts_4],,,)</f>
        <v>8407</v>
      </c>
      <c r="I10198" t="str" cm="1">
        <f t="array" ref="I10198">_xlfn.XLOOKUP(FACT_IMPORTS[[#This Row],[country_name]],DIM_COUNTRY[[#All],[Column2]],DIM_COUNTRY[[#All],[Column3]],,,)</f>
        <v>USMCA</v>
      </c>
    </row>
    <row r="10199" spans="1:9" x14ac:dyDescent="0.4">
      <c r="A10199" t="s">
        <v>64</v>
      </c>
      <c r="B10199" s="1">
        <v>45627</v>
      </c>
      <c r="C10199">
        <v>840734</v>
      </c>
      <c r="D10199" t="s">
        <v>176</v>
      </c>
      <c r="E10199">
        <v>68980</v>
      </c>
      <c r="F10199">
        <v>72</v>
      </c>
      <c r="G10199">
        <v>282</v>
      </c>
      <c r="H10199">
        <f>_xlfn.XLOOKUP(FACT_IMPORTS[[#This Row],[hts_6]],DIM_PRODUCTS[hts_6],DIM_PRODUCTS[hts_4],,,)</f>
        <v>8407</v>
      </c>
      <c r="I10199" t="str" cm="1">
        <f t="array" ref="I10199">_xlfn.XLOOKUP(FACT_IMPORTS[[#This Row],[country_name]],DIM_COUNTRY[[#All],[Column2]],DIM_COUNTRY[[#All],[Column3]],,,)</f>
        <v>USMCA</v>
      </c>
    </row>
    <row r="10200" spans="1:9" x14ac:dyDescent="0.4">
      <c r="A10200" t="s">
        <v>64</v>
      </c>
      <c r="B10200" s="1">
        <v>45627</v>
      </c>
      <c r="C10200">
        <v>840820</v>
      </c>
      <c r="D10200" t="s">
        <v>176</v>
      </c>
      <c r="E10200">
        <v>66750</v>
      </c>
      <c r="F10200">
        <v>12</v>
      </c>
      <c r="G10200">
        <v>234</v>
      </c>
      <c r="H10200">
        <f>_xlfn.XLOOKUP(FACT_IMPORTS[[#This Row],[hts_6]],DIM_PRODUCTS[hts_6],DIM_PRODUCTS[hts_4],,,)</f>
        <v>8408</v>
      </c>
      <c r="I10200" t="str" cm="1">
        <f t="array" ref="I10200">_xlfn.XLOOKUP(FACT_IMPORTS[[#This Row],[country_name]],DIM_COUNTRY[[#All],[Column2]],DIM_COUNTRY[[#All],[Column3]],,,)</f>
        <v>USMCA</v>
      </c>
    </row>
    <row r="10201" spans="1:9" x14ac:dyDescent="0.4">
      <c r="A10201" t="s">
        <v>64</v>
      </c>
      <c r="B10201" s="1">
        <v>45627</v>
      </c>
      <c r="C10201">
        <v>840890</v>
      </c>
      <c r="D10201" t="s">
        <v>176</v>
      </c>
      <c r="E10201">
        <v>24300</v>
      </c>
      <c r="F10201">
        <v>7</v>
      </c>
      <c r="G10201">
        <v>243</v>
      </c>
      <c r="H10201">
        <f>_xlfn.XLOOKUP(FACT_IMPORTS[[#This Row],[hts_6]],DIM_PRODUCTS[hts_6],DIM_PRODUCTS[hts_4],,,)</f>
        <v>8408</v>
      </c>
      <c r="I10201" t="str" cm="1">
        <f t="array" ref="I10201">_xlfn.XLOOKUP(FACT_IMPORTS[[#This Row],[country_name]],DIM_COUNTRY[[#All],[Column2]],DIM_COUNTRY[[#All],[Column3]],,,)</f>
        <v>USMCA</v>
      </c>
    </row>
    <row r="10202" spans="1:9" x14ac:dyDescent="0.4">
      <c r="A10202" t="s">
        <v>64</v>
      </c>
      <c r="B10202" s="1">
        <v>45627</v>
      </c>
      <c r="C10202">
        <v>840991</v>
      </c>
      <c r="D10202" t="s">
        <v>176</v>
      </c>
      <c r="E10202">
        <v>872290</v>
      </c>
      <c r="F10202">
        <v>29231</v>
      </c>
      <c r="G10202">
        <v>5984</v>
      </c>
      <c r="H10202">
        <f>_xlfn.XLOOKUP(FACT_IMPORTS[[#This Row],[hts_6]],DIM_PRODUCTS[hts_6],DIM_PRODUCTS[hts_4],,,)</f>
        <v>8409</v>
      </c>
      <c r="I10202" t="str" cm="1">
        <f t="array" ref="I10202">_xlfn.XLOOKUP(FACT_IMPORTS[[#This Row],[country_name]],DIM_COUNTRY[[#All],[Column2]],DIM_COUNTRY[[#All],[Column3]],,,)</f>
        <v>USMCA</v>
      </c>
    </row>
    <row r="10203" spans="1:9" x14ac:dyDescent="0.4">
      <c r="A10203" t="s">
        <v>64</v>
      </c>
      <c r="B10203" s="1">
        <v>45627</v>
      </c>
      <c r="C10203">
        <v>840999</v>
      </c>
      <c r="D10203" t="s">
        <v>176</v>
      </c>
      <c r="E10203">
        <v>92442</v>
      </c>
      <c r="F10203">
        <v>2154</v>
      </c>
      <c r="G10203">
        <v>2298</v>
      </c>
      <c r="H10203">
        <f>_xlfn.XLOOKUP(FACT_IMPORTS[[#This Row],[hts_6]],DIM_PRODUCTS[hts_6],DIM_PRODUCTS[hts_4],,,)</f>
        <v>8409</v>
      </c>
      <c r="I10203" t="str" cm="1">
        <f t="array" ref="I10203">_xlfn.XLOOKUP(FACT_IMPORTS[[#This Row],[country_name]],DIM_COUNTRY[[#All],[Column2]],DIM_COUNTRY[[#All],[Column3]],,,)</f>
        <v>USMCA</v>
      </c>
    </row>
    <row r="10204" spans="1:9" x14ac:dyDescent="0.4">
      <c r="A10204" t="s">
        <v>64</v>
      </c>
      <c r="B10204" s="1">
        <v>45627</v>
      </c>
      <c r="C10204">
        <v>841330</v>
      </c>
      <c r="D10204" t="s">
        <v>176</v>
      </c>
      <c r="E10204">
        <v>41654</v>
      </c>
      <c r="F10204">
        <v>102</v>
      </c>
      <c r="G10204">
        <v>55</v>
      </c>
      <c r="H10204">
        <f>_xlfn.XLOOKUP(FACT_IMPORTS[[#This Row],[hts_6]],DIM_PRODUCTS[hts_6],DIM_PRODUCTS[hts_4],,,)</f>
        <v>8413</v>
      </c>
      <c r="I10204" t="str" cm="1">
        <f t="array" ref="I10204">_xlfn.XLOOKUP(FACT_IMPORTS[[#This Row],[country_name]],DIM_COUNTRY[[#All],[Column2]],DIM_COUNTRY[[#All],[Column3]],,,)</f>
        <v>USMCA</v>
      </c>
    </row>
    <row r="10205" spans="1:9" x14ac:dyDescent="0.4">
      <c r="A10205" t="s">
        <v>64</v>
      </c>
      <c r="B10205" s="1">
        <v>45627</v>
      </c>
      <c r="C10205">
        <v>842132</v>
      </c>
      <c r="D10205" t="s">
        <v>176</v>
      </c>
      <c r="E10205">
        <v>85464</v>
      </c>
      <c r="F10205">
        <v>339</v>
      </c>
      <c r="G10205">
        <v>714</v>
      </c>
      <c r="H10205">
        <f>_xlfn.XLOOKUP(FACT_IMPORTS[[#This Row],[hts_6]],DIM_PRODUCTS[hts_6],DIM_PRODUCTS[hts_4],,,)</f>
        <v>8421</v>
      </c>
      <c r="I10205" t="str" cm="1">
        <f t="array" ref="I10205">_xlfn.XLOOKUP(FACT_IMPORTS[[#This Row],[country_name]],DIM_COUNTRY[[#All],[Column2]],DIM_COUNTRY[[#All],[Column3]],,,)</f>
        <v>USMCA</v>
      </c>
    </row>
    <row r="10206" spans="1:9" x14ac:dyDescent="0.4">
      <c r="A10206" t="s">
        <v>64</v>
      </c>
      <c r="B10206" s="1">
        <v>45627</v>
      </c>
      <c r="C10206">
        <v>848210</v>
      </c>
      <c r="D10206" t="s">
        <v>176</v>
      </c>
      <c r="E10206">
        <v>3505</v>
      </c>
      <c r="F10206">
        <v>100</v>
      </c>
      <c r="G10206">
        <v>250</v>
      </c>
      <c r="H10206">
        <f>_xlfn.XLOOKUP(FACT_IMPORTS[[#This Row],[hts_6]],DIM_PRODUCTS[hts_6],DIM_PRODUCTS[hts_4],,,)</f>
        <v>8482</v>
      </c>
      <c r="I10206" t="str" cm="1">
        <f t="array" ref="I10206">_xlfn.XLOOKUP(FACT_IMPORTS[[#This Row],[country_name]],DIM_COUNTRY[[#All],[Column2]],DIM_COUNTRY[[#All],[Column3]],,,)</f>
        <v>USMCA</v>
      </c>
    </row>
    <row r="10207" spans="1:9" x14ac:dyDescent="0.4">
      <c r="A10207" t="s">
        <v>64</v>
      </c>
      <c r="B10207" s="1">
        <v>45627</v>
      </c>
      <c r="C10207">
        <v>848220</v>
      </c>
      <c r="D10207" t="s">
        <v>176</v>
      </c>
      <c r="E10207">
        <v>0</v>
      </c>
      <c r="F10207">
        <v>0</v>
      </c>
      <c r="G10207">
        <v>0</v>
      </c>
      <c r="H10207">
        <f>_xlfn.XLOOKUP(FACT_IMPORTS[[#This Row],[hts_6]],DIM_PRODUCTS[hts_6],DIM_PRODUCTS[hts_4],,,)</f>
        <v>8482</v>
      </c>
      <c r="I10207" t="str" cm="1">
        <f t="array" ref="I10207">_xlfn.XLOOKUP(FACT_IMPORTS[[#This Row],[country_name]],DIM_COUNTRY[[#All],[Column2]],DIM_COUNTRY[[#All],[Column3]],,,)</f>
        <v>USMCA</v>
      </c>
    </row>
    <row r="10208" spans="1:9" x14ac:dyDescent="0.4">
      <c r="A10208" t="s">
        <v>64</v>
      </c>
      <c r="B10208" s="1">
        <v>45627</v>
      </c>
      <c r="C10208">
        <v>848310</v>
      </c>
      <c r="D10208" t="s">
        <v>176</v>
      </c>
      <c r="E10208">
        <v>0</v>
      </c>
      <c r="F10208">
        <v>0</v>
      </c>
      <c r="G10208">
        <v>0</v>
      </c>
      <c r="H10208">
        <f>_xlfn.XLOOKUP(FACT_IMPORTS[[#This Row],[hts_6]],DIM_PRODUCTS[hts_6],DIM_PRODUCTS[hts_4],,,)</f>
        <v>8483</v>
      </c>
      <c r="I10208" t="str" cm="1">
        <f t="array" ref="I10208">_xlfn.XLOOKUP(FACT_IMPORTS[[#This Row],[country_name]],DIM_COUNTRY[[#All],[Column2]],DIM_COUNTRY[[#All],[Column3]],,,)</f>
        <v>USMCA</v>
      </c>
    </row>
    <row r="10209" spans="1:9" x14ac:dyDescent="0.4">
      <c r="A10209" t="s">
        <v>64</v>
      </c>
      <c r="B10209" s="1">
        <v>45627</v>
      </c>
      <c r="C10209">
        <v>850131</v>
      </c>
      <c r="D10209" t="s">
        <v>176</v>
      </c>
      <c r="E10209">
        <v>13849</v>
      </c>
      <c r="F10209">
        <v>389</v>
      </c>
      <c r="G10209">
        <v>24</v>
      </c>
      <c r="H10209">
        <f>_xlfn.XLOOKUP(FACT_IMPORTS[[#This Row],[hts_6]],DIM_PRODUCTS[hts_6],DIM_PRODUCTS[hts_4],,,)</f>
        <v>8501</v>
      </c>
      <c r="I10209" t="str" cm="1">
        <f t="array" ref="I10209">_xlfn.XLOOKUP(FACT_IMPORTS[[#This Row],[country_name]],DIM_COUNTRY[[#All],[Column2]],DIM_COUNTRY[[#All],[Column3]],,,)</f>
        <v>USMCA</v>
      </c>
    </row>
    <row r="10210" spans="1:9" x14ac:dyDescent="0.4">
      <c r="A10210" t="s">
        <v>64</v>
      </c>
      <c r="B10210" s="1">
        <v>45627</v>
      </c>
      <c r="C10210">
        <v>850132</v>
      </c>
      <c r="D10210" t="s">
        <v>176</v>
      </c>
      <c r="E10210">
        <v>10154</v>
      </c>
      <c r="F10210">
        <v>9</v>
      </c>
      <c r="G10210">
        <v>306</v>
      </c>
      <c r="H10210">
        <f>_xlfn.XLOOKUP(FACT_IMPORTS[[#This Row],[hts_6]],DIM_PRODUCTS[hts_6],DIM_PRODUCTS[hts_4],,,)</f>
        <v>8501</v>
      </c>
      <c r="I10210" t="str" cm="1">
        <f t="array" ref="I10210">_xlfn.XLOOKUP(FACT_IMPORTS[[#This Row],[country_name]],DIM_COUNTRY[[#All],[Column2]],DIM_COUNTRY[[#All],[Column3]],,,)</f>
        <v>USMCA</v>
      </c>
    </row>
    <row r="10211" spans="1:9" x14ac:dyDescent="0.4">
      <c r="A10211" t="s">
        <v>64</v>
      </c>
      <c r="B10211" s="1">
        <v>45627</v>
      </c>
      <c r="C10211">
        <v>850133</v>
      </c>
      <c r="D10211" t="s">
        <v>176</v>
      </c>
      <c r="E10211">
        <v>0</v>
      </c>
      <c r="F10211">
        <v>0</v>
      </c>
      <c r="G10211">
        <v>0</v>
      </c>
      <c r="H10211">
        <f>_xlfn.XLOOKUP(FACT_IMPORTS[[#This Row],[hts_6]],DIM_PRODUCTS[hts_6],DIM_PRODUCTS[hts_4],,,)</f>
        <v>8501</v>
      </c>
      <c r="I10211" t="str" cm="1">
        <f t="array" ref="I10211">_xlfn.XLOOKUP(FACT_IMPORTS[[#This Row],[country_name]],DIM_COUNTRY[[#All],[Column2]],DIM_COUNTRY[[#All],[Column3]],,,)</f>
        <v>USMCA</v>
      </c>
    </row>
    <row r="10212" spans="1:9" x14ac:dyDescent="0.4">
      <c r="A10212" t="s">
        <v>64</v>
      </c>
      <c r="B10212" s="1">
        <v>45627</v>
      </c>
      <c r="C10212">
        <v>850152</v>
      </c>
      <c r="D10212" t="s">
        <v>176</v>
      </c>
      <c r="E10212">
        <v>58250</v>
      </c>
      <c r="F10212">
        <v>48</v>
      </c>
      <c r="G10212">
        <v>2667</v>
      </c>
      <c r="H10212">
        <f>_xlfn.XLOOKUP(FACT_IMPORTS[[#This Row],[hts_6]],DIM_PRODUCTS[hts_6],DIM_PRODUCTS[hts_4],,,)</f>
        <v>8501</v>
      </c>
      <c r="I10212" t="str" cm="1">
        <f t="array" ref="I10212">_xlfn.XLOOKUP(FACT_IMPORTS[[#This Row],[country_name]],DIM_COUNTRY[[#All],[Column2]],DIM_COUNTRY[[#All],[Column3]],,,)</f>
        <v>USMCA</v>
      </c>
    </row>
    <row r="10213" spans="1:9" x14ac:dyDescent="0.4">
      <c r="A10213" t="s">
        <v>64</v>
      </c>
      <c r="B10213" s="1">
        <v>45627</v>
      </c>
      <c r="C10213">
        <v>850153</v>
      </c>
      <c r="D10213" t="s">
        <v>176</v>
      </c>
      <c r="E10213">
        <v>84486</v>
      </c>
      <c r="F10213">
        <v>15</v>
      </c>
      <c r="G10213">
        <v>1305</v>
      </c>
      <c r="H10213">
        <f>_xlfn.XLOOKUP(FACT_IMPORTS[[#This Row],[hts_6]],DIM_PRODUCTS[hts_6],DIM_PRODUCTS[hts_4],,,)</f>
        <v>8501</v>
      </c>
      <c r="I10213" t="str" cm="1">
        <f t="array" ref="I10213">_xlfn.XLOOKUP(FACT_IMPORTS[[#This Row],[country_name]],DIM_COUNTRY[[#All],[Column2]],DIM_COUNTRY[[#All],[Column3]],,,)</f>
        <v>USMCA</v>
      </c>
    </row>
    <row r="10214" spans="1:9" x14ac:dyDescent="0.4">
      <c r="A10214" t="s">
        <v>64</v>
      </c>
      <c r="B10214" s="1">
        <v>45627</v>
      </c>
      <c r="C10214">
        <v>850161</v>
      </c>
      <c r="D10214" t="s">
        <v>176</v>
      </c>
      <c r="E10214">
        <v>0</v>
      </c>
      <c r="F10214">
        <v>0</v>
      </c>
      <c r="G10214">
        <v>0</v>
      </c>
      <c r="H10214">
        <f>_xlfn.XLOOKUP(FACT_IMPORTS[[#This Row],[hts_6]],DIM_PRODUCTS[hts_6],DIM_PRODUCTS[hts_4],,,)</f>
        <v>8501</v>
      </c>
      <c r="I10214" t="str" cm="1">
        <f t="array" ref="I10214">_xlfn.XLOOKUP(FACT_IMPORTS[[#This Row],[country_name]],DIM_COUNTRY[[#All],[Column2]],DIM_COUNTRY[[#All],[Column3]],,,)</f>
        <v>USMCA</v>
      </c>
    </row>
    <row r="10215" spans="1:9" x14ac:dyDescent="0.4">
      <c r="A10215" t="s">
        <v>64</v>
      </c>
      <c r="B10215" s="1">
        <v>45627</v>
      </c>
      <c r="C10215">
        <v>850440</v>
      </c>
      <c r="D10215" t="s">
        <v>176</v>
      </c>
      <c r="E10215">
        <v>199439</v>
      </c>
      <c r="F10215">
        <v>1531</v>
      </c>
      <c r="G10215">
        <v>3618</v>
      </c>
      <c r="H10215">
        <f>_xlfn.XLOOKUP(FACT_IMPORTS[[#This Row],[hts_6]],DIM_PRODUCTS[hts_6],DIM_PRODUCTS[hts_4],,,)</f>
        <v>8504</v>
      </c>
      <c r="I10215" t="str" cm="1">
        <f t="array" ref="I10215">_xlfn.XLOOKUP(FACT_IMPORTS[[#This Row],[country_name]],DIM_COUNTRY[[#All],[Column2]],DIM_COUNTRY[[#All],[Column3]],,,)</f>
        <v>USMCA</v>
      </c>
    </row>
    <row r="10216" spans="1:9" x14ac:dyDescent="0.4">
      <c r="A10216" t="s">
        <v>64</v>
      </c>
      <c r="B10216" s="1">
        <v>45627</v>
      </c>
      <c r="C10216">
        <v>850710</v>
      </c>
      <c r="D10216" t="s">
        <v>176</v>
      </c>
      <c r="E10216">
        <v>0</v>
      </c>
      <c r="F10216">
        <v>0</v>
      </c>
      <c r="G10216">
        <v>0</v>
      </c>
      <c r="H10216">
        <f>_xlfn.XLOOKUP(FACT_IMPORTS[[#This Row],[hts_6]],DIM_PRODUCTS[hts_6],DIM_PRODUCTS[hts_4],,,)</f>
        <v>8507</v>
      </c>
      <c r="I10216" t="str" cm="1">
        <f t="array" ref="I10216">_xlfn.XLOOKUP(FACT_IMPORTS[[#This Row],[country_name]],DIM_COUNTRY[[#All],[Column2]],DIM_COUNTRY[[#All],[Column3]],,,)</f>
        <v>USMCA</v>
      </c>
    </row>
    <row r="10217" spans="1:9" x14ac:dyDescent="0.4">
      <c r="A10217" t="s">
        <v>64</v>
      </c>
      <c r="B10217" s="1">
        <v>45627</v>
      </c>
      <c r="C10217">
        <v>850760</v>
      </c>
      <c r="D10217" t="s">
        <v>176</v>
      </c>
      <c r="E10217">
        <v>41981</v>
      </c>
      <c r="F10217">
        <v>725</v>
      </c>
      <c r="G10217">
        <v>435</v>
      </c>
      <c r="H10217">
        <f>_xlfn.XLOOKUP(FACT_IMPORTS[[#This Row],[hts_6]],DIM_PRODUCTS[hts_6],DIM_PRODUCTS[hts_4],,,)</f>
        <v>8507</v>
      </c>
      <c r="I10217" t="str" cm="1">
        <f t="array" ref="I10217">_xlfn.XLOOKUP(FACT_IMPORTS[[#This Row],[country_name]],DIM_COUNTRY[[#All],[Column2]],DIM_COUNTRY[[#All],[Column3]],,,)</f>
        <v>USMCA</v>
      </c>
    </row>
    <row r="10218" spans="1:9" x14ac:dyDescent="0.4">
      <c r="A10218" t="s">
        <v>64</v>
      </c>
      <c r="B10218" s="1">
        <v>45627</v>
      </c>
      <c r="C10218">
        <v>851110</v>
      </c>
      <c r="D10218" t="s">
        <v>176</v>
      </c>
      <c r="E10218">
        <v>8844</v>
      </c>
      <c r="F10218">
        <v>6</v>
      </c>
      <c r="G10218">
        <v>18</v>
      </c>
      <c r="H10218">
        <f>_xlfn.XLOOKUP(FACT_IMPORTS[[#This Row],[hts_6]],DIM_PRODUCTS[hts_6],DIM_PRODUCTS[hts_4],,,)</f>
        <v>8511</v>
      </c>
      <c r="I10218" t="str" cm="1">
        <f t="array" ref="I10218">_xlfn.XLOOKUP(FACT_IMPORTS[[#This Row],[country_name]],DIM_COUNTRY[[#All],[Column2]],DIM_COUNTRY[[#All],[Column3]],,,)</f>
        <v>USMCA</v>
      </c>
    </row>
    <row r="10219" spans="1:9" x14ac:dyDescent="0.4">
      <c r="A10219" t="s">
        <v>64</v>
      </c>
      <c r="B10219" s="1">
        <v>45627</v>
      </c>
      <c r="C10219">
        <v>851120</v>
      </c>
      <c r="D10219" t="s">
        <v>176</v>
      </c>
      <c r="E10219">
        <v>0</v>
      </c>
      <c r="F10219">
        <v>0</v>
      </c>
      <c r="G10219">
        <v>0</v>
      </c>
      <c r="H10219">
        <f>_xlfn.XLOOKUP(FACT_IMPORTS[[#This Row],[hts_6]],DIM_PRODUCTS[hts_6],DIM_PRODUCTS[hts_4],,,)</f>
        <v>8511</v>
      </c>
      <c r="I10219" t="str" cm="1">
        <f t="array" ref="I10219">_xlfn.XLOOKUP(FACT_IMPORTS[[#This Row],[country_name]],DIM_COUNTRY[[#All],[Column2]],DIM_COUNTRY[[#All],[Column3]],,,)</f>
        <v>USMCA</v>
      </c>
    </row>
    <row r="10220" spans="1:9" x14ac:dyDescent="0.4">
      <c r="A10220" t="s">
        <v>64</v>
      </c>
      <c r="B10220" s="1">
        <v>45627</v>
      </c>
      <c r="C10220">
        <v>851140</v>
      </c>
      <c r="D10220" t="s">
        <v>176</v>
      </c>
      <c r="E10220">
        <v>43786</v>
      </c>
      <c r="F10220">
        <v>212</v>
      </c>
      <c r="G10220">
        <v>891</v>
      </c>
      <c r="H10220">
        <f>_xlfn.XLOOKUP(FACT_IMPORTS[[#This Row],[hts_6]],DIM_PRODUCTS[hts_6],DIM_PRODUCTS[hts_4],,,)</f>
        <v>8511</v>
      </c>
      <c r="I10220" t="str" cm="1">
        <f t="array" ref="I10220">_xlfn.XLOOKUP(FACT_IMPORTS[[#This Row],[country_name]],DIM_COUNTRY[[#All],[Column2]],DIM_COUNTRY[[#All],[Column3]],,,)</f>
        <v>USMCA</v>
      </c>
    </row>
    <row r="10221" spans="1:9" x14ac:dyDescent="0.4">
      <c r="A10221" t="s">
        <v>64</v>
      </c>
      <c r="B10221" s="1">
        <v>45627</v>
      </c>
      <c r="C10221">
        <v>851150</v>
      </c>
      <c r="D10221" t="s">
        <v>176</v>
      </c>
      <c r="E10221">
        <v>41199</v>
      </c>
      <c r="F10221">
        <v>384</v>
      </c>
      <c r="G10221">
        <v>234</v>
      </c>
      <c r="H10221">
        <f>_xlfn.XLOOKUP(FACT_IMPORTS[[#This Row],[hts_6]],DIM_PRODUCTS[hts_6],DIM_PRODUCTS[hts_4],,,)</f>
        <v>8511</v>
      </c>
      <c r="I10221" t="str" cm="1">
        <f t="array" ref="I10221">_xlfn.XLOOKUP(FACT_IMPORTS[[#This Row],[country_name]],DIM_COUNTRY[[#All],[Column2]],DIM_COUNTRY[[#All],[Column3]],,,)</f>
        <v>USMCA</v>
      </c>
    </row>
    <row r="10222" spans="1:9" x14ac:dyDescent="0.4">
      <c r="A10222" t="s">
        <v>64</v>
      </c>
      <c r="B10222" s="1">
        <v>45627</v>
      </c>
      <c r="C10222">
        <v>851180</v>
      </c>
      <c r="D10222" t="s">
        <v>176</v>
      </c>
      <c r="E10222">
        <v>6412</v>
      </c>
      <c r="F10222">
        <v>89</v>
      </c>
      <c r="G10222">
        <v>1</v>
      </c>
      <c r="H10222">
        <f>_xlfn.XLOOKUP(FACT_IMPORTS[[#This Row],[hts_6]],DIM_PRODUCTS[hts_6],DIM_PRODUCTS[hts_4],,,)</f>
        <v>8511</v>
      </c>
      <c r="I10222" t="str" cm="1">
        <f t="array" ref="I10222">_xlfn.XLOOKUP(FACT_IMPORTS[[#This Row],[country_name]],DIM_COUNTRY[[#All],[Column2]],DIM_COUNTRY[[#All],[Column3]],,,)</f>
        <v>USMCA</v>
      </c>
    </row>
    <row r="10223" spans="1:9" x14ac:dyDescent="0.4">
      <c r="A10223" t="s">
        <v>64</v>
      </c>
      <c r="B10223" s="1">
        <v>45627</v>
      </c>
      <c r="C10223">
        <v>851190</v>
      </c>
      <c r="D10223" t="s">
        <v>176</v>
      </c>
      <c r="E10223">
        <v>0</v>
      </c>
      <c r="F10223">
        <v>0</v>
      </c>
      <c r="G10223">
        <v>0</v>
      </c>
      <c r="H10223">
        <f>_xlfn.XLOOKUP(FACT_IMPORTS[[#This Row],[hts_6]],DIM_PRODUCTS[hts_6],DIM_PRODUCTS[hts_4],,,)</f>
        <v>8511</v>
      </c>
      <c r="I10223" t="str" cm="1">
        <f t="array" ref="I10223">_xlfn.XLOOKUP(FACT_IMPORTS[[#This Row],[country_name]],DIM_COUNTRY[[#All],[Column2]],DIM_COUNTRY[[#All],[Column3]],,,)</f>
        <v>USMCA</v>
      </c>
    </row>
    <row r="10224" spans="1:9" x14ac:dyDescent="0.4">
      <c r="A10224" t="s">
        <v>64</v>
      </c>
      <c r="B10224" s="1">
        <v>45627</v>
      </c>
      <c r="C10224">
        <v>851220</v>
      </c>
      <c r="D10224" t="s">
        <v>176</v>
      </c>
      <c r="E10224">
        <v>11629</v>
      </c>
      <c r="F10224">
        <v>98</v>
      </c>
      <c r="G10224">
        <v>2</v>
      </c>
      <c r="H10224">
        <f>_xlfn.XLOOKUP(FACT_IMPORTS[[#This Row],[hts_6]],DIM_PRODUCTS[hts_6],DIM_PRODUCTS[hts_4],,,)</f>
        <v>8512</v>
      </c>
      <c r="I10224" t="str" cm="1">
        <f t="array" ref="I10224">_xlfn.XLOOKUP(FACT_IMPORTS[[#This Row],[country_name]],DIM_COUNTRY[[#All],[Column2]],DIM_COUNTRY[[#All],[Column3]],,,)</f>
        <v>USMCA</v>
      </c>
    </row>
    <row r="10225" spans="1:9" x14ac:dyDescent="0.4">
      <c r="A10225" t="s">
        <v>64</v>
      </c>
      <c r="B10225" s="1">
        <v>45627</v>
      </c>
      <c r="C10225">
        <v>851230</v>
      </c>
      <c r="D10225" t="s">
        <v>176</v>
      </c>
      <c r="E10225">
        <v>0</v>
      </c>
      <c r="F10225">
        <v>0</v>
      </c>
      <c r="G10225">
        <v>0</v>
      </c>
      <c r="H10225">
        <f>_xlfn.XLOOKUP(FACT_IMPORTS[[#This Row],[hts_6]],DIM_PRODUCTS[hts_6],DIM_PRODUCTS[hts_4],,,)</f>
        <v>8512</v>
      </c>
      <c r="I10225" t="str" cm="1">
        <f t="array" ref="I10225">_xlfn.XLOOKUP(FACT_IMPORTS[[#This Row],[country_name]],DIM_COUNTRY[[#All],[Column2]],DIM_COUNTRY[[#All],[Column3]],,,)</f>
        <v>USMCA</v>
      </c>
    </row>
    <row r="10226" spans="1:9" x14ac:dyDescent="0.4">
      <c r="A10226" t="s">
        <v>64</v>
      </c>
      <c r="B10226" s="1">
        <v>45627</v>
      </c>
      <c r="C10226">
        <v>851290</v>
      </c>
      <c r="D10226" t="s">
        <v>176</v>
      </c>
      <c r="E10226">
        <v>20000</v>
      </c>
      <c r="F10226">
        <v>22</v>
      </c>
      <c r="G10226">
        <v>150</v>
      </c>
      <c r="H10226">
        <f>_xlfn.XLOOKUP(FACT_IMPORTS[[#This Row],[hts_6]],DIM_PRODUCTS[hts_6],DIM_PRODUCTS[hts_4],,,)</f>
        <v>8512</v>
      </c>
      <c r="I10226" t="str" cm="1">
        <f t="array" ref="I10226">_xlfn.XLOOKUP(FACT_IMPORTS[[#This Row],[country_name]],DIM_COUNTRY[[#All],[Column2]],DIM_COUNTRY[[#All],[Column3]],,,)</f>
        <v>USMCA</v>
      </c>
    </row>
    <row r="10227" spans="1:9" x14ac:dyDescent="0.4">
      <c r="A10227" t="s">
        <v>64</v>
      </c>
      <c r="B10227" s="1">
        <v>45627</v>
      </c>
      <c r="C10227">
        <v>854231</v>
      </c>
      <c r="D10227" t="s">
        <v>176</v>
      </c>
      <c r="E10227">
        <v>0</v>
      </c>
      <c r="F10227">
        <v>0</v>
      </c>
      <c r="G10227">
        <v>0</v>
      </c>
      <c r="H10227">
        <f>_xlfn.XLOOKUP(FACT_IMPORTS[[#This Row],[hts_6]],DIM_PRODUCTS[hts_6],DIM_PRODUCTS[hts_4],,,)</f>
        <v>8542</v>
      </c>
      <c r="I10227" t="str" cm="1">
        <f t="array" ref="I10227">_xlfn.XLOOKUP(FACT_IMPORTS[[#This Row],[country_name]],DIM_COUNTRY[[#All],[Column2]],DIM_COUNTRY[[#All],[Column3]],,,)</f>
        <v>USMCA</v>
      </c>
    </row>
    <row r="10228" spans="1:9" x14ac:dyDescent="0.4">
      <c r="A10228" t="s">
        <v>64</v>
      </c>
      <c r="B10228" s="1">
        <v>45627</v>
      </c>
      <c r="C10228">
        <v>854239</v>
      </c>
      <c r="D10228" t="s">
        <v>176</v>
      </c>
      <c r="E10228">
        <v>0</v>
      </c>
      <c r="F10228">
        <v>0</v>
      </c>
      <c r="G10228">
        <v>0</v>
      </c>
      <c r="H10228">
        <f>_xlfn.XLOOKUP(FACT_IMPORTS[[#This Row],[hts_6]],DIM_PRODUCTS[hts_6],DIM_PRODUCTS[hts_4],,,)</f>
        <v>8542</v>
      </c>
      <c r="I10228" t="str" cm="1">
        <f t="array" ref="I10228">_xlfn.XLOOKUP(FACT_IMPORTS[[#This Row],[country_name]],DIM_COUNTRY[[#All],[Column2]],DIM_COUNTRY[[#All],[Column3]],,,)</f>
        <v>USMCA</v>
      </c>
    </row>
    <row r="10229" spans="1:9" x14ac:dyDescent="0.4">
      <c r="A10229" t="s">
        <v>64</v>
      </c>
      <c r="B10229" s="1">
        <v>45627</v>
      </c>
      <c r="C10229">
        <v>854290</v>
      </c>
      <c r="D10229" t="s">
        <v>176</v>
      </c>
      <c r="E10229">
        <v>2520</v>
      </c>
      <c r="F10229">
        <v>3</v>
      </c>
      <c r="G10229">
        <v>3</v>
      </c>
      <c r="H10229">
        <f>_xlfn.XLOOKUP(FACT_IMPORTS[[#This Row],[hts_6]],DIM_PRODUCTS[hts_6],DIM_PRODUCTS[hts_4],,,)</f>
        <v>8542</v>
      </c>
      <c r="I10229" t="str" cm="1">
        <f t="array" ref="I10229">_xlfn.XLOOKUP(FACT_IMPORTS[[#This Row],[country_name]],DIM_COUNTRY[[#All],[Column2]],DIM_COUNTRY[[#All],[Column3]],,,)</f>
        <v>USMCA</v>
      </c>
    </row>
    <row r="10230" spans="1:9" x14ac:dyDescent="0.4">
      <c r="A10230" t="s">
        <v>64</v>
      </c>
      <c r="B10230" s="1">
        <v>45627</v>
      </c>
      <c r="C10230">
        <v>854430</v>
      </c>
      <c r="D10230" t="s">
        <v>176</v>
      </c>
      <c r="E10230">
        <v>389808</v>
      </c>
      <c r="F10230">
        <v>35600</v>
      </c>
      <c r="G10230">
        <v>6209</v>
      </c>
      <c r="H10230">
        <f>_xlfn.XLOOKUP(FACT_IMPORTS[[#This Row],[hts_6]],DIM_PRODUCTS[hts_6],DIM_PRODUCTS[hts_4],,,)</f>
        <v>8544</v>
      </c>
      <c r="I10230" t="str" cm="1">
        <f t="array" ref="I10230">_xlfn.XLOOKUP(FACT_IMPORTS[[#This Row],[country_name]],DIM_COUNTRY[[#All],[Column2]],DIM_COUNTRY[[#All],[Column3]],,,)</f>
        <v>USMCA</v>
      </c>
    </row>
    <row r="10231" spans="1:9" x14ac:dyDescent="0.4">
      <c r="A10231" t="s">
        <v>64</v>
      </c>
      <c r="B10231" s="1">
        <v>45627</v>
      </c>
      <c r="C10231">
        <v>870810</v>
      </c>
      <c r="D10231" t="s">
        <v>176</v>
      </c>
      <c r="E10231">
        <v>6313</v>
      </c>
      <c r="F10231">
        <v>47</v>
      </c>
      <c r="G10231">
        <v>4</v>
      </c>
      <c r="H10231">
        <f>_xlfn.XLOOKUP(FACT_IMPORTS[[#This Row],[hts_6]],DIM_PRODUCTS[hts_6],DIM_PRODUCTS[hts_4],,,)</f>
        <v>8708</v>
      </c>
      <c r="I10231" t="str" cm="1">
        <f t="array" ref="I10231">_xlfn.XLOOKUP(FACT_IMPORTS[[#This Row],[country_name]],DIM_COUNTRY[[#All],[Column2]],DIM_COUNTRY[[#All],[Column3]],,,)</f>
        <v>USMCA</v>
      </c>
    </row>
    <row r="10232" spans="1:9" x14ac:dyDescent="0.4">
      <c r="A10232" t="s">
        <v>64</v>
      </c>
      <c r="B10232" s="1">
        <v>45627</v>
      </c>
      <c r="C10232">
        <v>870822</v>
      </c>
      <c r="D10232" t="s">
        <v>176</v>
      </c>
      <c r="E10232">
        <v>0</v>
      </c>
      <c r="F10232">
        <v>0</v>
      </c>
      <c r="G10232">
        <v>0</v>
      </c>
      <c r="H10232">
        <f>_xlfn.XLOOKUP(FACT_IMPORTS[[#This Row],[hts_6]],DIM_PRODUCTS[hts_6],DIM_PRODUCTS[hts_4],,,)</f>
        <v>8708</v>
      </c>
      <c r="I10232" t="str" cm="1">
        <f t="array" ref="I10232">_xlfn.XLOOKUP(FACT_IMPORTS[[#This Row],[country_name]],DIM_COUNTRY[[#All],[Column2]],DIM_COUNTRY[[#All],[Column3]],,,)</f>
        <v>USMCA</v>
      </c>
    </row>
    <row r="10233" spans="1:9" x14ac:dyDescent="0.4">
      <c r="A10233" t="s">
        <v>64</v>
      </c>
      <c r="B10233" s="1">
        <v>45627</v>
      </c>
      <c r="C10233">
        <v>870829</v>
      </c>
      <c r="D10233" t="s">
        <v>176</v>
      </c>
      <c r="E10233">
        <v>1403545</v>
      </c>
      <c r="F10233">
        <v>143013</v>
      </c>
      <c r="G10233">
        <v>24134</v>
      </c>
      <c r="H10233">
        <f>_xlfn.XLOOKUP(FACT_IMPORTS[[#This Row],[hts_6]],DIM_PRODUCTS[hts_6],DIM_PRODUCTS[hts_4],,,)</f>
        <v>8708</v>
      </c>
      <c r="I10233" t="str" cm="1">
        <f t="array" ref="I10233">_xlfn.XLOOKUP(FACT_IMPORTS[[#This Row],[country_name]],DIM_COUNTRY[[#All],[Column2]],DIM_COUNTRY[[#All],[Column3]],,,)</f>
        <v>USMCA</v>
      </c>
    </row>
    <row r="10234" spans="1:9" x14ac:dyDescent="0.4">
      <c r="A10234" t="s">
        <v>64</v>
      </c>
      <c r="B10234" s="1">
        <v>45627</v>
      </c>
      <c r="C10234">
        <v>870830</v>
      </c>
      <c r="D10234" t="s">
        <v>176</v>
      </c>
      <c r="E10234">
        <v>398487</v>
      </c>
      <c r="F10234">
        <v>7103</v>
      </c>
      <c r="G10234">
        <v>2861</v>
      </c>
      <c r="H10234">
        <f>_xlfn.XLOOKUP(FACT_IMPORTS[[#This Row],[hts_6]],DIM_PRODUCTS[hts_6],DIM_PRODUCTS[hts_4],,,)</f>
        <v>8708</v>
      </c>
      <c r="I10234" t="str" cm="1">
        <f t="array" ref="I10234">_xlfn.XLOOKUP(FACT_IMPORTS[[#This Row],[country_name]],DIM_COUNTRY[[#All],[Column2]],DIM_COUNTRY[[#All],[Column3]],,,)</f>
        <v>USMCA</v>
      </c>
    </row>
    <row r="10235" spans="1:9" x14ac:dyDescent="0.4">
      <c r="A10235" t="s">
        <v>64</v>
      </c>
      <c r="B10235" s="1">
        <v>45627</v>
      </c>
      <c r="C10235">
        <v>870840</v>
      </c>
      <c r="D10235" t="s">
        <v>176</v>
      </c>
      <c r="E10235">
        <v>260150</v>
      </c>
      <c r="F10235">
        <v>3375</v>
      </c>
      <c r="G10235">
        <v>1178</v>
      </c>
      <c r="H10235">
        <f>_xlfn.XLOOKUP(FACT_IMPORTS[[#This Row],[hts_6]],DIM_PRODUCTS[hts_6],DIM_PRODUCTS[hts_4],,,)</f>
        <v>8708</v>
      </c>
      <c r="I10235" t="str" cm="1">
        <f t="array" ref="I10235">_xlfn.XLOOKUP(FACT_IMPORTS[[#This Row],[country_name]],DIM_COUNTRY[[#All],[Column2]],DIM_COUNTRY[[#All],[Column3]],,,)</f>
        <v>USMCA</v>
      </c>
    </row>
    <row r="10236" spans="1:9" x14ac:dyDescent="0.4">
      <c r="A10236" t="s">
        <v>64</v>
      </c>
      <c r="B10236" s="1">
        <v>45627</v>
      </c>
      <c r="C10236">
        <v>870850</v>
      </c>
      <c r="D10236" t="s">
        <v>176</v>
      </c>
      <c r="E10236">
        <v>52956</v>
      </c>
      <c r="F10236">
        <v>81</v>
      </c>
      <c r="G10236">
        <v>147</v>
      </c>
      <c r="H10236">
        <f>_xlfn.XLOOKUP(FACT_IMPORTS[[#This Row],[hts_6]],DIM_PRODUCTS[hts_6],DIM_PRODUCTS[hts_4],,,)</f>
        <v>8708</v>
      </c>
      <c r="I10236" t="str" cm="1">
        <f t="array" ref="I10236">_xlfn.XLOOKUP(FACT_IMPORTS[[#This Row],[country_name]],DIM_COUNTRY[[#All],[Column2]],DIM_COUNTRY[[#All],[Column3]],,,)</f>
        <v>USMCA</v>
      </c>
    </row>
    <row r="10237" spans="1:9" x14ac:dyDescent="0.4">
      <c r="A10237" t="s">
        <v>64</v>
      </c>
      <c r="B10237" s="1">
        <v>45627</v>
      </c>
      <c r="C10237">
        <v>870870</v>
      </c>
      <c r="D10237" t="s">
        <v>176</v>
      </c>
      <c r="E10237">
        <v>73224</v>
      </c>
      <c r="F10237">
        <v>1108</v>
      </c>
      <c r="G10237">
        <v>759</v>
      </c>
      <c r="H10237">
        <f>_xlfn.XLOOKUP(FACT_IMPORTS[[#This Row],[hts_6]],DIM_PRODUCTS[hts_6],DIM_PRODUCTS[hts_4],,,)</f>
        <v>8708</v>
      </c>
      <c r="I10237" t="str" cm="1">
        <f t="array" ref="I10237">_xlfn.XLOOKUP(FACT_IMPORTS[[#This Row],[country_name]],DIM_COUNTRY[[#All],[Column2]],DIM_COUNTRY[[#All],[Column3]],,,)</f>
        <v>USMCA</v>
      </c>
    </row>
    <row r="10238" spans="1:9" x14ac:dyDescent="0.4">
      <c r="A10238" t="s">
        <v>64</v>
      </c>
      <c r="B10238" s="1">
        <v>45627</v>
      </c>
      <c r="C10238">
        <v>870880</v>
      </c>
      <c r="D10238" t="s">
        <v>176</v>
      </c>
      <c r="E10238">
        <v>32903</v>
      </c>
      <c r="F10238">
        <v>1785</v>
      </c>
      <c r="G10238">
        <v>475</v>
      </c>
      <c r="H10238">
        <f>_xlfn.XLOOKUP(FACT_IMPORTS[[#This Row],[hts_6]],DIM_PRODUCTS[hts_6],DIM_PRODUCTS[hts_4],,,)</f>
        <v>8708</v>
      </c>
      <c r="I10238" t="str" cm="1">
        <f t="array" ref="I10238">_xlfn.XLOOKUP(FACT_IMPORTS[[#This Row],[country_name]],DIM_COUNTRY[[#All],[Column2]],DIM_COUNTRY[[#All],[Column3]],,,)</f>
        <v>USMCA</v>
      </c>
    </row>
    <row r="10239" spans="1:9" x14ac:dyDescent="0.4">
      <c r="A10239" t="s">
        <v>64</v>
      </c>
      <c r="B10239" s="1">
        <v>45627</v>
      </c>
      <c r="C10239">
        <v>870891</v>
      </c>
      <c r="D10239" t="s">
        <v>176</v>
      </c>
      <c r="E10239">
        <v>6428</v>
      </c>
      <c r="F10239">
        <v>64</v>
      </c>
      <c r="G10239">
        <v>2</v>
      </c>
      <c r="H10239">
        <f>_xlfn.XLOOKUP(FACT_IMPORTS[[#This Row],[hts_6]],DIM_PRODUCTS[hts_6],DIM_PRODUCTS[hts_4],,,)</f>
        <v>8708</v>
      </c>
      <c r="I10239" t="str" cm="1">
        <f t="array" ref="I10239">_xlfn.XLOOKUP(FACT_IMPORTS[[#This Row],[country_name]],DIM_COUNTRY[[#All],[Column2]],DIM_COUNTRY[[#All],[Column3]],,,)</f>
        <v>USMCA</v>
      </c>
    </row>
    <row r="10240" spans="1:9" x14ac:dyDescent="0.4">
      <c r="A10240" t="s">
        <v>64</v>
      </c>
      <c r="B10240" s="1">
        <v>45627</v>
      </c>
      <c r="C10240">
        <v>870892</v>
      </c>
      <c r="D10240" t="s">
        <v>176</v>
      </c>
      <c r="E10240">
        <v>6056</v>
      </c>
      <c r="F10240">
        <v>14</v>
      </c>
      <c r="G10240">
        <v>79</v>
      </c>
      <c r="H10240">
        <f>_xlfn.XLOOKUP(FACT_IMPORTS[[#This Row],[hts_6]],DIM_PRODUCTS[hts_6],DIM_PRODUCTS[hts_4],,,)</f>
        <v>8708</v>
      </c>
      <c r="I10240" t="str" cm="1">
        <f t="array" ref="I10240">_xlfn.XLOOKUP(FACT_IMPORTS[[#This Row],[country_name]],DIM_COUNTRY[[#All],[Column2]],DIM_COUNTRY[[#All],[Column3]],,,)</f>
        <v>USMCA</v>
      </c>
    </row>
    <row r="10241" spans="1:9" x14ac:dyDescent="0.4">
      <c r="A10241" t="s">
        <v>64</v>
      </c>
      <c r="B10241" s="1">
        <v>45627</v>
      </c>
      <c r="C10241">
        <v>870893</v>
      </c>
      <c r="D10241" t="s">
        <v>176</v>
      </c>
      <c r="E10241">
        <v>94846</v>
      </c>
      <c r="F10241">
        <v>2449</v>
      </c>
      <c r="G10241">
        <v>1356</v>
      </c>
      <c r="H10241">
        <f>_xlfn.XLOOKUP(FACT_IMPORTS[[#This Row],[hts_6]],DIM_PRODUCTS[hts_6],DIM_PRODUCTS[hts_4],,,)</f>
        <v>8708</v>
      </c>
      <c r="I10241" t="str" cm="1">
        <f t="array" ref="I10241">_xlfn.XLOOKUP(FACT_IMPORTS[[#This Row],[country_name]],DIM_COUNTRY[[#All],[Column2]],DIM_COUNTRY[[#All],[Column3]],,,)</f>
        <v>USMCA</v>
      </c>
    </row>
    <row r="10242" spans="1:9" x14ac:dyDescent="0.4">
      <c r="A10242" t="s">
        <v>64</v>
      </c>
      <c r="B10242" s="1">
        <v>45627</v>
      </c>
      <c r="C10242">
        <v>870894</v>
      </c>
      <c r="D10242" t="s">
        <v>176</v>
      </c>
      <c r="E10242">
        <v>83655</v>
      </c>
      <c r="F10242">
        <v>608</v>
      </c>
      <c r="G10242">
        <v>642</v>
      </c>
      <c r="H10242">
        <f>_xlfn.XLOOKUP(FACT_IMPORTS[[#This Row],[hts_6]],DIM_PRODUCTS[hts_6],DIM_PRODUCTS[hts_4],,,)</f>
        <v>8708</v>
      </c>
      <c r="I10242" t="str" cm="1">
        <f t="array" ref="I10242">_xlfn.XLOOKUP(FACT_IMPORTS[[#This Row],[country_name]],DIM_COUNTRY[[#All],[Column2]],DIM_COUNTRY[[#All],[Column3]],,,)</f>
        <v>USMCA</v>
      </c>
    </row>
    <row r="10243" spans="1:9" x14ac:dyDescent="0.4">
      <c r="A10243" t="s">
        <v>64</v>
      </c>
      <c r="B10243" s="1">
        <v>45627</v>
      </c>
      <c r="C10243">
        <v>870895</v>
      </c>
      <c r="D10243" t="s">
        <v>176</v>
      </c>
      <c r="E10243">
        <v>0</v>
      </c>
      <c r="F10243">
        <v>0</v>
      </c>
      <c r="G10243">
        <v>0</v>
      </c>
      <c r="H10243">
        <f>_xlfn.XLOOKUP(FACT_IMPORTS[[#This Row],[hts_6]],DIM_PRODUCTS[hts_6],DIM_PRODUCTS[hts_4],,,)</f>
        <v>8708</v>
      </c>
      <c r="I10243" t="str" cm="1">
        <f t="array" ref="I10243">_xlfn.XLOOKUP(FACT_IMPORTS[[#This Row],[country_name]],DIM_COUNTRY[[#All],[Column2]],DIM_COUNTRY[[#All],[Column3]],,,)</f>
        <v>USMCA</v>
      </c>
    </row>
    <row r="10244" spans="1:9" x14ac:dyDescent="0.4">
      <c r="A10244" t="s">
        <v>64</v>
      </c>
      <c r="B10244" s="1">
        <v>45627</v>
      </c>
      <c r="C10244">
        <v>870899</v>
      </c>
      <c r="D10244" t="s">
        <v>176</v>
      </c>
      <c r="E10244">
        <v>839595</v>
      </c>
      <c r="F10244">
        <v>6734</v>
      </c>
      <c r="G10244">
        <v>5838</v>
      </c>
      <c r="H10244">
        <f>_xlfn.XLOOKUP(FACT_IMPORTS[[#This Row],[hts_6]],DIM_PRODUCTS[hts_6],DIM_PRODUCTS[hts_4],,,)</f>
        <v>8708</v>
      </c>
      <c r="I10244" t="str" cm="1">
        <f t="array" ref="I10244">_xlfn.XLOOKUP(FACT_IMPORTS[[#This Row],[country_name]],DIM_COUNTRY[[#All],[Column2]],DIM_COUNTRY[[#All],[Column3]],,,)</f>
        <v>USMCA</v>
      </c>
    </row>
    <row r="10245" spans="1:9" x14ac:dyDescent="0.4">
      <c r="A10245" t="s">
        <v>64</v>
      </c>
      <c r="B10245" s="1">
        <v>45627</v>
      </c>
      <c r="C10245">
        <v>940120</v>
      </c>
      <c r="D10245" t="s">
        <v>176</v>
      </c>
      <c r="E10245">
        <v>49234</v>
      </c>
      <c r="F10245">
        <v>185</v>
      </c>
      <c r="G10245">
        <v>475</v>
      </c>
      <c r="H10245">
        <f>_xlfn.XLOOKUP(FACT_IMPORTS[[#This Row],[hts_6]],DIM_PRODUCTS[hts_6],DIM_PRODUCTS[hts_4],,,)</f>
        <v>9401</v>
      </c>
      <c r="I10245" t="str" cm="1">
        <f t="array" ref="I10245">_xlfn.XLOOKUP(FACT_IMPORTS[[#This Row],[country_name]],DIM_COUNTRY[[#All],[Column2]],DIM_COUNTRY[[#All],[Column3]],,,)</f>
        <v>USMCA</v>
      </c>
    </row>
    <row r="10246" spans="1:9" x14ac:dyDescent="0.4">
      <c r="A10246" t="s">
        <v>64</v>
      </c>
      <c r="B10246" s="1">
        <v>45658</v>
      </c>
      <c r="C10246">
        <v>392630</v>
      </c>
      <c r="D10246" t="s">
        <v>176</v>
      </c>
      <c r="E10246">
        <v>5515</v>
      </c>
      <c r="F10246">
        <v>240</v>
      </c>
      <c r="G10246">
        <v>530</v>
      </c>
      <c r="H10246">
        <f>_xlfn.XLOOKUP(FACT_IMPORTS[[#This Row],[hts_6]],DIM_PRODUCTS[hts_6],DIM_PRODUCTS[hts_4],,,)</f>
        <v>3926</v>
      </c>
      <c r="I10246" t="str" cm="1">
        <f t="array" ref="I10246">_xlfn.XLOOKUP(FACT_IMPORTS[[#This Row],[country_name]],DIM_COUNTRY[[#All],[Column2]],DIM_COUNTRY[[#All],[Column3]],,,)</f>
        <v>USMCA</v>
      </c>
    </row>
    <row r="10247" spans="1:9" x14ac:dyDescent="0.4">
      <c r="A10247" t="s">
        <v>64</v>
      </c>
      <c r="B10247" s="1">
        <v>45658</v>
      </c>
      <c r="C10247">
        <v>401110</v>
      </c>
      <c r="D10247" t="s">
        <v>176</v>
      </c>
      <c r="E10247">
        <v>46983</v>
      </c>
      <c r="F10247">
        <v>653</v>
      </c>
      <c r="G10247">
        <v>2122</v>
      </c>
      <c r="H10247">
        <f>_xlfn.XLOOKUP(FACT_IMPORTS[[#This Row],[hts_6]],DIM_PRODUCTS[hts_6],DIM_PRODUCTS[hts_4],,,)</f>
        <v>4011</v>
      </c>
      <c r="I10247" t="str" cm="1">
        <f t="array" ref="I10247">_xlfn.XLOOKUP(FACT_IMPORTS[[#This Row],[country_name]],DIM_COUNTRY[[#All],[Column2]],DIM_COUNTRY[[#All],[Column3]],,,)</f>
        <v>USMCA</v>
      </c>
    </row>
    <row r="10248" spans="1:9" x14ac:dyDescent="0.4">
      <c r="A10248" t="s">
        <v>64</v>
      </c>
      <c r="B10248" s="1">
        <v>45658</v>
      </c>
      <c r="C10248">
        <v>401120</v>
      </c>
      <c r="D10248" t="s">
        <v>176</v>
      </c>
      <c r="E10248">
        <v>0</v>
      </c>
      <c r="F10248">
        <v>0</v>
      </c>
      <c r="G10248">
        <v>0</v>
      </c>
      <c r="H10248">
        <f>_xlfn.XLOOKUP(FACT_IMPORTS[[#This Row],[hts_6]],DIM_PRODUCTS[hts_6],DIM_PRODUCTS[hts_4],,,)</f>
        <v>4011</v>
      </c>
      <c r="I10248" t="str" cm="1">
        <f t="array" ref="I10248">_xlfn.XLOOKUP(FACT_IMPORTS[[#This Row],[country_name]],DIM_COUNTRY[[#All],[Column2]],DIM_COUNTRY[[#All],[Column3]],,,)</f>
        <v>USMCA</v>
      </c>
    </row>
    <row r="10249" spans="1:9" x14ac:dyDescent="0.4">
      <c r="A10249" t="s">
        <v>64</v>
      </c>
      <c r="B10249" s="1">
        <v>45658</v>
      </c>
      <c r="C10249">
        <v>401190</v>
      </c>
      <c r="D10249" t="s">
        <v>176</v>
      </c>
      <c r="E10249">
        <v>0</v>
      </c>
      <c r="F10249">
        <v>0</v>
      </c>
      <c r="G10249">
        <v>0</v>
      </c>
      <c r="H10249">
        <f>_xlfn.XLOOKUP(FACT_IMPORTS[[#This Row],[hts_6]],DIM_PRODUCTS[hts_6],DIM_PRODUCTS[hts_4],,,)</f>
        <v>4011</v>
      </c>
      <c r="I10249" t="str" cm="1">
        <f t="array" ref="I10249">_xlfn.XLOOKUP(FACT_IMPORTS[[#This Row],[country_name]],DIM_COUNTRY[[#All],[Column2]],DIM_COUNTRY[[#All],[Column3]],,,)</f>
        <v>USMCA</v>
      </c>
    </row>
    <row r="10250" spans="1:9" x14ac:dyDescent="0.4">
      <c r="A10250" t="s">
        <v>64</v>
      </c>
      <c r="B10250" s="1">
        <v>45658</v>
      </c>
      <c r="C10250">
        <v>700711</v>
      </c>
      <c r="D10250" t="s">
        <v>176</v>
      </c>
      <c r="E10250">
        <v>0</v>
      </c>
      <c r="F10250">
        <v>0</v>
      </c>
      <c r="G10250">
        <v>0</v>
      </c>
      <c r="H10250">
        <f>_xlfn.XLOOKUP(FACT_IMPORTS[[#This Row],[hts_6]],DIM_PRODUCTS[hts_6],DIM_PRODUCTS[hts_4],,,)</f>
        <v>7007</v>
      </c>
      <c r="I10250" t="str" cm="1">
        <f t="array" ref="I10250">_xlfn.XLOOKUP(FACT_IMPORTS[[#This Row],[country_name]],DIM_COUNTRY[[#All],[Column2]],DIM_COUNTRY[[#All],[Column3]],,,)</f>
        <v>USMCA</v>
      </c>
    </row>
    <row r="10251" spans="1:9" x14ac:dyDescent="0.4">
      <c r="A10251" t="s">
        <v>64</v>
      </c>
      <c r="B10251" s="1">
        <v>45658</v>
      </c>
      <c r="C10251">
        <v>700721</v>
      </c>
      <c r="D10251" t="s">
        <v>176</v>
      </c>
      <c r="E10251">
        <v>0</v>
      </c>
      <c r="F10251">
        <v>0</v>
      </c>
      <c r="G10251">
        <v>0</v>
      </c>
      <c r="H10251">
        <f>_xlfn.XLOOKUP(FACT_IMPORTS[[#This Row],[hts_6]],DIM_PRODUCTS[hts_6],DIM_PRODUCTS[hts_4],,,)</f>
        <v>7007</v>
      </c>
      <c r="I10251" t="str" cm="1">
        <f t="array" ref="I10251">_xlfn.XLOOKUP(FACT_IMPORTS[[#This Row],[country_name]],DIM_COUNTRY[[#All],[Column2]],DIM_COUNTRY[[#All],[Column3]],,,)</f>
        <v>USMCA</v>
      </c>
    </row>
    <row r="10252" spans="1:9" x14ac:dyDescent="0.4">
      <c r="A10252" t="s">
        <v>64</v>
      </c>
      <c r="B10252" s="1">
        <v>45658</v>
      </c>
      <c r="C10252">
        <v>700910</v>
      </c>
      <c r="D10252" t="s">
        <v>176</v>
      </c>
      <c r="E10252">
        <v>2007</v>
      </c>
      <c r="F10252">
        <v>10</v>
      </c>
      <c r="G10252">
        <v>234</v>
      </c>
      <c r="H10252">
        <f>_xlfn.XLOOKUP(FACT_IMPORTS[[#This Row],[hts_6]],DIM_PRODUCTS[hts_6],DIM_PRODUCTS[hts_4],,,)</f>
        <v>7009</v>
      </c>
      <c r="I10252" t="str" cm="1">
        <f t="array" ref="I10252">_xlfn.XLOOKUP(FACT_IMPORTS[[#This Row],[country_name]],DIM_COUNTRY[[#All],[Column2]],DIM_COUNTRY[[#All],[Column3]],,,)</f>
        <v>USMCA</v>
      </c>
    </row>
    <row r="10253" spans="1:9" x14ac:dyDescent="0.4">
      <c r="A10253" t="s">
        <v>64</v>
      </c>
      <c r="B10253" s="1">
        <v>45658</v>
      </c>
      <c r="C10253">
        <v>732010</v>
      </c>
      <c r="D10253" t="s">
        <v>176</v>
      </c>
      <c r="E10253">
        <v>0</v>
      </c>
      <c r="F10253">
        <v>0</v>
      </c>
      <c r="G10253">
        <v>0</v>
      </c>
      <c r="H10253">
        <f>_xlfn.XLOOKUP(FACT_IMPORTS[[#This Row],[hts_6]],DIM_PRODUCTS[hts_6],DIM_PRODUCTS[hts_4],,,)</f>
        <v>7320</v>
      </c>
      <c r="I10253" t="str" cm="1">
        <f t="array" ref="I10253">_xlfn.XLOOKUP(FACT_IMPORTS[[#This Row],[country_name]],DIM_COUNTRY[[#All],[Column2]],DIM_COUNTRY[[#All],[Column3]],,,)</f>
        <v>USMCA</v>
      </c>
    </row>
    <row r="10254" spans="1:9" x14ac:dyDescent="0.4">
      <c r="A10254" t="s">
        <v>64</v>
      </c>
      <c r="B10254" s="1">
        <v>45658</v>
      </c>
      <c r="C10254">
        <v>830230</v>
      </c>
      <c r="D10254" t="s">
        <v>176</v>
      </c>
      <c r="E10254">
        <v>36838</v>
      </c>
      <c r="F10254">
        <v>801</v>
      </c>
      <c r="G10254">
        <v>1133</v>
      </c>
      <c r="H10254">
        <f>_xlfn.XLOOKUP(FACT_IMPORTS[[#This Row],[hts_6]],DIM_PRODUCTS[hts_6],DIM_PRODUCTS[hts_4],,,)</f>
        <v>8302</v>
      </c>
      <c r="I10254" t="str" cm="1">
        <f t="array" ref="I10254">_xlfn.XLOOKUP(FACT_IMPORTS[[#This Row],[country_name]],DIM_COUNTRY[[#All],[Column2]],DIM_COUNTRY[[#All],[Column3]],,,)</f>
        <v>USMCA</v>
      </c>
    </row>
    <row r="10255" spans="1:9" x14ac:dyDescent="0.4">
      <c r="A10255" t="s">
        <v>64</v>
      </c>
      <c r="B10255" s="1">
        <v>45658</v>
      </c>
      <c r="C10255">
        <v>840733</v>
      </c>
      <c r="D10255" t="s">
        <v>176</v>
      </c>
      <c r="E10255">
        <v>31215</v>
      </c>
      <c r="F10255">
        <v>6</v>
      </c>
      <c r="G10255">
        <v>313</v>
      </c>
      <c r="H10255">
        <f>_xlfn.XLOOKUP(FACT_IMPORTS[[#This Row],[hts_6]],DIM_PRODUCTS[hts_6],DIM_PRODUCTS[hts_4],,,)</f>
        <v>8407</v>
      </c>
      <c r="I10255" t="str" cm="1">
        <f t="array" ref="I10255">_xlfn.XLOOKUP(FACT_IMPORTS[[#This Row],[country_name]],DIM_COUNTRY[[#All],[Column2]],DIM_COUNTRY[[#All],[Column3]],,,)</f>
        <v>USMCA</v>
      </c>
    </row>
    <row r="10256" spans="1:9" x14ac:dyDescent="0.4">
      <c r="A10256" t="s">
        <v>64</v>
      </c>
      <c r="B10256" s="1">
        <v>45658</v>
      </c>
      <c r="C10256">
        <v>840734</v>
      </c>
      <c r="D10256" t="s">
        <v>176</v>
      </c>
      <c r="E10256">
        <v>62749</v>
      </c>
      <c r="F10256">
        <v>33</v>
      </c>
      <c r="G10256">
        <v>53</v>
      </c>
      <c r="H10256">
        <f>_xlfn.XLOOKUP(FACT_IMPORTS[[#This Row],[hts_6]],DIM_PRODUCTS[hts_6],DIM_PRODUCTS[hts_4],,,)</f>
        <v>8407</v>
      </c>
      <c r="I10256" t="str" cm="1">
        <f t="array" ref="I10256">_xlfn.XLOOKUP(FACT_IMPORTS[[#This Row],[country_name]],DIM_COUNTRY[[#All],[Column2]],DIM_COUNTRY[[#All],[Column3]],,,)</f>
        <v>USMCA</v>
      </c>
    </row>
    <row r="10257" spans="1:9" x14ac:dyDescent="0.4">
      <c r="A10257" t="s">
        <v>64</v>
      </c>
      <c r="B10257" s="1">
        <v>45658</v>
      </c>
      <c r="C10257">
        <v>840820</v>
      </c>
      <c r="D10257" t="s">
        <v>176</v>
      </c>
      <c r="E10257">
        <v>60510</v>
      </c>
      <c r="F10257">
        <v>11</v>
      </c>
      <c r="G10257">
        <v>161</v>
      </c>
      <c r="H10257">
        <f>_xlfn.XLOOKUP(FACT_IMPORTS[[#This Row],[hts_6]],DIM_PRODUCTS[hts_6],DIM_PRODUCTS[hts_4],,,)</f>
        <v>8408</v>
      </c>
      <c r="I10257" t="str" cm="1">
        <f t="array" ref="I10257">_xlfn.XLOOKUP(FACT_IMPORTS[[#This Row],[country_name]],DIM_COUNTRY[[#All],[Column2]],DIM_COUNTRY[[#All],[Column3]],,,)</f>
        <v>USMCA</v>
      </c>
    </row>
    <row r="10258" spans="1:9" x14ac:dyDescent="0.4">
      <c r="A10258" t="s">
        <v>64</v>
      </c>
      <c r="B10258" s="1">
        <v>45658</v>
      </c>
      <c r="C10258">
        <v>840890</v>
      </c>
      <c r="D10258" t="s">
        <v>176</v>
      </c>
      <c r="E10258">
        <v>50790</v>
      </c>
      <c r="F10258">
        <v>6</v>
      </c>
      <c r="G10258">
        <v>201</v>
      </c>
      <c r="H10258">
        <f>_xlfn.XLOOKUP(FACT_IMPORTS[[#This Row],[hts_6]],DIM_PRODUCTS[hts_6],DIM_PRODUCTS[hts_4],,,)</f>
        <v>8408</v>
      </c>
      <c r="I10258" t="str" cm="1">
        <f t="array" ref="I10258">_xlfn.XLOOKUP(FACT_IMPORTS[[#This Row],[country_name]],DIM_COUNTRY[[#All],[Column2]],DIM_COUNTRY[[#All],[Column3]],,,)</f>
        <v>USMCA</v>
      </c>
    </row>
    <row r="10259" spans="1:9" x14ac:dyDescent="0.4">
      <c r="A10259" t="s">
        <v>64</v>
      </c>
      <c r="B10259" s="1">
        <v>45658</v>
      </c>
      <c r="C10259">
        <v>840991</v>
      </c>
      <c r="D10259" t="s">
        <v>176</v>
      </c>
      <c r="E10259">
        <v>413733</v>
      </c>
      <c r="F10259">
        <v>16538</v>
      </c>
      <c r="G10259">
        <v>3733</v>
      </c>
      <c r="H10259">
        <f>_xlfn.XLOOKUP(FACT_IMPORTS[[#This Row],[hts_6]],DIM_PRODUCTS[hts_6],DIM_PRODUCTS[hts_4],,,)</f>
        <v>8409</v>
      </c>
      <c r="I10259" t="str" cm="1">
        <f t="array" ref="I10259">_xlfn.XLOOKUP(FACT_IMPORTS[[#This Row],[country_name]],DIM_COUNTRY[[#All],[Column2]],DIM_COUNTRY[[#All],[Column3]],,,)</f>
        <v>USMCA</v>
      </c>
    </row>
    <row r="10260" spans="1:9" x14ac:dyDescent="0.4">
      <c r="A10260" t="s">
        <v>64</v>
      </c>
      <c r="B10260" s="1">
        <v>45658</v>
      </c>
      <c r="C10260">
        <v>840999</v>
      </c>
      <c r="D10260" t="s">
        <v>176</v>
      </c>
      <c r="E10260">
        <v>89505</v>
      </c>
      <c r="F10260">
        <v>2476</v>
      </c>
      <c r="G10260">
        <v>2006</v>
      </c>
      <c r="H10260">
        <f>_xlfn.XLOOKUP(FACT_IMPORTS[[#This Row],[hts_6]],DIM_PRODUCTS[hts_6],DIM_PRODUCTS[hts_4],,,)</f>
        <v>8409</v>
      </c>
      <c r="I10260" t="str" cm="1">
        <f t="array" ref="I10260">_xlfn.XLOOKUP(FACT_IMPORTS[[#This Row],[country_name]],DIM_COUNTRY[[#All],[Column2]],DIM_COUNTRY[[#All],[Column3]],,,)</f>
        <v>USMCA</v>
      </c>
    </row>
    <row r="10261" spans="1:9" x14ac:dyDescent="0.4">
      <c r="A10261" t="s">
        <v>64</v>
      </c>
      <c r="B10261" s="1">
        <v>45658</v>
      </c>
      <c r="C10261">
        <v>841330</v>
      </c>
      <c r="D10261" t="s">
        <v>176</v>
      </c>
      <c r="E10261">
        <v>40447</v>
      </c>
      <c r="F10261">
        <v>103</v>
      </c>
      <c r="G10261">
        <v>738</v>
      </c>
      <c r="H10261">
        <f>_xlfn.XLOOKUP(FACT_IMPORTS[[#This Row],[hts_6]],DIM_PRODUCTS[hts_6],DIM_PRODUCTS[hts_4],,,)</f>
        <v>8413</v>
      </c>
      <c r="I10261" t="str" cm="1">
        <f t="array" ref="I10261">_xlfn.XLOOKUP(FACT_IMPORTS[[#This Row],[country_name]],DIM_COUNTRY[[#All],[Column2]],DIM_COUNTRY[[#All],[Column3]],,,)</f>
        <v>USMCA</v>
      </c>
    </row>
    <row r="10262" spans="1:9" x14ac:dyDescent="0.4">
      <c r="A10262" t="s">
        <v>64</v>
      </c>
      <c r="B10262" s="1">
        <v>45658</v>
      </c>
      <c r="C10262">
        <v>841520</v>
      </c>
      <c r="D10262" t="s">
        <v>176</v>
      </c>
      <c r="E10262">
        <v>0</v>
      </c>
      <c r="F10262">
        <v>0</v>
      </c>
      <c r="G10262">
        <v>0</v>
      </c>
      <c r="H10262">
        <f>_xlfn.XLOOKUP(FACT_IMPORTS[[#This Row],[hts_6]],DIM_PRODUCTS[hts_6],DIM_PRODUCTS[hts_4],,,)</f>
        <v>8415</v>
      </c>
      <c r="I10262" t="str" cm="1">
        <f t="array" ref="I10262">_xlfn.XLOOKUP(FACT_IMPORTS[[#This Row],[country_name]],DIM_COUNTRY[[#All],[Column2]],DIM_COUNTRY[[#All],[Column3]],,,)</f>
        <v>USMCA</v>
      </c>
    </row>
    <row r="10263" spans="1:9" x14ac:dyDescent="0.4">
      <c r="A10263" t="s">
        <v>64</v>
      </c>
      <c r="B10263" s="1">
        <v>45658</v>
      </c>
      <c r="C10263">
        <v>842132</v>
      </c>
      <c r="D10263" t="s">
        <v>176</v>
      </c>
      <c r="E10263">
        <v>133410</v>
      </c>
      <c r="F10263">
        <v>474</v>
      </c>
      <c r="G10263">
        <v>354</v>
      </c>
      <c r="H10263">
        <f>_xlfn.XLOOKUP(FACT_IMPORTS[[#This Row],[hts_6]],DIM_PRODUCTS[hts_6],DIM_PRODUCTS[hts_4],,,)</f>
        <v>8421</v>
      </c>
      <c r="I10263" t="str" cm="1">
        <f t="array" ref="I10263">_xlfn.XLOOKUP(FACT_IMPORTS[[#This Row],[country_name]],DIM_COUNTRY[[#All],[Column2]],DIM_COUNTRY[[#All],[Column3]],,,)</f>
        <v>USMCA</v>
      </c>
    </row>
    <row r="10264" spans="1:9" x14ac:dyDescent="0.4">
      <c r="A10264" t="s">
        <v>64</v>
      </c>
      <c r="B10264" s="1">
        <v>45658</v>
      </c>
      <c r="C10264">
        <v>848210</v>
      </c>
      <c r="D10264" t="s">
        <v>176</v>
      </c>
      <c r="E10264">
        <v>6018</v>
      </c>
      <c r="F10264">
        <v>1</v>
      </c>
      <c r="G10264">
        <v>1</v>
      </c>
      <c r="H10264">
        <f>_xlfn.XLOOKUP(FACT_IMPORTS[[#This Row],[hts_6]],DIM_PRODUCTS[hts_6],DIM_PRODUCTS[hts_4],,,)</f>
        <v>8482</v>
      </c>
      <c r="I10264" t="str" cm="1">
        <f t="array" ref="I10264">_xlfn.XLOOKUP(FACT_IMPORTS[[#This Row],[country_name]],DIM_COUNTRY[[#All],[Column2]],DIM_COUNTRY[[#All],[Column3]],,,)</f>
        <v>USMCA</v>
      </c>
    </row>
    <row r="10265" spans="1:9" x14ac:dyDescent="0.4">
      <c r="A10265" t="s">
        <v>64</v>
      </c>
      <c r="B10265" s="1">
        <v>45658</v>
      </c>
      <c r="C10265">
        <v>848220</v>
      </c>
      <c r="D10265" t="s">
        <v>176</v>
      </c>
      <c r="E10265">
        <v>3630</v>
      </c>
      <c r="F10265">
        <v>81</v>
      </c>
      <c r="G10265">
        <v>89</v>
      </c>
      <c r="H10265">
        <f>_xlfn.XLOOKUP(FACT_IMPORTS[[#This Row],[hts_6]],DIM_PRODUCTS[hts_6],DIM_PRODUCTS[hts_4],,,)</f>
        <v>8482</v>
      </c>
      <c r="I10265" t="str" cm="1">
        <f t="array" ref="I10265">_xlfn.XLOOKUP(FACT_IMPORTS[[#This Row],[country_name]],DIM_COUNTRY[[#All],[Column2]],DIM_COUNTRY[[#All],[Column3]],,,)</f>
        <v>USMCA</v>
      </c>
    </row>
    <row r="10266" spans="1:9" x14ac:dyDescent="0.4">
      <c r="A10266" t="s">
        <v>64</v>
      </c>
      <c r="B10266" s="1">
        <v>45658</v>
      </c>
      <c r="C10266">
        <v>848310</v>
      </c>
      <c r="D10266" t="s">
        <v>176</v>
      </c>
      <c r="E10266">
        <v>17178</v>
      </c>
      <c r="F10266">
        <v>2832</v>
      </c>
      <c r="G10266">
        <v>755</v>
      </c>
      <c r="H10266">
        <f>_xlfn.XLOOKUP(FACT_IMPORTS[[#This Row],[hts_6]],DIM_PRODUCTS[hts_6],DIM_PRODUCTS[hts_4],,,)</f>
        <v>8483</v>
      </c>
      <c r="I10266" t="str" cm="1">
        <f t="array" ref="I10266">_xlfn.XLOOKUP(FACT_IMPORTS[[#This Row],[country_name]],DIM_COUNTRY[[#All],[Column2]],DIM_COUNTRY[[#All],[Column3]],,,)</f>
        <v>USMCA</v>
      </c>
    </row>
    <row r="10267" spans="1:9" x14ac:dyDescent="0.4">
      <c r="A10267" t="s">
        <v>64</v>
      </c>
      <c r="B10267" s="1">
        <v>45658</v>
      </c>
      <c r="C10267">
        <v>850131</v>
      </c>
      <c r="D10267" t="s">
        <v>176</v>
      </c>
      <c r="E10267">
        <v>19317</v>
      </c>
      <c r="F10267">
        <v>125</v>
      </c>
      <c r="G10267">
        <v>151</v>
      </c>
      <c r="H10267">
        <f>_xlfn.XLOOKUP(FACT_IMPORTS[[#This Row],[hts_6]],DIM_PRODUCTS[hts_6],DIM_PRODUCTS[hts_4],,,)</f>
        <v>8501</v>
      </c>
      <c r="I10267" t="str" cm="1">
        <f t="array" ref="I10267">_xlfn.XLOOKUP(FACT_IMPORTS[[#This Row],[country_name]],DIM_COUNTRY[[#All],[Column2]],DIM_COUNTRY[[#All],[Column3]],,,)</f>
        <v>USMCA</v>
      </c>
    </row>
    <row r="10268" spans="1:9" x14ac:dyDescent="0.4">
      <c r="A10268" t="s">
        <v>64</v>
      </c>
      <c r="B10268" s="1">
        <v>45658</v>
      </c>
      <c r="C10268">
        <v>850132</v>
      </c>
      <c r="D10268" t="s">
        <v>176</v>
      </c>
      <c r="E10268">
        <v>0</v>
      </c>
      <c r="F10268">
        <v>0</v>
      </c>
      <c r="G10268">
        <v>0</v>
      </c>
      <c r="H10268">
        <f>_xlfn.XLOOKUP(FACT_IMPORTS[[#This Row],[hts_6]],DIM_PRODUCTS[hts_6],DIM_PRODUCTS[hts_4],,,)</f>
        <v>8501</v>
      </c>
      <c r="I10268" t="str" cm="1">
        <f t="array" ref="I10268">_xlfn.XLOOKUP(FACT_IMPORTS[[#This Row],[country_name]],DIM_COUNTRY[[#All],[Column2]],DIM_COUNTRY[[#All],[Column3]],,,)</f>
        <v>USMCA</v>
      </c>
    </row>
    <row r="10269" spans="1:9" x14ac:dyDescent="0.4">
      <c r="A10269" t="s">
        <v>64</v>
      </c>
      <c r="B10269" s="1">
        <v>45658</v>
      </c>
      <c r="C10269">
        <v>850134</v>
      </c>
      <c r="D10269" t="s">
        <v>176</v>
      </c>
      <c r="E10269">
        <v>0</v>
      </c>
      <c r="F10269">
        <v>0</v>
      </c>
      <c r="G10269">
        <v>0</v>
      </c>
      <c r="H10269">
        <f>_xlfn.XLOOKUP(FACT_IMPORTS[[#This Row],[hts_6]],DIM_PRODUCTS[hts_6],DIM_PRODUCTS[hts_4],,,)</f>
        <v>8501</v>
      </c>
      <c r="I10269" t="str" cm="1">
        <f t="array" ref="I10269">_xlfn.XLOOKUP(FACT_IMPORTS[[#This Row],[country_name]],DIM_COUNTRY[[#All],[Column2]],DIM_COUNTRY[[#All],[Column3]],,,)</f>
        <v>USMCA</v>
      </c>
    </row>
    <row r="10270" spans="1:9" x14ac:dyDescent="0.4">
      <c r="A10270" t="s">
        <v>64</v>
      </c>
      <c r="B10270" s="1">
        <v>45658</v>
      </c>
      <c r="C10270">
        <v>850152</v>
      </c>
      <c r="D10270" t="s">
        <v>176</v>
      </c>
      <c r="E10270">
        <v>32922</v>
      </c>
      <c r="F10270">
        <v>16</v>
      </c>
      <c r="G10270">
        <v>355</v>
      </c>
      <c r="H10270">
        <f>_xlfn.XLOOKUP(FACT_IMPORTS[[#This Row],[hts_6]],DIM_PRODUCTS[hts_6],DIM_PRODUCTS[hts_4],,,)</f>
        <v>8501</v>
      </c>
      <c r="I10270" t="str" cm="1">
        <f t="array" ref="I10270">_xlfn.XLOOKUP(FACT_IMPORTS[[#This Row],[country_name]],DIM_COUNTRY[[#All],[Column2]],DIM_COUNTRY[[#All],[Column3]],,,)</f>
        <v>USMCA</v>
      </c>
    </row>
    <row r="10271" spans="1:9" x14ac:dyDescent="0.4">
      <c r="A10271" t="s">
        <v>64</v>
      </c>
      <c r="B10271" s="1">
        <v>45658</v>
      </c>
      <c r="C10271">
        <v>850153</v>
      </c>
      <c r="D10271" t="s">
        <v>176</v>
      </c>
      <c r="E10271">
        <v>135000</v>
      </c>
      <c r="F10271">
        <v>9</v>
      </c>
      <c r="G10271">
        <v>221</v>
      </c>
      <c r="H10271">
        <f>_xlfn.XLOOKUP(FACT_IMPORTS[[#This Row],[hts_6]],DIM_PRODUCTS[hts_6],DIM_PRODUCTS[hts_4],,,)</f>
        <v>8501</v>
      </c>
      <c r="I10271" t="str" cm="1">
        <f t="array" ref="I10271">_xlfn.XLOOKUP(FACT_IMPORTS[[#This Row],[country_name]],DIM_COUNTRY[[#All],[Column2]],DIM_COUNTRY[[#All],[Column3]],,,)</f>
        <v>USMCA</v>
      </c>
    </row>
    <row r="10272" spans="1:9" x14ac:dyDescent="0.4">
      <c r="A10272" t="s">
        <v>64</v>
      </c>
      <c r="B10272" s="1">
        <v>45658</v>
      </c>
      <c r="C10272">
        <v>850440</v>
      </c>
      <c r="D10272" t="s">
        <v>176</v>
      </c>
      <c r="E10272">
        <v>145962</v>
      </c>
      <c r="F10272">
        <v>142</v>
      </c>
      <c r="G10272">
        <v>1173</v>
      </c>
      <c r="H10272">
        <f>_xlfn.XLOOKUP(FACT_IMPORTS[[#This Row],[hts_6]],DIM_PRODUCTS[hts_6],DIM_PRODUCTS[hts_4],,,)</f>
        <v>8504</v>
      </c>
      <c r="I10272" t="str" cm="1">
        <f t="array" ref="I10272">_xlfn.XLOOKUP(FACT_IMPORTS[[#This Row],[country_name]],DIM_COUNTRY[[#All],[Column2]],DIM_COUNTRY[[#All],[Column3]],,,)</f>
        <v>USMCA</v>
      </c>
    </row>
    <row r="10273" spans="1:9" x14ac:dyDescent="0.4">
      <c r="A10273" t="s">
        <v>64</v>
      </c>
      <c r="B10273" s="1">
        <v>45658</v>
      </c>
      <c r="C10273">
        <v>850710</v>
      </c>
      <c r="D10273" t="s">
        <v>176</v>
      </c>
      <c r="E10273">
        <v>0</v>
      </c>
      <c r="F10273">
        <v>0</v>
      </c>
      <c r="G10273">
        <v>0</v>
      </c>
      <c r="H10273">
        <f>_xlfn.XLOOKUP(FACT_IMPORTS[[#This Row],[hts_6]],DIM_PRODUCTS[hts_6],DIM_PRODUCTS[hts_4],,,)</f>
        <v>8507</v>
      </c>
      <c r="I10273" t="str" cm="1">
        <f t="array" ref="I10273">_xlfn.XLOOKUP(FACT_IMPORTS[[#This Row],[country_name]],DIM_COUNTRY[[#All],[Column2]],DIM_COUNTRY[[#All],[Column3]],,,)</f>
        <v>USMCA</v>
      </c>
    </row>
    <row r="10274" spans="1:9" x14ac:dyDescent="0.4">
      <c r="A10274" t="s">
        <v>64</v>
      </c>
      <c r="B10274" s="1">
        <v>45658</v>
      </c>
      <c r="C10274">
        <v>850760</v>
      </c>
      <c r="D10274" t="s">
        <v>176</v>
      </c>
      <c r="E10274">
        <v>10351</v>
      </c>
      <c r="F10274">
        <v>77</v>
      </c>
      <c r="G10274">
        <v>221</v>
      </c>
      <c r="H10274">
        <f>_xlfn.XLOOKUP(FACT_IMPORTS[[#This Row],[hts_6]],DIM_PRODUCTS[hts_6],DIM_PRODUCTS[hts_4],,,)</f>
        <v>8507</v>
      </c>
      <c r="I10274" t="str" cm="1">
        <f t="array" ref="I10274">_xlfn.XLOOKUP(FACT_IMPORTS[[#This Row],[country_name]],DIM_COUNTRY[[#All],[Column2]],DIM_COUNTRY[[#All],[Column3]],,,)</f>
        <v>USMCA</v>
      </c>
    </row>
    <row r="10275" spans="1:9" x14ac:dyDescent="0.4">
      <c r="A10275" t="s">
        <v>64</v>
      </c>
      <c r="B10275" s="1">
        <v>45658</v>
      </c>
      <c r="C10275">
        <v>851110</v>
      </c>
      <c r="D10275" t="s">
        <v>176</v>
      </c>
      <c r="E10275">
        <v>2024</v>
      </c>
      <c r="F10275">
        <v>2</v>
      </c>
      <c r="G10275">
        <v>3</v>
      </c>
      <c r="H10275">
        <f>_xlfn.XLOOKUP(FACT_IMPORTS[[#This Row],[hts_6]],DIM_PRODUCTS[hts_6],DIM_PRODUCTS[hts_4],,,)</f>
        <v>8511</v>
      </c>
      <c r="I10275" t="str" cm="1">
        <f t="array" ref="I10275">_xlfn.XLOOKUP(FACT_IMPORTS[[#This Row],[country_name]],DIM_COUNTRY[[#All],[Column2]],DIM_COUNTRY[[#All],[Column3]],,,)</f>
        <v>USMCA</v>
      </c>
    </row>
    <row r="10276" spans="1:9" x14ac:dyDescent="0.4">
      <c r="A10276" t="s">
        <v>64</v>
      </c>
      <c r="B10276" s="1">
        <v>45658</v>
      </c>
      <c r="C10276">
        <v>851120</v>
      </c>
      <c r="D10276" t="s">
        <v>176</v>
      </c>
      <c r="E10276">
        <v>0</v>
      </c>
      <c r="F10276">
        <v>0</v>
      </c>
      <c r="G10276">
        <v>0</v>
      </c>
      <c r="H10276">
        <f>_xlfn.XLOOKUP(FACT_IMPORTS[[#This Row],[hts_6]],DIM_PRODUCTS[hts_6],DIM_PRODUCTS[hts_4],,,)</f>
        <v>8511</v>
      </c>
      <c r="I10276" t="str" cm="1">
        <f t="array" ref="I10276">_xlfn.XLOOKUP(FACT_IMPORTS[[#This Row],[country_name]],DIM_COUNTRY[[#All],[Column2]],DIM_COUNTRY[[#All],[Column3]],,,)</f>
        <v>USMCA</v>
      </c>
    </row>
    <row r="10277" spans="1:9" x14ac:dyDescent="0.4">
      <c r="A10277" t="s">
        <v>64</v>
      </c>
      <c r="B10277" s="1">
        <v>45658</v>
      </c>
      <c r="C10277">
        <v>851130</v>
      </c>
      <c r="D10277" t="s">
        <v>176</v>
      </c>
      <c r="E10277">
        <v>5459</v>
      </c>
      <c r="F10277">
        <v>42</v>
      </c>
      <c r="G10277">
        <v>11</v>
      </c>
      <c r="H10277">
        <f>_xlfn.XLOOKUP(FACT_IMPORTS[[#This Row],[hts_6]],DIM_PRODUCTS[hts_6],DIM_PRODUCTS[hts_4],,,)</f>
        <v>8511</v>
      </c>
      <c r="I10277" t="str" cm="1">
        <f t="array" ref="I10277">_xlfn.XLOOKUP(FACT_IMPORTS[[#This Row],[country_name]],DIM_COUNTRY[[#All],[Column2]],DIM_COUNTRY[[#All],[Column3]],,,)</f>
        <v>USMCA</v>
      </c>
    </row>
    <row r="10278" spans="1:9" x14ac:dyDescent="0.4">
      <c r="A10278" t="s">
        <v>64</v>
      </c>
      <c r="B10278" s="1">
        <v>45658</v>
      </c>
      <c r="C10278">
        <v>851140</v>
      </c>
      <c r="D10278" t="s">
        <v>176</v>
      </c>
      <c r="E10278">
        <v>42815</v>
      </c>
      <c r="F10278">
        <v>130</v>
      </c>
      <c r="G10278">
        <v>1248</v>
      </c>
      <c r="H10278">
        <f>_xlfn.XLOOKUP(FACT_IMPORTS[[#This Row],[hts_6]],DIM_PRODUCTS[hts_6],DIM_PRODUCTS[hts_4],,,)</f>
        <v>8511</v>
      </c>
      <c r="I10278" t="str" cm="1">
        <f t="array" ref="I10278">_xlfn.XLOOKUP(FACT_IMPORTS[[#This Row],[country_name]],DIM_COUNTRY[[#All],[Column2]],DIM_COUNTRY[[#All],[Column3]],,,)</f>
        <v>USMCA</v>
      </c>
    </row>
    <row r="10279" spans="1:9" x14ac:dyDescent="0.4">
      <c r="A10279" t="s">
        <v>64</v>
      </c>
      <c r="B10279" s="1">
        <v>45658</v>
      </c>
      <c r="C10279">
        <v>851150</v>
      </c>
      <c r="D10279" t="s">
        <v>176</v>
      </c>
      <c r="E10279">
        <v>18095</v>
      </c>
      <c r="F10279">
        <v>43</v>
      </c>
      <c r="G10279">
        <v>203</v>
      </c>
      <c r="H10279">
        <f>_xlfn.XLOOKUP(FACT_IMPORTS[[#This Row],[hts_6]],DIM_PRODUCTS[hts_6],DIM_PRODUCTS[hts_4],,,)</f>
        <v>8511</v>
      </c>
      <c r="I10279" t="str" cm="1">
        <f t="array" ref="I10279">_xlfn.XLOOKUP(FACT_IMPORTS[[#This Row],[country_name]],DIM_COUNTRY[[#All],[Column2]],DIM_COUNTRY[[#All],[Column3]],,,)</f>
        <v>USMCA</v>
      </c>
    </row>
    <row r="10280" spans="1:9" x14ac:dyDescent="0.4">
      <c r="A10280" t="s">
        <v>64</v>
      </c>
      <c r="B10280" s="1">
        <v>45658</v>
      </c>
      <c r="C10280">
        <v>851180</v>
      </c>
      <c r="D10280" t="s">
        <v>176</v>
      </c>
      <c r="E10280">
        <v>0</v>
      </c>
      <c r="F10280">
        <v>0</v>
      </c>
      <c r="G10280">
        <v>0</v>
      </c>
      <c r="H10280">
        <f>_xlfn.XLOOKUP(FACT_IMPORTS[[#This Row],[hts_6]],DIM_PRODUCTS[hts_6],DIM_PRODUCTS[hts_4],,,)</f>
        <v>8511</v>
      </c>
      <c r="I10280" t="str" cm="1">
        <f t="array" ref="I10280">_xlfn.XLOOKUP(FACT_IMPORTS[[#This Row],[country_name]],DIM_COUNTRY[[#All],[Column2]],DIM_COUNTRY[[#All],[Column3]],,,)</f>
        <v>USMCA</v>
      </c>
    </row>
    <row r="10281" spans="1:9" x14ac:dyDescent="0.4">
      <c r="A10281" t="s">
        <v>64</v>
      </c>
      <c r="B10281" s="1">
        <v>45658</v>
      </c>
      <c r="C10281">
        <v>851190</v>
      </c>
      <c r="D10281" t="s">
        <v>176</v>
      </c>
      <c r="E10281">
        <v>0</v>
      </c>
      <c r="F10281">
        <v>0</v>
      </c>
      <c r="G10281">
        <v>0</v>
      </c>
      <c r="H10281">
        <f>_xlfn.XLOOKUP(FACT_IMPORTS[[#This Row],[hts_6]],DIM_PRODUCTS[hts_6],DIM_PRODUCTS[hts_4],,,)</f>
        <v>8511</v>
      </c>
      <c r="I10281" t="str" cm="1">
        <f t="array" ref="I10281">_xlfn.XLOOKUP(FACT_IMPORTS[[#This Row],[country_name]],DIM_COUNTRY[[#All],[Column2]],DIM_COUNTRY[[#All],[Column3]],,,)</f>
        <v>USMCA</v>
      </c>
    </row>
    <row r="10282" spans="1:9" x14ac:dyDescent="0.4">
      <c r="A10282" t="s">
        <v>64</v>
      </c>
      <c r="B10282" s="1">
        <v>45658</v>
      </c>
      <c r="C10282">
        <v>851220</v>
      </c>
      <c r="D10282" t="s">
        <v>176</v>
      </c>
      <c r="E10282">
        <v>84027</v>
      </c>
      <c r="F10282">
        <v>1489</v>
      </c>
      <c r="G10282">
        <v>661</v>
      </c>
      <c r="H10282">
        <f>_xlfn.XLOOKUP(FACT_IMPORTS[[#This Row],[hts_6]],DIM_PRODUCTS[hts_6],DIM_PRODUCTS[hts_4],,,)</f>
        <v>8512</v>
      </c>
      <c r="I10282" t="str" cm="1">
        <f t="array" ref="I10282">_xlfn.XLOOKUP(FACT_IMPORTS[[#This Row],[country_name]],DIM_COUNTRY[[#All],[Column2]],DIM_COUNTRY[[#All],[Column3]],,,)</f>
        <v>USMCA</v>
      </c>
    </row>
    <row r="10283" spans="1:9" x14ac:dyDescent="0.4">
      <c r="A10283" t="s">
        <v>64</v>
      </c>
      <c r="B10283" s="1">
        <v>45658</v>
      </c>
      <c r="C10283">
        <v>851230</v>
      </c>
      <c r="D10283" t="s">
        <v>176</v>
      </c>
      <c r="E10283">
        <v>0</v>
      </c>
      <c r="F10283">
        <v>0</v>
      </c>
      <c r="G10283">
        <v>0</v>
      </c>
      <c r="H10283">
        <f>_xlfn.XLOOKUP(FACT_IMPORTS[[#This Row],[hts_6]],DIM_PRODUCTS[hts_6],DIM_PRODUCTS[hts_4],,,)</f>
        <v>8512</v>
      </c>
      <c r="I10283" t="str" cm="1">
        <f t="array" ref="I10283">_xlfn.XLOOKUP(FACT_IMPORTS[[#This Row],[country_name]],DIM_COUNTRY[[#All],[Column2]],DIM_COUNTRY[[#All],[Column3]],,,)</f>
        <v>USMCA</v>
      </c>
    </row>
    <row r="10284" spans="1:9" x14ac:dyDescent="0.4">
      <c r="A10284" t="s">
        <v>64</v>
      </c>
      <c r="B10284" s="1">
        <v>45658</v>
      </c>
      <c r="C10284">
        <v>851290</v>
      </c>
      <c r="D10284" t="s">
        <v>176</v>
      </c>
      <c r="E10284">
        <v>28093</v>
      </c>
      <c r="F10284">
        <v>935</v>
      </c>
      <c r="G10284">
        <v>287</v>
      </c>
      <c r="H10284">
        <f>_xlfn.XLOOKUP(FACT_IMPORTS[[#This Row],[hts_6]],DIM_PRODUCTS[hts_6],DIM_PRODUCTS[hts_4],,,)</f>
        <v>8512</v>
      </c>
      <c r="I10284" t="str" cm="1">
        <f t="array" ref="I10284">_xlfn.XLOOKUP(FACT_IMPORTS[[#This Row],[country_name]],DIM_COUNTRY[[#All],[Column2]],DIM_COUNTRY[[#All],[Column3]],,,)</f>
        <v>USMCA</v>
      </c>
    </row>
    <row r="10285" spans="1:9" x14ac:dyDescent="0.4">
      <c r="A10285" t="s">
        <v>64</v>
      </c>
      <c r="B10285" s="1">
        <v>45658</v>
      </c>
      <c r="C10285">
        <v>854231</v>
      </c>
      <c r="D10285" t="s">
        <v>176</v>
      </c>
      <c r="E10285">
        <v>0</v>
      </c>
      <c r="F10285">
        <v>0</v>
      </c>
      <c r="G10285">
        <v>0</v>
      </c>
      <c r="H10285">
        <f>_xlfn.XLOOKUP(FACT_IMPORTS[[#This Row],[hts_6]],DIM_PRODUCTS[hts_6],DIM_PRODUCTS[hts_4],,,)</f>
        <v>8542</v>
      </c>
      <c r="I10285" t="str" cm="1">
        <f t="array" ref="I10285">_xlfn.XLOOKUP(FACT_IMPORTS[[#This Row],[country_name]],DIM_COUNTRY[[#All],[Column2]],DIM_COUNTRY[[#All],[Column3]],,,)</f>
        <v>USMCA</v>
      </c>
    </row>
    <row r="10286" spans="1:9" x14ac:dyDescent="0.4">
      <c r="A10286" t="s">
        <v>64</v>
      </c>
      <c r="B10286" s="1">
        <v>45658</v>
      </c>
      <c r="C10286">
        <v>854232</v>
      </c>
      <c r="D10286" t="s">
        <v>176</v>
      </c>
      <c r="E10286">
        <v>0</v>
      </c>
      <c r="F10286">
        <v>0</v>
      </c>
      <c r="G10286">
        <v>0</v>
      </c>
      <c r="H10286">
        <f>_xlfn.XLOOKUP(FACT_IMPORTS[[#This Row],[hts_6]],DIM_PRODUCTS[hts_6],DIM_PRODUCTS[hts_4],,,)</f>
        <v>8542</v>
      </c>
      <c r="I10286" t="str" cm="1">
        <f t="array" ref="I10286">_xlfn.XLOOKUP(FACT_IMPORTS[[#This Row],[country_name]],DIM_COUNTRY[[#All],[Column2]],DIM_COUNTRY[[#All],[Column3]],,,)</f>
        <v>USMCA</v>
      </c>
    </row>
    <row r="10287" spans="1:9" x14ac:dyDescent="0.4">
      <c r="A10287" t="s">
        <v>64</v>
      </c>
      <c r="B10287" s="1">
        <v>45658</v>
      </c>
      <c r="C10287">
        <v>854290</v>
      </c>
      <c r="D10287" t="s">
        <v>176</v>
      </c>
      <c r="E10287">
        <v>4230</v>
      </c>
      <c r="F10287">
        <v>5</v>
      </c>
      <c r="G10287">
        <v>4</v>
      </c>
      <c r="H10287">
        <f>_xlfn.XLOOKUP(FACT_IMPORTS[[#This Row],[hts_6]],DIM_PRODUCTS[hts_6],DIM_PRODUCTS[hts_4],,,)</f>
        <v>8542</v>
      </c>
      <c r="I10287" t="str" cm="1">
        <f t="array" ref="I10287">_xlfn.XLOOKUP(FACT_IMPORTS[[#This Row],[country_name]],DIM_COUNTRY[[#All],[Column2]],DIM_COUNTRY[[#All],[Column3]],,,)</f>
        <v>USMCA</v>
      </c>
    </row>
    <row r="10288" spans="1:9" x14ac:dyDescent="0.4">
      <c r="A10288" t="s">
        <v>64</v>
      </c>
      <c r="B10288" s="1">
        <v>45658</v>
      </c>
      <c r="C10288">
        <v>854430</v>
      </c>
      <c r="D10288" t="s">
        <v>176</v>
      </c>
      <c r="E10288">
        <v>369831</v>
      </c>
      <c r="F10288">
        <v>31303</v>
      </c>
      <c r="G10288">
        <v>3499</v>
      </c>
      <c r="H10288">
        <f>_xlfn.XLOOKUP(FACT_IMPORTS[[#This Row],[hts_6]],DIM_PRODUCTS[hts_6],DIM_PRODUCTS[hts_4],,,)</f>
        <v>8544</v>
      </c>
      <c r="I10288" t="str" cm="1">
        <f t="array" ref="I10288">_xlfn.XLOOKUP(FACT_IMPORTS[[#This Row],[country_name]],DIM_COUNTRY[[#All],[Column2]],DIM_COUNTRY[[#All],[Column3]],,,)</f>
        <v>USMCA</v>
      </c>
    </row>
    <row r="10289" spans="1:9" x14ac:dyDescent="0.4">
      <c r="A10289" t="s">
        <v>64</v>
      </c>
      <c r="B10289" s="1">
        <v>45658</v>
      </c>
      <c r="C10289">
        <v>870790</v>
      </c>
      <c r="D10289" t="s">
        <v>176</v>
      </c>
      <c r="E10289">
        <v>0</v>
      </c>
      <c r="F10289">
        <v>0</v>
      </c>
      <c r="G10289">
        <v>0</v>
      </c>
      <c r="H10289">
        <f>_xlfn.XLOOKUP(FACT_IMPORTS[[#This Row],[hts_6]],DIM_PRODUCTS[hts_6],DIM_PRODUCTS[hts_4],,,)</f>
        <v>8707</v>
      </c>
      <c r="I10289" t="str" cm="1">
        <f t="array" ref="I10289">_xlfn.XLOOKUP(FACT_IMPORTS[[#This Row],[country_name]],DIM_COUNTRY[[#All],[Column2]],DIM_COUNTRY[[#All],[Column3]],,,)</f>
        <v>USMCA</v>
      </c>
    </row>
    <row r="10290" spans="1:9" x14ac:dyDescent="0.4">
      <c r="A10290" t="s">
        <v>64</v>
      </c>
      <c r="B10290" s="1">
        <v>45658</v>
      </c>
      <c r="C10290">
        <v>870810</v>
      </c>
      <c r="D10290" t="s">
        <v>176</v>
      </c>
      <c r="E10290">
        <v>13463</v>
      </c>
      <c r="F10290">
        <v>87</v>
      </c>
      <c r="G10290">
        <v>18</v>
      </c>
      <c r="H10290">
        <f>_xlfn.XLOOKUP(FACT_IMPORTS[[#This Row],[hts_6]],DIM_PRODUCTS[hts_6],DIM_PRODUCTS[hts_4],,,)</f>
        <v>8708</v>
      </c>
      <c r="I10290" t="str" cm="1">
        <f t="array" ref="I10290">_xlfn.XLOOKUP(FACT_IMPORTS[[#This Row],[country_name]],DIM_COUNTRY[[#All],[Column2]],DIM_COUNTRY[[#All],[Column3]],,,)</f>
        <v>USMCA</v>
      </c>
    </row>
    <row r="10291" spans="1:9" x14ac:dyDescent="0.4">
      <c r="A10291" t="s">
        <v>64</v>
      </c>
      <c r="B10291" s="1">
        <v>45658</v>
      </c>
      <c r="C10291">
        <v>870821</v>
      </c>
      <c r="D10291" t="s">
        <v>176</v>
      </c>
      <c r="E10291">
        <v>0</v>
      </c>
      <c r="F10291">
        <v>0</v>
      </c>
      <c r="G10291">
        <v>0</v>
      </c>
      <c r="H10291">
        <f>_xlfn.XLOOKUP(FACT_IMPORTS[[#This Row],[hts_6]],DIM_PRODUCTS[hts_6],DIM_PRODUCTS[hts_4],,,)</f>
        <v>8708</v>
      </c>
      <c r="I10291" t="str" cm="1">
        <f t="array" ref="I10291">_xlfn.XLOOKUP(FACT_IMPORTS[[#This Row],[country_name]],DIM_COUNTRY[[#All],[Column2]],DIM_COUNTRY[[#All],[Column3]],,,)</f>
        <v>USMCA</v>
      </c>
    </row>
    <row r="10292" spans="1:9" x14ac:dyDescent="0.4">
      <c r="A10292" t="s">
        <v>64</v>
      </c>
      <c r="B10292" s="1">
        <v>45658</v>
      </c>
      <c r="C10292">
        <v>870822</v>
      </c>
      <c r="D10292" t="s">
        <v>176</v>
      </c>
      <c r="E10292">
        <v>0</v>
      </c>
      <c r="F10292">
        <v>0</v>
      </c>
      <c r="G10292">
        <v>0</v>
      </c>
      <c r="H10292">
        <f>_xlfn.XLOOKUP(FACT_IMPORTS[[#This Row],[hts_6]],DIM_PRODUCTS[hts_6],DIM_PRODUCTS[hts_4],,,)</f>
        <v>8708</v>
      </c>
      <c r="I10292" t="str" cm="1">
        <f t="array" ref="I10292">_xlfn.XLOOKUP(FACT_IMPORTS[[#This Row],[country_name]],DIM_COUNTRY[[#All],[Column2]],DIM_COUNTRY[[#All],[Column3]],,,)</f>
        <v>USMCA</v>
      </c>
    </row>
    <row r="10293" spans="1:9" x14ac:dyDescent="0.4">
      <c r="A10293" t="s">
        <v>64</v>
      </c>
      <c r="B10293" s="1">
        <v>45658</v>
      </c>
      <c r="C10293">
        <v>870829</v>
      </c>
      <c r="D10293" t="s">
        <v>176</v>
      </c>
      <c r="E10293">
        <v>928743</v>
      </c>
      <c r="F10293">
        <v>20346</v>
      </c>
      <c r="G10293">
        <v>12795</v>
      </c>
      <c r="H10293">
        <f>_xlfn.XLOOKUP(FACT_IMPORTS[[#This Row],[hts_6]],DIM_PRODUCTS[hts_6],DIM_PRODUCTS[hts_4],,,)</f>
        <v>8708</v>
      </c>
      <c r="I10293" t="str" cm="1">
        <f t="array" ref="I10293">_xlfn.XLOOKUP(FACT_IMPORTS[[#This Row],[country_name]],DIM_COUNTRY[[#All],[Column2]],DIM_COUNTRY[[#All],[Column3]],,,)</f>
        <v>USMCA</v>
      </c>
    </row>
    <row r="10294" spans="1:9" x14ac:dyDescent="0.4">
      <c r="A10294" t="s">
        <v>64</v>
      </c>
      <c r="B10294" s="1">
        <v>45658</v>
      </c>
      <c r="C10294">
        <v>870830</v>
      </c>
      <c r="D10294" t="s">
        <v>176</v>
      </c>
      <c r="E10294">
        <v>670543</v>
      </c>
      <c r="F10294">
        <v>15345</v>
      </c>
      <c r="G10294">
        <v>1836</v>
      </c>
      <c r="H10294">
        <f>_xlfn.XLOOKUP(FACT_IMPORTS[[#This Row],[hts_6]],DIM_PRODUCTS[hts_6],DIM_PRODUCTS[hts_4],,,)</f>
        <v>8708</v>
      </c>
      <c r="I10294" t="str" cm="1">
        <f t="array" ref="I10294">_xlfn.XLOOKUP(FACT_IMPORTS[[#This Row],[country_name]],DIM_COUNTRY[[#All],[Column2]],DIM_COUNTRY[[#All],[Column3]],,,)</f>
        <v>USMCA</v>
      </c>
    </row>
    <row r="10295" spans="1:9" x14ac:dyDescent="0.4">
      <c r="A10295" t="s">
        <v>64</v>
      </c>
      <c r="B10295" s="1">
        <v>45658</v>
      </c>
      <c r="C10295">
        <v>870840</v>
      </c>
      <c r="D10295" t="s">
        <v>176</v>
      </c>
      <c r="E10295">
        <v>117981</v>
      </c>
      <c r="F10295">
        <v>318</v>
      </c>
      <c r="G10295">
        <v>961</v>
      </c>
      <c r="H10295">
        <f>_xlfn.XLOOKUP(FACT_IMPORTS[[#This Row],[hts_6]],DIM_PRODUCTS[hts_6],DIM_PRODUCTS[hts_4],,,)</f>
        <v>8708</v>
      </c>
      <c r="I10295" t="str" cm="1">
        <f t="array" ref="I10295">_xlfn.XLOOKUP(FACT_IMPORTS[[#This Row],[country_name]],DIM_COUNTRY[[#All],[Column2]],DIM_COUNTRY[[#All],[Column3]],,,)</f>
        <v>USMCA</v>
      </c>
    </row>
    <row r="10296" spans="1:9" x14ac:dyDescent="0.4">
      <c r="A10296" t="s">
        <v>64</v>
      </c>
      <c r="B10296" s="1">
        <v>45658</v>
      </c>
      <c r="C10296">
        <v>870850</v>
      </c>
      <c r="D10296" t="s">
        <v>176</v>
      </c>
      <c r="E10296">
        <v>62000</v>
      </c>
      <c r="F10296">
        <v>76</v>
      </c>
      <c r="G10296">
        <v>226</v>
      </c>
      <c r="H10296">
        <f>_xlfn.XLOOKUP(FACT_IMPORTS[[#This Row],[hts_6]],DIM_PRODUCTS[hts_6],DIM_PRODUCTS[hts_4],,,)</f>
        <v>8708</v>
      </c>
      <c r="I10296" t="str" cm="1">
        <f t="array" ref="I10296">_xlfn.XLOOKUP(FACT_IMPORTS[[#This Row],[country_name]],DIM_COUNTRY[[#All],[Column2]],DIM_COUNTRY[[#All],[Column3]],,,)</f>
        <v>USMCA</v>
      </c>
    </row>
    <row r="10297" spans="1:9" x14ac:dyDescent="0.4">
      <c r="A10297" t="s">
        <v>64</v>
      </c>
      <c r="B10297" s="1">
        <v>45658</v>
      </c>
      <c r="C10297">
        <v>870870</v>
      </c>
      <c r="D10297" t="s">
        <v>176</v>
      </c>
      <c r="E10297">
        <v>29354</v>
      </c>
      <c r="F10297">
        <v>872</v>
      </c>
      <c r="G10297">
        <v>616</v>
      </c>
      <c r="H10297">
        <f>_xlfn.XLOOKUP(FACT_IMPORTS[[#This Row],[hts_6]],DIM_PRODUCTS[hts_6],DIM_PRODUCTS[hts_4],,,)</f>
        <v>8708</v>
      </c>
      <c r="I10297" t="str" cm="1">
        <f t="array" ref="I10297">_xlfn.XLOOKUP(FACT_IMPORTS[[#This Row],[country_name]],DIM_COUNTRY[[#All],[Column2]],DIM_COUNTRY[[#All],[Column3]],,,)</f>
        <v>USMCA</v>
      </c>
    </row>
    <row r="10298" spans="1:9" x14ac:dyDescent="0.4">
      <c r="A10298" t="s">
        <v>64</v>
      </c>
      <c r="B10298" s="1">
        <v>45658</v>
      </c>
      <c r="C10298">
        <v>870880</v>
      </c>
      <c r="D10298" t="s">
        <v>176</v>
      </c>
      <c r="E10298">
        <v>94427</v>
      </c>
      <c r="F10298">
        <v>1837</v>
      </c>
      <c r="G10298">
        <v>2927</v>
      </c>
      <c r="H10298">
        <f>_xlfn.XLOOKUP(FACT_IMPORTS[[#This Row],[hts_6]],DIM_PRODUCTS[hts_6],DIM_PRODUCTS[hts_4],,,)</f>
        <v>8708</v>
      </c>
      <c r="I10298" t="str" cm="1">
        <f t="array" ref="I10298">_xlfn.XLOOKUP(FACT_IMPORTS[[#This Row],[country_name]],DIM_COUNTRY[[#All],[Column2]],DIM_COUNTRY[[#All],[Column3]],,,)</f>
        <v>USMCA</v>
      </c>
    </row>
    <row r="10299" spans="1:9" x14ac:dyDescent="0.4">
      <c r="A10299" t="s">
        <v>64</v>
      </c>
      <c r="B10299" s="1">
        <v>45658</v>
      </c>
      <c r="C10299">
        <v>870891</v>
      </c>
      <c r="D10299" t="s">
        <v>176</v>
      </c>
      <c r="E10299">
        <v>44646</v>
      </c>
      <c r="F10299">
        <v>130</v>
      </c>
      <c r="G10299">
        <v>1312</v>
      </c>
      <c r="H10299">
        <f>_xlfn.XLOOKUP(FACT_IMPORTS[[#This Row],[hts_6]],DIM_PRODUCTS[hts_6],DIM_PRODUCTS[hts_4],,,)</f>
        <v>8708</v>
      </c>
      <c r="I10299" t="str" cm="1">
        <f t="array" ref="I10299">_xlfn.XLOOKUP(FACT_IMPORTS[[#This Row],[country_name]],DIM_COUNTRY[[#All],[Column2]],DIM_COUNTRY[[#All],[Column3]],,,)</f>
        <v>USMCA</v>
      </c>
    </row>
    <row r="10300" spans="1:9" x14ac:dyDescent="0.4">
      <c r="A10300" t="s">
        <v>64</v>
      </c>
      <c r="B10300" s="1">
        <v>45658</v>
      </c>
      <c r="C10300">
        <v>870892</v>
      </c>
      <c r="D10300" t="s">
        <v>176</v>
      </c>
      <c r="E10300">
        <v>7356</v>
      </c>
      <c r="F10300">
        <v>27</v>
      </c>
      <c r="G10300">
        <v>65</v>
      </c>
      <c r="H10300">
        <f>_xlfn.XLOOKUP(FACT_IMPORTS[[#This Row],[hts_6]],DIM_PRODUCTS[hts_6],DIM_PRODUCTS[hts_4],,,)</f>
        <v>8708</v>
      </c>
      <c r="I10300" t="str" cm="1">
        <f t="array" ref="I10300">_xlfn.XLOOKUP(FACT_IMPORTS[[#This Row],[country_name]],DIM_COUNTRY[[#All],[Column2]],DIM_COUNTRY[[#All],[Column3]],,,)</f>
        <v>USMCA</v>
      </c>
    </row>
    <row r="10301" spans="1:9" x14ac:dyDescent="0.4">
      <c r="A10301" t="s">
        <v>64</v>
      </c>
      <c r="B10301" s="1">
        <v>45658</v>
      </c>
      <c r="C10301">
        <v>870893</v>
      </c>
      <c r="D10301" t="s">
        <v>176</v>
      </c>
      <c r="E10301">
        <v>28863</v>
      </c>
      <c r="F10301">
        <v>6018</v>
      </c>
      <c r="G10301">
        <v>2004</v>
      </c>
      <c r="H10301">
        <f>_xlfn.XLOOKUP(FACT_IMPORTS[[#This Row],[hts_6]],DIM_PRODUCTS[hts_6],DIM_PRODUCTS[hts_4],,,)</f>
        <v>8708</v>
      </c>
      <c r="I10301" t="str" cm="1">
        <f t="array" ref="I10301">_xlfn.XLOOKUP(FACT_IMPORTS[[#This Row],[country_name]],DIM_COUNTRY[[#All],[Column2]],DIM_COUNTRY[[#All],[Column3]],,,)</f>
        <v>USMCA</v>
      </c>
    </row>
    <row r="10302" spans="1:9" x14ac:dyDescent="0.4">
      <c r="A10302" t="s">
        <v>64</v>
      </c>
      <c r="B10302" s="1">
        <v>45658</v>
      </c>
      <c r="C10302">
        <v>870894</v>
      </c>
      <c r="D10302" t="s">
        <v>176</v>
      </c>
      <c r="E10302">
        <v>10061</v>
      </c>
      <c r="F10302">
        <v>30</v>
      </c>
      <c r="G10302">
        <v>34</v>
      </c>
      <c r="H10302">
        <f>_xlfn.XLOOKUP(FACT_IMPORTS[[#This Row],[hts_6]],DIM_PRODUCTS[hts_6],DIM_PRODUCTS[hts_4],,,)</f>
        <v>8708</v>
      </c>
      <c r="I10302" t="str" cm="1">
        <f t="array" ref="I10302">_xlfn.XLOOKUP(FACT_IMPORTS[[#This Row],[country_name]],DIM_COUNTRY[[#All],[Column2]],DIM_COUNTRY[[#All],[Column3]],,,)</f>
        <v>USMCA</v>
      </c>
    </row>
    <row r="10303" spans="1:9" x14ac:dyDescent="0.4">
      <c r="A10303" t="s">
        <v>64</v>
      </c>
      <c r="B10303" s="1">
        <v>45658</v>
      </c>
      <c r="C10303">
        <v>870895</v>
      </c>
      <c r="D10303" t="s">
        <v>176</v>
      </c>
      <c r="E10303">
        <v>0</v>
      </c>
      <c r="F10303">
        <v>0</v>
      </c>
      <c r="G10303">
        <v>0</v>
      </c>
      <c r="H10303">
        <f>_xlfn.XLOOKUP(FACT_IMPORTS[[#This Row],[hts_6]],DIM_PRODUCTS[hts_6],DIM_PRODUCTS[hts_4],,,)</f>
        <v>8708</v>
      </c>
      <c r="I10303" t="str" cm="1">
        <f t="array" ref="I10303">_xlfn.XLOOKUP(FACT_IMPORTS[[#This Row],[country_name]],DIM_COUNTRY[[#All],[Column2]],DIM_COUNTRY[[#All],[Column3]],,,)</f>
        <v>USMCA</v>
      </c>
    </row>
    <row r="10304" spans="1:9" x14ac:dyDescent="0.4">
      <c r="A10304" t="s">
        <v>64</v>
      </c>
      <c r="B10304" s="1">
        <v>45658</v>
      </c>
      <c r="C10304">
        <v>870899</v>
      </c>
      <c r="D10304" t="s">
        <v>176</v>
      </c>
      <c r="E10304">
        <v>760043</v>
      </c>
      <c r="F10304">
        <v>6732</v>
      </c>
      <c r="G10304">
        <v>4251</v>
      </c>
      <c r="H10304">
        <f>_xlfn.XLOOKUP(FACT_IMPORTS[[#This Row],[hts_6]],DIM_PRODUCTS[hts_6],DIM_PRODUCTS[hts_4],,,)</f>
        <v>8708</v>
      </c>
      <c r="I10304" t="str" cm="1">
        <f t="array" ref="I10304">_xlfn.XLOOKUP(FACT_IMPORTS[[#This Row],[country_name]],DIM_COUNTRY[[#All],[Column2]],DIM_COUNTRY[[#All],[Column3]],,,)</f>
        <v>USMCA</v>
      </c>
    </row>
    <row r="10305" spans="1:9" x14ac:dyDescent="0.4">
      <c r="A10305" t="s">
        <v>64</v>
      </c>
      <c r="B10305" s="1">
        <v>45658</v>
      </c>
      <c r="C10305">
        <v>940120</v>
      </c>
      <c r="D10305" t="s">
        <v>176</v>
      </c>
      <c r="E10305">
        <v>22907</v>
      </c>
      <c r="F10305">
        <v>177</v>
      </c>
      <c r="G10305">
        <v>79</v>
      </c>
      <c r="H10305">
        <f>_xlfn.XLOOKUP(FACT_IMPORTS[[#This Row],[hts_6]],DIM_PRODUCTS[hts_6],DIM_PRODUCTS[hts_4],,,)</f>
        <v>9401</v>
      </c>
      <c r="I10305" t="str" cm="1">
        <f t="array" ref="I10305">_xlfn.XLOOKUP(FACT_IMPORTS[[#This Row],[country_name]],DIM_COUNTRY[[#All],[Column2]],DIM_COUNTRY[[#All],[Column3]],,,)</f>
        <v>USMCA</v>
      </c>
    </row>
    <row r="10306" spans="1:9" x14ac:dyDescent="0.4">
      <c r="A10306" t="s">
        <v>64</v>
      </c>
      <c r="B10306" s="1">
        <v>45689</v>
      </c>
      <c r="C10306">
        <v>392630</v>
      </c>
      <c r="D10306" t="s">
        <v>176</v>
      </c>
      <c r="E10306">
        <v>2713</v>
      </c>
      <c r="F10306">
        <v>613</v>
      </c>
      <c r="G10306">
        <v>25</v>
      </c>
      <c r="H10306">
        <f>_xlfn.XLOOKUP(FACT_IMPORTS[[#This Row],[hts_6]],DIM_PRODUCTS[hts_6],DIM_PRODUCTS[hts_4],,,)</f>
        <v>3926</v>
      </c>
      <c r="I10306" t="str" cm="1">
        <f t="array" ref="I10306">_xlfn.XLOOKUP(FACT_IMPORTS[[#This Row],[country_name]],DIM_COUNTRY[[#All],[Column2]],DIM_COUNTRY[[#All],[Column3]],,,)</f>
        <v>USMCA</v>
      </c>
    </row>
    <row r="10307" spans="1:9" x14ac:dyDescent="0.4">
      <c r="A10307" t="s">
        <v>64</v>
      </c>
      <c r="B10307" s="1">
        <v>45689</v>
      </c>
      <c r="C10307">
        <v>401110</v>
      </c>
      <c r="D10307" t="s">
        <v>176</v>
      </c>
      <c r="E10307">
        <v>459</v>
      </c>
      <c r="F10307">
        <v>4</v>
      </c>
      <c r="G10307">
        <v>87</v>
      </c>
      <c r="H10307">
        <f>_xlfn.XLOOKUP(FACT_IMPORTS[[#This Row],[hts_6]],DIM_PRODUCTS[hts_6],DIM_PRODUCTS[hts_4],,,)</f>
        <v>4011</v>
      </c>
      <c r="I10307" t="str" cm="1">
        <f t="array" ref="I10307">_xlfn.XLOOKUP(FACT_IMPORTS[[#This Row],[country_name]],DIM_COUNTRY[[#All],[Column2]],DIM_COUNTRY[[#All],[Column3]],,,)</f>
        <v>USMCA</v>
      </c>
    </row>
    <row r="10308" spans="1:9" x14ac:dyDescent="0.4">
      <c r="A10308" t="s">
        <v>64</v>
      </c>
      <c r="B10308" s="1">
        <v>45689</v>
      </c>
      <c r="C10308">
        <v>401120</v>
      </c>
      <c r="D10308" t="s">
        <v>176</v>
      </c>
      <c r="E10308">
        <v>0</v>
      </c>
      <c r="F10308">
        <v>0</v>
      </c>
      <c r="G10308">
        <v>0</v>
      </c>
      <c r="H10308">
        <f>_xlfn.XLOOKUP(FACT_IMPORTS[[#This Row],[hts_6]],DIM_PRODUCTS[hts_6],DIM_PRODUCTS[hts_4],,,)</f>
        <v>4011</v>
      </c>
      <c r="I10308" t="str" cm="1">
        <f t="array" ref="I10308">_xlfn.XLOOKUP(FACT_IMPORTS[[#This Row],[country_name]],DIM_COUNTRY[[#All],[Column2]],DIM_COUNTRY[[#All],[Column3]],,,)</f>
        <v>USMCA</v>
      </c>
    </row>
    <row r="10309" spans="1:9" x14ac:dyDescent="0.4">
      <c r="A10309" t="s">
        <v>64</v>
      </c>
      <c r="B10309" s="1">
        <v>45689</v>
      </c>
      <c r="C10309">
        <v>401190</v>
      </c>
      <c r="D10309" t="s">
        <v>176</v>
      </c>
      <c r="E10309">
        <v>0</v>
      </c>
      <c r="F10309">
        <v>0</v>
      </c>
      <c r="G10309">
        <v>0</v>
      </c>
      <c r="H10309">
        <f>_xlfn.XLOOKUP(FACT_IMPORTS[[#This Row],[hts_6]],DIM_PRODUCTS[hts_6],DIM_PRODUCTS[hts_4],,,)</f>
        <v>4011</v>
      </c>
      <c r="I10309" t="str" cm="1">
        <f t="array" ref="I10309">_xlfn.XLOOKUP(FACT_IMPORTS[[#This Row],[country_name]],DIM_COUNTRY[[#All],[Column2]],DIM_COUNTRY[[#All],[Column3]],,,)</f>
        <v>USMCA</v>
      </c>
    </row>
    <row r="10310" spans="1:9" x14ac:dyDescent="0.4">
      <c r="A10310" t="s">
        <v>64</v>
      </c>
      <c r="B10310" s="1">
        <v>45689</v>
      </c>
      <c r="C10310">
        <v>700711</v>
      </c>
      <c r="D10310" t="s">
        <v>176</v>
      </c>
      <c r="E10310">
        <v>0</v>
      </c>
      <c r="F10310">
        <v>0</v>
      </c>
      <c r="G10310">
        <v>0</v>
      </c>
      <c r="H10310">
        <f>_xlfn.XLOOKUP(FACT_IMPORTS[[#This Row],[hts_6]],DIM_PRODUCTS[hts_6],DIM_PRODUCTS[hts_4],,,)</f>
        <v>7007</v>
      </c>
      <c r="I10310" t="str" cm="1">
        <f t="array" ref="I10310">_xlfn.XLOOKUP(FACT_IMPORTS[[#This Row],[country_name]],DIM_COUNTRY[[#All],[Column2]],DIM_COUNTRY[[#All],[Column3]],,,)</f>
        <v>USMCA</v>
      </c>
    </row>
    <row r="10311" spans="1:9" x14ac:dyDescent="0.4">
      <c r="A10311" t="s">
        <v>64</v>
      </c>
      <c r="B10311" s="1">
        <v>45689</v>
      </c>
      <c r="C10311">
        <v>700721</v>
      </c>
      <c r="D10311" t="s">
        <v>176</v>
      </c>
      <c r="E10311">
        <v>0</v>
      </c>
      <c r="F10311">
        <v>0</v>
      </c>
      <c r="G10311">
        <v>0</v>
      </c>
      <c r="H10311">
        <f>_xlfn.XLOOKUP(FACT_IMPORTS[[#This Row],[hts_6]],DIM_PRODUCTS[hts_6],DIM_PRODUCTS[hts_4],,,)</f>
        <v>7007</v>
      </c>
      <c r="I10311" t="str" cm="1">
        <f t="array" ref="I10311">_xlfn.XLOOKUP(FACT_IMPORTS[[#This Row],[country_name]],DIM_COUNTRY[[#All],[Column2]],DIM_COUNTRY[[#All],[Column3]],,,)</f>
        <v>USMCA</v>
      </c>
    </row>
    <row r="10312" spans="1:9" x14ac:dyDescent="0.4">
      <c r="A10312" t="s">
        <v>64</v>
      </c>
      <c r="B10312" s="1">
        <v>45689</v>
      </c>
      <c r="C10312">
        <v>700910</v>
      </c>
      <c r="D10312" t="s">
        <v>176</v>
      </c>
      <c r="E10312">
        <v>0</v>
      </c>
      <c r="F10312">
        <v>0</v>
      </c>
      <c r="G10312">
        <v>0</v>
      </c>
      <c r="H10312">
        <f>_xlfn.XLOOKUP(FACT_IMPORTS[[#This Row],[hts_6]],DIM_PRODUCTS[hts_6],DIM_PRODUCTS[hts_4],,,)</f>
        <v>7009</v>
      </c>
      <c r="I10312" t="str" cm="1">
        <f t="array" ref="I10312">_xlfn.XLOOKUP(FACT_IMPORTS[[#This Row],[country_name]],DIM_COUNTRY[[#All],[Column2]],DIM_COUNTRY[[#All],[Column3]],,,)</f>
        <v>USMCA</v>
      </c>
    </row>
    <row r="10313" spans="1:9" x14ac:dyDescent="0.4">
      <c r="A10313" t="s">
        <v>64</v>
      </c>
      <c r="B10313" s="1">
        <v>45689</v>
      </c>
      <c r="C10313">
        <v>732010</v>
      </c>
      <c r="D10313" t="s">
        <v>176</v>
      </c>
      <c r="E10313">
        <v>2319</v>
      </c>
      <c r="F10313">
        <v>42</v>
      </c>
      <c r="G10313">
        <v>5</v>
      </c>
      <c r="H10313">
        <f>_xlfn.XLOOKUP(FACT_IMPORTS[[#This Row],[hts_6]],DIM_PRODUCTS[hts_6],DIM_PRODUCTS[hts_4],,,)</f>
        <v>7320</v>
      </c>
      <c r="I10313" t="str" cm="1">
        <f t="array" ref="I10313">_xlfn.XLOOKUP(FACT_IMPORTS[[#This Row],[country_name]],DIM_COUNTRY[[#All],[Column2]],DIM_COUNTRY[[#All],[Column3]],,,)</f>
        <v>USMCA</v>
      </c>
    </row>
    <row r="10314" spans="1:9" x14ac:dyDescent="0.4">
      <c r="A10314" t="s">
        <v>64</v>
      </c>
      <c r="B10314" s="1">
        <v>45689</v>
      </c>
      <c r="C10314">
        <v>830230</v>
      </c>
      <c r="D10314" t="s">
        <v>176</v>
      </c>
      <c r="E10314">
        <v>29572</v>
      </c>
      <c r="F10314">
        <v>569</v>
      </c>
      <c r="G10314">
        <v>750</v>
      </c>
      <c r="H10314">
        <f>_xlfn.XLOOKUP(FACT_IMPORTS[[#This Row],[hts_6]],DIM_PRODUCTS[hts_6],DIM_PRODUCTS[hts_4],,,)</f>
        <v>8302</v>
      </c>
      <c r="I10314" t="str" cm="1">
        <f t="array" ref="I10314">_xlfn.XLOOKUP(FACT_IMPORTS[[#This Row],[country_name]],DIM_COUNTRY[[#All],[Column2]],DIM_COUNTRY[[#All],[Column3]],,,)</f>
        <v>USMCA</v>
      </c>
    </row>
    <row r="10315" spans="1:9" x14ac:dyDescent="0.4">
      <c r="A10315" t="s">
        <v>64</v>
      </c>
      <c r="B10315" s="1">
        <v>45689</v>
      </c>
      <c r="C10315">
        <v>840733</v>
      </c>
      <c r="D10315" t="s">
        <v>176</v>
      </c>
      <c r="E10315">
        <v>41966</v>
      </c>
      <c r="F10315">
        <v>6</v>
      </c>
      <c r="G10315">
        <v>614</v>
      </c>
      <c r="H10315">
        <f>_xlfn.XLOOKUP(FACT_IMPORTS[[#This Row],[hts_6]],DIM_PRODUCTS[hts_6],DIM_PRODUCTS[hts_4],,,)</f>
        <v>8407</v>
      </c>
      <c r="I10315" t="str" cm="1">
        <f t="array" ref="I10315">_xlfn.XLOOKUP(FACT_IMPORTS[[#This Row],[country_name]],DIM_COUNTRY[[#All],[Column2]],DIM_COUNTRY[[#All],[Column3]],,,)</f>
        <v>USMCA</v>
      </c>
    </row>
    <row r="10316" spans="1:9" x14ac:dyDescent="0.4">
      <c r="A10316" t="s">
        <v>64</v>
      </c>
      <c r="B10316" s="1">
        <v>45689</v>
      </c>
      <c r="C10316">
        <v>840734</v>
      </c>
      <c r="D10316" t="s">
        <v>176</v>
      </c>
      <c r="E10316">
        <v>339942</v>
      </c>
      <c r="F10316">
        <v>80</v>
      </c>
      <c r="G10316">
        <v>310</v>
      </c>
      <c r="H10316">
        <f>_xlfn.XLOOKUP(FACT_IMPORTS[[#This Row],[hts_6]],DIM_PRODUCTS[hts_6],DIM_PRODUCTS[hts_4],,,)</f>
        <v>8407</v>
      </c>
      <c r="I10316" t="str" cm="1">
        <f t="array" ref="I10316">_xlfn.XLOOKUP(FACT_IMPORTS[[#This Row],[country_name]],DIM_COUNTRY[[#All],[Column2]],DIM_COUNTRY[[#All],[Column3]],,,)</f>
        <v>USMCA</v>
      </c>
    </row>
    <row r="10317" spans="1:9" x14ac:dyDescent="0.4">
      <c r="A10317" t="s">
        <v>64</v>
      </c>
      <c r="B10317" s="1">
        <v>45689</v>
      </c>
      <c r="C10317">
        <v>840820</v>
      </c>
      <c r="D10317" t="s">
        <v>176</v>
      </c>
      <c r="E10317">
        <v>150052</v>
      </c>
      <c r="F10317">
        <v>11</v>
      </c>
      <c r="G10317">
        <v>203</v>
      </c>
      <c r="H10317">
        <f>_xlfn.XLOOKUP(FACT_IMPORTS[[#This Row],[hts_6]],DIM_PRODUCTS[hts_6],DIM_PRODUCTS[hts_4],,,)</f>
        <v>8408</v>
      </c>
      <c r="I10317" t="str" cm="1">
        <f t="array" ref="I10317">_xlfn.XLOOKUP(FACT_IMPORTS[[#This Row],[country_name]],DIM_COUNTRY[[#All],[Column2]],DIM_COUNTRY[[#All],[Column3]],,,)</f>
        <v>USMCA</v>
      </c>
    </row>
    <row r="10318" spans="1:9" x14ac:dyDescent="0.4">
      <c r="A10318" t="s">
        <v>64</v>
      </c>
      <c r="B10318" s="1">
        <v>45689</v>
      </c>
      <c r="C10318">
        <v>840890</v>
      </c>
      <c r="D10318" t="s">
        <v>176</v>
      </c>
      <c r="E10318">
        <v>0</v>
      </c>
      <c r="F10318">
        <v>0</v>
      </c>
      <c r="G10318">
        <v>0</v>
      </c>
      <c r="H10318">
        <f>_xlfn.XLOOKUP(FACT_IMPORTS[[#This Row],[hts_6]],DIM_PRODUCTS[hts_6],DIM_PRODUCTS[hts_4],,,)</f>
        <v>8408</v>
      </c>
      <c r="I10318" t="str" cm="1">
        <f t="array" ref="I10318">_xlfn.XLOOKUP(FACT_IMPORTS[[#This Row],[country_name]],DIM_COUNTRY[[#All],[Column2]],DIM_COUNTRY[[#All],[Column3]],,,)</f>
        <v>USMCA</v>
      </c>
    </row>
    <row r="10319" spans="1:9" x14ac:dyDescent="0.4">
      <c r="A10319" t="s">
        <v>64</v>
      </c>
      <c r="B10319" s="1">
        <v>45689</v>
      </c>
      <c r="C10319">
        <v>840991</v>
      </c>
      <c r="D10319" t="s">
        <v>176</v>
      </c>
      <c r="E10319">
        <v>501310</v>
      </c>
      <c r="F10319">
        <v>20899</v>
      </c>
      <c r="G10319">
        <v>2254</v>
      </c>
      <c r="H10319">
        <f>_xlfn.XLOOKUP(FACT_IMPORTS[[#This Row],[hts_6]],DIM_PRODUCTS[hts_6],DIM_PRODUCTS[hts_4],,,)</f>
        <v>8409</v>
      </c>
      <c r="I10319" t="str" cm="1">
        <f t="array" ref="I10319">_xlfn.XLOOKUP(FACT_IMPORTS[[#This Row],[country_name]],DIM_COUNTRY[[#All],[Column2]],DIM_COUNTRY[[#All],[Column3]],,,)</f>
        <v>USMCA</v>
      </c>
    </row>
    <row r="10320" spans="1:9" x14ac:dyDescent="0.4">
      <c r="A10320" t="s">
        <v>64</v>
      </c>
      <c r="B10320" s="1">
        <v>45689</v>
      </c>
      <c r="C10320">
        <v>840999</v>
      </c>
      <c r="D10320" t="s">
        <v>176</v>
      </c>
      <c r="E10320">
        <v>91211</v>
      </c>
      <c r="F10320">
        <v>1748</v>
      </c>
      <c r="G10320">
        <v>2227</v>
      </c>
      <c r="H10320">
        <f>_xlfn.XLOOKUP(FACT_IMPORTS[[#This Row],[hts_6]],DIM_PRODUCTS[hts_6],DIM_PRODUCTS[hts_4],,,)</f>
        <v>8409</v>
      </c>
      <c r="I10320" t="str" cm="1">
        <f t="array" ref="I10320">_xlfn.XLOOKUP(FACT_IMPORTS[[#This Row],[country_name]],DIM_COUNTRY[[#All],[Column2]],DIM_COUNTRY[[#All],[Column3]],,,)</f>
        <v>USMCA</v>
      </c>
    </row>
    <row r="10321" spans="1:9" x14ac:dyDescent="0.4">
      <c r="A10321" t="s">
        <v>64</v>
      </c>
      <c r="B10321" s="1">
        <v>45689</v>
      </c>
      <c r="C10321">
        <v>841330</v>
      </c>
      <c r="D10321" t="s">
        <v>176</v>
      </c>
      <c r="E10321">
        <v>73690</v>
      </c>
      <c r="F10321">
        <v>69</v>
      </c>
      <c r="G10321">
        <v>73</v>
      </c>
      <c r="H10321">
        <f>_xlfn.XLOOKUP(FACT_IMPORTS[[#This Row],[hts_6]],DIM_PRODUCTS[hts_6],DIM_PRODUCTS[hts_4],,,)</f>
        <v>8413</v>
      </c>
      <c r="I10321" t="str" cm="1">
        <f t="array" ref="I10321">_xlfn.XLOOKUP(FACT_IMPORTS[[#This Row],[country_name]],DIM_COUNTRY[[#All],[Column2]],DIM_COUNTRY[[#All],[Column3]],,,)</f>
        <v>USMCA</v>
      </c>
    </row>
    <row r="10322" spans="1:9" x14ac:dyDescent="0.4">
      <c r="A10322" t="s">
        <v>64</v>
      </c>
      <c r="B10322" s="1">
        <v>45689</v>
      </c>
      <c r="C10322">
        <v>841520</v>
      </c>
      <c r="D10322" t="s">
        <v>176</v>
      </c>
      <c r="E10322">
        <v>0</v>
      </c>
      <c r="F10322">
        <v>0</v>
      </c>
      <c r="G10322">
        <v>0</v>
      </c>
      <c r="H10322">
        <f>_xlfn.XLOOKUP(FACT_IMPORTS[[#This Row],[hts_6]],DIM_PRODUCTS[hts_6],DIM_PRODUCTS[hts_4],,,)</f>
        <v>8415</v>
      </c>
      <c r="I10322" t="str" cm="1">
        <f t="array" ref="I10322">_xlfn.XLOOKUP(FACT_IMPORTS[[#This Row],[country_name]],DIM_COUNTRY[[#All],[Column2]],DIM_COUNTRY[[#All],[Column3]],,,)</f>
        <v>USMCA</v>
      </c>
    </row>
    <row r="10323" spans="1:9" x14ac:dyDescent="0.4">
      <c r="A10323" t="s">
        <v>64</v>
      </c>
      <c r="B10323" s="1">
        <v>45689</v>
      </c>
      <c r="C10323">
        <v>842132</v>
      </c>
      <c r="D10323" t="s">
        <v>176</v>
      </c>
      <c r="E10323">
        <v>105763</v>
      </c>
      <c r="F10323">
        <v>315</v>
      </c>
      <c r="G10323">
        <v>2521</v>
      </c>
      <c r="H10323">
        <f>_xlfn.XLOOKUP(FACT_IMPORTS[[#This Row],[hts_6]],DIM_PRODUCTS[hts_6],DIM_PRODUCTS[hts_4],,,)</f>
        <v>8421</v>
      </c>
      <c r="I10323" t="str" cm="1">
        <f t="array" ref="I10323">_xlfn.XLOOKUP(FACT_IMPORTS[[#This Row],[country_name]],DIM_COUNTRY[[#All],[Column2]],DIM_COUNTRY[[#All],[Column3]],,,)</f>
        <v>USMCA</v>
      </c>
    </row>
    <row r="10324" spans="1:9" x14ac:dyDescent="0.4">
      <c r="A10324" t="s">
        <v>64</v>
      </c>
      <c r="B10324" s="1">
        <v>45689</v>
      </c>
      <c r="C10324">
        <v>848210</v>
      </c>
      <c r="D10324" t="s">
        <v>176</v>
      </c>
      <c r="E10324">
        <v>2400</v>
      </c>
      <c r="F10324">
        <v>12</v>
      </c>
      <c r="G10324">
        <v>18</v>
      </c>
      <c r="H10324">
        <f>_xlfn.XLOOKUP(FACT_IMPORTS[[#This Row],[hts_6]],DIM_PRODUCTS[hts_6],DIM_PRODUCTS[hts_4],,,)</f>
        <v>8482</v>
      </c>
      <c r="I10324" t="str" cm="1">
        <f t="array" ref="I10324">_xlfn.XLOOKUP(FACT_IMPORTS[[#This Row],[country_name]],DIM_COUNTRY[[#All],[Column2]],DIM_COUNTRY[[#All],[Column3]],,,)</f>
        <v>USMCA</v>
      </c>
    </row>
    <row r="10325" spans="1:9" x14ac:dyDescent="0.4">
      <c r="A10325" t="s">
        <v>64</v>
      </c>
      <c r="B10325" s="1">
        <v>45689</v>
      </c>
      <c r="C10325">
        <v>848220</v>
      </c>
      <c r="D10325" t="s">
        <v>176</v>
      </c>
      <c r="E10325">
        <v>0</v>
      </c>
      <c r="F10325">
        <v>0</v>
      </c>
      <c r="G10325">
        <v>0</v>
      </c>
      <c r="H10325">
        <f>_xlfn.XLOOKUP(FACT_IMPORTS[[#This Row],[hts_6]],DIM_PRODUCTS[hts_6],DIM_PRODUCTS[hts_4],,,)</f>
        <v>8482</v>
      </c>
      <c r="I10325" t="str" cm="1">
        <f t="array" ref="I10325">_xlfn.XLOOKUP(FACT_IMPORTS[[#This Row],[country_name]],DIM_COUNTRY[[#All],[Column2]],DIM_COUNTRY[[#All],[Column3]],,,)</f>
        <v>USMCA</v>
      </c>
    </row>
    <row r="10326" spans="1:9" x14ac:dyDescent="0.4">
      <c r="A10326" t="s">
        <v>64</v>
      </c>
      <c r="B10326" s="1">
        <v>45689</v>
      </c>
      <c r="C10326">
        <v>848310</v>
      </c>
      <c r="D10326" t="s">
        <v>176</v>
      </c>
      <c r="E10326">
        <v>128894</v>
      </c>
      <c r="F10326">
        <v>556</v>
      </c>
      <c r="G10326">
        <v>202</v>
      </c>
      <c r="H10326">
        <f>_xlfn.XLOOKUP(FACT_IMPORTS[[#This Row],[hts_6]],DIM_PRODUCTS[hts_6],DIM_PRODUCTS[hts_4],,,)</f>
        <v>8483</v>
      </c>
      <c r="I10326" t="str" cm="1">
        <f t="array" ref="I10326">_xlfn.XLOOKUP(FACT_IMPORTS[[#This Row],[country_name]],DIM_COUNTRY[[#All],[Column2]],DIM_COUNTRY[[#All],[Column3]],,,)</f>
        <v>USMCA</v>
      </c>
    </row>
    <row r="10327" spans="1:9" x14ac:dyDescent="0.4">
      <c r="A10327" t="s">
        <v>64</v>
      </c>
      <c r="B10327" s="1">
        <v>45689</v>
      </c>
      <c r="C10327">
        <v>850131</v>
      </c>
      <c r="D10327" t="s">
        <v>176</v>
      </c>
      <c r="E10327">
        <v>29204</v>
      </c>
      <c r="F10327">
        <v>765</v>
      </c>
      <c r="G10327">
        <v>1061</v>
      </c>
      <c r="H10327">
        <f>_xlfn.XLOOKUP(FACT_IMPORTS[[#This Row],[hts_6]],DIM_PRODUCTS[hts_6],DIM_PRODUCTS[hts_4],,,)</f>
        <v>8501</v>
      </c>
      <c r="I10327" t="str" cm="1">
        <f t="array" ref="I10327">_xlfn.XLOOKUP(FACT_IMPORTS[[#This Row],[country_name]],DIM_COUNTRY[[#All],[Column2]],DIM_COUNTRY[[#All],[Column3]],,,)</f>
        <v>USMCA</v>
      </c>
    </row>
    <row r="10328" spans="1:9" x14ac:dyDescent="0.4">
      <c r="A10328" t="s">
        <v>64</v>
      </c>
      <c r="B10328" s="1">
        <v>45689</v>
      </c>
      <c r="C10328">
        <v>850132</v>
      </c>
      <c r="D10328" t="s">
        <v>176</v>
      </c>
      <c r="E10328">
        <v>3562</v>
      </c>
      <c r="F10328">
        <v>3</v>
      </c>
      <c r="G10328">
        <v>181</v>
      </c>
      <c r="H10328">
        <f>_xlfn.XLOOKUP(FACT_IMPORTS[[#This Row],[hts_6]],DIM_PRODUCTS[hts_6],DIM_PRODUCTS[hts_4],,,)</f>
        <v>8501</v>
      </c>
      <c r="I10328" t="str" cm="1">
        <f t="array" ref="I10328">_xlfn.XLOOKUP(FACT_IMPORTS[[#This Row],[country_name]],DIM_COUNTRY[[#All],[Column2]],DIM_COUNTRY[[#All],[Column3]],,,)</f>
        <v>USMCA</v>
      </c>
    </row>
    <row r="10329" spans="1:9" x14ac:dyDescent="0.4">
      <c r="A10329" t="s">
        <v>64</v>
      </c>
      <c r="B10329" s="1">
        <v>45689</v>
      </c>
      <c r="C10329">
        <v>850134</v>
      </c>
      <c r="D10329" t="s">
        <v>176</v>
      </c>
      <c r="E10329">
        <v>0</v>
      </c>
      <c r="F10329">
        <v>0</v>
      </c>
      <c r="G10329">
        <v>0</v>
      </c>
      <c r="H10329">
        <f>_xlfn.XLOOKUP(FACT_IMPORTS[[#This Row],[hts_6]],DIM_PRODUCTS[hts_6],DIM_PRODUCTS[hts_4],,,)</f>
        <v>8501</v>
      </c>
      <c r="I10329" t="str" cm="1">
        <f t="array" ref="I10329">_xlfn.XLOOKUP(FACT_IMPORTS[[#This Row],[country_name]],DIM_COUNTRY[[#All],[Column2]],DIM_COUNTRY[[#All],[Column3]],,,)</f>
        <v>USMCA</v>
      </c>
    </row>
    <row r="10330" spans="1:9" x14ac:dyDescent="0.4">
      <c r="A10330" t="s">
        <v>64</v>
      </c>
      <c r="B10330" s="1">
        <v>45689</v>
      </c>
      <c r="C10330">
        <v>850152</v>
      </c>
      <c r="D10330" t="s">
        <v>176</v>
      </c>
      <c r="E10330">
        <v>8656</v>
      </c>
      <c r="F10330">
        <v>2</v>
      </c>
      <c r="G10330">
        <v>219</v>
      </c>
      <c r="H10330">
        <f>_xlfn.XLOOKUP(FACT_IMPORTS[[#This Row],[hts_6]],DIM_PRODUCTS[hts_6],DIM_PRODUCTS[hts_4],,,)</f>
        <v>8501</v>
      </c>
      <c r="I10330" t="str" cm="1">
        <f t="array" ref="I10330">_xlfn.XLOOKUP(FACT_IMPORTS[[#This Row],[country_name]],DIM_COUNTRY[[#All],[Column2]],DIM_COUNTRY[[#All],[Column3]],,,)</f>
        <v>USMCA</v>
      </c>
    </row>
    <row r="10331" spans="1:9" x14ac:dyDescent="0.4">
      <c r="A10331" t="s">
        <v>64</v>
      </c>
      <c r="B10331" s="1">
        <v>45689</v>
      </c>
      <c r="C10331">
        <v>850153</v>
      </c>
      <c r="D10331" t="s">
        <v>176</v>
      </c>
      <c r="E10331">
        <v>55000</v>
      </c>
      <c r="F10331">
        <v>9</v>
      </c>
      <c r="G10331">
        <v>24</v>
      </c>
      <c r="H10331">
        <f>_xlfn.XLOOKUP(FACT_IMPORTS[[#This Row],[hts_6]],DIM_PRODUCTS[hts_6],DIM_PRODUCTS[hts_4],,,)</f>
        <v>8501</v>
      </c>
      <c r="I10331" t="str" cm="1">
        <f t="array" ref="I10331">_xlfn.XLOOKUP(FACT_IMPORTS[[#This Row],[country_name]],DIM_COUNTRY[[#All],[Column2]],DIM_COUNTRY[[#All],[Column3]],,,)</f>
        <v>USMCA</v>
      </c>
    </row>
    <row r="10332" spans="1:9" x14ac:dyDescent="0.4">
      <c r="A10332" t="s">
        <v>64</v>
      </c>
      <c r="B10332" s="1">
        <v>45689</v>
      </c>
      <c r="C10332">
        <v>850440</v>
      </c>
      <c r="D10332" t="s">
        <v>176</v>
      </c>
      <c r="E10332">
        <v>322353</v>
      </c>
      <c r="F10332">
        <v>486</v>
      </c>
      <c r="G10332">
        <v>1357</v>
      </c>
      <c r="H10332">
        <f>_xlfn.XLOOKUP(FACT_IMPORTS[[#This Row],[hts_6]],DIM_PRODUCTS[hts_6],DIM_PRODUCTS[hts_4],,,)</f>
        <v>8504</v>
      </c>
      <c r="I10332" t="str" cm="1">
        <f t="array" ref="I10332">_xlfn.XLOOKUP(FACT_IMPORTS[[#This Row],[country_name]],DIM_COUNTRY[[#All],[Column2]],DIM_COUNTRY[[#All],[Column3]],,,)</f>
        <v>USMCA</v>
      </c>
    </row>
    <row r="10333" spans="1:9" x14ac:dyDescent="0.4">
      <c r="A10333" t="s">
        <v>64</v>
      </c>
      <c r="B10333" s="1">
        <v>45689</v>
      </c>
      <c r="C10333">
        <v>850710</v>
      </c>
      <c r="D10333" t="s">
        <v>176</v>
      </c>
      <c r="E10333">
        <v>0</v>
      </c>
      <c r="F10333">
        <v>0</v>
      </c>
      <c r="G10333">
        <v>0</v>
      </c>
      <c r="H10333">
        <f>_xlfn.XLOOKUP(FACT_IMPORTS[[#This Row],[hts_6]],DIM_PRODUCTS[hts_6],DIM_PRODUCTS[hts_4],,,)</f>
        <v>8507</v>
      </c>
      <c r="I10333" t="str" cm="1">
        <f t="array" ref="I10333">_xlfn.XLOOKUP(FACT_IMPORTS[[#This Row],[country_name]],DIM_COUNTRY[[#All],[Column2]],DIM_COUNTRY[[#All],[Column3]],,,)</f>
        <v>USMCA</v>
      </c>
    </row>
    <row r="10334" spans="1:9" x14ac:dyDescent="0.4">
      <c r="A10334" t="s">
        <v>64</v>
      </c>
      <c r="B10334" s="1">
        <v>45689</v>
      </c>
      <c r="C10334">
        <v>850760</v>
      </c>
      <c r="D10334" t="s">
        <v>176</v>
      </c>
      <c r="E10334">
        <v>0</v>
      </c>
      <c r="F10334">
        <v>0</v>
      </c>
      <c r="G10334">
        <v>0</v>
      </c>
      <c r="H10334">
        <f>_xlfn.XLOOKUP(FACT_IMPORTS[[#This Row],[hts_6]],DIM_PRODUCTS[hts_6],DIM_PRODUCTS[hts_4],,,)</f>
        <v>8507</v>
      </c>
      <c r="I10334" t="str" cm="1">
        <f t="array" ref="I10334">_xlfn.XLOOKUP(FACT_IMPORTS[[#This Row],[country_name]],DIM_COUNTRY[[#All],[Column2]],DIM_COUNTRY[[#All],[Column3]],,,)</f>
        <v>USMCA</v>
      </c>
    </row>
    <row r="10335" spans="1:9" x14ac:dyDescent="0.4">
      <c r="A10335" t="s">
        <v>64</v>
      </c>
      <c r="B10335" s="1">
        <v>45689</v>
      </c>
      <c r="C10335">
        <v>851110</v>
      </c>
      <c r="D10335" t="s">
        <v>176</v>
      </c>
      <c r="E10335">
        <v>0</v>
      </c>
      <c r="F10335">
        <v>0</v>
      </c>
      <c r="G10335">
        <v>0</v>
      </c>
      <c r="H10335">
        <f>_xlfn.XLOOKUP(FACT_IMPORTS[[#This Row],[hts_6]],DIM_PRODUCTS[hts_6],DIM_PRODUCTS[hts_4],,,)</f>
        <v>8511</v>
      </c>
      <c r="I10335" t="str" cm="1">
        <f t="array" ref="I10335">_xlfn.XLOOKUP(FACT_IMPORTS[[#This Row],[country_name]],DIM_COUNTRY[[#All],[Column2]],DIM_COUNTRY[[#All],[Column3]],,,)</f>
        <v>USMCA</v>
      </c>
    </row>
    <row r="10336" spans="1:9" x14ac:dyDescent="0.4">
      <c r="A10336" t="s">
        <v>64</v>
      </c>
      <c r="B10336" s="1">
        <v>45689</v>
      </c>
      <c r="C10336">
        <v>851120</v>
      </c>
      <c r="D10336" t="s">
        <v>176</v>
      </c>
      <c r="E10336">
        <v>0</v>
      </c>
      <c r="F10336">
        <v>0</v>
      </c>
      <c r="G10336">
        <v>0</v>
      </c>
      <c r="H10336">
        <f>_xlfn.XLOOKUP(FACT_IMPORTS[[#This Row],[hts_6]],DIM_PRODUCTS[hts_6],DIM_PRODUCTS[hts_4],,,)</f>
        <v>8511</v>
      </c>
      <c r="I10336" t="str" cm="1">
        <f t="array" ref="I10336">_xlfn.XLOOKUP(FACT_IMPORTS[[#This Row],[country_name]],DIM_COUNTRY[[#All],[Column2]],DIM_COUNTRY[[#All],[Column3]],,,)</f>
        <v>USMCA</v>
      </c>
    </row>
    <row r="10337" spans="1:9" x14ac:dyDescent="0.4">
      <c r="A10337" t="s">
        <v>64</v>
      </c>
      <c r="B10337" s="1">
        <v>45689</v>
      </c>
      <c r="C10337">
        <v>851130</v>
      </c>
      <c r="D10337" t="s">
        <v>176</v>
      </c>
      <c r="E10337">
        <v>0</v>
      </c>
      <c r="F10337">
        <v>0</v>
      </c>
      <c r="G10337">
        <v>0</v>
      </c>
      <c r="H10337">
        <f>_xlfn.XLOOKUP(FACT_IMPORTS[[#This Row],[hts_6]],DIM_PRODUCTS[hts_6],DIM_PRODUCTS[hts_4],,,)</f>
        <v>8511</v>
      </c>
      <c r="I10337" t="str" cm="1">
        <f t="array" ref="I10337">_xlfn.XLOOKUP(FACT_IMPORTS[[#This Row],[country_name]],DIM_COUNTRY[[#All],[Column2]],DIM_COUNTRY[[#All],[Column3]],,,)</f>
        <v>USMCA</v>
      </c>
    </row>
    <row r="10338" spans="1:9" x14ac:dyDescent="0.4">
      <c r="A10338" t="s">
        <v>64</v>
      </c>
      <c r="B10338" s="1">
        <v>45689</v>
      </c>
      <c r="C10338">
        <v>851140</v>
      </c>
      <c r="D10338" t="s">
        <v>176</v>
      </c>
      <c r="E10338">
        <v>61129</v>
      </c>
      <c r="F10338">
        <v>167</v>
      </c>
      <c r="G10338">
        <v>895</v>
      </c>
      <c r="H10338">
        <f>_xlfn.XLOOKUP(FACT_IMPORTS[[#This Row],[hts_6]],DIM_PRODUCTS[hts_6],DIM_PRODUCTS[hts_4],,,)</f>
        <v>8511</v>
      </c>
      <c r="I10338" t="str" cm="1">
        <f t="array" ref="I10338">_xlfn.XLOOKUP(FACT_IMPORTS[[#This Row],[country_name]],DIM_COUNTRY[[#All],[Column2]],DIM_COUNTRY[[#All],[Column3]],,,)</f>
        <v>USMCA</v>
      </c>
    </row>
    <row r="10339" spans="1:9" x14ac:dyDescent="0.4">
      <c r="A10339" t="s">
        <v>64</v>
      </c>
      <c r="B10339" s="1">
        <v>45689</v>
      </c>
      <c r="C10339">
        <v>851150</v>
      </c>
      <c r="D10339" t="s">
        <v>176</v>
      </c>
      <c r="E10339">
        <v>0</v>
      </c>
      <c r="F10339">
        <v>0</v>
      </c>
      <c r="G10339">
        <v>0</v>
      </c>
      <c r="H10339">
        <f>_xlfn.XLOOKUP(FACT_IMPORTS[[#This Row],[hts_6]],DIM_PRODUCTS[hts_6],DIM_PRODUCTS[hts_4],,,)</f>
        <v>8511</v>
      </c>
      <c r="I10339" t="str" cm="1">
        <f t="array" ref="I10339">_xlfn.XLOOKUP(FACT_IMPORTS[[#This Row],[country_name]],DIM_COUNTRY[[#All],[Column2]],DIM_COUNTRY[[#All],[Column3]],,,)</f>
        <v>USMCA</v>
      </c>
    </row>
    <row r="10340" spans="1:9" x14ac:dyDescent="0.4">
      <c r="A10340" t="s">
        <v>64</v>
      </c>
      <c r="B10340" s="1">
        <v>45689</v>
      </c>
      <c r="C10340">
        <v>851180</v>
      </c>
      <c r="D10340" t="s">
        <v>176</v>
      </c>
      <c r="E10340">
        <v>0</v>
      </c>
      <c r="F10340">
        <v>0</v>
      </c>
      <c r="G10340">
        <v>0</v>
      </c>
      <c r="H10340">
        <f>_xlfn.XLOOKUP(FACT_IMPORTS[[#This Row],[hts_6]],DIM_PRODUCTS[hts_6],DIM_PRODUCTS[hts_4],,,)</f>
        <v>8511</v>
      </c>
      <c r="I10340" t="str" cm="1">
        <f t="array" ref="I10340">_xlfn.XLOOKUP(FACT_IMPORTS[[#This Row],[country_name]],DIM_COUNTRY[[#All],[Column2]],DIM_COUNTRY[[#All],[Column3]],,,)</f>
        <v>USMCA</v>
      </c>
    </row>
    <row r="10341" spans="1:9" x14ac:dyDescent="0.4">
      <c r="A10341" t="s">
        <v>64</v>
      </c>
      <c r="B10341" s="1">
        <v>45689</v>
      </c>
      <c r="C10341">
        <v>851190</v>
      </c>
      <c r="D10341" t="s">
        <v>176</v>
      </c>
      <c r="E10341">
        <v>0</v>
      </c>
      <c r="F10341">
        <v>0</v>
      </c>
      <c r="G10341">
        <v>0</v>
      </c>
      <c r="H10341">
        <f>_xlfn.XLOOKUP(FACT_IMPORTS[[#This Row],[hts_6]],DIM_PRODUCTS[hts_6],DIM_PRODUCTS[hts_4],,,)</f>
        <v>8511</v>
      </c>
      <c r="I10341" t="str" cm="1">
        <f t="array" ref="I10341">_xlfn.XLOOKUP(FACT_IMPORTS[[#This Row],[country_name]],DIM_COUNTRY[[#All],[Column2]],DIM_COUNTRY[[#All],[Column3]],,,)</f>
        <v>USMCA</v>
      </c>
    </row>
    <row r="10342" spans="1:9" x14ac:dyDescent="0.4">
      <c r="A10342" t="s">
        <v>64</v>
      </c>
      <c r="B10342" s="1">
        <v>45689</v>
      </c>
      <c r="C10342">
        <v>851220</v>
      </c>
      <c r="D10342" t="s">
        <v>176</v>
      </c>
      <c r="E10342">
        <v>32075</v>
      </c>
      <c r="F10342">
        <v>156</v>
      </c>
      <c r="G10342">
        <v>56</v>
      </c>
      <c r="H10342">
        <f>_xlfn.XLOOKUP(FACT_IMPORTS[[#This Row],[hts_6]],DIM_PRODUCTS[hts_6],DIM_PRODUCTS[hts_4],,,)</f>
        <v>8512</v>
      </c>
      <c r="I10342" t="str" cm="1">
        <f t="array" ref="I10342">_xlfn.XLOOKUP(FACT_IMPORTS[[#This Row],[country_name]],DIM_COUNTRY[[#All],[Column2]],DIM_COUNTRY[[#All],[Column3]],,,)</f>
        <v>USMCA</v>
      </c>
    </row>
    <row r="10343" spans="1:9" x14ac:dyDescent="0.4">
      <c r="A10343" t="s">
        <v>64</v>
      </c>
      <c r="B10343" s="1">
        <v>45689</v>
      </c>
      <c r="C10343">
        <v>851230</v>
      </c>
      <c r="D10343" t="s">
        <v>176</v>
      </c>
      <c r="E10343">
        <v>0</v>
      </c>
      <c r="F10343">
        <v>0</v>
      </c>
      <c r="G10343">
        <v>0</v>
      </c>
      <c r="H10343">
        <f>_xlfn.XLOOKUP(FACT_IMPORTS[[#This Row],[hts_6]],DIM_PRODUCTS[hts_6],DIM_PRODUCTS[hts_4],,,)</f>
        <v>8512</v>
      </c>
      <c r="I10343" t="str" cm="1">
        <f t="array" ref="I10343">_xlfn.XLOOKUP(FACT_IMPORTS[[#This Row],[country_name]],DIM_COUNTRY[[#All],[Column2]],DIM_COUNTRY[[#All],[Column3]],,,)</f>
        <v>USMCA</v>
      </c>
    </row>
    <row r="10344" spans="1:9" x14ac:dyDescent="0.4">
      <c r="A10344" t="s">
        <v>64</v>
      </c>
      <c r="B10344" s="1">
        <v>45689</v>
      </c>
      <c r="C10344">
        <v>851290</v>
      </c>
      <c r="D10344" t="s">
        <v>176</v>
      </c>
      <c r="E10344">
        <v>0</v>
      </c>
      <c r="F10344">
        <v>0</v>
      </c>
      <c r="G10344">
        <v>0</v>
      </c>
      <c r="H10344">
        <f>_xlfn.XLOOKUP(FACT_IMPORTS[[#This Row],[hts_6]],DIM_PRODUCTS[hts_6],DIM_PRODUCTS[hts_4],,,)</f>
        <v>8512</v>
      </c>
      <c r="I10344" t="str" cm="1">
        <f t="array" ref="I10344">_xlfn.XLOOKUP(FACT_IMPORTS[[#This Row],[country_name]],DIM_COUNTRY[[#All],[Column2]],DIM_COUNTRY[[#All],[Column3]],,,)</f>
        <v>USMCA</v>
      </c>
    </row>
    <row r="10345" spans="1:9" x14ac:dyDescent="0.4">
      <c r="A10345" t="s">
        <v>64</v>
      </c>
      <c r="B10345" s="1">
        <v>45689</v>
      </c>
      <c r="C10345">
        <v>854231</v>
      </c>
      <c r="D10345" t="s">
        <v>176</v>
      </c>
      <c r="E10345">
        <v>0</v>
      </c>
      <c r="F10345">
        <v>0</v>
      </c>
      <c r="G10345">
        <v>0</v>
      </c>
      <c r="H10345">
        <f>_xlfn.XLOOKUP(FACT_IMPORTS[[#This Row],[hts_6]],DIM_PRODUCTS[hts_6],DIM_PRODUCTS[hts_4],,,)</f>
        <v>8542</v>
      </c>
      <c r="I10345" t="str" cm="1">
        <f t="array" ref="I10345">_xlfn.XLOOKUP(FACT_IMPORTS[[#This Row],[country_name]],DIM_COUNTRY[[#All],[Column2]],DIM_COUNTRY[[#All],[Column3]],,,)</f>
        <v>USMCA</v>
      </c>
    </row>
    <row r="10346" spans="1:9" x14ac:dyDescent="0.4">
      <c r="A10346" t="s">
        <v>64</v>
      </c>
      <c r="B10346" s="1">
        <v>45689</v>
      </c>
      <c r="C10346">
        <v>854232</v>
      </c>
      <c r="D10346" t="s">
        <v>176</v>
      </c>
      <c r="E10346">
        <v>0</v>
      </c>
      <c r="F10346">
        <v>0</v>
      </c>
      <c r="G10346">
        <v>0</v>
      </c>
      <c r="H10346">
        <f>_xlfn.XLOOKUP(FACT_IMPORTS[[#This Row],[hts_6]],DIM_PRODUCTS[hts_6],DIM_PRODUCTS[hts_4],,,)</f>
        <v>8542</v>
      </c>
      <c r="I10346" t="str" cm="1">
        <f t="array" ref="I10346">_xlfn.XLOOKUP(FACT_IMPORTS[[#This Row],[country_name]],DIM_COUNTRY[[#All],[Column2]],DIM_COUNTRY[[#All],[Column3]],,,)</f>
        <v>USMCA</v>
      </c>
    </row>
    <row r="10347" spans="1:9" x14ac:dyDescent="0.4">
      <c r="A10347" t="s">
        <v>64</v>
      </c>
      <c r="B10347" s="1">
        <v>45689</v>
      </c>
      <c r="C10347">
        <v>854290</v>
      </c>
      <c r="D10347" t="s">
        <v>176</v>
      </c>
      <c r="E10347">
        <v>2610</v>
      </c>
      <c r="F10347">
        <v>3</v>
      </c>
      <c r="G10347">
        <v>5</v>
      </c>
      <c r="H10347">
        <f>_xlfn.XLOOKUP(FACT_IMPORTS[[#This Row],[hts_6]],DIM_PRODUCTS[hts_6],DIM_PRODUCTS[hts_4],,,)</f>
        <v>8542</v>
      </c>
      <c r="I10347" t="str" cm="1">
        <f t="array" ref="I10347">_xlfn.XLOOKUP(FACT_IMPORTS[[#This Row],[country_name]],DIM_COUNTRY[[#All],[Column2]],DIM_COUNTRY[[#All],[Column3]],,,)</f>
        <v>USMCA</v>
      </c>
    </row>
    <row r="10348" spans="1:9" x14ac:dyDescent="0.4">
      <c r="A10348" t="s">
        <v>64</v>
      </c>
      <c r="B10348" s="1">
        <v>45689</v>
      </c>
      <c r="C10348">
        <v>854430</v>
      </c>
      <c r="D10348" t="s">
        <v>176</v>
      </c>
      <c r="E10348">
        <v>670657</v>
      </c>
      <c r="F10348">
        <v>27458</v>
      </c>
      <c r="G10348">
        <v>4487</v>
      </c>
      <c r="H10348">
        <f>_xlfn.XLOOKUP(FACT_IMPORTS[[#This Row],[hts_6]],DIM_PRODUCTS[hts_6],DIM_PRODUCTS[hts_4],,,)</f>
        <v>8544</v>
      </c>
      <c r="I10348" t="str" cm="1">
        <f t="array" ref="I10348">_xlfn.XLOOKUP(FACT_IMPORTS[[#This Row],[country_name]],DIM_COUNTRY[[#All],[Column2]],DIM_COUNTRY[[#All],[Column3]],,,)</f>
        <v>USMCA</v>
      </c>
    </row>
    <row r="10349" spans="1:9" x14ac:dyDescent="0.4">
      <c r="A10349" t="s">
        <v>64</v>
      </c>
      <c r="B10349" s="1">
        <v>45689</v>
      </c>
      <c r="C10349">
        <v>870790</v>
      </c>
      <c r="D10349" t="s">
        <v>176</v>
      </c>
      <c r="E10349">
        <v>0</v>
      </c>
      <c r="F10349">
        <v>0</v>
      </c>
      <c r="G10349">
        <v>0</v>
      </c>
      <c r="H10349">
        <f>_xlfn.XLOOKUP(FACT_IMPORTS[[#This Row],[hts_6]],DIM_PRODUCTS[hts_6],DIM_PRODUCTS[hts_4],,,)</f>
        <v>8707</v>
      </c>
      <c r="I10349" t="str" cm="1">
        <f t="array" ref="I10349">_xlfn.XLOOKUP(FACT_IMPORTS[[#This Row],[country_name]],DIM_COUNTRY[[#All],[Column2]],DIM_COUNTRY[[#All],[Column3]],,,)</f>
        <v>USMCA</v>
      </c>
    </row>
    <row r="10350" spans="1:9" x14ac:dyDescent="0.4">
      <c r="A10350" t="s">
        <v>64</v>
      </c>
      <c r="B10350" s="1">
        <v>45689</v>
      </c>
      <c r="C10350">
        <v>870810</v>
      </c>
      <c r="D10350" t="s">
        <v>176</v>
      </c>
      <c r="E10350">
        <v>5419</v>
      </c>
      <c r="F10350">
        <v>32</v>
      </c>
      <c r="G10350">
        <v>13</v>
      </c>
      <c r="H10350">
        <f>_xlfn.XLOOKUP(FACT_IMPORTS[[#This Row],[hts_6]],DIM_PRODUCTS[hts_6],DIM_PRODUCTS[hts_4],,,)</f>
        <v>8708</v>
      </c>
      <c r="I10350" t="str" cm="1">
        <f t="array" ref="I10350">_xlfn.XLOOKUP(FACT_IMPORTS[[#This Row],[country_name]],DIM_COUNTRY[[#All],[Column2]],DIM_COUNTRY[[#All],[Column3]],,,)</f>
        <v>USMCA</v>
      </c>
    </row>
    <row r="10351" spans="1:9" x14ac:dyDescent="0.4">
      <c r="A10351" t="s">
        <v>64</v>
      </c>
      <c r="B10351" s="1">
        <v>45689</v>
      </c>
      <c r="C10351">
        <v>870821</v>
      </c>
      <c r="D10351" t="s">
        <v>176</v>
      </c>
      <c r="E10351">
        <v>0</v>
      </c>
      <c r="F10351">
        <v>0</v>
      </c>
      <c r="G10351">
        <v>0</v>
      </c>
      <c r="H10351">
        <f>_xlfn.XLOOKUP(FACT_IMPORTS[[#This Row],[hts_6]],DIM_PRODUCTS[hts_6],DIM_PRODUCTS[hts_4],,,)</f>
        <v>8708</v>
      </c>
      <c r="I10351" t="str" cm="1">
        <f t="array" ref="I10351">_xlfn.XLOOKUP(FACT_IMPORTS[[#This Row],[country_name]],DIM_COUNTRY[[#All],[Column2]],DIM_COUNTRY[[#All],[Column3]],,,)</f>
        <v>USMCA</v>
      </c>
    </row>
    <row r="10352" spans="1:9" x14ac:dyDescent="0.4">
      <c r="A10352" t="s">
        <v>64</v>
      </c>
      <c r="B10352" s="1">
        <v>45689</v>
      </c>
      <c r="C10352">
        <v>870822</v>
      </c>
      <c r="D10352" t="s">
        <v>176</v>
      </c>
      <c r="E10352">
        <v>0</v>
      </c>
      <c r="F10352">
        <v>0</v>
      </c>
      <c r="G10352">
        <v>0</v>
      </c>
      <c r="H10352">
        <f>_xlfn.XLOOKUP(FACT_IMPORTS[[#This Row],[hts_6]],DIM_PRODUCTS[hts_6],DIM_PRODUCTS[hts_4],,,)</f>
        <v>8708</v>
      </c>
      <c r="I10352" t="str" cm="1">
        <f t="array" ref="I10352">_xlfn.XLOOKUP(FACT_IMPORTS[[#This Row],[country_name]],DIM_COUNTRY[[#All],[Column2]],DIM_COUNTRY[[#All],[Column3]],,,)</f>
        <v>USMCA</v>
      </c>
    </row>
    <row r="10353" spans="1:9" x14ac:dyDescent="0.4">
      <c r="A10353" t="s">
        <v>64</v>
      </c>
      <c r="B10353" s="1">
        <v>45689</v>
      </c>
      <c r="C10353">
        <v>870829</v>
      </c>
      <c r="D10353" t="s">
        <v>176</v>
      </c>
      <c r="E10353">
        <v>1123287</v>
      </c>
      <c r="F10353">
        <v>34765</v>
      </c>
      <c r="G10353">
        <v>30680</v>
      </c>
      <c r="H10353">
        <f>_xlfn.XLOOKUP(FACT_IMPORTS[[#This Row],[hts_6]],DIM_PRODUCTS[hts_6],DIM_PRODUCTS[hts_4],,,)</f>
        <v>8708</v>
      </c>
      <c r="I10353" t="str" cm="1">
        <f t="array" ref="I10353">_xlfn.XLOOKUP(FACT_IMPORTS[[#This Row],[country_name]],DIM_COUNTRY[[#All],[Column2]],DIM_COUNTRY[[#All],[Column3]],,,)</f>
        <v>USMCA</v>
      </c>
    </row>
    <row r="10354" spans="1:9" x14ac:dyDescent="0.4">
      <c r="A10354" t="s">
        <v>64</v>
      </c>
      <c r="B10354" s="1">
        <v>45689</v>
      </c>
      <c r="C10354">
        <v>870830</v>
      </c>
      <c r="D10354" t="s">
        <v>176</v>
      </c>
      <c r="E10354">
        <v>368727</v>
      </c>
      <c r="F10354">
        <v>7329</v>
      </c>
      <c r="G10354">
        <v>1546</v>
      </c>
      <c r="H10354">
        <f>_xlfn.XLOOKUP(FACT_IMPORTS[[#This Row],[hts_6]],DIM_PRODUCTS[hts_6],DIM_PRODUCTS[hts_4],,,)</f>
        <v>8708</v>
      </c>
      <c r="I10354" t="str" cm="1">
        <f t="array" ref="I10354">_xlfn.XLOOKUP(FACT_IMPORTS[[#This Row],[country_name]],DIM_COUNTRY[[#All],[Column2]],DIM_COUNTRY[[#All],[Column3]],,,)</f>
        <v>USMCA</v>
      </c>
    </row>
    <row r="10355" spans="1:9" x14ac:dyDescent="0.4">
      <c r="A10355" t="s">
        <v>64</v>
      </c>
      <c r="B10355" s="1">
        <v>45689</v>
      </c>
      <c r="C10355">
        <v>870840</v>
      </c>
      <c r="D10355" t="s">
        <v>176</v>
      </c>
      <c r="E10355">
        <v>392134</v>
      </c>
      <c r="F10355">
        <v>1049</v>
      </c>
      <c r="G10355">
        <v>1561</v>
      </c>
      <c r="H10355">
        <f>_xlfn.XLOOKUP(FACT_IMPORTS[[#This Row],[hts_6]],DIM_PRODUCTS[hts_6],DIM_PRODUCTS[hts_4],,,)</f>
        <v>8708</v>
      </c>
      <c r="I10355" t="str" cm="1">
        <f t="array" ref="I10355">_xlfn.XLOOKUP(FACT_IMPORTS[[#This Row],[country_name]],DIM_COUNTRY[[#All],[Column2]],DIM_COUNTRY[[#All],[Column3]],,,)</f>
        <v>USMCA</v>
      </c>
    </row>
    <row r="10356" spans="1:9" x14ac:dyDescent="0.4">
      <c r="A10356" t="s">
        <v>64</v>
      </c>
      <c r="B10356" s="1">
        <v>45689</v>
      </c>
      <c r="C10356">
        <v>870850</v>
      </c>
      <c r="D10356" t="s">
        <v>176</v>
      </c>
      <c r="E10356">
        <v>156350</v>
      </c>
      <c r="F10356">
        <v>289</v>
      </c>
      <c r="G10356">
        <v>434</v>
      </c>
      <c r="H10356">
        <f>_xlfn.XLOOKUP(FACT_IMPORTS[[#This Row],[hts_6]],DIM_PRODUCTS[hts_6],DIM_PRODUCTS[hts_4],,,)</f>
        <v>8708</v>
      </c>
      <c r="I10356" t="str" cm="1">
        <f t="array" ref="I10356">_xlfn.XLOOKUP(FACT_IMPORTS[[#This Row],[country_name]],DIM_COUNTRY[[#All],[Column2]],DIM_COUNTRY[[#All],[Column3]],,,)</f>
        <v>USMCA</v>
      </c>
    </row>
    <row r="10357" spans="1:9" x14ac:dyDescent="0.4">
      <c r="A10357" t="s">
        <v>64</v>
      </c>
      <c r="B10357" s="1">
        <v>45689</v>
      </c>
      <c r="C10357">
        <v>870870</v>
      </c>
      <c r="D10357" t="s">
        <v>176</v>
      </c>
      <c r="E10357">
        <v>58294</v>
      </c>
      <c r="F10357">
        <v>1111</v>
      </c>
      <c r="G10357">
        <v>733</v>
      </c>
      <c r="H10357">
        <f>_xlfn.XLOOKUP(FACT_IMPORTS[[#This Row],[hts_6]],DIM_PRODUCTS[hts_6],DIM_PRODUCTS[hts_4],,,)</f>
        <v>8708</v>
      </c>
      <c r="I10357" t="str" cm="1">
        <f t="array" ref="I10357">_xlfn.XLOOKUP(FACT_IMPORTS[[#This Row],[country_name]],DIM_COUNTRY[[#All],[Column2]],DIM_COUNTRY[[#All],[Column3]],,,)</f>
        <v>USMCA</v>
      </c>
    </row>
    <row r="10358" spans="1:9" x14ac:dyDescent="0.4">
      <c r="A10358" t="s">
        <v>64</v>
      </c>
      <c r="B10358" s="1">
        <v>45689</v>
      </c>
      <c r="C10358">
        <v>870880</v>
      </c>
      <c r="D10358" t="s">
        <v>176</v>
      </c>
      <c r="E10358">
        <v>28891</v>
      </c>
      <c r="F10358">
        <v>2861</v>
      </c>
      <c r="G10358">
        <v>422</v>
      </c>
      <c r="H10358">
        <f>_xlfn.XLOOKUP(FACT_IMPORTS[[#This Row],[hts_6]],DIM_PRODUCTS[hts_6],DIM_PRODUCTS[hts_4],,,)</f>
        <v>8708</v>
      </c>
      <c r="I10358" t="str" cm="1">
        <f t="array" ref="I10358">_xlfn.XLOOKUP(FACT_IMPORTS[[#This Row],[country_name]],DIM_COUNTRY[[#All],[Column2]],DIM_COUNTRY[[#All],[Column3]],,,)</f>
        <v>USMCA</v>
      </c>
    </row>
    <row r="10359" spans="1:9" x14ac:dyDescent="0.4">
      <c r="A10359" t="s">
        <v>64</v>
      </c>
      <c r="B10359" s="1">
        <v>45689</v>
      </c>
      <c r="C10359">
        <v>870891</v>
      </c>
      <c r="D10359" t="s">
        <v>176</v>
      </c>
      <c r="E10359">
        <v>2402</v>
      </c>
      <c r="F10359">
        <v>21</v>
      </c>
      <c r="G10359">
        <v>3501</v>
      </c>
      <c r="H10359">
        <f>_xlfn.XLOOKUP(FACT_IMPORTS[[#This Row],[hts_6]],DIM_PRODUCTS[hts_6],DIM_PRODUCTS[hts_4],,,)</f>
        <v>8708</v>
      </c>
      <c r="I10359" t="str" cm="1">
        <f t="array" ref="I10359">_xlfn.XLOOKUP(FACT_IMPORTS[[#This Row],[country_name]],DIM_COUNTRY[[#All],[Column2]],DIM_COUNTRY[[#All],[Column3]],,,)</f>
        <v>USMCA</v>
      </c>
    </row>
    <row r="10360" spans="1:9" x14ac:dyDescent="0.4">
      <c r="A10360" t="s">
        <v>64</v>
      </c>
      <c r="B10360" s="1">
        <v>45689</v>
      </c>
      <c r="C10360">
        <v>870892</v>
      </c>
      <c r="D10360" t="s">
        <v>176</v>
      </c>
      <c r="E10360">
        <v>4808</v>
      </c>
      <c r="F10360">
        <v>16</v>
      </c>
      <c r="G10360">
        <v>20</v>
      </c>
      <c r="H10360">
        <f>_xlfn.XLOOKUP(FACT_IMPORTS[[#This Row],[hts_6]],DIM_PRODUCTS[hts_6],DIM_PRODUCTS[hts_4],,,)</f>
        <v>8708</v>
      </c>
      <c r="I10360" t="str" cm="1">
        <f t="array" ref="I10360">_xlfn.XLOOKUP(FACT_IMPORTS[[#This Row],[country_name]],DIM_COUNTRY[[#All],[Column2]],DIM_COUNTRY[[#All],[Column3]],,,)</f>
        <v>USMCA</v>
      </c>
    </row>
    <row r="10361" spans="1:9" x14ac:dyDescent="0.4">
      <c r="A10361" t="s">
        <v>64</v>
      </c>
      <c r="B10361" s="1">
        <v>45689</v>
      </c>
      <c r="C10361">
        <v>870893</v>
      </c>
      <c r="D10361" t="s">
        <v>176</v>
      </c>
      <c r="E10361">
        <v>10539</v>
      </c>
      <c r="F10361">
        <v>2403</v>
      </c>
      <c r="G10361">
        <v>1200</v>
      </c>
      <c r="H10361">
        <f>_xlfn.XLOOKUP(FACT_IMPORTS[[#This Row],[hts_6]],DIM_PRODUCTS[hts_6],DIM_PRODUCTS[hts_4],,,)</f>
        <v>8708</v>
      </c>
      <c r="I10361" t="str" cm="1">
        <f t="array" ref="I10361">_xlfn.XLOOKUP(FACT_IMPORTS[[#This Row],[country_name]],DIM_COUNTRY[[#All],[Column2]],DIM_COUNTRY[[#All],[Column3]],,,)</f>
        <v>USMCA</v>
      </c>
    </row>
    <row r="10362" spans="1:9" x14ac:dyDescent="0.4">
      <c r="A10362" t="s">
        <v>64</v>
      </c>
      <c r="B10362" s="1">
        <v>45689</v>
      </c>
      <c r="C10362">
        <v>870894</v>
      </c>
      <c r="D10362" t="s">
        <v>176</v>
      </c>
      <c r="E10362">
        <v>51990</v>
      </c>
      <c r="F10362">
        <v>157</v>
      </c>
      <c r="G10362">
        <v>695</v>
      </c>
      <c r="H10362">
        <f>_xlfn.XLOOKUP(FACT_IMPORTS[[#This Row],[hts_6]],DIM_PRODUCTS[hts_6],DIM_PRODUCTS[hts_4],,,)</f>
        <v>8708</v>
      </c>
      <c r="I10362" t="str" cm="1">
        <f t="array" ref="I10362">_xlfn.XLOOKUP(FACT_IMPORTS[[#This Row],[country_name]],DIM_COUNTRY[[#All],[Column2]],DIM_COUNTRY[[#All],[Column3]],,,)</f>
        <v>USMCA</v>
      </c>
    </row>
    <row r="10363" spans="1:9" x14ac:dyDescent="0.4">
      <c r="A10363" t="s">
        <v>64</v>
      </c>
      <c r="B10363" s="1">
        <v>45689</v>
      </c>
      <c r="C10363">
        <v>870895</v>
      </c>
      <c r="D10363" t="s">
        <v>176</v>
      </c>
      <c r="E10363">
        <v>111988</v>
      </c>
      <c r="F10363">
        <v>3007</v>
      </c>
      <c r="G10363">
        <v>280</v>
      </c>
      <c r="H10363">
        <f>_xlfn.XLOOKUP(FACT_IMPORTS[[#This Row],[hts_6]],DIM_PRODUCTS[hts_6],DIM_PRODUCTS[hts_4],,,)</f>
        <v>8708</v>
      </c>
      <c r="I10363" t="str" cm="1">
        <f t="array" ref="I10363">_xlfn.XLOOKUP(FACT_IMPORTS[[#This Row],[country_name]],DIM_COUNTRY[[#All],[Column2]],DIM_COUNTRY[[#All],[Column3]],,,)</f>
        <v>USMCA</v>
      </c>
    </row>
    <row r="10364" spans="1:9" x14ac:dyDescent="0.4">
      <c r="A10364" t="s">
        <v>64</v>
      </c>
      <c r="B10364" s="1">
        <v>45689</v>
      </c>
      <c r="C10364">
        <v>870899</v>
      </c>
      <c r="D10364" t="s">
        <v>176</v>
      </c>
      <c r="E10364">
        <v>546885</v>
      </c>
      <c r="F10364">
        <v>2275</v>
      </c>
      <c r="G10364">
        <v>2933</v>
      </c>
      <c r="H10364">
        <f>_xlfn.XLOOKUP(FACT_IMPORTS[[#This Row],[hts_6]],DIM_PRODUCTS[hts_6],DIM_PRODUCTS[hts_4],,,)</f>
        <v>8708</v>
      </c>
      <c r="I10364" t="str" cm="1">
        <f t="array" ref="I10364">_xlfn.XLOOKUP(FACT_IMPORTS[[#This Row],[country_name]],DIM_COUNTRY[[#All],[Column2]],DIM_COUNTRY[[#All],[Column3]],,,)</f>
        <v>USMCA</v>
      </c>
    </row>
    <row r="10365" spans="1:9" x14ac:dyDescent="0.4">
      <c r="A10365" t="s">
        <v>64</v>
      </c>
      <c r="B10365" s="1">
        <v>45689</v>
      </c>
      <c r="C10365">
        <v>940120</v>
      </c>
      <c r="D10365" t="s">
        <v>176</v>
      </c>
      <c r="E10365">
        <v>22234</v>
      </c>
      <c r="F10365">
        <v>90</v>
      </c>
      <c r="G10365">
        <v>121</v>
      </c>
      <c r="H10365">
        <f>_xlfn.XLOOKUP(FACT_IMPORTS[[#This Row],[hts_6]],DIM_PRODUCTS[hts_6],DIM_PRODUCTS[hts_4],,,)</f>
        <v>9401</v>
      </c>
      <c r="I10365" t="str" cm="1">
        <f t="array" ref="I10365">_xlfn.XLOOKUP(FACT_IMPORTS[[#This Row],[country_name]],DIM_COUNTRY[[#All],[Column2]],DIM_COUNTRY[[#All],[Column3]],,,)</f>
        <v>USMCA</v>
      </c>
    </row>
    <row r="10366" spans="1:9" x14ac:dyDescent="0.4">
      <c r="A10366" t="s">
        <v>64</v>
      </c>
      <c r="B10366" s="1">
        <v>45717</v>
      </c>
      <c r="C10366">
        <v>392630</v>
      </c>
      <c r="D10366" t="s">
        <v>176</v>
      </c>
      <c r="E10366">
        <v>4975</v>
      </c>
      <c r="F10366">
        <v>1833</v>
      </c>
      <c r="G10366">
        <v>188</v>
      </c>
      <c r="H10366">
        <f>_xlfn.XLOOKUP(FACT_IMPORTS[[#This Row],[hts_6]],DIM_PRODUCTS[hts_6],DIM_PRODUCTS[hts_4],,,)</f>
        <v>3926</v>
      </c>
      <c r="I10366" t="str" cm="1">
        <f t="array" ref="I10366">_xlfn.XLOOKUP(FACT_IMPORTS[[#This Row],[country_name]],DIM_COUNTRY[[#All],[Column2]],DIM_COUNTRY[[#All],[Column3]],,,)</f>
        <v>USMCA</v>
      </c>
    </row>
    <row r="10367" spans="1:9" x14ac:dyDescent="0.4">
      <c r="A10367" t="s">
        <v>64</v>
      </c>
      <c r="B10367" s="1">
        <v>45717</v>
      </c>
      <c r="C10367">
        <v>401110</v>
      </c>
      <c r="D10367" t="s">
        <v>176</v>
      </c>
      <c r="E10367">
        <v>29684</v>
      </c>
      <c r="F10367">
        <v>331</v>
      </c>
      <c r="G10367">
        <v>1749</v>
      </c>
      <c r="H10367">
        <f>_xlfn.XLOOKUP(FACT_IMPORTS[[#This Row],[hts_6]],DIM_PRODUCTS[hts_6],DIM_PRODUCTS[hts_4],,,)</f>
        <v>4011</v>
      </c>
      <c r="I10367" t="str" cm="1">
        <f t="array" ref="I10367">_xlfn.XLOOKUP(FACT_IMPORTS[[#This Row],[country_name]],DIM_COUNTRY[[#All],[Column2]],DIM_COUNTRY[[#All],[Column3]],,,)</f>
        <v>USMCA</v>
      </c>
    </row>
    <row r="10368" spans="1:9" x14ac:dyDescent="0.4">
      <c r="A10368" t="s">
        <v>64</v>
      </c>
      <c r="B10368" s="1">
        <v>45717</v>
      </c>
      <c r="C10368">
        <v>401120</v>
      </c>
      <c r="D10368" t="s">
        <v>176</v>
      </c>
      <c r="E10368">
        <v>0</v>
      </c>
      <c r="F10368">
        <v>0</v>
      </c>
      <c r="G10368">
        <v>0</v>
      </c>
      <c r="H10368">
        <f>_xlfn.XLOOKUP(FACT_IMPORTS[[#This Row],[hts_6]],DIM_PRODUCTS[hts_6],DIM_PRODUCTS[hts_4],,,)</f>
        <v>4011</v>
      </c>
      <c r="I10368" t="str" cm="1">
        <f t="array" ref="I10368">_xlfn.XLOOKUP(FACT_IMPORTS[[#This Row],[country_name]],DIM_COUNTRY[[#All],[Column2]],DIM_COUNTRY[[#All],[Column3]],,,)</f>
        <v>USMCA</v>
      </c>
    </row>
    <row r="10369" spans="1:9" x14ac:dyDescent="0.4">
      <c r="A10369" t="s">
        <v>64</v>
      </c>
      <c r="B10369" s="1">
        <v>45717</v>
      </c>
      <c r="C10369">
        <v>401190</v>
      </c>
      <c r="D10369" t="s">
        <v>176</v>
      </c>
      <c r="E10369">
        <v>0</v>
      </c>
      <c r="F10369">
        <v>0</v>
      </c>
      <c r="G10369">
        <v>0</v>
      </c>
      <c r="H10369">
        <f>_xlfn.XLOOKUP(FACT_IMPORTS[[#This Row],[hts_6]],DIM_PRODUCTS[hts_6],DIM_PRODUCTS[hts_4],,,)</f>
        <v>4011</v>
      </c>
      <c r="I10369" t="str" cm="1">
        <f t="array" ref="I10369">_xlfn.XLOOKUP(FACT_IMPORTS[[#This Row],[country_name]],DIM_COUNTRY[[#All],[Column2]],DIM_COUNTRY[[#All],[Column3]],,,)</f>
        <v>USMCA</v>
      </c>
    </row>
    <row r="10370" spans="1:9" x14ac:dyDescent="0.4">
      <c r="A10370" t="s">
        <v>64</v>
      </c>
      <c r="B10370" s="1">
        <v>45717</v>
      </c>
      <c r="C10370">
        <v>700711</v>
      </c>
      <c r="D10370" t="s">
        <v>176</v>
      </c>
      <c r="E10370">
        <v>0</v>
      </c>
      <c r="F10370">
        <v>0</v>
      </c>
      <c r="G10370">
        <v>0</v>
      </c>
      <c r="H10370">
        <f>_xlfn.XLOOKUP(FACT_IMPORTS[[#This Row],[hts_6]],DIM_PRODUCTS[hts_6],DIM_PRODUCTS[hts_4],,,)</f>
        <v>7007</v>
      </c>
      <c r="I10370" t="str" cm="1">
        <f t="array" ref="I10370">_xlfn.XLOOKUP(FACT_IMPORTS[[#This Row],[country_name]],DIM_COUNTRY[[#All],[Column2]],DIM_COUNTRY[[#All],[Column3]],,,)</f>
        <v>USMCA</v>
      </c>
    </row>
    <row r="10371" spans="1:9" x14ac:dyDescent="0.4">
      <c r="A10371" t="s">
        <v>64</v>
      </c>
      <c r="B10371" s="1">
        <v>45717</v>
      </c>
      <c r="C10371">
        <v>700721</v>
      </c>
      <c r="D10371" t="s">
        <v>176</v>
      </c>
      <c r="E10371">
        <v>0</v>
      </c>
      <c r="F10371">
        <v>0</v>
      </c>
      <c r="G10371">
        <v>0</v>
      </c>
      <c r="H10371">
        <f>_xlfn.XLOOKUP(FACT_IMPORTS[[#This Row],[hts_6]],DIM_PRODUCTS[hts_6],DIM_PRODUCTS[hts_4],,,)</f>
        <v>7007</v>
      </c>
      <c r="I10371" t="str" cm="1">
        <f t="array" ref="I10371">_xlfn.XLOOKUP(FACT_IMPORTS[[#This Row],[country_name]],DIM_COUNTRY[[#All],[Column2]],DIM_COUNTRY[[#All],[Column3]],,,)</f>
        <v>USMCA</v>
      </c>
    </row>
    <row r="10372" spans="1:9" x14ac:dyDescent="0.4">
      <c r="A10372" t="s">
        <v>64</v>
      </c>
      <c r="B10372" s="1">
        <v>45717</v>
      </c>
      <c r="C10372">
        <v>700910</v>
      </c>
      <c r="D10372" t="s">
        <v>176</v>
      </c>
      <c r="E10372">
        <v>10213</v>
      </c>
      <c r="F10372">
        <v>51</v>
      </c>
      <c r="G10372">
        <v>450</v>
      </c>
      <c r="H10372">
        <f>_xlfn.XLOOKUP(FACT_IMPORTS[[#This Row],[hts_6]],DIM_PRODUCTS[hts_6],DIM_PRODUCTS[hts_4],,,)</f>
        <v>7009</v>
      </c>
      <c r="I10372" t="str" cm="1">
        <f t="array" ref="I10372">_xlfn.XLOOKUP(FACT_IMPORTS[[#This Row],[country_name]],DIM_COUNTRY[[#All],[Column2]],DIM_COUNTRY[[#All],[Column3]],,,)</f>
        <v>USMCA</v>
      </c>
    </row>
    <row r="10373" spans="1:9" x14ac:dyDescent="0.4">
      <c r="A10373" t="s">
        <v>64</v>
      </c>
      <c r="B10373" s="1">
        <v>45717</v>
      </c>
      <c r="C10373">
        <v>732010</v>
      </c>
      <c r="D10373" t="s">
        <v>176</v>
      </c>
      <c r="E10373">
        <v>0</v>
      </c>
      <c r="F10373">
        <v>0</v>
      </c>
      <c r="G10373">
        <v>0</v>
      </c>
      <c r="H10373">
        <f>_xlfn.XLOOKUP(FACT_IMPORTS[[#This Row],[hts_6]],DIM_PRODUCTS[hts_6],DIM_PRODUCTS[hts_4],,,)</f>
        <v>7320</v>
      </c>
      <c r="I10373" t="str" cm="1">
        <f t="array" ref="I10373">_xlfn.XLOOKUP(FACT_IMPORTS[[#This Row],[country_name]],DIM_COUNTRY[[#All],[Column2]],DIM_COUNTRY[[#All],[Column3]],,,)</f>
        <v>USMCA</v>
      </c>
    </row>
    <row r="10374" spans="1:9" x14ac:dyDescent="0.4">
      <c r="A10374" t="s">
        <v>64</v>
      </c>
      <c r="B10374" s="1">
        <v>45717</v>
      </c>
      <c r="C10374">
        <v>830230</v>
      </c>
      <c r="D10374" t="s">
        <v>176</v>
      </c>
      <c r="E10374">
        <v>64476</v>
      </c>
      <c r="F10374">
        <v>664</v>
      </c>
      <c r="G10374">
        <v>684</v>
      </c>
      <c r="H10374">
        <f>_xlfn.XLOOKUP(FACT_IMPORTS[[#This Row],[hts_6]],DIM_PRODUCTS[hts_6],DIM_PRODUCTS[hts_4],,,)</f>
        <v>8302</v>
      </c>
      <c r="I10374" t="str" cm="1">
        <f t="array" ref="I10374">_xlfn.XLOOKUP(FACT_IMPORTS[[#This Row],[country_name]],DIM_COUNTRY[[#All],[Column2]],DIM_COUNTRY[[#All],[Column3]],,,)</f>
        <v>USMCA</v>
      </c>
    </row>
    <row r="10375" spans="1:9" x14ac:dyDescent="0.4">
      <c r="A10375" t="s">
        <v>64</v>
      </c>
      <c r="B10375" s="1">
        <v>45717</v>
      </c>
      <c r="C10375">
        <v>840733</v>
      </c>
      <c r="D10375" t="s">
        <v>176</v>
      </c>
      <c r="E10375">
        <v>22856</v>
      </c>
      <c r="F10375">
        <v>5</v>
      </c>
      <c r="G10375">
        <v>127</v>
      </c>
      <c r="H10375">
        <f>_xlfn.XLOOKUP(FACT_IMPORTS[[#This Row],[hts_6]],DIM_PRODUCTS[hts_6],DIM_PRODUCTS[hts_4],,,)</f>
        <v>8407</v>
      </c>
      <c r="I10375" t="str" cm="1">
        <f t="array" ref="I10375">_xlfn.XLOOKUP(FACT_IMPORTS[[#This Row],[country_name]],DIM_COUNTRY[[#All],[Column2]],DIM_COUNTRY[[#All],[Column3]],,,)</f>
        <v>USMCA</v>
      </c>
    </row>
    <row r="10376" spans="1:9" x14ac:dyDescent="0.4">
      <c r="A10376" t="s">
        <v>64</v>
      </c>
      <c r="B10376" s="1">
        <v>45717</v>
      </c>
      <c r="C10376">
        <v>840734</v>
      </c>
      <c r="D10376" t="s">
        <v>176</v>
      </c>
      <c r="E10376">
        <v>616633</v>
      </c>
      <c r="F10376">
        <v>246</v>
      </c>
      <c r="G10376">
        <v>1030</v>
      </c>
      <c r="H10376">
        <f>_xlfn.XLOOKUP(FACT_IMPORTS[[#This Row],[hts_6]],DIM_PRODUCTS[hts_6],DIM_PRODUCTS[hts_4],,,)</f>
        <v>8407</v>
      </c>
      <c r="I10376" t="str" cm="1">
        <f t="array" ref="I10376">_xlfn.XLOOKUP(FACT_IMPORTS[[#This Row],[country_name]],DIM_COUNTRY[[#All],[Column2]],DIM_COUNTRY[[#All],[Column3]],,,)</f>
        <v>USMCA</v>
      </c>
    </row>
    <row r="10377" spans="1:9" x14ac:dyDescent="0.4">
      <c r="A10377" t="s">
        <v>64</v>
      </c>
      <c r="B10377" s="1">
        <v>45717</v>
      </c>
      <c r="C10377">
        <v>840820</v>
      </c>
      <c r="D10377" t="s">
        <v>176</v>
      </c>
      <c r="E10377">
        <v>43126</v>
      </c>
      <c r="F10377">
        <v>4</v>
      </c>
      <c r="G10377">
        <v>177</v>
      </c>
      <c r="H10377">
        <f>_xlfn.XLOOKUP(FACT_IMPORTS[[#This Row],[hts_6]],DIM_PRODUCTS[hts_6],DIM_PRODUCTS[hts_4],,,)</f>
        <v>8408</v>
      </c>
      <c r="I10377" t="str" cm="1">
        <f t="array" ref="I10377">_xlfn.XLOOKUP(FACT_IMPORTS[[#This Row],[country_name]],DIM_COUNTRY[[#All],[Column2]],DIM_COUNTRY[[#All],[Column3]],,,)</f>
        <v>USMCA</v>
      </c>
    </row>
    <row r="10378" spans="1:9" x14ac:dyDescent="0.4">
      <c r="A10378" t="s">
        <v>64</v>
      </c>
      <c r="B10378" s="1">
        <v>45717</v>
      </c>
      <c r="C10378">
        <v>840890</v>
      </c>
      <c r="D10378" t="s">
        <v>176</v>
      </c>
      <c r="E10378">
        <v>8650</v>
      </c>
      <c r="F10378">
        <v>3</v>
      </c>
      <c r="G10378">
        <v>64</v>
      </c>
      <c r="H10378">
        <f>_xlfn.XLOOKUP(FACT_IMPORTS[[#This Row],[hts_6]],DIM_PRODUCTS[hts_6],DIM_PRODUCTS[hts_4],,,)</f>
        <v>8408</v>
      </c>
      <c r="I10378" t="str" cm="1">
        <f t="array" ref="I10378">_xlfn.XLOOKUP(FACT_IMPORTS[[#This Row],[country_name]],DIM_COUNTRY[[#All],[Column2]],DIM_COUNTRY[[#All],[Column3]],,,)</f>
        <v>USMCA</v>
      </c>
    </row>
    <row r="10379" spans="1:9" x14ac:dyDescent="0.4">
      <c r="A10379" t="s">
        <v>64</v>
      </c>
      <c r="B10379" s="1">
        <v>45717</v>
      </c>
      <c r="C10379">
        <v>840991</v>
      </c>
      <c r="D10379" t="s">
        <v>176</v>
      </c>
      <c r="E10379">
        <v>630394</v>
      </c>
      <c r="F10379">
        <v>26208</v>
      </c>
      <c r="G10379">
        <v>6828</v>
      </c>
      <c r="H10379">
        <f>_xlfn.XLOOKUP(FACT_IMPORTS[[#This Row],[hts_6]],DIM_PRODUCTS[hts_6],DIM_PRODUCTS[hts_4],,,)</f>
        <v>8409</v>
      </c>
      <c r="I10379" t="str" cm="1">
        <f t="array" ref="I10379">_xlfn.XLOOKUP(FACT_IMPORTS[[#This Row],[country_name]],DIM_COUNTRY[[#All],[Column2]],DIM_COUNTRY[[#All],[Column3]],,,)</f>
        <v>USMCA</v>
      </c>
    </row>
    <row r="10380" spans="1:9" x14ac:dyDescent="0.4">
      <c r="A10380" t="s">
        <v>64</v>
      </c>
      <c r="B10380" s="1">
        <v>45717</v>
      </c>
      <c r="C10380">
        <v>840999</v>
      </c>
      <c r="D10380" t="s">
        <v>176</v>
      </c>
      <c r="E10380">
        <v>45085</v>
      </c>
      <c r="F10380">
        <v>962</v>
      </c>
      <c r="G10380">
        <v>947</v>
      </c>
      <c r="H10380">
        <f>_xlfn.XLOOKUP(FACT_IMPORTS[[#This Row],[hts_6]],DIM_PRODUCTS[hts_6],DIM_PRODUCTS[hts_4],,,)</f>
        <v>8409</v>
      </c>
      <c r="I10380" t="str" cm="1">
        <f t="array" ref="I10380">_xlfn.XLOOKUP(FACT_IMPORTS[[#This Row],[country_name]],DIM_COUNTRY[[#All],[Column2]],DIM_COUNTRY[[#All],[Column3]],,,)</f>
        <v>USMCA</v>
      </c>
    </row>
    <row r="10381" spans="1:9" x14ac:dyDescent="0.4">
      <c r="A10381" t="s">
        <v>64</v>
      </c>
      <c r="B10381" s="1">
        <v>45717</v>
      </c>
      <c r="C10381">
        <v>841330</v>
      </c>
      <c r="D10381" t="s">
        <v>176</v>
      </c>
      <c r="E10381">
        <v>27933</v>
      </c>
      <c r="F10381">
        <v>44</v>
      </c>
      <c r="G10381">
        <v>75</v>
      </c>
      <c r="H10381">
        <f>_xlfn.XLOOKUP(FACT_IMPORTS[[#This Row],[hts_6]],DIM_PRODUCTS[hts_6],DIM_PRODUCTS[hts_4],,,)</f>
        <v>8413</v>
      </c>
      <c r="I10381" t="str" cm="1">
        <f t="array" ref="I10381">_xlfn.XLOOKUP(FACT_IMPORTS[[#This Row],[country_name]],DIM_COUNTRY[[#All],[Column2]],DIM_COUNTRY[[#All],[Column3]],,,)</f>
        <v>USMCA</v>
      </c>
    </row>
    <row r="10382" spans="1:9" x14ac:dyDescent="0.4">
      <c r="A10382" t="s">
        <v>64</v>
      </c>
      <c r="B10382" s="1">
        <v>45717</v>
      </c>
      <c r="C10382">
        <v>841520</v>
      </c>
      <c r="D10382" t="s">
        <v>176</v>
      </c>
      <c r="E10382">
        <v>0</v>
      </c>
      <c r="F10382">
        <v>0</v>
      </c>
      <c r="G10382">
        <v>0</v>
      </c>
      <c r="H10382">
        <f>_xlfn.XLOOKUP(FACT_IMPORTS[[#This Row],[hts_6]],DIM_PRODUCTS[hts_6],DIM_PRODUCTS[hts_4],,,)</f>
        <v>8415</v>
      </c>
      <c r="I10382" t="str" cm="1">
        <f t="array" ref="I10382">_xlfn.XLOOKUP(FACT_IMPORTS[[#This Row],[country_name]],DIM_COUNTRY[[#All],[Column2]],DIM_COUNTRY[[#All],[Column3]],,,)</f>
        <v>USMCA</v>
      </c>
    </row>
    <row r="10383" spans="1:9" x14ac:dyDescent="0.4">
      <c r="A10383" t="s">
        <v>64</v>
      </c>
      <c r="B10383" s="1">
        <v>45717</v>
      </c>
      <c r="C10383">
        <v>842132</v>
      </c>
      <c r="D10383" t="s">
        <v>176</v>
      </c>
      <c r="E10383">
        <v>142831</v>
      </c>
      <c r="F10383">
        <v>526</v>
      </c>
      <c r="G10383">
        <v>480</v>
      </c>
      <c r="H10383">
        <f>_xlfn.XLOOKUP(FACT_IMPORTS[[#This Row],[hts_6]],DIM_PRODUCTS[hts_6],DIM_PRODUCTS[hts_4],,,)</f>
        <v>8421</v>
      </c>
      <c r="I10383" t="str" cm="1">
        <f t="array" ref="I10383">_xlfn.XLOOKUP(FACT_IMPORTS[[#This Row],[country_name]],DIM_COUNTRY[[#All],[Column2]],DIM_COUNTRY[[#All],[Column3]],,,)</f>
        <v>USMCA</v>
      </c>
    </row>
    <row r="10384" spans="1:9" x14ac:dyDescent="0.4">
      <c r="A10384" t="s">
        <v>64</v>
      </c>
      <c r="B10384" s="1">
        <v>45717</v>
      </c>
      <c r="C10384">
        <v>848210</v>
      </c>
      <c r="D10384" t="s">
        <v>176</v>
      </c>
      <c r="E10384">
        <v>0</v>
      </c>
      <c r="F10384">
        <v>0</v>
      </c>
      <c r="G10384">
        <v>0</v>
      </c>
      <c r="H10384">
        <f>_xlfn.XLOOKUP(FACT_IMPORTS[[#This Row],[hts_6]],DIM_PRODUCTS[hts_6],DIM_PRODUCTS[hts_4],,,)</f>
        <v>8482</v>
      </c>
      <c r="I10384" t="str" cm="1">
        <f t="array" ref="I10384">_xlfn.XLOOKUP(FACT_IMPORTS[[#This Row],[country_name]],DIM_COUNTRY[[#All],[Column2]],DIM_COUNTRY[[#All],[Column3]],,,)</f>
        <v>USMCA</v>
      </c>
    </row>
    <row r="10385" spans="1:9" x14ac:dyDescent="0.4">
      <c r="A10385" t="s">
        <v>64</v>
      </c>
      <c r="B10385" s="1">
        <v>45717</v>
      </c>
      <c r="C10385">
        <v>848220</v>
      </c>
      <c r="D10385" t="s">
        <v>176</v>
      </c>
      <c r="E10385">
        <v>0</v>
      </c>
      <c r="F10385">
        <v>0</v>
      </c>
      <c r="G10385">
        <v>0</v>
      </c>
      <c r="H10385">
        <f>_xlfn.XLOOKUP(FACT_IMPORTS[[#This Row],[hts_6]],DIM_PRODUCTS[hts_6],DIM_PRODUCTS[hts_4],,,)</f>
        <v>8482</v>
      </c>
      <c r="I10385" t="str" cm="1">
        <f t="array" ref="I10385">_xlfn.XLOOKUP(FACT_IMPORTS[[#This Row],[country_name]],DIM_COUNTRY[[#All],[Column2]],DIM_COUNTRY[[#All],[Column3]],,,)</f>
        <v>USMCA</v>
      </c>
    </row>
    <row r="10386" spans="1:9" x14ac:dyDescent="0.4">
      <c r="A10386" t="s">
        <v>64</v>
      </c>
      <c r="B10386" s="1">
        <v>45717</v>
      </c>
      <c r="C10386">
        <v>848310</v>
      </c>
      <c r="D10386" t="s">
        <v>176</v>
      </c>
      <c r="E10386">
        <v>94930</v>
      </c>
      <c r="F10386">
        <v>15477</v>
      </c>
      <c r="G10386">
        <v>477</v>
      </c>
      <c r="H10386">
        <f>_xlfn.XLOOKUP(FACT_IMPORTS[[#This Row],[hts_6]],DIM_PRODUCTS[hts_6],DIM_PRODUCTS[hts_4],,,)</f>
        <v>8483</v>
      </c>
      <c r="I10386" t="str" cm="1">
        <f t="array" ref="I10386">_xlfn.XLOOKUP(FACT_IMPORTS[[#This Row],[country_name]],DIM_COUNTRY[[#All],[Column2]],DIM_COUNTRY[[#All],[Column3]],,,)</f>
        <v>USMCA</v>
      </c>
    </row>
    <row r="10387" spans="1:9" x14ac:dyDescent="0.4">
      <c r="A10387" t="s">
        <v>64</v>
      </c>
      <c r="B10387" s="1">
        <v>45717</v>
      </c>
      <c r="C10387">
        <v>850131</v>
      </c>
      <c r="D10387" t="s">
        <v>176</v>
      </c>
      <c r="E10387">
        <v>30839</v>
      </c>
      <c r="F10387">
        <v>451</v>
      </c>
      <c r="G10387">
        <v>279</v>
      </c>
      <c r="H10387">
        <f>_xlfn.XLOOKUP(FACT_IMPORTS[[#This Row],[hts_6]],DIM_PRODUCTS[hts_6],DIM_PRODUCTS[hts_4],,,)</f>
        <v>8501</v>
      </c>
      <c r="I10387" t="str" cm="1">
        <f t="array" ref="I10387">_xlfn.XLOOKUP(FACT_IMPORTS[[#This Row],[country_name]],DIM_COUNTRY[[#All],[Column2]],DIM_COUNTRY[[#All],[Column3]],,,)</f>
        <v>USMCA</v>
      </c>
    </row>
    <row r="10388" spans="1:9" x14ac:dyDescent="0.4">
      <c r="A10388" t="s">
        <v>64</v>
      </c>
      <c r="B10388" s="1">
        <v>45717</v>
      </c>
      <c r="C10388">
        <v>850132</v>
      </c>
      <c r="D10388" t="s">
        <v>176</v>
      </c>
      <c r="E10388">
        <v>0</v>
      </c>
      <c r="F10388">
        <v>0</v>
      </c>
      <c r="G10388">
        <v>0</v>
      </c>
      <c r="H10388">
        <f>_xlfn.XLOOKUP(FACT_IMPORTS[[#This Row],[hts_6]],DIM_PRODUCTS[hts_6],DIM_PRODUCTS[hts_4],,,)</f>
        <v>8501</v>
      </c>
      <c r="I10388" t="str" cm="1">
        <f t="array" ref="I10388">_xlfn.XLOOKUP(FACT_IMPORTS[[#This Row],[country_name]],DIM_COUNTRY[[#All],[Column2]],DIM_COUNTRY[[#All],[Column3]],,,)</f>
        <v>USMCA</v>
      </c>
    </row>
    <row r="10389" spans="1:9" x14ac:dyDescent="0.4">
      <c r="A10389" t="s">
        <v>64</v>
      </c>
      <c r="B10389" s="1">
        <v>45717</v>
      </c>
      <c r="C10389">
        <v>850134</v>
      </c>
      <c r="D10389" t="s">
        <v>176</v>
      </c>
      <c r="E10389">
        <v>0</v>
      </c>
      <c r="F10389">
        <v>0</v>
      </c>
      <c r="G10389">
        <v>0</v>
      </c>
      <c r="H10389">
        <f>_xlfn.XLOOKUP(FACT_IMPORTS[[#This Row],[hts_6]],DIM_PRODUCTS[hts_6],DIM_PRODUCTS[hts_4],,,)</f>
        <v>8501</v>
      </c>
      <c r="I10389" t="str" cm="1">
        <f t="array" ref="I10389">_xlfn.XLOOKUP(FACT_IMPORTS[[#This Row],[country_name]],DIM_COUNTRY[[#All],[Column2]],DIM_COUNTRY[[#All],[Column3]],,,)</f>
        <v>USMCA</v>
      </c>
    </row>
    <row r="10390" spans="1:9" x14ac:dyDescent="0.4">
      <c r="A10390" t="s">
        <v>64</v>
      </c>
      <c r="B10390" s="1">
        <v>45717</v>
      </c>
      <c r="C10390">
        <v>850152</v>
      </c>
      <c r="D10390" t="s">
        <v>176</v>
      </c>
      <c r="E10390">
        <v>41436</v>
      </c>
      <c r="F10390">
        <v>60</v>
      </c>
      <c r="G10390">
        <v>827</v>
      </c>
      <c r="H10390">
        <f>_xlfn.XLOOKUP(FACT_IMPORTS[[#This Row],[hts_6]],DIM_PRODUCTS[hts_6],DIM_PRODUCTS[hts_4],,,)</f>
        <v>8501</v>
      </c>
      <c r="I10390" t="str" cm="1">
        <f t="array" ref="I10390">_xlfn.XLOOKUP(FACT_IMPORTS[[#This Row],[country_name]],DIM_COUNTRY[[#All],[Column2]],DIM_COUNTRY[[#All],[Column3]],,,)</f>
        <v>USMCA</v>
      </c>
    </row>
    <row r="10391" spans="1:9" x14ac:dyDescent="0.4">
      <c r="A10391" t="s">
        <v>64</v>
      </c>
      <c r="B10391" s="1">
        <v>45717</v>
      </c>
      <c r="C10391">
        <v>850153</v>
      </c>
      <c r="D10391" t="s">
        <v>176</v>
      </c>
      <c r="E10391">
        <v>153482</v>
      </c>
      <c r="F10391">
        <v>22</v>
      </c>
      <c r="G10391">
        <v>551</v>
      </c>
      <c r="H10391">
        <f>_xlfn.XLOOKUP(FACT_IMPORTS[[#This Row],[hts_6]],DIM_PRODUCTS[hts_6],DIM_PRODUCTS[hts_4],,,)</f>
        <v>8501</v>
      </c>
      <c r="I10391" t="str" cm="1">
        <f t="array" ref="I10391">_xlfn.XLOOKUP(FACT_IMPORTS[[#This Row],[country_name]],DIM_COUNTRY[[#All],[Column2]],DIM_COUNTRY[[#All],[Column3]],,,)</f>
        <v>USMCA</v>
      </c>
    </row>
    <row r="10392" spans="1:9" x14ac:dyDescent="0.4">
      <c r="A10392" t="s">
        <v>64</v>
      </c>
      <c r="B10392" s="1">
        <v>45717</v>
      </c>
      <c r="C10392">
        <v>850440</v>
      </c>
      <c r="D10392" t="s">
        <v>176</v>
      </c>
      <c r="E10392">
        <v>42558</v>
      </c>
      <c r="F10392">
        <v>67</v>
      </c>
      <c r="G10392">
        <v>329</v>
      </c>
      <c r="H10392">
        <f>_xlfn.XLOOKUP(FACT_IMPORTS[[#This Row],[hts_6]],DIM_PRODUCTS[hts_6],DIM_PRODUCTS[hts_4],,,)</f>
        <v>8504</v>
      </c>
      <c r="I10392" t="str" cm="1">
        <f t="array" ref="I10392">_xlfn.XLOOKUP(FACT_IMPORTS[[#This Row],[country_name]],DIM_COUNTRY[[#All],[Column2]],DIM_COUNTRY[[#All],[Column3]],,,)</f>
        <v>USMCA</v>
      </c>
    </row>
    <row r="10393" spans="1:9" x14ac:dyDescent="0.4">
      <c r="A10393" t="s">
        <v>64</v>
      </c>
      <c r="B10393" s="1">
        <v>45717</v>
      </c>
      <c r="C10393">
        <v>850710</v>
      </c>
      <c r="D10393" t="s">
        <v>176</v>
      </c>
      <c r="E10393">
        <v>0</v>
      </c>
      <c r="F10393">
        <v>0</v>
      </c>
      <c r="G10393">
        <v>0</v>
      </c>
      <c r="H10393">
        <f>_xlfn.XLOOKUP(FACT_IMPORTS[[#This Row],[hts_6]],DIM_PRODUCTS[hts_6],DIM_PRODUCTS[hts_4],,,)</f>
        <v>8507</v>
      </c>
      <c r="I10393" t="str" cm="1">
        <f t="array" ref="I10393">_xlfn.XLOOKUP(FACT_IMPORTS[[#This Row],[country_name]],DIM_COUNTRY[[#All],[Column2]],DIM_COUNTRY[[#All],[Column3]],,,)</f>
        <v>USMCA</v>
      </c>
    </row>
    <row r="10394" spans="1:9" x14ac:dyDescent="0.4">
      <c r="A10394" t="s">
        <v>64</v>
      </c>
      <c r="B10394" s="1">
        <v>45717</v>
      </c>
      <c r="C10394">
        <v>850760</v>
      </c>
      <c r="D10394" t="s">
        <v>176</v>
      </c>
      <c r="E10394">
        <v>120659</v>
      </c>
      <c r="F10394">
        <v>925</v>
      </c>
      <c r="G10394">
        <v>37</v>
      </c>
      <c r="H10394">
        <f>_xlfn.XLOOKUP(FACT_IMPORTS[[#This Row],[hts_6]],DIM_PRODUCTS[hts_6],DIM_PRODUCTS[hts_4],,,)</f>
        <v>8507</v>
      </c>
      <c r="I10394" t="str" cm="1">
        <f t="array" ref="I10394">_xlfn.XLOOKUP(FACT_IMPORTS[[#This Row],[country_name]],DIM_COUNTRY[[#All],[Column2]],DIM_COUNTRY[[#All],[Column3]],,,)</f>
        <v>USMCA</v>
      </c>
    </row>
    <row r="10395" spans="1:9" x14ac:dyDescent="0.4">
      <c r="A10395" t="s">
        <v>64</v>
      </c>
      <c r="B10395" s="1">
        <v>45717</v>
      </c>
      <c r="C10395">
        <v>851110</v>
      </c>
      <c r="D10395" t="s">
        <v>176</v>
      </c>
      <c r="E10395">
        <v>0</v>
      </c>
      <c r="F10395">
        <v>0</v>
      </c>
      <c r="G10395">
        <v>0</v>
      </c>
      <c r="H10395">
        <f>_xlfn.XLOOKUP(FACT_IMPORTS[[#This Row],[hts_6]],DIM_PRODUCTS[hts_6],DIM_PRODUCTS[hts_4],,,)</f>
        <v>8511</v>
      </c>
      <c r="I10395" t="str" cm="1">
        <f t="array" ref="I10395">_xlfn.XLOOKUP(FACT_IMPORTS[[#This Row],[country_name]],DIM_COUNTRY[[#All],[Column2]],DIM_COUNTRY[[#All],[Column3]],,,)</f>
        <v>USMCA</v>
      </c>
    </row>
    <row r="10396" spans="1:9" x14ac:dyDescent="0.4">
      <c r="A10396" t="s">
        <v>64</v>
      </c>
      <c r="B10396" s="1">
        <v>45717</v>
      </c>
      <c r="C10396">
        <v>851120</v>
      </c>
      <c r="D10396" t="s">
        <v>176</v>
      </c>
      <c r="E10396">
        <v>0</v>
      </c>
      <c r="F10396">
        <v>0</v>
      </c>
      <c r="G10396">
        <v>0</v>
      </c>
      <c r="H10396">
        <f>_xlfn.XLOOKUP(FACT_IMPORTS[[#This Row],[hts_6]],DIM_PRODUCTS[hts_6],DIM_PRODUCTS[hts_4],,,)</f>
        <v>8511</v>
      </c>
      <c r="I10396" t="str" cm="1">
        <f t="array" ref="I10396">_xlfn.XLOOKUP(FACT_IMPORTS[[#This Row],[country_name]],DIM_COUNTRY[[#All],[Column2]],DIM_COUNTRY[[#All],[Column3]],,,)</f>
        <v>USMCA</v>
      </c>
    </row>
    <row r="10397" spans="1:9" x14ac:dyDescent="0.4">
      <c r="A10397" t="s">
        <v>64</v>
      </c>
      <c r="B10397" s="1">
        <v>45717</v>
      </c>
      <c r="C10397">
        <v>851130</v>
      </c>
      <c r="D10397" t="s">
        <v>176</v>
      </c>
      <c r="E10397">
        <v>0</v>
      </c>
      <c r="F10397">
        <v>0</v>
      </c>
      <c r="G10397">
        <v>0</v>
      </c>
      <c r="H10397">
        <f>_xlfn.XLOOKUP(FACT_IMPORTS[[#This Row],[hts_6]],DIM_PRODUCTS[hts_6],DIM_PRODUCTS[hts_4],,,)</f>
        <v>8511</v>
      </c>
      <c r="I10397" t="str" cm="1">
        <f t="array" ref="I10397">_xlfn.XLOOKUP(FACT_IMPORTS[[#This Row],[country_name]],DIM_COUNTRY[[#All],[Column2]],DIM_COUNTRY[[#All],[Column3]],,,)</f>
        <v>USMCA</v>
      </c>
    </row>
    <row r="10398" spans="1:9" x14ac:dyDescent="0.4">
      <c r="A10398" t="s">
        <v>64</v>
      </c>
      <c r="B10398" s="1">
        <v>45717</v>
      </c>
      <c r="C10398">
        <v>851140</v>
      </c>
      <c r="D10398" t="s">
        <v>176</v>
      </c>
      <c r="E10398">
        <v>5418</v>
      </c>
      <c r="F10398">
        <v>7</v>
      </c>
      <c r="G10398">
        <v>85</v>
      </c>
      <c r="H10398">
        <f>_xlfn.XLOOKUP(FACT_IMPORTS[[#This Row],[hts_6]],DIM_PRODUCTS[hts_6],DIM_PRODUCTS[hts_4],,,)</f>
        <v>8511</v>
      </c>
      <c r="I10398" t="str" cm="1">
        <f t="array" ref="I10398">_xlfn.XLOOKUP(FACT_IMPORTS[[#This Row],[country_name]],DIM_COUNTRY[[#All],[Column2]],DIM_COUNTRY[[#All],[Column3]],,,)</f>
        <v>USMCA</v>
      </c>
    </row>
    <row r="10399" spans="1:9" x14ac:dyDescent="0.4">
      <c r="A10399" t="s">
        <v>64</v>
      </c>
      <c r="B10399" s="1">
        <v>45717</v>
      </c>
      <c r="C10399">
        <v>851150</v>
      </c>
      <c r="D10399" t="s">
        <v>176</v>
      </c>
      <c r="E10399">
        <v>18314</v>
      </c>
      <c r="F10399">
        <v>160</v>
      </c>
      <c r="G10399">
        <v>333</v>
      </c>
      <c r="H10399">
        <f>_xlfn.XLOOKUP(FACT_IMPORTS[[#This Row],[hts_6]],DIM_PRODUCTS[hts_6],DIM_PRODUCTS[hts_4],,,)</f>
        <v>8511</v>
      </c>
      <c r="I10399" t="str" cm="1">
        <f t="array" ref="I10399">_xlfn.XLOOKUP(FACT_IMPORTS[[#This Row],[country_name]],DIM_COUNTRY[[#All],[Column2]],DIM_COUNTRY[[#All],[Column3]],,,)</f>
        <v>USMCA</v>
      </c>
    </row>
    <row r="10400" spans="1:9" x14ac:dyDescent="0.4">
      <c r="A10400" t="s">
        <v>64</v>
      </c>
      <c r="B10400" s="1">
        <v>45717</v>
      </c>
      <c r="C10400">
        <v>851180</v>
      </c>
      <c r="D10400" t="s">
        <v>176</v>
      </c>
      <c r="E10400">
        <v>12004</v>
      </c>
      <c r="F10400">
        <v>558</v>
      </c>
      <c r="G10400">
        <v>4</v>
      </c>
      <c r="H10400">
        <f>_xlfn.XLOOKUP(FACT_IMPORTS[[#This Row],[hts_6]],DIM_PRODUCTS[hts_6],DIM_PRODUCTS[hts_4],,,)</f>
        <v>8511</v>
      </c>
      <c r="I10400" t="str" cm="1">
        <f t="array" ref="I10400">_xlfn.XLOOKUP(FACT_IMPORTS[[#This Row],[country_name]],DIM_COUNTRY[[#All],[Column2]],DIM_COUNTRY[[#All],[Column3]],,,)</f>
        <v>USMCA</v>
      </c>
    </row>
    <row r="10401" spans="1:9" x14ac:dyDescent="0.4">
      <c r="A10401" t="s">
        <v>64</v>
      </c>
      <c r="B10401" s="1">
        <v>45717</v>
      </c>
      <c r="C10401">
        <v>851190</v>
      </c>
      <c r="D10401" t="s">
        <v>176</v>
      </c>
      <c r="E10401">
        <v>0</v>
      </c>
      <c r="F10401">
        <v>0</v>
      </c>
      <c r="G10401">
        <v>0</v>
      </c>
      <c r="H10401">
        <f>_xlfn.XLOOKUP(FACT_IMPORTS[[#This Row],[hts_6]],DIM_PRODUCTS[hts_6],DIM_PRODUCTS[hts_4],,,)</f>
        <v>8511</v>
      </c>
      <c r="I10401" t="str" cm="1">
        <f t="array" ref="I10401">_xlfn.XLOOKUP(FACT_IMPORTS[[#This Row],[country_name]],DIM_COUNTRY[[#All],[Column2]],DIM_COUNTRY[[#All],[Column3]],,,)</f>
        <v>USMCA</v>
      </c>
    </row>
    <row r="10402" spans="1:9" x14ac:dyDescent="0.4">
      <c r="A10402" t="s">
        <v>64</v>
      </c>
      <c r="B10402" s="1">
        <v>45717</v>
      </c>
      <c r="C10402">
        <v>851220</v>
      </c>
      <c r="D10402" t="s">
        <v>176</v>
      </c>
      <c r="E10402">
        <v>30216</v>
      </c>
      <c r="F10402">
        <v>118</v>
      </c>
      <c r="G10402">
        <v>157</v>
      </c>
      <c r="H10402">
        <f>_xlfn.XLOOKUP(FACT_IMPORTS[[#This Row],[hts_6]],DIM_PRODUCTS[hts_6],DIM_PRODUCTS[hts_4],,,)</f>
        <v>8512</v>
      </c>
      <c r="I10402" t="str" cm="1">
        <f t="array" ref="I10402">_xlfn.XLOOKUP(FACT_IMPORTS[[#This Row],[country_name]],DIM_COUNTRY[[#All],[Column2]],DIM_COUNTRY[[#All],[Column3]],,,)</f>
        <v>USMCA</v>
      </c>
    </row>
    <row r="10403" spans="1:9" x14ac:dyDescent="0.4">
      <c r="A10403" t="s">
        <v>64</v>
      </c>
      <c r="B10403" s="1">
        <v>45717</v>
      </c>
      <c r="C10403">
        <v>851230</v>
      </c>
      <c r="D10403" t="s">
        <v>176</v>
      </c>
      <c r="E10403">
        <v>0</v>
      </c>
      <c r="F10403">
        <v>0</v>
      </c>
      <c r="G10403">
        <v>0</v>
      </c>
      <c r="H10403">
        <f>_xlfn.XLOOKUP(FACT_IMPORTS[[#This Row],[hts_6]],DIM_PRODUCTS[hts_6],DIM_PRODUCTS[hts_4],,,)</f>
        <v>8512</v>
      </c>
      <c r="I10403" t="str" cm="1">
        <f t="array" ref="I10403">_xlfn.XLOOKUP(FACT_IMPORTS[[#This Row],[country_name]],DIM_COUNTRY[[#All],[Column2]],DIM_COUNTRY[[#All],[Column3]],,,)</f>
        <v>USMCA</v>
      </c>
    </row>
    <row r="10404" spans="1:9" x14ac:dyDescent="0.4">
      <c r="A10404" t="s">
        <v>64</v>
      </c>
      <c r="B10404" s="1">
        <v>45717</v>
      </c>
      <c r="C10404">
        <v>851290</v>
      </c>
      <c r="D10404" t="s">
        <v>176</v>
      </c>
      <c r="E10404">
        <v>0</v>
      </c>
      <c r="F10404">
        <v>0</v>
      </c>
      <c r="G10404">
        <v>0</v>
      </c>
      <c r="H10404">
        <f>_xlfn.XLOOKUP(FACT_IMPORTS[[#This Row],[hts_6]],DIM_PRODUCTS[hts_6],DIM_PRODUCTS[hts_4],,,)</f>
        <v>8512</v>
      </c>
      <c r="I10404" t="str" cm="1">
        <f t="array" ref="I10404">_xlfn.XLOOKUP(FACT_IMPORTS[[#This Row],[country_name]],DIM_COUNTRY[[#All],[Column2]],DIM_COUNTRY[[#All],[Column3]],,,)</f>
        <v>USMCA</v>
      </c>
    </row>
    <row r="10405" spans="1:9" x14ac:dyDescent="0.4">
      <c r="A10405" t="s">
        <v>64</v>
      </c>
      <c r="B10405" s="1">
        <v>45717</v>
      </c>
      <c r="C10405">
        <v>854231</v>
      </c>
      <c r="D10405" t="s">
        <v>176</v>
      </c>
      <c r="E10405">
        <v>0</v>
      </c>
      <c r="F10405">
        <v>0</v>
      </c>
      <c r="G10405">
        <v>0</v>
      </c>
      <c r="H10405">
        <f>_xlfn.XLOOKUP(FACT_IMPORTS[[#This Row],[hts_6]],DIM_PRODUCTS[hts_6],DIM_PRODUCTS[hts_4],,,)</f>
        <v>8542</v>
      </c>
      <c r="I10405" t="str" cm="1">
        <f t="array" ref="I10405">_xlfn.XLOOKUP(FACT_IMPORTS[[#This Row],[country_name]],DIM_COUNTRY[[#All],[Column2]],DIM_COUNTRY[[#All],[Column3]],,,)</f>
        <v>USMCA</v>
      </c>
    </row>
    <row r="10406" spans="1:9" x14ac:dyDescent="0.4">
      <c r="A10406" t="s">
        <v>64</v>
      </c>
      <c r="B10406" s="1">
        <v>45717</v>
      </c>
      <c r="C10406">
        <v>854232</v>
      </c>
      <c r="D10406" t="s">
        <v>176</v>
      </c>
      <c r="E10406">
        <v>0</v>
      </c>
      <c r="F10406">
        <v>0</v>
      </c>
      <c r="G10406">
        <v>0</v>
      </c>
      <c r="H10406">
        <f>_xlfn.XLOOKUP(FACT_IMPORTS[[#This Row],[hts_6]],DIM_PRODUCTS[hts_6],DIM_PRODUCTS[hts_4],,,)</f>
        <v>8542</v>
      </c>
      <c r="I10406" t="str" cm="1">
        <f t="array" ref="I10406">_xlfn.XLOOKUP(FACT_IMPORTS[[#This Row],[country_name]],DIM_COUNTRY[[#All],[Column2]],DIM_COUNTRY[[#All],[Column3]],,,)</f>
        <v>USMCA</v>
      </c>
    </row>
    <row r="10407" spans="1:9" x14ac:dyDescent="0.4">
      <c r="A10407" t="s">
        <v>64</v>
      </c>
      <c r="B10407" s="1">
        <v>45717</v>
      </c>
      <c r="C10407">
        <v>854290</v>
      </c>
      <c r="D10407" t="s">
        <v>176</v>
      </c>
      <c r="E10407">
        <v>0</v>
      </c>
      <c r="F10407">
        <v>0</v>
      </c>
      <c r="G10407">
        <v>0</v>
      </c>
      <c r="H10407">
        <f>_xlfn.XLOOKUP(FACT_IMPORTS[[#This Row],[hts_6]],DIM_PRODUCTS[hts_6],DIM_PRODUCTS[hts_4],,,)</f>
        <v>8542</v>
      </c>
      <c r="I10407" t="str" cm="1">
        <f t="array" ref="I10407">_xlfn.XLOOKUP(FACT_IMPORTS[[#This Row],[country_name]],DIM_COUNTRY[[#All],[Column2]],DIM_COUNTRY[[#All],[Column3]],,,)</f>
        <v>USMCA</v>
      </c>
    </row>
    <row r="10408" spans="1:9" x14ac:dyDescent="0.4">
      <c r="A10408" t="s">
        <v>64</v>
      </c>
      <c r="B10408" s="1">
        <v>45717</v>
      </c>
      <c r="C10408">
        <v>854430</v>
      </c>
      <c r="D10408" t="s">
        <v>176</v>
      </c>
      <c r="E10408">
        <v>340273</v>
      </c>
      <c r="F10408">
        <v>19489</v>
      </c>
      <c r="G10408">
        <v>4195</v>
      </c>
      <c r="H10408">
        <f>_xlfn.XLOOKUP(FACT_IMPORTS[[#This Row],[hts_6]],DIM_PRODUCTS[hts_6],DIM_PRODUCTS[hts_4],,,)</f>
        <v>8544</v>
      </c>
      <c r="I10408" t="str" cm="1">
        <f t="array" ref="I10408">_xlfn.XLOOKUP(FACT_IMPORTS[[#This Row],[country_name]],DIM_COUNTRY[[#All],[Column2]],DIM_COUNTRY[[#All],[Column3]],,,)</f>
        <v>USMCA</v>
      </c>
    </row>
    <row r="10409" spans="1:9" x14ac:dyDescent="0.4">
      <c r="A10409" t="s">
        <v>64</v>
      </c>
      <c r="B10409" s="1">
        <v>45717</v>
      </c>
      <c r="C10409">
        <v>870790</v>
      </c>
      <c r="D10409" t="s">
        <v>176</v>
      </c>
      <c r="E10409">
        <v>9759</v>
      </c>
      <c r="F10409">
        <v>1</v>
      </c>
      <c r="G10409">
        <v>45</v>
      </c>
      <c r="H10409">
        <f>_xlfn.XLOOKUP(FACT_IMPORTS[[#This Row],[hts_6]],DIM_PRODUCTS[hts_6],DIM_PRODUCTS[hts_4],,,)</f>
        <v>8707</v>
      </c>
      <c r="I10409" t="str" cm="1">
        <f t="array" ref="I10409">_xlfn.XLOOKUP(FACT_IMPORTS[[#This Row],[country_name]],DIM_COUNTRY[[#All],[Column2]],DIM_COUNTRY[[#All],[Column3]],,,)</f>
        <v>USMCA</v>
      </c>
    </row>
    <row r="10410" spans="1:9" x14ac:dyDescent="0.4">
      <c r="A10410" t="s">
        <v>64</v>
      </c>
      <c r="B10410" s="1">
        <v>45717</v>
      </c>
      <c r="C10410">
        <v>870810</v>
      </c>
      <c r="D10410" t="s">
        <v>176</v>
      </c>
      <c r="E10410">
        <v>27794</v>
      </c>
      <c r="F10410">
        <v>158</v>
      </c>
      <c r="G10410">
        <v>308</v>
      </c>
      <c r="H10410">
        <f>_xlfn.XLOOKUP(FACT_IMPORTS[[#This Row],[hts_6]],DIM_PRODUCTS[hts_6],DIM_PRODUCTS[hts_4],,,)</f>
        <v>8708</v>
      </c>
      <c r="I10410" t="str" cm="1">
        <f t="array" ref="I10410">_xlfn.XLOOKUP(FACT_IMPORTS[[#This Row],[country_name]],DIM_COUNTRY[[#All],[Column2]],DIM_COUNTRY[[#All],[Column3]],,,)</f>
        <v>USMCA</v>
      </c>
    </row>
    <row r="10411" spans="1:9" x14ac:dyDescent="0.4">
      <c r="A10411" t="s">
        <v>64</v>
      </c>
      <c r="B10411" s="1">
        <v>45717</v>
      </c>
      <c r="C10411">
        <v>870821</v>
      </c>
      <c r="D10411" t="s">
        <v>176</v>
      </c>
      <c r="E10411">
        <v>8767</v>
      </c>
      <c r="F10411">
        <v>739</v>
      </c>
      <c r="G10411">
        <v>433</v>
      </c>
      <c r="H10411">
        <f>_xlfn.XLOOKUP(FACT_IMPORTS[[#This Row],[hts_6]],DIM_PRODUCTS[hts_6],DIM_PRODUCTS[hts_4],,,)</f>
        <v>8708</v>
      </c>
      <c r="I10411" t="str" cm="1">
        <f t="array" ref="I10411">_xlfn.XLOOKUP(FACT_IMPORTS[[#This Row],[country_name]],DIM_COUNTRY[[#All],[Column2]],DIM_COUNTRY[[#All],[Column3]],,,)</f>
        <v>USMCA</v>
      </c>
    </row>
    <row r="10412" spans="1:9" x14ac:dyDescent="0.4">
      <c r="A10412" t="s">
        <v>64</v>
      </c>
      <c r="B10412" s="1">
        <v>45717</v>
      </c>
      <c r="C10412">
        <v>870822</v>
      </c>
      <c r="D10412" t="s">
        <v>176</v>
      </c>
      <c r="E10412">
        <v>10746</v>
      </c>
      <c r="F10412">
        <v>160</v>
      </c>
      <c r="G10412">
        <v>124</v>
      </c>
      <c r="H10412">
        <f>_xlfn.XLOOKUP(FACT_IMPORTS[[#This Row],[hts_6]],DIM_PRODUCTS[hts_6],DIM_PRODUCTS[hts_4],,,)</f>
        <v>8708</v>
      </c>
      <c r="I10412" t="str" cm="1">
        <f t="array" ref="I10412">_xlfn.XLOOKUP(FACT_IMPORTS[[#This Row],[country_name]],DIM_COUNTRY[[#All],[Column2]],DIM_COUNTRY[[#All],[Column3]],,,)</f>
        <v>USMCA</v>
      </c>
    </row>
    <row r="10413" spans="1:9" x14ac:dyDescent="0.4">
      <c r="A10413" t="s">
        <v>64</v>
      </c>
      <c r="B10413" s="1">
        <v>45717</v>
      </c>
      <c r="C10413">
        <v>870829</v>
      </c>
      <c r="D10413" t="s">
        <v>176</v>
      </c>
      <c r="E10413">
        <v>889499</v>
      </c>
      <c r="F10413">
        <v>46496</v>
      </c>
      <c r="G10413">
        <v>21507</v>
      </c>
      <c r="H10413">
        <f>_xlfn.XLOOKUP(FACT_IMPORTS[[#This Row],[hts_6]],DIM_PRODUCTS[hts_6],DIM_PRODUCTS[hts_4],,,)</f>
        <v>8708</v>
      </c>
      <c r="I10413" t="str" cm="1">
        <f t="array" ref="I10413">_xlfn.XLOOKUP(FACT_IMPORTS[[#This Row],[country_name]],DIM_COUNTRY[[#All],[Column2]],DIM_COUNTRY[[#All],[Column3]],,,)</f>
        <v>USMCA</v>
      </c>
    </row>
    <row r="10414" spans="1:9" x14ac:dyDescent="0.4">
      <c r="A10414" t="s">
        <v>64</v>
      </c>
      <c r="B10414" s="1">
        <v>45717</v>
      </c>
      <c r="C10414">
        <v>870830</v>
      </c>
      <c r="D10414" t="s">
        <v>176</v>
      </c>
      <c r="E10414">
        <v>623177</v>
      </c>
      <c r="F10414">
        <v>11457</v>
      </c>
      <c r="G10414">
        <v>3882</v>
      </c>
      <c r="H10414">
        <f>_xlfn.XLOOKUP(FACT_IMPORTS[[#This Row],[hts_6]],DIM_PRODUCTS[hts_6],DIM_PRODUCTS[hts_4],,,)</f>
        <v>8708</v>
      </c>
      <c r="I10414" t="str" cm="1">
        <f t="array" ref="I10414">_xlfn.XLOOKUP(FACT_IMPORTS[[#This Row],[country_name]],DIM_COUNTRY[[#All],[Column2]],DIM_COUNTRY[[#All],[Column3]],,,)</f>
        <v>USMCA</v>
      </c>
    </row>
    <row r="10415" spans="1:9" x14ac:dyDescent="0.4">
      <c r="A10415" t="s">
        <v>64</v>
      </c>
      <c r="B10415" s="1">
        <v>45717</v>
      </c>
      <c r="C10415">
        <v>870840</v>
      </c>
      <c r="D10415" t="s">
        <v>176</v>
      </c>
      <c r="E10415">
        <v>219647</v>
      </c>
      <c r="F10415">
        <v>259</v>
      </c>
      <c r="G10415">
        <v>1454</v>
      </c>
      <c r="H10415">
        <f>_xlfn.XLOOKUP(FACT_IMPORTS[[#This Row],[hts_6]],DIM_PRODUCTS[hts_6],DIM_PRODUCTS[hts_4],,,)</f>
        <v>8708</v>
      </c>
      <c r="I10415" t="str" cm="1">
        <f t="array" ref="I10415">_xlfn.XLOOKUP(FACT_IMPORTS[[#This Row],[country_name]],DIM_COUNTRY[[#All],[Column2]],DIM_COUNTRY[[#All],[Column3]],,,)</f>
        <v>USMCA</v>
      </c>
    </row>
    <row r="10416" spans="1:9" x14ac:dyDescent="0.4">
      <c r="A10416" t="s">
        <v>64</v>
      </c>
      <c r="B10416" s="1">
        <v>45717</v>
      </c>
      <c r="C10416">
        <v>870850</v>
      </c>
      <c r="D10416" t="s">
        <v>176</v>
      </c>
      <c r="E10416">
        <v>94637</v>
      </c>
      <c r="F10416">
        <v>117</v>
      </c>
      <c r="G10416">
        <v>294</v>
      </c>
      <c r="H10416">
        <f>_xlfn.XLOOKUP(FACT_IMPORTS[[#This Row],[hts_6]],DIM_PRODUCTS[hts_6],DIM_PRODUCTS[hts_4],,,)</f>
        <v>8708</v>
      </c>
      <c r="I10416" t="str" cm="1">
        <f t="array" ref="I10416">_xlfn.XLOOKUP(FACT_IMPORTS[[#This Row],[country_name]],DIM_COUNTRY[[#All],[Column2]],DIM_COUNTRY[[#All],[Column3]],,,)</f>
        <v>USMCA</v>
      </c>
    </row>
    <row r="10417" spans="1:9" x14ac:dyDescent="0.4">
      <c r="A10417" t="s">
        <v>64</v>
      </c>
      <c r="B10417" s="1">
        <v>45717</v>
      </c>
      <c r="C10417">
        <v>870870</v>
      </c>
      <c r="D10417" t="s">
        <v>176</v>
      </c>
      <c r="E10417">
        <v>62030</v>
      </c>
      <c r="F10417">
        <v>1451</v>
      </c>
      <c r="G10417">
        <v>1025</v>
      </c>
      <c r="H10417">
        <f>_xlfn.XLOOKUP(FACT_IMPORTS[[#This Row],[hts_6]],DIM_PRODUCTS[hts_6],DIM_PRODUCTS[hts_4],,,)</f>
        <v>8708</v>
      </c>
      <c r="I10417" t="str" cm="1">
        <f t="array" ref="I10417">_xlfn.XLOOKUP(FACT_IMPORTS[[#This Row],[country_name]],DIM_COUNTRY[[#All],[Column2]],DIM_COUNTRY[[#All],[Column3]],,,)</f>
        <v>USMCA</v>
      </c>
    </row>
    <row r="10418" spans="1:9" x14ac:dyDescent="0.4">
      <c r="A10418" t="s">
        <v>64</v>
      </c>
      <c r="B10418" s="1">
        <v>45717</v>
      </c>
      <c r="C10418">
        <v>870880</v>
      </c>
      <c r="D10418" t="s">
        <v>176</v>
      </c>
      <c r="E10418">
        <v>32254</v>
      </c>
      <c r="F10418">
        <v>780</v>
      </c>
      <c r="G10418">
        <v>1144</v>
      </c>
      <c r="H10418">
        <f>_xlfn.XLOOKUP(FACT_IMPORTS[[#This Row],[hts_6]],DIM_PRODUCTS[hts_6],DIM_PRODUCTS[hts_4],,,)</f>
        <v>8708</v>
      </c>
      <c r="I10418" t="str" cm="1">
        <f t="array" ref="I10418">_xlfn.XLOOKUP(FACT_IMPORTS[[#This Row],[country_name]],DIM_COUNTRY[[#All],[Column2]],DIM_COUNTRY[[#All],[Column3]],,,)</f>
        <v>USMCA</v>
      </c>
    </row>
    <row r="10419" spans="1:9" x14ac:dyDescent="0.4">
      <c r="A10419" t="s">
        <v>64</v>
      </c>
      <c r="B10419" s="1">
        <v>45717</v>
      </c>
      <c r="C10419">
        <v>870891</v>
      </c>
      <c r="D10419" t="s">
        <v>176</v>
      </c>
      <c r="E10419">
        <v>2736</v>
      </c>
      <c r="F10419">
        <v>19</v>
      </c>
      <c r="G10419">
        <v>3</v>
      </c>
      <c r="H10419">
        <f>_xlfn.XLOOKUP(FACT_IMPORTS[[#This Row],[hts_6]],DIM_PRODUCTS[hts_6],DIM_PRODUCTS[hts_4],,,)</f>
        <v>8708</v>
      </c>
      <c r="I10419" t="str" cm="1">
        <f t="array" ref="I10419">_xlfn.XLOOKUP(FACT_IMPORTS[[#This Row],[country_name]],DIM_COUNTRY[[#All],[Column2]],DIM_COUNTRY[[#All],[Column3]],,,)</f>
        <v>USMCA</v>
      </c>
    </row>
    <row r="10420" spans="1:9" x14ac:dyDescent="0.4">
      <c r="A10420" t="s">
        <v>64</v>
      </c>
      <c r="B10420" s="1">
        <v>45717</v>
      </c>
      <c r="C10420">
        <v>870892</v>
      </c>
      <c r="D10420" t="s">
        <v>176</v>
      </c>
      <c r="E10420">
        <v>16422</v>
      </c>
      <c r="F10420">
        <v>59</v>
      </c>
      <c r="G10420">
        <v>411</v>
      </c>
      <c r="H10420">
        <f>_xlfn.XLOOKUP(FACT_IMPORTS[[#This Row],[hts_6]],DIM_PRODUCTS[hts_6],DIM_PRODUCTS[hts_4],,,)</f>
        <v>8708</v>
      </c>
      <c r="I10420" t="str" cm="1">
        <f t="array" ref="I10420">_xlfn.XLOOKUP(FACT_IMPORTS[[#This Row],[country_name]],DIM_COUNTRY[[#All],[Column2]],DIM_COUNTRY[[#All],[Column3]],,,)</f>
        <v>USMCA</v>
      </c>
    </row>
    <row r="10421" spans="1:9" x14ac:dyDescent="0.4">
      <c r="A10421" t="s">
        <v>64</v>
      </c>
      <c r="B10421" s="1">
        <v>45717</v>
      </c>
      <c r="C10421">
        <v>870893</v>
      </c>
      <c r="D10421" t="s">
        <v>176</v>
      </c>
      <c r="E10421">
        <v>0</v>
      </c>
      <c r="F10421">
        <v>0</v>
      </c>
      <c r="G10421">
        <v>0</v>
      </c>
      <c r="H10421">
        <f>_xlfn.XLOOKUP(FACT_IMPORTS[[#This Row],[hts_6]],DIM_PRODUCTS[hts_6],DIM_PRODUCTS[hts_4],,,)</f>
        <v>8708</v>
      </c>
      <c r="I10421" t="str" cm="1">
        <f t="array" ref="I10421">_xlfn.XLOOKUP(FACT_IMPORTS[[#This Row],[country_name]],DIM_COUNTRY[[#All],[Column2]],DIM_COUNTRY[[#All],[Column3]],,,)</f>
        <v>USMCA</v>
      </c>
    </row>
    <row r="10422" spans="1:9" x14ac:dyDescent="0.4">
      <c r="A10422" t="s">
        <v>64</v>
      </c>
      <c r="B10422" s="1">
        <v>45717</v>
      </c>
      <c r="C10422">
        <v>870894</v>
      </c>
      <c r="D10422" t="s">
        <v>176</v>
      </c>
      <c r="E10422">
        <v>70688</v>
      </c>
      <c r="F10422">
        <v>263</v>
      </c>
      <c r="G10422">
        <v>401</v>
      </c>
      <c r="H10422">
        <f>_xlfn.XLOOKUP(FACT_IMPORTS[[#This Row],[hts_6]],DIM_PRODUCTS[hts_6],DIM_PRODUCTS[hts_4],,,)</f>
        <v>8708</v>
      </c>
      <c r="I10422" t="str" cm="1">
        <f t="array" ref="I10422">_xlfn.XLOOKUP(FACT_IMPORTS[[#This Row],[country_name]],DIM_COUNTRY[[#All],[Column2]],DIM_COUNTRY[[#All],[Column3]],,,)</f>
        <v>USMCA</v>
      </c>
    </row>
    <row r="10423" spans="1:9" x14ac:dyDescent="0.4">
      <c r="A10423" t="s">
        <v>64</v>
      </c>
      <c r="B10423" s="1">
        <v>45717</v>
      </c>
      <c r="C10423">
        <v>870895</v>
      </c>
      <c r="D10423" t="s">
        <v>176</v>
      </c>
      <c r="E10423">
        <v>12724</v>
      </c>
      <c r="F10423">
        <v>72</v>
      </c>
      <c r="G10423">
        <v>80</v>
      </c>
      <c r="H10423">
        <f>_xlfn.XLOOKUP(FACT_IMPORTS[[#This Row],[hts_6]],DIM_PRODUCTS[hts_6],DIM_PRODUCTS[hts_4],,,)</f>
        <v>8708</v>
      </c>
      <c r="I10423" t="str" cm="1">
        <f t="array" ref="I10423">_xlfn.XLOOKUP(FACT_IMPORTS[[#This Row],[country_name]],DIM_COUNTRY[[#All],[Column2]],DIM_COUNTRY[[#All],[Column3]],,,)</f>
        <v>USMCA</v>
      </c>
    </row>
    <row r="10424" spans="1:9" x14ac:dyDescent="0.4">
      <c r="A10424" t="s">
        <v>64</v>
      </c>
      <c r="B10424" s="1">
        <v>45717</v>
      </c>
      <c r="C10424">
        <v>870899</v>
      </c>
      <c r="D10424" t="s">
        <v>176</v>
      </c>
      <c r="E10424">
        <v>136135</v>
      </c>
      <c r="F10424">
        <v>3734</v>
      </c>
      <c r="G10424">
        <v>4383</v>
      </c>
      <c r="H10424">
        <f>_xlfn.XLOOKUP(FACT_IMPORTS[[#This Row],[hts_6]],DIM_PRODUCTS[hts_6],DIM_PRODUCTS[hts_4],,,)</f>
        <v>8708</v>
      </c>
      <c r="I10424" t="str" cm="1">
        <f t="array" ref="I10424">_xlfn.XLOOKUP(FACT_IMPORTS[[#This Row],[country_name]],DIM_COUNTRY[[#All],[Column2]],DIM_COUNTRY[[#All],[Column3]],,,)</f>
        <v>USMCA</v>
      </c>
    </row>
    <row r="10425" spans="1:9" x14ac:dyDescent="0.4">
      <c r="A10425" t="s">
        <v>64</v>
      </c>
      <c r="B10425" s="1">
        <v>45717</v>
      </c>
      <c r="C10425">
        <v>940120</v>
      </c>
      <c r="D10425" t="s">
        <v>176</v>
      </c>
      <c r="E10425">
        <v>7935</v>
      </c>
      <c r="F10425">
        <v>43</v>
      </c>
      <c r="G10425">
        <v>38</v>
      </c>
      <c r="H10425">
        <f>_xlfn.XLOOKUP(FACT_IMPORTS[[#This Row],[hts_6]],DIM_PRODUCTS[hts_6],DIM_PRODUCTS[hts_4],,,)</f>
        <v>9401</v>
      </c>
      <c r="I10425" t="str" cm="1">
        <f t="array" ref="I10425">_xlfn.XLOOKUP(FACT_IMPORTS[[#This Row],[country_name]],DIM_COUNTRY[[#All],[Column2]],DIM_COUNTRY[[#All],[Column3]],,,)</f>
        <v>USMCA</v>
      </c>
    </row>
    <row r="10426" spans="1:9" x14ac:dyDescent="0.4">
      <c r="A10426" t="s">
        <v>64</v>
      </c>
      <c r="B10426" s="1">
        <v>45748</v>
      </c>
      <c r="C10426">
        <v>392630</v>
      </c>
      <c r="D10426" t="s">
        <v>176</v>
      </c>
      <c r="E10426">
        <v>7553</v>
      </c>
      <c r="F10426">
        <v>2038</v>
      </c>
      <c r="G10426">
        <v>485</v>
      </c>
      <c r="H10426">
        <f>_xlfn.XLOOKUP(FACT_IMPORTS[[#This Row],[hts_6]],DIM_PRODUCTS[hts_6],DIM_PRODUCTS[hts_4],,,)</f>
        <v>3926</v>
      </c>
      <c r="I10426" t="str" cm="1">
        <f t="array" ref="I10426">_xlfn.XLOOKUP(FACT_IMPORTS[[#This Row],[country_name]],DIM_COUNTRY[[#All],[Column2]],DIM_COUNTRY[[#All],[Column3]],,,)</f>
        <v>USMCA</v>
      </c>
    </row>
    <row r="10427" spans="1:9" x14ac:dyDescent="0.4">
      <c r="A10427" t="s">
        <v>64</v>
      </c>
      <c r="B10427" s="1">
        <v>45748</v>
      </c>
      <c r="C10427">
        <v>401110</v>
      </c>
      <c r="D10427" t="s">
        <v>176</v>
      </c>
      <c r="E10427">
        <v>0</v>
      </c>
      <c r="F10427">
        <v>0</v>
      </c>
      <c r="G10427">
        <v>0</v>
      </c>
      <c r="H10427">
        <f>_xlfn.XLOOKUP(FACT_IMPORTS[[#This Row],[hts_6]],DIM_PRODUCTS[hts_6],DIM_PRODUCTS[hts_4],,,)</f>
        <v>4011</v>
      </c>
      <c r="I10427" t="str" cm="1">
        <f t="array" ref="I10427">_xlfn.XLOOKUP(FACT_IMPORTS[[#This Row],[country_name]],DIM_COUNTRY[[#All],[Column2]],DIM_COUNTRY[[#All],[Column3]],,,)</f>
        <v>USMCA</v>
      </c>
    </row>
    <row r="10428" spans="1:9" x14ac:dyDescent="0.4">
      <c r="A10428" t="s">
        <v>64</v>
      </c>
      <c r="B10428" s="1">
        <v>45748</v>
      </c>
      <c r="C10428">
        <v>401120</v>
      </c>
      <c r="D10428" t="s">
        <v>176</v>
      </c>
      <c r="E10428">
        <v>1104</v>
      </c>
      <c r="F10428">
        <v>10</v>
      </c>
      <c r="G10428">
        <v>141</v>
      </c>
      <c r="H10428">
        <f>_xlfn.XLOOKUP(FACT_IMPORTS[[#This Row],[hts_6]],DIM_PRODUCTS[hts_6],DIM_PRODUCTS[hts_4],,,)</f>
        <v>4011</v>
      </c>
      <c r="I10428" t="str" cm="1">
        <f t="array" ref="I10428">_xlfn.XLOOKUP(FACT_IMPORTS[[#This Row],[country_name]],DIM_COUNTRY[[#All],[Column2]],DIM_COUNTRY[[#All],[Column3]],,,)</f>
        <v>USMCA</v>
      </c>
    </row>
    <row r="10429" spans="1:9" x14ac:dyDescent="0.4">
      <c r="A10429" t="s">
        <v>64</v>
      </c>
      <c r="B10429" s="1">
        <v>45748</v>
      </c>
      <c r="C10429">
        <v>401190</v>
      </c>
      <c r="D10429" t="s">
        <v>176</v>
      </c>
      <c r="E10429">
        <v>0</v>
      </c>
      <c r="F10429">
        <v>0</v>
      </c>
      <c r="G10429">
        <v>0</v>
      </c>
      <c r="H10429">
        <f>_xlfn.XLOOKUP(FACT_IMPORTS[[#This Row],[hts_6]],DIM_PRODUCTS[hts_6],DIM_PRODUCTS[hts_4],,,)</f>
        <v>4011</v>
      </c>
      <c r="I10429" t="str" cm="1">
        <f t="array" ref="I10429">_xlfn.XLOOKUP(FACT_IMPORTS[[#This Row],[country_name]],DIM_COUNTRY[[#All],[Column2]],DIM_COUNTRY[[#All],[Column3]],,,)</f>
        <v>USMCA</v>
      </c>
    </row>
    <row r="10430" spans="1:9" x14ac:dyDescent="0.4">
      <c r="A10430" t="s">
        <v>64</v>
      </c>
      <c r="B10430" s="1">
        <v>45748</v>
      </c>
      <c r="C10430">
        <v>700711</v>
      </c>
      <c r="D10430" t="s">
        <v>176</v>
      </c>
      <c r="E10430">
        <v>0</v>
      </c>
      <c r="F10430">
        <v>0</v>
      </c>
      <c r="G10430">
        <v>0</v>
      </c>
      <c r="H10430">
        <f>_xlfn.XLOOKUP(FACT_IMPORTS[[#This Row],[hts_6]],DIM_PRODUCTS[hts_6],DIM_PRODUCTS[hts_4],,,)</f>
        <v>7007</v>
      </c>
      <c r="I10430" t="str" cm="1">
        <f t="array" ref="I10430">_xlfn.XLOOKUP(FACT_IMPORTS[[#This Row],[country_name]],DIM_COUNTRY[[#All],[Column2]],DIM_COUNTRY[[#All],[Column3]],,,)</f>
        <v>USMCA</v>
      </c>
    </row>
    <row r="10431" spans="1:9" x14ac:dyDescent="0.4">
      <c r="A10431" t="s">
        <v>64</v>
      </c>
      <c r="B10431" s="1">
        <v>45748</v>
      </c>
      <c r="C10431">
        <v>700721</v>
      </c>
      <c r="D10431" t="s">
        <v>176</v>
      </c>
      <c r="E10431">
        <v>0</v>
      </c>
      <c r="F10431">
        <v>0</v>
      </c>
      <c r="G10431">
        <v>0</v>
      </c>
      <c r="H10431">
        <f>_xlfn.XLOOKUP(FACT_IMPORTS[[#This Row],[hts_6]],DIM_PRODUCTS[hts_6],DIM_PRODUCTS[hts_4],,,)</f>
        <v>7007</v>
      </c>
      <c r="I10431" t="str" cm="1">
        <f t="array" ref="I10431">_xlfn.XLOOKUP(FACT_IMPORTS[[#This Row],[country_name]],DIM_COUNTRY[[#All],[Column2]],DIM_COUNTRY[[#All],[Column3]],,,)</f>
        <v>USMCA</v>
      </c>
    </row>
    <row r="10432" spans="1:9" x14ac:dyDescent="0.4">
      <c r="A10432" t="s">
        <v>64</v>
      </c>
      <c r="B10432" s="1">
        <v>45748</v>
      </c>
      <c r="C10432">
        <v>700910</v>
      </c>
      <c r="D10432" t="s">
        <v>176</v>
      </c>
      <c r="E10432">
        <v>0</v>
      </c>
      <c r="F10432">
        <v>0</v>
      </c>
      <c r="G10432">
        <v>0</v>
      </c>
      <c r="H10432">
        <f>_xlfn.XLOOKUP(FACT_IMPORTS[[#This Row],[hts_6]],DIM_PRODUCTS[hts_6],DIM_PRODUCTS[hts_4],,,)</f>
        <v>7009</v>
      </c>
      <c r="I10432" t="str" cm="1">
        <f t="array" ref="I10432">_xlfn.XLOOKUP(FACT_IMPORTS[[#This Row],[country_name]],DIM_COUNTRY[[#All],[Column2]],DIM_COUNTRY[[#All],[Column3]],,,)</f>
        <v>USMCA</v>
      </c>
    </row>
    <row r="10433" spans="1:9" x14ac:dyDescent="0.4">
      <c r="A10433" t="s">
        <v>64</v>
      </c>
      <c r="B10433" s="1">
        <v>45748</v>
      </c>
      <c r="C10433">
        <v>732010</v>
      </c>
      <c r="D10433" t="s">
        <v>176</v>
      </c>
      <c r="E10433">
        <v>0</v>
      </c>
      <c r="F10433">
        <v>0</v>
      </c>
      <c r="G10433">
        <v>0</v>
      </c>
      <c r="H10433">
        <f>_xlfn.XLOOKUP(FACT_IMPORTS[[#This Row],[hts_6]],DIM_PRODUCTS[hts_6],DIM_PRODUCTS[hts_4],,,)</f>
        <v>7320</v>
      </c>
      <c r="I10433" t="str" cm="1">
        <f t="array" ref="I10433">_xlfn.XLOOKUP(FACT_IMPORTS[[#This Row],[country_name]],DIM_COUNTRY[[#All],[Column2]],DIM_COUNTRY[[#All],[Column3]],,,)</f>
        <v>USMCA</v>
      </c>
    </row>
    <row r="10434" spans="1:9" x14ac:dyDescent="0.4">
      <c r="A10434" t="s">
        <v>64</v>
      </c>
      <c r="B10434" s="1">
        <v>45748</v>
      </c>
      <c r="C10434">
        <v>830230</v>
      </c>
      <c r="D10434" t="s">
        <v>176</v>
      </c>
      <c r="E10434">
        <v>21038</v>
      </c>
      <c r="F10434">
        <v>434</v>
      </c>
      <c r="G10434">
        <v>978</v>
      </c>
      <c r="H10434">
        <f>_xlfn.XLOOKUP(FACT_IMPORTS[[#This Row],[hts_6]],DIM_PRODUCTS[hts_6],DIM_PRODUCTS[hts_4],,,)</f>
        <v>8302</v>
      </c>
      <c r="I10434" t="str" cm="1">
        <f t="array" ref="I10434">_xlfn.XLOOKUP(FACT_IMPORTS[[#This Row],[country_name]],DIM_COUNTRY[[#All],[Column2]],DIM_COUNTRY[[#All],[Column3]],,,)</f>
        <v>USMCA</v>
      </c>
    </row>
    <row r="10435" spans="1:9" x14ac:dyDescent="0.4">
      <c r="A10435" t="s">
        <v>64</v>
      </c>
      <c r="B10435" s="1">
        <v>45748</v>
      </c>
      <c r="C10435">
        <v>840733</v>
      </c>
      <c r="D10435" t="s">
        <v>176</v>
      </c>
      <c r="E10435">
        <v>22374</v>
      </c>
      <c r="F10435">
        <v>3</v>
      </c>
      <c r="G10435">
        <v>208</v>
      </c>
      <c r="H10435">
        <f>_xlfn.XLOOKUP(FACT_IMPORTS[[#This Row],[hts_6]],DIM_PRODUCTS[hts_6],DIM_PRODUCTS[hts_4],,,)</f>
        <v>8407</v>
      </c>
      <c r="I10435" t="str" cm="1">
        <f t="array" ref="I10435">_xlfn.XLOOKUP(FACT_IMPORTS[[#This Row],[country_name]],DIM_COUNTRY[[#All],[Column2]],DIM_COUNTRY[[#All],[Column3]],,,)</f>
        <v>USMCA</v>
      </c>
    </row>
    <row r="10436" spans="1:9" x14ac:dyDescent="0.4">
      <c r="A10436" t="s">
        <v>64</v>
      </c>
      <c r="B10436" s="1">
        <v>45748</v>
      </c>
      <c r="C10436">
        <v>840734</v>
      </c>
      <c r="D10436" t="s">
        <v>176</v>
      </c>
      <c r="E10436">
        <v>152928</v>
      </c>
      <c r="F10436">
        <v>77</v>
      </c>
      <c r="G10436">
        <v>710</v>
      </c>
      <c r="H10436">
        <f>_xlfn.XLOOKUP(FACT_IMPORTS[[#This Row],[hts_6]],DIM_PRODUCTS[hts_6],DIM_PRODUCTS[hts_4],,,)</f>
        <v>8407</v>
      </c>
      <c r="I10436" t="str" cm="1">
        <f t="array" ref="I10436">_xlfn.XLOOKUP(FACT_IMPORTS[[#This Row],[country_name]],DIM_COUNTRY[[#All],[Column2]],DIM_COUNTRY[[#All],[Column3]],,,)</f>
        <v>USMCA</v>
      </c>
    </row>
    <row r="10437" spans="1:9" x14ac:dyDescent="0.4">
      <c r="A10437" t="s">
        <v>64</v>
      </c>
      <c r="B10437" s="1">
        <v>45748</v>
      </c>
      <c r="C10437">
        <v>840820</v>
      </c>
      <c r="D10437" t="s">
        <v>176</v>
      </c>
      <c r="E10437">
        <v>71050</v>
      </c>
      <c r="F10437">
        <v>13</v>
      </c>
      <c r="G10437">
        <v>103</v>
      </c>
      <c r="H10437">
        <f>_xlfn.XLOOKUP(FACT_IMPORTS[[#This Row],[hts_6]],DIM_PRODUCTS[hts_6],DIM_PRODUCTS[hts_4],,,)</f>
        <v>8408</v>
      </c>
      <c r="I10437" t="str" cm="1">
        <f t="array" ref="I10437">_xlfn.XLOOKUP(FACT_IMPORTS[[#This Row],[country_name]],DIM_COUNTRY[[#All],[Column2]],DIM_COUNTRY[[#All],[Column3]],,,)</f>
        <v>USMCA</v>
      </c>
    </row>
    <row r="10438" spans="1:9" x14ac:dyDescent="0.4">
      <c r="A10438" t="s">
        <v>64</v>
      </c>
      <c r="B10438" s="1">
        <v>45748</v>
      </c>
      <c r="C10438">
        <v>840890</v>
      </c>
      <c r="D10438" t="s">
        <v>176</v>
      </c>
      <c r="E10438">
        <v>4600</v>
      </c>
      <c r="F10438">
        <v>2</v>
      </c>
      <c r="G10438">
        <v>26</v>
      </c>
      <c r="H10438">
        <f>_xlfn.XLOOKUP(FACT_IMPORTS[[#This Row],[hts_6]],DIM_PRODUCTS[hts_6],DIM_PRODUCTS[hts_4],,,)</f>
        <v>8408</v>
      </c>
      <c r="I10438" t="str" cm="1">
        <f t="array" ref="I10438">_xlfn.XLOOKUP(FACT_IMPORTS[[#This Row],[country_name]],DIM_COUNTRY[[#All],[Column2]],DIM_COUNTRY[[#All],[Column3]],,,)</f>
        <v>USMCA</v>
      </c>
    </row>
    <row r="10439" spans="1:9" x14ac:dyDescent="0.4">
      <c r="A10439" t="s">
        <v>64</v>
      </c>
      <c r="B10439" s="1">
        <v>45748</v>
      </c>
      <c r="C10439">
        <v>840991</v>
      </c>
      <c r="D10439" t="s">
        <v>176</v>
      </c>
      <c r="E10439">
        <v>821120</v>
      </c>
      <c r="F10439">
        <v>29850</v>
      </c>
      <c r="G10439">
        <v>8378</v>
      </c>
      <c r="H10439">
        <f>_xlfn.XLOOKUP(FACT_IMPORTS[[#This Row],[hts_6]],DIM_PRODUCTS[hts_6],DIM_PRODUCTS[hts_4],,,)</f>
        <v>8409</v>
      </c>
      <c r="I10439" t="str" cm="1">
        <f t="array" ref="I10439">_xlfn.XLOOKUP(FACT_IMPORTS[[#This Row],[country_name]],DIM_COUNTRY[[#All],[Column2]],DIM_COUNTRY[[#All],[Column3]],,,)</f>
        <v>USMCA</v>
      </c>
    </row>
    <row r="10440" spans="1:9" x14ac:dyDescent="0.4">
      <c r="A10440" t="s">
        <v>64</v>
      </c>
      <c r="B10440" s="1">
        <v>45748</v>
      </c>
      <c r="C10440">
        <v>840999</v>
      </c>
      <c r="D10440" t="s">
        <v>176</v>
      </c>
      <c r="E10440">
        <v>46996</v>
      </c>
      <c r="F10440">
        <v>1282</v>
      </c>
      <c r="G10440">
        <v>1303</v>
      </c>
      <c r="H10440">
        <f>_xlfn.XLOOKUP(FACT_IMPORTS[[#This Row],[hts_6]],DIM_PRODUCTS[hts_6],DIM_PRODUCTS[hts_4],,,)</f>
        <v>8409</v>
      </c>
      <c r="I10440" t="str" cm="1">
        <f t="array" ref="I10440">_xlfn.XLOOKUP(FACT_IMPORTS[[#This Row],[country_name]],DIM_COUNTRY[[#All],[Column2]],DIM_COUNTRY[[#All],[Column3]],,,)</f>
        <v>USMCA</v>
      </c>
    </row>
    <row r="10441" spans="1:9" x14ac:dyDescent="0.4">
      <c r="A10441" t="s">
        <v>64</v>
      </c>
      <c r="B10441" s="1">
        <v>45748</v>
      </c>
      <c r="C10441">
        <v>841330</v>
      </c>
      <c r="D10441" t="s">
        <v>176</v>
      </c>
      <c r="E10441">
        <v>84233</v>
      </c>
      <c r="F10441">
        <v>302</v>
      </c>
      <c r="G10441">
        <v>93</v>
      </c>
      <c r="H10441">
        <f>_xlfn.XLOOKUP(FACT_IMPORTS[[#This Row],[hts_6]],DIM_PRODUCTS[hts_6],DIM_PRODUCTS[hts_4],,,)</f>
        <v>8413</v>
      </c>
      <c r="I10441" t="str" cm="1">
        <f t="array" ref="I10441">_xlfn.XLOOKUP(FACT_IMPORTS[[#This Row],[country_name]],DIM_COUNTRY[[#All],[Column2]],DIM_COUNTRY[[#All],[Column3]],,,)</f>
        <v>USMCA</v>
      </c>
    </row>
    <row r="10442" spans="1:9" x14ac:dyDescent="0.4">
      <c r="A10442" t="s">
        <v>64</v>
      </c>
      <c r="B10442" s="1">
        <v>45748</v>
      </c>
      <c r="C10442">
        <v>841520</v>
      </c>
      <c r="D10442" t="s">
        <v>176</v>
      </c>
      <c r="E10442">
        <v>0</v>
      </c>
      <c r="F10442">
        <v>0</v>
      </c>
      <c r="G10442">
        <v>0</v>
      </c>
      <c r="H10442">
        <f>_xlfn.XLOOKUP(FACT_IMPORTS[[#This Row],[hts_6]],DIM_PRODUCTS[hts_6],DIM_PRODUCTS[hts_4],,,)</f>
        <v>8415</v>
      </c>
      <c r="I10442" t="str" cm="1">
        <f t="array" ref="I10442">_xlfn.XLOOKUP(FACT_IMPORTS[[#This Row],[country_name]],DIM_COUNTRY[[#All],[Column2]],DIM_COUNTRY[[#All],[Column3]],,,)</f>
        <v>USMCA</v>
      </c>
    </row>
    <row r="10443" spans="1:9" x14ac:dyDescent="0.4">
      <c r="A10443" t="s">
        <v>64</v>
      </c>
      <c r="B10443" s="1">
        <v>45748</v>
      </c>
      <c r="C10443">
        <v>842132</v>
      </c>
      <c r="D10443" t="s">
        <v>176</v>
      </c>
      <c r="E10443">
        <v>106109</v>
      </c>
      <c r="F10443">
        <v>300</v>
      </c>
      <c r="G10443">
        <v>3596</v>
      </c>
      <c r="H10443">
        <f>_xlfn.XLOOKUP(FACT_IMPORTS[[#This Row],[hts_6]],DIM_PRODUCTS[hts_6],DIM_PRODUCTS[hts_4],,,)</f>
        <v>8421</v>
      </c>
      <c r="I10443" t="str" cm="1">
        <f t="array" ref="I10443">_xlfn.XLOOKUP(FACT_IMPORTS[[#This Row],[country_name]],DIM_COUNTRY[[#All],[Column2]],DIM_COUNTRY[[#All],[Column3]],,,)</f>
        <v>USMCA</v>
      </c>
    </row>
    <row r="10444" spans="1:9" x14ac:dyDescent="0.4">
      <c r="A10444" t="s">
        <v>64</v>
      </c>
      <c r="B10444" s="1">
        <v>45748</v>
      </c>
      <c r="C10444">
        <v>848210</v>
      </c>
      <c r="D10444" t="s">
        <v>176</v>
      </c>
      <c r="E10444">
        <v>0</v>
      </c>
      <c r="F10444">
        <v>0</v>
      </c>
      <c r="G10444">
        <v>0</v>
      </c>
      <c r="H10444">
        <f>_xlfn.XLOOKUP(FACT_IMPORTS[[#This Row],[hts_6]],DIM_PRODUCTS[hts_6],DIM_PRODUCTS[hts_4],,,)</f>
        <v>8482</v>
      </c>
      <c r="I10444" t="str" cm="1">
        <f t="array" ref="I10444">_xlfn.XLOOKUP(FACT_IMPORTS[[#This Row],[country_name]],DIM_COUNTRY[[#All],[Column2]],DIM_COUNTRY[[#All],[Column3]],,,)</f>
        <v>USMCA</v>
      </c>
    </row>
    <row r="10445" spans="1:9" x14ac:dyDescent="0.4">
      <c r="A10445" t="s">
        <v>64</v>
      </c>
      <c r="B10445" s="1">
        <v>45748</v>
      </c>
      <c r="C10445">
        <v>848220</v>
      </c>
      <c r="D10445" t="s">
        <v>176</v>
      </c>
      <c r="E10445">
        <v>0</v>
      </c>
      <c r="F10445">
        <v>0</v>
      </c>
      <c r="G10445">
        <v>0</v>
      </c>
      <c r="H10445">
        <f>_xlfn.XLOOKUP(FACT_IMPORTS[[#This Row],[hts_6]],DIM_PRODUCTS[hts_6],DIM_PRODUCTS[hts_4],,,)</f>
        <v>8482</v>
      </c>
      <c r="I10445" t="str" cm="1">
        <f t="array" ref="I10445">_xlfn.XLOOKUP(FACT_IMPORTS[[#This Row],[country_name]],DIM_COUNTRY[[#All],[Column2]],DIM_COUNTRY[[#All],[Column3]],,,)</f>
        <v>USMCA</v>
      </c>
    </row>
    <row r="10446" spans="1:9" x14ac:dyDescent="0.4">
      <c r="A10446" t="s">
        <v>64</v>
      </c>
      <c r="B10446" s="1">
        <v>45748</v>
      </c>
      <c r="C10446">
        <v>848310</v>
      </c>
      <c r="D10446" t="s">
        <v>176</v>
      </c>
      <c r="E10446">
        <v>0</v>
      </c>
      <c r="F10446">
        <v>0</v>
      </c>
      <c r="G10446">
        <v>0</v>
      </c>
      <c r="H10446">
        <f>_xlfn.XLOOKUP(FACT_IMPORTS[[#This Row],[hts_6]],DIM_PRODUCTS[hts_6],DIM_PRODUCTS[hts_4],,,)</f>
        <v>8483</v>
      </c>
      <c r="I10446" t="str" cm="1">
        <f t="array" ref="I10446">_xlfn.XLOOKUP(FACT_IMPORTS[[#This Row],[country_name]],DIM_COUNTRY[[#All],[Column2]],DIM_COUNTRY[[#All],[Column3]],,,)</f>
        <v>USMCA</v>
      </c>
    </row>
    <row r="10447" spans="1:9" x14ac:dyDescent="0.4">
      <c r="A10447" t="s">
        <v>64</v>
      </c>
      <c r="B10447" s="1">
        <v>45748</v>
      </c>
      <c r="C10447">
        <v>850131</v>
      </c>
      <c r="D10447" t="s">
        <v>176</v>
      </c>
      <c r="E10447">
        <v>83450</v>
      </c>
      <c r="F10447">
        <v>1917</v>
      </c>
      <c r="G10447">
        <v>2762</v>
      </c>
      <c r="H10447">
        <f>_xlfn.XLOOKUP(FACT_IMPORTS[[#This Row],[hts_6]],DIM_PRODUCTS[hts_6],DIM_PRODUCTS[hts_4],,,)</f>
        <v>8501</v>
      </c>
      <c r="I10447" t="str" cm="1">
        <f t="array" ref="I10447">_xlfn.XLOOKUP(FACT_IMPORTS[[#This Row],[country_name]],DIM_COUNTRY[[#All],[Column2]],DIM_COUNTRY[[#All],[Column3]],,,)</f>
        <v>USMCA</v>
      </c>
    </row>
    <row r="10448" spans="1:9" x14ac:dyDescent="0.4">
      <c r="A10448" t="s">
        <v>64</v>
      </c>
      <c r="B10448" s="1">
        <v>45748</v>
      </c>
      <c r="C10448">
        <v>850132</v>
      </c>
      <c r="D10448" t="s">
        <v>176</v>
      </c>
      <c r="E10448">
        <v>0</v>
      </c>
      <c r="F10448">
        <v>0</v>
      </c>
      <c r="G10448">
        <v>0</v>
      </c>
      <c r="H10448">
        <f>_xlfn.XLOOKUP(FACT_IMPORTS[[#This Row],[hts_6]],DIM_PRODUCTS[hts_6],DIM_PRODUCTS[hts_4],,,)</f>
        <v>8501</v>
      </c>
      <c r="I10448" t="str" cm="1">
        <f t="array" ref="I10448">_xlfn.XLOOKUP(FACT_IMPORTS[[#This Row],[country_name]],DIM_COUNTRY[[#All],[Column2]],DIM_COUNTRY[[#All],[Column3]],,,)</f>
        <v>USMCA</v>
      </c>
    </row>
    <row r="10449" spans="1:9" x14ac:dyDescent="0.4">
      <c r="A10449" t="s">
        <v>64</v>
      </c>
      <c r="B10449" s="1">
        <v>45748</v>
      </c>
      <c r="C10449">
        <v>850134</v>
      </c>
      <c r="D10449" t="s">
        <v>176</v>
      </c>
      <c r="E10449">
        <v>0</v>
      </c>
      <c r="F10449">
        <v>0</v>
      </c>
      <c r="G10449">
        <v>0</v>
      </c>
      <c r="H10449">
        <f>_xlfn.XLOOKUP(FACT_IMPORTS[[#This Row],[hts_6]],DIM_PRODUCTS[hts_6],DIM_PRODUCTS[hts_4],,,)</f>
        <v>8501</v>
      </c>
      <c r="I10449" t="str" cm="1">
        <f t="array" ref="I10449">_xlfn.XLOOKUP(FACT_IMPORTS[[#This Row],[country_name]],DIM_COUNTRY[[#All],[Column2]],DIM_COUNTRY[[#All],[Column3]],,,)</f>
        <v>USMCA</v>
      </c>
    </row>
    <row r="10450" spans="1:9" x14ac:dyDescent="0.4">
      <c r="A10450" t="s">
        <v>64</v>
      </c>
      <c r="B10450" s="1">
        <v>45748</v>
      </c>
      <c r="C10450">
        <v>850152</v>
      </c>
      <c r="D10450" t="s">
        <v>176</v>
      </c>
      <c r="E10450">
        <v>212406</v>
      </c>
      <c r="F10450">
        <v>278</v>
      </c>
      <c r="G10450">
        <v>812</v>
      </c>
      <c r="H10450">
        <f>_xlfn.XLOOKUP(FACT_IMPORTS[[#This Row],[hts_6]],DIM_PRODUCTS[hts_6],DIM_PRODUCTS[hts_4],,,)</f>
        <v>8501</v>
      </c>
      <c r="I10450" t="str" cm="1">
        <f t="array" ref="I10450">_xlfn.XLOOKUP(FACT_IMPORTS[[#This Row],[country_name]],DIM_COUNTRY[[#All],[Column2]],DIM_COUNTRY[[#All],[Column3]],,,)</f>
        <v>USMCA</v>
      </c>
    </row>
    <row r="10451" spans="1:9" x14ac:dyDescent="0.4">
      <c r="A10451" t="s">
        <v>64</v>
      </c>
      <c r="B10451" s="1">
        <v>45748</v>
      </c>
      <c r="C10451">
        <v>850153</v>
      </c>
      <c r="D10451" t="s">
        <v>176</v>
      </c>
      <c r="E10451">
        <v>197472</v>
      </c>
      <c r="F10451">
        <v>90</v>
      </c>
      <c r="G10451">
        <v>238</v>
      </c>
      <c r="H10451">
        <f>_xlfn.XLOOKUP(FACT_IMPORTS[[#This Row],[hts_6]],DIM_PRODUCTS[hts_6],DIM_PRODUCTS[hts_4],,,)</f>
        <v>8501</v>
      </c>
      <c r="I10451" t="str" cm="1">
        <f t="array" ref="I10451">_xlfn.XLOOKUP(FACT_IMPORTS[[#This Row],[country_name]],DIM_COUNTRY[[#All],[Column2]],DIM_COUNTRY[[#All],[Column3]],,,)</f>
        <v>USMCA</v>
      </c>
    </row>
    <row r="10452" spans="1:9" x14ac:dyDescent="0.4">
      <c r="A10452" t="s">
        <v>64</v>
      </c>
      <c r="B10452" s="1">
        <v>45748</v>
      </c>
      <c r="C10452">
        <v>850440</v>
      </c>
      <c r="D10452" t="s">
        <v>176</v>
      </c>
      <c r="E10452">
        <v>57575</v>
      </c>
      <c r="F10452">
        <v>437</v>
      </c>
      <c r="G10452">
        <v>498</v>
      </c>
      <c r="H10452">
        <f>_xlfn.XLOOKUP(FACT_IMPORTS[[#This Row],[hts_6]],DIM_PRODUCTS[hts_6],DIM_PRODUCTS[hts_4],,,)</f>
        <v>8504</v>
      </c>
      <c r="I10452" t="str" cm="1">
        <f t="array" ref="I10452">_xlfn.XLOOKUP(FACT_IMPORTS[[#This Row],[country_name]],DIM_COUNTRY[[#All],[Column2]],DIM_COUNTRY[[#All],[Column3]],,,)</f>
        <v>USMCA</v>
      </c>
    </row>
    <row r="10453" spans="1:9" x14ac:dyDescent="0.4">
      <c r="A10453" t="s">
        <v>64</v>
      </c>
      <c r="B10453" s="1">
        <v>45748</v>
      </c>
      <c r="C10453">
        <v>850710</v>
      </c>
      <c r="D10453" t="s">
        <v>176</v>
      </c>
      <c r="E10453">
        <v>0</v>
      </c>
      <c r="F10453">
        <v>0</v>
      </c>
      <c r="G10453">
        <v>0</v>
      </c>
      <c r="H10453">
        <f>_xlfn.XLOOKUP(FACT_IMPORTS[[#This Row],[hts_6]],DIM_PRODUCTS[hts_6],DIM_PRODUCTS[hts_4],,,)</f>
        <v>8507</v>
      </c>
      <c r="I10453" t="str" cm="1">
        <f t="array" ref="I10453">_xlfn.XLOOKUP(FACT_IMPORTS[[#This Row],[country_name]],DIM_COUNTRY[[#All],[Column2]],DIM_COUNTRY[[#All],[Column3]],,,)</f>
        <v>USMCA</v>
      </c>
    </row>
    <row r="10454" spans="1:9" x14ac:dyDescent="0.4">
      <c r="A10454" t="s">
        <v>64</v>
      </c>
      <c r="B10454" s="1">
        <v>45748</v>
      </c>
      <c r="C10454">
        <v>850760</v>
      </c>
      <c r="D10454" t="s">
        <v>176</v>
      </c>
      <c r="E10454">
        <v>8459</v>
      </c>
      <c r="F10454">
        <v>150</v>
      </c>
      <c r="G10454">
        <v>200</v>
      </c>
      <c r="H10454">
        <f>_xlfn.XLOOKUP(FACT_IMPORTS[[#This Row],[hts_6]],DIM_PRODUCTS[hts_6],DIM_PRODUCTS[hts_4],,,)</f>
        <v>8507</v>
      </c>
      <c r="I10454" t="str" cm="1">
        <f t="array" ref="I10454">_xlfn.XLOOKUP(FACT_IMPORTS[[#This Row],[country_name]],DIM_COUNTRY[[#All],[Column2]],DIM_COUNTRY[[#All],[Column3]],,,)</f>
        <v>USMCA</v>
      </c>
    </row>
    <row r="10455" spans="1:9" x14ac:dyDescent="0.4">
      <c r="A10455" t="s">
        <v>64</v>
      </c>
      <c r="B10455" s="1">
        <v>45748</v>
      </c>
      <c r="C10455">
        <v>851110</v>
      </c>
      <c r="D10455" t="s">
        <v>176</v>
      </c>
      <c r="E10455">
        <v>2277</v>
      </c>
      <c r="F10455">
        <v>16</v>
      </c>
      <c r="G10455">
        <v>1</v>
      </c>
      <c r="H10455">
        <f>_xlfn.XLOOKUP(FACT_IMPORTS[[#This Row],[hts_6]],DIM_PRODUCTS[hts_6],DIM_PRODUCTS[hts_4],,,)</f>
        <v>8511</v>
      </c>
      <c r="I10455" t="str" cm="1">
        <f t="array" ref="I10455">_xlfn.XLOOKUP(FACT_IMPORTS[[#This Row],[country_name]],DIM_COUNTRY[[#All],[Column2]],DIM_COUNTRY[[#All],[Column3]],,,)</f>
        <v>USMCA</v>
      </c>
    </row>
    <row r="10456" spans="1:9" x14ac:dyDescent="0.4">
      <c r="A10456" t="s">
        <v>64</v>
      </c>
      <c r="B10456" s="1">
        <v>45748</v>
      </c>
      <c r="C10456">
        <v>851120</v>
      </c>
      <c r="D10456" t="s">
        <v>176</v>
      </c>
      <c r="E10456">
        <v>0</v>
      </c>
      <c r="F10456">
        <v>0</v>
      </c>
      <c r="G10456">
        <v>0</v>
      </c>
      <c r="H10456">
        <f>_xlfn.XLOOKUP(FACT_IMPORTS[[#This Row],[hts_6]],DIM_PRODUCTS[hts_6],DIM_PRODUCTS[hts_4],,,)</f>
        <v>8511</v>
      </c>
      <c r="I10456" t="str" cm="1">
        <f t="array" ref="I10456">_xlfn.XLOOKUP(FACT_IMPORTS[[#This Row],[country_name]],DIM_COUNTRY[[#All],[Column2]],DIM_COUNTRY[[#All],[Column3]],,,)</f>
        <v>USMCA</v>
      </c>
    </row>
    <row r="10457" spans="1:9" x14ac:dyDescent="0.4">
      <c r="A10457" t="s">
        <v>64</v>
      </c>
      <c r="B10457" s="1">
        <v>45748</v>
      </c>
      <c r="C10457">
        <v>851130</v>
      </c>
      <c r="D10457" t="s">
        <v>176</v>
      </c>
      <c r="E10457">
        <v>0</v>
      </c>
      <c r="F10457">
        <v>0</v>
      </c>
      <c r="G10457">
        <v>0</v>
      </c>
      <c r="H10457">
        <f>_xlfn.XLOOKUP(FACT_IMPORTS[[#This Row],[hts_6]],DIM_PRODUCTS[hts_6],DIM_PRODUCTS[hts_4],,,)</f>
        <v>8511</v>
      </c>
      <c r="I10457" t="str" cm="1">
        <f t="array" ref="I10457">_xlfn.XLOOKUP(FACT_IMPORTS[[#This Row],[country_name]],DIM_COUNTRY[[#All],[Column2]],DIM_COUNTRY[[#All],[Column3]],,,)</f>
        <v>USMCA</v>
      </c>
    </row>
    <row r="10458" spans="1:9" x14ac:dyDescent="0.4">
      <c r="A10458" t="s">
        <v>64</v>
      </c>
      <c r="B10458" s="1">
        <v>45748</v>
      </c>
      <c r="C10458">
        <v>851140</v>
      </c>
      <c r="D10458" t="s">
        <v>176</v>
      </c>
      <c r="E10458">
        <v>4065</v>
      </c>
      <c r="F10458">
        <v>76</v>
      </c>
      <c r="G10458">
        <v>3</v>
      </c>
      <c r="H10458">
        <f>_xlfn.XLOOKUP(FACT_IMPORTS[[#This Row],[hts_6]],DIM_PRODUCTS[hts_6],DIM_PRODUCTS[hts_4],,,)</f>
        <v>8511</v>
      </c>
      <c r="I10458" t="str" cm="1">
        <f t="array" ref="I10458">_xlfn.XLOOKUP(FACT_IMPORTS[[#This Row],[country_name]],DIM_COUNTRY[[#All],[Column2]],DIM_COUNTRY[[#All],[Column3]],,,)</f>
        <v>USMCA</v>
      </c>
    </row>
    <row r="10459" spans="1:9" x14ac:dyDescent="0.4">
      <c r="A10459" t="s">
        <v>64</v>
      </c>
      <c r="B10459" s="1">
        <v>45748</v>
      </c>
      <c r="C10459">
        <v>851150</v>
      </c>
      <c r="D10459" t="s">
        <v>176</v>
      </c>
      <c r="E10459">
        <v>0</v>
      </c>
      <c r="F10459">
        <v>0</v>
      </c>
      <c r="G10459">
        <v>0</v>
      </c>
      <c r="H10459">
        <f>_xlfn.XLOOKUP(FACT_IMPORTS[[#This Row],[hts_6]],DIM_PRODUCTS[hts_6],DIM_PRODUCTS[hts_4],,,)</f>
        <v>8511</v>
      </c>
      <c r="I10459" t="str" cm="1">
        <f t="array" ref="I10459">_xlfn.XLOOKUP(FACT_IMPORTS[[#This Row],[country_name]],DIM_COUNTRY[[#All],[Column2]],DIM_COUNTRY[[#All],[Column3]],,,)</f>
        <v>USMCA</v>
      </c>
    </row>
    <row r="10460" spans="1:9" x14ac:dyDescent="0.4">
      <c r="A10460" t="s">
        <v>64</v>
      </c>
      <c r="B10460" s="1">
        <v>45748</v>
      </c>
      <c r="C10460">
        <v>851180</v>
      </c>
      <c r="D10460" t="s">
        <v>176</v>
      </c>
      <c r="E10460">
        <v>3959</v>
      </c>
      <c r="F10460">
        <v>74</v>
      </c>
      <c r="G10460">
        <v>1</v>
      </c>
      <c r="H10460">
        <f>_xlfn.XLOOKUP(FACT_IMPORTS[[#This Row],[hts_6]],DIM_PRODUCTS[hts_6],DIM_PRODUCTS[hts_4],,,)</f>
        <v>8511</v>
      </c>
      <c r="I10460" t="str" cm="1">
        <f t="array" ref="I10460">_xlfn.XLOOKUP(FACT_IMPORTS[[#This Row],[country_name]],DIM_COUNTRY[[#All],[Column2]],DIM_COUNTRY[[#All],[Column3]],,,)</f>
        <v>USMCA</v>
      </c>
    </row>
    <row r="10461" spans="1:9" x14ac:dyDescent="0.4">
      <c r="A10461" t="s">
        <v>64</v>
      </c>
      <c r="B10461" s="1">
        <v>45748</v>
      </c>
      <c r="C10461">
        <v>851190</v>
      </c>
      <c r="D10461" t="s">
        <v>176</v>
      </c>
      <c r="E10461">
        <v>0</v>
      </c>
      <c r="F10461">
        <v>0</v>
      </c>
      <c r="G10461">
        <v>0</v>
      </c>
      <c r="H10461">
        <f>_xlfn.XLOOKUP(FACT_IMPORTS[[#This Row],[hts_6]],DIM_PRODUCTS[hts_6],DIM_PRODUCTS[hts_4],,,)</f>
        <v>8511</v>
      </c>
      <c r="I10461" t="str" cm="1">
        <f t="array" ref="I10461">_xlfn.XLOOKUP(FACT_IMPORTS[[#This Row],[country_name]],DIM_COUNTRY[[#All],[Column2]],DIM_COUNTRY[[#All],[Column3]],,,)</f>
        <v>USMCA</v>
      </c>
    </row>
    <row r="10462" spans="1:9" x14ac:dyDescent="0.4">
      <c r="A10462" t="s">
        <v>64</v>
      </c>
      <c r="B10462" s="1">
        <v>45748</v>
      </c>
      <c r="C10462">
        <v>851220</v>
      </c>
      <c r="D10462" t="s">
        <v>176</v>
      </c>
      <c r="E10462">
        <v>3328</v>
      </c>
      <c r="F10462">
        <v>580</v>
      </c>
      <c r="G10462">
        <v>1</v>
      </c>
      <c r="H10462">
        <f>_xlfn.XLOOKUP(FACT_IMPORTS[[#This Row],[hts_6]],DIM_PRODUCTS[hts_6],DIM_PRODUCTS[hts_4],,,)</f>
        <v>8512</v>
      </c>
      <c r="I10462" t="str" cm="1">
        <f t="array" ref="I10462">_xlfn.XLOOKUP(FACT_IMPORTS[[#This Row],[country_name]],DIM_COUNTRY[[#All],[Column2]],DIM_COUNTRY[[#All],[Column3]],,,)</f>
        <v>USMCA</v>
      </c>
    </row>
    <row r="10463" spans="1:9" x14ac:dyDescent="0.4">
      <c r="A10463" t="s">
        <v>64</v>
      </c>
      <c r="B10463" s="1">
        <v>45748</v>
      </c>
      <c r="C10463">
        <v>851230</v>
      </c>
      <c r="D10463" t="s">
        <v>176</v>
      </c>
      <c r="E10463">
        <v>0</v>
      </c>
      <c r="F10463">
        <v>0</v>
      </c>
      <c r="G10463">
        <v>0</v>
      </c>
      <c r="H10463">
        <f>_xlfn.XLOOKUP(FACT_IMPORTS[[#This Row],[hts_6]],DIM_PRODUCTS[hts_6],DIM_PRODUCTS[hts_4],,,)</f>
        <v>8512</v>
      </c>
      <c r="I10463" t="str" cm="1">
        <f t="array" ref="I10463">_xlfn.XLOOKUP(FACT_IMPORTS[[#This Row],[country_name]],DIM_COUNTRY[[#All],[Column2]],DIM_COUNTRY[[#All],[Column3]],,,)</f>
        <v>USMCA</v>
      </c>
    </row>
    <row r="10464" spans="1:9" x14ac:dyDescent="0.4">
      <c r="A10464" t="s">
        <v>64</v>
      </c>
      <c r="B10464" s="1">
        <v>45748</v>
      </c>
      <c r="C10464">
        <v>851290</v>
      </c>
      <c r="D10464" t="s">
        <v>176</v>
      </c>
      <c r="E10464">
        <v>0</v>
      </c>
      <c r="F10464">
        <v>0</v>
      </c>
      <c r="G10464">
        <v>0</v>
      </c>
      <c r="H10464">
        <f>_xlfn.XLOOKUP(FACT_IMPORTS[[#This Row],[hts_6]],DIM_PRODUCTS[hts_6],DIM_PRODUCTS[hts_4],,,)</f>
        <v>8512</v>
      </c>
      <c r="I10464" t="str" cm="1">
        <f t="array" ref="I10464">_xlfn.XLOOKUP(FACT_IMPORTS[[#This Row],[country_name]],DIM_COUNTRY[[#All],[Column2]],DIM_COUNTRY[[#All],[Column3]],,,)</f>
        <v>USMCA</v>
      </c>
    </row>
    <row r="10465" spans="1:9" x14ac:dyDescent="0.4">
      <c r="A10465" t="s">
        <v>64</v>
      </c>
      <c r="B10465" s="1">
        <v>45748</v>
      </c>
      <c r="C10465">
        <v>854231</v>
      </c>
      <c r="D10465" t="s">
        <v>176</v>
      </c>
      <c r="E10465">
        <v>0</v>
      </c>
      <c r="F10465">
        <v>0</v>
      </c>
      <c r="G10465">
        <v>0</v>
      </c>
      <c r="H10465">
        <f>_xlfn.XLOOKUP(FACT_IMPORTS[[#This Row],[hts_6]],DIM_PRODUCTS[hts_6],DIM_PRODUCTS[hts_4],,,)</f>
        <v>8542</v>
      </c>
      <c r="I10465" t="str" cm="1">
        <f t="array" ref="I10465">_xlfn.XLOOKUP(FACT_IMPORTS[[#This Row],[country_name]],DIM_COUNTRY[[#All],[Column2]],DIM_COUNTRY[[#All],[Column3]],,,)</f>
        <v>USMCA</v>
      </c>
    </row>
    <row r="10466" spans="1:9" x14ac:dyDescent="0.4">
      <c r="A10466" t="s">
        <v>64</v>
      </c>
      <c r="B10466" s="1">
        <v>45748</v>
      </c>
      <c r="C10466">
        <v>854232</v>
      </c>
      <c r="D10466" t="s">
        <v>176</v>
      </c>
      <c r="E10466">
        <v>0</v>
      </c>
      <c r="F10466">
        <v>0</v>
      </c>
      <c r="G10466">
        <v>0</v>
      </c>
      <c r="H10466">
        <f>_xlfn.XLOOKUP(FACT_IMPORTS[[#This Row],[hts_6]],DIM_PRODUCTS[hts_6],DIM_PRODUCTS[hts_4],,,)</f>
        <v>8542</v>
      </c>
      <c r="I10466" t="str" cm="1">
        <f t="array" ref="I10466">_xlfn.XLOOKUP(FACT_IMPORTS[[#This Row],[country_name]],DIM_COUNTRY[[#All],[Column2]],DIM_COUNTRY[[#All],[Column3]],,,)</f>
        <v>USMCA</v>
      </c>
    </row>
    <row r="10467" spans="1:9" x14ac:dyDescent="0.4">
      <c r="A10467" t="s">
        <v>64</v>
      </c>
      <c r="B10467" s="1">
        <v>45748</v>
      </c>
      <c r="C10467">
        <v>854290</v>
      </c>
      <c r="D10467" t="s">
        <v>176</v>
      </c>
      <c r="E10467">
        <v>0</v>
      </c>
      <c r="F10467">
        <v>0</v>
      </c>
      <c r="G10467">
        <v>0</v>
      </c>
      <c r="H10467">
        <f>_xlfn.XLOOKUP(FACT_IMPORTS[[#This Row],[hts_6]],DIM_PRODUCTS[hts_6],DIM_PRODUCTS[hts_4],,,)</f>
        <v>8542</v>
      </c>
      <c r="I10467" t="str" cm="1">
        <f t="array" ref="I10467">_xlfn.XLOOKUP(FACT_IMPORTS[[#This Row],[country_name]],DIM_COUNTRY[[#All],[Column2]],DIM_COUNTRY[[#All],[Column3]],,,)</f>
        <v>USMCA</v>
      </c>
    </row>
    <row r="10468" spans="1:9" x14ac:dyDescent="0.4">
      <c r="A10468" t="s">
        <v>64</v>
      </c>
      <c r="B10468" s="1">
        <v>45748</v>
      </c>
      <c r="C10468">
        <v>854430</v>
      </c>
      <c r="D10468" t="s">
        <v>176</v>
      </c>
      <c r="E10468">
        <v>356666</v>
      </c>
      <c r="F10468">
        <v>65346</v>
      </c>
      <c r="G10468">
        <v>3065</v>
      </c>
      <c r="H10468">
        <f>_xlfn.XLOOKUP(FACT_IMPORTS[[#This Row],[hts_6]],DIM_PRODUCTS[hts_6],DIM_PRODUCTS[hts_4],,,)</f>
        <v>8544</v>
      </c>
      <c r="I10468" t="str" cm="1">
        <f t="array" ref="I10468">_xlfn.XLOOKUP(FACT_IMPORTS[[#This Row],[country_name]],DIM_COUNTRY[[#All],[Column2]],DIM_COUNTRY[[#All],[Column3]],,,)</f>
        <v>USMCA</v>
      </c>
    </row>
    <row r="10469" spans="1:9" x14ac:dyDescent="0.4">
      <c r="A10469" t="s">
        <v>64</v>
      </c>
      <c r="B10469" s="1">
        <v>45748</v>
      </c>
      <c r="C10469">
        <v>870790</v>
      </c>
      <c r="D10469" t="s">
        <v>176</v>
      </c>
      <c r="E10469">
        <v>0</v>
      </c>
      <c r="F10469">
        <v>0</v>
      </c>
      <c r="G10469">
        <v>0</v>
      </c>
      <c r="H10469">
        <f>_xlfn.XLOOKUP(FACT_IMPORTS[[#This Row],[hts_6]],DIM_PRODUCTS[hts_6],DIM_PRODUCTS[hts_4],,,)</f>
        <v>8707</v>
      </c>
      <c r="I10469" t="str" cm="1">
        <f t="array" ref="I10469">_xlfn.XLOOKUP(FACT_IMPORTS[[#This Row],[country_name]],DIM_COUNTRY[[#All],[Column2]],DIM_COUNTRY[[#All],[Column3]],,,)</f>
        <v>USMCA</v>
      </c>
    </row>
    <row r="10470" spans="1:9" x14ac:dyDescent="0.4">
      <c r="A10470" t="s">
        <v>64</v>
      </c>
      <c r="B10470" s="1">
        <v>45748</v>
      </c>
      <c r="C10470">
        <v>870810</v>
      </c>
      <c r="D10470" t="s">
        <v>176</v>
      </c>
      <c r="E10470">
        <v>5809</v>
      </c>
      <c r="F10470">
        <v>25</v>
      </c>
      <c r="G10470">
        <v>256</v>
      </c>
      <c r="H10470">
        <f>_xlfn.XLOOKUP(FACT_IMPORTS[[#This Row],[hts_6]],DIM_PRODUCTS[hts_6],DIM_PRODUCTS[hts_4],,,)</f>
        <v>8708</v>
      </c>
      <c r="I10470" t="str" cm="1">
        <f t="array" ref="I10470">_xlfn.XLOOKUP(FACT_IMPORTS[[#This Row],[country_name]],DIM_COUNTRY[[#All],[Column2]],DIM_COUNTRY[[#All],[Column3]],,,)</f>
        <v>USMCA</v>
      </c>
    </row>
    <row r="10471" spans="1:9" x14ac:dyDescent="0.4">
      <c r="A10471" t="s">
        <v>64</v>
      </c>
      <c r="B10471" s="1">
        <v>45748</v>
      </c>
      <c r="C10471">
        <v>870821</v>
      </c>
      <c r="D10471" t="s">
        <v>176</v>
      </c>
      <c r="E10471">
        <v>0</v>
      </c>
      <c r="F10471">
        <v>0</v>
      </c>
      <c r="G10471">
        <v>0</v>
      </c>
      <c r="H10471">
        <f>_xlfn.XLOOKUP(FACT_IMPORTS[[#This Row],[hts_6]],DIM_PRODUCTS[hts_6],DIM_PRODUCTS[hts_4],,,)</f>
        <v>8708</v>
      </c>
      <c r="I10471" t="str" cm="1">
        <f t="array" ref="I10471">_xlfn.XLOOKUP(FACT_IMPORTS[[#This Row],[country_name]],DIM_COUNTRY[[#All],[Column2]],DIM_COUNTRY[[#All],[Column3]],,,)</f>
        <v>USMCA</v>
      </c>
    </row>
    <row r="10472" spans="1:9" x14ac:dyDescent="0.4">
      <c r="A10472" t="s">
        <v>64</v>
      </c>
      <c r="B10472" s="1">
        <v>45748</v>
      </c>
      <c r="C10472">
        <v>870822</v>
      </c>
      <c r="D10472" t="s">
        <v>176</v>
      </c>
      <c r="E10472">
        <v>0</v>
      </c>
      <c r="F10472">
        <v>0</v>
      </c>
      <c r="G10472">
        <v>0</v>
      </c>
      <c r="H10472">
        <f>_xlfn.XLOOKUP(FACT_IMPORTS[[#This Row],[hts_6]],DIM_PRODUCTS[hts_6],DIM_PRODUCTS[hts_4],,,)</f>
        <v>8708</v>
      </c>
      <c r="I10472" t="str" cm="1">
        <f t="array" ref="I10472">_xlfn.XLOOKUP(FACT_IMPORTS[[#This Row],[country_name]],DIM_COUNTRY[[#All],[Column2]],DIM_COUNTRY[[#All],[Column3]],,,)</f>
        <v>USMCA</v>
      </c>
    </row>
    <row r="10473" spans="1:9" x14ac:dyDescent="0.4">
      <c r="A10473" t="s">
        <v>64</v>
      </c>
      <c r="B10473" s="1">
        <v>45748</v>
      </c>
      <c r="C10473">
        <v>870829</v>
      </c>
      <c r="D10473" t="s">
        <v>176</v>
      </c>
      <c r="E10473">
        <v>814524</v>
      </c>
      <c r="F10473">
        <v>11018</v>
      </c>
      <c r="G10473">
        <v>12377</v>
      </c>
      <c r="H10473">
        <f>_xlfn.XLOOKUP(FACT_IMPORTS[[#This Row],[hts_6]],DIM_PRODUCTS[hts_6],DIM_PRODUCTS[hts_4],,,)</f>
        <v>8708</v>
      </c>
      <c r="I10473" t="str" cm="1">
        <f t="array" ref="I10473">_xlfn.XLOOKUP(FACT_IMPORTS[[#This Row],[country_name]],DIM_COUNTRY[[#All],[Column2]],DIM_COUNTRY[[#All],[Column3]],,,)</f>
        <v>USMCA</v>
      </c>
    </row>
    <row r="10474" spans="1:9" x14ac:dyDescent="0.4">
      <c r="A10474" t="s">
        <v>64</v>
      </c>
      <c r="B10474" s="1">
        <v>45748</v>
      </c>
      <c r="C10474">
        <v>870830</v>
      </c>
      <c r="D10474" t="s">
        <v>176</v>
      </c>
      <c r="E10474">
        <v>933867</v>
      </c>
      <c r="F10474">
        <v>14749</v>
      </c>
      <c r="G10474">
        <v>4110</v>
      </c>
      <c r="H10474">
        <f>_xlfn.XLOOKUP(FACT_IMPORTS[[#This Row],[hts_6]],DIM_PRODUCTS[hts_6],DIM_PRODUCTS[hts_4],,,)</f>
        <v>8708</v>
      </c>
      <c r="I10474" t="str" cm="1">
        <f t="array" ref="I10474">_xlfn.XLOOKUP(FACT_IMPORTS[[#This Row],[country_name]],DIM_COUNTRY[[#All],[Column2]],DIM_COUNTRY[[#All],[Column3]],,,)</f>
        <v>USMCA</v>
      </c>
    </row>
    <row r="10475" spans="1:9" x14ac:dyDescent="0.4">
      <c r="A10475" t="s">
        <v>64</v>
      </c>
      <c r="B10475" s="1">
        <v>45748</v>
      </c>
      <c r="C10475">
        <v>870840</v>
      </c>
      <c r="D10475" t="s">
        <v>176</v>
      </c>
      <c r="E10475">
        <v>117337</v>
      </c>
      <c r="F10475">
        <v>186</v>
      </c>
      <c r="G10475">
        <v>517</v>
      </c>
      <c r="H10475">
        <f>_xlfn.XLOOKUP(FACT_IMPORTS[[#This Row],[hts_6]],DIM_PRODUCTS[hts_6],DIM_PRODUCTS[hts_4],,,)</f>
        <v>8708</v>
      </c>
      <c r="I10475" t="str" cm="1">
        <f t="array" ref="I10475">_xlfn.XLOOKUP(FACT_IMPORTS[[#This Row],[country_name]],DIM_COUNTRY[[#All],[Column2]],DIM_COUNTRY[[#All],[Column3]],,,)</f>
        <v>USMCA</v>
      </c>
    </row>
    <row r="10476" spans="1:9" x14ac:dyDescent="0.4">
      <c r="A10476" t="s">
        <v>64</v>
      </c>
      <c r="B10476" s="1">
        <v>45748</v>
      </c>
      <c r="C10476">
        <v>870850</v>
      </c>
      <c r="D10476" t="s">
        <v>176</v>
      </c>
      <c r="E10476">
        <v>87943</v>
      </c>
      <c r="F10476">
        <v>169</v>
      </c>
      <c r="G10476">
        <v>557</v>
      </c>
      <c r="H10476">
        <f>_xlfn.XLOOKUP(FACT_IMPORTS[[#This Row],[hts_6]],DIM_PRODUCTS[hts_6],DIM_PRODUCTS[hts_4],,,)</f>
        <v>8708</v>
      </c>
      <c r="I10476" t="str" cm="1">
        <f t="array" ref="I10476">_xlfn.XLOOKUP(FACT_IMPORTS[[#This Row],[country_name]],DIM_COUNTRY[[#All],[Column2]],DIM_COUNTRY[[#All],[Column3]],,,)</f>
        <v>USMCA</v>
      </c>
    </row>
    <row r="10477" spans="1:9" x14ac:dyDescent="0.4">
      <c r="A10477" t="s">
        <v>64</v>
      </c>
      <c r="B10477" s="1">
        <v>45748</v>
      </c>
      <c r="C10477">
        <v>870870</v>
      </c>
      <c r="D10477" t="s">
        <v>176</v>
      </c>
      <c r="E10477">
        <v>46429</v>
      </c>
      <c r="F10477">
        <v>1232</v>
      </c>
      <c r="G10477">
        <v>649</v>
      </c>
      <c r="H10477">
        <f>_xlfn.XLOOKUP(FACT_IMPORTS[[#This Row],[hts_6]],DIM_PRODUCTS[hts_6],DIM_PRODUCTS[hts_4],,,)</f>
        <v>8708</v>
      </c>
      <c r="I10477" t="str" cm="1">
        <f t="array" ref="I10477">_xlfn.XLOOKUP(FACT_IMPORTS[[#This Row],[country_name]],DIM_COUNTRY[[#All],[Column2]],DIM_COUNTRY[[#All],[Column3]],,,)</f>
        <v>USMCA</v>
      </c>
    </row>
    <row r="10478" spans="1:9" x14ac:dyDescent="0.4">
      <c r="A10478" t="s">
        <v>64</v>
      </c>
      <c r="B10478" s="1">
        <v>45748</v>
      </c>
      <c r="C10478">
        <v>870880</v>
      </c>
      <c r="D10478" t="s">
        <v>176</v>
      </c>
      <c r="E10478">
        <v>244744</v>
      </c>
      <c r="F10478">
        <v>10101</v>
      </c>
      <c r="G10478">
        <v>4823</v>
      </c>
      <c r="H10478">
        <f>_xlfn.XLOOKUP(FACT_IMPORTS[[#This Row],[hts_6]],DIM_PRODUCTS[hts_6],DIM_PRODUCTS[hts_4],,,)</f>
        <v>8708</v>
      </c>
      <c r="I10478" t="str" cm="1">
        <f t="array" ref="I10478">_xlfn.XLOOKUP(FACT_IMPORTS[[#This Row],[country_name]],DIM_COUNTRY[[#All],[Column2]],DIM_COUNTRY[[#All],[Column3]],,,)</f>
        <v>USMCA</v>
      </c>
    </row>
    <row r="10479" spans="1:9" x14ac:dyDescent="0.4">
      <c r="A10479" t="s">
        <v>64</v>
      </c>
      <c r="B10479" s="1">
        <v>45748</v>
      </c>
      <c r="C10479">
        <v>870891</v>
      </c>
      <c r="D10479" t="s">
        <v>176</v>
      </c>
      <c r="E10479">
        <v>11837</v>
      </c>
      <c r="F10479">
        <v>118</v>
      </c>
      <c r="G10479">
        <v>9</v>
      </c>
      <c r="H10479">
        <f>_xlfn.XLOOKUP(FACT_IMPORTS[[#This Row],[hts_6]],DIM_PRODUCTS[hts_6],DIM_PRODUCTS[hts_4],,,)</f>
        <v>8708</v>
      </c>
      <c r="I10479" t="str" cm="1">
        <f t="array" ref="I10479">_xlfn.XLOOKUP(FACT_IMPORTS[[#This Row],[country_name]],DIM_COUNTRY[[#All],[Column2]],DIM_COUNTRY[[#All],[Column3]],,,)</f>
        <v>USMCA</v>
      </c>
    </row>
    <row r="10480" spans="1:9" x14ac:dyDescent="0.4">
      <c r="A10480" t="s">
        <v>64</v>
      </c>
      <c r="B10480" s="1">
        <v>45748</v>
      </c>
      <c r="C10480">
        <v>870892</v>
      </c>
      <c r="D10480" t="s">
        <v>176</v>
      </c>
      <c r="E10480">
        <v>5170</v>
      </c>
      <c r="F10480">
        <v>10</v>
      </c>
      <c r="G10480">
        <v>251</v>
      </c>
      <c r="H10480">
        <f>_xlfn.XLOOKUP(FACT_IMPORTS[[#This Row],[hts_6]],DIM_PRODUCTS[hts_6],DIM_PRODUCTS[hts_4],,,)</f>
        <v>8708</v>
      </c>
      <c r="I10480" t="str" cm="1">
        <f t="array" ref="I10480">_xlfn.XLOOKUP(FACT_IMPORTS[[#This Row],[country_name]],DIM_COUNTRY[[#All],[Column2]],DIM_COUNTRY[[#All],[Column3]],,,)</f>
        <v>USMCA</v>
      </c>
    </row>
    <row r="10481" spans="1:9" x14ac:dyDescent="0.4">
      <c r="A10481" t="s">
        <v>64</v>
      </c>
      <c r="B10481" s="1">
        <v>45748</v>
      </c>
      <c r="C10481">
        <v>870893</v>
      </c>
      <c r="D10481" t="s">
        <v>176</v>
      </c>
      <c r="E10481">
        <v>0</v>
      </c>
      <c r="F10481">
        <v>0</v>
      </c>
      <c r="G10481">
        <v>0</v>
      </c>
      <c r="H10481">
        <f>_xlfn.XLOOKUP(FACT_IMPORTS[[#This Row],[hts_6]],DIM_PRODUCTS[hts_6],DIM_PRODUCTS[hts_4],,,)</f>
        <v>8708</v>
      </c>
      <c r="I10481" t="str" cm="1">
        <f t="array" ref="I10481">_xlfn.XLOOKUP(FACT_IMPORTS[[#This Row],[country_name]],DIM_COUNTRY[[#All],[Column2]],DIM_COUNTRY[[#All],[Column3]],,,)</f>
        <v>USMCA</v>
      </c>
    </row>
    <row r="10482" spans="1:9" x14ac:dyDescent="0.4">
      <c r="A10482" t="s">
        <v>64</v>
      </c>
      <c r="B10482" s="1">
        <v>45748</v>
      </c>
      <c r="C10482">
        <v>870894</v>
      </c>
      <c r="D10482" t="s">
        <v>176</v>
      </c>
      <c r="E10482">
        <v>45710</v>
      </c>
      <c r="F10482">
        <v>517</v>
      </c>
      <c r="G10482">
        <v>908</v>
      </c>
      <c r="H10482">
        <f>_xlfn.XLOOKUP(FACT_IMPORTS[[#This Row],[hts_6]],DIM_PRODUCTS[hts_6],DIM_PRODUCTS[hts_4],,,)</f>
        <v>8708</v>
      </c>
      <c r="I10482" t="str" cm="1">
        <f t="array" ref="I10482">_xlfn.XLOOKUP(FACT_IMPORTS[[#This Row],[country_name]],DIM_COUNTRY[[#All],[Column2]],DIM_COUNTRY[[#All],[Column3]],,,)</f>
        <v>USMCA</v>
      </c>
    </row>
    <row r="10483" spans="1:9" x14ac:dyDescent="0.4">
      <c r="A10483" t="s">
        <v>64</v>
      </c>
      <c r="B10483" s="1">
        <v>45748</v>
      </c>
      <c r="C10483">
        <v>870895</v>
      </c>
      <c r="D10483" t="s">
        <v>176</v>
      </c>
      <c r="E10483">
        <v>16499</v>
      </c>
      <c r="F10483">
        <v>252</v>
      </c>
      <c r="G10483">
        <v>23</v>
      </c>
      <c r="H10483">
        <f>_xlfn.XLOOKUP(FACT_IMPORTS[[#This Row],[hts_6]],DIM_PRODUCTS[hts_6],DIM_PRODUCTS[hts_4],,,)</f>
        <v>8708</v>
      </c>
      <c r="I10483" t="str" cm="1">
        <f t="array" ref="I10483">_xlfn.XLOOKUP(FACT_IMPORTS[[#This Row],[country_name]],DIM_COUNTRY[[#All],[Column2]],DIM_COUNTRY[[#All],[Column3]],,,)</f>
        <v>USMCA</v>
      </c>
    </row>
    <row r="10484" spans="1:9" x14ac:dyDescent="0.4">
      <c r="A10484" t="s">
        <v>64</v>
      </c>
      <c r="B10484" s="1">
        <v>45748</v>
      </c>
      <c r="C10484">
        <v>870899</v>
      </c>
      <c r="D10484" t="s">
        <v>176</v>
      </c>
      <c r="E10484">
        <v>433935</v>
      </c>
      <c r="F10484">
        <v>7808</v>
      </c>
      <c r="G10484">
        <v>3948</v>
      </c>
      <c r="H10484">
        <f>_xlfn.XLOOKUP(FACT_IMPORTS[[#This Row],[hts_6]],DIM_PRODUCTS[hts_6],DIM_PRODUCTS[hts_4],,,)</f>
        <v>8708</v>
      </c>
      <c r="I10484" t="str" cm="1">
        <f t="array" ref="I10484">_xlfn.XLOOKUP(FACT_IMPORTS[[#This Row],[country_name]],DIM_COUNTRY[[#All],[Column2]],DIM_COUNTRY[[#All],[Column3]],,,)</f>
        <v>USMCA</v>
      </c>
    </row>
    <row r="10485" spans="1:9" x14ac:dyDescent="0.4">
      <c r="A10485" t="s">
        <v>64</v>
      </c>
      <c r="B10485" s="1">
        <v>45748</v>
      </c>
      <c r="C10485">
        <v>940120</v>
      </c>
      <c r="D10485" t="s">
        <v>176</v>
      </c>
      <c r="E10485">
        <v>59955</v>
      </c>
      <c r="F10485">
        <v>273</v>
      </c>
      <c r="G10485">
        <v>196</v>
      </c>
      <c r="H10485">
        <f>_xlfn.XLOOKUP(FACT_IMPORTS[[#This Row],[hts_6]],DIM_PRODUCTS[hts_6],DIM_PRODUCTS[hts_4],,,)</f>
        <v>9401</v>
      </c>
      <c r="I10485" t="str" cm="1">
        <f t="array" ref="I10485">_xlfn.XLOOKUP(FACT_IMPORTS[[#This Row],[country_name]],DIM_COUNTRY[[#All],[Column2]],DIM_COUNTRY[[#All],[Column3]],,,)</f>
        <v>USMCA</v>
      </c>
    </row>
    <row r="10486" spans="1:9" x14ac:dyDescent="0.4">
      <c r="A10486" t="s">
        <v>64</v>
      </c>
      <c r="B10486" s="1">
        <v>45778</v>
      </c>
      <c r="C10486">
        <v>392630</v>
      </c>
      <c r="D10486" t="s">
        <v>176</v>
      </c>
      <c r="E10486">
        <v>3586</v>
      </c>
      <c r="F10486">
        <v>4847</v>
      </c>
      <c r="G10486">
        <v>295</v>
      </c>
      <c r="H10486">
        <f>_xlfn.XLOOKUP(FACT_IMPORTS[[#This Row],[hts_6]],DIM_PRODUCTS[hts_6],DIM_PRODUCTS[hts_4],,,)</f>
        <v>3926</v>
      </c>
      <c r="I10486" t="str" cm="1">
        <f t="array" ref="I10486">_xlfn.XLOOKUP(FACT_IMPORTS[[#This Row],[country_name]],DIM_COUNTRY[[#All],[Column2]],DIM_COUNTRY[[#All],[Column3]],,,)</f>
        <v>USMCA</v>
      </c>
    </row>
    <row r="10487" spans="1:9" x14ac:dyDescent="0.4">
      <c r="A10487" t="s">
        <v>64</v>
      </c>
      <c r="B10487" s="1">
        <v>45778</v>
      </c>
      <c r="C10487">
        <v>401110</v>
      </c>
      <c r="D10487" t="s">
        <v>176</v>
      </c>
      <c r="E10487">
        <v>32262</v>
      </c>
      <c r="F10487">
        <v>428</v>
      </c>
      <c r="G10487">
        <v>2250</v>
      </c>
      <c r="H10487">
        <f>_xlfn.XLOOKUP(FACT_IMPORTS[[#This Row],[hts_6]],DIM_PRODUCTS[hts_6],DIM_PRODUCTS[hts_4],,,)</f>
        <v>4011</v>
      </c>
      <c r="I10487" t="str" cm="1">
        <f t="array" ref="I10487">_xlfn.XLOOKUP(FACT_IMPORTS[[#This Row],[country_name]],DIM_COUNTRY[[#All],[Column2]],DIM_COUNTRY[[#All],[Column3]],,,)</f>
        <v>USMCA</v>
      </c>
    </row>
    <row r="10488" spans="1:9" x14ac:dyDescent="0.4">
      <c r="A10488" t="s">
        <v>64</v>
      </c>
      <c r="B10488" s="1">
        <v>45778</v>
      </c>
      <c r="C10488">
        <v>401120</v>
      </c>
      <c r="D10488" t="s">
        <v>176</v>
      </c>
      <c r="E10488">
        <v>9602</v>
      </c>
      <c r="F10488">
        <v>100</v>
      </c>
      <c r="G10488">
        <v>300</v>
      </c>
      <c r="H10488">
        <f>_xlfn.XLOOKUP(FACT_IMPORTS[[#This Row],[hts_6]],DIM_PRODUCTS[hts_6],DIM_PRODUCTS[hts_4],,,)</f>
        <v>4011</v>
      </c>
      <c r="I10488" t="str" cm="1">
        <f t="array" ref="I10488">_xlfn.XLOOKUP(FACT_IMPORTS[[#This Row],[country_name]],DIM_COUNTRY[[#All],[Column2]],DIM_COUNTRY[[#All],[Column3]],,,)</f>
        <v>USMCA</v>
      </c>
    </row>
    <row r="10489" spans="1:9" x14ac:dyDescent="0.4">
      <c r="A10489" t="s">
        <v>64</v>
      </c>
      <c r="B10489" s="1">
        <v>45778</v>
      </c>
      <c r="C10489">
        <v>401190</v>
      </c>
      <c r="D10489" t="s">
        <v>176</v>
      </c>
      <c r="E10489">
        <v>0</v>
      </c>
      <c r="F10489">
        <v>0</v>
      </c>
      <c r="G10489">
        <v>0</v>
      </c>
      <c r="H10489">
        <f>_xlfn.XLOOKUP(FACT_IMPORTS[[#This Row],[hts_6]],DIM_PRODUCTS[hts_6],DIM_PRODUCTS[hts_4],,,)</f>
        <v>4011</v>
      </c>
      <c r="I10489" t="str" cm="1">
        <f t="array" ref="I10489">_xlfn.XLOOKUP(FACT_IMPORTS[[#This Row],[country_name]],DIM_COUNTRY[[#All],[Column2]],DIM_COUNTRY[[#All],[Column3]],,,)</f>
        <v>USMCA</v>
      </c>
    </row>
    <row r="10490" spans="1:9" x14ac:dyDescent="0.4">
      <c r="A10490" t="s">
        <v>64</v>
      </c>
      <c r="B10490" s="1">
        <v>45778</v>
      </c>
      <c r="C10490">
        <v>700711</v>
      </c>
      <c r="D10490" t="s">
        <v>176</v>
      </c>
      <c r="E10490">
        <v>0</v>
      </c>
      <c r="F10490">
        <v>0</v>
      </c>
      <c r="G10490">
        <v>0</v>
      </c>
      <c r="H10490">
        <f>_xlfn.XLOOKUP(FACT_IMPORTS[[#This Row],[hts_6]],DIM_PRODUCTS[hts_6],DIM_PRODUCTS[hts_4],,,)</f>
        <v>7007</v>
      </c>
      <c r="I10490" t="str" cm="1">
        <f t="array" ref="I10490">_xlfn.XLOOKUP(FACT_IMPORTS[[#This Row],[country_name]],DIM_COUNTRY[[#All],[Column2]],DIM_COUNTRY[[#All],[Column3]],,,)</f>
        <v>USMCA</v>
      </c>
    </row>
    <row r="10491" spans="1:9" x14ac:dyDescent="0.4">
      <c r="A10491" t="s">
        <v>64</v>
      </c>
      <c r="B10491" s="1">
        <v>45778</v>
      </c>
      <c r="C10491">
        <v>700721</v>
      </c>
      <c r="D10491" t="s">
        <v>176</v>
      </c>
      <c r="E10491">
        <v>0</v>
      </c>
      <c r="F10491">
        <v>0</v>
      </c>
      <c r="G10491">
        <v>0</v>
      </c>
      <c r="H10491">
        <f>_xlfn.XLOOKUP(FACT_IMPORTS[[#This Row],[hts_6]],DIM_PRODUCTS[hts_6],DIM_PRODUCTS[hts_4],,,)</f>
        <v>7007</v>
      </c>
      <c r="I10491" t="str" cm="1">
        <f t="array" ref="I10491">_xlfn.XLOOKUP(FACT_IMPORTS[[#This Row],[country_name]],DIM_COUNTRY[[#All],[Column2]],DIM_COUNTRY[[#All],[Column3]],,,)</f>
        <v>USMCA</v>
      </c>
    </row>
    <row r="10492" spans="1:9" x14ac:dyDescent="0.4">
      <c r="A10492" t="s">
        <v>64</v>
      </c>
      <c r="B10492" s="1">
        <v>45778</v>
      </c>
      <c r="C10492">
        <v>700910</v>
      </c>
      <c r="D10492" t="s">
        <v>176</v>
      </c>
      <c r="E10492">
        <v>0</v>
      </c>
      <c r="F10492">
        <v>0</v>
      </c>
      <c r="G10492">
        <v>0</v>
      </c>
      <c r="H10492">
        <f>_xlfn.XLOOKUP(FACT_IMPORTS[[#This Row],[hts_6]],DIM_PRODUCTS[hts_6],DIM_PRODUCTS[hts_4],,,)</f>
        <v>7009</v>
      </c>
      <c r="I10492" t="str" cm="1">
        <f t="array" ref="I10492">_xlfn.XLOOKUP(FACT_IMPORTS[[#This Row],[country_name]],DIM_COUNTRY[[#All],[Column2]],DIM_COUNTRY[[#All],[Column3]],,,)</f>
        <v>USMCA</v>
      </c>
    </row>
    <row r="10493" spans="1:9" x14ac:dyDescent="0.4">
      <c r="A10493" t="s">
        <v>64</v>
      </c>
      <c r="B10493" s="1">
        <v>45778</v>
      </c>
      <c r="C10493">
        <v>732010</v>
      </c>
      <c r="D10493" t="s">
        <v>176</v>
      </c>
      <c r="E10493">
        <v>17546</v>
      </c>
      <c r="F10493">
        <v>6508</v>
      </c>
      <c r="G10493">
        <v>268</v>
      </c>
      <c r="H10493">
        <f>_xlfn.XLOOKUP(FACT_IMPORTS[[#This Row],[hts_6]],DIM_PRODUCTS[hts_6],DIM_PRODUCTS[hts_4],,,)</f>
        <v>7320</v>
      </c>
      <c r="I10493" t="str" cm="1">
        <f t="array" ref="I10493">_xlfn.XLOOKUP(FACT_IMPORTS[[#This Row],[country_name]],DIM_COUNTRY[[#All],[Column2]],DIM_COUNTRY[[#All],[Column3]],,,)</f>
        <v>USMCA</v>
      </c>
    </row>
    <row r="10494" spans="1:9" x14ac:dyDescent="0.4">
      <c r="A10494" t="s">
        <v>64</v>
      </c>
      <c r="B10494" s="1">
        <v>45778</v>
      </c>
      <c r="C10494">
        <v>830230</v>
      </c>
      <c r="D10494" t="s">
        <v>176</v>
      </c>
      <c r="E10494">
        <v>184077</v>
      </c>
      <c r="F10494">
        <v>20712</v>
      </c>
      <c r="G10494">
        <v>458</v>
      </c>
      <c r="H10494">
        <f>_xlfn.XLOOKUP(FACT_IMPORTS[[#This Row],[hts_6]],DIM_PRODUCTS[hts_6],DIM_PRODUCTS[hts_4],,,)</f>
        <v>8302</v>
      </c>
      <c r="I10494" t="str" cm="1">
        <f t="array" ref="I10494">_xlfn.XLOOKUP(FACT_IMPORTS[[#This Row],[country_name]],DIM_COUNTRY[[#All],[Column2]],DIM_COUNTRY[[#All],[Column3]],,,)</f>
        <v>USMCA</v>
      </c>
    </row>
    <row r="10495" spans="1:9" x14ac:dyDescent="0.4">
      <c r="A10495" t="s">
        <v>64</v>
      </c>
      <c r="B10495" s="1">
        <v>45778</v>
      </c>
      <c r="C10495">
        <v>840733</v>
      </c>
      <c r="D10495" t="s">
        <v>176</v>
      </c>
      <c r="E10495">
        <v>22047</v>
      </c>
      <c r="F10495">
        <v>4</v>
      </c>
      <c r="G10495">
        <v>104</v>
      </c>
      <c r="H10495">
        <f>_xlfn.XLOOKUP(FACT_IMPORTS[[#This Row],[hts_6]],DIM_PRODUCTS[hts_6],DIM_PRODUCTS[hts_4],,,)</f>
        <v>8407</v>
      </c>
      <c r="I10495" t="str" cm="1">
        <f t="array" ref="I10495">_xlfn.XLOOKUP(FACT_IMPORTS[[#This Row],[country_name]],DIM_COUNTRY[[#All],[Column2]],DIM_COUNTRY[[#All],[Column3]],,,)</f>
        <v>USMCA</v>
      </c>
    </row>
    <row r="10496" spans="1:9" x14ac:dyDescent="0.4">
      <c r="A10496" t="s">
        <v>64</v>
      </c>
      <c r="B10496" s="1">
        <v>45778</v>
      </c>
      <c r="C10496">
        <v>840734</v>
      </c>
      <c r="D10496" t="s">
        <v>176</v>
      </c>
      <c r="E10496">
        <v>237869</v>
      </c>
      <c r="F10496">
        <v>48</v>
      </c>
      <c r="G10496">
        <v>1504</v>
      </c>
      <c r="H10496">
        <f>_xlfn.XLOOKUP(FACT_IMPORTS[[#This Row],[hts_6]],DIM_PRODUCTS[hts_6],DIM_PRODUCTS[hts_4],,,)</f>
        <v>8407</v>
      </c>
      <c r="I10496" t="str" cm="1">
        <f t="array" ref="I10496">_xlfn.XLOOKUP(FACT_IMPORTS[[#This Row],[country_name]],DIM_COUNTRY[[#All],[Column2]],DIM_COUNTRY[[#All],[Column3]],,,)</f>
        <v>USMCA</v>
      </c>
    </row>
    <row r="10497" spans="1:9" x14ac:dyDescent="0.4">
      <c r="A10497" t="s">
        <v>64</v>
      </c>
      <c r="B10497" s="1">
        <v>45778</v>
      </c>
      <c r="C10497">
        <v>840820</v>
      </c>
      <c r="D10497" t="s">
        <v>176</v>
      </c>
      <c r="E10497">
        <v>30450</v>
      </c>
      <c r="F10497">
        <v>6</v>
      </c>
      <c r="G10497">
        <v>137</v>
      </c>
      <c r="H10497">
        <f>_xlfn.XLOOKUP(FACT_IMPORTS[[#This Row],[hts_6]],DIM_PRODUCTS[hts_6],DIM_PRODUCTS[hts_4],,,)</f>
        <v>8408</v>
      </c>
      <c r="I10497" t="str" cm="1">
        <f t="array" ref="I10497">_xlfn.XLOOKUP(FACT_IMPORTS[[#This Row],[country_name]],DIM_COUNTRY[[#All],[Column2]],DIM_COUNTRY[[#All],[Column3]],,,)</f>
        <v>USMCA</v>
      </c>
    </row>
    <row r="10498" spans="1:9" x14ac:dyDescent="0.4">
      <c r="A10498" t="s">
        <v>64</v>
      </c>
      <c r="B10498" s="1">
        <v>45778</v>
      </c>
      <c r="C10498">
        <v>840890</v>
      </c>
      <c r="D10498" t="s">
        <v>176</v>
      </c>
      <c r="E10498">
        <v>0</v>
      </c>
      <c r="F10498">
        <v>0</v>
      </c>
      <c r="G10498">
        <v>0</v>
      </c>
      <c r="H10498">
        <f>_xlfn.XLOOKUP(FACT_IMPORTS[[#This Row],[hts_6]],DIM_PRODUCTS[hts_6],DIM_PRODUCTS[hts_4],,,)</f>
        <v>8408</v>
      </c>
      <c r="I10498" t="str" cm="1">
        <f t="array" ref="I10498">_xlfn.XLOOKUP(FACT_IMPORTS[[#This Row],[country_name]],DIM_COUNTRY[[#All],[Column2]],DIM_COUNTRY[[#All],[Column3]],,,)</f>
        <v>USMCA</v>
      </c>
    </row>
    <row r="10499" spans="1:9" x14ac:dyDescent="0.4">
      <c r="A10499" t="s">
        <v>64</v>
      </c>
      <c r="B10499" s="1">
        <v>45778</v>
      </c>
      <c r="C10499">
        <v>840991</v>
      </c>
      <c r="D10499" t="s">
        <v>176</v>
      </c>
      <c r="E10499">
        <v>1402371</v>
      </c>
      <c r="F10499">
        <v>51741</v>
      </c>
      <c r="G10499">
        <v>12339</v>
      </c>
      <c r="H10499">
        <f>_xlfn.XLOOKUP(FACT_IMPORTS[[#This Row],[hts_6]],DIM_PRODUCTS[hts_6],DIM_PRODUCTS[hts_4],,,)</f>
        <v>8409</v>
      </c>
      <c r="I10499" t="str" cm="1">
        <f t="array" ref="I10499">_xlfn.XLOOKUP(FACT_IMPORTS[[#This Row],[country_name]],DIM_COUNTRY[[#All],[Column2]],DIM_COUNTRY[[#All],[Column3]],,,)</f>
        <v>USMCA</v>
      </c>
    </row>
    <row r="10500" spans="1:9" x14ac:dyDescent="0.4">
      <c r="A10500" t="s">
        <v>64</v>
      </c>
      <c r="B10500" s="1">
        <v>45778</v>
      </c>
      <c r="C10500">
        <v>840999</v>
      </c>
      <c r="D10500" t="s">
        <v>176</v>
      </c>
      <c r="E10500">
        <v>63336</v>
      </c>
      <c r="F10500">
        <v>1348</v>
      </c>
      <c r="G10500">
        <v>1139</v>
      </c>
      <c r="H10500">
        <f>_xlfn.XLOOKUP(FACT_IMPORTS[[#This Row],[hts_6]],DIM_PRODUCTS[hts_6],DIM_PRODUCTS[hts_4],,,)</f>
        <v>8409</v>
      </c>
      <c r="I10500" t="str" cm="1">
        <f t="array" ref="I10500">_xlfn.XLOOKUP(FACT_IMPORTS[[#This Row],[country_name]],DIM_COUNTRY[[#All],[Column2]],DIM_COUNTRY[[#All],[Column3]],,,)</f>
        <v>USMCA</v>
      </c>
    </row>
    <row r="10501" spans="1:9" x14ac:dyDescent="0.4">
      <c r="A10501" t="s">
        <v>64</v>
      </c>
      <c r="B10501" s="1">
        <v>45778</v>
      </c>
      <c r="C10501">
        <v>841330</v>
      </c>
      <c r="D10501" t="s">
        <v>176</v>
      </c>
      <c r="E10501">
        <v>62111</v>
      </c>
      <c r="F10501">
        <v>183</v>
      </c>
      <c r="G10501">
        <v>201</v>
      </c>
      <c r="H10501">
        <f>_xlfn.XLOOKUP(FACT_IMPORTS[[#This Row],[hts_6]],DIM_PRODUCTS[hts_6],DIM_PRODUCTS[hts_4],,,)</f>
        <v>8413</v>
      </c>
      <c r="I10501" t="str" cm="1">
        <f t="array" ref="I10501">_xlfn.XLOOKUP(FACT_IMPORTS[[#This Row],[country_name]],DIM_COUNTRY[[#All],[Column2]],DIM_COUNTRY[[#All],[Column3]],,,)</f>
        <v>USMCA</v>
      </c>
    </row>
    <row r="10502" spans="1:9" x14ac:dyDescent="0.4">
      <c r="A10502" t="s">
        <v>64</v>
      </c>
      <c r="B10502" s="1">
        <v>45778</v>
      </c>
      <c r="C10502">
        <v>841520</v>
      </c>
      <c r="D10502" t="s">
        <v>176</v>
      </c>
      <c r="E10502">
        <v>0</v>
      </c>
      <c r="F10502">
        <v>0</v>
      </c>
      <c r="G10502">
        <v>0</v>
      </c>
      <c r="H10502">
        <f>_xlfn.XLOOKUP(FACT_IMPORTS[[#This Row],[hts_6]],DIM_PRODUCTS[hts_6],DIM_PRODUCTS[hts_4],,,)</f>
        <v>8415</v>
      </c>
      <c r="I10502" t="str" cm="1">
        <f t="array" ref="I10502">_xlfn.XLOOKUP(FACT_IMPORTS[[#This Row],[country_name]],DIM_COUNTRY[[#All],[Column2]],DIM_COUNTRY[[#All],[Column3]],,,)</f>
        <v>USMCA</v>
      </c>
    </row>
    <row r="10503" spans="1:9" x14ac:dyDescent="0.4">
      <c r="A10503" t="s">
        <v>64</v>
      </c>
      <c r="B10503" s="1">
        <v>45778</v>
      </c>
      <c r="C10503">
        <v>842132</v>
      </c>
      <c r="D10503" t="s">
        <v>176</v>
      </c>
      <c r="E10503">
        <v>43388</v>
      </c>
      <c r="F10503">
        <v>184</v>
      </c>
      <c r="G10503">
        <v>357</v>
      </c>
      <c r="H10503">
        <f>_xlfn.XLOOKUP(FACT_IMPORTS[[#This Row],[hts_6]],DIM_PRODUCTS[hts_6],DIM_PRODUCTS[hts_4],,,)</f>
        <v>8421</v>
      </c>
      <c r="I10503" t="str" cm="1">
        <f t="array" ref="I10503">_xlfn.XLOOKUP(FACT_IMPORTS[[#This Row],[country_name]],DIM_COUNTRY[[#All],[Column2]],DIM_COUNTRY[[#All],[Column3]],,,)</f>
        <v>USMCA</v>
      </c>
    </row>
    <row r="10504" spans="1:9" x14ac:dyDescent="0.4">
      <c r="A10504" t="s">
        <v>64</v>
      </c>
      <c r="B10504" s="1">
        <v>45778</v>
      </c>
      <c r="C10504">
        <v>848210</v>
      </c>
      <c r="D10504" t="s">
        <v>176</v>
      </c>
      <c r="E10504">
        <v>6734</v>
      </c>
      <c r="F10504">
        <v>5</v>
      </c>
      <c r="G10504">
        <v>5</v>
      </c>
      <c r="H10504">
        <f>_xlfn.XLOOKUP(FACT_IMPORTS[[#This Row],[hts_6]],DIM_PRODUCTS[hts_6],DIM_PRODUCTS[hts_4],,,)</f>
        <v>8482</v>
      </c>
      <c r="I10504" t="str" cm="1">
        <f t="array" ref="I10504">_xlfn.XLOOKUP(FACT_IMPORTS[[#This Row],[country_name]],DIM_COUNTRY[[#All],[Column2]],DIM_COUNTRY[[#All],[Column3]],,,)</f>
        <v>USMCA</v>
      </c>
    </row>
    <row r="10505" spans="1:9" x14ac:dyDescent="0.4">
      <c r="A10505" t="s">
        <v>64</v>
      </c>
      <c r="B10505" s="1">
        <v>45778</v>
      </c>
      <c r="C10505">
        <v>848220</v>
      </c>
      <c r="D10505" t="s">
        <v>176</v>
      </c>
      <c r="E10505">
        <v>0</v>
      </c>
      <c r="F10505">
        <v>0</v>
      </c>
      <c r="G10505">
        <v>0</v>
      </c>
      <c r="H10505">
        <f>_xlfn.XLOOKUP(FACT_IMPORTS[[#This Row],[hts_6]],DIM_PRODUCTS[hts_6],DIM_PRODUCTS[hts_4],,,)</f>
        <v>8482</v>
      </c>
      <c r="I10505" t="str" cm="1">
        <f t="array" ref="I10505">_xlfn.XLOOKUP(FACT_IMPORTS[[#This Row],[country_name]],DIM_COUNTRY[[#All],[Column2]],DIM_COUNTRY[[#All],[Column3]],,,)</f>
        <v>USMCA</v>
      </c>
    </row>
    <row r="10506" spans="1:9" x14ac:dyDescent="0.4">
      <c r="A10506" t="s">
        <v>64</v>
      </c>
      <c r="B10506" s="1">
        <v>45778</v>
      </c>
      <c r="C10506">
        <v>848310</v>
      </c>
      <c r="D10506" t="s">
        <v>176</v>
      </c>
      <c r="E10506">
        <v>0</v>
      </c>
      <c r="F10506">
        <v>0</v>
      </c>
      <c r="G10506">
        <v>0</v>
      </c>
      <c r="H10506">
        <f>_xlfn.XLOOKUP(FACT_IMPORTS[[#This Row],[hts_6]],DIM_PRODUCTS[hts_6],DIM_PRODUCTS[hts_4],,,)</f>
        <v>8483</v>
      </c>
      <c r="I10506" t="str" cm="1">
        <f t="array" ref="I10506">_xlfn.XLOOKUP(FACT_IMPORTS[[#This Row],[country_name]],DIM_COUNTRY[[#All],[Column2]],DIM_COUNTRY[[#All],[Column3]],,,)</f>
        <v>USMCA</v>
      </c>
    </row>
    <row r="10507" spans="1:9" x14ac:dyDescent="0.4">
      <c r="A10507" t="s">
        <v>64</v>
      </c>
      <c r="B10507" s="1">
        <v>45778</v>
      </c>
      <c r="C10507">
        <v>850131</v>
      </c>
      <c r="D10507" t="s">
        <v>176</v>
      </c>
      <c r="E10507">
        <v>18945</v>
      </c>
      <c r="F10507">
        <v>637</v>
      </c>
      <c r="G10507">
        <v>692</v>
      </c>
      <c r="H10507">
        <f>_xlfn.XLOOKUP(FACT_IMPORTS[[#This Row],[hts_6]],DIM_PRODUCTS[hts_6],DIM_PRODUCTS[hts_4],,,)</f>
        <v>8501</v>
      </c>
      <c r="I10507" t="str" cm="1">
        <f t="array" ref="I10507">_xlfn.XLOOKUP(FACT_IMPORTS[[#This Row],[country_name]],DIM_COUNTRY[[#All],[Column2]],DIM_COUNTRY[[#All],[Column3]],,,)</f>
        <v>USMCA</v>
      </c>
    </row>
    <row r="10508" spans="1:9" x14ac:dyDescent="0.4">
      <c r="A10508" t="s">
        <v>64</v>
      </c>
      <c r="B10508" s="1">
        <v>45778</v>
      </c>
      <c r="C10508">
        <v>850132</v>
      </c>
      <c r="D10508" t="s">
        <v>176</v>
      </c>
      <c r="E10508">
        <v>3238</v>
      </c>
      <c r="F10508">
        <v>2</v>
      </c>
      <c r="G10508">
        <v>200</v>
      </c>
      <c r="H10508">
        <f>_xlfn.XLOOKUP(FACT_IMPORTS[[#This Row],[hts_6]],DIM_PRODUCTS[hts_6],DIM_PRODUCTS[hts_4],,,)</f>
        <v>8501</v>
      </c>
      <c r="I10508" t="str" cm="1">
        <f t="array" ref="I10508">_xlfn.XLOOKUP(FACT_IMPORTS[[#This Row],[country_name]],DIM_COUNTRY[[#All],[Column2]],DIM_COUNTRY[[#All],[Column3]],,,)</f>
        <v>USMCA</v>
      </c>
    </row>
    <row r="10509" spans="1:9" x14ac:dyDescent="0.4">
      <c r="A10509" t="s">
        <v>64</v>
      </c>
      <c r="B10509" s="1">
        <v>45778</v>
      </c>
      <c r="C10509">
        <v>850134</v>
      </c>
      <c r="D10509" t="s">
        <v>176</v>
      </c>
      <c r="E10509">
        <v>0</v>
      </c>
      <c r="F10509">
        <v>0</v>
      </c>
      <c r="G10509">
        <v>0</v>
      </c>
      <c r="H10509">
        <f>_xlfn.XLOOKUP(FACT_IMPORTS[[#This Row],[hts_6]],DIM_PRODUCTS[hts_6],DIM_PRODUCTS[hts_4],,,)</f>
        <v>8501</v>
      </c>
      <c r="I10509" t="str" cm="1">
        <f t="array" ref="I10509">_xlfn.XLOOKUP(FACT_IMPORTS[[#This Row],[country_name]],DIM_COUNTRY[[#All],[Column2]],DIM_COUNTRY[[#All],[Column3]],,,)</f>
        <v>USMCA</v>
      </c>
    </row>
    <row r="10510" spans="1:9" x14ac:dyDescent="0.4">
      <c r="A10510" t="s">
        <v>64</v>
      </c>
      <c r="B10510" s="1">
        <v>45778</v>
      </c>
      <c r="C10510">
        <v>850152</v>
      </c>
      <c r="D10510" t="s">
        <v>176</v>
      </c>
      <c r="E10510">
        <v>125602</v>
      </c>
      <c r="F10510">
        <v>168</v>
      </c>
      <c r="G10510">
        <v>338</v>
      </c>
      <c r="H10510">
        <f>_xlfn.XLOOKUP(FACT_IMPORTS[[#This Row],[hts_6]],DIM_PRODUCTS[hts_6],DIM_PRODUCTS[hts_4],,,)</f>
        <v>8501</v>
      </c>
      <c r="I10510" t="str" cm="1">
        <f t="array" ref="I10510">_xlfn.XLOOKUP(FACT_IMPORTS[[#This Row],[country_name]],DIM_COUNTRY[[#All],[Column2]],DIM_COUNTRY[[#All],[Column3]],,,)</f>
        <v>USMCA</v>
      </c>
    </row>
    <row r="10511" spans="1:9" x14ac:dyDescent="0.4">
      <c r="A10511" t="s">
        <v>64</v>
      </c>
      <c r="B10511" s="1">
        <v>45778</v>
      </c>
      <c r="C10511">
        <v>850153</v>
      </c>
      <c r="D10511" t="s">
        <v>176</v>
      </c>
      <c r="E10511">
        <v>94483</v>
      </c>
      <c r="F10511">
        <v>19</v>
      </c>
      <c r="G10511">
        <v>263</v>
      </c>
      <c r="H10511">
        <f>_xlfn.XLOOKUP(FACT_IMPORTS[[#This Row],[hts_6]],DIM_PRODUCTS[hts_6],DIM_PRODUCTS[hts_4],,,)</f>
        <v>8501</v>
      </c>
      <c r="I10511" t="str" cm="1">
        <f t="array" ref="I10511">_xlfn.XLOOKUP(FACT_IMPORTS[[#This Row],[country_name]],DIM_COUNTRY[[#All],[Column2]],DIM_COUNTRY[[#All],[Column3]],,,)</f>
        <v>USMCA</v>
      </c>
    </row>
    <row r="10512" spans="1:9" x14ac:dyDescent="0.4">
      <c r="A10512" t="s">
        <v>64</v>
      </c>
      <c r="B10512" s="1">
        <v>45778</v>
      </c>
      <c r="C10512">
        <v>850440</v>
      </c>
      <c r="D10512" t="s">
        <v>176</v>
      </c>
      <c r="E10512">
        <v>89078</v>
      </c>
      <c r="F10512">
        <v>176</v>
      </c>
      <c r="G10512">
        <v>578</v>
      </c>
      <c r="H10512">
        <f>_xlfn.XLOOKUP(FACT_IMPORTS[[#This Row],[hts_6]],DIM_PRODUCTS[hts_6],DIM_PRODUCTS[hts_4],,,)</f>
        <v>8504</v>
      </c>
      <c r="I10512" t="str" cm="1">
        <f t="array" ref="I10512">_xlfn.XLOOKUP(FACT_IMPORTS[[#This Row],[country_name]],DIM_COUNTRY[[#All],[Column2]],DIM_COUNTRY[[#All],[Column3]],,,)</f>
        <v>USMCA</v>
      </c>
    </row>
    <row r="10513" spans="1:9" x14ac:dyDescent="0.4">
      <c r="A10513" t="s">
        <v>64</v>
      </c>
      <c r="B10513" s="1">
        <v>45778</v>
      </c>
      <c r="C10513">
        <v>850710</v>
      </c>
      <c r="D10513" t="s">
        <v>176</v>
      </c>
      <c r="E10513">
        <v>0</v>
      </c>
      <c r="F10513">
        <v>0</v>
      </c>
      <c r="G10513">
        <v>0</v>
      </c>
      <c r="H10513">
        <f>_xlfn.XLOOKUP(FACT_IMPORTS[[#This Row],[hts_6]],DIM_PRODUCTS[hts_6],DIM_PRODUCTS[hts_4],,,)</f>
        <v>8507</v>
      </c>
      <c r="I10513" t="str" cm="1">
        <f t="array" ref="I10513">_xlfn.XLOOKUP(FACT_IMPORTS[[#This Row],[country_name]],DIM_COUNTRY[[#All],[Column2]],DIM_COUNTRY[[#All],[Column3]],,,)</f>
        <v>USMCA</v>
      </c>
    </row>
    <row r="10514" spans="1:9" x14ac:dyDescent="0.4">
      <c r="A10514" t="s">
        <v>64</v>
      </c>
      <c r="B10514" s="1">
        <v>45778</v>
      </c>
      <c r="C10514">
        <v>850760</v>
      </c>
      <c r="D10514" t="s">
        <v>176</v>
      </c>
      <c r="E10514">
        <v>25000</v>
      </c>
      <c r="F10514">
        <v>1</v>
      </c>
      <c r="G10514">
        <v>200</v>
      </c>
      <c r="H10514">
        <f>_xlfn.XLOOKUP(FACT_IMPORTS[[#This Row],[hts_6]],DIM_PRODUCTS[hts_6],DIM_PRODUCTS[hts_4],,,)</f>
        <v>8507</v>
      </c>
      <c r="I10514" t="str" cm="1">
        <f t="array" ref="I10514">_xlfn.XLOOKUP(FACT_IMPORTS[[#This Row],[country_name]],DIM_COUNTRY[[#All],[Column2]],DIM_COUNTRY[[#All],[Column3]],,,)</f>
        <v>USMCA</v>
      </c>
    </row>
    <row r="10515" spans="1:9" x14ac:dyDescent="0.4">
      <c r="A10515" t="s">
        <v>64</v>
      </c>
      <c r="B10515" s="1">
        <v>45778</v>
      </c>
      <c r="C10515">
        <v>851110</v>
      </c>
      <c r="D10515" t="s">
        <v>176</v>
      </c>
      <c r="E10515">
        <v>0</v>
      </c>
      <c r="F10515">
        <v>0</v>
      </c>
      <c r="G10515">
        <v>0</v>
      </c>
      <c r="H10515">
        <f>_xlfn.XLOOKUP(FACT_IMPORTS[[#This Row],[hts_6]],DIM_PRODUCTS[hts_6],DIM_PRODUCTS[hts_4],,,)</f>
        <v>8511</v>
      </c>
      <c r="I10515" t="str" cm="1">
        <f t="array" ref="I10515">_xlfn.XLOOKUP(FACT_IMPORTS[[#This Row],[country_name]],DIM_COUNTRY[[#All],[Column2]],DIM_COUNTRY[[#All],[Column3]],,,)</f>
        <v>USMCA</v>
      </c>
    </row>
    <row r="10516" spans="1:9" x14ac:dyDescent="0.4">
      <c r="A10516" t="s">
        <v>64</v>
      </c>
      <c r="B10516" s="1">
        <v>45778</v>
      </c>
      <c r="C10516">
        <v>851120</v>
      </c>
      <c r="D10516" t="s">
        <v>176</v>
      </c>
      <c r="E10516">
        <v>0</v>
      </c>
      <c r="F10516">
        <v>0</v>
      </c>
      <c r="G10516">
        <v>0</v>
      </c>
      <c r="H10516">
        <f>_xlfn.XLOOKUP(FACT_IMPORTS[[#This Row],[hts_6]],DIM_PRODUCTS[hts_6],DIM_PRODUCTS[hts_4],,,)</f>
        <v>8511</v>
      </c>
      <c r="I10516" t="str" cm="1">
        <f t="array" ref="I10516">_xlfn.XLOOKUP(FACT_IMPORTS[[#This Row],[country_name]],DIM_COUNTRY[[#All],[Column2]],DIM_COUNTRY[[#All],[Column3]],,,)</f>
        <v>USMCA</v>
      </c>
    </row>
    <row r="10517" spans="1:9" x14ac:dyDescent="0.4">
      <c r="A10517" t="s">
        <v>64</v>
      </c>
      <c r="B10517" s="1">
        <v>45778</v>
      </c>
      <c r="C10517">
        <v>851130</v>
      </c>
      <c r="D10517" t="s">
        <v>176</v>
      </c>
      <c r="E10517">
        <v>0</v>
      </c>
      <c r="F10517">
        <v>0</v>
      </c>
      <c r="G10517">
        <v>0</v>
      </c>
      <c r="H10517">
        <f>_xlfn.XLOOKUP(FACT_IMPORTS[[#This Row],[hts_6]],DIM_PRODUCTS[hts_6],DIM_PRODUCTS[hts_4],,,)</f>
        <v>8511</v>
      </c>
      <c r="I10517" t="str" cm="1">
        <f t="array" ref="I10517">_xlfn.XLOOKUP(FACT_IMPORTS[[#This Row],[country_name]],DIM_COUNTRY[[#All],[Column2]],DIM_COUNTRY[[#All],[Column3]],,,)</f>
        <v>USMCA</v>
      </c>
    </row>
    <row r="10518" spans="1:9" x14ac:dyDescent="0.4">
      <c r="A10518" t="s">
        <v>64</v>
      </c>
      <c r="B10518" s="1">
        <v>45778</v>
      </c>
      <c r="C10518">
        <v>851140</v>
      </c>
      <c r="D10518" t="s">
        <v>176</v>
      </c>
      <c r="E10518">
        <v>14963</v>
      </c>
      <c r="F10518">
        <v>225</v>
      </c>
      <c r="G10518">
        <v>265</v>
      </c>
      <c r="H10518">
        <f>_xlfn.XLOOKUP(FACT_IMPORTS[[#This Row],[hts_6]],DIM_PRODUCTS[hts_6],DIM_PRODUCTS[hts_4],,,)</f>
        <v>8511</v>
      </c>
      <c r="I10518" t="str" cm="1">
        <f t="array" ref="I10518">_xlfn.XLOOKUP(FACT_IMPORTS[[#This Row],[country_name]],DIM_COUNTRY[[#All],[Column2]],DIM_COUNTRY[[#All],[Column3]],,,)</f>
        <v>USMCA</v>
      </c>
    </row>
    <row r="10519" spans="1:9" x14ac:dyDescent="0.4">
      <c r="A10519" t="s">
        <v>64</v>
      </c>
      <c r="B10519" s="1">
        <v>45778</v>
      </c>
      <c r="C10519">
        <v>851150</v>
      </c>
      <c r="D10519" t="s">
        <v>176</v>
      </c>
      <c r="E10519">
        <v>22635</v>
      </c>
      <c r="F10519">
        <v>252</v>
      </c>
      <c r="G10519">
        <v>2038</v>
      </c>
      <c r="H10519">
        <f>_xlfn.XLOOKUP(FACT_IMPORTS[[#This Row],[hts_6]],DIM_PRODUCTS[hts_6],DIM_PRODUCTS[hts_4],,,)</f>
        <v>8511</v>
      </c>
      <c r="I10519" t="str" cm="1">
        <f t="array" ref="I10519">_xlfn.XLOOKUP(FACT_IMPORTS[[#This Row],[country_name]],DIM_COUNTRY[[#All],[Column2]],DIM_COUNTRY[[#All],[Column3]],,,)</f>
        <v>USMCA</v>
      </c>
    </row>
    <row r="10520" spans="1:9" x14ac:dyDescent="0.4">
      <c r="A10520" t="s">
        <v>64</v>
      </c>
      <c r="B10520" s="1">
        <v>45778</v>
      </c>
      <c r="C10520">
        <v>851180</v>
      </c>
      <c r="D10520" t="s">
        <v>176</v>
      </c>
      <c r="E10520">
        <v>14690</v>
      </c>
      <c r="F10520">
        <v>443</v>
      </c>
      <c r="G10520">
        <v>5</v>
      </c>
      <c r="H10520">
        <f>_xlfn.XLOOKUP(FACT_IMPORTS[[#This Row],[hts_6]],DIM_PRODUCTS[hts_6],DIM_PRODUCTS[hts_4],,,)</f>
        <v>8511</v>
      </c>
      <c r="I10520" t="str" cm="1">
        <f t="array" ref="I10520">_xlfn.XLOOKUP(FACT_IMPORTS[[#This Row],[country_name]],DIM_COUNTRY[[#All],[Column2]],DIM_COUNTRY[[#All],[Column3]],,,)</f>
        <v>USMCA</v>
      </c>
    </row>
    <row r="10521" spans="1:9" x14ac:dyDescent="0.4">
      <c r="A10521" t="s">
        <v>64</v>
      </c>
      <c r="B10521" s="1">
        <v>45778</v>
      </c>
      <c r="C10521">
        <v>851190</v>
      </c>
      <c r="D10521" t="s">
        <v>176</v>
      </c>
      <c r="E10521">
        <v>9650</v>
      </c>
      <c r="F10521">
        <v>205</v>
      </c>
      <c r="G10521">
        <v>510</v>
      </c>
      <c r="H10521">
        <f>_xlfn.XLOOKUP(FACT_IMPORTS[[#This Row],[hts_6]],DIM_PRODUCTS[hts_6],DIM_PRODUCTS[hts_4],,,)</f>
        <v>8511</v>
      </c>
      <c r="I10521" t="str" cm="1">
        <f t="array" ref="I10521">_xlfn.XLOOKUP(FACT_IMPORTS[[#This Row],[country_name]],DIM_COUNTRY[[#All],[Column2]],DIM_COUNTRY[[#All],[Column3]],,,)</f>
        <v>USMCA</v>
      </c>
    </row>
    <row r="10522" spans="1:9" x14ac:dyDescent="0.4">
      <c r="A10522" t="s">
        <v>64</v>
      </c>
      <c r="B10522" s="1">
        <v>45778</v>
      </c>
      <c r="C10522">
        <v>851220</v>
      </c>
      <c r="D10522" t="s">
        <v>176</v>
      </c>
      <c r="E10522">
        <v>13550</v>
      </c>
      <c r="F10522">
        <v>531</v>
      </c>
      <c r="G10522">
        <v>186</v>
      </c>
      <c r="H10522">
        <f>_xlfn.XLOOKUP(FACT_IMPORTS[[#This Row],[hts_6]],DIM_PRODUCTS[hts_6],DIM_PRODUCTS[hts_4],,,)</f>
        <v>8512</v>
      </c>
      <c r="I10522" t="str" cm="1">
        <f t="array" ref="I10522">_xlfn.XLOOKUP(FACT_IMPORTS[[#This Row],[country_name]],DIM_COUNTRY[[#All],[Column2]],DIM_COUNTRY[[#All],[Column3]],,,)</f>
        <v>USMCA</v>
      </c>
    </row>
    <row r="10523" spans="1:9" x14ac:dyDescent="0.4">
      <c r="A10523" t="s">
        <v>64</v>
      </c>
      <c r="B10523" s="1">
        <v>45778</v>
      </c>
      <c r="C10523">
        <v>851230</v>
      </c>
      <c r="D10523" t="s">
        <v>176</v>
      </c>
      <c r="E10523">
        <v>0</v>
      </c>
      <c r="F10523">
        <v>0</v>
      </c>
      <c r="G10523">
        <v>0</v>
      </c>
      <c r="H10523">
        <f>_xlfn.XLOOKUP(FACT_IMPORTS[[#This Row],[hts_6]],DIM_PRODUCTS[hts_6],DIM_PRODUCTS[hts_4],,,)</f>
        <v>8512</v>
      </c>
      <c r="I10523" t="str" cm="1">
        <f t="array" ref="I10523">_xlfn.XLOOKUP(FACT_IMPORTS[[#This Row],[country_name]],DIM_COUNTRY[[#All],[Column2]],DIM_COUNTRY[[#All],[Column3]],,,)</f>
        <v>USMCA</v>
      </c>
    </row>
    <row r="10524" spans="1:9" x14ac:dyDescent="0.4">
      <c r="A10524" t="s">
        <v>64</v>
      </c>
      <c r="B10524" s="1">
        <v>45778</v>
      </c>
      <c r="C10524">
        <v>851290</v>
      </c>
      <c r="D10524" t="s">
        <v>176</v>
      </c>
      <c r="E10524">
        <v>7298</v>
      </c>
      <c r="F10524">
        <v>91</v>
      </c>
      <c r="G10524">
        <v>80</v>
      </c>
      <c r="H10524">
        <f>_xlfn.XLOOKUP(FACT_IMPORTS[[#This Row],[hts_6]],DIM_PRODUCTS[hts_6],DIM_PRODUCTS[hts_4],,,)</f>
        <v>8512</v>
      </c>
      <c r="I10524" t="str" cm="1">
        <f t="array" ref="I10524">_xlfn.XLOOKUP(FACT_IMPORTS[[#This Row],[country_name]],DIM_COUNTRY[[#All],[Column2]],DIM_COUNTRY[[#All],[Column3]],,,)</f>
        <v>USMCA</v>
      </c>
    </row>
    <row r="10525" spans="1:9" x14ac:dyDescent="0.4">
      <c r="A10525" t="s">
        <v>64</v>
      </c>
      <c r="B10525" s="1">
        <v>45778</v>
      </c>
      <c r="C10525">
        <v>854231</v>
      </c>
      <c r="D10525" t="s">
        <v>176</v>
      </c>
      <c r="E10525">
        <v>22345</v>
      </c>
      <c r="F10525">
        <v>75</v>
      </c>
      <c r="G10525">
        <v>216</v>
      </c>
      <c r="H10525">
        <f>_xlfn.XLOOKUP(FACT_IMPORTS[[#This Row],[hts_6]],DIM_PRODUCTS[hts_6],DIM_PRODUCTS[hts_4],,,)</f>
        <v>8542</v>
      </c>
      <c r="I10525" t="str" cm="1">
        <f t="array" ref="I10525">_xlfn.XLOOKUP(FACT_IMPORTS[[#This Row],[country_name]],DIM_COUNTRY[[#All],[Column2]],DIM_COUNTRY[[#All],[Column3]],,,)</f>
        <v>USMCA</v>
      </c>
    </row>
    <row r="10526" spans="1:9" x14ac:dyDescent="0.4">
      <c r="A10526" t="s">
        <v>64</v>
      </c>
      <c r="B10526" s="1">
        <v>45778</v>
      </c>
      <c r="C10526">
        <v>854232</v>
      </c>
      <c r="D10526" t="s">
        <v>176</v>
      </c>
      <c r="E10526">
        <v>10920</v>
      </c>
      <c r="F10526">
        <v>1000</v>
      </c>
      <c r="G10526">
        <v>55</v>
      </c>
      <c r="H10526">
        <f>_xlfn.XLOOKUP(FACT_IMPORTS[[#This Row],[hts_6]],DIM_PRODUCTS[hts_6],DIM_PRODUCTS[hts_4],,,)</f>
        <v>8542</v>
      </c>
      <c r="I10526" t="str" cm="1">
        <f t="array" ref="I10526">_xlfn.XLOOKUP(FACT_IMPORTS[[#This Row],[country_name]],DIM_COUNTRY[[#All],[Column2]],DIM_COUNTRY[[#All],[Column3]],,,)</f>
        <v>USMCA</v>
      </c>
    </row>
    <row r="10527" spans="1:9" x14ac:dyDescent="0.4">
      <c r="A10527" t="s">
        <v>64</v>
      </c>
      <c r="B10527" s="1">
        <v>45778</v>
      </c>
      <c r="C10527">
        <v>854290</v>
      </c>
      <c r="D10527" t="s">
        <v>176</v>
      </c>
      <c r="E10527">
        <v>0</v>
      </c>
      <c r="F10527">
        <v>0</v>
      </c>
      <c r="G10527">
        <v>0</v>
      </c>
      <c r="H10527">
        <f>_xlfn.XLOOKUP(FACT_IMPORTS[[#This Row],[hts_6]],DIM_PRODUCTS[hts_6],DIM_PRODUCTS[hts_4],,,)</f>
        <v>8542</v>
      </c>
      <c r="I10527" t="str" cm="1">
        <f t="array" ref="I10527">_xlfn.XLOOKUP(FACT_IMPORTS[[#This Row],[country_name]],DIM_COUNTRY[[#All],[Column2]],DIM_COUNTRY[[#All],[Column3]],,,)</f>
        <v>USMCA</v>
      </c>
    </row>
    <row r="10528" spans="1:9" x14ac:dyDescent="0.4">
      <c r="A10528" t="s">
        <v>64</v>
      </c>
      <c r="B10528" s="1">
        <v>45778</v>
      </c>
      <c r="C10528">
        <v>854430</v>
      </c>
      <c r="D10528" t="s">
        <v>176</v>
      </c>
      <c r="E10528">
        <v>375408</v>
      </c>
      <c r="F10528">
        <v>53249</v>
      </c>
      <c r="G10528">
        <v>3880</v>
      </c>
      <c r="H10528">
        <f>_xlfn.XLOOKUP(FACT_IMPORTS[[#This Row],[hts_6]],DIM_PRODUCTS[hts_6],DIM_PRODUCTS[hts_4],,,)</f>
        <v>8544</v>
      </c>
      <c r="I10528" t="str" cm="1">
        <f t="array" ref="I10528">_xlfn.XLOOKUP(FACT_IMPORTS[[#This Row],[country_name]],DIM_COUNTRY[[#All],[Column2]],DIM_COUNTRY[[#All],[Column3]],,,)</f>
        <v>USMCA</v>
      </c>
    </row>
    <row r="10529" spans="1:9" x14ac:dyDescent="0.4">
      <c r="A10529" t="s">
        <v>64</v>
      </c>
      <c r="B10529" s="1">
        <v>45778</v>
      </c>
      <c r="C10529">
        <v>870790</v>
      </c>
      <c r="D10529" t="s">
        <v>176</v>
      </c>
      <c r="E10529">
        <v>0</v>
      </c>
      <c r="F10529">
        <v>0</v>
      </c>
      <c r="G10529">
        <v>0</v>
      </c>
      <c r="H10529">
        <f>_xlfn.XLOOKUP(FACT_IMPORTS[[#This Row],[hts_6]],DIM_PRODUCTS[hts_6],DIM_PRODUCTS[hts_4],,,)</f>
        <v>8707</v>
      </c>
      <c r="I10529" t="str" cm="1">
        <f t="array" ref="I10529">_xlfn.XLOOKUP(FACT_IMPORTS[[#This Row],[country_name]],DIM_COUNTRY[[#All],[Column2]],DIM_COUNTRY[[#All],[Column3]],,,)</f>
        <v>USMCA</v>
      </c>
    </row>
    <row r="10530" spans="1:9" x14ac:dyDescent="0.4">
      <c r="A10530" t="s">
        <v>64</v>
      </c>
      <c r="B10530" s="1">
        <v>45778</v>
      </c>
      <c r="C10530">
        <v>870810</v>
      </c>
      <c r="D10530" t="s">
        <v>176</v>
      </c>
      <c r="E10530">
        <v>34370</v>
      </c>
      <c r="F10530">
        <v>273</v>
      </c>
      <c r="G10530">
        <v>51</v>
      </c>
      <c r="H10530">
        <f>_xlfn.XLOOKUP(FACT_IMPORTS[[#This Row],[hts_6]],DIM_PRODUCTS[hts_6],DIM_PRODUCTS[hts_4],,,)</f>
        <v>8708</v>
      </c>
      <c r="I10530" t="str" cm="1">
        <f t="array" ref="I10530">_xlfn.XLOOKUP(FACT_IMPORTS[[#This Row],[country_name]],DIM_COUNTRY[[#All],[Column2]],DIM_COUNTRY[[#All],[Column3]],,,)</f>
        <v>USMCA</v>
      </c>
    </row>
    <row r="10531" spans="1:9" x14ac:dyDescent="0.4">
      <c r="A10531" t="s">
        <v>64</v>
      </c>
      <c r="B10531" s="1">
        <v>45778</v>
      </c>
      <c r="C10531">
        <v>870821</v>
      </c>
      <c r="D10531" t="s">
        <v>176</v>
      </c>
      <c r="E10531">
        <v>3888</v>
      </c>
      <c r="F10531">
        <v>95</v>
      </c>
      <c r="G10531">
        <v>28</v>
      </c>
      <c r="H10531">
        <f>_xlfn.XLOOKUP(FACT_IMPORTS[[#This Row],[hts_6]],DIM_PRODUCTS[hts_6],DIM_PRODUCTS[hts_4],,,)</f>
        <v>8708</v>
      </c>
      <c r="I10531" t="str" cm="1">
        <f t="array" ref="I10531">_xlfn.XLOOKUP(FACT_IMPORTS[[#This Row],[country_name]],DIM_COUNTRY[[#All],[Column2]],DIM_COUNTRY[[#All],[Column3]],,,)</f>
        <v>USMCA</v>
      </c>
    </row>
    <row r="10532" spans="1:9" x14ac:dyDescent="0.4">
      <c r="A10532" t="s">
        <v>64</v>
      </c>
      <c r="B10532" s="1">
        <v>45778</v>
      </c>
      <c r="C10532">
        <v>870822</v>
      </c>
      <c r="D10532" t="s">
        <v>176</v>
      </c>
      <c r="E10532">
        <v>0</v>
      </c>
      <c r="F10532">
        <v>0</v>
      </c>
      <c r="G10532">
        <v>0</v>
      </c>
      <c r="H10532">
        <f>_xlfn.XLOOKUP(FACT_IMPORTS[[#This Row],[hts_6]],DIM_PRODUCTS[hts_6],DIM_PRODUCTS[hts_4],,,)</f>
        <v>8708</v>
      </c>
      <c r="I10532" t="str" cm="1">
        <f t="array" ref="I10532">_xlfn.XLOOKUP(FACT_IMPORTS[[#This Row],[country_name]],DIM_COUNTRY[[#All],[Column2]],DIM_COUNTRY[[#All],[Column3]],,,)</f>
        <v>USMCA</v>
      </c>
    </row>
    <row r="10533" spans="1:9" x14ac:dyDescent="0.4">
      <c r="A10533" t="s">
        <v>64</v>
      </c>
      <c r="B10533" s="1">
        <v>45778</v>
      </c>
      <c r="C10533">
        <v>870829</v>
      </c>
      <c r="D10533" t="s">
        <v>176</v>
      </c>
      <c r="E10533">
        <v>914195</v>
      </c>
      <c r="F10533">
        <v>25502</v>
      </c>
      <c r="G10533">
        <v>11851</v>
      </c>
      <c r="H10533">
        <f>_xlfn.XLOOKUP(FACT_IMPORTS[[#This Row],[hts_6]],DIM_PRODUCTS[hts_6],DIM_PRODUCTS[hts_4],,,)</f>
        <v>8708</v>
      </c>
      <c r="I10533" t="str" cm="1">
        <f t="array" ref="I10533">_xlfn.XLOOKUP(FACT_IMPORTS[[#This Row],[country_name]],DIM_COUNTRY[[#All],[Column2]],DIM_COUNTRY[[#All],[Column3]],,,)</f>
        <v>USMCA</v>
      </c>
    </row>
    <row r="10534" spans="1:9" x14ac:dyDescent="0.4">
      <c r="A10534" t="s">
        <v>64</v>
      </c>
      <c r="B10534" s="1">
        <v>45778</v>
      </c>
      <c r="C10534">
        <v>870830</v>
      </c>
      <c r="D10534" t="s">
        <v>176</v>
      </c>
      <c r="E10534">
        <v>503912</v>
      </c>
      <c r="F10534">
        <v>7888</v>
      </c>
      <c r="G10534">
        <v>6777</v>
      </c>
      <c r="H10534">
        <f>_xlfn.XLOOKUP(FACT_IMPORTS[[#This Row],[hts_6]],DIM_PRODUCTS[hts_6],DIM_PRODUCTS[hts_4],,,)</f>
        <v>8708</v>
      </c>
      <c r="I10534" t="str" cm="1">
        <f t="array" ref="I10534">_xlfn.XLOOKUP(FACT_IMPORTS[[#This Row],[country_name]],DIM_COUNTRY[[#All],[Column2]],DIM_COUNTRY[[#All],[Column3]],,,)</f>
        <v>USMCA</v>
      </c>
    </row>
    <row r="10535" spans="1:9" x14ac:dyDescent="0.4">
      <c r="A10535" t="s">
        <v>64</v>
      </c>
      <c r="B10535" s="1">
        <v>45778</v>
      </c>
      <c r="C10535">
        <v>870840</v>
      </c>
      <c r="D10535" t="s">
        <v>176</v>
      </c>
      <c r="E10535">
        <v>269551</v>
      </c>
      <c r="F10535">
        <v>156</v>
      </c>
      <c r="G10535">
        <v>1528</v>
      </c>
      <c r="H10535">
        <f>_xlfn.XLOOKUP(FACT_IMPORTS[[#This Row],[hts_6]],DIM_PRODUCTS[hts_6],DIM_PRODUCTS[hts_4],,,)</f>
        <v>8708</v>
      </c>
      <c r="I10535" t="str" cm="1">
        <f t="array" ref="I10535">_xlfn.XLOOKUP(FACT_IMPORTS[[#This Row],[country_name]],DIM_COUNTRY[[#All],[Column2]],DIM_COUNTRY[[#All],[Column3]],,,)</f>
        <v>USMCA</v>
      </c>
    </row>
    <row r="10536" spans="1:9" x14ac:dyDescent="0.4">
      <c r="A10536" t="s">
        <v>64</v>
      </c>
      <c r="B10536" s="1">
        <v>45778</v>
      </c>
      <c r="C10536">
        <v>870850</v>
      </c>
      <c r="D10536" t="s">
        <v>176</v>
      </c>
      <c r="E10536">
        <v>74564</v>
      </c>
      <c r="F10536">
        <v>133</v>
      </c>
      <c r="G10536">
        <v>652</v>
      </c>
      <c r="H10536">
        <f>_xlfn.XLOOKUP(FACT_IMPORTS[[#This Row],[hts_6]],DIM_PRODUCTS[hts_6],DIM_PRODUCTS[hts_4],,,)</f>
        <v>8708</v>
      </c>
      <c r="I10536" t="str" cm="1">
        <f t="array" ref="I10536">_xlfn.XLOOKUP(FACT_IMPORTS[[#This Row],[country_name]],DIM_COUNTRY[[#All],[Column2]],DIM_COUNTRY[[#All],[Column3]],,,)</f>
        <v>USMCA</v>
      </c>
    </row>
    <row r="10537" spans="1:9" x14ac:dyDescent="0.4">
      <c r="A10537" t="s">
        <v>64</v>
      </c>
      <c r="B10537" s="1">
        <v>45778</v>
      </c>
      <c r="C10537">
        <v>870870</v>
      </c>
      <c r="D10537" t="s">
        <v>176</v>
      </c>
      <c r="E10537">
        <v>130693</v>
      </c>
      <c r="F10537">
        <v>1978</v>
      </c>
      <c r="G10537">
        <v>3746</v>
      </c>
      <c r="H10537">
        <f>_xlfn.XLOOKUP(FACT_IMPORTS[[#This Row],[hts_6]],DIM_PRODUCTS[hts_6],DIM_PRODUCTS[hts_4],,,)</f>
        <v>8708</v>
      </c>
      <c r="I10537" t="str" cm="1">
        <f t="array" ref="I10537">_xlfn.XLOOKUP(FACT_IMPORTS[[#This Row],[country_name]],DIM_COUNTRY[[#All],[Column2]],DIM_COUNTRY[[#All],[Column3]],,,)</f>
        <v>USMCA</v>
      </c>
    </row>
    <row r="10538" spans="1:9" x14ac:dyDescent="0.4">
      <c r="A10538" t="s">
        <v>64</v>
      </c>
      <c r="B10538" s="1">
        <v>45778</v>
      </c>
      <c r="C10538">
        <v>870880</v>
      </c>
      <c r="D10538" t="s">
        <v>176</v>
      </c>
      <c r="E10538">
        <v>27772</v>
      </c>
      <c r="F10538">
        <v>1097</v>
      </c>
      <c r="G10538">
        <v>182</v>
      </c>
      <c r="H10538">
        <f>_xlfn.XLOOKUP(FACT_IMPORTS[[#This Row],[hts_6]],DIM_PRODUCTS[hts_6],DIM_PRODUCTS[hts_4],,,)</f>
        <v>8708</v>
      </c>
      <c r="I10538" t="str" cm="1">
        <f t="array" ref="I10538">_xlfn.XLOOKUP(FACT_IMPORTS[[#This Row],[country_name]],DIM_COUNTRY[[#All],[Column2]],DIM_COUNTRY[[#All],[Column3]],,,)</f>
        <v>USMCA</v>
      </c>
    </row>
    <row r="10539" spans="1:9" x14ac:dyDescent="0.4">
      <c r="A10539" t="s">
        <v>64</v>
      </c>
      <c r="B10539" s="1">
        <v>45778</v>
      </c>
      <c r="C10539">
        <v>870891</v>
      </c>
      <c r="D10539" t="s">
        <v>176</v>
      </c>
      <c r="E10539">
        <v>3759</v>
      </c>
      <c r="F10539">
        <v>33</v>
      </c>
      <c r="G10539">
        <v>1</v>
      </c>
      <c r="H10539">
        <f>_xlfn.XLOOKUP(FACT_IMPORTS[[#This Row],[hts_6]],DIM_PRODUCTS[hts_6],DIM_PRODUCTS[hts_4],,,)</f>
        <v>8708</v>
      </c>
      <c r="I10539" t="str" cm="1">
        <f t="array" ref="I10539">_xlfn.XLOOKUP(FACT_IMPORTS[[#This Row],[country_name]],DIM_COUNTRY[[#All],[Column2]],DIM_COUNTRY[[#All],[Column3]],,,)</f>
        <v>USMCA</v>
      </c>
    </row>
    <row r="10540" spans="1:9" x14ac:dyDescent="0.4">
      <c r="A10540" t="s">
        <v>64</v>
      </c>
      <c r="B10540" s="1">
        <v>45778</v>
      </c>
      <c r="C10540">
        <v>870892</v>
      </c>
      <c r="D10540" t="s">
        <v>176</v>
      </c>
      <c r="E10540">
        <v>0</v>
      </c>
      <c r="F10540">
        <v>0</v>
      </c>
      <c r="G10540">
        <v>0</v>
      </c>
      <c r="H10540">
        <f>_xlfn.XLOOKUP(FACT_IMPORTS[[#This Row],[hts_6]],DIM_PRODUCTS[hts_6],DIM_PRODUCTS[hts_4],,,)</f>
        <v>8708</v>
      </c>
      <c r="I10540" t="str" cm="1">
        <f t="array" ref="I10540">_xlfn.XLOOKUP(FACT_IMPORTS[[#This Row],[country_name]],DIM_COUNTRY[[#All],[Column2]],DIM_COUNTRY[[#All],[Column3]],,,)</f>
        <v>USMCA</v>
      </c>
    </row>
    <row r="10541" spans="1:9" x14ac:dyDescent="0.4">
      <c r="A10541" t="s">
        <v>64</v>
      </c>
      <c r="B10541" s="1">
        <v>45778</v>
      </c>
      <c r="C10541">
        <v>870893</v>
      </c>
      <c r="D10541" t="s">
        <v>176</v>
      </c>
      <c r="E10541">
        <v>48010</v>
      </c>
      <c r="F10541">
        <v>56</v>
      </c>
      <c r="G10541">
        <v>233</v>
      </c>
      <c r="H10541">
        <f>_xlfn.XLOOKUP(FACT_IMPORTS[[#This Row],[hts_6]],DIM_PRODUCTS[hts_6],DIM_PRODUCTS[hts_4],,,)</f>
        <v>8708</v>
      </c>
      <c r="I10541" t="str" cm="1">
        <f t="array" ref="I10541">_xlfn.XLOOKUP(FACT_IMPORTS[[#This Row],[country_name]],DIM_COUNTRY[[#All],[Column2]],DIM_COUNTRY[[#All],[Column3]],,,)</f>
        <v>USMCA</v>
      </c>
    </row>
    <row r="10542" spans="1:9" x14ac:dyDescent="0.4">
      <c r="A10542" t="s">
        <v>64</v>
      </c>
      <c r="B10542" s="1">
        <v>45778</v>
      </c>
      <c r="C10542">
        <v>870894</v>
      </c>
      <c r="D10542" t="s">
        <v>176</v>
      </c>
      <c r="E10542">
        <v>54845</v>
      </c>
      <c r="F10542">
        <v>584</v>
      </c>
      <c r="G10542">
        <v>1898</v>
      </c>
      <c r="H10542">
        <f>_xlfn.XLOOKUP(FACT_IMPORTS[[#This Row],[hts_6]],DIM_PRODUCTS[hts_6],DIM_PRODUCTS[hts_4],,,)</f>
        <v>8708</v>
      </c>
      <c r="I10542" t="str" cm="1">
        <f t="array" ref="I10542">_xlfn.XLOOKUP(FACT_IMPORTS[[#This Row],[country_name]],DIM_COUNTRY[[#All],[Column2]],DIM_COUNTRY[[#All],[Column3]],,,)</f>
        <v>USMCA</v>
      </c>
    </row>
    <row r="10543" spans="1:9" x14ac:dyDescent="0.4">
      <c r="A10543" t="s">
        <v>64</v>
      </c>
      <c r="B10543" s="1">
        <v>45778</v>
      </c>
      <c r="C10543">
        <v>870895</v>
      </c>
      <c r="D10543" t="s">
        <v>176</v>
      </c>
      <c r="E10543">
        <v>110320</v>
      </c>
      <c r="F10543">
        <v>3756</v>
      </c>
      <c r="G10543">
        <v>1244</v>
      </c>
      <c r="H10543">
        <f>_xlfn.XLOOKUP(FACT_IMPORTS[[#This Row],[hts_6]],DIM_PRODUCTS[hts_6],DIM_PRODUCTS[hts_4],,,)</f>
        <v>8708</v>
      </c>
      <c r="I10543" t="str" cm="1">
        <f t="array" ref="I10543">_xlfn.XLOOKUP(FACT_IMPORTS[[#This Row],[country_name]],DIM_COUNTRY[[#All],[Column2]],DIM_COUNTRY[[#All],[Column3]],,,)</f>
        <v>USMCA</v>
      </c>
    </row>
    <row r="10544" spans="1:9" x14ac:dyDescent="0.4">
      <c r="A10544" t="s">
        <v>64</v>
      </c>
      <c r="B10544" s="1">
        <v>45778</v>
      </c>
      <c r="C10544">
        <v>870899</v>
      </c>
      <c r="D10544" t="s">
        <v>176</v>
      </c>
      <c r="E10544">
        <v>122925</v>
      </c>
      <c r="F10544">
        <v>7711</v>
      </c>
      <c r="G10544">
        <v>2627</v>
      </c>
      <c r="H10544">
        <f>_xlfn.XLOOKUP(FACT_IMPORTS[[#This Row],[hts_6]],DIM_PRODUCTS[hts_6],DIM_PRODUCTS[hts_4],,,)</f>
        <v>8708</v>
      </c>
      <c r="I10544" t="str" cm="1">
        <f t="array" ref="I10544">_xlfn.XLOOKUP(FACT_IMPORTS[[#This Row],[country_name]],DIM_COUNTRY[[#All],[Column2]],DIM_COUNTRY[[#All],[Column3]],,,)</f>
        <v>USMCA</v>
      </c>
    </row>
    <row r="10545" spans="1:9" x14ac:dyDescent="0.4">
      <c r="A10545" t="s">
        <v>64</v>
      </c>
      <c r="B10545" s="1">
        <v>45778</v>
      </c>
      <c r="C10545">
        <v>940120</v>
      </c>
      <c r="D10545" t="s">
        <v>176</v>
      </c>
      <c r="E10545">
        <v>20852</v>
      </c>
      <c r="F10545">
        <v>135</v>
      </c>
      <c r="G10545">
        <v>39</v>
      </c>
      <c r="H10545">
        <f>_xlfn.XLOOKUP(FACT_IMPORTS[[#This Row],[hts_6]],DIM_PRODUCTS[hts_6],DIM_PRODUCTS[hts_4],,,)</f>
        <v>9401</v>
      </c>
      <c r="I10545" t="str" cm="1">
        <f t="array" ref="I10545">_xlfn.XLOOKUP(FACT_IMPORTS[[#This Row],[country_name]],DIM_COUNTRY[[#All],[Column2]],DIM_COUNTRY[[#All],[Column3]],,,)</f>
        <v>USMCA</v>
      </c>
    </row>
    <row r="10546" spans="1:9" x14ac:dyDescent="0.4">
      <c r="A10546" t="s">
        <v>64</v>
      </c>
      <c r="B10546" s="1">
        <v>45809</v>
      </c>
      <c r="C10546">
        <v>392630</v>
      </c>
      <c r="D10546" t="s">
        <v>176</v>
      </c>
      <c r="E10546">
        <v>452</v>
      </c>
      <c r="F10546">
        <v>12</v>
      </c>
      <c r="G10546">
        <v>45</v>
      </c>
      <c r="H10546">
        <f>_xlfn.XLOOKUP(FACT_IMPORTS[[#This Row],[hts_6]],DIM_PRODUCTS[hts_6],DIM_PRODUCTS[hts_4],,,)</f>
        <v>3926</v>
      </c>
      <c r="I10546" t="str" cm="1">
        <f t="array" ref="I10546">_xlfn.XLOOKUP(FACT_IMPORTS[[#This Row],[country_name]],DIM_COUNTRY[[#All],[Column2]],DIM_COUNTRY[[#All],[Column3]],,,)</f>
        <v>USMCA</v>
      </c>
    </row>
    <row r="10547" spans="1:9" x14ac:dyDescent="0.4">
      <c r="A10547" t="s">
        <v>64</v>
      </c>
      <c r="B10547" s="1">
        <v>45809</v>
      </c>
      <c r="C10547">
        <v>401110</v>
      </c>
      <c r="D10547" t="s">
        <v>176</v>
      </c>
      <c r="E10547">
        <v>32795</v>
      </c>
      <c r="F10547">
        <v>498</v>
      </c>
      <c r="G10547">
        <v>2250</v>
      </c>
      <c r="H10547">
        <f>_xlfn.XLOOKUP(FACT_IMPORTS[[#This Row],[hts_6]],DIM_PRODUCTS[hts_6],DIM_PRODUCTS[hts_4],,,)</f>
        <v>4011</v>
      </c>
      <c r="I10547" t="str" cm="1">
        <f t="array" ref="I10547">_xlfn.XLOOKUP(FACT_IMPORTS[[#This Row],[country_name]],DIM_COUNTRY[[#All],[Column2]],DIM_COUNTRY[[#All],[Column3]],,,)</f>
        <v>USMCA</v>
      </c>
    </row>
    <row r="10548" spans="1:9" x14ac:dyDescent="0.4">
      <c r="A10548" t="s">
        <v>64</v>
      </c>
      <c r="B10548" s="1">
        <v>45809</v>
      </c>
      <c r="C10548">
        <v>401120</v>
      </c>
      <c r="D10548" t="s">
        <v>176</v>
      </c>
      <c r="E10548">
        <v>44814</v>
      </c>
      <c r="F10548">
        <v>480</v>
      </c>
      <c r="G10548">
        <v>1200</v>
      </c>
      <c r="H10548">
        <f>_xlfn.XLOOKUP(FACT_IMPORTS[[#This Row],[hts_6]],DIM_PRODUCTS[hts_6],DIM_PRODUCTS[hts_4],,,)</f>
        <v>4011</v>
      </c>
      <c r="I10548" t="str" cm="1">
        <f t="array" ref="I10548">_xlfn.XLOOKUP(FACT_IMPORTS[[#This Row],[country_name]],DIM_COUNTRY[[#All],[Column2]],DIM_COUNTRY[[#All],[Column3]],,,)</f>
        <v>USMCA</v>
      </c>
    </row>
    <row r="10549" spans="1:9" x14ac:dyDescent="0.4">
      <c r="A10549" t="s">
        <v>64</v>
      </c>
      <c r="B10549" s="1">
        <v>45809</v>
      </c>
      <c r="C10549">
        <v>401190</v>
      </c>
      <c r="D10549" t="s">
        <v>176</v>
      </c>
      <c r="E10549">
        <v>0</v>
      </c>
      <c r="F10549">
        <v>0</v>
      </c>
      <c r="G10549">
        <v>0</v>
      </c>
      <c r="H10549">
        <f>_xlfn.XLOOKUP(FACT_IMPORTS[[#This Row],[hts_6]],DIM_PRODUCTS[hts_6],DIM_PRODUCTS[hts_4],,,)</f>
        <v>4011</v>
      </c>
      <c r="I10549" t="str" cm="1">
        <f t="array" ref="I10549">_xlfn.XLOOKUP(FACT_IMPORTS[[#This Row],[country_name]],DIM_COUNTRY[[#All],[Column2]],DIM_COUNTRY[[#All],[Column3]],,,)</f>
        <v>USMCA</v>
      </c>
    </row>
    <row r="10550" spans="1:9" x14ac:dyDescent="0.4">
      <c r="A10550" t="s">
        <v>64</v>
      </c>
      <c r="B10550" s="1">
        <v>45809</v>
      </c>
      <c r="C10550">
        <v>700711</v>
      </c>
      <c r="D10550" t="s">
        <v>176</v>
      </c>
      <c r="E10550">
        <v>0</v>
      </c>
      <c r="F10550">
        <v>0</v>
      </c>
      <c r="G10550">
        <v>0</v>
      </c>
      <c r="H10550">
        <f>_xlfn.XLOOKUP(FACT_IMPORTS[[#This Row],[hts_6]],DIM_PRODUCTS[hts_6],DIM_PRODUCTS[hts_4],,,)</f>
        <v>7007</v>
      </c>
      <c r="I10550" t="str" cm="1">
        <f t="array" ref="I10550">_xlfn.XLOOKUP(FACT_IMPORTS[[#This Row],[country_name]],DIM_COUNTRY[[#All],[Column2]],DIM_COUNTRY[[#All],[Column3]],,,)</f>
        <v>USMCA</v>
      </c>
    </row>
    <row r="10551" spans="1:9" x14ac:dyDescent="0.4">
      <c r="A10551" t="s">
        <v>64</v>
      </c>
      <c r="B10551" s="1">
        <v>45809</v>
      </c>
      <c r="C10551">
        <v>700721</v>
      </c>
      <c r="D10551" t="s">
        <v>176</v>
      </c>
      <c r="E10551">
        <v>7337</v>
      </c>
      <c r="F10551">
        <v>1</v>
      </c>
      <c r="G10551">
        <v>67</v>
      </c>
      <c r="H10551">
        <f>_xlfn.XLOOKUP(FACT_IMPORTS[[#This Row],[hts_6]],DIM_PRODUCTS[hts_6],DIM_PRODUCTS[hts_4],,,)</f>
        <v>7007</v>
      </c>
      <c r="I10551" t="str" cm="1">
        <f t="array" ref="I10551">_xlfn.XLOOKUP(FACT_IMPORTS[[#This Row],[country_name]],DIM_COUNTRY[[#All],[Column2]],DIM_COUNTRY[[#All],[Column3]],,,)</f>
        <v>USMCA</v>
      </c>
    </row>
    <row r="10552" spans="1:9" x14ac:dyDescent="0.4">
      <c r="A10552" t="s">
        <v>64</v>
      </c>
      <c r="B10552" s="1">
        <v>45809</v>
      </c>
      <c r="C10552">
        <v>700910</v>
      </c>
      <c r="D10552" t="s">
        <v>176</v>
      </c>
      <c r="E10552">
        <v>0</v>
      </c>
      <c r="F10552">
        <v>0</v>
      </c>
      <c r="G10552">
        <v>0</v>
      </c>
      <c r="H10552">
        <f>_xlfn.XLOOKUP(FACT_IMPORTS[[#This Row],[hts_6]],DIM_PRODUCTS[hts_6],DIM_PRODUCTS[hts_4],,,)</f>
        <v>7009</v>
      </c>
      <c r="I10552" t="str" cm="1">
        <f t="array" ref="I10552">_xlfn.XLOOKUP(FACT_IMPORTS[[#This Row],[country_name]],DIM_COUNTRY[[#All],[Column2]],DIM_COUNTRY[[#All],[Column3]],,,)</f>
        <v>USMCA</v>
      </c>
    </row>
    <row r="10553" spans="1:9" x14ac:dyDescent="0.4">
      <c r="A10553" t="s">
        <v>64</v>
      </c>
      <c r="B10553" s="1">
        <v>45809</v>
      </c>
      <c r="C10553">
        <v>732010</v>
      </c>
      <c r="D10553" t="s">
        <v>176</v>
      </c>
      <c r="E10553">
        <v>6397</v>
      </c>
      <c r="F10553">
        <v>1097</v>
      </c>
      <c r="G10553">
        <v>173</v>
      </c>
      <c r="H10553">
        <f>_xlfn.XLOOKUP(FACT_IMPORTS[[#This Row],[hts_6]],DIM_PRODUCTS[hts_6],DIM_PRODUCTS[hts_4],,,)</f>
        <v>7320</v>
      </c>
      <c r="I10553" t="str" cm="1">
        <f t="array" ref="I10553">_xlfn.XLOOKUP(FACT_IMPORTS[[#This Row],[country_name]],DIM_COUNTRY[[#All],[Column2]],DIM_COUNTRY[[#All],[Column3]],,,)</f>
        <v>USMCA</v>
      </c>
    </row>
    <row r="10554" spans="1:9" x14ac:dyDescent="0.4">
      <c r="A10554" t="s">
        <v>64</v>
      </c>
      <c r="B10554" s="1">
        <v>45809</v>
      </c>
      <c r="C10554">
        <v>830230</v>
      </c>
      <c r="D10554" t="s">
        <v>176</v>
      </c>
      <c r="E10554">
        <v>122199</v>
      </c>
      <c r="F10554">
        <v>11059</v>
      </c>
      <c r="G10554">
        <v>4400</v>
      </c>
      <c r="H10554">
        <f>_xlfn.XLOOKUP(FACT_IMPORTS[[#This Row],[hts_6]],DIM_PRODUCTS[hts_6],DIM_PRODUCTS[hts_4],,,)</f>
        <v>8302</v>
      </c>
      <c r="I10554" t="str" cm="1">
        <f t="array" ref="I10554">_xlfn.XLOOKUP(FACT_IMPORTS[[#This Row],[country_name]],DIM_COUNTRY[[#All],[Column2]],DIM_COUNTRY[[#All],[Column3]],,,)</f>
        <v>USMCA</v>
      </c>
    </row>
    <row r="10555" spans="1:9" x14ac:dyDescent="0.4">
      <c r="A10555" t="s">
        <v>64</v>
      </c>
      <c r="B10555" s="1">
        <v>45809</v>
      </c>
      <c r="C10555">
        <v>840733</v>
      </c>
      <c r="D10555" t="s">
        <v>176</v>
      </c>
      <c r="E10555">
        <v>45605</v>
      </c>
      <c r="F10555">
        <v>5</v>
      </c>
      <c r="G10555">
        <v>709</v>
      </c>
      <c r="H10555">
        <f>_xlfn.XLOOKUP(FACT_IMPORTS[[#This Row],[hts_6]],DIM_PRODUCTS[hts_6],DIM_PRODUCTS[hts_4],,,)</f>
        <v>8407</v>
      </c>
      <c r="I10555" t="str" cm="1">
        <f t="array" ref="I10555">_xlfn.XLOOKUP(FACT_IMPORTS[[#This Row],[country_name]],DIM_COUNTRY[[#All],[Column2]],DIM_COUNTRY[[#All],[Column3]],,,)</f>
        <v>USMCA</v>
      </c>
    </row>
    <row r="10556" spans="1:9" x14ac:dyDescent="0.4">
      <c r="A10556" t="s">
        <v>64</v>
      </c>
      <c r="B10556" s="1">
        <v>45809</v>
      </c>
      <c r="C10556">
        <v>840734</v>
      </c>
      <c r="D10556" t="s">
        <v>176</v>
      </c>
      <c r="E10556">
        <v>227017</v>
      </c>
      <c r="F10556">
        <v>53</v>
      </c>
      <c r="G10556">
        <v>768</v>
      </c>
      <c r="H10556">
        <f>_xlfn.XLOOKUP(FACT_IMPORTS[[#This Row],[hts_6]],DIM_PRODUCTS[hts_6],DIM_PRODUCTS[hts_4],,,)</f>
        <v>8407</v>
      </c>
      <c r="I10556" t="str" cm="1">
        <f t="array" ref="I10556">_xlfn.XLOOKUP(FACT_IMPORTS[[#This Row],[country_name]],DIM_COUNTRY[[#All],[Column2]],DIM_COUNTRY[[#All],[Column3]],,,)</f>
        <v>USMCA</v>
      </c>
    </row>
    <row r="10557" spans="1:9" x14ac:dyDescent="0.4">
      <c r="A10557" t="s">
        <v>64</v>
      </c>
      <c r="B10557" s="1">
        <v>45809</v>
      </c>
      <c r="C10557">
        <v>840820</v>
      </c>
      <c r="D10557" t="s">
        <v>176</v>
      </c>
      <c r="E10557">
        <v>92945</v>
      </c>
      <c r="F10557">
        <v>15</v>
      </c>
      <c r="G10557">
        <v>146</v>
      </c>
      <c r="H10557">
        <f>_xlfn.XLOOKUP(FACT_IMPORTS[[#This Row],[hts_6]],DIM_PRODUCTS[hts_6],DIM_PRODUCTS[hts_4],,,)</f>
        <v>8408</v>
      </c>
      <c r="I10557" t="str" cm="1">
        <f t="array" ref="I10557">_xlfn.XLOOKUP(FACT_IMPORTS[[#This Row],[country_name]],DIM_COUNTRY[[#All],[Column2]],DIM_COUNTRY[[#All],[Column3]],,,)</f>
        <v>USMCA</v>
      </c>
    </row>
    <row r="10558" spans="1:9" x14ac:dyDescent="0.4">
      <c r="A10558" t="s">
        <v>64</v>
      </c>
      <c r="B10558" s="1">
        <v>45809</v>
      </c>
      <c r="C10558">
        <v>840890</v>
      </c>
      <c r="D10558" t="s">
        <v>176</v>
      </c>
      <c r="E10558">
        <v>4100</v>
      </c>
      <c r="F10558">
        <v>2</v>
      </c>
      <c r="G10558">
        <v>25</v>
      </c>
      <c r="H10558">
        <f>_xlfn.XLOOKUP(FACT_IMPORTS[[#This Row],[hts_6]],DIM_PRODUCTS[hts_6],DIM_PRODUCTS[hts_4],,,)</f>
        <v>8408</v>
      </c>
      <c r="I10558" t="str" cm="1">
        <f t="array" ref="I10558">_xlfn.XLOOKUP(FACT_IMPORTS[[#This Row],[country_name]],DIM_COUNTRY[[#All],[Column2]],DIM_COUNTRY[[#All],[Column3]],,,)</f>
        <v>USMCA</v>
      </c>
    </row>
    <row r="10559" spans="1:9" x14ac:dyDescent="0.4">
      <c r="A10559" t="s">
        <v>64</v>
      </c>
      <c r="B10559" s="1">
        <v>45809</v>
      </c>
      <c r="C10559">
        <v>840991</v>
      </c>
      <c r="D10559" t="s">
        <v>176</v>
      </c>
      <c r="E10559">
        <v>1880539</v>
      </c>
      <c r="F10559">
        <v>74562</v>
      </c>
      <c r="G10559">
        <v>9702</v>
      </c>
      <c r="H10559">
        <f>_xlfn.XLOOKUP(FACT_IMPORTS[[#This Row],[hts_6]],DIM_PRODUCTS[hts_6],DIM_PRODUCTS[hts_4],,,)</f>
        <v>8409</v>
      </c>
      <c r="I10559" t="str" cm="1">
        <f t="array" ref="I10559">_xlfn.XLOOKUP(FACT_IMPORTS[[#This Row],[country_name]],DIM_COUNTRY[[#All],[Column2]],DIM_COUNTRY[[#All],[Column3]],,,)</f>
        <v>USMCA</v>
      </c>
    </row>
    <row r="10560" spans="1:9" x14ac:dyDescent="0.4">
      <c r="A10560" t="s">
        <v>64</v>
      </c>
      <c r="B10560" s="1">
        <v>45809</v>
      </c>
      <c r="C10560">
        <v>840999</v>
      </c>
      <c r="D10560" t="s">
        <v>176</v>
      </c>
      <c r="E10560">
        <v>38640</v>
      </c>
      <c r="F10560">
        <v>824</v>
      </c>
      <c r="G10560">
        <v>914</v>
      </c>
      <c r="H10560">
        <f>_xlfn.XLOOKUP(FACT_IMPORTS[[#This Row],[hts_6]],DIM_PRODUCTS[hts_6],DIM_PRODUCTS[hts_4],,,)</f>
        <v>8409</v>
      </c>
      <c r="I10560" t="str" cm="1">
        <f t="array" ref="I10560">_xlfn.XLOOKUP(FACT_IMPORTS[[#This Row],[country_name]],DIM_COUNTRY[[#All],[Column2]],DIM_COUNTRY[[#All],[Column3]],,,)</f>
        <v>USMCA</v>
      </c>
    </row>
    <row r="10561" spans="1:9" x14ac:dyDescent="0.4">
      <c r="A10561" t="s">
        <v>64</v>
      </c>
      <c r="B10561" s="1">
        <v>45809</v>
      </c>
      <c r="C10561">
        <v>841330</v>
      </c>
      <c r="D10561" t="s">
        <v>176</v>
      </c>
      <c r="E10561">
        <v>72561</v>
      </c>
      <c r="F10561">
        <v>268</v>
      </c>
      <c r="G10561">
        <v>1090</v>
      </c>
      <c r="H10561">
        <f>_xlfn.XLOOKUP(FACT_IMPORTS[[#This Row],[hts_6]],DIM_PRODUCTS[hts_6],DIM_PRODUCTS[hts_4],,,)</f>
        <v>8413</v>
      </c>
      <c r="I10561" t="str" cm="1">
        <f t="array" ref="I10561">_xlfn.XLOOKUP(FACT_IMPORTS[[#This Row],[country_name]],DIM_COUNTRY[[#All],[Column2]],DIM_COUNTRY[[#All],[Column3]],,,)</f>
        <v>USMCA</v>
      </c>
    </row>
    <row r="10562" spans="1:9" x14ac:dyDescent="0.4">
      <c r="A10562" t="s">
        <v>64</v>
      </c>
      <c r="B10562" s="1">
        <v>45809</v>
      </c>
      <c r="C10562">
        <v>841520</v>
      </c>
      <c r="D10562" t="s">
        <v>176</v>
      </c>
      <c r="E10562">
        <v>0</v>
      </c>
      <c r="F10562">
        <v>0</v>
      </c>
      <c r="G10562">
        <v>0</v>
      </c>
      <c r="H10562">
        <f>_xlfn.XLOOKUP(FACT_IMPORTS[[#This Row],[hts_6]],DIM_PRODUCTS[hts_6],DIM_PRODUCTS[hts_4],,,)</f>
        <v>8415</v>
      </c>
      <c r="I10562" t="str" cm="1">
        <f t="array" ref="I10562">_xlfn.XLOOKUP(FACT_IMPORTS[[#This Row],[country_name]],DIM_COUNTRY[[#All],[Column2]],DIM_COUNTRY[[#All],[Column3]],,,)</f>
        <v>USMCA</v>
      </c>
    </row>
    <row r="10563" spans="1:9" x14ac:dyDescent="0.4">
      <c r="A10563" t="s">
        <v>64</v>
      </c>
      <c r="B10563" s="1">
        <v>45809</v>
      </c>
      <c r="C10563">
        <v>842132</v>
      </c>
      <c r="D10563" t="s">
        <v>176</v>
      </c>
      <c r="E10563">
        <v>168088</v>
      </c>
      <c r="F10563">
        <v>283</v>
      </c>
      <c r="G10563">
        <v>756</v>
      </c>
      <c r="H10563">
        <f>_xlfn.XLOOKUP(FACT_IMPORTS[[#This Row],[hts_6]],DIM_PRODUCTS[hts_6],DIM_PRODUCTS[hts_4],,,)</f>
        <v>8421</v>
      </c>
      <c r="I10563" t="str" cm="1">
        <f t="array" ref="I10563">_xlfn.XLOOKUP(FACT_IMPORTS[[#This Row],[country_name]],DIM_COUNTRY[[#All],[Column2]],DIM_COUNTRY[[#All],[Column3]],,,)</f>
        <v>USMCA</v>
      </c>
    </row>
    <row r="10564" spans="1:9" x14ac:dyDescent="0.4">
      <c r="A10564" t="s">
        <v>64</v>
      </c>
      <c r="B10564" s="1">
        <v>45809</v>
      </c>
      <c r="C10564">
        <v>848210</v>
      </c>
      <c r="D10564" t="s">
        <v>176</v>
      </c>
      <c r="E10564">
        <v>2559</v>
      </c>
      <c r="F10564">
        <v>1</v>
      </c>
      <c r="G10564">
        <v>1</v>
      </c>
      <c r="H10564">
        <f>_xlfn.XLOOKUP(FACT_IMPORTS[[#This Row],[hts_6]],DIM_PRODUCTS[hts_6],DIM_PRODUCTS[hts_4],,,)</f>
        <v>8482</v>
      </c>
      <c r="I10564" t="str" cm="1">
        <f t="array" ref="I10564">_xlfn.XLOOKUP(FACT_IMPORTS[[#This Row],[country_name]],DIM_COUNTRY[[#All],[Column2]],DIM_COUNTRY[[#All],[Column3]],,,)</f>
        <v>USMCA</v>
      </c>
    </row>
    <row r="10565" spans="1:9" x14ac:dyDescent="0.4">
      <c r="A10565" t="s">
        <v>64</v>
      </c>
      <c r="B10565" s="1">
        <v>45809</v>
      </c>
      <c r="C10565">
        <v>848220</v>
      </c>
      <c r="D10565" t="s">
        <v>176</v>
      </c>
      <c r="E10565">
        <v>0</v>
      </c>
      <c r="F10565">
        <v>0</v>
      </c>
      <c r="G10565">
        <v>0</v>
      </c>
      <c r="H10565">
        <f>_xlfn.XLOOKUP(FACT_IMPORTS[[#This Row],[hts_6]],DIM_PRODUCTS[hts_6],DIM_PRODUCTS[hts_4],,,)</f>
        <v>8482</v>
      </c>
      <c r="I10565" t="str" cm="1">
        <f t="array" ref="I10565">_xlfn.XLOOKUP(FACT_IMPORTS[[#This Row],[country_name]],DIM_COUNTRY[[#All],[Column2]],DIM_COUNTRY[[#All],[Column3]],,,)</f>
        <v>USMCA</v>
      </c>
    </row>
    <row r="10566" spans="1:9" x14ac:dyDescent="0.4">
      <c r="A10566" t="s">
        <v>64</v>
      </c>
      <c r="B10566" s="1">
        <v>45809</v>
      </c>
      <c r="C10566">
        <v>848310</v>
      </c>
      <c r="D10566" t="s">
        <v>176</v>
      </c>
      <c r="E10566">
        <v>0</v>
      </c>
      <c r="F10566">
        <v>0</v>
      </c>
      <c r="G10566">
        <v>0</v>
      </c>
      <c r="H10566">
        <f>_xlfn.XLOOKUP(FACT_IMPORTS[[#This Row],[hts_6]],DIM_PRODUCTS[hts_6],DIM_PRODUCTS[hts_4],,,)</f>
        <v>8483</v>
      </c>
      <c r="I10566" t="str" cm="1">
        <f t="array" ref="I10566">_xlfn.XLOOKUP(FACT_IMPORTS[[#This Row],[country_name]],DIM_COUNTRY[[#All],[Column2]],DIM_COUNTRY[[#All],[Column3]],,,)</f>
        <v>USMCA</v>
      </c>
    </row>
    <row r="10567" spans="1:9" x14ac:dyDescent="0.4">
      <c r="A10567" t="s">
        <v>64</v>
      </c>
      <c r="B10567" s="1">
        <v>45809</v>
      </c>
      <c r="C10567">
        <v>850131</v>
      </c>
      <c r="D10567" t="s">
        <v>176</v>
      </c>
      <c r="E10567">
        <v>13214</v>
      </c>
      <c r="F10567">
        <v>355</v>
      </c>
      <c r="G10567">
        <v>373</v>
      </c>
      <c r="H10567">
        <f>_xlfn.XLOOKUP(FACT_IMPORTS[[#This Row],[hts_6]],DIM_PRODUCTS[hts_6],DIM_PRODUCTS[hts_4],,,)</f>
        <v>8501</v>
      </c>
      <c r="I10567" t="str" cm="1">
        <f t="array" ref="I10567">_xlfn.XLOOKUP(FACT_IMPORTS[[#This Row],[country_name]],DIM_COUNTRY[[#All],[Column2]],DIM_COUNTRY[[#All],[Column3]],,,)</f>
        <v>USMCA</v>
      </c>
    </row>
    <row r="10568" spans="1:9" x14ac:dyDescent="0.4">
      <c r="A10568" t="s">
        <v>64</v>
      </c>
      <c r="B10568" s="1">
        <v>45809</v>
      </c>
      <c r="C10568">
        <v>850132</v>
      </c>
      <c r="D10568" t="s">
        <v>176</v>
      </c>
      <c r="E10568">
        <v>0</v>
      </c>
      <c r="F10568">
        <v>0</v>
      </c>
      <c r="G10568">
        <v>0</v>
      </c>
      <c r="H10568">
        <f>_xlfn.XLOOKUP(FACT_IMPORTS[[#This Row],[hts_6]],DIM_PRODUCTS[hts_6],DIM_PRODUCTS[hts_4],,,)</f>
        <v>8501</v>
      </c>
      <c r="I10568" t="str" cm="1">
        <f t="array" ref="I10568">_xlfn.XLOOKUP(FACT_IMPORTS[[#This Row],[country_name]],DIM_COUNTRY[[#All],[Column2]],DIM_COUNTRY[[#All],[Column3]],,,)</f>
        <v>USMCA</v>
      </c>
    </row>
    <row r="10569" spans="1:9" x14ac:dyDescent="0.4">
      <c r="A10569" t="s">
        <v>64</v>
      </c>
      <c r="B10569" s="1">
        <v>45809</v>
      </c>
      <c r="C10569">
        <v>850134</v>
      </c>
      <c r="D10569" t="s">
        <v>176</v>
      </c>
      <c r="E10569">
        <v>0</v>
      </c>
      <c r="F10569">
        <v>0</v>
      </c>
      <c r="G10569">
        <v>0</v>
      </c>
      <c r="H10569">
        <f>_xlfn.XLOOKUP(FACT_IMPORTS[[#This Row],[hts_6]],DIM_PRODUCTS[hts_6],DIM_PRODUCTS[hts_4],,,)</f>
        <v>8501</v>
      </c>
      <c r="I10569" t="str" cm="1">
        <f t="array" ref="I10569">_xlfn.XLOOKUP(FACT_IMPORTS[[#This Row],[country_name]],DIM_COUNTRY[[#All],[Column2]],DIM_COUNTRY[[#All],[Column3]],,,)</f>
        <v>USMCA</v>
      </c>
    </row>
    <row r="10570" spans="1:9" x14ac:dyDescent="0.4">
      <c r="A10570" t="s">
        <v>64</v>
      </c>
      <c r="B10570" s="1">
        <v>45809</v>
      </c>
      <c r="C10570">
        <v>850152</v>
      </c>
      <c r="D10570" t="s">
        <v>176</v>
      </c>
      <c r="E10570">
        <v>105778</v>
      </c>
      <c r="F10570">
        <v>177</v>
      </c>
      <c r="G10570">
        <v>2101</v>
      </c>
      <c r="H10570">
        <f>_xlfn.XLOOKUP(FACT_IMPORTS[[#This Row],[hts_6]],DIM_PRODUCTS[hts_6],DIM_PRODUCTS[hts_4],,,)</f>
        <v>8501</v>
      </c>
      <c r="I10570" t="str" cm="1">
        <f t="array" ref="I10570">_xlfn.XLOOKUP(FACT_IMPORTS[[#This Row],[country_name]],DIM_COUNTRY[[#All],[Column2]],DIM_COUNTRY[[#All],[Column3]],,,)</f>
        <v>USMCA</v>
      </c>
    </row>
    <row r="10571" spans="1:9" x14ac:dyDescent="0.4">
      <c r="A10571" t="s">
        <v>64</v>
      </c>
      <c r="B10571" s="1">
        <v>45809</v>
      </c>
      <c r="C10571">
        <v>850153</v>
      </c>
      <c r="D10571" t="s">
        <v>176</v>
      </c>
      <c r="E10571">
        <v>35052</v>
      </c>
      <c r="F10571">
        <v>6</v>
      </c>
      <c r="G10571">
        <v>315</v>
      </c>
      <c r="H10571">
        <f>_xlfn.XLOOKUP(FACT_IMPORTS[[#This Row],[hts_6]],DIM_PRODUCTS[hts_6],DIM_PRODUCTS[hts_4],,,)</f>
        <v>8501</v>
      </c>
      <c r="I10571" t="str" cm="1">
        <f t="array" ref="I10571">_xlfn.XLOOKUP(FACT_IMPORTS[[#This Row],[country_name]],DIM_COUNTRY[[#All],[Column2]],DIM_COUNTRY[[#All],[Column3]],,,)</f>
        <v>USMCA</v>
      </c>
    </row>
    <row r="10572" spans="1:9" x14ac:dyDescent="0.4">
      <c r="A10572" t="s">
        <v>64</v>
      </c>
      <c r="B10572" s="1">
        <v>45809</v>
      </c>
      <c r="C10572">
        <v>850440</v>
      </c>
      <c r="D10572" t="s">
        <v>176</v>
      </c>
      <c r="E10572">
        <v>70885</v>
      </c>
      <c r="F10572">
        <v>596</v>
      </c>
      <c r="G10572">
        <v>2943</v>
      </c>
      <c r="H10572">
        <f>_xlfn.XLOOKUP(FACT_IMPORTS[[#This Row],[hts_6]],DIM_PRODUCTS[hts_6],DIM_PRODUCTS[hts_4],,,)</f>
        <v>8504</v>
      </c>
      <c r="I10572" t="str" cm="1">
        <f t="array" ref="I10572">_xlfn.XLOOKUP(FACT_IMPORTS[[#This Row],[country_name]],DIM_COUNTRY[[#All],[Column2]],DIM_COUNTRY[[#All],[Column3]],,,)</f>
        <v>USMCA</v>
      </c>
    </row>
    <row r="10573" spans="1:9" x14ac:dyDescent="0.4">
      <c r="A10573" t="s">
        <v>64</v>
      </c>
      <c r="B10573" s="1">
        <v>45809</v>
      </c>
      <c r="C10573">
        <v>850710</v>
      </c>
      <c r="D10573" t="s">
        <v>176</v>
      </c>
      <c r="E10573">
        <v>0</v>
      </c>
      <c r="F10573">
        <v>0</v>
      </c>
      <c r="G10573">
        <v>0</v>
      </c>
      <c r="H10573">
        <f>_xlfn.XLOOKUP(FACT_IMPORTS[[#This Row],[hts_6]],DIM_PRODUCTS[hts_6],DIM_PRODUCTS[hts_4],,,)</f>
        <v>8507</v>
      </c>
      <c r="I10573" t="str" cm="1">
        <f t="array" ref="I10573">_xlfn.XLOOKUP(FACT_IMPORTS[[#This Row],[country_name]],DIM_COUNTRY[[#All],[Column2]],DIM_COUNTRY[[#All],[Column3]],,,)</f>
        <v>USMCA</v>
      </c>
    </row>
    <row r="10574" spans="1:9" x14ac:dyDescent="0.4">
      <c r="A10574" t="s">
        <v>64</v>
      </c>
      <c r="B10574" s="1">
        <v>45809</v>
      </c>
      <c r="C10574">
        <v>850760</v>
      </c>
      <c r="D10574" t="s">
        <v>176</v>
      </c>
      <c r="E10574">
        <v>299208</v>
      </c>
      <c r="F10574">
        <v>9</v>
      </c>
      <c r="G10574">
        <v>9513</v>
      </c>
      <c r="H10574">
        <f>_xlfn.XLOOKUP(FACT_IMPORTS[[#This Row],[hts_6]],DIM_PRODUCTS[hts_6],DIM_PRODUCTS[hts_4],,,)</f>
        <v>8507</v>
      </c>
      <c r="I10574" t="str" cm="1">
        <f t="array" ref="I10574">_xlfn.XLOOKUP(FACT_IMPORTS[[#This Row],[country_name]],DIM_COUNTRY[[#All],[Column2]],DIM_COUNTRY[[#All],[Column3]],,,)</f>
        <v>USMCA</v>
      </c>
    </row>
    <row r="10575" spans="1:9" x14ac:dyDescent="0.4">
      <c r="A10575" t="s">
        <v>64</v>
      </c>
      <c r="B10575" s="1">
        <v>45809</v>
      </c>
      <c r="C10575">
        <v>851110</v>
      </c>
      <c r="D10575" t="s">
        <v>176</v>
      </c>
      <c r="E10575">
        <v>0</v>
      </c>
      <c r="F10575">
        <v>0</v>
      </c>
      <c r="G10575">
        <v>0</v>
      </c>
      <c r="H10575">
        <f>_xlfn.XLOOKUP(FACT_IMPORTS[[#This Row],[hts_6]],DIM_PRODUCTS[hts_6],DIM_PRODUCTS[hts_4],,,)</f>
        <v>8511</v>
      </c>
      <c r="I10575" t="str" cm="1">
        <f t="array" ref="I10575">_xlfn.XLOOKUP(FACT_IMPORTS[[#This Row],[country_name]],DIM_COUNTRY[[#All],[Column2]],DIM_COUNTRY[[#All],[Column3]],,,)</f>
        <v>USMCA</v>
      </c>
    </row>
    <row r="10576" spans="1:9" x14ac:dyDescent="0.4">
      <c r="A10576" t="s">
        <v>64</v>
      </c>
      <c r="B10576" s="1">
        <v>45809</v>
      </c>
      <c r="C10576">
        <v>851120</v>
      </c>
      <c r="D10576" t="s">
        <v>176</v>
      </c>
      <c r="E10576">
        <v>2395</v>
      </c>
      <c r="F10576">
        <v>12</v>
      </c>
      <c r="G10576">
        <v>1</v>
      </c>
      <c r="H10576">
        <f>_xlfn.XLOOKUP(FACT_IMPORTS[[#This Row],[hts_6]],DIM_PRODUCTS[hts_6],DIM_PRODUCTS[hts_4],,,)</f>
        <v>8511</v>
      </c>
      <c r="I10576" t="str" cm="1">
        <f t="array" ref="I10576">_xlfn.XLOOKUP(FACT_IMPORTS[[#This Row],[country_name]],DIM_COUNTRY[[#All],[Column2]],DIM_COUNTRY[[#All],[Column3]],,,)</f>
        <v>USMCA</v>
      </c>
    </row>
    <row r="10577" spans="1:9" x14ac:dyDescent="0.4">
      <c r="A10577" t="s">
        <v>64</v>
      </c>
      <c r="B10577" s="1">
        <v>45809</v>
      </c>
      <c r="C10577">
        <v>851130</v>
      </c>
      <c r="D10577" t="s">
        <v>176</v>
      </c>
      <c r="E10577">
        <v>0</v>
      </c>
      <c r="F10577">
        <v>0</v>
      </c>
      <c r="G10577">
        <v>0</v>
      </c>
      <c r="H10577">
        <f>_xlfn.XLOOKUP(FACT_IMPORTS[[#This Row],[hts_6]],DIM_PRODUCTS[hts_6],DIM_PRODUCTS[hts_4],,,)</f>
        <v>8511</v>
      </c>
      <c r="I10577" t="str" cm="1">
        <f t="array" ref="I10577">_xlfn.XLOOKUP(FACT_IMPORTS[[#This Row],[country_name]],DIM_COUNTRY[[#All],[Column2]],DIM_COUNTRY[[#All],[Column3]],,,)</f>
        <v>USMCA</v>
      </c>
    </row>
    <row r="10578" spans="1:9" x14ac:dyDescent="0.4">
      <c r="A10578" t="s">
        <v>64</v>
      </c>
      <c r="B10578" s="1">
        <v>45809</v>
      </c>
      <c r="C10578">
        <v>851140</v>
      </c>
      <c r="D10578" t="s">
        <v>176</v>
      </c>
      <c r="E10578">
        <v>32577</v>
      </c>
      <c r="F10578">
        <v>144</v>
      </c>
      <c r="G10578">
        <v>270</v>
      </c>
      <c r="H10578">
        <f>_xlfn.XLOOKUP(FACT_IMPORTS[[#This Row],[hts_6]],DIM_PRODUCTS[hts_6],DIM_PRODUCTS[hts_4],,,)</f>
        <v>8511</v>
      </c>
      <c r="I10578" t="str" cm="1">
        <f t="array" ref="I10578">_xlfn.XLOOKUP(FACT_IMPORTS[[#This Row],[country_name]],DIM_COUNTRY[[#All],[Column2]],DIM_COUNTRY[[#All],[Column3]],,,)</f>
        <v>USMCA</v>
      </c>
    </row>
    <row r="10579" spans="1:9" x14ac:dyDescent="0.4">
      <c r="A10579" t="s">
        <v>64</v>
      </c>
      <c r="B10579" s="1">
        <v>45809</v>
      </c>
      <c r="C10579">
        <v>851150</v>
      </c>
      <c r="D10579" t="s">
        <v>176</v>
      </c>
      <c r="E10579">
        <v>9343</v>
      </c>
      <c r="F10579">
        <v>16</v>
      </c>
      <c r="G10579">
        <v>902</v>
      </c>
      <c r="H10579">
        <f>_xlfn.XLOOKUP(FACT_IMPORTS[[#This Row],[hts_6]],DIM_PRODUCTS[hts_6],DIM_PRODUCTS[hts_4],,,)</f>
        <v>8511</v>
      </c>
      <c r="I10579" t="str" cm="1">
        <f t="array" ref="I10579">_xlfn.XLOOKUP(FACT_IMPORTS[[#This Row],[country_name]],DIM_COUNTRY[[#All],[Column2]],DIM_COUNTRY[[#All],[Column3]],,,)</f>
        <v>USMCA</v>
      </c>
    </row>
    <row r="10580" spans="1:9" x14ac:dyDescent="0.4">
      <c r="A10580" t="s">
        <v>64</v>
      </c>
      <c r="B10580" s="1">
        <v>45809</v>
      </c>
      <c r="C10580">
        <v>851180</v>
      </c>
      <c r="D10580" t="s">
        <v>176</v>
      </c>
      <c r="E10580">
        <v>11170</v>
      </c>
      <c r="F10580">
        <v>297</v>
      </c>
      <c r="G10580">
        <v>6</v>
      </c>
      <c r="H10580">
        <f>_xlfn.XLOOKUP(FACT_IMPORTS[[#This Row],[hts_6]],DIM_PRODUCTS[hts_6],DIM_PRODUCTS[hts_4],,,)</f>
        <v>8511</v>
      </c>
      <c r="I10580" t="str" cm="1">
        <f t="array" ref="I10580">_xlfn.XLOOKUP(FACT_IMPORTS[[#This Row],[country_name]],DIM_COUNTRY[[#All],[Column2]],DIM_COUNTRY[[#All],[Column3]],,,)</f>
        <v>USMCA</v>
      </c>
    </row>
    <row r="10581" spans="1:9" x14ac:dyDescent="0.4">
      <c r="A10581" t="s">
        <v>64</v>
      </c>
      <c r="B10581" s="1">
        <v>45809</v>
      </c>
      <c r="C10581">
        <v>851190</v>
      </c>
      <c r="D10581" t="s">
        <v>176</v>
      </c>
      <c r="E10581">
        <v>0</v>
      </c>
      <c r="F10581">
        <v>0</v>
      </c>
      <c r="G10581">
        <v>0</v>
      </c>
      <c r="H10581">
        <f>_xlfn.XLOOKUP(FACT_IMPORTS[[#This Row],[hts_6]],DIM_PRODUCTS[hts_6],DIM_PRODUCTS[hts_4],,,)</f>
        <v>8511</v>
      </c>
      <c r="I10581" t="str" cm="1">
        <f t="array" ref="I10581">_xlfn.XLOOKUP(FACT_IMPORTS[[#This Row],[country_name]],DIM_COUNTRY[[#All],[Column2]],DIM_COUNTRY[[#All],[Column3]],,,)</f>
        <v>USMCA</v>
      </c>
    </row>
    <row r="10582" spans="1:9" x14ac:dyDescent="0.4">
      <c r="A10582" t="s">
        <v>64</v>
      </c>
      <c r="B10582" s="1">
        <v>45809</v>
      </c>
      <c r="C10582">
        <v>851220</v>
      </c>
      <c r="D10582" t="s">
        <v>176</v>
      </c>
      <c r="E10582">
        <v>91091</v>
      </c>
      <c r="F10582">
        <v>6123</v>
      </c>
      <c r="G10582">
        <v>4459</v>
      </c>
      <c r="H10582">
        <f>_xlfn.XLOOKUP(FACT_IMPORTS[[#This Row],[hts_6]],DIM_PRODUCTS[hts_6],DIM_PRODUCTS[hts_4],,,)</f>
        <v>8512</v>
      </c>
      <c r="I10582" t="str" cm="1">
        <f t="array" ref="I10582">_xlfn.XLOOKUP(FACT_IMPORTS[[#This Row],[country_name]],DIM_COUNTRY[[#All],[Column2]],DIM_COUNTRY[[#All],[Column3]],,,)</f>
        <v>USMCA</v>
      </c>
    </row>
    <row r="10583" spans="1:9" x14ac:dyDescent="0.4">
      <c r="A10583" t="s">
        <v>64</v>
      </c>
      <c r="B10583" s="1">
        <v>45809</v>
      </c>
      <c r="C10583">
        <v>851230</v>
      </c>
      <c r="D10583" t="s">
        <v>176</v>
      </c>
      <c r="E10583">
        <v>0</v>
      </c>
      <c r="F10583">
        <v>0</v>
      </c>
      <c r="G10583">
        <v>0</v>
      </c>
      <c r="H10583">
        <f>_xlfn.XLOOKUP(FACT_IMPORTS[[#This Row],[hts_6]],DIM_PRODUCTS[hts_6],DIM_PRODUCTS[hts_4],,,)</f>
        <v>8512</v>
      </c>
      <c r="I10583" t="str" cm="1">
        <f t="array" ref="I10583">_xlfn.XLOOKUP(FACT_IMPORTS[[#This Row],[country_name]],DIM_COUNTRY[[#All],[Column2]],DIM_COUNTRY[[#All],[Column3]],,,)</f>
        <v>USMCA</v>
      </c>
    </row>
    <row r="10584" spans="1:9" x14ac:dyDescent="0.4">
      <c r="A10584" t="s">
        <v>64</v>
      </c>
      <c r="B10584" s="1">
        <v>45809</v>
      </c>
      <c r="C10584">
        <v>851290</v>
      </c>
      <c r="D10584" t="s">
        <v>176</v>
      </c>
      <c r="E10584">
        <v>0</v>
      </c>
      <c r="F10584">
        <v>0</v>
      </c>
      <c r="G10584">
        <v>0</v>
      </c>
      <c r="H10584">
        <f>_xlfn.XLOOKUP(FACT_IMPORTS[[#This Row],[hts_6]],DIM_PRODUCTS[hts_6],DIM_PRODUCTS[hts_4],,,)</f>
        <v>8512</v>
      </c>
      <c r="I10584" t="str" cm="1">
        <f t="array" ref="I10584">_xlfn.XLOOKUP(FACT_IMPORTS[[#This Row],[country_name]],DIM_COUNTRY[[#All],[Column2]],DIM_COUNTRY[[#All],[Column3]],,,)</f>
        <v>USMCA</v>
      </c>
    </row>
    <row r="10585" spans="1:9" x14ac:dyDescent="0.4">
      <c r="A10585" t="s">
        <v>64</v>
      </c>
      <c r="B10585" s="1">
        <v>45809</v>
      </c>
      <c r="C10585">
        <v>854231</v>
      </c>
      <c r="D10585" t="s">
        <v>176</v>
      </c>
      <c r="E10585">
        <v>2331</v>
      </c>
      <c r="F10585">
        <v>160</v>
      </c>
      <c r="G10585">
        <v>4</v>
      </c>
      <c r="H10585">
        <f>_xlfn.XLOOKUP(FACT_IMPORTS[[#This Row],[hts_6]],DIM_PRODUCTS[hts_6],DIM_PRODUCTS[hts_4],,,)</f>
        <v>8542</v>
      </c>
      <c r="I10585" t="str" cm="1">
        <f t="array" ref="I10585">_xlfn.XLOOKUP(FACT_IMPORTS[[#This Row],[country_name]],DIM_COUNTRY[[#All],[Column2]],DIM_COUNTRY[[#All],[Column3]],,,)</f>
        <v>USMCA</v>
      </c>
    </row>
    <row r="10586" spans="1:9" x14ac:dyDescent="0.4">
      <c r="A10586" t="s">
        <v>64</v>
      </c>
      <c r="B10586" s="1">
        <v>45809</v>
      </c>
      <c r="C10586">
        <v>854232</v>
      </c>
      <c r="D10586" t="s">
        <v>176</v>
      </c>
      <c r="E10586">
        <v>0</v>
      </c>
      <c r="F10586">
        <v>0</v>
      </c>
      <c r="G10586">
        <v>0</v>
      </c>
      <c r="H10586">
        <f>_xlfn.XLOOKUP(FACT_IMPORTS[[#This Row],[hts_6]],DIM_PRODUCTS[hts_6],DIM_PRODUCTS[hts_4],,,)</f>
        <v>8542</v>
      </c>
      <c r="I10586" t="str" cm="1">
        <f t="array" ref="I10586">_xlfn.XLOOKUP(FACT_IMPORTS[[#This Row],[country_name]],DIM_COUNTRY[[#All],[Column2]],DIM_COUNTRY[[#All],[Column3]],,,)</f>
        <v>USMCA</v>
      </c>
    </row>
    <row r="10587" spans="1:9" x14ac:dyDescent="0.4">
      <c r="A10587" t="s">
        <v>64</v>
      </c>
      <c r="B10587" s="1">
        <v>45809</v>
      </c>
      <c r="C10587">
        <v>854290</v>
      </c>
      <c r="D10587" t="s">
        <v>176</v>
      </c>
      <c r="E10587">
        <v>0</v>
      </c>
      <c r="F10587">
        <v>0</v>
      </c>
      <c r="G10587">
        <v>0</v>
      </c>
      <c r="H10587">
        <f>_xlfn.XLOOKUP(FACT_IMPORTS[[#This Row],[hts_6]],DIM_PRODUCTS[hts_6],DIM_PRODUCTS[hts_4],,,)</f>
        <v>8542</v>
      </c>
      <c r="I10587" t="str" cm="1">
        <f t="array" ref="I10587">_xlfn.XLOOKUP(FACT_IMPORTS[[#This Row],[country_name]],DIM_COUNTRY[[#All],[Column2]],DIM_COUNTRY[[#All],[Column3]],,,)</f>
        <v>USMCA</v>
      </c>
    </row>
    <row r="10588" spans="1:9" x14ac:dyDescent="0.4">
      <c r="A10588" t="s">
        <v>64</v>
      </c>
      <c r="B10588" s="1">
        <v>45809</v>
      </c>
      <c r="C10588">
        <v>854430</v>
      </c>
      <c r="D10588" t="s">
        <v>176</v>
      </c>
      <c r="E10588">
        <v>682658</v>
      </c>
      <c r="F10588">
        <v>89084</v>
      </c>
      <c r="G10588">
        <v>7380</v>
      </c>
      <c r="H10588">
        <f>_xlfn.XLOOKUP(FACT_IMPORTS[[#This Row],[hts_6]],DIM_PRODUCTS[hts_6],DIM_PRODUCTS[hts_4],,,)</f>
        <v>8544</v>
      </c>
      <c r="I10588" t="str" cm="1">
        <f t="array" ref="I10588">_xlfn.XLOOKUP(FACT_IMPORTS[[#This Row],[country_name]],DIM_COUNTRY[[#All],[Column2]],DIM_COUNTRY[[#All],[Column3]],,,)</f>
        <v>USMCA</v>
      </c>
    </row>
    <row r="10589" spans="1:9" x14ac:dyDescent="0.4">
      <c r="A10589" t="s">
        <v>64</v>
      </c>
      <c r="B10589" s="1">
        <v>45809</v>
      </c>
      <c r="C10589">
        <v>870790</v>
      </c>
      <c r="D10589" t="s">
        <v>176</v>
      </c>
      <c r="E10589">
        <v>0</v>
      </c>
      <c r="F10589">
        <v>0</v>
      </c>
      <c r="G10589">
        <v>0</v>
      </c>
      <c r="H10589">
        <f>_xlfn.XLOOKUP(FACT_IMPORTS[[#This Row],[hts_6]],DIM_PRODUCTS[hts_6],DIM_PRODUCTS[hts_4],,,)</f>
        <v>8707</v>
      </c>
      <c r="I10589" t="str" cm="1">
        <f t="array" ref="I10589">_xlfn.XLOOKUP(FACT_IMPORTS[[#This Row],[country_name]],DIM_COUNTRY[[#All],[Column2]],DIM_COUNTRY[[#All],[Column3]],,,)</f>
        <v>USMCA</v>
      </c>
    </row>
    <row r="10590" spans="1:9" x14ac:dyDescent="0.4">
      <c r="A10590" t="s">
        <v>64</v>
      </c>
      <c r="B10590" s="1">
        <v>45809</v>
      </c>
      <c r="C10590">
        <v>870810</v>
      </c>
      <c r="D10590" t="s">
        <v>176</v>
      </c>
      <c r="E10590">
        <v>28621</v>
      </c>
      <c r="F10590">
        <v>240</v>
      </c>
      <c r="G10590">
        <v>29</v>
      </c>
      <c r="H10590">
        <f>_xlfn.XLOOKUP(FACT_IMPORTS[[#This Row],[hts_6]],DIM_PRODUCTS[hts_6],DIM_PRODUCTS[hts_4],,,)</f>
        <v>8708</v>
      </c>
      <c r="I10590" t="str" cm="1">
        <f t="array" ref="I10590">_xlfn.XLOOKUP(FACT_IMPORTS[[#This Row],[country_name]],DIM_COUNTRY[[#All],[Column2]],DIM_COUNTRY[[#All],[Column3]],,,)</f>
        <v>USMCA</v>
      </c>
    </row>
    <row r="10591" spans="1:9" x14ac:dyDescent="0.4">
      <c r="A10591" t="s">
        <v>64</v>
      </c>
      <c r="B10591" s="1">
        <v>45809</v>
      </c>
      <c r="C10591">
        <v>870821</v>
      </c>
      <c r="D10591" t="s">
        <v>176</v>
      </c>
      <c r="E10591">
        <v>0</v>
      </c>
      <c r="F10591">
        <v>0</v>
      </c>
      <c r="G10591">
        <v>0</v>
      </c>
      <c r="H10591">
        <f>_xlfn.XLOOKUP(FACT_IMPORTS[[#This Row],[hts_6]],DIM_PRODUCTS[hts_6],DIM_PRODUCTS[hts_4],,,)</f>
        <v>8708</v>
      </c>
      <c r="I10591" t="str" cm="1">
        <f t="array" ref="I10591">_xlfn.XLOOKUP(FACT_IMPORTS[[#This Row],[country_name]],DIM_COUNTRY[[#All],[Column2]],DIM_COUNTRY[[#All],[Column3]],,,)</f>
        <v>USMCA</v>
      </c>
    </row>
    <row r="10592" spans="1:9" x14ac:dyDescent="0.4">
      <c r="A10592" t="s">
        <v>64</v>
      </c>
      <c r="B10592" s="1">
        <v>45809</v>
      </c>
      <c r="C10592">
        <v>870822</v>
      </c>
      <c r="D10592" t="s">
        <v>176</v>
      </c>
      <c r="E10592">
        <v>2671</v>
      </c>
      <c r="F10592">
        <v>24</v>
      </c>
      <c r="G10592">
        <v>61</v>
      </c>
      <c r="H10592">
        <f>_xlfn.XLOOKUP(FACT_IMPORTS[[#This Row],[hts_6]],DIM_PRODUCTS[hts_6],DIM_PRODUCTS[hts_4],,,)</f>
        <v>8708</v>
      </c>
      <c r="I10592" t="str" cm="1">
        <f t="array" ref="I10592">_xlfn.XLOOKUP(FACT_IMPORTS[[#This Row],[country_name]],DIM_COUNTRY[[#All],[Column2]],DIM_COUNTRY[[#All],[Column3]],,,)</f>
        <v>USMCA</v>
      </c>
    </row>
    <row r="10593" spans="1:9" x14ac:dyDescent="0.4">
      <c r="A10593" t="s">
        <v>64</v>
      </c>
      <c r="B10593" s="1">
        <v>45809</v>
      </c>
      <c r="C10593">
        <v>870829</v>
      </c>
      <c r="D10593" t="s">
        <v>176</v>
      </c>
      <c r="E10593">
        <v>978854</v>
      </c>
      <c r="F10593">
        <v>23298</v>
      </c>
      <c r="G10593">
        <v>13197</v>
      </c>
      <c r="H10593">
        <f>_xlfn.XLOOKUP(FACT_IMPORTS[[#This Row],[hts_6]],DIM_PRODUCTS[hts_6],DIM_PRODUCTS[hts_4],,,)</f>
        <v>8708</v>
      </c>
      <c r="I10593" t="str" cm="1">
        <f t="array" ref="I10593">_xlfn.XLOOKUP(FACT_IMPORTS[[#This Row],[country_name]],DIM_COUNTRY[[#All],[Column2]],DIM_COUNTRY[[#All],[Column3]],,,)</f>
        <v>USMCA</v>
      </c>
    </row>
    <row r="10594" spans="1:9" x14ac:dyDescent="0.4">
      <c r="A10594" t="s">
        <v>64</v>
      </c>
      <c r="B10594" s="1">
        <v>45809</v>
      </c>
      <c r="C10594">
        <v>870830</v>
      </c>
      <c r="D10594" t="s">
        <v>176</v>
      </c>
      <c r="E10594">
        <v>715984</v>
      </c>
      <c r="F10594">
        <v>11395</v>
      </c>
      <c r="G10594">
        <v>14989</v>
      </c>
      <c r="H10594">
        <f>_xlfn.XLOOKUP(FACT_IMPORTS[[#This Row],[hts_6]],DIM_PRODUCTS[hts_6],DIM_PRODUCTS[hts_4],,,)</f>
        <v>8708</v>
      </c>
      <c r="I10594" t="str" cm="1">
        <f t="array" ref="I10594">_xlfn.XLOOKUP(FACT_IMPORTS[[#This Row],[country_name]],DIM_COUNTRY[[#All],[Column2]],DIM_COUNTRY[[#All],[Column3]],,,)</f>
        <v>USMCA</v>
      </c>
    </row>
    <row r="10595" spans="1:9" x14ac:dyDescent="0.4">
      <c r="A10595" t="s">
        <v>64</v>
      </c>
      <c r="B10595" s="1">
        <v>45809</v>
      </c>
      <c r="C10595">
        <v>870840</v>
      </c>
      <c r="D10595" t="s">
        <v>176</v>
      </c>
      <c r="E10595">
        <v>427773</v>
      </c>
      <c r="F10595">
        <v>202</v>
      </c>
      <c r="G10595">
        <v>1960</v>
      </c>
      <c r="H10595">
        <f>_xlfn.XLOOKUP(FACT_IMPORTS[[#This Row],[hts_6]],DIM_PRODUCTS[hts_6],DIM_PRODUCTS[hts_4],,,)</f>
        <v>8708</v>
      </c>
      <c r="I10595" t="str" cm="1">
        <f t="array" ref="I10595">_xlfn.XLOOKUP(FACT_IMPORTS[[#This Row],[country_name]],DIM_COUNTRY[[#All],[Column2]],DIM_COUNTRY[[#All],[Column3]],,,)</f>
        <v>USMCA</v>
      </c>
    </row>
    <row r="10596" spans="1:9" x14ac:dyDescent="0.4">
      <c r="A10596" t="s">
        <v>64</v>
      </c>
      <c r="B10596" s="1">
        <v>45809</v>
      </c>
      <c r="C10596">
        <v>870850</v>
      </c>
      <c r="D10596" t="s">
        <v>176</v>
      </c>
      <c r="E10596">
        <v>147800</v>
      </c>
      <c r="F10596">
        <v>1087</v>
      </c>
      <c r="G10596">
        <v>929</v>
      </c>
      <c r="H10596">
        <f>_xlfn.XLOOKUP(FACT_IMPORTS[[#This Row],[hts_6]],DIM_PRODUCTS[hts_6],DIM_PRODUCTS[hts_4],,,)</f>
        <v>8708</v>
      </c>
      <c r="I10596" t="str" cm="1">
        <f t="array" ref="I10596">_xlfn.XLOOKUP(FACT_IMPORTS[[#This Row],[country_name]],DIM_COUNTRY[[#All],[Column2]],DIM_COUNTRY[[#All],[Column3]],,,)</f>
        <v>USMCA</v>
      </c>
    </row>
    <row r="10597" spans="1:9" x14ac:dyDescent="0.4">
      <c r="A10597" t="s">
        <v>64</v>
      </c>
      <c r="B10597" s="1">
        <v>45809</v>
      </c>
      <c r="C10597">
        <v>870870</v>
      </c>
      <c r="D10597" t="s">
        <v>176</v>
      </c>
      <c r="E10597">
        <v>36882</v>
      </c>
      <c r="F10597">
        <v>1056</v>
      </c>
      <c r="G10597">
        <v>3000</v>
      </c>
      <c r="H10597">
        <f>_xlfn.XLOOKUP(FACT_IMPORTS[[#This Row],[hts_6]],DIM_PRODUCTS[hts_6],DIM_PRODUCTS[hts_4],,,)</f>
        <v>8708</v>
      </c>
      <c r="I10597" t="str" cm="1">
        <f t="array" ref="I10597">_xlfn.XLOOKUP(FACT_IMPORTS[[#This Row],[country_name]],DIM_COUNTRY[[#All],[Column2]],DIM_COUNTRY[[#All],[Column3]],,,)</f>
        <v>USMCA</v>
      </c>
    </row>
    <row r="10598" spans="1:9" x14ac:dyDescent="0.4">
      <c r="A10598" t="s">
        <v>64</v>
      </c>
      <c r="B10598" s="1">
        <v>45809</v>
      </c>
      <c r="C10598">
        <v>870880</v>
      </c>
      <c r="D10598" t="s">
        <v>176</v>
      </c>
      <c r="E10598">
        <v>58457</v>
      </c>
      <c r="F10598">
        <v>6973</v>
      </c>
      <c r="G10598">
        <v>660</v>
      </c>
      <c r="H10598">
        <f>_xlfn.XLOOKUP(FACT_IMPORTS[[#This Row],[hts_6]],DIM_PRODUCTS[hts_6],DIM_PRODUCTS[hts_4],,,)</f>
        <v>8708</v>
      </c>
      <c r="I10598" t="str" cm="1">
        <f t="array" ref="I10598">_xlfn.XLOOKUP(FACT_IMPORTS[[#This Row],[country_name]],DIM_COUNTRY[[#All],[Column2]],DIM_COUNTRY[[#All],[Column3]],,,)</f>
        <v>USMCA</v>
      </c>
    </row>
    <row r="10599" spans="1:9" x14ac:dyDescent="0.4">
      <c r="A10599" t="s">
        <v>64</v>
      </c>
      <c r="B10599" s="1">
        <v>45809</v>
      </c>
      <c r="C10599">
        <v>870891</v>
      </c>
      <c r="D10599" t="s">
        <v>176</v>
      </c>
      <c r="E10599">
        <v>12028</v>
      </c>
      <c r="F10599">
        <v>129</v>
      </c>
      <c r="G10599">
        <v>5</v>
      </c>
      <c r="H10599">
        <f>_xlfn.XLOOKUP(FACT_IMPORTS[[#This Row],[hts_6]],DIM_PRODUCTS[hts_6],DIM_PRODUCTS[hts_4],,,)</f>
        <v>8708</v>
      </c>
      <c r="I10599" t="str" cm="1">
        <f t="array" ref="I10599">_xlfn.XLOOKUP(FACT_IMPORTS[[#This Row],[country_name]],DIM_COUNTRY[[#All],[Column2]],DIM_COUNTRY[[#All],[Column3]],,,)</f>
        <v>USMCA</v>
      </c>
    </row>
    <row r="10600" spans="1:9" x14ac:dyDescent="0.4">
      <c r="A10600" t="s">
        <v>64</v>
      </c>
      <c r="B10600" s="1">
        <v>45809</v>
      </c>
      <c r="C10600">
        <v>870892</v>
      </c>
      <c r="D10600" t="s">
        <v>176</v>
      </c>
      <c r="E10600">
        <v>10464</v>
      </c>
      <c r="F10600">
        <v>19</v>
      </c>
      <c r="G10600">
        <v>78</v>
      </c>
      <c r="H10600">
        <f>_xlfn.XLOOKUP(FACT_IMPORTS[[#This Row],[hts_6]],DIM_PRODUCTS[hts_6],DIM_PRODUCTS[hts_4],,,)</f>
        <v>8708</v>
      </c>
      <c r="I10600" t="str" cm="1">
        <f t="array" ref="I10600">_xlfn.XLOOKUP(FACT_IMPORTS[[#This Row],[country_name]],DIM_COUNTRY[[#All],[Column2]],DIM_COUNTRY[[#All],[Column3]],,,)</f>
        <v>USMCA</v>
      </c>
    </row>
    <row r="10601" spans="1:9" x14ac:dyDescent="0.4">
      <c r="A10601" t="s">
        <v>64</v>
      </c>
      <c r="B10601" s="1">
        <v>45809</v>
      </c>
      <c r="C10601">
        <v>870893</v>
      </c>
      <c r="D10601" t="s">
        <v>176</v>
      </c>
      <c r="E10601">
        <v>21928</v>
      </c>
      <c r="F10601">
        <v>2178</v>
      </c>
      <c r="G10601">
        <v>1759</v>
      </c>
      <c r="H10601">
        <f>_xlfn.XLOOKUP(FACT_IMPORTS[[#This Row],[hts_6]],DIM_PRODUCTS[hts_6],DIM_PRODUCTS[hts_4],,,)</f>
        <v>8708</v>
      </c>
      <c r="I10601" t="str" cm="1">
        <f t="array" ref="I10601">_xlfn.XLOOKUP(FACT_IMPORTS[[#This Row],[country_name]],DIM_COUNTRY[[#All],[Column2]],DIM_COUNTRY[[#All],[Column3]],,,)</f>
        <v>USMCA</v>
      </c>
    </row>
    <row r="10602" spans="1:9" x14ac:dyDescent="0.4">
      <c r="A10602" t="s">
        <v>64</v>
      </c>
      <c r="B10602" s="1">
        <v>45809</v>
      </c>
      <c r="C10602">
        <v>870894</v>
      </c>
      <c r="D10602" t="s">
        <v>176</v>
      </c>
      <c r="E10602">
        <v>27966</v>
      </c>
      <c r="F10602">
        <v>69</v>
      </c>
      <c r="G10602">
        <v>313</v>
      </c>
      <c r="H10602">
        <f>_xlfn.XLOOKUP(FACT_IMPORTS[[#This Row],[hts_6]],DIM_PRODUCTS[hts_6],DIM_PRODUCTS[hts_4],,,)</f>
        <v>8708</v>
      </c>
      <c r="I10602" t="str" cm="1">
        <f t="array" ref="I10602">_xlfn.XLOOKUP(FACT_IMPORTS[[#This Row],[country_name]],DIM_COUNTRY[[#All],[Column2]],DIM_COUNTRY[[#All],[Column3]],,,)</f>
        <v>USMCA</v>
      </c>
    </row>
    <row r="10603" spans="1:9" x14ac:dyDescent="0.4">
      <c r="A10603" t="s">
        <v>64</v>
      </c>
      <c r="B10603" s="1">
        <v>45809</v>
      </c>
      <c r="C10603">
        <v>870895</v>
      </c>
      <c r="D10603" t="s">
        <v>176</v>
      </c>
      <c r="E10603">
        <v>20719</v>
      </c>
      <c r="F10603">
        <v>277</v>
      </c>
      <c r="G10603">
        <v>351</v>
      </c>
      <c r="H10603">
        <f>_xlfn.XLOOKUP(FACT_IMPORTS[[#This Row],[hts_6]],DIM_PRODUCTS[hts_6],DIM_PRODUCTS[hts_4],,,)</f>
        <v>8708</v>
      </c>
      <c r="I10603" t="str" cm="1">
        <f t="array" ref="I10603">_xlfn.XLOOKUP(FACT_IMPORTS[[#This Row],[country_name]],DIM_COUNTRY[[#All],[Column2]],DIM_COUNTRY[[#All],[Column3]],,,)</f>
        <v>USMCA</v>
      </c>
    </row>
    <row r="10604" spans="1:9" x14ac:dyDescent="0.4">
      <c r="A10604" t="s">
        <v>64</v>
      </c>
      <c r="B10604" s="1">
        <v>45809</v>
      </c>
      <c r="C10604">
        <v>870899</v>
      </c>
      <c r="D10604" t="s">
        <v>176</v>
      </c>
      <c r="E10604">
        <v>269611</v>
      </c>
      <c r="F10604">
        <v>5337</v>
      </c>
      <c r="G10604">
        <v>8998</v>
      </c>
      <c r="H10604">
        <f>_xlfn.XLOOKUP(FACT_IMPORTS[[#This Row],[hts_6]],DIM_PRODUCTS[hts_6],DIM_PRODUCTS[hts_4],,,)</f>
        <v>8708</v>
      </c>
      <c r="I10604" t="str" cm="1">
        <f t="array" ref="I10604">_xlfn.XLOOKUP(FACT_IMPORTS[[#This Row],[country_name]],DIM_COUNTRY[[#All],[Column2]],DIM_COUNTRY[[#All],[Column3]],,,)</f>
        <v>USMCA</v>
      </c>
    </row>
    <row r="10605" spans="1:9" x14ac:dyDescent="0.4">
      <c r="A10605" t="s">
        <v>64</v>
      </c>
      <c r="B10605" s="1">
        <v>45809</v>
      </c>
      <c r="C10605">
        <v>940120</v>
      </c>
      <c r="D10605" t="s">
        <v>176</v>
      </c>
      <c r="E10605">
        <v>22470</v>
      </c>
      <c r="F10605">
        <v>164</v>
      </c>
      <c r="G10605">
        <v>76</v>
      </c>
      <c r="H10605">
        <f>_xlfn.XLOOKUP(FACT_IMPORTS[[#This Row],[hts_6]],DIM_PRODUCTS[hts_6],DIM_PRODUCTS[hts_4],,,)</f>
        <v>9401</v>
      </c>
      <c r="I10605" t="str" cm="1">
        <f t="array" ref="I10605">_xlfn.XLOOKUP(FACT_IMPORTS[[#This Row],[country_name]],DIM_COUNTRY[[#All],[Column2]],DIM_COUNTRY[[#All],[Column3]],,,)</f>
        <v>USMCA</v>
      </c>
    </row>
    <row r="10606" spans="1:9" x14ac:dyDescent="0.4">
      <c r="A10606" t="s">
        <v>64</v>
      </c>
      <c r="B10606" s="1">
        <v>45839</v>
      </c>
      <c r="C10606">
        <v>392630</v>
      </c>
      <c r="D10606" t="s">
        <v>176</v>
      </c>
      <c r="E10606">
        <v>1075</v>
      </c>
      <c r="F10606">
        <v>32</v>
      </c>
      <c r="G10606">
        <v>196</v>
      </c>
      <c r="H10606">
        <f>_xlfn.XLOOKUP(FACT_IMPORTS[[#This Row],[hts_6]],DIM_PRODUCTS[hts_6],DIM_PRODUCTS[hts_4],,,)</f>
        <v>3926</v>
      </c>
      <c r="I10606" t="str" cm="1">
        <f t="array" ref="I10606">_xlfn.XLOOKUP(FACT_IMPORTS[[#This Row],[country_name]],DIM_COUNTRY[[#All],[Column2]],DIM_COUNTRY[[#All],[Column3]],,,)</f>
        <v>USMCA</v>
      </c>
    </row>
    <row r="10607" spans="1:9" x14ac:dyDescent="0.4">
      <c r="A10607" t="s">
        <v>64</v>
      </c>
      <c r="B10607" s="1">
        <v>45839</v>
      </c>
      <c r="C10607">
        <v>401110</v>
      </c>
      <c r="D10607" t="s">
        <v>176</v>
      </c>
      <c r="E10607">
        <v>20680</v>
      </c>
      <c r="F10607">
        <v>222</v>
      </c>
      <c r="G10607">
        <v>306</v>
      </c>
      <c r="H10607">
        <f>_xlfn.XLOOKUP(FACT_IMPORTS[[#This Row],[hts_6]],DIM_PRODUCTS[hts_6],DIM_PRODUCTS[hts_4],,,)</f>
        <v>4011</v>
      </c>
      <c r="I10607" t="str" cm="1">
        <f t="array" ref="I10607">_xlfn.XLOOKUP(FACT_IMPORTS[[#This Row],[country_name]],DIM_COUNTRY[[#All],[Column2]],DIM_COUNTRY[[#All],[Column3]],,,)</f>
        <v>USMCA</v>
      </c>
    </row>
    <row r="10608" spans="1:9" x14ac:dyDescent="0.4">
      <c r="A10608" t="s">
        <v>64</v>
      </c>
      <c r="B10608" s="1">
        <v>45839</v>
      </c>
      <c r="C10608">
        <v>401120</v>
      </c>
      <c r="D10608" t="s">
        <v>176</v>
      </c>
      <c r="E10608">
        <v>45534</v>
      </c>
      <c r="F10608">
        <v>510</v>
      </c>
      <c r="G10608">
        <v>97</v>
      </c>
      <c r="H10608">
        <f>_xlfn.XLOOKUP(FACT_IMPORTS[[#This Row],[hts_6]],DIM_PRODUCTS[hts_6],DIM_PRODUCTS[hts_4],,,)</f>
        <v>4011</v>
      </c>
      <c r="I10608" t="str" cm="1">
        <f t="array" ref="I10608">_xlfn.XLOOKUP(FACT_IMPORTS[[#This Row],[country_name]],DIM_COUNTRY[[#All],[Column2]],DIM_COUNTRY[[#All],[Column3]],,,)</f>
        <v>USMCA</v>
      </c>
    </row>
    <row r="10609" spans="1:9" x14ac:dyDescent="0.4">
      <c r="A10609" t="s">
        <v>64</v>
      </c>
      <c r="B10609" s="1">
        <v>45839</v>
      </c>
      <c r="C10609">
        <v>401190</v>
      </c>
      <c r="D10609" t="s">
        <v>176</v>
      </c>
      <c r="E10609">
        <v>0</v>
      </c>
      <c r="F10609">
        <v>0</v>
      </c>
      <c r="G10609">
        <v>0</v>
      </c>
      <c r="H10609">
        <f>_xlfn.XLOOKUP(FACT_IMPORTS[[#This Row],[hts_6]],DIM_PRODUCTS[hts_6],DIM_PRODUCTS[hts_4],,,)</f>
        <v>4011</v>
      </c>
      <c r="I10609" t="str" cm="1">
        <f t="array" ref="I10609">_xlfn.XLOOKUP(FACT_IMPORTS[[#This Row],[country_name]],DIM_COUNTRY[[#All],[Column2]],DIM_COUNTRY[[#All],[Column3]],,,)</f>
        <v>USMCA</v>
      </c>
    </row>
    <row r="10610" spans="1:9" x14ac:dyDescent="0.4">
      <c r="A10610" t="s">
        <v>64</v>
      </c>
      <c r="B10610" s="1">
        <v>45839</v>
      </c>
      <c r="C10610">
        <v>700711</v>
      </c>
      <c r="D10610" t="s">
        <v>176</v>
      </c>
      <c r="E10610">
        <v>21432</v>
      </c>
      <c r="F10610">
        <v>974</v>
      </c>
      <c r="G10610">
        <v>205</v>
      </c>
      <c r="H10610">
        <f>_xlfn.XLOOKUP(FACT_IMPORTS[[#This Row],[hts_6]],DIM_PRODUCTS[hts_6],DIM_PRODUCTS[hts_4],,,)</f>
        <v>7007</v>
      </c>
      <c r="I10610" t="str" cm="1">
        <f t="array" ref="I10610">_xlfn.XLOOKUP(FACT_IMPORTS[[#This Row],[country_name]],DIM_COUNTRY[[#All],[Column2]],DIM_COUNTRY[[#All],[Column3]],,,)</f>
        <v>USMCA</v>
      </c>
    </row>
    <row r="10611" spans="1:9" x14ac:dyDescent="0.4">
      <c r="A10611" t="s">
        <v>64</v>
      </c>
      <c r="B10611" s="1">
        <v>45839</v>
      </c>
      <c r="C10611">
        <v>700721</v>
      </c>
      <c r="D10611" t="s">
        <v>176</v>
      </c>
      <c r="E10611">
        <v>0</v>
      </c>
      <c r="F10611">
        <v>0</v>
      </c>
      <c r="G10611">
        <v>0</v>
      </c>
      <c r="H10611">
        <f>_xlfn.XLOOKUP(FACT_IMPORTS[[#This Row],[hts_6]],DIM_PRODUCTS[hts_6],DIM_PRODUCTS[hts_4],,,)</f>
        <v>7007</v>
      </c>
      <c r="I10611" t="str" cm="1">
        <f t="array" ref="I10611">_xlfn.XLOOKUP(FACT_IMPORTS[[#This Row],[country_name]],DIM_COUNTRY[[#All],[Column2]],DIM_COUNTRY[[#All],[Column3]],,,)</f>
        <v>USMCA</v>
      </c>
    </row>
    <row r="10612" spans="1:9" x14ac:dyDescent="0.4">
      <c r="A10612" t="s">
        <v>64</v>
      </c>
      <c r="B10612" s="1">
        <v>45839</v>
      </c>
      <c r="C10612">
        <v>700910</v>
      </c>
      <c r="D10612" t="s">
        <v>176</v>
      </c>
      <c r="E10612">
        <v>4804</v>
      </c>
      <c r="F10612">
        <v>15</v>
      </c>
      <c r="G10612">
        <v>134</v>
      </c>
      <c r="H10612">
        <f>_xlfn.XLOOKUP(FACT_IMPORTS[[#This Row],[hts_6]],DIM_PRODUCTS[hts_6],DIM_PRODUCTS[hts_4],,,)</f>
        <v>7009</v>
      </c>
      <c r="I10612" t="str" cm="1">
        <f t="array" ref="I10612">_xlfn.XLOOKUP(FACT_IMPORTS[[#This Row],[country_name]],DIM_COUNTRY[[#All],[Column2]],DIM_COUNTRY[[#All],[Column3]],,,)</f>
        <v>USMCA</v>
      </c>
    </row>
    <row r="10613" spans="1:9" x14ac:dyDescent="0.4">
      <c r="A10613" t="s">
        <v>64</v>
      </c>
      <c r="B10613" s="1">
        <v>45839</v>
      </c>
      <c r="C10613">
        <v>732010</v>
      </c>
      <c r="D10613" t="s">
        <v>176</v>
      </c>
      <c r="E10613">
        <v>0</v>
      </c>
      <c r="F10613">
        <v>0</v>
      </c>
      <c r="G10613">
        <v>0</v>
      </c>
      <c r="H10613">
        <f>_xlfn.XLOOKUP(FACT_IMPORTS[[#This Row],[hts_6]],DIM_PRODUCTS[hts_6],DIM_PRODUCTS[hts_4],,,)</f>
        <v>7320</v>
      </c>
      <c r="I10613" t="str" cm="1">
        <f t="array" ref="I10613">_xlfn.XLOOKUP(FACT_IMPORTS[[#This Row],[country_name]],DIM_COUNTRY[[#All],[Column2]],DIM_COUNTRY[[#All],[Column3]],,,)</f>
        <v>USMCA</v>
      </c>
    </row>
    <row r="10614" spans="1:9" x14ac:dyDescent="0.4">
      <c r="A10614" t="s">
        <v>64</v>
      </c>
      <c r="B10614" s="1">
        <v>45839</v>
      </c>
      <c r="C10614">
        <v>830230</v>
      </c>
      <c r="D10614" t="s">
        <v>176</v>
      </c>
      <c r="E10614">
        <v>188443</v>
      </c>
      <c r="F10614">
        <v>11458</v>
      </c>
      <c r="G10614">
        <v>3934</v>
      </c>
      <c r="H10614">
        <f>_xlfn.XLOOKUP(FACT_IMPORTS[[#This Row],[hts_6]],DIM_PRODUCTS[hts_6],DIM_PRODUCTS[hts_4],,,)</f>
        <v>8302</v>
      </c>
      <c r="I10614" t="str" cm="1">
        <f t="array" ref="I10614">_xlfn.XLOOKUP(FACT_IMPORTS[[#This Row],[country_name]],DIM_COUNTRY[[#All],[Column2]],DIM_COUNTRY[[#All],[Column3]],,,)</f>
        <v>USMCA</v>
      </c>
    </row>
    <row r="10615" spans="1:9" x14ac:dyDescent="0.4">
      <c r="A10615" t="s">
        <v>64</v>
      </c>
      <c r="B10615" s="1">
        <v>45839</v>
      </c>
      <c r="C10615">
        <v>840733</v>
      </c>
      <c r="D10615" t="s">
        <v>176</v>
      </c>
      <c r="E10615">
        <v>10229</v>
      </c>
      <c r="F10615">
        <v>4</v>
      </c>
      <c r="G10615">
        <v>6</v>
      </c>
      <c r="H10615">
        <f>_xlfn.XLOOKUP(FACT_IMPORTS[[#This Row],[hts_6]],DIM_PRODUCTS[hts_6],DIM_PRODUCTS[hts_4],,,)</f>
        <v>8407</v>
      </c>
      <c r="I10615" t="str" cm="1">
        <f t="array" ref="I10615">_xlfn.XLOOKUP(FACT_IMPORTS[[#This Row],[country_name]],DIM_COUNTRY[[#All],[Column2]],DIM_COUNTRY[[#All],[Column3]],,,)</f>
        <v>USMCA</v>
      </c>
    </row>
    <row r="10616" spans="1:9" x14ac:dyDescent="0.4">
      <c r="A10616" t="s">
        <v>64</v>
      </c>
      <c r="B10616" s="1">
        <v>45839</v>
      </c>
      <c r="C10616">
        <v>840734</v>
      </c>
      <c r="D10616" t="s">
        <v>176</v>
      </c>
      <c r="E10616">
        <v>139217</v>
      </c>
      <c r="F10616">
        <v>50</v>
      </c>
      <c r="G10616">
        <v>951</v>
      </c>
      <c r="H10616">
        <f>_xlfn.XLOOKUP(FACT_IMPORTS[[#This Row],[hts_6]],DIM_PRODUCTS[hts_6],DIM_PRODUCTS[hts_4],,,)</f>
        <v>8407</v>
      </c>
      <c r="I10616" t="str" cm="1">
        <f t="array" ref="I10616">_xlfn.XLOOKUP(FACT_IMPORTS[[#This Row],[country_name]],DIM_COUNTRY[[#All],[Column2]],DIM_COUNTRY[[#All],[Column3]],,,)</f>
        <v>USMCA</v>
      </c>
    </row>
    <row r="10617" spans="1:9" x14ac:dyDescent="0.4">
      <c r="A10617" t="s">
        <v>64</v>
      </c>
      <c r="B10617" s="1">
        <v>45839</v>
      </c>
      <c r="C10617">
        <v>840820</v>
      </c>
      <c r="D10617" t="s">
        <v>176</v>
      </c>
      <c r="E10617">
        <v>112182</v>
      </c>
      <c r="F10617">
        <v>20</v>
      </c>
      <c r="G10617">
        <v>272</v>
      </c>
      <c r="H10617">
        <f>_xlfn.XLOOKUP(FACT_IMPORTS[[#This Row],[hts_6]],DIM_PRODUCTS[hts_6],DIM_PRODUCTS[hts_4],,,)</f>
        <v>8408</v>
      </c>
      <c r="I10617" t="str" cm="1">
        <f t="array" ref="I10617">_xlfn.XLOOKUP(FACT_IMPORTS[[#This Row],[country_name]],DIM_COUNTRY[[#All],[Column2]],DIM_COUNTRY[[#All],[Column3]],,,)</f>
        <v>USMCA</v>
      </c>
    </row>
    <row r="10618" spans="1:9" x14ac:dyDescent="0.4">
      <c r="A10618" t="s">
        <v>64</v>
      </c>
      <c r="B10618" s="1">
        <v>45839</v>
      </c>
      <c r="C10618">
        <v>840890</v>
      </c>
      <c r="D10618" t="s">
        <v>176</v>
      </c>
      <c r="E10618">
        <v>7789</v>
      </c>
      <c r="F10618">
        <v>1</v>
      </c>
      <c r="G10618">
        <v>29</v>
      </c>
      <c r="H10618">
        <f>_xlfn.XLOOKUP(FACT_IMPORTS[[#This Row],[hts_6]],DIM_PRODUCTS[hts_6],DIM_PRODUCTS[hts_4],,,)</f>
        <v>8408</v>
      </c>
      <c r="I10618" t="str" cm="1">
        <f t="array" ref="I10618">_xlfn.XLOOKUP(FACT_IMPORTS[[#This Row],[country_name]],DIM_COUNTRY[[#All],[Column2]],DIM_COUNTRY[[#All],[Column3]],,,)</f>
        <v>USMCA</v>
      </c>
    </row>
    <row r="10619" spans="1:9" x14ac:dyDescent="0.4">
      <c r="A10619" t="s">
        <v>64</v>
      </c>
      <c r="B10619" s="1">
        <v>45839</v>
      </c>
      <c r="C10619">
        <v>840991</v>
      </c>
      <c r="D10619" t="s">
        <v>176</v>
      </c>
      <c r="E10619">
        <v>1490516</v>
      </c>
      <c r="F10619">
        <v>58226</v>
      </c>
      <c r="G10619">
        <v>8355</v>
      </c>
      <c r="H10619">
        <f>_xlfn.XLOOKUP(FACT_IMPORTS[[#This Row],[hts_6]],DIM_PRODUCTS[hts_6],DIM_PRODUCTS[hts_4],,,)</f>
        <v>8409</v>
      </c>
      <c r="I10619" t="str" cm="1">
        <f t="array" ref="I10619">_xlfn.XLOOKUP(FACT_IMPORTS[[#This Row],[country_name]],DIM_COUNTRY[[#All],[Column2]],DIM_COUNTRY[[#All],[Column3]],,,)</f>
        <v>USMCA</v>
      </c>
    </row>
    <row r="10620" spans="1:9" x14ac:dyDescent="0.4">
      <c r="A10620" t="s">
        <v>64</v>
      </c>
      <c r="B10620" s="1">
        <v>45839</v>
      </c>
      <c r="C10620">
        <v>840999</v>
      </c>
      <c r="D10620" t="s">
        <v>176</v>
      </c>
      <c r="E10620">
        <v>49878</v>
      </c>
      <c r="F10620">
        <v>1135</v>
      </c>
      <c r="G10620">
        <v>1484</v>
      </c>
      <c r="H10620">
        <f>_xlfn.XLOOKUP(FACT_IMPORTS[[#This Row],[hts_6]],DIM_PRODUCTS[hts_6],DIM_PRODUCTS[hts_4],,,)</f>
        <v>8409</v>
      </c>
      <c r="I10620" t="str" cm="1">
        <f t="array" ref="I10620">_xlfn.XLOOKUP(FACT_IMPORTS[[#This Row],[country_name]],DIM_COUNTRY[[#All],[Column2]],DIM_COUNTRY[[#All],[Column3]],,,)</f>
        <v>USMCA</v>
      </c>
    </row>
    <row r="10621" spans="1:9" x14ac:dyDescent="0.4">
      <c r="A10621" t="s">
        <v>64</v>
      </c>
      <c r="B10621" s="1">
        <v>45839</v>
      </c>
      <c r="C10621">
        <v>841330</v>
      </c>
      <c r="D10621" t="s">
        <v>176</v>
      </c>
      <c r="E10621">
        <v>412490</v>
      </c>
      <c r="F10621">
        <v>506</v>
      </c>
      <c r="G10621">
        <v>616</v>
      </c>
      <c r="H10621">
        <f>_xlfn.XLOOKUP(FACT_IMPORTS[[#This Row],[hts_6]],DIM_PRODUCTS[hts_6],DIM_PRODUCTS[hts_4],,,)</f>
        <v>8413</v>
      </c>
      <c r="I10621" t="str" cm="1">
        <f t="array" ref="I10621">_xlfn.XLOOKUP(FACT_IMPORTS[[#This Row],[country_name]],DIM_COUNTRY[[#All],[Column2]],DIM_COUNTRY[[#All],[Column3]],,,)</f>
        <v>USMCA</v>
      </c>
    </row>
    <row r="10622" spans="1:9" x14ac:dyDescent="0.4">
      <c r="A10622" t="s">
        <v>64</v>
      </c>
      <c r="B10622" s="1">
        <v>45839</v>
      </c>
      <c r="C10622">
        <v>841520</v>
      </c>
      <c r="D10622" t="s">
        <v>176</v>
      </c>
      <c r="E10622">
        <v>0</v>
      </c>
      <c r="F10622">
        <v>0</v>
      </c>
      <c r="G10622">
        <v>0</v>
      </c>
      <c r="H10622">
        <f>_xlfn.XLOOKUP(FACT_IMPORTS[[#This Row],[hts_6]],DIM_PRODUCTS[hts_6],DIM_PRODUCTS[hts_4],,,)</f>
        <v>8415</v>
      </c>
      <c r="I10622" t="str" cm="1">
        <f t="array" ref="I10622">_xlfn.XLOOKUP(FACT_IMPORTS[[#This Row],[country_name]],DIM_COUNTRY[[#All],[Column2]],DIM_COUNTRY[[#All],[Column3]],,,)</f>
        <v>USMCA</v>
      </c>
    </row>
    <row r="10623" spans="1:9" x14ac:dyDescent="0.4">
      <c r="A10623" t="s">
        <v>64</v>
      </c>
      <c r="B10623" s="1">
        <v>45839</v>
      </c>
      <c r="C10623">
        <v>842132</v>
      </c>
      <c r="D10623" t="s">
        <v>176</v>
      </c>
      <c r="E10623">
        <v>30643</v>
      </c>
      <c r="F10623">
        <v>136</v>
      </c>
      <c r="G10623">
        <v>976</v>
      </c>
      <c r="H10623">
        <f>_xlfn.XLOOKUP(FACT_IMPORTS[[#This Row],[hts_6]],DIM_PRODUCTS[hts_6],DIM_PRODUCTS[hts_4],,,)</f>
        <v>8421</v>
      </c>
      <c r="I10623" t="str" cm="1">
        <f t="array" ref="I10623">_xlfn.XLOOKUP(FACT_IMPORTS[[#This Row],[country_name]],DIM_COUNTRY[[#All],[Column2]],DIM_COUNTRY[[#All],[Column3]],,,)</f>
        <v>USMCA</v>
      </c>
    </row>
    <row r="10624" spans="1:9" x14ac:dyDescent="0.4">
      <c r="A10624" t="s">
        <v>64</v>
      </c>
      <c r="B10624" s="1">
        <v>45839</v>
      </c>
      <c r="C10624">
        <v>848210</v>
      </c>
      <c r="D10624" t="s">
        <v>176</v>
      </c>
      <c r="E10624">
        <v>7983</v>
      </c>
      <c r="F10624">
        <v>1</v>
      </c>
      <c r="G10624">
        <v>100</v>
      </c>
      <c r="H10624">
        <f>_xlfn.XLOOKUP(FACT_IMPORTS[[#This Row],[hts_6]],DIM_PRODUCTS[hts_6],DIM_PRODUCTS[hts_4],,,)</f>
        <v>8482</v>
      </c>
      <c r="I10624" t="str" cm="1">
        <f t="array" ref="I10624">_xlfn.XLOOKUP(FACT_IMPORTS[[#This Row],[country_name]],DIM_COUNTRY[[#All],[Column2]],DIM_COUNTRY[[#All],[Column3]],,,)</f>
        <v>USMCA</v>
      </c>
    </row>
    <row r="10625" spans="1:9" x14ac:dyDescent="0.4">
      <c r="A10625" t="s">
        <v>64</v>
      </c>
      <c r="B10625" s="1">
        <v>45839</v>
      </c>
      <c r="C10625">
        <v>848220</v>
      </c>
      <c r="D10625" t="s">
        <v>176</v>
      </c>
      <c r="E10625">
        <v>0</v>
      </c>
      <c r="F10625">
        <v>0</v>
      </c>
      <c r="G10625">
        <v>0</v>
      </c>
      <c r="H10625">
        <f>_xlfn.XLOOKUP(FACT_IMPORTS[[#This Row],[hts_6]],DIM_PRODUCTS[hts_6],DIM_PRODUCTS[hts_4],,,)</f>
        <v>8482</v>
      </c>
      <c r="I10625" t="str" cm="1">
        <f t="array" ref="I10625">_xlfn.XLOOKUP(FACT_IMPORTS[[#This Row],[country_name]],DIM_COUNTRY[[#All],[Column2]],DIM_COUNTRY[[#All],[Column3]],,,)</f>
        <v>USMCA</v>
      </c>
    </row>
    <row r="10626" spans="1:9" x14ac:dyDescent="0.4">
      <c r="A10626" t="s">
        <v>64</v>
      </c>
      <c r="B10626" s="1">
        <v>45839</v>
      </c>
      <c r="C10626">
        <v>848310</v>
      </c>
      <c r="D10626" t="s">
        <v>176</v>
      </c>
      <c r="E10626">
        <v>21087</v>
      </c>
      <c r="F10626">
        <v>1627</v>
      </c>
      <c r="G10626">
        <v>1061</v>
      </c>
      <c r="H10626">
        <f>_xlfn.XLOOKUP(FACT_IMPORTS[[#This Row],[hts_6]],DIM_PRODUCTS[hts_6],DIM_PRODUCTS[hts_4],,,)</f>
        <v>8483</v>
      </c>
      <c r="I10626" t="str" cm="1">
        <f t="array" ref="I10626">_xlfn.XLOOKUP(FACT_IMPORTS[[#This Row],[country_name]],DIM_COUNTRY[[#All],[Column2]],DIM_COUNTRY[[#All],[Column3]],,,)</f>
        <v>USMCA</v>
      </c>
    </row>
    <row r="10627" spans="1:9" x14ac:dyDescent="0.4">
      <c r="A10627" t="s">
        <v>64</v>
      </c>
      <c r="B10627" s="1">
        <v>45839</v>
      </c>
      <c r="C10627">
        <v>850131</v>
      </c>
      <c r="D10627" t="s">
        <v>176</v>
      </c>
      <c r="E10627">
        <v>2323710</v>
      </c>
      <c r="F10627">
        <v>891</v>
      </c>
      <c r="G10627">
        <v>2400</v>
      </c>
      <c r="H10627">
        <f>_xlfn.XLOOKUP(FACT_IMPORTS[[#This Row],[hts_6]],DIM_PRODUCTS[hts_6],DIM_PRODUCTS[hts_4],,,)</f>
        <v>8501</v>
      </c>
      <c r="I10627" t="str" cm="1">
        <f t="array" ref="I10627">_xlfn.XLOOKUP(FACT_IMPORTS[[#This Row],[country_name]],DIM_COUNTRY[[#All],[Column2]],DIM_COUNTRY[[#All],[Column3]],,,)</f>
        <v>USMCA</v>
      </c>
    </row>
    <row r="10628" spans="1:9" x14ac:dyDescent="0.4">
      <c r="A10628" t="s">
        <v>64</v>
      </c>
      <c r="B10628" s="1">
        <v>45839</v>
      </c>
      <c r="C10628">
        <v>850132</v>
      </c>
      <c r="D10628" t="s">
        <v>176</v>
      </c>
      <c r="E10628">
        <v>0</v>
      </c>
      <c r="F10628">
        <v>0</v>
      </c>
      <c r="G10628">
        <v>0</v>
      </c>
      <c r="H10628">
        <f>_xlfn.XLOOKUP(FACT_IMPORTS[[#This Row],[hts_6]],DIM_PRODUCTS[hts_6],DIM_PRODUCTS[hts_4],,,)</f>
        <v>8501</v>
      </c>
      <c r="I10628" t="str" cm="1">
        <f t="array" ref="I10628">_xlfn.XLOOKUP(FACT_IMPORTS[[#This Row],[country_name]],DIM_COUNTRY[[#All],[Column2]],DIM_COUNTRY[[#All],[Column3]],,,)</f>
        <v>USMCA</v>
      </c>
    </row>
    <row r="10629" spans="1:9" x14ac:dyDescent="0.4">
      <c r="A10629" t="s">
        <v>64</v>
      </c>
      <c r="B10629" s="1">
        <v>45839</v>
      </c>
      <c r="C10629">
        <v>850134</v>
      </c>
      <c r="D10629" t="s">
        <v>176</v>
      </c>
      <c r="E10629">
        <v>0</v>
      </c>
      <c r="F10629">
        <v>0</v>
      </c>
      <c r="G10629">
        <v>0</v>
      </c>
      <c r="H10629">
        <f>_xlfn.XLOOKUP(FACT_IMPORTS[[#This Row],[hts_6]],DIM_PRODUCTS[hts_6],DIM_PRODUCTS[hts_4],,,)</f>
        <v>8501</v>
      </c>
      <c r="I10629" t="str" cm="1">
        <f t="array" ref="I10629">_xlfn.XLOOKUP(FACT_IMPORTS[[#This Row],[country_name]],DIM_COUNTRY[[#All],[Column2]],DIM_COUNTRY[[#All],[Column3]],,,)</f>
        <v>USMCA</v>
      </c>
    </row>
    <row r="10630" spans="1:9" x14ac:dyDescent="0.4">
      <c r="A10630" t="s">
        <v>64</v>
      </c>
      <c r="B10630" s="1">
        <v>45839</v>
      </c>
      <c r="C10630">
        <v>850152</v>
      </c>
      <c r="D10630" t="s">
        <v>176</v>
      </c>
      <c r="E10630">
        <v>94821</v>
      </c>
      <c r="F10630">
        <v>53</v>
      </c>
      <c r="G10630">
        <v>1118</v>
      </c>
      <c r="H10630">
        <f>_xlfn.XLOOKUP(FACT_IMPORTS[[#This Row],[hts_6]],DIM_PRODUCTS[hts_6],DIM_PRODUCTS[hts_4],,,)</f>
        <v>8501</v>
      </c>
      <c r="I10630" t="str" cm="1">
        <f t="array" ref="I10630">_xlfn.XLOOKUP(FACT_IMPORTS[[#This Row],[country_name]],DIM_COUNTRY[[#All],[Column2]],DIM_COUNTRY[[#All],[Column3]],,,)</f>
        <v>USMCA</v>
      </c>
    </row>
    <row r="10631" spans="1:9" x14ac:dyDescent="0.4">
      <c r="A10631" t="s">
        <v>64</v>
      </c>
      <c r="B10631" s="1">
        <v>45839</v>
      </c>
      <c r="C10631">
        <v>850153</v>
      </c>
      <c r="D10631" t="s">
        <v>176</v>
      </c>
      <c r="E10631">
        <v>27186</v>
      </c>
      <c r="F10631">
        <v>5</v>
      </c>
      <c r="G10631">
        <v>1241</v>
      </c>
      <c r="H10631">
        <f>_xlfn.XLOOKUP(FACT_IMPORTS[[#This Row],[hts_6]],DIM_PRODUCTS[hts_6],DIM_PRODUCTS[hts_4],,,)</f>
        <v>8501</v>
      </c>
      <c r="I10631" t="str" cm="1">
        <f t="array" ref="I10631">_xlfn.XLOOKUP(FACT_IMPORTS[[#This Row],[country_name]],DIM_COUNTRY[[#All],[Column2]],DIM_COUNTRY[[#All],[Column3]],,,)</f>
        <v>USMCA</v>
      </c>
    </row>
    <row r="10632" spans="1:9" x14ac:dyDescent="0.4">
      <c r="A10632" t="s">
        <v>64</v>
      </c>
      <c r="B10632" s="1">
        <v>45839</v>
      </c>
      <c r="C10632">
        <v>850440</v>
      </c>
      <c r="D10632" t="s">
        <v>176</v>
      </c>
      <c r="E10632">
        <v>145594</v>
      </c>
      <c r="F10632">
        <v>2723</v>
      </c>
      <c r="G10632">
        <v>1001</v>
      </c>
      <c r="H10632">
        <f>_xlfn.XLOOKUP(FACT_IMPORTS[[#This Row],[hts_6]],DIM_PRODUCTS[hts_6],DIM_PRODUCTS[hts_4],,,)</f>
        <v>8504</v>
      </c>
      <c r="I10632" t="str" cm="1">
        <f t="array" ref="I10632">_xlfn.XLOOKUP(FACT_IMPORTS[[#This Row],[country_name]],DIM_COUNTRY[[#All],[Column2]],DIM_COUNTRY[[#All],[Column3]],,,)</f>
        <v>USMCA</v>
      </c>
    </row>
    <row r="10633" spans="1:9" x14ac:dyDescent="0.4">
      <c r="A10633" t="s">
        <v>64</v>
      </c>
      <c r="B10633" s="1">
        <v>45839</v>
      </c>
      <c r="C10633">
        <v>850710</v>
      </c>
      <c r="D10633" t="s">
        <v>176</v>
      </c>
      <c r="E10633">
        <v>0</v>
      </c>
      <c r="F10633">
        <v>0</v>
      </c>
      <c r="G10633">
        <v>0</v>
      </c>
      <c r="H10633">
        <f>_xlfn.XLOOKUP(FACT_IMPORTS[[#This Row],[hts_6]],DIM_PRODUCTS[hts_6],DIM_PRODUCTS[hts_4],,,)</f>
        <v>8507</v>
      </c>
      <c r="I10633" t="str" cm="1">
        <f t="array" ref="I10633">_xlfn.XLOOKUP(FACT_IMPORTS[[#This Row],[country_name]],DIM_COUNTRY[[#All],[Column2]],DIM_COUNTRY[[#All],[Column3]],,,)</f>
        <v>USMCA</v>
      </c>
    </row>
    <row r="10634" spans="1:9" x14ac:dyDescent="0.4">
      <c r="A10634" t="s">
        <v>64</v>
      </c>
      <c r="B10634" s="1">
        <v>45839</v>
      </c>
      <c r="C10634">
        <v>850760</v>
      </c>
      <c r="D10634" t="s">
        <v>176</v>
      </c>
      <c r="E10634">
        <v>154305</v>
      </c>
      <c r="F10634">
        <v>5</v>
      </c>
      <c r="G10634">
        <v>11877</v>
      </c>
      <c r="H10634">
        <f>_xlfn.XLOOKUP(FACT_IMPORTS[[#This Row],[hts_6]],DIM_PRODUCTS[hts_6],DIM_PRODUCTS[hts_4],,,)</f>
        <v>8507</v>
      </c>
      <c r="I10634" t="str" cm="1">
        <f t="array" ref="I10634">_xlfn.XLOOKUP(FACT_IMPORTS[[#This Row],[country_name]],DIM_COUNTRY[[#All],[Column2]],DIM_COUNTRY[[#All],[Column3]],,,)</f>
        <v>USMCA</v>
      </c>
    </row>
    <row r="10635" spans="1:9" x14ac:dyDescent="0.4">
      <c r="A10635" t="s">
        <v>64</v>
      </c>
      <c r="B10635" s="1">
        <v>45839</v>
      </c>
      <c r="C10635">
        <v>851110</v>
      </c>
      <c r="D10635" t="s">
        <v>176</v>
      </c>
      <c r="E10635">
        <v>0</v>
      </c>
      <c r="F10635">
        <v>0</v>
      </c>
      <c r="G10635">
        <v>0</v>
      </c>
      <c r="H10635">
        <f>_xlfn.XLOOKUP(FACT_IMPORTS[[#This Row],[hts_6]],DIM_PRODUCTS[hts_6],DIM_PRODUCTS[hts_4],,,)</f>
        <v>8511</v>
      </c>
      <c r="I10635" t="str" cm="1">
        <f t="array" ref="I10635">_xlfn.XLOOKUP(FACT_IMPORTS[[#This Row],[country_name]],DIM_COUNTRY[[#All],[Column2]],DIM_COUNTRY[[#All],[Column3]],,,)</f>
        <v>USMCA</v>
      </c>
    </row>
    <row r="10636" spans="1:9" x14ac:dyDescent="0.4">
      <c r="A10636" t="s">
        <v>64</v>
      </c>
      <c r="B10636" s="1">
        <v>45839</v>
      </c>
      <c r="C10636">
        <v>851120</v>
      </c>
      <c r="D10636" t="s">
        <v>176</v>
      </c>
      <c r="E10636">
        <v>0</v>
      </c>
      <c r="F10636">
        <v>0</v>
      </c>
      <c r="G10636">
        <v>0</v>
      </c>
      <c r="H10636">
        <f>_xlfn.XLOOKUP(FACT_IMPORTS[[#This Row],[hts_6]],DIM_PRODUCTS[hts_6],DIM_PRODUCTS[hts_4],,,)</f>
        <v>8511</v>
      </c>
      <c r="I10636" t="str" cm="1">
        <f t="array" ref="I10636">_xlfn.XLOOKUP(FACT_IMPORTS[[#This Row],[country_name]],DIM_COUNTRY[[#All],[Column2]],DIM_COUNTRY[[#All],[Column3]],,,)</f>
        <v>USMCA</v>
      </c>
    </row>
    <row r="10637" spans="1:9" x14ac:dyDescent="0.4">
      <c r="A10637" t="s">
        <v>64</v>
      </c>
      <c r="B10637" s="1">
        <v>45839</v>
      </c>
      <c r="C10637">
        <v>851130</v>
      </c>
      <c r="D10637" t="s">
        <v>176</v>
      </c>
      <c r="E10637">
        <v>0</v>
      </c>
      <c r="F10637">
        <v>0</v>
      </c>
      <c r="G10637">
        <v>0</v>
      </c>
      <c r="H10637">
        <f>_xlfn.XLOOKUP(FACT_IMPORTS[[#This Row],[hts_6]],DIM_PRODUCTS[hts_6],DIM_PRODUCTS[hts_4],,,)</f>
        <v>8511</v>
      </c>
      <c r="I10637" t="str" cm="1">
        <f t="array" ref="I10637">_xlfn.XLOOKUP(FACT_IMPORTS[[#This Row],[country_name]],DIM_COUNTRY[[#All],[Column2]],DIM_COUNTRY[[#All],[Column3]],,,)</f>
        <v>USMCA</v>
      </c>
    </row>
    <row r="10638" spans="1:9" x14ac:dyDescent="0.4">
      <c r="A10638" t="s">
        <v>64</v>
      </c>
      <c r="B10638" s="1">
        <v>45839</v>
      </c>
      <c r="C10638">
        <v>851140</v>
      </c>
      <c r="D10638" t="s">
        <v>176</v>
      </c>
      <c r="E10638">
        <v>9364</v>
      </c>
      <c r="F10638">
        <v>17</v>
      </c>
      <c r="G10638">
        <v>316</v>
      </c>
      <c r="H10638">
        <f>_xlfn.XLOOKUP(FACT_IMPORTS[[#This Row],[hts_6]],DIM_PRODUCTS[hts_6],DIM_PRODUCTS[hts_4],,,)</f>
        <v>8511</v>
      </c>
      <c r="I10638" t="str" cm="1">
        <f t="array" ref="I10638">_xlfn.XLOOKUP(FACT_IMPORTS[[#This Row],[country_name]],DIM_COUNTRY[[#All],[Column2]],DIM_COUNTRY[[#All],[Column3]],,,)</f>
        <v>USMCA</v>
      </c>
    </row>
    <row r="10639" spans="1:9" x14ac:dyDescent="0.4">
      <c r="A10639" t="s">
        <v>64</v>
      </c>
      <c r="B10639" s="1">
        <v>45839</v>
      </c>
      <c r="C10639">
        <v>851150</v>
      </c>
      <c r="D10639" t="s">
        <v>176</v>
      </c>
      <c r="E10639">
        <v>0</v>
      </c>
      <c r="F10639">
        <v>0</v>
      </c>
      <c r="G10639">
        <v>0</v>
      </c>
      <c r="H10639">
        <f>_xlfn.XLOOKUP(FACT_IMPORTS[[#This Row],[hts_6]],DIM_PRODUCTS[hts_6],DIM_PRODUCTS[hts_4],,,)</f>
        <v>8511</v>
      </c>
      <c r="I10639" t="str" cm="1">
        <f t="array" ref="I10639">_xlfn.XLOOKUP(FACT_IMPORTS[[#This Row],[country_name]],DIM_COUNTRY[[#All],[Column2]],DIM_COUNTRY[[#All],[Column3]],,,)</f>
        <v>USMCA</v>
      </c>
    </row>
    <row r="10640" spans="1:9" x14ac:dyDescent="0.4">
      <c r="A10640" t="s">
        <v>64</v>
      </c>
      <c r="B10640" s="1">
        <v>45839</v>
      </c>
      <c r="C10640">
        <v>851180</v>
      </c>
      <c r="D10640" t="s">
        <v>176</v>
      </c>
      <c r="E10640">
        <v>8167</v>
      </c>
      <c r="F10640">
        <v>346</v>
      </c>
      <c r="G10640">
        <v>3</v>
      </c>
      <c r="H10640">
        <f>_xlfn.XLOOKUP(FACT_IMPORTS[[#This Row],[hts_6]],DIM_PRODUCTS[hts_6],DIM_PRODUCTS[hts_4],,,)</f>
        <v>8511</v>
      </c>
      <c r="I10640" t="str" cm="1">
        <f t="array" ref="I10640">_xlfn.XLOOKUP(FACT_IMPORTS[[#This Row],[country_name]],DIM_COUNTRY[[#All],[Column2]],DIM_COUNTRY[[#All],[Column3]],,,)</f>
        <v>USMCA</v>
      </c>
    </row>
    <row r="10641" spans="1:9" x14ac:dyDescent="0.4">
      <c r="A10641" t="s">
        <v>64</v>
      </c>
      <c r="B10641" s="1">
        <v>45839</v>
      </c>
      <c r="C10641">
        <v>851190</v>
      </c>
      <c r="D10641" t="s">
        <v>176</v>
      </c>
      <c r="E10641">
        <v>0</v>
      </c>
      <c r="F10641">
        <v>0</v>
      </c>
      <c r="G10641">
        <v>0</v>
      </c>
      <c r="H10641">
        <f>_xlfn.XLOOKUP(FACT_IMPORTS[[#This Row],[hts_6]],DIM_PRODUCTS[hts_6],DIM_PRODUCTS[hts_4],,,)</f>
        <v>8511</v>
      </c>
      <c r="I10641" t="str" cm="1">
        <f t="array" ref="I10641">_xlfn.XLOOKUP(FACT_IMPORTS[[#This Row],[country_name]],DIM_COUNTRY[[#All],[Column2]],DIM_COUNTRY[[#All],[Column3]],,,)</f>
        <v>USMCA</v>
      </c>
    </row>
    <row r="10642" spans="1:9" x14ac:dyDescent="0.4">
      <c r="A10642" t="s">
        <v>64</v>
      </c>
      <c r="B10642" s="1">
        <v>45839</v>
      </c>
      <c r="C10642">
        <v>851220</v>
      </c>
      <c r="D10642" t="s">
        <v>176</v>
      </c>
      <c r="E10642">
        <v>36298</v>
      </c>
      <c r="F10642">
        <v>383</v>
      </c>
      <c r="G10642">
        <v>1344</v>
      </c>
      <c r="H10642">
        <f>_xlfn.XLOOKUP(FACT_IMPORTS[[#This Row],[hts_6]],DIM_PRODUCTS[hts_6],DIM_PRODUCTS[hts_4],,,)</f>
        <v>8512</v>
      </c>
      <c r="I10642" t="str" cm="1">
        <f t="array" ref="I10642">_xlfn.XLOOKUP(FACT_IMPORTS[[#This Row],[country_name]],DIM_COUNTRY[[#All],[Column2]],DIM_COUNTRY[[#All],[Column3]],,,)</f>
        <v>USMCA</v>
      </c>
    </row>
    <row r="10643" spans="1:9" x14ac:dyDescent="0.4">
      <c r="A10643" t="s">
        <v>64</v>
      </c>
      <c r="B10643" s="1">
        <v>45839</v>
      </c>
      <c r="C10643">
        <v>851230</v>
      </c>
      <c r="D10643" t="s">
        <v>176</v>
      </c>
      <c r="E10643">
        <v>0</v>
      </c>
      <c r="F10643">
        <v>0</v>
      </c>
      <c r="G10643">
        <v>0</v>
      </c>
      <c r="H10643">
        <f>_xlfn.XLOOKUP(FACT_IMPORTS[[#This Row],[hts_6]],DIM_PRODUCTS[hts_6],DIM_PRODUCTS[hts_4],,,)</f>
        <v>8512</v>
      </c>
      <c r="I10643" t="str" cm="1">
        <f t="array" ref="I10643">_xlfn.XLOOKUP(FACT_IMPORTS[[#This Row],[country_name]],DIM_COUNTRY[[#All],[Column2]],DIM_COUNTRY[[#All],[Column3]],,,)</f>
        <v>USMCA</v>
      </c>
    </row>
    <row r="10644" spans="1:9" x14ac:dyDescent="0.4">
      <c r="A10644" t="s">
        <v>64</v>
      </c>
      <c r="B10644" s="1">
        <v>45839</v>
      </c>
      <c r="C10644">
        <v>851290</v>
      </c>
      <c r="D10644" t="s">
        <v>176</v>
      </c>
      <c r="E10644">
        <v>0</v>
      </c>
      <c r="F10644">
        <v>0</v>
      </c>
      <c r="G10644">
        <v>0</v>
      </c>
      <c r="H10644">
        <f>_xlfn.XLOOKUP(FACT_IMPORTS[[#This Row],[hts_6]],DIM_PRODUCTS[hts_6],DIM_PRODUCTS[hts_4],,,)</f>
        <v>8512</v>
      </c>
      <c r="I10644" t="str" cm="1">
        <f t="array" ref="I10644">_xlfn.XLOOKUP(FACT_IMPORTS[[#This Row],[country_name]],DIM_COUNTRY[[#All],[Column2]],DIM_COUNTRY[[#All],[Column3]],,,)</f>
        <v>USMCA</v>
      </c>
    </row>
    <row r="10645" spans="1:9" x14ac:dyDescent="0.4">
      <c r="A10645" t="s">
        <v>64</v>
      </c>
      <c r="B10645" s="1">
        <v>45839</v>
      </c>
      <c r="C10645">
        <v>854231</v>
      </c>
      <c r="D10645" t="s">
        <v>176</v>
      </c>
      <c r="E10645">
        <v>0</v>
      </c>
      <c r="F10645">
        <v>0</v>
      </c>
      <c r="G10645">
        <v>0</v>
      </c>
      <c r="H10645">
        <f>_xlfn.XLOOKUP(FACT_IMPORTS[[#This Row],[hts_6]],DIM_PRODUCTS[hts_6],DIM_PRODUCTS[hts_4],,,)</f>
        <v>8542</v>
      </c>
      <c r="I10645" t="str" cm="1">
        <f t="array" ref="I10645">_xlfn.XLOOKUP(FACT_IMPORTS[[#This Row],[country_name]],DIM_COUNTRY[[#All],[Column2]],DIM_COUNTRY[[#All],[Column3]],,,)</f>
        <v>USMCA</v>
      </c>
    </row>
    <row r="10646" spans="1:9" x14ac:dyDescent="0.4">
      <c r="A10646" t="s">
        <v>64</v>
      </c>
      <c r="B10646" s="1">
        <v>45839</v>
      </c>
      <c r="C10646">
        <v>854232</v>
      </c>
      <c r="D10646" t="s">
        <v>176</v>
      </c>
      <c r="E10646">
        <v>0</v>
      </c>
      <c r="F10646">
        <v>0</v>
      </c>
      <c r="G10646">
        <v>0</v>
      </c>
      <c r="H10646">
        <f>_xlfn.XLOOKUP(FACT_IMPORTS[[#This Row],[hts_6]],DIM_PRODUCTS[hts_6],DIM_PRODUCTS[hts_4],,,)</f>
        <v>8542</v>
      </c>
      <c r="I10646" t="str" cm="1">
        <f t="array" ref="I10646">_xlfn.XLOOKUP(FACT_IMPORTS[[#This Row],[country_name]],DIM_COUNTRY[[#All],[Column2]],DIM_COUNTRY[[#All],[Column3]],,,)</f>
        <v>USMCA</v>
      </c>
    </row>
    <row r="10647" spans="1:9" x14ac:dyDescent="0.4">
      <c r="A10647" t="s">
        <v>64</v>
      </c>
      <c r="B10647" s="1">
        <v>45839</v>
      </c>
      <c r="C10647">
        <v>854290</v>
      </c>
      <c r="D10647" t="s">
        <v>176</v>
      </c>
      <c r="E10647">
        <v>0</v>
      </c>
      <c r="F10647">
        <v>0</v>
      </c>
      <c r="G10647">
        <v>0</v>
      </c>
      <c r="H10647">
        <f>_xlfn.XLOOKUP(FACT_IMPORTS[[#This Row],[hts_6]],DIM_PRODUCTS[hts_6],DIM_PRODUCTS[hts_4],,,)</f>
        <v>8542</v>
      </c>
      <c r="I10647" t="str" cm="1">
        <f t="array" ref="I10647">_xlfn.XLOOKUP(FACT_IMPORTS[[#This Row],[country_name]],DIM_COUNTRY[[#All],[Column2]],DIM_COUNTRY[[#All],[Column3]],,,)</f>
        <v>USMCA</v>
      </c>
    </row>
    <row r="10648" spans="1:9" x14ac:dyDescent="0.4">
      <c r="A10648" t="s">
        <v>64</v>
      </c>
      <c r="B10648" s="1">
        <v>45839</v>
      </c>
      <c r="C10648">
        <v>854430</v>
      </c>
      <c r="D10648" t="s">
        <v>176</v>
      </c>
      <c r="E10648">
        <v>266075</v>
      </c>
      <c r="F10648">
        <v>41796</v>
      </c>
      <c r="G10648">
        <v>2192</v>
      </c>
      <c r="H10648">
        <f>_xlfn.XLOOKUP(FACT_IMPORTS[[#This Row],[hts_6]],DIM_PRODUCTS[hts_6],DIM_PRODUCTS[hts_4],,,)</f>
        <v>8544</v>
      </c>
      <c r="I10648" t="str" cm="1">
        <f t="array" ref="I10648">_xlfn.XLOOKUP(FACT_IMPORTS[[#This Row],[country_name]],DIM_COUNTRY[[#All],[Column2]],DIM_COUNTRY[[#All],[Column3]],,,)</f>
        <v>USMCA</v>
      </c>
    </row>
    <row r="10649" spans="1:9" x14ac:dyDescent="0.4">
      <c r="A10649" t="s">
        <v>64</v>
      </c>
      <c r="B10649" s="1">
        <v>45839</v>
      </c>
      <c r="C10649">
        <v>870790</v>
      </c>
      <c r="D10649" t="s">
        <v>176</v>
      </c>
      <c r="E10649">
        <v>0</v>
      </c>
      <c r="F10649">
        <v>0</v>
      </c>
      <c r="G10649">
        <v>0</v>
      </c>
      <c r="H10649">
        <f>_xlfn.XLOOKUP(FACT_IMPORTS[[#This Row],[hts_6]],DIM_PRODUCTS[hts_6],DIM_PRODUCTS[hts_4],,,)</f>
        <v>8707</v>
      </c>
      <c r="I10649" t="str" cm="1">
        <f t="array" ref="I10649">_xlfn.XLOOKUP(FACT_IMPORTS[[#This Row],[country_name]],DIM_COUNTRY[[#All],[Column2]],DIM_COUNTRY[[#All],[Column3]],,,)</f>
        <v>USMCA</v>
      </c>
    </row>
    <row r="10650" spans="1:9" x14ac:dyDescent="0.4">
      <c r="A10650" t="s">
        <v>64</v>
      </c>
      <c r="B10650" s="1">
        <v>45839</v>
      </c>
      <c r="C10650">
        <v>870810</v>
      </c>
      <c r="D10650" t="s">
        <v>176</v>
      </c>
      <c r="E10650">
        <v>12137</v>
      </c>
      <c r="F10650">
        <v>74</v>
      </c>
      <c r="G10650">
        <v>16</v>
      </c>
      <c r="H10650">
        <f>_xlfn.XLOOKUP(FACT_IMPORTS[[#This Row],[hts_6]],DIM_PRODUCTS[hts_6],DIM_PRODUCTS[hts_4],,,)</f>
        <v>8708</v>
      </c>
      <c r="I10650" t="str" cm="1">
        <f t="array" ref="I10650">_xlfn.XLOOKUP(FACT_IMPORTS[[#This Row],[country_name]],DIM_COUNTRY[[#All],[Column2]],DIM_COUNTRY[[#All],[Column3]],,,)</f>
        <v>USMCA</v>
      </c>
    </row>
    <row r="10651" spans="1:9" x14ac:dyDescent="0.4">
      <c r="A10651" t="s">
        <v>64</v>
      </c>
      <c r="B10651" s="1">
        <v>45839</v>
      </c>
      <c r="C10651">
        <v>870821</v>
      </c>
      <c r="D10651" t="s">
        <v>176</v>
      </c>
      <c r="E10651">
        <v>0</v>
      </c>
      <c r="F10651">
        <v>0</v>
      </c>
      <c r="G10651">
        <v>0</v>
      </c>
      <c r="H10651">
        <f>_xlfn.XLOOKUP(FACT_IMPORTS[[#This Row],[hts_6]],DIM_PRODUCTS[hts_6],DIM_PRODUCTS[hts_4],,,)</f>
        <v>8708</v>
      </c>
      <c r="I10651" t="str" cm="1">
        <f t="array" ref="I10651">_xlfn.XLOOKUP(FACT_IMPORTS[[#This Row],[country_name]],DIM_COUNTRY[[#All],[Column2]],DIM_COUNTRY[[#All],[Column3]],,,)</f>
        <v>USMCA</v>
      </c>
    </row>
    <row r="10652" spans="1:9" x14ac:dyDescent="0.4">
      <c r="A10652" t="s">
        <v>64</v>
      </c>
      <c r="B10652" s="1">
        <v>45839</v>
      </c>
      <c r="C10652">
        <v>870822</v>
      </c>
      <c r="D10652" t="s">
        <v>176</v>
      </c>
      <c r="E10652">
        <v>0</v>
      </c>
      <c r="F10652">
        <v>0</v>
      </c>
      <c r="G10652">
        <v>0</v>
      </c>
      <c r="H10652">
        <f>_xlfn.XLOOKUP(FACT_IMPORTS[[#This Row],[hts_6]],DIM_PRODUCTS[hts_6],DIM_PRODUCTS[hts_4],,,)</f>
        <v>8708</v>
      </c>
      <c r="I10652" t="str" cm="1">
        <f t="array" ref="I10652">_xlfn.XLOOKUP(FACT_IMPORTS[[#This Row],[country_name]],DIM_COUNTRY[[#All],[Column2]],DIM_COUNTRY[[#All],[Column3]],,,)</f>
        <v>USMCA</v>
      </c>
    </row>
    <row r="10653" spans="1:9" x14ac:dyDescent="0.4">
      <c r="A10653" t="s">
        <v>64</v>
      </c>
      <c r="B10653" s="1">
        <v>45839</v>
      </c>
      <c r="C10653">
        <v>870829</v>
      </c>
      <c r="D10653" t="s">
        <v>176</v>
      </c>
      <c r="E10653">
        <v>658934</v>
      </c>
      <c r="F10653">
        <v>15042</v>
      </c>
      <c r="G10653">
        <v>8605</v>
      </c>
      <c r="H10653">
        <f>_xlfn.XLOOKUP(FACT_IMPORTS[[#This Row],[hts_6]],DIM_PRODUCTS[hts_6],DIM_PRODUCTS[hts_4],,,)</f>
        <v>8708</v>
      </c>
      <c r="I10653" t="str" cm="1">
        <f t="array" ref="I10653">_xlfn.XLOOKUP(FACT_IMPORTS[[#This Row],[country_name]],DIM_COUNTRY[[#All],[Column2]],DIM_COUNTRY[[#All],[Column3]],,,)</f>
        <v>USMCA</v>
      </c>
    </row>
    <row r="10654" spans="1:9" x14ac:dyDescent="0.4">
      <c r="A10654" t="s">
        <v>64</v>
      </c>
      <c r="B10654" s="1">
        <v>45839</v>
      </c>
      <c r="C10654">
        <v>870830</v>
      </c>
      <c r="D10654" t="s">
        <v>176</v>
      </c>
      <c r="E10654">
        <v>859027</v>
      </c>
      <c r="F10654">
        <v>13740</v>
      </c>
      <c r="G10654">
        <v>12416</v>
      </c>
      <c r="H10654">
        <f>_xlfn.XLOOKUP(FACT_IMPORTS[[#This Row],[hts_6]],DIM_PRODUCTS[hts_6],DIM_PRODUCTS[hts_4],,,)</f>
        <v>8708</v>
      </c>
      <c r="I10654" t="str" cm="1">
        <f t="array" ref="I10654">_xlfn.XLOOKUP(FACT_IMPORTS[[#This Row],[country_name]],DIM_COUNTRY[[#All],[Column2]],DIM_COUNTRY[[#All],[Column3]],,,)</f>
        <v>USMCA</v>
      </c>
    </row>
    <row r="10655" spans="1:9" x14ac:dyDescent="0.4">
      <c r="A10655" t="s">
        <v>64</v>
      </c>
      <c r="B10655" s="1">
        <v>45839</v>
      </c>
      <c r="C10655">
        <v>870840</v>
      </c>
      <c r="D10655" t="s">
        <v>176</v>
      </c>
      <c r="E10655">
        <v>227813</v>
      </c>
      <c r="F10655">
        <v>2291</v>
      </c>
      <c r="G10655">
        <v>1965</v>
      </c>
      <c r="H10655">
        <f>_xlfn.XLOOKUP(FACT_IMPORTS[[#This Row],[hts_6]],DIM_PRODUCTS[hts_6],DIM_PRODUCTS[hts_4],,,)</f>
        <v>8708</v>
      </c>
      <c r="I10655" t="str" cm="1">
        <f t="array" ref="I10655">_xlfn.XLOOKUP(FACT_IMPORTS[[#This Row],[country_name]],DIM_COUNTRY[[#All],[Column2]],DIM_COUNTRY[[#All],[Column3]],,,)</f>
        <v>USMCA</v>
      </c>
    </row>
    <row r="10656" spans="1:9" x14ac:dyDescent="0.4">
      <c r="A10656" t="s">
        <v>64</v>
      </c>
      <c r="B10656" s="1">
        <v>45839</v>
      </c>
      <c r="C10656">
        <v>870850</v>
      </c>
      <c r="D10656" t="s">
        <v>176</v>
      </c>
      <c r="E10656">
        <v>77062</v>
      </c>
      <c r="F10656">
        <v>136</v>
      </c>
      <c r="G10656">
        <v>1282</v>
      </c>
      <c r="H10656">
        <f>_xlfn.XLOOKUP(FACT_IMPORTS[[#This Row],[hts_6]],DIM_PRODUCTS[hts_6],DIM_PRODUCTS[hts_4],,,)</f>
        <v>8708</v>
      </c>
      <c r="I10656" t="str" cm="1">
        <f t="array" ref="I10656">_xlfn.XLOOKUP(FACT_IMPORTS[[#This Row],[country_name]],DIM_COUNTRY[[#All],[Column2]],DIM_COUNTRY[[#All],[Column3]],,,)</f>
        <v>USMCA</v>
      </c>
    </row>
    <row r="10657" spans="1:9" x14ac:dyDescent="0.4">
      <c r="A10657" t="s">
        <v>64</v>
      </c>
      <c r="B10657" s="1">
        <v>45839</v>
      </c>
      <c r="C10657">
        <v>870870</v>
      </c>
      <c r="D10657" t="s">
        <v>176</v>
      </c>
      <c r="E10657">
        <v>43561</v>
      </c>
      <c r="F10657">
        <v>916</v>
      </c>
      <c r="G10657">
        <v>3259</v>
      </c>
      <c r="H10657">
        <f>_xlfn.XLOOKUP(FACT_IMPORTS[[#This Row],[hts_6]],DIM_PRODUCTS[hts_6],DIM_PRODUCTS[hts_4],,,)</f>
        <v>8708</v>
      </c>
      <c r="I10657" t="str" cm="1">
        <f t="array" ref="I10657">_xlfn.XLOOKUP(FACT_IMPORTS[[#This Row],[country_name]],DIM_COUNTRY[[#All],[Column2]],DIM_COUNTRY[[#All],[Column3]],,,)</f>
        <v>USMCA</v>
      </c>
    </row>
    <row r="10658" spans="1:9" x14ac:dyDescent="0.4">
      <c r="A10658" t="s">
        <v>64</v>
      </c>
      <c r="B10658" s="1">
        <v>45839</v>
      </c>
      <c r="C10658">
        <v>870880</v>
      </c>
      <c r="D10658" t="s">
        <v>176</v>
      </c>
      <c r="E10658">
        <v>16300</v>
      </c>
      <c r="F10658">
        <v>1141</v>
      </c>
      <c r="G10658">
        <v>83</v>
      </c>
      <c r="H10658">
        <f>_xlfn.XLOOKUP(FACT_IMPORTS[[#This Row],[hts_6]],DIM_PRODUCTS[hts_6],DIM_PRODUCTS[hts_4],,,)</f>
        <v>8708</v>
      </c>
      <c r="I10658" t="str" cm="1">
        <f t="array" ref="I10658">_xlfn.XLOOKUP(FACT_IMPORTS[[#This Row],[country_name]],DIM_COUNTRY[[#All],[Column2]],DIM_COUNTRY[[#All],[Column3]],,,)</f>
        <v>USMCA</v>
      </c>
    </row>
    <row r="10659" spans="1:9" x14ac:dyDescent="0.4">
      <c r="A10659" t="s">
        <v>64</v>
      </c>
      <c r="B10659" s="1">
        <v>45839</v>
      </c>
      <c r="C10659">
        <v>870891</v>
      </c>
      <c r="D10659" t="s">
        <v>176</v>
      </c>
      <c r="E10659">
        <v>131563</v>
      </c>
      <c r="F10659">
        <v>1386</v>
      </c>
      <c r="G10659">
        <v>160</v>
      </c>
      <c r="H10659">
        <f>_xlfn.XLOOKUP(FACT_IMPORTS[[#This Row],[hts_6]],DIM_PRODUCTS[hts_6],DIM_PRODUCTS[hts_4],,,)</f>
        <v>8708</v>
      </c>
      <c r="I10659" t="str" cm="1">
        <f t="array" ref="I10659">_xlfn.XLOOKUP(FACT_IMPORTS[[#This Row],[country_name]],DIM_COUNTRY[[#All],[Column2]],DIM_COUNTRY[[#All],[Column3]],,,)</f>
        <v>USMCA</v>
      </c>
    </row>
    <row r="10660" spans="1:9" x14ac:dyDescent="0.4">
      <c r="A10660" t="s">
        <v>64</v>
      </c>
      <c r="B10660" s="1">
        <v>45839</v>
      </c>
      <c r="C10660">
        <v>870892</v>
      </c>
      <c r="D10660" t="s">
        <v>176</v>
      </c>
      <c r="E10660">
        <v>13412</v>
      </c>
      <c r="F10660">
        <v>436</v>
      </c>
      <c r="G10660">
        <v>166</v>
      </c>
      <c r="H10660">
        <f>_xlfn.XLOOKUP(FACT_IMPORTS[[#This Row],[hts_6]],DIM_PRODUCTS[hts_6],DIM_PRODUCTS[hts_4],,,)</f>
        <v>8708</v>
      </c>
      <c r="I10660" t="str" cm="1">
        <f t="array" ref="I10660">_xlfn.XLOOKUP(FACT_IMPORTS[[#This Row],[country_name]],DIM_COUNTRY[[#All],[Column2]],DIM_COUNTRY[[#All],[Column3]],,,)</f>
        <v>USMCA</v>
      </c>
    </row>
    <row r="10661" spans="1:9" x14ac:dyDescent="0.4">
      <c r="A10661" t="s">
        <v>64</v>
      </c>
      <c r="B10661" s="1">
        <v>45839</v>
      </c>
      <c r="C10661">
        <v>870893</v>
      </c>
      <c r="D10661" t="s">
        <v>176</v>
      </c>
      <c r="E10661">
        <v>0</v>
      </c>
      <c r="F10661">
        <v>0</v>
      </c>
      <c r="G10661">
        <v>0</v>
      </c>
      <c r="H10661">
        <f>_xlfn.XLOOKUP(FACT_IMPORTS[[#This Row],[hts_6]],DIM_PRODUCTS[hts_6],DIM_PRODUCTS[hts_4],,,)</f>
        <v>8708</v>
      </c>
      <c r="I10661" t="str" cm="1">
        <f t="array" ref="I10661">_xlfn.XLOOKUP(FACT_IMPORTS[[#This Row],[country_name]],DIM_COUNTRY[[#All],[Column2]],DIM_COUNTRY[[#All],[Column3]],,,)</f>
        <v>USMCA</v>
      </c>
    </row>
    <row r="10662" spans="1:9" x14ac:dyDescent="0.4">
      <c r="A10662" t="s">
        <v>64</v>
      </c>
      <c r="B10662" s="1">
        <v>45839</v>
      </c>
      <c r="C10662">
        <v>870894</v>
      </c>
      <c r="D10662" t="s">
        <v>176</v>
      </c>
      <c r="E10662">
        <v>133185</v>
      </c>
      <c r="F10662">
        <v>793</v>
      </c>
      <c r="G10662">
        <v>8439</v>
      </c>
      <c r="H10662">
        <f>_xlfn.XLOOKUP(FACT_IMPORTS[[#This Row],[hts_6]],DIM_PRODUCTS[hts_6],DIM_PRODUCTS[hts_4],,,)</f>
        <v>8708</v>
      </c>
      <c r="I10662" t="str" cm="1">
        <f t="array" ref="I10662">_xlfn.XLOOKUP(FACT_IMPORTS[[#This Row],[country_name]],DIM_COUNTRY[[#All],[Column2]],DIM_COUNTRY[[#All],[Column3]],,,)</f>
        <v>USMCA</v>
      </c>
    </row>
    <row r="10663" spans="1:9" x14ac:dyDescent="0.4">
      <c r="A10663" t="s">
        <v>64</v>
      </c>
      <c r="B10663" s="1">
        <v>45839</v>
      </c>
      <c r="C10663">
        <v>870895</v>
      </c>
      <c r="D10663" t="s">
        <v>176</v>
      </c>
      <c r="E10663">
        <v>1118986</v>
      </c>
      <c r="F10663">
        <v>13587</v>
      </c>
      <c r="G10663">
        <v>1162</v>
      </c>
      <c r="H10663">
        <f>_xlfn.XLOOKUP(FACT_IMPORTS[[#This Row],[hts_6]],DIM_PRODUCTS[hts_6],DIM_PRODUCTS[hts_4],,,)</f>
        <v>8708</v>
      </c>
      <c r="I10663" t="str" cm="1">
        <f t="array" ref="I10663">_xlfn.XLOOKUP(FACT_IMPORTS[[#This Row],[country_name]],DIM_COUNTRY[[#All],[Column2]],DIM_COUNTRY[[#All],[Column3]],,,)</f>
        <v>USMCA</v>
      </c>
    </row>
    <row r="10664" spans="1:9" x14ac:dyDescent="0.4">
      <c r="A10664" t="s">
        <v>64</v>
      </c>
      <c r="B10664" s="1">
        <v>45839</v>
      </c>
      <c r="C10664">
        <v>870899</v>
      </c>
      <c r="D10664" t="s">
        <v>176</v>
      </c>
      <c r="E10664">
        <v>126134</v>
      </c>
      <c r="F10664">
        <v>3351</v>
      </c>
      <c r="G10664">
        <v>3271</v>
      </c>
      <c r="H10664">
        <f>_xlfn.XLOOKUP(FACT_IMPORTS[[#This Row],[hts_6]],DIM_PRODUCTS[hts_6],DIM_PRODUCTS[hts_4],,,)</f>
        <v>8708</v>
      </c>
      <c r="I10664" t="str" cm="1">
        <f t="array" ref="I10664">_xlfn.XLOOKUP(FACT_IMPORTS[[#This Row],[country_name]],DIM_COUNTRY[[#All],[Column2]],DIM_COUNTRY[[#All],[Column3]],,,)</f>
        <v>USMCA</v>
      </c>
    </row>
    <row r="10665" spans="1:9" x14ac:dyDescent="0.4">
      <c r="A10665" t="s">
        <v>64</v>
      </c>
      <c r="B10665" s="1">
        <v>45839</v>
      </c>
      <c r="C10665">
        <v>940120</v>
      </c>
      <c r="D10665" t="s">
        <v>176</v>
      </c>
      <c r="E10665">
        <v>33851</v>
      </c>
      <c r="F10665">
        <v>85</v>
      </c>
      <c r="G10665">
        <v>180</v>
      </c>
      <c r="H10665">
        <f>_xlfn.XLOOKUP(FACT_IMPORTS[[#This Row],[hts_6]],DIM_PRODUCTS[hts_6],DIM_PRODUCTS[hts_4],,,)</f>
        <v>9401</v>
      </c>
      <c r="I10665" t="str" cm="1">
        <f t="array" ref="I10665">_xlfn.XLOOKUP(FACT_IMPORTS[[#This Row],[country_name]],DIM_COUNTRY[[#All],[Column2]],DIM_COUNTRY[[#All],[Column3]],,,)</f>
        <v>USMCA</v>
      </c>
    </row>
    <row r="10666" spans="1:9" x14ac:dyDescent="0.4">
      <c r="A10666" t="s">
        <v>64</v>
      </c>
      <c r="B10666" s="1">
        <v>45870</v>
      </c>
      <c r="C10666">
        <v>392630</v>
      </c>
      <c r="D10666" t="s">
        <v>176</v>
      </c>
      <c r="E10666">
        <v>1580</v>
      </c>
      <c r="F10666">
        <v>998</v>
      </c>
      <c r="G10666">
        <v>65</v>
      </c>
      <c r="H10666">
        <f>_xlfn.XLOOKUP(FACT_IMPORTS[[#This Row],[hts_6]],DIM_PRODUCTS[hts_6],DIM_PRODUCTS[hts_4],,,)</f>
        <v>3926</v>
      </c>
      <c r="I10666" t="str" cm="1">
        <f t="array" ref="I10666">_xlfn.XLOOKUP(FACT_IMPORTS[[#This Row],[country_name]],DIM_COUNTRY[[#All],[Column2]],DIM_COUNTRY[[#All],[Column3]],,,)</f>
        <v>USMCA</v>
      </c>
    </row>
    <row r="10667" spans="1:9" x14ac:dyDescent="0.4">
      <c r="A10667" t="s">
        <v>64</v>
      </c>
      <c r="B10667" s="1">
        <v>45870</v>
      </c>
      <c r="C10667">
        <v>401110</v>
      </c>
      <c r="D10667" t="s">
        <v>176</v>
      </c>
      <c r="E10667">
        <v>6585</v>
      </c>
      <c r="F10667">
        <v>68</v>
      </c>
      <c r="G10667">
        <v>13</v>
      </c>
      <c r="H10667">
        <f>_xlfn.XLOOKUP(FACT_IMPORTS[[#This Row],[hts_6]],DIM_PRODUCTS[hts_6],DIM_PRODUCTS[hts_4],,,)</f>
        <v>4011</v>
      </c>
      <c r="I10667" t="str" cm="1">
        <f t="array" ref="I10667">_xlfn.XLOOKUP(FACT_IMPORTS[[#This Row],[country_name]],DIM_COUNTRY[[#All],[Column2]],DIM_COUNTRY[[#All],[Column3]],,,)</f>
        <v>USMCA</v>
      </c>
    </row>
    <row r="10668" spans="1:9" x14ac:dyDescent="0.4">
      <c r="A10668" t="s">
        <v>64</v>
      </c>
      <c r="B10668" s="1">
        <v>45870</v>
      </c>
      <c r="C10668">
        <v>401120</v>
      </c>
      <c r="D10668" t="s">
        <v>176</v>
      </c>
      <c r="E10668">
        <v>0</v>
      </c>
      <c r="F10668">
        <v>0</v>
      </c>
      <c r="G10668">
        <v>0</v>
      </c>
      <c r="H10668">
        <f>_xlfn.XLOOKUP(FACT_IMPORTS[[#This Row],[hts_6]],DIM_PRODUCTS[hts_6],DIM_PRODUCTS[hts_4],,,)</f>
        <v>4011</v>
      </c>
      <c r="I10668" t="str" cm="1">
        <f t="array" ref="I10668">_xlfn.XLOOKUP(FACT_IMPORTS[[#This Row],[country_name]],DIM_COUNTRY[[#All],[Column2]],DIM_COUNTRY[[#All],[Column3]],,,)</f>
        <v>USMCA</v>
      </c>
    </row>
    <row r="10669" spans="1:9" x14ac:dyDescent="0.4">
      <c r="A10669" t="s">
        <v>64</v>
      </c>
      <c r="B10669" s="1">
        <v>45870</v>
      </c>
      <c r="C10669">
        <v>401190</v>
      </c>
      <c r="D10669" t="s">
        <v>176</v>
      </c>
      <c r="E10669">
        <v>0</v>
      </c>
      <c r="F10669">
        <v>0</v>
      </c>
      <c r="G10669">
        <v>0</v>
      </c>
      <c r="H10669">
        <f>_xlfn.XLOOKUP(FACT_IMPORTS[[#This Row],[hts_6]],DIM_PRODUCTS[hts_6],DIM_PRODUCTS[hts_4],,,)</f>
        <v>4011</v>
      </c>
      <c r="I10669" t="str" cm="1">
        <f t="array" ref="I10669">_xlfn.XLOOKUP(FACT_IMPORTS[[#This Row],[country_name]],DIM_COUNTRY[[#All],[Column2]],DIM_COUNTRY[[#All],[Column3]],,,)</f>
        <v>USMCA</v>
      </c>
    </row>
    <row r="10670" spans="1:9" x14ac:dyDescent="0.4">
      <c r="A10670" t="s">
        <v>64</v>
      </c>
      <c r="B10670" s="1">
        <v>45870</v>
      </c>
      <c r="C10670">
        <v>700711</v>
      </c>
      <c r="D10670" t="s">
        <v>176</v>
      </c>
      <c r="E10670">
        <v>0</v>
      </c>
      <c r="F10670">
        <v>0</v>
      </c>
      <c r="G10670">
        <v>0</v>
      </c>
      <c r="H10670">
        <f>_xlfn.XLOOKUP(FACT_IMPORTS[[#This Row],[hts_6]],DIM_PRODUCTS[hts_6],DIM_PRODUCTS[hts_4],,,)</f>
        <v>7007</v>
      </c>
      <c r="I10670" t="str" cm="1">
        <f t="array" ref="I10670">_xlfn.XLOOKUP(FACT_IMPORTS[[#This Row],[country_name]],DIM_COUNTRY[[#All],[Column2]],DIM_COUNTRY[[#All],[Column3]],,,)</f>
        <v>USMCA</v>
      </c>
    </row>
    <row r="10671" spans="1:9" x14ac:dyDescent="0.4">
      <c r="A10671" t="s">
        <v>64</v>
      </c>
      <c r="B10671" s="1">
        <v>45870</v>
      </c>
      <c r="C10671">
        <v>700721</v>
      </c>
      <c r="D10671" t="s">
        <v>176</v>
      </c>
      <c r="E10671">
        <v>0</v>
      </c>
      <c r="F10671">
        <v>0</v>
      </c>
      <c r="G10671">
        <v>0</v>
      </c>
      <c r="H10671">
        <f>_xlfn.XLOOKUP(FACT_IMPORTS[[#This Row],[hts_6]],DIM_PRODUCTS[hts_6],DIM_PRODUCTS[hts_4],,,)</f>
        <v>7007</v>
      </c>
      <c r="I10671" t="str" cm="1">
        <f t="array" ref="I10671">_xlfn.XLOOKUP(FACT_IMPORTS[[#This Row],[country_name]],DIM_COUNTRY[[#All],[Column2]],DIM_COUNTRY[[#All],[Column3]],,,)</f>
        <v>USMCA</v>
      </c>
    </row>
    <row r="10672" spans="1:9" x14ac:dyDescent="0.4">
      <c r="A10672" t="s">
        <v>64</v>
      </c>
      <c r="B10672" s="1">
        <v>45870</v>
      </c>
      <c r="C10672">
        <v>700910</v>
      </c>
      <c r="D10672" t="s">
        <v>176</v>
      </c>
      <c r="E10672">
        <v>0</v>
      </c>
      <c r="F10672">
        <v>0</v>
      </c>
      <c r="G10672">
        <v>0</v>
      </c>
      <c r="H10672">
        <f>_xlfn.XLOOKUP(FACT_IMPORTS[[#This Row],[hts_6]],DIM_PRODUCTS[hts_6],DIM_PRODUCTS[hts_4],,,)</f>
        <v>7009</v>
      </c>
      <c r="I10672" t="str" cm="1">
        <f t="array" ref="I10672">_xlfn.XLOOKUP(FACT_IMPORTS[[#This Row],[country_name]],DIM_COUNTRY[[#All],[Column2]],DIM_COUNTRY[[#All],[Column3]],,,)</f>
        <v>USMCA</v>
      </c>
    </row>
    <row r="10673" spans="1:9" x14ac:dyDescent="0.4">
      <c r="A10673" t="s">
        <v>64</v>
      </c>
      <c r="B10673" s="1">
        <v>45870</v>
      </c>
      <c r="C10673">
        <v>732010</v>
      </c>
      <c r="D10673" t="s">
        <v>176</v>
      </c>
      <c r="E10673">
        <v>0</v>
      </c>
      <c r="F10673">
        <v>0</v>
      </c>
      <c r="G10673">
        <v>0</v>
      </c>
      <c r="H10673">
        <f>_xlfn.XLOOKUP(FACT_IMPORTS[[#This Row],[hts_6]],DIM_PRODUCTS[hts_6],DIM_PRODUCTS[hts_4],,,)</f>
        <v>7320</v>
      </c>
      <c r="I10673" t="str" cm="1">
        <f t="array" ref="I10673">_xlfn.XLOOKUP(FACT_IMPORTS[[#This Row],[country_name]],DIM_COUNTRY[[#All],[Column2]],DIM_COUNTRY[[#All],[Column3]],,,)</f>
        <v>USMCA</v>
      </c>
    </row>
    <row r="10674" spans="1:9" x14ac:dyDescent="0.4">
      <c r="A10674" t="s">
        <v>64</v>
      </c>
      <c r="B10674" s="1">
        <v>45870</v>
      </c>
      <c r="C10674">
        <v>830230</v>
      </c>
      <c r="D10674" t="s">
        <v>176</v>
      </c>
      <c r="E10674">
        <v>115706</v>
      </c>
      <c r="F10674">
        <v>1488</v>
      </c>
      <c r="G10674">
        <v>4072</v>
      </c>
      <c r="H10674">
        <f>_xlfn.XLOOKUP(FACT_IMPORTS[[#This Row],[hts_6]],DIM_PRODUCTS[hts_6],DIM_PRODUCTS[hts_4],,,)</f>
        <v>8302</v>
      </c>
      <c r="I10674" t="str" cm="1">
        <f t="array" ref="I10674">_xlfn.XLOOKUP(FACT_IMPORTS[[#This Row],[country_name]],DIM_COUNTRY[[#All],[Column2]],DIM_COUNTRY[[#All],[Column3]],,,)</f>
        <v>USMCA</v>
      </c>
    </row>
    <row r="10675" spans="1:9" x14ac:dyDescent="0.4">
      <c r="A10675" t="s">
        <v>64</v>
      </c>
      <c r="B10675" s="1">
        <v>45870</v>
      </c>
      <c r="C10675">
        <v>840733</v>
      </c>
      <c r="D10675" t="s">
        <v>176</v>
      </c>
      <c r="E10675">
        <v>48445</v>
      </c>
      <c r="F10675">
        <v>8</v>
      </c>
      <c r="G10675">
        <v>664</v>
      </c>
      <c r="H10675">
        <f>_xlfn.XLOOKUP(FACT_IMPORTS[[#This Row],[hts_6]],DIM_PRODUCTS[hts_6],DIM_PRODUCTS[hts_4],,,)</f>
        <v>8407</v>
      </c>
      <c r="I10675" t="str" cm="1">
        <f t="array" ref="I10675">_xlfn.XLOOKUP(FACT_IMPORTS[[#This Row],[country_name]],DIM_COUNTRY[[#All],[Column2]],DIM_COUNTRY[[#All],[Column3]],,,)</f>
        <v>USMCA</v>
      </c>
    </row>
    <row r="10676" spans="1:9" x14ac:dyDescent="0.4">
      <c r="A10676" t="s">
        <v>64</v>
      </c>
      <c r="B10676" s="1">
        <v>45870</v>
      </c>
      <c r="C10676">
        <v>840734</v>
      </c>
      <c r="D10676" t="s">
        <v>176</v>
      </c>
      <c r="E10676">
        <v>376684</v>
      </c>
      <c r="F10676">
        <v>159</v>
      </c>
      <c r="G10676">
        <v>608</v>
      </c>
      <c r="H10676">
        <f>_xlfn.XLOOKUP(FACT_IMPORTS[[#This Row],[hts_6]],DIM_PRODUCTS[hts_6],DIM_PRODUCTS[hts_4],,,)</f>
        <v>8407</v>
      </c>
      <c r="I10676" t="str" cm="1">
        <f t="array" ref="I10676">_xlfn.XLOOKUP(FACT_IMPORTS[[#This Row],[country_name]],DIM_COUNTRY[[#All],[Column2]],DIM_COUNTRY[[#All],[Column3]],,,)</f>
        <v>USMCA</v>
      </c>
    </row>
    <row r="10677" spans="1:9" x14ac:dyDescent="0.4">
      <c r="A10677" t="s">
        <v>64</v>
      </c>
      <c r="B10677" s="1">
        <v>45870</v>
      </c>
      <c r="C10677">
        <v>840820</v>
      </c>
      <c r="D10677" t="s">
        <v>176</v>
      </c>
      <c r="E10677">
        <v>106822</v>
      </c>
      <c r="F10677">
        <v>17</v>
      </c>
      <c r="G10677">
        <v>291</v>
      </c>
      <c r="H10677">
        <f>_xlfn.XLOOKUP(FACT_IMPORTS[[#This Row],[hts_6]],DIM_PRODUCTS[hts_6],DIM_PRODUCTS[hts_4],,,)</f>
        <v>8408</v>
      </c>
      <c r="I10677" t="str" cm="1">
        <f t="array" ref="I10677">_xlfn.XLOOKUP(FACT_IMPORTS[[#This Row],[country_name]],DIM_COUNTRY[[#All],[Column2]],DIM_COUNTRY[[#All],[Column3]],,,)</f>
        <v>USMCA</v>
      </c>
    </row>
    <row r="10678" spans="1:9" x14ac:dyDescent="0.4">
      <c r="A10678" t="s">
        <v>64</v>
      </c>
      <c r="B10678" s="1">
        <v>45870</v>
      </c>
      <c r="C10678">
        <v>840890</v>
      </c>
      <c r="D10678" t="s">
        <v>176</v>
      </c>
      <c r="E10678">
        <v>2200</v>
      </c>
      <c r="F10678">
        <v>1</v>
      </c>
      <c r="G10678">
        <v>13</v>
      </c>
      <c r="H10678">
        <f>_xlfn.XLOOKUP(FACT_IMPORTS[[#This Row],[hts_6]],DIM_PRODUCTS[hts_6],DIM_PRODUCTS[hts_4],,,)</f>
        <v>8408</v>
      </c>
      <c r="I10678" t="str" cm="1">
        <f t="array" ref="I10678">_xlfn.XLOOKUP(FACT_IMPORTS[[#This Row],[country_name]],DIM_COUNTRY[[#All],[Column2]],DIM_COUNTRY[[#All],[Column3]],,,)</f>
        <v>USMCA</v>
      </c>
    </row>
    <row r="10679" spans="1:9" x14ac:dyDescent="0.4">
      <c r="A10679" t="s">
        <v>64</v>
      </c>
      <c r="B10679" s="1">
        <v>45870</v>
      </c>
      <c r="C10679">
        <v>840991</v>
      </c>
      <c r="D10679" t="s">
        <v>176</v>
      </c>
      <c r="E10679">
        <v>1619761</v>
      </c>
      <c r="F10679">
        <v>83497</v>
      </c>
      <c r="G10679">
        <v>11464</v>
      </c>
      <c r="H10679">
        <f>_xlfn.XLOOKUP(FACT_IMPORTS[[#This Row],[hts_6]],DIM_PRODUCTS[hts_6],DIM_PRODUCTS[hts_4],,,)</f>
        <v>8409</v>
      </c>
      <c r="I10679" t="str" cm="1">
        <f t="array" ref="I10679">_xlfn.XLOOKUP(FACT_IMPORTS[[#This Row],[country_name]],DIM_COUNTRY[[#All],[Column2]],DIM_COUNTRY[[#All],[Column3]],,,)</f>
        <v>USMCA</v>
      </c>
    </row>
    <row r="10680" spans="1:9" x14ac:dyDescent="0.4">
      <c r="A10680" t="s">
        <v>64</v>
      </c>
      <c r="B10680" s="1">
        <v>45870</v>
      </c>
      <c r="C10680">
        <v>840999</v>
      </c>
      <c r="D10680" t="s">
        <v>176</v>
      </c>
      <c r="E10680">
        <v>98343</v>
      </c>
      <c r="F10680">
        <v>3270</v>
      </c>
      <c r="G10680">
        <v>1439</v>
      </c>
      <c r="H10680">
        <f>_xlfn.XLOOKUP(FACT_IMPORTS[[#This Row],[hts_6]],DIM_PRODUCTS[hts_6],DIM_PRODUCTS[hts_4],,,)</f>
        <v>8409</v>
      </c>
      <c r="I10680" t="str" cm="1">
        <f t="array" ref="I10680">_xlfn.XLOOKUP(FACT_IMPORTS[[#This Row],[country_name]],DIM_COUNTRY[[#All],[Column2]],DIM_COUNTRY[[#All],[Column3]],,,)</f>
        <v>USMCA</v>
      </c>
    </row>
    <row r="10681" spans="1:9" x14ac:dyDescent="0.4">
      <c r="A10681" t="s">
        <v>64</v>
      </c>
      <c r="B10681" s="1">
        <v>45870</v>
      </c>
      <c r="C10681">
        <v>841330</v>
      </c>
      <c r="D10681" t="s">
        <v>176</v>
      </c>
      <c r="E10681">
        <v>22953</v>
      </c>
      <c r="F10681">
        <v>82</v>
      </c>
      <c r="G10681">
        <v>33</v>
      </c>
      <c r="H10681">
        <f>_xlfn.XLOOKUP(FACT_IMPORTS[[#This Row],[hts_6]],DIM_PRODUCTS[hts_6],DIM_PRODUCTS[hts_4],,,)</f>
        <v>8413</v>
      </c>
      <c r="I10681" t="str" cm="1">
        <f t="array" ref="I10681">_xlfn.XLOOKUP(FACT_IMPORTS[[#This Row],[country_name]],DIM_COUNTRY[[#All],[Column2]],DIM_COUNTRY[[#All],[Column3]],,,)</f>
        <v>USMCA</v>
      </c>
    </row>
    <row r="10682" spans="1:9" x14ac:dyDescent="0.4">
      <c r="A10682" t="s">
        <v>64</v>
      </c>
      <c r="B10682" s="1">
        <v>45870</v>
      </c>
      <c r="C10682">
        <v>841520</v>
      </c>
      <c r="D10682" t="s">
        <v>176</v>
      </c>
      <c r="E10682">
        <v>0</v>
      </c>
      <c r="F10682">
        <v>0</v>
      </c>
      <c r="G10682">
        <v>0</v>
      </c>
      <c r="H10682">
        <f>_xlfn.XLOOKUP(FACT_IMPORTS[[#This Row],[hts_6]],DIM_PRODUCTS[hts_6],DIM_PRODUCTS[hts_4],,,)</f>
        <v>8415</v>
      </c>
      <c r="I10682" t="str" cm="1">
        <f t="array" ref="I10682">_xlfn.XLOOKUP(FACT_IMPORTS[[#This Row],[country_name]],DIM_COUNTRY[[#All],[Column2]],DIM_COUNTRY[[#All],[Column3]],,,)</f>
        <v>USMCA</v>
      </c>
    </row>
    <row r="10683" spans="1:9" x14ac:dyDescent="0.4">
      <c r="A10683" t="s">
        <v>64</v>
      </c>
      <c r="B10683" s="1">
        <v>45870</v>
      </c>
      <c r="C10683">
        <v>842132</v>
      </c>
      <c r="D10683" t="s">
        <v>176</v>
      </c>
      <c r="E10683">
        <v>108165</v>
      </c>
      <c r="F10683">
        <v>328</v>
      </c>
      <c r="G10683">
        <v>5701</v>
      </c>
      <c r="H10683">
        <f>_xlfn.XLOOKUP(FACT_IMPORTS[[#This Row],[hts_6]],DIM_PRODUCTS[hts_6],DIM_PRODUCTS[hts_4],,,)</f>
        <v>8421</v>
      </c>
      <c r="I10683" t="str" cm="1">
        <f t="array" ref="I10683">_xlfn.XLOOKUP(FACT_IMPORTS[[#This Row],[country_name]],DIM_COUNTRY[[#All],[Column2]],DIM_COUNTRY[[#All],[Column3]],,,)</f>
        <v>USMCA</v>
      </c>
    </row>
    <row r="10684" spans="1:9" x14ac:dyDescent="0.4">
      <c r="A10684" t="s">
        <v>64</v>
      </c>
      <c r="B10684" s="1">
        <v>45870</v>
      </c>
      <c r="C10684">
        <v>848210</v>
      </c>
      <c r="D10684" t="s">
        <v>176</v>
      </c>
      <c r="E10684">
        <v>0</v>
      </c>
      <c r="F10684">
        <v>0</v>
      </c>
      <c r="G10684">
        <v>0</v>
      </c>
      <c r="H10684">
        <f>_xlfn.XLOOKUP(FACT_IMPORTS[[#This Row],[hts_6]],DIM_PRODUCTS[hts_6],DIM_PRODUCTS[hts_4],,,)</f>
        <v>8482</v>
      </c>
      <c r="I10684" t="str" cm="1">
        <f t="array" ref="I10684">_xlfn.XLOOKUP(FACT_IMPORTS[[#This Row],[country_name]],DIM_COUNTRY[[#All],[Column2]],DIM_COUNTRY[[#All],[Column3]],,,)</f>
        <v>USMCA</v>
      </c>
    </row>
    <row r="10685" spans="1:9" x14ac:dyDescent="0.4">
      <c r="A10685" t="s">
        <v>64</v>
      </c>
      <c r="B10685" s="1">
        <v>45870</v>
      </c>
      <c r="C10685">
        <v>848220</v>
      </c>
      <c r="D10685" t="s">
        <v>176</v>
      </c>
      <c r="E10685">
        <v>3691</v>
      </c>
      <c r="F10685">
        <v>60</v>
      </c>
      <c r="G10685">
        <v>150</v>
      </c>
      <c r="H10685">
        <f>_xlfn.XLOOKUP(FACT_IMPORTS[[#This Row],[hts_6]],DIM_PRODUCTS[hts_6],DIM_PRODUCTS[hts_4],,,)</f>
        <v>8482</v>
      </c>
      <c r="I10685" t="str" cm="1">
        <f t="array" ref="I10685">_xlfn.XLOOKUP(FACT_IMPORTS[[#This Row],[country_name]],DIM_COUNTRY[[#All],[Column2]],DIM_COUNTRY[[#All],[Column3]],,,)</f>
        <v>USMCA</v>
      </c>
    </row>
    <row r="10686" spans="1:9" x14ac:dyDescent="0.4">
      <c r="A10686" t="s">
        <v>64</v>
      </c>
      <c r="B10686" s="1">
        <v>45870</v>
      </c>
      <c r="C10686">
        <v>848310</v>
      </c>
      <c r="D10686" t="s">
        <v>176</v>
      </c>
      <c r="E10686">
        <v>7236</v>
      </c>
      <c r="F10686">
        <v>1110</v>
      </c>
      <c r="G10686">
        <v>43</v>
      </c>
      <c r="H10686">
        <f>_xlfn.XLOOKUP(FACT_IMPORTS[[#This Row],[hts_6]],DIM_PRODUCTS[hts_6],DIM_PRODUCTS[hts_4],,,)</f>
        <v>8483</v>
      </c>
      <c r="I10686" t="str" cm="1">
        <f t="array" ref="I10686">_xlfn.XLOOKUP(FACT_IMPORTS[[#This Row],[country_name]],DIM_COUNTRY[[#All],[Column2]],DIM_COUNTRY[[#All],[Column3]],,,)</f>
        <v>USMCA</v>
      </c>
    </row>
    <row r="10687" spans="1:9" x14ac:dyDescent="0.4">
      <c r="A10687" t="s">
        <v>64</v>
      </c>
      <c r="B10687" s="1">
        <v>45870</v>
      </c>
      <c r="C10687">
        <v>850131</v>
      </c>
      <c r="D10687" t="s">
        <v>176</v>
      </c>
      <c r="E10687">
        <v>29653</v>
      </c>
      <c r="F10687">
        <v>429</v>
      </c>
      <c r="G10687">
        <v>1810</v>
      </c>
      <c r="H10687">
        <f>_xlfn.XLOOKUP(FACT_IMPORTS[[#This Row],[hts_6]],DIM_PRODUCTS[hts_6],DIM_PRODUCTS[hts_4],,,)</f>
        <v>8501</v>
      </c>
      <c r="I10687" t="str" cm="1">
        <f t="array" ref="I10687">_xlfn.XLOOKUP(FACT_IMPORTS[[#This Row],[country_name]],DIM_COUNTRY[[#All],[Column2]],DIM_COUNTRY[[#All],[Column3]],,,)</f>
        <v>USMCA</v>
      </c>
    </row>
    <row r="10688" spans="1:9" x14ac:dyDescent="0.4">
      <c r="A10688" t="s">
        <v>64</v>
      </c>
      <c r="B10688" s="1">
        <v>45870</v>
      </c>
      <c r="C10688">
        <v>850132</v>
      </c>
      <c r="D10688" t="s">
        <v>176</v>
      </c>
      <c r="E10688">
        <v>0</v>
      </c>
      <c r="F10688">
        <v>0</v>
      </c>
      <c r="G10688">
        <v>0</v>
      </c>
      <c r="H10688">
        <f>_xlfn.XLOOKUP(FACT_IMPORTS[[#This Row],[hts_6]],DIM_PRODUCTS[hts_6],DIM_PRODUCTS[hts_4],,,)</f>
        <v>8501</v>
      </c>
      <c r="I10688" t="str" cm="1">
        <f t="array" ref="I10688">_xlfn.XLOOKUP(FACT_IMPORTS[[#This Row],[country_name]],DIM_COUNTRY[[#All],[Column2]],DIM_COUNTRY[[#All],[Column3]],,,)</f>
        <v>USMCA</v>
      </c>
    </row>
    <row r="10689" spans="1:9" x14ac:dyDescent="0.4">
      <c r="A10689" t="s">
        <v>64</v>
      </c>
      <c r="B10689" s="1">
        <v>45870</v>
      </c>
      <c r="C10689">
        <v>850134</v>
      </c>
      <c r="D10689" t="s">
        <v>176</v>
      </c>
      <c r="E10689">
        <v>0</v>
      </c>
      <c r="F10689">
        <v>0</v>
      </c>
      <c r="G10689">
        <v>0</v>
      </c>
      <c r="H10689">
        <f>_xlfn.XLOOKUP(FACT_IMPORTS[[#This Row],[hts_6]],DIM_PRODUCTS[hts_6],DIM_PRODUCTS[hts_4],,,)</f>
        <v>8501</v>
      </c>
      <c r="I10689" t="str" cm="1">
        <f t="array" ref="I10689">_xlfn.XLOOKUP(FACT_IMPORTS[[#This Row],[country_name]],DIM_COUNTRY[[#All],[Column2]],DIM_COUNTRY[[#All],[Column3]],,,)</f>
        <v>USMCA</v>
      </c>
    </row>
    <row r="10690" spans="1:9" x14ac:dyDescent="0.4">
      <c r="A10690" t="s">
        <v>64</v>
      </c>
      <c r="B10690" s="1">
        <v>45870</v>
      </c>
      <c r="C10690">
        <v>850152</v>
      </c>
      <c r="D10690" t="s">
        <v>176</v>
      </c>
      <c r="E10690">
        <v>92812</v>
      </c>
      <c r="F10690">
        <v>115</v>
      </c>
      <c r="G10690">
        <v>3855</v>
      </c>
      <c r="H10690">
        <f>_xlfn.XLOOKUP(FACT_IMPORTS[[#This Row],[hts_6]],DIM_PRODUCTS[hts_6],DIM_PRODUCTS[hts_4],,,)</f>
        <v>8501</v>
      </c>
      <c r="I10690" t="str" cm="1">
        <f t="array" ref="I10690">_xlfn.XLOOKUP(FACT_IMPORTS[[#This Row],[country_name]],DIM_COUNTRY[[#All],[Column2]],DIM_COUNTRY[[#All],[Column3]],,,)</f>
        <v>USMCA</v>
      </c>
    </row>
    <row r="10691" spans="1:9" x14ac:dyDescent="0.4">
      <c r="A10691" t="s">
        <v>64</v>
      </c>
      <c r="B10691" s="1">
        <v>45870</v>
      </c>
      <c r="C10691">
        <v>850153</v>
      </c>
      <c r="D10691" t="s">
        <v>176</v>
      </c>
      <c r="E10691">
        <v>59074</v>
      </c>
      <c r="F10691">
        <v>9</v>
      </c>
      <c r="G10691">
        <v>117</v>
      </c>
      <c r="H10691">
        <f>_xlfn.XLOOKUP(FACT_IMPORTS[[#This Row],[hts_6]],DIM_PRODUCTS[hts_6],DIM_PRODUCTS[hts_4],,,)</f>
        <v>8501</v>
      </c>
      <c r="I10691" t="str" cm="1">
        <f t="array" ref="I10691">_xlfn.XLOOKUP(FACT_IMPORTS[[#This Row],[country_name]],DIM_COUNTRY[[#All],[Column2]],DIM_COUNTRY[[#All],[Column3]],,,)</f>
        <v>USMCA</v>
      </c>
    </row>
    <row r="10692" spans="1:9" x14ac:dyDescent="0.4">
      <c r="A10692" t="s">
        <v>64</v>
      </c>
      <c r="B10692" s="1">
        <v>45870</v>
      </c>
      <c r="C10692">
        <v>850440</v>
      </c>
      <c r="D10692" t="s">
        <v>176</v>
      </c>
      <c r="E10692">
        <v>62076</v>
      </c>
      <c r="F10692">
        <v>79</v>
      </c>
      <c r="G10692">
        <v>807</v>
      </c>
      <c r="H10692">
        <f>_xlfn.XLOOKUP(FACT_IMPORTS[[#This Row],[hts_6]],DIM_PRODUCTS[hts_6],DIM_PRODUCTS[hts_4],,,)</f>
        <v>8504</v>
      </c>
      <c r="I10692" t="str" cm="1">
        <f t="array" ref="I10692">_xlfn.XLOOKUP(FACT_IMPORTS[[#This Row],[country_name]],DIM_COUNTRY[[#All],[Column2]],DIM_COUNTRY[[#All],[Column3]],,,)</f>
        <v>USMCA</v>
      </c>
    </row>
    <row r="10693" spans="1:9" x14ac:dyDescent="0.4">
      <c r="A10693" t="s">
        <v>64</v>
      </c>
      <c r="B10693" s="1">
        <v>45870</v>
      </c>
      <c r="C10693">
        <v>850710</v>
      </c>
      <c r="D10693" t="s">
        <v>176</v>
      </c>
      <c r="E10693">
        <v>0</v>
      </c>
      <c r="F10693">
        <v>0</v>
      </c>
      <c r="G10693">
        <v>0</v>
      </c>
      <c r="H10693">
        <f>_xlfn.XLOOKUP(FACT_IMPORTS[[#This Row],[hts_6]],DIM_PRODUCTS[hts_6],DIM_PRODUCTS[hts_4],,,)</f>
        <v>8507</v>
      </c>
      <c r="I10693" t="str" cm="1">
        <f t="array" ref="I10693">_xlfn.XLOOKUP(FACT_IMPORTS[[#This Row],[country_name]],DIM_COUNTRY[[#All],[Column2]],DIM_COUNTRY[[#All],[Column3]],,,)</f>
        <v>USMCA</v>
      </c>
    </row>
    <row r="10694" spans="1:9" x14ac:dyDescent="0.4">
      <c r="A10694" t="s">
        <v>64</v>
      </c>
      <c r="B10694" s="1">
        <v>45870</v>
      </c>
      <c r="C10694">
        <v>850760</v>
      </c>
      <c r="D10694" t="s">
        <v>176</v>
      </c>
      <c r="E10694">
        <v>493776</v>
      </c>
      <c r="F10694">
        <v>16</v>
      </c>
      <c r="G10694">
        <v>11107</v>
      </c>
      <c r="H10694">
        <f>_xlfn.XLOOKUP(FACT_IMPORTS[[#This Row],[hts_6]],DIM_PRODUCTS[hts_6],DIM_PRODUCTS[hts_4],,,)</f>
        <v>8507</v>
      </c>
      <c r="I10694" t="str" cm="1">
        <f t="array" ref="I10694">_xlfn.XLOOKUP(FACT_IMPORTS[[#This Row],[country_name]],DIM_COUNTRY[[#All],[Column2]],DIM_COUNTRY[[#All],[Column3]],,,)</f>
        <v>USMCA</v>
      </c>
    </row>
    <row r="10695" spans="1:9" x14ac:dyDescent="0.4">
      <c r="A10695" t="s">
        <v>64</v>
      </c>
      <c r="B10695" s="1">
        <v>45870</v>
      </c>
      <c r="C10695">
        <v>851110</v>
      </c>
      <c r="D10695" t="s">
        <v>176</v>
      </c>
      <c r="E10695">
        <v>0</v>
      </c>
      <c r="F10695">
        <v>0</v>
      </c>
      <c r="G10695">
        <v>0</v>
      </c>
      <c r="H10695">
        <f>_xlfn.XLOOKUP(FACT_IMPORTS[[#This Row],[hts_6]],DIM_PRODUCTS[hts_6],DIM_PRODUCTS[hts_4],,,)</f>
        <v>8511</v>
      </c>
      <c r="I10695" t="str" cm="1">
        <f t="array" ref="I10695">_xlfn.XLOOKUP(FACT_IMPORTS[[#This Row],[country_name]],DIM_COUNTRY[[#All],[Column2]],DIM_COUNTRY[[#All],[Column3]],,,)</f>
        <v>USMCA</v>
      </c>
    </row>
    <row r="10696" spans="1:9" x14ac:dyDescent="0.4">
      <c r="A10696" t="s">
        <v>64</v>
      </c>
      <c r="B10696" s="1">
        <v>45870</v>
      </c>
      <c r="C10696">
        <v>851120</v>
      </c>
      <c r="D10696" t="s">
        <v>176</v>
      </c>
      <c r="E10696">
        <v>0</v>
      </c>
      <c r="F10696">
        <v>0</v>
      </c>
      <c r="G10696">
        <v>0</v>
      </c>
      <c r="H10696">
        <f>_xlfn.XLOOKUP(FACT_IMPORTS[[#This Row],[hts_6]],DIM_PRODUCTS[hts_6],DIM_PRODUCTS[hts_4],,,)</f>
        <v>8511</v>
      </c>
      <c r="I10696" t="str" cm="1">
        <f t="array" ref="I10696">_xlfn.XLOOKUP(FACT_IMPORTS[[#This Row],[country_name]],DIM_COUNTRY[[#All],[Column2]],DIM_COUNTRY[[#All],[Column3]],,,)</f>
        <v>USMCA</v>
      </c>
    </row>
    <row r="10697" spans="1:9" x14ac:dyDescent="0.4">
      <c r="A10697" t="s">
        <v>64</v>
      </c>
      <c r="B10697" s="1">
        <v>45870</v>
      </c>
      <c r="C10697">
        <v>851130</v>
      </c>
      <c r="D10697" t="s">
        <v>176</v>
      </c>
      <c r="E10697">
        <v>0</v>
      </c>
      <c r="F10697">
        <v>0</v>
      </c>
      <c r="G10697">
        <v>0</v>
      </c>
      <c r="H10697">
        <f>_xlfn.XLOOKUP(FACT_IMPORTS[[#This Row],[hts_6]],DIM_PRODUCTS[hts_6],DIM_PRODUCTS[hts_4],,,)</f>
        <v>8511</v>
      </c>
      <c r="I10697" t="str" cm="1">
        <f t="array" ref="I10697">_xlfn.XLOOKUP(FACT_IMPORTS[[#This Row],[country_name]],DIM_COUNTRY[[#All],[Column2]],DIM_COUNTRY[[#All],[Column3]],,,)</f>
        <v>USMCA</v>
      </c>
    </row>
    <row r="10698" spans="1:9" x14ac:dyDescent="0.4">
      <c r="A10698" t="s">
        <v>64</v>
      </c>
      <c r="B10698" s="1">
        <v>45870</v>
      </c>
      <c r="C10698">
        <v>851140</v>
      </c>
      <c r="D10698" t="s">
        <v>176</v>
      </c>
      <c r="E10698">
        <v>2684</v>
      </c>
      <c r="F10698">
        <v>10</v>
      </c>
      <c r="G10698">
        <v>78</v>
      </c>
      <c r="H10698">
        <f>_xlfn.XLOOKUP(FACT_IMPORTS[[#This Row],[hts_6]],DIM_PRODUCTS[hts_6],DIM_PRODUCTS[hts_4],,,)</f>
        <v>8511</v>
      </c>
      <c r="I10698" t="str" cm="1">
        <f t="array" ref="I10698">_xlfn.XLOOKUP(FACT_IMPORTS[[#This Row],[country_name]],DIM_COUNTRY[[#All],[Column2]],DIM_COUNTRY[[#All],[Column3]],,,)</f>
        <v>USMCA</v>
      </c>
    </row>
    <row r="10699" spans="1:9" x14ac:dyDescent="0.4">
      <c r="A10699" t="s">
        <v>64</v>
      </c>
      <c r="B10699" s="1">
        <v>45870</v>
      </c>
      <c r="C10699">
        <v>851150</v>
      </c>
      <c r="D10699" t="s">
        <v>176</v>
      </c>
      <c r="E10699">
        <v>10745</v>
      </c>
      <c r="F10699">
        <v>23</v>
      </c>
      <c r="G10699">
        <v>260</v>
      </c>
      <c r="H10699">
        <f>_xlfn.XLOOKUP(FACT_IMPORTS[[#This Row],[hts_6]],DIM_PRODUCTS[hts_6],DIM_PRODUCTS[hts_4],,,)</f>
        <v>8511</v>
      </c>
      <c r="I10699" t="str" cm="1">
        <f t="array" ref="I10699">_xlfn.XLOOKUP(FACT_IMPORTS[[#This Row],[country_name]],DIM_COUNTRY[[#All],[Column2]],DIM_COUNTRY[[#All],[Column3]],,,)</f>
        <v>USMCA</v>
      </c>
    </row>
    <row r="10700" spans="1:9" x14ac:dyDescent="0.4">
      <c r="A10700" t="s">
        <v>64</v>
      </c>
      <c r="B10700" s="1">
        <v>45870</v>
      </c>
      <c r="C10700">
        <v>851180</v>
      </c>
      <c r="D10700" t="s">
        <v>176</v>
      </c>
      <c r="E10700">
        <v>0</v>
      </c>
      <c r="F10700">
        <v>0</v>
      </c>
      <c r="G10700">
        <v>0</v>
      </c>
      <c r="H10700">
        <f>_xlfn.XLOOKUP(FACT_IMPORTS[[#This Row],[hts_6]],DIM_PRODUCTS[hts_6],DIM_PRODUCTS[hts_4],,,)</f>
        <v>8511</v>
      </c>
      <c r="I10700" t="str" cm="1">
        <f t="array" ref="I10700">_xlfn.XLOOKUP(FACT_IMPORTS[[#This Row],[country_name]],DIM_COUNTRY[[#All],[Column2]],DIM_COUNTRY[[#All],[Column3]],,,)</f>
        <v>USMCA</v>
      </c>
    </row>
    <row r="10701" spans="1:9" x14ac:dyDescent="0.4">
      <c r="A10701" t="s">
        <v>64</v>
      </c>
      <c r="B10701" s="1">
        <v>45870</v>
      </c>
      <c r="C10701">
        <v>851190</v>
      </c>
      <c r="D10701" t="s">
        <v>176</v>
      </c>
      <c r="E10701">
        <v>0</v>
      </c>
      <c r="F10701">
        <v>0</v>
      </c>
      <c r="G10701">
        <v>0</v>
      </c>
      <c r="H10701">
        <f>_xlfn.XLOOKUP(FACT_IMPORTS[[#This Row],[hts_6]],DIM_PRODUCTS[hts_6],DIM_PRODUCTS[hts_4],,,)</f>
        <v>8511</v>
      </c>
      <c r="I10701" t="str" cm="1">
        <f t="array" ref="I10701">_xlfn.XLOOKUP(FACT_IMPORTS[[#This Row],[country_name]],DIM_COUNTRY[[#All],[Column2]],DIM_COUNTRY[[#All],[Column3]],,,)</f>
        <v>USMCA</v>
      </c>
    </row>
    <row r="10702" spans="1:9" x14ac:dyDescent="0.4">
      <c r="A10702" t="s">
        <v>64</v>
      </c>
      <c r="B10702" s="1">
        <v>45870</v>
      </c>
      <c r="C10702">
        <v>851220</v>
      </c>
      <c r="D10702" t="s">
        <v>176</v>
      </c>
      <c r="E10702">
        <v>695684</v>
      </c>
      <c r="F10702">
        <v>142</v>
      </c>
      <c r="G10702">
        <v>248</v>
      </c>
      <c r="H10702">
        <f>_xlfn.XLOOKUP(FACT_IMPORTS[[#This Row],[hts_6]],DIM_PRODUCTS[hts_6],DIM_PRODUCTS[hts_4],,,)</f>
        <v>8512</v>
      </c>
      <c r="I10702" t="str" cm="1">
        <f t="array" ref="I10702">_xlfn.XLOOKUP(FACT_IMPORTS[[#This Row],[country_name]],DIM_COUNTRY[[#All],[Column2]],DIM_COUNTRY[[#All],[Column3]],,,)</f>
        <v>USMCA</v>
      </c>
    </row>
    <row r="10703" spans="1:9" x14ac:dyDescent="0.4">
      <c r="A10703" t="s">
        <v>64</v>
      </c>
      <c r="B10703" s="1">
        <v>45870</v>
      </c>
      <c r="C10703">
        <v>851230</v>
      </c>
      <c r="D10703" t="s">
        <v>176</v>
      </c>
      <c r="E10703">
        <v>2476</v>
      </c>
      <c r="F10703">
        <v>45</v>
      </c>
      <c r="G10703">
        <v>247</v>
      </c>
      <c r="H10703">
        <f>_xlfn.XLOOKUP(FACT_IMPORTS[[#This Row],[hts_6]],DIM_PRODUCTS[hts_6],DIM_PRODUCTS[hts_4],,,)</f>
        <v>8512</v>
      </c>
      <c r="I10703" t="str" cm="1">
        <f t="array" ref="I10703">_xlfn.XLOOKUP(FACT_IMPORTS[[#This Row],[country_name]],DIM_COUNTRY[[#All],[Column2]],DIM_COUNTRY[[#All],[Column3]],,,)</f>
        <v>USMCA</v>
      </c>
    </row>
    <row r="10704" spans="1:9" x14ac:dyDescent="0.4">
      <c r="A10704" t="s">
        <v>64</v>
      </c>
      <c r="B10704" s="1">
        <v>45870</v>
      </c>
      <c r="C10704">
        <v>851290</v>
      </c>
      <c r="D10704" t="s">
        <v>176</v>
      </c>
      <c r="E10704">
        <v>0</v>
      </c>
      <c r="F10704">
        <v>0</v>
      </c>
      <c r="G10704">
        <v>0</v>
      </c>
      <c r="H10704">
        <f>_xlfn.XLOOKUP(FACT_IMPORTS[[#This Row],[hts_6]],DIM_PRODUCTS[hts_6],DIM_PRODUCTS[hts_4],,,)</f>
        <v>8512</v>
      </c>
      <c r="I10704" t="str" cm="1">
        <f t="array" ref="I10704">_xlfn.XLOOKUP(FACT_IMPORTS[[#This Row],[country_name]],DIM_COUNTRY[[#All],[Column2]],DIM_COUNTRY[[#All],[Column3]],,,)</f>
        <v>USMCA</v>
      </c>
    </row>
    <row r="10705" spans="1:9" x14ac:dyDescent="0.4">
      <c r="A10705" t="s">
        <v>64</v>
      </c>
      <c r="B10705" s="1">
        <v>45870</v>
      </c>
      <c r="C10705">
        <v>854231</v>
      </c>
      <c r="D10705" t="s">
        <v>176</v>
      </c>
      <c r="E10705">
        <v>0</v>
      </c>
      <c r="F10705">
        <v>0</v>
      </c>
      <c r="G10705">
        <v>0</v>
      </c>
      <c r="H10705">
        <f>_xlfn.XLOOKUP(FACT_IMPORTS[[#This Row],[hts_6]],DIM_PRODUCTS[hts_6],DIM_PRODUCTS[hts_4],,,)</f>
        <v>8542</v>
      </c>
      <c r="I10705" t="str" cm="1">
        <f t="array" ref="I10705">_xlfn.XLOOKUP(FACT_IMPORTS[[#This Row],[country_name]],DIM_COUNTRY[[#All],[Column2]],DIM_COUNTRY[[#All],[Column3]],,,)</f>
        <v>USMCA</v>
      </c>
    </row>
    <row r="10706" spans="1:9" x14ac:dyDescent="0.4">
      <c r="A10706" t="s">
        <v>64</v>
      </c>
      <c r="B10706" s="1">
        <v>45870</v>
      </c>
      <c r="C10706">
        <v>854232</v>
      </c>
      <c r="D10706" t="s">
        <v>176</v>
      </c>
      <c r="E10706">
        <v>0</v>
      </c>
      <c r="F10706">
        <v>0</v>
      </c>
      <c r="G10706">
        <v>0</v>
      </c>
      <c r="H10706">
        <f>_xlfn.XLOOKUP(FACT_IMPORTS[[#This Row],[hts_6]],DIM_PRODUCTS[hts_6],DIM_PRODUCTS[hts_4],,,)</f>
        <v>8542</v>
      </c>
      <c r="I10706" t="str" cm="1">
        <f t="array" ref="I10706">_xlfn.XLOOKUP(FACT_IMPORTS[[#This Row],[country_name]],DIM_COUNTRY[[#All],[Column2]],DIM_COUNTRY[[#All],[Column3]],,,)</f>
        <v>USMCA</v>
      </c>
    </row>
    <row r="10707" spans="1:9" x14ac:dyDescent="0.4">
      <c r="A10707" t="s">
        <v>64</v>
      </c>
      <c r="B10707" s="1">
        <v>45870</v>
      </c>
      <c r="C10707">
        <v>854290</v>
      </c>
      <c r="D10707" t="s">
        <v>176</v>
      </c>
      <c r="E10707">
        <v>0</v>
      </c>
      <c r="F10707">
        <v>0</v>
      </c>
      <c r="G10707">
        <v>0</v>
      </c>
      <c r="H10707">
        <f>_xlfn.XLOOKUP(FACT_IMPORTS[[#This Row],[hts_6]],DIM_PRODUCTS[hts_6],DIM_PRODUCTS[hts_4],,,)</f>
        <v>8542</v>
      </c>
      <c r="I10707" t="str" cm="1">
        <f t="array" ref="I10707">_xlfn.XLOOKUP(FACT_IMPORTS[[#This Row],[country_name]],DIM_COUNTRY[[#All],[Column2]],DIM_COUNTRY[[#All],[Column3]],,,)</f>
        <v>USMCA</v>
      </c>
    </row>
    <row r="10708" spans="1:9" x14ac:dyDescent="0.4">
      <c r="A10708" t="s">
        <v>64</v>
      </c>
      <c r="B10708" s="1">
        <v>45870</v>
      </c>
      <c r="C10708">
        <v>854430</v>
      </c>
      <c r="D10708" t="s">
        <v>176</v>
      </c>
      <c r="E10708">
        <v>535848</v>
      </c>
      <c r="F10708">
        <v>65342</v>
      </c>
      <c r="G10708">
        <v>10014</v>
      </c>
      <c r="H10708">
        <f>_xlfn.XLOOKUP(FACT_IMPORTS[[#This Row],[hts_6]],DIM_PRODUCTS[hts_6],DIM_PRODUCTS[hts_4],,,)</f>
        <v>8544</v>
      </c>
      <c r="I10708" t="str" cm="1">
        <f t="array" ref="I10708">_xlfn.XLOOKUP(FACT_IMPORTS[[#This Row],[country_name]],DIM_COUNTRY[[#All],[Column2]],DIM_COUNTRY[[#All],[Column3]],,,)</f>
        <v>USMCA</v>
      </c>
    </row>
    <row r="10709" spans="1:9" x14ac:dyDescent="0.4">
      <c r="A10709" t="s">
        <v>64</v>
      </c>
      <c r="B10709" s="1">
        <v>45870</v>
      </c>
      <c r="C10709">
        <v>870790</v>
      </c>
      <c r="D10709" t="s">
        <v>176</v>
      </c>
      <c r="E10709">
        <v>0</v>
      </c>
      <c r="F10709">
        <v>0</v>
      </c>
      <c r="G10709">
        <v>0</v>
      </c>
      <c r="H10709">
        <f>_xlfn.XLOOKUP(FACT_IMPORTS[[#This Row],[hts_6]],DIM_PRODUCTS[hts_6],DIM_PRODUCTS[hts_4],,,)</f>
        <v>8707</v>
      </c>
      <c r="I10709" t="str" cm="1">
        <f t="array" ref="I10709">_xlfn.XLOOKUP(FACT_IMPORTS[[#This Row],[country_name]],DIM_COUNTRY[[#All],[Column2]],DIM_COUNTRY[[#All],[Column3]],,,)</f>
        <v>USMCA</v>
      </c>
    </row>
    <row r="10710" spans="1:9" x14ac:dyDescent="0.4">
      <c r="A10710" t="s">
        <v>64</v>
      </c>
      <c r="B10710" s="1">
        <v>45870</v>
      </c>
      <c r="C10710">
        <v>870810</v>
      </c>
      <c r="D10710" t="s">
        <v>176</v>
      </c>
      <c r="E10710">
        <v>5750</v>
      </c>
      <c r="F10710">
        <v>43</v>
      </c>
      <c r="G10710">
        <v>42</v>
      </c>
      <c r="H10710">
        <f>_xlfn.XLOOKUP(FACT_IMPORTS[[#This Row],[hts_6]],DIM_PRODUCTS[hts_6],DIM_PRODUCTS[hts_4],,,)</f>
        <v>8708</v>
      </c>
      <c r="I10710" t="str" cm="1">
        <f t="array" ref="I10710">_xlfn.XLOOKUP(FACT_IMPORTS[[#This Row],[country_name]],DIM_COUNTRY[[#All],[Column2]],DIM_COUNTRY[[#All],[Column3]],,,)</f>
        <v>USMCA</v>
      </c>
    </row>
    <row r="10711" spans="1:9" x14ac:dyDescent="0.4">
      <c r="A10711" t="s">
        <v>64</v>
      </c>
      <c r="B10711" s="1">
        <v>45870</v>
      </c>
      <c r="C10711">
        <v>870821</v>
      </c>
      <c r="D10711" t="s">
        <v>176</v>
      </c>
      <c r="E10711">
        <v>0</v>
      </c>
      <c r="F10711">
        <v>0</v>
      </c>
      <c r="G10711">
        <v>0</v>
      </c>
      <c r="H10711">
        <f>_xlfn.XLOOKUP(FACT_IMPORTS[[#This Row],[hts_6]],DIM_PRODUCTS[hts_6],DIM_PRODUCTS[hts_4],,,)</f>
        <v>8708</v>
      </c>
      <c r="I10711" t="str" cm="1">
        <f t="array" ref="I10711">_xlfn.XLOOKUP(FACT_IMPORTS[[#This Row],[country_name]],DIM_COUNTRY[[#All],[Column2]],DIM_COUNTRY[[#All],[Column3]],,,)</f>
        <v>USMCA</v>
      </c>
    </row>
    <row r="10712" spans="1:9" x14ac:dyDescent="0.4">
      <c r="A10712" t="s">
        <v>64</v>
      </c>
      <c r="B10712" s="1">
        <v>45870</v>
      </c>
      <c r="C10712">
        <v>870822</v>
      </c>
      <c r="D10712" t="s">
        <v>176</v>
      </c>
      <c r="E10712">
        <v>31642</v>
      </c>
      <c r="F10712">
        <v>188</v>
      </c>
      <c r="G10712">
        <v>544</v>
      </c>
      <c r="H10712">
        <f>_xlfn.XLOOKUP(FACT_IMPORTS[[#This Row],[hts_6]],DIM_PRODUCTS[hts_6],DIM_PRODUCTS[hts_4],,,)</f>
        <v>8708</v>
      </c>
      <c r="I10712" t="str" cm="1">
        <f t="array" ref="I10712">_xlfn.XLOOKUP(FACT_IMPORTS[[#This Row],[country_name]],DIM_COUNTRY[[#All],[Column2]],DIM_COUNTRY[[#All],[Column3]],,,)</f>
        <v>USMCA</v>
      </c>
    </row>
    <row r="10713" spans="1:9" x14ac:dyDescent="0.4">
      <c r="A10713" t="s">
        <v>64</v>
      </c>
      <c r="B10713" s="1">
        <v>45870</v>
      </c>
      <c r="C10713">
        <v>870829</v>
      </c>
      <c r="D10713" t="s">
        <v>176</v>
      </c>
      <c r="E10713">
        <v>739553</v>
      </c>
      <c r="F10713">
        <v>7741</v>
      </c>
      <c r="G10713">
        <v>14727</v>
      </c>
      <c r="H10713">
        <f>_xlfn.XLOOKUP(FACT_IMPORTS[[#This Row],[hts_6]],DIM_PRODUCTS[hts_6],DIM_PRODUCTS[hts_4],,,)</f>
        <v>8708</v>
      </c>
      <c r="I10713" t="str" cm="1">
        <f t="array" ref="I10713">_xlfn.XLOOKUP(FACT_IMPORTS[[#This Row],[country_name]],DIM_COUNTRY[[#All],[Column2]],DIM_COUNTRY[[#All],[Column3]],,,)</f>
        <v>USMCA</v>
      </c>
    </row>
    <row r="10714" spans="1:9" x14ac:dyDescent="0.4">
      <c r="A10714" t="s">
        <v>64</v>
      </c>
      <c r="B10714" s="1">
        <v>45870</v>
      </c>
      <c r="C10714">
        <v>870830</v>
      </c>
      <c r="D10714" t="s">
        <v>176</v>
      </c>
      <c r="E10714">
        <v>689764</v>
      </c>
      <c r="F10714">
        <v>10527</v>
      </c>
      <c r="G10714">
        <v>9701</v>
      </c>
      <c r="H10714">
        <f>_xlfn.XLOOKUP(FACT_IMPORTS[[#This Row],[hts_6]],DIM_PRODUCTS[hts_6],DIM_PRODUCTS[hts_4],,,)</f>
        <v>8708</v>
      </c>
      <c r="I10714" t="str" cm="1">
        <f t="array" ref="I10714">_xlfn.XLOOKUP(FACT_IMPORTS[[#This Row],[country_name]],DIM_COUNTRY[[#All],[Column2]],DIM_COUNTRY[[#All],[Column3]],,,)</f>
        <v>USMCA</v>
      </c>
    </row>
    <row r="10715" spans="1:9" x14ac:dyDescent="0.4">
      <c r="A10715" t="s">
        <v>64</v>
      </c>
      <c r="B10715" s="1">
        <v>45870</v>
      </c>
      <c r="C10715">
        <v>870840</v>
      </c>
      <c r="D10715" t="s">
        <v>176</v>
      </c>
      <c r="E10715">
        <v>227108</v>
      </c>
      <c r="F10715">
        <v>179</v>
      </c>
      <c r="G10715">
        <v>1759</v>
      </c>
      <c r="H10715">
        <f>_xlfn.XLOOKUP(FACT_IMPORTS[[#This Row],[hts_6]],DIM_PRODUCTS[hts_6],DIM_PRODUCTS[hts_4],,,)</f>
        <v>8708</v>
      </c>
      <c r="I10715" t="str" cm="1">
        <f t="array" ref="I10715">_xlfn.XLOOKUP(FACT_IMPORTS[[#This Row],[country_name]],DIM_COUNTRY[[#All],[Column2]],DIM_COUNTRY[[#All],[Column3]],,,)</f>
        <v>USMCA</v>
      </c>
    </row>
    <row r="10716" spans="1:9" x14ac:dyDescent="0.4">
      <c r="A10716" t="s">
        <v>64</v>
      </c>
      <c r="B10716" s="1">
        <v>45870</v>
      </c>
      <c r="C10716">
        <v>870850</v>
      </c>
      <c r="D10716" t="s">
        <v>176</v>
      </c>
      <c r="E10716">
        <v>168011</v>
      </c>
      <c r="F10716">
        <v>6787</v>
      </c>
      <c r="G10716">
        <v>2586</v>
      </c>
      <c r="H10716">
        <f>_xlfn.XLOOKUP(FACT_IMPORTS[[#This Row],[hts_6]],DIM_PRODUCTS[hts_6],DIM_PRODUCTS[hts_4],,,)</f>
        <v>8708</v>
      </c>
      <c r="I10716" t="str" cm="1">
        <f t="array" ref="I10716">_xlfn.XLOOKUP(FACT_IMPORTS[[#This Row],[country_name]],DIM_COUNTRY[[#All],[Column2]],DIM_COUNTRY[[#All],[Column3]],,,)</f>
        <v>USMCA</v>
      </c>
    </row>
    <row r="10717" spans="1:9" x14ac:dyDescent="0.4">
      <c r="A10717" t="s">
        <v>64</v>
      </c>
      <c r="B10717" s="1">
        <v>45870</v>
      </c>
      <c r="C10717">
        <v>870870</v>
      </c>
      <c r="D10717" t="s">
        <v>176</v>
      </c>
      <c r="E10717">
        <v>52845</v>
      </c>
      <c r="F10717">
        <v>1298</v>
      </c>
      <c r="G10717">
        <v>4160</v>
      </c>
      <c r="H10717">
        <f>_xlfn.XLOOKUP(FACT_IMPORTS[[#This Row],[hts_6]],DIM_PRODUCTS[hts_6],DIM_PRODUCTS[hts_4],,,)</f>
        <v>8708</v>
      </c>
      <c r="I10717" t="str" cm="1">
        <f t="array" ref="I10717">_xlfn.XLOOKUP(FACT_IMPORTS[[#This Row],[country_name]],DIM_COUNTRY[[#All],[Column2]],DIM_COUNTRY[[#All],[Column3]],,,)</f>
        <v>USMCA</v>
      </c>
    </row>
    <row r="10718" spans="1:9" x14ac:dyDescent="0.4">
      <c r="A10718" t="s">
        <v>64</v>
      </c>
      <c r="B10718" s="1">
        <v>45870</v>
      </c>
      <c r="C10718">
        <v>870880</v>
      </c>
      <c r="D10718" t="s">
        <v>176</v>
      </c>
      <c r="E10718">
        <v>155492</v>
      </c>
      <c r="F10718">
        <v>3303</v>
      </c>
      <c r="G10718">
        <v>805</v>
      </c>
      <c r="H10718">
        <f>_xlfn.XLOOKUP(FACT_IMPORTS[[#This Row],[hts_6]],DIM_PRODUCTS[hts_6],DIM_PRODUCTS[hts_4],,,)</f>
        <v>8708</v>
      </c>
      <c r="I10718" t="str" cm="1">
        <f t="array" ref="I10718">_xlfn.XLOOKUP(FACT_IMPORTS[[#This Row],[country_name]],DIM_COUNTRY[[#All],[Column2]],DIM_COUNTRY[[#All],[Column3]],,,)</f>
        <v>USMCA</v>
      </c>
    </row>
    <row r="10719" spans="1:9" x14ac:dyDescent="0.4">
      <c r="A10719" t="s">
        <v>64</v>
      </c>
      <c r="B10719" s="1">
        <v>45870</v>
      </c>
      <c r="C10719">
        <v>870891</v>
      </c>
      <c r="D10719" t="s">
        <v>176</v>
      </c>
      <c r="E10719">
        <v>0</v>
      </c>
      <c r="F10719">
        <v>0</v>
      </c>
      <c r="G10719">
        <v>0</v>
      </c>
      <c r="H10719">
        <f>_xlfn.XLOOKUP(FACT_IMPORTS[[#This Row],[hts_6]],DIM_PRODUCTS[hts_6],DIM_PRODUCTS[hts_4],,,)</f>
        <v>8708</v>
      </c>
      <c r="I10719" t="str" cm="1">
        <f t="array" ref="I10719">_xlfn.XLOOKUP(FACT_IMPORTS[[#This Row],[country_name]],DIM_COUNTRY[[#All],[Column2]],DIM_COUNTRY[[#All],[Column3]],,,)</f>
        <v>USMCA</v>
      </c>
    </row>
    <row r="10720" spans="1:9" x14ac:dyDescent="0.4">
      <c r="A10720" t="s">
        <v>64</v>
      </c>
      <c r="B10720" s="1">
        <v>45870</v>
      </c>
      <c r="C10720">
        <v>870892</v>
      </c>
      <c r="D10720" t="s">
        <v>176</v>
      </c>
      <c r="E10720">
        <v>8096</v>
      </c>
      <c r="F10720">
        <v>425</v>
      </c>
      <c r="G10720">
        <v>69</v>
      </c>
      <c r="H10720">
        <f>_xlfn.XLOOKUP(FACT_IMPORTS[[#This Row],[hts_6]],DIM_PRODUCTS[hts_6],DIM_PRODUCTS[hts_4],,,)</f>
        <v>8708</v>
      </c>
      <c r="I10720" t="str" cm="1">
        <f t="array" ref="I10720">_xlfn.XLOOKUP(FACT_IMPORTS[[#This Row],[country_name]],DIM_COUNTRY[[#All],[Column2]],DIM_COUNTRY[[#All],[Column3]],,,)</f>
        <v>USMCA</v>
      </c>
    </row>
    <row r="10721" spans="1:9" x14ac:dyDescent="0.4">
      <c r="A10721" t="s">
        <v>64</v>
      </c>
      <c r="B10721" s="1">
        <v>45870</v>
      </c>
      <c r="C10721">
        <v>870893</v>
      </c>
      <c r="D10721" t="s">
        <v>176</v>
      </c>
      <c r="E10721">
        <v>37000</v>
      </c>
      <c r="F10721">
        <v>306</v>
      </c>
      <c r="G10721">
        <v>615</v>
      </c>
      <c r="H10721">
        <f>_xlfn.XLOOKUP(FACT_IMPORTS[[#This Row],[hts_6]],DIM_PRODUCTS[hts_6],DIM_PRODUCTS[hts_4],,,)</f>
        <v>8708</v>
      </c>
      <c r="I10721" t="str" cm="1">
        <f t="array" ref="I10721">_xlfn.XLOOKUP(FACT_IMPORTS[[#This Row],[country_name]],DIM_COUNTRY[[#All],[Column2]],DIM_COUNTRY[[#All],[Column3]],,,)</f>
        <v>USMCA</v>
      </c>
    </row>
    <row r="10722" spans="1:9" x14ac:dyDescent="0.4">
      <c r="A10722" t="s">
        <v>64</v>
      </c>
      <c r="B10722" s="1">
        <v>45870</v>
      </c>
      <c r="C10722">
        <v>870894</v>
      </c>
      <c r="D10722" t="s">
        <v>176</v>
      </c>
      <c r="E10722">
        <v>32169</v>
      </c>
      <c r="F10722">
        <v>64</v>
      </c>
      <c r="G10722">
        <v>582</v>
      </c>
      <c r="H10722">
        <f>_xlfn.XLOOKUP(FACT_IMPORTS[[#This Row],[hts_6]],DIM_PRODUCTS[hts_6],DIM_PRODUCTS[hts_4],,,)</f>
        <v>8708</v>
      </c>
      <c r="I10722" t="str" cm="1">
        <f t="array" ref="I10722">_xlfn.XLOOKUP(FACT_IMPORTS[[#This Row],[country_name]],DIM_COUNTRY[[#All],[Column2]],DIM_COUNTRY[[#All],[Column3]],,,)</f>
        <v>USMCA</v>
      </c>
    </row>
    <row r="10723" spans="1:9" x14ac:dyDescent="0.4">
      <c r="A10723" t="s">
        <v>64</v>
      </c>
      <c r="B10723" s="1">
        <v>45870</v>
      </c>
      <c r="C10723">
        <v>870895</v>
      </c>
      <c r="D10723" t="s">
        <v>176</v>
      </c>
      <c r="E10723">
        <v>52209</v>
      </c>
      <c r="F10723">
        <v>900</v>
      </c>
      <c r="G10723">
        <v>295</v>
      </c>
      <c r="H10723">
        <f>_xlfn.XLOOKUP(FACT_IMPORTS[[#This Row],[hts_6]],DIM_PRODUCTS[hts_6],DIM_PRODUCTS[hts_4],,,)</f>
        <v>8708</v>
      </c>
      <c r="I10723" t="str" cm="1">
        <f t="array" ref="I10723">_xlfn.XLOOKUP(FACT_IMPORTS[[#This Row],[country_name]],DIM_COUNTRY[[#All],[Column2]],DIM_COUNTRY[[#All],[Column3]],,,)</f>
        <v>USMCA</v>
      </c>
    </row>
    <row r="10724" spans="1:9" x14ac:dyDescent="0.4">
      <c r="A10724" t="s">
        <v>64</v>
      </c>
      <c r="B10724" s="1">
        <v>45870</v>
      </c>
      <c r="C10724">
        <v>870899</v>
      </c>
      <c r="D10724" t="s">
        <v>176</v>
      </c>
      <c r="E10724">
        <v>102567</v>
      </c>
      <c r="F10724">
        <v>7293</v>
      </c>
      <c r="G10724">
        <v>4925</v>
      </c>
      <c r="H10724">
        <f>_xlfn.XLOOKUP(FACT_IMPORTS[[#This Row],[hts_6]],DIM_PRODUCTS[hts_6],DIM_PRODUCTS[hts_4],,,)</f>
        <v>8708</v>
      </c>
      <c r="I10724" t="str" cm="1">
        <f t="array" ref="I10724">_xlfn.XLOOKUP(FACT_IMPORTS[[#This Row],[country_name]],DIM_COUNTRY[[#All],[Column2]],DIM_COUNTRY[[#All],[Column3]],,,)</f>
        <v>USMCA</v>
      </c>
    </row>
    <row r="10725" spans="1:9" x14ac:dyDescent="0.4">
      <c r="A10725" t="s">
        <v>64</v>
      </c>
      <c r="B10725" s="1">
        <v>45870</v>
      </c>
      <c r="C10725">
        <v>940120</v>
      </c>
      <c r="D10725" t="s">
        <v>176</v>
      </c>
      <c r="E10725">
        <v>9626</v>
      </c>
      <c r="F10725">
        <v>39</v>
      </c>
      <c r="G10725">
        <v>378</v>
      </c>
      <c r="H10725">
        <f>_xlfn.XLOOKUP(FACT_IMPORTS[[#This Row],[hts_6]],DIM_PRODUCTS[hts_6],DIM_PRODUCTS[hts_4],,,)</f>
        <v>9401</v>
      </c>
      <c r="I10725" t="str" cm="1">
        <f t="array" ref="I10725">_xlfn.XLOOKUP(FACT_IMPORTS[[#This Row],[country_name]],DIM_COUNTRY[[#All],[Column2]],DIM_COUNTRY[[#All],[Column3]],,,)</f>
        <v>USMCA</v>
      </c>
    </row>
    <row r="10726" spans="1:9" x14ac:dyDescent="0.4">
      <c r="A10726" t="s">
        <v>64</v>
      </c>
      <c r="B10726" s="1">
        <v>45901</v>
      </c>
      <c r="C10726">
        <v>392630</v>
      </c>
      <c r="D10726" t="s">
        <v>176</v>
      </c>
      <c r="E10726">
        <v>544</v>
      </c>
      <c r="F10726">
        <v>5203</v>
      </c>
      <c r="G10726">
        <v>23</v>
      </c>
      <c r="H10726">
        <f>_xlfn.XLOOKUP(FACT_IMPORTS[[#This Row],[hts_6]],DIM_PRODUCTS[hts_6],DIM_PRODUCTS[hts_4],,,)</f>
        <v>3926</v>
      </c>
      <c r="I10726" t="str" cm="1">
        <f t="array" ref="I10726">_xlfn.XLOOKUP(FACT_IMPORTS[[#This Row],[country_name]],DIM_COUNTRY[[#All],[Column2]],DIM_COUNTRY[[#All],[Column3]],,,)</f>
        <v>USMCA</v>
      </c>
    </row>
    <row r="10727" spans="1:9" x14ac:dyDescent="0.4">
      <c r="A10727" t="s">
        <v>64</v>
      </c>
      <c r="B10727" s="1">
        <v>45901</v>
      </c>
      <c r="C10727">
        <v>401110</v>
      </c>
      <c r="D10727" t="s">
        <v>176</v>
      </c>
      <c r="E10727">
        <v>6000</v>
      </c>
      <c r="F10727">
        <v>30</v>
      </c>
      <c r="G10727">
        <v>30</v>
      </c>
      <c r="H10727">
        <f>_xlfn.XLOOKUP(FACT_IMPORTS[[#This Row],[hts_6]],DIM_PRODUCTS[hts_6],DIM_PRODUCTS[hts_4],,,)</f>
        <v>4011</v>
      </c>
      <c r="I10727" t="str" cm="1">
        <f t="array" ref="I10727">_xlfn.XLOOKUP(FACT_IMPORTS[[#This Row],[country_name]],DIM_COUNTRY[[#All],[Column2]],DIM_COUNTRY[[#All],[Column3]],,,)</f>
        <v>USMCA</v>
      </c>
    </row>
    <row r="10728" spans="1:9" x14ac:dyDescent="0.4">
      <c r="A10728" t="s">
        <v>64</v>
      </c>
      <c r="B10728" s="1">
        <v>45901</v>
      </c>
      <c r="C10728">
        <v>401120</v>
      </c>
      <c r="D10728" t="s">
        <v>176</v>
      </c>
      <c r="E10728">
        <v>0</v>
      </c>
      <c r="F10728">
        <v>0</v>
      </c>
      <c r="G10728">
        <v>0</v>
      </c>
      <c r="H10728">
        <f>_xlfn.XLOOKUP(FACT_IMPORTS[[#This Row],[hts_6]],DIM_PRODUCTS[hts_6],DIM_PRODUCTS[hts_4],,,)</f>
        <v>4011</v>
      </c>
      <c r="I10728" t="str" cm="1">
        <f t="array" ref="I10728">_xlfn.XLOOKUP(FACT_IMPORTS[[#This Row],[country_name]],DIM_COUNTRY[[#All],[Column2]],DIM_COUNTRY[[#All],[Column3]],,,)</f>
        <v>USMCA</v>
      </c>
    </row>
    <row r="10729" spans="1:9" x14ac:dyDescent="0.4">
      <c r="A10729" t="s">
        <v>64</v>
      </c>
      <c r="B10729" s="1">
        <v>45901</v>
      </c>
      <c r="C10729">
        <v>401190</v>
      </c>
      <c r="D10729" t="s">
        <v>176</v>
      </c>
      <c r="E10729">
        <v>4191</v>
      </c>
      <c r="F10729">
        <v>40</v>
      </c>
      <c r="G10729">
        <v>2</v>
      </c>
      <c r="H10729">
        <f>_xlfn.XLOOKUP(FACT_IMPORTS[[#This Row],[hts_6]],DIM_PRODUCTS[hts_6],DIM_PRODUCTS[hts_4],,,)</f>
        <v>4011</v>
      </c>
      <c r="I10729" t="str" cm="1">
        <f t="array" ref="I10729">_xlfn.XLOOKUP(FACT_IMPORTS[[#This Row],[country_name]],DIM_COUNTRY[[#All],[Column2]],DIM_COUNTRY[[#All],[Column3]],,,)</f>
        <v>USMCA</v>
      </c>
    </row>
    <row r="10730" spans="1:9" x14ac:dyDescent="0.4">
      <c r="A10730" t="s">
        <v>64</v>
      </c>
      <c r="B10730" s="1">
        <v>45901</v>
      </c>
      <c r="C10730">
        <v>700711</v>
      </c>
      <c r="D10730" t="s">
        <v>176</v>
      </c>
      <c r="E10730">
        <v>0</v>
      </c>
      <c r="F10730">
        <v>0</v>
      </c>
      <c r="G10730">
        <v>0</v>
      </c>
      <c r="H10730">
        <f>_xlfn.XLOOKUP(FACT_IMPORTS[[#This Row],[hts_6]],DIM_PRODUCTS[hts_6],DIM_PRODUCTS[hts_4],,,)</f>
        <v>7007</v>
      </c>
      <c r="I10730" t="str" cm="1">
        <f t="array" ref="I10730">_xlfn.XLOOKUP(FACT_IMPORTS[[#This Row],[country_name]],DIM_COUNTRY[[#All],[Column2]],DIM_COUNTRY[[#All],[Column3]],,,)</f>
        <v>USMCA</v>
      </c>
    </row>
    <row r="10731" spans="1:9" x14ac:dyDescent="0.4">
      <c r="A10731" t="s">
        <v>64</v>
      </c>
      <c r="B10731" s="1">
        <v>45901</v>
      </c>
      <c r="C10731">
        <v>700721</v>
      </c>
      <c r="D10731" t="s">
        <v>176</v>
      </c>
      <c r="E10731">
        <v>0</v>
      </c>
      <c r="F10731">
        <v>0</v>
      </c>
      <c r="G10731">
        <v>0</v>
      </c>
      <c r="H10731">
        <f>_xlfn.XLOOKUP(FACT_IMPORTS[[#This Row],[hts_6]],DIM_PRODUCTS[hts_6],DIM_PRODUCTS[hts_4],,,)</f>
        <v>7007</v>
      </c>
      <c r="I10731" t="str" cm="1">
        <f t="array" ref="I10731">_xlfn.XLOOKUP(FACT_IMPORTS[[#This Row],[country_name]],DIM_COUNTRY[[#All],[Column2]],DIM_COUNTRY[[#All],[Column3]],,,)</f>
        <v>USMCA</v>
      </c>
    </row>
    <row r="10732" spans="1:9" x14ac:dyDescent="0.4">
      <c r="A10732" t="s">
        <v>64</v>
      </c>
      <c r="B10732" s="1">
        <v>45901</v>
      </c>
      <c r="C10732">
        <v>700910</v>
      </c>
      <c r="D10732" t="s">
        <v>176</v>
      </c>
      <c r="E10732">
        <v>4902</v>
      </c>
      <c r="F10732">
        <v>168</v>
      </c>
      <c r="G10732">
        <v>491</v>
      </c>
      <c r="H10732">
        <f>_xlfn.XLOOKUP(FACT_IMPORTS[[#This Row],[hts_6]],DIM_PRODUCTS[hts_6],DIM_PRODUCTS[hts_4],,,)</f>
        <v>7009</v>
      </c>
      <c r="I10732" t="str" cm="1">
        <f t="array" ref="I10732">_xlfn.XLOOKUP(FACT_IMPORTS[[#This Row],[country_name]],DIM_COUNTRY[[#All],[Column2]],DIM_COUNTRY[[#All],[Column3]],,,)</f>
        <v>USMCA</v>
      </c>
    </row>
    <row r="10733" spans="1:9" x14ac:dyDescent="0.4">
      <c r="A10733" t="s">
        <v>64</v>
      </c>
      <c r="B10733" s="1">
        <v>45901</v>
      </c>
      <c r="C10733">
        <v>732010</v>
      </c>
      <c r="D10733" t="s">
        <v>176</v>
      </c>
      <c r="E10733">
        <v>0</v>
      </c>
      <c r="F10733">
        <v>0</v>
      </c>
      <c r="G10733">
        <v>0</v>
      </c>
      <c r="H10733">
        <f>_xlfn.XLOOKUP(FACT_IMPORTS[[#This Row],[hts_6]],DIM_PRODUCTS[hts_6],DIM_PRODUCTS[hts_4],,,)</f>
        <v>7320</v>
      </c>
      <c r="I10733" t="str" cm="1">
        <f t="array" ref="I10733">_xlfn.XLOOKUP(FACT_IMPORTS[[#This Row],[country_name]],DIM_COUNTRY[[#All],[Column2]],DIM_COUNTRY[[#All],[Column3]],,,)</f>
        <v>USMCA</v>
      </c>
    </row>
    <row r="10734" spans="1:9" x14ac:dyDescent="0.4">
      <c r="A10734" t="s">
        <v>64</v>
      </c>
      <c r="B10734" s="1">
        <v>45901</v>
      </c>
      <c r="C10734">
        <v>830230</v>
      </c>
      <c r="D10734" t="s">
        <v>176</v>
      </c>
      <c r="E10734">
        <v>105369</v>
      </c>
      <c r="F10734">
        <v>1313</v>
      </c>
      <c r="G10734">
        <v>4115</v>
      </c>
      <c r="H10734">
        <f>_xlfn.XLOOKUP(FACT_IMPORTS[[#This Row],[hts_6]],DIM_PRODUCTS[hts_6],DIM_PRODUCTS[hts_4],,,)</f>
        <v>8302</v>
      </c>
      <c r="I10734" t="str" cm="1">
        <f t="array" ref="I10734">_xlfn.XLOOKUP(FACT_IMPORTS[[#This Row],[country_name]],DIM_COUNTRY[[#All],[Column2]],DIM_COUNTRY[[#All],[Column3]],,,)</f>
        <v>USMCA</v>
      </c>
    </row>
    <row r="10735" spans="1:9" x14ac:dyDescent="0.4">
      <c r="A10735" t="s">
        <v>64</v>
      </c>
      <c r="B10735" s="1">
        <v>45901</v>
      </c>
      <c r="C10735">
        <v>840733</v>
      </c>
      <c r="D10735" t="s">
        <v>176</v>
      </c>
      <c r="E10735">
        <v>14187</v>
      </c>
      <c r="F10735">
        <v>4</v>
      </c>
      <c r="G10735">
        <v>259</v>
      </c>
      <c r="H10735">
        <f>_xlfn.XLOOKUP(FACT_IMPORTS[[#This Row],[hts_6]],DIM_PRODUCTS[hts_6],DIM_PRODUCTS[hts_4],,,)</f>
        <v>8407</v>
      </c>
      <c r="I10735" t="str" cm="1">
        <f t="array" ref="I10735">_xlfn.XLOOKUP(FACT_IMPORTS[[#This Row],[country_name]],DIM_COUNTRY[[#All],[Column2]],DIM_COUNTRY[[#All],[Column3]],,,)</f>
        <v>USMCA</v>
      </c>
    </row>
    <row r="10736" spans="1:9" x14ac:dyDescent="0.4">
      <c r="A10736" t="s">
        <v>64</v>
      </c>
      <c r="B10736" s="1">
        <v>45901</v>
      </c>
      <c r="C10736">
        <v>840734</v>
      </c>
      <c r="D10736" t="s">
        <v>176</v>
      </c>
      <c r="E10736">
        <v>578125</v>
      </c>
      <c r="F10736">
        <v>256</v>
      </c>
      <c r="G10736">
        <v>1327</v>
      </c>
      <c r="H10736">
        <f>_xlfn.XLOOKUP(FACT_IMPORTS[[#This Row],[hts_6]],DIM_PRODUCTS[hts_6],DIM_PRODUCTS[hts_4],,,)</f>
        <v>8407</v>
      </c>
      <c r="I10736" t="str" cm="1">
        <f t="array" ref="I10736">_xlfn.XLOOKUP(FACT_IMPORTS[[#This Row],[country_name]],DIM_COUNTRY[[#All],[Column2]],DIM_COUNTRY[[#All],[Column3]],,,)</f>
        <v>USMCA</v>
      </c>
    </row>
    <row r="10737" spans="1:9" x14ac:dyDescent="0.4">
      <c r="A10737" t="s">
        <v>64</v>
      </c>
      <c r="B10737" s="1">
        <v>45901</v>
      </c>
      <c r="C10737">
        <v>840820</v>
      </c>
      <c r="D10737" t="s">
        <v>176</v>
      </c>
      <c r="E10737">
        <v>330612</v>
      </c>
      <c r="F10737">
        <v>57</v>
      </c>
      <c r="G10737">
        <v>586</v>
      </c>
      <c r="H10737">
        <f>_xlfn.XLOOKUP(FACT_IMPORTS[[#This Row],[hts_6]],DIM_PRODUCTS[hts_6],DIM_PRODUCTS[hts_4],,,)</f>
        <v>8408</v>
      </c>
      <c r="I10737" t="str" cm="1">
        <f t="array" ref="I10737">_xlfn.XLOOKUP(FACT_IMPORTS[[#This Row],[country_name]],DIM_COUNTRY[[#All],[Column2]],DIM_COUNTRY[[#All],[Column3]],,,)</f>
        <v>USMCA</v>
      </c>
    </row>
    <row r="10738" spans="1:9" x14ac:dyDescent="0.4">
      <c r="A10738" t="s">
        <v>64</v>
      </c>
      <c r="B10738" s="1">
        <v>45901</v>
      </c>
      <c r="C10738">
        <v>840890</v>
      </c>
      <c r="D10738" t="s">
        <v>176</v>
      </c>
      <c r="E10738">
        <v>17500</v>
      </c>
      <c r="F10738">
        <v>5</v>
      </c>
      <c r="G10738">
        <v>20</v>
      </c>
      <c r="H10738">
        <f>_xlfn.XLOOKUP(FACT_IMPORTS[[#This Row],[hts_6]],DIM_PRODUCTS[hts_6],DIM_PRODUCTS[hts_4],,,)</f>
        <v>8408</v>
      </c>
      <c r="I10738" t="str" cm="1">
        <f t="array" ref="I10738">_xlfn.XLOOKUP(FACT_IMPORTS[[#This Row],[country_name]],DIM_COUNTRY[[#All],[Column2]],DIM_COUNTRY[[#All],[Column3]],,,)</f>
        <v>USMCA</v>
      </c>
    </row>
    <row r="10739" spans="1:9" x14ac:dyDescent="0.4">
      <c r="A10739" t="s">
        <v>64</v>
      </c>
      <c r="B10739" s="1">
        <v>45901</v>
      </c>
      <c r="C10739">
        <v>840991</v>
      </c>
      <c r="D10739" t="s">
        <v>176</v>
      </c>
      <c r="E10739">
        <v>1182899</v>
      </c>
      <c r="F10739">
        <v>68450</v>
      </c>
      <c r="G10739">
        <v>9010</v>
      </c>
      <c r="H10739">
        <f>_xlfn.XLOOKUP(FACT_IMPORTS[[#This Row],[hts_6]],DIM_PRODUCTS[hts_6],DIM_PRODUCTS[hts_4],,,)</f>
        <v>8409</v>
      </c>
      <c r="I10739" t="str" cm="1">
        <f t="array" ref="I10739">_xlfn.XLOOKUP(FACT_IMPORTS[[#This Row],[country_name]],DIM_COUNTRY[[#All],[Column2]],DIM_COUNTRY[[#All],[Column3]],,,)</f>
        <v>USMCA</v>
      </c>
    </row>
    <row r="10740" spans="1:9" x14ac:dyDescent="0.4">
      <c r="A10740" t="s">
        <v>64</v>
      </c>
      <c r="B10740" s="1">
        <v>45901</v>
      </c>
      <c r="C10740">
        <v>840999</v>
      </c>
      <c r="D10740" t="s">
        <v>176</v>
      </c>
      <c r="E10740">
        <v>106831</v>
      </c>
      <c r="F10740">
        <v>4393</v>
      </c>
      <c r="G10740">
        <v>637</v>
      </c>
      <c r="H10740">
        <f>_xlfn.XLOOKUP(FACT_IMPORTS[[#This Row],[hts_6]],DIM_PRODUCTS[hts_6],DIM_PRODUCTS[hts_4],,,)</f>
        <v>8409</v>
      </c>
      <c r="I10740" t="str" cm="1">
        <f t="array" ref="I10740">_xlfn.XLOOKUP(FACT_IMPORTS[[#This Row],[country_name]],DIM_COUNTRY[[#All],[Column2]],DIM_COUNTRY[[#All],[Column3]],,,)</f>
        <v>USMCA</v>
      </c>
    </row>
    <row r="10741" spans="1:9" x14ac:dyDescent="0.4">
      <c r="A10741" t="s">
        <v>64</v>
      </c>
      <c r="B10741" s="1">
        <v>45901</v>
      </c>
      <c r="C10741">
        <v>841330</v>
      </c>
      <c r="D10741" t="s">
        <v>176</v>
      </c>
      <c r="E10741">
        <v>97928</v>
      </c>
      <c r="F10741">
        <v>272</v>
      </c>
      <c r="G10741">
        <v>153</v>
      </c>
      <c r="H10741">
        <f>_xlfn.XLOOKUP(FACT_IMPORTS[[#This Row],[hts_6]],DIM_PRODUCTS[hts_6],DIM_PRODUCTS[hts_4],,,)</f>
        <v>8413</v>
      </c>
      <c r="I10741" t="str" cm="1">
        <f t="array" ref="I10741">_xlfn.XLOOKUP(FACT_IMPORTS[[#This Row],[country_name]],DIM_COUNTRY[[#All],[Column2]],DIM_COUNTRY[[#All],[Column3]],,,)</f>
        <v>USMCA</v>
      </c>
    </row>
    <row r="10742" spans="1:9" x14ac:dyDescent="0.4">
      <c r="A10742" t="s">
        <v>64</v>
      </c>
      <c r="B10742" s="1">
        <v>45901</v>
      </c>
      <c r="C10742">
        <v>841520</v>
      </c>
      <c r="D10742" t="s">
        <v>176</v>
      </c>
      <c r="E10742">
        <v>0</v>
      </c>
      <c r="F10742">
        <v>0</v>
      </c>
      <c r="G10742">
        <v>0</v>
      </c>
      <c r="H10742">
        <f>_xlfn.XLOOKUP(FACT_IMPORTS[[#This Row],[hts_6]],DIM_PRODUCTS[hts_6],DIM_PRODUCTS[hts_4],,,)</f>
        <v>8415</v>
      </c>
      <c r="I10742" t="str" cm="1">
        <f t="array" ref="I10742">_xlfn.XLOOKUP(FACT_IMPORTS[[#This Row],[country_name]],DIM_COUNTRY[[#All],[Column2]],DIM_COUNTRY[[#All],[Column3]],,,)</f>
        <v>USMCA</v>
      </c>
    </row>
    <row r="10743" spans="1:9" x14ac:dyDescent="0.4">
      <c r="A10743" t="s">
        <v>64</v>
      </c>
      <c r="B10743" s="1">
        <v>45901</v>
      </c>
      <c r="C10743">
        <v>842132</v>
      </c>
      <c r="D10743" t="s">
        <v>176</v>
      </c>
      <c r="E10743">
        <v>128835</v>
      </c>
      <c r="F10743">
        <v>404</v>
      </c>
      <c r="G10743">
        <v>2284</v>
      </c>
      <c r="H10743">
        <f>_xlfn.XLOOKUP(FACT_IMPORTS[[#This Row],[hts_6]],DIM_PRODUCTS[hts_6],DIM_PRODUCTS[hts_4],,,)</f>
        <v>8421</v>
      </c>
      <c r="I10743" t="str" cm="1">
        <f t="array" ref="I10743">_xlfn.XLOOKUP(FACT_IMPORTS[[#This Row],[country_name]],DIM_COUNTRY[[#All],[Column2]],DIM_COUNTRY[[#All],[Column3]],,,)</f>
        <v>USMCA</v>
      </c>
    </row>
    <row r="10744" spans="1:9" x14ac:dyDescent="0.4">
      <c r="A10744" t="s">
        <v>64</v>
      </c>
      <c r="B10744" s="1">
        <v>45901</v>
      </c>
      <c r="C10744">
        <v>848210</v>
      </c>
      <c r="D10744" t="s">
        <v>176</v>
      </c>
      <c r="E10744">
        <v>0</v>
      </c>
      <c r="F10744">
        <v>0</v>
      </c>
      <c r="G10744">
        <v>0</v>
      </c>
      <c r="H10744">
        <f>_xlfn.XLOOKUP(FACT_IMPORTS[[#This Row],[hts_6]],DIM_PRODUCTS[hts_6],DIM_PRODUCTS[hts_4],,,)</f>
        <v>8482</v>
      </c>
      <c r="I10744" t="str" cm="1">
        <f t="array" ref="I10744">_xlfn.XLOOKUP(FACT_IMPORTS[[#This Row],[country_name]],DIM_COUNTRY[[#All],[Column2]],DIM_COUNTRY[[#All],[Column3]],,,)</f>
        <v>USMCA</v>
      </c>
    </row>
    <row r="10745" spans="1:9" x14ac:dyDescent="0.4">
      <c r="A10745" t="s">
        <v>64</v>
      </c>
      <c r="B10745" s="1">
        <v>45901</v>
      </c>
      <c r="C10745">
        <v>848220</v>
      </c>
      <c r="D10745" t="s">
        <v>176</v>
      </c>
      <c r="E10745">
        <v>0</v>
      </c>
      <c r="F10745">
        <v>0</v>
      </c>
      <c r="G10745">
        <v>0</v>
      </c>
      <c r="H10745">
        <f>_xlfn.XLOOKUP(FACT_IMPORTS[[#This Row],[hts_6]],DIM_PRODUCTS[hts_6],DIM_PRODUCTS[hts_4],,,)</f>
        <v>8482</v>
      </c>
      <c r="I10745" t="str" cm="1">
        <f t="array" ref="I10745">_xlfn.XLOOKUP(FACT_IMPORTS[[#This Row],[country_name]],DIM_COUNTRY[[#All],[Column2]],DIM_COUNTRY[[#All],[Column3]],,,)</f>
        <v>USMCA</v>
      </c>
    </row>
    <row r="10746" spans="1:9" x14ac:dyDescent="0.4">
      <c r="A10746" t="s">
        <v>64</v>
      </c>
      <c r="B10746" s="1">
        <v>45901</v>
      </c>
      <c r="C10746">
        <v>848310</v>
      </c>
      <c r="D10746" t="s">
        <v>176</v>
      </c>
      <c r="E10746">
        <v>8396</v>
      </c>
      <c r="F10746">
        <v>1904</v>
      </c>
      <c r="G10746">
        <v>74</v>
      </c>
      <c r="H10746">
        <f>_xlfn.XLOOKUP(FACT_IMPORTS[[#This Row],[hts_6]],DIM_PRODUCTS[hts_6],DIM_PRODUCTS[hts_4],,,)</f>
        <v>8483</v>
      </c>
      <c r="I10746" t="str" cm="1">
        <f t="array" ref="I10746">_xlfn.XLOOKUP(FACT_IMPORTS[[#This Row],[country_name]],DIM_COUNTRY[[#All],[Column2]],DIM_COUNTRY[[#All],[Column3]],,,)</f>
        <v>USMCA</v>
      </c>
    </row>
    <row r="10747" spans="1:9" x14ac:dyDescent="0.4">
      <c r="A10747" t="s">
        <v>64</v>
      </c>
      <c r="B10747" s="1">
        <v>45901</v>
      </c>
      <c r="C10747">
        <v>850131</v>
      </c>
      <c r="D10747" t="s">
        <v>176</v>
      </c>
      <c r="E10747">
        <v>112630</v>
      </c>
      <c r="F10747">
        <v>3146</v>
      </c>
      <c r="G10747">
        <v>2519</v>
      </c>
      <c r="H10747">
        <f>_xlfn.XLOOKUP(FACT_IMPORTS[[#This Row],[hts_6]],DIM_PRODUCTS[hts_6],DIM_PRODUCTS[hts_4],,,)</f>
        <v>8501</v>
      </c>
      <c r="I10747" t="str" cm="1">
        <f t="array" ref="I10747">_xlfn.XLOOKUP(FACT_IMPORTS[[#This Row],[country_name]],DIM_COUNTRY[[#All],[Column2]],DIM_COUNTRY[[#All],[Column3]],,,)</f>
        <v>USMCA</v>
      </c>
    </row>
    <row r="10748" spans="1:9" x14ac:dyDescent="0.4">
      <c r="A10748" t="s">
        <v>64</v>
      </c>
      <c r="B10748" s="1">
        <v>45901</v>
      </c>
      <c r="C10748">
        <v>850132</v>
      </c>
      <c r="D10748" t="s">
        <v>176</v>
      </c>
      <c r="E10748">
        <v>0</v>
      </c>
      <c r="F10748">
        <v>0</v>
      </c>
      <c r="G10748">
        <v>0</v>
      </c>
      <c r="H10748">
        <f>_xlfn.XLOOKUP(FACT_IMPORTS[[#This Row],[hts_6]],DIM_PRODUCTS[hts_6],DIM_PRODUCTS[hts_4],,,)</f>
        <v>8501</v>
      </c>
      <c r="I10748" t="str" cm="1">
        <f t="array" ref="I10748">_xlfn.XLOOKUP(FACT_IMPORTS[[#This Row],[country_name]],DIM_COUNTRY[[#All],[Column2]],DIM_COUNTRY[[#All],[Column3]],,,)</f>
        <v>USMCA</v>
      </c>
    </row>
    <row r="10749" spans="1:9" x14ac:dyDescent="0.4">
      <c r="A10749" t="s">
        <v>64</v>
      </c>
      <c r="B10749" s="1">
        <v>45901</v>
      </c>
      <c r="C10749">
        <v>850134</v>
      </c>
      <c r="D10749" t="s">
        <v>176</v>
      </c>
      <c r="E10749">
        <v>0</v>
      </c>
      <c r="F10749">
        <v>0</v>
      </c>
      <c r="G10749">
        <v>0</v>
      </c>
      <c r="H10749">
        <f>_xlfn.XLOOKUP(FACT_IMPORTS[[#This Row],[hts_6]],DIM_PRODUCTS[hts_6],DIM_PRODUCTS[hts_4],,,)</f>
        <v>8501</v>
      </c>
      <c r="I10749" t="str" cm="1">
        <f t="array" ref="I10749">_xlfn.XLOOKUP(FACT_IMPORTS[[#This Row],[country_name]],DIM_COUNTRY[[#All],[Column2]],DIM_COUNTRY[[#All],[Column3]],,,)</f>
        <v>USMCA</v>
      </c>
    </row>
    <row r="10750" spans="1:9" x14ac:dyDescent="0.4">
      <c r="A10750" t="s">
        <v>64</v>
      </c>
      <c r="B10750" s="1">
        <v>45901</v>
      </c>
      <c r="C10750">
        <v>850152</v>
      </c>
      <c r="D10750" t="s">
        <v>176</v>
      </c>
      <c r="E10750">
        <v>137256</v>
      </c>
      <c r="F10750">
        <v>5</v>
      </c>
      <c r="G10750">
        <v>406</v>
      </c>
      <c r="H10750">
        <f>_xlfn.XLOOKUP(FACT_IMPORTS[[#This Row],[hts_6]],DIM_PRODUCTS[hts_6],DIM_PRODUCTS[hts_4],,,)</f>
        <v>8501</v>
      </c>
      <c r="I10750" t="str" cm="1">
        <f t="array" ref="I10750">_xlfn.XLOOKUP(FACT_IMPORTS[[#This Row],[country_name]],DIM_COUNTRY[[#All],[Column2]],DIM_COUNTRY[[#All],[Column3]],,,)</f>
        <v>USMCA</v>
      </c>
    </row>
    <row r="10751" spans="1:9" x14ac:dyDescent="0.4">
      <c r="A10751" t="s">
        <v>64</v>
      </c>
      <c r="B10751" s="1">
        <v>45901</v>
      </c>
      <c r="C10751">
        <v>850153</v>
      </c>
      <c r="D10751" t="s">
        <v>176</v>
      </c>
      <c r="E10751">
        <v>64000</v>
      </c>
      <c r="F10751">
        <v>9</v>
      </c>
      <c r="G10751">
        <v>90</v>
      </c>
      <c r="H10751">
        <f>_xlfn.XLOOKUP(FACT_IMPORTS[[#This Row],[hts_6]],DIM_PRODUCTS[hts_6],DIM_PRODUCTS[hts_4],,,)</f>
        <v>8501</v>
      </c>
      <c r="I10751" t="str" cm="1">
        <f t="array" ref="I10751">_xlfn.XLOOKUP(FACT_IMPORTS[[#This Row],[country_name]],DIM_COUNTRY[[#All],[Column2]],DIM_COUNTRY[[#All],[Column3]],,,)</f>
        <v>USMCA</v>
      </c>
    </row>
    <row r="10752" spans="1:9" x14ac:dyDescent="0.4">
      <c r="A10752" t="s">
        <v>64</v>
      </c>
      <c r="B10752" s="1">
        <v>45901</v>
      </c>
      <c r="C10752">
        <v>850440</v>
      </c>
      <c r="D10752" t="s">
        <v>176</v>
      </c>
      <c r="E10752">
        <v>622519</v>
      </c>
      <c r="F10752">
        <v>8545</v>
      </c>
      <c r="G10752">
        <v>5852</v>
      </c>
      <c r="H10752">
        <f>_xlfn.XLOOKUP(FACT_IMPORTS[[#This Row],[hts_6]],DIM_PRODUCTS[hts_6],DIM_PRODUCTS[hts_4],,,)</f>
        <v>8504</v>
      </c>
      <c r="I10752" t="str" cm="1">
        <f t="array" ref="I10752">_xlfn.XLOOKUP(FACT_IMPORTS[[#This Row],[country_name]],DIM_COUNTRY[[#All],[Column2]],DIM_COUNTRY[[#All],[Column3]],,,)</f>
        <v>USMCA</v>
      </c>
    </row>
    <row r="10753" spans="1:9" x14ac:dyDescent="0.4">
      <c r="A10753" t="s">
        <v>64</v>
      </c>
      <c r="B10753" s="1">
        <v>45901</v>
      </c>
      <c r="C10753">
        <v>850710</v>
      </c>
      <c r="D10753" t="s">
        <v>176</v>
      </c>
      <c r="E10753">
        <v>0</v>
      </c>
      <c r="F10753">
        <v>0</v>
      </c>
      <c r="G10753">
        <v>0</v>
      </c>
      <c r="H10753">
        <f>_xlfn.XLOOKUP(FACT_IMPORTS[[#This Row],[hts_6]],DIM_PRODUCTS[hts_6],DIM_PRODUCTS[hts_4],,,)</f>
        <v>8507</v>
      </c>
      <c r="I10753" t="str" cm="1">
        <f t="array" ref="I10753">_xlfn.XLOOKUP(FACT_IMPORTS[[#This Row],[country_name]],DIM_COUNTRY[[#All],[Column2]],DIM_COUNTRY[[#All],[Column3]],,,)</f>
        <v>USMCA</v>
      </c>
    </row>
    <row r="10754" spans="1:9" x14ac:dyDescent="0.4">
      <c r="A10754" t="s">
        <v>64</v>
      </c>
      <c r="B10754" s="1">
        <v>45901</v>
      </c>
      <c r="C10754">
        <v>850760</v>
      </c>
      <c r="D10754" t="s">
        <v>176</v>
      </c>
      <c r="E10754">
        <v>308610</v>
      </c>
      <c r="F10754">
        <v>10</v>
      </c>
      <c r="G10754">
        <v>8374</v>
      </c>
      <c r="H10754">
        <f>_xlfn.XLOOKUP(FACT_IMPORTS[[#This Row],[hts_6]],DIM_PRODUCTS[hts_6],DIM_PRODUCTS[hts_4],,,)</f>
        <v>8507</v>
      </c>
      <c r="I10754" t="str" cm="1">
        <f t="array" ref="I10754">_xlfn.XLOOKUP(FACT_IMPORTS[[#This Row],[country_name]],DIM_COUNTRY[[#All],[Column2]],DIM_COUNTRY[[#All],[Column3]],,,)</f>
        <v>USMCA</v>
      </c>
    </row>
    <row r="10755" spans="1:9" x14ac:dyDescent="0.4">
      <c r="A10755" t="s">
        <v>64</v>
      </c>
      <c r="B10755" s="1">
        <v>45901</v>
      </c>
      <c r="C10755">
        <v>851110</v>
      </c>
      <c r="D10755" t="s">
        <v>176</v>
      </c>
      <c r="E10755">
        <v>0</v>
      </c>
      <c r="F10755">
        <v>0</v>
      </c>
      <c r="G10755">
        <v>0</v>
      </c>
      <c r="H10755">
        <f>_xlfn.XLOOKUP(FACT_IMPORTS[[#This Row],[hts_6]],DIM_PRODUCTS[hts_6],DIM_PRODUCTS[hts_4],,,)</f>
        <v>8511</v>
      </c>
      <c r="I10755" t="str" cm="1">
        <f t="array" ref="I10755">_xlfn.XLOOKUP(FACT_IMPORTS[[#This Row],[country_name]],DIM_COUNTRY[[#All],[Column2]],DIM_COUNTRY[[#All],[Column3]],,,)</f>
        <v>USMCA</v>
      </c>
    </row>
    <row r="10756" spans="1:9" x14ac:dyDescent="0.4">
      <c r="A10756" t="s">
        <v>64</v>
      </c>
      <c r="B10756" s="1">
        <v>45901</v>
      </c>
      <c r="C10756">
        <v>851120</v>
      </c>
      <c r="D10756" t="s">
        <v>176</v>
      </c>
      <c r="E10756">
        <v>0</v>
      </c>
      <c r="F10756">
        <v>0</v>
      </c>
      <c r="G10756">
        <v>0</v>
      </c>
      <c r="H10756">
        <f>_xlfn.XLOOKUP(FACT_IMPORTS[[#This Row],[hts_6]],DIM_PRODUCTS[hts_6],DIM_PRODUCTS[hts_4],,,)</f>
        <v>8511</v>
      </c>
      <c r="I10756" t="str" cm="1">
        <f t="array" ref="I10756">_xlfn.XLOOKUP(FACT_IMPORTS[[#This Row],[country_name]],DIM_COUNTRY[[#All],[Column2]],DIM_COUNTRY[[#All],[Column3]],,,)</f>
        <v>USMCA</v>
      </c>
    </row>
    <row r="10757" spans="1:9" x14ac:dyDescent="0.4">
      <c r="A10757" t="s">
        <v>64</v>
      </c>
      <c r="B10757" s="1">
        <v>45901</v>
      </c>
      <c r="C10757">
        <v>851130</v>
      </c>
      <c r="D10757" t="s">
        <v>176</v>
      </c>
      <c r="E10757">
        <v>0</v>
      </c>
      <c r="F10757">
        <v>0</v>
      </c>
      <c r="G10757">
        <v>0</v>
      </c>
      <c r="H10757">
        <f>_xlfn.XLOOKUP(FACT_IMPORTS[[#This Row],[hts_6]],DIM_PRODUCTS[hts_6],DIM_PRODUCTS[hts_4],,,)</f>
        <v>8511</v>
      </c>
      <c r="I10757" t="str" cm="1">
        <f t="array" ref="I10757">_xlfn.XLOOKUP(FACT_IMPORTS[[#This Row],[country_name]],DIM_COUNTRY[[#All],[Column2]],DIM_COUNTRY[[#All],[Column3]],,,)</f>
        <v>USMCA</v>
      </c>
    </row>
    <row r="10758" spans="1:9" x14ac:dyDescent="0.4">
      <c r="A10758" t="s">
        <v>64</v>
      </c>
      <c r="B10758" s="1">
        <v>45901</v>
      </c>
      <c r="C10758">
        <v>851140</v>
      </c>
      <c r="D10758" t="s">
        <v>176</v>
      </c>
      <c r="E10758">
        <v>9241</v>
      </c>
      <c r="F10758">
        <v>49</v>
      </c>
      <c r="G10758">
        <v>455</v>
      </c>
      <c r="H10758">
        <f>_xlfn.XLOOKUP(FACT_IMPORTS[[#This Row],[hts_6]],DIM_PRODUCTS[hts_6],DIM_PRODUCTS[hts_4],,,)</f>
        <v>8511</v>
      </c>
      <c r="I10758" t="str" cm="1">
        <f t="array" ref="I10758">_xlfn.XLOOKUP(FACT_IMPORTS[[#This Row],[country_name]],DIM_COUNTRY[[#All],[Column2]],DIM_COUNTRY[[#All],[Column3]],,,)</f>
        <v>USMCA</v>
      </c>
    </row>
    <row r="10759" spans="1:9" x14ac:dyDescent="0.4">
      <c r="A10759" t="s">
        <v>64</v>
      </c>
      <c r="B10759" s="1">
        <v>45901</v>
      </c>
      <c r="C10759">
        <v>851150</v>
      </c>
      <c r="D10759" t="s">
        <v>176</v>
      </c>
      <c r="E10759">
        <v>11035</v>
      </c>
      <c r="F10759">
        <v>10</v>
      </c>
      <c r="G10759">
        <v>112</v>
      </c>
      <c r="H10759">
        <f>_xlfn.XLOOKUP(FACT_IMPORTS[[#This Row],[hts_6]],DIM_PRODUCTS[hts_6],DIM_PRODUCTS[hts_4],,,)</f>
        <v>8511</v>
      </c>
      <c r="I10759" t="str" cm="1">
        <f t="array" ref="I10759">_xlfn.XLOOKUP(FACT_IMPORTS[[#This Row],[country_name]],DIM_COUNTRY[[#All],[Column2]],DIM_COUNTRY[[#All],[Column3]],,,)</f>
        <v>USMCA</v>
      </c>
    </row>
    <row r="10760" spans="1:9" x14ac:dyDescent="0.4">
      <c r="A10760" t="s">
        <v>64</v>
      </c>
      <c r="B10760" s="1">
        <v>45901</v>
      </c>
      <c r="C10760">
        <v>851180</v>
      </c>
      <c r="D10760" t="s">
        <v>176</v>
      </c>
      <c r="E10760">
        <v>3120</v>
      </c>
      <c r="F10760">
        <v>127</v>
      </c>
      <c r="G10760">
        <v>1</v>
      </c>
      <c r="H10760">
        <f>_xlfn.XLOOKUP(FACT_IMPORTS[[#This Row],[hts_6]],DIM_PRODUCTS[hts_6],DIM_PRODUCTS[hts_4],,,)</f>
        <v>8511</v>
      </c>
      <c r="I10760" t="str" cm="1">
        <f t="array" ref="I10760">_xlfn.XLOOKUP(FACT_IMPORTS[[#This Row],[country_name]],DIM_COUNTRY[[#All],[Column2]],DIM_COUNTRY[[#All],[Column3]],,,)</f>
        <v>USMCA</v>
      </c>
    </row>
    <row r="10761" spans="1:9" x14ac:dyDescent="0.4">
      <c r="A10761" t="s">
        <v>64</v>
      </c>
      <c r="B10761" s="1">
        <v>45901</v>
      </c>
      <c r="C10761">
        <v>851190</v>
      </c>
      <c r="D10761" t="s">
        <v>176</v>
      </c>
      <c r="E10761">
        <v>0</v>
      </c>
      <c r="F10761">
        <v>0</v>
      </c>
      <c r="G10761">
        <v>0</v>
      </c>
      <c r="H10761">
        <f>_xlfn.XLOOKUP(FACT_IMPORTS[[#This Row],[hts_6]],DIM_PRODUCTS[hts_6],DIM_PRODUCTS[hts_4],,,)</f>
        <v>8511</v>
      </c>
      <c r="I10761" t="str" cm="1">
        <f t="array" ref="I10761">_xlfn.XLOOKUP(FACT_IMPORTS[[#This Row],[country_name]],DIM_COUNTRY[[#All],[Column2]],DIM_COUNTRY[[#All],[Column3]],,,)</f>
        <v>USMCA</v>
      </c>
    </row>
    <row r="10762" spans="1:9" x14ac:dyDescent="0.4">
      <c r="A10762" t="s">
        <v>64</v>
      </c>
      <c r="B10762" s="1">
        <v>45901</v>
      </c>
      <c r="C10762">
        <v>851220</v>
      </c>
      <c r="D10762" t="s">
        <v>176</v>
      </c>
      <c r="E10762">
        <v>2074</v>
      </c>
      <c r="F10762">
        <v>17</v>
      </c>
      <c r="G10762">
        <v>6</v>
      </c>
      <c r="H10762">
        <f>_xlfn.XLOOKUP(FACT_IMPORTS[[#This Row],[hts_6]],DIM_PRODUCTS[hts_6],DIM_PRODUCTS[hts_4],,,)</f>
        <v>8512</v>
      </c>
      <c r="I10762" t="str" cm="1">
        <f t="array" ref="I10762">_xlfn.XLOOKUP(FACT_IMPORTS[[#This Row],[country_name]],DIM_COUNTRY[[#All],[Column2]],DIM_COUNTRY[[#All],[Column3]],,,)</f>
        <v>USMCA</v>
      </c>
    </row>
    <row r="10763" spans="1:9" x14ac:dyDescent="0.4">
      <c r="A10763" t="s">
        <v>64</v>
      </c>
      <c r="B10763" s="1">
        <v>45901</v>
      </c>
      <c r="C10763">
        <v>851230</v>
      </c>
      <c r="D10763" t="s">
        <v>176</v>
      </c>
      <c r="E10763">
        <v>0</v>
      </c>
      <c r="F10763">
        <v>0</v>
      </c>
      <c r="G10763">
        <v>0</v>
      </c>
      <c r="H10763">
        <f>_xlfn.XLOOKUP(FACT_IMPORTS[[#This Row],[hts_6]],DIM_PRODUCTS[hts_6],DIM_PRODUCTS[hts_4],,,)</f>
        <v>8512</v>
      </c>
      <c r="I10763" t="str" cm="1">
        <f t="array" ref="I10763">_xlfn.XLOOKUP(FACT_IMPORTS[[#This Row],[country_name]],DIM_COUNTRY[[#All],[Column2]],DIM_COUNTRY[[#All],[Column3]],,,)</f>
        <v>USMCA</v>
      </c>
    </row>
    <row r="10764" spans="1:9" x14ac:dyDescent="0.4">
      <c r="A10764" t="s">
        <v>64</v>
      </c>
      <c r="B10764" s="1">
        <v>45901</v>
      </c>
      <c r="C10764">
        <v>851290</v>
      </c>
      <c r="D10764" t="s">
        <v>176</v>
      </c>
      <c r="E10764">
        <v>2064</v>
      </c>
      <c r="F10764">
        <v>5</v>
      </c>
      <c r="G10764">
        <v>1</v>
      </c>
      <c r="H10764">
        <f>_xlfn.XLOOKUP(FACT_IMPORTS[[#This Row],[hts_6]],DIM_PRODUCTS[hts_6],DIM_PRODUCTS[hts_4],,,)</f>
        <v>8512</v>
      </c>
      <c r="I10764" t="str" cm="1">
        <f t="array" ref="I10764">_xlfn.XLOOKUP(FACT_IMPORTS[[#This Row],[country_name]],DIM_COUNTRY[[#All],[Column2]],DIM_COUNTRY[[#All],[Column3]],,,)</f>
        <v>USMCA</v>
      </c>
    </row>
    <row r="10765" spans="1:9" x14ac:dyDescent="0.4">
      <c r="A10765" t="s">
        <v>64</v>
      </c>
      <c r="B10765" s="1">
        <v>45901</v>
      </c>
      <c r="C10765">
        <v>854231</v>
      </c>
      <c r="D10765" t="s">
        <v>176</v>
      </c>
      <c r="E10765">
        <v>0</v>
      </c>
      <c r="F10765">
        <v>0</v>
      </c>
      <c r="G10765">
        <v>0</v>
      </c>
      <c r="H10765">
        <f>_xlfn.XLOOKUP(FACT_IMPORTS[[#This Row],[hts_6]],DIM_PRODUCTS[hts_6],DIM_PRODUCTS[hts_4],,,)</f>
        <v>8542</v>
      </c>
      <c r="I10765" t="str" cm="1">
        <f t="array" ref="I10765">_xlfn.XLOOKUP(FACT_IMPORTS[[#This Row],[country_name]],DIM_COUNTRY[[#All],[Column2]],DIM_COUNTRY[[#All],[Column3]],,,)</f>
        <v>USMCA</v>
      </c>
    </row>
    <row r="10766" spans="1:9" x14ac:dyDescent="0.4">
      <c r="A10766" t="s">
        <v>64</v>
      </c>
      <c r="B10766" s="1">
        <v>45901</v>
      </c>
      <c r="C10766">
        <v>854232</v>
      </c>
      <c r="D10766" t="s">
        <v>176</v>
      </c>
      <c r="E10766">
        <v>0</v>
      </c>
      <c r="F10766">
        <v>0</v>
      </c>
      <c r="G10766">
        <v>0</v>
      </c>
      <c r="H10766">
        <f>_xlfn.XLOOKUP(FACT_IMPORTS[[#This Row],[hts_6]],DIM_PRODUCTS[hts_6],DIM_PRODUCTS[hts_4],,,)</f>
        <v>8542</v>
      </c>
      <c r="I10766" t="str" cm="1">
        <f t="array" ref="I10766">_xlfn.XLOOKUP(FACT_IMPORTS[[#This Row],[country_name]],DIM_COUNTRY[[#All],[Column2]],DIM_COUNTRY[[#All],[Column3]],,,)</f>
        <v>USMCA</v>
      </c>
    </row>
    <row r="10767" spans="1:9" x14ac:dyDescent="0.4">
      <c r="A10767" t="s">
        <v>64</v>
      </c>
      <c r="B10767" s="1">
        <v>45901</v>
      </c>
      <c r="C10767">
        <v>854290</v>
      </c>
      <c r="D10767" t="s">
        <v>176</v>
      </c>
      <c r="E10767">
        <v>0</v>
      </c>
      <c r="F10767">
        <v>0</v>
      </c>
      <c r="G10767">
        <v>0</v>
      </c>
      <c r="H10767">
        <f>_xlfn.XLOOKUP(FACT_IMPORTS[[#This Row],[hts_6]],DIM_PRODUCTS[hts_6],DIM_PRODUCTS[hts_4],,,)</f>
        <v>8542</v>
      </c>
      <c r="I10767" t="str" cm="1">
        <f t="array" ref="I10767">_xlfn.XLOOKUP(FACT_IMPORTS[[#This Row],[country_name]],DIM_COUNTRY[[#All],[Column2]],DIM_COUNTRY[[#All],[Column3]],,,)</f>
        <v>USMCA</v>
      </c>
    </row>
    <row r="10768" spans="1:9" x14ac:dyDescent="0.4">
      <c r="A10768" t="s">
        <v>64</v>
      </c>
      <c r="B10768" s="1">
        <v>45901</v>
      </c>
      <c r="C10768">
        <v>854430</v>
      </c>
      <c r="D10768" t="s">
        <v>176</v>
      </c>
      <c r="E10768">
        <v>741767</v>
      </c>
      <c r="F10768">
        <v>97175</v>
      </c>
      <c r="G10768">
        <v>17634</v>
      </c>
      <c r="H10768">
        <f>_xlfn.XLOOKUP(FACT_IMPORTS[[#This Row],[hts_6]],DIM_PRODUCTS[hts_6],DIM_PRODUCTS[hts_4],,,)</f>
        <v>8544</v>
      </c>
      <c r="I10768" t="str" cm="1">
        <f t="array" ref="I10768">_xlfn.XLOOKUP(FACT_IMPORTS[[#This Row],[country_name]],DIM_COUNTRY[[#All],[Column2]],DIM_COUNTRY[[#All],[Column3]],,,)</f>
        <v>USMCA</v>
      </c>
    </row>
    <row r="10769" spans="1:9" x14ac:dyDescent="0.4">
      <c r="A10769" t="s">
        <v>64</v>
      </c>
      <c r="B10769" s="1">
        <v>45901</v>
      </c>
      <c r="C10769">
        <v>870790</v>
      </c>
      <c r="D10769" t="s">
        <v>176</v>
      </c>
      <c r="E10769">
        <v>0</v>
      </c>
      <c r="F10769">
        <v>0</v>
      </c>
      <c r="G10769">
        <v>0</v>
      </c>
      <c r="H10769">
        <f>_xlfn.XLOOKUP(FACT_IMPORTS[[#This Row],[hts_6]],DIM_PRODUCTS[hts_6],DIM_PRODUCTS[hts_4],,,)</f>
        <v>8707</v>
      </c>
      <c r="I10769" t="str" cm="1">
        <f t="array" ref="I10769">_xlfn.XLOOKUP(FACT_IMPORTS[[#This Row],[country_name]],DIM_COUNTRY[[#All],[Column2]],DIM_COUNTRY[[#All],[Column3]],,,)</f>
        <v>USMCA</v>
      </c>
    </row>
    <row r="10770" spans="1:9" x14ac:dyDescent="0.4">
      <c r="A10770" t="s">
        <v>64</v>
      </c>
      <c r="B10770" s="1">
        <v>45901</v>
      </c>
      <c r="C10770">
        <v>870810</v>
      </c>
      <c r="D10770" t="s">
        <v>176</v>
      </c>
      <c r="E10770">
        <v>9656</v>
      </c>
      <c r="F10770">
        <v>91</v>
      </c>
      <c r="G10770">
        <v>25</v>
      </c>
      <c r="H10770">
        <f>_xlfn.XLOOKUP(FACT_IMPORTS[[#This Row],[hts_6]],DIM_PRODUCTS[hts_6],DIM_PRODUCTS[hts_4],,,)</f>
        <v>8708</v>
      </c>
      <c r="I10770" t="str" cm="1">
        <f t="array" ref="I10770">_xlfn.XLOOKUP(FACT_IMPORTS[[#This Row],[country_name]],DIM_COUNTRY[[#All],[Column2]],DIM_COUNTRY[[#All],[Column3]],,,)</f>
        <v>USMCA</v>
      </c>
    </row>
    <row r="10771" spans="1:9" x14ac:dyDescent="0.4">
      <c r="A10771" t="s">
        <v>64</v>
      </c>
      <c r="B10771" s="1">
        <v>45901</v>
      </c>
      <c r="C10771">
        <v>870821</v>
      </c>
      <c r="D10771" t="s">
        <v>176</v>
      </c>
      <c r="E10771">
        <v>0</v>
      </c>
      <c r="F10771">
        <v>0</v>
      </c>
      <c r="G10771">
        <v>0</v>
      </c>
      <c r="H10771">
        <f>_xlfn.XLOOKUP(FACT_IMPORTS[[#This Row],[hts_6]],DIM_PRODUCTS[hts_6],DIM_PRODUCTS[hts_4],,,)</f>
        <v>8708</v>
      </c>
      <c r="I10771" t="str" cm="1">
        <f t="array" ref="I10771">_xlfn.XLOOKUP(FACT_IMPORTS[[#This Row],[country_name]],DIM_COUNTRY[[#All],[Column2]],DIM_COUNTRY[[#All],[Column3]],,,)</f>
        <v>USMCA</v>
      </c>
    </row>
    <row r="10772" spans="1:9" x14ac:dyDescent="0.4">
      <c r="A10772" t="s">
        <v>64</v>
      </c>
      <c r="B10772" s="1">
        <v>45901</v>
      </c>
      <c r="C10772">
        <v>870822</v>
      </c>
      <c r="D10772" t="s">
        <v>176</v>
      </c>
      <c r="E10772">
        <v>3369</v>
      </c>
      <c r="F10772">
        <v>20</v>
      </c>
      <c r="G10772">
        <v>200</v>
      </c>
      <c r="H10772">
        <f>_xlfn.XLOOKUP(FACT_IMPORTS[[#This Row],[hts_6]],DIM_PRODUCTS[hts_6],DIM_PRODUCTS[hts_4],,,)</f>
        <v>8708</v>
      </c>
      <c r="I10772" t="str" cm="1">
        <f t="array" ref="I10772">_xlfn.XLOOKUP(FACT_IMPORTS[[#This Row],[country_name]],DIM_COUNTRY[[#All],[Column2]],DIM_COUNTRY[[#All],[Column3]],,,)</f>
        <v>USMCA</v>
      </c>
    </row>
    <row r="10773" spans="1:9" x14ac:dyDescent="0.4">
      <c r="A10773" t="s">
        <v>64</v>
      </c>
      <c r="B10773" s="1">
        <v>45901</v>
      </c>
      <c r="C10773">
        <v>870829</v>
      </c>
      <c r="D10773" t="s">
        <v>176</v>
      </c>
      <c r="E10773">
        <v>658462</v>
      </c>
      <c r="F10773">
        <v>14091</v>
      </c>
      <c r="G10773">
        <v>14096</v>
      </c>
      <c r="H10773">
        <f>_xlfn.XLOOKUP(FACT_IMPORTS[[#This Row],[hts_6]],DIM_PRODUCTS[hts_6],DIM_PRODUCTS[hts_4],,,)</f>
        <v>8708</v>
      </c>
      <c r="I10773" t="str" cm="1">
        <f t="array" ref="I10773">_xlfn.XLOOKUP(FACT_IMPORTS[[#This Row],[country_name]],DIM_COUNTRY[[#All],[Column2]],DIM_COUNTRY[[#All],[Column3]],,,)</f>
        <v>USMCA</v>
      </c>
    </row>
    <row r="10774" spans="1:9" x14ac:dyDescent="0.4">
      <c r="A10774" t="s">
        <v>64</v>
      </c>
      <c r="B10774" s="1">
        <v>45901</v>
      </c>
      <c r="C10774">
        <v>870830</v>
      </c>
      <c r="D10774" t="s">
        <v>176</v>
      </c>
      <c r="E10774">
        <v>687820</v>
      </c>
      <c r="F10774">
        <v>10982</v>
      </c>
      <c r="G10774">
        <v>8370</v>
      </c>
      <c r="H10774">
        <f>_xlfn.XLOOKUP(FACT_IMPORTS[[#This Row],[hts_6]],DIM_PRODUCTS[hts_6],DIM_PRODUCTS[hts_4],,,)</f>
        <v>8708</v>
      </c>
      <c r="I10774" t="str" cm="1">
        <f t="array" ref="I10774">_xlfn.XLOOKUP(FACT_IMPORTS[[#This Row],[country_name]],DIM_COUNTRY[[#All],[Column2]],DIM_COUNTRY[[#All],[Column3]],,,)</f>
        <v>USMCA</v>
      </c>
    </row>
    <row r="10775" spans="1:9" x14ac:dyDescent="0.4">
      <c r="A10775" t="s">
        <v>64</v>
      </c>
      <c r="B10775" s="1">
        <v>45901</v>
      </c>
      <c r="C10775">
        <v>870840</v>
      </c>
      <c r="D10775" t="s">
        <v>176</v>
      </c>
      <c r="E10775">
        <v>277011</v>
      </c>
      <c r="F10775">
        <v>128</v>
      </c>
      <c r="G10775">
        <v>2324</v>
      </c>
      <c r="H10775">
        <f>_xlfn.XLOOKUP(FACT_IMPORTS[[#This Row],[hts_6]],DIM_PRODUCTS[hts_6],DIM_PRODUCTS[hts_4],,,)</f>
        <v>8708</v>
      </c>
      <c r="I10775" t="str" cm="1">
        <f t="array" ref="I10775">_xlfn.XLOOKUP(FACT_IMPORTS[[#This Row],[country_name]],DIM_COUNTRY[[#All],[Column2]],DIM_COUNTRY[[#All],[Column3]],,,)</f>
        <v>USMCA</v>
      </c>
    </row>
    <row r="10776" spans="1:9" x14ac:dyDescent="0.4">
      <c r="A10776" t="s">
        <v>64</v>
      </c>
      <c r="B10776" s="1">
        <v>45901</v>
      </c>
      <c r="C10776">
        <v>870850</v>
      </c>
      <c r="D10776" t="s">
        <v>176</v>
      </c>
      <c r="E10776">
        <v>81293</v>
      </c>
      <c r="F10776">
        <v>103</v>
      </c>
      <c r="G10776">
        <v>687</v>
      </c>
      <c r="H10776">
        <f>_xlfn.XLOOKUP(FACT_IMPORTS[[#This Row],[hts_6]],DIM_PRODUCTS[hts_6],DIM_PRODUCTS[hts_4],,,)</f>
        <v>8708</v>
      </c>
      <c r="I10776" t="str" cm="1">
        <f t="array" ref="I10776">_xlfn.XLOOKUP(FACT_IMPORTS[[#This Row],[country_name]],DIM_COUNTRY[[#All],[Column2]],DIM_COUNTRY[[#All],[Column3]],,,)</f>
        <v>USMCA</v>
      </c>
    </row>
    <row r="10777" spans="1:9" x14ac:dyDescent="0.4">
      <c r="A10777" t="s">
        <v>64</v>
      </c>
      <c r="B10777" s="1">
        <v>45901</v>
      </c>
      <c r="C10777">
        <v>870870</v>
      </c>
      <c r="D10777" t="s">
        <v>176</v>
      </c>
      <c r="E10777">
        <v>64232</v>
      </c>
      <c r="F10777">
        <v>1643</v>
      </c>
      <c r="G10777">
        <v>5751</v>
      </c>
      <c r="H10777">
        <f>_xlfn.XLOOKUP(FACT_IMPORTS[[#This Row],[hts_6]],DIM_PRODUCTS[hts_6],DIM_PRODUCTS[hts_4],,,)</f>
        <v>8708</v>
      </c>
      <c r="I10777" t="str" cm="1">
        <f t="array" ref="I10777">_xlfn.XLOOKUP(FACT_IMPORTS[[#This Row],[country_name]],DIM_COUNTRY[[#All],[Column2]],DIM_COUNTRY[[#All],[Column3]],,,)</f>
        <v>USMCA</v>
      </c>
    </row>
    <row r="10778" spans="1:9" x14ac:dyDescent="0.4">
      <c r="A10778" t="s">
        <v>64</v>
      </c>
      <c r="B10778" s="1">
        <v>45901</v>
      </c>
      <c r="C10778">
        <v>870880</v>
      </c>
      <c r="D10778" t="s">
        <v>176</v>
      </c>
      <c r="E10778">
        <v>19834</v>
      </c>
      <c r="F10778">
        <v>579</v>
      </c>
      <c r="G10778">
        <v>718</v>
      </c>
      <c r="H10778">
        <f>_xlfn.XLOOKUP(FACT_IMPORTS[[#This Row],[hts_6]],DIM_PRODUCTS[hts_6],DIM_PRODUCTS[hts_4],,,)</f>
        <v>8708</v>
      </c>
      <c r="I10778" t="str" cm="1">
        <f t="array" ref="I10778">_xlfn.XLOOKUP(FACT_IMPORTS[[#This Row],[country_name]],DIM_COUNTRY[[#All],[Column2]],DIM_COUNTRY[[#All],[Column3]],,,)</f>
        <v>USMCA</v>
      </c>
    </row>
    <row r="10779" spans="1:9" x14ac:dyDescent="0.4">
      <c r="A10779" t="s">
        <v>64</v>
      </c>
      <c r="B10779" s="1">
        <v>45901</v>
      </c>
      <c r="C10779">
        <v>870891</v>
      </c>
      <c r="D10779" t="s">
        <v>176</v>
      </c>
      <c r="E10779">
        <v>0</v>
      </c>
      <c r="F10779">
        <v>0</v>
      </c>
      <c r="G10779">
        <v>0</v>
      </c>
      <c r="H10779">
        <f>_xlfn.XLOOKUP(FACT_IMPORTS[[#This Row],[hts_6]],DIM_PRODUCTS[hts_6],DIM_PRODUCTS[hts_4],,,)</f>
        <v>8708</v>
      </c>
      <c r="I10779" t="str" cm="1">
        <f t="array" ref="I10779">_xlfn.XLOOKUP(FACT_IMPORTS[[#This Row],[country_name]],DIM_COUNTRY[[#All],[Column2]],DIM_COUNTRY[[#All],[Column3]],,,)</f>
        <v>USMCA</v>
      </c>
    </row>
    <row r="10780" spans="1:9" x14ac:dyDescent="0.4">
      <c r="A10780" t="s">
        <v>64</v>
      </c>
      <c r="B10780" s="1">
        <v>45901</v>
      </c>
      <c r="C10780">
        <v>870892</v>
      </c>
      <c r="D10780" t="s">
        <v>176</v>
      </c>
      <c r="E10780">
        <v>4664</v>
      </c>
      <c r="F10780">
        <v>180</v>
      </c>
      <c r="G10780">
        <v>18</v>
      </c>
      <c r="H10780">
        <f>_xlfn.XLOOKUP(FACT_IMPORTS[[#This Row],[hts_6]],DIM_PRODUCTS[hts_6],DIM_PRODUCTS[hts_4],,,)</f>
        <v>8708</v>
      </c>
      <c r="I10780" t="str" cm="1">
        <f t="array" ref="I10780">_xlfn.XLOOKUP(FACT_IMPORTS[[#This Row],[country_name]],DIM_COUNTRY[[#All],[Column2]],DIM_COUNTRY[[#All],[Column3]],,,)</f>
        <v>USMCA</v>
      </c>
    </row>
    <row r="10781" spans="1:9" x14ac:dyDescent="0.4">
      <c r="A10781" t="s">
        <v>64</v>
      </c>
      <c r="B10781" s="1">
        <v>45901</v>
      </c>
      <c r="C10781">
        <v>870893</v>
      </c>
      <c r="D10781" t="s">
        <v>176</v>
      </c>
      <c r="E10781">
        <v>31009</v>
      </c>
      <c r="F10781">
        <v>34</v>
      </c>
      <c r="G10781">
        <v>3166</v>
      </c>
      <c r="H10781">
        <f>_xlfn.XLOOKUP(FACT_IMPORTS[[#This Row],[hts_6]],DIM_PRODUCTS[hts_6],DIM_PRODUCTS[hts_4],,,)</f>
        <v>8708</v>
      </c>
      <c r="I10781" t="str" cm="1">
        <f t="array" ref="I10781">_xlfn.XLOOKUP(FACT_IMPORTS[[#This Row],[country_name]],DIM_COUNTRY[[#All],[Column2]],DIM_COUNTRY[[#All],[Column3]],,,)</f>
        <v>USMCA</v>
      </c>
    </row>
    <row r="10782" spans="1:9" x14ac:dyDescent="0.4">
      <c r="A10782" t="s">
        <v>64</v>
      </c>
      <c r="B10782" s="1">
        <v>45901</v>
      </c>
      <c r="C10782">
        <v>870894</v>
      </c>
      <c r="D10782" t="s">
        <v>176</v>
      </c>
      <c r="E10782">
        <v>152777</v>
      </c>
      <c r="F10782">
        <v>3255</v>
      </c>
      <c r="G10782">
        <v>1203</v>
      </c>
      <c r="H10782">
        <f>_xlfn.XLOOKUP(FACT_IMPORTS[[#This Row],[hts_6]],DIM_PRODUCTS[hts_6],DIM_PRODUCTS[hts_4],,,)</f>
        <v>8708</v>
      </c>
      <c r="I10782" t="str" cm="1">
        <f t="array" ref="I10782">_xlfn.XLOOKUP(FACT_IMPORTS[[#This Row],[country_name]],DIM_COUNTRY[[#All],[Column2]],DIM_COUNTRY[[#All],[Column3]],,,)</f>
        <v>USMCA</v>
      </c>
    </row>
    <row r="10783" spans="1:9" x14ac:dyDescent="0.4">
      <c r="A10783" t="s">
        <v>64</v>
      </c>
      <c r="B10783" s="1">
        <v>45901</v>
      </c>
      <c r="C10783">
        <v>870895</v>
      </c>
      <c r="D10783" t="s">
        <v>176</v>
      </c>
      <c r="E10783">
        <v>7002</v>
      </c>
      <c r="F10783">
        <v>1167</v>
      </c>
      <c r="G10783">
        <v>23</v>
      </c>
      <c r="H10783">
        <f>_xlfn.XLOOKUP(FACT_IMPORTS[[#This Row],[hts_6]],DIM_PRODUCTS[hts_6],DIM_PRODUCTS[hts_4],,,)</f>
        <v>8708</v>
      </c>
      <c r="I10783" t="str" cm="1">
        <f t="array" ref="I10783">_xlfn.XLOOKUP(FACT_IMPORTS[[#This Row],[country_name]],DIM_COUNTRY[[#All],[Column2]],DIM_COUNTRY[[#All],[Column3]],,,)</f>
        <v>USMCA</v>
      </c>
    </row>
    <row r="10784" spans="1:9" x14ac:dyDescent="0.4">
      <c r="A10784" t="s">
        <v>64</v>
      </c>
      <c r="B10784" s="1">
        <v>45901</v>
      </c>
      <c r="C10784">
        <v>870899</v>
      </c>
      <c r="D10784" t="s">
        <v>176</v>
      </c>
      <c r="E10784">
        <v>106545</v>
      </c>
      <c r="F10784">
        <v>21157</v>
      </c>
      <c r="G10784">
        <v>6284</v>
      </c>
      <c r="H10784">
        <f>_xlfn.XLOOKUP(FACT_IMPORTS[[#This Row],[hts_6]],DIM_PRODUCTS[hts_6],DIM_PRODUCTS[hts_4],,,)</f>
        <v>8708</v>
      </c>
      <c r="I10784" t="str" cm="1">
        <f t="array" ref="I10784">_xlfn.XLOOKUP(FACT_IMPORTS[[#This Row],[country_name]],DIM_COUNTRY[[#All],[Column2]],DIM_COUNTRY[[#All],[Column3]],,,)</f>
        <v>USMCA</v>
      </c>
    </row>
    <row r="10785" spans="1:9" x14ac:dyDescent="0.4">
      <c r="A10785" t="s">
        <v>64</v>
      </c>
      <c r="B10785" s="1">
        <v>45901</v>
      </c>
      <c r="C10785">
        <v>940120</v>
      </c>
      <c r="D10785" t="s">
        <v>176</v>
      </c>
      <c r="E10785">
        <v>20751</v>
      </c>
      <c r="F10785">
        <v>83</v>
      </c>
      <c r="G10785">
        <v>187</v>
      </c>
      <c r="H10785">
        <f>_xlfn.XLOOKUP(FACT_IMPORTS[[#This Row],[hts_6]],DIM_PRODUCTS[hts_6],DIM_PRODUCTS[hts_4],,,)</f>
        <v>9401</v>
      </c>
      <c r="I10785" t="str" cm="1">
        <f t="array" ref="I10785">_xlfn.XLOOKUP(FACT_IMPORTS[[#This Row],[country_name]],DIM_COUNTRY[[#All],[Column2]],DIM_COUNTRY[[#All],[Column3]],,,)</f>
        <v>USMCA</v>
      </c>
    </row>
    <row r="10786" spans="1:9" x14ac:dyDescent="0.4">
      <c r="A10786" t="s">
        <v>64</v>
      </c>
      <c r="B10786" s="1">
        <v>45931</v>
      </c>
      <c r="C10786">
        <v>392630</v>
      </c>
      <c r="D10786" t="s">
        <v>176</v>
      </c>
      <c r="E10786">
        <v>2809</v>
      </c>
      <c r="F10786">
        <v>138</v>
      </c>
      <c r="G10786">
        <v>244</v>
      </c>
      <c r="H10786">
        <f>_xlfn.XLOOKUP(FACT_IMPORTS[[#This Row],[hts_6]],DIM_PRODUCTS[hts_6],DIM_PRODUCTS[hts_4],,,)</f>
        <v>3926</v>
      </c>
      <c r="I10786" t="str" cm="1">
        <f t="array" ref="I10786">_xlfn.XLOOKUP(FACT_IMPORTS[[#This Row],[country_name]],DIM_COUNTRY[[#All],[Column2]],DIM_COUNTRY[[#All],[Column3]],,,)</f>
        <v>USMCA</v>
      </c>
    </row>
    <row r="10787" spans="1:9" x14ac:dyDescent="0.4">
      <c r="A10787" t="s">
        <v>64</v>
      </c>
      <c r="B10787" s="1">
        <v>45931</v>
      </c>
      <c r="C10787">
        <v>401110</v>
      </c>
      <c r="D10787" t="s">
        <v>176</v>
      </c>
      <c r="E10787">
        <v>198190</v>
      </c>
      <c r="F10787">
        <v>2426</v>
      </c>
      <c r="G10787">
        <v>10116</v>
      </c>
      <c r="H10787">
        <f>_xlfn.XLOOKUP(FACT_IMPORTS[[#This Row],[hts_6]],DIM_PRODUCTS[hts_6],DIM_PRODUCTS[hts_4],,,)</f>
        <v>4011</v>
      </c>
      <c r="I10787" t="str" cm="1">
        <f t="array" ref="I10787">_xlfn.XLOOKUP(FACT_IMPORTS[[#This Row],[country_name]],DIM_COUNTRY[[#All],[Column2]],DIM_COUNTRY[[#All],[Column3]],,,)</f>
        <v>USMCA</v>
      </c>
    </row>
    <row r="10788" spans="1:9" x14ac:dyDescent="0.4">
      <c r="A10788" t="s">
        <v>64</v>
      </c>
      <c r="B10788" s="1">
        <v>45931</v>
      </c>
      <c r="C10788">
        <v>401120</v>
      </c>
      <c r="D10788" t="s">
        <v>176</v>
      </c>
      <c r="E10788">
        <v>0</v>
      </c>
      <c r="F10788">
        <v>0</v>
      </c>
      <c r="G10788">
        <v>0</v>
      </c>
      <c r="H10788">
        <f>_xlfn.XLOOKUP(FACT_IMPORTS[[#This Row],[hts_6]],DIM_PRODUCTS[hts_6],DIM_PRODUCTS[hts_4],,,)</f>
        <v>4011</v>
      </c>
      <c r="I10788" t="str" cm="1">
        <f t="array" ref="I10788">_xlfn.XLOOKUP(FACT_IMPORTS[[#This Row],[country_name]],DIM_COUNTRY[[#All],[Column2]],DIM_COUNTRY[[#All],[Column3]],,,)</f>
        <v>USMCA</v>
      </c>
    </row>
    <row r="10789" spans="1:9" x14ac:dyDescent="0.4">
      <c r="A10789" t="s">
        <v>64</v>
      </c>
      <c r="B10789" s="1">
        <v>45931</v>
      </c>
      <c r="C10789">
        <v>401190</v>
      </c>
      <c r="D10789" t="s">
        <v>176</v>
      </c>
      <c r="E10789">
        <v>0</v>
      </c>
      <c r="F10789">
        <v>0</v>
      </c>
      <c r="G10789">
        <v>0</v>
      </c>
      <c r="H10789">
        <f>_xlfn.XLOOKUP(FACT_IMPORTS[[#This Row],[hts_6]],DIM_PRODUCTS[hts_6],DIM_PRODUCTS[hts_4],,,)</f>
        <v>4011</v>
      </c>
      <c r="I10789" t="str" cm="1">
        <f t="array" ref="I10789">_xlfn.XLOOKUP(FACT_IMPORTS[[#This Row],[country_name]],DIM_COUNTRY[[#All],[Column2]],DIM_COUNTRY[[#All],[Column3]],,,)</f>
        <v>USMCA</v>
      </c>
    </row>
    <row r="10790" spans="1:9" x14ac:dyDescent="0.4">
      <c r="A10790" t="s">
        <v>64</v>
      </c>
      <c r="B10790" s="1">
        <v>45931</v>
      </c>
      <c r="C10790">
        <v>700711</v>
      </c>
      <c r="D10790" t="s">
        <v>176</v>
      </c>
      <c r="E10790">
        <v>0</v>
      </c>
      <c r="F10790">
        <v>0</v>
      </c>
      <c r="G10790">
        <v>0</v>
      </c>
      <c r="H10790">
        <f>_xlfn.XLOOKUP(FACT_IMPORTS[[#This Row],[hts_6]],DIM_PRODUCTS[hts_6],DIM_PRODUCTS[hts_4],,,)</f>
        <v>7007</v>
      </c>
      <c r="I10790" t="str" cm="1">
        <f t="array" ref="I10790">_xlfn.XLOOKUP(FACT_IMPORTS[[#This Row],[country_name]],DIM_COUNTRY[[#All],[Column2]],DIM_COUNTRY[[#All],[Column3]],,,)</f>
        <v>USMCA</v>
      </c>
    </row>
    <row r="10791" spans="1:9" x14ac:dyDescent="0.4">
      <c r="A10791" t="s">
        <v>64</v>
      </c>
      <c r="B10791" s="1">
        <v>45931</v>
      </c>
      <c r="C10791">
        <v>700721</v>
      </c>
      <c r="D10791" t="s">
        <v>176</v>
      </c>
      <c r="E10791">
        <v>0</v>
      </c>
      <c r="F10791">
        <v>0</v>
      </c>
      <c r="G10791">
        <v>0</v>
      </c>
      <c r="H10791">
        <f>_xlfn.XLOOKUP(FACT_IMPORTS[[#This Row],[hts_6]],DIM_PRODUCTS[hts_6],DIM_PRODUCTS[hts_4],,,)</f>
        <v>7007</v>
      </c>
      <c r="I10791" t="str" cm="1">
        <f t="array" ref="I10791">_xlfn.XLOOKUP(FACT_IMPORTS[[#This Row],[country_name]],DIM_COUNTRY[[#All],[Column2]],DIM_COUNTRY[[#All],[Column3]],,,)</f>
        <v>USMCA</v>
      </c>
    </row>
    <row r="10792" spans="1:9" x14ac:dyDescent="0.4">
      <c r="A10792" t="s">
        <v>64</v>
      </c>
      <c r="B10792" s="1">
        <v>45931</v>
      </c>
      <c r="C10792">
        <v>700910</v>
      </c>
      <c r="D10792" t="s">
        <v>176</v>
      </c>
      <c r="E10792">
        <v>0</v>
      </c>
      <c r="F10792">
        <v>0</v>
      </c>
      <c r="G10792">
        <v>0</v>
      </c>
      <c r="H10792">
        <f>_xlfn.XLOOKUP(FACT_IMPORTS[[#This Row],[hts_6]],DIM_PRODUCTS[hts_6],DIM_PRODUCTS[hts_4],,,)</f>
        <v>7009</v>
      </c>
      <c r="I10792" t="str" cm="1">
        <f t="array" ref="I10792">_xlfn.XLOOKUP(FACT_IMPORTS[[#This Row],[country_name]],DIM_COUNTRY[[#All],[Column2]],DIM_COUNTRY[[#All],[Column3]],,,)</f>
        <v>USMCA</v>
      </c>
    </row>
    <row r="10793" spans="1:9" x14ac:dyDescent="0.4">
      <c r="A10793" t="s">
        <v>64</v>
      </c>
      <c r="B10793" s="1">
        <v>45931</v>
      </c>
      <c r="C10793">
        <v>732010</v>
      </c>
      <c r="D10793" t="s">
        <v>176</v>
      </c>
      <c r="E10793">
        <v>90855</v>
      </c>
      <c r="F10793">
        <v>14623</v>
      </c>
      <c r="G10793">
        <v>281</v>
      </c>
      <c r="H10793">
        <f>_xlfn.XLOOKUP(FACT_IMPORTS[[#This Row],[hts_6]],DIM_PRODUCTS[hts_6],DIM_PRODUCTS[hts_4],,,)</f>
        <v>7320</v>
      </c>
      <c r="I10793" t="str" cm="1">
        <f t="array" ref="I10793">_xlfn.XLOOKUP(FACT_IMPORTS[[#This Row],[country_name]],DIM_COUNTRY[[#All],[Column2]],DIM_COUNTRY[[#All],[Column3]],,,)</f>
        <v>USMCA</v>
      </c>
    </row>
    <row r="10794" spans="1:9" x14ac:dyDescent="0.4">
      <c r="A10794" t="s">
        <v>64</v>
      </c>
      <c r="B10794" s="1">
        <v>45931</v>
      </c>
      <c r="C10794">
        <v>830230</v>
      </c>
      <c r="D10794" t="s">
        <v>176</v>
      </c>
      <c r="E10794">
        <v>129798</v>
      </c>
      <c r="F10794">
        <v>6546</v>
      </c>
      <c r="G10794">
        <v>4452</v>
      </c>
      <c r="H10794">
        <f>_xlfn.XLOOKUP(FACT_IMPORTS[[#This Row],[hts_6]],DIM_PRODUCTS[hts_6],DIM_PRODUCTS[hts_4],,,)</f>
        <v>8302</v>
      </c>
      <c r="I10794" t="str" cm="1">
        <f t="array" ref="I10794">_xlfn.XLOOKUP(FACT_IMPORTS[[#This Row],[country_name]],DIM_COUNTRY[[#All],[Column2]],DIM_COUNTRY[[#All],[Column3]],,,)</f>
        <v>USMCA</v>
      </c>
    </row>
    <row r="10795" spans="1:9" x14ac:dyDescent="0.4">
      <c r="A10795" t="s">
        <v>64</v>
      </c>
      <c r="B10795" s="1">
        <v>45931</v>
      </c>
      <c r="C10795">
        <v>840733</v>
      </c>
      <c r="D10795" t="s">
        <v>176</v>
      </c>
      <c r="E10795">
        <v>2544</v>
      </c>
      <c r="F10795">
        <v>1</v>
      </c>
      <c r="G10795">
        <v>1</v>
      </c>
      <c r="H10795">
        <f>_xlfn.XLOOKUP(FACT_IMPORTS[[#This Row],[hts_6]],DIM_PRODUCTS[hts_6],DIM_PRODUCTS[hts_4],,,)</f>
        <v>8407</v>
      </c>
      <c r="I10795" t="str" cm="1">
        <f t="array" ref="I10795">_xlfn.XLOOKUP(FACT_IMPORTS[[#This Row],[country_name]],DIM_COUNTRY[[#All],[Column2]],DIM_COUNTRY[[#All],[Column3]],,,)</f>
        <v>USMCA</v>
      </c>
    </row>
    <row r="10796" spans="1:9" x14ac:dyDescent="0.4">
      <c r="A10796" t="s">
        <v>64</v>
      </c>
      <c r="B10796" s="1">
        <v>45931</v>
      </c>
      <c r="C10796">
        <v>840734</v>
      </c>
      <c r="D10796" t="s">
        <v>176</v>
      </c>
      <c r="E10796">
        <v>302663</v>
      </c>
      <c r="F10796">
        <v>149</v>
      </c>
      <c r="G10796">
        <v>1728</v>
      </c>
      <c r="H10796">
        <f>_xlfn.XLOOKUP(FACT_IMPORTS[[#This Row],[hts_6]],DIM_PRODUCTS[hts_6],DIM_PRODUCTS[hts_4],,,)</f>
        <v>8407</v>
      </c>
      <c r="I10796" t="str" cm="1">
        <f t="array" ref="I10796">_xlfn.XLOOKUP(FACT_IMPORTS[[#This Row],[country_name]],DIM_COUNTRY[[#All],[Column2]],DIM_COUNTRY[[#All],[Column3]],,,)</f>
        <v>USMCA</v>
      </c>
    </row>
    <row r="10797" spans="1:9" x14ac:dyDescent="0.4">
      <c r="A10797" t="s">
        <v>64</v>
      </c>
      <c r="B10797" s="1">
        <v>45931</v>
      </c>
      <c r="C10797">
        <v>840820</v>
      </c>
      <c r="D10797" t="s">
        <v>176</v>
      </c>
      <c r="E10797">
        <v>237466</v>
      </c>
      <c r="F10797">
        <v>38</v>
      </c>
      <c r="G10797">
        <v>574</v>
      </c>
      <c r="H10797">
        <f>_xlfn.XLOOKUP(FACT_IMPORTS[[#This Row],[hts_6]],DIM_PRODUCTS[hts_6],DIM_PRODUCTS[hts_4],,,)</f>
        <v>8408</v>
      </c>
      <c r="I10797" t="str" cm="1">
        <f t="array" ref="I10797">_xlfn.XLOOKUP(FACT_IMPORTS[[#This Row],[country_name]],DIM_COUNTRY[[#All],[Column2]],DIM_COUNTRY[[#All],[Column3]],,,)</f>
        <v>USMCA</v>
      </c>
    </row>
    <row r="10798" spans="1:9" x14ac:dyDescent="0.4">
      <c r="A10798" t="s">
        <v>64</v>
      </c>
      <c r="B10798" s="1">
        <v>45931</v>
      </c>
      <c r="C10798">
        <v>840890</v>
      </c>
      <c r="D10798" t="s">
        <v>176</v>
      </c>
      <c r="E10798">
        <v>2300</v>
      </c>
      <c r="F10798">
        <v>1</v>
      </c>
      <c r="G10798">
        <v>13</v>
      </c>
      <c r="H10798">
        <f>_xlfn.XLOOKUP(FACT_IMPORTS[[#This Row],[hts_6]],DIM_PRODUCTS[hts_6],DIM_PRODUCTS[hts_4],,,)</f>
        <v>8408</v>
      </c>
      <c r="I10798" t="str" cm="1">
        <f t="array" ref="I10798">_xlfn.XLOOKUP(FACT_IMPORTS[[#This Row],[country_name]],DIM_COUNTRY[[#All],[Column2]],DIM_COUNTRY[[#All],[Column3]],,,)</f>
        <v>USMCA</v>
      </c>
    </row>
    <row r="10799" spans="1:9" x14ac:dyDescent="0.4">
      <c r="A10799" t="s">
        <v>64</v>
      </c>
      <c r="B10799" s="1">
        <v>45931</v>
      </c>
      <c r="C10799">
        <v>840991</v>
      </c>
      <c r="D10799" t="s">
        <v>176</v>
      </c>
      <c r="E10799">
        <v>2092886</v>
      </c>
      <c r="F10799">
        <v>87664</v>
      </c>
      <c r="G10799">
        <v>9657</v>
      </c>
      <c r="H10799">
        <f>_xlfn.XLOOKUP(FACT_IMPORTS[[#This Row],[hts_6]],DIM_PRODUCTS[hts_6],DIM_PRODUCTS[hts_4],,,)</f>
        <v>8409</v>
      </c>
      <c r="I10799" t="str" cm="1">
        <f t="array" ref="I10799">_xlfn.XLOOKUP(FACT_IMPORTS[[#This Row],[country_name]],DIM_COUNTRY[[#All],[Column2]],DIM_COUNTRY[[#All],[Column3]],,,)</f>
        <v>USMCA</v>
      </c>
    </row>
    <row r="10800" spans="1:9" x14ac:dyDescent="0.4">
      <c r="A10800" t="s">
        <v>64</v>
      </c>
      <c r="B10800" s="1">
        <v>45931</v>
      </c>
      <c r="C10800">
        <v>840999</v>
      </c>
      <c r="D10800" t="s">
        <v>176</v>
      </c>
      <c r="E10800">
        <v>164717</v>
      </c>
      <c r="F10800">
        <v>3801</v>
      </c>
      <c r="G10800">
        <v>2673</v>
      </c>
      <c r="H10800">
        <f>_xlfn.XLOOKUP(FACT_IMPORTS[[#This Row],[hts_6]],DIM_PRODUCTS[hts_6],DIM_PRODUCTS[hts_4],,,)</f>
        <v>8409</v>
      </c>
      <c r="I10800" t="str" cm="1">
        <f t="array" ref="I10800">_xlfn.XLOOKUP(FACT_IMPORTS[[#This Row],[country_name]],DIM_COUNTRY[[#All],[Column2]],DIM_COUNTRY[[#All],[Column3]],,,)</f>
        <v>USMCA</v>
      </c>
    </row>
    <row r="10801" spans="1:9" x14ac:dyDescent="0.4">
      <c r="A10801" t="s">
        <v>64</v>
      </c>
      <c r="B10801" s="1">
        <v>45931</v>
      </c>
      <c r="C10801">
        <v>841330</v>
      </c>
      <c r="D10801" t="s">
        <v>176</v>
      </c>
      <c r="E10801">
        <v>108508</v>
      </c>
      <c r="F10801">
        <v>326</v>
      </c>
      <c r="G10801">
        <v>2131</v>
      </c>
      <c r="H10801">
        <f>_xlfn.XLOOKUP(FACT_IMPORTS[[#This Row],[hts_6]],DIM_PRODUCTS[hts_6],DIM_PRODUCTS[hts_4],,,)</f>
        <v>8413</v>
      </c>
      <c r="I10801" t="str" cm="1">
        <f t="array" ref="I10801">_xlfn.XLOOKUP(FACT_IMPORTS[[#This Row],[country_name]],DIM_COUNTRY[[#All],[Column2]],DIM_COUNTRY[[#All],[Column3]],,,)</f>
        <v>USMCA</v>
      </c>
    </row>
    <row r="10802" spans="1:9" x14ac:dyDescent="0.4">
      <c r="A10802" t="s">
        <v>64</v>
      </c>
      <c r="B10802" s="1">
        <v>45931</v>
      </c>
      <c r="C10802">
        <v>841520</v>
      </c>
      <c r="D10802" t="s">
        <v>176</v>
      </c>
      <c r="E10802">
        <v>10192</v>
      </c>
      <c r="F10802">
        <v>4</v>
      </c>
      <c r="G10802">
        <v>3</v>
      </c>
      <c r="H10802">
        <f>_xlfn.XLOOKUP(FACT_IMPORTS[[#This Row],[hts_6]],DIM_PRODUCTS[hts_6],DIM_PRODUCTS[hts_4],,,)</f>
        <v>8415</v>
      </c>
      <c r="I10802" t="str" cm="1">
        <f t="array" ref="I10802">_xlfn.XLOOKUP(FACT_IMPORTS[[#This Row],[country_name]],DIM_COUNTRY[[#All],[Column2]],DIM_COUNTRY[[#All],[Column3]],,,)</f>
        <v>USMCA</v>
      </c>
    </row>
    <row r="10803" spans="1:9" x14ac:dyDescent="0.4">
      <c r="A10803" t="s">
        <v>64</v>
      </c>
      <c r="B10803" s="1">
        <v>45931</v>
      </c>
      <c r="C10803">
        <v>842132</v>
      </c>
      <c r="D10803" t="s">
        <v>176</v>
      </c>
      <c r="E10803">
        <v>98362</v>
      </c>
      <c r="F10803">
        <v>384</v>
      </c>
      <c r="G10803">
        <v>4510</v>
      </c>
      <c r="H10803">
        <f>_xlfn.XLOOKUP(FACT_IMPORTS[[#This Row],[hts_6]],DIM_PRODUCTS[hts_6],DIM_PRODUCTS[hts_4],,,)</f>
        <v>8421</v>
      </c>
      <c r="I10803" t="str" cm="1">
        <f t="array" ref="I10803">_xlfn.XLOOKUP(FACT_IMPORTS[[#This Row],[country_name]],DIM_COUNTRY[[#All],[Column2]],DIM_COUNTRY[[#All],[Column3]],,,)</f>
        <v>USMCA</v>
      </c>
    </row>
    <row r="10804" spans="1:9" x14ac:dyDescent="0.4">
      <c r="A10804" t="s">
        <v>64</v>
      </c>
      <c r="B10804" s="1">
        <v>45931</v>
      </c>
      <c r="C10804">
        <v>848210</v>
      </c>
      <c r="D10804" t="s">
        <v>176</v>
      </c>
      <c r="E10804">
        <v>0</v>
      </c>
      <c r="F10804">
        <v>0</v>
      </c>
      <c r="G10804">
        <v>0</v>
      </c>
      <c r="H10804">
        <f>_xlfn.XLOOKUP(FACT_IMPORTS[[#This Row],[hts_6]],DIM_PRODUCTS[hts_6],DIM_PRODUCTS[hts_4],,,)</f>
        <v>8482</v>
      </c>
      <c r="I10804" t="str" cm="1">
        <f t="array" ref="I10804">_xlfn.XLOOKUP(FACT_IMPORTS[[#This Row],[country_name]],DIM_COUNTRY[[#All],[Column2]],DIM_COUNTRY[[#All],[Column3]],,,)</f>
        <v>USMCA</v>
      </c>
    </row>
    <row r="10805" spans="1:9" x14ac:dyDescent="0.4">
      <c r="A10805" t="s">
        <v>64</v>
      </c>
      <c r="B10805" s="1">
        <v>45931</v>
      </c>
      <c r="C10805">
        <v>848220</v>
      </c>
      <c r="D10805" t="s">
        <v>176</v>
      </c>
      <c r="E10805">
        <v>0</v>
      </c>
      <c r="F10805">
        <v>0</v>
      </c>
      <c r="G10805">
        <v>0</v>
      </c>
      <c r="H10805">
        <f>_xlfn.XLOOKUP(FACT_IMPORTS[[#This Row],[hts_6]],DIM_PRODUCTS[hts_6],DIM_PRODUCTS[hts_4],,,)</f>
        <v>8482</v>
      </c>
      <c r="I10805" t="str" cm="1">
        <f t="array" ref="I10805">_xlfn.XLOOKUP(FACT_IMPORTS[[#This Row],[country_name]],DIM_COUNTRY[[#All],[Column2]],DIM_COUNTRY[[#All],[Column3]],,,)</f>
        <v>USMCA</v>
      </c>
    </row>
    <row r="10806" spans="1:9" x14ac:dyDescent="0.4">
      <c r="A10806" t="s">
        <v>64</v>
      </c>
      <c r="B10806" s="1">
        <v>45931</v>
      </c>
      <c r="C10806">
        <v>848310</v>
      </c>
      <c r="D10806" t="s">
        <v>176</v>
      </c>
      <c r="E10806">
        <v>0</v>
      </c>
      <c r="F10806">
        <v>0</v>
      </c>
      <c r="G10806">
        <v>0</v>
      </c>
      <c r="H10806">
        <f>_xlfn.XLOOKUP(FACT_IMPORTS[[#This Row],[hts_6]],DIM_PRODUCTS[hts_6],DIM_PRODUCTS[hts_4],,,)</f>
        <v>8483</v>
      </c>
      <c r="I10806" t="str" cm="1">
        <f t="array" ref="I10806">_xlfn.XLOOKUP(FACT_IMPORTS[[#This Row],[country_name]],DIM_COUNTRY[[#All],[Column2]],DIM_COUNTRY[[#All],[Column3]],,,)</f>
        <v>USMCA</v>
      </c>
    </row>
    <row r="10807" spans="1:9" x14ac:dyDescent="0.4">
      <c r="A10807" t="s">
        <v>64</v>
      </c>
      <c r="B10807" s="1">
        <v>45931</v>
      </c>
      <c r="C10807">
        <v>850131</v>
      </c>
      <c r="D10807" t="s">
        <v>176</v>
      </c>
      <c r="E10807">
        <v>24597</v>
      </c>
      <c r="F10807">
        <v>516</v>
      </c>
      <c r="G10807">
        <v>1002</v>
      </c>
      <c r="H10807">
        <f>_xlfn.XLOOKUP(FACT_IMPORTS[[#This Row],[hts_6]],DIM_PRODUCTS[hts_6],DIM_PRODUCTS[hts_4],,,)</f>
        <v>8501</v>
      </c>
      <c r="I10807" t="str" cm="1">
        <f t="array" ref="I10807">_xlfn.XLOOKUP(FACT_IMPORTS[[#This Row],[country_name]],DIM_COUNTRY[[#All],[Column2]],DIM_COUNTRY[[#All],[Column3]],,,)</f>
        <v>USMCA</v>
      </c>
    </row>
    <row r="10808" spans="1:9" x14ac:dyDescent="0.4">
      <c r="A10808" t="s">
        <v>64</v>
      </c>
      <c r="B10808" s="1">
        <v>45931</v>
      </c>
      <c r="C10808">
        <v>850132</v>
      </c>
      <c r="D10808" t="s">
        <v>176</v>
      </c>
      <c r="E10808">
        <v>2412</v>
      </c>
      <c r="F10808">
        <v>2</v>
      </c>
      <c r="G10808">
        <v>200</v>
      </c>
      <c r="H10808">
        <f>_xlfn.XLOOKUP(FACT_IMPORTS[[#This Row],[hts_6]],DIM_PRODUCTS[hts_6],DIM_PRODUCTS[hts_4],,,)</f>
        <v>8501</v>
      </c>
      <c r="I10808" t="str" cm="1">
        <f t="array" ref="I10808">_xlfn.XLOOKUP(FACT_IMPORTS[[#This Row],[country_name]],DIM_COUNTRY[[#All],[Column2]],DIM_COUNTRY[[#All],[Column3]],,,)</f>
        <v>USMCA</v>
      </c>
    </row>
    <row r="10809" spans="1:9" x14ac:dyDescent="0.4">
      <c r="A10809" t="s">
        <v>64</v>
      </c>
      <c r="B10809" s="1">
        <v>45931</v>
      </c>
      <c r="C10809">
        <v>850134</v>
      </c>
      <c r="D10809" t="s">
        <v>176</v>
      </c>
      <c r="E10809">
        <v>56591</v>
      </c>
      <c r="F10809">
        <v>1</v>
      </c>
      <c r="G10809">
        <v>300</v>
      </c>
      <c r="H10809">
        <f>_xlfn.XLOOKUP(FACT_IMPORTS[[#This Row],[hts_6]],DIM_PRODUCTS[hts_6],DIM_PRODUCTS[hts_4],,,)</f>
        <v>8501</v>
      </c>
      <c r="I10809" t="str" cm="1">
        <f t="array" ref="I10809">_xlfn.XLOOKUP(FACT_IMPORTS[[#This Row],[country_name]],DIM_COUNTRY[[#All],[Column2]],DIM_COUNTRY[[#All],[Column3]],,,)</f>
        <v>USMCA</v>
      </c>
    </row>
    <row r="10810" spans="1:9" x14ac:dyDescent="0.4">
      <c r="A10810" t="s">
        <v>64</v>
      </c>
      <c r="B10810" s="1">
        <v>45931</v>
      </c>
      <c r="C10810">
        <v>850152</v>
      </c>
      <c r="D10810" t="s">
        <v>176</v>
      </c>
      <c r="E10810">
        <v>117498</v>
      </c>
      <c r="F10810">
        <v>113</v>
      </c>
      <c r="G10810">
        <v>1077</v>
      </c>
      <c r="H10810">
        <f>_xlfn.XLOOKUP(FACT_IMPORTS[[#This Row],[hts_6]],DIM_PRODUCTS[hts_6],DIM_PRODUCTS[hts_4],,,)</f>
        <v>8501</v>
      </c>
      <c r="I10810" t="str" cm="1">
        <f t="array" ref="I10810">_xlfn.XLOOKUP(FACT_IMPORTS[[#This Row],[country_name]],DIM_COUNTRY[[#All],[Column2]],DIM_COUNTRY[[#All],[Column3]],,,)</f>
        <v>USMCA</v>
      </c>
    </row>
    <row r="10811" spans="1:9" x14ac:dyDescent="0.4">
      <c r="A10811" t="s">
        <v>64</v>
      </c>
      <c r="B10811" s="1">
        <v>45931</v>
      </c>
      <c r="C10811">
        <v>850153</v>
      </c>
      <c r="D10811" t="s">
        <v>176</v>
      </c>
      <c r="E10811">
        <v>286361</v>
      </c>
      <c r="F10811">
        <v>65</v>
      </c>
      <c r="G10811">
        <v>11624</v>
      </c>
      <c r="H10811">
        <f>_xlfn.XLOOKUP(FACT_IMPORTS[[#This Row],[hts_6]],DIM_PRODUCTS[hts_6],DIM_PRODUCTS[hts_4],,,)</f>
        <v>8501</v>
      </c>
      <c r="I10811" t="str" cm="1">
        <f t="array" ref="I10811">_xlfn.XLOOKUP(FACT_IMPORTS[[#This Row],[country_name]],DIM_COUNTRY[[#All],[Column2]],DIM_COUNTRY[[#All],[Column3]],,,)</f>
        <v>USMCA</v>
      </c>
    </row>
    <row r="10812" spans="1:9" x14ac:dyDescent="0.4">
      <c r="A10812" t="s">
        <v>64</v>
      </c>
      <c r="B10812" s="1">
        <v>45931</v>
      </c>
      <c r="C10812">
        <v>850440</v>
      </c>
      <c r="D10812" t="s">
        <v>176</v>
      </c>
      <c r="E10812">
        <v>33584</v>
      </c>
      <c r="F10812">
        <v>691</v>
      </c>
      <c r="G10812">
        <v>1698</v>
      </c>
      <c r="H10812">
        <f>_xlfn.XLOOKUP(FACT_IMPORTS[[#This Row],[hts_6]],DIM_PRODUCTS[hts_6],DIM_PRODUCTS[hts_4],,,)</f>
        <v>8504</v>
      </c>
      <c r="I10812" t="str" cm="1">
        <f t="array" ref="I10812">_xlfn.XLOOKUP(FACT_IMPORTS[[#This Row],[country_name]],DIM_COUNTRY[[#All],[Column2]],DIM_COUNTRY[[#All],[Column3]],,,)</f>
        <v>USMCA</v>
      </c>
    </row>
    <row r="10813" spans="1:9" x14ac:dyDescent="0.4">
      <c r="A10813" t="s">
        <v>64</v>
      </c>
      <c r="B10813" s="1">
        <v>45931</v>
      </c>
      <c r="C10813">
        <v>850710</v>
      </c>
      <c r="D10813" t="s">
        <v>176</v>
      </c>
      <c r="E10813">
        <v>4408</v>
      </c>
      <c r="F10813">
        <v>75</v>
      </c>
      <c r="G10813">
        <v>160</v>
      </c>
      <c r="H10813">
        <f>_xlfn.XLOOKUP(FACT_IMPORTS[[#This Row],[hts_6]],DIM_PRODUCTS[hts_6],DIM_PRODUCTS[hts_4],,,)</f>
        <v>8507</v>
      </c>
      <c r="I10813" t="str" cm="1">
        <f t="array" ref="I10813">_xlfn.XLOOKUP(FACT_IMPORTS[[#This Row],[country_name]],DIM_COUNTRY[[#All],[Column2]],DIM_COUNTRY[[#All],[Column3]],,,)</f>
        <v>USMCA</v>
      </c>
    </row>
    <row r="10814" spans="1:9" x14ac:dyDescent="0.4">
      <c r="A10814" t="s">
        <v>64</v>
      </c>
      <c r="B10814" s="1">
        <v>45931</v>
      </c>
      <c r="C10814">
        <v>850760</v>
      </c>
      <c r="D10814" t="s">
        <v>176</v>
      </c>
      <c r="E10814">
        <v>277749</v>
      </c>
      <c r="F10814">
        <v>9</v>
      </c>
      <c r="G10814">
        <v>6445</v>
      </c>
      <c r="H10814">
        <f>_xlfn.XLOOKUP(FACT_IMPORTS[[#This Row],[hts_6]],DIM_PRODUCTS[hts_6],DIM_PRODUCTS[hts_4],,,)</f>
        <v>8507</v>
      </c>
      <c r="I10814" t="str" cm="1">
        <f t="array" ref="I10814">_xlfn.XLOOKUP(FACT_IMPORTS[[#This Row],[country_name]],DIM_COUNTRY[[#All],[Column2]],DIM_COUNTRY[[#All],[Column3]],,,)</f>
        <v>USMCA</v>
      </c>
    </row>
    <row r="10815" spans="1:9" x14ac:dyDescent="0.4">
      <c r="A10815" t="s">
        <v>64</v>
      </c>
      <c r="B10815" s="1">
        <v>45931</v>
      </c>
      <c r="C10815">
        <v>851110</v>
      </c>
      <c r="D10815" t="s">
        <v>176</v>
      </c>
      <c r="E10815">
        <v>0</v>
      </c>
      <c r="F10815">
        <v>0</v>
      </c>
      <c r="G10815">
        <v>0</v>
      </c>
      <c r="H10815">
        <f>_xlfn.XLOOKUP(FACT_IMPORTS[[#This Row],[hts_6]],DIM_PRODUCTS[hts_6],DIM_PRODUCTS[hts_4],,,)</f>
        <v>8511</v>
      </c>
      <c r="I10815" t="str" cm="1">
        <f t="array" ref="I10815">_xlfn.XLOOKUP(FACT_IMPORTS[[#This Row],[country_name]],DIM_COUNTRY[[#All],[Column2]],DIM_COUNTRY[[#All],[Column3]],,,)</f>
        <v>USMCA</v>
      </c>
    </row>
    <row r="10816" spans="1:9" x14ac:dyDescent="0.4">
      <c r="A10816" t="s">
        <v>64</v>
      </c>
      <c r="B10816" s="1">
        <v>45931</v>
      </c>
      <c r="C10816">
        <v>851120</v>
      </c>
      <c r="D10816" t="s">
        <v>176</v>
      </c>
      <c r="E10816">
        <v>0</v>
      </c>
      <c r="F10816">
        <v>0</v>
      </c>
      <c r="G10816">
        <v>0</v>
      </c>
      <c r="H10816">
        <f>_xlfn.XLOOKUP(FACT_IMPORTS[[#This Row],[hts_6]],DIM_PRODUCTS[hts_6],DIM_PRODUCTS[hts_4],,,)</f>
        <v>8511</v>
      </c>
      <c r="I10816" t="str" cm="1">
        <f t="array" ref="I10816">_xlfn.XLOOKUP(FACT_IMPORTS[[#This Row],[country_name]],DIM_COUNTRY[[#All],[Column2]],DIM_COUNTRY[[#All],[Column3]],,,)</f>
        <v>USMCA</v>
      </c>
    </row>
    <row r="10817" spans="1:9" x14ac:dyDescent="0.4">
      <c r="A10817" t="s">
        <v>64</v>
      </c>
      <c r="B10817" s="1">
        <v>45931</v>
      </c>
      <c r="C10817">
        <v>851130</v>
      </c>
      <c r="D10817" t="s">
        <v>176</v>
      </c>
      <c r="E10817">
        <v>0</v>
      </c>
      <c r="F10817">
        <v>0</v>
      </c>
      <c r="G10817">
        <v>0</v>
      </c>
      <c r="H10817">
        <f>_xlfn.XLOOKUP(FACT_IMPORTS[[#This Row],[hts_6]],DIM_PRODUCTS[hts_6],DIM_PRODUCTS[hts_4],,,)</f>
        <v>8511</v>
      </c>
      <c r="I10817" t="str" cm="1">
        <f t="array" ref="I10817">_xlfn.XLOOKUP(FACT_IMPORTS[[#This Row],[country_name]],DIM_COUNTRY[[#All],[Column2]],DIM_COUNTRY[[#All],[Column3]],,,)</f>
        <v>USMCA</v>
      </c>
    </row>
    <row r="10818" spans="1:9" x14ac:dyDescent="0.4">
      <c r="A10818" t="s">
        <v>64</v>
      </c>
      <c r="B10818" s="1">
        <v>45931</v>
      </c>
      <c r="C10818">
        <v>851140</v>
      </c>
      <c r="D10818" t="s">
        <v>176</v>
      </c>
      <c r="E10818">
        <v>7872</v>
      </c>
      <c r="F10818">
        <v>18</v>
      </c>
      <c r="G10818">
        <v>635</v>
      </c>
      <c r="H10818">
        <f>_xlfn.XLOOKUP(FACT_IMPORTS[[#This Row],[hts_6]],DIM_PRODUCTS[hts_6],DIM_PRODUCTS[hts_4],,,)</f>
        <v>8511</v>
      </c>
      <c r="I10818" t="str" cm="1">
        <f t="array" ref="I10818">_xlfn.XLOOKUP(FACT_IMPORTS[[#This Row],[country_name]],DIM_COUNTRY[[#All],[Column2]],DIM_COUNTRY[[#All],[Column3]],,,)</f>
        <v>USMCA</v>
      </c>
    </row>
    <row r="10819" spans="1:9" x14ac:dyDescent="0.4">
      <c r="A10819" t="s">
        <v>64</v>
      </c>
      <c r="B10819" s="1">
        <v>45931</v>
      </c>
      <c r="C10819">
        <v>851150</v>
      </c>
      <c r="D10819" t="s">
        <v>176</v>
      </c>
      <c r="E10819">
        <v>10618</v>
      </c>
      <c r="F10819">
        <v>32</v>
      </c>
      <c r="G10819">
        <v>255</v>
      </c>
      <c r="H10819">
        <f>_xlfn.XLOOKUP(FACT_IMPORTS[[#This Row],[hts_6]],DIM_PRODUCTS[hts_6],DIM_PRODUCTS[hts_4],,,)</f>
        <v>8511</v>
      </c>
      <c r="I10819" t="str" cm="1">
        <f t="array" ref="I10819">_xlfn.XLOOKUP(FACT_IMPORTS[[#This Row],[country_name]],DIM_COUNTRY[[#All],[Column2]],DIM_COUNTRY[[#All],[Column3]],,,)</f>
        <v>USMCA</v>
      </c>
    </row>
    <row r="10820" spans="1:9" x14ac:dyDescent="0.4">
      <c r="A10820" t="s">
        <v>64</v>
      </c>
      <c r="B10820" s="1">
        <v>45931</v>
      </c>
      <c r="C10820">
        <v>851180</v>
      </c>
      <c r="D10820" t="s">
        <v>176</v>
      </c>
      <c r="E10820">
        <v>3415</v>
      </c>
      <c r="F10820">
        <v>66</v>
      </c>
      <c r="G10820">
        <v>2</v>
      </c>
      <c r="H10820">
        <f>_xlfn.XLOOKUP(FACT_IMPORTS[[#This Row],[hts_6]],DIM_PRODUCTS[hts_6],DIM_PRODUCTS[hts_4],,,)</f>
        <v>8511</v>
      </c>
      <c r="I10820" t="str" cm="1">
        <f t="array" ref="I10820">_xlfn.XLOOKUP(FACT_IMPORTS[[#This Row],[country_name]],DIM_COUNTRY[[#All],[Column2]],DIM_COUNTRY[[#All],[Column3]],,,)</f>
        <v>USMCA</v>
      </c>
    </row>
    <row r="10821" spans="1:9" x14ac:dyDescent="0.4">
      <c r="A10821" t="s">
        <v>64</v>
      </c>
      <c r="B10821" s="1">
        <v>45931</v>
      </c>
      <c r="C10821">
        <v>851190</v>
      </c>
      <c r="D10821" t="s">
        <v>176</v>
      </c>
      <c r="E10821">
        <v>0</v>
      </c>
      <c r="F10821">
        <v>0</v>
      </c>
      <c r="G10821">
        <v>0</v>
      </c>
      <c r="H10821">
        <f>_xlfn.XLOOKUP(FACT_IMPORTS[[#This Row],[hts_6]],DIM_PRODUCTS[hts_6],DIM_PRODUCTS[hts_4],,,)</f>
        <v>8511</v>
      </c>
      <c r="I10821" t="str" cm="1">
        <f t="array" ref="I10821">_xlfn.XLOOKUP(FACT_IMPORTS[[#This Row],[country_name]],DIM_COUNTRY[[#All],[Column2]],DIM_COUNTRY[[#All],[Column3]],,,)</f>
        <v>USMCA</v>
      </c>
    </row>
    <row r="10822" spans="1:9" x14ac:dyDescent="0.4">
      <c r="A10822" t="s">
        <v>64</v>
      </c>
      <c r="B10822" s="1">
        <v>45931</v>
      </c>
      <c r="C10822">
        <v>851220</v>
      </c>
      <c r="D10822" t="s">
        <v>176</v>
      </c>
      <c r="E10822">
        <v>311244</v>
      </c>
      <c r="F10822">
        <v>2197</v>
      </c>
      <c r="G10822">
        <v>2011</v>
      </c>
      <c r="H10822">
        <f>_xlfn.XLOOKUP(FACT_IMPORTS[[#This Row],[hts_6]],DIM_PRODUCTS[hts_6],DIM_PRODUCTS[hts_4],,,)</f>
        <v>8512</v>
      </c>
      <c r="I10822" t="str" cm="1">
        <f t="array" ref="I10822">_xlfn.XLOOKUP(FACT_IMPORTS[[#This Row],[country_name]],DIM_COUNTRY[[#All],[Column2]],DIM_COUNTRY[[#All],[Column3]],,,)</f>
        <v>USMCA</v>
      </c>
    </row>
    <row r="10823" spans="1:9" x14ac:dyDescent="0.4">
      <c r="A10823" t="s">
        <v>64</v>
      </c>
      <c r="B10823" s="1">
        <v>45931</v>
      </c>
      <c r="C10823">
        <v>851230</v>
      </c>
      <c r="D10823" t="s">
        <v>176</v>
      </c>
      <c r="E10823">
        <v>0</v>
      </c>
      <c r="F10823">
        <v>0</v>
      </c>
      <c r="G10823">
        <v>0</v>
      </c>
      <c r="H10823">
        <f>_xlfn.XLOOKUP(FACT_IMPORTS[[#This Row],[hts_6]],DIM_PRODUCTS[hts_6],DIM_PRODUCTS[hts_4],,,)</f>
        <v>8512</v>
      </c>
      <c r="I10823" t="str" cm="1">
        <f t="array" ref="I10823">_xlfn.XLOOKUP(FACT_IMPORTS[[#This Row],[country_name]],DIM_COUNTRY[[#All],[Column2]],DIM_COUNTRY[[#All],[Column3]],,,)</f>
        <v>USMCA</v>
      </c>
    </row>
    <row r="10824" spans="1:9" x14ac:dyDescent="0.4">
      <c r="A10824" t="s">
        <v>64</v>
      </c>
      <c r="B10824" s="1">
        <v>45931</v>
      </c>
      <c r="C10824">
        <v>851290</v>
      </c>
      <c r="D10824" t="s">
        <v>176</v>
      </c>
      <c r="E10824">
        <v>45254</v>
      </c>
      <c r="F10824">
        <v>186</v>
      </c>
      <c r="G10824">
        <v>948</v>
      </c>
      <c r="H10824">
        <f>_xlfn.XLOOKUP(FACT_IMPORTS[[#This Row],[hts_6]],DIM_PRODUCTS[hts_6],DIM_PRODUCTS[hts_4],,,)</f>
        <v>8512</v>
      </c>
      <c r="I10824" t="str" cm="1">
        <f t="array" ref="I10824">_xlfn.XLOOKUP(FACT_IMPORTS[[#This Row],[country_name]],DIM_COUNTRY[[#All],[Column2]],DIM_COUNTRY[[#All],[Column3]],,,)</f>
        <v>USMCA</v>
      </c>
    </row>
    <row r="10825" spans="1:9" x14ac:dyDescent="0.4">
      <c r="A10825" t="s">
        <v>64</v>
      </c>
      <c r="B10825" s="1">
        <v>45931</v>
      </c>
      <c r="C10825">
        <v>854231</v>
      </c>
      <c r="D10825" t="s">
        <v>176</v>
      </c>
      <c r="E10825">
        <v>0</v>
      </c>
      <c r="F10825">
        <v>0</v>
      </c>
      <c r="G10825">
        <v>0</v>
      </c>
      <c r="H10825">
        <f>_xlfn.XLOOKUP(FACT_IMPORTS[[#This Row],[hts_6]],DIM_PRODUCTS[hts_6],DIM_PRODUCTS[hts_4],,,)</f>
        <v>8542</v>
      </c>
      <c r="I10825" t="str" cm="1">
        <f t="array" ref="I10825">_xlfn.XLOOKUP(FACT_IMPORTS[[#This Row],[country_name]],DIM_COUNTRY[[#All],[Column2]],DIM_COUNTRY[[#All],[Column3]],,,)</f>
        <v>USMCA</v>
      </c>
    </row>
    <row r="10826" spans="1:9" x14ac:dyDescent="0.4">
      <c r="A10826" t="s">
        <v>64</v>
      </c>
      <c r="B10826" s="1">
        <v>45931</v>
      </c>
      <c r="C10826">
        <v>854232</v>
      </c>
      <c r="D10826" t="s">
        <v>176</v>
      </c>
      <c r="E10826">
        <v>0</v>
      </c>
      <c r="F10826">
        <v>0</v>
      </c>
      <c r="G10826">
        <v>0</v>
      </c>
      <c r="H10826">
        <f>_xlfn.XLOOKUP(FACT_IMPORTS[[#This Row],[hts_6]],DIM_PRODUCTS[hts_6],DIM_PRODUCTS[hts_4],,,)</f>
        <v>8542</v>
      </c>
      <c r="I10826" t="str" cm="1">
        <f t="array" ref="I10826">_xlfn.XLOOKUP(FACT_IMPORTS[[#This Row],[country_name]],DIM_COUNTRY[[#All],[Column2]],DIM_COUNTRY[[#All],[Column3]],,,)</f>
        <v>USMCA</v>
      </c>
    </row>
    <row r="10827" spans="1:9" x14ac:dyDescent="0.4">
      <c r="A10827" t="s">
        <v>64</v>
      </c>
      <c r="B10827" s="1">
        <v>45931</v>
      </c>
      <c r="C10827">
        <v>854290</v>
      </c>
      <c r="D10827" t="s">
        <v>176</v>
      </c>
      <c r="E10827">
        <v>0</v>
      </c>
      <c r="F10827">
        <v>0</v>
      </c>
      <c r="G10827">
        <v>0</v>
      </c>
      <c r="H10827">
        <f>_xlfn.XLOOKUP(FACT_IMPORTS[[#This Row],[hts_6]],DIM_PRODUCTS[hts_6],DIM_PRODUCTS[hts_4],,,)</f>
        <v>8542</v>
      </c>
      <c r="I10827" t="str" cm="1">
        <f t="array" ref="I10827">_xlfn.XLOOKUP(FACT_IMPORTS[[#This Row],[country_name]],DIM_COUNTRY[[#All],[Column2]],DIM_COUNTRY[[#All],[Column3]],,,)</f>
        <v>USMCA</v>
      </c>
    </row>
    <row r="10828" spans="1:9" x14ac:dyDescent="0.4">
      <c r="A10828" t="s">
        <v>64</v>
      </c>
      <c r="B10828" s="1">
        <v>45931</v>
      </c>
      <c r="C10828">
        <v>854430</v>
      </c>
      <c r="D10828" t="s">
        <v>176</v>
      </c>
      <c r="E10828">
        <v>452158</v>
      </c>
      <c r="F10828">
        <v>46819</v>
      </c>
      <c r="G10828">
        <v>6412</v>
      </c>
      <c r="H10828">
        <f>_xlfn.XLOOKUP(FACT_IMPORTS[[#This Row],[hts_6]],DIM_PRODUCTS[hts_6],DIM_PRODUCTS[hts_4],,,)</f>
        <v>8544</v>
      </c>
      <c r="I10828" t="str" cm="1">
        <f t="array" ref="I10828">_xlfn.XLOOKUP(FACT_IMPORTS[[#This Row],[country_name]],DIM_COUNTRY[[#All],[Column2]],DIM_COUNTRY[[#All],[Column3]],,,)</f>
        <v>USMCA</v>
      </c>
    </row>
    <row r="10829" spans="1:9" x14ac:dyDescent="0.4">
      <c r="A10829" t="s">
        <v>64</v>
      </c>
      <c r="B10829" s="1">
        <v>45931</v>
      </c>
      <c r="C10829">
        <v>870790</v>
      </c>
      <c r="D10829" t="s">
        <v>176</v>
      </c>
      <c r="E10829">
        <v>0</v>
      </c>
      <c r="F10829">
        <v>0</v>
      </c>
      <c r="G10829">
        <v>0</v>
      </c>
      <c r="H10829">
        <f>_xlfn.XLOOKUP(FACT_IMPORTS[[#This Row],[hts_6]],DIM_PRODUCTS[hts_6],DIM_PRODUCTS[hts_4],,,)</f>
        <v>8707</v>
      </c>
      <c r="I10829" t="str" cm="1">
        <f t="array" ref="I10829">_xlfn.XLOOKUP(FACT_IMPORTS[[#This Row],[country_name]],DIM_COUNTRY[[#All],[Column2]],DIM_COUNTRY[[#All],[Column3]],,,)</f>
        <v>USMCA</v>
      </c>
    </row>
    <row r="10830" spans="1:9" x14ac:dyDescent="0.4">
      <c r="A10830" t="s">
        <v>64</v>
      </c>
      <c r="B10830" s="1">
        <v>45931</v>
      </c>
      <c r="C10830">
        <v>870810</v>
      </c>
      <c r="D10830" t="s">
        <v>176</v>
      </c>
      <c r="E10830">
        <v>14204</v>
      </c>
      <c r="F10830">
        <v>86</v>
      </c>
      <c r="G10830">
        <v>109</v>
      </c>
      <c r="H10830">
        <f>_xlfn.XLOOKUP(FACT_IMPORTS[[#This Row],[hts_6]],DIM_PRODUCTS[hts_6],DIM_PRODUCTS[hts_4],,,)</f>
        <v>8708</v>
      </c>
      <c r="I10830" t="str" cm="1">
        <f t="array" ref="I10830">_xlfn.XLOOKUP(FACT_IMPORTS[[#This Row],[country_name]],DIM_COUNTRY[[#All],[Column2]],DIM_COUNTRY[[#All],[Column3]],,,)</f>
        <v>USMCA</v>
      </c>
    </row>
    <row r="10831" spans="1:9" x14ac:dyDescent="0.4">
      <c r="A10831" t="s">
        <v>64</v>
      </c>
      <c r="B10831" s="1">
        <v>45931</v>
      </c>
      <c r="C10831">
        <v>870821</v>
      </c>
      <c r="D10831" t="s">
        <v>176</v>
      </c>
      <c r="E10831">
        <v>0</v>
      </c>
      <c r="F10831">
        <v>0</v>
      </c>
      <c r="G10831">
        <v>0</v>
      </c>
      <c r="H10831">
        <f>_xlfn.XLOOKUP(FACT_IMPORTS[[#This Row],[hts_6]],DIM_PRODUCTS[hts_6],DIM_PRODUCTS[hts_4],,,)</f>
        <v>8708</v>
      </c>
      <c r="I10831" t="str" cm="1">
        <f t="array" ref="I10831">_xlfn.XLOOKUP(FACT_IMPORTS[[#This Row],[country_name]],DIM_COUNTRY[[#All],[Column2]],DIM_COUNTRY[[#All],[Column3]],,,)</f>
        <v>USMCA</v>
      </c>
    </row>
    <row r="10832" spans="1:9" x14ac:dyDescent="0.4">
      <c r="A10832" t="s">
        <v>64</v>
      </c>
      <c r="B10832" s="1">
        <v>45931</v>
      </c>
      <c r="C10832">
        <v>870822</v>
      </c>
      <c r="D10832" t="s">
        <v>176</v>
      </c>
      <c r="E10832">
        <v>16296</v>
      </c>
      <c r="F10832">
        <v>19</v>
      </c>
      <c r="G10832">
        <v>85</v>
      </c>
      <c r="H10832">
        <f>_xlfn.XLOOKUP(FACT_IMPORTS[[#This Row],[hts_6]],DIM_PRODUCTS[hts_6],DIM_PRODUCTS[hts_4],,,)</f>
        <v>8708</v>
      </c>
      <c r="I10832" t="str" cm="1">
        <f t="array" ref="I10832">_xlfn.XLOOKUP(FACT_IMPORTS[[#This Row],[country_name]],DIM_COUNTRY[[#All],[Column2]],DIM_COUNTRY[[#All],[Column3]],,,)</f>
        <v>USMCA</v>
      </c>
    </row>
    <row r="10833" spans="1:9" x14ac:dyDescent="0.4">
      <c r="A10833" t="s">
        <v>64</v>
      </c>
      <c r="B10833" s="1">
        <v>45931</v>
      </c>
      <c r="C10833">
        <v>870829</v>
      </c>
      <c r="D10833" t="s">
        <v>176</v>
      </c>
      <c r="E10833">
        <v>604140</v>
      </c>
      <c r="F10833">
        <v>19888</v>
      </c>
      <c r="G10833">
        <v>17397</v>
      </c>
      <c r="H10833">
        <f>_xlfn.XLOOKUP(FACT_IMPORTS[[#This Row],[hts_6]],DIM_PRODUCTS[hts_6],DIM_PRODUCTS[hts_4],,,)</f>
        <v>8708</v>
      </c>
      <c r="I10833" t="str" cm="1">
        <f t="array" ref="I10833">_xlfn.XLOOKUP(FACT_IMPORTS[[#This Row],[country_name]],DIM_COUNTRY[[#All],[Column2]],DIM_COUNTRY[[#All],[Column3]],,,)</f>
        <v>USMCA</v>
      </c>
    </row>
    <row r="10834" spans="1:9" x14ac:dyDescent="0.4">
      <c r="A10834" t="s">
        <v>64</v>
      </c>
      <c r="B10834" s="1">
        <v>45931</v>
      </c>
      <c r="C10834">
        <v>870830</v>
      </c>
      <c r="D10834" t="s">
        <v>176</v>
      </c>
      <c r="E10834">
        <v>467622</v>
      </c>
      <c r="F10834">
        <v>7089</v>
      </c>
      <c r="G10834">
        <v>12847</v>
      </c>
      <c r="H10834">
        <f>_xlfn.XLOOKUP(FACT_IMPORTS[[#This Row],[hts_6]],DIM_PRODUCTS[hts_6],DIM_PRODUCTS[hts_4],,,)</f>
        <v>8708</v>
      </c>
      <c r="I10834" t="str" cm="1">
        <f t="array" ref="I10834">_xlfn.XLOOKUP(FACT_IMPORTS[[#This Row],[country_name]],DIM_COUNTRY[[#All],[Column2]],DIM_COUNTRY[[#All],[Column3]],,,)</f>
        <v>USMCA</v>
      </c>
    </row>
    <row r="10835" spans="1:9" x14ac:dyDescent="0.4">
      <c r="A10835" t="s">
        <v>64</v>
      </c>
      <c r="B10835" s="1">
        <v>45931</v>
      </c>
      <c r="C10835">
        <v>870840</v>
      </c>
      <c r="D10835" t="s">
        <v>176</v>
      </c>
      <c r="E10835">
        <v>383867</v>
      </c>
      <c r="F10835">
        <v>285</v>
      </c>
      <c r="G10835">
        <v>1621</v>
      </c>
      <c r="H10835">
        <f>_xlfn.XLOOKUP(FACT_IMPORTS[[#This Row],[hts_6]],DIM_PRODUCTS[hts_6],DIM_PRODUCTS[hts_4],,,)</f>
        <v>8708</v>
      </c>
      <c r="I10835" t="str" cm="1">
        <f t="array" ref="I10835">_xlfn.XLOOKUP(FACT_IMPORTS[[#This Row],[country_name]],DIM_COUNTRY[[#All],[Column2]],DIM_COUNTRY[[#All],[Column3]],,,)</f>
        <v>USMCA</v>
      </c>
    </row>
    <row r="10836" spans="1:9" x14ac:dyDescent="0.4">
      <c r="A10836" t="s">
        <v>64</v>
      </c>
      <c r="B10836" s="1">
        <v>45931</v>
      </c>
      <c r="C10836">
        <v>870850</v>
      </c>
      <c r="D10836" t="s">
        <v>176</v>
      </c>
      <c r="E10836">
        <v>186850</v>
      </c>
      <c r="F10836">
        <v>1333</v>
      </c>
      <c r="G10836">
        <v>9488</v>
      </c>
      <c r="H10836">
        <f>_xlfn.XLOOKUP(FACT_IMPORTS[[#This Row],[hts_6]],DIM_PRODUCTS[hts_6],DIM_PRODUCTS[hts_4],,,)</f>
        <v>8708</v>
      </c>
      <c r="I10836" t="str" cm="1">
        <f t="array" ref="I10836">_xlfn.XLOOKUP(FACT_IMPORTS[[#This Row],[country_name]],DIM_COUNTRY[[#All],[Column2]],DIM_COUNTRY[[#All],[Column3]],,,)</f>
        <v>USMCA</v>
      </c>
    </row>
    <row r="10837" spans="1:9" x14ac:dyDescent="0.4">
      <c r="A10837" t="s">
        <v>64</v>
      </c>
      <c r="B10837" s="1">
        <v>45931</v>
      </c>
      <c r="C10837">
        <v>870870</v>
      </c>
      <c r="D10837" t="s">
        <v>176</v>
      </c>
      <c r="E10837">
        <v>77948</v>
      </c>
      <c r="F10837">
        <v>1312</v>
      </c>
      <c r="G10837">
        <v>3065</v>
      </c>
      <c r="H10837">
        <f>_xlfn.XLOOKUP(FACT_IMPORTS[[#This Row],[hts_6]],DIM_PRODUCTS[hts_6],DIM_PRODUCTS[hts_4],,,)</f>
        <v>8708</v>
      </c>
      <c r="I10837" t="str" cm="1">
        <f t="array" ref="I10837">_xlfn.XLOOKUP(FACT_IMPORTS[[#This Row],[country_name]],DIM_COUNTRY[[#All],[Column2]],DIM_COUNTRY[[#All],[Column3]],,,)</f>
        <v>USMCA</v>
      </c>
    </row>
    <row r="10838" spans="1:9" x14ac:dyDescent="0.4">
      <c r="A10838" t="s">
        <v>64</v>
      </c>
      <c r="B10838" s="1">
        <v>45931</v>
      </c>
      <c r="C10838">
        <v>870880</v>
      </c>
      <c r="D10838" t="s">
        <v>176</v>
      </c>
      <c r="E10838">
        <v>11688</v>
      </c>
      <c r="F10838">
        <v>238</v>
      </c>
      <c r="G10838">
        <v>484</v>
      </c>
      <c r="H10838">
        <f>_xlfn.XLOOKUP(FACT_IMPORTS[[#This Row],[hts_6]],DIM_PRODUCTS[hts_6],DIM_PRODUCTS[hts_4],,,)</f>
        <v>8708</v>
      </c>
      <c r="I10838" t="str" cm="1">
        <f t="array" ref="I10838">_xlfn.XLOOKUP(FACT_IMPORTS[[#This Row],[country_name]],DIM_COUNTRY[[#All],[Column2]],DIM_COUNTRY[[#All],[Column3]],,,)</f>
        <v>USMCA</v>
      </c>
    </row>
    <row r="10839" spans="1:9" x14ac:dyDescent="0.4">
      <c r="A10839" t="s">
        <v>64</v>
      </c>
      <c r="B10839" s="1">
        <v>45931</v>
      </c>
      <c r="C10839">
        <v>870891</v>
      </c>
      <c r="D10839" t="s">
        <v>176</v>
      </c>
      <c r="E10839">
        <v>0</v>
      </c>
      <c r="F10839">
        <v>0</v>
      </c>
      <c r="G10839">
        <v>0</v>
      </c>
      <c r="H10839">
        <f>_xlfn.XLOOKUP(FACT_IMPORTS[[#This Row],[hts_6]],DIM_PRODUCTS[hts_6],DIM_PRODUCTS[hts_4],,,)</f>
        <v>8708</v>
      </c>
      <c r="I10839" t="str" cm="1">
        <f t="array" ref="I10839">_xlfn.XLOOKUP(FACT_IMPORTS[[#This Row],[country_name]],DIM_COUNTRY[[#All],[Column2]],DIM_COUNTRY[[#All],[Column3]],,,)</f>
        <v>USMCA</v>
      </c>
    </row>
    <row r="10840" spans="1:9" x14ac:dyDescent="0.4">
      <c r="A10840" t="s">
        <v>64</v>
      </c>
      <c r="B10840" s="1">
        <v>45931</v>
      </c>
      <c r="C10840">
        <v>870892</v>
      </c>
      <c r="D10840" t="s">
        <v>176</v>
      </c>
      <c r="E10840">
        <v>12687</v>
      </c>
      <c r="F10840">
        <v>600</v>
      </c>
      <c r="G10840">
        <v>64</v>
      </c>
      <c r="H10840">
        <f>_xlfn.XLOOKUP(FACT_IMPORTS[[#This Row],[hts_6]],DIM_PRODUCTS[hts_6],DIM_PRODUCTS[hts_4],,,)</f>
        <v>8708</v>
      </c>
      <c r="I10840" t="str" cm="1">
        <f t="array" ref="I10840">_xlfn.XLOOKUP(FACT_IMPORTS[[#This Row],[country_name]],DIM_COUNTRY[[#All],[Column2]],DIM_COUNTRY[[#All],[Column3]],,,)</f>
        <v>USMCA</v>
      </c>
    </row>
    <row r="10841" spans="1:9" x14ac:dyDescent="0.4">
      <c r="A10841" t="s">
        <v>64</v>
      </c>
      <c r="B10841" s="1">
        <v>45931</v>
      </c>
      <c r="C10841">
        <v>870893</v>
      </c>
      <c r="D10841" t="s">
        <v>176</v>
      </c>
      <c r="E10841">
        <v>11280</v>
      </c>
      <c r="F10841">
        <v>2827</v>
      </c>
      <c r="G10841">
        <v>305</v>
      </c>
      <c r="H10841">
        <f>_xlfn.XLOOKUP(FACT_IMPORTS[[#This Row],[hts_6]],DIM_PRODUCTS[hts_6],DIM_PRODUCTS[hts_4],,,)</f>
        <v>8708</v>
      </c>
      <c r="I10841" t="str" cm="1">
        <f t="array" ref="I10841">_xlfn.XLOOKUP(FACT_IMPORTS[[#This Row],[country_name]],DIM_COUNTRY[[#All],[Column2]],DIM_COUNTRY[[#All],[Column3]],,,)</f>
        <v>USMCA</v>
      </c>
    </row>
    <row r="10842" spans="1:9" x14ac:dyDescent="0.4">
      <c r="A10842" t="s">
        <v>64</v>
      </c>
      <c r="B10842" s="1">
        <v>45931</v>
      </c>
      <c r="C10842">
        <v>870894</v>
      </c>
      <c r="D10842" t="s">
        <v>176</v>
      </c>
      <c r="E10842">
        <v>105028</v>
      </c>
      <c r="F10842">
        <v>248</v>
      </c>
      <c r="G10842">
        <v>1313</v>
      </c>
      <c r="H10842">
        <f>_xlfn.XLOOKUP(FACT_IMPORTS[[#This Row],[hts_6]],DIM_PRODUCTS[hts_6],DIM_PRODUCTS[hts_4],,,)</f>
        <v>8708</v>
      </c>
      <c r="I10842" t="str" cm="1">
        <f t="array" ref="I10842">_xlfn.XLOOKUP(FACT_IMPORTS[[#This Row],[country_name]],DIM_COUNTRY[[#All],[Column2]],DIM_COUNTRY[[#All],[Column3]],,,)</f>
        <v>USMCA</v>
      </c>
    </row>
    <row r="10843" spans="1:9" x14ac:dyDescent="0.4">
      <c r="A10843" t="s">
        <v>64</v>
      </c>
      <c r="B10843" s="1">
        <v>45931</v>
      </c>
      <c r="C10843">
        <v>870895</v>
      </c>
      <c r="D10843" t="s">
        <v>176</v>
      </c>
      <c r="E10843">
        <v>0</v>
      </c>
      <c r="F10843">
        <v>0</v>
      </c>
      <c r="G10843">
        <v>0</v>
      </c>
      <c r="H10843">
        <f>_xlfn.XLOOKUP(FACT_IMPORTS[[#This Row],[hts_6]],DIM_PRODUCTS[hts_6],DIM_PRODUCTS[hts_4],,,)</f>
        <v>8708</v>
      </c>
      <c r="I10843" t="str" cm="1">
        <f t="array" ref="I10843">_xlfn.XLOOKUP(FACT_IMPORTS[[#This Row],[country_name]],DIM_COUNTRY[[#All],[Column2]],DIM_COUNTRY[[#All],[Column3]],,,)</f>
        <v>USMCA</v>
      </c>
    </row>
    <row r="10844" spans="1:9" x14ac:dyDescent="0.4">
      <c r="A10844" t="s">
        <v>64</v>
      </c>
      <c r="B10844" s="1">
        <v>45931</v>
      </c>
      <c r="C10844">
        <v>870899</v>
      </c>
      <c r="D10844" t="s">
        <v>176</v>
      </c>
      <c r="E10844">
        <v>124808</v>
      </c>
      <c r="F10844">
        <v>1973</v>
      </c>
      <c r="G10844">
        <v>6367</v>
      </c>
      <c r="H10844">
        <f>_xlfn.XLOOKUP(FACT_IMPORTS[[#This Row],[hts_6]],DIM_PRODUCTS[hts_6],DIM_PRODUCTS[hts_4],,,)</f>
        <v>8708</v>
      </c>
      <c r="I10844" t="str" cm="1">
        <f t="array" ref="I10844">_xlfn.XLOOKUP(FACT_IMPORTS[[#This Row],[country_name]],DIM_COUNTRY[[#All],[Column2]],DIM_COUNTRY[[#All],[Column3]],,,)</f>
        <v>USMCA</v>
      </c>
    </row>
    <row r="10845" spans="1:9" x14ac:dyDescent="0.4">
      <c r="A10845" t="s">
        <v>64</v>
      </c>
      <c r="B10845" s="1">
        <v>45931</v>
      </c>
      <c r="C10845">
        <v>940120</v>
      </c>
      <c r="D10845" t="s">
        <v>176</v>
      </c>
      <c r="E10845">
        <v>9925</v>
      </c>
      <c r="F10845">
        <v>39</v>
      </c>
      <c r="G10845">
        <v>357</v>
      </c>
      <c r="H10845">
        <f>_xlfn.XLOOKUP(FACT_IMPORTS[[#This Row],[hts_6]],DIM_PRODUCTS[hts_6],DIM_PRODUCTS[hts_4],,,)</f>
        <v>9401</v>
      </c>
      <c r="I10845" t="str" cm="1">
        <f t="array" ref="I10845">_xlfn.XLOOKUP(FACT_IMPORTS[[#This Row],[country_name]],DIM_COUNTRY[[#All],[Column2]],DIM_COUNTRY[[#All],[Column3]],,,)</f>
        <v>USMCA</v>
      </c>
    </row>
    <row r="10846" spans="1:9" x14ac:dyDescent="0.4">
      <c r="A10846" t="s">
        <v>73</v>
      </c>
      <c r="B10846" s="1">
        <v>44927</v>
      </c>
      <c r="C10846">
        <v>392630</v>
      </c>
      <c r="D10846" t="s">
        <v>176</v>
      </c>
      <c r="E10846">
        <v>75093</v>
      </c>
      <c r="F10846">
        <v>3120</v>
      </c>
      <c r="G10846">
        <v>6413</v>
      </c>
      <c r="H10846">
        <f>_xlfn.XLOOKUP(FACT_IMPORTS[[#This Row],[hts_6]],DIM_PRODUCTS[hts_6],DIM_PRODUCTS[hts_4],,,)</f>
        <v>3926</v>
      </c>
      <c r="I10846" t="str" cm="1">
        <f t="array" ref="I10846">_xlfn.XLOOKUP(FACT_IMPORTS[[#This Row],[country_name]],DIM_COUNTRY[[#All],[Column2]],DIM_COUNTRY[[#All],[Column3]],,,)</f>
        <v>Major_Non-USMCA_Non-China</v>
      </c>
    </row>
    <row r="10847" spans="1:9" x14ac:dyDescent="0.4">
      <c r="A10847" t="s">
        <v>73</v>
      </c>
      <c r="B10847" s="1">
        <v>44927</v>
      </c>
      <c r="C10847">
        <v>401110</v>
      </c>
      <c r="D10847" t="s">
        <v>176</v>
      </c>
      <c r="E10847">
        <v>2851924</v>
      </c>
      <c r="F10847">
        <v>38462</v>
      </c>
      <c r="G10847">
        <v>683535</v>
      </c>
      <c r="H10847">
        <f>_xlfn.XLOOKUP(FACT_IMPORTS[[#This Row],[hts_6]],DIM_PRODUCTS[hts_6],DIM_PRODUCTS[hts_4],,,)</f>
        <v>4011</v>
      </c>
      <c r="I10847" t="str" cm="1">
        <f t="array" ref="I10847">_xlfn.XLOOKUP(FACT_IMPORTS[[#This Row],[country_name]],DIM_COUNTRY[[#All],[Column2]],DIM_COUNTRY[[#All],[Column3]],,,)</f>
        <v>Major_Non-USMCA_Non-China</v>
      </c>
    </row>
    <row r="10848" spans="1:9" x14ac:dyDescent="0.4">
      <c r="A10848" t="s">
        <v>73</v>
      </c>
      <c r="B10848" s="1">
        <v>44927</v>
      </c>
      <c r="C10848">
        <v>401120</v>
      </c>
      <c r="D10848" t="s">
        <v>176</v>
      </c>
      <c r="E10848">
        <v>19902</v>
      </c>
      <c r="F10848">
        <v>242</v>
      </c>
      <c r="G10848">
        <v>4105</v>
      </c>
      <c r="H10848">
        <f>_xlfn.XLOOKUP(FACT_IMPORTS[[#This Row],[hts_6]],DIM_PRODUCTS[hts_6],DIM_PRODUCTS[hts_4],,,)</f>
        <v>4011</v>
      </c>
      <c r="I10848" t="str" cm="1">
        <f t="array" ref="I10848">_xlfn.XLOOKUP(FACT_IMPORTS[[#This Row],[country_name]],DIM_COUNTRY[[#All],[Column2]],DIM_COUNTRY[[#All],[Column3]],,,)</f>
        <v>Major_Non-USMCA_Non-China</v>
      </c>
    </row>
    <row r="10849" spans="1:9" x14ac:dyDescent="0.4">
      <c r="A10849" t="s">
        <v>73</v>
      </c>
      <c r="B10849" s="1">
        <v>44927</v>
      </c>
      <c r="C10849">
        <v>401190</v>
      </c>
      <c r="D10849" t="s">
        <v>176</v>
      </c>
      <c r="E10849">
        <v>1159</v>
      </c>
      <c r="F10849">
        <v>4</v>
      </c>
      <c r="G10849">
        <v>41</v>
      </c>
      <c r="H10849">
        <f>_xlfn.XLOOKUP(FACT_IMPORTS[[#This Row],[hts_6]],DIM_PRODUCTS[hts_6],DIM_PRODUCTS[hts_4],,,)</f>
        <v>4011</v>
      </c>
      <c r="I10849" t="str" cm="1">
        <f t="array" ref="I10849">_xlfn.XLOOKUP(FACT_IMPORTS[[#This Row],[country_name]],DIM_COUNTRY[[#All],[Column2]],DIM_COUNTRY[[#All],[Column3]],,,)</f>
        <v>Major_Non-USMCA_Non-China</v>
      </c>
    </row>
    <row r="10850" spans="1:9" x14ac:dyDescent="0.4">
      <c r="A10850" t="s">
        <v>73</v>
      </c>
      <c r="B10850" s="1">
        <v>44927</v>
      </c>
      <c r="C10850">
        <v>700910</v>
      </c>
      <c r="D10850" t="s">
        <v>176</v>
      </c>
      <c r="E10850">
        <v>561929</v>
      </c>
      <c r="F10850">
        <v>15966</v>
      </c>
      <c r="G10850">
        <v>40114</v>
      </c>
      <c r="H10850">
        <f>_xlfn.XLOOKUP(FACT_IMPORTS[[#This Row],[hts_6]],DIM_PRODUCTS[hts_6],DIM_PRODUCTS[hts_4],,,)</f>
        <v>7009</v>
      </c>
      <c r="I10850" t="str" cm="1">
        <f t="array" ref="I10850">_xlfn.XLOOKUP(FACT_IMPORTS[[#This Row],[country_name]],DIM_COUNTRY[[#All],[Column2]],DIM_COUNTRY[[#All],[Column3]],,,)</f>
        <v>Major_Non-USMCA_Non-China</v>
      </c>
    </row>
    <row r="10851" spans="1:9" x14ac:dyDescent="0.4">
      <c r="A10851" t="s">
        <v>73</v>
      </c>
      <c r="B10851" s="1">
        <v>44927</v>
      </c>
      <c r="C10851">
        <v>830230</v>
      </c>
      <c r="D10851" t="s">
        <v>176</v>
      </c>
      <c r="E10851">
        <v>2375180</v>
      </c>
      <c r="F10851">
        <v>469759</v>
      </c>
      <c r="G10851">
        <v>71463</v>
      </c>
      <c r="H10851">
        <f>_xlfn.XLOOKUP(FACT_IMPORTS[[#This Row],[hts_6]],DIM_PRODUCTS[hts_6],DIM_PRODUCTS[hts_4],,,)</f>
        <v>8302</v>
      </c>
      <c r="I10851" t="str" cm="1">
        <f t="array" ref="I10851">_xlfn.XLOOKUP(FACT_IMPORTS[[#This Row],[country_name]],DIM_COUNTRY[[#All],[Column2]],DIM_COUNTRY[[#All],[Column3]],,,)</f>
        <v>Major_Non-USMCA_Non-China</v>
      </c>
    </row>
    <row r="10852" spans="1:9" x14ac:dyDescent="0.4">
      <c r="A10852" t="s">
        <v>73</v>
      </c>
      <c r="B10852" s="1">
        <v>44927</v>
      </c>
      <c r="C10852">
        <v>840734</v>
      </c>
      <c r="D10852" t="s">
        <v>176</v>
      </c>
      <c r="E10852">
        <v>2419634</v>
      </c>
      <c r="F10852">
        <v>789</v>
      </c>
      <c r="G10852">
        <v>1872</v>
      </c>
      <c r="H10852">
        <f>_xlfn.XLOOKUP(FACT_IMPORTS[[#This Row],[hts_6]],DIM_PRODUCTS[hts_6],DIM_PRODUCTS[hts_4],,,)</f>
        <v>8407</v>
      </c>
      <c r="I10852" t="str" cm="1">
        <f t="array" ref="I10852">_xlfn.XLOOKUP(FACT_IMPORTS[[#This Row],[country_name]],DIM_COUNTRY[[#All],[Column2]],DIM_COUNTRY[[#All],[Column3]],,,)</f>
        <v>Major_Non-USMCA_Non-China</v>
      </c>
    </row>
    <row r="10853" spans="1:9" x14ac:dyDescent="0.4">
      <c r="A10853" t="s">
        <v>73</v>
      </c>
      <c r="B10853" s="1">
        <v>44927</v>
      </c>
      <c r="C10853">
        <v>840820</v>
      </c>
      <c r="D10853" t="s">
        <v>176</v>
      </c>
      <c r="E10853">
        <v>0</v>
      </c>
      <c r="F10853">
        <v>0</v>
      </c>
      <c r="G10853">
        <v>0</v>
      </c>
      <c r="H10853">
        <f>_xlfn.XLOOKUP(FACT_IMPORTS[[#This Row],[hts_6]],DIM_PRODUCTS[hts_6],DIM_PRODUCTS[hts_4],,,)</f>
        <v>8408</v>
      </c>
      <c r="I10853" t="str" cm="1">
        <f t="array" ref="I10853">_xlfn.XLOOKUP(FACT_IMPORTS[[#This Row],[country_name]],DIM_COUNTRY[[#All],[Column2]],DIM_COUNTRY[[#All],[Column3]],,,)</f>
        <v>Major_Non-USMCA_Non-China</v>
      </c>
    </row>
    <row r="10854" spans="1:9" x14ac:dyDescent="0.4">
      <c r="A10854" t="s">
        <v>73</v>
      </c>
      <c r="B10854" s="1">
        <v>44927</v>
      </c>
      <c r="C10854">
        <v>840890</v>
      </c>
      <c r="D10854" t="s">
        <v>176</v>
      </c>
      <c r="E10854">
        <v>0</v>
      </c>
      <c r="F10854">
        <v>0</v>
      </c>
      <c r="G10854">
        <v>0</v>
      </c>
      <c r="H10854">
        <f>_xlfn.XLOOKUP(FACT_IMPORTS[[#This Row],[hts_6]],DIM_PRODUCTS[hts_6],DIM_PRODUCTS[hts_4],,,)</f>
        <v>8408</v>
      </c>
      <c r="I10854" t="str" cm="1">
        <f t="array" ref="I10854">_xlfn.XLOOKUP(FACT_IMPORTS[[#This Row],[country_name]],DIM_COUNTRY[[#All],[Column2]],DIM_COUNTRY[[#All],[Column3]],,,)</f>
        <v>Major_Non-USMCA_Non-China</v>
      </c>
    </row>
    <row r="10855" spans="1:9" x14ac:dyDescent="0.4">
      <c r="A10855" t="s">
        <v>73</v>
      </c>
      <c r="B10855" s="1">
        <v>44927</v>
      </c>
      <c r="C10855">
        <v>840991</v>
      </c>
      <c r="D10855" t="s">
        <v>176</v>
      </c>
      <c r="E10855">
        <v>5616413</v>
      </c>
      <c r="F10855">
        <v>596405</v>
      </c>
      <c r="G10855">
        <v>89439</v>
      </c>
      <c r="H10855">
        <f>_xlfn.XLOOKUP(FACT_IMPORTS[[#This Row],[hts_6]],DIM_PRODUCTS[hts_6],DIM_PRODUCTS[hts_4],,,)</f>
        <v>8409</v>
      </c>
      <c r="I10855" t="str" cm="1">
        <f t="array" ref="I10855">_xlfn.XLOOKUP(FACT_IMPORTS[[#This Row],[country_name]],DIM_COUNTRY[[#All],[Column2]],DIM_COUNTRY[[#All],[Column3]],,,)</f>
        <v>Major_Non-USMCA_Non-China</v>
      </c>
    </row>
    <row r="10856" spans="1:9" x14ac:dyDescent="0.4">
      <c r="A10856" t="s">
        <v>73</v>
      </c>
      <c r="B10856" s="1">
        <v>44927</v>
      </c>
      <c r="C10856">
        <v>840999</v>
      </c>
      <c r="D10856" t="s">
        <v>176</v>
      </c>
      <c r="E10856">
        <v>1839816</v>
      </c>
      <c r="F10856">
        <v>128587</v>
      </c>
      <c r="G10856">
        <v>22765</v>
      </c>
      <c r="H10856">
        <f>_xlfn.XLOOKUP(FACT_IMPORTS[[#This Row],[hts_6]],DIM_PRODUCTS[hts_6],DIM_PRODUCTS[hts_4],,,)</f>
        <v>8409</v>
      </c>
      <c r="I10856" t="str" cm="1">
        <f t="array" ref="I10856">_xlfn.XLOOKUP(FACT_IMPORTS[[#This Row],[country_name]],DIM_COUNTRY[[#All],[Column2]],DIM_COUNTRY[[#All],[Column3]],,,)</f>
        <v>Major_Non-USMCA_Non-China</v>
      </c>
    </row>
    <row r="10857" spans="1:9" x14ac:dyDescent="0.4">
      <c r="A10857" t="s">
        <v>73</v>
      </c>
      <c r="B10857" s="1">
        <v>44927</v>
      </c>
      <c r="C10857">
        <v>841330</v>
      </c>
      <c r="D10857" t="s">
        <v>176</v>
      </c>
      <c r="E10857">
        <v>4802390</v>
      </c>
      <c r="F10857">
        <v>79304</v>
      </c>
      <c r="G10857">
        <v>116169</v>
      </c>
      <c r="H10857">
        <f>_xlfn.XLOOKUP(FACT_IMPORTS[[#This Row],[hts_6]],DIM_PRODUCTS[hts_6],DIM_PRODUCTS[hts_4],,,)</f>
        <v>8413</v>
      </c>
      <c r="I10857" t="str" cm="1">
        <f t="array" ref="I10857">_xlfn.XLOOKUP(FACT_IMPORTS[[#This Row],[country_name]],DIM_COUNTRY[[#All],[Column2]],DIM_COUNTRY[[#All],[Column3]],,,)</f>
        <v>Major_Non-USMCA_Non-China</v>
      </c>
    </row>
    <row r="10858" spans="1:9" x14ac:dyDescent="0.4">
      <c r="A10858" t="s">
        <v>73</v>
      </c>
      <c r="B10858" s="1">
        <v>44927</v>
      </c>
      <c r="C10858">
        <v>842132</v>
      </c>
      <c r="D10858" t="s">
        <v>176</v>
      </c>
      <c r="E10858">
        <v>142208</v>
      </c>
      <c r="F10858">
        <v>96</v>
      </c>
      <c r="G10858">
        <v>182</v>
      </c>
      <c r="H10858">
        <f>_xlfn.XLOOKUP(FACT_IMPORTS[[#This Row],[hts_6]],DIM_PRODUCTS[hts_6],DIM_PRODUCTS[hts_4],,,)</f>
        <v>8421</v>
      </c>
      <c r="I10858" t="str" cm="1">
        <f t="array" ref="I10858">_xlfn.XLOOKUP(FACT_IMPORTS[[#This Row],[country_name]],DIM_COUNTRY[[#All],[Column2]],DIM_COUNTRY[[#All],[Column3]],,,)</f>
        <v>Major_Non-USMCA_Non-China</v>
      </c>
    </row>
    <row r="10859" spans="1:9" x14ac:dyDescent="0.4">
      <c r="A10859" t="s">
        <v>73</v>
      </c>
      <c r="B10859" s="1">
        <v>44927</v>
      </c>
      <c r="C10859">
        <v>848210</v>
      </c>
      <c r="D10859" t="s">
        <v>176</v>
      </c>
      <c r="E10859">
        <v>116917</v>
      </c>
      <c r="F10859">
        <v>25219</v>
      </c>
      <c r="G10859">
        <v>409</v>
      </c>
      <c r="H10859">
        <f>_xlfn.XLOOKUP(FACT_IMPORTS[[#This Row],[hts_6]],DIM_PRODUCTS[hts_6],DIM_PRODUCTS[hts_4],,,)</f>
        <v>8482</v>
      </c>
      <c r="I10859" t="str" cm="1">
        <f t="array" ref="I10859">_xlfn.XLOOKUP(FACT_IMPORTS[[#This Row],[country_name]],DIM_COUNTRY[[#All],[Column2]],DIM_COUNTRY[[#All],[Column3]],,,)</f>
        <v>Major_Non-USMCA_Non-China</v>
      </c>
    </row>
    <row r="10860" spans="1:9" x14ac:dyDescent="0.4">
      <c r="A10860" t="s">
        <v>73</v>
      </c>
      <c r="B10860" s="1">
        <v>44927</v>
      </c>
      <c r="C10860">
        <v>848220</v>
      </c>
      <c r="D10860" t="s">
        <v>176</v>
      </c>
      <c r="E10860">
        <v>5778710</v>
      </c>
      <c r="F10860">
        <v>1415884</v>
      </c>
      <c r="G10860">
        <v>2630</v>
      </c>
      <c r="H10860">
        <f>_xlfn.XLOOKUP(FACT_IMPORTS[[#This Row],[hts_6]],DIM_PRODUCTS[hts_6],DIM_PRODUCTS[hts_4],,,)</f>
        <v>8482</v>
      </c>
      <c r="I10860" t="str" cm="1">
        <f t="array" ref="I10860">_xlfn.XLOOKUP(FACT_IMPORTS[[#This Row],[country_name]],DIM_COUNTRY[[#All],[Column2]],DIM_COUNTRY[[#All],[Column3]],,,)</f>
        <v>Major_Non-USMCA_Non-China</v>
      </c>
    </row>
    <row r="10861" spans="1:9" x14ac:dyDescent="0.4">
      <c r="A10861" t="s">
        <v>73</v>
      </c>
      <c r="B10861" s="1">
        <v>44927</v>
      </c>
      <c r="C10861">
        <v>848310</v>
      </c>
      <c r="D10861" t="s">
        <v>176</v>
      </c>
      <c r="E10861">
        <v>158870</v>
      </c>
      <c r="F10861">
        <v>3230</v>
      </c>
      <c r="G10861">
        <v>2</v>
      </c>
      <c r="H10861">
        <f>_xlfn.XLOOKUP(FACT_IMPORTS[[#This Row],[hts_6]],DIM_PRODUCTS[hts_6],DIM_PRODUCTS[hts_4],,,)</f>
        <v>8483</v>
      </c>
      <c r="I10861" t="str" cm="1">
        <f t="array" ref="I10861">_xlfn.XLOOKUP(FACT_IMPORTS[[#This Row],[country_name]],DIM_COUNTRY[[#All],[Column2]],DIM_COUNTRY[[#All],[Column3]],,,)</f>
        <v>Major_Non-USMCA_Non-China</v>
      </c>
    </row>
    <row r="10862" spans="1:9" x14ac:dyDescent="0.4">
      <c r="A10862" t="s">
        <v>73</v>
      </c>
      <c r="B10862" s="1">
        <v>44927</v>
      </c>
      <c r="C10862">
        <v>850131</v>
      </c>
      <c r="D10862" t="s">
        <v>176</v>
      </c>
      <c r="E10862">
        <v>2438418</v>
      </c>
      <c r="F10862">
        <v>121411</v>
      </c>
      <c r="G10862">
        <v>10151</v>
      </c>
      <c r="H10862">
        <f>_xlfn.XLOOKUP(FACT_IMPORTS[[#This Row],[hts_6]],DIM_PRODUCTS[hts_6],DIM_PRODUCTS[hts_4],,,)</f>
        <v>8501</v>
      </c>
      <c r="I10862" t="str" cm="1">
        <f t="array" ref="I10862">_xlfn.XLOOKUP(FACT_IMPORTS[[#This Row],[country_name]],DIM_COUNTRY[[#All],[Column2]],DIM_COUNTRY[[#All],[Column3]],,,)</f>
        <v>Major_Non-USMCA_Non-China</v>
      </c>
    </row>
    <row r="10863" spans="1:9" x14ac:dyDescent="0.4">
      <c r="A10863" t="s">
        <v>73</v>
      </c>
      <c r="B10863" s="1">
        <v>44927</v>
      </c>
      <c r="C10863">
        <v>850132</v>
      </c>
      <c r="D10863" t="s">
        <v>176</v>
      </c>
      <c r="E10863">
        <v>0</v>
      </c>
      <c r="F10863">
        <v>0</v>
      </c>
      <c r="G10863">
        <v>0</v>
      </c>
      <c r="H10863">
        <f>_xlfn.XLOOKUP(FACT_IMPORTS[[#This Row],[hts_6]],DIM_PRODUCTS[hts_6],DIM_PRODUCTS[hts_4],,,)</f>
        <v>8501</v>
      </c>
      <c r="I10863" t="str" cm="1">
        <f t="array" ref="I10863">_xlfn.XLOOKUP(FACT_IMPORTS[[#This Row],[country_name]],DIM_COUNTRY[[#All],[Column2]],DIM_COUNTRY[[#All],[Column3]],,,)</f>
        <v>Major_Non-USMCA_Non-China</v>
      </c>
    </row>
    <row r="10864" spans="1:9" x14ac:dyDescent="0.4">
      <c r="A10864" t="s">
        <v>73</v>
      </c>
      <c r="B10864" s="1">
        <v>44927</v>
      </c>
      <c r="C10864">
        <v>850152</v>
      </c>
      <c r="D10864" t="s">
        <v>176</v>
      </c>
      <c r="E10864">
        <v>0</v>
      </c>
      <c r="F10864">
        <v>0</v>
      </c>
      <c r="G10864">
        <v>0</v>
      </c>
      <c r="H10864">
        <f>_xlfn.XLOOKUP(FACT_IMPORTS[[#This Row],[hts_6]],DIM_PRODUCTS[hts_6],DIM_PRODUCTS[hts_4],,,)</f>
        <v>8501</v>
      </c>
      <c r="I10864" t="str" cm="1">
        <f t="array" ref="I10864">_xlfn.XLOOKUP(FACT_IMPORTS[[#This Row],[country_name]],DIM_COUNTRY[[#All],[Column2]],DIM_COUNTRY[[#All],[Column3]],,,)</f>
        <v>Major_Non-USMCA_Non-China</v>
      </c>
    </row>
    <row r="10865" spans="1:13" x14ac:dyDescent="0.4">
      <c r="A10865" t="s">
        <v>73</v>
      </c>
      <c r="B10865" s="1">
        <v>44927</v>
      </c>
      <c r="C10865">
        <v>850153</v>
      </c>
      <c r="D10865" t="s">
        <v>176</v>
      </c>
      <c r="E10865">
        <v>7154828</v>
      </c>
      <c r="F10865">
        <v>3901</v>
      </c>
      <c r="G10865">
        <v>3804</v>
      </c>
      <c r="H10865">
        <f>_xlfn.XLOOKUP(FACT_IMPORTS[[#This Row],[hts_6]],DIM_PRODUCTS[hts_6],DIM_PRODUCTS[hts_4],,,)</f>
        <v>8501</v>
      </c>
      <c r="I10865" t="str" cm="1">
        <f t="array" ref="I10865">_xlfn.XLOOKUP(FACT_IMPORTS[[#This Row],[country_name]],DIM_COUNTRY[[#All],[Column2]],DIM_COUNTRY[[#All],[Column3]],,,)</f>
        <v>Major_Non-USMCA_Non-China</v>
      </c>
    </row>
    <row r="10866" spans="1:13" x14ac:dyDescent="0.4">
      <c r="A10866" t="s">
        <v>73</v>
      </c>
      <c r="B10866" s="1">
        <v>44927</v>
      </c>
      <c r="C10866">
        <v>850440</v>
      </c>
      <c r="D10866" t="s">
        <v>176</v>
      </c>
      <c r="E10866">
        <v>10960819</v>
      </c>
      <c r="F10866">
        <v>14120</v>
      </c>
      <c r="G10866">
        <v>2882</v>
      </c>
      <c r="H10866">
        <f>_xlfn.XLOOKUP(FACT_IMPORTS[[#This Row],[hts_6]],DIM_PRODUCTS[hts_6],DIM_PRODUCTS[hts_4],,,)</f>
        <v>8504</v>
      </c>
      <c r="I10866" t="str" cm="1">
        <f t="array" ref="I10866">_xlfn.XLOOKUP(FACT_IMPORTS[[#This Row],[country_name]],DIM_COUNTRY[[#All],[Column2]],DIM_COUNTRY[[#All],[Column3]],,,)</f>
        <v>Major_Non-USMCA_Non-China</v>
      </c>
    </row>
    <row r="10867" spans="1:13" x14ac:dyDescent="0.4">
      <c r="A10867" t="s">
        <v>73</v>
      </c>
      <c r="B10867" s="1">
        <v>44927</v>
      </c>
      <c r="C10867">
        <v>850710</v>
      </c>
      <c r="D10867" t="s">
        <v>176</v>
      </c>
      <c r="E10867">
        <v>765559</v>
      </c>
      <c r="F10867">
        <v>21547</v>
      </c>
      <c r="G10867">
        <v>45077</v>
      </c>
      <c r="H10867">
        <f>_xlfn.XLOOKUP(FACT_IMPORTS[[#This Row],[hts_6]],DIM_PRODUCTS[hts_6],DIM_PRODUCTS[hts_4],,,)</f>
        <v>8507</v>
      </c>
      <c r="I10867" t="str" cm="1">
        <f t="array" ref="I10867">_xlfn.XLOOKUP(FACT_IMPORTS[[#This Row],[country_name]],DIM_COUNTRY[[#All],[Column2]],DIM_COUNTRY[[#All],[Column3]],,,)</f>
        <v>Major_Non-USMCA_Non-China</v>
      </c>
    </row>
    <row r="10868" spans="1:13" x14ac:dyDescent="0.4">
      <c r="A10868" t="s">
        <v>73</v>
      </c>
      <c r="B10868" s="1">
        <v>44927</v>
      </c>
      <c r="C10868">
        <v>850760</v>
      </c>
      <c r="D10868" t="s">
        <v>176</v>
      </c>
      <c r="E10868">
        <v>0</v>
      </c>
      <c r="F10868">
        <v>0</v>
      </c>
      <c r="G10868">
        <v>0</v>
      </c>
      <c r="H10868">
        <f>_xlfn.XLOOKUP(FACT_IMPORTS[[#This Row],[hts_6]],DIM_PRODUCTS[hts_6],DIM_PRODUCTS[hts_4],,,)</f>
        <v>8507</v>
      </c>
      <c r="I10868" t="str" cm="1">
        <f t="array" ref="I10868">_xlfn.XLOOKUP(FACT_IMPORTS[[#This Row],[country_name]],DIM_COUNTRY[[#All],[Column2]],DIM_COUNTRY[[#All],[Column3]],,,)</f>
        <v>Major_Non-USMCA_Non-China</v>
      </c>
    </row>
    <row r="10869" spans="1:13" x14ac:dyDescent="0.4">
      <c r="A10869" t="s">
        <v>73</v>
      </c>
      <c r="B10869" s="1">
        <v>44927</v>
      </c>
      <c r="C10869">
        <v>850790</v>
      </c>
      <c r="D10869" t="s">
        <v>176</v>
      </c>
      <c r="E10869">
        <v>669615</v>
      </c>
      <c r="F10869">
        <v>3853</v>
      </c>
      <c r="G10869">
        <v>9603</v>
      </c>
      <c r="H10869">
        <f>_xlfn.XLOOKUP(FACT_IMPORTS[[#This Row],[hts_6]],DIM_PRODUCTS[hts_6],DIM_PRODUCTS[hts_4],,,)</f>
        <v>8507</v>
      </c>
      <c r="I10869" t="str" cm="1">
        <f t="array" ref="I10869">_xlfn.XLOOKUP(FACT_IMPORTS[[#This Row],[country_name]],DIM_COUNTRY[[#All],[Column2]],DIM_COUNTRY[[#All],[Column3]],,,)</f>
        <v>Major_Non-USMCA_Non-China</v>
      </c>
    </row>
    <row r="10870" spans="1:13" x14ac:dyDescent="0.4">
      <c r="A10870" t="s">
        <v>73</v>
      </c>
      <c r="B10870" s="1">
        <v>44927</v>
      </c>
      <c r="C10870">
        <v>851110</v>
      </c>
      <c r="D10870" t="s">
        <v>176</v>
      </c>
      <c r="E10870">
        <v>0</v>
      </c>
      <c r="F10870">
        <v>0</v>
      </c>
      <c r="G10870">
        <v>0</v>
      </c>
      <c r="H10870">
        <f>_xlfn.XLOOKUP(FACT_IMPORTS[[#This Row],[hts_6]],DIM_PRODUCTS[hts_6],DIM_PRODUCTS[hts_4],,,)</f>
        <v>8511</v>
      </c>
      <c r="I10870" t="str" cm="1">
        <f t="array" ref="I10870">_xlfn.XLOOKUP(FACT_IMPORTS[[#This Row],[country_name]],DIM_COUNTRY[[#All],[Column2]],DIM_COUNTRY[[#All],[Column3]],,,)</f>
        <v>Major_Non-USMCA_Non-China</v>
      </c>
    </row>
    <row r="10871" spans="1:13" x14ac:dyDescent="0.4">
      <c r="A10871" t="s">
        <v>73</v>
      </c>
      <c r="B10871" s="1">
        <v>44927</v>
      </c>
      <c r="C10871">
        <v>851130</v>
      </c>
      <c r="D10871" t="s">
        <v>176</v>
      </c>
      <c r="E10871">
        <v>127224</v>
      </c>
      <c r="F10871">
        <v>3434</v>
      </c>
      <c r="G10871">
        <v>181</v>
      </c>
      <c r="H10871">
        <f>_xlfn.XLOOKUP(FACT_IMPORTS[[#This Row],[hts_6]],DIM_PRODUCTS[hts_6],DIM_PRODUCTS[hts_4],,,)</f>
        <v>8511</v>
      </c>
      <c r="I10871" t="str" cm="1">
        <f t="array" ref="I10871">_xlfn.XLOOKUP(FACT_IMPORTS[[#This Row],[country_name]],DIM_COUNTRY[[#All],[Column2]],DIM_COUNTRY[[#All],[Column3]],,,)</f>
        <v>Major_Non-USMCA_Non-China</v>
      </c>
    </row>
    <row r="10872" spans="1:13" x14ac:dyDescent="0.4">
      <c r="A10872" t="s">
        <v>73</v>
      </c>
      <c r="B10872" s="1">
        <v>44927</v>
      </c>
      <c r="C10872">
        <v>851140</v>
      </c>
      <c r="D10872" t="s">
        <v>176</v>
      </c>
      <c r="E10872">
        <v>2472299</v>
      </c>
      <c r="F10872">
        <v>7762</v>
      </c>
      <c r="G10872">
        <v>1303</v>
      </c>
      <c r="H10872">
        <f>_xlfn.XLOOKUP(FACT_IMPORTS[[#This Row],[hts_6]],DIM_PRODUCTS[hts_6],DIM_PRODUCTS[hts_4],,,)</f>
        <v>8511</v>
      </c>
      <c r="I10872" t="str" cm="1">
        <f t="array" ref="I10872">_xlfn.XLOOKUP(FACT_IMPORTS[[#This Row],[country_name]],DIM_COUNTRY[[#All],[Column2]],DIM_COUNTRY[[#All],[Column3]],,,)</f>
        <v>Major_Non-USMCA_Non-China</v>
      </c>
    </row>
    <row r="10873" spans="1:13" x14ac:dyDescent="0.4">
      <c r="A10873" t="s">
        <v>73</v>
      </c>
      <c r="B10873" s="1">
        <v>44927</v>
      </c>
      <c r="C10873">
        <v>851150</v>
      </c>
      <c r="D10873" t="s">
        <v>176</v>
      </c>
      <c r="E10873">
        <v>20212</v>
      </c>
      <c r="F10873">
        <v>165</v>
      </c>
      <c r="G10873">
        <v>130</v>
      </c>
      <c r="H10873">
        <f>_xlfn.XLOOKUP(FACT_IMPORTS[[#This Row],[hts_6]],DIM_PRODUCTS[hts_6],DIM_PRODUCTS[hts_4],,,)</f>
        <v>8511</v>
      </c>
      <c r="I10873" t="str" cm="1">
        <f t="array" ref="I10873">_xlfn.XLOOKUP(FACT_IMPORTS[[#This Row],[country_name]],DIM_COUNTRY[[#All],[Column2]],DIM_COUNTRY[[#All],[Column3]],,,)</f>
        <v>Major_Non-USMCA_Non-China</v>
      </c>
      <c r="M10873">
        <v>6935847</v>
      </c>
    </row>
    <row r="10874" spans="1:13" x14ac:dyDescent="0.4">
      <c r="A10874" t="s">
        <v>73</v>
      </c>
      <c r="B10874" s="1">
        <v>44927</v>
      </c>
      <c r="C10874">
        <v>851190</v>
      </c>
      <c r="D10874" t="s">
        <v>176</v>
      </c>
      <c r="E10874">
        <v>136880</v>
      </c>
      <c r="F10874">
        <v>14004</v>
      </c>
      <c r="G10874">
        <v>7901</v>
      </c>
      <c r="H10874">
        <f>_xlfn.XLOOKUP(FACT_IMPORTS[[#This Row],[hts_6]],DIM_PRODUCTS[hts_6],DIM_PRODUCTS[hts_4],,,)</f>
        <v>8511</v>
      </c>
      <c r="I10874" t="str" cm="1">
        <f t="array" ref="I10874">_xlfn.XLOOKUP(FACT_IMPORTS[[#This Row],[country_name]],DIM_COUNTRY[[#All],[Column2]],DIM_COUNTRY[[#All],[Column3]],,,)</f>
        <v>Major_Non-USMCA_Non-China</v>
      </c>
    </row>
    <row r="10875" spans="1:13" x14ac:dyDescent="0.4">
      <c r="A10875" t="s">
        <v>73</v>
      </c>
      <c r="B10875" s="1">
        <v>44927</v>
      </c>
      <c r="C10875">
        <v>851220</v>
      </c>
      <c r="D10875" t="s">
        <v>176</v>
      </c>
      <c r="E10875">
        <v>6950124</v>
      </c>
      <c r="F10875">
        <v>600792</v>
      </c>
      <c r="G10875">
        <v>128612</v>
      </c>
      <c r="H10875">
        <f>_xlfn.XLOOKUP(FACT_IMPORTS[[#This Row],[hts_6]],DIM_PRODUCTS[hts_6],DIM_PRODUCTS[hts_4],,,)</f>
        <v>8512</v>
      </c>
      <c r="I10875" t="str" cm="1">
        <f t="array" ref="I10875">_xlfn.XLOOKUP(FACT_IMPORTS[[#This Row],[country_name]],DIM_COUNTRY[[#All],[Column2]],DIM_COUNTRY[[#All],[Column3]],,,)</f>
        <v>Major_Non-USMCA_Non-China</v>
      </c>
    </row>
    <row r="10876" spans="1:13" x14ac:dyDescent="0.4">
      <c r="A10876" t="s">
        <v>73</v>
      </c>
      <c r="B10876" s="1">
        <v>44927</v>
      </c>
      <c r="C10876">
        <v>851240</v>
      </c>
      <c r="D10876" t="s">
        <v>176</v>
      </c>
      <c r="E10876">
        <v>303957</v>
      </c>
      <c r="F10876">
        <v>24168</v>
      </c>
      <c r="G10876">
        <v>14983</v>
      </c>
      <c r="H10876">
        <f>_xlfn.XLOOKUP(FACT_IMPORTS[[#This Row],[hts_6]],DIM_PRODUCTS[hts_6],DIM_PRODUCTS[hts_4],,,)</f>
        <v>8512</v>
      </c>
      <c r="I10876" t="str" cm="1">
        <f t="array" ref="I10876">_xlfn.XLOOKUP(FACT_IMPORTS[[#This Row],[country_name]],DIM_COUNTRY[[#All],[Column2]],DIM_COUNTRY[[#All],[Column3]],,,)</f>
        <v>Major_Non-USMCA_Non-China</v>
      </c>
    </row>
    <row r="10877" spans="1:13" x14ac:dyDescent="0.4">
      <c r="A10877" t="s">
        <v>73</v>
      </c>
      <c r="B10877" s="1">
        <v>44927</v>
      </c>
      <c r="C10877">
        <v>851290</v>
      </c>
      <c r="D10877" t="s">
        <v>176</v>
      </c>
      <c r="E10877">
        <v>781502</v>
      </c>
      <c r="F10877">
        <v>51751</v>
      </c>
      <c r="G10877">
        <v>25174</v>
      </c>
      <c r="H10877">
        <f>_xlfn.XLOOKUP(FACT_IMPORTS[[#This Row],[hts_6]],DIM_PRODUCTS[hts_6],DIM_PRODUCTS[hts_4],,,)</f>
        <v>8512</v>
      </c>
      <c r="I10877" t="str" cm="1">
        <f t="array" ref="I10877">_xlfn.XLOOKUP(FACT_IMPORTS[[#This Row],[country_name]],DIM_COUNTRY[[#All],[Column2]],DIM_COUNTRY[[#All],[Column3]],,,)</f>
        <v>Major_Non-USMCA_Non-China</v>
      </c>
    </row>
    <row r="10878" spans="1:13" x14ac:dyDescent="0.4">
      <c r="A10878" t="s">
        <v>73</v>
      </c>
      <c r="B10878" s="1">
        <v>44927</v>
      </c>
      <c r="C10878">
        <v>854231</v>
      </c>
      <c r="D10878" t="s">
        <v>176</v>
      </c>
      <c r="E10878">
        <v>0</v>
      </c>
      <c r="F10878">
        <v>0</v>
      </c>
      <c r="G10878">
        <v>0</v>
      </c>
      <c r="H10878">
        <f>_xlfn.XLOOKUP(FACT_IMPORTS[[#This Row],[hts_6]],DIM_PRODUCTS[hts_6],DIM_PRODUCTS[hts_4],,,)</f>
        <v>8542</v>
      </c>
      <c r="I10878" t="str" cm="1">
        <f t="array" ref="I10878">_xlfn.XLOOKUP(FACT_IMPORTS[[#This Row],[country_name]],DIM_COUNTRY[[#All],[Column2]],DIM_COUNTRY[[#All],[Column3]],,,)</f>
        <v>Major_Non-USMCA_Non-China</v>
      </c>
    </row>
    <row r="10879" spans="1:13" x14ac:dyDescent="0.4">
      <c r="A10879" t="s">
        <v>73</v>
      </c>
      <c r="B10879" s="1">
        <v>44927</v>
      </c>
      <c r="C10879">
        <v>854232</v>
      </c>
      <c r="D10879" t="s">
        <v>176</v>
      </c>
      <c r="E10879">
        <v>2010</v>
      </c>
      <c r="F10879">
        <v>530</v>
      </c>
      <c r="G10879">
        <v>40</v>
      </c>
      <c r="H10879">
        <f>_xlfn.XLOOKUP(FACT_IMPORTS[[#This Row],[hts_6]],DIM_PRODUCTS[hts_6],DIM_PRODUCTS[hts_4],,,)</f>
        <v>8542</v>
      </c>
      <c r="I10879" t="str" cm="1">
        <f t="array" ref="I10879">_xlfn.XLOOKUP(FACT_IMPORTS[[#This Row],[country_name]],DIM_COUNTRY[[#All],[Column2]],DIM_COUNTRY[[#All],[Column3]],,,)</f>
        <v>Major_Non-USMCA_Non-China</v>
      </c>
    </row>
    <row r="10880" spans="1:13" x14ac:dyDescent="0.4">
      <c r="A10880" t="s">
        <v>73</v>
      </c>
      <c r="B10880" s="1">
        <v>44927</v>
      </c>
      <c r="C10880">
        <v>854239</v>
      </c>
      <c r="D10880" t="s">
        <v>176</v>
      </c>
      <c r="E10880">
        <v>8063</v>
      </c>
      <c r="F10880">
        <v>3750</v>
      </c>
      <c r="G10880">
        <v>806</v>
      </c>
      <c r="H10880">
        <f>_xlfn.XLOOKUP(FACT_IMPORTS[[#This Row],[hts_6]],DIM_PRODUCTS[hts_6],DIM_PRODUCTS[hts_4],,,)</f>
        <v>8542</v>
      </c>
      <c r="I10880" t="str" cm="1">
        <f t="array" ref="I10880">_xlfn.XLOOKUP(FACT_IMPORTS[[#This Row],[country_name]],DIM_COUNTRY[[#All],[Column2]],DIM_COUNTRY[[#All],[Column3]],,,)</f>
        <v>Major_Non-USMCA_Non-China</v>
      </c>
    </row>
    <row r="10881" spans="1:9" x14ac:dyDescent="0.4">
      <c r="A10881" t="s">
        <v>73</v>
      </c>
      <c r="B10881" s="1">
        <v>44927</v>
      </c>
      <c r="C10881">
        <v>854430</v>
      </c>
      <c r="D10881" t="s">
        <v>176</v>
      </c>
      <c r="E10881">
        <v>1059627</v>
      </c>
      <c r="F10881">
        <v>3819</v>
      </c>
      <c r="G10881">
        <v>1231</v>
      </c>
      <c r="H10881">
        <f>_xlfn.XLOOKUP(FACT_IMPORTS[[#This Row],[hts_6]],DIM_PRODUCTS[hts_6],DIM_PRODUCTS[hts_4],,,)</f>
        <v>8544</v>
      </c>
      <c r="I10881" t="str" cm="1">
        <f t="array" ref="I10881">_xlfn.XLOOKUP(FACT_IMPORTS[[#This Row],[country_name]],DIM_COUNTRY[[#All],[Column2]],DIM_COUNTRY[[#All],[Column3]],,,)</f>
        <v>Major_Non-USMCA_Non-China</v>
      </c>
    </row>
    <row r="10882" spans="1:9" x14ac:dyDescent="0.4">
      <c r="A10882" t="s">
        <v>73</v>
      </c>
      <c r="B10882" s="1">
        <v>44927</v>
      </c>
      <c r="C10882">
        <v>870810</v>
      </c>
      <c r="D10882" t="s">
        <v>176</v>
      </c>
      <c r="E10882">
        <v>763204</v>
      </c>
      <c r="F10882">
        <v>96572</v>
      </c>
      <c r="G10882">
        <v>9609</v>
      </c>
      <c r="H10882">
        <f>_xlfn.XLOOKUP(FACT_IMPORTS[[#This Row],[hts_6]],DIM_PRODUCTS[hts_6],DIM_PRODUCTS[hts_4],,,)</f>
        <v>8708</v>
      </c>
      <c r="I10882" t="str" cm="1">
        <f t="array" ref="I10882">_xlfn.XLOOKUP(FACT_IMPORTS[[#This Row],[country_name]],DIM_COUNTRY[[#All],[Column2]],DIM_COUNTRY[[#All],[Column3]],,,)</f>
        <v>Major_Non-USMCA_Non-China</v>
      </c>
    </row>
    <row r="10883" spans="1:9" x14ac:dyDescent="0.4">
      <c r="A10883" t="s">
        <v>73</v>
      </c>
      <c r="B10883" s="1">
        <v>44927</v>
      </c>
      <c r="C10883">
        <v>870821</v>
      </c>
      <c r="D10883" t="s">
        <v>176</v>
      </c>
      <c r="E10883">
        <v>0</v>
      </c>
      <c r="F10883">
        <v>0</v>
      </c>
      <c r="G10883">
        <v>0</v>
      </c>
      <c r="H10883">
        <f>_xlfn.XLOOKUP(FACT_IMPORTS[[#This Row],[hts_6]],DIM_PRODUCTS[hts_6],DIM_PRODUCTS[hts_4],,,)</f>
        <v>8708</v>
      </c>
      <c r="I10883" t="str" cm="1">
        <f t="array" ref="I10883">_xlfn.XLOOKUP(FACT_IMPORTS[[#This Row],[country_name]],DIM_COUNTRY[[#All],[Column2]],DIM_COUNTRY[[#All],[Column3]],,,)</f>
        <v>Major_Non-USMCA_Non-China</v>
      </c>
    </row>
    <row r="10884" spans="1:9" x14ac:dyDescent="0.4">
      <c r="A10884" t="s">
        <v>73</v>
      </c>
      <c r="B10884" s="1">
        <v>44927</v>
      </c>
      <c r="C10884">
        <v>870822</v>
      </c>
      <c r="D10884" t="s">
        <v>176</v>
      </c>
      <c r="E10884">
        <v>0</v>
      </c>
      <c r="F10884">
        <v>0</v>
      </c>
      <c r="G10884">
        <v>0</v>
      </c>
      <c r="H10884">
        <f>_xlfn.XLOOKUP(FACT_IMPORTS[[#This Row],[hts_6]],DIM_PRODUCTS[hts_6],DIM_PRODUCTS[hts_4],,,)</f>
        <v>8708</v>
      </c>
      <c r="I10884" t="str" cm="1">
        <f t="array" ref="I10884">_xlfn.XLOOKUP(FACT_IMPORTS[[#This Row],[country_name]],DIM_COUNTRY[[#All],[Column2]],DIM_COUNTRY[[#All],[Column3]],,,)</f>
        <v>Major_Non-USMCA_Non-China</v>
      </c>
    </row>
    <row r="10885" spans="1:9" x14ac:dyDescent="0.4">
      <c r="A10885" t="s">
        <v>73</v>
      </c>
      <c r="B10885" s="1">
        <v>44927</v>
      </c>
      <c r="C10885">
        <v>870829</v>
      </c>
      <c r="D10885" t="s">
        <v>176</v>
      </c>
      <c r="E10885">
        <v>3729433</v>
      </c>
      <c r="F10885">
        <v>2432276</v>
      </c>
      <c r="G10885">
        <v>159277</v>
      </c>
      <c r="H10885">
        <f>_xlfn.XLOOKUP(FACT_IMPORTS[[#This Row],[hts_6]],DIM_PRODUCTS[hts_6],DIM_PRODUCTS[hts_4],,,)</f>
        <v>8708</v>
      </c>
      <c r="I10885" t="str" cm="1">
        <f t="array" ref="I10885">_xlfn.XLOOKUP(FACT_IMPORTS[[#This Row],[country_name]],DIM_COUNTRY[[#All],[Column2]],DIM_COUNTRY[[#All],[Column3]],,,)</f>
        <v>Major_Non-USMCA_Non-China</v>
      </c>
    </row>
    <row r="10886" spans="1:9" x14ac:dyDescent="0.4">
      <c r="A10886" t="s">
        <v>73</v>
      </c>
      <c r="B10886" s="1">
        <v>44927</v>
      </c>
      <c r="C10886">
        <v>870830</v>
      </c>
      <c r="D10886" t="s">
        <v>176</v>
      </c>
      <c r="E10886">
        <v>408832</v>
      </c>
      <c r="F10886">
        <v>196554</v>
      </c>
      <c r="G10886">
        <v>10399</v>
      </c>
      <c r="H10886">
        <f>_xlfn.XLOOKUP(FACT_IMPORTS[[#This Row],[hts_6]],DIM_PRODUCTS[hts_6],DIM_PRODUCTS[hts_4],,,)</f>
        <v>8708</v>
      </c>
      <c r="I10886" t="str" cm="1">
        <f t="array" ref="I10886">_xlfn.XLOOKUP(FACT_IMPORTS[[#This Row],[country_name]],DIM_COUNTRY[[#All],[Column2]],DIM_COUNTRY[[#All],[Column3]],,,)</f>
        <v>Major_Non-USMCA_Non-China</v>
      </c>
    </row>
    <row r="10887" spans="1:9" x14ac:dyDescent="0.4">
      <c r="A10887" t="s">
        <v>73</v>
      </c>
      <c r="B10887" s="1">
        <v>44927</v>
      </c>
      <c r="C10887">
        <v>870840</v>
      </c>
      <c r="D10887" t="s">
        <v>176</v>
      </c>
      <c r="E10887">
        <v>3980046</v>
      </c>
      <c r="F10887">
        <v>572029</v>
      </c>
      <c r="G10887">
        <v>72945</v>
      </c>
      <c r="H10887">
        <f>_xlfn.XLOOKUP(FACT_IMPORTS[[#This Row],[hts_6]],DIM_PRODUCTS[hts_6],DIM_PRODUCTS[hts_4],,,)</f>
        <v>8708</v>
      </c>
      <c r="I10887" t="str" cm="1">
        <f t="array" ref="I10887">_xlfn.XLOOKUP(FACT_IMPORTS[[#This Row],[country_name]],DIM_COUNTRY[[#All],[Column2]],DIM_COUNTRY[[#All],[Column3]],,,)</f>
        <v>Major_Non-USMCA_Non-China</v>
      </c>
    </row>
    <row r="10888" spans="1:9" x14ac:dyDescent="0.4">
      <c r="A10888" t="s">
        <v>73</v>
      </c>
      <c r="B10888" s="1">
        <v>44927</v>
      </c>
      <c r="C10888">
        <v>870850</v>
      </c>
      <c r="D10888" t="s">
        <v>176</v>
      </c>
      <c r="E10888">
        <v>15285873</v>
      </c>
      <c r="F10888">
        <v>1056828</v>
      </c>
      <c r="G10888">
        <v>579041</v>
      </c>
      <c r="H10888">
        <f>_xlfn.XLOOKUP(FACT_IMPORTS[[#This Row],[hts_6]],DIM_PRODUCTS[hts_6],DIM_PRODUCTS[hts_4],,,)</f>
        <v>8708</v>
      </c>
      <c r="I10888" t="str" cm="1">
        <f t="array" ref="I10888">_xlfn.XLOOKUP(FACT_IMPORTS[[#This Row],[country_name]],DIM_COUNTRY[[#All],[Column2]],DIM_COUNTRY[[#All],[Column3]],,,)</f>
        <v>Major_Non-USMCA_Non-China</v>
      </c>
    </row>
    <row r="10889" spans="1:9" x14ac:dyDescent="0.4">
      <c r="A10889" t="s">
        <v>73</v>
      </c>
      <c r="B10889" s="1">
        <v>44927</v>
      </c>
      <c r="C10889">
        <v>870870</v>
      </c>
      <c r="D10889" t="s">
        <v>176</v>
      </c>
      <c r="E10889">
        <v>3326387</v>
      </c>
      <c r="F10889">
        <v>59175</v>
      </c>
      <c r="G10889">
        <v>168052</v>
      </c>
      <c r="H10889">
        <f>_xlfn.XLOOKUP(FACT_IMPORTS[[#This Row],[hts_6]],DIM_PRODUCTS[hts_6],DIM_PRODUCTS[hts_4],,,)</f>
        <v>8708</v>
      </c>
      <c r="I10889" t="str" cm="1">
        <f t="array" ref="I10889">_xlfn.XLOOKUP(FACT_IMPORTS[[#This Row],[country_name]],DIM_COUNTRY[[#All],[Column2]],DIM_COUNTRY[[#All],[Column3]],,,)</f>
        <v>Major_Non-USMCA_Non-China</v>
      </c>
    </row>
    <row r="10890" spans="1:9" x14ac:dyDescent="0.4">
      <c r="A10890" t="s">
        <v>73</v>
      </c>
      <c r="B10890" s="1">
        <v>44927</v>
      </c>
      <c r="C10890">
        <v>870880</v>
      </c>
      <c r="D10890" t="s">
        <v>176</v>
      </c>
      <c r="E10890">
        <v>4560434</v>
      </c>
      <c r="F10890">
        <v>1080794</v>
      </c>
      <c r="G10890">
        <v>131057</v>
      </c>
      <c r="H10890">
        <f>_xlfn.XLOOKUP(FACT_IMPORTS[[#This Row],[hts_6]],DIM_PRODUCTS[hts_6],DIM_PRODUCTS[hts_4],,,)</f>
        <v>8708</v>
      </c>
      <c r="I10890" t="str" cm="1">
        <f t="array" ref="I10890">_xlfn.XLOOKUP(FACT_IMPORTS[[#This Row],[country_name]],DIM_COUNTRY[[#All],[Column2]],DIM_COUNTRY[[#All],[Column3]],,,)</f>
        <v>Major_Non-USMCA_Non-China</v>
      </c>
    </row>
    <row r="10891" spans="1:9" x14ac:dyDescent="0.4">
      <c r="A10891" t="s">
        <v>73</v>
      </c>
      <c r="B10891" s="1">
        <v>44927</v>
      </c>
      <c r="C10891">
        <v>870891</v>
      </c>
      <c r="D10891" t="s">
        <v>176</v>
      </c>
      <c r="E10891">
        <v>217698</v>
      </c>
      <c r="F10891">
        <v>6469</v>
      </c>
      <c r="G10891">
        <v>391</v>
      </c>
      <c r="H10891">
        <f>_xlfn.XLOOKUP(FACT_IMPORTS[[#This Row],[hts_6]],DIM_PRODUCTS[hts_6],DIM_PRODUCTS[hts_4],,,)</f>
        <v>8708</v>
      </c>
      <c r="I10891" t="str" cm="1">
        <f t="array" ref="I10891">_xlfn.XLOOKUP(FACT_IMPORTS[[#This Row],[country_name]],DIM_COUNTRY[[#All],[Column2]],DIM_COUNTRY[[#All],[Column3]],,,)</f>
        <v>Major_Non-USMCA_Non-China</v>
      </c>
    </row>
    <row r="10892" spans="1:9" x14ac:dyDescent="0.4">
      <c r="A10892" t="s">
        <v>73</v>
      </c>
      <c r="B10892" s="1">
        <v>44927</v>
      </c>
      <c r="C10892">
        <v>870892</v>
      </c>
      <c r="D10892" t="s">
        <v>176</v>
      </c>
      <c r="E10892">
        <v>90558</v>
      </c>
      <c r="F10892">
        <v>304</v>
      </c>
      <c r="G10892">
        <v>181</v>
      </c>
      <c r="H10892">
        <f>_xlfn.XLOOKUP(FACT_IMPORTS[[#This Row],[hts_6]],DIM_PRODUCTS[hts_6],DIM_PRODUCTS[hts_4],,,)</f>
        <v>8708</v>
      </c>
      <c r="I10892" t="str" cm="1">
        <f t="array" ref="I10892">_xlfn.XLOOKUP(FACT_IMPORTS[[#This Row],[country_name]],DIM_COUNTRY[[#All],[Column2]],DIM_COUNTRY[[#All],[Column3]],,,)</f>
        <v>Major_Non-USMCA_Non-China</v>
      </c>
    </row>
    <row r="10893" spans="1:9" x14ac:dyDescent="0.4">
      <c r="A10893" t="s">
        <v>73</v>
      </c>
      <c r="B10893" s="1">
        <v>44927</v>
      </c>
      <c r="C10893">
        <v>870893</v>
      </c>
      <c r="D10893" t="s">
        <v>176</v>
      </c>
      <c r="E10893">
        <v>1441319</v>
      </c>
      <c r="F10893">
        <v>152244</v>
      </c>
      <c r="G10893">
        <v>8751</v>
      </c>
      <c r="H10893">
        <f>_xlfn.XLOOKUP(FACT_IMPORTS[[#This Row],[hts_6]],DIM_PRODUCTS[hts_6],DIM_PRODUCTS[hts_4],,,)</f>
        <v>8708</v>
      </c>
      <c r="I10893" t="str" cm="1">
        <f t="array" ref="I10893">_xlfn.XLOOKUP(FACT_IMPORTS[[#This Row],[country_name]],DIM_COUNTRY[[#All],[Column2]],DIM_COUNTRY[[#All],[Column3]],,,)</f>
        <v>Major_Non-USMCA_Non-China</v>
      </c>
    </row>
    <row r="10894" spans="1:9" x14ac:dyDescent="0.4">
      <c r="A10894" t="s">
        <v>73</v>
      </c>
      <c r="B10894" s="1">
        <v>44927</v>
      </c>
      <c r="C10894">
        <v>870894</v>
      </c>
      <c r="D10894" t="s">
        <v>176</v>
      </c>
      <c r="E10894">
        <v>1852913</v>
      </c>
      <c r="F10894">
        <v>237721</v>
      </c>
      <c r="G10894">
        <v>7066</v>
      </c>
      <c r="H10894">
        <f>_xlfn.XLOOKUP(FACT_IMPORTS[[#This Row],[hts_6]],DIM_PRODUCTS[hts_6],DIM_PRODUCTS[hts_4],,,)</f>
        <v>8708</v>
      </c>
      <c r="I10894" t="str" cm="1">
        <f t="array" ref="I10894">_xlfn.XLOOKUP(FACT_IMPORTS[[#This Row],[country_name]],DIM_COUNTRY[[#All],[Column2]],DIM_COUNTRY[[#All],[Column3]],,,)</f>
        <v>Major_Non-USMCA_Non-China</v>
      </c>
    </row>
    <row r="10895" spans="1:9" x14ac:dyDescent="0.4">
      <c r="A10895" t="s">
        <v>73</v>
      </c>
      <c r="B10895" s="1">
        <v>44927</v>
      </c>
      <c r="C10895">
        <v>870895</v>
      </c>
      <c r="D10895" t="s">
        <v>176</v>
      </c>
      <c r="E10895">
        <v>7500</v>
      </c>
      <c r="F10895">
        <v>101</v>
      </c>
      <c r="G10895">
        <v>5</v>
      </c>
      <c r="H10895">
        <f>_xlfn.XLOOKUP(FACT_IMPORTS[[#This Row],[hts_6]],DIM_PRODUCTS[hts_6],DIM_PRODUCTS[hts_4],,,)</f>
        <v>8708</v>
      </c>
      <c r="I10895" t="str" cm="1">
        <f t="array" ref="I10895">_xlfn.XLOOKUP(FACT_IMPORTS[[#This Row],[country_name]],DIM_COUNTRY[[#All],[Column2]],DIM_COUNTRY[[#All],[Column3]],,,)</f>
        <v>Major_Non-USMCA_Non-China</v>
      </c>
    </row>
    <row r="10896" spans="1:9" x14ac:dyDescent="0.4">
      <c r="A10896" t="s">
        <v>73</v>
      </c>
      <c r="B10896" s="1">
        <v>44927</v>
      </c>
      <c r="C10896">
        <v>870899</v>
      </c>
      <c r="D10896" t="s">
        <v>176</v>
      </c>
      <c r="E10896">
        <v>24186204</v>
      </c>
      <c r="F10896">
        <v>4559947</v>
      </c>
      <c r="G10896">
        <v>669487</v>
      </c>
      <c r="H10896">
        <f>_xlfn.XLOOKUP(FACT_IMPORTS[[#This Row],[hts_6]],DIM_PRODUCTS[hts_6],DIM_PRODUCTS[hts_4],,,)</f>
        <v>8708</v>
      </c>
      <c r="I10896" t="str" cm="1">
        <f t="array" ref="I10896">_xlfn.XLOOKUP(FACT_IMPORTS[[#This Row],[country_name]],DIM_COUNTRY[[#All],[Column2]],DIM_COUNTRY[[#All],[Column3]],,,)</f>
        <v>Major_Non-USMCA_Non-China</v>
      </c>
    </row>
    <row r="10897" spans="1:9" x14ac:dyDescent="0.4">
      <c r="A10897" t="s">
        <v>73</v>
      </c>
      <c r="B10897" s="1">
        <v>44927</v>
      </c>
      <c r="C10897">
        <v>940120</v>
      </c>
      <c r="D10897" t="s">
        <v>176</v>
      </c>
      <c r="E10897">
        <v>2219</v>
      </c>
      <c r="F10897">
        <v>3</v>
      </c>
      <c r="G10897">
        <v>15</v>
      </c>
      <c r="H10897">
        <f>_xlfn.XLOOKUP(FACT_IMPORTS[[#This Row],[hts_6]],DIM_PRODUCTS[hts_6],DIM_PRODUCTS[hts_4],,,)</f>
        <v>9401</v>
      </c>
      <c r="I10897" t="str" cm="1">
        <f t="array" ref="I10897">_xlfn.XLOOKUP(FACT_IMPORTS[[#This Row],[country_name]],DIM_COUNTRY[[#All],[Column2]],DIM_COUNTRY[[#All],[Column3]],,,)</f>
        <v>Major_Non-USMCA_Non-China</v>
      </c>
    </row>
    <row r="10898" spans="1:9" x14ac:dyDescent="0.4">
      <c r="A10898" t="s">
        <v>73</v>
      </c>
      <c r="B10898" s="1">
        <v>44958</v>
      </c>
      <c r="C10898">
        <v>392630</v>
      </c>
      <c r="D10898" t="s">
        <v>176</v>
      </c>
      <c r="E10898">
        <v>136170</v>
      </c>
      <c r="F10898">
        <v>5800</v>
      </c>
      <c r="G10898">
        <v>8096</v>
      </c>
      <c r="H10898">
        <f>_xlfn.XLOOKUP(FACT_IMPORTS[[#This Row],[hts_6]],DIM_PRODUCTS[hts_6],DIM_PRODUCTS[hts_4],,,)</f>
        <v>3926</v>
      </c>
      <c r="I10898" t="str" cm="1">
        <f t="array" ref="I10898">_xlfn.XLOOKUP(FACT_IMPORTS[[#This Row],[country_name]],DIM_COUNTRY[[#All],[Column2]],DIM_COUNTRY[[#All],[Column3]],,,)</f>
        <v>Major_Non-USMCA_Non-China</v>
      </c>
    </row>
    <row r="10899" spans="1:9" x14ac:dyDescent="0.4">
      <c r="A10899" t="s">
        <v>73</v>
      </c>
      <c r="B10899" s="1">
        <v>44958</v>
      </c>
      <c r="C10899">
        <v>401110</v>
      </c>
      <c r="D10899" t="s">
        <v>176</v>
      </c>
      <c r="E10899">
        <v>3165265</v>
      </c>
      <c r="F10899">
        <v>48810</v>
      </c>
      <c r="G10899">
        <v>805129</v>
      </c>
      <c r="H10899">
        <f>_xlfn.XLOOKUP(FACT_IMPORTS[[#This Row],[hts_6]],DIM_PRODUCTS[hts_6],DIM_PRODUCTS[hts_4],,,)</f>
        <v>4011</v>
      </c>
      <c r="I10899" t="str" cm="1">
        <f t="array" ref="I10899">_xlfn.XLOOKUP(FACT_IMPORTS[[#This Row],[country_name]],DIM_COUNTRY[[#All],[Column2]],DIM_COUNTRY[[#All],[Column3]],,,)</f>
        <v>Major_Non-USMCA_Non-China</v>
      </c>
    </row>
    <row r="10900" spans="1:9" x14ac:dyDescent="0.4">
      <c r="A10900" t="s">
        <v>73</v>
      </c>
      <c r="B10900" s="1">
        <v>44958</v>
      </c>
      <c r="C10900">
        <v>401120</v>
      </c>
      <c r="D10900" t="s">
        <v>176</v>
      </c>
      <c r="E10900">
        <v>6897</v>
      </c>
      <c r="F10900">
        <v>64</v>
      </c>
      <c r="G10900">
        <v>1141</v>
      </c>
      <c r="H10900">
        <f>_xlfn.XLOOKUP(FACT_IMPORTS[[#This Row],[hts_6]],DIM_PRODUCTS[hts_6],DIM_PRODUCTS[hts_4],,,)</f>
        <v>4011</v>
      </c>
      <c r="I10900" t="str" cm="1">
        <f t="array" ref="I10900">_xlfn.XLOOKUP(FACT_IMPORTS[[#This Row],[country_name]],DIM_COUNTRY[[#All],[Column2]],DIM_COUNTRY[[#All],[Column3]],,,)</f>
        <v>Major_Non-USMCA_Non-China</v>
      </c>
    </row>
    <row r="10901" spans="1:9" x14ac:dyDescent="0.4">
      <c r="A10901" t="s">
        <v>73</v>
      </c>
      <c r="B10901" s="1">
        <v>44958</v>
      </c>
      <c r="C10901">
        <v>401190</v>
      </c>
      <c r="D10901" t="s">
        <v>176</v>
      </c>
      <c r="E10901">
        <v>0</v>
      </c>
      <c r="F10901">
        <v>0</v>
      </c>
      <c r="G10901">
        <v>0</v>
      </c>
      <c r="H10901">
        <f>_xlfn.XLOOKUP(FACT_IMPORTS[[#This Row],[hts_6]],DIM_PRODUCTS[hts_6],DIM_PRODUCTS[hts_4],,,)</f>
        <v>4011</v>
      </c>
      <c r="I10901" t="str" cm="1">
        <f t="array" ref="I10901">_xlfn.XLOOKUP(FACT_IMPORTS[[#This Row],[country_name]],DIM_COUNTRY[[#All],[Column2]],DIM_COUNTRY[[#All],[Column3]],,,)</f>
        <v>Major_Non-USMCA_Non-China</v>
      </c>
    </row>
    <row r="10902" spans="1:9" x14ac:dyDescent="0.4">
      <c r="A10902" t="s">
        <v>73</v>
      </c>
      <c r="B10902" s="1">
        <v>44958</v>
      </c>
      <c r="C10902">
        <v>700910</v>
      </c>
      <c r="D10902" t="s">
        <v>176</v>
      </c>
      <c r="E10902">
        <v>234832</v>
      </c>
      <c r="F10902">
        <v>4134</v>
      </c>
      <c r="G10902">
        <v>10138</v>
      </c>
      <c r="H10902">
        <f>_xlfn.XLOOKUP(FACT_IMPORTS[[#This Row],[hts_6]],DIM_PRODUCTS[hts_6],DIM_PRODUCTS[hts_4],,,)</f>
        <v>7009</v>
      </c>
      <c r="I10902" t="str" cm="1">
        <f t="array" ref="I10902">_xlfn.XLOOKUP(FACT_IMPORTS[[#This Row],[country_name]],DIM_COUNTRY[[#All],[Column2]],DIM_COUNTRY[[#All],[Column3]],,,)</f>
        <v>Major_Non-USMCA_Non-China</v>
      </c>
    </row>
    <row r="10903" spans="1:9" x14ac:dyDescent="0.4">
      <c r="A10903" t="s">
        <v>73</v>
      </c>
      <c r="B10903" s="1">
        <v>44958</v>
      </c>
      <c r="C10903">
        <v>830230</v>
      </c>
      <c r="D10903" t="s">
        <v>176</v>
      </c>
      <c r="E10903">
        <v>2468264</v>
      </c>
      <c r="F10903">
        <v>419470</v>
      </c>
      <c r="G10903">
        <v>65116</v>
      </c>
      <c r="H10903">
        <f>_xlfn.XLOOKUP(FACT_IMPORTS[[#This Row],[hts_6]],DIM_PRODUCTS[hts_6],DIM_PRODUCTS[hts_4],,,)</f>
        <v>8302</v>
      </c>
      <c r="I10903" t="str" cm="1">
        <f t="array" ref="I10903">_xlfn.XLOOKUP(FACT_IMPORTS[[#This Row],[country_name]],DIM_COUNTRY[[#All],[Column2]],DIM_COUNTRY[[#All],[Column3]],,,)</f>
        <v>Major_Non-USMCA_Non-China</v>
      </c>
    </row>
    <row r="10904" spans="1:9" x14ac:dyDescent="0.4">
      <c r="A10904" t="s">
        <v>73</v>
      </c>
      <c r="B10904" s="1">
        <v>44958</v>
      </c>
      <c r="C10904">
        <v>840734</v>
      </c>
      <c r="D10904" t="s">
        <v>176</v>
      </c>
      <c r="E10904">
        <v>156524</v>
      </c>
      <c r="F10904">
        <v>28</v>
      </c>
      <c r="G10904">
        <v>1069</v>
      </c>
      <c r="H10904">
        <f>_xlfn.XLOOKUP(FACT_IMPORTS[[#This Row],[hts_6]],DIM_PRODUCTS[hts_6],DIM_PRODUCTS[hts_4],,,)</f>
        <v>8407</v>
      </c>
      <c r="I10904" t="str" cm="1">
        <f t="array" ref="I10904">_xlfn.XLOOKUP(FACT_IMPORTS[[#This Row],[country_name]],DIM_COUNTRY[[#All],[Column2]],DIM_COUNTRY[[#All],[Column3]],,,)</f>
        <v>Major_Non-USMCA_Non-China</v>
      </c>
    </row>
    <row r="10905" spans="1:9" x14ac:dyDescent="0.4">
      <c r="A10905" t="s">
        <v>73</v>
      </c>
      <c r="B10905" s="1">
        <v>44958</v>
      </c>
      <c r="C10905">
        <v>840820</v>
      </c>
      <c r="D10905" t="s">
        <v>176</v>
      </c>
      <c r="E10905">
        <v>0</v>
      </c>
      <c r="F10905">
        <v>0</v>
      </c>
      <c r="G10905">
        <v>0</v>
      </c>
      <c r="H10905">
        <f>_xlfn.XLOOKUP(FACT_IMPORTS[[#This Row],[hts_6]],DIM_PRODUCTS[hts_6],DIM_PRODUCTS[hts_4],,,)</f>
        <v>8408</v>
      </c>
      <c r="I10905" t="str" cm="1">
        <f t="array" ref="I10905">_xlfn.XLOOKUP(FACT_IMPORTS[[#This Row],[country_name]],DIM_COUNTRY[[#All],[Column2]],DIM_COUNTRY[[#All],[Column3]],,,)</f>
        <v>Major_Non-USMCA_Non-China</v>
      </c>
    </row>
    <row r="10906" spans="1:9" x14ac:dyDescent="0.4">
      <c r="A10906" t="s">
        <v>73</v>
      </c>
      <c r="B10906" s="1">
        <v>44958</v>
      </c>
      <c r="C10906">
        <v>840890</v>
      </c>
      <c r="D10906" t="s">
        <v>176</v>
      </c>
      <c r="E10906">
        <v>0</v>
      </c>
      <c r="F10906">
        <v>0</v>
      </c>
      <c r="G10906">
        <v>0</v>
      </c>
      <c r="H10906">
        <f>_xlfn.XLOOKUP(FACT_IMPORTS[[#This Row],[hts_6]],DIM_PRODUCTS[hts_6],DIM_PRODUCTS[hts_4],,,)</f>
        <v>8408</v>
      </c>
      <c r="I10906" t="str" cm="1">
        <f t="array" ref="I10906">_xlfn.XLOOKUP(FACT_IMPORTS[[#This Row],[country_name]],DIM_COUNTRY[[#All],[Column2]],DIM_COUNTRY[[#All],[Column3]],,,)</f>
        <v>Major_Non-USMCA_Non-China</v>
      </c>
    </row>
    <row r="10907" spans="1:9" x14ac:dyDescent="0.4">
      <c r="A10907" t="s">
        <v>73</v>
      </c>
      <c r="B10907" s="1">
        <v>44958</v>
      </c>
      <c r="C10907">
        <v>840991</v>
      </c>
      <c r="D10907" t="s">
        <v>176</v>
      </c>
      <c r="E10907">
        <v>6103127</v>
      </c>
      <c r="F10907">
        <v>548075</v>
      </c>
      <c r="G10907">
        <v>98302</v>
      </c>
      <c r="H10907">
        <f>_xlfn.XLOOKUP(FACT_IMPORTS[[#This Row],[hts_6]],DIM_PRODUCTS[hts_6],DIM_PRODUCTS[hts_4],,,)</f>
        <v>8409</v>
      </c>
      <c r="I10907" t="str" cm="1">
        <f t="array" ref="I10907">_xlfn.XLOOKUP(FACT_IMPORTS[[#This Row],[country_name]],DIM_COUNTRY[[#All],[Column2]],DIM_COUNTRY[[#All],[Column3]],,,)</f>
        <v>Major_Non-USMCA_Non-China</v>
      </c>
    </row>
    <row r="10908" spans="1:9" x14ac:dyDescent="0.4">
      <c r="A10908" t="s">
        <v>73</v>
      </c>
      <c r="B10908" s="1">
        <v>44958</v>
      </c>
      <c r="C10908">
        <v>840999</v>
      </c>
      <c r="D10908" t="s">
        <v>176</v>
      </c>
      <c r="E10908">
        <v>2643990</v>
      </c>
      <c r="F10908">
        <v>183748</v>
      </c>
      <c r="G10908">
        <v>25722</v>
      </c>
      <c r="H10908">
        <f>_xlfn.XLOOKUP(FACT_IMPORTS[[#This Row],[hts_6]],DIM_PRODUCTS[hts_6],DIM_PRODUCTS[hts_4],,,)</f>
        <v>8409</v>
      </c>
      <c r="I10908" t="str" cm="1">
        <f t="array" ref="I10908">_xlfn.XLOOKUP(FACT_IMPORTS[[#This Row],[country_name]],DIM_COUNTRY[[#All],[Column2]],DIM_COUNTRY[[#All],[Column3]],,,)</f>
        <v>Major_Non-USMCA_Non-China</v>
      </c>
    </row>
    <row r="10909" spans="1:9" x14ac:dyDescent="0.4">
      <c r="A10909" t="s">
        <v>73</v>
      </c>
      <c r="B10909" s="1">
        <v>44958</v>
      </c>
      <c r="C10909">
        <v>841330</v>
      </c>
      <c r="D10909" t="s">
        <v>176</v>
      </c>
      <c r="E10909">
        <v>5139197</v>
      </c>
      <c r="F10909">
        <v>110013</v>
      </c>
      <c r="G10909">
        <v>92638</v>
      </c>
      <c r="H10909">
        <f>_xlfn.XLOOKUP(FACT_IMPORTS[[#This Row],[hts_6]],DIM_PRODUCTS[hts_6],DIM_PRODUCTS[hts_4],,,)</f>
        <v>8413</v>
      </c>
      <c r="I10909" t="str" cm="1">
        <f t="array" ref="I10909">_xlfn.XLOOKUP(FACT_IMPORTS[[#This Row],[country_name]],DIM_COUNTRY[[#All],[Column2]],DIM_COUNTRY[[#All],[Column3]],,,)</f>
        <v>Major_Non-USMCA_Non-China</v>
      </c>
    </row>
    <row r="10910" spans="1:9" x14ac:dyDescent="0.4">
      <c r="A10910" t="s">
        <v>73</v>
      </c>
      <c r="B10910" s="1">
        <v>44958</v>
      </c>
      <c r="C10910">
        <v>842132</v>
      </c>
      <c r="D10910" t="s">
        <v>176</v>
      </c>
      <c r="E10910">
        <v>63897</v>
      </c>
      <c r="F10910">
        <v>56</v>
      </c>
      <c r="G10910">
        <v>167</v>
      </c>
      <c r="H10910">
        <f>_xlfn.XLOOKUP(FACT_IMPORTS[[#This Row],[hts_6]],DIM_PRODUCTS[hts_6],DIM_PRODUCTS[hts_4],,,)</f>
        <v>8421</v>
      </c>
      <c r="I10910" t="str" cm="1">
        <f t="array" ref="I10910">_xlfn.XLOOKUP(FACT_IMPORTS[[#This Row],[country_name]],DIM_COUNTRY[[#All],[Column2]],DIM_COUNTRY[[#All],[Column3]],,,)</f>
        <v>Major_Non-USMCA_Non-China</v>
      </c>
    </row>
    <row r="10911" spans="1:9" x14ac:dyDescent="0.4">
      <c r="A10911" t="s">
        <v>73</v>
      </c>
      <c r="B10911" s="1">
        <v>44958</v>
      </c>
      <c r="C10911">
        <v>848210</v>
      </c>
      <c r="D10911" t="s">
        <v>176</v>
      </c>
      <c r="E10911">
        <v>178786</v>
      </c>
      <c r="F10911">
        <v>120060</v>
      </c>
      <c r="G10911">
        <v>436</v>
      </c>
      <c r="H10911">
        <f>_xlfn.XLOOKUP(FACT_IMPORTS[[#This Row],[hts_6]],DIM_PRODUCTS[hts_6],DIM_PRODUCTS[hts_4],,,)</f>
        <v>8482</v>
      </c>
      <c r="I10911" t="str" cm="1">
        <f t="array" ref="I10911">_xlfn.XLOOKUP(FACT_IMPORTS[[#This Row],[country_name]],DIM_COUNTRY[[#All],[Column2]],DIM_COUNTRY[[#All],[Column3]],,,)</f>
        <v>Major_Non-USMCA_Non-China</v>
      </c>
    </row>
    <row r="10912" spans="1:9" x14ac:dyDescent="0.4">
      <c r="A10912" t="s">
        <v>73</v>
      </c>
      <c r="B10912" s="1">
        <v>44958</v>
      </c>
      <c r="C10912">
        <v>848220</v>
      </c>
      <c r="D10912" t="s">
        <v>176</v>
      </c>
      <c r="E10912">
        <v>2634940</v>
      </c>
      <c r="F10912">
        <v>678663</v>
      </c>
      <c r="G10912">
        <v>644</v>
      </c>
      <c r="H10912">
        <f>_xlfn.XLOOKUP(FACT_IMPORTS[[#This Row],[hts_6]],DIM_PRODUCTS[hts_6],DIM_PRODUCTS[hts_4],,,)</f>
        <v>8482</v>
      </c>
      <c r="I10912" t="str" cm="1">
        <f t="array" ref="I10912">_xlfn.XLOOKUP(FACT_IMPORTS[[#This Row],[country_name]],DIM_COUNTRY[[#All],[Column2]],DIM_COUNTRY[[#All],[Column3]],,,)</f>
        <v>Major_Non-USMCA_Non-China</v>
      </c>
    </row>
    <row r="10913" spans="1:9" x14ac:dyDescent="0.4">
      <c r="A10913" t="s">
        <v>73</v>
      </c>
      <c r="B10913" s="1">
        <v>44958</v>
      </c>
      <c r="C10913">
        <v>848310</v>
      </c>
      <c r="D10913" t="s">
        <v>176</v>
      </c>
      <c r="E10913">
        <v>575711</v>
      </c>
      <c r="F10913">
        <v>15871</v>
      </c>
      <c r="G10913">
        <v>4400</v>
      </c>
      <c r="H10913">
        <f>_xlfn.XLOOKUP(FACT_IMPORTS[[#This Row],[hts_6]],DIM_PRODUCTS[hts_6],DIM_PRODUCTS[hts_4],,,)</f>
        <v>8483</v>
      </c>
      <c r="I10913" t="str" cm="1">
        <f t="array" ref="I10913">_xlfn.XLOOKUP(FACT_IMPORTS[[#This Row],[country_name]],DIM_COUNTRY[[#All],[Column2]],DIM_COUNTRY[[#All],[Column3]],,,)</f>
        <v>Major_Non-USMCA_Non-China</v>
      </c>
    </row>
    <row r="10914" spans="1:9" x14ac:dyDescent="0.4">
      <c r="A10914" t="s">
        <v>73</v>
      </c>
      <c r="B10914" s="1">
        <v>44958</v>
      </c>
      <c r="C10914">
        <v>850131</v>
      </c>
      <c r="D10914" t="s">
        <v>176</v>
      </c>
      <c r="E10914">
        <v>1983130</v>
      </c>
      <c r="F10914">
        <v>71008</v>
      </c>
      <c r="G10914">
        <v>3106</v>
      </c>
      <c r="H10914">
        <f>_xlfn.XLOOKUP(FACT_IMPORTS[[#This Row],[hts_6]],DIM_PRODUCTS[hts_6],DIM_PRODUCTS[hts_4],,,)</f>
        <v>8501</v>
      </c>
      <c r="I10914" t="str" cm="1">
        <f t="array" ref="I10914">_xlfn.XLOOKUP(FACT_IMPORTS[[#This Row],[country_name]],DIM_COUNTRY[[#All],[Column2]],DIM_COUNTRY[[#All],[Column3]],,,)</f>
        <v>Major_Non-USMCA_Non-China</v>
      </c>
    </row>
    <row r="10915" spans="1:9" x14ac:dyDescent="0.4">
      <c r="A10915" t="s">
        <v>73</v>
      </c>
      <c r="B10915" s="1">
        <v>44958</v>
      </c>
      <c r="C10915">
        <v>850132</v>
      </c>
      <c r="D10915" t="s">
        <v>176</v>
      </c>
      <c r="E10915">
        <v>0</v>
      </c>
      <c r="F10915">
        <v>0</v>
      </c>
      <c r="G10915">
        <v>0</v>
      </c>
      <c r="H10915">
        <f>_xlfn.XLOOKUP(FACT_IMPORTS[[#This Row],[hts_6]],DIM_PRODUCTS[hts_6],DIM_PRODUCTS[hts_4],,,)</f>
        <v>8501</v>
      </c>
      <c r="I10915" t="str" cm="1">
        <f t="array" ref="I10915">_xlfn.XLOOKUP(FACT_IMPORTS[[#This Row],[country_name]],DIM_COUNTRY[[#All],[Column2]],DIM_COUNTRY[[#All],[Column3]],,,)</f>
        <v>Major_Non-USMCA_Non-China</v>
      </c>
    </row>
    <row r="10916" spans="1:9" x14ac:dyDescent="0.4">
      <c r="A10916" t="s">
        <v>73</v>
      </c>
      <c r="B10916" s="1">
        <v>44958</v>
      </c>
      <c r="C10916">
        <v>850152</v>
      </c>
      <c r="D10916" t="s">
        <v>176</v>
      </c>
      <c r="E10916">
        <v>0</v>
      </c>
      <c r="F10916">
        <v>0</v>
      </c>
      <c r="G10916">
        <v>0</v>
      </c>
      <c r="H10916">
        <f>_xlfn.XLOOKUP(FACT_IMPORTS[[#This Row],[hts_6]],DIM_PRODUCTS[hts_6],DIM_PRODUCTS[hts_4],,,)</f>
        <v>8501</v>
      </c>
      <c r="I10916" t="str" cm="1">
        <f t="array" ref="I10916">_xlfn.XLOOKUP(FACT_IMPORTS[[#This Row],[country_name]],DIM_COUNTRY[[#All],[Column2]],DIM_COUNTRY[[#All],[Column3]],,,)</f>
        <v>Major_Non-USMCA_Non-China</v>
      </c>
    </row>
    <row r="10917" spans="1:9" x14ac:dyDescent="0.4">
      <c r="A10917" t="s">
        <v>73</v>
      </c>
      <c r="B10917" s="1">
        <v>44958</v>
      </c>
      <c r="C10917">
        <v>850153</v>
      </c>
      <c r="D10917" t="s">
        <v>176</v>
      </c>
      <c r="E10917">
        <v>14961090</v>
      </c>
      <c r="F10917">
        <v>8208</v>
      </c>
      <c r="G10917">
        <v>7600</v>
      </c>
      <c r="H10917">
        <f>_xlfn.XLOOKUP(FACT_IMPORTS[[#This Row],[hts_6]],DIM_PRODUCTS[hts_6],DIM_PRODUCTS[hts_4],,,)</f>
        <v>8501</v>
      </c>
      <c r="I10917" t="str" cm="1">
        <f t="array" ref="I10917">_xlfn.XLOOKUP(FACT_IMPORTS[[#This Row],[country_name]],DIM_COUNTRY[[#All],[Column2]],DIM_COUNTRY[[#All],[Column3]],,,)</f>
        <v>Major_Non-USMCA_Non-China</v>
      </c>
    </row>
    <row r="10918" spans="1:9" x14ac:dyDescent="0.4">
      <c r="A10918" t="s">
        <v>73</v>
      </c>
      <c r="B10918" s="1">
        <v>44958</v>
      </c>
      <c r="C10918">
        <v>850440</v>
      </c>
      <c r="D10918" t="s">
        <v>176</v>
      </c>
      <c r="E10918">
        <v>19141503</v>
      </c>
      <c r="F10918">
        <v>26275</v>
      </c>
      <c r="G10918">
        <v>9379</v>
      </c>
      <c r="H10918">
        <f>_xlfn.XLOOKUP(FACT_IMPORTS[[#This Row],[hts_6]],DIM_PRODUCTS[hts_6],DIM_PRODUCTS[hts_4],,,)</f>
        <v>8504</v>
      </c>
      <c r="I10918" t="str" cm="1">
        <f t="array" ref="I10918">_xlfn.XLOOKUP(FACT_IMPORTS[[#This Row],[country_name]],DIM_COUNTRY[[#All],[Column2]],DIM_COUNTRY[[#All],[Column3]],,,)</f>
        <v>Major_Non-USMCA_Non-China</v>
      </c>
    </row>
    <row r="10919" spans="1:9" x14ac:dyDescent="0.4">
      <c r="A10919" t="s">
        <v>73</v>
      </c>
      <c r="B10919" s="1">
        <v>44958</v>
      </c>
      <c r="C10919">
        <v>850710</v>
      </c>
      <c r="D10919" t="s">
        <v>176</v>
      </c>
      <c r="E10919">
        <v>176960</v>
      </c>
      <c r="F10919">
        <v>4272</v>
      </c>
      <c r="G10919">
        <v>1300</v>
      </c>
      <c r="H10919">
        <f>_xlfn.XLOOKUP(FACT_IMPORTS[[#This Row],[hts_6]],DIM_PRODUCTS[hts_6],DIM_PRODUCTS[hts_4],,,)</f>
        <v>8507</v>
      </c>
      <c r="I10919" t="str" cm="1">
        <f t="array" ref="I10919">_xlfn.XLOOKUP(FACT_IMPORTS[[#This Row],[country_name]],DIM_COUNTRY[[#All],[Column2]],DIM_COUNTRY[[#All],[Column3]],,,)</f>
        <v>Major_Non-USMCA_Non-China</v>
      </c>
    </row>
    <row r="10920" spans="1:9" x14ac:dyDescent="0.4">
      <c r="A10920" t="s">
        <v>73</v>
      </c>
      <c r="B10920" s="1">
        <v>44958</v>
      </c>
      <c r="C10920">
        <v>850760</v>
      </c>
      <c r="D10920" t="s">
        <v>176</v>
      </c>
      <c r="E10920">
        <v>22939</v>
      </c>
      <c r="F10920">
        <v>1147</v>
      </c>
      <c r="G10920">
        <v>455</v>
      </c>
      <c r="H10920">
        <f>_xlfn.XLOOKUP(FACT_IMPORTS[[#This Row],[hts_6]],DIM_PRODUCTS[hts_6],DIM_PRODUCTS[hts_4],,,)</f>
        <v>8507</v>
      </c>
      <c r="I10920" t="str" cm="1">
        <f t="array" ref="I10920">_xlfn.XLOOKUP(FACT_IMPORTS[[#This Row],[country_name]],DIM_COUNTRY[[#All],[Column2]],DIM_COUNTRY[[#All],[Column3]],,,)</f>
        <v>Major_Non-USMCA_Non-China</v>
      </c>
    </row>
    <row r="10921" spans="1:9" x14ac:dyDescent="0.4">
      <c r="A10921" t="s">
        <v>73</v>
      </c>
      <c r="B10921" s="1">
        <v>44958</v>
      </c>
      <c r="C10921">
        <v>850790</v>
      </c>
      <c r="D10921" t="s">
        <v>176</v>
      </c>
      <c r="E10921">
        <v>582419</v>
      </c>
      <c r="F10921">
        <v>13807</v>
      </c>
      <c r="G10921">
        <v>22892</v>
      </c>
      <c r="H10921">
        <f>_xlfn.XLOOKUP(FACT_IMPORTS[[#This Row],[hts_6]],DIM_PRODUCTS[hts_6],DIM_PRODUCTS[hts_4],,,)</f>
        <v>8507</v>
      </c>
      <c r="I10921" t="str" cm="1">
        <f t="array" ref="I10921">_xlfn.XLOOKUP(FACT_IMPORTS[[#This Row],[country_name]],DIM_COUNTRY[[#All],[Column2]],DIM_COUNTRY[[#All],[Column3]],,,)</f>
        <v>Major_Non-USMCA_Non-China</v>
      </c>
    </row>
    <row r="10922" spans="1:9" x14ac:dyDescent="0.4">
      <c r="A10922" t="s">
        <v>73</v>
      </c>
      <c r="B10922" s="1">
        <v>44958</v>
      </c>
      <c r="C10922">
        <v>851110</v>
      </c>
      <c r="D10922" t="s">
        <v>176</v>
      </c>
      <c r="E10922">
        <v>0</v>
      </c>
      <c r="F10922">
        <v>0</v>
      </c>
      <c r="G10922">
        <v>0</v>
      </c>
      <c r="H10922">
        <f>_xlfn.XLOOKUP(FACT_IMPORTS[[#This Row],[hts_6]],DIM_PRODUCTS[hts_6],DIM_PRODUCTS[hts_4],,,)</f>
        <v>8511</v>
      </c>
      <c r="I10922" t="str" cm="1">
        <f t="array" ref="I10922">_xlfn.XLOOKUP(FACT_IMPORTS[[#This Row],[country_name]],DIM_COUNTRY[[#All],[Column2]],DIM_COUNTRY[[#All],[Column3]],,,)</f>
        <v>Major_Non-USMCA_Non-China</v>
      </c>
    </row>
    <row r="10923" spans="1:9" x14ac:dyDescent="0.4">
      <c r="A10923" t="s">
        <v>73</v>
      </c>
      <c r="B10923" s="1">
        <v>44958</v>
      </c>
      <c r="C10923">
        <v>851130</v>
      </c>
      <c r="D10923" t="s">
        <v>176</v>
      </c>
      <c r="E10923">
        <v>22358</v>
      </c>
      <c r="F10923">
        <v>612</v>
      </c>
      <c r="G10923">
        <v>19</v>
      </c>
      <c r="H10923">
        <f>_xlfn.XLOOKUP(FACT_IMPORTS[[#This Row],[hts_6]],DIM_PRODUCTS[hts_6],DIM_PRODUCTS[hts_4],,,)</f>
        <v>8511</v>
      </c>
      <c r="I10923" t="str" cm="1">
        <f t="array" ref="I10923">_xlfn.XLOOKUP(FACT_IMPORTS[[#This Row],[country_name]],DIM_COUNTRY[[#All],[Column2]],DIM_COUNTRY[[#All],[Column3]],,,)</f>
        <v>Major_Non-USMCA_Non-China</v>
      </c>
    </row>
    <row r="10924" spans="1:9" x14ac:dyDescent="0.4">
      <c r="A10924" t="s">
        <v>73</v>
      </c>
      <c r="B10924" s="1">
        <v>44958</v>
      </c>
      <c r="C10924">
        <v>851140</v>
      </c>
      <c r="D10924" t="s">
        <v>176</v>
      </c>
      <c r="E10924">
        <v>1100883</v>
      </c>
      <c r="F10924">
        <v>3823</v>
      </c>
      <c r="G10924">
        <v>665</v>
      </c>
      <c r="H10924">
        <f>_xlfn.XLOOKUP(FACT_IMPORTS[[#This Row],[hts_6]],DIM_PRODUCTS[hts_6],DIM_PRODUCTS[hts_4],,,)</f>
        <v>8511</v>
      </c>
      <c r="I10924" t="str" cm="1">
        <f t="array" ref="I10924">_xlfn.XLOOKUP(FACT_IMPORTS[[#This Row],[country_name]],DIM_COUNTRY[[#All],[Column2]],DIM_COUNTRY[[#All],[Column3]],,,)</f>
        <v>Major_Non-USMCA_Non-China</v>
      </c>
    </row>
    <row r="10925" spans="1:9" x14ac:dyDescent="0.4">
      <c r="A10925" t="s">
        <v>73</v>
      </c>
      <c r="B10925" s="1">
        <v>44958</v>
      </c>
      <c r="C10925">
        <v>851150</v>
      </c>
      <c r="D10925" t="s">
        <v>176</v>
      </c>
      <c r="E10925">
        <v>34030</v>
      </c>
      <c r="F10925">
        <v>329</v>
      </c>
      <c r="G10925">
        <v>31</v>
      </c>
      <c r="H10925">
        <f>_xlfn.XLOOKUP(FACT_IMPORTS[[#This Row],[hts_6]],DIM_PRODUCTS[hts_6],DIM_PRODUCTS[hts_4],,,)</f>
        <v>8511</v>
      </c>
      <c r="I10925" t="str" cm="1">
        <f t="array" ref="I10925">_xlfn.XLOOKUP(FACT_IMPORTS[[#This Row],[country_name]],DIM_COUNTRY[[#All],[Column2]],DIM_COUNTRY[[#All],[Column3]],,,)</f>
        <v>Major_Non-USMCA_Non-China</v>
      </c>
    </row>
    <row r="10926" spans="1:9" x14ac:dyDescent="0.4">
      <c r="A10926" t="s">
        <v>73</v>
      </c>
      <c r="B10926" s="1">
        <v>44958</v>
      </c>
      <c r="C10926">
        <v>851190</v>
      </c>
      <c r="D10926" t="s">
        <v>176</v>
      </c>
      <c r="E10926">
        <v>158966</v>
      </c>
      <c r="F10926">
        <v>16345</v>
      </c>
      <c r="G10926">
        <v>4997</v>
      </c>
      <c r="H10926">
        <f>_xlfn.XLOOKUP(FACT_IMPORTS[[#This Row],[hts_6]],DIM_PRODUCTS[hts_6],DIM_PRODUCTS[hts_4],,,)</f>
        <v>8511</v>
      </c>
      <c r="I10926" t="str" cm="1">
        <f t="array" ref="I10926">_xlfn.XLOOKUP(FACT_IMPORTS[[#This Row],[country_name]],DIM_COUNTRY[[#All],[Column2]],DIM_COUNTRY[[#All],[Column3]],,,)</f>
        <v>Major_Non-USMCA_Non-China</v>
      </c>
    </row>
    <row r="10927" spans="1:9" x14ac:dyDescent="0.4">
      <c r="A10927" t="s">
        <v>73</v>
      </c>
      <c r="B10927" s="1">
        <v>44958</v>
      </c>
      <c r="C10927">
        <v>851220</v>
      </c>
      <c r="D10927" t="s">
        <v>176</v>
      </c>
      <c r="E10927">
        <v>8245695</v>
      </c>
      <c r="F10927">
        <v>759222</v>
      </c>
      <c r="G10927">
        <v>93104</v>
      </c>
      <c r="H10927">
        <f>_xlfn.XLOOKUP(FACT_IMPORTS[[#This Row],[hts_6]],DIM_PRODUCTS[hts_6],DIM_PRODUCTS[hts_4],,,)</f>
        <v>8512</v>
      </c>
      <c r="I10927" t="str" cm="1">
        <f t="array" ref="I10927">_xlfn.XLOOKUP(FACT_IMPORTS[[#This Row],[country_name]],DIM_COUNTRY[[#All],[Column2]],DIM_COUNTRY[[#All],[Column3]],,,)</f>
        <v>Major_Non-USMCA_Non-China</v>
      </c>
    </row>
    <row r="10928" spans="1:9" x14ac:dyDescent="0.4">
      <c r="A10928" t="s">
        <v>73</v>
      </c>
      <c r="B10928" s="1">
        <v>44958</v>
      </c>
      <c r="C10928">
        <v>851240</v>
      </c>
      <c r="D10928" t="s">
        <v>176</v>
      </c>
      <c r="E10928">
        <v>63457</v>
      </c>
      <c r="F10928">
        <v>13040</v>
      </c>
      <c r="G10928">
        <v>674</v>
      </c>
      <c r="H10928">
        <f>_xlfn.XLOOKUP(FACT_IMPORTS[[#This Row],[hts_6]],DIM_PRODUCTS[hts_6],DIM_PRODUCTS[hts_4],,,)</f>
        <v>8512</v>
      </c>
      <c r="I10928" t="str" cm="1">
        <f t="array" ref="I10928">_xlfn.XLOOKUP(FACT_IMPORTS[[#This Row],[country_name]],DIM_COUNTRY[[#All],[Column2]],DIM_COUNTRY[[#All],[Column3]],,,)</f>
        <v>Major_Non-USMCA_Non-China</v>
      </c>
    </row>
    <row r="10929" spans="1:9" x14ac:dyDescent="0.4">
      <c r="A10929" t="s">
        <v>73</v>
      </c>
      <c r="B10929" s="1">
        <v>44958</v>
      </c>
      <c r="C10929">
        <v>851290</v>
      </c>
      <c r="D10929" t="s">
        <v>176</v>
      </c>
      <c r="E10929">
        <v>217198</v>
      </c>
      <c r="F10929">
        <v>17986</v>
      </c>
      <c r="G10929">
        <v>8872</v>
      </c>
      <c r="H10929">
        <f>_xlfn.XLOOKUP(FACT_IMPORTS[[#This Row],[hts_6]],DIM_PRODUCTS[hts_6],DIM_PRODUCTS[hts_4],,,)</f>
        <v>8512</v>
      </c>
      <c r="I10929" t="str" cm="1">
        <f t="array" ref="I10929">_xlfn.XLOOKUP(FACT_IMPORTS[[#This Row],[country_name]],DIM_COUNTRY[[#All],[Column2]],DIM_COUNTRY[[#All],[Column3]],,,)</f>
        <v>Major_Non-USMCA_Non-China</v>
      </c>
    </row>
    <row r="10930" spans="1:9" x14ac:dyDescent="0.4">
      <c r="A10930" t="s">
        <v>73</v>
      </c>
      <c r="B10930" s="1">
        <v>44958</v>
      </c>
      <c r="C10930">
        <v>854231</v>
      </c>
      <c r="D10930" t="s">
        <v>176</v>
      </c>
      <c r="E10930">
        <v>0</v>
      </c>
      <c r="F10930">
        <v>0</v>
      </c>
      <c r="G10930">
        <v>0</v>
      </c>
      <c r="H10930">
        <f>_xlfn.XLOOKUP(FACT_IMPORTS[[#This Row],[hts_6]],DIM_PRODUCTS[hts_6],DIM_PRODUCTS[hts_4],,,)</f>
        <v>8542</v>
      </c>
      <c r="I10930" t="str" cm="1">
        <f t="array" ref="I10930">_xlfn.XLOOKUP(FACT_IMPORTS[[#This Row],[country_name]],DIM_COUNTRY[[#All],[Column2]],DIM_COUNTRY[[#All],[Column3]],,,)</f>
        <v>Major_Non-USMCA_Non-China</v>
      </c>
    </row>
    <row r="10931" spans="1:9" x14ac:dyDescent="0.4">
      <c r="A10931" t="s">
        <v>73</v>
      </c>
      <c r="B10931" s="1">
        <v>44958</v>
      </c>
      <c r="C10931">
        <v>854232</v>
      </c>
      <c r="D10931" t="s">
        <v>176</v>
      </c>
      <c r="E10931">
        <v>0</v>
      </c>
      <c r="F10931">
        <v>0</v>
      </c>
      <c r="G10931">
        <v>0</v>
      </c>
      <c r="H10931">
        <f>_xlfn.XLOOKUP(FACT_IMPORTS[[#This Row],[hts_6]],DIM_PRODUCTS[hts_6],DIM_PRODUCTS[hts_4],,,)</f>
        <v>8542</v>
      </c>
      <c r="I10931" t="str" cm="1">
        <f t="array" ref="I10931">_xlfn.XLOOKUP(FACT_IMPORTS[[#This Row],[country_name]],DIM_COUNTRY[[#All],[Column2]],DIM_COUNTRY[[#All],[Column3]],,,)</f>
        <v>Major_Non-USMCA_Non-China</v>
      </c>
    </row>
    <row r="10932" spans="1:9" x14ac:dyDescent="0.4">
      <c r="A10932" t="s">
        <v>73</v>
      </c>
      <c r="B10932" s="1">
        <v>44958</v>
      </c>
      <c r="C10932">
        <v>854239</v>
      </c>
      <c r="D10932" t="s">
        <v>176</v>
      </c>
      <c r="E10932">
        <v>146952</v>
      </c>
      <c r="F10932">
        <v>5554</v>
      </c>
      <c r="G10932">
        <v>9702</v>
      </c>
      <c r="H10932">
        <f>_xlfn.XLOOKUP(FACT_IMPORTS[[#This Row],[hts_6]],DIM_PRODUCTS[hts_6],DIM_PRODUCTS[hts_4],,,)</f>
        <v>8542</v>
      </c>
      <c r="I10932" t="str" cm="1">
        <f t="array" ref="I10932">_xlfn.XLOOKUP(FACT_IMPORTS[[#This Row],[country_name]],DIM_COUNTRY[[#All],[Column2]],DIM_COUNTRY[[#All],[Column3]],,,)</f>
        <v>Major_Non-USMCA_Non-China</v>
      </c>
    </row>
    <row r="10933" spans="1:9" x14ac:dyDescent="0.4">
      <c r="A10933" t="s">
        <v>73</v>
      </c>
      <c r="B10933" s="1">
        <v>44958</v>
      </c>
      <c r="C10933">
        <v>854430</v>
      </c>
      <c r="D10933" t="s">
        <v>176</v>
      </c>
      <c r="E10933">
        <v>2183631</v>
      </c>
      <c r="F10933">
        <v>8142</v>
      </c>
      <c r="G10933">
        <v>2544</v>
      </c>
      <c r="H10933">
        <f>_xlfn.XLOOKUP(FACT_IMPORTS[[#This Row],[hts_6]],DIM_PRODUCTS[hts_6],DIM_PRODUCTS[hts_4],,,)</f>
        <v>8544</v>
      </c>
      <c r="I10933" t="str" cm="1">
        <f t="array" ref="I10933">_xlfn.XLOOKUP(FACT_IMPORTS[[#This Row],[country_name]],DIM_COUNTRY[[#All],[Column2]],DIM_COUNTRY[[#All],[Column3]],,,)</f>
        <v>Major_Non-USMCA_Non-China</v>
      </c>
    </row>
    <row r="10934" spans="1:9" x14ac:dyDescent="0.4">
      <c r="A10934" t="s">
        <v>73</v>
      </c>
      <c r="B10934" s="1">
        <v>44958</v>
      </c>
      <c r="C10934">
        <v>870810</v>
      </c>
      <c r="D10934" t="s">
        <v>176</v>
      </c>
      <c r="E10934">
        <v>752171</v>
      </c>
      <c r="F10934">
        <v>32176</v>
      </c>
      <c r="G10934">
        <v>8418</v>
      </c>
      <c r="H10934">
        <f>_xlfn.XLOOKUP(FACT_IMPORTS[[#This Row],[hts_6]],DIM_PRODUCTS[hts_6],DIM_PRODUCTS[hts_4],,,)</f>
        <v>8708</v>
      </c>
      <c r="I10934" t="str" cm="1">
        <f t="array" ref="I10934">_xlfn.XLOOKUP(FACT_IMPORTS[[#This Row],[country_name]],DIM_COUNTRY[[#All],[Column2]],DIM_COUNTRY[[#All],[Column3]],,,)</f>
        <v>Major_Non-USMCA_Non-China</v>
      </c>
    </row>
    <row r="10935" spans="1:9" x14ac:dyDescent="0.4">
      <c r="A10935" t="s">
        <v>73</v>
      </c>
      <c r="B10935" s="1">
        <v>44958</v>
      </c>
      <c r="C10935">
        <v>870821</v>
      </c>
      <c r="D10935" t="s">
        <v>176</v>
      </c>
      <c r="E10935">
        <v>0</v>
      </c>
      <c r="F10935">
        <v>0</v>
      </c>
      <c r="G10935">
        <v>0</v>
      </c>
      <c r="H10935">
        <f>_xlfn.XLOOKUP(FACT_IMPORTS[[#This Row],[hts_6]],DIM_PRODUCTS[hts_6],DIM_PRODUCTS[hts_4],,,)</f>
        <v>8708</v>
      </c>
      <c r="I10935" t="str" cm="1">
        <f t="array" ref="I10935">_xlfn.XLOOKUP(FACT_IMPORTS[[#This Row],[country_name]],DIM_COUNTRY[[#All],[Column2]],DIM_COUNTRY[[#All],[Column3]],,,)</f>
        <v>Major_Non-USMCA_Non-China</v>
      </c>
    </row>
    <row r="10936" spans="1:9" x14ac:dyDescent="0.4">
      <c r="A10936" t="s">
        <v>73</v>
      </c>
      <c r="B10936" s="1">
        <v>44958</v>
      </c>
      <c r="C10936">
        <v>870822</v>
      </c>
      <c r="D10936" t="s">
        <v>176</v>
      </c>
      <c r="E10936">
        <v>34425</v>
      </c>
      <c r="F10936">
        <v>135</v>
      </c>
      <c r="G10936">
        <v>141</v>
      </c>
      <c r="H10936">
        <f>_xlfn.XLOOKUP(FACT_IMPORTS[[#This Row],[hts_6]],DIM_PRODUCTS[hts_6],DIM_PRODUCTS[hts_4],,,)</f>
        <v>8708</v>
      </c>
      <c r="I10936" t="str" cm="1">
        <f t="array" ref="I10936">_xlfn.XLOOKUP(FACT_IMPORTS[[#This Row],[country_name]],DIM_COUNTRY[[#All],[Column2]],DIM_COUNTRY[[#All],[Column3]],,,)</f>
        <v>Major_Non-USMCA_Non-China</v>
      </c>
    </row>
    <row r="10937" spans="1:9" x14ac:dyDescent="0.4">
      <c r="A10937" t="s">
        <v>73</v>
      </c>
      <c r="B10937" s="1">
        <v>44958</v>
      </c>
      <c r="C10937">
        <v>870829</v>
      </c>
      <c r="D10937" t="s">
        <v>176</v>
      </c>
      <c r="E10937">
        <v>4353009</v>
      </c>
      <c r="F10937">
        <v>2894213</v>
      </c>
      <c r="G10937">
        <v>171708</v>
      </c>
      <c r="H10937">
        <f>_xlfn.XLOOKUP(FACT_IMPORTS[[#This Row],[hts_6]],DIM_PRODUCTS[hts_6],DIM_PRODUCTS[hts_4],,,)</f>
        <v>8708</v>
      </c>
      <c r="I10937" t="str" cm="1">
        <f t="array" ref="I10937">_xlfn.XLOOKUP(FACT_IMPORTS[[#This Row],[country_name]],DIM_COUNTRY[[#All],[Column2]],DIM_COUNTRY[[#All],[Column3]],,,)</f>
        <v>Major_Non-USMCA_Non-China</v>
      </c>
    </row>
    <row r="10938" spans="1:9" x14ac:dyDescent="0.4">
      <c r="A10938" t="s">
        <v>73</v>
      </c>
      <c r="B10938" s="1">
        <v>44958</v>
      </c>
      <c r="C10938">
        <v>870830</v>
      </c>
      <c r="D10938" t="s">
        <v>176</v>
      </c>
      <c r="E10938">
        <v>206708</v>
      </c>
      <c r="F10938">
        <v>10953</v>
      </c>
      <c r="G10938">
        <v>5508</v>
      </c>
      <c r="H10938">
        <f>_xlfn.XLOOKUP(FACT_IMPORTS[[#This Row],[hts_6]],DIM_PRODUCTS[hts_6],DIM_PRODUCTS[hts_4],,,)</f>
        <v>8708</v>
      </c>
      <c r="I10938" t="str" cm="1">
        <f t="array" ref="I10938">_xlfn.XLOOKUP(FACT_IMPORTS[[#This Row],[country_name]],DIM_COUNTRY[[#All],[Column2]],DIM_COUNTRY[[#All],[Column3]],,,)</f>
        <v>Major_Non-USMCA_Non-China</v>
      </c>
    </row>
    <row r="10939" spans="1:9" x14ac:dyDescent="0.4">
      <c r="A10939" t="s">
        <v>73</v>
      </c>
      <c r="B10939" s="1">
        <v>44958</v>
      </c>
      <c r="C10939">
        <v>870840</v>
      </c>
      <c r="D10939" t="s">
        <v>176</v>
      </c>
      <c r="E10939">
        <v>2613071</v>
      </c>
      <c r="F10939">
        <v>362933</v>
      </c>
      <c r="G10939">
        <v>34745</v>
      </c>
      <c r="H10939">
        <f>_xlfn.XLOOKUP(FACT_IMPORTS[[#This Row],[hts_6]],DIM_PRODUCTS[hts_6],DIM_PRODUCTS[hts_4],,,)</f>
        <v>8708</v>
      </c>
      <c r="I10939" t="str" cm="1">
        <f t="array" ref="I10939">_xlfn.XLOOKUP(FACT_IMPORTS[[#This Row],[country_name]],DIM_COUNTRY[[#All],[Column2]],DIM_COUNTRY[[#All],[Column3]],,,)</f>
        <v>Major_Non-USMCA_Non-China</v>
      </c>
    </row>
    <row r="10940" spans="1:9" x14ac:dyDescent="0.4">
      <c r="A10940" t="s">
        <v>73</v>
      </c>
      <c r="B10940" s="1">
        <v>44958</v>
      </c>
      <c r="C10940">
        <v>870850</v>
      </c>
      <c r="D10940" t="s">
        <v>176</v>
      </c>
      <c r="E10940">
        <v>21955169</v>
      </c>
      <c r="F10940">
        <v>1462082</v>
      </c>
      <c r="G10940">
        <v>911258</v>
      </c>
      <c r="H10940">
        <f>_xlfn.XLOOKUP(FACT_IMPORTS[[#This Row],[hts_6]],DIM_PRODUCTS[hts_6],DIM_PRODUCTS[hts_4],,,)</f>
        <v>8708</v>
      </c>
      <c r="I10940" t="str" cm="1">
        <f t="array" ref="I10940">_xlfn.XLOOKUP(FACT_IMPORTS[[#This Row],[country_name]],DIM_COUNTRY[[#All],[Column2]],DIM_COUNTRY[[#All],[Column3]],,,)</f>
        <v>Major_Non-USMCA_Non-China</v>
      </c>
    </row>
    <row r="10941" spans="1:9" x14ac:dyDescent="0.4">
      <c r="A10941" t="s">
        <v>73</v>
      </c>
      <c r="B10941" s="1">
        <v>44958</v>
      </c>
      <c r="C10941">
        <v>870870</v>
      </c>
      <c r="D10941" t="s">
        <v>176</v>
      </c>
      <c r="E10941">
        <v>1984243</v>
      </c>
      <c r="F10941">
        <v>60591</v>
      </c>
      <c r="G10941">
        <v>82410</v>
      </c>
      <c r="H10941">
        <f>_xlfn.XLOOKUP(FACT_IMPORTS[[#This Row],[hts_6]],DIM_PRODUCTS[hts_6],DIM_PRODUCTS[hts_4],,,)</f>
        <v>8708</v>
      </c>
      <c r="I10941" t="str" cm="1">
        <f t="array" ref="I10941">_xlfn.XLOOKUP(FACT_IMPORTS[[#This Row],[country_name]],DIM_COUNTRY[[#All],[Column2]],DIM_COUNTRY[[#All],[Column3]],,,)</f>
        <v>Major_Non-USMCA_Non-China</v>
      </c>
    </row>
    <row r="10942" spans="1:9" x14ac:dyDescent="0.4">
      <c r="A10942" t="s">
        <v>73</v>
      </c>
      <c r="B10942" s="1">
        <v>44958</v>
      </c>
      <c r="C10942">
        <v>870880</v>
      </c>
      <c r="D10942" t="s">
        <v>176</v>
      </c>
      <c r="E10942">
        <v>3100397</v>
      </c>
      <c r="F10942">
        <v>714230</v>
      </c>
      <c r="G10942">
        <v>78474</v>
      </c>
      <c r="H10942">
        <f>_xlfn.XLOOKUP(FACT_IMPORTS[[#This Row],[hts_6]],DIM_PRODUCTS[hts_6],DIM_PRODUCTS[hts_4],,,)</f>
        <v>8708</v>
      </c>
      <c r="I10942" t="str" cm="1">
        <f t="array" ref="I10942">_xlfn.XLOOKUP(FACT_IMPORTS[[#This Row],[country_name]],DIM_COUNTRY[[#All],[Column2]],DIM_COUNTRY[[#All],[Column3]],,,)</f>
        <v>Major_Non-USMCA_Non-China</v>
      </c>
    </row>
    <row r="10943" spans="1:9" x14ac:dyDescent="0.4">
      <c r="A10943" t="s">
        <v>73</v>
      </c>
      <c r="B10943" s="1">
        <v>44958</v>
      </c>
      <c r="C10943">
        <v>870891</v>
      </c>
      <c r="D10943" t="s">
        <v>176</v>
      </c>
      <c r="E10943">
        <v>177532</v>
      </c>
      <c r="F10943">
        <v>7971</v>
      </c>
      <c r="G10943">
        <v>644</v>
      </c>
      <c r="H10943">
        <f>_xlfn.XLOOKUP(FACT_IMPORTS[[#This Row],[hts_6]],DIM_PRODUCTS[hts_6],DIM_PRODUCTS[hts_4],,,)</f>
        <v>8708</v>
      </c>
      <c r="I10943" t="str" cm="1">
        <f t="array" ref="I10943">_xlfn.XLOOKUP(FACT_IMPORTS[[#This Row],[country_name]],DIM_COUNTRY[[#All],[Column2]],DIM_COUNTRY[[#All],[Column3]],,,)</f>
        <v>Major_Non-USMCA_Non-China</v>
      </c>
    </row>
    <row r="10944" spans="1:9" x14ac:dyDescent="0.4">
      <c r="A10944" t="s">
        <v>73</v>
      </c>
      <c r="B10944" s="1">
        <v>44958</v>
      </c>
      <c r="C10944">
        <v>870892</v>
      </c>
      <c r="D10944" t="s">
        <v>176</v>
      </c>
      <c r="E10944">
        <v>19295</v>
      </c>
      <c r="F10944">
        <v>81</v>
      </c>
      <c r="G10944">
        <v>44</v>
      </c>
      <c r="H10944">
        <f>_xlfn.XLOOKUP(FACT_IMPORTS[[#This Row],[hts_6]],DIM_PRODUCTS[hts_6],DIM_PRODUCTS[hts_4],,,)</f>
        <v>8708</v>
      </c>
      <c r="I10944" t="str" cm="1">
        <f t="array" ref="I10944">_xlfn.XLOOKUP(FACT_IMPORTS[[#This Row],[country_name]],DIM_COUNTRY[[#All],[Column2]],DIM_COUNTRY[[#All],[Column3]],,,)</f>
        <v>Major_Non-USMCA_Non-China</v>
      </c>
    </row>
    <row r="10945" spans="1:9" x14ac:dyDescent="0.4">
      <c r="A10945" t="s">
        <v>73</v>
      </c>
      <c r="B10945" s="1">
        <v>44958</v>
      </c>
      <c r="C10945">
        <v>870893</v>
      </c>
      <c r="D10945" t="s">
        <v>176</v>
      </c>
      <c r="E10945">
        <v>773251</v>
      </c>
      <c r="F10945">
        <v>129611</v>
      </c>
      <c r="G10945">
        <v>14440</v>
      </c>
      <c r="H10945">
        <f>_xlfn.XLOOKUP(FACT_IMPORTS[[#This Row],[hts_6]],DIM_PRODUCTS[hts_6],DIM_PRODUCTS[hts_4],,,)</f>
        <v>8708</v>
      </c>
      <c r="I10945" t="str" cm="1">
        <f t="array" ref="I10945">_xlfn.XLOOKUP(FACT_IMPORTS[[#This Row],[country_name]],DIM_COUNTRY[[#All],[Column2]],DIM_COUNTRY[[#All],[Column3]],,,)</f>
        <v>Major_Non-USMCA_Non-China</v>
      </c>
    </row>
    <row r="10946" spans="1:9" x14ac:dyDescent="0.4">
      <c r="A10946" t="s">
        <v>73</v>
      </c>
      <c r="B10946" s="1">
        <v>44958</v>
      </c>
      <c r="C10946">
        <v>870894</v>
      </c>
      <c r="D10946" t="s">
        <v>176</v>
      </c>
      <c r="E10946">
        <v>3547082</v>
      </c>
      <c r="F10946">
        <v>194936</v>
      </c>
      <c r="G10946">
        <v>9206</v>
      </c>
      <c r="H10946">
        <f>_xlfn.XLOOKUP(FACT_IMPORTS[[#This Row],[hts_6]],DIM_PRODUCTS[hts_6],DIM_PRODUCTS[hts_4],,,)</f>
        <v>8708</v>
      </c>
      <c r="I10946" t="str" cm="1">
        <f t="array" ref="I10946">_xlfn.XLOOKUP(FACT_IMPORTS[[#This Row],[country_name]],DIM_COUNTRY[[#All],[Column2]],DIM_COUNTRY[[#All],[Column3]],,,)</f>
        <v>Major_Non-USMCA_Non-China</v>
      </c>
    </row>
    <row r="10947" spans="1:9" x14ac:dyDescent="0.4">
      <c r="A10947" t="s">
        <v>73</v>
      </c>
      <c r="B10947" s="1">
        <v>44958</v>
      </c>
      <c r="C10947">
        <v>870895</v>
      </c>
      <c r="D10947" t="s">
        <v>176</v>
      </c>
      <c r="E10947">
        <v>12818</v>
      </c>
      <c r="F10947">
        <v>76</v>
      </c>
      <c r="G10947">
        <v>12</v>
      </c>
      <c r="H10947">
        <f>_xlfn.XLOOKUP(FACT_IMPORTS[[#This Row],[hts_6]],DIM_PRODUCTS[hts_6],DIM_PRODUCTS[hts_4],,,)</f>
        <v>8708</v>
      </c>
      <c r="I10947" t="str" cm="1">
        <f t="array" ref="I10947">_xlfn.XLOOKUP(FACT_IMPORTS[[#This Row],[country_name]],DIM_COUNTRY[[#All],[Column2]],DIM_COUNTRY[[#All],[Column3]],,,)</f>
        <v>Major_Non-USMCA_Non-China</v>
      </c>
    </row>
    <row r="10948" spans="1:9" x14ac:dyDescent="0.4">
      <c r="A10948" t="s">
        <v>73</v>
      </c>
      <c r="B10948" s="1">
        <v>44958</v>
      </c>
      <c r="C10948">
        <v>870899</v>
      </c>
      <c r="D10948" t="s">
        <v>176</v>
      </c>
      <c r="E10948">
        <v>27446305</v>
      </c>
      <c r="F10948">
        <v>3950751</v>
      </c>
      <c r="G10948">
        <v>565693</v>
      </c>
      <c r="H10948">
        <f>_xlfn.XLOOKUP(FACT_IMPORTS[[#This Row],[hts_6]],DIM_PRODUCTS[hts_6],DIM_PRODUCTS[hts_4],,,)</f>
        <v>8708</v>
      </c>
      <c r="I10948" t="str" cm="1">
        <f t="array" ref="I10948">_xlfn.XLOOKUP(FACT_IMPORTS[[#This Row],[country_name]],DIM_COUNTRY[[#All],[Column2]],DIM_COUNTRY[[#All],[Column3]],,,)</f>
        <v>Major_Non-USMCA_Non-China</v>
      </c>
    </row>
    <row r="10949" spans="1:9" x14ac:dyDescent="0.4">
      <c r="A10949" t="s">
        <v>73</v>
      </c>
      <c r="B10949" s="1">
        <v>44958</v>
      </c>
      <c r="C10949">
        <v>940120</v>
      </c>
      <c r="D10949" t="s">
        <v>176</v>
      </c>
      <c r="E10949">
        <v>0</v>
      </c>
      <c r="F10949">
        <v>0</v>
      </c>
      <c r="G10949">
        <v>0</v>
      </c>
      <c r="H10949">
        <f>_xlfn.XLOOKUP(FACT_IMPORTS[[#This Row],[hts_6]],DIM_PRODUCTS[hts_6],DIM_PRODUCTS[hts_4],,,)</f>
        <v>9401</v>
      </c>
      <c r="I10949" t="str" cm="1">
        <f t="array" ref="I10949">_xlfn.XLOOKUP(FACT_IMPORTS[[#This Row],[country_name]],DIM_COUNTRY[[#All],[Column2]],DIM_COUNTRY[[#All],[Column3]],,,)</f>
        <v>Major_Non-USMCA_Non-China</v>
      </c>
    </row>
    <row r="10950" spans="1:9" x14ac:dyDescent="0.4">
      <c r="A10950" t="s">
        <v>73</v>
      </c>
      <c r="B10950" s="1">
        <v>44986</v>
      </c>
      <c r="C10950">
        <v>392630</v>
      </c>
      <c r="D10950" t="s">
        <v>176</v>
      </c>
      <c r="E10950">
        <v>220833</v>
      </c>
      <c r="F10950">
        <v>6863</v>
      </c>
      <c r="G10950">
        <v>11530</v>
      </c>
      <c r="H10950">
        <f>_xlfn.XLOOKUP(FACT_IMPORTS[[#This Row],[hts_6]],DIM_PRODUCTS[hts_6],DIM_PRODUCTS[hts_4],,,)</f>
        <v>3926</v>
      </c>
      <c r="I10950" t="str" cm="1">
        <f t="array" ref="I10950">_xlfn.XLOOKUP(FACT_IMPORTS[[#This Row],[country_name]],DIM_COUNTRY[[#All],[Column2]],DIM_COUNTRY[[#All],[Column3]],,,)</f>
        <v>Major_Non-USMCA_Non-China</v>
      </c>
    </row>
    <row r="10951" spans="1:9" x14ac:dyDescent="0.4">
      <c r="A10951" t="s">
        <v>73</v>
      </c>
      <c r="B10951" s="1">
        <v>44986</v>
      </c>
      <c r="C10951">
        <v>401110</v>
      </c>
      <c r="D10951" t="s">
        <v>176</v>
      </c>
      <c r="E10951">
        <v>6403076</v>
      </c>
      <c r="F10951">
        <v>102441</v>
      </c>
      <c r="G10951">
        <v>1150432</v>
      </c>
      <c r="H10951">
        <f>_xlfn.XLOOKUP(FACT_IMPORTS[[#This Row],[hts_6]],DIM_PRODUCTS[hts_6],DIM_PRODUCTS[hts_4],,,)</f>
        <v>4011</v>
      </c>
      <c r="I10951" t="str" cm="1">
        <f t="array" ref="I10951">_xlfn.XLOOKUP(FACT_IMPORTS[[#This Row],[country_name]],DIM_COUNTRY[[#All],[Column2]],DIM_COUNTRY[[#All],[Column3]],,,)</f>
        <v>Major_Non-USMCA_Non-China</v>
      </c>
    </row>
    <row r="10952" spans="1:9" x14ac:dyDescent="0.4">
      <c r="A10952" t="s">
        <v>73</v>
      </c>
      <c r="B10952" s="1">
        <v>44986</v>
      </c>
      <c r="C10952">
        <v>401120</v>
      </c>
      <c r="D10952" t="s">
        <v>176</v>
      </c>
      <c r="E10952">
        <v>27400</v>
      </c>
      <c r="F10952">
        <v>50</v>
      </c>
      <c r="G10952">
        <v>37</v>
      </c>
      <c r="H10952">
        <f>_xlfn.XLOOKUP(FACT_IMPORTS[[#This Row],[hts_6]],DIM_PRODUCTS[hts_6],DIM_PRODUCTS[hts_4],,,)</f>
        <v>4011</v>
      </c>
      <c r="I10952" t="str" cm="1">
        <f t="array" ref="I10952">_xlfn.XLOOKUP(FACT_IMPORTS[[#This Row],[country_name]],DIM_COUNTRY[[#All],[Column2]],DIM_COUNTRY[[#All],[Column3]],,,)</f>
        <v>Major_Non-USMCA_Non-China</v>
      </c>
    </row>
    <row r="10953" spans="1:9" x14ac:dyDescent="0.4">
      <c r="A10953" t="s">
        <v>73</v>
      </c>
      <c r="B10953" s="1">
        <v>44986</v>
      </c>
      <c r="C10953">
        <v>401190</v>
      </c>
      <c r="D10953" t="s">
        <v>176</v>
      </c>
      <c r="E10953">
        <v>2318</v>
      </c>
      <c r="F10953">
        <v>8</v>
      </c>
      <c r="G10953">
        <v>35</v>
      </c>
      <c r="H10953">
        <f>_xlfn.XLOOKUP(FACT_IMPORTS[[#This Row],[hts_6]],DIM_PRODUCTS[hts_6],DIM_PRODUCTS[hts_4],,,)</f>
        <v>4011</v>
      </c>
      <c r="I10953" t="str" cm="1">
        <f t="array" ref="I10953">_xlfn.XLOOKUP(FACT_IMPORTS[[#This Row],[country_name]],DIM_COUNTRY[[#All],[Column2]],DIM_COUNTRY[[#All],[Column3]],,,)</f>
        <v>Major_Non-USMCA_Non-China</v>
      </c>
    </row>
    <row r="10954" spans="1:9" x14ac:dyDescent="0.4">
      <c r="A10954" t="s">
        <v>73</v>
      </c>
      <c r="B10954" s="1">
        <v>44986</v>
      </c>
      <c r="C10954">
        <v>700910</v>
      </c>
      <c r="D10954" t="s">
        <v>176</v>
      </c>
      <c r="E10954">
        <v>400104</v>
      </c>
      <c r="F10954">
        <v>7219</v>
      </c>
      <c r="G10954">
        <v>20033</v>
      </c>
      <c r="H10954">
        <f>_xlfn.XLOOKUP(FACT_IMPORTS[[#This Row],[hts_6]],DIM_PRODUCTS[hts_6],DIM_PRODUCTS[hts_4],,,)</f>
        <v>7009</v>
      </c>
      <c r="I10954" t="str" cm="1">
        <f t="array" ref="I10954">_xlfn.XLOOKUP(FACT_IMPORTS[[#This Row],[country_name]],DIM_COUNTRY[[#All],[Column2]],DIM_COUNTRY[[#All],[Column3]],,,)</f>
        <v>Major_Non-USMCA_Non-China</v>
      </c>
    </row>
    <row r="10955" spans="1:9" x14ac:dyDescent="0.4">
      <c r="A10955" t="s">
        <v>73</v>
      </c>
      <c r="B10955" s="1">
        <v>44986</v>
      </c>
      <c r="C10955">
        <v>830230</v>
      </c>
      <c r="D10955" t="s">
        <v>176</v>
      </c>
      <c r="E10955">
        <v>3965420</v>
      </c>
      <c r="F10955">
        <v>572073</v>
      </c>
      <c r="G10955">
        <v>190679</v>
      </c>
      <c r="H10955">
        <f>_xlfn.XLOOKUP(FACT_IMPORTS[[#This Row],[hts_6]],DIM_PRODUCTS[hts_6],DIM_PRODUCTS[hts_4],,,)</f>
        <v>8302</v>
      </c>
      <c r="I10955" t="str" cm="1">
        <f t="array" ref="I10955">_xlfn.XLOOKUP(FACT_IMPORTS[[#This Row],[country_name]],DIM_COUNTRY[[#All],[Column2]],DIM_COUNTRY[[#All],[Column3]],,,)</f>
        <v>Major_Non-USMCA_Non-China</v>
      </c>
    </row>
    <row r="10956" spans="1:9" x14ac:dyDescent="0.4">
      <c r="A10956" t="s">
        <v>73</v>
      </c>
      <c r="B10956" s="1">
        <v>44986</v>
      </c>
      <c r="C10956">
        <v>840734</v>
      </c>
      <c r="D10956" t="s">
        <v>176</v>
      </c>
      <c r="E10956">
        <v>137523</v>
      </c>
      <c r="F10956">
        <v>34</v>
      </c>
      <c r="G10956">
        <v>279</v>
      </c>
      <c r="H10956">
        <f>_xlfn.XLOOKUP(FACT_IMPORTS[[#This Row],[hts_6]],DIM_PRODUCTS[hts_6],DIM_PRODUCTS[hts_4],,,)</f>
        <v>8407</v>
      </c>
      <c r="I10956" t="str" cm="1">
        <f t="array" ref="I10956">_xlfn.XLOOKUP(FACT_IMPORTS[[#This Row],[country_name]],DIM_COUNTRY[[#All],[Column2]],DIM_COUNTRY[[#All],[Column3]],,,)</f>
        <v>Major_Non-USMCA_Non-China</v>
      </c>
    </row>
    <row r="10957" spans="1:9" x14ac:dyDescent="0.4">
      <c r="A10957" t="s">
        <v>73</v>
      </c>
      <c r="B10957" s="1">
        <v>44986</v>
      </c>
      <c r="C10957">
        <v>840820</v>
      </c>
      <c r="D10957" t="s">
        <v>176</v>
      </c>
      <c r="E10957">
        <v>0</v>
      </c>
      <c r="F10957">
        <v>0</v>
      </c>
      <c r="G10957">
        <v>0</v>
      </c>
      <c r="H10957">
        <f>_xlfn.XLOOKUP(FACT_IMPORTS[[#This Row],[hts_6]],DIM_PRODUCTS[hts_6],DIM_PRODUCTS[hts_4],,,)</f>
        <v>8408</v>
      </c>
      <c r="I10957" t="str" cm="1">
        <f t="array" ref="I10957">_xlfn.XLOOKUP(FACT_IMPORTS[[#This Row],[country_name]],DIM_COUNTRY[[#All],[Column2]],DIM_COUNTRY[[#All],[Column3]],,,)</f>
        <v>Major_Non-USMCA_Non-China</v>
      </c>
    </row>
    <row r="10958" spans="1:9" x14ac:dyDescent="0.4">
      <c r="A10958" t="s">
        <v>73</v>
      </c>
      <c r="B10958" s="1">
        <v>44986</v>
      </c>
      <c r="C10958">
        <v>840890</v>
      </c>
      <c r="D10958" t="s">
        <v>176</v>
      </c>
      <c r="E10958">
        <v>0</v>
      </c>
      <c r="F10958">
        <v>0</v>
      </c>
      <c r="G10958">
        <v>0</v>
      </c>
      <c r="H10958">
        <f>_xlfn.XLOOKUP(FACT_IMPORTS[[#This Row],[hts_6]],DIM_PRODUCTS[hts_6],DIM_PRODUCTS[hts_4],,,)</f>
        <v>8408</v>
      </c>
      <c r="I10958" t="str" cm="1">
        <f t="array" ref="I10958">_xlfn.XLOOKUP(FACT_IMPORTS[[#This Row],[country_name]],DIM_COUNTRY[[#All],[Column2]],DIM_COUNTRY[[#All],[Column3]],,,)</f>
        <v>Major_Non-USMCA_Non-China</v>
      </c>
    </row>
    <row r="10959" spans="1:9" x14ac:dyDescent="0.4">
      <c r="A10959" t="s">
        <v>73</v>
      </c>
      <c r="B10959" s="1">
        <v>44986</v>
      </c>
      <c r="C10959">
        <v>840991</v>
      </c>
      <c r="D10959" t="s">
        <v>176</v>
      </c>
      <c r="E10959">
        <v>9100174</v>
      </c>
      <c r="F10959">
        <v>697806</v>
      </c>
      <c r="G10959">
        <v>121985</v>
      </c>
      <c r="H10959">
        <f>_xlfn.XLOOKUP(FACT_IMPORTS[[#This Row],[hts_6]],DIM_PRODUCTS[hts_6],DIM_PRODUCTS[hts_4],,,)</f>
        <v>8409</v>
      </c>
      <c r="I10959" t="str" cm="1">
        <f t="array" ref="I10959">_xlfn.XLOOKUP(FACT_IMPORTS[[#This Row],[country_name]],DIM_COUNTRY[[#All],[Column2]],DIM_COUNTRY[[#All],[Column3]],,,)</f>
        <v>Major_Non-USMCA_Non-China</v>
      </c>
    </row>
    <row r="10960" spans="1:9" x14ac:dyDescent="0.4">
      <c r="A10960" t="s">
        <v>73</v>
      </c>
      <c r="B10960" s="1">
        <v>44986</v>
      </c>
      <c r="C10960">
        <v>840999</v>
      </c>
      <c r="D10960" t="s">
        <v>176</v>
      </c>
      <c r="E10960">
        <v>2278446</v>
      </c>
      <c r="F10960">
        <v>156682</v>
      </c>
      <c r="G10960">
        <v>22021</v>
      </c>
      <c r="H10960">
        <f>_xlfn.XLOOKUP(FACT_IMPORTS[[#This Row],[hts_6]],DIM_PRODUCTS[hts_6],DIM_PRODUCTS[hts_4],,,)</f>
        <v>8409</v>
      </c>
      <c r="I10960" t="str" cm="1">
        <f t="array" ref="I10960">_xlfn.XLOOKUP(FACT_IMPORTS[[#This Row],[country_name]],DIM_COUNTRY[[#All],[Column2]],DIM_COUNTRY[[#All],[Column3]],,,)</f>
        <v>Major_Non-USMCA_Non-China</v>
      </c>
    </row>
    <row r="10961" spans="1:9" x14ac:dyDescent="0.4">
      <c r="A10961" t="s">
        <v>73</v>
      </c>
      <c r="B10961" s="1">
        <v>44986</v>
      </c>
      <c r="C10961">
        <v>841330</v>
      </c>
      <c r="D10961" t="s">
        <v>176</v>
      </c>
      <c r="E10961">
        <v>5973541</v>
      </c>
      <c r="F10961">
        <v>144264</v>
      </c>
      <c r="G10961">
        <v>107107</v>
      </c>
      <c r="H10961">
        <f>_xlfn.XLOOKUP(FACT_IMPORTS[[#This Row],[hts_6]],DIM_PRODUCTS[hts_6],DIM_PRODUCTS[hts_4],,,)</f>
        <v>8413</v>
      </c>
      <c r="I10961" t="str" cm="1">
        <f t="array" ref="I10961">_xlfn.XLOOKUP(FACT_IMPORTS[[#This Row],[country_name]],DIM_COUNTRY[[#All],[Column2]],DIM_COUNTRY[[#All],[Column3]],,,)</f>
        <v>Major_Non-USMCA_Non-China</v>
      </c>
    </row>
    <row r="10962" spans="1:9" x14ac:dyDescent="0.4">
      <c r="A10962" t="s">
        <v>73</v>
      </c>
      <c r="B10962" s="1">
        <v>44986</v>
      </c>
      <c r="C10962">
        <v>842132</v>
      </c>
      <c r="D10962" t="s">
        <v>176</v>
      </c>
      <c r="E10962">
        <v>48677</v>
      </c>
      <c r="F10962">
        <v>34</v>
      </c>
      <c r="G10962">
        <v>70</v>
      </c>
      <c r="H10962">
        <f>_xlfn.XLOOKUP(FACT_IMPORTS[[#This Row],[hts_6]],DIM_PRODUCTS[hts_6],DIM_PRODUCTS[hts_4],,,)</f>
        <v>8421</v>
      </c>
      <c r="I10962" t="str" cm="1">
        <f t="array" ref="I10962">_xlfn.XLOOKUP(FACT_IMPORTS[[#This Row],[country_name]],DIM_COUNTRY[[#All],[Column2]],DIM_COUNTRY[[#All],[Column3]],,,)</f>
        <v>Major_Non-USMCA_Non-China</v>
      </c>
    </row>
    <row r="10963" spans="1:9" x14ac:dyDescent="0.4">
      <c r="A10963" t="s">
        <v>73</v>
      </c>
      <c r="B10963" s="1">
        <v>44986</v>
      </c>
      <c r="C10963">
        <v>848210</v>
      </c>
      <c r="D10963" t="s">
        <v>176</v>
      </c>
      <c r="E10963">
        <v>244665</v>
      </c>
      <c r="F10963">
        <v>83022</v>
      </c>
      <c r="G10963">
        <v>1360</v>
      </c>
      <c r="H10963">
        <f>_xlfn.XLOOKUP(FACT_IMPORTS[[#This Row],[hts_6]],DIM_PRODUCTS[hts_6],DIM_PRODUCTS[hts_4],,,)</f>
        <v>8482</v>
      </c>
      <c r="I10963" t="str" cm="1">
        <f t="array" ref="I10963">_xlfn.XLOOKUP(FACT_IMPORTS[[#This Row],[country_name]],DIM_COUNTRY[[#All],[Column2]],DIM_COUNTRY[[#All],[Column3]],,,)</f>
        <v>Major_Non-USMCA_Non-China</v>
      </c>
    </row>
    <row r="10964" spans="1:9" x14ac:dyDescent="0.4">
      <c r="A10964" t="s">
        <v>73</v>
      </c>
      <c r="B10964" s="1">
        <v>44986</v>
      </c>
      <c r="C10964">
        <v>848220</v>
      </c>
      <c r="D10964" t="s">
        <v>176</v>
      </c>
      <c r="E10964">
        <v>5643758</v>
      </c>
      <c r="F10964">
        <v>1379174</v>
      </c>
      <c r="G10964">
        <v>3441</v>
      </c>
      <c r="H10964">
        <f>_xlfn.XLOOKUP(FACT_IMPORTS[[#This Row],[hts_6]],DIM_PRODUCTS[hts_6],DIM_PRODUCTS[hts_4],,,)</f>
        <v>8482</v>
      </c>
      <c r="I10964" t="str" cm="1">
        <f t="array" ref="I10964">_xlfn.XLOOKUP(FACT_IMPORTS[[#This Row],[country_name]],DIM_COUNTRY[[#All],[Column2]],DIM_COUNTRY[[#All],[Column3]],,,)</f>
        <v>Major_Non-USMCA_Non-China</v>
      </c>
    </row>
    <row r="10965" spans="1:9" x14ac:dyDescent="0.4">
      <c r="A10965" t="s">
        <v>73</v>
      </c>
      <c r="B10965" s="1">
        <v>44986</v>
      </c>
      <c r="C10965">
        <v>848310</v>
      </c>
      <c r="D10965" t="s">
        <v>176</v>
      </c>
      <c r="E10965">
        <v>282627</v>
      </c>
      <c r="F10965">
        <v>7967</v>
      </c>
      <c r="G10965">
        <v>4001</v>
      </c>
      <c r="H10965">
        <f>_xlfn.XLOOKUP(FACT_IMPORTS[[#This Row],[hts_6]],DIM_PRODUCTS[hts_6],DIM_PRODUCTS[hts_4],,,)</f>
        <v>8483</v>
      </c>
      <c r="I10965" t="str" cm="1">
        <f t="array" ref="I10965">_xlfn.XLOOKUP(FACT_IMPORTS[[#This Row],[country_name]],DIM_COUNTRY[[#All],[Column2]],DIM_COUNTRY[[#All],[Column3]],,,)</f>
        <v>Major_Non-USMCA_Non-China</v>
      </c>
    </row>
    <row r="10966" spans="1:9" x14ac:dyDescent="0.4">
      <c r="A10966" t="s">
        <v>73</v>
      </c>
      <c r="B10966" s="1">
        <v>44986</v>
      </c>
      <c r="C10966">
        <v>850131</v>
      </c>
      <c r="D10966" t="s">
        <v>176</v>
      </c>
      <c r="E10966">
        <v>4321170</v>
      </c>
      <c r="F10966">
        <v>217510</v>
      </c>
      <c r="G10966">
        <v>11031</v>
      </c>
      <c r="H10966">
        <f>_xlfn.XLOOKUP(FACT_IMPORTS[[#This Row],[hts_6]],DIM_PRODUCTS[hts_6],DIM_PRODUCTS[hts_4],,,)</f>
        <v>8501</v>
      </c>
      <c r="I10966" t="str" cm="1">
        <f t="array" ref="I10966">_xlfn.XLOOKUP(FACT_IMPORTS[[#This Row],[country_name]],DIM_COUNTRY[[#All],[Column2]],DIM_COUNTRY[[#All],[Column3]],,,)</f>
        <v>Major_Non-USMCA_Non-China</v>
      </c>
    </row>
    <row r="10967" spans="1:9" x14ac:dyDescent="0.4">
      <c r="A10967" t="s">
        <v>73</v>
      </c>
      <c r="B10967" s="1">
        <v>44986</v>
      </c>
      <c r="C10967">
        <v>850132</v>
      </c>
      <c r="D10967" t="s">
        <v>176</v>
      </c>
      <c r="E10967">
        <v>0</v>
      </c>
      <c r="F10967">
        <v>0</v>
      </c>
      <c r="G10967">
        <v>0</v>
      </c>
      <c r="H10967">
        <f>_xlfn.XLOOKUP(FACT_IMPORTS[[#This Row],[hts_6]],DIM_PRODUCTS[hts_6],DIM_PRODUCTS[hts_4],,,)</f>
        <v>8501</v>
      </c>
      <c r="I10967" t="str" cm="1">
        <f t="array" ref="I10967">_xlfn.XLOOKUP(FACT_IMPORTS[[#This Row],[country_name]],DIM_COUNTRY[[#All],[Column2]],DIM_COUNTRY[[#All],[Column3]],,,)</f>
        <v>Major_Non-USMCA_Non-China</v>
      </c>
    </row>
    <row r="10968" spans="1:9" x14ac:dyDescent="0.4">
      <c r="A10968" t="s">
        <v>73</v>
      </c>
      <c r="B10968" s="1">
        <v>44986</v>
      </c>
      <c r="C10968">
        <v>850152</v>
      </c>
      <c r="D10968" t="s">
        <v>176</v>
      </c>
      <c r="E10968">
        <v>0</v>
      </c>
      <c r="F10968">
        <v>0</v>
      </c>
      <c r="G10968">
        <v>0</v>
      </c>
      <c r="H10968">
        <f>_xlfn.XLOOKUP(FACT_IMPORTS[[#This Row],[hts_6]],DIM_PRODUCTS[hts_6],DIM_PRODUCTS[hts_4],,,)</f>
        <v>8501</v>
      </c>
      <c r="I10968" t="str" cm="1">
        <f t="array" ref="I10968">_xlfn.XLOOKUP(FACT_IMPORTS[[#This Row],[country_name]],DIM_COUNTRY[[#All],[Column2]],DIM_COUNTRY[[#All],[Column3]],,,)</f>
        <v>Major_Non-USMCA_Non-China</v>
      </c>
    </row>
    <row r="10969" spans="1:9" x14ac:dyDescent="0.4">
      <c r="A10969" t="s">
        <v>73</v>
      </c>
      <c r="B10969" s="1">
        <v>44986</v>
      </c>
      <c r="C10969">
        <v>850153</v>
      </c>
      <c r="D10969" t="s">
        <v>176</v>
      </c>
      <c r="E10969">
        <v>12383718</v>
      </c>
      <c r="F10969">
        <v>6918</v>
      </c>
      <c r="G10969">
        <v>6600</v>
      </c>
      <c r="H10969">
        <f>_xlfn.XLOOKUP(FACT_IMPORTS[[#This Row],[hts_6]],DIM_PRODUCTS[hts_6],DIM_PRODUCTS[hts_4],,,)</f>
        <v>8501</v>
      </c>
      <c r="I10969" t="str" cm="1">
        <f t="array" ref="I10969">_xlfn.XLOOKUP(FACT_IMPORTS[[#This Row],[country_name]],DIM_COUNTRY[[#All],[Column2]],DIM_COUNTRY[[#All],[Column3]],,,)</f>
        <v>Major_Non-USMCA_Non-China</v>
      </c>
    </row>
    <row r="10970" spans="1:9" x14ac:dyDescent="0.4">
      <c r="A10970" t="s">
        <v>73</v>
      </c>
      <c r="B10970" s="1">
        <v>44986</v>
      </c>
      <c r="C10970">
        <v>850440</v>
      </c>
      <c r="D10970" t="s">
        <v>176</v>
      </c>
      <c r="E10970">
        <v>22040088</v>
      </c>
      <c r="F10970">
        <v>28635</v>
      </c>
      <c r="G10970">
        <v>6819</v>
      </c>
      <c r="H10970">
        <f>_xlfn.XLOOKUP(FACT_IMPORTS[[#This Row],[hts_6]],DIM_PRODUCTS[hts_6],DIM_PRODUCTS[hts_4],,,)</f>
        <v>8504</v>
      </c>
      <c r="I10970" t="str" cm="1">
        <f t="array" ref="I10970">_xlfn.XLOOKUP(FACT_IMPORTS[[#This Row],[country_name]],DIM_COUNTRY[[#All],[Column2]],DIM_COUNTRY[[#All],[Column3]],,,)</f>
        <v>Major_Non-USMCA_Non-China</v>
      </c>
    </row>
    <row r="10971" spans="1:9" x14ac:dyDescent="0.4">
      <c r="A10971" t="s">
        <v>73</v>
      </c>
      <c r="B10971" s="1">
        <v>44986</v>
      </c>
      <c r="C10971">
        <v>850710</v>
      </c>
      <c r="D10971" t="s">
        <v>176</v>
      </c>
      <c r="E10971">
        <v>589211</v>
      </c>
      <c r="F10971">
        <v>13411</v>
      </c>
      <c r="G10971">
        <v>18633</v>
      </c>
      <c r="H10971">
        <f>_xlfn.XLOOKUP(FACT_IMPORTS[[#This Row],[hts_6]],DIM_PRODUCTS[hts_6],DIM_PRODUCTS[hts_4],,,)</f>
        <v>8507</v>
      </c>
      <c r="I10971" t="str" cm="1">
        <f t="array" ref="I10971">_xlfn.XLOOKUP(FACT_IMPORTS[[#This Row],[country_name]],DIM_COUNTRY[[#All],[Column2]],DIM_COUNTRY[[#All],[Column3]],,,)</f>
        <v>Major_Non-USMCA_Non-China</v>
      </c>
    </row>
    <row r="10972" spans="1:9" x14ac:dyDescent="0.4">
      <c r="A10972" t="s">
        <v>73</v>
      </c>
      <c r="B10972" s="1">
        <v>44986</v>
      </c>
      <c r="C10972">
        <v>850760</v>
      </c>
      <c r="D10972" t="s">
        <v>176</v>
      </c>
      <c r="E10972">
        <v>13497</v>
      </c>
      <c r="F10972">
        <v>23</v>
      </c>
      <c r="G10972">
        <v>562</v>
      </c>
      <c r="H10972">
        <f>_xlfn.XLOOKUP(FACT_IMPORTS[[#This Row],[hts_6]],DIM_PRODUCTS[hts_6],DIM_PRODUCTS[hts_4],,,)</f>
        <v>8507</v>
      </c>
      <c r="I10972" t="str" cm="1">
        <f t="array" ref="I10972">_xlfn.XLOOKUP(FACT_IMPORTS[[#This Row],[country_name]],DIM_COUNTRY[[#All],[Column2]],DIM_COUNTRY[[#All],[Column3]],,,)</f>
        <v>Major_Non-USMCA_Non-China</v>
      </c>
    </row>
    <row r="10973" spans="1:9" x14ac:dyDescent="0.4">
      <c r="A10973" t="s">
        <v>73</v>
      </c>
      <c r="B10973" s="1">
        <v>44986</v>
      </c>
      <c r="C10973">
        <v>850790</v>
      </c>
      <c r="D10973" t="s">
        <v>176</v>
      </c>
      <c r="E10973">
        <v>1659674</v>
      </c>
      <c r="F10973">
        <v>186439</v>
      </c>
      <c r="G10973">
        <v>48856</v>
      </c>
      <c r="H10973">
        <f>_xlfn.XLOOKUP(FACT_IMPORTS[[#This Row],[hts_6]],DIM_PRODUCTS[hts_6],DIM_PRODUCTS[hts_4],,,)</f>
        <v>8507</v>
      </c>
      <c r="I10973" t="str" cm="1">
        <f t="array" ref="I10973">_xlfn.XLOOKUP(FACT_IMPORTS[[#This Row],[country_name]],DIM_COUNTRY[[#All],[Column2]],DIM_COUNTRY[[#All],[Column3]],,,)</f>
        <v>Major_Non-USMCA_Non-China</v>
      </c>
    </row>
    <row r="10974" spans="1:9" x14ac:dyDescent="0.4">
      <c r="A10974" t="s">
        <v>73</v>
      </c>
      <c r="B10974" s="1">
        <v>44986</v>
      </c>
      <c r="C10974">
        <v>851110</v>
      </c>
      <c r="D10974" t="s">
        <v>176</v>
      </c>
      <c r="E10974">
        <v>0</v>
      </c>
      <c r="F10974">
        <v>0</v>
      </c>
      <c r="G10974">
        <v>0</v>
      </c>
      <c r="H10974">
        <f>_xlfn.XLOOKUP(FACT_IMPORTS[[#This Row],[hts_6]],DIM_PRODUCTS[hts_6],DIM_PRODUCTS[hts_4],,,)</f>
        <v>8511</v>
      </c>
      <c r="I10974" t="str" cm="1">
        <f t="array" ref="I10974">_xlfn.XLOOKUP(FACT_IMPORTS[[#This Row],[country_name]],DIM_COUNTRY[[#All],[Column2]],DIM_COUNTRY[[#All],[Column3]],,,)</f>
        <v>Major_Non-USMCA_Non-China</v>
      </c>
    </row>
    <row r="10975" spans="1:9" x14ac:dyDescent="0.4">
      <c r="A10975" t="s">
        <v>73</v>
      </c>
      <c r="B10975" s="1">
        <v>44986</v>
      </c>
      <c r="C10975">
        <v>851130</v>
      </c>
      <c r="D10975" t="s">
        <v>176</v>
      </c>
      <c r="E10975">
        <v>33536</v>
      </c>
      <c r="F10975">
        <v>918</v>
      </c>
      <c r="G10975">
        <v>164</v>
      </c>
      <c r="H10975">
        <f>_xlfn.XLOOKUP(FACT_IMPORTS[[#This Row],[hts_6]],DIM_PRODUCTS[hts_6],DIM_PRODUCTS[hts_4],,,)</f>
        <v>8511</v>
      </c>
      <c r="I10975" t="str" cm="1">
        <f t="array" ref="I10975">_xlfn.XLOOKUP(FACT_IMPORTS[[#This Row],[country_name]],DIM_COUNTRY[[#All],[Column2]],DIM_COUNTRY[[#All],[Column3]],,,)</f>
        <v>Major_Non-USMCA_Non-China</v>
      </c>
    </row>
    <row r="10976" spans="1:9" x14ac:dyDescent="0.4">
      <c r="A10976" t="s">
        <v>73</v>
      </c>
      <c r="B10976" s="1">
        <v>44986</v>
      </c>
      <c r="C10976">
        <v>851140</v>
      </c>
      <c r="D10976" t="s">
        <v>176</v>
      </c>
      <c r="E10976">
        <v>4511816</v>
      </c>
      <c r="F10976">
        <v>14142</v>
      </c>
      <c r="G10976">
        <v>2425</v>
      </c>
      <c r="H10976">
        <f>_xlfn.XLOOKUP(FACT_IMPORTS[[#This Row],[hts_6]],DIM_PRODUCTS[hts_6],DIM_PRODUCTS[hts_4],,,)</f>
        <v>8511</v>
      </c>
      <c r="I10976" t="str" cm="1">
        <f t="array" ref="I10976">_xlfn.XLOOKUP(FACT_IMPORTS[[#This Row],[country_name]],DIM_COUNTRY[[#All],[Column2]],DIM_COUNTRY[[#All],[Column3]],,,)</f>
        <v>Major_Non-USMCA_Non-China</v>
      </c>
    </row>
    <row r="10977" spans="1:9" x14ac:dyDescent="0.4">
      <c r="A10977" t="s">
        <v>73</v>
      </c>
      <c r="B10977" s="1">
        <v>44986</v>
      </c>
      <c r="C10977">
        <v>851150</v>
      </c>
      <c r="D10977" t="s">
        <v>176</v>
      </c>
      <c r="E10977">
        <v>34292</v>
      </c>
      <c r="F10977">
        <v>85</v>
      </c>
      <c r="G10977">
        <v>22</v>
      </c>
      <c r="H10977">
        <f>_xlfn.XLOOKUP(FACT_IMPORTS[[#This Row],[hts_6]],DIM_PRODUCTS[hts_6],DIM_PRODUCTS[hts_4],,,)</f>
        <v>8511</v>
      </c>
      <c r="I10977" t="str" cm="1">
        <f t="array" ref="I10977">_xlfn.XLOOKUP(FACT_IMPORTS[[#This Row],[country_name]],DIM_COUNTRY[[#All],[Column2]],DIM_COUNTRY[[#All],[Column3]],,,)</f>
        <v>Major_Non-USMCA_Non-China</v>
      </c>
    </row>
    <row r="10978" spans="1:9" x14ac:dyDescent="0.4">
      <c r="A10978" t="s">
        <v>73</v>
      </c>
      <c r="B10978" s="1">
        <v>44986</v>
      </c>
      <c r="C10978">
        <v>851190</v>
      </c>
      <c r="D10978" t="s">
        <v>176</v>
      </c>
      <c r="E10978">
        <v>133793</v>
      </c>
      <c r="F10978">
        <v>13813</v>
      </c>
      <c r="G10978">
        <v>4183</v>
      </c>
      <c r="H10978">
        <f>_xlfn.XLOOKUP(FACT_IMPORTS[[#This Row],[hts_6]],DIM_PRODUCTS[hts_6],DIM_PRODUCTS[hts_4],,,)</f>
        <v>8511</v>
      </c>
      <c r="I10978" t="str" cm="1">
        <f t="array" ref="I10978">_xlfn.XLOOKUP(FACT_IMPORTS[[#This Row],[country_name]],DIM_COUNTRY[[#All],[Column2]],DIM_COUNTRY[[#All],[Column3]],,,)</f>
        <v>Major_Non-USMCA_Non-China</v>
      </c>
    </row>
    <row r="10979" spans="1:9" x14ac:dyDescent="0.4">
      <c r="A10979" t="s">
        <v>73</v>
      </c>
      <c r="B10979" s="1">
        <v>44986</v>
      </c>
      <c r="C10979">
        <v>851220</v>
      </c>
      <c r="D10979" t="s">
        <v>176</v>
      </c>
      <c r="E10979">
        <v>10774545</v>
      </c>
      <c r="F10979">
        <v>1022543</v>
      </c>
      <c r="G10979">
        <v>157308</v>
      </c>
      <c r="H10979">
        <f>_xlfn.XLOOKUP(FACT_IMPORTS[[#This Row],[hts_6]],DIM_PRODUCTS[hts_6],DIM_PRODUCTS[hts_4],,,)</f>
        <v>8512</v>
      </c>
      <c r="I10979" t="str" cm="1">
        <f t="array" ref="I10979">_xlfn.XLOOKUP(FACT_IMPORTS[[#This Row],[country_name]],DIM_COUNTRY[[#All],[Column2]],DIM_COUNTRY[[#All],[Column3]],,,)</f>
        <v>Major_Non-USMCA_Non-China</v>
      </c>
    </row>
    <row r="10980" spans="1:9" x14ac:dyDescent="0.4">
      <c r="A10980" t="s">
        <v>73</v>
      </c>
      <c r="B10980" s="1">
        <v>44986</v>
      </c>
      <c r="C10980">
        <v>851240</v>
      </c>
      <c r="D10980" t="s">
        <v>176</v>
      </c>
      <c r="E10980">
        <v>263857</v>
      </c>
      <c r="F10980">
        <v>12129</v>
      </c>
      <c r="G10980">
        <v>11598</v>
      </c>
      <c r="H10980">
        <f>_xlfn.XLOOKUP(FACT_IMPORTS[[#This Row],[hts_6]],DIM_PRODUCTS[hts_6],DIM_PRODUCTS[hts_4],,,)</f>
        <v>8512</v>
      </c>
      <c r="I10980" t="str" cm="1">
        <f t="array" ref="I10980">_xlfn.XLOOKUP(FACT_IMPORTS[[#This Row],[country_name]],DIM_COUNTRY[[#All],[Column2]],DIM_COUNTRY[[#All],[Column3]],,,)</f>
        <v>Major_Non-USMCA_Non-China</v>
      </c>
    </row>
    <row r="10981" spans="1:9" x14ac:dyDescent="0.4">
      <c r="A10981" t="s">
        <v>73</v>
      </c>
      <c r="B10981" s="1">
        <v>44986</v>
      </c>
      <c r="C10981">
        <v>851290</v>
      </c>
      <c r="D10981" t="s">
        <v>176</v>
      </c>
      <c r="E10981">
        <v>946186</v>
      </c>
      <c r="F10981">
        <v>66511</v>
      </c>
      <c r="G10981">
        <v>32260</v>
      </c>
      <c r="H10981">
        <f>_xlfn.XLOOKUP(FACT_IMPORTS[[#This Row],[hts_6]],DIM_PRODUCTS[hts_6],DIM_PRODUCTS[hts_4],,,)</f>
        <v>8512</v>
      </c>
      <c r="I10981" t="str" cm="1">
        <f t="array" ref="I10981">_xlfn.XLOOKUP(FACT_IMPORTS[[#This Row],[country_name]],DIM_COUNTRY[[#All],[Column2]],DIM_COUNTRY[[#All],[Column3]],,,)</f>
        <v>Major_Non-USMCA_Non-China</v>
      </c>
    </row>
    <row r="10982" spans="1:9" x14ac:dyDescent="0.4">
      <c r="A10982" t="s">
        <v>73</v>
      </c>
      <c r="B10982" s="1">
        <v>44986</v>
      </c>
      <c r="C10982">
        <v>854231</v>
      </c>
      <c r="D10982" t="s">
        <v>176</v>
      </c>
      <c r="E10982">
        <v>57270</v>
      </c>
      <c r="F10982">
        <v>2101</v>
      </c>
      <c r="G10982">
        <v>3218</v>
      </c>
      <c r="H10982">
        <f>_xlfn.XLOOKUP(FACT_IMPORTS[[#This Row],[hts_6]],DIM_PRODUCTS[hts_6],DIM_PRODUCTS[hts_4],,,)</f>
        <v>8542</v>
      </c>
      <c r="I10982" t="str" cm="1">
        <f t="array" ref="I10982">_xlfn.XLOOKUP(FACT_IMPORTS[[#This Row],[country_name]],DIM_COUNTRY[[#All],[Column2]],DIM_COUNTRY[[#All],[Column3]],,,)</f>
        <v>Major_Non-USMCA_Non-China</v>
      </c>
    </row>
    <row r="10983" spans="1:9" x14ac:dyDescent="0.4">
      <c r="A10983" t="s">
        <v>73</v>
      </c>
      <c r="B10983" s="1">
        <v>44986</v>
      </c>
      <c r="C10983">
        <v>854232</v>
      </c>
      <c r="D10983" t="s">
        <v>176</v>
      </c>
      <c r="E10983">
        <v>0</v>
      </c>
      <c r="F10983">
        <v>0</v>
      </c>
      <c r="G10983">
        <v>0</v>
      </c>
      <c r="H10983">
        <f>_xlfn.XLOOKUP(FACT_IMPORTS[[#This Row],[hts_6]],DIM_PRODUCTS[hts_6],DIM_PRODUCTS[hts_4],,,)</f>
        <v>8542</v>
      </c>
      <c r="I10983" t="str" cm="1">
        <f t="array" ref="I10983">_xlfn.XLOOKUP(FACT_IMPORTS[[#This Row],[country_name]],DIM_COUNTRY[[#All],[Column2]],DIM_COUNTRY[[#All],[Column3]],,,)</f>
        <v>Major_Non-USMCA_Non-China</v>
      </c>
    </row>
    <row r="10984" spans="1:9" x14ac:dyDescent="0.4">
      <c r="A10984" t="s">
        <v>73</v>
      </c>
      <c r="B10984" s="1">
        <v>44986</v>
      </c>
      <c r="C10984">
        <v>854239</v>
      </c>
      <c r="D10984" t="s">
        <v>176</v>
      </c>
      <c r="E10984">
        <v>3225</v>
      </c>
      <c r="F10984">
        <v>1500</v>
      </c>
      <c r="G10984">
        <v>323</v>
      </c>
      <c r="H10984">
        <f>_xlfn.XLOOKUP(FACT_IMPORTS[[#This Row],[hts_6]],DIM_PRODUCTS[hts_6],DIM_PRODUCTS[hts_4],,,)</f>
        <v>8542</v>
      </c>
      <c r="I10984" t="str" cm="1">
        <f t="array" ref="I10984">_xlfn.XLOOKUP(FACT_IMPORTS[[#This Row],[country_name]],DIM_COUNTRY[[#All],[Column2]],DIM_COUNTRY[[#All],[Column3]],,,)</f>
        <v>Major_Non-USMCA_Non-China</v>
      </c>
    </row>
    <row r="10985" spans="1:9" x14ac:dyDescent="0.4">
      <c r="A10985" t="s">
        <v>73</v>
      </c>
      <c r="B10985" s="1">
        <v>44986</v>
      </c>
      <c r="C10985">
        <v>854430</v>
      </c>
      <c r="D10985" t="s">
        <v>176</v>
      </c>
      <c r="E10985">
        <v>1022318</v>
      </c>
      <c r="F10985">
        <v>3762</v>
      </c>
      <c r="G10985">
        <v>1318</v>
      </c>
      <c r="H10985">
        <f>_xlfn.XLOOKUP(FACT_IMPORTS[[#This Row],[hts_6]],DIM_PRODUCTS[hts_6],DIM_PRODUCTS[hts_4],,,)</f>
        <v>8544</v>
      </c>
      <c r="I10985" t="str" cm="1">
        <f t="array" ref="I10985">_xlfn.XLOOKUP(FACT_IMPORTS[[#This Row],[country_name]],DIM_COUNTRY[[#All],[Column2]],DIM_COUNTRY[[#All],[Column3]],,,)</f>
        <v>Major_Non-USMCA_Non-China</v>
      </c>
    </row>
    <row r="10986" spans="1:9" x14ac:dyDescent="0.4">
      <c r="A10986" t="s">
        <v>73</v>
      </c>
      <c r="B10986" s="1">
        <v>44986</v>
      </c>
      <c r="C10986">
        <v>870810</v>
      </c>
      <c r="D10986" t="s">
        <v>176</v>
      </c>
      <c r="E10986">
        <v>604734</v>
      </c>
      <c r="F10986">
        <v>124067</v>
      </c>
      <c r="G10986">
        <v>7922</v>
      </c>
      <c r="H10986">
        <f>_xlfn.XLOOKUP(FACT_IMPORTS[[#This Row],[hts_6]],DIM_PRODUCTS[hts_6],DIM_PRODUCTS[hts_4],,,)</f>
        <v>8708</v>
      </c>
      <c r="I10986" t="str" cm="1">
        <f t="array" ref="I10986">_xlfn.XLOOKUP(FACT_IMPORTS[[#This Row],[country_name]],DIM_COUNTRY[[#All],[Column2]],DIM_COUNTRY[[#All],[Column3]],,,)</f>
        <v>Major_Non-USMCA_Non-China</v>
      </c>
    </row>
    <row r="10987" spans="1:9" x14ac:dyDescent="0.4">
      <c r="A10987" t="s">
        <v>73</v>
      </c>
      <c r="B10987" s="1">
        <v>44986</v>
      </c>
      <c r="C10987">
        <v>870821</v>
      </c>
      <c r="D10987" t="s">
        <v>176</v>
      </c>
      <c r="E10987">
        <v>0</v>
      </c>
      <c r="F10987">
        <v>0</v>
      </c>
      <c r="G10987">
        <v>0</v>
      </c>
      <c r="H10987">
        <f>_xlfn.XLOOKUP(FACT_IMPORTS[[#This Row],[hts_6]],DIM_PRODUCTS[hts_6],DIM_PRODUCTS[hts_4],,,)</f>
        <v>8708</v>
      </c>
      <c r="I10987" t="str" cm="1">
        <f t="array" ref="I10987">_xlfn.XLOOKUP(FACT_IMPORTS[[#This Row],[country_name]],DIM_COUNTRY[[#All],[Column2]],DIM_COUNTRY[[#All],[Column3]],,,)</f>
        <v>Major_Non-USMCA_Non-China</v>
      </c>
    </row>
    <row r="10988" spans="1:9" x14ac:dyDescent="0.4">
      <c r="A10988" t="s">
        <v>73</v>
      </c>
      <c r="B10988" s="1">
        <v>44986</v>
      </c>
      <c r="C10988">
        <v>870822</v>
      </c>
      <c r="D10988" t="s">
        <v>176</v>
      </c>
      <c r="E10988">
        <v>46677</v>
      </c>
      <c r="F10988">
        <v>226</v>
      </c>
      <c r="G10988">
        <v>64</v>
      </c>
      <c r="H10988">
        <f>_xlfn.XLOOKUP(FACT_IMPORTS[[#This Row],[hts_6]],DIM_PRODUCTS[hts_6],DIM_PRODUCTS[hts_4],,,)</f>
        <v>8708</v>
      </c>
      <c r="I10988" t="str" cm="1">
        <f t="array" ref="I10988">_xlfn.XLOOKUP(FACT_IMPORTS[[#This Row],[country_name]],DIM_COUNTRY[[#All],[Column2]],DIM_COUNTRY[[#All],[Column3]],,,)</f>
        <v>Major_Non-USMCA_Non-China</v>
      </c>
    </row>
    <row r="10989" spans="1:9" x14ac:dyDescent="0.4">
      <c r="A10989" t="s">
        <v>73</v>
      </c>
      <c r="B10989" s="1">
        <v>44986</v>
      </c>
      <c r="C10989">
        <v>870829</v>
      </c>
      <c r="D10989" t="s">
        <v>176</v>
      </c>
      <c r="E10989">
        <v>7354520</v>
      </c>
      <c r="F10989">
        <v>3870337</v>
      </c>
      <c r="G10989">
        <v>508869</v>
      </c>
      <c r="H10989">
        <f>_xlfn.XLOOKUP(FACT_IMPORTS[[#This Row],[hts_6]],DIM_PRODUCTS[hts_6],DIM_PRODUCTS[hts_4],,,)</f>
        <v>8708</v>
      </c>
      <c r="I10989" t="str" cm="1">
        <f t="array" ref="I10989">_xlfn.XLOOKUP(FACT_IMPORTS[[#This Row],[country_name]],DIM_COUNTRY[[#All],[Column2]],DIM_COUNTRY[[#All],[Column3]],,,)</f>
        <v>Major_Non-USMCA_Non-China</v>
      </c>
    </row>
    <row r="10990" spans="1:9" x14ac:dyDescent="0.4">
      <c r="A10990" t="s">
        <v>73</v>
      </c>
      <c r="B10990" s="1">
        <v>44986</v>
      </c>
      <c r="C10990">
        <v>870830</v>
      </c>
      <c r="D10990" t="s">
        <v>176</v>
      </c>
      <c r="E10990">
        <v>578770</v>
      </c>
      <c r="F10990">
        <v>417486</v>
      </c>
      <c r="G10990">
        <v>21340</v>
      </c>
      <c r="H10990">
        <f>_xlfn.XLOOKUP(FACT_IMPORTS[[#This Row],[hts_6]],DIM_PRODUCTS[hts_6],DIM_PRODUCTS[hts_4],,,)</f>
        <v>8708</v>
      </c>
      <c r="I10990" t="str" cm="1">
        <f t="array" ref="I10990">_xlfn.XLOOKUP(FACT_IMPORTS[[#This Row],[country_name]],DIM_COUNTRY[[#All],[Column2]],DIM_COUNTRY[[#All],[Column3]],,,)</f>
        <v>Major_Non-USMCA_Non-China</v>
      </c>
    </row>
    <row r="10991" spans="1:9" x14ac:dyDescent="0.4">
      <c r="A10991" t="s">
        <v>73</v>
      </c>
      <c r="B10991" s="1">
        <v>44986</v>
      </c>
      <c r="C10991">
        <v>870840</v>
      </c>
      <c r="D10991" t="s">
        <v>176</v>
      </c>
      <c r="E10991">
        <v>3911752</v>
      </c>
      <c r="F10991">
        <v>493307</v>
      </c>
      <c r="G10991">
        <v>51285</v>
      </c>
      <c r="H10991">
        <f>_xlfn.XLOOKUP(FACT_IMPORTS[[#This Row],[hts_6]],DIM_PRODUCTS[hts_6],DIM_PRODUCTS[hts_4],,,)</f>
        <v>8708</v>
      </c>
      <c r="I10991" t="str" cm="1">
        <f t="array" ref="I10991">_xlfn.XLOOKUP(FACT_IMPORTS[[#This Row],[country_name]],DIM_COUNTRY[[#All],[Column2]],DIM_COUNTRY[[#All],[Column3]],,,)</f>
        <v>Major_Non-USMCA_Non-China</v>
      </c>
    </row>
    <row r="10992" spans="1:9" x14ac:dyDescent="0.4">
      <c r="A10992" t="s">
        <v>73</v>
      </c>
      <c r="B10992" s="1">
        <v>44986</v>
      </c>
      <c r="C10992">
        <v>870850</v>
      </c>
      <c r="D10992" t="s">
        <v>176</v>
      </c>
      <c r="E10992">
        <v>18298809</v>
      </c>
      <c r="F10992">
        <v>1361310</v>
      </c>
      <c r="G10992">
        <v>683012</v>
      </c>
      <c r="H10992">
        <f>_xlfn.XLOOKUP(FACT_IMPORTS[[#This Row],[hts_6]],DIM_PRODUCTS[hts_6],DIM_PRODUCTS[hts_4],,,)</f>
        <v>8708</v>
      </c>
      <c r="I10992" t="str" cm="1">
        <f t="array" ref="I10992">_xlfn.XLOOKUP(FACT_IMPORTS[[#This Row],[country_name]],DIM_COUNTRY[[#All],[Column2]],DIM_COUNTRY[[#All],[Column3]],,,)</f>
        <v>Major_Non-USMCA_Non-China</v>
      </c>
    </row>
    <row r="10993" spans="1:9" x14ac:dyDescent="0.4">
      <c r="A10993" t="s">
        <v>73</v>
      </c>
      <c r="B10993" s="1">
        <v>44986</v>
      </c>
      <c r="C10993">
        <v>870870</v>
      </c>
      <c r="D10993" t="s">
        <v>176</v>
      </c>
      <c r="E10993">
        <v>1911498</v>
      </c>
      <c r="F10993">
        <v>51173</v>
      </c>
      <c r="G10993">
        <v>64768</v>
      </c>
      <c r="H10993">
        <f>_xlfn.XLOOKUP(FACT_IMPORTS[[#This Row],[hts_6]],DIM_PRODUCTS[hts_6],DIM_PRODUCTS[hts_4],,,)</f>
        <v>8708</v>
      </c>
      <c r="I10993" t="str" cm="1">
        <f t="array" ref="I10993">_xlfn.XLOOKUP(FACT_IMPORTS[[#This Row],[country_name]],DIM_COUNTRY[[#All],[Column2]],DIM_COUNTRY[[#All],[Column3]],,,)</f>
        <v>Major_Non-USMCA_Non-China</v>
      </c>
    </row>
    <row r="10994" spans="1:9" x14ac:dyDescent="0.4">
      <c r="A10994" t="s">
        <v>73</v>
      </c>
      <c r="B10994" s="1">
        <v>44986</v>
      </c>
      <c r="C10994">
        <v>870880</v>
      </c>
      <c r="D10994" t="s">
        <v>176</v>
      </c>
      <c r="E10994">
        <v>4883010</v>
      </c>
      <c r="F10994">
        <v>1280867</v>
      </c>
      <c r="G10994">
        <v>166615</v>
      </c>
      <c r="H10994">
        <f>_xlfn.XLOOKUP(FACT_IMPORTS[[#This Row],[hts_6]],DIM_PRODUCTS[hts_6],DIM_PRODUCTS[hts_4],,,)</f>
        <v>8708</v>
      </c>
      <c r="I10994" t="str" cm="1">
        <f t="array" ref="I10994">_xlfn.XLOOKUP(FACT_IMPORTS[[#This Row],[country_name]],DIM_COUNTRY[[#All],[Column2]],DIM_COUNTRY[[#All],[Column3]],,,)</f>
        <v>Major_Non-USMCA_Non-China</v>
      </c>
    </row>
    <row r="10995" spans="1:9" x14ac:dyDescent="0.4">
      <c r="A10995" t="s">
        <v>73</v>
      </c>
      <c r="B10995" s="1">
        <v>44986</v>
      </c>
      <c r="C10995">
        <v>870891</v>
      </c>
      <c r="D10995" t="s">
        <v>176</v>
      </c>
      <c r="E10995">
        <v>62145</v>
      </c>
      <c r="F10995">
        <v>2558</v>
      </c>
      <c r="G10995">
        <v>213</v>
      </c>
      <c r="H10995">
        <f>_xlfn.XLOOKUP(FACT_IMPORTS[[#This Row],[hts_6]],DIM_PRODUCTS[hts_6],DIM_PRODUCTS[hts_4],,,)</f>
        <v>8708</v>
      </c>
      <c r="I10995" t="str" cm="1">
        <f t="array" ref="I10995">_xlfn.XLOOKUP(FACT_IMPORTS[[#This Row],[country_name]],DIM_COUNTRY[[#All],[Column2]],DIM_COUNTRY[[#All],[Column3]],,,)</f>
        <v>Major_Non-USMCA_Non-China</v>
      </c>
    </row>
    <row r="10996" spans="1:9" x14ac:dyDescent="0.4">
      <c r="A10996" t="s">
        <v>73</v>
      </c>
      <c r="B10996" s="1">
        <v>44986</v>
      </c>
      <c r="C10996">
        <v>870892</v>
      </c>
      <c r="D10996" t="s">
        <v>176</v>
      </c>
      <c r="E10996">
        <v>89839</v>
      </c>
      <c r="F10996">
        <v>203</v>
      </c>
      <c r="G10996">
        <v>311</v>
      </c>
      <c r="H10996">
        <f>_xlfn.XLOOKUP(FACT_IMPORTS[[#This Row],[hts_6]],DIM_PRODUCTS[hts_6],DIM_PRODUCTS[hts_4],,,)</f>
        <v>8708</v>
      </c>
      <c r="I10996" t="str" cm="1">
        <f t="array" ref="I10996">_xlfn.XLOOKUP(FACT_IMPORTS[[#This Row],[country_name]],DIM_COUNTRY[[#All],[Column2]],DIM_COUNTRY[[#All],[Column3]],,,)</f>
        <v>Major_Non-USMCA_Non-China</v>
      </c>
    </row>
    <row r="10997" spans="1:9" x14ac:dyDescent="0.4">
      <c r="A10997" t="s">
        <v>73</v>
      </c>
      <c r="B10997" s="1">
        <v>44986</v>
      </c>
      <c r="C10997">
        <v>870893</v>
      </c>
      <c r="D10997" t="s">
        <v>176</v>
      </c>
      <c r="E10997">
        <v>929073</v>
      </c>
      <c r="F10997">
        <v>80119</v>
      </c>
      <c r="G10997">
        <v>4408</v>
      </c>
      <c r="H10997">
        <f>_xlfn.XLOOKUP(FACT_IMPORTS[[#This Row],[hts_6]],DIM_PRODUCTS[hts_6],DIM_PRODUCTS[hts_4],,,)</f>
        <v>8708</v>
      </c>
      <c r="I10997" t="str" cm="1">
        <f t="array" ref="I10997">_xlfn.XLOOKUP(FACT_IMPORTS[[#This Row],[country_name]],DIM_COUNTRY[[#All],[Column2]],DIM_COUNTRY[[#All],[Column3]],,,)</f>
        <v>Major_Non-USMCA_Non-China</v>
      </c>
    </row>
    <row r="10998" spans="1:9" x14ac:dyDescent="0.4">
      <c r="A10998" t="s">
        <v>73</v>
      </c>
      <c r="B10998" s="1">
        <v>44986</v>
      </c>
      <c r="C10998">
        <v>870894</v>
      </c>
      <c r="D10998" t="s">
        <v>176</v>
      </c>
      <c r="E10998">
        <v>2382269</v>
      </c>
      <c r="F10998">
        <v>208784</v>
      </c>
      <c r="G10998">
        <v>7770</v>
      </c>
      <c r="H10998">
        <f>_xlfn.XLOOKUP(FACT_IMPORTS[[#This Row],[hts_6]],DIM_PRODUCTS[hts_6],DIM_PRODUCTS[hts_4],,,)</f>
        <v>8708</v>
      </c>
      <c r="I10998" t="str" cm="1">
        <f t="array" ref="I10998">_xlfn.XLOOKUP(FACT_IMPORTS[[#This Row],[country_name]],DIM_COUNTRY[[#All],[Column2]],DIM_COUNTRY[[#All],[Column3]],,,)</f>
        <v>Major_Non-USMCA_Non-China</v>
      </c>
    </row>
    <row r="10999" spans="1:9" x14ac:dyDescent="0.4">
      <c r="A10999" t="s">
        <v>73</v>
      </c>
      <c r="B10999" s="1">
        <v>44986</v>
      </c>
      <c r="C10999">
        <v>870895</v>
      </c>
      <c r="D10999" t="s">
        <v>176</v>
      </c>
      <c r="E10999">
        <v>0</v>
      </c>
      <c r="F10999">
        <v>0</v>
      </c>
      <c r="G10999">
        <v>0</v>
      </c>
      <c r="H10999">
        <f>_xlfn.XLOOKUP(FACT_IMPORTS[[#This Row],[hts_6]],DIM_PRODUCTS[hts_6],DIM_PRODUCTS[hts_4],,,)</f>
        <v>8708</v>
      </c>
      <c r="I10999" t="str" cm="1">
        <f t="array" ref="I10999">_xlfn.XLOOKUP(FACT_IMPORTS[[#This Row],[country_name]],DIM_COUNTRY[[#All],[Column2]],DIM_COUNTRY[[#All],[Column3]],,,)</f>
        <v>Major_Non-USMCA_Non-China</v>
      </c>
    </row>
    <row r="11000" spans="1:9" x14ac:dyDescent="0.4">
      <c r="A11000" t="s">
        <v>73</v>
      </c>
      <c r="B11000" s="1">
        <v>44986</v>
      </c>
      <c r="C11000">
        <v>870899</v>
      </c>
      <c r="D11000" t="s">
        <v>176</v>
      </c>
      <c r="E11000">
        <v>31001576</v>
      </c>
      <c r="F11000">
        <v>4883123</v>
      </c>
      <c r="G11000">
        <v>787906</v>
      </c>
      <c r="H11000">
        <f>_xlfn.XLOOKUP(FACT_IMPORTS[[#This Row],[hts_6]],DIM_PRODUCTS[hts_6],DIM_PRODUCTS[hts_4],,,)</f>
        <v>8708</v>
      </c>
      <c r="I11000" t="str" cm="1">
        <f t="array" ref="I11000">_xlfn.XLOOKUP(FACT_IMPORTS[[#This Row],[country_name]],DIM_COUNTRY[[#All],[Column2]],DIM_COUNTRY[[#All],[Column3]],,,)</f>
        <v>Major_Non-USMCA_Non-China</v>
      </c>
    </row>
    <row r="11001" spans="1:9" x14ac:dyDescent="0.4">
      <c r="A11001" t="s">
        <v>73</v>
      </c>
      <c r="B11001" s="1">
        <v>44986</v>
      </c>
      <c r="C11001">
        <v>940120</v>
      </c>
      <c r="D11001" t="s">
        <v>176</v>
      </c>
      <c r="E11001">
        <v>0</v>
      </c>
      <c r="F11001">
        <v>0</v>
      </c>
      <c r="G11001">
        <v>0</v>
      </c>
      <c r="H11001">
        <f>_xlfn.XLOOKUP(FACT_IMPORTS[[#This Row],[hts_6]],DIM_PRODUCTS[hts_6],DIM_PRODUCTS[hts_4],,,)</f>
        <v>9401</v>
      </c>
      <c r="I11001" t="str" cm="1">
        <f t="array" ref="I11001">_xlfn.XLOOKUP(FACT_IMPORTS[[#This Row],[country_name]],DIM_COUNTRY[[#All],[Column2]],DIM_COUNTRY[[#All],[Column3]],,,)</f>
        <v>Major_Non-USMCA_Non-China</v>
      </c>
    </row>
    <row r="11002" spans="1:9" x14ac:dyDescent="0.4">
      <c r="A11002" t="s">
        <v>73</v>
      </c>
      <c r="B11002" s="1">
        <v>45017</v>
      </c>
      <c r="C11002">
        <v>392630</v>
      </c>
      <c r="D11002" t="s">
        <v>176</v>
      </c>
      <c r="E11002">
        <v>920631</v>
      </c>
      <c r="F11002">
        <v>72265</v>
      </c>
      <c r="G11002">
        <v>74077</v>
      </c>
      <c r="H11002">
        <f>_xlfn.XLOOKUP(FACT_IMPORTS[[#This Row],[hts_6]],DIM_PRODUCTS[hts_6],DIM_PRODUCTS[hts_4],,,)</f>
        <v>3926</v>
      </c>
      <c r="I11002" t="str" cm="1">
        <f t="array" ref="I11002">_xlfn.XLOOKUP(FACT_IMPORTS[[#This Row],[country_name]],DIM_COUNTRY[[#All],[Column2]],DIM_COUNTRY[[#All],[Column3]],,,)</f>
        <v>Major_Non-USMCA_Non-China</v>
      </c>
    </row>
    <row r="11003" spans="1:9" x14ac:dyDescent="0.4">
      <c r="A11003" t="s">
        <v>73</v>
      </c>
      <c r="B11003" s="1">
        <v>45017</v>
      </c>
      <c r="C11003">
        <v>401110</v>
      </c>
      <c r="D11003" t="s">
        <v>176</v>
      </c>
      <c r="E11003">
        <v>7077956</v>
      </c>
      <c r="F11003">
        <v>111509</v>
      </c>
      <c r="G11003">
        <v>1247242</v>
      </c>
      <c r="H11003">
        <f>_xlfn.XLOOKUP(FACT_IMPORTS[[#This Row],[hts_6]],DIM_PRODUCTS[hts_6],DIM_PRODUCTS[hts_4],,,)</f>
        <v>4011</v>
      </c>
      <c r="I11003" t="str" cm="1">
        <f t="array" ref="I11003">_xlfn.XLOOKUP(FACT_IMPORTS[[#This Row],[country_name]],DIM_COUNTRY[[#All],[Column2]],DIM_COUNTRY[[#All],[Column3]],,,)</f>
        <v>Major_Non-USMCA_Non-China</v>
      </c>
    </row>
    <row r="11004" spans="1:9" x14ac:dyDescent="0.4">
      <c r="A11004" t="s">
        <v>73</v>
      </c>
      <c r="B11004" s="1">
        <v>45017</v>
      </c>
      <c r="C11004">
        <v>401120</v>
      </c>
      <c r="D11004" t="s">
        <v>176</v>
      </c>
      <c r="E11004">
        <v>139879</v>
      </c>
      <c r="F11004">
        <v>1806</v>
      </c>
      <c r="G11004">
        <v>21589</v>
      </c>
      <c r="H11004">
        <f>_xlfn.XLOOKUP(FACT_IMPORTS[[#This Row],[hts_6]],DIM_PRODUCTS[hts_6],DIM_PRODUCTS[hts_4],,,)</f>
        <v>4011</v>
      </c>
      <c r="I11004" t="str" cm="1">
        <f t="array" ref="I11004">_xlfn.XLOOKUP(FACT_IMPORTS[[#This Row],[country_name]],DIM_COUNTRY[[#All],[Column2]],DIM_COUNTRY[[#All],[Column3]],,,)</f>
        <v>Major_Non-USMCA_Non-China</v>
      </c>
    </row>
    <row r="11005" spans="1:9" x14ac:dyDescent="0.4">
      <c r="A11005" t="s">
        <v>73</v>
      </c>
      <c r="B11005" s="1">
        <v>45017</v>
      </c>
      <c r="C11005">
        <v>401190</v>
      </c>
      <c r="D11005" t="s">
        <v>176</v>
      </c>
      <c r="E11005">
        <v>0</v>
      </c>
      <c r="F11005">
        <v>0</v>
      </c>
      <c r="G11005">
        <v>0</v>
      </c>
      <c r="H11005">
        <f>_xlfn.XLOOKUP(FACT_IMPORTS[[#This Row],[hts_6]],DIM_PRODUCTS[hts_6],DIM_PRODUCTS[hts_4],,,)</f>
        <v>4011</v>
      </c>
      <c r="I11005" t="str" cm="1">
        <f t="array" ref="I11005">_xlfn.XLOOKUP(FACT_IMPORTS[[#This Row],[country_name]],DIM_COUNTRY[[#All],[Column2]],DIM_COUNTRY[[#All],[Column3]],,,)</f>
        <v>Major_Non-USMCA_Non-China</v>
      </c>
    </row>
    <row r="11006" spans="1:9" x14ac:dyDescent="0.4">
      <c r="A11006" t="s">
        <v>73</v>
      </c>
      <c r="B11006" s="1">
        <v>45017</v>
      </c>
      <c r="C11006">
        <v>700910</v>
      </c>
      <c r="D11006" t="s">
        <v>176</v>
      </c>
      <c r="E11006">
        <v>472614</v>
      </c>
      <c r="F11006">
        <v>11079</v>
      </c>
      <c r="G11006">
        <v>30083</v>
      </c>
      <c r="H11006">
        <f>_xlfn.XLOOKUP(FACT_IMPORTS[[#This Row],[hts_6]],DIM_PRODUCTS[hts_6],DIM_PRODUCTS[hts_4],,,)</f>
        <v>7009</v>
      </c>
      <c r="I11006" t="str" cm="1">
        <f t="array" ref="I11006">_xlfn.XLOOKUP(FACT_IMPORTS[[#This Row],[country_name]],DIM_COUNTRY[[#All],[Column2]],DIM_COUNTRY[[#All],[Column3]],,,)</f>
        <v>Major_Non-USMCA_Non-China</v>
      </c>
    </row>
    <row r="11007" spans="1:9" x14ac:dyDescent="0.4">
      <c r="A11007" t="s">
        <v>73</v>
      </c>
      <c r="B11007" s="1">
        <v>45017</v>
      </c>
      <c r="C11007">
        <v>830230</v>
      </c>
      <c r="D11007" t="s">
        <v>176</v>
      </c>
      <c r="E11007">
        <v>4185531</v>
      </c>
      <c r="F11007">
        <v>612204</v>
      </c>
      <c r="G11007">
        <v>146033</v>
      </c>
      <c r="H11007">
        <f>_xlfn.XLOOKUP(FACT_IMPORTS[[#This Row],[hts_6]],DIM_PRODUCTS[hts_6],DIM_PRODUCTS[hts_4],,,)</f>
        <v>8302</v>
      </c>
      <c r="I11007" t="str" cm="1">
        <f t="array" ref="I11007">_xlfn.XLOOKUP(FACT_IMPORTS[[#This Row],[country_name]],DIM_COUNTRY[[#All],[Column2]],DIM_COUNTRY[[#All],[Column3]],,,)</f>
        <v>Major_Non-USMCA_Non-China</v>
      </c>
    </row>
    <row r="11008" spans="1:9" x14ac:dyDescent="0.4">
      <c r="A11008" t="s">
        <v>73</v>
      </c>
      <c r="B11008" s="1">
        <v>45017</v>
      </c>
      <c r="C11008">
        <v>840734</v>
      </c>
      <c r="D11008" t="s">
        <v>176</v>
      </c>
      <c r="E11008">
        <v>331249</v>
      </c>
      <c r="F11008">
        <v>94</v>
      </c>
      <c r="G11008">
        <v>340</v>
      </c>
      <c r="H11008">
        <f>_xlfn.XLOOKUP(FACT_IMPORTS[[#This Row],[hts_6]],DIM_PRODUCTS[hts_6],DIM_PRODUCTS[hts_4],,,)</f>
        <v>8407</v>
      </c>
      <c r="I11008" t="str" cm="1">
        <f t="array" ref="I11008">_xlfn.XLOOKUP(FACT_IMPORTS[[#This Row],[country_name]],DIM_COUNTRY[[#All],[Column2]],DIM_COUNTRY[[#All],[Column3]],,,)</f>
        <v>Major_Non-USMCA_Non-China</v>
      </c>
    </row>
    <row r="11009" spans="1:9" x14ac:dyDescent="0.4">
      <c r="A11009" t="s">
        <v>73</v>
      </c>
      <c r="B11009" s="1">
        <v>45017</v>
      </c>
      <c r="C11009">
        <v>840820</v>
      </c>
      <c r="D11009" t="s">
        <v>176</v>
      </c>
      <c r="E11009">
        <v>0</v>
      </c>
      <c r="F11009">
        <v>0</v>
      </c>
      <c r="G11009">
        <v>0</v>
      </c>
      <c r="H11009">
        <f>_xlfn.XLOOKUP(FACT_IMPORTS[[#This Row],[hts_6]],DIM_PRODUCTS[hts_6],DIM_PRODUCTS[hts_4],,,)</f>
        <v>8408</v>
      </c>
      <c r="I11009" t="str" cm="1">
        <f t="array" ref="I11009">_xlfn.XLOOKUP(FACT_IMPORTS[[#This Row],[country_name]],DIM_COUNTRY[[#All],[Column2]],DIM_COUNTRY[[#All],[Column3]],,,)</f>
        <v>Major_Non-USMCA_Non-China</v>
      </c>
    </row>
    <row r="11010" spans="1:9" x14ac:dyDescent="0.4">
      <c r="A11010" t="s">
        <v>73</v>
      </c>
      <c r="B11010" s="1">
        <v>45017</v>
      </c>
      <c r="C11010">
        <v>840890</v>
      </c>
      <c r="D11010" t="s">
        <v>176</v>
      </c>
      <c r="E11010">
        <v>0</v>
      </c>
      <c r="F11010">
        <v>0</v>
      </c>
      <c r="G11010">
        <v>0</v>
      </c>
      <c r="H11010">
        <f>_xlfn.XLOOKUP(FACT_IMPORTS[[#This Row],[hts_6]],DIM_PRODUCTS[hts_6],DIM_PRODUCTS[hts_4],,,)</f>
        <v>8408</v>
      </c>
      <c r="I11010" t="str" cm="1">
        <f t="array" ref="I11010">_xlfn.XLOOKUP(FACT_IMPORTS[[#This Row],[country_name]],DIM_COUNTRY[[#All],[Column2]],DIM_COUNTRY[[#All],[Column3]],,,)</f>
        <v>Major_Non-USMCA_Non-China</v>
      </c>
    </row>
    <row r="11011" spans="1:9" x14ac:dyDescent="0.4">
      <c r="A11011" t="s">
        <v>73</v>
      </c>
      <c r="B11011" s="1">
        <v>45017</v>
      </c>
      <c r="C11011">
        <v>840991</v>
      </c>
      <c r="D11011" t="s">
        <v>176</v>
      </c>
      <c r="E11011">
        <v>7963126</v>
      </c>
      <c r="F11011">
        <v>759793</v>
      </c>
      <c r="G11011">
        <v>213495</v>
      </c>
      <c r="H11011">
        <f>_xlfn.XLOOKUP(FACT_IMPORTS[[#This Row],[hts_6]],DIM_PRODUCTS[hts_6],DIM_PRODUCTS[hts_4],,,)</f>
        <v>8409</v>
      </c>
      <c r="I11011" t="str" cm="1">
        <f t="array" ref="I11011">_xlfn.XLOOKUP(FACT_IMPORTS[[#This Row],[country_name]],DIM_COUNTRY[[#All],[Column2]],DIM_COUNTRY[[#All],[Column3]],,,)</f>
        <v>Major_Non-USMCA_Non-China</v>
      </c>
    </row>
    <row r="11012" spans="1:9" x14ac:dyDescent="0.4">
      <c r="A11012" t="s">
        <v>73</v>
      </c>
      <c r="B11012" s="1">
        <v>45017</v>
      </c>
      <c r="C11012">
        <v>840999</v>
      </c>
      <c r="D11012" t="s">
        <v>176</v>
      </c>
      <c r="E11012">
        <v>1996609</v>
      </c>
      <c r="F11012">
        <v>141812</v>
      </c>
      <c r="G11012">
        <v>6401</v>
      </c>
      <c r="H11012">
        <f>_xlfn.XLOOKUP(FACT_IMPORTS[[#This Row],[hts_6]],DIM_PRODUCTS[hts_6],DIM_PRODUCTS[hts_4],,,)</f>
        <v>8409</v>
      </c>
      <c r="I11012" t="str" cm="1">
        <f t="array" ref="I11012">_xlfn.XLOOKUP(FACT_IMPORTS[[#This Row],[country_name]],DIM_COUNTRY[[#All],[Column2]],DIM_COUNTRY[[#All],[Column3]],,,)</f>
        <v>Major_Non-USMCA_Non-China</v>
      </c>
    </row>
    <row r="11013" spans="1:9" x14ac:dyDescent="0.4">
      <c r="A11013" t="s">
        <v>73</v>
      </c>
      <c r="B11013" s="1">
        <v>45017</v>
      </c>
      <c r="C11013">
        <v>841330</v>
      </c>
      <c r="D11013" t="s">
        <v>176</v>
      </c>
      <c r="E11013">
        <v>7729330</v>
      </c>
      <c r="F11013">
        <v>170273</v>
      </c>
      <c r="G11013">
        <v>168499</v>
      </c>
      <c r="H11013">
        <f>_xlfn.XLOOKUP(FACT_IMPORTS[[#This Row],[hts_6]],DIM_PRODUCTS[hts_6],DIM_PRODUCTS[hts_4],,,)</f>
        <v>8413</v>
      </c>
      <c r="I11013" t="str" cm="1">
        <f t="array" ref="I11013">_xlfn.XLOOKUP(FACT_IMPORTS[[#This Row],[country_name]],DIM_COUNTRY[[#All],[Column2]],DIM_COUNTRY[[#All],[Column3]],,,)</f>
        <v>Major_Non-USMCA_Non-China</v>
      </c>
    </row>
    <row r="11014" spans="1:9" x14ac:dyDescent="0.4">
      <c r="A11014" t="s">
        <v>73</v>
      </c>
      <c r="B11014" s="1">
        <v>45017</v>
      </c>
      <c r="C11014">
        <v>842132</v>
      </c>
      <c r="D11014" t="s">
        <v>176</v>
      </c>
      <c r="E11014">
        <v>113963</v>
      </c>
      <c r="F11014">
        <v>67</v>
      </c>
      <c r="G11014">
        <v>236</v>
      </c>
      <c r="H11014">
        <f>_xlfn.XLOOKUP(FACT_IMPORTS[[#This Row],[hts_6]],DIM_PRODUCTS[hts_6],DIM_PRODUCTS[hts_4],,,)</f>
        <v>8421</v>
      </c>
      <c r="I11014" t="str" cm="1">
        <f t="array" ref="I11014">_xlfn.XLOOKUP(FACT_IMPORTS[[#This Row],[country_name]],DIM_COUNTRY[[#All],[Column2]],DIM_COUNTRY[[#All],[Column3]],,,)</f>
        <v>Major_Non-USMCA_Non-China</v>
      </c>
    </row>
    <row r="11015" spans="1:9" x14ac:dyDescent="0.4">
      <c r="A11015" t="s">
        <v>73</v>
      </c>
      <c r="B11015" s="1">
        <v>45017</v>
      </c>
      <c r="C11015">
        <v>848210</v>
      </c>
      <c r="D11015" t="s">
        <v>176</v>
      </c>
      <c r="E11015">
        <v>83324</v>
      </c>
      <c r="F11015">
        <v>20281</v>
      </c>
      <c r="G11015">
        <v>2227</v>
      </c>
      <c r="H11015">
        <f>_xlfn.XLOOKUP(FACT_IMPORTS[[#This Row],[hts_6]],DIM_PRODUCTS[hts_6],DIM_PRODUCTS[hts_4],,,)</f>
        <v>8482</v>
      </c>
      <c r="I11015" t="str" cm="1">
        <f t="array" ref="I11015">_xlfn.XLOOKUP(FACT_IMPORTS[[#This Row],[country_name]],DIM_COUNTRY[[#All],[Column2]],DIM_COUNTRY[[#All],[Column3]],,,)</f>
        <v>Major_Non-USMCA_Non-China</v>
      </c>
    </row>
    <row r="11016" spans="1:9" x14ac:dyDescent="0.4">
      <c r="A11016" t="s">
        <v>73</v>
      </c>
      <c r="B11016" s="1">
        <v>45017</v>
      </c>
      <c r="C11016">
        <v>848220</v>
      </c>
      <c r="D11016" t="s">
        <v>176</v>
      </c>
      <c r="E11016">
        <v>4084959</v>
      </c>
      <c r="F11016">
        <v>1017629</v>
      </c>
      <c r="G11016">
        <v>847</v>
      </c>
      <c r="H11016">
        <f>_xlfn.XLOOKUP(FACT_IMPORTS[[#This Row],[hts_6]],DIM_PRODUCTS[hts_6],DIM_PRODUCTS[hts_4],,,)</f>
        <v>8482</v>
      </c>
      <c r="I11016" t="str" cm="1">
        <f t="array" ref="I11016">_xlfn.XLOOKUP(FACT_IMPORTS[[#This Row],[country_name]],DIM_COUNTRY[[#All],[Column2]],DIM_COUNTRY[[#All],[Column3]],,,)</f>
        <v>Major_Non-USMCA_Non-China</v>
      </c>
    </row>
    <row r="11017" spans="1:9" x14ac:dyDescent="0.4">
      <c r="A11017" t="s">
        <v>73</v>
      </c>
      <c r="B11017" s="1">
        <v>45017</v>
      </c>
      <c r="C11017">
        <v>848310</v>
      </c>
      <c r="D11017" t="s">
        <v>176</v>
      </c>
      <c r="E11017">
        <v>560971</v>
      </c>
      <c r="F11017">
        <v>16033</v>
      </c>
      <c r="G11017">
        <v>4042</v>
      </c>
      <c r="H11017">
        <f>_xlfn.XLOOKUP(FACT_IMPORTS[[#This Row],[hts_6]],DIM_PRODUCTS[hts_6],DIM_PRODUCTS[hts_4],,,)</f>
        <v>8483</v>
      </c>
      <c r="I11017" t="str" cm="1">
        <f t="array" ref="I11017">_xlfn.XLOOKUP(FACT_IMPORTS[[#This Row],[country_name]],DIM_COUNTRY[[#All],[Column2]],DIM_COUNTRY[[#All],[Column3]],,,)</f>
        <v>Major_Non-USMCA_Non-China</v>
      </c>
    </row>
    <row r="11018" spans="1:9" x14ac:dyDescent="0.4">
      <c r="A11018" t="s">
        <v>73</v>
      </c>
      <c r="B11018" s="1">
        <v>45017</v>
      </c>
      <c r="C11018">
        <v>850131</v>
      </c>
      <c r="D11018" t="s">
        <v>176</v>
      </c>
      <c r="E11018">
        <v>3767375</v>
      </c>
      <c r="F11018">
        <v>185135</v>
      </c>
      <c r="G11018">
        <v>19055</v>
      </c>
      <c r="H11018">
        <f>_xlfn.XLOOKUP(FACT_IMPORTS[[#This Row],[hts_6]],DIM_PRODUCTS[hts_6],DIM_PRODUCTS[hts_4],,,)</f>
        <v>8501</v>
      </c>
      <c r="I11018" t="str" cm="1">
        <f t="array" ref="I11018">_xlfn.XLOOKUP(FACT_IMPORTS[[#This Row],[country_name]],DIM_COUNTRY[[#All],[Column2]],DIM_COUNTRY[[#All],[Column3]],,,)</f>
        <v>Major_Non-USMCA_Non-China</v>
      </c>
    </row>
    <row r="11019" spans="1:9" x14ac:dyDescent="0.4">
      <c r="A11019" t="s">
        <v>73</v>
      </c>
      <c r="B11019" s="1">
        <v>45017</v>
      </c>
      <c r="C11019">
        <v>850132</v>
      </c>
      <c r="D11019" t="s">
        <v>176</v>
      </c>
      <c r="E11019">
        <v>0</v>
      </c>
      <c r="F11019">
        <v>0</v>
      </c>
      <c r="G11019">
        <v>0</v>
      </c>
      <c r="H11019">
        <f>_xlfn.XLOOKUP(FACT_IMPORTS[[#This Row],[hts_6]],DIM_PRODUCTS[hts_6],DIM_PRODUCTS[hts_4],,,)</f>
        <v>8501</v>
      </c>
      <c r="I11019" t="str" cm="1">
        <f t="array" ref="I11019">_xlfn.XLOOKUP(FACT_IMPORTS[[#This Row],[country_name]],DIM_COUNTRY[[#All],[Column2]],DIM_COUNTRY[[#All],[Column3]],,,)</f>
        <v>Major_Non-USMCA_Non-China</v>
      </c>
    </row>
    <row r="11020" spans="1:9" x14ac:dyDescent="0.4">
      <c r="A11020" t="s">
        <v>73</v>
      </c>
      <c r="B11020" s="1">
        <v>45017</v>
      </c>
      <c r="C11020">
        <v>850152</v>
      </c>
      <c r="D11020" t="s">
        <v>176</v>
      </c>
      <c r="E11020">
        <v>22300</v>
      </c>
      <c r="F11020">
        <v>10</v>
      </c>
      <c r="G11020">
        <v>200</v>
      </c>
      <c r="H11020">
        <f>_xlfn.XLOOKUP(FACT_IMPORTS[[#This Row],[hts_6]],DIM_PRODUCTS[hts_6],DIM_PRODUCTS[hts_4],,,)</f>
        <v>8501</v>
      </c>
      <c r="I11020" t="str" cm="1">
        <f t="array" ref="I11020">_xlfn.XLOOKUP(FACT_IMPORTS[[#This Row],[country_name]],DIM_COUNTRY[[#All],[Column2]],DIM_COUNTRY[[#All],[Column3]],,,)</f>
        <v>Major_Non-USMCA_Non-China</v>
      </c>
    </row>
    <row r="11021" spans="1:9" x14ac:dyDescent="0.4">
      <c r="A11021" t="s">
        <v>73</v>
      </c>
      <c r="B11021" s="1">
        <v>45017</v>
      </c>
      <c r="C11021">
        <v>850153</v>
      </c>
      <c r="D11021" t="s">
        <v>176</v>
      </c>
      <c r="E11021">
        <v>9664797</v>
      </c>
      <c r="F11021">
        <v>5414</v>
      </c>
      <c r="G11021">
        <v>5409</v>
      </c>
      <c r="H11021">
        <f>_xlfn.XLOOKUP(FACT_IMPORTS[[#This Row],[hts_6]],DIM_PRODUCTS[hts_6],DIM_PRODUCTS[hts_4],,,)</f>
        <v>8501</v>
      </c>
      <c r="I11021" t="str" cm="1">
        <f t="array" ref="I11021">_xlfn.XLOOKUP(FACT_IMPORTS[[#This Row],[country_name]],DIM_COUNTRY[[#All],[Column2]],DIM_COUNTRY[[#All],[Column3]],,,)</f>
        <v>Major_Non-USMCA_Non-China</v>
      </c>
    </row>
    <row r="11022" spans="1:9" x14ac:dyDescent="0.4">
      <c r="A11022" t="s">
        <v>73</v>
      </c>
      <c r="B11022" s="1">
        <v>45017</v>
      </c>
      <c r="C11022">
        <v>850440</v>
      </c>
      <c r="D11022" t="s">
        <v>176</v>
      </c>
      <c r="E11022">
        <v>10897749</v>
      </c>
      <c r="F11022">
        <v>13129</v>
      </c>
      <c r="G11022">
        <v>3357</v>
      </c>
      <c r="H11022">
        <f>_xlfn.XLOOKUP(FACT_IMPORTS[[#This Row],[hts_6]],DIM_PRODUCTS[hts_6],DIM_PRODUCTS[hts_4],,,)</f>
        <v>8504</v>
      </c>
      <c r="I11022" t="str" cm="1">
        <f t="array" ref="I11022">_xlfn.XLOOKUP(FACT_IMPORTS[[#This Row],[country_name]],DIM_COUNTRY[[#All],[Column2]],DIM_COUNTRY[[#All],[Column3]],,,)</f>
        <v>Major_Non-USMCA_Non-China</v>
      </c>
    </row>
    <row r="11023" spans="1:9" x14ac:dyDescent="0.4">
      <c r="A11023" t="s">
        <v>73</v>
      </c>
      <c r="B11023" s="1">
        <v>45017</v>
      </c>
      <c r="C11023">
        <v>850710</v>
      </c>
      <c r="D11023" t="s">
        <v>176</v>
      </c>
      <c r="E11023">
        <v>230310</v>
      </c>
      <c r="F11023">
        <v>7573</v>
      </c>
      <c r="G11023">
        <v>3005</v>
      </c>
      <c r="H11023">
        <f>_xlfn.XLOOKUP(FACT_IMPORTS[[#This Row],[hts_6]],DIM_PRODUCTS[hts_6],DIM_PRODUCTS[hts_4],,,)</f>
        <v>8507</v>
      </c>
      <c r="I11023" t="str" cm="1">
        <f t="array" ref="I11023">_xlfn.XLOOKUP(FACT_IMPORTS[[#This Row],[country_name]],DIM_COUNTRY[[#All],[Column2]],DIM_COUNTRY[[#All],[Column3]],,,)</f>
        <v>Major_Non-USMCA_Non-China</v>
      </c>
    </row>
    <row r="11024" spans="1:9" x14ac:dyDescent="0.4">
      <c r="A11024" t="s">
        <v>73</v>
      </c>
      <c r="B11024" s="1">
        <v>45017</v>
      </c>
      <c r="C11024">
        <v>850760</v>
      </c>
      <c r="D11024" t="s">
        <v>176</v>
      </c>
      <c r="E11024">
        <v>532258</v>
      </c>
      <c r="F11024">
        <v>162</v>
      </c>
      <c r="G11024">
        <v>14900</v>
      </c>
      <c r="H11024">
        <f>_xlfn.XLOOKUP(FACT_IMPORTS[[#This Row],[hts_6]],DIM_PRODUCTS[hts_6],DIM_PRODUCTS[hts_4],,,)</f>
        <v>8507</v>
      </c>
      <c r="I11024" t="str" cm="1">
        <f t="array" ref="I11024">_xlfn.XLOOKUP(FACT_IMPORTS[[#This Row],[country_name]],DIM_COUNTRY[[#All],[Column2]],DIM_COUNTRY[[#All],[Column3]],,,)</f>
        <v>Major_Non-USMCA_Non-China</v>
      </c>
    </row>
    <row r="11025" spans="1:9" x14ac:dyDescent="0.4">
      <c r="A11025" t="s">
        <v>73</v>
      </c>
      <c r="B11025" s="1">
        <v>45017</v>
      </c>
      <c r="C11025">
        <v>850790</v>
      </c>
      <c r="D11025" t="s">
        <v>176</v>
      </c>
      <c r="E11025">
        <v>1578402</v>
      </c>
      <c r="F11025">
        <v>169148</v>
      </c>
      <c r="G11025">
        <v>46600</v>
      </c>
      <c r="H11025">
        <f>_xlfn.XLOOKUP(FACT_IMPORTS[[#This Row],[hts_6]],DIM_PRODUCTS[hts_6],DIM_PRODUCTS[hts_4],,,)</f>
        <v>8507</v>
      </c>
      <c r="I11025" t="str" cm="1">
        <f t="array" ref="I11025">_xlfn.XLOOKUP(FACT_IMPORTS[[#This Row],[country_name]],DIM_COUNTRY[[#All],[Column2]],DIM_COUNTRY[[#All],[Column3]],,,)</f>
        <v>Major_Non-USMCA_Non-China</v>
      </c>
    </row>
    <row r="11026" spans="1:9" x14ac:dyDescent="0.4">
      <c r="A11026" t="s">
        <v>73</v>
      </c>
      <c r="B11026" s="1">
        <v>45017</v>
      </c>
      <c r="C11026">
        <v>851110</v>
      </c>
      <c r="D11026" t="s">
        <v>176</v>
      </c>
      <c r="E11026">
        <v>0</v>
      </c>
      <c r="F11026">
        <v>0</v>
      </c>
      <c r="G11026">
        <v>0</v>
      </c>
      <c r="H11026">
        <f>_xlfn.XLOOKUP(FACT_IMPORTS[[#This Row],[hts_6]],DIM_PRODUCTS[hts_6],DIM_PRODUCTS[hts_4],,,)</f>
        <v>8511</v>
      </c>
      <c r="I11026" t="str" cm="1">
        <f t="array" ref="I11026">_xlfn.XLOOKUP(FACT_IMPORTS[[#This Row],[country_name]],DIM_COUNTRY[[#All],[Column2]],DIM_COUNTRY[[#All],[Column3]],,,)</f>
        <v>Major_Non-USMCA_Non-China</v>
      </c>
    </row>
    <row r="11027" spans="1:9" x14ac:dyDescent="0.4">
      <c r="A11027" t="s">
        <v>73</v>
      </c>
      <c r="B11027" s="1">
        <v>45017</v>
      </c>
      <c r="C11027">
        <v>851130</v>
      </c>
      <c r="D11027" t="s">
        <v>176</v>
      </c>
      <c r="E11027">
        <v>6136</v>
      </c>
      <c r="F11027">
        <v>98</v>
      </c>
      <c r="G11027">
        <v>65</v>
      </c>
      <c r="H11027">
        <f>_xlfn.XLOOKUP(FACT_IMPORTS[[#This Row],[hts_6]],DIM_PRODUCTS[hts_6],DIM_PRODUCTS[hts_4],,,)</f>
        <v>8511</v>
      </c>
      <c r="I11027" t="str" cm="1">
        <f t="array" ref="I11027">_xlfn.XLOOKUP(FACT_IMPORTS[[#This Row],[country_name]],DIM_COUNTRY[[#All],[Column2]],DIM_COUNTRY[[#All],[Column3]],,,)</f>
        <v>Major_Non-USMCA_Non-China</v>
      </c>
    </row>
    <row r="11028" spans="1:9" x14ac:dyDescent="0.4">
      <c r="A11028" t="s">
        <v>73</v>
      </c>
      <c r="B11028" s="1">
        <v>45017</v>
      </c>
      <c r="C11028">
        <v>851140</v>
      </c>
      <c r="D11028" t="s">
        <v>176</v>
      </c>
      <c r="E11028">
        <v>2161890</v>
      </c>
      <c r="F11028">
        <v>7059</v>
      </c>
      <c r="G11028">
        <v>1207</v>
      </c>
      <c r="H11028">
        <f>_xlfn.XLOOKUP(FACT_IMPORTS[[#This Row],[hts_6]],DIM_PRODUCTS[hts_6],DIM_PRODUCTS[hts_4],,,)</f>
        <v>8511</v>
      </c>
      <c r="I11028" t="str" cm="1">
        <f t="array" ref="I11028">_xlfn.XLOOKUP(FACT_IMPORTS[[#This Row],[country_name]],DIM_COUNTRY[[#All],[Column2]],DIM_COUNTRY[[#All],[Column3]],,,)</f>
        <v>Major_Non-USMCA_Non-China</v>
      </c>
    </row>
    <row r="11029" spans="1:9" x14ac:dyDescent="0.4">
      <c r="A11029" t="s">
        <v>73</v>
      </c>
      <c r="B11029" s="1">
        <v>45017</v>
      </c>
      <c r="C11029">
        <v>851150</v>
      </c>
      <c r="D11029" t="s">
        <v>176</v>
      </c>
      <c r="E11029">
        <v>19218</v>
      </c>
      <c r="F11029">
        <v>144</v>
      </c>
      <c r="G11029">
        <v>81</v>
      </c>
      <c r="H11029">
        <f>_xlfn.XLOOKUP(FACT_IMPORTS[[#This Row],[hts_6]],DIM_PRODUCTS[hts_6],DIM_PRODUCTS[hts_4],,,)</f>
        <v>8511</v>
      </c>
      <c r="I11029" t="str" cm="1">
        <f t="array" ref="I11029">_xlfn.XLOOKUP(FACT_IMPORTS[[#This Row],[country_name]],DIM_COUNTRY[[#All],[Column2]],DIM_COUNTRY[[#All],[Column3]],,,)</f>
        <v>Major_Non-USMCA_Non-China</v>
      </c>
    </row>
    <row r="11030" spans="1:9" x14ac:dyDescent="0.4">
      <c r="A11030" t="s">
        <v>73</v>
      </c>
      <c r="B11030" s="1">
        <v>45017</v>
      </c>
      <c r="C11030">
        <v>851190</v>
      </c>
      <c r="D11030" t="s">
        <v>176</v>
      </c>
      <c r="E11030">
        <v>150523</v>
      </c>
      <c r="F11030">
        <v>16454</v>
      </c>
      <c r="G11030">
        <v>5405</v>
      </c>
      <c r="H11030">
        <f>_xlfn.XLOOKUP(FACT_IMPORTS[[#This Row],[hts_6]],DIM_PRODUCTS[hts_6],DIM_PRODUCTS[hts_4],,,)</f>
        <v>8511</v>
      </c>
      <c r="I11030" t="str" cm="1">
        <f t="array" ref="I11030">_xlfn.XLOOKUP(FACT_IMPORTS[[#This Row],[country_name]],DIM_COUNTRY[[#All],[Column2]],DIM_COUNTRY[[#All],[Column3]],,,)</f>
        <v>Major_Non-USMCA_Non-China</v>
      </c>
    </row>
    <row r="11031" spans="1:9" x14ac:dyDescent="0.4">
      <c r="A11031" t="s">
        <v>73</v>
      </c>
      <c r="B11031" s="1">
        <v>45017</v>
      </c>
      <c r="C11031">
        <v>851220</v>
      </c>
      <c r="D11031" t="s">
        <v>176</v>
      </c>
      <c r="E11031">
        <v>10363800</v>
      </c>
      <c r="F11031">
        <v>672708</v>
      </c>
      <c r="G11031">
        <v>168371</v>
      </c>
      <c r="H11031">
        <f>_xlfn.XLOOKUP(FACT_IMPORTS[[#This Row],[hts_6]],DIM_PRODUCTS[hts_6],DIM_PRODUCTS[hts_4],,,)</f>
        <v>8512</v>
      </c>
      <c r="I11031" t="str" cm="1">
        <f t="array" ref="I11031">_xlfn.XLOOKUP(FACT_IMPORTS[[#This Row],[country_name]],DIM_COUNTRY[[#All],[Column2]],DIM_COUNTRY[[#All],[Column3]],,,)</f>
        <v>Major_Non-USMCA_Non-China</v>
      </c>
    </row>
    <row r="11032" spans="1:9" x14ac:dyDescent="0.4">
      <c r="A11032" t="s">
        <v>73</v>
      </c>
      <c r="B11032" s="1">
        <v>45017</v>
      </c>
      <c r="C11032">
        <v>851240</v>
      </c>
      <c r="D11032" t="s">
        <v>176</v>
      </c>
      <c r="E11032">
        <v>484912</v>
      </c>
      <c r="F11032">
        <v>22316</v>
      </c>
      <c r="G11032">
        <v>20613</v>
      </c>
      <c r="H11032">
        <f>_xlfn.XLOOKUP(FACT_IMPORTS[[#This Row],[hts_6]],DIM_PRODUCTS[hts_6],DIM_PRODUCTS[hts_4],,,)</f>
        <v>8512</v>
      </c>
      <c r="I11032" t="str" cm="1">
        <f t="array" ref="I11032">_xlfn.XLOOKUP(FACT_IMPORTS[[#This Row],[country_name]],DIM_COUNTRY[[#All],[Column2]],DIM_COUNTRY[[#All],[Column3]],,,)</f>
        <v>Major_Non-USMCA_Non-China</v>
      </c>
    </row>
    <row r="11033" spans="1:9" x14ac:dyDescent="0.4">
      <c r="A11033" t="s">
        <v>73</v>
      </c>
      <c r="B11033" s="1">
        <v>45017</v>
      </c>
      <c r="C11033">
        <v>851290</v>
      </c>
      <c r="D11033" t="s">
        <v>176</v>
      </c>
      <c r="E11033">
        <v>1119248</v>
      </c>
      <c r="F11033">
        <v>82133</v>
      </c>
      <c r="G11033">
        <v>41311</v>
      </c>
      <c r="H11033">
        <f>_xlfn.XLOOKUP(FACT_IMPORTS[[#This Row],[hts_6]],DIM_PRODUCTS[hts_6],DIM_PRODUCTS[hts_4],,,)</f>
        <v>8512</v>
      </c>
      <c r="I11033" t="str" cm="1">
        <f t="array" ref="I11033">_xlfn.XLOOKUP(FACT_IMPORTS[[#This Row],[country_name]],DIM_COUNTRY[[#All],[Column2]],DIM_COUNTRY[[#All],[Column3]],,,)</f>
        <v>Major_Non-USMCA_Non-China</v>
      </c>
    </row>
    <row r="11034" spans="1:9" x14ac:dyDescent="0.4">
      <c r="A11034" t="s">
        <v>73</v>
      </c>
      <c r="B11034" s="1">
        <v>45017</v>
      </c>
      <c r="C11034">
        <v>854231</v>
      </c>
      <c r="D11034" t="s">
        <v>176</v>
      </c>
      <c r="E11034">
        <v>0</v>
      </c>
      <c r="F11034">
        <v>0</v>
      </c>
      <c r="G11034">
        <v>0</v>
      </c>
      <c r="H11034">
        <f>_xlfn.XLOOKUP(FACT_IMPORTS[[#This Row],[hts_6]],DIM_PRODUCTS[hts_6],DIM_PRODUCTS[hts_4],,,)</f>
        <v>8542</v>
      </c>
      <c r="I11034" t="str" cm="1">
        <f t="array" ref="I11034">_xlfn.XLOOKUP(FACT_IMPORTS[[#This Row],[country_name]],DIM_COUNTRY[[#All],[Column2]],DIM_COUNTRY[[#All],[Column3]],,,)</f>
        <v>Major_Non-USMCA_Non-China</v>
      </c>
    </row>
    <row r="11035" spans="1:9" x14ac:dyDescent="0.4">
      <c r="A11035" t="s">
        <v>73</v>
      </c>
      <c r="B11035" s="1">
        <v>45017</v>
      </c>
      <c r="C11035">
        <v>854232</v>
      </c>
      <c r="D11035" t="s">
        <v>176</v>
      </c>
      <c r="E11035">
        <v>0</v>
      </c>
      <c r="F11035">
        <v>0</v>
      </c>
      <c r="G11035">
        <v>0</v>
      </c>
      <c r="H11035">
        <f>_xlfn.XLOOKUP(FACT_IMPORTS[[#This Row],[hts_6]],DIM_PRODUCTS[hts_6],DIM_PRODUCTS[hts_4],,,)</f>
        <v>8542</v>
      </c>
      <c r="I11035" t="str" cm="1">
        <f t="array" ref="I11035">_xlfn.XLOOKUP(FACT_IMPORTS[[#This Row],[country_name]],DIM_COUNTRY[[#All],[Column2]],DIM_COUNTRY[[#All],[Column3]],,,)</f>
        <v>Major_Non-USMCA_Non-China</v>
      </c>
    </row>
    <row r="11036" spans="1:9" x14ac:dyDescent="0.4">
      <c r="A11036" t="s">
        <v>73</v>
      </c>
      <c r="B11036" s="1">
        <v>45017</v>
      </c>
      <c r="C11036">
        <v>854239</v>
      </c>
      <c r="D11036" t="s">
        <v>176</v>
      </c>
      <c r="E11036">
        <v>31438</v>
      </c>
      <c r="F11036">
        <v>11</v>
      </c>
      <c r="G11036">
        <v>3146</v>
      </c>
      <c r="H11036">
        <f>_xlfn.XLOOKUP(FACT_IMPORTS[[#This Row],[hts_6]],DIM_PRODUCTS[hts_6],DIM_PRODUCTS[hts_4],,,)</f>
        <v>8542</v>
      </c>
      <c r="I11036" t="str" cm="1">
        <f t="array" ref="I11036">_xlfn.XLOOKUP(FACT_IMPORTS[[#This Row],[country_name]],DIM_COUNTRY[[#All],[Column2]],DIM_COUNTRY[[#All],[Column3]],,,)</f>
        <v>Major_Non-USMCA_Non-China</v>
      </c>
    </row>
    <row r="11037" spans="1:9" x14ac:dyDescent="0.4">
      <c r="A11037" t="s">
        <v>73</v>
      </c>
      <c r="B11037" s="1">
        <v>45017</v>
      </c>
      <c r="C11037">
        <v>854430</v>
      </c>
      <c r="D11037" t="s">
        <v>176</v>
      </c>
      <c r="E11037">
        <v>1708965</v>
      </c>
      <c r="F11037">
        <v>6374</v>
      </c>
      <c r="G11037">
        <v>2108</v>
      </c>
      <c r="H11037">
        <f>_xlfn.XLOOKUP(FACT_IMPORTS[[#This Row],[hts_6]],DIM_PRODUCTS[hts_6],DIM_PRODUCTS[hts_4],,,)</f>
        <v>8544</v>
      </c>
      <c r="I11037" t="str" cm="1">
        <f t="array" ref="I11037">_xlfn.XLOOKUP(FACT_IMPORTS[[#This Row],[country_name]],DIM_COUNTRY[[#All],[Column2]],DIM_COUNTRY[[#All],[Column3]],,,)</f>
        <v>Major_Non-USMCA_Non-China</v>
      </c>
    </row>
    <row r="11038" spans="1:9" x14ac:dyDescent="0.4">
      <c r="A11038" t="s">
        <v>73</v>
      </c>
      <c r="B11038" s="1">
        <v>45017</v>
      </c>
      <c r="C11038">
        <v>870810</v>
      </c>
      <c r="D11038" t="s">
        <v>176</v>
      </c>
      <c r="E11038">
        <v>828526</v>
      </c>
      <c r="F11038">
        <v>223327</v>
      </c>
      <c r="G11038">
        <v>5375</v>
      </c>
      <c r="H11038">
        <f>_xlfn.XLOOKUP(FACT_IMPORTS[[#This Row],[hts_6]],DIM_PRODUCTS[hts_6],DIM_PRODUCTS[hts_4],,,)</f>
        <v>8708</v>
      </c>
      <c r="I11038" t="str" cm="1">
        <f t="array" ref="I11038">_xlfn.XLOOKUP(FACT_IMPORTS[[#This Row],[country_name]],DIM_COUNTRY[[#All],[Column2]],DIM_COUNTRY[[#All],[Column3]],,,)</f>
        <v>Major_Non-USMCA_Non-China</v>
      </c>
    </row>
    <row r="11039" spans="1:9" x14ac:dyDescent="0.4">
      <c r="A11039" t="s">
        <v>73</v>
      </c>
      <c r="B11039" s="1">
        <v>45017</v>
      </c>
      <c r="C11039">
        <v>870821</v>
      </c>
      <c r="D11039" t="s">
        <v>176</v>
      </c>
      <c r="E11039">
        <v>0</v>
      </c>
      <c r="F11039">
        <v>0</v>
      </c>
      <c r="G11039">
        <v>0</v>
      </c>
      <c r="H11039">
        <f>_xlfn.XLOOKUP(FACT_IMPORTS[[#This Row],[hts_6]],DIM_PRODUCTS[hts_6],DIM_PRODUCTS[hts_4],,,)</f>
        <v>8708</v>
      </c>
      <c r="I11039" t="str" cm="1">
        <f t="array" ref="I11039">_xlfn.XLOOKUP(FACT_IMPORTS[[#This Row],[country_name]],DIM_COUNTRY[[#All],[Column2]],DIM_COUNTRY[[#All],[Column3]],,,)</f>
        <v>Major_Non-USMCA_Non-China</v>
      </c>
    </row>
    <row r="11040" spans="1:9" x14ac:dyDescent="0.4">
      <c r="A11040" t="s">
        <v>73</v>
      </c>
      <c r="B11040" s="1">
        <v>45017</v>
      </c>
      <c r="C11040">
        <v>870822</v>
      </c>
      <c r="D11040" t="s">
        <v>176</v>
      </c>
      <c r="E11040">
        <v>8082</v>
      </c>
      <c r="F11040">
        <v>55</v>
      </c>
      <c r="G11040">
        <v>5</v>
      </c>
      <c r="H11040">
        <f>_xlfn.XLOOKUP(FACT_IMPORTS[[#This Row],[hts_6]],DIM_PRODUCTS[hts_6],DIM_PRODUCTS[hts_4],,,)</f>
        <v>8708</v>
      </c>
      <c r="I11040" t="str" cm="1">
        <f t="array" ref="I11040">_xlfn.XLOOKUP(FACT_IMPORTS[[#This Row],[country_name]],DIM_COUNTRY[[#All],[Column2]],DIM_COUNTRY[[#All],[Column3]],,,)</f>
        <v>Major_Non-USMCA_Non-China</v>
      </c>
    </row>
    <row r="11041" spans="1:9" x14ac:dyDescent="0.4">
      <c r="A11041" t="s">
        <v>73</v>
      </c>
      <c r="B11041" s="1">
        <v>45017</v>
      </c>
      <c r="C11041">
        <v>870829</v>
      </c>
      <c r="D11041" t="s">
        <v>176</v>
      </c>
      <c r="E11041">
        <v>6943718</v>
      </c>
      <c r="F11041">
        <v>3475839</v>
      </c>
      <c r="G11041">
        <v>334046</v>
      </c>
      <c r="H11041">
        <f>_xlfn.XLOOKUP(FACT_IMPORTS[[#This Row],[hts_6]],DIM_PRODUCTS[hts_6],DIM_PRODUCTS[hts_4],,,)</f>
        <v>8708</v>
      </c>
      <c r="I11041" t="str" cm="1">
        <f t="array" ref="I11041">_xlfn.XLOOKUP(FACT_IMPORTS[[#This Row],[country_name]],DIM_COUNTRY[[#All],[Column2]],DIM_COUNTRY[[#All],[Column3]],,,)</f>
        <v>Major_Non-USMCA_Non-China</v>
      </c>
    </row>
    <row r="11042" spans="1:9" x14ac:dyDescent="0.4">
      <c r="A11042" t="s">
        <v>73</v>
      </c>
      <c r="B11042" s="1">
        <v>45017</v>
      </c>
      <c r="C11042">
        <v>870830</v>
      </c>
      <c r="D11042" t="s">
        <v>176</v>
      </c>
      <c r="E11042">
        <v>502088</v>
      </c>
      <c r="F11042">
        <v>25647</v>
      </c>
      <c r="G11042">
        <v>12800</v>
      </c>
      <c r="H11042">
        <f>_xlfn.XLOOKUP(FACT_IMPORTS[[#This Row],[hts_6]],DIM_PRODUCTS[hts_6],DIM_PRODUCTS[hts_4],,,)</f>
        <v>8708</v>
      </c>
      <c r="I11042" t="str" cm="1">
        <f t="array" ref="I11042">_xlfn.XLOOKUP(FACT_IMPORTS[[#This Row],[country_name]],DIM_COUNTRY[[#All],[Column2]],DIM_COUNTRY[[#All],[Column3]],,,)</f>
        <v>Major_Non-USMCA_Non-China</v>
      </c>
    </row>
    <row r="11043" spans="1:9" x14ac:dyDescent="0.4">
      <c r="A11043" t="s">
        <v>73</v>
      </c>
      <c r="B11043" s="1">
        <v>45017</v>
      </c>
      <c r="C11043">
        <v>870840</v>
      </c>
      <c r="D11043" t="s">
        <v>176</v>
      </c>
      <c r="E11043">
        <v>4212370</v>
      </c>
      <c r="F11043">
        <v>425202</v>
      </c>
      <c r="G11043">
        <v>59300</v>
      </c>
      <c r="H11043">
        <f>_xlfn.XLOOKUP(FACT_IMPORTS[[#This Row],[hts_6]],DIM_PRODUCTS[hts_6],DIM_PRODUCTS[hts_4],,,)</f>
        <v>8708</v>
      </c>
      <c r="I11043" t="str" cm="1">
        <f t="array" ref="I11043">_xlfn.XLOOKUP(FACT_IMPORTS[[#This Row],[country_name]],DIM_COUNTRY[[#All],[Column2]],DIM_COUNTRY[[#All],[Column3]],,,)</f>
        <v>Major_Non-USMCA_Non-China</v>
      </c>
    </row>
    <row r="11044" spans="1:9" x14ac:dyDescent="0.4">
      <c r="A11044" t="s">
        <v>73</v>
      </c>
      <c r="B11044" s="1">
        <v>45017</v>
      </c>
      <c r="C11044">
        <v>870850</v>
      </c>
      <c r="D11044" t="s">
        <v>176</v>
      </c>
      <c r="E11044">
        <v>24355190</v>
      </c>
      <c r="F11044">
        <v>1707211</v>
      </c>
      <c r="G11044">
        <v>778999</v>
      </c>
      <c r="H11044">
        <f>_xlfn.XLOOKUP(FACT_IMPORTS[[#This Row],[hts_6]],DIM_PRODUCTS[hts_6],DIM_PRODUCTS[hts_4],,,)</f>
        <v>8708</v>
      </c>
      <c r="I11044" t="str" cm="1">
        <f t="array" ref="I11044">_xlfn.XLOOKUP(FACT_IMPORTS[[#This Row],[country_name]],DIM_COUNTRY[[#All],[Column2]],DIM_COUNTRY[[#All],[Column3]],,,)</f>
        <v>Major_Non-USMCA_Non-China</v>
      </c>
    </row>
    <row r="11045" spans="1:9" x14ac:dyDescent="0.4">
      <c r="A11045" t="s">
        <v>73</v>
      </c>
      <c r="B11045" s="1">
        <v>45017</v>
      </c>
      <c r="C11045">
        <v>870870</v>
      </c>
      <c r="D11045" t="s">
        <v>176</v>
      </c>
      <c r="E11045">
        <v>1823909</v>
      </c>
      <c r="F11045">
        <v>61939</v>
      </c>
      <c r="G11045">
        <v>53769</v>
      </c>
      <c r="H11045">
        <f>_xlfn.XLOOKUP(FACT_IMPORTS[[#This Row],[hts_6]],DIM_PRODUCTS[hts_6],DIM_PRODUCTS[hts_4],,,)</f>
        <v>8708</v>
      </c>
      <c r="I11045" t="str" cm="1">
        <f t="array" ref="I11045">_xlfn.XLOOKUP(FACT_IMPORTS[[#This Row],[country_name]],DIM_COUNTRY[[#All],[Column2]],DIM_COUNTRY[[#All],[Column3]],,,)</f>
        <v>Major_Non-USMCA_Non-China</v>
      </c>
    </row>
    <row r="11046" spans="1:9" x14ac:dyDescent="0.4">
      <c r="A11046" t="s">
        <v>73</v>
      </c>
      <c r="B11046" s="1">
        <v>45017</v>
      </c>
      <c r="C11046">
        <v>870880</v>
      </c>
      <c r="D11046" t="s">
        <v>176</v>
      </c>
      <c r="E11046">
        <v>4774593</v>
      </c>
      <c r="F11046">
        <v>1213958</v>
      </c>
      <c r="G11046">
        <v>137340</v>
      </c>
      <c r="H11046">
        <f>_xlfn.XLOOKUP(FACT_IMPORTS[[#This Row],[hts_6]],DIM_PRODUCTS[hts_6],DIM_PRODUCTS[hts_4],,,)</f>
        <v>8708</v>
      </c>
      <c r="I11046" t="str" cm="1">
        <f t="array" ref="I11046">_xlfn.XLOOKUP(FACT_IMPORTS[[#This Row],[country_name]],DIM_COUNTRY[[#All],[Column2]],DIM_COUNTRY[[#All],[Column3]],,,)</f>
        <v>Major_Non-USMCA_Non-China</v>
      </c>
    </row>
    <row r="11047" spans="1:9" x14ac:dyDescent="0.4">
      <c r="A11047" t="s">
        <v>73</v>
      </c>
      <c r="B11047" s="1">
        <v>45017</v>
      </c>
      <c r="C11047">
        <v>870891</v>
      </c>
      <c r="D11047" t="s">
        <v>176</v>
      </c>
      <c r="E11047">
        <v>67303</v>
      </c>
      <c r="F11047">
        <v>3314</v>
      </c>
      <c r="G11047">
        <v>287</v>
      </c>
      <c r="H11047">
        <f>_xlfn.XLOOKUP(FACT_IMPORTS[[#This Row],[hts_6]],DIM_PRODUCTS[hts_6],DIM_PRODUCTS[hts_4],,,)</f>
        <v>8708</v>
      </c>
      <c r="I11047" t="str" cm="1">
        <f t="array" ref="I11047">_xlfn.XLOOKUP(FACT_IMPORTS[[#This Row],[country_name]],DIM_COUNTRY[[#All],[Column2]],DIM_COUNTRY[[#All],[Column3]],,,)</f>
        <v>Major_Non-USMCA_Non-China</v>
      </c>
    </row>
    <row r="11048" spans="1:9" x14ac:dyDescent="0.4">
      <c r="A11048" t="s">
        <v>73</v>
      </c>
      <c r="B11048" s="1">
        <v>45017</v>
      </c>
      <c r="C11048">
        <v>870892</v>
      </c>
      <c r="D11048" t="s">
        <v>176</v>
      </c>
      <c r="E11048">
        <v>23154</v>
      </c>
      <c r="F11048">
        <v>96</v>
      </c>
      <c r="G11048">
        <v>43</v>
      </c>
      <c r="H11048">
        <f>_xlfn.XLOOKUP(FACT_IMPORTS[[#This Row],[hts_6]],DIM_PRODUCTS[hts_6],DIM_PRODUCTS[hts_4],,,)</f>
        <v>8708</v>
      </c>
      <c r="I11048" t="str" cm="1">
        <f t="array" ref="I11048">_xlfn.XLOOKUP(FACT_IMPORTS[[#This Row],[country_name]],DIM_COUNTRY[[#All],[Column2]],DIM_COUNTRY[[#All],[Column3]],,,)</f>
        <v>Major_Non-USMCA_Non-China</v>
      </c>
    </row>
    <row r="11049" spans="1:9" x14ac:dyDescent="0.4">
      <c r="A11049" t="s">
        <v>73</v>
      </c>
      <c r="B11049" s="1">
        <v>45017</v>
      </c>
      <c r="C11049">
        <v>870893</v>
      </c>
      <c r="D11049" t="s">
        <v>176</v>
      </c>
      <c r="E11049">
        <v>1188158</v>
      </c>
      <c r="F11049">
        <v>187835</v>
      </c>
      <c r="G11049">
        <v>11213</v>
      </c>
      <c r="H11049">
        <f>_xlfn.XLOOKUP(FACT_IMPORTS[[#This Row],[hts_6]],DIM_PRODUCTS[hts_6],DIM_PRODUCTS[hts_4],,,)</f>
        <v>8708</v>
      </c>
      <c r="I11049" t="str" cm="1">
        <f t="array" ref="I11049">_xlfn.XLOOKUP(FACT_IMPORTS[[#This Row],[country_name]],DIM_COUNTRY[[#All],[Column2]],DIM_COUNTRY[[#All],[Column3]],,,)</f>
        <v>Major_Non-USMCA_Non-China</v>
      </c>
    </row>
    <row r="11050" spans="1:9" x14ac:dyDescent="0.4">
      <c r="A11050" t="s">
        <v>73</v>
      </c>
      <c r="B11050" s="1">
        <v>45017</v>
      </c>
      <c r="C11050">
        <v>870894</v>
      </c>
      <c r="D11050" t="s">
        <v>176</v>
      </c>
      <c r="E11050">
        <v>1607844</v>
      </c>
      <c r="F11050">
        <v>184197</v>
      </c>
      <c r="G11050">
        <v>3169</v>
      </c>
      <c r="H11050">
        <f>_xlfn.XLOOKUP(FACT_IMPORTS[[#This Row],[hts_6]],DIM_PRODUCTS[hts_6],DIM_PRODUCTS[hts_4],,,)</f>
        <v>8708</v>
      </c>
      <c r="I11050" t="str" cm="1">
        <f t="array" ref="I11050">_xlfn.XLOOKUP(FACT_IMPORTS[[#This Row],[country_name]],DIM_COUNTRY[[#All],[Column2]],DIM_COUNTRY[[#All],[Column3]],,,)</f>
        <v>Major_Non-USMCA_Non-China</v>
      </c>
    </row>
    <row r="11051" spans="1:9" x14ac:dyDescent="0.4">
      <c r="A11051" t="s">
        <v>73</v>
      </c>
      <c r="B11051" s="1">
        <v>45017</v>
      </c>
      <c r="C11051">
        <v>870895</v>
      </c>
      <c r="D11051" t="s">
        <v>176</v>
      </c>
      <c r="E11051">
        <v>0</v>
      </c>
      <c r="F11051">
        <v>0</v>
      </c>
      <c r="G11051">
        <v>0</v>
      </c>
      <c r="H11051">
        <f>_xlfn.XLOOKUP(FACT_IMPORTS[[#This Row],[hts_6]],DIM_PRODUCTS[hts_6],DIM_PRODUCTS[hts_4],,,)</f>
        <v>8708</v>
      </c>
      <c r="I11051" t="str" cm="1">
        <f t="array" ref="I11051">_xlfn.XLOOKUP(FACT_IMPORTS[[#This Row],[country_name]],DIM_COUNTRY[[#All],[Column2]],DIM_COUNTRY[[#All],[Column3]],,,)</f>
        <v>Major_Non-USMCA_Non-China</v>
      </c>
    </row>
    <row r="11052" spans="1:9" x14ac:dyDescent="0.4">
      <c r="A11052" t="s">
        <v>73</v>
      </c>
      <c r="B11052" s="1">
        <v>45017</v>
      </c>
      <c r="C11052">
        <v>870899</v>
      </c>
      <c r="D11052" t="s">
        <v>176</v>
      </c>
      <c r="E11052">
        <v>32409637</v>
      </c>
      <c r="F11052">
        <v>5166720</v>
      </c>
      <c r="G11052">
        <v>747305</v>
      </c>
      <c r="H11052">
        <f>_xlfn.XLOOKUP(FACT_IMPORTS[[#This Row],[hts_6]],DIM_PRODUCTS[hts_6],DIM_PRODUCTS[hts_4],,,)</f>
        <v>8708</v>
      </c>
      <c r="I11052" t="str" cm="1">
        <f t="array" ref="I11052">_xlfn.XLOOKUP(FACT_IMPORTS[[#This Row],[country_name]],DIM_COUNTRY[[#All],[Column2]],DIM_COUNTRY[[#All],[Column3]],,,)</f>
        <v>Major_Non-USMCA_Non-China</v>
      </c>
    </row>
    <row r="11053" spans="1:9" x14ac:dyDescent="0.4">
      <c r="A11053" t="s">
        <v>73</v>
      </c>
      <c r="B11053" s="1">
        <v>45017</v>
      </c>
      <c r="C11053">
        <v>940120</v>
      </c>
      <c r="D11053" t="s">
        <v>176</v>
      </c>
      <c r="E11053">
        <v>0</v>
      </c>
      <c r="F11053">
        <v>0</v>
      </c>
      <c r="G11053">
        <v>0</v>
      </c>
      <c r="H11053">
        <f>_xlfn.XLOOKUP(FACT_IMPORTS[[#This Row],[hts_6]],DIM_PRODUCTS[hts_6],DIM_PRODUCTS[hts_4],,,)</f>
        <v>9401</v>
      </c>
      <c r="I11053" t="str" cm="1">
        <f t="array" ref="I11053">_xlfn.XLOOKUP(FACT_IMPORTS[[#This Row],[country_name]],DIM_COUNTRY[[#All],[Column2]],DIM_COUNTRY[[#All],[Column3]],,,)</f>
        <v>Major_Non-USMCA_Non-China</v>
      </c>
    </row>
    <row r="11054" spans="1:9" x14ac:dyDescent="0.4">
      <c r="A11054" t="s">
        <v>73</v>
      </c>
      <c r="B11054" s="1">
        <v>45047</v>
      </c>
      <c r="C11054">
        <v>392630</v>
      </c>
      <c r="D11054" t="s">
        <v>176</v>
      </c>
      <c r="E11054">
        <v>249948</v>
      </c>
      <c r="F11054">
        <v>12191</v>
      </c>
      <c r="G11054">
        <v>8540</v>
      </c>
      <c r="H11054">
        <f>_xlfn.XLOOKUP(FACT_IMPORTS[[#This Row],[hts_6]],DIM_PRODUCTS[hts_6],DIM_PRODUCTS[hts_4],,,)</f>
        <v>3926</v>
      </c>
      <c r="I11054" t="str" cm="1">
        <f t="array" ref="I11054">_xlfn.XLOOKUP(FACT_IMPORTS[[#This Row],[country_name]],DIM_COUNTRY[[#All],[Column2]],DIM_COUNTRY[[#All],[Column3]],,,)</f>
        <v>Major_Non-USMCA_Non-China</v>
      </c>
    </row>
    <row r="11055" spans="1:9" x14ac:dyDescent="0.4">
      <c r="A11055" t="s">
        <v>73</v>
      </c>
      <c r="B11055" s="1">
        <v>45047</v>
      </c>
      <c r="C11055">
        <v>401110</v>
      </c>
      <c r="D11055" t="s">
        <v>176</v>
      </c>
      <c r="E11055">
        <v>8157733</v>
      </c>
      <c r="F11055">
        <v>131864</v>
      </c>
      <c r="G11055">
        <v>1471692</v>
      </c>
      <c r="H11055">
        <f>_xlfn.XLOOKUP(FACT_IMPORTS[[#This Row],[hts_6]],DIM_PRODUCTS[hts_6],DIM_PRODUCTS[hts_4],,,)</f>
        <v>4011</v>
      </c>
      <c r="I11055" t="str" cm="1">
        <f t="array" ref="I11055">_xlfn.XLOOKUP(FACT_IMPORTS[[#This Row],[country_name]],DIM_COUNTRY[[#All],[Column2]],DIM_COUNTRY[[#All],[Column3]],,,)</f>
        <v>Major_Non-USMCA_Non-China</v>
      </c>
    </row>
    <row r="11056" spans="1:9" x14ac:dyDescent="0.4">
      <c r="A11056" t="s">
        <v>73</v>
      </c>
      <c r="B11056" s="1">
        <v>45047</v>
      </c>
      <c r="C11056">
        <v>401120</v>
      </c>
      <c r="D11056" t="s">
        <v>176</v>
      </c>
      <c r="E11056">
        <v>266731</v>
      </c>
      <c r="F11056">
        <v>3383</v>
      </c>
      <c r="G11056">
        <v>42249</v>
      </c>
      <c r="H11056">
        <f>_xlfn.XLOOKUP(FACT_IMPORTS[[#This Row],[hts_6]],DIM_PRODUCTS[hts_6],DIM_PRODUCTS[hts_4],,,)</f>
        <v>4011</v>
      </c>
      <c r="I11056" t="str" cm="1">
        <f t="array" ref="I11056">_xlfn.XLOOKUP(FACT_IMPORTS[[#This Row],[country_name]],DIM_COUNTRY[[#All],[Column2]],DIM_COUNTRY[[#All],[Column3]],,,)</f>
        <v>Major_Non-USMCA_Non-China</v>
      </c>
    </row>
    <row r="11057" spans="1:9" x14ac:dyDescent="0.4">
      <c r="A11057" t="s">
        <v>73</v>
      </c>
      <c r="B11057" s="1">
        <v>45047</v>
      </c>
      <c r="C11057">
        <v>401190</v>
      </c>
      <c r="D11057" t="s">
        <v>176</v>
      </c>
      <c r="E11057">
        <v>0</v>
      </c>
      <c r="F11057">
        <v>0</v>
      </c>
      <c r="G11057">
        <v>0</v>
      </c>
      <c r="H11057">
        <f>_xlfn.XLOOKUP(FACT_IMPORTS[[#This Row],[hts_6]],DIM_PRODUCTS[hts_6],DIM_PRODUCTS[hts_4],,,)</f>
        <v>4011</v>
      </c>
      <c r="I11057" t="str" cm="1">
        <f t="array" ref="I11057">_xlfn.XLOOKUP(FACT_IMPORTS[[#This Row],[country_name]],DIM_COUNTRY[[#All],[Column2]],DIM_COUNTRY[[#All],[Column3]],,,)</f>
        <v>Major_Non-USMCA_Non-China</v>
      </c>
    </row>
    <row r="11058" spans="1:9" x14ac:dyDescent="0.4">
      <c r="A11058" t="s">
        <v>73</v>
      </c>
      <c r="B11058" s="1">
        <v>45047</v>
      </c>
      <c r="C11058">
        <v>700910</v>
      </c>
      <c r="D11058" t="s">
        <v>176</v>
      </c>
      <c r="E11058">
        <v>259218</v>
      </c>
      <c r="F11058">
        <v>7330</v>
      </c>
      <c r="G11058">
        <v>20059</v>
      </c>
      <c r="H11058">
        <f>_xlfn.XLOOKUP(FACT_IMPORTS[[#This Row],[hts_6]],DIM_PRODUCTS[hts_6],DIM_PRODUCTS[hts_4],,,)</f>
        <v>7009</v>
      </c>
      <c r="I11058" t="str" cm="1">
        <f t="array" ref="I11058">_xlfn.XLOOKUP(FACT_IMPORTS[[#This Row],[country_name]],DIM_COUNTRY[[#All],[Column2]],DIM_COUNTRY[[#All],[Column3]],,,)</f>
        <v>Major_Non-USMCA_Non-China</v>
      </c>
    </row>
    <row r="11059" spans="1:9" x14ac:dyDescent="0.4">
      <c r="A11059" t="s">
        <v>73</v>
      </c>
      <c r="B11059" s="1">
        <v>45047</v>
      </c>
      <c r="C11059">
        <v>830230</v>
      </c>
      <c r="D11059" t="s">
        <v>176</v>
      </c>
      <c r="E11059">
        <v>2542703</v>
      </c>
      <c r="F11059">
        <v>399287</v>
      </c>
      <c r="G11059">
        <v>54515</v>
      </c>
      <c r="H11059">
        <f>_xlfn.XLOOKUP(FACT_IMPORTS[[#This Row],[hts_6]],DIM_PRODUCTS[hts_6],DIM_PRODUCTS[hts_4],,,)</f>
        <v>8302</v>
      </c>
      <c r="I11059" t="str" cm="1">
        <f t="array" ref="I11059">_xlfn.XLOOKUP(FACT_IMPORTS[[#This Row],[country_name]],DIM_COUNTRY[[#All],[Column2]],DIM_COUNTRY[[#All],[Column3]],,,)</f>
        <v>Major_Non-USMCA_Non-China</v>
      </c>
    </row>
    <row r="11060" spans="1:9" x14ac:dyDescent="0.4">
      <c r="A11060" t="s">
        <v>73</v>
      </c>
      <c r="B11060" s="1">
        <v>45047</v>
      </c>
      <c r="C11060">
        <v>840734</v>
      </c>
      <c r="D11060" t="s">
        <v>176</v>
      </c>
      <c r="E11060">
        <v>119342</v>
      </c>
      <c r="F11060">
        <v>18</v>
      </c>
      <c r="G11060">
        <v>183</v>
      </c>
      <c r="H11060">
        <f>_xlfn.XLOOKUP(FACT_IMPORTS[[#This Row],[hts_6]],DIM_PRODUCTS[hts_6],DIM_PRODUCTS[hts_4],,,)</f>
        <v>8407</v>
      </c>
      <c r="I11060" t="str" cm="1">
        <f t="array" ref="I11060">_xlfn.XLOOKUP(FACT_IMPORTS[[#This Row],[country_name]],DIM_COUNTRY[[#All],[Column2]],DIM_COUNTRY[[#All],[Column3]],,,)</f>
        <v>Major_Non-USMCA_Non-China</v>
      </c>
    </row>
    <row r="11061" spans="1:9" x14ac:dyDescent="0.4">
      <c r="A11061" t="s">
        <v>73</v>
      </c>
      <c r="B11061" s="1">
        <v>45047</v>
      </c>
      <c r="C11061">
        <v>840820</v>
      </c>
      <c r="D11061" t="s">
        <v>176</v>
      </c>
      <c r="E11061">
        <v>2550</v>
      </c>
      <c r="F11061">
        <v>1</v>
      </c>
      <c r="G11061">
        <v>1000</v>
      </c>
      <c r="H11061">
        <f>_xlfn.XLOOKUP(FACT_IMPORTS[[#This Row],[hts_6]],DIM_PRODUCTS[hts_6],DIM_PRODUCTS[hts_4],,,)</f>
        <v>8408</v>
      </c>
      <c r="I11061" t="str" cm="1">
        <f t="array" ref="I11061">_xlfn.XLOOKUP(FACT_IMPORTS[[#This Row],[country_name]],DIM_COUNTRY[[#All],[Column2]],DIM_COUNTRY[[#All],[Column3]],,,)</f>
        <v>Major_Non-USMCA_Non-China</v>
      </c>
    </row>
    <row r="11062" spans="1:9" x14ac:dyDescent="0.4">
      <c r="A11062" t="s">
        <v>73</v>
      </c>
      <c r="B11062" s="1">
        <v>45047</v>
      </c>
      <c r="C11062">
        <v>840890</v>
      </c>
      <c r="D11062" t="s">
        <v>176</v>
      </c>
      <c r="E11062">
        <v>6075</v>
      </c>
      <c r="F11062">
        <v>1</v>
      </c>
      <c r="G11062">
        <v>250</v>
      </c>
      <c r="H11062">
        <f>_xlfn.XLOOKUP(FACT_IMPORTS[[#This Row],[hts_6]],DIM_PRODUCTS[hts_6],DIM_PRODUCTS[hts_4],,,)</f>
        <v>8408</v>
      </c>
      <c r="I11062" t="str" cm="1">
        <f t="array" ref="I11062">_xlfn.XLOOKUP(FACT_IMPORTS[[#This Row],[country_name]],DIM_COUNTRY[[#All],[Column2]],DIM_COUNTRY[[#All],[Column3]],,,)</f>
        <v>Major_Non-USMCA_Non-China</v>
      </c>
    </row>
    <row r="11063" spans="1:9" x14ac:dyDescent="0.4">
      <c r="A11063" t="s">
        <v>73</v>
      </c>
      <c r="B11063" s="1">
        <v>45047</v>
      </c>
      <c r="C11063">
        <v>840991</v>
      </c>
      <c r="D11063" t="s">
        <v>176</v>
      </c>
      <c r="E11063">
        <v>8484861</v>
      </c>
      <c r="F11063">
        <v>785279</v>
      </c>
      <c r="G11063">
        <v>193418</v>
      </c>
      <c r="H11063">
        <f>_xlfn.XLOOKUP(FACT_IMPORTS[[#This Row],[hts_6]],DIM_PRODUCTS[hts_6],DIM_PRODUCTS[hts_4],,,)</f>
        <v>8409</v>
      </c>
      <c r="I11063" t="str" cm="1">
        <f t="array" ref="I11063">_xlfn.XLOOKUP(FACT_IMPORTS[[#This Row],[country_name]],DIM_COUNTRY[[#All],[Column2]],DIM_COUNTRY[[#All],[Column3]],,,)</f>
        <v>Major_Non-USMCA_Non-China</v>
      </c>
    </row>
    <row r="11064" spans="1:9" x14ac:dyDescent="0.4">
      <c r="A11064" t="s">
        <v>73</v>
      </c>
      <c r="B11064" s="1">
        <v>45047</v>
      </c>
      <c r="C11064">
        <v>840999</v>
      </c>
      <c r="D11064" t="s">
        <v>176</v>
      </c>
      <c r="E11064">
        <v>2785105</v>
      </c>
      <c r="F11064">
        <v>191278</v>
      </c>
      <c r="G11064">
        <v>23536</v>
      </c>
      <c r="H11064">
        <f>_xlfn.XLOOKUP(FACT_IMPORTS[[#This Row],[hts_6]],DIM_PRODUCTS[hts_6],DIM_PRODUCTS[hts_4],,,)</f>
        <v>8409</v>
      </c>
      <c r="I11064" t="str" cm="1">
        <f t="array" ref="I11064">_xlfn.XLOOKUP(FACT_IMPORTS[[#This Row],[country_name]],DIM_COUNTRY[[#All],[Column2]],DIM_COUNTRY[[#All],[Column3]],,,)</f>
        <v>Major_Non-USMCA_Non-China</v>
      </c>
    </row>
    <row r="11065" spans="1:9" x14ac:dyDescent="0.4">
      <c r="A11065" t="s">
        <v>73</v>
      </c>
      <c r="B11065" s="1">
        <v>45047</v>
      </c>
      <c r="C11065">
        <v>841330</v>
      </c>
      <c r="D11065" t="s">
        <v>176</v>
      </c>
      <c r="E11065">
        <v>8773342</v>
      </c>
      <c r="F11065">
        <v>216935</v>
      </c>
      <c r="G11065">
        <v>191810</v>
      </c>
      <c r="H11065">
        <f>_xlfn.XLOOKUP(FACT_IMPORTS[[#This Row],[hts_6]],DIM_PRODUCTS[hts_6],DIM_PRODUCTS[hts_4],,,)</f>
        <v>8413</v>
      </c>
      <c r="I11065" t="str" cm="1">
        <f t="array" ref="I11065">_xlfn.XLOOKUP(FACT_IMPORTS[[#This Row],[country_name]],DIM_COUNTRY[[#All],[Column2]],DIM_COUNTRY[[#All],[Column3]],,,)</f>
        <v>Major_Non-USMCA_Non-China</v>
      </c>
    </row>
    <row r="11066" spans="1:9" x14ac:dyDescent="0.4">
      <c r="A11066" t="s">
        <v>73</v>
      </c>
      <c r="B11066" s="1">
        <v>45047</v>
      </c>
      <c r="C11066">
        <v>842132</v>
      </c>
      <c r="D11066" t="s">
        <v>176</v>
      </c>
      <c r="E11066">
        <v>90407</v>
      </c>
      <c r="F11066">
        <v>46</v>
      </c>
      <c r="G11066">
        <v>69</v>
      </c>
      <c r="H11066">
        <f>_xlfn.XLOOKUP(FACT_IMPORTS[[#This Row],[hts_6]],DIM_PRODUCTS[hts_6],DIM_PRODUCTS[hts_4],,,)</f>
        <v>8421</v>
      </c>
      <c r="I11066" t="str" cm="1">
        <f t="array" ref="I11066">_xlfn.XLOOKUP(FACT_IMPORTS[[#This Row],[country_name]],DIM_COUNTRY[[#All],[Column2]],DIM_COUNTRY[[#All],[Column3]],,,)</f>
        <v>Major_Non-USMCA_Non-China</v>
      </c>
    </row>
    <row r="11067" spans="1:9" x14ac:dyDescent="0.4">
      <c r="A11067" t="s">
        <v>73</v>
      </c>
      <c r="B11067" s="1">
        <v>45047</v>
      </c>
      <c r="C11067">
        <v>848210</v>
      </c>
      <c r="D11067" t="s">
        <v>176</v>
      </c>
      <c r="E11067">
        <v>202001</v>
      </c>
      <c r="F11067">
        <v>103078</v>
      </c>
      <c r="G11067">
        <v>785</v>
      </c>
      <c r="H11067">
        <f>_xlfn.XLOOKUP(FACT_IMPORTS[[#This Row],[hts_6]],DIM_PRODUCTS[hts_6],DIM_PRODUCTS[hts_4],,,)</f>
        <v>8482</v>
      </c>
      <c r="I11067" t="str" cm="1">
        <f t="array" ref="I11067">_xlfn.XLOOKUP(FACT_IMPORTS[[#This Row],[country_name]],DIM_COUNTRY[[#All],[Column2]],DIM_COUNTRY[[#All],[Column3]],,,)</f>
        <v>Major_Non-USMCA_Non-China</v>
      </c>
    </row>
    <row r="11068" spans="1:9" x14ac:dyDescent="0.4">
      <c r="A11068" t="s">
        <v>73</v>
      </c>
      <c r="B11068" s="1">
        <v>45047</v>
      </c>
      <c r="C11068">
        <v>848220</v>
      </c>
      <c r="D11068" t="s">
        <v>176</v>
      </c>
      <c r="E11068">
        <v>5569945</v>
      </c>
      <c r="F11068">
        <v>1852986</v>
      </c>
      <c r="G11068">
        <v>69</v>
      </c>
      <c r="H11068">
        <f>_xlfn.XLOOKUP(FACT_IMPORTS[[#This Row],[hts_6]],DIM_PRODUCTS[hts_6],DIM_PRODUCTS[hts_4],,,)</f>
        <v>8482</v>
      </c>
      <c r="I11068" t="str" cm="1">
        <f t="array" ref="I11068">_xlfn.XLOOKUP(FACT_IMPORTS[[#This Row],[country_name]],DIM_COUNTRY[[#All],[Column2]],DIM_COUNTRY[[#All],[Column3]],,,)</f>
        <v>Major_Non-USMCA_Non-China</v>
      </c>
    </row>
    <row r="11069" spans="1:9" x14ac:dyDescent="0.4">
      <c r="A11069" t="s">
        <v>73</v>
      </c>
      <c r="B11069" s="1">
        <v>45047</v>
      </c>
      <c r="C11069">
        <v>848310</v>
      </c>
      <c r="D11069" t="s">
        <v>176</v>
      </c>
      <c r="E11069">
        <v>0</v>
      </c>
      <c r="F11069">
        <v>0</v>
      </c>
      <c r="G11069">
        <v>0</v>
      </c>
      <c r="H11069">
        <f>_xlfn.XLOOKUP(FACT_IMPORTS[[#This Row],[hts_6]],DIM_PRODUCTS[hts_6],DIM_PRODUCTS[hts_4],,,)</f>
        <v>8483</v>
      </c>
      <c r="I11069" t="str" cm="1">
        <f t="array" ref="I11069">_xlfn.XLOOKUP(FACT_IMPORTS[[#This Row],[country_name]],DIM_COUNTRY[[#All],[Column2]],DIM_COUNTRY[[#All],[Column3]],,,)</f>
        <v>Major_Non-USMCA_Non-China</v>
      </c>
    </row>
    <row r="11070" spans="1:9" x14ac:dyDescent="0.4">
      <c r="A11070" t="s">
        <v>73</v>
      </c>
      <c r="B11070" s="1">
        <v>45047</v>
      </c>
      <c r="C11070">
        <v>850131</v>
      </c>
      <c r="D11070" t="s">
        <v>176</v>
      </c>
      <c r="E11070">
        <v>3979097</v>
      </c>
      <c r="F11070">
        <v>120324</v>
      </c>
      <c r="G11070">
        <v>11401</v>
      </c>
      <c r="H11070">
        <f>_xlfn.XLOOKUP(FACT_IMPORTS[[#This Row],[hts_6]],DIM_PRODUCTS[hts_6],DIM_PRODUCTS[hts_4],,,)</f>
        <v>8501</v>
      </c>
      <c r="I11070" t="str" cm="1">
        <f t="array" ref="I11070">_xlfn.XLOOKUP(FACT_IMPORTS[[#This Row],[country_name]],DIM_COUNTRY[[#All],[Column2]],DIM_COUNTRY[[#All],[Column3]],,,)</f>
        <v>Major_Non-USMCA_Non-China</v>
      </c>
    </row>
    <row r="11071" spans="1:9" x14ac:dyDescent="0.4">
      <c r="A11071" t="s">
        <v>73</v>
      </c>
      <c r="B11071" s="1">
        <v>45047</v>
      </c>
      <c r="C11071">
        <v>850132</v>
      </c>
      <c r="D11071" t="s">
        <v>176</v>
      </c>
      <c r="E11071">
        <v>0</v>
      </c>
      <c r="F11071">
        <v>0</v>
      </c>
      <c r="G11071">
        <v>0</v>
      </c>
      <c r="H11071">
        <f>_xlfn.XLOOKUP(FACT_IMPORTS[[#This Row],[hts_6]],DIM_PRODUCTS[hts_6],DIM_PRODUCTS[hts_4],,,)</f>
        <v>8501</v>
      </c>
      <c r="I11071" t="str" cm="1">
        <f t="array" ref="I11071">_xlfn.XLOOKUP(FACT_IMPORTS[[#This Row],[country_name]],DIM_COUNTRY[[#All],[Column2]],DIM_COUNTRY[[#All],[Column3]],,,)</f>
        <v>Major_Non-USMCA_Non-China</v>
      </c>
    </row>
    <row r="11072" spans="1:9" x14ac:dyDescent="0.4">
      <c r="A11072" t="s">
        <v>73</v>
      </c>
      <c r="B11072" s="1">
        <v>45047</v>
      </c>
      <c r="C11072">
        <v>850152</v>
      </c>
      <c r="D11072" t="s">
        <v>176</v>
      </c>
      <c r="E11072">
        <v>0</v>
      </c>
      <c r="F11072">
        <v>0</v>
      </c>
      <c r="G11072">
        <v>0</v>
      </c>
      <c r="H11072">
        <f>_xlfn.XLOOKUP(FACT_IMPORTS[[#This Row],[hts_6]],DIM_PRODUCTS[hts_6],DIM_PRODUCTS[hts_4],,,)</f>
        <v>8501</v>
      </c>
      <c r="I11072" t="str" cm="1">
        <f t="array" ref="I11072">_xlfn.XLOOKUP(FACT_IMPORTS[[#This Row],[country_name]],DIM_COUNTRY[[#All],[Column2]],DIM_COUNTRY[[#All],[Column3]],,,)</f>
        <v>Major_Non-USMCA_Non-China</v>
      </c>
    </row>
    <row r="11073" spans="1:9" x14ac:dyDescent="0.4">
      <c r="A11073" t="s">
        <v>73</v>
      </c>
      <c r="B11073" s="1">
        <v>45047</v>
      </c>
      <c r="C11073">
        <v>850153</v>
      </c>
      <c r="D11073" t="s">
        <v>176</v>
      </c>
      <c r="E11073">
        <v>13886810</v>
      </c>
      <c r="F11073">
        <v>7783</v>
      </c>
      <c r="G11073">
        <v>7403</v>
      </c>
      <c r="H11073">
        <f>_xlfn.XLOOKUP(FACT_IMPORTS[[#This Row],[hts_6]],DIM_PRODUCTS[hts_6],DIM_PRODUCTS[hts_4],,,)</f>
        <v>8501</v>
      </c>
      <c r="I11073" t="str" cm="1">
        <f t="array" ref="I11073">_xlfn.XLOOKUP(FACT_IMPORTS[[#This Row],[country_name]],DIM_COUNTRY[[#All],[Column2]],DIM_COUNTRY[[#All],[Column3]],,,)</f>
        <v>Major_Non-USMCA_Non-China</v>
      </c>
    </row>
    <row r="11074" spans="1:9" x14ac:dyDescent="0.4">
      <c r="A11074" t="s">
        <v>73</v>
      </c>
      <c r="B11074" s="1">
        <v>45047</v>
      </c>
      <c r="C11074">
        <v>850440</v>
      </c>
      <c r="D11074" t="s">
        <v>176</v>
      </c>
      <c r="E11074">
        <v>12142717</v>
      </c>
      <c r="F11074">
        <v>15434</v>
      </c>
      <c r="G11074">
        <v>3236</v>
      </c>
      <c r="H11074">
        <f>_xlfn.XLOOKUP(FACT_IMPORTS[[#This Row],[hts_6]],DIM_PRODUCTS[hts_6],DIM_PRODUCTS[hts_4],,,)</f>
        <v>8504</v>
      </c>
      <c r="I11074" t="str" cm="1">
        <f t="array" ref="I11074">_xlfn.XLOOKUP(FACT_IMPORTS[[#This Row],[country_name]],DIM_COUNTRY[[#All],[Column2]],DIM_COUNTRY[[#All],[Column3]],,,)</f>
        <v>Major_Non-USMCA_Non-China</v>
      </c>
    </row>
    <row r="11075" spans="1:9" x14ac:dyDescent="0.4">
      <c r="A11075" t="s">
        <v>73</v>
      </c>
      <c r="B11075" s="1">
        <v>45047</v>
      </c>
      <c r="C11075">
        <v>850710</v>
      </c>
      <c r="D11075" t="s">
        <v>176</v>
      </c>
      <c r="E11075">
        <v>119364</v>
      </c>
      <c r="F11075">
        <v>1227</v>
      </c>
      <c r="G11075">
        <v>4865</v>
      </c>
      <c r="H11075">
        <f>_xlfn.XLOOKUP(FACT_IMPORTS[[#This Row],[hts_6]],DIM_PRODUCTS[hts_6],DIM_PRODUCTS[hts_4],,,)</f>
        <v>8507</v>
      </c>
      <c r="I11075" t="str" cm="1">
        <f t="array" ref="I11075">_xlfn.XLOOKUP(FACT_IMPORTS[[#This Row],[country_name]],DIM_COUNTRY[[#All],[Column2]],DIM_COUNTRY[[#All],[Column3]],,,)</f>
        <v>Major_Non-USMCA_Non-China</v>
      </c>
    </row>
    <row r="11076" spans="1:9" x14ac:dyDescent="0.4">
      <c r="A11076" t="s">
        <v>73</v>
      </c>
      <c r="B11076" s="1">
        <v>45047</v>
      </c>
      <c r="C11076">
        <v>850760</v>
      </c>
      <c r="D11076" t="s">
        <v>176</v>
      </c>
      <c r="E11076">
        <v>60448</v>
      </c>
      <c r="F11076">
        <v>1183</v>
      </c>
      <c r="G11076">
        <v>3020</v>
      </c>
      <c r="H11076">
        <f>_xlfn.XLOOKUP(FACT_IMPORTS[[#This Row],[hts_6]],DIM_PRODUCTS[hts_6],DIM_PRODUCTS[hts_4],,,)</f>
        <v>8507</v>
      </c>
      <c r="I11076" t="str" cm="1">
        <f t="array" ref="I11076">_xlfn.XLOOKUP(FACT_IMPORTS[[#This Row],[country_name]],DIM_COUNTRY[[#All],[Column2]],DIM_COUNTRY[[#All],[Column3]],,,)</f>
        <v>Major_Non-USMCA_Non-China</v>
      </c>
    </row>
    <row r="11077" spans="1:9" x14ac:dyDescent="0.4">
      <c r="A11077" t="s">
        <v>73</v>
      </c>
      <c r="B11077" s="1">
        <v>45047</v>
      </c>
      <c r="C11077">
        <v>850790</v>
      </c>
      <c r="D11077" t="s">
        <v>176</v>
      </c>
      <c r="E11077">
        <v>2357420</v>
      </c>
      <c r="F11077">
        <v>238021</v>
      </c>
      <c r="G11077">
        <v>65784</v>
      </c>
      <c r="H11077">
        <f>_xlfn.XLOOKUP(FACT_IMPORTS[[#This Row],[hts_6]],DIM_PRODUCTS[hts_6],DIM_PRODUCTS[hts_4],,,)</f>
        <v>8507</v>
      </c>
      <c r="I11077" t="str" cm="1">
        <f t="array" ref="I11077">_xlfn.XLOOKUP(FACT_IMPORTS[[#This Row],[country_name]],DIM_COUNTRY[[#All],[Column2]],DIM_COUNTRY[[#All],[Column3]],,,)</f>
        <v>Major_Non-USMCA_Non-China</v>
      </c>
    </row>
    <row r="11078" spans="1:9" x14ac:dyDescent="0.4">
      <c r="A11078" t="s">
        <v>73</v>
      </c>
      <c r="B11078" s="1">
        <v>45047</v>
      </c>
      <c r="C11078">
        <v>851110</v>
      </c>
      <c r="D11078" t="s">
        <v>176</v>
      </c>
      <c r="E11078">
        <v>0</v>
      </c>
      <c r="F11078">
        <v>0</v>
      </c>
      <c r="G11078">
        <v>0</v>
      </c>
      <c r="H11078">
        <f>_xlfn.XLOOKUP(FACT_IMPORTS[[#This Row],[hts_6]],DIM_PRODUCTS[hts_6],DIM_PRODUCTS[hts_4],,,)</f>
        <v>8511</v>
      </c>
      <c r="I11078" t="str" cm="1">
        <f t="array" ref="I11078">_xlfn.XLOOKUP(FACT_IMPORTS[[#This Row],[country_name]],DIM_COUNTRY[[#All],[Column2]],DIM_COUNTRY[[#All],[Column3]],,,)</f>
        <v>Major_Non-USMCA_Non-China</v>
      </c>
    </row>
    <row r="11079" spans="1:9" x14ac:dyDescent="0.4">
      <c r="A11079" t="s">
        <v>73</v>
      </c>
      <c r="B11079" s="1">
        <v>45047</v>
      </c>
      <c r="C11079">
        <v>851130</v>
      </c>
      <c r="D11079" t="s">
        <v>176</v>
      </c>
      <c r="E11079">
        <v>107090</v>
      </c>
      <c r="F11079">
        <v>2732</v>
      </c>
      <c r="G11079">
        <v>110</v>
      </c>
      <c r="H11079">
        <f>_xlfn.XLOOKUP(FACT_IMPORTS[[#This Row],[hts_6]],DIM_PRODUCTS[hts_6],DIM_PRODUCTS[hts_4],,,)</f>
        <v>8511</v>
      </c>
      <c r="I11079" t="str" cm="1">
        <f t="array" ref="I11079">_xlfn.XLOOKUP(FACT_IMPORTS[[#This Row],[country_name]],DIM_COUNTRY[[#All],[Column2]],DIM_COUNTRY[[#All],[Column3]],,,)</f>
        <v>Major_Non-USMCA_Non-China</v>
      </c>
    </row>
    <row r="11080" spans="1:9" x14ac:dyDescent="0.4">
      <c r="A11080" t="s">
        <v>73</v>
      </c>
      <c r="B11080" s="1">
        <v>45047</v>
      </c>
      <c r="C11080">
        <v>851140</v>
      </c>
      <c r="D11080" t="s">
        <v>176</v>
      </c>
      <c r="E11080">
        <v>3798581</v>
      </c>
      <c r="F11080">
        <v>11613</v>
      </c>
      <c r="G11080">
        <v>1918</v>
      </c>
      <c r="H11080">
        <f>_xlfn.XLOOKUP(FACT_IMPORTS[[#This Row],[hts_6]],DIM_PRODUCTS[hts_6],DIM_PRODUCTS[hts_4],,,)</f>
        <v>8511</v>
      </c>
      <c r="I11080" t="str" cm="1">
        <f t="array" ref="I11080">_xlfn.XLOOKUP(FACT_IMPORTS[[#This Row],[country_name]],DIM_COUNTRY[[#All],[Column2]],DIM_COUNTRY[[#All],[Column3]],,,)</f>
        <v>Major_Non-USMCA_Non-China</v>
      </c>
    </row>
    <row r="11081" spans="1:9" x14ac:dyDescent="0.4">
      <c r="A11081" t="s">
        <v>73</v>
      </c>
      <c r="B11081" s="1">
        <v>45047</v>
      </c>
      <c r="C11081">
        <v>851150</v>
      </c>
      <c r="D11081" t="s">
        <v>176</v>
      </c>
      <c r="E11081">
        <v>65018</v>
      </c>
      <c r="F11081">
        <v>825</v>
      </c>
      <c r="G11081">
        <v>1778</v>
      </c>
      <c r="H11081">
        <f>_xlfn.XLOOKUP(FACT_IMPORTS[[#This Row],[hts_6]],DIM_PRODUCTS[hts_6],DIM_PRODUCTS[hts_4],,,)</f>
        <v>8511</v>
      </c>
      <c r="I11081" t="str" cm="1">
        <f t="array" ref="I11081">_xlfn.XLOOKUP(FACT_IMPORTS[[#This Row],[country_name]],DIM_COUNTRY[[#All],[Column2]],DIM_COUNTRY[[#All],[Column3]],,,)</f>
        <v>Major_Non-USMCA_Non-China</v>
      </c>
    </row>
    <row r="11082" spans="1:9" x14ac:dyDescent="0.4">
      <c r="A11082" t="s">
        <v>73</v>
      </c>
      <c r="B11082" s="1">
        <v>45047</v>
      </c>
      <c r="C11082">
        <v>851190</v>
      </c>
      <c r="D11082" t="s">
        <v>176</v>
      </c>
      <c r="E11082">
        <v>165479</v>
      </c>
      <c r="F11082">
        <v>18268</v>
      </c>
      <c r="G11082">
        <v>5874</v>
      </c>
      <c r="H11082">
        <f>_xlfn.XLOOKUP(FACT_IMPORTS[[#This Row],[hts_6]],DIM_PRODUCTS[hts_6],DIM_PRODUCTS[hts_4],,,)</f>
        <v>8511</v>
      </c>
      <c r="I11082" t="str" cm="1">
        <f t="array" ref="I11082">_xlfn.XLOOKUP(FACT_IMPORTS[[#This Row],[country_name]],DIM_COUNTRY[[#All],[Column2]],DIM_COUNTRY[[#All],[Column3]],,,)</f>
        <v>Major_Non-USMCA_Non-China</v>
      </c>
    </row>
    <row r="11083" spans="1:9" x14ac:dyDescent="0.4">
      <c r="A11083" t="s">
        <v>73</v>
      </c>
      <c r="B11083" s="1">
        <v>45047</v>
      </c>
      <c r="C11083">
        <v>851220</v>
      </c>
      <c r="D11083" t="s">
        <v>176</v>
      </c>
      <c r="E11083">
        <v>13006559</v>
      </c>
      <c r="F11083">
        <v>1217582</v>
      </c>
      <c r="G11083">
        <v>153221</v>
      </c>
      <c r="H11083">
        <f>_xlfn.XLOOKUP(FACT_IMPORTS[[#This Row],[hts_6]],DIM_PRODUCTS[hts_6],DIM_PRODUCTS[hts_4],,,)</f>
        <v>8512</v>
      </c>
      <c r="I11083" t="str" cm="1">
        <f t="array" ref="I11083">_xlfn.XLOOKUP(FACT_IMPORTS[[#This Row],[country_name]],DIM_COUNTRY[[#All],[Column2]],DIM_COUNTRY[[#All],[Column3]],,,)</f>
        <v>Major_Non-USMCA_Non-China</v>
      </c>
    </row>
    <row r="11084" spans="1:9" x14ac:dyDescent="0.4">
      <c r="A11084" t="s">
        <v>73</v>
      </c>
      <c r="B11084" s="1">
        <v>45047</v>
      </c>
      <c r="C11084">
        <v>851240</v>
      </c>
      <c r="D11084" t="s">
        <v>176</v>
      </c>
      <c r="E11084">
        <v>333081</v>
      </c>
      <c r="F11084">
        <v>21383</v>
      </c>
      <c r="G11084">
        <v>16899</v>
      </c>
      <c r="H11084">
        <f>_xlfn.XLOOKUP(FACT_IMPORTS[[#This Row],[hts_6]],DIM_PRODUCTS[hts_6],DIM_PRODUCTS[hts_4],,,)</f>
        <v>8512</v>
      </c>
      <c r="I11084" t="str" cm="1">
        <f t="array" ref="I11084">_xlfn.XLOOKUP(FACT_IMPORTS[[#This Row],[country_name]],DIM_COUNTRY[[#All],[Column2]],DIM_COUNTRY[[#All],[Column3]],,,)</f>
        <v>Major_Non-USMCA_Non-China</v>
      </c>
    </row>
    <row r="11085" spans="1:9" x14ac:dyDescent="0.4">
      <c r="A11085" t="s">
        <v>73</v>
      </c>
      <c r="B11085" s="1">
        <v>45047</v>
      </c>
      <c r="C11085">
        <v>851290</v>
      </c>
      <c r="D11085" t="s">
        <v>176</v>
      </c>
      <c r="E11085">
        <v>1066858</v>
      </c>
      <c r="F11085">
        <v>73951</v>
      </c>
      <c r="G11085">
        <v>46395</v>
      </c>
      <c r="H11085">
        <f>_xlfn.XLOOKUP(FACT_IMPORTS[[#This Row],[hts_6]],DIM_PRODUCTS[hts_6],DIM_PRODUCTS[hts_4],,,)</f>
        <v>8512</v>
      </c>
      <c r="I11085" t="str" cm="1">
        <f t="array" ref="I11085">_xlfn.XLOOKUP(FACT_IMPORTS[[#This Row],[country_name]],DIM_COUNTRY[[#All],[Column2]],DIM_COUNTRY[[#All],[Column3]],,,)</f>
        <v>Major_Non-USMCA_Non-China</v>
      </c>
    </row>
    <row r="11086" spans="1:9" x14ac:dyDescent="0.4">
      <c r="A11086" t="s">
        <v>73</v>
      </c>
      <c r="B11086" s="1">
        <v>45047</v>
      </c>
      <c r="C11086">
        <v>854231</v>
      </c>
      <c r="D11086" t="s">
        <v>176</v>
      </c>
      <c r="E11086">
        <v>0</v>
      </c>
      <c r="F11086">
        <v>0</v>
      </c>
      <c r="G11086">
        <v>0</v>
      </c>
      <c r="H11086">
        <f>_xlfn.XLOOKUP(FACT_IMPORTS[[#This Row],[hts_6]],DIM_PRODUCTS[hts_6],DIM_PRODUCTS[hts_4],,,)</f>
        <v>8542</v>
      </c>
      <c r="I11086" t="str" cm="1">
        <f t="array" ref="I11086">_xlfn.XLOOKUP(FACT_IMPORTS[[#This Row],[country_name]],DIM_COUNTRY[[#All],[Column2]],DIM_COUNTRY[[#All],[Column3]],,,)</f>
        <v>Major_Non-USMCA_Non-China</v>
      </c>
    </row>
    <row r="11087" spans="1:9" x14ac:dyDescent="0.4">
      <c r="A11087" t="s">
        <v>73</v>
      </c>
      <c r="B11087" s="1">
        <v>45047</v>
      </c>
      <c r="C11087">
        <v>854232</v>
      </c>
      <c r="D11087" t="s">
        <v>176</v>
      </c>
      <c r="E11087">
        <v>0</v>
      </c>
      <c r="F11087">
        <v>0</v>
      </c>
      <c r="G11087">
        <v>0</v>
      </c>
      <c r="H11087">
        <f>_xlfn.XLOOKUP(FACT_IMPORTS[[#This Row],[hts_6]],DIM_PRODUCTS[hts_6],DIM_PRODUCTS[hts_4],,,)</f>
        <v>8542</v>
      </c>
      <c r="I11087" t="str" cm="1">
        <f t="array" ref="I11087">_xlfn.XLOOKUP(FACT_IMPORTS[[#This Row],[country_name]],DIM_COUNTRY[[#All],[Column2]],DIM_COUNTRY[[#All],[Column3]],,,)</f>
        <v>Major_Non-USMCA_Non-China</v>
      </c>
    </row>
    <row r="11088" spans="1:9" x14ac:dyDescent="0.4">
      <c r="A11088" t="s">
        <v>73</v>
      </c>
      <c r="B11088" s="1">
        <v>45047</v>
      </c>
      <c r="C11088">
        <v>854239</v>
      </c>
      <c r="D11088" t="s">
        <v>176</v>
      </c>
      <c r="E11088">
        <v>5716</v>
      </c>
      <c r="F11088">
        <v>1500</v>
      </c>
      <c r="G11088">
        <v>572</v>
      </c>
      <c r="H11088">
        <f>_xlfn.XLOOKUP(FACT_IMPORTS[[#This Row],[hts_6]],DIM_PRODUCTS[hts_6],DIM_PRODUCTS[hts_4],,,)</f>
        <v>8542</v>
      </c>
      <c r="I11088" t="str" cm="1">
        <f t="array" ref="I11088">_xlfn.XLOOKUP(FACT_IMPORTS[[#This Row],[country_name]],DIM_COUNTRY[[#All],[Column2]],DIM_COUNTRY[[#All],[Column3]],,,)</f>
        <v>Major_Non-USMCA_Non-China</v>
      </c>
    </row>
    <row r="11089" spans="1:9" x14ac:dyDescent="0.4">
      <c r="A11089" t="s">
        <v>73</v>
      </c>
      <c r="B11089" s="1">
        <v>45047</v>
      </c>
      <c r="C11089">
        <v>854430</v>
      </c>
      <c r="D11089" t="s">
        <v>176</v>
      </c>
      <c r="E11089">
        <v>1062212</v>
      </c>
      <c r="F11089">
        <v>3847</v>
      </c>
      <c r="G11089">
        <v>2712</v>
      </c>
      <c r="H11089">
        <f>_xlfn.XLOOKUP(FACT_IMPORTS[[#This Row],[hts_6]],DIM_PRODUCTS[hts_6],DIM_PRODUCTS[hts_4],,,)</f>
        <v>8544</v>
      </c>
      <c r="I11089" t="str" cm="1">
        <f t="array" ref="I11089">_xlfn.XLOOKUP(FACT_IMPORTS[[#This Row],[country_name]],DIM_COUNTRY[[#All],[Column2]],DIM_COUNTRY[[#All],[Column3]],,,)</f>
        <v>Major_Non-USMCA_Non-China</v>
      </c>
    </row>
    <row r="11090" spans="1:9" x14ac:dyDescent="0.4">
      <c r="A11090" t="s">
        <v>73</v>
      </c>
      <c r="B11090" s="1">
        <v>45047</v>
      </c>
      <c r="C11090">
        <v>870810</v>
      </c>
      <c r="D11090" t="s">
        <v>176</v>
      </c>
      <c r="E11090">
        <v>568707</v>
      </c>
      <c r="F11090">
        <v>62260</v>
      </c>
      <c r="G11090">
        <v>2938</v>
      </c>
      <c r="H11090">
        <f>_xlfn.XLOOKUP(FACT_IMPORTS[[#This Row],[hts_6]],DIM_PRODUCTS[hts_6],DIM_PRODUCTS[hts_4],,,)</f>
        <v>8708</v>
      </c>
      <c r="I11090" t="str" cm="1">
        <f t="array" ref="I11090">_xlfn.XLOOKUP(FACT_IMPORTS[[#This Row],[country_name]],DIM_COUNTRY[[#All],[Column2]],DIM_COUNTRY[[#All],[Column3]],,,)</f>
        <v>Major_Non-USMCA_Non-China</v>
      </c>
    </row>
    <row r="11091" spans="1:9" x14ac:dyDescent="0.4">
      <c r="A11091" t="s">
        <v>73</v>
      </c>
      <c r="B11091" s="1">
        <v>45047</v>
      </c>
      <c r="C11091">
        <v>870821</v>
      </c>
      <c r="D11091" t="s">
        <v>176</v>
      </c>
      <c r="E11091">
        <v>0</v>
      </c>
      <c r="F11091">
        <v>0</v>
      </c>
      <c r="G11091">
        <v>0</v>
      </c>
      <c r="H11091">
        <f>_xlfn.XLOOKUP(FACT_IMPORTS[[#This Row],[hts_6]],DIM_PRODUCTS[hts_6],DIM_PRODUCTS[hts_4],,,)</f>
        <v>8708</v>
      </c>
      <c r="I11091" t="str" cm="1">
        <f t="array" ref="I11091">_xlfn.XLOOKUP(FACT_IMPORTS[[#This Row],[country_name]],DIM_COUNTRY[[#All],[Column2]],DIM_COUNTRY[[#All],[Column3]],,,)</f>
        <v>Major_Non-USMCA_Non-China</v>
      </c>
    </row>
    <row r="11092" spans="1:9" x14ac:dyDescent="0.4">
      <c r="A11092" t="s">
        <v>73</v>
      </c>
      <c r="B11092" s="1">
        <v>45047</v>
      </c>
      <c r="C11092">
        <v>870822</v>
      </c>
      <c r="D11092" t="s">
        <v>176</v>
      </c>
      <c r="E11092">
        <v>67225</v>
      </c>
      <c r="F11092">
        <v>280</v>
      </c>
      <c r="G11092">
        <v>99</v>
      </c>
      <c r="H11092">
        <f>_xlfn.XLOOKUP(FACT_IMPORTS[[#This Row],[hts_6]],DIM_PRODUCTS[hts_6],DIM_PRODUCTS[hts_4],,,)</f>
        <v>8708</v>
      </c>
      <c r="I11092" t="str" cm="1">
        <f t="array" ref="I11092">_xlfn.XLOOKUP(FACT_IMPORTS[[#This Row],[country_name]],DIM_COUNTRY[[#All],[Column2]],DIM_COUNTRY[[#All],[Column3]],,,)</f>
        <v>Major_Non-USMCA_Non-China</v>
      </c>
    </row>
    <row r="11093" spans="1:9" x14ac:dyDescent="0.4">
      <c r="A11093" t="s">
        <v>73</v>
      </c>
      <c r="B11093" s="1">
        <v>45047</v>
      </c>
      <c r="C11093">
        <v>870829</v>
      </c>
      <c r="D11093" t="s">
        <v>176</v>
      </c>
      <c r="E11093">
        <v>6398943</v>
      </c>
      <c r="F11093">
        <v>3807815</v>
      </c>
      <c r="G11093">
        <v>318772</v>
      </c>
      <c r="H11093">
        <f>_xlfn.XLOOKUP(FACT_IMPORTS[[#This Row],[hts_6]],DIM_PRODUCTS[hts_6],DIM_PRODUCTS[hts_4],,,)</f>
        <v>8708</v>
      </c>
      <c r="I11093" t="str" cm="1">
        <f t="array" ref="I11093">_xlfn.XLOOKUP(FACT_IMPORTS[[#This Row],[country_name]],DIM_COUNTRY[[#All],[Column2]],DIM_COUNTRY[[#All],[Column3]],,,)</f>
        <v>Major_Non-USMCA_Non-China</v>
      </c>
    </row>
    <row r="11094" spans="1:9" x14ac:dyDescent="0.4">
      <c r="A11094" t="s">
        <v>73</v>
      </c>
      <c r="B11094" s="1">
        <v>45047</v>
      </c>
      <c r="C11094">
        <v>870830</v>
      </c>
      <c r="D11094" t="s">
        <v>176</v>
      </c>
      <c r="E11094">
        <v>663324</v>
      </c>
      <c r="F11094">
        <v>181756</v>
      </c>
      <c r="G11094">
        <v>21332</v>
      </c>
      <c r="H11094">
        <f>_xlfn.XLOOKUP(FACT_IMPORTS[[#This Row],[hts_6]],DIM_PRODUCTS[hts_6],DIM_PRODUCTS[hts_4],,,)</f>
        <v>8708</v>
      </c>
      <c r="I11094" t="str" cm="1">
        <f t="array" ref="I11094">_xlfn.XLOOKUP(FACT_IMPORTS[[#This Row],[country_name]],DIM_COUNTRY[[#All],[Column2]],DIM_COUNTRY[[#All],[Column3]],,,)</f>
        <v>Major_Non-USMCA_Non-China</v>
      </c>
    </row>
    <row r="11095" spans="1:9" x14ac:dyDescent="0.4">
      <c r="A11095" t="s">
        <v>73</v>
      </c>
      <c r="B11095" s="1">
        <v>45047</v>
      </c>
      <c r="C11095">
        <v>870840</v>
      </c>
      <c r="D11095" t="s">
        <v>176</v>
      </c>
      <c r="E11095">
        <v>4652181</v>
      </c>
      <c r="F11095">
        <v>706762</v>
      </c>
      <c r="G11095">
        <v>46388</v>
      </c>
      <c r="H11095">
        <f>_xlfn.XLOOKUP(FACT_IMPORTS[[#This Row],[hts_6]],DIM_PRODUCTS[hts_6],DIM_PRODUCTS[hts_4],,,)</f>
        <v>8708</v>
      </c>
      <c r="I11095" t="str" cm="1">
        <f t="array" ref="I11095">_xlfn.XLOOKUP(FACT_IMPORTS[[#This Row],[country_name]],DIM_COUNTRY[[#All],[Column2]],DIM_COUNTRY[[#All],[Column3]],,,)</f>
        <v>Major_Non-USMCA_Non-China</v>
      </c>
    </row>
    <row r="11096" spans="1:9" x14ac:dyDescent="0.4">
      <c r="A11096" t="s">
        <v>73</v>
      </c>
      <c r="B11096" s="1">
        <v>45047</v>
      </c>
      <c r="C11096">
        <v>870850</v>
      </c>
      <c r="D11096" t="s">
        <v>176</v>
      </c>
      <c r="E11096">
        <v>32001575</v>
      </c>
      <c r="F11096">
        <v>1965976</v>
      </c>
      <c r="G11096">
        <v>905087</v>
      </c>
      <c r="H11096">
        <f>_xlfn.XLOOKUP(FACT_IMPORTS[[#This Row],[hts_6]],DIM_PRODUCTS[hts_6],DIM_PRODUCTS[hts_4],,,)</f>
        <v>8708</v>
      </c>
      <c r="I11096" t="str" cm="1">
        <f t="array" ref="I11096">_xlfn.XLOOKUP(FACT_IMPORTS[[#This Row],[country_name]],DIM_COUNTRY[[#All],[Column2]],DIM_COUNTRY[[#All],[Column3]],,,)</f>
        <v>Major_Non-USMCA_Non-China</v>
      </c>
    </row>
    <row r="11097" spans="1:9" x14ac:dyDescent="0.4">
      <c r="A11097" t="s">
        <v>73</v>
      </c>
      <c r="B11097" s="1">
        <v>45047</v>
      </c>
      <c r="C11097">
        <v>870870</v>
      </c>
      <c r="D11097" t="s">
        <v>176</v>
      </c>
      <c r="E11097">
        <v>2187971</v>
      </c>
      <c r="F11097">
        <v>33743</v>
      </c>
      <c r="G11097">
        <v>40235</v>
      </c>
      <c r="H11097">
        <f>_xlfn.XLOOKUP(FACT_IMPORTS[[#This Row],[hts_6]],DIM_PRODUCTS[hts_6],DIM_PRODUCTS[hts_4],,,)</f>
        <v>8708</v>
      </c>
      <c r="I11097" t="str" cm="1">
        <f t="array" ref="I11097">_xlfn.XLOOKUP(FACT_IMPORTS[[#This Row],[country_name]],DIM_COUNTRY[[#All],[Column2]],DIM_COUNTRY[[#All],[Column3]],,,)</f>
        <v>Major_Non-USMCA_Non-China</v>
      </c>
    </row>
    <row r="11098" spans="1:9" x14ac:dyDescent="0.4">
      <c r="A11098" t="s">
        <v>73</v>
      </c>
      <c r="B11098" s="1">
        <v>45047</v>
      </c>
      <c r="C11098">
        <v>870880</v>
      </c>
      <c r="D11098" t="s">
        <v>176</v>
      </c>
      <c r="E11098">
        <v>5306967</v>
      </c>
      <c r="F11098">
        <v>1382965</v>
      </c>
      <c r="G11098">
        <v>179243</v>
      </c>
      <c r="H11098">
        <f>_xlfn.XLOOKUP(FACT_IMPORTS[[#This Row],[hts_6]],DIM_PRODUCTS[hts_6],DIM_PRODUCTS[hts_4],,,)</f>
        <v>8708</v>
      </c>
      <c r="I11098" t="str" cm="1">
        <f t="array" ref="I11098">_xlfn.XLOOKUP(FACT_IMPORTS[[#This Row],[country_name]],DIM_COUNTRY[[#All],[Column2]],DIM_COUNTRY[[#All],[Column3]],,,)</f>
        <v>Major_Non-USMCA_Non-China</v>
      </c>
    </row>
    <row r="11099" spans="1:9" x14ac:dyDescent="0.4">
      <c r="A11099" t="s">
        <v>73</v>
      </c>
      <c r="B11099" s="1">
        <v>45047</v>
      </c>
      <c r="C11099">
        <v>870891</v>
      </c>
      <c r="D11099" t="s">
        <v>176</v>
      </c>
      <c r="E11099">
        <v>66874</v>
      </c>
      <c r="F11099">
        <v>5270</v>
      </c>
      <c r="G11099">
        <v>188</v>
      </c>
      <c r="H11099">
        <f>_xlfn.XLOOKUP(FACT_IMPORTS[[#This Row],[hts_6]],DIM_PRODUCTS[hts_6],DIM_PRODUCTS[hts_4],,,)</f>
        <v>8708</v>
      </c>
      <c r="I11099" t="str" cm="1">
        <f t="array" ref="I11099">_xlfn.XLOOKUP(FACT_IMPORTS[[#This Row],[country_name]],DIM_COUNTRY[[#All],[Column2]],DIM_COUNTRY[[#All],[Column3]],,,)</f>
        <v>Major_Non-USMCA_Non-China</v>
      </c>
    </row>
    <row r="11100" spans="1:9" x14ac:dyDescent="0.4">
      <c r="A11100" t="s">
        <v>73</v>
      </c>
      <c r="B11100" s="1">
        <v>45047</v>
      </c>
      <c r="C11100">
        <v>870892</v>
      </c>
      <c r="D11100" t="s">
        <v>176</v>
      </c>
      <c r="E11100">
        <v>72293</v>
      </c>
      <c r="F11100">
        <v>262</v>
      </c>
      <c r="G11100">
        <v>121</v>
      </c>
      <c r="H11100">
        <f>_xlfn.XLOOKUP(FACT_IMPORTS[[#This Row],[hts_6]],DIM_PRODUCTS[hts_6],DIM_PRODUCTS[hts_4],,,)</f>
        <v>8708</v>
      </c>
      <c r="I11100" t="str" cm="1">
        <f t="array" ref="I11100">_xlfn.XLOOKUP(FACT_IMPORTS[[#This Row],[country_name]],DIM_COUNTRY[[#All],[Column2]],DIM_COUNTRY[[#All],[Column3]],,,)</f>
        <v>Major_Non-USMCA_Non-China</v>
      </c>
    </row>
    <row r="11101" spans="1:9" x14ac:dyDescent="0.4">
      <c r="A11101" t="s">
        <v>73</v>
      </c>
      <c r="B11101" s="1">
        <v>45047</v>
      </c>
      <c r="C11101">
        <v>870893</v>
      </c>
      <c r="D11101" t="s">
        <v>176</v>
      </c>
      <c r="E11101">
        <v>2193302</v>
      </c>
      <c r="F11101">
        <v>338429</v>
      </c>
      <c r="G11101">
        <v>6564</v>
      </c>
      <c r="H11101">
        <f>_xlfn.XLOOKUP(FACT_IMPORTS[[#This Row],[hts_6]],DIM_PRODUCTS[hts_6],DIM_PRODUCTS[hts_4],,,)</f>
        <v>8708</v>
      </c>
      <c r="I11101" t="str" cm="1">
        <f t="array" ref="I11101">_xlfn.XLOOKUP(FACT_IMPORTS[[#This Row],[country_name]],DIM_COUNTRY[[#All],[Column2]],DIM_COUNTRY[[#All],[Column3]],,,)</f>
        <v>Major_Non-USMCA_Non-China</v>
      </c>
    </row>
    <row r="11102" spans="1:9" x14ac:dyDescent="0.4">
      <c r="A11102" t="s">
        <v>73</v>
      </c>
      <c r="B11102" s="1">
        <v>45047</v>
      </c>
      <c r="C11102">
        <v>870894</v>
      </c>
      <c r="D11102" t="s">
        <v>176</v>
      </c>
      <c r="E11102">
        <v>2465546</v>
      </c>
      <c r="F11102">
        <v>519331</v>
      </c>
      <c r="G11102">
        <v>41418</v>
      </c>
      <c r="H11102">
        <f>_xlfn.XLOOKUP(FACT_IMPORTS[[#This Row],[hts_6]],DIM_PRODUCTS[hts_6],DIM_PRODUCTS[hts_4],,,)</f>
        <v>8708</v>
      </c>
      <c r="I11102" t="str" cm="1">
        <f t="array" ref="I11102">_xlfn.XLOOKUP(FACT_IMPORTS[[#This Row],[country_name]],DIM_COUNTRY[[#All],[Column2]],DIM_COUNTRY[[#All],[Column3]],,,)</f>
        <v>Major_Non-USMCA_Non-China</v>
      </c>
    </row>
    <row r="11103" spans="1:9" x14ac:dyDescent="0.4">
      <c r="A11103" t="s">
        <v>73</v>
      </c>
      <c r="B11103" s="1">
        <v>45047</v>
      </c>
      <c r="C11103">
        <v>870895</v>
      </c>
      <c r="D11103" t="s">
        <v>176</v>
      </c>
      <c r="E11103">
        <v>0</v>
      </c>
      <c r="F11103">
        <v>0</v>
      </c>
      <c r="G11103">
        <v>0</v>
      </c>
      <c r="H11103">
        <f>_xlfn.XLOOKUP(FACT_IMPORTS[[#This Row],[hts_6]],DIM_PRODUCTS[hts_6],DIM_PRODUCTS[hts_4],,,)</f>
        <v>8708</v>
      </c>
      <c r="I11103" t="str" cm="1">
        <f t="array" ref="I11103">_xlfn.XLOOKUP(FACT_IMPORTS[[#This Row],[country_name]],DIM_COUNTRY[[#All],[Column2]],DIM_COUNTRY[[#All],[Column3]],,,)</f>
        <v>Major_Non-USMCA_Non-China</v>
      </c>
    </row>
    <row r="11104" spans="1:9" x14ac:dyDescent="0.4">
      <c r="A11104" t="s">
        <v>73</v>
      </c>
      <c r="B11104" s="1">
        <v>45047</v>
      </c>
      <c r="C11104">
        <v>870899</v>
      </c>
      <c r="D11104" t="s">
        <v>176</v>
      </c>
      <c r="E11104">
        <v>29105086</v>
      </c>
      <c r="F11104">
        <v>5009587</v>
      </c>
      <c r="G11104">
        <v>660945</v>
      </c>
      <c r="H11104">
        <f>_xlfn.XLOOKUP(FACT_IMPORTS[[#This Row],[hts_6]],DIM_PRODUCTS[hts_6],DIM_PRODUCTS[hts_4],,,)</f>
        <v>8708</v>
      </c>
      <c r="I11104" t="str" cm="1">
        <f t="array" ref="I11104">_xlfn.XLOOKUP(FACT_IMPORTS[[#This Row],[country_name]],DIM_COUNTRY[[#All],[Column2]],DIM_COUNTRY[[#All],[Column3]],,,)</f>
        <v>Major_Non-USMCA_Non-China</v>
      </c>
    </row>
    <row r="11105" spans="1:9" x14ac:dyDescent="0.4">
      <c r="A11105" t="s">
        <v>73</v>
      </c>
      <c r="B11105" s="1">
        <v>45047</v>
      </c>
      <c r="C11105">
        <v>940120</v>
      </c>
      <c r="D11105" t="s">
        <v>176</v>
      </c>
      <c r="E11105">
        <v>0</v>
      </c>
      <c r="F11105">
        <v>0</v>
      </c>
      <c r="G11105">
        <v>0</v>
      </c>
      <c r="H11105">
        <f>_xlfn.XLOOKUP(FACT_IMPORTS[[#This Row],[hts_6]],DIM_PRODUCTS[hts_6],DIM_PRODUCTS[hts_4],,,)</f>
        <v>9401</v>
      </c>
      <c r="I11105" t="str" cm="1">
        <f t="array" ref="I11105">_xlfn.XLOOKUP(FACT_IMPORTS[[#This Row],[country_name]],DIM_COUNTRY[[#All],[Column2]],DIM_COUNTRY[[#All],[Column3]],,,)</f>
        <v>Major_Non-USMCA_Non-China</v>
      </c>
    </row>
    <row r="11106" spans="1:9" x14ac:dyDescent="0.4">
      <c r="A11106" t="s">
        <v>73</v>
      </c>
      <c r="B11106" s="1">
        <v>45078</v>
      </c>
      <c r="C11106">
        <v>392630</v>
      </c>
      <c r="D11106" t="s">
        <v>176</v>
      </c>
      <c r="E11106">
        <v>247699</v>
      </c>
      <c r="F11106">
        <v>13179</v>
      </c>
      <c r="G11106">
        <v>12107</v>
      </c>
      <c r="H11106">
        <f>_xlfn.XLOOKUP(FACT_IMPORTS[[#This Row],[hts_6]],DIM_PRODUCTS[hts_6],DIM_PRODUCTS[hts_4],,,)</f>
        <v>3926</v>
      </c>
      <c r="I11106" t="str" cm="1">
        <f t="array" ref="I11106">_xlfn.XLOOKUP(FACT_IMPORTS[[#This Row],[country_name]],DIM_COUNTRY[[#All],[Column2]],DIM_COUNTRY[[#All],[Column3]],,,)</f>
        <v>Major_Non-USMCA_Non-China</v>
      </c>
    </row>
    <row r="11107" spans="1:9" x14ac:dyDescent="0.4">
      <c r="A11107" t="s">
        <v>73</v>
      </c>
      <c r="B11107" s="1">
        <v>45078</v>
      </c>
      <c r="C11107">
        <v>401110</v>
      </c>
      <c r="D11107" t="s">
        <v>176</v>
      </c>
      <c r="E11107">
        <v>5231734</v>
      </c>
      <c r="F11107">
        <v>85097</v>
      </c>
      <c r="G11107">
        <v>792338</v>
      </c>
      <c r="H11107">
        <f>_xlfn.XLOOKUP(FACT_IMPORTS[[#This Row],[hts_6]],DIM_PRODUCTS[hts_6],DIM_PRODUCTS[hts_4],,,)</f>
        <v>4011</v>
      </c>
      <c r="I11107" t="str" cm="1">
        <f t="array" ref="I11107">_xlfn.XLOOKUP(FACT_IMPORTS[[#This Row],[country_name]],DIM_COUNTRY[[#All],[Column2]],DIM_COUNTRY[[#All],[Column3]],,,)</f>
        <v>Major_Non-USMCA_Non-China</v>
      </c>
    </row>
    <row r="11108" spans="1:9" x14ac:dyDescent="0.4">
      <c r="A11108" t="s">
        <v>73</v>
      </c>
      <c r="B11108" s="1">
        <v>45078</v>
      </c>
      <c r="C11108">
        <v>401120</v>
      </c>
      <c r="D11108" t="s">
        <v>176</v>
      </c>
      <c r="E11108">
        <v>190867</v>
      </c>
      <c r="F11108">
        <v>2470</v>
      </c>
      <c r="G11108">
        <v>34437</v>
      </c>
      <c r="H11108">
        <f>_xlfn.XLOOKUP(FACT_IMPORTS[[#This Row],[hts_6]],DIM_PRODUCTS[hts_6],DIM_PRODUCTS[hts_4],,,)</f>
        <v>4011</v>
      </c>
      <c r="I11108" t="str" cm="1">
        <f t="array" ref="I11108">_xlfn.XLOOKUP(FACT_IMPORTS[[#This Row],[country_name]],DIM_COUNTRY[[#All],[Column2]],DIM_COUNTRY[[#All],[Column3]],,,)</f>
        <v>Major_Non-USMCA_Non-China</v>
      </c>
    </row>
    <row r="11109" spans="1:9" x14ac:dyDescent="0.4">
      <c r="A11109" t="s">
        <v>73</v>
      </c>
      <c r="B11109" s="1">
        <v>45078</v>
      </c>
      <c r="C11109">
        <v>401190</v>
      </c>
      <c r="D11109" t="s">
        <v>176</v>
      </c>
      <c r="E11109">
        <v>0</v>
      </c>
      <c r="F11109">
        <v>0</v>
      </c>
      <c r="G11109">
        <v>0</v>
      </c>
      <c r="H11109">
        <f>_xlfn.XLOOKUP(FACT_IMPORTS[[#This Row],[hts_6]],DIM_PRODUCTS[hts_6],DIM_PRODUCTS[hts_4],,,)</f>
        <v>4011</v>
      </c>
      <c r="I11109" t="str" cm="1">
        <f t="array" ref="I11109">_xlfn.XLOOKUP(FACT_IMPORTS[[#This Row],[country_name]],DIM_COUNTRY[[#All],[Column2]],DIM_COUNTRY[[#All],[Column3]],,,)</f>
        <v>Major_Non-USMCA_Non-China</v>
      </c>
    </row>
    <row r="11110" spans="1:9" x14ac:dyDescent="0.4">
      <c r="A11110" t="s">
        <v>73</v>
      </c>
      <c r="B11110" s="1">
        <v>45078</v>
      </c>
      <c r="C11110">
        <v>700910</v>
      </c>
      <c r="D11110" t="s">
        <v>176</v>
      </c>
      <c r="E11110">
        <v>319207</v>
      </c>
      <c r="F11110">
        <v>7814</v>
      </c>
      <c r="G11110">
        <v>20115</v>
      </c>
      <c r="H11110">
        <f>_xlfn.XLOOKUP(FACT_IMPORTS[[#This Row],[hts_6]],DIM_PRODUCTS[hts_6],DIM_PRODUCTS[hts_4],,,)</f>
        <v>7009</v>
      </c>
      <c r="I11110" t="str" cm="1">
        <f t="array" ref="I11110">_xlfn.XLOOKUP(FACT_IMPORTS[[#This Row],[country_name]],DIM_COUNTRY[[#All],[Column2]],DIM_COUNTRY[[#All],[Column3]],,,)</f>
        <v>Major_Non-USMCA_Non-China</v>
      </c>
    </row>
    <row r="11111" spans="1:9" x14ac:dyDescent="0.4">
      <c r="A11111" t="s">
        <v>73</v>
      </c>
      <c r="B11111" s="1">
        <v>45078</v>
      </c>
      <c r="C11111">
        <v>830230</v>
      </c>
      <c r="D11111" t="s">
        <v>176</v>
      </c>
      <c r="E11111">
        <v>2680956</v>
      </c>
      <c r="F11111">
        <v>309595</v>
      </c>
      <c r="G11111">
        <v>90408</v>
      </c>
      <c r="H11111">
        <f>_xlfn.XLOOKUP(FACT_IMPORTS[[#This Row],[hts_6]],DIM_PRODUCTS[hts_6],DIM_PRODUCTS[hts_4],,,)</f>
        <v>8302</v>
      </c>
      <c r="I11111" t="str" cm="1">
        <f t="array" ref="I11111">_xlfn.XLOOKUP(FACT_IMPORTS[[#This Row],[country_name]],DIM_COUNTRY[[#All],[Column2]],DIM_COUNTRY[[#All],[Column3]],,,)</f>
        <v>Major_Non-USMCA_Non-China</v>
      </c>
    </row>
    <row r="11112" spans="1:9" x14ac:dyDescent="0.4">
      <c r="A11112" t="s">
        <v>73</v>
      </c>
      <c r="B11112" s="1">
        <v>45078</v>
      </c>
      <c r="C11112">
        <v>840734</v>
      </c>
      <c r="D11112" t="s">
        <v>176</v>
      </c>
      <c r="E11112">
        <v>256593</v>
      </c>
      <c r="F11112">
        <v>38</v>
      </c>
      <c r="G11112">
        <v>263</v>
      </c>
      <c r="H11112">
        <f>_xlfn.XLOOKUP(FACT_IMPORTS[[#This Row],[hts_6]],DIM_PRODUCTS[hts_6],DIM_PRODUCTS[hts_4],,,)</f>
        <v>8407</v>
      </c>
      <c r="I11112" t="str" cm="1">
        <f t="array" ref="I11112">_xlfn.XLOOKUP(FACT_IMPORTS[[#This Row],[country_name]],DIM_COUNTRY[[#All],[Column2]],DIM_COUNTRY[[#All],[Column3]],,,)</f>
        <v>Major_Non-USMCA_Non-China</v>
      </c>
    </row>
    <row r="11113" spans="1:9" x14ac:dyDescent="0.4">
      <c r="A11113" t="s">
        <v>73</v>
      </c>
      <c r="B11113" s="1">
        <v>45078</v>
      </c>
      <c r="C11113">
        <v>840820</v>
      </c>
      <c r="D11113" t="s">
        <v>176</v>
      </c>
      <c r="E11113">
        <v>0</v>
      </c>
      <c r="F11113">
        <v>0</v>
      </c>
      <c r="G11113">
        <v>0</v>
      </c>
      <c r="H11113">
        <f>_xlfn.XLOOKUP(FACT_IMPORTS[[#This Row],[hts_6]],DIM_PRODUCTS[hts_6],DIM_PRODUCTS[hts_4],,,)</f>
        <v>8408</v>
      </c>
      <c r="I11113" t="str" cm="1">
        <f t="array" ref="I11113">_xlfn.XLOOKUP(FACT_IMPORTS[[#This Row],[country_name]],DIM_COUNTRY[[#All],[Column2]],DIM_COUNTRY[[#All],[Column3]],,,)</f>
        <v>Major_Non-USMCA_Non-China</v>
      </c>
    </row>
    <row r="11114" spans="1:9" x14ac:dyDescent="0.4">
      <c r="A11114" t="s">
        <v>73</v>
      </c>
      <c r="B11114" s="1">
        <v>45078</v>
      </c>
      <c r="C11114">
        <v>840890</v>
      </c>
      <c r="D11114" t="s">
        <v>176</v>
      </c>
      <c r="E11114">
        <v>0</v>
      </c>
      <c r="F11114">
        <v>0</v>
      </c>
      <c r="G11114">
        <v>0</v>
      </c>
      <c r="H11114">
        <f>_xlfn.XLOOKUP(FACT_IMPORTS[[#This Row],[hts_6]],DIM_PRODUCTS[hts_6],DIM_PRODUCTS[hts_4],,,)</f>
        <v>8408</v>
      </c>
      <c r="I11114" t="str" cm="1">
        <f t="array" ref="I11114">_xlfn.XLOOKUP(FACT_IMPORTS[[#This Row],[country_name]],DIM_COUNTRY[[#All],[Column2]],DIM_COUNTRY[[#All],[Column3]],,,)</f>
        <v>Major_Non-USMCA_Non-China</v>
      </c>
    </row>
    <row r="11115" spans="1:9" x14ac:dyDescent="0.4">
      <c r="A11115" t="s">
        <v>73</v>
      </c>
      <c r="B11115" s="1">
        <v>45078</v>
      </c>
      <c r="C11115">
        <v>840991</v>
      </c>
      <c r="D11115" t="s">
        <v>176</v>
      </c>
      <c r="E11115">
        <v>8847090</v>
      </c>
      <c r="F11115">
        <v>826188</v>
      </c>
      <c r="G11115">
        <v>146220</v>
      </c>
      <c r="H11115">
        <f>_xlfn.XLOOKUP(FACT_IMPORTS[[#This Row],[hts_6]],DIM_PRODUCTS[hts_6],DIM_PRODUCTS[hts_4],,,)</f>
        <v>8409</v>
      </c>
      <c r="I11115" t="str" cm="1">
        <f t="array" ref="I11115">_xlfn.XLOOKUP(FACT_IMPORTS[[#This Row],[country_name]],DIM_COUNTRY[[#All],[Column2]],DIM_COUNTRY[[#All],[Column3]],,,)</f>
        <v>Major_Non-USMCA_Non-China</v>
      </c>
    </row>
    <row r="11116" spans="1:9" x14ac:dyDescent="0.4">
      <c r="A11116" t="s">
        <v>73</v>
      </c>
      <c r="B11116" s="1">
        <v>45078</v>
      </c>
      <c r="C11116">
        <v>840999</v>
      </c>
      <c r="D11116" t="s">
        <v>176</v>
      </c>
      <c r="E11116">
        <v>1436616</v>
      </c>
      <c r="F11116">
        <v>105249</v>
      </c>
      <c r="G11116">
        <v>4962</v>
      </c>
      <c r="H11116">
        <f>_xlfn.XLOOKUP(FACT_IMPORTS[[#This Row],[hts_6]],DIM_PRODUCTS[hts_6],DIM_PRODUCTS[hts_4],,,)</f>
        <v>8409</v>
      </c>
      <c r="I11116" t="str" cm="1">
        <f t="array" ref="I11116">_xlfn.XLOOKUP(FACT_IMPORTS[[#This Row],[country_name]],DIM_COUNTRY[[#All],[Column2]],DIM_COUNTRY[[#All],[Column3]],,,)</f>
        <v>Major_Non-USMCA_Non-China</v>
      </c>
    </row>
    <row r="11117" spans="1:9" x14ac:dyDescent="0.4">
      <c r="A11117" t="s">
        <v>73</v>
      </c>
      <c r="B11117" s="1">
        <v>45078</v>
      </c>
      <c r="C11117">
        <v>841330</v>
      </c>
      <c r="D11117" t="s">
        <v>176</v>
      </c>
      <c r="E11117">
        <v>8257898</v>
      </c>
      <c r="F11117">
        <v>172975</v>
      </c>
      <c r="G11117">
        <v>183973</v>
      </c>
      <c r="H11117">
        <f>_xlfn.XLOOKUP(FACT_IMPORTS[[#This Row],[hts_6]],DIM_PRODUCTS[hts_6],DIM_PRODUCTS[hts_4],,,)</f>
        <v>8413</v>
      </c>
      <c r="I11117" t="str" cm="1">
        <f t="array" ref="I11117">_xlfn.XLOOKUP(FACT_IMPORTS[[#This Row],[country_name]],DIM_COUNTRY[[#All],[Column2]],DIM_COUNTRY[[#All],[Column3]],,,)</f>
        <v>Major_Non-USMCA_Non-China</v>
      </c>
    </row>
    <row r="11118" spans="1:9" x14ac:dyDescent="0.4">
      <c r="A11118" t="s">
        <v>73</v>
      </c>
      <c r="B11118" s="1">
        <v>45078</v>
      </c>
      <c r="C11118">
        <v>842132</v>
      </c>
      <c r="D11118" t="s">
        <v>176</v>
      </c>
      <c r="E11118">
        <v>133036</v>
      </c>
      <c r="F11118">
        <v>126</v>
      </c>
      <c r="G11118">
        <v>158</v>
      </c>
      <c r="H11118">
        <f>_xlfn.XLOOKUP(FACT_IMPORTS[[#This Row],[hts_6]],DIM_PRODUCTS[hts_6],DIM_PRODUCTS[hts_4],,,)</f>
        <v>8421</v>
      </c>
      <c r="I11118" t="str" cm="1">
        <f t="array" ref="I11118">_xlfn.XLOOKUP(FACT_IMPORTS[[#This Row],[country_name]],DIM_COUNTRY[[#All],[Column2]],DIM_COUNTRY[[#All],[Column3]],,,)</f>
        <v>Major_Non-USMCA_Non-China</v>
      </c>
    </row>
    <row r="11119" spans="1:9" x14ac:dyDescent="0.4">
      <c r="A11119" t="s">
        <v>73</v>
      </c>
      <c r="B11119" s="1">
        <v>45078</v>
      </c>
      <c r="C11119">
        <v>848210</v>
      </c>
      <c r="D11119" t="s">
        <v>176</v>
      </c>
      <c r="E11119">
        <v>95860</v>
      </c>
      <c r="F11119">
        <v>24051</v>
      </c>
      <c r="G11119">
        <v>303</v>
      </c>
      <c r="H11119">
        <f>_xlfn.XLOOKUP(FACT_IMPORTS[[#This Row],[hts_6]],DIM_PRODUCTS[hts_6],DIM_PRODUCTS[hts_4],,,)</f>
        <v>8482</v>
      </c>
      <c r="I11119" t="str" cm="1">
        <f t="array" ref="I11119">_xlfn.XLOOKUP(FACT_IMPORTS[[#This Row],[country_name]],DIM_COUNTRY[[#All],[Column2]],DIM_COUNTRY[[#All],[Column3]],,,)</f>
        <v>Major_Non-USMCA_Non-China</v>
      </c>
    </row>
    <row r="11120" spans="1:9" x14ac:dyDescent="0.4">
      <c r="A11120" t="s">
        <v>73</v>
      </c>
      <c r="B11120" s="1">
        <v>45078</v>
      </c>
      <c r="C11120">
        <v>848220</v>
      </c>
      <c r="D11120" t="s">
        <v>176</v>
      </c>
      <c r="E11120">
        <v>3186039</v>
      </c>
      <c r="F11120">
        <v>783108</v>
      </c>
      <c r="G11120">
        <v>1041</v>
      </c>
      <c r="H11120">
        <f>_xlfn.XLOOKUP(FACT_IMPORTS[[#This Row],[hts_6]],DIM_PRODUCTS[hts_6],DIM_PRODUCTS[hts_4],,,)</f>
        <v>8482</v>
      </c>
      <c r="I11120" t="str" cm="1">
        <f t="array" ref="I11120">_xlfn.XLOOKUP(FACT_IMPORTS[[#This Row],[country_name]],DIM_COUNTRY[[#All],[Column2]],DIM_COUNTRY[[#All],[Column3]],,,)</f>
        <v>Major_Non-USMCA_Non-China</v>
      </c>
    </row>
    <row r="11121" spans="1:9" x14ac:dyDescent="0.4">
      <c r="A11121" t="s">
        <v>73</v>
      </c>
      <c r="B11121" s="1">
        <v>45078</v>
      </c>
      <c r="C11121">
        <v>848310</v>
      </c>
      <c r="D11121" t="s">
        <v>176</v>
      </c>
      <c r="E11121">
        <v>2277</v>
      </c>
      <c r="F11121">
        <v>33</v>
      </c>
      <c r="G11121">
        <v>2</v>
      </c>
      <c r="H11121">
        <f>_xlfn.XLOOKUP(FACT_IMPORTS[[#This Row],[hts_6]],DIM_PRODUCTS[hts_6],DIM_PRODUCTS[hts_4],,,)</f>
        <v>8483</v>
      </c>
      <c r="I11121" t="str" cm="1">
        <f t="array" ref="I11121">_xlfn.XLOOKUP(FACT_IMPORTS[[#This Row],[country_name]],DIM_COUNTRY[[#All],[Column2]],DIM_COUNTRY[[#All],[Column3]],,,)</f>
        <v>Major_Non-USMCA_Non-China</v>
      </c>
    </row>
    <row r="11122" spans="1:9" x14ac:dyDescent="0.4">
      <c r="A11122" t="s">
        <v>73</v>
      </c>
      <c r="B11122" s="1">
        <v>45078</v>
      </c>
      <c r="C11122">
        <v>850131</v>
      </c>
      <c r="D11122" t="s">
        <v>176</v>
      </c>
      <c r="E11122">
        <v>3809062</v>
      </c>
      <c r="F11122">
        <v>203980</v>
      </c>
      <c r="G11122">
        <v>6004</v>
      </c>
      <c r="H11122">
        <f>_xlfn.XLOOKUP(FACT_IMPORTS[[#This Row],[hts_6]],DIM_PRODUCTS[hts_6],DIM_PRODUCTS[hts_4],,,)</f>
        <v>8501</v>
      </c>
      <c r="I11122" t="str" cm="1">
        <f t="array" ref="I11122">_xlfn.XLOOKUP(FACT_IMPORTS[[#This Row],[country_name]],DIM_COUNTRY[[#All],[Column2]],DIM_COUNTRY[[#All],[Column3]],,,)</f>
        <v>Major_Non-USMCA_Non-China</v>
      </c>
    </row>
    <row r="11123" spans="1:9" x14ac:dyDescent="0.4">
      <c r="A11123" t="s">
        <v>73</v>
      </c>
      <c r="B11123" s="1">
        <v>45078</v>
      </c>
      <c r="C11123">
        <v>850132</v>
      </c>
      <c r="D11123" t="s">
        <v>176</v>
      </c>
      <c r="E11123">
        <v>0</v>
      </c>
      <c r="F11123">
        <v>0</v>
      </c>
      <c r="G11123">
        <v>0</v>
      </c>
      <c r="H11123">
        <f>_xlfn.XLOOKUP(FACT_IMPORTS[[#This Row],[hts_6]],DIM_PRODUCTS[hts_6],DIM_PRODUCTS[hts_4],,,)</f>
        <v>8501</v>
      </c>
      <c r="I11123" t="str" cm="1">
        <f t="array" ref="I11123">_xlfn.XLOOKUP(FACT_IMPORTS[[#This Row],[country_name]],DIM_COUNTRY[[#All],[Column2]],DIM_COUNTRY[[#All],[Column3]],,,)</f>
        <v>Major_Non-USMCA_Non-China</v>
      </c>
    </row>
    <row r="11124" spans="1:9" x14ac:dyDescent="0.4">
      <c r="A11124" t="s">
        <v>73</v>
      </c>
      <c r="B11124" s="1">
        <v>45078</v>
      </c>
      <c r="C11124">
        <v>850152</v>
      </c>
      <c r="D11124" t="s">
        <v>176</v>
      </c>
      <c r="E11124">
        <v>0</v>
      </c>
      <c r="F11124">
        <v>0</v>
      </c>
      <c r="G11124">
        <v>0</v>
      </c>
      <c r="H11124">
        <f>_xlfn.XLOOKUP(FACT_IMPORTS[[#This Row],[hts_6]],DIM_PRODUCTS[hts_6],DIM_PRODUCTS[hts_4],,,)</f>
        <v>8501</v>
      </c>
      <c r="I11124" t="str" cm="1">
        <f t="array" ref="I11124">_xlfn.XLOOKUP(FACT_IMPORTS[[#This Row],[country_name]],DIM_COUNTRY[[#All],[Column2]],DIM_COUNTRY[[#All],[Column3]],,,)</f>
        <v>Major_Non-USMCA_Non-China</v>
      </c>
    </row>
    <row r="11125" spans="1:9" x14ac:dyDescent="0.4">
      <c r="A11125" t="s">
        <v>73</v>
      </c>
      <c r="B11125" s="1">
        <v>45078</v>
      </c>
      <c r="C11125">
        <v>850153</v>
      </c>
      <c r="D11125" t="s">
        <v>176</v>
      </c>
      <c r="E11125">
        <v>14414418</v>
      </c>
      <c r="F11125">
        <v>8010</v>
      </c>
      <c r="G11125">
        <v>7800</v>
      </c>
      <c r="H11125">
        <f>_xlfn.XLOOKUP(FACT_IMPORTS[[#This Row],[hts_6]],DIM_PRODUCTS[hts_6],DIM_PRODUCTS[hts_4],,,)</f>
        <v>8501</v>
      </c>
      <c r="I11125" t="str" cm="1">
        <f t="array" ref="I11125">_xlfn.XLOOKUP(FACT_IMPORTS[[#This Row],[country_name]],DIM_COUNTRY[[#All],[Column2]],DIM_COUNTRY[[#All],[Column3]],,,)</f>
        <v>Major_Non-USMCA_Non-China</v>
      </c>
    </row>
    <row r="11126" spans="1:9" x14ac:dyDescent="0.4">
      <c r="A11126" t="s">
        <v>73</v>
      </c>
      <c r="B11126" s="1">
        <v>45078</v>
      </c>
      <c r="C11126">
        <v>850440</v>
      </c>
      <c r="D11126" t="s">
        <v>176</v>
      </c>
      <c r="E11126">
        <v>7714107</v>
      </c>
      <c r="F11126">
        <v>14617</v>
      </c>
      <c r="G11126">
        <v>3483</v>
      </c>
      <c r="H11126">
        <f>_xlfn.XLOOKUP(FACT_IMPORTS[[#This Row],[hts_6]],DIM_PRODUCTS[hts_6],DIM_PRODUCTS[hts_4],,,)</f>
        <v>8504</v>
      </c>
      <c r="I11126" t="str" cm="1">
        <f t="array" ref="I11126">_xlfn.XLOOKUP(FACT_IMPORTS[[#This Row],[country_name]],DIM_COUNTRY[[#All],[Column2]],DIM_COUNTRY[[#All],[Column3]],,,)</f>
        <v>Major_Non-USMCA_Non-China</v>
      </c>
    </row>
    <row r="11127" spans="1:9" x14ac:dyDescent="0.4">
      <c r="A11127" t="s">
        <v>73</v>
      </c>
      <c r="B11127" s="1">
        <v>45078</v>
      </c>
      <c r="C11127">
        <v>850710</v>
      </c>
      <c r="D11127" t="s">
        <v>176</v>
      </c>
      <c r="E11127">
        <v>1427553</v>
      </c>
      <c r="F11127">
        <v>32293</v>
      </c>
      <c r="G11127">
        <v>6801</v>
      </c>
      <c r="H11127">
        <f>_xlfn.XLOOKUP(FACT_IMPORTS[[#This Row],[hts_6]],DIM_PRODUCTS[hts_6],DIM_PRODUCTS[hts_4],,,)</f>
        <v>8507</v>
      </c>
      <c r="I11127" t="str" cm="1">
        <f t="array" ref="I11127">_xlfn.XLOOKUP(FACT_IMPORTS[[#This Row],[country_name]],DIM_COUNTRY[[#All],[Column2]],DIM_COUNTRY[[#All],[Column3]],,,)</f>
        <v>Major_Non-USMCA_Non-China</v>
      </c>
    </row>
    <row r="11128" spans="1:9" x14ac:dyDescent="0.4">
      <c r="A11128" t="s">
        <v>73</v>
      </c>
      <c r="B11128" s="1">
        <v>45078</v>
      </c>
      <c r="C11128">
        <v>850760</v>
      </c>
      <c r="D11128" t="s">
        <v>176</v>
      </c>
      <c r="E11128">
        <v>12292</v>
      </c>
      <c r="F11128">
        <v>4</v>
      </c>
      <c r="G11128">
        <v>182</v>
      </c>
      <c r="H11128">
        <f>_xlfn.XLOOKUP(FACT_IMPORTS[[#This Row],[hts_6]],DIM_PRODUCTS[hts_6],DIM_PRODUCTS[hts_4],,,)</f>
        <v>8507</v>
      </c>
      <c r="I11128" t="str" cm="1">
        <f t="array" ref="I11128">_xlfn.XLOOKUP(FACT_IMPORTS[[#This Row],[country_name]],DIM_COUNTRY[[#All],[Column2]],DIM_COUNTRY[[#All],[Column3]],,,)</f>
        <v>Major_Non-USMCA_Non-China</v>
      </c>
    </row>
    <row r="11129" spans="1:9" x14ac:dyDescent="0.4">
      <c r="A11129" t="s">
        <v>73</v>
      </c>
      <c r="B11129" s="1">
        <v>45078</v>
      </c>
      <c r="C11129">
        <v>850790</v>
      </c>
      <c r="D11129" t="s">
        <v>176</v>
      </c>
      <c r="E11129">
        <v>6474455</v>
      </c>
      <c r="F11129">
        <v>374966</v>
      </c>
      <c r="G11129">
        <v>85255</v>
      </c>
      <c r="H11129">
        <f>_xlfn.XLOOKUP(FACT_IMPORTS[[#This Row],[hts_6]],DIM_PRODUCTS[hts_6],DIM_PRODUCTS[hts_4],,,)</f>
        <v>8507</v>
      </c>
      <c r="I11129" t="str" cm="1">
        <f t="array" ref="I11129">_xlfn.XLOOKUP(FACT_IMPORTS[[#This Row],[country_name]],DIM_COUNTRY[[#All],[Column2]],DIM_COUNTRY[[#All],[Column3]],,,)</f>
        <v>Major_Non-USMCA_Non-China</v>
      </c>
    </row>
    <row r="11130" spans="1:9" x14ac:dyDescent="0.4">
      <c r="A11130" t="s">
        <v>73</v>
      </c>
      <c r="B11130" s="1">
        <v>45078</v>
      </c>
      <c r="C11130">
        <v>851110</v>
      </c>
      <c r="D11130" t="s">
        <v>176</v>
      </c>
      <c r="E11130">
        <v>0</v>
      </c>
      <c r="F11130">
        <v>0</v>
      </c>
      <c r="G11130">
        <v>0</v>
      </c>
      <c r="H11130">
        <f>_xlfn.XLOOKUP(FACT_IMPORTS[[#This Row],[hts_6]],DIM_PRODUCTS[hts_6],DIM_PRODUCTS[hts_4],,,)</f>
        <v>8511</v>
      </c>
      <c r="I11130" t="str" cm="1">
        <f t="array" ref="I11130">_xlfn.XLOOKUP(FACT_IMPORTS[[#This Row],[country_name]],DIM_COUNTRY[[#All],[Column2]],DIM_COUNTRY[[#All],[Column3]],,,)</f>
        <v>Major_Non-USMCA_Non-China</v>
      </c>
    </row>
    <row r="11131" spans="1:9" x14ac:dyDescent="0.4">
      <c r="A11131" t="s">
        <v>73</v>
      </c>
      <c r="B11131" s="1">
        <v>45078</v>
      </c>
      <c r="C11131">
        <v>851130</v>
      </c>
      <c r="D11131" t="s">
        <v>176</v>
      </c>
      <c r="E11131">
        <v>0</v>
      </c>
      <c r="F11131">
        <v>0</v>
      </c>
      <c r="G11131">
        <v>0</v>
      </c>
      <c r="H11131">
        <f>_xlfn.XLOOKUP(FACT_IMPORTS[[#This Row],[hts_6]],DIM_PRODUCTS[hts_6],DIM_PRODUCTS[hts_4],,,)</f>
        <v>8511</v>
      </c>
      <c r="I11131" t="str" cm="1">
        <f t="array" ref="I11131">_xlfn.XLOOKUP(FACT_IMPORTS[[#This Row],[country_name]],DIM_COUNTRY[[#All],[Column2]],DIM_COUNTRY[[#All],[Column3]],,,)</f>
        <v>Major_Non-USMCA_Non-China</v>
      </c>
    </row>
    <row r="11132" spans="1:9" x14ac:dyDescent="0.4">
      <c r="A11132" t="s">
        <v>73</v>
      </c>
      <c r="B11132" s="1">
        <v>45078</v>
      </c>
      <c r="C11132">
        <v>851140</v>
      </c>
      <c r="D11132" t="s">
        <v>176</v>
      </c>
      <c r="E11132">
        <v>4620920</v>
      </c>
      <c r="F11132">
        <v>14159</v>
      </c>
      <c r="G11132">
        <v>2215</v>
      </c>
      <c r="H11132">
        <f>_xlfn.XLOOKUP(FACT_IMPORTS[[#This Row],[hts_6]],DIM_PRODUCTS[hts_6],DIM_PRODUCTS[hts_4],,,)</f>
        <v>8511</v>
      </c>
      <c r="I11132" t="str" cm="1">
        <f t="array" ref="I11132">_xlfn.XLOOKUP(FACT_IMPORTS[[#This Row],[country_name]],DIM_COUNTRY[[#All],[Column2]],DIM_COUNTRY[[#All],[Column3]],,,)</f>
        <v>Major_Non-USMCA_Non-China</v>
      </c>
    </row>
    <row r="11133" spans="1:9" x14ac:dyDescent="0.4">
      <c r="A11133" t="s">
        <v>73</v>
      </c>
      <c r="B11133" s="1">
        <v>45078</v>
      </c>
      <c r="C11133">
        <v>851150</v>
      </c>
      <c r="D11133" t="s">
        <v>176</v>
      </c>
      <c r="E11133">
        <v>40438</v>
      </c>
      <c r="F11133">
        <v>430</v>
      </c>
      <c r="G11133">
        <v>82</v>
      </c>
      <c r="H11133">
        <f>_xlfn.XLOOKUP(FACT_IMPORTS[[#This Row],[hts_6]],DIM_PRODUCTS[hts_6],DIM_PRODUCTS[hts_4],,,)</f>
        <v>8511</v>
      </c>
      <c r="I11133" t="str" cm="1">
        <f t="array" ref="I11133">_xlfn.XLOOKUP(FACT_IMPORTS[[#This Row],[country_name]],DIM_COUNTRY[[#All],[Column2]],DIM_COUNTRY[[#All],[Column3]],,,)</f>
        <v>Major_Non-USMCA_Non-China</v>
      </c>
    </row>
    <row r="11134" spans="1:9" x14ac:dyDescent="0.4">
      <c r="A11134" t="s">
        <v>73</v>
      </c>
      <c r="B11134" s="1">
        <v>45078</v>
      </c>
      <c r="C11134">
        <v>851190</v>
      </c>
      <c r="D11134" t="s">
        <v>176</v>
      </c>
      <c r="E11134">
        <v>95205</v>
      </c>
      <c r="F11134">
        <v>10420</v>
      </c>
      <c r="G11134">
        <v>3174</v>
      </c>
      <c r="H11134">
        <f>_xlfn.XLOOKUP(FACT_IMPORTS[[#This Row],[hts_6]],DIM_PRODUCTS[hts_6],DIM_PRODUCTS[hts_4],,,)</f>
        <v>8511</v>
      </c>
      <c r="I11134" t="str" cm="1">
        <f t="array" ref="I11134">_xlfn.XLOOKUP(FACT_IMPORTS[[#This Row],[country_name]],DIM_COUNTRY[[#All],[Column2]],DIM_COUNTRY[[#All],[Column3]],,,)</f>
        <v>Major_Non-USMCA_Non-China</v>
      </c>
    </row>
    <row r="11135" spans="1:9" x14ac:dyDescent="0.4">
      <c r="A11135" t="s">
        <v>73</v>
      </c>
      <c r="B11135" s="1">
        <v>45078</v>
      </c>
      <c r="C11135">
        <v>851220</v>
      </c>
      <c r="D11135" t="s">
        <v>176</v>
      </c>
      <c r="E11135">
        <v>11443368</v>
      </c>
      <c r="F11135">
        <v>1378808</v>
      </c>
      <c r="G11135">
        <v>150145</v>
      </c>
      <c r="H11135">
        <f>_xlfn.XLOOKUP(FACT_IMPORTS[[#This Row],[hts_6]],DIM_PRODUCTS[hts_6],DIM_PRODUCTS[hts_4],,,)</f>
        <v>8512</v>
      </c>
      <c r="I11135" t="str" cm="1">
        <f t="array" ref="I11135">_xlfn.XLOOKUP(FACT_IMPORTS[[#This Row],[country_name]],DIM_COUNTRY[[#All],[Column2]],DIM_COUNTRY[[#All],[Column3]],,,)</f>
        <v>Major_Non-USMCA_Non-China</v>
      </c>
    </row>
    <row r="11136" spans="1:9" x14ac:dyDescent="0.4">
      <c r="A11136" t="s">
        <v>73</v>
      </c>
      <c r="B11136" s="1">
        <v>45078</v>
      </c>
      <c r="C11136">
        <v>851240</v>
      </c>
      <c r="D11136" t="s">
        <v>176</v>
      </c>
      <c r="E11136">
        <v>165048</v>
      </c>
      <c r="F11136">
        <v>7628</v>
      </c>
      <c r="G11136">
        <v>7955</v>
      </c>
      <c r="H11136">
        <f>_xlfn.XLOOKUP(FACT_IMPORTS[[#This Row],[hts_6]],DIM_PRODUCTS[hts_6],DIM_PRODUCTS[hts_4],,,)</f>
        <v>8512</v>
      </c>
      <c r="I11136" t="str" cm="1">
        <f t="array" ref="I11136">_xlfn.XLOOKUP(FACT_IMPORTS[[#This Row],[country_name]],DIM_COUNTRY[[#All],[Column2]],DIM_COUNTRY[[#All],[Column3]],,,)</f>
        <v>Major_Non-USMCA_Non-China</v>
      </c>
    </row>
    <row r="11137" spans="1:9" x14ac:dyDescent="0.4">
      <c r="A11137" t="s">
        <v>73</v>
      </c>
      <c r="B11137" s="1">
        <v>45078</v>
      </c>
      <c r="C11137">
        <v>851290</v>
      </c>
      <c r="D11137" t="s">
        <v>176</v>
      </c>
      <c r="E11137">
        <v>830724</v>
      </c>
      <c r="F11137">
        <v>56449</v>
      </c>
      <c r="G11137">
        <v>33431</v>
      </c>
      <c r="H11137">
        <f>_xlfn.XLOOKUP(FACT_IMPORTS[[#This Row],[hts_6]],DIM_PRODUCTS[hts_6],DIM_PRODUCTS[hts_4],,,)</f>
        <v>8512</v>
      </c>
      <c r="I11137" t="str" cm="1">
        <f t="array" ref="I11137">_xlfn.XLOOKUP(FACT_IMPORTS[[#This Row],[country_name]],DIM_COUNTRY[[#All],[Column2]],DIM_COUNTRY[[#All],[Column3]],,,)</f>
        <v>Major_Non-USMCA_Non-China</v>
      </c>
    </row>
    <row r="11138" spans="1:9" x14ac:dyDescent="0.4">
      <c r="A11138" t="s">
        <v>73</v>
      </c>
      <c r="B11138" s="1">
        <v>45078</v>
      </c>
      <c r="C11138">
        <v>854231</v>
      </c>
      <c r="D11138" t="s">
        <v>176</v>
      </c>
      <c r="E11138">
        <v>0</v>
      </c>
      <c r="F11138">
        <v>0</v>
      </c>
      <c r="G11138">
        <v>0</v>
      </c>
      <c r="H11138">
        <f>_xlfn.XLOOKUP(FACT_IMPORTS[[#This Row],[hts_6]],DIM_PRODUCTS[hts_6],DIM_PRODUCTS[hts_4],,,)</f>
        <v>8542</v>
      </c>
      <c r="I11138" t="str" cm="1">
        <f t="array" ref="I11138">_xlfn.XLOOKUP(FACT_IMPORTS[[#This Row],[country_name]],DIM_COUNTRY[[#All],[Column2]],DIM_COUNTRY[[#All],[Column3]],,,)</f>
        <v>Major_Non-USMCA_Non-China</v>
      </c>
    </row>
    <row r="11139" spans="1:9" x14ac:dyDescent="0.4">
      <c r="A11139" t="s">
        <v>73</v>
      </c>
      <c r="B11139" s="1">
        <v>45078</v>
      </c>
      <c r="C11139">
        <v>854232</v>
      </c>
      <c r="D11139" t="s">
        <v>176</v>
      </c>
      <c r="E11139">
        <v>0</v>
      </c>
      <c r="F11139">
        <v>0</v>
      </c>
      <c r="G11139">
        <v>0</v>
      </c>
      <c r="H11139">
        <f>_xlfn.XLOOKUP(FACT_IMPORTS[[#This Row],[hts_6]],DIM_PRODUCTS[hts_6],DIM_PRODUCTS[hts_4],,,)</f>
        <v>8542</v>
      </c>
      <c r="I11139" t="str" cm="1">
        <f t="array" ref="I11139">_xlfn.XLOOKUP(FACT_IMPORTS[[#This Row],[country_name]],DIM_COUNTRY[[#All],[Column2]],DIM_COUNTRY[[#All],[Column3]],,,)</f>
        <v>Major_Non-USMCA_Non-China</v>
      </c>
    </row>
    <row r="11140" spans="1:9" x14ac:dyDescent="0.4">
      <c r="A11140" t="s">
        <v>73</v>
      </c>
      <c r="B11140" s="1">
        <v>45078</v>
      </c>
      <c r="C11140">
        <v>854239</v>
      </c>
      <c r="D11140" t="s">
        <v>176</v>
      </c>
      <c r="E11140">
        <v>8574</v>
      </c>
      <c r="F11140">
        <v>2250</v>
      </c>
      <c r="G11140">
        <v>858</v>
      </c>
      <c r="H11140">
        <f>_xlfn.XLOOKUP(FACT_IMPORTS[[#This Row],[hts_6]],DIM_PRODUCTS[hts_6],DIM_PRODUCTS[hts_4],,,)</f>
        <v>8542</v>
      </c>
      <c r="I11140" t="str" cm="1">
        <f t="array" ref="I11140">_xlfn.XLOOKUP(FACT_IMPORTS[[#This Row],[country_name]],DIM_COUNTRY[[#All],[Column2]],DIM_COUNTRY[[#All],[Column3]],,,)</f>
        <v>Major_Non-USMCA_Non-China</v>
      </c>
    </row>
    <row r="11141" spans="1:9" x14ac:dyDescent="0.4">
      <c r="A11141" t="s">
        <v>73</v>
      </c>
      <c r="B11141" s="1">
        <v>45078</v>
      </c>
      <c r="C11141">
        <v>854430</v>
      </c>
      <c r="D11141" t="s">
        <v>176</v>
      </c>
      <c r="E11141">
        <v>1580356</v>
      </c>
      <c r="F11141">
        <v>6065</v>
      </c>
      <c r="G11141">
        <v>1972</v>
      </c>
      <c r="H11141">
        <f>_xlfn.XLOOKUP(FACT_IMPORTS[[#This Row],[hts_6]],DIM_PRODUCTS[hts_6],DIM_PRODUCTS[hts_4],,,)</f>
        <v>8544</v>
      </c>
      <c r="I11141" t="str" cm="1">
        <f t="array" ref="I11141">_xlfn.XLOOKUP(FACT_IMPORTS[[#This Row],[country_name]],DIM_COUNTRY[[#All],[Column2]],DIM_COUNTRY[[#All],[Column3]],,,)</f>
        <v>Major_Non-USMCA_Non-China</v>
      </c>
    </row>
    <row r="11142" spans="1:9" x14ac:dyDescent="0.4">
      <c r="A11142" t="s">
        <v>73</v>
      </c>
      <c r="B11142" s="1">
        <v>45078</v>
      </c>
      <c r="C11142">
        <v>870810</v>
      </c>
      <c r="D11142" t="s">
        <v>176</v>
      </c>
      <c r="E11142">
        <v>1124004</v>
      </c>
      <c r="F11142">
        <v>103401</v>
      </c>
      <c r="G11142">
        <v>7000</v>
      </c>
      <c r="H11142">
        <f>_xlfn.XLOOKUP(FACT_IMPORTS[[#This Row],[hts_6]],DIM_PRODUCTS[hts_6],DIM_PRODUCTS[hts_4],,,)</f>
        <v>8708</v>
      </c>
      <c r="I11142" t="str" cm="1">
        <f t="array" ref="I11142">_xlfn.XLOOKUP(FACT_IMPORTS[[#This Row],[country_name]],DIM_COUNTRY[[#All],[Column2]],DIM_COUNTRY[[#All],[Column3]],,,)</f>
        <v>Major_Non-USMCA_Non-China</v>
      </c>
    </row>
    <row r="11143" spans="1:9" x14ac:dyDescent="0.4">
      <c r="A11143" t="s">
        <v>73</v>
      </c>
      <c r="B11143" s="1">
        <v>45078</v>
      </c>
      <c r="C11143">
        <v>870821</v>
      </c>
      <c r="D11143" t="s">
        <v>176</v>
      </c>
      <c r="E11143">
        <v>0</v>
      </c>
      <c r="F11143">
        <v>0</v>
      </c>
      <c r="G11143">
        <v>0</v>
      </c>
      <c r="H11143">
        <f>_xlfn.XLOOKUP(FACT_IMPORTS[[#This Row],[hts_6]],DIM_PRODUCTS[hts_6],DIM_PRODUCTS[hts_4],,,)</f>
        <v>8708</v>
      </c>
      <c r="I11143" t="str" cm="1">
        <f t="array" ref="I11143">_xlfn.XLOOKUP(FACT_IMPORTS[[#This Row],[country_name]],DIM_COUNTRY[[#All],[Column2]],DIM_COUNTRY[[#All],[Column3]],,,)</f>
        <v>Major_Non-USMCA_Non-China</v>
      </c>
    </row>
    <row r="11144" spans="1:9" x14ac:dyDescent="0.4">
      <c r="A11144" t="s">
        <v>73</v>
      </c>
      <c r="B11144" s="1">
        <v>45078</v>
      </c>
      <c r="C11144">
        <v>870822</v>
      </c>
      <c r="D11144" t="s">
        <v>176</v>
      </c>
      <c r="E11144">
        <v>31572</v>
      </c>
      <c r="F11144">
        <v>165</v>
      </c>
      <c r="G11144">
        <v>132</v>
      </c>
      <c r="H11144">
        <f>_xlfn.XLOOKUP(FACT_IMPORTS[[#This Row],[hts_6]],DIM_PRODUCTS[hts_6],DIM_PRODUCTS[hts_4],,,)</f>
        <v>8708</v>
      </c>
      <c r="I11144" t="str" cm="1">
        <f t="array" ref="I11144">_xlfn.XLOOKUP(FACT_IMPORTS[[#This Row],[country_name]],DIM_COUNTRY[[#All],[Column2]],DIM_COUNTRY[[#All],[Column3]],,,)</f>
        <v>Major_Non-USMCA_Non-China</v>
      </c>
    </row>
    <row r="11145" spans="1:9" x14ac:dyDescent="0.4">
      <c r="A11145" t="s">
        <v>73</v>
      </c>
      <c r="B11145" s="1">
        <v>45078</v>
      </c>
      <c r="C11145">
        <v>870829</v>
      </c>
      <c r="D11145" t="s">
        <v>176</v>
      </c>
      <c r="E11145">
        <v>8222606</v>
      </c>
      <c r="F11145">
        <v>3316200</v>
      </c>
      <c r="G11145">
        <v>243736</v>
      </c>
      <c r="H11145">
        <f>_xlfn.XLOOKUP(FACT_IMPORTS[[#This Row],[hts_6]],DIM_PRODUCTS[hts_6],DIM_PRODUCTS[hts_4],,,)</f>
        <v>8708</v>
      </c>
      <c r="I11145" t="str" cm="1">
        <f t="array" ref="I11145">_xlfn.XLOOKUP(FACT_IMPORTS[[#This Row],[country_name]],DIM_COUNTRY[[#All],[Column2]],DIM_COUNTRY[[#All],[Column3]],,,)</f>
        <v>Major_Non-USMCA_Non-China</v>
      </c>
    </row>
    <row r="11146" spans="1:9" x14ac:dyDescent="0.4">
      <c r="A11146" t="s">
        <v>73</v>
      </c>
      <c r="B11146" s="1">
        <v>45078</v>
      </c>
      <c r="C11146">
        <v>870830</v>
      </c>
      <c r="D11146" t="s">
        <v>176</v>
      </c>
      <c r="E11146">
        <v>654457</v>
      </c>
      <c r="F11146">
        <v>201397</v>
      </c>
      <c r="G11146">
        <v>12782</v>
      </c>
      <c r="H11146">
        <f>_xlfn.XLOOKUP(FACT_IMPORTS[[#This Row],[hts_6]],DIM_PRODUCTS[hts_6],DIM_PRODUCTS[hts_4],,,)</f>
        <v>8708</v>
      </c>
      <c r="I11146" t="str" cm="1">
        <f t="array" ref="I11146">_xlfn.XLOOKUP(FACT_IMPORTS[[#This Row],[country_name]],DIM_COUNTRY[[#All],[Column2]],DIM_COUNTRY[[#All],[Column3]],,,)</f>
        <v>Major_Non-USMCA_Non-China</v>
      </c>
    </row>
    <row r="11147" spans="1:9" x14ac:dyDescent="0.4">
      <c r="A11147" t="s">
        <v>73</v>
      </c>
      <c r="B11147" s="1">
        <v>45078</v>
      </c>
      <c r="C11147">
        <v>870840</v>
      </c>
      <c r="D11147" t="s">
        <v>176</v>
      </c>
      <c r="E11147">
        <v>3868759</v>
      </c>
      <c r="F11147">
        <v>560058</v>
      </c>
      <c r="G11147">
        <v>45447</v>
      </c>
      <c r="H11147">
        <f>_xlfn.XLOOKUP(FACT_IMPORTS[[#This Row],[hts_6]],DIM_PRODUCTS[hts_6],DIM_PRODUCTS[hts_4],,,)</f>
        <v>8708</v>
      </c>
      <c r="I11147" t="str" cm="1">
        <f t="array" ref="I11147">_xlfn.XLOOKUP(FACT_IMPORTS[[#This Row],[country_name]],DIM_COUNTRY[[#All],[Column2]],DIM_COUNTRY[[#All],[Column3]],,,)</f>
        <v>Major_Non-USMCA_Non-China</v>
      </c>
    </row>
    <row r="11148" spans="1:9" x14ac:dyDescent="0.4">
      <c r="A11148" t="s">
        <v>73</v>
      </c>
      <c r="B11148" s="1">
        <v>45078</v>
      </c>
      <c r="C11148">
        <v>870850</v>
      </c>
      <c r="D11148" t="s">
        <v>176</v>
      </c>
      <c r="E11148">
        <v>21705542</v>
      </c>
      <c r="F11148">
        <v>1283469</v>
      </c>
      <c r="G11148">
        <v>724553</v>
      </c>
      <c r="H11148">
        <f>_xlfn.XLOOKUP(FACT_IMPORTS[[#This Row],[hts_6]],DIM_PRODUCTS[hts_6],DIM_PRODUCTS[hts_4],,,)</f>
        <v>8708</v>
      </c>
      <c r="I11148" t="str" cm="1">
        <f t="array" ref="I11148">_xlfn.XLOOKUP(FACT_IMPORTS[[#This Row],[country_name]],DIM_COUNTRY[[#All],[Column2]],DIM_COUNTRY[[#All],[Column3]],,,)</f>
        <v>Major_Non-USMCA_Non-China</v>
      </c>
    </row>
    <row r="11149" spans="1:9" x14ac:dyDescent="0.4">
      <c r="A11149" t="s">
        <v>73</v>
      </c>
      <c r="B11149" s="1">
        <v>45078</v>
      </c>
      <c r="C11149">
        <v>870870</v>
      </c>
      <c r="D11149" t="s">
        <v>176</v>
      </c>
      <c r="E11149">
        <v>3959564</v>
      </c>
      <c r="F11149">
        <v>61827</v>
      </c>
      <c r="G11149">
        <v>35840</v>
      </c>
      <c r="H11149">
        <f>_xlfn.XLOOKUP(FACT_IMPORTS[[#This Row],[hts_6]],DIM_PRODUCTS[hts_6],DIM_PRODUCTS[hts_4],,,)</f>
        <v>8708</v>
      </c>
      <c r="I11149" t="str" cm="1">
        <f t="array" ref="I11149">_xlfn.XLOOKUP(FACT_IMPORTS[[#This Row],[country_name]],DIM_COUNTRY[[#All],[Column2]],DIM_COUNTRY[[#All],[Column3]],,,)</f>
        <v>Major_Non-USMCA_Non-China</v>
      </c>
    </row>
    <row r="11150" spans="1:9" x14ac:dyDescent="0.4">
      <c r="A11150" t="s">
        <v>73</v>
      </c>
      <c r="B11150" s="1">
        <v>45078</v>
      </c>
      <c r="C11150">
        <v>870880</v>
      </c>
      <c r="D11150" t="s">
        <v>176</v>
      </c>
      <c r="E11150">
        <v>5276313</v>
      </c>
      <c r="F11150">
        <v>1267389</v>
      </c>
      <c r="G11150">
        <v>160697</v>
      </c>
      <c r="H11150">
        <f>_xlfn.XLOOKUP(FACT_IMPORTS[[#This Row],[hts_6]],DIM_PRODUCTS[hts_6],DIM_PRODUCTS[hts_4],,,)</f>
        <v>8708</v>
      </c>
      <c r="I11150" t="str" cm="1">
        <f t="array" ref="I11150">_xlfn.XLOOKUP(FACT_IMPORTS[[#This Row],[country_name]],DIM_COUNTRY[[#All],[Column2]],DIM_COUNTRY[[#All],[Column3]],,,)</f>
        <v>Major_Non-USMCA_Non-China</v>
      </c>
    </row>
    <row r="11151" spans="1:9" x14ac:dyDescent="0.4">
      <c r="A11151" t="s">
        <v>73</v>
      </c>
      <c r="B11151" s="1">
        <v>45078</v>
      </c>
      <c r="C11151">
        <v>870891</v>
      </c>
      <c r="D11151" t="s">
        <v>176</v>
      </c>
      <c r="E11151">
        <v>182964</v>
      </c>
      <c r="F11151">
        <v>6295</v>
      </c>
      <c r="G11151">
        <v>395</v>
      </c>
      <c r="H11151">
        <f>_xlfn.XLOOKUP(FACT_IMPORTS[[#This Row],[hts_6]],DIM_PRODUCTS[hts_6],DIM_PRODUCTS[hts_4],,,)</f>
        <v>8708</v>
      </c>
      <c r="I11151" t="str" cm="1">
        <f t="array" ref="I11151">_xlfn.XLOOKUP(FACT_IMPORTS[[#This Row],[country_name]],DIM_COUNTRY[[#All],[Column2]],DIM_COUNTRY[[#All],[Column3]],,,)</f>
        <v>Major_Non-USMCA_Non-China</v>
      </c>
    </row>
    <row r="11152" spans="1:9" x14ac:dyDescent="0.4">
      <c r="A11152" t="s">
        <v>73</v>
      </c>
      <c r="B11152" s="1">
        <v>45078</v>
      </c>
      <c r="C11152">
        <v>870892</v>
      </c>
      <c r="D11152" t="s">
        <v>176</v>
      </c>
      <c r="E11152">
        <v>120392</v>
      </c>
      <c r="F11152">
        <v>384</v>
      </c>
      <c r="G11152">
        <v>240</v>
      </c>
      <c r="H11152">
        <f>_xlfn.XLOOKUP(FACT_IMPORTS[[#This Row],[hts_6]],DIM_PRODUCTS[hts_6],DIM_PRODUCTS[hts_4],,,)</f>
        <v>8708</v>
      </c>
      <c r="I11152" t="str" cm="1">
        <f t="array" ref="I11152">_xlfn.XLOOKUP(FACT_IMPORTS[[#This Row],[country_name]],DIM_COUNTRY[[#All],[Column2]],DIM_COUNTRY[[#All],[Column3]],,,)</f>
        <v>Major_Non-USMCA_Non-China</v>
      </c>
    </row>
    <row r="11153" spans="1:9" x14ac:dyDescent="0.4">
      <c r="A11153" t="s">
        <v>73</v>
      </c>
      <c r="B11153" s="1">
        <v>45078</v>
      </c>
      <c r="C11153">
        <v>870893</v>
      </c>
      <c r="D11153" t="s">
        <v>176</v>
      </c>
      <c r="E11153">
        <v>1110452</v>
      </c>
      <c r="F11153">
        <v>254869</v>
      </c>
      <c r="G11153">
        <v>9498</v>
      </c>
      <c r="H11153">
        <f>_xlfn.XLOOKUP(FACT_IMPORTS[[#This Row],[hts_6]],DIM_PRODUCTS[hts_6],DIM_PRODUCTS[hts_4],,,)</f>
        <v>8708</v>
      </c>
      <c r="I11153" t="str" cm="1">
        <f t="array" ref="I11153">_xlfn.XLOOKUP(FACT_IMPORTS[[#This Row],[country_name]],DIM_COUNTRY[[#All],[Column2]],DIM_COUNTRY[[#All],[Column3]],,,)</f>
        <v>Major_Non-USMCA_Non-China</v>
      </c>
    </row>
    <row r="11154" spans="1:9" x14ac:dyDescent="0.4">
      <c r="A11154" t="s">
        <v>73</v>
      </c>
      <c r="B11154" s="1">
        <v>45078</v>
      </c>
      <c r="C11154">
        <v>870894</v>
      </c>
      <c r="D11154" t="s">
        <v>176</v>
      </c>
      <c r="E11154">
        <v>1890502</v>
      </c>
      <c r="F11154">
        <v>220512</v>
      </c>
      <c r="G11154">
        <v>26002</v>
      </c>
      <c r="H11154">
        <f>_xlfn.XLOOKUP(FACT_IMPORTS[[#This Row],[hts_6]],DIM_PRODUCTS[hts_6],DIM_PRODUCTS[hts_4],,,)</f>
        <v>8708</v>
      </c>
      <c r="I11154" t="str" cm="1">
        <f t="array" ref="I11154">_xlfn.XLOOKUP(FACT_IMPORTS[[#This Row],[country_name]],DIM_COUNTRY[[#All],[Column2]],DIM_COUNTRY[[#All],[Column3]],,,)</f>
        <v>Major_Non-USMCA_Non-China</v>
      </c>
    </row>
    <row r="11155" spans="1:9" x14ac:dyDescent="0.4">
      <c r="A11155" t="s">
        <v>73</v>
      </c>
      <c r="B11155" s="1">
        <v>45078</v>
      </c>
      <c r="C11155">
        <v>870895</v>
      </c>
      <c r="D11155" t="s">
        <v>176</v>
      </c>
      <c r="E11155">
        <v>0</v>
      </c>
      <c r="F11155">
        <v>0</v>
      </c>
      <c r="G11155">
        <v>0</v>
      </c>
      <c r="H11155">
        <f>_xlfn.XLOOKUP(FACT_IMPORTS[[#This Row],[hts_6]],DIM_PRODUCTS[hts_6],DIM_PRODUCTS[hts_4],,,)</f>
        <v>8708</v>
      </c>
      <c r="I11155" t="str" cm="1">
        <f t="array" ref="I11155">_xlfn.XLOOKUP(FACT_IMPORTS[[#This Row],[country_name]],DIM_COUNTRY[[#All],[Column2]],DIM_COUNTRY[[#All],[Column3]],,,)</f>
        <v>Major_Non-USMCA_Non-China</v>
      </c>
    </row>
    <row r="11156" spans="1:9" x14ac:dyDescent="0.4">
      <c r="A11156" t="s">
        <v>73</v>
      </c>
      <c r="B11156" s="1">
        <v>45078</v>
      </c>
      <c r="C11156">
        <v>870899</v>
      </c>
      <c r="D11156" t="s">
        <v>176</v>
      </c>
      <c r="E11156">
        <v>22560697</v>
      </c>
      <c r="F11156">
        <v>3873268</v>
      </c>
      <c r="G11156">
        <v>545780</v>
      </c>
      <c r="H11156">
        <f>_xlfn.XLOOKUP(FACT_IMPORTS[[#This Row],[hts_6]],DIM_PRODUCTS[hts_6],DIM_PRODUCTS[hts_4],,,)</f>
        <v>8708</v>
      </c>
      <c r="I11156" t="str" cm="1">
        <f t="array" ref="I11156">_xlfn.XLOOKUP(FACT_IMPORTS[[#This Row],[country_name]],DIM_COUNTRY[[#All],[Column2]],DIM_COUNTRY[[#All],[Column3]],,,)</f>
        <v>Major_Non-USMCA_Non-China</v>
      </c>
    </row>
    <row r="11157" spans="1:9" x14ac:dyDescent="0.4">
      <c r="A11157" t="s">
        <v>73</v>
      </c>
      <c r="B11157" s="1">
        <v>45078</v>
      </c>
      <c r="C11157">
        <v>940120</v>
      </c>
      <c r="D11157" t="s">
        <v>176</v>
      </c>
      <c r="E11157">
        <v>0</v>
      </c>
      <c r="F11157">
        <v>0</v>
      </c>
      <c r="G11157">
        <v>0</v>
      </c>
      <c r="H11157">
        <f>_xlfn.XLOOKUP(FACT_IMPORTS[[#This Row],[hts_6]],DIM_PRODUCTS[hts_6],DIM_PRODUCTS[hts_4],,,)</f>
        <v>9401</v>
      </c>
      <c r="I11157" t="str" cm="1">
        <f t="array" ref="I11157">_xlfn.XLOOKUP(FACT_IMPORTS[[#This Row],[country_name]],DIM_COUNTRY[[#All],[Column2]],DIM_COUNTRY[[#All],[Column3]],,,)</f>
        <v>Major_Non-USMCA_Non-China</v>
      </c>
    </row>
    <row r="11158" spans="1:9" x14ac:dyDescent="0.4">
      <c r="A11158" t="s">
        <v>73</v>
      </c>
      <c r="B11158" s="1">
        <v>45108</v>
      </c>
      <c r="C11158">
        <v>392630</v>
      </c>
      <c r="D11158" t="s">
        <v>176</v>
      </c>
      <c r="E11158">
        <v>273397</v>
      </c>
      <c r="F11158">
        <v>17516</v>
      </c>
      <c r="G11158">
        <v>12672</v>
      </c>
      <c r="H11158">
        <f>_xlfn.XLOOKUP(FACT_IMPORTS[[#This Row],[hts_6]],DIM_PRODUCTS[hts_6],DIM_PRODUCTS[hts_4],,,)</f>
        <v>3926</v>
      </c>
      <c r="I11158" t="str" cm="1">
        <f t="array" ref="I11158">_xlfn.XLOOKUP(FACT_IMPORTS[[#This Row],[country_name]],DIM_COUNTRY[[#All],[Column2]],DIM_COUNTRY[[#All],[Column3]],,,)</f>
        <v>Major_Non-USMCA_Non-China</v>
      </c>
    </row>
    <row r="11159" spans="1:9" x14ac:dyDescent="0.4">
      <c r="A11159" t="s">
        <v>73</v>
      </c>
      <c r="B11159" s="1">
        <v>45108</v>
      </c>
      <c r="C11159">
        <v>401110</v>
      </c>
      <c r="D11159" t="s">
        <v>176</v>
      </c>
      <c r="E11159">
        <v>5183729</v>
      </c>
      <c r="F11159">
        <v>84798</v>
      </c>
      <c r="G11159">
        <v>762587</v>
      </c>
      <c r="H11159">
        <f>_xlfn.XLOOKUP(FACT_IMPORTS[[#This Row],[hts_6]],DIM_PRODUCTS[hts_6],DIM_PRODUCTS[hts_4],,,)</f>
        <v>4011</v>
      </c>
      <c r="I11159" t="str" cm="1">
        <f t="array" ref="I11159">_xlfn.XLOOKUP(FACT_IMPORTS[[#This Row],[country_name]],DIM_COUNTRY[[#All],[Column2]],DIM_COUNTRY[[#All],[Column3]],,,)</f>
        <v>Major_Non-USMCA_Non-China</v>
      </c>
    </row>
    <row r="11160" spans="1:9" x14ac:dyDescent="0.4">
      <c r="A11160" t="s">
        <v>73</v>
      </c>
      <c r="B11160" s="1">
        <v>45108</v>
      </c>
      <c r="C11160">
        <v>401120</v>
      </c>
      <c r="D11160" t="s">
        <v>176</v>
      </c>
      <c r="E11160">
        <v>73932</v>
      </c>
      <c r="F11160">
        <v>932</v>
      </c>
      <c r="G11160">
        <v>9122</v>
      </c>
      <c r="H11160">
        <f>_xlfn.XLOOKUP(FACT_IMPORTS[[#This Row],[hts_6]],DIM_PRODUCTS[hts_6],DIM_PRODUCTS[hts_4],,,)</f>
        <v>4011</v>
      </c>
      <c r="I11160" t="str" cm="1">
        <f t="array" ref="I11160">_xlfn.XLOOKUP(FACT_IMPORTS[[#This Row],[country_name]],DIM_COUNTRY[[#All],[Column2]],DIM_COUNTRY[[#All],[Column3]],,,)</f>
        <v>Major_Non-USMCA_Non-China</v>
      </c>
    </row>
    <row r="11161" spans="1:9" x14ac:dyDescent="0.4">
      <c r="A11161" t="s">
        <v>73</v>
      </c>
      <c r="B11161" s="1">
        <v>45108</v>
      </c>
      <c r="C11161">
        <v>401190</v>
      </c>
      <c r="D11161" t="s">
        <v>176</v>
      </c>
      <c r="E11161">
        <v>0</v>
      </c>
      <c r="F11161">
        <v>0</v>
      </c>
      <c r="G11161">
        <v>0</v>
      </c>
      <c r="H11161">
        <f>_xlfn.XLOOKUP(FACT_IMPORTS[[#This Row],[hts_6]],DIM_PRODUCTS[hts_6],DIM_PRODUCTS[hts_4],,,)</f>
        <v>4011</v>
      </c>
      <c r="I11161" t="str" cm="1">
        <f t="array" ref="I11161">_xlfn.XLOOKUP(FACT_IMPORTS[[#This Row],[country_name]],DIM_COUNTRY[[#All],[Column2]],DIM_COUNTRY[[#All],[Column3]],,,)</f>
        <v>Major_Non-USMCA_Non-China</v>
      </c>
    </row>
    <row r="11162" spans="1:9" x14ac:dyDescent="0.4">
      <c r="A11162" t="s">
        <v>73</v>
      </c>
      <c r="B11162" s="1">
        <v>45108</v>
      </c>
      <c r="C11162">
        <v>700910</v>
      </c>
      <c r="D11162" t="s">
        <v>176</v>
      </c>
      <c r="E11162">
        <v>9347</v>
      </c>
      <c r="F11162">
        <v>71</v>
      </c>
      <c r="G11162">
        <v>21</v>
      </c>
      <c r="H11162">
        <f>_xlfn.XLOOKUP(FACT_IMPORTS[[#This Row],[hts_6]],DIM_PRODUCTS[hts_6],DIM_PRODUCTS[hts_4],,,)</f>
        <v>7009</v>
      </c>
      <c r="I11162" t="str" cm="1">
        <f t="array" ref="I11162">_xlfn.XLOOKUP(FACT_IMPORTS[[#This Row],[country_name]],DIM_COUNTRY[[#All],[Column2]],DIM_COUNTRY[[#All],[Column3]],,,)</f>
        <v>Major_Non-USMCA_Non-China</v>
      </c>
    </row>
    <row r="11163" spans="1:9" x14ac:dyDescent="0.4">
      <c r="A11163" t="s">
        <v>73</v>
      </c>
      <c r="B11163" s="1">
        <v>45108</v>
      </c>
      <c r="C11163">
        <v>830230</v>
      </c>
      <c r="D11163" t="s">
        <v>176</v>
      </c>
      <c r="E11163">
        <v>1935073</v>
      </c>
      <c r="F11163">
        <v>289785</v>
      </c>
      <c r="G11163">
        <v>41966</v>
      </c>
      <c r="H11163">
        <f>_xlfn.XLOOKUP(FACT_IMPORTS[[#This Row],[hts_6]],DIM_PRODUCTS[hts_6],DIM_PRODUCTS[hts_4],,,)</f>
        <v>8302</v>
      </c>
      <c r="I11163" t="str" cm="1">
        <f t="array" ref="I11163">_xlfn.XLOOKUP(FACT_IMPORTS[[#This Row],[country_name]],DIM_COUNTRY[[#All],[Column2]],DIM_COUNTRY[[#All],[Column3]],,,)</f>
        <v>Major_Non-USMCA_Non-China</v>
      </c>
    </row>
    <row r="11164" spans="1:9" x14ac:dyDescent="0.4">
      <c r="A11164" t="s">
        <v>73</v>
      </c>
      <c r="B11164" s="1">
        <v>45108</v>
      </c>
      <c r="C11164">
        <v>840734</v>
      </c>
      <c r="D11164" t="s">
        <v>176</v>
      </c>
      <c r="E11164">
        <v>0</v>
      </c>
      <c r="F11164">
        <v>0</v>
      </c>
      <c r="G11164">
        <v>0</v>
      </c>
      <c r="H11164">
        <f>_xlfn.XLOOKUP(FACT_IMPORTS[[#This Row],[hts_6]],DIM_PRODUCTS[hts_6],DIM_PRODUCTS[hts_4],,,)</f>
        <v>8407</v>
      </c>
      <c r="I11164" t="str" cm="1">
        <f t="array" ref="I11164">_xlfn.XLOOKUP(FACT_IMPORTS[[#This Row],[country_name]],DIM_COUNTRY[[#All],[Column2]],DIM_COUNTRY[[#All],[Column3]],,,)</f>
        <v>Major_Non-USMCA_Non-China</v>
      </c>
    </row>
    <row r="11165" spans="1:9" x14ac:dyDescent="0.4">
      <c r="A11165" t="s">
        <v>73</v>
      </c>
      <c r="B11165" s="1">
        <v>45108</v>
      </c>
      <c r="C11165">
        <v>840820</v>
      </c>
      <c r="D11165" t="s">
        <v>176</v>
      </c>
      <c r="E11165">
        <v>2200</v>
      </c>
      <c r="F11165">
        <v>1</v>
      </c>
      <c r="G11165">
        <v>3870</v>
      </c>
      <c r="H11165">
        <f>_xlfn.XLOOKUP(FACT_IMPORTS[[#This Row],[hts_6]],DIM_PRODUCTS[hts_6],DIM_PRODUCTS[hts_4],,,)</f>
        <v>8408</v>
      </c>
      <c r="I11165" t="str" cm="1">
        <f t="array" ref="I11165">_xlfn.XLOOKUP(FACT_IMPORTS[[#This Row],[country_name]],DIM_COUNTRY[[#All],[Column2]],DIM_COUNTRY[[#All],[Column3]],,,)</f>
        <v>Major_Non-USMCA_Non-China</v>
      </c>
    </row>
    <row r="11166" spans="1:9" x14ac:dyDescent="0.4">
      <c r="A11166" t="s">
        <v>73</v>
      </c>
      <c r="B11166" s="1">
        <v>45108</v>
      </c>
      <c r="C11166">
        <v>840890</v>
      </c>
      <c r="D11166" t="s">
        <v>176</v>
      </c>
      <c r="E11166">
        <v>0</v>
      </c>
      <c r="F11166">
        <v>0</v>
      </c>
      <c r="G11166">
        <v>0</v>
      </c>
      <c r="H11166">
        <f>_xlfn.XLOOKUP(FACT_IMPORTS[[#This Row],[hts_6]],DIM_PRODUCTS[hts_6],DIM_PRODUCTS[hts_4],,,)</f>
        <v>8408</v>
      </c>
      <c r="I11166" t="str" cm="1">
        <f t="array" ref="I11166">_xlfn.XLOOKUP(FACT_IMPORTS[[#This Row],[country_name]],DIM_COUNTRY[[#All],[Column2]],DIM_COUNTRY[[#All],[Column3]],,,)</f>
        <v>Major_Non-USMCA_Non-China</v>
      </c>
    </row>
    <row r="11167" spans="1:9" x14ac:dyDescent="0.4">
      <c r="A11167" t="s">
        <v>73</v>
      </c>
      <c r="B11167" s="1">
        <v>45108</v>
      </c>
      <c r="C11167">
        <v>840991</v>
      </c>
      <c r="D11167" t="s">
        <v>176</v>
      </c>
      <c r="E11167">
        <v>4789293</v>
      </c>
      <c r="F11167">
        <v>509726</v>
      </c>
      <c r="G11167">
        <v>95147</v>
      </c>
      <c r="H11167">
        <f>_xlfn.XLOOKUP(FACT_IMPORTS[[#This Row],[hts_6]],DIM_PRODUCTS[hts_6],DIM_PRODUCTS[hts_4],,,)</f>
        <v>8409</v>
      </c>
      <c r="I11167" t="str" cm="1">
        <f t="array" ref="I11167">_xlfn.XLOOKUP(FACT_IMPORTS[[#This Row],[country_name]],DIM_COUNTRY[[#All],[Column2]],DIM_COUNTRY[[#All],[Column3]],,,)</f>
        <v>Major_Non-USMCA_Non-China</v>
      </c>
    </row>
    <row r="11168" spans="1:9" x14ac:dyDescent="0.4">
      <c r="A11168" t="s">
        <v>73</v>
      </c>
      <c r="B11168" s="1">
        <v>45108</v>
      </c>
      <c r="C11168">
        <v>840999</v>
      </c>
      <c r="D11168" t="s">
        <v>176</v>
      </c>
      <c r="E11168">
        <v>906772</v>
      </c>
      <c r="F11168">
        <v>64687</v>
      </c>
      <c r="G11168">
        <v>5995</v>
      </c>
      <c r="H11168">
        <f>_xlfn.XLOOKUP(FACT_IMPORTS[[#This Row],[hts_6]],DIM_PRODUCTS[hts_6],DIM_PRODUCTS[hts_4],,,)</f>
        <v>8409</v>
      </c>
      <c r="I11168" t="str" cm="1">
        <f t="array" ref="I11168">_xlfn.XLOOKUP(FACT_IMPORTS[[#This Row],[country_name]],DIM_COUNTRY[[#All],[Column2]],DIM_COUNTRY[[#All],[Column3]],,,)</f>
        <v>Major_Non-USMCA_Non-China</v>
      </c>
    </row>
    <row r="11169" spans="1:9" x14ac:dyDescent="0.4">
      <c r="A11169" t="s">
        <v>73</v>
      </c>
      <c r="B11169" s="1">
        <v>45108</v>
      </c>
      <c r="C11169">
        <v>841330</v>
      </c>
      <c r="D11169" t="s">
        <v>176</v>
      </c>
      <c r="E11169">
        <v>3423517</v>
      </c>
      <c r="F11169">
        <v>77807</v>
      </c>
      <c r="G11169">
        <v>83400</v>
      </c>
      <c r="H11169">
        <f>_xlfn.XLOOKUP(FACT_IMPORTS[[#This Row],[hts_6]],DIM_PRODUCTS[hts_6],DIM_PRODUCTS[hts_4],,,)</f>
        <v>8413</v>
      </c>
      <c r="I11169" t="str" cm="1">
        <f t="array" ref="I11169">_xlfn.XLOOKUP(FACT_IMPORTS[[#This Row],[country_name]],DIM_COUNTRY[[#All],[Column2]],DIM_COUNTRY[[#All],[Column3]],,,)</f>
        <v>Major_Non-USMCA_Non-China</v>
      </c>
    </row>
    <row r="11170" spans="1:9" x14ac:dyDescent="0.4">
      <c r="A11170" t="s">
        <v>73</v>
      </c>
      <c r="B11170" s="1">
        <v>45108</v>
      </c>
      <c r="C11170">
        <v>842132</v>
      </c>
      <c r="D11170" t="s">
        <v>176</v>
      </c>
      <c r="E11170">
        <v>12633</v>
      </c>
      <c r="F11170">
        <v>6</v>
      </c>
      <c r="G11170">
        <v>30</v>
      </c>
      <c r="H11170">
        <f>_xlfn.XLOOKUP(FACT_IMPORTS[[#This Row],[hts_6]],DIM_PRODUCTS[hts_6],DIM_PRODUCTS[hts_4],,,)</f>
        <v>8421</v>
      </c>
      <c r="I11170" t="str" cm="1">
        <f t="array" ref="I11170">_xlfn.XLOOKUP(FACT_IMPORTS[[#This Row],[country_name]],DIM_COUNTRY[[#All],[Column2]],DIM_COUNTRY[[#All],[Column3]],,,)</f>
        <v>Major_Non-USMCA_Non-China</v>
      </c>
    </row>
    <row r="11171" spans="1:9" x14ac:dyDescent="0.4">
      <c r="A11171" t="s">
        <v>73</v>
      </c>
      <c r="B11171" s="1">
        <v>45108</v>
      </c>
      <c r="C11171">
        <v>848210</v>
      </c>
      <c r="D11171" t="s">
        <v>176</v>
      </c>
      <c r="E11171">
        <v>89448</v>
      </c>
      <c r="F11171">
        <v>35674</v>
      </c>
      <c r="G11171">
        <v>248</v>
      </c>
      <c r="H11171">
        <f>_xlfn.XLOOKUP(FACT_IMPORTS[[#This Row],[hts_6]],DIM_PRODUCTS[hts_6],DIM_PRODUCTS[hts_4],,,)</f>
        <v>8482</v>
      </c>
      <c r="I11171" t="str" cm="1">
        <f t="array" ref="I11171">_xlfn.XLOOKUP(FACT_IMPORTS[[#This Row],[country_name]],DIM_COUNTRY[[#All],[Column2]],DIM_COUNTRY[[#All],[Column3]],,,)</f>
        <v>Major_Non-USMCA_Non-China</v>
      </c>
    </row>
    <row r="11172" spans="1:9" x14ac:dyDescent="0.4">
      <c r="A11172" t="s">
        <v>73</v>
      </c>
      <c r="B11172" s="1">
        <v>45108</v>
      </c>
      <c r="C11172">
        <v>848220</v>
      </c>
      <c r="D11172" t="s">
        <v>176</v>
      </c>
      <c r="E11172">
        <v>679164</v>
      </c>
      <c r="F11172">
        <v>158820</v>
      </c>
      <c r="G11172">
        <v>12</v>
      </c>
      <c r="H11172">
        <f>_xlfn.XLOOKUP(FACT_IMPORTS[[#This Row],[hts_6]],DIM_PRODUCTS[hts_6],DIM_PRODUCTS[hts_4],,,)</f>
        <v>8482</v>
      </c>
      <c r="I11172" t="str" cm="1">
        <f t="array" ref="I11172">_xlfn.XLOOKUP(FACT_IMPORTS[[#This Row],[country_name]],DIM_COUNTRY[[#All],[Column2]],DIM_COUNTRY[[#All],[Column3]],,,)</f>
        <v>Major_Non-USMCA_Non-China</v>
      </c>
    </row>
    <row r="11173" spans="1:9" x14ac:dyDescent="0.4">
      <c r="A11173" t="s">
        <v>73</v>
      </c>
      <c r="B11173" s="1">
        <v>45108</v>
      </c>
      <c r="C11173">
        <v>848310</v>
      </c>
      <c r="D11173" t="s">
        <v>176</v>
      </c>
      <c r="E11173">
        <v>279429</v>
      </c>
      <c r="F11173">
        <v>7926</v>
      </c>
      <c r="G11173">
        <v>4000</v>
      </c>
      <c r="H11173">
        <f>_xlfn.XLOOKUP(FACT_IMPORTS[[#This Row],[hts_6]],DIM_PRODUCTS[hts_6],DIM_PRODUCTS[hts_4],,,)</f>
        <v>8483</v>
      </c>
      <c r="I11173" t="str" cm="1">
        <f t="array" ref="I11173">_xlfn.XLOOKUP(FACT_IMPORTS[[#This Row],[country_name]],DIM_COUNTRY[[#All],[Column2]],DIM_COUNTRY[[#All],[Column3]],,,)</f>
        <v>Major_Non-USMCA_Non-China</v>
      </c>
    </row>
    <row r="11174" spans="1:9" x14ac:dyDescent="0.4">
      <c r="A11174" t="s">
        <v>73</v>
      </c>
      <c r="B11174" s="1">
        <v>45108</v>
      </c>
      <c r="C11174">
        <v>850131</v>
      </c>
      <c r="D11174" t="s">
        <v>176</v>
      </c>
      <c r="E11174">
        <v>1453609</v>
      </c>
      <c r="F11174">
        <v>68964</v>
      </c>
      <c r="G11174">
        <v>2901</v>
      </c>
      <c r="H11174">
        <f>_xlfn.XLOOKUP(FACT_IMPORTS[[#This Row],[hts_6]],DIM_PRODUCTS[hts_6],DIM_PRODUCTS[hts_4],,,)</f>
        <v>8501</v>
      </c>
      <c r="I11174" t="str" cm="1">
        <f t="array" ref="I11174">_xlfn.XLOOKUP(FACT_IMPORTS[[#This Row],[country_name]],DIM_COUNTRY[[#All],[Column2]],DIM_COUNTRY[[#All],[Column3]],,,)</f>
        <v>Major_Non-USMCA_Non-China</v>
      </c>
    </row>
    <row r="11175" spans="1:9" x14ac:dyDescent="0.4">
      <c r="A11175" t="s">
        <v>73</v>
      </c>
      <c r="B11175" s="1">
        <v>45108</v>
      </c>
      <c r="C11175">
        <v>850132</v>
      </c>
      <c r="D11175" t="s">
        <v>176</v>
      </c>
      <c r="E11175">
        <v>0</v>
      </c>
      <c r="F11175">
        <v>0</v>
      </c>
      <c r="G11175">
        <v>0</v>
      </c>
      <c r="H11175">
        <f>_xlfn.XLOOKUP(FACT_IMPORTS[[#This Row],[hts_6]],DIM_PRODUCTS[hts_6],DIM_PRODUCTS[hts_4],,,)</f>
        <v>8501</v>
      </c>
      <c r="I11175" t="str" cm="1">
        <f t="array" ref="I11175">_xlfn.XLOOKUP(FACT_IMPORTS[[#This Row],[country_name]],DIM_COUNTRY[[#All],[Column2]],DIM_COUNTRY[[#All],[Column3]],,,)</f>
        <v>Major_Non-USMCA_Non-China</v>
      </c>
    </row>
    <row r="11176" spans="1:9" x14ac:dyDescent="0.4">
      <c r="A11176" t="s">
        <v>73</v>
      </c>
      <c r="B11176" s="1">
        <v>45108</v>
      </c>
      <c r="C11176">
        <v>850152</v>
      </c>
      <c r="D11176" t="s">
        <v>176</v>
      </c>
      <c r="E11176">
        <v>0</v>
      </c>
      <c r="F11176">
        <v>0</v>
      </c>
      <c r="G11176">
        <v>0</v>
      </c>
      <c r="H11176">
        <f>_xlfn.XLOOKUP(FACT_IMPORTS[[#This Row],[hts_6]],DIM_PRODUCTS[hts_6],DIM_PRODUCTS[hts_4],,,)</f>
        <v>8501</v>
      </c>
      <c r="I11176" t="str" cm="1">
        <f t="array" ref="I11176">_xlfn.XLOOKUP(FACT_IMPORTS[[#This Row],[country_name]],DIM_COUNTRY[[#All],[Column2]],DIM_COUNTRY[[#All],[Column3]],,,)</f>
        <v>Major_Non-USMCA_Non-China</v>
      </c>
    </row>
    <row r="11177" spans="1:9" x14ac:dyDescent="0.4">
      <c r="A11177" t="s">
        <v>73</v>
      </c>
      <c r="B11177" s="1">
        <v>45108</v>
      </c>
      <c r="C11177">
        <v>850153</v>
      </c>
      <c r="D11177" t="s">
        <v>176</v>
      </c>
      <c r="E11177">
        <v>3139755</v>
      </c>
      <c r="F11177">
        <v>1742</v>
      </c>
      <c r="G11177">
        <v>2005</v>
      </c>
      <c r="H11177">
        <f>_xlfn.XLOOKUP(FACT_IMPORTS[[#This Row],[hts_6]],DIM_PRODUCTS[hts_6],DIM_PRODUCTS[hts_4],,,)</f>
        <v>8501</v>
      </c>
      <c r="I11177" t="str" cm="1">
        <f t="array" ref="I11177">_xlfn.XLOOKUP(FACT_IMPORTS[[#This Row],[country_name]],DIM_COUNTRY[[#All],[Column2]],DIM_COUNTRY[[#All],[Column3]],,,)</f>
        <v>Major_Non-USMCA_Non-China</v>
      </c>
    </row>
    <row r="11178" spans="1:9" x14ac:dyDescent="0.4">
      <c r="A11178" t="s">
        <v>73</v>
      </c>
      <c r="B11178" s="1">
        <v>45108</v>
      </c>
      <c r="C11178">
        <v>850440</v>
      </c>
      <c r="D11178" t="s">
        <v>176</v>
      </c>
      <c r="E11178">
        <v>1167232</v>
      </c>
      <c r="F11178">
        <v>1850</v>
      </c>
      <c r="G11178">
        <v>403</v>
      </c>
      <c r="H11178">
        <f>_xlfn.XLOOKUP(FACT_IMPORTS[[#This Row],[hts_6]],DIM_PRODUCTS[hts_6],DIM_PRODUCTS[hts_4],,,)</f>
        <v>8504</v>
      </c>
      <c r="I11178" t="str" cm="1">
        <f t="array" ref="I11178">_xlfn.XLOOKUP(FACT_IMPORTS[[#This Row],[country_name]],DIM_COUNTRY[[#All],[Column2]],DIM_COUNTRY[[#All],[Column3]],,,)</f>
        <v>Major_Non-USMCA_Non-China</v>
      </c>
    </row>
    <row r="11179" spans="1:9" x14ac:dyDescent="0.4">
      <c r="A11179" t="s">
        <v>73</v>
      </c>
      <c r="B11179" s="1">
        <v>45108</v>
      </c>
      <c r="C11179">
        <v>850710</v>
      </c>
      <c r="D11179" t="s">
        <v>176</v>
      </c>
      <c r="E11179">
        <v>1012020</v>
      </c>
      <c r="F11179">
        <v>21667</v>
      </c>
      <c r="G11179">
        <v>19660</v>
      </c>
      <c r="H11179">
        <f>_xlfn.XLOOKUP(FACT_IMPORTS[[#This Row],[hts_6]],DIM_PRODUCTS[hts_6],DIM_PRODUCTS[hts_4],,,)</f>
        <v>8507</v>
      </c>
      <c r="I11179" t="str" cm="1">
        <f t="array" ref="I11179">_xlfn.XLOOKUP(FACT_IMPORTS[[#This Row],[country_name]],DIM_COUNTRY[[#All],[Column2]],DIM_COUNTRY[[#All],[Column3]],,,)</f>
        <v>Major_Non-USMCA_Non-China</v>
      </c>
    </row>
    <row r="11180" spans="1:9" x14ac:dyDescent="0.4">
      <c r="A11180" t="s">
        <v>73</v>
      </c>
      <c r="B11180" s="1">
        <v>45108</v>
      </c>
      <c r="C11180">
        <v>850760</v>
      </c>
      <c r="D11180" t="s">
        <v>176</v>
      </c>
      <c r="E11180">
        <v>1756835</v>
      </c>
      <c r="F11180">
        <v>82030</v>
      </c>
      <c r="G11180">
        <v>5940</v>
      </c>
      <c r="H11180">
        <f>_xlfn.XLOOKUP(FACT_IMPORTS[[#This Row],[hts_6]],DIM_PRODUCTS[hts_6],DIM_PRODUCTS[hts_4],,,)</f>
        <v>8507</v>
      </c>
      <c r="I11180" t="str" cm="1">
        <f t="array" ref="I11180">_xlfn.XLOOKUP(FACT_IMPORTS[[#This Row],[country_name]],DIM_COUNTRY[[#All],[Column2]],DIM_COUNTRY[[#All],[Column3]],,,)</f>
        <v>Major_Non-USMCA_Non-China</v>
      </c>
    </row>
    <row r="11181" spans="1:9" x14ac:dyDescent="0.4">
      <c r="A11181" t="s">
        <v>73</v>
      </c>
      <c r="B11181" s="1">
        <v>45108</v>
      </c>
      <c r="C11181">
        <v>850790</v>
      </c>
      <c r="D11181" t="s">
        <v>176</v>
      </c>
      <c r="E11181">
        <v>11375615</v>
      </c>
      <c r="F11181">
        <v>307593</v>
      </c>
      <c r="G11181">
        <v>43194</v>
      </c>
      <c r="H11181">
        <f>_xlfn.XLOOKUP(FACT_IMPORTS[[#This Row],[hts_6]],DIM_PRODUCTS[hts_6],DIM_PRODUCTS[hts_4],,,)</f>
        <v>8507</v>
      </c>
      <c r="I11181" t="str" cm="1">
        <f t="array" ref="I11181">_xlfn.XLOOKUP(FACT_IMPORTS[[#This Row],[country_name]],DIM_COUNTRY[[#All],[Column2]],DIM_COUNTRY[[#All],[Column3]],,,)</f>
        <v>Major_Non-USMCA_Non-China</v>
      </c>
    </row>
    <row r="11182" spans="1:9" x14ac:dyDescent="0.4">
      <c r="A11182" t="s">
        <v>73</v>
      </c>
      <c r="B11182" s="1">
        <v>45108</v>
      </c>
      <c r="C11182">
        <v>851110</v>
      </c>
      <c r="D11182" t="s">
        <v>176</v>
      </c>
      <c r="E11182">
        <v>0</v>
      </c>
      <c r="F11182">
        <v>0</v>
      </c>
      <c r="G11182">
        <v>0</v>
      </c>
      <c r="H11182">
        <f>_xlfn.XLOOKUP(FACT_IMPORTS[[#This Row],[hts_6]],DIM_PRODUCTS[hts_6],DIM_PRODUCTS[hts_4],,,)</f>
        <v>8511</v>
      </c>
      <c r="I11182" t="str" cm="1">
        <f t="array" ref="I11182">_xlfn.XLOOKUP(FACT_IMPORTS[[#This Row],[country_name]],DIM_COUNTRY[[#All],[Column2]],DIM_COUNTRY[[#All],[Column3]],,,)</f>
        <v>Major_Non-USMCA_Non-China</v>
      </c>
    </row>
    <row r="11183" spans="1:9" x14ac:dyDescent="0.4">
      <c r="A11183" t="s">
        <v>73</v>
      </c>
      <c r="B11183" s="1">
        <v>45108</v>
      </c>
      <c r="C11183">
        <v>851130</v>
      </c>
      <c r="D11183" t="s">
        <v>176</v>
      </c>
      <c r="E11183">
        <v>0</v>
      </c>
      <c r="F11183">
        <v>0</v>
      </c>
      <c r="G11183">
        <v>0</v>
      </c>
      <c r="H11183">
        <f>_xlfn.XLOOKUP(FACT_IMPORTS[[#This Row],[hts_6]],DIM_PRODUCTS[hts_6],DIM_PRODUCTS[hts_4],,,)</f>
        <v>8511</v>
      </c>
      <c r="I11183" t="str" cm="1">
        <f t="array" ref="I11183">_xlfn.XLOOKUP(FACT_IMPORTS[[#This Row],[country_name]],DIM_COUNTRY[[#All],[Column2]],DIM_COUNTRY[[#All],[Column3]],,,)</f>
        <v>Major_Non-USMCA_Non-China</v>
      </c>
    </row>
    <row r="11184" spans="1:9" x14ac:dyDescent="0.4">
      <c r="A11184" t="s">
        <v>73</v>
      </c>
      <c r="B11184" s="1">
        <v>45108</v>
      </c>
      <c r="C11184">
        <v>851140</v>
      </c>
      <c r="D11184" t="s">
        <v>176</v>
      </c>
      <c r="E11184">
        <v>1264887</v>
      </c>
      <c r="F11184">
        <v>4176</v>
      </c>
      <c r="G11184">
        <v>803</v>
      </c>
      <c r="H11184">
        <f>_xlfn.XLOOKUP(FACT_IMPORTS[[#This Row],[hts_6]],DIM_PRODUCTS[hts_6],DIM_PRODUCTS[hts_4],,,)</f>
        <v>8511</v>
      </c>
      <c r="I11184" t="str" cm="1">
        <f t="array" ref="I11184">_xlfn.XLOOKUP(FACT_IMPORTS[[#This Row],[country_name]],DIM_COUNTRY[[#All],[Column2]],DIM_COUNTRY[[#All],[Column3]],,,)</f>
        <v>Major_Non-USMCA_Non-China</v>
      </c>
    </row>
    <row r="11185" spans="1:9" x14ac:dyDescent="0.4">
      <c r="A11185" t="s">
        <v>73</v>
      </c>
      <c r="B11185" s="1">
        <v>45108</v>
      </c>
      <c r="C11185">
        <v>851150</v>
      </c>
      <c r="D11185" t="s">
        <v>176</v>
      </c>
      <c r="E11185">
        <v>0</v>
      </c>
      <c r="F11185">
        <v>0</v>
      </c>
      <c r="G11185">
        <v>0</v>
      </c>
      <c r="H11185">
        <f>_xlfn.XLOOKUP(FACT_IMPORTS[[#This Row],[hts_6]],DIM_PRODUCTS[hts_6],DIM_PRODUCTS[hts_4],,,)</f>
        <v>8511</v>
      </c>
      <c r="I11185" t="str" cm="1">
        <f t="array" ref="I11185">_xlfn.XLOOKUP(FACT_IMPORTS[[#This Row],[country_name]],DIM_COUNTRY[[#All],[Column2]],DIM_COUNTRY[[#All],[Column3]],,,)</f>
        <v>Major_Non-USMCA_Non-China</v>
      </c>
    </row>
    <row r="11186" spans="1:9" x14ac:dyDescent="0.4">
      <c r="A11186" t="s">
        <v>73</v>
      </c>
      <c r="B11186" s="1">
        <v>45108</v>
      </c>
      <c r="C11186">
        <v>851190</v>
      </c>
      <c r="D11186" t="s">
        <v>176</v>
      </c>
      <c r="E11186">
        <v>20080</v>
      </c>
      <c r="F11186">
        <v>2157</v>
      </c>
      <c r="G11186">
        <v>654</v>
      </c>
      <c r="H11186">
        <f>_xlfn.XLOOKUP(FACT_IMPORTS[[#This Row],[hts_6]],DIM_PRODUCTS[hts_6],DIM_PRODUCTS[hts_4],,,)</f>
        <v>8511</v>
      </c>
      <c r="I11186" t="str" cm="1">
        <f t="array" ref="I11186">_xlfn.XLOOKUP(FACT_IMPORTS[[#This Row],[country_name]],DIM_COUNTRY[[#All],[Column2]],DIM_COUNTRY[[#All],[Column3]],,,)</f>
        <v>Major_Non-USMCA_Non-China</v>
      </c>
    </row>
    <row r="11187" spans="1:9" x14ac:dyDescent="0.4">
      <c r="A11187" t="s">
        <v>73</v>
      </c>
      <c r="B11187" s="1">
        <v>45108</v>
      </c>
      <c r="C11187">
        <v>851220</v>
      </c>
      <c r="D11187" t="s">
        <v>176</v>
      </c>
      <c r="E11187">
        <v>7666062</v>
      </c>
      <c r="F11187">
        <v>883953</v>
      </c>
      <c r="G11187">
        <v>90510</v>
      </c>
      <c r="H11187">
        <f>_xlfn.XLOOKUP(FACT_IMPORTS[[#This Row],[hts_6]],DIM_PRODUCTS[hts_6],DIM_PRODUCTS[hts_4],,,)</f>
        <v>8512</v>
      </c>
      <c r="I11187" t="str" cm="1">
        <f t="array" ref="I11187">_xlfn.XLOOKUP(FACT_IMPORTS[[#This Row],[country_name]],DIM_COUNTRY[[#All],[Column2]],DIM_COUNTRY[[#All],[Column3]],,,)</f>
        <v>Major_Non-USMCA_Non-China</v>
      </c>
    </row>
    <row r="11188" spans="1:9" x14ac:dyDescent="0.4">
      <c r="A11188" t="s">
        <v>73</v>
      </c>
      <c r="B11188" s="1">
        <v>45108</v>
      </c>
      <c r="C11188">
        <v>851240</v>
      </c>
      <c r="D11188" t="s">
        <v>176</v>
      </c>
      <c r="E11188">
        <v>61093</v>
      </c>
      <c r="F11188">
        <v>2856</v>
      </c>
      <c r="G11188">
        <v>2409</v>
      </c>
      <c r="H11188">
        <f>_xlfn.XLOOKUP(FACT_IMPORTS[[#This Row],[hts_6]],DIM_PRODUCTS[hts_6],DIM_PRODUCTS[hts_4],,,)</f>
        <v>8512</v>
      </c>
      <c r="I11188" t="str" cm="1">
        <f t="array" ref="I11188">_xlfn.XLOOKUP(FACT_IMPORTS[[#This Row],[country_name]],DIM_COUNTRY[[#All],[Column2]],DIM_COUNTRY[[#All],[Column3]],,,)</f>
        <v>Major_Non-USMCA_Non-China</v>
      </c>
    </row>
    <row r="11189" spans="1:9" x14ac:dyDescent="0.4">
      <c r="A11189" t="s">
        <v>73</v>
      </c>
      <c r="B11189" s="1">
        <v>45108</v>
      </c>
      <c r="C11189">
        <v>851290</v>
      </c>
      <c r="D11189" t="s">
        <v>176</v>
      </c>
      <c r="E11189">
        <v>450753</v>
      </c>
      <c r="F11189">
        <v>30242</v>
      </c>
      <c r="G11189">
        <v>23035</v>
      </c>
      <c r="H11189">
        <f>_xlfn.XLOOKUP(FACT_IMPORTS[[#This Row],[hts_6]],DIM_PRODUCTS[hts_6],DIM_PRODUCTS[hts_4],,,)</f>
        <v>8512</v>
      </c>
      <c r="I11189" t="str" cm="1">
        <f t="array" ref="I11189">_xlfn.XLOOKUP(FACT_IMPORTS[[#This Row],[country_name]],DIM_COUNTRY[[#All],[Column2]],DIM_COUNTRY[[#All],[Column3]],,,)</f>
        <v>Major_Non-USMCA_Non-China</v>
      </c>
    </row>
    <row r="11190" spans="1:9" x14ac:dyDescent="0.4">
      <c r="A11190" t="s">
        <v>73</v>
      </c>
      <c r="B11190" s="1">
        <v>45108</v>
      </c>
      <c r="C11190">
        <v>854231</v>
      </c>
      <c r="D11190" t="s">
        <v>176</v>
      </c>
      <c r="E11190">
        <v>135928</v>
      </c>
      <c r="F11190">
        <v>2250</v>
      </c>
      <c r="G11190">
        <v>13593</v>
      </c>
      <c r="H11190">
        <f>_xlfn.XLOOKUP(FACT_IMPORTS[[#This Row],[hts_6]],DIM_PRODUCTS[hts_6],DIM_PRODUCTS[hts_4],,,)</f>
        <v>8542</v>
      </c>
      <c r="I11190" t="str" cm="1">
        <f t="array" ref="I11190">_xlfn.XLOOKUP(FACT_IMPORTS[[#This Row],[country_name]],DIM_COUNTRY[[#All],[Column2]],DIM_COUNTRY[[#All],[Column3]],,,)</f>
        <v>Major_Non-USMCA_Non-China</v>
      </c>
    </row>
    <row r="11191" spans="1:9" x14ac:dyDescent="0.4">
      <c r="A11191" t="s">
        <v>73</v>
      </c>
      <c r="B11191" s="1">
        <v>45108</v>
      </c>
      <c r="C11191">
        <v>854232</v>
      </c>
      <c r="D11191" t="s">
        <v>176</v>
      </c>
      <c r="E11191">
        <v>0</v>
      </c>
      <c r="F11191">
        <v>0</v>
      </c>
      <c r="G11191">
        <v>0</v>
      </c>
      <c r="H11191">
        <f>_xlfn.XLOOKUP(FACT_IMPORTS[[#This Row],[hts_6]],DIM_PRODUCTS[hts_6],DIM_PRODUCTS[hts_4],,,)</f>
        <v>8542</v>
      </c>
      <c r="I11191" t="str" cm="1">
        <f t="array" ref="I11191">_xlfn.XLOOKUP(FACT_IMPORTS[[#This Row],[country_name]],DIM_COUNTRY[[#All],[Column2]],DIM_COUNTRY[[#All],[Column3]],,,)</f>
        <v>Major_Non-USMCA_Non-China</v>
      </c>
    </row>
    <row r="11192" spans="1:9" x14ac:dyDescent="0.4">
      <c r="A11192" t="s">
        <v>73</v>
      </c>
      <c r="B11192" s="1">
        <v>45108</v>
      </c>
      <c r="C11192">
        <v>854239</v>
      </c>
      <c r="D11192" t="s">
        <v>176</v>
      </c>
      <c r="E11192">
        <v>1983598</v>
      </c>
      <c r="F11192">
        <v>40390</v>
      </c>
      <c r="G11192">
        <v>190737</v>
      </c>
      <c r="H11192">
        <f>_xlfn.XLOOKUP(FACT_IMPORTS[[#This Row],[hts_6]],DIM_PRODUCTS[hts_6],DIM_PRODUCTS[hts_4],,,)</f>
        <v>8542</v>
      </c>
      <c r="I11192" t="str" cm="1">
        <f t="array" ref="I11192">_xlfn.XLOOKUP(FACT_IMPORTS[[#This Row],[country_name]],DIM_COUNTRY[[#All],[Column2]],DIM_COUNTRY[[#All],[Column3]],,,)</f>
        <v>Major_Non-USMCA_Non-China</v>
      </c>
    </row>
    <row r="11193" spans="1:9" x14ac:dyDescent="0.4">
      <c r="A11193" t="s">
        <v>73</v>
      </c>
      <c r="B11193" s="1">
        <v>45108</v>
      </c>
      <c r="C11193">
        <v>854430</v>
      </c>
      <c r="D11193" t="s">
        <v>176</v>
      </c>
      <c r="E11193">
        <v>290194</v>
      </c>
      <c r="F11193">
        <v>1084</v>
      </c>
      <c r="G11193">
        <v>405</v>
      </c>
      <c r="H11193">
        <f>_xlfn.XLOOKUP(FACT_IMPORTS[[#This Row],[hts_6]],DIM_PRODUCTS[hts_6],DIM_PRODUCTS[hts_4],,,)</f>
        <v>8544</v>
      </c>
      <c r="I11193" t="str" cm="1">
        <f t="array" ref="I11193">_xlfn.XLOOKUP(FACT_IMPORTS[[#This Row],[country_name]],DIM_COUNTRY[[#All],[Column2]],DIM_COUNTRY[[#All],[Column3]],,,)</f>
        <v>Major_Non-USMCA_Non-China</v>
      </c>
    </row>
    <row r="11194" spans="1:9" x14ac:dyDescent="0.4">
      <c r="A11194" t="s">
        <v>73</v>
      </c>
      <c r="B11194" s="1">
        <v>45108</v>
      </c>
      <c r="C11194">
        <v>870810</v>
      </c>
      <c r="D11194" t="s">
        <v>176</v>
      </c>
      <c r="E11194">
        <v>189949</v>
      </c>
      <c r="F11194">
        <v>18238</v>
      </c>
      <c r="G11194">
        <v>1146</v>
      </c>
      <c r="H11194">
        <f>_xlfn.XLOOKUP(FACT_IMPORTS[[#This Row],[hts_6]],DIM_PRODUCTS[hts_6],DIM_PRODUCTS[hts_4],,,)</f>
        <v>8708</v>
      </c>
      <c r="I11194" t="str" cm="1">
        <f t="array" ref="I11194">_xlfn.XLOOKUP(FACT_IMPORTS[[#This Row],[country_name]],DIM_COUNTRY[[#All],[Column2]],DIM_COUNTRY[[#All],[Column3]],,,)</f>
        <v>Major_Non-USMCA_Non-China</v>
      </c>
    </row>
    <row r="11195" spans="1:9" x14ac:dyDescent="0.4">
      <c r="A11195" t="s">
        <v>73</v>
      </c>
      <c r="B11195" s="1">
        <v>45108</v>
      </c>
      <c r="C11195">
        <v>870821</v>
      </c>
      <c r="D11195" t="s">
        <v>176</v>
      </c>
      <c r="E11195">
        <v>3864</v>
      </c>
      <c r="F11195">
        <v>52</v>
      </c>
      <c r="G11195">
        <v>208</v>
      </c>
      <c r="H11195">
        <f>_xlfn.XLOOKUP(FACT_IMPORTS[[#This Row],[hts_6]],DIM_PRODUCTS[hts_6],DIM_PRODUCTS[hts_4],,,)</f>
        <v>8708</v>
      </c>
      <c r="I11195" t="str" cm="1">
        <f t="array" ref="I11195">_xlfn.XLOOKUP(FACT_IMPORTS[[#This Row],[country_name]],DIM_COUNTRY[[#All],[Column2]],DIM_COUNTRY[[#All],[Column3]],,,)</f>
        <v>Major_Non-USMCA_Non-China</v>
      </c>
    </row>
    <row r="11196" spans="1:9" x14ac:dyDescent="0.4">
      <c r="A11196" t="s">
        <v>73</v>
      </c>
      <c r="B11196" s="1">
        <v>45108</v>
      </c>
      <c r="C11196">
        <v>870822</v>
      </c>
      <c r="D11196" t="s">
        <v>176</v>
      </c>
      <c r="E11196">
        <v>0</v>
      </c>
      <c r="F11196">
        <v>0</v>
      </c>
      <c r="G11196">
        <v>0</v>
      </c>
      <c r="H11196">
        <f>_xlfn.XLOOKUP(FACT_IMPORTS[[#This Row],[hts_6]],DIM_PRODUCTS[hts_6],DIM_PRODUCTS[hts_4],,,)</f>
        <v>8708</v>
      </c>
      <c r="I11196" t="str" cm="1">
        <f t="array" ref="I11196">_xlfn.XLOOKUP(FACT_IMPORTS[[#This Row],[country_name]],DIM_COUNTRY[[#All],[Column2]],DIM_COUNTRY[[#All],[Column3]],,,)</f>
        <v>Major_Non-USMCA_Non-China</v>
      </c>
    </row>
    <row r="11197" spans="1:9" x14ac:dyDescent="0.4">
      <c r="A11197" t="s">
        <v>73</v>
      </c>
      <c r="B11197" s="1">
        <v>45108</v>
      </c>
      <c r="C11197">
        <v>870829</v>
      </c>
      <c r="D11197" t="s">
        <v>176</v>
      </c>
      <c r="E11197">
        <v>4235326</v>
      </c>
      <c r="F11197">
        <v>2339134</v>
      </c>
      <c r="G11197">
        <v>134260</v>
      </c>
      <c r="H11197">
        <f>_xlfn.XLOOKUP(FACT_IMPORTS[[#This Row],[hts_6]],DIM_PRODUCTS[hts_6],DIM_PRODUCTS[hts_4],,,)</f>
        <v>8708</v>
      </c>
      <c r="I11197" t="str" cm="1">
        <f t="array" ref="I11197">_xlfn.XLOOKUP(FACT_IMPORTS[[#This Row],[country_name]],DIM_COUNTRY[[#All],[Column2]],DIM_COUNTRY[[#All],[Column3]],,,)</f>
        <v>Major_Non-USMCA_Non-China</v>
      </c>
    </row>
    <row r="11198" spans="1:9" x14ac:dyDescent="0.4">
      <c r="A11198" t="s">
        <v>73</v>
      </c>
      <c r="B11198" s="1">
        <v>45108</v>
      </c>
      <c r="C11198">
        <v>870830</v>
      </c>
      <c r="D11198" t="s">
        <v>176</v>
      </c>
      <c r="E11198">
        <v>199892</v>
      </c>
      <c r="F11198">
        <v>10004</v>
      </c>
      <c r="G11198">
        <v>3078</v>
      </c>
      <c r="H11198">
        <f>_xlfn.XLOOKUP(FACT_IMPORTS[[#This Row],[hts_6]],DIM_PRODUCTS[hts_6],DIM_PRODUCTS[hts_4],,,)</f>
        <v>8708</v>
      </c>
      <c r="I11198" t="str" cm="1">
        <f t="array" ref="I11198">_xlfn.XLOOKUP(FACT_IMPORTS[[#This Row],[country_name]],DIM_COUNTRY[[#All],[Column2]],DIM_COUNTRY[[#All],[Column3]],,,)</f>
        <v>Major_Non-USMCA_Non-China</v>
      </c>
    </row>
    <row r="11199" spans="1:9" x14ac:dyDescent="0.4">
      <c r="A11199" t="s">
        <v>73</v>
      </c>
      <c r="B11199" s="1">
        <v>45108</v>
      </c>
      <c r="C11199">
        <v>870840</v>
      </c>
      <c r="D11199" t="s">
        <v>176</v>
      </c>
      <c r="E11199">
        <v>1662710</v>
      </c>
      <c r="F11199">
        <v>280633</v>
      </c>
      <c r="G11199">
        <v>20699</v>
      </c>
      <c r="H11199">
        <f>_xlfn.XLOOKUP(FACT_IMPORTS[[#This Row],[hts_6]],DIM_PRODUCTS[hts_6],DIM_PRODUCTS[hts_4],,,)</f>
        <v>8708</v>
      </c>
      <c r="I11199" t="str" cm="1">
        <f t="array" ref="I11199">_xlfn.XLOOKUP(FACT_IMPORTS[[#This Row],[country_name]],DIM_COUNTRY[[#All],[Column2]],DIM_COUNTRY[[#All],[Column3]],,,)</f>
        <v>Major_Non-USMCA_Non-China</v>
      </c>
    </row>
    <row r="11200" spans="1:9" x14ac:dyDescent="0.4">
      <c r="A11200" t="s">
        <v>73</v>
      </c>
      <c r="B11200" s="1">
        <v>45108</v>
      </c>
      <c r="C11200">
        <v>870850</v>
      </c>
      <c r="D11200" t="s">
        <v>176</v>
      </c>
      <c r="E11200">
        <v>14673257</v>
      </c>
      <c r="F11200">
        <v>767378</v>
      </c>
      <c r="G11200">
        <v>446866</v>
      </c>
      <c r="H11200">
        <f>_xlfn.XLOOKUP(FACT_IMPORTS[[#This Row],[hts_6]],DIM_PRODUCTS[hts_6],DIM_PRODUCTS[hts_4],,,)</f>
        <v>8708</v>
      </c>
      <c r="I11200" t="str" cm="1">
        <f t="array" ref="I11200">_xlfn.XLOOKUP(FACT_IMPORTS[[#This Row],[country_name]],DIM_COUNTRY[[#All],[Column2]],DIM_COUNTRY[[#All],[Column3]],,,)</f>
        <v>Major_Non-USMCA_Non-China</v>
      </c>
    </row>
    <row r="11201" spans="1:9" x14ac:dyDescent="0.4">
      <c r="A11201" t="s">
        <v>73</v>
      </c>
      <c r="B11201" s="1">
        <v>45108</v>
      </c>
      <c r="C11201">
        <v>870870</v>
      </c>
      <c r="D11201" t="s">
        <v>176</v>
      </c>
      <c r="E11201">
        <v>4567020</v>
      </c>
      <c r="F11201">
        <v>85891</v>
      </c>
      <c r="G11201">
        <v>11098</v>
      </c>
      <c r="H11201">
        <f>_xlfn.XLOOKUP(FACT_IMPORTS[[#This Row],[hts_6]],DIM_PRODUCTS[hts_6],DIM_PRODUCTS[hts_4],,,)</f>
        <v>8708</v>
      </c>
      <c r="I11201" t="str" cm="1">
        <f t="array" ref="I11201">_xlfn.XLOOKUP(FACT_IMPORTS[[#This Row],[country_name]],DIM_COUNTRY[[#All],[Column2]],DIM_COUNTRY[[#All],[Column3]],,,)</f>
        <v>Major_Non-USMCA_Non-China</v>
      </c>
    </row>
    <row r="11202" spans="1:9" x14ac:dyDescent="0.4">
      <c r="A11202" t="s">
        <v>73</v>
      </c>
      <c r="B11202" s="1">
        <v>45108</v>
      </c>
      <c r="C11202">
        <v>870880</v>
      </c>
      <c r="D11202" t="s">
        <v>176</v>
      </c>
      <c r="E11202">
        <v>3912884</v>
      </c>
      <c r="F11202">
        <v>918713</v>
      </c>
      <c r="G11202">
        <v>132938</v>
      </c>
      <c r="H11202">
        <f>_xlfn.XLOOKUP(FACT_IMPORTS[[#This Row],[hts_6]],DIM_PRODUCTS[hts_6],DIM_PRODUCTS[hts_4],,,)</f>
        <v>8708</v>
      </c>
      <c r="I11202" t="str" cm="1">
        <f t="array" ref="I11202">_xlfn.XLOOKUP(FACT_IMPORTS[[#This Row],[country_name]],DIM_COUNTRY[[#All],[Column2]],DIM_COUNTRY[[#All],[Column3]],,,)</f>
        <v>Major_Non-USMCA_Non-China</v>
      </c>
    </row>
    <row r="11203" spans="1:9" x14ac:dyDescent="0.4">
      <c r="A11203" t="s">
        <v>73</v>
      </c>
      <c r="B11203" s="1">
        <v>45108</v>
      </c>
      <c r="C11203">
        <v>870891</v>
      </c>
      <c r="D11203" t="s">
        <v>176</v>
      </c>
      <c r="E11203">
        <v>8362</v>
      </c>
      <c r="F11203">
        <v>696</v>
      </c>
      <c r="G11203">
        <v>28</v>
      </c>
      <c r="H11203">
        <f>_xlfn.XLOOKUP(FACT_IMPORTS[[#This Row],[hts_6]],DIM_PRODUCTS[hts_6],DIM_PRODUCTS[hts_4],,,)</f>
        <v>8708</v>
      </c>
      <c r="I11203" t="str" cm="1">
        <f t="array" ref="I11203">_xlfn.XLOOKUP(FACT_IMPORTS[[#This Row],[country_name]],DIM_COUNTRY[[#All],[Column2]],DIM_COUNTRY[[#All],[Column3]],,,)</f>
        <v>Major_Non-USMCA_Non-China</v>
      </c>
    </row>
    <row r="11204" spans="1:9" x14ac:dyDescent="0.4">
      <c r="A11204" t="s">
        <v>73</v>
      </c>
      <c r="B11204" s="1">
        <v>45108</v>
      </c>
      <c r="C11204">
        <v>870892</v>
      </c>
      <c r="D11204" t="s">
        <v>176</v>
      </c>
      <c r="E11204">
        <v>22480</v>
      </c>
      <c r="F11204">
        <v>92</v>
      </c>
      <c r="G11204">
        <v>70</v>
      </c>
      <c r="H11204">
        <f>_xlfn.XLOOKUP(FACT_IMPORTS[[#This Row],[hts_6]],DIM_PRODUCTS[hts_6],DIM_PRODUCTS[hts_4],,,)</f>
        <v>8708</v>
      </c>
      <c r="I11204" t="str" cm="1">
        <f t="array" ref="I11204">_xlfn.XLOOKUP(FACT_IMPORTS[[#This Row],[country_name]],DIM_COUNTRY[[#All],[Column2]],DIM_COUNTRY[[#All],[Column3]],,,)</f>
        <v>Major_Non-USMCA_Non-China</v>
      </c>
    </row>
    <row r="11205" spans="1:9" x14ac:dyDescent="0.4">
      <c r="A11205" t="s">
        <v>73</v>
      </c>
      <c r="B11205" s="1">
        <v>45108</v>
      </c>
      <c r="C11205">
        <v>870893</v>
      </c>
      <c r="D11205" t="s">
        <v>176</v>
      </c>
      <c r="E11205">
        <v>821042</v>
      </c>
      <c r="F11205">
        <v>147782</v>
      </c>
      <c r="G11205">
        <v>7850</v>
      </c>
      <c r="H11205">
        <f>_xlfn.XLOOKUP(FACT_IMPORTS[[#This Row],[hts_6]],DIM_PRODUCTS[hts_6],DIM_PRODUCTS[hts_4],,,)</f>
        <v>8708</v>
      </c>
      <c r="I11205" t="str" cm="1">
        <f t="array" ref="I11205">_xlfn.XLOOKUP(FACT_IMPORTS[[#This Row],[country_name]],DIM_COUNTRY[[#All],[Column2]],DIM_COUNTRY[[#All],[Column3]],,,)</f>
        <v>Major_Non-USMCA_Non-China</v>
      </c>
    </row>
    <row r="11206" spans="1:9" x14ac:dyDescent="0.4">
      <c r="A11206" t="s">
        <v>73</v>
      </c>
      <c r="B11206" s="1">
        <v>45108</v>
      </c>
      <c r="C11206">
        <v>870894</v>
      </c>
      <c r="D11206" t="s">
        <v>176</v>
      </c>
      <c r="E11206">
        <v>605693</v>
      </c>
      <c r="F11206">
        <v>97884</v>
      </c>
      <c r="G11206">
        <v>27947</v>
      </c>
      <c r="H11206">
        <f>_xlfn.XLOOKUP(FACT_IMPORTS[[#This Row],[hts_6]],DIM_PRODUCTS[hts_6],DIM_PRODUCTS[hts_4],,,)</f>
        <v>8708</v>
      </c>
      <c r="I11206" t="str" cm="1">
        <f t="array" ref="I11206">_xlfn.XLOOKUP(FACT_IMPORTS[[#This Row],[country_name]],DIM_COUNTRY[[#All],[Column2]],DIM_COUNTRY[[#All],[Column3]],,,)</f>
        <v>Major_Non-USMCA_Non-China</v>
      </c>
    </row>
    <row r="11207" spans="1:9" x14ac:dyDescent="0.4">
      <c r="A11207" t="s">
        <v>73</v>
      </c>
      <c r="B11207" s="1">
        <v>45108</v>
      </c>
      <c r="C11207">
        <v>870895</v>
      </c>
      <c r="D11207" t="s">
        <v>176</v>
      </c>
      <c r="E11207">
        <v>0</v>
      </c>
      <c r="F11207">
        <v>0</v>
      </c>
      <c r="G11207">
        <v>0</v>
      </c>
      <c r="H11207">
        <f>_xlfn.XLOOKUP(FACT_IMPORTS[[#This Row],[hts_6]],DIM_PRODUCTS[hts_6],DIM_PRODUCTS[hts_4],,,)</f>
        <v>8708</v>
      </c>
      <c r="I11207" t="str" cm="1">
        <f t="array" ref="I11207">_xlfn.XLOOKUP(FACT_IMPORTS[[#This Row],[country_name]],DIM_COUNTRY[[#All],[Column2]],DIM_COUNTRY[[#All],[Column3]],,,)</f>
        <v>Major_Non-USMCA_Non-China</v>
      </c>
    </row>
    <row r="11208" spans="1:9" x14ac:dyDescent="0.4">
      <c r="A11208" t="s">
        <v>73</v>
      </c>
      <c r="B11208" s="1">
        <v>45108</v>
      </c>
      <c r="C11208">
        <v>870899</v>
      </c>
      <c r="D11208" t="s">
        <v>176</v>
      </c>
      <c r="E11208">
        <v>14589898</v>
      </c>
      <c r="F11208">
        <v>2678684</v>
      </c>
      <c r="G11208">
        <v>333188</v>
      </c>
      <c r="H11208">
        <f>_xlfn.XLOOKUP(FACT_IMPORTS[[#This Row],[hts_6]],DIM_PRODUCTS[hts_6],DIM_PRODUCTS[hts_4],,,)</f>
        <v>8708</v>
      </c>
      <c r="I11208" t="str" cm="1">
        <f t="array" ref="I11208">_xlfn.XLOOKUP(FACT_IMPORTS[[#This Row],[country_name]],DIM_COUNTRY[[#All],[Column2]],DIM_COUNTRY[[#All],[Column3]],,,)</f>
        <v>Major_Non-USMCA_Non-China</v>
      </c>
    </row>
    <row r="11209" spans="1:9" x14ac:dyDescent="0.4">
      <c r="A11209" t="s">
        <v>73</v>
      </c>
      <c r="B11209" s="1">
        <v>45108</v>
      </c>
      <c r="C11209">
        <v>940120</v>
      </c>
      <c r="D11209" t="s">
        <v>176</v>
      </c>
      <c r="E11209">
        <v>0</v>
      </c>
      <c r="F11209">
        <v>0</v>
      </c>
      <c r="G11209">
        <v>0</v>
      </c>
      <c r="H11209">
        <f>_xlfn.XLOOKUP(FACT_IMPORTS[[#This Row],[hts_6]],DIM_PRODUCTS[hts_6],DIM_PRODUCTS[hts_4],,,)</f>
        <v>9401</v>
      </c>
      <c r="I11209" t="str" cm="1">
        <f t="array" ref="I11209">_xlfn.XLOOKUP(FACT_IMPORTS[[#This Row],[country_name]],DIM_COUNTRY[[#All],[Column2]],DIM_COUNTRY[[#All],[Column3]],,,)</f>
        <v>Major_Non-USMCA_Non-China</v>
      </c>
    </row>
    <row r="11210" spans="1:9" x14ac:dyDescent="0.4">
      <c r="A11210" t="s">
        <v>73</v>
      </c>
      <c r="B11210" s="1">
        <v>45139</v>
      </c>
      <c r="C11210">
        <v>392630</v>
      </c>
      <c r="D11210" t="s">
        <v>176</v>
      </c>
      <c r="E11210">
        <v>819012</v>
      </c>
      <c r="F11210">
        <v>45866</v>
      </c>
      <c r="G11210">
        <v>54642</v>
      </c>
      <c r="H11210">
        <f>_xlfn.XLOOKUP(FACT_IMPORTS[[#This Row],[hts_6]],DIM_PRODUCTS[hts_6],DIM_PRODUCTS[hts_4],,,)</f>
        <v>3926</v>
      </c>
      <c r="I11210" t="str" cm="1">
        <f t="array" ref="I11210">_xlfn.XLOOKUP(FACT_IMPORTS[[#This Row],[country_name]],DIM_COUNTRY[[#All],[Column2]],DIM_COUNTRY[[#All],[Column3]],,,)</f>
        <v>Major_Non-USMCA_Non-China</v>
      </c>
    </row>
    <row r="11211" spans="1:9" x14ac:dyDescent="0.4">
      <c r="A11211" t="s">
        <v>73</v>
      </c>
      <c r="B11211" s="1">
        <v>45139</v>
      </c>
      <c r="C11211">
        <v>401110</v>
      </c>
      <c r="D11211" t="s">
        <v>176</v>
      </c>
      <c r="E11211">
        <v>8250320</v>
      </c>
      <c r="F11211">
        <v>126851</v>
      </c>
      <c r="G11211">
        <v>1274644</v>
      </c>
      <c r="H11211">
        <f>_xlfn.XLOOKUP(FACT_IMPORTS[[#This Row],[hts_6]],DIM_PRODUCTS[hts_6],DIM_PRODUCTS[hts_4],,,)</f>
        <v>4011</v>
      </c>
      <c r="I11211" t="str" cm="1">
        <f t="array" ref="I11211">_xlfn.XLOOKUP(FACT_IMPORTS[[#This Row],[country_name]],DIM_COUNTRY[[#All],[Column2]],DIM_COUNTRY[[#All],[Column3]],,,)</f>
        <v>Major_Non-USMCA_Non-China</v>
      </c>
    </row>
    <row r="11212" spans="1:9" x14ac:dyDescent="0.4">
      <c r="A11212" t="s">
        <v>73</v>
      </c>
      <c r="B11212" s="1">
        <v>45139</v>
      </c>
      <c r="C11212">
        <v>401120</v>
      </c>
      <c r="D11212" t="s">
        <v>176</v>
      </c>
      <c r="E11212">
        <v>285822</v>
      </c>
      <c r="F11212">
        <v>3696</v>
      </c>
      <c r="G11212">
        <v>40018</v>
      </c>
      <c r="H11212">
        <f>_xlfn.XLOOKUP(FACT_IMPORTS[[#This Row],[hts_6]],DIM_PRODUCTS[hts_6],DIM_PRODUCTS[hts_4],,,)</f>
        <v>4011</v>
      </c>
      <c r="I11212" t="str" cm="1">
        <f t="array" ref="I11212">_xlfn.XLOOKUP(FACT_IMPORTS[[#This Row],[country_name]],DIM_COUNTRY[[#All],[Column2]],DIM_COUNTRY[[#All],[Column3]],,,)</f>
        <v>Major_Non-USMCA_Non-China</v>
      </c>
    </row>
    <row r="11213" spans="1:9" x14ac:dyDescent="0.4">
      <c r="A11213" t="s">
        <v>73</v>
      </c>
      <c r="B11213" s="1">
        <v>45139</v>
      </c>
      <c r="C11213">
        <v>401190</v>
      </c>
      <c r="D11213" t="s">
        <v>176</v>
      </c>
      <c r="E11213">
        <v>0</v>
      </c>
      <c r="F11213">
        <v>0</v>
      </c>
      <c r="G11213">
        <v>0</v>
      </c>
      <c r="H11213">
        <f>_xlfn.XLOOKUP(FACT_IMPORTS[[#This Row],[hts_6]],DIM_PRODUCTS[hts_6],DIM_PRODUCTS[hts_4],,,)</f>
        <v>4011</v>
      </c>
      <c r="I11213" t="str" cm="1">
        <f t="array" ref="I11213">_xlfn.XLOOKUP(FACT_IMPORTS[[#This Row],[country_name]],DIM_COUNTRY[[#All],[Column2]],DIM_COUNTRY[[#All],[Column3]],,,)</f>
        <v>Major_Non-USMCA_Non-China</v>
      </c>
    </row>
    <row r="11214" spans="1:9" x14ac:dyDescent="0.4">
      <c r="A11214" t="s">
        <v>73</v>
      </c>
      <c r="B11214" s="1">
        <v>45139</v>
      </c>
      <c r="C11214">
        <v>700910</v>
      </c>
      <c r="D11214" t="s">
        <v>176</v>
      </c>
      <c r="E11214">
        <v>520830</v>
      </c>
      <c r="F11214">
        <v>12111</v>
      </c>
      <c r="G11214">
        <v>30704</v>
      </c>
      <c r="H11214">
        <f>_xlfn.XLOOKUP(FACT_IMPORTS[[#This Row],[hts_6]],DIM_PRODUCTS[hts_6],DIM_PRODUCTS[hts_4],,,)</f>
        <v>7009</v>
      </c>
      <c r="I11214" t="str" cm="1">
        <f t="array" ref="I11214">_xlfn.XLOOKUP(FACT_IMPORTS[[#This Row],[country_name]],DIM_COUNTRY[[#All],[Column2]],DIM_COUNTRY[[#All],[Column3]],,,)</f>
        <v>Major_Non-USMCA_Non-China</v>
      </c>
    </row>
    <row r="11215" spans="1:9" x14ac:dyDescent="0.4">
      <c r="A11215" t="s">
        <v>73</v>
      </c>
      <c r="B11215" s="1">
        <v>45139</v>
      </c>
      <c r="C11215">
        <v>830230</v>
      </c>
      <c r="D11215" t="s">
        <v>176</v>
      </c>
      <c r="E11215">
        <v>4428619</v>
      </c>
      <c r="F11215">
        <v>675395</v>
      </c>
      <c r="G11215">
        <v>127970</v>
      </c>
      <c r="H11215">
        <f>_xlfn.XLOOKUP(FACT_IMPORTS[[#This Row],[hts_6]],DIM_PRODUCTS[hts_6],DIM_PRODUCTS[hts_4],,,)</f>
        <v>8302</v>
      </c>
      <c r="I11215" t="str" cm="1">
        <f t="array" ref="I11215">_xlfn.XLOOKUP(FACT_IMPORTS[[#This Row],[country_name]],DIM_COUNTRY[[#All],[Column2]],DIM_COUNTRY[[#All],[Column3]],,,)</f>
        <v>Major_Non-USMCA_Non-China</v>
      </c>
    </row>
    <row r="11216" spans="1:9" x14ac:dyDescent="0.4">
      <c r="A11216" t="s">
        <v>73</v>
      </c>
      <c r="B11216" s="1">
        <v>45139</v>
      </c>
      <c r="C11216">
        <v>840734</v>
      </c>
      <c r="D11216" t="s">
        <v>176</v>
      </c>
      <c r="E11216">
        <v>157516</v>
      </c>
      <c r="F11216">
        <v>23</v>
      </c>
      <c r="G11216">
        <v>215</v>
      </c>
      <c r="H11216">
        <f>_xlfn.XLOOKUP(FACT_IMPORTS[[#This Row],[hts_6]],DIM_PRODUCTS[hts_6],DIM_PRODUCTS[hts_4],,,)</f>
        <v>8407</v>
      </c>
      <c r="I11216" t="str" cm="1">
        <f t="array" ref="I11216">_xlfn.XLOOKUP(FACT_IMPORTS[[#This Row],[country_name]],DIM_COUNTRY[[#All],[Column2]],DIM_COUNTRY[[#All],[Column3]],,,)</f>
        <v>Major_Non-USMCA_Non-China</v>
      </c>
    </row>
    <row r="11217" spans="1:9" x14ac:dyDescent="0.4">
      <c r="A11217" t="s">
        <v>73</v>
      </c>
      <c r="B11217" s="1">
        <v>45139</v>
      </c>
      <c r="C11217">
        <v>840820</v>
      </c>
      <c r="D11217" t="s">
        <v>176</v>
      </c>
      <c r="E11217">
        <v>0</v>
      </c>
      <c r="F11217">
        <v>0</v>
      </c>
      <c r="G11217">
        <v>0</v>
      </c>
      <c r="H11217">
        <f>_xlfn.XLOOKUP(FACT_IMPORTS[[#This Row],[hts_6]],DIM_PRODUCTS[hts_6],DIM_PRODUCTS[hts_4],,,)</f>
        <v>8408</v>
      </c>
      <c r="I11217" t="str" cm="1">
        <f t="array" ref="I11217">_xlfn.XLOOKUP(FACT_IMPORTS[[#This Row],[country_name]],DIM_COUNTRY[[#All],[Column2]],DIM_COUNTRY[[#All],[Column3]],,,)</f>
        <v>Major_Non-USMCA_Non-China</v>
      </c>
    </row>
    <row r="11218" spans="1:9" x14ac:dyDescent="0.4">
      <c r="A11218" t="s">
        <v>73</v>
      </c>
      <c r="B11218" s="1">
        <v>45139</v>
      </c>
      <c r="C11218">
        <v>840890</v>
      </c>
      <c r="D11218" t="s">
        <v>176</v>
      </c>
      <c r="E11218">
        <v>0</v>
      </c>
      <c r="F11218">
        <v>0</v>
      </c>
      <c r="G11218">
        <v>0</v>
      </c>
      <c r="H11218">
        <f>_xlfn.XLOOKUP(FACT_IMPORTS[[#This Row],[hts_6]],DIM_PRODUCTS[hts_6],DIM_PRODUCTS[hts_4],,,)</f>
        <v>8408</v>
      </c>
      <c r="I11218" t="str" cm="1">
        <f t="array" ref="I11218">_xlfn.XLOOKUP(FACT_IMPORTS[[#This Row],[country_name]],DIM_COUNTRY[[#All],[Column2]],DIM_COUNTRY[[#All],[Column3]],,,)</f>
        <v>Major_Non-USMCA_Non-China</v>
      </c>
    </row>
    <row r="11219" spans="1:9" x14ac:dyDescent="0.4">
      <c r="A11219" t="s">
        <v>73</v>
      </c>
      <c r="B11219" s="1">
        <v>45139</v>
      </c>
      <c r="C11219">
        <v>840991</v>
      </c>
      <c r="D11219" t="s">
        <v>176</v>
      </c>
      <c r="E11219">
        <v>10122005</v>
      </c>
      <c r="F11219">
        <v>860746</v>
      </c>
      <c r="G11219">
        <v>176840</v>
      </c>
      <c r="H11219">
        <f>_xlfn.XLOOKUP(FACT_IMPORTS[[#This Row],[hts_6]],DIM_PRODUCTS[hts_6],DIM_PRODUCTS[hts_4],,,)</f>
        <v>8409</v>
      </c>
      <c r="I11219" t="str" cm="1">
        <f t="array" ref="I11219">_xlfn.XLOOKUP(FACT_IMPORTS[[#This Row],[country_name]],DIM_COUNTRY[[#All],[Column2]],DIM_COUNTRY[[#All],[Column3]],,,)</f>
        <v>Major_Non-USMCA_Non-China</v>
      </c>
    </row>
    <row r="11220" spans="1:9" x14ac:dyDescent="0.4">
      <c r="A11220" t="s">
        <v>73</v>
      </c>
      <c r="B11220" s="1">
        <v>45139</v>
      </c>
      <c r="C11220">
        <v>840999</v>
      </c>
      <c r="D11220" t="s">
        <v>176</v>
      </c>
      <c r="E11220">
        <v>1005961</v>
      </c>
      <c r="F11220">
        <v>73319</v>
      </c>
      <c r="G11220">
        <v>4681</v>
      </c>
      <c r="H11220">
        <f>_xlfn.XLOOKUP(FACT_IMPORTS[[#This Row],[hts_6]],DIM_PRODUCTS[hts_6],DIM_PRODUCTS[hts_4],,,)</f>
        <v>8409</v>
      </c>
      <c r="I11220" t="str" cm="1">
        <f t="array" ref="I11220">_xlfn.XLOOKUP(FACT_IMPORTS[[#This Row],[country_name]],DIM_COUNTRY[[#All],[Column2]],DIM_COUNTRY[[#All],[Column3]],,,)</f>
        <v>Major_Non-USMCA_Non-China</v>
      </c>
    </row>
    <row r="11221" spans="1:9" x14ac:dyDescent="0.4">
      <c r="A11221" t="s">
        <v>73</v>
      </c>
      <c r="B11221" s="1">
        <v>45139</v>
      </c>
      <c r="C11221">
        <v>841330</v>
      </c>
      <c r="D11221" t="s">
        <v>176</v>
      </c>
      <c r="E11221">
        <v>5892908</v>
      </c>
      <c r="F11221">
        <v>132697</v>
      </c>
      <c r="G11221">
        <v>114944</v>
      </c>
      <c r="H11221">
        <f>_xlfn.XLOOKUP(FACT_IMPORTS[[#This Row],[hts_6]],DIM_PRODUCTS[hts_6],DIM_PRODUCTS[hts_4],,,)</f>
        <v>8413</v>
      </c>
      <c r="I11221" t="str" cm="1">
        <f t="array" ref="I11221">_xlfn.XLOOKUP(FACT_IMPORTS[[#This Row],[country_name]],DIM_COUNTRY[[#All],[Column2]],DIM_COUNTRY[[#All],[Column3]],,,)</f>
        <v>Major_Non-USMCA_Non-China</v>
      </c>
    </row>
    <row r="11222" spans="1:9" x14ac:dyDescent="0.4">
      <c r="A11222" t="s">
        <v>73</v>
      </c>
      <c r="B11222" s="1">
        <v>45139</v>
      </c>
      <c r="C11222">
        <v>842132</v>
      </c>
      <c r="D11222" t="s">
        <v>176</v>
      </c>
      <c r="E11222">
        <v>198609</v>
      </c>
      <c r="F11222">
        <v>139</v>
      </c>
      <c r="G11222">
        <v>222</v>
      </c>
      <c r="H11222">
        <f>_xlfn.XLOOKUP(FACT_IMPORTS[[#This Row],[hts_6]],DIM_PRODUCTS[hts_6],DIM_PRODUCTS[hts_4],,,)</f>
        <v>8421</v>
      </c>
      <c r="I11222" t="str" cm="1">
        <f t="array" ref="I11222">_xlfn.XLOOKUP(FACT_IMPORTS[[#This Row],[country_name]],DIM_COUNTRY[[#All],[Column2]],DIM_COUNTRY[[#All],[Column3]],,,)</f>
        <v>Major_Non-USMCA_Non-China</v>
      </c>
    </row>
    <row r="11223" spans="1:9" x14ac:dyDescent="0.4">
      <c r="A11223" t="s">
        <v>73</v>
      </c>
      <c r="B11223" s="1">
        <v>45139</v>
      </c>
      <c r="C11223">
        <v>848210</v>
      </c>
      <c r="D11223" t="s">
        <v>176</v>
      </c>
      <c r="E11223">
        <v>253706</v>
      </c>
      <c r="F11223">
        <v>83543</v>
      </c>
      <c r="G11223">
        <v>435</v>
      </c>
      <c r="H11223">
        <f>_xlfn.XLOOKUP(FACT_IMPORTS[[#This Row],[hts_6]],DIM_PRODUCTS[hts_6],DIM_PRODUCTS[hts_4],,,)</f>
        <v>8482</v>
      </c>
      <c r="I11223" t="str" cm="1">
        <f t="array" ref="I11223">_xlfn.XLOOKUP(FACT_IMPORTS[[#This Row],[country_name]],DIM_COUNTRY[[#All],[Column2]],DIM_COUNTRY[[#All],[Column3]],,,)</f>
        <v>Major_Non-USMCA_Non-China</v>
      </c>
    </row>
    <row r="11224" spans="1:9" x14ac:dyDescent="0.4">
      <c r="A11224" t="s">
        <v>73</v>
      </c>
      <c r="B11224" s="1">
        <v>45139</v>
      </c>
      <c r="C11224">
        <v>848220</v>
      </c>
      <c r="D11224" t="s">
        <v>176</v>
      </c>
      <c r="E11224">
        <v>8417505</v>
      </c>
      <c r="F11224">
        <v>2054601</v>
      </c>
      <c r="G11224">
        <v>1476</v>
      </c>
      <c r="H11224">
        <f>_xlfn.XLOOKUP(FACT_IMPORTS[[#This Row],[hts_6]],DIM_PRODUCTS[hts_6],DIM_PRODUCTS[hts_4],,,)</f>
        <v>8482</v>
      </c>
      <c r="I11224" t="str" cm="1">
        <f t="array" ref="I11224">_xlfn.XLOOKUP(FACT_IMPORTS[[#This Row],[country_name]],DIM_COUNTRY[[#All],[Column2]],DIM_COUNTRY[[#All],[Column3]],,,)</f>
        <v>Major_Non-USMCA_Non-China</v>
      </c>
    </row>
    <row r="11225" spans="1:9" x14ac:dyDescent="0.4">
      <c r="A11225" t="s">
        <v>73</v>
      </c>
      <c r="B11225" s="1">
        <v>45139</v>
      </c>
      <c r="C11225">
        <v>848310</v>
      </c>
      <c r="D11225" t="s">
        <v>176</v>
      </c>
      <c r="E11225">
        <v>285114</v>
      </c>
      <c r="F11225">
        <v>3151</v>
      </c>
      <c r="G11225">
        <v>2505</v>
      </c>
      <c r="H11225">
        <f>_xlfn.XLOOKUP(FACT_IMPORTS[[#This Row],[hts_6]],DIM_PRODUCTS[hts_6],DIM_PRODUCTS[hts_4],,,)</f>
        <v>8483</v>
      </c>
      <c r="I11225" t="str" cm="1">
        <f t="array" ref="I11225">_xlfn.XLOOKUP(FACT_IMPORTS[[#This Row],[country_name]],DIM_COUNTRY[[#All],[Column2]],DIM_COUNTRY[[#All],[Column3]],,,)</f>
        <v>Major_Non-USMCA_Non-China</v>
      </c>
    </row>
    <row r="11226" spans="1:9" x14ac:dyDescent="0.4">
      <c r="A11226" t="s">
        <v>73</v>
      </c>
      <c r="B11226" s="1">
        <v>45139</v>
      </c>
      <c r="C11226">
        <v>850131</v>
      </c>
      <c r="D11226" t="s">
        <v>176</v>
      </c>
      <c r="E11226">
        <v>4381248</v>
      </c>
      <c r="F11226">
        <v>197856</v>
      </c>
      <c r="G11226">
        <v>8703</v>
      </c>
      <c r="H11226">
        <f>_xlfn.XLOOKUP(FACT_IMPORTS[[#This Row],[hts_6]],DIM_PRODUCTS[hts_6],DIM_PRODUCTS[hts_4],,,)</f>
        <v>8501</v>
      </c>
      <c r="I11226" t="str" cm="1">
        <f t="array" ref="I11226">_xlfn.XLOOKUP(FACT_IMPORTS[[#This Row],[country_name]],DIM_COUNTRY[[#All],[Column2]],DIM_COUNTRY[[#All],[Column3]],,,)</f>
        <v>Major_Non-USMCA_Non-China</v>
      </c>
    </row>
    <row r="11227" spans="1:9" x14ac:dyDescent="0.4">
      <c r="A11227" t="s">
        <v>73</v>
      </c>
      <c r="B11227" s="1">
        <v>45139</v>
      </c>
      <c r="C11227">
        <v>850132</v>
      </c>
      <c r="D11227" t="s">
        <v>176</v>
      </c>
      <c r="E11227">
        <v>0</v>
      </c>
      <c r="F11227">
        <v>0</v>
      </c>
      <c r="G11227">
        <v>0</v>
      </c>
      <c r="H11227">
        <f>_xlfn.XLOOKUP(FACT_IMPORTS[[#This Row],[hts_6]],DIM_PRODUCTS[hts_6],DIM_PRODUCTS[hts_4],,,)</f>
        <v>8501</v>
      </c>
      <c r="I11227" t="str" cm="1">
        <f t="array" ref="I11227">_xlfn.XLOOKUP(FACT_IMPORTS[[#This Row],[country_name]],DIM_COUNTRY[[#All],[Column2]],DIM_COUNTRY[[#All],[Column3]],,,)</f>
        <v>Major_Non-USMCA_Non-China</v>
      </c>
    </row>
    <row r="11228" spans="1:9" x14ac:dyDescent="0.4">
      <c r="A11228" t="s">
        <v>73</v>
      </c>
      <c r="B11228" s="1">
        <v>45139</v>
      </c>
      <c r="C11228">
        <v>850152</v>
      </c>
      <c r="D11228" t="s">
        <v>176</v>
      </c>
      <c r="E11228">
        <v>0</v>
      </c>
      <c r="F11228">
        <v>0</v>
      </c>
      <c r="G11228">
        <v>0</v>
      </c>
      <c r="H11228">
        <f>_xlfn.XLOOKUP(FACT_IMPORTS[[#This Row],[hts_6]],DIM_PRODUCTS[hts_6],DIM_PRODUCTS[hts_4],,,)</f>
        <v>8501</v>
      </c>
      <c r="I11228" t="str" cm="1">
        <f t="array" ref="I11228">_xlfn.XLOOKUP(FACT_IMPORTS[[#This Row],[country_name]],DIM_COUNTRY[[#All],[Column2]],DIM_COUNTRY[[#All],[Column3]],,,)</f>
        <v>Major_Non-USMCA_Non-China</v>
      </c>
    </row>
    <row r="11229" spans="1:9" x14ac:dyDescent="0.4">
      <c r="A11229" t="s">
        <v>73</v>
      </c>
      <c r="B11229" s="1">
        <v>45139</v>
      </c>
      <c r="C11229">
        <v>850153</v>
      </c>
      <c r="D11229" t="s">
        <v>176</v>
      </c>
      <c r="E11229">
        <v>8587646</v>
      </c>
      <c r="F11229">
        <v>4765</v>
      </c>
      <c r="G11229">
        <v>4603</v>
      </c>
      <c r="H11229">
        <f>_xlfn.XLOOKUP(FACT_IMPORTS[[#This Row],[hts_6]],DIM_PRODUCTS[hts_6],DIM_PRODUCTS[hts_4],,,)</f>
        <v>8501</v>
      </c>
      <c r="I11229" t="str" cm="1">
        <f t="array" ref="I11229">_xlfn.XLOOKUP(FACT_IMPORTS[[#This Row],[country_name]],DIM_COUNTRY[[#All],[Column2]],DIM_COUNTRY[[#All],[Column3]],,,)</f>
        <v>Major_Non-USMCA_Non-China</v>
      </c>
    </row>
    <row r="11230" spans="1:9" x14ac:dyDescent="0.4">
      <c r="A11230" t="s">
        <v>73</v>
      </c>
      <c r="B11230" s="1">
        <v>45139</v>
      </c>
      <c r="C11230">
        <v>850440</v>
      </c>
      <c r="D11230" t="s">
        <v>176</v>
      </c>
      <c r="E11230">
        <v>15002565</v>
      </c>
      <c r="F11230">
        <v>22360</v>
      </c>
      <c r="G11230">
        <v>9356</v>
      </c>
      <c r="H11230">
        <f>_xlfn.XLOOKUP(FACT_IMPORTS[[#This Row],[hts_6]],DIM_PRODUCTS[hts_6],DIM_PRODUCTS[hts_4],,,)</f>
        <v>8504</v>
      </c>
      <c r="I11230" t="str" cm="1">
        <f t="array" ref="I11230">_xlfn.XLOOKUP(FACT_IMPORTS[[#This Row],[country_name]],DIM_COUNTRY[[#All],[Column2]],DIM_COUNTRY[[#All],[Column3]],,,)</f>
        <v>Major_Non-USMCA_Non-China</v>
      </c>
    </row>
    <row r="11231" spans="1:9" x14ac:dyDescent="0.4">
      <c r="A11231" t="s">
        <v>73</v>
      </c>
      <c r="B11231" s="1">
        <v>45139</v>
      </c>
      <c r="C11231">
        <v>850710</v>
      </c>
      <c r="D11231" t="s">
        <v>176</v>
      </c>
      <c r="E11231">
        <v>632652</v>
      </c>
      <c r="F11231">
        <v>14930</v>
      </c>
      <c r="G11231">
        <v>15791</v>
      </c>
      <c r="H11231">
        <f>_xlfn.XLOOKUP(FACT_IMPORTS[[#This Row],[hts_6]],DIM_PRODUCTS[hts_6],DIM_PRODUCTS[hts_4],,,)</f>
        <v>8507</v>
      </c>
      <c r="I11231" t="str" cm="1">
        <f t="array" ref="I11231">_xlfn.XLOOKUP(FACT_IMPORTS[[#This Row],[country_name]],DIM_COUNTRY[[#All],[Column2]],DIM_COUNTRY[[#All],[Column3]],,,)</f>
        <v>Major_Non-USMCA_Non-China</v>
      </c>
    </row>
    <row r="11232" spans="1:9" x14ac:dyDescent="0.4">
      <c r="A11232" t="s">
        <v>73</v>
      </c>
      <c r="B11232" s="1">
        <v>45139</v>
      </c>
      <c r="C11232">
        <v>850760</v>
      </c>
      <c r="D11232" t="s">
        <v>176</v>
      </c>
      <c r="E11232">
        <v>1808363</v>
      </c>
      <c r="F11232">
        <v>451</v>
      </c>
      <c r="G11232">
        <v>855</v>
      </c>
      <c r="H11232">
        <f>_xlfn.XLOOKUP(FACT_IMPORTS[[#This Row],[hts_6]],DIM_PRODUCTS[hts_6],DIM_PRODUCTS[hts_4],,,)</f>
        <v>8507</v>
      </c>
      <c r="I11232" t="str" cm="1">
        <f t="array" ref="I11232">_xlfn.XLOOKUP(FACT_IMPORTS[[#This Row],[country_name]],DIM_COUNTRY[[#All],[Column2]],DIM_COUNTRY[[#All],[Column3]],,,)</f>
        <v>Major_Non-USMCA_Non-China</v>
      </c>
    </row>
    <row r="11233" spans="1:9" x14ac:dyDescent="0.4">
      <c r="A11233" t="s">
        <v>73</v>
      </c>
      <c r="B11233" s="1">
        <v>45139</v>
      </c>
      <c r="C11233">
        <v>850790</v>
      </c>
      <c r="D11233" t="s">
        <v>176</v>
      </c>
      <c r="E11233">
        <v>6743657</v>
      </c>
      <c r="F11233">
        <v>302184</v>
      </c>
      <c r="G11233">
        <v>114961</v>
      </c>
      <c r="H11233">
        <f>_xlfn.XLOOKUP(FACT_IMPORTS[[#This Row],[hts_6]],DIM_PRODUCTS[hts_6],DIM_PRODUCTS[hts_4],,,)</f>
        <v>8507</v>
      </c>
      <c r="I11233" t="str" cm="1">
        <f t="array" ref="I11233">_xlfn.XLOOKUP(FACT_IMPORTS[[#This Row],[country_name]],DIM_COUNTRY[[#All],[Column2]],DIM_COUNTRY[[#All],[Column3]],,,)</f>
        <v>Major_Non-USMCA_Non-China</v>
      </c>
    </row>
    <row r="11234" spans="1:9" x14ac:dyDescent="0.4">
      <c r="A11234" t="s">
        <v>73</v>
      </c>
      <c r="B11234" s="1">
        <v>45139</v>
      </c>
      <c r="C11234">
        <v>851110</v>
      </c>
      <c r="D11234" t="s">
        <v>176</v>
      </c>
      <c r="E11234">
        <v>0</v>
      </c>
      <c r="F11234">
        <v>0</v>
      </c>
      <c r="G11234">
        <v>0</v>
      </c>
      <c r="H11234">
        <f>_xlfn.XLOOKUP(FACT_IMPORTS[[#This Row],[hts_6]],DIM_PRODUCTS[hts_6],DIM_PRODUCTS[hts_4],,,)</f>
        <v>8511</v>
      </c>
      <c r="I11234" t="str" cm="1">
        <f t="array" ref="I11234">_xlfn.XLOOKUP(FACT_IMPORTS[[#This Row],[country_name]],DIM_COUNTRY[[#All],[Column2]],DIM_COUNTRY[[#All],[Column3]],,,)</f>
        <v>Major_Non-USMCA_Non-China</v>
      </c>
    </row>
    <row r="11235" spans="1:9" x14ac:dyDescent="0.4">
      <c r="A11235" t="s">
        <v>73</v>
      </c>
      <c r="B11235" s="1">
        <v>45139</v>
      </c>
      <c r="C11235">
        <v>851130</v>
      </c>
      <c r="D11235" t="s">
        <v>176</v>
      </c>
      <c r="E11235">
        <v>7503</v>
      </c>
      <c r="F11235">
        <v>206</v>
      </c>
      <c r="G11235">
        <v>7</v>
      </c>
      <c r="H11235">
        <f>_xlfn.XLOOKUP(FACT_IMPORTS[[#This Row],[hts_6]],DIM_PRODUCTS[hts_6],DIM_PRODUCTS[hts_4],,,)</f>
        <v>8511</v>
      </c>
      <c r="I11235" t="str" cm="1">
        <f t="array" ref="I11235">_xlfn.XLOOKUP(FACT_IMPORTS[[#This Row],[country_name]],DIM_COUNTRY[[#All],[Column2]],DIM_COUNTRY[[#All],[Column3]],,,)</f>
        <v>Major_Non-USMCA_Non-China</v>
      </c>
    </row>
    <row r="11236" spans="1:9" x14ac:dyDescent="0.4">
      <c r="A11236" t="s">
        <v>73</v>
      </c>
      <c r="B11236" s="1">
        <v>45139</v>
      </c>
      <c r="C11236">
        <v>851140</v>
      </c>
      <c r="D11236" t="s">
        <v>176</v>
      </c>
      <c r="E11236">
        <v>4221646</v>
      </c>
      <c r="F11236">
        <v>13072</v>
      </c>
      <c r="G11236">
        <v>2053</v>
      </c>
      <c r="H11236">
        <f>_xlfn.XLOOKUP(FACT_IMPORTS[[#This Row],[hts_6]],DIM_PRODUCTS[hts_6],DIM_PRODUCTS[hts_4],,,)</f>
        <v>8511</v>
      </c>
      <c r="I11236" t="str" cm="1">
        <f t="array" ref="I11236">_xlfn.XLOOKUP(FACT_IMPORTS[[#This Row],[country_name]],DIM_COUNTRY[[#All],[Column2]],DIM_COUNTRY[[#All],[Column3]],,,)</f>
        <v>Major_Non-USMCA_Non-China</v>
      </c>
    </row>
    <row r="11237" spans="1:9" x14ac:dyDescent="0.4">
      <c r="A11237" t="s">
        <v>73</v>
      </c>
      <c r="B11237" s="1">
        <v>45139</v>
      </c>
      <c r="C11237">
        <v>851150</v>
      </c>
      <c r="D11237" t="s">
        <v>176</v>
      </c>
      <c r="E11237">
        <v>5030</v>
      </c>
      <c r="F11237">
        <v>20</v>
      </c>
      <c r="G11237">
        <v>6</v>
      </c>
      <c r="H11237">
        <f>_xlfn.XLOOKUP(FACT_IMPORTS[[#This Row],[hts_6]],DIM_PRODUCTS[hts_6],DIM_PRODUCTS[hts_4],,,)</f>
        <v>8511</v>
      </c>
      <c r="I11237" t="str" cm="1">
        <f t="array" ref="I11237">_xlfn.XLOOKUP(FACT_IMPORTS[[#This Row],[country_name]],DIM_COUNTRY[[#All],[Column2]],DIM_COUNTRY[[#All],[Column3]],,,)</f>
        <v>Major_Non-USMCA_Non-China</v>
      </c>
    </row>
    <row r="11238" spans="1:9" x14ac:dyDescent="0.4">
      <c r="A11238" t="s">
        <v>73</v>
      </c>
      <c r="B11238" s="1">
        <v>45139</v>
      </c>
      <c r="C11238">
        <v>851190</v>
      </c>
      <c r="D11238" t="s">
        <v>176</v>
      </c>
      <c r="E11238">
        <v>287541</v>
      </c>
      <c r="F11238">
        <v>31163</v>
      </c>
      <c r="G11238">
        <v>9084</v>
      </c>
      <c r="H11238">
        <f>_xlfn.XLOOKUP(FACT_IMPORTS[[#This Row],[hts_6]],DIM_PRODUCTS[hts_6],DIM_PRODUCTS[hts_4],,,)</f>
        <v>8511</v>
      </c>
      <c r="I11238" t="str" cm="1">
        <f t="array" ref="I11238">_xlfn.XLOOKUP(FACT_IMPORTS[[#This Row],[country_name]],DIM_COUNTRY[[#All],[Column2]],DIM_COUNTRY[[#All],[Column3]],,,)</f>
        <v>Major_Non-USMCA_Non-China</v>
      </c>
    </row>
    <row r="11239" spans="1:9" x14ac:dyDescent="0.4">
      <c r="A11239" t="s">
        <v>73</v>
      </c>
      <c r="B11239" s="1">
        <v>45139</v>
      </c>
      <c r="C11239">
        <v>851220</v>
      </c>
      <c r="D11239" t="s">
        <v>176</v>
      </c>
      <c r="E11239">
        <v>17259303</v>
      </c>
      <c r="F11239">
        <v>1768574</v>
      </c>
      <c r="G11239">
        <v>179927</v>
      </c>
      <c r="H11239">
        <f>_xlfn.XLOOKUP(FACT_IMPORTS[[#This Row],[hts_6]],DIM_PRODUCTS[hts_6],DIM_PRODUCTS[hts_4],,,)</f>
        <v>8512</v>
      </c>
      <c r="I11239" t="str" cm="1">
        <f t="array" ref="I11239">_xlfn.XLOOKUP(FACT_IMPORTS[[#This Row],[country_name]],DIM_COUNTRY[[#All],[Column2]],DIM_COUNTRY[[#All],[Column3]],,,)</f>
        <v>Major_Non-USMCA_Non-China</v>
      </c>
    </row>
    <row r="11240" spans="1:9" x14ac:dyDescent="0.4">
      <c r="A11240" t="s">
        <v>73</v>
      </c>
      <c r="B11240" s="1">
        <v>45139</v>
      </c>
      <c r="C11240">
        <v>851240</v>
      </c>
      <c r="D11240" t="s">
        <v>176</v>
      </c>
      <c r="E11240">
        <v>494139</v>
      </c>
      <c r="F11240">
        <v>23100</v>
      </c>
      <c r="G11240">
        <v>24337</v>
      </c>
      <c r="H11240">
        <f>_xlfn.XLOOKUP(FACT_IMPORTS[[#This Row],[hts_6]],DIM_PRODUCTS[hts_6],DIM_PRODUCTS[hts_4],,,)</f>
        <v>8512</v>
      </c>
      <c r="I11240" t="str" cm="1">
        <f t="array" ref="I11240">_xlfn.XLOOKUP(FACT_IMPORTS[[#This Row],[country_name]],DIM_COUNTRY[[#All],[Column2]],DIM_COUNTRY[[#All],[Column3]],,,)</f>
        <v>Major_Non-USMCA_Non-China</v>
      </c>
    </row>
    <row r="11241" spans="1:9" x14ac:dyDescent="0.4">
      <c r="A11241" t="s">
        <v>73</v>
      </c>
      <c r="B11241" s="1">
        <v>45139</v>
      </c>
      <c r="C11241">
        <v>851290</v>
      </c>
      <c r="D11241" t="s">
        <v>176</v>
      </c>
      <c r="E11241">
        <v>1591495</v>
      </c>
      <c r="F11241">
        <v>109972</v>
      </c>
      <c r="G11241">
        <v>72325</v>
      </c>
      <c r="H11241">
        <f>_xlfn.XLOOKUP(FACT_IMPORTS[[#This Row],[hts_6]],DIM_PRODUCTS[hts_6],DIM_PRODUCTS[hts_4],,,)</f>
        <v>8512</v>
      </c>
      <c r="I11241" t="str" cm="1">
        <f t="array" ref="I11241">_xlfn.XLOOKUP(FACT_IMPORTS[[#This Row],[country_name]],DIM_COUNTRY[[#All],[Column2]],DIM_COUNTRY[[#All],[Column3]],,,)</f>
        <v>Major_Non-USMCA_Non-China</v>
      </c>
    </row>
    <row r="11242" spans="1:9" x14ac:dyDescent="0.4">
      <c r="A11242" t="s">
        <v>73</v>
      </c>
      <c r="B11242" s="1">
        <v>45139</v>
      </c>
      <c r="C11242">
        <v>854231</v>
      </c>
      <c r="D11242" t="s">
        <v>176</v>
      </c>
      <c r="E11242">
        <v>19509</v>
      </c>
      <c r="F11242">
        <v>405</v>
      </c>
      <c r="G11242">
        <v>24</v>
      </c>
      <c r="H11242">
        <f>_xlfn.XLOOKUP(FACT_IMPORTS[[#This Row],[hts_6]],DIM_PRODUCTS[hts_6],DIM_PRODUCTS[hts_4],,,)</f>
        <v>8542</v>
      </c>
      <c r="I11242" t="str" cm="1">
        <f t="array" ref="I11242">_xlfn.XLOOKUP(FACT_IMPORTS[[#This Row],[country_name]],DIM_COUNTRY[[#All],[Column2]],DIM_COUNTRY[[#All],[Column3]],,,)</f>
        <v>Major_Non-USMCA_Non-China</v>
      </c>
    </row>
    <row r="11243" spans="1:9" x14ac:dyDescent="0.4">
      <c r="A11243" t="s">
        <v>73</v>
      </c>
      <c r="B11243" s="1">
        <v>45139</v>
      </c>
      <c r="C11243">
        <v>854232</v>
      </c>
      <c r="D11243" t="s">
        <v>176</v>
      </c>
      <c r="E11243">
        <v>0</v>
      </c>
      <c r="F11243">
        <v>0</v>
      </c>
      <c r="G11243">
        <v>0</v>
      </c>
      <c r="H11243">
        <f>_xlfn.XLOOKUP(FACT_IMPORTS[[#This Row],[hts_6]],DIM_PRODUCTS[hts_6],DIM_PRODUCTS[hts_4],,,)</f>
        <v>8542</v>
      </c>
      <c r="I11243" t="str" cm="1">
        <f t="array" ref="I11243">_xlfn.XLOOKUP(FACT_IMPORTS[[#This Row],[country_name]],DIM_COUNTRY[[#All],[Column2]],DIM_COUNTRY[[#All],[Column3]],,,)</f>
        <v>Major_Non-USMCA_Non-China</v>
      </c>
    </row>
    <row r="11244" spans="1:9" x14ac:dyDescent="0.4">
      <c r="A11244" t="s">
        <v>73</v>
      </c>
      <c r="B11244" s="1">
        <v>45139</v>
      </c>
      <c r="C11244">
        <v>854239</v>
      </c>
      <c r="D11244" t="s">
        <v>176</v>
      </c>
      <c r="E11244">
        <v>1412380</v>
      </c>
      <c r="F11244">
        <v>27000</v>
      </c>
      <c r="G11244">
        <v>141238</v>
      </c>
      <c r="H11244">
        <f>_xlfn.XLOOKUP(FACT_IMPORTS[[#This Row],[hts_6]],DIM_PRODUCTS[hts_6],DIM_PRODUCTS[hts_4],,,)</f>
        <v>8542</v>
      </c>
      <c r="I11244" t="str" cm="1">
        <f t="array" ref="I11244">_xlfn.XLOOKUP(FACT_IMPORTS[[#This Row],[country_name]],DIM_COUNTRY[[#All],[Column2]],DIM_COUNTRY[[#All],[Column3]],,,)</f>
        <v>Major_Non-USMCA_Non-China</v>
      </c>
    </row>
    <row r="11245" spans="1:9" x14ac:dyDescent="0.4">
      <c r="A11245" t="s">
        <v>73</v>
      </c>
      <c r="B11245" s="1">
        <v>45139</v>
      </c>
      <c r="C11245">
        <v>854430</v>
      </c>
      <c r="D11245" t="s">
        <v>176</v>
      </c>
      <c r="E11245">
        <v>638489</v>
      </c>
      <c r="F11245">
        <v>2586</v>
      </c>
      <c r="G11245">
        <v>655</v>
      </c>
      <c r="H11245">
        <f>_xlfn.XLOOKUP(FACT_IMPORTS[[#This Row],[hts_6]],DIM_PRODUCTS[hts_6],DIM_PRODUCTS[hts_4],,,)</f>
        <v>8544</v>
      </c>
      <c r="I11245" t="str" cm="1">
        <f t="array" ref="I11245">_xlfn.XLOOKUP(FACT_IMPORTS[[#This Row],[country_name]],DIM_COUNTRY[[#All],[Column2]],DIM_COUNTRY[[#All],[Column3]],,,)</f>
        <v>Major_Non-USMCA_Non-China</v>
      </c>
    </row>
    <row r="11246" spans="1:9" x14ac:dyDescent="0.4">
      <c r="A11246" t="s">
        <v>73</v>
      </c>
      <c r="B11246" s="1">
        <v>45139</v>
      </c>
      <c r="C11246">
        <v>870810</v>
      </c>
      <c r="D11246" t="s">
        <v>176</v>
      </c>
      <c r="E11246">
        <v>1402114</v>
      </c>
      <c r="F11246">
        <v>186694</v>
      </c>
      <c r="G11246">
        <v>6810</v>
      </c>
      <c r="H11246">
        <f>_xlfn.XLOOKUP(FACT_IMPORTS[[#This Row],[hts_6]],DIM_PRODUCTS[hts_6],DIM_PRODUCTS[hts_4],,,)</f>
        <v>8708</v>
      </c>
      <c r="I11246" t="str" cm="1">
        <f t="array" ref="I11246">_xlfn.XLOOKUP(FACT_IMPORTS[[#This Row],[country_name]],DIM_COUNTRY[[#All],[Column2]],DIM_COUNTRY[[#All],[Column3]],,,)</f>
        <v>Major_Non-USMCA_Non-China</v>
      </c>
    </row>
    <row r="11247" spans="1:9" x14ac:dyDescent="0.4">
      <c r="A11247" t="s">
        <v>73</v>
      </c>
      <c r="B11247" s="1">
        <v>45139</v>
      </c>
      <c r="C11247">
        <v>870821</v>
      </c>
      <c r="D11247" t="s">
        <v>176</v>
      </c>
      <c r="E11247">
        <v>0</v>
      </c>
      <c r="F11247">
        <v>0</v>
      </c>
      <c r="G11247">
        <v>0</v>
      </c>
      <c r="H11247">
        <f>_xlfn.XLOOKUP(FACT_IMPORTS[[#This Row],[hts_6]],DIM_PRODUCTS[hts_6],DIM_PRODUCTS[hts_4],,,)</f>
        <v>8708</v>
      </c>
      <c r="I11247" t="str" cm="1">
        <f t="array" ref="I11247">_xlfn.XLOOKUP(FACT_IMPORTS[[#This Row],[country_name]],DIM_COUNTRY[[#All],[Column2]],DIM_COUNTRY[[#All],[Column3]],,,)</f>
        <v>Major_Non-USMCA_Non-China</v>
      </c>
    </row>
    <row r="11248" spans="1:9" x14ac:dyDescent="0.4">
      <c r="A11248" t="s">
        <v>73</v>
      </c>
      <c r="B11248" s="1">
        <v>45139</v>
      </c>
      <c r="C11248">
        <v>870822</v>
      </c>
      <c r="D11248" t="s">
        <v>176</v>
      </c>
      <c r="E11248">
        <v>52589</v>
      </c>
      <c r="F11248">
        <v>276</v>
      </c>
      <c r="G11248">
        <v>114</v>
      </c>
      <c r="H11248">
        <f>_xlfn.XLOOKUP(FACT_IMPORTS[[#This Row],[hts_6]],DIM_PRODUCTS[hts_6],DIM_PRODUCTS[hts_4],,,)</f>
        <v>8708</v>
      </c>
      <c r="I11248" t="str" cm="1">
        <f t="array" ref="I11248">_xlfn.XLOOKUP(FACT_IMPORTS[[#This Row],[country_name]],DIM_COUNTRY[[#All],[Column2]],DIM_COUNTRY[[#All],[Column3]],,,)</f>
        <v>Major_Non-USMCA_Non-China</v>
      </c>
    </row>
    <row r="11249" spans="1:9" x14ac:dyDescent="0.4">
      <c r="A11249" t="s">
        <v>73</v>
      </c>
      <c r="B11249" s="1">
        <v>45139</v>
      </c>
      <c r="C11249">
        <v>870829</v>
      </c>
      <c r="D11249" t="s">
        <v>176</v>
      </c>
      <c r="E11249">
        <v>10268203</v>
      </c>
      <c r="F11249">
        <v>4211897</v>
      </c>
      <c r="G11249">
        <v>494036</v>
      </c>
      <c r="H11249">
        <f>_xlfn.XLOOKUP(FACT_IMPORTS[[#This Row],[hts_6]],DIM_PRODUCTS[hts_6],DIM_PRODUCTS[hts_4],,,)</f>
        <v>8708</v>
      </c>
      <c r="I11249" t="str" cm="1">
        <f t="array" ref="I11249">_xlfn.XLOOKUP(FACT_IMPORTS[[#This Row],[country_name]],DIM_COUNTRY[[#All],[Column2]],DIM_COUNTRY[[#All],[Column3]],,,)</f>
        <v>Major_Non-USMCA_Non-China</v>
      </c>
    </row>
    <row r="11250" spans="1:9" x14ac:dyDescent="0.4">
      <c r="A11250" t="s">
        <v>73</v>
      </c>
      <c r="B11250" s="1">
        <v>45139</v>
      </c>
      <c r="C11250">
        <v>870830</v>
      </c>
      <c r="D11250" t="s">
        <v>176</v>
      </c>
      <c r="E11250">
        <v>884331</v>
      </c>
      <c r="F11250">
        <v>333979</v>
      </c>
      <c r="G11250">
        <v>31716</v>
      </c>
      <c r="H11250">
        <f>_xlfn.XLOOKUP(FACT_IMPORTS[[#This Row],[hts_6]],DIM_PRODUCTS[hts_6],DIM_PRODUCTS[hts_4],,,)</f>
        <v>8708</v>
      </c>
      <c r="I11250" t="str" cm="1">
        <f t="array" ref="I11250">_xlfn.XLOOKUP(FACT_IMPORTS[[#This Row],[country_name]],DIM_COUNTRY[[#All],[Column2]],DIM_COUNTRY[[#All],[Column3]],,,)</f>
        <v>Major_Non-USMCA_Non-China</v>
      </c>
    </row>
    <row r="11251" spans="1:9" x14ac:dyDescent="0.4">
      <c r="A11251" t="s">
        <v>73</v>
      </c>
      <c r="B11251" s="1">
        <v>45139</v>
      </c>
      <c r="C11251">
        <v>870840</v>
      </c>
      <c r="D11251" t="s">
        <v>176</v>
      </c>
      <c r="E11251">
        <v>6063892</v>
      </c>
      <c r="F11251">
        <v>539183</v>
      </c>
      <c r="G11251">
        <v>119475</v>
      </c>
      <c r="H11251">
        <f>_xlfn.XLOOKUP(FACT_IMPORTS[[#This Row],[hts_6]],DIM_PRODUCTS[hts_6],DIM_PRODUCTS[hts_4],,,)</f>
        <v>8708</v>
      </c>
      <c r="I11251" t="str" cm="1">
        <f t="array" ref="I11251">_xlfn.XLOOKUP(FACT_IMPORTS[[#This Row],[country_name]],DIM_COUNTRY[[#All],[Column2]],DIM_COUNTRY[[#All],[Column3]],,,)</f>
        <v>Major_Non-USMCA_Non-China</v>
      </c>
    </row>
    <row r="11252" spans="1:9" x14ac:dyDescent="0.4">
      <c r="A11252" t="s">
        <v>73</v>
      </c>
      <c r="B11252" s="1">
        <v>45139</v>
      </c>
      <c r="C11252">
        <v>870850</v>
      </c>
      <c r="D11252" t="s">
        <v>176</v>
      </c>
      <c r="E11252">
        <v>37665547</v>
      </c>
      <c r="F11252">
        <v>2772004</v>
      </c>
      <c r="G11252">
        <v>1202252</v>
      </c>
      <c r="H11252">
        <f>_xlfn.XLOOKUP(FACT_IMPORTS[[#This Row],[hts_6]],DIM_PRODUCTS[hts_6],DIM_PRODUCTS[hts_4],,,)</f>
        <v>8708</v>
      </c>
      <c r="I11252" t="str" cm="1">
        <f t="array" ref="I11252">_xlfn.XLOOKUP(FACT_IMPORTS[[#This Row],[country_name]],DIM_COUNTRY[[#All],[Column2]],DIM_COUNTRY[[#All],[Column3]],,,)</f>
        <v>Major_Non-USMCA_Non-China</v>
      </c>
    </row>
    <row r="11253" spans="1:9" x14ac:dyDescent="0.4">
      <c r="A11253" t="s">
        <v>73</v>
      </c>
      <c r="B11253" s="1">
        <v>45139</v>
      </c>
      <c r="C11253">
        <v>870870</v>
      </c>
      <c r="D11253" t="s">
        <v>176</v>
      </c>
      <c r="E11253">
        <v>4498257</v>
      </c>
      <c r="F11253">
        <v>69823</v>
      </c>
      <c r="G11253">
        <v>117063</v>
      </c>
      <c r="H11253">
        <f>_xlfn.XLOOKUP(FACT_IMPORTS[[#This Row],[hts_6]],DIM_PRODUCTS[hts_6],DIM_PRODUCTS[hts_4],,,)</f>
        <v>8708</v>
      </c>
      <c r="I11253" t="str" cm="1">
        <f t="array" ref="I11253">_xlfn.XLOOKUP(FACT_IMPORTS[[#This Row],[country_name]],DIM_COUNTRY[[#All],[Column2]],DIM_COUNTRY[[#All],[Column3]],,,)</f>
        <v>Major_Non-USMCA_Non-China</v>
      </c>
    </row>
    <row r="11254" spans="1:9" x14ac:dyDescent="0.4">
      <c r="A11254" t="s">
        <v>73</v>
      </c>
      <c r="B11254" s="1">
        <v>45139</v>
      </c>
      <c r="C11254">
        <v>870880</v>
      </c>
      <c r="D11254" t="s">
        <v>176</v>
      </c>
      <c r="E11254">
        <v>5207121</v>
      </c>
      <c r="F11254">
        <v>1373072</v>
      </c>
      <c r="G11254">
        <v>168313</v>
      </c>
      <c r="H11254">
        <f>_xlfn.XLOOKUP(FACT_IMPORTS[[#This Row],[hts_6]],DIM_PRODUCTS[hts_6],DIM_PRODUCTS[hts_4],,,)</f>
        <v>8708</v>
      </c>
      <c r="I11254" t="str" cm="1">
        <f t="array" ref="I11254">_xlfn.XLOOKUP(FACT_IMPORTS[[#This Row],[country_name]],DIM_COUNTRY[[#All],[Column2]],DIM_COUNTRY[[#All],[Column3]],,,)</f>
        <v>Major_Non-USMCA_Non-China</v>
      </c>
    </row>
    <row r="11255" spans="1:9" x14ac:dyDescent="0.4">
      <c r="A11255" t="s">
        <v>73</v>
      </c>
      <c r="B11255" s="1">
        <v>45139</v>
      </c>
      <c r="C11255">
        <v>870891</v>
      </c>
      <c r="D11255" t="s">
        <v>176</v>
      </c>
      <c r="E11255">
        <v>80025</v>
      </c>
      <c r="F11255">
        <v>3744</v>
      </c>
      <c r="G11255">
        <v>218</v>
      </c>
      <c r="H11255">
        <f>_xlfn.XLOOKUP(FACT_IMPORTS[[#This Row],[hts_6]],DIM_PRODUCTS[hts_6],DIM_PRODUCTS[hts_4],,,)</f>
        <v>8708</v>
      </c>
      <c r="I11255" t="str" cm="1">
        <f t="array" ref="I11255">_xlfn.XLOOKUP(FACT_IMPORTS[[#This Row],[country_name]],DIM_COUNTRY[[#All],[Column2]],DIM_COUNTRY[[#All],[Column3]],,,)</f>
        <v>Major_Non-USMCA_Non-China</v>
      </c>
    </row>
    <row r="11256" spans="1:9" x14ac:dyDescent="0.4">
      <c r="A11256" t="s">
        <v>73</v>
      </c>
      <c r="B11256" s="1">
        <v>45139</v>
      </c>
      <c r="C11256">
        <v>870892</v>
      </c>
      <c r="D11256" t="s">
        <v>176</v>
      </c>
      <c r="E11256">
        <v>78624</v>
      </c>
      <c r="F11256">
        <v>241</v>
      </c>
      <c r="G11256">
        <v>166</v>
      </c>
      <c r="H11256">
        <f>_xlfn.XLOOKUP(FACT_IMPORTS[[#This Row],[hts_6]],DIM_PRODUCTS[hts_6],DIM_PRODUCTS[hts_4],,,)</f>
        <v>8708</v>
      </c>
      <c r="I11256" t="str" cm="1">
        <f t="array" ref="I11256">_xlfn.XLOOKUP(FACT_IMPORTS[[#This Row],[country_name]],DIM_COUNTRY[[#All],[Column2]],DIM_COUNTRY[[#All],[Column3]],,,)</f>
        <v>Major_Non-USMCA_Non-China</v>
      </c>
    </row>
    <row r="11257" spans="1:9" x14ac:dyDescent="0.4">
      <c r="A11257" t="s">
        <v>73</v>
      </c>
      <c r="B11257" s="1">
        <v>45139</v>
      </c>
      <c r="C11257">
        <v>870893</v>
      </c>
      <c r="D11257" t="s">
        <v>176</v>
      </c>
      <c r="E11257">
        <v>1632603</v>
      </c>
      <c r="F11257">
        <v>217673</v>
      </c>
      <c r="G11257">
        <v>11534</v>
      </c>
      <c r="H11257">
        <f>_xlfn.XLOOKUP(FACT_IMPORTS[[#This Row],[hts_6]],DIM_PRODUCTS[hts_6],DIM_PRODUCTS[hts_4],,,)</f>
        <v>8708</v>
      </c>
      <c r="I11257" t="str" cm="1">
        <f t="array" ref="I11257">_xlfn.XLOOKUP(FACT_IMPORTS[[#This Row],[country_name]],DIM_COUNTRY[[#All],[Column2]],DIM_COUNTRY[[#All],[Column3]],,,)</f>
        <v>Major_Non-USMCA_Non-China</v>
      </c>
    </row>
    <row r="11258" spans="1:9" x14ac:dyDescent="0.4">
      <c r="A11258" t="s">
        <v>73</v>
      </c>
      <c r="B11258" s="1">
        <v>45139</v>
      </c>
      <c r="C11258">
        <v>870894</v>
      </c>
      <c r="D11258" t="s">
        <v>176</v>
      </c>
      <c r="E11258">
        <v>1790312</v>
      </c>
      <c r="F11258">
        <v>239589</v>
      </c>
      <c r="G11258">
        <v>67124</v>
      </c>
      <c r="H11258">
        <f>_xlfn.XLOOKUP(FACT_IMPORTS[[#This Row],[hts_6]],DIM_PRODUCTS[hts_6],DIM_PRODUCTS[hts_4],,,)</f>
        <v>8708</v>
      </c>
      <c r="I11258" t="str" cm="1">
        <f t="array" ref="I11258">_xlfn.XLOOKUP(FACT_IMPORTS[[#This Row],[country_name]],DIM_COUNTRY[[#All],[Column2]],DIM_COUNTRY[[#All],[Column3]],,,)</f>
        <v>Major_Non-USMCA_Non-China</v>
      </c>
    </row>
    <row r="11259" spans="1:9" x14ac:dyDescent="0.4">
      <c r="A11259" t="s">
        <v>73</v>
      </c>
      <c r="B11259" s="1">
        <v>45139</v>
      </c>
      <c r="C11259">
        <v>870895</v>
      </c>
      <c r="D11259" t="s">
        <v>176</v>
      </c>
      <c r="E11259">
        <v>13989</v>
      </c>
      <c r="F11259">
        <v>138</v>
      </c>
      <c r="G11259">
        <v>3</v>
      </c>
      <c r="H11259">
        <f>_xlfn.XLOOKUP(FACT_IMPORTS[[#This Row],[hts_6]],DIM_PRODUCTS[hts_6],DIM_PRODUCTS[hts_4],,,)</f>
        <v>8708</v>
      </c>
      <c r="I11259" t="str" cm="1">
        <f t="array" ref="I11259">_xlfn.XLOOKUP(FACT_IMPORTS[[#This Row],[country_name]],DIM_COUNTRY[[#All],[Column2]],DIM_COUNTRY[[#All],[Column3]],,,)</f>
        <v>Major_Non-USMCA_Non-China</v>
      </c>
    </row>
    <row r="11260" spans="1:9" x14ac:dyDescent="0.4">
      <c r="A11260" t="s">
        <v>73</v>
      </c>
      <c r="B11260" s="1">
        <v>45139</v>
      </c>
      <c r="C11260">
        <v>870899</v>
      </c>
      <c r="D11260" t="s">
        <v>176</v>
      </c>
      <c r="E11260">
        <v>31810707</v>
      </c>
      <c r="F11260">
        <v>6122658</v>
      </c>
      <c r="G11260">
        <v>738166</v>
      </c>
      <c r="H11260">
        <f>_xlfn.XLOOKUP(FACT_IMPORTS[[#This Row],[hts_6]],DIM_PRODUCTS[hts_6],DIM_PRODUCTS[hts_4],,,)</f>
        <v>8708</v>
      </c>
      <c r="I11260" t="str" cm="1">
        <f t="array" ref="I11260">_xlfn.XLOOKUP(FACT_IMPORTS[[#This Row],[country_name]],DIM_COUNTRY[[#All],[Column2]],DIM_COUNTRY[[#All],[Column3]],,,)</f>
        <v>Major_Non-USMCA_Non-China</v>
      </c>
    </row>
    <row r="11261" spans="1:9" x14ac:dyDescent="0.4">
      <c r="A11261" t="s">
        <v>73</v>
      </c>
      <c r="B11261" s="1">
        <v>45139</v>
      </c>
      <c r="C11261">
        <v>940120</v>
      </c>
      <c r="D11261" t="s">
        <v>176</v>
      </c>
      <c r="E11261">
        <v>2444</v>
      </c>
      <c r="F11261">
        <v>4</v>
      </c>
      <c r="G11261">
        <v>20</v>
      </c>
      <c r="H11261">
        <f>_xlfn.XLOOKUP(FACT_IMPORTS[[#This Row],[hts_6]],DIM_PRODUCTS[hts_6],DIM_PRODUCTS[hts_4],,,)</f>
        <v>9401</v>
      </c>
      <c r="I11261" t="str" cm="1">
        <f t="array" ref="I11261">_xlfn.XLOOKUP(FACT_IMPORTS[[#This Row],[country_name]],DIM_COUNTRY[[#All],[Column2]],DIM_COUNTRY[[#All],[Column3]],,,)</f>
        <v>Major_Non-USMCA_Non-China</v>
      </c>
    </row>
    <row r="11262" spans="1:9" x14ac:dyDescent="0.4">
      <c r="A11262" t="s">
        <v>73</v>
      </c>
      <c r="B11262" s="1">
        <v>45170</v>
      </c>
      <c r="C11262">
        <v>392630</v>
      </c>
      <c r="D11262" t="s">
        <v>176</v>
      </c>
      <c r="E11262">
        <v>375176</v>
      </c>
      <c r="F11262">
        <v>19423</v>
      </c>
      <c r="G11262">
        <v>20028</v>
      </c>
      <c r="H11262">
        <f>_xlfn.XLOOKUP(FACT_IMPORTS[[#This Row],[hts_6]],DIM_PRODUCTS[hts_6],DIM_PRODUCTS[hts_4],,,)</f>
        <v>3926</v>
      </c>
      <c r="I11262" t="str" cm="1">
        <f t="array" ref="I11262">_xlfn.XLOOKUP(FACT_IMPORTS[[#This Row],[country_name]],DIM_COUNTRY[[#All],[Column2]],DIM_COUNTRY[[#All],[Column3]],,,)</f>
        <v>Major_Non-USMCA_Non-China</v>
      </c>
    </row>
    <row r="11263" spans="1:9" x14ac:dyDescent="0.4">
      <c r="A11263" t="s">
        <v>73</v>
      </c>
      <c r="B11263" s="1">
        <v>45170</v>
      </c>
      <c r="C11263">
        <v>401110</v>
      </c>
      <c r="D11263" t="s">
        <v>176</v>
      </c>
      <c r="E11263">
        <v>1802166</v>
      </c>
      <c r="F11263">
        <v>28050</v>
      </c>
      <c r="G11263">
        <v>288111</v>
      </c>
      <c r="H11263">
        <f>_xlfn.XLOOKUP(FACT_IMPORTS[[#This Row],[hts_6]],DIM_PRODUCTS[hts_6],DIM_PRODUCTS[hts_4],,,)</f>
        <v>4011</v>
      </c>
      <c r="I11263" t="str" cm="1">
        <f t="array" ref="I11263">_xlfn.XLOOKUP(FACT_IMPORTS[[#This Row],[country_name]],DIM_COUNTRY[[#All],[Column2]],DIM_COUNTRY[[#All],[Column3]],,,)</f>
        <v>Major_Non-USMCA_Non-China</v>
      </c>
    </row>
    <row r="11264" spans="1:9" x14ac:dyDescent="0.4">
      <c r="A11264" t="s">
        <v>73</v>
      </c>
      <c r="B11264" s="1">
        <v>45170</v>
      </c>
      <c r="C11264">
        <v>401120</v>
      </c>
      <c r="D11264" t="s">
        <v>176</v>
      </c>
      <c r="E11264">
        <v>35554</v>
      </c>
      <c r="F11264">
        <v>462</v>
      </c>
      <c r="G11264">
        <v>5176</v>
      </c>
      <c r="H11264">
        <f>_xlfn.XLOOKUP(FACT_IMPORTS[[#This Row],[hts_6]],DIM_PRODUCTS[hts_6],DIM_PRODUCTS[hts_4],,,)</f>
        <v>4011</v>
      </c>
      <c r="I11264" t="str" cm="1">
        <f t="array" ref="I11264">_xlfn.XLOOKUP(FACT_IMPORTS[[#This Row],[country_name]],DIM_COUNTRY[[#All],[Column2]],DIM_COUNTRY[[#All],[Column3]],,,)</f>
        <v>Major_Non-USMCA_Non-China</v>
      </c>
    </row>
    <row r="11265" spans="1:9" x14ac:dyDescent="0.4">
      <c r="A11265" t="s">
        <v>73</v>
      </c>
      <c r="B11265" s="1">
        <v>45170</v>
      </c>
      <c r="C11265">
        <v>401190</v>
      </c>
      <c r="D11265" t="s">
        <v>176</v>
      </c>
      <c r="E11265">
        <v>0</v>
      </c>
      <c r="F11265">
        <v>0</v>
      </c>
      <c r="G11265">
        <v>0</v>
      </c>
      <c r="H11265">
        <f>_xlfn.XLOOKUP(FACT_IMPORTS[[#This Row],[hts_6]],DIM_PRODUCTS[hts_6],DIM_PRODUCTS[hts_4],,,)</f>
        <v>4011</v>
      </c>
      <c r="I11265" t="str" cm="1">
        <f t="array" ref="I11265">_xlfn.XLOOKUP(FACT_IMPORTS[[#This Row],[country_name]],DIM_COUNTRY[[#All],[Column2]],DIM_COUNTRY[[#All],[Column3]],,,)</f>
        <v>Major_Non-USMCA_Non-China</v>
      </c>
    </row>
    <row r="11266" spans="1:9" x14ac:dyDescent="0.4">
      <c r="A11266" t="s">
        <v>73</v>
      </c>
      <c r="B11266" s="1">
        <v>45170</v>
      </c>
      <c r="C11266">
        <v>700910</v>
      </c>
      <c r="D11266" t="s">
        <v>176</v>
      </c>
      <c r="E11266">
        <v>5660</v>
      </c>
      <c r="F11266">
        <v>36</v>
      </c>
      <c r="G11266">
        <v>11</v>
      </c>
      <c r="H11266">
        <f>_xlfn.XLOOKUP(FACT_IMPORTS[[#This Row],[hts_6]],DIM_PRODUCTS[hts_6],DIM_PRODUCTS[hts_4],,,)</f>
        <v>7009</v>
      </c>
      <c r="I11266" t="str" cm="1">
        <f t="array" ref="I11266">_xlfn.XLOOKUP(FACT_IMPORTS[[#This Row],[country_name]],DIM_COUNTRY[[#All],[Column2]],DIM_COUNTRY[[#All],[Column3]],,,)</f>
        <v>Major_Non-USMCA_Non-China</v>
      </c>
    </row>
    <row r="11267" spans="1:9" x14ac:dyDescent="0.4">
      <c r="A11267" t="s">
        <v>73</v>
      </c>
      <c r="B11267" s="1">
        <v>45170</v>
      </c>
      <c r="C11267">
        <v>830230</v>
      </c>
      <c r="D11267" t="s">
        <v>176</v>
      </c>
      <c r="E11267">
        <v>3351086</v>
      </c>
      <c r="F11267">
        <v>426423</v>
      </c>
      <c r="G11267">
        <v>63647</v>
      </c>
      <c r="H11267">
        <f>_xlfn.XLOOKUP(FACT_IMPORTS[[#This Row],[hts_6]],DIM_PRODUCTS[hts_6],DIM_PRODUCTS[hts_4],,,)</f>
        <v>8302</v>
      </c>
      <c r="I11267" t="str" cm="1">
        <f t="array" ref="I11267">_xlfn.XLOOKUP(FACT_IMPORTS[[#This Row],[country_name]],DIM_COUNTRY[[#All],[Column2]],DIM_COUNTRY[[#All],[Column3]],,,)</f>
        <v>Major_Non-USMCA_Non-China</v>
      </c>
    </row>
    <row r="11268" spans="1:9" x14ac:dyDescent="0.4">
      <c r="A11268" t="s">
        <v>73</v>
      </c>
      <c r="B11268" s="1">
        <v>45170</v>
      </c>
      <c r="C11268">
        <v>840734</v>
      </c>
      <c r="D11268" t="s">
        <v>176</v>
      </c>
      <c r="E11268">
        <v>0</v>
      </c>
      <c r="F11268">
        <v>0</v>
      </c>
      <c r="G11268">
        <v>0</v>
      </c>
      <c r="H11268">
        <f>_xlfn.XLOOKUP(FACT_IMPORTS[[#This Row],[hts_6]],DIM_PRODUCTS[hts_6],DIM_PRODUCTS[hts_4],,,)</f>
        <v>8407</v>
      </c>
      <c r="I11268" t="str" cm="1">
        <f t="array" ref="I11268">_xlfn.XLOOKUP(FACT_IMPORTS[[#This Row],[country_name]],DIM_COUNTRY[[#All],[Column2]],DIM_COUNTRY[[#All],[Column3]],,,)</f>
        <v>Major_Non-USMCA_Non-China</v>
      </c>
    </row>
    <row r="11269" spans="1:9" x14ac:dyDescent="0.4">
      <c r="A11269" t="s">
        <v>73</v>
      </c>
      <c r="B11269" s="1">
        <v>45170</v>
      </c>
      <c r="C11269">
        <v>840820</v>
      </c>
      <c r="D11269" t="s">
        <v>176</v>
      </c>
      <c r="E11269">
        <v>0</v>
      </c>
      <c r="F11269">
        <v>0</v>
      </c>
      <c r="G11269">
        <v>0</v>
      </c>
      <c r="H11269">
        <f>_xlfn.XLOOKUP(FACT_IMPORTS[[#This Row],[hts_6]],DIM_PRODUCTS[hts_6],DIM_PRODUCTS[hts_4],,,)</f>
        <v>8408</v>
      </c>
      <c r="I11269" t="str" cm="1">
        <f t="array" ref="I11269">_xlfn.XLOOKUP(FACT_IMPORTS[[#This Row],[country_name]],DIM_COUNTRY[[#All],[Column2]],DIM_COUNTRY[[#All],[Column3]],,,)</f>
        <v>Major_Non-USMCA_Non-China</v>
      </c>
    </row>
    <row r="11270" spans="1:9" x14ac:dyDescent="0.4">
      <c r="A11270" t="s">
        <v>73</v>
      </c>
      <c r="B11270" s="1">
        <v>45170</v>
      </c>
      <c r="C11270">
        <v>840890</v>
      </c>
      <c r="D11270" t="s">
        <v>176</v>
      </c>
      <c r="E11270">
        <v>0</v>
      </c>
      <c r="F11270">
        <v>0</v>
      </c>
      <c r="G11270">
        <v>0</v>
      </c>
      <c r="H11270">
        <f>_xlfn.XLOOKUP(FACT_IMPORTS[[#This Row],[hts_6]],DIM_PRODUCTS[hts_6],DIM_PRODUCTS[hts_4],,,)</f>
        <v>8408</v>
      </c>
      <c r="I11270" t="str" cm="1">
        <f t="array" ref="I11270">_xlfn.XLOOKUP(FACT_IMPORTS[[#This Row],[country_name]],DIM_COUNTRY[[#All],[Column2]],DIM_COUNTRY[[#All],[Column3]],,,)</f>
        <v>Major_Non-USMCA_Non-China</v>
      </c>
    </row>
    <row r="11271" spans="1:9" x14ac:dyDescent="0.4">
      <c r="A11271" t="s">
        <v>73</v>
      </c>
      <c r="B11271" s="1">
        <v>45170</v>
      </c>
      <c r="C11271">
        <v>840991</v>
      </c>
      <c r="D11271" t="s">
        <v>176</v>
      </c>
      <c r="E11271">
        <v>4702313</v>
      </c>
      <c r="F11271">
        <v>445710</v>
      </c>
      <c r="G11271">
        <v>89437</v>
      </c>
      <c r="H11271">
        <f>_xlfn.XLOOKUP(FACT_IMPORTS[[#This Row],[hts_6]],DIM_PRODUCTS[hts_6],DIM_PRODUCTS[hts_4],,,)</f>
        <v>8409</v>
      </c>
      <c r="I11271" t="str" cm="1">
        <f t="array" ref="I11271">_xlfn.XLOOKUP(FACT_IMPORTS[[#This Row],[country_name]],DIM_COUNTRY[[#All],[Column2]],DIM_COUNTRY[[#All],[Column3]],,,)</f>
        <v>Major_Non-USMCA_Non-China</v>
      </c>
    </row>
    <row r="11272" spans="1:9" x14ac:dyDescent="0.4">
      <c r="A11272" t="s">
        <v>73</v>
      </c>
      <c r="B11272" s="1">
        <v>45170</v>
      </c>
      <c r="C11272">
        <v>840999</v>
      </c>
      <c r="D11272" t="s">
        <v>176</v>
      </c>
      <c r="E11272">
        <v>174981</v>
      </c>
      <c r="F11272">
        <v>11807</v>
      </c>
      <c r="G11272">
        <v>2127</v>
      </c>
      <c r="H11272">
        <f>_xlfn.XLOOKUP(FACT_IMPORTS[[#This Row],[hts_6]],DIM_PRODUCTS[hts_6],DIM_PRODUCTS[hts_4],,,)</f>
        <v>8409</v>
      </c>
      <c r="I11272" t="str" cm="1">
        <f t="array" ref="I11272">_xlfn.XLOOKUP(FACT_IMPORTS[[#This Row],[country_name]],DIM_COUNTRY[[#All],[Column2]],DIM_COUNTRY[[#All],[Column3]],,,)</f>
        <v>Major_Non-USMCA_Non-China</v>
      </c>
    </row>
    <row r="11273" spans="1:9" x14ac:dyDescent="0.4">
      <c r="A11273" t="s">
        <v>73</v>
      </c>
      <c r="B11273" s="1">
        <v>45170</v>
      </c>
      <c r="C11273">
        <v>841330</v>
      </c>
      <c r="D11273" t="s">
        <v>176</v>
      </c>
      <c r="E11273">
        <v>8298760</v>
      </c>
      <c r="F11273">
        <v>173973</v>
      </c>
      <c r="G11273">
        <v>200453</v>
      </c>
      <c r="H11273">
        <f>_xlfn.XLOOKUP(FACT_IMPORTS[[#This Row],[hts_6]],DIM_PRODUCTS[hts_6],DIM_PRODUCTS[hts_4],,,)</f>
        <v>8413</v>
      </c>
      <c r="I11273" t="str" cm="1">
        <f t="array" ref="I11273">_xlfn.XLOOKUP(FACT_IMPORTS[[#This Row],[country_name]],DIM_COUNTRY[[#All],[Column2]],DIM_COUNTRY[[#All],[Column3]],,,)</f>
        <v>Major_Non-USMCA_Non-China</v>
      </c>
    </row>
    <row r="11274" spans="1:9" x14ac:dyDescent="0.4">
      <c r="A11274" t="s">
        <v>73</v>
      </c>
      <c r="B11274" s="1">
        <v>45170</v>
      </c>
      <c r="C11274">
        <v>842132</v>
      </c>
      <c r="D11274" t="s">
        <v>176</v>
      </c>
      <c r="E11274">
        <v>27478</v>
      </c>
      <c r="F11274">
        <v>1044</v>
      </c>
      <c r="G11274">
        <v>2748</v>
      </c>
      <c r="H11274">
        <f>_xlfn.XLOOKUP(FACT_IMPORTS[[#This Row],[hts_6]],DIM_PRODUCTS[hts_6],DIM_PRODUCTS[hts_4],,,)</f>
        <v>8421</v>
      </c>
      <c r="I11274" t="str" cm="1">
        <f t="array" ref="I11274">_xlfn.XLOOKUP(FACT_IMPORTS[[#This Row],[country_name]],DIM_COUNTRY[[#All],[Column2]],DIM_COUNTRY[[#All],[Column3]],,,)</f>
        <v>Major_Non-USMCA_Non-China</v>
      </c>
    </row>
    <row r="11275" spans="1:9" x14ac:dyDescent="0.4">
      <c r="A11275" t="s">
        <v>73</v>
      </c>
      <c r="B11275" s="1">
        <v>45170</v>
      </c>
      <c r="C11275">
        <v>848210</v>
      </c>
      <c r="D11275" t="s">
        <v>176</v>
      </c>
      <c r="E11275">
        <v>71786</v>
      </c>
      <c r="F11275">
        <v>27360</v>
      </c>
      <c r="G11275">
        <v>27</v>
      </c>
      <c r="H11275">
        <f>_xlfn.XLOOKUP(FACT_IMPORTS[[#This Row],[hts_6]],DIM_PRODUCTS[hts_6],DIM_PRODUCTS[hts_4],,,)</f>
        <v>8482</v>
      </c>
      <c r="I11275" t="str" cm="1">
        <f t="array" ref="I11275">_xlfn.XLOOKUP(FACT_IMPORTS[[#This Row],[country_name]],DIM_COUNTRY[[#All],[Column2]],DIM_COUNTRY[[#All],[Column3]],,,)</f>
        <v>Major_Non-USMCA_Non-China</v>
      </c>
    </row>
    <row r="11276" spans="1:9" x14ac:dyDescent="0.4">
      <c r="A11276" t="s">
        <v>73</v>
      </c>
      <c r="B11276" s="1">
        <v>45170</v>
      </c>
      <c r="C11276">
        <v>848220</v>
      </c>
      <c r="D11276" t="s">
        <v>176</v>
      </c>
      <c r="E11276">
        <v>3145555</v>
      </c>
      <c r="F11276">
        <v>825761</v>
      </c>
      <c r="G11276">
        <v>41</v>
      </c>
      <c r="H11276">
        <f>_xlfn.XLOOKUP(FACT_IMPORTS[[#This Row],[hts_6]],DIM_PRODUCTS[hts_6],DIM_PRODUCTS[hts_4],,,)</f>
        <v>8482</v>
      </c>
      <c r="I11276" t="str" cm="1">
        <f t="array" ref="I11276">_xlfn.XLOOKUP(FACT_IMPORTS[[#This Row],[country_name]],DIM_COUNTRY[[#All],[Column2]],DIM_COUNTRY[[#All],[Column3]],,,)</f>
        <v>Major_Non-USMCA_Non-China</v>
      </c>
    </row>
    <row r="11277" spans="1:9" x14ac:dyDescent="0.4">
      <c r="A11277" t="s">
        <v>73</v>
      </c>
      <c r="B11277" s="1">
        <v>45170</v>
      </c>
      <c r="C11277">
        <v>848310</v>
      </c>
      <c r="D11277" t="s">
        <v>176</v>
      </c>
      <c r="E11277">
        <v>0</v>
      </c>
      <c r="F11277">
        <v>0</v>
      </c>
      <c r="G11277">
        <v>0</v>
      </c>
      <c r="H11277">
        <f>_xlfn.XLOOKUP(FACT_IMPORTS[[#This Row],[hts_6]],DIM_PRODUCTS[hts_6],DIM_PRODUCTS[hts_4],,,)</f>
        <v>8483</v>
      </c>
      <c r="I11277" t="str" cm="1">
        <f t="array" ref="I11277">_xlfn.XLOOKUP(FACT_IMPORTS[[#This Row],[country_name]],DIM_COUNTRY[[#All],[Column2]],DIM_COUNTRY[[#All],[Column3]],,,)</f>
        <v>Major_Non-USMCA_Non-China</v>
      </c>
    </row>
    <row r="11278" spans="1:9" x14ac:dyDescent="0.4">
      <c r="A11278" t="s">
        <v>73</v>
      </c>
      <c r="B11278" s="1">
        <v>45170</v>
      </c>
      <c r="C11278">
        <v>850131</v>
      </c>
      <c r="D11278" t="s">
        <v>176</v>
      </c>
      <c r="E11278">
        <v>2781387</v>
      </c>
      <c r="F11278">
        <v>167196</v>
      </c>
      <c r="G11278">
        <v>8113</v>
      </c>
      <c r="H11278">
        <f>_xlfn.XLOOKUP(FACT_IMPORTS[[#This Row],[hts_6]],DIM_PRODUCTS[hts_6],DIM_PRODUCTS[hts_4],,,)</f>
        <v>8501</v>
      </c>
      <c r="I11278" t="str" cm="1">
        <f t="array" ref="I11278">_xlfn.XLOOKUP(FACT_IMPORTS[[#This Row],[country_name]],DIM_COUNTRY[[#All],[Column2]],DIM_COUNTRY[[#All],[Column3]],,,)</f>
        <v>Major_Non-USMCA_Non-China</v>
      </c>
    </row>
    <row r="11279" spans="1:9" x14ac:dyDescent="0.4">
      <c r="A11279" t="s">
        <v>73</v>
      </c>
      <c r="B11279" s="1">
        <v>45170</v>
      </c>
      <c r="C11279">
        <v>850132</v>
      </c>
      <c r="D11279" t="s">
        <v>176</v>
      </c>
      <c r="E11279">
        <v>0</v>
      </c>
      <c r="F11279">
        <v>0</v>
      </c>
      <c r="G11279">
        <v>0</v>
      </c>
      <c r="H11279">
        <f>_xlfn.XLOOKUP(FACT_IMPORTS[[#This Row],[hts_6]],DIM_PRODUCTS[hts_6],DIM_PRODUCTS[hts_4],,,)</f>
        <v>8501</v>
      </c>
      <c r="I11279" t="str" cm="1">
        <f t="array" ref="I11279">_xlfn.XLOOKUP(FACT_IMPORTS[[#This Row],[country_name]],DIM_COUNTRY[[#All],[Column2]],DIM_COUNTRY[[#All],[Column3]],,,)</f>
        <v>Major_Non-USMCA_Non-China</v>
      </c>
    </row>
    <row r="11280" spans="1:9" x14ac:dyDescent="0.4">
      <c r="A11280" t="s">
        <v>73</v>
      </c>
      <c r="B11280" s="1">
        <v>45170</v>
      </c>
      <c r="C11280">
        <v>850152</v>
      </c>
      <c r="D11280" t="s">
        <v>176</v>
      </c>
      <c r="E11280">
        <v>4425</v>
      </c>
      <c r="F11280">
        <v>1</v>
      </c>
      <c r="G11280">
        <v>200</v>
      </c>
      <c r="H11280">
        <f>_xlfn.XLOOKUP(FACT_IMPORTS[[#This Row],[hts_6]],DIM_PRODUCTS[hts_6],DIM_PRODUCTS[hts_4],,,)</f>
        <v>8501</v>
      </c>
      <c r="I11280" t="str" cm="1">
        <f t="array" ref="I11280">_xlfn.XLOOKUP(FACT_IMPORTS[[#This Row],[country_name]],DIM_COUNTRY[[#All],[Column2]],DIM_COUNTRY[[#All],[Column3]],,,)</f>
        <v>Major_Non-USMCA_Non-China</v>
      </c>
    </row>
    <row r="11281" spans="1:9" x14ac:dyDescent="0.4">
      <c r="A11281" t="s">
        <v>73</v>
      </c>
      <c r="B11281" s="1">
        <v>45170</v>
      </c>
      <c r="C11281">
        <v>850153</v>
      </c>
      <c r="D11281" t="s">
        <v>176</v>
      </c>
      <c r="E11281">
        <v>16842506</v>
      </c>
      <c r="F11281">
        <v>9525</v>
      </c>
      <c r="G11281">
        <v>9209</v>
      </c>
      <c r="H11281">
        <f>_xlfn.XLOOKUP(FACT_IMPORTS[[#This Row],[hts_6]],DIM_PRODUCTS[hts_6],DIM_PRODUCTS[hts_4],,,)</f>
        <v>8501</v>
      </c>
      <c r="I11281" t="str" cm="1">
        <f t="array" ref="I11281">_xlfn.XLOOKUP(FACT_IMPORTS[[#This Row],[country_name]],DIM_COUNTRY[[#All],[Column2]],DIM_COUNTRY[[#All],[Column3]],,,)</f>
        <v>Major_Non-USMCA_Non-China</v>
      </c>
    </row>
    <row r="11282" spans="1:9" x14ac:dyDescent="0.4">
      <c r="A11282" t="s">
        <v>73</v>
      </c>
      <c r="B11282" s="1">
        <v>45170</v>
      </c>
      <c r="C11282">
        <v>850440</v>
      </c>
      <c r="D11282" t="s">
        <v>176</v>
      </c>
      <c r="E11282">
        <v>8954453</v>
      </c>
      <c r="F11282">
        <v>11373</v>
      </c>
      <c r="G11282">
        <v>3058</v>
      </c>
      <c r="H11282">
        <f>_xlfn.XLOOKUP(FACT_IMPORTS[[#This Row],[hts_6]],DIM_PRODUCTS[hts_6],DIM_PRODUCTS[hts_4],,,)</f>
        <v>8504</v>
      </c>
      <c r="I11282" t="str" cm="1">
        <f t="array" ref="I11282">_xlfn.XLOOKUP(FACT_IMPORTS[[#This Row],[country_name]],DIM_COUNTRY[[#All],[Column2]],DIM_COUNTRY[[#All],[Column3]],,,)</f>
        <v>Major_Non-USMCA_Non-China</v>
      </c>
    </row>
    <row r="11283" spans="1:9" x14ac:dyDescent="0.4">
      <c r="A11283" t="s">
        <v>73</v>
      </c>
      <c r="B11283" s="1">
        <v>45170</v>
      </c>
      <c r="C11283">
        <v>850710</v>
      </c>
      <c r="D11283" t="s">
        <v>176</v>
      </c>
      <c r="E11283">
        <v>320867</v>
      </c>
      <c r="F11283">
        <v>5448</v>
      </c>
      <c r="G11283">
        <v>35130</v>
      </c>
      <c r="H11283">
        <f>_xlfn.XLOOKUP(FACT_IMPORTS[[#This Row],[hts_6]],DIM_PRODUCTS[hts_6],DIM_PRODUCTS[hts_4],,,)</f>
        <v>8507</v>
      </c>
      <c r="I11283" t="str" cm="1">
        <f t="array" ref="I11283">_xlfn.XLOOKUP(FACT_IMPORTS[[#This Row],[country_name]],DIM_COUNTRY[[#All],[Column2]],DIM_COUNTRY[[#All],[Column3]],,,)</f>
        <v>Major_Non-USMCA_Non-China</v>
      </c>
    </row>
    <row r="11284" spans="1:9" x14ac:dyDescent="0.4">
      <c r="A11284" t="s">
        <v>73</v>
      </c>
      <c r="B11284" s="1">
        <v>45170</v>
      </c>
      <c r="C11284">
        <v>850760</v>
      </c>
      <c r="D11284" t="s">
        <v>176</v>
      </c>
      <c r="E11284">
        <v>86535</v>
      </c>
      <c r="F11284">
        <v>598</v>
      </c>
      <c r="G11284">
        <v>1313</v>
      </c>
      <c r="H11284">
        <f>_xlfn.XLOOKUP(FACT_IMPORTS[[#This Row],[hts_6]],DIM_PRODUCTS[hts_6],DIM_PRODUCTS[hts_4],,,)</f>
        <v>8507</v>
      </c>
      <c r="I11284" t="str" cm="1">
        <f t="array" ref="I11284">_xlfn.XLOOKUP(FACT_IMPORTS[[#This Row],[country_name]],DIM_COUNTRY[[#All],[Column2]],DIM_COUNTRY[[#All],[Column3]],,,)</f>
        <v>Major_Non-USMCA_Non-China</v>
      </c>
    </row>
    <row r="11285" spans="1:9" x14ac:dyDescent="0.4">
      <c r="A11285" t="s">
        <v>73</v>
      </c>
      <c r="B11285" s="1">
        <v>45170</v>
      </c>
      <c r="C11285">
        <v>850790</v>
      </c>
      <c r="D11285" t="s">
        <v>176</v>
      </c>
      <c r="E11285">
        <v>9482501</v>
      </c>
      <c r="F11285">
        <v>259089</v>
      </c>
      <c r="G11285">
        <v>87586</v>
      </c>
      <c r="H11285">
        <f>_xlfn.XLOOKUP(FACT_IMPORTS[[#This Row],[hts_6]],DIM_PRODUCTS[hts_6],DIM_PRODUCTS[hts_4],,,)</f>
        <v>8507</v>
      </c>
      <c r="I11285" t="str" cm="1">
        <f t="array" ref="I11285">_xlfn.XLOOKUP(FACT_IMPORTS[[#This Row],[country_name]],DIM_COUNTRY[[#All],[Column2]],DIM_COUNTRY[[#All],[Column3]],,,)</f>
        <v>Major_Non-USMCA_Non-China</v>
      </c>
    </row>
    <row r="11286" spans="1:9" x14ac:dyDescent="0.4">
      <c r="A11286" t="s">
        <v>73</v>
      </c>
      <c r="B11286" s="1">
        <v>45170</v>
      </c>
      <c r="C11286">
        <v>851110</v>
      </c>
      <c r="D11286" t="s">
        <v>176</v>
      </c>
      <c r="E11286">
        <v>0</v>
      </c>
      <c r="F11286">
        <v>0</v>
      </c>
      <c r="G11286">
        <v>0</v>
      </c>
      <c r="H11286">
        <f>_xlfn.XLOOKUP(FACT_IMPORTS[[#This Row],[hts_6]],DIM_PRODUCTS[hts_6],DIM_PRODUCTS[hts_4],,,)</f>
        <v>8511</v>
      </c>
      <c r="I11286" t="str" cm="1">
        <f t="array" ref="I11286">_xlfn.XLOOKUP(FACT_IMPORTS[[#This Row],[country_name]],DIM_COUNTRY[[#All],[Column2]],DIM_COUNTRY[[#All],[Column3]],,,)</f>
        <v>Major_Non-USMCA_Non-China</v>
      </c>
    </row>
    <row r="11287" spans="1:9" x14ac:dyDescent="0.4">
      <c r="A11287" t="s">
        <v>73</v>
      </c>
      <c r="B11287" s="1">
        <v>45170</v>
      </c>
      <c r="C11287">
        <v>851130</v>
      </c>
      <c r="D11287" t="s">
        <v>176</v>
      </c>
      <c r="E11287">
        <v>0</v>
      </c>
      <c r="F11287">
        <v>0</v>
      </c>
      <c r="G11287">
        <v>0</v>
      </c>
      <c r="H11287">
        <f>_xlfn.XLOOKUP(FACT_IMPORTS[[#This Row],[hts_6]],DIM_PRODUCTS[hts_6],DIM_PRODUCTS[hts_4],,,)</f>
        <v>8511</v>
      </c>
      <c r="I11287" t="str" cm="1">
        <f t="array" ref="I11287">_xlfn.XLOOKUP(FACT_IMPORTS[[#This Row],[country_name]],DIM_COUNTRY[[#All],[Column2]],DIM_COUNTRY[[#All],[Column3]],,,)</f>
        <v>Major_Non-USMCA_Non-China</v>
      </c>
    </row>
    <row r="11288" spans="1:9" x14ac:dyDescent="0.4">
      <c r="A11288" t="s">
        <v>73</v>
      </c>
      <c r="B11288" s="1">
        <v>45170</v>
      </c>
      <c r="C11288">
        <v>851140</v>
      </c>
      <c r="D11288" t="s">
        <v>176</v>
      </c>
      <c r="E11288">
        <v>2943952</v>
      </c>
      <c r="F11288">
        <v>9308</v>
      </c>
      <c r="G11288">
        <v>1606</v>
      </c>
      <c r="H11288">
        <f>_xlfn.XLOOKUP(FACT_IMPORTS[[#This Row],[hts_6]],DIM_PRODUCTS[hts_6],DIM_PRODUCTS[hts_4],,,)</f>
        <v>8511</v>
      </c>
      <c r="I11288" t="str" cm="1">
        <f t="array" ref="I11288">_xlfn.XLOOKUP(FACT_IMPORTS[[#This Row],[country_name]],DIM_COUNTRY[[#All],[Column2]],DIM_COUNTRY[[#All],[Column3]],,,)</f>
        <v>Major_Non-USMCA_Non-China</v>
      </c>
    </row>
    <row r="11289" spans="1:9" x14ac:dyDescent="0.4">
      <c r="A11289" t="s">
        <v>73</v>
      </c>
      <c r="B11289" s="1">
        <v>45170</v>
      </c>
      <c r="C11289">
        <v>851150</v>
      </c>
      <c r="D11289" t="s">
        <v>176</v>
      </c>
      <c r="E11289">
        <v>18878</v>
      </c>
      <c r="F11289">
        <v>360</v>
      </c>
      <c r="G11289">
        <v>28</v>
      </c>
      <c r="H11289">
        <f>_xlfn.XLOOKUP(FACT_IMPORTS[[#This Row],[hts_6]],DIM_PRODUCTS[hts_6],DIM_PRODUCTS[hts_4],,,)</f>
        <v>8511</v>
      </c>
      <c r="I11289" t="str" cm="1">
        <f t="array" ref="I11289">_xlfn.XLOOKUP(FACT_IMPORTS[[#This Row],[country_name]],DIM_COUNTRY[[#All],[Column2]],DIM_COUNTRY[[#All],[Column3]],,,)</f>
        <v>Major_Non-USMCA_Non-China</v>
      </c>
    </row>
    <row r="11290" spans="1:9" x14ac:dyDescent="0.4">
      <c r="A11290" t="s">
        <v>73</v>
      </c>
      <c r="B11290" s="1">
        <v>45170</v>
      </c>
      <c r="C11290">
        <v>851190</v>
      </c>
      <c r="D11290" t="s">
        <v>176</v>
      </c>
      <c r="E11290">
        <v>108858</v>
      </c>
      <c r="F11290">
        <v>10789</v>
      </c>
      <c r="G11290">
        <v>3127</v>
      </c>
      <c r="H11290">
        <f>_xlfn.XLOOKUP(FACT_IMPORTS[[#This Row],[hts_6]],DIM_PRODUCTS[hts_6],DIM_PRODUCTS[hts_4],,,)</f>
        <v>8511</v>
      </c>
      <c r="I11290" t="str" cm="1">
        <f t="array" ref="I11290">_xlfn.XLOOKUP(FACT_IMPORTS[[#This Row],[country_name]],DIM_COUNTRY[[#All],[Column2]],DIM_COUNTRY[[#All],[Column3]],,,)</f>
        <v>Major_Non-USMCA_Non-China</v>
      </c>
    </row>
    <row r="11291" spans="1:9" x14ac:dyDescent="0.4">
      <c r="A11291" t="s">
        <v>73</v>
      </c>
      <c r="B11291" s="1">
        <v>45170</v>
      </c>
      <c r="C11291">
        <v>851220</v>
      </c>
      <c r="D11291" t="s">
        <v>176</v>
      </c>
      <c r="E11291">
        <v>12247461</v>
      </c>
      <c r="F11291">
        <v>1596374</v>
      </c>
      <c r="G11291">
        <v>172755</v>
      </c>
      <c r="H11291">
        <f>_xlfn.XLOOKUP(FACT_IMPORTS[[#This Row],[hts_6]],DIM_PRODUCTS[hts_6],DIM_PRODUCTS[hts_4],,,)</f>
        <v>8512</v>
      </c>
      <c r="I11291" t="str" cm="1">
        <f t="array" ref="I11291">_xlfn.XLOOKUP(FACT_IMPORTS[[#This Row],[country_name]],DIM_COUNTRY[[#All],[Column2]],DIM_COUNTRY[[#All],[Column3]],,,)</f>
        <v>Major_Non-USMCA_Non-China</v>
      </c>
    </row>
    <row r="11292" spans="1:9" x14ac:dyDescent="0.4">
      <c r="A11292" t="s">
        <v>73</v>
      </c>
      <c r="B11292" s="1">
        <v>45170</v>
      </c>
      <c r="C11292">
        <v>851240</v>
      </c>
      <c r="D11292" t="s">
        <v>176</v>
      </c>
      <c r="E11292">
        <v>124027</v>
      </c>
      <c r="F11292">
        <v>5796</v>
      </c>
      <c r="G11292">
        <v>5069</v>
      </c>
      <c r="H11292">
        <f>_xlfn.XLOOKUP(FACT_IMPORTS[[#This Row],[hts_6]],DIM_PRODUCTS[hts_6],DIM_PRODUCTS[hts_4],,,)</f>
        <v>8512</v>
      </c>
      <c r="I11292" t="str" cm="1">
        <f t="array" ref="I11292">_xlfn.XLOOKUP(FACT_IMPORTS[[#This Row],[country_name]],DIM_COUNTRY[[#All],[Column2]],DIM_COUNTRY[[#All],[Column3]],,,)</f>
        <v>Major_Non-USMCA_Non-China</v>
      </c>
    </row>
    <row r="11293" spans="1:9" x14ac:dyDescent="0.4">
      <c r="A11293" t="s">
        <v>73</v>
      </c>
      <c r="B11293" s="1">
        <v>45170</v>
      </c>
      <c r="C11293">
        <v>851290</v>
      </c>
      <c r="D11293" t="s">
        <v>176</v>
      </c>
      <c r="E11293">
        <v>612384</v>
      </c>
      <c r="F11293">
        <v>43750</v>
      </c>
      <c r="G11293">
        <v>26965</v>
      </c>
      <c r="H11293">
        <f>_xlfn.XLOOKUP(FACT_IMPORTS[[#This Row],[hts_6]],DIM_PRODUCTS[hts_6],DIM_PRODUCTS[hts_4],,,)</f>
        <v>8512</v>
      </c>
      <c r="I11293" t="str" cm="1">
        <f t="array" ref="I11293">_xlfn.XLOOKUP(FACT_IMPORTS[[#This Row],[country_name]],DIM_COUNTRY[[#All],[Column2]],DIM_COUNTRY[[#All],[Column3]],,,)</f>
        <v>Major_Non-USMCA_Non-China</v>
      </c>
    </row>
    <row r="11294" spans="1:9" x14ac:dyDescent="0.4">
      <c r="A11294" t="s">
        <v>73</v>
      </c>
      <c r="B11294" s="1">
        <v>45170</v>
      </c>
      <c r="C11294">
        <v>854231</v>
      </c>
      <c r="D11294" t="s">
        <v>176</v>
      </c>
      <c r="E11294">
        <v>0</v>
      </c>
      <c r="F11294">
        <v>0</v>
      </c>
      <c r="G11294">
        <v>0</v>
      </c>
      <c r="H11294">
        <f>_xlfn.XLOOKUP(FACT_IMPORTS[[#This Row],[hts_6]],DIM_PRODUCTS[hts_6],DIM_PRODUCTS[hts_4],,,)</f>
        <v>8542</v>
      </c>
      <c r="I11294" t="str" cm="1">
        <f t="array" ref="I11294">_xlfn.XLOOKUP(FACT_IMPORTS[[#This Row],[country_name]],DIM_COUNTRY[[#All],[Column2]],DIM_COUNTRY[[#All],[Column3]],,,)</f>
        <v>Major_Non-USMCA_Non-China</v>
      </c>
    </row>
    <row r="11295" spans="1:9" x14ac:dyDescent="0.4">
      <c r="A11295" t="s">
        <v>73</v>
      </c>
      <c r="B11295" s="1">
        <v>45170</v>
      </c>
      <c r="C11295">
        <v>854232</v>
      </c>
      <c r="D11295" t="s">
        <v>176</v>
      </c>
      <c r="E11295">
        <v>0</v>
      </c>
      <c r="F11295">
        <v>0</v>
      </c>
      <c r="G11295">
        <v>0</v>
      </c>
      <c r="H11295">
        <f>_xlfn.XLOOKUP(FACT_IMPORTS[[#This Row],[hts_6]],DIM_PRODUCTS[hts_6],DIM_PRODUCTS[hts_4],,,)</f>
        <v>8542</v>
      </c>
      <c r="I11295" t="str" cm="1">
        <f t="array" ref="I11295">_xlfn.XLOOKUP(FACT_IMPORTS[[#This Row],[country_name]],DIM_COUNTRY[[#All],[Column2]],DIM_COUNTRY[[#All],[Column3]],,,)</f>
        <v>Major_Non-USMCA_Non-China</v>
      </c>
    </row>
    <row r="11296" spans="1:9" x14ac:dyDescent="0.4">
      <c r="A11296" t="s">
        <v>73</v>
      </c>
      <c r="B11296" s="1">
        <v>45170</v>
      </c>
      <c r="C11296">
        <v>854239</v>
      </c>
      <c r="D11296" t="s">
        <v>176</v>
      </c>
      <c r="E11296">
        <v>42409</v>
      </c>
      <c r="F11296">
        <v>5500</v>
      </c>
      <c r="G11296">
        <v>2038</v>
      </c>
      <c r="H11296">
        <f>_xlfn.XLOOKUP(FACT_IMPORTS[[#This Row],[hts_6]],DIM_PRODUCTS[hts_6],DIM_PRODUCTS[hts_4],,,)</f>
        <v>8542</v>
      </c>
      <c r="I11296" t="str" cm="1">
        <f t="array" ref="I11296">_xlfn.XLOOKUP(FACT_IMPORTS[[#This Row],[country_name]],DIM_COUNTRY[[#All],[Column2]],DIM_COUNTRY[[#All],[Column3]],,,)</f>
        <v>Major_Non-USMCA_Non-China</v>
      </c>
    </row>
    <row r="11297" spans="1:9" x14ac:dyDescent="0.4">
      <c r="A11297" t="s">
        <v>73</v>
      </c>
      <c r="B11297" s="1">
        <v>45170</v>
      </c>
      <c r="C11297">
        <v>854430</v>
      </c>
      <c r="D11297" t="s">
        <v>176</v>
      </c>
      <c r="E11297">
        <v>6724</v>
      </c>
      <c r="F11297">
        <v>11</v>
      </c>
      <c r="G11297">
        <v>9</v>
      </c>
      <c r="H11297">
        <f>_xlfn.XLOOKUP(FACT_IMPORTS[[#This Row],[hts_6]],DIM_PRODUCTS[hts_6],DIM_PRODUCTS[hts_4],,,)</f>
        <v>8544</v>
      </c>
      <c r="I11297" t="str" cm="1">
        <f t="array" ref="I11297">_xlfn.XLOOKUP(FACT_IMPORTS[[#This Row],[country_name]],DIM_COUNTRY[[#All],[Column2]],DIM_COUNTRY[[#All],[Column3]],,,)</f>
        <v>Major_Non-USMCA_Non-China</v>
      </c>
    </row>
    <row r="11298" spans="1:9" x14ac:dyDescent="0.4">
      <c r="A11298" t="s">
        <v>73</v>
      </c>
      <c r="B11298" s="1">
        <v>45170</v>
      </c>
      <c r="C11298">
        <v>870810</v>
      </c>
      <c r="D11298" t="s">
        <v>176</v>
      </c>
      <c r="E11298">
        <v>453038</v>
      </c>
      <c r="F11298">
        <v>4375</v>
      </c>
      <c r="G11298">
        <v>1619</v>
      </c>
      <c r="H11298">
        <f>_xlfn.XLOOKUP(FACT_IMPORTS[[#This Row],[hts_6]],DIM_PRODUCTS[hts_6],DIM_PRODUCTS[hts_4],,,)</f>
        <v>8708</v>
      </c>
      <c r="I11298" t="str" cm="1">
        <f t="array" ref="I11298">_xlfn.XLOOKUP(FACT_IMPORTS[[#This Row],[country_name]],DIM_COUNTRY[[#All],[Column2]],DIM_COUNTRY[[#All],[Column3]],,,)</f>
        <v>Major_Non-USMCA_Non-China</v>
      </c>
    </row>
    <row r="11299" spans="1:9" x14ac:dyDescent="0.4">
      <c r="A11299" t="s">
        <v>73</v>
      </c>
      <c r="B11299" s="1">
        <v>45170</v>
      </c>
      <c r="C11299">
        <v>870821</v>
      </c>
      <c r="D11299" t="s">
        <v>176</v>
      </c>
      <c r="E11299">
        <v>0</v>
      </c>
      <c r="F11299">
        <v>0</v>
      </c>
      <c r="G11299">
        <v>0</v>
      </c>
      <c r="H11299">
        <f>_xlfn.XLOOKUP(FACT_IMPORTS[[#This Row],[hts_6]],DIM_PRODUCTS[hts_6],DIM_PRODUCTS[hts_4],,,)</f>
        <v>8708</v>
      </c>
      <c r="I11299" t="str" cm="1">
        <f t="array" ref="I11299">_xlfn.XLOOKUP(FACT_IMPORTS[[#This Row],[country_name]],DIM_COUNTRY[[#All],[Column2]],DIM_COUNTRY[[#All],[Column3]],,,)</f>
        <v>Major_Non-USMCA_Non-China</v>
      </c>
    </row>
    <row r="11300" spans="1:9" x14ac:dyDescent="0.4">
      <c r="A11300" t="s">
        <v>73</v>
      </c>
      <c r="B11300" s="1">
        <v>45170</v>
      </c>
      <c r="C11300">
        <v>870822</v>
      </c>
      <c r="D11300" t="s">
        <v>176</v>
      </c>
      <c r="E11300">
        <v>24613</v>
      </c>
      <c r="F11300">
        <v>104</v>
      </c>
      <c r="G11300">
        <v>46</v>
      </c>
      <c r="H11300">
        <f>_xlfn.XLOOKUP(FACT_IMPORTS[[#This Row],[hts_6]],DIM_PRODUCTS[hts_6],DIM_PRODUCTS[hts_4],,,)</f>
        <v>8708</v>
      </c>
      <c r="I11300" t="str" cm="1">
        <f t="array" ref="I11300">_xlfn.XLOOKUP(FACT_IMPORTS[[#This Row],[country_name]],DIM_COUNTRY[[#All],[Column2]],DIM_COUNTRY[[#All],[Column3]],,,)</f>
        <v>Major_Non-USMCA_Non-China</v>
      </c>
    </row>
    <row r="11301" spans="1:9" x14ac:dyDescent="0.4">
      <c r="A11301" t="s">
        <v>73</v>
      </c>
      <c r="B11301" s="1">
        <v>45170</v>
      </c>
      <c r="C11301">
        <v>870829</v>
      </c>
      <c r="D11301" t="s">
        <v>176</v>
      </c>
      <c r="E11301">
        <v>5292933</v>
      </c>
      <c r="F11301">
        <v>3966345</v>
      </c>
      <c r="G11301">
        <v>243147</v>
      </c>
      <c r="H11301">
        <f>_xlfn.XLOOKUP(FACT_IMPORTS[[#This Row],[hts_6]],DIM_PRODUCTS[hts_6],DIM_PRODUCTS[hts_4],,,)</f>
        <v>8708</v>
      </c>
      <c r="I11301" t="str" cm="1">
        <f t="array" ref="I11301">_xlfn.XLOOKUP(FACT_IMPORTS[[#This Row],[country_name]],DIM_COUNTRY[[#All],[Column2]],DIM_COUNTRY[[#All],[Column3]],,,)</f>
        <v>Major_Non-USMCA_Non-China</v>
      </c>
    </row>
    <row r="11302" spans="1:9" x14ac:dyDescent="0.4">
      <c r="A11302" t="s">
        <v>73</v>
      </c>
      <c r="B11302" s="1">
        <v>45170</v>
      </c>
      <c r="C11302">
        <v>870830</v>
      </c>
      <c r="D11302" t="s">
        <v>176</v>
      </c>
      <c r="E11302">
        <v>410879</v>
      </c>
      <c r="F11302">
        <v>175777</v>
      </c>
      <c r="G11302">
        <v>10833</v>
      </c>
      <c r="H11302">
        <f>_xlfn.XLOOKUP(FACT_IMPORTS[[#This Row],[hts_6]],DIM_PRODUCTS[hts_6],DIM_PRODUCTS[hts_4],,,)</f>
        <v>8708</v>
      </c>
      <c r="I11302" t="str" cm="1">
        <f t="array" ref="I11302">_xlfn.XLOOKUP(FACT_IMPORTS[[#This Row],[country_name]],DIM_COUNTRY[[#All],[Column2]],DIM_COUNTRY[[#All],[Column3]],,,)</f>
        <v>Major_Non-USMCA_Non-China</v>
      </c>
    </row>
    <row r="11303" spans="1:9" x14ac:dyDescent="0.4">
      <c r="A11303" t="s">
        <v>73</v>
      </c>
      <c r="B11303" s="1">
        <v>45170</v>
      </c>
      <c r="C11303">
        <v>870840</v>
      </c>
      <c r="D11303" t="s">
        <v>176</v>
      </c>
      <c r="E11303">
        <v>3761550</v>
      </c>
      <c r="F11303">
        <v>397337</v>
      </c>
      <c r="G11303">
        <v>68935</v>
      </c>
      <c r="H11303">
        <f>_xlfn.XLOOKUP(FACT_IMPORTS[[#This Row],[hts_6]],DIM_PRODUCTS[hts_6],DIM_PRODUCTS[hts_4],,,)</f>
        <v>8708</v>
      </c>
      <c r="I11303" t="str" cm="1">
        <f t="array" ref="I11303">_xlfn.XLOOKUP(FACT_IMPORTS[[#This Row],[country_name]],DIM_COUNTRY[[#All],[Column2]],DIM_COUNTRY[[#All],[Column3]],,,)</f>
        <v>Major_Non-USMCA_Non-China</v>
      </c>
    </row>
    <row r="11304" spans="1:9" x14ac:dyDescent="0.4">
      <c r="A11304" t="s">
        <v>73</v>
      </c>
      <c r="B11304" s="1">
        <v>45170</v>
      </c>
      <c r="C11304">
        <v>870850</v>
      </c>
      <c r="D11304" t="s">
        <v>176</v>
      </c>
      <c r="E11304">
        <v>23342994</v>
      </c>
      <c r="F11304">
        <v>1532178</v>
      </c>
      <c r="G11304">
        <v>540051</v>
      </c>
      <c r="H11304">
        <f>_xlfn.XLOOKUP(FACT_IMPORTS[[#This Row],[hts_6]],DIM_PRODUCTS[hts_6],DIM_PRODUCTS[hts_4],,,)</f>
        <v>8708</v>
      </c>
      <c r="I11304" t="str" cm="1">
        <f t="array" ref="I11304">_xlfn.XLOOKUP(FACT_IMPORTS[[#This Row],[country_name]],DIM_COUNTRY[[#All],[Column2]],DIM_COUNTRY[[#All],[Column3]],,,)</f>
        <v>Major_Non-USMCA_Non-China</v>
      </c>
    </row>
    <row r="11305" spans="1:9" x14ac:dyDescent="0.4">
      <c r="A11305" t="s">
        <v>73</v>
      </c>
      <c r="B11305" s="1">
        <v>45170</v>
      </c>
      <c r="C11305">
        <v>870870</v>
      </c>
      <c r="D11305" t="s">
        <v>176</v>
      </c>
      <c r="E11305">
        <v>3816258</v>
      </c>
      <c r="F11305">
        <v>100162</v>
      </c>
      <c r="G11305">
        <v>139184</v>
      </c>
      <c r="H11305">
        <f>_xlfn.XLOOKUP(FACT_IMPORTS[[#This Row],[hts_6]],DIM_PRODUCTS[hts_6],DIM_PRODUCTS[hts_4],,,)</f>
        <v>8708</v>
      </c>
      <c r="I11305" t="str" cm="1">
        <f t="array" ref="I11305">_xlfn.XLOOKUP(FACT_IMPORTS[[#This Row],[country_name]],DIM_COUNTRY[[#All],[Column2]],DIM_COUNTRY[[#All],[Column3]],,,)</f>
        <v>Major_Non-USMCA_Non-China</v>
      </c>
    </row>
    <row r="11306" spans="1:9" x14ac:dyDescent="0.4">
      <c r="A11306" t="s">
        <v>73</v>
      </c>
      <c r="B11306" s="1">
        <v>45170</v>
      </c>
      <c r="C11306">
        <v>870880</v>
      </c>
      <c r="D11306" t="s">
        <v>176</v>
      </c>
      <c r="E11306">
        <v>3659743</v>
      </c>
      <c r="F11306">
        <v>907015</v>
      </c>
      <c r="G11306">
        <v>113916</v>
      </c>
      <c r="H11306">
        <f>_xlfn.XLOOKUP(FACT_IMPORTS[[#This Row],[hts_6]],DIM_PRODUCTS[hts_6],DIM_PRODUCTS[hts_4],,,)</f>
        <v>8708</v>
      </c>
      <c r="I11306" t="str" cm="1">
        <f t="array" ref="I11306">_xlfn.XLOOKUP(FACT_IMPORTS[[#This Row],[country_name]],DIM_COUNTRY[[#All],[Column2]],DIM_COUNTRY[[#All],[Column3]],,,)</f>
        <v>Major_Non-USMCA_Non-China</v>
      </c>
    </row>
    <row r="11307" spans="1:9" x14ac:dyDescent="0.4">
      <c r="A11307" t="s">
        <v>73</v>
      </c>
      <c r="B11307" s="1">
        <v>45170</v>
      </c>
      <c r="C11307">
        <v>870891</v>
      </c>
      <c r="D11307" t="s">
        <v>176</v>
      </c>
      <c r="E11307">
        <v>115807</v>
      </c>
      <c r="F11307">
        <v>5039</v>
      </c>
      <c r="G11307">
        <v>190</v>
      </c>
      <c r="H11307">
        <f>_xlfn.XLOOKUP(FACT_IMPORTS[[#This Row],[hts_6]],DIM_PRODUCTS[hts_6],DIM_PRODUCTS[hts_4],,,)</f>
        <v>8708</v>
      </c>
      <c r="I11307" t="str" cm="1">
        <f t="array" ref="I11307">_xlfn.XLOOKUP(FACT_IMPORTS[[#This Row],[country_name]],DIM_COUNTRY[[#All],[Column2]],DIM_COUNTRY[[#All],[Column3]],,,)</f>
        <v>Major_Non-USMCA_Non-China</v>
      </c>
    </row>
    <row r="11308" spans="1:9" x14ac:dyDescent="0.4">
      <c r="A11308" t="s">
        <v>73</v>
      </c>
      <c r="B11308" s="1">
        <v>45170</v>
      </c>
      <c r="C11308">
        <v>870892</v>
      </c>
      <c r="D11308" t="s">
        <v>176</v>
      </c>
      <c r="E11308">
        <v>38130</v>
      </c>
      <c r="F11308">
        <v>142</v>
      </c>
      <c r="G11308">
        <v>113</v>
      </c>
      <c r="H11308">
        <f>_xlfn.XLOOKUP(FACT_IMPORTS[[#This Row],[hts_6]],DIM_PRODUCTS[hts_6],DIM_PRODUCTS[hts_4],,,)</f>
        <v>8708</v>
      </c>
      <c r="I11308" t="str" cm="1">
        <f t="array" ref="I11308">_xlfn.XLOOKUP(FACT_IMPORTS[[#This Row],[country_name]],DIM_COUNTRY[[#All],[Column2]],DIM_COUNTRY[[#All],[Column3]],,,)</f>
        <v>Major_Non-USMCA_Non-China</v>
      </c>
    </row>
    <row r="11309" spans="1:9" x14ac:dyDescent="0.4">
      <c r="A11309" t="s">
        <v>73</v>
      </c>
      <c r="B11309" s="1">
        <v>45170</v>
      </c>
      <c r="C11309">
        <v>870893</v>
      </c>
      <c r="D11309" t="s">
        <v>176</v>
      </c>
      <c r="E11309">
        <v>760336</v>
      </c>
      <c r="F11309">
        <v>56344</v>
      </c>
      <c r="G11309">
        <v>5767</v>
      </c>
      <c r="H11309">
        <f>_xlfn.XLOOKUP(FACT_IMPORTS[[#This Row],[hts_6]],DIM_PRODUCTS[hts_6],DIM_PRODUCTS[hts_4],,,)</f>
        <v>8708</v>
      </c>
      <c r="I11309" t="str" cm="1">
        <f t="array" ref="I11309">_xlfn.XLOOKUP(FACT_IMPORTS[[#This Row],[country_name]],DIM_COUNTRY[[#All],[Column2]],DIM_COUNTRY[[#All],[Column3]],,,)</f>
        <v>Major_Non-USMCA_Non-China</v>
      </c>
    </row>
    <row r="11310" spans="1:9" x14ac:dyDescent="0.4">
      <c r="A11310" t="s">
        <v>73</v>
      </c>
      <c r="B11310" s="1">
        <v>45170</v>
      </c>
      <c r="C11310">
        <v>870894</v>
      </c>
      <c r="D11310" t="s">
        <v>176</v>
      </c>
      <c r="E11310">
        <v>2345397</v>
      </c>
      <c r="F11310">
        <v>174875</v>
      </c>
      <c r="G11310">
        <v>30757</v>
      </c>
      <c r="H11310">
        <f>_xlfn.XLOOKUP(FACT_IMPORTS[[#This Row],[hts_6]],DIM_PRODUCTS[hts_6],DIM_PRODUCTS[hts_4],,,)</f>
        <v>8708</v>
      </c>
      <c r="I11310" t="str" cm="1">
        <f t="array" ref="I11310">_xlfn.XLOOKUP(FACT_IMPORTS[[#This Row],[country_name]],DIM_COUNTRY[[#All],[Column2]],DIM_COUNTRY[[#All],[Column3]],,,)</f>
        <v>Major_Non-USMCA_Non-China</v>
      </c>
    </row>
    <row r="11311" spans="1:9" x14ac:dyDescent="0.4">
      <c r="A11311" t="s">
        <v>73</v>
      </c>
      <c r="B11311" s="1">
        <v>45170</v>
      </c>
      <c r="C11311">
        <v>870895</v>
      </c>
      <c r="D11311" t="s">
        <v>176</v>
      </c>
      <c r="E11311">
        <v>0</v>
      </c>
      <c r="F11311">
        <v>0</v>
      </c>
      <c r="G11311">
        <v>0</v>
      </c>
      <c r="H11311">
        <f>_xlfn.XLOOKUP(FACT_IMPORTS[[#This Row],[hts_6]],DIM_PRODUCTS[hts_6],DIM_PRODUCTS[hts_4],,,)</f>
        <v>8708</v>
      </c>
      <c r="I11311" t="str" cm="1">
        <f t="array" ref="I11311">_xlfn.XLOOKUP(FACT_IMPORTS[[#This Row],[country_name]],DIM_COUNTRY[[#All],[Column2]],DIM_COUNTRY[[#All],[Column3]],,,)</f>
        <v>Major_Non-USMCA_Non-China</v>
      </c>
    </row>
    <row r="11312" spans="1:9" x14ac:dyDescent="0.4">
      <c r="A11312" t="s">
        <v>73</v>
      </c>
      <c r="B11312" s="1">
        <v>45170</v>
      </c>
      <c r="C11312">
        <v>870899</v>
      </c>
      <c r="D11312" t="s">
        <v>176</v>
      </c>
      <c r="E11312">
        <v>18219615</v>
      </c>
      <c r="F11312">
        <v>3816082</v>
      </c>
      <c r="G11312">
        <v>459692</v>
      </c>
      <c r="H11312">
        <f>_xlfn.XLOOKUP(FACT_IMPORTS[[#This Row],[hts_6]],DIM_PRODUCTS[hts_6],DIM_PRODUCTS[hts_4],,,)</f>
        <v>8708</v>
      </c>
      <c r="I11312" t="str" cm="1">
        <f t="array" ref="I11312">_xlfn.XLOOKUP(FACT_IMPORTS[[#This Row],[country_name]],DIM_COUNTRY[[#All],[Column2]],DIM_COUNTRY[[#All],[Column3]],,,)</f>
        <v>Major_Non-USMCA_Non-China</v>
      </c>
    </row>
    <row r="11313" spans="1:9" x14ac:dyDescent="0.4">
      <c r="A11313" t="s">
        <v>73</v>
      </c>
      <c r="B11313" s="1">
        <v>45170</v>
      </c>
      <c r="C11313">
        <v>940120</v>
      </c>
      <c r="D11313" t="s">
        <v>176</v>
      </c>
      <c r="E11313">
        <v>0</v>
      </c>
      <c r="F11313">
        <v>0</v>
      </c>
      <c r="G11313">
        <v>0</v>
      </c>
      <c r="H11313">
        <f>_xlfn.XLOOKUP(FACT_IMPORTS[[#This Row],[hts_6]],DIM_PRODUCTS[hts_6],DIM_PRODUCTS[hts_4],,,)</f>
        <v>9401</v>
      </c>
      <c r="I11313" t="str" cm="1">
        <f t="array" ref="I11313">_xlfn.XLOOKUP(FACT_IMPORTS[[#This Row],[country_name]],DIM_COUNTRY[[#All],[Column2]],DIM_COUNTRY[[#All],[Column3]],,,)</f>
        <v>Major_Non-USMCA_Non-China</v>
      </c>
    </row>
    <row r="11314" spans="1:9" x14ac:dyDescent="0.4">
      <c r="A11314" t="s">
        <v>73</v>
      </c>
      <c r="B11314" s="1">
        <v>45200</v>
      </c>
      <c r="C11314">
        <v>392630</v>
      </c>
      <c r="D11314" t="s">
        <v>176</v>
      </c>
      <c r="E11314">
        <v>560998</v>
      </c>
      <c r="F11314">
        <v>27310</v>
      </c>
      <c r="G11314">
        <v>19516</v>
      </c>
      <c r="H11314">
        <f>_xlfn.XLOOKUP(FACT_IMPORTS[[#This Row],[hts_6]],DIM_PRODUCTS[hts_6],DIM_PRODUCTS[hts_4],,,)</f>
        <v>3926</v>
      </c>
      <c r="I11314" t="str" cm="1">
        <f t="array" ref="I11314">_xlfn.XLOOKUP(FACT_IMPORTS[[#This Row],[country_name]],DIM_COUNTRY[[#All],[Column2]],DIM_COUNTRY[[#All],[Column3]],,,)</f>
        <v>Major_Non-USMCA_Non-China</v>
      </c>
    </row>
    <row r="11315" spans="1:9" x14ac:dyDescent="0.4">
      <c r="A11315" t="s">
        <v>73</v>
      </c>
      <c r="B11315" s="1">
        <v>45200</v>
      </c>
      <c r="C11315">
        <v>401110</v>
      </c>
      <c r="D11315" t="s">
        <v>176</v>
      </c>
      <c r="E11315">
        <v>7227932</v>
      </c>
      <c r="F11315">
        <v>113630</v>
      </c>
      <c r="G11315">
        <v>1135371</v>
      </c>
      <c r="H11315">
        <f>_xlfn.XLOOKUP(FACT_IMPORTS[[#This Row],[hts_6]],DIM_PRODUCTS[hts_6],DIM_PRODUCTS[hts_4],,,)</f>
        <v>4011</v>
      </c>
      <c r="I11315" t="str" cm="1">
        <f t="array" ref="I11315">_xlfn.XLOOKUP(FACT_IMPORTS[[#This Row],[country_name]],DIM_COUNTRY[[#All],[Column2]],DIM_COUNTRY[[#All],[Column3]],,,)</f>
        <v>Major_Non-USMCA_Non-China</v>
      </c>
    </row>
    <row r="11316" spans="1:9" x14ac:dyDescent="0.4">
      <c r="A11316" t="s">
        <v>73</v>
      </c>
      <c r="B11316" s="1">
        <v>45200</v>
      </c>
      <c r="C11316">
        <v>401120</v>
      </c>
      <c r="D11316" t="s">
        <v>176</v>
      </c>
      <c r="E11316">
        <v>248876</v>
      </c>
      <c r="F11316">
        <v>3234</v>
      </c>
      <c r="G11316">
        <v>36234</v>
      </c>
      <c r="H11316">
        <f>_xlfn.XLOOKUP(FACT_IMPORTS[[#This Row],[hts_6]],DIM_PRODUCTS[hts_6],DIM_PRODUCTS[hts_4],,,)</f>
        <v>4011</v>
      </c>
      <c r="I11316" t="str" cm="1">
        <f t="array" ref="I11316">_xlfn.XLOOKUP(FACT_IMPORTS[[#This Row],[country_name]],DIM_COUNTRY[[#All],[Column2]],DIM_COUNTRY[[#All],[Column3]],,,)</f>
        <v>Major_Non-USMCA_Non-China</v>
      </c>
    </row>
    <row r="11317" spans="1:9" x14ac:dyDescent="0.4">
      <c r="A11317" t="s">
        <v>73</v>
      </c>
      <c r="B11317" s="1">
        <v>45200</v>
      </c>
      <c r="C11317">
        <v>401190</v>
      </c>
      <c r="D11317" t="s">
        <v>176</v>
      </c>
      <c r="E11317">
        <v>0</v>
      </c>
      <c r="F11317">
        <v>0</v>
      </c>
      <c r="G11317">
        <v>0</v>
      </c>
      <c r="H11317">
        <f>_xlfn.XLOOKUP(FACT_IMPORTS[[#This Row],[hts_6]],DIM_PRODUCTS[hts_6],DIM_PRODUCTS[hts_4],,,)</f>
        <v>4011</v>
      </c>
      <c r="I11317" t="str" cm="1">
        <f t="array" ref="I11317">_xlfn.XLOOKUP(FACT_IMPORTS[[#This Row],[country_name]],DIM_COUNTRY[[#All],[Column2]],DIM_COUNTRY[[#All],[Column3]],,,)</f>
        <v>Major_Non-USMCA_Non-China</v>
      </c>
    </row>
    <row r="11318" spans="1:9" x14ac:dyDescent="0.4">
      <c r="A11318" t="s">
        <v>73</v>
      </c>
      <c r="B11318" s="1">
        <v>45200</v>
      </c>
      <c r="C11318">
        <v>700910</v>
      </c>
      <c r="D11318" t="s">
        <v>176</v>
      </c>
      <c r="E11318">
        <v>340040</v>
      </c>
      <c r="F11318">
        <v>9326</v>
      </c>
      <c r="G11318">
        <v>30188</v>
      </c>
      <c r="H11318">
        <f>_xlfn.XLOOKUP(FACT_IMPORTS[[#This Row],[hts_6]],DIM_PRODUCTS[hts_6],DIM_PRODUCTS[hts_4],,,)</f>
        <v>7009</v>
      </c>
      <c r="I11318" t="str" cm="1">
        <f t="array" ref="I11318">_xlfn.XLOOKUP(FACT_IMPORTS[[#This Row],[country_name]],DIM_COUNTRY[[#All],[Column2]],DIM_COUNTRY[[#All],[Column3]],,,)</f>
        <v>Major_Non-USMCA_Non-China</v>
      </c>
    </row>
    <row r="11319" spans="1:9" x14ac:dyDescent="0.4">
      <c r="A11319" t="s">
        <v>73</v>
      </c>
      <c r="B11319" s="1">
        <v>45200</v>
      </c>
      <c r="C11319">
        <v>830230</v>
      </c>
      <c r="D11319" t="s">
        <v>176</v>
      </c>
      <c r="E11319">
        <v>2971738</v>
      </c>
      <c r="F11319">
        <v>420871</v>
      </c>
      <c r="G11319">
        <v>84708</v>
      </c>
      <c r="H11319">
        <f>_xlfn.XLOOKUP(FACT_IMPORTS[[#This Row],[hts_6]],DIM_PRODUCTS[hts_6],DIM_PRODUCTS[hts_4],,,)</f>
        <v>8302</v>
      </c>
      <c r="I11319" t="str" cm="1">
        <f t="array" ref="I11319">_xlfn.XLOOKUP(FACT_IMPORTS[[#This Row],[country_name]],DIM_COUNTRY[[#All],[Column2]],DIM_COUNTRY[[#All],[Column3]],,,)</f>
        <v>Major_Non-USMCA_Non-China</v>
      </c>
    </row>
    <row r="11320" spans="1:9" x14ac:dyDescent="0.4">
      <c r="A11320" t="s">
        <v>73</v>
      </c>
      <c r="B11320" s="1">
        <v>45200</v>
      </c>
      <c r="C11320">
        <v>840734</v>
      </c>
      <c r="D11320" t="s">
        <v>176</v>
      </c>
      <c r="E11320">
        <v>337961</v>
      </c>
      <c r="F11320">
        <v>49</v>
      </c>
      <c r="G11320">
        <v>313</v>
      </c>
      <c r="H11320">
        <f>_xlfn.XLOOKUP(FACT_IMPORTS[[#This Row],[hts_6]],DIM_PRODUCTS[hts_6],DIM_PRODUCTS[hts_4],,,)</f>
        <v>8407</v>
      </c>
      <c r="I11320" t="str" cm="1">
        <f t="array" ref="I11320">_xlfn.XLOOKUP(FACT_IMPORTS[[#This Row],[country_name]],DIM_COUNTRY[[#All],[Column2]],DIM_COUNTRY[[#All],[Column3]],,,)</f>
        <v>Major_Non-USMCA_Non-China</v>
      </c>
    </row>
    <row r="11321" spans="1:9" x14ac:dyDescent="0.4">
      <c r="A11321" t="s">
        <v>73</v>
      </c>
      <c r="B11321" s="1">
        <v>45200</v>
      </c>
      <c r="C11321">
        <v>840820</v>
      </c>
      <c r="D11321" t="s">
        <v>176</v>
      </c>
      <c r="E11321">
        <v>0</v>
      </c>
      <c r="F11321">
        <v>0</v>
      </c>
      <c r="G11321">
        <v>0</v>
      </c>
      <c r="H11321">
        <f>_xlfn.XLOOKUP(FACT_IMPORTS[[#This Row],[hts_6]],DIM_PRODUCTS[hts_6],DIM_PRODUCTS[hts_4],,,)</f>
        <v>8408</v>
      </c>
      <c r="I11321" t="str" cm="1">
        <f t="array" ref="I11321">_xlfn.XLOOKUP(FACT_IMPORTS[[#This Row],[country_name]],DIM_COUNTRY[[#All],[Column2]],DIM_COUNTRY[[#All],[Column3]],,,)</f>
        <v>Major_Non-USMCA_Non-China</v>
      </c>
    </row>
    <row r="11322" spans="1:9" x14ac:dyDescent="0.4">
      <c r="A11322" t="s">
        <v>73</v>
      </c>
      <c r="B11322" s="1">
        <v>45200</v>
      </c>
      <c r="C11322">
        <v>840890</v>
      </c>
      <c r="D11322" t="s">
        <v>176</v>
      </c>
      <c r="E11322">
        <v>22634</v>
      </c>
      <c r="F11322">
        <v>2</v>
      </c>
      <c r="G11322">
        <v>200</v>
      </c>
      <c r="H11322">
        <f>_xlfn.XLOOKUP(FACT_IMPORTS[[#This Row],[hts_6]],DIM_PRODUCTS[hts_6],DIM_PRODUCTS[hts_4],,,)</f>
        <v>8408</v>
      </c>
      <c r="I11322" t="str" cm="1">
        <f t="array" ref="I11322">_xlfn.XLOOKUP(FACT_IMPORTS[[#This Row],[country_name]],DIM_COUNTRY[[#All],[Column2]],DIM_COUNTRY[[#All],[Column3]],,,)</f>
        <v>Major_Non-USMCA_Non-China</v>
      </c>
    </row>
    <row r="11323" spans="1:9" x14ac:dyDescent="0.4">
      <c r="A11323" t="s">
        <v>73</v>
      </c>
      <c r="B11323" s="1">
        <v>45200</v>
      </c>
      <c r="C11323">
        <v>840991</v>
      </c>
      <c r="D11323" t="s">
        <v>176</v>
      </c>
      <c r="E11323">
        <v>6310854</v>
      </c>
      <c r="F11323">
        <v>563453</v>
      </c>
      <c r="G11323">
        <v>110527</v>
      </c>
      <c r="H11323">
        <f>_xlfn.XLOOKUP(FACT_IMPORTS[[#This Row],[hts_6]],DIM_PRODUCTS[hts_6],DIM_PRODUCTS[hts_4],,,)</f>
        <v>8409</v>
      </c>
      <c r="I11323" t="str" cm="1">
        <f t="array" ref="I11323">_xlfn.XLOOKUP(FACT_IMPORTS[[#This Row],[country_name]],DIM_COUNTRY[[#All],[Column2]],DIM_COUNTRY[[#All],[Column3]],,,)</f>
        <v>Major_Non-USMCA_Non-China</v>
      </c>
    </row>
    <row r="11324" spans="1:9" x14ac:dyDescent="0.4">
      <c r="A11324" t="s">
        <v>73</v>
      </c>
      <c r="B11324" s="1">
        <v>45200</v>
      </c>
      <c r="C11324">
        <v>840999</v>
      </c>
      <c r="D11324" t="s">
        <v>176</v>
      </c>
      <c r="E11324">
        <v>376296</v>
      </c>
      <c r="F11324">
        <v>29580</v>
      </c>
      <c r="G11324">
        <v>5242</v>
      </c>
      <c r="H11324">
        <f>_xlfn.XLOOKUP(FACT_IMPORTS[[#This Row],[hts_6]],DIM_PRODUCTS[hts_6],DIM_PRODUCTS[hts_4],,,)</f>
        <v>8409</v>
      </c>
      <c r="I11324" t="str" cm="1">
        <f t="array" ref="I11324">_xlfn.XLOOKUP(FACT_IMPORTS[[#This Row],[country_name]],DIM_COUNTRY[[#All],[Column2]],DIM_COUNTRY[[#All],[Column3]],,,)</f>
        <v>Major_Non-USMCA_Non-China</v>
      </c>
    </row>
    <row r="11325" spans="1:9" x14ac:dyDescent="0.4">
      <c r="A11325" t="s">
        <v>73</v>
      </c>
      <c r="B11325" s="1">
        <v>45200</v>
      </c>
      <c r="C11325">
        <v>841330</v>
      </c>
      <c r="D11325" t="s">
        <v>176</v>
      </c>
      <c r="E11325">
        <v>5786504</v>
      </c>
      <c r="F11325">
        <v>105499</v>
      </c>
      <c r="G11325">
        <v>139082</v>
      </c>
      <c r="H11325">
        <f>_xlfn.XLOOKUP(FACT_IMPORTS[[#This Row],[hts_6]],DIM_PRODUCTS[hts_6],DIM_PRODUCTS[hts_4],,,)</f>
        <v>8413</v>
      </c>
      <c r="I11325" t="str" cm="1">
        <f t="array" ref="I11325">_xlfn.XLOOKUP(FACT_IMPORTS[[#This Row],[country_name]],DIM_COUNTRY[[#All],[Column2]],DIM_COUNTRY[[#All],[Column3]],,,)</f>
        <v>Major_Non-USMCA_Non-China</v>
      </c>
    </row>
    <row r="11326" spans="1:9" x14ac:dyDescent="0.4">
      <c r="A11326" t="s">
        <v>73</v>
      </c>
      <c r="B11326" s="1">
        <v>45200</v>
      </c>
      <c r="C11326">
        <v>842132</v>
      </c>
      <c r="D11326" t="s">
        <v>176</v>
      </c>
      <c r="E11326">
        <v>95055</v>
      </c>
      <c r="F11326">
        <v>101</v>
      </c>
      <c r="G11326">
        <v>181</v>
      </c>
      <c r="H11326">
        <f>_xlfn.XLOOKUP(FACT_IMPORTS[[#This Row],[hts_6]],DIM_PRODUCTS[hts_6],DIM_PRODUCTS[hts_4],,,)</f>
        <v>8421</v>
      </c>
      <c r="I11326" t="str" cm="1">
        <f t="array" ref="I11326">_xlfn.XLOOKUP(FACT_IMPORTS[[#This Row],[country_name]],DIM_COUNTRY[[#All],[Column2]],DIM_COUNTRY[[#All],[Column3]],,,)</f>
        <v>Major_Non-USMCA_Non-China</v>
      </c>
    </row>
    <row r="11327" spans="1:9" x14ac:dyDescent="0.4">
      <c r="A11327" t="s">
        <v>73</v>
      </c>
      <c r="B11327" s="1">
        <v>45200</v>
      </c>
      <c r="C11327">
        <v>848210</v>
      </c>
      <c r="D11327" t="s">
        <v>176</v>
      </c>
      <c r="E11327">
        <v>230856</v>
      </c>
      <c r="F11327">
        <v>78107</v>
      </c>
      <c r="G11327">
        <v>398</v>
      </c>
      <c r="H11327">
        <f>_xlfn.XLOOKUP(FACT_IMPORTS[[#This Row],[hts_6]],DIM_PRODUCTS[hts_6],DIM_PRODUCTS[hts_4],,,)</f>
        <v>8482</v>
      </c>
      <c r="I11327" t="str" cm="1">
        <f t="array" ref="I11327">_xlfn.XLOOKUP(FACT_IMPORTS[[#This Row],[country_name]],DIM_COUNTRY[[#All],[Column2]],DIM_COUNTRY[[#All],[Column3]],,,)</f>
        <v>Major_Non-USMCA_Non-China</v>
      </c>
    </row>
    <row r="11328" spans="1:9" x14ac:dyDescent="0.4">
      <c r="A11328" t="s">
        <v>73</v>
      </c>
      <c r="B11328" s="1">
        <v>45200</v>
      </c>
      <c r="C11328">
        <v>848220</v>
      </c>
      <c r="D11328" t="s">
        <v>176</v>
      </c>
      <c r="E11328">
        <v>4355465</v>
      </c>
      <c r="F11328">
        <v>1096670</v>
      </c>
      <c r="G11328">
        <v>625</v>
      </c>
      <c r="H11328">
        <f>_xlfn.XLOOKUP(FACT_IMPORTS[[#This Row],[hts_6]],DIM_PRODUCTS[hts_6],DIM_PRODUCTS[hts_4],,,)</f>
        <v>8482</v>
      </c>
      <c r="I11328" t="str" cm="1">
        <f t="array" ref="I11328">_xlfn.XLOOKUP(FACT_IMPORTS[[#This Row],[country_name]],DIM_COUNTRY[[#All],[Column2]],DIM_COUNTRY[[#All],[Column3]],,,)</f>
        <v>Major_Non-USMCA_Non-China</v>
      </c>
    </row>
    <row r="11329" spans="1:9" x14ac:dyDescent="0.4">
      <c r="A11329" t="s">
        <v>73</v>
      </c>
      <c r="B11329" s="1">
        <v>45200</v>
      </c>
      <c r="C11329">
        <v>848310</v>
      </c>
      <c r="D11329" t="s">
        <v>176</v>
      </c>
      <c r="E11329">
        <v>296362</v>
      </c>
      <c r="F11329">
        <v>10630</v>
      </c>
      <c r="G11329">
        <v>3649</v>
      </c>
      <c r="H11329">
        <f>_xlfn.XLOOKUP(FACT_IMPORTS[[#This Row],[hts_6]],DIM_PRODUCTS[hts_6],DIM_PRODUCTS[hts_4],,,)</f>
        <v>8483</v>
      </c>
      <c r="I11329" t="str" cm="1">
        <f t="array" ref="I11329">_xlfn.XLOOKUP(FACT_IMPORTS[[#This Row],[country_name]],DIM_COUNTRY[[#All],[Column2]],DIM_COUNTRY[[#All],[Column3]],,,)</f>
        <v>Major_Non-USMCA_Non-China</v>
      </c>
    </row>
    <row r="11330" spans="1:9" x14ac:dyDescent="0.4">
      <c r="A11330" t="s">
        <v>73</v>
      </c>
      <c r="B11330" s="1">
        <v>45200</v>
      </c>
      <c r="C11330">
        <v>850131</v>
      </c>
      <c r="D11330" t="s">
        <v>176</v>
      </c>
      <c r="E11330">
        <v>4141510</v>
      </c>
      <c r="F11330">
        <v>128636</v>
      </c>
      <c r="G11330">
        <v>6402</v>
      </c>
      <c r="H11330">
        <f>_xlfn.XLOOKUP(FACT_IMPORTS[[#This Row],[hts_6]],DIM_PRODUCTS[hts_6],DIM_PRODUCTS[hts_4],,,)</f>
        <v>8501</v>
      </c>
      <c r="I11330" t="str" cm="1">
        <f t="array" ref="I11330">_xlfn.XLOOKUP(FACT_IMPORTS[[#This Row],[country_name]],DIM_COUNTRY[[#All],[Column2]],DIM_COUNTRY[[#All],[Column3]],,,)</f>
        <v>Major_Non-USMCA_Non-China</v>
      </c>
    </row>
    <row r="11331" spans="1:9" x14ac:dyDescent="0.4">
      <c r="A11331" t="s">
        <v>73</v>
      </c>
      <c r="B11331" s="1">
        <v>45200</v>
      </c>
      <c r="C11331">
        <v>850132</v>
      </c>
      <c r="D11331" t="s">
        <v>176</v>
      </c>
      <c r="E11331">
        <v>4367</v>
      </c>
      <c r="F11331">
        <v>4</v>
      </c>
      <c r="G11331">
        <v>1</v>
      </c>
      <c r="H11331">
        <f>_xlfn.XLOOKUP(FACT_IMPORTS[[#This Row],[hts_6]],DIM_PRODUCTS[hts_6],DIM_PRODUCTS[hts_4],,,)</f>
        <v>8501</v>
      </c>
      <c r="I11331" t="str" cm="1">
        <f t="array" ref="I11331">_xlfn.XLOOKUP(FACT_IMPORTS[[#This Row],[country_name]],DIM_COUNTRY[[#All],[Column2]],DIM_COUNTRY[[#All],[Column3]],,,)</f>
        <v>Major_Non-USMCA_Non-China</v>
      </c>
    </row>
    <row r="11332" spans="1:9" x14ac:dyDescent="0.4">
      <c r="A11332" t="s">
        <v>73</v>
      </c>
      <c r="B11332" s="1">
        <v>45200</v>
      </c>
      <c r="C11332">
        <v>850152</v>
      </c>
      <c r="D11332" t="s">
        <v>176</v>
      </c>
      <c r="E11332">
        <v>0</v>
      </c>
      <c r="F11332">
        <v>0</v>
      </c>
      <c r="G11332">
        <v>0</v>
      </c>
      <c r="H11332">
        <f>_xlfn.XLOOKUP(FACT_IMPORTS[[#This Row],[hts_6]],DIM_PRODUCTS[hts_6],DIM_PRODUCTS[hts_4],,,)</f>
        <v>8501</v>
      </c>
      <c r="I11332" t="str" cm="1">
        <f t="array" ref="I11332">_xlfn.XLOOKUP(FACT_IMPORTS[[#This Row],[country_name]],DIM_COUNTRY[[#All],[Column2]],DIM_COUNTRY[[#All],[Column3]],,,)</f>
        <v>Major_Non-USMCA_Non-China</v>
      </c>
    </row>
    <row r="11333" spans="1:9" x14ac:dyDescent="0.4">
      <c r="A11333" t="s">
        <v>73</v>
      </c>
      <c r="B11333" s="1">
        <v>45200</v>
      </c>
      <c r="C11333">
        <v>850153</v>
      </c>
      <c r="D11333" t="s">
        <v>176</v>
      </c>
      <c r="E11333">
        <v>12447656</v>
      </c>
      <c r="F11333">
        <v>7156</v>
      </c>
      <c r="G11333">
        <v>6809</v>
      </c>
      <c r="H11333">
        <f>_xlfn.XLOOKUP(FACT_IMPORTS[[#This Row],[hts_6]],DIM_PRODUCTS[hts_6],DIM_PRODUCTS[hts_4],,,)</f>
        <v>8501</v>
      </c>
      <c r="I11333" t="str" cm="1">
        <f t="array" ref="I11333">_xlfn.XLOOKUP(FACT_IMPORTS[[#This Row],[country_name]],DIM_COUNTRY[[#All],[Column2]],DIM_COUNTRY[[#All],[Column3]],,,)</f>
        <v>Major_Non-USMCA_Non-China</v>
      </c>
    </row>
    <row r="11334" spans="1:9" x14ac:dyDescent="0.4">
      <c r="A11334" t="s">
        <v>73</v>
      </c>
      <c r="B11334" s="1">
        <v>45200</v>
      </c>
      <c r="C11334">
        <v>850440</v>
      </c>
      <c r="D11334" t="s">
        <v>176</v>
      </c>
      <c r="E11334">
        <v>15850620</v>
      </c>
      <c r="F11334">
        <v>20698</v>
      </c>
      <c r="G11334">
        <v>3741</v>
      </c>
      <c r="H11334">
        <f>_xlfn.XLOOKUP(FACT_IMPORTS[[#This Row],[hts_6]],DIM_PRODUCTS[hts_6],DIM_PRODUCTS[hts_4],,,)</f>
        <v>8504</v>
      </c>
      <c r="I11334" t="str" cm="1">
        <f t="array" ref="I11334">_xlfn.XLOOKUP(FACT_IMPORTS[[#This Row],[country_name]],DIM_COUNTRY[[#All],[Column2]],DIM_COUNTRY[[#All],[Column3]],,,)</f>
        <v>Major_Non-USMCA_Non-China</v>
      </c>
    </row>
    <row r="11335" spans="1:9" x14ac:dyDescent="0.4">
      <c r="A11335" t="s">
        <v>73</v>
      </c>
      <c r="B11335" s="1">
        <v>45200</v>
      </c>
      <c r="C11335">
        <v>850710</v>
      </c>
      <c r="D11335" t="s">
        <v>176</v>
      </c>
      <c r="E11335">
        <v>522358</v>
      </c>
      <c r="F11335">
        <v>8637</v>
      </c>
      <c r="G11335">
        <v>29325</v>
      </c>
      <c r="H11335">
        <f>_xlfn.XLOOKUP(FACT_IMPORTS[[#This Row],[hts_6]],DIM_PRODUCTS[hts_6],DIM_PRODUCTS[hts_4],,,)</f>
        <v>8507</v>
      </c>
      <c r="I11335" t="str" cm="1">
        <f t="array" ref="I11335">_xlfn.XLOOKUP(FACT_IMPORTS[[#This Row],[country_name]],DIM_COUNTRY[[#All],[Column2]],DIM_COUNTRY[[#All],[Column3]],,,)</f>
        <v>Major_Non-USMCA_Non-China</v>
      </c>
    </row>
    <row r="11336" spans="1:9" x14ac:dyDescent="0.4">
      <c r="A11336" t="s">
        <v>73</v>
      </c>
      <c r="B11336" s="1">
        <v>45200</v>
      </c>
      <c r="C11336">
        <v>850760</v>
      </c>
      <c r="D11336" t="s">
        <v>176</v>
      </c>
      <c r="E11336">
        <v>59807</v>
      </c>
      <c r="F11336">
        <v>624</v>
      </c>
      <c r="G11336">
        <v>4262</v>
      </c>
      <c r="H11336">
        <f>_xlfn.XLOOKUP(FACT_IMPORTS[[#This Row],[hts_6]],DIM_PRODUCTS[hts_6],DIM_PRODUCTS[hts_4],,,)</f>
        <v>8507</v>
      </c>
      <c r="I11336" t="str" cm="1">
        <f t="array" ref="I11336">_xlfn.XLOOKUP(FACT_IMPORTS[[#This Row],[country_name]],DIM_COUNTRY[[#All],[Column2]],DIM_COUNTRY[[#All],[Column3]],,,)</f>
        <v>Major_Non-USMCA_Non-China</v>
      </c>
    </row>
    <row r="11337" spans="1:9" x14ac:dyDescent="0.4">
      <c r="A11337" t="s">
        <v>73</v>
      </c>
      <c r="B11337" s="1">
        <v>45200</v>
      </c>
      <c r="C11337">
        <v>850790</v>
      </c>
      <c r="D11337" t="s">
        <v>176</v>
      </c>
      <c r="E11337">
        <v>7891731</v>
      </c>
      <c r="F11337">
        <v>319434</v>
      </c>
      <c r="G11337">
        <v>75028</v>
      </c>
      <c r="H11337">
        <f>_xlfn.XLOOKUP(FACT_IMPORTS[[#This Row],[hts_6]],DIM_PRODUCTS[hts_6],DIM_PRODUCTS[hts_4],,,)</f>
        <v>8507</v>
      </c>
      <c r="I11337" t="str" cm="1">
        <f t="array" ref="I11337">_xlfn.XLOOKUP(FACT_IMPORTS[[#This Row],[country_name]],DIM_COUNTRY[[#All],[Column2]],DIM_COUNTRY[[#All],[Column3]],,,)</f>
        <v>Major_Non-USMCA_Non-China</v>
      </c>
    </row>
    <row r="11338" spans="1:9" x14ac:dyDescent="0.4">
      <c r="A11338" t="s">
        <v>73</v>
      </c>
      <c r="B11338" s="1">
        <v>45200</v>
      </c>
      <c r="C11338">
        <v>851110</v>
      </c>
      <c r="D11338" t="s">
        <v>176</v>
      </c>
      <c r="E11338">
        <v>29040</v>
      </c>
      <c r="F11338">
        <v>103</v>
      </c>
      <c r="G11338">
        <v>92</v>
      </c>
      <c r="H11338">
        <f>_xlfn.XLOOKUP(FACT_IMPORTS[[#This Row],[hts_6]],DIM_PRODUCTS[hts_6],DIM_PRODUCTS[hts_4],,,)</f>
        <v>8511</v>
      </c>
      <c r="I11338" t="str" cm="1">
        <f t="array" ref="I11338">_xlfn.XLOOKUP(FACT_IMPORTS[[#This Row],[country_name]],DIM_COUNTRY[[#All],[Column2]],DIM_COUNTRY[[#All],[Column3]],,,)</f>
        <v>Major_Non-USMCA_Non-China</v>
      </c>
    </row>
    <row r="11339" spans="1:9" x14ac:dyDescent="0.4">
      <c r="A11339" t="s">
        <v>73</v>
      </c>
      <c r="B11339" s="1">
        <v>45200</v>
      </c>
      <c r="C11339">
        <v>851130</v>
      </c>
      <c r="D11339" t="s">
        <v>176</v>
      </c>
      <c r="E11339">
        <v>18061</v>
      </c>
      <c r="F11339">
        <v>495</v>
      </c>
      <c r="G11339">
        <v>68</v>
      </c>
      <c r="H11339">
        <f>_xlfn.XLOOKUP(FACT_IMPORTS[[#This Row],[hts_6]],DIM_PRODUCTS[hts_6],DIM_PRODUCTS[hts_4],,,)</f>
        <v>8511</v>
      </c>
      <c r="I11339" t="str" cm="1">
        <f t="array" ref="I11339">_xlfn.XLOOKUP(FACT_IMPORTS[[#This Row],[country_name]],DIM_COUNTRY[[#All],[Column2]],DIM_COUNTRY[[#All],[Column3]],,,)</f>
        <v>Major_Non-USMCA_Non-China</v>
      </c>
    </row>
    <row r="11340" spans="1:9" x14ac:dyDescent="0.4">
      <c r="A11340" t="s">
        <v>73</v>
      </c>
      <c r="B11340" s="1">
        <v>45200</v>
      </c>
      <c r="C11340">
        <v>851140</v>
      </c>
      <c r="D11340" t="s">
        <v>176</v>
      </c>
      <c r="E11340">
        <v>5796029</v>
      </c>
      <c r="F11340">
        <v>18572</v>
      </c>
      <c r="G11340">
        <v>3113</v>
      </c>
      <c r="H11340">
        <f>_xlfn.XLOOKUP(FACT_IMPORTS[[#This Row],[hts_6]],DIM_PRODUCTS[hts_6],DIM_PRODUCTS[hts_4],,,)</f>
        <v>8511</v>
      </c>
      <c r="I11340" t="str" cm="1">
        <f t="array" ref="I11340">_xlfn.XLOOKUP(FACT_IMPORTS[[#This Row],[country_name]],DIM_COUNTRY[[#All],[Column2]],DIM_COUNTRY[[#All],[Column3]],,,)</f>
        <v>Major_Non-USMCA_Non-China</v>
      </c>
    </row>
    <row r="11341" spans="1:9" x14ac:dyDescent="0.4">
      <c r="A11341" t="s">
        <v>73</v>
      </c>
      <c r="B11341" s="1">
        <v>45200</v>
      </c>
      <c r="C11341">
        <v>851150</v>
      </c>
      <c r="D11341" t="s">
        <v>176</v>
      </c>
      <c r="E11341">
        <v>111975</v>
      </c>
      <c r="F11341">
        <v>594</v>
      </c>
      <c r="G11341">
        <v>1854</v>
      </c>
      <c r="H11341">
        <f>_xlfn.XLOOKUP(FACT_IMPORTS[[#This Row],[hts_6]],DIM_PRODUCTS[hts_6],DIM_PRODUCTS[hts_4],,,)</f>
        <v>8511</v>
      </c>
      <c r="I11341" t="str" cm="1">
        <f t="array" ref="I11341">_xlfn.XLOOKUP(FACT_IMPORTS[[#This Row],[country_name]],DIM_COUNTRY[[#All],[Column2]],DIM_COUNTRY[[#All],[Column3]],,,)</f>
        <v>Major_Non-USMCA_Non-China</v>
      </c>
    </row>
    <row r="11342" spans="1:9" x14ac:dyDescent="0.4">
      <c r="A11342" t="s">
        <v>73</v>
      </c>
      <c r="B11342" s="1">
        <v>45200</v>
      </c>
      <c r="C11342">
        <v>851190</v>
      </c>
      <c r="D11342" t="s">
        <v>176</v>
      </c>
      <c r="E11342">
        <v>167307</v>
      </c>
      <c r="F11342">
        <v>17828</v>
      </c>
      <c r="G11342">
        <v>4296</v>
      </c>
      <c r="H11342">
        <f>_xlfn.XLOOKUP(FACT_IMPORTS[[#This Row],[hts_6]],DIM_PRODUCTS[hts_6],DIM_PRODUCTS[hts_4],,,)</f>
        <v>8511</v>
      </c>
      <c r="I11342" t="str" cm="1">
        <f t="array" ref="I11342">_xlfn.XLOOKUP(FACT_IMPORTS[[#This Row],[country_name]],DIM_COUNTRY[[#All],[Column2]],DIM_COUNTRY[[#All],[Column3]],,,)</f>
        <v>Major_Non-USMCA_Non-China</v>
      </c>
    </row>
    <row r="11343" spans="1:9" x14ac:dyDescent="0.4">
      <c r="A11343" t="s">
        <v>73</v>
      </c>
      <c r="B11343" s="1">
        <v>45200</v>
      </c>
      <c r="C11343">
        <v>851220</v>
      </c>
      <c r="D11343" t="s">
        <v>176</v>
      </c>
      <c r="E11343">
        <v>12833517</v>
      </c>
      <c r="F11343">
        <v>1514510</v>
      </c>
      <c r="G11343">
        <v>128954</v>
      </c>
      <c r="H11343">
        <f>_xlfn.XLOOKUP(FACT_IMPORTS[[#This Row],[hts_6]],DIM_PRODUCTS[hts_6],DIM_PRODUCTS[hts_4],,,)</f>
        <v>8512</v>
      </c>
      <c r="I11343" t="str" cm="1">
        <f t="array" ref="I11343">_xlfn.XLOOKUP(FACT_IMPORTS[[#This Row],[country_name]],DIM_COUNTRY[[#All],[Column2]],DIM_COUNTRY[[#All],[Column3]],,,)</f>
        <v>Major_Non-USMCA_Non-China</v>
      </c>
    </row>
    <row r="11344" spans="1:9" x14ac:dyDescent="0.4">
      <c r="A11344" t="s">
        <v>73</v>
      </c>
      <c r="B11344" s="1">
        <v>45200</v>
      </c>
      <c r="C11344">
        <v>851240</v>
      </c>
      <c r="D11344" t="s">
        <v>176</v>
      </c>
      <c r="E11344">
        <v>414815</v>
      </c>
      <c r="F11344">
        <v>18909</v>
      </c>
      <c r="G11344">
        <v>19657</v>
      </c>
      <c r="H11344">
        <f>_xlfn.XLOOKUP(FACT_IMPORTS[[#This Row],[hts_6]],DIM_PRODUCTS[hts_6],DIM_PRODUCTS[hts_4],,,)</f>
        <v>8512</v>
      </c>
      <c r="I11344" t="str" cm="1">
        <f t="array" ref="I11344">_xlfn.XLOOKUP(FACT_IMPORTS[[#This Row],[country_name]],DIM_COUNTRY[[#All],[Column2]],DIM_COUNTRY[[#All],[Column3]],,,)</f>
        <v>Major_Non-USMCA_Non-China</v>
      </c>
    </row>
    <row r="11345" spans="1:9" x14ac:dyDescent="0.4">
      <c r="A11345" t="s">
        <v>73</v>
      </c>
      <c r="B11345" s="1">
        <v>45200</v>
      </c>
      <c r="C11345">
        <v>851290</v>
      </c>
      <c r="D11345" t="s">
        <v>176</v>
      </c>
      <c r="E11345">
        <v>838888</v>
      </c>
      <c r="F11345">
        <v>56030</v>
      </c>
      <c r="G11345">
        <v>40735</v>
      </c>
      <c r="H11345">
        <f>_xlfn.XLOOKUP(FACT_IMPORTS[[#This Row],[hts_6]],DIM_PRODUCTS[hts_6],DIM_PRODUCTS[hts_4],,,)</f>
        <v>8512</v>
      </c>
      <c r="I11345" t="str" cm="1">
        <f t="array" ref="I11345">_xlfn.XLOOKUP(FACT_IMPORTS[[#This Row],[country_name]],DIM_COUNTRY[[#All],[Column2]],DIM_COUNTRY[[#All],[Column3]],,,)</f>
        <v>Major_Non-USMCA_Non-China</v>
      </c>
    </row>
    <row r="11346" spans="1:9" x14ac:dyDescent="0.4">
      <c r="A11346" t="s">
        <v>73</v>
      </c>
      <c r="B11346" s="1">
        <v>45200</v>
      </c>
      <c r="C11346">
        <v>854231</v>
      </c>
      <c r="D11346" t="s">
        <v>176</v>
      </c>
      <c r="E11346">
        <v>0</v>
      </c>
      <c r="F11346">
        <v>0</v>
      </c>
      <c r="G11346">
        <v>0</v>
      </c>
      <c r="H11346">
        <f>_xlfn.XLOOKUP(FACT_IMPORTS[[#This Row],[hts_6]],DIM_PRODUCTS[hts_6],DIM_PRODUCTS[hts_4],,,)</f>
        <v>8542</v>
      </c>
      <c r="I11346" t="str" cm="1">
        <f t="array" ref="I11346">_xlfn.XLOOKUP(FACT_IMPORTS[[#This Row],[country_name]],DIM_COUNTRY[[#All],[Column2]],DIM_COUNTRY[[#All],[Column3]],,,)</f>
        <v>Major_Non-USMCA_Non-China</v>
      </c>
    </row>
    <row r="11347" spans="1:9" x14ac:dyDescent="0.4">
      <c r="A11347" t="s">
        <v>73</v>
      </c>
      <c r="B11347" s="1">
        <v>45200</v>
      </c>
      <c r="C11347">
        <v>854232</v>
      </c>
      <c r="D11347" t="s">
        <v>176</v>
      </c>
      <c r="E11347">
        <v>0</v>
      </c>
      <c r="F11347">
        <v>0</v>
      </c>
      <c r="G11347">
        <v>0</v>
      </c>
      <c r="H11347">
        <f>_xlfn.XLOOKUP(FACT_IMPORTS[[#This Row],[hts_6]],DIM_PRODUCTS[hts_6],DIM_PRODUCTS[hts_4],,,)</f>
        <v>8542</v>
      </c>
      <c r="I11347" t="str" cm="1">
        <f t="array" ref="I11347">_xlfn.XLOOKUP(FACT_IMPORTS[[#This Row],[country_name]],DIM_COUNTRY[[#All],[Column2]],DIM_COUNTRY[[#All],[Column3]],,,)</f>
        <v>Major_Non-USMCA_Non-China</v>
      </c>
    </row>
    <row r="11348" spans="1:9" x14ac:dyDescent="0.4">
      <c r="A11348" t="s">
        <v>73</v>
      </c>
      <c r="B11348" s="1">
        <v>45200</v>
      </c>
      <c r="C11348">
        <v>854239</v>
      </c>
      <c r="D11348" t="s">
        <v>176</v>
      </c>
      <c r="E11348">
        <v>13139</v>
      </c>
      <c r="F11348">
        <v>2991</v>
      </c>
      <c r="G11348">
        <v>871</v>
      </c>
      <c r="H11348">
        <f>_xlfn.XLOOKUP(FACT_IMPORTS[[#This Row],[hts_6]],DIM_PRODUCTS[hts_6],DIM_PRODUCTS[hts_4],,,)</f>
        <v>8542</v>
      </c>
      <c r="I11348" t="str" cm="1">
        <f t="array" ref="I11348">_xlfn.XLOOKUP(FACT_IMPORTS[[#This Row],[country_name]],DIM_COUNTRY[[#All],[Column2]],DIM_COUNTRY[[#All],[Column3]],,,)</f>
        <v>Major_Non-USMCA_Non-China</v>
      </c>
    </row>
    <row r="11349" spans="1:9" x14ac:dyDescent="0.4">
      <c r="A11349" t="s">
        <v>73</v>
      </c>
      <c r="B11349" s="1">
        <v>45200</v>
      </c>
      <c r="C11349">
        <v>854430</v>
      </c>
      <c r="D11349" t="s">
        <v>176</v>
      </c>
      <c r="E11349">
        <v>86287</v>
      </c>
      <c r="F11349">
        <v>553</v>
      </c>
      <c r="G11349">
        <v>116</v>
      </c>
      <c r="H11349">
        <f>_xlfn.XLOOKUP(FACT_IMPORTS[[#This Row],[hts_6]],DIM_PRODUCTS[hts_6],DIM_PRODUCTS[hts_4],,,)</f>
        <v>8544</v>
      </c>
      <c r="I11349" t="str" cm="1">
        <f t="array" ref="I11349">_xlfn.XLOOKUP(FACT_IMPORTS[[#This Row],[country_name]],DIM_COUNTRY[[#All],[Column2]],DIM_COUNTRY[[#All],[Column3]],,,)</f>
        <v>Major_Non-USMCA_Non-China</v>
      </c>
    </row>
    <row r="11350" spans="1:9" x14ac:dyDescent="0.4">
      <c r="A11350" t="s">
        <v>73</v>
      </c>
      <c r="B11350" s="1">
        <v>45200</v>
      </c>
      <c r="C11350">
        <v>870810</v>
      </c>
      <c r="D11350" t="s">
        <v>176</v>
      </c>
      <c r="E11350">
        <v>1207768</v>
      </c>
      <c r="F11350">
        <v>93428</v>
      </c>
      <c r="G11350">
        <v>5857</v>
      </c>
      <c r="H11350">
        <f>_xlfn.XLOOKUP(FACT_IMPORTS[[#This Row],[hts_6]],DIM_PRODUCTS[hts_6],DIM_PRODUCTS[hts_4],,,)</f>
        <v>8708</v>
      </c>
      <c r="I11350" t="str" cm="1">
        <f t="array" ref="I11350">_xlfn.XLOOKUP(FACT_IMPORTS[[#This Row],[country_name]],DIM_COUNTRY[[#All],[Column2]],DIM_COUNTRY[[#All],[Column3]],,,)</f>
        <v>Major_Non-USMCA_Non-China</v>
      </c>
    </row>
    <row r="11351" spans="1:9" x14ac:dyDescent="0.4">
      <c r="A11351" t="s">
        <v>73</v>
      </c>
      <c r="B11351" s="1">
        <v>45200</v>
      </c>
      <c r="C11351">
        <v>870821</v>
      </c>
      <c r="D11351" t="s">
        <v>176</v>
      </c>
      <c r="E11351">
        <v>0</v>
      </c>
      <c r="F11351">
        <v>0</v>
      </c>
      <c r="G11351">
        <v>0</v>
      </c>
      <c r="H11351">
        <f>_xlfn.XLOOKUP(FACT_IMPORTS[[#This Row],[hts_6]],DIM_PRODUCTS[hts_6],DIM_PRODUCTS[hts_4],,,)</f>
        <v>8708</v>
      </c>
      <c r="I11351" t="str" cm="1">
        <f t="array" ref="I11351">_xlfn.XLOOKUP(FACT_IMPORTS[[#This Row],[country_name]],DIM_COUNTRY[[#All],[Column2]],DIM_COUNTRY[[#All],[Column3]],,,)</f>
        <v>Major_Non-USMCA_Non-China</v>
      </c>
    </row>
    <row r="11352" spans="1:9" x14ac:dyDescent="0.4">
      <c r="A11352" t="s">
        <v>73</v>
      </c>
      <c r="B11352" s="1">
        <v>45200</v>
      </c>
      <c r="C11352">
        <v>870822</v>
      </c>
      <c r="D11352" t="s">
        <v>176</v>
      </c>
      <c r="E11352">
        <v>126832</v>
      </c>
      <c r="F11352">
        <v>620</v>
      </c>
      <c r="G11352">
        <v>174</v>
      </c>
      <c r="H11352">
        <f>_xlfn.XLOOKUP(FACT_IMPORTS[[#This Row],[hts_6]],DIM_PRODUCTS[hts_6],DIM_PRODUCTS[hts_4],,,)</f>
        <v>8708</v>
      </c>
      <c r="I11352" t="str" cm="1">
        <f t="array" ref="I11352">_xlfn.XLOOKUP(FACT_IMPORTS[[#This Row],[country_name]],DIM_COUNTRY[[#All],[Column2]],DIM_COUNTRY[[#All],[Column3]],,,)</f>
        <v>Major_Non-USMCA_Non-China</v>
      </c>
    </row>
    <row r="11353" spans="1:9" x14ac:dyDescent="0.4">
      <c r="A11353" t="s">
        <v>73</v>
      </c>
      <c r="B11353" s="1">
        <v>45200</v>
      </c>
      <c r="C11353">
        <v>870829</v>
      </c>
      <c r="D11353" t="s">
        <v>176</v>
      </c>
      <c r="E11353">
        <v>8341403</v>
      </c>
      <c r="F11353">
        <v>5031667</v>
      </c>
      <c r="G11353">
        <v>209454</v>
      </c>
      <c r="H11353">
        <f>_xlfn.XLOOKUP(FACT_IMPORTS[[#This Row],[hts_6]],DIM_PRODUCTS[hts_6],DIM_PRODUCTS[hts_4],,,)</f>
        <v>8708</v>
      </c>
      <c r="I11353" t="str" cm="1">
        <f t="array" ref="I11353">_xlfn.XLOOKUP(FACT_IMPORTS[[#This Row],[country_name]],DIM_COUNTRY[[#All],[Column2]],DIM_COUNTRY[[#All],[Column3]],,,)</f>
        <v>Major_Non-USMCA_Non-China</v>
      </c>
    </row>
    <row r="11354" spans="1:9" x14ac:dyDescent="0.4">
      <c r="A11354" t="s">
        <v>73</v>
      </c>
      <c r="B11354" s="1">
        <v>45200</v>
      </c>
      <c r="C11354">
        <v>870830</v>
      </c>
      <c r="D11354" t="s">
        <v>176</v>
      </c>
      <c r="E11354">
        <v>585936</v>
      </c>
      <c r="F11354">
        <v>168966</v>
      </c>
      <c r="G11354">
        <v>19326</v>
      </c>
      <c r="H11354">
        <f>_xlfn.XLOOKUP(FACT_IMPORTS[[#This Row],[hts_6]],DIM_PRODUCTS[hts_6],DIM_PRODUCTS[hts_4],,,)</f>
        <v>8708</v>
      </c>
      <c r="I11354" t="str" cm="1">
        <f t="array" ref="I11354">_xlfn.XLOOKUP(FACT_IMPORTS[[#This Row],[country_name]],DIM_COUNTRY[[#All],[Column2]],DIM_COUNTRY[[#All],[Column3]],,,)</f>
        <v>Major_Non-USMCA_Non-China</v>
      </c>
    </row>
    <row r="11355" spans="1:9" x14ac:dyDescent="0.4">
      <c r="A11355" t="s">
        <v>73</v>
      </c>
      <c r="B11355" s="1">
        <v>45200</v>
      </c>
      <c r="C11355">
        <v>870840</v>
      </c>
      <c r="D11355" t="s">
        <v>176</v>
      </c>
      <c r="E11355">
        <v>4553451</v>
      </c>
      <c r="F11355">
        <v>535079</v>
      </c>
      <c r="G11355">
        <v>82699</v>
      </c>
      <c r="H11355">
        <f>_xlfn.XLOOKUP(FACT_IMPORTS[[#This Row],[hts_6]],DIM_PRODUCTS[hts_6],DIM_PRODUCTS[hts_4],,,)</f>
        <v>8708</v>
      </c>
      <c r="I11355" t="str" cm="1">
        <f t="array" ref="I11355">_xlfn.XLOOKUP(FACT_IMPORTS[[#This Row],[country_name]],DIM_COUNTRY[[#All],[Column2]],DIM_COUNTRY[[#All],[Column3]],,,)</f>
        <v>Major_Non-USMCA_Non-China</v>
      </c>
    </row>
    <row r="11356" spans="1:9" x14ac:dyDescent="0.4">
      <c r="A11356" t="s">
        <v>73</v>
      </c>
      <c r="B11356" s="1">
        <v>45200</v>
      </c>
      <c r="C11356">
        <v>870850</v>
      </c>
      <c r="D11356" t="s">
        <v>176</v>
      </c>
      <c r="E11356">
        <v>29723261</v>
      </c>
      <c r="F11356">
        <v>1754894</v>
      </c>
      <c r="G11356">
        <v>678212</v>
      </c>
      <c r="H11356">
        <f>_xlfn.XLOOKUP(FACT_IMPORTS[[#This Row],[hts_6]],DIM_PRODUCTS[hts_6],DIM_PRODUCTS[hts_4],,,)</f>
        <v>8708</v>
      </c>
      <c r="I11356" t="str" cm="1">
        <f t="array" ref="I11356">_xlfn.XLOOKUP(FACT_IMPORTS[[#This Row],[country_name]],DIM_COUNTRY[[#All],[Column2]],DIM_COUNTRY[[#All],[Column3]],,,)</f>
        <v>Major_Non-USMCA_Non-China</v>
      </c>
    </row>
    <row r="11357" spans="1:9" x14ac:dyDescent="0.4">
      <c r="A11357" t="s">
        <v>73</v>
      </c>
      <c r="B11357" s="1">
        <v>45200</v>
      </c>
      <c r="C11357">
        <v>870870</v>
      </c>
      <c r="D11357" t="s">
        <v>176</v>
      </c>
      <c r="E11357">
        <v>7045369</v>
      </c>
      <c r="F11357">
        <v>124226</v>
      </c>
      <c r="G11357">
        <v>420549</v>
      </c>
      <c r="H11357">
        <f>_xlfn.XLOOKUP(FACT_IMPORTS[[#This Row],[hts_6]],DIM_PRODUCTS[hts_6],DIM_PRODUCTS[hts_4],,,)</f>
        <v>8708</v>
      </c>
      <c r="I11357" t="str" cm="1">
        <f t="array" ref="I11357">_xlfn.XLOOKUP(FACT_IMPORTS[[#This Row],[country_name]],DIM_COUNTRY[[#All],[Column2]],DIM_COUNTRY[[#All],[Column3]],,,)</f>
        <v>Major_Non-USMCA_Non-China</v>
      </c>
    </row>
    <row r="11358" spans="1:9" x14ac:dyDescent="0.4">
      <c r="A11358" t="s">
        <v>73</v>
      </c>
      <c r="B11358" s="1">
        <v>45200</v>
      </c>
      <c r="C11358">
        <v>870880</v>
      </c>
      <c r="D11358" t="s">
        <v>176</v>
      </c>
      <c r="E11358">
        <v>6127330</v>
      </c>
      <c r="F11358">
        <v>1505738</v>
      </c>
      <c r="G11358">
        <v>132490</v>
      </c>
      <c r="H11358">
        <f>_xlfn.XLOOKUP(FACT_IMPORTS[[#This Row],[hts_6]],DIM_PRODUCTS[hts_6],DIM_PRODUCTS[hts_4],,,)</f>
        <v>8708</v>
      </c>
      <c r="I11358" t="str" cm="1">
        <f t="array" ref="I11358">_xlfn.XLOOKUP(FACT_IMPORTS[[#This Row],[country_name]],DIM_COUNTRY[[#All],[Column2]],DIM_COUNTRY[[#All],[Column3]],,,)</f>
        <v>Major_Non-USMCA_Non-China</v>
      </c>
    </row>
    <row r="11359" spans="1:9" x14ac:dyDescent="0.4">
      <c r="A11359" t="s">
        <v>73</v>
      </c>
      <c r="B11359" s="1">
        <v>45200</v>
      </c>
      <c r="C11359">
        <v>870891</v>
      </c>
      <c r="D11359" t="s">
        <v>176</v>
      </c>
      <c r="E11359">
        <v>202631</v>
      </c>
      <c r="F11359">
        <v>2501</v>
      </c>
      <c r="G11359">
        <v>587</v>
      </c>
      <c r="H11359">
        <f>_xlfn.XLOOKUP(FACT_IMPORTS[[#This Row],[hts_6]],DIM_PRODUCTS[hts_6],DIM_PRODUCTS[hts_4],,,)</f>
        <v>8708</v>
      </c>
      <c r="I11359" t="str" cm="1">
        <f t="array" ref="I11359">_xlfn.XLOOKUP(FACT_IMPORTS[[#This Row],[country_name]],DIM_COUNTRY[[#All],[Column2]],DIM_COUNTRY[[#All],[Column3]],,,)</f>
        <v>Major_Non-USMCA_Non-China</v>
      </c>
    </row>
    <row r="11360" spans="1:9" x14ac:dyDescent="0.4">
      <c r="A11360" t="s">
        <v>73</v>
      </c>
      <c r="B11360" s="1">
        <v>45200</v>
      </c>
      <c r="C11360">
        <v>870892</v>
      </c>
      <c r="D11360" t="s">
        <v>176</v>
      </c>
      <c r="E11360">
        <v>78885</v>
      </c>
      <c r="F11360">
        <v>725</v>
      </c>
      <c r="G11360">
        <v>203</v>
      </c>
      <c r="H11360">
        <f>_xlfn.XLOOKUP(FACT_IMPORTS[[#This Row],[hts_6]],DIM_PRODUCTS[hts_6],DIM_PRODUCTS[hts_4],,,)</f>
        <v>8708</v>
      </c>
      <c r="I11360" t="str" cm="1">
        <f t="array" ref="I11360">_xlfn.XLOOKUP(FACT_IMPORTS[[#This Row],[country_name]],DIM_COUNTRY[[#All],[Column2]],DIM_COUNTRY[[#All],[Column3]],,,)</f>
        <v>Major_Non-USMCA_Non-China</v>
      </c>
    </row>
    <row r="11361" spans="1:9" x14ac:dyDescent="0.4">
      <c r="A11361" t="s">
        <v>73</v>
      </c>
      <c r="B11361" s="1">
        <v>45200</v>
      </c>
      <c r="C11361">
        <v>870893</v>
      </c>
      <c r="D11361" t="s">
        <v>176</v>
      </c>
      <c r="E11361">
        <v>1468163</v>
      </c>
      <c r="F11361">
        <v>161774</v>
      </c>
      <c r="G11361">
        <v>10007</v>
      </c>
      <c r="H11361">
        <f>_xlfn.XLOOKUP(FACT_IMPORTS[[#This Row],[hts_6]],DIM_PRODUCTS[hts_6],DIM_PRODUCTS[hts_4],,,)</f>
        <v>8708</v>
      </c>
      <c r="I11361" t="str" cm="1">
        <f t="array" ref="I11361">_xlfn.XLOOKUP(FACT_IMPORTS[[#This Row],[country_name]],DIM_COUNTRY[[#All],[Column2]],DIM_COUNTRY[[#All],[Column3]],,,)</f>
        <v>Major_Non-USMCA_Non-China</v>
      </c>
    </row>
    <row r="11362" spans="1:9" x14ac:dyDescent="0.4">
      <c r="A11362" t="s">
        <v>73</v>
      </c>
      <c r="B11362" s="1">
        <v>45200</v>
      </c>
      <c r="C11362">
        <v>870894</v>
      </c>
      <c r="D11362" t="s">
        <v>176</v>
      </c>
      <c r="E11362">
        <v>2659110</v>
      </c>
      <c r="F11362">
        <v>277077</v>
      </c>
      <c r="G11362">
        <v>42414</v>
      </c>
      <c r="H11362">
        <f>_xlfn.XLOOKUP(FACT_IMPORTS[[#This Row],[hts_6]],DIM_PRODUCTS[hts_6],DIM_PRODUCTS[hts_4],,,)</f>
        <v>8708</v>
      </c>
      <c r="I11362" t="str" cm="1">
        <f t="array" ref="I11362">_xlfn.XLOOKUP(FACT_IMPORTS[[#This Row],[country_name]],DIM_COUNTRY[[#All],[Column2]],DIM_COUNTRY[[#All],[Column3]],,,)</f>
        <v>Major_Non-USMCA_Non-China</v>
      </c>
    </row>
    <row r="11363" spans="1:9" x14ac:dyDescent="0.4">
      <c r="A11363" t="s">
        <v>73</v>
      </c>
      <c r="B11363" s="1">
        <v>45200</v>
      </c>
      <c r="C11363">
        <v>870895</v>
      </c>
      <c r="D11363" t="s">
        <v>176</v>
      </c>
      <c r="E11363">
        <v>2421</v>
      </c>
      <c r="F11363">
        <v>14</v>
      </c>
      <c r="G11363">
        <v>3</v>
      </c>
      <c r="H11363">
        <f>_xlfn.XLOOKUP(FACT_IMPORTS[[#This Row],[hts_6]],DIM_PRODUCTS[hts_6],DIM_PRODUCTS[hts_4],,,)</f>
        <v>8708</v>
      </c>
      <c r="I11363" t="str" cm="1">
        <f t="array" ref="I11363">_xlfn.XLOOKUP(FACT_IMPORTS[[#This Row],[country_name]],DIM_COUNTRY[[#All],[Column2]],DIM_COUNTRY[[#All],[Column3]],,,)</f>
        <v>Major_Non-USMCA_Non-China</v>
      </c>
    </row>
    <row r="11364" spans="1:9" x14ac:dyDescent="0.4">
      <c r="A11364" t="s">
        <v>73</v>
      </c>
      <c r="B11364" s="1">
        <v>45200</v>
      </c>
      <c r="C11364">
        <v>870899</v>
      </c>
      <c r="D11364" t="s">
        <v>176</v>
      </c>
      <c r="E11364">
        <v>23815342</v>
      </c>
      <c r="F11364">
        <v>4466866</v>
      </c>
      <c r="G11364">
        <v>679814</v>
      </c>
      <c r="H11364">
        <f>_xlfn.XLOOKUP(FACT_IMPORTS[[#This Row],[hts_6]],DIM_PRODUCTS[hts_6],DIM_PRODUCTS[hts_4],,,)</f>
        <v>8708</v>
      </c>
      <c r="I11364" t="str" cm="1">
        <f t="array" ref="I11364">_xlfn.XLOOKUP(FACT_IMPORTS[[#This Row],[country_name]],DIM_COUNTRY[[#All],[Column2]],DIM_COUNTRY[[#All],[Column3]],,,)</f>
        <v>Major_Non-USMCA_Non-China</v>
      </c>
    </row>
    <row r="11365" spans="1:9" x14ac:dyDescent="0.4">
      <c r="A11365" t="s">
        <v>73</v>
      </c>
      <c r="B11365" s="1">
        <v>45200</v>
      </c>
      <c r="C11365">
        <v>940120</v>
      </c>
      <c r="D11365" t="s">
        <v>176</v>
      </c>
      <c r="E11365">
        <v>2328</v>
      </c>
      <c r="F11365">
        <v>9</v>
      </c>
      <c r="G11365">
        <v>12449</v>
      </c>
      <c r="H11365">
        <f>_xlfn.XLOOKUP(FACT_IMPORTS[[#This Row],[hts_6]],DIM_PRODUCTS[hts_6],DIM_PRODUCTS[hts_4],,,)</f>
        <v>9401</v>
      </c>
      <c r="I11365" t="str" cm="1">
        <f t="array" ref="I11365">_xlfn.XLOOKUP(FACT_IMPORTS[[#This Row],[country_name]],DIM_COUNTRY[[#All],[Column2]],DIM_COUNTRY[[#All],[Column3]],,,)</f>
        <v>Major_Non-USMCA_Non-China</v>
      </c>
    </row>
    <row r="11366" spans="1:9" x14ac:dyDescent="0.4">
      <c r="A11366" t="s">
        <v>73</v>
      </c>
      <c r="B11366" s="1">
        <v>45231</v>
      </c>
      <c r="C11366">
        <v>392630</v>
      </c>
      <c r="D11366" t="s">
        <v>176</v>
      </c>
      <c r="E11366">
        <v>245333</v>
      </c>
      <c r="F11366">
        <v>11578</v>
      </c>
      <c r="G11366">
        <v>16146</v>
      </c>
      <c r="H11366">
        <f>_xlfn.XLOOKUP(FACT_IMPORTS[[#This Row],[hts_6]],DIM_PRODUCTS[hts_6],DIM_PRODUCTS[hts_4],,,)</f>
        <v>3926</v>
      </c>
      <c r="I11366" t="str" cm="1">
        <f t="array" ref="I11366">_xlfn.XLOOKUP(FACT_IMPORTS[[#This Row],[country_name]],DIM_COUNTRY[[#All],[Column2]],DIM_COUNTRY[[#All],[Column3]],,,)</f>
        <v>Major_Non-USMCA_Non-China</v>
      </c>
    </row>
    <row r="11367" spans="1:9" x14ac:dyDescent="0.4">
      <c r="A11367" t="s">
        <v>73</v>
      </c>
      <c r="B11367" s="1">
        <v>45231</v>
      </c>
      <c r="C11367">
        <v>401110</v>
      </c>
      <c r="D11367" t="s">
        <v>176</v>
      </c>
      <c r="E11367">
        <v>1771999</v>
      </c>
      <c r="F11367">
        <v>28382</v>
      </c>
      <c r="G11367">
        <v>284509</v>
      </c>
      <c r="H11367">
        <f>_xlfn.XLOOKUP(FACT_IMPORTS[[#This Row],[hts_6]],DIM_PRODUCTS[hts_6],DIM_PRODUCTS[hts_4],,,)</f>
        <v>4011</v>
      </c>
      <c r="I11367" t="str" cm="1">
        <f t="array" ref="I11367">_xlfn.XLOOKUP(FACT_IMPORTS[[#This Row],[country_name]],DIM_COUNTRY[[#All],[Column2]],DIM_COUNTRY[[#All],[Column3]],,,)</f>
        <v>Major_Non-USMCA_Non-China</v>
      </c>
    </row>
    <row r="11368" spans="1:9" x14ac:dyDescent="0.4">
      <c r="A11368" t="s">
        <v>73</v>
      </c>
      <c r="B11368" s="1">
        <v>45231</v>
      </c>
      <c r="C11368">
        <v>401120</v>
      </c>
      <c r="D11368" t="s">
        <v>176</v>
      </c>
      <c r="E11368">
        <v>0</v>
      </c>
      <c r="F11368">
        <v>0</v>
      </c>
      <c r="G11368">
        <v>0</v>
      </c>
      <c r="H11368">
        <f>_xlfn.XLOOKUP(FACT_IMPORTS[[#This Row],[hts_6]],DIM_PRODUCTS[hts_6],DIM_PRODUCTS[hts_4],,,)</f>
        <v>4011</v>
      </c>
      <c r="I11368" t="str" cm="1">
        <f t="array" ref="I11368">_xlfn.XLOOKUP(FACT_IMPORTS[[#This Row],[country_name]],DIM_COUNTRY[[#All],[Column2]],DIM_COUNTRY[[#All],[Column3]],,,)</f>
        <v>Major_Non-USMCA_Non-China</v>
      </c>
    </row>
    <row r="11369" spans="1:9" x14ac:dyDescent="0.4">
      <c r="A11369" t="s">
        <v>73</v>
      </c>
      <c r="B11369" s="1">
        <v>45231</v>
      </c>
      <c r="C11369">
        <v>401190</v>
      </c>
      <c r="D11369" t="s">
        <v>176</v>
      </c>
      <c r="E11369">
        <v>0</v>
      </c>
      <c r="F11369">
        <v>0</v>
      </c>
      <c r="G11369">
        <v>0</v>
      </c>
      <c r="H11369">
        <f>_xlfn.XLOOKUP(FACT_IMPORTS[[#This Row],[hts_6]],DIM_PRODUCTS[hts_6],DIM_PRODUCTS[hts_4],,,)</f>
        <v>4011</v>
      </c>
      <c r="I11369" t="str" cm="1">
        <f t="array" ref="I11369">_xlfn.XLOOKUP(FACT_IMPORTS[[#This Row],[country_name]],DIM_COUNTRY[[#All],[Column2]],DIM_COUNTRY[[#All],[Column3]],,,)</f>
        <v>Major_Non-USMCA_Non-China</v>
      </c>
    </row>
    <row r="11370" spans="1:9" x14ac:dyDescent="0.4">
      <c r="A11370" t="s">
        <v>73</v>
      </c>
      <c r="B11370" s="1">
        <v>45231</v>
      </c>
      <c r="C11370">
        <v>700910</v>
      </c>
      <c r="D11370" t="s">
        <v>176</v>
      </c>
      <c r="E11370">
        <v>216485</v>
      </c>
      <c r="F11370">
        <v>3676</v>
      </c>
      <c r="G11370">
        <v>10015</v>
      </c>
      <c r="H11370">
        <f>_xlfn.XLOOKUP(FACT_IMPORTS[[#This Row],[hts_6]],DIM_PRODUCTS[hts_6],DIM_PRODUCTS[hts_4],,,)</f>
        <v>7009</v>
      </c>
      <c r="I11370" t="str" cm="1">
        <f t="array" ref="I11370">_xlfn.XLOOKUP(FACT_IMPORTS[[#This Row],[country_name]],DIM_COUNTRY[[#All],[Column2]],DIM_COUNTRY[[#All],[Column3]],,,)</f>
        <v>Major_Non-USMCA_Non-China</v>
      </c>
    </row>
    <row r="11371" spans="1:9" x14ac:dyDescent="0.4">
      <c r="A11371" t="s">
        <v>73</v>
      </c>
      <c r="B11371" s="1">
        <v>45231</v>
      </c>
      <c r="C11371">
        <v>830230</v>
      </c>
      <c r="D11371" t="s">
        <v>176</v>
      </c>
      <c r="E11371">
        <v>1302701</v>
      </c>
      <c r="F11371">
        <v>173395</v>
      </c>
      <c r="G11371">
        <v>29782</v>
      </c>
      <c r="H11371">
        <f>_xlfn.XLOOKUP(FACT_IMPORTS[[#This Row],[hts_6]],DIM_PRODUCTS[hts_6],DIM_PRODUCTS[hts_4],,,)</f>
        <v>8302</v>
      </c>
      <c r="I11371" t="str" cm="1">
        <f t="array" ref="I11371">_xlfn.XLOOKUP(FACT_IMPORTS[[#This Row],[country_name]],DIM_COUNTRY[[#All],[Column2]],DIM_COUNTRY[[#All],[Column3]],,,)</f>
        <v>Major_Non-USMCA_Non-China</v>
      </c>
    </row>
    <row r="11372" spans="1:9" x14ac:dyDescent="0.4">
      <c r="A11372" t="s">
        <v>73</v>
      </c>
      <c r="B11372" s="1">
        <v>45231</v>
      </c>
      <c r="C11372">
        <v>840734</v>
      </c>
      <c r="D11372" t="s">
        <v>176</v>
      </c>
      <c r="E11372">
        <v>167896</v>
      </c>
      <c r="F11372">
        <v>24</v>
      </c>
      <c r="G11372">
        <v>108</v>
      </c>
      <c r="H11372">
        <f>_xlfn.XLOOKUP(FACT_IMPORTS[[#This Row],[hts_6]],DIM_PRODUCTS[hts_6],DIM_PRODUCTS[hts_4],,,)</f>
        <v>8407</v>
      </c>
      <c r="I11372" t="str" cm="1">
        <f t="array" ref="I11372">_xlfn.XLOOKUP(FACT_IMPORTS[[#This Row],[country_name]],DIM_COUNTRY[[#All],[Column2]],DIM_COUNTRY[[#All],[Column3]],,,)</f>
        <v>Major_Non-USMCA_Non-China</v>
      </c>
    </row>
    <row r="11373" spans="1:9" x14ac:dyDescent="0.4">
      <c r="A11373" t="s">
        <v>73</v>
      </c>
      <c r="B11373" s="1">
        <v>45231</v>
      </c>
      <c r="C11373">
        <v>840820</v>
      </c>
      <c r="D11373" t="s">
        <v>176</v>
      </c>
      <c r="E11373">
        <v>0</v>
      </c>
      <c r="F11373">
        <v>0</v>
      </c>
      <c r="G11373">
        <v>0</v>
      </c>
      <c r="H11373">
        <f>_xlfn.XLOOKUP(FACT_IMPORTS[[#This Row],[hts_6]],DIM_PRODUCTS[hts_6],DIM_PRODUCTS[hts_4],,,)</f>
        <v>8408</v>
      </c>
      <c r="I11373" t="str" cm="1">
        <f t="array" ref="I11373">_xlfn.XLOOKUP(FACT_IMPORTS[[#This Row],[country_name]],DIM_COUNTRY[[#All],[Column2]],DIM_COUNTRY[[#All],[Column3]],,,)</f>
        <v>Major_Non-USMCA_Non-China</v>
      </c>
    </row>
    <row r="11374" spans="1:9" x14ac:dyDescent="0.4">
      <c r="A11374" t="s">
        <v>73</v>
      </c>
      <c r="B11374" s="1">
        <v>45231</v>
      </c>
      <c r="C11374">
        <v>840890</v>
      </c>
      <c r="D11374" t="s">
        <v>176</v>
      </c>
      <c r="E11374">
        <v>0</v>
      </c>
      <c r="F11374">
        <v>0</v>
      </c>
      <c r="G11374">
        <v>0</v>
      </c>
      <c r="H11374">
        <f>_xlfn.XLOOKUP(FACT_IMPORTS[[#This Row],[hts_6]],DIM_PRODUCTS[hts_6],DIM_PRODUCTS[hts_4],,,)</f>
        <v>8408</v>
      </c>
      <c r="I11374" t="str" cm="1">
        <f t="array" ref="I11374">_xlfn.XLOOKUP(FACT_IMPORTS[[#This Row],[country_name]],DIM_COUNTRY[[#All],[Column2]],DIM_COUNTRY[[#All],[Column3]],,,)</f>
        <v>Major_Non-USMCA_Non-China</v>
      </c>
    </row>
    <row r="11375" spans="1:9" x14ac:dyDescent="0.4">
      <c r="A11375" t="s">
        <v>73</v>
      </c>
      <c r="B11375" s="1">
        <v>45231</v>
      </c>
      <c r="C11375">
        <v>840991</v>
      </c>
      <c r="D11375" t="s">
        <v>176</v>
      </c>
      <c r="E11375">
        <v>5216424</v>
      </c>
      <c r="F11375">
        <v>317299</v>
      </c>
      <c r="G11375">
        <v>35334</v>
      </c>
      <c r="H11375">
        <f>_xlfn.XLOOKUP(FACT_IMPORTS[[#This Row],[hts_6]],DIM_PRODUCTS[hts_6],DIM_PRODUCTS[hts_4],,,)</f>
        <v>8409</v>
      </c>
      <c r="I11375" t="str" cm="1">
        <f t="array" ref="I11375">_xlfn.XLOOKUP(FACT_IMPORTS[[#This Row],[country_name]],DIM_COUNTRY[[#All],[Column2]],DIM_COUNTRY[[#All],[Column3]],,,)</f>
        <v>Major_Non-USMCA_Non-China</v>
      </c>
    </row>
    <row r="11376" spans="1:9" x14ac:dyDescent="0.4">
      <c r="A11376" t="s">
        <v>73</v>
      </c>
      <c r="B11376" s="1">
        <v>45231</v>
      </c>
      <c r="C11376">
        <v>840999</v>
      </c>
      <c r="D11376" t="s">
        <v>176</v>
      </c>
      <c r="E11376">
        <v>330066</v>
      </c>
      <c r="F11376">
        <v>24812</v>
      </c>
      <c r="G11376">
        <v>1963</v>
      </c>
      <c r="H11376">
        <f>_xlfn.XLOOKUP(FACT_IMPORTS[[#This Row],[hts_6]],DIM_PRODUCTS[hts_6],DIM_PRODUCTS[hts_4],,,)</f>
        <v>8409</v>
      </c>
      <c r="I11376" t="str" cm="1">
        <f t="array" ref="I11376">_xlfn.XLOOKUP(FACT_IMPORTS[[#This Row],[country_name]],DIM_COUNTRY[[#All],[Column2]],DIM_COUNTRY[[#All],[Column3]],,,)</f>
        <v>Major_Non-USMCA_Non-China</v>
      </c>
    </row>
    <row r="11377" spans="1:9" x14ac:dyDescent="0.4">
      <c r="A11377" t="s">
        <v>73</v>
      </c>
      <c r="B11377" s="1">
        <v>45231</v>
      </c>
      <c r="C11377">
        <v>841330</v>
      </c>
      <c r="D11377" t="s">
        <v>176</v>
      </c>
      <c r="E11377">
        <v>4600754</v>
      </c>
      <c r="F11377">
        <v>84508</v>
      </c>
      <c r="G11377">
        <v>61927</v>
      </c>
      <c r="H11377">
        <f>_xlfn.XLOOKUP(FACT_IMPORTS[[#This Row],[hts_6]],DIM_PRODUCTS[hts_6],DIM_PRODUCTS[hts_4],,,)</f>
        <v>8413</v>
      </c>
      <c r="I11377" t="str" cm="1">
        <f t="array" ref="I11377">_xlfn.XLOOKUP(FACT_IMPORTS[[#This Row],[country_name]],DIM_COUNTRY[[#All],[Column2]],DIM_COUNTRY[[#All],[Column3]],,,)</f>
        <v>Major_Non-USMCA_Non-China</v>
      </c>
    </row>
    <row r="11378" spans="1:9" x14ac:dyDescent="0.4">
      <c r="A11378" t="s">
        <v>73</v>
      </c>
      <c r="B11378" s="1">
        <v>45231</v>
      </c>
      <c r="C11378">
        <v>842132</v>
      </c>
      <c r="D11378" t="s">
        <v>176</v>
      </c>
      <c r="E11378">
        <v>16521</v>
      </c>
      <c r="F11378">
        <v>7</v>
      </c>
      <c r="G11378">
        <v>14</v>
      </c>
      <c r="H11378">
        <f>_xlfn.XLOOKUP(FACT_IMPORTS[[#This Row],[hts_6]],DIM_PRODUCTS[hts_6],DIM_PRODUCTS[hts_4],,,)</f>
        <v>8421</v>
      </c>
      <c r="I11378" t="str" cm="1">
        <f t="array" ref="I11378">_xlfn.XLOOKUP(FACT_IMPORTS[[#This Row],[country_name]],DIM_COUNTRY[[#All],[Column2]],DIM_COUNTRY[[#All],[Column3]],,,)</f>
        <v>Major_Non-USMCA_Non-China</v>
      </c>
    </row>
    <row r="11379" spans="1:9" x14ac:dyDescent="0.4">
      <c r="A11379" t="s">
        <v>73</v>
      </c>
      <c r="B11379" s="1">
        <v>45231</v>
      </c>
      <c r="C11379">
        <v>848210</v>
      </c>
      <c r="D11379" t="s">
        <v>176</v>
      </c>
      <c r="E11379">
        <v>85263</v>
      </c>
      <c r="F11379">
        <v>18535</v>
      </c>
      <c r="G11379">
        <v>366</v>
      </c>
      <c r="H11379">
        <f>_xlfn.XLOOKUP(FACT_IMPORTS[[#This Row],[hts_6]],DIM_PRODUCTS[hts_6],DIM_PRODUCTS[hts_4],,,)</f>
        <v>8482</v>
      </c>
      <c r="I11379" t="str" cm="1">
        <f t="array" ref="I11379">_xlfn.XLOOKUP(FACT_IMPORTS[[#This Row],[country_name]],DIM_COUNTRY[[#All],[Column2]],DIM_COUNTRY[[#All],[Column3]],,,)</f>
        <v>Major_Non-USMCA_Non-China</v>
      </c>
    </row>
    <row r="11380" spans="1:9" x14ac:dyDescent="0.4">
      <c r="A11380" t="s">
        <v>73</v>
      </c>
      <c r="B11380" s="1">
        <v>45231</v>
      </c>
      <c r="C11380">
        <v>848220</v>
      </c>
      <c r="D11380" t="s">
        <v>176</v>
      </c>
      <c r="E11380">
        <v>2773594</v>
      </c>
      <c r="F11380">
        <v>652739</v>
      </c>
      <c r="G11380">
        <v>1310</v>
      </c>
      <c r="H11380">
        <f>_xlfn.XLOOKUP(FACT_IMPORTS[[#This Row],[hts_6]],DIM_PRODUCTS[hts_6],DIM_PRODUCTS[hts_4],,,)</f>
        <v>8482</v>
      </c>
      <c r="I11380" t="str" cm="1">
        <f t="array" ref="I11380">_xlfn.XLOOKUP(FACT_IMPORTS[[#This Row],[country_name]],DIM_COUNTRY[[#All],[Column2]],DIM_COUNTRY[[#All],[Column3]],,,)</f>
        <v>Major_Non-USMCA_Non-China</v>
      </c>
    </row>
    <row r="11381" spans="1:9" x14ac:dyDescent="0.4">
      <c r="A11381" t="s">
        <v>73</v>
      </c>
      <c r="B11381" s="1">
        <v>45231</v>
      </c>
      <c r="C11381">
        <v>848310</v>
      </c>
      <c r="D11381" t="s">
        <v>176</v>
      </c>
      <c r="E11381">
        <v>5990</v>
      </c>
      <c r="F11381">
        <v>1</v>
      </c>
      <c r="G11381">
        <v>0</v>
      </c>
      <c r="H11381">
        <f>_xlfn.XLOOKUP(FACT_IMPORTS[[#This Row],[hts_6]],DIM_PRODUCTS[hts_6],DIM_PRODUCTS[hts_4],,,)</f>
        <v>8483</v>
      </c>
      <c r="I11381" t="str" cm="1">
        <f t="array" ref="I11381">_xlfn.XLOOKUP(FACT_IMPORTS[[#This Row],[country_name]],DIM_COUNTRY[[#All],[Column2]],DIM_COUNTRY[[#All],[Column3]],,,)</f>
        <v>Major_Non-USMCA_Non-China</v>
      </c>
    </row>
    <row r="11382" spans="1:9" x14ac:dyDescent="0.4">
      <c r="A11382" t="s">
        <v>73</v>
      </c>
      <c r="B11382" s="1">
        <v>45231</v>
      </c>
      <c r="C11382">
        <v>850131</v>
      </c>
      <c r="D11382" t="s">
        <v>176</v>
      </c>
      <c r="E11382">
        <v>3563019</v>
      </c>
      <c r="F11382">
        <v>104480</v>
      </c>
      <c r="G11382">
        <v>9454</v>
      </c>
      <c r="H11382">
        <f>_xlfn.XLOOKUP(FACT_IMPORTS[[#This Row],[hts_6]],DIM_PRODUCTS[hts_6],DIM_PRODUCTS[hts_4],,,)</f>
        <v>8501</v>
      </c>
      <c r="I11382" t="str" cm="1">
        <f t="array" ref="I11382">_xlfn.XLOOKUP(FACT_IMPORTS[[#This Row],[country_name]],DIM_COUNTRY[[#All],[Column2]],DIM_COUNTRY[[#All],[Column3]],,,)</f>
        <v>Major_Non-USMCA_Non-China</v>
      </c>
    </row>
    <row r="11383" spans="1:9" x14ac:dyDescent="0.4">
      <c r="A11383" t="s">
        <v>73</v>
      </c>
      <c r="B11383" s="1">
        <v>45231</v>
      </c>
      <c r="C11383">
        <v>850132</v>
      </c>
      <c r="D11383" t="s">
        <v>176</v>
      </c>
      <c r="E11383">
        <v>0</v>
      </c>
      <c r="F11383">
        <v>0</v>
      </c>
      <c r="G11383">
        <v>0</v>
      </c>
      <c r="H11383">
        <f>_xlfn.XLOOKUP(FACT_IMPORTS[[#This Row],[hts_6]],DIM_PRODUCTS[hts_6],DIM_PRODUCTS[hts_4],,,)</f>
        <v>8501</v>
      </c>
      <c r="I11383" t="str" cm="1">
        <f t="array" ref="I11383">_xlfn.XLOOKUP(FACT_IMPORTS[[#This Row],[country_name]],DIM_COUNTRY[[#All],[Column2]],DIM_COUNTRY[[#All],[Column3]],,,)</f>
        <v>Major_Non-USMCA_Non-China</v>
      </c>
    </row>
    <row r="11384" spans="1:9" x14ac:dyDescent="0.4">
      <c r="A11384" t="s">
        <v>73</v>
      </c>
      <c r="B11384" s="1">
        <v>45231</v>
      </c>
      <c r="C11384">
        <v>850152</v>
      </c>
      <c r="D11384" t="s">
        <v>176</v>
      </c>
      <c r="E11384">
        <v>0</v>
      </c>
      <c r="F11384">
        <v>0</v>
      </c>
      <c r="G11384">
        <v>0</v>
      </c>
      <c r="H11384">
        <f>_xlfn.XLOOKUP(FACT_IMPORTS[[#This Row],[hts_6]],DIM_PRODUCTS[hts_6],DIM_PRODUCTS[hts_4],,,)</f>
        <v>8501</v>
      </c>
      <c r="I11384" t="str" cm="1">
        <f t="array" ref="I11384">_xlfn.XLOOKUP(FACT_IMPORTS[[#This Row],[country_name]],DIM_COUNTRY[[#All],[Column2]],DIM_COUNTRY[[#All],[Column3]],,,)</f>
        <v>Major_Non-USMCA_Non-China</v>
      </c>
    </row>
    <row r="11385" spans="1:9" x14ac:dyDescent="0.4">
      <c r="A11385" t="s">
        <v>73</v>
      </c>
      <c r="B11385" s="1">
        <v>45231</v>
      </c>
      <c r="C11385">
        <v>850153</v>
      </c>
      <c r="D11385" t="s">
        <v>176</v>
      </c>
      <c r="E11385">
        <v>3757106</v>
      </c>
      <c r="F11385">
        <v>2161</v>
      </c>
      <c r="G11385">
        <v>2002</v>
      </c>
      <c r="H11385">
        <f>_xlfn.XLOOKUP(FACT_IMPORTS[[#This Row],[hts_6]],DIM_PRODUCTS[hts_6],DIM_PRODUCTS[hts_4],,,)</f>
        <v>8501</v>
      </c>
      <c r="I11385" t="str" cm="1">
        <f t="array" ref="I11385">_xlfn.XLOOKUP(FACT_IMPORTS[[#This Row],[country_name]],DIM_COUNTRY[[#All],[Column2]],DIM_COUNTRY[[#All],[Column3]],,,)</f>
        <v>Major_Non-USMCA_Non-China</v>
      </c>
    </row>
    <row r="11386" spans="1:9" x14ac:dyDescent="0.4">
      <c r="A11386" t="s">
        <v>73</v>
      </c>
      <c r="B11386" s="1">
        <v>45231</v>
      </c>
      <c r="C11386">
        <v>850440</v>
      </c>
      <c r="D11386" t="s">
        <v>176</v>
      </c>
      <c r="E11386">
        <v>16176771</v>
      </c>
      <c r="F11386">
        <v>19757</v>
      </c>
      <c r="G11386">
        <v>3601</v>
      </c>
      <c r="H11386">
        <f>_xlfn.XLOOKUP(FACT_IMPORTS[[#This Row],[hts_6]],DIM_PRODUCTS[hts_6],DIM_PRODUCTS[hts_4],,,)</f>
        <v>8504</v>
      </c>
      <c r="I11386" t="str" cm="1">
        <f t="array" ref="I11386">_xlfn.XLOOKUP(FACT_IMPORTS[[#This Row],[country_name]],DIM_COUNTRY[[#All],[Column2]],DIM_COUNTRY[[#All],[Column3]],,,)</f>
        <v>Major_Non-USMCA_Non-China</v>
      </c>
    </row>
    <row r="11387" spans="1:9" x14ac:dyDescent="0.4">
      <c r="A11387" t="s">
        <v>73</v>
      </c>
      <c r="B11387" s="1">
        <v>45231</v>
      </c>
      <c r="C11387">
        <v>850710</v>
      </c>
      <c r="D11387" t="s">
        <v>176</v>
      </c>
      <c r="E11387">
        <v>613292</v>
      </c>
      <c r="F11387">
        <v>11067</v>
      </c>
      <c r="G11387">
        <v>12189</v>
      </c>
      <c r="H11387">
        <f>_xlfn.XLOOKUP(FACT_IMPORTS[[#This Row],[hts_6]],DIM_PRODUCTS[hts_6],DIM_PRODUCTS[hts_4],,,)</f>
        <v>8507</v>
      </c>
      <c r="I11387" t="str" cm="1">
        <f t="array" ref="I11387">_xlfn.XLOOKUP(FACT_IMPORTS[[#This Row],[country_name]],DIM_COUNTRY[[#All],[Column2]],DIM_COUNTRY[[#All],[Column3]],,,)</f>
        <v>Major_Non-USMCA_Non-China</v>
      </c>
    </row>
    <row r="11388" spans="1:9" x14ac:dyDescent="0.4">
      <c r="A11388" t="s">
        <v>73</v>
      </c>
      <c r="B11388" s="1">
        <v>45231</v>
      </c>
      <c r="C11388">
        <v>850760</v>
      </c>
      <c r="D11388" t="s">
        <v>176</v>
      </c>
      <c r="E11388">
        <v>4000</v>
      </c>
      <c r="F11388">
        <v>1</v>
      </c>
      <c r="G11388">
        <v>250</v>
      </c>
      <c r="H11388">
        <f>_xlfn.XLOOKUP(FACT_IMPORTS[[#This Row],[hts_6]],DIM_PRODUCTS[hts_6],DIM_PRODUCTS[hts_4],,,)</f>
        <v>8507</v>
      </c>
      <c r="I11388" t="str" cm="1">
        <f t="array" ref="I11388">_xlfn.XLOOKUP(FACT_IMPORTS[[#This Row],[country_name]],DIM_COUNTRY[[#All],[Column2]],DIM_COUNTRY[[#All],[Column3]],,,)</f>
        <v>Major_Non-USMCA_Non-China</v>
      </c>
    </row>
    <row r="11389" spans="1:9" x14ac:dyDescent="0.4">
      <c r="A11389" t="s">
        <v>73</v>
      </c>
      <c r="B11389" s="1">
        <v>45231</v>
      </c>
      <c r="C11389">
        <v>850790</v>
      </c>
      <c r="D11389" t="s">
        <v>176</v>
      </c>
      <c r="E11389">
        <v>11380900</v>
      </c>
      <c r="F11389">
        <v>366498</v>
      </c>
      <c r="G11389">
        <v>53410</v>
      </c>
      <c r="H11389">
        <f>_xlfn.XLOOKUP(FACT_IMPORTS[[#This Row],[hts_6]],DIM_PRODUCTS[hts_6],DIM_PRODUCTS[hts_4],,,)</f>
        <v>8507</v>
      </c>
      <c r="I11389" t="str" cm="1">
        <f t="array" ref="I11389">_xlfn.XLOOKUP(FACT_IMPORTS[[#This Row],[country_name]],DIM_COUNTRY[[#All],[Column2]],DIM_COUNTRY[[#All],[Column3]],,,)</f>
        <v>Major_Non-USMCA_Non-China</v>
      </c>
    </row>
    <row r="11390" spans="1:9" x14ac:dyDescent="0.4">
      <c r="A11390" t="s">
        <v>73</v>
      </c>
      <c r="B11390" s="1">
        <v>45231</v>
      </c>
      <c r="C11390">
        <v>851110</v>
      </c>
      <c r="D11390" t="s">
        <v>176</v>
      </c>
      <c r="E11390">
        <v>0</v>
      </c>
      <c r="F11390">
        <v>0</v>
      </c>
      <c r="G11390">
        <v>0</v>
      </c>
      <c r="H11390">
        <f>_xlfn.XLOOKUP(FACT_IMPORTS[[#This Row],[hts_6]],DIM_PRODUCTS[hts_6],DIM_PRODUCTS[hts_4],,,)</f>
        <v>8511</v>
      </c>
      <c r="I11390" t="str" cm="1">
        <f t="array" ref="I11390">_xlfn.XLOOKUP(FACT_IMPORTS[[#This Row],[country_name]],DIM_COUNTRY[[#All],[Column2]],DIM_COUNTRY[[#All],[Column3]],,,)</f>
        <v>Major_Non-USMCA_Non-China</v>
      </c>
    </row>
    <row r="11391" spans="1:9" x14ac:dyDescent="0.4">
      <c r="A11391" t="s">
        <v>73</v>
      </c>
      <c r="B11391" s="1">
        <v>45231</v>
      </c>
      <c r="C11391">
        <v>851130</v>
      </c>
      <c r="D11391" t="s">
        <v>176</v>
      </c>
      <c r="E11391">
        <v>27946</v>
      </c>
      <c r="F11391">
        <v>765</v>
      </c>
      <c r="G11391">
        <v>98</v>
      </c>
      <c r="H11391">
        <f>_xlfn.XLOOKUP(FACT_IMPORTS[[#This Row],[hts_6]],DIM_PRODUCTS[hts_6],DIM_PRODUCTS[hts_4],,,)</f>
        <v>8511</v>
      </c>
      <c r="I11391" t="str" cm="1">
        <f t="array" ref="I11391">_xlfn.XLOOKUP(FACT_IMPORTS[[#This Row],[country_name]],DIM_COUNTRY[[#All],[Column2]],DIM_COUNTRY[[#All],[Column3]],,,)</f>
        <v>Major_Non-USMCA_Non-China</v>
      </c>
    </row>
    <row r="11392" spans="1:9" x14ac:dyDescent="0.4">
      <c r="A11392" t="s">
        <v>73</v>
      </c>
      <c r="B11392" s="1">
        <v>45231</v>
      </c>
      <c r="C11392">
        <v>851140</v>
      </c>
      <c r="D11392" t="s">
        <v>176</v>
      </c>
      <c r="E11392">
        <v>2841530</v>
      </c>
      <c r="F11392">
        <v>9479</v>
      </c>
      <c r="G11392">
        <v>1629</v>
      </c>
      <c r="H11392">
        <f>_xlfn.XLOOKUP(FACT_IMPORTS[[#This Row],[hts_6]],DIM_PRODUCTS[hts_6],DIM_PRODUCTS[hts_4],,,)</f>
        <v>8511</v>
      </c>
      <c r="I11392" t="str" cm="1">
        <f t="array" ref="I11392">_xlfn.XLOOKUP(FACT_IMPORTS[[#This Row],[country_name]],DIM_COUNTRY[[#All],[Column2]],DIM_COUNTRY[[#All],[Column3]],,,)</f>
        <v>Major_Non-USMCA_Non-China</v>
      </c>
    </row>
    <row r="11393" spans="1:9" x14ac:dyDescent="0.4">
      <c r="A11393" t="s">
        <v>73</v>
      </c>
      <c r="B11393" s="1">
        <v>45231</v>
      </c>
      <c r="C11393">
        <v>851150</v>
      </c>
      <c r="D11393" t="s">
        <v>176</v>
      </c>
      <c r="E11393">
        <v>17585</v>
      </c>
      <c r="F11393">
        <v>225</v>
      </c>
      <c r="G11393">
        <v>32</v>
      </c>
      <c r="H11393">
        <f>_xlfn.XLOOKUP(FACT_IMPORTS[[#This Row],[hts_6]],DIM_PRODUCTS[hts_6],DIM_PRODUCTS[hts_4],,,)</f>
        <v>8511</v>
      </c>
      <c r="I11393" t="str" cm="1">
        <f t="array" ref="I11393">_xlfn.XLOOKUP(FACT_IMPORTS[[#This Row],[country_name]],DIM_COUNTRY[[#All],[Column2]],DIM_COUNTRY[[#All],[Column3]],,,)</f>
        <v>Major_Non-USMCA_Non-China</v>
      </c>
    </row>
    <row r="11394" spans="1:9" x14ac:dyDescent="0.4">
      <c r="A11394" t="s">
        <v>73</v>
      </c>
      <c r="B11394" s="1">
        <v>45231</v>
      </c>
      <c r="C11394">
        <v>851190</v>
      </c>
      <c r="D11394" t="s">
        <v>176</v>
      </c>
      <c r="E11394">
        <v>76334</v>
      </c>
      <c r="F11394">
        <v>7809</v>
      </c>
      <c r="G11394">
        <v>1898</v>
      </c>
      <c r="H11394">
        <f>_xlfn.XLOOKUP(FACT_IMPORTS[[#This Row],[hts_6]],DIM_PRODUCTS[hts_6],DIM_PRODUCTS[hts_4],,,)</f>
        <v>8511</v>
      </c>
      <c r="I11394" t="str" cm="1">
        <f t="array" ref="I11394">_xlfn.XLOOKUP(FACT_IMPORTS[[#This Row],[country_name]],DIM_COUNTRY[[#All],[Column2]],DIM_COUNTRY[[#All],[Column3]],,,)</f>
        <v>Major_Non-USMCA_Non-China</v>
      </c>
    </row>
    <row r="11395" spans="1:9" x14ac:dyDescent="0.4">
      <c r="A11395" t="s">
        <v>73</v>
      </c>
      <c r="B11395" s="1">
        <v>45231</v>
      </c>
      <c r="C11395">
        <v>851220</v>
      </c>
      <c r="D11395" t="s">
        <v>176</v>
      </c>
      <c r="E11395">
        <v>9593521</v>
      </c>
      <c r="F11395">
        <v>972816</v>
      </c>
      <c r="G11395">
        <v>101646</v>
      </c>
      <c r="H11395">
        <f>_xlfn.XLOOKUP(FACT_IMPORTS[[#This Row],[hts_6]],DIM_PRODUCTS[hts_6],DIM_PRODUCTS[hts_4],,,)</f>
        <v>8512</v>
      </c>
      <c r="I11395" t="str" cm="1">
        <f t="array" ref="I11395">_xlfn.XLOOKUP(FACT_IMPORTS[[#This Row],[country_name]],DIM_COUNTRY[[#All],[Column2]],DIM_COUNTRY[[#All],[Column3]],,,)</f>
        <v>Major_Non-USMCA_Non-China</v>
      </c>
    </row>
    <row r="11396" spans="1:9" x14ac:dyDescent="0.4">
      <c r="A11396" t="s">
        <v>73</v>
      </c>
      <c r="B11396" s="1">
        <v>45231</v>
      </c>
      <c r="C11396">
        <v>851240</v>
      </c>
      <c r="D11396" t="s">
        <v>176</v>
      </c>
      <c r="E11396">
        <v>92563</v>
      </c>
      <c r="F11396">
        <v>4076</v>
      </c>
      <c r="G11396">
        <v>5077</v>
      </c>
      <c r="H11396">
        <f>_xlfn.XLOOKUP(FACT_IMPORTS[[#This Row],[hts_6]],DIM_PRODUCTS[hts_6],DIM_PRODUCTS[hts_4],,,)</f>
        <v>8512</v>
      </c>
      <c r="I11396" t="str" cm="1">
        <f t="array" ref="I11396">_xlfn.XLOOKUP(FACT_IMPORTS[[#This Row],[country_name]],DIM_COUNTRY[[#All],[Column2]],DIM_COUNTRY[[#All],[Column3]],,,)</f>
        <v>Major_Non-USMCA_Non-China</v>
      </c>
    </row>
    <row r="11397" spans="1:9" x14ac:dyDescent="0.4">
      <c r="A11397" t="s">
        <v>73</v>
      </c>
      <c r="B11397" s="1">
        <v>45231</v>
      </c>
      <c r="C11397">
        <v>851290</v>
      </c>
      <c r="D11397" t="s">
        <v>176</v>
      </c>
      <c r="E11397">
        <v>495779</v>
      </c>
      <c r="F11397">
        <v>31008</v>
      </c>
      <c r="G11397">
        <v>12831</v>
      </c>
      <c r="H11397">
        <f>_xlfn.XLOOKUP(FACT_IMPORTS[[#This Row],[hts_6]],DIM_PRODUCTS[hts_6],DIM_PRODUCTS[hts_4],,,)</f>
        <v>8512</v>
      </c>
      <c r="I11397" t="str" cm="1">
        <f t="array" ref="I11397">_xlfn.XLOOKUP(FACT_IMPORTS[[#This Row],[country_name]],DIM_COUNTRY[[#All],[Column2]],DIM_COUNTRY[[#All],[Column3]],,,)</f>
        <v>Major_Non-USMCA_Non-China</v>
      </c>
    </row>
    <row r="11398" spans="1:9" x14ac:dyDescent="0.4">
      <c r="A11398" t="s">
        <v>73</v>
      </c>
      <c r="B11398" s="1">
        <v>45231</v>
      </c>
      <c r="C11398">
        <v>854231</v>
      </c>
      <c r="D11398" t="s">
        <v>176</v>
      </c>
      <c r="E11398">
        <v>0</v>
      </c>
      <c r="F11398">
        <v>0</v>
      </c>
      <c r="G11398">
        <v>0</v>
      </c>
      <c r="H11398">
        <f>_xlfn.XLOOKUP(FACT_IMPORTS[[#This Row],[hts_6]],DIM_PRODUCTS[hts_6],DIM_PRODUCTS[hts_4],,,)</f>
        <v>8542</v>
      </c>
      <c r="I11398" t="str" cm="1">
        <f t="array" ref="I11398">_xlfn.XLOOKUP(FACT_IMPORTS[[#This Row],[country_name]],DIM_COUNTRY[[#All],[Column2]],DIM_COUNTRY[[#All],[Column3]],,,)</f>
        <v>Major_Non-USMCA_Non-China</v>
      </c>
    </row>
    <row r="11399" spans="1:9" x14ac:dyDescent="0.4">
      <c r="A11399" t="s">
        <v>73</v>
      </c>
      <c r="B11399" s="1">
        <v>45231</v>
      </c>
      <c r="C11399">
        <v>854232</v>
      </c>
      <c r="D11399" t="s">
        <v>176</v>
      </c>
      <c r="E11399">
        <v>0</v>
      </c>
      <c r="F11399">
        <v>0</v>
      </c>
      <c r="G11399">
        <v>0</v>
      </c>
      <c r="H11399">
        <f>_xlfn.XLOOKUP(FACT_IMPORTS[[#This Row],[hts_6]],DIM_PRODUCTS[hts_6],DIM_PRODUCTS[hts_4],,,)</f>
        <v>8542</v>
      </c>
      <c r="I11399" t="str" cm="1">
        <f t="array" ref="I11399">_xlfn.XLOOKUP(FACT_IMPORTS[[#This Row],[country_name]],DIM_COUNTRY[[#All],[Column2]],DIM_COUNTRY[[#All],[Column3]],,,)</f>
        <v>Major_Non-USMCA_Non-China</v>
      </c>
    </row>
    <row r="11400" spans="1:9" x14ac:dyDescent="0.4">
      <c r="A11400" t="s">
        <v>73</v>
      </c>
      <c r="B11400" s="1">
        <v>45231</v>
      </c>
      <c r="C11400">
        <v>854239</v>
      </c>
      <c r="D11400" t="s">
        <v>176</v>
      </c>
      <c r="E11400">
        <v>0</v>
      </c>
      <c r="F11400">
        <v>0</v>
      </c>
      <c r="G11400">
        <v>0</v>
      </c>
      <c r="H11400">
        <f>_xlfn.XLOOKUP(FACT_IMPORTS[[#This Row],[hts_6]],DIM_PRODUCTS[hts_6],DIM_PRODUCTS[hts_4],,,)</f>
        <v>8542</v>
      </c>
      <c r="I11400" t="str" cm="1">
        <f t="array" ref="I11400">_xlfn.XLOOKUP(FACT_IMPORTS[[#This Row],[country_name]],DIM_COUNTRY[[#All],[Column2]],DIM_COUNTRY[[#All],[Column3]],,,)</f>
        <v>Major_Non-USMCA_Non-China</v>
      </c>
    </row>
    <row r="11401" spans="1:9" x14ac:dyDescent="0.4">
      <c r="A11401" t="s">
        <v>73</v>
      </c>
      <c r="B11401" s="1">
        <v>45231</v>
      </c>
      <c r="C11401">
        <v>854430</v>
      </c>
      <c r="D11401" t="s">
        <v>176</v>
      </c>
      <c r="E11401">
        <v>54846</v>
      </c>
      <c r="F11401">
        <v>4031</v>
      </c>
      <c r="G11401">
        <v>417</v>
      </c>
      <c r="H11401">
        <f>_xlfn.XLOOKUP(FACT_IMPORTS[[#This Row],[hts_6]],DIM_PRODUCTS[hts_6],DIM_PRODUCTS[hts_4],,,)</f>
        <v>8544</v>
      </c>
      <c r="I11401" t="str" cm="1">
        <f t="array" ref="I11401">_xlfn.XLOOKUP(FACT_IMPORTS[[#This Row],[country_name]],DIM_COUNTRY[[#All],[Column2]],DIM_COUNTRY[[#All],[Column3]],,,)</f>
        <v>Major_Non-USMCA_Non-China</v>
      </c>
    </row>
    <row r="11402" spans="1:9" x14ac:dyDescent="0.4">
      <c r="A11402" t="s">
        <v>73</v>
      </c>
      <c r="B11402" s="1">
        <v>45231</v>
      </c>
      <c r="C11402">
        <v>870810</v>
      </c>
      <c r="D11402" t="s">
        <v>176</v>
      </c>
      <c r="E11402">
        <v>405010</v>
      </c>
      <c r="F11402">
        <v>15753</v>
      </c>
      <c r="G11402">
        <v>2189</v>
      </c>
      <c r="H11402">
        <f>_xlfn.XLOOKUP(FACT_IMPORTS[[#This Row],[hts_6]],DIM_PRODUCTS[hts_6],DIM_PRODUCTS[hts_4],,,)</f>
        <v>8708</v>
      </c>
      <c r="I11402" t="str" cm="1">
        <f t="array" ref="I11402">_xlfn.XLOOKUP(FACT_IMPORTS[[#This Row],[country_name]],DIM_COUNTRY[[#All],[Column2]],DIM_COUNTRY[[#All],[Column3]],,,)</f>
        <v>Major_Non-USMCA_Non-China</v>
      </c>
    </row>
    <row r="11403" spans="1:9" x14ac:dyDescent="0.4">
      <c r="A11403" t="s">
        <v>73</v>
      </c>
      <c r="B11403" s="1">
        <v>45231</v>
      </c>
      <c r="C11403">
        <v>870821</v>
      </c>
      <c r="D11403" t="s">
        <v>176</v>
      </c>
      <c r="E11403">
        <v>0</v>
      </c>
      <c r="F11403">
        <v>0</v>
      </c>
      <c r="G11403">
        <v>0</v>
      </c>
      <c r="H11403">
        <f>_xlfn.XLOOKUP(FACT_IMPORTS[[#This Row],[hts_6]],DIM_PRODUCTS[hts_6],DIM_PRODUCTS[hts_4],,,)</f>
        <v>8708</v>
      </c>
      <c r="I11403" t="str" cm="1">
        <f t="array" ref="I11403">_xlfn.XLOOKUP(FACT_IMPORTS[[#This Row],[country_name]],DIM_COUNTRY[[#All],[Column2]],DIM_COUNTRY[[#All],[Column3]],,,)</f>
        <v>Major_Non-USMCA_Non-China</v>
      </c>
    </row>
    <row r="11404" spans="1:9" x14ac:dyDescent="0.4">
      <c r="A11404" t="s">
        <v>73</v>
      </c>
      <c r="B11404" s="1">
        <v>45231</v>
      </c>
      <c r="C11404">
        <v>870822</v>
      </c>
      <c r="D11404" t="s">
        <v>176</v>
      </c>
      <c r="E11404">
        <v>61288</v>
      </c>
      <c r="F11404">
        <v>264</v>
      </c>
      <c r="G11404">
        <v>81</v>
      </c>
      <c r="H11404">
        <f>_xlfn.XLOOKUP(FACT_IMPORTS[[#This Row],[hts_6]],DIM_PRODUCTS[hts_6],DIM_PRODUCTS[hts_4],,,)</f>
        <v>8708</v>
      </c>
      <c r="I11404" t="str" cm="1">
        <f t="array" ref="I11404">_xlfn.XLOOKUP(FACT_IMPORTS[[#This Row],[country_name]],DIM_COUNTRY[[#All],[Column2]],DIM_COUNTRY[[#All],[Column3]],,,)</f>
        <v>Major_Non-USMCA_Non-China</v>
      </c>
    </row>
    <row r="11405" spans="1:9" x14ac:dyDescent="0.4">
      <c r="A11405" t="s">
        <v>73</v>
      </c>
      <c r="B11405" s="1">
        <v>45231</v>
      </c>
      <c r="C11405">
        <v>870829</v>
      </c>
      <c r="D11405" t="s">
        <v>176</v>
      </c>
      <c r="E11405">
        <v>5532339</v>
      </c>
      <c r="F11405">
        <v>3324703</v>
      </c>
      <c r="G11405">
        <v>140941</v>
      </c>
      <c r="H11405">
        <f>_xlfn.XLOOKUP(FACT_IMPORTS[[#This Row],[hts_6]],DIM_PRODUCTS[hts_6],DIM_PRODUCTS[hts_4],,,)</f>
        <v>8708</v>
      </c>
      <c r="I11405" t="str" cm="1">
        <f t="array" ref="I11405">_xlfn.XLOOKUP(FACT_IMPORTS[[#This Row],[country_name]],DIM_COUNTRY[[#All],[Column2]],DIM_COUNTRY[[#All],[Column3]],,,)</f>
        <v>Major_Non-USMCA_Non-China</v>
      </c>
    </row>
    <row r="11406" spans="1:9" x14ac:dyDescent="0.4">
      <c r="A11406" t="s">
        <v>73</v>
      </c>
      <c r="B11406" s="1">
        <v>45231</v>
      </c>
      <c r="C11406">
        <v>870830</v>
      </c>
      <c r="D11406" t="s">
        <v>176</v>
      </c>
      <c r="E11406">
        <v>83941</v>
      </c>
      <c r="F11406">
        <v>8692</v>
      </c>
      <c r="G11406">
        <v>804</v>
      </c>
      <c r="H11406">
        <f>_xlfn.XLOOKUP(FACT_IMPORTS[[#This Row],[hts_6]],DIM_PRODUCTS[hts_6],DIM_PRODUCTS[hts_4],,,)</f>
        <v>8708</v>
      </c>
      <c r="I11406" t="str" cm="1">
        <f t="array" ref="I11406">_xlfn.XLOOKUP(FACT_IMPORTS[[#This Row],[country_name]],DIM_COUNTRY[[#All],[Column2]],DIM_COUNTRY[[#All],[Column3]],,,)</f>
        <v>Major_Non-USMCA_Non-China</v>
      </c>
    </row>
    <row r="11407" spans="1:9" x14ac:dyDescent="0.4">
      <c r="A11407" t="s">
        <v>73</v>
      </c>
      <c r="B11407" s="1">
        <v>45231</v>
      </c>
      <c r="C11407">
        <v>870840</v>
      </c>
      <c r="D11407" t="s">
        <v>176</v>
      </c>
      <c r="E11407">
        <v>3582423</v>
      </c>
      <c r="F11407">
        <v>383833</v>
      </c>
      <c r="G11407">
        <v>84340</v>
      </c>
      <c r="H11407">
        <f>_xlfn.XLOOKUP(FACT_IMPORTS[[#This Row],[hts_6]],DIM_PRODUCTS[hts_6],DIM_PRODUCTS[hts_4],,,)</f>
        <v>8708</v>
      </c>
      <c r="I11407" t="str" cm="1">
        <f t="array" ref="I11407">_xlfn.XLOOKUP(FACT_IMPORTS[[#This Row],[country_name]],DIM_COUNTRY[[#All],[Column2]],DIM_COUNTRY[[#All],[Column3]],,,)</f>
        <v>Major_Non-USMCA_Non-China</v>
      </c>
    </row>
    <row r="11408" spans="1:9" x14ac:dyDescent="0.4">
      <c r="A11408" t="s">
        <v>73</v>
      </c>
      <c r="B11408" s="1">
        <v>45231</v>
      </c>
      <c r="C11408">
        <v>870850</v>
      </c>
      <c r="D11408" t="s">
        <v>176</v>
      </c>
      <c r="E11408">
        <v>15270971</v>
      </c>
      <c r="F11408">
        <v>1058517</v>
      </c>
      <c r="G11408">
        <v>495392</v>
      </c>
      <c r="H11408">
        <f>_xlfn.XLOOKUP(FACT_IMPORTS[[#This Row],[hts_6]],DIM_PRODUCTS[hts_6],DIM_PRODUCTS[hts_4],,,)</f>
        <v>8708</v>
      </c>
      <c r="I11408" t="str" cm="1">
        <f t="array" ref="I11408">_xlfn.XLOOKUP(FACT_IMPORTS[[#This Row],[country_name]],DIM_COUNTRY[[#All],[Column2]],DIM_COUNTRY[[#All],[Column3]],,,)</f>
        <v>Major_Non-USMCA_Non-China</v>
      </c>
    </row>
    <row r="11409" spans="1:9" x14ac:dyDescent="0.4">
      <c r="A11409" t="s">
        <v>73</v>
      </c>
      <c r="B11409" s="1">
        <v>45231</v>
      </c>
      <c r="C11409">
        <v>870870</v>
      </c>
      <c r="D11409" t="s">
        <v>176</v>
      </c>
      <c r="E11409">
        <v>1982394</v>
      </c>
      <c r="F11409">
        <v>31959</v>
      </c>
      <c r="G11409">
        <v>95665</v>
      </c>
      <c r="H11409">
        <f>_xlfn.XLOOKUP(FACT_IMPORTS[[#This Row],[hts_6]],DIM_PRODUCTS[hts_6],DIM_PRODUCTS[hts_4],,,)</f>
        <v>8708</v>
      </c>
      <c r="I11409" t="str" cm="1">
        <f t="array" ref="I11409">_xlfn.XLOOKUP(FACT_IMPORTS[[#This Row],[country_name]],DIM_COUNTRY[[#All],[Column2]],DIM_COUNTRY[[#All],[Column3]],,,)</f>
        <v>Major_Non-USMCA_Non-China</v>
      </c>
    </row>
    <row r="11410" spans="1:9" x14ac:dyDescent="0.4">
      <c r="A11410" t="s">
        <v>73</v>
      </c>
      <c r="B11410" s="1">
        <v>45231</v>
      </c>
      <c r="C11410">
        <v>870880</v>
      </c>
      <c r="D11410" t="s">
        <v>176</v>
      </c>
      <c r="E11410">
        <v>3228525</v>
      </c>
      <c r="F11410">
        <v>749254</v>
      </c>
      <c r="G11410">
        <v>72889</v>
      </c>
      <c r="H11410">
        <f>_xlfn.XLOOKUP(FACT_IMPORTS[[#This Row],[hts_6]],DIM_PRODUCTS[hts_6],DIM_PRODUCTS[hts_4],,,)</f>
        <v>8708</v>
      </c>
      <c r="I11410" t="str" cm="1">
        <f t="array" ref="I11410">_xlfn.XLOOKUP(FACT_IMPORTS[[#This Row],[country_name]],DIM_COUNTRY[[#All],[Column2]],DIM_COUNTRY[[#All],[Column3]],,,)</f>
        <v>Major_Non-USMCA_Non-China</v>
      </c>
    </row>
    <row r="11411" spans="1:9" x14ac:dyDescent="0.4">
      <c r="A11411" t="s">
        <v>73</v>
      </c>
      <c r="B11411" s="1">
        <v>45231</v>
      </c>
      <c r="C11411">
        <v>870891</v>
      </c>
      <c r="D11411" t="s">
        <v>176</v>
      </c>
      <c r="E11411">
        <v>39692</v>
      </c>
      <c r="F11411">
        <v>1378</v>
      </c>
      <c r="G11411">
        <v>59</v>
      </c>
      <c r="H11411">
        <f>_xlfn.XLOOKUP(FACT_IMPORTS[[#This Row],[hts_6]],DIM_PRODUCTS[hts_6],DIM_PRODUCTS[hts_4],,,)</f>
        <v>8708</v>
      </c>
      <c r="I11411" t="str" cm="1">
        <f t="array" ref="I11411">_xlfn.XLOOKUP(FACT_IMPORTS[[#This Row],[country_name]],DIM_COUNTRY[[#All],[Column2]],DIM_COUNTRY[[#All],[Column3]],,,)</f>
        <v>Major_Non-USMCA_Non-China</v>
      </c>
    </row>
    <row r="11412" spans="1:9" x14ac:dyDescent="0.4">
      <c r="A11412" t="s">
        <v>73</v>
      </c>
      <c r="B11412" s="1">
        <v>45231</v>
      </c>
      <c r="C11412">
        <v>870892</v>
      </c>
      <c r="D11412" t="s">
        <v>176</v>
      </c>
      <c r="E11412">
        <v>0</v>
      </c>
      <c r="F11412">
        <v>0</v>
      </c>
      <c r="G11412">
        <v>0</v>
      </c>
      <c r="H11412">
        <f>_xlfn.XLOOKUP(FACT_IMPORTS[[#This Row],[hts_6]],DIM_PRODUCTS[hts_6],DIM_PRODUCTS[hts_4],,,)</f>
        <v>8708</v>
      </c>
      <c r="I11412" t="str" cm="1">
        <f t="array" ref="I11412">_xlfn.XLOOKUP(FACT_IMPORTS[[#This Row],[country_name]],DIM_COUNTRY[[#All],[Column2]],DIM_COUNTRY[[#All],[Column3]],,,)</f>
        <v>Major_Non-USMCA_Non-China</v>
      </c>
    </row>
    <row r="11413" spans="1:9" x14ac:dyDescent="0.4">
      <c r="A11413" t="s">
        <v>73</v>
      </c>
      <c r="B11413" s="1">
        <v>45231</v>
      </c>
      <c r="C11413">
        <v>870893</v>
      </c>
      <c r="D11413" t="s">
        <v>176</v>
      </c>
      <c r="E11413">
        <v>490674</v>
      </c>
      <c r="F11413">
        <v>30255</v>
      </c>
      <c r="G11413">
        <v>3706</v>
      </c>
      <c r="H11413">
        <f>_xlfn.XLOOKUP(FACT_IMPORTS[[#This Row],[hts_6]],DIM_PRODUCTS[hts_6],DIM_PRODUCTS[hts_4],,,)</f>
        <v>8708</v>
      </c>
      <c r="I11413" t="str" cm="1">
        <f t="array" ref="I11413">_xlfn.XLOOKUP(FACT_IMPORTS[[#This Row],[country_name]],DIM_COUNTRY[[#All],[Column2]],DIM_COUNTRY[[#All],[Column3]],,,)</f>
        <v>Major_Non-USMCA_Non-China</v>
      </c>
    </row>
    <row r="11414" spans="1:9" x14ac:dyDescent="0.4">
      <c r="A11414" t="s">
        <v>73</v>
      </c>
      <c r="B11414" s="1">
        <v>45231</v>
      </c>
      <c r="C11414">
        <v>870894</v>
      </c>
      <c r="D11414" t="s">
        <v>176</v>
      </c>
      <c r="E11414">
        <v>1203542</v>
      </c>
      <c r="F11414">
        <v>153423</v>
      </c>
      <c r="G11414">
        <v>38693</v>
      </c>
      <c r="H11414">
        <f>_xlfn.XLOOKUP(FACT_IMPORTS[[#This Row],[hts_6]],DIM_PRODUCTS[hts_6],DIM_PRODUCTS[hts_4],,,)</f>
        <v>8708</v>
      </c>
      <c r="I11414" t="str" cm="1">
        <f t="array" ref="I11414">_xlfn.XLOOKUP(FACT_IMPORTS[[#This Row],[country_name]],DIM_COUNTRY[[#All],[Column2]],DIM_COUNTRY[[#All],[Column3]],,,)</f>
        <v>Major_Non-USMCA_Non-China</v>
      </c>
    </row>
    <row r="11415" spans="1:9" x14ac:dyDescent="0.4">
      <c r="A11415" t="s">
        <v>73</v>
      </c>
      <c r="B11415" s="1">
        <v>45231</v>
      </c>
      <c r="C11415">
        <v>870895</v>
      </c>
      <c r="D11415" t="s">
        <v>176</v>
      </c>
      <c r="E11415">
        <v>0</v>
      </c>
      <c r="F11415">
        <v>0</v>
      </c>
      <c r="G11415">
        <v>0</v>
      </c>
      <c r="H11415">
        <f>_xlfn.XLOOKUP(FACT_IMPORTS[[#This Row],[hts_6]],DIM_PRODUCTS[hts_6],DIM_PRODUCTS[hts_4],,,)</f>
        <v>8708</v>
      </c>
      <c r="I11415" t="str" cm="1">
        <f t="array" ref="I11415">_xlfn.XLOOKUP(FACT_IMPORTS[[#This Row],[country_name]],DIM_COUNTRY[[#All],[Column2]],DIM_COUNTRY[[#All],[Column3]],,,)</f>
        <v>Major_Non-USMCA_Non-China</v>
      </c>
    </row>
    <row r="11416" spans="1:9" x14ac:dyDescent="0.4">
      <c r="A11416" t="s">
        <v>73</v>
      </c>
      <c r="B11416" s="1">
        <v>45231</v>
      </c>
      <c r="C11416">
        <v>870899</v>
      </c>
      <c r="D11416" t="s">
        <v>176</v>
      </c>
      <c r="E11416">
        <v>16995760</v>
      </c>
      <c r="F11416">
        <v>3572976</v>
      </c>
      <c r="G11416">
        <v>498640</v>
      </c>
      <c r="H11416">
        <f>_xlfn.XLOOKUP(FACT_IMPORTS[[#This Row],[hts_6]],DIM_PRODUCTS[hts_6],DIM_PRODUCTS[hts_4],,,)</f>
        <v>8708</v>
      </c>
      <c r="I11416" t="str" cm="1">
        <f t="array" ref="I11416">_xlfn.XLOOKUP(FACT_IMPORTS[[#This Row],[country_name]],DIM_COUNTRY[[#All],[Column2]],DIM_COUNTRY[[#All],[Column3]],,,)</f>
        <v>Major_Non-USMCA_Non-China</v>
      </c>
    </row>
    <row r="11417" spans="1:9" x14ac:dyDescent="0.4">
      <c r="A11417" t="s">
        <v>73</v>
      </c>
      <c r="B11417" s="1">
        <v>45231</v>
      </c>
      <c r="C11417">
        <v>940120</v>
      </c>
      <c r="D11417" t="s">
        <v>176</v>
      </c>
      <c r="E11417">
        <v>0</v>
      </c>
      <c r="F11417">
        <v>0</v>
      </c>
      <c r="G11417">
        <v>0</v>
      </c>
      <c r="H11417">
        <f>_xlfn.XLOOKUP(FACT_IMPORTS[[#This Row],[hts_6]],DIM_PRODUCTS[hts_6],DIM_PRODUCTS[hts_4],,,)</f>
        <v>9401</v>
      </c>
      <c r="I11417" t="str" cm="1">
        <f t="array" ref="I11417">_xlfn.XLOOKUP(FACT_IMPORTS[[#This Row],[country_name]],DIM_COUNTRY[[#All],[Column2]],DIM_COUNTRY[[#All],[Column3]],,,)</f>
        <v>Major_Non-USMCA_Non-China</v>
      </c>
    </row>
    <row r="11418" spans="1:9" x14ac:dyDescent="0.4">
      <c r="A11418" t="s">
        <v>73</v>
      </c>
      <c r="B11418" s="1">
        <v>45261</v>
      </c>
      <c r="C11418">
        <v>392630</v>
      </c>
      <c r="D11418" t="s">
        <v>176</v>
      </c>
      <c r="E11418">
        <v>215445</v>
      </c>
      <c r="F11418">
        <v>9712</v>
      </c>
      <c r="G11418">
        <v>16148</v>
      </c>
      <c r="H11418">
        <f>_xlfn.XLOOKUP(FACT_IMPORTS[[#This Row],[hts_6]],DIM_PRODUCTS[hts_6],DIM_PRODUCTS[hts_4],,,)</f>
        <v>3926</v>
      </c>
      <c r="I11418" t="str" cm="1">
        <f t="array" ref="I11418">_xlfn.XLOOKUP(FACT_IMPORTS[[#This Row],[country_name]],DIM_COUNTRY[[#All],[Column2]],DIM_COUNTRY[[#All],[Column3]],,,)</f>
        <v>Major_Non-USMCA_Non-China</v>
      </c>
    </row>
    <row r="11419" spans="1:9" x14ac:dyDescent="0.4">
      <c r="A11419" t="s">
        <v>73</v>
      </c>
      <c r="B11419" s="1">
        <v>45261</v>
      </c>
      <c r="C11419">
        <v>401110</v>
      </c>
      <c r="D11419" t="s">
        <v>176</v>
      </c>
      <c r="E11419">
        <v>2406572</v>
      </c>
      <c r="F11419">
        <v>40031</v>
      </c>
      <c r="G11419">
        <v>377013</v>
      </c>
      <c r="H11419">
        <f>_xlfn.XLOOKUP(FACT_IMPORTS[[#This Row],[hts_6]],DIM_PRODUCTS[hts_6],DIM_PRODUCTS[hts_4],,,)</f>
        <v>4011</v>
      </c>
      <c r="I11419" t="str" cm="1">
        <f t="array" ref="I11419">_xlfn.XLOOKUP(FACT_IMPORTS[[#This Row],[country_name]],DIM_COUNTRY[[#All],[Column2]],DIM_COUNTRY[[#All],[Column3]],,,)</f>
        <v>Major_Non-USMCA_Non-China</v>
      </c>
    </row>
    <row r="11420" spans="1:9" x14ac:dyDescent="0.4">
      <c r="A11420" t="s">
        <v>73</v>
      </c>
      <c r="B11420" s="1">
        <v>45261</v>
      </c>
      <c r="C11420">
        <v>401120</v>
      </c>
      <c r="D11420" t="s">
        <v>176</v>
      </c>
      <c r="E11420">
        <v>30930</v>
      </c>
      <c r="F11420">
        <v>360</v>
      </c>
      <c r="G11420">
        <v>3681</v>
      </c>
      <c r="H11420">
        <f>_xlfn.XLOOKUP(FACT_IMPORTS[[#This Row],[hts_6]],DIM_PRODUCTS[hts_6],DIM_PRODUCTS[hts_4],,,)</f>
        <v>4011</v>
      </c>
      <c r="I11420" t="str" cm="1">
        <f t="array" ref="I11420">_xlfn.XLOOKUP(FACT_IMPORTS[[#This Row],[country_name]],DIM_COUNTRY[[#All],[Column2]],DIM_COUNTRY[[#All],[Column3]],,,)</f>
        <v>Major_Non-USMCA_Non-China</v>
      </c>
    </row>
    <row r="11421" spans="1:9" x14ac:dyDescent="0.4">
      <c r="A11421" t="s">
        <v>73</v>
      </c>
      <c r="B11421" s="1">
        <v>45261</v>
      </c>
      <c r="C11421">
        <v>401190</v>
      </c>
      <c r="D11421" t="s">
        <v>176</v>
      </c>
      <c r="E11421">
        <v>848</v>
      </c>
      <c r="F11421">
        <v>4</v>
      </c>
      <c r="G11421">
        <v>300</v>
      </c>
      <c r="H11421">
        <f>_xlfn.XLOOKUP(FACT_IMPORTS[[#This Row],[hts_6]],DIM_PRODUCTS[hts_6],DIM_PRODUCTS[hts_4],,,)</f>
        <v>4011</v>
      </c>
      <c r="I11421" t="str" cm="1">
        <f t="array" ref="I11421">_xlfn.XLOOKUP(FACT_IMPORTS[[#This Row],[country_name]],DIM_COUNTRY[[#All],[Column2]],DIM_COUNTRY[[#All],[Column3]],,,)</f>
        <v>Major_Non-USMCA_Non-China</v>
      </c>
    </row>
    <row r="11422" spans="1:9" x14ac:dyDescent="0.4">
      <c r="A11422" t="s">
        <v>73</v>
      </c>
      <c r="B11422" s="1">
        <v>45261</v>
      </c>
      <c r="C11422">
        <v>700910</v>
      </c>
      <c r="D11422" t="s">
        <v>176</v>
      </c>
      <c r="E11422">
        <v>36921</v>
      </c>
      <c r="F11422">
        <v>519</v>
      </c>
      <c r="G11422">
        <v>10023</v>
      </c>
      <c r="H11422">
        <f>_xlfn.XLOOKUP(FACT_IMPORTS[[#This Row],[hts_6]],DIM_PRODUCTS[hts_6],DIM_PRODUCTS[hts_4],,,)</f>
        <v>7009</v>
      </c>
      <c r="I11422" t="str" cm="1">
        <f t="array" ref="I11422">_xlfn.XLOOKUP(FACT_IMPORTS[[#This Row],[country_name]],DIM_COUNTRY[[#All],[Column2]],DIM_COUNTRY[[#All],[Column3]],,,)</f>
        <v>Major_Non-USMCA_Non-China</v>
      </c>
    </row>
    <row r="11423" spans="1:9" x14ac:dyDescent="0.4">
      <c r="A11423" t="s">
        <v>73</v>
      </c>
      <c r="B11423" s="1">
        <v>45261</v>
      </c>
      <c r="C11423">
        <v>830230</v>
      </c>
      <c r="D11423" t="s">
        <v>176</v>
      </c>
      <c r="E11423">
        <v>1976605</v>
      </c>
      <c r="F11423">
        <v>269306</v>
      </c>
      <c r="G11423">
        <v>26868</v>
      </c>
      <c r="H11423">
        <f>_xlfn.XLOOKUP(FACT_IMPORTS[[#This Row],[hts_6]],DIM_PRODUCTS[hts_6],DIM_PRODUCTS[hts_4],,,)</f>
        <v>8302</v>
      </c>
      <c r="I11423" t="str" cm="1">
        <f t="array" ref="I11423">_xlfn.XLOOKUP(FACT_IMPORTS[[#This Row],[country_name]],DIM_COUNTRY[[#All],[Column2]],DIM_COUNTRY[[#All],[Column3]],,,)</f>
        <v>Major_Non-USMCA_Non-China</v>
      </c>
    </row>
    <row r="11424" spans="1:9" x14ac:dyDescent="0.4">
      <c r="A11424" t="s">
        <v>73</v>
      </c>
      <c r="B11424" s="1">
        <v>45261</v>
      </c>
      <c r="C11424">
        <v>840734</v>
      </c>
      <c r="D11424" t="s">
        <v>176</v>
      </c>
      <c r="E11424">
        <v>244848</v>
      </c>
      <c r="F11424">
        <v>35</v>
      </c>
      <c r="G11424">
        <v>247</v>
      </c>
      <c r="H11424">
        <f>_xlfn.XLOOKUP(FACT_IMPORTS[[#This Row],[hts_6]],DIM_PRODUCTS[hts_6],DIM_PRODUCTS[hts_4],,,)</f>
        <v>8407</v>
      </c>
      <c r="I11424" t="str" cm="1">
        <f t="array" ref="I11424">_xlfn.XLOOKUP(FACT_IMPORTS[[#This Row],[country_name]],DIM_COUNTRY[[#All],[Column2]],DIM_COUNTRY[[#All],[Column3]],,,)</f>
        <v>Major_Non-USMCA_Non-China</v>
      </c>
    </row>
    <row r="11425" spans="1:9" x14ac:dyDescent="0.4">
      <c r="A11425" t="s">
        <v>73</v>
      </c>
      <c r="B11425" s="1">
        <v>45261</v>
      </c>
      <c r="C11425">
        <v>840820</v>
      </c>
      <c r="D11425" t="s">
        <v>176</v>
      </c>
      <c r="E11425">
        <v>0</v>
      </c>
      <c r="F11425">
        <v>0</v>
      </c>
      <c r="G11425">
        <v>0</v>
      </c>
      <c r="H11425">
        <f>_xlfn.XLOOKUP(FACT_IMPORTS[[#This Row],[hts_6]],DIM_PRODUCTS[hts_6],DIM_PRODUCTS[hts_4],,,)</f>
        <v>8408</v>
      </c>
      <c r="I11425" t="str" cm="1">
        <f t="array" ref="I11425">_xlfn.XLOOKUP(FACT_IMPORTS[[#This Row],[country_name]],DIM_COUNTRY[[#All],[Column2]],DIM_COUNTRY[[#All],[Column3]],,,)</f>
        <v>Major_Non-USMCA_Non-China</v>
      </c>
    </row>
    <row r="11426" spans="1:9" x14ac:dyDescent="0.4">
      <c r="A11426" t="s">
        <v>73</v>
      </c>
      <c r="B11426" s="1">
        <v>45261</v>
      </c>
      <c r="C11426">
        <v>840890</v>
      </c>
      <c r="D11426" t="s">
        <v>176</v>
      </c>
      <c r="E11426">
        <v>0</v>
      </c>
      <c r="F11426">
        <v>0</v>
      </c>
      <c r="G11426">
        <v>0</v>
      </c>
      <c r="H11426">
        <f>_xlfn.XLOOKUP(FACT_IMPORTS[[#This Row],[hts_6]],DIM_PRODUCTS[hts_6],DIM_PRODUCTS[hts_4],,,)</f>
        <v>8408</v>
      </c>
      <c r="I11426" t="str" cm="1">
        <f t="array" ref="I11426">_xlfn.XLOOKUP(FACT_IMPORTS[[#This Row],[country_name]],DIM_COUNTRY[[#All],[Column2]],DIM_COUNTRY[[#All],[Column3]],,,)</f>
        <v>Major_Non-USMCA_Non-China</v>
      </c>
    </row>
    <row r="11427" spans="1:9" x14ac:dyDescent="0.4">
      <c r="A11427" t="s">
        <v>73</v>
      </c>
      <c r="B11427" s="1">
        <v>45261</v>
      </c>
      <c r="C11427">
        <v>840991</v>
      </c>
      <c r="D11427" t="s">
        <v>176</v>
      </c>
      <c r="E11427">
        <v>5287793</v>
      </c>
      <c r="F11427">
        <v>437305</v>
      </c>
      <c r="G11427">
        <v>85290</v>
      </c>
      <c r="H11427">
        <f>_xlfn.XLOOKUP(FACT_IMPORTS[[#This Row],[hts_6]],DIM_PRODUCTS[hts_6],DIM_PRODUCTS[hts_4],,,)</f>
        <v>8409</v>
      </c>
      <c r="I11427" t="str" cm="1">
        <f t="array" ref="I11427">_xlfn.XLOOKUP(FACT_IMPORTS[[#This Row],[country_name]],DIM_COUNTRY[[#All],[Column2]],DIM_COUNTRY[[#All],[Column3]],,,)</f>
        <v>Major_Non-USMCA_Non-China</v>
      </c>
    </row>
    <row r="11428" spans="1:9" x14ac:dyDescent="0.4">
      <c r="A11428" t="s">
        <v>73</v>
      </c>
      <c r="B11428" s="1">
        <v>45261</v>
      </c>
      <c r="C11428">
        <v>840999</v>
      </c>
      <c r="D11428" t="s">
        <v>176</v>
      </c>
      <c r="E11428">
        <v>90494</v>
      </c>
      <c r="F11428">
        <v>6453</v>
      </c>
      <c r="G11428">
        <v>2113</v>
      </c>
      <c r="H11428">
        <f>_xlfn.XLOOKUP(FACT_IMPORTS[[#This Row],[hts_6]],DIM_PRODUCTS[hts_6],DIM_PRODUCTS[hts_4],,,)</f>
        <v>8409</v>
      </c>
      <c r="I11428" t="str" cm="1">
        <f t="array" ref="I11428">_xlfn.XLOOKUP(FACT_IMPORTS[[#This Row],[country_name]],DIM_COUNTRY[[#All],[Column2]],DIM_COUNTRY[[#All],[Column3]],,,)</f>
        <v>Major_Non-USMCA_Non-China</v>
      </c>
    </row>
    <row r="11429" spans="1:9" x14ac:dyDescent="0.4">
      <c r="A11429" t="s">
        <v>73</v>
      </c>
      <c r="B11429" s="1">
        <v>45261</v>
      </c>
      <c r="C11429">
        <v>841330</v>
      </c>
      <c r="D11429" t="s">
        <v>176</v>
      </c>
      <c r="E11429">
        <v>3552392</v>
      </c>
      <c r="F11429">
        <v>76286</v>
      </c>
      <c r="G11429">
        <v>72207</v>
      </c>
      <c r="H11429">
        <f>_xlfn.XLOOKUP(FACT_IMPORTS[[#This Row],[hts_6]],DIM_PRODUCTS[hts_6],DIM_PRODUCTS[hts_4],,,)</f>
        <v>8413</v>
      </c>
      <c r="I11429" t="str" cm="1">
        <f t="array" ref="I11429">_xlfn.XLOOKUP(FACT_IMPORTS[[#This Row],[country_name]],DIM_COUNTRY[[#All],[Column2]],DIM_COUNTRY[[#All],[Column3]],,,)</f>
        <v>Major_Non-USMCA_Non-China</v>
      </c>
    </row>
    <row r="11430" spans="1:9" x14ac:dyDescent="0.4">
      <c r="A11430" t="s">
        <v>73</v>
      </c>
      <c r="B11430" s="1">
        <v>45261</v>
      </c>
      <c r="C11430">
        <v>842132</v>
      </c>
      <c r="D11430" t="s">
        <v>176</v>
      </c>
      <c r="E11430">
        <v>257882</v>
      </c>
      <c r="F11430">
        <v>2371</v>
      </c>
      <c r="G11430">
        <v>362</v>
      </c>
      <c r="H11430">
        <f>_xlfn.XLOOKUP(FACT_IMPORTS[[#This Row],[hts_6]],DIM_PRODUCTS[hts_6],DIM_PRODUCTS[hts_4],,,)</f>
        <v>8421</v>
      </c>
      <c r="I11430" t="str" cm="1">
        <f t="array" ref="I11430">_xlfn.XLOOKUP(FACT_IMPORTS[[#This Row],[country_name]],DIM_COUNTRY[[#All],[Column2]],DIM_COUNTRY[[#All],[Column3]],,,)</f>
        <v>Major_Non-USMCA_Non-China</v>
      </c>
    </row>
    <row r="11431" spans="1:9" x14ac:dyDescent="0.4">
      <c r="A11431" t="s">
        <v>73</v>
      </c>
      <c r="B11431" s="1">
        <v>45261</v>
      </c>
      <c r="C11431">
        <v>848210</v>
      </c>
      <c r="D11431" t="s">
        <v>176</v>
      </c>
      <c r="E11431">
        <v>377972</v>
      </c>
      <c r="F11431">
        <v>149433</v>
      </c>
      <c r="G11431">
        <v>685</v>
      </c>
      <c r="H11431">
        <f>_xlfn.XLOOKUP(FACT_IMPORTS[[#This Row],[hts_6]],DIM_PRODUCTS[hts_6],DIM_PRODUCTS[hts_4],,,)</f>
        <v>8482</v>
      </c>
      <c r="I11431" t="str" cm="1">
        <f t="array" ref="I11431">_xlfn.XLOOKUP(FACT_IMPORTS[[#This Row],[country_name]],DIM_COUNTRY[[#All],[Column2]],DIM_COUNTRY[[#All],[Column3]],,,)</f>
        <v>Major_Non-USMCA_Non-China</v>
      </c>
    </row>
    <row r="11432" spans="1:9" x14ac:dyDescent="0.4">
      <c r="A11432" t="s">
        <v>73</v>
      </c>
      <c r="B11432" s="1">
        <v>45261</v>
      </c>
      <c r="C11432">
        <v>848220</v>
      </c>
      <c r="D11432" t="s">
        <v>176</v>
      </c>
      <c r="E11432">
        <v>6986025</v>
      </c>
      <c r="F11432">
        <v>1733825</v>
      </c>
      <c r="G11432">
        <v>1485</v>
      </c>
      <c r="H11432">
        <f>_xlfn.XLOOKUP(FACT_IMPORTS[[#This Row],[hts_6]],DIM_PRODUCTS[hts_6],DIM_PRODUCTS[hts_4],,,)</f>
        <v>8482</v>
      </c>
      <c r="I11432" t="str" cm="1">
        <f t="array" ref="I11432">_xlfn.XLOOKUP(FACT_IMPORTS[[#This Row],[country_name]],DIM_COUNTRY[[#All],[Column2]],DIM_COUNTRY[[#All],[Column3]],,,)</f>
        <v>Major_Non-USMCA_Non-China</v>
      </c>
    </row>
    <row r="11433" spans="1:9" x14ac:dyDescent="0.4">
      <c r="A11433" t="s">
        <v>73</v>
      </c>
      <c r="B11433" s="1">
        <v>45261</v>
      </c>
      <c r="C11433">
        <v>848310</v>
      </c>
      <c r="D11433" t="s">
        <v>176</v>
      </c>
      <c r="E11433">
        <v>572100</v>
      </c>
      <c r="F11433">
        <v>13708</v>
      </c>
      <c r="G11433">
        <v>5913</v>
      </c>
      <c r="H11433">
        <f>_xlfn.XLOOKUP(FACT_IMPORTS[[#This Row],[hts_6]],DIM_PRODUCTS[hts_6],DIM_PRODUCTS[hts_4],,,)</f>
        <v>8483</v>
      </c>
      <c r="I11433" t="str" cm="1">
        <f t="array" ref="I11433">_xlfn.XLOOKUP(FACT_IMPORTS[[#This Row],[country_name]],DIM_COUNTRY[[#All],[Column2]],DIM_COUNTRY[[#All],[Column3]],,,)</f>
        <v>Major_Non-USMCA_Non-China</v>
      </c>
    </row>
    <row r="11434" spans="1:9" x14ac:dyDescent="0.4">
      <c r="A11434" t="s">
        <v>73</v>
      </c>
      <c r="B11434" s="1">
        <v>45261</v>
      </c>
      <c r="C11434">
        <v>850131</v>
      </c>
      <c r="D11434" t="s">
        <v>176</v>
      </c>
      <c r="E11434">
        <v>4956205</v>
      </c>
      <c r="F11434">
        <v>205976</v>
      </c>
      <c r="G11434">
        <v>13123</v>
      </c>
      <c r="H11434">
        <f>_xlfn.XLOOKUP(FACT_IMPORTS[[#This Row],[hts_6]],DIM_PRODUCTS[hts_6],DIM_PRODUCTS[hts_4],,,)</f>
        <v>8501</v>
      </c>
      <c r="I11434" t="str" cm="1">
        <f t="array" ref="I11434">_xlfn.XLOOKUP(FACT_IMPORTS[[#This Row],[country_name]],DIM_COUNTRY[[#All],[Column2]],DIM_COUNTRY[[#All],[Column3]],,,)</f>
        <v>Major_Non-USMCA_Non-China</v>
      </c>
    </row>
    <row r="11435" spans="1:9" x14ac:dyDescent="0.4">
      <c r="A11435" t="s">
        <v>73</v>
      </c>
      <c r="B11435" s="1">
        <v>45261</v>
      </c>
      <c r="C11435">
        <v>850132</v>
      </c>
      <c r="D11435" t="s">
        <v>176</v>
      </c>
      <c r="E11435">
        <v>0</v>
      </c>
      <c r="F11435">
        <v>0</v>
      </c>
      <c r="G11435">
        <v>0</v>
      </c>
      <c r="H11435">
        <f>_xlfn.XLOOKUP(FACT_IMPORTS[[#This Row],[hts_6]],DIM_PRODUCTS[hts_6],DIM_PRODUCTS[hts_4],,,)</f>
        <v>8501</v>
      </c>
      <c r="I11435" t="str" cm="1">
        <f t="array" ref="I11435">_xlfn.XLOOKUP(FACT_IMPORTS[[#This Row],[country_name]],DIM_COUNTRY[[#All],[Column2]],DIM_COUNTRY[[#All],[Column3]],,,)</f>
        <v>Major_Non-USMCA_Non-China</v>
      </c>
    </row>
    <row r="11436" spans="1:9" x14ac:dyDescent="0.4">
      <c r="A11436" t="s">
        <v>73</v>
      </c>
      <c r="B11436" s="1">
        <v>45261</v>
      </c>
      <c r="C11436">
        <v>850152</v>
      </c>
      <c r="D11436" t="s">
        <v>176</v>
      </c>
      <c r="E11436">
        <v>0</v>
      </c>
      <c r="F11436">
        <v>0</v>
      </c>
      <c r="G11436">
        <v>0</v>
      </c>
      <c r="H11436">
        <f>_xlfn.XLOOKUP(FACT_IMPORTS[[#This Row],[hts_6]],DIM_PRODUCTS[hts_6],DIM_PRODUCTS[hts_4],,,)</f>
        <v>8501</v>
      </c>
      <c r="I11436" t="str" cm="1">
        <f t="array" ref="I11436">_xlfn.XLOOKUP(FACT_IMPORTS[[#This Row],[country_name]],DIM_COUNTRY[[#All],[Column2]],DIM_COUNTRY[[#All],[Column3]],,,)</f>
        <v>Major_Non-USMCA_Non-China</v>
      </c>
    </row>
    <row r="11437" spans="1:9" x14ac:dyDescent="0.4">
      <c r="A11437" t="s">
        <v>73</v>
      </c>
      <c r="B11437" s="1">
        <v>45261</v>
      </c>
      <c r="C11437">
        <v>850153</v>
      </c>
      <c r="D11437" t="s">
        <v>176</v>
      </c>
      <c r="E11437">
        <v>1191234</v>
      </c>
      <c r="F11437">
        <v>694</v>
      </c>
      <c r="G11437">
        <v>1000</v>
      </c>
      <c r="H11437">
        <f>_xlfn.XLOOKUP(FACT_IMPORTS[[#This Row],[hts_6]],DIM_PRODUCTS[hts_6],DIM_PRODUCTS[hts_4],,,)</f>
        <v>8501</v>
      </c>
      <c r="I11437" t="str" cm="1">
        <f t="array" ref="I11437">_xlfn.XLOOKUP(FACT_IMPORTS[[#This Row],[country_name]],DIM_COUNTRY[[#All],[Column2]],DIM_COUNTRY[[#All],[Column3]],,,)</f>
        <v>Major_Non-USMCA_Non-China</v>
      </c>
    </row>
    <row r="11438" spans="1:9" x14ac:dyDescent="0.4">
      <c r="A11438" t="s">
        <v>73</v>
      </c>
      <c r="B11438" s="1">
        <v>45261</v>
      </c>
      <c r="C11438">
        <v>850440</v>
      </c>
      <c r="D11438" t="s">
        <v>176</v>
      </c>
      <c r="E11438">
        <v>22052082</v>
      </c>
      <c r="F11438">
        <v>21465</v>
      </c>
      <c r="G11438">
        <v>6059</v>
      </c>
      <c r="H11438">
        <f>_xlfn.XLOOKUP(FACT_IMPORTS[[#This Row],[hts_6]],DIM_PRODUCTS[hts_6],DIM_PRODUCTS[hts_4],,,)</f>
        <v>8504</v>
      </c>
      <c r="I11438" t="str" cm="1">
        <f t="array" ref="I11438">_xlfn.XLOOKUP(FACT_IMPORTS[[#This Row],[country_name]],DIM_COUNTRY[[#All],[Column2]],DIM_COUNTRY[[#All],[Column3]],,,)</f>
        <v>Major_Non-USMCA_Non-China</v>
      </c>
    </row>
    <row r="11439" spans="1:9" x14ac:dyDescent="0.4">
      <c r="A11439" t="s">
        <v>73</v>
      </c>
      <c r="B11439" s="1">
        <v>45261</v>
      </c>
      <c r="C11439">
        <v>850710</v>
      </c>
      <c r="D11439" t="s">
        <v>176</v>
      </c>
      <c r="E11439">
        <v>774837</v>
      </c>
      <c r="F11439">
        <v>15272</v>
      </c>
      <c r="G11439">
        <v>37257</v>
      </c>
      <c r="H11439">
        <f>_xlfn.XLOOKUP(FACT_IMPORTS[[#This Row],[hts_6]],DIM_PRODUCTS[hts_6],DIM_PRODUCTS[hts_4],,,)</f>
        <v>8507</v>
      </c>
      <c r="I11439" t="str" cm="1">
        <f t="array" ref="I11439">_xlfn.XLOOKUP(FACT_IMPORTS[[#This Row],[country_name]],DIM_COUNTRY[[#All],[Column2]],DIM_COUNTRY[[#All],[Column3]],,,)</f>
        <v>Major_Non-USMCA_Non-China</v>
      </c>
    </row>
    <row r="11440" spans="1:9" x14ac:dyDescent="0.4">
      <c r="A11440" t="s">
        <v>73</v>
      </c>
      <c r="B11440" s="1">
        <v>45261</v>
      </c>
      <c r="C11440">
        <v>850760</v>
      </c>
      <c r="D11440" t="s">
        <v>176</v>
      </c>
      <c r="E11440">
        <v>61699</v>
      </c>
      <c r="F11440">
        <v>1515</v>
      </c>
      <c r="G11440">
        <v>886</v>
      </c>
      <c r="H11440">
        <f>_xlfn.XLOOKUP(FACT_IMPORTS[[#This Row],[hts_6]],DIM_PRODUCTS[hts_6],DIM_PRODUCTS[hts_4],,,)</f>
        <v>8507</v>
      </c>
      <c r="I11440" t="str" cm="1">
        <f t="array" ref="I11440">_xlfn.XLOOKUP(FACT_IMPORTS[[#This Row],[country_name]],DIM_COUNTRY[[#All],[Column2]],DIM_COUNTRY[[#All],[Column3]],,,)</f>
        <v>Major_Non-USMCA_Non-China</v>
      </c>
    </row>
    <row r="11441" spans="1:9" x14ac:dyDescent="0.4">
      <c r="A11441" t="s">
        <v>73</v>
      </c>
      <c r="B11441" s="1">
        <v>45261</v>
      </c>
      <c r="C11441">
        <v>850790</v>
      </c>
      <c r="D11441" t="s">
        <v>176</v>
      </c>
      <c r="E11441">
        <v>14767564</v>
      </c>
      <c r="F11441">
        <v>330975</v>
      </c>
      <c r="G11441">
        <v>29679</v>
      </c>
      <c r="H11441">
        <f>_xlfn.XLOOKUP(FACT_IMPORTS[[#This Row],[hts_6]],DIM_PRODUCTS[hts_6],DIM_PRODUCTS[hts_4],,,)</f>
        <v>8507</v>
      </c>
      <c r="I11441" t="str" cm="1">
        <f t="array" ref="I11441">_xlfn.XLOOKUP(FACT_IMPORTS[[#This Row],[country_name]],DIM_COUNTRY[[#All],[Column2]],DIM_COUNTRY[[#All],[Column3]],,,)</f>
        <v>Major_Non-USMCA_Non-China</v>
      </c>
    </row>
    <row r="11442" spans="1:9" x14ac:dyDescent="0.4">
      <c r="A11442" t="s">
        <v>73</v>
      </c>
      <c r="B11442" s="1">
        <v>45261</v>
      </c>
      <c r="C11442">
        <v>851110</v>
      </c>
      <c r="D11442" t="s">
        <v>176</v>
      </c>
      <c r="E11442">
        <v>0</v>
      </c>
      <c r="F11442">
        <v>0</v>
      </c>
      <c r="G11442">
        <v>0</v>
      </c>
      <c r="H11442">
        <f>_xlfn.XLOOKUP(FACT_IMPORTS[[#This Row],[hts_6]],DIM_PRODUCTS[hts_6],DIM_PRODUCTS[hts_4],,,)</f>
        <v>8511</v>
      </c>
      <c r="I11442" t="str" cm="1">
        <f t="array" ref="I11442">_xlfn.XLOOKUP(FACT_IMPORTS[[#This Row],[country_name]],DIM_COUNTRY[[#All],[Column2]],DIM_COUNTRY[[#All],[Column3]],,,)</f>
        <v>Major_Non-USMCA_Non-China</v>
      </c>
    </row>
    <row r="11443" spans="1:9" x14ac:dyDescent="0.4">
      <c r="A11443" t="s">
        <v>73</v>
      </c>
      <c r="B11443" s="1">
        <v>45261</v>
      </c>
      <c r="C11443">
        <v>851130</v>
      </c>
      <c r="D11443" t="s">
        <v>176</v>
      </c>
      <c r="E11443">
        <v>69169</v>
      </c>
      <c r="F11443">
        <v>1895</v>
      </c>
      <c r="G11443">
        <v>200</v>
      </c>
      <c r="H11443">
        <f>_xlfn.XLOOKUP(FACT_IMPORTS[[#This Row],[hts_6]],DIM_PRODUCTS[hts_6],DIM_PRODUCTS[hts_4],,,)</f>
        <v>8511</v>
      </c>
      <c r="I11443" t="str" cm="1">
        <f t="array" ref="I11443">_xlfn.XLOOKUP(FACT_IMPORTS[[#This Row],[country_name]],DIM_COUNTRY[[#All],[Column2]],DIM_COUNTRY[[#All],[Column3]],,,)</f>
        <v>Major_Non-USMCA_Non-China</v>
      </c>
    </row>
    <row r="11444" spans="1:9" x14ac:dyDescent="0.4">
      <c r="A11444" t="s">
        <v>73</v>
      </c>
      <c r="B11444" s="1">
        <v>45261</v>
      </c>
      <c r="C11444">
        <v>851140</v>
      </c>
      <c r="D11444" t="s">
        <v>176</v>
      </c>
      <c r="E11444">
        <v>2268392</v>
      </c>
      <c r="F11444">
        <v>7304</v>
      </c>
      <c r="G11444">
        <v>1258</v>
      </c>
      <c r="H11444">
        <f>_xlfn.XLOOKUP(FACT_IMPORTS[[#This Row],[hts_6]],DIM_PRODUCTS[hts_6],DIM_PRODUCTS[hts_4],,,)</f>
        <v>8511</v>
      </c>
      <c r="I11444" t="str" cm="1">
        <f t="array" ref="I11444">_xlfn.XLOOKUP(FACT_IMPORTS[[#This Row],[country_name]],DIM_COUNTRY[[#All],[Column2]],DIM_COUNTRY[[#All],[Column3]],,,)</f>
        <v>Major_Non-USMCA_Non-China</v>
      </c>
    </row>
    <row r="11445" spans="1:9" x14ac:dyDescent="0.4">
      <c r="A11445" t="s">
        <v>73</v>
      </c>
      <c r="B11445" s="1">
        <v>45261</v>
      </c>
      <c r="C11445">
        <v>851150</v>
      </c>
      <c r="D11445" t="s">
        <v>176</v>
      </c>
      <c r="E11445">
        <v>120951</v>
      </c>
      <c r="F11445">
        <v>1296</v>
      </c>
      <c r="G11445">
        <v>262</v>
      </c>
      <c r="H11445">
        <f>_xlfn.XLOOKUP(FACT_IMPORTS[[#This Row],[hts_6]],DIM_PRODUCTS[hts_6],DIM_PRODUCTS[hts_4],,,)</f>
        <v>8511</v>
      </c>
      <c r="I11445" t="str" cm="1">
        <f t="array" ref="I11445">_xlfn.XLOOKUP(FACT_IMPORTS[[#This Row],[country_name]],DIM_COUNTRY[[#All],[Column2]],DIM_COUNTRY[[#All],[Column3]],,,)</f>
        <v>Major_Non-USMCA_Non-China</v>
      </c>
    </row>
    <row r="11446" spans="1:9" x14ac:dyDescent="0.4">
      <c r="A11446" t="s">
        <v>73</v>
      </c>
      <c r="B11446" s="1">
        <v>45261</v>
      </c>
      <c r="C11446">
        <v>851190</v>
      </c>
      <c r="D11446" t="s">
        <v>176</v>
      </c>
      <c r="E11446">
        <v>106107</v>
      </c>
      <c r="F11446">
        <v>10589</v>
      </c>
      <c r="G11446">
        <v>2781</v>
      </c>
      <c r="H11446">
        <f>_xlfn.XLOOKUP(FACT_IMPORTS[[#This Row],[hts_6]],DIM_PRODUCTS[hts_6],DIM_PRODUCTS[hts_4],,,)</f>
        <v>8511</v>
      </c>
      <c r="I11446" t="str" cm="1">
        <f t="array" ref="I11446">_xlfn.XLOOKUP(FACT_IMPORTS[[#This Row],[country_name]],DIM_COUNTRY[[#All],[Column2]],DIM_COUNTRY[[#All],[Column3]],,,)</f>
        <v>Major_Non-USMCA_Non-China</v>
      </c>
    </row>
    <row r="11447" spans="1:9" x14ac:dyDescent="0.4">
      <c r="A11447" t="s">
        <v>73</v>
      </c>
      <c r="B11447" s="1">
        <v>45261</v>
      </c>
      <c r="C11447">
        <v>851220</v>
      </c>
      <c r="D11447" t="s">
        <v>176</v>
      </c>
      <c r="E11447">
        <v>14526520</v>
      </c>
      <c r="F11447">
        <v>1712027</v>
      </c>
      <c r="G11447">
        <v>300090</v>
      </c>
      <c r="H11447">
        <f>_xlfn.XLOOKUP(FACT_IMPORTS[[#This Row],[hts_6]],DIM_PRODUCTS[hts_6],DIM_PRODUCTS[hts_4],,,)</f>
        <v>8512</v>
      </c>
      <c r="I11447" t="str" cm="1">
        <f t="array" ref="I11447">_xlfn.XLOOKUP(FACT_IMPORTS[[#This Row],[country_name]],DIM_COUNTRY[[#All],[Column2]],DIM_COUNTRY[[#All],[Column3]],,,)</f>
        <v>Major_Non-USMCA_Non-China</v>
      </c>
    </row>
    <row r="11448" spans="1:9" x14ac:dyDescent="0.4">
      <c r="A11448" t="s">
        <v>73</v>
      </c>
      <c r="B11448" s="1">
        <v>45261</v>
      </c>
      <c r="C11448">
        <v>851240</v>
      </c>
      <c r="D11448" t="s">
        <v>176</v>
      </c>
      <c r="E11448">
        <v>23359</v>
      </c>
      <c r="F11448">
        <v>1092</v>
      </c>
      <c r="G11448">
        <v>1</v>
      </c>
      <c r="H11448">
        <f>_xlfn.XLOOKUP(FACT_IMPORTS[[#This Row],[hts_6]],DIM_PRODUCTS[hts_6],DIM_PRODUCTS[hts_4],,,)</f>
        <v>8512</v>
      </c>
      <c r="I11448" t="str" cm="1">
        <f t="array" ref="I11448">_xlfn.XLOOKUP(FACT_IMPORTS[[#This Row],[country_name]],DIM_COUNTRY[[#All],[Column2]],DIM_COUNTRY[[#All],[Column3]],,,)</f>
        <v>Major_Non-USMCA_Non-China</v>
      </c>
    </row>
    <row r="11449" spans="1:9" x14ac:dyDescent="0.4">
      <c r="A11449" t="s">
        <v>73</v>
      </c>
      <c r="B11449" s="1">
        <v>45261</v>
      </c>
      <c r="C11449">
        <v>851290</v>
      </c>
      <c r="D11449" t="s">
        <v>176</v>
      </c>
      <c r="E11449">
        <v>287764</v>
      </c>
      <c r="F11449">
        <v>16948</v>
      </c>
      <c r="G11449">
        <v>10069</v>
      </c>
      <c r="H11449">
        <f>_xlfn.XLOOKUP(FACT_IMPORTS[[#This Row],[hts_6]],DIM_PRODUCTS[hts_6],DIM_PRODUCTS[hts_4],,,)</f>
        <v>8512</v>
      </c>
      <c r="I11449" t="str" cm="1">
        <f t="array" ref="I11449">_xlfn.XLOOKUP(FACT_IMPORTS[[#This Row],[country_name]],DIM_COUNTRY[[#All],[Column2]],DIM_COUNTRY[[#All],[Column3]],,,)</f>
        <v>Major_Non-USMCA_Non-China</v>
      </c>
    </row>
    <row r="11450" spans="1:9" x14ac:dyDescent="0.4">
      <c r="A11450" t="s">
        <v>73</v>
      </c>
      <c r="B11450" s="1">
        <v>45261</v>
      </c>
      <c r="C11450">
        <v>854231</v>
      </c>
      <c r="D11450" t="s">
        <v>176</v>
      </c>
      <c r="E11450">
        <v>0</v>
      </c>
      <c r="F11450">
        <v>0</v>
      </c>
      <c r="G11450">
        <v>0</v>
      </c>
      <c r="H11450">
        <f>_xlfn.XLOOKUP(FACT_IMPORTS[[#This Row],[hts_6]],DIM_PRODUCTS[hts_6],DIM_PRODUCTS[hts_4],,,)</f>
        <v>8542</v>
      </c>
      <c r="I11450" t="str" cm="1">
        <f t="array" ref="I11450">_xlfn.XLOOKUP(FACT_IMPORTS[[#This Row],[country_name]],DIM_COUNTRY[[#All],[Column2]],DIM_COUNTRY[[#All],[Column3]],,,)</f>
        <v>Major_Non-USMCA_Non-China</v>
      </c>
    </row>
    <row r="11451" spans="1:9" x14ac:dyDescent="0.4">
      <c r="A11451" t="s">
        <v>73</v>
      </c>
      <c r="B11451" s="1">
        <v>45261</v>
      </c>
      <c r="C11451">
        <v>854232</v>
      </c>
      <c r="D11451" t="s">
        <v>176</v>
      </c>
      <c r="E11451">
        <v>0</v>
      </c>
      <c r="F11451">
        <v>0</v>
      </c>
      <c r="G11451">
        <v>0</v>
      </c>
      <c r="H11451">
        <f>_xlfn.XLOOKUP(FACT_IMPORTS[[#This Row],[hts_6]],DIM_PRODUCTS[hts_6],DIM_PRODUCTS[hts_4],,,)</f>
        <v>8542</v>
      </c>
      <c r="I11451" t="str" cm="1">
        <f t="array" ref="I11451">_xlfn.XLOOKUP(FACT_IMPORTS[[#This Row],[country_name]],DIM_COUNTRY[[#All],[Column2]],DIM_COUNTRY[[#All],[Column3]],,,)</f>
        <v>Major_Non-USMCA_Non-China</v>
      </c>
    </row>
    <row r="11452" spans="1:9" x14ac:dyDescent="0.4">
      <c r="A11452" t="s">
        <v>73</v>
      </c>
      <c r="B11452" s="1">
        <v>45261</v>
      </c>
      <c r="C11452">
        <v>854239</v>
      </c>
      <c r="D11452" t="s">
        <v>176</v>
      </c>
      <c r="E11452">
        <v>763797</v>
      </c>
      <c r="F11452">
        <v>200292</v>
      </c>
      <c r="G11452">
        <v>73479</v>
      </c>
      <c r="H11452">
        <f>_xlfn.XLOOKUP(FACT_IMPORTS[[#This Row],[hts_6]],DIM_PRODUCTS[hts_6],DIM_PRODUCTS[hts_4],,,)</f>
        <v>8542</v>
      </c>
      <c r="I11452" t="str" cm="1">
        <f t="array" ref="I11452">_xlfn.XLOOKUP(FACT_IMPORTS[[#This Row],[country_name]],DIM_COUNTRY[[#All],[Column2]],DIM_COUNTRY[[#All],[Column3]],,,)</f>
        <v>Major_Non-USMCA_Non-China</v>
      </c>
    </row>
    <row r="11453" spans="1:9" x14ac:dyDescent="0.4">
      <c r="A11453" t="s">
        <v>73</v>
      </c>
      <c r="B11453" s="1">
        <v>45261</v>
      </c>
      <c r="C11453">
        <v>854430</v>
      </c>
      <c r="D11453" t="s">
        <v>176</v>
      </c>
      <c r="E11453">
        <v>496376</v>
      </c>
      <c r="F11453">
        <v>660</v>
      </c>
      <c r="G11453">
        <v>1078</v>
      </c>
      <c r="H11453">
        <f>_xlfn.XLOOKUP(FACT_IMPORTS[[#This Row],[hts_6]],DIM_PRODUCTS[hts_6],DIM_PRODUCTS[hts_4],,,)</f>
        <v>8544</v>
      </c>
      <c r="I11453" t="str" cm="1">
        <f t="array" ref="I11453">_xlfn.XLOOKUP(FACT_IMPORTS[[#This Row],[country_name]],DIM_COUNTRY[[#All],[Column2]],DIM_COUNTRY[[#All],[Column3]],,,)</f>
        <v>Major_Non-USMCA_Non-China</v>
      </c>
    </row>
    <row r="11454" spans="1:9" x14ac:dyDescent="0.4">
      <c r="A11454" t="s">
        <v>73</v>
      </c>
      <c r="B11454" s="1">
        <v>45261</v>
      </c>
      <c r="C11454">
        <v>870810</v>
      </c>
      <c r="D11454" t="s">
        <v>176</v>
      </c>
      <c r="E11454">
        <v>1407010</v>
      </c>
      <c r="F11454">
        <v>91376</v>
      </c>
      <c r="G11454">
        <v>6903</v>
      </c>
      <c r="H11454">
        <f>_xlfn.XLOOKUP(FACT_IMPORTS[[#This Row],[hts_6]],DIM_PRODUCTS[hts_6],DIM_PRODUCTS[hts_4],,,)</f>
        <v>8708</v>
      </c>
      <c r="I11454" t="str" cm="1">
        <f t="array" ref="I11454">_xlfn.XLOOKUP(FACT_IMPORTS[[#This Row],[country_name]],DIM_COUNTRY[[#All],[Column2]],DIM_COUNTRY[[#All],[Column3]],,,)</f>
        <v>Major_Non-USMCA_Non-China</v>
      </c>
    </row>
    <row r="11455" spans="1:9" x14ac:dyDescent="0.4">
      <c r="A11455" t="s">
        <v>73</v>
      </c>
      <c r="B11455" s="1">
        <v>45261</v>
      </c>
      <c r="C11455">
        <v>870821</v>
      </c>
      <c r="D11455" t="s">
        <v>176</v>
      </c>
      <c r="E11455">
        <v>0</v>
      </c>
      <c r="F11455">
        <v>0</v>
      </c>
      <c r="G11455">
        <v>0</v>
      </c>
      <c r="H11455">
        <f>_xlfn.XLOOKUP(FACT_IMPORTS[[#This Row],[hts_6]],DIM_PRODUCTS[hts_6],DIM_PRODUCTS[hts_4],,,)</f>
        <v>8708</v>
      </c>
      <c r="I11455" t="str" cm="1">
        <f t="array" ref="I11455">_xlfn.XLOOKUP(FACT_IMPORTS[[#This Row],[country_name]],DIM_COUNTRY[[#All],[Column2]],DIM_COUNTRY[[#All],[Column3]],,,)</f>
        <v>Major_Non-USMCA_Non-China</v>
      </c>
    </row>
    <row r="11456" spans="1:9" x14ac:dyDescent="0.4">
      <c r="A11456" t="s">
        <v>73</v>
      </c>
      <c r="B11456" s="1">
        <v>45261</v>
      </c>
      <c r="C11456">
        <v>870822</v>
      </c>
      <c r="D11456" t="s">
        <v>176</v>
      </c>
      <c r="E11456">
        <v>264512</v>
      </c>
      <c r="F11456">
        <v>1228</v>
      </c>
      <c r="G11456">
        <v>559</v>
      </c>
      <c r="H11456">
        <f>_xlfn.XLOOKUP(FACT_IMPORTS[[#This Row],[hts_6]],DIM_PRODUCTS[hts_6],DIM_PRODUCTS[hts_4],,,)</f>
        <v>8708</v>
      </c>
      <c r="I11456" t="str" cm="1">
        <f t="array" ref="I11456">_xlfn.XLOOKUP(FACT_IMPORTS[[#This Row],[country_name]],DIM_COUNTRY[[#All],[Column2]],DIM_COUNTRY[[#All],[Column3]],,,)</f>
        <v>Major_Non-USMCA_Non-China</v>
      </c>
    </row>
    <row r="11457" spans="1:9" x14ac:dyDescent="0.4">
      <c r="A11457" t="s">
        <v>73</v>
      </c>
      <c r="B11457" s="1">
        <v>45261</v>
      </c>
      <c r="C11457">
        <v>870829</v>
      </c>
      <c r="D11457" t="s">
        <v>176</v>
      </c>
      <c r="E11457">
        <v>7831456</v>
      </c>
      <c r="F11457">
        <v>2907398</v>
      </c>
      <c r="G11457">
        <v>144694</v>
      </c>
      <c r="H11457">
        <f>_xlfn.XLOOKUP(FACT_IMPORTS[[#This Row],[hts_6]],DIM_PRODUCTS[hts_6],DIM_PRODUCTS[hts_4],,,)</f>
        <v>8708</v>
      </c>
      <c r="I11457" t="str" cm="1">
        <f t="array" ref="I11457">_xlfn.XLOOKUP(FACT_IMPORTS[[#This Row],[country_name]],DIM_COUNTRY[[#All],[Column2]],DIM_COUNTRY[[#All],[Column3]],,,)</f>
        <v>Major_Non-USMCA_Non-China</v>
      </c>
    </row>
    <row r="11458" spans="1:9" x14ac:dyDescent="0.4">
      <c r="A11458" t="s">
        <v>73</v>
      </c>
      <c r="B11458" s="1">
        <v>45261</v>
      </c>
      <c r="C11458">
        <v>870830</v>
      </c>
      <c r="D11458" t="s">
        <v>176</v>
      </c>
      <c r="E11458">
        <v>284180</v>
      </c>
      <c r="F11458">
        <v>147624</v>
      </c>
      <c r="G11458">
        <v>6209</v>
      </c>
      <c r="H11458">
        <f>_xlfn.XLOOKUP(FACT_IMPORTS[[#This Row],[hts_6]],DIM_PRODUCTS[hts_6],DIM_PRODUCTS[hts_4],,,)</f>
        <v>8708</v>
      </c>
      <c r="I11458" t="str" cm="1">
        <f t="array" ref="I11458">_xlfn.XLOOKUP(FACT_IMPORTS[[#This Row],[country_name]],DIM_COUNTRY[[#All],[Column2]],DIM_COUNTRY[[#All],[Column3]],,,)</f>
        <v>Major_Non-USMCA_Non-China</v>
      </c>
    </row>
    <row r="11459" spans="1:9" x14ac:dyDescent="0.4">
      <c r="A11459" t="s">
        <v>73</v>
      </c>
      <c r="B11459" s="1">
        <v>45261</v>
      </c>
      <c r="C11459">
        <v>870840</v>
      </c>
      <c r="D11459" t="s">
        <v>176</v>
      </c>
      <c r="E11459">
        <v>4290329</v>
      </c>
      <c r="F11459">
        <v>278134</v>
      </c>
      <c r="G11459">
        <v>97467</v>
      </c>
      <c r="H11459">
        <f>_xlfn.XLOOKUP(FACT_IMPORTS[[#This Row],[hts_6]],DIM_PRODUCTS[hts_6],DIM_PRODUCTS[hts_4],,,)</f>
        <v>8708</v>
      </c>
      <c r="I11459" t="str" cm="1">
        <f t="array" ref="I11459">_xlfn.XLOOKUP(FACT_IMPORTS[[#This Row],[country_name]],DIM_COUNTRY[[#All],[Column2]],DIM_COUNTRY[[#All],[Column3]],,,)</f>
        <v>Major_Non-USMCA_Non-China</v>
      </c>
    </row>
    <row r="11460" spans="1:9" x14ac:dyDescent="0.4">
      <c r="A11460" t="s">
        <v>73</v>
      </c>
      <c r="B11460" s="1">
        <v>45261</v>
      </c>
      <c r="C11460">
        <v>870850</v>
      </c>
      <c r="D11460" t="s">
        <v>176</v>
      </c>
      <c r="E11460">
        <v>20415531</v>
      </c>
      <c r="F11460">
        <v>1612405</v>
      </c>
      <c r="G11460">
        <v>633370</v>
      </c>
      <c r="H11460">
        <f>_xlfn.XLOOKUP(FACT_IMPORTS[[#This Row],[hts_6]],DIM_PRODUCTS[hts_6],DIM_PRODUCTS[hts_4],,,)</f>
        <v>8708</v>
      </c>
      <c r="I11460" t="str" cm="1">
        <f t="array" ref="I11460">_xlfn.XLOOKUP(FACT_IMPORTS[[#This Row],[country_name]],DIM_COUNTRY[[#All],[Column2]],DIM_COUNTRY[[#All],[Column3]],,,)</f>
        <v>Major_Non-USMCA_Non-China</v>
      </c>
    </row>
    <row r="11461" spans="1:9" x14ac:dyDescent="0.4">
      <c r="A11461" t="s">
        <v>73</v>
      </c>
      <c r="B11461" s="1">
        <v>45261</v>
      </c>
      <c r="C11461">
        <v>870870</v>
      </c>
      <c r="D11461" t="s">
        <v>176</v>
      </c>
      <c r="E11461">
        <v>1338619</v>
      </c>
      <c r="F11461">
        <v>16573</v>
      </c>
      <c r="G11461">
        <v>12800</v>
      </c>
      <c r="H11461">
        <f>_xlfn.XLOOKUP(FACT_IMPORTS[[#This Row],[hts_6]],DIM_PRODUCTS[hts_6],DIM_PRODUCTS[hts_4],,,)</f>
        <v>8708</v>
      </c>
      <c r="I11461" t="str" cm="1">
        <f t="array" ref="I11461">_xlfn.XLOOKUP(FACT_IMPORTS[[#This Row],[country_name]],DIM_COUNTRY[[#All],[Column2]],DIM_COUNTRY[[#All],[Column3]],,,)</f>
        <v>Major_Non-USMCA_Non-China</v>
      </c>
    </row>
    <row r="11462" spans="1:9" x14ac:dyDescent="0.4">
      <c r="A11462" t="s">
        <v>73</v>
      </c>
      <c r="B11462" s="1">
        <v>45261</v>
      </c>
      <c r="C11462">
        <v>870880</v>
      </c>
      <c r="D11462" t="s">
        <v>176</v>
      </c>
      <c r="E11462">
        <v>3862025</v>
      </c>
      <c r="F11462">
        <v>992989</v>
      </c>
      <c r="G11462">
        <v>88464</v>
      </c>
      <c r="H11462">
        <f>_xlfn.XLOOKUP(FACT_IMPORTS[[#This Row],[hts_6]],DIM_PRODUCTS[hts_6],DIM_PRODUCTS[hts_4],,,)</f>
        <v>8708</v>
      </c>
      <c r="I11462" t="str" cm="1">
        <f t="array" ref="I11462">_xlfn.XLOOKUP(FACT_IMPORTS[[#This Row],[country_name]],DIM_COUNTRY[[#All],[Column2]],DIM_COUNTRY[[#All],[Column3]],,,)</f>
        <v>Major_Non-USMCA_Non-China</v>
      </c>
    </row>
    <row r="11463" spans="1:9" x14ac:dyDescent="0.4">
      <c r="A11463" t="s">
        <v>73</v>
      </c>
      <c r="B11463" s="1">
        <v>45261</v>
      </c>
      <c r="C11463">
        <v>870891</v>
      </c>
      <c r="D11463" t="s">
        <v>176</v>
      </c>
      <c r="E11463">
        <v>131281</v>
      </c>
      <c r="F11463">
        <v>605</v>
      </c>
      <c r="G11463">
        <v>348</v>
      </c>
      <c r="H11463">
        <f>_xlfn.XLOOKUP(FACT_IMPORTS[[#This Row],[hts_6]],DIM_PRODUCTS[hts_6],DIM_PRODUCTS[hts_4],,,)</f>
        <v>8708</v>
      </c>
      <c r="I11463" t="str" cm="1">
        <f t="array" ref="I11463">_xlfn.XLOOKUP(FACT_IMPORTS[[#This Row],[country_name]],DIM_COUNTRY[[#All],[Column2]],DIM_COUNTRY[[#All],[Column3]],,,)</f>
        <v>Major_Non-USMCA_Non-China</v>
      </c>
    </row>
    <row r="11464" spans="1:9" x14ac:dyDescent="0.4">
      <c r="A11464" t="s">
        <v>73</v>
      </c>
      <c r="B11464" s="1">
        <v>45261</v>
      </c>
      <c r="C11464">
        <v>870892</v>
      </c>
      <c r="D11464" t="s">
        <v>176</v>
      </c>
      <c r="E11464">
        <v>216881</v>
      </c>
      <c r="F11464">
        <v>720</v>
      </c>
      <c r="G11464">
        <v>428</v>
      </c>
      <c r="H11464">
        <f>_xlfn.XLOOKUP(FACT_IMPORTS[[#This Row],[hts_6]],DIM_PRODUCTS[hts_6],DIM_PRODUCTS[hts_4],,,)</f>
        <v>8708</v>
      </c>
      <c r="I11464" t="str" cm="1">
        <f t="array" ref="I11464">_xlfn.XLOOKUP(FACT_IMPORTS[[#This Row],[country_name]],DIM_COUNTRY[[#All],[Column2]],DIM_COUNTRY[[#All],[Column3]],,,)</f>
        <v>Major_Non-USMCA_Non-China</v>
      </c>
    </row>
    <row r="11465" spans="1:9" x14ac:dyDescent="0.4">
      <c r="A11465" t="s">
        <v>73</v>
      </c>
      <c r="B11465" s="1">
        <v>45261</v>
      </c>
      <c r="C11465">
        <v>870893</v>
      </c>
      <c r="D11465" t="s">
        <v>176</v>
      </c>
      <c r="E11465">
        <v>1450202</v>
      </c>
      <c r="F11465">
        <v>117297</v>
      </c>
      <c r="G11465">
        <v>13942</v>
      </c>
      <c r="H11465">
        <f>_xlfn.XLOOKUP(FACT_IMPORTS[[#This Row],[hts_6]],DIM_PRODUCTS[hts_6],DIM_PRODUCTS[hts_4],,,)</f>
        <v>8708</v>
      </c>
      <c r="I11465" t="str" cm="1">
        <f t="array" ref="I11465">_xlfn.XLOOKUP(FACT_IMPORTS[[#This Row],[country_name]],DIM_COUNTRY[[#All],[Column2]],DIM_COUNTRY[[#All],[Column3]],,,)</f>
        <v>Major_Non-USMCA_Non-China</v>
      </c>
    </row>
    <row r="11466" spans="1:9" x14ac:dyDescent="0.4">
      <c r="A11466" t="s">
        <v>73</v>
      </c>
      <c r="B11466" s="1">
        <v>45261</v>
      </c>
      <c r="C11466">
        <v>870894</v>
      </c>
      <c r="D11466" t="s">
        <v>176</v>
      </c>
      <c r="E11466">
        <v>1387082</v>
      </c>
      <c r="F11466">
        <v>153999</v>
      </c>
      <c r="G11466">
        <v>35812</v>
      </c>
      <c r="H11466">
        <f>_xlfn.XLOOKUP(FACT_IMPORTS[[#This Row],[hts_6]],DIM_PRODUCTS[hts_6],DIM_PRODUCTS[hts_4],,,)</f>
        <v>8708</v>
      </c>
      <c r="I11466" t="str" cm="1">
        <f t="array" ref="I11466">_xlfn.XLOOKUP(FACT_IMPORTS[[#This Row],[country_name]],DIM_COUNTRY[[#All],[Column2]],DIM_COUNTRY[[#All],[Column3]],,,)</f>
        <v>Major_Non-USMCA_Non-China</v>
      </c>
    </row>
    <row r="11467" spans="1:9" x14ac:dyDescent="0.4">
      <c r="A11467" t="s">
        <v>73</v>
      </c>
      <c r="B11467" s="1">
        <v>45261</v>
      </c>
      <c r="C11467">
        <v>870895</v>
      </c>
      <c r="D11467" t="s">
        <v>176</v>
      </c>
      <c r="E11467">
        <v>6770</v>
      </c>
      <c r="F11467">
        <v>109</v>
      </c>
      <c r="G11467">
        <v>2500</v>
      </c>
      <c r="H11467">
        <f>_xlfn.XLOOKUP(FACT_IMPORTS[[#This Row],[hts_6]],DIM_PRODUCTS[hts_6],DIM_PRODUCTS[hts_4],,,)</f>
        <v>8708</v>
      </c>
      <c r="I11467" t="str" cm="1">
        <f t="array" ref="I11467">_xlfn.XLOOKUP(FACT_IMPORTS[[#This Row],[country_name]],DIM_COUNTRY[[#All],[Column2]],DIM_COUNTRY[[#All],[Column3]],,,)</f>
        <v>Major_Non-USMCA_Non-China</v>
      </c>
    </row>
    <row r="11468" spans="1:9" x14ac:dyDescent="0.4">
      <c r="A11468" t="s">
        <v>73</v>
      </c>
      <c r="B11468" s="1">
        <v>45261</v>
      </c>
      <c r="C11468">
        <v>870899</v>
      </c>
      <c r="D11468" t="s">
        <v>176</v>
      </c>
      <c r="E11468">
        <v>20776211</v>
      </c>
      <c r="F11468">
        <v>3589555</v>
      </c>
      <c r="G11468">
        <v>646855</v>
      </c>
      <c r="H11468">
        <f>_xlfn.XLOOKUP(FACT_IMPORTS[[#This Row],[hts_6]],DIM_PRODUCTS[hts_6],DIM_PRODUCTS[hts_4],,,)</f>
        <v>8708</v>
      </c>
      <c r="I11468" t="str" cm="1">
        <f t="array" ref="I11468">_xlfn.XLOOKUP(FACT_IMPORTS[[#This Row],[country_name]],DIM_COUNTRY[[#All],[Column2]],DIM_COUNTRY[[#All],[Column3]],,,)</f>
        <v>Major_Non-USMCA_Non-China</v>
      </c>
    </row>
    <row r="11469" spans="1:9" x14ac:dyDescent="0.4">
      <c r="A11469" t="s">
        <v>73</v>
      </c>
      <c r="B11469" s="1">
        <v>45261</v>
      </c>
      <c r="C11469">
        <v>940120</v>
      </c>
      <c r="D11469" t="s">
        <v>176</v>
      </c>
      <c r="E11469">
        <v>1456</v>
      </c>
      <c r="F11469">
        <v>2</v>
      </c>
      <c r="G11469">
        <v>1</v>
      </c>
      <c r="H11469">
        <f>_xlfn.XLOOKUP(FACT_IMPORTS[[#This Row],[hts_6]],DIM_PRODUCTS[hts_6],DIM_PRODUCTS[hts_4],,,)</f>
        <v>9401</v>
      </c>
      <c r="I11469" t="str" cm="1">
        <f t="array" ref="I11469">_xlfn.XLOOKUP(FACT_IMPORTS[[#This Row],[country_name]],DIM_COUNTRY[[#All],[Column2]],DIM_COUNTRY[[#All],[Column3]],,,)</f>
        <v>Major_Non-USMCA_Non-China</v>
      </c>
    </row>
    <row r="11470" spans="1:9" x14ac:dyDescent="0.4">
      <c r="A11470" t="s">
        <v>73</v>
      </c>
      <c r="B11470" s="1">
        <v>45292</v>
      </c>
      <c r="C11470">
        <v>392630</v>
      </c>
      <c r="D11470" t="s">
        <v>176</v>
      </c>
      <c r="E11470">
        <v>453753</v>
      </c>
      <c r="F11470">
        <v>27926</v>
      </c>
      <c r="G11470">
        <v>28547</v>
      </c>
      <c r="H11470">
        <f>_xlfn.XLOOKUP(FACT_IMPORTS[[#This Row],[hts_6]],DIM_PRODUCTS[hts_6],DIM_PRODUCTS[hts_4],,,)</f>
        <v>3926</v>
      </c>
      <c r="I11470" t="str" cm="1">
        <f t="array" ref="I11470">_xlfn.XLOOKUP(FACT_IMPORTS[[#This Row],[country_name]],DIM_COUNTRY[[#All],[Column2]],DIM_COUNTRY[[#All],[Column3]],,,)</f>
        <v>Major_Non-USMCA_Non-China</v>
      </c>
    </row>
    <row r="11471" spans="1:9" x14ac:dyDescent="0.4">
      <c r="A11471" t="s">
        <v>73</v>
      </c>
      <c r="B11471" s="1">
        <v>45292</v>
      </c>
      <c r="C11471">
        <v>401110</v>
      </c>
      <c r="D11471" t="s">
        <v>176</v>
      </c>
      <c r="E11471">
        <v>3630517</v>
      </c>
      <c r="F11471">
        <v>57903</v>
      </c>
      <c r="G11471">
        <v>605412</v>
      </c>
      <c r="H11471">
        <f>_xlfn.XLOOKUP(FACT_IMPORTS[[#This Row],[hts_6]],DIM_PRODUCTS[hts_6],DIM_PRODUCTS[hts_4],,,)</f>
        <v>4011</v>
      </c>
      <c r="I11471" t="str" cm="1">
        <f t="array" ref="I11471">_xlfn.XLOOKUP(FACT_IMPORTS[[#This Row],[country_name]],DIM_COUNTRY[[#All],[Column2]],DIM_COUNTRY[[#All],[Column3]],,,)</f>
        <v>Major_Non-USMCA_Non-China</v>
      </c>
    </row>
    <row r="11472" spans="1:9" x14ac:dyDescent="0.4">
      <c r="A11472" t="s">
        <v>73</v>
      </c>
      <c r="B11472" s="1">
        <v>45292</v>
      </c>
      <c r="C11472">
        <v>401120</v>
      </c>
      <c r="D11472" t="s">
        <v>176</v>
      </c>
      <c r="E11472">
        <v>157988</v>
      </c>
      <c r="F11472">
        <v>2028</v>
      </c>
      <c r="G11472">
        <v>21869</v>
      </c>
      <c r="H11472">
        <f>_xlfn.XLOOKUP(FACT_IMPORTS[[#This Row],[hts_6]],DIM_PRODUCTS[hts_6],DIM_PRODUCTS[hts_4],,,)</f>
        <v>4011</v>
      </c>
      <c r="I11472" t="str" cm="1">
        <f t="array" ref="I11472">_xlfn.XLOOKUP(FACT_IMPORTS[[#This Row],[country_name]],DIM_COUNTRY[[#All],[Column2]],DIM_COUNTRY[[#All],[Column3]],,,)</f>
        <v>Major_Non-USMCA_Non-China</v>
      </c>
    </row>
    <row r="11473" spans="1:9" x14ac:dyDescent="0.4">
      <c r="A11473" t="s">
        <v>73</v>
      </c>
      <c r="B11473" s="1">
        <v>45292</v>
      </c>
      <c r="C11473">
        <v>401190</v>
      </c>
      <c r="D11473" t="s">
        <v>176</v>
      </c>
      <c r="E11473">
        <v>3477</v>
      </c>
      <c r="F11473">
        <v>12</v>
      </c>
      <c r="G11473">
        <v>61</v>
      </c>
      <c r="H11473">
        <f>_xlfn.XLOOKUP(FACT_IMPORTS[[#This Row],[hts_6]],DIM_PRODUCTS[hts_6],DIM_PRODUCTS[hts_4],,,)</f>
        <v>4011</v>
      </c>
      <c r="I11473" t="str" cm="1">
        <f t="array" ref="I11473">_xlfn.XLOOKUP(FACT_IMPORTS[[#This Row],[country_name]],DIM_COUNTRY[[#All],[Column2]],DIM_COUNTRY[[#All],[Column3]],,,)</f>
        <v>Major_Non-USMCA_Non-China</v>
      </c>
    </row>
    <row r="11474" spans="1:9" x14ac:dyDescent="0.4">
      <c r="A11474" t="s">
        <v>73</v>
      </c>
      <c r="B11474" s="1">
        <v>45292</v>
      </c>
      <c r="C11474">
        <v>700711</v>
      </c>
      <c r="D11474" t="s">
        <v>176</v>
      </c>
      <c r="E11474">
        <v>0</v>
      </c>
      <c r="F11474">
        <v>0</v>
      </c>
      <c r="G11474">
        <v>0</v>
      </c>
      <c r="H11474">
        <f>_xlfn.XLOOKUP(FACT_IMPORTS[[#This Row],[hts_6]],DIM_PRODUCTS[hts_6],DIM_PRODUCTS[hts_4],,,)</f>
        <v>7007</v>
      </c>
      <c r="I11474" t="str" cm="1">
        <f t="array" ref="I11474">_xlfn.XLOOKUP(FACT_IMPORTS[[#This Row],[country_name]],DIM_COUNTRY[[#All],[Column2]],DIM_COUNTRY[[#All],[Column3]],,,)</f>
        <v>Major_Non-USMCA_Non-China</v>
      </c>
    </row>
    <row r="11475" spans="1:9" x14ac:dyDescent="0.4">
      <c r="A11475" t="s">
        <v>73</v>
      </c>
      <c r="B11475" s="1">
        <v>45292</v>
      </c>
      <c r="C11475">
        <v>700910</v>
      </c>
      <c r="D11475" t="s">
        <v>176</v>
      </c>
      <c r="E11475">
        <v>34821</v>
      </c>
      <c r="F11475">
        <v>302</v>
      </c>
      <c r="G11475">
        <v>34</v>
      </c>
      <c r="H11475">
        <f>_xlfn.XLOOKUP(FACT_IMPORTS[[#This Row],[hts_6]],DIM_PRODUCTS[hts_6],DIM_PRODUCTS[hts_4],,,)</f>
        <v>7009</v>
      </c>
      <c r="I11475" t="str" cm="1">
        <f t="array" ref="I11475">_xlfn.XLOOKUP(FACT_IMPORTS[[#This Row],[country_name]],DIM_COUNTRY[[#All],[Column2]],DIM_COUNTRY[[#All],[Column3]],,,)</f>
        <v>Major_Non-USMCA_Non-China</v>
      </c>
    </row>
    <row r="11476" spans="1:9" x14ac:dyDescent="0.4">
      <c r="A11476" t="s">
        <v>73</v>
      </c>
      <c r="B11476" s="1">
        <v>45292</v>
      </c>
      <c r="C11476">
        <v>830230</v>
      </c>
      <c r="D11476" t="s">
        <v>176</v>
      </c>
      <c r="E11476">
        <v>2561499</v>
      </c>
      <c r="F11476">
        <v>258716</v>
      </c>
      <c r="G11476">
        <v>59695</v>
      </c>
      <c r="H11476">
        <f>_xlfn.XLOOKUP(FACT_IMPORTS[[#This Row],[hts_6]],DIM_PRODUCTS[hts_6],DIM_PRODUCTS[hts_4],,,)</f>
        <v>8302</v>
      </c>
      <c r="I11476" t="str" cm="1">
        <f t="array" ref="I11476">_xlfn.XLOOKUP(FACT_IMPORTS[[#This Row],[country_name]],DIM_COUNTRY[[#All],[Column2]],DIM_COUNTRY[[#All],[Column3]],,,)</f>
        <v>Major_Non-USMCA_Non-China</v>
      </c>
    </row>
    <row r="11477" spans="1:9" x14ac:dyDescent="0.4">
      <c r="A11477" t="s">
        <v>73</v>
      </c>
      <c r="B11477" s="1">
        <v>45292</v>
      </c>
      <c r="C11477">
        <v>840734</v>
      </c>
      <c r="D11477" t="s">
        <v>176</v>
      </c>
      <c r="E11477">
        <v>0</v>
      </c>
      <c r="F11477">
        <v>0</v>
      </c>
      <c r="G11477">
        <v>0</v>
      </c>
      <c r="H11477">
        <f>_xlfn.XLOOKUP(FACT_IMPORTS[[#This Row],[hts_6]],DIM_PRODUCTS[hts_6],DIM_PRODUCTS[hts_4],,,)</f>
        <v>8407</v>
      </c>
      <c r="I11477" t="str" cm="1">
        <f t="array" ref="I11477">_xlfn.XLOOKUP(FACT_IMPORTS[[#This Row],[country_name]],DIM_COUNTRY[[#All],[Column2]],DIM_COUNTRY[[#All],[Column3]],,,)</f>
        <v>Major_Non-USMCA_Non-China</v>
      </c>
    </row>
    <row r="11478" spans="1:9" x14ac:dyDescent="0.4">
      <c r="A11478" t="s">
        <v>73</v>
      </c>
      <c r="B11478" s="1">
        <v>45292</v>
      </c>
      <c r="C11478">
        <v>840820</v>
      </c>
      <c r="D11478" t="s">
        <v>176</v>
      </c>
      <c r="E11478">
        <v>0</v>
      </c>
      <c r="F11478">
        <v>0</v>
      </c>
      <c r="G11478">
        <v>0</v>
      </c>
      <c r="H11478">
        <f>_xlfn.XLOOKUP(FACT_IMPORTS[[#This Row],[hts_6]],DIM_PRODUCTS[hts_6],DIM_PRODUCTS[hts_4],,,)</f>
        <v>8408</v>
      </c>
      <c r="I11478" t="str" cm="1">
        <f t="array" ref="I11478">_xlfn.XLOOKUP(FACT_IMPORTS[[#This Row],[country_name]],DIM_COUNTRY[[#All],[Column2]],DIM_COUNTRY[[#All],[Column3]],,,)</f>
        <v>Major_Non-USMCA_Non-China</v>
      </c>
    </row>
    <row r="11479" spans="1:9" x14ac:dyDescent="0.4">
      <c r="A11479" t="s">
        <v>73</v>
      </c>
      <c r="B11479" s="1">
        <v>45292</v>
      </c>
      <c r="C11479">
        <v>840890</v>
      </c>
      <c r="D11479" t="s">
        <v>176</v>
      </c>
      <c r="E11479">
        <v>0</v>
      </c>
      <c r="F11479">
        <v>0</v>
      </c>
      <c r="G11479">
        <v>0</v>
      </c>
      <c r="H11479">
        <f>_xlfn.XLOOKUP(FACT_IMPORTS[[#This Row],[hts_6]],DIM_PRODUCTS[hts_6],DIM_PRODUCTS[hts_4],,,)</f>
        <v>8408</v>
      </c>
      <c r="I11479" t="str" cm="1">
        <f t="array" ref="I11479">_xlfn.XLOOKUP(FACT_IMPORTS[[#This Row],[country_name]],DIM_COUNTRY[[#All],[Column2]],DIM_COUNTRY[[#All],[Column3]],,,)</f>
        <v>Major_Non-USMCA_Non-China</v>
      </c>
    </row>
    <row r="11480" spans="1:9" x14ac:dyDescent="0.4">
      <c r="A11480" t="s">
        <v>73</v>
      </c>
      <c r="B11480" s="1">
        <v>45292</v>
      </c>
      <c r="C11480">
        <v>840991</v>
      </c>
      <c r="D11480" t="s">
        <v>176</v>
      </c>
      <c r="E11480">
        <v>5008984</v>
      </c>
      <c r="F11480">
        <v>395559</v>
      </c>
      <c r="G11480">
        <v>81823</v>
      </c>
      <c r="H11480">
        <f>_xlfn.XLOOKUP(FACT_IMPORTS[[#This Row],[hts_6]],DIM_PRODUCTS[hts_6],DIM_PRODUCTS[hts_4],,,)</f>
        <v>8409</v>
      </c>
      <c r="I11480" t="str" cm="1">
        <f t="array" ref="I11480">_xlfn.XLOOKUP(FACT_IMPORTS[[#This Row],[country_name]],DIM_COUNTRY[[#All],[Column2]],DIM_COUNTRY[[#All],[Column3]],,,)</f>
        <v>Major_Non-USMCA_Non-China</v>
      </c>
    </row>
    <row r="11481" spans="1:9" x14ac:dyDescent="0.4">
      <c r="A11481" t="s">
        <v>73</v>
      </c>
      <c r="B11481" s="1">
        <v>45292</v>
      </c>
      <c r="C11481">
        <v>840999</v>
      </c>
      <c r="D11481" t="s">
        <v>176</v>
      </c>
      <c r="E11481">
        <v>272215</v>
      </c>
      <c r="F11481">
        <v>16593</v>
      </c>
      <c r="G11481">
        <v>9266</v>
      </c>
      <c r="H11481">
        <f>_xlfn.XLOOKUP(FACT_IMPORTS[[#This Row],[hts_6]],DIM_PRODUCTS[hts_6],DIM_PRODUCTS[hts_4],,,)</f>
        <v>8409</v>
      </c>
      <c r="I11481" t="str" cm="1">
        <f t="array" ref="I11481">_xlfn.XLOOKUP(FACT_IMPORTS[[#This Row],[country_name]],DIM_COUNTRY[[#All],[Column2]],DIM_COUNTRY[[#All],[Column3]],,,)</f>
        <v>Major_Non-USMCA_Non-China</v>
      </c>
    </row>
    <row r="11482" spans="1:9" x14ac:dyDescent="0.4">
      <c r="A11482" t="s">
        <v>73</v>
      </c>
      <c r="B11482" s="1">
        <v>45292</v>
      </c>
      <c r="C11482">
        <v>841330</v>
      </c>
      <c r="D11482" t="s">
        <v>176</v>
      </c>
      <c r="E11482">
        <v>3419191</v>
      </c>
      <c r="F11482">
        <v>61654</v>
      </c>
      <c r="G11482">
        <v>50920</v>
      </c>
      <c r="H11482">
        <f>_xlfn.XLOOKUP(FACT_IMPORTS[[#This Row],[hts_6]],DIM_PRODUCTS[hts_6],DIM_PRODUCTS[hts_4],,,)</f>
        <v>8413</v>
      </c>
      <c r="I11482" t="str" cm="1">
        <f t="array" ref="I11482">_xlfn.XLOOKUP(FACT_IMPORTS[[#This Row],[country_name]],DIM_COUNTRY[[#All],[Column2]],DIM_COUNTRY[[#All],[Column3]],,,)</f>
        <v>Major_Non-USMCA_Non-China</v>
      </c>
    </row>
    <row r="11483" spans="1:9" x14ac:dyDescent="0.4">
      <c r="A11483" t="s">
        <v>73</v>
      </c>
      <c r="B11483" s="1">
        <v>45292</v>
      </c>
      <c r="C11483">
        <v>842132</v>
      </c>
      <c r="D11483" t="s">
        <v>176</v>
      </c>
      <c r="E11483">
        <v>153042</v>
      </c>
      <c r="F11483">
        <v>86</v>
      </c>
      <c r="G11483">
        <v>185</v>
      </c>
      <c r="H11483">
        <f>_xlfn.XLOOKUP(FACT_IMPORTS[[#This Row],[hts_6]],DIM_PRODUCTS[hts_6],DIM_PRODUCTS[hts_4],,,)</f>
        <v>8421</v>
      </c>
      <c r="I11483" t="str" cm="1">
        <f t="array" ref="I11483">_xlfn.XLOOKUP(FACT_IMPORTS[[#This Row],[country_name]],DIM_COUNTRY[[#All],[Column2]],DIM_COUNTRY[[#All],[Column3]],,,)</f>
        <v>Major_Non-USMCA_Non-China</v>
      </c>
    </row>
    <row r="11484" spans="1:9" x14ac:dyDescent="0.4">
      <c r="A11484" t="s">
        <v>73</v>
      </c>
      <c r="B11484" s="1">
        <v>45292</v>
      </c>
      <c r="C11484">
        <v>848210</v>
      </c>
      <c r="D11484" t="s">
        <v>176</v>
      </c>
      <c r="E11484">
        <v>424427</v>
      </c>
      <c r="F11484">
        <v>176333</v>
      </c>
      <c r="G11484">
        <v>674</v>
      </c>
      <c r="H11484">
        <f>_xlfn.XLOOKUP(FACT_IMPORTS[[#This Row],[hts_6]],DIM_PRODUCTS[hts_6],DIM_PRODUCTS[hts_4],,,)</f>
        <v>8482</v>
      </c>
      <c r="I11484" t="str" cm="1">
        <f t="array" ref="I11484">_xlfn.XLOOKUP(FACT_IMPORTS[[#This Row],[country_name]],DIM_COUNTRY[[#All],[Column2]],DIM_COUNTRY[[#All],[Column3]],,,)</f>
        <v>Major_Non-USMCA_Non-China</v>
      </c>
    </row>
    <row r="11485" spans="1:9" x14ac:dyDescent="0.4">
      <c r="A11485" t="s">
        <v>73</v>
      </c>
      <c r="B11485" s="1">
        <v>45292</v>
      </c>
      <c r="C11485">
        <v>848220</v>
      </c>
      <c r="D11485" t="s">
        <v>176</v>
      </c>
      <c r="E11485">
        <v>2842027</v>
      </c>
      <c r="F11485">
        <v>730379</v>
      </c>
      <c r="G11485">
        <v>1159</v>
      </c>
      <c r="H11485">
        <f>_xlfn.XLOOKUP(FACT_IMPORTS[[#This Row],[hts_6]],DIM_PRODUCTS[hts_6],DIM_PRODUCTS[hts_4],,,)</f>
        <v>8482</v>
      </c>
      <c r="I11485" t="str" cm="1">
        <f t="array" ref="I11485">_xlfn.XLOOKUP(FACT_IMPORTS[[#This Row],[country_name]],DIM_COUNTRY[[#All],[Column2]],DIM_COUNTRY[[#All],[Column3]],,,)</f>
        <v>Major_Non-USMCA_Non-China</v>
      </c>
    </row>
    <row r="11486" spans="1:9" x14ac:dyDescent="0.4">
      <c r="A11486" t="s">
        <v>73</v>
      </c>
      <c r="B11486" s="1">
        <v>45292</v>
      </c>
      <c r="C11486">
        <v>848310</v>
      </c>
      <c r="D11486" t="s">
        <v>176</v>
      </c>
      <c r="E11486">
        <v>4347</v>
      </c>
      <c r="F11486">
        <v>63</v>
      </c>
      <c r="G11486">
        <v>4</v>
      </c>
      <c r="H11486">
        <f>_xlfn.XLOOKUP(FACT_IMPORTS[[#This Row],[hts_6]],DIM_PRODUCTS[hts_6],DIM_PRODUCTS[hts_4],,,)</f>
        <v>8483</v>
      </c>
      <c r="I11486" t="str" cm="1">
        <f t="array" ref="I11486">_xlfn.XLOOKUP(FACT_IMPORTS[[#This Row],[country_name]],DIM_COUNTRY[[#All],[Column2]],DIM_COUNTRY[[#All],[Column3]],,,)</f>
        <v>Major_Non-USMCA_Non-China</v>
      </c>
    </row>
    <row r="11487" spans="1:9" x14ac:dyDescent="0.4">
      <c r="A11487" t="s">
        <v>73</v>
      </c>
      <c r="B11487" s="1">
        <v>45292</v>
      </c>
      <c r="C11487">
        <v>850131</v>
      </c>
      <c r="D11487" t="s">
        <v>176</v>
      </c>
      <c r="E11487">
        <v>3833730</v>
      </c>
      <c r="F11487">
        <v>120421</v>
      </c>
      <c r="G11487">
        <v>1214</v>
      </c>
      <c r="H11487">
        <f>_xlfn.XLOOKUP(FACT_IMPORTS[[#This Row],[hts_6]],DIM_PRODUCTS[hts_6],DIM_PRODUCTS[hts_4],,,)</f>
        <v>8501</v>
      </c>
      <c r="I11487" t="str" cm="1">
        <f t="array" ref="I11487">_xlfn.XLOOKUP(FACT_IMPORTS[[#This Row],[country_name]],DIM_COUNTRY[[#All],[Column2]],DIM_COUNTRY[[#All],[Column3]],,,)</f>
        <v>Major_Non-USMCA_Non-China</v>
      </c>
    </row>
    <row r="11488" spans="1:9" x14ac:dyDescent="0.4">
      <c r="A11488" t="s">
        <v>73</v>
      </c>
      <c r="B11488" s="1">
        <v>45292</v>
      </c>
      <c r="C11488">
        <v>850152</v>
      </c>
      <c r="D11488" t="s">
        <v>176</v>
      </c>
      <c r="E11488">
        <v>0</v>
      </c>
      <c r="F11488">
        <v>0</v>
      </c>
      <c r="G11488">
        <v>0</v>
      </c>
      <c r="H11488">
        <f>_xlfn.XLOOKUP(FACT_IMPORTS[[#This Row],[hts_6]],DIM_PRODUCTS[hts_6],DIM_PRODUCTS[hts_4],,,)</f>
        <v>8501</v>
      </c>
      <c r="I11488" t="str" cm="1">
        <f t="array" ref="I11488">_xlfn.XLOOKUP(FACT_IMPORTS[[#This Row],[country_name]],DIM_COUNTRY[[#All],[Column2]],DIM_COUNTRY[[#All],[Column3]],,,)</f>
        <v>Major_Non-USMCA_Non-China</v>
      </c>
    </row>
    <row r="11489" spans="1:9" x14ac:dyDescent="0.4">
      <c r="A11489" t="s">
        <v>73</v>
      </c>
      <c r="B11489" s="1">
        <v>45292</v>
      </c>
      <c r="C11489">
        <v>850153</v>
      </c>
      <c r="D11489" t="s">
        <v>176</v>
      </c>
      <c r="E11489">
        <v>54936</v>
      </c>
      <c r="F11489">
        <v>28</v>
      </c>
      <c r="G11489">
        <v>408</v>
      </c>
      <c r="H11489">
        <f>_xlfn.XLOOKUP(FACT_IMPORTS[[#This Row],[hts_6]],DIM_PRODUCTS[hts_6],DIM_PRODUCTS[hts_4],,,)</f>
        <v>8501</v>
      </c>
      <c r="I11489" t="str" cm="1">
        <f t="array" ref="I11489">_xlfn.XLOOKUP(FACT_IMPORTS[[#This Row],[country_name]],DIM_COUNTRY[[#All],[Column2]],DIM_COUNTRY[[#All],[Column3]],,,)</f>
        <v>Major_Non-USMCA_Non-China</v>
      </c>
    </row>
    <row r="11490" spans="1:9" x14ac:dyDescent="0.4">
      <c r="A11490" t="s">
        <v>73</v>
      </c>
      <c r="B11490" s="1">
        <v>45292</v>
      </c>
      <c r="C11490">
        <v>850440</v>
      </c>
      <c r="D11490" t="s">
        <v>176</v>
      </c>
      <c r="E11490">
        <v>15995727</v>
      </c>
      <c r="F11490">
        <v>14146</v>
      </c>
      <c r="G11490">
        <v>2855</v>
      </c>
      <c r="H11490">
        <f>_xlfn.XLOOKUP(FACT_IMPORTS[[#This Row],[hts_6]],DIM_PRODUCTS[hts_6],DIM_PRODUCTS[hts_4],,,)</f>
        <v>8504</v>
      </c>
      <c r="I11490" t="str" cm="1">
        <f t="array" ref="I11490">_xlfn.XLOOKUP(FACT_IMPORTS[[#This Row],[country_name]],DIM_COUNTRY[[#All],[Column2]],DIM_COUNTRY[[#All],[Column3]],,,)</f>
        <v>Major_Non-USMCA_Non-China</v>
      </c>
    </row>
    <row r="11491" spans="1:9" x14ac:dyDescent="0.4">
      <c r="A11491" t="s">
        <v>73</v>
      </c>
      <c r="B11491" s="1">
        <v>45292</v>
      </c>
      <c r="C11491">
        <v>850710</v>
      </c>
      <c r="D11491" t="s">
        <v>176</v>
      </c>
      <c r="E11491">
        <v>662059</v>
      </c>
      <c r="F11491">
        <v>15987</v>
      </c>
      <c r="G11491">
        <v>13293</v>
      </c>
      <c r="H11491">
        <f>_xlfn.XLOOKUP(FACT_IMPORTS[[#This Row],[hts_6]],DIM_PRODUCTS[hts_6],DIM_PRODUCTS[hts_4],,,)</f>
        <v>8507</v>
      </c>
      <c r="I11491" t="str" cm="1">
        <f t="array" ref="I11491">_xlfn.XLOOKUP(FACT_IMPORTS[[#This Row],[country_name]],DIM_COUNTRY[[#All],[Column2]],DIM_COUNTRY[[#All],[Column3]],,,)</f>
        <v>Major_Non-USMCA_Non-China</v>
      </c>
    </row>
    <row r="11492" spans="1:9" x14ac:dyDescent="0.4">
      <c r="A11492" t="s">
        <v>73</v>
      </c>
      <c r="B11492" s="1">
        <v>45292</v>
      </c>
      <c r="C11492">
        <v>850760</v>
      </c>
      <c r="D11492" t="s">
        <v>176</v>
      </c>
      <c r="E11492">
        <v>3867117</v>
      </c>
      <c r="F11492">
        <v>192848</v>
      </c>
      <c r="G11492">
        <v>35356</v>
      </c>
      <c r="H11492">
        <f>_xlfn.XLOOKUP(FACT_IMPORTS[[#This Row],[hts_6]],DIM_PRODUCTS[hts_6],DIM_PRODUCTS[hts_4],,,)</f>
        <v>8507</v>
      </c>
      <c r="I11492" t="str" cm="1">
        <f t="array" ref="I11492">_xlfn.XLOOKUP(FACT_IMPORTS[[#This Row],[country_name]],DIM_COUNTRY[[#All],[Column2]],DIM_COUNTRY[[#All],[Column3]],,,)</f>
        <v>Major_Non-USMCA_Non-China</v>
      </c>
    </row>
    <row r="11493" spans="1:9" x14ac:dyDescent="0.4">
      <c r="A11493" t="s">
        <v>73</v>
      </c>
      <c r="B11493" s="1">
        <v>45292</v>
      </c>
      <c r="C11493">
        <v>850790</v>
      </c>
      <c r="D11493" t="s">
        <v>176</v>
      </c>
      <c r="E11493">
        <v>14022809</v>
      </c>
      <c r="F11493">
        <v>383435</v>
      </c>
      <c r="G11493">
        <v>28566</v>
      </c>
      <c r="H11493">
        <f>_xlfn.XLOOKUP(FACT_IMPORTS[[#This Row],[hts_6]],DIM_PRODUCTS[hts_6],DIM_PRODUCTS[hts_4],,,)</f>
        <v>8507</v>
      </c>
      <c r="I11493" t="str" cm="1">
        <f t="array" ref="I11493">_xlfn.XLOOKUP(FACT_IMPORTS[[#This Row],[country_name]],DIM_COUNTRY[[#All],[Column2]],DIM_COUNTRY[[#All],[Column3]],,,)</f>
        <v>Major_Non-USMCA_Non-China</v>
      </c>
    </row>
    <row r="11494" spans="1:9" x14ac:dyDescent="0.4">
      <c r="A11494" t="s">
        <v>73</v>
      </c>
      <c r="B11494" s="1">
        <v>45292</v>
      </c>
      <c r="C11494">
        <v>851130</v>
      </c>
      <c r="D11494" t="s">
        <v>176</v>
      </c>
      <c r="E11494">
        <v>100608</v>
      </c>
      <c r="F11494">
        <v>2754</v>
      </c>
      <c r="G11494">
        <v>138</v>
      </c>
      <c r="H11494">
        <f>_xlfn.XLOOKUP(FACT_IMPORTS[[#This Row],[hts_6]],DIM_PRODUCTS[hts_6],DIM_PRODUCTS[hts_4],,,)</f>
        <v>8511</v>
      </c>
      <c r="I11494" t="str" cm="1">
        <f t="array" ref="I11494">_xlfn.XLOOKUP(FACT_IMPORTS[[#This Row],[country_name]],DIM_COUNTRY[[#All],[Column2]],DIM_COUNTRY[[#All],[Column3]],,,)</f>
        <v>Major_Non-USMCA_Non-China</v>
      </c>
    </row>
    <row r="11495" spans="1:9" x14ac:dyDescent="0.4">
      <c r="A11495" t="s">
        <v>73</v>
      </c>
      <c r="B11495" s="1">
        <v>45292</v>
      </c>
      <c r="C11495">
        <v>851140</v>
      </c>
      <c r="D11495" t="s">
        <v>176</v>
      </c>
      <c r="E11495">
        <v>2823790</v>
      </c>
      <c r="F11495">
        <v>9290</v>
      </c>
      <c r="G11495">
        <v>1600</v>
      </c>
      <c r="H11495">
        <f>_xlfn.XLOOKUP(FACT_IMPORTS[[#This Row],[hts_6]],DIM_PRODUCTS[hts_6],DIM_PRODUCTS[hts_4],,,)</f>
        <v>8511</v>
      </c>
      <c r="I11495" t="str" cm="1">
        <f t="array" ref="I11495">_xlfn.XLOOKUP(FACT_IMPORTS[[#This Row],[country_name]],DIM_COUNTRY[[#All],[Column2]],DIM_COUNTRY[[#All],[Column3]],,,)</f>
        <v>Major_Non-USMCA_Non-China</v>
      </c>
    </row>
    <row r="11496" spans="1:9" x14ac:dyDescent="0.4">
      <c r="A11496" t="s">
        <v>73</v>
      </c>
      <c r="B11496" s="1">
        <v>45292</v>
      </c>
      <c r="C11496">
        <v>851150</v>
      </c>
      <c r="D11496" t="s">
        <v>176</v>
      </c>
      <c r="E11496">
        <v>22606</v>
      </c>
      <c r="F11496">
        <v>315</v>
      </c>
      <c r="G11496">
        <v>21</v>
      </c>
      <c r="H11496">
        <f>_xlfn.XLOOKUP(FACT_IMPORTS[[#This Row],[hts_6]],DIM_PRODUCTS[hts_6],DIM_PRODUCTS[hts_4],,,)</f>
        <v>8511</v>
      </c>
      <c r="I11496" t="str" cm="1">
        <f t="array" ref="I11496">_xlfn.XLOOKUP(FACT_IMPORTS[[#This Row],[country_name]],DIM_COUNTRY[[#All],[Column2]],DIM_COUNTRY[[#All],[Column3]],,,)</f>
        <v>Major_Non-USMCA_Non-China</v>
      </c>
    </row>
    <row r="11497" spans="1:9" x14ac:dyDescent="0.4">
      <c r="A11497" t="s">
        <v>73</v>
      </c>
      <c r="B11497" s="1">
        <v>45292</v>
      </c>
      <c r="C11497">
        <v>851190</v>
      </c>
      <c r="D11497" t="s">
        <v>176</v>
      </c>
      <c r="E11497">
        <v>123698</v>
      </c>
      <c r="F11497">
        <v>14534</v>
      </c>
      <c r="G11497">
        <v>3608</v>
      </c>
      <c r="H11497">
        <f>_xlfn.XLOOKUP(FACT_IMPORTS[[#This Row],[hts_6]],DIM_PRODUCTS[hts_6],DIM_PRODUCTS[hts_4],,,)</f>
        <v>8511</v>
      </c>
      <c r="I11497" t="str" cm="1">
        <f t="array" ref="I11497">_xlfn.XLOOKUP(FACT_IMPORTS[[#This Row],[country_name]],DIM_COUNTRY[[#All],[Column2]],DIM_COUNTRY[[#All],[Column3]],,,)</f>
        <v>Major_Non-USMCA_Non-China</v>
      </c>
    </row>
    <row r="11498" spans="1:9" x14ac:dyDescent="0.4">
      <c r="A11498" t="s">
        <v>73</v>
      </c>
      <c r="B11498" s="1">
        <v>45292</v>
      </c>
      <c r="C11498">
        <v>851220</v>
      </c>
      <c r="D11498" t="s">
        <v>176</v>
      </c>
      <c r="E11498">
        <v>9823161</v>
      </c>
      <c r="F11498">
        <v>1108729</v>
      </c>
      <c r="G11498">
        <v>125088</v>
      </c>
      <c r="H11498">
        <f>_xlfn.XLOOKUP(FACT_IMPORTS[[#This Row],[hts_6]],DIM_PRODUCTS[hts_6],DIM_PRODUCTS[hts_4],,,)</f>
        <v>8512</v>
      </c>
      <c r="I11498" t="str" cm="1">
        <f t="array" ref="I11498">_xlfn.XLOOKUP(FACT_IMPORTS[[#This Row],[country_name]],DIM_COUNTRY[[#All],[Column2]],DIM_COUNTRY[[#All],[Column3]],,,)</f>
        <v>Major_Non-USMCA_Non-China</v>
      </c>
    </row>
    <row r="11499" spans="1:9" x14ac:dyDescent="0.4">
      <c r="A11499" t="s">
        <v>73</v>
      </c>
      <c r="B11499" s="1">
        <v>45292</v>
      </c>
      <c r="C11499">
        <v>851240</v>
      </c>
      <c r="D11499" t="s">
        <v>176</v>
      </c>
      <c r="E11499">
        <v>7987</v>
      </c>
      <c r="F11499">
        <v>371</v>
      </c>
      <c r="G11499">
        <v>2</v>
      </c>
      <c r="H11499">
        <f>_xlfn.XLOOKUP(FACT_IMPORTS[[#This Row],[hts_6]],DIM_PRODUCTS[hts_6],DIM_PRODUCTS[hts_4],,,)</f>
        <v>8512</v>
      </c>
      <c r="I11499" t="str" cm="1">
        <f t="array" ref="I11499">_xlfn.XLOOKUP(FACT_IMPORTS[[#This Row],[country_name]],DIM_COUNTRY[[#All],[Column2]],DIM_COUNTRY[[#All],[Column3]],,,)</f>
        <v>Major_Non-USMCA_Non-China</v>
      </c>
    </row>
    <row r="11500" spans="1:9" x14ac:dyDescent="0.4">
      <c r="A11500" t="s">
        <v>73</v>
      </c>
      <c r="B11500" s="1">
        <v>45292</v>
      </c>
      <c r="C11500">
        <v>851290</v>
      </c>
      <c r="D11500" t="s">
        <v>176</v>
      </c>
      <c r="E11500">
        <v>490062</v>
      </c>
      <c r="F11500">
        <v>33877</v>
      </c>
      <c r="G11500">
        <v>14521</v>
      </c>
      <c r="H11500">
        <f>_xlfn.XLOOKUP(FACT_IMPORTS[[#This Row],[hts_6]],DIM_PRODUCTS[hts_6],DIM_PRODUCTS[hts_4],,,)</f>
        <v>8512</v>
      </c>
      <c r="I11500" t="str" cm="1">
        <f t="array" ref="I11500">_xlfn.XLOOKUP(FACT_IMPORTS[[#This Row],[country_name]],DIM_COUNTRY[[#All],[Column2]],DIM_COUNTRY[[#All],[Column3]],,,)</f>
        <v>Major_Non-USMCA_Non-China</v>
      </c>
    </row>
    <row r="11501" spans="1:9" x14ac:dyDescent="0.4">
      <c r="A11501" t="s">
        <v>73</v>
      </c>
      <c r="B11501" s="1">
        <v>45292</v>
      </c>
      <c r="C11501">
        <v>854231</v>
      </c>
      <c r="D11501" t="s">
        <v>176</v>
      </c>
      <c r="E11501">
        <v>9322</v>
      </c>
      <c r="F11501">
        <v>174</v>
      </c>
      <c r="G11501">
        <v>247</v>
      </c>
      <c r="H11501">
        <f>_xlfn.XLOOKUP(FACT_IMPORTS[[#This Row],[hts_6]],DIM_PRODUCTS[hts_6],DIM_PRODUCTS[hts_4],,,)</f>
        <v>8542</v>
      </c>
      <c r="I11501" t="str" cm="1">
        <f t="array" ref="I11501">_xlfn.XLOOKUP(FACT_IMPORTS[[#This Row],[country_name]],DIM_COUNTRY[[#All],[Column2]],DIM_COUNTRY[[#All],[Column3]],,,)</f>
        <v>Major_Non-USMCA_Non-China</v>
      </c>
    </row>
    <row r="11502" spans="1:9" x14ac:dyDescent="0.4">
      <c r="A11502" t="s">
        <v>73</v>
      </c>
      <c r="B11502" s="1">
        <v>45292</v>
      </c>
      <c r="C11502">
        <v>854232</v>
      </c>
      <c r="D11502" t="s">
        <v>176</v>
      </c>
      <c r="E11502">
        <v>0</v>
      </c>
      <c r="F11502">
        <v>0</v>
      </c>
      <c r="G11502">
        <v>0</v>
      </c>
      <c r="H11502">
        <f>_xlfn.XLOOKUP(FACT_IMPORTS[[#This Row],[hts_6]],DIM_PRODUCTS[hts_6],DIM_PRODUCTS[hts_4],,,)</f>
        <v>8542</v>
      </c>
      <c r="I11502" t="str" cm="1">
        <f t="array" ref="I11502">_xlfn.XLOOKUP(FACT_IMPORTS[[#This Row],[country_name]],DIM_COUNTRY[[#All],[Column2]],DIM_COUNTRY[[#All],[Column3]],,,)</f>
        <v>Major_Non-USMCA_Non-China</v>
      </c>
    </row>
    <row r="11503" spans="1:9" x14ac:dyDescent="0.4">
      <c r="A11503" t="s">
        <v>73</v>
      </c>
      <c r="B11503" s="1">
        <v>45292</v>
      </c>
      <c r="C11503">
        <v>854239</v>
      </c>
      <c r="D11503" t="s">
        <v>176</v>
      </c>
      <c r="E11503">
        <v>193934</v>
      </c>
      <c r="F11503">
        <v>44250</v>
      </c>
      <c r="G11503">
        <v>19393</v>
      </c>
      <c r="H11503">
        <f>_xlfn.XLOOKUP(FACT_IMPORTS[[#This Row],[hts_6]],DIM_PRODUCTS[hts_6],DIM_PRODUCTS[hts_4],,,)</f>
        <v>8542</v>
      </c>
      <c r="I11503" t="str" cm="1">
        <f t="array" ref="I11503">_xlfn.XLOOKUP(FACT_IMPORTS[[#This Row],[country_name]],DIM_COUNTRY[[#All],[Column2]],DIM_COUNTRY[[#All],[Column3]],,,)</f>
        <v>Major_Non-USMCA_Non-China</v>
      </c>
    </row>
    <row r="11504" spans="1:9" x14ac:dyDescent="0.4">
      <c r="A11504" t="s">
        <v>73</v>
      </c>
      <c r="B11504" s="1">
        <v>45292</v>
      </c>
      <c r="C11504">
        <v>854430</v>
      </c>
      <c r="D11504" t="s">
        <v>176</v>
      </c>
      <c r="E11504">
        <v>78769</v>
      </c>
      <c r="F11504">
        <v>214</v>
      </c>
      <c r="G11504">
        <v>109</v>
      </c>
      <c r="H11504">
        <f>_xlfn.XLOOKUP(FACT_IMPORTS[[#This Row],[hts_6]],DIM_PRODUCTS[hts_6],DIM_PRODUCTS[hts_4],,,)</f>
        <v>8544</v>
      </c>
      <c r="I11504" t="str" cm="1">
        <f t="array" ref="I11504">_xlfn.XLOOKUP(FACT_IMPORTS[[#This Row],[country_name]],DIM_COUNTRY[[#All],[Column2]],DIM_COUNTRY[[#All],[Column3]],,,)</f>
        <v>Major_Non-USMCA_Non-China</v>
      </c>
    </row>
    <row r="11505" spans="1:9" x14ac:dyDescent="0.4">
      <c r="A11505" t="s">
        <v>73</v>
      </c>
      <c r="B11505" s="1">
        <v>45292</v>
      </c>
      <c r="C11505">
        <v>870810</v>
      </c>
      <c r="D11505" t="s">
        <v>176</v>
      </c>
      <c r="E11505">
        <v>644323</v>
      </c>
      <c r="F11505">
        <v>118166</v>
      </c>
      <c r="G11505">
        <v>4149</v>
      </c>
      <c r="H11505">
        <f>_xlfn.XLOOKUP(FACT_IMPORTS[[#This Row],[hts_6]],DIM_PRODUCTS[hts_6],DIM_PRODUCTS[hts_4],,,)</f>
        <v>8708</v>
      </c>
      <c r="I11505" t="str" cm="1">
        <f t="array" ref="I11505">_xlfn.XLOOKUP(FACT_IMPORTS[[#This Row],[country_name]],DIM_COUNTRY[[#All],[Column2]],DIM_COUNTRY[[#All],[Column3]],,,)</f>
        <v>Major_Non-USMCA_Non-China</v>
      </c>
    </row>
    <row r="11506" spans="1:9" x14ac:dyDescent="0.4">
      <c r="A11506" t="s">
        <v>73</v>
      </c>
      <c r="B11506" s="1">
        <v>45292</v>
      </c>
      <c r="C11506">
        <v>870822</v>
      </c>
      <c r="D11506" t="s">
        <v>176</v>
      </c>
      <c r="E11506">
        <v>73603</v>
      </c>
      <c r="F11506">
        <v>425</v>
      </c>
      <c r="G11506">
        <v>106</v>
      </c>
      <c r="H11506">
        <f>_xlfn.XLOOKUP(FACT_IMPORTS[[#This Row],[hts_6]],DIM_PRODUCTS[hts_6],DIM_PRODUCTS[hts_4],,,)</f>
        <v>8708</v>
      </c>
      <c r="I11506" t="str" cm="1">
        <f t="array" ref="I11506">_xlfn.XLOOKUP(FACT_IMPORTS[[#This Row],[country_name]],DIM_COUNTRY[[#All],[Column2]],DIM_COUNTRY[[#All],[Column3]],,,)</f>
        <v>Major_Non-USMCA_Non-China</v>
      </c>
    </row>
    <row r="11507" spans="1:9" x14ac:dyDescent="0.4">
      <c r="A11507" t="s">
        <v>73</v>
      </c>
      <c r="B11507" s="1">
        <v>45292</v>
      </c>
      <c r="C11507">
        <v>870829</v>
      </c>
      <c r="D11507" t="s">
        <v>176</v>
      </c>
      <c r="E11507">
        <v>6997977</v>
      </c>
      <c r="F11507">
        <v>3673492</v>
      </c>
      <c r="G11507">
        <v>286225</v>
      </c>
      <c r="H11507">
        <f>_xlfn.XLOOKUP(FACT_IMPORTS[[#This Row],[hts_6]],DIM_PRODUCTS[hts_6],DIM_PRODUCTS[hts_4],,,)</f>
        <v>8708</v>
      </c>
      <c r="I11507" t="str" cm="1">
        <f t="array" ref="I11507">_xlfn.XLOOKUP(FACT_IMPORTS[[#This Row],[country_name]],DIM_COUNTRY[[#All],[Column2]],DIM_COUNTRY[[#All],[Column3]],,,)</f>
        <v>Major_Non-USMCA_Non-China</v>
      </c>
    </row>
    <row r="11508" spans="1:9" x14ac:dyDescent="0.4">
      <c r="A11508" t="s">
        <v>73</v>
      </c>
      <c r="B11508" s="1">
        <v>45292</v>
      </c>
      <c r="C11508">
        <v>870830</v>
      </c>
      <c r="D11508" t="s">
        <v>176</v>
      </c>
      <c r="E11508">
        <v>405074</v>
      </c>
      <c r="F11508">
        <v>298436</v>
      </c>
      <c r="G11508">
        <v>13531</v>
      </c>
      <c r="H11508">
        <f>_xlfn.XLOOKUP(FACT_IMPORTS[[#This Row],[hts_6]],DIM_PRODUCTS[hts_6],DIM_PRODUCTS[hts_4],,,)</f>
        <v>8708</v>
      </c>
      <c r="I11508" t="str" cm="1">
        <f t="array" ref="I11508">_xlfn.XLOOKUP(FACT_IMPORTS[[#This Row],[country_name]],DIM_COUNTRY[[#All],[Column2]],DIM_COUNTRY[[#All],[Column3]],,,)</f>
        <v>Major_Non-USMCA_Non-China</v>
      </c>
    </row>
    <row r="11509" spans="1:9" x14ac:dyDescent="0.4">
      <c r="A11509" t="s">
        <v>73</v>
      </c>
      <c r="B11509" s="1">
        <v>45292</v>
      </c>
      <c r="C11509">
        <v>870840</v>
      </c>
      <c r="D11509" t="s">
        <v>176</v>
      </c>
      <c r="E11509">
        <v>2950189</v>
      </c>
      <c r="F11509">
        <v>385186</v>
      </c>
      <c r="G11509">
        <v>40879</v>
      </c>
      <c r="H11509">
        <f>_xlfn.XLOOKUP(FACT_IMPORTS[[#This Row],[hts_6]],DIM_PRODUCTS[hts_6],DIM_PRODUCTS[hts_4],,,)</f>
        <v>8708</v>
      </c>
      <c r="I11509" t="str" cm="1">
        <f t="array" ref="I11509">_xlfn.XLOOKUP(FACT_IMPORTS[[#This Row],[country_name]],DIM_COUNTRY[[#All],[Column2]],DIM_COUNTRY[[#All],[Column3]],,,)</f>
        <v>Major_Non-USMCA_Non-China</v>
      </c>
    </row>
    <row r="11510" spans="1:9" x14ac:dyDescent="0.4">
      <c r="A11510" t="s">
        <v>73</v>
      </c>
      <c r="B11510" s="1">
        <v>45292</v>
      </c>
      <c r="C11510">
        <v>870850</v>
      </c>
      <c r="D11510" t="s">
        <v>176</v>
      </c>
      <c r="E11510">
        <v>17802915</v>
      </c>
      <c r="F11510">
        <v>1277409</v>
      </c>
      <c r="G11510">
        <v>497774</v>
      </c>
      <c r="H11510">
        <f>_xlfn.XLOOKUP(FACT_IMPORTS[[#This Row],[hts_6]],DIM_PRODUCTS[hts_6],DIM_PRODUCTS[hts_4],,,)</f>
        <v>8708</v>
      </c>
      <c r="I11510" t="str" cm="1">
        <f t="array" ref="I11510">_xlfn.XLOOKUP(FACT_IMPORTS[[#This Row],[country_name]],DIM_COUNTRY[[#All],[Column2]],DIM_COUNTRY[[#All],[Column3]],,,)</f>
        <v>Major_Non-USMCA_Non-China</v>
      </c>
    </row>
    <row r="11511" spans="1:9" x14ac:dyDescent="0.4">
      <c r="A11511" t="s">
        <v>73</v>
      </c>
      <c r="B11511" s="1">
        <v>45292</v>
      </c>
      <c r="C11511">
        <v>870870</v>
      </c>
      <c r="D11511" t="s">
        <v>176</v>
      </c>
      <c r="E11511">
        <v>3606371</v>
      </c>
      <c r="F11511">
        <v>49759</v>
      </c>
      <c r="G11511">
        <v>46731</v>
      </c>
      <c r="H11511">
        <f>_xlfn.XLOOKUP(FACT_IMPORTS[[#This Row],[hts_6]],DIM_PRODUCTS[hts_6],DIM_PRODUCTS[hts_4],,,)</f>
        <v>8708</v>
      </c>
      <c r="I11511" t="str" cm="1">
        <f t="array" ref="I11511">_xlfn.XLOOKUP(FACT_IMPORTS[[#This Row],[country_name]],DIM_COUNTRY[[#All],[Column2]],DIM_COUNTRY[[#All],[Column3]],,,)</f>
        <v>Major_Non-USMCA_Non-China</v>
      </c>
    </row>
    <row r="11512" spans="1:9" x14ac:dyDescent="0.4">
      <c r="A11512" t="s">
        <v>73</v>
      </c>
      <c r="B11512" s="1">
        <v>45292</v>
      </c>
      <c r="C11512">
        <v>870880</v>
      </c>
      <c r="D11512" t="s">
        <v>176</v>
      </c>
      <c r="E11512">
        <v>5924573</v>
      </c>
      <c r="F11512">
        <v>1355707</v>
      </c>
      <c r="G11512">
        <v>152869</v>
      </c>
      <c r="H11512">
        <f>_xlfn.XLOOKUP(FACT_IMPORTS[[#This Row],[hts_6]],DIM_PRODUCTS[hts_6],DIM_PRODUCTS[hts_4],,,)</f>
        <v>8708</v>
      </c>
      <c r="I11512" t="str" cm="1">
        <f t="array" ref="I11512">_xlfn.XLOOKUP(FACT_IMPORTS[[#This Row],[country_name]],DIM_COUNTRY[[#All],[Column2]],DIM_COUNTRY[[#All],[Column3]],,,)</f>
        <v>Major_Non-USMCA_Non-China</v>
      </c>
    </row>
    <row r="11513" spans="1:9" x14ac:dyDescent="0.4">
      <c r="A11513" t="s">
        <v>73</v>
      </c>
      <c r="B11513" s="1">
        <v>45292</v>
      </c>
      <c r="C11513">
        <v>870891</v>
      </c>
      <c r="D11513" t="s">
        <v>176</v>
      </c>
      <c r="E11513">
        <v>45159</v>
      </c>
      <c r="F11513">
        <v>510</v>
      </c>
      <c r="G11513">
        <v>86</v>
      </c>
      <c r="H11513">
        <f>_xlfn.XLOOKUP(FACT_IMPORTS[[#This Row],[hts_6]],DIM_PRODUCTS[hts_6],DIM_PRODUCTS[hts_4],,,)</f>
        <v>8708</v>
      </c>
      <c r="I11513" t="str" cm="1">
        <f t="array" ref="I11513">_xlfn.XLOOKUP(FACT_IMPORTS[[#This Row],[country_name]],DIM_COUNTRY[[#All],[Column2]],DIM_COUNTRY[[#All],[Column3]],,,)</f>
        <v>Major_Non-USMCA_Non-China</v>
      </c>
    </row>
    <row r="11514" spans="1:9" x14ac:dyDescent="0.4">
      <c r="A11514" t="s">
        <v>73</v>
      </c>
      <c r="B11514" s="1">
        <v>45292</v>
      </c>
      <c r="C11514">
        <v>870892</v>
      </c>
      <c r="D11514" t="s">
        <v>176</v>
      </c>
      <c r="E11514">
        <v>87722</v>
      </c>
      <c r="F11514">
        <v>338</v>
      </c>
      <c r="G11514">
        <v>123</v>
      </c>
      <c r="H11514">
        <f>_xlfn.XLOOKUP(FACT_IMPORTS[[#This Row],[hts_6]],DIM_PRODUCTS[hts_6],DIM_PRODUCTS[hts_4],,,)</f>
        <v>8708</v>
      </c>
      <c r="I11514" t="str" cm="1">
        <f t="array" ref="I11514">_xlfn.XLOOKUP(FACT_IMPORTS[[#This Row],[country_name]],DIM_COUNTRY[[#All],[Column2]],DIM_COUNTRY[[#All],[Column3]],,,)</f>
        <v>Major_Non-USMCA_Non-China</v>
      </c>
    </row>
    <row r="11515" spans="1:9" x14ac:dyDescent="0.4">
      <c r="A11515" t="s">
        <v>73</v>
      </c>
      <c r="B11515" s="1">
        <v>45292</v>
      </c>
      <c r="C11515">
        <v>870893</v>
      </c>
      <c r="D11515" t="s">
        <v>176</v>
      </c>
      <c r="E11515">
        <v>1161250</v>
      </c>
      <c r="F11515">
        <v>77504</v>
      </c>
      <c r="G11515">
        <v>10588</v>
      </c>
      <c r="H11515">
        <f>_xlfn.XLOOKUP(FACT_IMPORTS[[#This Row],[hts_6]],DIM_PRODUCTS[hts_6],DIM_PRODUCTS[hts_4],,,)</f>
        <v>8708</v>
      </c>
      <c r="I11515" t="str" cm="1">
        <f t="array" ref="I11515">_xlfn.XLOOKUP(FACT_IMPORTS[[#This Row],[country_name]],DIM_COUNTRY[[#All],[Column2]],DIM_COUNTRY[[#All],[Column3]],,,)</f>
        <v>Major_Non-USMCA_Non-China</v>
      </c>
    </row>
    <row r="11516" spans="1:9" x14ac:dyDescent="0.4">
      <c r="A11516" t="s">
        <v>73</v>
      </c>
      <c r="B11516" s="1">
        <v>45292</v>
      </c>
      <c r="C11516">
        <v>870894</v>
      </c>
      <c r="D11516" t="s">
        <v>176</v>
      </c>
      <c r="E11516">
        <v>1456366</v>
      </c>
      <c r="F11516">
        <v>200316</v>
      </c>
      <c r="G11516">
        <v>7100</v>
      </c>
      <c r="H11516">
        <f>_xlfn.XLOOKUP(FACT_IMPORTS[[#This Row],[hts_6]],DIM_PRODUCTS[hts_6],DIM_PRODUCTS[hts_4],,,)</f>
        <v>8708</v>
      </c>
      <c r="I11516" t="str" cm="1">
        <f t="array" ref="I11516">_xlfn.XLOOKUP(FACT_IMPORTS[[#This Row],[country_name]],DIM_COUNTRY[[#All],[Column2]],DIM_COUNTRY[[#All],[Column3]],,,)</f>
        <v>Major_Non-USMCA_Non-China</v>
      </c>
    </row>
    <row r="11517" spans="1:9" x14ac:dyDescent="0.4">
      <c r="A11517" t="s">
        <v>73</v>
      </c>
      <c r="B11517" s="1">
        <v>45292</v>
      </c>
      <c r="C11517">
        <v>870895</v>
      </c>
      <c r="D11517" t="s">
        <v>176</v>
      </c>
      <c r="E11517">
        <v>2989</v>
      </c>
      <c r="F11517">
        <v>38</v>
      </c>
      <c r="G11517">
        <v>3</v>
      </c>
      <c r="H11517">
        <f>_xlfn.XLOOKUP(FACT_IMPORTS[[#This Row],[hts_6]],DIM_PRODUCTS[hts_6],DIM_PRODUCTS[hts_4],,,)</f>
        <v>8708</v>
      </c>
      <c r="I11517" t="str" cm="1">
        <f t="array" ref="I11517">_xlfn.XLOOKUP(FACT_IMPORTS[[#This Row],[country_name]],DIM_COUNTRY[[#All],[Column2]],DIM_COUNTRY[[#All],[Column3]],,,)</f>
        <v>Major_Non-USMCA_Non-China</v>
      </c>
    </row>
    <row r="11518" spans="1:9" x14ac:dyDescent="0.4">
      <c r="A11518" t="s">
        <v>73</v>
      </c>
      <c r="B11518" s="1">
        <v>45292</v>
      </c>
      <c r="C11518">
        <v>870899</v>
      </c>
      <c r="D11518" t="s">
        <v>176</v>
      </c>
      <c r="E11518">
        <v>24710948</v>
      </c>
      <c r="F11518">
        <v>5359250</v>
      </c>
      <c r="G11518">
        <v>769072</v>
      </c>
      <c r="H11518">
        <f>_xlfn.XLOOKUP(FACT_IMPORTS[[#This Row],[hts_6]],DIM_PRODUCTS[hts_6],DIM_PRODUCTS[hts_4],,,)</f>
        <v>8708</v>
      </c>
      <c r="I11518" t="str" cm="1">
        <f t="array" ref="I11518">_xlfn.XLOOKUP(FACT_IMPORTS[[#This Row],[country_name]],DIM_COUNTRY[[#All],[Column2]],DIM_COUNTRY[[#All],[Column3]],,,)</f>
        <v>Major_Non-USMCA_Non-China</v>
      </c>
    </row>
    <row r="11519" spans="1:9" x14ac:dyDescent="0.4">
      <c r="A11519" t="s">
        <v>73</v>
      </c>
      <c r="B11519" s="1">
        <v>45292</v>
      </c>
      <c r="C11519">
        <v>940120</v>
      </c>
      <c r="D11519" t="s">
        <v>176</v>
      </c>
      <c r="E11519">
        <v>0</v>
      </c>
      <c r="F11519">
        <v>0</v>
      </c>
      <c r="G11519">
        <v>0</v>
      </c>
      <c r="H11519">
        <f>_xlfn.XLOOKUP(FACT_IMPORTS[[#This Row],[hts_6]],DIM_PRODUCTS[hts_6],DIM_PRODUCTS[hts_4],,,)</f>
        <v>9401</v>
      </c>
      <c r="I11519" t="str" cm="1">
        <f t="array" ref="I11519">_xlfn.XLOOKUP(FACT_IMPORTS[[#This Row],[country_name]],DIM_COUNTRY[[#All],[Column2]],DIM_COUNTRY[[#All],[Column3]],,,)</f>
        <v>Major_Non-USMCA_Non-China</v>
      </c>
    </row>
    <row r="11520" spans="1:9" x14ac:dyDescent="0.4">
      <c r="A11520" t="s">
        <v>73</v>
      </c>
      <c r="B11520" s="1">
        <v>45323</v>
      </c>
      <c r="C11520">
        <v>392630</v>
      </c>
      <c r="D11520" t="s">
        <v>176</v>
      </c>
      <c r="E11520">
        <v>936334</v>
      </c>
      <c r="F11520">
        <v>75089</v>
      </c>
      <c r="G11520">
        <v>65067</v>
      </c>
      <c r="H11520">
        <f>_xlfn.XLOOKUP(FACT_IMPORTS[[#This Row],[hts_6]],DIM_PRODUCTS[hts_6],DIM_PRODUCTS[hts_4],,,)</f>
        <v>3926</v>
      </c>
      <c r="I11520" t="str" cm="1">
        <f t="array" ref="I11520">_xlfn.XLOOKUP(FACT_IMPORTS[[#This Row],[country_name]],DIM_COUNTRY[[#All],[Column2]],DIM_COUNTRY[[#All],[Column3]],,,)</f>
        <v>Major_Non-USMCA_Non-China</v>
      </c>
    </row>
    <row r="11521" spans="1:9" x14ac:dyDescent="0.4">
      <c r="A11521" t="s">
        <v>73</v>
      </c>
      <c r="B11521" s="1">
        <v>45323</v>
      </c>
      <c r="C11521">
        <v>401110</v>
      </c>
      <c r="D11521" t="s">
        <v>176</v>
      </c>
      <c r="E11521">
        <v>3600130</v>
      </c>
      <c r="F11521">
        <v>56466</v>
      </c>
      <c r="G11521">
        <v>606245</v>
      </c>
      <c r="H11521">
        <f>_xlfn.XLOOKUP(FACT_IMPORTS[[#This Row],[hts_6]],DIM_PRODUCTS[hts_6],DIM_PRODUCTS[hts_4],,,)</f>
        <v>4011</v>
      </c>
      <c r="I11521" t="str" cm="1">
        <f t="array" ref="I11521">_xlfn.XLOOKUP(FACT_IMPORTS[[#This Row],[country_name]],DIM_COUNTRY[[#All],[Column2]],DIM_COUNTRY[[#All],[Column3]],,,)</f>
        <v>Major_Non-USMCA_Non-China</v>
      </c>
    </row>
    <row r="11522" spans="1:9" x14ac:dyDescent="0.4">
      <c r="A11522" t="s">
        <v>73</v>
      </c>
      <c r="B11522" s="1">
        <v>45323</v>
      </c>
      <c r="C11522">
        <v>401120</v>
      </c>
      <c r="D11522" t="s">
        <v>176</v>
      </c>
      <c r="E11522">
        <v>35775</v>
      </c>
      <c r="F11522">
        <v>462</v>
      </c>
      <c r="G11522">
        <v>4955</v>
      </c>
      <c r="H11522">
        <f>_xlfn.XLOOKUP(FACT_IMPORTS[[#This Row],[hts_6]],DIM_PRODUCTS[hts_6],DIM_PRODUCTS[hts_4],,,)</f>
        <v>4011</v>
      </c>
      <c r="I11522" t="str" cm="1">
        <f t="array" ref="I11522">_xlfn.XLOOKUP(FACT_IMPORTS[[#This Row],[country_name]],DIM_COUNTRY[[#All],[Column2]],DIM_COUNTRY[[#All],[Column3]],,,)</f>
        <v>Major_Non-USMCA_Non-China</v>
      </c>
    </row>
    <row r="11523" spans="1:9" x14ac:dyDescent="0.4">
      <c r="A11523" t="s">
        <v>73</v>
      </c>
      <c r="B11523" s="1">
        <v>45323</v>
      </c>
      <c r="C11523">
        <v>401190</v>
      </c>
      <c r="D11523" t="s">
        <v>176</v>
      </c>
      <c r="E11523">
        <v>0</v>
      </c>
      <c r="F11523">
        <v>0</v>
      </c>
      <c r="G11523">
        <v>0</v>
      </c>
      <c r="H11523">
        <f>_xlfn.XLOOKUP(FACT_IMPORTS[[#This Row],[hts_6]],DIM_PRODUCTS[hts_6],DIM_PRODUCTS[hts_4],,,)</f>
        <v>4011</v>
      </c>
      <c r="I11523" t="str" cm="1">
        <f t="array" ref="I11523">_xlfn.XLOOKUP(FACT_IMPORTS[[#This Row],[country_name]],DIM_COUNTRY[[#All],[Column2]],DIM_COUNTRY[[#All],[Column3]],,,)</f>
        <v>Major_Non-USMCA_Non-China</v>
      </c>
    </row>
    <row r="11524" spans="1:9" x14ac:dyDescent="0.4">
      <c r="A11524" t="s">
        <v>73</v>
      </c>
      <c r="B11524" s="1">
        <v>45323</v>
      </c>
      <c r="C11524">
        <v>700711</v>
      </c>
      <c r="D11524" t="s">
        <v>176</v>
      </c>
      <c r="E11524">
        <v>0</v>
      </c>
      <c r="F11524">
        <v>0</v>
      </c>
      <c r="G11524">
        <v>0</v>
      </c>
      <c r="H11524">
        <f>_xlfn.XLOOKUP(FACT_IMPORTS[[#This Row],[hts_6]],DIM_PRODUCTS[hts_6],DIM_PRODUCTS[hts_4],,,)</f>
        <v>7007</v>
      </c>
      <c r="I11524" t="str" cm="1">
        <f t="array" ref="I11524">_xlfn.XLOOKUP(FACT_IMPORTS[[#This Row],[country_name]],DIM_COUNTRY[[#All],[Column2]],DIM_COUNTRY[[#All],[Column3]],,,)</f>
        <v>Major_Non-USMCA_Non-China</v>
      </c>
    </row>
    <row r="11525" spans="1:9" x14ac:dyDescent="0.4">
      <c r="A11525" t="s">
        <v>73</v>
      </c>
      <c r="B11525" s="1">
        <v>45323</v>
      </c>
      <c r="C11525">
        <v>700910</v>
      </c>
      <c r="D11525" t="s">
        <v>176</v>
      </c>
      <c r="E11525">
        <v>18615</v>
      </c>
      <c r="F11525">
        <v>166</v>
      </c>
      <c r="G11525">
        <v>10</v>
      </c>
      <c r="H11525">
        <f>_xlfn.XLOOKUP(FACT_IMPORTS[[#This Row],[hts_6]],DIM_PRODUCTS[hts_6],DIM_PRODUCTS[hts_4],,,)</f>
        <v>7009</v>
      </c>
      <c r="I11525" t="str" cm="1">
        <f t="array" ref="I11525">_xlfn.XLOOKUP(FACT_IMPORTS[[#This Row],[country_name]],DIM_COUNTRY[[#All],[Column2]],DIM_COUNTRY[[#All],[Column3]],,,)</f>
        <v>Major_Non-USMCA_Non-China</v>
      </c>
    </row>
    <row r="11526" spans="1:9" x14ac:dyDescent="0.4">
      <c r="A11526" t="s">
        <v>73</v>
      </c>
      <c r="B11526" s="1">
        <v>45323</v>
      </c>
      <c r="C11526">
        <v>830230</v>
      </c>
      <c r="D11526" t="s">
        <v>176</v>
      </c>
      <c r="E11526">
        <v>2037986</v>
      </c>
      <c r="F11526">
        <v>367189</v>
      </c>
      <c r="G11526">
        <v>22385</v>
      </c>
      <c r="H11526">
        <f>_xlfn.XLOOKUP(FACT_IMPORTS[[#This Row],[hts_6]],DIM_PRODUCTS[hts_6],DIM_PRODUCTS[hts_4],,,)</f>
        <v>8302</v>
      </c>
      <c r="I11526" t="str" cm="1">
        <f t="array" ref="I11526">_xlfn.XLOOKUP(FACT_IMPORTS[[#This Row],[country_name]],DIM_COUNTRY[[#All],[Column2]],DIM_COUNTRY[[#All],[Column3]],,,)</f>
        <v>Major_Non-USMCA_Non-China</v>
      </c>
    </row>
    <row r="11527" spans="1:9" x14ac:dyDescent="0.4">
      <c r="A11527" t="s">
        <v>73</v>
      </c>
      <c r="B11527" s="1">
        <v>45323</v>
      </c>
      <c r="C11527">
        <v>840734</v>
      </c>
      <c r="D11527" t="s">
        <v>176</v>
      </c>
      <c r="E11527">
        <v>2575</v>
      </c>
      <c r="F11527">
        <v>1</v>
      </c>
      <c r="G11527">
        <v>101</v>
      </c>
      <c r="H11527">
        <f>_xlfn.XLOOKUP(FACT_IMPORTS[[#This Row],[hts_6]],DIM_PRODUCTS[hts_6],DIM_PRODUCTS[hts_4],,,)</f>
        <v>8407</v>
      </c>
      <c r="I11527" t="str" cm="1">
        <f t="array" ref="I11527">_xlfn.XLOOKUP(FACT_IMPORTS[[#This Row],[country_name]],DIM_COUNTRY[[#All],[Column2]],DIM_COUNTRY[[#All],[Column3]],,,)</f>
        <v>Major_Non-USMCA_Non-China</v>
      </c>
    </row>
    <row r="11528" spans="1:9" x14ac:dyDescent="0.4">
      <c r="A11528" t="s">
        <v>73</v>
      </c>
      <c r="B11528" s="1">
        <v>45323</v>
      </c>
      <c r="C11528">
        <v>840820</v>
      </c>
      <c r="D11528" t="s">
        <v>176</v>
      </c>
      <c r="E11528">
        <v>0</v>
      </c>
      <c r="F11528">
        <v>0</v>
      </c>
      <c r="G11528">
        <v>0</v>
      </c>
      <c r="H11528">
        <f>_xlfn.XLOOKUP(FACT_IMPORTS[[#This Row],[hts_6]],DIM_PRODUCTS[hts_6],DIM_PRODUCTS[hts_4],,,)</f>
        <v>8408</v>
      </c>
      <c r="I11528" t="str" cm="1">
        <f t="array" ref="I11528">_xlfn.XLOOKUP(FACT_IMPORTS[[#This Row],[country_name]],DIM_COUNTRY[[#All],[Column2]],DIM_COUNTRY[[#All],[Column3]],,,)</f>
        <v>Major_Non-USMCA_Non-China</v>
      </c>
    </row>
    <row r="11529" spans="1:9" x14ac:dyDescent="0.4">
      <c r="A11529" t="s">
        <v>73</v>
      </c>
      <c r="B11529" s="1">
        <v>45323</v>
      </c>
      <c r="C11529">
        <v>840890</v>
      </c>
      <c r="D11529" t="s">
        <v>176</v>
      </c>
      <c r="E11529">
        <v>0</v>
      </c>
      <c r="F11529">
        <v>0</v>
      </c>
      <c r="G11529">
        <v>0</v>
      </c>
      <c r="H11529">
        <f>_xlfn.XLOOKUP(FACT_IMPORTS[[#This Row],[hts_6]],DIM_PRODUCTS[hts_6],DIM_PRODUCTS[hts_4],,,)</f>
        <v>8408</v>
      </c>
      <c r="I11529" t="str" cm="1">
        <f t="array" ref="I11529">_xlfn.XLOOKUP(FACT_IMPORTS[[#This Row],[country_name]],DIM_COUNTRY[[#All],[Column2]],DIM_COUNTRY[[#All],[Column3]],,,)</f>
        <v>Major_Non-USMCA_Non-China</v>
      </c>
    </row>
    <row r="11530" spans="1:9" x14ac:dyDescent="0.4">
      <c r="A11530" t="s">
        <v>73</v>
      </c>
      <c r="B11530" s="1">
        <v>45323</v>
      </c>
      <c r="C11530">
        <v>840991</v>
      </c>
      <c r="D11530" t="s">
        <v>176</v>
      </c>
      <c r="E11530">
        <v>4972125</v>
      </c>
      <c r="F11530">
        <v>294318</v>
      </c>
      <c r="G11530">
        <v>38910</v>
      </c>
      <c r="H11530">
        <f>_xlfn.XLOOKUP(FACT_IMPORTS[[#This Row],[hts_6]],DIM_PRODUCTS[hts_6],DIM_PRODUCTS[hts_4],,,)</f>
        <v>8409</v>
      </c>
      <c r="I11530" t="str" cm="1">
        <f t="array" ref="I11530">_xlfn.XLOOKUP(FACT_IMPORTS[[#This Row],[country_name]],DIM_COUNTRY[[#All],[Column2]],DIM_COUNTRY[[#All],[Column3]],,,)</f>
        <v>Major_Non-USMCA_Non-China</v>
      </c>
    </row>
    <row r="11531" spans="1:9" x14ac:dyDescent="0.4">
      <c r="A11531" t="s">
        <v>73</v>
      </c>
      <c r="B11531" s="1">
        <v>45323</v>
      </c>
      <c r="C11531">
        <v>840999</v>
      </c>
      <c r="D11531" t="s">
        <v>176</v>
      </c>
      <c r="E11531">
        <v>137761</v>
      </c>
      <c r="F11531">
        <v>4971</v>
      </c>
      <c r="G11531">
        <v>571</v>
      </c>
      <c r="H11531">
        <f>_xlfn.XLOOKUP(FACT_IMPORTS[[#This Row],[hts_6]],DIM_PRODUCTS[hts_6],DIM_PRODUCTS[hts_4],,,)</f>
        <v>8409</v>
      </c>
      <c r="I11531" t="str" cm="1">
        <f t="array" ref="I11531">_xlfn.XLOOKUP(FACT_IMPORTS[[#This Row],[country_name]],DIM_COUNTRY[[#All],[Column2]],DIM_COUNTRY[[#All],[Column3]],,,)</f>
        <v>Major_Non-USMCA_Non-China</v>
      </c>
    </row>
    <row r="11532" spans="1:9" x14ac:dyDescent="0.4">
      <c r="A11532" t="s">
        <v>73</v>
      </c>
      <c r="B11532" s="1">
        <v>45323</v>
      </c>
      <c r="C11532">
        <v>841330</v>
      </c>
      <c r="D11532" t="s">
        <v>176</v>
      </c>
      <c r="E11532">
        <v>5592655</v>
      </c>
      <c r="F11532">
        <v>111013</v>
      </c>
      <c r="G11532">
        <v>115744</v>
      </c>
      <c r="H11532">
        <f>_xlfn.XLOOKUP(FACT_IMPORTS[[#This Row],[hts_6]],DIM_PRODUCTS[hts_6],DIM_PRODUCTS[hts_4],,,)</f>
        <v>8413</v>
      </c>
      <c r="I11532" t="str" cm="1">
        <f t="array" ref="I11532">_xlfn.XLOOKUP(FACT_IMPORTS[[#This Row],[country_name]],DIM_COUNTRY[[#All],[Column2]],DIM_COUNTRY[[#All],[Column3]],,,)</f>
        <v>Major_Non-USMCA_Non-China</v>
      </c>
    </row>
    <row r="11533" spans="1:9" x14ac:dyDescent="0.4">
      <c r="A11533" t="s">
        <v>73</v>
      </c>
      <c r="B11533" s="1">
        <v>45323</v>
      </c>
      <c r="C11533">
        <v>842132</v>
      </c>
      <c r="D11533" t="s">
        <v>176</v>
      </c>
      <c r="E11533">
        <v>171999</v>
      </c>
      <c r="F11533">
        <v>111</v>
      </c>
      <c r="G11533">
        <v>227</v>
      </c>
      <c r="H11533">
        <f>_xlfn.XLOOKUP(FACT_IMPORTS[[#This Row],[hts_6]],DIM_PRODUCTS[hts_6],DIM_PRODUCTS[hts_4],,,)</f>
        <v>8421</v>
      </c>
      <c r="I11533" t="str" cm="1">
        <f t="array" ref="I11533">_xlfn.XLOOKUP(FACT_IMPORTS[[#This Row],[country_name]],DIM_COUNTRY[[#All],[Column2]],DIM_COUNTRY[[#All],[Column3]],,,)</f>
        <v>Major_Non-USMCA_Non-China</v>
      </c>
    </row>
    <row r="11534" spans="1:9" x14ac:dyDescent="0.4">
      <c r="A11534" t="s">
        <v>73</v>
      </c>
      <c r="B11534" s="1">
        <v>45323</v>
      </c>
      <c r="C11534">
        <v>848210</v>
      </c>
      <c r="D11534" t="s">
        <v>176</v>
      </c>
      <c r="E11534">
        <v>180906</v>
      </c>
      <c r="F11534">
        <v>75765</v>
      </c>
      <c r="G11534">
        <v>558</v>
      </c>
      <c r="H11534">
        <f>_xlfn.XLOOKUP(FACT_IMPORTS[[#This Row],[hts_6]],DIM_PRODUCTS[hts_6],DIM_PRODUCTS[hts_4],,,)</f>
        <v>8482</v>
      </c>
      <c r="I11534" t="str" cm="1">
        <f t="array" ref="I11534">_xlfn.XLOOKUP(FACT_IMPORTS[[#This Row],[country_name]],DIM_COUNTRY[[#All],[Column2]],DIM_COUNTRY[[#All],[Column3]],,,)</f>
        <v>Major_Non-USMCA_Non-China</v>
      </c>
    </row>
    <row r="11535" spans="1:9" x14ac:dyDescent="0.4">
      <c r="A11535" t="s">
        <v>73</v>
      </c>
      <c r="B11535" s="1">
        <v>45323</v>
      </c>
      <c r="C11535">
        <v>848220</v>
      </c>
      <c r="D11535" t="s">
        <v>176</v>
      </c>
      <c r="E11535">
        <v>5033768</v>
      </c>
      <c r="F11535">
        <v>1271199</v>
      </c>
      <c r="G11535">
        <v>834</v>
      </c>
      <c r="H11535">
        <f>_xlfn.XLOOKUP(FACT_IMPORTS[[#This Row],[hts_6]],DIM_PRODUCTS[hts_6],DIM_PRODUCTS[hts_4],,,)</f>
        <v>8482</v>
      </c>
      <c r="I11535" t="str" cm="1">
        <f t="array" ref="I11535">_xlfn.XLOOKUP(FACT_IMPORTS[[#This Row],[country_name]],DIM_COUNTRY[[#All],[Column2]],DIM_COUNTRY[[#All],[Column3]],,,)</f>
        <v>Major_Non-USMCA_Non-China</v>
      </c>
    </row>
    <row r="11536" spans="1:9" x14ac:dyDescent="0.4">
      <c r="A11536" t="s">
        <v>73</v>
      </c>
      <c r="B11536" s="1">
        <v>45323</v>
      </c>
      <c r="C11536">
        <v>848310</v>
      </c>
      <c r="D11536" t="s">
        <v>176</v>
      </c>
      <c r="E11536">
        <v>279429</v>
      </c>
      <c r="F11536">
        <v>3072</v>
      </c>
      <c r="G11536">
        <v>3200</v>
      </c>
      <c r="H11536">
        <f>_xlfn.XLOOKUP(FACT_IMPORTS[[#This Row],[hts_6]],DIM_PRODUCTS[hts_6],DIM_PRODUCTS[hts_4],,,)</f>
        <v>8483</v>
      </c>
      <c r="I11536" t="str" cm="1">
        <f t="array" ref="I11536">_xlfn.XLOOKUP(FACT_IMPORTS[[#This Row],[country_name]],DIM_COUNTRY[[#All],[Column2]],DIM_COUNTRY[[#All],[Column3]],,,)</f>
        <v>Major_Non-USMCA_Non-China</v>
      </c>
    </row>
    <row r="11537" spans="1:9" x14ac:dyDescent="0.4">
      <c r="A11537" t="s">
        <v>73</v>
      </c>
      <c r="B11537" s="1">
        <v>45323</v>
      </c>
      <c r="C11537">
        <v>850131</v>
      </c>
      <c r="D11537" t="s">
        <v>176</v>
      </c>
      <c r="E11537">
        <v>5459064</v>
      </c>
      <c r="F11537">
        <v>191230</v>
      </c>
      <c r="G11537">
        <v>4310</v>
      </c>
      <c r="H11537">
        <f>_xlfn.XLOOKUP(FACT_IMPORTS[[#This Row],[hts_6]],DIM_PRODUCTS[hts_6],DIM_PRODUCTS[hts_4],,,)</f>
        <v>8501</v>
      </c>
      <c r="I11537" t="str" cm="1">
        <f t="array" ref="I11537">_xlfn.XLOOKUP(FACT_IMPORTS[[#This Row],[country_name]],DIM_COUNTRY[[#All],[Column2]],DIM_COUNTRY[[#All],[Column3]],,,)</f>
        <v>Major_Non-USMCA_Non-China</v>
      </c>
    </row>
    <row r="11538" spans="1:9" x14ac:dyDescent="0.4">
      <c r="A11538" t="s">
        <v>73</v>
      </c>
      <c r="B11538" s="1">
        <v>45323</v>
      </c>
      <c r="C11538">
        <v>850152</v>
      </c>
      <c r="D11538" t="s">
        <v>176</v>
      </c>
      <c r="E11538">
        <v>0</v>
      </c>
      <c r="F11538">
        <v>0</v>
      </c>
      <c r="G11538">
        <v>0</v>
      </c>
      <c r="H11538">
        <f>_xlfn.XLOOKUP(FACT_IMPORTS[[#This Row],[hts_6]],DIM_PRODUCTS[hts_6],DIM_PRODUCTS[hts_4],,,)</f>
        <v>8501</v>
      </c>
      <c r="I11538" t="str" cm="1">
        <f t="array" ref="I11538">_xlfn.XLOOKUP(FACT_IMPORTS[[#This Row],[country_name]],DIM_COUNTRY[[#All],[Column2]],DIM_COUNTRY[[#All],[Column3]],,,)</f>
        <v>Major_Non-USMCA_Non-China</v>
      </c>
    </row>
    <row r="11539" spans="1:9" x14ac:dyDescent="0.4">
      <c r="A11539" t="s">
        <v>73</v>
      </c>
      <c r="B11539" s="1">
        <v>45323</v>
      </c>
      <c r="C11539">
        <v>850153</v>
      </c>
      <c r="D11539" t="s">
        <v>176</v>
      </c>
      <c r="E11539">
        <v>6000</v>
      </c>
      <c r="F11539">
        <v>2</v>
      </c>
      <c r="G11539">
        <v>4</v>
      </c>
      <c r="H11539">
        <f>_xlfn.XLOOKUP(FACT_IMPORTS[[#This Row],[hts_6]],DIM_PRODUCTS[hts_6],DIM_PRODUCTS[hts_4],,,)</f>
        <v>8501</v>
      </c>
      <c r="I11539" t="str" cm="1">
        <f t="array" ref="I11539">_xlfn.XLOOKUP(FACT_IMPORTS[[#This Row],[country_name]],DIM_COUNTRY[[#All],[Column2]],DIM_COUNTRY[[#All],[Column3]],,,)</f>
        <v>Major_Non-USMCA_Non-China</v>
      </c>
    </row>
    <row r="11540" spans="1:9" x14ac:dyDescent="0.4">
      <c r="A11540" t="s">
        <v>73</v>
      </c>
      <c r="B11540" s="1">
        <v>45323</v>
      </c>
      <c r="C11540">
        <v>850440</v>
      </c>
      <c r="D11540" t="s">
        <v>176</v>
      </c>
      <c r="E11540">
        <v>23820990</v>
      </c>
      <c r="F11540">
        <v>19574</v>
      </c>
      <c r="G11540">
        <v>3680</v>
      </c>
      <c r="H11540">
        <f>_xlfn.XLOOKUP(FACT_IMPORTS[[#This Row],[hts_6]],DIM_PRODUCTS[hts_6],DIM_PRODUCTS[hts_4],,,)</f>
        <v>8504</v>
      </c>
      <c r="I11540" t="str" cm="1">
        <f t="array" ref="I11540">_xlfn.XLOOKUP(FACT_IMPORTS[[#This Row],[country_name]],DIM_COUNTRY[[#All],[Column2]],DIM_COUNTRY[[#All],[Column3]],,,)</f>
        <v>Major_Non-USMCA_Non-China</v>
      </c>
    </row>
    <row r="11541" spans="1:9" x14ac:dyDescent="0.4">
      <c r="A11541" t="s">
        <v>73</v>
      </c>
      <c r="B11541" s="1">
        <v>45323</v>
      </c>
      <c r="C11541">
        <v>850710</v>
      </c>
      <c r="D11541" t="s">
        <v>176</v>
      </c>
      <c r="E11541">
        <v>787988</v>
      </c>
      <c r="F11541">
        <v>18058</v>
      </c>
      <c r="G11541">
        <v>33559</v>
      </c>
      <c r="H11541">
        <f>_xlfn.XLOOKUP(FACT_IMPORTS[[#This Row],[hts_6]],DIM_PRODUCTS[hts_6],DIM_PRODUCTS[hts_4],,,)</f>
        <v>8507</v>
      </c>
      <c r="I11541" t="str" cm="1">
        <f t="array" ref="I11541">_xlfn.XLOOKUP(FACT_IMPORTS[[#This Row],[country_name]],DIM_COUNTRY[[#All],[Column2]],DIM_COUNTRY[[#All],[Column3]],,,)</f>
        <v>Major_Non-USMCA_Non-China</v>
      </c>
    </row>
    <row r="11542" spans="1:9" x14ac:dyDescent="0.4">
      <c r="A11542" t="s">
        <v>73</v>
      </c>
      <c r="B11542" s="1">
        <v>45323</v>
      </c>
      <c r="C11542">
        <v>850760</v>
      </c>
      <c r="D11542" t="s">
        <v>176</v>
      </c>
      <c r="E11542">
        <v>637488</v>
      </c>
      <c r="F11542">
        <v>269</v>
      </c>
      <c r="G11542">
        <v>1169</v>
      </c>
      <c r="H11542">
        <f>_xlfn.XLOOKUP(FACT_IMPORTS[[#This Row],[hts_6]],DIM_PRODUCTS[hts_6],DIM_PRODUCTS[hts_4],,,)</f>
        <v>8507</v>
      </c>
      <c r="I11542" t="str" cm="1">
        <f t="array" ref="I11542">_xlfn.XLOOKUP(FACT_IMPORTS[[#This Row],[country_name]],DIM_COUNTRY[[#All],[Column2]],DIM_COUNTRY[[#All],[Column3]],,,)</f>
        <v>Major_Non-USMCA_Non-China</v>
      </c>
    </row>
    <row r="11543" spans="1:9" x14ac:dyDescent="0.4">
      <c r="A11543" t="s">
        <v>73</v>
      </c>
      <c r="B11543" s="1">
        <v>45323</v>
      </c>
      <c r="C11543">
        <v>850790</v>
      </c>
      <c r="D11543" t="s">
        <v>176</v>
      </c>
      <c r="E11543">
        <v>6732056</v>
      </c>
      <c r="F11543">
        <v>236924</v>
      </c>
      <c r="G11543">
        <v>13404</v>
      </c>
      <c r="H11543">
        <f>_xlfn.XLOOKUP(FACT_IMPORTS[[#This Row],[hts_6]],DIM_PRODUCTS[hts_6],DIM_PRODUCTS[hts_4],,,)</f>
        <v>8507</v>
      </c>
      <c r="I11543" t="str" cm="1">
        <f t="array" ref="I11543">_xlfn.XLOOKUP(FACT_IMPORTS[[#This Row],[country_name]],DIM_COUNTRY[[#All],[Column2]],DIM_COUNTRY[[#All],[Column3]],,,)</f>
        <v>Major_Non-USMCA_Non-China</v>
      </c>
    </row>
    <row r="11544" spans="1:9" x14ac:dyDescent="0.4">
      <c r="A11544" t="s">
        <v>73</v>
      </c>
      <c r="B11544" s="1">
        <v>45323</v>
      </c>
      <c r="C11544">
        <v>851130</v>
      </c>
      <c r="D11544" t="s">
        <v>176</v>
      </c>
      <c r="E11544">
        <v>16768</v>
      </c>
      <c r="F11544">
        <v>459</v>
      </c>
      <c r="G11544">
        <v>35</v>
      </c>
      <c r="H11544">
        <f>_xlfn.XLOOKUP(FACT_IMPORTS[[#This Row],[hts_6]],DIM_PRODUCTS[hts_6],DIM_PRODUCTS[hts_4],,,)</f>
        <v>8511</v>
      </c>
      <c r="I11544" t="str" cm="1">
        <f t="array" ref="I11544">_xlfn.XLOOKUP(FACT_IMPORTS[[#This Row],[country_name]],DIM_COUNTRY[[#All],[Column2]],DIM_COUNTRY[[#All],[Column3]],,,)</f>
        <v>Major_Non-USMCA_Non-China</v>
      </c>
    </row>
    <row r="11545" spans="1:9" x14ac:dyDescent="0.4">
      <c r="A11545" t="s">
        <v>73</v>
      </c>
      <c r="B11545" s="1">
        <v>45323</v>
      </c>
      <c r="C11545">
        <v>851140</v>
      </c>
      <c r="D11545" t="s">
        <v>176</v>
      </c>
      <c r="E11545">
        <v>3155052</v>
      </c>
      <c r="F11545">
        <v>10569</v>
      </c>
      <c r="G11545">
        <v>1850</v>
      </c>
      <c r="H11545">
        <f>_xlfn.XLOOKUP(FACT_IMPORTS[[#This Row],[hts_6]],DIM_PRODUCTS[hts_6],DIM_PRODUCTS[hts_4],,,)</f>
        <v>8511</v>
      </c>
      <c r="I11545" t="str" cm="1">
        <f t="array" ref="I11545">_xlfn.XLOOKUP(FACT_IMPORTS[[#This Row],[country_name]],DIM_COUNTRY[[#All],[Column2]],DIM_COUNTRY[[#All],[Column3]],,,)</f>
        <v>Major_Non-USMCA_Non-China</v>
      </c>
    </row>
    <row r="11546" spans="1:9" x14ac:dyDescent="0.4">
      <c r="A11546" t="s">
        <v>73</v>
      </c>
      <c r="B11546" s="1">
        <v>45323</v>
      </c>
      <c r="C11546">
        <v>851150</v>
      </c>
      <c r="D11546" t="s">
        <v>176</v>
      </c>
      <c r="E11546">
        <v>45093</v>
      </c>
      <c r="F11546">
        <v>168</v>
      </c>
      <c r="G11546">
        <v>41</v>
      </c>
      <c r="H11546">
        <f>_xlfn.XLOOKUP(FACT_IMPORTS[[#This Row],[hts_6]],DIM_PRODUCTS[hts_6],DIM_PRODUCTS[hts_4],,,)</f>
        <v>8511</v>
      </c>
      <c r="I11546" t="str" cm="1">
        <f t="array" ref="I11546">_xlfn.XLOOKUP(FACT_IMPORTS[[#This Row],[country_name]],DIM_COUNTRY[[#All],[Column2]],DIM_COUNTRY[[#All],[Column3]],,,)</f>
        <v>Major_Non-USMCA_Non-China</v>
      </c>
    </row>
    <row r="11547" spans="1:9" x14ac:dyDescent="0.4">
      <c r="A11547" t="s">
        <v>73</v>
      </c>
      <c r="B11547" s="1">
        <v>45323</v>
      </c>
      <c r="C11547">
        <v>851190</v>
      </c>
      <c r="D11547" t="s">
        <v>176</v>
      </c>
      <c r="E11547">
        <v>68007</v>
      </c>
      <c r="F11547">
        <v>7381</v>
      </c>
      <c r="G11547">
        <v>1830</v>
      </c>
      <c r="H11547">
        <f>_xlfn.XLOOKUP(FACT_IMPORTS[[#This Row],[hts_6]],DIM_PRODUCTS[hts_6],DIM_PRODUCTS[hts_4],,,)</f>
        <v>8511</v>
      </c>
      <c r="I11547" t="str" cm="1">
        <f t="array" ref="I11547">_xlfn.XLOOKUP(FACT_IMPORTS[[#This Row],[country_name]],DIM_COUNTRY[[#All],[Column2]],DIM_COUNTRY[[#All],[Column3]],,,)</f>
        <v>Major_Non-USMCA_Non-China</v>
      </c>
    </row>
    <row r="11548" spans="1:9" x14ac:dyDescent="0.4">
      <c r="A11548" t="s">
        <v>73</v>
      </c>
      <c r="B11548" s="1">
        <v>45323</v>
      </c>
      <c r="C11548">
        <v>851220</v>
      </c>
      <c r="D11548" t="s">
        <v>176</v>
      </c>
      <c r="E11548">
        <v>14125558</v>
      </c>
      <c r="F11548">
        <v>1495307</v>
      </c>
      <c r="G11548">
        <v>178310</v>
      </c>
      <c r="H11548">
        <f>_xlfn.XLOOKUP(FACT_IMPORTS[[#This Row],[hts_6]],DIM_PRODUCTS[hts_6],DIM_PRODUCTS[hts_4],,,)</f>
        <v>8512</v>
      </c>
      <c r="I11548" t="str" cm="1">
        <f t="array" ref="I11548">_xlfn.XLOOKUP(FACT_IMPORTS[[#This Row],[country_name]],DIM_COUNTRY[[#All],[Column2]],DIM_COUNTRY[[#All],[Column3]],,,)</f>
        <v>Major_Non-USMCA_Non-China</v>
      </c>
    </row>
    <row r="11549" spans="1:9" x14ac:dyDescent="0.4">
      <c r="A11549" t="s">
        <v>73</v>
      </c>
      <c r="B11549" s="1">
        <v>45323</v>
      </c>
      <c r="C11549">
        <v>851240</v>
      </c>
      <c r="D11549" t="s">
        <v>176</v>
      </c>
      <c r="E11549">
        <v>202023</v>
      </c>
      <c r="F11549">
        <v>9492</v>
      </c>
      <c r="G11549">
        <v>5926</v>
      </c>
      <c r="H11549">
        <f>_xlfn.XLOOKUP(FACT_IMPORTS[[#This Row],[hts_6]],DIM_PRODUCTS[hts_6],DIM_PRODUCTS[hts_4],,,)</f>
        <v>8512</v>
      </c>
      <c r="I11549" t="str" cm="1">
        <f t="array" ref="I11549">_xlfn.XLOOKUP(FACT_IMPORTS[[#This Row],[country_name]],DIM_COUNTRY[[#All],[Column2]],DIM_COUNTRY[[#All],[Column3]],,,)</f>
        <v>Major_Non-USMCA_Non-China</v>
      </c>
    </row>
    <row r="11550" spans="1:9" x14ac:dyDescent="0.4">
      <c r="A11550" t="s">
        <v>73</v>
      </c>
      <c r="B11550" s="1">
        <v>45323</v>
      </c>
      <c r="C11550">
        <v>851290</v>
      </c>
      <c r="D11550" t="s">
        <v>176</v>
      </c>
      <c r="E11550">
        <v>315008</v>
      </c>
      <c r="F11550">
        <v>27646</v>
      </c>
      <c r="G11550">
        <v>13977</v>
      </c>
      <c r="H11550">
        <f>_xlfn.XLOOKUP(FACT_IMPORTS[[#This Row],[hts_6]],DIM_PRODUCTS[hts_6],DIM_PRODUCTS[hts_4],,,)</f>
        <v>8512</v>
      </c>
      <c r="I11550" t="str" cm="1">
        <f t="array" ref="I11550">_xlfn.XLOOKUP(FACT_IMPORTS[[#This Row],[country_name]],DIM_COUNTRY[[#All],[Column2]],DIM_COUNTRY[[#All],[Column3]],,,)</f>
        <v>Major_Non-USMCA_Non-China</v>
      </c>
    </row>
    <row r="11551" spans="1:9" x14ac:dyDescent="0.4">
      <c r="A11551" t="s">
        <v>73</v>
      </c>
      <c r="B11551" s="1">
        <v>45323</v>
      </c>
      <c r="C11551">
        <v>854231</v>
      </c>
      <c r="D11551" t="s">
        <v>176</v>
      </c>
      <c r="E11551">
        <v>0</v>
      </c>
      <c r="F11551">
        <v>0</v>
      </c>
      <c r="G11551">
        <v>0</v>
      </c>
      <c r="H11551">
        <f>_xlfn.XLOOKUP(FACT_IMPORTS[[#This Row],[hts_6]],DIM_PRODUCTS[hts_6],DIM_PRODUCTS[hts_4],,,)</f>
        <v>8542</v>
      </c>
      <c r="I11551" t="str" cm="1">
        <f t="array" ref="I11551">_xlfn.XLOOKUP(FACT_IMPORTS[[#This Row],[country_name]],DIM_COUNTRY[[#All],[Column2]],DIM_COUNTRY[[#All],[Column3]],,,)</f>
        <v>Major_Non-USMCA_Non-China</v>
      </c>
    </row>
    <row r="11552" spans="1:9" x14ac:dyDescent="0.4">
      <c r="A11552" t="s">
        <v>73</v>
      </c>
      <c r="B11552" s="1">
        <v>45323</v>
      </c>
      <c r="C11552">
        <v>854232</v>
      </c>
      <c r="D11552" t="s">
        <v>176</v>
      </c>
      <c r="E11552">
        <v>0</v>
      </c>
      <c r="F11552">
        <v>0</v>
      </c>
      <c r="G11552">
        <v>0</v>
      </c>
      <c r="H11552">
        <f>_xlfn.XLOOKUP(FACT_IMPORTS[[#This Row],[hts_6]],DIM_PRODUCTS[hts_6],DIM_PRODUCTS[hts_4],,,)</f>
        <v>8542</v>
      </c>
      <c r="I11552" t="str" cm="1">
        <f t="array" ref="I11552">_xlfn.XLOOKUP(FACT_IMPORTS[[#This Row],[country_name]],DIM_COUNTRY[[#All],[Column2]],DIM_COUNTRY[[#All],[Column3]],,,)</f>
        <v>Major_Non-USMCA_Non-China</v>
      </c>
    </row>
    <row r="11553" spans="1:9" x14ac:dyDescent="0.4">
      <c r="A11553" t="s">
        <v>73</v>
      </c>
      <c r="B11553" s="1">
        <v>45323</v>
      </c>
      <c r="C11553">
        <v>854239</v>
      </c>
      <c r="D11553" t="s">
        <v>176</v>
      </c>
      <c r="E11553">
        <v>343491</v>
      </c>
      <c r="F11553">
        <v>88715</v>
      </c>
      <c r="G11553">
        <v>32399</v>
      </c>
      <c r="H11553">
        <f>_xlfn.XLOOKUP(FACT_IMPORTS[[#This Row],[hts_6]],DIM_PRODUCTS[hts_6],DIM_PRODUCTS[hts_4],,,)</f>
        <v>8542</v>
      </c>
      <c r="I11553" t="str" cm="1">
        <f t="array" ref="I11553">_xlfn.XLOOKUP(FACT_IMPORTS[[#This Row],[country_name]],DIM_COUNTRY[[#All],[Column2]],DIM_COUNTRY[[#All],[Column3]],,,)</f>
        <v>Major_Non-USMCA_Non-China</v>
      </c>
    </row>
    <row r="11554" spans="1:9" x14ac:dyDescent="0.4">
      <c r="A11554" t="s">
        <v>73</v>
      </c>
      <c r="B11554" s="1">
        <v>45323</v>
      </c>
      <c r="C11554">
        <v>854430</v>
      </c>
      <c r="D11554" t="s">
        <v>176</v>
      </c>
      <c r="E11554">
        <v>47868</v>
      </c>
      <c r="F11554">
        <v>197</v>
      </c>
      <c r="G11554">
        <v>158</v>
      </c>
      <c r="H11554">
        <f>_xlfn.XLOOKUP(FACT_IMPORTS[[#This Row],[hts_6]],DIM_PRODUCTS[hts_6],DIM_PRODUCTS[hts_4],,,)</f>
        <v>8544</v>
      </c>
      <c r="I11554" t="str" cm="1">
        <f t="array" ref="I11554">_xlfn.XLOOKUP(FACT_IMPORTS[[#This Row],[country_name]],DIM_COUNTRY[[#All],[Column2]],DIM_COUNTRY[[#All],[Column3]],,,)</f>
        <v>Major_Non-USMCA_Non-China</v>
      </c>
    </row>
    <row r="11555" spans="1:9" x14ac:dyDescent="0.4">
      <c r="A11555" t="s">
        <v>73</v>
      </c>
      <c r="B11555" s="1">
        <v>45323</v>
      </c>
      <c r="C11555">
        <v>870810</v>
      </c>
      <c r="D11555" t="s">
        <v>176</v>
      </c>
      <c r="E11555">
        <v>1142929</v>
      </c>
      <c r="F11555">
        <v>27704</v>
      </c>
      <c r="G11555">
        <v>6482</v>
      </c>
      <c r="H11555">
        <f>_xlfn.XLOOKUP(FACT_IMPORTS[[#This Row],[hts_6]],DIM_PRODUCTS[hts_6],DIM_PRODUCTS[hts_4],,,)</f>
        <v>8708</v>
      </c>
      <c r="I11555" t="str" cm="1">
        <f t="array" ref="I11555">_xlfn.XLOOKUP(FACT_IMPORTS[[#This Row],[country_name]],DIM_COUNTRY[[#All],[Column2]],DIM_COUNTRY[[#All],[Column3]],,,)</f>
        <v>Major_Non-USMCA_Non-China</v>
      </c>
    </row>
    <row r="11556" spans="1:9" x14ac:dyDescent="0.4">
      <c r="A11556" t="s">
        <v>73</v>
      </c>
      <c r="B11556" s="1">
        <v>45323</v>
      </c>
      <c r="C11556">
        <v>870822</v>
      </c>
      <c r="D11556" t="s">
        <v>176</v>
      </c>
      <c r="E11556">
        <v>57008</v>
      </c>
      <c r="F11556">
        <v>276</v>
      </c>
      <c r="G11556">
        <v>154</v>
      </c>
      <c r="H11556">
        <f>_xlfn.XLOOKUP(FACT_IMPORTS[[#This Row],[hts_6]],DIM_PRODUCTS[hts_6],DIM_PRODUCTS[hts_4],,,)</f>
        <v>8708</v>
      </c>
      <c r="I11556" t="str" cm="1">
        <f t="array" ref="I11556">_xlfn.XLOOKUP(FACT_IMPORTS[[#This Row],[country_name]],DIM_COUNTRY[[#All],[Column2]],DIM_COUNTRY[[#All],[Column3]],,,)</f>
        <v>Major_Non-USMCA_Non-China</v>
      </c>
    </row>
    <row r="11557" spans="1:9" x14ac:dyDescent="0.4">
      <c r="A11557" t="s">
        <v>73</v>
      </c>
      <c r="B11557" s="1">
        <v>45323</v>
      </c>
      <c r="C11557">
        <v>870829</v>
      </c>
      <c r="D11557" t="s">
        <v>176</v>
      </c>
      <c r="E11557">
        <v>6322050</v>
      </c>
      <c r="F11557">
        <v>2782061</v>
      </c>
      <c r="G11557">
        <v>168161</v>
      </c>
      <c r="H11557">
        <f>_xlfn.XLOOKUP(FACT_IMPORTS[[#This Row],[hts_6]],DIM_PRODUCTS[hts_6],DIM_PRODUCTS[hts_4],,,)</f>
        <v>8708</v>
      </c>
      <c r="I11557" t="str" cm="1">
        <f t="array" ref="I11557">_xlfn.XLOOKUP(FACT_IMPORTS[[#This Row],[country_name]],DIM_COUNTRY[[#All],[Column2]],DIM_COUNTRY[[#All],[Column3]],,,)</f>
        <v>Major_Non-USMCA_Non-China</v>
      </c>
    </row>
    <row r="11558" spans="1:9" x14ac:dyDescent="0.4">
      <c r="A11558" t="s">
        <v>73</v>
      </c>
      <c r="B11558" s="1">
        <v>45323</v>
      </c>
      <c r="C11558">
        <v>870830</v>
      </c>
      <c r="D11558" t="s">
        <v>176</v>
      </c>
      <c r="E11558">
        <v>424134</v>
      </c>
      <c r="F11558">
        <v>173250</v>
      </c>
      <c r="G11558">
        <v>6152</v>
      </c>
      <c r="H11558">
        <f>_xlfn.XLOOKUP(FACT_IMPORTS[[#This Row],[hts_6]],DIM_PRODUCTS[hts_6],DIM_PRODUCTS[hts_4],,,)</f>
        <v>8708</v>
      </c>
      <c r="I11558" t="str" cm="1">
        <f t="array" ref="I11558">_xlfn.XLOOKUP(FACT_IMPORTS[[#This Row],[country_name]],DIM_COUNTRY[[#All],[Column2]],DIM_COUNTRY[[#All],[Column3]],,,)</f>
        <v>Major_Non-USMCA_Non-China</v>
      </c>
    </row>
    <row r="11559" spans="1:9" x14ac:dyDescent="0.4">
      <c r="A11559" t="s">
        <v>73</v>
      </c>
      <c r="B11559" s="1">
        <v>45323</v>
      </c>
      <c r="C11559">
        <v>870840</v>
      </c>
      <c r="D11559" t="s">
        <v>176</v>
      </c>
      <c r="E11559">
        <v>3351539</v>
      </c>
      <c r="F11559">
        <v>323602</v>
      </c>
      <c r="G11559">
        <v>63399</v>
      </c>
      <c r="H11559">
        <f>_xlfn.XLOOKUP(FACT_IMPORTS[[#This Row],[hts_6]],DIM_PRODUCTS[hts_6],DIM_PRODUCTS[hts_4],,,)</f>
        <v>8708</v>
      </c>
      <c r="I11559" t="str" cm="1">
        <f t="array" ref="I11559">_xlfn.XLOOKUP(FACT_IMPORTS[[#This Row],[country_name]],DIM_COUNTRY[[#All],[Column2]],DIM_COUNTRY[[#All],[Column3]],,,)</f>
        <v>Major_Non-USMCA_Non-China</v>
      </c>
    </row>
    <row r="11560" spans="1:9" x14ac:dyDescent="0.4">
      <c r="A11560" t="s">
        <v>73</v>
      </c>
      <c r="B11560" s="1">
        <v>45323</v>
      </c>
      <c r="C11560">
        <v>870850</v>
      </c>
      <c r="D11560" t="s">
        <v>176</v>
      </c>
      <c r="E11560">
        <v>18841152</v>
      </c>
      <c r="F11560">
        <v>1398646</v>
      </c>
      <c r="G11560">
        <v>556306</v>
      </c>
      <c r="H11560">
        <f>_xlfn.XLOOKUP(FACT_IMPORTS[[#This Row],[hts_6]],DIM_PRODUCTS[hts_6],DIM_PRODUCTS[hts_4],,,)</f>
        <v>8708</v>
      </c>
      <c r="I11560" t="str" cm="1">
        <f t="array" ref="I11560">_xlfn.XLOOKUP(FACT_IMPORTS[[#This Row],[country_name]],DIM_COUNTRY[[#All],[Column2]],DIM_COUNTRY[[#All],[Column3]],,,)</f>
        <v>Major_Non-USMCA_Non-China</v>
      </c>
    </row>
    <row r="11561" spans="1:9" x14ac:dyDescent="0.4">
      <c r="A11561" t="s">
        <v>73</v>
      </c>
      <c r="B11561" s="1">
        <v>45323</v>
      </c>
      <c r="C11561">
        <v>870870</v>
      </c>
      <c r="D11561" t="s">
        <v>176</v>
      </c>
      <c r="E11561">
        <v>2089791</v>
      </c>
      <c r="F11561">
        <v>29103</v>
      </c>
      <c r="G11561">
        <v>18084</v>
      </c>
      <c r="H11561">
        <f>_xlfn.XLOOKUP(FACT_IMPORTS[[#This Row],[hts_6]],DIM_PRODUCTS[hts_6],DIM_PRODUCTS[hts_4],,,)</f>
        <v>8708</v>
      </c>
      <c r="I11561" t="str" cm="1">
        <f t="array" ref="I11561">_xlfn.XLOOKUP(FACT_IMPORTS[[#This Row],[country_name]],DIM_COUNTRY[[#All],[Column2]],DIM_COUNTRY[[#All],[Column3]],,,)</f>
        <v>Major_Non-USMCA_Non-China</v>
      </c>
    </row>
    <row r="11562" spans="1:9" x14ac:dyDescent="0.4">
      <c r="A11562" t="s">
        <v>73</v>
      </c>
      <c r="B11562" s="1">
        <v>45323</v>
      </c>
      <c r="C11562">
        <v>870880</v>
      </c>
      <c r="D11562" t="s">
        <v>176</v>
      </c>
      <c r="E11562">
        <v>4540666</v>
      </c>
      <c r="F11562">
        <v>1092466</v>
      </c>
      <c r="G11562">
        <v>134542</v>
      </c>
      <c r="H11562">
        <f>_xlfn.XLOOKUP(FACT_IMPORTS[[#This Row],[hts_6]],DIM_PRODUCTS[hts_6],DIM_PRODUCTS[hts_4],,,)</f>
        <v>8708</v>
      </c>
      <c r="I11562" t="str" cm="1">
        <f t="array" ref="I11562">_xlfn.XLOOKUP(FACT_IMPORTS[[#This Row],[country_name]],DIM_COUNTRY[[#All],[Column2]],DIM_COUNTRY[[#All],[Column3]],,,)</f>
        <v>Major_Non-USMCA_Non-China</v>
      </c>
    </row>
    <row r="11563" spans="1:9" x14ac:dyDescent="0.4">
      <c r="A11563" t="s">
        <v>73</v>
      </c>
      <c r="B11563" s="1">
        <v>45323</v>
      </c>
      <c r="C11563">
        <v>870891</v>
      </c>
      <c r="D11563" t="s">
        <v>176</v>
      </c>
      <c r="E11563">
        <v>87550</v>
      </c>
      <c r="F11563">
        <v>607</v>
      </c>
      <c r="G11563">
        <v>229</v>
      </c>
      <c r="H11563">
        <f>_xlfn.XLOOKUP(FACT_IMPORTS[[#This Row],[hts_6]],DIM_PRODUCTS[hts_6],DIM_PRODUCTS[hts_4],,,)</f>
        <v>8708</v>
      </c>
      <c r="I11563" t="str" cm="1">
        <f t="array" ref="I11563">_xlfn.XLOOKUP(FACT_IMPORTS[[#This Row],[country_name]],DIM_COUNTRY[[#All],[Column2]],DIM_COUNTRY[[#All],[Column3]],,,)</f>
        <v>Major_Non-USMCA_Non-China</v>
      </c>
    </row>
    <row r="11564" spans="1:9" x14ac:dyDescent="0.4">
      <c r="A11564" t="s">
        <v>73</v>
      </c>
      <c r="B11564" s="1">
        <v>45323</v>
      </c>
      <c r="C11564">
        <v>870892</v>
      </c>
      <c r="D11564" t="s">
        <v>176</v>
      </c>
      <c r="E11564">
        <v>27831</v>
      </c>
      <c r="F11564">
        <v>70</v>
      </c>
      <c r="G11564">
        <v>40</v>
      </c>
      <c r="H11564">
        <f>_xlfn.XLOOKUP(FACT_IMPORTS[[#This Row],[hts_6]],DIM_PRODUCTS[hts_6],DIM_PRODUCTS[hts_4],,,)</f>
        <v>8708</v>
      </c>
      <c r="I11564" t="str" cm="1">
        <f t="array" ref="I11564">_xlfn.XLOOKUP(FACT_IMPORTS[[#This Row],[country_name]],DIM_COUNTRY[[#All],[Column2]],DIM_COUNTRY[[#All],[Column3]],,,)</f>
        <v>Major_Non-USMCA_Non-China</v>
      </c>
    </row>
    <row r="11565" spans="1:9" x14ac:dyDescent="0.4">
      <c r="A11565" t="s">
        <v>73</v>
      </c>
      <c r="B11565" s="1">
        <v>45323</v>
      </c>
      <c r="C11565">
        <v>870893</v>
      </c>
      <c r="D11565" t="s">
        <v>176</v>
      </c>
      <c r="E11565">
        <v>1004762</v>
      </c>
      <c r="F11565">
        <v>83743</v>
      </c>
      <c r="G11565">
        <v>11787</v>
      </c>
      <c r="H11565">
        <f>_xlfn.XLOOKUP(FACT_IMPORTS[[#This Row],[hts_6]],DIM_PRODUCTS[hts_6],DIM_PRODUCTS[hts_4],,,)</f>
        <v>8708</v>
      </c>
      <c r="I11565" t="str" cm="1">
        <f t="array" ref="I11565">_xlfn.XLOOKUP(FACT_IMPORTS[[#This Row],[country_name]],DIM_COUNTRY[[#All],[Column2]],DIM_COUNTRY[[#All],[Column3]],,,)</f>
        <v>Major_Non-USMCA_Non-China</v>
      </c>
    </row>
    <row r="11566" spans="1:9" x14ac:dyDescent="0.4">
      <c r="A11566" t="s">
        <v>73</v>
      </c>
      <c r="B11566" s="1">
        <v>45323</v>
      </c>
      <c r="C11566">
        <v>870894</v>
      </c>
      <c r="D11566" t="s">
        <v>176</v>
      </c>
      <c r="E11566">
        <v>1104787</v>
      </c>
      <c r="F11566">
        <v>114048</v>
      </c>
      <c r="G11566">
        <v>798</v>
      </c>
      <c r="H11566">
        <f>_xlfn.XLOOKUP(FACT_IMPORTS[[#This Row],[hts_6]],DIM_PRODUCTS[hts_6],DIM_PRODUCTS[hts_4],,,)</f>
        <v>8708</v>
      </c>
      <c r="I11566" t="str" cm="1">
        <f t="array" ref="I11566">_xlfn.XLOOKUP(FACT_IMPORTS[[#This Row],[country_name]],DIM_COUNTRY[[#All],[Column2]],DIM_COUNTRY[[#All],[Column3]],,,)</f>
        <v>Major_Non-USMCA_Non-China</v>
      </c>
    </row>
    <row r="11567" spans="1:9" x14ac:dyDescent="0.4">
      <c r="A11567" t="s">
        <v>73</v>
      </c>
      <c r="B11567" s="1">
        <v>45323</v>
      </c>
      <c r="C11567">
        <v>870895</v>
      </c>
      <c r="D11567" t="s">
        <v>176</v>
      </c>
      <c r="E11567">
        <v>0</v>
      </c>
      <c r="F11567">
        <v>0</v>
      </c>
      <c r="G11567">
        <v>0</v>
      </c>
      <c r="H11567">
        <f>_xlfn.XLOOKUP(FACT_IMPORTS[[#This Row],[hts_6]],DIM_PRODUCTS[hts_6],DIM_PRODUCTS[hts_4],,,)</f>
        <v>8708</v>
      </c>
      <c r="I11567" t="str" cm="1">
        <f t="array" ref="I11567">_xlfn.XLOOKUP(FACT_IMPORTS[[#This Row],[country_name]],DIM_COUNTRY[[#All],[Column2]],DIM_COUNTRY[[#All],[Column3]],,,)</f>
        <v>Major_Non-USMCA_Non-China</v>
      </c>
    </row>
    <row r="11568" spans="1:9" x14ac:dyDescent="0.4">
      <c r="A11568" t="s">
        <v>73</v>
      </c>
      <c r="B11568" s="1">
        <v>45323</v>
      </c>
      <c r="C11568">
        <v>870899</v>
      </c>
      <c r="D11568" t="s">
        <v>176</v>
      </c>
      <c r="E11568">
        <v>21524640</v>
      </c>
      <c r="F11568">
        <v>3847807</v>
      </c>
      <c r="G11568">
        <v>822926</v>
      </c>
      <c r="H11568">
        <f>_xlfn.XLOOKUP(FACT_IMPORTS[[#This Row],[hts_6]],DIM_PRODUCTS[hts_6],DIM_PRODUCTS[hts_4],,,)</f>
        <v>8708</v>
      </c>
      <c r="I11568" t="str" cm="1">
        <f t="array" ref="I11568">_xlfn.XLOOKUP(FACT_IMPORTS[[#This Row],[country_name]],DIM_COUNTRY[[#All],[Column2]],DIM_COUNTRY[[#All],[Column3]],,,)</f>
        <v>Major_Non-USMCA_Non-China</v>
      </c>
    </row>
    <row r="11569" spans="1:9" x14ac:dyDescent="0.4">
      <c r="A11569" t="s">
        <v>73</v>
      </c>
      <c r="B11569" s="1">
        <v>45323</v>
      </c>
      <c r="C11569">
        <v>940120</v>
      </c>
      <c r="D11569" t="s">
        <v>176</v>
      </c>
      <c r="E11569">
        <v>0</v>
      </c>
      <c r="F11569">
        <v>0</v>
      </c>
      <c r="G11569">
        <v>0</v>
      </c>
      <c r="H11569">
        <f>_xlfn.XLOOKUP(FACT_IMPORTS[[#This Row],[hts_6]],DIM_PRODUCTS[hts_6],DIM_PRODUCTS[hts_4],,,)</f>
        <v>9401</v>
      </c>
      <c r="I11569" t="str" cm="1">
        <f t="array" ref="I11569">_xlfn.XLOOKUP(FACT_IMPORTS[[#This Row],[country_name]],DIM_COUNTRY[[#All],[Column2]],DIM_COUNTRY[[#All],[Column3]],,,)</f>
        <v>Major_Non-USMCA_Non-China</v>
      </c>
    </row>
    <row r="11570" spans="1:9" x14ac:dyDescent="0.4">
      <c r="A11570" t="s">
        <v>73</v>
      </c>
      <c r="B11570" s="1">
        <v>45352</v>
      </c>
      <c r="C11570">
        <v>392630</v>
      </c>
      <c r="D11570" t="s">
        <v>176</v>
      </c>
      <c r="E11570">
        <v>927215</v>
      </c>
      <c r="F11570">
        <v>56085</v>
      </c>
      <c r="G11570">
        <v>60842</v>
      </c>
      <c r="H11570">
        <f>_xlfn.XLOOKUP(FACT_IMPORTS[[#This Row],[hts_6]],DIM_PRODUCTS[hts_6],DIM_PRODUCTS[hts_4],,,)</f>
        <v>3926</v>
      </c>
      <c r="I11570" t="str" cm="1">
        <f t="array" ref="I11570">_xlfn.XLOOKUP(FACT_IMPORTS[[#This Row],[country_name]],DIM_COUNTRY[[#All],[Column2]],DIM_COUNTRY[[#All],[Column3]],,,)</f>
        <v>Major_Non-USMCA_Non-China</v>
      </c>
    </row>
    <row r="11571" spans="1:9" x14ac:dyDescent="0.4">
      <c r="A11571" t="s">
        <v>73</v>
      </c>
      <c r="B11571" s="1">
        <v>45352</v>
      </c>
      <c r="C11571">
        <v>401110</v>
      </c>
      <c r="D11571" t="s">
        <v>176</v>
      </c>
      <c r="E11571">
        <v>3581161</v>
      </c>
      <c r="F11571">
        <v>55477</v>
      </c>
      <c r="G11571">
        <v>593281</v>
      </c>
      <c r="H11571">
        <f>_xlfn.XLOOKUP(FACT_IMPORTS[[#This Row],[hts_6]],DIM_PRODUCTS[hts_6],DIM_PRODUCTS[hts_4],,,)</f>
        <v>4011</v>
      </c>
      <c r="I11571" t="str" cm="1">
        <f t="array" ref="I11571">_xlfn.XLOOKUP(FACT_IMPORTS[[#This Row],[country_name]],DIM_COUNTRY[[#All],[Column2]],DIM_COUNTRY[[#All],[Column3]],,,)</f>
        <v>Major_Non-USMCA_Non-China</v>
      </c>
    </row>
    <row r="11572" spans="1:9" x14ac:dyDescent="0.4">
      <c r="A11572" t="s">
        <v>73</v>
      </c>
      <c r="B11572" s="1">
        <v>45352</v>
      </c>
      <c r="C11572">
        <v>401120</v>
      </c>
      <c r="D11572" t="s">
        <v>176</v>
      </c>
      <c r="E11572">
        <v>75230</v>
      </c>
      <c r="F11572">
        <v>994</v>
      </c>
      <c r="G11572">
        <v>11393</v>
      </c>
      <c r="H11572">
        <f>_xlfn.XLOOKUP(FACT_IMPORTS[[#This Row],[hts_6]],DIM_PRODUCTS[hts_6],DIM_PRODUCTS[hts_4],,,)</f>
        <v>4011</v>
      </c>
      <c r="I11572" t="str" cm="1">
        <f t="array" ref="I11572">_xlfn.XLOOKUP(FACT_IMPORTS[[#This Row],[country_name]],DIM_COUNTRY[[#All],[Column2]],DIM_COUNTRY[[#All],[Column3]],,,)</f>
        <v>Major_Non-USMCA_Non-China</v>
      </c>
    </row>
    <row r="11573" spans="1:9" x14ac:dyDescent="0.4">
      <c r="A11573" t="s">
        <v>73</v>
      </c>
      <c r="B11573" s="1">
        <v>45352</v>
      </c>
      <c r="C11573">
        <v>401190</v>
      </c>
      <c r="D11573" t="s">
        <v>176</v>
      </c>
      <c r="E11573">
        <v>0</v>
      </c>
      <c r="F11573">
        <v>0</v>
      </c>
      <c r="G11573">
        <v>0</v>
      </c>
      <c r="H11573">
        <f>_xlfn.XLOOKUP(FACT_IMPORTS[[#This Row],[hts_6]],DIM_PRODUCTS[hts_6],DIM_PRODUCTS[hts_4],,,)</f>
        <v>4011</v>
      </c>
      <c r="I11573" t="str" cm="1">
        <f t="array" ref="I11573">_xlfn.XLOOKUP(FACT_IMPORTS[[#This Row],[country_name]],DIM_COUNTRY[[#All],[Column2]],DIM_COUNTRY[[#All],[Column3]],,,)</f>
        <v>Major_Non-USMCA_Non-China</v>
      </c>
    </row>
    <row r="11574" spans="1:9" x14ac:dyDescent="0.4">
      <c r="A11574" t="s">
        <v>73</v>
      </c>
      <c r="B11574" s="1">
        <v>45352</v>
      </c>
      <c r="C11574">
        <v>700711</v>
      </c>
      <c r="D11574" t="s">
        <v>176</v>
      </c>
      <c r="E11574">
        <v>0</v>
      </c>
      <c r="F11574">
        <v>0</v>
      </c>
      <c r="G11574">
        <v>0</v>
      </c>
      <c r="H11574">
        <f>_xlfn.XLOOKUP(FACT_IMPORTS[[#This Row],[hts_6]],DIM_PRODUCTS[hts_6],DIM_PRODUCTS[hts_4],,,)</f>
        <v>7007</v>
      </c>
      <c r="I11574" t="str" cm="1">
        <f t="array" ref="I11574">_xlfn.XLOOKUP(FACT_IMPORTS[[#This Row],[country_name]],DIM_COUNTRY[[#All],[Column2]],DIM_COUNTRY[[#All],[Column3]],,,)</f>
        <v>Major_Non-USMCA_Non-China</v>
      </c>
    </row>
    <row r="11575" spans="1:9" x14ac:dyDescent="0.4">
      <c r="A11575" t="s">
        <v>73</v>
      </c>
      <c r="B11575" s="1">
        <v>45352</v>
      </c>
      <c r="C11575">
        <v>700910</v>
      </c>
      <c r="D11575" t="s">
        <v>176</v>
      </c>
      <c r="E11575">
        <v>66647</v>
      </c>
      <c r="F11575">
        <v>762</v>
      </c>
      <c r="G11575">
        <v>10065</v>
      </c>
      <c r="H11575">
        <f>_xlfn.XLOOKUP(FACT_IMPORTS[[#This Row],[hts_6]],DIM_PRODUCTS[hts_6],DIM_PRODUCTS[hts_4],,,)</f>
        <v>7009</v>
      </c>
      <c r="I11575" t="str" cm="1">
        <f t="array" ref="I11575">_xlfn.XLOOKUP(FACT_IMPORTS[[#This Row],[country_name]],DIM_COUNTRY[[#All],[Column2]],DIM_COUNTRY[[#All],[Column3]],,,)</f>
        <v>Major_Non-USMCA_Non-China</v>
      </c>
    </row>
    <row r="11576" spans="1:9" x14ac:dyDescent="0.4">
      <c r="A11576" t="s">
        <v>73</v>
      </c>
      <c r="B11576" s="1">
        <v>45352</v>
      </c>
      <c r="C11576">
        <v>830230</v>
      </c>
      <c r="D11576" t="s">
        <v>176</v>
      </c>
      <c r="E11576">
        <v>1890008</v>
      </c>
      <c r="F11576">
        <v>377137</v>
      </c>
      <c r="G11576">
        <v>25734</v>
      </c>
      <c r="H11576">
        <f>_xlfn.XLOOKUP(FACT_IMPORTS[[#This Row],[hts_6]],DIM_PRODUCTS[hts_6],DIM_PRODUCTS[hts_4],,,)</f>
        <v>8302</v>
      </c>
      <c r="I11576" t="str" cm="1">
        <f t="array" ref="I11576">_xlfn.XLOOKUP(FACT_IMPORTS[[#This Row],[country_name]],DIM_COUNTRY[[#All],[Column2]],DIM_COUNTRY[[#All],[Column3]],,,)</f>
        <v>Major_Non-USMCA_Non-China</v>
      </c>
    </row>
    <row r="11577" spans="1:9" x14ac:dyDescent="0.4">
      <c r="A11577" t="s">
        <v>73</v>
      </c>
      <c r="B11577" s="1">
        <v>45352</v>
      </c>
      <c r="C11577">
        <v>840734</v>
      </c>
      <c r="D11577" t="s">
        <v>176</v>
      </c>
      <c r="E11577">
        <v>234468</v>
      </c>
      <c r="F11577">
        <v>34</v>
      </c>
      <c r="G11577">
        <v>327</v>
      </c>
      <c r="H11577">
        <f>_xlfn.XLOOKUP(FACT_IMPORTS[[#This Row],[hts_6]],DIM_PRODUCTS[hts_6],DIM_PRODUCTS[hts_4],,,)</f>
        <v>8407</v>
      </c>
      <c r="I11577" t="str" cm="1">
        <f t="array" ref="I11577">_xlfn.XLOOKUP(FACT_IMPORTS[[#This Row],[country_name]],DIM_COUNTRY[[#All],[Column2]],DIM_COUNTRY[[#All],[Column3]],,,)</f>
        <v>Major_Non-USMCA_Non-China</v>
      </c>
    </row>
    <row r="11578" spans="1:9" x14ac:dyDescent="0.4">
      <c r="A11578" t="s">
        <v>73</v>
      </c>
      <c r="B11578" s="1">
        <v>45352</v>
      </c>
      <c r="C11578">
        <v>840820</v>
      </c>
      <c r="D11578" t="s">
        <v>176</v>
      </c>
      <c r="E11578">
        <v>3000</v>
      </c>
      <c r="F11578">
        <v>1</v>
      </c>
      <c r="G11578">
        <v>200</v>
      </c>
      <c r="H11578">
        <f>_xlfn.XLOOKUP(FACT_IMPORTS[[#This Row],[hts_6]],DIM_PRODUCTS[hts_6],DIM_PRODUCTS[hts_4],,,)</f>
        <v>8408</v>
      </c>
      <c r="I11578" t="str" cm="1">
        <f t="array" ref="I11578">_xlfn.XLOOKUP(FACT_IMPORTS[[#This Row],[country_name]],DIM_COUNTRY[[#All],[Column2]],DIM_COUNTRY[[#All],[Column3]],,,)</f>
        <v>Major_Non-USMCA_Non-China</v>
      </c>
    </row>
    <row r="11579" spans="1:9" x14ac:dyDescent="0.4">
      <c r="A11579" t="s">
        <v>73</v>
      </c>
      <c r="B11579" s="1">
        <v>45352</v>
      </c>
      <c r="C11579">
        <v>840890</v>
      </c>
      <c r="D11579" t="s">
        <v>176</v>
      </c>
      <c r="E11579">
        <v>0</v>
      </c>
      <c r="F11579">
        <v>0</v>
      </c>
      <c r="G11579">
        <v>0</v>
      </c>
      <c r="H11579">
        <f>_xlfn.XLOOKUP(FACT_IMPORTS[[#This Row],[hts_6]],DIM_PRODUCTS[hts_6],DIM_PRODUCTS[hts_4],,,)</f>
        <v>8408</v>
      </c>
      <c r="I11579" t="str" cm="1">
        <f t="array" ref="I11579">_xlfn.XLOOKUP(FACT_IMPORTS[[#This Row],[country_name]],DIM_COUNTRY[[#All],[Column2]],DIM_COUNTRY[[#All],[Column3]],,,)</f>
        <v>Major_Non-USMCA_Non-China</v>
      </c>
    </row>
    <row r="11580" spans="1:9" x14ac:dyDescent="0.4">
      <c r="A11580" t="s">
        <v>73</v>
      </c>
      <c r="B11580" s="1">
        <v>45352</v>
      </c>
      <c r="C11580">
        <v>840991</v>
      </c>
      <c r="D11580" t="s">
        <v>176</v>
      </c>
      <c r="E11580">
        <v>3974822</v>
      </c>
      <c r="F11580">
        <v>335655</v>
      </c>
      <c r="G11580">
        <v>77668</v>
      </c>
      <c r="H11580">
        <f>_xlfn.XLOOKUP(FACT_IMPORTS[[#This Row],[hts_6]],DIM_PRODUCTS[hts_6],DIM_PRODUCTS[hts_4],,,)</f>
        <v>8409</v>
      </c>
      <c r="I11580" t="str" cm="1">
        <f t="array" ref="I11580">_xlfn.XLOOKUP(FACT_IMPORTS[[#This Row],[country_name]],DIM_COUNTRY[[#All],[Column2]],DIM_COUNTRY[[#All],[Column3]],,,)</f>
        <v>Major_Non-USMCA_Non-China</v>
      </c>
    </row>
    <row r="11581" spans="1:9" x14ac:dyDescent="0.4">
      <c r="A11581" t="s">
        <v>73</v>
      </c>
      <c r="B11581" s="1">
        <v>45352</v>
      </c>
      <c r="C11581">
        <v>840999</v>
      </c>
      <c r="D11581" t="s">
        <v>176</v>
      </c>
      <c r="E11581">
        <v>342547</v>
      </c>
      <c r="F11581">
        <v>15540</v>
      </c>
      <c r="G11581">
        <v>8660</v>
      </c>
      <c r="H11581">
        <f>_xlfn.XLOOKUP(FACT_IMPORTS[[#This Row],[hts_6]],DIM_PRODUCTS[hts_6],DIM_PRODUCTS[hts_4],,,)</f>
        <v>8409</v>
      </c>
      <c r="I11581" t="str" cm="1">
        <f t="array" ref="I11581">_xlfn.XLOOKUP(FACT_IMPORTS[[#This Row],[country_name]],DIM_COUNTRY[[#All],[Column2]],DIM_COUNTRY[[#All],[Column3]],,,)</f>
        <v>Major_Non-USMCA_Non-China</v>
      </c>
    </row>
    <row r="11582" spans="1:9" x14ac:dyDescent="0.4">
      <c r="A11582" t="s">
        <v>73</v>
      </c>
      <c r="B11582" s="1">
        <v>45352</v>
      </c>
      <c r="C11582">
        <v>841330</v>
      </c>
      <c r="D11582" t="s">
        <v>176</v>
      </c>
      <c r="E11582">
        <v>2819010</v>
      </c>
      <c r="F11582">
        <v>56752</v>
      </c>
      <c r="G11582">
        <v>85978</v>
      </c>
      <c r="H11582">
        <f>_xlfn.XLOOKUP(FACT_IMPORTS[[#This Row],[hts_6]],DIM_PRODUCTS[hts_6],DIM_PRODUCTS[hts_4],,,)</f>
        <v>8413</v>
      </c>
      <c r="I11582" t="str" cm="1">
        <f t="array" ref="I11582">_xlfn.XLOOKUP(FACT_IMPORTS[[#This Row],[country_name]],DIM_COUNTRY[[#All],[Column2]],DIM_COUNTRY[[#All],[Column3]],,,)</f>
        <v>Major_Non-USMCA_Non-China</v>
      </c>
    </row>
    <row r="11583" spans="1:9" x14ac:dyDescent="0.4">
      <c r="A11583" t="s">
        <v>73</v>
      </c>
      <c r="B11583" s="1">
        <v>45352</v>
      </c>
      <c r="C11583">
        <v>842132</v>
      </c>
      <c r="D11583" t="s">
        <v>176</v>
      </c>
      <c r="E11583">
        <v>146453</v>
      </c>
      <c r="F11583">
        <v>78</v>
      </c>
      <c r="G11583">
        <v>149</v>
      </c>
      <c r="H11583">
        <f>_xlfn.XLOOKUP(FACT_IMPORTS[[#This Row],[hts_6]],DIM_PRODUCTS[hts_6],DIM_PRODUCTS[hts_4],,,)</f>
        <v>8421</v>
      </c>
      <c r="I11583" t="str" cm="1">
        <f t="array" ref="I11583">_xlfn.XLOOKUP(FACT_IMPORTS[[#This Row],[country_name]],DIM_COUNTRY[[#All],[Column2]],DIM_COUNTRY[[#All],[Column3]],,,)</f>
        <v>Major_Non-USMCA_Non-China</v>
      </c>
    </row>
    <row r="11584" spans="1:9" x14ac:dyDescent="0.4">
      <c r="A11584" t="s">
        <v>73</v>
      </c>
      <c r="B11584" s="1">
        <v>45352</v>
      </c>
      <c r="C11584">
        <v>848210</v>
      </c>
      <c r="D11584" t="s">
        <v>176</v>
      </c>
      <c r="E11584">
        <v>232224</v>
      </c>
      <c r="F11584">
        <v>114785</v>
      </c>
      <c r="G11584">
        <v>298</v>
      </c>
      <c r="H11584">
        <f>_xlfn.XLOOKUP(FACT_IMPORTS[[#This Row],[hts_6]],DIM_PRODUCTS[hts_6],DIM_PRODUCTS[hts_4],,,)</f>
        <v>8482</v>
      </c>
      <c r="I11584" t="str" cm="1">
        <f t="array" ref="I11584">_xlfn.XLOOKUP(FACT_IMPORTS[[#This Row],[country_name]],DIM_COUNTRY[[#All],[Column2]],DIM_COUNTRY[[#All],[Column3]],,,)</f>
        <v>Major_Non-USMCA_Non-China</v>
      </c>
    </row>
    <row r="11585" spans="1:9" x14ac:dyDescent="0.4">
      <c r="A11585" t="s">
        <v>73</v>
      </c>
      <c r="B11585" s="1">
        <v>45352</v>
      </c>
      <c r="C11585">
        <v>848220</v>
      </c>
      <c r="D11585" t="s">
        <v>176</v>
      </c>
      <c r="E11585">
        <v>2982831</v>
      </c>
      <c r="F11585">
        <v>727370</v>
      </c>
      <c r="G11585">
        <v>40</v>
      </c>
      <c r="H11585">
        <f>_xlfn.XLOOKUP(FACT_IMPORTS[[#This Row],[hts_6]],DIM_PRODUCTS[hts_6],DIM_PRODUCTS[hts_4],,,)</f>
        <v>8482</v>
      </c>
      <c r="I11585" t="str" cm="1">
        <f t="array" ref="I11585">_xlfn.XLOOKUP(FACT_IMPORTS[[#This Row],[country_name]],DIM_COUNTRY[[#All],[Column2]],DIM_COUNTRY[[#All],[Column3]],,,)</f>
        <v>Major_Non-USMCA_Non-China</v>
      </c>
    </row>
    <row r="11586" spans="1:9" x14ac:dyDescent="0.4">
      <c r="A11586" t="s">
        <v>73</v>
      </c>
      <c r="B11586" s="1">
        <v>45352</v>
      </c>
      <c r="C11586">
        <v>848310</v>
      </c>
      <c r="D11586" t="s">
        <v>176</v>
      </c>
      <c r="E11586">
        <v>0</v>
      </c>
      <c r="F11586">
        <v>0</v>
      </c>
      <c r="G11586">
        <v>0</v>
      </c>
      <c r="H11586">
        <f>_xlfn.XLOOKUP(FACT_IMPORTS[[#This Row],[hts_6]],DIM_PRODUCTS[hts_6],DIM_PRODUCTS[hts_4],,,)</f>
        <v>8483</v>
      </c>
      <c r="I11586" t="str" cm="1">
        <f t="array" ref="I11586">_xlfn.XLOOKUP(FACT_IMPORTS[[#This Row],[country_name]],DIM_COUNTRY[[#All],[Column2]],DIM_COUNTRY[[#All],[Column3]],,,)</f>
        <v>Major_Non-USMCA_Non-China</v>
      </c>
    </row>
    <row r="11587" spans="1:9" x14ac:dyDescent="0.4">
      <c r="A11587" t="s">
        <v>73</v>
      </c>
      <c r="B11587" s="1">
        <v>45352</v>
      </c>
      <c r="C11587">
        <v>850131</v>
      </c>
      <c r="D11587" t="s">
        <v>176</v>
      </c>
      <c r="E11587">
        <v>1931223</v>
      </c>
      <c r="F11587">
        <v>143770</v>
      </c>
      <c r="G11587">
        <v>5972</v>
      </c>
      <c r="H11587">
        <f>_xlfn.XLOOKUP(FACT_IMPORTS[[#This Row],[hts_6]],DIM_PRODUCTS[hts_6],DIM_PRODUCTS[hts_4],,,)</f>
        <v>8501</v>
      </c>
      <c r="I11587" t="str" cm="1">
        <f t="array" ref="I11587">_xlfn.XLOOKUP(FACT_IMPORTS[[#This Row],[country_name]],DIM_COUNTRY[[#All],[Column2]],DIM_COUNTRY[[#All],[Column3]],,,)</f>
        <v>Major_Non-USMCA_Non-China</v>
      </c>
    </row>
    <row r="11588" spans="1:9" x14ac:dyDescent="0.4">
      <c r="A11588" t="s">
        <v>73</v>
      </c>
      <c r="B11588" s="1">
        <v>45352</v>
      </c>
      <c r="C11588">
        <v>850152</v>
      </c>
      <c r="D11588" t="s">
        <v>176</v>
      </c>
      <c r="E11588">
        <v>13592</v>
      </c>
      <c r="F11588">
        <v>2</v>
      </c>
      <c r="G11588">
        <v>56</v>
      </c>
      <c r="H11588">
        <f>_xlfn.XLOOKUP(FACT_IMPORTS[[#This Row],[hts_6]],DIM_PRODUCTS[hts_6],DIM_PRODUCTS[hts_4],,,)</f>
        <v>8501</v>
      </c>
      <c r="I11588" t="str" cm="1">
        <f t="array" ref="I11588">_xlfn.XLOOKUP(FACT_IMPORTS[[#This Row],[country_name]],DIM_COUNTRY[[#All],[Column2]],DIM_COUNTRY[[#All],[Column3]],,,)</f>
        <v>Major_Non-USMCA_Non-China</v>
      </c>
    </row>
    <row r="11589" spans="1:9" x14ac:dyDescent="0.4">
      <c r="A11589" t="s">
        <v>73</v>
      </c>
      <c r="B11589" s="1">
        <v>45352</v>
      </c>
      <c r="C11589">
        <v>850153</v>
      </c>
      <c r="D11589" t="s">
        <v>176</v>
      </c>
      <c r="E11589">
        <v>22734</v>
      </c>
      <c r="F11589">
        <v>10</v>
      </c>
      <c r="G11589">
        <v>208</v>
      </c>
      <c r="H11589">
        <f>_xlfn.XLOOKUP(FACT_IMPORTS[[#This Row],[hts_6]],DIM_PRODUCTS[hts_6],DIM_PRODUCTS[hts_4],,,)</f>
        <v>8501</v>
      </c>
      <c r="I11589" t="str" cm="1">
        <f t="array" ref="I11589">_xlfn.XLOOKUP(FACT_IMPORTS[[#This Row],[country_name]],DIM_COUNTRY[[#All],[Column2]],DIM_COUNTRY[[#All],[Column3]],,,)</f>
        <v>Major_Non-USMCA_Non-China</v>
      </c>
    </row>
    <row r="11590" spans="1:9" x14ac:dyDescent="0.4">
      <c r="A11590" t="s">
        <v>73</v>
      </c>
      <c r="B11590" s="1">
        <v>45352</v>
      </c>
      <c r="C11590">
        <v>850440</v>
      </c>
      <c r="D11590" t="s">
        <v>176</v>
      </c>
      <c r="E11590">
        <v>14938087</v>
      </c>
      <c r="F11590">
        <v>10473</v>
      </c>
      <c r="G11590">
        <v>7523</v>
      </c>
      <c r="H11590">
        <f>_xlfn.XLOOKUP(FACT_IMPORTS[[#This Row],[hts_6]],DIM_PRODUCTS[hts_6],DIM_PRODUCTS[hts_4],,,)</f>
        <v>8504</v>
      </c>
      <c r="I11590" t="str" cm="1">
        <f t="array" ref="I11590">_xlfn.XLOOKUP(FACT_IMPORTS[[#This Row],[country_name]],DIM_COUNTRY[[#All],[Column2]],DIM_COUNTRY[[#All],[Column3]],,,)</f>
        <v>Major_Non-USMCA_Non-China</v>
      </c>
    </row>
    <row r="11591" spans="1:9" x14ac:dyDescent="0.4">
      <c r="A11591" t="s">
        <v>73</v>
      </c>
      <c r="B11591" s="1">
        <v>45352</v>
      </c>
      <c r="C11591">
        <v>850710</v>
      </c>
      <c r="D11591" t="s">
        <v>176</v>
      </c>
      <c r="E11591">
        <v>886212</v>
      </c>
      <c r="F11591">
        <v>20096</v>
      </c>
      <c r="G11591">
        <v>45962</v>
      </c>
      <c r="H11591">
        <f>_xlfn.XLOOKUP(FACT_IMPORTS[[#This Row],[hts_6]],DIM_PRODUCTS[hts_6],DIM_PRODUCTS[hts_4],,,)</f>
        <v>8507</v>
      </c>
      <c r="I11591" t="str" cm="1">
        <f t="array" ref="I11591">_xlfn.XLOOKUP(FACT_IMPORTS[[#This Row],[country_name]],DIM_COUNTRY[[#All],[Column2]],DIM_COUNTRY[[#All],[Column3]],,,)</f>
        <v>Major_Non-USMCA_Non-China</v>
      </c>
    </row>
    <row r="11592" spans="1:9" x14ac:dyDescent="0.4">
      <c r="A11592" t="s">
        <v>73</v>
      </c>
      <c r="B11592" s="1">
        <v>45352</v>
      </c>
      <c r="C11592">
        <v>850760</v>
      </c>
      <c r="D11592" t="s">
        <v>176</v>
      </c>
      <c r="E11592">
        <v>54169</v>
      </c>
      <c r="F11592">
        <v>635</v>
      </c>
      <c r="G11592">
        <v>2270</v>
      </c>
      <c r="H11592">
        <f>_xlfn.XLOOKUP(FACT_IMPORTS[[#This Row],[hts_6]],DIM_PRODUCTS[hts_6],DIM_PRODUCTS[hts_4],,,)</f>
        <v>8507</v>
      </c>
      <c r="I11592" t="str" cm="1">
        <f t="array" ref="I11592">_xlfn.XLOOKUP(FACT_IMPORTS[[#This Row],[country_name]],DIM_COUNTRY[[#All],[Column2]],DIM_COUNTRY[[#All],[Column3]],,,)</f>
        <v>Major_Non-USMCA_Non-China</v>
      </c>
    </row>
    <row r="11593" spans="1:9" x14ac:dyDescent="0.4">
      <c r="A11593" t="s">
        <v>73</v>
      </c>
      <c r="B11593" s="1">
        <v>45352</v>
      </c>
      <c r="C11593">
        <v>850790</v>
      </c>
      <c r="D11593" t="s">
        <v>176</v>
      </c>
      <c r="E11593">
        <v>338738</v>
      </c>
      <c r="F11593">
        <v>4975</v>
      </c>
      <c r="G11593">
        <v>6566</v>
      </c>
      <c r="H11593">
        <f>_xlfn.XLOOKUP(FACT_IMPORTS[[#This Row],[hts_6]],DIM_PRODUCTS[hts_6],DIM_PRODUCTS[hts_4],,,)</f>
        <v>8507</v>
      </c>
      <c r="I11593" t="str" cm="1">
        <f t="array" ref="I11593">_xlfn.XLOOKUP(FACT_IMPORTS[[#This Row],[country_name]],DIM_COUNTRY[[#All],[Column2]],DIM_COUNTRY[[#All],[Column3]],,,)</f>
        <v>Major_Non-USMCA_Non-China</v>
      </c>
    </row>
    <row r="11594" spans="1:9" x14ac:dyDescent="0.4">
      <c r="A11594" t="s">
        <v>73</v>
      </c>
      <c r="B11594" s="1">
        <v>45352</v>
      </c>
      <c r="C11594">
        <v>851130</v>
      </c>
      <c r="D11594" t="s">
        <v>176</v>
      </c>
      <c r="E11594">
        <v>22358</v>
      </c>
      <c r="F11594">
        <v>612</v>
      </c>
      <c r="G11594">
        <v>51</v>
      </c>
      <c r="H11594">
        <f>_xlfn.XLOOKUP(FACT_IMPORTS[[#This Row],[hts_6]],DIM_PRODUCTS[hts_6],DIM_PRODUCTS[hts_4],,,)</f>
        <v>8511</v>
      </c>
      <c r="I11594" t="str" cm="1">
        <f t="array" ref="I11594">_xlfn.XLOOKUP(FACT_IMPORTS[[#This Row],[country_name]],DIM_COUNTRY[[#All],[Column2]],DIM_COUNTRY[[#All],[Column3]],,,)</f>
        <v>Major_Non-USMCA_Non-China</v>
      </c>
    </row>
    <row r="11595" spans="1:9" x14ac:dyDescent="0.4">
      <c r="A11595" t="s">
        <v>73</v>
      </c>
      <c r="B11595" s="1">
        <v>45352</v>
      </c>
      <c r="C11595">
        <v>851140</v>
      </c>
      <c r="D11595" t="s">
        <v>176</v>
      </c>
      <c r="E11595">
        <v>3009957</v>
      </c>
      <c r="F11595">
        <v>9949</v>
      </c>
      <c r="G11595">
        <v>1609</v>
      </c>
      <c r="H11595">
        <f>_xlfn.XLOOKUP(FACT_IMPORTS[[#This Row],[hts_6]],DIM_PRODUCTS[hts_6],DIM_PRODUCTS[hts_4],,,)</f>
        <v>8511</v>
      </c>
      <c r="I11595" t="str" cm="1">
        <f t="array" ref="I11595">_xlfn.XLOOKUP(FACT_IMPORTS[[#This Row],[country_name]],DIM_COUNTRY[[#All],[Column2]],DIM_COUNTRY[[#All],[Column3]],,,)</f>
        <v>Major_Non-USMCA_Non-China</v>
      </c>
    </row>
    <row r="11596" spans="1:9" x14ac:dyDescent="0.4">
      <c r="A11596" t="s">
        <v>73</v>
      </c>
      <c r="B11596" s="1">
        <v>45352</v>
      </c>
      <c r="C11596">
        <v>851150</v>
      </c>
      <c r="D11596" t="s">
        <v>176</v>
      </c>
      <c r="E11596">
        <v>65763</v>
      </c>
      <c r="F11596">
        <v>381</v>
      </c>
      <c r="G11596">
        <v>75</v>
      </c>
      <c r="H11596">
        <f>_xlfn.XLOOKUP(FACT_IMPORTS[[#This Row],[hts_6]],DIM_PRODUCTS[hts_6],DIM_PRODUCTS[hts_4],,,)</f>
        <v>8511</v>
      </c>
      <c r="I11596" t="str" cm="1">
        <f t="array" ref="I11596">_xlfn.XLOOKUP(FACT_IMPORTS[[#This Row],[country_name]],DIM_COUNTRY[[#All],[Column2]],DIM_COUNTRY[[#All],[Column3]],,,)</f>
        <v>Major_Non-USMCA_Non-China</v>
      </c>
    </row>
    <row r="11597" spans="1:9" x14ac:dyDescent="0.4">
      <c r="A11597" t="s">
        <v>73</v>
      </c>
      <c r="B11597" s="1">
        <v>45352</v>
      </c>
      <c r="C11597">
        <v>851190</v>
      </c>
      <c r="D11597" t="s">
        <v>176</v>
      </c>
      <c r="E11597">
        <v>130544</v>
      </c>
      <c r="F11597">
        <v>15209</v>
      </c>
      <c r="G11597">
        <v>3788</v>
      </c>
      <c r="H11597">
        <f>_xlfn.XLOOKUP(FACT_IMPORTS[[#This Row],[hts_6]],DIM_PRODUCTS[hts_6],DIM_PRODUCTS[hts_4],,,)</f>
        <v>8511</v>
      </c>
      <c r="I11597" t="str" cm="1">
        <f t="array" ref="I11597">_xlfn.XLOOKUP(FACT_IMPORTS[[#This Row],[country_name]],DIM_COUNTRY[[#All],[Column2]],DIM_COUNTRY[[#All],[Column3]],,,)</f>
        <v>Major_Non-USMCA_Non-China</v>
      </c>
    </row>
    <row r="11598" spans="1:9" x14ac:dyDescent="0.4">
      <c r="A11598" t="s">
        <v>73</v>
      </c>
      <c r="B11598" s="1">
        <v>45352</v>
      </c>
      <c r="C11598">
        <v>851220</v>
      </c>
      <c r="D11598" t="s">
        <v>176</v>
      </c>
      <c r="E11598">
        <v>14290344</v>
      </c>
      <c r="F11598">
        <v>1627192</v>
      </c>
      <c r="G11598">
        <v>230593</v>
      </c>
      <c r="H11598">
        <f>_xlfn.XLOOKUP(FACT_IMPORTS[[#This Row],[hts_6]],DIM_PRODUCTS[hts_6],DIM_PRODUCTS[hts_4],,,)</f>
        <v>8512</v>
      </c>
      <c r="I11598" t="str" cm="1">
        <f t="array" ref="I11598">_xlfn.XLOOKUP(FACT_IMPORTS[[#This Row],[country_name]],DIM_COUNTRY[[#All],[Column2]],DIM_COUNTRY[[#All],[Column3]],,,)</f>
        <v>Major_Non-USMCA_Non-China</v>
      </c>
    </row>
    <row r="11599" spans="1:9" x14ac:dyDescent="0.4">
      <c r="A11599" t="s">
        <v>73</v>
      </c>
      <c r="B11599" s="1">
        <v>45352</v>
      </c>
      <c r="C11599">
        <v>851240</v>
      </c>
      <c r="D11599" t="s">
        <v>176</v>
      </c>
      <c r="E11599">
        <v>316131</v>
      </c>
      <c r="F11599">
        <v>14528</v>
      </c>
      <c r="G11599">
        <v>18232</v>
      </c>
      <c r="H11599">
        <f>_xlfn.XLOOKUP(FACT_IMPORTS[[#This Row],[hts_6]],DIM_PRODUCTS[hts_6],DIM_PRODUCTS[hts_4],,,)</f>
        <v>8512</v>
      </c>
      <c r="I11599" t="str" cm="1">
        <f t="array" ref="I11599">_xlfn.XLOOKUP(FACT_IMPORTS[[#This Row],[country_name]],DIM_COUNTRY[[#All],[Column2]],DIM_COUNTRY[[#All],[Column3]],,,)</f>
        <v>Major_Non-USMCA_Non-China</v>
      </c>
    </row>
    <row r="11600" spans="1:9" x14ac:dyDescent="0.4">
      <c r="A11600" t="s">
        <v>73</v>
      </c>
      <c r="B11600" s="1">
        <v>45352</v>
      </c>
      <c r="C11600">
        <v>851290</v>
      </c>
      <c r="D11600" t="s">
        <v>176</v>
      </c>
      <c r="E11600">
        <v>550485</v>
      </c>
      <c r="F11600">
        <v>41092</v>
      </c>
      <c r="G11600">
        <v>20591</v>
      </c>
      <c r="H11600">
        <f>_xlfn.XLOOKUP(FACT_IMPORTS[[#This Row],[hts_6]],DIM_PRODUCTS[hts_6],DIM_PRODUCTS[hts_4],,,)</f>
        <v>8512</v>
      </c>
      <c r="I11600" t="str" cm="1">
        <f t="array" ref="I11600">_xlfn.XLOOKUP(FACT_IMPORTS[[#This Row],[country_name]],DIM_COUNTRY[[#All],[Column2]],DIM_COUNTRY[[#All],[Column3]],,,)</f>
        <v>Major_Non-USMCA_Non-China</v>
      </c>
    </row>
    <row r="11601" spans="1:9" x14ac:dyDescent="0.4">
      <c r="A11601" t="s">
        <v>73</v>
      </c>
      <c r="B11601" s="1">
        <v>45352</v>
      </c>
      <c r="C11601">
        <v>854231</v>
      </c>
      <c r="D11601" t="s">
        <v>176</v>
      </c>
      <c r="E11601">
        <v>9231</v>
      </c>
      <c r="F11601">
        <v>174</v>
      </c>
      <c r="G11601">
        <v>303</v>
      </c>
      <c r="H11601">
        <f>_xlfn.XLOOKUP(FACT_IMPORTS[[#This Row],[hts_6]],DIM_PRODUCTS[hts_6],DIM_PRODUCTS[hts_4],,,)</f>
        <v>8542</v>
      </c>
      <c r="I11601" t="str" cm="1">
        <f t="array" ref="I11601">_xlfn.XLOOKUP(FACT_IMPORTS[[#This Row],[country_name]],DIM_COUNTRY[[#All],[Column2]],DIM_COUNTRY[[#All],[Column3]],,,)</f>
        <v>Major_Non-USMCA_Non-China</v>
      </c>
    </row>
    <row r="11602" spans="1:9" x14ac:dyDescent="0.4">
      <c r="A11602" t="s">
        <v>73</v>
      </c>
      <c r="B11602" s="1">
        <v>45352</v>
      </c>
      <c r="C11602">
        <v>854232</v>
      </c>
      <c r="D11602" t="s">
        <v>176</v>
      </c>
      <c r="E11602">
        <v>0</v>
      </c>
      <c r="F11602">
        <v>0</v>
      </c>
      <c r="G11602">
        <v>0</v>
      </c>
      <c r="H11602">
        <f>_xlfn.XLOOKUP(FACT_IMPORTS[[#This Row],[hts_6]],DIM_PRODUCTS[hts_6],DIM_PRODUCTS[hts_4],,,)</f>
        <v>8542</v>
      </c>
      <c r="I11602" t="str" cm="1">
        <f t="array" ref="I11602">_xlfn.XLOOKUP(FACT_IMPORTS[[#This Row],[country_name]],DIM_COUNTRY[[#All],[Column2]],DIM_COUNTRY[[#All],[Column3]],,,)</f>
        <v>Major_Non-USMCA_Non-China</v>
      </c>
    </row>
    <row r="11603" spans="1:9" x14ac:dyDescent="0.4">
      <c r="A11603" t="s">
        <v>73</v>
      </c>
      <c r="B11603" s="1">
        <v>45352</v>
      </c>
      <c r="C11603">
        <v>854239</v>
      </c>
      <c r="D11603" t="s">
        <v>176</v>
      </c>
      <c r="E11603">
        <v>1145887</v>
      </c>
      <c r="F11603">
        <v>45750</v>
      </c>
      <c r="G11603">
        <v>114589</v>
      </c>
      <c r="H11603">
        <f>_xlfn.XLOOKUP(FACT_IMPORTS[[#This Row],[hts_6]],DIM_PRODUCTS[hts_6],DIM_PRODUCTS[hts_4],,,)</f>
        <v>8542</v>
      </c>
      <c r="I11603" t="str" cm="1">
        <f t="array" ref="I11603">_xlfn.XLOOKUP(FACT_IMPORTS[[#This Row],[country_name]],DIM_COUNTRY[[#All],[Column2]],DIM_COUNTRY[[#All],[Column3]],,,)</f>
        <v>Major_Non-USMCA_Non-China</v>
      </c>
    </row>
    <row r="11604" spans="1:9" x14ac:dyDescent="0.4">
      <c r="A11604" t="s">
        <v>73</v>
      </c>
      <c r="B11604" s="1">
        <v>45352</v>
      </c>
      <c r="C11604">
        <v>854430</v>
      </c>
      <c r="D11604" t="s">
        <v>176</v>
      </c>
      <c r="E11604">
        <v>40227</v>
      </c>
      <c r="F11604">
        <v>228</v>
      </c>
      <c r="G11604">
        <v>78</v>
      </c>
      <c r="H11604">
        <f>_xlfn.XLOOKUP(FACT_IMPORTS[[#This Row],[hts_6]],DIM_PRODUCTS[hts_6],DIM_PRODUCTS[hts_4],,,)</f>
        <v>8544</v>
      </c>
      <c r="I11604" t="str" cm="1">
        <f t="array" ref="I11604">_xlfn.XLOOKUP(FACT_IMPORTS[[#This Row],[country_name]],DIM_COUNTRY[[#All],[Column2]],DIM_COUNTRY[[#All],[Column3]],,,)</f>
        <v>Major_Non-USMCA_Non-China</v>
      </c>
    </row>
    <row r="11605" spans="1:9" x14ac:dyDescent="0.4">
      <c r="A11605" t="s">
        <v>73</v>
      </c>
      <c r="B11605" s="1">
        <v>45352</v>
      </c>
      <c r="C11605">
        <v>870810</v>
      </c>
      <c r="D11605" t="s">
        <v>176</v>
      </c>
      <c r="E11605">
        <v>1409462</v>
      </c>
      <c r="F11605">
        <v>55763</v>
      </c>
      <c r="G11605">
        <v>8066</v>
      </c>
      <c r="H11605">
        <f>_xlfn.XLOOKUP(FACT_IMPORTS[[#This Row],[hts_6]],DIM_PRODUCTS[hts_6],DIM_PRODUCTS[hts_4],,,)</f>
        <v>8708</v>
      </c>
      <c r="I11605" t="str" cm="1">
        <f t="array" ref="I11605">_xlfn.XLOOKUP(FACT_IMPORTS[[#This Row],[country_name]],DIM_COUNTRY[[#All],[Column2]],DIM_COUNTRY[[#All],[Column3]],,,)</f>
        <v>Major_Non-USMCA_Non-China</v>
      </c>
    </row>
    <row r="11606" spans="1:9" x14ac:dyDescent="0.4">
      <c r="A11606" t="s">
        <v>73</v>
      </c>
      <c r="B11606" s="1">
        <v>45352</v>
      </c>
      <c r="C11606">
        <v>870822</v>
      </c>
      <c r="D11606" t="s">
        <v>176</v>
      </c>
      <c r="E11606">
        <v>197973</v>
      </c>
      <c r="F11606">
        <v>915</v>
      </c>
      <c r="G11606">
        <v>525</v>
      </c>
      <c r="H11606">
        <f>_xlfn.XLOOKUP(FACT_IMPORTS[[#This Row],[hts_6]],DIM_PRODUCTS[hts_6],DIM_PRODUCTS[hts_4],,,)</f>
        <v>8708</v>
      </c>
      <c r="I11606" t="str" cm="1">
        <f t="array" ref="I11606">_xlfn.XLOOKUP(FACT_IMPORTS[[#This Row],[country_name]],DIM_COUNTRY[[#All],[Column2]],DIM_COUNTRY[[#All],[Column3]],,,)</f>
        <v>Major_Non-USMCA_Non-China</v>
      </c>
    </row>
    <row r="11607" spans="1:9" x14ac:dyDescent="0.4">
      <c r="A11607" t="s">
        <v>73</v>
      </c>
      <c r="B11607" s="1">
        <v>45352</v>
      </c>
      <c r="C11607">
        <v>870829</v>
      </c>
      <c r="D11607" t="s">
        <v>176</v>
      </c>
      <c r="E11607">
        <v>10409805</v>
      </c>
      <c r="F11607">
        <v>3981497</v>
      </c>
      <c r="G11607">
        <v>346956</v>
      </c>
      <c r="H11607">
        <f>_xlfn.XLOOKUP(FACT_IMPORTS[[#This Row],[hts_6]],DIM_PRODUCTS[hts_6],DIM_PRODUCTS[hts_4],,,)</f>
        <v>8708</v>
      </c>
      <c r="I11607" t="str" cm="1">
        <f t="array" ref="I11607">_xlfn.XLOOKUP(FACT_IMPORTS[[#This Row],[country_name]],DIM_COUNTRY[[#All],[Column2]],DIM_COUNTRY[[#All],[Column3]],,,)</f>
        <v>Major_Non-USMCA_Non-China</v>
      </c>
    </row>
    <row r="11608" spans="1:9" x14ac:dyDescent="0.4">
      <c r="A11608" t="s">
        <v>73</v>
      </c>
      <c r="B11608" s="1">
        <v>45352</v>
      </c>
      <c r="C11608">
        <v>870830</v>
      </c>
      <c r="D11608" t="s">
        <v>176</v>
      </c>
      <c r="E11608">
        <v>528473</v>
      </c>
      <c r="F11608">
        <v>341681</v>
      </c>
      <c r="G11608">
        <v>12755</v>
      </c>
      <c r="H11608">
        <f>_xlfn.XLOOKUP(FACT_IMPORTS[[#This Row],[hts_6]],DIM_PRODUCTS[hts_6],DIM_PRODUCTS[hts_4],,,)</f>
        <v>8708</v>
      </c>
      <c r="I11608" t="str" cm="1">
        <f t="array" ref="I11608">_xlfn.XLOOKUP(FACT_IMPORTS[[#This Row],[country_name]],DIM_COUNTRY[[#All],[Column2]],DIM_COUNTRY[[#All],[Column3]],,,)</f>
        <v>Major_Non-USMCA_Non-China</v>
      </c>
    </row>
    <row r="11609" spans="1:9" x14ac:dyDescent="0.4">
      <c r="A11609" t="s">
        <v>73</v>
      </c>
      <c r="B11609" s="1">
        <v>45352</v>
      </c>
      <c r="C11609">
        <v>870840</v>
      </c>
      <c r="D11609" t="s">
        <v>176</v>
      </c>
      <c r="E11609">
        <v>2301283</v>
      </c>
      <c r="F11609">
        <v>199025</v>
      </c>
      <c r="G11609">
        <v>38027</v>
      </c>
      <c r="H11609">
        <f>_xlfn.XLOOKUP(FACT_IMPORTS[[#This Row],[hts_6]],DIM_PRODUCTS[hts_6],DIM_PRODUCTS[hts_4],,,)</f>
        <v>8708</v>
      </c>
      <c r="I11609" t="str" cm="1">
        <f t="array" ref="I11609">_xlfn.XLOOKUP(FACT_IMPORTS[[#This Row],[country_name]],DIM_COUNTRY[[#All],[Column2]],DIM_COUNTRY[[#All],[Column3]],,,)</f>
        <v>Major_Non-USMCA_Non-China</v>
      </c>
    </row>
    <row r="11610" spans="1:9" x14ac:dyDescent="0.4">
      <c r="A11610" t="s">
        <v>73</v>
      </c>
      <c r="B11610" s="1">
        <v>45352</v>
      </c>
      <c r="C11610">
        <v>870850</v>
      </c>
      <c r="D11610" t="s">
        <v>176</v>
      </c>
      <c r="E11610">
        <v>21981506</v>
      </c>
      <c r="F11610">
        <v>1692624</v>
      </c>
      <c r="G11610">
        <v>637535</v>
      </c>
      <c r="H11610">
        <f>_xlfn.XLOOKUP(FACT_IMPORTS[[#This Row],[hts_6]],DIM_PRODUCTS[hts_6],DIM_PRODUCTS[hts_4],,,)</f>
        <v>8708</v>
      </c>
      <c r="I11610" t="str" cm="1">
        <f t="array" ref="I11610">_xlfn.XLOOKUP(FACT_IMPORTS[[#This Row],[country_name]],DIM_COUNTRY[[#All],[Column2]],DIM_COUNTRY[[#All],[Column3]],,,)</f>
        <v>Major_Non-USMCA_Non-China</v>
      </c>
    </row>
    <row r="11611" spans="1:9" x14ac:dyDescent="0.4">
      <c r="A11611" t="s">
        <v>73</v>
      </c>
      <c r="B11611" s="1">
        <v>45352</v>
      </c>
      <c r="C11611">
        <v>870870</v>
      </c>
      <c r="D11611" t="s">
        <v>176</v>
      </c>
      <c r="E11611">
        <v>514329</v>
      </c>
      <c r="F11611">
        <v>5241</v>
      </c>
      <c r="G11611">
        <v>7445</v>
      </c>
      <c r="H11611">
        <f>_xlfn.XLOOKUP(FACT_IMPORTS[[#This Row],[hts_6]],DIM_PRODUCTS[hts_6],DIM_PRODUCTS[hts_4],,,)</f>
        <v>8708</v>
      </c>
      <c r="I11611" t="str" cm="1">
        <f t="array" ref="I11611">_xlfn.XLOOKUP(FACT_IMPORTS[[#This Row],[country_name]],DIM_COUNTRY[[#All],[Column2]],DIM_COUNTRY[[#All],[Column3]],,,)</f>
        <v>Major_Non-USMCA_Non-China</v>
      </c>
    </row>
    <row r="11612" spans="1:9" x14ac:dyDescent="0.4">
      <c r="A11612" t="s">
        <v>73</v>
      </c>
      <c r="B11612" s="1">
        <v>45352</v>
      </c>
      <c r="C11612">
        <v>870880</v>
      </c>
      <c r="D11612" t="s">
        <v>176</v>
      </c>
      <c r="E11612">
        <v>3988753</v>
      </c>
      <c r="F11612">
        <v>904961</v>
      </c>
      <c r="G11612">
        <v>158169</v>
      </c>
      <c r="H11612">
        <f>_xlfn.XLOOKUP(FACT_IMPORTS[[#This Row],[hts_6]],DIM_PRODUCTS[hts_6],DIM_PRODUCTS[hts_4],,,)</f>
        <v>8708</v>
      </c>
      <c r="I11612" t="str" cm="1">
        <f t="array" ref="I11612">_xlfn.XLOOKUP(FACT_IMPORTS[[#This Row],[country_name]],DIM_COUNTRY[[#All],[Column2]],DIM_COUNTRY[[#All],[Column3]],,,)</f>
        <v>Major_Non-USMCA_Non-China</v>
      </c>
    </row>
    <row r="11613" spans="1:9" x14ac:dyDescent="0.4">
      <c r="A11613" t="s">
        <v>73</v>
      </c>
      <c r="B11613" s="1">
        <v>45352</v>
      </c>
      <c r="C11613">
        <v>870891</v>
      </c>
      <c r="D11613" t="s">
        <v>176</v>
      </c>
      <c r="E11613">
        <v>49387</v>
      </c>
      <c r="F11613">
        <v>200</v>
      </c>
      <c r="G11613">
        <v>44</v>
      </c>
      <c r="H11613">
        <f>_xlfn.XLOOKUP(FACT_IMPORTS[[#This Row],[hts_6]],DIM_PRODUCTS[hts_6],DIM_PRODUCTS[hts_4],,,)</f>
        <v>8708</v>
      </c>
      <c r="I11613" t="str" cm="1">
        <f t="array" ref="I11613">_xlfn.XLOOKUP(FACT_IMPORTS[[#This Row],[country_name]],DIM_COUNTRY[[#All],[Column2]],DIM_COUNTRY[[#All],[Column3]],,,)</f>
        <v>Major_Non-USMCA_Non-China</v>
      </c>
    </row>
    <row r="11614" spans="1:9" x14ac:dyDescent="0.4">
      <c r="A11614" t="s">
        <v>73</v>
      </c>
      <c r="B11614" s="1">
        <v>45352</v>
      </c>
      <c r="C11614">
        <v>870892</v>
      </c>
      <c r="D11614" t="s">
        <v>176</v>
      </c>
      <c r="E11614">
        <v>100295</v>
      </c>
      <c r="F11614">
        <v>365</v>
      </c>
      <c r="G11614">
        <v>333</v>
      </c>
      <c r="H11614">
        <f>_xlfn.XLOOKUP(FACT_IMPORTS[[#This Row],[hts_6]],DIM_PRODUCTS[hts_6],DIM_PRODUCTS[hts_4],,,)</f>
        <v>8708</v>
      </c>
      <c r="I11614" t="str" cm="1">
        <f t="array" ref="I11614">_xlfn.XLOOKUP(FACT_IMPORTS[[#This Row],[country_name]],DIM_COUNTRY[[#All],[Column2]],DIM_COUNTRY[[#All],[Column3]],,,)</f>
        <v>Major_Non-USMCA_Non-China</v>
      </c>
    </row>
    <row r="11615" spans="1:9" x14ac:dyDescent="0.4">
      <c r="A11615" t="s">
        <v>73</v>
      </c>
      <c r="B11615" s="1">
        <v>45352</v>
      </c>
      <c r="C11615">
        <v>870893</v>
      </c>
      <c r="D11615" t="s">
        <v>176</v>
      </c>
      <c r="E11615">
        <v>1277747</v>
      </c>
      <c r="F11615">
        <v>83155</v>
      </c>
      <c r="G11615">
        <v>14260</v>
      </c>
      <c r="H11615">
        <f>_xlfn.XLOOKUP(FACT_IMPORTS[[#This Row],[hts_6]],DIM_PRODUCTS[hts_6],DIM_PRODUCTS[hts_4],,,)</f>
        <v>8708</v>
      </c>
      <c r="I11615" t="str" cm="1">
        <f t="array" ref="I11615">_xlfn.XLOOKUP(FACT_IMPORTS[[#This Row],[country_name]],DIM_COUNTRY[[#All],[Column2]],DIM_COUNTRY[[#All],[Column3]],,,)</f>
        <v>Major_Non-USMCA_Non-China</v>
      </c>
    </row>
    <row r="11616" spans="1:9" x14ac:dyDescent="0.4">
      <c r="A11616" t="s">
        <v>73</v>
      </c>
      <c r="B11616" s="1">
        <v>45352</v>
      </c>
      <c r="C11616">
        <v>870894</v>
      </c>
      <c r="D11616" t="s">
        <v>176</v>
      </c>
      <c r="E11616">
        <v>3398455</v>
      </c>
      <c r="F11616">
        <v>255772</v>
      </c>
      <c r="G11616">
        <v>9246</v>
      </c>
      <c r="H11616">
        <f>_xlfn.XLOOKUP(FACT_IMPORTS[[#This Row],[hts_6]],DIM_PRODUCTS[hts_6],DIM_PRODUCTS[hts_4],,,)</f>
        <v>8708</v>
      </c>
      <c r="I11616" t="str" cm="1">
        <f t="array" ref="I11616">_xlfn.XLOOKUP(FACT_IMPORTS[[#This Row],[country_name]],DIM_COUNTRY[[#All],[Column2]],DIM_COUNTRY[[#All],[Column3]],,,)</f>
        <v>Major_Non-USMCA_Non-China</v>
      </c>
    </row>
    <row r="11617" spans="1:9" x14ac:dyDescent="0.4">
      <c r="A11617" t="s">
        <v>73</v>
      </c>
      <c r="B11617" s="1">
        <v>45352</v>
      </c>
      <c r="C11617">
        <v>870895</v>
      </c>
      <c r="D11617" t="s">
        <v>176</v>
      </c>
      <c r="E11617">
        <v>4924</v>
      </c>
      <c r="F11617">
        <v>71</v>
      </c>
      <c r="G11617">
        <v>0</v>
      </c>
      <c r="H11617">
        <f>_xlfn.XLOOKUP(FACT_IMPORTS[[#This Row],[hts_6]],DIM_PRODUCTS[hts_6],DIM_PRODUCTS[hts_4],,,)</f>
        <v>8708</v>
      </c>
      <c r="I11617" t="str" cm="1">
        <f t="array" ref="I11617">_xlfn.XLOOKUP(FACT_IMPORTS[[#This Row],[country_name]],DIM_COUNTRY[[#All],[Column2]],DIM_COUNTRY[[#All],[Column3]],,,)</f>
        <v>Major_Non-USMCA_Non-China</v>
      </c>
    </row>
    <row r="11618" spans="1:9" x14ac:dyDescent="0.4">
      <c r="A11618" t="s">
        <v>73</v>
      </c>
      <c r="B11618" s="1">
        <v>45352</v>
      </c>
      <c r="C11618">
        <v>870899</v>
      </c>
      <c r="D11618" t="s">
        <v>176</v>
      </c>
      <c r="E11618">
        <v>22862923</v>
      </c>
      <c r="F11618">
        <v>4731812</v>
      </c>
      <c r="G11618">
        <v>820582</v>
      </c>
      <c r="H11618">
        <f>_xlfn.XLOOKUP(FACT_IMPORTS[[#This Row],[hts_6]],DIM_PRODUCTS[hts_6],DIM_PRODUCTS[hts_4],,,)</f>
        <v>8708</v>
      </c>
      <c r="I11618" t="str" cm="1">
        <f t="array" ref="I11618">_xlfn.XLOOKUP(FACT_IMPORTS[[#This Row],[country_name]],DIM_COUNTRY[[#All],[Column2]],DIM_COUNTRY[[#All],[Column3]],,,)</f>
        <v>Major_Non-USMCA_Non-China</v>
      </c>
    </row>
    <row r="11619" spans="1:9" x14ac:dyDescent="0.4">
      <c r="A11619" t="s">
        <v>73</v>
      </c>
      <c r="B11619" s="1">
        <v>45352</v>
      </c>
      <c r="C11619">
        <v>940120</v>
      </c>
      <c r="D11619" t="s">
        <v>176</v>
      </c>
      <c r="E11619">
        <v>380</v>
      </c>
      <c r="F11619">
        <v>1</v>
      </c>
      <c r="G11619">
        <v>8</v>
      </c>
      <c r="H11619">
        <f>_xlfn.XLOOKUP(FACT_IMPORTS[[#This Row],[hts_6]],DIM_PRODUCTS[hts_6],DIM_PRODUCTS[hts_4],,,)</f>
        <v>9401</v>
      </c>
      <c r="I11619" t="str" cm="1">
        <f t="array" ref="I11619">_xlfn.XLOOKUP(FACT_IMPORTS[[#This Row],[country_name]],DIM_COUNTRY[[#All],[Column2]],DIM_COUNTRY[[#All],[Column3]],,,)</f>
        <v>Major_Non-USMCA_Non-China</v>
      </c>
    </row>
    <row r="11620" spans="1:9" x14ac:dyDescent="0.4">
      <c r="A11620" t="s">
        <v>73</v>
      </c>
      <c r="B11620" s="1">
        <v>45383</v>
      </c>
      <c r="C11620">
        <v>392630</v>
      </c>
      <c r="D11620" t="s">
        <v>176</v>
      </c>
      <c r="E11620">
        <v>569144</v>
      </c>
      <c r="F11620">
        <v>34729</v>
      </c>
      <c r="G11620">
        <v>44866</v>
      </c>
      <c r="H11620">
        <f>_xlfn.XLOOKUP(FACT_IMPORTS[[#This Row],[hts_6]],DIM_PRODUCTS[hts_6],DIM_PRODUCTS[hts_4],,,)</f>
        <v>3926</v>
      </c>
      <c r="I11620" t="str" cm="1">
        <f t="array" ref="I11620">_xlfn.XLOOKUP(FACT_IMPORTS[[#This Row],[country_name]],DIM_COUNTRY[[#All],[Column2]],DIM_COUNTRY[[#All],[Column3]],,,)</f>
        <v>Major_Non-USMCA_Non-China</v>
      </c>
    </row>
    <row r="11621" spans="1:9" x14ac:dyDescent="0.4">
      <c r="A11621" t="s">
        <v>73</v>
      </c>
      <c r="B11621" s="1">
        <v>45383</v>
      </c>
      <c r="C11621">
        <v>401110</v>
      </c>
      <c r="D11621" t="s">
        <v>176</v>
      </c>
      <c r="E11621">
        <v>6990475</v>
      </c>
      <c r="F11621">
        <v>112611</v>
      </c>
      <c r="G11621">
        <v>1147685</v>
      </c>
      <c r="H11621">
        <f>_xlfn.XLOOKUP(FACT_IMPORTS[[#This Row],[hts_6]],DIM_PRODUCTS[hts_6],DIM_PRODUCTS[hts_4],,,)</f>
        <v>4011</v>
      </c>
      <c r="I11621" t="str" cm="1">
        <f t="array" ref="I11621">_xlfn.XLOOKUP(FACT_IMPORTS[[#This Row],[country_name]],DIM_COUNTRY[[#All],[Column2]],DIM_COUNTRY[[#All],[Column3]],,,)</f>
        <v>Major_Non-USMCA_Non-China</v>
      </c>
    </row>
    <row r="11622" spans="1:9" x14ac:dyDescent="0.4">
      <c r="A11622" t="s">
        <v>73</v>
      </c>
      <c r="B11622" s="1">
        <v>45383</v>
      </c>
      <c r="C11622">
        <v>401120</v>
      </c>
      <c r="D11622" t="s">
        <v>176</v>
      </c>
      <c r="E11622">
        <v>98752</v>
      </c>
      <c r="F11622">
        <v>1154</v>
      </c>
      <c r="G11622">
        <v>12971</v>
      </c>
      <c r="H11622">
        <f>_xlfn.XLOOKUP(FACT_IMPORTS[[#This Row],[hts_6]],DIM_PRODUCTS[hts_6],DIM_PRODUCTS[hts_4],,,)</f>
        <v>4011</v>
      </c>
      <c r="I11622" t="str" cm="1">
        <f t="array" ref="I11622">_xlfn.XLOOKUP(FACT_IMPORTS[[#This Row],[country_name]],DIM_COUNTRY[[#All],[Column2]],DIM_COUNTRY[[#All],[Column3]],,,)</f>
        <v>Major_Non-USMCA_Non-China</v>
      </c>
    </row>
    <row r="11623" spans="1:9" x14ac:dyDescent="0.4">
      <c r="A11623" t="s">
        <v>73</v>
      </c>
      <c r="B11623" s="1">
        <v>45383</v>
      </c>
      <c r="C11623">
        <v>401190</v>
      </c>
      <c r="D11623" t="s">
        <v>176</v>
      </c>
      <c r="E11623">
        <v>0</v>
      </c>
      <c r="F11623">
        <v>0</v>
      </c>
      <c r="G11623">
        <v>0</v>
      </c>
      <c r="H11623">
        <f>_xlfn.XLOOKUP(FACT_IMPORTS[[#This Row],[hts_6]],DIM_PRODUCTS[hts_6],DIM_PRODUCTS[hts_4],,,)</f>
        <v>4011</v>
      </c>
      <c r="I11623" t="str" cm="1">
        <f t="array" ref="I11623">_xlfn.XLOOKUP(FACT_IMPORTS[[#This Row],[country_name]],DIM_COUNTRY[[#All],[Column2]],DIM_COUNTRY[[#All],[Column3]],,,)</f>
        <v>Major_Non-USMCA_Non-China</v>
      </c>
    </row>
    <row r="11624" spans="1:9" x14ac:dyDescent="0.4">
      <c r="A11624" t="s">
        <v>73</v>
      </c>
      <c r="B11624" s="1">
        <v>45383</v>
      </c>
      <c r="C11624">
        <v>700711</v>
      </c>
      <c r="D11624" t="s">
        <v>176</v>
      </c>
      <c r="E11624">
        <v>25229</v>
      </c>
      <c r="F11624">
        <v>1147</v>
      </c>
      <c r="G11624">
        <v>416</v>
      </c>
      <c r="H11624">
        <f>_xlfn.XLOOKUP(FACT_IMPORTS[[#This Row],[hts_6]],DIM_PRODUCTS[hts_6],DIM_PRODUCTS[hts_4],,,)</f>
        <v>7007</v>
      </c>
      <c r="I11624" t="str" cm="1">
        <f t="array" ref="I11624">_xlfn.XLOOKUP(FACT_IMPORTS[[#This Row],[country_name]],DIM_COUNTRY[[#All],[Column2]],DIM_COUNTRY[[#All],[Column3]],,,)</f>
        <v>Major_Non-USMCA_Non-China</v>
      </c>
    </row>
    <row r="11625" spans="1:9" x14ac:dyDescent="0.4">
      <c r="A11625" t="s">
        <v>73</v>
      </c>
      <c r="B11625" s="1">
        <v>45383</v>
      </c>
      <c r="C11625">
        <v>700910</v>
      </c>
      <c r="D11625" t="s">
        <v>176</v>
      </c>
      <c r="E11625">
        <v>58636</v>
      </c>
      <c r="F11625">
        <v>889</v>
      </c>
      <c r="G11625">
        <v>1295</v>
      </c>
      <c r="H11625">
        <f>_xlfn.XLOOKUP(FACT_IMPORTS[[#This Row],[hts_6]],DIM_PRODUCTS[hts_6],DIM_PRODUCTS[hts_4],,,)</f>
        <v>7009</v>
      </c>
      <c r="I11625" t="str" cm="1">
        <f t="array" ref="I11625">_xlfn.XLOOKUP(FACT_IMPORTS[[#This Row],[country_name]],DIM_COUNTRY[[#All],[Column2]],DIM_COUNTRY[[#All],[Column3]],,,)</f>
        <v>Major_Non-USMCA_Non-China</v>
      </c>
    </row>
    <row r="11626" spans="1:9" x14ac:dyDescent="0.4">
      <c r="A11626" t="s">
        <v>73</v>
      </c>
      <c r="B11626" s="1">
        <v>45383</v>
      </c>
      <c r="C11626">
        <v>830230</v>
      </c>
      <c r="D11626" t="s">
        <v>176</v>
      </c>
      <c r="E11626">
        <v>3409220</v>
      </c>
      <c r="F11626">
        <v>507065</v>
      </c>
      <c r="G11626">
        <v>38401</v>
      </c>
      <c r="H11626">
        <f>_xlfn.XLOOKUP(FACT_IMPORTS[[#This Row],[hts_6]],DIM_PRODUCTS[hts_6],DIM_PRODUCTS[hts_4],,,)</f>
        <v>8302</v>
      </c>
      <c r="I11626" t="str" cm="1">
        <f t="array" ref="I11626">_xlfn.XLOOKUP(FACT_IMPORTS[[#This Row],[country_name]],DIM_COUNTRY[[#All],[Column2]],DIM_COUNTRY[[#All],[Column3]],,,)</f>
        <v>Major_Non-USMCA_Non-China</v>
      </c>
    </row>
    <row r="11627" spans="1:9" x14ac:dyDescent="0.4">
      <c r="A11627" t="s">
        <v>73</v>
      </c>
      <c r="B11627" s="1">
        <v>45383</v>
      </c>
      <c r="C11627">
        <v>840734</v>
      </c>
      <c r="D11627" t="s">
        <v>176</v>
      </c>
      <c r="E11627">
        <v>55965</v>
      </c>
      <c r="F11627">
        <v>8</v>
      </c>
      <c r="G11627">
        <v>63</v>
      </c>
      <c r="H11627">
        <f>_xlfn.XLOOKUP(FACT_IMPORTS[[#This Row],[hts_6]],DIM_PRODUCTS[hts_6],DIM_PRODUCTS[hts_4],,,)</f>
        <v>8407</v>
      </c>
      <c r="I11627" t="str" cm="1">
        <f t="array" ref="I11627">_xlfn.XLOOKUP(FACT_IMPORTS[[#This Row],[country_name]],DIM_COUNTRY[[#All],[Column2]],DIM_COUNTRY[[#All],[Column3]],,,)</f>
        <v>Major_Non-USMCA_Non-China</v>
      </c>
    </row>
    <row r="11628" spans="1:9" x14ac:dyDescent="0.4">
      <c r="A11628" t="s">
        <v>73</v>
      </c>
      <c r="B11628" s="1">
        <v>45383</v>
      </c>
      <c r="C11628">
        <v>840820</v>
      </c>
      <c r="D11628" t="s">
        <v>176</v>
      </c>
      <c r="E11628">
        <v>0</v>
      </c>
      <c r="F11628">
        <v>0</v>
      </c>
      <c r="G11628">
        <v>0</v>
      </c>
      <c r="H11628">
        <f>_xlfn.XLOOKUP(FACT_IMPORTS[[#This Row],[hts_6]],DIM_PRODUCTS[hts_6],DIM_PRODUCTS[hts_4],,,)</f>
        <v>8408</v>
      </c>
      <c r="I11628" t="str" cm="1">
        <f t="array" ref="I11628">_xlfn.XLOOKUP(FACT_IMPORTS[[#This Row],[country_name]],DIM_COUNTRY[[#All],[Column2]],DIM_COUNTRY[[#All],[Column3]],,,)</f>
        <v>Major_Non-USMCA_Non-China</v>
      </c>
    </row>
    <row r="11629" spans="1:9" x14ac:dyDescent="0.4">
      <c r="A11629" t="s">
        <v>73</v>
      </c>
      <c r="B11629" s="1">
        <v>45383</v>
      </c>
      <c r="C11629">
        <v>840890</v>
      </c>
      <c r="D11629" t="s">
        <v>176</v>
      </c>
      <c r="E11629">
        <v>0</v>
      </c>
      <c r="F11629">
        <v>0</v>
      </c>
      <c r="G11629">
        <v>0</v>
      </c>
      <c r="H11629">
        <f>_xlfn.XLOOKUP(FACT_IMPORTS[[#This Row],[hts_6]],DIM_PRODUCTS[hts_6],DIM_PRODUCTS[hts_4],,,)</f>
        <v>8408</v>
      </c>
      <c r="I11629" t="str" cm="1">
        <f t="array" ref="I11629">_xlfn.XLOOKUP(FACT_IMPORTS[[#This Row],[country_name]],DIM_COUNTRY[[#All],[Column2]],DIM_COUNTRY[[#All],[Column3]],,,)</f>
        <v>Major_Non-USMCA_Non-China</v>
      </c>
    </row>
    <row r="11630" spans="1:9" x14ac:dyDescent="0.4">
      <c r="A11630" t="s">
        <v>73</v>
      </c>
      <c r="B11630" s="1">
        <v>45383</v>
      </c>
      <c r="C11630">
        <v>840991</v>
      </c>
      <c r="D11630" t="s">
        <v>176</v>
      </c>
      <c r="E11630">
        <v>5883197</v>
      </c>
      <c r="F11630">
        <v>327104</v>
      </c>
      <c r="G11630">
        <v>48071</v>
      </c>
      <c r="H11630">
        <f>_xlfn.XLOOKUP(FACT_IMPORTS[[#This Row],[hts_6]],DIM_PRODUCTS[hts_6],DIM_PRODUCTS[hts_4],,,)</f>
        <v>8409</v>
      </c>
      <c r="I11630" t="str" cm="1">
        <f t="array" ref="I11630">_xlfn.XLOOKUP(FACT_IMPORTS[[#This Row],[country_name]],DIM_COUNTRY[[#All],[Column2]],DIM_COUNTRY[[#All],[Column3]],,,)</f>
        <v>Major_Non-USMCA_Non-China</v>
      </c>
    </row>
    <row r="11631" spans="1:9" x14ac:dyDescent="0.4">
      <c r="A11631" t="s">
        <v>73</v>
      </c>
      <c r="B11631" s="1">
        <v>45383</v>
      </c>
      <c r="C11631">
        <v>840999</v>
      </c>
      <c r="D11631" t="s">
        <v>176</v>
      </c>
      <c r="E11631">
        <v>265202</v>
      </c>
      <c r="F11631">
        <v>13067</v>
      </c>
      <c r="G11631">
        <v>1722</v>
      </c>
      <c r="H11631">
        <f>_xlfn.XLOOKUP(FACT_IMPORTS[[#This Row],[hts_6]],DIM_PRODUCTS[hts_6],DIM_PRODUCTS[hts_4],,,)</f>
        <v>8409</v>
      </c>
      <c r="I11631" t="str" cm="1">
        <f t="array" ref="I11631">_xlfn.XLOOKUP(FACT_IMPORTS[[#This Row],[country_name]],DIM_COUNTRY[[#All],[Column2]],DIM_COUNTRY[[#All],[Column3]],,,)</f>
        <v>Major_Non-USMCA_Non-China</v>
      </c>
    </row>
    <row r="11632" spans="1:9" x14ac:dyDescent="0.4">
      <c r="A11632" t="s">
        <v>73</v>
      </c>
      <c r="B11632" s="1">
        <v>45383</v>
      </c>
      <c r="C11632">
        <v>841330</v>
      </c>
      <c r="D11632" t="s">
        <v>176</v>
      </c>
      <c r="E11632">
        <v>6163651</v>
      </c>
      <c r="F11632">
        <v>138467</v>
      </c>
      <c r="G11632">
        <v>151485</v>
      </c>
      <c r="H11632">
        <f>_xlfn.XLOOKUP(FACT_IMPORTS[[#This Row],[hts_6]],DIM_PRODUCTS[hts_6],DIM_PRODUCTS[hts_4],,,)</f>
        <v>8413</v>
      </c>
      <c r="I11632" t="str" cm="1">
        <f t="array" ref="I11632">_xlfn.XLOOKUP(FACT_IMPORTS[[#This Row],[country_name]],DIM_COUNTRY[[#All],[Column2]],DIM_COUNTRY[[#All],[Column3]],,,)</f>
        <v>Major_Non-USMCA_Non-China</v>
      </c>
    </row>
    <row r="11633" spans="1:9" x14ac:dyDescent="0.4">
      <c r="A11633" t="s">
        <v>73</v>
      </c>
      <c r="B11633" s="1">
        <v>45383</v>
      </c>
      <c r="C11633">
        <v>842132</v>
      </c>
      <c r="D11633" t="s">
        <v>176</v>
      </c>
      <c r="E11633">
        <v>116745</v>
      </c>
      <c r="F11633">
        <v>75</v>
      </c>
      <c r="G11633">
        <v>133</v>
      </c>
      <c r="H11633">
        <f>_xlfn.XLOOKUP(FACT_IMPORTS[[#This Row],[hts_6]],DIM_PRODUCTS[hts_6],DIM_PRODUCTS[hts_4],,,)</f>
        <v>8421</v>
      </c>
      <c r="I11633" t="str" cm="1">
        <f t="array" ref="I11633">_xlfn.XLOOKUP(FACT_IMPORTS[[#This Row],[country_name]],DIM_COUNTRY[[#All],[Column2]],DIM_COUNTRY[[#All],[Column3]],,,)</f>
        <v>Major_Non-USMCA_Non-China</v>
      </c>
    </row>
    <row r="11634" spans="1:9" x14ac:dyDescent="0.4">
      <c r="A11634" t="s">
        <v>73</v>
      </c>
      <c r="B11634" s="1">
        <v>45383</v>
      </c>
      <c r="C11634">
        <v>848210</v>
      </c>
      <c r="D11634" t="s">
        <v>176</v>
      </c>
      <c r="E11634">
        <v>283343</v>
      </c>
      <c r="F11634">
        <v>168769</v>
      </c>
      <c r="G11634">
        <v>400</v>
      </c>
      <c r="H11634">
        <f>_xlfn.XLOOKUP(FACT_IMPORTS[[#This Row],[hts_6]],DIM_PRODUCTS[hts_6],DIM_PRODUCTS[hts_4],,,)</f>
        <v>8482</v>
      </c>
      <c r="I11634" t="str" cm="1">
        <f t="array" ref="I11634">_xlfn.XLOOKUP(FACT_IMPORTS[[#This Row],[country_name]],DIM_COUNTRY[[#All],[Column2]],DIM_COUNTRY[[#All],[Column3]],,,)</f>
        <v>Major_Non-USMCA_Non-China</v>
      </c>
    </row>
    <row r="11635" spans="1:9" x14ac:dyDescent="0.4">
      <c r="A11635" t="s">
        <v>73</v>
      </c>
      <c r="B11635" s="1">
        <v>45383</v>
      </c>
      <c r="C11635">
        <v>848220</v>
      </c>
      <c r="D11635" t="s">
        <v>176</v>
      </c>
      <c r="E11635">
        <v>5592574</v>
      </c>
      <c r="F11635">
        <v>1448960</v>
      </c>
      <c r="G11635">
        <v>853</v>
      </c>
      <c r="H11635">
        <f>_xlfn.XLOOKUP(FACT_IMPORTS[[#This Row],[hts_6]],DIM_PRODUCTS[hts_6],DIM_PRODUCTS[hts_4],,,)</f>
        <v>8482</v>
      </c>
      <c r="I11635" t="str" cm="1">
        <f t="array" ref="I11635">_xlfn.XLOOKUP(FACT_IMPORTS[[#This Row],[country_name]],DIM_COUNTRY[[#All],[Column2]],DIM_COUNTRY[[#All],[Column3]],,,)</f>
        <v>Major_Non-USMCA_Non-China</v>
      </c>
    </row>
    <row r="11636" spans="1:9" x14ac:dyDescent="0.4">
      <c r="A11636" t="s">
        <v>73</v>
      </c>
      <c r="B11636" s="1">
        <v>45383</v>
      </c>
      <c r="C11636">
        <v>848310</v>
      </c>
      <c r="D11636" t="s">
        <v>176</v>
      </c>
      <c r="E11636">
        <v>302243</v>
      </c>
      <c r="F11636">
        <v>248</v>
      </c>
      <c r="G11636">
        <v>2607</v>
      </c>
      <c r="H11636">
        <f>_xlfn.XLOOKUP(FACT_IMPORTS[[#This Row],[hts_6]],DIM_PRODUCTS[hts_6],DIM_PRODUCTS[hts_4],,,)</f>
        <v>8483</v>
      </c>
      <c r="I11636" t="str" cm="1">
        <f t="array" ref="I11636">_xlfn.XLOOKUP(FACT_IMPORTS[[#This Row],[country_name]],DIM_COUNTRY[[#All],[Column2]],DIM_COUNTRY[[#All],[Column3]],,,)</f>
        <v>Major_Non-USMCA_Non-China</v>
      </c>
    </row>
    <row r="11637" spans="1:9" x14ac:dyDescent="0.4">
      <c r="A11637" t="s">
        <v>73</v>
      </c>
      <c r="B11637" s="1">
        <v>45383</v>
      </c>
      <c r="C11637">
        <v>850131</v>
      </c>
      <c r="D11637" t="s">
        <v>176</v>
      </c>
      <c r="E11637">
        <v>4256312</v>
      </c>
      <c r="F11637">
        <v>159037</v>
      </c>
      <c r="G11637">
        <v>1281</v>
      </c>
      <c r="H11637">
        <f>_xlfn.XLOOKUP(FACT_IMPORTS[[#This Row],[hts_6]],DIM_PRODUCTS[hts_6],DIM_PRODUCTS[hts_4],,,)</f>
        <v>8501</v>
      </c>
      <c r="I11637" t="str" cm="1">
        <f t="array" ref="I11637">_xlfn.XLOOKUP(FACT_IMPORTS[[#This Row],[country_name]],DIM_COUNTRY[[#All],[Column2]],DIM_COUNTRY[[#All],[Column3]],,,)</f>
        <v>Major_Non-USMCA_Non-China</v>
      </c>
    </row>
    <row r="11638" spans="1:9" x14ac:dyDescent="0.4">
      <c r="A11638" t="s">
        <v>73</v>
      </c>
      <c r="B11638" s="1">
        <v>45383</v>
      </c>
      <c r="C11638">
        <v>850152</v>
      </c>
      <c r="D11638" t="s">
        <v>176</v>
      </c>
      <c r="E11638">
        <v>0</v>
      </c>
      <c r="F11638">
        <v>0</v>
      </c>
      <c r="G11638">
        <v>0</v>
      </c>
      <c r="H11638">
        <f>_xlfn.XLOOKUP(FACT_IMPORTS[[#This Row],[hts_6]],DIM_PRODUCTS[hts_6],DIM_PRODUCTS[hts_4],,,)</f>
        <v>8501</v>
      </c>
      <c r="I11638" t="str" cm="1">
        <f t="array" ref="I11638">_xlfn.XLOOKUP(FACT_IMPORTS[[#This Row],[country_name]],DIM_COUNTRY[[#All],[Column2]],DIM_COUNTRY[[#All],[Column3]],,,)</f>
        <v>Major_Non-USMCA_Non-China</v>
      </c>
    </row>
    <row r="11639" spans="1:9" x14ac:dyDescent="0.4">
      <c r="A11639" t="s">
        <v>73</v>
      </c>
      <c r="B11639" s="1">
        <v>45383</v>
      </c>
      <c r="C11639">
        <v>850153</v>
      </c>
      <c r="D11639" t="s">
        <v>176</v>
      </c>
      <c r="E11639">
        <v>31222</v>
      </c>
      <c r="F11639">
        <v>12</v>
      </c>
      <c r="G11639">
        <v>1710</v>
      </c>
      <c r="H11639">
        <f>_xlfn.XLOOKUP(FACT_IMPORTS[[#This Row],[hts_6]],DIM_PRODUCTS[hts_6],DIM_PRODUCTS[hts_4],,,)</f>
        <v>8501</v>
      </c>
      <c r="I11639" t="str" cm="1">
        <f t="array" ref="I11639">_xlfn.XLOOKUP(FACT_IMPORTS[[#This Row],[country_name]],DIM_COUNTRY[[#All],[Column2]],DIM_COUNTRY[[#All],[Column3]],,,)</f>
        <v>Major_Non-USMCA_Non-China</v>
      </c>
    </row>
    <row r="11640" spans="1:9" x14ac:dyDescent="0.4">
      <c r="A11640" t="s">
        <v>73</v>
      </c>
      <c r="B11640" s="1">
        <v>45383</v>
      </c>
      <c r="C11640">
        <v>850440</v>
      </c>
      <c r="D11640" t="s">
        <v>176</v>
      </c>
      <c r="E11640">
        <v>11275198</v>
      </c>
      <c r="F11640">
        <v>16498</v>
      </c>
      <c r="G11640">
        <v>3593</v>
      </c>
      <c r="H11640">
        <f>_xlfn.XLOOKUP(FACT_IMPORTS[[#This Row],[hts_6]],DIM_PRODUCTS[hts_6],DIM_PRODUCTS[hts_4],,,)</f>
        <v>8504</v>
      </c>
      <c r="I11640" t="str" cm="1">
        <f t="array" ref="I11640">_xlfn.XLOOKUP(FACT_IMPORTS[[#This Row],[country_name]],DIM_COUNTRY[[#All],[Column2]],DIM_COUNTRY[[#All],[Column3]],,,)</f>
        <v>Major_Non-USMCA_Non-China</v>
      </c>
    </row>
    <row r="11641" spans="1:9" x14ac:dyDescent="0.4">
      <c r="A11641" t="s">
        <v>73</v>
      </c>
      <c r="B11641" s="1">
        <v>45383</v>
      </c>
      <c r="C11641">
        <v>850710</v>
      </c>
      <c r="D11641" t="s">
        <v>176</v>
      </c>
      <c r="E11641">
        <v>852162</v>
      </c>
      <c r="F11641">
        <v>22736</v>
      </c>
      <c r="G11641">
        <v>28155</v>
      </c>
      <c r="H11641">
        <f>_xlfn.XLOOKUP(FACT_IMPORTS[[#This Row],[hts_6]],DIM_PRODUCTS[hts_6],DIM_PRODUCTS[hts_4],,,)</f>
        <v>8507</v>
      </c>
      <c r="I11641" t="str" cm="1">
        <f t="array" ref="I11641">_xlfn.XLOOKUP(FACT_IMPORTS[[#This Row],[country_name]],DIM_COUNTRY[[#All],[Column2]],DIM_COUNTRY[[#All],[Column3]],,,)</f>
        <v>Major_Non-USMCA_Non-China</v>
      </c>
    </row>
    <row r="11642" spans="1:9" x14ac:dyDescent="0.4">
      <c r="A11642" t="s">
        <v>73</v>
      </c>
      <c r="B11642" s="1">
        <v>45383</v>
      </c>
      <c r="C11642">
        <v>850760</v>
      </c>
      <c r="D11642" t="s">
        <v>176</v>
      </c>
      <c r="E11642">
        <v>75370</v>
      </c>
      <c r="F11642">
        <v>1072</v>
      </c>
      <c r="G11642">
        <v>2730</v>
      </c>
      <c r="H11642">
        <f>_xlfn.XLOOKUP(FACT_IMPORTS[[#This Row],[hts_6]],DIM_PRODUCTS[hts_6],DIM_PRODUCTS[hts_4],,,)</f>
        <v>8507</v>
      </c>
      <c r="I11642" t="str" cm="1">
        <f t="array" ref="I11642">_xlfn.XLOOKUP(FACT_IMPORTS[[#This Row],[country_name]],DIM_COUNTRY[[#All],[Column2]],DIM_COUNTRY[[#All],[Column3]],,,)</f>
        <v>Major_Non-USMCA_Non-China</v>
      </c>
    </row>
    <row r="11643" spans="1:9" x14ac:dyDescent="0.4">
      <c r="A11643" t="s">
        <v>73</v>
      </c>
      <c r="B11643" s="1">
        <v>45383</v>
      </c>
      <c r="C11643">
        <v>850790</v>
      </c>
      <c r="D11643" t="s">
        <v>176</v>
      </c>
      <c r="E11643">
        <v>534390</v>
      </c>
      <c r="F11643">
        <v>7771</v>
      </c>
      <c r="G11643">
        <v>14284</v>
      </c>
      <c r="H11643">
        <f>_xlfn.XLOOKUP(FACT_IMPORTS[[#This Row],[hts_6]],DIM_PRODUCTS[hts_6],DIM_PRODUCTS[hts_4],,,)</f>
        <v>8507</v>
      </c>
      <c r="I11643" t="str" cm="1">
        <f t="array" ref="I11643">_xlfn.XLOOKUP(FACT_IMPORTS[[#This Row],[country_name]],DIM_COUNTRY[[#All],[Column2]],DIM_COUNTRY[[#All],[Column3]],,,)</f>
        <v>Major_Non-USMCA_Non-China</v>
      </c>
    </row>
    <row r="11644" spans="1:9" x14ac:dyDescent="0.4">
      <c r="A11644" t="s">
        <v>73</v>
      </c>
      <c r="B11644" s="1">
        <v>45383</v>
      </c>
      <c r="C11644">
        <v>851130</v>
      </c>
      <c r="D11644" t="s">
        <v>176</v>
      </c>
      <c r="E11644">
        <v>24671</v>
      </c>
      <c r="F11644">
        <v>676</v>
      </c>
      <c r="G11644">
        <v>52</v>
      </c>
      <c r="H11644">
        <f>_xlfn.XLOOKUP(FACT_IMPORTS[[#This Row],[hts_6]],DIM_PRODUCTS[hts_6],DIM_PRODUCTS[hts_4],,,)</f>
        <v>8511</v>
      </c>
      <c r="I11644" t="str" cm="1">
        <f t="array" ref="I11644">_xlfn.XLOOKUP(FACT_IMPORTS[[#This Row],[country_name]],DIM_COUNTRY[[#All],[Column2]],DIM_COUNTRY[[#All],[Column3]],,,)</f>
        <v>Major_Non-USMCA_Non-China</v>
      </c>
    </row>
    <row r="11645" spans="1:9" x14ac:dyDescent="0.4">
      <c r="A11645" t="s">
        <v>73</v>
      </c>
      <c r="B11645" s="1">
        <v>45383</v>
      </c>
      <c r="C11645">
        <v>851140</v>
      </c>
      <c r="D11645" t="s">
        <v>176</v>
      </c>
      <c r="E11645">
        <v>763041</v>
      </c>
      <c r="F11645">
        <v>2581</v>
      </c>
      <c r="G11645">
        <v>415</v>
      </c>
      <c r="H11645">
        <f>_xlfn.XLOOKUP(FACT_IMPORTS[[#This Row],[hts_6]],DIM_PRODUCTS[hts_6],DIM_PRODUCTS[hts_4],,,)</f>
        <v>8511</v>
      </c>
      <c r="I11645" t="str" cm="1">
        <f t="array" ref="I11645">_xlfn.XLOOKUP(FACT_IMPORTS[[#This Row],[country_name]],DIM_COUNTRY[[#All],[Column2]],DIM_COUNTRY[[#All],[Column3]],,,)</f>
        <v>Major_Non-USMCA_Non-China</v>
      </c>
    </row>
    <row r="11646" spans="1:9" x14ac:dyDescent="0.4">
      <c r="A11646" t="s">
        <v>73</v>
      </c>
      <c r="B11646" s="1">
        <v>45383</v>
      </c>
      <c r="C11646">
        <v>851150</v>
      </c>
      <c r="D11646" t="s">
        <v>176</v>
      </c>
      <c r="E11646">
        <v>33123</v>
      </c>
      <c r="F11646">
        <v>117</v>
      </c>
      <c r="G11646">
        <v>32</v>
      </c>
      <c r="H11646">
        <f>_xlfn.XLOOKUP(FACT_IMPORTS[[#This Row],[hts_6]],DIM_PRODUCTS[hts_6],DIM_PRODUCTS[hts_4],,,)</f>
        <v>8511</v>
      </c>
      <c r="I11646" t="str" cm="1">
        <f t="array" ref="I11646">_xlfn.XLOOKUP(FACT_IMPORTS[[#This Row],[country_name]],DIM_COUNTRY[[#All],[Column2]],DIM_COUNTRY[[#All],[Column3]],,,)</f>
        <v>Major_Non-USMCA_Non-China</v>
      </c>
    </row>
    <row r="11647" spans="1:9" x14ac:dyDescent="0.4">
      <c r="A11647" t="s">
        <v>73</v>
      </c>
      <c r="B11647" s="1">
        <v>45383</v>
      </c>
      <c r="C11647">
        <v>851190</v>
      </c>
      <c r="D11647" t="s">
        <v>176</v>
      </c>
      <c r="E11647">
        <v>154906</v>
      </c>
      <c r="F11647">
        <v>17487</v>
      </c>
      <c r="G11647">
        <v>4327</v>
      </c>
      <c r="H11647">
        <f>_xlfn.XLOOKUP(FACT_IMPORTS[[#This Row],[hts_6]],DIM_PRODUCTS[hts_6],DIM_PRODUCTS[hts_4],,,)</f>
        <v>8511</v>
      </c>
      <c r="I11647" t="str" cm="1">
        <f t="array" ref="I11647">_xlfn.XLOOKUP(FACT_IMPORTS[[#This Row],[country_name]],DIM_COUNTRY[[#All],[Column2]],DIM_COUNTRY[[#All],[Column3]],,,)</f>
        <v>Major_Non-USMCA_Non-China</v>
      </c>
    </row>
    <row r="11648" spans="1:9" x14ac:dyDescent="0.4">
      <c r="A11648" t="s">
        <v>73</v>
      </c>
      <c r="B11648" s="1">
        <v>45383</v>
      </c>
      <c r="C11648">
        <v>851220</v>
      </c>
      <c r="D11648" t="s">
        <v>176</v>
      </c>
      <c r="E11648">
        <v>14584773</v>
      </c>
      <c r="F11648">
        <v>1884144</v>
      </c>
      <c r="G11648">
        <v>197641</v>
      </c>
      <c r="H11648">
        <f>_xlfn.XLOOKUP(FACT_IMPORTS[[#This Row],[hts_6]],DIM_PRODUCTS[hts_6],DIM_PRODUCTS[hts_4],,,)</f>
        <v>8512</v>
      </c>
      <c r="I11648" t="str" cm="1">
        <f t="array" ref="I11648">_xlfn.XLOOKUP(FACT_IMPORTS[[#This Row],[country_name]],DIM_COUNTRY[[#All],[Column2]],DIM_COUNTRY[[#All],[Column3]],,,)</f>
        <v>Major_Non-USMCA_Non-China</v>
      </c>
    </row>
    <row r="11649" spans="1:9" x14ac:dyDescent="0.4">
      <c r="A11649" t="s">
        <v>73</v>
      </c>
      <c r="B11649" s="1">
        <v>45383</v>
      </c>
      <c r="C11649">
        <v>851240</v>
      </c>
      <c r="D11649" t="s">
        <v>176</v>
      </c>
      <c r="E11649">
        <v>335121</v>
      </c>
      <c r="F11649">
        <v>14336</v>
      </c>
      <c r="G11649">
        <v>27567</v>
      </c>
      <c r="H11649">
        <f>_xlfn.XLOOKUP(FACT_IMPORTS[[#This Row],[hts_6]],DIM_PRODUCTS[hts_6],DIM_PRODUCTS[hts_4],,,)</f>
        <v>8512</v>
      </c>
      <c r="I11649" t="str" cm="1">
        <f t="array" ref="I11649">_xlfn.XLOOKUP(FACT_IMPORTS[[#This Row],[country_name]],DIM_COUNTRY[[#All],[Column2]],DIM_COUNTRY[[#All],[Column3]],,,)</f>
        <v>Major_Non-USMCA_Non-China</v>
      </c>
    </row>
    <row r="11650" spans="1:9" x14ac:dyDescent="0.4">
      <c r="A11650" t="s">
        <v>73</v>
      </c>
      <c r="B11650" s="1">
        <v>45383</v>
      </c>
      <c r="C11650">
        <v>851290</v>
      </c>
      <c r="D11650" t="s">
        <v>176</v>
      </c>
      <c r="E11650">
        <v>725059</v>
      </c>
      <c r="F11650">
        <v>41355</v>
      </c>
      <c r="G11650">
        <v>34647</v>
      </c>
      <c r="H11650">
        <f>_xlfn.XLOOKUP(FACT_IMPORTS[[#This Row],[hts_6]],DIM_PRODUCTS[hts_6],DIM_PRODUCTS[hts_4],,,)</f>
        <v>8512</v>
      </c>
      <c r="I11650" t="str" cm="1">
        <f t="array" ref="I11650">_xlfn.XLOOKUP(FACT_IMPORTS[[#This Row],[country_name]],DIM_COUNTRY[[#All],[Column2]],DIM_COUNTRY[[#All],[Column3]],,,)</f>
        <v>Major_Non-USMCA_Non-China</v>
      </c>
    </row>
    <row r="11651" spans="1:9" x14ac:dyDescent="0.4">
      <c r="A11651" t="s">
        <v>73</v>
      </c>
      <c r="B11651" s="1">
        <v>45383</v>
      </c>
      <c r="C11651">
        <v>854231</v>
      </c>
      <c r="D11651" t="s">
        <v>176</v>
      </c>
      <c r="E11651">
        <v>0</v>
      </c>
      <c r="F11651">
        <v>0</v>
      </c>
      <c r="G11651">
        <v>0</v>
      </c>
      <c r="H11651">
        <f>_xlfn.XLOOKUP(FACT_IMPORTS[[#This Row],[hts_6]],DIM_PRODUCTS[hts_6],DIM_PRODUCTS[hts_4],,,)</f>
        <v>8542</v>
      </c>
      <c r="I11651" t="str" cm="1">
        <f t="array" ref="I11651">_xlfn.XLOOKUP(FACT_IMPORTS[[#This Row],[country_name]],DIM_COUNTRY[[#All],[Column2]],DIM_COUNTRY[[#All],[Column3]],,,)</f>
        <v>Major_Non-USMCA_Non-China</v>
      </c>
    </row>
    <row r="11652" spans="1:9" x14ac:dyDescent="0.4">
      <c r="A11652" t="s">
        <v>73</v>
      </c>
      <c r="B11652" s="1">
        <v>45383</v>
      </c>
      <c r="C11652">
        <v>854232</v>
      </c>
      <c r="D11652" t="s">
        <v>176</v>
      </c>
      <c r="E11652">
        <v>50104</v>
      </c>
      <c r="F11652">
        <v>2751</v>
      </c>
      <c r="G11652">
        <v>1</v>
      </c>
      <c r="H11652">
        <f>_xlfn.XLOOKUP(FACT_IMPORTS[[#This Row],[hts_6]],DIM_PRODUCTS[hts_6],DIM_PRODUCTS[hts_4],,,)</f>
        <v>8542</v>
      </c>
      <c r="I11652" t="str" cm="1">
        <f t="array" ref="I11652">_xlfn.XLOOKUP(FACT_IMPORTS[[#This Row],[country_name]],DIM_COUNTRY[[#All],[Column2]],DIM_COUNTRY[[#All],[Column3]],,,)</f>
        <v>Major_Non-USMCA_Non-China</v>
      </c>
    </row>
    <row r="11653" spans="1:9" x14ac:dyDescent="0.4">
      <c r="A11653" t="s">
        <v>73</v>
      </c>
      <c r="B11653" s="1">
        <v>45383</v>
      </c>
      <c r="C11653">
        <v>854239</v>
      </c>
      <c r="D11653" t="s">
        <v>176</v>
      </c>
      <c r="E11653">
        <v>255521</v>
      </c>
      <c r="F11653">
        <v>60000</v>
      </c>
      <c r="G11653">
        <v>25553</v>
      </c>
      <c r="H11653">
        <f>_xlfn.XLOOKUP(FACT_IMPORTS[[#This Row],[hts_6]],DIM_PRODUCTS[hts_6],DIM_PRODUCTS[hts_4],,,)</f>
        <v>8542</v>
      </c>
      <c r="I11653" t="str" cm="1">
        <f t="array" ref="I11653">_xlfn.XLOOKUP(FACT_IMPORTS[[#This Row],[country_name]],DIM_COUNTRY[[#All],[Column2]],DIM_COUNTRY[[#All],[Column3]],,,)</f>
        <v>Major_Non-USMCA_Non-China</v>
      </c>
    </row>
    <row r="11654" spans="1:9" x14ac:dyDescent="0.4">
      <c r="A11654" t="s">
        <v>73</v>
      </c>
      <c r="B11654" s="1">
        <v>45383</v>
      </c>
      <c r="C11654">
        <v>854430</v>
      </c>
      <c r="D11654" t="s">
        <v>176</v>
      </c>
      <c r="E11654">
        <v>28426</v>
      </c>
      <c r="F11654">
        <v>51</v>
      </c>
      <c r="G11654">
        <v>47</v>
      </c>
      <c r="H11654">
        <f>_xlfn.XLOOKUP(FACT_IMPORTS[[#This Row],[hts_6]],DIM_PRODUCTS[hts_6],DIM_PRODUCTS[hts_4],,,)</f>
        <v>8544</v>
      </c>
      <c r="I11654" t="str" cm="1">
        <f t="array" ref="I11654">_xlfn.XLOOKUP(FACT_IMPORTS[[#This Row],[country_name]],DIM_COUNTRY[[#All],[Column2]],DIM_COUNTRY[[#All],[Column3]],,,)</f>
        <v>Major_Non-USMCA_Non-China</v>
      </c>
    </row>
    <row r="11655" spans="1:9" x14ac:dyDescent="0.4">
      <c r="A11655" t="s">
        <v>73</v>
      </c>
      <c r="B11655" s="1">
        <v>45383</v>
      </c>
      <c r="C11655">
        <v>870810</v>
      </c>
      <c r="D11655" t="s">
        <v>176</v>
      </c>
      <c r="E11655">
        <v>1156354</v>
      </c>
      <c r="F11655">
        <v>120576</v>
      </c>
      <c r="G11655">
        <v>6475</v>
      </c>
      <c r="H11655">
        <f>_xlfn.XLOOKUP(FACT_IMPORTS[[#This Row],[hts_6]],DIM_PRODUCTS[hts_6],DIM_PRODUCTS[hts_4],,,)</f>
        <v>8708</v>
      </c>
      <c r="I11655" t="str" cm="1">
        <f t="array" ref="I11655">_xlfn.XLOOKUP(FACT_IMPORTS[[#This Row],[country_name]],DIM_COUNTRY[[#All],[Column2]],DIM_COUNTRY[[#All],[Column3]],,,)</f>
        <v>Major_Non-USMCA_Non-China</v>
      </c>
    </row>
    <row r="11656" spans="1:9" x14ac:dyDescent="0.4">
      <c r="A11656" t="s">
        <v>73</v>
      </c>
      <c r="B11656" s="1">
        <v>45383</v>
      </c>
      <c r="C11656">
        <v>870822</v>
      </c>
      <c r="D11656" t="s">
        <v>176</v>
      </c>
      <c r="E11656">
        <v>211275</v>
      </c>
      <c r="F11656">
        <v>975</v>
      </c>
      <c r="G11656">
        <v>329</v>
      </c>
      <c r="H11656">
        <f>_xlfn.XLOOKUP(FACT_IMPORTS[[#This Row],[hts_6]],DIM_PRODUCTS[hts_6],DIM_PRODUCTS[hts_4],,,)</f>
        <v>8708</v>
      </c>
      <c r="I11656" t="str" cm="1">
        <f t="array" ref="I11656">_xlfn.XLOOKUP(FACT_IMPORTS[[#This Row],[country_name]],DIM_COUNTRY[[#All],[Column2]],DIM_COUNTRY[[#All],[Column3]],,,)</f>
        <v>Major_Non-USMCA_Non-China</v>
      </c>
    </row>
    <row r="11657" spans="1:9" x14ac:dyDescent="0.4">
      <c r="A11657" t="s">
        <v>73</v>
      </c>
      <c r="B11657" s="1">
        <v>45383</v>
      </c>
      <c r="C11657">
        <v>870829</v>
      </c>
      <c r="D11657" t="s">
        <v>176</v>
      </c>
      <c r="E11657">
        <v>7794334</v>
      </c>
      <c r="F11657">
        <v>4771313</v>
      </c>
      <c r="G11657">
        <v>327576</v>
      </c>
      <c r="H11657">
        <f>_xlfn.XLOOKUP(FACT_IMPORTS[[#This Row],[hts_6]],DIM_PRODUCTS[hts_6],DIM_PRODUCTS[hts_4],,,)</f>
        <v>8708</v>
      </c>
      <c r="I11657" t="str" cm="1">
        <f t="array" ref="I11657">_xlfn.XLOOKUP(FACT_IMPORTS[[#This Row],[country_name]],DIM_COUNTRY[[#All],[Column2]],DIM_COUNTRY[[#All],[Column3]],,,)</f>
        <v>Major_Non-USMCA_Non-China</v>
      </c>
    </row>
    <row r="11658" spans="1:9" x14ac:dyDescent="0.4">
      <c r="A11658" t="s">
        <v>73</v>
      </c>
      <c r="B11658" s="1">
        <v>45383</v>
      </c>
      <c r="C11658">
        <v>870830</v>
      </c>
      <c r="D11658" t="s">
        <v>176</v>
      </c>
      <c r="E11658">
        <v>780844</v>
      </c>
      <c r="F11658">
        <v>167711</v>
      </c>
      <c r="G11658">
        <v>10431</v>
      </c>
      <c r="H11658">
        <f>_xlfn.XLOOKUP(FACT_IMPORTS[[#This Row],[hts_6]],DIM_PRODUCTS[hts_6],DIM_PRODUCTS[hts_4],,,)</f>
        <v>8708</v>
      </c>
      <c r="I11658" t="str" cm="1">
        <f t="array" ref="I11658">_xlfn.XLOOKUP(FACT_IMPORTS[[#This Row],[country_name]],DIM_COUNTRY[[#All],[Column2]],DIM_COUNTRY[[#All],[Column3]],,,)</f>
        <v>Major_Non-USMCA_Non-China</v>
      </c>
    </row>
    <row r="11659" spans="1:9" x14ac:dyDescent="0.4">
      <c r="A11659" t="s">
        <v>73</v>
      </c>
      <c r="B11659" s="1">
        <v>45383</v>
      </c>
      <c r="C11659">
        <v>870840</v>
      </c>
      <c r="D11659" t="s">
        <v>176</v>
      </c>
      <c r="E11659">
        <v>3754707</v>
      </c>
      <c r="F11659">
        <v>374051</v>
      </c>
      <c r="G11659">
        <v>49180</v>
      </c>
      <c r="H11659">
        <f>_xlfn.XLOOKUP(FACT_IMPORTS[[#This Row],[hts_6]],DIM_PRODUCTS[hts_6],DIM_PRODUCTS[hts_4],,,)</f>
        <v>8708</v>
      </c>
      <c r="I11659" t="str" cm="1">
        <f t="array" ref="I11659">_xlfn.XLOOKUP(FACT_IMPORTS[[#This Row],[country_name]],DIM_COUNTRY[[#All],[Column2]],DIM_COUNTRY[[#All],[Column3]],,,)</f>
        <v>Major_Non-USMCA_Non-China</v>
      </c>
    </row>
    <row r="11660" spans="1:9" x14ac:dyDescent="0.4">
      <c r="A11660" t="s">
        <v>73</v>
      </c>
      <c r="B11660" s="1">
        <v>45383</v>
      </c>
      <c r="C11660">
        <v>870850</v>
      </c>
      <c r="D11660" t="s">
        <v>176</v>
      </c>
      <c r="E11660">
        <v>23573829</v>
      </c>
      <c r="F11660">
        <v>1627195</v>
      </c>
      <c r="G11660">
        <v>421792</v>
      </c>
      <c r="H11660">
        <f>_xlfn.XLOOKUP(FACT_IMPORTS[[#This Row],[hts_6]],DIM_PRODUCTS[hts_6],DIM_PRODUCTS[hts_4],,,)</f>
        <v>8708</v>
      </c>
      <c r="I11660" t="str" cm="1">
        <f t="array" ref="I11660">_xlfn.XLOOKUP(FACT_IMPORTS[[#This Row],[country_name]],DIM_COUNTRY[[#All],[Column2]],DIM_COUNTRY[[#All],[Column3]],,,)</f>
        <v>Major_Non-USMCA_Non-China</v>
      </c>
    </row>
    <row r="11661" spans="1:9" x14ac:dyDescent="0.4">
      <c r="A11661" t="s">
        <v>73</v>
      </c>
      <c r="B11661" s="1">
        <v>45383</v>
      </c>
      <c r="C11661">
        <v>870870</v>
      </c>
      <c r="D11661" t="s">
        <v>176</v>
      </c>
      <c r="E11661">
        <v>967148</v>
      </c>
      <c r="F11661">
        <v>11943</v>
      </c>
      <c r="G11661">
        <v>2625</v>
      </c>
      <c r="H11661">
        <f>_xlfn.XLOOKUP(FACT_IMPORTS[[#This Row],[hts_6]],DIM_PRODUCTS[hts_6],DIM_PRODUCTS[hts_4],,,)</f>
        <v>8708</v>
      </c>
      <c r="I11661" t="str" cm="1">
        <f t="array" ref="I11661">_xlfn.XLOOKUP(FACT_IMPORTS[[#This Row],[country_name]],DIM_COUNTRY[[#All],[Column2]],DIM_COUNTRY[[#All],[Column3]],,,)</f>
        <v>Major_Non-USMCA_Non-China</v>
      </c>
    </row>
    <row r="11662" spans="1:9" x14ac:dyDescent="0.4">
      <c r="A11662" t="s">
        <v>73</v>
      </c>
      <c r="B11662" s="1">
        <v>45383</v>
      </c>
      <c r="C11662">
        <v>870880</v>
      </c>
      <c r="D11662" t="s">
        <v>176</v>
      </c>
      <c r="E11662">
        <v>4922773</v>
      </c>
      <c r="F11662">
        <v>1026392</v>
      </c>
      <c r="G11662">
        <v>145321</v>
      </c>
      <c r="H11662">
        <f>_xlfn.XLOOKUP(FACT_IMPORTS[[#This Row],[hts_6]],DIM_PRODUCTS[hts_6],DIM_PRODUCTS[hts_4],,,)</f>
        <v>8708</v>
      </c>
      <c r="I11662" t="str" cm="1">
        <f t="array" ref="I11662">_xlfn.XLOOKUP(FACT_IMPORTS[[#This Row],[country_name]],DIM_COUNTRY[[#All],[Column2]],DIM_COUNTRY[[#All],[Column3]],,,)</f>
        <v>Major_Non-USMCA_Non-China</v>
      </c>
    </row>
    <row r="11663" spans="1:9" x14ac:dyDescent="0.4">
      <c r="A11663" t="s">
        <v>73</v>
      </c>
      <c r="B11663" s="1">
        <v>45383</v>
      </c>
      <c r="C11663">
        <v>870891</v>
      </c>
      <c r="D11663" t="s">
        <v>176</v>
      </c>
      <c r="E11663">
        <v>156566</v>
      </c>
      <c r="F11663">
        <v>795</v>
      </c>
      <c r="G11663">
        <v>328</v>
      </c>
      <c r="H11663">
        <f>_xlfn.XLOOKUP(FACT_IMPORTS[[#This Row],[hts_6]],DIM_PRODUCTS[hts_6],DIM_PRODUCTS[hts_4],,,)</f>
        <v>8708</v>
      </c>
      <c r="I11663" t="str" cm="1">
        <f t="array" ref="I11663">_xlfn.XLOOKUP(FACT_IMPORTS[[#This Row],[country_name]],DIM_COUNTRY[[#All],[Column2]],DIM_COUNTRY[[#All],[Column3]],,,)</f>
        <v>Major_Non-USMCA_Non-China</v>
      </c>
    </row>
    <row r="11664" spans="1:9" x14ac:dyDescent="0.4">
      <c r="A11664" t="s">
        <v>73</v>
      </c>
      <c r="B11664" s="1">
        <v>45383</v>
      </c>
      <c r="C11664">
        <v>870892</v>
      </c>
      <c r="D11664" t="s">
        <v>176</v>
      </c>
      <c r="E11664">
        <v>167965</v>
      </c>
      <c r="F11664">
        <v>641</v>
      </c>
      <c r="G11664">
        <v>410</v>
      </c>
      <c r="H11664">
        <f>_xlfn.XLOOKUP(FACT_IMPORTS[[#This Row],[hts_6]],DIM_PRODUCTS[hts_6],DIM_PRODUCTS[hts_4],,,)</f>
        <v>8708</v>
      </c>
      <c r="I11664" t="str" cm="1">
        <f t="array" ref="I11664">_xlfn.XLOOKUP(FACT_IMPORTS[[#This Row],[country_name]],DIM_COUNTRY[[#All],[Column2]],DIM_COUNTRY[[#All],[Column3]],,,)</f>
        <v>Major_Non-USMCA_Non-China</v>
      </c>
    </row>
    <row r="11665" spans="1:9" x14ac:dyDescent="0.4">
      <c r="A11665" t="s">
        <v>73</v>
      </c>
      <c r="B11665" s="1">
        <v>45383</v>
      </c>
      <c r="C11665">
        <v>870893</v>
      </c>
      <c r="D11665" t="s">
        <v>176</v>
      </c>
      <c r="E11665">
        <v>1579839</v>
      </c>
      <c r="F11665">
        <v>111988</v>
      </c>
      <c r="G11665">
        <v>12851</v>
      </c>
      <c r="H11665">
        <f>_xlfn.XLOOKUP(FACT_IMPORTS[[#This Row],[hts_6]],DIM_PRODUCTS[hts_6],DIM_PRODUCTS[hts_4],,,)</f>
        <v>8708</v>
      </c>
      <c r="I11665" t="str" cm="1">
        <f t="array" ref="I11665">_xlfn.XLOOKUP(FACT_IMPORTS[[#This Row],[country_name]],DIM_COUNTRY[[#All],[Column2]],DIM_COUNTRY[[#All],[Column3]],,,)</f>
        <v>Major_Non-USMCA_Non-China</v>
      </c>
    </row>
    <row r="11666" spans="1:9" x14ac:dyDescent="0.4">
      <c r="A11666" t="s">
        <v>73</v>
      </c>
      <c r="B11666" s="1">
        <v>45383</v>
      </c>
      <c r="C11666">
        <v>870894</v>
      </c>
      <c r="D11666" t="s">
        <v>176</v>
      </c>
      <c r="E11666">
        <v>2950526</v>
      </c>
      <c r="F11666">
        <v>202349</v>
      </c>
      <c r="G11666">
        <v>19928</v>
      </c>
      <c r="H11666">
        <f>_xlfn.XLOOKUP(FACT_IMPORTS[[#This Row],[hts_6]],DIM_PRODUCTS[hts_6],DIM_PRODUCTS[hts_4],,,)</f>
        <v>8708</v>
      </c>
      <c r="I11666" t="str" cm="1">
        <f t="array" ref="I11666">_xlfn.XLOOKUP(FACT_IMPORTS[[#This Row],[country_name]],DIM_COUNTRY[[#All],[Column2]],DIM_COUNTRY[[#All],[Column3]],,,)</f>
        <v>Major_Non-USMCA_Non-China</v>
      </c>
    </row>
    <row r="11667" spans="1:9" x14ac:dyDescent="0.4">
      <c r="A11667" t="s">
        <v>73</v>
      </c>
      <c r="B11667" s="1">
        <v>45383</v>
      </c>
      <c r="C11667">
        <v>870895</v>
      </c>
      <c r="D11667" t="s">
        <v>176</v>
      </c>
      <c r="E11667">
        <v>0</v>
      </c>
      <c r="F11667">
        <v>0</v>
      </c>
      <c r="G11667">
        <v>0</v>
      </c>
      <c r="H11667">
        <f>_xlfn.XLOOKUP(FACT_IMPORTS[[#This Row],[hts_6]],DIM_PRODUCTS[hts_6],DIM_PRODUCTS[hts_4],,,)</f>
        <v>8708</v>
      </c>
      <c r="I11667" t="str" cm="1">
        <f t="array" ref="I11667">_xlfn.XLOOKUP(FACT_IMPORTS[[#This Row],[country_name]],DIM_COUNTRY[[#All],[Column2]],DIM_COUNTRY[[#All],[Column3]],,,)</f>
        <v>Major_Non-USMCA_Non-China</v>
      </c>
    </row>
    <row r="11668" spans="1:9" x14ac:dyDescent="0.4">
      <c r="A11668" t="s">
        <v>73</v>
      </c>
      <c r="B11668" s="1">
        <v>45383</v>
      </c>
      <c r="C11668">
        <v>870899</v>
      </c>
      <c r="D11668" t="s">
        <v>176</v>
      </c>
      <c r="E11668">
        <v>28356576</v>
      </c>
      <c r="F11668">
        <v>4896467</v>
      </c>
      <c r="G11668">
        <v>884659</v>
      </c>
      <c r="H11668">
        <f>_xlfn.XLOOKUP(FACT_IMPORTS[[#This Row],[hts_6]],DIM_PRODUCTS[hts_6],DIM_PRODUCTS[hts_4],,,)</f>
        <v>8708</v>
      </c>
      <c r="I11668" t="str" cm="1">
        <f t="array" ref="I11668">_xlfn.XLOOKUP(FACT_IMPORTS[[#This Row],[country_name]],DIM_COUNTRY[[#All],[Column2]],DIM_COUNTRY[[#All],[Column3]],,,)</f>
        <v>Major_Non-USMCA_Non-China</v>
      </c>
    </row>
    <row r="11669" spans="1:9" x14ac:dyDescent="0.4">
      <c r="A11669" t="s">
        <v>73</v>
      </c>
      <c r="B11669" s="1">
        <v>45383</v>
      </c>
      <c r="C11669">
        <v>940120</v>
      </c>
      <c r="D11669" t="s">
        <v>176</v>
      </c>
      <c r="E11669">
        <v>300</v>
      </c>
      <c r="F11669">
        <v>1</v>
      </c>
      <c r="G11669">
        <v>16</v>
      </c>
      <c r="H11669">
        <f>_xlfn.XLOOKUP(FACT_IMPORTS[[#This Row],[hts_6]],DIM_PRODUCTS[hts_6],DIM_PRODUCTS[hts_4],,,)</f>
        <v>9401</v>
      </c>
      <c r="I11669" t="str" cm="1">
        <f t="array" ref="I11669">_xlfn.XLOOKUP(FACT_IMPORTS[[#This Row],[country_name]],DIM_COUNTRY[[#All],[Column2]],DIM_COUNTRY[[#All],[Column3]],,,)</f>
        <v>Major_Non-USMCA_Non-China</v>
      </c>
    </row>
    <row r="11670" spans="1:9" x14ac:dyDescent="0.4">
      <c r="A11670" t="s">
        <v>73</v>
      </c>
      <c r="B11670" s="1">
        <v>45413</v>
      </c>
      <c r="C11670">
        <v>392630</v>
      </c>
      <c r="D11670" t="s">
        <v>176</v>
      </c>
      <c r="E11670">
        <v>725371</v>
      </c>
      <c r="F11670">
        <v>42847</v>
      </c>
      <c r="G11670">
        <v>50739</v>
      </c>
      <c r="H11670">
        <f>_xlfn.XLOOKUP(FACT_IMPORTS[[#This Row],[hts_6]],DIM_PRODUCTS[hts_6],DIM_PRODUCTS[hts_4],,,)</f>
        <v>3926</v>
      </c>
      <c r="I11670" t="str" cm="1">
        <f t="array" ref="I11670">_xlfn.XLOOKUP(FACT_IMPORTS[[#This Row],[country_name]],DIM_COUNTRY[[#All],[Column2]],DIM_COUNTRY[[#All],[Column3]],,,)</f>
        <v>Major_Non-USMCA_Non-China</v>
      </c>
    </row>
    <row r="11671" spans="1:9" x14ac:dyDescent="0.4">
      <c r="A11671" t="s">
        <v>73</v>
      </c>
      <c r="B11671" s="1">
        <v>45413</v>
      </c>
      <c r="C11671">
        <v>401110</v>
      </c>
      <c r="D11671" t="s">
        <v>176</v>
      </c>
      <c r="E11671">
        <v>5508163</v>
      </c>
      <c r="F11671">
        <v>85098</v>
      </c>
      <c r="G11671">
        <v>885748</v>
      </c>
      <c r="H11671">
        <f>_xlfn.XLOOKUP(FACT_IMPORTS[[#This Row],[hts_6]],DIM_PRODUCTS[hts_6],DIM_PRODUCTS[hts_4],,,)</f>
        <v>4011</v>
      </c>
      <c r="I11671" t="str" cm="1">
        <f t="array" ref="I11671">_xlfn.XLOOKUP(FACT_IMPORTS[[#This Row],[country_name]],DIM_COUNTRY[[#All],[Column2]],DIM_COUNTRY[[#All],[Column3]],,,)</f>
        <v>Major_Non-USMCA_Non-China</v>
      </c>
    </row>
    <row r="11672" spans="1:9" x14ac:dyDescent="0.4">
      <c r="A11672" t="s">
        <v>73</v>
      </c>
      <c r="B11672" s="1">
        <v>45413</v>
      </c>
      <c r="C11672">
        <v>401120</v>
      </c>
      <c r="D11672" t="s">
        <v>176</v>
      </c>
      <c r="E11672">
        <v>12094</v>
      </c>
      <c r="F11672">
        <v>121</v>
      </c>
      <c r="G11672">
        <v>1396</v>
      </c>
      <c r="H11672">
        <f>_xlfn.XLOOKUP(FACT_IMPORTS[[#This Row],[hts_6]],DIM_PRODUCTS[hts_6],DIM_PRODUCTS[hts_4],,,)</f>
        <v>4011</v>
      </c>
      <c r="I11672" t="str" cm="1">
        <f t="array" ref="I11672">_xlfn.XLOOKUP(FACT_IMPORTS[[#This Row],[country_name]],DIM_COUNTRY[[#All],[Column2]],DIM_COUNTRY[[#All],[Column3]],,,)</f>
        <v>Major_Non-USMCA_Non-China</v>
      </c>
    </row>
    <row r="11673" spans="1:9" x14ac:dyDescent="0.4">
      <c r="A11673" t="s">
        <v>73</v>
      </c>
      <c r="B11673" s="1">
        <v>45413</v>
      </c>
      <c r="C11673">
        <v>401190</v>
      </c>
      <c r="D11673" t="s">
        <v>176</v>
      </c>
      <c r="E11673">
        <v>0</v>
      </c>
      <c r="F11673">
        <v>0</v>
      </c>
      <c r="G11673">
        <v>0</v>
      </c>
      <c r="H11673">
        <f>_xlfn.XLOOKUP(FACT_IMPORTS[[#This Row],[hts_6]],DIM_PRODUCTS[hts_6],DIM_PRODUCTS[hts_4],,,)</f>
        <v>4011</v>
      </c>
      <c r="I11673" t="str" cm="1">
        <f t="array" ref="I11673">_xlfn.XLOOKUP(FACT_IMPORTS[[#This Row],[country_name]],DIM_COUNTRY[[#All],[Column2]],DIM_COUNTRY[[#All],[Column3]],,,)</f>
        <v>Major_Non-USMCA_Non-China</v>
      </c>
    </row>
    <row r="11674" spans="1:9" x14ac:dyDescent="0.4">
      <c r="A11674" t="s">
        <v>73</v>
      </c>
      <c r="B11674" s="1">
        <v>45413</v>
      </c>
      <c r="C11674">
        <v>700711</v>
      </c>
      <c r="D11674" t="s">
        <v>176</v>
      </c>
      <c r="E11674">
        <v>4622</v>
      </c>
      <c r="F11674">
        <v>2</v>
      </c>
      <c r="G11674">
        <v>104</v>
      </c>
      <c r="H11674">
        <f>_xlfn.XLOOKUP(FACT_IMPORTS[[#This Row],[hts_6]],DIM_PRODUCTS[hts_6],DIM_PRODUCTS[hts_4],,,)</f>
        <v>7007</v>
      </c>
      <c r="I11674" t="str" cm="1">
        <f t="array" ref="I11674">_xlfn.XLOOKUP(FACT_IMPORTS[[#This Row],[country_name]],DIM_COUNTRY[[#All],[Column2]],DIM_COUNTRY[[#All],[Column3]],,,)</f>
        <v>Major_Non-USMCA_Non-China</v>
      </c>
    </row>
    <row r="11675" spans="1:9" x14ac:dyDescent="0.4">
      <c r="A11675" t="s">
        <v>73</v>
      </c>
      <c r="B11675" s="1">
        <v>45413</v>
      </c>
      <c r="C11675">
        <v>700910</v>
      </c>
      <c r="D11675" t="s">
        <v>176</v>
      </c>
      <c r="E11675">
        <v>77780</v>
      </c>
      <c r="F11675">
        <v>704</v>
      </c>
      <c r="G11675">
        <v>10120</v>
      </c>
      <c r="H11675">
        <f>_xlfn.XLOOKUP(FACT_IMPORTS[[#This Row],[hts_6]],DIM_PRODUCTS[hts_6],DIM_PRODUCTS[hts_4],,,)</f>
        <v>7009</v>
      </c>
      <c r="I11675" t="str" cm="1">
        <f t="array" ref="I11675">_xlfn.XLOOKUP(FACT_IMPORTS[[#This Row],[country_name]],DIM_COUNTRY[[#All],[Column2]],DIM_COUNTRY[[#All],[Column3]],,,)</f>
        <v>Major_Non-USMCA_Non-China</v>
      </c>
    </row>
    <row r="11676" spans="1:9" x14ac:dyDescent="0.4">
      <c r="A11676" t="s">
        <v>73</v>
      </c>
      <c r="B11676" s="1">
        <v>45413</v>
      </c>
      <c r="C11676">
        <v>830230</v>
      </c>
      <c r="D11676" t="s">
        <v>176</v>
      </c>
      <c r="E11676">
        <v>1959421</v>
      </c>
      <c r="F11676">
        <v>326283</v>
      </c>
      <c r="G11676">
        <v>28811</v>
      </c>
      <c r="H11676">
        <f>_xlfn.XLOOKUP(FACT_IMPORTS[[#This Row],[hts_6]],DIM_PRODUCTS[hts_6],DIM_PRODUCTS[hts_4],,,)</f>
        <v>8302</v>
      </c>
      <c r="I11676" t="str" cm="1">
        <f t="array" ref="I11676">_xlfn.XLOOKUP(FACT_IMPORTS[[#This Row],[country_name]],DIM_COUNTRY[[#All],[Column2]],DIM_COUNTRY[[#All],[Column3]],,,)</f>
        <v>Major_Non-USMCA_Non-China</v>
      </c>
    </row>
    <row r="11677" spans="1:9" x14ac:dyDescent="0.4">
      <c r="A11677" t="s">
        <v>73</v>
      </c>
      <c r="B11677" s="1">
        <v>45413</v>
      </c>
      <c r="C11677">
        <v>840734</v>
      </c>
      <c r="D11677" t="s">
        <v>176</v>
      </c>
      <c r="E11677">
        <v>167896</v>
      </c>
      <c r="F11677">
        <v>24</v>
      </c>
      <c r="G11677">
        <v>136</v>
      </c>
      <c r="H11677">
        <f>_xlfn.XLOOKUP(FACT_IMPORTS[[#This Row],[hts_6]],DIM_PRODUCTS[hts_6],DIM_PRODUCTS[hts_4],,,)</f>
        <v>8407</v>
      </c>
      <c r="I11677" t="str" cm="1">
        <f t="array" ref="I11677">_xlfn.XLOOKUP(FACT_IMPORTS[[#This Row],[country_name]],DIM_COUNTRY[[#All],[Column2]],DIM_COUNTRY[[#All],[Column3]],,,)</f>
        <v>Major_Non-USMCA_Non-China</v>
      </c>
    </row>
    <row r="11678" spans="1:9" x14ac:dyDescent="0.4">
      <c r="A11678" t="s">
        <v>73</v>
      </c>
      <c r="B11678" s="1">
        <v>45413</v>
      </c>
      <c r="C11678">
        <v>840820</v>
      </c>
      <c r="D11678" t="s">
        <v>176</v>
      </c>
      <c r="E11678">
        <v>0</v>
      </c>
      <c r="F11678">
        <v>0</v>
      </c>
      <c r="G11678">
        <v>0</v>
      </c>
      <c r="H11678">
        <f>_xlfn.XLOOKUP(FACT_IMPORTS[[#This Row],[hts_6]],DIM_PRODUCTS[hts_6],DIM_PRODUCTS[hts_4],,,)</f>
        <v>8408</v>
      </c>
      <c r="I11678" t="str" cm="1">
        <f t="array" ref="I11678">_xlfn.XLOOKUP(FACT_IMPORTS[[#This Row],[country_name]],DIM_COUNTRY[[#All],[Column2]],DIM_COUNTRY[[#All],[Column3]],,,)</f>
        <v>Major_Non-USMCA_Non-China</v>
      </c>
    </row>
    <row r="11679" spans="1:9" x14ac:dyDescent="0.4">
      <c r="A11679" t="s">
        <v>73</v>
      </c>
      <c r="B11679" s="1">
        <v>45413</v>
      </c>
      <c r="C11679">
        <v>840890</v>
      </c>
      <c r="D11679" t="s">
        <v>176</v>
      </c>
      <c r="E11679">
        <v>0</v>
      </c>
      <c r="F11679">
        <v>0</v>
      </c>
      <c r="G11679">
        <v>0</v>
      </c>
      <c r="H11679">
        <f>_xlfn.XLOOKUP(FACT_IMPORTS[[#This Row],[hts_6]],DIM_PRODUCTS[hts_6],DIM_PRODUCTS[hts_4],,,)</f>
        <v>8408</v>
      </c>
      <c r="I11679" t="str" cm="1">
        <f t="array" ref="I11679">_xlfn.XLOOKUP(FACT_IMPORTS[[#This Row],[country_name]],DIM_COUNTRY[[#All],[Column2]],DIM_COUNTRY[[#All],[Column3]],,,)</f>
        <v>Major_Non-USMCA_Non-China</v>
      </c>
    </row>
    <row r="11680" spans="1:9" x14ac:dyDescent="0.4">
      <c r="A11680" t="s">
        <v>73</v>
      </c>
      <c r="B11680" s="1">
        <v>45413</v>
      </c>
      <c r="C11680">
        <v>840991</v>
      </c>
      <c r="D11680" t="s">
        <v>176</v>
      </c>
      <c r="E11680">
        <v>4791243</v>
      </c>
      <c r="F11680">
        <v>249340</v>
      </c>
      <c r="G11680">
        <v>50934</v>
      </c>
      <c r="H11680">
        <f>_xlfn.XLOOKUP(FACT_IMPORTS[[#This Row],[hts_6]],DIM_PRODUCTS[hts_6],DIM_PRODUCTS[hts_4],,,)</f>
        <v>8409</v>
      </c>
      <c r="I11680" t="str" cm="1">
        <f t="array" ref="I11680">_xlfn.XLOOKUP(FACT_IMPORTS[[#This Row],[country_name]],DIM_COUNTRY[[#All],[Column2]],DIM_COUNTRY[[#All],[Column3]],,,)</f>
        <v>Major_Non-USMCA_Non-China</v>
      </c>
    </row>
    <row r="11681" spans="1:9" x14ac:dyDescent="0.4">
      <c r="A11681" t="s">
        <v>73</v>
      </c>
      <c r="B11681" s="1">
        <v>45413</v>
      </c>
      <c r="C11681">
        <v>840999</v>
      </c>
      <c r="D11681" t="s">
        <v>176</v>
      </c>
      <c r="E11681">
        <v>118789</v>
      </c>
      <c r="F11681">
        <v>4951</v>
      </c>
      <c r="G11681">
        <v>2865</v>
      </c>
      <c r="H11681">
        <f>_xlfn.XLOOKUP(FACT_IMPORTS[[#This Row],[hts_6]],DIM_PRODUCTS[hts_6],DIM_PRODUCTS[hts_4],,,)</f>
        <v>8409</v>
      </c>
      <c r="I11681" t="str" cm="1">
        <f t="array" ref="I11681">_xlfn.XLOOKUP(FACT_IMPORTS[[#This Row],[country_name]],DIM_COUNTRY[[#All],[Column2]],DIM_COUNTRY[[#All],[Column3]],,,)</f>
        <v>Major_Non-USMCA_Non-China</v>
      </c>
    </row>
    <row r="11682" spans="1:9" x14ac:dyDescent="0.4">
      <c r="A11682" t="s">
        <v>73</v>
      </c>
      <c r="B11682" s="1">
        <v>45413</v>
      </c>
      <c r="C11682">
        <v>841330</v>
      </c>
      <c r="D11682" t="s">
        <v>176</v>
      </c>
      <c r="E11682">
        <v>5173420</v>
      </c>
      <c r="F11682">
        <v>108953</v>
      </c>
      <c r="G11682">
        <v>121436</v>
      </c>
      <c r="H11682">
        <f>_xlfn.XLOOKUP(FACT_IMPORTS[[#This Row],[hts_6]],DIM_PRODUCTS[hts_6],DIM_PRODUCTS[hts_4],,,)</f>
        <v>8413</v>
      </c>
      <c r="I11682" t="str" cm="1">
        <f t="array" ref="I11682">_xlfn.XLOOKUP(FACT_IMPORTS[[#This Row],[country_name]],DIM_COUNTRY[[#All],[Column2]],DIM_COUNTRY[[#All],[Column3]],,,)</f>
        <v>Major_Non-USMCA_Non-China</v>
      </c>
    </row>
    <row r="11683" spans="1:9" x14ac:dyDescent="0.4">
      <c r="A11683" t="s">
        <v>73</v>
      </c>
      <c r="B11683" s="1">
        <v>45413</v>
      </c>
      <c r="C11683">
        <v>842132</v>
      </c>
      <c r="D11683" t="s">
        <v>176</v>
      </c>
      <c r="E11683">
        <v>230898</v>
      </c>
      <c r="F11683">
        <v>116</v>
      </c>
      <c r="G11683">
        <v>225</v>
      </c>
      <c r="H11683">
        <f>_xlfn.XLOOKUP(FACT_IMPORTS[[#This Row],[hts_6]],DIM_PRODUCTS[hts_6],DIM_PRODUCTS[hts_4],,,)</f>
        <v>8421</v>
      </c>
      <c r="I11683" t="str" cm="1">
        <f t="array" ref="I11683">_xlfn.XLOOKUP(FACT_IMPORTS[[#This Row],[country_name]],DIM_COUNTRY[[#All],[Column2]],DIM_COUNTRY[[#All],[Column3]],,,)</f>
        <v>Major_Non-USMCA_Non-China</v>
      </c>
    </row>
    <row r="11684" spans="1:9" x14ac:dyDescent="0.4">
      <c r="A11684" t="s">
        <v>73</v>
      </c>
      <c r="B11684" s="1">
        <v>45413</v>
      </c>
      <c r="C11684">
        <v>848210</v>
      </c>
      <c r="D11684" t="s">
        <v>176</v>
      </c>
      <c r="E11684">
        <v>295634</v>
      </c>
      <c r="F11684">
        <v>64988</v>
      </c>
      <c r="G11684">
        <v>966</v>
      </c>
      <c r="H11684">
        <f>_xlfn.XLOOKUP(FACT_IMPORTS[[#This Row],[hts_6]],DIM_PRODUCTS[hts_6],DIM_PRODUCTS[hts_4],,,)</f>
        <v>8482</v>
      </c>
      <c r="I11684" t="str" cm="1">
        <f t="array" ref="I11684">_xlfn.XLOOKUP(FACT_IMPORTS[[#This Row],[country_name]],DIM_COUNTRY[[#All],[Column2]],DIM_COUNTRY[[#All],[Column3]],,,)</f>
        <v>Major_Non-USMCA_Non-China</v>
      </c>
    </row>
    <row r="11685" spans="1:9" x14ac:dyDescent="0.4">
      <c r="A11685" t="s">
        <v>73</v>
      </c>
      <c r="B11685" s="1">
        <v>45413</v>
      </c>
      <c r="C11685">
        <v>848220</v>
      </c>
      <c r="D11685" t="s">
        <v>176</v>
      </c>
      <c r="E11685">
        <v>6119829</v>
      </c>
      <c r="F11685">
        <v>1275291</v>
      </c>
      <c r="G11685">
        <v>1638</v>
      </c>
      <c r="H11685">
        <f>_xlfn.XLOOKUP(FACT_IMPORTS[[#This Row],[hts_6]],DIM_PRODUCTS[hts_6],DIM_PRODUCTS[hts_4],,,)</f>
        <v>8482</v>
      </c>
      <c r="I11685" t="str" cm="1">
        <f t="array" ref="I11685">_xlfn.XLOOKUP(FACT_IMPORTS[[#This Row],[country_name]],DIM_COUNTRY[[#All],[Column2]],DIM_COUNTRY[[#All],[Column3]],,,)</f>
        <v>Major_Non-USMCA_Non-China</v>
      </c>
    </row>
    <row r="11686" spans="1:9" x14ac:dyDescent="0.4">
      <c r="A11686" t="s">
        <v>73</v>
      </c>
      <c r="B11686" s="1">
        <v>45413</v>
      </c>
      <c r="C11686">
        <v>848310</v>
      </c>
      <c r="D11686" t="s">
        <v>176</v>
      </c>
      <c r="E11686">
        <v>0</v>
      </c>
      <c r="F11686">
        <v>0</v>
      </c>
      <c r="G11686">
        <v>0</v>
      </c>
      <c r="H11686">
        <f>_xlfn.XLOOKUP(FACT_IMPORTS[[#This Row],[hts_6]],DIM_PRODUCTS[hts_6],DIM_PRODUCTS[hts_4],,,)</f>
        <v>8483</v>
      </c>
      <c r="I11686" t="str" cm="1">
        <f t="array" ref="I11686">_xlfn.XLOOKUP(FACT_IMPORTS[[#This Row],[country_name]],DIM_COUNTRY[[#All],[Column2]],DIM_COUNTRY[[#All],[Column3]],,,)</f>
        <v>Major_Non-USMCA_Non-China</v>
      </c>
    </row>
    <row r="11687" spans="1:9" x14ac:dyDescent="0.4">
      <c r="A11687" t="s">
        <v>73</v>
      </c>
      <c r="B11687" s="1">
        <v>45413</v>
      </c>
      <c r="C11687">
        <v>850131</v>
      </c>
      <c r="D11687" t="s">
        <v>176</v>
      </c>
      <c r="E11687">
        <v>2263292</v>
      </c>
      <c r="F11687">
        <v>140996</v>
      </c>
      <c r="G11687">
        <v>3173</v>
      </c>
      <c r="H11687">
        <f>_xlfn.XLOOKUP(FACT_IMPORTS[[#This Row],[hts_6]],DIM_PRODUCTS[hts_6],DIM_PRODUCTS[hts_4],,,)</f>
        <v>8501</v>
      </c>
      <c r="I11687" t="str" cm="1">
        <f t="array" ref="I11687">_xlfn.XLOOKUP(FACT_IMPORTS[[#This Row],[country_name]],DIM_COUNTRY[[#All],[Column2]],DIM_COUNTRY[[#All],[Column3]],,,)</f>
        <v>Major_Non-USMCA_Non-China</v>
      </c>
    </row>
    <row r="11688" spans="1:9" x14ac:dyDescent="0.4">
      <c r="A11688" t="s">
        <v>73</v>
      </c>
      <c r="B11688" s="1">
        <v>45413</v>
      </c>
      <c r="C11688">
        <v>850152</v>
      </c>
      <c r="D11688" t="s">
        <v>176</v>
      </c>
      <c r="E11688">
        <v>0</v>
      </c>
      <c r="F11688">
        <v>0</v>
      </c>
      <c r="G11688">
        <v>0</v>
      </c>
      <c r="H11688">
        <f>_xlfn.XLOOKUP(FACT_IMPORTS[[#This Row],[hts_6]],DIM_PRODUCTS[hts_6],DIM_PRODUCTS[hts_4],,,)</f>
        <v>8501</v>
      </c>
      <c r="I11688" t="str" cm="1">
        <f t="array" ref="I11688">_xlfn.XLOOKUP(FACT_IMPORTS[[#This Row],[country_name]],DIM_COUNTRY[[#All],[Column2]],DIM_COUNTRY[[#All],[Column3]],,,)</f>
        <v>Major_Non-USMCA_Non-China</v>
      </c>
    </row>
    <row r="11689" spans="1:9" x14ac:dyDescent="0.4">
      <c r="A11689" t="s">
        <v>73</v>
      </c>
      <c r="B11689" s="1">
        <v>45413</v>
      </c>
      <c r="C11689">
        <v>850153</v>
      </c>
      <c r="D11689" t="s">
        <v>176</v>
      </c>
      <c r="E11689">
        <v>9000</v>
      </c>
      <c r="F11689">
        <v>3</v>
      </c>
      <c r="G11689">
        <v>7</v>
      </c>
      <c r="H11689">
        <f>_xlfn.XLOOKUP(FACT_IMPORTS[[#This Row],[hts_6]],DIM_PRODUCTS[hts_6],DIM_PRODUCTS[hts_4],,,)</f>
        <v>8501</v>
      </c>
      <c r="I11689" t="str" cm="1">
        <f t="array" ref="I11689">_xlfn.XLOOKUP(FACT_IMPORTS[[#This Row],[country_name]],DIM_COUNTRY[[#All],[Column2]],DIM_COUNTRY[[#All],[Column3]],,,)</f>
        <v>Major_Non-USMCA_Non-China</v>
      </c>
    </row>
    <row r="11690" spans="1:9" x14ac:dyDescent="0.4">
      <c r="A11690" t="s">
        <v>73</v>
      </c>
      <c r="B11690" s="1">
        <v>45413</v>
      </c>
      <c r="C11690">
        <v>850440</v>
      </c>
      <c r="D11690" t="s">
        <v>176</v>
      </c>
      <c r="E11690">
        <v>3603250</v>
      </c>
      <c r="F11690">
        <v>4936</v>
      </c>
      <c r="G11690">
        <v>7165</v>
      </c>
      <c r="H11690">
        <f>_xlfn.XLOOKUP(FACT_IMPORTS[[#This Row],[hts_6]],DIM_PRODUCTS[hts_6],DIM_PRODUCTS[hts_4],,,)</f>
        <v>8504</v>
      </c>
      <c r="I11690" t="str" cm="1">
        <f t="array" ref="I11690">_xlfn.XLOOKUP(FACT_IMPORTS[[#This Row],[country_name]],DIM_COUNTRY[[#All],[Column2]],DIM_COUNTRY[[#All],[Column3]],,,)</f>
        <v>Major_Non-USMCA_Non-China</v>
      </c>
    </row>
    <row r="11691" spans="1:9" x14ac:dyDescent="0.4">
      <c r="A11691" t="s">
        <v>73</v>
      </c>
      <c r="B11691" s="1">
        <v>45413</v>
      </c>
      <c r="C11691">
        <v>850710</v>
      </c>
      <c r="D11691" t="s">
        <v>176</v>
      </c>
      <c r="E11691">
        <v>637390</v>
      </c>
      <c r="F11691">
        <v>13092</v>
      </c>
      <c r="G11691">
        <v>46487</v>
      </c>
      <c r="H11691">
        <f>_xlfn.XLOOKUP(FACT_IMPORTS[[#This Row],[hts_6]],DIM_PRODUCTS[hts_6],DIM_PRODUCTS[hts_4],,,)</f>
        <v>8507</v>
      </c>
      <c r="I11691" t="str" cm="1">
        <f t="array" ref="I11691">_xlfn.XLOOKUP(FACT_IMPORTS[[#This Row],[country_name]],DIM_COUNTRY[[#All],[Column2]],DIM_COUNTRY[[#All],[Column3]],,,)</f>
        <v>Major_Non-USMCA_Non-China</v>
      </c>
    </row>
    <row r="11692" spans="1:9" x14ac:dyDescent="0.4">
      <c r="A11692" t="s">
        <v>73</v>
      </c>
      <c r="B11692" s="1">
        <v>45413</v>
      </c>
      <c r="C11692">
        <v>850760</v>
      </c>
      <c r="D11692" t="s">
        <v>176</v>
      </c>
      <c r="E11692">
        <v>657897</v>
      </c>
      <c r="F11692">
        <v>243523</v>
      </c>
      <c r="G11692">
        <v>17306</v>
      </c>
      <c r="H11692">
        <f>_xlfn.XLOOKUP(FACT_IMPORTS[[#This Row],[hts_6]],DIM_PRODUCTS[hts_6],DIM_PRODUCTS[hts_4],,,)</f>
        <v>8507</v>
      </c>
      <c r="I11692" t="str" cm="1">
        <f t="array" ref="I11692">_xlfn.XLOOKUP(FACT_IMPORTS[[#This Row],[country_name]],DIM_COUNTRY[[#All],[Column2]],DIM_COUNTRY[[#All],[Column3]],,,)</f>
        <v>Major_Non-USMCA_Non-China</v>
      </c>
    </row>
    <row r="11693" spans="1:9" x14ac:dyDescent="0.4">
      <c r="A11693" t="s">
        <v>73</v>
      </c>
      <c r="B11693" s="1">
        <v>45413</v>
      </c>
      <c r="C11693">
        <v>850790</v>
      </c>
      <c r="D11693" t="s">
        <v>176</v>
      </c>
      <c r="E11693">
        <v>112820</v>
      </c>
      <c r="F11693">
        <v>222</v>
      </c>
      <c r="G11693">
        <v>3468</v>
      </c>
      <c r="H11693">
        <f>_xlfn.XLOOKUP(FACT_IMPORTS[[#This Row],[hts_6]],DIM_PRODUCTS[hts_6],DIM_PRODUCTS[hts_4],,,)</f>
        <v>8507</v>
      </c>
      <c r="I11693" t="str" cm="1">
        <f t="array" ref="I11693">_xlfn.XLOOKUP(FACT_IMPORTS[[#This Row],[country_name]],DIM_COUNTRY[[#All],[Column2]],DIM_COUNTRY[[#All],[Column3]],,,)</f>
        <v>Major_Non-USMCA_Non-China</v>
      </c>
    </row>
    <row r="11694" spans="1:9" x14ac:dyDescent="0.4">
      <c r="A11694" t="s">
        <v>73</v>
      </c>
      <c r="B11694" s="1">
        <v>45413</v>
      </c>
      <c r="C11694">
        <v>851130</v>
      </c>
      <c r="D11694" t="s">
        <v>176</v>
      </c>
      <c r="E11694">
        <v>0</v>
      </c>
      <c r="F11694">
        <v>0</v>
      </c>
      <c r="G11694">
        <v>0</v>
      </c>
      <c r="H11694">
        <f>_xlfn.XLOOKUP(FACT_IMPORTS[[#This Row],[hts_6]],DIM_PRODUCTS[hts_6],DIM_PRODUCTS[hts_4],,,)</f>
        <v>8511</v>
      </c>
      <c r="I11694" t="str" cm="1">
        <f t="array" ref="I11694">_xlfn.XLOOKUP(FACT_IMPORTS[[#This Row],[country_name]],DIM_COUNTRY[[#All],[Column2]],DIM_COUNTRY[[#All],[Column3]],,,)</f>
        <v>Major_Non-USMCA_Non-China</v>
      </c>
    </row>
    <row r="11695" spans="1:9" x14ac:dyDescent="0.4">
      <c r="A11695" t="s">
        <v>73</v>
      </c>
      <c r="B11695" s="1">
        <v>45413</v>
      </c>
      <c r="C11695">
        <v>851140</v>
      </c>
      <c r="D11695" t="s">
        <v>176</v>
      </c>
      <c r="E11695">
        <v>810743</v>
      </c>
      <c r="F11695">
        <v>3262</v>
      </c>
      <c r="G11695">
        <v>657</v>
      </c>
      <c r="H11695">
        <f>_xlfn.XLOOKUP(FACT_IMPORTS[[#This Row],[hts_6]],DIM_PRODUCTS[hts_6],DIM_PRODUCTS[hts_4],,,)</f>
        <v>8511</v>
      </c>
      <c r="I11695" t="str" cm="1">
        <f t="array" ref="I11695">_xlfn.XLOOKUP(FACT_IMPORTS[[#This Row],[country_name]],DIM_COUNTRY[[#All],[Column2]],DIM_COUNTRY[[#All],[Column3]],,,)</f>
        <v>Major_Non-USMCA_Non-China</v>
      </c>
    </row>
    <row r="11696" spans="1:9" x14ac:dyDescent="0.4">
      <c r="A11696" t="s">
        <v>73</v>
      </c>
      <c r="B11696" s="1">
        <v>45413</v>
      </c>
      <c r="C11696">
        <v>851150</v>
      </c>
      <c r="D11696" t="s">
        <v>176</v>
      </c>
      <c r="E11696">
        <v>103507</v>
      </c>
      <c r="F11696">
        <v>594</v>
      </c>
      <c r="G11696">
        <v>134</v>
      </c>
      <c r="H11696">
        <f>_xlfn.XLOOKUP(FACT_IMPORTS[[#This Row],[hts_6]],DIM_PRODUCTS[hts_6],DIM_PRODUCTS[hts_4],,,)</f>
        <v>8511</v>
      </c>
      <c r="I11696" t="str" cm="1">
        <f t="array" ref="I11696">_xlfn.XLOOKUP(FACT_IMPORTS[[#This Row],[country_name]],DIM_COUNTRY[[#All],[Column2]],DIM_COUNTRY[[#All],[Column3]],,,)</f>
        <v>Major_Non-USMCA_Non-China</v>
      </c>
    </row>
    <row r="11697" spans="1:9" x14ac:dyDescent="0.4">
      <c r="A11697" t="s">
        <v>73</v>
      </c>
      <c r="B11697" s="1">
        <v>45413</v>
      </c>
      <c r="C11697">
        <v>851190</v>
      </c>
      <c r="D11697" t="s">
        <v>176</v>
      </c>
      <c r="E11697">
        <v>247308</v>
      </c>
      <c r="F11697">
        <v>28054</v>
      </c>
      <c r="G11697">
        <v>7012</v>
      </c>
      <c r="H11697">
        <f>_xlfn.XLOOKUP(FACT_IMPORTS[[#This Row],[hts_6]],DIM_PRODUCTS[hts_6],DIM_PRODUCTS[hts_4],,,)</f>
        <v>8511</v>
      </c>
      <c r="I11697" t="str" cm="1">
        <f t="array" ref="I11697">_xlfn.XLOOKUP(FACT_IMPORTS[[#This Row],[country_name]],DIM_COUNTRY[[#All],[Column2]],DIM_COUNTRY[[#All],[Column3]],,,)</f>
        <v>Major_Non-USMCA_Non-China</v>
      </c>
    </row>
    <row r="11698" spans="1:9" x14ac:dyDescent="0.4">
      <c r="A11698" t="s">
        <v>73</v>
      </c>
      <c r="B11698" s="1">
        <v>45413</v>
      </c>
      <c r="C11698">
        <v>851220</v>
      </c>
      <c r="D11698" t="s">
        <v>176</v>
      </c>
      <c r="E11698">
        <v>10778371</v>
      </c>
      <c r="F11698">
        <v>1211618</v>
      </c>
      <c r="G11698">
        <v>153329</v>
      </c>
      <c r="H11698">
        <f>_xlfn.XLOOKUP(FACT_IMPORTS[[#This Row],[hts_6]],DIM_PRODUCTS[hts_6],DIM_PRODUCTS[hts_4],,,)</f>
        <v>8512</v>
      </c>
      <c r="I11698" t="str" cm="1">
        <f t="array" ref="I11698">_xlfn.XLOOKUP(FACT_IMPORTS[[#This Row],[country_name]],DIM_COUNTRY[[#All],[Column2]],DIM_COUNTRY[[#All],[Column3]],,,)</f>
        <v>Major_Non-USMCA_Non-China</v>
      </c>
    </row>
    <row r="11699" spans="1:9" x14ac:dyDescent="0.4">
      <c r="A11699" t="s">
        <v>73</v>
      </c>
      <c r="B11699" s="1">
        <v>45413</v>
      </c>
      <c r="C11699">
        <v>851240</v>
      </c>
      <c r="D11699" t="s">
        <v>176</v>
      </c>
      <c r="E11699">
        <v>348982</v>
      </c>
      <c r="F11699">
        <v>15896</v>
      </c>
      <c r="G11699">
        <v>22989</v>
      </c>
      <c r="H11699">
        <f>_xlfn.XLOOKUP(FACT_IMPORTS[[#This Row],[hts_6]],DIM_PRODUCTS[hts_6],DIM_PRODUCTS[hts_4],,,)</f>
        <v>8512</v>
      </c>
      <c r="I11699" t="str" cm="1">
        <f t="array" ref="I11699">_xlfn.XLOOKUP(FACT_IMPORTS[[#This Row],[country_name]],DIM_COUNTRY[[#All],[Column2]],DIM_COUNTRY[[#All],[Column3]],,,)</f>
        <v>Major_Non-USMCA_Non-China</v>
      </c>
    </row>
    <row r="11700" spans="1:9" x14ac:dyDescent="0.4">
      <c r="A11700" t="s">
        <v>73</v>
      </c>
      <c r="B11700" s="1">
        <v>45413</v>
      </c>
      <c r="C11700">
        <v>851290</v>
      </c>
      <c r="D11700" t="s">
        <v>176</v>
      </c>
      <c r="E11700">
        <v>1069089</v>
      </c>
      <c r="F11700">
        <v>71075</v>
      </c>
      <c r="G11700">
        <v>32270</v>
      </c>
      <c r="H11700">
        <f>_xlfn.XLOOKUP(FACT_IMPORTS[[#This Row],[hts_6]],DIM_PRODUCTS[hts_6],DIM_PRODUCTS[hts_4],,,)</f>
        <v>8512</v>
      </c>
      <c r="I11700" t="str" cm="1">
        <f t="array" ref="I11700">_xlfn.XLOOKUP(FACT_IMPORTS[[#This Row],[country_name]],DIM_COUNTRY[[#All],[Column2]],DIM_COUNTRY[[#All],[Column3]],,,)</f>
        <v>Major_Non-USMCA_Non-China</v>
      </c>
    </row>
    <row r="11701" spans="1:9" x14ac:dyDescent="0.4">
      <c r="A11701" t="s">
        <v>73</v>
      </c>
      <c r="B11701" s="1">
        <v>45413</v>
      </c>
      <c r="C11701">
        <v>854231</v>
      </c>
      <c r="D11701" t="s">
        <v>176</v>
      </c>
      <c r="E11701">
        <v>0</v>
      </c>
      <c r="F11701">
        <v>0</v>
      </c>
      <c r="G11701">
        <v>0</v>
      </c>
      <c r="H11701">
        <f>_xlfn.XLOOKUP(FACT_IMPORTS[[#This Row],[hts_6]],DIM_PRODUCTS[hts_6],DIM_PRODUCTS[hts_4],,,)</f>
        <v>8542</v>
      </c>
      <c r="I11701" t="str" cm="1">
        <f t="array" ref="I11701">_xlfn.XLOOKUP(FACT_IMPORTS[[#This Row],[country_name]],DIM_COUNTRY[[#All],[Column2]],DIM_COUNTRY[[#All],[Column3]],,,)</f>
        <v>Major_Non-USMCA_Non-China</v>
      </c>
    </row>
    <row r="11702" spans="1:9" x14ac:dyDescent="0.4">
      <c r="A11702" t="s">
        <v>73</v>
      </c>
      <c r="B11702" s="1">
        <v>45413</v>
      </c>
      <c r="C11702">
        <v>854232</v>
      </c>
      <c r="D11702" t="s">
        <v>176</v>
      </c>
      <c r="E11702">
        <v>0</v>
      </c>
      <c r="F11702">
        <v>0</v>
      </c>
      <c r="G11702">
        <v>0</v>
      </c>
      <c r="H11702">
        <f>_xlfn.XLOOKUP(FACT_IMPORTS[[#This Row],[hts_6]],DIM_PRODUCTS[hts_6],DIM_PRODUCTS[hts_4],,,)</f>
        <v>8542</v>
      </c>
      <c r="I11702" t="str" cm="1">
        <f t="array" ref="I11702">_xlfn.XLOOKUP(FACT_IMPORTS[[#This Row],[country_name]],DIM_COUNTRY[[#All],[Column2]],DIM_COUNTRY[[#All],[Column3]],,,)</f>
        <v>Major_Non-USMCA_Non-China</v>
      </c>
    </row>
    <row r="11703" spans="1:9" x14ac:dyDescent="0.4">
      <c r="A11703" t="s">
        <v>73</v>
      </c>
      <c r="B11703" s="1">
        <v>45413</v>
      </c>
      <c r="C11703">
        <v>854239</v>
      </c>
      <c r="D11703" t="s">
        <v>176</v>
      </c>
      <c r="E11703">
        <v>24003</v>
      </c>
      <c r="F11703">
        <v>756</v>
      </c>
      <c r="G11703">
        <v>39</v>
      </c>
      <c r="H11703">
        <f>_xlfn.XLOOKUP(FACT_IMPORTS[[#This Row],[hts_6]],DIM_PRODUCTS[hts_6],DIM_PRODUCTS[hts_4],,,)</f>
        <v>8542</v>
      </c>
      <c r="I11703" t="str" cm="1">
        <f t="array" ref="I11703">_xlfn.XLOOKUP(FACT_IMPORTS[[#This Row],[country_name]],DIM_COUNTRY[[#All],[Column2]],DIM_COUNTRY[[#All],[Column3]],,,)</f>
        <v>Major_Non-USMCA_Non-China</v>
      </c>
    </row>
    <row r="11704" spans="1:9" x14ac:dyDescent="0.4">
      <c r="A11704" t="s">
        <v>73</v>
      </c>
      <c r="B11704" s="1">
        <v>45413</v>
      </c>
      <c r="C11704">
        <v>854430</v>
      </c>
      <c r="D11704" t="s">
        <v>176</v>
      </c>
      <c r="E11704">
        <v>43793</v>
      </c>
      <c r="F11704">
        <v>86</v>
      </c>
      <c r="G11704">
        <v>102</v>
      </c>
      <c r="H11704">
        <f>_xlfn.XLOOKUP(FACT_IMPORTS[[#This Row],[hts_6]],DIM_PRODUCTS[hts_6],DIM_PRODUCTS[hts_4],,,)</f>
        <v>8544</v>
      </c>
      <c r="I11704" t="str" cm="1">
        <f t="array" ref="I11704">_xlfn.XLOOKUP(FACT_IMPORTS[[#This Row],[country_name]],DIM_COUNTRY[[#All],[Column2]],DIM_COUNTRY[[#All],[Column3]],,,)</f>
        <v>Major_Non-USMCA_Non-China</v>
      </c>
    </row>
    <row r="11705" spans="1:9" x14ac:dyDescent="0.4">
      <c r="A11705" t="s">
        <v>73</v>
      </c>
      <c r="B11705" s="1">
        <v>45413</v>
      </c>
      <c r="C11705">
        <v>870810</v>
      </c>
      <c r="D11705" t="s">
        <v>176</v>
      </c>
      <c r="E11705">
        <v>3130555</v>
      </c>
      <c r="F11705">
        <v>120887</v>
      </c>
      <c r="G11705">
        <v>16854</v>
      </c>
      <c r="H11705">
        <f>_xlfn.XLOOKUP(FACT_IMPORTS[[#This Row],[hts_6]],DIM_PRODUCTS[hts_6],DIM_PRODUCTS[hts_4],,,)</f>
        <v>8708</v>
      </c>
      <c r="I11705" t="str" cm="1">
        <f t="array" ref="I11705">_xlfn.XLOOKUP(FACT_IMPORTS[[#This Row],[country_name]],DIM_COUNTRY[[#All],[Column2]],DIM_COUNTRY[[#All],[Column3]],,,)</f>
        <v>Major_Non-USMCA_Non-China</v>
      </c>
    </row>
    <row r="11706" spans="1:9" x14ac:dyDescent="0.4">
      <c r="A11706" t="s">
        <v>73</v>
      </c>
      <c r="B11706" s="1">
        <v>45413</v>
      </c>
      <c r="C11706">
        <v>870822</v>
      </c>
      <c r="D11706" t="s">
        <v>176</v>
      </c>
      <c r="E11706">
        <v>178160</v>
      </c>
      <c r="F11706">
        <v>825</v>
      </c>
      <c r="G11706">
        <v>372</v>
      </c>
      <c r="H11706">
        <f>_xlfn.XLOOKUP(FACT_IMPORTS[[#This Row],[hts_6]],DIM_PRODUCTS[hts_6],DIM_PRODUCTS[hts_4],,,)</f>
        <v>8708</v>
      </c>
      <c r="I11706" t="str" cm="1">
        <f t="array" ref="I11706">_xlfn.XLOOKUP(FACT_IMPORTS[[#This Row],[country_name]],DIM_COUNTRY[[#All],[Column2]],DIM_COUNTRY[[#All],[Column3]],,,)</f>
        <v>Major_Non-USMCA_Non-China</v>
      </c>
    </row>
    <row r="11707" spans="1:9" x14ac:dyDescent="0.4">
      <c r="A11707" t="s">
        <v>73</v>
      </c>
      <c r="B11707" s="1">
        <v>45413</v>
      </c>
      <c r="C11707">
        <v>870829</v>
      </c>
      <c r="D11707" t="s">
        <v>176</v>
      </c>
      <c r="E11707">
        <v>8563911</v>
      </c>
      <c r="F11707">
        <v>2642624</v>
      </c>
      <c r="G11707">
        <v>354582</v>
      </c>
      <c r="H11707">
        <f>_xlfn.XLOOKUP(FACT_IMPORTS[[#This Row],[hts_6]],DIM_PRODUCTS[hts_6],DIM_PRODUCTS[hts_4],,,)</f>
        <v>8708</v>
      </c>
      <c r="I11707" t="str" cm="1">
        <f t="array" ref="I11707">_xlfn.XLOOKUP(FACT_IMPORTS[[#This Row],[country_name]],DIM_COUNTRY[[#All],[Column2]],DIM_COUNTRY[[#All],[Column3]],,,)</f>
        <v>Major_Non-USMCA_Non-China</v>
      </c>
    </row>
    <row r="11708" spans="1:9" x14ac:dyDescent="0.4">
      <c r="A11708" t="s">
        <v>73</v>
      </c>
      <c r="B11708" s="1">
        <v>45413</v>
      </c>
      <c r="C11708">
        <v>870830</v>
      </c>
      <c r="D11708" t="s">
        <v>176</v>
      </c>
      <c r="E11708">
        <v>396336</v>
      </c>
      <c r="F11708">
        <v>181628</v>
      </c>
      <c r="G11708">
        <v>6115</v>
      </c>
      <c r="H11708">
        <f>_xlfn.XLOOKUP(FACT_IMPORTS[[#This Row],[hts_6]],DIM_PRODUCTS[hts_6],DIM_PRODUCTS[hts_4],,,)</f>
        <v>8708</v>
      </c>
      <c r="I11708" t="str" cm="1">
        <f t="array" ref="I11708">_xlfn.XLOOKUP(FACT_IMPORTS[[#This Row],[country_name]],DIM_COUNTRY[[#All],[Column2]],DIM_COUNTRY[[#All],[Column3]],,,)</f>
        <v>Major_Non-USMCA_Non-China</v>
      </c>
    </row>
    <row r="11709" spans="1:9" x14ac:dyDescent="0.4">
      <c r="A11709" t="s">
        <v>73</v>
      </c>
      <c r="B11709" s="1">
        <v>45413</v>
      </c>
      <c r="C11709">
        <v>870840</v>
      </c>
      <c r="D11709" t="s">
        <v>176</v>
      </c>
      <c r="E11709">
        <v>3264317</v>
      </c>
      <c r="F11709">
        <v>277902</v>
      </c>
      <c r="G11709">
        <v>43194</v>
      </c>
      <c r="H11709">
        <f>_xlfn.XLOOKUP(FACT_IMPORTS[[#This Row],[hts_6]],DIM_PRODUCTS[hts_6],DIM_PRODUCTS[hts_4],,,)</f>
        <v>8708</v>
      </c>
      <c r="I11709" t="str" cm="1">
        <f t="array" ref="I11709">_xlfn.XLOOKUP(FACT_IMPORTS[[#This Row],[country_name]],DIM_COUNTRY[[#All],[Column2]],DIM_COUNTRY[[#All],[Column3]],,,)</f>
        <v>Major_Non-USMCA_Non-China</v>
      </c>
    </row>
    <row r="11710" spans="1:9" x14ac:dyDescent="0.4">
      <c r="A11710" t="s">
        <v>73</v>
      </c>
      <c r="B11710" s="1">
        <v>45413</v>
      </c>
      <c r="C11710">
        <v>870850</v>
      </c>
      <c r="D11710" t="s">
        <v>176</v>
      </c>
      <c r="E11710">
        <v>22826628</v>
      </c>
      <c r="F11710">
        <v>1629399</v>
      </c>
      <c r="G11710">
        <v>614203</v>
      </c>
      <c r="H11710">
        <f>_xlfn.XLOOKUP(FACT_IMPORTS[[#This Row],[hts_6]],DIM_PRODUCTS[hts_6],DIM_PRODUCTS[hts_4],,,)</f>
        <v>8708</v>
      </c>
      <c r="I11710" t="str" cm="1">
        <f t="array" ref="I11710">_xlfn.XLOOKUP(FACT_IMPORTS[[#This Row],[country_name]],DIM_COUNTRY[[#All],[Column2]],DIM_COUNTRY[[#All],[Column3]],,,)</f>
        <v>Major_Non-USMCA_Non-China</v>
      </c>
    </row>
    <row r="11711" spans="1:9" x14ac:dyDescent="0.4">
      <c r="A11711" t="s">
        <v>73</v>
      </c>
      <c r="B11711" s="1">
        <v>45413</v>
      </c>
      <c r="C11711">
        <v>870870</v>
      </c>
      <c r="D11711" t="s">
        <v>176</v>
      </c>
      <c r="E11711">
        <v>1056992</v>
      </c>
      <c r="F11711">
        <v>12186</v>
      </c>
      <c r="G11711">
        <v>17219</v>
      </c>
      <c r="H11711">
        <f>_xlfn.XLOOKUP(FACT_IMPORTS[[#This Row],[hts_6]],DIM_PRODUCTS[hts_6],DIM_PRODUCTS[hts_4],,,)</f>
        <v>8708</v>
      </c>
      <c r="I11711" t="str" cm="1">
        <f t="array" ref="I11711">_xlfn.XLOOKUP(FACT_IMPORTS[[#This Row],[country_name]],DIM_COUNTRY[[#All],[Column2]],DIM_COUNTRY[[#All],[Column3]],,,)</f>
        <v>Major_Non-USMCA_Non-China</v>
      </c>
    </row>
    <row r="11712" spans="1:9" x14ac:dyDescent="0.4">
      <c r="A11712" t="s">
        <v>73</v>
      </c>
      <c r="B11712" s="1">
        <v>45413</v>
      </c>
      <c r="C11712">
        <v>870880</v>
      </c>
      <c r="D11712" t="s">
        <v>176</v>
      </c>
      <c r="E11712">
        <v>4278370</v>
      </c>
      <c r="F11712">
        <v>1121664</v>
      </c>
      <c r="G11712">
        <v>218188</v>
      </c>
      <c r="H11712">
        <f>_xlfn.XLOOKUP(FACT_IMPORTS[[#This Row],[hts_6]],DIM_PRODUCTS[hts_6],DIM_PRODUCTS[hts_4],,,)</f>
        <v>8708</v>
      </c>
      <c r="I11712" t="str" cm="1">
        <f t="array" ref="I11712">_xlfn.XLOOKUP(FACT_IMPORTS[[#This Row],[country_name]],DIM_COUNTRY[[#All],[Column2]],DIM_COUNTRY[[#All],[Column3]],,,)</f>
        <v>Major_Non-USMCA_Non-China</v>
      </c>
    </row>
    <row r="11713" spans="1:9" x14ac:dyDescent="0.4">
      <c r="A11713" t="s">
        <v>73</v>
      </c>
      <c r="B11713" s="1">
        <v>45413</v>
      </c>
      <c r="C11713">
        <v>870891</v>
      </c>
      <c r="D11713" t="s">
        <v>176</v>
      </c>
      <c r="E11713">
        <v>324735</v>
      </c>
      <c r="F11713">
        <v>1475</v>
      </c>
      <c r="G11713">
        <v>491</v>
      </c>
      <c r="H11713">
        <f>_xlfn.XLOOKUP(FACT_IMPORTS[[#This Row],[hts_6]],DIM_PRODUCTS[hts_6],DIM_PRODUCTS[hts_4],,,)</f>
        <v>8708</v>
      </c>
      <c r="I11713" t="str" cm="1">
        <f t="array" ref="I11713">_xlfn.XLOOKUP(FACT_IMPORTS[[#This Row],[country_name]],DIM_COUNTRY[[#All],[Column2]],DIM_COUNTRY[[#All],[Column3]],,,)</f>
        <v>Major_Non-USMCA_Non-China</v>
      </c>
    </row>
    <row r="11714" spans="1:9" x14ac:dyDescent="0.4">
      <c r="A11714" t="s">
        <v>73</v>
      </c>
      <c r="B11714" s="1">
        <v>45413</v>
      </c>
      <c r="C11714">
        <v>870892</v>
      </c>
      <c r="D11714" t="s">
        <v>176</v>
      </c>
      <c r="E11714">
        <v>208778</v>
      </c>
      <c r="F11714">
        <v>783</v>
      </c>
      <c r="G11714">
        <v>432</v>
      </c>
      <c r="H11714">
        <f>_xlfn.XLOOKUP(FACT_IMPORTS[[#This Row],[hts_6]],DIM_PRODUCTS[hts_6],DIM_PRODUCTS[hts_4],,,)</f>
        <v>8708</v>
      </c>
      <c r="I11714" t="str" cm="1">
        <f t="array" ref="I11714">_xlfn.XLOOKUP(FACT_IMPORTS[[#This Row],[country_name]],DIM_COUNTRY[[#All],[Column2]],DIM_COUNTRY[[#All],[Column3]],,,)</f>
        <v>Major_Non-USMCA_Non-China</v>
      </c>
    </row>
    <row r="11715" spans="1:9" x14ac:dyDescent="0.4">
      <c r="A11715" t="s">
        <v>73</v>
      </c>
      <c r="B11715" s="1">
        <v>45413</v>
      </c>
      <c r="C11715">
        <v>870893</v>
      </c>
      <c r="D11715" t="s">
        <v>176</v>
      </c>
      <c r="E11715">
        <v>536896</v>
      </c>
      <c r="F11715">
        <v>102127</v>
      </c>
      <c r="G11715">
        <v>12504</v>
      </c>
      <c r="H11715">
        <f>_xlfn.XLOOKUP(FACT_IMPORTS[[#This Row],[hts_6]],DIM_PRODUCTS[hts_6],DIM_PRODUCTS[hts_4],,,)</f>
        <v>8708</v>
      </c>
      <c r="I11715" t="str" cm="1">
        <f t="array" ref="I11715">_xlfn.XLOOKUP(FACT_IMPORTS[[#This Row],[country_name]],DIM_COUNTRY[[#All],[Column2]],DIM_COUNTRY[[#All],[Column3]],,,)</f>
        <v>Major_Non-USMCA_Non-China</v>
      </c>
    </row>
    <row r="11716" spans="1:9" x14ac:dyDescent="0.4">
      <c r="A11716" t="s">
        <v>73</v>
      </c>
      <c r="B11716" s="1">
        <v>45413</v>
      </c>
      <c r="C11716">
        <v>870894</v>
      </c>
      <c r="D11716" t="s">
        <v>176</v>
      </c>
      <c r="E11716">
        <v>2372797</v>
      </c>
      <c r="F11716">
        <v>143932</v>
      </c>
      <c r="G11716">
        <v>29759</v>
      </c>
      <c r="H11716">
        <f>_xlfn.XLOOKUP(FACT_IMPORTS[[#This Row],[hts_6]],DIM_PRODUCTS[hts_6],DIM_PRODUCTS[hts_4],,,)</f>
        <v>8708</v>
      </c>
      <c r="I11716" t="str" cm="1">
        <f t="array" ref="I11716">_xlfn.XLOOKUP(FACT_IMPORTS[[#This Row],[country_name]],DIM_COUNTRY[[#All],[Column2]],DIM_COUNTRY[[#All],[Column3]],,,)</f>
        <v>Major_Non-USMCA_Non-China</v>
      </c>
    </row>
    <row r="11717" spans="1:9" x14ac:dyDescent="0.4">
      <c r="A11717" t="s">
        <v>73</v>
      </c>
      <c r="B11717" s="1">
        <v>45413</v>
      </c>
      <c r="C11717">
        <v>870895</v>
      </c>
      <c r="D11717" t="s">
        <v>176</v>
      </c>
      <c r="E11717">
        <v>18175</v>
      </c>
      <c r="F11717">
        <v>177</v>
      </c>
      <c r="G11717">
        <v>56</v>
      </c>
      <c r="H11717">
        <f>_xlfn.XLOOKUP(FACT_IMPORTS[[#This Row],[hts_6]],DIM_PRODUCTS[hts_6],DIM_PRODUCTS[hts_4],,,)</f>
        <v>8708</v>
      </c>
      <c r="I11717" t="str" cm="1">
        <f t="array" ref="I11717">_xlfn.XLOOKUP(FACT_IMPORTS[[#This Row],[country_name]],DIM_COUNTRY[[#All],[Column2]],DIM_COUNTRY[[#All],[Column3]],,,)</f>
        <v>Major_Non-USMCA_Non-China</v>
      </c>
    </row>
    <row r="11718" spans="1:9" x14ac:dyDescent="0.4">
      <c r="A11718" t="s">
        <v>73</v>
      </c>
      <c r="B11718" s="1">
        <v>45413</v>
      </c>
      <c r="C11718">
        <v>870899</v>
      </c>
      <c r="D11718" t="s">
        <v>176</v>
      </c>
      <c r="E11718">
        <v>23221164</v>
      </c>
      <c r="F11718">
        <v>3820877</v>
      </c>
      <c r="G11718">
        <v>733940</v>
      </c>
      <c r="H11718">
        <f>_xlfn.XLOOKUP(FACT_IMPORTS[[#This Row],[hts_6]],DIM_PRODUCTS[hts_6],DIM_PRODUCTS[hts_4],,,)</f>
        <v>8708</v>
      </c>
      <c r="I11718" t="str" cm="1">
        <f t="array" ref="I11718">_xlfn.XLOOKUP(FACT_IMPORTS[[#This Row],[country_name]],DIM_COUNTRY[[#All],[Column2]],DIM_COUNTRY[[#All],[Column3]],,,)</f>
        <v>Major_Non-USMCA_Non-China</v>
      </c>
    </row>
    <row r="11719" spans="1:9" x14ac:dyDescent="0.4">
      <c r="A11719" t="s">
        <v>73</v>
      </c>
      <c r="B11719" s="1">
        <v>45413</v>
      </c>
      <c r="C11719">
        <v>940120</v>
      </c>
      <c r="D11719" t="s">
        <v>176</v>
      </c>
      <c r="E11719">
        <v>0</v>
      </c>
      <c r="F11719">
        <v>0</v>
      </c>
      <c r="G11719">
        <v>0</v>
      </c>
      <c r="H11719">
        <f>_xlfn.XLOOKUP(FACT_IMPORTS[[#This Row],[hts_6]],DIM_PRODUCTS[hts_6],DIM_PRODUCTS[hts_4],,,)</f>
        <v>9401</v>
      </c>
      <c r="I11719" t="str" cm="1">
        <f t="array" ref="I11719">_xlfn.XLOOKUP(FACT_IMPORTS[[#This Row],[country_name]],DIM_COUNTRY[[#All],[Column2]],DIM_COUNTRY[[#All],[Column3]],,,)</f>
        <v>Major_Non-USMCA_Non-China</v>
      </c>
    </row>
    <row r="11720" spans="1:9" x14ac:dyDescent="0.4">
      <c r="A11720" t="s">
        <v>73</v>
      </c>
      <c r="B11720" s="1">
        <v>45444</v>
      </c>
      <c r="C11720">
        <v>392630</v>
      </c>
      <c r="D11720" t="s">
        <v>176</v>
      </c>
      <c r="E11720">
        <v>256440</v>
      </c>
      <c r="F11720">
        <v>15158</v>
      </c>
      <c r="G11720">
        <v>9818</v>
      </c>
      <c r="H11720">
        <f>_xlfn.XLOOKUP(FACT_IMPORTS[[#This Row],[hts_6]],DIM_PRODUCTS[hts_6],DIM_PRODUCTS[hts_4],,,)</f>
        <v>3926</v>
      </c>
      <c r="I11720" t="str" cm="1">
        <f t="array" ref="I11720">_xlfn.XLOOKUP(FACT_IMPORTS[[#This Row],[country_name]],DIM_COUNTRY[[#All],[Column2]],DIM_COUNTRY[[#All],[Column3]],,,)</f>
        <v>Major_Non-USMCA_Non-China</v>
      </c>
    </row>
    <row r="11721" spans="1:9" x14ac:dyDescent="0.4">
      <c r="A11721" t="s">
        <v>73</v>
      </c>
      <c r="B11721" s="1">
        <v>45444</v>
      </c>
      <c r="C11721">
        <v>401110</v>
      </c>
      <c r="D11721" t="s">
        <v>176</v>
      </c>
      <c r="E11721">
        <v>5528735</v>
      </c>
      <c r="F11721">
        <v>83147</v>
      </c>
      <c r="G11721">
        <v>826829</v>
      </c>
      <c r="H11721">
        <f>_xlfn.XLOOKUP(FACT_IMPORTS[[#This Row],[hts_6]],DIM_PRODUCTS[hts_6],DIM_PRODUCTS[hts_4],,,)</f>
        <v>4011</v>
      </c>
      <c r="I11721" t="str" cm="1">
        <f t="array" ref="I11721">_xlfn.XLOOKUP(FACT_IMPORTS[[#This Row],[country_name]],DIM_COUNTRY[[#All],[Column2]],DIM_COUNTRY[[#All],[Column3]],,,)</f>
        <v>Major_Non-USMCA_Non-China</v>
      </c>
    </row>
    <row r="11722" spans="1:9" x14ac:dyDescent="0.4">
      <c r="A11722" t="s">
        <v>73</v>
      </c>
      <c r="B11722" s="1">
        <v>45444</v>
      </c>
      <c r="C11722">
        <v>401120</v>
      </c>
      <c r="D11722" t="s">
        <v>176</v>
      </c>
      <c r="E11722">
        <v>0</v>
      </c>
      <c r="F11722">
        <v>0</v>
      </c>
      <c r="G11722">
        <v>0</v>
      </c>
      <c r="H11722">
        <f>_xlfn.XLOOKUP(FACT_IMPORTS[[#This Row],[hts_6]],DIM_PRODUCTS[hts_6],DIM_PRODUCTS[hts_4],,,)</f>
        <v>4011</v>
      </c>
      <c r="I11722" t="str" cm="1">
        <f t="array" ref="I11722">_xlfn.XLOOKUP(FACT_IMPORTS[[#This Row],[country_name]],DIM_COUNTRY[[#All],[Column2]],DIM_COUNTRY[[#All],[Column3]],,,)</f>
        <v>Major_Non-USMCA_Non-China</v>
      </c>
    </row>
    <row r="11723" spans="1:9" x14ac:dyDescent="0.4">
      <c r="A11723" t="s">
        <v>73</v>
      </c>
      <c r="B11723" s="1">
        <v>45444</v>
      </c>
      <c r="C11723">
        <v>401190</v>
      </c>
      <c r="D11723" t="s">
        <v>176</v>
      </c>
      <c r="E11723">
        <v>0</v>
      </c>
      <c r="F11723">
        <v>0</v>
      </c>
      <c r="G11723">
        <v>0</v>
      </c>
      <c r="H11723">
        <f>_xlfn.XLOOKUP(FACT_IMPORTS[[#This Row],[hts_6]],DIM_PRODUCTS[hts_6],DIM_PRODUCTS[hts_4],,,)</f>
        <v>4011</v>
      </c>
      <c r="I11723" t="str" cm="1">
        <f t="array" ref="I11723">_xlfn.XLOOKUP(FACT_IMPORTS[[#This Row],[country_name]],DIM_COUNTRY[[#All],[Column2]],DIM_COUNTRY[[#All],[Column3]],,,)</f>
        <v>Major_Non-USMCA_Non-China</v>
      </c>
    </row>
    <row r="11724" spans="1:9" x14ac:dyDescent="0.4">
      <c r="A11724" t="s">
        <v>73</v>
      </c>
      <c r="B11724" s="1">
        <v>45444</v>
      </c>
      <c r="C11724">
        <v>700711</v>
      </c>
      <c r="D11724" t="s">
        <v>176</v>
      </c>
      <c r="E11724">
        <v>0</v>
      </c>
      <c r="F11724">
        <v>0</v>
      </c>
      <c r="G11724">
        <v>0</v>
      </c>
      <c r="H11724">
        <f>_xlfn.XLOOKUP(FACT_IMPORTS[[#This Row],[hts_6]],DIM_PRODUCTS[hts_6],DIM_PRODUCTS[hts_4],,,)</f>
        <v>7007</v>
      </c>
      <c r="I11724" t="str" cm="1">
        <f t="array" ref="I11724">_xlfn.XLOOKUP(FACT_IMPORTS[[#This Row],[country_name]],DIM_COUNTRY[[#All],[Column2]],DIM_COUNTRY[[#All],[Column3]],,,)</f>
        <v>Major_Non-USMCA_Non-China</v>
      </c>
    </row>
    <row r="11725" spans="1:9" x14ac:dyDescent="0.4">
      <c r="A11725" t="s">
        <v>73</v>
      </c>
      <c r="B11725" s="1">
        <v>45444</v>
      </c>
      <c r="C11725">
        <v>700910</v>
      </c>
      <c r="D11725" t="s">
        <v>176</v>
      </c>
      <c r="E11725">
        <v>3727</v>
      </c>
      <c r="F11725">
        <v>36</v>
      </c>
      <c r="G11725">
        <v>2</v>
      </c>
      <c r="H11725">
        <f>_xlfn.XLOOKUP(FACT_IMPORTS[[#This Row],[hts_6]],DIM_PRODUCTS[hts_6],DIM_PRODUCTS[hts_4],,,)</f>
        <v>7009</v>
      </c>
      <c r="I11725" t="str" cm="1">
        <f t="array" ref="I11725">_xlfn.XLOOKUP(FACT_IMPORTS[[#This Row],[country_name]],DIM_COUNTRY[[#All],[Column2]],DIM_COUNTRY[[#All],[Column3]],,,)</f>
        <v>Major_Non-USMCA_Non-China</v>
      </c>
    </row>
    <row r="11726" spans="1:9" x14ac:dyDescent="0.4">
      <c r="A11726" t="s">
        <v>73</v>
      </c>
      <c r="B11726" s="1">
        <v>45444</v>
      </c>
      <c r="C11726">
        <v>830230</v>
      </c>
      <c r="D11726" t="s">
        <v>176</v>
      </c>
      <c r="E11726">
        <v>2478216</v>
      </c>
      <c r="F11726">
        <v>494235</v>
      </c>
      <c r="G11726">
        <v>51562</v>
      </c>
      <c r="H11726">
        <f>_xlfn.XLOOKUP(FACT_IMPORTS[[#This Row],[hts_6]],DIM_PRODUCTS[hts_6],DIM_PRODUCTS[hts_4],,,)</f>
        <v>8302</v>
      </c>
      <c r="I11726" t="str" cm="1">
        <f t="array" ref="I11726">_xlfn.XLOOKUP(FACT_IMPORTS[[#This Row],[country_name]],DIM_COUNTRY[[#All],[Column2]],DIM_COUNTRY[[#All],[Column3]],,,)</f>
        <v>Major_Non-USMCA_Non-China</v>
      </c>
    </row>
    <row r="11727" spans="1:9" x14ac:dyDescent="0.4">
      <c r="A11727" t="s">
        <v>73</v>
      </c>
      <c r="B11727" s="1">
        <v>45444</v>
      </c>
      <c r="C11727">
        <v>840734</v>
      </c>
      <c r="D11727" t="s">
        <v>176</v>
      </c>
      <c r="E11727">
        <v>0</v>
      </c>
      <c r="F11727">
        <v>0</v>
      </c>
      <c r="G11727">
        <v>0</v>
      </c>
      <c r="H11727">
        <f>_xlfn.XLOOKUP(FACT_IMPORTS[[#This Row],[hts_6]],DIM_PRODUCTS[hts_6],DIM_PRODUCTS[hts_4],,,)</f>
        <v>8407</v>
      </c>
      <c r="I11727" t="str" cm="1">
        <f t="array" ref="I11727">_xlfn.XLOOKUP(FACT_IMPORTS[[#This Row],[country_name]],DIM_COUNTRY[[#All],[Column2]],DIM_COUNTRY[[#All],[Column3]],,,)</f>
        <v>Major_Non-USMCA_Non-China</v>
      </c>
    </row>
    <row r="11728" spans="1:9" x14ac:dyDescent="0.4">
      <c r="A11728" t="s">
        <v>73</v>
      </c>
      <c r="B11728" s="1">
        <v>45444</v>
      </c>
      <c r="C11728">
        <v>840820</v>
      </c>
      <c r="D11728" t="s">
        <v>176</v>
      </c>
      <c r="E11728">
        <v>3330</v>
      </c>
      <c r="F11728">
        <v>1</v>
      </c>
      <c r="G11728">
        <v>1</v>
      </c>
      <c r="H11728">
        <f>_xlfn.XLOOKUP(FACT_IMPORTS[[#This Row],[hts_6]],DIM_PRODUCTS[hts_6],DIM_PRODUCTS[hts_4],,,)</f>
        <v>8408</v>
      </c>
      <c r="I11728" t="str" cm="1">
        <f t="array" ref="I11728">_xlfn.XLOOKUP(FACT_IMPORTS[[#This Row],[country_name]],DIM_COUNTRY[[#All],[Column2]],DIM_COUNTRY[[#All],[Column3]],,,)</f>
        <v>Major_Non-USMCA_Non-China</v>
      </c>
    </row>
    <row r="11729" spans="1:9" x14ac:dyDescent="0.4">
      <c r="A11729" t="s">
        <v>73</v>
      </c>
      <c r="B11729" s="1">
        <v>45444</v>
      </c>
      <c r="C11729">
        <v>840890</v>
      </c>
      <c r="D11729" t="s">
        <v>176</v>
      </c>
      <c r="E11729">
        <v>33200</v>
      </c>
      <c r="F11729">
        <v>1</v>
      </c>
      <c r="G11729">
        <v>200</v>
      </c>
      <c r="H11729">
        <f>_xlfn.XLOOKUP(FACT_IMPORTS[[#This Row],[hts_6]],DIM_PRODUCTS[hts_6],DIM_PRODUCTS[hts_4],,,)</f>
        <v>8408</v>
      </c>
      <c r="I11729" t="str" cm="1">
        <f t="array" ref="I11729">_xlfn.XLOOKUP(FACT_IMPORTS[[#This Row],[country_name]],DIM_COUNTRY[[#All],[Column2]],DIM_COUNTRY[[#All],[Column3]],,,)</f>
        <v>Major_Non-USMCA_Non-China</v>
      </c>
    </row>
    <row r="11730" spans="1:9" x14ac:dyDescent="0.4">
      <c r="A11730" t="s">
        <v>73</v>
      </c>
      <c r="B11730" s="1">
        <v>45444</v>
      </c>
      <c r="C11730">
        <v>840991</v>
      </c>
      <c r="D11730" t="s">
        <v>176</v>
      </c>
      <c r="E11730">
        <v>5944461</v>
      </c>
      <c r="F11730">
        <v>339497</v>
      </c>
      <c r="G11730">
        <v>59307</v>
      </c>
      <c r="H11730">
        <f>_xlfn.XLOOKUP(FACT_IMPORTS[[#This Row],[hts_6]],DIM_PRODUCTS[hts_6],DIM_PRODUCTS[hts_4],,,)</f>
        <v>8409</v>
      </c>
      <c r="I11730" t="str" cm="1">
        <f t="array" ref="I11730">_xlfn.XLOOKUP(FACT_IMPORTS[[#This Row],[country_name]],DIM_COUNTRY[[#All],[Column2]],DIM_COUNTRY[[#All],[Column3]],,,)</f>
        <v>Major_Non-USMCA_Non-China</v>
      </c>
    </row>
    <row r="11731" spans="1:9" x14ac:dyDescent="0.4">
      <c r="A11731" t="s">
        <v>73</v>
      </c>
      <c r="B11731" s="1">
        <v>45444</v>
      </c>
      <c r="C11731">
        <v>840999</v>
      </c>
      <c r="D11731" t="s">
        <v>176</v>
      </c>
      <c r="E11731">
        <v>240301</v>
      </c>
      <c r="F11731">
        <v>11710</v>
      </c>
      <c r="G11731">
        <v>8123</v>
      </c>
      <c r="H11731">
        <f>_xlfn.XLOOKUP(FACT_IMPORTS[[#This Row],[hts_6]],DIM_PRODUCTS[hts_6],DIM_PRODUCTS[hts_4],,,)</f>
        <v>8409</v>
      </c>
      <c r="I11731" t="str" cm="1">
        <f t="array" ref="I11731">_xlfn.XLOOKUP(FACT_IMPORTS[[#This Row],[country_name]],DIM_COUNTRY[[#All],[Column2]],DIM_COUNTRY[[#All],[Column3]],,,)</f>
        <v>Major_Non-USMCA_Non-China</v>
      </c>
    </row>
    <row r="11732" spans="1:9" x14ac:dyDescent="0.4">
      <c r="A11732" t="s">
        <v>73</v>
      </c>
      <c r="B11732" s="1">
        <v>45444</v>
      </c>
      <c r="C11732">
        <v>841330</v>
      </c>
      <c r="D11732" t="s">
        <v>176</v>
      </c>
      <c r="E11732">
        <v>4465106</v>
      </c>
      <c r="F11732">
        <v>110705</v>
      </c>
      <c r="G11732">
        <v>130067</v>
      </c>
      <c r="H11732">
        <f>_xlfn.XLOOKUP(FACT_IMPORTS[[#This Row],[hts_6]],DIM_PRODUCTS[hts_6],DIM_PRODUCTS[hts_4],,,)</f>
        <v>8413</v>
      </c>
      <c r="I11732" t="str" cm="1">
        <f t="array" ref="I11732">_xlfn.XLOOKUP(FACT_IMPORTS[[#This Row],[country_name]],DIM_COUNTRY[[#All],[Column2]],DIM_COUNTRY[[#All],[Column3]],,,)</f>
        <v>Major_Non-USMCA_Non-China</v>
      </c>
    </row>
    <row r="11733" spans="1:9" x14ac:dyDescent="0.4">
      <c r="A11733" t="s">
        <v>73</v>
      </c>
      <c r="B11733" s="1">
        <v>45444</v>
      </c>
      <c r="C11733">
        <v>842132</v>
      </c>
      <c r="D11733" t="s">
        <v>176</v>
      </c>
      <c r="E11733">
        <v>7402</v>
      </c>
      <c r="F11733">
        <v>4</v>
      </c>
      <c r="G11733">
        <v>12</v>
      </c>
      <c r="H11733">
        <f>_xlfn.XLOOKUP(FACT_IMPORTS[[#This Row],[hts_6]],DIM_PRODUCTS[hts_6],DIM_PRODUCTS[hts_4],,,)</f>
        <v>8421</v>
      </c>
      <c r="I11733" t="str" cm="1">
        <f t="array" ref="I11733">_xlfn.XLOOKUP(FACT_IMPORTS[[#This Row],[country_name]],DIM_COUNTRY[[#All],[Column2]],DIM_COUNTRY[[#All],[Column3]],,,)</f>
        <v>Major_Non-USMCA_Non-China</v>
      </c>
    </row>
    <row r="11734" spans="1:9" x14ac:dyDescent="0.4">
      <c r="A11734" t="s">
        <v>73</v>
      </c>
      <c r="B11734" s="1">
        <v>45444</v>
      </c>
      <c r="C11734">
        <v>848210</v>
      </c>
      <c r="D11734" t="s">
        <v>176</v>
      </c>
      <c r="E11734">
        <v>261866</v>
      </c>
      <c r="F11734">
        <v>49583</v>
      </c>
      <c r="G11734">
        <v>27</v>
      </c>
      <c r="H11734">
        <f>_xlfn.XLOOKUP(FACT_IMPORTS[[#This Row],[hts_6]],DIM_PRODUCTS[hts_6],DIM_PRODUCTS[hts_4],,,)</f>
        <v>8482</v>
      </c>
      <c r="I11734" t="str" cm="1">
        <f t="array" ref="I11734">_xlfn.XLOOKUP(FACT_IMPORTS[[#This Row],[country_name]],DIM_COUNTRY[[#All],[Column2]],DIM_COUNTRY[[#All],[Column3]],,,)</f>
        <v>Major_Non-USMCA_Non-China</v>
      </c>
    </row>
    <row r="11735" spans="1:9" x14ac:dyDescent="0.4">
      <c r="A11735" t="s">
        <v>73</v>
      </c>
      <c r="B11735" s="1">
        <v>45444</v>
      </c>
      <c r="C11735">
        <v>848220</v>
      </c>
      <c r="D11735" t="s">
        <v>176</v>
      </c>
      <c r="E11735">
        <v>3643717</v>
      </c>
      <c r="F11735">
        <v>882819</v>
      </c>
      <c r="G11735">
        <v>1242</v>
      </c>
      <c r="H11735">
        <f>_xlfn.XLOOKUP(FACT_IMPORTS[[#This Row],[hts_6]],DIM_PRODUCTS[hts_6],DIM_PRODUCTS[hts_4],,,)</f>
        <v>8482</v>
      </c>
      <c r="I11735" t="str" cm="1">
        <f t="array" ref="I11735">_xlfn.XLOOKUP(FACT_IMPORTS[[#This Row],[country_name]],DIM_COUNTRY[[#All],[Column2]],DIM_COUNTRY[[#All],[Column3]],,,)</f>
        <v>Major_Non-USMCA_Non-China</v>
      </c>
    </row>
    <row r="11736" spans="1:9" x14ac:dyDescent="0.4">
      <c r="A11736" t="s">
        <v>73</v>
      </c>
      <c r="B11736" s="1">
        <v>45444</v>
      </c>
      <c r="C11736">
        <v>848310</v>
      </c>
      <c r="D11736" t="s">
        <v>176</v>
      </c>
      <c r="E11736">
        <v>570655</v>
      </c>
      <c r="F11736">
        <v>6146</v>
      </c>
      <c r="G11736">
        <v>6400</v>
      </c>
      <c r="H11736">
        <f>_xlfn.XLOOKUP(FACT_IMPORTS[[#This Row],[hts_6]],DIM_PRODUCTS[hts_6],DIM_PRODUCTS[hts_4],,,)</f>
        <v>8483</v>
      </c>
      <c r="I11736" t="str" cm="1">
        <f t="array" ref="I11736">_xlfn.XLOOKUP(FACT_IMPORTS[[#This Row],[country_name]],DIM_COUNTRY[[#All],[Column2]],DIM_COUNTRY[[#All],[Column3]],,,)</f>
        <v>Major_Non-USMCA_Non-China</v>
      </c>
    </row>
    <row r="11737" spans="1:9" x14ac:dyDescent="0.4">
      <c r="A11737" t="s">
        <v>73</v>
      </c>
      <c r="B11737" s="1">
        <v>45444</v>
      </c>
      <c r="C11737">
        <v>850131</v>
      </c>
      <c r="D11737" t="s">
        <v>176</v>
      </c>
      <c r="E11737">
        <v>2957793</v>
      </c>
      <c r="F11737">
        <v>250906</v>
      </c>
      <c r="G11737">
        <v>8905</v>
      </c>
      <c r="H11737">
        <f>_xlfn.XLOOKUP(FACT_IMPORTS[[#This Row],[hts_6]],DIM_PRODUCTS[hts_6],DIM_PRODUCTS[hts_4],,,)</f>
        <v>8501</v>
      </c>
      <c r="I11737" t="str" cm="1">
        <f t="array" ref="I11737">_xlfn.XLOOKUP(FACT_IMPORTS[[#This Row],[country_name]],DIM_COUNTRY[[#All],[Column2]],DIM_COUNTRY[[#All],[Column3]],,,)</f>
        <v>Major_Non-USMCA_Non-China</v>
      </c>
    </row>
    <row r="11738" spans="1:9" x14ac:dyDescent="0.4">
      <c r="A11738" t="s">
        <v>73</v>
      </c>
      <c r="B11738" s="1">
        <v>45444</v>
      </c>
      <c r="C11738">
        <v>850152</v>
      </c>
      <c r="D11738" t="s">
        <v>176</v>
      </c>
      <c r="E11738">
        <v>0</v>
      </c>
      <c r="F11738">
        <v>0</v>
      </c>
      <c r="G11738">
        <v>0</v>
      </c>
      <c r="H11738">
        <f>_xlfn.XLOOKUP(FACT_IMPORTS[[#This Row],[hts_6]],DIM_PRODUCTS[hts_6],DIM_PRODUCTS[hts_4],,,)</f>
        <v>8501</v>
      </c>
      <c r="I11738" t="str" cm="1">
        <f t="array" ref="I11738">_xlfn.XLOOKUP(FACT_IMPORTS[[#This Row],[country_name]],DIM_COUNTRY[[#All],[Column2]],DIM_COUNTRY[[#All],[Column3]],,,)</f>
        <v>Major_Non-USMCA_Non-China</v>
      </c>
    </row>
    <row r="11739" spans="1:9" x14ac:dyDescent="0.4">
      <c r="A11739" t="s">
        <v>73</v>
      </c>
      <c r="B11739" s="1">
        <v>45444</v>
      </c>
      <c r="C11739">
        <v>850153</v>
      </c>
      <c r="D11739" t="s">
        <v>176</v>
      </c>
      <c r="E11739">
        <v>3000</v>
      </c>
      <c r="F11739">
        <v>1</v>
      </c>
      <c r="G11739">
        <v>1</v>
      </c>
      <c r="H11739">
        <f>_xlfn.XLOOKUP(FACT_IMPORTS[[#This Row],[hts_6]],DIM_PRODUCTS[hts_6],DIM_PRODUCTS[hts_4],,,)</f>
        <v>8501</v>
      </c>
      <c r="I11739" t="str" cm="1">
        <f t="array" ref="I11739">_xlfn.XLOOKUP(FACT_IMPORTS[[#This Row],[country_name]],DIM_COUNTRY[[#All],[Column2]],DIM_COUNTRY[[#All],[Column3]],,,)</f>
        <v>Major_Non-USMCA_Non-China</v>
      </c>
    </row>
    <row r="11740" spans="1:9" x14ac:dyDescent="0.4">
      <c r="A11740" t="s">
        <v>73</v>
      </c>
      <c r="B11740" s="1">
        <v>45444</v>
      </c>
      <c r="C11740">
        <v>850440</v>
      </c>
      <c r="D11740" t="s">
        <v>176</v>
      </c>
      <c r="E11740">
        <v>1363348</v>
      </c>
      <c r="F11740">
        <v>1008</v>
      </c>
      <c r="G11740">
        <v>2890</v>
      </c>
      <c r="H11740">
        <f>_xlfn.XLOOKUP(FACT_IMPORTS[[#This Row],[hts_6]],DIM_PRODUCTS[hts_6],DIM_PRODUCTS[hts_4],,,)</f>
        <v>8504</v>
      </c>
      <c r="I11740" t="str" cm="1">
        <f t="array" ref="I11740">_xlfn.XLOOKUP(FACT_IMPORTS[[#This Row],[country_name]],DIM_COUNTRY[[#All],[Column2]],DIM_COUNTRY[[#All],[Column3]],,,)</f>
        <v>Major_Non-USMCA_Non-China</v>
      </c>
    </row>
    <row r="11741" spans="1:9" x14ac:dyDescent="0.4">
      <c r="A11741" t="s">
        <v>73</v>
      </c>
      <c r="B11741" s="1">
        <v>45444</v>
      </c>
      <c r="C11741">
        <v>850710</v>
      </c>
      <c r="D11741" t="s">
        <v>176</v>
      </c>
      <c r="E11741">
        <v>427313</v>
      </c>
      <c r="F11741">
        <v>9582</v>
      </c>
      <c r="G11741">
        <v>43681</v>
      </c>
      <c r="H11741">
        <f>_xlfn.XLOOKUP(FACT_IMPORTS[[#This Row],[hts_6]],DIM_PRODUCTS[hts_6],DIM_PRODUCTS[hts_4],,,)</f>
        <v>8507</v>
      </c>
      <c r="I11741" t="str" cm="1">
        <f t="array" ref="I11741">_xlfn.XLOOKUP(FACT_IMPORTS[[#This Row],[country_name]],DIM_COUNTRY[[#All],[Column2]],DIM_COUNTRY[[#All],[Column3]],,,)</f>
        <v>Major_Non-USMCA_Non-China</v>
      </c>
    </row>
    <row r="11742" spans="1:9" x14ac:dyDescent="0.4">
      <c r="A11742" t="s">
        <v>73</v>
      </c>
      <c r="B11742" s="1">
        <v>45444</v>
      </c>
      <c r="C11742">
        <v>850760</v>
      </c>
      <c r="D11742" t="s">
        <v>176</v>
      </c>
      <c r="E11742">
        <v>11373</v>
      </c>
      <c r="F11742">
        <v>2</v>
      </c>
      <c r="G11742">
        <v>705</v>
      </c>
      <c r="H11742">
        <f>_xlfn.XLOOKUP(FACT_IMPORTS[[#This Row],[hts_6]],DIM_PRODUCTS[hts_6],DIM_PRODUCTS[hts_4],,,)</f>
        <v>8507</v>
      </c>
      <c r="I11742" t="str" cm="1">
        <f t="array" ref="I11742">_xlfn.XLOOKUP(FACT_IMPORTS[[#This Row],[country_name]],DIM_COUNTRY[[#All],[Column2]],DIM_COUNTRY[[#All],[Column3]],,,)</f>
        <v>Major_Non-USMCA_Non-China</v>
      </c>
    </row>
    <row r="11743" spans="1:9" x14ac:dyDescent="0.4">
      <c r="A11743" t="s">
        <v>73</v>
      </c>
      <c r="B11743" s="1">
        <v>45444</v>
      </c>
      <c r="C11743">
        <v>850790</v>
      </c>
      <c r="D11743" t="s">
        <v>176</v>
      </c>
      <c r="E11743">
        <v>237004</v>
      </c>
      <c r="F11743">
        <v>3058</v>
      </c>
      <c r="G11743">
        <v>3183</v>
      </c>
      <c r="H11743">
        <f>_xlfn.XLOOKUP(FACT_IMPORTS[[#This Row],[hts_6]],DIM_PRODUCTS[hts_6],DIM_PRODUCTS[hts_4],,,)</f>
        <v>8507</v>
      </c>
      <c r="I11743" t="str" cm="1">
        <f t="array" ref="I11743">_xlfn.XLOOKUP(FACT_IMPORTS[[#This Row],[country_name]],DIM_COUNTRY[[#All],[Column2]],DIM_COUNTRY[[#All],[Column3]],,,)</f>
        <v>Major_Non-USMCA_Non-China</v>
      </c>
    </row>
    <row r="11744" spans="1:9" x14ac:dyDescent="0.4">
      <c r="A11744" t="s">
        <v>73</v>
      </c>
      <c r="B11744" s="1">
        <v>45444</v>
      </c>
      <c r="C11744">
        <v>851130</v>
      </c>
      <c r="D11744" t="s">
        <v>176</v>
      </c>
      <c r="E11744">
        <v>0</v>
      </c>
      <c r="F11744">
        <v>0</v>
      </c>
      <c r="G11744">
        <v>0</v>
      </c>
      <c r="H11744">
        <f>_xlfn.XLOOKUP(FACT_IMPORTS[[#This Row],[hts_6]],DIM_PRODUCTS[hts_6],DIM_PRODUCTS[hts_4],,,)</f>
        <v>8511</v>
      </c>
      <c r="I11744" t="str" cm="1">
        <f t="array" ref="I11744">_xlfn.XLOOKUP(FACT_IMPORTS[[#This Row],[country_name]],DIM_COUNTRY[[#All],[Column2]],DIM_COUNTRY[[#All],[Column3]],,,)</f>
        <v>Major_Non-USMCA_Non-China</v>
      </c>
    </row>
    <row r="11745" spans="1:9" x14ac:dyDescent="0.4">
      <c r="A11745" t="s">
        <v>73</v>
      </c>
      <c r="B11745" s="1">
        <v>45444</v>
      </c>
      <c r="C11745">
        <v>851140</v>
      </c>
      <c r="D11745" t="s">
        <v>176</v>
      </c>
      <c r="E11745">
        <v>0</v>
      </c>
      <c r="F11745">
        <v>0</v>
      </c>
      <c r="G11745">
        <v>0</v>
      </c>
      <c r="H11745">
        <f>_xlfn.XLOOKUP(FACT_IMPORTS[[#This Row],[hts_6]],DIM_PRODUCTS[hts_6],DIM_PRODUCTS[hts_4],,,)</f>
        <v>8511</v>
      </c>
      <c r="I11745" t="str" cm="1">
        <f t="array" ref="I11745">_xlfn.XLOOKUP(FACT_IMPORTS[[#This Row],[country_name]],DIM_COUNTRY[[#All],[Column2]],DIM_COUNTRY[[#All],[Column3]],,,)</f>
        <v>Major_Non-USMCA_Non-China</v>
      </c>
    </row>
    <row r="11746" spans="1:9" x14ac:dyDescent="0.4">
      <c r="A11746" t="s">
        <v>73</v>
      </c>
      <c r="B11746" s="1">
        <v>45444</v>
      </c>
      <c r="C11746">
        <v>851150</v>
      </c>
      <c r="D11746" t="s">
        <v>176</v>
      </c>
      <c r="E11746">
        <v>20362</v>
      </c>
      <c r="F11746">
        <v>72</v>
      </c>
      <c r="G11746">
        <v>19</v>
      </c>
      <c r="H11746">
        <f>_xlfn.XLOOKUP(FACT_IMPORTS[[#This Row],[hts_6]],DIM_PRODUCTS[hts_6],DIM_PRODUCTS[hts_4],,,)</f>
        <v>8511</v>
      </c>
      <c r="I11746" t="str" cm="1">
        <f t="array" ref="I11746">_xlfn.XLOOKUP(FACT_IMPORTS[[#This Row],[country_name]],DIM_COUNTRY[[#All],[Column2]],DIM_COUNTRY[[#All],[Column3]],,,)</f>
        <v>Major_Non-USMCA_Non-China</v>
      </c>
    </row>
    <row r="11747" spans="1:9" x14ac:dyDescent="0.4">
      <c r="A11747" t="s">
        <v>73</v>
      </c>
      <c r="B11747" s="1">
        <v>45444</v>
      </c>
      <c r="C11747">
        <v>851190</v>
      </c>
      <c r="D11747" t="s">
        <v>176</v>
      </c>
      <c r="E11747">
        <v>208045</v>
      </c>
      <c r="F11747">
        <v>23889</v>
      </c>
      <c r="G11747">
        <v>6374</v>
      </c>
      <c r="H11747">
        <f>_xlfn.XLOOKUP(FACT_IMPORTS[[#This Row],[hts_6]],DIM_PRODUCTS[hts_6],DIM_PRODUCTS[hts_4],,,)</f>
        <v>8511</v>
      </c>
      <c r="I11747" t="str" cm="1">
        <f t="array" ref="I11747">_xlfn.XLOOKUP(FACT_IMPORTS[[#This Row],[country_name]],DIM_COUNTRY[[#All],[Column2]],DIM_COUNTRY[[#All],[Column3]],,,)</f>
        <v>Major_Non-USMCA_Non-China</v>
      </c>
    </row>
    <row r="11748" spans="1:9" x14ac:dyDescent="0.4">
      <c r="A11748" t="s">
        <v>73</v>
      </c>
      <c r="B11748" s="1">
        <v>45444</v>
      </c>
      <c r="C11748">
        <v>851220</v>
      </c>
      <c r="D11748" t="s">
        <v>176</v>
      </c>
      <c r="E11748">
        <v>13824024</v>
      </c>
      <c r="F11748">
        <v>1863606</v>
      </c>
      <c r="G11748">
        <v>162745</v>
      </c>
      <c r="H11748">
        <f>_xlfn.XLOOKUP(FACT_IMPORTS[[#This Row],[hts_6]],DIM_PRODUCTS[hts_6],DIM_PRODUCTS[hts_4],,,)</f>
        <v>8512</v>
      </c>
      <c r="I11748" t="str" cm="1">
        <f t="array" ref="I11748">_xlfn.XLOOKUP(FACT_IMPORTS[[#This Row],[country_name]],DIM_COUNTRY[[#All],[Column2]],DIM_COUNTRY[[#All],[Column3]],,,)</f>
        <v>Major_Non-USMCA_Non-China</v>
      </c>
    </row>
    <row r="11749" spans="1:9" x14ac:dyDescent="0.4">
      <c r="A11749" t="s">
        <v>73</v>
      </c>
      <c r="B11749" s="1">
        <v>45444</v>
      </c>
      <c r="C11749">
        <v>851240</v>
      </c>
      <c r="D11749" t="s">
        <v>176</v>
      </c>
      <c r="E11749">
        <v>440187</v>
      </c>
      <c r="F11749">
        <v>19976</v>
      </c>
      <c r="G11749">
        <v>16426</v>
      </c>
      <c r="H11749">
        <f>_xlfn.XLOOKUP(FACT_IMPORTS[[#This Row],[hts_6]],DIM_PRODUCTS[hts_6],DIM_PRODUCTS[hts_4],,,)</f>
        <v>8512</v>
      </c>
      <c r="I11749" t="str" cm="1">
        <f t="array" ref="I11749">_xlfn.XLOOKUP(FACT_IMPORTS[[#This Row],[country_name]],DIM_COUNTRY[[#All],[Column2]],DIM_COUNTRY[[#All],[Column3]],,,)</f>
        <v>Major_Non-USMCA_Non-China</v>
      </c>
    </row>
    <row r="11750" spans="1:9" x14ac:dyDescent="0.4">
      <c r="A11750" t="s">
        <v>73</v>
      </c>
      <c r="B11750" s="1">
        <v>45444</v>
      </c>
      <c r="C11750">
        <v>851290</v>
      </c>
      <c r="D11750" t="s">
        <v>176</v>
      </c>
      <c r="E11750">
        <v>842556</v>
      </c>
      <c r="F11750">
        <v>57680</v>
      </c>
      <c r="G11750">
        <v>28450</v>
      </c>
      <c r="H11750">
        <f>_xlfn.XLOOKUP(FACT_IMPORTS[[#This Row],[hts_6]],DIM_PRODUCTS[hts_6],DIM_PRODUCTS[hts_4],,,)</f>
        <v>8512</v>
      </c>
      <c r="I11750" t="str" cm="1">
        <f t="array" ref="I11750">_xlfn.XLOOKUP(FACT_IMPORTS[[#This Row],[country_name]],DIM_COUNTRY[[#All],[Column2]],DIM_COUNTRY[[#All],[Column3]],,,)</f>
        <v>Major_Non-USMCA_Non-China</v>
      </c>
    </row>
    <row r="11751" spans="1:9" x14ac:dyDescent="0.4">
      <c r="A11751" t="s">
        <v>73</v>
      </c>
      <c r="B11751" s="1">
        <v>45444</v>
      </c>
      <c r="C11751">
        <v>854231</v>
      </c>
      <c r="D11751" t="s">
        <v>176</v>
      </c>
      <c r="E11751">
        <v>0</v>
      </c>
      <c r="F11751">
        <v>0</v>
      </c>
      <c r="G11751">
        <v>0</v>
      </c>
      <c r="H11751">
        <f>_xlfn.XLOOKUP(FACT_IMPORTS[[#This Row],[hts_6]],DIM_PRODUCTS[hts_6],DIM_PRODUCTS[hts_4],,,)</f>
        <v>8542</v>
      </c>
      <c r="I11751" t="str" cm="1">
        <f t="array" ref="I11751">_xlfn.XLOOKUP(FACT_IMPORTS[[#This Row],[country_name]],DIM_COUNTRY[[#All],[Column2]],DIM_COUNTRY[[#All],[Column3]],,,)</f>
        <v>Major_Non-USMCA_Non-China</v>
      </c>
    </row>
    <row r="11752" spans="1:9" x14ac:dyDescent="0.4">
      <c r="A11752" t="s">
        <v>73</v>
      </c>
      <c r="B11752" s="1">
        <v>45444</v>
      </c>
      <c r="C11752">
        <v>854232</v>
      </c>
      <c r="D11752" t="s">
        <v>176</v>
      </c>
      <c r="E11752">
        <v>0</v>
      </c>
      <c r="F11752">
        <v>0</v>
      </c>
      <c r="G11752">
        <v>0</v>
      </c>
      <c r="H11752">
        <f>_xlfn.XLOOKUP(FACT_IMPORTS[[#This Row],[hts_6]],DIM_PRODUCTS[hts_6],DIM_PRODUCTS[hts_4],,,)</f>
        <v>8542</v>
      </c>
      <c r="I11752" t="str" cm="1">
        <f t="array" ref="I11752">_xlfn.XLOOKUP(FACT_IMPORTS[[#This Row],[country_name]],DIM_COUNTRY[[#All],[Column2]],DIM_COUNTRY[[#All],[Column3]],,,)</f>
        <v>Major_Non-USMCA_Non-China</v>
      </c>
    </row>
    <row r="11753" spans="1:9" x14ac:dyDescent="0.4">
      <c r="A11753" t="s">
        <v>73</v>
      </c>
      <c r="B11753" s="1">
        <v>45444</v>
      </c>
      <c r="C11753">
        <v>854239</v>
      </c>
      <c r="D11753" t="s">
        <v>176</v>
      </c>
      <c r="E11753">
        <v>25801</v>
      </c>
      <c r="F11753">
        <v>12000</v>
      </c>
      <c r="G11753">
        <v>2580</v>
      </c>
      <c r="H11753">
        <f>_xlfn.XLOOKUP(FACT_IMPORTS[[#This Row],[hts_6]],DIM_PRODUCTS[hts_6],DIM_PRODUCTS[hts_4],,,)</f>
        <v>8542</v>
      </c>
      <c r="I11753" t="str" cm="1">
        <f t="array" ref="I11753">_xlfn.XLOOKUP(FACT_IMPORTS[[#This Row],[country_name]],DIM_COUNTRY[[#All],[Column2]],DIM_COUNTRY[[#All],[Column3]],,,)</f>
        <v>Major_Non-USMCA_Non-China</v>
      </c>
    </row>
    <row r="11754" spans="1:9" x14ac:dyDescent="0.4">
      <c r="A11754" t="s">
        <v>73</v>
      </c>
      <c r="B11754" s="1">
        <v>45444</v>
      </c>
      <c r="C11754">
        <v>854430</v>
      </c>
      <c r="D11754" t="s">
        <v>176</v>
      </c>
      <c r="E11754">
        <v>3668</v>
      </c>
      <c r="F11754">
        <v>6</v>
      </c>
      <c r="G11754">
        <v>2</v>
      </c>
      <c r="H11754">
        <f>_xlfn.XLOOKUP(FACT_IMPORTS[[#This Row],[hts_6]],DIM_PRODUCTS[hts_6],DIM_PRODUCTS[hts_4],,,)</f>
        <v>8544</v>
      </c>
      <c r="I11754" t="str" cm="1">
        <f t="array" ref="I11754">_xlfn.XLOOKUP(FACT_IMPORTS[[#This Row],[country_name]],DIM_COUNTRY[[#All],[Column2]],DIM_COUNTRY[[#All],[Column3]],,,)</f>
        <v>Major_Non-USMCA_Non-China</v>
      </c>
    </row>
    <row r="11755" spans="1:9" x14ac:dyDescent="0.4">
      <c r="A11755" t="s">
        <v>73</v>
      </c>
      <c r="B11755" s="1">
        <v>45444</v>
      </c>
      <c r="C11755">
        <v>870810</v>
      </c>
      <c r="D11755" t="s">
        <v>176</v>
      </c>
      <c r="E11755">
        <v>385048</v>
      </c>
      <c r="F11755">
        <v>170194</v>
      </c>
      <c r="G11755">
        <v>2266</v>
      </c>
      <c r="H11755">
        <f>_xlfn.XLOOKUP(FACT_IMPORTS[[#This Row],[hts_6]],DIM_PRODUCTS[hts_6],DIM_PRODUCTS[hts_4],,,)</f>
        <v>8708</v>
      </c>
      <c r="I11755" t="str" cm="1">
        <f t="array" ref="I11755">_xlfn.XLOOKUP(FACT_IMPORTS[[#This Row],[country_name]],DIM_COUNTRY[[#All],[Column2]],DIM_COUNTRY[[#All],[Column3]],,,)</f>
        <v>Major_Non-USMCA_Non-China</v>
      </c>
    </row>
    <row r="11756" spans="1:9" x14ac:dyDescent="0.4">
      <c r="A11756" t="s">
        <v>73</v>
      </c>
      <c r="B11756" s="1">
        <v>45444</v>
      </c>
      <c r="C11756">
        <v>870822</v>
      </c>
      <c r="D11756" t="s">
        <v>176</v>
      </c>
      <c r="E11756">
        <v>109863</v>
      </c>
      <c r="F11756">
        <v>567</v>
      </c>
      <c r="G11756">
        <v>200</v>
      </c>
      <c r="H11756">
        <f>_xlfn.XLOOKUP(FACT_IMPORTS[[#This Row],[hts_6]],DIM_PRODUCTS[hts_6],DIM_PRODUCTS[hts_4],,,)</f>
        <v>8708</v>
      </c>
      <c r="I11756" t="str" cm="1">
        <f t="array" ref="I11756">_xlfn.XLOOKUP(FACT_IMPORTS[[#This Row],[country_name]],DIM_COUNTRY[[#All],[Column2]],DIM_COUNTRY[[#All],[Column3]],,,)</f>
        <v>Major_Non-USMCA_Non-China</v>
      </c>
    </row>
    <row r="11757" spans="1:9" x14ac:dyDescent="0.4">
      <c r="A11757" t="s">
        <v>73</v>
      </c>
      <c r="B11757" s="1">
        <v>45444</v>
      </c>
      <c r="C11757">
        <v>870829</v>
      </c>
      <c r="D11757" t="s">
        <v>176</v>
      </c>
      <c r="E11757">
        <v>6242018</v>
      </c>
      <c r="F11757">
        <v>3410597</v>
      </c>
      <c r="G11757">
        <v>329868</v>
      </c>
      <c r="H11757">
        <f>_xlfn.XLOOKUP(FACT_IMPORTS[[#This Row],[hts_6]],DIM_PRODUCTS[hts_6],DIM_PRODUCTS[hts_4],,,)</f>
        <v>8708</v>
      </c>
      <c r="I11757" t="str" cm="1">
        <f t="array" ref="I11757">_xlfn.XLOOKUP(FACT_IMPORTS[[#This Row],[country_name]],DIM_COUNTRY[[#All],[Column2]],DIM_COUNTRY[[#All],[Column3]],,,)</f>
        <v>Major_Non-USMCA_Non-China</v>
      </c>
    </row>
    <row r="11758" spans="1:9" x14ac:dyDescent="0.4">
      <c r="A11758" t="s">
        <v>73</v>
      </c>
      <c r="B11758" s="1">
        <v>45444</v>
      </c>
      <c r="C11758">
        <v>870830</v>
      </c>
      <c r="D11758" t="s">
        <v>176</v>
      </c>
      <c r="E11758">
        <v>441079</v>
      </c>
      <c r="F11758">
        <v>390984</v>
      </c>
      <c r="G11758">
        <v>18170</v>
      </c>
      <c r="H11758">
        <f>_xlfn.XLOOKUP(FACT_IMPORTS[[#This Row],[hts_6]],DIM_PRODUCTS[hts_6],DIM_PRODUCTS[hts_4],,,)</f>
        <v>8708</v>
      </c>
      <c r="I11758" t="str" cm="1">
        <f t="array" ref="I11758">_xlfn.XLOOKUP(FACT_IMPORTS[[#This Row],[country_name]],DIM_COUNTRY[[#All],[Column2]],DIM_COUNTRY[[#All],[Column3]],,,)</f>
        <v>Major_Non-USMCA_Non-China</v>
      </c>
    </row>
    <row r="11759" spans="1:9" x14ac:dyDescent="0.4">
      <c r="A11759" t="s">
        <v>73</v>
      </c>
      <c r="B11759" s="1">
        <v>45444</v>
      </c>
      <c r="C11759">
        <v>870840</v>
      </c>
      <c r="D11759" t="s">
        <v>176</v>
      </c>
      <c r="E11759">
        <v>4162282</v>
      </c>
      <c r="F11759">
        <v>391429</v>
      </c>
      <c r="G11759">
        <v>39397</v>
      </c>
      <c r="H11759">
        <f>_xlfn.XLOOKUP(FACT_IMPORTS[[#This Row],[hts_6]],DIM_PRODUCTS[hts_6],DIM_PRODUCTS[hts_4],,,)</f>
        <v>8708</v>
      </c>
      <c r="I11759" t="str" cm="1">
        <f t="array" ref="I11759">_xlfn.XLOOKUP(FACT_IMPORTS[[#This Row],[country_name]],DIM_COUNTRY[[#All],[Column2]],DIM_COUNTRY[[#All],[Column3]],,,)</f>
        <v>Major_Non-USMCA_Non-China</v>
      </c>
    </row>
    <row r="11760" spans="1:9" x14ac:dyDescent="0.4">
      <c r="A11760" t="s">
        <v>73</v>
      </c>
      <c r="B11760" s="1">
        <v>45444</v>
      </c>
      <c r="C11760">
        <v>870850</v>
      </c>
      <c r="D11760" t="s">
        <v>176</v>
      </c>
      <c r="E11760">
        <v>20850539</v>
      </c>
      <c r="F11760">
        <v>1666699</v>
      </c>
      <c r="G11760">
        <v>495483</v>
      </c>
      <c r="H11760">
        <f>_xlfn.XLOOKUP(FACT_IMPORTS[[#This Row],[hts_6]],DIM_PRODUCTS[hts_6],DIM_PRODUCTS[hts_4],,,)</f>
        <v>8708</v>
      </c>
      <c r="I11760" t="str" cm="1">
        <f t="array" ref="I11760">_xlfn.XLOOKUP(FACT_IMPORTS[[#This Row],[country_name]],DIM_COUNTRY[[#All],[Column2]],DIM_COUNTRY[[#All],[Column3]],,,)</f>
        <v>Major_Non-USMCA_Non-China</v>
      </c>
    </row>
    <row r="11761" spans="1:9" x14ac:dyDescent="0.4">
      <c r="A11761" t="s">
        <v>73</v>
      </c>
      <c r="B11761" s="1">
        <v>45444</v>
      </c>
      <c r="C11761">
        <v>870870</v>
      </c>
      <c r="D11761" t="s">
        <v>176</v>
      </c>
      <c r="E11761">
        <v>730041</v>
      </c>
      <c r="F11761">
        <v>9223</v>
      </c>
      <c r="G11761">
        <v>42906</v>
      </c>
      <c r="H11761">
        <f>_xlfn.XLOOKUP(FACT_IMPORTS[[#This Row],[hts_6]],DIM_PRODUCTS[hts_6],DIM_PRODUCTS[hts_4],,,)</f>
        <v>8708</v>
      </c>
      <c r="I11761" t="str" cm="1">
        <f t="array" ref="I11761">_xlfn.XLOOKUP(FACT_IMPORTS[[#This Row],[country_name]],DIM_COUNTRY[[#All],[Column2]],DIM_COUNTRY[[#All],[Column3]],,,)</f>
        <v>Major_Non-USMCA_Non-China</v>
      </c>
    </row>
    <row r="11762" spans="1:9" x14ac:dyDescent="0.4">
      <c r="A11762" t="s">
        <v>73</v>
      </c>
      <c r="B11762" s="1">
        <v>45444</v>
      </c>
      <c r="C11762">
        <v>870880</v>
      </c>
      <c r="D11762" t="s">
        <v>176</v>
      </c>
      <c r="E11762">
        <v>4736427</v>
      </c>
      <c r="F11762">
        <v>1349147</v>
      </c>
      <c r="G11762">
        <v>221388</v>
      </c>
      <c r="H11762">
        <f>_xlfn.XLOOKUP(FACT_IMPORTS[[#This Row],[hts_6]],DIM_PRODUCTS[hts_6],DIM_PRODUCTS[hts_4],,,)</f>
        <v>8708</v>
      </c>
      <c r="I11762" t="str" cm="1">
        <f t="array" ref="I11762">_xlfn.XLOOKUP(FACT_IMPORTS[[#This Row],[country_name]],DIM_COUNTRY[[#All],[Column2]],DIM_COUNTRY[[#All],[Column3]],,,)</f>
        <v>Major_Non-USMCA_Non-China</v>
      </c>
    </row>
    <row r="11763" spans="1:9" x14ac:dyDescent="0.4">
      <c r="A11763" t="s">
        <v>73</v>
      </c>
      <c r="B11763" s="1">
        <v>45444</v>
      </c>
      <c r="C11763">
        <v>870891</v>
      </c>
      <c r="D11763" t="s">
        <v>176</v>
      </c>
      <c r="E11763">
        <v>38523</v>
      </c>
      <c r="F11763">
        <v>186</v>
      </c>
      <c r="G11763">
        <v>47</v>
      </c>
      <c r="H11763">
        <f>_xlfn.XLOOKUP(FACT_IMPORTS[[#This Row],[hts_6]],DIM_PRODUCTS[hts_6],DIM_PRODUCTS[hts_4],,,)</f>
        <v>8708</v>
      </c>
      <c r="I11763" t="str" cm="1">
        <f t="array" ref="I11763">_xlfn.XLOOKUP(FACT_IMPORTS[[#This Row],[country_name]],DIM_COUNTRY[[#All],[Column2]],DIM_COUNTRY[[#All],[Column3]],,,)</f>
        <v>Major_Non-USMCA_Non-China</v>
      </c>
    </row>
    <row r="11764" spans="1:9" x14ac:dyDescent="0.4">
      <c r="A11764" t="s">
        <v>73</v>
      </c>
      <c r="B11764" s="1">
        <v>45444</v>
      </c>
      <c r="C11764">
        <v>870892</v>
      </c>
      <c r="D11764" t="s">
        <v>176</v>
      </c>
      <c r="E11764">
        <v>0</v>
      </c>
      <c r="F11764">
        <v>0</v>
      </c>
      <c r="G11764">
        <v>0</v>
      </c>
      <c r="H11764">
        <f>_xlfn.XLOOKUP(FACT_IMPORTS[[#This Row],[hts_6]],DIM_PRODUCTS[hts_6],DIM_PRODUCTS[hts_4],,,)</f>
        <v>8708</v>
      </c>
      <c r="I11764" t="str" cm="1">
        <f t="array" ref="I11764">_xlfn.XLOOKUP(FACT_IMPORTS[[#This Row],[country_name]],DIM_COUNTRY[[#All],[Column2]],DIM_COUNTRY[[#All],[Column3]],,,)</f>
        <v>Major_Non-USMCA_Non-China</v>
      </c>
    </row>
    <row r="11765" spans="1:9" x14ac:dyDescent="0.4">
      <c r="A11765" t="s">
        <v>73</v>
      </c>
      <c r="B11765" s="1">
        <v>45444</v>
      </c>
      <c r="C11765">
        <v>870893</v>
      </c>
      <c r="D11765" t="s">
        <v>176</v>
      </c>
      <c r="E11765">
        <v>721692</v>
      </c>
      <c r="F11765">
        <v>36465</v>
      </c>
      <c r="G11765">
        <v>7680</v>
      </c>
      <c r="H11765">
        <f>_xlfn.XLOOKUP(FACT_IMPORTS[[#This Row],[hts_6]],DIM_PRODUCTS[hts_6],DIM_PRODUCTS[hts_4],,,)</f>
        <v>8708</v>
      </c>
      <c r="I11765" t="str" cm="1">
        <f t="array" ref="I11765">_xlfn.XLOOKUP(FACT_IMPORTS[[#This Row],[country_name]],DIM_COUNTRY[[#All],[Column2]],DIM_COUNTRY[[#All],[Column3]],,,)</f>
        <v>Major_Non-USMCA_Non-China</v>
      </c>
    </row>
    <row r="11766" spans="1:9" x14ac:dyDescent="0.4">
      <c r="A11766" t="s">
        <v>73</v>
      </c>
      <c r="B11766" s="1">
        <v>45444</v>
      </c>
      <c r="C11766">
        <v>870894</v>
      </c>
      <c r="D11766" t="s">
        <v>176</v>
      </c>
      <c r="E11766">
        <v>4463620</v>
      </c>
      <c r="F11766">
        <v>263077</v>
      </c>
      <c r="G11766">
        <v>89957</v>
      </c>
      <c r="H11766">
        <f>_xlfn.XLOOKUP(FACT_IMPORTS[[#This Row],[hts_6]],DIM_PRODUCTS[hts_6],DIM_PRODUCTS[hts_4],,,)</f>
        <v>8708</v>
      </c>
      <c r="I11766" t="str" cm="1">
        <f t="array" ref="I11766">_xlfn.XLOOKUP(FACT_IMPORTS[[#This Row],[country_name]],DIM_COUNTRY[[#All],[Column2]],DIM_COUNTRY[[#All],[Column3]],,,)</f>
        <v>Major_Non-USMCA_Non-China</v>
      </c>
    </row>
    <row r="11767" spans="1:9" x14ac:dyDescent="0.4">
      <c r="A11767" t="s">
        <v>73</v>
      </c>
      <c r="B11767" s="1">
        <v>45444</v>
      </c>
      <c r="C11767">
        <v>870895</v>
      </c>
      <c r="D11767" t="s">
        <v>176</v>
      </c>
      <c r="E11767">
        <v>0</v>
      </c>
      <c r="F11767">
        <v>0</v>
      </c>
      <c r="G11767">
        <v>0</v>
      </c>
      <c r="H11767">
        <f>_xlfn.XLOOKUP(FACT_IMPORTS[[#This Row],[hts_6]],DIM_PRODUCTS[hts_6],DIM_PRODUCTS[hts_4],,,)</f>
        <v>8708</v>
      </c>
      <c r="I11767" t="str" cm="1">
        <f t="array" ref="I11767">_xlfn.XLOOKUP(FACT_IMPORTS[[#This Row],[country_name]],DIM_COUNTRY[[#All],[Column2]],DIM_COUNTRY[[#All],[Column3]],,,)</f>
        <v>Major_Non-USMCA_Non-China</v>
      </c>
    </row>
    <row r="11768" spans="1:9" x14ac:dyDescent="0.4">
      <c r="A11768" t="s">
        <v>73</v>
      </c>
      <c r="B11768" s="1">
        <v>45444</v>
      </c>
      <c r="C11768">
        <v>870899</v>
      </c>
      <c r="D11768" t="s">
        <v>176</v>
      </c>
      <c r="E11768">
        <v>22140582</v>
      </c>
      <c r="F11768">
        <v>4427704</v>
      </c>
      <c r="G11768">
        <v>656208</v>
      </c>
      <c r="H11768">
        <f>_xlfn.XLOOKUP(FACT_IMPORTS[[#This Row],[hts_6]],DIM_PRODUCTS[hts_6],DIM_PRODUCTS[hts_4],,,)</f>
        <v>8708</v>
      </c>
      <c r="I11768" t="str" cm="1">
        <f t="array" ref="I11768">_xlfn.XLOOKUP(FACT_IMPORTS[[#This Row],[country_name]],DIM_COUNTRY[[#All],[Column2]],DIM_COUNTRY[[#All],[Column3]],,,)</f>
        <v>Major_Non-USMCA_Non-China</v>
      </c>
    </row>
    <row r="11769" spans="1:9" x14ac:dyDescent="0.4">
      <c r="A11769" t="s">
        <v>73</v>
      </c>
      <c r="B11769" s="1">
        <v>45444</v>
      </c>
      <c r="C11769">
        <v>940120</v>
      </c>
      <c r="D11769" t="s">
        <v>176</v>
      </c>
      <c r="E11769">
        <v>0</v>
      </c>
      <c r="F11769">
        <v>0</v>
      </c>
      <c r="G11769">
        <v>0</v>
      </c>
      <c r="H11769">
        <f>_xlfn.XLOOKUP(FACT_IMPORTS[[#This Row],[hts_6]],DIM_PRODUCTS[hts_6],DIM_PRODUCTS[hts_4],,,)</f>
        <v>9401</v>
      </c>
      <c r="I11769" t="str" cm="1">
        <f t="array" ref="I11769">_xlfn.XLOOKUP(FACT_IMPORTS[[#This Row],[country_name]],DIM_COUNTRY[[#All],[Column2]],DIM_COUNTRY[[#All],[Column3]],,,)</f>
        <v>Major_Non-USMCA_Non-China</v>
      </c>
    </row>
    <row r="11770" spans="1:9" x14ac:dyDescent="0.4">
      <c r="A11770" t="s">
        <v>73</v>
      </c>
      <c r="B11770" s="1">
        <v>45474</v>
      </c>
      <c r="C11770">
        <v>392630</v>
      </c>
      <c r="D11770" t="s">
        <v>176</v>
      </c>
      <c r="E11770">
        <v>316049</v>
      </c>
      <c r="F11770">
        <v>25531</v>
      </c>
      <c r="G11770">
        <v>23809</v>
      </c>
      <c r="H11770">
        <f>_xlfn.XLOOKUP(FACT_IMPORTS[[#This Row],[hts_6]],DIM_PRODUCTS[hts_6],DIM_PRODUCTS[hts_4],,,)</f>
        <v>3926</v>
      </c>
      <c r="I11770" t="str" cm="1">
        <f t="array" ref="I11770">_xlfn.XLOOKUP(FACT_IMPORTS[[#This Row],[country_name]],DIM_COUNTRY[[#All],[Column2]],DIM_COUNTRY[[#All],[Column3]],,,)</f>
        <v>Major_Non-USMCA_Non-China</v>
      </c>
    </row>
    <row r="11771" spans="1:9" x14ac:dyDescent="0.4">
      <c r="A11771" t="s">
        <v>73</v>
      </c>
      <c r="B11771" s="1">
        <v>45474</v>
      </c>
      <c r="C11771">
        <v>401110</v>
      </c>
      <c r="D11771" t="s">
        <v>176</v>
      </c>
      <c r="E11771">
        <v>3995033</v>
      </c>
      <c r="F11771">
        <v>61600</v>
      </c>
      <c r="G11771">
        <v>611933</v>
      </c>
      <c r="H11771">
        <f>_xlfn.XLOOKUP(FACT_IMPORTS[[#This Row],[hts_6]],DIM_PRODUCTS[hts_6],DIM_PRODUCTS[hts_4],,,)</f>
        <v>4011</v>
      </c>
      <c r="I11771" t="str" cm="1">
        <f t="array" ref="I11771">_xlfn.XLOOKUP(FACT_IMPORTS[[#This Row],[country_name]],DIM_COUNTRY[[#All],[Column2]],DIM_COUNTRY[[#All],[Column3]],,,)</f>
        <v>Major_Non-USMCA_Non-China</v>
      </c>
    </row>
    <row r="11772" spans="1:9" x14ac:dyDescent="0.4">
      <c r="A11772" t="s">
        <v>73</v>
      </c>
      <c r="B11772" s="1">
        <v>45474</v>
      </c>
      <c r="C11772">
        <v>401120</v>
      </c>
      <c r="D11772" t="s">
        <v>176</v>
      </c>
      <c r="E11772">
        <v>92399</v>
      </c>
      <c r="F11772">
        <v>1118</v>
      </c>
      <c r="G11772">
        <v>12198</v>
      </c>
      <c r="H11772">
        <f>_xlfn.XLOOKUP(FACT_IMPORTS[[#This Row],[hts_6]],DIM_PRODUCTS[hts_6],DIM_PRODUCTS[hts_4],,,)</f>
        <v>4011</v>
      </c>
      <c r="I11772" t="str" cm="1">
        <f t="array" ref="I11772">_xlfn.XLOOKUP(FACT_IMPORTS[[#This Row],[country_name]],DIM_COUNTRY[[#All],[Column2]],DIM_COUNTRY[[#All],[Column3]],,,)</f>
        <v>Major_Non-USMCA_Non-China</v>
      </c>
    </row>
    <row r="11773" spans="1:9" x14ac:dyDescent="0.4">
      <c r="A11773" t="s">
        <v>73</v>
      </c>
      <c r="B11773" s="1">
        <v>45474</v>
      </c>
      <c r="C11773">
        <v>401190</v>
      </c>
      <c r="D11773" t="s">
        <v>176</v>
      </c>
      <c r="E11773">
        <v>0</v>
      </c>
      <c r="F11773">
        <v>0</v>
      </c>
      <c r="G11773">
        <v>0</v>
      </c>
      <c r="H11773">
        <f>_xlfn.XLOOKUP(FACT_IMPORTS[[#This Row],[hts_6]],DIM_PRODUCTS[hts_6],DIM_PRODUCTS[hts_4],,,)</f>
        <v>4011</v>
      </c>
      <c r="I11773" t="str" cm="1">
        <f t="array" ref="I11773">_xlfn.XLOOKUP(FACT_IMPORTS[[#This Row],[country_name]],DIM_COUNTRY[[#All],[Column2]],DIM_COUNTRY[[#All],[Column3]],,,)</f>
        <v>Major_Non-USMCA_Non-China</v>
      </c>
    </row>
    <row r="11774" spans="1:9" x14ac:dyDescent="0.4">
      <c r="A11774" t="s">
        <v>73</v>
      </c>
      <c r="B11774" s="1">
        <v>45474</v>
      </c>
      <c r="C11774">
        <v>700711</v>
      </c>
      <c r="D11774" t="s">
        <v>176</v>
      </c>
      <c r="E11774">
        <v>54683</v>
      </c>
      <c r="F11774">
        <v>95</v>
      </c>
      <c r="G11774">
        <v>358</v>
      </c>
      <c r="H11774">
        <f>_xlfn.XLOOKUP(FACT_IMPORTS[[#This Row],[hts_6]],DIM_PRODUCTS[hts_6],DIM_PRODUCTS[hts_4],,,)</f>
        <v>7007</v>
      </c>
      <c r="I11774" t="str" cm="1">
        <f t="array" ref="I11774">_xlfn.XLOOKUP(FACT_IMPORTS[[#This Row],[country_name]],DIM_COUNTRY[[#All],[Column2]],DIM_COUNTRY[[#All],[Column3]],,,)</f>
        <v>Major_Non-USMCA_Non-China</v>
      </c>
    </row>
    <row r="11775" spans="1:9" x14ac:dyDescent="0.4">
      <c r="A11775" t="s">
        <v>73</v>
      </c>
      <c r="B11775" s="1">
        <v>45474</v>
      </c>
      <c r="C11775">
        <v>700910</v>
      </c>
      <c r="D11775" t="s">
        <v>176</v>
      </c>
      <c r="E11775">
        <v>68115</v>
      </c>
      <c r="F11775">
        <v>618</v>
      </c>
      <c r="G11775">
        <v>10184</v>
      </c>
      <c r="H11775">
        <f>_xlfn.XLOOKUP(FACT_IMPORTS[[#This Row],[hts_6]],DIM_PRODUCTS[hts_6],DIM_PRODUCTS[hts_4],,,)</f>
        <v>7009</v>
      </c>
      <c r="I11775" t="str" cm="1">
        <f t="array" ref="I11775">_xlfn.XLOOKUP(FACT_IMPORTS[[#This Row],[country_name]],DIM_COUNTRY[[#All],[Column2]],DIM_COUNTRY[[#All],[Column3]],,,)</f>
        <v>Major_Non-USMCA_Non-China</v>
      </c>
    </row>
    <row r="11776" spans="1:9" x14ac:dyDescent="0.4">
      <c r="A11776" t="s">
        <v>73</v>
      </c>
      <c r="B11776" s="1">
        <v>45474</v>
      </c>
      <c r="C11776">
        <v>830230</v>
      </c>
      <c r="D11776" t="s">
        <v>176</v>
      </c>
      <c r="E11776">
        <v>2095489</v>
      </c>
      <c r="F11776">
        <v>350982</v>
      </c>
      <c r="G11776">
        <v>55454</v>
      </c>
      <c r="H11776">
        <f>_xlfn.XLOOKUP(FACT_IMPORTS[[#This Row],[hts_6]],DIM_PRODUCTS[hts_6],DIM_PRODUCTS[hts_4],,,)</f>
        <v>8302</v>
      </c>
      <c r="I11776" t="str" cm="1">
        <f t="array" ref="I11776">_xlfn.XLOOKUP(FACT_IMPORTS[[#This Row],[country_name]],DIM_COUNTRY[[#All],[Column2]],DIM_COUNTRY[[#All],[Column3]],,,)</f>
        <v>Major_Non-USMCA_Non-China</v>
      </c>
    </row>
    <row r="11777" spans="1:9" x14ac:dyDescent="0.4">
      <c r="A11777" t="s">
        <v>73</v>
      </c>
      <c r="B11777" s="1">
        <v>45474</v>
      </c>
      <c r="C11777">
        <v>840734</v>
      </c>
      <c r="D11777" t="s">
        <v>176</v>
      </c>
      <c r="E11777">
        <v>0</v>
      </c>
      <c r="F11777">
        <v>0</v>
      </c>
      <c r="G11777">
        <v>0</v>
      </c>
      <c r="H11777">
        <f>_xlfn.XLOOKUP(FACT_IMPORTS[[#This Row],[hts_6]],DIM_PRODUCTS[hts_6],DIM_PRODUCTS[hts_4],,,)</f>
        <v>8407</v>
      </c>
      <c r="I11777" t="str" cm="1">
        <f t="array" ref="I11777">_xlfn.XLOOKUP(FACT_IMPORTS[[#This Row],[country_name]],DIM_COUNTRY[[#All],[Column2]],DIM_COUNTRY[[#All],[Column3]],,,)</f>
        <v>Major_Non-USMCA_Non-China</v>
      </c>
    </row>
    <row r="11778" spans="1:9" x14ac:dyDescent="0.4">
      <c r="A11778" t="s">
        <v>73</v>
      </c>
      <c r="B11778" s="1">
        <v>45474</v>
      </c>
      <c r="C11778">
        <v>840820</v>
      </c>
      <c r="D11778" t="s">
        <v>176</v>
      </c>
      <c r="E11778">
        <v>0</v>
      </c>
      <c r="F11778">
        <v>0</v>
      </c>
      <c r="G11778">
        <v>0</v>
      </c>
      <c r="H11778">
        <f>_xlfn.XLOOKUP(FACT_IMPORTS[[#This Row],[hts_6]],DIM_PRODUCTS[hts_6],DIM_PRODUCTS[hts_4],,,)</f>
        <v>8408</v>
      </c>
      <c r="I11778" t="str" cm="1">
        <f t="array" ref="I11778">_xlfn.XLOOKUP(FACT_IMPORTS[[#This Row],[country_name]],DIM_COUNTRY[[#All],[Column2]],DIM_COUNTRY[[#All],[Column3]],,,)</f>
        <v>Major_Non-USMCA_Non-China</v>
      </c>
    </row>
    <row r="11779" spans="1:9" x14ac:dyDescent="0.4">
      <c r="A11779" t="s">
        <v>73</v>
      </c>
      <c r="B11779" s="1">
        <v>45474</v>
      </c>
      <c r="C11779">
        <v>840890</v>
      </c>
      <c r="D11779" t="s">
        <v>176</v>
      </c>
      <c r="E11779">
        <v>0</v>
      </c>
      <c r="F11779">
        <v>0</v>
      </c>
      <c r="G11779">
        <v>0</v>
      </c>
      <c r="H11779">
        <f>_xlfn.XLOOKUP(FACT_IMPORTS[[#This Row],[hts_6]],DIM_PRODUCTS[hts_6],DIM_PRODUCTS[hts_4],,,)</f>
        <v>8408</v>
      </c>
      <c r="I11779" t="str" cm="1">
        <f t="array" ref="I11779">_xlfn.XLOOKUP(FACT_IMPORTS[[#This Row],[country_name]],DIM_COUNTRY[[#All],[Column2]],DIM_COUNTRY[[#All],[Column3]],,,)</f>
        <v>Major_Non-USMCA_Non-China</v>
      </c>
    </row>
    <row r="11780" spans="1:9" x14ac:dyDescent="0.4">
      <c r="A11780" t="s">
        <v>73</v>
      </c>
      <c r="B11780" s="1">
        <v>45474</v>
      </c>
      <c r="C11780">
        <v>840991</v>
      </c>
      <c r="D11780" t="s">
        <v>176</v>
      </c>
      <c r="E11780">
        <v>7049157</v>
      </c>
      <c r="F11780">
        <v>365292</v>
      </c>
      <c r="G11780">
        <v>97286</v>
      </c>
      <c r="H11780">
        <f>_xlfn.XLOOKUP(FACT_IMPORTS[[#This Row],[hts_6]],DIM_PRODUCTS[hts_6],DIM_PRODUCTS[hts_4],,,)</f>
        <v>8409</v>
      </c>
      <c r="I11780" t="str" cm="1">
        <f t="array" ref="I11780">_xlfn.XLOOKUP(FACT_IMPORTS[[#This Row],[country_name]],DIM_COUNTRY[[#All],[Column2]],DIM_COUNTRY[[#All],[Column3]],,,)</f>
        <v>Major_Non-USMCA_Non-China</v>
      </c>
    </row>
    <row r="11781" spans="1:9" x14ac:dyDescent="0.4">
      <c r="A11781" t="s">
        <v>73</v>
      </c>
      <c r="B11781" s="1">
        <v>45474</v>
      </c>
      <c r="C11781">
        <v>840999</v>
      </c>
      <c r="D11781" t="s">
        <v>176</v>
      </c>
      <c r="E11781">
        <v>671269</v>
      </c>
      <c r="F11781">
        <v>44563</v>
      </c>
      <c r="G11781">
        <v>1341</v>
      </c>
      <c r="H11781">
        <f>_xlfn.XLOOKUP(FACT_IMPORTS[[#This Row],[hts_6]],DIM_PRODUCTS[hts_6],DIM_PRODUCTS[hts_4],,,)</f>
        <v>8409</v>
      </c>
      <c r="I11781" t="str" cm="1">
        <f t="array" ref="I11781">_xlfn.XLOOKUP(FACT_IMPORTS[[#This Row],[country_name]],DIM_COUNTRY[[#All],[Column2]],DIM_COUNTRY[[#All],[Column3]],,,)</f>
        <v>Major_Non-USMCA_Non-China</v>
      </c>
    </row>
    <row r="11782" spans="1:9" x14ac:dyDescent="0.4">
      <c r="A11782" t="s">
        <v>73</v>
      </c>
      <c r="B11782" s="1">
        <v>45474</v>
      </c>
      <c r="C11782">
        <v>841330</v>
      </c>
      <c r="D11782" t="s">
        <v>176</v>
      </c>
      <c r="E11782">
        <v>4408220</v>
      </c>
      <c r="F11782">
        <v>107110</v>
      </c>
      <c r="G11782">
        <v>133105</v>
      </c>
      <c r="H11782">
        <f>_xlfn.XLOOKUP(FACT_IMPORTS[[#This Row],[hts_6]],DIM_PRODUCTS[hts_6],DIM_PRODUCTS[hts_4],,,)</f>
        <v>8413</v>
      </c>
      <c r="I11782" t="str" cm="1">
        <f t="array" ref="I11782">_xlfn.XLOOKUP(FACT_IMPORTS[[#This Row],[country_name]],DIM_COUNTRY[[#All],[Column2]],DIM_COUNTRY[[#All],[Column3]],,,)</f>
        <v>Major_Non-USMCA_Non-China</v>
      </c>
    </row>
    <row r="11783" spans="1:9" x14ac:dyDescent="0.4">
      <c r="A11783" t="s">
        <v>73</v>
      </c>
      <c r="B11783" s="1">
        <v>45474</v>
      </c>
      <c r="C11783">
        <v>842132</v>
      </c>
      <c r="D11783" t="s">
        <v>176</v>
      </c>
      <c r="E11783">
        <v>171422</v>
      </c>
      <c r="F11783">
        <v>84</v>
      </c>
      <c r="G11783">
        <v>1028</v>
      </c>
      <c r="H11783">
        <f>_xlfn.XLOOKUP(FACT_IMPORTS[[#This Row],[hts_6]],DIM_PRODUCTS[hts_6],DIM_PRODUCTS[hts_4],,,)</f>
        <v>8421</v>
      </c>
      <c r="I11783" t="str" cm="1">
        <f t="array" ref="I11783">_xlfn.XLOOKUP(FACT_IMPORTS[[#This Row],[country_name]],DIM_COUNTRY[[#All],[Column2]],DIM_COUNTRY[[#All],[Column3]],,,)</f>
        <v>Major_Non-USMCA_Non-China</v>
      </c>
    </row>
    <row r="11784" spans="1:9" x14ac:dyDescent="0.4">
      <c r="A11784" t="s">
        <v>73</v>
      </c>
      <c r="B11784" s="1">
        <v>45474</v>
      </c>
      <c r="C11784">
        <v>848210</v>
      </c>
      <c r="D11784" t="s">
        <v>176</v>
      </c>
      <c r="E11784">
        <v>296208</v>
      </c>
      <c r="F11784">
        <v>60951</v>
      </c>
      <c r="G11784">
        <v>2765</v>
      </c>
      <c r="H11784">
        <f>_xlfn.XLOOKUP(FACT_IMPORTS[[#This Row],[hts_6]],DIM_PRODUCTS[hts_6],DIM_PRODUCTS[hts_4],,,)</f>
        <v>8482</v>
      </c>
      <c r="I11784" t="str" cm="1">
        <f t="array" ref="I11784">_xlfn.XLOOKUP(FACT_IMPORTS[[#This Row],[country_name]],DIM_COUNTRY[[#All],[Column2]],DIM_COUNTRY[[#All],[Column3]],,,)</f>
        <v>Major_Non-USMCA_Non-China</v>
      </c>
    </row>
    <row r="11785" spans="1:9" x14ac:dyDescent="0.4">
      <c r="A11785" t="s">
        <v>73</v>
      </c>
      <c r="B11785" s="1">
        <v>45474</v>
      </c>
      <c r="C11785">
        <v>848220</v>
      </c>
      <c r="D11785" t="s">
        <v>176</v>
      </c>
      <c r="E11785">
        <v>4190375</v>
      </c>
      <c r="F11785">
        <v>1177365</v>
      </c>
      <c r="G11785">
        <v>638</v>
      </c>
      <c r="H11785">
        <f>_xlfn.XLOOKUP(FACT_IMPORTS[[#This Row],[hts_6]],DIM_PRODUCTS[hts_6],DIM_PRODUCTS[hts_4],,,)</f>
        <v>8482</v>
      </c>
      <c r="I11785" t="str" cm="1">
        <f t="array" ref="I11785">_xlfn.XLOOKUP(FACT_IMPORTS[[#This Row],[country_name]],DIM_COUNTRY[[#All],[Column2]],DIM_COUNTRY[[#All],[Column3]],,,)</f>
        <v>Major_Non-USMCA_Non-China</v>
      </c>
    </row>
    <row r="11786" spans="1:9" x14ac:dyDescent="0.4">
      <c r="A11786" t="s">
        <v>73</v>
      </c>
      <c r="B11786" s="1">
        <v>45474</v>
      </c>
      <c r="C11786">
        <v>848310</v>
      </c>
      <c r="D11786" t="s">
        <v>176</v>
      </c>
      <c r="E11786">
        <v>281497</v>
      </c>
      <c r="F11786">
        <v>3100</v>
      </c>
      <c r="G11786">
        <v>3201</v>
      </c>
      <c r="H11786">
        <f>_xlfn.XLOOKUP(FACT_IMPORTS[[#This Row],[hts_6]],DIM_PRODUCTS[hts_6],DIM_PRODUCTS[hts_4],,,)</f>
        <v>8483</v>
      </c>
      <c r="I11786" t="str" cm="1">
        <f t="array" ref="I11786">_xlfn.XLOOKUP(FACT_IMPORTS[[#This Row],[country_name]],DIM_COUNTRY[[#All],[Column2]],DIM_COUNTRY[[#All],[Column3]],,,)</f>
        <v>Major_Non-USMCA_Non-China</v>
      </c>
    </row>
    <row r="11787" spans="1:9" x14ac:dyDescent="0.4">
      <c r="A11787" t="s">
        <v>73</v>
      </c>
      <c r="B11787" s="1">
        <v>45474</v>
      </c>
      <c r="C11787">
        <v>850131</v>
      </c>
      <c r="D11787" t="s">
        <v>176</v>
      </c>
      <c r="E11787">
        <v>1186317</v>
      </c>
      <c r="F11787">
        <v>100816</v>
      </c>
      <c r="G11787">
        <v>2530</v>
      </c>
      <c r="H11787">
        <f>_xlfn.XLOOKUP(FACT_IMPORTS[[#This Row],[hts_6]],DIM_PRODUCTS[hts_6],DIM_PRODUCTS[hts_4],,,)</f>
        <v>8501</v>
      </c>
      <c r="I11787" t="str" cm="1">
        <f t="array" ref="I11787">_xlfn.XLOOKUP(FACT_IMPORTS[[#This Row],[country_name]],DIM_COUNTRY[[#All],[Column2]],DIM_COUNTRY[[#All],[Column3]],,,)</f>
        <v>Major_Non-USMCA_Non-China</v>
      </c>
    </row>
    <row r="11788" spans="1:9" x14ac:dyDescent="0.4">
      <c r="A11788" t="s">
        <v>73</v>
      </c>
      <c r="B11788" s="1">
        <v>45474</v>
      </c>
      <c r="C11788">
        <v>850152</v>
      </c>
      <c r="D11788" t="s">
        <v>176</v>
      </c>
      <c r="E11788">
        <v>0</v>
      </c>
      <c r="F11788">
        <v>0</v>
      </c>
      <c r="G11788">
        <v>0</v>
      </c>
      <c r="H11788">
        <f>_xlfn.XLOOKUP(FACT_IMPORTS[[#This Row],[hts_6]],DIM_PRODUCTS[hts_6],DIM_PRODUCTS[hts_4],,,)</f>
        <v>8501</v>
      </c>
      <c r="I11788" t="str" cm="1">
        <f t="array" ref="I11788">_xlfn.XLOOKUP(FACT_IMPORTS[[#This Row],[country_name]],DIM_COUNTRY[[#All],[Column2]],DIM_COUNTRY[[#All],[Column3]],,,)</f>
        <v>Major_Non-USMCA_Non-China</v>
      </c>
    </row>
    <row r="11789" spans="1:9" x14ac:dyDescent="0.4">
      <c r="A11789" t="s">
        <v>73</v>
      </c>
      <c r="B11789" s="1">
        <v>45474</v>
      </c>
      <c r="C11789">
        <v>850153</v>
      </c>
      <c r="D11789" t="s">
        <v>176</v>
      </c>
      <c r="E11789">
        <v>9000</v>
      </c>
      <c r="F11789">
        <v>3</v>
      </c>
      <c r="G11789">
        <v>9</v>
      </c>
      <c r="H11789">
        <f>_xlfn.XLOOKUP(FACT_IMPORTS[[#This Row],[hts_6]],DIM_PRODUCTS[hts_6],DIM_PRODUCTS[hts_4],,,)</f>
        <v>8501</v>
      </c>
      <c r="I11789" t="str" cm="1">
        <f t="array" ref="I11789">_xlfn.XLOOKUP(FACT_IMPORTS[[#This Row],[country_name]],DIM_COUNTRY[[#All],[Column2]],DIM_COUNTRY[[#All],[Column3]],,,)</f>
        <v>Major_Non-USMCA_Non-China</v>
      </c>
    </row>
    <row r="11790" spans="1:9" x14ac:dyDescent="0.4">
      <c r="A11790" t="s">
        <v>73</v>
      </c>
      <c r="B11790" s="1">
        <v>45474</v>
      </c>
      <c r="C11790">
        <v>850440</v>
      </c>
      <c r="D11790" t="s">
        <v>176</v>
      </c>
      <c r="E11790">
        <v>10400933</v>
      </c>
      <c r="F11790">
        <v>9649</v>
      </c>
      <c r="G11790">
        <v>3241</v>
      </c>
      <c r="H11790">
        <f>_xlfn.XLOOKUP(FACT_IMPORTS[[#This Row],[hts_6]],DIM_PRODUCTS[hts_6],DIM_PRODUCTS[hts_4],,,)</f>
        <v>8504</v>
      </c>
      <c r="I11790" t="str" cm="1">
        <f t="array" ref="I11790">_xlfn.XLOOKUP(FACT_IMPORTS[[#This Row],[country_name]],DIM_COUNTRY[[#All],[Column2]],DIM_COUNTRY[[#All],[Column3]],,,)</f>
        <v>Major_Non-USMCA_Non-China</v>
      </c>
    </row>
    <row r="11791" spans="1:9" x14ac:dyDescent="0.4">
      <c r="A11791" t="s">
        <v>73</v>
      </c>
      <c r="B11791" s="1">
        <v>45474</v>
      </c>
      <c r="C11791">
        <v>850710</v>
      </c>
      <c r="D11791" t="s">
        <v>176</v>
      </c>
      <c r="E11791">
        <v>444685</v>
      </c>
      <c r="F11791">
        <v>10510</v>
      </c>
      <c r="G11791">
        <v>37029</v>
      </c>
      <c r="H11791">
        <f>_xlfn.XLOOKUP(FACT_IMPORTS[[#This Row],[hts_6]],DIM_PRODUCTS[hts_6],DIM_PRODUCTS[hts_4],,,)</f>
        <v>8507</v>
      </c>
      <c r="I11791" t="str" cm="1">
        <f t="array" ref="I11791">_xlfn.XLOOKUP(FACT_IMPORTS[[#This Row],[country_name]],DIM_COUNTRY[[#All],[Column2]],DIM_COUNTRY[[#All],[Column3]],,,)</f>
        <v>Major_Non-USMCA_Non-China</v>
      </c>
    </row>
    <row r="11792" spans="1:9" x14ac:dyDescent="0.4">
      <c r="A11792" t="s">
        <v>73</v>
      </c>
      <c r="B11792" s="1">
        <v>45474</v>
      </c>
      <c r="C11792">
        <v>850760</v>
      </c>
      <c r="D11792" t="s">
        <v>176</v>
      </c>
      <c r="E11792">
        <v>121849</v>
      </c>
      <c r="F11792">
        <v>446</v>
      </c>
      <c r="G11792">
        <v>1300</v>
      </c>
      <c r="H11792">
        <f>_xlfn.XLOOKUP(FACT_IMPORTS[[#This Row],[hts_6]],DIM_PRODUCTS[hts_6],DIM_PRODUCTS[hts_4],,,)</f>
        <v>8507</v>
      </c>
      <c r="I11792" t="str" cm="1">
        <f t="array" ref="I11792">_xlfn.XLOOKUP(FACT_IMPORTS[[#This Row],[country_name]],DIM_COUNTRY[[#All],[Column2]],DIM_COUNTRY[[#All],[Column3]],,,)</f>
        <v>Major_Non-USMCA_Non-China</v>
      </c>
    </row>
    <row r="11793" spans="1:9" x14ac:dyDescent="0.4">
      <c r="A11793" t="s">
        <v>73</v>
      </c>
      <c r="B11793" s="1">
        <v>45474</v>
      </c>
      <c r="C11793">
        <v>850790</v>
      </c>
      <c r="D11793" t="s">
        <v>176</v>
      </c>
      <c r="E11793">
        <v>122192</v>
      </c>
      <c r="F11793">
        <v>1288</v>
      </c>
      <c r="G11793">
        <v>2152</v>
      </c>
      <c r="H11793">
        <f>_xlfn.XLOOKUP(FACT_IMPORTS[[#This Row],[hts_6]],DIM_PRODUCTS[hts_6],DIM_PRODUCTS[hts_4],,,)</f>
        <v>8507</v>
      </c>
      <c r="I11793" t="str" cm="1">
        <f t="array" ref="I11793">_xlfn.XLOOKUP(FACT_IMPORTS[[#This Row],[country_name]],DIM_COUNTRY[[#All],[Column2]],DIM_COUNTRY[[#All],[Column3]],,,)</f>
        <v>Major_Non-USMCA_Non-China</v>
      </c>
    </row>
    <row r="11794" spans="1:9" x14ac:dyDescent="0.4">
      <c r="A11794" t="s">
        <v>73</v>
      </c>
      <c r="B11794" s="1">
        <v>45474</v>
      </c>
      <c r="C11794">
        <v>851130</v>
      </c>
      <c r="D11794" t="s">
        <v>176</v>
      </c>
      <c r="E11794">
        <v>5589</v>
      </c>
      <c r="F11794">
        <v>153</v>
      </c>
      <c r="G11794">
        <v>6</v>
      </c>
      <c r="H11794">
        <f>_xlfn.XLOOKUP(FACT_IMPORTS[[#This Row],[hts_6]],DIM_PRODUCTS[hts_6],DIM_PRODUCTS[hts_4],,,)</f>
        <v>8511</v>
      </c>
      <c r="I11794" t="str" cm="1">
        <f t="array" ref="I11794">_xlfn.XLOOKUP(FACT_IMPORTS[[#This Row],[country_name]],DIM_COUNTRY[[#All],[Column2]],DIM_COUNTRY[[#All],[Column3]],,,)</f>
        <v>Major_Non-USMCA_Non-China</v>
      </c>
    </row>
    <row r="11795" spans="1:9" x14ac:dyDescent="0.4">
      <c r="A11795" t="s">
        <v>73</v>
      </c>
      <c r="B11795" s="1">
        <v>45474</v>
      </c>
      <c r="C11795">
        <v>851140</v>
      </c>
      <c r="D11795" t="s">
        <v>176</v>
      </c>
      <c r="E11795">
        <v>70201</v>
      </c>
      <c r="F11795">
        <v>1159</v>
      </c>
      <c r="G11795">
        <v>64</v>
      </c>
      <c r="H11795">
        <f>_xlfn.XLOOKUP(FACT_IMPORTS[[#This Row],[hts_6]],DIM_PRODUCTS[hts_6],DIM_PRODUCTS[hts_4],,,)</f>
        <v>8511</v>
      </c>
      <c r="I11795" t="str" cm="1">
        <f t="array" ref="I11795">_xlfn.XLOOKUP(FACT_IMPORTS[[#This Row],[country_name]],DIM_COUNTRY[[#All],[Column2]],DIM_COUNTRY[[#All],[Column3]],,,)</f>
        <v>Major_Non-USMCA_Non-China</v>
      </c>
    </row>
    <row r="11796" spans="1:9" x14ac:dyDescent="0.4">
      <c r="A11796" t="s">
        <v>73</v>
      </c>
      <c r="B11796" s="1">
        <v>45474</v>
      </c>
      <c r="C11796">
        <v>851150</v>
      </c>
      <c r="D11796" t="s">
        <v>176</v>
      </c>
      <c r="E11796">
        <v>167414</v>
      </c>
      <c r="F11796">
        <v>1412</v>
      </c>
      <c r="G11796">
        <v>575</v>
      </c>
      <c r="H11796">
        <f>_xlfn.XLOOKUP(FACT_IMPORTS[[#This Row],[hts_6]],DIM_PRODUCTS[hts_6],DIM_PRODUCTS[hts_4],,,)</f>
        <v>8511</v>
      </c>
      <c r="I11796" t="str" cm="1">
        <f t="array" ref="I11796">_xlfn.XLOOKUP(FACT_IMPORTS[[#This Row],[country_name]],DIM_COUNTRY[[#All],[Column2]],DIM_COUNTRY[[#All],[Column3]],,,)</f>
        <v>Major_Non-USMCA_Non-China</v>
      </c>
    </row>
    <row r="11797" spans="1:9" x14ac:dyDescent="0.4">
      <c r="A11797" t="s">
        <v>73</v>
      </c>
      <c r="B11797" s="1">
        <v>45474</v>
      </c>
      <c r="C11797">
        <v>851190</v>
      </c>
      <c r="D11797" t="s">
        <v>176</v>
      </c>
      <c r="E11797">
        <v>107625</v>
      </c>
      <c r="F11797">
        <v>11750</v>
      </c>
      <c r="G11797">
        <v>3638</v>
      </c>
      <c r="H11797">
        <f>_xlfn.XLOOKUP(FACT_IMPORTS[[#This Row],[hts_6]],DIM_PRODUCTS[hts_6],DIM_PRODUCTS[hts_4],,,)</f>
        <v>8511</v>
      </c>
      <c r="I11797" t="str" cm="1">
        <f t="array" ref="I11797">_xlfn.XLOOKUP(FACT_IMPORTS[[#This Row],[country_name]],DIM_COUNTRY[[#All],[Column2]],DIM_COUNTRY[[#All],[Column3]],,,)</f>
        <v>Major_Non-USMCA_Non-China</v>
      </c>
    </row>
    <row r="11798" spans="1:9" x14ac:dyDescent="0.4">
      <c r="A11798" t="s">
        <v>73</v>
      </c>
      <c r="B11798" s="1">
        <v>45474</v>
      </c>
      <c r="C11798">
        <v>851220</v>
      </c>
      <c r="D11798" t="s">
        <v>176</v>
      </c>
      <c r="E11798">
        <v>11745461</v>
      </c>
      <c r="F11798">
        <v>1093229</v>
      </c>
      <c r="G11798">
        <v>199153</v>
      </c>
      <c r="H11798">
        <f>_xlfn.XLOOKUP(FACT_IMPORTS[[#This Row],[hts_6]],DIM_PRODUCTS[hts_6],DIM_PRODUCTS[hts_4],,,)</f>
        <v>8512</v>
      </c>
      <c r="I11798" t="str" cm="1">
        <f t="array" ref="I11798">_xlfn.XLOOKUP(FACT_IMPORTS[[#This Row],[country_name]],DIM_COUNTRY[[#All],[Column2]],DIM_COUNTRY[[#All],[Column3]],,,)</f>
        <v>Major_Non-USMCA_Non-China</v>
      </c>
    </row>
    <row r="11799" spans="1:9" x14ac:dyDescent="0.4">
      <c r="A11799" t="s">
        <v>73</v>
      </c>
      <c r="B11799" s="1">
        <v>45474</v>
      </c>
      <c r="C11799">
        <v>851240</v>
      </c>
      <c r="D11799" t="s">
        <v>176</v>
      </c>
      <c r="E11799">
        <v>271869</v>
      </c>
      <c r="F11799">
        <v>12364</v>
      </c>
      <c r="G11799">
        <v>4338</v>
      </c>
      <c r="H11799">
        <f>_xlfn.XLOOKUP(FACT_IMPORTS[[#This Row],[hts_6]],DIM_PRODUCTS[hts_6],DIM_PRODUCTS[hts_4],,,)</f>
        <v>8512</v>
      </c>
      <c r="I11799" t="str" cm="1">
        <f t="array" ref="I11799">_xlfn.XLOOKUP(FACT_IMPORTS[[#This Row],[country_name]],DIM_COUNTRY[[#All],[Column2]],DIM_COUNTRY[[#All],[Column3]],,,)</f>
        <v>Major_Non-USMCA_Non-China</v>
      </c>
    </row>
    <row r="11800" spans="1:9" x14ac:dyDescent="0.4">
      <c r="A11800" t="s">
        <v>73</v>
      </c>
      <c r="B11800" s="1">
        <v>45474</v>
      </c>
      <c r="C11800">
        <v>851290</v>
      </c>
      <c r="D11800" t="s">
        <v>176</v>
      </c>
      <c r="E11800">
        <v>858036</v>
      </c>
      <c r="F11800">
        <v>60610</v>
      </c>
      <c r="G11800">
        <v>41438</v>
      </c>
      <c r="H11800">
        <f>_xlfn.XLOOKUP(FACT_IMPORTS[[#This Row],[hts_6]],DIM_PRODUCTS[hts_6],DIM_PRODUCTS[hts_4],,,)</f>
        <v>8512</v>
      </c>
      <c r="I11800" t="str" cm="1">
        <f t="array" ref="I11800">_xlfn.XLOOKUP(FACT_IMPORTS[[#This Row],[country_name]],DIM_COUNTRY[[#All],[Column2]],DIM_COUNTRY[[#All],[Column3]],,,)</f>
        <v>Major_Non-USMCA_Non-China</v>
      </c>
    </row>
    <row r="11801" spans="1:9" x14ac:dyDescent="0.4">
      <c r="A11801" t="s">
        <v>73</v>
      </c>
      <c r="B11801" s="1">
        <v>45474</v>
      </c>
      <c r="C11801">
        <v>854231</v>
      </c>
      <c r="D11801" t="s">
        <v>176</v>
      </c>
      <c r="E11801">
        <v>2952</v>
      </c>
      <c r="F11801">
        <v>1</v>
      </c>
      <c r="G11801">
        <v>105</v>
      </c>
      <c r="H11801">
        <f>_xlfn.XLOOKUP(FACT_IMPORTS[[#This Row],[hts_6]],DIM_PRODUCTS[hts_6],DIM_PRODUCTS[hts_4],,,)</f>
        <v>8542</v>
      </c>
      <c r="I11801" t="str" cm="1">
        <f t="array" ref="I11801">_xlfn.XLOOKUP(FACT_IMPORTS[[#This Row],[country_name]],DIM_COUNTRY[[#All],[Column2]],DIM_COUNTRY[[#All],[Column3]],,,)</f>
        <v>Major_Non-USMCA_Non-China</v>
      </c>
    </row>
    <row r="11802" spans="1:9" x14ac:dyDescent="0.4">
      <c r="A11802" t="s">
        <v>73</v>
      </c>
      <c r="B11802" s="1">
        <v>45474</v>
      </c>
      <c r="C11802">
        <v>854232</v>
      </c>
      <c r="D11802" t="s">
        <v>176</v>
      </c>
      <c r="E11802">
        <v>0</v>
      </c>
      <c r="F11802">
        <v>0</v>
      </c>
      <c r="G11802">
        <v>0</v>
      </c>
      <c r="H11802">
        <f>_xlfn.XLOOKUP(FACT_IMPORTS[[#This Row],[hts_6]],DIM_PRODUCTS[hts_6],DIM_PRODUCTS[hts_4],,,)</f>
        <v>8542</v>
      </c>
      <c r="I11802" t="str" cm="1">
        <f t="array" ref="I11802">_xlfn.XLOOKUP(FACT_IMPORTS[[#This Row],[country_name]],DIM_COUNTRY[[#All],[Column2]],DIM_COUNTRY[[#All],[Column3]],,,)</f>
        <v>Major_Non-USMCA_Non-China</v>
      </c>
    </row>
    <row r="11803" spans="1:9" x14ac:dyDescent="0.4">
      <c r="A11803" t="s">
        <v>73</v>
      </c>
      <c r="B11803" s="1">
        <v>45474</v>
      </c>
      <c r="C11803">
        <v>854239</v>
      </c>
      <c r="D11803" t="s">
        <v>176</v>
      </c>
      <c r="E11803">
        <v>32066</v>
      </c>
      <c r="F11803">
        <v>4506</v>
      </c>
      <c r="G11803">
        <v>845</v>
      </c>
      <c r="H11803">
        <f>_xlfn.XLOOKUP(FACT_IMPORTS[[#This Row],[hts_6]],DIM_PRODUCTS[hts_6],DIM_PRODUCTS[hts_4],,,)</f>
        <v>8542</v>
      </c>
      <c r="I11803" t="str" cm="1">
        <f t="array" ref="I11803">_xlfn.XLOOKUP(FACT_IMPORTS[[#This Row],[country_name]],DIM_COUNTRY[[#All],[Column2]],DIM_COUNTRY[[#All],[Column3]],,,)</f>
        <v>Major_Non-USMCA_Non-China</v>
      </c>
    </row>
    <row r="11804" spans="1:9" x14ac:dyDescent="0.4">
      <c r="A11804" t="s">
        <v>73</v>
      </c>
      <c r="B11804" s="1">
        <v>45474</v>
      </c>
      <c r="C11804">
        <v>854430</v>
      </c>
      <c r="D11804" t="s">
        <v>176</v>
      </c>
      <c r="E11804">
        <v>37691</v>
      </c>
      <c r="F11804">
        <v>814</v>
      </c>
      <c r="G11804">
        <v>404</v>
      </c>
      <c r="H11804">
        <f>_xlfn.XLOOKUP(FACT_IMPORTS[[#This Row],[hts_6]],DIM_PRODUCTS[hts_6],DIM_PRODUCTS[hts_4],,,)</f>
        <v>8544</v>
      </c>
      <c r="I11804" t="str" cm="1">
        <f t="array" ref="I11804">_xlfn.XLOOKUP(FACT_IMPORTS[[#This Row],[country_name]],DIM_COUNTRY[[#All],[Column2]],DIM_COUNTRY[[#All],[Column3]],,,)</f>
        <v>Major_Non-USMCA_Non-China</v>
      </c>
    </row>
    <row r="11805" spans="1:9" x14ac:dyDescent="0.4">
      <c r="A11805" t="s">
        <v>73</v>
      </c>
      <c r="B11805" s="1">
        <v>45474</v>
      </c>
      <c r="C11805">
        <v>870810</v>
      </c>
      <c r="D11805" t="s">
        <v>176</v>
      </c>
      <c r="E11805">
        <v>2290469</v>
      </c>
      <c r="F11805">
        <v>35233</v>
      </c>
      <c r="G11805">
        <v>9164</v>
      </c>
      <c r="H11805">
        <f>_xlfn.XLOOKUP(FACT_IMPORTS[[#This Row],[hts_6]],DIM_PRODUCTS[hts_6],DIM_PRODUCTS[hts_4],,,)</f>
        <v>8708</v>
      </c>
      <c r="I11805" t="str" cm="1">
        <f t="array" ref="I11805">_xlfn.XLOOKUP(FACT_IMPORTS[[#This Row],[country_name]],DIM_COUNTRY[[#All],[Column2]],DIM_COUNTRY[[#All],[Column3]],,,)</f>
        <v>Major_Non-USMCA_Non-China</v>
      </c>
    </row>
    <row r="11806" spans="1:9" x14ac:dyDescent="0.4">
      <c r="A11806" t="s">
        <v>73</v>
      </c>
      <c r="B11806" s="1">
        <v>45474</v>
      </c>
      <c r="C11806">
        <v>870822</v>
      </c>
      <c r="D11806" t="s">
        <v>176</v>
      </c>
      <c r="E11806">
        <v>145394</v>
      </c>
      <c r="F11806">
        <v>693</v>
      </c>
      <c r="G11806">
        <v>168</v>
      </c>
      <c r="H11806">
        <f>_xlfn.XLOOKUP(FACT_IMPORTS[[#This Row],[hts_6]],DIM_PRODUCTS[hts_6],DIM_PRODUCTS[hts_4],,,)</f>
        <v>8708</v>
      </c>
      <c r="I11806" t="str" cm="1">
        <f t="array" ref="I11806">_xlfn.XLOOKUP(FACT_IMPORTS[[#This Row],[country_name]],DIM_COUNTRY[[#All],[Column2]],DIM_COUNTRY[[#All],[Column3]],,,)</f>
        <v>Major_Non-USMCA_Non-China</v>
      </c>
    </row>
    <row r="11807" spans="1:9" x14ac:dyDescent="0.4">
      <c r="A11807" t="s">
        <v>73</v>
      </c>
      <c r="B11807" s="1">
        <v>45474</v>
      </c>
      <c r="C11807">
        <v>870829</v>
      </c>
      <c r="D11807" t="s">
        <v>176</v>
      </c>
      <c r="E11807">
        <v>7903855</v>
      </c>
      <c r="F11807">
        <v>5091753</v>
      </c>
      <c r="G11807">
        <v>282953</v>
      </c>
      <c r="H11807">
        <f>_xlfn.XLOOKUP(FACT_IMPORTS[[#This Row],[hts_6]],DIM_PRODUCTS[hts_6],DIM_PRODUCTS[hts_4],,,)</f>
        <v>8708</v>
      </c>
      <c r="I11807" t="str" cm="1">
        <f t="array" ref="I11807">_xlfn.XLOOKUP(FACT_IMPORTS[[#This Row],[country_name]],DIM_COUNTRY[[#All],[Column2]],DIM_COUNTRY[[#All],[Column3]],,,)</f>
        <v>Major_Non-USMCA_Non-China</v>
      </c>
    </row>
    <row r="11808" spans="1:9" x14ac:dyDescent="0.4">
      <c r="A11808" t="s">
        <v>73</v>
      </c>
      <c r="B11808" s="1">
        <v>45474</v>
      </c>
      <c r="C11808">
        <v>870830</v>
      </c>
      <c r="D11808" t="s">
        <v>176</v>
      </c>
      <c r="E11808">
        <v>647464</v>
      </c>
      <c r="F11808">
        <v>378167</v>
      </c>
      <c r="G11808">
        <v>14782</v>
      </c>
      <c r="H11808">
        <f>_xlfn.XLOOKUP(FACT_IMPORTS[[#This Row],[hts_6]],DIM_PRODUCTS[hts_6],DIM_PRODUCTS[hts_4],,,)</f>
        <v>8708</v>
      </c>
      <c r="I11808" t="str" cm="1">
        <f t="array" ref="I11808">_xlfn.XLOOKUP(FACT_IMPORTS[[#This Row],[country_name]],DIM_COUNTRY[[#All],[Column2]],DIM_COUNTRY[[#All],[Column3]],,,)</f>
        <v>Major_Non-USMCA_Non-China</v>
      </c>
    </row>
    <row r="11809" spans="1:9" x14ac:dyDescent="0.4">
      <c r="A11809" t="s">
        <v>73</v>
      </c>
      <c r="B11809" s="1">
        <v>45474</v>
      </c>
      <c r="C11809">
        <v>870840</v>
      </c>
      <c r="D11809" t="s">
        <v>176</v>
      </c>
      <c r="E11809">
        <v>1904064</v>
      </c>
      <c r="F11809">
        <v>174265</v>
      </c>
      <c r="G11809">
        <v>28352</v>
      </c>
      <c r="H11809">
        <f>_xlfn.XLOOKUP(FACT_IMPORTS[[#This Row],[hts_6]],DIM_PRODUCTS[hts_6],DIM_PRODUCTS[hts_4],,,)</f>
        <v>8708</v>
      </c>
      <c r="I11809" t="str" cm="1">
        <f t="array" ref="I11809">_xlfn.XLOOKUP(FACT_IMPORTS[[#This Row],[country_name]],DIM_COUNTRY[[#All],[Column2]],DIM_COUNTRY[[#All],[Column3]],,,)</f>
        <v>Major_Non-USMCA_Non-China</v>
      </c>
    </row>
    <row r="11810" spans="1:9" x14ac:dyDescent="0.4">
      <c r="A11810" t="s">
        <v>73</v>
      </c>
      <c r="B11810" s="1">
        <v>45474</v>
      </c>
      <c r="C11810">
        <v>870850</v>
      </c>
      <c r="D11810" t="s">
        <v>176</v>
      </c>
      <c r="E11810">
        <v>15255680</v>
      </c>
      <c r="F11810">
        <v>1230041</v>
      </c>
      <c r="G11810">
        <v>428180</v>
      </c>
      <c r="H11810">
        <f>_xlfn.XLOOKUP(FACT_IMPORTS[[#This Row],[hts_6]],DIM_PRODUCTS[hts_6],DIM_PRODUCTS[hts_4],,,)</f>
        <v>8708</v>
      </c>
      <c r="I11810" t="str" cm="1">
        <f t="array" ref="I11810">_xlfn.XLOOKUP(FACT_IMPORTS[[#This Row],[country_name]],DIM_COUNTRY[[#All],[Column2]],DIM_COUNTRY[[#All],[Column3]],,,)</f>
        <v>Major_Non-USMCA_Non-China</v>
      </c>
    </row>
    <row r="11811" spans="1:9" x14ac:dyDescent="0.4">
      <c r="A11811" t="s">
        <v>73</v>
      </c>
      <c r="B11811" s="1">
        <v>45474</v>
      </c>
      <c r="C11811">
        <v>870870</v>
      </c>
      <c r="D11811" t="s">
        <v>176</v>
      </c>
      <c r="E11811">
        <v>847523</v>
      </c>
      <c r="F11811">
        <v>9545</v>
      </c>
      <c r="G11811">
        <v>10437</v>
      </c>
      <c r="H11811">
        <f>_xlfn.XLOOKUP(FACT_IMPORTS[[#This Row],[hts_6]],DIM_PRODUCTS[hts_6],DIM_PRODUCTS[hts_4],,,)</f>
        <v>8708</v>
      </c>
      <c r="I11811" t="str" cm="1">
        <f t="array" ref="I11811">_xlfn.XLOOKUP(FACT_IMPORTS[[#This Row],[country_name]],DIM_COUNTRY[[#All],[Column2]],DIM_COUNTRY[[#All],[Column3]],,,)</f>
        <v>Major_Non-USMCA_Non-China</v>
      </c>
    </row>
    <row r="11812" spans="1:9" x14ac:dyDescent="0.4">
      <c r="A11812" t="s">
        <v>73</v>
      </c>
      <c r="B11812" s="1">
        <v>45474</v>
      </c>
      <c r="C11812">
        <v>870880</v>
      </c>
      <c r="D11812" t="s">
        <v>176</v>
      </c>
      <c r="E11812">
        <v>5165511</v>
      </c>
      <c r="F11812">
        <v>1324520</v>
      </c>
      <c r="G11812">
        <v>190336</v>
      </c>
      <c r="H11812">
        <f>_xlfn.XLOOKUP(FACT_IMPORTS[[#This Row],[hts_6]],DIM_PRODUCTS[hts_6],DIM_PRODUCTS[hts_4],,,)</f>
        <v>8708</v>
      </c>
      <c r="I11812" t="str" cm="1">
        <f t="array" ref="I11812">_xlfn.XLOOKUP(FACT_IMPORTS[[#This Row],[country_name]],DIM_COUNTRY[[#All],[Column2]],DIM_COUNTRY[[#All],[Column3]],,,)</f>
        <v>Major_Non-USMCA_Non-China</v>
      </c>
    </row>
    <row r="11813" spans="1:9" x14ac:dyDescent="0.4">
      <c r="A11813" t="s">
        <v>73</v>
      </c>
      <c r="B11813" s="1">
        <v>45474</v>
      </c>
      <c r="C11813">
        <v>870891</v>
      </c>
      <c r="D11813" t="s">
        <v>176</v>
      </c>
      <c r="E11813">
        <v>267643</v>
      </c>
      <c r="F11813">
        <v>1221</v>
      </c>
      <c r="G11813">
        <v>593</v>
      </c>
      <c r="H11813">
        <f>_xlfn.XLOOKUP(FACT_IMPORTS[[#This Row],[hts_6]],DIM_PRODUCTS[hts_6],DIM_PRODUCTS[hts_4],,,)</f>
        <v>8708</v>
      </c>
      <c r="I11813" t="str" cm="1">
        <f t="array" ref="I11813">_xlfn.XLOOKUP(FACT_IMPORTS[[#This Row],[country_name]],DIM_COUNTRY[[#All],[Column2]],DIM_COUNTRY[[#All],[Column3]],,,)</f>
        <v>Major_Non-USMCA_Non-China</v>
      </c>
    </row>
    <row r="11814" spans="1:9" x14ac:dyDescent="0.4">
      <c r="A11814" t="s">
        <v>73</v>
      </c>
      <c r="B11814" s="1">
        <v>45474</v>
      </c>
      <c r="C11814">
        <v>870892</v>
      </c>
      <c r="D11814" t="s">
        <v>176</v>
      </c>
      <c r="E11814">
        <v>363941</v>
      </c>
      <c r="F11814">
        <v>4200</v>
      </c>
      <c r="G11814">
        <v>644</v>
      </c>
      <c r="H11814">
        <f>_xlfn.XLOOKUP(FACT_IMPORTS[[#This Row],[hts_6]],DIM_PRODUCTS[hts_6],DIM_PRODUCTS[hts_4],,,)</f>
        <v>8708</v>
      </c>
      <c r="I11814" t="str" cm="1">
        <f t="array" ref="I11814">_xlfn.XLOOKUP(FACT_IMPORTS[[#This Row],[country_name]],DIM_COUNTRY[[#All],[Column2]],DIM_COUNTRY[[#All],[Column3]],,,)</f>
        <v>Major_Non-USMCA_Non-China</v>
      </c>
    </row>
    <row r="11815" spans="1:9" x14ac:dyDescent="0.4">
      <c r="A11815" t="s">
        <v>73</v>
      </c>
      <c r="B11815" s="1">
        <v>45474</v>
      </c>
      <c r="C11815">
        <v>870893</v>
      </c>
      <c r="D11815" t="s">
        <v>176</v>
      </c>
      <c r="E11815">
        <v>1261666</v>
      </c>
      <c r="F11815">
        <v>90383</v>
      </c>
      <c r="G11815">
        <v>17688</v>
      </c>
      <c r="H11815">
        <f>_xlfn.XLOOKUP(FACT_IMPORTS[[#This Row],[hts_6]],DIM_PRODUCTS[hts_6],DIM_PRODUCTS[hts_4],,,)</f>
        <v>8708</v>
      </c>
      <c r="I11815" t="str" cm="1">
        <f t="array" ref="I11815">_xlfn.XLOOKUP(FACT_IMPORTS[[#This Row],[country_name]],DIM_COUNTRY[[#All],[Column2]],DIM_COUNTRY[[#All],[Column3]],,,)</f>
        <v>Major_Non-USMCA_Non-China</v>
      </c>
    </row>
    <row r="11816" spans="1:9" x14ac:dyDescent="0.4">
      <c r="A11816" t="s">
        <v>73</v>
      </c>
      <c r="B11816" s="1">
        <v>45474</v>
      </c>
      <c r="C11816">
        <v>870894</v>
      </c>
      <c r="D11816" t="s">
        <v>176</v>
      </c>
      <c r="E11816">
        <v>2508428</v>
      </c>
      <c r="F11816">
        <v>237535</v>
      </c>
      <c r="G11816">
        <v>49166</v>
      </c>
      <c r="H11816">
        <f>_xlfn.XLOOKUP(FACT_IMPORTS[[#This Row],[hts_6]],DIM_PRODUCTS[hts_6],DIM_PRODUCTS[hts_4],,,)</f>
        <v>8708</v>
      </c>
      <c r="I11816" t="str" cm="1">
        <f t="array" ref="I11816">_xlfn.XLOOKUP(FACT_IMPORTS[[#This Row],[country_name]],DIM_COUNTRY[[#All],[Column2]],DIM_COUNTRY[[#All],[Column3]],,,)</f>
        <v>Major_Non-USMCA_Non-China</v>
      </c>
    </row>
    <row r="11817" spans="1:9" x14ac:dyDescent="0.4">
      <c r="A11817" t="s">
        <v>73</v>
      </c>
      <c r="B11817" s="1">
        <v>45474</v>
      </c>
      <c r="C11817">
        <v>870895</v>
      </c>
      <c r="D11817" t="s">
        <v>176</v>
      </c>
      <c r="E11817">
        <v>0</v>
      </c>
      <c r="F11817">
        <v>0</v>
      </c>
      <c r="G11817">
        <v>0</v>
      </c>
      <c r="H11817">
        <f>_xlfn.XLOOKUP(FACT_IMPORTS[[#This Row],[hts_6]],DIM_PRODUCTS[hts_6],DIM_PRODUCTS[hts_4],,,)</f>
        <v>8708</v>
      </c>
      <c r="I11817" t="str" cm="1">
        <f t="array" ref="I11817">_xlfn.XLOOKUP(FACT_IMPORTS[[#This Row],[country_name]],DIM_COUNTRY[[#All],[Column2]],DIM_COUNTRY[[#All],[Column3]],,,)</f>
        <v>Major_Non-USMCA_Non-China</v>
      </c>
    </row>
    <row r="11818" spans="1:9" x14ac:dyDescent="0.4">
      <c r="A11818" t="s">
        <v>73</v>
      </c>
      <c r="B11818" s="1">
        <v>45474</v>
      </c>
      <c r="C11818">
        <v>870899</v>
      </c>
      <c r="D11818" t="s">
        <v>176</v>
      </c>
      <c r="E11818">
        <v>24957528</v>
      </c>
      <c r="F11818">
        <v>4473190</v>
      </c>
      <c r="G11818">
        <v>677726</v>
      </c>
      <c r="H11818">
        <f>_xlfn.XLOOKUP(FACT_IMPORTS[[#This Row],[hts_6]],DIM_PRODUCTS[hts_6],DIM_PRODUCTS[hts_4],,,)</f>
        <v>8708</v>
      </c>
      <c r="I11818" t="str" cm="1">
        <f t="array" ref="I11818">_xlfn.XLOOKUP(FACT_IMPORTS[[#This Row],[country_name]],DIM_COUNTRY[[#All],[Column2]],DIM_COUNTRY[[#All],[Column3]],,,)</f>
        <v>Major_Non-USMCA_Non-China</v>
      </c>
    </row>
    <row r="11819" spans="1:9" x14ac:dyDescent="0.4">
      <c r="A11819" t="s">
        <v>73</v>
      </c>
      <c r="B11819" s="1">
        <v>45474</v>
      </c>
      <c r="C11819">
        <v>940120</v>
      </c>
      <c r="D11819" t="s">
        <v>176</v>
      </c>
      <c r="E11819">
        <v>390</v>
      </c>
      <c r="F11819">
        <v>2</v>
      </c>
      <c r="G11819">
        <v>388</v>
      </c>
      <c r="H11819">
        <f>_xlfn.XLOOKUP(FACT_IMPORTS[[#This Row],[hts_6]],DIM_PRODUCTS[hts_6],DIM_PRODUCTS[hts_4],,,)</f>
        <v>9401</v>
      </c>
      <c r="I11819" t="str" cm="1">
        <f t="array" ref="I11819">_xlfn.XLOOKUP(FACT_IMPORTS[[#This Row],[country_name]],DIM_COUNTRY[[#All],[Column2]],DIM_COUNTRY[[#All],[Column3]],,,)</f>
        <v>Major_Non-USMCA_Non-China</v>
      </c>
    </row>
    <row r="11820" spans="1:9" x14ac:dyDescent="0.4">
      <c r="A11820" t="s">
        <v>73</v>
      </c>
      <c r="B11820" s="1">
        <v>45505</v>
      </c>
      <c r="C11820">
        <v>392630</v>
      </c>
      <c r="D11820" t="s">
        <v>176</v>
      </c>
      <c r="E11820">
        <v>244060</v>
      </c>
      <c r="F11820">
        <v>11973</v>
      </c>
      <c r="G11820">
        <v>17971</v>
      </c>
      <c r="H11820">
        <f>_xlfn.XLOOKUP(FACT_IMPORTS[[#This Row],[hts_6]],DIM_PRODUCTS[hts_6],DIM_PRODUCTS[hts_4],,,)</f>
        <v>3926</v>
      </c>
      <c r="I11820" t="str" cm="1">
        <f t="array" ref="I11820">_xlfn.XLOOKUP(FACT_IMPORTS[[#This Row],[country_name]],DIM_COUNTRY[[#All],[Column2]],DIM_COUNTRY[[#All],[Column3]],,,)</f>
        <v>Major_Non-USMCA_Non-China</v>
      </c>
    </row>
    <row r="11821" spans="1:9" x14ac:dyDescent="0.4">
      <c r="A11821" t="s">
        <v>73</v>
      </c>
      <c r="B11821" s="1">
        <v>45505</v>
      </c>
      <c r="C11821">
        <v>401110</v>
      </c>
      <c r="D11821" t="s">
        <v>176</v>
      </c>
      <c r="E11821">
        <v>2936448</v>
      </c>
      <c r="F11821">
        <v>46822</v>
      </c>
      <c r="G11821">
        <v>586251</v>
      </c>
      <c r="H11821">
        <f>_xlfn.XLOOKUP(FACT_IMPORTS[[#This Row],[hts_6]],DIM_PRODUCTS[hts_6],DIM_PRODUCTS[hts_4],,,)</f>
        <v>4011</v>
      </c>
      <c r="I11821" t="str" cm="1">
        <f t="array" ref="I11821">_xlfn.XLOOKUP(FACT_IMPORTS[[#This Row],[country_name]],DIM_COUNTRY[[#All],[Column2]],DIM_COUNTRY[[#All],[Column3]],,,)</f>
        <v>Major_Non-USMCA_Non-China</v>
      </c>
    </row>
    <row r="11822" spans="1:9" x14ac:dyDescent="0.4">
      <c r="A11822" t="s">
        <v>73</v>
      </c>
      <c r="B11822" s="1">
        <v>45505</v>
      </c>
      <c r="C11822">
        <v>401120</v>
      </c>
      <c r="D11822" t="s">
        <v>176</v>
      </c>
      <c r="E11822">
        <v>34306</v>
      </c>
      <c r="F11822">
        <v>454</v>
      </c>
      <c r="G11822">
        <v>5718</v>
      </c>
      <c r="H11822">
        <f>_xlfn.XLOOKUP(FACT_IMPORTS[[#This Row],[hts_6]],DIM_PRODUCTS[hts_6],DIM_PRODUCTS[hts_4],,,)</f>
        <v>4011</v>
      </c>
      <c r="I11822" t="str" cm="1">
        <f t="array" ref="I11822">_xlfn.XLOOKUP(FACT_IMPORTS[[#This Row],[country_name]],DIM_COUNTRY[[#All],[Column2]],DIM_COUNTRY[[#All],[Column3]],,,)</f>
        <v>Major_Non-USMCA_Non-China</v>
      </c>
    </row>
    <row r="11823" spans="1:9" x14ac:dyDescent="0.4">
      <c r="A11823" t="s">
        <v>73</v>
      </c>
      <c r="B11823" s="1">
        <v>45505</v>
      </c>
      <c r="C11823">
        <v>401190</v>
      </c>
      <c r="D11823" t="s">
        <v>176</v>
      </c>
      <c r="E11823">
        <v>0</v>
      </c>
      <c r="F11823">
        <v>0</v>
      </c>
      <c r="G11823">
        <v>0</v>
      </c>
      <c r="H11823">
        <f>_xlfn.XLOOKUP(FACT_IMPORTS[[#This Row],[hts_6]],DIM_PRODUCTS[hts_6],DIM_PRODUCTS[hts_4],,,)</f>
        <v>4011</v>
      </c>
      <c r="I11823" t="str" cm="1">
        <f t="array" ref="I11823">_xlfn.XLOOKUP(FACT_IMPORTS[[#This Row],[country_name]],DIM_COUNTRY[[#All],[Column2]],DIM_COUNTRY[[#All],[Column3]],,,)</f>
        <v>Major_Non-USMCA_Non-China</v>
      </c>
    </row>
    <row r="11824" spans="1:9" x14ac:dyDescent="0.4">
      <c r="A11824" t="s">
        <v>73</v>
      </c>
      <c r="B11824" s="1">
        <v>45505</v>
      </c>
      <c r="C11824">
        <v>700711</v>
      </c>
      <c r="D11824" t="s">
        <v>176</v>
      </c>
      <c r="E11824">
        <v>8939</v>
      </c>
      <c r="F11824">
        <v>24</v>
      </c>
      <c r="G11824">
        <v>64</v>
      </c>
      <c r="H11824">
        <f>_xlfn.XLOOKUP(FACT_IMPORTS[[#This Row],[hts_6]],DIM_PRODUCTS[hts_6],DIM_PRODUCTS[hts_4],,,)</f>
        <v>7007</v>
      </c>
      <c r="I11824" t="str" cm="1">
        <f t="array" ref="I11824">_xlfn.XLOOKUP(FACT_IMPORTS[[#This Row],[country_name]],DIM_COUNTRY[[#All],[Column2]],DIM_COUNTRY[[#All],[Column3]],,,)</f>
        <v>Major_Non-USMCA_Non-China</v>
      </c>
    </row>
    <row r="11825" spans="1:9" x14ac:dyDescent="0.4">
      <c r="A11825" t="s">
        <v>73</v>
      </c>
      <c r="B11825" s="1">
        <v>45505</v>
      </c>
      <c r="C11825">
        <v>700910</v>
      </c>
      <c r="D11825" t="s">
        <v>176</v>
      </c>
      <c r="E11825">
        <v>264014</v>
      </c>
      <c r="F11825">
        <v>3853</v>
      </c>
      <c r="G11825">
        <v>10351</v>
      </c>
      <c r="H11825">
        <f>_xlfn.XLOOKUP(FACT_IMPORTS[[#This Row],[hts_6]],DIM_PRODUCTS[hts_6],DIM_PRODUCTS[hts_4],,,)</f>
        <v>7009</v>
      </c>
      <c r="I11825" t="str" cm="1">
        <f t="array" ref="I11825">_xlfn.XLOOKUP(FACT_IMPORTS[[#This Row],[country_name]],DIM_COUNTRY[[#All],[Column2]],DIM_COUNTRY[[#All],[Column3]],,,)</f>
        <v>Major_Non-USMCA_Non-China</v>
      </c>
    </row>
    <row r="11826" spans="1:9" x14ac:dyDescent="0.4">
      <c r="A11826" t="s">
        <v>73</v>
      </c>
      <c r="B11826" s="1">
        <v>45505</v>
      </c>
      <c r="C11826">
        <v>830230</v>
      </c>
      <c r="D11826" t="s">
        <v>176</v>
      </c>
      <c r="E11826">
        <v>1900938</v>
      </c>
      <c r="F11826">
        <v>335388</v>
      </c>
      <c r="G11826">
        <v>41020</v>
      </c>
      <c r="H11826">
        <f>_xlfn.XLOOKUP(FACT_IMPORTS[[#This Row],[hts_6]],DIM_PRODUCTS[hts_6],DIM_PRODUCTS[hts_4],,,)</f>
        <v>8302</v>
      </c>
      <c r="I11826" t="str" cm="1">
        <f t="array" ref="I11826">_xlfn.XLOOKUP(FACT_IMPORTS[[#This Row],[country_name]],DIM_COUNTRY[[#All],[Column2]],DIM_COUNTRY[[#All],[Column3]],,,)</f>
        <v>Major_Non-USMCA_Non-China</v>
      </c>
    </row>
    <row r="11827" spans="1:9" x14ac:dyDescent="0.4">
      <c r="A11827" t="s">
        <v>73</v>
      </c>
      <c r="B11827" s="1">
        <v>45505</v>
      </c>
      <c r="C11827">
        <v>840734</v>
      </c>
      <c r="D11827" t="s">
        <v>176</v>
      </c>
      <c r="E11827">
        <v>47636</v>
      </c>
      <c r="F11827">
        <v>13</v>
      </c>
      <c r="G11827">
        <v>56</v>
      </c>
      <c r="H11827">
        <f>_xlfn.XLOOKUP(FACT_IMPORTS[[#This Row],[hts_6]],DIM_PRODUCTS[hts_6],DIM_PRODUCTS[hts_4],,,)</f>
        <v>8407</v>
      </c>
      <c r="I11827" t="str" cm="1">
        <f t="array" ref="I11827">_xlfn.XLOOKUP(FACT_IMPORTS[[#This Row],[country_name]],DIM_COUNTRY[[#All],[Column2]],DIM_COUNTRY[[#All],[Column3]],,,)</f>
        <v>Major_Non-USMCA_Non-China</v>
      </c>
    </row>
    <row r="11828" spans="1:9" x14ac:dyDescent="0.4">
      <c r="A11828" t="s">
        <v>73</v>
      </c>
      <c r="B11828" s="1">
        <v>45505</v>
      </c>
      <c r="C11828">
        <v>840820</v>
      </c>
      <c r="D11828" t="s">
        <v>176</v>
      </c>
      <c r="E11828">
        <v>19710</v>
      </c>
      <c r="F11828">
        <v>2</v>
      </c>
      <c r="G11828">
        <v>1200</v>
      </c>
      <c r="H11828">
        <f>_xlfn.XLOOKUP(FACT_IMPORTS[[#This Row],[hts_6]],DIM_PRODUCTS[hts_6],DIM_PRODUCTS[hts_4],,,)</f>
        <v>8408</v>
      </c>
      <c r="I11828" t="str" cm="1">
        <f t="array" ref="I11828">_xlfn.XLOOKUP(FACT_IMPORTS[[#This Row],[country_name]],DIM_COUNTRY[[#All],[Column2]],DIM_COUNTRY[[#All],[Column3]],,,)</f>
        <v>Major_Non-USMCA_Non-China</v>
      </c>
    </row>
    <row r="11829" spans="1:9" x14ac:dyDescent="0.4">
      <c r="A11829" t="s">
        <v>73</v>
      </c>
      <c r="B11829" s="1">
        <v>45505</v>
      </c>
      <c r="C11829">
        <v>840890</v>
      </c>
      <c r="D11829" t="s">
        <v>176</v>
      </c>
      <c r="E11829">
        <v>0</v>
      </c>
      <c r="F11829">
        <v>0</v>
      </c>
      <c r="G11829">
        <v>0</v>
      </c>
      <c r="H11829">
        <f>_xlfn.XLOOKUP(FACT_IMPORTS[[#This Row],[hts_6]],DIM_PRODUCTS[hts_6],DIM_PRODUCTS[hts_4],,,)</f>
        <v>8408</v>
      </c>
      <c r="I11829" t="str" cm="1">
        <f t="array" ref="I11829">_xlfn.XLOOKUP(FACT_IMPORTS[[#This Row],[country_name]],DIM_COUNTRY[[#All],[Column2]],DIM_COUNTRY[[#All],[Column3]],,,)</f>
        <v>Major_Non-USMCA_Non-China</v>
      </c>
    </row>
    <row r="11830" spans="1:9" x14ac:dyDescent="0.4">
      <c r="A11830" t="s">
        <v>73</v>
      </c>
      <c r="B11830" s="1">
        <v>45505</v>
      </c>
      <c r="C11830">
        <v>840991</v>
      </c>
      <c r="D11830" t="s">
        <v>176</v>
      </c>
      <c r="E11830">
        <v>4256482</v>
      </c>
      <c r="F11830">
        <v>212983</v>
      </c>
      <c r="G11830">
        <v>52377</v>
      </c>
      <c r="H11830">
        <f>_xlfn.XLOOKUP(FACT_IMPORTS[[#This Row],[hts_6]],DIM_PRODUCTS[hts_6],DIM_PRODUCTS[hts_4],,,)</f>
        <v>8409</v>
      </c>
      <c r="I11830" t="str" cm="1">
        <f t="array" ref="I11830">_xlfn.XLOOKUP(FACT_IMPORTS[[#This Row],[country_name]],DIM_COUNTRY[[#All],[Column2]],DIM_COUNTRY[[#All],[Column3]],,,)</f>
        <v>Major_Non-USMCA_Non-China</v>
      </c>
    </row>
    <row r="11831" spans="1:9" x14ac:dyDescent="0.4">
      <c r="A11831" t="s">
        <v>73</v>
      </c>
      <c r="B11831" s="1">
        <v>45505</v>
      </c>
      <c r="C11831">
        <v>840999</v>
      </c>
      <c r="D11831" t="s">
        <v>176</v>
      </c>
      <c r="E11831">
        <v>213848</v>
      </c>
      <c r="F11831">
        <v>9185</v>
      </c>
      <c r="G11831">
        <v>3524</v>
      </c>
      <c r="H11831">
        <f>_xlfn.XLOOKUP(FACT_IMPORTS[[#This Row],[hts_6]],DIM_PRODUCTS[hts_6],DIM_PRODUCTS[hts_4],,,)</f>
        <v>8409</v>
      </c>
      <c r="I11831" t="str" cm="1">
        <f t="array" ref="I11831">_xlfn.XLOOKUP(FACT_IMPORTS[[#This Row],[country_name]],DIM_COUNTRY[[#All],[Column2]],DIM_COUNTRY[[#All],[Column3]],,,)</f>
        <v>Major_Non-USMCA_Non-China</v>
      </c>
    </row>
    <row r="11832" spans="1:9" x14ac:dyDescent="0.4">
      <c r="A11832" t="s">
        <v>73</v>
      </c>
      <c r="B11832" s="1">
        <v>45505</v>
      </c>
      <c r="C11832">
        <v>841330</v>
      </c>
      <c r="D11832" t="s">
        <v>176</v>
      </c>
      <c r="E11832">
        <v>2685447</v>
      </c>
      <c r="F11832">
        <v>84215</v>
      </c>
      <c r="G11832">
        <v>102324</v>
      </c>
      <c r="H11832">
        <f>_xlfn.XLOOKUP(FACT_IMPORTS[[#This Row],[hts_6]],DIM_PRODUCTS[hts_6],DIM_PRODUCTS[hts_4],,,)</f>
        <v>8413</v>
      </c>
      <c r="I11832" t="str" cm="1">
        <f t="array" ref="I11832">_xlfn.XLOOKUP(FACT_IMPORTS[[#This Row],[country_name]],DIM_COUNTRY[[#All],[Column2]],DIM_COUNTRY[[#All],[Column3]],,,)</f>
        <v>Major_Non-USMCA_Non-China</v>
      </c>
    </row>
    <row r="11833" spans="1:9" x14ac:dyDescent="0.4">
      <c r="A11833" t="s">
        <v>73</v>
      </c>
      <c r="B11833" s="1">
        <v>45505</v>
      </c>
      <c r="C11833">
        <v>842132</v>
      </c>
      <c r="D11833" t="s">
        <v>176</v>
      </c>
      <c r="E11833">
        <v>130276</v>
      </c>
      <c r="F11833">
        <v>59</v>
      </c>
      <c r="G11833">
        <v>735</v>
      </c>
      <c r="H11833">
        <f>_xlfn.XLOOKUP(FACT_IMPORTS[[#This Row],[hts_6]],DIM_PRODUCTS[hts_6],DIM_PRODUCTS[hts_4],,,)</f>
        <v>8421</v>
      </c>
      <c r="I11833" t="str" cm="1">
        <f t="array" ref="I11833">_xlfn.XLOOKUP(FACT_IMPORTS[[#This Row],[country_name]],DIM_COUNTRY[[#All],[Column2]],DIM_COUNTRY[[#All],[Column3]],,,)</f>
        <v>Major_Non-USMCA_Non-China</v>
      </c>
    </row>
    <row r="11834" spans="1:9" x14ac:dyDescent="0.4">
      <c r="A11834" t="s">
        <v>73</v>
      </c>
      <c r="B11834" s="1">
        <v>45505</v>
      </c>
      <c r="C11834">
        <v>848210</v>
      </c>
      <c r="D11834" t="s">
        <v>176</v>
      </c>
      <c r="E11834">
        <v>220994</v>
      </c>
      <c r="F11834">
        <v>39190</v>
      </c>
      <c r="G11834">
        <v>646</v>
      </c>
      <c r="H11834">
        <f>_xlfn.XLOOKUP(FACT_IMPORTS[[#This Row],[hts_6]],DIM_PRODUCTS[hts_6],DIM_PRODUCTS[hts_4],,,)</f>
        <v>8482</v>
      </c>
      <c r="I11834" t="str" cm="1">
        <f t="array" ref="I11834">_xlfn.XLOOKUP(FACT_IMPORTS[[#This Row],[country_name]],DIM_COUNTRY[[#All],[Column2]],DIM_COUNTRY[[#All],[Column3]],,,)</f>
        <v>Major_Non-USMCA_Non-China</v>
      </c>
    </row>
    <row r="11835" spans="1:9" x14ac:dyDescent="0.4">
      <c r="A11835" t="s">
        <v>73</v>
      </c>
      <c r="B11835" s="1">
        <v>45505</v>
      </c>
      <c r="C11835">
        <v>848220</v>
      </c>
      <c r="D11835" t="s">
        <v>176</v>
      </c>
      <c r="E11835">
        <v>3648504</v>
      </c>
      <c r="F11835">
        <v>863017</v>
      </c>
      <c r="G11835">
        <v>1845</v>
      </c>
      <c r="H11835">
        <f>_xlfn.XLOOKUP(FACT_IMPORTS[[#This Row],[hts_6]],DIM_PRODUCTS[hts_6],DIM_PRODUCTS[hts_4],,,)</f>
        <v>8482</v>
      </c>
      <c r="I11835" t="str" cm="1">
        <f t="array" ref="I11835">_xlfn.XLOOKUP(FACT_IMPORTS[[#This Row],[country_name]],DIM_COUNTRY[[#All],[Column2]],DIM_COUNTRY[[#All],[Column3]],,,)</f>
        <v>Major_Non-USMCA_Non-China</v>
      </c>
    </row>
    <row r="11836" spans="1:9" x14ac:dyDescent="0.4">
      <c r="A11836" t="s">
        <v>73</v>
      </c>
      <c r="B11836" s="1">
        <v>45505</v>
      </c>
      <c r="C11836">
        <v>848310</v>
      </c>
      <c r="D11836" t="s">
        <v>176</v>
      </c>
      <c r="E11836">
        <v>279429</v>
      </c>
      <c r="F11836">
        <v>3072</v>
      </c>
      <c r="G11836">
        <v>3200</v>
      </c>
      <c r="H11836">
        <f>_xlfn.XLOOKUP(FACT_IMPORTS[[#This Row],[hts_6]],DIM_PRODUCTS[hts_6],DIM_PRODUCTS[hts_4],,,)</f>
        <v>8483</v>
      </c>
      <c r="I11836" t="str" cm="1">
        <f t="array" ref="I11836">_xlfn.XLOOKUP(FACT_IMPORTS[[#This Row],[country_name]],DIM_COUNTRY[[#All],[Column2]],DIM_COUNTRY[[#All],[Column3]],,,)</f>
        <v>Major_Non-USMCA_Non-China</v>
      </c>
    </row>
    <row r="11837" spans="1:9" x14ac:dyDescent="0.4">
      <c r="A11837" t="s">
        <v>73</v>
      </c>
      <c r="B11837" s="1">
        <v>45505</v>
      </c>
      <c r="C11837">
        <v>850131</v>
      </c>
      <c r="D11837" t="s">
        <v>176</v>
      </c>
      <c r="E11837">
        <v>2349189</v>
      </c>
      <c r="F11837">
        <v>209319</v>
      </c>
      <c r="G11837">
        <v>9519</v>
      </c>
      <c r="H11837">
        <f>_xlfn.XLOOKUP(FACT_IMPORTS[[#This Row],[hts_6]],DIM_PRODUCTS[hts_6],DIM_PRODUCTS[hts_4],,,)</f>
        <v>8501</v>
      </c>
      <c r="I11837" t="str" cm="1">
        <f t="array" ref="I11837">_xlfn.XLOOKUP(FACT_IMPORTS[[#This Row],[country_name]],DIM_COUNTRY[[#All],[Column2]],DIM_COUNTRY[[#All],[Column3]],,,)</f>
        <v>Major_Non-USMCA_Non-China</v>
      </c>
    </row>
    <row r="11838" spans="1:9" x14ac:dyDescent="0.4">
      <c r="A11838" t="s">
        <v>73</v>
      </c>
      <c r="B11838" s="1">
        <v>45505</v>
      </c>
      <c r="C11838">
        <v>850152</v>
      </c>
      <c r="D11838" t="s">
        <v>176</v>
      </c>
      <c r="E11838">
        <v>0</v>
      </c>
      <c r="F11838">
        <v>0</v>
      </c>
      <c r="G11838">
        <v>0</v>
      </c>
      <c r="H11838">
        <f>_xlfn.XLOOKUP(FACT_IMPORTS[[#This Row],[hts_6]],DIM_PRODUCTS[hts_6],DIM_PRODUCTS[hts_4],,,)</f>
        <v>8501</v>
      </c>
      <c r="I11838" t="str" cm="1">
        <f t="array" ref="I11838">_xlfn.XLOOKUP(FACT_IMPORTS[[#This Row],[country_name]],DIM_COUNTRY[[#All],[Column2]],DIM_COUNTRY[[#All],[Column3]],,,)</f>
        <v>Major_Non-USMCA_Non-China</v>
      </c>
    </row>
    <row r="11839" spans="1:9" x14ac:dyDescent="0.4">
      <c r="A11839" t="s">
        <v>73</v>
      </c>
      <c r="B11839" s="1">
        <v>45505</v>
      </c>
      <c r="C11839">
        <v>850153</v>
      </c>
      <c r="D11839" t="s">
        <v>176</v>
      </c>
      <c r="E11839">
        <v>9000</v>
      </c>
      <c r="F11839">
        <v>3</v>
      </c>
      <c r="G11839">
        <v>10</v>
      </c>
      <c r="H11839">
        <f>_xlfn.XLOOKUP(FACT_IMPORTS[[#This Row],[hts_6]],DIM_PRODUCTS[hts_6],DIM_PRODUCTS[hts_4],,,)</f>
        <v>8501</v>
      </c>
      <c r="I11839" t="str" cm="1">
        <f t="array" ref="I11839">_xlfn.XLOOKUP(FACT_IMPORTS[[#This Row],[country_name]],DIM_COUNTRY[[#All],[Column2]],DIM_COUNTRY[[#All],[Column3]],,,)</f>
        <v>Major_Non-USMCA_Non-China</v>
      </c>
    </row>
    <row r="11840" spans="1:9" x14ac:dyDescent="0.4">
      <c r="A11840" t="s">
        <v>73</v>
      </c>
      <c r="B11840" s="1">
        <v>45505</v>
      </c>
      <c r="C11840">
        <v>850440</v>
      </c>
      <c r="D11840" t="s">
        <v>176</v>
      </c>
      <c r="E11840">
        <v>7418177</v>
      </c>
      <c r="F11840">
        <v>6012</v>
      </c>
      <c r="G11840">
        <v>8402</v>
      </c>
      <c r="H11840">
        <f>_xlfn.XLOOKUP(FACT_IMPORTS[[#This Row],[hts_6]],DIM_PRODUCTS[hts_6],DIM_PRODUCTS[hts_4],,,)</f>
        <v>8504</v>
      </c>
      <c r="I11840" t="str" cm="1">
        <f t="array" ref="I11840">_xlfn.XLOOKUP(FACT_IMPORTS[[#This Row],[country_name]],DIM_COUNTRY[[#All],[Column2]],DIM_COUNTRY[[#All],[Column3]],,,)</f>
        <v>Major_Non-USMCA_Non-China</v>
      </c>
    </row>
    <row r="11841" spans="1:9" x14ac:dyDescent="0.4">
      <c r="A11841" t="s">
        <v>73</v>
      </c>
      <c r="B11841" s="1">
        <v>45505</v>
      </c>
      <c r="C11841">
        <v>850710</v>
      </c>
      <c r="D11841" t="s">
        <v>176</v>
      </c>
      <c r="E11841">
        <v>110254</v>
      </c>
      <c r="F11841">
        <v>2601</v>
      </c>
      <c r="G11841">
        <v>1272</v>
      </c>
      <c r="H11841">
        <f>_xlfn.XLOOKUP(FACT_IMPORTS[[#This Row],[hts_6]],DIM_PRODUCTS[hts_6],DIM_PRODUCTS[hts_4],,,)</f>
        <v>8507</v>
      </c>
      <c r="I11841" t="str" cm="1">
        <f t="array" ref="I11841">_xlfn.XLOOKUP(FACT_IMPORTS[[#This Row],[country_name]],DIM_COUNTRY[[#All],[Column2]],DIM_COUNTRY[[#All],[Column3]],,,)</f>
        <v>Major_Non-USMCA_Non-China</v>
      </c>
    </row>
    <row r="11842" spans="1:9" x14ac:dyDescent="0.4">
      <c r="A11842" t="s">
        <v>73</v>
      </c>
      <c r="B11842" s="1">
        <v>45505</v>
      </c>
      <c r="C11842">
        <v>850760</v>
      </c>
      <c r="D11842" t="s">
        <v>176</v>
      </c>
      <c r="E11842">
        <v>137746</v>
      </c>
      <c r="F11842">
        <v>113</v>
      </c>
      <c r="G11842">
        <v>1155</v>
      </c>
      <c r="H11842">
        <f>_xlfn.XLOOKUP(FACT_IMPORTS[[#This Row],[hts_6]],DIM_PRODUCTS[hts_6],DIM_PRODUCTS[hts_4],,,)</f>
        <v>8507</v>
      </c>
      <c r="I11842" t="str" cm="1">
        <f t="array" ref="I11842">_xlfn.XLOOKUP(FACT_IMPORTS[[#This Row],[country_name]],DIM_COUNTRY[[#All],[Column2]],DIM_COUNTRY[[#All],[Column3]],,,)</f>
        <v>Major_Non-USMCA_Non-China</v>
      </c>
    </row>
    <row r="11843" spans="1:9" x14ac:dyDescent="0.4">
      <c r="A11843" t="s">
        <v>73</v>
      </c>
      <c r="B11843" s="1">
        <v>45505</v>
      </c>
      <c r="C11843">
        <v>850790</v>
      </c>
      <c r="D11843" t="s">
        <v>176</v>
      </c>
      <c r="E11843">
        <v>1445226</v>
      </c>
      <c r="F11843">
        <v>17518</v>
      </c>
      <c r="G11843">
        <v>4911</v>
      </c>
      <c r="H11843">
        <f>_xlfn.XLOOKUP(FACT_IMPORTS[[#This Row],[hts_6]],DIM_PRODUCTS[hts_6],DIM_PRODUCTS[hts_4],,,)</f>
        <v>8507</v>
      </c>
      <c r="I11843" t="str" cm="1">
        <f t="array" ref="I11843">_xlfn.XLOOKUP(FACT_IMPORTS[[#This Row],[country_name]],DIM_COUNTRY[[#All],[Column2]],DIM_COUNTRY[[#All],[Column3]],,,)</f>
        <v>Major_Non-USMCA_Non-China</v>
      </c>
    </row>
    <row r="11844" spans="1:9" x14ac:dyDescent="0.4">
      <c r="A11844" t="s">
        <v>73</v>
      </c>
      <c r="B11844" s="1">
        <v>45505</v>
      </c>
      <c r="C11844">
        <v>851130</v>
      </c>
      <c r="D11844" t="s">
        <v>176</v>
      </c>
      <c r="E11844">
        <v>6611</v>
      </c>
      <c r="F11844">
        <v>153</v>
      </c>
      <c r="G11844">
        <v>8</v>
      </c>
      <c r="H11844">
        <f>_xlfn.XLOOKUP(FACT_IMPORTS[[#This Row],[hts_6]],DIM_PRODUCTS[hts_6],DIM_PRODUCTS[hts_4],,,)</f>
        <v>8511</v>
      </c>
      <c r="I11844" t="str" cm="1">
        <f t="array" ref="I11844">_xlfn.XLOOKUP(FACT_IMPORTS[[#This Row],[country_name]],DIM_COUNTRY[[#All],[Column2]],DIM_COUNTRY[[#All],[Column3]],,,)</f>
        <v>Major_Non-USMCA_Non-China</v>
      </c>
    </row>
    <row r="11845" spans="1:9" x14ac:dyDescent="0.4">
      <c r="A11845" t="s">
        <v>73</v>
      </c>
      <c r="B11845" s="1">
        <v>45505</v>
      </c>
      <c r="C11845">
        <v>851140</v>
      </c>
      <c r="D11845" t="s">
        <v>176</v>
      </c>
      <c r="E11845">
        <v>474200</v>
      </c>
      <c r="F11845">
        <v>2243</v>
      </c>
      <c r="G11845">
        <v>813</v>
      </c>
      <c r="H11845">
        <f>_xlfn.XLOOKUP(FACT_IMPORTS[[#This Row],[hts_6]],DIM_PRODUCTS[hts_6],DIM_PRODUCTS[hts_4],,,)</f>
        <v>8511</v>
      </c>
      <c r="I11845" t="str" cm="1">
        <f t="array" ref="I11845">_xlfn.XLOOKUP(FACT_IMPORTS[[#This Row],[country_name]],DIM_COUNTRY[[#All],[Column2]],DIM_COUNTRY[[#All],[Column3]],,,)</f>
        <v>Major_Non-USMCA_Non-China</v>
      </c>
    </row>
    <row r="11846" spans="1:9" x14ac:dyDescent="0.4">
      <c r="A11846" t="s">
        <v>73</v>
      </c>
      <c r="B11846" s="1">
        <v>45505</v>
      </c>
      <c r="C11846">
        <v>851150</v>
      </c>
      <c r="D11846" t="s">
        <v>176</v>
      </c>
      <c r="E11846">
        <v>81024</v>
      </c>
      <c r="F11846">
        <v>406</v>
      </c>
      <c r="G11846">
        <v>393</v>
      </c>
      <c r="H11846">
        <f>_xlfn.XLOOKUP(FACT_IMPORTS[[#This Row],[hts_6]],DIM_PRODUCTS[hts_6],DIM_PRODUCTS[hts_4],,,)</f>
        <v>8511</v>
      </c>
      <c r="I11846" t="str" cm="1">
        <f t="array" ref="I11846">_xlfn.XLOOKUP(FACT_IMPORTS[[#This Row],[country_name]],DIM_COUNTRY[[#All],[Column2]],DIM_COUNTRY[[#All],[Column3]],,,)</f>
        <v>Major_Non-USMCA_Non-China</v>
      </c>
    </row>
    <row r="11847" spans="1:9" x14ac:dyDescent="0.4">
      <c r="A11847" t="s">
        <v>73</v>
      </c>
      <c r="B11847" s="1">
        <v>45505</v>
      </c>
      <c r="C11847">
        <v>851190</v>
      </c>
      <c r="D11847" t="s">
        <v>176</v>
      </c>
      <c r="E11847">
        <v>147134</v>
      </c>
      <c r="F11847">
        <v>16619</v>
      </c>
      <c r="G11847">
        <v>6042</v>
      </c>
      <c r="H11847">
        <f>_xlfn.XLOOKUP(FACT_IMPORTS[[#This Row],[hts_6]],DIM_PRODUCTS[hts_6],DIM_PRODUCTS[hts_4],,,)</f>
        <v>8511</v>
      </c>
      <c r="I11847" t="str" cm="1">
        <f t="array" ref="I11847">_xlfn.XLOOKUP(FACT_IMPORTS[[#This Row],[country_name]],DIM_COUNTRY[[#All],[Column2]],DIM_COUNTRY[[#All],[Column3]],,,)</f>
        <v>Major_Non-USMCA_Non-China</v>
      </c>
    </row>
    <row r="11848" spans="1:9" x14ac:dyDescent="0.4">
      <c r="A11848" t="s">
        <v>73</v>
      </c>
      <c r="B11848" s="1">
        <v>45505</v>
      </c>
      <c r="C11848">
        <v>851220</v>
      </c>
      <c r="D11848" t="s">
        <v>176</v>
      </c>
      <c r="E11848">
        <v>10007577</v>
      </c>
      <c r="F11848">
        <v>1086657</v>
      </c>
      <c r="G11848">
        <v>140298</v>
      </c>
      <c r="H11848">
        <f>_xlfn.XLOOKUP(FACT_IMPORTS[[#This Row],[hts_6]],DIM_PRODUCTS[hts_6],DIM_PRODUCTS[hts_4],,,)</f>
        <v>8512</v>
      </c>
      <c r="I11848" t="str" cm="1">
        <f t="array" ref="I11848">_xlfn.XLOOKUP(FACT_IMPORTS[[#This Row],[country_name]],DIM_COUNTRY[[#All],[Column2]],DIM_COUNTRY[[#All],[Column3]],,,)</f>
        <v>Major_Non-USMCA_Non-China</v>
      </c>
    </row>
    <row r="11849" spans="1:9" x14ac:dyDescent="0.4">
      <c r="A11849" t="s">
        <v>73</v>
      </c>
      <c r="B11849" s="1">
        <v>45505</v>
      </c>
      <c r="C11849">
        <v>851240</v>
      </c>
      <c r="D11849" t="s">
        <v>176</v>
      </c>
      <c r="E11849">
        <v>490675</v>
      </c>
      <c r="F11849">
        <v>22912</v>
      </c>
      <c r="G11849">
        <v>568</v>
      </c>
      <c r="H11849">
        <f>_xlfn.XLOOKUP(FACT_IMPORTS[[#This Row],[hts_6]],DIM_PRODUCTS[hts_6],DIM_PRODUCTS[hts_4],,,)</f>
        <v>8512</v>
      </c>
      <c r="I11849" t="str" cm="1">
        <f t="array" ref="I11849">_xlfn.XLOOKUP(FACT_IMPORTS[[#This Row],[country_name]],DIM_COUNTRY[[#All],[Column2]],DIM_COUNTRY[[#All],[Column3]],,,)</f>
        <v>Major_Non-USMCA_Non-China</v>
      </c>
    </row>
    <row r="11850" spans="1:9" x14ac:dyDescent="0.4">
      <c r="A11850" t="s">
        <v>73</v>
      </c>
      <c r="B11850" s="1">
        <v>45505</v>
      </c>
      <c r="C11850">
        <v>851290</v>
      </c>
      <c r="D11850" t="s">
        <v>176</v>
      </c>
      <c r="E11850">
        <v>649053</v>
      </c>
      <c r="F11850">
        <v>51094</v>
      </c>
      <c r="G11850">
        <v>22483</v>
      </c>
      <c r="H11850">
        <f>_xlfn.XLOOKUP(FACT_IMPORTS[[#This Row],[hts_6]],DIM_PRODUCTS[hts_6],DIM_PRODUCTS[hts_4],,,)</f>
        <v>8512</v>
      </c>
      <c r="I11850" t="str" cm="1">
        <f t="array" ref="I11850">_xlfn.XLOOKUP(FACT_IMPORTS[[#This Row],[country_name]],DIM_COUNTRY[[#All],[Column2]],DIM_COUNTRY[[#All],[Column3]],,,)</f>
        <v>Major_Non-USMCA_Non-China</v>
      </c>
    </row>
    <row r="11851" spans="1:9" x14ac:dyDescent="0.4">
      <c r="A11851" t="s">
        <v>73</v>
      </c>
      <c r="B11851" s="1">
        <v>45505</v>
      </c>
      <c r="C11851">
        <v>854231</v>
      </c>
      <c r="D11851" t="s">
        <v>176</v>
      </c>
      <c r="E11851">
        <v>0</v>
      </c>
      <c r="F11851">
        <v>0</v>
      </c>
      <c r="G11851">
        <v>0</v>
      </c>
      <c r="H11851">
        <f>_xlfn.XLOOKUP(FACT_IMPORTS[[#This Row],[hts_6]],DIM_PRODUCTS[hts_6],DIM_PRODUCTS[hts_4],,,)</f>
        <v>8542</v>
      </c>
      <c r="I11851" t="str" cm="1">
        <f t="array" ref="I11851">_xlfn.XLOOKUP(FACT_IMPORTS[[#This Row],[country_name]],DIM_COUNTRY[[#All],[Column2]],DIM_COUNTRY[[#All],[Column3]],,,)</f>
        <v>Major_Non-USMCA_Non-China</v>
      </c>
    </row>
    <row r="11852" spans="1:9" x14ac:dyDescent="0.4">
      <c r="A11852" t="s">
        <v>73</v>
      </c>
      <c r="B11852" s="1">
        <v>45505</v>
      </c>
      <c r="C11852">
        <v>854232</v>
      </c>
      <c r="D11852" t="s">
        <v>176</v>
      </c>
      <c r="E11852">
        <v>8540</v>
      </c>
      <c r="F11852">
        <v>2000</v>
      </c>
      <c r="G11852">
        <v>854</v>
      </c>
      <c r="H11852">
        <f>_xlfn.XLOOKUP(FACT_IMPORTS[[#This Row],[hts_6]],DIM_PRODUCTS[hts_6],DIM_PRODUCTS[hts_4],,,)</f>
        <v>8542</v>
      </c>
      <c r="I11852" t="str" cm="1">
        <f t="array" ref="I11852">_xlfn.XLOOKUP(FACT_IMPORTS[[#This Row],[country_name]],DIM_COUNTRY[[#All],[Column2]],DIM_COUNTRY[[#All],[Column3]],,,)</f>
        <v>Major_Non-USMCA_Non-China</v>
      </c>
    </row>
    <row r="11853" spans="1:9" x14ac:dyDescent="0.4">
      <c r="A11853" t="s">
        <v>73</v>
      </c>
      <c r="B11853" s="1">
        <v>45505</v>
      </c>
      <c r="C11853">
        <v>854239</v>
      </c>
      <c r="D11853" t="s">
        <v>176</v>
      </c>
      <c r="E11853">
        <v>0</v>
      </c>
      <c r="F11853">
        <v>0</v>
      </c>
      <c r="G11853">
        <v>0</v>
      </c>
      <c r="H11853">
        <f>_xlfn.XLOOKUP(FACT_IMPORTS[[#This Row],[hts_6]],DIM_PRODUCTS[hts_6],DIM_PRODUCTS[hts_4],,,)</f>
        <v>8542</v>
      </c>
      <c r="I11853" t="str" cm="1">
        <f t="array" ref="I11853">_xlfn.XLOOKUP(FACT_IMPORTS[[#This Row],[country_name]],DIM_COUNTRY[[#All],[Column2]],DIM_COUNTRY[[#All],[Column3]],,,)</f>
        <v>Major_Non-USMCA_Non-China</v>
      </c>
    </row>
    <row r="11854" spans="1:9" x14ac:dyDescent="0.4">
      <c r="A11854" t="s">
        <v>73</v>
      </c>
      <c r="B11854" s="1">
        <v>45505</v>
      </c>
      <c r="C11854">
        <v>854430</v>
      </c>
      <c r="D11854" t="s">
        <v>176</v>
      </c>
      <c r="E11854">
        <v>10668</v>
      </c>
      <c r="F11854">
        <v>14</v>
      </c>
      <c r="G11854">
        <v>24</v>
      </c>
      <c r="H11854">
        <f>_xlfn.XLOOKUP(FACT_IMPORTS[[#This Row],[hts_6]],DIM_PRODUCTS[hts_6],DIM_PRODUCTS[hts_4],,,)</f>
        <v>8544</v>
      </c>
      <c r="I11854" t="str" cm="1">
        <f t="array" ref="I11854">_xlfn.XLOOKUP(FACT_IMPORTS[[#This Row],[country_name]],DIM_COUNTRY[[#All],[Column2]],DIM_COUNTRY[[#All],[Column3]],,,)</f>
        <v>Major_Non-USMCA_Non-China</v>
      </c>
    </row>
    <row r="11855" spans="1:9" x14ac:dyDescent="0.4">
      <c r="A11855" t="s">
        <v>73</v>
      </c>
      <c r="B11855" s="1">
        <v>45505</v>
      </c>
      <c r="C11855">
        <v>870810</v>
      </c>
      <c r="D11855" t="s">
        <v>176</v>
      </c>
      <c r="E11855">
        <v>1787110</v>
      </c>
      <c r="F11855">
        <v>80317</v>
      </c>
      <c r="G11855">
        <v>6855</v>
      </c>
      <c r="H11855">
        <f>_xlfn.XLOOKUP(FACT_IMPORTS[[#This Row],[hts_6]],DIM_PRODUCTS[hts_6],DIM_PRODUCTS[hts_4],,,)</f>
        <v>8708</v>
      </c>
      <c r="I11855" t="str" cm="1">
        <f t="array" ref="I11855">_xlfn.XLOOKUP(FACT_IMPORTS[[#This Row],[country_name]],DIM_COUNTRY[[#All],[Column2]],DIM_COUNTRY[[#All],[Column3]],,,)</f>
        <v>Major_Non-USMCA_Non-China</v>
      </c>
    </row>
    <row r="11856" spans="1:9" x14ac:dyDescent="0.4">
      <c r="A11856" t="s">
        <v>73</v>
      </c>
      <c r="B11856" s="1">
        <v>45505</v>
      </c>
      <c r="C11856">
        <v>870822</v>
      </c>
      <c r="D11856" t="s">
        <v>176</v>
      </c>
      <c r="E11856">
        <v>92757</v>
      </c>
      <c r="F11856">
        <v>564</v>
      </c>
      <c r="G11856">
        <v>229</v>
      </c>
      <c r="H11856">
        <f>_xlfn.XLOOKUP(FACT_IMPORTS[[#This Row],[hts_6]],DIM_PRODUCTS[hts_6],DIM_PRODUCTS[hts_4],,,)</f>
        <v>8708</v>
      </c>
      <c r="I11856" t="str" cm="1">
        <f t="array" ref="I11856">_xlfn.XLOOKUP(FACT_IMPORTS[[#This Row],[country_name]],DIM_COUNTRY[[#All],[Column2]],DIM_COUNTRY[[#All],[Column3]],,,)</f>
        <v>Major_Non-USMCA_Non-China</v>
      </c>
    </row>
    <row r="11857" spans="1:9" x14ac:dyDescent="0.4">
      <c r="A11857" t="s">
        <v>73</v>
      </c>
      <c r="B11857" s="1">
        <v>45505</v>
      </c>
      <c r="C11857">
        <v>870829</v>
      </c>
      <c r="D11857" t="s">
        <v>176</v>
      </c>
      <c r="E11857">
        <v>7214477</v>
      </c>
      <c r="F11857">
        <v>2121169</v>
      </c>
      <c r="G11857">
        <v>323422</v>
      </c>
      <c r="H11857">
        <f>_xlfn.XLOOKUP(FACT_IMPORTS[[#This Row],[hts_6]],DIM_PRODUCTS[hts_6],DIM_PRODUCTS[hts_4],,,)</f>
        <v>8708</v>
      </c>
      <c r="I11857" t="str" cm="1">
        <f t="array" ref="I11857">_xlfn.XLOOKUP(FACT_IMPORTS[[#This Row],[country_name]],DIM_COUNTRY[[#All],[Column2]],DIM_COUNTRY[[#All],[Column3]],,,)</f>
        <v>Major_Non-USMCA_Non-China</v>
      </c>
    </row>
    <row r="11858" spans="1:9" x14ac:dyDescent="0.4">
      <c r="A11858" t="s">
        <v>73</v>
      </c>
      <c r="B11858" s="1">
        <v>45505</v>
      </c>
      <c r="C11858">
        <v>870830</v>
      </c>
      <c r="D11858" t="s">
        <v>176</v>
      </c>
      <c r="E11858">
        <v>455150</v>
      </c>
      <c r="F11858">
        <v>144775</v>
      </c>
      <c r="G11858">
        <v>9735</v>
      </c>
      <c r="H11858">
        <f>_xlfn.XLOOKUP(FACT_IMPORTS[[#This Row],[hts_6]],DIM_PRODUCTS[hts_6],DIM_PRODUCTS[hts_4],,,)</f>
        <v>8708</v>
      </c>
      <c r="I11858" t="str" cm="1">
        <f t="array" ref="I11858">_xlfn.XLOOKUP(FACT_IMPORTS[[#This Row],[country_name]],DIM_COUNTRY[[#All],[Column2]],DIM_COUNTRY[[#All],[Column3]],,,)</f>
        <v>Major_Non-USMCA_Non-China</v>
      </c>
    </row>
    <row r="11859" spans="1:9" x14ac:dyDescent="0.4">
      <c r="A11859" t="s">
        <v>73</v>
      </c>
      <c r="B11859" s="1">
        <v>45505</v>
      </c>
      <c r="C11859">
        <v>870840</v>
      </c>
      <c r="D11859" t="s">
        <v>176</v>
      </c>
      <c r="E11859">
        <v>3007001</v>
      </c>
      <c r="F11859">
        <v>291911</v>
      </c>
      <c r="G11859">
        <v>37099</v>
      </c>
      <c r="H11859">
        <f>_xlfn.XLOOKUP(FACT_IMPORTS[[#This Row],[hts_6]],DIM_PRODUCTS[hts_6],DIM_PRODUCTS[hts_4],,,)</f>
        <v>8708</v>
      </c>
      <c r="I11859" t="str" cm="1">
        <f t="array" ref="I11859">_xlfn.XLOOKUP(FACT_IMPORTS[[#This Row],[country_name]],DIM_COUNTRY[[#All],[Column2]],DIM_COUNTRY[[#All],[Column3]],,,)</f>
        <v>Major_Non-USMCA_Non-China</v>
      </c>
    </row>
    <row r="11860" spans="1:9" x14ac:dyDescent="0.4">
      <c r="A11860" t="s">
        <v>73</v>
      </c>
      <c r="B11860" s="1">
        <v>45505</v>
      </c>
      <c r="C11860">
        <v>870850</v>
      </c>
      <c r="D11860" t="s">
        <v>176</v>
      </c>
      <c r="E11860">
        <v>16636073</v>
      </c>
      <c r="F11860">
        <v>1228887</v>
      </c>
      <c r="G11860">
        <v>509213</v>
      </c>
      <c r="H11860">
        <f>_xlfn.XLOOKUP(FACT_IMPORTS[[#This Row],[hts_6]],DIM_PRODUCTS[hts_6],DIM_PRODUCTS[hts_4],,,)</f>
        <v>8708</v>
      </c>
      <c r="I11860" t="str" cm="1">
        <f t="array" ref="I11860">_xlfn.XLOOKUP(FACT_IMPORTS[[#This Row],[country_name]],DIM_COUNTRY[[#All],[Column2]],DIM_COUNTRY[[#All],[Column3]],,,)</f>
        <v>Major_Non-USMCA_Non-China</v>
      </c>
    </row>
    <row r="11861" spans="1:9" x14ac:dyDescent="0.4">
      <c r="A11861" t="s">
        <v>73</v>
      </c>
      <c r="B11861" s="1">
        <v>45505</v>
      </c>
      <c r="C11861">
        <v>870870</v>
      </c>
      <c r="D11861" t="s">
        <v>176</v>
      </c>
      <c r="E11861">
        <v>627531</v>
      </c>
      <c r="F11861">
        <v>7263</v>
      </c>
      <c r="G11861">
        <v>5185</v>
      </c>
      <c r="H11861">
        <f>_xlfn.XLOOKUP(FACT_IMPORTS[[#This Row],[hts_6]],DIM_PRODUCTS[hts_6],DIM_PRODUCTS[hts_4],,,)</f>
        <v>8708</v>
      </c>
      <c r="I11861" t="str" cm="1">
        <f t="array" ref="I11861">_xlfn.XLOOKUP(FACT_IMPORTS[[#This Row],[country_name]],DIM_COUNTRY[[#All],[Column2]],DIM_COUNTRY[[#All],[Column3]],,,)</f>
        <v>Major_Non-USMCA_Non-China</v>
      </c>
    </row>
    <row r="11862" spans="1:9" x14ac:dyDescent="0.4">
      <c r="A11862" t="s">
        <v>73</v>
      </c>
      <c r="B11862" s="1">
        <v>45505</v>
      </c>
      <c r="C11862">
        <v>870880</v>
      </c>
      <c r="D11862" t="s">
        <v>176</v>
      </c>
      <c r="E11862">
        <v>3607875</v>
      </c>
      <c r="F11862">
        <v>1240674</v>
      </c>
      <c r="G11862">
        <v>158850</v>
      </c>
      <c r="H11862">
        <f>_xlfn.XLOOKUP(FACT_IMPORTS[[#This Row],[hts_6]],DIM_PRODUCTS[hts_6],DIM_PRODUCTS[hts_4],,,)</f>
        <v>8708</v>
      </c>
      <c r="I11862" t="str" cm="1">
        <f t="array" ref="I11862">_xlfn.XLOOKUP(FACT_IMPORTS[[#This Row],[country_name]],DIM_COUNTRY[[#All],[Column2]],DIM_COUNTRY[[#All],[Column3]],,,)</f>
        <v>Major_Non-USMCA_Non-China</v>
      </c>
    </row>
    <row r="11863" spans="1:9" x14ac:dyDescent="0.4">
      <c r="A11863" t="s">
        <v>73</v>
      </c>
      <c r="B11863" s="1">
        <v>45505</v>
      </c>
      <c r="C11863">
        <v>870891</v>
      </c>
      <c r="D11863" t="s">
        <v>176</v>
      </c>
      <c r="E11863">
        <v>87936</v>
      </c>
      <c r="F11863">
        <v>450</v>
      </c>
      <c r="G11863">
        <v>228</v>
      </c>
      <c r="H11863">
        <f>_xlfn.XLOOKUP(FACT_IMPORTS[[#This Row],[hts_6]],DIM_PRODUCTS[hts_6],DIM_PRODUCTS[hts_4],,,)</f>
        <v>8708</v>
      </c>
      <c r="I11863" t="str" cm="1">
        <f t="array" ref="I11863">_xlfn.XLOOKUP(FACT_IMPORTS[[#This Row],[country_name]],DIM_COUNTRY[[#All],[Column2]],DIM_COUNTRY[[#All],[Column3]],,,)</f>
        <v>Major_Non-USMCA_Non-China</v>
      </c>
    </row>
    <row r="11864" spans="1:9" x14ac:dyDescent="0.4">
      <c r="A11864" t="s">
        <v>73</v>
      </c>
      <c r="B11864" s="1">
        <v>45505</v>
      </c>
      <c r="C11864">
        <v>870892</v>
      </c>
      <c r="D11864" t="s">
        <v>176</v>
      </c>
      <c r="E11864">
        <v>92754</v>
      </c>
      <c r="F11864">
        <v>380</v>
      </c>
      <c r="G11864">
        <v>158</v>
      </c>
      <c r="H11864">
        <f>_xlfn.XLOOKUP(FACT_IMPORTS[[#This Row],[hts_6]],DIM_PRODUCTS[hts_6],DIM_PRODUCTS[hts_4],,,)</f>
        <v>8708</v>
      </c>
      <c r="I11864" t="str" cm="1">
        <f t="array" ref="I11864">_xlfn.XLOOKUP(FACT_IMPORTS[[#This Row],[country_name]],DIM_COUNTRY[[#All],[Column2]],DIM_COUNTRY[[#All],[Column3]],,,)</f>
        <v>Major_Non-USMCA_Non-China</v>
      </c>
    </row>
    <row r="11865" spans="1:9" x14ac:dyDescent="0.4">
      <c r="A11865" t="s">
        <v>73</v>
      </c>
      <c r="B11865" s="1">
        <v>45505</v>
      </c>
      <c r="C11865">
        <v>870893</v>
      </c>
      <c r="D11865" t="s">
        <v>176</v>
      </c>
      <c r="E11865">
        <v>393011</v>
      </c>
      <c r="F11865">
        <v>27648</v>
      </c>
      <c r="G11865">
        <v>19587</v>
      </c>
      <c r="H11865">
        <f>_xlfn.XLOOKUP(FACT_IMPORTS[[#This Row],[hts_6]],DIM_PRODUCTS[hts_6],DIM_PRODUCTS[hts_4],,,)</f>
        <v>8708</v>
      </c>
      <c r="I11865" t="str" cm="1">
        <f t="array" ref="I11865">_xlfn.XLOOKUP(FACT_IMPORTS[[#This Row],[country_name]],DIM_COUNTRY[[#All],[Column2]],DIM_COUNTRY[[#All],[Column3]],,,)</f>
        <v>Major_Non-USMCA_Non-China</v>
      </c>
    </row>
    <row r="11866" spans="1:9" x14ac:dyDescent="0.4">
      <c r="A11866" t="s">
        <v>73</v>
      </c>
      <c r="B11866" s="1">
        <v>45505</v>
      </c>
      <c r="C11866">
        <v>870894</v>
      </c>
      <c r="D11866" t="s">
        <v>176</v>
      </c>
      <c r="E11866">
        <v>2810262</v>
      </c>
      <c r="F11866">
        <v>262145</v>
      </c>
      <c r="G11866">
        <v>52934</v>
      </c>
      <c r="H11866">
        <f>_xlfn.XLOOKUP(FACT_IMPORTS[[#This Row],[hts_6]],DIM_PRODUCTS[hts_6],DIM_PRODUCTS[hts_4],,,)</f>
        <v>8708</v>
      </c>
      <c r="I11866" t="str" cm="1">
        <f t="array" ref="I11866">_xlfn.XLOOKUP(FACT_IMPORTS[[#This Row],[country_name]],DIM_COUNTRY[[#All],[Column2]],DIM_COUNTRY[[#All],[Column3]],,,)</f>
        <v>Major_Non-USMCA_Non-China</v>
      </c>
    </row>
    <row r="11867" spans="1:9" x14ac:dyDescent="0.4">
      <c r="A11867" t="s">
        <v>73</v>
      </c>
      <c r="B11867" s="1">
        <v>45505</v>
      </c>
      <c r="C11867">
        <v>870895</v>
      </c>
      <c r="D11867" t="s">
        <v>176</v>
      </c>
      <c r="E11867">
        <v>0</v>
      </c>
      <c r="F11867">
        <v>0</v>
      </c>
      <c r="G11867">
        <v>0</v>
      </c>
      <c r="H11867">
        <f>_xlfn.XLOOKUP(FACT_IMPORTS[[#This Row],[hts_6]],DIM_PRODUCTS[hts_6],DIM_PRODUCTS[hts_4],,,)</f>
        <v>8708</v>
      </c>
      <c r="I11867" t="str" cm="1">
        <f t="array" ref="I11867">_xlfn.XLOOKUP(FACT_IMPORTS[[#This Row],[country_name]],DIM_COUNTRY[[#All],[Column2]],DIM_COUNTRY[[#All],[Column3]],,,)</f>
        <v>Major_Non-USMCA_Non-China</v>
      </c>
    </row>
    <row r="11868" spans="1:9" x14ac:dyDescent="0.4">
      <c r="A11868" t="s">
        <v>73</v>
      </c>
      <c r="B11868" s="1">
        <v>45505</v>
      </c>
      <c r="C11868">
        <v>870899</v>
      </c>
      <c r="D11868" t="s">
        <v>176</v>
      </c>
      <c r="E11868">
        <v>26572078</v>
      </c>
      <c r="F11868">
        <v>3981003</v>
      </c>
      <c r="G11868">
        <v>858764</v>
      </c>
      <c r="H11868">
        <f>_xlfn.XLOOKUP(FACT_IMPORTS[[#This Row],[hts_6]],DIM_PRODUCTS[hts_6],DIM_PRODUCTS[hts_4],,,)</f>
        <v>8708</v>
      </c>
      <c r="I11868" t="str" cm="1">
        <f t="array" ref="I11868">_xlfn.XLOOKUP(FACT_IMPORTS[[#This Row],[country_name]],DIM_COUNTRY[[#All],[Column2]],DIM_COUNTRY[[#All],[Column3]],,,)</f>
        <v>Major_Non-USMCA_Non-China</v>
      </c>
    </row>
    <row r="11869" spans="1:9" x14ac:dyDescent="0.4">
      <c r="A11869" t="s">
        <v>73</v>
      </c>
      <c r="B11869" s="1">
        <v>45505</v>
      </c>
      <c r="C11869">
        <v>940120</v>
      </c>
      <c r="D11869" t="s">
        <v>176</v>
      </c>
      <c r="E11869">
        <v>1315</v>
      </c>
      <c r="F11869">
        <v>7</v>
      </c>
      <c r="G11869">
        <v>8</v>
      </c>
      <c r="H11869">
        <f>_xlfn.XLOOKUP(FACT_IMPORTS[[#This Row],[hts_6]],DIM_PRODUCTS[hts_6],DIM_PRODUCTS[hts_4],,,)</f>
        <v>9401</v>
      </c>
      <c r="I11869" t="str" cm="1">
        <f t="array" ref="I11869">_xlfn.XLOOKUP(FACT_IMPORTS[[#This Row],[country_name]],DIM_COUNTRY[[#All],[Column2]],DIM_COUNTRY[[#All],[Column3]],,,)</f>
        <v>Major_Non-USMCA_Non-China</v>
      </c>
    </row>
    <row r="11870" spans="1:9" x14ac:dyDescent="0.4">
      <c r="A11870" t="s">
        <v>73</v>
      </c>
      <c r="B11870" s="1">
        <v>45536</v>
      </c>
      <c r="C11870">
        <v>392630</v>
      </c>
      <c r="D11870" t="s">
        <v>176</v>
      </c>
      <c r="E11870">
        <v>421771</v>
      </c>
      <c r="F11870">
        <v>20409</v>
      </c>
      <c r="G11870">
        <v>23357</v>
      </c>
      <c r="H11870">
        <f>_xlfn.XLOOKUP(FACT_IMPORTS[[#This Row],[hts_6]],DIM_PRODUCTS[hts_6],DIM_PRODUCTS[hts_4],,,)</f>
        <v>3926</v>
      </c>
      <c r="I11870" t="str" cm="1">
        <f t="array" ref="I11870">_xlfn.XLOOKUP(FACT_IMPORTS[[#This Row],[country_name]],DIM_COUNTRY[[#All],[Column2]],DIM_COUNTRY[[#All],[Column3]],,,)</f>
        <v>Major_Non-USMCA_Non-China</v>
      </c>
    </row>
    <row r="11871" spans="1:9" x14ac:dyDescent="0.4">
      <c r="A11871" t="s">
        <v>73</v>
      </c>
      <c r="B11871" s="1">
        <v>45536</v>
      </c>
      <c r="C11871">
        <v>401110</v>
      </c>
      <c r="D11871" t="s">
        <v>176</v>
      </c>
      <c r="E11871">
        <v>3050658</v>
      </c>
      <c r="F11871">
        <v>48724</v>
      </c>
      <c r="G11871">
        <v>616372</v>
      </c>
      <c r="H11871">
        <f>_xlfn.XLOOKUP(FACT_IMPORTS[[#This Row],[hts_6]],DIM_PRODUCTS[hts_6],DIM_PRODUCTS[hts_4],,,)</f>
        <v>4011</v>
      </c>
      <c r="I11871" t="str" cm="1">
        <f t="array" ref="I11871">_xlfn.XLOOKUP(FACT_IMPORTS[[#This Row],[country_name]],DIM_COUNTRY[[#All],[Column2]],DIM_COUNTRY[[#All],[Column3]],,,)</f>
        <v>Major_Non-USMCA_Non-China</v>
      </c>
    </row>
    <row r="11872" spans="1:9" x14ac:dyDescent="0.4">
      <c r="A11872" t="s">
        <v>73</v>
      </c>
      <c r="B11872" s="1">
        <v>45536</v>
      </c>
      <c r="C11872">
        <v>401120</v>
      </c>
      <c r="D11872" t="s">
        <v>176</v>
      </c>
      <c r="E11872">
        <v>110218</v>
      </c>
      <c r="F11872">
        <v>1418</v>
      </c>
      <c r="G11872">
        <v>16054</v>
      </c>
      <c r="H11872">
        <f>_xlfn.XLOOKUP(FACT_IMPORTS[[#This Row],[hts_6]],DIM_PRODUCTS[hts_6],DIM_PRODUCTS[hts_4],,,)</f>
        <v>4011</v>
      </c>
      <c r="I11872" t="str" cm="1">
        <f t="array" ref="I11872">_xlfn.XLOOKUP(FACT_IMPORTS[[#This Row],[country_name]],DIM_COUNTRY[[#All],[Column2]],DIM_COUNTRY[[#All],[Column3]],,,)</f>
        <v>Major_Non-USMCA_Non-China</v>
      </c>
    </row>
    <row r="11873" spans="1:9" x14ac:dyDescent="0.4">
      <c r="A11873" t="s">
        <v>73</v>
      </c>
      <c r="B11873" s="1">
        <v>45536</v>
      </c>
      <c r="C11873">
        <v>401190</v>
      </c>
      <c r="D11873" t="s">
        <v>176</v>
      </c>
      <c r="E11873">
        <v>0</v>
      </c>
      <c r="F11873">
        <v>0</v>
      </c>
      <c r="G11873">
        <v>0</v>
      </c>
      <c r="H11873">
        <f>_xlfn.XLOOKUP(FACT_IMPORTS[[#This Row],[hts_6]],DIM_PRODUCTS[hts_6],DIM_PRODUCTS[hts_4],,,)</f>
        <v>4011</v>
      </c>
      <c r="I11873" t="str" cm="1">
        <f t="array" ref="I11873">_xlfn.XLOOKUP(FACT_IMPORTS[[#This Row],[country_name]],DIM_COUNTRY[[#All],[Column2]],DIM_COUNTRY[[#All],[Column3]],,,)</f>
        <v>Major_Non-USMCA_Non-China</v>
      </c>
    </row>
    <row r="11874" spans="1:9" x14ac:dyDescent="0.4">
      <c r="A11874" t="s">
        <v>73</v>
      </c>
      <c r="B11874" s="1">
        <v>45536</v>
      </c>
      <c r="C11874">
        <v>700711</v>
      </c>
      <c r="D11874" t="s">
        <v>176</v>
      </c>
      <c r="E11874">
        <v>3969</v>
      </c>
      <c r="F11874">
        <v>2</v>
      </c>
      <c r="G11874">
        <v>65</v>
      </c>
      <c r="H11874">
        <f>_xlfn.XLOOKUP(FACT_IMPORTS[[#This Row],[hts_6]],DIM_PRODUCTS[hts_6],DIM_PRODUCTS[hts_4],,,)</f>
        <v>7007</v>
      </c>
      <c r="I11874" t="str" cm="1">
        <f t="array" ref="I11874">_xlfn.XLOOKUP(FACT_IMPORTS[[#This Row],[country_name]],DIM_COUNTRY[[#All],[Column2]],DIM_COUNTRY[[#All],[Column3]],,,)</f>
        <v>Major_Non-USMCA_Non-China</v>
      </c>
    </row>
    <row r="11875" spans="1:9" x14ac:dyDescent="0.4">
      <c r="A11875" t="s">
        <v>73</v>
      </c>
      <c r="B11875" s="1">
        <v>45536</v>
      </c>
      <c r="C11875">
        <v>700910</v>
      </c>
      <c r="D11875" t="s">
        <v>176</v>
      </c>
      <c r="E11875">
        <v>92888</v>
      </c>
      <c r="F11875">
        <v>853</v>
      </c>
      <c r="G11875">
        <v>166</v>
      </c>
      <c r="H11875">
        <f>_xlfn.XLOOKUP(FACT_IMPORTS[[#This Row],[hts_6]],DIM_PRODUCTS[hts_6],DIM_PRODUCTS[hts_4],,,)</f>
        <v>7009</v>
      </c>
      <c r="I11875" t="str" cm="1">
        <f t="array" ref="I11875">_xlfn.XLOOKUP(FACT_IMPORTS[[#This Row],[country_name]],DIM_COUNTRY[[#All],[Column2]],DIM_COUNTRY[[#All],[Column3]],,,)</f>
        <v>Major_Non-USMCA_Non-China</v>
      </c>
    </row>
    <row r="11876" spans="1:9" x14ac:dyDescent="0.4">
      <c r="A11876" t="s">
        <v>73</v>
      </c>
      <c r="B11876" s="1">
        <v>45536</v>
      </c>
      <c r="C11876">
        <v>830230</v>
      </c>
      <c r="D11876" t="s">
        <v>176</v>
      </c>
      <c r="E11876">
        <v>3417060</v>
      </c>
      <c r="F11876">
        <v>530895</v>
      </c>
      <c r="G11876">
        <v>70254</v>
      </c>
      <c r="H11876">
        <f>_xlfn.XLOOKUP(FACT_IMPORTS[[#This Row],[hts_6]],DIM_PRODUCTS[hts_6],DIM_PRODUCTS[hts_4],,,)</f>
        <v>8302</v>
      </c>
      <c r="I11876" t="str" cm="1">
        <f t="array" ref="I11876">_xlfn.XLOOKUP(FACT_IMPORTS[[#This Row],[country_name]],DIM_COUNTRY[[#All],[Column2]],DIM_COUNTRY[[#All],[Column3]],,,)</f>
        <v>Major_Non-USMCA_Non-China</v>
      </c>
    </row>
    <row r="11877" spans="1:9" x14ac:dyDescent="0.4">
      <c r="A11877" t="s">
        <v>73</v>
      </c>
      <c r="B11877" s="1">
        <v>45536</v>
      </c>
      <c r="C11877">
        <v>840734</v>
      </c>
      <c r="D11877" t="s">
        <v>176</v>
      </c>
      <c r="E11877">
        <v>81114</v>
      </c>
      <c r="F11877">
        <v>38</v>
      </c>
      <c r="G11877">
        <v>233</v>
      </c>
      <c r="H11877">
        <f>_xlfn.XLOOKUP(FACT_IMPORTS[[#This Row],[hts_6]],DIM_PRODUCTS[hts_6],DIM_PRODUCTS[hts_4],,,)</f>
        <v>8407</v>
      </c>
      <c r="I11877" t="str" cm="1">
        <f t="array" ref="I11877">_xlfn.XLOOKUP(FACT_IMPORTS[[#This Row],[country_name]],DIM_COUNTRY[[#All],[Column2]],DIM_COUNTRY[[#All],[Column3]],,,)</f>
        <v>Major_Non-USMCA_Non-China</v>
      </c>
    </row>
    <row r="11878" spans="1:9" x14ac:dyDescent="0.4">
      <c r="A11878" t="s">
        <v>73</v>
      </c>
      <c r="B11878" s="1">
        <v>45536</v>
      </c>
      <c r="C11878">
        <v>840820</v>
      </c>
      <c r="D11878" t="s">
        <v>176</v>
      </c>
      <c r="E11878">
        <v>0</v>
      </c>
      <c r="F11878">
        <v>0</v>
      </c>
      <c r="G11878">
        <v>0</v>
      </c>
      <c r="H11878">
        <f>_xlfn.XLOOKUP(FACT_IMPORTS[[#This Row],[hts_6]],DIM_PRODUCTS[hts_6],DIM_PRODUCTS[hts_4],,,)</f>
        <v>8408</v>
      </c>
      <c r="I11878" t="str" cm="1">
        <f t="array" ref="I11878">_xlfn.XLOOKUP(FACT_IMPORTS[[#This Row],[country_name]],DIM_COUNTRY[[#All],[Column2]],DIM_COUNTRY[[#All],[Column3]],,,)</f>
        <v>Major_Non-USMCA_Non-China</v>
      </c>
    </row>
    <row r="11879" spans="1:9" x14ac:dyDescent="0.4">
      <c r="A11879" t="s">
        <v>73</v>
      </c>
      <c r="B11879" s="1">
        <v>45536</v>
      </c>
      <c r="C11879">
        <v>840890</v>
      </c>
      <c r="D11879" t="s">
        <v>176</v>
      </c>
      <c r="E11879">
        <v>0</v>
      </c>
      <c r="F11879">
        <v>0</v>
      </c>
      <c r="G11879">
        <v>0</v>
      </c>
      <c r="H11879">
        <f>_xlfn.XLOOKUP(FACT_IMPORTS[[#This Row],[hts_6]],DIM_PRODUCTS[hts_6],DIM_PRODUCTS[hts_4],,,)</f>
        <v>8408</v>
      </c>
      <c r="I11879" t="str" cm="1">
        <f t="array" ref="I11879">_xlfn.XLOOKUP(FACT_IMPORTS[[#This Row],[country_name]],DIM_COUNTRY[[#All],[Column2]],DIM_COUNTRY[[#All],[Column3]],,,)</f>
        <v>Major_Non-USMCA_Non-China</v>
      </c>
    </row>
    <row r="11880" spans="1:9" x14ac:dyDescent="0.4">
      <c r="A11880" t="s">
        <v>73</v>
      </c>
      <c r="B11880" s="1">
        <v>45536</v>
      </c>
      <c r="C11880">
        <v>840991</v>
      </c>
      <c r="D11880" t="s">
        <v>176</v>
      </c>
      <c r="E11880">
        <v>5866710</v>
      </c>
      <c r="F11880">
        <v>325977</v>
      </c>
      <c r="G11880">
        <v>80682</v>
      </c>
      <c r="H11880">
        <f>_xlfn.XLOOKUP(FACT_IMPORTS[[#This Row],[hts_6]],DIM_PRODUCTS[hts_6],DIM_PRODUCTS[hts_4],,,)</f>
        <v>8409</v>
      </c>
      <c r="I11880" t="str" cm="1">
        <f t="array" ref="I11880">_xlfn.XLOOKUP(FACT_IMPORTS[[#This Row],[country_name]],DIM_COUNTRY[[#All],[Column2]],DIM_COUNTRY[[#All],[Column3]],,,)</f>
        <v>Major_Non-USMCA_Non-China</v>
      </c>
    </row>
    <row r="11881" spans="1:9" x14ac:dyDescent="0.4">
      <c r="A11881" t="s">
        <v>73</v>
      </c>
      <c r="B11881" s="1">
        <v>45536</v>
      </c>
      <c r="C11881">
        <v>840999</v>
      </c>
      <c r="D11881" t="s">
        <v>176</v>
      </c>
      <c r="E11881">
        <v>252096</v>
      </c>
      <c r="F11881">
        <v>9673</v>
      </c>
      <c r="G11881">
        <v>2285</v>
      </c>
      <c r="H11881">
        <f>_xlfn.XLOOKUP(FACT_IMPORTS[[#This Row],[hts_6]],DIM_PRODUCTS[hts_6],DIM_PRODUCTS[hts_4],,,)</f>
        <v>8409</v>
      </c>
      <c r="I11881" t="str" cm="1">
        <f t="array" ref="I11881">_xlfn.XLOOKUP(FACT_IMPORTS[[#This Row],[country_name]],DIM_COUNTRY[[#All],[Column2]],DIM_COUNTRY[[#All],[Column3]],,,)</f>
        <v>Major_Non-USMCA_Non-China</v>
      </c>
    </row>
    <row r="11882" spans="1:9" x14ac:dyDescent="0.4">
      <c r="A11882" t="s">
        <v>73</v>
      </c>
      <c r="B11882" s="1">
        <v>45536</v>
      </c>
      <c r="C11882">
        <v>841330</v>
      </c>
      <c r="D11882" t="s">
        <v>176</v>
      </c>
      <c r="E11882">
        <v>3425290</v>
      </c>
      <c r="F11882">
        <v>101734</v>
      </c>
      <c r="G11882">
        <v>144006</v>
      </c>
      <c r="H11882">
        <f>_xlfn.XLOOKUP(FACT_IMPORTS[[#This Row],[hts_6]],DIM_PRODUCTS[hts_6],DIM_PRODUCTS[hts_4],,,)</f>
        <v>8413</v>
      </c>
      <c r="I11882" t="str" cm="1">
        <f t="array" ref="I11882">_xlfn.XLOOKUP(FACT_IMPORTS[[#This Row],[country_name]],DIM_COUNTRY[[#All],[Column2]],DIM_COUNTRY[[#All],[Column3]],,,)</f>
        <v>Major_Non-USMCA_Non-China</v>
      </c>
    </row>
    <row r="11883" spans="1:9" x14ac:dyDescent="0.4">
      <c r="A11883" t="s">
        <v>73</v>
      </c>
      <c r="B11883" s="1">
        <v>45536</v>
      </c>
      <c r="C11883">
        <v>842132</v>
      </c>
      <c r="D11883" t="s">
        <v>176</v>
      </c>
      <c r="E11883">
        <v>133171</v>
      </c>
      <c r="F11883">
        <v>66</v>
      </c>
      <c r="G11883">
        <v>542</v>
      </c>
      <c r="H11883">
        <f>_xlfn.XLOOKUP(FACT_IMPORTS[[#This Row],[hts_6]],DIM_PRODUCTS[hts_6],DIM_PRODUCTS[hts_4],,,)</f>
        <v>8421</v>
      </c>
      <c r="I11883" t="str" cm="1">
        <f t="array" ref="I11883">_xlfn.XLOOKUP(FACT_IMPORTS[[#This Row],[country_name]],DIM_COUNTRY[[#All],[Column2]],DIM_COUNTRY[[#All],[Column3]],,,)</f>
        <v>Major_Non-USMCA_Non-China</v>
      </c>
    </row>
    <row r="11884" spans="1:9" x14ac:dyDescent="0.4">
      <c r="A11884" t="s">
        <v>73</v>
      </c>
      <c r="B11884" s="1">
        <v>45536</v>
      </c>
      <c r="C11884">
        <v>848210</v>
      </c>
      <c r="D11884" t="s">
        <v>176</v>
      </c>
      <c r="E11884">
        <v>442961</v>
      </c>
      <c r="F11884">
        <v>88236</v>
      </c>
      <c r="G11884">
        <v>810</v>
      </c>
      <c r="H11884">
        <f>_xlfn.XLOOKUP(FACT_IMPORTS[[#This Row],[hts_6]],DIM_PRODUCTS[hts_6],DIM_PRODUCTS[hts_4],,,)</f>
        <v>8482</v>
      </c>
      <c r="I11884" t="str" cm="1">
        <f t="array" ref="I11884">_xlfn.XLOOKUP(FACT_IMPORTS[[#This Row],[country_name]],DIM_COUNTRY[[#All],[Column2]],DIM_COUNTRY[[#All],[Column3]],,,)</f>
        <v>Major_Non-USMCA_Non-China</v>
      </c>
    </row>
    <row r="11885" spans="1:9" x14ac:dyDescent="0.4">
      <c r="A11885" t="s">
        <v>73</v>
      </c>
      <c r="B11885" s="1">
        <v>45536</v>
      </c>
      <c r="C11885">
        <v>848220</v>
      </c>
      <c r="D11885" t="s">
        <v>176</v>
      </c>
      <c r="E11885">
        <v>4705246</v>
      </c>
      <c r="F11885">
        <v>1185219</v>
      </c>
      <c r="G11885">
        <v>2426</v>
      </c>
      <c r="H11885">
        <f>_xlfn.XLOOKUP(FACT_IMPORTS[[#This Row],[hts_6]],DIM_PRODUCTS[hts_6],DIM_PRODUCTS[hts_4],,,)</f>
        <v>8482</v>
      </c>
      <c r="I11885" t="str" cm="1">
        <f t="array" ref="I11885">_xlfn.XLOOKUP(FACT_IMPORTS[[#This Row],[country_name]],DIM_COUNTRY[[#All],[Column2]],DIM_COUNTRY[[#All],[Column3]],,,)</f>
        <v>Major_Non-USMCA_Non-China</v>
      </c>
    </row>
    <row r="11886" spans="1:9" x14ac:dyDescent="0.4">
      <c r="A11886" t="s">
        <v>73</v>
      </c>
      <c r="B11886" s="1">
        <v>45536</v>
      </c>
      <c r="C11886">
        <v>848310</v>
      </c>
      <c r="D11886" t="s">
        <v>176</v>
      </c>
      <c r="E11886">
        <v>0</v>
      </c>
      <c r="F11886">
        <v>0</v>
      </c>
      <c r="G11886">
        <v>0</v>
      </c>
      <c r="H11886">
        <f>_xlfn.XLOOKUP(FACT_IMPORTS[[#This Row],[hts_6]],DIM_PRODUCTS[hts_6],DIM_PRODUCTS[hts_4],,,)</f>
        <v>8483</v>
      </c>
      <c r="I11886" t="str" cm="1">
        <f t="array" ref="I11886">_xlfn.XLOOKUP(FACT_IMPORTS[[#This Row],[country_name]],DIM_COUNTRY[[#All],[Column2]],DIM_COUNTRY[[#All],[Column3]],,,)</f>
        <v>Major_Non-USMCA_Non-China</v>
      </c>
    </row>
    <row r="11887" spans="1:9" x14ac:dyDescent="0.4">
      <c r="A11887" t="s">
        <v>73</v>
      </c>
      <c r="B11887" s="1">
        <v>45536</v>
      </c>
      <c r="C11887">
        <v>850131</v>
      </c>
      <c r="D11887" t="s">
        <v>176</v>
      </c>
      <c r="E11887">
        <v>1886151</v>
      </c>
      <c r="F11887">
        <v>166632</v>
      </c>
      <c r="G11887">
        <v>8513</v>
      </c>
      <c r="H11887">
        <f>_xlfn.XLOOKUP(FACT_IMPORTS[[#This Row],[hts_6]],DIM_PRODUCTS[hts_6],DIM_PRODUCTS[hts_4],,,)</f>
        <v>8501</v>
      </c>
      <c r="I11887" t="str" cm="1">
        <f t="array" ref="I11887">_xlfn.XLOOKUP(FACT_IMPORTS[[#This Row],[country_name]],DIM_COUNTRY[[#All],[Column2]],DIM_COUNTRY[[#All],[Column3]],,,)</f>
        <v>Major_Non-USMCA_Non-China</v>
      </c>
    </row>
    <row r="11888" spans="1:9" x14ac:dyDescent="0.4">
      <c r="A11888" t="s">
        <v>73</v>
      </c>
      <c r="B11888" s="1">
        <v>45536</v>
      </c>
      <c r="C11888">
        <v>850152</v>
      </c>
      <c r="D11888" t="s">
        <v>176</v>
      </c>
      <c r="E11888">
        <v>0</v>
      </c>
      <c r="F11888">
        <v>0</v>
      </c>
      <c r="G11888">
        <v>0</v>
      </c>
      <c r="H11888">
        <f>_xlfn.XLOOKUP(FACT_IMPORTS[[#This Row],[hts_6]],DIM_PRODUCTS[hts_6],DIM_PRODUCTS[hts_4],,,)</f>
        <v>8501</v>
      </c>
      <c r="I11888" t="str" cm="1">
        <f t="array" ref="I11888">_xlfn.XLOOKUP(FACT_IMPORTS[[#This Row],[country_name]],DIM_COUNTRY[[#All],[Column2]],DIM_COUNTRY[[#All],[Column3]],,,)</f>
        <v>Major_Non-USMCA_Non-China</v>
      </c>
    </row>
    <row r="11889" spans="1:9" x14ac:dyDescent="0.4">
      <c r="A11889" t="s">
        <v>73</v>
      </c>
      <c r="B11889" s="1">
        <v>45536</v>
      </c>
      <c r="C11889">
        <v>850153</v>
      </c>
      <c r="D11889" t="s">
        <v>176</v>
      </c>
      <c r="E11889">
        <v>6000</v>
      </c>
      <c r="F11889">
        <v>2</v>
      </c>
      <c r="G11889">
        <v>10</v>
      </c>
      <c r="H11889">
        <f>_xlfn.XLOOKUP(FACT_IMPORTS[[#This Row],[hts_6]],DIM_PRODUCTS[hts_6],DIM_PRODUCTS[hts_4],,,)</f>
        <v>8501</v>
      </c>
      <c r="I11889" t="str" cm="1">
        <f t="array" ref="I11889">_xlfn.XLOOKUP(FACT_IMPORTS[[#This Row],[country_name]],DIM_COUNTRY[[#All],[Column2]],DIM_COUNTRY[[#All],[Column3]],,,)</f>
        <v>Major_Non-USMCA_Non-China</v>
      </c>
    </row>
    <row r="11890" spans="1:9" x14ac:dyDescent="0.4">
      <c r="A11890" t="s">
        <v>73</v>
      </c>
      <c r="B11890" s="1">
        <v>45536</v>
      </c>
      <c r="C11890">
        <v>850440</v>
      </c>
      <c r="D11890" t="s">
        <v>176</v>
      </c>
      <c r="E11890">
        <v>1799594</v>
      </c>
      <c r="F11890">
        <v>1403</v>
      </c>
      <c r="G11890">
        <v>1495</v>
      </c>
      <c r="H11890">
        <f>_xlfn.XLOOKUP(FACT_IMPORTS[[#This Row],[hts_6]],DIM_PRODUCTS[hts_6],DIM_PRODUCTS[hts_4],,,)</f>
        <v>8504</v>
      </c>
      <c r="I11890" t="str" cm="1">
        <f t="array" ref="I11890">_xlfn.XLOOKUP(FACT_IMPORTS[[#This Row],[country_name]],DIM_COUNTRY[[#All],[Column2]],DIM_COUNTRY[[#All],[Column3]],,,)</f>
        <v>Major_Non-USMCA_Non-China</v>
      </c>
    </row>
    <row r="11891" spans="1:9" x14ac:dyDescent="0.4">
      <c r="A11891" t="s">
        <v>73</v>
      </c>
      <c r="B11891" s="1">
        <v>45536</v>
      </c>
      <c r="C11891">
        <v>850710</v>
      </c>
      <c r="D11891" t="s">
        <v>176</v>
      </c>
      <c r="E11891">
        <v>476544</v>
      </c>
      <c r="F11891">
        <v>11422</v>
      </c>
      <c r="G11891">
        <v>20217</v>
      </c>
      <c r="H11891">
        <f>_xlfn.XLOOKUP(FACT_IMPORTS[[#This Row],[hts_6]],DIM_PRODUCTS[hts_6],DIM_PRODUCTS[hts_4],,,)</f>
        <v>8507</v>
      </c>
      <c r="I11891" t="str" cm="1">
        <f t="array" ref="I11891">_xlfn.XLOOKUP(FACT_IMPORTS[[#This Row],[country_name]],DIM_COUNTRY[[#All],[Column2]],DIM_COUNTRY[[#All],[Column3]],,,)</f>
        <v>Major_Non-USMCA_Non-China</v>
      </c>
    </row>
    <row r="11892" spans="1:9" x14ac:dyDescent="0.4">
      <c r="A11892" t="s">
        <v>73</v>
      </c>
      <c r="B11892" s="1">
        <v>45536</v>
      </c>
      <c r="C11892">
        <v>850760</v>
      </c>
      <c r="D11892" t="s">
        <v>176</v>
      </c>
      <c r="E11892">
        <v>84625</v>
      </c>
      <c r="F11892">
        <v>9</v>
      </c>
      <c r="G11892">
        <v>2722</v>
      </c>
      <c r="H11892">
        <f>_xlfn.XLOOKUP(FACT_IMPORTS[[#This Row],[hts_6]],DIM_PRODUCTS[hts_6],DIM_PRODUCTS[hts_4],,,)</f>
        <v>8507</v>
      </c>
      <c r="I11892" t="str" cm="1">
        <f t="array" ref="I11892">_xlfn.XLOOKUP(FACT_IMPORTS[[#This Row],[country_name]],DIM_COUNTRY[[#All],[Column2]],DIM_COUNTRY[[#All],[Column3]],,,)</f>
        <v>Major_Non-USMCA_Non-China</v>
      </c>
    </row>
    <row r="11893" spans="1:9" x14ac:dyDescent="0.4">
      <c r="A11893" t="s">
        <v>73</v>
      </c>
      <c r="B11893" s="1">
        <v>45536</v>
      </c>
      <c r="C11893">
        <v>850790</v>
      </c>
      <c r="D11893" t="s">
        <v>176</v>
      </c>
      <c r="E11893">
        <v>1274242</v>
      </c>
      <c r="F11893">
        <v>62964</v>
      </c>
      <c r="G11893">
        <v>34155</v>
      </c>
      <c r="H11893">
        <f>_xlfn.XLOOKUP(FACT_IMPORTS[[#This Row],[hts_6]],DIM_PRODUCTS[hts_6],DIM_PRODUCTS[hts_4],,,)</f>
        <v>8507</v>
      </c>
      <c r="I11893" t="str" cm="1">
        <f t="array" ref="I11893">_xlfn.XLOOKUP(FACT_IMPORTS[[#This Row],[country_name]],DIM_COUNTRY[[#All],[Column2]],DIM_COUNTRY[[#All],[Column3]],,,)</f>
        <v>Major_Non-USMCA_Non-China</v>
      </c>
    </row>
    <row r="11894" spans="1:9" x14ac:dyDescent="0.4">
      <c r="A11894" t="s">
        <v>73</v>
      </c>
      <c r="B11894" s="1">
        <v>45536</v>
      </c>
      <c r="C11894">
        <v>851130</v>
      </c>
      <c r="D11894" t="s">
        <v>176</v>
      </c>
      <c r="E11894">
        <v>13222</v>
      </c>
      <c r="F11894">
        <v>306</v>
      </c>
      <c r="G11894">
        <v>17</v>
      </c>
      <c r="H11894">
        <f>_xlfn.XLOOKUP(FACT_IMPORTS[[#This Row],[hts_6]],DIM_PRODUCTS[hts_6],DIM_PRODUCTS[hts_4],,,)</f>
        <v>8511</v>
      </c>
      <c r="I11894" t="str" cm="1">
        <f t="array" ref="I11894">_xlfn.XLOOKUP(FACT_IMPORTS[[#This Row],[country_name]],DIM_COUNTRY[[#All],[Column2]],DIM_COUNTRY[[#All],[Column3]],,,)</f>
        <v>Major_Non-USMCA_Non-China</v>
      </c>
    </row>
    <row r="11895" spans="1:9" x14ac:dyDescent="0.4">
      <c r="A11895" t="s">
        <v>73</v>
      </c>
      <c r="B11895" s="1">
        <v>45536</v>
      </c>
      <c r="C11895">
        <v>851140</v>
      </c>
      <c r="D11895" t="s">
        <v>176</v>
      </c>
      <c r="E11895">
        <v>1205427</v>
      </c>
      <c r="F11895">
        <v>4040</v>
      </c>
      <c r="G11895">
        <v>8822</v>
      </c>
      <c r="H11895">
        <f>_xlfn.XLOOKUP(FACT_IMPORTS[[#This Row],[hts_6]],DIM_PRODUCTS[hts_6],DIM_PRODUCTS[hts_4],,,)</f>
        <v>8511</v>
      </c>
      <c r="I11895" t="str" cm="1">
        <f t="array" ref="I11895">_xlfn.XLOOKUP(FACT_IMPORTS[[#This Row],[country_name]],DIM_COUNTRY[[#All],[Column2]],DIM_COUNTRY[[#All],[Column3]],,,)</f>
        <v>Major_Non-USMCA_Non-China</v>
      </c>
    </row>
    <row r="11896" spans="1:9" x14ac:dyDescent="0.4">
      <c r="A11896" t="s">
        <v>73</v>
      </c>
      <c r="B11896" s="1">
        <v>45536</v>
      </c>
      <c r="C11896">
        <v>851150</v>
      </c>
      <c r="D11896" t="s">
        <v>176</v>
      </c>
      <c r="E11896">
        <v>87349</v>
      </c>
      <c r="F11896">
        <v>308</v>
      </c>
      <c r="G11896">
        <v>138</v>
      </c>
      <c r="H11896">
        <f>_xlfn.XLOOKUP(FACT_IMPORTS[[#This Row],[hts_6]],DIM_PRODUCTS[hts_6],DIM_PRODUCTS[hts_4],,,)</f>
        <v>8511</v>
      </c>
      <c r="I11896" t="str" cm="1">
        <f t="array" ref="I11896">_xlfn.XLOOKUP(FACT_IMPORTS[[#This Row],[country_name]],DIM_COUNTRY[[#All],[Column2]],DIM_COUNTRY[[#All],[Column3]],,,)</f>
        <v>Major_Non-USMCA_Non-China</v>
      </c>
    </row>
    <row r="11897" spans="1:9" x14ac:dyDescent="0.4">
      <c r="A11897" t="s">
        <v>73</v>
      </c>
      <c r="B11897" s="1">
        <v>45536</v>
      </c>
      <c r="C11897">
        <v>851190</v>
      </c>
      <c r="D11897" t="s">
        <v>176</v>
      </c>
      <c r="E11897">
        <v>213425</v>
      </c>
      <c r="F11897">
        <v>24516</v>
      </c>
      <c r="G11897">
        <v>10344</v>
      </c>
      <c r="H11897">
        <f>_xlfn.XLOOKUP(FACT_IMPORTS[[#This Row],[hts_6]],DIM_PRODUCTS[hts_6],DIM_PRODUCTS[hts_4],,,)</f>
        <v>8511</v>
      </c>
      <c r="I11897" t="str" cm="1">
        <f t="array" ref="I11897">_xlfn.XLOOKUP(FACT_IMPORTS[[#This Row],[country_name]],DIM_COUNTRY[[#All],[Column2]],DIM_COUNTRY[[#All],[Column3]],,,)</f>
        <v>Major_Non-USMCA_Non-China</v>
      </c>
    </row>
    <row r="11898" spans="1:9" x14ac:dyDescent="0.4">
      <c r="A11898" t="s">
        <v>73</v>
      </c>
      <c r="B11898" s="1">
        <v>45536</v>
      </c>
      <c r="C11898">
        <v>851220</v>
      </c>
      <c r="D11898" t="s">
        <v>176</v>
      </c>
      <c r="E11898">
        <v>8545827</v>
      </c>
      <c r="F11898">
        <v>823870</v>
      </c>
      <c r="G11898">
        <v>156820</v>
      </c>
      <c r="H11898">
        <f>_xlfn.XLOOKUP(FACT_IMPORTS[[#This Row],[hts_6]],DIM_PRODUCTS[hts_6],DIM_PRODUCTS[hts_4],,,)</f>
        <v>8512</v>
      </c>
      <c r="I11898" t="str" cm="1">
        <f t="array" ref="I11898">_xlfn.XLOOKUP(FACT_IMPORTS[[#This Row],[country_name]],DIM_COUNTRY[[#All],[Column2]],DIM_COUNTRY[[#All],[Column3]],,,)</f>
        <v>Major_Non-USMCA_Non-China</v>
      </c>
    </row>
    <row r="11899" spans="1:9" x14ac:dyDescent="0.4">
      <c r="A11899" t="s">
        <v>73</v>
      </c>
      <c r="B11899" s="1">
        <v>45536</v>
      </c>
      <c r="C11899">
        <v>851240</v>
      </c>
      <c r="D11899" t="s">
        <v>176</v>
      </c>
      <c r="E11899">
        <v>416560</v>
      </c>
      <c r="F11899">
        <v>19296</v>
      </c>
      <c r="G11899">
        <v>5884</v>
      </c>
      <c r="H11899">
        <f>_xlfn.XLOOKUP(FACT_IMPORTS[[#This Row],[hts_6]],DIM_PRODUCTS[hts_6],DIM_PRODUCTS[hts_4],,,)</f>
        <v>8512</v>
      </c>
      <c r="I11899" t="str" cm="1">
        <f t="array" ref="I11899">_xlfn.XLOOKUP(FACT_IMPORTS[[#This Row],[country_name]],DIM_COUNTRY[[#All],[Column2]],DIM_COUNTRY[[#All],[Column3]],,,)</f>
        <v>Major_Non-USMCA_Non-China</v>
      </c>
    </row>
    <row r="11900" spans="1:9" x14ac:dyDescent="0.4">
      <c r="A11900" t="s">
        <v>73</v>
      </c>
      <c r="B11900" s="1">
        <v>45536</v>
      </c>
      <c r="C11900">
        <v>851290</v>
      </c>
      <c r="D11900" t="s">
        <v>176</v>
      </c>
      <c r="E11900">
        <v>717127</v>
      </c>
      <c r="F11900">
        <v>345020</v>
      </c>
      <c r="G11900">
        <v>25489</v>
      </c>
      <c r="H11900">
        <f>_xlfn.XLOOKUP(FACT_IMPORTS[[#This Row],[hts_6]],DIM_PRODUCTS[hts_6],DIM_PRODUCTS[hts_4],,,)</f>
        <v>8512</v>
      </c>
      <c r="I11900" t="str" cm="1">
        <f t="array" ref="I11900">_xlfn.XLOOKUP(FACT_IMPORTS[[#This Row],[country_name]],DIM_COUNTRY[[#All],[Column2]],DIM_COUNTRY[[#All],[Column3]],,,)</f>
        <v>Major_Non-USMCA_Non-China</v>
      </c>
    </row>
    <row r="11901" spans="1:9" x14ac:dyDescent="0.4">
      <c r="A11901" t="s">
        <v>73</v>
      </c>
      <c r="B11901" s="1">
        <v>45536</v>
      </c>
      <c r="C11901">
        <v>854231</v>
      </c>
      <c r="D11901" t="s">
        <v>176</v>
      </c>
      <c r="E11901">
        <v>0</v>
      </c>
      <c r="F11901">
        <v>0</v>
      </c>
      <c r="G11901">
        <v>0</v>
      </c>
      <c r="H11901">
        <f>_xlfn.XLOOKUP(FACT_IMPORTS[[#This Row],[hts_6]],DIM_PRODUCTS[hts_6],DIM_PRODUCTS[hts_4],,,)</f>
        <v>8542</v>
      </c>
      <c r="I11901" t="str" cm="1">
        <f t="array" ref="I11901">_xlfn.XLOOKUP(FACT_IMPORTS[[#This Row],[country_name]],DIM_COUNTRY[[#All],[Column2]],DIM_COUNTRY[[#All],[Column3]],,,)</f>
        <v>Major_Non-USMCA_Non-China</v>
      </c>
    </row>
    <row r="11902" spans="1:9" x14ac:dyDescent="0.4">
      <c r="A11902" t="s">
        <v>73</v>
      </c>
      <c r="B11902" s="1">
        <v>45536</v>
      </c>
      <c r="C11902">
        <v>854232</v>
      </c>
      <c r="D11902" t="s">
        <v>176</v>
      </c>
      <c r="E11902">
        <v>67361</v>
      </c>
      <c r="F11902">
        <v>1728</v>
      </c>
      <c r="G11902">
        <v>369</v>
      </c>
      <c r="H11902">
        <f>_xlfn.XLOOKUP(FACT_IMPORTS[[#This Row],[hts_6]],DIM_PRODUCTS[hts_6],DIM_PRODUCTS[hts_4],,,)</f>
        <v>8542</v>
      </c>
      <c r="I11902" t="str" cm="1">
        <f t="array" ref="I11902">_xlfn.XLOOKUP(FACT_IMPORTS[[#This Row],[country_name]],DIM_COUNTRY[[#All],[Column2]],DIM_COUNTRY[[#All],[Column3]],,,)</f>
        <v>Major_Non-USMCA_Non-China</v>
      </c>
    </row>
    <row r="11903" spans="1:9" x14ac:dyDescent="0.4">
      <c r="A11903" t="s">
        <v>73</v>
      </c>
      <c r="B11903" s="1">
        <v>45536</v>
      </c>
      <c r="C11903">
        <v>854239</v>
      </c>
      <c r="D11903" t="s">
        <v>176</v>
      </c>
      <c r="E11903">
        <v>73993</v>
      </c>
      <c r="F11903">
        <v>24006</v>
      </c>
      <c r="G11903">
        <v>4310</v>
      </c>
      <c r="H11903">
        <f>_xlfn.XLOOKUP(FACT_IMPORTS[[#This Row],[hts_6]],DIM_PRODUCTS[hts_6],DIM_PRODUCTS[hts_4],,,)</f>
        <v>8542</v>
      </c>
      <c r="I11903" t="str" cm="1">
        <f t="array" ref="I11903">_xlfn.XLOOKUP(FACT_IMPORTS[[#This Row],[country_name]],DIM_COUNTRY[[#All],[Column2]],DIM_COUNTRY[[#All],[Column3]],,,)</f>
        <v>Major_Non-USMCA_Non-China</v>
      </c>
    </row>
    <row r="11904" spans="1:9" x14ac:dyDescent="0.4">
      <c r="A11904" t="s">
        <v>73</v>
      </c>
      <c r="B11904" s="1">
        <v>45536</v>
      </c>
      <c r="C11904">
        <v>854430</v>
      </c>
      <c r="D11904" t="s">
        <v>176</v>
      </c>
      <c r="E11904">
        <v>80748</v>
      </c>
      <c r="F11904">
        <v>53</v>
      </c>
      <c r="G11904">
        <v>389</v>
      </c>
      <c r="H11904">
        <f>_xlfn.XLOOKUP(FACT_IMPORTS[[#This Row],[hts_6]],DIM_PRODUCTS[hts_6],DIM_PRODUCTS[hts_4],,,)</f>
        <v>8544</v>
      </c>
      <c r="I11904" t="str" cm="1">
        <f t="array" ref="I11904">_xlfn.XLOOKUP(FACT_IMPORTS[[#This Row],[country_name]],DIM_COUNTRY[[#All],[Column2]],DIM_COUNTRY[[#All],[Column3]],,,)</f>
        <v>Major_Non-USMCA_Non-China</v>
      </c>
    </row>
    <row r="11905" spans="1:9" x14ac:dyDescent="0.4">
      <c r="A11905" t="s">
        <v>73</v>
      </c>
      <c r="B11905" s="1">
        <v>45536</v>
      </c>
      <c r="C11905">
        <v>870810</v>
      </c>
      <c r="D11905" t="s">
        <v>176</v>
      </c>
      <c r="E11905">
        <v>2446148</v>
      </c>
      <c r="F11905">
        <v>32011</v>
      </c>
      <c r="G11905">
        <v>10405</v>
      </c>
      <c r="H11905">
        <f>_xlfn.XLOOKUP(FACT_IMPORTS[[#This Row],[hts_6]],DIM_PRODUCTS[hts_6],DIM_PRODUCTS[hts_4],,,)</f>
        <v>8708</v>
      </c>
      <c r="I11905" t="str" cm="1">
        <f t="array" ref="I11905">_xlfn.XLOOKUP(FACT_IMPORTS[[#This Row],[country_name]],DIM_COUNTRY[[#All],[Column2]],DIM_COUNTRY[[#All],[Column3]],,,)</f>
        <v>Major_Non-USMCA_Non-China</v>
      </c>
    </row>
    <row r="11906" spans="1:9" x14ac:dyDescent="0.4">
      <c r="A11906" t="s">
        <v>73</v>
      </c>
      <c r="B11906" s="1">
        <v>45536</v>
      </c>
      <c r="C11906">
        <v>870822</v>
      </c>
      <c r="D11906" t="s">
        <v>176</v>
      </c>
      <c r="E11906">
        <v>257344</v>
      </c>
      <c r="F11906">
        <v>1193</v>
      </c>
      <c r="G11906">
        <v>371</v>
      </c>
      <c r="H11906">
        <f>_xlfn.XLOOKUP(FACT_IMPORTS[[#This Row],[hts_6]],DIM_PRODUCTS[hts_6],DIM_PRODUCTS[hts_4],,,)</f>
        <v>8708</v>
      </c>
      <c r="I11906" t="str" cm="1">
        <f t="array" ref="I11906">_xlfn.XLOOKUP(FACT_IMPORTS[[#This Row],[country_name]],DIM_COUNTRY[[#All],[Column2]],DIM_COUNTRY[[#All],[Column3]],,,)</f>
        <v>Major_Non-USMCA_Non-China</v>
      </c>
    </row>
    <row r="11907" spans="1:9" x14ac:dyDescent="0.4">
      <c r="A11907" t="s">
        <v>73</v>
      </c>
      <c r="B11907" s="1">
        <v>45536</v>
      </c>
      <c r="C11907">
        <v>870829</v>
      </c>
      <c r="D11907" t="s">
        <v>176</v>
      </c>
      <c r="E11907">
        <v>8437265</v>
      </c>
      <c r="F11907">
        <v>3971779</v>
      </c>
      <c r="G11907">
        <v>318155</v>
      </c>
      <c r="H11907">
        <f>_xlfn.XLOOKUP(FACT_IMPORTS[[#This Row],[hts_6]],DIM_PRODUCTS[hts_6],DIM_PRODUCTS[hts_4],,,)</f>
        <v>8708</v>
      </c>
      <c r="I11907" t="str" cm="1">
        <f t="array" ref="I11907">_xlfn.XLOOKUP(FACT_IMPORTS[[#This Row],[country_name]],DIM_COUNTRY[[#All],[Column2]],DIM_COUNTRY[[#All],[Column3]],,,)</f>
        <v>Major_Non-USMCA_Non-China</v>
      </c>
    </row>
    <row r="11908" spans="1:9" x14ac:dyDescent="0.4">
      <c r="A11908" t="s">
        <v>73</v>
      </c>
      <c r="B11908" s="1">
        <v>45536</v>
      </c>
      <c r="C11908">
        <v>870830</v>
      </c>
      <c r="D11908" t="s">
        <v>176</v>
      </c>
      <c r="E11908">
        <v>448802</v>
      </c>
      <c r="F11908">
        <v>293345</v>
      </c>
      <c r="G11908">
        <v>13290</v>
      </c>
      <c r="H11908">
        <f>_xlfn.XLOOKUP(FACT_IMPORTS[[#This Row],[hts_6]],DIM_PRODUCTS[hts_6],DIM_PRODUCTS[hts_4],,,)</f>
        <v>8708</v>
      </c>
      <c r="I11908" t="str" cm="1">
        <f t="array" ref="I11908">_xlfn.XLOOKUP(FACT_IMPORTS[[#This Row],[country_name]],DIM_COUNTRY[[#All],[Column2]],DIM_COUNTRY[[#All],[Column3]],,,)</f>
        <v>Major_Non-USMCA_Non-China</v>
      </c>
    </row>
    <row r="11909" spans="1:9" x14ac:dyDescent="0.4">
      <c r="A11909" t="s">
        <v>73</v>
      </c>
      <c r="B11909" s="1">
        <v>45536</v>
      </c>
      <c r="C11909">
        <v>870840</v>
      </c>
      <c r="D11909" t="s">
        <v>176</v>
      </c>
      <c r="E11909">
        <v>2667520</v>
      </c>
      <c r="F11909">
        <v>335072</v>
      </c>
      <c r="G11909">
        <v>63149</v>
      </c>
      <c r="H11909">
        <f>_xlfn.XLOOKUP(FACT_IMPORTS[[#This Row],[hts_6]],DIM_PRODUCTS[hts_6],DIM_PRODUCTS[hts_4],,,)</f>
        <v>8708</v>
      </c>
      <c r="I11909" t="str" cm="1">
        <f t="array" ref="I11909">_xlfn.XLOOKUP(FACT_IMPORTS[[#This Row],[country_name]],DIM_COUNTRY[[#All],[Column2]],DIM_COUNTRY[[#All],[Column3]],,,)</f>
        <v>Major_Non-USMCA_Non-China</v>
      </c>
    </row>
    <row r="11910" spans="1:9" x14ac:dyDescent="0.4">
      <c r="A11910" t="s">
        <v>73</v>
      </c>
      <c r="B11910" s="1">
        <v>45536</v>
      </c>
      <c r="C11910">
        <v>870850</v>
      </c>
      <c r="D11910" t="s">
        <v>176</v>
      </c>
      <c r="E11910">
        <v>20211588</v>
      </c>
      <c r="F11910">
        <v>1482046</v>
      </c>
      <c r="G11910">
        <v>483279</v>
      </c>
      <c r="H11910">
        <f>_xlfn.XLOOKUP(FACT_IMPORTS[[#This Row],[hts_6]],DIM_PRODUCTS[hts_6],DIM_PRODUCTS[hts_4],,,)</f>
        <v>8708</v>
      </c>
      <c r="I11910" t="str" cm="1">
        <f t="array" ref="I11910">_xlfn.XLOOKUP(FACT_IMPORTS[[#This Row],[country_name]],DIM_COUNTRY[[#All],[Column2]],DIM_COUNTRY[[#All],[Column3]],,,)</f>
        <v>Major_Non-USMCA_Non-China</v>
      </c>
    </row>
    <row r="11911" spans="1:9" x14ac:dyDescent="0.4">
      <c r="A11911" t="s">
        <v>73</v>
      </c>
      <c r="B11911" s="1">
        <v>45536</v>
      </c>
      <c r="C11911">
        <v>870870</v>
      </c>
      <c r="D11911" t="s">
        <v>176</v>
      </c>
      <c r="E11911">
        <v>796613</v>
      </c>
      <c r="F11911">
        <v>9887</v>
      </c>
      <c r="G11911">
        <v>7444</v>
      </c>
      <c r="H11911">
        <f>_xlfn.XLOOKUP(FACT_IMPORTS[[#This Row],[hts_6]],DIM_PRODUCTS[hts_6],DIM_PRODUCTS[hts_4],,,)</f>
        <v>8708</v>
      </c>
      <c r="I11911" t="str" cm="1">
        <f t="array" ref="I11911">_xlfn.XLOOKUP(FACT_IMPORTS[[#This Row],[country_name]],DIM_COUNTRY[[#All],[Column2]],DIM_COUNTRY[[#All],[Column3]],,,)</f>
        <v>Major_Non-USMCA_Non-China</v>
      </c>
    </row>
    <row r="11912" spans="1:9" x14ac:dyDescent="0.4">
      <c r="A11912" t="s">
        <v>73</v>
      </c>
      <c r="B11912" s="1">
        <v>45536</v>
      </c>
      <c r="C11912">
        <v>870880</v>
      </c>
      <c r="D11912" t="s">
        <v>176</v>
      </c>
      <c r="E11912">
        <v>4350703</v>
      </c>
      <c r="F11912">
        <v>1248966</v>
      </c>
      <c r="G11912">
        <v>163767</v>
      </c>
      <c r="H11912">
        <f>_xlfn.XLOOKUP(FACT_IMPORTS[[#This Row],[hts_6]],DIM_PRODUCTS[hts_6],DIM_PRODUCTS[hts_4],,,)</f>
        <v>8708</v>
      </c>
      <c r="I11912" t="str" cm="1">
        <f t="array" ref="I11912">_xlfn.XLOOKUP(FACT_IMPORTS[[#This Row],[country_name]],DIM_COUNTRY[[#All],[Column2]],DIM_COUNTRY[[#All],[Column3]],,,)</f>
        <v>Major_Non-USMCA_Non-China</v>
      </c>
    </row>
    <row r="11913" spans="1:9" x14ac:dyDescent="0.4">
      <c r="A11913" t="s">
        <v>73</v>
      </c>
      <c r="B11913" s="1">
        <v>45536</v>
      </c>
      <c r="C11913">
        <v>870891</v>
      </c>
      <c r="D11913" t="s">
        <v>176</v>
      </c>
      <c r="E11913">
        <v>263507</v>
      </c>
      <c r="F11913">
        <v>1186</v>
      </c>
      <c r="G11913">
        <v>683</v>
      </c>
      <c r="H11913">
        <f>_xlfn.XLOOKUP(FACT_IMPORTS[[#This Row],[hts_6]],DIM_PRODUCTS[hts_6],DIM_PRODUCTS[hts_4],,,)</f>
        <v>8708</v>
      </c>
      <c r="I11913" t="str" cm="1">
        <f t="array" ref="I11913">_xlfn.XLOOKUP(FACT_IMPORTS[[#This Row],[country_name]],DIM_COUNTRY[[#All],[Column2]],DIM_COUNTRY[[#All],[Column3]],,,)</f>
        <v>Major_Non-USMCA_Non-China</v>
      </c>
    </row>
    <row r="11914" spans="1:9" x14ac:dyDescent="0.4">
      <c r="A11914" t="s">
        <v>73</v>
      </c>
      <c r="B11914" s="1">
        <v>45536</v>
      </c>
      <c r="C11914">
        <v>870892</v>
      </c>
      <c r="D11914" t="s">
        <v>176</v>
      </c>
      <c r="E11914">
        <v>52999</v>
      </c>
      <c r="F11914">
        <v>222</v>
      </c>
      <c r="G11914">
        <v>85</v>
      </c>
      <c r="H11914">
        <f>_xlfn.XLOOKUP(FACT_IMPORTS[[#This Row],[hts_6]],DIM_PRODUCTS[hts_6],DIM_PRODUCTS[hts_4],,,)</f>
        <v>8708</v>
      </c>
      <c r="I11914" t="str" cm="1">
        <f t="array" ref="I11914">_xlfn.XLOOKUP(FACT_IMPORTS[[#This Row],[country_name]],DIM_COUNTRY[[#All],[Column2]],DIM_COUNTRY[[#All],[Column3]],,,)</f>
        <v>Major_Non-USMCA_Non-China</v>
      </c>
    </row>
    <row r="11915" spans="1:9" x14ac:dyDescent="0.4">
      <c r="A11915" t="s">
        <v>73</v>
      </c>
      <c r="B11915" s="1">
        <v>45536</v>
      </c>
      <c r="C11915">
        <v>870893</v>
      </c>
      <c r="D11915" t="s">
        <v>176</v>
      </c>
      <c r="E11915">
        <v>1554087</v>
      </c>
      <c r="F11915">
        <v>125475</v>
      </c>
      <c r="G11915">
        <v>30307</v>
      </c>
      <c r="H11915">
        <f>_xlfn.XLOOKUP(FACT_IMPORTS[[#This Row],[hts_6]],DIM_PRODUCTS[hts_6],DIM_PRODUCTS[hts_4],,,)</f>
        <v>8708</v>
      </c>
      <c r="I11915" t="str" cm="1">
        <f t="array" ref="I11915">_xlfn.XLOOKUP(FACT_IMPORTS[[#This Row],[country_name]],DIM_COUNTRY[[#All],[Column2]],DIM_COUNTRY[[#All],[Column3]],,,)</f>
        <v>Major_Non-USMCA_Non-China</v>
      </c>
    </row>
    <row r="11916" spans="1:9" x14ac:dyDescent="0.4">
      <c r="A11916" t="s">
        <v>73</v>
      </c>
      <c r="B11916" s="1">
        <v>45536</v>
      </c>
      <c r="C11916">
        <v>870894</v>
      </c>
      <c r="D11916" t="s">
        <v>176</v>
      </c>
      <c r="E11916">
        <v>2449718</v>
      </c>
      <c r="F11916">
        <v>254812</v>
      </c>
      <c r="G11916">
        <v>78537</v>
      </c>
      <c r="H11916">
        <f>_xlfn.XLOOKUP(FACT_IMPORTS[[#This Row],[hts_6]],DIM_PRODUCTS[hts_6],DIM_PRODUCTS[hts_4],,,)</f>
        <v>8708</v>
      </c>
      <c r="I11916" t="str" cm="1">
        <f t="array" ref="I11916">_xlfn.XLOOKUP(FACT_IMPORTS[[#This Row],[country_name]],DIM_COUNTRY[[#All],[Column2]],DIM_COUNTRY[[#All],[Column3]],,,)</f>
        <v>Major_Non-USMCA_Non-China</v>
      </c>
    </row>
    <row r="11917" spans="1:9" x14ac:dyDescent="0.4">
      <c r="A11917" t="s">
        <v>73</v>
      </c>
      <c r="B11917" s="1">
        <v>45536</v>
      </c>
      <c r="C11917">
        <v>870895</v>
      </c>
      <c r="D11917" t="s">
        <v>176</v>
      </c>
      <c r="E11917">
        <v>21531</v>
      </c>
      <c r="F11917">
        <v>155</v>
      </c>
      <c r="G11917">
        <v>19</v>
      </c>
      <c r="H11917">
        <f>_xlfn.XLOOKUP(FACT_IMPORTS[[#This Row],[hts_6]],DIM_PRODUCTS[hts_6],DIM_PRODUCTS[hts_4],,,)</f>
        <v>8708</v>
      </c>
      <c r="I11917" t="str" cm="1">
        <f t="array" ref="I11917">_xlfn.XLOOKUP(FACT_IMPORTS[[#This Row],[country_name]],DIM_COUNTRY[[#All],[Column2]],DIM_COUNTRY[[#All],[Column3]],,,)</f>
        <v>Major_Non-USMCA_Non-China</v>
      </c>
    </row>
    <row r="11918" spans="1:9" x14ac:dyDescent="0.4">
      <c r="A11918" t="s">
        <v>73</v>
      </c>
      <c r="B11918" s="1">
        <v>45536</v>
      </c>
      <c r="C11918">
        <v>870899</v>
      </c>
      <c r="D11918" t="s">
        <v>176</v>
      </c>
      <c r="E11918">
        <v>28169437</v>
      </c>
      <c r="F11918">
        <v>4729545</v>
      </c>
      <c r="G11918">
        <v>867397</v>
      </c>
      <c r="H11918">
        <f>_xlfn.XLOOKUP(FACT_IMPORTS[[#This Row],[hts_6]],DIM_PRODUCTS[hts_6],DIM_PRODUCTS[hts_4],,,)</f>
        <v>8708</v>
      </c>
      <c r="I11918" t="str" cm="1">
        <f t="array" ref="I11918">_xlfn.XLOOKUP(FACT_IMPORTS[[#This Row],[country_name]],DIM_COUNTRY[[#All],[Column2]],DIM_COUNTRY[[#All],[Column3]],,,)</f>
        <v>Major_Non-USMCA_Non-China</v>
      </c>
    </row>
    <row r="11919" spans="1:9" x14ac:dyDescent="0.4">
      <c r="A11919" t="s">
        <v>73</v>
      </c>
      <c r="B11919" s="1">
        <v>45536</v>
      </c>
      <c r="C11919">
        <v>940120</v>
      </c>
      <c r="D11919" t="s">
        <v>176</v>
      </c>
      <c r="E11919">
        <v>0</v>
      </c>
      <c r="F11919">
        <v>0</v>
      </c>
      <c r="G11919">
        <v>0</v>
      </c>
      <c r="H11919">
        <f>_xlfn.XLOOKUP(FACT_IMPORTS[[#This Row],[hts_6]],DIM_PRODUCTS[hts_6],DIM_PRODUCTS[hts_4],,,)</f>
        <v>9401</v>
      </c>
      <c r="I11919" t="str" cm="1">
        <f t="array" ref="I11919">_xlfn.XLOOKUP(FACT_IMPORTS[[#This Row],[country_name]],DIM_COUNTRY[[#All],[Column2]],DIM_COUNTRY[[#All],[Column3]],,,)</f>
        <v>Major_Non-USMCA_Non-China</v>
      </c>
    </row>
    <row r="11920" spans="1:9" x14ac:dyDescent="0.4">
      <c r="A11920" t="s">
        <v>73</v>
      </c>
      <c r="B11920" s="1">
        <v>45566</v>
      </c>
      <c r="C11920">
        <v>392630</v>
      </c>
      <c r="D11920" t="s">
        <v>176</v>
      </c>
      <c r="E11920">
        <v>407425</v>
      </c>
      <c r="F11920">
        <v>23875</v>
      </c>
      <c r="G11920">
        <v>35051</v>
      </c>
      <c r="H11920">
        <f>_xlfn.XLOOKUP(FACT_IMPORTS[[#This Row],[hts_6]],DIM_PRODUCTS[hts_6],DIM_PRODUCTS[hts_4],,,)</f>
        <v>3926</v>
      </c>
      <c r="I11920" t="str" cm="1">
        <f t="array" ref="I11920">_xlfn.XLOOKUP(FACT_IMPORTS[[#This Row],[country_name]],DIM_COUNTRY[[#All],[Column2]],DIM_COUNTRY[[#All],[Column3]],,,)</f>
        <v>Major_Non-USMCA_Non-China</v>
      </c>
    </row>
    <row r="11921" spans="1:9" x14ac:dyDescent="0.4">
      <c r="A11921" t="s">
        <v>73</v>
      </c>
      <c r="B11921" s="1">
        <v>45566</v>
      </c>
      <c r="C11921">
        <v>401110</v>
      </c>
      <c r="D11921" t="s">
        <v>176</v>
      </c>
      <c r="E11921">
        <v>3819368</v>
      </c>
      <c r="F11921">
        <v>62020</v>
      </c>
      <c r="G11921">
        <v>805296</v>
      </c>
      <c r="H11921">
        <f>_xlfn.XLOOKUP(FACT_IMPORTS[[#This Row],[hts_6]],DIM_PRODUCTS[hts_6],DIM_PRODUCTS[hts_4],,,)</f>
        <v>4011</v>
      </c>
      <c r="I11921" t="str" cm="1">
        <f t="array" ref="I11921">_xlfn.XLOOKUP(FACT_IMPORTS[[#This Row],[country_name]],DIM_COUNTRY[[#All],[Column2]],DIM_COUNTRY[[#All],[Column3]],,,)</f>
        <v>Major_Non-USMCA_Non-China</v>
      </c>
    </row>
    <row r="11922" spans="1:9" x14ac:dyDescent="0.4">
      <c r="A11922" t="s">
        <v>73</v>
      </c>
      <c r="B11922" s="1">
        <v>45566</v>
      </c>
      <c r="C11922">
        <v>401120</v>
      </c>
      <c r="D11922" t="s">
        <v>176</v>
      </c>
      <c r="E11922">
        <v>106535</v>
      </c>
      <c r="F11922">
        <v>1386</v>
      </c>
      <c r="G11922">
        <v>15655</v>
      </c>
      <c r="H11922">
        <f>_xlfn.XLOOKUP(FACT_IMPORTS[[#This Row],[hts_6]],DIM_PRODUCTS[hts_6],DIM_PRODUCTS[hts_4],,,)</f>
        <v>4011</v>
      </c>
      <c r="I11922" t="str" cm="1">
        <f t="array" ref="I11922">_xlfn.XLOOKUP(FACT_IMPORTS[[#This Row],[country_name]],DIM_COUNTRY[[#All],[Column2]],DIM_COUNTRY[[#All],[Column3]],,,)</f>
        <v>Major_Non-USMCA_Non-China</v>
      </c>
    </row>
    <row r="11923" spans="1:9" x14ac:dyDescent="0.4">
      <c r="A11923" t="s">
        <v>73</v>
      </c>
      <c r="B11923" s="1">
        <v>45566</v>
      </c>
      <c r="C11923">
        <v>401190</v>
      </c>
      <c r="D11923" t="s">
        <v>176</v>
      </c>
      <c r="E11923">
        <v>0</v>
      </c>
      <c r="F11923">
        <v>0</v>
      </c>
      <c r="G11923">
        <v>0</v>
      </c>
      <c r="H11923">
        <f>_xlfn.XLOOKUP(FACT_IMPORTS[[#This Row],[hts_6]],DIM_PRODUCTS[hts_6],DIM_PRODUCTS[hts_4],,,)</f>
        <v>4011</v>
      </c>
      <c r="I11923" t="str" cm="1">
        <f t="array" ref="I11923">_xlfn.XLOOKUP(FACT_IMPORTS[[#This Row],[country_name]],DIM_COUNTRY[[#All],[Column2]],DIM_COUNTRY[[#All],[Column3]],,,)</f>
        <v>Major_Non-USMCA_Non-China</v>
      </c>
    </row>
    <row r="11924" spans="1:9" x14ac:dyDescent="0.4">
      <c r="A11924" t="s">
        <v>73</v>
      </c>
      <c r="B11924" s="1">
        <v>45566</v>
      </c>
      <c r="C11924">
        <v>700711</v>
      </c>
      <c r="D11924" t="s">
        <v>176</v>
      </c>
      <c r="E11924">
        <v>2234</v>
      </c>
      <c r="F11924">
        <v>41</v>
      </c>
      <c r="G11924">
        <v>0</v>
      </c>
      <c r="H11924">
        <f>_xlfn.XLOOKUP(FACT_IMPORTS[[#This Row],[hts_6]],DIM_PRODUCTS[hts_6],DIM_PRODUCTS[hts_4],,,)</f>
        <v>7007</v>
      </c>
      <c r="I11924" t="str" cm="1">
        <f t="array" ref="I11924">_xlfn.XLOOKUP(FACT_IMPORTS[[#This Row],[country_name]],DIM_COUNTRY[[#All],[Column2]],DIM_COUNTRY[[#All],[Column3]],,,)</f>
        <v>Major_Non-USMCA_Non-China</v>
      </c>
    </row>
    <row r="11925" spans="1:9" x14ac:dyDescent="0.4">
      <c r="A11925" t="s">
        <v>73</v>
      </c>
      <c r="B11925" s="1">
        <v>45566</v>
      </c>
      <c r="C11925">
        <v>700910</v>
      </c>
      <c r="D11925" t="s">
        <v>176</v>
      </c>
      <c r="E11925">
        <v>176662</v>
      </c>
      <c r="F11925">
        <v>1943</v>
      </c>
      <c r="G11925">
        <v>25147</v>
      </c>
      <c r="H11925">
        <f>_xlfn.XLOOKUP(FACT_IMPORTS[[#This Row],[hts_6]],DIM_PRODUCTS[hts_6],DIM_PRODUCTS[hts_4],,,)</f>
        <v>7009</v>
      </c>
      <c r="I11925" t="str" cm="1">
        <f t="array" ref="I11925">_xlfn.XLOOKUP(FACT_IMPORTS[[#This Row],[country_name]],DIM_COUNTRY[[#All],[Column2]],DIM_COUNTRY[[#All],[Column3]],,,)</f>
        <v>Major_Non-USMCA_Non-China</v>
      </c>
    </row>
    <row r="11926" spans="1:9" x14ac:dyDescent="0.4">
      <c r="A11926" t="s">
        <v>73</v>
      </c>
      <c r="B11926" s="1">
        <v>45566</v>
      </c>
      <c r="C11926">
        <v>830230</v>
      </c>
      <c r="D11926" t="s">
        <v>176</v>
      </c>
      <c r="E11926">
        <v>2520062</v>
      </c>
      <c r="F11926">
        <v>479255</v>
      </c>
      <c r="G11926">
        <v>65460</v>
      </c>
      <c r="H11926">
        <f>_xlfn.XLOOKUP(FACT_IMPORTS[[#This Row],[hts_6]],DIM_PRODUCTS[hts_6],DIM_PRODUCTS[hts_4],,,)</f>
        <v>8302</v>
      </c>
      <c r="I11926" t="str" cm="1">
        <f t="array" ref="I11926">_xlfn.XLOOKUP(FACT_IMPORTS[[#This Row],[country_name]],DIM_COUNTRY[[#All],[Column2]],DIM_COUNTRY[[#All],[Column3]],,,)</f>
        <v>Major_Non-USMCA_Non-China</v>
      </c>
    </row>
    <row r="11927" spans="1:9" x14ac:dyDescent="0.4">
      <c r="A11927" t="s">
        <v>73</v>
      </c>
      <c r="B11927" s="1">
        <v>45566</v>
      </c>
      <c r="C11927">
        <v>840734</v>
      </c>
      <c r="D11927" t="s">
        <v>176</v>
      </c>
      <c r="E11927">
        <v>62294</v>
      </c>
      <c r="F11927">
        <v>17</v>
      </c>
      <c r="G11927">
        <v>75</v>
      </c>
      <c r="H11927">
        <f>_xlfn.XLOOKUP(FACT_IMPORTS[[#This Row],[hts_6]],DIM_PRODUCTS[hts_6],DIM_PRODUCTS[hts_4],,,)</f>
        <v>8407</v>
      </c>
      <c r="I11927" t="str" cm="1">
        <f t="array" ref="I11927">_xlfn.XLOOKUP(FACT_IMPORTS[[#This Row],[country_name]],DIM_COUNTRY[[#All],[Column2]],DIM_COUNTRY[[#All],[Column3]],,,)</f>
        <v>Major_Non-USMCA_Non-China</v>
      </c>
    </row>
    <row r="11928" spans="1:9" x14ac:dyDescent="0.4">
      <c r="A11928" t="s">
        <v>73</v>
      </c>
      <c r="B11928" s="1">
        <v>45566</v>
      </c>
      <c r="C11928">
        <v>840820</v>
      </c>
      <c r="D11928" t="s">
        <v>176</v>
      </c>
      <c r="E11928">
        <v>0</v>
      </c>
      <c r="F11928">
        <v>0</v>
      </c>
      <c r="G11928">
        <v>0</v>
      </c>
      <c r="H11928">
        <f>_xlfn.XLOOKUP(FACT_IMPORTS[[#This Row],[hts_6]],DIM_PRODUCTS[hts_6],DIM_PRODUCTS[hts_4],,,)</f>
        <v>8408</v>
      </c>
      <c r="I11928" t="str" cm="1">
        <f t="array" ref="I11928">_xlfn.XLOOKUP(FACT_IMPORTS[[#This Row],[country_name]],DIM_COUNTRY[[#All],[Column2]],DIM_COUNTRY[[#All],[Column3]],,,)</f>
        <v>Major_Non-USMCA_Non-China</v>
      </c>
    </row>
    <row r="11929" spans="1:9" x14ac:dyDescent="0.4">
      <c r="A11929" t="s">
        <v>73</v>
      </c>
      <c r="B11929" s="1">
        <v>45566</v>
      </c>
      <c r="C11929">
        <v>840890</v>
      </c>
      <c r="D11929" t="s">
        <v>176</v>
      </c>
      <c r="E11929">
        <v>0</v>
      </c>
      <c r="F11929">
        <v>0</v>
      </c>
      <c r="G11929">
        <v>0</v>
      </c>
      <c r="H11929">
        <f>_xlfn.XLOOKUP(FACT_IMPORTS[[#This Row],[hts_6]],DIM_PRODUCTS[hts_6],DIM_PRODUCTS[hts_4],,,)</f>
        <v>8408</v>
      </c>
      <c r="I11929" t="str" cm="1">
        <f t="array" ref="I11929">_xlfn.XLOOKUP(FACT_IMPORTS[[#This Row],[country_name]],DIM_COUNTRY[[#All],[Column2]],DIM_COUNTRY[[#All],[Column3]],,,)</f>
        <v>Major_Non-USMCA_Non-China</v>
      </c>
    </row>
    <row r="11930" spans="1:9" x14ac:dyDescent="0.4">
      <c r="A11930" t="s">
        <v>73</v>
      </c>
      <c r="B11930" s="1">
        <v>45566</v>
      </c>
      <c r="C11930">
        <v>840991</v>
      </c>
      <c r="D11930" t="s">
        <v>176</v>
      </c>
      <c r="E11930">
        <v>4711600</v>
      </c>
      <c r="F11930">
        <v>257268</v>
      </c>
      <c r="G11930">
        <v>79699</v>
      </c>
      <c r="H11930">
        <f>_xlfn.XLOOKUP(FACT_IMPORTS[[#This Row],[hts_6]],DIM_PRODUCTS[hts_6],DIM_PRODUCTS[hts_4],,,)</f>
        <v>8409</v>
      </c>
      <c r="I11930" t="str" cm="1">
        <f t="array" ref="I11930">_xlfn.XLOOKUP(FACT_IMPORTS[[#This Row],[country_name]],DIM_COUNTRY[[#All],[Column2]],DIM_COUNTRY[[#All],[Column3]],,,)</f>
        <v>Major_Non-USMCA_Non-China</v>
      </c>
    </row>
    <row r="11931" spans="1:9" x14ac:dyDescent="0.4">
      <c r="A11931" t="s">
        <v>73</v>
      </c>
      <c r="B11931" s="1">
        <v>45566</v>
      </c>
      <c r="C11931">
        <v>840999</v>
      </c>
      <c r="D11931" t="s">
        <v>176</v>
      </c>
      <c r="E11931">
        <v>355074</v>
      </c>
      <c r="F11931">
        <v>16095</v>
      </c>
      <c r="G11931">
        <v>2866</v>
      </c>
      <c r="H11931">
        <f>_xlfn.XLOOKUP(FACT_IMPORTS[[#This Row],[hts_6]],DIM_PRODUCTS[hts_6],DIM_PRODUCTS[hts_4],,,)</f>
        <v>8409</v>
      </c>
      <c r="I11931" t="str" cm="1">
        <f t="array" ref="I11931">_xlfn.XLOOKUP(FACT_IMPORTS[[#This Row],[country_name]],DIM_COUNTRY[[#All],[Column2]],DIM_COUNTRY[[#All],[Column3]],,,)</f>
        <v>Major_Non-USMCA_Non-China</v>
      </c>
    </row>
    <row r="11932" spans="1:9" x14ac:dyDescent="0.4">
      <c r="A11932" t="s">
        <v>73</v>
      </c>
      <c r="B11932" s="1">
        <v>45566</v>
      </c>
      <c r="C11932">
        <v>841330</v>
      </c>
      <c r="D11932" t="s">
        <v>176</v>
      </c>
      <c r="E11932">
        <v>5056629</v>
      </c>
      <c r="F11932">
        <v>145161</v>
      </c>
      <c r="G11932">
        <v>247354</v>
      </c>
      <c r="H11932">
        <f>_xlfn.XLOOKUP(FACT_IMPORTS[[#This Row],[hts_6]],DIM_PRODUCTS[hts_6],DIM_PRODUCTS[hts_4],,,)</f>
        <v>8413</v>
      </c>
      <c r="I11932" t="str" cm="1">
        <f t="array" ref="I11932">_xlfn.XLOOKUP(FACT_IMPORTS[[#This Row],[country_name]],DIM_COUNTRY[[#All],[Column2]],DIM_COUNTRY[[#All],[Column3]],,,)</f>
        <v>Major_Non-USMCA_Non-China</v>
      </c>
    </row>
    <row r="11933" spans="1:9" x14ac:dyDescent="0.4">
      <c r="A11933" t="s">
        <v>73</v>
      </c>
      <c r="B11933" s="1">
        <v>45566</v>
      </c>
      <c r="C11933">
        <v>842132</v>
      </c>
      <c r="D11933" t="s">
        <v>176</v>
      </c>
      <c r="E11933">
        <v>247179</v>
      </c>
      <c r="F11933">
        <v>109</v>
      </c>
      <c r="G11933">
        <v>381</v>
      </c>
      <c r="H11933">
        <f>_xlfn.XLOOKUP(FACT_IMPORTS[[#This Row],[hts_6]],DIM_PRODUCTS[hts_6],DIM_PRODUCTS[hts_4],,,)</f>
        <v>8421</v>
      </c>
      <c r="I11933" t="str" cm="1">
        <f t="array" ref="I11933">_xlfn.XLOOKUP(FACT_IMPORTS[[#This Row],[country_name]],DIM_COUNTRY[[#All],[Column2]],DIM_COUNTRY[[#All],[Column3]],,,)</f>
        <v>Major_Non-USMCA_Non-China</v>
      </c>
    </row>
    <row r="11934" spans="1:9" x14ac:dyDescent="0.4">
      <c r="A11934" t="s">
        <v>73</v>
      </c>
      <c r="B11934" s="1">
        <v>45566</v>
      </c>
      <c r="C11934">
        <v>848210</v>
      </c>
      <c r="D11934" t="s">
        <v>176</v>
      </c>
      <c r="E11934">
        <v>174035</v>
      </c>
      <c r="F11934">
        <v>44596</v>
      </c>
      <c r="G11934">
        <v>564</v>
      </c>
      <c r="H11934">
        <f>_xlfn.XLOOKUP(FACT_IMPORTS[[#This Row],[hts_6]],DIM_PRODUCTS[hts_6],DIM_PRODUCTS[hts_4],,,)</f>
        <v>8482</v>
      </c>
      <c r="I11934" t="str" cm="1">
        <f t="array" ref="I11934">_xlfn.XLOOKUP(FACT_IMPORTS[[#This Row],[country_name]],DIM_COUNTRY[[#All],[Column2]],DIM_COUNTRY[[#All],[Column3]],,,)</f>
        <v>Major_Non-USMCA_Non-China</v>
      </c>
    </row>
    <row r="11935" spans="1:9" x14ac:dyDescent="0.4">
      <c r="A11935" t="s">
        <v>73</v>
      </c>
      <c r="B11935" s="1">
        <v>45566</v>
      </c>
      <c r="C11935">
        <v>848220</v>
      </c>
      <c r="D11935" t="s">
        <v>176</v>
      </c>
      <c r="E11935">
        <v>1838906</v>
      </c>
      <c r="F11935">
        <v>428682</v>
      </c>
      <c r="G11935">
        <v>1224</v>
      </c>
      <c r="H11935">
        <f>_xlfn.XLOOKUP(FACT_IMPORTS[[#This Row],[hts_6]],DIM_PRODUCTS[hts_6],DIM_PRODUCTS[hts_4],,,)</f>
        <v>8482</v>
      </c>
      <c r="I11935" t="str" cm="1">
        <f t="array" ref="I11935">_xlfn.XLOOKUP(FACT_IMPORTS[[#This Row],[country_name]],DIM_COUNTRY[[#All],[Column2]],DIM_COUNTRY[[#All],[Column3]],,,)</f>
        <v>Major_Non-USMCA_Non-China</v>
      </c>
    </row>
    <row r="11936" spans="1:9" x14ac:dyDescent="0.4">
      <c r="A11936" t="s">
        <v>73</v>
      </c>
      <c r="B11936" s="1">
        <v>45566</v>
      </c>
      <c r="C11936">
        <v>848310</v>
      </c>
      <c r="D11936" t="s">
        <v>176</v>
      </c>
      <c r="E11936">
        <v>285327</v>
      </c>
      <c r="F11936">
        <v>4999</v>
      </c>
      <c r="G11936">
        <v>3200</v>
      </c>
      <c r="H11936">
        <f>_xlfn.XLOOKUP(FACT_IMPORTS[[#This Row],[hts_6]],DIM_PRODUCTS[hts_6],DIM_PRODUCTS[hts_4],,,)</f>
        <v>8483</v>
      </c>
      <c r="I11936" t="str" cm="1">
        <f t="array" ref="I11936">_xlfn.XLOOKUP(FACT_IMPORTS[[#This Row],[country_name]],DIM_COUNTRY[[#All],[Column2]],DIM_COUNTRY[[#All],[Column3]],,,)</f>
        <v>Major_Non-USMCA_Non-China</v>
      </c>
    </row>
    <row r="11937" spans="1:9" x14ac:dyDescent="0.4">
      <c r="A11937" t="s">
        <v>73</v>
      </c>
      <c r="B11937" s="1">
        <v>45566</v>
      </c>
      <c r="C11937">
        <v>850131</v>
      </c>
      <c r="D11937" t="s">
        <v>176</v>
      </c>
      <c r="E11937">
        <v>2442981</v>
      </c>
      <c r="F11937">
        <v>225188</v>
      </c>
      <c r="G11937">
        <v>25306</v>
      </c>
      <c r="H11937">
        <f>_xlfn.XLOOKUP(FACT_IMPORTS[[#This Row],[hts_6]],DIM_PRODUCTS[hts_6],DIM_PRODUCTS[hts_4],,,)</f>
        <v>8501</v>
      </c>
      <c r="I11937" t="str" cm="1">
        <f t="array" ref="I11937">_xlfn.XLOOKUP(FACT_IMPORTS[[#This Row],[country_name]],DIM_COUNTRY[[#All],[Column2]],DIM_COUNTRY[[#All],[Column3]],,,)</f>
        <v>Major_Non-USMCA_Non-China</v>
      </c>
    </row>
    <row r="11938" spans="1:9" x14ac:dyDescent="0.4">
      <c r="A11938" t="s">
        <v>73</v>
      </c>
      <c r="B11938" s="1">
        <v>45566</v>
      </c>
      <c r="C11938">
        <v>850152</v>
      </c>
      <c r="D11938" t="s">
        <v>176</v>
      </c>
      <c r="E11938">
        <v>0</v>
      </c>
      <c r="F11938">
        <v>0</v>
      </c>
      <c r="G11938">
        <v>0</v>
      </c>
      <c r="H11938">
        <f>_xlfn.XLOOKUP(FACT_IMPORTS[[#This Row],[hts_6]],DIM_PRODUCTS[hts_6],DIM_PRODUCTS[hts_4],,,)</f>
        <v>8501</v>
      </c>
      <c r="I11938" t="str" cm="1">
        <f t="array" ref="I11938">_xlfn.XLOOKUP(FACT_IMPORTS[[#This Row],[country_name]],DIM_COUNTRY[[#All],[Column2]],DIM_COUNTRY[[#All],[Column3]],,,)</f>
        <v>Major_Non-USMCA_Non-China</v>
      </c>
    </row>
    <row r="11939" spans="1:9" x14ac:dyDescent="0.4">
      <c r="A11939" t="s">
        <v>73</v>
      </c>
      <c r="B11939" s="1">
        <v>45566</v>
      </c>
      <c r="C11939">
        <v>850153</v>
      </c>
      <c r="D11939" t="s">
        <v>176</v>
      </c>
      <c r="E11939">
        <v>3000</v>
      </c>
      <c r="F11939">
        <v>1</v>
      </c>
      <c r="G11939">
        <v>4</v>
      </c>
      <c r="H11939">
        <f>_xlfn.XLOOKUP(FACT_IMPORTS[[#This Row],[hts_6]],DIM_PRODUCTS[hts_6],DIM_PRODUCTS[hts_4],,,)</f>
        <v>8501</v>
      </c>
      <c r="I11939" t="str" cm="1">
        <f t="array" ref="I11939">_xlfn.XLOOKUP(FACT_IMPORTS[[#This Row],[country_name]],DIM_COUNTRY[[#All],[Column2]],DIM_COUNTRY[[#All],[Column3]],,,)</f>
        <v>Major_Non-USMCA_Non-China</v>
      </c>
    </row>
    <row r="11940" spans="1:9" x14ac:dyDescent="0.4">
      <c r="A11940" t="s">
        <v>73</v>
      </c>
      <c r="B11940" s="1">
        <v>45566</v>
      </c>
      <c r="C11940">
        <v>850440</v>
      </c>
      <c r="D11940" t="s">
        <v>176</v>
      </c>
      <c r="E11940">
        <v>578796</v>
      </c>
      <c r="F11940">
        <v>1000</v>
      </c>
      <c r="G11940">
        <v>270</v>
      </c>
      <c r="H11940">
        <f>_xlfn.XLOOKUP(FACT_IMPORTS[[#This Row],[hts_6]],DIM_PRODUCTS[hts_6],DIM_PRODUCTS[hts_4],,,)</f>
        <v>8504</v>
      </c>
      <c r="I11940" t="str" cm="1">
        <f t="array" ref="I11940">_xlfn.XLOOKUP(FACT_IMPORTS[[#This Row],[country_name]],DIM_COUNTRY[[#All],[Column2]],DIM_COUNTRY[[#All],[Column3]],,,)</f>
        <v>Major_Non-USMCA_Non-China</v>
      </c>
    </row>
    <row r="11941" spans="1:9" x14ac:dyDescent="0.4">
      <c r="A11941" t="s">
        <v>73</v>
      </c>
      <c r="B11941" s="1">
        <v>45566</v>
      </c>
      <c r="C11941">
        <v>850710</v>
      </c>
      <c r="D11941" t="s">
        <v>176</v>
      </c>
      <c r="E11941">
        <v>348827</v>
      </c>
      <c r="F11941">
        <v>7960</v>
      </c>
      <c r="G11941">
        <v>18486</v>
      </c>
      <c r="H11941">
        <f>_xlfn.XLOOKUP(FACT_IMPORTS[[#This Row],[hts_6]],DIM_PRODUCTS[hts_6],DIM_PRODUCTS[hts_4],,,)</f>
        <v>8507</v>
      </c>
      <c r="I11941" t="str" cm="1">
        <f t="array" ref="I11941">_xlfn.XLOOKUP(FACT_IMPORTS[[#This Row],[country_name]],DIM_COUNTRY[[#All],[Column2]],DIM_COUNTRY[[#All],[Column3]],,,)</f>
        <v>Major_Non-USMCA_Non-China</v>
      </c>
    </row>
    <row r="11942" spans="1:9" x14ac:dyDescent="0.4">
      <c r="A11942" t="s">
        <v>73</v>
      </c>
      <c r="B11942" s="1">
        <v>45566</v>
      </c>
      <c r="C11942">
        <v>850760</v>
      </c>
      <c r="D11942" t="s">
        <v>176</v>
      </c>
      <c r="E11942">
        <v>250990</v>
      </c>
      <c r="F11942">
        <v>26</v>
      </c>
      <c r="G11942">
        <v>3385</v>
      </c>
      <c r="H11942">
        <f>_xlfn.XLOOKUP(FACT_IMPORTS[[#This Row],[hts_6]],DIM_PRODUCTS[hts_6],DIM_PRODUCTS[hts_4],,,)</f>
        <v>8507</v>
      </c>
      <c r="I11942" t="str" cm="1">
        <f t="array" ref="I11942">_xlfn.XLOOKUP(FACT_IMPORTS[[#This Row],[country_name]],DIM_COUNTRY[[#All],[Column2]],DIM_COUNTRY[[#All],[Column3]],,,)</f>
        <v>Major_Non-USMCA_Non-China</v>
      </c>
    </row>
    <row r="11943" spans="1:9" x14ac:dyDescent="0.4">
      <c r="A11943" t="s">
        <v>73</v>
      </c>
      <c r="B11943" s="1">
        <v>45566</v>
      </c>
      <c r="C11943">
        <v>850790</v>
      </c>
      <c r="D11943" t="s">
        <v>176</v>
      </c>
      <c r="E11943">
        <v>61579</v>
      </c>
      <c r="F11943">
        <v>784</v>
      </c>
      <c r="G11943">
        <v>300</v>
      </c>
      <c r="H11943">
        <f>_xlfn.XLOOKUP(FACT_IMPORTS[[#This Row],[hts_6]],DIM_PRODUCTS[hts_6],DIM_PRODUCTS[hts_4],,,)</f>
        <v>8507</v>
      </c>
      <c r="I11943" t="str" cm="1">
        <f t="array" ref="I11943">_xlfn.XLOOKUP(FACT_IMPORTS[[#This Row],[country_name]],DIM_COUNTRY[[#All],[Column2]],DIM_COUNTRY[[#All],[Column3]],,,)</f>
        <v>Major_Non-USMCA_Non-China</v>
      </c>
    </row>
    <row r="11944" spans="1:9" x14ac:dyDescent="0.4">
      <c r="A11944" t="s">
        <v>73</v>
      </c>
      <c r="B11944" s="1">
        <v>45566</v>
      </c>
      <c r="C11944">
        <v>851130</v>
      </c>
      <c r="D11944" t="s">
        <v>176</v>
      </c>
      <c r="E11944">
        <v>125611</v>
      </c>
      <c r="F11944">
        <v>2907</v>
      </c>
      <c r="G11944">
        <v>148</v>
      </c>
      <c r="H11944">
        <f>_xlfn.XLOOKUP(FACT_IMPORTS[[#This Row],[hts_6]],DIM_PRODUCTS[hts_6],DIM_PRODUCTS[hts_4],,,)</f>
        <v>8511</v>
      </c>
      <c r="I11944" t="str" cm="1">
        <f t="array" ref="I11944">_xlfn.XLOOKUP(FACT_IMPORTS[[#This Row],[country_name]],DIM_COUNTRY[[#All],[Column2]],DIM_COUNTRY[[#All],[Column3]],,,)</f>
        <v>Major_Non-USMCA_Non-China</v>
      </c>
    </row>
    <row r="11945" spans="1:9" x14ac:dyDescent="0.4">
      <c r="A11945" t="s">
        <v>73</v>
      </c>
      <c r="B11945" s="1">
        <v>45566</v>
      </c>
      <c r="C11945">
        <v>851140</v>
      </c>
      <c r="D11945" t="s">
        <v>176</v>
      </c>
      <c r="E11945">
        <v>403602</v>
      </c>
      <c r="F11945">
        <v>1520</v>
      </c>
      <c r="G11945">
        <v>219</v>
      </c>
      <c r="H11945">
        <f>_xlfn.XLOOKUP(FACT_IMPORTS[[#This Row],[hts_6]],DIM_PRODUCTS[hts_6],DIM_PRODUCTS[hts_4],,,)</f>
        <v>8511</v>
      </c>
      <c r="I11945" t="str" cm="1">
        <f t="array" ref="I11945">_xlfn.XLOOKUP(FACT_IMPORTS[[#This Row],[country_name]],DIM_COUNTRY[[#All],[Column2]],DIM_COUNTRY[[#All],[Column3]],,,)</f>
        <v>Major_Non-USMCA_Non-China</v>
      </c>
    </row>
    <row r="11946" spans="1:9" x14ac:dyDescent="0.4">
      <c r="A11946" t="s">
        <v>73</v>
      </c>
      <c r="B11946" s="1">
        <v>45566</v>
      </c>
      <c r="C11946">
        <v>851150</v>
      </c>
      <c r="D11946" t="s">
        <v>176</v>
      </c>
      <c r="E11946">
        <v>124200</v>
      </c>
      <c r="F11946">
        <v>849</v>
      </c>
      <c r="G11946">
        <v>198</v>
      </c>
      <c r="H11946">
        <f>_xlfn.XLOOKUP(FACT_IMPORTS[[#This Row],[hts_6]],DIM_PRODUCTS[hts_6],DIM_PRODUCTS[hts_4],,,)</f>
        <v>8511</v>
      </c>
      <c r="I11946" t="str" cm="1">
        <f t="array" ref="I11946">_xlfn.XLOOKUP(FACT_IMPORTS[[#This Row],[country_name]],DIM_COUNTRY[[#All],[Column2]],DIM_COUNTRY[[#All],[Column3]],,,)</f>
        <v>Major_Non-USMCA_Non-China</v>
      </c>
    </row>
    <row r="11947" spans="1:9" x14ac:dyDescent="0.4">
      <c r="A11947" t="s">
        <v>73</v>
      </c>
      <c r="B11947" s="1">
        <v>45566</v>
      </c>
      <c r="C11947">
        <v>851190</v>
      </c>
      <c r="D11947" t="s">
        <v>176</v>
      </c>
      <c r="E11947">
        <v>113455</v>
      </c>
      <c r="F11947">
        <v>12835</v>
      </c>
      <c r="G11947">
        <v>5302</v>
      </c>
      <c r="H11947">
        <f>_xlfn.XLOOKUP(FACT_IMPORTS[[#This Row],[hts_6]],DIM_PRODUCTS[hts_6],DIM_PRODUCTS[hts_4],,,)</f>
        <v>8511</v>
      </c>
      <c r="I11947" t="str" cm="1">
        <f t="array" ref="I11947">_xlfn.XLOOKUP(FACT_IMPORTS[[#This Row],[country_name]],DIM_COUNTRY[[#All],[Column2]],DIM_COUNTRY[[#All],[Column3]],,,)</f>
        <v>Major_Non-USMCA_Non-China</v>
      </c>
    </row>
    <row r="11948" spans="1:9" x14ac:dyDescent="0.4">
      <c r="A11948" t="s">
        <v>73</v>
      </c>
      <c r="B11948" s="1">
        <v>45566</v>
      </c>
      <c r="C11948">
        <v>851220</v>
      </c>
      <c r="D11948" t="s">
        <v>176</v>
      </c>
      <c r="E11948">
        <v>12072061</v>
      </c>
      <c r="F11948">
        <v>1244062</v>
      </c>
      <c r="G11948">
        <v>197123</v>
      </c>
      <c r="H11948">
        <f>_xlfn.XLOOKUP(FACT_IMPORTS[[#This Row],[hts_6]],DIM_PRODUCTS[hts_6],DIM_PRODUCTS[hts_4],,,)</f>
        <v>8512</v>
      </c>
      <c r="I11948" t="str" cm="1">
        <f t="array" ref="I11948">_xlfn.XLOOKUP(FACT_IMPORTS[[#This Row],[country_name]],DIM_COUNTRY[[#All],[Column2]],DIM_COUNTRY[[#All],[Column3]],,,)</f>
        <v>Major_Non-USMCA_Non-China</v>
      </c>
    </row>
    <row r="11949" spans="1:9" x14ac:dyDescent="0.4">
      <c r="A11949" t="s">
        <v>73</v>
      </c>
      <c r="B11949" s="1">
        <v>45566</v>
      </c>
      <c r="C11949">
        <v>851240</v>
      </c>
      <c r="D11949" t="s">
        <v>176</v>
      </c>
      <c r="E11949">
        <v>588083</v>
      </c>
      <c r="F11949">
        <v>26896</v>
      </c>
      <c r="G11949">
        <v>23151</v>
      </c>
      <c r="H11949">
        <f>_xlfn.XLOOKUP(FACT_IMPORTS[[#This Row],[hts_6]],DIM_PRODUCTS[hts_6],DIM_PRODUCTS[hts_4],,,)</f>
        <v>8512</v>
      </c>
      <c r="I11949" t="str" cm="1">
        <f t="array" ref="I11949">_xlfn.XLOOKUP(FACT_IMPORTS[[#This Row],[country_name]],DIM_COUNTRY[[#All],[Column2]],DIM_COUNTRY[[#All],[Column3]],,,)</f>
        <v>Major_Non-USMCA_Non-China</v>
      </c>
    </row>
    <row r="11950" spans="1:9" x14ac:dyDescent="0.4">
      <c r="A11950" t="s">
        <v>73</v>
      </c>
      <c r="B11950" s="1">
        <v>45566</v>
      </c>
      <c r="C11950">
        <v>851290</v>
      </c>
      <c r="D11950" t="s">
        <v>176</v>
      </c>
      <c r="E11950">
        <v>1120457</v>
      </c>
      <c r="F11950">
        <v>77228</v>
      </c>
      <c r="G11950">
        <v>53379</v>
      </c>
      <c r="H11950">
        <f>_xlfn.XLOOKUP(FACT_IMPORTS[[#This Row],[hts_6]],DIM_PRODUCTS[hts_6],DIM_PRODUCTS[hts_4],,,)</f>
        <v>8512</v>
      </c>
      <c r="I11950" t="str" cm="1">
        <f t="array" ref="I11950">_xlfn.XLOOKUP(FACT_IMPORTS[[#This Row],[country_name]],DIM_COUNTRY[[#All],[Column2]],DIM_COUNTRY[[#All],[Column3]],,,)</f>
        <v>Major_Non-USMCA_Non-China</v>
      </c>
    </row>
    <row r="11951" spans="1:9" x14ac:dyDescent="0.4">
      <c r="A11951" t="s">
        <v>73</v>
      </c>
      <c r="B11951" s="1">
        <v>45566</v>
      </c>
      <c r="C11951">
        <v>854231</v>
      </c>
      <c r="D11951" t="s">
        <v>176</v>
      </c>
      <c r="E11951">
        <v>0</v>
      </c>
      <c r="F11951">
        <v>0</v>
      </c>
      <c r="G11951">
        <v>0</v>
      </c>
      <c r="H11951">
        <f>_xlfn.XLOOKUP(FACT_IMPORTS[[#This Row],[hts_6]],DIM_PRODUCTS[hts_6],DIM_PRODUCTS[hts_4],,,)</f>
        <v>8542</v>
      </c>
      <c r="I11951" t="str" cm="1">
        <f t="array" ref="I11951">_xlfn.XLOOKUP(FACT_IMPORTS[[#This Row],[country_name]],DIM_COUNTRY[[#All],[Column2]],DIM_COUNTRY[[#All],[Column3]],,,)</f>
        <v>Major_Non-USMCA_Non-China</v>
      </c>
    </row>
    <row r="11952" spans="1:9" x14ac:dyDescent="0.4">
      <c r="A11952" t="s">
        <v>73</v>
      </c>
      <c r="B11952" s="1">
        <v>45566</v>
      </c>
      <c r="C11952">
        <v>854232</v>
      </c>
      <c r="D11952" t="s">
        <v>176</v>
      </c>
      <c r="E11952">
        <v>0</v>
      </c>
      <c r="F11952">
        <v>0</v>
      </c>
      <c r="G11952">
        <v>0</v>
      </c>
      <c r="H11952">
        <f>_xlfn.XLOOKUP(FACT_IMPORTS[[#This Row],[hts_6]],DIM_PRODUCTS[hts_6],DIM_PRODUCTS[hts_4],,,)</f>
        <v>8542</v>
      </c>
      <c r="I11952" t="str" cm="1">
        <f t="array" ref="I11952">_xlfn.XLOOKUP(FACT_IMPORTS[[#This Row],[country_name]],DIM_COUNTRY[[#All],[Column2]],DIM_COUNTRY[[#All],[Column3]],,,)</f>
        <v>Major_Non-USMCA_Non-China</v>
      </c>
    </row>
    <row r="11953" spans="1:9" x14ac:dyDescent="0.4">
      <c r="A11953" t="s">
        <v>73</v>
      </c>
      <c r="B11953" s="1">
        <v>45566</v>
      </c>
      <c r="C11953">
        <v>854239</v>
      </c>
      <c r="D11953" t="s">
        <v>176</v>
      </c>
      <c r="E11953">
        <v>0</v>
      </c>
      <c r="F11953">
        <v>0</v>
      </c>
      <c r="G11953">
        <v>0</v>
      </c>
      <c r="H11953">
        <f>_xlfn.XLOOKUP(FACT_IMPORTS[[#This Row],[hts_6]],DIM_PRODUCTS[hts_6],DIM_PRODUCTS[hts_4],,,)</f>
        <v>8542</v>
      </c>
      <c r="I11953" t="str" cm="1">
        <f t="array" ref="I11953">_xlfn.XLOOKUP(FACT_IMPORTS[[#This Row],[country_name]],DIM_COUNTRY[[#All],[Column2]],DIM_COUNTRY[[#All],[Column3]],,,)</f>
        <v>Major_Non-USMCA_Non-China</v>
      </c>
    </row>
    <row r="11954" spans="1:9" x14ac:dyDescent="0.4">
      <c r="A11954" t="s">
        <v>73</v>
      </c>
      <c r="B11954" s="1">
        <v>45566</v>
      </c>
      <c r="C11954">
        <v>854430</v>
      </c>
      <c r="D11954" t="s">
        <v>176</v>
      </c>
      <c r="E11954">
        <v>96332</v>
      </c>
      <c r="F11954">
        <v>358</v>
      </c>
      <c r="G11954">
        <v>160</v>
      </c>
      <c r="H11954">
        <f>_xlfn.XLOOKUP(FACT_IMPORTS[[#This Row],[hts_6]],DIM_PRODUCTS[hts_6],DIM_PRODUCTS[hts_4],,,)</f>
        <v>8544</v>
      </c>
      <c r="I11954" t="str" cm="1">
        <f t="array" ref="I11954">_xlfn.XLOOKUP(FACT_IMPORTS[[#This Row],[country_name]],DIM_COUNTRY[[#All],[Column2]],DIM_COUNTRY[[#All],[Column3]],,,)</f>
        <v>Major_Non-USMCA_Non-China</v>
      </c>
    </row>
    <row r="11955" spans="1:9" x14ac:dyDescent="0.4">
      <c r="A11955" t="s">
        <v>73</v>
      </c>
      <c r="B11955" s="1">
        <v>45566</v>
      </c>
      <c r="C11955">
        <v>870810</v>
      </c>
      <c r="D11955" t="s">
        <v>176</v>
      </c>
      <c r="E11955">
        <v>1966784</v>
      </c>
      <c r="F11955">
        <v>92397</v>
      </c>
      <c r="G11955">
        <v>11134</v>
      </c>
      <c r="H11955">
        <f>_xlfn.XLOOKUP(FACT_IMPORTS[[#This Row],[hts_6]],DIM_PRODUCTS[hts_6],DIM_PRODUCTS[hts_4],,,)</f>
        <v>8708</v>
      </c>
      <c r="I11955" t="str" cm="1">
        <f t="array" ref="I11955">_xlfn.XLOOKUP(FACT_IMPORTS[[#This Row],[country_name]],DIM_COUNTRY[[#All],[Column2]],DIM_COUNTRY[[#All],[Column3]],,,)</f>
        <v>Major_Non-USMCA_Non-China</v>
      </c>
    </row>
    <row r="11956" spans="1:9" x14ac:dyDescent="0.4">
      <c r="A11956" t="s">
        <v>73</v>
      </c>
      <c r="B11956" s="1">
        <v>45566</v>
      </c>
      <c r="C11956">
        <v>870822</v>
      </c>
      <c r="D11956" t="s">
        <v>176</v>
      </c>
      <c r="E11956">
        <v>159711</v>
      </c>
      <c r="F11956">
        <v>1045</v>
      </c>
      <c r="G11956">
        <v>216</v>
      </c>
      <c r="H11956">
        <f>_xlfn.XLOOKUP(FACT_IMPORTS[[#This Row],[hts_6]],DIM_PRODUCTS[hts_6],DIM_PRODUCTS[hts_4],,,)</f>
        <v>8708</v>
      </c>
      <c r="I11956" t="str" cm="1">
        <f t="array" ref="I11956">_xlfn.XLOOKUP(FACT_IMPORTS[[#This Row],[country_name]],DIM_COUNTRY[[#All],[Column2]],DIM_COUNTRY[[#All],[Column3]],,,)</f>
        <v>Major_Non-USMCA_Non-China</v>
      </c>
    </row>
    <row r="11957" spans="1:9" x14ac:dyDescent="0.4">
      <c r="A11957" t="s">
        <v>73</v>
      </c>
      <c r="B11957" s="1">
        <v>45566</v>
      </c>
      <c r="C11957">
        <v>870829</v>
      </c>
      <c r="D11957" t="s">
        <v>176</v>
      </c>
      <c r="E11957">
        <v>9133508</v>
      </c>
      <c r="F11957">
        <v>3389027</v>
      </c>
      <c r="G11957">
        <v>313552</v>
      </c>
      <c r="H11957">
        <f>_xlfn.XLOOKUP(FACT_IMPORTS[[#This Row],[hts_6]],DIM_PRODUCTS[hts_6],DIM_PRODUCTS[hts_4],,,)</f>
        <v>8708</v>
      </c>
      <c r="I11957" t="str" cm="1">
        <f t="array" ref="I11957">_xlfn.XLOOKUP(FACT_IMPORTS[[#This Row],[country_name]],DIM_COUNTRY[[#All],[Column2]],DIM_COUNTRY[[#All],[Column3]],,,)</f>
        <v>Major_Non-USMCA_Non-China</v>
      </c>
    </row>
    <row r="11958" spans="1:9" x14ac:dyDescent="0.4">
      <c r="A11958" t="s">
        <v>73</v>
      </c>
      <c r="B11958" s="1">
        <v>45566</v>
      </c>
      <c r="C11958">
        <v>870830</v>
      </c>
      <c r="D11958" t="s">
        <v>176</v>
      </c>
      <c r="E11958">
        <v>669945</v>
      </c>
      <c r="F11958">
        <v>341831</v>
      </c>
      <c r="G11958">
        <v>16250</v>
      </c>
      <c r="H11958">
        <f>_xlfn.XLOOKUP(FACT_IMPORTS[[#This Row],[hts_6]],DIM_PRODUCTS[hts_6],DIM_PRODUCTS[hts_4],,,)</f>
        <v>8708</v>
      </c>
      <c r="I11958" t="str" cm="1">
        <f t="array" ref="I11958">_xlfn.XLOOKUP(FACT_IMPORTS[[#This Row],[country_name]],DIM_COUNTRY[[#All],[Column2]],DIM_COUNTRY[[#All],[Column3]],,,)</f>
        <v>Major_Non-USMCA_Non-China</v>
      </c>
    </row>
    <row r="11959" spans="1:9" x14ac:dyDescent="0.4">
      <c r="A11959" t="s">
        <v>73</v>
      </c>
      <c r="B11959" s="1">
        <v>45566</v>
      </c>
      <c r="C11959">
        <v>870840</v>
      </c>
      <c r="D11959" t="s">
        <v>176</v>
      </c>
      <c r="E11959">
        <v>2844413</v>
      </c>
      <c r="F11959">
        <v>337544</v>
      </c>
      <c r="G11959">
        <v>56341</v>
      </c>
      <c r="H11959">
        <f>_xlfn.XLOOKUP(FACT_IMPORTS[[#This Row],[hts_6]],DIM_PRODUCTS[hts_6],DIM_PRODUCTS[hts_4],,,)</f>
        <v>8708</v>
      </c>
      <c r="I11959" t="str" cm="1">
        <f t="array" ref="I11959">_xlfn.XLOOKUP(FACT_IMPORTS[[#This Row],[country_name]],DIM_COUNTRY[[#All],[Column2]],DIM_COUNTRY[[#All],[Column3]],,,)</f>
        <v>Major_Non-USMCA_Non-China</v>
      </c>
    </row>
    <row r="11960" spans="1:9" x14ac:dyDescent="0.4">
      <c r="A11960" t="s">
        <v>73</v>
      </c>
      <c r="B11960" s="1">
        <v>45566</v>
      </c>
      <c r="C11960">
        <v>870850</v>
      </c>
      <c r="D11960" t="s">
        <v>176</v>
      </c>
      <c r="E11960">
        <v>14862954</v>
      </c>
      <c r="F11960">
        <v>1183076</v>
      </c>
      <c r="G11960">
        <v>390514</v>
      </c>
      <c r="H11960">
        <f>_xlfn.XLOOKUP(FACT_IMPORTS[[#This Row],[hts_6]],DIM_PRODUCTS[hts_6],DIM_PRODUCTS[hts_4],,,)</f>
        <v>8708</v>
      </c>
      <c r="I11960" t="str" cm="1">
        <f t="array" ref="I11960">_xlfn.XLOOKUP(FACT_IMPORTS[[#This Row],[country_name]],DIM_COUNTRY[[#All],[Column2]],DIM_COUNTRY[[#All],[Column3]],,,)</f>
        <v>Major_Non-USMCA_Non-China</v>
      </c>
    </row>
    <row r="11961" spans="1:9" x14ac:dyDescent="0.4">
      <c r="A11961" t="s">
        <v>73</v>
      </c>
      <c r="B11961" s="1">
        <v>45566</v>
      </c>
      <c r="C11961">
        <v>870870</v>
      </c>
      <c r="D11961" t="s">
        <v>176</v>
      </c>
      <c r="E11961">
        <v>297671</v>
      </c>
      <c r="F11961">
        <v>1575</v>
      </c>
      <c r="G11961">
        <v>440</v>
      </c>
      <c r="H11961">
        <f>_xlfn.XLOOKUP(FACT_IMPORTS[[#This Row],[hts_6]],DIM_PRODUCTS[hts_6],DIM_PRODUCTS[hts_4],,,)</f>
        <v>8708</v>
      </c>
      <c r="I11961" t="str" cm="1">
        <f t="array" ref="I11961">_xlfn.XLOOKUP(FACT_IMPORTS[[#This Row],[country_name]],DIM_COUNTRY[[#All],[Column2]],DIM_COUNTRY[[#All],[Column3]],,,)</f>
        <v>Major_Non-USMCA_Non-China</v>
      </c>
    </row>
    <row r="11962" spans="1:9" x14ac:dyDescent="0.4">
      <c r="A11962" t="s">
        <v>73</v>
      </c>
      <c r="B11962" s="1">
        <v>45566</v>
      </c>
      <c r="C11962">
        <v>870880</v>
      </c>
      <c r="D11962" t="s">
        <v>176</v>
      </c>
      <c r="E11962">
        <v>4145387</v>
      </c>
      <c r="F11962">
        <v>1011973</v>
      </c>
      <c r="G11962">
        <v>151968</v>
      </c>
      <c r="H11962">
        <f>_xlfn.XLOOKUP(FACT_IMPORTS[[#This Row],[hts_6]],DIM_PRODUCTS[hts_6],DIM_PRODUCTS[hts_4],,,)</f>
        <v>8708</v>
      </c>
      <c r="I11962" t="str" cm="1">
        <f t="array" ref="I11962">_xlfn.XLOOKUP(FACT_IMPORTS[[#This Row],[country_name]],DIM_COUNTRY[[#All],[Column2]],DIM_COUNTRY[[#All],[Column3]],,,)</f>
        <v>Major_Non-USMCA_Non-China</v>
      </c>
    </row>
    <row r="11963" spans="1:9" x14ac:dyDescent="0.4">
      <c r="A11963" t="s">
        <v>73</v>
      </c>
      <c r="B11963" s="1">
        <v>45566</v>
      </c>
      <c r="C11963">
        <v>870891</v>
      </c>
      <c r="D11963" t="s">
        <v>176</v>
      </c>
      <c r="E11963">
        <v>298373</v>
      </c>
      <c r="F11963">
        <v>1251</v>
      </c>
      <c r="G11963">
        <v>751</v>
      </c>
      <c r="H11963">
        <f>_xlfn.XLOOKUP(FACT_IMPORTS[[#This Row],[hts_6]],DIM_PRODUCTS[hts_6],DIM_PRODUCTS[hts_4],,,)</f>
        <v>8708</v>
      </c>
      <c r="I11963" t="str" cm="1">
        <f t="array" ref="I11963">_xlfn.XLOOKUP(FACT_IMPORTS[[#This Row],[country_name]],DIM_COUNTRY[[#All],[Column2]],DIM_COUNTRY[[#All],[Column3]],,,)</f>
        <v>Major_Non-USMCA_Non-China</v>
      </c>
    </row>
    <row r="11964" spans="1:9" x14ac:dyDescent="0.4">
      <c r="A11964" t="s">
        <v>73</v>
      </c>
      <c r="B11964" s="1">
        <v>45566</v>
      </c>
      <c r="C11964">
        <v>870892</v>
      </c>
      <c r="D11964" t="s">
        <v>176</v>
      </c>
      <c r="E11964">
        <v>180383</v>
      </c>
      <c r="F11964">
        <v>708</v>
      </c>
      <c r="G11964">
        <v>472</v>
      </c>
      <c r="H11964">
        <f>_xlfn.XLOOKUP(FACT_IMPORTS[[#This Row],[hts_6]],DIM_PRODUCTS[hts_6],DIM_PRODUCTS[hts_4],,,)</f>
        <v>8708</v>
      </c>
      <c r="I11964" t="str" cm="1">
        <f t="array" ref="I11964">_xlfn.XLOOKUP(FACT_IMPORTS[[#This Row],[country_name]],DIM_COUNTRY[[#All],[Column2]],DIM_COUNTRY[[#All],[Column3]],,,)</f>
        <v>Major_Non-USMCA_Non-China</v>
      </c>
    </row>
    <row r="11965" spans="1:9" x14ac:dyDescent="0.4">
      <c r="A11965" t="s">
        <v>73</v>
      </c>
      <c r="B11965" s="1">
        <v>45566</v>
      </c>
      <c r="C11965">
        <v>870893</v>
      </c>
      <c r="D11965" t="s">
        <v>176</v>
      </c>
      <c r="E11965">
        <v>534308</v>
      </c>
      <c r="F11965">
        <v>31312</v>
      </c>
      <c r="G11965">
        <v>6576</v>
      </c>
      <c r="H11965">
        <f>_xlfn.XLOOKUP(FACT_IMPORTS[[#This Row],[hts_6]],DIM_PRODUCTS[hts_6],DIM_PRODUCTS[hts_4],,,)</f>
        <v>8708</v>
      </c>
      <c r="I11965" t="str" cm="1">
        <f t="array" ref="I11965">_xlfn.XLOOKUP(FACT_IMPORTS[[#This Row],[country_name]],DIM_COUNTRY[[#All],[Column2]],DIM_COUNTRY[[#All],[Column3]],,,)</f>
        <v>Major_Non-USMCA_Non-China</v>
      </c>
    </row>
    <row r="11966" spans="1:9" x14ac:dyDescent="0.4">
      <c r="A11966" t="s">
        <v>73</v>
      </c>
      <c r="B11966" s="1">
        <v>45566</v>
      </c>
      <c r="C11966">
        <v>870894</v>
      </c>
      <c r="D11966" t="s">
        <v>176</v>
      </c>
      <c r="E11966">
        <v>2047717</v>
      </c>
      <c r="F11966">
        <v>204043</v>
      </c>
      <c r="G11966">
        <v>5355</v>
      </c>
      <c r="H11966">
        <f>_xlfn.XLOOKUP(FACT_IMPORTS[[#This Row],[hts_6]],DIM_PRODUCTS[hts_6],DIM_PRODUCTS[hts_4],,,)</f>
        <v>8708</v>
      </c>
      <c r="I11966" t="str" cm="1">
        <f t="array" ref="I11966">_xlfn.XLOOKUP(FACT_IMPORTS[[#This Row],[country_name]],DIM_COUNTRY[[#All],[Column2]],DIM_COUNTRY[[#All],[Column3]],,,)</f>
        <v>Major_Non-USMCA_Non-China</v>
      </c>
    </row>
    <row r="11967" spans="1:9" x14ac:dyDescent="0.4">
      <c r="A11967" t="s">
        <v>73</v>
      </c>
      <c r="B11967" s="1">
        <v>45566</v>
      </c>
      <c r="C11967">
        <v>870895</v>
      </c>
      <c r="D11967" t="s">
        <v>176</v>
      </c>
      <c r="E11967">
        <v>29842</v>
      </c>
      <c r="F11967">
        <v>176</v>
      </c>
      <c r="G11967">
        <v>15</v>
      </c>
      <c r="H11967">
        <f>_xlfn.XLOOKUP(FACT_IMPORTS[[#This Row],[hts_6]],DIM_PRODUCTS[hts_6],DIM_PRODUCTS[hts_4],,,)</f>
        <v>8708</v>
      </c>
      <c r="I11967" t="str" cm="1">
        <f t="array" ref="I11967">_xlfn.XLOOKUP(FACT_IMPORTS[[#This Row],[country_name]],DIM_COUNTRY[[#All],[Column2]],DIM_COUNTRY[[#All],[Column3]],,,)</f>
        <v>Major_Non-USMCA_Non-China</v>
      </c>
    </row>
    <row r="11968" spans="1:9" x14ac:dyDescent="0.4">
      <c r="A11968" t="s">
        <v>73</v>
      </c>
      <c r="B11968" s="1">
        <v>45566</v>
      </c>
      <c r="C11968">
        <v>870899</v>
      </c>
      <c r="D11968" t="s">
        <v>176</v>
      </c>
      <c r="E11968">
        <v>21715951</v>
      </c>
      <c r="F11968">
        <v>4565477</v>
      </c>
      <c r="G11968">
        <v>663194</v>
      </c>
      <c r="H11968">
        <f>_xlfn.XLOOKUP(FACT_IMPORTS[[#This Row],[hts_6]],DIM_PRODUCTS[hts_6],DIM_PRODUCTS[hts_4],,,)</f>
        <v>8708</v>
      </c>
      <c r="I11968" t="str" cm="1">
        <f t="array" ref="I11968">_xlfn.XLOOKUP(FACT_IMPORTS[[#This Row],[country_name]],DIM_COUNTRY[[#All],[Column2]],DIM_COUNTRY[[#All],[Column3]],,,)</f>
        <v>Major_Non-USMCA_Non-China</v>
      </c>
    </row>
    <row r="11969" spans="1:9" x14ac:dyDescent="0.4">
      <c r="A11969" t="s">
        <v>73</v>
      </c>
      <c r="B11969" s="1">
        <v>45566</v>
      </c>
      <c r="C11969">
        <v>940120</v>
      </c>
      <c r="D11969" t="s">
        <v>176</v>
      </c>
      <c r="E11969">
        <v>0</v>
      </c>
      <c r="F11969">
        <v>0</v>
      </c>
      <c r="G11969">
        <v>0</v>
      </c>
      <c r="H11969">
        <f>_xlfn.XLOOKUP(FACT_IMPORTS[[#This Row],[hts_6]],DIM_PRODUCTS[hts_6],DIM_PRODUCTS[hts_4],,,)</f>
        <v>9401</v>
      </c>
      <c r="I11969" t="str" cm="1">
        <f t="array" ref="I11969">_xlfn.XLOOKUP(FACT_IMPORTS[[#This Row],[country_name]],DIM_COUNTRY[[#All],[Column2]],DIM_COUNTRY[[#All],[Column3]],,,)</f>
        <v>Major_Non-USMCA_Non-China</v>
      </c>
    </row>
    <row r="11970" spans="1:9" x14ac:dyDescent="0.4">
      <c r="A11970" t="s">
        <v>73</v>
      </c>
      <c r="B11970" s="1">
        <v>45597</v>
      </c>
      <c r="C11970">
        <v>392630</v>
      </c>
      <c r="D11970" t="s">
        <v>176</v>
      </c>
      <c r="E11970">
        <v>462818</v>
      </c>
      <c r="F11970">
        <v>25489</v>
      </c>
      <c r="G11970">
        <v>38923</v>
      </c>
      <c r="H11970">
        <f>_xlfn.XLOOKUP(FACT_IMPORTS[[#This Row],[hts_6]],DIM_PRODUCTS[hts_6],DIM_PRODUCTS[hts_4],,,)</f>
        <v>3926</v>
      </c>
      <c r="I11970" t="str" cm="1">
        <f t="array" ref="I11970">_xlfn.XLOOKUP(FACT_IMPORTS[[#This Row],[country_name]],DIM_COUNTRY[[#All],[Column2]],DIM_COUNTRY[[#All],[Column3]],,,)</f>
        <v>Major_Non-USMCA_Non-China</v>
      </c>
    </row>
    <row r="11971" spans="1:9" x14ac:dyDescent="0.4">
      <c r="A11971" t="s">
        <v>73</v>
      </c>
      <c r="B11971" s="1">
        <v>45597</v>
      </c>
      <c r="C11971">
        <v>401110</v>
      </c>
      <c r="D11971" t="s">
        <v>176</v>
      </c>
      <c r="E11971">
        <v>3711161</v>
      </c>
      <c r="F11971">
        <v>57779</v>
      </c>
      <c r="G11971">
        <v>724191</v>
      </c>
      <c r="H11971">
        <f>_xlfn.XLOOKUP(FACT_IMPORTS[[#This Row],[hts_6]],DIM_PRODUCTS[hts_6],DIM_PRODUCTS[hts_4],,,)</f>
        <v>4011</v>
      </c>
      <c r="I11971" t="str" cm="1">
        <f t="array" ref="I11971">_xlfn.XLOOKUP(FACT_IMPORTS[[#This Row],[country_name]],DIM_COUNTRY[[#All],[Column2]],DIM_COUNTRY[[#All],[Column3]],,,)</f>
        <v>Major_Non-USMCA_Non-China</v>
      </c>
    </row>
    <row r="11972" spans="1:9" x14ac:dyDescent="0.4">
      <c r="A11972" t="s">
        <v>73</v>
      </c>
      <c r="B11972" s="1">
        <v>45597</v>
      </c>
      <c r="C11972">
        <v>401120</v>
      </c>
      <c r="D11972" t="s">
        <v>176</v>
      </c>
      <c r="E11972">
        <v>146120</v>
      </c>
      <c r="F11972">
        <v>1585</v>
      </c>
      <c r="G11972">
        <v>19826</v>
      </c>
      <c r="H11972">
        <f>_xlfn.XLOOKUP(FACT_IMPORTS[[#This Row],[hts_6]],DIM_PRODUCTS[hts_6],DIM_PRODUCTS[hts_4],,,)</f>
        <v>4011</v>
      </c>
      <c r="I11972" t="str" cm="1">
        <f t="array" ref="I11972">_xlfn.XLOOKUP(FACT_IMPORTS[[#This Row],[country_name]],DIM_COUNTRY[[#All],[Column2]],DIM_COUNTRY[[#All],[Column3]],,,)</f>
        <v>Major_Non-USMCA_Non-China</v>
      </c>
    </row>
    <row r="11973" spans="1:9" x14ac:dyDescent="0.4">
      <c r="A11973" t="s">
        <v>73</v>
      </c>
      <c r="B11973" s="1">
        <v>45597</v>
      </c>
      <c r="C11973">
        <v>401190</v>
      </c>
      <c r="D11973" t="s">
        <v>176</v>
      </c>
      <c r="E11973">
        <v>0</v>
      </c>
      <c r="F11973">
        <v>0</v>
      </c>
      <c r="G11973">
        <v>0</v>
      </c>
      <c r="H11973">
        <f>_xlfn.XLOOKUP(FACT_IMPORTS[[#This Row],[hts_6]],DIM_PRODUCTS[hts_6],DIM_PRODUCTS[hts_4],,,)</f>
        <v>4011</v>
      </c>
      <c r="I11973" t="str" cm="1">
        <f t="array" ref="I11973">_xlfn.XLOOKUP(FACT_IMPORTS[[#This Row],[country_name]],DIM_COUNTRY[[#All],[Column2]],DIM_COUNTRY[[#All],[Column3]],,,)</f>
        <v>Major_Non-USMCA_Non-China</v>
      </c>
    </row>
    <row r="11974" spans="1:9" x14ac:dyDescent="0.4">
      <c r="A11974" t="s">
        <v>73</v>
      </c>
      <c r="B11974" s="1">
        <v>45597</v>
      </c>
      <c r="C11974">
        <v>700711</v>
      </c>
      <c r="D11974" t="s">
        <v>176</v>
      </c>
      <c r="E11974">
        <v>24714</v>
      </c>
      <c r="F11974">
        <v>51</v>
      </c>
      <c r="G11974">
        <v>1022</v>
      </c>
      <c r="H11974">
        <f>_xlfn.XLOOKUP(FACT_IMPORTS[[#This Row],[hts_6]],DIM_PRODUCTS[hts_6],DIM_PRODUCTS[hts_4],,,)</f>
        <v>7007</v>
      </c>
      <c r="I11974" t="str" cm="1">
        <f t="array" ref="I11974">_xlfn.XLOOKUP(FACT_IMPORTS[[#This Row],[country_name]],DIM_COUNTRY[[#All],[Column2]],DIM_COUNTRY[[#All],[Column3]],,,)</f>
        <v>Major_Non-USMCA_Non-China</v>
      </c>
    </row>
    <row r="11975" spans="1:9" x14ac:dyDescent="0.4">
      <c r="A11975" t="s">
        <v>73</v>
      </c>
      <c r="B11975" s="1">
        <v>45597</v>
      </c>
      <c r="C11975">
        <v>700910</v>
      </c>
      <c r="D11975" t="s">
        <v>176</v>
      </c>
      <c r="E11975">
        <v>258463</v>
      </c>
      <c r="F11975">
        <v>2789</v>
      </c>
      <c r="G11975">
        <v>10110</v>
      </c>
      <c r="H11975">
        <f>_xlfn.XLOOKUP(FACT_IMPORTS[[#This Row],[hts_6]],DIM_PRODUCTS[hts_6],DIM_PRODUCTS[hts_4],,,)</f>
        <v>7009</v>
      </c>
      <c r="I11975" t="str" cm="1">
        <f t="array" ref="I11975">_xlfn.XLOOKUP(FACT_IMPORTS[[#This Row],[country_name]],DIM_COUNTRY[[#All],[Column2]],DIM_COUNTRY[[#All],[Column3]],,,)</f>
        <v>Major_Non-USMCA_Non-China</v>
      </c>
    </row>
    <row r="11976" spans="1:9" x14ac:dyDescent="0.4">
      <c r="A11976" t="s">
        <v>73</v>
      </c>
      <c r="B11976" s="1">
        <v>45597</v>
      </c>
      <c r="C11976">
        <v>830230</v>
      </c>
      <c r="D11976" t="s">
        <v>176</v>
      </c>
      <c r="E11976">
        <v>2033755</v>
      </c>
      <c r="F11976">
        <v>476914</v>
      </c>
      <c r="G11976">
        <v>54842</v>
      </c>
      <c r="H11976">
        <f>_xlfn.XLOOKUP(FACT_IMPORTS[[#This Row],[hts_6]],DIM_PRODUCTS[hts_6],DIM_PRODUCTS[hts_4],,,)</f>
        <v>8302</v>
      </c>
      <c r="I11976" t="str" cm="1">
        <f t="array" ref="I11976">_xlfn.XLOOKUP(FACT_IMPORTS[[#This Row],[country_name]],DIM_COUNTRY[[#All],[Column2]],DIM_COUNTRY[[#All],[Column3]],,,)</f>
        <v>Major_Non-USMCA_Non-China</v>
      </c>
    </row>
    <row r="11977" spans="1:9" x14ac:dyDescent="0.4">
      <c r="A11977" t="s">
        <v>73</v>
      </c>
      <c r="B11977" s="1">
        <v>45597</v>
      </c>
      <c r="C11977">
        <v>840734</v>
      </c>
      <c r="D11977" t="s">
        <v>176</v>
      </c>
      <c r="E11977">
        <v>3650</v>
      </c>
      <c r="F11977">
        <v>11</v>
      </c>
      <c r="G11977">
        <v>9</v>
      </c>
      <c r="H11977">
        <f>_xlfn.XLOOKUP(FACT_IMPORTS[[#This Row],[hts_6]],DIM_PRODUCTS[hts_6],DIM_PRODUCTS[hts_4],,,)</f>
        <v>8407</v>
      </c>
      <c r="I11977" t="str" cm="1">
        <f t="array" ref="I11977">_xlfn.XLOOKUP(FACT_IMPORTS[[#This Row],[country_name]],DIM_COUNTRY[[#All],[Column2]],DIM_COUNTRY[[#All],[Column3]],,,)</f>
        <v>Major_Non-USMCA_Non-China</v>
      </c>
    </row>
    <row r="11978" spans="1:9" x14ac:dyDescent="0.4">
      <c r="A11978" t="s">
        <v>73</v>
      </c>
      <c r="B11978" s="1">
        <v>45597</v>
      </c>
      <c r="C11978">
        <v>840820</v>
      </c>
      <c r="D11978" t="s">
        <v>176</v>
      </c>
      <c r="E11978">
        <v>0</v>
      </c>
      <c r="F11978">
        <v>0</v>
      </c>
      <c r="G11978">
        <v>0</v>
      </c>
      <c r="H11978">
        <f>_xlfn.XLOOKUP(FACT_IMPORTS[[#This Row],[hts_6]],DIM_PRODUCTS[hts_6],DIM_PRODUCTS[hts_4],,,)</f>
        <v>8408</v>
      </c>
      <c r="I11978" t="str" cm="1">
        <f t="array" ref="I11978">_xlfn.XLOOKUP(FACT_IMPORTS[[#This Row],[country_name]],DIM_COUNTRY[[#All],[Column2]],DIM_COUNTRY[[#All],[Column3]],,,)</f>
        <v>Major_Non-USMCA_Non-China</v>
      </c>
    </row>
    <row r="11979" spans="1:9" x14ac:dyDescent="0.4">
      <c r="A11979" t="s">
        <v>73</v>
      </c>
      <c r="B11979" s="1">
        <v>45597</v>
      </c>
      <c r="C11979">
        <v>840890</v>
      </c>
      <c r="D11979" t="s">
        <v>176</v>
      </c>
      <c r="E11979">
        <v>0</v>
      </c>
      <c r="F11979">
        <v>0</v>
      </c>
      <c r="G11979">
        <v>0</v>
      </c>
      <c r="H11979">
        <f>_xlfn.XLOOKUP(FACT_IMPORTS[[#This Row],[hts_6]],DIM_PRODUCTS[hts_6],DIM_PRODUCTS[hts_4],,,)</f>
        <v>8408</v>
      </c>
      <c r="I11979" t="str" cm="1">
        <f t="array" ref="I11979">_xlfn.XLOOKUP(FACT_IMPORTS[[#This Row],[country_name]],DIM_COUNTRY[[#All],[Column2]],DIM_COUNTRY[[#All],[Column3]],,,)</f>
        <v>Major_Non-USMCA_Non-China</v>
      </c>
    </row>
    <row r="11980" spans="1:9" x14ac:dyDescent="0.4">
      <c r="A11980" t="s">
        <v>73</v>
      </c>
      <c r="B11980" s="1">
        <v>45597</v>
      </c>
      <c r="C11980">
        <v>840991</v>
      </c>
      <c r="D11980" t="s">
        <v>176</v>
      </c>
      <c r="E11980">
        <v>4220647</v>
      </c>
      <c r="F11980">
        <v>221718</v>
      </c>
      <c r="G11980">
        <v>43970</v>
      </c>
      <c r="H11980">
        <f>_xlfn.XLOOKUP(FACT_IMPORTS[[#This Row],[hts_6]],DIM_PRODUCTS[hts_6],DIM_PRODUCTS[hts_4],,,)</f>
        <v>8409</v>
      </c>
      <c r="I11980" t="str" cm="1">
        <f t="array" ref="I11980">_xlfn.XLOOKUP(FACT_IMPORTS[[#This Row],[country_name]],DIM_COUNTRY[[#All],[Column2]],DIM_COUNTRY[[#All],[Column3]],,,)</f>
        <v>Major_Non-USMCA_Non-China</v>
      </c>
    </row>
    <row r="11981" spans="1:9" x14ac:dyDescent="0.4">
      <c r="A11981" t="s">
        <v>73</v>
      </c>
      <c r="B11981" s="1">
        <v>45597</v>
      </c>
      <c r="C11981">
        <v>840999</v>
      </c>
      <c r="D11981" t="s">
        <v>176</v>
      </c>
      <c r="E11981">
        <v>150230</v>
      </c>
      <c r="F11981">
        <v>5220</v>
      </c>
      <c r="G11981">
        <v>1328</v>
      </c>
      <c r="H11981">
        <f>_xlfn.XLOOKUP(FACT_IMPORTS[[#This Row],[hts_6]],DIM_PRODUCTS[hts_6],DIM_PRODUCTS[hts_4],,,)</f>
        <v>8409</v>
      </c>
      <c r="I11981" t="str" cm="1">
        <f t="array" ref="I11981">_xlfn.XLOOKUP(FACT_IMPORTS[[#This Row],[country_name]],DIM_COUNTRY[[#All],[Column2]],DIM_COUNTRY[[#All],[Column3]],,,)</f>
        <v>Major_Non-USMCA_Non-China</v>
      </c>
    </row>
    <row r="11982" spans="1:9" x14ac:dyDescent="0.4">
      <c r="A11982" t="s">
        <v>73</v>
      </c>
      <c r="B11982" s="1">
        <v>45597</v>
      </c>
      <c r="C11982">
        <v>841330</v>
      </c>
      <c r="D11982" t="s">
        <v>176</v>
      </c>
      <c r="E11982">
        <v>2083611</v>
      </c>
      <c r="F11982">
        <v>44724</v>
      </c>
      <c r="G11982">
        <v>109036</v>
      </c>
      <c r="H11982">
        <f>_xlfn.XLOOKUP(FACT_IMPORTS[[#This Row],[hts_6]],DIM_PRODUCTS[hts_6],DIM_PRODUCTS[hts_4],,,)</f>
        <v>8413</v>
      </c>
      <c r="I11982" t="str" cm="1">
        <f t="array" ref="I11982">_xlfn.XLOOKUP(FACT_IMPORTS[[#This Row],[country_name]],DIM_COUNTRY[[#All],[Column2]],DIM_COUNTRY[[#All],[Column3]],,,)</f>
        <v>Major_Non-USMCA_Non-China</v>
      </c>
    </row>
    <row r="11983" spans="1:9" x14ac:dyDescent="0.4">
      <c r="A11983" t="s">
        <v>73</v>
      </c>
      <c r="B11983" s="1">
        <v>45597</v>
      </c>
      <c r="C11983">
        <v>842132</v>
      </c>
      <c r="D11983" t="s">
        <v>176</v>
      </c>
      <c r="E11983">
        <v>301261</v>
      </c>
      <c r="F11983">
        <v>179</v>
      </c>
      <c r="G11983">
        <v>391</v>
      </c>
      <c r="H11983">
        <f>_xlfn.XLOOKUP(FACT_IMPORTS[[#This Row],[hts_6]],DIM_PRODUCTS[hts_6],DIM_PRODUCTS[hts_4],,,)</f>
        <v>8421</v>
      </c>
      <c r="I11983" t="str" cm="1">
        <f t="array" ref="I11983">_xlfn.XLOOKUP(FACT_IMPORTS[[#This Row],[country_name]],DIM_COUNTRY[[#All],[Column2]],DIM_COUNTRY[[#All],[Column3]],,,)</f>
        <v>Major_Non-USMCA_Non-China</v>
      </c>
    </row>
    <row r="11984" spans="1:9" x14ac:dyDescent="0.4">
      <c r="A11984" t="s">
        <v>73</v>
      </c>
      <c r="B11984" s="1">
        <v>45597</v>
      </c>
      <c r="C11984">
        <v>848210</v>
      </c>
      <c r="D11984" t="s">
        <v>176</v>
      </c>
      <c r="E11984">
        <v>176433</v>
      </c>
      <c r="F11984">
        <v>30778</v>
      </c>
      <c r="G11984">
        <v>2252</v>
      </c>
      <c r="H11984">
        <f>_xlfn.XLOOKUP(FACT_IMPORTS[[#This Row],[hts_6]],DIM_PRODUCTS[hts_6],DIM_PRODUCTS[hts_4],,,)</f>
        <v>8482</v>
      </c>
      <c r="I11984" t="str" cm="1">
        <f t="array" ref="I11984">_xlfn.XLOOKUP(FACT_IMPORTS[[#This Row],[country_name]],DIM_COUNTRY[[#All],[Column2]],DIM_COUNTRY[[#All],[Column3]],,,)</f>
        <v>Major_Non-USMCA_Non-China</v>
      </c>
    </row>
    <row r="11985" spans="1:9" x14ac:dyDescent="0.4">
      <c r="A11985" t="s">
        <v>73</v>
      </c>
      <c r="B11985" s="1">
        <v>45597</v>
      </c>
      <c r="C11985">
        <v>848220</v>
      </c>
      <c r="D11985" t="s">
        <v>176</v>
      </c>
      <c r="E11985">
        <v>2612621</v>
      </c>
      <c r="F11985">
        <v>762350</v>
      </c>
      <c r="G11985">
        <v>251</v>
      </c>
      <c r="H11985">
        <f>_xlfn.XLOOKUP(FACT_IMPORTS[[#This Row],[hts_6]],DIM_PRODUCTS[hts_6],DIM_PRODUCTS[hts_4],,,)</f>
        <v>8482</v>
      </c>
      <c r="I11985" t="str" cm="1">
        <f t="array" ref="I11985">_xlfn.XLOOKUP(FACT_IMPORTS[[#This Row],[country_name]],DIM_COUNTRY[[#All],[Column2]],DIM_COUNTRY[[#All],[Column3]],,,)</f>
        <v>Major_Non-USMCA_Non-China</v>
      </c>
    </row>
    <row r="11986" spans="1:9" x14ac:dyDescent="0.4">
      <c r="A11986" t="s">
        <v>73</v>
      </c>
      <c r="B11986" s="1">
        <v>45597</v>
      </c>
      <c r="C11986">
        <v>848310</v>
      </c>
      <c r="D11986" t="s">
        <v>176</v>
      </c>
      <c r="E11986">
        <v>0</v>
      </c>
      <c r="F11986">
        <v>0</v>
      </c>
      <c r="G11986">
        <v>0</v>
      </c>
      <c r="H11986">
        <f>_xlfn.XLOOKUP(FACT_IMPORTS[[#This Row],[hts_6]],DIM_PRODUCTS[hts_6],DIM_PRODUCTS[hts_4],,,)</f>
        <v>8483</v>
      </c>
      <c r="I11986" t="str" cm="1">
        <f t="array" ref="I11986">_xlfn.XLOOKUP(FACT_IMPORTS[[#This Row],[country_name]],DIM_COUNTRY[[#All],[Column2]],DIM_COUNTRY[[#All],[Column3]],,,)</f>
        <v>Major_Non-USMCA_Non-China</v>
      </c>
    </row>
    <row r="11987" spans="1:9" x14ac:dyDescent="0.4">
      <c r="A11987" t="s">
        <v>73</v>
      </c>
      <c r="B11987" s="1">
        <v>45597</v>
      </c>
      <c r="C11987">
        <v>850131</v>
      </c>
      <c r="D11987" t="s">
        <v>176</v>
      </c>
      <c r="E11987">
        <v>1629286</v>
      </c>
      <c r="F11987">
        <v>142704</v>
      </c>
      <c r="G11987">
        <v>10009</v>
      </c>
      <c r="H11987">
        <f>_xlfn.XLOOKUP(FACT_IMPORTS[[#This Row],[hts_6]],DIM_PRODUCTS[hts_6],DIM_PRODUCTS[hts_4],,,)</f>
        <v>8501</v>
      </c>
      <c r="I11987" t="str" cm="1">
        <f t="array" ref="I11987">_xlfn.XLOOKUP(FACT_IMPORTS[[#This Row],[country_name]],DIM_COUNTRY[[#All],[Column2]],DIM_COUNTRY[[#All],[Column3]],,,)</f>
        <v>Major_Non-USMCA_Non-China</v>
      </c>
    </row>
    <row r="11988" spans="1:9" x14ac:dyDescent="0.4">
      <c r="A11988" t="s">
        <v>73</v>
      </c>
      <c r="B11988" s="1">
        <v>45597</v>
      </c>
      <c r="C11988">
        <v>850152</v>
      </c>
      <c r="D11988" t="s">
        <v>176</v>
      </c>
      <c r="E11988">
        <v>0</v>
      </c>
      <c r="F11988">
        <v>0</v>
      </c>
      <c r="G11988">
        <v>0</v>
      </c>
      <c r="H11988">
        <f>_xlfn.XLOOKUP(FACT_IMPORTS[[#This Row],[hts_6]],DIM_PRODUCTS[hts_6],DIM_PRODUCTS[hts_4],,,)</f>
        <v>8501</v>
      </c>
      <c r="I11988" t="str" cm="1">
        <f t="array" ref="I11988">_xlfn.XLOOKUP(FACT_IMPORTS[[#This Row],[country_name]],DIM_COUNTRY[[#All],[Column2]],DIM_COUNTRY[[#All],[Column3]],,,)</f>
        <v>Major_Non-USMCA_Non-China</v>
      </c>
    </row>
    <row r="11989" spans="1:9" x14ac:dyDescent="0.4">
      <c r="A11989" t="s">
        <v>73</v>
      </c>
      <c r="B11989" s="1">
        <v>45597</v>
      </c>
      <c r="C11989">
        <v>850153</v>
      </c>
      <c r="D11989" t="s">
        <v>176</v>
      </c>
      <c r="E11989">
        <v>9000</v>
      </c>
      <c r="F11989">
        <v>3</v>
      </c>
      <c r="G11989">
        <v>5</v>
      </c>
      <c r="H11989">
        <f>_xlfn.XLOOKUP(FACT_IMPORTS[[#This Row],[hts_6]],DIM_PRODUCTS[hts_6],DIM_PRODUCTS[hts_4],,,)</f>
        <v>8501</v>
      </c>
      <c r="I11989" t="str" cm="1">
        <f t="array" ref="I11989">_xlfn.XLOOKUP(FACT_IMPORTS[[#This Row],[country_name]],DIM_COUNTRY[[#All],[Column2]],DIM_COUNTRY[[#All],[Column3]],,,)</f>
        <v>Major_Non-USMCA_Non-China</v>
      </c>
    </row>
    <row r="11990" spans="1:9" x14ac:dyDescent="0.4">
      <c r="A11990" t="s">
        <v>73</v>
      </c>
      <c r="B11990" s="1">
        <v>45597</v>
      </c>
      <c r="C11990">
        <v>850440</v>
      </c>
      <c r="D11990" t="s">
        <v>176</v>
      </c>
      <c r="E11990">
        <v>115960</v>
      </c>
      <c r="F11990">
        <v>596</v>
      </c>
      <c r="G11990">
        <v>2461</v>
      </c>
      <c r="H11990">
        <f>_xlfn.XLOOKUP(FACT_IMPORTS[[#This Row],[hts_6]],DIM_PRODUCTS[hts_6],DIM_PRODUCTS[hts_4],,,)</f>
        <v>8504</v>
      </c>
      <c r="I11990" t="str" cm="1">
        <f t="array" ref="I11990">_xlfn.XLOOKUP(FACT_IMPORTS[[#This Row],[country_name]],DIM_COUNTRY[[#All],[Column2]],DIM_COUNTRY[[#All],[Column3]],,,)</f>
        <v>Major_Non-USMCA_Non-China</v>
      </c>
    </row>
    <row r="11991" spans="1:9" x14ac:dyDescent="0.4">
      <c r="A11991" t="s">
        <v>73</v>
      </c>
      <c r="B11991" s="1">
        <v>45597</v>
      </c>
      <c r="C11991">
        <v>850710</v>
      </c>
      <c r="D11991" t="s">
        <v>176</v>
      </c>
      <c r="E11991">
        <v>446115</v>
      </c>
      <c r="F11991">
        <v>7411</v>
      </c>
      <c r="G11991">
        <v>4655</v>
      </c>
      <c r="H11991">
        <f>_xlfn.XLOOKUP(FACT_IMPORTS[[#This Row],[hts_6]],DIM_PRODUCTS[hts_6],DIM_PRODUCTS[hts_4],,,)</f>
        <v>8507</v>
      </c>
      <c r="I11991" t="str" cm="1">
        <f t="array" ref="I11991">_xlfn.XLOOKUP(FACT_IMPORTS[[#This Row],[country_name]],DIM_COUNTRY[[#All],[Column2]],DIM_COUNTRY[[#All],[Column3]],,,)</f>
        <v>Major_Non-USMCA_Non-China</v>
      </c>
    </row>
    <row r="11992" spans="1:9" x14ac:dyDescent="0.4">
      <c r="A11992" t="s">
        <v>73</v>
      </c>
      <c r="B11992" s="1">
        <v>45597</v>
      </c>
      <c r="C11992">
        <v>850760</v>
      </c>
      <c r="D11992" t="s">
        <v>176</v>
      </c>
      <c r="E11992">
        <v>51457</v>
      </c>
      <c r="F11992">
        <v>843</v>
      </c>
      <c r="G11992">
        <v>1010</v>
      </c>
      <c r="H11992">
        <f>_xlfn.XLOOKUP(FACT_IMPORTS[[#This Row],[hts_6]],DIM_PRODUCTS[hts_6],DIM_PRODUCTS[hts_4],,,)</f>
        <v>8507</v>
      </c>
      <c r="I11992" t="str" cm="1">
        <f t="array" ref="I11992">_xlfn.XLOOKUP(FACT_IMPORTS[[#This Row],[country_name]],DIM_COUNTRY[[#All],[Column2]],DIM_COUNTRY[[#All],[Column3]],,,)</f>
        <v>Major_Non-USMCA_Non-China</v>
      </c>
    </row>
    <row r="11993" spans="1:9" x14ac:dyDescent="0.4">
      <c r="A11993" t="s">
        <v>73</v>
      </c>
      <c r="B11993" s="1">
        <v>45597</v>
      </c>
      <c r="C11993">
        <v>850790</v>
      </c>
      <c r="D11993" t="s">
        <v>176</v>
      </c>
      <c r="E11993">
        <v>133003</v>
      </c>
      <c r="F11993">
        <v>1170</v>
      </c>
      <c r="G11993">
        <v>803</v>
      </c>
      <c r="H11993">
        <f>_xlfn.XLOOKUP(FACT_IMPORTS[[#This Row],[hts_6]],DIM_PRODUCTS[hts_6],DIM_PRODUCTS[hts_4],,,)</f>
        <v>8507</v>
      </c>
      <c r="I11993" t="str" cm="1">
        <f t="array" ref="I11993">_xlfn.XLOOKUP(FACT_IMPORTS[[#This Row],[country_name]],DIM_COUNTRY[[#All],[Column2]],DIM_COUNTRY[[#All],[Column3]],,,)</f>
        <v>Major_Non-USMCA_Non-China</v>
      </c>
    </row>
    <row r="11994" spans="1:9" x14ac:dyDescent="0.4">
      <c r="A11994" t="s">
        <v>73</v>
      </c>
      <c r="B11994" s="1">
        <v>45597</v>
      </c>
      <c r="C11994">
        <v>851130</v>
      </c>
      <c r="D11994" t="s">
        <v>176</v>
      </c>
      <c r="E11994">
        <v>65982</v>
      </c>
      <c r="F11994">
        <v>1527</v>
      </c>
      <c r="G11994">
        <v>101</v>
      </c>
      <c r="H11994">
        <f>_xlfn.XLOOKUP(FACT_IMPORTS[[#This Row],[hts_6]],DIM_PRODUCTS[hts_6],DIM_PRODUCTS[hts_4],,,)</f>
        <v>8511</v>
      </c>
      <c r="I11994" t="str" cm="1">
        <f t="array" ref="I11994">_xlfn.XLOOKUP(FACT_IMPORTS[[#This Row],[country_name]],DIM_COUNTRY[[#All],[Column2]],DIM_COUNTRY[[#All],[Column3]],,,)</f>
        <v>Major_Non-USMCA_Non-China</v>
      </c>
    </row>
    <row r="11995" spans="1:9" x14ac:dyDescent="0.4">
      <c r="A11995" t="s">
        <v>73</v>
      </c>
      <c r="B11995" s="1">
        <v>45597</v>
      </c>
      <c r="C11995">
        <v>851140</v>
      </c>
      <c r="D11995" t="s">
        <v>176</v>
      </c>
      <c r="E11995">
        <v>5708</v>
      </c>
      <c r="F11995">
        <v>363</v>
      </c>
      <c r="G11995">
        <v>202</v>
      </c>
      <c r="H11995">
        <f>_xlfn.XLOOKUP(FACT_IMPORTS[[#This Row],[hts_6]],DIM_PRODUCTS[hts_6],DIM_PRODUCTS[hts_4],,,)</f>
        <v>8511</v>
      </c>
      <c r="I11995" t="str" cm="1">
        <f t="array" ref="I11995">_xlfn.XLOOKUP(FACT_IMPORTS[[#This Row],[country_name]],DIM_COUNTRY[[#All],[Column2]],DIM_COUNTRY[[#All],[Column3]],,,)</f>
        <v>Major_Non-USMCA_Non-China</v>
      </c>
    </row>
    <row r="11996" spans="1:9" x14ac:dyDescent="0.4">
      <c r="A11996" t="s">
        <v>73</v>
      </c>
      <c r="B11996" s="1">
        <v>45597</v>
      </c>
      <c r="C11996">
        <v>851150</v>
      </c>
      <c r="D11996" t="s">
        <v>176</v>
      </c>
      <c r="E11996">
        <v>84365</v>
      </c>
      <c r="F11996">
        <v>721</v>
      </c>
      <c r="G11996">
        <v>291</v>
      </c>
      <c r="H11996">
        <f>_xlfn.XLOOKUP(FACT_IMPORTS[[#This Row],[hts_6]],DIM_PRODUCTS[hts_6],DIM_PRODUCTS[hts_4],,,)</f>
        <v>8511</v>
      </c>
      <c r="I11996" t="str" cm="1">
        <f t="array" ref="I11996">_xlfn.XLOOKUP(FACT_IMPORTS[[#This Row],[country_name]],DIM_COUNTRY[[#All],[Column2]],DIM_COUNTRY[[#All],[Column3]],,,)</f>
        <v>Major_Non-USMCA_Non-China</v>
      </c>
    </row>
    <row r="11997" spans="1:9" x14ac:dyDescent="0.4">
      <c r="A11997" t="s">
        <v>73</v>
      </c>
      <c r="B11997" s="1">
        <v>45597</v>
      </c>
      <c r="C11997">
        <v>851190</v>
      </c>
      <c r="D11997" t="s">
        <v>176</v>
      </c>
      <c r="E11997">
        <v>72130</v>
      </c>
      <c r="F11997">
        <v>7985</v>
      </c>
      <c r="G11997">
        <v>3404</v>
      </c>
      <c r="H11997">
        <f>_xlfn.XLOOKUP(FACT_IMPORTS[[#This Row],[hts_6]],DIM_PRODUCTS[hts_6],DIM_PRODUCTS[hts_4],,,)</f>
        <v>8511</v>
      </c>
      <c r="I11997" t="str" cm="1">
        <f t="array" ref="I11997">_xlfn.XLOOKUP(FACT_IMPORTS[[#This Row],[country_name]],DIM_COUNTRY[[#All],[Column2]],DIM_COUNTRY[[#All],[Column3]],,,)</f>
        <v>Major_Non-USMCA_Non-China</v>
      </c>
    </row>
    <row r="11998" spans="1:9" x14ac:dyDescent="0.4">
      <c r="A11998" t="s">
        <v>73</v>
      </c>
      <c r="B11998" s="1">
        <v>45597</v>
      </c>
      <c r="C11998">
        <v>851220</v>
      </c>
      <c r="D11998" t="s">
        <v>176</v>
      </c>
      <c r="E11998">
        <v>8713462</v>
      </c>
      <c r="F11998">
        <v>871113</v>
      </c>
      <c r="G11998">
        <v>95012</v>
      </c>
      <c r="H11998">
        <f>_xlfn.XLOOKUP(FACT_IMPORTS[[#This Row],[hts_6]],DIM_PRODUCTS[hts_6],DIM_PRODUCTS[hts_4],,,)</f>
        <v>8512</v>
      </c>
      <c r="I11998" t="str" cm="1">
        <f t="array" ref="I11998">_xlfn.XLOOKUP(FACT_IMPORTS[[#This Row],[country_name]],DIM_COUNTRY[[#All],[Column2]],DIM_COUNTRY[[#All],[Column3]],,,)</f>
        <v>Major_Non-USMCA_Non-China</v>
      </c>
    </row>
    <row r="11999" spans="1:9" x14ac:dyDescent="0.4">
      <c r="A11999" t="s">
        <v>73</v>
      </c>
      <c r="B11999" s="1">
        <v>45597</v>
      </c>
      <c r="C11999">
        <v>851240</v>
      </c>
      <c r="D11999" t="s">
        <v>176</v>
      </c>
      <c r="E11999">
        <v>74388</v>
      </c>
      <c r="F11999">
        <v>3288</v>
      </c>
      <c r="G11999">
        <v>2382</v>
      </c>
      <c r="H11999">
        <f>_xlfn.XLOOKUP(FACT_IMPORTS[[#This Row],[hts_6]],DIM_PRODUCTS[hts_6],DIM_PRODUCTS[hts_4],,,)</f>
        <v>8512</v>
      </c>
      <c r="I11999" t="str" cm="1">
        <f t="array" ref="I11999">_xlfn.XLOOKUP(FACT_IMPORTS[[#This Row],[country_name]],DIM_COUNTRY[[#All],[Column2]],DIM_COUNTRY[[#All],[Column3]],,,)</f>
        <v>Major_Non-USMCA_Non-China</v>
      </c>
    </row>
    <row r="12000" spans="1:9" x14ac:dyDescent="0.4">
      <c r="A12000" t="s">
        <v>73</v>
      </c>
      <c r="B12000" s="1">
        <v>45597</v>
      </c>
      <c r="C12000">
        <v>851290</v>
      </c>
      <c r="D12000" t="s">
        <v>176</v>
      </c>
      <c r="E12000">
        <v>489623</v>
      </c>
      <c r="F12000">
        <v>31744</v>
      </c>
      <c r="G12000">
        <v>22644</v>
      </c>
      <c r="H12000">
        <f>_xlfn.XLOOKUP(FACT_IMPORTS[[#This Row],[hts_6]],DIM_PRODUCTS[hts_6],DIM_PRODUCTS[hts_4],,,)</f>
        <v>8512</v>
      </c>
      <c r="I12000" t="str" cm="1">
        <f t="array" ref="I12000">_xlfn.XLOOKUP(FACT_IMPORTS[[#This Row],[country_name]],DIM_COUNTRY[[#All],[Column2]],DIM_COUNTRY[[#All],[Column3]],,,)</f>
        <v>Major_Non-USMCA_Non-China</v>
      </c>
    </row>
    <row r="12001" spans="1:9" x14ac:dyDescent="0.4">
      <c r="A12001" t="s">
        <v>73</v>
      </c>
      <c r="B12001" s="1">
        <v>45597</v>
      </c>
      <c r="C12001">
        <v>854231</v>
      </c>
      <c r="D12001" t="s">
        <v>176</v>
      </c>
      <c r="E12001">
        <v>0</v>
      </c>
      <c r="F12001">
        <v>0</v>
      </c>
      <c r="G12001">
        <v>0</v>
      </c>
      <c r="H12001">
        <f>_xlfn.XLOOKUP(FACT_IMPORTS[[#This Row],[hts_6]],DIM_PRODUCTS[hts_6],DIM_PRODUCTS[hts_4],,,)</f>
        <v>8542</v>
      </c>
      <c r="I12001" t="str" cm="1">
        <f t="array" ref="I12001">_xlfn.XLOOKUP(FACT_IMPORTS[[#This Row],[country_name]],DIM_COUNTRY[[#All],[Column2]],DIM_COUNTRY[[#All],[Column3]],,,)</f>
        <v>Major_Non-USMCA_Non-China</v>
      </c>
    </row>
    <row r="12002" spans="1:9" x14ac:dyDescent="0.4">
      <c r="A12002" t="s">
        <v>73</v>
      </c>
      <c r="B12002" s="1">
        <v>45597</v>
      </c>
      <c r="C12002">
        <v>854232</v>
      </c>
      <c r="D12002" t="s">
        <v>176</v>
      </c>
      <c r="E12002">
        <v>3410</v>
      </c>
      <c r="F12002">
        <v>22</v>
      </c>
      <c r="G12002">
        <v>455</v>
      </c>
      <c r="H12002">
        <f>_xlfn.XLOOKUP(FACT_IMPORTS[[#This Row],[hts_6]],DIM_PRODUCTS[hts_6],DIM_PRODUCTS[hts_4],,,)</f>
        <v>8542</v>
      </c>
      <c r="I12002" t="str" cm="1">
        <f t="array" ref="I12002">_xlfn.XLOOKUP(FACT_IMPORTS[[#This Row],[country_name]],DIM_COUNTRY[[#All],[Column2]],DIM_COUNTRY[[#All],[Column3]],,,)</f>
        <v>Major_Non-USMCA_Non-China</v>
      </c>
    </row>
    <row r="12003" spans="1:9" x14ac:dyDescent="0.4">
      <c r="A12003" t="s">
        <v>73</v>
      </c>
      <c r="B12003" s="1">
        <v>45597</v>
      </c>
      <c r="C12003">
        <v>854239</v>
      </c>
      <c r="D12003" t="s">
        <v>176</v>
      </c>
      <c r="E12003">
        <v>6266</v>
      </c>
      <c r="F12003">
        <v>40</v>
      </c>
      <c r="G12003">
        <v>146</v>
      </c>
      <c r="H12003">
        <f>_xlfn.XLOOKUP(FACT_IMPORTS[[#This Row],[hts_6]],DIM_PRODUCTS[hts_6],DIM_PRODUCTS[hts_4],,,)</f>
        <v>8542</v>
      </c>
      <c r="I12003" t="str" cm="1">
        <f t="array" ref="I12003">_xlfn.XLOOKUP(FACT_IMPORTS[[#This Row],[country_name]],DIM_COUNTRY[[#All],[Column2]],DIM_COUNTRY[[#All],[Column3]],,,)</f>
        <v>Major_Non-USMCA_Non-China</v>
      </c>
    </row>
    <row r="12004" spans="1:9" x14ac:dyDescent="0.4">
      <c r="A12004" t="s">
        <v>73</v>
      </c>
      <c r="B12004" s="1">
        <v>45597</v>
      </c>
      <c r="C12004">
        <v>854430</v>
      </c>
      <c r="D12004" t="s">
        <v>176</v>
      </c>
      <c r="E12004">
        <v>96159</v>
      </c>
      <c r="F12004">
        <v>154</v>
      </c>
      <c r="G12004">
        <v>203</v>
      </c>
      <c r="H12004">
        <f>_xlfn.XLOOKUP(FACT_IMPORTS[[#This Row],[hts_6]],DIM_PRODUCTS[hts_6],DIM_PRODUCTS[hts_4],,,)</f>
        <v>8544</v>
      </c>
      <c r="I12004" t="str" cm="1">
        <f t="array" ref="I12004">_xlfn.XLOOKUP(FACT_IMPORTS[[#This Row],[country_name]],DIM_COUNTRY[[#All],[Column2]],DIM_COUNTRY[[#All],[Column3]],,,)</f>
        <v>Major_Non-USMCA_Non-China</v>
      </c>
    </row>
    <row r="12005" spans="1:9" x14ac:dyDescent="0.4">
      <c r="A12005" t="s">
        <v>73</v>
      </c>
      <c r="B12005" s="1">
        <v>45597</v>
      </c>
      <c r="C12005">
        <v>870810</v>
      </c>
      <c r="D12005" t="s">
        <v>176</v>
      </c>
      <c r="E12005">
        <v>1924511</v>
      </c>
      <c r="F12005">
        <v>31312</v>
      </c>
      <c r="G12005">
        <v>7394</v>
      </c>
      <c r="H12005">
        <f>_xlfn.XLOOKUP(FACT_IMPORTS[[#This Row],[hts_6]],DIM_PRODUCTS[hts_6],DIM_PRODUCTS[hts_4],,,)</f>
        <v>8708</v>
      </c>
      <c r="I12005" t="str" cm="1">
        <f t="array" ref="I12005">_xlfn.XLOOKUP(FACT_IMPORTS[[#This Row],[country_name]],DIM_COUNTRY[[#All],[Column2]],DIM_COUNTRY[[#All],[Column3]],,,)</f>
        <v>Major_Non-USMCA_Non-China</v>
      </c>
    </row>
    <row r="12006" spans="1:9" x14ac:dyDescent="0.4">
      <c r="A12006" t="s">
        <v>73</v>
      </c>
      <c r="B12006" s="1">
        <v>45597</v>
      </c>
      <c r="C12006">
        <v>870822</v>
      </c>
      <c r="D12006" t="s">
        <v>176</v>
      </c>
      <c r="E12006">
        <v>147122</v>
      </c>
      <c r="F12006">
        <v>704</v>
      </c>
      <c r="G12006">
        <v>144</v>
      </c>
      <c r="H12006">
        <f>_xlfn.XLOOKUP(FACT_IMPORTS[[#This Row],[hts_6]],DIM_PRODUCTS[hts_6],DIM_PRODUCTS[hts_4],,,)</f>
        <v>8708</v>
      </c>
      <c r="I12006" t="str" cm="1">
        <f t="array" ref="I12006">_xlfn.XLOOKUP(FACT_IMPORTS[[#This Row],[country_name]],DIM_COUNTRY[[#All],[Column2]],DIM_COUNTRY[[#All],[Column3]],,,)</f>
        <v>Major_Non-USMCA_Non-China</v>
      </c>
    </row>
    <row r="12007" spans="1:9" x14ac:dyDescent="0.4">
      <c r="A12007" t="s">
        <v>73</v>
      </c>
      <c r="B12007" s="1">
        <v>45597</v>
      </c>
      <c r="C12007">
        <v>870829</v>
      </c>
      <c r="D12007" t="s">
        <v>176</v>
      </c>
      <c r="E12007">
        <v>7100045</v>
      </c>
      <c r="F12007">
        <v>3238444</v>
      </c>
      <c r="G12007">
        <v>270253</v>
      </c>
      <c r="H12007">
        <f>_xlfn.XLOOKUP(FACT_IMPORTS[[#This Row],[hts_6]],DIM_PRODUCTS[hts_6],DIM_PRODUCTS[hts_4],,,)</f>
        <v>8708</v>
      </c>
      <c r="I12007" t="str" cm="1">
        <f t="array" ref="I12007">_xlfn.XLOOKUP(FACT_IMPORTS[[#This Row],[country_name]],DIM_COUNTRY[[#All],[Column2]],DIM_COUNTRY[[#All],[Column3]],,,)</f>
        <v>Major_Non-USMCA_Non-China</v>
      </c>
    </row>
    <row r="12008" spans="1:9" x14ac:dyDescent="0.4">
      <c r="A12008" t="s">
        <v>73</v>
      </c>
      <c r="B12008" s="1">
        <v>45597</v>
      </c>
      <c r="C12008">
        <v>870830</v>
      </c>
      <c r="D12008" t="s">
        <v>176</v>
      </c>
      <c r="E12008">
        <v>180342</v>
      </c>
      <c r="F12008">
        <v>6951</v>
      </c>
      <c r="G12008">
        <v>5630</v>
      </c>
      <c r="H12008">
        <f>_xlfn.XLOOKUP(FACT_IMPORTS[[#This Row],[hts_6]],DIM_PRODUCTS[hts_6],DIM_PRODUCTS[hts_4],,,)</f>
        <v>8708</v>
      </c>
      <c r="I12008" t="str" cm="1">
        <f t="array" ref="I12008">_xlfn.XLOOKUP(FACT_IMPORTS[[#This Row],[country_name]],DIM_COUNTRY[[#All],[Column2]],DIM_COUNTRY[[#All],[Column3]],,,)</f>
        <v>Major_Non-USMCA_Non-China</v>
      </c>
    </row>
    <row r="12009" spans="1:9" x14ac:dyDescent="0.4">
      <c r="A12009" t="s">
        <v>73</v>
      </c>
      <c r="B12009" s="1">
        <v>45597</v>
      </c>
      <c r="C12009">
        <v>870840</v>
      </c>
      <c r="D12009" t="s">
        <v>176</v>
      </c>
      <c r="E12009">
        <v>2498801</v>
      </c>
      <c r="F12009">
        <v>262917</v>
      </c>
      <c r="G12009">
        <v>64311</v>
      </c>
      <c r="H12009">
        <f>_xlfn.XLOOKUP(FACT_IMPORTS[[#This Row],[hts_6]],DIM_PRODUCTS[hts_6],DIM_PRODUCTS[hts_4],,,)</f>
        <v>8708</v>
      </c>
      <c r="I12009" t="str" cm="1">
        <f t="array" ref="I12009">_xlfn.XLOOKUP(FACT_IMPORTS[[#This Row],[country_name]],DIM_COUNTRY[[#All],[Column2]],DIM_COUNTRY[[#All],[Column3]],,,)</f>
        <v>Major_Non-USMCA_Non-China</v>
      </c>
    </row>
    <row r="12010" spans="1:9" x14ac:dyDescent="0.4">
      <c r="A12010" t="s">
        <v>73</v>
      </c>
      <c r="B12010" s="1">
        <v>45597</v>
      </c>
      <c r="C12010">
        <v>870850</v>
      </c>
      <c r="D12010" t="s">
        <v>176</v>
      </c>
      <c r="E12010">
        <v>14298811</v>
      </c>
      <c r="F12010">
        <v>837719</v>
      </c>
      <c r="G12010">
        <v>279483</v>
      </c>
      <c r="H12010">
        <f>_xlfn.XLOOKUP(FACT_IMPORTS[[#This Row],[hts_6]],DIM_PRODUCTS[hts_6],DIM_PRODUCTS[hts_4],,,)</f>
        <v>8708</v>
      </c>
      <c r="I12010" t="str" cm="1">
        <f t="array" ref="I12010">_xlfn.XLOOKUP(FACT_IMPORTS[[#This Row],[country_name]],DIM_COUNTRY[[#All],[Column2]],DIM_COUNTRY[[#All],[Column3]],,,)</f>
        <v>Major_Non-USMCA_Non-China</v>
      </c>
    </row>
    <row r="12011" spans="1:9" x14ac:dyDescent="0.4">
      <c r="A12011" t="s">
        <v>73</v>
      </c>
      <c r="B12011" s="1">
        <v>45597</v>
      </c>
      <c r="C12011">
        <v>870870</v>
      </c>
      <c r="D12011" t="s">
        <v>176</v>
      </c>
      <c r="E12011">
        <v>405981</v>
      </c>
      <c r="F12011">
        <v>3450</v>
      </c>
      <c r="G12011">
        <v>962</v>
      </c>
      <c r="H12011">
        <f>_xlfn.XLOOKUP(FACT_IMPORTS[[#This Row],[hts_6]],DIM_PRODUCTS[hts_6],DIM_PRODUCTS[hts_4],,,)</f>
        <v>8708</v>
      </c>
      <c r="I12011" t="str" cm="1">
        <f t="array" ref="I12011">_xlfn.XLOOKUP(FACT_IMPORTS[[#This Row],[country_name]],DIM_COUNTRY[[#All],[Column2]],DIM_COUNTRY[[#All],[Column3]],,,)</f>
        <v>Major_Non-USMCA_Non-China</v>
      </c>
    </row>
    <row r="12012" spans="1:9" x14ac:dyDescent="0.4">
      <c r="A12012" t="s">
        <v>73</v>
      </c>
      <c r="B12012" s="1">
        <v>45597</v>
      </c>
      <c r="C12012">
        <v>870880</v>
      </c>
      <c r="D12012" t="s">
        <v>176</v>
      </c>
      <c r="E12012">
        <v>2639634</v>
      </c>
      <c r="F12012">
        <v>674414</v>
      </c>
      <c r="G12012">
        <v>92802</v>
      </c>
      <c r="H12012">
        <f>_xlfn.XLOOKUP(FACT_IMPORTS[[#This Row],[hts_6]],DIM_PRODUCTS[hts_6],DIM_PRODUCTS[hts_4],,,)</f>
        <v>8708</v>
      </c>
      <c r="I12012" t="str" cm="1">
        <f t="array" ref="I12012">_xlfn.XLOOKUP(FACT_IMPORTS[[#This Row],[country_name]],DIM_COUNTRY[[#All],[Column2]],DIM_COUNTRY[[#All],[Column3]],,,)</f>
        <v>Major_Non-USMCA_Non-China</v>
      </c>
    </row>
    <row r="12013" spans="1:9" x14ac:dyDescent="0.4">
      <c r="A12013" t="s">
        <v>73</v>
      </c>
      <c r="B12013" s="1">
        <v>45597</v>
      </c>
      <c r="C12013">
        <v>870891</v>
      </c>
      <c r="D12013" t="s">
        <v>176</v>
      </c>
      <c r="E12013">
        <v>132494</v>
      </c>
      <c r="F12013">
        <v>662</v>
      </c>
      <c r="G12013">
        <v>345</v>
      </c>
      <c r="H12013">
        <f>_xlfn.XLOOKUP(FACT_IMPORTS[[#This Row],[hts_6]],DIM_PRODUCTS[hts_6],DIM_PRODUCTS[hts_4],,,)</f>
        <v>8708</v>
      </c>
      <c r="I12013" t="str" cm="1">
        <f t="array" ref="I12013">_xlfn.XLOOKUP(FACT_IMPORTS[[#This Row],[country_name]],DIM_COUNTRY[[#All],[Column2]],DIM_COUNTRY[[#All],[Column3]],,,)</f>
        <v>Major_Non-USMCA_Non-China</v>
      </c>
    </row>
    <row r="12014" spans="1:9" x14ac:dyDescent="0.4">
      <c r="A12014" t="s">
        <v>73</v>
      </c>
      <c r="B12014" s="1">
        <v>45597</v>
      </c>
      <c r="C12014">
        <v>870892</v>
      </c>
      <c r="D12014" t="s">
        <v>176</v>
      </c>
      <c r="E12014">
        <v>152489</v>
      </c>
      <c r="F12014">
        <v>601</v>
      </c>
      <c r="G12014">
        <v>250</v>
      </c>
      <c r="H12014">
        <f>_xlfn.XLOOKUP(FACT_IMPORTS[[#This Row],[hts_6]],DIM_PRODUCTS[hts_6],DIM_PRODUCTS[hts_4],,,)</f>
        <v>8708</v>
      </c>
      <c r="I12014" t="str" cm="1">
        <f t="array" ref="I12014">_xlfn.XLOOKUP(FACT_IMPORTS[[#This Row],[country_name]],DIM_COUNTRY[[#All],[Column2]],DIM_COUNTRY[[#All],[Column3]],,,)</f>
        <v>Major_Non-USMCA_Non-China</v>
      </c>
    </row>
    <row r="12015" spans="1:9" x14ac:dyDescent="0.4">
      <c r="A12015" t="s">
        <v>73</v>
      </c>
      <c r="B12015" s="1">
        <v>45597</v>
      </c>
      <c r="C12015">
        <v>870893</v>
      </c>
      <c r="D12015" t="s">
        <v>176</v>
      </c>
      <c r="E12015">
        <v>892965</v>
      </c>
      <c r="F12015">
        <v>62929</v>
      </c>
      <c r="G12015">
        <v>12881</v>
      </c>
      <c r="H12015">
        <f>_xlfn.XLOOKUP(FACT_IMPORTS[[#This Row],[hts_6]],DIM_PRODUCTS[hts_6],DIM_PRODUCTS[hts_4],,,)</f>
        <v>8708</v>
      </c>
      <c r="I12015" t="str" cm="1">
        <f t="array" ref="I12015">_xlfn.XLOOKUP(FACT_IMPORTS[[#This Row],[country_name]],DIM_COUNTRY[[#All],[Column2]],DIM_COUNTRY[[#All],[Column3]],,,)</f>
        <v>Major_Non-USMCA_Non-China</v>
      </c>
    </row>
    <row r="12016" spans="1:9" x14ac:dyDescent="0.4">
      <c r="A12016" t="s">
        <v>73</v>
      </c>
      <c r="B12016" s="1">
        <v>45597</v>
      </c>
      <c r="C12016">
        <v>870894</v>
      </c>
      <c r="D12016" t="s">
        <v>176</v>
      </c>
      <c r="E12016">
        <v>1940471</v>
      </c>
      <c r="F12016">
        <v>349439</v>
      </c>
      <c r="G12016">
        <v>53543</v>
      </c>
      <c r="H12016">
        <f>_xlfn.XLOOKUP(FACT_IMPORTS[[#This Row],[hts_6]],DIM_PRODUCTS[hts_6],DIM_PRODUCTS[hts_4],,,)</f>
        <v>8708</v>
      </c>
      <c r="I12016" t="str" cm="1">
        <f t="array" ref="I12016">_xlfn.XLOOKUP(FACT_IMPORTS[[#This Row],[country_name]],DIM_COUNTRY[[#All],[Column2]],DIM_COUNTRY[[#All],[Column3]],,,)</f>
        <v>Major_Non-USMCA_Non-China</v>
      </c>
    </row>
    <row r="12017" spans="1:9" x14ac:dyDescent="0.4">
      <c r="A12017" t="s">
        <v>73</v>
      </c>
      <c r="B12017" s="1">
        <v>45597</v>
      </c>
      <c r="C12017">
        <v>870895</v>
      </c>
      <c r="D12017" t="s">
        <v>176</v>
      </c>
      <c r="E12017">
        <v>17967</v>
      </c>
      <c r="F12017">
        <v>137</v>
      </c>
      <c r="G12017">
        <v>76</v>
      </c>
      <c r="H12017">
        <f>_xlfn.XLOOKUP(FACT_IMPORTS[[#This Row],[hts_6]],DIM_PRODUCTS[hts_6],DIM_PRODUCTS[hts_4],,,)</f>
        <v>8708</v>
      </c>
      <c r="I12017" t="str" cm="1">
        <f t="array" ref="I12017">_xlfn.XLOOKUP(FACT_IMPORTS[[#This Row],[country_name]],DIM_COUNTRY[[#All],[Column2]],DIM_COUNTRY[[#All],[Column3]],,,)</f>
        <v>Major_Non-USMCA_Non-China</v>
      </c>
    </row>
    <row r="12018" spans="1:9" x14ac:dyDescent="0.4">
      <c r="A12018" t="s">
        <v>73</v>
      </c>
      <c r="B12018" s="1">
        <v>45597</v>
      </c>
      <c r="C12018">
        <v>870899</v>
      </c>
      <c r="D12018" t="s">
        <v>176</v>
      </c>
      <c r="E12018">
        <v>21596518</v>
      </c>
      <c r="F12018">
        <v>3189073</v>
      </c>
      <c r="G12018">
        <v>697709</v>
      </c>
      <c r="H12018">
        <f>_xlfn.XLOOKUP(FACT_IMPORTS[[#This Row],[hts_6]],DIM_PRODUCTS[hts_6],DIM_PRODUCTS[hts_4],,,)</f>
        <v>8708</v>
      </c>
      <c r="I12018" t="str" cm="1">
        <f t="array" ref="I12018">_xlfn.XLOOKUP(FACT_IMPORTS[[#This Row],[country_name]],DIM_COUNTRY[[#All],[Column2]],DIM_COUNTRY[[#All],[Column3]],,,)</f>
        <v>Major_Non-USMCA_Non-China</v>
      </c>
    </row>
    <row r="12019" spans="1:9" x14ac:dyDescent="0.4">
      <c r="A12019" t="s">
        <v>73</v>
      </c>
      <c r="B12019" s="1">
        <v>45597</v>
      </c>
      <c r="C12019">
        <v>940120</v>
      </c>
      <c r="D12019" t="s">
        <v>176</v>
      </c>
      <c r="E12019">
        <v>0</v>
      </c>
      <c r="F12019">
        <v>0</v>
      </c>
      <c r="G12019">
        <v>0</v>
      </c>
      <c r="H12019">
        <f>_xlfn.XLOOKUP(FACT_IMPORTS[[#This Row],[hts_6]],DIM_PRODUCTS[hts_6],DIM_PRODUCTS[hts_4],,,)</f>
        <v>9401</v>
      </c>
      <c r="I12019" t="str" cm="1">
        <f t="array" ref="I12019">_xlfn.XLOOKUP(FACT_IMPORTS[[#This Row],[country_name]],DIM_COUNTRY[[#All],[Column2]],DIM_COUNTRY[[#All],[Column3]],,,)</f>
        <v>Major_Non-USMCA_Non-China</v>
      </c>
    </row>
    <row r="12020" spans="1:9" x14ac:dyDescent="0.4">
      <c r="A12020" t="s">
        <v>73</v>
      </c>
      <c r="B12020" s="1">
        <v>45627</v>
      </c>
      <c r="C12020">
        <v>392630</v>
      </c>
      <c r="D12020" t="s">
        <v>176</v>
      </c>
      <c r="E12020">
        <v>437777</v>
      </c>
      <c r="F12020">
        <v>21520</v>
      </c>
      <c r="G12020">
        <v>23460</v>
      </c>
      <c r="H12020">
        <f>_xlfn.XLOOKUP(FACT_IMPORTS[[#This Row],[hts_6]],DIM_PRODUCTS[hts_6],DIM_PRODUCTS[hts_4],,,)</f>
        <v>3926</v>
      </c>
      <c r="I12020" t="str" cm="1">
        <f t="array" ref="I12020">_xlfn.XLOOKUP(FACT_IMPORTS[[#This Row],[country_name]],DIM_COUNTRY[[#All],[Column2]],DIM_COUNTRY[[#All],[Column3]],,,)</f>
        <v>Major_Non-USMCA_Non-China</v>
      </c>
    </row>
    <row r="12021" spans="1:9" x14ac:dyDescent="0.4">
      <c r="A12021" t="s">
        <v>73</v>
      </c>
      <c r="B12021" s="1">
        <v>45627</v>
      </c>
      <c r="C12021">
        <v>401110</v>
      </c>
      <c r="D12021" t="s">
        <v>176</v>
      </c>
      <c r="E12021">
        <v>4450276</v>
      </c>
      <c r="F12021">
        <v>69825</v>
      </c>
      <c r="G12021">
        <v>915055</v>
      </c>
      <c r="H12021">
        <f>_xlfn.XLOOKUP(FACT_IMPORTS[[#This Row],[hts_6]],DIM_PRODUCTS[hts_6],DIM_PRODUCTS[hts_4],,,)</f>
        <v>4011</v>
      </c>
      <c r="I12021" t="str" cm="1">
        <f t="array" ref="I12021">_xlfn.XLOOKUP(FACT_IMPORTS[[#This Row],[country_name]],DIM_COUNTRY[[#All],[Column2]],DIM_COUNTRY[[#All],[Column3]],,,)</f>
        <v>Major_Non-USMCA_Non-China</v>
      </c>
    </row>
    <row r="12022" spans="1:9" x14ac:dyDescent="0.4">
      <c r="A12022" t="s">
        <v>73</v>
      </c>
      <c r="B12022" s="1">
        <v>45627</v>
      </c>
      <c r="C12022">
        <v>401120</v>
      </c>
      <c r="D12022" t="s">
        <v>176</v>
      </c>
      <c r="E12022">
        <v>39170</v>
      </c>
      <c r="F12022">
        <v>450</v>
      </c>
      <c r="G12022">
        <v>2426</v>
      </c>
      <c r="H12022">
        <f>_xlfn.XLOOKUP(FACT_IMPORTS[[#This Row],[hts_6]],DIM_PRODUCTS[hts_6],DIM_PRODUCTS[hts_4],,,)</f>
        <v>4011</v>
      </c>
      <c r="I12022" t="str" cm="1">
        <f t="array" ref="I12022">_xlfn.XLOOKUP(FACT_IMPORTS[[#This Row],[country_name]],DIM_COUNTRY[[#All],[Column2]],DIM_COUNTRY[[#All],[Column3]],,,)</f>
        <v>Major_Non-USMCA_Non-China</v>
      </c>
    </row>
    <row r="12023" spans="1:9" x14ac:dyDescent="0.4">
      <c r="A12023" t="s">
        <v>73</v>
      </c>
      <c r="B12023" s="1">
        <v>45627</v>
      </c>
      <c r="C12023">
        <v>401190</v>
      </c>
      <c r="D12023" t="s">
        <v>176</v>
      </c>
      <c r="E12023">
        <v>0</v>
      </c>
      <c r="F12023">
        <v>0</v>
      </c>
      <c r="G12023">
        <v>0</v>
      </c>
      <c r="H12023">
        <f>_xlfn.XLOOKUP(FACT_IMPORTS[[#This Row],[hts_6]],DIM_PRODUCTS[hts_6],DIM_PRODUCTS[hts_4],,,)</f>
        <v>4011</v>
      </c>
      <c r="I12023" t="str" cm="1">
        <f t="array" ref="I12023">_xlfn.XLOOKUP(FACT_IMPORTS[[#This Row],[country_name]],DIM_COUNTRY[[#All],[Column2]],DIM_COUNTRY[[#All],[Column3]],,,)</f>
        <v>Major_Non-USMCA_Non-China</v>
      </c>
    </row>
    <row r="12024" spans="1:9" x14ac:dyDescent="0.4">
      <c r="A12024" t="s">
        <v>73</v>
      </c>
      <c r="B12024" s="1">
        <v>45627</v>
      </c>
      <c r="C12024">
        <v>700711</v>
      </c>
      <c r="D12024" t="s">
        <v>176</v>
      </c>
      <c r="E12024">
        <v>18485</v>
      </c>
      <c r="F12024">
        <v>10</v>
      </c>
      <c r="G12024">
        <v>170</v>
      </c>
      <c r="H12024">
        <f>_xlfn.XLOOKUP(FACT_IMPORTS[[#This Row],[hts_6]],DIM_PRODUCTS[hts_6],DIM_PRODUCTS[hts_4],,,)</f>
        <v>7007</v>
      </c>
      <c r="I12024" t="str" cm="1">
        <f t="array" ref="I12024">_xlfn.XLOOKUP(FACT_IMPORTS[[#This Row],[country_name]],DIM_COUNTRY[[#All],[Column2]],DIM_COUNTRY[[#All],[Column3]],,,)</f>
        <v>Major_Non-USMCA_Non-China</v>
      </c>
    </row>
    <row r="12025" spans="1:9" x14ac:dyDescent="0.4">
      <c r="A12025" t="s">
        <v>73</v>
      </c>
      <c r="B12025" s="1">
        <v>45627</v>
      </c>
      <c r="C12025">
        <v>700910</v>
      </c>
      <c r="D12025" t="s">
        <v>176</v>
      </c>
      <c r="E12025">
        <v>1238594</v>
      </c>
      <c r="F12025">
        <v>22637</v>
      </c>
      <c r="G12025">
        <v>32699</v>
      </c>
      <c r="H12025">
        <f>_xlfn.XLOOKUP(FACT_IMPORTS[[#This Row],[hts_6]],DIM_PRODUCTS[hts_6],DIM_PRODUCTS[hts_4],,,)</f>
        <v>7009</v>
      </c>
      <c r="I12025" t="str" cm="1">
        <f t="array" ref="I12025">_xlfn.XLOOKUP(FACT_IMPORTS[[#This Row],[country_name]],DIM_COUNTRY[[#All],[Column2]],DIM_COUNTRY[[#All],[Column3]],,,)</f>
        <v>Major_Non-USMCA_Non-China</v>
      </c>
    </row>
    <row r="12026" spans="1:9" x14ac:dyDescent="0.4">
      <c r="A12026" t="s">
        <v>73</v>
      </c>
      <c r="B12026" s="1">
        <v>45627</v>
      </c>
      <c r="C12026">
        <v>830230</v>
      </c>
      <c r="D12026" t="s">
        <v>176</v>
      </c>
      <c r="E12026">
        <v>1645987</v>
      </c>
      <c r="F12026">
        <v>279499</v>
      </c>
      <c r="G12026">
        <v>62809</v>
      </c>
      <c r="H12026">
        <f>_xlfn.XLOOKUP(FACT_IMPORTS[[#This Row],[hts_6]],DIM_PRODUCTS[hts_6],DIM_PRODUCTS[hts_4],,,)</f>
        <v>8302</v>
      </c>
      <c r="I12026" t="str" cm="1">
        <f t="array" ref="I12026">_xlfn.XLOOKUP(FACT_IMPORTS[[#This Row],[country_name]],DIM_COUNTRY[[#All],[Column2]],DIM_COUNTRY[[#All],[Column3]],,,)</f>
        <v>Major_Non-USMCA_Non-China</v>
      </c>
    </row>
    <row r="12027" spans="1:9" x14ac:dyDescent="0.4">
      <c r="A12027" t="s">
        <v>73</v>
      </c>
      <c r="B12027" s="1">
        <v>45627</v>
      </c>
      <c r="C12027">
        <v>840734</v>
      </c>
      <c r="D12027" t="s">
        <v>176</v>
      </c>
      <c r="E12027">
        <v>234518</v>
      </c>
      <c r="F12027">
        <v>64</v>
      </c>
      <c r="G12027">
        <v>263</v>
      </c>
      <c r="H12027">
        <f>_xlfn.XLOOKUP(FACT_IMPORTS[[#This Row],[hts_6]],DIM_PRODUCTS[hts_6],DIM_PRODUCTS[hts_4],,,)</f>
        <v>8407</v>
      </c>
      <c r="I12027" t="str" cm="1">
        <f t="array" ref="I12027">_xlfn.XLOOKUP(FACT_IMPORTS[[#This Row],[country_name]],DIM_COUNTRY[[#All],[Column2]],DIM_COUNTRY[[#All],[Column3]],,,)</f>
        <v>Major_Non-USMCA_Non-China</v>
      </c>
    </row>
    <row r="12028" spans="1:9" x14ac:dyDescent="0.4">
      <c r="A12028" t="s">
        <v>73</v>
      </c>
      <c r="B12028" s="1">
        <v>45627</v>
      </c>
      <c r="C12028">
        <v>840820</v>
      </c>
      <c r="D12028" t="s">
        <v>176</v>
      </c>
      <c r="E12028">
        <v>3500</v>
      </c>
      <c r="F12028">
        <v>1</v>
      </c>
      <c r="G12028">
        <v>200</v>
      </c>
      <c r="H12028">
        <f>_xlfn.XLOOKUP(FACT_IMPORTS[[#This Row],[hts_6]],DIM_PRODUCTS[hts_6],DIM_PRODUCTS[hts_4],,,)</f>
        <v>8408</v>
      </c>
      <c r="I12028" t="str" cm="1">
        <f t="array" ref="I12028">_xlfn.XLOOKUP(FACT_IMPORTS[[#This Row],[country_name]],DIM_COUNTRY[[#All],[Column2]],DIM_COUNTRY[[#All],[Column3]],,,)</f>
        <v>Major_Non-USMCA_Non-China</v>
      </c>
    </row>
    <row r="12029" spans="1:9" x14ac:dyDescent="0.4">
      <c r="A12029" t="s">
        <v>73</v>
      </c>
      <c r="B12029" s="1">
        <v>45627</v>
      </c>
      <c r="C12029">
        <v>840890</v>
      </c>
      <c r="D12029" t="s">
        <v>176</v>
      </c>
      <c r="E12029">
        <v>0</v>
      </c>
      <c r="F12029">
        <v>0</v>
      </c>
      <c r="G12029">
        <v>0</v>
      </c>
      <c r="H12029">
        <f>_xlfn.XLOOKUP(FACT_IMPORTS[[#This Row],[hts_6]],DIM_PRODUCTS[hts_6],DIM_PRODUCTS[hts_4],,,)</f>
        <v>8408</v>
      </c>
      <c r="I12029" t="str" cm="1">
        <f t="array" ref="I12029">_xlfn.XLOOKUP(FACT_IMPORTS[[#This Row],[country_name]],DIM_COUNTRY[[#All],[Column2]],DIM_COUNTRY[[#All],[Column3]],,,)</f>
        <v>Major_Non-USMCA_Non-China</v>
      </c>
    </row>
    <row r="12030" spans="1:9" x14ac:dyDescent="0.4">
      <c r="A12030" t="s">
        <v>73</v>
      </c>
      <c r="B12030" s="1">
        <v>45627</v>
      </c>
      <c r="C12030">
        <v>840991</v>
      </c>
      <c r="D12030" t="s">
        <v>176</v>
      </c>
      <c r="E12030">
        <v>4476593</v>
      </c>
      <c r="F12030">
        <v>232605</v>
      </c>
      <c r="G12030">
        <v>68122</v>
      </c>
      <c r="H12030">
        <f>_xlfn.XLOOKUP(FACT_IMPORTS[[#This Row],[hts_6]],DIM_PRODUCTS[hts_6],DIM_PRODUCTS[hts_4],,,)</f>
        <v>8409</v>
      </c>
      <c r="I12030" t="str" cm="1">
        <f t="array" ref="I12030">_xlfn.XLOOKUP(FACT_IMPORTS[[#This Row],[country_name]],DIM_COUNTRY[[#All],[Column2]],DIM_COUNTRY[[#All],[Column3]],,,)</f>
        <v>Major_Non-USMCA_Non-China</v>
      </c>
    </row>
    <row r="12031" spans="1:9" x14ac:dyDescent="0.4">
      <c r="A12031" t="s">
        <v>73</v>
      </c>
      <c r="B12031" s="1">
        <v>45627</v>
      </c>
      <c r="C12031">
        <v>840999</v>
      </c>
      <c r="D12031" t="s">
        <v>176</v>
      </c>
      <c r="E12031">
        <v>337256</v>
      </c>
      <c r="F12031">
        <v>15572</v>
      </c>
      <c r="G12031">
        <v>9701</v>
      </c>
      <c r="H12031">
        <f>_xlfn.XLOOKUP(FACT_IMPORTS[[#This Row],[hts_6]],DIM_PRODUCTS[hts_6],DIM_PRODUCTS[hts_4],,,)</f>
        <v>8409</v>
      </c>
      <c r="I12031" t="str" cm="1">
        <f t="array" ref="I12031">_xlfn.XLOOKUP(FACT_IMPORTS[[#This Row],[country_name]],DIM_COUNTRY[[#All],[Column2]],DIM_COUNTRY[[#All],[Column3]],,,)</f>
        <v>Major_Non-USMCA_Non-China</v>
      </c>
    </row>
    <row r="12032" spans="1:9" x14ac:dyDescent="0.4">
      <c r="A12032" t="s">
        <v>73</v>
      </c>
      <c r="B12032" s="1">
        <v>45627</v>
      </c>
      <c r="C12032">
        <v>841330</v>
      </c>
      <c r="D12032" t="s">
        <v>176</v>
      </c>
      <c r="E12032">
        <v>5403626</v>
      </c>
      <c r="F12032">
        <v>123375</v>
      </c>
      <c r="G12032">
        <v>268962</v>
      </c>
      <c r="H12032">
        <f>_xlfn.XLOOKUP(FACT_IMPORTS[[#This Row],[hts_6]],DIM_PRODUCTS[hts_6],DIM_PRODUCTS[hts_4],,,)</f>
        <v>8413</v>
      </c>
      <c r="I12032" t="str" cm="1">
        <f t="array" ref="I12032">_xlfn.XLOOKUP(FACT_IMPORTS[[#This Row],[country_name]],DIM_COUNTRY[[#All],[Column2]],DIM_COUNTRY[[#All],[Column3]],,,)</f>
        <v>Major_Non-USMCA_Non-China</v>
      </c>
    </row>
    <row r="12033" spans="1:9" x14ac:dyDescent="0.4">
      <c r="A12033" t="s">
        <v>73</v>
      </c>
      <c r="B12033" s="1">
        <v>45627</v>
      </c>
      <c r="C12033">
        <v>842132</v>
      </c>
      <c r="D12033" t="s">
        <v>176</v>
      </c>
      <c r="E12033">
        <v>249633</v>
      </c>
      <c r="F12033">
        <v>165</v>
      </c>
      <c r="G12033">
        <v>264</v>
      </c>
      <c r="H12033">
        <f>_xlfn.XLOOKUP(FACT_IMPORTS[[#This Row],[hts_6]],DIM_PRODUCTS[hts_6],DIM_PRODUCTS[hts_4],,,)</f>
        <v>8421</v>
      </c>
      <c r="I12033" t="str" cm="1">
        <f t="array" ref="I12033">_xlfn.XLOOKUP(FACT_IMPORTS[[#This Row],[country_name]],DIM_COUNTRY[[#All],[Column2]],DIM_COUNTRY[[#All],[Column3]],,,)</f>
        <v>Major_Non-USMCA_Non-China</v>
      </c>
    </row>
    <row r="12034" spans="1:9" x14ac:dyDescent="0.4">
      <c r="A12034" t="s">
        <v>73</v>
      </c>
      <c r="B12034" s="1">
        <v>45627</v>
      </c>
      <c r="C12034">
        <v>848210</v>
      </c>
      <c r="D12034" t="s">
        <v>176</v>
      </c>
      <c r="E12034">
        <v>397742</v>
      </c>
      <c r="F12034">
        <v>95918</v>
      </c>
      <c r="G12034">
        <v>431</v>
      </c>
      <c r="H12034">
        <f>_xlfn.XLOOKUP(FACT_IMPORTS[[#This Row],[hts_6]],DIM_PRODUCTS[hts_6],DIM_PRODUCTS[hts_4],,,)</f>
        <v>8482</v>
      </c>
      <c r="I12034" t="str" cm="1">
        <f t="array" ref="I12034">_xlfn.XLOOKUP(FACT_IMPORTS[[#This Row],[country_name]],DIM_COUNTRY[[#All],[Column2]],DIM_COUNTRY[[#All],[Column3]],,,)</f>
        <v>Major_Non-USMCA_Non-China</v>
      </c>
    </row>
    <row r="12035" spans="1:9" x14ac:dyDescent="0.4">
      <c r="A12035" t="s">
        <v>73</v>
      </c>
      <c r="B12035" s="1">
        <v>45627</v>
      </c>
      <c r="C12035">
        <v>848220</v>
      </c>
      <c r="D12035" t="s">
        <v>176</v>
      </c>
      <c r="E12035">
        <v>4356529</v>
      </c>
      <c r="F12035">
        <v>1281322</v>
      </c>
      <c r="G12035">
        <v>1865</v>
      </c>
      <c r="H12035">
        <f>_xlfn.XLOOKUP(FACT_IMPORTS[[#This Row],[hts_6]],DIM_PRODUCTS[hts_6],DIM_PRODUCTS[hts_4],,,)</f>
        <v>8482</v>
      </c>
      <c r="I12035" t="str" cm="1">
        <f t="array" ref="I12035">_xlfn.XLOOKUP(FACT_IMPORTS[[#This Row],[country_name]],DIM_COUNTRY[[#All],[Column2]],DIM_COUNTRY[[#All],[Column3]],,,)</f>
        <v>Major_Non-USMCA_Non-China</v>
      </c>
    </row>
    <row r="12036" spans="1:9" x14ac:dyDescent="0.4">
      <c r="A12036" t="s">
        <v>73</v>
      </c>
      <c r="B12036" s="1">
        <v>45627</v>
      </c>
      <c r="C12036">
        <v>848310</v>
      </c>
      <c r="D12036" t="s">
        <v>176</v>
      </c>
      <c r="E12036">
        <v>34355</v>
      </c>
      <c r="F12036">
        <v>87</v>
      </c>
      <c r="G12036">
        <v>30</v>
      </c>
      <c r="H12036">
        <f>_xlfn.XLOOKUP(FACT_IMPORTS[[#This Row],[hts_6]],DIM_PRODUCTS[hts_6],DIM_PRODUCTS[hts_4],,,)</f>
        <v>8483</v>
      </c>
      <c r="I12036" t="str" cm="1">
        <f t="array" ref="I12036">_xlfn.XLOOKUP(FACT_IMPORTS[[#This Row],[country_name]],DIM_COUNTRY[[#All],[Column2]],DIM_COUNTRY[[#All],[Column3]],,,)</f>
        <v>Major_Non-USMCA_Non-China</v>
      </c>
    </row>
    <row r="12037" spans="1:9" x14ac:dyDescent="0.4">
      <c r="A12037" t="s">
        <v>73</v>
      </c>
      <c r="B12037" s="1">
        <v>45627</v>
      </c>
      <c r="C12037">
        <v>850131</v>
      </c>
      <c r="D12037" t="s">
        <v>176</v>
      </c>
      <c r="E12037">
        <v>1504452</v>
      </c>
      <c r="F12037">
        <v>139051</v>
      </c>
      <c r="G12037">
        <v>100883</v>
      </c>
      <c r="H12037">
        <f>_xlfn.XLOOKUP(FACT_IMPORTS[[#This Row],[hts_6]],DIM_PRODUCTS[hts_6],DIM_PRODUCTS[hts_4],,,)</f>
        <v>8501</v>
      </c>
      <c r="I12037" t="str" cm="1">
        <f t="array" ref="I12037">_xlfn.XLOOKUP(FACT_IMPORTS[[#This Row],[country_name]],DIM_COUNTRY[[#All],[Column2]],DIM_COUNTRY[[#All],[Column3]],,,)</f>
        <v>Major_Non-USMCA_Non-China</v>
      </c>
    </row>
    <row r="12038" spans="1:9" x14ac:dyDescent="0.4">
      <c r="A12038" t="s">
        <v>73</v>
      </c>
      <c r="B12038" s="1">
        <v>45627</v>
      </c>
      <c r="C12038">
        <v>850152</v>
      </c>
      <c r="D12038" t="s">
        <v>176</v>
      </c>
      <c r="E12038">
        <v>0</v>
      </c>
      <c r="F12038">
        <v>0</v>
      </c>
      <c r="G12038">
        <v>0</v>
      </c>
      <c r="H12038">
        <f>_xlfn.XLOOKUP(FACT_IMPORTS[[#This Row],[hts_6]],DIM_PRODUCTS[hts_6],DIM_PRODUCTS[hts_4],,,)</f>
        <v>8501</v>
      </c>
      <c r="I12038" t="str" cm="1">
        <f t="array" ref="I12038">_xlfn.XLOOKUP(FACT_IMPORTS[[#This Row],[country_name]],DIM_COUNTRY[[#All],[Column2]],DIM_COUNTRY[[#All],[Column3]],,,)</f>
        <v>Major_Non-USMCA_Non-China</v>
      </c>
    </row>
    <row r="12039" spans="1:9" x14ac:dyDescent="0.4">
      <c r="A12039" t="s">
        <v>73</v>
      </c>
      <c r="B12039" s="1">
        <v>45627</v>
      </c>
      <c r="C12039">
        <v>850153</v>
      </c>
      <c r="D12039" t="s">
        <v>176</v>
      </c>
      <c r="E12039">
        <v>24444</v>
      </c>
      <c r="F12039">
        <v>13</v>
      </c>
      <c r="G12039">
        <v>23</v>
      </c>
      <c r="H12039">
        <f>_xlfn.XLOOKUP(FACT_IMPORTS[[#This Row],[hts_6]],DIM_PRODUCTS[hts_6],DIM_PRODUCTS[hts_4],,,)</f>
        <v>8501</v>
      </c>
      <c r="I12039" t="str" cm="1">
        <f t="array" ref="I12039">_xlfn.XLOOKUP(FACT_IMPORTS[[#This Row],[country_name]],DIM_COUNTRY[[#All],[Column2]],DIM_COUNTRY[[#All],[Column3]],,,)</f>
        <v>Major_Non-USMCA_Non-China</v>
      </c>
    </row>
    <row r="12040" spans="1:9" x14ac:dyDescent="0.4">
      <c r="A12040" t="s">
        <v>73</v>
      </c>
      <c r="B12040" s="1">
        <v>45627</v>
      </c>
      <c r="C12040">
        <v>850440</v>
      </c>
      <c r="D12040" t="s">
        <v>176</v>
      </c>
      <c r="E12040">
        <v>185661</v>
      </c>
      <c r="F12040">
        <v>991</v>
      </c>
      <c r="G12040">
        <v>542</v>
      </c>
      <c r="H12040">
        <f>_xlfn.XLOOKUP(FACT_IMPORTS[[#This Row],[hts_6]],DIM_PRODUCTS[hts_6],DIM_PRODUCTS[hts_4],,,)</f>
        <v>8504</v>
      </c>
      <c r="I12040" t="str" cm="1">
        <f t="array" ref="I12040">_xlfn.XLOOKUP(FACT_IMPORTS[[#This Row],[country_name]],DIM_COUNTRY[[#All],[Column2]],DIM_COUNTRY[[#All],[Column3]],,,)</f>
        <v>Major_Non-USMCA_Non-China</v>
      </c>
    </row>
    <row r="12041" spans="1:9" x14ac:dyDescent="0.4">
      <c r="A12041" t="s">
        <v>73</v>
      </c>
      <c r="B12041" s="1">
        <v>45627</v>
      </c>
      <c r="C12041">
        <v>850710</v>
      </c>
      <c r="D12041" t="s">
        <v>176</v>
      </c>
      <c r="E12041">
        <v>1035217</v>
      </c>
      <c r="F12041">
        <v>24176</v>
      </c>
      <c r="G12041">
        <v>7032</v>
      </c>
      <c r="H12041">
        <f>_xlfn.XLOOKUP(FACT_IMPORTS[[#This Row],[hts_6]],DIM_PRODUCTS[hts_6],DIM_PRODUCTS[hts_4],,,)</f>
        <v>8507</v>
      </c>
      <c r="I12041" t="str" cm="1">
        <f t="array" ref="I12041">_xlfn.XLOOKUP(FACT_IMPORTS[[#This Row],[country_name]],DIM_COUNTRY[[#All],[Column2]],DIM_COUNTRY[[#All],[Column3]],,,)</f>
        <v>Major_Non-USMCA_Non-China</v>
      </c>
    </row>
    <row r="12042" spans="1:9" x14ac:dyDescent="0.4">
      <c r="A12042" t="s">
        <v>73</v>
      </c>
      <c r="B12042" s="1">
        <v>45627</v>
      </c>
      <c r="C12042">
        <v>850760</v>
      </c>
      <c r="D12042" t="s">
        <v>176</v>
      </c>
      <c r="E12042">
        <v>22939</v>
      </c>
      <c r="F12042">
        <v>1</v>
      </c>
      <c r="G12042">
        <v>455</v>
      </c>
      <c r="H12042">
        <f>_xlfn.XLOOKUP(FACT_IMPORTS[[#This Row],[hts_6]],DIM_PRODUCTS[hts_6],DIM_PRODUCTS[hts_4],,,)</f>
        <v>8507</v>
      </c>
      <c r="I12042" t="str" cm="1">
        <f t="array" ref="I12042">_xlfn.XLOOKUP(FACT_IMPORTS[[#This Row],[country_name]],DIM_COUNTRY[[#All],[Column2]],DIM_COUNTRY[[#All],[Column3]],,,)</f>
        <v>Major_Non-USMCA_Non-China</v>
      </c>
    </row>
    <row r="12043" spans="1:9" x14ac:dyDescent="0.4">
      <c r="A12043" t="s">
        <v>73</v>
      </c>
      <c r="B12043" s="1">
        <v>45627</v>
      </c>
      <c r="C12043">
        <v>850790</v>
      </c>
      <c r="D12043" t="s">
        <v>176</v>
      </c>
      <c r="E12043">
        <v>55440</v>
      </c>
      <c r="F12043">
        <v>1014</v>
      </c>
      <c r="G12043">
        <v>1000</v>
      </c>
      <c r="H12043">
        <f>_xlfn.XLOOKUP(FACT_IMPORTS[[#This Row],[hts_6]],DIM_PRODUCTS[hts_6],DIM_PRODUCTS[hts_4],,,)</f>
        <v>8507</v>
      </c>
      <c r="I12043" t="str" cm="1">
        <f t="array" ref="I12043">_xlfn.XLOOKUP(FACT_IMPORTS[[#This Row],[country_name]],DIM_COUNTRY[[#All],[Column2]],DIM_COUNTRY[[#All],[Column3]],,,)</f>
        <v>Major_Non-USMCA_Non-China</v>
      </c>
    </row>
    <row r="12044" spans="1:9" x14ac:dyDescent="0.4">
      <c r="A12044" t="s">
        <v>73</v>
      </c>
      <c r="B12044" s="1">
        <v>45627</v>
      </c>
      <c r="C12044">
        <v>851130</v>
      </c>
      <c r="D12044" t="s">
        <v>176</v>
      </c>
      <c r="E12044">
        <v>52889</v>
      </c>
      <c r="F12044">
        <v>1224</v>
      </c>
      <c r="G12044">
        <v>63</v>
      </c>
      <c r="H12044">
        <f>_xlfn.XLOOKUP(FACT_IMPORTS[[#This Row],[hts_6]],DIM_PRODUCTS[hts_6],DIM_PRODUCTS[hts_4],,,)</f>
        <v>8511</v>
      </c>
      <c r="I12044" t="str" cm="1">
        <f t="array" ref="I12044">_xlfn.XLOOKUP(FACT_IMPORTS[[#This Row],[country_name]],DIM_COUNTRY[[#All],[Column2]],DIM_COUNTRY[[#All],[Column3]],,,)</f>
        <v>Major_Non-USMCA_Non-China</v>
      </c>
    </row>
    <row r="12045" spans="1:9" x14ac:dyDescent="0.4">
      <c r="A12045" t="s">
        <v>73</v>
      </c>
      <c r="B12045" s="1">
        <v>45627</v>
      </c>
      <c r="C12045">
        <v>851140</v>
      </c>
      <c r="D12045" t="s">
        <v>176</v>
      </c>
      <c r="E12045">
        <v>11850</v>
      </c>
      <c r="F12045">
        <v>216</v>
      </c>
      <c r="G12045">
        <v>13</v>
      </c>
      <c r="H12045">
        <f>_xlfn.XLOOKUP(FACT_IMPORTS[[#This Row],[hts_6]],DIM_PRODUCTS[hts_6],DIM_PRODUCTS[hts_4],,,)</f>
        <v>8511</v>
      </c>
      <c r="I12045" t="str" cm="1">
        <f t="array" ref="I12045">_xlfn.XLOOKUP(FACT_IMPORTS[[#This Row],[country_name]],DIM_COUNTRY[[#All],[Column2]],DIM_COUNTRY[[#All],[Column3]],,,)</f>
        <v>Major_Non-USMCA_Non-China</v>
      </c>
    </row>
    <row r="12046" spans="1:9" x14ac:dyDescent="0.4">
      <c r="A12046" t="s">
        <v>73</v>
      </c>
      <c r="B12046" s="1">
        <v>45627</v>
      </c>
      <c r="C12046">
        <v>851150</v>
      </c>
      <c r="D12046" t="s">
        <v>176</v>
      </c>
      <c r="E12046">
        <v>219045</v>
      </c>
      <c r="F12046">
        <v>1256</v>
      </c>
      <c r="G12046">
        <v>306</v>
      </c>
      <c r="H12046">
        <f>_xlfn.XLOOKUP(FACT_IMPORTS[[#This Row],[hts_6]],DIM_PRODUCTS[hts_6],DIM_PRODUCTS[hts_4],,,)</f>
        <v>8511</v>
      </c>
      <c r="I12046" t="str" cm="1">
        <f t="array" ref="I12046">_xlfn.XLOOKUP(FACT_IMPORTS[[#This Row],[country_name]],DIM_COUNTRY[[#All],[Column2]],DIM_COUNTRY[[#All],[Column3]],,,)</f>
        <v>Major_Non-USMCA_Non-China</v>
      </c>
    </row>
    <row r="12047" spans="1:9" x14ac:dyDescent="0.4">
      <c r="A12047" t="s">
        <v>73</v>
      </c>
      <c r="B12047" s="1">
        <v>45627</v>
      </c>
      <c r="C12047">
        <v>851190</v>
      </c>
      <c r="D12047" t="s">
        <v>176</v>
      </c>
      <c r="E12047">
        <v>113401</v>
      </c>
      <c r="F12047">
        <v>13171</v>
      </c>
      <c r="G12047">
        <v>5271</v>
      </c>
      <c r="H12047">
        <f>_xlfn.XLOOKUP(FACT_IMPORTS[[#This Row],[hts_6]],DIM_PRODUCTS[hts_6],DIM_PRODUCTS[hts_4],,,)</f>
        <v>8511</v>
      </c>
      <c r="I12047" t="str" cm="1">
        <f t="array" ref="I12047">_xlfn.XLOOKUP(FACT_IMPORTS[[#This Row],[country_name]],DIM_COUNTRY[[#All],[Column2]],DIM_COUNTRY[[#All],[Column3]],,,)</f>
        <v>Major_Non-USMCA_Non-China</v>
      </c>
    </row>
    <row r="12048" spans="1:9" x14ac:dyDescent="0.4">
      <c r="A12048" t="s">
        <v>73</v>
      </c>
      <c r="B12048" s="1">
        <v>45627</v>
      </c>
      <c r="C12048">
        <v>851220</v>
      </c>
      <c r="D12048" t="s">
        <v>176</v>
      </c>
      <c r="E12048">
        <v>10338818</v>
      </c>
      <c r="F12048">
        <v>1264907</v>
      </c>
      <c r="G12048">
        <v>181296</v>
      </c>
      <c r="H12048">
        <f>_xlfn.XLOOKUP(FACT_IMPORTS[[#This Row],[hts_6]],DIM_PRODUCTS[hts_6],DIM_PRODUCTS[hts_4],,,)</f>
        <v>8512</v>
      </c>
      <c r="I12048" t="str" cm="1">
        <f t="array" ref="I12048">_xlfn.XLOOKUP(FACT_IMPORTS[[#This Row],[country_name]],DIM_COUNTRY[[#All],[Column2]],DIM_COUNTRY[[#All],[Column3]],,,)</f>
        <v>Major_Non-USMCA_Non-China</v>
      </c>
    </row>
    <row r="12049" spans="1:9" x14ac:dyDescent="0.4">
      <c r="A12049" t="s">
        <v>73</v>
      </c>
      <c r="B12049" s="1">
        <v>45627</v>
      </c>
      <c r="C12049">
        <v>851240</v>
      </c>
      <c r="D12049" t="s">
        <v>176</v>
      </c>
      <c r="E12049">
        <v>328240</v>
      </c>
      <c r="F12049">
        <v>15732</v>
      </c>
      <c r="G12049">
        <v>3152</v>
      </c>
      <c r="H12049">
        <f>_xlfn.XLOOKUP(FACT_IMPORTS[[#This Row],[hts_6]],DIM_PRODUCTS[hts_6],DIM_PRODUCTS[hts_4],,,)</f>
        <v>8512</v>
      </c>
      <c r="I12049" t="str" cm="1">
        <f t="array" ref="I12049">_xlfn.XLOOKUP(FACT_IMPORTS[[#This Row],[country_name]],DIM_COUNTRY[[#All],[Column2]],DIM_COUNTRY[[#All],[Column3]],,,)</f>
        <v>Major_Non-USMCA_Non-China</v>
      </c>
    </row>
    <row r="12050" spans="1:9" x14ac:dyDescent="0.4">
      <c r="A12050" t="s">
        <v>73</v>
      </c>
      <c r="B12050" s="1">
        <v>45627</v>
      </c>
      <c r="C12050">
        <v>851290</v>
      </c>
      <c r="D12050" t="s">
        <v>176</v>
      </c>
      <c r="E12050">
        <v>880295</v>
      </c>
      <c r="F12050">
        <v>86170</v>
      </c>
      <c r="G12050">
        <v>45523</v>
      </c>
      <c r="H12050">
        <f>_xlfn.XLOOKUP(FACT_IMPORTS[[#This Row],[hts_6]],DIM_PRODUCTS[hts_6],DIM_PRODUCTS[hts_4],,,)</f>
        <v>8512</v>
      </c>
      <c r="I12050" t="str" cm="1">
        <f t="array" ref="I12050">_xlfn.XLOOKUP(FACT_IMPORTS[[#This Row],[country_name]],DIM_COUNTRY[[#All],[Column2]],DIM_COUNTRY[[#All],[Column3]],,,)</f>
        <v>Major_Non-USMCA_Non-China</v>
      </c>
    </row>
    <row r="12051" spans="1:9" x14ac:dyDescent="0.4">
      <c r="A12051" t="s">
        <v>73</v>
      </c>
      <c r="B12051" s="1">
        <v>45627</v>
      </c>
      <c r="C12051">
        <v>854231</v>
      </c>
      <c r="D12051" t="s">
        <v>176</v>
      </c>
      <c r="E12051">
        <v>0</v>
      </c>
      <c r="F12051">
        <v>0</v>
      </c>
      <c r="G12051">
        <v>0</v>
      </c>
      <c r="H12051">
        <f>_xlfn.XLOOKUP(FACT_IMPORTS[[#This Row],[hts_6]],DIM_PRODUCTS[hts_6],DIM_PRODUCTS[hts_4],,,)</f>
        <v>8542</v>
      </c>
      <c r="I12051" t="str" cm="1">
        <f t="array" ref="I12051">_xlfn.XLOOKUP(FACT_IMPORTS[[#This Row],[country_name]],DIM_COUNTRY[[#All],[Column2]],DIM_COUNTRY[[#All],[Column3]],,,)</f>
        <v>Major_Non-USMCA_Non-China</v>
      </c>
    </row>
    <row r="12052" spans="1:9" x14ac:dyDescent="0.4">
      <c r="A12052" t="s">
        <v>73</v>
      </c>
      <c r="B12052" s="1">
        <v>45627</v>
      </c>
      <c r="C12052">
        <v>854232</v>
      </c>
      <c r="D12052" t="s">
        <v>176</v>
      </c>
      <c r="E12052">
        <v>28989</v>
      </c>
      <c r="F12052">
        <v>2902</v>
      </c>
      <c r="G12052">
        <v>760</v>
      </c>
      <c r="H12052">
        <f>_xlfn.XLOOKUP(FACT_IMPORTS[[#This Row],[hts_6]],DIM_PRODUCTS[hts_6],DIM_PRODUCTS[hts_4],,,)</f>
        <v>8542</v>
      </c>
      <c r="I12052" t="str" cm="1">
        <f t="array" ref="I12052">_xlfn.XLOOKUP(FACT_IMPORTS[[#This Row],[country_name]],DIM_COUNTRY[[#All],[Column2]],DIM_COUNTRY[[#All],[Column3]],,,)</f>
        <v>Major_Non-USMCA_Non-China</v>
      </c>
    </row>
    <row r="12053" spans="1:9" x14ac:dyDescent="0.4">
      <c r="A12053" t="s">
        <v>73</v>
      </c>
      <c r="B12053" s="1">
        <v>45627</v>
      </c>
      <c r="C12053">
        <v>854239</v>
      </c>
      <c r="D12053" t="s">
        <v>176</v>
      </c>
      <c r="E12053">
        <v>24003</v>
      </c>
      <c r="F12053">
        <v>756</v>
      </c>
      <c r="G12053">
        <v>42</v>
      </c>
      <c r="H12053">
        <f>_xlfn.XLOOKUP(FACT_IMPORTS[[#This Row],[hts_6]],DIM_PRODUCTS[hts_6],DIM_PRODUCTS[hts_4],,,)</f>
        <v>8542</v>
      </c>
      <c r="I12053" t="str" cm="1">
        <f t="array" ref="I12053">_xlfn.XLOOKUP(FACT_IMPORTS[[#This Row],[country_name]],DIM_COUNTRY[[#All],[Column2]],DIM_COUNTRY[[#All],[Column3]],,,)</f>
        <v>Major_Non-USMCA_Non-China</v>
      </c>
    </row>
    <row r="12054" spans="1:9" x14ac:dyDescent="0.4">
      <c r="A12054" t="s">
        <v>73</v>
      </c>
      <c r="B12054" s="1">
        <v>45627</v>
      </c>
      <c r="C12054">
        <v>854430</v>
      </c>
      <c r="D12054" t="s">
        <v>176</v>
      </c>
      <c r="E12054">
        <v>104844</v>
      </c>
      <c r="F12054">
        <v>226</v>
      </c>
      <c r="G12054">
        <v>199</v>
      </c>
      <c r="H12054">
        <f>_xlfn.XLOOKUP(FACT_IMPORTS[[#This Row],[hts_6]],DIM_PRODUCTS[hts_6],DIM_PRODUCTS[hts_4],,,)</f>
        <v>8544</v>
      </c>
      <c r="I12054" t="str" cm="1">
        <f t="array" ref="I12054">_xlfn.XLOOKUP(FACT_IMPORTS[[#This Row],[country_name]],DIM_COUNTRY[[#All],[Column2]],DIM_COUNTRY[[#All],[Column3]],,,)</f>
        <v>Major_Non-USMCA_Non-China</v>
      </c>
    </row>
    <row r="12055" spans="1:9" x14ac:dyDescent="0.4">
      <c r="A12055" t="s">
        <v>73</v>
      </c>
      <c r="B12055" s="1">
        <v>45627</v>
      </c>
      <c r="C12055">
        <v>870810</v>
      </c>
      <c r="D12055" t="s">
        <v>176</v>
      </c>
      <c r="E12055">
        <v>3057190</v>
      </c>
      <c r="F12055">
        <v>87798</v>
      </c>
      <c r="G12055">
        <v>12048</v>
      </c>
      <c r="H12055">
        <f>_xlfn.XLOOKUP(FACT_IMPORTS[[#This Row],[hts_6]],DIM_PRODUCTS[hts_6],DIM_PRODUCTS[hts_4],,,)</f>
        <v>8708</v>
      </c>
      <c r="I12055" t="str" cm="1">
        <f t="array" ref="I12055">_xlfn.XLOOKUP(FACT_IMPORTS[[#This Row],[country_name]],DIM_COUNTRY[[#All],[Column2]],DIM_COUNTRY[[#All],[Column3]],,,)</f>
        <v>Major_Non-USMCA_Non-China</v>
      </c>
    </row>
    <row r="12056" spans="1:9" x14ac:dyDescent="0.4">
      <c r="A12056" t="s">
        <v>73</v>
      </c>
      <c r="B12056" s="1">
        <v>45627</v>
      </c>
      <c r="C12056">
        <v>870822</v>
      </c>
      <c r="D12056" t="s">
        <v>176</v>
      </c>
      <c r="E12056">
        <v>293320</v>
      </c>
      <c r="F12056">
        <v>1490</v>
      </c>
      <c r="G12056">
        <v>455</v>
      </c>
      <c r="H12056">
        <f>_xlfn.XLOOKUP(FACT_IMPORTS[[#This Row],[hts_6]],DIM_PRODUCTS[hts_6],DIM_PRODUCTS[hts_4],,,)</f>
        <v>8708</v>
      </c>
      <c r="I12056" t="str" cm="1">
        <f t="array" ref="I12056">_xlfn.XLOOKUP(FACT_IMPORTS[[#This Row],[country_name]],DIM_COUNTRY[[#All],[Column2]],DIM_COUNTRY[[#All],[Column3]],,,)</f>
        <v>Major_Non-USMCA_Non-China</v>
      </c>
    </row>
    <row r="12057" spans="1:9" x14ac:dyDescent="0.4">
      <c r="A12057" t="s">
        <v>73</v>
      </c>
      <c r="B12057" s="1">
        <v>45627</v>
      </c>
      <c r="C12057">
        <v>870829</v>
      </c>
      <c r="D12057" t="s">
        <v>176</v>
      </c>
      <c r="E12057">
        <v>8783003</v>
      </c>
      <c r="F12057">
        <v>1500202</v>
      </c>
      <c r="G12057">
        <v>208127</v>
      </c>
      <c r="H12057">
        <f>_xlfn.XLOOKUP(FACT_IMPORTS[[#This Row],[hts_6]],DIM_PRODUCTS[hts_6],DIM_PRODUCTS[hts_4],,,)</f>
        <v>8708</v>
      </c>
      <c r="I12057" t="str" cm="1">
        <f t="array" ref="I12057">_xlfn.XLOOKUP(FACT_IMPORTS[[#This Row],[country_name]],DIM_COUNTRY[[#All],[Column2]],DIM_COUNTRY[[#All],[Column3]],,,)</f>
        <v>Major_Non-USMCA_Non-China</v>
      </c>
    </row>
    <row r="12058" spans="1:9" x14ac:dyDescent="0.4">
      <c r="A12058" t="s">
        <v>73</v>
      </c>
      <c r="B12058" s="1">
        <v>45627</v>
      </c>
      <c r="C12058">
        <v>870830</v>
      </c>
      <c r="D12058" t="s">
        <v>176</v>
      </c>
      <c r="E12058">
        <v>455265</v>
      </c>
      <c r="F12058">
        <v>124065</v>
      </c>
      <c r="G12058">
        <v>8227</v>
      </c>
      <c r="H12058">
        <f>_xlfn.XLOOKUP(FACT_IMPORTS[[#This Row],[hts_6]],DIM_PRODUCTS[hts_6],DIM_PRODUCTS[hts_4],,,)</f>
        <v>8708</v>
      </c>
      <c r="I12058" t="str" cm="1">
        <f t="array" ref="I12058">_xlfn.XLOOKUP(FACT_IMPORTS[[#This Row],[country_name]],DIM_COUNTRY[[#All],[Column2]],DIM_COUNTRY[[#All],[Column3]],,,)</f>
        <v>Major_Non-USMCA_Non-China</v>
      </c>
    </row>
    <row r="12059" spans="1:9" x14ac:dyDescent="0.4">
      <c r="A12059" t="s">
        <v>73</v>
      </c>
      <c r="B12059" s="1">
        <v>45627</v>
      </c>
      <c r="C12059">
        <v>870840</v>
      </c>
      <c r="D12059" t="s">
        <v>176</v>
      </c>
      <c r="E12059">
        <v>3300512</v>
      </c>
      <c r="F12059">
        <v>385330</v>
      </c>
      <c r="G12059">
        <v>115760</v>
      </c>
      <c r="H12059">
        <f>_xlfn.XLOOKUP(FACT_IMPORTS[[#This Row],[hts_6]],DIM_PRODUCTS[hts_6],DIM_PRODUCTS[hts_4],,,)</f>
        <v>8708</v>
      </c>
      <c r="I12059" t="str" cm="1">
        <f t="array" ref="I12059">_xlfn.XLOOKUP(FACT_IMPORTS[[#This Row],[country_name]],DIM_COUNTRY[[#All],[Column2]],DIM_COUNTRY[[#All],[Column3]],,,)</f>
        <v>Major_Non-USMCA_Non-China</v>
      </c>
    </row>
    <row r="12060" spans="1:9" x14ac:dyDescent="0.4">
      <c r="A12060" t="s">
        <v>73</v>
      </c>
      <c r="B12060" s="1">
        <v>45627</v>
      </c>
      <c r="C12060">
        <v>870850</v>
      </c>
      <c r="D12060" t="s">
        <v>176</v>
      </c>
      <c r="E12060">
        <v>15691537</v>
      </c>
      <c r="F12060">
        <v>956775</v>
      </c>
      <c r="G12060">
        <v>408595</v>
      </c>
      <c r="H12060">
        <f>_xlfn.XLOOKUP(FACT_IMPORTS[[#This Row],[hts_6]],DIM_PRODUCTS[hts_6],DIM_PRODUCTS[hts_4],,,)</f>
        <v>8708</v>
      </c>
      <c r="I12060" t="str" cm="1">
        <f t="array" ref="I12060">_xlfn.XLOOKUP(FACT_IMPORTS[[#This Row],[country_name]],DIM_COUNTRY[[#All],[Column2]],DIM_COUNTRY[[#All],[Column3]],,,)</f>
        <v>Major_Non-USMCA_Non-China</v>
      </c>
    </row>
    <row r="12061" spans="1:9" x14ac:dyDescent="0.4">
      <c r="A12061" t="s">
        <v>73</v>
      </c>
      <c r="B12061" s="1">
        <v>45627</v>
      </c>
      <c r="C12061">
        <v>870870</v>
      </c>
      <c r="D12061" t="s">
        <v>176</v>
      </c>
      <c r="E12061">
        <v>238540</v>
      </c>
      <c r="F12061">
        <v>1347</v>
      </c>
      <c r="G12061">
        <v>302</v>
      </c>
      <c r="H12061">
        <f>_xlfn.XLOOKUP(FACT_IMPORTS[[#This Row],[hts_6]],DIM_PRODUCTS[hts_6],DIM_PRODUCTS[hts_4],,,)</f>
        <v>8708</v>
      </c>
      <c r="I12061" t="str" cm="1">
        <f t="array" ref="I12061">_xlfn.XLOOKUP(FACT_IMPORTS[[#This Row],[country_name]],DIM_COUNTRY[[#All],[Column2]],DIM_COUNTRY[[#All],[Column3]],,,)</f>
        <v>Major_Non-USMCA_Non-China</v>
      </c>
    </row>
    <row r="12062" spans="1:9" x14ac:dyDescent="0.4">
      <c r="A12062" t="s">
        <v>73</v>
      </c>
      <c r="B12062" s="1">
        <v>45627</v>
      </c>
      <c r="C12062">
        <v>870880</v>
      </c>
      <c r="D12062" t="s">
        <v>176</v>
      </c>
      <c r="E12062">
        <v>3354341</v>
      </c>
      <c r="F12062">
        <v>831193</v>
      </c>
      <c r="G12062">
        <v>91378</v>
      </c>
      <c r="H12062">
        <f>_xlfn.XLOOKUP(FACT_IMPORTS[[#This Row],[hts_6]],DIM_PRODUCTS[hts_6],DIM_PRODUCTS[hts_4],,,)</f>
        <v>8708</v>
      </c>
      <c r="I12062" t="str" cm="1">
        <f t="array" ref="I12062">_xlfn.XLOOKUP(FACT_IMPORTS[[#This Row],[country_name]],DIM_COUNTRY[[#All],[Column2]],DIM_COUNTRY[[#All],[Column3]],,,)</f>
        <v>Major_Non-USMCA_Non-China</v>
      </c>
    </row>
    <row r="12063" spans="1:9" x14ac:dyDescent="0.4">
      <c r="A12063" t="s">
        <v>73</v>
      </c>
      <c r="B12063" s="1">
        <v>45627</v>
      </c>
      <c r="C12063">
        <v>870891</v>
      </c>
      <c r="D12063" t="s">
        <v>176</v>
      </c>
      <c r="E12063">
        <v>245769</v>
      </c>
      <c r="F12063">
        <v>1195</v>
      </c>
      <c r="G12063">
        <v>556</v>
      </c>
      <c r="H12063">
        <f>_xlfn.XLOOKUP(FACT_IMPORTS[[#This Row],[hts_6]],DIM_PRODUCTS[hts_6],DIM_PRODUCTS[hts_4],,,)</f>
        <v>8708</v>
      </c>
      <c r="I12063" t="str" cm="1">
        <f t="array" ref="I12063">_xlfn.XLOOKUP(FACT_IMPORTS[[#This Row],[country_name]],DIM_COUNTRY[[#All],[Column2]],DIM_COUNTRY[[#All],[Column3]],,,)</f>
        <v>Major_Non-USMCA_Non-China</v>
      </c>
    </row>
    <row r="12064" spans="1:9" x14ac:dyDescent="0.4">
      <c r="A12064" t="s">
        <v>73</v>
      </c>
      <c r="B12064" s="1">
        <v>45627</v>
      </c>
      <c r="C12064">
        <v>870892</v>
      </c>
      <c r="D12064" t="s">
        <v>176</v>
      </c>
      <c r="E12064">
        <v>10313</v>
      </c>
      <c r="F12064">
        <v>21</v>
      </c>
      <c r="G12064">
        <v>16</v>
      </c>
      <c r="H12064">
        <f>_xlfn.XLOOKUP(FACT_IMPORTS[[#This Row],[hts_6]],DIM_PRODUCTS[hts_6],DIM_PRODUCTS[hts_4],,,)</f>
        <v>8708</v>
      </c>
      <c r="I12064" t="str" cm="1">
        <f t="array" ref="I12064">_xlfn.XLOOKUP(FACT_IMPORTS[[#This Row],[country_name]],DIM_COUNTRY[[#All],[Column2]],DIM_COUNTRY[[#All],[Column3]],,,)</f>
        <v>Major_Non-USMCA_Non-China</v>
      </c>
    </row>
    <row r="12065" spans="1:9" x14ac:dyDescent="0.4">
      <c r="A12065" t="s">
        <v>73</v>
      </c>
      <c r="B12065" s="1">
        <v>45627</v>
      </c>
      <c r="C12065">
        <v>870893</v>
      </c>
      <c r="D12065" t="s">
        <v>176</v>
      </c>
      <c r="E12065">
        <v>1798568</v>
      </c>
      <c r="F12065">
        <v>122529</v>
      </c>
      <c r="G12065">
        <v>18000</v>
      </c>
      <c r="H12065">
        <f>_xlfn.XLOOKUP(FACT_IMPORTS[[#This Row],[hts_6]],DIM_PRODUCTS[hts_6],DIM_PRODUCTS[hts_4],,,)</f>
        <v>8708</v>
      </c>
      <c r="I12065" t="str" cm="1">
        <f t="array" ref="I12065">_xlfn.XLOOKUP(FACT_IMPORTS[[#This Row],[country_name]],DIM_COUNTRY[[#All],[Column2]],DIM_COUNTRY[[#All],[Column3]],,,)</f>
        <v>Major_Non-USMCA_Non-China</v>
      </c>
    </row>
    <row r="12066" spans="1:9" x14ac:dyDescent="0.4">
      <c r="A12066" t="s">
        <v>73</v>
      </c>
      <c r="B12066" s="1">
        <v>45627</v>
      </c>
      <c r="C12066">
        <v>870894</v>
      </c>
      <c r="D12066" t="s">
        <v>176</v>
      </c>
      <c r="E12066">
        <v>1405321</v>
      </c>
      <c r="F12066">
        <v>223385</v>
      </c>
      <c r="G12066">
        <v>78867</v>
      </c>
      <c r="H12066">
        <f>_xlfn.XLOOKUP(FACT_IMPORTS[[#This Row],[hts_6]],DIM_PRODUCTS[hts_6],DIM_PRODUCTS[hts_4],,,)</f>
        <v>8708</v>
      </c>
      <c r="I12066" t="str" cm="1">
        <f t="array" ref="I12066">_xlfn.XLOOKUP(FACT_IMPORTS[[#This Row],[country_name]],DIM_COUNTRY[[#All],[Column2]],DIM_COUNTRY[[#All],[Column3]],,,)</f>
        <v>Major_Non-USMCA_Non-China</v>
      </c>
    </row>
    <row r="12067" spans="1:9" x14ac:dyDescent="0.4">
      <c r="A12067" t="s">
        <v>73</v>
      </c>
      <c r="B12067" s="1">
        <v>45627</v>
      </c>
      <c r="C12067">
        <v>870895</v>
      </c>
      <c r="D12067" t="s">
        <v>176</v>
      </c>
      <c r="E12067">
        <v>152307</v>
      </c>
      <c r="F12067">
        <v>896</v>
      </c>
      <c r="G12067">
        <v>102</v>
      </c>
      <c r="H12067">
        <f>_xlfn.XLOOKUP(FACT_IMPORTS[[#This Row],[hts_6]],DIM_PRODUCTS[hts_6],DIM_PRODUCTS[hts_4],,,)</f>
        <v>8708</v>
      </c>
      <c r="I12067" t="str" cm="1">
        <f t="array" ref="I12067">_xlfn.XLOOKUP(FACT_IMPORTS[[#This Row],[country_name]],DIM_COUNTRY[[#All],[Column2]],DIM_COUNTRY[[#All],[Column3]],,,)</f>
        <v>Major_Non-USMCA_Non-China</v>
      </c>
    </row>
    <row r="12068" spans="1:9" x14ac:dyDescent="0.4">
      <c r="A12068" t="s">
        <v>73</v>
      </c>
      <c r="B12068" s="1">
        <v>45627</v>
      </c>
      <c r="C12068">
        <v>870899</v>
      </c>
      <c r="D12068" t="s">
        <v>176</v>
      </c>
      <c r="E12068">
        <v>25655396</v>
      </c>
      <c r="F12068">
        <v>4694962</v>
      </c>
      <c r="G12068">
        <v>791186</v>
      </c>
      <c r="H12068">
        <f>_xlfn.XLOOKUP(FACT_IMPORTS[[#This Row],[hts_6]],DIM_PRODUCTS[hts_6],DIM_PRODUCTS[hts_4],,,)</f>
        <v>8708</v>
      </c>
      <c r="I12068" t="str" cm="1">
        <f t="array" ref="I12068">_xlfn.XLOOKUP(FACT_IMPORTS[[#This Row],[country_name]],DIM_COUNTRY[[#All],[Column2]],DIM_COUNTRY[[#All],[Column3]],,,)</f>
        <v>Major_Non-USMCA_Non-China</v>
      </c>
    </row>
    <row r="12069" spans="1:9" x14ac:dyDescent="0.4">
      <c r="A12069" t="s">
        <v>73</v>
      </c>
      <c r="B12069" s="1">
        <v>45627</v>
      </c>
      <c r="C12069">
        <v>940120</v>
      </c>
      <c r="D12069" t="s">
        <v>176</v>
      </c>
      <c r="E12069">
        <v>261</v>
      </c>
      <c r="F12069">
        <v>1</v>
      </c>
      <c r="G12069">
        <v>4</v>
      </c>
      <c r="H12069">
        <f>_xlfn.XLOOKUP(FACT_IMPORTS[[#This Row],[hts_6]],DIM_PRODUCTS[hts_6],DIM_PRODUCTS[hts_4],,,)</f>
        <v>9401</v>
      </c>
      <c r="I12069" t="str" cm="1">
        <f t="array" ref="I12069">_xlfn.XLOOKUP(FACT_IMPORTS[[#This Row],[country_name]],DIM_COUNTRY[[#All],[Column2]],DIM_COUNTRY[[#All],[Column3]],,,)</f>
        <v>Major_Non-USMCA_Non-China</v>
      </c>
    </row>
    <row r="12070" spans="1:9" x14ac:dyDescent="0.4">
      <c r="A12070" t="s">
        <v>73</v>
      </c>
      <c r="B12070" s="1">
        <v>45658</v>
      </c>
      <c r="C12070">
        <v>392630</v>
      </c>
      <c r="D12070" t="s">
        <v>176</v>
      </c>
      <c r="E12070">
        <v>357464</v>
      </c>
      <c r="F12070">
        <v>25119</v>
      </c>
      <c r="G12070">
        <v>29325</v>
      </c>
      <c r="H12070">
        <f>_xlfn.XLOOKUP(FACT_IMPORTS[[#This Row],[hts_6]],DIM_PRODUCTS[hts_6],DIM_PRODUCTS[hts_4],,,)</f>
        <v>3926</v>
      </c>
      <c r="I12070" t="str" cm="1">
        <f t="array" ref="I12070">_xlfn.XLOOKUP(FACT_IMPORTS[[#This Row],[country_name]],DIM_COUNTRY[[#All],[Column2]],DIM_COUNTRY[[#All],[Column3]],,,)</f>
        <v>Major_Non-USMCA_Non-China</v>
      </c>
    </row>
    <row r="12071" spans="1:9" x14ac:dyDescent="0.4">
      <c r="A12071" t="s">
        <v>73</v>
      </c>
      <c r="B12071" s="1">
        <v>45658</v>
      </c>
      <c r="C12071">
        <v>401110</v>
      </c>
      <c r="D12071" t="s">
        <v>176</v>
      </c>
      <c r="E12071">
        <v>3432205</v>
      </c>
      <c r="F12071">
        <v>53614</v>
      </c>
      <c r="G12071">
        <v>638891</v>
      </c>
      <c r="H12071">
        <f>_xlfn.XLOOKUP(FACT_IMPORTS[[#This Row],[hts_6]],DIM_PRODUCTS[hts_6],DIM_PRODUCTS[hts_4],,,)</f>
        <v>4011</v>
      </c>
      <c r="I12071" t="str" cm="1">
        <f t="array" ref="I12071">_xlfn.XLOOKUP(FACT_IMPORTS[[#This Row],[country_name]],DIM_COUNTRY[[#All],[Column2]],DIM_COUNTRY[[#All],[Column3]],,,)</f>
        <v>Major_Non-USMCA_Non-China</v>
      </c>
    </row>
    <row r="12072" spans="1:9" x14ac:dyDescent="0.4">
      <c r="A12072" t="s">
        <v>73</v>
      </c>
      <c r="B12072" s="1">
        <v>45658</v>
      </c>
      <c r="C12072">
        <v>401120</v>
      </c>
      <c r="D12072" t="s">
        <v>176</v>
      </c>
      <c r="E12072">
        <v>0</v>
      </c>
      <c r="F12072">
        <v>0</v>
      </c>
      <c r="G12072">
        <v>0</v>
      </c>
      <c r="H12072">
        <f>_xlfn.XLOOKUP(FACT_IMPORTS[[#This Row],[hts_6]],DIM_PRODUCTS[hts_6],DIM_PRODUCTS[hts_4],,,)</f>
        <v>4011</v>
      </c>
      <c r="I12072" t="str" cm="1">
        <f t="array" ref="I12072">_xlfn.XLOOKUP(FACT_IMPORTS[[#This Row],[country_name]],DIM_COUNTRY[[#All],[Column2]],DIM_COUNTRY[[#All],[Column3]],,,)</f>
        <v>Major_Non-USMCA_Non-China</v>
      </c>
    </row>
    <row r="12073" spans="1:9" x14ac:dyDescent="0.4">
      <c r="A12073" t="s">
        <v>73</v>
      </c>
      <c r="B12073" s="1">
        <v>45658</v>
      </c>
      <c r="C12073">
        <v>700711</v>
      </c>
      <c r="D12073" t="s">
        <v>176</v>
      </c>
      <c r="E12073">
        <v>0</v>
      </c>
      <c r="F12073">
        <v>0</v>
      </c>
      <c r="G12073">
        <v>0</v>
      </c>
      <c r="H12073">
        <f>_xlfn.XLOOKUP(FACT_IMPORTS[[#This Row],[hts_6]],DIM_PRODUCTS[hts_6],DIM_PRODUCTS[hts_4],,,)</f>
        <v>7007</v>
      </c>
      <c r="I12073" t="str" cm="1">
        <f t="array" ref="I12073">_xlfn.XLOOKUP(FACT_IMPORTS[[#This Row],[country_name]],DIM_COUNTRY[[#All],[Column2]],DIM_COUNTRY[[#All],[Column3]],,,)</f>
        <v>Major_Non-USMCA_Non-China</v>
      </c>
    </row>
    <row r="12074" spans="1:9" x14ac:dyDescent="0.4">
      <c r="A12074" t="s">
        <v>73</v>
      </c>
      <c r="B12074" s="1">
        <v>45658</v>
      </c>
      <c r="C12074">
        <v>700910</v>
      </c>
      <c r="D12074" t="s">
        <v>176</v>
      </c>
      <c r="E12074">
        <v>812941</v>
      </c>
      <c r="F12074">
        <v>12817</v>
      </c>
      <c r="G12074">
        <v>25413</v>
      </c>
      <c r="H12074">
        <f>_xlfn.XLOOKUP(FACT_IMPORTS[[#This Row],[hts_6]],DIM_PRODUCTS[hts_6],DIM_PRODUCTS[hts_4],,,)</f>
        <v>7009</v>
      </c>
      <c r="I12074" t="str" cm="1">
        <f t="array" ref="I12074">_xlfn.XLOOKUP(FACT_IMPORTS[[#This Row],[country_name]],DIM_COUNTRY[[#All],[Column2]],DIM_COUNTRY[[#All],[Column3]],,,)</f>
        <v>Major_Non-USMCA_Non-China</v>
      </c>
    </row>
    <row r="12075" spans="1:9" x14ac:dyDescent="0.4">
      <c r="A12075" t="s">
        <v>73</v>
      </c>
      <c r="B12075" s="1">
        <v>45658</v>
      </c>
      <c r="C12075">
        <v>830230</v>
      </c>
      <c r="D12075" t="s">
        <v>176</v>
      </c>
      <c r="E12075">
        <v>2370353</v>
      </c>
      <c r="F12075">
        <v>479638</v>
      </c>
      <c r="G12075">
        <v>68057</v>
      </c>
      <c r="H12075">
        <f>_xlfn.XLOOKUP(FACT_IMPORTS[[#This Row],[hts_6]],DIM_PRODUCTS[hts_6],DIM_PRODUCTS[hts_4],,,)</f>
        <v>8302</v>
      </c>
      <c r="I12075" t="str" cm="1">
        <f t="array" ref="I12075">_xlfn.XLOOKUP(FACT_IMPORTS[[#This Row],[country_name]],DIM_COUNTRY[[#All],[Column2]],DIM_COUNTRY[[#All],[Column3]],,,)</f>
        <v>Major_Non-USMCA_Non-China</v>
      </c>
    </row>
    <row r="12076" spans="1:9" x14ac:dyDescent="0.4">
      <c r="A12076" t="s">
        <v>73</v>
      </c>
      <c r="B12076" s="1">
        <v>45658</v>
      </c>
      <c r="C12076">
        <v>840734</v>
      </c>
      <c r="D12076" t="s">
        <v>176</v>
      </c>
      <c r="E12076">
        <v>8550</v>
      </c>
      <c r="F12076">
        <v>19</v>
      </c>
      <c r="G12076">
        <v>89</v>
      </c>
      <c r="H12076">
        <f>_xlfn.XLOOKUP(FACT_IMPORTS[[#This Row],[hts_6]],DIM_PRODUCTS[hts_6],DIM_PRODUCTS[hts_4],,,)</f>
        <v>8407</v>
      </c>
      <c r="I12076" t="str" cm="1">
        <f t="array" ref="I12076">_xlfn.XLOOKUP(FACT_IMPORTS[[#This Row],[country_name]],DIM_COUNTRY[[#All],[Column2]],DIM_COUNTRY[[#All],[Column3]],,,)</f>
        <v>Major_Non-USMCA_Non-China</v>
      </c>
    </row>
    <row r="12077" spans="1:9" x14ac:dyDescent="0.4">
      <c r="A12077" t="s">
        <v>73</v>
      </c>
      <c r="B12077" s="1">
        <v>45658</v>
      </c>
      <c r="C12077">
        <v>840890</v>
      </c>
      <c r="D12077" t="s">
        <v>176</v>
      </c>
      <c r="E12077">
        <v>0</v>
      </c>
      <c r="F12077">
        <v>0</v>
      </c>
      <c r="G12077">
        <v>0</v>
      </c>
      <c r="H12077">
        <f>_xlfn.XLOOKUP(FACT_IMPORTS[[#This Row],[hts_6]],DIM_PRODUCTS[hts_6],DIM_PRODUCTS[hts_4],,,)</f>
        <v>8408</v>
      </c>
      <c r="I12077" t="str" cm="1">
        <f t="array" ref="I12077">_xlfn.XLOOKUP(FACT_IMPORTS[[#This Row],[country_name]],DIM_COUNTRY[[#All],[Column2]],DIM_COUNTRY[[#All],[Column3]],,,)</f>
        <v>Major_Non-USMCA_Non-China</v>
      </c>
    </row>
    <row r="12078" spans="1:9" x14ac:dyDescent="0.4">
      <c r="A12078" t="s">
        <v>73</v>
      </c>
      <c r="B12078" s="1">
        <v>45658</v>
      </c>
      <c r="C12078">
        <v>840991</v>
      </c>
      <c r="D12078" t="s">
        <v>176</v>
      </c>
      <c r="E12078">
        <v>3575808</v>
      </c>
      <c r="F12078">
        <v>183897</v>
      </c>
      <c r="G12078">
        <v>57976</v>
      </c>
      <c r="H12078">
        <f>_xlfn.XLOOKUP(FACT_IMPORTS[[#This Row],[hts_6]],DIM_PRODUCTS[hts_6],DIM_PRODUCTS[hts_4],,,)</f>
        <v>8409</v>
      </c>
      <c r="I12078" t="str" cm="1">
        <f t="array" ref="I12078">_xlfn.XLOOKUP(FACT_IMPORTS[[#This Row],[country_name]],DIM_COUNTRY[[#All],[Column2]],DIM_COUNTRY[[#All],[Column3]],,,)</f>
        <v>Major_Non-USMCA_Non-China</v>
      </c>
    </row>
    <row r="12079" spans="1:9" x14ac:dyDescent="0.4">
      <c r="A12079" t="s">
        <v>73</v>
      </c>
      <c r="B12079" s="1">
        <v>45658</v>
      </c>
      <c r="C12079">
        <v>840999</v>
      </c>
      <c r="D12079" t="s">
        <v>176</v>
      </c>
      <c r="E12079">
        <v>154216</v>
      </c>
      <c r="F12079">
        <v>6695</v>
      </c>
      <c r="G12079">
        <v>2000</v>
      </c>
      <c r="H12079">
        <f>_xlfn.XLOOKUP(FACT_IMPORTS[[#This Row],[hts_6]],DIM_PRODUCTS[hts_6],DIM_PRODUCTS[hts_4],,,)</f>
        <v>8409</v>
      </c>
      <c r="I12079" t="str" cm="1">
        <f t="array" ref="I12079">_xlfn.XLOOKUP(FACT_IMPORTS[[#This Row],[country_name]],DIM_COUNTRY[[#All],[Column2]],DIM_COUNTRY[[#All],[Column3]],,,)</f>
        <v>Major_Non-USMCA_Non-China</v>
      </c>
    </row>
    <row r="12080" spans="1:9" x14ac:dyDescent="0.4">
      <c r="A12080" t="s">
        <v>73</v>
      </c>
      <c r="B12080" s="1">
        <v>45658</v>
      </c>
      <c r="C12080">
        <v>841330</v>
      </c>
      <c r="D12080" t="s">
        <v>176</v>
      </c>
      <c r="E12080">
        <v>3729531</v>
      </c>
      <c r="F12080">
        <v>63526</v>
      </c>
      <c r="G12080">
        <v>200885</v>
      </c>
      <c r="H12080">
        <f>_xlfn.XLOOKUP(FACT_IMPORTS[[#This Row],[hts_6]],DIM_PRODUCTS[hts_6],DIM_PRODUCTS[hts_4],,,)</f>
        <v>8413</v>
      </c>
      <c r="I12080" t="str" cm="1">
        <f t="array" ref="I12080">_xlfn.XLOOKUP(FACT_IMPORTS[[#This Row],[country_name]],DIM_COUNTRY[[#All],[Column2]],DIM_COUNTRY[[#All],[Column3]],,,)</f>
        <v>Major_Non-USMCA_Non-China</v>
      </c>
    </row>
    <row r="12081" spans="1:9" x14ac:dyDescent="0.4">
      <c r="A12081" t="s">
        <v>73</v>
      </c>
      <c r="B12081" s="1">
        <v>45658</v>
      </c>
      <c r="C12081">
        <v>842132</v>
      </c>
      <c r="D12081" t="s">
        <v>176</v>
      </c>
      <c r="E12081">
        <v>356158</v>
      </c>
      <c r="F12081">
        <v>171</v>
      </c>
      <c r="G12081">
        <v>654</v>
      </c>
      <c r="H12081">
        <f>_xlfn.XLOOKUP(FACT_IMPORTS[[#This Row],[hts_6]],DIM_PRODUCTS[hts_6],DIM_PRODUCTS[hts_4],,,)</f>
        <v>8421</v>
      </c>
      <c r="I12081" t="str" cm="1">
        <f t="array" ref="I12081">_xlfn.XLOOKUP(FACT_IMPORTS[[#This Row],[country_name]],DIM_COUNTRY[[#All],[Column2]],DIM_COUNTRY[[#All],[Column3]],,,)</f>
        <v>Major_Non-USMCA_Non-China</v>
      </c>
    </row>
    <row r="12082" spans="1:9" x14ac:dyDescent="0.4">
      <c r="A12082" t="s">
        <v>73</v>
      </c>
      <c r="B12082" s="1">
        <v>45658</v>
      </c>
      <c r="C12082">
        <v>848210</v>
      </c>
      <c r="D12082" t="s">
        <v>176</v>
      </c>
      <c r="E12082">
        <v>210943</v>
      </c>
      <c r="F12082">
        <v>59099</v>
      </c>
      <c r="G12082">
        <v>790</v>
      </c>
      <c r="H12082">
        <f>_xlfn.XLOOKUP(FACT_IMPORTS[[#This Row],[hts_6]],DIM_PRODUCTS[hts_6],DIM_PRODUCTS[hts_4],,,)</f>
        <v>8482</v>
      </c>
      <c r="I12082" t="str" cm="1">
        <f t="array" ref="I12082">_xlfn.XLOOKUP(FACT_IMPORTS[[#This Row],[country_name]],DIM_COUNTRY[[#All],[Column2]],DIM_COUNTRY[[#All],[Column3]],,,)</f>
        <v>Major_Non-USMCA_Non-China</v>
      </c>
    </row>
    <row r="12083" spans="1:9" x14ac:dyDescent="0.4">
      <c r="A12083" t="s">
        <v>73</v>
      </c>
      <c r="B12083" s="1">
        <v>45658</v>
      </c>
      <c r="C12083">
        <v>848220</v>
      </c>
      <c r="D12083" t="s">
        <v>176</v>
      </c>
      <c r="E12083">
        <v>2178658</v>
      </c>
      <c r="F12083">
        <v>576236</v>
      </c>
      <c r="G12083">
        <v>513</v>
      </c>
      <c r="H12083">
        <f>_xlfn.XLOOKUP(FACT_IMPORTS[[#This Row],[hts_6]],DIM_PRODUCTS[hts_6],DIM_PRODUCTS[hts_4],,,)</f>
        <v>8482</v>
      </c>
      <c r="I12083" t="str" cm="1">
        <f t="array" ref="I12083">_xlfn.XLOOKUP(FACT_IMPORTS[[#This Row],[country_name]],DIM_COUNTRY[[#All],[Column2]],DIM_COUNTRY[[#All],[Column3]],,,)</f>
        <v>Major_Non-USMCA_Non-China</v>
      </c>
    </row>
    <row r="12084" spans="1:9" x14ac:dyDescent="0.4">
      <c r="A12084" t="s">
        <v>73</v>
      </c>
      <c r="B12084" s="1">
        <v>45658</v>
      </c>
      <c r="C12084">
        <v>848310</v>
      </c>
      <c r="D12084" t="s">
        <v>176</v>
      </c>
      <c r="E12084">
        <v>8405</v>
      </c>
      <c r="F12084">
        <v>57</v>
      </c>
      <c r="G12084">
        <v>41</v>
      </c>
      <c r="H12084">
        <f>_xlfn.XLOOKUP(FACT_IMPORTS[[#This Row],[hts_6]],DIM_PRODUCTS[hts_6],DIM_PRODUCTS[hts_4],,,)</f>
        <v>8483</v>
      </c>
      <c r="I12084" t="str" cm="1">
        <f t="array" ref="I12084">_xlfn.XLOOKUP(FACT_IMPORTS[[#This Row],[country_name]],DIM_COUNTRY[[#All],[Column2]],DIM_COUNTRY[[#All],[Column3]],,,)</f>
        <v>Major_Non-USMCA_Non-China</v>
      </c>
    </row>
    <row r="12085" spans="1:9" x14ac:dyDescent="0.4">
      <c r="A12085" t="s">
        <v>73</v>
      </c>
      <c r="B12085" s="1">
        <v>45658</v>
      </c>
      <c r="C12085">
        <v>850131</v>
      </c>
      <c r="D12085" t="s">
        <v>176</v>
      </c>
      <c r="E12085">
        <v>2714809</v>
      </c>
      <c r="F12085">
        <v>237624</v>
      </c>
      <c r="G12085">
        <v>17165</v>
      </c>
      <c r="H12085">
        <f>_xlfn.XLOOKUP(FACT_IMPORTS[[#This Row],[hts_6]],DIM_PRODUCTS[hts_6],DIM_PRODUCTS[hts_4],,,)</f>
        <v>8501</v>
      </c>
      <c r="I12085" t="str" cm="1">
        <f t="array" ref="I12085">_xlfn.XLOOKUP(FACT_IMPORTS[[#This Row],[country_name]],DIM_COUNTRY[[#All],[Column2]],DIM_COUNTRY[[#All],[Column3]],,,)</f>
        <v>Major_Non-USMCA_Non-China</v>
      </c>
    </row>
    <row r="12086" spans="1:9" x14ac:dyDescent="0.4">
      <c r="A12086" t="s">
        <v>73</v>
      </c>
      <c r="B12086" s="1">
        <v>45658</v>
      </c>
      <c r="C12086">
        <v>850132</v>
      </c>
      <c r="D12086" t="s">
        <v>176</v>
      </c>
      <c r="E12086">
        <v>0</v>
      </c>
      <c r="F12086">
        <v>0</v>
      </c>
      <c r="G12086">
        <v>0</v>
      </c>
      <c r="H12086">
        <f>_xlfn.XLOOKUP(FACT_IMPORTS[[#This Row],[hts_6]],DIM_PRODUCTS[hts_6],DIM_PRODUCTS[hts_4],,,)</f>
        <v>8501</v>
      </c>
      <c r="I12086" t="str" cm="1">
        <f t="array" ref="I12086">_xlfn.XLOOKUP(FACT_IMPORTS[[#This Row],[country_name]],DIM_COUNTRY[[#All],[Column2]],DIM_COUNTRY[[#All],[Column3]],,,)</f>
        <v>Major_Non-USMCA_Non-China</v>
      </c>
    </row>
    <row r="12087" spans="1:9" x14ac:dyDescent="0.4">
      <c r="A12087" t="s">
        <v>73</v>
      </c>
      <c r="B12087" s="1">
        <v>45658</v>
      </c>
      <c r="C12087">
        <v>850152</v>
      </c>
      <c r="D12087" t="s">
        <v>176</v>
      </c>
      <c r="E12087">
        <v>5525</v>
      </c>
      <c r="F12087">
        <v>1</v>
      </c>
      <c r="G12087">
        <v>100</v>
      </c>
      <c r="H12087">
        <f>_xlfn.XLOOKUP(FACT_IMPORTS[[#This Row],[hts_6]],DIM_PRODUCTS[hts_6],DIM_PRODUCTS[hts_4],,,)</f>
        <v>8501</v>
      </c>
      <c r="I12087" t="str" cm="1">
        <f t="array" ref="I12087">_xlfn.XLOOKUP(FACT_IMPORTS[[#This Row],[country_name]],DIM_COUNTRY[[#All],[Column2]],DIM_COUNTRY[[#All],[Column3]],,,)</f>
        <v>Major_Non-USMCA_Non-China</v>
      </c>
    </row>
    <row r="12088" spans="1:9" x14ac:dyDescent="0.4">
      <c r="A12088" t="s">
        <v>73</v>
      </c>
      <c r="B12088" s="1">
        <v>45658</v>
      </c>
      <c r="C12088">
        <v>850153</v>
      </c>
      <c r="D12088" t="s">
        <v>176</v>
      </c>
      <c r="E12088">
        <v>56658</v>
      </c>
      <c r="F12088">
        <v>31</v>
      </c>
      <c r="G12088">
        <v>71</v>
      </c>
      <c r="H12088">
        <f>_xlfn.XLOOKUP(FACT_IMPORTS[[#This Row],[hts_6]],DIM_PRODUCTS[hts_6],DIM_PRODUCTS[hts_4],,,)</f>
        <v>8501</v>
      </c>
      <c r="I12088" t="str" cm="1">
        <f t="array" ref="I12088">_xlfn.XLOOKUP(FACT_IMPORTS[[#This Row],[country_name]],DIM_COUNTRY[[#All],[Column2]],DIM_COUNTRY[[#All],[Column3]],,,)</f>
        <v>Major_Non-USMCA_Non-China</v>
      </c>
    </row>
    <row r="12089" spans="1:9" x14ac:dyDescent="0.4">
      <c r="A12089" t="s">
        <v>73</v>
      </c>
      <c r="B12089" s="1">
        <v>45658</v>
      </c>
      <c r="C12089">
        <v>850440</v>
      </c>
      <c r="D12089" t="s">
        <v>176</v>
      </c>
      <c r="E12089">
        <v>76285</v>
      </c>
      <c r="F12089">
        <v>77</v>
      </c>
      <c r="G12089">
        <v>3281</v>
      </c>
      <c r="H12089">
        <f>_xlfn.XLOOKUP(FACT_IMPORTS[[#This Row],[hts_6]],DIM_PRODUCTS[hts_6],DIM_PRODUCTS[hts_4],,,)</f>
        <v>8504</v>
      </c>
      <c r="I12089" t="str" cm="1">
        <f t="array" ref="I12089">_xlfn.XLOOKUP(FACT_IMPORTS[[#This Row],[country_name]],DIM_COUNTRY[[#All],[Column2]],DIM_COUNTRY[[#All],[Column3]],,,)</f>
        <v>Major_Non-USMCA_Non-China</v>
      </c>
    </row>
    <row r="12090" spans="1:9" x14ac:dyDescent="0.4">
      <c r="A12090" t="s">
        <v>73</v>
      </c>
      <c r="B12090" s="1">
        <v>45658</v>
      </c>
      <c r="C12090">
        <v>850710</v>
      </c>
      <c r="D12090" t="s">
        <v>176</v>
      </c>
      <c r="E12090">
        <v>2406901</v>
      </c>
      <c r="F12090">
        <v>59918</v>
      </c>
      <c r="G12090">
        <v>14818</v>
      </c>
      <c r="H12090">
        <f>_xlfn.XLOOKUP(FACT_IMPORTS[[#This Row],[hts_6]],DIM_PRODUCTS[hts_6],DIM_PRODUCTS[hts_4],,,)</f>
        <v>8507</v>
      </c>
      <c r="I12090" t="str" cm="1">
        <f t="array" ref="I12090">_xlfn.XLOOKUP(FACT_IMPORTS[[#This Row],[country_name]],DIM_COUNTRY[[#All],[Column2]],DIM_COUNTRY[[#All],[Column3]],,,)</f>
        <v>Major_Non-USMCA_Non-China</v>
      </c>
    </row>
    <row r="12091" spans="1:9" x14ac:dyDescent="0.4">
      <c r="A12091" t="s">
        <v>73</v>
      </c>
      <c r="B12091" s="1">
        <v>45658</v>
      </c>
      <c r="C12091">
        <v>850760</v>
      </c>
      <c r="D12091" t="s">
        <v>176</v>
      </c>
      <c r="E12091">
        <v>826930</v>
      </c>
      <c r="F12091">
        <v>2686</v>
      </c>
      <c r="G12091">
        <v>3132</v>
      </c>
      <c r="H12091">
        <f>_xlfn.XLOOKUP(FACT_IMPORTS[[#This Row],[hts_6]],DIM_PRODUCTS[hts_6],DIM_PRODUCTS[hts_4],,,)</f>
        <v>8507</v>
      </c>
      <c r="I12091" t="str" cm="1">
        <f t="array" ref="I12091">_xlfn.XLOOKUP(FACT_IMPORTS[[#This Row],[country_name]],DIM_COUNTRY[[#All],[Column2]],DIM_COUNTRY[[#All],[Column3]],,,)</f>
        <v>Major_Non-USMCA_Non-China</v>
      </c>
    </row>
    <row r="12092" spans="1:9" x14ac:dyDescent="0.4">
      <c r="A12092" t="s">
        <v>73</v>
      </c>
      <c r="B12092" s="1">
        <v>45658</v>
      </c>
      <c r="C12092">
        <v>850790</v>
      </c>
      <c r="D12092" t="s">
        <v>176</v>
      </c>
      <c r="E12092">
        <v>433452</v>
      </c>
      <c r="F12092">
        <v>53079</v>
      </c>
      <c r="G12092">
        <v>32294</v>
      </c>
      <c r="H12092">
        <f>_xlfn.XLOOKUP(FACT_IMPORTS[[#This Row],[hts_6]],DIM_PRODUCTS[hts_6],DIM_PRODUCTS[hts_4],,,)</f>
        <v>8507</v>
      </c>
      <c r="I12092" t="str" cm="1">
        <f t="array" ref="I12092">_xlfn.XLOOKUP(FACT_IMPORTS[[#This Row],[country_name]],DIM_COUNTRY[[#All],[Column2]],DIM_COUNTRY[[#All],[Column3]],,,)</f>
        <v>Major_Non-USMCA_Non-China</v>
      </c>
    </row>
    <row r="12093" spans="1:9" x14ac:dyDescent="0.4">
      <c r="A12093" t="s">
        <v>73</v>
      </c>
      <c r="B12093" s="1">
        <v>45658</v>
      </c>
      <c r="C12093">
        <v>851110</v>
      </c>
      <c r="D12093" t="s">
        <v>176</v>
      </c>
      <c r="E12093">
        <v>0</v>
      </c>
      <c r="F12093">
        <v>0</v>
      </c>
      <c r="G12093">
        <v>0</v>
      </c>
      <c r="H12093">
        <f>_xlfn.XLOOKUP(FACT_IMPORTS[[#This Row],[hts_6]],DIM_PRODUCTS[hts_6],DIM_PRODUCTS[hts_4],,,)</f>
        <v>8511</v>
      </c>
      <c r="I12093" t="str" cm="1">
        <f t="array" ref="I12093">_xlfn.XLOOKUP(FACT_IMPORTS[[#This Row],[country_name]],DIM_COUNTRY[[#All],[Column2]],DIM_COUNTRY[[#All],[Column3]],,,)</f>
        <v>Major_Non-USMCA_Non-China</v>
      </c>
    </row>
    <row r="12094" spans="1:9" x14ac:dyDescent="0.4">
      <c r="A12094" t="s">
        <v>73</v>
      </c>
      <c r="B12094" s="1">
        <v>45658</v>
      </c>
      <c r="C12094">
        <v>851130</v>
      </c>
      <c r="D12094" t="s">
        <v>176</v>
      </c>
      <c r="E12094">
        <v>48972</v>
      </c>
      <c r="F12094">
        <v>1145</v>
      </c>
      <c r="G12094">
        <v>58</v>
      </c>
      <c r="H12094">
        <f>_xlfn.XLOOKUP(FACT_IMPORTS[[#This Row],[hts_6]],DIM_PRODUCTS[hts_6],DIM_PRODUCTS[hts_4],,,)</f>
        <v>8511</v>
      </c>
      <c r="I12094" t="str" cm="1">
        <f t="array" ref="I12094">_xlfn.XLOOKUP(FACT_IMPORTS[[#This Row],[country_name]],DIM_COUNTRY[[#All],[Column2]],DIM_COUNTRY[[#All],[Column3]],,,)</f>
        <v>Major_Non-USMCA_Non-China</v>
      </c>
    </row>
    <row r="12095" spans="1:9" x14ac:dyDescent="0.4">
      <c r="A12095" t="s">
        <v>73</v>
      </c>
      <c r="B12095" s="1">
        <v>45658</v>
      </c>
      <c r="C12095">
        <v>851140</v>
      </c>
      <c r="D12095" t="s">
        <v>176</v>
      </c>
      <c r="E12095">
        <v>103965</v>
      </c>
      <c r="F12095">
        <v>1075</v>
      </c>
      <c r="G12095">
        <v>222</v>
      </c>
      <c r="H12095">
        <f>_xlfn.XLOOKUP(FACT_IMPORTS[[#This Row],[hts_6]],DIM_PRODUCTS[hts_6],DIM_PRODUCTS[hts_4],,,)</f>
        <v>8511</v>
      </c>
      <c r="I12095" t="str" cm="1">
        <f t="array" ref="I12095">_xlfn.XLOOKUP(FACT_IMPORTS[[#This Row],[country_name]],DIM_COUNTRY[[#All],[Column2]],DIM_COUNTRY[[#All],[Column3]],,,)</f>
        <v>Major_Non-USMCA_Non-China</v>
      </c>
    </row>
    <row r="12096" spans="1:9" x14ac:dyDescent="0.4">
      <c r="A12096" t="s">
        <v>73</v>
      </c>
      <c r="B12096" s="1">
        <v>45658</v>
      </c>
      <c r="C12096">
        <v>851150</v>
      </c>
      <c r="D12096" t="s">
        <v>176</v>
      </c>
      <c r="E12096">
        <v>117846</v>
      </c>
      <c r="F12096">
        <v>547</v>
      </c>
      <c r="G12096">
        <v>237</v>
      </c>
      <c r="H12096">
        <f>_xlfn.XLOOKUP(FACT_IMPORTS[[#This Row],[hts_6]],DIM_PRODUCTS[hts_6],DIM_PRODUCTS[hts_4],,,)</f>
        <v>8511</v>
      </c>
      <c r="I12096" t="str" cm="1">
        <f t="array" ref="I12096">_xlfn.XLOOKUP(FACT_IMPORTS[[#This Row],[country_name]],DIM_COUNTRY[[#All],[Column2]],DIM_COUNTRY[[#All],[Column3]],,,)</f>
        <v>Major_Non-USMCA_Non-China</v>
      </c>
    </row>
    <row r="12097" spans="1:9" x14ac:dyDescent="0.4">
      <c r="A12097" t="s">
        <v>73</v>
      </c>
      <c r="B12097" s="1">
        <v>45658</v>
      </c>
      <c r="C12097">
        <v>851190</v>
      </c>
      <c r="D12097" t="s">
        <v>176</v>
      </c>
      <c r="E12097">
        <v>139155</v>
      </c>
      <c r="F12097">
        <v>15807</v>
      </c>
      <c r="G12097">
        <v>5683</v>
      </c>
      <c r="H12097">
        <f>_xlfn.XLOOKUP(FACT_IMPORTS[[#This Row],[hts_6]],DIM_PRODUCTS[hts_6],DIM_PRODUCTS[hts_4],,,)</f>
        <v>8511</v>
      </c>
      <c r="I12097" t="str" cm="1">
        <f t="array" ref="I12097">_xlfn.XLOOKUP(FACT_IMPORTS[[#This Row],[country_name]],DIM_COUNTRY[[#All],[Column2]],DIM_COUNTRY[[#All],[Column3]],,,)</f>
        <v>Major_Non-USMCA_Non-China</v>
      </c>
    </row>
    <row r="12098" spans="1:9" x14ac:dyDescent="0.4">
      <c r="A12098" t="s">
        <v>73</v>
      </c>
      <c r="B12098" s="1">
        <v>45658</v>
      </c>
      <c r="C12098">
        <v>851220</v>
      </c>
      <c r="D12098" t="s">
        <v>176</v>
      </c>
      <c r="E12098">
        <v>7469737</v>
      </c>
      <c r="F12098">
        <v>711001</v>
      </c>
      <c r="G12098">
        <v>109005</v>
      </c>
      <c r="H12098">
        <f>_xlfn.XLOOKUP(FACT_IMPORTS[[#This Row],[hts_6]],DIM_PRODUCTS[hts_6],DIM_PRODUCTS[hts_4],,,)</f>
        <v>8512</v>
      </c>
      <c r="I12098" t="str" cm="1">
        <f t="array" ref="I12098">_xlfn.XLOOKUP(FACT_IMPORTS[[#This Row],[country_name]],DIM_COUNTRY[[#All],[Column2]],DIM_COUNTRY[[#All],[Column3]],,,)</f>
        <v>Major_Non-USMCA_Non-China</v>
      </c>
    </row>
    <row r="12099" spans="1:9" x14ac:dyDescent="0.4">
      <c r="A12099" t="s">
        <v>73</v>
      </c>
      <c r="B12099" s="1">
        <v>45658</v>
      </c>
      <c r="C12099">
        <v>851230</v>
      </c>
      <c r="D12099" t="s">
        <v>176</v>
      </c>
      <c r="E12099">
        <v>0</v>
      </c>
      <c r="F12099">
        <v>0</v>
      </c>
      <c r="G12099">
        <v>0</v>
      </c>
      <c r="H12099">
        <f>_xlfn.XLOOKUP(FACT_IMPORTS[[#This Row],[hts_6]],DIM_PRODUCTS[hts_6],DIM_PRODUCTS[hts_4],,,)</f>
        <v>8512</v>
      </c>
      <c r="I12099" t="str" cm="1">
        <f t="array" ref="I12099">_xlfn.XLOOKUP(FACT_IMPORTS[[#This Row],[country_name]],DIM_COUNTRY[[#All],[Column2]],DIM_COUNTRY[[#All],[Column3]],,,)</f>
        <v>Major_Non-USMCA_Non-China</v>
      </c>
    </row>
    <row r="12100" spans="1:9" x14ac:dyDescent="0.4">
      <c r="A12100" t="s">
        <v>73</v>
      </c>
      <c r="B12100" s="1">
        <v>45658</v>
      </c>
      <c r="C12100">
        <v>851240</v>
      </c>
      <c r="D12100" t="s">
        <v>176</v>
      </c>
      <c r="E12100">
        <v>244212</v>
      </c>
      <c r="F12100">
        <v>11180</v>
      </c>
      <c r="G12100">
        <v>3478</v>
      </c>
      <c r="H12100">
        <f>_xlfn.XLOOKUP(FACT_IMPORTS[[#This Row],[hts_6]],DIM_PRODUCTS[hts_6],DIM_PRODUCTS[hts_4],,,)</f>
        <v>8512</v>
      </c>
      <c r="I12100" t="str" cm="1">
        <f t="array" ref="I12100">_xlfn.XLOOKUP(FACT_IMPORTS[[#This Row],[country_name]],DIM_COUNTRY[[#All],[Column2]],DIM_COUNTRY[[#All],[Column3]],,,)</f>
        <v>Major_Non-USMCA_Non-China</v>
      </c>
    </row>
    <row r="12101" spans="1:9" x14ac:dyDescent="0.4">
      <c r="A12101" t="s">
        <v>73</v>
      </c>
      <c r="B12101" s="1">
        <v>45658</v>
      </c>
      <c r="C12101">
        <v>851290</v>
      </c>
      <c r="D12101" t="s">
        <v>176</v>
      </c>
      <c r="E12101">
        <v>827723</v>
      </c>
      <c r="F12101">
        <v>54675</v>
      </c>
      <c r="G12101">
        <v>14884</v>
      </c>
      <c r="H12101">
        <f>_xlfn.XLOOKUP(FACT_IMPORTS[[#This Row],[hts_6]],DIM_PRODUCTS[hts_6],DIM_PRODUCTS[hts_4],,,)</f>
        <v>8512</v>
      </c>
      <c r="I12101" t="str" cm="1">
        <f t="array" ref="I12101">_xlfn.XLOOKUP(FACT_IMPORTS[[#This Row],[country_name]],DIM_COUNTRY[[#All],[Column2]],DIM_COUNTRY[[#All],[Column3]],,,)</f>
        <v>Major_Non-USMCA_Non-China</v>
      </c>
    </row>
    <row r="12102" spans="1:9" x14ac:dyDescent="0.4">
      <c r="A12102" t="s">
        <v>73</v>
      </c>
      <c r="B12102" s="1">
        <v>45658</v>
      </c>
      <c r="C12102">
        <v>854231</v>
      </c>
      <c r="D12102" t="s">
        <v>176</v>
      </c>
      <c r="E12102">
        <v>0</v>
      </c>
      <c r="F12102">
        <v>0</v>
      </c>
      <c r="G12102">
        <v>0</v>
      </c>
      <c r="H12102">
        <f>_xlfn.XLOOKUP(FACT_IMPORTS[[#This Row],[hts_6]],DIM_PRODUCTS[hts_6],DIM_PRODUCTS[hts_4],,,)</f>
        <v>8542</v>
      </c>
      <c r="I12102" t="str" cm="1">
        <f t="array" ref="I12102">_xlfn.XLOOKUP(FACT_IMPORTS[[#This Row],[country_name]],DIM_COUNTRY[[#All],[Column2]],DIM_COUNTRY[[#All],[Column3]],,,)</f>
        <v>Major_Non-USMCA_Non-China</v>
      </c>
    </row>
    <row r="12103" spans="1:9" x14ac:dyDescent="0.4">
      <c r="A12103" t="s">
        <v>73</v>
      </c>
      <c r="B12103" s="1">
        <v>45658</v>
      </c>
      <c r="C12103">
        <v>854232</v>
      </c>
      <c r="D12103" t="s">
        <v>176</v>
      </c>
      <c r="E12103">
        <v>23485</v>
      </c>
      <c r="F12103">
        <v>1578</v>
      </c>
      <c r="G12103">
        <v>638</v>
      </c>
      <c r="H12103">
        <f>_xlfn.XLOOKUP(FACT_IMPORTS[[#This Row],[hts_6]],DIM_PRODUCTS[hts_6],DIM_PRODUCTS[hts_4],,,)</f>
        <v>8542</v>
      </c>
      <c r="I12103" t="str" cm="1">
        <f t="array" ref="I12103">_xlfn.XLOOKUP(FACT_IMPORTS[[#This Row],[country_name]],DIM_COUNTRY[[#All],[Column2]],DIM_COUNTRY[[#All],[Column3]],,,)</f>
        <v>Major_Non-USMCA_Non-China</v>
      </c>
    </row>
    <row r="12104" spans="1:9" x14ac:dyDescent="0.4">
      <c r="A12104" t="s">
        <v>73</v>
      </c>
      <c r="B12104" s="1">
        <v>45658</v>
      </c>
      <c r="C12104">
        <v>854239</v>
      </c>
      <c r="D12104" t="s">
        <v>176</v>
      </c>
      <c r="E12104">
        <v>48595</v>
      </c>
      <c r="F12104">
        <v>469</v>
      </c>
      <c r="G12104">
        <v>154</v>
      </c>
      <c r="H12104">
        <f>_xlfn.XLOOKUP(FACT_IMPORTS[[#This Row],[hts_6]],DIM_PRODUCTS[hts_6],DIM_PRODUCTS[hts_4],,,)</f>
        <v>8542</v>
      </c>
      <c r="I12104" t="str" cm="1">
        <f t="array" ref="I12104">_xlfn.XLOOKUP(FACT_IMPORTS[[#This Row],[country_name]],DIM_COUNTRY[[#All],[Column2]],DIM_COUNTRY[[#All],[Column3]],,,)</f>
        <v>Major_Non-USMCA_Non-China</v>
      </c>
    </row>
    <row r="12105" spans="1:9" x14ac:dyDescent="0.4">
      <c r="A12105" t="s">
        <v>73</v>
      </c>
      <c r="B12105" s="1">
        <v>45658</v>
      </c>
      <c r="C12105">
        <v>854430</v>
      </c>
      <c r="D12105" t="s">
        <v>176</v>
      </c>
      <c r="E12105">
        <v>414939</v>
      </c>
      <c r="F12105">
        <v>1359</v>
      </c>
      <c r="G12105">
        <v>745</v>
      </c>
      <c r="H12105">
        <f>_xlfn.XLOOKUP(FACT_IMPORTS[[#This Row],[hts_6]],DIM_PRODUCTS[hts_6],DIM_PRODUCTS[hts_4],,,)</f>
        <v>8544</v>
      </c>
      <c r="I12105" t="str" cm="1">
        <f t="array" ref="I12105">_xlfn.XLOOKUP(FACT_IMPORTS[[#This Row],[country_name]],DIM_COUNTRY[[#All],[Column2]],DIM_COUNTRY[[#All],[Column3]],,,)</f>
        <v>Major_Non-USMCA_Non-China</v>
      </c>
    </row>
    <row r="12106" spans="1:9" x14ac:dyDescent="0.4">
      <c r="A12106" t="s">
        <v>73</v>
      </c>
      <c r="B12106" s="1">
        <v>45658</v>
      </c>
      <c r="C12106">
        <v>870810</v>
      </c>
      <c r="D12106" t="s">
        <v>176</v>
      </c>
      <c r="E12106">
        <v>2211944</v>
      </c>
      <c r="F12106">
        <v>30834</v>
      </c>
      <c r="G12106">
        <v>8849</v>
      </c>
      <c r="H12106">
        <f>_xlfn.XLOOKUP(FACT_IMPORTS[[#This Row],[hts_6]],DIM_PRODUCTS[hts_6],DIM_PRODUCTS[hts_4],,,)</f>
        <v>8708</v>
      </c>
      <c r="I12106" t="str" cm="1">
        <f t="array" ref="I12106">_xlfn.XLOOKUP(FACT_IMPORTS[[#This Row],[country_name]],DIM_COUNTRY[[#All],[Column2]],DIM_COUNTRY[[#All],[Column3]],,,)</f>
        <v>Major_Non-USMCA_Non-China</v>
      </c>
    </row>
    <row r="12107" spans="1:9" x14ac:dyDescent="0.4">
      <c r="A12107" t="s">
        <v>73</v>
      </c>
      <c r="B12107" s="1">
        <v>45658</v>
      </c>
      <c r="C12107">
        <v>870822</v>
      </c>
      <c r="D12107" t="s">
        <v>176</v>
      </c>
      <c r="E12107">
        <v>134486</v>
      </c>
      <c r="F12107">
        <v>677</v>
      </c>
      <c r="G12107">
        <v>127</v>
      </c>
      <c r="H12107">
        <f>_xlfn.XLOOKUP(FACT_IMPORTS[[#This Row],[hts_6]],DIM_PRODUCTS[hts_6],DIM_PRODUCTS[hts_4],,,)</f>
        <v>8708</v>
      </c>
      <c r="I12107" t="str" cm="1">
        <f t="array" ref="I12107">_xlfn.XLOOKUP(FACT_IMPORTS[[#This Row],[country_name]],DIM_COUNTRY[[#All],[Column2]],DIM_COUNTRY[[#All],[Column3]],,,)</f>
        <v>Major_Non-USMCA_Non-China</v>
      </c>
    </row>
    <row r="12108" spans="1:9" x14ac:dyDescent="0.4">
      <c r="A12108" t="s">
        <v>73</v>
      </c>
      <c r="B12108" s="1">
        <v>45658</v>
      </c>
      <c r="C12108">
        <v>870829</v>
      </c>
      <c r="D12108" t="s">
        <v>176</v>
      </c>
      <c r="E12108">
        <v>6989787</v>
      </c>
      <c r="F12108">
        <v>1932758</v>
      </c>
      <c r="G12108">
        <v>154867</v>
      </c>
      <c r="H12108">
        <f>_xlfn.XLOOKUP(FACT_IMPORTS[[#This Row],[hts_6]],DIM_PRODUCTS[hts_6],DIM_PRODUCTS[hts_4],,,)</f>
        <v>8708</v>
      </c>
      <c r="I12108" t="str" cm="1">
        <f t="array" ref="I12108">_xlfn.XLOOKUP(FACT_IMPORTS[[#This Row],[country_name]],DIM_COUNTRY[[#All],[Column2]],DIM_COUNTRY[[#All],[Column3]],,,)</f>
        <v>Major_Non-USMCA_Non-China</v>
      </c>
    </row>
    <row r="12109" spans="1:9" x14ac:dyDescent="0.4">
      <c r="A12109" t="s">
        <v>73</v>
      </c>
      <c r="B12109" s="1">
        <v>45658</v>
      </c>
      <c r="C12109">
        <v>870830</v>
      </c>
      <c r="D12109" t="s">
        <v>176</v>
      </c>
      <c r="E12109">
        <v>713659</v>
      </c>
      <c r="F12109">
        <v>252050</v>
      </c>
      <c r="G12109">
        <v>9007</v>
      </c>
      <c r="H12109">
        <f>_xlfn.XLOOKUP(FACT_IMPORTS[[#This Row],[hts_6]],DIM_PRODUCTS[hts_6],DIM_PRODUCTS[hts_4],,,)</f>
        <v>8708</v>
      </c>
      <c r="I12109" t="str" cm="1">
        <f t="array" ref="I12109">_xlfn.XLOOKUP(FACT_IMPORTS[[#This Row],[country_name]],DIM_COUNTRY[[#All],[Column2]],DIM_COUNTRY[[#All],[Column3]],,,)</f>
        <v>Major_Non-USMCA_Non-China</v>
      </c>
    </row>
    <row r="12110" spans="1:9" x14ac:dyDescent="0.4">
      <c r="A12110" t="s">
        <v>73</v>
      </c>
      <c r="B12110" s="1">
        <v>45658</v>
      </c>
      <c r="C12110">
        <v>870840</v>
      </c>
      <c r="D12110" t="s">
        <v>176</v>
      </c>
      <c r="E12110">
        <v>4180416</v>
      </c>
      <c r="F12110">
        <v>541849</v>
      </c>
      <c r="G12110">
        <v>90461</v>
      </c>
      <c r="H12110">
        <f>_xlfn.XLOOKUP(FACT_IMPORTS[[#This Row],[hts_6]],DIM_PRODUCTS[hts_6],DIM_PRODUCTS[hts_4],,,)</f>
        <v>8708</v>
      </c>
      <c r="I12110" t="str" cm="1">
        <f t="array" ref="I12110">_xlfn.XLOOKUP(FACT_IMPORTS[[#This Row],[country_name]],DIM_COUNTRY[[#All],[Column2]],DIM_COUNTRY[[#All],[Column3]],,,)</f>
        <v>Major_Non-USMCA_Non-China</v>
      </c>
    </row>
    <row r="12111" spans="1:9" x14ac:dyDescent="0.4">
      <c r="A12111" t="s">
        <v>73</v>
      </c>
      <c r="B12111" s="1">
        <v>45658</v>
      </c>
      <c r="C12111">
        <v>870850</v>
      </c>
      <c r="D12111" t="s">
        <v>176</v>
      </c>
      <c r="E12111">
        <v>10284331</v>
      </c>
      <c r="F12111">
        <v>654769</v>
      </c>
      <c r="G12111">
        <v>251790</v>
      </c>
      <c r="H12111">
        <f>_xlfn.XLOOKUP(FACT_IMPORTS[[#This Row],[hts_6]],DIM_PRODUCTS[hts_6],DIM_PRODUCTS[hts_4],,,)</f>
        <v>8708</v>
      </c>
      <c r="I12111" t="str" cm="1">
        <f t="array" ref="I12111">_xlfn.XLOOKUP(FACT_IMPORTS[[#This Row],[country_name]],DIM_COUNTRY[[#All],[Column2]],DIM_COUNTRY[[#All],[Column3]],,,)</f>
        <v>Major_Non-USMCA_Non-China</v>
      </c>
    </row>
    <row r="12112" spans="1:9" x14ac:dyDescent="0.4">
      <c r="A12112" t="s">
        <v>73</v>
      </c>
      <c r="B12112" s="1">
        <v>45658</v>
      </c>
      <c r="C12112">
        <v>870870</v>
      </c>
      <c r="D12112" t="s">
        <v>176</v>
      </c>
      <c r="E12112">
        <v>337316</v>
      </c>
      <c r="F12112">
        <v>1489</v>
      </c>
      <c r="G12112">
        <v>669</v>
      </c>
      <c r="H12112">
        <f>_xlfn.XLOOKUP(FACT_IMPORTS[[#This Row],[hts_6]],DIM_PRODUCTS[hts_6],DIM_PRODUCTS[hts_4],,,)</f>
        <v>8708</v>
      </c>
      <c r="I12112" t="str" cm="1">
        <f t="array" ref="I12112">_xlfn.XLOOKUP(FACT_IMPORTS[[#This Row],[country_name]],DIM_COUNTRY[[#All],[Column2]],DIM_COUNTRY[[#All],[Column3]],,,)</f>
        <v>Major_Non-USMCA_Non-China</v>
      </c>
    </row>
    <row r="12113" spans="1:9" x14ac:dyDescent="0.4">
      <c r="A12113" t="s">
        <v>73</v>
      </c>
      <c r="B12113" s="1">
        <v>45658</v>
      </c>
      <c r="C12113">
        <v>870880</v>
      </c>
      <c r="D12113" t="s">
        <v>176</v>
      </c>
      <c r="E12113">
        <v>3959663</v>
      </c>
      <c r="F12113">
        <v>1107378</v>
      </c>
      <c r="G12113">
        <v>102495</v>
      </c>
      <c r="H12113">
        <f>_xlfn.XLOOKUP(FACT_IMPORTS[[#This Row],[hts_6]],DIM_PRODUCTS[hts_6],DIM_PRODUCTS[hts_4],,,)</f>
        <v>8708</v>
      </c>
      <c r="I12113" t="str" cm="1">
        <f t="array" ref="I12113">_xlfn.XLOOKUP(FACT_IMPORTS[[#This Row],[country_name]],DIM_COUNTRY[[#All],[Column2]],DIM_COUNTRY[[#All],[Column3]],,,)</f>
        <v>Major_Non-USMCA_Non-China</v>
      </c>
    </row>
    <row r="12114" spans="1:9" x14ac:dyDescent="0.4">
      <c r="A12114" t="s">
        <v>73</v>
      </c>
      <c r="B12114" s="1">
        <v>45658</v>
      </c>
      <c r="C12114">
        <v>870891</v>
      </c>
      <c r="D12114" t="s">
        <v>176</v>
      </c>
      <c r="E12114">
        <v>108040</v>
      </c>
      <c r="F12114">
        <v>1196</v>
      </c>
      <c r="G12114">
        <v>383</v>
      </c>
      <c r="H12114">
        <f>_xlfn.XLOOKUP(FACT_IMPORTS[[#This Row],[hts_6]],DIM_PRODUCTS[hts_6],DIM_PRODUCTS[hts_4],,,)</f>
        <v>8708</v>
      </c>
      <c r="I12114" t="str" cm="1">
        <f t="array" ref="I12114">_xlfn.XLOOKUP(FACT_IMPORTS[[#This Row],[country_name]],DIM_COUNTRY[[#All],[Column2]],DIM_COUNTRY[[#All],[Column3]],,,)</f>
        <v>Major_Non-USMCA_Non-China</v>
      </c>
    </row>
    <row r="12115" spans="1:9" x14ac:dyDescent="0.4">
      <c r="A12115" t="s">
        <v>73</v>
      </c>
      <c r="B12115" s="1">
        <v>45658</v>
      </c>
      <c r="C12115">
        <v>870892</v>
      </c>
      <c r="D12115" t="s">
        <v>176</v>
      </c>
      <c r="E12115">
        <v>504645</v>
      </c>
      <c r="F12115">
        <v>2046</v>
      </c>
      <c r="G12115">
        <v>894</v>
      </c>
      <c r="H12115">
        <f>_xlfn.XLOOKUP(FACT_IMPORTS[[#This Row],[hts_6]],DIM_PRODUCTS[hts_6],DIM_PRODUCTS[hts_4],,,)</f>
        <v>8708</v>
      </c>
      <c r="I12115" t="str" cm="1">
        <f t="array" ref="I12115">_xlfn.XLOOKUP(FACT_IMPORTS[[#This Row],[country_name]],DIM_COUNTRY[[#All],[Column2]],DIM_COUNTRY[[#All],[Column3]],,,)</f>
        <v>Major_Non-USMCA_Non-China</v>
      </c>
    </row>
    <row r="12116" spans="1:9" x14ac:dyDescent="0.4">
      <c r="A12116" t="s">
        <v>73</v>
      </c>
      <c r="B12116" s="1">
        <v>45658</v>
      </c>
      <c r="C12116">
        <v>870893</v>
      </c>
      <c r="D12116" t="s">
        <v>176</v>
      </c>
      <c r="E12116">
        <v>615327</v>
      </c>
      <c r="F12116">
        <v>29695</v>
      </c>
      <c r="G12116">
        <v>4060</v>
      </c>
      <c r="H12116">
        <f>_xlfn.XLOOKUP(FACT_IMPORTS[[#This Row],[hts_6]],DIM_PRODUCTS[hts_6],DIM_PRODUCTS[hts_4],,,)</f>
        <v>8708</v>
      </c>
      <c r="I12116" t="str" cm="1">
        <f t="array" ref="I12116">_xlfn.XLOOKUP(FACT_IMPORTS[[#This Row],[country_name]],DIM_COUNTRY[[#All],[Column2]],DIM_COUNTRY[[#All],[Column3]],,,)</f>
        <v>Major_Non-USMCA_Non-China</v>
      </c>
    </row>
    <row r="12117" spans="1:9" x14ac:dyDescent="0.4">
      <c r="A12117" t="s">
        <v>73</v>
      </c>
      <c r="B12117" s="1">
        <v>45658</v>
      </c>
      <c r="C12117">
        <v>870894</v>
      </c>
      <c r="D12117" t="s">
        <v>176</v>
      </c>
      <c r="E12117">
        <v>1942806</v>
      </c>
      <c r="F12117">
        <v>220301</v>
      </c>
      <c r="G12117">
        <v>18388</v>
      </c>
      <c r="H12117">
        <f>_xlfn.XLOOKUP(FACT_IMPORTS[[#This Row],[hts_6]],DIM_PRODUCTS[hts_6],DIM_PRODUCTS[hts_4],,,)</f>
        <v>8708</v>
      </c>
      <c r="I12117" t="str" cm="1">
        <f t="array" ref="I12117">_xlfn.XLOOKUP(FACT_IMPORTS[[#This Row],[country_name]],DIM_COUNTRY[[#All],[Column2]],DIM_COUNTRY[[#All],[Column3]],,,)</f>
        <v>Major_Non-USMCA_Non-China</v>
      </c>
    </row>
    <row r="12118" spans="1:9" x14ac:dyDescent="0.4">
      <c r="A12118" t="s">
        <v>73</v>
      </c>
      <c r="B12118" s="1">
        <v>45658</v>
      </c>
      <c r="C12118">
        <v>870895</v>
      </c>
      <c r="D12118" t="s">
        <v>176</v>
      </c>
      <c r="E12118">
        <v>0</v>
      </c>
      <c r="F12118">
        <v>0</v>
      </c>
      <c r="G12118">
        <v>0</v>
      </c>
      <c r="H12118">
        <f>_xlfn.XLOOKUP(FACT_IMPORTS[[#This Row],[hts_6]],DIM_PRODUCTS[hts_6],DIM_PRODUCTS[hts_4],,,)</f>
        <v>8708</v>
      </c>
      <c r="I12118" t="str" cm="1">
        <f t="array" ref="I12118">_xlfn.XLOOKUP(FACT_IMPORTS[[#This Row],[country_name]],DIM_COUNTRY[[#All],[Column2]],DIM_COUNTRY[[#All],[Column3]],,,)</f>
        <v>Major_Non-USMCA_Non-China</v>
      </c>
    </row>
    <row r="12119" spans="1:9" x14ac:dyDescent="0.4">
      <c r="A12119" t="s">
        <v>73</v>
      </c>
      <c r="B12119" s="1">
        <v>45658</v>
      </c>
      <c r="C12119">
        <v>870899</v>
      </c>
      <c r="D12119" t="s">
        <v>176</v>
      </c>
      <c r="E12119">
        <v>18614212</v>
      </c>
      <c r="F12119">
        <v>3076320</v>
      </c>
      <c r="G12119">
        <v>526509</v>
      </c>
      <c r="H12119">
        <f>_xlfn.XLOOKUP(FACT_IMPORTS[[#This Row],[hts_6]],DIM_PRODUCTS[hts_6],DIM_PRODUCTS[hts_4],,,)</f>
        <v>8708</v>
      </c>
      <c r="I12119" t="str" cm="1">
        <f t="array" ref="I12119">_xlfn.XLOOKUP(FACT_IMPORTS[[#This Row],[country_name]],DIM_COUNTRY[[#All],[Column2]],DIM_COUNTRY[[#All],[Column3]],,,)</f>
        <v>Major_Non-USMCA_Non-China</v>
      </c>
    </row>
    <row r="12120" spans="1:9" x14ac:dyDescent="0.4">
      <c r="A12120" t="s">
        <v>73</v>
      </c>
      <c r="B12120" s="1">
        <v>45689</v>
      </c>
      <c r="C12120">
        <v>392630</v>
      </c>
      <c r="D12120" t="s">
        <v>176</v>
      </c>
      <c r="E12120">
        <v>474821</v>
      </c>
      <c r="F12120">
        <v>24090</v>
      </c>
      <c r="G12120">
        <v>26710</v>
      </c>
      <c r="H12120">
        <f>_xlfn.XLOOKUP(FACT_IMPORTS[[#This Row],[hts_6]],DIM_PRODUCTS[hts_6],DIM_PRODUCTS[hts_4],,,)</f>
        <v>3926</v>
      </c>
      <c r="I12120" t="str" cm="1">
        <f t="array" ref="I12120">_xlfn.XLOOKUP(FACT_IMPORTS[[#This Row],[country_name]],DIM_COUNTRY[[#All],[Column2]],DIM_COUNTRY[[#All],[Column3]],,,)</f>
        <v>Major_Non-USMCA_Non-China</v>
      </c>
    </row>
    <row r="12121" spans="1:9" x14ac:dyDescent="0.4">
      <c r="A12121" t="s">
        <v>73</v>
      </c>
      <c r="B12121" s="1">
        <v>45689</v>
      </c>
      <c r="C12121">
        <v>401110</v>
      </c>
      <c r="D12121" t="s">
        <v>176</v>
      </c>
      <c r="E12121">
        <v>2401557</v>
      </c>
      <c r="F12121">
        <v>38141</v>
      </c>
      <c r="G12121">
        <v>458981</v>
      </c>
      <c r="H12121">
        <f>_xlfn.XLOOKUP(FACT_IMPORTS[[#This Row],[hts_6]],DIM_PRODUCTS[hts_6],DIM_PRODUCTS[hts_4],,,)</f>
        <v>4011</v>
      </c>
      <c r="I12121" t="str" cm="1">
        <f t="array" ref="I12121">_xlfn.XLOOKUP(FACT_IMPORTS[[#This Row],[country_name]],DIM_COUNTRY[[#All],[Column2]],DIM_COUNTRY[[#All],[Column3]],,,)</f>
        <v>Major_Non-USMCA_Non-China</v>
      </c>
    </row>
    <row r="12122" spans="1:9" x14ac:dyDescent="0.4">
      <c r="A12122" t="s">
        <v>73</v>
      </c>
      <c r="B12122" s="1">
        <v>45689</v>
      </c>
      <c r="C12122">
        <v>401120</v>
      </c>
      <c r="D12122" t="s">
        <v>176</v>
      </c>
      <c r="E12122">
        <v>0</v>
      </c>
      <c r="F12122">
        <v>0</v>
      </c>
      <c r="G12122">
        <v>0</v>
      </c>
      <c r="H12122">
        <f>_xlfn.XLOOKUP(FACT_IMPORTS[[#This Row],[hts_6]],DIM_PRODUCTS[hts_6],DIM_PRODUCTS[hts_4],,,)</f>
        <v>4011</v>
      </c>
      <c r="I12122" t="str" cm="1">
        <f t="array" ref="I12122">_xlfn.XLOOKUP(FACT_IMPORTS[[#This Row],[country_name]],DIM_COUNTRY[[#All],[Column2]],DIM_COUNTRY[[#All],[Column3]],,,)</f>
        <v>Major_Non-USMCA_Non-China</v>
      </c>
    </row>
    <row r="12123" spans="1:9" x14ac:dyDescent="0.4">
      <c r="A12123" t="s">
        <v>73</v>
      </c>
      <c r="B12123" s="1">
        <v>45689</v>
      </c>
      <c r="C12123">
        <v>700711</v>
      </c>
      <c r="D12123" t="s">
        <v>176</v>
      </c>
      <c r="E12123">
        <v>17314</v>
      </c>
      <c r="F12123">
        <v>10</v>
      </c>
      <c r="G12123">
        <v>151</v>
      </c>
      <c r="H12123">
        <f>_xlfn.XLOOKUP(FACT_IMPORTS[[#This Row],[hts_6]],DIM_PRODUCTS[hts_6],DIM_PRODUCTS[hts_4],,,)</f>
        <v>7007</v>
      </c>
      <c r="I12123" t="str" cm="1">
        <f t="array" ref="I12123">_xlfn.XLOOKUP(FACT_IMPORTS[[#This Row],[country_name]],DIM_COUNTRY[[#All],[Column2]],DIM_COUNTRY[[#All],[Column3]],,,)</f>
        <v>Major_Non-USMCA_Non-China</v>
      </c>
    </row>
    <row r="12124" spans="1:9" x14ac:dyDescent="0.4">
      <c r="A12124" t="s">
        <v>73</v>
      </c>
      <c r="B12124" s="1">
        <v>45689</v>
      </c>
      <c r="C12124">
        <v>700910</v>
      </c>
      <c r="D12124" t="s">
        <v>176</v>
      </c>
      <c r="E12124">
        <v>918150</v>
      </c>
      <c r="F12124">
        <v>12795</v>
      </c>
      <c r="G12124">
        <v>30065</v>
      </c>
      <c r="H12124">
        <f>_xlfn.XLOOKUP(FACT_IMPORTS[[#This Row],[hts_6]],DIM_PRODUCTS[hts_6],DIM_PRODUCTS[hts_4],,,)</f>
        <v>7009</v>
      </c>
      <c r="I12124" t="str" cm="1">
        <f t="array" ref="I12124">_xlfn.XLOOKUP(FACT_IMPORTS[[#This Row],[country_name]],DIM_COUNTRY[[#All],[Column2]],DIM_COUNTRY[[#All],[Column3]],,,)</f>
        <v>Major_Non-USMCA_Non-China</v>
      </c>
    </row>
    <row r="12125" spans="1:9" x14ac:dyDescent="0.4">
      <c r="A12125" t="s">
        <v>73</v>
      </c>
      <c r="B12125" s="1">
        <v>45689</v>
      </c>
      <c r="C12125">
        <v>830230</v>
      </c>
      <c r="D12125" t="s">
        <v>176</v>
      </c>
      <c r="E12125">
        <v>2351425</v>
      </c>
      <c r="F12125">
        <v>461557</v>
      </c>
      <c r="G12125">
        <v>52465</v>
      </c>
      <c r="H12125">
        <f>_xlfn.XLOOKUP(FACT_IMPORTS[[#This Row],[hts_6]],DIM_PRODUCTS[hts_6],DIM_PRODUCTS[hts_4],,,)</f>
        <v>8302</v>
      </c>
      <c r="I12125" t="str" cm="1">
        <f t="array" ref="I12125">_xlfn.XLOOKUP(FACT_IMPORTS[[#This Row],[country_name]],DIM_COUNTRY[[#All],[Column2]],DIM_COUNTRY[[#All],[Column3]],,,)</f>
        <v>Major_Non-USMCA_Non-China</v>
      </c>
    </row>
    <row r="12126" spans="1:9" x14ac:dyDescent="0.4">
      <c r="A12126" t="s">
        <v>73</v>
      </c>
      <c r="B12126" s="1">
        <v>45689</v>
      </c>
      <c r="C12126">
        <v>840734</v>
      </c>
      <c r="D12126" t="s">
        <v>176</v>
      </c>
      <c r="E12126">
        <v>0</v>
      </c>
      <c r="F12126">
        <v>0</v>
      </c>
      <c r="G12126">
        <v>0</v>
      </c>
      <c r="H12126">
        <f>_xlfn.XLOOKUP(FACT_IMPORTS[[#This Row],[hts_6]],DIM_PRODUCTS[hts_6],DIM_PRODUCTS[hts_4],,,)</f>
        <v>8407</v>
      </c>
      <c r="I12126" t="str" cm="1">
        <f t="array" ref="I12126">_xlfn.XLOOKUP(FACT_IMPORTS[[#This Row],[country_name]],DIM_COUNTRY[[#All],[Column2]],DIM_COUNTRY[[#All],[Column3]],,,)</f>
        <v>Major_Non-USMCA_Non-China</v>
      </c>
    </row>
    <row r="12127" spans="1:9" x14ac:dyDescent="0.4">
      <c r="A12127" t="s">
        <v>73</v>
      </c>
      <c r="B12127" s="1">
        <v>45689</v>
      </c>
      <c r="C12127">
        <v>840890</v>
      </c>
      <c r="D12127" t="s">
        <v>176</v>
      </c>
      <c r="E12127">
        <v>14000</v>
      </c>
      <c r="F12127">
        <v>2</v>
      </c>
      <c r="G12127">
        <v>2</v>
      </c>
      <c r="H12127">
        <f>_xlfn.XLOOKUP(FACT_IMPORTS[[#This Row],[hts_6]],DIM_PRODUCTS[hts_6],DIM_PRODUCTS[hts_4],,,)</f>
        <v>8408</v>
      </c>
      <c r="I12127" t="str" cm="1">
        <f t="array" ref="I12127">_xlfn.XLOOKUP(FACT_IMPORTS[[#This Row],[country_name]],DIM_COUNTRY[[#All],[Column2]],DIM_COUNTRY[[#All],[Column3]],,,)</f>
        <v>Major_Non-USMCA_Non-China</v>
      </c>
    </row>
    <row r="12128" spans="1:9" x14ac:dyDescent="0.4">
      <c r="A12128" t="s">
        <v>73</v>
      </c>
      <c r="B12128" s="1">
        <v>45689</v>
      </c>
      <c r="C12128">
        <v>840991</v>
      </c>
      <c r="D12128" t="s">
        <v>176</v>
      </c>
      <c r="E12128">
        <v>4126731</v>
      </c>
      <c r="F12128">
        <v>185837</v>
      </c>
      <c r="G12128">
        <v>38454</v>
      </c>
      <c r="H12128">
        <f>_xlfn.XLOOKUP(FACT_IMPORTS[[#This Row],[hts_6]],DIM_PRODUCTS[hts_6],DIM_PRODUCTS[hts_4],,,)</f>
        <v>8409</v>
      </c>
      <c r="I12128" t="str" cm="1">
        <f t="array" ref="I12128">_xlfn.XLOOKUP(FACT_IMPORTS[[#This Row],[country_name]],DIM_COUNTRY[[#All],[Column2]],DIM_COUNTRY[[#All],[Column3]],,,)</f>
        <v>Major_Non-USMCA_Non-China</v>
      </c>
    </row>
    <row r="12129" spans="1:9" x14ac:dyDescent="0.4">
      <c r="A12129" t="s">
        <v>73</v>
      </c>
      <c r="B12129" s="1">
        <v>45689</v>
      </c>
      <c r="C12129">
        <v>840999</v>
      </c>
      <c r="D12129" t="s">
        <v>176</v>
      </c>
      <c r="E12129">
        <v>212463</v>
      </c>
      <c r="F12129">
        <v>8946</v>
      </c>
      <c r="G12129">
        <v>8477</v>
      </c>
      <c r="H12129">
        <f>_xlfn.XLOOKUP(FACT_IMPORTS[[#This Row],[hts_6]],DIM_PRODUCTS[hts_6],DIM_PRODUCTS[hts_4],,,)</f>
        <v>8409</v>
      </c>
      <c r="I12129" t="str" cm="1">
        <f t="array" ref="I12129">_xlfn.XLOOKUP(FACT_IMPORTS[[#This Row],[country_name]],DIM_COUNTRY[[#All],[Column2]],DIM_COUNTRY[[#All],[Column3]],,,)</f>
        <v>Major_Non-USMCA_Non-China</v>
      </c>
    </row>
    <row r="12130" spans="1:9" x14ac:dyDescent="0.4">
      <c r="A12130" t="s">
        <v>73</v>
      </c>
      <c r="B12130" s="1">
        <v>45689</v>
      </c>
      <c r="C12130">
        <v>841330</v>
      </c>
      <c r="D12130" t="s">
        <v>176</v>
      </c>
      <c r="E12130">
        <v>2830141</v>
      </c>
      <c r="F12130">
        <v>61639</v>
      </c>
      <c r="G12130">
        <v>121392</v>
      </c>
      <c r="H12130">
        <f>_xlfn.XLOOKUP(FACT_IMPORTS[[#This Row],[hts_6]],DIM_PRODUCTS[hts_6],DIM_PRODUCTS[hts_4],,,)</f>
        <v>8413</v>
      </c>
      <c r="I12130" t="str" cm="1">
        <f t="array" ref="I12130">_xlfn.XLOOKUP(FACT_IMPORTS[[#This Row],[country_name]],DIM_COUNTRY[[#All],[Column2]],DIM_COUNTRY[[#All],[Column3]],,,)</f>
        <v>Major_Non-USMCA_Non-China</v>
      </c>
    </row>
    <row r="12131" spans="1:9" x14ac:dyDescent="0.4">
      <c r="A12131" t="s">
        <v>73</v>
      </c>
      <c r="B12131" s="1">
        <v>45689</v>
      </c>
      <c r="C12131">
        <v>842132</v>
      </c>
      <c r="D12131" t="s">
        <v>176</v>
      </c>
      <c r="E12131">
        <v>205027</v>
      </c>
      <c r="F12131">
        <v>97</v>
      </c>
      <c r="G12131">
        <v>279</v>
      </c>
      <c r="H12131">
        <f>_xlfn.XLOOKUP(FACT_IMPORTS[[#This Row],[hts_6]],DIM_PRODUCTS[hts_6],DIM_PRODUCTS[hts_4],,,)</f>
        <v>8421</v>
      </c>
      <c r="I12131" t="str" cm="1">
        <f t="array" ref="I12131">_xlfn.XLOOKUP(FACT_IMPORTS[[#This Row],[country_name]],DIM_COUNTRY[[#All],[Column2]],DIM_COUNTRY[[#All],[Column3]],,,)</f>
        <v>Major_Non-USMCA_Non-China</v>
      </c>
    </row>
    <row r="12132" spans="1:9" x14ac:dyDescent="0.4">
      <c r="A12132" t="s">
        <v>73</v>
      </c>
      <c r="B12132" s="1">
        <v>45689</v>
      </c>
      <c r="C12132">
        <v>848210</v>
      </c>
      <c r="D12132" t="s">
        <v>176</v>
      </c>
      <c r="E12132">
        <v>245810</v>
      </c>
      <c r="F12132">
        <v>56685</v>
      </c>
      <c r="G12132">
        <v>446</v>
      </c>
      <c r="H12132">
        <f>_xlfn.XLOOKUP(FACT_IMPORTS[[#This Row],[hts_6]],DIM_PRODUCTS[hts_6],DIM_PRODUCTS[hts_4],,,)</f>
        <v>8482</v>
      </c>
      <c r="I12132" t="str" cm="1">
        <f t="array" ref="I12132">_xlfn.XLOOKUP(FACT_IMPORTS[[#This Row],[country_name]],DIM_COUNTRY[[#All],[Column2]],DIM_COUNTRY[[#All],[Column3]],,,)</f>
        <v>Major_Non-USMCA_Non-China</v>
      </c>
    </row>
    <row r="12133" spans="1:9" x14ac:dyDescent="0.4">
      <c r="A12133" t="s">
        <v>73</v>
      </c>
      <c r="B12133" s="1">
        <v>45689</v>
      </c>
      <c r="C12133">
        <v>848220</v>
      </c>
      <c r="D12133" t="s">
        <v>176</v>
      </c>
      <c r="E12133">
        <v>4325230</v>
      </c>
      <c r="F12133">
        <v>955551</v>
      </c>
      <c r="G12133">
        <v>848</v>
      </c>
      <c r="H12133">
        <f>_xlfn.XLOOKUP(FACT_IMPORTS[[#This Row],[hts_6]],DIM_PRODUCTS[hts_6],DIM_PRODUCTS[hts_4],,,)</f>
        <v>8482</v>
      </c>
      <c r="I12133" t="str" cm="1">
        <f t="array" ref="I12133">_xlfn.XLOOKUP(FACT_IMPORTS[[#This Row],[country_name]],DIM_COUNTRY[[#All],[Column2]],DIM_COUNTRY[[#All],[Column3]],,,)</f>
        <v>Major_Non-USMCA_Non-China</v>
      </c>
    </row>
    <row r="12134" spans="1:9" x14ac:dyDescent="0.4">
      <c r="A12134" t="s">
        <v>73</v>
      </c>
      <c r="B12134" s="1">
        <v>45689</v>
      </c>
      <c r="C12134">
        <v>848310</v>
      </c>
      <c r="D12134" t="s">
        <v>176</v>
      </c>
      <c r="E12134">
        <v>302486</v>
      </c>
      <c r="F12134">
        <v>8667</v>
      </c>
      <c r="G12134">
        <v>6000</v>
      </c>
      <c r="H12134">
        <f>_xlfn.XLOOKUP(FACT_IMPORTS[[#This Row],[hts_6]],DIM_PRODUCTS[hts_6],DIM_PRODUCTS[hts_4],,,)</f>
        <v>8483</v>
      </c>
      <c r="I12134" t="str" cm="1">
        <f t="array" ref="I12134">_xlfn.XLOOKUP(FACT_IMPORTS[[#This Row],[country_name]],DIM_COUNTRY[[#All],[Column2]],DIM_COUNTRY[[#All],[Column3]],,,)</f>
        <v>Major_Non-USMCA_Non-China</v>
      </c>
    </row>
    <row r="12135" spans="1:9" x14ac:dyDescent="0.4">
      <c r="A12135" t="s">
        <v>73</v>
      </c>
      <c r="B12135" s="1">
        <v>45689</v>
      </c>
      <c r="C12135">
        <v>850131</v>
      </c>
      <c r="D12135" t="s">
        <v>176</v>
      </c>
      <c r="E12135">
        <v>228550</v>
      </c>
      <c r="F12135">
        <v>15990</v>
      </c>
      <c r="G12135">
        <v>7</v>
      </c>
      <c r="H12135">
        <f>_xlfn.XLOOKUP(FACT_IMPORTS[[#This Row],[hts_6]],DIM_PRODUCTS[hts_6],DIM_PRODUCTS[hts_4],,,)</f>
        <v>8501</v>
      </c>
      <c r="I12135" t="str" cm="1">
        <f t="array" ref="I12135">_xlfn.XLOOKUP(FACT_IMPORTS[[#This Row],[country_name]],DIM_COUNTRY[[#All],[Column2]],DIM_COUNTRY[[#All],[Column3]],,,)</f>
        <v>Major_Non-USMCA_Non-China</v>
      </c>
    </row>
    <row r="12136" spans="1:9" x14ac:dyDescent="0.4">
      <c r="A12136" t="s">
        <v>73</v>
      </c>
      <c r="B12136" s="1">
        <v>45689</v>
      </c>
      <c r="C12136">
        <v>850132</v>
      </c>
      <c r="D12136" t="s">
        <v>176</v>
      </c>
      <c r="E12136">
        <v>0</v>
      </c>
      <c r="F12136">
        <v>0</v>
      </c>
      <c r="G12136">
        <v>0</v>
      </c>
      <c r="H12136">
        <f>_xlfn.XLOOKUP(FACT_IMPORTS[[#This Row],[hts_6]],DIM_PRODUCTS[hts_6],DIM_PRODUCTS[hts_4],,,)</f>
        <v>8501</v>
      </c>
      <c r="I12136" t="str" cm="1">
        <f t="array" ref="I12136">_xlfn.XLOOKUP(FACT_IMPORTS[[#This Row],[country_name]],DIM_COUNTRY[[#All],[Column2]],DIM_COUNTRY[[#All],[Column3]],,,)</f>
        <v>Major_Non-USMCA_Non-China</v>
      </c>
    </row>
    <row r="12137" spans="1:9" x14ac:dyDescent="0.4">
      <c r="A12137" t="s">
        <v>73</v>
      </c>
      <c r="B12137" s="1">
        <v>45689</v>
      </c>
      <c r="C12137">
        <v>850152</v>
      </c>
      <c r="D12137" t="s">
        <v>176</v>
      </c>
      <c r="E12137">
        <v>0</v>
      </c>
      <c r="F12137">
        <v>0</v>
      </c>
      <c r="G12137">
        <v>0</v>
      </c>
      <c r="H12137">
        <f>_xlfn.XLOOKUP(FACT_IMPORTS[[#This Row],[hts_6]],DIM_PRODUCTS[hts_6],DIM_PRODUCTS[hts_4],,,)</f>
        <v>8501</v>
      </c>
      <c r="I12137" t="str" cm="1">
        <f t="array" ref="I12137">_xlfn.XLOOKUP(FACT_IMPORTS[[#This Row],[country_name]],DIM_COUNTRY[[#All],[Column2]],DIM_COUNTRY[[#All],[Column3]],,,)</f>
        <v>Major_Non-USMCA_Non-China</v>
      </c>
    </row>
    <row r="12138" spans="1:9" x14ac:dyDescent="0.4">
      <c r="A12138" t="s">
        <v>73</v>
      </c>
      <c r="B12138" s="1">
        <v>45689</v>
      </c>
      <c r="C12138">
        <v>850153</v>
      </c>
      <c r="D12138" t="s">
        <v>176</v>
      </c>
      <c r="E12138">
        <v>0</v>
      </c>
      <c r="F12138">
        <v>0</v>
      </c>
      <c r="G12138">
        <v>0</v>
      </c>
      <c r="H12138">
        <f>_xlfn.XLOOKUP(FACT_IMPORTS[[#This Row],[hts_6]],DIM_PRODUCTS[hts_6],DIM_PRODUCTS[hts_4],,,)</f>
        <v>8501</v>
      </c>
      <c r="I12138" t="str" cm="1">
        <f t="array" ref="I12138">_xlfn.XLOOKUP(FACT_IMPORTS[[#This Row],[country_name]],DIM_COUNTRY[[#All],[Column2]],DIM_COUNTRY[[#All],[Column3]],,,)</f>
        <v>Major_Non-USMCA_Non-China</v>
      </c>
    </row>
    <row r="12139" spans="1:9" x14ac:dyDescent="0.4">
      <c r="A12139" t="s">
        <v>73</v>
      </c>
      <c r="B12139" s="1">
        <v>45689</v>
      </c>
      <c r="C12139">
        <v>850440</v>
      </c>
      <c r="D12139" t="s">
        <v>176</v>
      </c>
      <c r="E12139">
        <v>37206</v>
      </c>
      <c r="F12139">
        <v>898</v>
      </c>
      <c r="G12139">
        <v>410</v>
      </c>
      <c r="H12139">
        <f>_xlfn.XLOOKUP(FACT_IMPORTS[[#This Row],[hts_6]],DIM_PRODUCTS[hts_6],DIM_PRODUCTS[hts_4],,,)</f>
        <v>8504</v>
      </c>
      <c r="I12139" t="str" cm="1">
        <f t="array" ref="I12139">_xlfn.XLOOKUP(FACT_IMPORTS[[#This Row],[country_name]],DIM_COUNTRY[[#All],[Column2]],DIM_COUNTRY[[#All],[Column3]],,,)</f>
        <v>Major_Non-USMCA_Non-China</v>
      </c>
    </row>
    <row r="12140" spans="1:9" x14ac:dyDescent="0.4">
      <c r="A12140" t="s">
        <v>73</v>
      </c>
      <c r="B12140" s="1">
        <v>45689</v>
      </c>
      <c r="C12140">
        <v>850710</v>
      </c>
      <c r="D12140" t="s">
        <v>176</v>
      </c>
      <c r="E12140">
        <v>2113672</v>
      </c>
      <c r="F12140">
        <v>48551</v>
      </c>
      <c r="G12140">
        <v>67544</v>
      </c>
      <c r="H12140">
        <f>_xlfn.XLOOKUP(FACT_IMPORTS[[#This Row],[hts_6]],DIM_PRODUCTS[hts_6],DIM_PRODUCTS[hts_4],,,)</f>
        <v>8507</v>
      </c>
      <c r="I12140" t="str" cm="1">
        <f t="array" ref="I12140">_xlfn.XLOOKUP(FACT_IMPORTS[[#This Row],[country_name]],DIM_COUNTRY[[#All],[Column2]],DIM_COUNTRY[[#All],[Column3]],,,)</f>
        <v>Major_Non-USMCA_Non-China</v>
      </c>
    </row>
    <row r="12141" spans="1:9" x14ac:dyDescent="0.4">
      <c r="A12141" t="s">
        <v>73</v>
      </c>
      <c r="B12141" s="1">
        <v>45689</v>
      </c>
      <c r="C12141">
        <v>850760</v>
      </c>
      <c r="D12141" t="s">
        <v>176</v>
      </c>
      <c r="E12141">
        <v>234452</v>
      </c>
      <c r="F12141">
        <v>16</v>
      </c>
      <c r="G12141">
        <v>2170</v>
      </c>
      <c r="H12141">
        <f>_xlfn.XLOOKUP(FACT_IMPORTS[[#This Row],[hts_6]],DIM_PRODUCTS[hts_6],DIM_PRODUCTS[hts_4],,,)</f>
        <v>8507</v>
      </c>
      <c r="I12141" t="str" cm="1">
        <f t="array" ref="I12141">_xlfn.XLOOKUP(FACT_IMPORTS[[#This Row],[country_name]],DIM_COUNTRY[[#All],[Column2]],DIM_COUNTRY[[#All],[Column3]],,,)</f>
        <v>Major_Non-USMCA_Non-China</v>
      </c>
    </row>
    <row r="12142" spans="1:9" x14ac:dyDescent="0.4">
      <c r="A12142" t="s">
        <v>73</v>
      </c>
      <c r="B12142" s="1">
        <v>45689</v>
      </c>
      <c r="C12142">
        <v>850790</v>
      </c>
      <c r="D12142" t="s">
        <v>176</v>
      </c>
      <c r="E12142">
        <v>510442</v>
      </c>
      <c r="F12142">
        <v>17250</v>
      </c>
      <c r="G12142">
        <v>8306</v>
      </c>
      <c r="H12142">
        <f>_xlfn.XLOOKUP(FACT_IMPORTS[[#This Row],[hts_6]],DIM_PRODUCTS[hts_6],DIM_PRODUCTS[hts_4],,,)</f>
        <v>8507</v>
      </c>
      <c r="I12142" t="str" cm="1">
        <f t="array" ref="I12142">_xlfn.XLOOKUP(FACT_IMPORTS[[#This Row],[country_name]],DIM_COUNTRY[[#All],[Column2]],DIM_COUNTRY[[#All],[Column3]],,,)</f>
        <v>Major_Non-USMCA_Non-China</v>
      </c>
    </row>
    <row r="12143" spans="1:9" x14ac:dyDescent="0.4">
      <c r="A12143" t="s">
        <v>73</v>
      </c>
      <c r="B12143" s="1">
        <v>45689</v>
      </c>
      <c r="C12143">
        <v>851110</v>
      </c>
      <c r="D12143" t="s">
        <v>176</v>
      </c>
      <c r="E12143">
        <v>0</v>
      </c>
      <c r="F12143">
        <v>0</v>
      </c>
      <c r="G12143">
        <v>0</v>
      </c>
      <c r="H12143">
        <f>_xlfn.XLOOKUP(FACT_IMPORTS[[#This Row],[hts_6]],DIM_PRODUCTS[hts_6],DIM_PRODUCTS[hts_4],,,)</f>
        <v>8511</v>
      </c>
      <c r="I12143" t="str" cm="1">
        <f t="array" ref="I12143">_xlfn.XLOOKUP(FACT_IMPORTS[[#This Row],[country_name]],DIM_COUNTRY[[#All],[Column2]],DIM_COUNTRY[[#All],[Column3]],,,)</f>
        <v>Major_Non-USMCA_Non-China</v>
      </c>
    </row>
    <row r="12144" spans="1:9" x14ac:dyDescent="0.4">
      <c r="A12144" t="s">
        <v>73</v>
      </c>
      <c r="B12144" s="1">
        <v>45689</v>
      </c>
      <c r="C12144">
        <v>851130</v>
      </c>
      <c r="D12144" t="s">
        <v>176</v>
      </c>
      <c r="E12144">
        <v>29060</v>
      </c>
      <c r="F12144">
        <v>622</v>
      </c>
      <c r="G12144">
        <v>24</v>
      </c>
      <c r="H12144">
        <f>_xlfn.XLOOKUP(FACT_IMPORTS[[#This Row],[hts_6]],DIM_PRODUCTS[hts_6],DIM_PRODUCTS[hts_4],,,)</f>
        <v>8511</v>
      </c>
      <c r="I12144" t="str" cm="1">
        <f t="array" ref="I12144">_xlfn.XLOOKUP(FACT_IMPORTS[[#This Row],[country_name]],DIM_COUNTRY[[#All],[Column2]],DIM_COUNTRY[[#All],[Column3]],,,)</f>
        <v>Major_Non-USMCA_Non-China</v>
      </c>
    </row>
    <row r="12145" spans="1:9" x14ac:dyDescent="0.4">
      <c r="A12145" t="s">
        <v>73</v>
      </c>
      <c r="B12145" s="1">
        <v>45689</v>
      </c>
      <c r="C12145">
        <v>851140</v>
      </c>
      <c r="D12145" t="s">
        <v>176</v>
      </c>
      <c r="E12145">
        <v>19621</v>
      </c>
      <c r="F12145">
        <v>159</v>
      </c>
      <c r="G12145">
        <v>18</v>
      </c>
      <c r="H12145">
        <f>_xlfn.XLOOKUP(FACT_IMPORTS[[#This Row],[hts_6]],DIM_PRODUCTS[hts_6],DIM_PRODUCTS[hts_4],,,)</f>
        <v>8511</v>
      </c>
      <c r="I12145" t="str" cm="1">
        <f t="array" ref="I12145">_xlfn.XLOOKUP(FACT_IMPORTS[[#This Row],[country_name]],DIM_COUNTRY[[#All],[Column2]],DIM_COUNTRY[[#All],[Column3]],,,)</f>
        <v>Major_Non-USMCA_Non-China</v>
      </c>
    </row>
    <row r="12146" spans="1:9" x14ac:dyDescent="0.4">
      <c r="A12146" t="s">
        <v>73</v>
      </c>
      <c r="B12146" s="1">
        <v>45689</v>
      </c>
      <c r="C12146">
        <v>851150</v>
      </c>
      <c r="D12146" t="s">
        <v>176</v>
      </c>
      <c r="E12146">
        <v>176655</v>
      </c>
      <c r="F12146">
        <v>926</v>
      </c>
      <c r="G12146">
        <v>195</v>
      </c>
      <c r="H12146">
        <f>_xlfn.XLOOKUP(FACT_IMPORTS[[#This Row],[hts_6]],DIM_PRODUCTS[hts_6],DIM_PRODUCTS[hts_4],,,)</f>
        <v>8511</v>
      </c>
      <c r="I12146" t="str" cm="1">
        <f t="array" ref="I12146">_xlfn.XLOOKUP(FACT_IMPORTS[[#This Row],[country_name]],DIM_COUNTRY[[#All],[Column2]],DIM_COUNTRY[[#All],[Column3]],,,)</f>
        <v>Major_Non-USMCA_Non-China</v>
      </c>
    </row>
    <row r="12147" spans="1:9" x14ac:dyDescent="0.4">
      <c r="A12147" t="s">
        <v>73</v>
      </c>
      <c r="B12147" s="1">
        <v>45689</v>
      </c>
      <c r="C12147">
        <v>851190</v>
      </c>
      <c r="D12147" t="s">
        <v>176</v>
      </c>
      <c r="E12147">
        <v>136342</v>
      </c>
      <c r="F12147">
        <v>15202</v>
      </c>
      <c r="G12147">
        <v>5342</v>
      </c>
      <c r="H12147">
        <f>_xlfn.XLOOKUP(FACT_IMPORTS[[#This Row],[hts_6]],DIM_PRODUCTS[hts_6],DIM_PRODUCTS[hts_4],,,)</f>
        <v>8511</v>
      </c>
      <c r="I12147" t="str" cm="1">
        <f t="array" ref="I12147">_xlfn.XLOOKUP(FACT_IMPORTS[[#This Row],[country_name]],DIM_COUNTRY[[#All],[Column2]],DIM_COUNTRY[[#All],[Column3]],,,)</f>
        <v>Major_Non-USMCA_Non-China</v>
      </c>
    </row>
    <row r="12148" spans="1:9" x14ac:dyDescent="0.4">
      <c r="A12148" t="s">
        <v>73</v>
      </c>
      <c r="B12148" s="1">
        <v>45689</v>
      </c>
      <c r="C12148">
        <v>851220</v>
      </c>
      <c r="D12148" t="s">
        <v>176</v>
      </c>
      <c r="E12148">
        <v>8647175</v>
      </c>
      <c r="F12148">
        <v>957886</v>
      </c>
      <c r="G12148">
        <v>131584</v>
      </c>
      <c r="H12148">
        <f>_xlfn.XLOOKUP(FACT_IMPORTS[[#This Row],[hts_6]],DIM_PRODUCTS[hts_6],DIM_PRODUCTS[hts_4],,,)</f>
        <v>8512</v>
      </c>
      <c r="I12148" t="str" cm="1">
        <f t="array" ref="I12148">_xlfn.XLOOKUP(FACT_IMPORTS[[#This Row],[country_name]],DIM_COUNTRY[[#All],[Column2]],DIM_COUNTRY[[#All],[Column3]],,,)</f>
        <v>Major_Non-USMCA_Non-China</v>
      </c>
    </row>
    <row r="12149" spans="1:9" x14ac:dyDescent="0.4">
      <c r="A12149" t="s">
        <v>73</v>
      </c>
      <c r="B12149" s="1">
        <v>45689</v>
      </c>
      <c r="C12149">
        <v>851230</v>
      </c>
      <c r="D12149" t="s">
        <v>176</v>
      </c>
      <c r="E12149">
        <v>0</v>
      </c>
      <c r="F12149">
        <v>0</v>
      </c>
      <c r="G12149">
        <v>0</v>
      </c>
      <c r="H12149">
        <f>_xlfn.XLOOKUP(FACT_IMPORTS[[#This Row],[hts_6]],DIM_PRODUCTS[hts_6],DIM_PRODUCTS[hts_4],,,)</f>
        <v>8512</v>
      </c>
      <c r="I12149" t="str" cm="1">
        <f t="array" ref="I12149">_xlfn.XLOOKUP(FACT_IMPORTS[[#This Row],[country_name]],DIM_COUNTRY[[#All],[Column2]],DIM_COUNTRY[[#All],[Column3]],,,)</f>
        <v>Major_Non-USMCA_Non-China</v>
      </c>
    </row>
    <row r="12150" spans="1:9" x14ac:dyDescent="0.4">
      <c r="A12150" t="s">
        <v>73</v>
      </c>
      <c r="B12150" s="1">
        <v>45689</v>
      </c>
      <c r="C12150">
        <v>851240</v>
      </c>
      <c r="D12150" t="s">
        <v>176</v>
      </c>
      <c r="E12150">
        <v>95108</v>
      </c>
      <c r="F12150">
        <v>4462</v>
      </c>
      <c r="G12150">
        <v>1005</v>
      </c>
      <c r="H12150">
        <f>_xlfn.XLOOKUP(FACT_IMPORTS[[#This Row],[hts_6]],DIM_PRODUCTS[hts_6],DIM_PRODUCTS[hts_4],,,)</f>
        <v>8512</v>
      </c>
      <c r="I12150" t="str" cm="1">
        <f t="array" ref="I12150">_xlfn.XLOOKUP(FACT_IMPORTS[[#This Row],[country_name]],DIM_COUNTRY[[#All],[Column2]],DIM_COUNTRY[[#All],[Column3]],,,)</f>
        <v>Major_Non-USMCA_Non-China</v>
      </c>
    </row>
    <row r="12151" spans="1:9" x14ac:dyDescent="0.4">
      <c r="A12151" t="s">
        <v>73</v>
      </c>
      <c r="B12151" s="1">
        <v>45689</v>
      </c>
      <c r="C12151">
        <v>851290</v>
      </c>
      <c r="D12151" t="s">
        <v>176</v>
      </c>
      <c r="E12151">
        <v>603916</v>
      </c>
      <c r="F12151">
        <v>30699</v>
      </c>
      <c r="G12151">
        <v>13066</v>
      </c>
      <c r="H12151">
        <f>_xlfn.XLOOKUP(FACT_IMPORTS[[#This Row],[hts_6]],DIM_PRODUCTS[hts_6],DIM_PRODUCTS[hts_4],,,)</f>
        <v>8512</v>
      </c>
      <c r="I12151" t="str" cm="1">
        <f t="array" ref="I12151">_xlfn.XLOOKUP(FACT_IMPORTS[[#This Row],[country_name]],DIM_COUNTRY[[#All],[Column2]],DIM_COUNTRY[[#All],[Column3]],,,)</f>
        <v>Major_Non-USMCA_Non-China</v>
      </c>
    </row>
    <row r="12152" spans="1:9" x14ac:dyDescent="0.4">
      <c r="A12152" t="s">
        <v>73</v>
      </c>
      <c r="B12152" s="1">
        <v>45689</v>
      </c>
      <c r="C12152">
        <v>854231</v>
      </c>
      <c r="D12152" t="s">
        <v>176</v>
      </c>
      <c r="E12152">
        <v>0</v>
      </c>
      <c r="F12152">
        <v>0</v>
      </c>
      <c r="G12152">
        <v>0</v>
      </c>
      <c r="H12152">
        <f>_xlfn.XLOOKUP(FACT_IMPORTS[[#This Row],[hts_6]],DIM_PRODUCTS[hts_6],DIM_PRODUCTS[hts_4],,,)</f>
        <v>8542</v>
      </c>
      <c r="I12152" t="str" cm="1">
        <f t="array" ref="I12152">_xlfn.XLOOKUP(FACT_IMPORTS[[#This Row],[country_name]],DIM_COUNTRY[[#All],[Column2]],DIM_COUNTRY[[#All],[Column3]],,,)</f>
        <v>Major_Non-USMCA_Non-China</v>
      </c>
    </row>
    <row r="12153" spans="1:9" x14ac:dyDescent="0.4">
      <c r="A12153" t="s">
        <v>73</v>
      </c>
      <c r="B12153" s="1">
        <v>45689</v>
      </c>
      <c r="C12153">
        <v>854232</v>
      </c>
      <c r="D12153" t="s">
        <v>176</v>
      </c>
      <c r="E12153">
        <v>6363</v>
      </c>
      <c r="F12153">
        <v>696</v>
      </c>
      <c r="G12153">
        <v>75</v>
      </c>
      <c r="H12153">
        <f>_xlfn.XLOOKUP(FACT_IMPORTS[[#This Row],[hts_6]],DIM_PRODUCTS[hts_6],DIM_PRODUCTS[hts_4],,,)</f>
        <v>8542</v>
      </c>
      <c r="I12153" t="str" cm="1">
        <f t="array" ref="I12153">_xlfn.XLOOKUP(FACT_IMPORTS[[#This Row],[country_name]],DIM_COUNTRY[[#All],[Column2]],DIM_COUNTRY[[#All],[Column3]],,,)</f>
        <v>Major_Non-USMCA_Non-China</v>
      </c>
    </row>
    <row r="12154" spans="1:9" x14ac:dyDescent="0.4">
      <c r="A12154" t="s">
        <v>73</v>
      </c>
      <c r="B12154" s="1">
        <v>45689</v>
      </c>
      <c r="C12154">
        <v>854239</v>
      </c>
      <c r="D12154" t="s">
        <v>176</v>
      </c>
      <c r="E12154">
        <v>0</v>
      </c>
      <c r="F12154">
        <v>0</v>
      </c>
      <c r="G12154">
        <v>0</v>
      </c>
      <c r="H12154">
        <f>_xlfn.XLOOKUP(FACT_IMPORTS[[#This Row],[hts_6]],DIM_PRODUCTS[hts_6],DIM_PRODUCTS[hts_4],,,)</f>
        <v>8542</v>
      </c>
      <c r="I12154" t="str" cm="1">
        <f t="array" ref="I12154">_xlfn.XLOOKUP(FACT_IMPORTS[[#This Row],[country_name]],DIM_COUNTRY[[#All],[Column2]],DIM_COUNTRY[[#All],[Column3]],,,)</f>
        <v>Major_Non-USMCA_Non-China</v>
      </c>
    </row>
    <row r="12155" spans="1:9" x14ac:dyDescent="0.4">
      <c r="A12155" t="s">
        <v>73</v>
      </c>
      <c r="B12155" s="1">
        <v>45689</v>
      </c>
      <c r="C12155">
        <v>854430</v>
      </c>
      <c r="D12155" t="s">
        <v>176</v>
      </c>
      <c r="E12155">
        <v>90532</v>
      </c>
      <c r="F12155">
        <v>940</v>
      </c>
      <c r="G12155">
        <v>83</v>
      </c>
      <c r="H12155">
        <f>_xlfn.XLOOKUP(FACT_IMPORTS[[#This Row],[hts_6]],DIM_PRODUCTS[hts_6],DIM_PRODUCTS[hts_4],,,)</f>
        <v>8544</v>
      </c>
      <c r="I12155" t="str" cm="1">
        <f t="array" ref="I12155">_xlfn.XLOOKUP(FACT_IMPORTS[[#This Row],[country_name]],DIM_COUNTRY[[#All],[Column2]],DIM_COUNTRY[[#All],[Column3]],,,)</f>
        <v>Major_Non-USMCA_Non-China</v>
      </c>
    </row>
    <row r="12156" spans="1:9" x14ac:dyDescent="0.4">
      <c r="A12156" t="s">
        <v>73</v>
      </c>
      <c r="B12156" s="1">
        <v>45689</v>
      </c>
      <c r="C12156">
        <v>870810</v>
      </c>
      <c r="D12156" t="s">
        <v>176</v>
      </c>
      <c r="E12156">
        <v>1244019</v>
      </c>
      <c r="F12156">
        <v>18544</v>
      </c>
      <c r="G12156">
        <v>5152</v>
      </c>
      <c r="H12156">
        <f>_xlfn.XLOOKUP(FACT_IMPORTS[[#This Row],[hts_6]],DIM_PRODUCTS[hts_6],DIM_PRODUCTS[hts_4],,,)</f>
        <v>8708</v>
      </c>
      <c r="I12156" t="str" cm="1">
        <f t="array" ref="I12156">_xlfn.XLOOKUP(FACT_IMPORTS[[#This Row],[country_name]],DIM_COUNTRY[[#All],[Column2]],DIM_COUNTRY[[#All],[Column3]],,,)</f>
        <v>Major_Non-USMCA_Non-China</v>
      </c>
    </row>
    <row r="12157" spans="1:9" x14ac:dyDescent="0.4">
      <c r="A12157" t="s">
        <v>73</v>
      </c>
      <c r="B12157" s="1">
        <v>45689</v>
      </c>
      <c r="C12157">
        <v>870822</v>
      </c>
      <c r="D12157" t="s">
        <v>176</v>
      </c>
      <c r="E12157">
        <v>28241</v>
      </c>
      <c r="F12157">
        <v>222</v>
      </c>
      <c r="G12157">
        <v>78</v>
      </c>
      <c r="H12157">
        <f>_xlfn.XLOOKUP(FACT_IMPORTS[[#This Row],[hts_6]],DIM_PRODUCTS[hts_6],DIM_PRODUCTS[hts_4],,,)</f>
        <v>8708</v>
      </c>
      <c r="I12157" t="str" cm="1">
        <f t="array" ref="I12157">_xlfn.XLOOKUP(FACT_IMPORTS[[#This Row],[country_name]],DIM_COUNTRY[[#All],[Column2]],DIM_COUNTRY[[#All],[Column3]],,,)</f>
        <v>Major_Non-USMCA_Non-China</v>
      </c>
    </row>
    <row r="12158" spans="1:9" x14ac:dyDescent="0.4">
      <c r="A12158" t="s">
        <v>73</v>
      </c>
      <c r="B12158" s="1">
        <v>45689</v>
      </c>
      <c r="C12158">
        <v>870829</v>
      </c>
      <c r="D12158" t="s">
        <v>176</v>
      </c>
      <c r="E12158">
        <v>5895416</v>
      </c>
      <c r="F12158">
        <v>2943799</v>
      </c>
      <c r="G12158">
        <v>67775</v>
      </c>
      <c r="H12158">
        <f>_xlfn.XLOOKUP(FACT_IMPORTS[[#This Row],[hts_6]],DIM_PRODUCTS[hts_6],DIM_PRODUCTS[hts_4],,,)</f>
        <v>8708</v>
      </c>
      <c r="I12158" t="str" cm="1">
        <f t="array" ref="I12158">_xlfn.XLOOKUP(FACT_IMPORTS[[#This Row],[country_name]],DIM_COUNTRY[[#All],[Column2]],DIM_COUNTRY[[#All],[Column3]],,,)</f>
        <v>Major_Non-USMCA_Non-China</v>
      </c>
    </row>
    <row r="12159" spans="1:9" x14ac:dyDescent="0.4">
      <c r="A12159" t="s">
        <v>73</v>
      </c>
      <c r="B12159" s="1">
        <v>45689</v>
      </c>
      <c r="C12159">
        <v>870830</v>
      </c>
      <c r="D12159" t="s">
        <v>176</v>
      </c>
      <c r="E12159">
        <v>6683240</v>
      </c>
      <c r="F12159">
        <v>106305</v>
      </c>
      <c r="G12159">
        <v>623719</v>
      </c>
      <c r="H12159">
        <f>_xlfn.XLOOKUP(FACT_IMPORTS[[#This Row],[hts_6]],DIM_PRODUCTS[hts_6],DIM_PRODUCTS[hts_4],,,)</f>
        <v>8708</v>
      </c>
      <c r="I12159" t="str" cm="1">
        <f t="array" ref="I12159">_xlfn.XLOOKUP(FACT_IMPORTS[[#This Row],[country_name]],DIM_COUNTRY[[#All],[Column2]],DIM_COUNTRY[[#All],[Column3]],,,)</f>
        <v>Major_Non-USMCA_Non-China</v>
      </c>
    </row>
    <row r="12160" spans="1:9" x14ac:dyDescent="0.4">
      <c r="A12160" t="s">
        <v>73</v>
      </c>
      <c r="B12160" s="1">
        <v>45689</v>
      </c>
      <c r="C12160">
        <v>870840</v>
      </c>
      <c r="D12160" t="s">
        <v>176</v>
      </c>
      <c r="E12160">
        <v>3890451</v>
      </c>
      <c r="F12160">
        <v>300196</v>
      </c>
      <c r="G12160">
        <v>93225</v>
      </c>
      <c r="H12160">
        <f>_xlfn.XLOOKUP(FACT_IMPORTS[[#This Row],[hts_6]],DIM_PRODUCTS[hts_6],DIM_PRODUCTS[hts_4],,,)</f>
        <v>8708</v>
      </c>
      <c r="I12160" t="str" cm="1">
        <f t="array" ref="I12160">_xlfn.XLOOKUP(FACT_IMPORTS[[#This Row],[country_name]],DIM_COUNTRY[[#All],[Column2]],DIM_COUNTRY[[#All],[Column3]],,,)</f>
        <v>Major_Non-USMCA_Non-China</v>
      </c>
    </row>
    <row r="12161" spans="1:9" x14ac:dyDescent="0.4">
      <c r="A12161" t="s">
        <v>73</v>
      </c>
      <c r="B12161" s="1">
        <v>45689</v>
      </c>
      <c r="C12161">
        <v>870850</v>
      </c>
      <c r="D12161" t="s">
        <v>176</v>
      </c>
      <c r="E12161">
        <v>13289169</v>
      </c>
      <c r="F12161">
        <v>880145</v>
      </c>
      <c r="G12161">
        <v>291638</v>
      </c>
      <c r="H12161">
        <f>_xlfn.XLOOKUP(FACT_IMPORTS[[#This Row],[hts_6]],DIM_PRODUCTS[hts_6],DIM_PRODUCTS[hts_4],,,)</f>
        <v>8708</v>
      </c>
      <c r="I12161" t="str" cm="1">
        <f t="array" ref="I12161">_xlfn.XLOOKUP(FACT_IMPORTS[[#This Row],[country_name]],DIM_COUNTRY[[#All],[Column2]],DIM_COUNTRY[[#All],[Column3]],,,)</f>
        <v>Major_Non-USMCA_Non-China</v>
      </c>
    </row>
    <row r="12162" spans="1:9" x14ac:dyDescent="0.4">
      <c r="A12162" t="s">
        <v>73</v>
      </c>
      <c r="B12162" s="1">
        <v>45689</v>
      </c>
      <c r="C12162">
        <v>870870</v>
      </c>
      <c r="D12162" t="s">
        <v>176</v>
      </c>
      <c r="E12162">
        <v>454807</v>
      </c>
      <c r="F12162">
        <v>4195</v>
      </c>
      <c r="G12162">
        <v>15153</v>
      </c>
      <c r="H12162">
        <f>_xlfn.XLOOKUP(FACT_IMPORTS[[#This Row],[hts_6]],DIM_PRODUCTS[hts_6],DIM_PRODUCTS[hts_4],,,)</f>
        <v>8708</v>
      </c>
      <c r="I12162" t="str" cm="1">
        <f t="array" ref="I12162">_xlfn.XLOOKUP(FACT_IMPORTS[[#This Row],[country_name]],DIM_COUNTRY[[#All],[Column2]],DIM_COUNTRY[[#All],[Column3]],,,)</f>
        <v>Major_Non-USMCA_Non-China</v>
      </c>
    </row>
    <row r="12163" spans="1:9" x14ac:dyDescent="0.4">
      <c r="A12163" t="s">
        <v>73</v>
      </c>
      <c r="B12163" s="1">
        <v>45689</v>
      </c>
      <c r="C12163">
        <v>870880</v>
      </c>
      <c r="D12163" t="s">
        <v>176</v>
      </c>
      <c r="E12163">
        <v>3088319</v>
      </c>
      <c r="F12163">
        <v>759267</v>
      </c>
      <c r="G12163">
        <v>57024</v>
      </c>
      <c r="H12163">
        <f>_xlfn.XLOOKUP(FACT_IMPORTS[[#This Row],[hts_6]],DIM_PRODUCTS[hts_6],DIM_PRODUCTS[hts_4],,,)</f>
        <v>8708</v>
      </c>
      <c r="I12163" t="str" cm="1">
        <f t="array" ref="I12163">_xlfn.XLOOKUP(FACT_IMPORTS[[#This Row],[country_name]],DIM_COUNTRY[[#All],[Column2]],DIM_COUNTRY[[#All],[Column3]],,,)</f>
        <v>Major_Non-USMCA_Non-China</v>
      </c>
    </row>
    <row r="12164" spans="1:9" x14ac:dyDescent="0.4">
      <c r="A12164" t="s">
        <v>73</v>
      </c>
      <c r="B12164" s="1">
        <v>45689</v>
      </c>
      <c r="C12164">
        <v>870891</v>
      </c>
      <c r="D12164" t="s">
        <v>176</v>
      </c>
      <c r="E12164">
        <v>163095</v>
      </c>
      <c r="F12164">
        <v>804</v>
      </c>
      <c r="G12164">
        <v>412</v>
      </c>
      <c r="H12164">
        <f>_xlfn.XLOOKUP(FACT_IMPORTS[[#This Row],[hts_6]],DIM_PRODUCTS[hts_6],DIM_PRODUCTS[hts_4],,,)</f>
        <v>8708</v>
      </c>
      <c r="I12164" t="str" cm="1">
        <f t="array" ref="I12164">_xlfn.XLOOKUP(FACT_IMPORTS[[#This Row],[country_name]],DIM_COUNTRY[[#All],[Column2]],DIM_COUNTRY[[#All],[Column3]],,,)</f>
        <v>Major_Non-USMCA_Non-China</v>
      </c>
    </row>
    <row r="12165" spans="1:9" x14ac:dyDescent="0.4">
      <c r="A12165" t="s">
        <v>73</v>
      </c>
      <c r="B12165" s="1">
        <v>45689</v>
      </c>
      <c r="C12165">
        <v>870892</v>
      </c>
      <c r="D12165" t="s">
        <v>176</v>
      </c>
      <c r="E12165">
        <v>23607</v>
      </c>
      <c r="F12165">
        <v>73</v>
      </c>
      <c r="G12165">
        <v>80</v>
      </c>
      <c r="H12165">
        <f>_xlfn.XLOOKUP(FACT_IMPORTS[[#This Row],[hts_6]],DIM_PRODUCTS[hts_6],DIM_PRODUCTS[hts_4],,,)</f>
        <v>8708</v>
      </c>
      <c r="I12165" t="str" cm="1">
        <f t="array" ref="I12165">_xlfn.XLOOKUP(FACT_IMPORTS[[#This Row],[country_name]],DIM_COUNTRY[[#All],[Column2]],DIM_COUNTRY[[#All],[Column3]],,,)</f>
        <v>Major_Non-USMCA_Non-China</v>
      </c>
    </row>
    <row r="12166" spans="1:9" x14ac:dyDescent="0.4">
      <c r="A12166" t="s">
        <v>73</v>
      </c>
      <c r="B12166" s="1">
        <v>45689</v>
      </c>
      <c r="C12166">
        <v>870893</v>
      </c>
      <c r="D12166" t="s">
        <v>176</v>
      </c>
      <c r="E12166">
        <v>590412</v>
      </c>
      <c r="F12166">
        <v>51054</v>
      </c>
      <c r="G12166">
        <v>8659</v>
      </c>
      <c r="H12166">
        <f>_xlfn.XLOOKUP(FACT_IMPORTS[[#This Row],[hts_6]],DIM_PRODUCTS[hts_6],DIM_PRODUCTS[hts_4],,,)</f>
        <v>8708</v>
      </c>
      <c r="I12166" t="str" cm="1">
        <f t="array" ref="I12166">_xlfn.XLOOKUP(FACT_IMPORTS[[#This Row],[country_name]],DIM_COUNTRY[[#All],[Column2]],DIM_COUNTRY[[#All],[Column3]],,,)</f>
        <v>Major_Non-USMCA_Non-China</v>
      </c>
    </row>
    <row r="12167" spans="1:9" x14ac:dyDescent="0.4">
      <c r="A12167" t="s">
        <v>73</v>
      </c>
      <c r="B12167" s="1">
        <v>45689</v>
      </c>
      <c r="C12167">
        <v>870894</v>
      </c>
      <c r="D12167" t="s">
        <v>176</v>
      </c>
      <c r="E12167">
        <v>1605274</v>
      </c>
      <c r="F12167">
        <v>354892</v>
      </c>
      <c r="G12167">
        <v>13220</v>
      </c>
      <c r="H12167">
        <f>_xlfn.XLOOKUP(FACT_IMPORTS[[#This Row],[hts_6]],DIM_PRODUCTS[hts_6],DIM_PRODUCTS[hts_4],,,)</f>
        <v>8708</v>
      </c>
      <c r="I12167" t="str" cm="1">
        <f t="array" ref="I12167">_xlfn.XLOOKUP(FACT_IMPORTS[[#This Row],[country_name]],DIM_COUNTRY[[#All],[Column2]],DIM_COUNTRY[[#All],[Column3]],,,)</f>
        <v>Major_Non-USMCA_Non-China</v>
      </c>
    </row>
    <row r="12168" spans="1:9" x14ac:dyDescent="0.4">
      <c r="A12168" t="s">
        <v>73</v>
      </c>
      <c r="B12168" s="1">
        <v>45689</v>
      </c>
      <c r="C12168">
        <v>870895</v>
      </c>
      <c r="D12168" t="s">
        <v>176</v>
      </c>
      <c r="E12168">
        <v>27089</v>
      </c>
      <c r="F12168">
        <v>199</v>
      </c>
      <c r="G12168">
        <v>11</v>
      </c>
      <c r="H12168">
        <f>_xlfn.XLOOKUP(FACT_IMPORTS[[#This Row],[hts_6]],DIM_PRODUCTS[hts_6],DIM_PRODUCTS[hts_4],,,)</f>
        <v>8708</v>
      </c>
      <c r="I12168" t="str" cm="1">
        <f t="array" ref="I12168">_xlfn.XLOOKUP(FACT_IMPORTS[[#This Row],[country_name]],DIM_COUNTRY[[#All],[Column2]],DIM_COUNTRY[[#All],[Column3]],,,)</f>
        <v>Major_Non-USMCA_Non-China</v>
      </c>
    </row>
    <row r="12169" spans="1:9" x14ac:dyDescent="0.4">
      <c r="A12169" t="s">
        <v>73</v>
      </c>
      <c r="B12169" s="1">
        <v>45689</v>
      </c>
      <c r="C12169">
        <v>870899</v>
      </c>
      <c r="D12169" t="s">
        <v>176</v>
      </c>
      <c r="E12169">
        <v>23429022</v>
      </c>
      <c r="F12169">
        <v>4350271</v>
      </c>
      <c r="G12169">
        <v>643440</v>
      </c>
      <c r="H12169">
        <f>_xlfn.XLOOKUP(FACT_IMPORTS[[#This Row],[hts_6]],DIM_PRODUCTS[hts_6],DIM_PRODUCTS[hts_4],,,)</f>
        <v>8708</v>
      </c>
      <c r="I12169" t="str" cm="1">
        <f t="array" ref="I12169">_xlfn.XLOOKUP(FACT_IMPORTS[[#This Row],[country_name]],DIM_COUNTRY[[#All],[Column2]],DIM_COUNTRY[[#All],[Column3]],,,)</f>
        <v>Major_Non-USMCA_Non-China</v>
      </c>
    </row>
    <row r="12170" spans="1:9" x14ac:dyDescent="0.4">
      <c r="A12170" t="s">
        <v>73</v>
      </c>
      <c r="B12170" s="1">
        <v>45717</v>
      </c>
      <c r="C12170">
        <v>392630</v>
      </c>
      <c r="D12170" t="s">
        <v>176</v>
      </c>
      <c r="E12170">
        <v>578309</v>
      </c>
      <c r="F12170">
        <v>33137</v>
      </c>
      <c r="G12170">
        <v>47958</v>
      </c>
      <c r="H12170">
        <f>_xlfn.XLOOKUP(FACT_IMPORTS[[#This Row],[hts_6]],DIM_PRODUCTS[hts_6],DIM_PRODUCTS[hts_4],,,)</f>
        <v>3926</v>
      </c>
      <c r="I12170" t="str" cm="1">
        <f t="array" ref="I12170">_xlfn.XLOOKUP(FACT_IMPORTS[[#This Row],[country_name]],DIM_COUNTRY[[#All],[Column2]],DIM_COUNTRY[[#All],[Column3]],,,)</f>
        <v>Major_Non-USMCA_Non-China</v>
      </c>
    </row>
    <row r="12171" spans="1:9" x14ac:dyDescent="0.4">
      <c r="A12171" t="s">
        <v>73</v>
      </c>
      <c r="B12171" s="1">
        <v>45717</v>
      </c>
      <c r="C12171">
        <v>401110</v>
      </c>
      <c r="D12171" t="s">
        <v>176</v>
      </c>
      <c r="E12171">
        <v>3258254</v>
      </c>
      <c r="F12171">
        <v>50237</v>
      </c>
      <c r="G12171">
        <v>564918</v>
      </c>
      <c r="H12171">
        <f>_xlfn.XLOOKUP(FACT_IMPORTS[[#This Row],[hts_6]],DIM_PRODUCTS[hts_6],DIM_PRODUCTS[hts_4],,,)</f>
        <v>4011</v>
      </c>
      <c r="I12171" t="str" cm="1">
        <f t="array" ref="I12171">_xlfn.XLOOKUP(FACT_IMPORTS[[#This Row],[country_name]],DIM_COUNTRY[[#All],[Column2]],DIM_COUNTRY[[#All],[Column3]],,,)</f>
        <v>Major_Non-USMCA_Non-China</v>
      </c>
    </row>
    <row r="12172" spans="1:9" x14ac:dyDescent="0.4">
      <c r="A12172" t="s">
        <v>73</v>
      </c>
      <c r="B12172" s="1">
        <v>45717</v>
      </c>
      <c r="C12172">
        <v>401120</v>
      </c>
      <c r="D12172" t="s">
        <v>176</v>
      </c>
      <c r="E12172">
        <v>0</v>
      </c>
      <c r="F12172">
        <v>0</v>
      </c>
      <c r="G12172">
        <v>0</v>
      </c>
      <c r="H12172">
        <f>_xlfn.XLOOKUP(FACT_IMPORTS[[#This Row],[hts_6]],DIM_PRODUCTS[hts_6],DIM_PRODUCTS[hts_4],,,)</f>
        <v>4011</v>
      </c>
      <c r="I12172" t="str" cm="1">
        <f t="array" ref="I12172">_xlfn.XLOOKUP(FACT_IMPORTS[[#This Row],[country_name]],DIM_COUNTRY[[#All],[Column2]],DIM_COUNTRY[[#All],[Column3]],,,)</f>
        <v>Major_Non-USMCA_Non-China</v>
      </c>
    </row>
    <row r="12173" spans="1:9" x14ac:dyDescent="0.4">
      <c r="A12173" t="s">
        <v>73</v>
      </c>
      <c r="B12173" s="1">
        <v>45717</v>
      </c>
      <c r="C12173">
        <v>700711</v>
      </c>
      <c r="D12173" t="s">
        <v>176</v>
      </c>
      <c r="E12173">
        <v>15184</v>
      </c>
      <c r="F12173">
        <v>8</v>
      </c>
      <c r="G12173">
        <v>274</v>
      </c>
      <c r="H12173">
        <f>_xlfn.XLOOKUP(FACT_IMPORTS[[#This Row],[hts_6]],DIM_PRODUCTS[hts_6],DIM_PRODUCTS[hts_4],,,)</f>
        <v>7007</v>
      </c>
      <c r="I12173" t="str" cm="1">
        <f t="array" ref="I12173">_xlfn.XLOOKUP(FACT_IMPORTS[[#This Row],[country_name]],DIM_COUNTRY[[#All],[Column2]],DIM_COUNTRY[[#All],[Column3]],,,)</f>
        <v>Major_Non-USMCA_Non-China</v>
      </c>
    </row>
    <row r="12174" spans="1:9" x14ac:dyDescent="0.4">
      <c r="A12174" t="s">
        <v>73</v>
      </c>
      <c r="B12174" s="1">
        <v>45717</v>
      </c>
      <c r="C12174">
        <v>700910</v>
      </c>
      <c r="D12174" t="s">
        <v>176</v>
      </c>
      <c r="E12174">
        <v>653657</v>
      </c>
      <c r="F12174">
        <v>12345</v>
      </c>
      <c r="G12174">
        <v>22587</v>
      </c>
      <c r="H12174">
        <f>_xlfn.XLOOKUP(FACT_IMPORTS[[#This Row],[hts_6]],DIM_PRODUCTS[hts_6],DIM_PRODUCTS[hts_4],,,)</f>
        <v>7009</v>
      </c>
      <c r="I12174" t="str" cm="1">
        <f t="array" ref="I12174">_xlfn.XLOOKUP(FACT_IMPORTS[[#This Row],[country_name]],DIM_COUNTRY[[#All],[Column2]],DIM_COUNTRY[[#All],[Column3]],,,)</f>
        <v>Major_Non-USMCA_Non-China</v>
      </c>
    </row>
    <row r="12175" spans="1:9" x14ac:dyDescent="0.4">
      <c r="A12175" t="s">
        <v>73</v>
      </c>
      <c r="B12175" s="1">
        <v>45717</v>
      </c>
      <c r="C12175">
        <v>830230</v>
      </c>
      <c r="D12175" t="s">
        <v>176</v>
      </c>
      <c r="E12175">
        <v>2422885</v>
      </c>
      <c r="F12175">
        <v>489845</v>
      </c>
      <c r="G12175">
        <v>69849</v>
      </c>
      <c r="H12175">
        <f>_xlfn.XLOOKUP(FACT_IMPORTS[[#This Row],[hts_6]],DIM_PRODUCTS[hts_6],DIM_PRODUCTS[hts_4],,,)</f>
        <v>8302</v>
      </c>
      <c r="I12175" t="str" cm="1">
        <f t="array" ref="I12175">_xlfn.XLOOKUP(FACT_IMPORTS[[#This Row],[country_name]],DIM_COUNTRY[[#All],[Column2]],DIM_COUNTRY[[#All],[Column3]],,,)</f>
        <v>Major_Non-USMCA_Non-China</v>
      </c>
    </row>
    <row r="12176" spans="1:9" x14ac:dyDescent="0.4">
      <c r="A12176" t="s">
        <v>73</v>
      </c>
      <c r="B12176" s="1">
        <v>45717</v>
      </c>
      <c r="C12176">
        <v>840734</v>
      </c>
      <c r="D12176" t="s">
        <v>176</v>
      </c>
      <c r="E12176">
        <v>93765</v>
      </c>
      <c r="F12176">
        <v>30</v>
      </c>
      <c r="G12176">
        <v>89</v>
      </c>
      <c r="H12176">
        <f>_xlfn.XLOOKUP(FACT_IMPORTS[[#This Row],[hts_6]],DIM_PRODUCTS[hts_6],DIM_PRODUCTS[hts_4],,,)</f>
        <v>8407</v>
      </c>
      <c r="I12176" t="str" cm="1">
        <f t="array" ref="I12176">_xlfn.XLOOKUP(FACT_IMPORTS[[#This Row],[country_name]],DIM_COUNTRY[[#All],[Column2]],DIM_COUNTRY[[#All],[Column3]],,,)</f>
        <v>Major_Non-USMCA_Non-China</v>
      </c>
    </row>
    <row r="12177" spans="1:9" x14ac:dyDescent="0.4">
      <c r="A12177" t="s">
        <v>73</v>
      </c>
      <c r="B12177" s="1">
        <v>45717</v>
      </c>
      <c r="C12177">
        <v>840890</v>
      </c>
      <c r="D12177" t="s">
        <v>176</v>
      </c>
      <c r="E12177">
        <v>7000</v>
      </c>
      <c r="F12177">
        <v>1</v>
      </c>
      <c r="G12177">
        <v>4500</v>
      </c>
      <c r="H12177">
        <f>_xlfn.XLOOKUP(FACT_IMPORTS[[#This Row],[hts_6]],DIM_PRODUCTS[hts_6],DIM_PRODUCTS[hts_4],,,)</f>
        <v>8408</v>
      </c>
      <c r="I12177" t="str" cm="1">
        <f t="array" ref="I12177">_xlfn.XLOOKUP(FACT_IMPORTS[[#This Row],[country_name]],DIM_COUNTRY[[#All],[Column2]],DIM_COUNTRY[[#All],[Column3]],,,)</f>
        <v>Major_Non-USMCA_Non-China</v>
      </c>
    </row>
    <row r="12178" spans="1:9" x14ac:dyDescent="0.4">
      <c r="A12178" t="s">
        <v>73</v>
      </c>
      <c r="B12178" s="1">
        <v>45717</v>
      </c>
      <c r="C12178">
        <v>840991</v>
      </c>
      <c r="D12178" t="s">
        <v>176</v>
      </c>
      <c r="E12178">
        <v>3582804</v>
      </c>
      <c r="F12178">
        <v>217094</v>
      </c>
      <c r="G12178">
        <v>22568</v>
      </c>
      <c r="H12178">
        <f>_xlfn.XLOOKUP(FACT_IMPORTS[[#This Row],[hts_6]],DIM_PRODUCTS[hts_6],DIM_PRODUCTS[hts_4],,,)</f>
        <v>8409</v>
      </c>
      <c r="I12178" t="str" cm="1">
        <f t="array" ref="I12178">_xlfn.XLOOKUP(FACT_IMPORTS[[#This Row],[country_name]],DIM_COUNTRY[[#All],[Column2]],DIM_COUNTRY[[#All],[Column3]],,,)</f>
        <v>Major_Non-USMCA_Non-China</v>
      </c>
    </row>
    <row r="12179" spans="1:9" x14ac:dyDescent="0.4">
      <c r="A12179" t="s">
        <v>73</v>
      </c>
      <c r="B12179" s="1">
        <v>45717</v>
      </c>
      <c r="C12179">
        <v>840999</v>
      </c>
      <c r="D12179" t="s">
        <v>176</v>
      </c>
      <c r="E12179">
        <v>344048</v>
      </c>
      <c r="F12179">
        <v>13743</v>
      </c>
      <c r="G12179">
        <v>3956</v>
      </c>
      <c r="H12179">
        <f>_xlfn.XLOOKUP(FACT_IMPORTS[[#This Row],[hts_6]],DIM_PRODUCTS[hts_6],DIM_PRODUCTS[hts_4],,,)</f>
        <v>8409</v>
      </c>
      <c r="I12179" t="str" cm="1">
        <f t="array" ref="I12179">_xlfn.XLOOKUP(FACT_IMPORTS[[#This Row],[country_name]],DIM_COUNTRY[[#All],[Column2]],DIM_COUNTRY[[#All],[Column3]],,,)</f>
        <v>Major_Non-USMCA_Non-China</v>
      </c>
    </row>
    <row r="12180" spans="1:9" x14ac:dyDescent="0.4">
      <c r="A12180" t="s">
        <v>73</v>
      </c>
      <c r="B12180" s="1">
        <v>45717</v>
      </c>
      <c r="C12180">
        <v>841330</v>
      </c>
      <c r="D12180" t="s">
        <v>176</v>
      </c>
      <c r="E12180">
        <v>4734237</v>
      </c>
      <c r="F12180">
        <v>135918</v>
      </c>
      <c r="G12180">
        <v>165419</v>
      </c>
      <c r="H12180">
        <f>_xlfn.XLOOKUP(FACT_IMPORTS[[#This Row],[hts_6]],DIM_PRODUCTS[hts_6],DIM_PRODUCTS[hts_4],,,)</f>
        <v>8413</v>
      </c>
      <c r="I12180" t="str" cm="1">
        <f t="array" ref="I12180">_xlfn.XLOOKUP(FACT_IMPORTS[[#This Row],[country_name]],DIM_COUNTRY[[#All],[Column2]],DIM_COUNTRY[[#All],[Column3]],,,)</f>
        <v>Major_Non-USMCA_Non-China</v>
      </c>
    </row>
    <row r="12181" spans="1:9" x14ac:dyDescent="0.4">
      <c r="A12181" t="s">
        <v>73</v>
      </c>
      <c r="B12181" s="1">
        <v>45717</v>
      </c>
      <c r="C12181">
        <v>842132</v>
      </c>
      <c r="D12181" t="s">
        <v>176</v>
      </c>
      <c r="E12181">
        <v>309111</v>
      </c>
      <c r="F12181">
        <v>172</v>
      </c>
      <c r="G12181">
        <v>321</v>
      </c>
      <c r="H12181">
        <f>_xlfn.XLOOKUP(FACT_IMPORTS[[#This Row],[hts_6]],DIM_PRODUCTS[hts_6],DIM_PRODUCTS[hts_4],,,)</f>
        <v>8421</v>
      </c>
      <c r="I12181" t="str" cm="1">
        <f t="array" ref="I12181">_xlfn.XLOOKUP(FACT_IMPORTS[[#This Row],[country_name]],DIM_COUNTRY[[#All],[Column2]],DIM_COUNTRY[[#All],[Column3]],,,)</f>
        <v>Major_Non-USMCA_Non-China</v>
      </c>
    </row>
    <row r="12182" spans="1:9" x14ac:dyDescent="0.4">
      <c r="A12182" t="s">
        <v>73</v>
      </c>
      <c r="B12182" s="1">
        <v>45717</v>
      </c>
      <c r="C12182">
        <v>848210</v>
      </c>
      <c r="D12182" t="s">
        <v>176</v>
      </c>
      <c r="E12182">
        <v>337019</v>
      </c>
      <c r="F12182">
        <v>71357</v>
      </c>
      <c r="G12182">
        <v>517</v>
      </c>
      <c r="H12182">
        <f>_xlfn.XLOOKUP(FACT_IMPORTS[[#This Row],[hts_6]],DIM_PRODUCTS[hts_6],DIM_PRODUCTS[hts_4],,,)</f>
        <v>8482</v>
      </c>
      <c r="I12182" t="str" cm="1">
        <f t="array" ref="I12182">_xlfn.XLOOKUP(FACT_IMPORTS[[#This Row],[country_name]],DIM_COUNTRY[[#All],[Column2]],DIM_COUNTRY[[#All],[Column3]],,,)</f>
        <v>Major_Non-USMCA_Non-China</v>
      </c>
    </row>
    <row r="12183" spans="1:9" x14ac:dyDescent="0.4">
      <c r="A12183" t="s">
        <v>73</v>
      </c>
      <c r="B12183" s="1">
        <v>45717</v>
      </c>
      <c r="C12183">
        <v>848220</v>
      </c>
      <c r="D12183" t="s">
        <v>176</v>
      </c>
      <c r="E12183">
        <v>4680553</v>
      </c>
      <c r="F12183">
        <v>1302495</v>
      </c>
      <c r="G12183">
        <v>339</v>
      </c>
      <c r="H12183">
        <f>_xlfn.XLOOKUP(FACT_IMPORTS[[#This Row],[hts_6]],DIM_PRODUCTS[hts_6],DIM_PRODUCTS[hts_4],,,)</f>
        <v>8482</v>
      </c>
      <c r="I12183" t="str" cm="1">
        <f t="array" ref="I12183">_xlfn.XLOOKUP(FACT_IMPORTS[[#This Row],[country_name]],DIM_COUNTRY[[#All],[Column2]],DIM_COUNTRY[[#All],[Column3]],,,)</f>
        <v>Major_Non-USMCA_Non-China</v>
      </c>
    </row>
    <row r="12184" spans="1:9" x14ac:dyDescent="0.4">
      <c r="A12184" t="s">
        <v>73</v>
      </c>
      <c r="B12184" s="1">
        <v>45717</v>
      </c>
      <c r="C12184">
        <v>848310</v>
      </c>
      <c r="D12184" t="s">
        <v>176</v>
      </c>
      <c r="E12184">
        <v>1486141</v>
      </c>
      <c r="F12184">
        <v>7270</v>
      </c>
      <c r="G12184">
        <v>12114</v>
      </c>
      <c r="H12184">
        <f>_xlfn.XLOOKUP(FACT_IMPORTS[[#This Row],[hts_6]],DIM_PRODUCTS[hts_6],DIM_PRODUCTS[hts_4],,,)</f>
        <v>8483</v>
      </c>
      <c r="I12184" t="str" cm="1">
        <f t="array" ref="I12184">_xlfn.XLOOKUP(FACT_IMPORTS[[#This Row],[country_name]],DIM_COUNTRY[[#All],[Column2]],DIM_COUNTRY[[#All],[Column3]],,,)</f>
        <v>Major_Non-USMCA_Non-China</v>
      </c>
    </row>
    <row r="12185" spans="1:9" x14ac:dyDescent="0.4">
      <c r="A12185" t="s">
        <v>73</v>
      </c>
      <c r="B12185" s="1">
        <v>45717</v>
      </c>
      <c r="C12185">
        <v>850131</v>
      </c>
      <c r="D12185" t="s">
        <v>176</v>
      </c>
      <c r="E12185">
        <v>1165744</v>
      </c>
      <c r="F12185">
        <v>124993</v>
      </c>
      <c r="G12185">
        <v>15009</v>
      </c>
      <c r="H12185">
        <f>_xlfn.XLOOKUP(FACT_IMPORTS[[#This Row],[hts_6]],DIM_PRODUCTS[hts_6],DIM_PRODUCTS[hts_4],,,)</f>
        <v>8501</v>
      </c>
      <c r="I12185" t="str" cm="1">
        <f t="array" ref="I12185">_xlfn.XLOOKUP(FACT_IMPORTS[[#This Row],[country_name]],DIM_COUNTRY[[#All],[Column2]],DIM_COUNTRY[[#All],[Column3]],,,)</f>
        <v>Major_Non-USMCA_Non-China</v>
      </c>
    </row>
    <row r="12186" spans="1:9" x14ac:dyDescent="0.4">
      <c r="A12186" t="s">
        <v>73</v>
      </c>
      <c r="B12186" s="1">
        <v>45717</v>
      </c>
      <c r="C12186">
        <v>850132</v>
      </c>
      <c r="D12186" t="s">
        <v>176</v>
      </c>
      <c r="E12186">
        <v>0</v>
      </c>
      <c r="F12186">
        <v>0</v>
      </c>
      <c r="G12186">
        <v>0</v>
      </c>
      <c r="H12186">
        <f>_xlfn.XLOOKUP(FACT_IMPORTS[[#This Row],[hts_6]],DIM_PRODUCTS[hts_6],DIM_PRODUCTS[hts_4],,,)</f>
        <v>8501</v>
      </c>
      <c r="I12186" t="str" cm="1">
        <f t="array" ref="I12186">_xlfn.XLOOKUP(FACT_IMPORTS[[#This Row],[country_name]],DIM_COUNTRY[[#All],[Column2]],DIM_COUNTRY[[#All],[Column3]],,,)</f>
        <v>Major_Non-USMCA_Non-China</v>
      </c>
    </row>
    <row r="12187" spans="1:9" x14ac:dyDescent="0.4">
      <c r="A12187" t="s">
        <v>73</v>
      </c>
      <c r="B12187" s="1">
        <v>45717</v>
      </c>
      <c r="C12187">
        <v>850152</v>
      </c>
      <c r="D12187" t="s">
        <v>176</v>
      </c>
      <c r="E12187">
        <v>0</v>
      </c>
      <c r="F12187">
        <v>0</v>
      </c>
      <c r="G12187">
        <v>0</v>
      </c>
      <c r="H12187">
        <f>_xlfn.XLOOKUP(FACT_IMPORTS[[#This Row],[hts_6]],DIM_PRODUCTS[hts_6],DIM_PRODUCTS[hts_4],,,)</f>
        <v>8501</v>
      </c>
      <c r="I12187" t="str" cm="1">
        <f t="array" ref="I12187">_xlfn.XLOOKUP(FACT_IMPORTS[[#This Row],[country_name]],DIM_COUNTRY[[#All],[Column2]],DIM_COUNTRY[[#All],[Column3]],,,)</f>
        <v>Major_Non-USMCA_Non-China</v>
      </c>
    </row>
    <row r="12188" spans="1:9" x14ac:dyDescent="0.4">
      <c r="A12188" t="s">
        <v>73</v>
      </c>
      <c r="B12188" s="1">
        <v>45717</v>
      </c>
      <c r="C12188">
        <v>850153</v>
      </c>
      <c r="D12188" t="s">
        <v>176</v>
      </c>
      <c r="E12188">
        <v>64427</v>
      </c>
      <c r="F12188">
        <v>36</v>
      </c>
      <c r="G12188">
        <v>112</v>
      </c>
      <c r="H12188">
        <f>_xlfn.XLOOKUP(FACT_IMPORTS[[#This Row],[hts_6]],DIM_PRODUCTS[hts_6],DIM_PRODUCTS[hts_4],,,)</f>
        <v>8501</v>
      </c>
      <c r="I12188" t="str" cm="1">
        <f t="array" ref="I12188">_xlfn.XLOOKUP(FACT_IMPORTS[[#This Row],[country_name]],DIM_COUNTRY[[#All],[Column2]],DIM_COUNTRY[[#All],[Column3]],,,)</f>
        <v>Major_Non-USMCA_Non-China</v>
      </c>
    </row>
    <row r="12189" spans="1:9" x14ac:dyDescent="0.4">
      <c r="A12189" t="s">
        <v>73</v>
      </c>
      <c r="B12189" s="1">
        <v>45717</v>
      </c>
      <c r="C12189">
        <v>850440</v>
      </c>
      <c r="D12189" t="s">
        <v>176</v>
      </c>
      <c r="E12189">
        <v>706899</v>
      </c>
      <c r="F12189">
        <v>660</v>
      </c>
      <c r="G12189">
        <v>3744</v>
      </c>
      <c r="H12189">
        <f>_xlfn.XLOOKUP(FACT_IMPORTS[[#This Row],[hts_6]],DIM_PRODUCTS[hts_6],DIM_PRODUCTS[hts_4],,,)</f>
        <v>8504</v>
      </c>
      <c r="I12189" t="str" cm="1">
        <f t="array" ref="I12189">_xlfn.XLOOKUP(FACT_IMPORTS[[#This Row],[country_name]],DIM_COUNTRY[[#All],[Column2]],DIM_COUNTRY[[#All],[Column3]],,,)</f>
        <v>Major_Non-USMCA_Non-China</v>
      </c>
    </row>
    <row r="12190" spans="1:9" x14ac:dyDescent="0.4">
      <c r="A12190" t="s">
        <v>73</v>
      </c>
      <c r="B12190" s="1">
        <v>45717</v>
      </c>
      <c r="C12190">
        <v>850710</v>
      </c>
      <c r="D12190" t="s">
        <v>176</v>
      </c>
      <c r="E12190">
        <v>884692</v>
      </c>
      <c r="F12190">
        <v>21316</v>
      </c>
      <c r="G12190">
        <v>21655</v>
      </c>
      <c r="H12190">
        <f>_xlfn.XLOOKUP(FACT_IMPORTS[[#This Row],[hts_6]],DIM_PRODUCTS[hts_6],DIM_PRODUCTS[hts_4],,,)</f>
        <v>8507</v>
      </c>
      <c r="I12190" t="str" cm="1">
        <f t="array" ref="I12190">_xlfn.XLOOKUP(FACT_IMPORTS[[#This Row],[country_name]],DIM_COUNTRY[[#All],[Column2]],DIM_COUNTRY[[#All],[Column3]],,,)</f>
        <v>Major_Non-USMCA_Non-China</v>
      </c>
    </row>
    <row r="12191" spans="1:9" x14ac:dyDescent="0.4">
      <c r="A12191" t="s">
        <v>73</v>
      </c>
      <c r="B12191" s="1">
        <v>45717</v>
      </c>
      <c r="C12191">
        <v>850760</v>
      </c>
      <c r="D12191" t="s">
        <v>176</v>
      </c>
      <c r="E12191">
        <v>131630</v>
      </c>
      <c r="F12191">
        <v>143</v>
      </c>
      <c r="G12191">
        <v>1053</v>
      </c>
      <c r="H12191">
        <f>_xlfn.XLOOKUP(FACT_IMPORTS[[#This Row],[hts_6]],DIM_PRODUCTS[hts_6],DIM_PRODUCTS[hts_4],,,)</f>
        <v>8507</v>
      </c>
      <c r="I12191" t="str" cm="1">
        <f t="array" ref="I12191">_xlfn.XLOOKUP(FACT_IMPORTS[[#This Row],[country_name]],DIM_COUNTRY[[#All],[Column2]],DIM_COUNTRY[[#All],[Column3]],,,)</f>
        <v>Major_Non-USMCA_Non-China</v>
      </c>
    </row>
    <row r="12192" spans="1:9" x14ac:dyDescent="0.4">
      <c r="A12192" t="s">
        <v>73</v>
      </c>
      <c r="B12192" s="1">
        <v>45717</v>
      </c>
      <c r="C12192">
        <v>850790</v>
      </c>
      <c r="D12192" t="s">
        <v>176</v>
      </c>
      <c r="E12192">
        <v>0</v>
      </c>
      <c r="F12192">
        <v>0</v>
      </c>
      <c r="G12192">
        <v>0</v>
      </c>
      <c r="H12192">
        <f>_xlfn.XLOOKUP(FACT_IMPORTS[[#This Row],[hts_6]],DIM_PRODUCTS[hts_6],DIM_PRODUCTS[hts_4],,,)</f>
        <v>8507</v>
      </c>
      <c r="I12192" t="str" cm="1">
        <f t="array" ref="I12192">_xlfn.XLOOKUP(FACT_IMPORTS[[#This Row],[country_name]],DIM_COUNTRY[[#All],[Column2]],DIM_COUNTRY[[#All],[Column3]],,,)</f>
        <v>Major_Non-USMCA_Non-China</v>
      </c>
    </row>
    <row r="12193" spans="1:9" x14ac:dyDescent="0.4">
      <c r="A12193" t="s">
        <v>73</v>
      </c>
      <c r="B12193" s="1">
        <v>45717</v>
      </c>
      <c r="C12193">
        <v>851110</v>
      </c>
      <c r="D12193" t="s">
        <v>176</v>
      </c>
      <c r="E12193">
        <v>0</v>
      </c>
      <c r="F12193">
        <v>0</v>
      </c>
      <c r="G12193">
        <v>0</v>
      </c>
      <c r="H12193">
        <f>_xlfn.XLOOKUP(FACT_IMPORTS[[#This Row],[hts_6]],DIM_PRODUCTS[hts_6],DIM_PRODUCTS[hts_4],,,)</f>
        <v>8511</v>
      </c>
      <c r="I12193" t="str" cm="1">
        <f t="array" ref="I12193">_xlfn.XLOOKUP(FACT_IMPORTS[[#This Row],[country_name]],DIM_COUNTRY[[#All],[Column2]],DIM_COUNTRY[[#All],[Column3]],,,)</f>
        <v>Major_Non-USMCA_Non-China</v>
      </c>
    </row>
    <row r="12194" spans="1:9" x14ac:dyDescent="0.4">
      <c r="A12194" t="s">
        <v>73</v>
      </c>
      <c r="B12194" s="1">
        <v>45717</v>
      </c>
      <c r="C12194">
        <v>851130</v>
      </c>
      <c r="D12194" t="s">
        <v>176</v>
      </c>
      <c r="E12194">
        <v>39667</v>
      </c>
      <c r="F12194">
        <v>918</v>
      </c>
      <c r="G12194">
        <v>34</v>
      </c>
      <c r="H12194">
        <f>_xlfn.XLOOKUP(FACT_IMPORTS[[#This Row],[hts_6]],DIM_PRODUCTS[hts_6],DIM_PRODUCTS[hts_4],,,)</f>
        <v>8511</v>
      </c>
      <c r="I12194" t="str" cm="1">
        <f t="array" ref="I12194">_xlfn.XLOOKUP(FACT_IMPORTS[[#This Row],[country_name]],DIM_COUNTRY[[#All],[Column2]],DIM_COUNTRY[[#All],[Column3]],,,)</f>
        <v>Major_Non-USMCA_Non-China</v>
      </c>
    </row>
    <row r="12195" spans="1:9" x14ac:dyDescent="0.4">
      <c r="A12195" t="s">
        <v>73</v>
      </c>
      <c r="B12195" s="1">
        <v>45717</v>
      </c>
      <c r="C12195">
        <v>851140</v>
      </c>
      <c r="D12195" t="s">
        <v>176</v>
      </c>
      <c r="E12195">
        <v>31224</v>
      </c>
      <c r="F12195">
        <v>341</v>
      </c>
      <c r="G12195">
        <v>26</v>
      </c>
      <c r="H12195">
        <f>_xlfn.XLOOKUP(FACT_IMPORTS[[#This Row],[hts_6]],DIM_PRODUCTS[hts_6],DIM_PRODUCTS[hts_4],,,)</f>
        <v>8511</v>
      </c>
      <c r="I12195" t="str" cm="1">
        <f t="array" ref="I12195">_xlfn.XLOOKUP(FACT_IMPORTS[[#This Row],[country_name]],DIM_COUNTRY[[#All],[Column2]],DIM_COUNTRY[[#All],[Column3]],,,)</f>
        <v>Major_Non-USMCA_Non-China</v>
      </c>
    </row>
    <row r="12196" spans="1:9" x14ac:dyDescent="0.4">
      <c r="A12196" t="s">
        <v>73</v>
      </c>
      <c r="B12196" s="1">
        <v>45717</v>
      </c>
      <c r="C12196">
        <v>851150</v>
      </c>
      <c r="D12196" t="s">
        <v>176</v>
      </c>
      <c r="E12196">
        <v>85748</v>
      </c>
      <c r="F12196">
        <v>715</v>
      </c>
      <c r="G12196">
        <v>57</v>
      </c>
      <c r="H12196">
        <f>_xlfn.XLOOKUP(FACT_IMPORTS[[#This Row],[hts_6]],DIM_PRODUCTS[hts_6],DIM_PRODUCTS[hts_4],,,)</f>
        <v>8511</v>
      </c>
      <c r="I12196" t="str" cm="1">
        <f t="array" ref="I12196">_xlfn.XLOOKUP(FACT_IMPORTS[[#This Row],[country_name]],DIM_COUNTRY[[#All],[Column2]],DIM_COUNTRY[[#All],[Column3]],,,)</f>
        <v>Major_Non-USMCA_Non-China</v>
      </c>
    </row>
    <row r="12197" spans="1:9" x14ac:dyDescent="0.4">
      <c r="A12197" t="s">
        <v>73</v>
      </c>
      <c r="B12197" s="1">
        <v>45717</v>
      </c>
      <c r="C12197">
        <v>851190</v>
      </c>
      <c r="D12197" t="s">
        <v>176</v>
      </c>
      <c r="E12197">
        <v>110287</v>
      </c>
      <c r="F12197">
        <v>12135</v>
      </c>
      <c r="G12197">
        <v>4342</v>
      </c>
      <c r="H12197">
        <f>_xlfn.XLOOKUP(FACT_IMPORTS[[#This Row],[hts_6]],DIM_PRODUCTS[hts_6],DIM_PRODUCTS[hts_4],,,)</f>
        <v>8511</v>
      </c>
      <c r="I12197" t="str" cm="1">
        <f t="array" ref="I12197">_xlfn.XLOOKUP(FACT_IMPORTS[[#This Row],[country_name]],DIM_COUNTRY[[#All],[Column2]],DIM_COUNTRY[[#All],[Column3]],,,)</f>
        <v>Major_Non-USMCA_Non-China</v>
      </c>
    </row>
    <row r="12198" spans="1:9" x14ac:dyDescent="0.4">
      <c r="A12198" t="s">
        <v>73</v>
      </c>
      <c r="B12198" s="1">
        <v>45717</v>
      </c>
      <c r="C12198">
        <v>851220</v>
      </c>
      <c r="D12198" t="s">
        <v>176</v>
      </c>
      <c r="E12198">
        <v>11898007</v>
      </c>
      <c r="F12198">
        <v>1206825</v>
      </c>
      <c r="G12198">
        <v>217042</v>
      </c>
      <c r="H12198">
        <f>_xlfn.XLOOKUP(FACT_IMPORTS[[#This Row],[hts_6]],DIM_PRODUCTS[hts_6],DIM_PRODUCTS[hts_4],,,)</f>
        <v>8512</v>
      </c>
      <c r="I12198" t="str" cm="1">
        <f t="array" ref="I12198">_xlfn.XLOOKUP(FACT_IMPORTS[[#This Row],[country_name]],DIM_COUNTRY[[#All],[Column2]],DIM_COUNTRY[[#All],[Column3]],,,)</f>
        <v>Major_Non-USMCA_Non-China</v>
      </c>
    </row>
    <row r="12199" spans="1:9" x14ac:dyDescent="0.4">
      <c r="A12199" t="s">
        <v>73</v>
      </c>
      <c r="B12199" s="1">
        <v>45717</v>
      </c>
      <c r="C12199">
        <v>851230</v>
      </c>
      <c r="D12199" t="s">
        <v>176</v>
      </c>
      <c r="E12199">
        <v>0</v>
      </c>
      <c r="F12199">
        <v>0</v>
      </c>
      <c r="G12199">
        <v>0</v>
      </c>
      <c r="H12199">
        <f>_xlfn.XLOOKUP(FACT_IMPORTS[[#This Row],[hts_6]],DIM_PRODUCTS[hts_6],DIM_PRODUCTS[hts_4],,,)</f>
        <v>8512</v>
      </c>
      <c r="I12199" t="str" cm="1">
        <f t="array" ref="I12199">_xlfn.XLOOKUP(FACT_IMPORTS[[#This Row],[country_name]],DIM_COUNTRY[[#All],[Column2]],DIM_COUNTRY[[#All],[Column3]],,,)</f>
        <v>Major_Non-USMCA_Non-China</v>
      </c>
    </row>
    <row r="12200" spans="1:9" x14ac:dyDescent="0.4">
      <c r="A12200" t="s">
        <v>73</v>
      </c>
      <c r="B12200" s="1">
        <v>45717</v>
      </c>
      <c r="C12200">
        <v>851240</v>
      </c>
      <c r="D12200" t="s">
        <v>176</v>
      </c>
      <c r="E12200">
        <v>267722</v>
      </c>
      <c r="F12200">
        <v>11996</v>
      </c>
      <c r="G12200">
        <v>9378</v>
      </c>
      <c r="H12200">
        <f>_xlfn.XLOOKUP(FACT_IMPORTS[[#This Row],[hts_6]],DIM_PRODUCTS[hts_6],DIM_PRODUCTS[hts_4],,,)</f>
        <v>8512</v>
      </c>
      <c r="I12200" t="str" cm="1">
        <f t="array" ref="I12200">_xlfn.XLOOKUP(FACT_IMPORTS[[#This Row],[country_name]],DIM_COUNTRY[[#All],[Column2]],DIM_COUNTRY[[#All],[Column3]],,,)</f>
        <v>Major_Non-USMCA_Non-China</v>
      </c>
    </row>
    <row r="12201" spans="1:9" x14ac:dyDescent="0.4">
      <c r="A12201" t="s">
        <v>73</v>
      </c>
      <c r="B12201" s="1">
        <v>45717</v>
      </c>
      <c r="C12201">
        <v>851290</v>
      </c>
      <c r="D12201" t="s">
        <v>176</v>
      </c>
      <c r="E12201">
        <v>805087</v>
      </c>
      <c r="F12201">
        <v>40070</v>
      </c>
      <c r="G12201">
        <v>22692</v>
      </c>
      <c r="H12201">
        <f>_xlfn.XLOOKUP(FACT_IMPORTS[[#This Row],[hts_6]],DIM_PRODUCTS[hts_6],DIM_PRODUCTS[hts_4],,,)</f>
        <v>8512</v>
      </c>
      <c r="I12201" t="str" cm="1">
        <f t="array" ref="I12201">_xlfn.XLOOKUP(FACT_IMPORTS[[#This Row],[country_name]],DIM_COUNTRY[[#All],[Column2]],DIM_COUNTRY[[#All],[Column3]],,,)</f>
        <v>Major_Non-USMCA_Non-China</v>
      </c>
    </row>
    <row r="12202" spans="1:9" x14ac:dyDescent="0.4">
      <c r="A12202" t="s">
        <v>73</v>
      </c>
      <c r="B12202" s="1">
        <v>45717</v>
      </c>
      <c r="C12202">
        <v>854231</v>
      </c>
      <c r="D12202" t="s">
        <v>176</v>
      </c>
      <c r="E12202">
        <v>0</v>
      </c>
      <c r="F12202">
        <v>0</v>
      </c>
      <c r="G12202">
        <v>0</v>
      </c>
      <c r="H12202">
        <f>_xlfn.XLOOKUP(FACT_IMPORTS[[#This Row],[hts_6]],DIM_PRODUCTS[hts_6],DIM_PRODUCTS[hts_4],,,)</f>
        <v>8542</v>
      </c>
      <c r="I12202" t="str" cm="1">
        <f t="array" ref="I12202">_xlfn.XLOOKUP(FACT_IMPORTS[[#This Row],[country_name]],DIM_COUNTRY[[#All],[Column2]],DIM_COUNTRY[[#All],[Column3]],,,)</f>
        <v>Major_Non-USMCA_Non-China</v>
      </c>
    </row>
    <row r="12203" spans="1:9" x14ac:dyDescent="0.4">
      <c r="A12203" t="s">
        <v>73</v>
      </c>
      <c r="B12203" s="1">
        <v>45717</v>
      </c>
      <c r="C12203">
        <v>854232</v>
      </c>
      <c r="D12203" t="s">
        <v>176</v>
      </c>
      <c r="E12203">
        <v>0</v>
      </c>
      <c r="F12203">
        <v>0</v>
      </c>
      <c r="G12203">
        <v>0</v>
      </c>
      <c r="H12203">
        <f>_xlfn.XLOOKUP(FACT_IMPORTS[[#This Row],[hts_6]],DIM_PRODUCTS[hts_6],DIM_PRODUCTS[hts_4],,,)</f>
        <v>8542</v>
      </c>
      <c r="I12203" t="str" cm="1">
        <f t="array" ref="I12203">_xlfn.XLOOKUP(FACT_IMPORTS[[#This Row],[country_name]],DIM_COUNTRY[[#All],[Column2]],DIM_COUNTRY[[#All],[Column3]],,,)</f>
        <v>Major_Non-USMCA_Non-China</v>
      </c>
    </row>
    <row r="12204" spans="1:9" x14ac:dyDescent="0.4">
      <c r="A12204" t="s">
        <v>73</v>
      </c>
      <c r="B12204" s="1">
        <v>45717</v>
      </c>
      <c r="C12204">
        <v>854239</v>
      </c>
      <c r="D12204" t="s">
        <v>176</v>
      </c>
      <c r="E12204">
        <v>6600</v>
      </c>
      <c r="F12204">
        <v>3000</v>
      </c>
      <c r="G12204">
        <v>660</v>
      </c>
      <c r="H12204">
        <f>_xlfn.XLOOKUP(FACT_IMPORTS[[#This Row],[hts_6]],DIM_PRODUCTS[hts_6],DIM_PRODUCTS[hts_4],,,)</f>
        <v>8542</v>
      </c>
      <c r="I12204" t="str" cm="1">
        <f t="array" ref="I12204">_xlfn.XLOOKUP(FACT_IMPORTS[[#This Row],[country_name]],DIM_COUNTRY[[#All],[Column2]],DIM_COUNTRY[[#All],[Column3]],,,)</f>
        <v>Major_Non-USMCA_Non-China</v>
      </c>
    </row>
    <row r="12205" spans="1:9" x14ac:dyDescent="0.4">
      <c r="A12205" t="s">
        <v>73</v>
      </c>
      <c r="B12205" s="1">
        <v>45717</v>
      </c>
      <c r="C12205">
        <v>854430</v>
      </c>
      <c r="D12205" t="s">
        <v>176</v>
      </c>
      <c r="E12205">
        <v>98375</v>
      </c>
      <c r="F12205">
        <v>1165</v>
      </c>
      <c r="G12205">
        <v>139</v>
      </c>
      <c r="H12205">
        <f>_xlfn.XLOOKUP(FACT_IMPORTS[[#This Row],[hts_6]],DIM_PRODUCTS[hts_6],DIM_PRODUCTS[hts_4],,,)</f>
        <v>8544</v>
      </c>
      <c r="I12205" t="str" cm="1">
        <f t="array" ref="I12205">_xlfn.XLOOKUP(FACT_IMPORTS[[#This Row],[country_name]],DIM_COUNTRY[[#All],[Column2]],DIM_COUNTRY[[#All],[Column3]],,,)</f>
        <v>Major_Non-USMCA_Non-China</v>
      </c>
    </row>
    <row r="12206" spans="1:9" x14ac:dyDescent="0.4">
      <c r="A12206" t="s">
        <v>73</v>
      </c>
      <c r="B12206" s="1">
        <v>45717</v>
      </c>
      <c r="C12206">
        <v>870810</v>
      </c>
      <c r="D12206" t="s">
        <v>176</v>
      </c>
      <c r="E12206">
        <v>2717344</v>
      </c>
      <c r="F12206">
        <v>118996</v>
      </c>
      <c r="G12206">
        <v>11589</v>
      </c>
      <c r="H12206">
        <f>_xlfn.XLOOKUP(FACT_IMPORTS[[#This Row],[hts_6]],DIM_PRODUCTS[hts_6],DIM_PRODUCTS[hts_4],,,)</f>
        <v>8708</v>
      </c>
      <c r="I12206" t="str" cm="1">
        <f t="array" ref="I12206">_xlfn.XLOOKUP(FACT_IMPORTS[[#This Row],[country_name]],DIM_COUNTRY[[#All],[Column2]],DIM_COUNTRY[[#All],[Column3]],,,)</f>
        <v>Major_Non-USMCA_Non-China</v>
      </c>
    </row>
    <row r="12207" spans="1:9" x14ac:dyDescent="0.4">
      <c r="A12207" t="s">
        <v>73</v>
      </c>
      <c r="B12207" s="1">
        <v>45717</v>
      </c>
      <c r="C12207">
        <v>870822</v>
      </c>
      <c r="D12207" t="s">
        <v>176</v>
      </c>
      <c r="E12207">
        <v>79868</v>
      </c>
      <c r="F12207">
        <v>449</v>
      </c>
      <c r="G12207">
        <v>56</v>
      </c>
      <c r="H12207">
        <f>_xlfn.XLOOKUP(FACT_IMPORTS[[#This Row],[hts_6]],DIM_PRODUCTS[hts_6],DIM_PRODUCTS[hts_4],,,)</f>
        <v>8708</v>
      </c>
      <c r="I12207" t="str" cm="1">
        <f t="array" ref="I12207">_xlfn.XLOOKUP(FACT_IMPORTS[[#This Row],[country_name]],DIM_COUNTRY[[#All],[Column2]],DIM_COUNTRY[[#All],[Column3]],,,)</f>
        <v>Major_Non-USMCA_Non-China</v>
      </c>
    </row>
    <row r="12208" spans="1:9" x14ac:dyDescent="0.4">
      <c r="A12208" t="s">
        <v>73</v>
      </c>
      <c r="B12208" s="1">
        <v>45717</v>
      </c>
      <c r="C12208">
        <v>870829</v>
      </c>
      <c r="D12208" t="s">
        <v>176</v>
      </c>
      <c r="E12208">
        <v>9898167</v>
      </c>
      <c r="F12208">
        <v>3794353</v>
      </c>
      <c r="G12208">
        <v>125639</v>
      </c>
      <c r="H12208">
        <f>_xlfn.XLOOKUP(FACT_IMPORTS[[#This Row],[hts_6]],DIM_PRODUCTS[hts_6],DIM_PRODUCTS[hts_4],,,)</f>
        <v>8708</v>
      </c>
      <c r="I12208" t="str" cm="1">
        <f t="array" ref="I12208">_xlfn.XLOOKUP(FACT_IMPORTS[[#This Row],[country_name]],DIM_COUNTRY[[#All],[Column2]],DIM_COUNTRY[[#All],[Column3]],,,)</f>
        <v>Major_Non-USMCA_Non-China</v>
      </c>
    </row>
    <row r="12209" spans="1:9" x14ac:dyDescent="0.4">
      <c r="A12209" t="s">
        <v>73</v>
      </c>
      <c r="B12209" s="1">
        <v>45717</v>
      </c>
      <c r="C12209">
        <v>870830</v>
      </c>
      <c r="D12209" t="s">
        <v>176</v>
      </c>
      <c r="E12209">
        <v>480107</v>
      </c>
      <c r="F12209">
        <v>128774</v>
      </c>
      <c r="G12209">
        <v>13813</v>
      </c>
      <c r="H12209">
        <f>_xlfn.XLOOKUP(FACT_IMPORTS[[#This Row],[hts_6]],DIM_PRODUCTS[hts_6],DIM_PRODUCTS[hts_4],,,)</f>
        <v>8708</v>
      </c>
      <c r="I12209" t="str" cm="1">
        <f t="array" ref="I12209">_xlfn.XLOOKUP(FACT_IMPORTS[[#This Row],[country_name]],DIM_COUNTRY[[#All],[Column2]],DIM_COUNTRY[[#All],[Column3]],,,)</f>
        <v>Major_Non-USMCA_Non-China</v>
      </c>
    </row>
    <row r="12210" spans="1:9" x14ac:dyDescent="0.4">
      <c r="A12210" t="s">
        <v>73</v>
      </c>
      <c r="B12210" s="1">
        <v>45717</v>
      </c>
      <c r="C12210">
        <v>870840</v>
      </c>
      <c r="D12210" t="s">
        <v>176</v>
      </c>
      <c r="E12210">
        <v>2722200</v>
      </c>
      <c r="F12210">
        <v>338723</v>
      </c>
      <c r="G12210">
        <v>36133</v>
      </c>
      <c r="H12210">
        <f>_xlfn.XLOOKUP(FACT_IMPORTS[[#This Row],[hts_6]],DIM_PRODUCTS[hts_6],DIM_PRODUCTS[hts_4],,,)</f>
        <v>8708</v>
      </c>
      <c r="I12210" t="str" cm="1">
        <f t="array" ref="I12210">_xlfn.XLOOKUP(FACT_IMPORTS[[#This Row],[country_name]],DIM_COUNTRY[[#All],[Column2]],DIM_COUNTRY[[#All],[Column3]],,,)</f>
        <v>Major_Non-USMCA_Non-China</v>
      </c>
    </row>
    <row r="12211" spans="1:9" x14ac:dyDescent="0.4">
      <c r="A12211" t="s">
        <v>73</v>
      </c>
      <c r="B12211" s="1">
        <v>45717</v>
      </c>
      <c r="C12211">
        <v>870850</v>
      </c>
      <c r="D12211" t="s">
        <v>176</v>
      </c>
      <c r="E12211">
        <v>18559393</v>
      </c>
      <c r="F12211">
        <v>1181926</v>
      </c>
      <c r="G12211">
        <v>358283</v>
      </c>
      <c r="H12211">
        <f>_xlfn.XLOOKUP(FACT_IMPORTS[[#This Row],[hts_6]],DIM_PRODUCTS[hts_6],DIM_PRODUCTS[hts_4],,,)</f>
        <v>8708</v>
      </c>
      <c r="I12211" t="str" cm="1">
        <f t="array" ref="I12211">_xlfn.XLOOKUP(FACT_IMPORTS[[#This Row],[country_name]],DIM_COUNTRY[[#All],[Column2]],DIM_COUNTRY[[#All],[Column3]],,,)</f>
        <v>Major_Non-USMCA_Non-China</v>
      </c>
    </row>
    <row r="12212" spans="1:9" x14ac:dyDescent="0.4">
      <c r="A12212" t="s">
        <v>73</v>
      </c>
      <c r="B12212" s="1">
        <v>45717</v>
      </c>
      <c r="C12212">
        <v>870870</v>
      </c>
      <c r="D12212" t="s">
        <v>176</v>
      </c>
      <c r="E12212">
        <v>1521452</v>
      </c>
      <c r="F12212">
        <v>17467</v>
      </c>
      <c r="G12212">
        <v>59316</v>
      </c>
      <c r="H12212">
        <f>_xlfn.XLOOKUP(FACT_IMPORTS[[#This Row],[hts_6]],DIM_PRODUCTS[hts_6],DIM_PRODUCTS[hts_4],,,)</f>
        <v>8708</v>
      </c>
      <c r="I12212" t="str" cm="1">
        <f t="array" ref="I12212">_xlfn.XLOOKUP(FACT_IMPORTS[[#This Row],[country_name]],DIM_COUNTRY[[#All],[Column2]],DIM_COUNTRY[[#All],[Column3]],,,)</f>
        <v>Major_Non-USMCA_Non-China</v>
      </c>
    </row>
    <row r="12213" spans="1:9" x14ac:dyDescent="0.4">
      <c r="A12213" t="s">
        <v>73</v>
      </c>
      <c r="B12213" s="1">
        <v>45717</v>
      </c>
      <c r="C12213">
        <v>870880</v>
      </c>
      <c r="D12213" t="s">
        <v>176</v>
      </c>
      <c r="E12213">
        <v>2250451</v>
      </c>
      <c r="F12213">
        <v>641057</v>
      </c>
      <c r="G12213">
        <v>65640</v>
      </c>
      <c r="H12213">
        <f>_xlfn.XLOOKUP(FACT_IMPORTS[[#This Row],[hts_6]],DIM_PRODUCTS[hts_6],DIM_PRODUCTS[hts_4],,,)</f>
        <v>8708</v>
      </c>
      <c r="I12213" t="str" cm="1">
        <f t="array" ref="I12213">_xlfn.XLOOKUP(FACT_IMPORTS[[#This Row],[country_name]],DIM_COUNTRY[[#All],[Column2]],DIM_COUNTRY[[#All],[Column3]],,,)</f>
        <v>Major_Non-USMCA_Non-China</v>
      </c>
    </row>
    <row r="12214" spans="1:9" x14ac:dyDescent="0.4">
      <c r="A12214" t="s">
        <v>73</v>
      </c>
      <c r="B12214" s="1">
        <v>45717</v>
      </c>
      <c r="C12214">
        <v>870891</v>
      </c>
      <c r="D12214" t="s">
        <v>176</v>
      </c>
      <c r="E12214">
        <v>308613</v>
      </c>
      <c r="F12214">
        <v>1582</v>
      </c>
      <c r="G12214">
        <v>634</v>
      </c>
      <c r="H12214">
        <f>_xlfn.XLOOKUP(FACT_IMPORTS[[#This Row],[hts_6]],DIM_PRODUCTS[hts_6],DIM_PRODUCTS[hts_4],,,)</f>
        <v>8708</v>
      </c>
      <c r="I12214" t="str" cm="1">
        <f t="array" ref="I12214">_xlfn.XLOOKUP(FACT_IMPORTS[[#This Row],[country_name]],DIM_COUNTRY[[#All],[Column2]],DIM_COUNTRY[[#All],[Column3]],,,)</f>
        <v>Major_Non-USMCA_Non-China</v>
      </c>
    </row>
    <row r="12215" spans="1:9" x14ac:dyDescent="0.4">
      <c r="A12215" t="s">
        <v>73</v>
      </c>
      <c r="B12215" s="1">
        <v>45717</v>
      </c>
      <c r="C12215">
        <v>870892</v>
      </c>
      <c r="D12215" t="s">
        <v>176</v>
      </c>
      <c r="E12215">
        <v>220044</v>
      </c>
      <c r="F12215">
        <v>817</v>
      </c>
      <c r="G12215">
        <v>336</v>
      </c>
      <c r="H12215">
        <f>_xlfn.XLOOKUP(FACT_IMPORTS[[#This Row],[hts_6]],DIM_PRODUCTS[hts_6],DIM_PRODUCTS[hts_4],,,)</f>
        <v>8708</v>
      </c>
      <c r="I12215" t="str" cm="1">
        <f t="array" ref="I12215">_xlfn.XLOOKUP(FACT_IMPORTS[[#This Row],[country_name]],DIM_COUNTRY[[#All],[Column2]],DIM_COUNTRY[[#All],[Column3]],,,)</f>
        <v>Major_Non-USMCA_Non-China</v>
      </c>
    </row>
    <row r="12216" spans="1:9" x14ac:dyDescent="0.4">
      <c r="A12216" t="s">
        <v>73</v>
      </c>
      <c r="B12216" s="1">
        <v>45717</v>
      </c>
      <c r="C12216">
        <v>870893</v>
      </c>
      <c r="D12216" t="s">
        <v>176</v>
      </c>
      <c r="E12216">
        <v>898909</v>
      </c>
      <c r="F12216">
        <v>60990</v>
      </c>
      <c r="G12216">
        <v>13348</v>
      </c>
      <c r="H12216">
        <f>_xlfn.XLOOKUP(FACT_IMPORTS[[#This Row],[hts_6]],DIM_PRODUCTS[hts_6],DIM_PRODUCTS[hts_4],,,)</f>
        <v>8708</v>
      </c>
      <c r="I12216" t="str" cm="1">
        <f t="array" ref="I12216">_xlfn.XLOOKUP(FACT_IMPORTS[[#This Row],[country_name]],DIM_COUNTRY[[#All],[Column2]],DIM_COUNTRY[[#All],[Column3]],,,)</f>
        <v>Major_Non-USMCA_Non-China</v>
      </c>
    </row>
    <row r="12217" spans="1:9" x14ac:dyDescent="0.4">
      <c r="A12217" t="s">
        <v>73</v>
      </c>
      <c r="B12217" s="1">
        <v>45717</v>
      </c>
      <c r="C12217">
        <v>870894</v>
      </c>
      <c r="D12217" t="s">
        <v>176</v>
      </c>
      <c r="E12217">
        <v>1868062</v>
      </c>
      <c r="F12217">
        <v>143145</v>
      </c>
      <c r="G12217">
        <v>8368</v>
      </c>
      <c r="H12217">
        <f>_xlfn.XLOOKUP(FACT_IMPORTS[[#This Row],[hts_6]],DIM_PRODUCTS[hts_6],DIM_PRODUCTS[hts_4],,,)</f>
        <v>8708</v>
      </c>
      <c r="I12217" t="str" cm="1">
        <f t="array" ref="I12217">_xlfn.XLOOKUP(FACT_IMPORTS[[#This Row],[country_name]],DIM_COUNTRY[[#All],[Column2]],DIM_COUNTRY[[#All],[Column3]],,,)</f>
        <v>Major_Non-USMCA_Non-China</v>
      </c>
    </row>
    <row r="12218" spans="1:9" x14ac:dyDescent="0.4">
      <c r="A12218" t="s">
        <v>73</v>
      </c>
      <c r="B12218" s="1">
        <v>45717</v>
      </c>
      <c r="C12218">
        <v>870895</v>
      </c>
      <c r="D12218" t="s">
        <v>176</v>
      </c>
      <c r="E12218">
        <v>27715</v>
      </c>
      <c r="F12218">
        <v>210</v>
      </c>
      <c r="G12218">
        <v>16</v>
      </c>
      <c r="H12218">
        <f>_xlfn.XLOOKUP(FACT_IMPORTS[[#This Row],[hts_6]],DIM_PRODUCTS[hts_6],DIM_PRODUCTS[hts_4],,,)</f>
        <v>8708</v>
      </c>
      <c r="I12218" t="str" cm="1">
        <f t="array" ref="I12218">_xlfn.XLOOKUP(FACT_IMPORTS[[#This Row],[country_name]],DIM_COUNTRY[[#All],[Column2]],DIM_COUNTRY[[#All],[Column3]],,,)</f>
        <v>Major_Non-USMCA_Non-China</v>
      </c>
    </row>
    <row r="12219" spans="1:9" x14ac:dyDescent="0.4">
      <c r="A12219" t="s">
        <v>73</v>
      </c>
      <c r="B12219" s="1">
        <v>45717</v>
      </c>
      <c r="C12219">
        <v>870899</v>
      </c>
      <c r="D12219" t="s">
        <v>176</v>
      </c>
      <c r="E12219">
        <v>19373882</v>
      </c>
      <c r="F12219">
        <v>4249514</v>
      </c>
      <c r="G12219">
        <v>572987</v>
      </c>
      <c r="H12219">
        <f>_xlfn.XLOOKUP(FACT_IMPORTS[[#This Row],[hts_6]],DIM_PRODUCTS[hts_6],DIM_PRODUCTS[hts_4],,,)</f>
        <v>8708</v>
      </c>
      <c r="I12219" t="str" cm="1">
        <f t="array" ref="I12219">_xlfn.XLOOKUP(FACT_IMPORTS[[#This Row],[country_name]],DIM_COUNTRY[[#All],[Column2]],DIM_COUNTRY[[#All],[Column3]],,,)</f>
        <v>Major_Non-USMCA_Non-China</v>
      </c>
    </row>
    <row r="12220" spans="1:9" x14ac:dyDescent="0.4">
      <c r="A12220" t="s">
        <v>73</v>
      </c>
      <c r="B12220" s="1">
        <v>45748</v>
      </c>
      <c r="C12220">
        <v>392630</v>
      </c>
      <c r="D12220" t="s">
        <v>176</v>
      </c>
      <c r="E12220">
        <v>916235</v>
      </c>
      <c r="F12220">
        <v>52811</v>
      </c>
      <c r="G12220">
        <v>56861</v>
      </c>
      <c r="H12220">
        <f>_xlfn.XLOOKUP(FACT_IMPORTS[[#This Row],[hts_6]],DIM_PRODUCTS[hts_6],DIM_PRODUCTS[hts_4],,,)</f>
        <v>3926</v>
      </c>
      <c r="I12220" t="str" cm="1">
        <f t="array" ref="I12220">_xlfn.XLOOKUP(FACT_IMPORTS[[#This Row],[country_name]],DIM_COUNTRY[[#All],[Column2]],DIM_COUNTRY[[#All],[Column3]],,,)</f>
        <v>Major_Non-USMCA_Non-China</v>
      </c>
    </row>
    <row r="12221" spans="1:9" x14ac:dyDescent="0.4">
      <c r="A12221" t="s">
        <v>73</v>
      </c>
      <c r="B12221" s="1">
        <v>45748</v>
      </c>
      <c r="C12221">
        <v>401110</v>
      </c>
      <c r="D12221" t="s">
        <v>176</v>
      </c>
      <c r="E12221">
        <v>4647953</v>
      </c>
      <c r="F12221">
        <v>70987</v>
      </c>
      <c r="G12221">
        <v>748861</v>
      </c>
      <c r="H12221">
        <f>_xlfn.XLOOKUP(FACT_IMPORTS[[#This Row],[hts_6]],DIM_PRODUCTS[hts_6],DIM_PRODUCTS[hts_4],,,)</f>
        <v>4011</v>
      </c>
      <c r="I12221" t="str" cm="1">
        <f t="array" ref="I12221">_xlfn.XLOOKUP(FACT_IMPORTS[[#This Row],[country_name]],DIM_COUNTRY[[#All],[Column2]],DIM_COUNTRY[[#All],[Column3]],,,)</f>
        <v>Major_Non-USMCA_Non-China</v>
      </c>
    </row>
    <row r="12222" spans="1:9" x14ac:dyDescent="0.4">
      <c r="A12222" t="s">
        <v>73</v>
      </c>
      <c r="B12222" s="1">
        <v>45748</v>
      </c>
      <c r="C12222">
        <v>401120</v>
      </c>
      <c r="D12222" t="s">
        <v>176</v>
      </c>
      <c r="E12222">
        <v>0</v>
      </c>
      <c r="F12222">
        <v>0</v>
      </c>
      <c r="G12222">
        <v>0</v>
      </c>
      <c r="H12222">
        <f>_xlfn.XLOOKUP(FACT_IMPORTS[[#This Row],[hts_6]],DIM_PRODUCTS[hts_6],DIM_PRODUCTS[hts_4],,,)</f>
        <v>4011</v>
      </c>
      <c r="I12222" t="str" cm="1">
        <f t="array" ref="I12222">_xlfn.XLOOKUP(FACT_IMPORTS[[#This Row],[country_name]],DIM_COUNTRY[[#All],[Column2]],DIM_COUNTRY[[#All],[Column3]],,,)</f>
        <v>Major_Non-USMCA_Non-China</v>
      </c>
    </row>
    <row r="12223" spans="1:9" x14ac:dyDescent="0.4">
      <c r="A12223" t="s">
        <v>73</v>
      </c>
      <c r="B12223" s="1">
        <v>45748</v>
      </c>
      <c r="C12223">
        <v>700711</v>
      </c>
      <c r="D12223" t="s">
        <v>176</v>
      </c>
      <c r="E12223">
        <v>0</v>
      </c>
      <c r="F12223">
        <v>0</v>
      </c>
      <c r="G12223">
        <v>0</v>
      </c>
      <c r="H12223">
        <f>_xlfn.XLOOKUP(FACT_IMPORTS[[#This Row],[hts_6]],DIM_PRODUCTS[hts_6],DIM_PRODUCTS[hts_4],,,)</f>
        <v>7007</v>
      </c>
      <c r="I12223" t="str" cm="1">
        <f t="array" ref="I12223">_xlfn.XLOOKUP(FACT_IMPORTS[[#This Row],[country_name]],DIM_COUNTRY[[#All],[Column2]],DIM_COUNTRY[[#All],[Column3]],,,)</f>
        <v>Major_Non-USMCA_Non-China</v>
      </c>
    </row>
    <row r="12224" spans="1:9" x14ac:dyDescent="0.4">
      <c r="A12224" t="s">
        <v>73</v>
      </c>
      <c r="B12224" s="1">
        <v>45748</v>
      </c>
      <c r="C12224">
        <v>700910</v>
      </c>
      <c r="D12224" t="s">
        <v>176</v>
      </c>
      <c r="E12224">
        <v>917796</v>
      </c>
      <c r="F12224">
        <v>12994</v>
      </c>
      <c r="G12224">
        <v>15320</v>
      </c>
      <c r="H12224">
        <f>_xlfn.XLOOKUP(FACT_IMPORTS[[#This Row],[hts_6]],DIM_PRODUCTS[hts_6],DIM_PRODUCTS[hts_4],,,)</f>
        <v>7009</v>
      </c>
      <c r="I12224" t="str" cm="1">
        <f t="array" ref="I12224">_xlfn.XLOOKUP(FACT_IMPORTS[[#This Row],[country_name]],DIM_COUNTRY[[#All],[Column2]],DIM_COUNTRY[[#All],[Column3]],,,)</f>
        <v>Major_Non-USMCA_Non-China</v>
      </c>
    </row>
    <row r="12225" spans="1:9" x14ac:dyDescent="0.4">
      <c r="A12225" t="s">
        <v>73</v>
      </c>
      <c r="B12225" s="1">
        <v>45748</v>
      </c>
      <c r="C12225">
        <v>830230</v>
      </c>
      <c r="D12225" t="s">
        <v>176</v>
      </c>
      <c r="E12225">
        <v>4250153</v>
      </c>
      <c r="F12225">
        <v>807143</v>
      </c>
      <c r="G12225">
        <v>127768</v>
      </c>
      <c r="H12225">
        <f>_xlfn.XLOOKUP(FACT_IMPORTS[[#This Row],[hts_6]],DIM_PRODUCTS[hts_6],DIM_PRODUCTS[hts_4],,,)</f>
        <v>8302</v>
      </c>
      <c r="I12225" t="str" cm="1">
        <f t="array" ref="I12225">_xlfn.XLOOKUP(FACT_IMPORTS[[#This Row],[country_name]],DIM_COUNTRY[[#All],[Column2]],DIM_COUNTRY[[#All],[Column3]],,,)</f>
        <v>Major_Non-USMCA_Non-China</v>
      </c>
    </row>
    <row r="12226" spans="1:9" x14ac:dyDescent="0.4">
      <c r="A12226" t="s">
        <v>73</v>
      </c>
      <c r="B12226" s="1">
        <v>45748</v>
      </c>
      <c r="C12226">
        <v>840734</v>
      </c>
      <c r="D12226" t="s">
        <v>176</v>
      </c>
      <c r="E12226">
        <v>237853</v>
      </c>
      <c r="F12226">
        <v>34</v>
      </c>
      <c r="G12226">
        <v>147</v>
      </c>
      <c r="H12226">
        <f>_xlfn.XLOOKUP(FACT_IMPORTS[[#This Row],[hts_6]],DIM_PRODUCTS[hts_6],DIM_PRODUCTS[hts_4],,,)</f>
        <v>8407</v>
      </c>
      <c r="I12226" t="str" cm="1">
        <f t="array" ref="I12226">_xlfn.XLOOKUP(FACT_IMPORTS[[#This Row],[country_name]],DIM_COUNTRY[[#All],[Column2]],DIM_COUNTRY[[#All],[Column3]],,,)</f>
        <v>Major_Non-USMCA_Non-China</v>
      </c>
    </row>
    <row r="12227" spans="1:9" x14ac:dyDescent="0.4">
      <c r="A12227" t="s">
        <v>73</v>
      </c>
      <c r="B12227" s="1">
        <v>45748</v>
      </c>
      <c r="C12227">
        <v>840890</v>
      </c>
      <c r="D12227" t="s">
        <v>176</v>
      </c>
      <c r="E12227">
        <v>18444</v>
      </c>
      <c r="F12227">
        <v>1</v>
      </c>
      <c r="G12227">
        <v>34</v>
      </c>
      <c r="H12227">
        <f>_xlfn.XLOOKUP(FACT_IMPORTS[[#This Row],[hts_6]],DIM_PRODUCTS[hts_6],DIM_PRODUCTS[hts_4],,,)</f>
        <v>8408</v>
      </c>
      <c r="I12227" t="str" cm="1">
        <f t="array" ref="I12227">_xlfn.XLOOKUP(FACT_IMPORTS[[#This Row],[country_name]],DIM_COUNTRY[[#All],[Column2]],DIM_COUNTRY[[#All],[Column3]],,,)</f>
        <v>Major_Non-USMCA_Non-China</v>
      </c>
    </row>
    <row r="12228" spans="1:9" x14ac:dyDescent="0.4">
      <c r="A12228" t="s">
        <v>73</v>
      </c>
      <c r="B12228" s="1">
        <v>45748</v>
      </c>
      <c r="C12228">
        <v>840991</v>
      </c>
      <c r="D12228" t="s">
        <v>176</v>
      </c>
      <c r="E12228">
        <v>6142537</v>
      </c>
      <c r="F12228">
        <v>304379</v>
      </c>
      <c r="G12228">
        <v>53249</v>
      </c>
      <c r="H12228">
        <f>_xlfn.XLOOKUP(FACT_IMPORTS[[#This Row],[hts_6]],DIM_PRODUCTS[hts_6],DIM_PRODUCTS[hts_4],,,)</f>
        <v>8409</v>
      </c>
      <c r="I12228" t="str" cm="1">
        <f t="array" ref="I12228">_xlfn.XLOOKUP(FACT_IMPORTS[[#This Row],[country_name]],DIM_COUNTRY[[#All],[Column2]],DIM_COUNTRY[[#All],[Column3]],,,)</f>
        <v>Major_Non-USMCA_Non-China</v>
      </c>
    </row>
    <row r="12229" spans="1:9" x14ac:dyDescent="0.4">
      <c r="A12229" t="s">
        <v>73</v>
      </c>
      <c r="B12229" s="1">
        <v>45748</v>
      </c>
      <c r="C12229">
        <v>840999</v>
      </c>
      <c r="D12229" t="s">
        <v>176</v>
      </c>
      <c r="E12229">
        <v>335540</v>
      </c>
      <c r="F12229">
        <v>13426</v>
      </c>
      <c r="G12229">
        <v>8946</v>
      </c>
      <c r="H12229">
        <f>_xlfn.XLOOKUP(FACT_IMPORTS[[#This Row],[hts_6]],DIM_PRODUCTS[hts_6],DIM_PRODUCTS[hts_4],,,)</f>
        <v>8409</v>
      </c>
      <c r="I12229" t="str" cm="1">
        <f t="array" ref="I12229">_xlfn.XLOOKUP(FACT_IMPORTS[[#This Row],[country_name]],DIM_COUNTRY[[#All],[Column2]],DIM_COUNTRY[[#All],[Column3]],,,)</f>
        <v>Major_Non-USMCA_Non-China</v>
      </c>
    </row>
    <row r="12230" spans="1:9" x14ac:dyDescent="0.4">
      <c r="A12230" t="s">
        <v>73</v>
      </c>
      <c r="B12230" s="1">
        <v>45748</v>
      </c>
      <c r="C12230">
        <v>841330</v>
      </c>
      <c r="D12230" t="s">
        <v>176</v>
      </c>
      <c r="E12230">
        <v>3388987</v>
      </c>
      <c r="F12230">
        <v>83821</v>
      </c>
      <c r="G12230">
        <v>107977</v>
      </c>
      <c r="H12230">
        <f>_xlfn.XLOOKUP(FACT_IMPORTS[[#This Row],[hts_6]],DIM_PRODUCTS[hts_6],DIM_PRODUCTS[hts_4],,,)</f>
        <v>8413</v>
      </c>
      <c r="I12230" t="str" cm="1">
        <f t="array" ref="I12230">_xlfn.XLOOKUP(FACT_IMPORTS[[#This Row],[country_name]],DIM_COUNTRY[[#All],[Column2]],DIM_COUNTRY[[#All],[Column3]],,,)</f>
        <v>Major_Non-USMCA_Non-China</v>
      </c>
    </row>
    <row r="12231" spans="1:9" x14ac:dyDescent="0.4">
      <c r="A12231" t="s">
        <v>73</v>
      </c>
      <c r="B12231" s="1">
        <v>45748</v>
      </c>
      <c r="C12231">
        <v>842132</v>
      </c>
      <c r="D12231" t="s">
        <v>176</v>
      </c>
      <c r="E12231">
        <v>643777</v>
      </c>
      <c r="F12231">
        <v>301</v>
      </c>
      <c r="G12231">
        <v>1675</v>
      </c>
      <c r="H12231">
        <f>_xlfn.XLOOKUP(FACT_IMPORTS[[#This Row],[hts_6]],DIM_PRODUCTS[hts_6],DIM_PRODUCTS[hts_4],,,)</f>
        <v>8421</v>
      </c>
      <c r="I12231" t="str" cm="1">
        <f t="array" ref="I12231">_xlfn.XLOOKUP(FACT_IMPORTS[[#This Row],[country_name]],DIM_COUNTRY[[#All],[Column2]],DIM_COUNTRY[[#All],[Column3]],,,)</f>
        <v>Major_Non-USMCA_Non-China</v>
      </c>
    </row>
    <row r="12232" spans="1:9" x14ac:dyDescent="0.4">
      <c r="A12232" t="s">
        <v>73</v>
      </c>
      <c r="B12232" s="1">
        <v>45748</v>
      </c>
      <c r="C12232">
        <v>848210</v>
      </c>
      <c r="D12232" t="s">
        <v>176</v>
      </c>
      <c r="E12232">
        <v>161437</v>
      </c>
      <c r="F12232">
        <v>68529</v>
      </c>
      <c r="G12232">
        <v>452</v>
      </c>
      <c r="H12232">
        <f>_xlfn.XLOOKUP(FACT_IMPORTS[[#This Row],[hts_6]],DIM_PRODUCTS[hts_6],DIM_PRODUCTS[hts_4],,,)</f>
        <v>8482</v>
      </c>
      <c r="I12232" t="str" cm="1">
        <f t="array" ref="I12232">_xlfn.XLOOKUP(FACT_IMPORTS[[#This Row],[country_name]],DIM_COUNTRY[[#All],[Column2]],DIM_COUNTRY[[#All],[Column3]],,,)</f>
        <v>Major_Non-USMCA_Non-China</v>
      </c>
    </row>
    <row r="12233" spans="1:9" x14ac:dyDescent="0.4">
      <c r="A12233" t="s">
        <v>73</v>
      </c>
      <c r="B12233" s="1">
        <v>45748</v>
      </c>
      <c r="C12233">
        <v>848220</v>
      </c>
      <c r="D12233" t="s">
        <v>176</v>
      </c>
      <c r="E12233">
        <v>3410201</v>
      </c>
      <c r="F12233">
        <v>908858</v>
      </c>
      <c r="G12233">
        <v>946</v>
      </c>
      <c r="H12233">
        <f>_xlfn.XLOOKUP(FACT_IMPORTS[[#This Row],[hts_6]],DIM_PRODUCTS[hts_6],DIM_PRODUCTS[hts_4],,,)</f>
        <v>8482</v>
      </c>
      <c r="I12233" t="str" cm="1">
        <f t="array" ref="I12233">_xlfn.XLOOKUP(FACT_IMPORTS[[#This Row],[country_name]],DIM_COUNTRY[[#All],[Column2]],DIM_COUNTRY[[#All],[Column3]],,,)</f>
        <v>Major_Non-USMCA_Non-China</v>
      </c>
    </row>
    <row r="12234" spans="1:9" x14ac:dyDescent="0.4">
      <c r="A12234" t="s">
        <v>73</v>
      </c>
      <c r="B12234" s="1">
        <v>45748</v>
      </c>
      <c r="C12234">
        <v>848310</v>
      </c>
      <c r="D12234" t="s">
        <v>176</v>
      </c>
      <c r="E12234">
        <v>12738</v>
      </c>
      <c r="F12234">
        <v>607</v>
      </c>
      <c r="G12234">
        <v>32</v>
      </c>
      <c r="H12234">
        <f>_xlfn.XLOOKUP(FACT_IMPORTS[[#This Row],[hts_6]],DIM_PRODUCTS[hts_6],DIM_PRODUCTS[hts_4],,,)</f>
        <v>8483</v>
      </c>
      <c r="I12234" t="str" cm="1">
        <f t="array" ref="I12234">_xlfn.XLOOKUP(FACT_IMPORTS[[#This Row],[country_name]],DIM_COUNTRY[[#All],[Column2]],DIM_COUNTRY[[#All],[Column3]],,,)</f>
        <v>Major_Non-USMCA_Non-China</v>
      </c>
    </row>
    <row r="12235" spans="1:9" x14ac:dyDescent="0.4">
      <c r="A12235" t="s">
        <v>73</v>
      </c>
      <c r="B12235" s="1">
        <v>45748</v>
      </c>
      <c r="C12235">
        <v>850131</v>
      </c>
      <c r="D12235" t="s">
        <v>176</v>
      </c>
      <c r="E12235">
        <v>1426319</v>
      </c>
      <c r="F12235">
        <v>132932</v>
      </c>
      <c r="G12235">
        <v>15027</v>
      </c>
      <c r="H12235">
        <f>_xlfn.XLOOKUP(FACT_IMPORTS[[#This Row],[hts_6]],DIM_PRODUCTS[hts_6],DIM_PRODUCTS[hts_4],,,)</f>
        <v>8501</v>
      </c>
      <c r="I12235" t="str" cm="1">
        <f t="array" ref="I12235">_xlfn.XLOOKUP(FACT_IMPORTS[[#This Row],[country_name]],DIM_COUNTRY[[#All],[Column2]],DIM_COUNTRY[[#All],[Column3]],,,)</f>
        <v>Major_Non-USMCA_Non-China</v>
      </c>
    </row>
    <row r="12236" spans="1:9" x14ac:dyDescent="0.4">
      <c r="A12236" t="s">
        <v>73</v>
      </c>
      <c r="B12236" s="1">
        <v>45748</v>
      </c>
      <c r="C12236">
        <v>850132</v>
      </c>
      <c r="D12236" t="s">
        <v>176</v>
      </c>
      <c r="E12236">
        <v>0</v>
      </c>
      <c r="F12236">
        <v>0</v>
      </c>
      <c r="G12236">
        <v>0</v>
      </c>
      <c r="H12236">
        <f>_xlfn.XLOOKUP(FACT_IMPORTS[[#This Row],[hts_6]],DIM_PRODUCTS[hts_6],DIM_PRODUCTS[hts_4],,,)</f>
        <v>8501</v>
      </c>
      <c r="I12236" t="str" cm="1">
        <f t="array" ref="I12236">_xlfn.XLOOKUP(FACT_IMPORTS[[#This Row],[country_name]],DIM_COUNTRY[[#All],[Column2]],DIM_COUNTRY[[#All],[Column3]],,,)</f>
        <v>Major_Non-USMCA_Non-China</v>
      </c>
    </row>
    <row r="12237" spans="1:9" x14ac:dyDescent="0.4">
      <c r="A12237" t="s">
        <v>73</v>
      </c>
      <c r="B12237" s="1">
        <v>45748</v>
      </c>
      <c r="C12237">
        <v>850152</v>
      </c>
      <c r="D12237" t="s">
        <v>176</v>
      </c>
      <c r="E12237">
        <v>2715</v>
      </c>
      <c r="F12237">
        <v>6</v>
      </c>
      <c r="G12237">
        <v>200</v>
      </c>
      <c r="H12237">
        <f>_xlfn.XLOOKUP(FACT_IMPORTS[[#This Row],[hts_6]],DIM_PRODUCTS[hts_6],DIM_PRODUCTS[hts_4],,,)</f>
        <v>8501</v>
      </c>
      <c r="I12237" t="str" cm="1">
        <f t="array" ref="I12237">_xlfn.XLOOKUP(FACT_IMPORTS[[#This Row],[country_name]],DIM_COUNTRY[[#All],[Column2]],DIM_COUNTRY[[#All],[Column3]],,,)</f>
        <v>Major_Non-USMCA_Non-China</v>
      </c>
    </row>
    <row r="12238" spans="1:9" x14ac:dyDescent="0.4">
      <c r="A12238" t="s">
        <v>73</v>
      </c>
      <c r="B12238" s="1">
        <v>45748</v>
      </c>
      <c r="C12238">
        <v>850153</v>
      </c>
      <c r="D12238" t="s">
        <v>176</v>
      </c>
      <c r="E12238">
        <v>10800</v>
      </c>
      <c r="F12238">
        <v>3</v>
      </c>
      <c r="G12238">
        <v>27</v>
      </c>
      <c r="H12238">
        <f>_xlfn.XLOOKUP(FACT_IMPORTS[[#This Row],[hts_6]],DIM_PRODUCTS[hts_6],DIM_PRODUCTS[hts_4],,,)</f>
        <v>8501</v>
      </c>
      <c r="I12238" t="str" cm="1">
        <f t="array" ref="I12238">_xlfn.XLOOKUP(FACT_IMPORTS[[#This Row],[country_name]],DIM_COUNTRY[[#All],[Column2]],DIM_COUNTRY[[#All],[Column3]],,,)</f>
        <v>Major_Non-USMCA_Non-China</v>
      </c>
    </row>
    <row r="12239" spans="1:9" x14ac:dyDescent="0.4">
      <c r="A12239" t="s">
        <v>73</v>
      </c>
      <c r="B12239" s="1">
        <v>45748</v>
      </c>
      <c r="C12239">
        <v>850440</v>
      </c>
      <c r="D12239" t="s">
        <v>176</v>
      </c>
      <c r="E12239">
        <v>150533</v>
      </c>
      <c r="F12239">
        <v>775</v>
      </c>
      <c r="G12239">
        <v>1424</v>
      </c>
      <c r="H12239">
        <f>_xlfn.XLOOKUP(FACT_IMPORTS[[#This Row],[hts_6]],DIM_PRODUCTS[hts_6],DIM_PRODUCTS[hts_4],,,)</f>
        <v>8504</v>
      </c>
      <c r="I12239" t="str" cm="1">
        <f t="array" ref="I12239">_xlfn.XLOOKUP(FACT_IMPORTS[[#This Row],[country_name]],DIM_COUNTRY[[#All],[Column2]],DIM_COUNTRY[[#All],[Column3]],,,)</f>
        <v>Major_Non-USMCA_Non-China</v>
      </c>
    </row>
    <row r="12240" spans="1:9" x14ac:dyDescent="0.4">
      <c r="A12240" t="s">
        <v>73</v>
      </c>
      <c r="B12240" s="1">
        <v>45748</v>
      </c>
      <c r="C12240">
        <v>850710</v>
      </c>
      <c r="D12240" t="s">
        <v>176</v>
      </c>
      <c r="E12240">
        <v>778969</v>
      </c>
      <c r="F12240">
        <v>19531</v>
      </c>
      <c r="G12240">
        <v>42978</v>
      </c>
      <c r="H12240">
        <f>_xlfn.XLOOKUP(FACT_IMPORTS[[#This Row],[hts_6]],DIM_PRODUCTS[hts_6],DIM_PRODUCTS[hts_4],,,)</f>
        <v>8507</v>
      </c>
      <c r="I12240" t="str" cm="1">
        <f t="array" ref="I12240">_xlfn.XLOOKUP(FACT_IMPORTS[[#This Row],[country_name]],DIM_COUNTRY[[#All],[Column2]],DIM_COUNTRY[[#All],[Column3]],,,)</f>
        <v>Major_Non-USMCA_Non-China</v>
      </c>
    </row>
    <row r="12241" spans="1:9" x14ac:dyDescent="0.4">
      <c r="A12241" t="s">
        <v>73</v>
      </c>
      <c r="B12241" s="1">
        <v>45748</v>
      </c>
      <c r="C12241">
        <v>850760</v>
      </c>
      <c r="D12241" t="s">
        <v>176</v>
      </c>
      <c r="E12241">
        <v>249017</v>
      </c>
      <c r="F12241">
        <v>69</v>
      </c>
      <c r="G12241">
        <v>23026</v>
      </c>
      <c r="H12241">
        <f>_xlfn.XLOOKUP(FACT_IMPORTS[[#This Row],[hts_6]],DIM_PRODUCTS[hts_6],DIM_PRODUCTS[hts_4],,,)</f>
        <v>8507</v>
      </c>
      <c r="I12241" t="str" cm="1">
        <f t="array" ref="I12241">_xlfn.XLOOKUP(FACT_IMPORTS[[#This Row],[country_name]],DIM_COUNTRY[[#All],[Column2]],DIM_COUNTRY[[#All],[Column3]],,,)</f>
        <v>Major_Non-USMCA_Non-China</v>
      </c>
    </row>
    <row r="12242" spans="1:9" x14ac:dyDescent="0.4">
      <c r="A12242" t="s">
        <v>73</v>
      </c>
      <c r="B12242" s="1">
        <v>45748</v>
      </c>
      <c r="C12242">
        <v>850790</v>
      </c>
      <c r="D12242" t="s">
        <v>176</v>
      </c>
      <c r="E12242">
        <v>199223</v>
      </c>
      <c r="F12242">
        <v>26959</v>
      </c>
      <c r="G12242">
        <v>15806</v>
      </c>
      <c r="H12242">
        <f>_xlfn.XLOOKUP(FACT_IMPORTS[[#This Row],[hts_6]],DIM_PRODUCTS[hts_6],DIM_PRODUCTS[hts_4],,,)</f>
        <v>8507</v>
      </c>
      <c r="I12242" t="str" cm="1">
        <f t="array" ref="I12242">_xlfn.XLOOKUP(FACT_IMPORTS[[#This Row],[country_name]],DIM_COUNTRY[[#All],[Column2]],DIM_COUNTRY[[#All],[Column3]],,,)</f>
        <v>Major_Non-USMCA_Non-China</v>
      </c>
    </row>
    <row r="12243" spans="1:9" x14ac:dyDescent="0.4">
      <c r="A12243" t="s">
        <v>73</v>
      </c>
      <c r="B12243" s="1">
        <v>45748</v>
      </c>
      <c r="C12243">
        <v>851110</v>
      </c>
      <c r="D12243" t="s">
        <v>176</v>
      </c>
      <c r="E12243">
        <v>0</v>
      </c>
      <c r="F12243">
        <v>0</v>
      </c>
      <c r="G12243">
        <v>0</v>
      </c>
      <c r="H12243">
        <f>_xlfn.XLOOKUP(FACT_IMPORTS[[#This Row],[hts_6]],DIM_PRODUCTS[hts_6],DIM_PRODUCTS[hts_4],,,)</f>
        <v>8511</v>
      </c>
      <c r="I12243" t="str" cm="1">
        <f t="array" ref="I12243">_xlfn.XLOOKUP(FACT_IMPORTS[[#This Row],[country_name]],DIM_COUNTRY[[#All],[Column2]],DIM_COUNTRY[[#All],[Column3]],,,)</f>
        <v>Major_Non-USMCA_Non-China</v>
      </c>
    </row>
    <row r="12244" spans="1:9" x14ac:dyDescent="0.4">
      <c r="A12244" t="s">
        <v>73</v>
      </c>
      <c r="B12244" s="1">
        <v>45748</v>
      </c>
      <c r="C12244">
        <v>851130</v>
      </c>
      <c r="D12244" t="s">
        <v>176</v>
      </c>
      <c r="E12244">
        <v>0</v>
      </c>
      <c r="F12244">
        <v>0</v>
      </c>
      <c r="G12244">
        <v>0</v>
      </c>
      <c r="H12244">
        <f>_xlfn.XLOOKUP(FACT_IMPORTS[[#This Row],[hts_6]],DIM_PRODUCTS[hts_6],DIM_PRODUCTS[hts_4],,,)</f>
        <v>8511</v>
      </c>
      <c r="I12244" t="str" cm="1">
        <f t="array" ref="I12244">_xlfn.XLOOKUP(FACT_IMPORTS[[#This Row],[country_name]],DIM_COUNTRY[[#All],[Column2]],DIM_COUNTRY[[#All],[Column3]],,,)</f>
        <v>Major_Non-USMCA_Non-China</v>
      </c>
    </row>
    <row r="12245" spans="1:9" x14ac:dyDescent="0.4">
      <c r="A12245" t="s">
        <v>73</v>
      </c>
      <c r="B12245" s="1">
        <v>45748</v>
      </c>
      <c r="C12245">
        <v>851140</v>
      </c>
      <c r="D12245" t="s">
        <v>176</v>
      </c>
      <c r="E12245">
        <v>87624</v>
      </c>
      <c r="F12245">
        <v>820</v>
      </c>
      <c r="G12245">
        <v>99</v>
      </c>
      <c r="H12245">
        <f>_xlfn.XLOOKUP(FACT_IMPORTS[[#This Row],[hts_6]],DIM_PRODUCTS[hts_6],DIM_PRODUCTS[hts_4],,,)</f>
        <v>8511</v>
      </c>
      <c r="I12245" t="str" cm="1">
        <f t="array" ref="I12245">_xlfn.XLOOKUP(FACT_IMPORTS[[#This Row],[country_name]],DIM_COUNTRY[[#All],[Column2]],DIM_COUNTRY[[#All],[Column3]],,,)</f>
        <v>Major_Non-USMCA_Non-China</v>
      </c>
    </row>
    <row r="12246" spans="1:9" x14ac:dyDescent="0.4">
      <c r="A12246" t="s">
        <v>73</v>
      </c>
      <c r="B12246" s="1">
        <v>45748</v>
      </c>
      <c r="C12246">
        <v>851150</v>
      </c>
      <c r="D12246" t="s">
        <v>176</v>
      </c>
      <c r="E12246">
        <v>314830</v>
      </c>
      <c r="F12246">
        <v>1546</v>
      </c>
      <c r="G12246">
        <v>731</v>
      </c>
      <c r="H12246">
        <f>_xlfn.XLOOKUP(FACT_IMPORTS[[#This Row],[hts_6]],DIM_PRODUCTS[hts_6],DIM_PRODUCTS[hts_4],,,)</f>
        <v>8511</v>
      </c>
      <c r="I12246" t="str" cm="1">
        <f t="array" ref="I12246">_xlfn.XLOOKUP(FACT_IMPORTS[[#This Row],[country_name]],DIM_COUNTRY[[#All],[Column2]],DIM_COUNTRY[[#All],[Column3]],,,)</f>
        <v>Major_Non-USMCA_Non-China</v>
      </c>
    </row>
    <row r="12247" spans="1:9" x14ac:dyDescent="0.4">
      <c r="A12247" t="s">
        <v>73</v>
      </c>
      <c r="B12247" s="1">
        <v>45748</v>
      </c>
      <c r="C12247">
        <v>851190</v>
      </c>
      <c r="D12247" t="s">
        <v>176</v>
      </c>
      <c r="E12247">
        <v>137113</v>
      </c>
      <c r="F12247">
        <v>14695</v>
      </c>
      <c r="G12247">
        <v>5359</v>
      </c>
      <c r="H12247">
        <f>_xlfn.XLOOKUP(FACT_IMPORTS[[#This Row],[hts_6]],DIM_PRODUCTS[hts_6],DIM_PRODUCTS[hts_4],,,)</f>
        <v>8511</v>
      </c>
      <c r="I12247" t="str" cm="1">
        <f t="array" ref="I12247">_xlfn.XLOOKUP(FACT_IMPORTS[[#This Row],[country_name]],DIM_COUNTRY[[#All],[Column2]],DIM_COUNTRY[[#All],[Column3]],,,)</f>
        <v>Major_Non-USMCA_Non-China</v>
      </c>
    </row>
    <row r="12248" spans="1:9" x14ac:dyDescent="0.4">
      <c r="A12248" t="s">
        <v>73</v>
      </c>
      <c r="B12248" s="1">
        <v>45748</v>
      </c>
      <c r="C12248">
        <v>851220</v>
      </c>
      <c r="D12248" t="s">
        <v>176</v>
      </c>
      <c r="E12248">
        <v>19231745</v>
      </c>
      <c r="F12248">
        <v>1853418</v>
      </c>
      <c r="G12248">
        <v>255413</v>
      </c>
      <c r="H12248">
        <f>_xlfn.XLOOKUP(FACT_IMPORTS[[#This Row],[hts_6]],DIM_PRODUCTS[hts_6],DIM_PRODUCTS[hts_4],,,)</f>
        <v>8512</v>
      </c>
      <c r="I12248" t="str" cm="1">
        <f t="array" ref="I12248">_xlfn.XLOOKUP(FACT_IMPORTS[[#This Row],[country_name]],DIM_COUNTRY[[#All],[Column2]],DIM_COUNTRY[[#All],[Column3]],,,)</f>
        <v>Major_Non-USMCA_Non-China</v>
      </c>
    </row>
    <row r="12249" spans="1:9" x14ac:dyDescent="0.4">
      <c r="A12249" t="s">
        <v>73</v>
      </c>
      <c r="B12249" s="1">
        <v>45748</v>
      </c>
      <c r="C12249">
        <v>851230</v>
      </c>
      <c r="D12249" t="s">
        <v>176</v>
      </c>
      <c r="E12249">
        <v>0</v>
      </c>
      <c r="F12249">
        <v>0</v>
      </c>
      <c r="G12249">
        <v>0</v>
      </c>
      <c r="H12249">
        <f>_xlfn.XLOOKUP(FACT_IMPORTS[[#This Row],[hts_6]],DIM_PRODUCTS[hts_6],DIM_PRODUCTS[hts_4],,,)</f>
        <v>8512</v>
      </c>
      <c r="I12249" t="str" cm="1">
        <f t="array" ref="I12249">_xlfn.XLOOKUP(FACT_IMPORTS[[#This Row],[country_name]],DIM_COUNTRY[[#All],[Column2]],DIM_COUNTRY[[#All],[Column3]],,,)</f>
        <v>Major_Non-USMCA_Non-China</v>
      </c>
    </row>
    <row r="12250" spans="1:9" x14ac:dyDescent="0.4">
      <c r="A12250" t="s">
        <v>73</v>
      </c>
      <c r="B12250" s="1">
        <v>45748</v>
      </c>
      <c r="C12250">
        <v>851240</v>
      </c>
      <c r="D12250" t="s">
        <v>176</v>
      </c>
      <c r="E12250">
        <v>397251</v>
      </c>
      <c r="F12250">
        <v>19724</v>
      </c>
      <c r="G12250">
        <v>16305</v>
      </c>
      <c r="H12250">
        <f>_xlfn.XLOOKUP(FACT_IMPORTS[[#This Row],[hts_6]],DIM_PRODUCTS[hts_6],DIM_PRODUCTS[hts_4],,,)</f>
        <v>8512</v>
      </c>
      <c r="I12250" t="str" cm="1">
        <f t="array" ref="I12250">_xlfn.XLOOKUP(FACT_IMPORTS[[#This Row],[country_name]],DIM_COUNTRY[[#All],[Column2]],DIM_COUNTRY[[#All],[Column3]],,,)</f>
        <v>Major_Non-USMCA_Non-China</v>
      </c>
    </row>
    <row r="12251" spans="1:9" x14ac:dyDescent="0.4">
      <c r="A12251" t="s">
        <v>73</v>
      </c>
      <c r="B12251" s="1">
        <v>45748</v>
      </c>
      <c r="C12251">
        <v>851290</v>
      </c>
      <c r="D12251" t="s">
        <v>176</v>
      </c>
      <c r="E12251">
        <v>961367</v>
      </c>
      <c r="F12251">
        <v>64833</v>
      </c>
      <c r="G12251">
        <v>35999</v>
      </c>
      <c r="H12251">
        <f>_xlfn.XLOOKUP(FACT_IMPORTS[[#This Row],[hts_6]],DIM_PRODUCTS[hts_6],DIM_PRODUCTS[hts_4],,,)</f>
        <v>8512</v>
      </c>
      <c r="I12251" t="str" cm="1">
        <f t="array" ref="I12251">_xlfn.XLOOKUP(FACT_IMPORTS[[#This Row],[country_name]],DIM_COUNTRY[[#All],[Column2]],DIM_COUNTRY[[#All],[Column3]],,,)</f>
        <v>Major_Non-USMCA_Non-China</v>
      </c>
    </row>
    <row r="12252" spans="1:9" x14ac:dyDescent="0.4">
      <c r="A12252" t="s">
        <v>73</v>
      </c>
      <c r="B12252" s="1">
        <v>45748</v>
      </c>
      <c r="C12252">
        <v>854231</v>
      </c>
      <c r="D12252" t="s">
        <v>176</v>
      </c>
      <c r="E12252">
        <v>0</v>
      </c>
      <c r="F12252">
        <v>0</v>
      </c>
      <c r="G12252">
        <v>0</v>
      </c>
      <c r="H12252">
        <f>_xlfn.XLOOKUP(FACT_IMPORTS[[#This Row],[hts_6]],DIM_PRODUCTS[hts_6],DIM_PRODUCTS[hts_4],,,)</f>
        <v>8542</v>
      </c>
      <c r="I12252" t="str" cm="1">
        <f t="array" ref="I12252">_xlfn.XLOOKUP(FACT_IMPORTS[[#This Row],[country_name]],DIM_COUNTRY[[#All],[Column2]],DIM_COUNTRY[[#All],[Column3]],,,)</f>
        <v>Major_Non-USMCA_Non-China</v>
      </c>
    </row>
    <row r="12253" spans="1:9" x14ac:dyDescent="0.4">
      <c r="A12253" t="s">
        <v>73</v>
      </c>
      <c r="B12253" s="1">
        <v>45748</v>
      </c>
      <c r="C12253">
        <v>854232</v>
      </c>
      <c r="D12253" t="s">
        <v>176</v>
      </c>
      <c r="E12253">
        <v>0</v>
      </c>
      <c r="F12253">
        <v>0</v>
      </c>
      <c r="G12253">
        <v>0</v>
      </c>
      <c r="H12253">
        <f>_xlfn.XLOOKUP(FACT_IMPORTS[[#This Row],[hts_6]],DIM_PRODUCTS[hts_6],DIM_PRODUCTS[hts_4],,,)</f>
        <v>8542</v>
      </c>
      <c r="I12253" t="str" cm="1">
        <f t="array" ref="I12253">_xlfn.XLOOKUP(FACT_IMPORTS[[#This Row],[country_name]],DIM_COUNTRY[[#All],[Column2]],DIM_COUNTRY[[#All],[Column3]],,,)</f>
        <v>Major_Non-USMCA_Non-China</v>
      </c>
    </row>
    <row r="12254" spans="1:9" x14ac:dyDescent="0.4">
      <c r="A12254" t="s">
        <v>73</v>
      </c>
      <c r="B12254" s="1">
        <v>45748</v>
      </c>
      <c r="C12254">
        <v>854239</v>
      </c>
      <c r="D12254" t="s">
        <v>176</v>
      </c>
      <c r="E12254">
        <v>0</v>
      </c>
      <c r="F12254">
        <v>0</v>
      </c>
      <c r="G12254">
        <v>0</v>
      </c>
      <c r="H12254">
        <f>_xlfn.XLOOKUP(FACT_IMPORTS[[#This Row],[hts_6]],DIM_PRODUCTS[hts_6],DIM_PRODUCTS[hts_4],,,)</f>
        <v>8542</v>
      </c>
      <c r="I12254" t="str" cm="1">
        <f t="array" ref="I12254">_xlfn.XLOOKUP(FACT_IMPORTS[[#This Row],[country_name]],DIM_COUNTRY[[#All],[Column2]],DIM_COUNTRY[[#All],[Column3]],,,)</f>
        <v>Major_Non-USMCA_Non-China</v>
      </c>
    </row>
    <row r="12255" spans="1:9" x14ac:dyDescent="0.4">
      <c r="A12255" t="s">
        <v>73</v>
      </c>
      <c r="B12255" s="1">
        <v>45748</v>
      </c>
      <c r="C12255">
        <v>854430</v>
      </c>
      <c r="D12255" t="s">
        <v>176</v>
      </c>
      <c r="E12255">
        <v>30731</v>
      </c>
      <c r="F12255">
        <v>243</v>
      </c>
      <c r="G12255">
        <v>58</v>
      </c>
      <c r="H12255">
        <f>_xlfn.XLOOKUP(FACT_IMPORTS[[#This Row],[hts_6]],DIM_PRODUCTS[hts_6],DIM_PRODUCTS[hts_4],,,)</f>
        <v>8544</v>
      </c>
      <c r="I12255" t="str" cm="1">
        <f t="array" ref="I12255">_xlfn.XLOOKUP(FACT_IMPORTS[[#This Row],[country_name]],DIM_COUNTRY[[#All],[Column2]],DIM_COUNTRY[[#All],[Column3]],,,)</f>
        <v>Major_Non-USMCA_Non-China</v>
      </c>
    </row>
    <row r="12256" spans="1:9" x14ac:dyDescent="0.4">
      <c r="A12256" t="s">
        <v>73</v>
      </c>
      <c r="B12256" s="1">
        <v>45748</v>
      </c>
      <c r="C12256">
        <v>870810</v>
      </c>
      <c r="D12256" t="s">
        <v>176</v>
      </c>
      <c r="E12256">
        <v>3868022</v>
      </c>
      <c r="F12256">
        <v>64962</v>
      </c>
      <c r="G12256">
        <v>18305</v>
      </c>
      <c r="H12256">
        <f>_xlfn.XLOOKUP(FACT_IMPORTS[[#This Row],[hts_6]],DIM_PRODUCTS[hts_6],DIM_PRODUCTS[hts_4],,,)</f>
        <v>8708</v>
      </c>
      <c r="I12256" t="str" cm="1">
        <f t="array" ref="I12256">_xlfn.XLOOKUP(FACT_IMPORTS[[#This Row],[country_name]],DIM_COUNTRY[[#All],[Column2]],DIM_COUNTRY[[#All],[Column3]],,,)</f>
        <v>Major_Non-USMCA_Non-China</v>
      </c>
    </row>
    <row r="12257" spans="1:9" x14ac:dyDescent="0.4">
      <c r="A12257" t="s">
        <v>73</v>
      </c>
      <c r="B12257" s="1">
        <v>45748</v>
      </c>
      <c r="C12257">
        <v>870822</v>
      </c>
      <c r="D12257" t="s">
        <v>176</v>
      </c>
      <c r="E12257">
        <v>130400</v>
      </c>
      <c r="F12257">
        <v>668</v>
      </c>
      <c r="G12257">
        <v>254</v>
      </c>
      <c r="H12257">
        <f>_xlfn.XLOOKUP(FACT_IMPORTS[[#This Row],[hts_6]],DIM_PRODUCTS[hts_6],DIM_PRODUCTS[hts_4],,,)</f>
        <v>8708</v>
      </c>
      <c r="I12257" t="str" cm="1">
        <f t="array" ref="I12257">_xlfn.XLOOKUP(FACT_IMPORTS[[#This Row],[country_name]],DIM_COUNTRY[[#All],[Column2]],DIM_COUNTRY[[#All],[Column3]],,,)</f>
        <v>Major_Non-USMCA_Non-China</v>
      </c>
    </row>
    <row r="12258" spans="1:9" x14ac:dyDescent="0.4">
      <c r="A12258" t="s">
        <v>73</v>
      </c>
      <c r="B12258" s="1">
        <v>45748</v>
      </c>
      <c r="C12258">
        <v>870829</v>
      </c>
      <c r="D12258" t="s">
        <v>176</v>
      </c>
      <c r="E12258">
        <v>11421937</v>
      </c>
      <c r="F12258">
        <v>3925547</v>
      </c>
      <c r="G12258">
        <v>187100</v>
      </c>
      <c r="H12258">
        <f>_xlfn.XLOOKUP(FACT_IMPORTS[[#This Row],[hts_6]],DIM_PRODUCTS[hts_6],DIM_PRODUCTS[hts_4],,,)</f>
        <v>8708</v>
      </c>
      <c r="I12258" t="str" cm="1">
        <f t="array" ref="I12258">_xlfn.XLOOKUP(FACT_IMPORTS[[#This Row],[country_name]],DIM_COUNTRY[[#All],[Column2]],DIM_COUNTRY[[#All],[Column3]],,,)</f>
        <v>Major_Non-USMCA_Non-China</v>
      </c>
    </row>
    <row r="12259" spans="1:9" x14ac:dyDescent="0.4">
      <c r="A12259" t="s">
        <v>73</v>
      </c>
      <c r="B12259" s="1">
        <v>45748</v>
      </c>
      <c r="C12259">
        <v>870830</v>
      </c>
      <c r="D12259" t="s">
        <v>176</v>
      </c>
      <c r="E12259">
        <v>628574</v>
      </c>
      <c r="F12259">
        <v>236739</v>
      </c>
      <c r="G12259">
        <v>31103</v>
      </c>
      <c r="H12259">
        <f>_xlfn.XLOOKUP(FACT_IMPORTS[[#This Row],[hts_6]],DIM_PRODUCTS[hts_6],DIM_PRODUCTS[hts_4],,,)</f>
        <v>8708</v>
      </c>
      <c r="I12259" t="str" cm="1">
        <f t="array" ref="I12259">_xlfn.XLOOKUP(FACT_IMPORTS[[#This Row],[country_name]],DIM_COUNTRY[[#All],[Column2]],DIM_COUNTRY[[#All],[Column3]],,,)</f>
        <v>Major_Non-USMCA_Non-China</v>
      </c>
    </row>
    <row r="12260" spans="1:9" x14ac:dyDescent="0.4">
      <c r="A12260" t="s">
        <v>73</v>
      </c>
      <c r="B12260" s="1">
        <v>45748</v>
      </c>
      <c r="C12260">
        <v>870840</v>
      </c>
      <c r="D12260" t="s">
        <v>176</v>
      </c>
      <c r="E12260">
        <v>4097198</v>
      </c>
      <c r="F12260">
        <v>494656</v>
      </c>
      <c r="G12260">
        <v>47998</v>
      </c>
      <c r="H12260">
        <f>_xlfn.XLOOKUP(FACT_IMPORTS[[#This Row],[hts_6]],DIM_PRODUCTS[hts_6],DIM_PRODUCTS[hts_4],,,)</f>
        <v>8708</v>
      </c>
      <c r="I12260" t="str" cm="1">
        <f t="array" ref="I12260">_xlfn.XLOOKUP(FACT_IMPORTS[[#This Row],[country_name]],DIM_COUNTRY[[#All],[Column2]],DIM_COUNTRY[[#All],[Column3]],,,)</f>
        <v>Major_Non-USMCA_Non-China</v>
      </c>
    </row>
    <row r="12261" spans="1:9" x14ac:dyDescent="0.4">
      <c r="A12261" t="s">
        <v>73</v>
      </c>
      <c r="B12261" s="1">
        <v>45748</v>
      </c>
      <c r="C12261">
        <v>870850</v>
      </c>
      <c r="D12261" t="s">
        <v>176</v>
      </c>
      <c r="E12261">
        <v>15513498</v>
      </c>
      <c r="F12261">
        <v>1108111</v>
      </c>
      <c r="G12261">
        <v>309669</v>
      </c>
      <c r="H12261">
        <f>_xlfn.XLOOKUP(FACT_IMPORTS[[#This Row],[hts_6]],DIM_PRODUCTS[hts_6],DIM_PRODUCTS[hts_4],,,)</f>
        <v>8708</v>
      </c>
      <c r="I12261" t="str" cm="1">
        <f t="array" ref="I12261">_xlfn.XLOOKUP(FACT_IMPORTS[[#This Row],[country_name]],DIM_COUNTRY[[#All],[Column2]],DIM_COUNTRY[[#All],[Column3]],,,)</f>
        <v>Major_Non-USMCA_Non-China</v>
      </c>
    </row>
    <row r="12262" spans="1:9" x14ac:dyDescent="0.4">
      <c r="A12262" t="s">
        <v>73</v>
      </c>
      <c r="B12262" s="1">
        <v>45748</v>
      </c>
      <c r="C12262">
        <v>870870</v>
      </c>
      <c r="D12262" t="s">
        <v>176</v>
      </c>
      <c r="E12262">
        <v>604114</v>
      </c>
      <c r="F12262">
        <v>6347</v>
      </c>
      <c r="G12262">
        <v>12431</v>
      </c>
      <c r="H12262">
        <f>_xlfn.XLOOKUP(FACT_IMPORTS[[#This Row],[hts_6]],DIM_PRODUCTS[hts_6],DIM_PRODUCTS[hts_4],,,)</f>
        <v>8708</v>
      </c>
      <c r="I12262" t="str" cm="1">
        <f t="array" ref="I12262">_xlfn.XLOOKUP(FACT_IMPORTS[[#This Row],[country_name]],DIM_COUNTRY[[#All],[Column2]],DIM_COUNTRY[[#All],[Column3]],,,)</f>
        <v>Major_Non-USMCA_Non-China</v>
      </c>
    </row>
    <row r="12263" spans="1:9" x14ac:dyDescent="0.4">
      <c r="A12263" t="s">
        <v>73</v>
      </c>
      <c r="B12263" s="1">
        <v>45748</v>
      </c>
      <c r="C12263">
        <v>870880</v>
      </c>
      <c r="D12263" t="s">
        <v>176</v>
      </c>
      <c r="E12263">
        <v>4667351</v>
      </c>
      <c r="F12263">
        <v>1610046</v>
      </c>
      <c r="G12263">
        <v>92652</v>
      </c>
      <c r="H12263">
        <f>_xlfn.XLOOKUP(FACT_IMPORTS[[#This Row],[hts_6]],DIM_PRODUCTS[hts_6],DIM_PRODUCTS[hts_4],,,)</f>
        <v>8708</v>
      </c>
      <c r="I12263" t="str" cm="1">
        <f t="array" ref="I12263">_xlfn.XLOOKUP(FACT_IMPORTS[[#This Row],[country_name]],DIM_COUNTRY[[#All],[Column2]],DIM_COUNTRY[[#All],[Column3]],,,)</f>
        <v>Major_Non-USMCA_Non-China</v>
      </c>
    </row>
    <row r="12264" spans="1:9" x14ac:dyDescent="0.4">
      <c r="A12264" t="s">
        <v>73</v>
      </c>
      <c r="B12264" s="1">
        <v>45748</v>
      </c>
      <c r="C12264">
        <v>870891</v>
      </c>
      <c r="D12264" t="s">
        <v>176</v>
      </c>
      <c r="E12264">
        <v>991802</v>
      </c>
      <c r="F12264">
        <v>5658</v>
      </c>
      <c r="G12264">
        <v>1784</v>
      </c>
      <c r="H12264">
        <f>_xlfn.XLOOKUP(FACT_IMPORTS[[#This Row],[hts_6]],DIM_PRODUCTS[hts_6],DIM_PRODUCTS[hts_4],,,)</f>
        <v>8708</v>
      </c>
      <c r="I12264" t="str" cm="1">
        <f t="array" ref="I12264">_xlfn.XLOOKUP(FACT_IMPORTS[[#This Row],[country_name]],DIM_COUNTRY[[#All],[Column2]],DIM_COUNTRY[[#All],[Column3]],,,)</f>
        <v>Major_Non-USMCA_Non-China</v>
      </c>
    </row>
    <row r="12265" spans="1:9" x14ac:dyDescent="0.4">
      <c r="A12265" t="s">
        <v>73</v>
      </c>
      <c r="B12265" s="1">
        <v>45748</v>
      </c>
      <c r="C12265">
        <v>870892</v>
      </c>
      <c r="D12265" t="s">
        <v>176</v>
      </c>
      <c r="E12265">
        <v>351853</v>
      </c>
      <c r="F12265">
        <v>1551</v>
      </c>
      <c r="G12265">
        <v>636</v>
      </c>
      <c r="H12265">
        <f>_xlfn.XLOOKUP(FACT_IMPORTS[[#This Row],[hts_6]],DIM_PRODUCTS[hts_6],DIM_PRODUCTS[hts_4],,,)</f>
        <v>8708</v>
      </c>
      <c r="I12265" t="str" cm="1">
        <f t="array" ref="I12265">_xlfn.XLOOKUP(FACT_IMPORTS[[#This Row],[country_name]],DIM_COUNTRY[[#All],[Column2]],DIM_COUNTRY[[#All],[Column3]],,,)</f>
        <v>Major_Non-USMCA_Non-China</v>
      </c>
    </row>
    <row r="12266" spans="1:9" x14ac:dyDescent="0.4">
      <c r="A12266" t="s">
        <v>73</v>
      </c>
      <c r="B12266" s="1">
        <v>45748</v>
      </c>
      <c r="C12266">
        <v>870893</v>
      </c>
      <c r="D12266" t="s">
        <v>176</v>
      </c>
      <c r="E12266">
        <v>1180189</v>
      </c>
      <c r="F12266">
        <v>80909</v>
      </c>
      <c r="G12266">
        <v>10281</v>
      </c>
      <c r="H12266">
        <f>_xlfn.XLOOKUP(FACT_IMPORTS[[#This Row],[hts_6]],DIM_PRODUCTS[hts_6],DIM_PRODUCTS[hts_4],,,)</f>
        <v>8708</v>
      </c>
      <c r="I12266" t="str" cm="1">
        <f t="array" ref="I12266">_xlfn.XLOOKUP(FACT_IMPORTS[[#This Row],[country_name]],DIM_COUNTRY[[#All],[Column2]],DIM_COUNTRY[[#All],[Column3]],,,)</f>
        <v>Major_Non-USMCA_Non-China</v>
      </c>
    </row>
    <row r="12267" spans="1:9" x14ac:dyDescent="0.4">
      <c r="A12267" t="s">
        <v>73</v>
      </c>
      <c r="B12267" s="1">
        <v>45748</v>
      </c>
      <c r="C12267">
        <v>870894</v>
      </c>
      <c r="D12267" t="s">
        <v>176</v>
      </c>
      <c r="E12267">
        <v>1101291</v>
      </c>
      <c r="F12267">
        <v>123414</v>
      </c>
      <c r="G12267">
        <v>3289</v>
      </c>
      <c r="H12267">
        <f>_xlfn.XLOOKUP(FACT_IMPORTS[[#This Row],[hts_6]],DIM_PRODUCTS[hts_6],DIM_PRODUCTS[hts_4],,,)</f>
        <v>8708</v>
      </c>
      <c r="I12267" t="str" cm="1">
        <f t="array" ref="I12267">_xlfn.XLOOKUP(FACT_IMPORTS[[#This Row],[country_name]],DIM_COUNTRY[[#All],[Column2]],DIM_COUNTRY[[#All],[Column3]],,,)</f>
        <v>Major_Non-USMCA_Non-China</v>
      </c>
    </row>
    <row r="12268" spans="1:9" x14ac:dyDescent="0.4">
      <c r="A12268" t="s">
        <v>73</v>
      </c>
      <c r="B12268" s="1">
        <v>45748</v>
      </c>
      <c r="C12268">
        <v>870895</v>
      </c>
      <c r="D12268" t="s">
        <v>176</v>
      </c>
      <c r="E12268">
        <v>0</v>
      </c>
      <c r="F12268">
        <v>0</v>
      </c>
      <c r="G12268">
        <v>0</v>
      </c>
      <c r="H12268">
        <f>_xlfn.XLOOKUP(FACT_IMPORTS[[#This Row],[hts_6]],DIM_PRODUCTS[hts_6],DIM_PRODUCTS[hts_4],,,)</f>
        <v>8708</v>
      </c>
      <c r="I12268" t="str" cm="1">
        <f t="array" ref="I12268">_xlfn.XLOOKUP(FACT_IMPORTS[[#This Row],[country_name]],DIM_COUNTRY[[#All],[Column2]],DIM_COUNTRY[[#All],[Column3]],,,)</f>
        <v>Major_Non-USMCA_Non-China</v>
      </c>
    </row>
    <row r="12269" spans="1:9" x14ac:dyDescent="0.4">
      <c r="A12269" t="s">
        <v>73</v>
      </c>
      <c r="B12269" s="1">
        <v>45748</v>
      </c>
      <c r="C12269">
        <v>870899</v>
      </c>
      <c r="D12269" t="s">
        <v>176</v>
      </c>
      <c r="E12269">
        <v>25183451</v>
      </c>
      <c r="F12269">
        <v>4511375</v>
      </c>
      <c r="G12269">
        <v>654176</v>
      </c>
      <c r="H12269">
        <f>_xlfn.XLOOKUP(FACT_IMPORTS[[#This Row],[hts_6]],DIM_PRODUCTS[hts_6],DIM_PRODUCTS[hts_4],,,)</f>
        <v>8708</v>
      </c>
      <c r="I12269" t="str" cm="1">
        <f t="array" ref="I12269">_xlfn.XLOOKUP(FACT_IMPORTS[[#This Row],[country_name]],DIM_COUNTRY[[#All],[Column2]],DIM_COUNTRY[[#All],[Column3]],,,)</f>
        <v>Major_Non-USMCA_Non-China</v>
      </c>
    </row>
    <row r="12270" spans="1:9" x14ac:dyDescent="0.4">
      <c r="A12270" t="s">
        <v>73</v>
      </c>
      <c r="B12270" s="1">
        <v>45778</v>
      </c>
      <c r="C12270">
        <v>392630</v>
      </c>
      <c r="D12270" t="s">
        <v>176</v>
      </c>
      <c r="E12270">
        <v>873217</v>
      </c>
      <c r="F12270">
        <v>51575</v>
      </c>
      <c r="G12270">
        <v>35261</v>
      </c>
      <c r="H12270">
        <f>_xlfn.XLOOKUP(FACT_IMPORTS[[#This Row],[hts_6]],DIM_PRODUCTS[hts_6],DIM_PRODUCTS[hts_4],,,)</f>
        <v>3926</v>
      </c>
      <c r="I12270" t="str" cm="1">
        <f t="array" ref="I12270">_xlfn.XLOOKUP(FACT_IMPORTS[[#This Row],[country_name]],DIM_COUNTRY[[#All],[Column2]],DIM_COUNTRY[[#All],[Column3]],,,)</f>
        <v>Major_Non-USMCA_Non-China</v>
      </c>
    </row>
    <row r="12271" spans="1:9" x14ac:dyDescent="0.4">
      <c r="A12271" t="s">
        <v>73</v>
      </c>
      <c r="B12271" s="1">
        <v>45778</v>
      </c>
      <c r="C12271">
        <v>401110</v>
      </c>
      <c r="D12271" t="s">
        <v>176</v>
      </c>
      <c r="E12271">
        <v>5541498</v>
      </c>
      <c r="F12271">
        <v>84133</v>
      </c>
      <c r="G12271">
        <v>949174</v>
      </c>
      <c r="H12271">
        <f>_xlfn.XLOOKUP(FACT_IMPORTS[[#This Row],[hts_6]],DIM_PRODUCTS[hts_6],DIM_PRODUCTS[hts_4],,,)</f>
        <v>4011</v>
      </c>
      <c r="I12271" t="str" cm="1">
        <f t="array" ref="I12271">_xlfn.XLOOKUP(FACT_IMPORTS[[#This Row],[country_name]],DIM_COUNTRY[[#All],[Column2]],DIM_COUNTRY[[#All],[Column3]],,,)</f>
        <v>Major_Non-USMCA_Non-China</v>
      </c>
    </row>
    <row r="12272" spans="1:9" x14ac:dyDescent="0.4">
      <c r="A12272" t="s">
        <v>73</v>
      </c>
      <c r="B12272" s="1">
        <v>45778</v>
      </c>
      <c r="C12272">
        <v>401120</v>
      </c>
      <c r="D12272" t="s">
        <v>176</v>
      </c>
      <c r="E12272">
        <v>0</v>
      </c>
      <c r="F12272">
        <v>0</v>
      </c>
      <c r="G12272">
        <v>0</v>
      </c>
      <c r="H12272">
        <f>_xlfn.XLOOKUP(FACT_IMPORTS[[#This Row],[hts_6]],DIM_PRODUCTS[hts_6],DIM_PRODUCTS[hts_4],,,)</f>
        <v>4011</v>
      </c>
      <c r="I12272" t="str" cm="1">
        <f t="array" ref="I12272">_xlfn.XLOOKUP(FACT_IMPORTS[[#This Row],[country_name]],DIM_COUNTRY[[#All],[Column2]],DIM_COUNTRY[[#All],[Column3]],,,)</f>
        <v>Major_Non-USMCA_Non-China</v>
      </c>
    </row>
    <row r="12273" spans="1:9" x14ac:dyDescent="0.4">
      <c r="A12273" t="s">
        <v>73</v>
      </c>
      <c r="B12273" s="1">
        <v>45778</v>
      </c>
      <c r="C12273">
        <v>700711</v>
      </c>
      <c r="D12273" t="s">
        <v>176</v>
      </c>
      <c r="E12273">
        <v>0</v>
      </c>
      <c r="F12273">
        <v>0</v>
      </c>
      <c r="G12273">
        <v>0</v>
      </c>
      <c r="H12273">
        <f>_xlfn.XLOOKUP(FACT_IMPORTS[[#This Row],[hts_6]],DIM_PRODUCTS[hts_6],DIM_PRODUCTS[hts_4],,,)</f>
        <v>7007</v>
      </c>
      <c r="I12273" t="str" cm="1">
        <f t="array" ref="I12273">_xlfn.XLOOKUP(FACT_IMPORTS[[#This Row],[country_name]],DIM_COUNTRY[[#All],[Column2]],DIM_COUNTRY[[#All],[Column3]],,,)</f>
        <v>Major_Non-USMCA_Non-China</v>
      </c>
    </row>
    <row r="12274" spans="1:9" x14ac:dyDescent="0.4">
      <c r="A12274" t="s">
        <v>73</v>
      </c>
      <c r="B12274" s="1">
        <v>45778</v>
      </c>
      <c r="C12274">
        <v>700910</v>
      </c>
      <c r="D12274" t="s">
        <v>176</v>
      </c>
      <c r="E12274">
        <v>1023800</v>
      </c>
      <c r="F12274">
        <v>15605</v>
      </c>
      <c r="G12274">
        <v>50385</v>
      </c>
      <c r="H12274">
        <f>_xlfn.XLOOKUP(FACT_IMPORTS[[#This Row],[hts_6]],DIM_PRODUCTS[hts_6],DIM_PRODUCTS[hts_4],,,)</f>
        <v>7009</v>
      </c>
      <c r="I12274" t="str" cm="1">
        <f t="array" ref="I12274">_xlfn.XLOOKUP(FACT_IMPORTS[[#This Row],[country_name]],DIM_COUNTRY[[#All],[Column2]],DIM_COUNTRY[[#All],[Column3]],,,)</f>
        <v>Major_Non-USMCA_Non-China</v>
      </c>
    </row>
    <row r="12275" spans="1:9" x14ac:dyDescent="0.4">
      <c r="A12275" t="s">
        <v>73</v>
      </c>
      <c r="B12275" s="1">
        <v>45778</v>
      </c>
      <c r="C12275">
        <v>830230</v>
      </c>
      <c r="D12275" t="s">
        <v>176</v>
      </c>
      <c r="E12275">
        <v>2430623</v>
      </c>
      <c r="F12275">
        <v>496861</v>
      </c>
      <c r="G12275">
        <v>107418</v>
      </c>
      <c r="H12275">
        <f>_xlfn.XLOOKUP(FACT_IMPORTS[[#This Row],[hts_6]],DIM_PRODUCTS[hts_6],DIM_PRODUCTS[hts_4],,,)</f>
        <v>8302</v>
      </c>
      <c r="I12275" t="str" cm="1">
        <f t="array" ref="I12275">_xlfn.XLOOKUP(FACT_IMPORTS[[#This Row],[country_name]],DIM_COUNTRY[[#All],[Column2]],DIM_COUNTRY[[#All],[Column3]],,,)</f>
        <v>Major_Non-USMCA_Non-China</v>
      </c>
    </row>
    <row r="12276" spans="1:9" x14ac:dyDescent="0.4">
      <c r="A12276" t="s">
        <v>73</v>
      </c>
      <c r="B12276" s="1">
        <v>45778</v>
      </c>
      <c r="C12276">
        <v>840734</v>
      </c>
      <c r="D12276" t="s">
        <v>176</v>
      </c>
      <c r="E12276">
        <v>472321</v>
      </c>
      <c r="F12276">
        <v>68</v>
      </c>
      <c r="G12276">
        <v>1615</v>
      </c>
      <c r="H12276">
        <f>_xlfn.XLOOKUP(FACT_IMPORTS[[#This Row],[hts_6]],DIM_PRODUCTS[hts_6],DIM_PRODUCTS[hts_4],,,)</f>
        <v>8407</v>
      </c>
      <c r="I12276" t="str" cm="1">
        <f t="array" ref="I12276">_xlfn.XLOOKUP(FACT_IMPORTS[[#This Row],[country_name]],DIM_COUNTRY[[#All],[Column2]],DIM_COUNTRY[[#All],[Column3]],,,)</f>
        <v>Major_Non-USMCA_Non-China</v>
      </c>
    </row>
    <row r="12277" spans="1:9" x14ac:dyDescent="0.4">
      <c r="A12277" t="s">
        <v>73</v>
      </c>
      <c r="B12277" s="1">
        <v>45778</v>
      </c>
      <c r="C12277">
        <v>840890</v>
      </c>
      <c r="D12277" t="s">
        <v>176</v>
      </c>
      <c r="E12277">
        <v>7000</v>
      </c>
      <c r="F12277">
        <v>1</v>
      </c>
      <c r="G12277">
        <v>250</v>
      </c>
      <c r="H12277">
        <f>_xlfn.XLOOKUP(FACT_IMPORTS[[#This Row],[hts_6]],DIM_PRODUCTS[hts_6],DIM_PRODUCTS[hts_4],,,)</f>
        <v>8408</v>
      </c>
      <c r="I12277" t="str" cm="1">
        <f t="array" ref="I12277">_xlfn.XLOOKUP(FACT_IMPORTS[[#This Row],[country_name]],DIM_COUNTRY[[#All],[Column2]],DIM_COUNTRY[[#All],[Column3]],,,)</f>
        <v>Major_Non-USMCA_Non-China</v>
      </c>
    </row>
    <row r="12278" spans="1:9" x14ac:dyDescent="0.4">
      <c r="A12278" t="s">
        <v>73</v>
      </c>
      <c r="B12278" s="1">
        <v>45778</v>
      </c>
      <c r="C12278">
        <v>840991</v>
      </c>
      <c r="D12278" t="s">
        <v>176</v>
      </c>
      <c r="E12278">
        <v>4747033</v>
      </c>
      <c r="F12278">
        <v>267610</v>
      </c>
      <c r="G12278">
        <v>39774</v>
      </c>
      <c r="H12278">
        <f>_xlfn.XLOOKUP(FACT_IMPORTS[[#This Row],[hts_6]],DIM_PRODUCTS[hts_6],DIM_PRODUCTS[hts_4],,,)</f>
        <v>8409</v>
      </c>
      <c r="I12278" t="str" cm="1">
        <f t="array" ref="I12278">_xlfn.XLOOKUP(FACT_IMPORTS[[#This Row],[country_name]],DIM_COUNTRY[[#All],[Column2]],DIM_COUNTRY[[#All],[Column3]],,,)</f>
        <v>Major_Non-USMCA_Non-China</v>
      </c>
    </row>
    <row r="12279" spans="1:9" x14ac:dyDescent="0.4">
      <c r="A12279" t="s">
        <v>73</v>
      </c>
      <c r="B12279" s="1">
        <v>45778</v>
      </c>
      <c r="C12279">
        <v>840999</v>
      </c>
      <c r="D12279" t="s">
        <v>176</v>
      </c>
      <c r="E12279">
        <v>280347</v>
      </c>
      <c r="F12279">
        <v>11622</v>
      </c>
      <c r="G12279">
        <v>7410</v>
      </c>
      <c r="H12279">
        <f>_xlfn.XLOOKUP(FACT_IMPORTS[[#This Row],[hts_6]],DIM_PRODUCTS[hts_6],DIM_PRODUCTS[hts_4],,,)</f>
        <v>8409</v>
      </c>
      <c r="I12279" t="str" cm="1">
        <f t="array" ref="I12279">_xlfn.XLOOKUP(FACT_IMPORTS[[#This Row],[country_name]],DIM_COUNTRY[[#All],[Column2]],DIM_COUNTRY[[#All],[Column3]],,,)</f>
        <v>Major_Non-USMCA_Non-China</v>
      </c>
    </row>
    <row r="12280" spans="1:9" x14ac:dyDescent="0.4">
      <c r="A12280" t="s">
        <v>73</v>
      </c>
      <c r="B12280" s="1">
        <v>45778</v>
      </c>
      <c r="C12280">
        <v>841330</v>
      </c>
      <c r="D12280" t="s">
        <v>176</v>
      </c>
      <c r="E12280">
        <v>4724299</v>
      </c>
      <c r="F12280">
        <v>168565</v>
      </c>
      <c r="G12280">
        <v>197822</v>
      </c>
      <c r="H12280">
        <f>_xlfn.XLOOKUP(FACT_IMPORTS[[#This Row],[hts_6]],DIM_PRODUCTS[hts_6],DIM_PRODUCTS[hts_4],,,)</f>
        <v>8413</v>
      </c>
      <c r="I12280" t="str" cm="1">
        <f t="array" ref="I12280">_xlfn.XLOOKUP(FACT_IMPORTS[[#This Row],[country_name]],DIM_COUNTRY[[#All],[Column2]],DIM_COUNTRY[[#All],[Column3]],,,)</f>
        <v>Major_Non-USMCA_Non-China</v>
      </c>
    </row>
    <row r="12281" spans="1:9" x14ac:dyDescent="0.4">
      <c r="A12281" t="s">
        <v>73</v>
      </c>
      <c r="B12281" s="1">
        <v>45778</v>
      </c>
      <c r="C12281">
        <v>842132</v>
      </c>
      <c r="D12281" t="s">
        <v>176</v>
      </c>
      <c r="E12281">
        <v>526218</v>
      </c>
      <c r="F12281">
        <v>284</v>
      </c>
      <c r="G12281">
        <v>840</v>
      </c>
      <c r="H12281">
        <f>_xlfn.XLOOKUP(FACT_IMPORTS[[#This Row],[hts_6]],DIM_PRODUCTS[hts_6],DIM_PRODUCTS[hts_4],,,)</f>
        <v>8421</v>
      </c>
      <c r="I12281" t="str" cm="1">
        <f t="array" ref="I12281">_xlfn.XLOOKUP(FACT_IMPORTS[[#This Row],[country_name]],DIM_COUNTRY[[#All],[Column2]],DIM_COUNTRY[[#All],[Column3]],,,)</f>
        <v>Major_Non-USMCA_Non-China</v>
      </c>
    </row>
    <row r="12282" spans="1:9" x14ac:dyDescent="0.4">
      <c r="A12282" t="s">
        <v>73</v>
      </c>
      <c r="B12282" s="1">
        <v>45778</v>
      </c>
      <c r="C12282">
        <v>848210</v>
      </c>
      <c r="D12282" t="s">
        <v>176</v>
      </c>
      <c r="E12282">
        <v>184673</v>
      </c>
      <c r="F12282">
        <v>48035</v>
      </c>
      <c r="G12282">
        <v>238</v>
      </c>
      <c r="H12282">
        <f>_xlfn.XLOOKUP(FACT_IMPORTS[[#This Row],[hts_6]],DIM_PRODUCTS[hts_6],DIM_PRODUCTS[hts_4],,,)</f>
        <v>8482</v>
      </c>
      <c r="I12282" t="str" cm="1">
        <f t="array" ref="I12282">_xlfn.XLOOKUP(FACT_IMPORTS[[#This Row],[country_name]],DIM_COUNTRY[[#All],[Column2]],DIM_COUNTRY[[#All],[Column3]],,,)</f>
        <v>Major_Non-USMCA_Non-China</v>
      </c>
    </row>
    <row r="12283" spans="1:9" x14ac:dyDescent="0.4">
      <c r="A12283" t="s">
        <v>73</v>
      </c>
      <c r="B12283" s="1">
        <v>45778</v>
      </c>
      <c r="C12283">
        <v>848220</v>
      </c>
      <c r="D12283" t="s">
        <v>176</v>
      </c>
      <c r="E12283">
        <v>5927019</v>
      </c>
      <c r="F12283">
        <v>1641761</v>
      </c>
      <c r="G12283">
        <v>1722</v>
      </c>
      <c r="H12283">
        <f>_xlfn.XLOOKUP(FACT_IMPORTS[[#This Row],[hts_6]],DIM_PRODUCTS[hts_6],DIM_PRODUCTS[hts_4],,,)</f>
        <v>8482</v>
      </c>
      <c r="I12283" t="str" cm="1">
        <f t="array" ref="I12283">_xlfn.XLOOKUP(FACT_IMPORTS[[#This Row],[country_name]],DIM_COUNTRY[[#All],[Column2]],DIM_COUNTRY[[#All],[Column3]],,,)</f>
        <v>Major_Non-USMCA_Non-China</v>
      </c>
    </row>
    <row r="12284" spans="1:9" x14ac:dyDescent="0.4">
      <c r="A12284" t="s">
        <v>73</v>
      </c>
      <c r="B12284" s="1">
        <v>45778</v>
      </c>
      <c r="C12284">
        <v>848310</v>
      </c>
      <c r="D12284" t="s">
        <v>176</v>
      </c>
      <c r="E12284">
        <v>77644</v>
      </c>
      <c r="F12284">
        <v>5065</v>
      </c>
      <c r="G12284">
        <v>32</v>
      </c>
      <c r="H12284">
        <f>_xlfn.XLOOKUP(FACT_IMPORTS[[#This Row],[hts_6]],DIM_PRODUCTS[hts_6],DIM_PRODUCTS[hts_4],,,)</f>
        <v>8483</v>
      </c>
      <c r="I12284" t="str" cm="1">
        <f t="array" ref="I12284">_xlfn.XLOOKUP(FACT_IMPORTS[[#This Row],[country_name]],DIM_COUNTRY[[#All],[Column2]],DIM_COUNTRY[[#All],[Column3]],,,)</f>
        <v>Major_Non-USMCA_Non-China</v>
      </c>
    </row>
    <row r="12285" spans="1:9" x14ac:dyDescent="0.4">
      <c r="A12285" t="s">
        <v>73</v>
      </c>
      <c r="B12285" s="1">
        <v>45778</v>
      </c>
      <c r="C12285">
        <v>850131</v>
      </c>
      <c r="D12285" t="s">
        <v>176</v>
      </c>
      <c r="E12285">
        <v>1053471</v>
      </c>
      <c r="F12285">
        <v>124793</v>
      </c>
      <c r="G12285">
        <v>19002</v>
      </c>
      <c r="H12285">
        <f>_xlfn.XLOOKUP(FACT_IMPORTS[[#This Row],[hts_6]],DIM_PRODUCTS[hts_6],DIM_PRODUCTS[hts_4],,,)</f>
        <v>8501</v>
      </c>
      <c r="I12285" t="str" cm="1">
        <f t="array" ref="I12285">_xlfn.XLOOKUP(FACT_IMPORTS[[#This Row],[country_name]],DIM_COUNTRY[[#All],[Column2]],DIM_COUNTRY[[#All],[Column3]],,,)</f>
        <v>Major_Non-USMCA_Non-China</v>
      </c>
    </row>
    <row r="12286" spans="1:9" x14ac:dyDescent="0.4">
      <c r="A12286" t="s">
        <v>73</v>
      </c>
      <c r="B12286" s="1">
        <v>45778</v>
      </c>
      <c r="C12286">
        <v>850132</v>
      </c>
      <c r="D12286" t="s">
        <v>176</v>
      </c>
      <c r="E12286">
        <v>0</v>
      </c>
      <c r="F12286">
        <v>0</v>
      </c>
      <c r="G12286">
        <v>0</v>
      </c>
      <c r="H12286">
        <f>_xlfn.XLOOKUP(FACT_IMPORTS[[#This Row],[hts_6]],DIM_PRODUCTS[hts_6],DIM_PRODUCTS[hts_4],,,)</f>
        <v>8501</v>
      </c>
      <c r="I12286" t="str" cm="1">
        <f t="array" ref="I12286">_xlfn.XLOOKUP(FACT_IMPORTS[[#This Row],[country_name]],DIM_COUNTRY[[#All],[Column2]],DIM_COUNTRY[[#All],[Column3]],,,)</f>
        <v>Major_Non-USMCA_Non-China</v>
      </c>
    </row>
    <row r="12287" spans="1:9" x14ac:dyDescent="0.4">
      <c r="A12287" t="s">
        <v>73</v>
      </c>
      <c r="B12287" s="1">
        <v>45778</v>
      </c>
      <c r="C12287">
        <v>850152</v>
      </c>
      <c r="D12287" t="s">
        <v>176</v>
      </c>
      <c r="E12287">
        <v>36879</v>
      </c>
      <c r="F12287">
        <v>78</v>
      </c>
      <c r="G12287">
        <v>251</v>
      </c>
      <c r="H12287">
        <f>_xlfn.XLOOKUP(FACT_IMPORTS[[#This Row],[hts_6]],DIM_PRODUCTS[hts_6],DIM_PRODUCTS[hts_4],,,)</f>
        <v>8501</v>
      </c>
      <c r="I12287" t="str" cm="1">
        <f t="array" ref="I12287">_xlfn.XLOOKUP(FACT_IMPORTS[[#This Row],[country_name]],DIM_COUNTRY[[#All],[Column2]],DIM_COUNTRY[[#All],[Column3]],,,)</f>
        <v>Major_Non-USMCA_Non-China</v>
      </c>
    </row>
    <row r="12288" spans="1:9" x14ac:dyDescent="0.4">
      <c r="A12288" t="s">
        <v>73</v>
      </c>
      <c r="B12288" s="1">
        <v>45778</v>
      </c>
      <c r="C12288">
        <v>850153</v>
      </c>
      <c r="D12288" t="s">
        <v>176</v>
      </c>
      <c r="E12288">
        <v>25091</v>
      </c>
      <c r="F12288">
        <v>13</v>
      </c>
      <c r="G12288">
        <v>54</v>
      </c>
      <c r="H12288">
        <f>_xlfn.XLOOKUP(FACT_IMPORTS[[#This Row],[hts_6]],DIM_PRODUCTS[hts_6],DIM_PRODUCTS[hts_4],,,)</f>
        <v>8501</v>
      </c>
      <c r="I12288" t="str" cm="1">
        <f t="array" ref="I12288">_xlfn.XLOOKUP(FACT_IMPORTS[[#This Row],[country_name]],DIM_COUNTRY[[#All],[Column2]],DIM_COUNTRY[[#All],[Column3]],,,)</f>
        <v>Major_Non-USMCA_Non-China</v>
      </c>
    </row>
    <row r="12289" spans="1:9" x14ac:dyDescent="0.4">
      <c r="A12289" t="s">
        <v>73</v>
      </c>
      <c r="B12289" s="1">
        <v>45778</v>
      </c>
      <c r="C12289">
        <v>850440</v>
      </c>
      <c r="D12289" t="s">
        <v>176</v>
      </c>
      <c r="E12289">
        <v>2175</v>
      </c>
      <c r="F12289">
        <v>1</v>
      </c>
      <c r="G12289">
        <v>58</v>
      </c>
      <c r="H12289">
        <f>_xlfn.XLOOKUP(FACT_IMPORTS[[#This Row],[hts_6]],DIM_PRODUCTS[hts_6],DIM_PRODUCTS[hts_4],,,)</f>
        <v>8504</v>
      </c>
      <c r="I12289" t="str" cm="1">
        <f t="array" ref="I12289">_xlfn.XLOOKUP(FACT_IMPORTS[[#This Row],[country_name]],DIM_COUNTRY[[#All],[Column2]],DIM_COUNTRY[[#All],[Column3]],,,)</f>
        <v>Major_Non-USMCA_Non-China</v>
      </c>
    </row>
    <row r="12290" spans="1:9" x14ac:dyDescent="0.4">
      <c r="A12290" t="s">
        <v>73</v>
      </c>
      <c r="B12290" s="1">
        <v>45778</v>
      </c>
      <c r="C12290">
        <v>850710</v>
      </c>
      <c r="D12290" t="s">
        <v>176</v>
      </c>
      <c r="E12290">
        <v>1050325</v>
      </c>
      <c r="F12290">
        <v>21306</v>
      </c>
      <c r="G12290">
        <v>56151</v>
      </c>
      <c r="H12290">
        <f>_xlfn.XLOOKUP(FACT_IMPORTS[[#This Row],[hts_6]],DIM_PRODUCTS[hts_6],DIM_PRODUCTS[hts_4],,,)</f>
        <v>8507</v>
      </c>
      <c r="I12290" t="str" cm="1">
        <f t="array" ref="I12290">_xlfn.XLOOKUP(FACT_IMPORTS[[#This Row],[country_name]],DIM_COUNTRY[[#All],[Column2]],DIM_COUNTRY[[#All],[Column3]],,,)</f>
        <v>Major_Non-USMCA_Non-China</v>
      </c>
    </row>
    <row r="12291" spans="1:9" x14ac:dyDescent="0.4">
      <c r="A12291" t="s">
        <v>73</v>
      </c>
      <c r="B12291" s="1">
        <v>45778</v>
      </c>
      <c r="C12291">
        <v>850760</v>
      </c>
      <c r="D12291" t="s">
        <v>176</v>
      </c>
      <c r="E12291">
        <v>210496</v>
      </c>
      <c r="F12291">
        <v>1867</v>
      </c>
      <c r="G12291">
        <v>10715</v>
      </c>
      <c r="H12291">
        <f>_xlfn.XLOOKUP(FACT_IMPORTS[[#This Row],[hts_6]],DIM_PRODUCTS[hts_6],DIM_PRODUCTS[hts_4],,,)</f>
        <v>8507</v>
      </c>
      <c r="I12291" t="str" cm="1">
        <f t="array" ref="I12291">_xlfn.XLOOKUP(FACT_IMPORTS[[#This Row],[country_name]],DIM_COUNTRY[[#All],[Column2]],DIM_COUNTRY[[#All],[Column3]],,,)</f>
        <v>Major_Non-USMCA_Non-China</v>
      </c>
    </row>
    <row r="12292" spans="1:9" x14ac:dyDescent="0.4">
      <c r="A12292" t="s">
        <v>73</v>
      </c>
      <c r="B12292" s="1">
        <v>45778</v>
      </c>
      <c r="C12292">
        <v>850790</v>
      </c>
      <c r="D12292" t="s">
        <v>176</v>
      </c>
      <c r="E12292">
        <v>200117</v>
      </c>
      <c r="F12292">
        <v>3402</v>
      </c>
      <c r="G12292">
        <v>19788</v>
      </c>
      <c r="H12292">
        <f>_xlfn.XLOOKUP(FACT_IMPORTS[[#This Row],[hts_6]],DIM_PRODUCTS[hts_6],DIM_PRODUCTS[hts_4],,,)</f>
        <v>8507</v>
      </c>
      <c r="I12292" t="str" cm="1">
        <f t="array" ref="I12292">_xlfn.XLOOKUP(FACT_IMPORTS[[#This Row],[country_name]],DIM_COUNTRY[[#All],[Column2]],DIM_COUNTRY[[#All],[Column3]],,,)</f>
        <v>Major_Non-USMCA_Non-China</v>
      </c>
    </row>
    <row r="12293" spans="1:9" x14ac:dyDescent="0.4">
      <c r="A12293" t="s">
        <v>73</v>
      </c>
      <c r="B12293" s="1">
        <v>45778</v>
      </c>
      <c r="C12293">
        <v>851110</v>
      </c>
      <c r="D12293" t="s">
        <v>176</v>
      </c>
      <c r="E12293">
        <v>0</v>
      </c>
      <c r="F12293">
        <v>0</v>
      </c>
      <c r="G12293">
        <v>0</v>
      </c>
      <c r="H12293">
        <f>_xlfn.XLOOKUP(FACT_IMPORTS[[#This Row],[hts_6]],DIM_PRODUCTS[hts_6],DIM_PRODUCTS[hts_4],,,)</f>
        <v>8511</v>
      </c>
      <c r="I12293" t="str" cm="1">
        <f t="array" ref="I12293">_xlfn.XLOOKUP(FACT_IMPORTS[[#This Row],[country_name]],DIM_COUNTRY[[#All],[Column2]],DIM_COUNTRY[[#All],[Column3]],,,)</f>
        <v>Major_Non-USMCA_Non-China</v>
      </c>
    </row>
    <row r="12294" spans="1:9" x14ac:dyDescent="0.4">
      <c r="A12294" t="s">
        <v>73</v>
      </c>
      <c r="B12294" s="1">
        <v>45778</v>
      </c>
      <c r="C12294">
        <v>851130</v>
      </c>
      <c r="D12294" t="s">
        <v>176</v>
      </c>
      <c r="E12294">
        <v>0</v>
      </c>
      <c r="F12294">
        <v>0</v>
      </c>
      <c r="G12294">
        <v>0</v>
      </c>
      <c r="H12294">
        <f>_xlfn.XLOOKUP(FACT_IMPORTS[[#This Row],[hts_6]],DIM_PRODUCTS[hts_6],DIM_PRODUCTS[hts_4],,,)</f>
        <v>8511</v>
      </c>
      <c r="I12294" t="str" cm="1">
        <f t="array" ref="I12294">_xlfn.XLOOKUP(FACT_IMPORTS[[#This Row],[country_name]],DIM_COUNTRY[[#All],[Column2]],DIM_COUNTRY[[#All],[Column3]],,,)</f>
        <v>Major_Non-USMCA_Non-China</v>
      </c>
    </row>
    <row r="12295" spans="1:9" x14ac:dyDescent="0.4">
      <c r="A12295" t="s">
        <v>73</v>
      </c>
      <c r="B12295" s="1">
        <v>45778</v>
      </c>
      <c r="C12295">
        <v>851140</v>
      </c>
      <c r="D12295" t="s">
        <v>176</v>
      </c>
      <c r="E12295">
        <v>77142</v>
      </c>
      <c r="F12295">
        <v>1048</v>
      </c>
      <c r="G12295">
        <v>121</v>
      </c>
      <c r="H12295">
        <f>_xlfn.XLOOKUP(FACT_IMPORTS[[#This Row],[hts_6]],DIM_PRODUCTS[hts_6],DIM_PRODUCTS[hts_4],,,)</f>
        <v>8511</v>
      </c>
      <c r="I12295" t="str" cm="1">
        <f t="array" ref="I12295">_xlfn.XLOOKUP(FACT_IMPORTS[[#This Row],[country_name]],DIM_COUNTRY[[#All],[Column2]],DIM_COUNTRY[[#All],[Column3]],,,)</f>
        <v>Major_Non-USMCA_Non-China</v>
      </c>
    </row>
    <row r="12296" spans="1:9" x14ac:dyDescent="0.4">
      <c r="A12296" t="s">
        <v>73</v>
      </c>
      <c r="B12296" s="1">
        <v>45778</v>
      </c>
      <c r="C12296">
        <v>851150</v>
      </c>
      <c r="D12296" t="s">
        <v>176</v>
      </c>
      <c r="E12296">
        <v>156384</v>
      </c>
      <c r="F12296">
        <v>965</v>
      </c>
      <c r="G12296">
        <v>212</v>
      </c>
      <c r="H12296">
        <f>_xlfn.XLOOKUP(FACT_IMPORTS[[#This Row],[hts_6]],DIM_PRODUCTS[hts_6],DIM_PRODUCTS[hts_4],,,)</f>
        <v>8511</v>
      </c>
      <c r="I12296" t="str" cm="1">
        <f t="array" ref="I12296">_xlfn.XLOOKUP(FACT_IMPORTS[[#This Row],[country_name]],DIM_COUNTRY[[#All],[Column2]],DIM_COUNTRY[[#All],[Column3]],,,)</f>
        <v>Major_Non-USMCA_Non-China</v>
      </c>
    </row>
    <row r="12297" spans="1:9" x14ac:dyDescent="0.4">
      <c r="A12297" t="s">
        <v>73</v>
      </c>
      <c r="B12297" s="1">
        <v>45778</v>
      </c>
      <c r="C12297">
        <v>851190</v>
      </c>
      <c r="D12297" t="s">
        <v>176</v>
      </c>
      <c r="E12297">
        <v>167591</v>
      </c>
      <c r="F12297">
        <v>18528</v>
      </c>
      <c r="G12297">
        <v>6826</v>
      </c>
      <c r="H12297">
        <f>_xlfn.XLOOKUP(FACT_IMPORTS[[#This Row],[hts_6]],DIM_PRODUCTS[hts_6],DIM_PRODUCTS[hts_4],,,)</f>
        <v>8511</v>
      </c>
      <c r="I12297" t="str" cm="1">
        <f t="array" ref="I12297">_xlfn.XLOOKUP(FACT_IMPORTS[[#This Row],[country_name]],DIM_COUNTRY[[#All],[Column2]],DIM_COUNTRY[[#All],[Column3]],,,)</f>
        <v>Major_Non-USMCA_Non-China</v>
      </c>
    </row>
    <row r="12298" spans="1:9" x14ac:dyDescent="0.4">
      <c r="A12298" t="s">
        <v>73</v>
      </c>
      <c r="B12298" s="1">
        <v>45778</v>
      </c>
      <c r="C12298">
        <v>851220</v>
      </c>
      <c r="D12298" t="s">
        <v>176</v>
      </c>
      <c r="E12298">
        <v>11904349</v>
      </c>
      <c r="F12298">
        <v>1219268</v>
      </c>
      <c r="G12298">
        <v>567945</v>
      </c>
      <c r="H12298">
        <f>_xlfn.XLOOKUP(FACT_IMPORTS[[#This Row],[hts_6]],DIM_PRODUCTS[hts_6],DIM_PRODUCTS[hts_4],,,)</f>
        <v>8512</v>
      </c>
      <c r="I12298" t="str" cm="1">
        <f t="array" ref="I12298">_xlfn.XLOOKUP(FACT_IMPORTS[[#This Row],[country_name]],DIM_COUNTRY[[#All],[Column2]],DIM_COUNTRY[[#All],[Column3]],,,)</f>
        <v>Major_Non-USMCA_Non-China</v>
      </c>
    </row>
    <row r="12299" spans="1:9" x14ac:dyDescent="0.4">
      <c r="A12299" t="s">
        <v>73</v>
      </c>
      <c r="B12299" s="1">
        <v>45778</v>
      </c>
      <c r="C12299">
        <v>851230</v>
      </c>
      <c r="D12299" t="s">
        <v>176</v>
      </c>
      <c r="E12299">
        <v>3309</v>
      </c>
      <c r="F12299">
        <v>25</v>
      </c>
      <c r="G12299">
        <v>68</v>
      </c>
      <c r="H12299">
        <f>_xlfn.XLOOKUP(FACT_IMPORTS[[#This Row],[hts_6]],DIM_PRODUCTS[hts_6],DIM_PRODUCTS[hts_4],,,)</f>
        <v>8512</v>
      </c>
      <c r="I12299" t="str" cm="1">
        <f t="array" ref="I12299">_xlfn.XLOOKUP(FACT_IMPORTS[[#This Row],[country_name]],DIM_COUNTRY[[#All],[Column2]],DIM_COUNTRY[[#All],[Column3]],,,)</f>
        <v>Major_Non-USMCA_Non-China</v>
      </c>
    </row>
    <row r="12300" spans="1:9" x14ac:dyDescent="0.4">
      <c r="A12300" t="s">
        <v>73</v>
      </c>
      <c r="B12300" s="1">
        <v>45778</v>
      </c>
      <c r="C12300">
        <v>851240</v>
      </c>
      <c r="D12300" t="s">
        <v>176</v>
      </c>
      <c r="E12300">
        <v>263121</v>
      </c>
      <c r="F12300">
        <v>36738</v>
      </c>
      <c r="G12300">
        <v>12077</v>
      </c>
      <c r="H12300">
        <f>_xlfn.XLOOKUP(FACT_IMPORTS[[#This Row],[hts_6]],DIM_PRODUCTS[hts_6],DIM_PRODUCTS[hts_4],,,)</f>
        <v>8512</v>
      </c>
      <c r="I12300" t="str" cm="1">
        <f t="array" ref="I12300">_xlfn.XLOOKUP(FACT_IMPORTS[[#This Row],[country_name]],DIM_COUNTRY[[#All],[Column2]],DIM_COUNTRY[[#All],[Column3]],,,)</f>
        <v>Major_Non-USMCA_Non-China</v>
      </c>
    </row>
    <row r="12301" spans="1:9" x14ac:dyDescent="0.4">
      <c r="A12301" t="s">
        <v>73</v>
      </c>
      <c r="B12301" s="1">
        <v>45778</v>
      </c>
      <c r="C12301">
        <v>851290</v>
      </c>
      <c r="D12301" t="s">
        <v>176</v>
      </c>
      <c r="E12301">
        <v>1162405</v>
      </c>
      <c r="F12301">
        <v>76350</v>
      </c>
      <c r="G12301">
        <v>52015</v>
      </c>
      <c r="H12301">
        <f>_xlfn.XLOOKUP(FACT_IMPORTS[[#This Row],[hts_6]],DIM_PRODUCTS[hts_6],DIM_PRODUCTS[hts_4],,,)</f>
        <v>8512</v>
      </c>
      <c r="I12301" t="str" cm="1">
        <f t="array" ref="I12301">_xlfn.XLOOKUP(FACT_IMPORTS[[#This Row],[country_name]],DIM_COUNTRY[[#All],[Column2]],DIM_COUNTRY[[#All],[Column3]],,,)</f>
        <v>Major_Non-USMCA_Non-China</v>
      </c>
    </row>
    <row r="12302" spans="1:9" x14ac:dyDescent="0.4">
      <c r="A12302" t="s">
        <v>73</v>
      </c>
      <c r="B12302" s="1">
        <v>45778</v>
      </c>
      <c r="C12302">
        <v>854231</v>
      </c>
      <c r="D12302" t="s">
        <v>176</v>
      </c>
      <c r="E12302">
        <v>1263470</v>
      </c>
      <c r="F12302">
        <v>25500</v>
      </c>
      <c r="G12302">
        <v>126347</v>
      </c>
      <c r="H12302">
        <f>_xlfn.XLOOKUP(FACT_IMPORTS[[#This Row],[hts_6]],DIM_PRODUCTS[hts_6],DIM_PRODUCTS[hts_4],,,)</f>
        <v>8542</v>
      </c>
      <c r="I12302" t="str" cm="1">
        <f t="array" ref="I12302">_xlfn.XLOOKUP(FACT_IMPORTS[[#This Row],[country_name]],DIM_COUNTRY[[#All],[Column2]],DIM_COUNTRY[[#All],[Column3]],,,)</f>
        <v>Major_Non-USMCA_Non-China</v>
      </c>
    </row>
    <row r="12303" spans="1:9" x14ac:dyDescent="0.4">
      <c r="A12303" t="s">
        <v>73</v>
      </c>
      <c r="B12303" s="1">
        <v>45778</v>
      </c>
      <c r="C12303">
        <v>854232</v>
      </c>
      <c r="D12303" t="s">
        <v>176</v>
      </c>
      <c r="E12303">
        <v>0</v>
      </c>
      <c r="F12303">
        <v>0</v>
      </c>
      <c r="G12303">
        <v>0</v>
      </c>
      <c r="H12303">
        <f>_xlfn.XLOOKUP(FACT_IMPORTS[[#This Row],[hts_6]],DIM_PRODUCTS[hts_6],DIM_PRODUCTS[hts_4],,,)</f>
        <v>8542</v>
      </c>
      <c r="I12303" t="str" cm="1">
        <f t="array" ref="I12303">_xlfn.XLOOKUP(FACT_IMPORTS[[#This Row],[country_name]],DIM_COUNTRY[[#All],[Column2]],DIM_COUNTRY[[#All],[Column3]],,,)</f>
        <v>Major_Non-USMCA_Non-China</v>
      </c>
    </row>
    <row r="12304" spans="1:9" x14ac:dyDescent="0.4">
      <c r="A12304" t="s">
        <v>73</v>
      </c>
      <c r="B12304" s="1">
        <v>45778</v>
      </c>
      <c r="C12304">
        <v>854239</v>
      </c>
      <c r="D12304" t="s">
        <v>176</v>
      </c>
      <c r="E12304">
        <v>795880</v>
      </c>
      <c r="F12304">
        <v>14500</v>
      </c>
      <c r="G12304">
        <v>79588</v>
      </c>
      <c r="H12304">
        <f>_xlfn.XLOOKUP(FACT_IMPORTS[[#This Row],[hts_6]],DIM_PRODUCTS[hts_6],DIM_PRODUCTS[hts_4],,,)</f>
        <v>8542</v>
      </c>
      <c r="I12304" t="str" cm="1">
        <f t="array" ref="I12304">_xlfn.XLOOKUP(FACT_IMPORTS[[#This Row],[country_name]],DIM_COUNTRY[[#All],[Column2]],DIM_COUNTRY[[#All],[Column3]],,,)</f>
        <v>Major_Non-USMCA_Non-China</v>
      </c>
    </row>
    <row r="12305" spans="1:9" x14ac:dyDescent="0.4">
      <c r="A12305" t="s">
        <v>73</v>
      </c>
      <c r="B12305" s="1">
        <v>45778</v>
      </c>
      <c r="C12305">
        <v>854430</v>
      </c>
      <c r="D12305" t="s">
        <v>176</v>
      </c>
      <c r="E12305">
        <v>59627</v>
      </c>
      <c r="F12305">
        <v>253</v>
      </c>
      <c r="G12305">
        <v>67</v>
      </c>
      <c r="H12305">
        <f>_xlfn.XLOOKUP(FACT_IMPORTS[[#This Row],[hts_6]],DIM_PRODUCTS[hts_6],DIM_PRODUCTS[hts_4],,,)</f>
        <v>8544</v>
      </c>
      <c r="I12305" t="str" cm="1">
        <f t="array" ref="I12305">_xlfn.XLOOKUP(FACT_IMPORTS[[#This Row],[country_name]],DIM_COUNTRY[[#All],[Column2]],DIM_COUNTRY[[#All],[Column3]],,,)</f>
        <v>Major_Non-USMCA_Non-China</v>
      </c>
    </row>
    <row r="12306" spans="1:9" x14ac:dyDescent="0.4">
      <c r="A12306" t="s">
        <v>73</v>
      </c>
      <c r="B12306" s="1">
        <v>45778</v>
      </c>
      <c r="C12306">
        <v>870810</v>
      </c>
      <c r="D12306" t="s">
        <v>176</v>
      </c>
      <c r="E12306">
        <v>4136185</v>
      </c>
      <c r="F12306">
        <v>212014</v>
      </c>
      <c r="G12306">
        <v>26652</v>
      </c>
      <c r="H12306">
        <f>_xlfn.XLOOKUP(FACT_IMPORTS[[#This Row],[hts_6]],DIM_PRODUCTS[hts_6],DIM_PRODUCTS[hts_4],,,)</f>
        <v>8708</v>
      </c>
      <c r="I12306" t="str" cm="1">
        <f t="array" ref="I12306">_xlfn.XLOOKUP(FACT_IMPORTS[[#This Row],[country_name]],DIM_COUNTRY[[#All],[Column2]],DIM_COUNTRY[[#All],[Column3]],,,)</f>
        <v>Major_Non-USMCA_Non-China</v>
      </c>
    </row>
    <row r="12307" spans="1:9" x14ac:dyDescent="0.4">
      <c r="A12307" t="s">
        <v>73</v>
      </c>
      <c r="B12307" s="1">
        <v>45778</v>
      </c>
      <c r="C12307">
        <v>870822</v>
      </c>
      <c r="D12307" t="s">
        <v>176</v>
      </c>
      <c r="E12307">
        <v>78294</v>
      </c>
      <c r="F12307">
        <v>474</v>
      </c>
      <c r="G12307">
        <v>145</v>
      </c>
      <c r="H12307">
        <f>_xlfn.XLOOKUP(FACT_IMPORTS[[#This Row],[hts_6]],DIM_PRODUCTS[hts_6],DIM_PRODUCTS[hts_4],,,)</f>
        <v>8708</v>
      </c>
      <c r="I12307" t="str" cm="1">
        <f t="array" ref="I12307">_xlfn.XLOOKUP(FACT_IMPORTS[[#This Row],[country_name]],DIM_COUNTRY[[#All],[Column2]],DIM_COUNTRY[[#All],[Column3]],,,)</f>
        <v>Major_Non-USMCA_Non-China</v>
      </c>
    </row>
    <row r="12308" spans="1:9" x14ac:dyDescent="0.4">
      <c r="A12308" t="s">
        <v>73</v>
      </c>
      <c r="B12308" s="1">
        <v>45778</v>
      </c>
      <c r="C12308">
        <v>870829</v>
      </c>
      <c r="D12308" t="s">
        <v>176</v>
      </c>
      <c r="E12308">
        <v>10420748</v>
      </c>
      <c r="F12308">
        <v>3478968</v>
      </c>
      <c r="G12308">
        <v>389297</v>
      </c>
      <c r="H12308">
        <f>_xlfn.XLOOKUP(FACT_IMPORTS[[#This Row],[hts_6]],DIM_PRODUCTS[hts_6],DIM_PRODUCTS[hts_4],,,)</f>
        <v>8708</v>
      </c>
      <c r="I12308" t="str" cm="1">
        <f t="array" ref="I12308">_xlfn.XLOOKUP(FACT_IMPORTS[[#This Row],[country_name]],DIM_COUNTRY[[#All],[Column2]],DIM_COUNTRY[[#All],[Column3]],,,)</f>
        <v>Major_Non-USMCA_Non-China</v>
      </c>
    </row>
    <row r="12309" spans="1:9" x14ac:dyDescent="0.4">
      <c r="A12309" t="s">
        <v>73</v>
      </c>
      <c r="B12309" s="1">
        <v>45778</v>
      </c>
      <c r="C12309">
        <v>870830</v>
      </c>
      <c r="D12309" t="s">
        <v>176</v>
      </c>
      <c r="E12309">
        <v>490894</v>
      </c>
      <c r="F12309">
        <v>156976</v>
      </c>
      <c r="G12309">
        <v>3325</v>
      </c>
      <c r="H12309">
        <f>_xlfn.XLOOKUP(FACT_IMPORTS[[#This Row],[hts_6]],DIM_PRODUCTS[hts_6],DIM_PRODUCTS[hts_4],,,)</f>
        <v>8708</v>
      </c>
      <c r="I12309" t="str" cm="1">
        <f t="array" ref="I12309">_xlfn.XLOOKUP(FACT_IMPORTS[[#This Row],[country_name]],DIM_COUNTRY[[#All],[Column2]],DIM_COUNTRY[[#All],[Column3]],,,)</f>
        <v>Major_Non-USMCA_Non-China</v>
      </c>
    </row>
    <row r="12310" spans="1:9" x14ac:dyDescent="0.4">
      <c r="A12310" t="s">
        <v>73</v>
      </c>
      <c r="B12310" s="1">
        <v>45778</v>
      </c>
      <c r="C12310">
        <v>870840</v>
      </c>
      <c r="D12310" t="s">
        <v>176</v>
      </c>
      <c r="E12310">
        <v>4894066</v>
      </c>
      <c r="F12310">
        <v>418193</v>
      </c>
      <c r="G12310">
        <v>122042</v>
      </c>
      <c r="H12310">
        <f>_xlfn.XLOOKUP(FACT_IMPORTS[[#This Row],[hts_6]],DIM_PRODUCTS[hts_6],DIM_PRODUCTS[hts_4],,,)</f>
        <v>8708</v>
      </c>
      <c r="I12310" t="str" cm="1">
        <f t="array" ref="I12310">_xlfn.XLOOKUP(FACT_IMPORTS[[#This Row],[country_name]],DIM_COUNTRY[[#All],[Column2]],DIM_COUNTRY[[#All],[Column3]],,,)</f>
        <v>Major_Non-USMCA_Non-China</v>
      </c>
    </row>
    <row r="12311" spans="1:9" x14ac:dyDescent="0.4">
      <c r="A12311" t="s">
        <v>73</v>
      </c>
      <c r="B12311" s="1">
        <v>45778</v>
      </c>
      <c r="C12311">
        <v>870850</v>
      </c>
      <c r="D12311" t="s">
        <v>176</v>
      </c>
      <c r="E12311">
        <v>14552694</v>
      </c>
      <c r="F12311">
        <v>948475</v>
      </c>
      <c r="G12311">
        <v>366835</v>
      </c>
      <c r="H12311">
        <f>_xlfn.XLOOKUP(FACT_IMPORTS[[#This Row],[hts_6]],DIM_PRODUCTS[hts_6],DIM_PRODUCTS[hts_4],,,)</f>
        <v>8708</v>
      </c>
      <c r="I12311" t="str" cm="1">
        <f t="array" ref="I12311">_xlfn.XLOOKUP(FACT_IMPORTS[[#This Row],[country_name]],DIM_COUNTRY[[#All],[Column2]],DIM_COUNTRY[[#All],[Column3]],,,)</f>
        <v>Major_Non-USMCA_Non-China</v>
      </c>
    </row>
    <row r="12312" spans="1:9" x14ac:dyDescent="0.4">
      <c r="A12312" t="s">
        <v>73</v>
      </c>
      <c r="B12312" s="1">
        <v>45778</v>
      </c>
      <c r="C12312">
        <v>870870</v>
      </c>
      <c r="D12312" t="s">
        <v>176</v>
      </c>
      <c r="E12312">
        <v>1020735</v>
      </c>
      <c r="F12312">
        <v>13218</v>
      </c>
      <c r="G12312">
        <v>96668</v>
      </c>
      <c r="H12312">
        <f>_xlfn.XLOOKUP(FACT_IMPORTS[[#This Row],[hts_6]],DIM_PRODUCTS[hts_6],DIM_PRODUCTS[hts_4],,,)</f>
        <v>8708</v>
      </c>
      <c r="I12312" t="str" cm="1">
        <f t="array" ref="I12312">_xlfn.XLOOKUP(FACT_IMPORTS[[#This Row],[country_name]],DIM_COUNTRY[[#All],[Column2]],DIM_COUNTRY[[#All],[Column3]],,,)</f>
        <v>Major_Non-USMCA_Non-China</v>
      </c>
    </row>
    <row r="12313" spans="1:9" x14ac:dyDescent="0.4">
      <c r="A12313" t="s">
        <v>73</v>
      </c>
      <c r="B12313" s="1">
        <v>45778</v>
      </c>
      <c r="C12313">
        <v>870880</v>
      </c>
      <c r="D12313" t="s">
        <v>176</v>
      </c>
      <c r="E12313">
        <v>8123986</v>
      </c>
      <c r="F12313">
        <v>1872282</v>
      </c>
      <c r="G12313">
        <v>95426</v>
      </c>
      <c r="H12313">
        <f>_xlfn.XLOOKUP(FACT_IMPORTS[[#This Row],[hts_6]],DIM_PRODUCTS[hts_6],DIM_PRODUCTS[hts_4],,,)</f>
        <v>8708</v>
      </c>
      <c r="I12313" t="str" cm="1">
        <f t="array" ref="I12313">_xlfn.XLOOKUP(FACT_IMPORTS[[#This Row],[country_name]],DIM_COUNTRY[[#All],[Column2]],DIM_COUNTRY[[#All],[Column3]],,,)</f>
        <v>Major_Non-USMCA_Non-China</v>
      </c>
    </row>
    <row r="12314" spans="1:9" x14ac:dyDescent="0.4">
      <c r="A12314" t="s">
        <v>73</v>
      </c>
      <c r="B12314" s="1">
        <v>45778</v>
      </c>
      <c r="C12314">
        <v>870891</v>
      </c>
      <c r="D12314" t="s">
        <v>176</v>
      </c>
      <c r="E12314">
        <v>509122</v>
      </c>
      <c r="F12314">
        <v>2503</v>
      </c>
      <c r="G12314">
        <v>960</v>
      </c>
      <c r="H12314">
        <f>_xlfn.XLOOKUP(FACT_IMPORTS[[#This Row],[hts_6]],DIM_PRODUCTS[hts_6],DIM_PRODUCTS[hts_4],,,)</f>
        <v>8708</v>
      </c>
      <c r="I12314" t="str" cm="1">
        <f t="array" ref="I12314">_xlfn.XLOOKUP(FACT_IMPORTS[[#This Row],[country_name]],DIM_COUNTRY[[#All],[Column2]],DIM_COUNTRY[[#All],[Column3]],,,)</f>
        <v>Major_Non-USMCA_Non-China</v>
      </c>
    </row>
    <row r="12315" spans="1:9" x14ac:dyDescent="0.4">
      <c r="A12315" t="s">
        <v>73</v>
      </c>
      <c r="B12315" s="1">
        <v>45778</v>
      </c>
      <c r="C12315">
        <v>870892</v>
      </c>
      <c r="D12315" t="s">
        <v>176</v>
      </c>
      <c r="E12315">
        <v>520551</v>
      </c>
      <c r="F12315">
        <v>2248</v>
      </c>
      <c r="G12315">
        <v>929</v>
      </c>
      <c r="H12315">
        <f>_xlfn.XLOOKUP(FACT_IMPORTS[[#This Row],[hts_6]],DIM_PRODUCTS[hts_6],DIM_PRODUCTS[hts_4],,,)</f>
        <v>8708</v>
      </c>
      <c r="I12315" t="str" cm="1">
        <f t="array" ref="I12315">_xlfn.XLOOKUP(FACT_IMPORTS[[#This Row],[country_name]],DIM_COUNTRY[[#All],[Column2]],DIM_COUNTRY[[#All],[Column3]],,,)</f>
        <v>Major_Non-USMCA_Non-China</v>
      </c>
    </row>
    <row r="12316" spans="1:9" x14ac:dyDescent="0.4">
      <c r="A12316" t="s">
        <v>73</v>
      </c>
      <c r="B12316" s="1">
        <v>45778</v>
      </c>
      <c r="C12316">
        <v>870893</v>
      </c>
      <c r="D12316" t="s">
        <v>176</v>
      </c>
      <c r="E12316">
        <v>1774306</v>
      </c>
      <c r="F12316">
        <v>151551</v>
      </c>
      <c r="G12316">
        <v>17123</v>
      </c>
      <c r="H12316">
        <f>_xlfn.XLOOKUP(FACT_IMPORTS[[#This Row],[hts_6]],DIM_PRODUCTS[hts_6],DIM_PRODUCTS[hts_4],,,)</f>
        <v>8708</v>
      </c>
      <c r="I12316" t="str" cm="1">
        <f t="array" ref="I12316">_xlfn.XLOOKUP(FACT_IMPORTS[[#This Row],[country_name]],DIM_COUNTRY[[#All],[Column2]],DIM_COUNTRY[[#All],[Column3]],,,)</f>
        <v>Major_Non-USMCA_Non-China</v>
      </c>
    </row>
    <row r="12317" spans="1:9" x14ac:dyDescent="0.4">
      <c r="A12317" t="s">
        <v>73</v>
      </c>
      <c r="B12317" s="1">
        <v>45778</v>
      </c>
      <c r="C12317">
        <v>870894</v>
      </c>
      <c r="D12317" t="s">
        <v>176</v>
      </c>
      <c r="E12317">
        <v>1550856</v>
      </c>
      <c r="F12317">
        <v>471576</v>
      </c>
      <c r="G12317">
        <v>102073</v>
      </c>
      <c r="H12317">
        <f>_xlfn.XLOOKUP(FACT_IMPORTS[[#This Row],[hts_6]],DIM_PRODUCTS[hts_6],DIM_PRODUCTS[hts_4],,,)</f>
        <v>8708</v>
      </c>
      <c r="I12317" t="str" cm="1">
        <f t="array" ref="I12317">_xlfn.XLOOKUP(FACT_IMPORTS[[#This Row],[country_name]],DIM_COUNTRY[[#All],[Column2]],DIM_COUNTRY[[#All],[Column3]],,,)</f>
        <v>Major_Non-USMCA_Non-China</v>
      </c>
    </row>
    <row r="12318" spans="1:9" x14ac:dyDescent="0.4">
      <c r="A12318" t="s">
        <v>73</v>
      </c>
      <c r="B12318" s="1">
        <v>45778</v>
      </c>
      <c r="C12318">
        <v>870895</v>
      </c>
      <c r="D12318" t="s">
        <v>176</v>
      </c>
      <c r="E12318">
        <v>62063</v>
      </c>
      <c r="F12318">
        <v>455</v>
      </c>
      <c r="G12318">
        <v>41</v>
      </c>
      <c r="H12318">
        <f>_xlfn.XLOOKUP(FACT_IMPORTS[[#This Row],[hts_6]],DIM_PRODUCTS[hts_6],DIM_PRODUCTS[hts_4],,,)</f>
        <v>8708</v>
      </c>
      <c r="I12318" t="str" cm="1">
        <f t="array" ref="I12318">_xlfn.XLOOKUP(FACT_IMPORTS[[#This Row],[country_name]],DIM_COUNTRY[[#All],[Column2]],DIM_COUNTRY[[#All],[Column3]],,,)</f>
        <v>Major_Non-USMCA_Non-China</v>
      </c>
    </row>
    <row r="12319" spans="1:9" x14ac:dyDescent="0.4">
      <c r="A12319" t="s">
        <v>73</v>
      </c>
      <c r="B12319" s="1">
        <v>45778</v>
      </c>
      <c r="C12319">
        <v>870899</v>
      </c>
      <c r="D12319" t="s">
        <v>176</v>
      </c>
      <c r="E12319">
        <v>22216022</v>
      </c>
      <c r="F12319">
        <v>3917310</v>
      </c>
      <c r="G12319">
        <v>692924</v>
      </c>
      <c r="H12319">
        <f>_xlfn.XLOOKUP(FACT_IMPORTS[[#This Row],[hts_6]],DIM_PRODUCTS[hts_6],DIM_PRODUCTS[hts_4],,,)</f>
        <v>8708</v>
      </c>
      <c r="I12319" t="str" cm="1">
        <f t="array" ref="I12319">_xlfn.XLOOKUP(FACT_IMPORTS[[#This Row],[country_name]],DIM_COUNTRY[[#All],[Column2]],DIM_COUNTRY[[#All],[Column3]],,,)</f>
        <v>Major_Non-USMCA_Non-China</v>
      </c>
    </row>
    <row r="12320" spans="1:9" x14ac:dyDescent="0.4">
      <c r="A12320" t="s">
        <v>73</v>
      </c>
      <c r="B12320" s="1">
        <v>45809</v>
      </c>
      <c r="C12320">
        <v>392630</v>
      </c>
      <c r="D12320" t="s">
        <v>176</v>
      </c>
      <c r="E12320">
        <v>72254</v>
      </c>
      <c r="F12320">
        <v>6850</v>
      </c>
      <c r="G12320">
        <v>2596</v>
      </c>
      <c r="H12320">
        <f>_xlfn.XLOOKUP(FACT_IMPORTS[[#This Row],[hts_6]],DIM_PRODUCTS[hts_6],DIM_PRODUCTS[hts_4],,,)</f>
        <v>3926</v>
      </c>
      <c r="I12320" t="str" cm="1">
        <f t="array" ref="I12320">_xlfn.XLOOKUP(FACT_IMPORTS[[#This Row],[country_name]],DIM_COUNTRY[[#All],[Column2]],DIM_COUNTRY[[#All],[Column3]],,,)</f>
        <v>Major_Non-USMCA_Non-China</v>
      </c>
    </row>
    <row r="12321" spans="1:9" x14ac:dyDescent="0.4">
      <c r="A12321" t="s">
        <v>73</v>
      </c>
      <c r="B12321" s="1">
        <v>45809</v>
      </c>
      <c r="C12321">
        <v>401110</v>
      </c>
      <c r="D12321" t="s">
        <v>176</v>
      </c>
      <c r="E12321">
        <v>2960386</v>
      </c>
      <c r="F12321">
        <v>46488</v>
      </c>
      <c r="G12321">
        <v>475779</v>
      </c>
      <c r="H12321">
        <f>_xlfn.XLOOKUP(FACT_IMPORTS[[#This Row],[hts_6]],DIM_PRODUCTS[hts_6],DIM_PRODUCTS[hts_4],,,)</f>
        <v>4011</v>
      </c>
      <c r="I12321" t="str" cm="1">
        <f t="array" ref="I12321">_xlfn.XLOOKUP(FACT_IMPORTS[[#This Row],[country_name]],DIM_COUNTRY[[#All],[Column2]],DIM_COUNTRY[[#All],[Column3]],,,)</f>
        <v>Major_Non-USMCA_Non-China</v>
      </c>
    </row>
    <row r="12322" spans="1:9" x14ac:dyDescent="0.4">
      <c r="A12322" t="s">
        <v>73</v>
      </c>
      <c r="B12322" s="1">
        <v>45809</v>
      </c>
      <c r="C12322">
        <v>401120</v>
      </c>
      <c r="D12322" t="s">
        <v>176</v>
      </c>
      <c r="E12322">
        <v>31847</v>
      </c>
      <c r="F12322">
        <v>462</v>
      </c>
      <c r="G12322">
        <v>4605</v>
      </c>
      <c r="H12322">
        <f>_xlfn.XLOOKUP(FACT_IMPORTS[[#This Row],[hts_6]],DIM_PRODUCTS[hts_6],DIM_PRODUCTS[hts_4],,,)</f>
        <v>4011</v>
      </c>
      <c r="I12322" t="str" cm="1">
        <f t="array" ref="I12322">_xlfn.XLOOKUP(FACT_IMPORTS[[#This Row],[country_name]],DIM_COUNTRY[[#All],[Column2]],DIM_COUNTRY[[#All],[Column3]],,,)</f>
        <v>Major_Non-USMCA_Non-China</v>
      </c>
    </row>
    <row r="12323" spans="1:9" x14ac:dyDescent="0.4">
      <c r="A12323" t="s">
        <v>73</v>
      </c>
      <c r="B12323" s="1">
        <v>45809</v>
      </c>
      <c r="C12323">
        <v>700711</v>
      </c>
      <c r="D12323" t="s">
        <v>176</v>
      </c>
      <c r="E12323">
        <v>41870</v>
      </c>
      <c r="F12323">
        <v>1903</v>
      </c>
      <c r="G12323">
        <v>381</v>
      </c>
      <c r="H12323">
        <f>_xlfn.XLOOKUP(FACT_IMPORTS[[#This Row],[hts_6]],DIM_PRODUCTS[hts_6],DIM_PRODUCTS[hts_4],,,)</f>
        <v>7007</v>
      </c>
      <c r="I12323" t="str" cm="1">
        <f t="array" ref="I12323">_xlfn.XLOOKUP(FACT_IMPORTS[[#This Row],[country_name]],DIM_COUNTRY[[#All],[Column2]],DIM_COUNTRY[[#All],[Column3]],,,)</f>
        <v>Major_Non-USMCA_Non-China</v>
      </c>
    </row>
    <row r="12324" spans="1:9" x14ac:dyDescent="0.4">
      <c r="A12324" t="s">
        <v>73</v>
      </c>
      <c r="B12324" s="1">
        <v>45809</v>
      </c>
      <c r="C12324">
        <v>700910</v>
      </c>
      <c r="D12324" t="s">
        <v>176</v>
      </c>
      <c r="E12324">
        <v>1066642</v>
      </c>
      <c r="F12324">
        <v>19395</v>
      </c>
      <c r="G12324">
        <v>45535</v>
      </c>
      <c r="H12324">
        <f>_xlfn.XLOOKUP(FACT_IMPORTS[[#This Row],[hts_6]],DIM_PRODUCTS[hts_6],DIM_PRODUCTS[hts_4],,,)</f>
        <v>7009</v>
      </c>
      <c r="I12324" t="str" cm="1">
        <f t="array" ref="I12324">_xlfn.XLOOKUP(FACT_IMPORTS[[#This Row],[country_name]],DIM_COUNTRY[[#All],[Column2]],DIM_COUNTRY[[#All],[Column3]],,,)</f>
        <v>Major_Non-USMCA_Non-China</v>
      </c>
    </row>
    <row r="12325" spans="1:9" x14ac:dyDescent="0.4">
      <c r="A12325" t="s">
        <v>73</v>
      </c>
      <c r="B12325" s="1">
        <v>45809</v>
      </c>
      <c r="C12325">
        <v>830230</v>
      </c>
      <c r="D12325" t="s">
        <v>176</v>
      </c>
      <c r="E12325">
        <v>1414753</v>
      </c>
      <c r="F12325">
        <v>249810</v>
      </c>
      <c r="G12325">
        <v>32506</v>
      </c>
      <c r="H12325">
        <f>_xlfn.XLOOKUP(FACT_IMPORTS[[#This Row],[hts_6]],DIM_PRODUCTS[hts_6],DIM_PRODUCTS[hts_4],,,)</f>
        <v>8302</v>
      </c>
      <c r="I12325" t="str" cm="1">
        <f t="array" ref="I12325">_xlfn.XLOOKUP(FACT_IMPORTS[[#This Row],[country_name]],DIM_COUNTRY[[#All],[Column2]],DIM_COUNTRY[[#All],[Column3]],,,)</f>
        <v>Major_Non-USMCA_Non-China</v>
      </c>
    </row>
    <row r="12326" spans="1:9" x14ac:dyDescent="0.4">
      <c r="A12326" t="s">
        <v>73</v>
      </c>
      <c r="B12326" s="1">
        <v>45809</v>
      </c>
      <c r="C12326">
        <v>840734</v>
      </c>
      <c r="D12326" t="s">
        <v>176</v>
      </c>
      <c r="E12326">
        <v>1259220</v>
      </c>
      <c r="F12326">
        <v>180</v>
      </c>
      <c r="G12326">
        <v>3202</v>
      </c>
      <c r="H12326">
        <f>_xlfn.XLOOKUP(FACT_IMPORTS[[#This Row],[hts_6]],DIM_PRODUCTS[hts_6],DIM_PRODUCTS[hts_4],,,)</f>
        <v>8407</v>
      </c>
      <c r="I12326" t="str" cm="1">
        <f t="array" ref="I12326">_xlfn.XLOOKUP(FACT_IMPORTS[[#This Row],[country_name]],DIM_COUNTRY[[#All],[Column2]],DIM_COUNTRY[[#All],[Column3]],,,)</f>
        <v>Major_Non-USMCA_Non-China</v>
      </c>
    </row>
    <row r="12327" spans="1:9" x14ac:dyDescent="0.4">
      <c r="A12327" t="s">
        <v>73</v>
      </c>
      <c r="B12327" s="1">
        <v>45809</v>
      </c>
      <c r="C12327">
        <v>840890</v>
      </c>
      <c r="D12327" t="s">
        <v>176</v>
      </c>
      <c r="E12327">
        <v>0</v>
      </c>
      <c r="F12327">
        <v>0</v>
      </c>
      <c r="G12327">
        <v>0</v>
      </c>
      <c r="H12327">
        <f>_xlfn.XLOOKUP(FACT_IMPORTS[[#This Row],[hts_6]],DIM_PRODUCTS[hts_6],DIM_PRODUCTS[hts_4],,,)</f>
        <v>8408</v>
      </c>
      <c r="I12327" t="str" cm="1">
        <f t="array" ref="I12327">_xlfn.XLOOKUP(FACT_IMPORTS[[#This Row],[country_name]],DIM_COUNTRY[[#All],[Column2]],DIM_COUNTRY[[#All],[Column3]],,,)</f>
        <v>Major_Non-USMCA_Non-China</v>
      </c>
    </row>
    <row r="12328" spans="1:9" x14ac:dyDescent="0.4">
      <c r="A12328" t="s">
        <v>73</v>
      </c>
      <c r="B12328" s="1">
        <v>45809</v>
      </c>
      <c r="C12328">
        <v>840991</v>
      </c>
      <c r="D12328" t="s">
        <v>176</v>
      </c>
      <c r="E12328">
        <v>3896054</v>
      </c>
      <c r="F12328">
        <v>328843</v>
      </c>
      <c r="G12328">
        <v>50676</v>
      </c>
      <c r="H12328">
        <f>_xlfn.XLOOKUP(FACT_IMPORTS[[#This Row],[hts_6]],DIM_PRODUCTS[hts_6],DIM_PRODUCTS[hts_4],,,)</f>
        <v>8409</v>
      </c>
      <c r="I12328" t="str" cm="1">
        <f t="array" ref="I12328">_xlfn.XLOOKUP(FACT_IMPORTS[[#This Row],[country_name]],DIM_COUNTRY[[#All],[Column2]],DIM_COUNTRY[[#All],[Column3]],,,)</f>
        <v>Major_Non-USMCA_Non-China</v>
      </c>
    </row>
    <row r="12329" spans="1:9" x14ac:dyDescent="0.4">
      <c r="A12329" t="s">
        <v>73</v>
      </c>
      <c r="B12329" s="1">
        <v>45809</v>
      </c>
      <c r="C12329">
        <v>840999</v>
      </c>
      <c r="D12329" t="s">
        <v>176</v>
      </c>
      <c r="E12329">
        <v>240220</v>
      </c>
      <c r="F12329">
        <v>10104</v>
      </c>
      <c r="G12329">
        <v>6455</v>
      </c>
      <c r="H12329">
        <f>_xlfn.XLOOKUP(FACT_IMPORTS[[#This Row],[hts_6]],DIM_PRODUCTS[hts_6],DIM_PRODUCTS[hts_4],,,)</f>
        <v>8409</v>
      </c>
      <c r="I12329" t="str" cm="1">
        <f t="array" ref="I12329">_xlfn.XLOOKUP(FACT_IMPORTS[[#This Row],[country_name]],DIM_COUNTRY[[#All],[Column2]],DIM_COUNTRY[[#All],[Column3]],,,)</f>
        <v>Major_Non-USMCA_Non-China</v>
      </c>
    </row>
    <row r="12330" spans="1:9" x14ac:dyDescent="0.4">
      <c r="A12330" t="s">
        <v>73</v>
      </c>
      <c r="B12330" s="1">
        <v>45809</v>
      </c>
      <c r="C12330">
        <v>841330</v>
      </c>
      <c r="D12330" t="s">
        <v>176</v>
      </c>
      <c r="E12330">
        <v>3949019</v>
      </c>
      <c r="F12330">
        <v>151033</v>
      </c>
      <c r="G12330">
        <v>279582</v>
      </c>
      <c r="H12330">
        <f>_xlfn.XLOOKUP(FACT_IMPORTS[[#This Row],[hts_6]],DIM_PRODUCTS[hts_6],DIM_PRODUCTS[hts_4],,,)</f>
        <v>8413</v>
      </c>
      <c r="I12330" t="str" cm="1">
        <f t="array" ref="I12330">_xlfn.XLOOKUP(FACT_IMPORTS[[#This Row],[country_name]],DIM_COUNTRY[[#All],[Column2]],DIM_COUNTRY[[#All],[Column3]],,,)</f>
        <v>Major_Non-USMCA_Non-China</v>
      </c>
    </row>
    <row r="12331" spans="1:9" x14ac:dyDescent="0.4">
      <c r="A12331" t="s">
        <v>73</v>
      </c>
      <c r="B12331" s="1">
        <v>45809</v>
      </c>
      <c r="C12331">
        <v>842132</v>
      </c>
      <c r="D12331" t="s">
        <v>176</v>
      </c>
      <c r="E12331">
        <v>1088494</v>
      </c>
      <c r="F12331">
        <v>2114</v>
      </c>
      <c r="G12331">
        <v>2226</v>
      </c>
      <c r="H12331">
        <f>_xlfn.XLOOKUP(FACT_IMPORTS[[#This Row],[hts_6]],DIM_PRODUCTS[hts_6],DIM_PRODUCTS[hts_4],,,)</f>
        <v>8421</v>
      </c>
      <c r="I12331" t="str" cm="1">
        <f t="array" ref="I12331">_xlfn.XLOOKUP(FACT_IMPORTS[[#This Row],[country_name]],DIM_COUNTRY[[#All],[Column2]],DIM_COUNTRY[[#All],[Column3]],,,)</f>
        <v>Major_Non-USMCA_Non-China</v>
      </c>
    </row>
    <row r="12332" spans="1:9" x14ac:dyDescent="0.4">
      <c r="A12332" t="s">
        <v>73</v>
      </c>
      <c r="B12332" s="1">
        <v>45809</v>
      </c>
      <c r="C12332">
        <v>848210</v>
      </c>
      <c r="D12332" t="s">
        <v>176</v>
      </c>
      <c r="E12332">
        <v>273262</v>
      </c>
      <c r="F12332">
        <v>71224</v>
      </c>
      <c r="G12332">
        <v>45</v>
      </c>
      <c r="H12332">
        <f>_xlfn.XLOOKUP(FACT_IMPORTS[[#This Row],[hts_6]],DIM_PRODUCTS[hts_6],DIM_PRODUCTS[hts_4],,,)</f>
        <v>8482</v>
      </c>
      <c r="I12332" t="str" cm="1">
        <f t="array" ref="I12332">_xlfn.XLOOKUP(FACT_IMPORTS[[#This Row],[country_name]],DIM_COUNTRY[[#All],[Column2]],DIM_COUNTRY[[#All],[Column3]],,,)</f>
        <v>Major_Non-USMCA_Non-China</v>
      </c>
    </row>
    <row r="12333" spans="1:9" x14ac:dyDescent="0.4">
      <c r="A12333" t="s">
        <v>73</v>
      </c>
      <c r="B12333" s="1">
        <v>45809</v>
      </c>
      <c r="C12333">
        <v>848220</v>
      </c>
      <c r="D12333" t="s">
        <v>176</v>
      </c>
      <c r="E12333">
        <v>4792833</v>
      </c>
      <c r="F12333">
        <v>1296039</v>
      </c>
      <c r="G12333">
        <v>5961</v>
      </c>
      <c r="H12333">
        <f>_xlfn.XLOOKUP(FACT_IMPORTS[[#This Row],[hts_6]],DIM_PRODUCTS[hts_6],DIM_PRODUCTS[hts_4],,,)</f>
        <v>8482</v>
      </c>
      <c r="I12333" t="str" cm="1">
        <f t="array" ref="I12333">_xlfn.XLOOKUP(FACT_IMPORTS[[#This Row],[country_name]],DIM_COUNTRY[[#All],[Column2]],DIM_COUNTRY[[#All],[Column3]],,,)</f>
        <v>Major_Non-USMCA_Non-China</v>
      </c>
    </row>
    <row r="12334" spans="1:9" x14ac:dyDescent="0.4">
      <c r="A12334" t="s">
        <v>73</v>
      </c>
      <c r="B12334" s="1">
        <v>45809</v>
      </c>
      <c r="C12334">
        <v>848310</v>
      </c>
      <c r="D12334" t="s">
        <v>176</v>
      </c>
      <c r="E12334">
        <v>26853</v>
      </c>
      <c r="F12334">
        <v>443</v>
      </c>
      <c r="G12334">
        <v>57</v>
      </c>
      <c r="H12334">
        <f>_xlfn.XLOOKUP(FACT_IMPORTS[[#This Row],[hts_6]],DIM_PRODUCTS[hts_6],DIM_PRODUCTS[hts_4],,,)</f>
        <v>8483</v>
      </c>
      <c r="I12334" t="str" cm="1">
        <f t="array" ref="I12334">_xlfn.XLOOKUP(FACT_IMPORTS[[#This Row],[country_name]],DIM_COUNTRY[[#All],[Column2]],DIM_COUNTRY[[#All],[Column3]],,,)</f>
        <v>Major_Non-USMCA_Non-China</v>
      </c>
    </row>
    <row r="12335" spans="1:9" x14ac:dyDescent="0.4">
      <c r="A12335" t="s">
        <v>73</v>
      </c>
      <c r="B12335" s="1">
        <v>45809</v>
      </c>
      <c r="C12335">
        <v>850131</v>
      </c>
      <c r="D12335" t="s">
        <v>176</v>
      </c>
      <c r="E12335">
        <v>1012333</v>
      </c>
      <c r="F12335">
        <v>43273</v>
      </c>
      <c r="G12335">
        <v>8517</v>
      </c>
      <c r="H12335">
        <f>_xlfn.XLOOKUP(FACT_IMPORTS[[#This Row],[hts_6]],DIM_PRODUCTS[hts_6],DIM_PRODUCTS[hts_4],,,)</f>
        <v>8501</v>
      </c>
      <c r="I12335" t="str" cm="1">
        <f t="array" ref="I12335">_xlfn.XLOOKUP(FACT_IMPORTS[[#This Row],[country_name]],DIM_COUNTRY[[#All],[Column2]],DIM_COUNTRY[[#All],[Column3]],,,)</f>
        <v>Major_Non-USMCA_Non-China</v>
      </c>
    </row>
    <row r="12336" spans="1:9" x14ac:dyDescent="0.4">
      <c r="A12336" t="s">
        <v>73</v>
      </c>
      <c r="B12336" s="1">
        <v>45809</v>
      </c>
      <c r="C12336">
        <v>850132</v>
      </c>
      <c r="D12336" t="s">
        <v>176</v>
      </c>
      <c r="E12336">
        <v>0</v>
      </c>
      <c r="F12336">
        <v>0</v>
      </c>
      <c r="G12336">
        <v>0</v>
      </c>
      <c r="H12336">
        <f>_xlfn.XLOOKUP(FACT_IMPORTS[[#This Row],[hts_6]],DIM_PRODUCTS[hts_6],DIM_PRODUCTS[hts_4],,,)</f>
        <v>8501</v>
      </c>
      <c r="I12336" t="str" cm="1">
        <f t="array" ref="I12336">_xlfn.XLOOKUP(FACT_IMPORTS[[#This Row],[country_name]],DIM_COUNTRY[[#All],[Column2]],DIM_COUNTRY[[#All],[Column3]],,,)</f>
        <v>Major_Non-USMCA_Non-China</v>
      </c>
    </row>
    <row r="12337" spans="1:9" x14ac:dyDescent="0.4">
      <c r="A12337" t="s">
        <v>73</v>
      </c>
      <c r="B12337" s="1">
        <v>45809</v>
      </c>
      <c r="C12337">
        <v>850152</v>
      </c>
      <c r="D12337" t="s">
        <v>176</v>
      </c>
      <c r="E12337">
        <v>0</v>
      </c>
      <c r="F12337">
        <v>0</v>
      </c>
      <c r="G12337">
        <v>0</v>
      </c>
      <c r="H12337">
        <f>_xlfn.XLOOKUP(FACT_IMPORTS[[#This Row],[hts_6]],DIM_PRODUCTS[hts_6],DIM_PRODUCTS[hts_4],,,)</f>
        <v>8501</v>
      </c>
      <c r="I12337" t="str" cm="1">
        <f t="array" ref="I12337">_xlfn.XLOOKUP(FACT_IMPORTS[[#This Row],[country_name]],DIM_COUNTRY[[#All],[Column2]],DIM_COUNTRY[[#All],[Column3]],,,)</f>
        <v>Major_Non-USMCA_Non-China</v>
      </c>
    </row>
    <row r="12338" spans="1:9" x14ac:dyDescent="0.4">
      <c r="A12338" t="s">
        <v>73</v>
      </c>
      <c r="B12338" s="1">
        <v>45809</v>
      </c>
      <c r="C12338">
        <v>850153</v>
      </c>
      <c r="D12338" t="s">
        <v>176</v>
      </c>
      <c r="E12338">
        <v>50147</v>
      </c>
      <c r="F12338">
        <v>26</v>
      </c>
      <c r="G12338">
        <v>380</v>
      </c>
      <c r="H12338">
        <f>_xlfn.XLOOKUP(FACT_IMPORTS[[#This Row],[hts_6]],DIM_PRODUCTS[hts_6],DIM_PRODUCTS[hts_4],,,)</f>
        <v>8501</v>
      </c>
      <c r="I12338" t="str" cm="1">
        <f t="array" ref="I12338">_xlfn.XLOOKUP(FACT_IMPORTS[[#This Row],[country_name]],DIM_COUNTRY[[#All],[Column2]],DIM_COUNTRY[[#All],[Column3]],,,)</f>
        <v>Major_Non-USMCA_Non-China</v>
      </c>
    </row>
    <row r="12339" spans="1:9" x14ac:dyDescent="0.4">
      <c r="A12339" t="s">
        <v>73</v>
      </c>
      <c r="B12339" s="1">
        <v>45809</v>
      </c>
      <c r="C12339">
        <v>850440</v>
      </c>
      <c r="D12339" t="s">
        <v>176</v>
      </c>
      <c r="E12339">
        <v>62904</v>
      </c>
      <c r="F12339">
        <v>16</v>
      </c>
      <c r="G12339">
        <v>800</v>
      </c>
      <c r="H12339">
        <f>_xlfn.XLOOKUP(FACT_IMPORTS[[#This Row],[hts_6]],DIM_PRODUCTS[hts_6],DIM_PRODUCTS[hts_4],,,)</f>
        <v>8504</v>
      </c>
      <c r="I12339" t="str" cm="1">
        <f t="array" ref="I12339">_xlfn.XLOOKUP(FACT_IMPORTS[[#This Row],[country_name]],DIM_COUNTRY[[#All],[Column2]],DIM_COUNTRY[[#All],[Column3]],,,)</f>
        <v>Major_Non-USMCA_Non-China</v>
      </c>
    </row>
    <row r="12340" spans="1:9" x14ac:dyDescent="0.4">
      <c r="A12340" t="s">
        <v>73</v>
      </c>
      <c r="B12340" s="1">
        <v>45809</v>
      </c>
      <c r="C12340">
        <v>850710</v>
      </c>
      <c r="D12340" t="s">
        <v>176</v>
      </c>
      <c r="E12340">
        <v>684873</v>
      </c>
      <c r="F12340">
        <v>15265</v>
      </c>
      <c r="G12340">
        <v>55461</v>
      </c>
      <c r="H12340">
        <f>_xlfn.XLOOKUP(FACT_IMPORTS[[#This Row],[hts_6]],DIM_PRODUCTS[hts_6],DIM_PRODUCTS[hts_4],,,)</f>
        <v>8507</v>
      </c>
      <c r="I12340" t="str" cm="1">
        <f t="array" ref="I12340">_xlfn.XLOOKUP(FACT_IMPORTS[[#This Row],[country_name]],DIM_COUNTRY[[#All],[Column2]],DIM_COUNTRY[[#All],[Column3]],,,)</f>
        <v>Major_Non-USMCA_Non-China</v>
      </c>
    </row>
    <row r="12341" spans="1:9" x14ac:dyDescent="0.4">
      <c r="A12341" t="s">
        <v>73</v>
      </c>
      <c r="B12341" s="1">
        <v>45809</v>
      </c>
      <c r="C12341">
        <v>850760</v>
      </c>
      <c r="D12341" t="s">
        <v>176</v>
      </c>
      <c r="E12341">
        <v>9703</v>
      </c>
      <c r="F12341">
        <v>3</v>
      </c>
      <c r="G12341">
        <v>910</v>
      </c>
      <c r="H12341">
        <f>_xlfn.XLOOKUP(FACT_IMPORTS[[#This Row],[hts_6]],DIM_PRODUCTS[hts_6],DIM_PRODUCTS[hts_4],,,)</f>
        <v>8507</v>
      </c>
      <c r="I12341" t="str" cm="1">
        <f t="array" ref="I12341">_xlfn.XLOOKUP(FACT_IMPORTS[[#This Row],[country_name]],DIM_COUNTRY[[#All],[Column2]],DIM_COUNTRY[[#All],[Column3]],,,)</f>
        <v>Major_Non-USMCA_Non-China</v>
      </c>
    </row>
    <row r="12342" spans="1:9" x14ac:dyDescent="0.4">
      <c r="A12342" t="s">
        <v>73</v>
      </c>
      <c r="B12342" s="1">
        <v>45809</v>
      </c>
      <c r="C12342">
        <v>850790</v>
      </c>
      <c r="D12342" t="s">
        <v>176</v>
      </c>
      <c r="E12342">
        <v>88989</v>
      </c>
      <c r="F12342">
        <v>13021</v>
      </c>
      <c r="G12342">
        <v>8639</v>
      </c>
      <c r="H12342">
        <f>_xlfn.XLOOKUP(FACT_IMPORTS[[#This Row],[hts_6]],DIM_PRODUCTS[hts_6],DIM_PRODUCTS[hts_4],,,)</f>
        <v>8507</v>
      </c>
      <c r="I12342" t="str" cm="1">
        <f t="array" ref="I12342">_xlfn.XLOOKUP(FACT_IMPORTS[[#This Row],[country_name]],DIM_COUNTRY[[#All],[Column2]],DIM_COUNTRY[[#All],[Column3]],,,)</f>
        <v>Major_Non-USMCA_Non-China</v>
      </c>
    </row>
    <row r="12343" spans="1:9" x14ac:dyDescent="0.4">
      <c r="A12343" t="s">
        <v>73</v>
      </c>
      <c r="B12343" s="1">
        <v>45809</v>
      </c>
      <c r="C12343">
        <v>851110</v>
      </c>
      <c r="D12343" t="s">
        <v>176</v>
      </c>
      <c r="E12343">
        <v>0</v>
      </c>
      <c r="F12343">
        <v>0</v>
      </c>
      <c r="G12343">
        <v>0</v>
      </c>
      <c r="H12343">
        <f>_xlfn.XLOOKUP(FACT_IMPORTS[[#This Row],[hts_6]],DIM_PRODUCTS[hts_6],DIM_PRODUCTS[hts_4],,,)</f>
        <v>8511</v>
      </c>
      <c r="I12343" t="str" cm="1">
        <f t="array" ref="I12343">_xlfn.XLOOKUP(FACT_IMPORTS[[#This Row],[country_name]],DIM_COUNTRY[[#All],[Column2]],DIM_COUNTRY[[#All],[Column3]],,,)</f>
        <v>Major_Non-USMCA_Non-China</v>
      </c>
    </row>
    <row r="12344" spans="1:9" x14ac:dyDescent="0.4">
      <c r="A12344" t="s">
        <v>73</v>
      </c>
      <c r="B12344" s="1">
        <v>45809</v>
      </c>
      <c r="C12344">
        <v>851130</v>
      </c>
      <c r="D12344" t="s">
        <v>176</v>
      </c>
      <c r="E12344">
        <v>0</v>
      </c>
      <c r="F12344">
        <v>0</v>
      </c>
      <c r="G12344">
        <v>0</v>
      </c>
      <c r="H12344">
        <f>_xlfn.XLOOKUP(FACT_IMPORTS[[#This Row],[hts_6]],DIM_PRODUCTS[hts_6],DIM_PRODUCTS[hts_4],,,)</f>
        <v>8511</v>
      </c>
      <c r="I12344" t="str" cm="1">
        <f t="array" ref="I12344">_xlfn.XLOOKUP(FACT_IMPORTS[[#This Row],[country_name]],DIM_COUNTRY[[#All],[Column2]],DIM_COUNTRY[[#All],[Column3]],,,)</f>
        <v>Major_Non-USMCA_Non-China</v>
      </c>
    </row>
    <row r="12345" spans="1:9" x14ac:dyDescent="0.4">
      <c r="A12345" t="s">
        <v>73</v>
      </c>
      <c r="B12345" s="1">
        <v>45809</v>
      </c>
      <c r="C12345">
        <v>851140</v>
      </c>
      <c r="D12345" t="s">
        <v>176</v>
      </c>
      <c r="E12345">
        <v>71151</v>
      </c>
      <c r="F12345">
        <v>1143</v>
      </c>
      <c r="G12345">
        <v>668</v>
      </c>
      <c r="H12345">
        <f>_xlfn.XLOOKUP(FACT_IMPORTS[[#This Row],[hts_6]],DIM_PRODUCTS[hts_6],DIM_PRODUCTS[hts_4],,,)</f>
        <v>8511</v>
      </c>
      <c r="I12345" t="str" cm="1">
        <f t="array" ref="I12345">_xlfn.XLOOKUP(FACT_IMPORTS[[#This Row],[country_name]],DIM_COUNTRY[[#All],[Column2]],DIM_COUNTRY[[#All],[Column3]],,,)</f>
        <v>Major_Non-USMCA_Non-China</v>
      </c>
    </row>
    <row r="12346" spans="1:9" x14ac:dyDescent="0.4">
      <c r="A12346" t="s">
        <v>73</v>
      </c>
      <c r="B12346" s="1">
        <v>45809</v>
      </c>
      <c r="C12346">
        <v>851150</v>
      </c>
      <c r="D12346" t="s">
        <v>176</v>
      </c>
      <c r="E12346">
        <v>98322</v>
      </c>
      <c r="F12346">
        <v>644</v>
      </c>
      <c r="G12346">
        <v>938</v>
      </c>
      <c r="H12346">
        <f>_xlfn.XLOOKUP(FACT_IMPORTS[[#This Row],[hts_6]],DIM_PRODUCTS[hts_6],DIM_PRODUCTS[hts_4],,,)</f>
        <v>8511</v>
      </c>
      <c r="I12346" t="str" cm="1">
        <f t="array" ref="I12346">_xlfn.XLOOKUP(FACT_IMPORTS[[#This Row],[country_name]],DIM_COUNTRY[[#All],[Column2]],DIM_COUNTRY[[#All],[Column3]],,,)</f>
        <v>Major_Non-USMCA_Non-China</v>
      </c>
    </row>
    <row r="12347" spans="1:9" x14ac:dyDescent="0.4">
      <c r="A12347" t="s">
        <v>73</v>
      </c>
      <c r="B12347" s="1">
        <v>45809</v>
      </c>
      <c r="C12347">
        <v>851190</v>
      </c>
      <c r="D12347" t="s">
        <v>176</v>
      </c>
      <c r="E12347">
        <v>148389</v>
      </c>
      <c r="F12347">
        <v>17434</v>
      </c>
      <c r="G12347">
        <v>7437</v>
      </c>
      <c r="H12347">
        <f>_xlfn.XLOOKUP(FACT_IMPORTS[[#This Row],[hts_6]],DIM_PRODUCTS[hts_6],DIM_PRODUCTS[hts_4],,,)</f>
        <v>8511</v>
      </c>
      <c r="I12347" t="str" cm="1">
        <f t="array" ref="I12347">_xlfn.XLOOKUP(FACT_IMPORTS[[#This Row],[country_name]],DIM_COUNTRY[[#All],[Column2]],DIM_COUNTRY[[#All],[Column3]],,,)</f>
        <v>Major_Non-USMCA_Non-China</v>
      </c>
    </row>
    <row r="12348" spans="1:9" x14ac:dyDescent="0.4">
      <c r="A12348" t="s">
        <v>73</v>
      </c>
      <c r="B12348" s="1">
        <v>45809</v>
      </c>
      <c r="C12348">
        <v>851220</v>
      </c>
      <c r="D12348" t="s">
        <v>176</v>
      </c>
      <c r="E12348">
        <v>15231145</v>
      </c>
      <c r="F12348">
        <v>1685721</v>
      </c>
      <c r="G12348">
        <v>369922</v>
      </c>
      <c r="H12348">
        <f>_xlfn.XLOOKUP(FACT_IMPORTS[[#This Row],[hts_6]],DIM_PRODUCTS[hts_6],DIM_PRODUCTS[hts_4],,,)</f>
        <v>8512</v>
      </c>
      <c r="I12348" t="str" cm="1">
        <f t="array" ref="I12348">_xlfn.XLOOKUP(FACT_IMPORTS[[#This Row],[country_name]],DIM_COUNTRY[[#All],[Column2]],DIM_COUNTRY[[#All],[Column3]],,,)</f>
        <v>Major_Non-USMCA_Non-China</v>
      </c>
    </row>
    <row r="12349" spans="1:9" x14ac:dyDescent="0.4">
      <c r="A12349" t="s">
        <v>73</v>
      </c>
      <c r="B12349" s="1">
        <v>45809</v>
      </c>
      <c r="C12349">
        <v>851230</v>
      </c>
      <c r="D12349" t="s">
        <v>176</v>
      </c>
      <c r="E12349">
        <v>0</v>
      </c>
      <c r="F12349">
        <v>0</v>
      </c>
      <c r="G12349">
        <v>0</v>
      </c>
      <c r="H12349">
        <f>_xlfn.XLOOKUP(FACT_IMPORTS[[#This Row],[hts_6]],DIM_PRODUCTS[hts_6],DIM_PRODUCTS[hts_4],,,)</f>
        <v>8512</v>
      </c>
      <c r="I12349" t="str" cm="1">
        <f t="array" ref="I12349">_xlfn.XLOOKUP(FACT_IMPORTS[[#This Row],[country_name]],DIM_COUNTRY[[#All],[Column2]],DIM_COUNTRY[[#All],[Column3]],,,)</f>
        <v>Major_Non-USMCA_Non-China</v>
      </c>
    </row>
    <row r="12350" spans="1:9" x14ac:dyDescent="0.4">
      <c r="A12350" t="s">
        <v>73</v>
      </c>
      <c r="B12350" s="1">
        <v>45809</v>
      </c>
      <c r="C12350">
        <v>851240</v>
      </c>
      <c r="D12350" t="s">
        <v>176</v>
      </c>
      <c r="E12350">
        <v>0</v>
      </c>
      <c r="F12350">
        <v>0</v>
      </c>
      <c r="G12350">
        <v>0</v>
      </c>
      <c r="H12350">
        <f>_xlfn.XLOOKUP(FACT_IMPORTS[[#This Row],[hts_6]],DIM_PRODUCTS[hts_6],DIM_PRODUCTS[hts_4],,,)</f>
        <v>8512</v>
      </c>
      <c r="I12350" t="str" cm="1">
        <f t="array" ref="I12350">_xlfn.XLOOKUP(FACT_IMPORTS[[#This Row],[country_name]],DIM_COUNTRY[[#All],[Column2]],DIM_COUNTRY[[#All],[Column3]],,,)</f>
        <v>Major_Non-USMCA_Non-China</v>
      </c>
    </row>
    <row r="12351" spans="1:9" x14ac:dyDescent="0.4">
      <c r="A12351" t="s">
        <v>73</v>
      </c>
      <c r="B12351" s="1">
        <v>45809</v>
      </c>
      <c r="C12351">
        <v>851290</v>
      </c>
      <c r="D12351" t="s">
        <v>176</v>
      </c>
      <c r="E12351">
        <v>617880</v>
      </c>
      <c r="F12351">
        <v>35119</v>
      </c>
      <c r="G12351">
        <v>11385</v>
      </c>
      <c r="H12351">
        <f>_xlfn.XLOOKUP(FACT_IMPORTS[[#This Row],[hts_6]],DIM_PRODUCTS[hts_6],DIM_PRODUCTS[hts_4],,,)</f>
        <v>8512</v>
      </c>
      <c r="I12351" t="str" cm="1">
        <f t="array" ref="I12351">_xlfn.XLOOKUP(FACT_IMPORTS[[#This Row],[country_name]],DIM_COUNTRY[[#All],[Column2]],DIM_COUNTRY[[#All],[Column3]],,,)</f>
        <v>Major_Non-USMCA_Non-China</v>
      </c>
    </row>
    <row r="12352" spans="1:9" x14ac:dyDescent="0.4">
      <c r="A12352" t="s">
        <v>73</v>
      </c>
      <c r="B12352" s="1">
        <v>45809</v>
      </c>
      <c r="C12352">
        <v>854231</v>
      </c>
      <c r="D12352" t="s">
        <v>176</v>
      </c>
      <c r="E12352">
        <v>1213485</v>
      </c>
      <c r="F12352">
        <v>24500</v>
      </c>
      <c r="G12352">
        <v>121349</v>
      </c>
      <c r="H12352">
        <f>_xlfn.XLOOKUP(FACT_IMPORTS[[#This Row],[hts_6]],DIM_PRODUCTS[hts_6],DIM_PRODUCTS[hts_4],,,)</f>
        <v>8542</v>
      </c>
      <c r="I12352" t="str" cm="1">
        <f t="array" ref="I12352">_xlfn.XLOOKUP(FACT_IMPORTS[[#This Row],[country_name]],DIM_COUNTRY[[#All],[Column2]],DIM_COUNTRY[[#All],[Column3]],,,)</f>
        <v>Major_Non-USMCA_Non-China</v>
      </c>
    </row>
    <row r="12353" spans="1:9" x14ac:dyDescent="0.4">
      <c r="A12353" t="s">
        <v>73</v>
      </c>
      <c r="B12353" s="1">
        <v>45809</v>
      </c>
      <c r="C12353">
        <v>854232</v>
      </c>
      <c r="D12353" t="s">
        <v>176</v>
      </c>
      <c r="E12353">
        <v>13048</v>
      </c>
      <c r="F12353">
        <v>409</v>
      </c>
      <c r="G12353">
        <v>21</v>
      </c>
      <c r="H12353">
        <f>_xlfn.XLOOKUP(FACT_IMPORTS[[#This Row],[hts_6]],DIM_PRODUCTS[hts_6],DIM_PRODUCTS[hts_4],,,)</f>
        <v>8542</v>
      </c>
      <c r="I12353" t="str" cm="1">
        <f t="array" ref="I12353">_xlfn.XLOOKUP(FACT_IMPORTS[[#This Row],[country_name]],DIM_COUNTRY[[#All],[Column2]],DIM_COUNTRY[[#All],[Column3]],,,)</f>
        <v>Major_Non-USMCA_Non-China</v>
      </c>
    </row>
    <row r="12354" spans="1:9" x14ac:dyDescent="0.4">
      <c r="A12354" t="s">
        <v>73</v>
      </c>
      <c r="B12354" s="1">
        <v>45809</v>
      </c>
      <c r="C12354">
        <v>854239</v>
      </c>
      <c r="D12354" t="s">
        <v>176</v>
      </c>
      <c r="E12354">
        <v>934480</v>
      </c>
      <c r="F12354">
        <v>17000</v>
      </c>
      <c r="G12354">
        <v>93448</v>
      </c>
      <c r="H12354">
        <f>_xlfn.XLOOKUP(FACT_IMPORTS[[#This Row],[hts_6]],DIM_PRODUCTS[hts_6],DIM_PRODUCTS[hts_4],,,)</f>
        <v>8542</v>
      </c>
      <c r="I12354" t="str" cm="1">
        <f t="array" ref="I12354">_xlfn.XLOOKUP(FACT_IMPORTS[[#This Row],[country_name]],DIM_COUNTRY[[#All],[Column2]],DIM_COUNTRY[[#All],[Column3]],,,)</f>
        <v>Major_Non-USMCA_Non-China</v>
      </c>
    </row>
    <row r="12355" spans="1:9" x14ac:dyDescent="0.4">
      <c r="A12355" t="s">
        <v>73</v>
      </c>
      <c r="B12355" s="1">
        <v>45809</v>
      </c>
      <c r="C12355">
        <v>854430</v>
      </c>
      <c r="D12355" t="s">
        <v>176</v>
      </c>
      <c r="E12355">
        <v>58518</v>
      </c>
      <c r="F12355">
        <v>300</v>
      </c>
      <c r="G12355">
        <v>324</v>
      </c>
      <c r="H12355">
        <f>_xlfn.XLOOKUP(FACT_IMPORTS[[#This Row],[hts_6]],DIM_PRODUCTS[hts_6],DIM_PRODUCTS[hts_4],,,)</f>
        <v>8544</v>
      </c>
      <c r="I12355" t="str" cm="1">
        <f t="array" ref="I12355">_xlfn.XLOOKUP(FACT_IMPORTS[[#This Row],[country_name]],DIM_COUNTRY[[#All],[Column2]],DIM_COUNTRY[[#All],[Column3]],,,)</f>
        <v>Major_Non-USMCA_Non-China</v>
      </c>
    </row>
    <row r="12356" spans="1:9" x14ac:dyDescent="0.4">
      <c r="A12356" t="s">
        <v>73</v>
      </c>
      <c r="B12356" s="1">
        <v>45809</v>
      </c>
      <c r="C12356">
        <v>870810</v>
      </c>
      <c r="D12356" t="s">
        <v>176</v>
      </c>
      <c r="E12356">
        <v>3128441</v>
      </c>
      <c r="F12356">
        <v>51267</v>
      </c>
      <c r="G12356">
        <v>69730</v>
      </c>
      <c r="H12356">
        <f>_xlfn.XLOOKUP(FACT_IMPORTS[[#This Row],[hts_6]],DIM_PRODUCTS[hts_6],DIM_PRODUCTS[hts_4],,,)</f>
        <v>8708</v>
      </c>
      <c r="I12356" t="str" cm="1">
        <f t="array" ref="I12356">_xlfn.XLOOKUP(FACT_IMPORTS[[#This Row],[country_name]],DIM_COUNTRY[[#All],[Column2]],DIM_COUNTRY[[#All],[Column3]],,,)</f>
        <v>Major_Non-USMCA_Non-China</v>
      </c>
    </row>
    <row r="12357" spans="1:9" x14ac:dyDescent="0.4">
      <c r="A12357" t="s">
        <v>73</v>
      </c>
      <c r="B12357" s="1">
        <v>45809</v>
      </c>
      <c r="C12357">
        <v>870822</v>
      </c>
      <c r="D12357" t="s">
        <v>176</v>
      </c>
      <c r="E12357">
        <v>63475</v>
      </c>
      <c r="F12357">
        <v>282</v>
      </c>
      <c r="G12357">
        <v>926</v>
      </c>
      <c r="H12357">
        <f>_xlfn.XLOOKUP(FACT_IMPORTS[[#This Row],[hts_6]],DIM_PRODUCTS[hts_6],DIM_PRODUCTS[hts_4],,,)</f>
        <v>8708</v>
      </c>
      <c r="I12357" t="str" cm="1">
        <f t="array" ref="I12357">_xlfn.XLOOKUP(FACT_IMPORTS[[#This Row],[country_name]],DIM_COUNTRY[[#All],[Column2]],DIM_COUNTRY[[#All],[Column3]],,,)</f>
        <v>Major_Non-USMCA_Non-China</v>
      </c>
    </row>
    <row r="12358" spans="1:9" x14ac:dyDescent="0.4">
      <c r="A12358" t="s">
        <v>73</v>
      </c>
      <c r="B12358" s="1">
        <v>45809</v>
      </c>
      <c r="C12358">
        <v>870829</v>
      </c>
      <c r="D12358" t="s">
        <v>176</v>
      </c>
      <c r="E12358">
        <v>8617237</v>
      </c>
      <c r="F12358">
        <v>2097215</v>
      </c>
      <c r="G12358">
        <v>383003</v>
      </c>
      <c r="H12358">
        <f>_xlfn.XLOOKUP(FACT_IMPORTS[[#This Row],[hts_6]],DIM_PRODUCTS[hts_6],DIM_PRODUCTS[hts_4],,,)</f>
        <v>8708</v>
      </c>
      <c r="I12358" t="str" cm="1">
        <f t="array" ref="I12358">_xlfn.XLOOKUP(FACT_IMPORTS[[#This Row],[country_name]],DIM_COUNTRY[[#All],[Column2]],DIM_COUNTRY[[#All],[Column3]],,,)</f>
        <v>Major_Non-USMCA_Non-China</v>
      </c>
    </row>
    <row r="12359" spans="1:9" x14ac:dyDescent="0.4">
      <c r="A12359" t="s">
        <v>73</v>
      </c>
      <c r="B12359" s="1">
        <v>45809</v>
      </c>
      <c r="C12359">
        <v>870830</v>
      </c>
      <c r="D12359" t="s">
        <v>176</v>
      </c>
      <c r="E12359">
        <v>616298</v>
      </c>
      <c r="F12359">
        <v>383992</v>
      </c>
      <c r="G12359">
        <v>119909</v>
      </c>
      <c r="H12359">
        <f>_xlfn.XLOOKUP(FACT_IMPORTS[[#This Row],[hts_6]],DIM_PRODUCTS[hts_6],DIM_PRODUCTS[hts_4],,,)</f>
        <v>8708</v>
      </c>
      <c r="I12359" t="str" cm="1">
        <f t="array" ref="I12359">_xlfn.XLOOKUP(FACT_IMPORTS[[#This Row],[country_name]],DIM_COUNTRY[[#All],[Column2]],DIM_COUNTRY[[#All],[Column3]],,,)</f>
        <v>Major_Non-USMCA_Non-China</v>
      </c>
    </row>
    <row r="12360" spans="1:9" x14ac:dyDescent="0.4">
      <c r="A12360" t="s">
        <v>73</v>
      </c>
      <c r="B12360" s="1">
        <v>45809</v>
      </c>
      <c r="C12360">
        <v>870840</v>
      </c>
      <c r="D12360" t="s">
        <v>176</v>
      </c>
      <c r="E12360">
        <v>3920322</v>
      </c>
      <c r="F12360">
        <v>420982</v>
      </c>
      <c r="G12360">
        <v>121076</v>
      </c>
      <c r="H12360">
        <f>_xlfn.XLOOKUP(FACT_IMPORTS[[#This Row],[hts_6]],DIM_PRODUCTS[hts_6],DIM_PRODUCTS[hts_4],,,)</f>
        <v>8708</v>
      </c>
      <c r="I12360" t="str" cm="1">
        <f t="array" ref="I12360">_xlfn.XLOOKUP(FACT_IMPORTS[[#This Row],[country_name]],DIM_COUNTRY[[#All],[Column2]],DIM_COUNTRY[[#All],[Column3]],,,)</f>
        <v>Major_Non-USMCA_Non-China</v>
      </c>
    </row>
    <row r="12361" spans="1:9" x14ac:dyDescent="0.4">
      <c r="A12361" t="s">
        <v>73</v>
      </c>
      <c r="B12361" s="1">
        <v>45809</v>
      </c>
      <c r="C12361">
        <v>870850</v>
      </c>
      <c r="D12361" t="s">
        <v>176</v>
      </c>
      <c r="E12361">
        <v>8911934</v>
      </c>
      <c r="F12361">
        <v>923625</v>
      </c>
      <c r="G12361">
        <v>368979</v>
      </c>
      <c r="H12361">
        <f>_xlfn.XLOOKUP(FACT_IMPORTS[[#This Row],[hts_6]],DIM_PRODUCTS[hts_6],DIM_PRODUCTS[hts_4],,,)</f>
        <v>8708</v>
      </c>
      <c r="I12361" t="str" cm="1">
        <f t="array" ref="I12361">_xlfn.XLOOKUP(FACT_IMPORTS[[#This Row],[country_name]],DIM_COUNTRY[[#All],[Column2]],DIM_COUNTRY[[#All],[Column3]],,,)</f>
        <v>Major_Non-USMCA_Non-China</v>
      </c>
    </row>
    <row r="12362" spans="1:9" x14ac:dyDescent="0.4">
      <c r="A12362" t="s">
        <v>73</v>
      </c>
      <c r="B12362" s="1">
        <v>45809</v>
      </c>
      <c r="C12362">
        <v>870870</v>
      </c>
      <c r="D12362" t="s">
        <v>176</v>
      </c>
      <c r="E12362">
        <v>1045041</v>
      </c>
      <c r="F12362">
        <v>14136</v>
      </c>
      <c r="G12362">
        <v>58554</v>
      </c>
      <c r="H12362">
        <f>_xlfn.XLOOKUP(FACT_IMPORTS[[#This Row],[hts_6]],DIM_PRODUCTS[hts_6],DIM_PRODUCTS[hts_4],,,)</f>
        <v>8708</v>
      </c>
      <c r="I12362" t="str" cm="1">
        <f t="array" ref="I12362">_xlfn.XLOOKUP(FACT_IMPORTS[[#This Row],[country_name]],DIM_COUNTRY[[#All],[Column2]],DIM_COUNTRY[[#All],[Column3]],,,)</f>
        <v>Major_Non-USMCA_Non-China</v>
      </c>
    </row>
    <row r="12363" spans="1:9" x14ac:dyDescent="0.4">
      <c r="A12363" t="s">
        <v>73</v>
      </c>
      <c r="B12363" s="1">
        <v>45809</v>
      </c>
      <c r="C12363">
        <v>870880</v>
      </c>
      <c r="D12363" t="s">
        <v>176</v>
      </c>
      <c r="E12363">
        <v>5187421</v>
      </c>
      <c r="F12363">
        <v>1064446</v>
      </c>
      <c r="G12363">
        <v>69577</v>
      </c>
      <c r="H12363">
        <f>_xlfn.XLOOKUP(FACT_IMPORTS[[#This Row],[hts_6]],DIM_PRODUCTS[hts_6],DIM_PRODUCTS[hts_4],,,)</f>
        <v>8708</v>
      </c>
      <c r="I12363" t="str" cm="1">
        <f t="array" ref="I12363">_xlfn.XLOOKUP(FACT_IMPORTS[[#This Row],[country_name]],DIM_COUNTRY[[#All],[Column2]],DIM_COUNTRY[[#All],[Column3]],,,)</f>
        <v>Major_Non-USMCA_Non-China</v>
      </c>
    </row>
    <row r="12364" spans="1:9" x14ac:dyDescent="0.4">
      <c r="A12364" t="s">
        <v>73</v>
      </c>
      <c r="B12364" s="1">
        <v>45809</v>
      </c>
      <c r="C12364">
        <v>870891</v>
      </c>
      <c r="D12364" t="s">
        <v>176</v>
      </c>
      <c r="E12364">
        <v>399448</v>
      </c>
      <c r="F12364">
        <v>1718</v>
      </c>
      <c r="G12364">
        <v>2544</v>
      </c>
      <c r="H12364">
        <f>_xlfn.XLOOKUP(FACT_IMPORTS[[#This Row],[hts_6]],DIM_PRODUCTS[hts_6],DIM_PRODUCTS[hts_4],,,)</f>
        <v>8708</v>
      </c>
      <c r="I12364" t="str" cm="1">
        <f t="array" ref="I12364">_xlfn.XLOOKUP(FACT_IMPORTS[[#This Row],[country_name]],DIM_COUNTRY[[#All],[Column2]],DIM_COUNTRY[[#All],[Column3]],,,)</f>
        <v>Major_Non-USMCA_Non-China</v>
      </c>
    </row>
    <row r="12365" spans="1:9" x14ac:dyDescent="0.4">
      <c r="A12365" t="s">
        <v>73</v>
      </c>
      <c r="B12365" s="1">
        <v>45809</v>
      </c>
      <c r="C12365">
        <v>870892</v>
      </c>
      <c r="D12365" t="s">
        <v>176</v>
      </c>
      <c r="E12365">
        <v>130746</v>
      </c>
      <c r="F12365">
        <v>526</v>
      </c>
      <c r="G12365">
        <v>1346</v>
      </c>
      <c r="H12365">
        <f>_xlfn.XLOOKUP(FACT_IMPORTS[[#This Row],[hts_6]],DIM_PRODUCTS[hts_6],DIM_PRODUCTS[hts_4],,,)</f>
        <v>8708</v>
      </c>
      <c r="I12365" t="str" cm="1">
        <f t="array" ref="I12365">_xlfn.XLOOKUP(FACT_IMPORTS[[#This Row],[country_name]],DIM_COUNTRY[[#All],[Column2]],DIM_COUNTRY[[#All],[Column3]],,,)</f>
        <v>Major_Non-USMCA_Non-China</v>
      </c>
    </row>
    <row r="12366" spans="1:9" x14ac:dyDescent="0.4">
      <c r="A12366" t="s">
        <v>73</v>
      </c>
      <c r="B12366" s="1">
        <v>45809</v>
      </c>
      <c r="C12366">
        <v>870893</v>
      </c>
      <c r="D12366" t="s">
        <v>176</v>
      </c>
      <c r="E12366">
        <v>509651</v>
      </c>
      <c r="F12366">
        <v>35134</v>
      </c>
      <c r="G12366">
        <v>15308</v>
      </c>
      <c r="H12366">
        <f>_xlfn.XLOOKUP(FACT_IMPORTS[[#This Row],[hts_6]],DIM_PRODUCTS[hts_6],DIM_PRODUCTS[hts_4],,,)</f>
        <v>8708</v>
      </c>
      <c r="I12366" t="str" cm="1">
        <f t="array" ref="I12366">_xlfn.XLOOKUP(FACT_IMPORTS[[#This Row],[country_name]],DIM_COUNTRY[[#All],[Column2]],DIM_COUNTRY[[#All],[Column3]],,,)</f>
        <v>Major_Non-USMCA_Non-China</v>
      </c>
    </row>
    <row r="12367" spans="1:9" x14ac:dyDescent="0.4">
      <c r="A12367" t="s">
        <v>73</v>
      </c>
      <c r="B12367" s="1">
        <v>45809</v>
      </c>
      <c r="C12367">
        <v>870894</v>
      </c>
      <c r="D12367" t="s">
        <v>176</v>
      </c>
      <c r="E12367">
        <v>2680199</v>
      </c>
      <c r="F12367">
        <v>692143</v>
      </c>
      <c r="G12367">
        <v>147717</v>
      </c>
      <c r="H12367">
        <f>_xlfn.XLOOKUP(FACT_IMPORTS[[#This Row],[hts_6]],DIM_PRODUCTS[hts_6],DIM_PRODUCTS[hts_4],,,)</f>
        <v>8708</v>
      </c>
      <c r="I12367" t="str" cm="1">
        <f t="array" ref="I12367">_xlfn.XLOOKUP(FACT_IMPORTS[[#This Row],[country_name]],DIM_COUNTRY[[#All],[Column2]],DIM_COUNTRY[[#All],[Column3]],,,)</f>
        <v>Major_Non-USMCA_Non-China</v>
      </c>
    </row>
    <row r="12368" spans="1:9" x14ac:dyDescent="0.4">
      <c r="A12368" t="s">
        <v>73</v>
      </c>
      <c r="B12368" s="1">
        <v>45809</v>
      </c>
      <c r="C12368">
        <v>870895</v>
      </c>
      <c r="D12368" t="s">
        <v>176</v>
      </c>
      <c r="E12368">
        <v>60524</v>
      </c>
      <c r="F12368">
        <v>393</v>
      </c>
      <c r="G12368">
        <v>85</v>
      </c>
      <c r="H12368">
        <f>_xlfn.XLOOKUP(FACT_IMPORTS[[#This Row],[hts_6]],DIM_PRODUCTS[hts_6],DIM_PRODUCTS[hts_4],,,)</f>
        <v>8708</v>
      </c>
      <c r="I12368" t="str" cm="1">
        <f t="array" ref="I12368">_xlfn.XLOOKUP(FACT_IMPORTS[[#This Row],[country_name]],DIM_COUNTRY[[#All],[Column2]],DIM_COUNTRY[[#All],[Column3]],,,)</f>
        <v>Major_Non-USMCA_Non-China</v>
      </c>
    </row>
    <row r="12369" spans="1:9" x14ac:dyDescent="0.4">
      <c r="A12369" t="s">
        <v>73</v>
      </c>
      <c r="B12369" s="1">
        <v>45809</v>
      </c>
      <c r="C12369">
        <v>870899</v>
      </c>
      <c r="D12369" t="s">
        <v>176</v>
      </c>
      <c r="E12369">
        <v>22332892</v>
      </c>
      <c r="F12369">
        <v>4923557</v>
      </c>
      <c r="G12369">
        <v>678424</v>
      </c>
      <c r="H12369">
        <f>_xlfn.XLOOKUP(FACT_IMPORTS[[#This Row],[hts_6]],DIM_PRODUCTS[hts_6],DIM_PRODUCTS[hts_4],,,)</f>
        <v>8708</v>
      </c>
      <c r="I12369" t="str" cm="1">
        <f t="array" ref="I12369">_xlfn.XLOOKUP(FACT_IMPORTS[[#This Row],[country_name]],DIM_COUNTRY[[#All],[Column2]],DIM_COUNTRY[[#All],[Column3]],,,)</f>
        <v>Major_Non-USMCA_Non-China</v>
      </c>
    </row>
    <row r="12370" spans="1:9" x14ac:dyDescent="0.4">
      <c r="A12370" t="s">
        <v>73</v>
      </c>
      <c r="B12370" s="1">
        <v>45839</v>
      </c>
      <c r="C12370">
        <v>392630</v>
      </c>
      <c r="D12370" t="s">
        <v>176</v>
      </c>
      <c r="E12370">
        <v>352760</v>
      </c>
      <c r="F12370">
        <v>23686</v>
      </c>
      <c r="G12370">
        <v>14604</v>
      </c>
      <c r="H12370">
        <f>_xlfn.XLOOKUP(FACT_IMPORTS[[#This Row],[hts_6]],DIM_PRODUCTS[hts_6],DIM_PRODUCTS[hts_4],,,)</f>
        <v>3926</v>
      </c>
      <c r="I12370" t="str" cm="1">
        <f t="array" ref="I12370">_xlfn.XLOOKUP(FACT_IMPORTS[[#This Row],[country_name]],DIM_COUNTRY[[#All],[Column2]],DIM_COUNTRY[[#All],[Column3]],,,)</f>
        <v>Major_Non-USMCA_Non-China</v>
      </c>
    </row>
    <row r="12371" spans="1:9" x14ac:dyDescent="0.4">
      <c r="A12371" t="s">
        <v>73</v>
      </c>
      <c r="B12371" s="1">
        <v>45839</v>
      </c>
      <c r="C12371">
        <v>401110</v>
      </c>
      <c r="D12371" t="s">
        <v>176</v>
      </c>
      <c r="E12371">
        <v>2253663</v>
      </c>
      <c r="F12371">
        <v>37853</v>
      </c>
      <c r="G12371">
        <v>424831</v>
      </c>
      <c r="H12371">
        <f>_xlfn.XLOOKUP(FACT_IMPORTS[[#This Row],[hts_6]],DIM_PRODUCTS[hts_6],DIM_PRODUCTS[hts_4],,,)</f>
        <v>4011</v>
      </c>
      <c r="I12371" t="str" cm="1">
        <f t="array" ref="I12371">_xlfn.XLOOKUP(FACT_IMPORTS[[#This Row],[country_name]],DIM_COUNTRY[[#All],[Column2]],DIM_COUNTRY[[#All],[Column3]],,,)</f>
        <v>Major_Non-USMCA_Non-China</v>
      </c>
    </row>
    <row r="12372" spans="1:9" x14ac:dyDescent="0.4">
      <c r="A12372" t="s">
        <v>73</v>
      </c>
      <c r="B12372" s="1">
        <v>45839</v>
      </c>
      <c r="C12372">
        <v>401120</v>
      </c>
      <c r="D12372" t="s">
        <v>176</v>
      </c>
      <c r="E12372">
        <v>159349</v>
      </c>
      <c r="F12372">
        <v>2330</v>
      </c>
      <c r="G12372">
        <v>27065</v>
      </c>
      <c r="H12372">
        <f>_xlfn.XLOOKUP(FACT_IMPORTS[[#This Row],[hts_6]],DIM_PRODUCTS[hts_6],DIM_PRODUCTS[hts_4],,,)</f>
        <v>4011</v>
      </c>
      <c r="I12372" t="str" cm="1">
        <f t="array" ref="I12372">_xlfn.XLOOKUP(FACT_IMPORTS[[#This Row],[country_name]],DIM_COUNTRY[[#All],[Column2]],DIM_COUNTRY[[#All],[Column3]],,,)</f>
        <v>Major_Non-USMCA_Non-China</v>
      </c>
    </row>
    <row r="12373" spans="1:9" x14ac:dyDescent="0.4">
      <c r="A12373" t="s">
        <v>73</v>
      </c>
      <c r="B12373" s="1">
        <v>45839</v>
      </c>
      <c r="C12373">
        <v>700711</v>
      </c>
      <c r="D12373" t="s">
        <v>176</v>
      </c>
      <c r="E12373">
        <v>37415</v>
      </c>
      <c r="F12373">
        <v>22</v>
      </c>
      <c r="G12373">
        <v>338</v>
      </c>
      <c r="H12373">
        <f>_xlfn.XLOOKUP(FACT_IMPORTS[[#This Row],[hts_6]],DIM_PRODUCTS[hts_6],DIM_PRODUCTS[hts_4],,,)</f>
        <v>7007</v>
      </c>
      <c r="I12373" t="str" cm="1">
        <f t="array" ref="I12373">_xlfn.XLOOKUP(FACT_IMPORTS[[#This Row],[country_name]],DIM_COUNTRY[[#All],[Column2]],DIM_COUNTRY[[#All],[Column3]],,,)</f>
        <v>Major_Non-USMCA_Non-China</v>
      </c>
    </row>
    <row r="12374" spans="1:9" x14ac:dyDescent="0.4">
      <c r="A12374" t="s">
        <v>73</v>
      </c>
      <c r="B12374" s="1">
        <v>45839</v>
      </c>
      <c r="C12374">
        <v>700910</v>
      </c>
      <c r="D12374" t="s">
        <v>176</v>
      </c>
      <c r="E12374">
        <v>1505376</v>
      </c>
      <c r="F12374">
        <v>22793</v>
      </c>
      <c r="G12374">
        <v>54258</v>
      </c>
      <c r="H12374">
        <f>_xlfn.XLOOKUP(FACT_IMPORTS[[#This Row],[hts_6]],DIM_PRODUCTS[hts_6],DIM_PRODUCTS[hts_4],,,)</f>
        <v>7009</v>
      </c>
      <c r="I12374" t="str" cm="1">
        <f t="array" ref="I12374">_xlfn.XLOOKUP(FACT_IMPORTS[[#This Row],[country_name]],DIM_COUNTRY[[#All],[Column2]],DIM_COUNTRY[[#All],[Column3]],,,)</f>
        <v>Major_Non-USMCA_Non-China</v>
      </c>
    </row>
    <row r="12375" spans="1:9" x14ac:dyDescent="0.4">
      <c r="A12375" t="s">
        <v>73</v>
      </c>
      <c r="B12375" s="1">
        <v>45839</v>
      </c>
      <c r="C12375">
        <v>830230</v>
      </c>
      <c r="D12375" t="s">
        <v>176</v>
      </c>
      <c r="E12375">
        <v>3446770</v>
      </c>
      <c r="F12375">
        <v>668587</v>
      </c>
      <c r="G12375">
        <v>160075</v>
      </c>
      <c r="H12375">
        <f>_xlfn.XLOOKUP(FACT_IMPORTS[[#This Row],[hts_6]],DIM_PRODUCTS[hts_6],DIM_PRODUCTS[hts_4],,,)</f>
        <v>8302</v>
      </c>
      <c r="I12375" t="str" cm="1">
        <f t="array" ref="I12375">_xlfn.XLOOKUP(FACT_IMPORTS[[#This Row],[country_name]],DIM_COUNTRY[[#All],[Column2]],DIM_COUNTRY[[#All],[Column3]],,,)</f>
        <v>Major_Non-USMCA_Non-China</v>
      </c>
    </row>
    <row r="12376" spans="1:9" x14ac:dyDescent="0.4">
      <c r="A12376" t="s">
        <v>73</v>
      </c>
      <c r="B12376" s="1">
        <v>45839</v>
      </c>
      <c r="C12376">
        <v>840734</v>
      </c>
      <c r="D12376" t="s">
        <v>176</v>
      </c>
      <c r="E12376">
        <v>0</v>
      </c>
      <c r="F12376">
        <v>0</v>
      </c>
      <c r="G12376">
        <v>0</v>
      </c>
      <c r="H12376">
        <f>_xlfn.XLOOKUP(FACT_IMPORTS[[#This Row],[hts_6]],DIM_PRODUCTS[hts_6],DIM_PRODUCTS[hts_4],,,)</f>
        <v>8407</v>
      </c>
      <c r="I12376" t="str" cm="1">
        <f t="array" ref="I12376">_xlfn.XLOOKUP(FACT_IMPORTS[[#This Row],[country_name]],DIM_COUNTRY[[#All],[Column2]],DIM_COUNTRY[[#All],[Column3]],,,)</f>
        <v>Major_Non-USMCA_Non-China</v>
      </c>
    </row>
    <row r="12377" spans="1:9" x14ac:dyDescent="0.4">
      <c r="A12377" t="s">
        <v>73</v>
      </c>
      <c r="B12377" s="1">
        <v>45839</v>
      </c>
      <c r="C12377">
        <v>840890</v>
      </c>
      <c r="D12377" t="s">
        <v>176</v>
      </c>
      <c r="E12377">
        <v>11338</v>
      </c>
      <c r="F12377">
        <v>1</v>
      </c>
      <c r="G12377">
        <v>727</v>
      </c>
      <c r="H12377">
        <f>_xlfn.XLOOKUP(FACT_IMPORTS[[#This Row],[hts_6]],DIM_PRODUCTS[hts_6],DIM_PRODUCTS[hts_4],,,)</f>
        <v>8408</v>
      </c>
      <c r="I12377" t="str" cm="1">
        <f t="array" ref="I12377">_xlfn.XLOOKUP(FACT_IMPORTS[[#This Row],[country_name]],DIM_COUNTRY[[#All],[Column2]],DIM_COUNTRY[[#All],[Column3]],,,)</f>
        <v>Major_Non-USMCA_Non-China</v>
      </c>
    </row>
    <row r="12378" spans="1:9" x14ac:dyDescent="0.4">
      <c r="A12378" t="s">
        <v>73</v>
      </c>
      <c r="B12378" s="1">
        <v>45839</v>
      </c>
      <c r="C12378">
        <v>840991</v>
      </c>
      <c r="D12378" t="s">
        <v>176</v>
      </c>
      <c r="E12378">
        <v>4974911</v>
      </c>
      <c r="F12378">
        <v>378671</v>
      </c>
      <c r="G12378">
        <v>41529</v>
      </c>
      <c r="H12378">
        <f>_xlfn.XLOOKUP(FACT_IMPORTS[[#This Row],[hts_6]],DIM_PRODUCTS[hts_6],DIM_PRODUCTS[hts_4],,,)</f>
        <v>8409</v>
      </c>
      <c r="I12378" t="str" cm="1">
        <f t="array" ref="I12378">_xlfn.XLOOKUP(FACT_IMPORTS[[#This Row],[country_name]],DIM_COUNTRY[[#All],[Column2]],DIM_COUNTRY[[#All],[Column3]],,,)</f>
        <v>Major_Non-USMCA_Non-China</v>
      </c>
    </row>
    <row r="12379" spans="1:9" x14ac:dyDescent="0.4">
      <c r="A12379" t="s">
        <v>73</v>
      </c>
      <c r="B12379" s="1">
        <v>45839</v>
      </c>
      <c r="C12379">
        <v>840999</v>
      </c>
      <c r="D12379" t="s">
        <v>176</v>
      </c>
      <c r="E12379">
        <v>157674</v>
      </c>
      <c r="F12379">
        <v>6123</v>
      </c>
      <c r="G12379">
        <v>1501</v>
      </c>
      <c r="H12379">
        <f>_xlfn.XLOOKUP(FACT_IMPORTS[[#This Row],[hts_6]],DIM_PRODUCTS[hts_6],DIM_PRODUCTS[hts_4],,,)</f>
        <v>8409</v>
      </c>
      <c r="I12379" t="str" cm="1">
        <f t="array" ref="I12379">_xlfn.XLOOKUP(FACT_IMPORTS[[#This Row],[country_name]],DIM_COUNTRY[[#All],[Column2]],DIM_COUNTRY[[#All],[Column3]],,,)</f>
        <v>Major_Non-USMCA_Non-China</v>
      </c>
    </row>
    <row r="12380" spans="1:9" x14ac:dyDescent="0.4">
      <c r="A12380" t="s">
        <v>73</v>
      </c>
      <c r="B12380" s="1">
        <v>45839</v>
      </c>
      <c r="C12380">
        <v>841330</v>
      </c>
      <c r="D12380" t="s">
        <v>176</v>
      </c>
      <c r="E12380">
        <v>3160606</v>
      </c>
      <c r="F12380">
        <v>115100</v>
      </c>
      <c r="G12380">
        <v>193528</v>
      </c>
      <c r="H12380">
        <f>_xlfn.XLOOKUP(FACT_IMPORTS[[#This Row],[hts_6]],DIM_PRODUCTS[hts_6],DIM_PRODUCTS[hts_4],,,)</f>
        <v>8413</v>
      </c>
      <c r="I12380" t="str" cm="1">
        <f t="array" ref="I12380">_xlfn.XLOOKUP(FACT_IMPORTS[[#This Row],[country_name]],DIM_COUNTRY[[#All],[Column2]],DIM_COUNTRY[[#All],[Column3]],,,)</f>
        <v>Major_Non-USMCA_Non-China</v>
      </c>
    </row>
    <row r="12381" spans="1:9" x14ac:dyDescent="0.4">
      <c r="A12381" t="s">
        <v>73</v>
      </c>
      <c r="B12381" s="1">
        <v>45839</v>
      </c>
      <c r="C12381">
        <v>842132</v>
      </c>
      <c r="D12381" t="s">
        <v>176</v>
      </c>
      <c r="E12381">
        <v>168971</v>
      </c>
      <c r="F12381">
        <v>94</v>
      </c>
      <c r="G12381">
        <v>815</v>
      </c>
      <c r="H12381">
        <f>_xlfn.XLOOKUP(FACT_IMPORTS[[#This Row],[hts_6]],DIM_PRODUCTS[hts_6],DIM_PRODUCTS[hts_4],,,)</f>
        <v>8421</v>
      </c>
      <c r="I12381" t="str" cm="1">
        <f t="array" ref="I12381">_xlfn.XLOOKUP(FACT_IMPORTS[[#This Row],[country_name]],DIM_COUNTRY[[#All],[Column2]],DIM_COUNTRY[[#All],[Column3]],,,)</f>
        <v>Major_Non-USMCA_Non-China</v>
      </c>
    </row>
    <row r="12382" spans="1:9" x14ac:dyDescent="0.4">
      <c r="A12382" t="s">
        <v>73</v>
      </c>
      <c r="B12382" s="1">
        <v>45839</v>
      </c>
      <c r="C12382">
        <v>848210</v>
      </c>
      <c r="D12382" t="s">
        <v>176</v>
      </c>
      <c r="E12382">
        <v>95575</v>
      </c>
      <c r="F12382">
        <v>24875</v>
      </c>
      <c r="G12382">
        <v>734</v>
      </c>
      <c r="H12382">
        <f>_xlfn.XLOOKUP(FACT_IMPORTS[[#This Row],[hts_6]],DIM_PRODUCTS[hts_6],DIM_PRODUCTS[hts_4],,,)</f>
        <v>8482</v>
      </c>
      <c r="I12382" t="str" cm="1">
        <f t="array" ref="I12382">_xlfn.XLOOKUP(FACT_IMPORTS[[#This Row],[country_name]],DIM_COUNTRY[[#All],[Column2]],DIM_COUNTRY[[#All],[Column3]],,,)</f>
        <v>Major_Non-USMCA_Non-China</v>
      </c>
    </row>
    <row r="12383" spans="1:9" x14ac:dyDescent="0.4">
      <c r="A12383" t="s">
        <v>73</v>
      </c>
      <c r="B12383" s="1">
        <v>45839</v>
      </c>
      <c r="C12383">
        <v>848220</v>
      </c>
      <c r="D12383" t="s">
        <v>176</v>
      </c>
      <c r="E12383">
        <v>4793147</v>
      </c>
      <c r="F12383">
        <v>1296439</v>
      </c>
      <c r="G12383">
        <v>457</v>
      </c>
      <c r="H12383">
        <f>_xlfn.XLOOKUP(FACT_IMPORTS[[#This Row],[hts_6]],DIM_PRODUCTS[hts_6],DIM_PRODUCTS[hts_4],,,)</f>
        <v>8482</v>
      </c>
      <c r="I12383" t="str" cm="1">
        <f t="array" ref="I12383">_xlfn.XLOOKUP(FACT_IMPORTS[[#This Row],[country_name]],DIM_COUNTRY[[#All],[Column2]],DIM_COUNTRY[[#All],[Column3]],,,)</f>
        <v>Major_Non-USMCA_Non-China</v>
      </c>
    </row>
    <row r="12384" spans="1:9" x14ac:dyDescent="0.4">
      <c r="A12384" t="s">
        <v>73</v>
      </c>
      <c r="B12384" s="1">
        <v>45839</v>
      </c>
      <c r="C12384">
        <v>848310</v>
      </c>
      <c r="D12384" t="s">
        <v>176</v>
      </c>
      <c r="E12384">
        <v>35704</v>
      </c>
      <c r="F12384">
        <v>1084</v>
      </c>
      <c r="G12384">
        <v>7</v>
      </c>
      <c r="H12384">
        <f>_xlfn.XLOOKUP(FACT_IMPORTS[[#This Row],[hts_6]],DIM_PRODUCTS[hts_6],DIM_PRODUCTS[hts_4],,,)</f>
        <v>8483</v>
      </c>
      <c r="I12384" t="str" cm="1">
        <f t="array" ref="I12384">_xlfn.XLOOKUP(FACT_IMPORTS[[#This Row],[country_name]],DIM_COUNTRY[[#All],[Column2]],DIM_COUNTRY[[#All],[Column3]],,,)</f>
        <v>Major_Non-USMCA_Non-China</v>
      </c>
    </row>
    <row r="12385" spans="1:9" x14ac:dyDescent="0.4">
      <c r="A12385" t="s">
        <v>73</v>
      </c>
      <c r="B12385" s="1">
        <v>45839</v>
      </c>
      <c r="C12385">
        <v>850131</v>
      </c>
      <c r="D12385" t="s">
        <v>176</v>
      </c>
      <c r="E12385">
        <v>1971931</v>
      </c>
      <c r="F12385">
        <v>87519</v>
      </c>
      <c r="G12385">
        <v>37000</v>
      </c>
      <c r="H12385">
        <f>_xlfn.XLOOKUP(FACT_IMPORTS[[#This Row],[hts_6]],DIM_PRODUCTS[hts_6],DIM_PRODUCTS[hts_4],,,)</f>
        <v>8501</v>
      </c>
      <c r="I12385" t="str" cm="1">
        <f t="array" ref="I12385">_xlfn.XLOOKUP(FACT_IMPORTS[[#This Row],[country_name]],DIM_COUNTRY[[#All],[Column2]],DIM_COUNTRY[[#All],[Column3]],,,)</f>
        <v>Major_Non-USMCA_Non-China</v>
      </c>
    </row>
    <row r="12386" spans="1:9" x14ac:dyDescent="0.4">
      <c r="A12386" t="s">
        <v>73</v>
      </c>
      <c r="B12386" s="1">
        <v>45839</v>
      </c>
      <c r="C12386">
        <v>850132</v>
      </c>
      <c r="D12386" t="s">
        <v>176</v>
      </c>
      <c r="E12386">
        <v>0</v>
      </c>
      <c r="F12386">
        <v>0</v>
      </c>
      <c r="G12386">
        <v>0</v>
      </c>
      <c r="H12386">
        <f>_xlfn.XLOOKUP(FACT_IMPORTS[[#This Row],[hts_6]],DIM_PRODUCTS[hts_6],DIM_PRODUCTS[hts_4],,,)</f>
        <v>8501</v>
      </c>
      <c r="I12386" t="str" cm="1">
        <f t="array" ref="I12386">_xlfn.XLOOKUP(FACT_IMPORTS[[#This Row],[country_name]],DIM_COUNTRY[[#All],[Column2]],DIM_COUNTRY[[#All],[Column3]],,,)</f>
        <v>Major_Non-USMCA_Non-China</v>
      </c>
    </row>
    <row r="12387" spans="1:9" x14ac:dyDescent="0.4">
      <c r="A12387" t="s">
        <v>73</v>
      </c>
      <c r="B12387" s="1">
        <v>45839</v>
      </c>
      <c r="C12387">
        <v>850152</v>
      </c>
      <c r="D12387" t="s">
        <v>176</v>
      </c>
      <c r="E12387">
        <v>0</v>
      </c>
      <c r="F12387">
        <v>0</v>
      </c>
      <c r="G12387">
        <v>0</v>
      </c>
      <c r="H12387">
        <f>_xlfn.XLOOKUP(FACT_IMPORTS[[#This Row],[hts_6]],DIM_PRODUCTS[hts_6],DIM_PRODUCTS[hts_4],,,)</f>
        <v>8501</v>
      </c>
      <c r="I12387" t="str" cm="1">
        <f t="array" ref="I12387">_xlfn.XLOOKUP(FACT_IMPORTS[[#This Row],[country_name]],DIM_COUNTRY[[#All],[Column2]],DIM_COUNTRY[[#All],[Column3]],,,)</f>
        <v>Major_Non-USMCA_Non-China</v>
      </c>
    </row>
    <row r="12388" spans="1:9" x14ac:dyDescent="0.4">
      <c r="A12388" t="s">
        <v>73</v>
      </c>
      <c r="B12388" s="1">
        <v>45839</v>
      </c>
      <c r="C12388">
        <v>850153</v>
      </c>
      <c r="D12388" t="s">
        <v>176</v>
      </c>
      <c r="E12388">
        <v>28668</v>
      </c>
      <c r="F12388">
        <v>14</v>
      </c>
      <c r="G12388">
        <v>271</v>
      </c>
      <c r="H12388">
        <f>_xlfn.XLOOKUP(FACT_IMPORTS[[#This Row],[hts_6]],DIM_PRODUCTS[hts_6],DIM_PRODUCTS[hts_4],,,)</f>
        <v>8501</v>
      </c>
      <c r="I12388" t="str" cm="1">
        <f t="array" ref="I12388">_xlfn.XLOOKUP(FACT_IMPORTS[[#This Row],[country_name]],DIM_COUNTRY[[#All],[Column2]],DIM_COUNTRY[[#All],[Column3]],,,)</f>
        <v>Major_Non-USMCA_Non-China</v>
      </c>
    </row>
    <row r="12389" spans="1:9" x14ac:dyDescent="0.4">
      <c r="A12389" t="s">
        <v>73</v>
      </c>
      <c r="B12389" s="1">
        <v>45839</v>
      </c>
      <c r="C12389">
        <v>850440</v>
      </c>
      <c r="D12389" t="s">
        <v>176</v>
      </c>
      <c r="E12389">
        <v>2643026</v>
      </c>
      <c r="F12389">
        <v>2064</v>
      </c>
      <c r="G12389">
        <v>45481</v>
      </c>
      <c r="H12389">
        <f>_xlfn.XLOOKUP(FACT_IMPORTS[[#This Row],[hts_6]],DIM_PRODUCTS[hts_6],DIM_PRODUCTS[hts_4],,,)</f>
        <v>8504</v>
      </c>
      <c r="I12389" t="str" cm="1">
        <f t="array" ref="I12389">_xlfn.XLOOKUP(FACT_IMPORTS[[#This Row],[country_name]],DIM_COUNTRY[[#All],[Column2]],DIM_COUNTRY[[#All],[Column3]],,,)</f>
        <v>Major_Non-USMCA_Non-China</v>
      </c>
    </row>
    <row r="12390" spans="1:9" x14ac:dyDescent="0.4">
      <c r="A12390" t="s">
        <v>73</v>
      </c>
      <c r="B12390" s="1">
        <v>45839</v>
      </c>
      <c r="C12390">
        <v>850710</v>
      </c>
      <c r="D12390" t="s">
        <v>176</v>
      </c>
      <c r="E12390">
        <v>361150</v>
      </c>
      <c r="F12390">
        <v>8548</v>
      </c>
      <c r="G12390">
        <v>4009</v>
      </c>
      <c r="H12390">
        <f>_xlfn.XLOOKUP(FACT_IMPORTS[[#This Row],[hts_6]],DIM_PRODUCTS[hts_6],DIM_PRODUCTS[hts_4],,,)</f>
        <v>8507</v>
      </c>
      <c r="I12390" t="str" cm="1">
        <f t="array" ref="I12390">_xlfn.XLOOKUP(FACT_IMPORTS[[#This Row],[country_name]],DIM_COUNTRY[[#All],[Column2]],DIM_COUNTRY[[#All],[Column3]],,,)</f>
        <v>Major_Non-USMCA_Non-China</v>
      </c>
    </row>
    <row r="12391" spans="1:9" x14ac:dyDescent="0.4">
      <c r="A12391" t="s">
        <v>73</v>
      </c>
      <c r="B12391" s="1">
        <v>45839</v>
      </c>
      <c r="C12391">
        <v>850760</v>
      </c>
      <c r="D12391" t="s">
        <v>176</v>
      </c>
      <c r="E12391">
        <v>171085</v>
      </c>
      <c r="F12391">
        <v>29</v>
      </c>
      <c r="G12391">
        <v>1255</v>
      </c>
      <c r="H12391">
        <f>_xlfn.XLOOKUP(FACT_IMPORTS[[#This Row],[hts_6]],DIM_PRODUCTS[hts_6],DIM_PRODUCTS[hts_4],,,)</f>
        <v>8507</v>
      </c>
      <c r="I12391" t="str" cm="1">
        <f t="array" ref="I12391">_xlfn.XLOOKUP(FACT_IMPORTS[[#This Row],[country_name]],DIM_COUNTRY[[#All],[Column2]],DIM_COUNTRY[[#All],[Column3]],,,)</f>
        <v>Major_Non-USMCA_Non-China</v>
      </c>
    </row>
    <row r="12392" spans="1:9" x14ac:dyDescent="0.4">
      <c r="A12392" t="s">
        <v>73</v>
      </c>
      <c r="B12392" s="1">
        <v>45839</v>
      </c>
      <c r="C12392">
        <v>850790</v>
      </c>
      <c r="D12392" t="s">
        <v>176</v>
      </c>
      <c r="E12392">
        <v>64500</v>
      </c>
      <c r="F12392">
        <v>500</v>
      </c>
      <c r="G12392">
        <v>6450</v>
      </c>
      <c r="H12392">
        <f>_xlfn.XLOOKUP(FACT_IMPORTS[[#This Row],[hts_6]],DIM_PRODUCTS[hts_6],DIM_PRODUCTS[hts_4],,,)</f>
        <v>8507</v>
      </c>
      <c r="I12392" t="str" cm="1">
        <f t="array" ref="I12392">_xlfn.XLOOKUP(FACT_IMPORTS[[#This Row],[country_name]],DIM_COUNTRY[[#All],[Column2]],DIM_COUNTRY[[#All],[Column3]],,,)</f>
        <v>Major_Non-USMCA_Non-China</v>
      </c>
    </row>
    <row r="12393" spans="1:9" x14ac:dyDescent="0.4">
      <c r="A12393" t="s">
        <v>73</v>
      </c>
      <c r="B12393" s="1">
        <v>45839</v>
      </c>
      <c r="C12393">
        <v>851110</v>
      </c>
      <c r="D12393" t="s">
        <v>176</v>
      </c>
      <c r="E12393">
        <v>0</v>
      </c>
      <c r="F12393">
        <v>0</v>
      </c>
      <c r="G12393">
        <v>0</v>
      </c>
      <c r="H12393">
        <f>_xlfn.XLOOKUP(FACT_IMPORTS[[#This Row],[hts_6]],DIM_PRODUCTS[hts_6],DIM_PRODUCTS[hts_4],,,)</f>
        <v>8511</v>
      </c>
      <c r="I12393" t="str" cm="1">
        <f t="array" ref="I12393">_xlfn.XLOOKUP(FACT_IMPORTS[[#This Row],[country_name]],DIM_COUNTRY[[#All],[Column2]],DIM_COUNTRY[[#All],[Column3]],,,)</f>
        <v>Major_Non-USMCA_Non-China</v>
      </c>
    </row>
    <row r="12394" spans="1:9" x14ac:dyDescent="0.4">
      <c r="A12394" t="s">
        <v>73</v>
      </c>
      <c r="B12394" s="1">
        <v>45839</v>
      </c>
      <c r="C12394">
        <v>851130</v>
      </c>
      <c r="D12394" t="s">
        <v>176</v>
      </c>
      <c r="E12394">
        <v>0</v>
      </c>
      <c r="F12394">
        <v>0</v>
      </c>
      <c r="G12394">
        <v>0</v>
      </c>
      <c r="H12394">
        <f>_xlfn.XLOOKUP(FACT_IMPORTS[[#This Row],[hts_6]],DIM_PRODUCTS[hts_6],DIM_PRODUCTS[hts_4],,,)</f>
        <v>8511</v>
      </c>
      <c r="I12394" t="str" cm="1">
        <f t="array" ref="I12394">_xlfn.XLOOKUP(FACT_IMPORTS[[#This Row],[country_name]],DIM_COUNTRY[[#All],[Column2]],DIM_COUNTRY[[#All],[Column3]],,,)</f>
        <v>Major_Non-USMCA_Non-China</v>
      </c>
    </row>
    <row r="12395" spans="1:9" x14ac:dyDescent="0.4">
      <c r="A12395" t="s">
        <v>73</v>
      </c>
      <c r="B12395" s="1">
        <v>45839</v>
      </c>
      <c r="C12395">
        <v>851140</v>
      </c>
      <c r="D12395" t="s">
        <v>176</v>
      </c>
      <c r="E12395">
        <v>61356</v>
      </c>
      <c r="F12395">
        <v>733</v>
      </c>
      <c r="G12395">
        <v>367</v>
      </c>
      <c r="H12395">
        <f>_xlfn.XLOOKUP(FACT_IMPORTS[[#This Row],[hts_6]],DIM_PRODUCTS[hts_6],DIM_PRODUCTS[hts_4],,,)</f>
        <v>8511</v>
      </c>
      <c r="I12395" t="str" cm="1">
        <f t="array" ref="I12395">_xlfn.XLOOKUP(FACT_IMPORTS[[#This Row],[country_name]],DIM_COUNTRY[[#All],[Column2]],DIM_COUNTRY[[#All],[Column3]],,,)</f>
        <v>Major_Non-USMCA_Non-China</v>
      </c>
    </row>
    <row r="12396" spans="1:9" x14ac:dyDescent="0.4">
      <c r="A12396" t="s">
        <v>73</v>
      </c>
      <c r="B12396" s="1">
        <v>45839</v>
      </c>
      <c r="C12396">
        <v>851150</v>
      </c>
      <c r="D12396" t="s">
        <v>176</v>
      </c>
      <c r="E12396">
        <v>70850</v>
      </c>
      <c r="F12396">
        <v>579</v>
      </c>
      <c r="G12396">
        <v>671</v>
      </c>
      <c r="H12396">
        <f>_xlfn.XLOOKUP(FACT_IMPORTS[[#This Row],[hts_6]],DIM_PRODUCTS[hts_6],DIM_PRODUCTS[hts_4],,,)</f>
        <v>8511</v>
      </c>
      <c r="I12396" t="str" cm="1">
        <f t="array" ref="I12396">_xlfn.XLOOKUP(FACT_IMPORTS[[#This Row],[country_name]],DIM_COUNTRY[[#All],[Column2]],DIM_COUNTRY[[#All],[Column3]],,,)</f>
        <v>Major_Non-USMCA_Non-China</v>
      </c>
    </row>
    <row r="12397" spans="1:9" x14ac:dyDescent="0.4">
      <c r="A12397" t="s">
        <v>73</v>
      </c>
      <c r="B12397" s="1">
        <v>45839</v>
      </c>
      <c r="C12397">
        <v>851190</v>
      </c>
      <c r="D12397" t="s">
        <v>176</v>
      </c>
      <c r="E12397">
        <v>130798</v>
      </c>
      <c r="F12397">
        <v>25781</v>
      </c>
      <c r="G12397">
        <v>8355</v>
      </c>
      <c r="H12397">
        <f>_xlfn.XLOOKUP(FACT_IMPORTS[[#This Row],[hts_6]],DIM_PRODUCTS[hts_6],DIM_PRODUCTS[hts_4],,,)</f>
        <v>8511</v>
      </c>
      <c r="I12397" t="str" cm="1">
        <f t="array" ref="I12397">_xlfn.XLOOKUP(FACT_IMPORTS[[#This Row],[country_name]],DIM_COUNTRY[[#All],[Column2]],DIM_COUNTRY[[#All],[Column3]],,,)</f>
        <v>Major_Non-USMCA_Non-China</v>
      </c>
    </row>
    <row r="12398" spans="1:9" x14ac:dyDescent="0.4">
      <c r="A12398" t="s">
        <v>73</v>
      </c>
      <c r="B12398" s="1">
        <v>45839</v>
      </c>
      <c r="C12398">
        <v>851220</v>
      </c>
      <c r="D12398" t="s">
        <v>176</v>
      </c>
      <c r="E12398">
        <v>11482336</v>
      </c>
      <c r="F12398">
        <v>1492226</v>
      </c>
      <c r="G12398">
        <v>330040</v>
      </c>
      <c r="H12398">
        <f>_xlfn.XLOOKUP(FACT_IMPORTS[[#This Row],[hts_6]],DIM_PRODUCTS[hts_6],DIM_PRODUCTS[hts_4],,,)</f>
        <v>8512</v>
      </c>
      <c r="I12398" t="str" cm="1">
        <f t="array" ref="I12398">_xlfn.XLOOKUP(FACT_IMPORTS[[#This Row],[country_name]],DIM_COUNTRY[[#All],[Column2]],DIM_COUNTRY[[#All],[Column3]],,,)</f>
        <v>Major_Non-USMCA_Non-China</v>
      </c>
    </row>
    <row r="12399" spans="1:9" x14ac:dyDescent="0.4">
      <c r="A12399" t="s">
        <v>73</v>
      </c>
      <c r="B12399" s="1">
        <v>45839</v>
      </c>
      <c r="C12399">
        <v>851230</v>
      </c>
      <c r="D12399" t="s">
        <v>176</v>
      </c>
      <c r="E12399">
        <v>0</v>
      </c>
      <c r="F12399">
        <v>0</v>
      </c>
      <c r="G12399">
        <v>0</v>
      </c>
      <c r="H12399">
        <f>_xlfn.XLOOKUP(FACT_IMPORTS[[#This Row],[hts_6]],DIM_PRODUCTS[hts_6],DIM_PRODUCTS[hts_4],,,)</f>
        <v>8512</v>
      </c>
      <c r="I12399" t="str" cm="1">
        <f t="array" ref="I12399">_xlfn.XLOOKUP(FACT_IMPORTS[[#This Row],[country_name]],DIM_COUNTRY[[#All],[Column2]],DIM_COUNTRY[[#All],[Column3]],,,)</f>
        <v>Major_Non-USMCA_Non-China</v>
      </c>
    </row>
    <row r="12400" spans="1:9" x14ac:dyDescent="0.4">
      <c r="A12400" t="s">
        <v>73</v>
      </c>
      <c r="B12400" s="1">
        <v>45839</v>
      </c>
      <c r="C12400">
        <v>851240</v>
      </c>
      <c r="D12400" t="s">
        <v>176</v>
      </c>
      <c r="E12400">
        <v>0</v>
      </c>
      <c r="F12400">
        <v>0</v>
      </c>
      <c r="G12400">
        <v>0</v>
      </c>
      <c r="H12400">
        <f>_xlfn.XLOOKUP(FACT_IMPORTS[[#This Row],[hts_6]],DIM_PRODUCTS[hts_6],DIM_PRODUCTS[hts_4],,,)</f>
        <v>8512</v>
      </c>
      <c r="I12400" t="str" cm="1">
        <f t="array" ref="I12400">_xlfn.XLOOKUP(FACT_IMPORTS[[#This Row],[country_name]],DIM_COUNTRY[[#All],[Column2]],DIM_COUNTRY[[#All],[Column3]],,,)</f>
        <v>Major_Non-USMCA_Non-China</v>
      </c>
    </row>
    <row r="12401" spans="1:9" x14ac:dyDescent="0.4">
      <c r="A12401" t="s">
        <v>73</v>
      </c>
      <c r="B12401" s="1">
        <v>45839</v>
      </c>
      <c r="C12401">
        <v>851290</v>
      </c>
      <c r="D12401" t="s">
        <v>176</v>
      </c>
      <c r="E12401">
        <v>1086476</v>
      </c>
      <c r="F12401">
        <v>60736</v>
      </c>
      <c r="G12401">
        <v>35674</v>
      </c>
      <c r="H12401">
        <f>_xlfn.XLOOKUP(FACT_IMPORTS[[#This Row],[hts_6]],DIM_PRODUCTS[hts_6],DIM_PRODUCTS[hts_4],,,)</f>
        <v>8512</v>
      </c>
      <c r="I12401" t="str" cm="1">
        <f t="array" ref="I12401">_xlfn.XLOOKUP(FACT_IMPORTS[[#This Row],[country_name]],DIM_COUNTRY[[#All],[Column2]],DIM_COUNTRY[[#All],[Column3]],,,)</f>
        <v>Major_Non-USMCA_Non-China</v>
      </c>
    </row>
    <row r="12402" spans="1:9" x14ac:dyDescent="0.4">
      <c r="A12402" t="s">
        <v>73</v>
      </c>
      <c r="B12402" s="1">
        <v>45839</v>
      </c>
      <c r="C12402">
        <v>854231</v>
      </c>
      <c r="D12402" t="s">
        <v>176</v>
      </c>
      <c r="E12402">
        <v>4390</v>
      </c>
      <c r="F12402">
        <v>2</v>
      </c>
      <c r="G12402">
        <v>6</v>
      </c>
      <c r="H12402">
        <f>_xlfn.XLOOKUP(FACT_IMPORTS[[#This Row],[hts_6]],DIM_PRODUCTS[hts_6],DIM_PRODUCTS[hts_4],,,)</f>
        <v>8542</v>
      </c>
      <c r="I12402" t="str" cm="1">
        <f t="array" ref="I12402">_xlfn.XLOOKUP(FACT_IMPORTS[[#This Row],[country_name]],DIM_COUNTRY[[#All],[Column2]],DIM_COUNTRY[[#All],[Column3]],,,)</f>
        <v>Major_Non-USMCA_Non-China</v>
      </c>
    </row>
    <row r="12403" spans="1:9" x14ac:dyDescent="0.4">
      <c r="A12403" t="s">
        <v>73</v>
      </c>
      <c r="B12403" s="1">
        <v>45839</v>
      </c>
      <c r="C12403">
        <v>854232</v>
      </c>
      <c r="D12403" t="s">
        <v>176</v>
      </c>
      <c r="E12403">
        <v>22160</v>
      </c>
      <c r="F12403">
        <v>1081</v>
      </c>
      <c r="G12403">
        <v>40</v>
      </c>
      <c r="H12403">
        <f>_xlfn.XLOOKUP(FACT_IMPORTS[[#This Row],[hts_6]],DIM_PRODUCTS[hts_6],DIM_PRODUCTS[hts_4],,,)</f>
        <v>8542</v>
      </c>
      <c r="I12403" t="str" cm="1">
        <f t="array" ref="I12403">_xlfn.XLOOKUP(FACT_IMPORTS[[#This Row],[country_name]],DIM_COUNTRY[[#All],[Column2]],DIM_COUNTRY[[#All],[Column3]],,,)</f>
        <v>Major_Non-USMCA_Non-China</v>
      </c>
    </row>
    <row r="12404" spans="1:9" x14ac:dyDescent="0.4">
      <c r="A12404" t="s">
        <v>73</v>
      </c>
      <c r="B12404" s="1">
        <v>45839</v>
      </c>
      <c r="C12404">
        <v>854239</v>
      </c>
      <c r="D12404" t="s">
        <v>176</v>
      </c>
      <c r="E12404">
        <v>27783</v>
      </c>
      <c r="F12404">
        <v>756</v>
      </c>
      <c r="G12404">
        <v>44</v>
      </c>
      <c r="H12404">
        <f>_xlfn.XLOOKUP(FACT_IMPORTS[[#This Row],[hts_6]],DIM_PRODUCTS[hts_6],DIM_PRODUCTS[hts_4],,,)</f>
        <v>8542</v>
      </c>
      <c r="I12404" t="str" cm="1">
        <f t="array" ref="I12404">_xlfn.XLOOKUP(FACT_IMPORTS[[#This Row],[country_name]],DIM_COUNTRY[[#All],[Column2]],DIM_COUNTRY[[#All],[Column3]],,,)</f>
        <v>Major_Non-USMCA_Non-China</v>
      </c>
    </row>
    <row r="12405" spans="1:9" x14ac:dyDescent="0.4">
      <c r="A12405" t="s">
        <v>73</v>
      </c>
      <c r="B12405" s="1">
        <v>45839</v>
      </c>
      <c r="C12405">
        <v>854430</v>
      </c>
      <c r="D12405" t="s">
        <v>176</v>
      </c>
      <c r="E12405">
        <v>56993</v>
      </c>
      <c r="F12405">
        <v>4413</v>
      </c>
      <c r="G12405">
        <v>633</v>
      </c>
      <c r="H12405">
        <f>_xlfn.XLOOKUP(FACT_IMPORTS[[#This Row],[hts_6]],DIM_PRODUCTS[hts_6],DIM_PRODUCTS[hts_4],,,)</f>
        <v>8544</v>
      </c>
      <c r="I12405" t="str" cm="1">
        <f t="array" ref="I12405">_xlfn.XLOOKUP(FACT_IMPORTS[[#This Row],[country_name]],DIM_COUNTRY[[#All],[Column2]],DIM_COUNTRY[[#All],[Column3]],,,)</f>
        <v>Major_Non-USMCA_Non-China</v>
      </c>
    </row>
    <row r="12406" spans="1:9" x14ac:dyDescent="0.4">
      <c r="A12406" t="s">
        <v>73</v>
      </c>
      <c r="B12406" s="1">
        <v>45839</v>
      </c>
      <c r="C12406">
        <v>870810</v>
      </c>
      <c r="D12406" t="s">
        <v>176</v>
      </c>
      <c r="E12406">
        <v>2455227</v>
      </c>
      <c r="F12406">
        <v>105999</v>
      </c>
      <c r="G12406">
        <v>55071</v>
      </c>
      <c r="H12406">
        <f>_xlfn.XLOOKUP(FACT_IMPORTS[[#This Row],[hts_6]],DIM_PRODUCTS[hts_6],DIM_PRODUCTS[hts_4],,,)</f>
        <v>8708</v>
      </c>
      <c r="I12406" t="str" cm="1">
        <f t="array" ref="I12406">_xlfn.XLOOKUP(FACT_IMPORTS[[#This Row],[country_name]],DIM_COUNTRY[[#All],[Column2]],DIM_COUNTRY[[#All],[Column3]],,,)</f>
        <v>Major_Non-USMCA_Non-China</v>
      </c>
    </row>
    <row r="12407" spans="1:9" x14ac:dyDescent="0.4">
      <c r="A12407" t="s">
        <v>73</v>
      </c>
      <c r="B12407" s="1">
        <v>45839</v>
      </c>
      <c r="C12407">
        <v>870822</v>
      </c>
      <c r="D12407" t="s">
        <v>176</v>
      </c>
      <c r="E12407">
        <v>123451</v>
      </c>
      <c r="F12407">
        <v>710</v>
      </c>
      <c r="G12407">
        <v>852</v>
      </c>
      <c r="H12407">
        <f>_xlfn.XLOOKUP(FACT_IMPORTS[[#This Row],[hts_6]],DIM_PRODUCTS[hts_6],DIM_PRODUCTS[hts_4],,,)</f>
        <v>8708</v>
      </c>
      <c r="I12407" t="str" cm="1">
        <f t="array" ref="I12407">_xlfn.XLOOKUP(FACT_IMPORTS[[#This Row],[country_name]],DIM_COUNTRY[[#All],[Column2]],DIM_COUNTRY[[#All],[Column3]],,,)</f>
        <v>Major_Non-USMCA_Non-China</v>
      </c>
    </row>
    <row r="12408" spans="1:9" x14ac:dyDescent="0.4">
      <c r="A12408" t="s">
        <v>73</v>
      </c>
      <c r="B12408" s="1">
        <v>45839</v>
      </c>
      <c r="C12408">
        <v>870829</v>
      </c>
      <c r="D12408" t="s">
        <v>176</v>
      </c>
      <c r="E12408">
        <v>9764361</v>
      </c>
      <c r="F12408">
        <v>3938032</v>
      </c>
      <c r="G12408">
        <v>504509</v>
      </c>
      <c r="H12408">
        <f>_xlfn.XLOOKUP(FACT_IMPORTS[[#This Row],[hts_6]],DIM_PRODUCTS[hts_6],DIM_PRODUCTS[hts_4],,,)</f>
        <v>8708</v>
      </c>
      <c r="I12408" t="str" cm="1">
        <f t="array" ref="I12408">_xlfn.XLOOKUP(FACT_IMPORTS[[#This Row],[country_name]],DIM_COUNTRY[[#All],[Column2]],DIM_COUNTRY[[#All],[Column3]],,,)</f>
        <v>Major_Non-USMCA_Non-China</v>
      </c>
    </row>
    <row r="12409" spans="1:9" x14ac:dyDescent="0.4">
      <c r="A12409" t="s">
        <v>73</v>
      </c>
      <c r="B12409" s="1">
        <v>45839</v>
      </c>
      <c r="C12409">
        <v>870830</v>
      </c>
      <c r="D12409" t="s">
        <v>176</v>
      </c>
      <c r="E12409">
        <v>419450</v>
      </c>
      <c r="F12409">
        <v>268044</v>
      </c>
      <c r="G12409">
        <v>16840</v>
      </c>
      <c r="H12409">
        <f>_xlfn.XLOOKUP(FACT_IMPORTS[[#This Row],[hts_6]],DIM_PRODUCTS[hts_6],DIM_PRODUCTS[hts_4],,,)</f>
        <v>8708</v>
      </c>
      <c r="I12409" t="str" cm="1">
        <f t="array" ref="I12409">_xlfn.XLOOKUP(FACT_IMPORTS[[#This Row],[country_name]],DIM_COUNTRY[[#All],[Column2]],DIM_COUNTRY[[#All],[Column3]],,,)</f>
        <v>Major_Non-USMCA_Non-China</v>
      </c>
    </row>
    <row r="12410" spans="1:9" x14ac:dyDescent="0.4">
      <c r="A12410" t="s">
        <v>73</v>
      </c>
      <c r="B12410" s="1">
        <v>45839</v>
      </c>
      <c r="C12410">
        <v>870840</v>
      </c>
      <c r="D12410" t="s">
        <v>176</v>
      </c>
      <c r="E12410">
        <v>4323753</v>
      </c>
      <c r="F12410">
        <v>511402</v>
      </c>
      <c r="G12410">
        <v>114250</v>
      </c>
      <c r="H12410">
        <f>_xlfn.XLOOKUP(FACT_IMPORTS[[#This Row],[hts_6]],DIM_PRODUCTS[hts_6],DIM_PRODUCTS[hts_4],,,)</f>
        <v>8708</v>
      </c>
      <c r="I12410" t="str" cm="1">
        <f t="array" ref="I12410">_xlfn.XLOOKUP(FACT_IMPORTS[[#This Row],[country_name]],DIM_COUNTRY[[#All],[Column2]],DIM_COUNTRY[[#All],[Column3]],,,)</f>
        <v>Major_Non-USMCA_Non-China</v>
      </c>
    </row>
    <row r="12411" spans="1:9" x14ac:dyDescent="0.4">
      <c r="A12411" t="s">
        <v>73</v>
      </c>
      <c r="B12411" s="1">
        <v>45839</v>
      </c>
      <c r="C12411">
        <v>870850</v>
      </c>
      <c r="D12411" t="s">
        <v>176</v>
      </c>
      <c r="E12411">
        <v>12903059</v>
      </c>
      <c r="F12411">
        <v>1020972</v>
      </c>
      <c r="G12411">
        <v>631056</v>
      </c>
      <c r="H12411">
        <f>_xlfn.XLOOKUP(FACT_IMPORTS[[#This Row],[hts_6]],DIM_PRODUCTS[hts_6],DIM_PRODUCTS[hts_4],,,)</f>
        <v>8708</v>
      </c>
      <c r="I12411" t="str" cm="1">
        <f t="array" ref="I12411">_xlfn.XLOOKUP(FACT_IMPORTS[[#This Row],[country_name]],DIM_COUNTRY[[#All],[Column2]],DIM_COUNTRY[[#All],[Column3]],,,)</f>
        <v>Major_Non-USMCA_Non-China</v>
      </c>
    </row>
    <row r="12412" spans="1:9" x14ac:dyDescent="0.4">
      <c r="A12412" t="s">
        <v>73</v>
      </c>
      <c r="B12412" s="1">
        <v>45839</v>
      </c>
      <c r="C12412">
        <v>870870</v>
      </c>
      <c r="D12412" t="s">
        <v>176</v>
      </c>
      <c r="E12412">
        <v>3229157</v>
      </c>
      <c r="F12412">
        <v>38884</v>
      </c>
      <c r="G12412">
        <v>274855</v>
      </c>
      <c r="H12412">
        <f>_xlfn.XLOOKUP(FACT_IMPORTS[[#This Row],[hts_6]],DIM_PRODUCTS[hts_6],DIM_PRODUCTS[hts_4],,,)</f>
        <v>8708</v>
      </c>
      <c r="I12412" t="str" cm="1">
        <f t="array" ref="I12412">_xlfn.XLOOKUP(FACT_IMPORTS[[#This Row],[country_name]],DIM_COUNTRY[[#All],[Column2]],DIM_COUNTRY[[#All],[Column3]],,,)</f>
        <v>Major_Non-USMCA_Non-China</v>
      </c>
    </row>
    <row r="12413" spans="1:9" x14ac:dyDescent="0.4">
      <c r="A12413" t="s">
        <v>73</v>
      </c>
      <c r="B12413" s="1">
        <v>45839</v>
      </c>
      <c r="C12413">
        <v>870880</v>
      </c>
      <c r="D12413" t="s">
        <v>176</v>
      </c>
      <c r="E12413">
        <v>8942093</v>
      </c>
      <c r="F12413">
        <v>1897194</v>
      </c>
      <c r="G12413">
        <v>93482</v>
      </c>
      <c r="H12413">
        <f>_xlfn.XLOOKUP(FACT_IMPORTS[[#This Row],[hts_6]],DIM_PRODUCTS[hts_6],DIM_PRODUCTS[hts_4],,,)</f>
        <v>8708</v>
      </c>
      <c r="I12413" t="str" cm="1">
        <f t="array" ref="I12413">_xlfn.XLOOKUP(FACT_IMPORTS[[#This Row],[country_name]],DIM_COUNTRY[[#All],[Column2]],DIM_COUNTRY[[#All],[Column3]],,,)</f>
        <v>Major_Non-USMCA_Non-China</v>
      </c>
    </row>
    <row r="12414" spans="1:9" x14ac:dyDescent="0.4">
      <c r="A12414" t="s">
        <v>73</v>
      </c>
      <c r="B12414" s="1">
        <v>45839</v>
      </c>
      <c r="C12414">
        <v>870891</v>
      </c>
      <c r="D12414" t="s">
        <v>176</v>
      </c>
      <c r="E12414">
        <v>346039</v>
      </c>
      <c r="F12414">
        <v>1671</v>
      </c>
      <c r="G12414">
        <v>3237</v>
      </c>
      <c r="H12414">
        <f>_xlfn.XLOOKUP(FACT_IMPORTS[[#This Row],[hts_6]],DIM_PRODUCTS[hts_6],DIM_PRODUCTS[hts_4],,,)</f>
        <v>8708</v>
      </c>
      <c r="I12414" t="str" cm="1">
        <f t="array" ref="I12414">_xlfn.XLOOKUP(FACT_IMPORTS[[#This Row],[country_name]],DIM_COUNTRY[[#All],[Column2]],DIM_COUNTRY[[#All],[Column3]],,,)</f>
        <v>Major_Non-USMCA_Non-China</v>
      </c>
    </row>
    <row r="12415" spans="1:9" x14ac:dyDescent="0.4">
      <c r="A12415" t="s">
        <v>73</v>
      </c>
      <c r="B12415" s="1">
        <v>45839</v>
      </c>
      <c r="C12415">
        <v>870892</v>
      </c>
      <c r="D12415" t="s">
        <v>176</v>
      </c>
      <c r="E12415">
        <v>204374</v>
      </c>
      <c r="F12415">
        <v>870</v>
      </c>
      <c r="G12415">
        <v>1682</v>
      </c>
      <c r="H12415">
        <f>_xlfn.XLOOKUP(FACT_IMPORTS[[#This Row],[hts_6]],DIM_PRODUCTS[hts_6],DIM_PRODUCTS[hts_4],,,)</f>
        <v>8708</v>
      </c>
      <c r="I12415" t="str" cm="1">
        <f t="array" ref="I12415">_xlfn.XLOOKUP(FACT_IMPORTS[[#This Row],[country_name]],DIM_COUNTRY[[#All],[Column2]],DIM_COUNTRY[[#All],[Column3]],,,)</f>
        <v>Major_Non-USMCA_Non-China</v>
      </c>
    </row>
    <row r="12416" spans="1:9" x14ac:dyDescent="0.4">
      <c r="A12416" t="s">
        <v>73</v>
      </c>
      <c r="B12416" s="1">
        <v>45839</v>
      </c>
      <c r="C12416">
        <v>870893</v>
      </c>
      <c r="D12416" t="s">
        <v>176</v>
      </c>
      <c r="E12416">
        <v>996732</v>
      </c>
      <c r="F12416">
        <v>79439</v>
      </c>
      <c r="G12416">
        <v>10878</v>
      </c>
      <c r="H12416">
        <f>_xlfn.XLOOKUP(FACT_IMPORTS[[#This Row],[hts_6]],DIM_PRODUCTS[hts_6],DIM_PRODUCTS[hts_4],,,)</f>
        <v>8708</v>
      </c>
      <c r="I12416" t="str" cm="1">
        <f t="array" ref="I12416">_xlfn.XLOOKUP(FACT_IMPORTS[[#This Row],[country_name]],DIM_COUNTRY[[#All],[Column2]],DIM_COUNTRY[[#All],[Column3]],,,)</f>
        <v>Major_Non-USMCA_Non-China</v>
      </c>
    </row>
    <row r="12417" spans="1:9" x14ac:dyDescent="0.4">
      <c r="A12417" t="s">
        <v>73</v>
      </c>
      <c r="B12417" s="1">
        <v>45839</v>
      </c>
      <c r="C12417">
        <v>870894</v>
      </c>
      <c r="D12417" t="s">
        <v>176</v>
      </c>
      <c r="E12417">
        <v>1891435</v>
      </c>
      <c r="F12417">
        <v>647396</v>
      </c>
      <c r="G12417">
        <v>160294</v>
      </c>
      <c r="H12417">
        <f>_xlfn.XLOOKUP(FACT_IMPORTS[[#This Row],[hts_6]],DIM_PRODUCTS[hts_6],DIM_PRODUCTS[hts_4],,,)</f>
        <v>8708</v>
      </c>
      <c r="I12417" t="str" cm="1">
        <f t="array" ref="I12417">_xlfn.XLOOKUP(FACT_IMPORTS[[#This Row],[country_name]],DIM_COUNTRY[[#All],[Column2]],DIM_COUNTRY[[#All],[Column3]],,,)</f>
        <v>Major_Non-USMCA_Non-China</v>
      </c>
    </row>
    <row r="12418" spans="1:9" x14ac:dyDescent="0.4">
      <c r="A12418" t="s">
        <v>73</v>
      </c>
      <c r="B12418" s="1">
        <v>45839</v>
      </c>
      <c r="C12418">
        <v>870895</v>
      </c>
      <c r="D12418" t="s">
        <v>176</v>
      </c>
      <c r="E12418">
        <v>18715</v>
      </c>
      <c r="F12418">
        <v>188</v>
      </c>
      <c r="G12418">
        <v>100</v>
      </c>
      <c r="H12418">
        <f>_xlfn.XLOOKUP(FACT_IMPORTS[[#This Row],[hts_6]],DIM_PRODUCTS[hts_6],DIM_PRODUCTS[hts_4],,,)</f>
        <v>8708</v>
      </c>
      <c r="I12418" t="str" cm="1">
        <f t="array" ref="I12418">_xlfn.XLOOKUP(FACT_IMPORTS[[#This Row],[country_name]],DIM_COUNTRY[[#All],[Column2]],DIM_COUNTRY[[#All],[Column3]],,,)</f>
        <v>Major_Non-USMCA_Non-China</v>
      </c>
    </row>
    <row r="12419" spans="1:9" x14ac:dyDescent="0.4">
      <c r="A12419" t="s">
        <v>73</v>
      </c>
      <c r="B12419" s="1">
        <v>45839</v>
      </c>
      <c r="C12419">
        <v>870899</v>
      </c>
      <c r="D12419" t="s">
        <v>176</v>
      </c>
      <c r="E12419">
        <v>21925458</v>
      </c>
      <c r="F12419">
        <v>3755127</v>
      </c>
      <c r="G12419">
        <v>843329</v>
      </c>
      <c r="H12419">
        <f>_xlfn.XLOOKUP(FACT_IMPORTS[[#This Row],[hts_6]],DIM_PRODUCTS[hts_6],DIM_PRODUCTS[hts_4],,,)</f>
        <v>8708</v>
      </c>
      <c r="I12419" t="str" cm="1">
        <f t="array" ref="I12419">_xlfn.XLOOKUP(FACT_IMPORTS[[#This Row],[country_name]],DIM_COUNTRY[[#All],[Column2]],DIM_COUNTRY[[#All],[Column3]],,,)</f>
        <v>Major_Non-USMCA_Non-China</v>
      </c>
    </row>
    <row r="12420" spans="1:9" x14ac:dyDescent="0.4">
      <c r="A12420" t="s">
        <v>73</v>
      </c>
      <c r="B12420" s="1">
        <v>45870</v>
      </c>
      <c r="C12420">
        <v>392630</v>
      </c>
      <c r="D12420" t="s">
        <v>176</v>
      </c>
      <c r="E12420">
        <v>432909</v>
      </c>
      <c r="F12420">
        <v>19602</v>
      </c>
      <c r="G12420">
        <v>13986</v>
      </c>
      <c r="H12420">
        <f>_xlfn.XLOOKUP(FACT_IMPORTS[[#This Row],[hts_6]],DIM_PRODUCTS[hts_6],DIM_PRODUCTS[hts_4],,,)</f>
        <v>3926</v>
      </c>
      <c r="I12420" t="str" cm="1">
        <f t="array" ref="I12420">_xlfn.XLOOKUP(FACT_IMPORTS[[#This Row],[country_name]],DIM_COUNTRY[[#All],[Column2]],DIM_COUNTRY[[#All],[Column3]],,,)</f>
        <v>Major_Non-USMCA_Non-China</v>
      </c>
    </row>
    <row r="12421" spans="1:9" x14ac:dyDescent="0.4">
      <c r="A12421" t="s">
        <v>73</v>
      </c>
      <c r="B12421" s="1">
        <v>45870</v>
      </c>
      <c r="C12421">
        <v>401110</v>
      </c>
      <c r="D12421" t="s">
        <v>176</v>
      </c>
      <c r="E12421">
        <v>3248463</v>
      </c>
      <c r="F12421">
        <v>56652</v>
      </c>
      <c r="G12421">
        <v>644926</v>
      </c>
      <c r="H12421">
        <f>_xlfn.XLOOKUP(FACT_IMPORTS[[#This Row],[hts_6]],DIM_PRODUCTS[hts_6],DIM_PRODUCTS[hts_4],,,)</f>
        <v>4011</v>
      </c>
      <c r="I12421" t="str" cm="1">
        <f t="array" ref="I12421">_xlfn.XLOOKUP(FACT_IMPORTS[[#This Row],[country_name]],DIM_COUNTRY[[#All],[Column2]],DIM_COUNTRY[[#All],[Column3]],,,)</f>
        <v>Major_Non-USMCA_Non-China</v>
      </c>
    </row>
    <row r="12422" spans="1:9" x14ac:dyDescent="0.4">
      <c r="A12422" t="s">
        <v>73</v>
      </c>
      <c r="B12422" s="1">
        <v>45870</v>
      </c>
      <c r="C12422">
        <v>401120</v>
      </c>
      <c r="D12422" t="s">
        <v>176</v>
      </c>
      <c r="E12422">
        <v>65868</v>
      </c>
      <c r="F12422">
        <v>1024</v>
      </c>
      <c r="G12422">
        <v>13741</v>
      </c>
      <c r="H12422">
        <f>_xlfn.XLOOKUP(FACT_IMPORTS[[#This Row],[hts_6]],DIM_PRODUCTS[hts_6],DIM_PRODUCTS[hts_4],,,)</f>
        <v>4011</v>
      </c>
      <c r="I12422" t="str" cm="1">
        <f t="array" ref="I12422">_xlfn.XLOOKUP(FACT_IMPORTS[[#This Row],[country_name]],DIM_COUNTRY[[#All],[Column2]],DIM_COUNTRY[[#All],[Column3]],,,)</f>
        <v>Major_Non-USMCA_Non-China</v>
      </c>
    </row>
    <row r="12423" spans="1:9" x14ac:dyDescent="0.4">
      <c r="A12423" t="s">
        <v>73</v>
      </c>
      <c r="B12423" s="1">
        <v>45870</v>
      </c>
      <c r="C12423">
        <v>700711</v>
      </c>
      <c r="D12423" t="s">
        <v>176</v>
      </c>
      <c r="E12423">
        <v>0</v>
      </c>
      <c r="F12423">
        <v>0</v>
      </c>
      <c r="G12423">
        <v>0</v>
      </c>
      <c r="H12423">
        <f>_xlfn.XLOOKUP(FACT_IMPORTS[[#This Row],[hts_6]],DIM_PRODUCTS[hts_6],DIM_PRODUCTS[hts_4],,,)</f>
        <v>7007</v>
      </c>
      <c r="I12423" t="str" cm="1">
        <f t="array" ref="I12423">_xlfn.XLOOKUP(FACT_IMPORTS[[#This Row],[country_name]],DIM_COUNTRY[[#All],[Column2]],DIM_COUNTRY[[#All],[Column3]],,,)</f>
        <v>Major_Non-USMCA_Non-China</v>
      </c>
    </row>
    <row r="12424" spans="1:9" x14ac:dyDescent="0.4">
      <c r="A12424" t="s">
        <v>73</v>
      </c>
      <c r="B12424" s="1">
        <v>45870</v>
      </c>
      <c r="C12424">
        <v>700910</v>
      </c>
      <c r="D12424" t="s">
        <v>176</v>
      </c>
      <c r="E12424">
        <v>1115484</v>
      </c>
      <c r="F12424">
        <v>18452</v>
      </c>
      <c r="G12424">
        <v>18756</v>
      </c>
      <c r="H12424">
        <f>_xlfn.XLOOKUP(FACT_IMPORTS[[#This Row],[hts_6]],DIM_PRODUCTS[hts_6],DIM_PRODUCTS[hts_4],,,)</f>
        <v>7009</v>
      </c>
      <c r="I12424" t="str" cm="1">
        <f t="array" ref="I12424">_xlfn.XLOOKUP(FACT_IMPORTS[[#This Row],[country_name]],DIM_COUNTRY[[#All],[Column2]],DIM_COUNTRY[[#All],[Column3]],,,)</f>
        <v>Major_Non-USMCA_Non-China</v>
      </c>
    </row>
    <row r="12425" spans="1:9" x14ac:dyDescent="0.4">
      <c r="A12425" t="s">
        <v>73</v>
      </c>
      <c r="B12425" s="1">
        <v>45870</v>
      </c>
      <c r="C12425">
        <v>830230</v>
      </c>
      <c r="D12425" t="s">
        <v>176</v>
      </c>
      <c r="E12425">
        <v>2784183</v>
      </c>
      <c r="F12425">
        <v>611647</v>
      </c>
      <c r="G12425">
        <v>119789</v>
      </c>
      <c r="H12425">
        <f>_xlfn.XLOOKUP(FACT_IMPORTS[[#This Row],[hts_6]],DIM_PRODUCTS[hts_6],DIM_PRODUCTS[hts_4],,,)</f>
        <v>8302</v>
      </c>
      <c r="I12425" t="str" cm="1">
        <f t="array" ref="I12425">_xlfn.XLOOKUP(FACT_IMPORTS[[#This Row],[country_name]],DIM_COUNTRY[[#All],[Column2]],DIM_COUNTRY[[#All],[Column3]],,,)</f>
        <v>Major_Non-USMCA_Non-China</v>
      </c>
    </row>
    <row r="12426" spans="1:9" x14ac:dyDescent="0.4">
      <c r="A12426" t="s">
        <v>73</v>
      </c>
      <c r="B12426" s="1">
        <v>45870</v>
      </c>
      <c r="C12426">
        <v>840734</v>
      </c>
      <c r="D12426" t="s">
        <v>176</v>
      </c>
      <c r="E12426">
        <v>55965</v>
      </c>
      <c r="F12426">
        <v>8</v>
      </c>
      <c r="G12426">
        <v>301</v>
      </c>
      <c r="H12426">
        <f>_xlfn.XLOOKUP(FACT_IMPORTS[[#This Row],[hts_6]],DIM_PRODUCTS[hts_6],DIM_PRODUCTS[hts_4],,,)</f>
        <v>8407</v>
      </c>
      <c r="I12426" t="str" cm="1">
        <f t="array" ref="I12426">_xlfn.XLOOKUP(FACT_IMPORTS[[#This Row],[country_name]],DIM_COUNTRY[[#All],[Column2]],DIM_COUNTRY[[#All],[Column3]],,,)</f>
        <v>Major_Non-USMCA_Non-China</v>
      </c>
    </row>
    <row r="12427" spans="1:9" x14ac:dyDescent="0.4">
      <c r="A12427" t="s">
        <v>73</v>
      </c>
      <c r="B12427" s="1">
        <v>45870</v>
      </c>
      <c r="C12427">
        <v>840890</v>
      </c>
      <c r="D12427" t="s">
        <v>176</v>
      </c>
      <c r="E12427">
        <v>0</v>
      </c>
      <c r="F12427">
        <v>0</v>
      </c>
      <c r="G12427">
        <v>0</v>
      </c>
      <c r="H12427">
        <f>_xlfn.XLOOKUP(FACT_IMPORTS[[#This Row],[hts_6]],DIM_PRODUCTS[hts_6],DIM_PRODUCTS[hts_4],,,)</f>
        <v>8408</v>
      </c>
      <c r="I12427" t="str" cm="1">
        <f t="array" ref="I12427">_xlfn.XLOOKUP(FACT_IMPORTS[[#This Row],[country_name]],DIM_COUNTRY[[#All],[Column2]],DIM_COUNTRY[[#All],[Column3]],,,)</f>
        <v>Major_Non-USMCA_Non-China</v>
      </c>
    </row>
    <row r="12428" spans="1:9" x14ac:dyDescent="0.4">
      <c r="A12428" t="s">
        <v>73</v>
      </c>
      <c r="B12428" s="1">
        <v>45870</v>
      </c>
      <c r="C12428">
        <v>840991</v>
      </c>
      <c r="D12428" t="s">
        <v>176</v>
      </c>
      <c r="E12428">
        <v>3520364</v>
      </c>
      <c r="F12428">
        <v>224149</v>
      </c>
      <c r="G12428">
        <v>50575</v>
      </c>
      <c r="H12428">
        <f>_xlfn.XLOOKUP(FACT_IMPORTS[[#This Row],[hts_6]],DIM_PRODUCTS[hts_6],DIM_PRODUCTS[hts_4],,,)</f>
        <v>8409</v>
      </c>
      <c r="I12428" t="str" cm="1">
        <f t="array" ref="I12428">_xlfn.XLOOKUP(FACT_IMPORTS[[#This Row],[country_name]],DIM_COUNTRY[[#All],[Column2]],DIM_COUNTRY[[#All],[Column3]],,,)</f>
        <v>Major_Non-USMCA_Non-China</v>
      </c>
    </row>
    <row r="12429" spans="1:9" x14ac:dyDescent="0.4">
      <c r="A12429" t="s">
        <v>73</v>
      </c>
      <c r="B12429" s="1">
        <v>45870</v>
      </c>
      <c r="C12429">
        <v>840999</v>
      </c>
      <c r="D12429" t="s">
        <v>176</v>
      </c>
      <c r="E12429">
        <v>168036</v>
      </c>
      <c r="F12429">
        <v>6188</v>
      </c>
      <c r="G12429">
        <v>3568</v>
      </c>
      <c r="H12429">
        <f>_xlfn.XLOOKUP(FACT_IMPORTS[[#This Row],[hts_6]],DIM_PRODUCTS[hts_6],DIM_PRODUCTS[hts_4],,,)</f>
        <v>8409</v>
      </c>
      <c r="I12429" t="str" cm="1">
        <f t="array" ref="I12429">_xlfn.XLOOKUP(FACT_IMPORTS[[#This Row],[country_name]],DIM_COUNTRY[[#All],[Column2]],DIM_COUNTRY[[#All],[Column3]],,,)</f>
        <v>Major_Non-USMCA_Non-China</v>
      </c>
    </row>
    <row r="12430" spans="1:9" x14ac:dyDescent="0.4">
      <c r="A12430" t="s">
        <v>73</v>
      </c>
      <c r="B12430" s="1">
        <v>45870</v>
      </c>
      <c r="C12430">
        <v>841330</v>
      </c>
      <c r="D12430" t="s">
        <v>176</v>
      </c>
      <c r="E12430">
        <v>794554</v>
      </c>
      <c r="F12430">
        <v>14457</v>
      </c>
      <c r="G12430">
        <v>27466</v>
      </c>
      <c r="H12430">
        <f>_xlfn.XLOOKUP(FACT_IMPORTS[[#This Row],[hts_6]],DIM_PRODUCTS[hts_6],DIM_PRODUCTS[hts_4],,,)</f>
        <v>8413</v>
      </c>
      <c r="I12430" t="str" cm="1">
        <f t="array" ref="I12430">_xlfn.XLOOKUP(FACT_IMPORTS[[#This Row],[country_name]],DIM_COUNTRY[[#All],[Column2]],DIM_COUNTRY[[#All],[Column3]],,,)</f>
        <v>Major_Non-USMCA_Non-China</v>
      </c>
    </row>
    <row r="12431" spans="1:9" x14ac:dyDescent="0.4">
      <c r="A12431" t="s">
        <v>73</v>
      </c>
      <c r="B12431" s="1">
        <v>45870</v>
      </c>
      <c r="C12431">
        <v>842132</v>
      </c>
      <c r="D12431" t="s">
        <v>176</v>
      </c>
      <c r="E12431">
        <v>423981</v>
      </c>
      <c r="F12431">
        <v>219</v>
      </c>
      <c r="G12431">
        <v>1412</v>
      </c>
      <c r="H12431">
        <f>_xlfn.XLOOKUP(FACT_IMPORTS[[#This Row],[hts_6]],DIM_PRODUCTS[hts_6],DIM_PRODUCTS[hts_4],,,)</f>
        <v>8421</v>
      </c>
      <c r="I12431" t="str" cm="1">
        <f t="array" ref="I12431">_xlfn.XLOOKUP(FACT_IMPORTS[[#This Row],[country_name]],DIM_COUNTRY[[#All],[Column2]],DIM_COUNTRY[[#All],[Column3]],,,)</f>
        <v>Major_Non-USMCA_Non-China</v>
      </c>
    </row>
    <row r="12432" spans="1:9" x14ac:dyDescent="0.4">
      <c r="A12432" t="s">
        <v>73</v>
      </c>
      <c r="B12432" s="1">
        <v>45870</v>
      </c>
      <c r="C12432">
        <v>848210</v>
      </c>
      <c r="D12432" t="s">
        <v>176</v>
      </c>
      <c r="E12432">
        <v>163202</v>
      </c>
      <c r="F12432">
        <v>33244</v>
      </c>
      <c r="G12432">
        <v>103</v>
      </c>
      <c r="H12432">
        <f>_xlfn.XLOOKUP(FACT_IMPORTS[[#This Row],[hts_6]],DIM_PRODUCTS[hts_6],DIM_PRODUCTS[hts_4],,,)</f>
        <v>8482</v>
      </c>
      <c r="I12432" t="str" cm="1">
        <f t="array" ref="I12432">_xlfn.XLOOKUP(FACT_IMPORTS[[#This Row],[country_name]],DIM_COUNTRY[[#All],[Column2]],DIM_COUNTRY[[#All],[Column3]],,,)</f>
        <v>Major_Non-USMCA_Non-China</v>
      </c>
    </row>
    <row r="12433" spans="1:9" x14ac:dyDescent="0.4">
      <c r="A12433" t="s">
        <v>73</v>
      </c>
      <c r="B12433" s="1">
        <v>45870</v>
      </c>
      <c r="C12433">
        <v>848220</v>
      </c>
      <c r="D12433" t="s">
        <v>176</v>
      </c>
      <c r="E12433">
        <v>3587447</v>
      </c>
      <c r="F12433">
        <v>1005315</v>
      </c>
      <c r="G12433">
        <v>1102</v>
      </c>
      <c r="H12433">
        <f>_xlfn.XLOOKUP(FACT_IMPORTS[[#This Row],[hts_6]],DIM_PRODUCTS[hts_6],DIM_PRODUCTS[hts_4],,,)</f>
        <v>8482</v>
      </c>
      <c r="I12433" t="str" cm="1">
        <f t="array" ref="I12433">_xlfn.XLOOKUP(FACT_IMPORTS[[#This Row],[country_name]],DIM_COUNTRY[[#All],[Column2]],DIM_COUNTRY[[#All],[Column3]],,,)</f>
        <v>Major_Non-USMCA_Non-China</v>
      </c>
    </row>
    <row r="12434" spans="1:9" x14ac:dyDescent="0.4">
      <c r="A12434" t="s">
        <v>73</v>
      </c>
      <c r="B12434" s="1">
        <v>45870</v>
      </c>
      <c r="C12434">
        <v>848310</v>
      </c>
      <c r="D12434" t="s">
        <v>176</v>
      </c>
      <c r="E12434">
        <v>83711</v>
      </c>
      <c r="F12434">
        <v>596</v>
      </c>
      <c r="G12434">
        <v>6</v>
      </c>
      <c r="H12434">
        <f>_xlfn.XLOOKUP(FACT_IMPORTS[[#This Row],[hts_6]],DIM_PRODUCTS[hts_6],DIM_PRODUCTS[hts_4],,,)</f>
        <v>8483</v>
      </c>
      <c r="I12434" t="str" cm="1">
        <f t="array" ref="I12434">_xlfn.XLOOKUP(FACT_IMPORTS[[#This Row],[country_name]],DIM_COUNTRY[[#All],[Column2]],DIM_COUNTRY[[#All],[Column3]],,,)</f>
        <v>Major_Non-USMCA_Non-China</v>
      </c>
    </row>
    <row r="12435" spans="1:9" x14ac:dyDescent="0.4">
      <c r="A12435" t="s">
        <v>73</v>
      </c>
      <c r="B12435" s="1">
        <v>45870</v>
      </c>
      <c r="C12435">
        <v>850131</v>
      </c>
      <c r="D12435" t="s">
        <v>176</v>
      </c>
      <c r="E12435">
        <v>726336</v>
      </c>
      <c r="F12435">
        <v>81808</v>
      </c>
      <c r="G12435">
        <v>14541</v>
      </c>
      <c r="H12435">
        <f>_xlfn.XLOOKUP(FACT_IMPORTS[[#This Row],[hts_6]],DIM_PRODUCTS[hts_6],DIM_PRODUCTS[hts_4],,,)</f>
        <v>8501</v>
      </c>
      <c r="I12435" t="str" cm="1">
        <f t="array" ref="I12435">_xlfn.XLOOKUP(FACT_IMPORTS[[#This Row],[country_name]],DIM_COUNTRY[[#All],[Column2]],DIM_COUNTRY[[#All],[Column3]],,,)</f>
        <v>Major_Non-USMCA_Non-China</v>
      </c>
    </row>
    <row r="12436" spans="1:9" x14ac:dyDescent="0.4">
      <c r="A12436" t="s">
        <v>73</v>
      </c>
      <c r="B12436" s="1">
        <v>45870</v>
      </c>
      <c r="C12436">
        <v>850132</v>
      </c>
      <c r="D12436" t="s">
        <v>176</v>
      </c>
      <c r="E12436">
        <v>0</v>
      </c>
      <c r="F12436">
        <v>0</v>
      </c>
      <c r="G12436">
        <v>0</v>
      </c>
      <c r="H12436">
        <f>_xlfn.XLOOKUP(FACT_IMPORTS[[#This Row],[hts_6]],DIM_PRODUCTS[hts_6],DIM_PRODUCTS[hts_4],,,)</f>
        <v>8501</v>
      </c>
      <c r="I12436" t="str" cm="1">
        <f t="array" ref="I12436">_xlfn.XLOOKUP(FACT_IMPORTS[[#This Row],[country_name]],DIM_COUNTRY[[#All],[Column2]],DIM_COUNTRY[[#All],[Column3]],,,)</f>
        <v>Major_Non-USMCA_Non-China</v>
      </c>
    </row>
    <row r="12437" spans="1:9" x14ac:dyDescent="0.4">
      <c r="A12437" t="s">
        <v>73</v>
      </c>
      <c r="B12437" s="1">
        <v>45870</v>
      </c>
      <c r="C12437">
        <v>850152</v>
      </c>
      <c r="D12437" t="s">
        <v>176</v>
      </c>
      <c r="E12437">
        <v>5525</v>
      </c>
      <c r="F12437">
        <v>1</v>
      </c>
      <c r="G12437">
        <v>100</v>
      </c>
      <c r="H12437">
        <f>_xlfn.XLOOKUP(FACT_IMPORTS[[#This Row],[hts_6]],DIM_PRODUCTS[hts_6],DIM_PRODUCTS[hts_4],,,)</f>
        <v>8501</v>
      </c>
      <c r="I12437" t="str" cm="1">
        <f t="array" ref="I12437">_xlfn.XLOOKUP(FACT_IMPORTS[[#This Row],[country_name]],DIM_COUNTRY[[#All],[Column2]],DIM_COUNTRY[[#All],[Column3]],,,)</f>
        <v>Major_Non-USMCA_Non-China</v>
      </c>
    </row>
    <row r="12438" spans="1:9" x14ac:dyDescent="0.4">
      <c r="A12438" t="s">
        <v>73</v>
      </c>
      <c r="B12438" s="1">
        <v>45870</v>
      </c>
      <c r="C12438">
        <v>850153</v>
      </c>
      <c r="D12438" t="s">
        <v>176</v>
      </c>
      <c r="E12438">
        <v>89097</v>
      </c>
      <c r="F12438">
        <v>26</v>
      </c>
      <c r="G12438">
        <v>353</v>
      </c>
      <c r="H12438">
        <f>_xlfn.XLOOKUP(FACT_IMPORTS[[#This Row],[hts_6]],DIM_PRODUCTS[hts_6],DIM_PRODUCTS[hts_4],,,)</f>
        <v>8501</v>
      </c>
      <c r="I12438" t="str" cm="1">
        <f t="array" ref="I12438">_xlfn.XLOOKUP(FACT_IMPORTS[[#This Row],[country_name]],DIM_COUNTRY[[#All],[Column2]],DIM_COUNTRY[[#All],[Column3]],,,)</f>
        <v>Major_Non-USMCA_Non-China</v>
      </c>
    </row>
    <row r="12439" spans="1:9" x14ac:dyDescent="0.4">
      <c r="A12439" t="s">
        <v>73</v>
      </c>
      <c r="B12439" s="1">
        <v>45870</v>
      </c>
      <c r="C12439">
        <v>850440</v>
      </c>
      <c r="D12439" t="s">
        <v>176</v>
      </c>
      <c r="E12439">
        <v>22681</v>
      </c>
      <c r="F12439">
        <v>61</v>
      </c>
      <c r="G12439">
        <v>502</v>
      </c>
      <c r="H12439">
        <f>_xlfn.XLOOKUP(FACT_IMPORTS[[#This Row],[hts_6]],DIM_PRODUCTS[hts_6],DIM_PRODUCTS[hts_4],,,)</f>
        <v>8504</v>
      </c>
      <c r="I12439" t="str" cm="1">
        <f t="array" ref="I12439">_xlfn.XLOOKUP(FACT_IMPORTS[[#This Row],[country_name]],DIM_COUNTRY[[#All],[Column2]],DIM_COUNTRY[[#All],[Column3]],,,)</f>
        <v>Major_Non-USMCA_Non-China</v>
      </c>
    </row>
    <row r="12440" spans="1:9" x14ac:dyDescent="0.4">
      <c r="A12440" t="s">
        <v>73</v>
      </c>
      <c r="B12440" s="1">
        <v>45870</v>
      </c>
      <c r="C12440">
        <v>850710</v>
      </c>
      <c r="D12440" t="s">
        <v>176</v>
      </c>
      <c r="E12440">
        <v>291285</v>
      </c>
      <c r="F12440">
        <v>6189</v>
      </c>
      <c r="G12440">
        <v>24971</v>
      </c>
      <c r="H12440">
        <f>_xlfn.XLOOKUP(FACT_IMPORTS[[#This Row],[hts_6]],DIM_PRODUCTS[hts_6],DIM_PRODUCTS[hts_4],,,)</f>
        <v>8507</v>
      </c>
      <c r="I12440" t="str" cm="1">
        <f t="array" ref="I12440">_xlfn.XLOOKUP(FACT_IMPORTS[[#This Row],[country_name]],DIM_COUNTRY[[#All],[Column2]],DIM_COUNTRY[[#All],[Column3]],,,)</f>
        <v>Major_Non-USMCA_Non-China</v>
      </c>
    </row>
    <row r="12441" spans="1:9" x14ac:dyDescent="0.4">
      <c r="A12441" t="s">
        <v>73</v>
      </c>
      <c r="B12441" s="1">
        <v>45870</v>
      </c>
      <c r="C12441">
        <v>850760</v>
      </c>
      <c r="D12441" t="s">
        <v>176</v>
      </c>
      <c r="E12441">
        <v>125838</v>
      </c>
      <c r="F12441">
        <v>1336</v>
      </c>
      <c r="G12441">
        <v>10745</v>
      </c>
      <c r="H12441">
        <f>_xlfn.XLOOKUP(FACT_IMPORTS[[#This Row],[hts_6]],DIM_PRODUCTS[hts_6],DIM_PRODUCTS[hts_4],,,)</f>
        <v>8507</v>
      </c>
      <c r="I12441" t="str" cm="1">
        <f t="array" ref="I12441">_xlfn.XLOOKUP(FACT_IMPORTS[[#This Row],[country_name]],DIM_COUNTRY[[#All],[Column2]],DIM_COUNTRY[[#All],[Column3]],,,)</f>
        <v>Major_Non-USMCA_Non-China</v>
      </c>
    </row>
    <row r="12442" spans="1:9" x14ac:dyDescent="0.4">
      <c r="A12442" t="s">
        <v>73</v>
      </c>
      <c r="B12442" s="1">
        <v>45870</v>
      </c>
      <c r="C12442">
        <v>850790</v>
      </c>
      <c r="D12442" t="s">
        <v>176</v>
      </c>
      <c r="E12442">
        <v>0</v>
      </c>
      <c r="F12442">
        <v>0</v>
      </c>
      <c r="G12442">
        <v>0</v>
      </c>
      <c r="H12442">
        <f>_xlfn.XLOOKUP(FACT_IMPORTS[[#This Row],[hts_6]],DIM_PRODUCTS[hts_6],DIM_PRODUCTS[hts_4],,,)</f>
        <v>8507</v>
      </c>
      <c r="I12442" t="str" cm="1">
        <f t="array" ref="I12442">_xlfn.XLOOKUP(FACT_IMPORTS[[#This Row],[country_name]],DIM_COUNTRY[[#All],[Column2]],DIM_COUNTRY[[#All],[Column3]],,,)</f>
        <v>Major_Non-USMCA_Non-China</v>
      </c>
    </row>
    <row r="12443" spans="1:9" x14ac:dyDescent="0.4">
      <c r="A12443" t="s">
        <v>73</v>
      </c>
      <c r="B12443" s="1">
        <v>45870</v>
      </c>
      <c r="C12443">
        <v>851110</v>
      </c>
      <c r="D12443" t="s">
        <v>176</v>
      </c>
      <c r="E12443">
        <v>14448</v>
      </c>
      <c r="F12443">
        <v>28</v>
      </c>
      <c r="G12443">
        <v>26</v>
      </c>
      <c r="H12443">
        <f>_xlfn.XLOOKUP(FACT_IMPORTS[[#This Row],[hts_6]],DIM_PRODUCTS[hts_6],DIM_PRODUCTS[hts_4],,,)</f>
        <v>8511</v>
      </c>
      <c r="I12443" t="str" cm="1">
        <f t="array" ref="I12443">_xlfn.XLOOKUP(FACT_IMPORTS[[#This Row],[country_name]],DIM_COUNTRY[[#All],[Column2]],DIM_COUNTRY[[#All],[Column3]],,,)</f>
        <v>Major_Non-USMCA_Non-China</v>
      </c>
    </row>
    <row r="12444" spans="1:9" x14ac:dyDescent="0.4">
      <c r="A12444" t="s">
        <v>73</v>
      </c>
      <c r="B12444" s="1">
        <v>45870</v>
      </c>
      <c r="C12444">
        <v>851130</v>
      </c>
      <c r="D12444" t="s">
        <v>176</v>
      </c>
      <c r="E12444">
        <v>0</v>
      </c>
      <c r="F12444">
        <v>0</v>
      </c>
      <c r="G12444">
        <v>0</v>
      </c>
      <c r="H12444">
        <f>_xlfn.XLOOKUP(FACT_IMPORTS[[#This Row],[hts_6]],DIM_PRODUCTS[hts_6],DIM_PRODUCTS[hts_4],,,)</f>
        <v>8511</v>
      </c>
      <c r="I12444" t="str" cm="1">
        <f t="array" ref="I12444">_xlfn.XLOOKUP(FACT_IMPORTS[[#This Row],[country_name]],DIM_COUNTRY[[#All],[Column2]],DIM_COUNTRY[[#All],[Column3]],,,)</f>
        <v>Major_Non-USMCA_Non-China</v>
      </c>
    </row>
    <row r="12445" spans="1:9" x14ac:dyDescent="0.4">
      <c r="A12445" t="s">
        <v>73</v>
      </c>
      <c r="B12445" s="1">
        <v>45870</v>
      </c>
      <c r="C12445">
        <v>851140</v>
      </c>
      <c r="D12445" t="s">
        <v>176</v>
      </c>
      <c r="E12445">
        <v>4017</v>
      </c>
      <c r="F12445">
        <v>37</v>
      </c>
      <c r="G12445">
        <v>34</v>
      </c>
      <c r="H12445">
        <f>_xlfn.XLOOKUP(FACT_IMPORTS[[#This Row],[hts_6]],DIM_PRODUCTS[hts_6],DIM_PRODUCTS[hts_4],,,)</f>
        <v>8511</v>
      </c>
      <c r="I12445" t="str" cm="1">
        <f t="array" ref="I12445">_xlfn.XLOOKUP(FACT_IMPORTS[[#This Row],[country_name]],DIM_COUNTRY[[#All],[Column2]],DIM_COUNTRY[[#All],[Column3]],,,)</f>
        <v>Major_Non-USMCA_Non-China</v>
      </c>
    </row>
    <row r="12446" spans="1:9" x14ac:dyDescent="0.4">
      <c r="A12446" t="s">
        <v>73</v>
      </c>
      <c r="B12446" s="1">
        <v>45870</v>
      </c>
      <c r="C12446">
        <v>851150</v>
      </c>
      <c r="D12446" t="s">
        <v>176</v>
      </c>
      <c r="E12446">
        <v>71461</v>
      </c>
      <c r="F12446">
        <v>819</v>
      </c>
      <c r="G12446">
        <v>871</v>
      </c>
      <c r="H12446">
        <f>_xlfn.XLOOKUP(FACT_IMPORTS[[#This Row],[hts_6]],DIM_PRODUCTS[hts_6],DIM_PRODUCTS[hts_4],,,)</f>
        <v>8511</v>
      </c>
      <c r="I12446" t="str" cm="1">
        <f t="array" ref="I12446">_xlfn.XLOOKUP(FACT_IMPORTS[[#This Row],[country_name]],DIM_COUNTRY[[#All],[Column2]],DIM_COUNTRY[[#All],[Column3]],,,)</f>
        <v>Major_Non-USMCA_Non-China</v>
      </c>
    </row>
    <row r="12447" spans="1:9" x14ac:dyDescent="0.4">
      <c r="A12447" t="s">
        <v>73</v>
      </c>
      <c r="B12447" s="1">
        <v>45870</v>
      </c>
      <c r="C12447">
        <v>851190</v>
      </c>
      <c r="D12447" t="s">
        <v>176</v>
      </c>
      <c r="E12447">
        <v>143909</v>
      </c>
      <c r="F12447">
        <v>17665</v>
      </c>
      <c r="G12447">
        <v>7893</v>
      </c>
      <c r="H12447">
        <f>_xlfn.XLOOKUP(FACT_IMPORTS[[#This Row],[hts_6]],DIM_PRODUCTS[hts_6],DIM_PRODUCTS[hts_4],,,)</f>
        <v>8511</v>
      </c>
      <c r="I12447" t="str" cm="1">
        <f t="array" ref="I12447">_xlfn.XLOOKUP(FACT_IMPORTS[[#This Row],[country_name]],DIM_COUNTRY[[#All],[Column2]],DIM_COUNTRY[[#All],[Column3]],,,)</f>
        <v>Major_Non-USMCA_Non-China</v>
      </c>
    </row>
    <row r="12448" spans="1:9" x14ac:dyDescent="0.4">
      <c r="A12448" t="s">
        <v>73</v>
      </c>
      <c r="B12448" s="1">
        <v>45870</v>
      </c>
      <c r="C12448">
        <v>851220</v>
      </c>
      <c r="D12448" t="s">
        <v>176</v>
      </c>
      <c r="E12448">
        <v>8926728</v>
      </c>
      <c r="F12448">
        <v>1073493</v>
      </c>
      <c r="G12448">
        <v>343108</v>
      </c>
      <c r="H12448">
        <f>_xlfn.XLOOKUP(FACT_IMPORTS[[#This Row],[hts_6]],DIM_PRODUCTS[hts_6],DIM_PRODUCTS[hts_4],,,)</f>
        <v>8512</v>
      </c>
      <c r="I12448" t="str" cm="1">
        <f t="array" ref="I12448">_xlfn.XLOOKUP(FACT_IMPORTS[[#This Row],[country_name]],DIM_COUNTRY[[#All],[Column2]],DIM_COUNTRY[[#All],[Column3]],,,)</f>
        <v>Major_Non-USMCA_Non-China</v>
      </c>
    </row>
    <row r="12449" spans="1:9" x14ac:dyDescent="0.4">
      <c r="A12449" t="s">
        <v>73</v>
      </c>
      <c r="B12449" s="1">
        <v>45870</v>
      </c>
      <c r="C12449">
        <v>851230</v>
      </c>
      <c r="D12449" t="s">
        <v>176</v>
      </c>
      <c r="E12449">
        <v>0</v>
      </c>
      <c r="F12449">
        <v>0</v>
      </c>
      <c r="G12449">
        <v>0</v>
      </c>
      <c r="H12449">
        <f>_xlfn.XLOOKUP(FACT_IMPORTS[[#This Row],[hts_6]],DIM_PRODUCTS[hts_6],DIM_PRODUCTS[hts_4],,,)</f>
        <v>8512</v>
      </c>
      <c r="I12449" t="str" cm="1">
        <f t="array" ref="I12449">_xlfn.XLOOKUP(FACT_IMPORTS[[#This Row],[country_name]],DIM_COUNTRY[[#All],[Column2]],DIM_COUNTRY[[#All],[Column3]],,,)</f>
        <v>Major_Non-USMCA_Non-China</v>
      </c>
    </row>
    <row r="12450" spans="1:9" x14ac:dyDescent="0.4">
      <c r="A12450" t="s">
        <v>73</v>
      </c>
      <c r="B12450" s="1">
        <v>45870</v>
      </c>
      <c r="C12450">
        <v>851240</v>
      </c>
      <c r="D12450" t="s">
        <v>176</v>
      </c>
      <c r="E12450">
        <v>0</v>
      </c>
      <c r="F12450">
        <v>0</v>
      </c>
      <c r="G12450">
        <v>0</v>
      </c>
      <c r="H12450">
        <f>_xlfn.XLOOKUP(FACT_IMPORTS[[#This Row],[hts_6]],DIM_PRODUCTS[hts_6],DIM_PRODUCTS[hts_4],,,)</f>
        <v>8512</v>
      </c>
      <c r="I12450" t="str" cm="1">
        <f t="array" ref="I12450">_xlfn.XLOOKUP(FACT_IMPORTS[[#This Row],[country_name]],DIM_COUNTRY[[#All],[Column2]],DIM_COUNTRY[[#All],[Column3]],,,)</f>
        <v>Major_Non-USMCA_Non-China</v>
      </c>
    </row>
    <row r="12451" spans="1:9" x14ac:dyDescent="0.4">
      <c r="A12451" t="s">
        <v>73</v>
      </c>
      <c r="B12451" s="1">
        <v>45870</v>
      </c>
      <c r="C12451">
        <v>851290</v>
      </c>
      <c r="D12451" t="s">
        <v>176</v>
      </c>
      <c r="E12451">
        <v>759203</v>
      </c>
      <c r="F12451">
        <v>51510</v>
      </c>
      <c r="G12451">
        <v>34667</v>
      </c>
      <c r="H12451">
        <f>_xlfn.XLOOKUP(FACT_IMPORTS[[#This Row],[hts_6]],DIM_PRODUCTS[hts_6],DIM_PRODUCTS[hts_4],,,)</f>
        <v>8512</v>
      </c>
      <c r="I12451" t="str" cm="1">
        <f t="array" ref="I12451">_xlfn.XLOOKUP(FACT_IMPORTS[[#This Row],[country_name]],DIM_COUNTRY[[#All],[Column2]],DIM_COUNTRY[[#All],[Column3]],,,)</f>
        <v>Major_Non-USMCA_Non-China</v>
      </c>
    </row>
    <row r="12452" spans="1:9" x14ac:dyDescent="0.4">
      <c r="A12452" t="s">
        <v>73</v>
      </c>
      <c r="B12452" s="1">
        <v>45870</v>
      </c>
      <c r="C12452">
        <v>854231</v>
      </c>
      <c r="D12452" t="s">
        <v>176</v>
      </c>
      <c r="E12452">
        <v>0</v>
      </c>
      <c r="F12452">
        <v>0</v>
      </c>
      <c r="G12452">
        <v>0</v>
      </c>
      <c r="H12452">
        <f>_xlfn.XLOOKUP(FACT_IMPORTS[[#This Row],[hts_6]],DIM_PRODUCTS[hts_6],DIM_PRODUCTS[hts_4],,,)</f>
        <v>8542</v>
      </c>
      <c r="I12452" t="str" cm="1">
        <f t="array" ref="I12452">_xlfn.XLOOKUP(FACT_IMPORTS[[#This Row],[country_name]],DIM_COUNTRY[[#All],[Column2]],DIM_COUNTRY[[#All],[Column3]],,,)</f>
        <v>Major_Non-USMCA_Non-China</v>
      </c>
    </row>
    <row r="12453" spans="1:9" x14ac:dyDescent="0.4">
      <c r="A12453" t="s">
        <v>73</v>
      </c>
      <c r="B12453" s="1">
        <v>45870</v>
      </c>
      <c r="C12453">
        <v>854232</v>
      </c>
      <c r="D12453" t="s">
        <v>176</v>
      </c>
      <c r="E12453">
        <v>21071</v>
      </c>
      <c r="F12453">
        <v>669</v>
      </c>
      <c r="G12453">
        <v>28</v>
      </c>
      <c r="H12453">
        <f>_xlfn.XLOOKUP(FACT_IMPORTS[[#This Row],[hts_6]],DIM_PRODUCTS[hts_6],DIM_PRODUCTS[hts_4],,,)</f>
        <v>8542</v>
      </c>
      <c r="I12453" t="str" cm="1">
        <f t="array" ref="I12453">_xlfn.XLOOKUP(FACT_IMPORTS[[#This Row],[country_name]],DIM_COUNTRY[[#All],[Column2]],DIM_COUNTRY[[#All],[Column3]],,,)</f>
        <v>Major_Non-USMCA_Non-China</v>
      </c>
    </row>
    <row r="12454" spans="1:9" x14ac:dyDescent="0.4">
      <c r="A12454" t="s">
        <v>73</v>
      </c>
      <c r="B12454" s="1">
        <v>45870</v>
      </c>
      <c r="C12454">
        <v>854239</v>
      </c>
      <c r="D12454" t="s">
        <v>176</v>
      </c>
      <c r="E12454">
        <v>0</v>
      </c>
      <c r="F12454">
        <v>0</v>
      </c>
      <c r="G12454">
        <v>0</v>
      </c>
      <c r="H12454">
        <f>_xlfn.XLOOKUP(FACT_IMPORTS[[#This Row],[hts_6]],DIM_PRODUCTS[hts_6],DIM_PRODUCTS[hts_4],,,)</f>
        <v>8542</v>
      </c>
      <c r="I12454" t="str" cm="1">
        <f t="array" ref="I12454">_xlfn.XLOOKUP(FACT_IMPORTS[[#This Row],[country_name]],DIM_COUNTRY[[#All],[Column2]],DIM_COUNTRY[[#All],[Column3]],,,)</f>
        <v>Major_Non-USMCA_Non-China</v>
      </c>
    </row>
    <row r="12455" spans="1:9" x14ac:dyDescent="0.4">
      <c r="A12455" t="s">
        <v>73</v>
      </c>
      <c r="B12455" s="1">
        <v>45870</v>
      </c>
      <c r="C12455">
        <v>854430</v>
      </c>
      <c r="D12455" t="s">
        <v>176</v>
      </c>
      <c r="E12455">
        <v>66973</v>
      </c>
      <c r="F12455">
        <v>346</v>
      </c>
      <c r="G12455">
        <v>596</v>
      </c>
      <c r="H12455">
        <f>_xlfn.XLOOKUP(FACT_IMPORTS[[#This Row],[hts_6]],DIM_PRODUCTS[hts_6],DIM_PRODUCTS[hts_4],,,)</f>
        <v>8544</v>
      </c>
      <c r="I12455" t="str" cm="1">
        <f t="array" ref="I12455">_xlfn.XLOOKUP(FACT_IMPORTS[[#This Row],[country_name]],DIM_COUNTRY[[#All],[Column2]],DIM_COUNTRY[[#All],[Column3]],,,)</f>
        <v>Major_Non-USMCA_Non-China</v>
      </c>
    </row>
    <row r="12456" spans="1:9" x14ac:dyDescent="0.4">
      <c r="A12456" t="s">
        <v>73</v>
      </c>
      <c r="B12456" s="1">
        <v>45870</v>
      </c>
      <c r="C12456">
        <v>870810</v>
      </c>
      <c r="D12456" t="s">
        <v>176</v>
      </c>
      <c r="E12456">
        <v>2979203</v>
      </c>
      <c r="F12456">
        <v>36161</v>
      </c>
      <c r="G12456">
        <v>73335</v>
      </c>
      <c r="H12456">
        <f>_xlfn.XLOOKUP(FACT_IMPORTS[[#This Row],[hts_6]],DIM_PRODUCTS[hts_6],DIM_PRODUCTS[hts_4],,,)</f>
        <v>8708</v>
      </c>
      <c r="I12456" t="str" cm="1">
        <f t="array" ref="I12456">_xlfn.XLOOKUP(FACT_IMPORTS[[#This Row],[country_name]],DIM_COUNTRY[[#All],[Column2]],DIM_COUNTRY[[#All],[Column3]],,,)</f>
        <v>Major_Non-USMCA_Non-China</v>
      </c>
    </row>
    <row r="12457" spans="1:9" x14ac:dyDescent="0.4">
      <c r="A12457" t="s">
        <v>73</v>
      </c>
      <c r="B12457" s="1">
        <v>45870</v>
      </c>
      <c r="C12457">
        <v>870822</v>
      </c>
      <c r="D12457" t="s">
        <v>176</v>
      </c>
      <c r="E12457">
        <v>64646</v>
      </c>
      <c r="F12457">
        <v>354</v>
      </c>
      <c r="G12457">
        <v>872</v>
      </c>
      <c r="H12457">
        <f>_xlfn.XLOOKUP(FACT_IMPORTS[[#This Row],[hts_6]],DIM_PRODUCTS[hts_6],DIM_PRODUCTS[hts_4],,,)</f>
        <v>8708</v>
      </c>
      <c r="I12457" t="str" cm="1">
        <f t="array" ref="I12457">_xlfn.XLOOKUP(FACT_IMPORTS[[#This Row],[country_name]],DIM_COUNTRY[[#All],[Column2]],DIM_COUNTRY[[#All],[Column3]],,,)</f>
        <v>Major_Non-USMCA_Non-China</v>
      </c>
    </row>
    <row r="12458" spans="1:9" x14ac:dyDescent="0.4">
      <c r="A12458" t="s">
        <v>73</v>
      </c>
      <c r="B12458" s="1">
        <v>45870</v>
      </c>
      <c r="C12458">
        <v>870829</v>
      </c>
      <c r="D12458" t="s">
        <v>176</v>
      </c>
      <c r="E12458">
        <v>8398773</v>
      </c>
      <c r="F12458">
        <v>4008397</v>
      </c>
      <c r="G12458">
        <v>412540</v>
      </c>
      <c r="H12458">
        <f>_xlfn.XLOOKUP(FACT_IMPORTS[[#This Row],[hts_6]],DIM_PRODUCTS[hts_6],DIM_PRODUCTS[hts_4],,,)</f>
        <v>8708</v>
      </c>
      <c r="I12458" t="str" cm="1">
        <f t="array" ref="I12458">_xlfn.XLOOKUP(FACT_IMPORTS[[#This Row],[country_name]],DIM_COUNTRY[[#All],[Column2]],DIM_COUNTRY[[#All],[Column3]],,,)</f>
        <v>Major_Non-USMCA_Non-China</v>
      </c>
    </row>
    <row r="12459" spans="1:9" x14ac:dyDescent="0.4">
      <c r="A12459" t="s">
        <v>73</v>
      </c>
      <c r="B12459" s="1">
        <v>45870</v>
      </c>
      <c r="C12459">
        <v>870830</v>
      </c>
      <c r="D12459" t="s">
        <v>176</v>
      </c>
      <c r="E12459">
        <v>652196</v>
      </c>
      <c r="F12459">
        <v>438678</v>
      </c>
      <c r="G12459">
        <v>25193</v>
      </c>
      <c r="H12459">
        <f>_xlfn.XLOOKUP(FACT_IMPORTS[[#This Row],[hts_6]],DIM_PRODUCTS[hts_6],DIM_PRODUCTS[hts_4],,,)</f>
        <v>8708</v>
      </c>
      <c r="I12459" t="str" cm="1">
        <f t="array" ref="I12459">_xlfn.XLOOKUP(FACT_IMPORTS[[#This Row],[country_name]],DIM_COUNTRY[[#All],[Column2]],DIM_COUNTRY[[#All],[Column3]],,,)</f>
        <v>Major_Non-USMCA_Non-China</v>
      </c>
    </row>
    <row r="12460" spans="1:9" x14ac:dyDescent="0.4">
      <c r="A12460" t="s">
        <v>73</v>
      </c>
      <c r="B12460" s="1">
        <v>45870</v>
      </c>
      <c r="C12460">
        <v>870840</v>
      </c>
      <c r="D12460" t="s">
        <v>176</v>
      </c>
      <c r="E12460">
        <v>4250592</v>
      </c>
      <c r="F12460">
        <v>691921</v>
      </c>
      <c r="G12460">
        <v>111606</v>
      </c>
      <c r="H12460">
        <f>_xlfn.XLOOKUP(FACT_IMPORTS[[#This Row],[hts_6]],DIM_PRODUCTS[hts_6],DIM_PRODUCTS[hts_4],,,)</f>
        <v>8708</v>
      </c>
      <c r="I12460" t="str" cm="1">
        <f t="array" ref="I12460">_xlfn.XLOOKUP(FACT_IMPORTS[[#This Row],[country_name]],DIM_COUNTRY[[#All],[Column2]],DIM_COUNTRY[[#All],[Column3]],,,)</f>
        <v>Major_Non-USMCA_Non-China</v>
      </c>
    </row>
    <row r="12461" spans="1:9" x14ac:dyDescent="0.4">
      <c r="A12461" t="s">
        <v>73</v>
      </c>
      <c r="B12461" s="1">
        <v>45870</v>
      </c>
      <c r="C12461">
        <v>870850</v>
      </c>
      <c r="D12461" t="s">
        <v>176</v>
      </c>
      <c r="E12461">
        <v>8421848</v>
      </c>
      <c r="F12461">
        <v>747248</v>
      </c>
      <c r="G12461">
        <v>461408</v>
      </c>
      <c r="H12461">
        <f>_xlfn.XLOOKUP(FACT_IMPORTS[[#This Row],[hts_6]],DIM_PRODUCTS[hts_6],DIM_PRODUCTS[hts_4],,,)</f>
        <v>8708</v>
      </c>
      <c r="I12461" t="str" cm="1">
        <f t="array" ref="I12461">_xlfn.XLOOKUP(FACT_IMPORTS[[#This Row],[country_name]],DIM_COUNTRY[[#All],[Column2]],DIM_COUNTRY[[#All],[Column3]],,,)</f>
        <v>Major_Non-USMCA_Non-China</v>
      </c>
    </row>
    <row r="12462" spans="1:9" x14ac:dyDescent="0.4">
      <c r="A12462" t="s">
        <v>73</v>
      </c>
      <c r="B12462" s="1">
        <v>45870</v>
      </c>
      <c r="C12462">
        <v>870870</v>
      </c>
      <c r="D12462" t="s">
        <v>176</v>
      </c>
      <c r="E12462">
        <v>2834743</v>
      </c>
      <c r="F12462">
        <v>35082</v>
      </c>
      <c r="G12462">
        <v>302512</v>
      </c>
      <c r="H12462">
        <f>_xlfn.XLOOKUP(FACT_IMPORTS[[#This Row],[hts_6]],DIM_PRODUCTS[hts_6],DIM_PRODUCTS[hts_4],,,)</f>
        <v>8708</v>
      </c>
      <c r="I12462" t="str" cm="1">
        <f t="array" ref="I12462">_xlfn.XLOOKUP(FACT_IMPORTS[[#This Row],[country_name]],DIM_COUNTRY[[#All],[Column2]],DIM_COUNTRY[[#All],[Column3]],,,)</f>
        <v>Major_Non-USMCA_Non-China</v>
      </c>
    </row>
    <row r="12463" spans="1:9" x14ac:dyDescent="0.4">
      <c r="A12463" t="s">
        <v>73</v>
      </c>
      <c r="B12463" s="1">
        <v>45870</v>
      </c>
      <c r="C12463">
        <v>870880</v>
      </c>
      <c r="D12463" t="s">
        <v>176</v>
      </c>
      <c r="E12463">
        <v>6129865</v>
      </c>
      <c r="F12463">
        <v>1320514</v>
      </c>
      <c r="G12463">
        <v>52969</v>
      </c>
      <c r="H12463">
        <f>_xlfn.XLOOKUP(FACT_IMPORTS[[#This Row],[hts_6]],DIM_PRODUCTS[hts_6],DIM_PRODUCTS[hts_4],,,)</f>
        <v>8708</v>
      </c>
      <c r="I12463" t="str" cm="1">
        <f t="array" ref="I12463">_xlfn.XLOOKUP(FACT_IMPORTS[[#This Row],[country_name]],DIM_COUNTRY[[#All],[Column2]],DIM_COUNTRY[[#All],[Column3]],,,)</f>
        <v>Major_Non-USMCA_Non-China</v>
      </c>
    </row>
    <row r="12464" spans="1:9" x14ac:dyDescent="0.4">
      <c r="A12464" t="s">
        <v>73</v>
      </c>
      <c r="B12464" s="1">
        <v>45870</v>
      </c>
      <c r="C12464">
        <v>870891</v>
      </c>
      <c r="D12464" t="s">
        <v>176</v>
      </c>
      <c r="E12464">
        <v>226752</v>
      </c>
      <c r="F12464">
        <v>1061</v>
      </c>
      <c r="G12464">
        <v>1991</v>
      </c>
      <c r="H12464">
        <f>_xlfn.XLOOKUP(FACT_IMPORTS[[#This Row],[hts_6]],DIM_PRODUCTS[hts_6],DIM_PRODUCTS[hts_4],,,)</f>
        <v>8708</v>
      </c>
      <c r="I12464" t="str" cm="1">
        <f t="array" ref="I12464">_xlfn.XLOOKUP(FACT_IMPORTS[[#This Row],[country_name]],DIM_COUNTRY[[#All],[Column2]],DIM_COUNTRY[[#All],[Column3]],,,)</f>
        <v>Major_Non-USMCA_Non-China</v>
      </c>
    </row>
    <row r="12465" spans="1:9" x14ac:dyDescent="0.4">
      <c r="A12465" t="s">
        <v>73</v>
      </c>
      <c r="B12465" s="1">
        <v>45870</v>
      </c>
      <c r="C12465">
        <v>870892</v>
      </c>
      <c r="D12465" t="s">
        <v>176</v>
      </c>
      <c r="E12465">
        <v>195221</v>
      </c>
      <c r="F12465">
        <v>847</v>
      </c>
      <c r="G12465">
        <v>2226</v>
      </c>
      <c r="H12465">
        <f>_xlfn.XLOOKUP(FACT_IMPORTS[[#This Row],[hts_6]],DIM_PRODUCTS[hts_6],DIM_PRODUCTS[hts_4],,,)</f>
        <v>8708</v>
      </c>
      <c r="I12465" t="str" cm="1">
        <f t="array" ref="I12465">_xlfn.XLOOKUP(FACT_IMPORTS[[#This Row],[country_name]],DIM_COUNTRY[[#All],[Column2]],DIM_COUNTRY[[#All],[Column3]],,,)</f>
        <v>Major_Non-USMCA_Non-China</v>
      </c>
    </row>
    <row r="12466" spans="1:9" x14ac:dyDescent="0.4">
      <c r="A12466" t="s">
        <v>73</v>
      </c>
      <c r="B12466" s="1">
        <v>45870</v>
      </c>
      <c r="C12466">
        <v>870893</v>
      </c>
      <c r="D12466" t="s">
        <v>176</v>
      </c>
      <c r="E12466">
        <v>1321647</v>
      </c>
      <c r="F12466">
        <v>94866</v>
      </c>
      <c r="G12466">
        <v>12227</v>
      </c>
      <c r="H12466">
        <f>_xlfn.XLOOKUP(FACT_IMPORTS[[#This Row],[hts_6]],DIM_PRODUCTS[hts_6],DIM_PRODUCTS[hts_4],,,)</f>
        <v>8708</v>
      </c>
      <c r="I12466" t="str" cm="1">
        <f t="array" ref="I12466">_xlfn.XLOOKUP(FACT_IMPORTS[[#This Row],[country_name]],DIM_COUNTRY[[#All],[Column2]],DIM_COUNTRY[[#All],[Column3]],,,)</f>
        <v>Major_Non-USMCA_Non-China</v>
      </c>
    </row>
    <row r="12467" spans="1:9" x14ac:dyDescent="0.4">
      <c r="A12467" t="s">
        <v>73</v>
      </c>
      <c r="B12467" s="1">
        <v>45870</v>
      </c>
      <c r="C12467">
        <v>870894</v>
      </c>
      <c r="D12467" t="s">
        <v>176</v>
      </c>
      <c r="E12467">
        <v>1974078</v>
      </c>
      <c r="F12467">
        <v>545718</v>
      </c>
      <c r="G12467">
        <v>164347</v>
      </c>
      <c r="H12467">
        <f>_xlfn.XLOOKUP(FACT_IMPORTS[[#This Row],[hts_6]],DIM_PRODUCTS[hts_6],DIM_PRODUCTS[hts_4],,,)</f>
        <v>8708</v>
      </c>
      <c r="I12467" t="str" cm="1">
        <f t="array" ref="I12467">_xlfn.XLOOKUP(FACT_IMPORTS[[#This Row],[country_name]],DIM_COUNTRY[[#All],[Column2]],DIM_COUNTRY[[#All],[Column3]],,,)</f>
        <v>Major_Non-USMCA_Non-China</v>
      </c>
    </row>
    <row r="12468" spans="1:9" x14ac:dyDescent="0.4">
      <c r="A12468" t="s">
        <v>73</v>
      </c>
      <c r="B12468" s="1">
        <v>45870</v>
      </c>
      <c r="C12468">
        <v>870895</v>
      </c>
      <c r="D12468" t="s">
        <v>176</v>
      </c>
      <c r="E12468">
        <v>8940</v>
      </c>
      <c r="F12468">
        <v>54</v>
      </c>
      <c r="G12468">
        <v>51</v>
      </c>
      <c r="H12468">
        <f>_xlfn.XLOOKUP(FACT_IMPORTS[[#This Row],[hts_6]],DIM_PRODUCTS[hts_6],DIM_PRODUCTS[hts_4],,,)</f>
        <v>8708</v>
      </c>
      <c r="I12468" t="str" cm="1">
        <f t="array" ref="I12468">_xlfn.XLOOKUP(FACT_IMPORTS[[#This Row],[country_name]],DIM_COUNTRY[[#All],[Column2]],DIM_COUNTRY[[#All],[Column3]],,,)</f>
        <v>Major_Non-USMCA_Non-China</v>
      </c>
    </row>
    <row r="12469" spans="1:9" x14ac:dyDescent="0.4">
      <c r="A12469" t="s">
        <v>73</v>
      </c>
      <c r="B12469" s="1">
        <v>45870</v>
      </c>
      <c r="C12469">
        <v>870899</v>
      </c>
      <c r="D12469" t="s">
        <v>176</v>
      </c>
      <c r="E12469">
        <v>24139424</v>
      </c>
      <c r="F12469">
        <v>5054012</v>
      </c>
      <c r="G12469">
        <v>551094</v>
      </c>
      <c r="H12469">
        <f>_xlfn.XLOOKUP(FACT_IMPORTS[[#This Row],[hts_6]],DIM_PRODUCTS[hts_6],DIM_PRODUCTS[hts_4],,,)</f>
        <v>8708</v>
      </c>
      <c r="I12469" t="str" cm="1">
        <f t="array" ref="I12469">_xlfn.XLOOKUP(FACT_IMPORTS[[#This Row],[country_name]],DIM_COUNTRY[[#All],[Column2]],DIM_COUNTRY[[#All],[Column3]],,,)</f>
        <v>Major_Non-USMCA_Non-China</v>
      </c>
    </row>
    <row r="12470" spans="1:9" x14ac:dyDescent="0.4">
      <c r="A12470" t="s">
        <v>73</v>
      </c>
      <c r="B12470" s="1">
        <v>45901</v>
      </c>
      <c r="C12470">
        <v>392630</v>
      </c>
      <c r="D12470" t="s">
        <v>176</v>
      </c>
      <c r="E12470">
        <v>319421</v>
      </c>
      <c r="F12470">
        <v>20583</v>
      </c>
      <c r="G12470">
        <v>14358</v>
      </c>
      <c r="H12470">
        <f>_xlfn.XLOOKUP(FACT_IMPORTS[[#This Row],[hts_6]],DIM_PRODUCTS[hts_6],DIM_PRODUCTS[hts_4],,,)</f>
        <v>3926</v>
      </c>
      <c r="I12470" t="str" cm="1">
        <f t="array" ref="I12470">_xlfn.XLOOKUP(FACT_IMPORTS[[#This Row],[country_name]],DIM_COUNTRY[[#All],[Column2]],DIM_COUNTRY[[#All],[Column3]],,,)</f>
        <v>Major_Non-USMCA_Non-China</v>
      </c>
    </row>
    <row r="12471" spans="1:9" x14ac:dyDescent="0.4">
      <c r="A12471" t="s">
        <v>73</v>
      </c>
      <c r="B12471" s="1">
        <v>45901</v>
      </c>
      <c r="C12471">
        <v>401110</v>
      </c>
      <c r="D12471" t="s">
        <v>176</v>
      </c>
      <c r="E12471">
        <v>2659081</v>
      </c>
      <c r="F12471">
        <v>48828</v>
      </c>
      <c r="G12471">
        <v>558879</v>
      </c>
      <c r="H12471">
        <f>_xlfn.XLOOKUP(FACT_IMPORTS[[#This Row],[hts_6]],DIM_PRODUCTS[hts_6],DIM_PRODUCTS[hts_4],,,)</f>
        <v>4011</v>
      </c>
      <c r="I12471" t="str" cm="1">
        <f t="array" ref="I12471">_xlfn.XLOOKUP(FACT_IMPORTS[[#This Row],[country_name]],DIM_COUNTRY[[#All],[Column2]],DIM_COUNTRY[[#All],[Column3]],,,)</f>
        <v>Major_Non-USMCA_Non-China</v>
      </c>
    </row>
    <row r="12472" spans="1:9" x14ac:dyDescent="0.4">
      <c r="A12472" t="s">
        <v>73</v>
      </c>
      <c r="B12472" s="1">
        <v>45901</v>
      </c>
      <c r="C12472">
        <v>401120</v>
      </c>
      <c r="D12472" t="s">
        <v>176</v>
      </c>
      <c r="E12472">
        <v>29973</v>
      </c>
      <c r="F12472">
        <v>462</v>
      </c>
      <c r="G12472">
        <v>6479</v>
      </c>
      <c r="H12472">
        <f>_xlfn.XLOOKUP(FACT_IMPORTS[[#This Row],[hts_6]],DIM_PRODUCTS[hts_6],DIM_PRODUCTS[hts_4],,,)</f>
        <v>4011</v>
      </c>
      <c r="I12472" t="str" cm="1">
        <f t="array" ref="I12472">_xlfn.XLOOKUP(FACT_IMPORTS[[#This Row],[country_name]],DIM_COUNTRY[[#All],[Column2]],DIM_COUNTRY[[#All],[Column3]],,,)</f>
        <v>Major_Non-USMCA_Non-China</v>
      </c>
    </row>
    <row r="12473" spans="1:9" x14ac:dyDescent="0.4">
      <c r="A12473" t="s">
        <v>73</v>
      </c>
      <c r="B12473" s="1">
        <v>45901</v>
      </c>
      <c r="C12473">
        <v>700711</v>
      </c>
      <c r="D12473" t="s">
        <v>176</v>
      </c>
      <c r="E12473">
        <v>30926</v>
      </c>
      <c r="F12473">
        <v>18</v>
      </c>
      <c r="G12473">
        <v>401</v>
      </c>
      <c r="H12473">
        <f>_xlfn.XLOOKUP(FACT_IMPORTS[[#This Row],[hts_6]],DIM_PRODUCTS[hts_6],DIM_PRODUCTS[hts_4],,,)</f>
        <v>7007</v>
      </c>
      <c r="I12473" t="str" cm="1">
        <f t="array" ref="I12473">_xlfn.XLOOKUP(FACT_IMPORTS[[#This Row],[country_name]],DIM_COUNTRY[[#All],[Column2]],DIM_COUNTRY[[#All],[Column3]],,,)</f>
        <v>Major_Non-USMCA_Non-China</v>
      </c>
    </row>
    <row r="12474" spans="1:9" x14ac:dyDescent="0.4">
      <c r="A12474" t="s">
        <v>73</v>
      </c>
      <c r="B12474" s="1">
        <v>45901</v>
      </c>
      <c r="C12474">
        <v>700910</v>
      </c>
      <c r="D12474" t="s">
        <v>176</v>
      </c>
      <c r="E12474">
        <v>111940</v>
      </c>
      <c r="F12474">
        <v>801</v>
      </c>
      <c r="G12474">
        <v>801</v>
      </c>
      <c r="H12474">
        <f>_xlfn.XLOOKUP(FACT_IMPORTS[[#This Row],[hts_6]],DIM_PRODUCTS[hts_6],DIM_PRODUCTS[hts_4],,,)</f>
        <v>7009</v>
      </c>
      <c r="I12474" t="str" cm="1">
        <f t="array" ref="I12474">_xlfn.XLOOKUP(FACT_IMPORTS[[#This Row],[country_name]],DIM_COUNTRY[[#All],[Column2]],DIM_COUNTRY[[#All],[Column3]],,,)</f>
        <v>Major_Non-USMCA_Non-China</v>
      </c>
    </row>
    <row r="12475" spans="1:9" x14ac:dyDescent="0.4">
      <c r="A12475" t="s">
        <v>73</v>
      </c>
      <c r="B12475" s="1">
        <v>45901</v>
      </c>
      <c r="C12475">
        <v>830230</v>
      </c>
      <c r="D12475" t="s">
        <v>176</v>
      </c>
      <c r="E12475">
        <v>3606113</v>
      </c>
      <c r="F12475">
        <v>536759</v>
      </c>
      <c r="G12475">
        <v>103270</v>
      </c>
      <c r="H12475">
        <f>_xlfn.XLOOKUP(FACT_IMPORTS[[#This Row],[hts_6]],DIM_PRODUCTS[hts_6],DIM_PRODUCTS[hts_4],,,)</f>
        <v>8302</v>
      </c>
      <c r="I12475" t="str" cm="1">
        <f t="array" ref="I12475">_xlfn.XLOOKUP(FACT_IMPORTS[[#This Row],[country_name]],DIM_COUNTRY[[#All],[Column2]],DIM_COUNTRY[[#All],[Column3]],,,)</f>
        <v>Major_Non-USMCA_Non-China</v>
      </c>
    </row>
    <row r="12476" spans="1:9" x14ac:dyDescent="0.4">
      <c r="A12476" t="s">
        <v>73</v>
      </c>
      <c r="B12476" s="1">
        <v>45901</v>
      </c>
      <c r="C12476">
        <v>840734</v>
      </c>
      <c r="D12476" t="s">
        <v>176</v>
      </c>
      <c r="E12476">
        <v>0</v>
      </c>
      <c r="F12476">
        <v>0</v>
      </c>
      <c r="G12476">
        <v>0</v>
      </c>
      <c r="H12476">
        <f>_xlfn.XLOOKUP(FACT_IMPORTS[[#This Row],[hts_6]],DIM_PRODUCTS[hts_6],DIM_PRODUCTS[hts_4],,,)</f>
        <v>8407</v>
      </c>
      <c r="I12476" t="str" cm="1">
        <f t="array" ref="I12476">_xlfn.XLOOKUP(FACT_IMPORTS[[#This Row],[country_name]],DIM_COUNTRY[[#All],[Column2]],DIM_COUNTRY[[#All],[Column3]],,,)</f>
        <v>Major_Non-USMCA_Non-China</v>
      </c>
    </row>
    <row r="12477" spans="1:9" x14ac:dyDescent="0.4">
      <c r="A12477" t="s">
        <v>73</v>
      </c>
      <c r="B12477" s="1">
        <v>45901</v>
      </c>
      <c r="C12477">
        <v>840890</v>
      </c>
      <c r="D12477" t="s">
        <v>176</v>
      </c>
      <c r="E12477">
        <v>0</v>
      </c>
      <c r="F12477">
        <v>0</v>
      </c>
      <c r="G12477">
        <v>0</v>
      </c>
      <c r="H12477">
        <f>_xlfn.XLOOKUP(FACT_IMPORTS[[#This Row],[hts_6]],DIM_PRODUCTS[hts_6],DIM_PRODUCTS[hts_4],,,)</f>
        <v>8408</v>
      </c>
      <c r="I12477" t="str" cm="1">
        <f t="array" ref="I12477">_xlfn.XLOOKUP(FACT_IMPORTS[[#This Row],[country_name]],DIM_COUNTRY[[#All],[Column2]],DIM_COUNTRY[[#All],[Column3]],,,)</f>
        <v>Major_Non-USMCA_Non-China</v>
      </c>
    </row>
    <row r="12478" spans="1:9" x14ac:dyDescent="0.4">
      <c r="A12478" t="s">
        <v>73</v>
      </c>
      <c r="B12478" s="1">
        <v>45901</v>
      </c>
      <c r="C12478">
        <v>840991</v>
      </c>
      <c r="D12478" t="s">
        <v>176</v>
      </c>
      <c r="E12478">
        <v>5158118</v>
      </c>
      <c r="F12478">
        <v>389268</v>
      </c>
      <c r="G12478">
        <v>44777</v>
      </c>
      <c r="H12478">
        <f>_xlfn.XLOOKUP(FACT_IMPORTS[[#This Row],[hts_6]],DIM_PRODUCTS[hts_6],DIM_PRODUCTS[hts_4],,,)</f>
        <v>8409</v>
      </c>
      <c r="I12478" t="str" cm="1">
        <f t="array" ref="I12478">_xlfn.XLOOKUP(FACT_IMPORTS[[#This Row],[country_name]],DIM_COUNTRY[[#All],[Column2]],DIM_COUNTRY[[#All],[Column3]],,,)</f>
        <v>Major_Non-USMCA_Non-China</v>
      </c>
    </row>
    <row r="12479" spans="1:9" x14ac:dyDescent="0.4">
      <c r="A12479" t="s">
        <v>73</v>
      </c>
      <c r="B12479" s="1">
        <v>45901</v>
      </c>
      <c r="C12479">
        <v>840999</v>
      </c>
      <c r="D12479" t="s">
        <v>176</v>
      </c>
      <c r="E12479">
        <v>106354</v>
      </c>
      <c r="F12479">
        <v>4189</v>
      </c>
      <c r="G12479">
        <v>496</v>
      </c>
      <c r="H12479">
        <f>_xlfn.XLOOKUP(FACT_IMPORTS[[#This Row],[hts_6]],DIM_PRODUCTS[hts_6],DIM_PRODUCTS[hts_4],,,)</f>
        <v>8409</v>
      </c>
      <c r="I12479" t="str" cm="1">
        <f t="array" ref="I12479">_xlfn.XLOOKUP(FACT_IMPORTS[[#This Row],[country_name]],DIM_COUNTRY[[#All],[Column2]],DIM_COUNTRY[[#All],[Column3]],,,)</f>
        <v>Major_Non-USMCA_Non-China</v>
      </c>
    </row>
    <row r="12480" spans="1:9" x14ac:dyDescent="0.4">
      <c r="A12480" t="s">
        <v>73</v>
      </c>
      <c r="B12480" s="1">
        <v>45901</v>
      </c>
      <c r="C12480">
        <v>841330</v>
      </c>
      <c r="D12480" t="s">
        <v>176</v>
      </c>
      <c r="E12480">
        <v>3478509</v>
      </c>
      <c r="F12480">
        <v>140718</v>
      </c>
      <c r="G12480">
        <v>165993</v>
      </c>
      <c r="H12480">
        <f>_xlfn.XLOOKUP(FACT_IMPORTS[[#This Row],[hts_6]],DIM_PRODUCTS[hts_6],DIM_PRODUCTS[hts_4],,,)</f>
        <v>8413</v>
      </c>
      <c r="I12480" t="str" cm="1">
        <f t="array" ref="I12480">_xlfn.XLOOKUP(FACT_IMPORTS[[#This Row],[country_name]],DIM_COUNTRY[[#All],[Column2]],DIM_COUNTRY[[#All],[Column3]],,,)</f>
        <v>Major_Non-USMCA_Non-China</v>
      </c>
    </row>
    <row r="12481" spans="1:9" x14ac:dyDescent="0.4">
      <c r="A12481" t="s">
        <v>73</v>
      </c>
      <c r="B12481" s="1">
        <v>45901</v>
      </c>
      <c r="C12481">
        <v>842132</v>
      </c>
      <c r="D12481" t="s">
        <v>176</v>
      </c>
      <c r="E12481">
        <v>306940</v>
      </c>
      <c r="F12481">
        <v>160</v>
      </c>
      <c r="G12481">
        <v>1522</v>
      </c>
      <c r="H12481">
        <f>_xlfn.XLOOKUP(FACT_IMPORTS[[#This Row],[hts_6]],DIM_PRODUCTS[hts_6],DIM_PRODUCTS[hts_4],,,)</f>
        <v>8421</v>
      </c>
      <c r="I12481" t="str" cm="1">
        <f t="array" ref="I12481">_xlfn.XLOOKUP(FACT_IMPORTS[[#This Row],[country_name]],DIM_COUNTRY[[#All],[Column2]],DIM_COUNTRY[[#All],[Column3]],,,)</f>
        <v>Major_Non-USMCA_Non-China</v>
      </c>
    </row>
    <row r="12482" spans="1:9" x14ac:dyDescent="0.4">
      <c r="A12482" t="s">
        <v>73</v>
      </c>
      <c r="B12482" s="1">
        <v>45901</v>
      </c>
      <c r="C12482">
        <v>848210</v>
      </c>
      <c r="D12482" t="s">
        <v>176</v>
      </c>
      <c r="E12482">
        <v>280063</v>
      </c>
      <c r="F12482">
        <v>85309</v>
      </c>
      <c r="G12482">
        <v>1163</v>
      </c>
      <c r="H12482">
        <f>_xlfn.XLOOKUP(FACT_IMPORTS[[#This Row],[hts_6]],DIM_PRODUCTS[hts_6],DIM_PRODUCTS[hts_4],,,)</f>
        <v>8482</v>
      </c>
      <c r="I12482" t="str" cm="1">
        <f t="array" ref="I12482">_xlfn.XLOOKUP(FACT_IMPORTS[[#This Row],[country_name]],DIM_COUNTRY[[#All],[Column2]],DIM_COUNTRY[[#All],[Column3]],,,)</f>
        <v>Major_Non-USMCA_Non-China</v>
      </c>
    </row>
    <row r="12483" spans="1:9" x14ac:dyDescent="0.4">
      <c r="A12483" t="s">
        <v>73</v>
      </c>
      <c r="B12483" s="1">
        <v>45901</v>
      </c>
      <c r="C12483">
        <v>848220</v>
      </c>
      <c r="D12483" t="s">
        <v>176</v>
      </c>
      <c r="E12483">
        <v>4568316</v>
      </c>
      <c r="F12483">
        <v>1354146</v>
      </c>
      <c r="G12483">
        <v>2269</v>
      </c>
      <c r="H12483">
        <f>_xlfn.XLOOKUP(FACT_IMPORTS[[#This Row],[hts_6]],DIM_PRODUCTS[hts_6],DIM_PRODUCTS[hts_4],,,)</f>
        <v>8482</v>
      </c>
      <c r="I12483" t="str" cm="1">
        <f t="array" ref="I12483">_xlfn.XLOOKUP(FACT_IMPORTS[[#This Row],[country_name]],DIM_COUNTRY[[#All],[Column2]],DIM_COUNTRY[[#All],[Column3]],,,)</f>
        <v>Major_Non-USMCA_Non-China</v>
      </c>
    </row>
    <row r="12484" spans="1:9" x14ac:dyDescent="0.4">
      <c r="A12484" t="s">
        <v>73</v>
      </c>
      <c r="B12484" s="1">
        <v>45901</v>
      </c>
      <c r="C12484">
        <v>848310</v>
      </c>
      <c r="D12484" t="s">
        <v>176</v>
      </c>
      <c r="E12484">
        <v>14670</v>
      </c>
      <c r="F12484">
        <v>554</v>
      </c>
      <c r="G12484">
        <v>4</v>
      </c>
      <c r="H12484">
        <f>_xlfn.XLOOKUP(FACT_IMPORTS[[#This Row],[hts_6]],DIM_PRODUCTS[hts_6],DIM_PRODUCTS[hts_4],,,)</f>
        <v>8483</v>
      </c>
      <c r="I12484" t="str" cm="1">
        <f t="array" ref="I12484">_xlfn.XLOOKUP(FACT_IMPORTS[[#This Row],[country_name]],DIM_COUNTRY[[#All],[Column2]],DIM_COUNTRY[[#All],[Column3]],,,)</f>
        <v>Major_Non-USMCA_Non-China</v>
      </c>
    </row>
    <row r="12485" spans="1:9" x14ac:dyDescent="0.4">
      <c r="A12485" t="s">
        <v>73</v>
      </c>
      <c r="B12485" s="1">
        <v>45901</v>
      </c>
      <c r="C12485">
        <v>850131</v>
      </c>
      <c r="D12485" t="s">
        <v>176</v>
      </c>
      <c r="E12485">
        <v>1054288</v>
      </c>
      <c r="F12485">
        <v>98926</v>
      </c>
      <c r="G12485">
        <v>11177</v>
      </c>
      <c r="H12485">
        <f>_xlfn.XLOOKUP(FACT_IMPORTS[[#This Row],[hts_6]],DIM_PRODUCTS[hts_6],DIM_PRODUCTS[hts_4],,,)</f>
        <v>8501</v>
      </c>
      <c r="I12485" t="str" cm="1">
        <f t="array" ref="I12485">_xlfn.XLOOKUP(FACT_IMPORTS[[#This Row],[country_name]],DIM_COUNTRY[[#All],[Column2]],DIM_COUNTRY[[#All],[Column3]],,,)</f>
        <v>Major_Non-USMCA_Non-China</v>
      </c>
    </row>
    <row r="12486" spans="1:9" x14ac:dyDescent="0.4">
      <c r="A12486" t="s">
        <v>73</v>
      </c>
      <c r="B12486" s="1">
        <v>45901</v>
      </c>
      <c r="C12486">
        <v>850132</v>
      </c>
      <c r="D12486" t="s">
        <v>176</v>
      </c>
      <c r="E12486">
        <v>4394</v>
      </c>
      <c r="F12486">
        <v>1</v>
      </c>
      <c r="G12486">
        <v>1</v>
      </c>
      <c r="H12486">
        <f>_xlfn.XLOOKUP(FACT_IMPORTS[[#This Row],[hts_6]],DIM_PRODUCTS[hts_6],DIM_PRODUCTS[hts_4],,,)</f>
        <v>8501</v>
      </c>
      <c r="I12486" t="str" cm="1">
        <f t="array" ref="I12486">_xlfn.XLOOKUP(FACT_IMPORTS[[#This Row],[country_name]],DIM_COUNTRY[[#All],[Column2]],DIM_COUNTRY[[#All],[Column3]],,,)</f>
        <v>Major_Non-USMCA_Non-China</v>
      </c>
    </row>
    <row r="12487" spans="1:9" x14ac:dyDescent="0.4">
      <c r="A12487" t="s">
        <v>73</v>
      </c>
      <c r="B12487" s="1">
        <v>45901</v>
      </c>
      <c r="C12487">
        <v>850152</v>
      </c>
      <c r="D12487" t="s">
        <v>176</v>
      </c>
      <c r="E12487">
        <v>0</v>
      </c>
      <c r="F12487">
        <v>0</v>
      </c>
      <c r="G12487">
        <v>0</v>
      </c>
      <c r="H12487">
        <f>_xlfn.XLOOKUP(FACT_IMPORTS[[#This Row],[hts_6]],DIM_PRODUCTS[hts_6],DIM_PRODUCTS[hts_4],,,)</f>
        <v>8501</v>
      </c>
      <c r="I12487" t="str" cm="1">
        <f t="array" ref="I12487">_xlfn.XLOOKUP(FACT_IMPORTS[[#This Row],[country_name]],DIM_COUNTRY[[#All],[Column2]],DIM_COUNTRY[[#All],[Column3]],,,)</f>
        <v>Major_Non-USMCA_Non-China</v>
      </c>
    </row>
    <row r="12488" spans="1:9" x14ac:dyDescent="0.4">
      <c r="A12488" t="s">
        <v>73</v>
      </c>
      <c r="B12488" s="1">
        <v>45901</v>
      </c>
      <c r="C12488">
        <v>850153</v>
      </c>
      <c r="D12488" t="s">
        <v>176</v>
      </c>
      <c r="E12488">
        <v>18000</v>
      </c>
      <c r="F12488">
        <v>5</v>
      </c>
      <c r="G12488">
        <v>32</v>
      </c>
      <c r="H12488">
        <f>_xlfn.XLOOKUP(FACT_IMPORTS[[#This Row],[hts_6]],DIM_PRODUCTS[hts_6],DIM_PRODUCTS[hts_4],,,)</f>
        <v>8501</v>
      </c>
      <c r="I12488" t="str" cm="1">
        <f t="array" ref="I12488">_xlfn.XLOOKUP(FACT_IMPORTS[[#This Row],[country_name]],DIM_COUNTRY[[#All],[Column2]],DIM_COUNTRY[[#All],[Column3]],,,)</f>
        <v>Major_Non-USMCA_Non-China</v>
      </c>
    </row>
    <row r="12489" spans="1:9" x14ac:dyDescent="0.4">
      <c r="A12489" t="s">
        <v>73</v>
      </c>
      <c r="B12489" s="1">
        <v>45901</v>
      </c>
      <c r="C12489">
        <v>850440</v>
      </c>
      <c r="D12489" t="s">
        <v>176</v>
      </c>
      <c r="E12489">
        <v>41585</v>
      </c>
      <c r="F12489">
        <v>28</v>
      </c>
      <c r="G12489">
        <v>475</v>
      </c>
      <c r="H12489">
        <f>_xlfn.XLOOKUP(FACT_IMPORTS[[#This Row],[hts_6]],DIM_PRODUCTS[hts_6],DIM_PRODUCTS[hts_4],,,)</f>
        <v>8504</v>
      </c>
      <c r="I12489" t="str" cm="1">
        <f t="array" ref="I12489">_xlfn.XLOOKUP(FACT_IMPORTS[[#This Row],[country_name]],DIM_COUNTRY[[#All],[Column2]],DIM_COUNTRY[[#All],[Column3]],,,)</f>
        <v>Major_Non-USMCA_Non-China</v>
      </c>
    </row>
    <row r="12490" spans="1:9" x14ac:dyDescent="0.4">
      <c r="A12490" t="s">
        <v>73</v>
      </c>
      <c r="B12490" s="1">
        <v>45901</v>
      </c>
      <c r="C12490">
        <v>850710</v>
      </c>
      <c r="D12490" t="s">
        <v>176</v>
      </c>
      <c r="E12490">
        <v>69868</v>
      </c>
      <c r="F12490">
        <v>1656</v>
      </c>
      <c r="G12490">
        <v>2000</v>
      </c>
      <c r="H12490">
        <f>_xlfn.XLOOKUP(FACT_IMPORTS[[#This Row],[hts_6]],DIM_PRODUCTS[hts_6],DIM_PRODUCTS[hts_4],,,)</f>
        <v>8507</v>
      </c>
      <c r="I12490" t="str" cm="1">
        <f t="array" ref="I12490">_xlfn.XLOOKUP(FACT_IMPORTS[[#This Row],[country_name]],DIM_COUNTRY[[#All],[Column2]],DIM_COUNTRY[[#All],[Column3]],,,)</f>
        <v>Major_Non-USMCA_Non-China</v>
      </c>
    </row>
    <row r="12491" spans="1:9" x14ac:dyDescent="0.4">
      <c r="A12491" t="s">
        <v>73</v>
      </c>
      <c r="B12491" s="1">
        <v>45901</v>
      </c>
      <c r="C12491">
        <v>850760</v>
      </c>
      <c r="D12491" t="s">
        <v>176</v>
      </c>
      <c r="E12491">
        <v>699020</v>
      </c>
      <c r="F12491">
        <v>807</v>
      </c>
      <c r="G12491">
        <v>5128</v>
      </c>
      <c r="H12491">
        <f>_xlfn.XLOOKUP(FACT_IMPORTS[[#This Row],[hts_6]],DIM_PRODUCTS[hts_6],DIM_PRODUCTS[hts_4],,,)</f>
        <v>8507</v>
      </c>
      <c r="I12491" t="str" cm="1">
        <f t="array" ref="I12491">_xlfn.XLOOKUP(FACT_IMPORTS[[#This Row],[country_name]],DIM_COUNTRY[[#All],[Column2]],DIM_COUNTRY[[#All],[Column3]],,,)</f>
        <v>Major_Non-USMCA_Non-China</v>
      </c>
    </row>
    <row r="12492" spans="1:9" x14ac:dyDescent="0.4">
      <c r="A12492" t="s">
        <v>73</v>
      </c>
      <c r="B12492" s="1">
        <v>45901</v>
      </c>
      <c r="C12492">
        <v>850790</v>
      </c>
      <c r="D12492" t="s">
        <v>176</v>
      </c>
      <c r="E12492">
        <v>90000</v>
      </c>
      <c r="F12492">
        <v>971</v>
      </c>
      <c r="G12492">
        <v>9000</v>
      </c>
      <c r="H12492">
        <f>_xlfn.XLOOKUP(FACT_IMPORTS[[#This Row],[hts_6]],DIM_PRODUCTS[hts_6],DIM_PRODUCTS[hts_4],,,)</f>
        <v>8507</v>
      </c>
      <c r="I12492" t="str" cm="1">
        <f t="array" ref="I12492">_xlfn.XLOOKUP(FACT_IMPORTS[[#This Row],[country_name]],DIM_COUNTRY[[#All],[Column2]],DIM_COUNTRY[[#All],[Column3]],,,)</f>
        <v>Major_Non-USMCA_Non-China</v>
      </c>
    </row>
    <row r="12493" spans="1:9" x14ac:dyDescent="0.4">
      <c r="A12493" t="s">
        <v>73</v>
      </c>
      <c r="B12493" s="1">
        <v>45901</v>
      </c>
      <c r="C12493">
        <v>851110</v>
      </c>
      <c r="D12493" t="s">
        <v>176</v>
      </c>
      <c r="E12493">
        <v>2064</v>
      </c>
      <c r="F12493">
        <v>4</v>
      </c>
      <c r="G12493">
        <v>6</v>
      </c>
      <c r="H12493">
        <f>_xlfn.XLOOKUP(FACT_IMPORTS[[#This Row],[hts_6]],DIM_PRODUCTS[hts_6],DIM_PRODUCTS[hts_4],,,)</f>
        <v>8511</v>
      </c>
      <c r="I12493" t="str" cm="1">
        <f t="array" ref="I12493">_xlfn.XLOOKUP(FACT_IMPORTS[[#This Row],[country_name]],DIM_COUNTRY[[#All],[Column2]],DIM_COUNTRY[[#All],[Column3]],,,)</f>
        <v>Major_Non-USMCA_Non-China</v>
      </c>
    </row>
    <row r="12494" spans="1:9" x14ac:dyDescent="0.4">
      <c r="A12494" t="s">
        <v>73</v>
      </c>
      <c r="B12494" s="1">
        <v>45901</v>
      </c>
      <c r="C12494">
        <v>851130</v>
      </c>
      <c r="D12494" t="s">
        <v>176</v>
      </c>
      <c r="E12494">
        <v>0</v>
      </c>
      <c r="F12494">
        <v>0</v>
      </c>
      <c r="G12494">
        <v>0</v>
      </c>
      <c r="H12494">
        <f>_xlfn.XLOOKUP(FACT_IMPORTS[[#This Row],[hts_6]],DIM_PRODUCTS[hts_6],DIM_PRODUCTS[hts_4],,,)</f>
        <v>8511</v>
      </c>
      <c r="I12494" t="str" cm="1">
        <f t="array" ref="I12494">_xlfn.XLOOKUP(FACT_IMPORTS[[#This Row],[country_name]],DIM_COUNTRY[[#All],[Column2]],DIM_COUNTRY[[#All],[Column3]],,,)</f>
        <v>Major_Non-USMCA_Non-China</v>
      </c>
    </row>
    <row r="12495" spans="1:9" x14ac:dyDescent="0.4">
      <c r="A12495" t="s">
        <v>73</v>
      </c>
      <c r="B12495" s="1">
        <v>45901</v>
      </c>
      <c r="C12495">
        <v>851140</v>
      </c>
      <c r="D12495" t="s">
        <v>176</v>
      </c>
      <c r="E12495">
        <v>23700</v>
      </c>
      <c r="F12495">
        <v>432</v>
      </c>
      <c r="G12495">
        <v>85</v>
      </c>
      <c r="H12495">
        <f>_xlfn.XLOOKUP(FACT_IMPORTS[[#This Row],[hts_6]],DIM_PRODUCTS[hts_6],DIM_PRODUCTS[hts_4],,,)</f>
        <v>8511</v>
      </c>
      <c r="I12495" t="str" cm="1">
        <f t="array" ref="I12495">_xlfn.XLOOKUP(FACT_IMPORTS[[#This Row],[country_name]],DIM_COUNTRY[[#All],[Column2]],DIM_COUNTRY[[#All],[Column3]],,,)</f>
        <v>Major_Non-USMCA_Non-China</v>
      </c>
    </row>
    <row r="12496" spans="1:9" x14ac:dyDescent="0.4">
      <c r="A12496" t="s">
        <v>73</v>
      </c>
      <c r="B12496" s="1">
        <v>45901</v>
      </c>
      <c r="C12496">
        <v>851150</v>
      </c>
      <c r="D12496" t="s">
        <v>176</v>
      </c>
      <c r="E12496">
        <v>52555</v>
      </c>
      <c r="F12496">
        <v>144</v>
      </c>
      <c r="G12496">
        <v>140</v>
      </c>
      <c r="H12496">
        <f>_xlfn.XLOOKUP(FACT_IMPORTS[[#This Row],[hts_6]],DIM_PRODUCTS[hts_6],DIM_PRODUCTS[hts_4],,,)</f>
        <v>8511</v>
      </c>
      <c r="I12496" t="str" cm="1">
        <f t="array" ref="I12496">_xlfn.XLOOKUP(FACT_IMPORTS[[#This Row],[country_name]],DIM_COUNTRY[[#All],[Column2]],DIM_COUNTRY[[#All],[Column3]],,,)</f>
        <v>Major_Non-USMCA_Non-China</v>
      </c>
    </row>
    <row r="12497" spans="1:9" x14ac:dyDescent="0.4">
      <c r="A12497" t="s">
        <v>73</v>
      </c>
      <c r="B12497" s="1">
        <v>45901</v>
      </c>
      <c r="C12497">
        <v>851190</v>
      </c>
      <c r="D12497" t="s">
        <v>176</v>
      </c>
      <c r="E12497">
        <v>92043</v>
      </c>
      <c r="F12497">
        <v>15219</v>
      </c>
      <c r="G12497">
        <v>1617</v>
      </c>
      <c r="H12497">
        <f>_xlfn.XLOOKUP(FACT_IMPORTS[[#This Row],[hts_6]],DIM_PRODUCTS[hts_6],DIM_PRODUCTS[hts_4],,,)</f>
        <v>8511</v>
      </c>
      <c r="I12497" t="str" cm="1">
        <f t="array" ref="I12497">_xlfn.XLOOKUP(FACT_IMPORTS[[#This Row],[country_name]],DIM_COUNTRY[[#All],[Column2]],DIM_COUNTRY[[#All],[Column3]],,,)</f>
        <v>Major_Non-USMCA_Non-China</v>
      </c>
    </row>
    <row r="12498" spans="1:9" x14ac:dyDescent="0.4">
      <c r="A12498" t="s">
        <v>73</v>
      </c>
      <c r="B12498" s="1">
        <v>45901</v>
      </c>
      <c r="C12498">
        <v>851220</v>
      </c>
      <c r="D12498" t="s">
        <v>176</v>
      </c>
      <c r="E12498">
        <v>11859151</v>
      </c>
      <c r="F12498">
        <v>1797471</v>
      </c>
      <c r="G12498">
        <v>321301</v>
      </c>
      <c r="H12498">
        <f>_xlfn.XLOOKUP(FACT_IMPORTS[[#This Row],[hts_6]],DIM_PRODUCTS[hts_6],DIM_PRODUCTS[hts_4],,,)</f>
        <v>8512</v>
      </c>
      <c r="I12498" t="str" cm="1">
        <f t="array" ref="I12498">_xlfn.XLOOKUP(FACT_IMPORTS[[#This Row],[country_name]],DIM_COUNTRY[[#All],[Column2]],DIM_COUNTRY[[#All],[Column3]],,,)</f>
        <v>Major_Non-USMCA_Non-China</v>
      </c>
    </row>
    <row r="12499" spans="1:9" x14ac:dyDescent="0.4">
      <c r="A12499" t="s">
        <v>73</v>
      </c>
      <c r="B12499" s="1">
        <v>45901</v>
      </c>
      <c r="C12499">
        <v>851230</v>
      </c>
      <c r="D12499" t="s">
        <v>176</v>
      </c>
      <c r="E12499">
        <v>0</v>
      </c>
      <c r="F12499">
        <v>0</v>
      </c>
      <c r="G12499">
        <v>0</v>
      </c>
      <c r="H12499">
        <f>_xlfn.XLOOKUP(FACT_IMPORTS[[#This Row],[hts_6]],DIM_PRODUCTS[hts_6],DIM_PRODUCTS[hts_4],,,)</f>
        <v>8512</v>
      </c>
      <c r="I12499" t="str" cm="1">
        <f t="array" ref="I12499">_xlfn.XLOOKUP(FACT_IMPORTS[[#This Row],[country_name]],DIM_COUNTRY[[#All],[Column2]],DIM_COUNTRY[[#All],[Column3]],,,)</f>
        <v>Major_Non-USMCA_Non-China</v>
      </c>
    </row>
    <row r="12500" spans="1:9" x14ac:dyDescent="0.4">
      <c r="A12500" t="s">
        <v>73</v>
      </c>
      <c r="B12500" s="1">
        <v>45901</v>
      </c>
      <c r="C12500">
        <v>851240</v>
      </c>
      <c r="D12500" t="s">
        <v>176</v>
      </c>
      <c r="E12500">
        <v>0</v>
      </c>
      <c r="F12500">
        <v>0</v>
      </c>
      <c r="G12500">
        <v>0</v>
      </c>
      <c r="H12500">
        <f>_xlfn.XLOOKUP(FACT_IMPORTS[[#This Row],[hts_6]],DIM_PRODUCTS[hts_6],DIM_PRODUCTS[hts_4],,,)</f>
        <v>8512</v>
      </c>
      <c r="I12500" t="str" cm="1">
        <f t="array" ref="I12500">_xlfn.XLOOKUP(FACT_IMPORTS[[#This Row],[country_name]],DIM_COUNTRY[[#All],[Column2]],DIM_COUNTRY[[#All],[Column3]],,,)</f>
        <v>Major_Non-USMCA_Non-China</v>
      </c>
    </row>
    <row r="12501" spans="1:9" x14ac:dyDescent="0.4">
      <c r="A12501" t="s">
        <v>73</v>
      </c>
      <c r="B12501" s="1">
        <v>45901</v>
      </c>
      <c r="C12501">
        <v>851290</v>
      </c>
      <c r="D12501" t="s">
        <v>176</v>
      </c>
      <c r="E12501">
        <v>462704</v>
      </c>
      <c r="F12501">
        <v>34073</v>
      </c>
      <c r="G12501">
        <v>16142</v>
      </c>
      <c r="H12501">
        <f>_xlfn.XLOOKUP(FACT_IMPORTS[[#This Row],[hts_6]],DIM_PRODUCTS[hts_6],DIM_PRODUCTS[hts_4],,,)</f>
        <v>8512</v>
      </c>
      <c r="I12501" t="str" cm="1">
        <f t="array" ref="I12501">_xlfn.XLOOKUP(FACT_IMPORTS[[#This Row],[country_name]],DIM_COUNTRY[[#All],[Column2]],DIM_COUNTRY[[#All],[Column3]],,,)</f>
        <v>Major_Non-USMCA_Non-China</v>
      </c>
    </row>
    <row r="12502" spans="1:9" x14ac:dyDescent="0.4">
      <c r="A12502" t="s">
        <v>73</v>
      </c>
      <c r="B12502" s="1">
        <v>45901</v>
      </c>
      <c r="C12502">
        <v>854231</v>
      </c>
      <c r="D12502" t="s">
        <v>176</v>
      </c>
      <c r="E12502">
        <v>0</v>
      </c>
      <c r="F12502">
        <v>0</v>
      </c>
      <c r="G12502">
        <v>0</v>
      </c>
      <c r="H12502">
        <f>_xlfn.XLOOKUP(FACT_IMPORTS[[#This Row],[hts_6]],DIM_PRODUCTS[hts_6],DIM_PRODUCTS[hts_4],,,)</f>
        <v>8542</v>
      </c>
      <c r="I12502" t="str" cm="1">
        <f t="array" ref="I12502">_xlfn.XLOOKUP(FACT_IMPORTS[[#This Row],[country_name]],DIM_COUNTRY[[#All],[Column2]],DIM_COUNTRY[[#All],[Column3]],,,)</f>
        <v>Major_Non-USMCA_Non-China</v>
      </c>
    </row>
    <row r="12503" spans="1:9" x14ac:dyDescent="0.4">
      <c r="A12503" t="s">
        <v>73</v>
      </c>
      <c r="B12503" s="1">
        <v>45901</v>
      </c>
      <c r="C12503">
        <v>854232</v>
      </c>
      <c r="D12503" t="s">
        <v>176</v>
      </c>
      <c r="E12503">
        <v>0</v>
      </c>
      <c r="F12503">
        <v>0</v>
      </c>
      <c r="G12503">
        <v>0</v>
      </c>
      <c r="H12503">
        <f>_xlfn.XLOOKUP(FACT_IMPORTS[[#This Row],[hts_6]],DIM_PRODUCTS[hts_6],DIM_PRODUCTS[hts_4],,,)</f>
        <v>8542</v>
      </c>
      <c r="I12503" t="str" cm="1">
        <f t="array" ref="I12503">_xlfn.XLOOKUP(FACT_IMPORTS[[#This Row],[country_name]],DIM_COUNTRY[[#All],[Column2]],DIM_COUNTRY[[#All],[Column3]],,,)</f>
        <v>Major_Non-USMCA_Non-China</v>
      </c>
    </row>
    <row r="12504" spans="1:9" x14ac:dyDescent="0.4">
      <c r="A12504" t="s">
        <v>73</v>
      </c>
      <c r="B12504" s="1">
        <v>45901</v>
      </c>
      <c r="C12504">
        <v>854239</v>
      </c>
      <c r="D12504" t="s">
        <v>176</v>
      </c>
      <c r="E12504">
        <v>0</v>
      </c>
      <c r="F12504">
        <v>0</v>
      </c>
      <c r="G12504">
        <v>0</v>
      </c>
      <c r="H12504">
        <f>_xlfn.XLOOKUP(FACT_IMPORTS[[#This Row],[hts_6]],DIM_PRODUCTS[hts_6],DIM_PRODUCTS[hts_4],,,)</f>
        <v>8542</v>
      </c>
      <c r="I12504" t="str" cm="1">
        <f t="array" ref="I12504">_xlfn.XLOOKUP(FACT_IMPORTS[[#This Row],[country_name]],DIM_COUNTRY[[#All],[Column2]],DIM_COUNTRY[[#All],[Column3]],,,)</f>
        <v>Major_Non-USMCA_Non-China</v>
      </c>
    </row>
    <row r="12505" spans="1:9" x14ac:dyDescent="0.4">
      <c r="A12505" t="s">
        <v>73</v>
      </c>
      <c r="B12505" s="1">
        <v>45901</v>
      </c>
      <c r="C12505">
        <v>854430</v>
      </c>
      <c r="D12505" t="s">
        <v>176</v>
      </c>
      <c r="E12505">
        <v>170283</v>
      </c>
      <c r="F12505">
        <v>379</v>
      </c>
      <c r="G12505">
        <v>847</v>
      </c>
      <c r="H12505">
        <f>_xlfn.XLOOKUP(FACT_IMPORTS[[#This Row],[hts_6]],DIM_PRODUCTS[hts_6],DIM_PRODUCTS[hts_4],,,)</f>
        <v>8544</v>
      </c>
      <c r="I12505" t="str" cm="1">
        <f t="array" ref="I12505">_xlfn.XLOOKUP(FACT_IMPORTS[[#This Row],[country_name]],DIM_COUNTRY[[#All],[Column2]],DIM_COUNTRY[[#All],[Column3]],,,)</f>
        <v>Major_Non-USMCA_Non-China</v>
      </c>
    </row>
    <row r="12506" spans="1:9" x14ac:dyDescent="0.4">
      <c r="A12506" t="s">
        <v>73</v>
      </c>
      <c r="B12506" s="1">
        <v>45901</v>
      </c>
      <c r="C12506">
        <v>870810</v>
      </c>
      <c r="D12506" t="s">
        <v>176</v>
      </c>
      <c r="E12506">
        <v>2362616</v>
      </c>
      <c r="F12506">
        <v>30978</v>
      </c>
      <c r="G12506">
        <v>58421</v>
      </c>
      <c r="H12506">
        <f>_xlfn.XLOOKUP(FACT_IMPORTS[[#This Row],[hts_6]],DIM_PRODUCTS[hts_6],DIM_PRODUCTS[hts_4],,,)</f>
        <v>8708</v>
      </c>
      <c r="I12506" t="str" cm="1">
        <f t="array" ref="I12506">_xlfn.XLOOKUP(FACT_IMPORTS[[#This Row],[country_name]],DIM_COUNTRY[[#All],[Column2]],DIM_COUNTRY[[#All],[Column3]],,,)</f>
        <v>Major_Non-USMCA_Non-China</v>
      </c>
    </row>
    <row r="12507" spans="1:9" x14ac:dyDescent="0.4">
      <c r="A12507" t="s">
        <v>73</v>
      </c>
      <c r="B12507" s="1">
        <v>45901</v>
      </c>
      <c r="C12507">
        <v>870822</v>
      </c>
      <c r="D12507" t="s">
        <v>176</v>
      </c>
      <c r="E12507">
        <v>70902</v>
      </c>
      <c r="F12507">
        <v>294</v>
      </c>
      <c r="G12507">
        <v>750</v>
      </c>
      <c r="H12507">
        <f>_xlfn.XLOOKUP(FACT_IMPORTS[[#This Row],[hts_6]],DIM_PRODUCTS[hts_6],DIM_PRODUCTS[hts_4],,,)</f>
        <v>8708</v>
      </c>
      <c r="I12507" t="str" cm="1">
        <f t="array" ref="I12507">_xlfn.XLOOKUP(FACT_IMPORTS[[#This Row],[country_name]],DIM_COUNTRY[[#All],[Column2]],DIM_COUNTRY[[#All],[Column3]],,,)</f>
        <v>Major_Non-USMCA_Non-China</v>
      </c>
    </row>
    <row r="12508" spans="1:9" x14ac:dyDescent="0.4">
      <c r="A12508" t="s">
        <v>73</v>
      </c>
      <c r="B12508" s="1">
        <v>45901</v>
      </c>
      <c r="C12508">
        <v>870829</v>
      </c>
      <c r="D12508" t="s">
        <v>176</v>
      </c>
      <c r="E12508">
        <v>6614190</v>
      </c>
      <c r="F12508">
        <v>2643849</v>
      </c>
      <c r="G12508">
        <v>372768</v>
      </c>
      <c r="H12508">
        <f>_xlfn.XLOOKUP(FACT_IMPORTS[[#This Row],[hts_6]],DIM_PRODUCTS[hts_6],DIM_PRODUCTS[hts_4],,,)</f>
        <v>8708</v>
      </c>
      <c r="I12508" t="str" cm="1">
        <f t="array" ref="I12508">_xlfn.XLOOKUP(FACT_IMPORTS[[#This Row],[country_name]],DIM_COUNTRY[[#All],[Column2]],DIM_COUNTRY[[#All],[Column3]],,,)</f>
        <v>Major_Non-USMCA_Non-China</v>
      </c>
    </row>
    <row r="12509" spans="1:9" x14ac:dyDescent="0.4">
      <c r="A12509" t="s">
        <v>73</v>
      </c>
      <c r="B12509" s="1">
        <v>45901</v>
      </c>
      <c r="C12509">
        <v>870830</v>
      </c>
      <c r="D12509" t="s">
        <v>176</v>
      </c>
      <c r="E12509">
        <v>446073</v>
      </c>
      <c r="F12509">
        <v>417076</v>
      </c>
      <c r="G12509">
        <v>16007</v>
      </c>
      <c r="H12509">
        <f>_xlfn.XLOOKUP(FACT_IMPORTS[[#This Row],[hts_6]],DIM_PRODUCTS[hts_6],DIM_PRODUCTS[hts_4],,,)</f>
        <v>8708</v>
      </c>
      <c r="I12509" t="str" cm="1">
        <f t="array" ref="I12509">_xlfn.XLOOKUP(FACT_IMPORTS[[#This Row],[country_name]],DIM_COUNTRY[[#All],[Column2]],DIM_COUNTRY[[#All],[Column3]],,,)</f>
        <v>Major_Non-USMCA_Non-China</v>
      </c>
    </row>
    <row r="12510" spans="1:9" x14ac:dyDescent="0.4">
      <c r="A12510" t="s">
        <v>73</v>
      </c>
      <c r="B12510" s="1">
        <v>45901</v>
      </c>
      <c r="C12510">
        <v>870840</v>
      </c>
      <c r="D12510" t="s">
        <v>176</v>
      </c>
      <c r="E12510">
        <v>2772154</v>
      </c>
      <c r="F12510">
        <v>292896</v>
      </c>
      <c r="G12510">
        <v>39244</v>
      </c>
      <c r="H12510">
        <f>_xlfn.XLOOKUP(FACT_IMPORTS[[#This Row],[hts_6]],DIM_PRODUCTS[hts_6],DIM_PRODUCTS[hts_4],,,)</f>
        <v>8708</v>
      </c>
      <c r="I12510" t="str" cm="1">
        <f t="array" ref="I12510">_xlfn.XLOOKUP(FACT_IMPORTS[[#This Row],[country_name]],DIM_COUNTRY[[#All],[Column2]],DIM_COUNTRY[[#All],[Column3]],,,)</f>
        <v>Major_Non-USMCA_Non-China</v>
      </c>
    </row>
    <row r="12511" spans="1:9" x14ac:dyDescent="0.4">
      <c r="A12511" t="s">
        <v>73</v>
      </c>
      <c r="B12511" s="1">
        <v>45901</v>
      </c>
      <c r="C12511">
        <v>870850</v>
      </c>
      <c r="D12511" t="s">
        <v>176</v>
      </c>
      <c r="E12511">
        <v>13585702</v>
      </c>
      <c r="F12511">
        <v>915824</v>
      </c>
      <c r="G12511">
        <v>441290</v>
      </c>
      <c r="H12511">
        <f>_xlfn.XLOOKUP(FACT_IMPORTS[[#This Row],[hts_6]],DIM_PRODUCTS[hts_6],DIM_PRODUCTS[hts_4],,,)</f>
        <v>8708</v>
      </c>
      <c r="I12511" t="str" cm="1">
        <f t="array" ref="I12511">_xlfn.XLOOKUP(FACT_IMPORTS[[#This Row],[country_name]],DIM_COUNTRY[[#All],[Column2]],DIM_COUNTRY[[#All],[Column3]],,,)</f>
        <v>Major_Non-USMCA_Non-China</v>
      </c>
    </row>
    <row r="12512" spans="1:9" x14ac:dyDescent="0.4">
      <c r="A12512" t="s">
        <v>73</v>
      </c>
      <c r="B12512" s="1">
        <v>45901</v>
      </c>
      <c r="C12512">
        <v>870870</v>
      </c>
      <c r="D12512" t="s">
        <v>176</v>
      </c>
      <c r="E12512">
        <v>2304300</v>
      </c>
      <c r="F12512">
        <v>28118</v>
      </c>
      <c r="G12512">
        <v>255542</v>
      </c>
      <c r="H12512">
        <f>_xlfn.XLOOKUP(FACT_IMPORTS[[#This Row],[hts_6]],DIM_PRODUCTS[hts_6],DIM_PRODUCTS[hts_4],,,)</f>
        <v>8708</v>
      </c>
      <c r="I12512" t="str" cm="1">
        <f t="array" ref="I12512">_xlfn.XLOOKUP(FACT_IMPORTS[[#This Row],[country_name]],DIM_COUNTRY[[#All],[Column2]],DIM_COUNTRY[[#All],[Column3]],,,)</f>
        <v>Major_Non-USMCA_Non-China</v>
      </c>
    </row>
    <row r="12513" spans="1:9" x14ac:dyDescent="0.4">
      <c r="A12513" t="s">
        <v>73</v>
      </c>
      <c r="B12513" s="1">
        <v>45901</v>
      </c>
      <c r="C12513">
        <v>870880</v>
      </c>
      <c r="D12513" t="s">
        <v>176</v>
      </c>
      <c r="E12513">
        <v>4845052</v>
      </c>
      <c r="F12513">
        <v>1048956</v>
      </c>
      <c r="G12513">
        <v>72007</v>
      </c>
      <c r="H12513">
        <f>_xlfn.XLOOKUP(FACT_IMPORTS[[#This Row],[hts_6]],DIM_PRODUCTS[hts_6],DIM_PRODUCTS[hts_4],,,)</f>
        <v>8708</v>
      </c>
      <c r="I12513" t="str" cm="1">
        <f t="array" ref="I12513">_xlfn.XLOOKUP(FACT_IMPORTS[[#This Row],[country_name]],DIM_COUNTRY[[#All],[Column2]],DIM_COUNTRY[[#All],[Column3]],,,)</f>
        <v>Major_Non-USMCA_Non-China</v>
      </c>
    </row>
    <row r="12514" spans="1:9" x14ac:dyDescent="0.4">
      <c r="A12514" t="s">
        <v>73</v>
      </c>
      <c r="B12514" s="1">
        <v>45901</v>
      </c>
      <c r="C12514">
        <v>870891</v>
      </c>
      <c r="D12514" t="s">
        <v>176</v>
      </c>
      <c r="E12514">
        <v>183437</v>
      </c>
      <c r="F12514">
        <v>1820</v>
      </c>
      <c r="G12514">
        <v>1839</v>
      </c>
      <c r="H12514">
        <f>_xlfn.XLOOKUP(FACT_IMPORTS[[#This Row],[hts_6]],DIM_PRODUCTS[hts_6],DIM_PRODUCTS[hts_4],,,)</f>
        <v>8708</v>
      </c>
      <c r="I12514" t="str" cm="1">
        <f t="array" ref="I12514">_xlfn.XLOOKUP(FACT_IMPORTS[[#This Row],[country_name]],DIM_COUNTRY[[#All],[Column2]],DIM_COUNTRY[[#All],[Column3]],,,)</f>
        <v>Major_Non-USMCA_Non-China</v>
      </c>
    </row>
    <row r="12515" spans="1:9" x14ac:dyDescent="0.4">
      <c r="A12515" t="s">
        <v>73</v>
      </c>
      <c r="B12515" s="1">
        <v>45901</v>
      </c>
      <c r="C12515">
        <v>870892</v>
      </c>
      <c r="D12515" t="s">
        <v>176</v>
      </c>
      <c r="E12515">
        <v>198614</v>
      </c>
      <c r="F12515">
        <v>746</v>
      </c>
      <c r="G12515">
        <v>2662</v>
      </c>
      <c r="H12515">
        <f>_xlfn.XLOOKUP(FACT_IMPORTS[[#This Row],[hts_6]],DIM_PRODUCTS[hts_6],DIM_PRODUCTS[hts_4],,,)</f>
        <v>8708</v>
      </c>
      <c r="I12515" t="str" cm="1">
        <f t="array" ref="I12515">_xlfn.XLOOKUP(FACT_IMPORTS[[#This Row],[country_name]],DIM_COUNTRY[[#All],[Column2]],DIM_COUNTRY[[#All],[Column3]],,,)</f>
        <v>Major_Non-USMCA_Non-China</v>
      </c>
    </row>
    <row r="12516" spans="1:9" x14ac:dyDescent="0.4">
      <c r="A12516" t="s">
        <v>73</v>
      </c>
      <c r="B12516" s="1">
        <v>45901</v>
      </c>
      <c r="C12516">
        <v>870893</v>
      </c>
      <c r="D12516" t="s">
        <v>176</v>
      </c>
      <c r="E12516">
        <v>801685</v>
      </c>
      <c r="F12516">
        <v>59672</v>
      </c>
      <c r="G12516">
        <v>7340</v>
      </c>
      <c r="H12516">
        <f>_xlfn.XLOOKUP(FACT_IMPORTS[[#This Row],[hts_6]],DIM_PRODUCTS[hts_6],DIM_PRODUCTS[hts_4],,,)</f>
        <v>8708</v>
      </c>
      <c r="I12516" t="str" cm="1">
        <f t="array" ref="I12516">_xlfn.XLOOKUP(FACT_IMPORTS[[#This Row],[country_name]],DIM_COUNTRY[[#All],[Column2]],DIM_COUNTRY[[#All],[Column3]],,,)</f>
        <v>Major_Non-USMCA_Non-China</v>
      </c>
    </row>
    <row r="12517" spans="1:9" x14ac:dyDescent="0.4">
      <c r="A12517" t="s">
        <v>73</v>
      </c>
      <c r="B12517" s="1">
        <v>45901</v>
      </c>
      <c r="C12517">
        <v>870894</v>
      </c>
      <c r="D12517" t="s">
        <v>176</v>
      </c>
      <c r="E12517">
        <v>1548825</v>
      </c>
      <c r="F12517">
        <v>496359</v>
      </c>
      <c r="G12517">
        <v>125001</v>
      </c>
      <c r="H12517">
        <f>_xlfn.XLOOKUP(FACT_IMPORTS[[#This Row],[hts_6]],DIM_PRODUCTS[hts_6],DIM_PRODUCTS[hts_4],,,)</f>
        <v>8708</v>
      </c>
      <c r="I12517" t="str" cm="1">
        <f t="array" ref="I12517">_xlfn.XLOOKUP(FACT_IMPORTS[[#This Row],[country_name]],DIM_COUNTRY[[#All],[Column2]],DIM_COUNTRY[[#All],[Column3]],,,)</f>
        <v>Major_Non-USMCA_Non-China</v>
      </c>
    </row>
    <row r="12518" spans="1:9" x14ac:dyDescent="0.4">
      <c r="A12518" t="s">
        <v>73</v>
      </c>
      <c r="B12518" s="1">
        <v>45901</v>
      </c>
      <c r="C12518">
        <v>870895</v>
      </c>
      <c r="D12518" t="s">
        <v>176</v>
      </c>
      <c r="E12518">
        <v>0</v>
      </c>
      <c r="F12518">
        <v>0</v>
      </c>
      <c r="G12518">
        <v>0</v>
      </c>
      <c r="H12518">
        <f>_xlfn.XLOOKUP(FACT_IMPORTS[[#This Row],[hts_6]],DIM_PRODUCTS[hts_6],DIM_PRODUCTS[hts_4],,,)</f>
        <v>8708</v>
      </c>
      <c r="I12518" t="str" cm="1">
        <f t="array" ref="I12518">_xlfn.XLOOKUP(FACT_IMPORTS[[#This Row],[country_name]],DIM_COUNTRY[[#All],[Column2]],DIM_COUNTRY[[#All],[Column3]],,,)</f>
        <v>Major_Non-USMCA_Non-China</v>
      </c>
    </row>
    <row r="12519" spans="1:9" x14ac:dyDescent="0.4">
      <c r="A12519" t="s">
        <v>73</v>
      </c>
      <c r="B12519" s="1">
        <v>45901</v>
      </c>
      <c r="C12519">
        <v>870899</v>
      </c>
      <c r="D12519" t="s">
        <v>176</v>
      </c>
      <c r="E12519">
        <v>18550073</v>
      </c>
      <c r="F12519">
        <v>3472715</v>
      </c>
      <c r="G12519">
        <v>395483</v>
      </c>
      <c r="H12519">
        <f>_xlfn.XLOOKUP(FACT_IMPORTS[[#This Row],[hts_6]],DIM_PRODUCTS[hts_6],DIM_PRODUCTS[hts_4],,,)</f>
        <v>8708</v>
      </c>
      <c r="I12519" t="str" cm="1">
        <f t="array" ref="I12519">_xlfn.XLOOKUP(FACT_IMPORTS[[#This Row],[country_name]],DIM_COUNTRY[[#All],[Column2]],DIM_COUNTRY[[#All],[Column3]],,,)</f>
        <v>Major_Non-USMCA_Non-China</v>
      </c>
    </row>
    <row r="12520" spans="1:9" x14ac:dyDescent="0.4">
      <c r="A12520" t="s">
        <v>73</v>
      </c>
      <c r="B12520" s="1">
        <v>45931</v>
      </c>
      <c r="C12520">
        <v>392630</v>
      </c>
      <c r="D12520" t="s">
        <v>176</v>
      </c>
      <c r="E12520">
        <v>450962</v>
      </c>
      <c r="F12520">
        <v>16734</v>
      </c>
      <c r="G12520">
        <v>24265</v>
      </c>
      <c r="H12520">
        <f>_xlfn.XLOOKUP(FACT_IMPORTS[[#This Row],[hts_6]],DIM_PRODUCTS[hts_6],DIM_PRODUCTS[hts_4],,,)</f>
        <v>3926</v>
      </c>
      <c r="I12520" t="str" cm="1">
        <f t="array" ref="I12520">_xlfn.XLOOKUP(FACT_IMPORTS[[#This Row],[country_name]],DIM_COUNTRY[[#All],[Column2]],DIM_COUNTRY[[#All],[Column3]],,,)</f>
        <v>Major_Non-USMCA_Non-China</v>
      </c>
    </row>
    <row r="12521" spans="1:9" x14ac:dyDescent="0.4">
      <c r="A12521" t="s">
        <v>73</v>
      </c>
      <c r="B12521" s="1">
        <v>45931</v>
      </c>
      <c r="C12521">
        <v>401110</v>
      </c>
      <c r="D12521" t="s">
        <v>176</v>
      </c>
      <c r="E12521">
        <v>3399854</v>
      </c>
      <c r="F12521">
        <v>64739</v>
      </c>
      <c r="G12521">
        <v>729885</v>
      </c>
      <c r="H12521">
        <f>_xlfn.XLOOKUP(FACT_IMPORTS[[#This Row],[hts_6]],DIM_PRODUCTS[hts_6],DIM_PRODUCTS[hts_4],,,)</f>
        <v>4011</v>
      </c>
      <c r="I12521" t="str" cm="1">
        <f t="array" ref="I12521">_xlfn.XLOOKUP(FACT_IMPORTS[[#This Row],[country_name]],DIM_COUNTRY[[#All],[Column2]],DIM_COUNTRY[[#All],[Column3]],,,)</f>
        <v>Major_Non-USMCA_Non-China</v>
      </c>
    </row>
    <row r="12522" spans="1:9" x14ac:dyDescent="0.4">
      <c r="A12522" t="s">
        <v>73</v>
      </c>
      <c r="B12522" s="1">
        <v>45931</v>
      </c>
      <c r="C12522">
        <v>401120</v>
      </c>
      <c r="D12522" t="s">
        <v>176</v>
      </c>
      <c r="E12522">
        <v>61963</v>
      </c>
      <c r="F12522">
        <v>944</v>
      </c>
      <c r="G12522">
        <v>12738</v>
      </c>
      <c r="H12522">
        <f>_xlfn.XLOOKUP(FACT_IMPORTS[[#This Row],[hts_6]],DIM_PRODUCTS[hts_6],DIM_PRODUCTS[hts_4],,,)</f>
        <v>4011</v>
      </c>
      <c r="I12522" t="str" cm="1">
        <f t="array" ref="I12522">_xlfn.XLOOKUP(FACT_IMPORTS[[#This Row],[country_name]],DIM_COUNTRY[[#All],[Column2]],DIM_COUNTRY[[#All],[Column3]],,,)</f>
        <v>Major_Non-USMCA_Non-China</v>
      </c>
    </row>
    <row r="12523" spans="1:9" x14ac:dyDescent="0.4">
      <c r="A12523" t="s">
        <v>73</v>
      </c>
      <c r="B12523" s="1">
        <v>45931</v>
      </c>
      <c r="C12523">
        <v>700711</v>
      </c>
      <c r="D12523" t="s">
        <v>176</v>
      </c>
      <c r="E12523">
        <v>26891</v>
      </c>
      <c r="F12523">
        <v>14</v>
      </c>
      <c r="G12523">
        <v>358</v>
      </c>
      <c r="H12523">
        <f>_xlfn.XLOOKUP(FACT_IMPORTS[[#This Row],[hts_6]],DIM_PRODUCTS[hts_6],DIM_PRODUCTS[hts_4],,,)</f>
        <v>7007</v>
      </c>
      <c r="I12523" t="str" cm="1">
        <f t="array" ref="I12523">_xlfn.XLOOKUP(FACT_IMPORTS[[#This Row],[country_name]],DIM_COUNTRY[[#All],[Column2]],DIM_COUNTRY[[#All],[Column3]],,,)</f>
        <v>Major_Non-USMCA_Non-China</v>
      </c>
    </row>
    <row r="12524" spans="1:9" x14ac:dyDescent="0.4">
      <c r="A12524" t="s">
        <v>73</v>
      </c>
      <c r="B12524" s="1">
        <v>45931</v>
      </c>
      <c r="C12524">
        <v>700910</v>
      </c>
      <c r="D12524" t="s">
        <v>176</v>
      </c>
      <c r="E12524">
        <v>131255</v>
      </c>
      <c r="F12524">
        <v>1128</v>
      </c>
      <c r="G12524">
        <v>953</v>
      </c>
      <c r="H12524">
        <f>_xlfn.XLOOKUP(FACT_IMPORTS[[#This Row],[hts_6]],DIM_PRODUCTS[hts_6],DIM_PRODUCTS[hts_4],,,)</f>
        <v>7009</v>
      </c>
      <c r="I12524" t="str" cm="1">
        <f t="array" ref="I12524">_xlfn.XLOOKUP(FACT_IMPORTS[[#This Row],[country_name]],DIM_COUNTRY[[#All],[Column2]],DIM_COUNTRY[[#All],[Column3]],,,)</f>
        <v>Major_Non-USMCA_Non-China</v>
      </c>
    </row>
    <row r="12525" spans="1:9" x14ac:dyDescent="0.4">
      <c r="A12525" t="s">
        <v>73</v>
      </c>
      <c r="B12525" s="1">
        <v>45931</v>
      </c>
      <c r="C12525">
        <v>830230</v>
      </c>
      <c r="D12525" t="s">
        <v>176</v>
      </c>
      <c r="E12525">
        <v>3524738</v>
      </c>
      <c r="F12525">
        <v>663391</v>
      </c>
      <c r="G12525">
        <v>74741</v>
      </c>
      <c r="H12525">
        <f>_xlfn.XLOOKUP(FACT_IMPORTS[[#This Row],[hts_6]],DIM_PRODUCTS[hts_6],DIM_PRODUCTS[hts_4],,,)</f>
        <v>8302</v>
      </c>
      <c r="I12525" t="str" cm="1">
        <f t="array" ref="I12525">_xlfn.XLOOKUP(FACT_IMPORTS[[#This Row],[country_name]],DIM_COUNTRY[[#All],[Column2]],DIM_COUNTRY[[#All],[Column3]],,,)</f>
        <v>Major_Non-USMCA_Non-China</v>
      </c>
    </row>
    <row r="12526" spans="1:9" x14ac:dyDescent="0.4">
      <c r="A12526" t="s">
        <v>73</v>
      </c>
      <c r="B12526" s="1">
        <v>45931</v>
      </c>
      <c r="C12526">
        <v>840734</v>
      </c>
      <c r="D12526" t="s">
        <v>176</v>
      </c>
      <c r="E12526">
        <v>2200</v>
      </c>
      <c r="F12526">
        <v>1</v>
      </c>
      <c r="G12526">
        <v>38</v>
      </c>
      <c r="H12526">
        <f>_xlfn.XLOOKUP(FACT_IMPORTS[[#This Row],[hts_6]],DIM_PRODUCTS[hts_6],DIM_PRODUCTS[hts_4],,,)</f>
        <v>8407</v>
      </c>
      <c r="I12526" t="str" cm="1">
        <f t="array" ref="I12526">_xlfn.XLOOKUP(FACT_IMPORTS[[#This Row],[country_name]],DIM_COUNTRY[[#All],[Column2]],DIM_COUNTRY[[#All],[Column3]],,,)</f>
        <v>Major_Non-USMCA_Non-China</v>
      </c>
    </row>
    <row r="12527" spans="1:9" x14ac:dyDescent="0.4">
      <c r="A12527" t="s">
        <v>73</v>
      </c>
      <c r="B12527" s="1">
        <v>45931</v>
      </c>
      <c r="C12527">
        <v>840890</v>
      </c>
      <c r="D12527" t="s">
        <v>176</v>
      </c>
      <c r="E12527">
        <v>0</v>
      </c>
      <c r="F12527">
        <v>0</v>
      </c>
      <c r="G12527">
        <v>0</v>
      </c>
      <c r="H12527">
        <f>_xlfn.XLOOKUP(FACT_IMPORTS[[#This Row],[hts_6]],DIM_PRODUCTS[hts_6],DIM_PRODUCTS[hts_4],,,)</f>
        <v>8408</v>
      </c>
      <c r="I12527" t="str" cm="1">
        <f t="array" ref="I12527">_xlfn.XLOOKUP(FACT_IMPORTS[[#This Row],[country_name]],DIM_COUNTRY[[#All],[Column2]],DIM_COUNTRY[[#All],[Column3]],,,)</f>
        <v>Major_Non-USMCA_Non-China</v>
      </c>
    </row>
    <row r="12528" spans="1:9" x14ac:dyDescent="0.4">
      <c r="A12528" t="s">
        <v>73</v>
      </c>
      <c r="B12528" s="1">
        <v>45931</v>
      </c>
      <c r="C12528">
        <v>840991</v>
      </c>
      <c r="D12528" t="s">
        <v>176</v>
      </c>
      <c r="E12528">
        <v>3490243</v>
      </c>
      <c r="F12528">
        <v>281734</v>
      </c>
      <c r="G12528">
        <v>25651</v>
      </c>
      <c r="H12528">
        <f>_xlfn.XLOOKUP(FACT_IMPORTS[[#This Row],[hts_6]],DIM_PRODUCTS[hts_6],DIM_PRODUCTS[hts_4],,,)</f>
        <v>8409</v>
      </c>
      <c r="I12528" t="str" cm="1">
        <f t="array" ref="I12528">_xlfn.XLOOKUP(FACT_IMPORTS[[#This Row],[country_name]],DIM_COUNTRY[[#All],[Column2]],DIM_COUNTRY[[#All],[Column3]],,,)</f>
        <v>Major_Non-USMCA_Non-China</v>
      </c>
    </row>
    <row r="12529" spans="1:9" x14ac:dyDescent="0.4">
      <c r="A12529" t="s">
        <v>73</v>
      </c>
      <c r="B12529" s="1">
        <v>45931</v>
      </c>
      <c r="C12529">
        <v>840999</v>
      </c>
      <c r="D12529" t="s">
        <v>176</v>
      </c>
      <c r="E12529">
        <v>144004</v>
      </c>
      <c r="F12529">
        <v>5757</v>
      </c>
      <c r="G12529">
        <v>962</v>
      </c>
      <c r="H12529">
        <f>_xlfn.XLOOKUP(FACT_IMPORTS[[#This Row],[hts_6]],DIM_PRODUCTS[hts_6],DIM_PRODUCTS[hts_4],,,)</f>
        <v>8409</v>
      </c>
      <c r="I12529" t="str" cm="1">
        <f t="array" ref="I12529">_xlfn.XLOOKUP(FACT_IMPORTS[[#This Row],[country_name]],DIM_COUNTRY[[#All],[Column2]],DIM_COUNTRY[[#All],[Column3]],,,)</f>
        <v>Major_Non-USMCA_Non-China</v>
      </c>
    </row>
    <row r="12530" spans="1:9" x14ac:dyDescent="0.4">
      <c r="A12530" t="s">
        <v>73</v>
      </c>
      <c r="B12530" s="1">
        <v>45931</v>
      </c>
      <c r="C12530">
        <v>841330</v>
      </c>
      <c r="D12530" t="s">
        <v>176</v>
      </c>
      <c r="E12530">
        <v>3657820</v>
      </c>
      <c r="F12530">
        <v>100482</v>
      </c>
      <c r="G12530">
        <v>126096</v>
      </c>
      <c r="H12530">
        <f>_xlfn.XLOOKUP(FACT_IMPORTS[[#This Row],[hts_6]],DIM_PRODUCTS[hts_6],DIM_PRODUCTS[hts_4],,,)</f>
        <v>8413</v>
      </c>
      <c r="I12530" t="str" cm="1">
        <f t="array" ref="I12530">_xlfn.XLOOKUP(FACT_IMPORTS[[#This Row],[country_name]],DIM_COUNTRY[[#All],[Column2]],DIM_COUNTRY[[#All],[Column3]],,,)</f>
        <v>Major_Non-USMCA_Non-China</v>
      </c>
    </row>
    <row r="12531" spans="1:9" x14ac:dyDescent="0.4">
      <c r="A12531" t="s">
        <v>73</v>
      </c>
      <c r="B12531" s="1">
        <v>45931</v>
      </c>
      <c r="C12531">
        <v>842132</v>
      </c>
      <c r="D12531" t="s">
        <v>176</v>
      </c>
      <c r="E12531">
        <v>171928</v>
      </c>
      <c r="F12531">
        <v>88</v>
      </c>
      <c r="G12531">
        <v>745</v>
      </c>
      <c r="H12531">
        <f>_xlfn.XLOOKUP(FACT_IMPORTS[[#This Row],[hts_6]],DIM_PRODUCTS[hts_6],DIM_PRODUCTS[hts_4],,,)</f>
        <v>8421</v>
      </c>
      <c r="I12531" t="str" cm="1">
        <f t="array" ref="I12531">_xlfn.XLOOKUP(FACT_IMPORTS[[#This Row],[country_name]],DIM_COUNTRY[[#All],[Column2]],DIM_COUNTRY[[#All],[Column3]],,,)</f>
        <v>Major_Non-USMCA_Non-China</v>
      </c>
    </row>
    <row r="12532" spans="1:9" x14ac:dyDescent="0.4">
      <c r="A12532" t="s">
        <v>73</v>
      </c>
      <c r="B12532" s="1">
        <v>45931</v>
      </c>
      <c r="C12532">
        <v>848210</v>
      </c>
      <c r="D12532" t="s">
        <v>176</v>
      </c>
      <c r="E12532">
        <v>145042</v>
      </c>
      <c r="F12532">
        <v>45795</v>
      </c>
      <c r="G12532">
        <v>109</v>
      </c>
      <c r="H12532">
        <f>_xlfn.XLOOKUP(FACT_IMPORTS[[#This Row],[hts_6]],DIM_PRODUCTS[hts_6],DIM_PRODUCTS[hts_4],,,)</f>
        <v>8482</v>
      </c>
      <c r="I12532" t="str" cm="1">
        <f t="array" ref="I12532">_xlfn.XLOOKUP(FACT_IMPORTS[[#This Row],[country_name]],DIM_COUNTRY[[#All],[Column2]],DIM_COUNTRY[[#All],[Column3]],,,)</f>
        <v>Major_Non-USMCA_Non-China</v>
      </c>
    </row>
    <row r="12533" spans="1:9" x14ac:dyDescent="0.4">
      <c r="A12533" t="s">
        <v>73</v>
      </c>
      <c r="B12533" s="1">
        <v>45931</v>
      </c>
      <c r="C12533">
        <v>848220</v>
      </c>
      <c r="D12533" t="s">
        <v>176</v>
      </c>
      <c r="E12533">
        <v>4358409</v>
      </c>
      <c r="F12533">
        <v>1244082</v>
      </c>
      <c r="G12533">
        <v>2263</v>
      </c>
      <c r="H12533">
        <f>_xlfn.XLOOKUP(FACT_IMPORTS[[#This Row],[hts_6]],DIM_PRODUCTS[hts_6],DIM_PRODUCTS[hts_4],,,)</f>
        <v>8482</v>
      </c>
      <c r="I12533" t="str" cm="1">
        <f t="array" ref="I12533">_xlfn.XLOOKUP(FACT_IMPORTS[[#This Row],[country_name]],DIM_COUNTRY[[#All],[Column2]],DIM_COUNTRY[[#All],[Column3]],,,)</f>
        <v>Major_Non-USMCA_Non-China</v>
      </c>
    </row>
    <row r="12534" spans="1:9" x14ac:dyDescent="0.4">
      <c r="A12534" t="s">
        <v>73</v>
      </c>
      <c r="B12534" s="1">
        <v>45931</v>
      </c>
      <c r="C12534">
        <v>848310</v>
      </c>
      <c r="D12534" t="s">
        <v>176</v>
      </c>
      <c r="E12534">
        <v>2215</v>
      </c>
      <c r="F12534">
        <v>228</v>
      </c>
      <c r="G12534">
        <v>3</v>
      </c>
      <c r="H12534">
        <f>_xlfn.XLOOKUP(FACT_IMPORTS[[#This Row],[hts_6]],DIM_PRODUCTS[hts_6],DIM_PRODUCTS[hts_4],,,)</f>
        <v>8483</v>
      </c>
      <c r="I12534" t="str" cm="1">
        <f t="array" ref="I12534">_xlfn.XLOOKUP(FACT_IMPORTS[[#This Row],[country_name]],DIM_COUNTRY[[#All],[Column2]],DIM_COUNTRY[[#All],[Column3]],,,)</f>
        <v>Major_Non-USMCA_Non-China</v>
      </c>
    </row>
    <row r="12535" spans="1:9" x14ac:dyDescent="0.4">
      <c r="A12535" t="s">
        <v>73</v>
      </c>
      <c r="B12535" s="1">
        <v>45931</v>
      </c>
      <c r="C12535">
        <v>850131</v>
      </c>
      <c r="D12535" t="s">
        <v>176</v>
      </c>
      <c r="E12535">
        <v>1619553</v>
      </c>
      <c r="F12535">
        <v>142512</v>
      </c>
      <c r="G12535">
        <v>12306</v>
      </c>
      <c r="H12535">
        <f>_xlfn.XLOOKUP(FACT_IMPORTS[[#This Row],[hts_6]],DIM_PRODUCTS[hts_6],DIM_PRODUCTS[hts_4],,,)</f>
        <v>8501</v>
      </c>
      <c r="I12535" t="str" cm="1">
        <f t="array" ref="I12535">_xlfn.XLOOKUP(FACT_IMPORTS[[#This Row],[country_name]],DIM_COUNTRY[[#All],[Column2]],DIM_COUNTRY[[#All],[Column3]],,,)</f>
        <v>Major_Non-USMCA_Non-China</v>
      </c>
    </row>
    <row r="12536" spans="1:9" x14ac:dyDescent="0.4">
      <c r="A12536" t="s">
        <v>73</v>
      </c>
      <c r="B12536" s="1">
        <v>45931</v>
      </c>
      <c r="C12536">
        <v>850132</v>
      </c>
      <c r="D12536" t="s">
        <v>176</v>
      </c>
      <c r="E12536">
        <v>0</v>
      </c>
      <c r="F12536">
        <v>0</v>
      </c>
      <c r="G12536">
        <v>0</v>
      </c>
      <c r="H12536">
        <f>_xlfn.XLOOKUP(FACT_IMPORTS[[#This Row],[hts_6]],DIM_PRODUCTS[hts_6],DIM_PRODUCTS[hts_4],,,)</f>
        <v>8501</v>
      </c>
      <c r="I12536" t="str" cm="1">
        <f t="array" ref="I12536">_xlfn.XLOOKUP(FACT_IMPORTS[[#This Row],[country_name]],DIM_COUNTRY[[#All],[Column2]],DIM_COUNTRY[[#All],[Column3]],,,)</f>
        <v>Major_Non-USMCA_Non-China</v>
      </c>
    </row>
    <row r="12537" spans="1:9" x14ac:dyDescent="0.4">
      <c r="A12537" t="s">
        <v>73</v>
      </c>
      <c r="B12537" s="1">
        <v>45931</v>
      </c>
      <c r="C12537">
        <v>850152</v>
      </c>
      <c r="D12537" t="s">
        <v>176</v>
      </c>
      <c r="E12537">
        <v>0</v>
      </c>
      <c r="F12537">
        <v>0</v>
      </c>
      <c r="G12537">
        <v>0</v>
      </c>
      <c r="H12537">
        <f>_xlfn.XLOOKUP(FACT_IMPORTS[[#This Row],[hts_6]],DIM_PRODUCTS[hts_6],DIM_PRODUCTS[hts_4],,,)</f>
        <v>8501</v>
      </c>
      <c r="I12537" t="str" cm="1">
        <f t="array" ref="I12537">_xlfn.XLOOKUP(FACT_IMPORTS[[#This Row],[country_name]],DIM_COUNTRY[[#All],[Column2]],DIM_COUNTRY[[#All],[Column3]],,,)</f>
        <v>Major_Non-USMCA_Non-China</v>
      </c>
    </row>
    <row r="12538" spans="1:9" x14ac:dyDescent="0.4">
      <c r="A12538" t="s">
        <v>73</v>
      </c>
      <c r="B12538" s="1">
        <v>45931</v>
      </c>
      <c r="C12538">
        <v>850153</v>
      </c>
      <c r="D12538" t="s">
        <v>176</v>
      </c>
      <c r="E12538">
        <v>32256</v>
      </c>
      <c r="F12538">
        <v>15</v>
      </c>
      <c r="G12538">
        <v>201</v>
      </c>
      <c r="H12538">
        <f>_xlfn.XLOOKUP(FACT_IMPORTS[[#This Row],[hts_6]],DIM_PRODUCTS[hts_6],DIM_PRODUCTS[hts_4],,,)</f>
        <v>8501</v>
      </c>
      <c r="I12538" t="str" cm="1">
        <f t="array" ref="I12538">_xlfn.XLOOKUP(FACT_IMPORTS[[#This Row],[country_name]],DIM_COUNTRY[[#All],[Column2]],DIM_COUNTRY[[#All],[Column3]],,,)</f>
        <v>Major_Non-USMCA_Non-China</v>
      </c>
    </row>
    <row r="12539" spans="1:9" x14ac:dyDescent="0.4">
      <c r="A12539" t="s">
        <v>73</v>
      </c>
      <c r="B12539" s="1">
        <v>45931</v>
      </c>
      <c r="C12539">
        <v>850440</v>
      </c>
      <c r="D12539" t="s">
        <v>176</v>
      </c>
      <c r="E12539">
        <v>2175</v>
      </c>
      <c r="F12539">
        <v>1</v>
      </c>
      <c r="G12539">
        <v>99</v>
      </c>
      <c r="H12539">
        <f>_xlfn.XLOOKUP(FACT_IMPORTS[[#This Row],[hts_6]],DIM_PRODUCTS[hts_6],DIM_PRODUCTS[hts_4],,,)</f>
        <v>8504</v>
      </c>
      <c r="I12539" t="str" cm="1">
        <f t="array" ref="I12539">_xlfn.XLOOKUP(FACT_IMPORTS[[#This Row],[country_name]],DIM_COUNTRY[[#All],[Column2]],DIM_COUNTRY[[#All],[Column3]],,,)</f>
        <v>Major_Non-USMCA_Non-China</v>
      </c>
    </row>
    <row r="12540" spans="1:9" x14ac:dyDescent="0.4">
      <c r="A12540" t="s">
        <v>73</v>
      </c>
      <c r="B12540" s="1">
        <v>45931</v>
      </c>
      <c r="C12540">
        <v>850710</v>
      </c>
      <c r="D12540" t="s">
        <v>176</v>
      </c>
      <c r="E12540">
        <v>0</v>
      </c>
      <c r="F12540">
        <v>0</v>
      </c>
      <c r="G12540">
        <v>0</v>
      </c>
      <c r="H12540">
        <f>_xlfn.XLOOKUP(FACT_IMPORTS[[#This Row],[hts_6]],DIM_PRODUCTS[hts_6],DIM_PRODUCTS[hts_4],,,)</f>
        <v>8507</v>
      </c>
      <c r="I12540" t="str" cm="1">
        <f t="array" ref="I12540">_xlfn.XLOOKUP(FACT_IMPORTS[[#This Row],[country_name]],DIM_COUNTRY[[#All],[Column2]],DIM_COUNTRY[[#All],[Column3]],,,)</f>
        <v>Major_Non-USMCA_Non-China</v>
      </c>
    </row>
    <row r="12541" spans="1:9" x14ac:dyDescent="0.4">
      <c r="A12541" t="s">
        <v>73</v>
      </c>
      <c r="B12541" s="1">
        <v>45931</v>
      </c>
      <c r="C12541">
        <v>850760</v>
      </c>
      <c r="D12541" t="s">
        <v>176</v>
      </c>
      <c r="E12541">
        <v>9520</v>
      </c>
      <c r="F12541">
        <v>5</v>
      </c>
      <c r="G12541">
        <v>952</v>
      </c>
      <c r="H12541">
        <f>_xlfn.XLOOKUP(FACT_IMPORTS[[#This Row],[hts_6]],DIM_PRODUCTS[hts_6],DIM_PRODUCTS[hts_4],,,)</f>
        <v>8507</v>
      </c>
      <c r="I12541" t="str" cm="1">
        <f t="array" ref="I12541">_xlfn.XLOOKUP(FACT_IMPORTS[[#This Row],[country_name]],DIM_COUNTRY[[#All],[Column2]],DIM_COUNTRY[[#All],[Column3]],,,)</f>
        <v>Major_Non-USMCA_Non-China</v>
      </c>
    </row>
    <row r="12542" spans="1:9" x14ac:dyDescent="0.4">
      <c r="A12542" t="s">
        <v>73</v>
      </c>
      <c r="B12542" s="1">
        <v>45931</v>
      </c>
      <c r="C12542">
        <v>850790</v>
      </c>
      <c r="D12542" t="s">
        <v>176</v>
      </c>
      <c r="E12542">
        <v>90498</v>
      </c>
      <c r="F12542">
        <v>1695</v>
      </c>
      <c r="G12542">
        <v>9050</v>
      </c>
      <c r="H12542">
        <f>_xlfn.XLOOKUP(FACT_IMPORTS[[#This Row],[hts_6]],DIM_PRODUCTS[hts_6],DIM_PRODUCTS[hts_4],,,)</f>
        <v>8507</v>
      </c>
      <c r="I12542" t="str" cm="1">
        <f t="array" ref="I12542">_xlfn.XLOOKUP(FACT_IMPORTS[[#This Row],[country_name]],DIM_COUNTRY[[#All],[Column2]],DIM_COUNTRY[[#All],[Column3]],,,)</f>
        <v>Major_Non-USMCA_Non-China</v>
      </c>
    </row>
    <row r="12543" spans="1:9" x14ac:dyDescent="0.4">
      <c r="A12543" t="s">
        <v>73</v>
      </c>
      <c r="B12543" s="1">
        <v>45931</v>
      </c>
      <c r="C12543">
        <v>851110</v>
      </c>
      <c r="D12543" t="s">
        <v>176</v>
      </c>
      <c r="E12543">
        <v>0</v>
      </c>
      <c r="F12543">
        <v>0</v>
      </c>
      <c r="G12543">
        <v>0</v>
      </c>
      <c r="H12543">
        <f>_xlfn.XLOOKUP(FACT_IMPORTS[[#This Row],[hts_6]],DIM_PRODUCTS[hts_6],DIM_PRODUCTS[hts_4],,,)</f>
        <v>8511</v>
      </c>
      <c r="I12543" t="str" cm="1">
        <f t="array" ref="I12543">_xlfn.XLOOKUP(FACT_IMPORTS[[#This Row],[country_name]],DIM_COUNTRY[[#All],[Column2]],DIM_COUNTRY[[#All],[Column3]],,,)</f>
        <v>Major_Non-USMCA_Non-China</v>
      </c>
    </row>
    <row r="12544" spans="1:9" x14ac:dyDescent="0.4">
      <c r="A12544" t="s">
        <v>73</v>
      </c>
      <c r="B12544" s="1">
        <v>45931</v>
      </c>
      <c r="C12544">
        <v>851130</v>
      </c>
      <c r="D12544" t="s">
        <v>176</v>
      </c>
      <c r="E12544">
        <v>4797</v>
      </c>
      <c r="F12544">
        <v>48</v>
      </c>
      <c r="G12544">
        <v>29</v>
      </c>
      <c r="H12544">
        <f>_xlfn.XLOOKUP(FACT_IMPORTS[[#This Row],[hts_6]],DIM_PRODUCTS[hts_6],DIM_PRODUCTS[hts_4],,,)</f>
        <v>8511</v>
      </c>
      <c r="I12544" t="str" cm="1">
        <f t="array" ref="I12544">_xlfn.XLOOKUP(FACT_IMPORTS[[#This Row],[country_name]],DIM_COUNTRY[[#All],[Column2]],DIM_COUNTRY[[#All],[Column3]],,,)</f>
        <v>Major_Non-USMCA_Non-China</v>
      </c>
    </row>
    <row r="12545" spans="1:9" x14ac:dyDescent="0.4">
      <c r="A12545" t="s">
        <v>73</v>
      </c>
      <c r="B12545" s="1">
        <v>45931</v>
      </c>
      <c r="C12545">
        <v>851140</v>
      </c>
      <c r="D12545" t="s">
        <v>176</v>
      </c>
      <c r="E12545">
        <v>45972</v>
      </c>
      <c r="F12545">
        <v>493</v>
      </c>
      <c r="G12545">
        <v>1012</v>
      </c>
      <c r="H12545">
        <f>_xlfn.XLOOKUP(FACT_IMPORTS[[#This Row],[hts_6]],DIM_PRODUCTS[hts_6],DIM_PRODUCTS[hts_4],,,)</f>
        <v>8511</v>
      </c>
      <c r="I12545" t="str" cm="1">
        <f t="array" ref="I12545">_xlfn.XLOOKUP(FACT_IMPORTS[[#This Row],[country_name]],DIM_COUNTRY[[#All],[Column2]],DIM_COUNTRY[[#All],[Column3]],,,)</f>
        <v>Major_Non-USMCA_Non-China</v>
      </c>
    </row>
    <row r="12546" spans="1:9" x14ac:dyDescent="0.4">
      <c r="A12546" t="s">
        <v>73</v>
      </c>
      <c r="B12546" s="1">
        <v>45931</v>
      </c>
      <c r="C12546">
        <v>851150</v>
      </c>
      <c r="D12546" t="s">
        <v>176</v>
      </c>
      <c r="E12546">
        <v>77861</v>
      </c>
      <c r="F12546">
        <v>697</v>
      </c>
      <c r="G12546">
        <v>593</v>
      </c>
      <c r="H12546">
        <f>_xlfn.XLOOKUP(FACT_IMPORTS[[#This Row],[hts_6]],DIM_PRODUCTS[hts_6],DIM_PRODUCTS[hts_4],,,)</f>
        <v>8511</v>
      </c>
      <c r="I12546" t="str" cm="1">
        <f t="array" ref="I12546">_xlfn.XLOOKUP(FACT_IMPORTS[[#This Row],[country_name]],DIM_COUNTRY[[#All],[Column2]],DIM_COUNTRY[[#All],[Column3]],,,)</f>
        <v>Major_Non-USMCA_Non-China</v>
      </c>
    </row>
    <row r="12547" spans="1:9" x14ac:dyDescent="0.4">
      <c r="A12547" t="s">
        <v>73</v>
      </c>
      <c r="B12547" s="1">
        <v>45931</v>
      </c>
      <c r="C12547">
        <v>851190</v>
      </c>
      <c r="D12547" t="s">
        <v>176</v>
      </c>
      <c r="E12547">
        <v>100094</v>
      </c>
      <c r="F12547">
        <v>12785</v>
      </c>
      <c r="G12547">
        <v>3053</v>
      </c>
      <c r="H12547">
        <f>_xlfn.XLOOKUP(FACT_IMPORTS[[#This Row],[hts_6]],DIM_PRODUCTS[hts_6],DIM_PRODUCTS[hts_4],,,)</f>
        <v>8511</v>
      </c>
      <c r="I12547" t="str" cm="1">
        <f t="array" ref="I12547">_xlfn.XLOOKUP(FACT_IMPORTS[[#This Row],[country_name]],DIM_COUNTRY[[#All],[Column2]],DIM_COUNTRY[[#All],[Column3]],,,)</f>
        <v>Major_Non-USMCA_Non-China</v>
      </c>
    </row>
    <row r="12548" spans="1:9" x14ac:dyDescent="0.4">
      <c r="A12548" t="s">
        <v>73</v>
      </c>
      <c r="B12548" s="1">
        <v>45931</v>
      </c>
      <c r="C12548">
        <v>851220</v>
      </c>
      <c r="D12548" t="s">
        <v>176</v>
      </c>
      <c r="E12548">
        <v>11389488</v>
      </c>
      <c r="F12548">
        <v>1522098</v>
      </c>
      <c r="G12548">
        <v>642954</v>
      </c>
      <c r="H12548">
        <f>_xlfn.XLOOKUP(FACT_IMPORTS[[#This Row],[hts_6]],DIM_PRODUCTS[hts_6],DIM_PRODUCTS[hts_4],,,)</f>
        <v>8512</v>
      </c>
      <c r="I12548" t="str" cm="1">
        <f t="array" ref="I12548">_xlfn.XLOOKUP(FACT_IMPORTS[[#This Row],[country_name]],DIM_COUNTRY[[#All],[Column2]],DIM_COUNTRY[[#All],[Column3]],,,)</f>
        <v>Major_Non-USMCA_Non-China</v>
      </c>
    </row>
    <row r="12549" spans="1:9" x14ac:dyDescent="0.4">
      <c r="A12549" t="s">
        <v>73</v>
      </c>
      <c r="B12549" s="1">
        <v>45931</v>
      </c>
      <c r="C12549">
        <v>851230</v>
      </c>
      <c r="D12549" t="s">
        <v>176</v>
      </c>
      <c r="E12549">
        <v>0</v>
      </c>
      <c r="F12549">
        <v>0</v>
      </c>
      <c r="G12549">
        <v>0</v>
      </c>
      <c r="H12549">
        <f>_xlfn.XLOOKUP(FACT_IMPORTS[[#This Row],[hts_6]],DIM_PRODUCTS[hts_6],DIM_PRODUCTS[hts_4],,,)</f>
        <v>8512</v>
      </c>
      <c r="I12549" t="str" cm="1">
        <f t="array" ref="I12549">_xlfn.XLOOKUP(FACT_IMPORTS[[#This Row],[country_name]],DIM_COUNTRY[[#All],[Column2]],DIM_COUNTRY[[#All],[Column3]],,,)</f>
        <v>Major_Non-USMCA_Non-China</v>
      </c>
    </row>
    <row r="12550" spans="1:9" x14ac:dyDescent="0.4">
      <c r="A12550" t="s">
        <v>73</v>
      </c>
      <c r="B12550" s="1">
        <v>45931</v>
      </c>
      <c r="C12550">
        <v>851240</v>
      </c>
      <c r="D12550" t="s">
        <v>176</v>
      </c>
      <c r="E12550">
        <v>0</v>
      </c>
      <c r="F12550">
        <v>0</v>
      </c>
      <c r="G12550">
        <v>0</v>
      </c>
      <c r="H12550">
        <f>_xlfn.XLOOKUP(FACT_IMPORTS[[#This Row],[hts_6]],DIM_PRODUCTS[hts_6],DIM_PRODUCTS[hts_4],,,)</f>
        <v>8512</v>
      </c>
      <c r="I12550" t="str" cm="1">
        <f t="array" ref="I12550">_xlfn.XLOOKUP(FACT_IMPORTS[[#This Row],[country_name]],DIM_COUNTRY[[#All],[Column2]],DIM_COUNTRY[[#All],[Column3]],,,)</f>
        <v>Major_Non-USMCA_Non-China</v>
      </c>
    </row>
    <row r="12551" spans="1:9" x14ac:dyDescent="0.4">
      <c r="A12551" t="s">
        <v>73</v>
      </c>
      <c r="B12551" s="1">
        <v>45931</v>
      </c>
      <c r="C12551">
        <v>851290</v>
      </c>
      <c r="D12551" t="s">
        <v>176</v>
      </c>
      <c r="E12551">
        <v>701598</v>
      </c>
      <c r="F12551">
        <v>56776</v>
      </c>
      <c r="G12551">
        <v>10405</v>
      </c>
      <c r="H12551">
        <f>_xlfn.XLOOKUP(FACT_IMPORTS[[#This Row],[hts_6]],DIM_PRODUCTS[hts_6],DIM_PRODUCTS[hts_4],,,)</f>
        <v>8512</v>
      </c>
      <c r="I12551" t="str" cm="1">
        <f t="array" ref="I12551">_xlfn.XLOOKUP(FACT_IMPORTS[[#This Row],[country_name]],DIM_COUNTRY[[#All],[Column2]],DIM_COUNTRY[[#All],[Column3]],,,)</f>
        <v>Major_Non-USMCA_Non-China</v>
      </c>
    </row>
    <row r="12552" spans="1:9" x14ac:dyDescent="0.4">
      <c r="A12552" t="s">
        <v>73</v>
      </c>
      <c r="B12552" s="1">
        <v>45931</v>
      </c>
      <c r="C12552">
        <v>854231</v>
      </c>
      <c r="D12552" t="s">
        <v>176</v>
      </c>
      <c r="E12552">
        <v>0</v>
      </c>
      <c r="F12552">
        <v>0</v>
      </c>
      <c r="G12552">
        <v>0</v>
      </c>
      <c r="H12552">
        <f>_xlfn.XLOOKUP(FACT_IMPORTS[[#This Row],[hts_6]],DIM_PRODUCTS[hts_6],DIM_PRODUCTS[hts_4],,,)</f>
        <v>8542</v>
      </c>
      <c r="I12552" t="str" cm="1">
        <f t="array" ref="I12552">_xlfn.XLOOKUP(FACT_IMPORTS[[#This Row],[country_name]],DIM_COUNTRY[[#All],[Column2]],DIM_COUNTRY[[#All],[Column3]],,,)</f>
        <v>Major_Non-USMCA_Non-China</v>
      </c>
    </row>
    <row r="12553" spans="1:9" x14ac:dyDescent="0.4">
      <c r="A12553" t="s">
        <v>73</v>
      </c>
      <c r="B12553" s="1">
        <v>45931</v>
      </c>
      <c r="C12553">
        <v>854232</v>
      </c>
      <c r="D12553" t="s">
        <v>176</v>
      </c>
      <c r="E12553">
        <v>5017</v>
      </c>
      <c r="F12553">
        <v>200</v>
      </c>
      <c r="G12553">
        <v>20</v>
      </c>
      <c r="H12553">
        <f>_xlfn.XLOOKUP(FACT_IMPORTS[[#This Row],[hts_6]],DIM_PRODUCTS[hts_6],DIM_PRODUCTS[hts_4],,,)</f>
        <v>8542</v>
      </c>
      <c r="I12553" t="str" cm="1">
        <f t="array" ref="I12553">_xlfn.XLOOKUP(FACT_IMPORTS[[#This Row],[country_name]],DIM_COUNTRY[[#All],[Column2]],DIM_COUNTRY[[#All],[Column3]],,,)</f>
        <v>Major_Non-USMCA_Non-China</v>
      </c>
    </row>
    <row r="12554" spans="1:9" x14ac:dyDescent="0.4">
      <c r="A12554" t="s">
        <v>73</v>
      </c>
      <c r="B12554" s="1">
        <v>45931</v>
      </c>
      <c r="C12554">
        <v>854239</v>
      </c>
      <c r="D12554" t="s">
        <v>176</v>
      </c>
      <c r="E12554">
        <v>0</v>
      </c>
      <c r="F12554">
        <v>0</v>
      </c>
      <c r="G12554">
        <v>0</v>
      </c>
      <c r="H12554">
        <f>_xlfn.XLOOKUP(FACT_IMPORTS[[#This Row],[hts_6]],DIM_PRODUCTS[hts_6],DIM_PRODUCTS[hts_4],,,)</f>
        <v>8542</v>
      </c>
      <c r="I12554" t="str" cm="1">
        <f t="array" ref="I12554">_xlfn.XLOOKUP(FACT_IMPORTS[[#This Row],[country_name]],DIM_COUNTRY[[#All],[Column2]],DIM_COUNTRY[[#All],[Column3]],,,)</f>
        <v>Major_Non-USMCA_Non-China</v>
      </c>
    </row>
    <row r="12555" spans="1:9" x14ac:dyDescent="0.4">
      <c r="A12555" t="s">
        <v>73</v>
      </c>
      <c r="B12555" s="1">
        <v>45931</v>
      </c>
      <c r="C12555">
        <v>854430</v>
      </c>
      <c r="D12555" t="s">
        <v>176</v>
      </c>
      <c r="E12555">
        <v>104172</v>
      </c>
      <c r="F12555">
        <v>409</v>
      </c>
      <c r="G12555">
        <v>756</v>
      </c>
      <c r="H12555">
        <f>_xlfn.XLOOKUP(FACT_IMPORTS[[#This Row],[hts_6]],DIM_PRODUCTS[hts_6],DIM_PRODUCTS[hts_4],,,)</f>
        <v>8544</v>
      </c>
      <c r="I12555" t="str" cm="1">
        <f t="array" ref="I12555">_xlfn.XLOOKUP(FACT_IMPORTS[[#This Row],[country_name]],DIM_COUNTRY[[#All],[Column2]],DIM_COUNTRY[[#All],[Column3]],,,)</f>
        <v>Major_Non-USMCA_Non-China</v>
      </c>
    </row>
    <row r="12556" spans="1:9" x14ac:dyDescent="0.4">
      <c r="A12556" t="s">
        <v>73</v>
      </c>
      <c r="B12556" s="1">
        <v>45931</v>
      </c>
      <c r="C12556">
        <v>870810</v>
      </c>
      <c r="D12556" t="s">
        <v>176</v>
      </c>
      <c r="E12556">
        <v>2499553</v>
      </c>
      <c r="F12556">
        <v>117850</v>
      </c>
      <c r="G12556">
        <v>62091</v>
      </c>
      <c r="H12556">
        <f>_xlfn.XLOOKUP(FACT_IMPORTS[[#This Row],[hts_6]],DIM_PRODUCTS[hts_6],DIM_PRODUCTS[hts_4],,,)</f>
        <v>8708</v>
      </c>
      <c r="I12556" t="str" cm="1">
        <f t="array" ref="I12556">_xlfn.XLOOKUP(FACT_IMPORTS[[#This Row],[country_name]],DIM_COUNTRY[[#All],[Column2]],DIM_COUNTRY[[#All],[Column3]],,,)</f>
        <v>Major_Non-USMCA_Non-China</v>
      </c>
    </row>
    <row r="12557" spans="1:9" x14ac:dyDescent="0.4">
      <c r="A12557" t="s">
        <v>73</v>
      </c>
      <c r="B12557" s="1">
        <v>45931</v>
      </c>
      <c r="C12557">
        <v>870822</v>
      </c>
      <c r="D12557" t="s">
        <v>176</v>
      </c>
      <c r="E12557">
        <v>202349</v>
      </c>
      <c r="F12557">
        <v>992</v>
      </c>
      <c r="G12557">
        <v>1799</v>
      </c>
      <c r="H12557">
        <f>_xlfn.XLOOKUP(FACT_IMPORTS[[#This Row],[hts_6]],DIM_PRODUCTS[hts_6],DIM_PRODUCTS[hts_4],,,)</f>
        <v>8708</v>
      </c>
      <c r="I12557" t="str" cm="1">
        <f t="array" ref="I12557">_xlfn.XLOOKUP(FACT_IMPORTS[[#This Row],[country_name]],DIM_COUNTRY[[#All],[Column2]],DIM_COUNTRY[[#All],[Column3]],,,)</f>
        <v>Major_Non-USMCA_Non-China</v>
      </c>
    </row>
    <row r="12558" spans="1:9" x14ac:dyDescent="0.4">
      <c r="A12558" t="s">
        <v>73</v>
      </c>
      <c r="B12558" s="1">
        <v>45931</v>
      </c>
      <c r="C12558">
        <v>870829</v>
      </c>
      <c r="D12558" t="s">
        <v>176</v>
      </c>
      <c r="E12558">
        <v>8570905</v>
      </c>
      <c r="F12558">
        <v>2540281</v>
      </c>
      <c r="G12558">
        <v>529661</v>
      </c>
      <c r="H12558">
        <f>_xlfn.XLOOKUP(FACT_IMPORTS[[#This Row],[hts_6]],DIM_PRODUCTS[hts_6],DIM_PRODUCTS[hts_4],,,)</f>
        <v>8708</v>
      </c>
      <c r="I12558" t="str" cm="1">
        <f t="array" ref="I12558">_xlfn.XLOOKUP(FACT_IMPORTS[[#This Row],[country_name]],DIM_COUNTRY[[#All],[Column2]],DIM_COUNTRY[[#All],[Column3]],,,)</f>
        <v>Major_Non-USMCA_Non-China</v>
      </c>
    </row>
    <row r="12559" spans="1:9" x14ac:dyDescent="0.4">
      <c r="A12559" t="s">
        <v>73</v>
      </c>
      <c r="B12559" s="1">
        <v>45931</v>
      </c>
      <c r="C12559">
        <v>870830</v>
      </c>
      <c r="D12559" t="s">
        <v>176</v>
      </c>
      <c r="E12559">
        <v>662780</v>
      </c>
      <c r="F12559">
        <v>376281</v>
      </c>
      <c r="G12559">
        <v>22356</v>
      </c>
      <c r="H12559">
        <f>_xlfn.XLOOKUP(FACT_IMPORTS[[#This Row],[hts_6]],DIM_PRODUCTS[hts_6],DIM_PRODUCTS[hts_4],,,)</f>
        <v>8708</v>
      </c>
      <c r="I12559" t="str" cm="1">
        <f t="array" ref="I12559">_xlfn.XLOOKUP(FACT_IMPORTS[[#This Row],[country_name]],DIM_COUNTRY[[#All],[Column2]],DIM_COUNTRY[[#All],[Column3]],,,)</f>
        <v>Major_Non-USMCA_Non-China</v>
      </c>
    </row>
    <row r="12560" spans="1:9" x14ac:dyDescent="0.4">
      <c r="A12560" t="s">
        <v>73</v>
      </c>
      <c r="B12560" s="1">
        <v>45931</v>
      </c>
      <c r="C12560">
        <v>870840</v>
      </c>
      <c r="D12560" t="s">
        <v>176</v>
      </c>
      <c r="E12560">
        <v>3523951</v>
      </c>
      <c r="F12560">
        <v>550197</v>
      </c>
      <c r="G12560">
        <v>41551</v>
      </c>
      <c r="H12560">
        <f>_xlfn.XLOOKUP(FACT_IMPORTS[[#This Row],[hts_6]],DIM_PRODUCTS[hts_6],DIM_PRODUCTS[hts_4],,,)</f>
        <v>8708</v>
      </c>
      <c r="I12560" t="str" cm="1">
        <f t="array" ref="I12560">_xlfn.XLOOKUP(FACT_IMPORTS[[#This Row],[country_name]],DIM_COUNTRY[[#All],[Column2]],DIM_COUNTRY[[#All],[Column3]],,,)</f>
        <v>Major_Non-USMCA_Non-China</v>
      </c>
    </row>
    <row r="12561" spans="1:9" x14ac:dyDescent="0.4">
      <c r="A12561" t="s">
        <v>73</v>
      </c>
      <c r="B12561" s="1">
        <v>45931</v>
      </c>
      <c r="C12561">
        <v>870850</v>
      </c>
      <c r="D12561" t="s">
        <v>176</v>
      </c>
      <c r="E12561">
        <v>11935855</v>
      </c>
      <c r="F12561">
        <v>760191</v>
      </c>
      <c r="G12561">
        <v>376379</v>
      </c>
      <c r="H12561">
        <f>_xlfn.XLOOKUP(FACT_IMPORTS[[#This Row],[hts_6]],DIM_PRODUCTS[hts_6],DIM_PRODUCTS[hts_4],,,)</f>
        <v>8708</v>
      </c>
      <c r="I12561" t="str" cm="1">
        <f t="array" ref="I12561">_xlfn.XLOOKUP(FACT_IMPORTS[[#This Row],[country_name]],DIM_COUNTRY[[#All],[Column2]],DIM_COUNTRY[[#All],[Column3]],,,)</f>
        <v>Major_Non-USMCA_Non-China</v>
      </c>
    </row>
    <row r="12562" spans="1:9" x14ac:dyDescent="0.4">
      <c r="A12562" t="s">
        <v>73</v>
      </c>
      <c r="B12562" s="1">
        <v>45931</v>
      </c>
      <c r="C12562">
        <v>870870</v>
      </c>
      <c r="D12562" t="s">
        <v>176</v>
      </c>
      <c r="E12562">
        <v>1491629</v>
      </c>
      <c r="F12562">
        <v>16532</v>
      </c>
      <c r="G12562">
        <v>125401</v>
      </c>
      <c r="H12562">
        <f>_xlfn.XLOOKUP(FACT_IMPORTS[[#This Row],[hts_6]],DIM_PRODUCTS[hts_6],DIM_PRODUCTS[hts_4],,,)</f>
        <v>8708</v>
      </c>
      <c r="I12562" t="str" cm="1">
        <f t="array" ref="I12562">_xlfn.XLOOKUP(FACT_IMPORTS[[#This Row],[country_name]],DIM_COUNTRY[[#All],[Column2]],DIM_COUNTRY[[#All],[Column3]],,,)</f>
        <v>Major_Non-USMCA_Non-China</v>
      </c>
    </row>
    <row r="12563" spans="1:9" x14ac:dyDescent="0.4">
      <c r="A12563" t="s">
        <v>73</v>
      </c>
      <c r="B12563" s="1">
        <v>45931</v>
      </c>
      <c r="C12563">
        <v>870880</v>
      </c>
      <c r="D12563" t="s">
        <v>176</v>
      </c>
      <c r="E12563">
        <v>7495225</v>
      </c>
      <c r="F12563">
        <v>1552247</v>
      </c>
      <c r="G12563">
        <v>76805</v>
      </c>
      <c r="H12563">
        <f>_xlfn.XLOOKUP(FACT_IMPORTS[[#This Row],[hts_6]],DIM_PRODUCTS[hts_6],DIM_PRODUCTS[hts_4],,,)</f>
        <v>8708</v>
      </c>
      <c r="I12563" t="str" cm="1">
        <f t="array" ref="I12563">_xlfn.XLOOKUP(FACT_IMPORTS[[#This Row],[country_name]],DIM_COUNTRY[[#All],[Column2]],DIM_COUNTRY[[#All],[Column3]],,,)</f>
        <v>Major_Non-USMCA_Non-China</v>
      </c>
    </row>
    <row r="12564" spans="1:9" x14ac:dyDescent="0.4">
      <c r="A12564" t="s">
        <v>73</v>
      </c>
      <c r="B12564" s="1">
        <v>45931</v>
      </c>
      <c r="C12564">
        <v>870891</v>
      </c>
      <c r="D12564" t="s">
        <v>176</v>
      </c>
      <c r="E12564">
        <v>434232</v>
      </c>
      <c r="F12564">
        <v>1779</v>
      </c>
      <c r="G12564">
        <v>3285</v>
      </c>
      <c r="H12564">
        <f>_xlfn.XLOOKUP(FACT_IMPORTS[[#This Row],[hts_6]],DIM_PRODUCTS[hts_6],DIM_PRODUCTS[hts_4],,,)</f>
        <v>8708</v>
      </c>
      <c r="I12564" t="str" cm="1">
        <f t="array" ref="I12564">_xlfn.XLOOKUP(FACT_IMPORTS[[#This Row],[country_name]],DIM_COUNTRY[[#All],[Column2]],DIM_COUNTRY[[#All],[Column3]],,,)</f>
        <v>Major_Non-USMCA_Non-China</v>
      </c>
    </row>
    <row r="12565" spans="1:9" x14ac:dyDescent="0.4">
      <c r="A12565" t="s">
        <v>73</v>
      </c>
      <c r="B12565" s="1">
        <v>45931</v>
      </c>
      <c r="C12565">
        <v>870892</v>
      </c>
      <c r="D12565" t="s">
        <v>176</v>
      </c>
      <c r="E12565">
        <v>336314</v>
      </c>
      <c r="F12565">
        <v>1347</v>
      </c>
      <c r="G12565">
        <v>3147</v>
      </c>
      <c r="H12565">
        <f>_xlfn.XLOOKUP(FACT_IMPORTS[[#This Row],[hts_6]],DIM_PRODUCTS[hts_6],DIM_PRODUCTS[hts_4],,,)</f>
        <v>8708</v>
      </c>
      <c r="I12565" t="str" cm="1">
        <f t="array" ref="I12565">_xlfn.XLOOKUP(FACT_IMPORTS[[#This Row],[country_name]],DIM_COUNTRY[[#All],[Column2]],DIM_COUNTRY[[#All],[Column3]],,,)</f>
        <v>Major_Non-USMCA_Non-China</v>
      </c>
    </row>
    <row r="12566" spans="1:9" x14ac:dyDescent="0.4">
      <c r="A12566" t="s">
        <v>73</v>
      </c>
      <c r="B12566" s="1">
        <v>45931</v>
      </c>
      <c r="C12566">
        <v>870893</v>
      </c>
      <c r="D12566" t="s">
        <v>176</v>
      </c>
      <c r="E12566">
        <v>1570828</v>
      </c>
      <c r="F12566">
        <v>129533</v>
      </c>
      <c r="G12566">
        <v>15345</v>
      </c>
      <c r="H12566">
        <f>_xlfn.XLOOKUP(FACT_IMPORTS[[#This Row],[hts_6]],DIM_PRODUCTS[hts_6],DIM_PRODUCTS[hts_4],,,)</f>
        <v>8708</v>
      </c>
      <c r="I12566" t="str" cm="1">
        <f t="array" ref="I12566">_xlfn.XLOOKUP(FACT_IMPORTS[[#This Row],[country_name]],DIM_COUNTRY[[#All],[Column2]],DIM_COUNTRY[[#All],[Column3]],,,)</f>
        <v>Major_Non-USMCA_Non-China</v>
      </c>
    </row>
    <row r="12567" spans="1:9" x14ac:dyDescent="0.4">
      <c r="A12567" t="s">
        <v>73</v>
      </c>
      <c r="B12567" s="1">
        <v>45931</v>
      </c>
      <c r="C12567">
        <v>870894</v>
      </c>
      <c r="D12567" t="s">
        <v>176</v>
      </c>
      <c r="E12567">
        <v>1565402</v>
      </c>
      <c r="F12567">
        <v>380693</v>
      </c>
      <c r="G12567">
        <v>130057</v>
      </c>
      <c r="H12567">
        <f>_xlfn.XLOOKUP(FACT_IMPORTS[[#This Row],[hts_6]],DIM_PRODUCTS[hts_6],DIM_PRODUCTS[hts_4],,,)</f>
        <v>8708</v>
      </c>
      <c r="I12567" t="str" cm="1">
        <f t="array" ref="I12567">_xlfn.XLOOKUP(FACT_IMPORTS[[#This Row],[country_name]],DIM_COUNTRY[[#All],[Column2]],DIM_COUNTRY[[#All],[Column3]],,,)</f>
        <v>Major_Non-USMCA_Non-China</v>
      </c>
    </row>
    <row r="12568" spans="1:9" x14ac:dyDescent="0.4">
      <c r="A12568" t="s">
        <v>73</v>
      </c>
      <c r="B12568" s="1">
        <v>45931</v>
      </c>
      <c r="C12568">
        <v>870895</v>
      </c>
      <c r="D12568" t="s">
        <v>176</v>
      </c>
      <c r="E12568">
        <v>13943</v>
      </c>
      <c r="F12568">
        <v>116</v>
      </c>
      <c r="G12568">
        <v>66</v>
      </c>
      <c r="H12568">
        <f>_xlfn.XLOOKUP(FACT_IMPORTS[[#This Row],[hts_6]],DIM_PRODUCTS[hts_6],DIM_PRODUCTS[hts_4],,,)</f>
        <v>8708</v>
      </c>
      <c r="I12568" t="str" cm="1">
        <f t="array" ref="I12568">_xlfn.XLOOKUP(FACT_IMPORTS[[#This Row],[country_name]],DIM_COUNTRY[[#All],[Column2]],DIM_COUNTRY[[#All],[Column3]],,,)</f>
        <v>Major_Non-USMCA_Non-China</v>
      </c>
    </row>
    <row r="12569" spans="1:9" x14ac:dyDescent="0.4">
      <c r="A12569" t="s">
        <v>73</v>
      </c>
      <c r="B12569" s="1">
        <v>45931</v>
      </c>
      <c r="C12569">
        <v>870899</v>
      </c>
      <c r="D12569" t="s">
        <v>176</v>
      </c>
      <c r="E12569">
        <v>21290440</v>
      </c>
      <c r="F12569">
        <v>5051893</v>
      </c>
      <c r="G12569">
        <v>537688</v>
      </c>
      <c r="H12569">
        <f>_xlfn.XLOOKUP(FACT_IMPORTS[[#This Row],[hts_6]],DIM_PRODUCTS[hts_6],DIM_PRODUCTS[hts_4],,,)</f>
        <v>8708</v>
      </c>
      <c r="I12569" t="str" cm="1">
        <f t="array" ref="I12569">_xlfn.XLOOKUP(FACT_IMPORTS[[#This Row],[country_name]],DIM_COUNTRY[[#All],[Column2]],DIM_COUNTRY[[#All],[Column3]],,,)</f>
        <v>Major_Non-USMCA_Non-China</v>
      </c>
    </row>
    <row r="12570" spans="1:9" x14ac:dyDescent="0.4">
      <c r="A12570" t="s">
        <v>75</v>
      </c>
      <c r="B12570" s="1">
        <v>44927</v>
      </c>
      <c r="C12570">
        <v>392630</v>
      </c>
      <c r="D12570" t="s">
        <v>176</v>
      </c>
      <c r="E12570">
        <v>218766</v>
      </c>
      <c r="F12570">
        <v>10833</v>
      </c>
      <c r="G12570">
        <v>18649</v>
      </c>
      <c r="H12570">
        <f>_xlfn.XLOOKUP(FACT_IMPORTS[[#This Row],[hts_6]],DIM_PRODUCTS[hts_6],DIM_PRODUCTS[hts_4],,,)</f>
        <v>3926</v>
      </c>
      <c r="I12570" t="str" cm="1">
        <f t="array" ref="I12570">_xlfn.XLOOKUP(FACT_IMPORTS[[#This Row],[country_name]],DIM_COUNTRY[[#All],[Column2]],DIM_COUNTRY[[#All],[Column3]],,,)</f>
        <v>Major_Non-USMCA_Non-China</v>
      </c>
    </row>
    <row r="12571" spans="1:9" x14ac:dyDescent="0.4">
      <c r="A12571" t="s">
        <v>75</v>
      </c>
      <c r="B12571" s="1">
        <v>44927</v>
      </c>
      <c r="C12571">
        <v>401110</v>
      </c>
      <c r="D12571" t="s">
        <v>176</v>
      </c>
      <c r="E12571">
        <v>5400</v>
      </c>
      <c r="F12571">
        <v>117</v>
      </c>
      <c r="G12571">
        <v>238</v>
      </c>
      <c r="H12571">
        <f>_xlfn.XLOOKUP(FACT_IMPORTS[[#This Row],[hts_6]],DIM_PRODUCTS[hts_6],DIM_PRODUCTS[hts_4],,,)</f>
        <v>4011</v>
      </c>
      <c r="I12571" t="str" cm="1">
        <f t="array" ref="I12571">_xlfn.XLOOKUP(FACT_IMPORTS[[#This Row],[country_name]],DIM_COUNTRY[[#All],[Column2]],DIM_COUNTRY[[#All],[Column3]],,,)</f>
        <v>Major_Non-USMCA_Non-China</v>
      </c>
    </row>
    <row r="12572" spans="1:9" x14ac:dyDescent="0.4">
      <c r="A12572" t="s">
        <v>75</v>
      </c>
      <c r="B12572" s="1">
        <v>44927</v>
      </c>
      <c r="C12572">
        <v>401120</v>
      </c>
      <c r="D12572" t="s">
        <v>176</v>
      </c>
      <c r="E12572">
        <v>0</v>
      </c>
      <c r="F12572">
        <v>0</v>
      </c>
      <c r="G12572">
        <v>0</v>
      </c>
      <c r="H12572">
        <f>_xlfn.XLOOKUP(FACT_IMPORTS[[#This Row],[hts_6]],DIM_PRODUCTS[hts_6],DIM_PRODUCTS[hts_4],,,)</f>
        <v>4011</v>
      </c>
      <c r="I12572" t="str" cm="1">
        <f t="array" ref="I12572">_xlfn.XLOOKUP(FACT_IMPORTS[[#This Row],[country_name]],DIM_COUNTRY[[#All],[Column2]],DIM_COUNTRY[[#All],[Column3]],,,)</f>
        <v>Major_Non-USMCA_Non-China</v>
      </c>
    </row>
    <row r="12573" spans="1:9" x14ac:dyDescent="0.4">
      <c r="A12573" t="s">
        <v>75</v>
      </c>
      <c r="B12573" s="1">
        <v>44927</v>
      </c>
      <c r="C12573">
        <v>401140</v>
      </c>
      <c r="D12573" t="s">
        <v>176</v>
      </c>
      <c r="E12573">
        <v>1354</v>
      </c>
      <c r="F12573">
        <v>18</v>
      </c>
      <c r="G12573">
        <v>4</v>
      </c>
      <c r="H12573">
        <f>_xlfn.XLOOKUP(FACT_IMPORTS[[#This Row],[hts_6]],DIM_PRODUCTS[hts_6],DIM_PRODUCTS[hts_4],,,)</f>
        <v>4011</v>
      </c>
      <c r="I12573" t="str" cm="1">
        <f t="array" ref="I12573">_xlfn.XLOOKUP(FACT_IMPORTS[[#This Row],[country_name]],DIM_COUNTRY[[#All],[Column2]],DIM_COUNTRY[[#All],[Column3]],,,)</f>
        <v>Major_Non-USMCA_Non-China</v>
      </c>
    </row>
    <row r="12574" spans="1:9" x14ac:dyDescent="0.4">
      <c r="A12574" t="s">
        <v>75</v>
      </c>
      <c r="B12574" s="1">
        <v>44927</v>
      </c>
      <c r="C12574">
        <v>401190</v>
      </c>
      <c r="D12574" t="s">
        <v>176</v>
      </c>
      <c r="E12574">
        <v>5418</v>
      </c>
      <c r="F12574">
        <v>47</v>
      </c>
      <c r="G12574">
        <v>15</v>
      </c>
      <c r="H12574">
        <f>_xlfn.XLOOKUP(FACT_IMPORTS[[#This Row],[hts_6]],DIM_PRODUCTS[hts_6],DIM_PRODUCTS[hts_4],,,)</f>
        <v>4011</v>
      </c>
      <c r="I12574" t="str" cm="1">
        <f t="array" ref="I12574">_xlfn.XLOOKUP(FACT_IMPORTS[[#This Row],[country_name]],DIM_COUNTRY[[#All],[Column2]],DIM_COUNTRY[[#All],[Column3]],,,)</f>
        <v>Major_Non-USMCA_Non-China</v>
      </c>
    </row>
    <row r="12575" spans="1:9" x14ac:dyDescent="0.4">
      <c r="A12575" t="s">
        <v>75</v>
      </c>
      <c r="B12575" s="1">
        <v>44927</v>
      </c>
      <c r="C12575">
        <v>700910</v>
      </c>
      <c r="D12575" t="s">
        <v>176</v>
      </c>
      <c r="E12575">
        <v>144947</v>
      </c>
      <c r="F12575">
        <v>29655</v>
      </c>
      <c r="G12575">
        <v>5777</v>
      </c>
      <c r="H12575">
        <f>_xlfn.XLOOKUP(FACT_IMPORTS[[#This Row],[hts_6]],DIM_PRODUCTS[hts_6],DIM_PRODUCTS[hts_4],,,)</f>
        <v>7009</v>
      </c>
      <c r="I12575" t="str" cm="1">
        <f t="array" ref="I12575">_xlfn.XLOOKUP(FACT_IMPORTS[[#This Row],[country_name]],DIM_COUNTRY[[#All],[Column2]],DIM_COUNTRY[[#All],[Column3]],,,)</f>
        <v>Major_Non-USMCA_Non-China</v>
      </c>
    </row>
    <row r="12576" spans="1:9" x14ac:dyDescent="0.4">
      <c r="A12576" t="s">
        <v>75</v>
      </c>
      <c r="B12576" s="1">
        <v>44927</v>
      </c>
      <c r="C12576">
        <v>830230</v>
      </c>
      <c r="D12576" t="s">
        <v>176</v>
      </c>
      <c r="E12576">
        <v>269364</v>
      </c>
      <c r="F12576">
        <v>34909</v>
      </c>
      <c r="G12576">
        <v>26244</v>
      </c>
      <c r="H12576">
        <f>_xlfn.XLOOKUP(FACT_IMPORTS[[#This Row],[hts_6]],DIM_PRODUCTS[hts_6],DIM_PRODUCTS[hts_4],,,)</f>
        <v>8302</v>
      </c>
      <c r="I12576" t="str" cm="1">
        <f t="array" ref="I12576">_xlfn.XLOOKUP(FACT_IMPORTS[[#This Row],[country_name]],DIM_COUNTRY[[#All],[Column2]],DIM_COUNTRY[[#All],[Column3]],,,)</f>
        <v>Major_Non-USMCA_Non-China</v>
      </c>
    </row>
    <row r="12577" spans="1:9" x14ac:dyDescent="0.4">
      <c r="A12577" t="s">
        <v>75</v>
      </c>
      <c r="B12577" s="1">
        <v>44927</v>
      </c>
      <c r="C12577">
        <v>840732</v>
      </c>
      <c r="D12577" t="s">
        <v>176</v>
      </c>
      <c r="E12577">
        <v>24500</v>
      </c>
      <c r="F12577">
        <v>8</v>
      </c>
      <c r="G12577">
        <v>429</v>
      </c>
      <c r="H12577">
        <f>_xlfn.XLOOKUP(FACT_IMPORTS[[#This Row],[hts_6]],DIM_PRODUCTS[hts_6],DIM_PRODUCTS[hts_4],,,)</f>
        <v>8407</v>
      </c>
      <c r="I12577" t="str" cm="1">
        <f t="array" ref="I12577">_xlfn.XLOOKUP(FACT_IMPORTS[[#This Row],[country_name]],DIM_COUNTRY[[#All],[Column2]],DIM_COUNTRY[[#All],[Column3]],,,)</f>
        <v>Major_Non-USMCA_Non-China</v>
      </c>
    </row>
    <row r="12578" spans="1:9" x14ac:dyDescent="0.4">
      <c r="A12578" t="s">
        <v>75</v>
      </c>
      <c r="B12578" s="1">
        <v>44927</v>
      </c>
      <c r="C12578">
        <v>840733</v>
      </c>
      <c r="D12578" t="s">
        <v>176</v>
      </c>
      <c r="E12578">
        <v>0</v>
      </c>
      <c r="F12578">
        <v>0</v>
      </c>
      <c r="G12578">
        <v>0</v>
      </c>
      <c r="H12578">
        <f>_xlfn.XLOOKUP(FACT_IMPORTS[[#This Row],[hts_6]],DIM_PRODUCTS[hts_6],DIM_PRODUCTS[hts_4],,,)</f>
        <v>8407</v>
      </c>
      <c r="I12578" t="str" cm="1">
        <f t="array" ref="I12578">_xlfn.XLOOKUP(FACT_IMPORTS[[#This Row],[country_name]],DIM_COUNTRY[[#All],[Column2]],DIM_COUNTRY[[#All],[Column3]],,,)</f>
        <v>Major_Non-USMCA_Non-China</v>
      </c>
    </row>
    <row r="12579" spans="1:9" x14ac:dyDescent="0.4">
      <c r="A12579" t="s">
        <v>75</v>
      </c>
      <c r="B12579" s="1">
        <v>44927</v>
      </c>
      <c r="C12579">
        <v>840991</v>
      </c>
      <c r="D12579" t="s">
        <v>176</v>
      </c>
      <c r="E12579">
        <v>373439</v>
      </c>
      <c r="F12579">
        <v>17348</v>
      </c>
      <c r="G12579">
        <v>8238</v>
      </c>
      <c r="H12579">
        <f>_xlfn.XLOOKUP(FACT_IMPORTS[[#This Row],[hts_6]],DIM_PRODUCTS[hts_6],DIM_PRODUCTS[hts_4],,,)</f>
        <v>8409</v>
      </c>
      <c r="I12579" t="str" cm="1">
        <f t="array" ref="I12579">_xlfn.XLOOKUP(FACT_IMPORTS[[#This Row],[country_name]],DIM_COUNTRY[[#All],[Column2]],DIM_COUNTRY[[#All],[Column3]],,,)</f>
        <v>Major_Non-USMCA_Non-China</v>
      </c>
    </row>
    <row r="12580" spans="1:9" x14ac:dyDescent="0.4">
      <c r="A12580" t="s">
        <v>75</v>
      </c>
      <c r="B12580" s="1">
        <v>44927</v>
      </c>
      <c r="C12580">
        <v>840999</v>
      </c>
      <c r="D12580" t="s">
        <v>176</v>
      </c>
      <c r="E12580">
        <v>0</v>
      </c>
      <c r="F12580">
        <v>0</v>
      </c>
      <c r="G12580">
        <v>0</v>
      </c>
      <c r="H12580">
        <f>_xlfn.XLOOKUP(FACT_IMPORTS[[#This Row],[hts_6]],DIM_PRODUCTS[hts_6],DIM_PRODUCTS[hts_4],,,)</f>
        <v>8409</v>
      </c>
      <c r="I12580" t="str" cm="1">
        <f t="array" ref="I12580">_xlfn.XLOOKUP(FACT_IMPORTS[[#This Row],[country_name]],DIM_COUNTRY[[#All],[Column2]],DIM_COUNTRY[[#All],[Column3]],,,)</f>
        <v>Major_Non-USMCA_Non-China</v>
      </c>
    </row>
    <row r="12581" spans="1:9" x14ac:dyDescent="0.4">
      <c r="A12581" t="s">
        <v>75</v>
      </c>
      <c r="B12581" s="1">
        <v>44927</v>
      </c>
      <c r="C12581">
        <v>841330</v>
      </c>
      <c r="D12581" t="s">
        <v>176</v>
      </c>
      <c r="E12581">
        <v>0</v>
      </c>
      <c r="F12581">
        <v>0</v>
      </c>
      <c r="G12581">
        <v>0</v>
      </c>
      <c r="H12581">
        <f>_xlfn.XLOOKUP(FACT_IMPORTS[[#This Row],[hts_6]],DIM_PRODUCTS[hts_6],DIM_PRODUCTS[hts_4],,,)</f>
        <v>8413</v>
      </c>
      <c r="I12581" t="str" cm="1">
        <f t="array" ref="I12581">_xlfn.XLOOKUP(FACT_IMPORTS[[#This Row],[country_name]],DIM_COUNTRY[[#All],[Column2]],DIM_COUNTRY[[#All],[Column3]],,,)</f>
        <v>Major_Non-USMCA_Non-China</v>
      </c>
    </row>
    <row r="12582" spans="1:9" x14ac:dyDescent="0.4">
      <c r="A12582" t="s">
        <v>75</v>
      </c>
      <c r="B12582" s="1">
        <v>44927</v>
      </c>
      <c r="C12582">
        <v>842132</v>
      </c>
      <c r="D12582" t="s">
        <v>176</v>
      </c>
      <c r="E12582">
        <v>0</v>
      </c>
      <c r="F12582">
        <v>0</v>
      </c>
      <c r="G12582">
        <v>0</v>
      </c>
      <c r="H12582">
        <f>_xlfn.XLOOKUP(FACT_IMPORTS[[#This Row],[hts_6]],DIM_PRODUCTS[hts_6],DIM_PRODUCTS[hts_4],,,)</f>
        <v>8421</v>
      </c>
      <c r="I12582" t="str" cm="1">
        <f t="array" ref="I12582">_xlfn.XLOOKUP(FACT_IMPORTS[[#This Row],[country_name]],DIM_COUNTRY[[#All],[Column2]],DIM_COUNTRY[[#All],[Column3]],,,)</f>
        <v>Major_Non-USMCA_Non-China</v>
      </c>
    </row>
    <row r="12583" spans="1:9" x14ac:dyDescent="0.4">
      <c r="A12583" t="s">
        <v>75</v>
      </c>
      <c r="B12583" s="1">
        <v>44927</v>
      </c>
      <c r="C12583">
        <v>848210</v>
      </c>
      <c r="D12583" t="s">
        <v>176</v>
      </c>
      <c r="E12583">
        <v>6153</v>
      </c>
      <c r="F12583">
        <v>248</v>
      </c>
      <c r="G12583">
        <v>353</v>
      </c>
      <c r="H12583">
        <f>_xlfn.XLOOKUP(FACT_IMPORTS[[#This Row],[hts_6]],DIM_PRODUCTS[hts_6],DIM_PRODUCTS[hts_4],,,)</f>
        <v>8482</v>
      </c>
      <c r="I12583" t="str" cm="1">
        <f t="array" ref="I12583">_xlfn.XLOOKUP(FACT_IMPORTS[[#This Row],[country_name]],DIM_COUNTRY[[#All],[Column2]],DIM_COUNTRY[[#All],[Column3]],,,)</f>
        <v>Major_Non-USMCA_Non-China</v>
      </c>
    </row>
    <row r="12584" spans="1:9" x14ac:dyDescent="0.4">
      <c r="A12584" t="s">
        <v>75</v>
      </c>
      <c r="B12584" s="1">
        <v>44927</v>
      </c>
      <c r="C12584">
        <v>848310</v>
      </c>
      <c r="D12584" t="s">
        <v>176</v>
      </c>
      <c r="E12584">
        <v>22049</v>
      </c>
      <c r="F12584">
        <v>246</v>
      </c>
      <c r="G12584">
        <v>48</v>
      </c>
      <c r="H12584">
        <f>_xlfn.XLOOKUP(FACT_IMPORTS[[#This Row],[hts_6]],DIM_PRODUCTS[hts_6],DIM_PRODUCTS[hts_4],,,)</f>
        <v>8483</v>
      </c>
      <c r="I12584" t="str" cm="1">
        <f t="array" ref="I12584">_xlfn.XLOOKUP(FACT_IMPORTS[[#This Row],[country_name]],DIM_COUNTRY[[#All],[Column2]],DIM_COUNTRY[[#All],[Column3]],,,)</f>
        <v>Major_Non-USMCA_Non-China</v>
      </c>
    </row>
    <row r="12585" spans="1:9" x14ac:dyDescent="0.4">
      <c r="A12585" t="s">
        <v>75</v>
      </c>
      <c r="B12585" s="1">
        <v>44927</v>
      </c>
      <c r="C12585">
        <v>850131</v>
      </c>
      <c r="D12585" t="s">
        <v>176</v>
      </c>
      <c r="E12585">
        <v>7090</v>
      </c>
      <c r="F12585">
        <v>72</v>
      </c>
      <c r="G12585">
        <v>6</v>
      </c>
      <c r="H12585">
        <f>_xlfn.XLOOKUP(FACT_IMPORTS[[#This Row],[hts_6]],DIM_PRODUCTS[hts_6],DIM_PRODUCTS[hts_4],,,)</f>
        <v>8501</v>
      </c>
      <c r="I12585" t="str" cm="1">
        <f t="array" ref="I12585">_xlfn.XLOOKUP(FACT_IMPORTS[[#This Row],[country_name]],DIM_COUNTRY[[#All],[Column2]],DIM_COUNTRY[[#All],[Column3]],,,)</f>
        <v>Major_Non-USMCA_Non-China</v>
      </c>
    </row>
    <row r="12586" spans="1:9" x14ac:dyDescent="0.4">
      <c r="A12586" t="s">
        <v>75</v>
      </c>
      <c r="B12586" s="1">
        <v>44927</v>
      </c>
      <c r="C12586">
        <v>850132</v>
      </c>
      <c r="D12586" t="s">
        <v>176</v>
      </c>
      <c r="E12586">
        <v>2019</v>
      </c>
      <c r="F12586">
        <v>3</v>
      </c>
      <c r="G12586">
        <v>31</v>
      </c>
      <c r="H12586">
        <f>_xlfn.XLOOKUP(FACT_IMPORTS[[#This Row],[hts_6]],DIM_PRODUCTS[hts_6],DIM_PRODUCTS[hts_4],,,)</f>
        <v>8501</v>
      </c>
      <c r="I12586" t="str" cm="1">
        <f t="array" ref="I12586">_xlfn.XLOOKUP(FACT_IMPORTS[[#This Row],[country_name]],DIM_COUNTRY[[#All],[Column2]],DIM_COUNTRY[[#All],[Column3]],,,)</f>
        <v>Major_Non-USMCA_Non-China</v>
      </c>
    </row>
    <row r="12587" spans="1:9" x14ac:dyDescent="0.4">
      <c r="A12587" t="s">
        <v>75</v>
      </c>
      <c r="B12587" s="1">
        <v>44927</v>
      </c>
      <c r="C12587">
        <v>850152</v>
      </c>
      <c r="D12587" t="s">
        <v>176</v>
      </c>
      <c r="E12587">
        <v>11352</v>
      </c>
      <c r="F12587">
        <v>6</v>
      </c>
      <c r="G12587">
        <v>131</v>
      </c>
      <c r="H12587">
        <f>_xlfn.XLOOKUP(FACT_IMPORTS[[#This Row],[hts_6]],DIM_PRODUCTS[hts_6],DIM_PRODUCTS[hts_4],,,)</f>
        <v>8501</v>
      </c>
      <c r="I12587" t="str" cm="1">
        <f t="array" ref="I12587">_xlfn.XLOOKUP(FACT_IMPORTS[[#This Row],[country_name]],DIM_COUNTRY[[#All],[Column2]],DIM_COUNTRY[[#All],[Column3]],,,)</f>
        <v>Major_Non-USMCA_Non-China</v>
      </c>
    </row>
    <row r="12588" spans="1:9" x14ac:dyDescent="0.4">
      <c r="A12588" t="s">
        <v>75</v>
      </c>
      <c r="B12588" s="1">
        <v>44927</v>
      </c>
      <c r="C12588">
        <v>850153</v>
      </c>
      <c r="D12588" t="s">
        <v>176</v>
      </c>
      <c r="E12588">
        <v>0</v>
      </c>
      <c r="F12588">
        <v>0</v>
      </c>
      <c r="G12588">
        <v>0</v>
      </c>
      <c r="H12588">
        <f>_xlfn.XLOOKUP(FACT_IMPORTS[[#This Row],[hts_6]],DIM_PRODUCTS[hts_6],DIM_PRODUCTS[hts_4],,,)</f>
        <v>8501</v>
      </c>
      <c r="I12588" t="str" cm="1">
        <f t="array" ref="I12588">_xlfn.XLOOKUP(FACT_IMPORTS[[#This Row],[country_name]],DIM_COUNTRY[[#All],[Column2]],DIM_COUNTRY[[#All],[Column3]],,,)</f>
        <v>Major_Non-USMCA_Non-China</v>
      </c>
    </row>
    <row r="12589" spans="1:9" x14ac:dyDescent="0.4">
      <c r="A12589" t="s">
        <v>75</v>
      </c>
      <c r="B12589" s="1">
        <v>44927</v>
      </c>
      <c r="C12589">
        <v>850440</v>
      </c>
      <c r="D12589" t="s">
        <v>176</v>
      </c>
      <c r="E12589">
        <v>2182433</v>
      </c>
      <c r="F12589">
        <v>11682</v>
      </c>
      <c r="G12589">
        <v>4390</v>
      </c>
      <c r="H12589">
        <f>_xlfn.XLOOKUP(FACT_IMPORTS[[#This Row],[hts_6]],DIM_PRODUCTS[hts_6],DIM_PRODUCTS[hts_4],,,)</f>
        <v>8504</v>
      </c>
      <c r="I12589" t="str" cm="1">
        <f t="array" ref="I12589">_xlfn.XLOOKUP(FACT_IMPORTS[[#This Row],[country_name]],DIM_COUNTRY[[#All],[Column2]],DIM_COUNTRY[[#All],[Column3]],,,)</f>
        <v>Major_Non-USMCA_Non-China</v>
      </c>
    </row>
    <row r="12590" spans="1:9" x14ac:dyDescent="0.4">
      <c r="A12590" t="s">
        <v>75</v>
      </c>
      <c r="B12590" s="1">
        <v>44927</v>
      </c>
      <c r="C12590">
        <v>850710</v>
      </c>
      <c r="D12590" t="s">
        <v>176</v>
      </c>
      <c r="E12590">
        <v>40339</v>
      </c>
      <c r="F12590">
        <v>494</v>
      </c>
      <c r="G12590">
        <v>55</v>
      </c>
      <c r="H12590">
        <f>_xlfn.XLOOKUP(FACT_IMPORTS[[#This Row],[hts_6]],DIM_PRODUCTS[hts_6],DIM_PRODUCTS[hts_4],,,)</f>
        <v>8507</v>
      </c>
      <c r="I12590" t="str" cm="1">
        <f t="array" ref="I12590">_xlfn.XLOOKUP(FACT_IMPORTS[[#This Row],[country_name]],DIM_COUNTRY[[#All],[Column2]],DIM_COUNTRY[[#All],[Column3]],,,)</f>
        <v>Major_Non-USMCA_Non-China</v>
      </c>
    </row>
    <row r="12591" spans="1:9" x14ac:dyDescent="0.4">
      <c r="A12591" t="s">
        <v>75</v>
      </c>
      <c r="B12591" s="1">
        <v>44927</v>
      </c>
      <c r="C12591">
        <v>850760</v>
      </c>
      <c r="D12591" t="s">
        <v>176</v>
      </c>
      <c r="E12591">
        <v>0</v>
      </c>
      <c r="F12591">
        <v>0</v>
      </c>
      <c r="G12591">
        <v>0</v>
      </c>
      <c r="H12591">
        <f>_xlfn.XLOOKUP(FACT_IMPORTS[[#This Row],[hts_6]],DIM_PRODUCTS[hts_6],DIM_PRODUCTS[hts_4],,,)</f>
        <v>8507</v>
      </c>
      <c r="I12591" t="str" cm="1">
        <f t="array" ref="I12591">_xlfn.XLOOKUP(FACT_IMPORTS[[#This Row],[country_name]],DIM_COUNTRY[[#All],[Column2]],DIM_COUNTRY[[#All],[Column3]],,,)</f>
        <v>Major_Non-USMCA_Non-China</v>
      </c>
    </row>
    <row r="12592" spans="1:9" x14ac:dyDescent="0.4">
      <c r="A12592" t="s">
        <v>75</v>
      </c>
      <c r="B12592" s="1">
        <v>44927</v>
      </c>
      <c r="C12592">
        <v>851120</v>
      </c>
      <c r="D12592" t="s">
        <v>176</v>
      </c>
      <c r="E12592">
        <v>2306</v>
      </c>
      <c r="F12592">
        <v>8</v>
      </c>
      <c r="G12592">
        <v>6</v>
      </c>
      <c r="H12592">
        <f>_xlfn.XLOOKUP(FACT_IMPORTS[[#This Row],[hts_6]],DIM_PRODUCTS[hts_6],DIM_PRODUCTS[hts_4],,,)</f>
        <v>8511</v>
      </c>
      <c r="I12592" t="str" cm="1">
        <f t="array" ref="I12592">_xlfn.XLOOKUP(FACT_IMPORTS[[#This Row],[country_name]],DIM_COUNTRY[[#All],[Column2]],DIM_COUNTRY[[#All],[Column3]],,,)</f>
        <v>Major_Non-USMCA_Non-China</v>
      </c>
    </row>
    <row r="12593" spans="1:9" x14ac:dyDescent="0.4">
      <c r="A12593" t="s">
        <v>75</v>
      </c>
      <c r="B12593" s="1">
        <v>44927</v>
      </c>
      <c r="C12593">
        <v>851130</v>
      </c>
      <c r="D12593" t="s">
        <v>176</v>
      </c>
      <c r="E12593">
        <v>0</v>
      </c>
      <c r="F12593">
        <v>0</v>
      </c>
      <c r="G12593">
        <v>0</v>
      </c>
      <c r="H12593">
        <f>_xlfn.XLOOKUP(FACT_IMPORTS[[#This Row],[hts_6]],DIM_PRODUCTS[hts_6],DIM_PRODUCTS[hts_4],,,)</f>
        <v>8511</v>
      </c>
      <c r="I12593" t="str" cm="1">
        <f t="array" ref="I12593">_xlfn.XLOOKUP(FACT_IMPORTS[[#This Row],[country_name]],DIM_COUNTRY[[#All],[Column2]],DIM_COUNTRY[[#All],[Column3]],,,)</f>
        <v>Major_Non-USMCA_Non-China</v>
      </c>
    </row>
    <row r="12594" spans="1:9" x14ac:dyDescent="0.4">
      <c r="A12594" t="s">
        <v>75</v>
      </c>
      <c r="B12594" s="1">
        <v>44927</v>
      </c>
      <c r="C12594">
        <v>851140</v>
      </c>
      <c r="D12594" t="s">
        <v>176</v>
      </c>
      <c r="E12594">
        <v>48495</v>
      </c>
      <c r="F12594">
        <v>194</v>
      </c>
      <c r="G12594">
        <v>65</v>
      </c>
      <c r="H12594">
        <f>_xlfn.XLOOKUP(FACT_IMPORTS[[#This Row],[hts_6]],DIM_PRODUCTS[hts_6],DIM_PRODUCTS[hts_4],,,)</f>
        <v>8511</v>
      </c>
      <c r="I12594" t="str" cm="1">
        <f t="array" ref="I12594">_xlfn.XLOOKUP(FACT_IMPORTS[[#This Row],[country_name]],DIM_COUNTRY[[#All],[Column2]],DIM_COUNTRY[[#All],[Column3]],,,)</f>
        <v>Major_Non-USMCA_Non-China</v>
      </c>
    </row>
    <row r="12595" spans="1:9" x14ac:dyDescent="0.4">
      <c r="A12595" t="s">
        <v>75</v>
      </c>
      <c r="B12595" s="1">
        <v>44927</v>
      </c>
      <c r="C12595">
        <v>851150</v>
      </c>
      <c r="D12595" t="s">
        <v>176</v>
      </c>
      <c r="E12595">
        <v>3282</v>
      </c>
      <c r="F12595">
        <v>2</v>
      </c>
      <c r="G12595">
        <v>185</v>
      </c>
      <c r="H12595">
        <f>_xlfn.XLOOKUP(FACT_IMPORTS[[#This Row],[hts_6]],DIM_PRODUCTS[hts_6],DIM_PRODUCTS[hts_4],,,)</f>
        <v>8511</v>
      </c>
      <c r="I12595" t="str" cm="1">
        <f t="array" ref="I12595">_xlfn.XLOOKUP(FACT_IMPORTS[[#This Row],[country_name]],DIM_COUNTRY[[#All],[Column2]],DIM_COUNTRY[[#All],[Column3]],,,)</f>
        <v>Major_Non-USMCA_Non-China</v>
      </c>
    </row>
    <row r="12596" spans="1:9" x14ac:dyDescent="0.4">
      <c r="A12596" t="s">
        <v>75</v>
      </c>
      <c r="B12596" s="1">
        <v>44927</v>
      </c>
      <c r="C12596">
        <v>851180</v>
      </c>
      <c r="D12596" t="s">
        <v>176</v>
      </c>
      <c r="E12596">
        <v>0</v>
      </c>
      <c r="F12596">
        <v>0</v>
      </c>
      <c r="G12596">
        <v>0</v>
      </c>
      <c r="H12596">
        <f>_xlfn.XLOOKUP(FACT_IMPORTS[[#This Row],[hts_6]],DIM_PRODUCTS[hts_6],DIM_PRODUCTS[hts_4],,,)</f>
        <v>8511</v>
      </c>
      <c r="I12596" t="str" cm="1">
        <f t="array" ref="I12596">_xlfn.XLOOKUP(FACT_IMPORTS[[#This Row],[country_name]],DIM_COUNTRY[[#All],[Column2]],DIM_COUNTRY[[#All],[Column3]],,,)</f>
        <v>Major_Non-USMCA_Non-China</v>
      </c>
    </row>
    <row r="12597" spans="1:9" x14ac:dyDescent="0.4">
      <c r="A12597" t="s">
        <v>75</v>
      </c>
      <c r="B12597" s="1">
        <v>44927</v>
      </c>
      <c r="C12597">
        <v>851190</v>
      </c>
      <c r="D12597" t="s">
        <v>176</v>
      </c>
      <c r="E12597">
        <v>2861</v>
      </c>
      <c r="F12597">
        <v>105</v>
      </c>
      <c r="G12597">
        <v>8</v>
      </c>
      <c r="H12597">
        <f>_xlfn.XLOOKUP(FACT_IMPORTS[[#This Row],[hts_6]],DIM_PRODUCTS[hts_6],DIM_PRODUCTS[hts_4],,,)</f>
        <v>8511</v>
      </c>
      <c r="I12597" t="str" cm="1">
        <f t="array" ref="I12597">_xlfn.XLOOKUP(FACT_IMPORTS[[#This Row],[country_name]],DIM_COUNTRY[[#All],[Column2]],DIM_COUNTRY[[#All],[Column3]],,,)</f>
        <v>Major_Non-USMCA_Non-China</v>
      </c>
    </row>
    <row r="12598" spans="1:9" x14ac:dyDescent="0.4">
      <c r="A12598" t="s">
        <v>75</v>
      </c>
      <c r="B12598" s="1">
        <v>44927</v>
      </c>
      <c r="C12598">
        <v>851220</v>
      </c>
      <c r="D12598" t="s">
        <v>176</v>
      </c>
      <c r="E12598">
        <v>3571555</v>
      </c>
      <c r="F12598">
        <v>724916</v>
      </c>
      <c r="G12598">
        <v>57764</v>
      </c>
      <c r="H12598">
        <f>_xlfn.XLOOKUP(FACT_IMPORTS[[#This Row],[hts_6]],DIM_PRODUCTS[hts_6],DIM_PRODUCTS[hts_4],,,)</f>
        <v>8512</v>
      </c>
      <c r="I12598" t="str" cm="1">
        <f t="array" ref="I12598">_xlfn.XLOOKUP(FACT_IMPORTS[[#This Row],[country_name]],DIM_COUNTRY[[#All],[Column2]],DIM_COUNTRY[[#All],[Column3]],,,)</f>
        <v>Major_Non-USMCA_Non-China</v>
      </c>
    </row>
    <row r="12599" spans="1:9" x14ac:dyDescent="0.4">
      <c r="A12599" t="s">
        <v>75</v>
      </c>
      <c r="B12599" s="1">
        <v>44927</v>
      </c>
      <c r="C12599">
        <v>851230</v>
      </c>
      <c r="D12599" t="s">
        <v>176</v>
      </c>
      <c r="E12599">
        <v>0</v>
      </c>
      <c r="F12599">
        <v>0</v>
      </c>
      <c r="G12599">
        <v>0</v>
      </c>
      <c r="H12599">
        <f>_xlfn.XLOOKUP(FACT_IMPORTS[[#This Row],[hts_6]],DIM_PRODUCTS[hts_6],DIM_PRODUCTS[hts_4],,,)</f>
        <v>8512</v>
      </c>
      <c r="I12599" t="str" cm="1">
        <f t="array" ref="I12599">_xlfn.XLOOKUP(FACT_IMPORTS[[#This Row],[country_name]],DIM_COUNTRY[[#All],[Column2]],DIM_COUNTRY[[#All],[Column3]],,,)</f>
        <v>Major_Non-USMCA_Non-China</v>
      </c>
    </row>
    <row r="12600" spans="1:9" x14ac:dyDescent="0.4">
      <c r="A12600" t="s">
        <v>75</v>
      </c>
      <c r="B12600" s="1">
        <v>44927</v>
      </c>
      <c r="C12600">
        <v>851240</v>
      </c>
      <c r="D12600" t="s">
        <v>176</v>
      </c>
      <c r="E12600">
        <v>0</v>
      </c>
      <c r="F12600">
        <v>0</v>
      </c>
      <c r="G12600">
        <v>0</v>
      </c>
      <c r="H12600">
        <f>_xlfn.XLOOKUP(FACT_IMPORTS[[#This Row],[hts_6]],DIM_PRODUCTS[hts_6],DIM_PRODUCTS[hts_4],,,)</f>
        <v>8512</v>
      </c>
      <c r="I12600" t="str" cm="1">
        <f t="array" ref="I12600">_xlfn.XLOOKUP(FACT_IMPORTS[[#This Row],[country_name]],DIM_COUNTRY[[#All],[Column2]],DIM_COUNTRY[[#All],[Column3]],,,)</f>
        <v>Major_Non-USMCA_Non-China</v>
      </c>
    </row>
    <row r="12601" spans="1:9" x14ac:dyDescent="0.4">
      <c r="A12601" t="s">
        <v>75</v>
      </c>
      <c r="B12601" s="1">
        <v>44927</v>
      </c>
      <c r="C12601">
        <v>851290</v>
      </c>
      <c r="D12601" t="s">
        <v>176</v>
      </c>
      <c r="E12601">
        <v>989049</v>
      </c>
      <c r="F12601">
        <v>56412</v>
      </c>
      <c r="G12601">
        <v>9600</v>
      </c>
      <c r="H12601">
        <f>_xlfn.XLOOKUP(FACT_IMPORTS[[#This Row],[hts_6]],DIM_PRODUCTS[hts_6],DIM_PRODUCTS[hts_4],,,)</f>
        <v>8512</v>
      </c>
      <c r="I12601" t="str" cm="1">
        <f t="array" ref="I12601">_xlfn.XLOOKUP(FACT_IMPORTS[[#This Row],[country_name]],DIM_COUNTRY[[#All],[Column2]],DIM_COUNTRY[[#All],[Column3]],,,)</f>
        <v>Major_Non-USMCA_Non-China</v>
      </c>
    </row>
    <row r="12602" spans="1:9" x14ac:dyDescent="0.4">
      <c r="A12602" t="s">
        <v>75</v>
      </c>
      <c r="B12602" s="1">
        <v>44927</v>
      </c>
      <c r="C12602">
        <v>854231</v>
      </c>
      <c r="D12602" t="s">
        <v>176</v>
      </c>
      <c r="E12602">
        <v>0</v>
      </c>
      <c r="F12602">
        <v>0</v>
      </c>
      <c r="G12602">
        <v>0</v>
      </c>
      <c r="H12602">
        <f>_xlfn.XLOOKUP(FACT_IMPORTS[[#This Row],[hts_6]],DIM_PRODUCTS[hts_6],DIM_PRODUCTS[hts_4],,,)</f>
        <v>8542</v>
      </c>
      <c r="I12602" t="str" cm="1">
        <f t="array" ref="I12602">_xlfn.XLOOKUP(FACT_IMPORTS[[#This Row],[country_name]],DIM_COUNTRY[[#All],[Column2]],DIM_COUNTRY[[#All],[Column3]],,,)</f>
        <v>Major_Non-USMCA_Non-China</v>
      </c>
    </row>
    <row r="12603" spans="1:9" x14ac:dyDescent="0.4">
      <c r="A12603" t="s">
        <v>75</v>
      </c>
      <c r="B12603" s="1">
        <v>44927</v>
      </c>
      <c r="C12603">
        <v>854232</v>
      </c>
      <c r="D12603" t="s">
        <v>176</v>
      </c>
      <c r="E12603">
        <v>54622</v>
      </c>
      <c r="F12603">
        <v>784</v>
      </c>
      <c r="G12603">
        <v>43</v>
      </c>
      <c r="H12603">
        <f>_xlfn.XLOOKUP(FACT_IMPORTS[[#This Row],[hts_6]],DIM_PRODUCTS[hts_6],DIM_PRODUCTS[hts_4],,,)</f>
        <v>8542</v>
      </c>
      <c r="I12603" t="str" cm="1">
        <f t="array" ref="I12603">_xlfn.XLOOKUP(FACT_IMPORTS[[#This Row],[country_name]],DIM_COUNTRY[[#All],[Column2]],DIM_COUNTRY[[#All],[Column3]],,,)</f>
        <v>Major_Non-USMCA_Non-China</v>
      </c>
    </row>
    <row r="12604" spans="1:9" x14ac:dyDescent="0.4">
      <c r="A12604" t="s">
        <v>75</v>
      </c>
      <c r="B12604" s="1">
        <v>44927</v>
      </c>
      <c r="C12604">
        <v>854239</v>
      </c>
      <c r="D12604" t="s">
        <v>176</v>
      </c>
      <c r="E12604">
        <v>2627393</v>
      </c>
      <c r="F12604">
        <v>100212</v>
      </c>
      <c r="G12604">
        <v>176784</v>
      </c>
      <c r="H12604">
        <f>_xlfn.XLOOKUP(FACT_IMPORTS[[#This Row],[hts_6]],DIM_PRODUCTS[hts_6],DIM_PRODUCTS[hts_4],,,)</f>
        <v>8542</v>
      </c>
      <c r="I12604" t="str" cm="1">
        <f t="array" ref="I12604">_xlfn.XLOOKUP(FACT_IMPORTS[[#This Row],[country_name]],DIM_COUNTRY[[#All],[Column2]],DIM_COUNTRY[[#All],[Column3]],,,)</f>
        <v>Major_Non-USMCA_Non-China</v>
      </c>
    </row>
    <row r="12605" spans="1:9" x14ac:dyDescent="0.4">
      <c r="A12605" t="s">
        <v>75</v>
      </c>
      <c r="B12605" s="1">
        <v>44927</v>
      </c>
      <c r="C12605">
        <v>854290</v>
      </c>
      <c r="D12605" t="s">
        <v>176</v>
      </c>
      <c r="E12605">
        <v>0</v>
      </c>
      <c r="F12605">
        <v>0</v>
      </c>
      <c r="G12605">
        <v>0</v>
      </c>
      <c r="H12605">
        <f>_xlfn.XLOOKUP(FACT_IMPORTS[[#This Row],[hts_6]],DIM_PRODUCTS[hts_6],DIM_PRODUCTS[hts_4],,,)</f>
        <v>8542</v>
      </c>
      <c r="I12605" t="str" cm="1">
        <f t="array" ref="I12605">_xlfn.XLOOKUP(FACT_IMPORTS[[#This Row],[country_name]],DIM_COUNTRY[[#All],[Column2]],DIM_COUNTRY[[#All],[Column3]],,,)</f>
        <v>Major_Non-USMCA_Non-China</v>
      </c>
    </row>
    <row r="12606" spans="1:9" x14ac:dyDescent="0.4">
      <c r="A12606" t="s">
        <v>75</v>
      </c>
      <c r="B12606" s="1">
        <v>44927</v>
      </c>
      <c r="C12606">
        <v>854430</v>
      </c>
      <c r="D12606" t="s">
        <v>176</v>
      </c>
      <c r="E12606">
        <v>5010</v>
      </c>
      <c r="F12606">
        <v>3000</v>
      </c>
      <c r="G12606">
        <v>12</v>
      </c>
      <c r="H12606">
        <f>_xlfn.XLOOKUP(FACT_IMPORTS[[#This Row],[hts_6]],DIM_PRODUCTS[hts_6],DIM_PRODUCTS[hts_4],,,)</f>
        <v>8544</v>
      </c>
      <c r="I12606" t="str" cm="1">
        <f t="array" ref="I12606">_xlfn.XLOOKUP(FACT_IMPORTS[[#This Row],[country_name]],DIM_COUNTRY[[#All],[Column2]],DIM_COUNTRY[[#All],[Column3]],,,)</f>
        <v>Major_Non-USMCA_Non-China</v>
      </c>
    </row>
    <row r="12607" spans="1:9" x14ac:dyDescent="0.4">
      <c r="A12607" t="s">
        <v>75</v>
      </c>
      <c r="B12607" s="1">
        <v>44927</v>
      </c>
      <c r="C12607">
        <v>870810</v>
      </c>
      <c r="D12607" t="s">
        <v>176</v>
      </c>
      <c r="E12607">
        <v>387597</v>
      </c>
      <c r="F12607">
        <v>10072</v>
      </c>
      <c r="G12607">
        <v>56130</v>
      </c>
      <c r="H12607">
        <f>_xlfn.XLOOKUP(FACT_IMPORTS[[#This Row],[hts_6]],DIM_PRODUCTS[hts_6],DIM_PRODUCTS[hts_4],,,)</f>
        <v>8708</v>
      </c>
      <c r="I12607" t="str" cm="1">
        <f t="array" ref="I12607">_xlfn.XLOOKUP(FACT_IMPORTS[[#This Row],[country_name]],DIM_COUNTRY[[#All],[Column2]],DIM_COUNTRY[[#All],[Column3]],,,)</f>
        <v>Major_Non-USMCA_Non-China</v>
      </c>
    </row>
    <row r="12608" spans="1:9" x14ac:dyDescent="0.4">
      <c r="A12608" t="s">
        <v>75</v>
      </c>
      <c r="B12608" s="1">
        <v>44927</v>
      </c>
      <c r="C12608">
        <v>870829</v>
      </c>
      <c r="D12608" t="s">
        <v>176</v>
      </c>
      <c r="E12608">
        <v>641863</v>
      </c>
      <c r="F12608">
        <v>88795</v>
      </c>
      <c r="G12608">
        <v>22436</v>
      </c>
      <c r="H12608">
        <f>_xlfn.XLOOKUP(FACT_IMPORTS[[#This Row],[hts_6]],DIM_PRODUCTS[hts_6],DIM_PRODUCTS[hts_4],,,)</f>
        <v>8708</v>
      </c>
      <c r="I12608" t="str" cm="1">
        <f t="array" ref="I12608">_xlfn.XLOOKUP(FACT_IMPORTS[[#This Row],[country_name]],DIM_COUNTRY[[#All],[Column2]],DIM_COUNTRY[[#All],[Column3]],,,)</f>
        <v>Major_Non-USMCA_Non-China</v>
      </c>
    </row>
    <row r="12609" spans="1:9" x14ac:dyDescent="0.4">
      <c r="A12609" t="s">
        <v>75</v>
      </c>
      <c r="B12609" s="1">
        <v>44927</v>
      </c>
      <c r="C12609">
        <v>870830</v>
      </c>
      <c r="D12609" t="s">
        <v>176</v>
      </c>
      <c r="E12609">
        <v>4243</v>
      </c>
      <c r="F12609">
        <v>2390</v>
      </c>
      <c r="G12609">
        <v>27</v>
      </c>
      <c r="H12609">
        <f>_xlfn.XLOOKUP(FACT_IMPORTS[[#This Row],[hts_6]],DIM_PRODUCTS[hts_6],DIM_PRODUCTS[hts_4],,,)</f>
        <v>8708</v>
      </c>
      <c r="I12609" t="str" cm="1">
        <f t="array" ref="I12609">_xlfn.XLOOKUP(FACT_IMPORTS[[#This Row],[country_name]],DIM_COUNTRY[[#All],[Column2]],DIM_COUNTRY[[#All],[Column3]],,,)</f>
        <v>Major_Non-USMCA_Non-China</v>
      </c>
    </row>
    <row r="12610" spans="1:9" x14ac:dyDescent="0.4">
      <c r="A12610" t="s">
        <v>75</v>
      </c>
      <c r="B12610" s="1">
        <v>44927</v>
      </c>
      <c r="C12610">
        <v>870840</v>
      </c>
      <c r="D12610" t="s">
        <v>176</v>
      </c>
      <c r="E12610">
        <v>240808</v>
      </c>
      <c r="F12610">
        <v>11339</v>
      </c>
      <c r="G12610">
        <v>6923</v>
      </c>
      <c r="H12610">
        <f>_xlfn.XLOOKUP(FACT_IMPORTS[[#This Row],[hts_6]],DIM_PRODUCTS[hts_6],DIM_PRODUCTS[hts_4],,,)</f>
        <v>8708</v>
      </c>
      <c r="I12610" t="str" cm="1">
        <f t="array" ref="I12610">_xlfn.XLOOKUP(FACT_IMPORTS[[#This Row],[country_name]],DIM_COUNTRY[[#All],[Column2]],DIM_COUNTRY[[#All],[Column3]],,,)</f>
        <v>Major_Non-USMCA_Non-China</v>
      </c>
    </row>
    <row r="12611" spans="1:9" x14ac:dyDescent="0.4">
      <c r="A12611" t="s">
        <v>75</v>
      </c>
      <c r="B12611" s="1">
        <v>44927</v>
      </c>
      <c r="C12611">
        <v>870850</v>
      </c>
      <c r="D12611" t="s">
        <v>176</v>
      </c>
      <c r="E12611">
        <v>343223</v>
      </c>
      <c r="F12611">
        <v>1992</v>
      </c>
      <c r="G12611">
        <v>3504</v>
      </c>
      <c r="H12611">
        <f>_xlfn.XLOOKUP(FACT_IMPORTS[[#This Row],[hts_6]],DIM_PRODUCTS[hts_6],DIM_PRODUCTS[hts_4],,,)</f>
        <v>8708</v>
      </c>
      <c r="I12611" t="str" cm="1">
        <f t="array" ref="I12611">_xlfn.XLOOKUP(FACT_IMPORTS[[#This Row],[country_name]],DIM_COUNTRY[[#All],[Column2]],DIM_COUNTRY[[#All],[Column3]],,,)</f>
        <v>Major_Non-USMCA_Non-China</v>
      </c>
    </row>
    <row r="12612" spans="1:9" x14ac:dyDescent="0.4">
      <c r="A12612" t="s">
        <v>75</v>
      </c>
      <c r="B12612" s="1">
        <v>44927</v>
      </c>
      <c r="C12612">
        <v>870870</v>
      </c>
      <c r="D12612" t="s">
        <v>176</v>
      </c>
      <c r="E12612">
        <v>1549774</v>
      </c>
      <c r="F12612">
        <v>7278</v>
      </c>
      <c r="G12612">
        <v>29054</v>
      </c>
      <c r="H12612">
        <f>_xlfn.XLOOKUP(FACT_IMPORTS[[#This Row],[hts_6]],DIM_PRODUCTS[hts_6],DIM_PRODUCTS[hts_4],,,)</f>
        <v>8708</v>
      </c>
      <c r="I12612" t="str" cm="1">
        <f t="array" ref="I12612">_xlfn.XLOOKUP(FACT_IMPORTS[[#This Row],[country_name]],DIM_COUNTRY[[#All],[Column2]],DIM_COUNTRY[[#All],[Column3]],,,)</f>
        <v>Major_Non-USMCA_Non-China</v>
      </c>
    </row>
    <row r="12613" spans="1:9" x14ac:dyDescent="0.4">
      <c r="A12613" t="s">
        <v>75</v>
      </c>
      <c r="B12613" s="1">
        <v>44927</v>
      </c>
      <c r="C12613">
        <v>870880</v>
      </c>
      <c r="D12613" t="s">
        <v>176</v>
      </c>
      <c r="E12613">
        <v>678640</v>
      </c>
      <c r="F12613">
        <v>42835</v>
      </c>
      <c r="G12613">
        <v>38336</v>
      </c>
      <c r="H12613">
        <f>_xlfn.XLOOKUP(FACT_IMPORTS[[#This Row],[hts_6]],DIM_PRODUCTS[hts_6],DIM_PRODUCTS[hts_4],,,)</f>
        <v>8708</v>
      </c>
      <c r="I12613" t="str" cm="1">
        <f t="array" ref="I12613">_xlfn.XLOOKUP(FACT_IMPORTS[[#This Row],[country_name]],DIM_COUNTRY[[#All],[Column2]],DIM_COUNTRY[[#All],[Column3]],,,)</f>
        <v>Major_Non-USMCA_Non-China</v>
      </c>
    </row>
    <row r="12614" spans="1:9" x14ac:dyDescent="0.4">
      <c r="A12614" t="s">
        <v>75</v>
      </c>
      <c r="B12614" s="1">
        <v>44927</v>
      </c>
      <c r="C12614">
        <v>870891</v>
      </c>
      <c r="D12614" t="s">
        <v>176</v>
      </c>
      <c r="E12614">
        <v>85366</v>
      </c>
      <c r="F12614">
        <v>32256</v>
      </c>
      <c r="G12614">
        <v>17417</v>
      </c>
      <c r="H12614">
        <f>_xlfn.XLOOKUP(FACT_IMPORTS[[#This Row],[hts_6]],DIM_PRODUCTS[hts_6],DIM_PRODUCTS[hts_4],,,)</f>
        <v>8708</v>
      </c>
      <c r="I12614" t="str" cm="1">
        <f t="array" ref="I12614">_xlfn.XLOOKUP(FACT_IMPORTS[[#This Row],[country_name]],DIM_COUNTRY[[#All],[Column2]],DIM_COUNTRY[[#All],[Column3]],,,)</f>
        <v>Major_Non-USMCA_Non-China</v>
      </c>
    </row>
    <row r="12615" spans="1:9" x14ac:dyDescent="0.4">
      <c r="A12615" t="s">
        <v>75</v>
      </c>
      <c r="B12615" s="1">
        <v>44927</v>
      </c>
      <c r="C12615">
        <v>870892</v>
      </c>
      <c r="D12615" t="s">
        <v>176</v>
      </c>
      <c r="E12615">
        <v>61549</v>
      </c>
      <c r="F12615">
        <v>27360</v>
      </c>
      <c r="G12615">
        <v>3453</v>
      </c>
      <c r="H12615">
        <f>_xlfn.XLOOKUP(FACT_IMPORTS[[#This Row],[hts_6]],DIM_PRODUCTS[hts_6],DIM_PRODUCTS[hts_4],,,)</f>
        <v>8708</v>
      </c>
      <c r="I12615" t="str" cm="1">
        <f t="array" ref="I12615">_xlfn.XLOOKUP(FACT_IMPORTS[[#This Row],[country_name]],DIM_COUNTRY[[#All],[Column2]],DIM_COUNTRY[[#All],[Column3]],,,)</f>
        <v>Major_Non-USMCA_Non-China</v>
      </c>
    </row>
    <row r="12616" spans="1:9" x14ac:dyDescent="0.4">
      <c r="A12616" t="s">
        <v>75</v>
      </c>
      <c r="B12616" s="1">
        <v>44927</v>
      </c>
      <c r="C12616">
        <v>870893</v>
      </c>
      <c r="D12616" t="s">
        <v>176</v>
      </c>
      <c r="E12616">
        <v>146901</v>
      </c>
      <c r="F12616">
        <v>6345</v>
      </c>
      <c r="G12616">
        <v>8607</v>
      </c>
      <c r="H12616">
        <f>_xlfn.XLOOKUP(FACT_IMPORTS[[#This Row],[hts_6]],DIM_PRODUCTS[hts_6],DIM_PRODUCTS[hts_4],,,)</f>
        <v>8708</v>
      </c>
      <c r="I12616" t="str" cm="1">
        <f t="array" ref="I12616">_xlfn.XLOOKUP(FACT_IMPORTS[[#This Row],[country_name]],DIM_COUNTRY[[#All],[Column2]],DIM_COUNTRY[[#All],[Column3]],,,)</f>
        <v>Major_Non-USMCA_Non-China</v>
      </c>
    </row>
    <row r="12617" spans="1:9" x14ac:dyDescent="0.4">
      <c r="A12617" t="s">
        <v>75</v>
      </c>
      <c r="B12617" s="1">
        <v>44927</v>
      </c>
      <c r="C12617">
        <v>870894</v>
      </c>
      <c r="D12617" t="s">
        <v>176</v>
      </c>
      <c r="E12617">
        <v>11269</v>
      </c>
      <c r="F12617">
        <v>35116</v>
      </c>
      <c r="G12617">
        <v>142</v>
      </c>
      <c r="H12617">
        <f>_xlfn.XLOOKUP(FACT_IMPORTS[[#This Row],[hts_6]],DIM_PRODUCTS[hts_6],DIM_PRODUCTS[hts_4],,,)</f>
        <v>8708</v>
      </c>
      <c r="I12617" t="str" cm="1">
        <f t="array" ref="I12617">_xlfn.XLOOKUP(FACT_IMPORTS[[#This Row],[country_name]],DIM_COUNTRY[[#All],[Column2]],DIM_COUNTRY[[#All],[Column3]],,,)</f>
        <v>Major_Non-USMCA_Non-China</v>
      </c>
    </row>
    <row r="12618" spans="1:9" x14ac:dyDescent="0.4">
      <c r="A12618" t="s">
        <v>75</v>
      </c>
      <c r="B12618" s="1">
        <v>44927</v>
      </c>
      <c r="C12618">
        <v>870899</v>
      </c>
      <c r="D12618" t="s">
        <v>176</v>
      </c>
      <c r="E12618">
        <v>1208038</v>
      </c>
      <c r="F12618">
        <v>1069695</v>
      </c>
      <c r="G12618">
        <v>82437</v>
      </c>
      <c r="H12618">
        <f>_xlfn.XLOOKUP(FACT_IMPORTS[[#This Row],[hts_6]],DIM_PRODUCTS[hts_6],DIM_PRODUCTS[hts_4],,,)</f>
        <v>8708</v>
      </c>
      <c r="I12618" t="str" cm="1">
        <f t="array" ref="I12618">_xlfn.XLOOKUP(FACT_IMPORTS[[#This Row],[country_name]],DIM_COUNTRY[[#All],[Column2]],DIM_COUNTRY[[#All],[Column3]],,,)</f>
        <v>Major_Non-USMCA_Non-China</v>
      </c>
    </row>
    <row r="12619" spans="1:9" x14ac:dyDescent="0.4">
      <c r="A12619" t="s">
        <v>75</v>
      </c>
      <c r="B12619" s="1">
        <v>44927</v>
      </c>
      <c r="C12619">
        <v>940120</v>
      </c>
      <c r="D12619" t="s">
        <v>176</v>
      </c>
      <c r="E12619">
        <v>0</v>
      </c>
      <c r="F12619">
        <v>0</v>
      </c>
      <c r="G12619">
        <v>0</v>
      </c>
      <c r="H12619">
        <f>_xlfn.XLOOKUP(FACT_IMPORTS[[#This Row],[hts_6]],DIM_PRODUCTS[hts_6],DIM_PRODUCTS[hts_4],,,)</f>
        <v>9401</v>
      </c>
      <c r="I12619" t="str" cm="1">
        <f t="array" ref="I12619">_xlfn.XLOOKUP(FACT_IMPORTS[[#This Row],[country_name]],DIM_COUNTRY[[#All],[Column2]],DIM_COUNTRY[[#All],[Column3]],,,)</f>
        <v>Major_Non-USMCA_Non-China</v>
      </c>
    </row>
    <row r="12620" spans="1:9" x14ac:dyDescent="0.4">
      <c r="A12620" t="s">
        <v>75</v>
      </c>
      <c r="B12620" s="1">
        <v>44958</v>
      </c>
      <c r="C12620">
        <v>392630</v>
      </c>
      <c r="D12620" t="s">
        <v>176</v>
      </c>
      <c r="E12620">
        <v>2093</v>
      </c>
      <c r="F12620">
        <v>102</v>
      </c>
      <c r="G12620">
        <v>91</v>
      </c>
      <c r="H12620">
        <f>_xlfn.XLOOKUP(FACT_IMPORTS[[#This Row],[hts_6]],DIM_PRODUCTS[hts_6],DIM_PRODUCTS[hts_4],,,)</f>
        <v>3926</v>
      </c>
      <c r="I12620" t="str" cm="1">
        <f t="array" ref="I12620">_xlfn.XLOOKUP(FACT_IMPORTS[[#This Row],[country_name]],DIM_COUNTRY[[#All],[Column2]],DIM_COUNTRY[[#All],[Column3]],,,)</f>
        <v>Major_Non-USMCA_Non-China</v>
      </c>
    </row>
    <row r="12621" spans="1:9" x14ac:dyDescent="0.4">
      <c r="A12621" t="s">
        <v>75</v>
      </c>
      <c r="B12621" s="1">
        <v>44958</v>
      </c>
      <c r="C12621">
        <v>401110</v>
      </c>
      <c r="D12621" t="s">
        <v>176</v>
      </c>
      <c r="E12621">
        <v>0</v>
      </c>
      <c r="F12621">
        <v>0</v>
      </c>
      <c r="G12621">
        <v>0</v>
      </c>
      <c r="H12621">
        <f>_xlfn.XLOOKUP(FACT_IMPORTS[[#This Row],[hts_6]],DIM_PRODUCTS[hts_6],DIM_PRODUCTS[hts_4],,,)</f>
        <v>4011</v>
      </c>
      <c r="I12621" t="str" cm="1">
        <f t="array" ref="I12621">_xlfn.XLOOKUP(FACT_IMPORTS[[#This Row],[country_name]],DIM_COUNTRY[[#All],[Column2]],DIM_COUNTRY[[#All],[Column3]],,,)</f>
        <v>Major_Non-USMCA_Non-China</v>
      </c>
    </row>
    <row r="12622" spans="1:9" x14ac:dyDescent="0.4">
      <c r="A12622" t="s">
        <v>75</v>
      </c>
      <c r="B12622" s="1">
        <v>44958</v>
      </c>
      <c r="C12622">
        <v>401120</v>
      </c>
      <c r="D12622" t="s">
        <v>176</v>
      </c>
      <c r="E12622">
        <v>0</v>
      </c>
      <c r="F12622">
        <v>0</v>
      </c>
      <c r="G12622">
        <v>0</v>
      </c>
      <c r="H12622">
        <f>_xlfn.XLOOKUP(FACT_IMPORTS[[#This Row],[hts_6]],DIM_PRODUCTS[hts_6],DIM_PRODUCTS[hts_4],,,)</f>
        <v>4011</v>
      </c>
      <c r="I12622" t="str" cm="1">
        <f t="array" ref="I12622">_xlfn.XLOOKUP(FACT_IMPORTS[[#This Row],[country_name]],DIM_COUNTRY[[#All],[Column2]],DIM_COUNTRY[[#All],[Column3]],,,)</f>
        <v>Major_Non-USMCA_Non-China</v>
      </c>
    </row>
    <row r="12623" spans="1:9" x14ac:dyDescent="0.4">
      <c r="A12623" t="s">
        <v>75</v>
      </c>
      <c r="B12623" s="1">
        <v>44958</v>
      </c>
      <c r="C12623">
        <v>401140</v>
      </c>
      <c r="D12623" t="s">
        <v>176</v>
      </c>
      <c r="E12623">
        <v>0</v>
      </c>
      <c r="F12623">
        <v>0</v>
      </c>
      <c r="G12623">
        <v>0</v>
      </c>
      <c r="H12623">
        <f>_xlfn.XLOOKUP(FACT_IMPORTS[[#This Row],[hts_6]],DIM_PRODUCTS[hts_6],DIM_PRODUCTS[hts_4],,,)</f>
        <v>4011</v>
      </c>
      <c r="I12623" t="str" cm="1">
        <f t="array" ref="I12623">_xlfn.XLOOKUP(FACT_IMPORTS[[#This Row],[country_name]],DIM_COUNTRY[[#All],[Column2]],DIM_COUNTRY[[#All],[Column3]],,,)</f>
        <v>Major_Non-USMCA_Non-China</v>
      </c>
    </row>
    <row r="12624" spans="1:9" x14ac:dyDescent="0.4">
      <c r="A12624" t="s">
        <v>75</v>
      </c>
      <c r="B12624" s="1">
        <v>44958</v>
      </c>
      <c r="C12624">
        <v>401190</v>
      </c>
      <c r="D12624" t="s">
        <v>176</v>
      </c>
      <c r="E12624">
        <v>11074</v>
      </c>
      <c r="F12624">
        <v>130</v>
      </c>
      <c r="G12624">
        <v>69</v>
      </c>
      <c r="H12624">
        <f>_xlfn.XLOOKUP(FACT_IMPORTS[[#This Row],[hts_6]],DIM_PRODUCTS[hts_6],DIM_PRODUCTS[hts_4],,,)</f>
        <v>4011</v>
      </c>
      <c r="I12624" t="str" cm="1">
        <f t="array" ref="I12624">_xlfn.XLOOKUP(FACT_IMPORTS[[#This Row],[country_name]],DIM_COUNTRY[[#All],[Column2]],DIM_COUNTRY[[#All],[Column3]],,,)</f>
        <v>Major_Non-USMCA_Non-China</v>
      </c>
    </row>
    <row r="12625" spans="1:9" x14ac:dyDescent="0.4">
      <c r="A12625" t="s">
        <v>75</v>
      </c>
      <c r="B12625" s="1">
        <v>44958</v>
      </c>
      <c r="C12625">
        <v>700910</v>
      </c>
      <c r="D12625" t="s">
        <v>176</v>
      </c>
      <c r="E12625">
        <v>71880</v>
      </c>
      <c r="F12625">
        <v>19844</v>
      </c>
      <c r="G12625">
        <v>1822</v>
      </c>
      <c r="H12625">
        <f>_xlfn.XLOOKUP(FACT_IMPORTS[[#This Row],[hts_6]],DIM_PRODUCTS[hts_6],DIM_PRODUCTS[hts_4],,,)</f>
        <v>7009</v>
      </c>
      <c r="I12625" t="str" cm="1">
        <f t="array" ref="I12625">_xlfn.XLOOKUP(FACT_IMPORTS[[#This Row],[country_name]],DIM_COUNTRY[[#All],[Column2]],DIM_COUNTRY[[#All],[Column3]],,,)</f>
        <v>Major_Non-USMCA_Non-China</v>
      </c>
    </row>
    <row r="12626" spans="1:9" x14ac:dyDescent="0.4">
      <c r="A12626" t="s">
        <v>75</v>
      </c>
      <c r="B12626" s="1">
        <v>44958</v>
      </c>
      <c r="C12626">
        <v>830230</v>
      </c>
      <c r="D12626" t="s">
        <v>176</v>
      </c>
      <c r="E12626">
        <v>72857</v>
      </c>
      <c r="F12626">
        <v>12034</v>
      </c>
      <c r="G12626">
        <v>14747</v>
      </c>
      <c r="H12626">
        <f>_xlfn.XLOOKUP(FACT_IMPORTS[[#This Row],[hts_6]],DIM_PRODUCTS[hts_6],DIM_PRODUCTS[hts_4],,,)</f>
        <v>8302</v>
      </c>
      <c r="I12626" t="str" cm="1">
        <f t="array" ref="I12626">_xlfn.XLOOKUP(FACT_IMPORTS[[#This Row],[country_name]],DIM_COUNTRY[[#All],[Column2]],DIM_COUNTRY[[#All],[Column3]],,,)</f>
        <v>Major_Non-USMCA_Non-China</v>
      </c>
    </row>
    <row r="12627" spans="1:9" x14ac:dyDescent="0.4">
      <c r="A12627" t="s">
        <v>75</v>
      </c>
      <c r="B12627" s="1">
        <v>44958</v>
      </c>
      <c r="C12627">
        <v>840732</v>
      </c>
      <c r="D12627" t="s">
        <v>176</v>
      </c>
      <c r="E12627">
        <v>0</v>
      </c>
      <c r="F12627">
        <v>0</v>
      </c>
      <c r="G12627">
        <v>0</v>
      </c>
      <c r="H12627">
        <f>_xlfn.XLOOKUP(FACT_IMPORTS[[#This Row],[hts_6]],DIM_PRODUCTS[hts_6],DIM_PRODUCTS[hts_4],,,)</f>
        <v>8407</v>
      </c>
      <c r="I12627" t="str" cm="1">
        <f t="array" ref="I12627">_xlfn.XLOOKUP(FACT_IMPORTS[[#This Row],[country_name]],DIM_COUNTRY[[#All],[Column2]],DIM_COUNTRY[[#All],[Column3]],,,)</f>
        <v>Major_Non-USMCA_Non-China</v>
      </c>
    </row>
    <row r="12628" spans="1:9" x14ac:dyDescent="0.4">
      <c r="A12628" t="s">
        <v>75</v>
      </c>
      <c r="B12628" s="1">
        <v>44958</v>
      </c>
      <c r="C12628">
        <v>840733</v>
      </c>
      <c r="D12628" t="s">
        <v>176</v>
      </c>
      <c r="E12628">
        <v>0</v>
      </c>
      <c r="F12628">
        <v>0</v>
      </c>
      <c r="G12628">
        <v>0</v>
      </c>
      <c r="H12628">
        <f>_xlfn.XLOOKUP(FACT_IMPORTS[[#This Row],[hts_6]],DIM_PRODUCTS[hts_6],DIM_PRODUCTS[hts_4],,,)</f>
        <v>8407</v>
      </c>
      <c r="I12628" t="str" cm="1">
        <f t="array" ref="I12628">_xlfn.XLOOKUP(FACT_IMPORTS[[#This Row],[country_name]],DIM_COUNTRY[[#All],[Column2]],DIM_COUNTRY[[#All],[Column3]],,,)</f>
        <v>Major_Non-USMCA_Non-China</v>
      </c>
    </row>
    <row r="12629" spans="1:9" x14ac:dyDescent="0.4">
      <c r="A12629" t="s">
        <v>75</v>
      </c>
      <c r="B12629" s="1">
        <v>44958</v>
      </c>
      <c r="C12629">
        <v>840991</v>
      </c>
      <c r="D12629" t="s">
        <v>176</v>
      </c>
      <c r="E12629">
        <v>155797</v>
      </c>
      <c r="F12629">
        <v>7692</v>
      </c>
      <c r="G12629">
        <v>3325</v>
      </c>
      <c r="H12629">
        <f>_xlfn.XLOOKUP(FACT_IMPORTS[[#This Row],[hts_6]],DIM_PRODUCTS[hts_6],DIM_PRODUCTS[hts_4],,,)</f>
        <v>8409</v>
      </c>
      <c r="I12629" t="str" cm="1">
        <f t="array" ref="I12629">_xlfn.XLOOKUP(FACT_IMPORTS[[#This Row],[country_name]],DIM_COUNTRY[[#All],[Column2]],DIM_COUNTRY[[#All],[Column3]],,,)</f>
        <v>Major_Non-USMCA_Non-China</v>
      </c>
    </row>
    <row r="12630" spans="1:9" x14ac:dyDescent="0.4">
      <c r="A12630" t="s">
        <v>75</v>
      </c>
      <c r="B12630" s="1">
        <v>44958</v>
      </c>
      <c r="C12630">
        <v>840999</v>
      </c>
      <c r="D12630" t="s">
        <v>176</v>
      </c>
      <c r="E12630">
        <v>0</v>
      </c>
      <c r="F12630">
        <v>0</v>
      </c>
      <c r="G12630">
        <v>0</v>
      </c>
      <c r="H12630">
        <f>_xlfn.XLOOKUP(FACT_IMPORTS[[#This Row],[hts_6]],DIM_PRODUCTS[hts_6],DIM_PRODUCTS[hts_4],,,)</f>
        <v>8409</v>
      </c>
      <c r="I12630" t="str" cm="1">
        <f t="array" ref="I12630">_xlfn.XLOOKUP(FACT_IMPORTS[[#This Row],[country_name]],DIM_COUNTRY[[#All],[Column2]],DIM_COUNTRY[[#All],[Column3]],,,)</f>
        <v>Major_Non-USMCA_Non-China</v>
      </c>
    </row>
    <row r="12631" spans="1:9" x14ac:dyDescent="0.4">
      <c r="A12631" t="s">
        <v>75</v>
      </c>
      <c r="B12631" s="1">
        <v>44958</v>
      </c>
      <c r="C12631">
        <v>841330</v>
      </c>
      <c r="D12631" t="s">
        <v>176</v>
      </c>
      <c r="E12631">
        <v>3801</v>
      </c>
      <c r="F12631">
        <v>102</v>
      </c>
      <c r="G12631">
        <v>1</v>
      </c>
      <c r="H12631">
        <f>_xlfn.XLOOKUP(FACT_IMPORTS[[#This Row],[hts_6]],DIM_PRODUCTS[hts_6],DIM_PRODUCTS[hts_4],,,)</f>
        <v>8413</v>
      </c>
      <c r="I12631" t="str" cm="1">
        <f t="array" ref="I12631">_xlfn.XLOOKUP(FACT_IMPORTS[[#This Row],[country_name]],DIM_COUNTRY[[#All],[Column2]],DIM_COUNTRY[[#All],[Column3]],,,)</f>
        <v>Major_Non-USMCA_Non-China</v>
      </c>
    </row>
    <row r="12632" spans="1:9" x14ac:dyDescent="0.4">
      <c r="A12632" t="s">
        <v>75</v>
      </c>
      <c r="B12632" s="1">
        <v>44958</v>
      </c>
      <c r="C12632">
        <v>842132</v>
      </c>
      <c r="D12632" t="s">
        <v>176</v>
      </c>
      <c r="E12632">
        <v>0</v>
      </c>
      <c r="F12632">
        <v>0</v>
      </c>
      <c r="G12632">
        <v>0</v>
      </c>
      <c r="H12632">
        <f>_xlfn.XLOOKUP(FACT_IMPORTS[[#This Row],[hts_6]],DIM_PRODUCTS[hts_6],DIM_PRODUCTS[hts_4],,,)</f>
        <v>8421</v>
      </c>
      <c r="I12632" t="str" cm="1">
        <f t="array" ref="I12632">_xlfn.XLOOKUP(FACT_IMPORTS[[#This Row],[country_name]],DIM_COUNTRY[[#All],[Column2]],DIM_COUNTRY[[#All],[Column3]],,,)</f>
        <v>Major_Non-USMCA_Non-China</v>
      </c>
    </row>
    <row r="12633" spans="1:9" x14ac:dyDescent="0.4">
      <c r="A12633" t="s">
        <v>75</v>
      </c>
      <c r="B12633" s="1">
        <v>44958</v>
      </c>
      <c r="C12633">
        <v>848210</v>
      </c>
      <c r="D12633" t="s">
        <v>176</v>
      </c>
      <c r="E12633">
        <v>0</v>
      </c>
      <c r="F12633">
        <v>0</v>
      </c>
      <c r="G12633">
        <v>0</v>
      </c>
      <c r="H12633">
        <f>_xlfn.XLOOKUP(FACT_IMPORTS[[#This Row],[hts_6]],DIM_PRODUCTS[hts_6],DIM_PRODUCTS[hts_4],,,)</f>
        <v>8482</v>
      </c>
      <c r="I12633" t="str" cm="1">
        <f t="array" ref="I12633">_xlfn.XLOOKUP(FACT_IMPORTS[[#This Row],[country_name]],DIM_COUNTRY[[#All],[Column2]],DIM_COUNTRY[[#All],[Column3]],,,)</f>
        <v>Major_Non-USMCA_Non-China</v>
      </c>
    </row>
    <row r="12634" spans="1:9" x14ac:dyDescent="0.4">
      <c r="A12634" t="s">
        <v>75</v>
      </c>
      <c r="B12634" s="1">
        <v>44958</v>
      </c>
      <c r="C12634">
        <v>848310</v>
      </c>
      <c r="D12634" t="s">
        <v>176</v>
      </c>
      <c r="E12634">
        <v>8510</v>
      </c>
      <c r="F12634">
        <v>47</v>
      </c>
      <c r="G12634">
        <v>22</v>
      </c>
      <c r="H12634">
        <f>_xlfn.XLOOKUP(FACT_IMPORTS[[#This Row],[hts_6]],DIM_PRODUCTS[hts_6],DIM_PRODUCTS[hts_4],,,)</f>
        <v>8483</v>
      </c>
      <c r="I12634" t="str" cm="1">
        <f t="array" ref="I12634">_xlfn.XLOOKUP(FACT_IMPORTS[[#This Row],[country_name]],DIM_COUNTRY[[#All],[Column2]],DIM_COUNTRY[[#All],[Column3]],,,)</f>
        <v>Major_Non-USMCA_Non-China</v>
      </c>
    </row>
    <row r="12635" spans="1:9" x14ac:dyDescent="0.4">
      <c r="A12635" t="s">
        <v>75</v>
      </c>
      <c r="B12635" s="1">
        <v>44958</v>
      </c>
      <c r="C12635">
        <v>850131</v>
      </c>
      <c r="D12635" t="s">
        <v>176</v>
      </c>
      <c r="E12635">
        <v>0</v>
      </c>
      <c r="F12635">
        <v>0</v>
      </c>
      <c r="G12635">
        <v>0</v>
      </c>
      <c r="H12635">
        <f>_xlfn.XLOOKUP(FACT_IMPORTS[[#This Row],[hts_6]],DIM_PRODUCTS[hts_6],DIM_PRODUCTS[hts_4],,,)</f>
        <v>8501</v>
      </c>
      <c r="I12635" t="str" cm="1">
        <f t="array" ref="I12635">_xlfn.XLOOKUP(FACT_IMPORTS[[#This Row],[country_name]],DIM_COUNTRY[[#All],[Column2]],DIM_COUNTRY[[#All],[Column3]],,,)</f>
        <v>Major_Non-USMCA_Non-China</v>
      </c>
    </row>
    <row r="12636" spans="1:9" x14ac:dyDescent="0.4">
      <c r="A12636" t="s">
        <v>75</v>
      </c>
      <c r="B12636" s="1">
        <v>44958</v>
      </c>
      <c r="C12636">
        <v>850132</v>
      </c>
      <c r="D12636" t="s">
        <v>176</v>
      </c>
      <c r="E12636">
        <v>0</v>
      </c>
      <c r="F12636">
        <v>0</v>
      </c>
      <c r="G12636">
        <v>0</v>
      </c>
      <c r="H12636">
        <f>_xlfn.XLOOKUP(FACT_IMPORTS[[#This Row],[hts_6]],DIM_PRODUCTS[hts_6],DIM_PRODUCTS[hts_4],,,)</f>
        <v>8501</v>
      </c>
      <c r="I12636" t="str" cm="1">
        <f t="array" ref="I12636">_xlfn.XLOOKUP(FACT_IMPORTS[[#This Row],[country_name]],DIM_COUNTRY[[#All],[Column2]],DIM_COUNTRY[[#All],[Column3]],,,)</f>
        <v>Major_Non-USMCA_Non-China</v>
      </c>
    </row>
    <row r="12637" spans="1:9" x14ac:dyDescent="0.4">
      <c r="A12637" t="s">
        <v>75</v>
      </c>
      <c r="B12637" s="1">
        <v>44958</v>
      </c>
      <c r="C12637">
        <v>850152</v>
      </c>
      <c r="D12637" t="s">
        <v>176</v>
      </c>
      <c r="E12637">
        <v>69278</v>
      </c>
      <c r="F12637">
        <v>1347</v>
      </c>
      <c r="G12637">
        <v>1826</v>
      </c>
      <c r="H12637">
        <f>_xlfn.XLOOKUP(FACT_IMPORTS[[#This Row],[hts_6]],DIM_PRODUCTS[hts_6],DIM_PRODUCTS[hts_4],,,)</f>
        <v>8501</v>
      </c>
      <c r="I12637" t="str" cm="1">
        <f t="array" ref="I12637">_xlfn.XLOOKUP(FACT_IMPORTS[[#This Row],[country_name]],DIM_COUNTRY[[#All],[Column2]],DIM_COUNTRY[[#All],[Column3]],,,)</f>
        <v>Major_Non-USMCA_Non-China</v>
      </c>
    </row>
    <row r="12638" spans="1:9" x14ac:dyDescent="0.4">
      <c r="A12638" t="s">
        <v>75</v>
      </c>
      <c r="B12638" s="1">
        <v>44958</v>
      </c>
      <c r="C12638">
        <v>850153</v>
      </c>
      <c r="D12638" t="s">
        <v>176</v>
      </c>
      <c r="E12638">
        <v>0</v>
      </c>
      <c r="F12638">
        <v>0</v>
      </c>
      <c r="G12638">
        <v>0</v>
      </c>
      <c r="H12638">
        <f>_xlfn.XLOOKUP(FACT_IMPORTS[[#This Row],[hts_6]],DIM_PRODUCTS[hts_6],DIM_PRODUCTS[hts_4],,,)</f>
        <v>8501</v>
      </c>
      <c r="I12638" t="str" cm="1">
        <f t="array" ref="I12638">_xlfn.XLOOKUP(FACT_IMPORTS[[#This Row],[country_name]],DIM_COUNTRY[[#All],[Column2]],DIM_COUNTRY[[#All],[Column3]],,,)</f>
        <v>Major_Non-USMCA_Non-China</v>
      </c>
    </row>
    <row r="12639" spans="1:9" x14ac:dyDescent="0.4">
      <c r="A12639" t="s">
        <v>75</v>
      </c>
      <c r="B12639" s="1">
        <v>44958</v>
      </c>
      <c r="C12639">
        <v>850440</v>
      </c>
      <c r="D12639" t="s">
        <v>176</v>
      </c>
      <c r="E12639">
        <v>3299373</v>
      </c>
      <c r="F12639">
        <v>9109</v>
      </c>
      <c r="G12639">
        <v>3896</v>
      </c>
      <c r="H12639">
        <f>_xlfn.XLOOKUP(FACT_IMPORTS[[#This Row],[hts_6]],DIM_PRODUCTS[hts_6],DIM_PRODUCTS[hts_4],,,)</f>
        <v>8504</v>
      </c>
      <c r="I12639" t="str" cm="1">
        <f t="array" ref="I12639">_xlfn.XLOOKUP(FACT_IMPORTS[[#This Row],[country_name]],DIM_COUNTRY[[#All],[Column2]],DIM_COUNTRY[[#All],[Column3]],,,)</f>
        <v>Major_Non-USMCA_Non-China</v>
      </c>
    </row>
    <row r="12640" spans="1:9" x14ac:dyDescent="0.4">
      <c r="A12640" t="s">
        <v>75</v>
      </c>
      <c r="B12640" s="1">
        <v>44958</v>
      </c>
      <c r="C12640">
        <v>850710</v>
      </c>
      <c r="D12640" t="s">
        <v>176</v>
      </c>
      <c r="E12640">
        <v>7719</v>
      </c>
      <c r="F12640">
        <v>121</v>
      </c>
      <c r="G12640">
        <v>16</v>
      </c>
      <c r="H12640">
        <f>_xlfn.XLOOKUP(FACT_IMPORTS[[#This Row],[hts_6]],DIM_PRODUCTS[hts_6],DIM_PRODUCTS[hts_4],,,)</f>
        <v>8507</v>
      </c>
      <c r="I12640" t="str" cm="1">
        <f t="array" ref="I12640">_xlfn.XLOOKUP(FACT_IMPORTS[[#This Row],[country_name]],DIM_COUNTRY[[#All],[Column2]],DIM_COUNTRY[[#All],[Column3]],,,)</f>
        <v>Major_Non-USMCA_Non-China</v>
      </c>
    </row>
    <row r="12641" spans="1:9" x14ac:dyDescent="0.4">
      <c r="A12641" t="s">
        <v>75</v>
      </c>
      <c r="B12641" s="1">
        <v>44958</v>
      </c>
      <c r="C12641">
        <v>850760</v>
      </c>
      <c r="D12641" t="s">
        <v>176</v>
      </c>
      <c r="E12641">
        <v>6510</v>
      </c>
      <c r="F12641">
        <v>110</v>
      </c>
      <c r="G12641">
        <v>10</v>
      </c>
      <c r="H12641">
        <f>_xlfn.XLOOKUP(FACT_IMPORTS[[#This Row],[hts_6]],DIM_PRODUCTS[hts_6],DIM_PRODUCTS[hts_4],,,)</f>
        <v>8507</v>
      </c>
      <c r="I12641" t="str" cm="1">
        <f t="array" ref="I12641">_xlfn.XLOOKUP(FACT_IMPORTS[[#This Row],[country_name]],DIM_COUNTRY[[#All],[Column2]],DIM_COUNTRY[[#All],[Column3]],,,)</f>
        <v>Major_Non-USMCA_Non-China</v>
      </c>
    </row>
    <row r="12642" spans="1:9" x14ac:dyDescent="0.4">
      <c r="A12642" t="s">
        <v>75</v>
      </c>
      <c r="B12642" s="1">
        <v>44958</v>
      </c>
      <c r="C12642">
        <v>851120</v>
      </c>
      <c r="D12642" t="s">
        <v>176</v>
      </c>
      <c r="E12642">
        <v>0</v>
      </c>
      <c r="F12642">
        <v>0</v>
      </c>
      <c r="G12642">
        <v>0</v>
      </c>
      <c r="H12642">
        <f>_xlfn.XLOOKUP(FACT_IMPORTS[[#This Row],[hts_6]],DIM_PRODUCTS[hts_6],DIM_PRODUCTS[hts_4],,,)</f>
        <v>8511</v>
      </c>
      <c r="I12642" t="str" cm="1">
        <f t="array" ref="I12642">_xlfn.XLOOKUP(FACT_IMPORTS[[#This Row],[country_name]],DIM_COUNTRY[[#All],[Column2]],DIM_COUNTRY[[#All],[Column3]],,,)</f>
        <v>Major_Non-USMCA_Non-China</v>
      </c>
    </row>
    <row r="12643" spans="1:9" x14ac:dyDescent="0.4">
      <c r="A12643" t="s">
        <v>75</v>
      </c>
      <c r="B12643" s="1">
        <v>44958</v>
      </c>
      <c r="C12643">
        <v>851130</v>
      </c>
      <c r="D12643" t="s">
        <v>176</v>
      </c>
      <c r="E12643">
        <v>0</v>
      </c>
      <c r="F12643">
        <v>0</v>
      </c>
      <c r="G12643">
        <v>0</v>
      </c>
      <c r="H12643">
        <f>_xlfn.XLOOKUP(FACT_IMPORTS[[#This Row],[hts_6]],DIM_PRODUCTS[hts_6],DIM_PRODUCTS[hts_4],,,)</f>
        <v>8511</v>
      </c>
      <c r="I12643" t="str" cm="1">
        <f t="array" ref="I12643">_xlfn.XLOOKUP(FACT_IMPORTS[[#This Row],[country_name]],DIM_COUNTRY[[#All],[Column2]],DIM_COUNTRY[[#All],[Column3]],,,)</f>
        <v>Major_Non-USMCA_Non-China</v>
      </c>
    </row>
    <row r="12644" spans="1:9" x14ac:dyDescent="0.4">
      <c r="A12644" t="s">
        <v>75</v>
      </c>
      <c r="B12644" s="1">
        <v>44958</v>
      </c>
      <c r="C12644">
        <v>851140</v>
      </c>
      <c r="D12644" t="s">
        <v>176</v>
      </c>
      <c r="E12644">
        <v>5477</v>
      </c>
      <c r="F12644">
        <v>35</v>
      </c>
      <c r="G12644">
        <v>19</v>
      </c>
      <c r="H12644">
        <f>_xlfn.XLOOKUP(FACT_IMPORTS[[#This Row],[hts_6]],DIM_PRODUCTS[hts_6],DIM_PRODUCTS[hts_4],,,)</f>
        <v>8511</v>
      </c>
      <c r="I12644" t="str" cm="1">
        <f t="array" ref="I12644">_xlfn.XLOOKUP(FACT_IMPORTS[[#This Row],[country_name]],DIM_COUNTRY[[#All],[Column2]],DIM_COUNTRY[[#All],[Column3]],,,)</f>
        <v>Major_Non-USMCA_Non-China</v>
      </c>
    </row>
    <row r="12645" spans="1:9" x14ac:dyDescent="0.4">
      <c r="A12645" t="s">
        <v>75</v>
      </c>
      <c r="B12645" s="1">
        <v>44958</v>
      </c>
      <c r="C12645">
        <v>851150</v>
      </c>
      <c r="D12645" t="s">
        <v>176</v>
      </c>
      <c r="E12645">
        <v>2705</v>
      </c>
      <c r="F12645">
        <v>3</v>
      </c>
      <c r="G12645">
        <v>12</v>
      </c>
      <c r="H12645">
        <f>_xlfn.XLOOKUP(FACT_IMPORTS[[#This Row],[hts_6]],DIM_PRODUCTS[hts_6],DIM_PRODUCTS[hts_4],,,)</f>
        <v>8511</v>
      </c>
      <c r="I12645" t="str" cm="1">
        <f t="array" ref="I12645">_xlfn.XLOOKUP(FACT_IMPORTS[[#This Row],[country_name]],DIM_COUNTRY[[#All],[Column2]],DIM_COUNTRY[[#All],[Column3]],,,)</f>
        <v>Major_Non-USMCA_Non-China</v>
      </c>
    </row>
    <row r="12646" spans="1:9" x14ac:dyDescent="0.4">
      <c r="A12646" t="s">
        <v>75</v>
      </c>
      <c r="B12646" s="1">
        <v>44958</v>
      </c>
      <c r="C12646">
        <v>851180</v>
      </c>
      <c r="D12646" t="s">
        <v>176</v>
      </c>
      <c r="E12646">
        <v>0</v>
      </c>
      <c r="F12646">
        <v>0</v>
      </c>
      <c r="G12646">
        <v>0</v>
      </c>
      <c r="H12646">
        <f>_xlfn.XLOOKUP(FACT_IMPORTS[[#This Row],[hts_6]],DIM_PRODUCTS[hts_6],DIM_PRODUCTS[hts_4],,,)</f>
        <v>8511</v>
      </c>
      <c r="I12646" t="str" cm="1">
        <f t="array" ref="I12646">_xlfn.XLOOKUP(FACT_IMPORTS[[#This Row],[country_name]],DIM_COUNTRY[[#All],[Column2]],DIM_COUNTRY[[#All],[Column3]],,,)</f>
        <v>Major_Non-USMCA_Non-China</v>
      </c>
    </row>
    <row r="12647" spans="1:9" x14ac:dyDescent="0.4">
      <c r="A12647" t="s">
        <v>75</v>
      </c>
      <c r="B12647" s="1">
        <v>44958</v>
      </c>
      <c r="C12647">
        <v>851190</v>
      </c>
      <c r="D12647" t="s">
        <v>176</v>
      </c>
      <c r="E12647">
        <v>0</v>
      </c>
      <c r="F12647">
        <v>0</v>
      </c>
      <c r="G12647">
        <v>0</v>
      </c>
      <c r="H12647">
        <f>_xlfn.XLOOKUP(FACT_IMPORTS[[#This Row],[hts_6]],DIM_PRODUCTS[hts_6],DIM_PRODUCTS[hts_4],,,)</f>
        <v>8511</v>
      </c>
      <c r="I12647" t="str" cm="1">
        <f t="array" ref="I12647">_xlfn.XLOOKUP(FACT_IMPORTS[[#This Row],[country_name]],DIM_COUNTRY[[#All],[Column2]],DIM_COUNTRY[[#All],[Column3]],,,)</f>
        <v>Major_Non-USMCA_Non-China</v>
      </c>
    </row>
    <row r="12648" spans="1:9" x14ac:dyDescent="0.4">
      <c r="A12648" t="s">
        <v>75</v>
      </c>
      <c r="B12648" s="1">
        <v>44958</v>
      </c>
      <c r="C12648">
        <v>851220</v>
      </c>
      <c r="D12648" t="s">
        <v>176</v>
      </c>
      <c r="E12648">
        <v>1740994</v>
      </c>
      <c r="F12648">
        <v>345400</v>
      </c>
      <c r="G12648">
        <v>42104</v>
      </c>
      <c r="H12648">
        <f>_xlfn.XLOOKUP(FACT_IMPORTS[[#This Row],[hts_6]],DIM_PRODUCTS[hts_6],DIM_PRODUCTS[hts_4],,,)</f>
        <v>8512</v>
      </c>
      <c r="I12648" t="str" cm="1">
        <f t="array" ref="I12648">_xlfn.XLOOKUP(FACT_IMPORTS[[#This Row],[country_name]],DIM_COUNTRY[[#All],[Column2]],DIM_COUNTRY[[#All],[Column3]],,,)</f>
        <v>Major_Non-USMCA_Non-China</v>
      </c>
    </row>
    <row r="12649" spans="1:9" x14ac:dyDescent="0.4">
      <c r="A12649" t="s">
        <v>75</v>
      </c>
      <c r="B12649" s="1">
        <v>44958</v>
      </c>
      <c r="C12649">
        <v>851230</v>
      </c>
      <c r="D12649" t="s">
        <v>176</v>
      </c>
      <c r="E12649">
        <v>3658</v>
      </c>
      <c r="F12649">
        <v>130</v>
      </c>
      <c r="G12649">
        <v>208</v>
      </c>
      <c r="H12649">
        <f>_xlfn.XLOOKUP(FACT_IMPORTS[[#This Row],[hts_6]],DIM_PRODUCTS[hts_6],DIM_PRODUCTS[hts_4],,,)</f>
        <v>8512</v>
      </c>
      <c r="I12649" t="str" cm="1">
        <f t="array" ref="I12649">_xlfn.XLOOKUP(FACT_IMPORTS[[#This Row],[country_name]],DIM_COUNTRY[[#All],[Column2]],DIM_COUNTRY[[#All],[Column3]],,,)</f>
        <v>Major_Non-USMCA_Non-China</v>
      </c>
    </row>
    <row r="12650" spans="1:9" x14ac:dyDescent="0.4">
      <c r="A12650" t="s">
        <v>75</v>
      </c>
      <c r="B12650" s="1">
        <v>44958</v>
      </c>
      <c r="C12650">
        <v>851240</v>
      </c>
      <c r="D12650" t="s">
        <v>176</v>
      </c>
      <c r="E12650">
        <v>0</v>
      </c>
      <c r="F12650">
        <v>0</v>
      </c>
      <c r="G12650">
        <v>0</v>
      </c>
      <c r="H12650">
        <f>_xlfn.XLOOKUP(FACT_IMPORTS[[#This Row],[hts_6]],DIM_PRODUCTS[hts_6],DIM_PRODUCTS[hts_4],,,)</f>
        <v>8512</v>
      </c>
      <c r="I12650" t="str" cm="1">
        <f t="array" ref="I12650">_xlfn.XLOOKUP(FACT_IMPORTS[[#This Row],[country_name]],DIM_COUNTRY[[#All],[Column2]],DIM_COUNTRY[[#All],[Column3]],,,)</f>
        <v>Major_Non-USMCA_Non-China</v>
      </c>
    </row>
    <row r="12651" spans="1:9" x14ac:dyDescent="0.4">
      <c r="A12651" t="s">
        <v>75</v>
      </c>
      <c r="B12651" s="1">
        <v>44958</v>
      </c>
      <c r="C12651">
        <v>851290</v>
      </c>
      <c r="D12651" t="s">
        <v>176</v>
      </c>
      <c r="E12651">
        <v>746525</v>
      </c>
      <c r="F12651">
        <v>36819</v>
      </c>
      <c r="G12651">
        <v>24499</v>
      </c>
      <c r="H12651">
        <f>_xlfn.XLOOKUP(FACT_IMPORTS[[#This Row],[hts_6]],DIM_PRODUCTS[hts_6],DIM_PRODUCTS[hts_4],,,)</f>
        <v>8512</v>
      </c>
      <c r="I12651" t="str" cm="1">
        <f t="array" ref="I12651">_xlfn.XLOOKUP(FACT_IMPORTS[[#This Row],[country_name]],DIM_COUNTRY[[#All],[Column2]],DIM_COUNTRY[[#All],[Column3]],,,)</f>
        <v>Major_Non-USMCA_Non-China</v>
      </c>
    </row>
    <row r="12652" spans="1:9" x14ac:dyDescent="0.4">
      <c r="A12652" t="s">
        <v>75</v>
      </c>
      <c r="B12652" s="1">
        <v>44958</v>
      </c>
      <c r="C12652">
        <v>854231</v>
      </c>
      <c r="D12652" t="s">
        <v>176</v>
      </c>
      <c r="E12652">
        <v>2404</v>
      </c>
      <c r="F12652">
        <v>1923</v>
      </c>
      <c r="G12652">
        <v>48</v>
      </c>
      <c r="H12652">
        <f>_xlfn.XLOOKUP(FACT_IMPORTS[[#This Row],[hts_6]],DIM_PRODUCTS[hts_6],DIM_PRODUCTS[hts_4],,,)</f>
        <v>8542</v>
      </c>
      <c r="I12652" t="str" cm="1">
        <f t="array" ref="I12652">_xlfn.XLOOKUP(FACT_IMPORTS[[#This Row],[country_name]],DIM_COUNTRY[[#All],[Column2]],DIM_COUNTRY[[#All],[Column3]],,,)</f>
        <v>Major_Non-USMCA_Non-China</v>
      </c>
    </row>
    <row r="12653" spans="1:9" x14ac:dyDescent="0.4">
      <c r="A12653" t="s">
        <v>75</v>
      </c>
      <c r="B12653" s="1">
        <v>44958</v>
      </c>
      <c r="C12653">
        <v>854232</v>
      </c>
      <c r="D12653" t="s">
        <v>176</v>
      </c>
      <c r="E12653">
        <v>0</v>
      </c>
      <c r="F12653">
        <v>0</v>
      </c>
      <c r="G12653">
        <v>0</v>
      </c>
      <c r="H12653">
        <f>_xlfn.XLOOKUP(FACT_IMPORTS[[#This Row],[hts_6]],DIM_PRODUCTS[hts_6],DIM_PRODUCTS[hts_4],,,)</f>
        <v>8542</v>
      </c>
      <c r="I12653" t="str" cm="1">
        <f t="array" ref="I12653">_xlfn.XLOOKUP(FACT_IMPORTS[[#This Row],[country_name]],DIM_COUNTRY[[#All],[Column2]],DIM_COUNTRY[[#All],[Column3]],,,)</f>
        <v>Major_Non-USMCA_Non-China</v>
      </c>
    </row>
    <row r="12654" spans="1:9" x14ac:dyDescent="0.4">
      <c r="A12654" t="s">
        <v>75</v>
      </c>
      <c r="B12654" s="1">
        <v>44958</v>
      </c>
      <c r="C12654">
        <v>854239</v>
      </c>
      <c r="D12654" t="s">
        <v>176</v>
      </c>
      <c r="E12654">
        <v>4248968</v>
      </c>
      <c r="F12654">
        <v>186902</v>
      </c>
      <c r="G12654">
        <v>261169</v>
      </c>
      <c r="H12654">
        <f>_xlfn.XLOOKUP(FACT_IMPORTS[[#This Row],[hts_6]],DIM_PRODUCTS[hts_6],DIM_PRODUCTS[hts_4],,,)</f>
        <v>8542</v>
      </c>
      <c r="I12654" t="str" cm="1">
        <f t="array" ref="I12654">_xlfn.XLOOKUP(FACT_IMPORTS[[#This Row],[country_name]],DIM_COUNTRY[[#All],[Column2]],DIM_COUNTRY[[#All],[Column3]],,,)</f>
        <v>Major_Non-USMCA_Non-China</v>
      </c>
    </row>
    <row r="12655" spans="1:9" x14ac:dyDescent="0.4">
      <c r="A12655" t="s">
        <v>75</v>
      </c>
      <c r="B12655" s="1">
        <v>44958</v>
      </c>
      <c r="C12655">
        <v>854290</v>
      </c>
      <c r="D12655" t="s">
        <v>176</v>
      </c>
      <c r="E12655">
        <v>0</v>
      </c>
      <c r="F12655">
        <v>0</v>
      </c>
      <c r="G12655">
        <v>0</v>
      </c>
      <c r="H12655">
        <f>_xlfn.XLOOKUP(FACT_IMPORTS[[#This Row],[hts_6]],DIM_PRODUCTS[hts_6],DIM_PRODUCTS[hts_4],,,)</f>
        <v>8542</v>
      </c>
      <c r="I12655" t="str" cm="1">
        <f t="array" ref="I12655">_xlfn.XLOOKUP(FACT_IMPORTS[[#This Row],[country_name]],DIM_COUNTRY[[#All],[Column2]],DIM_COUNTRY[[#All],[Column3]],,,)</f>
        <v>Major_Non-USMCA_Non-China</v>
      </c>
    </row>
    <row r="12656" spans="1:9" x14ac:dyDescent="0.4">
      <c r="A12656" t="s">
        <v>75</v>
      </c>
      <c r="B12656" s="1">
        <v>44958</v>
      </c>
      <c r="C12656">
        <v>854430</v>
      </c>
      <c r="D12656" t="s">
        <v>176</v>
      </c>
      <c r="E12656">
        <v>9222</v>
      </c>
      <c r="F12656">
        <v>2</v>
      </c>
      <c r="G12656">
        <v>92</v>
      </c>
      <c r="H12656">
        <f>_xlfn.XLOOKUP(FACT_IMPORTS[[#This Row],[hts_6]],DIM_PRODUCTS[hts_6],DIM_PRODUCTS[hts_4],,,)</f>
        <v>8544</v>
      </c>
      <c r="I12656" t="str" cm="1">
        <f t="array" ref="I12656">_xlfn.XLOOKUP(FACT_IMPORTS[[#This Row],[country_name]],DIM_COUNTRY[[#All],[Column2]],DIM_COUNTRY[[#All],[Column3]],,,)</f>
        <v>Major_Non-USMCA_Non-China</v>
      </c>
    </row>
    <row r="12657" spans="1:9" x14ac:dyDescent="0.4">
      <c r="A12657" t="s">
        <v>75</v>
      </c>
      <c r="B12657" s="1">
        <v>44958</v>
      </c>
      <c r="C12657">
        <v>870810</v>
      </c>
      <c r="D12657" t="s">
        <v>176</v>
      </c>
      <c r="E12657">
        <v>316011</v>
      </c>
      <c r="F12657">
        <v>6281</v>
      </c>
      <c r="G12657">
        <v>33403</v>
      </c>
      <c r="H12657">
        <f>_xlfn.XLOOKUP(FACT_IMPORTS[[#This Row],[hts_6]],DIM_PRODUCTS[hts_6],DIM_PRODUCTS[hts_4],,,)</f>
        <v>8708</v>
      </c>
      <c r="I12657" t="str" cm="1">
        <f t="array" ref="I12657">_xlfn.XLOOKUP(FACT_IMPORTS[[#This Row],[country_name]],DIM_COUNTRY[[#All],[Column2]],DIM_COUNTRY[[#All],[Column3]],,,)</f>
        <v>Major_Non-USMCA_Non-China</v>
      </c>
    </row>
    <row r="12658" spans="1:9" x14ac:dyDescent="0.4">
      <c r="A12658" t="s">
        <v>75</v>
      </c>
      <c r="B12658" s="1">
        <v>44958</v>
      </c>
      <c r="C12658">
        <v>870829</v>
      </c>
      <c r="D12658" t="s">
        <v>176</v>
      </c>
      <c r="E12658">
        <v>469420</v>
      </c>
      <c r="F12658">
        <v>109936</v>
      </c>
      <c r="G12658">
        <v>21778</v>
      </c>
      <c r="H12658">
        <f>_xlfn.XLOOKUP(FACT_IMPORTS[[#This Row],[hts_6]],DIM_PRODUCTS[hts_6],DIM_PRODUCTS[hts_4],,,)</f>
        <v>8708</v>
      </c>
      <c r="I12658" t="str" cm="1">
        <f t="array" ref="I12658">_xlfn.XLOOKUP(FACT_IMPORTS[[#This Row],[country_name]],DIM_COUNTRY[[#All],[Column2]],DIM_COUNTRY[[#All],[Column3]],,,)</f>
        <v>Major_Non-USMCA_Non-China</v>
      </c>
    </row>
    <row r="12659" spans="1:9" x14ac:dyDescent="0.4">
      <c r="A12659" t="s">
        <v>75</v>
      </c>
      <c r="B12659" s="1">
        <v>44958</v>
      </c>
      <c r="C12659">
        <v>870830</v>
      </c>
      <c r="D12659" t="s">
        <v>176</v>
      </c>
      <c r="E12659">
        <v>7041</v>
      </c>
      <c r="F12659">
        <v>27646</v>
      </c>
      <c r="G12659">
        <v>6</v>
      </c>
      <c r="H12659">
        <f>_xlfn.XLOOKUP(FACT_IMPORTS[[#This Row],[hts_6]],DIM_PRODUCTS[hts_6],DIM_PRODUCTS[hts_4],,,)</f>
        <v>8708</v>
      </c>
      <c r="I12659" t="str" cm="1">
        <f t="array" ref="I12659">_xlfn.XLOOKUP(FACT_IMPORTS[[#This Row],[country_name]],DIM_COUNTRY[[#All],[Column2]],DIM_COUNTRY[[#All],[Column3]],,,)</f>
        <v>Major_Non-USMCA_Non-China</v>
      </c>
    </row>
    <row r="12660" spans="1:9" x14ac:dyDescent="0.4">
      <c r="A12660" t="s">
        <v>75</v>
      </c>
      <c r="B12660" s="1">
        <v>44958</v>
      </c>
      <c r="C12660">
        <v>870840</v>
      </c>
      <c r="D12660" t="s">
        <v>176</v>
      </c>
      <c r="E12660">
        <v>85224</v>
      </c>
      <c r="F12660">
        <v>31104</v>
      </c>
      <c r="G12660">
        <v>164</v>
      </c>
      <c r="H12660">
        <f>_xlfn.XLOOKUP(FACT_IMPORTS[[#This Row],[hts_6]],DIM_PRODUCTS[hts_6],DIM_PRODUCTS[hts_4],,,)</f>
        <v>8708</v>
      </c>
      <c r="I12660" t="str" cm="1">
        <f t="array" ref="I12660">_xlfn.XLOOKUP(FACT_IMPORTS[[#This Row],[country_name]],DIM_COUNTRY[[#All],[Column2]],DIM_COUNTRY[[#All],[Column3]],,,)</f>
        <v>Major_Non-USMCA_Non-China</v>
      </c>
    </row>
    <row r="12661" spans="1:9" x14ac:dyDescent="0.4">
      <c r="A12661" t="s">
        <v>75</v>
      </c>
      <c r="B12661" s="1">
        <v>44958</v>
      </c>
      <c r="C12661">
        <v>870850</v>
      </c>
      <c r="D12661" t="s">
        <v>176</v>
      </c>
      <c r="E12661">
        <v>524991</v>
      </c>
      <c r="F12661">
        <v>3246</v>
      </c>
      <c r="G12661">
        <v>15530</v>
      </c>
      <c r="H12661">
        <f>_xlfn.XLOOKUP(FACT_IMPORTS[[#This Row],[hts_6]],DIM_PRODUCTS[hts_6],DIM_PRODUCTS[hts_4],,,)</f>
        <v>8708</v>
      </c>
      <c r="I12661" t="str" cm="1">
        <f t="array" ref="I12661">_xlfn.XLOOKUP(FACT_IMPORTS[[#This Row],[country_name]],DIM_COUNTRY[[#All],[Column2]],DIM_COUNTRY[[#All],[Column3]],,,)</f>
        <v>Major_Non-USMCA_Non-China</v>
      </c>
    </row>
    <row r="12662" spans="1:9" x14ac:dyDescent="0.4">
      <c r="A12662" t="s">
        <v>75</v>
      </c>
      <c r="B12662" s="1">
        <v>44958</v>
      </c>
      <c r="C12662">
        <v>870870</v>
      </c>
      <c r="D12662" t="s">
        <v>176</v>
      </c>
      <c r="E12662">
        <v>2307588</v>
      </c>
      <c r="F12662">
        <v>12206</v>
      </c>
      <c r="G12662">
        <v>84644</v>
      </c>
      <c r="H12662">
        <f>_xlfn.XLOOKUP(FACT_IMPORTS[[#This Row],[hts_6]],DIM_PRODUCTS[hts_6],DIM_PRODUCTS[hts_4],,,)</f>
        <v>8708</v>
      </c>
      <c r="I12662" t="str" cm="1">
        <f t="array" ref="I12662">_xlfn.XLOOKUP(FACT_IMPORTS[[#This Row],[country_name]],DIM_COUNTRY[[#All],[Column2]],DIM_COUNTRY[[#All],[Column3]],,,)</f>
        <v>Major_Non-USMCA_Non-China</v>
      </c>
    </row>
    <row r="12663" spans="1:9" x14ac:dyDescent="0.4">
      <c r="A12663" t="s">
        <v>75</v>
      </c>
      <c r="B12663" s="1">
        <v>44958</v>
      </c>
      <c r="C12663">
        <v>870880</v>
      </c>
      <c r="D12663" t="s">
        <v>176</v>
      </c>
      <c r="E12663">
        <v>485259</v>
      </c>
      <c r="F12663">
        <v>20362</v>
      </c>
      <c r="G12663">
        <v>42596</v>
      </c>
      <c r="H12663">
        <f>_xlfn.XLOOKUP(FACT_IMPORTS[[#This Row],[hts_6]],DIM_PRODUCTS[hts_6],DIM_PRODUCTS[hts_4],,,)</f>
        <v>8708</v>
      </c>
      <c r="I12663" t="str" cm="1">
        <f t="array" ref="I12663">_xlfn.XLOOKUP(FACT_IMPORTS[[#This Row],[country_name]],DIM_COUNTRY[[#All],[Column2]],DIM_COUNTRY[[#All],[Column3]],,,)</f>
        <v>Major_Non-USMCA_Non-China</v>
      </c>
    </row>
    <row r="12664" spans="1:9" x14ac:dyDescent="0.4">
      <c r="A12664" t="s">
        <v>75</v>
      </c>
      <c r="B12664" s="1">
        <v>44958</v>
      </c>
      <c r="C12664">
        <v>870891</v>
      </c>
      <c r="D12664" t="s">
        <v>176</v>
      </c>
      <c r="E12664">
        <v>67071</v>
      </c>
      <c r="F12664">
        <v>36535</v>
      </c>
      <c r="G12664">
        <v>10975</v>
      </c>
      <c r="H12664">
        <f>_xlfn.XLOOKUP(FACT_IMPORTS[[#This Row],[hts_6]],DIM_PRODUCTS[hts_6],DIM_PRODUCTS[hts_4],,,)</f>
        <v>8708</v>
      </c>
      <c r="I12664" t="str" cm="1">
        <f t="array" ref="I12664">_xlfn.XLOOKUP(FACT_IMPORTS[[#This Row],[country_name]],DIM_COUNTRY[[#All],[Column2]],DIM_COUNTRY[[#All],[Column3]],,,)</f>
        <v>Major_Non-USMCA_Non-China</v>
      </c>
    </row>
    <row r="12665" spans="1:9" x14ac:dyDescent="0.4">
      <c r="A12665" t="s">
        <v>75</v>
      </c>
      <c r="B12665" s="1">
        <v>44958</v>
      </c>
      <c r="C12665">
        <v>870892</v>
      </c>
      <c r="D12665" t="s">
        <v>176</v>
      </c>
      <c r="E12665">
        <v>32015</v>
      </c>
      <c r="F12665">
        <v>373</v>
      </c>
      <c r="G12665">
        <v>171</v>
      </c>
      <c r="H12665">
        <f>_xlfn.XLOOKUP(FACT_IMPORTS[[#This Row],[hts_6]],DIM_PRODUCTS[hts_6],DIM_PRODUCTS[hts_4],,,)</f>
        <v>8708</v>
      </c>
      <c r="I12665" t="str" cm="1">
        <f t="array" ref="I12665">_xlfn.XLOOKUP(FACT_IMPORTS[[#This Row],[country_name]],DIM_COUNTRY[[#All],[Column2]],DIM_COUNTRY[[#All],[Column3]],,,)</f>
        <v>Major_Non-USMCA_Non-China</v>
      </c>
    </row>
    <row r="12666" spans="1:9" x14ac:dyDescent="0.4">
      <c r="A12666" t="s">
        <v>75</v>
      </c>
      <c r="B12666" s="1">
        <v>44958</v>
      </c>
      <c r="C12666">
        <v>870893</v>
      </c>
      <c r="D12666" t="s">
        <v>176</v>
      </c>
      <c r="E12666">
        <v>25901</v>
      </c>
      <c r="F12666">
        <v>305</v>
      </c>
      <c r="G12666">
        <v>61</v>
      </c>
      <c r="H12666">
        <f>_xlfn.XLOOKUP(FACT_IMPORTS[[#This Row],[hts_6]],DIM_PRODUCTS[hts_6],DIM_PRODUCTS[hts_4],,,)</f>
        <v>8708</v>
      </c>
      <c r="I12666" t="str" cm="1">
        <f t="array" ref="I12666">_xlfn.XLOOKUP(FACT_IMPORTS[[#This Row],[country_name]],DIM_COUNTRY[[#All],[Column2]],DIM_COUNTRY[[#All],[Column3]],,,)</f>
        <v>Major_Non-USMCA_Non-China</v>
      </c>
    </row>
    <row r="12667" spans="1:9" x14ac:dyDescent="0.4">
      <c r="A12667" t="s">
        <v>75</v>
      </c>
      <c r="B12667" s="1">
        <v>44958</v>
      </c>
      <c r="C12667">
        <v>870894</v>
      </c>
      <c r="D12667" t="s">
        <v>176</v>
      </c>
      <c r="E12667">
        <v>17507</v>
      </c>
      <c r="F12667">
        <v>100500</v>
      </c>
      <c r="G12667">
        <v>377</v>
      </c>
      <c r="H12667">
        <f>_xlfn.XLOOKUP(FACT_IMPORTS[[#This Row],[hts_6]],DIM_PRODUCTS[hts_6],DIM_PRODUCTS[hts_4],,,)</f>
        <v>8708</v>
      </c>
      <c r="I12667" t="str" cm="1">
        <f t="array" ref="I12667">_xlfn.XLOOKUP(FACT_IMPORTS[[#This Row],[country_name]],DIM_COUNTRY[[#All],[Column2]],DIM_COUNTRY[[#All],[Column3]],,,)</f>
        <v>Major_Non-USMCA_Non-China</v>
      </c>
    </row>
    <row r="12668" spans="1:9" x14ac:dyDescent="0.4">
      <c r="A12668" t="s">
        <v>75</v>
      </c>
      <c r="B12668" s="1">
        <v>44958</v>
      </c>
      <c r="C12668">
        <v>870899</v>
      </c>
      <c r="D12668" t="s">
        <v>176</v>
      </c>
      <c r="E12668">
        <v>833158</v>
      </c>
      <c r="F12668">
        <v>753864</v>
      </c>
      <c r="G12668">
        <v>84163</v>
      </c>
      <c r="H12668">
        <f>_xlfn.XLOOKUP(FACT_IMPORTS[[#This Row],[hts_6]],DIM_PRODUCTS[hts_6],DIM_PRODUCTS[hts_4],,,)</f>
        <v>8708</v>
      </c>
      <c r="I12668" t="str" cm="1">
        <f t="array" ref="I12668">_xlfn.XLOOKUP(FACT_IMPORTS[[#This Row],[country_name]],DIM_COUNTRY[[#All],[Column2]],DIM_COUNTRY[[#All],[Column3]],,,)</f>
        <v>Major_Non-USMCA_Non-China</v>
      </c>
    </row>
    <row r="12669" spans="1:9" x14ac:dyDescent="0.4">
      <c r="A12669" t="s">
        <v>75</v>
      </c>
      <c r="B12669" s="1">
        <v>44958</v>
      </c>
      <c r="C12669">
        <v>940120</v>
      </c>
      <c r="D12669" t="s">
        <v>176</v>
      </c>
      <c r="E12669">
        <v>0</v>
      </c>
      <c r="F12669">
        <v>0</v>
      </c>
      <c r="G12669">
        <v>0</v>
      </c>
      <c r="H12669">
        <f>_xlfn.XLOOKUP(FACT_IMPORTS[[#This Row],[hts_6]],DIM_PRODUCTS[hts_6],DIM_PRODUCTS[hts_4],,,)</f>
        <v>9401</v>
      </c>
      <c r="I12669" t="str" cm="1">
        <f t="array" ref="I12669">_xlfn.XLOOKUP(FACT_IMPORTS[[#This Row],[country_name]],DIM_COUNTRY[[#All],[Column2]],DIM_COUNTRY[[#All],[Column3]],,,)</f>
        <v>Major_Non-USMCA_Non-China</v>
      </c>
    </row>
    <row r="12670" spans="1:9" x14ac:dyDescent="0.4">
      <c r="A12670" t="s">
        <v>75</v>
      </c>
      <c r="B12670" s="1">
        <v>44986</v>
      </c>
      <c r="C12670">
        <v>392630</v>
      </c>
      <c r="D12670" t="s">
        <v>176</v>
      </c>
      <c r="E12670">
        <v>120940</v>
      </c>
      <c r="F12670">
        <v>5648</v>
      </c>
      <c r="G12670">
        <v>7905</v>
      </c>
      <c r="H12670">
        <f>_xlfn.XLOOKUP(FACT_IMPORTS[[#This Row],[hts_6]],DIM_PRODUCTS[hts_6],DIM_PRODUCTS[hts_4],,,)</f>
        <v>3926</v>
      </c>
      <c r="I12670" t="str" cm="1">
        <f t="array" ref="I12670">_xlfn.XLOOKUP(FACT_IMPORTS[[#This Row],[country_name]],DIM_COUNTRY[[#All],[Column2]],DIM_COUNTRY[[#All],[Column3]],,,)</f>
        <v>Major_Non-USMCA_Non-China</v>
      </c>
    </row>
    <row r="12671" spans="1:9" x14ac:dyDescent="0.4">
      <c r="A12671" t="s">
        <v>75</v>
      </c>
      <c r="B12671" s="1">
        <v>44986</v>
      </c>
      <c r="C12671">
        <v>401110</v>
      </c>
      <c r="D12671" t="s">
        <v>176</v>
      </c>
      <c r="E12671">
        <v>750</v>
      </c>
      <c r="F12671">
        <v>10</v>
      </c>
      <c r="G12671">
        <v>7</v>
      </c>
      <c r="H12671">
        <f>_xlfn.XLOOKUP(FACT_IMPORTS[[#This Row],[hts_6]],DIM_PRODUCTS[hts_6],DIM_PRODUCTS[hts_4],,,)</f>
        <v>4011</v>
      </c>
      <c r="I12671" t="str" cm="1">
        <f t="array" ref="I12671">_xlfn.XLOOKUP(FACT_IMPORTS[[#This Row],[country_name]],DIM_COUNTRY[[#All],[Column2]],DIM_COUNTRY[[#All],[Column3]],,,)</f>
        <v>Major_Non-USMCA_Non-China</v>
      </c>
    </row>
    <row r="12672" spans="1:9" x14ac:dyDescent="0.4">
      <c r="A12672" t="s">
        <v>75</v>
      </c>
      <c r="B12672" s="1">
        <v>44986</v>
      </c>
      <c r="C12672">
        <v>401120</v>
      </c>
      <c r="D12672" t="s">
        <v>176</v>
      </c>
      <c r="E12672">
        <v>150962</v>
      </c>
      <c r="F12672">
        <v>1841</v>
      </c>
      <c r="G12672">
        <v>1118</v>
      </c>
      <c r="H12672">
        <f>_xlfn.XLOOKUP(FACT_IMPORTS[[#This Row],[hts_6]],DIM_PRODUCTS[hts_6],DIM_PRODUCTS[hts_4],,,)</f>
        <v>4011</v>
      </c>
      <c r="I12672" t="str" cm="1">
        <f t="array" ref="I12672">_xlfn.XLOOKUP(FACT_IMPORTS[[#This Row],[country_name]],DIM_COUNTRY[[#All],[Column2]],DIM_COUNTRY[[#All],[Column3]],,,)</f>
        <v>Major_Non-USMCA_Non-China</v>
      </c>
    </row>
    <row r="12673" spans="1:9" x14ac:dyDescent="0.4">
      <c r="A12673" t="s">
        <v>75</v>
      </c>
      <c r="B12673" s="1">
        <v>44986</v>
      </c>
      <c r="C12673">
        <v>401140</v>
      </c>
      <c r="D12673" t="s">
        <v>176</v>
      </c>
      <c r="E12673">
        <v>2877</v>
      </c>
      <c r="F12673">
        <v>54</v>
      </c>
      <c r="G12673">
        <v>24</v>
      </c>
      <c r="H12673">
        <f>_xlfn.XLOOKUP(FACT_IMPORTS[[#This Row],[hts_6]],DIM_PRODUCTS[hts_6],DIM_PRODUCTS[hts_4],,,)</f>
        <v>4011</v>
      </c>
      <c r="I12673" t="str" cm="1">
        <f t="array" ref="I12673">_xlfn.XLOOKUP(FACT_IMPORTS[[#This Row],[country_name]],DIM_COUNTRY[[#All],[Column2]],DIM_COUNTRY[[#All],[Column3]],,,)</f>
        <v>Major_Non-USMCA_Non-China</v>
      </c>
    </row>
    <row r="12674" spans="1:9" x14ac:dyDescent="0.4">
      <c r="A12674" t="s">
        <v>75</v>
      </c>
      <c r="B12674" s="1">
        <v>44986</v>
      </c>
      <c r="C12674">
        <v>401190</v>
      </c>
      <c r="D12674" t="s">
        <v>176</v>
      </c>
      <c r="E12674">
        <v>8161</v>
      </c>
      <c r="F12674">
        <v>114</v>
      </c>
      <c r="G12674">
        <v>43</v>
      </c>
      <c r="H12674">
        <f>_xlfn.XLOOKUP(FACT_IMPORTS[[#This Row],[hts_6]],DIM_PRODUCTS[hts_6],DIM_PRODUCTS[hts_4],,,)</f>
        <v>4011</v>
      </c>
      <c r="I12674" t="str" cm="1">
        <f t="array" ref="I12674">_xlfn.XLOOKUP(FACT_IMPORTS[[#This Row],[country_name]],DIM_COUNTRY[[#All],[Column2]],DIM_COUNTRY[[#All],[Column3]],,,)</f>
        <v>Major_Non-USMCA_Non-China</v>
      </c>
    </row>
    <row r="12675" spans="1:9" x14ac:dyDescent="0.4">
      <c r="A12675" t="s">
        <v>75</v>
      </c>
      <c r="B12675" s="1">
        <v>44986</v>
      </c>
      <c r="C12675">
        <v>700910</v>
      </c>
      <c r="D12675" t="s">
        <v>176</v>
      </c>
      <c r="E12675">
        <v>87904</v>
      </c>
      <c r="F12675">
        <v>10924</v>
      </c>
      <c r="G12675">
        <v>4525</v>
      </c>
      <c r="H12675">
        <f>_xlfn.XLOOKUP(FACT_IMPORTS[[#This Row],[hts_6]],DIM_PRODUCTS[hts_6],DIM_PRODUCTS[hts_4],,,)</f>
        <v>7009</v>
      </c>
      <c r="I12675" t="str" cm="1">
        <f t="array" ref="I12675">_xlfn.XLOOKUP(FACT_IMPORTS[[#This Row],[country_name]],DIM_COUNTRY[[#All],[Column2]],DIM_COUNTRY[[#All],[Column3]],,,)</f>
        <v>Major_Non-USMCA_Non-China</v>
      </c>
    </row>
    <row r="12676" spans="1:9" x14ac:dyDescent="0.4">
      <c r="A12676" t="s">
        <v>75</v>
      </c>
      <c r="B12676" s="1">
        <v>44986</v>
      </c>
      <c r="C12676">
        <v>830230</v>
      </c>
      <c r="D12676" t="s">
        <v>176</v>
      </c>
      <c r="E12676">
        <v>343413</v>
      </c>
      <c r="F12676">
        <v>25731</v>
      </c>
      <c r="G12676">
        <v>34714</v>
      </c>
      <c r="H12676">
        <f>_xlfn.XLOOKUP(FACT_IMPORTS[[#This Row],[hts_6]],DIM_PRODUCTS[hts_6],DIM_PRODUCTS[hts_4],,,)</f>
        <v>8302</v>
      </c>
      <c r="I12676" t="str" cm="1">
        <f t="array" ref="I12676">_xlfn.XLOOKUP(FACT_IMPORTS[[#This Row],[country_name]],DIM_COUNTRY[[#All],[Column2]],DIM_COUNTRY[[#All],[Column3]],,,)</f>
        <v>Major_Non-USMCA_Non-China</v>
      </c>
    </row>
    <row r="12677" spans="1:9" x14ac:dyDescent="0.4">
      <c r="A12677" t="s">
        <v>75</v>
      </c>
      <c r="B12677" s="1">
        <v>44986</v>
      </c>
      <c r="C12677">
        <v>840732</v>
      </c>
      <c r="D12677" t="s">
        <v>176</v>
      </c>
      <c r="E12677">
        <v>0</v>
      </c>
      <c r="F12677">
        <v>0</v>
      </c>
      <c r="G12677">
        <v>0</v>
      </c>
      <c r="H12677">
        <f>_xlfn.XLOOKUP(FACT_IMPORTS[[#This Row],[hts_6]],DIM_PRODUCTS[hts_6],DIM_PRODUCTS[hts_4],,,)</f>
        <v>8407</v>
      </c>
      <c r="I12677" t="str" cm="1">
        <f t="array" ref="I12677">_xlfn.XLOOKUP(FACT_IMPORTS[[#This Row],[country_name]],DIM_COUNTRY[[#All],[Column2]],DIM_COUNTRY[[#All],[Column3]],,,)</f>
        <v>Major_Non-USMCA_Non-China</v>
      </c>
    </row>
    <row r="12678" spans="1:9" x14ac:dyDescent="0.4">
      <c r="A12678" t="s">
        <v>75</v>
      </c>
      <c r="B12678" s="1">
        <v>44986</v>
      </c>
      <c r="C12678">
        <v>840733</v>
      </c>
      <c r="D12678" t="s">
        <v>176</v>
      </c>
      <c r="E12678">
        <v>4200</v>
      </c>
      <c r="F12678">
        <v>1</v>
      </c>
      <c r="G12678">
        <v>250</v>
      </c>
      <c r="H12678">
        <f>_xlfn.XLOOKUP(FACT_IMPORTS[[#This Row],[hts_6]],DIM_PRODUCTS[hts_6],DIM_PRODUCTS[hts_4],,,)</f>
        <v>8407</v>
      </c>
      <c r="I12678" t="str" cm="1">
        <f t="array" ref="I12678">_xlfn.XLOOKUP(FACT_IMPORTS[[#This Row],[country_name]],DIM_COUNTRY[[#All],[Column2]],DIM_COUNTRY[[#All],[Column3]],,,)</f>
        <v>Major_Non-USMCA_Non-China</v>
      </c>
    </row>
    <row r="12679" spans="1:9" x14ac:dyDescent="0.4">
      <c r="A12679" t="s">
        <v>75</v>
      </c>
      <c r="B12679" s="1">
        <v>44986</v>
      </c>
      <c r="C12679">
        <v>840991</v>
      </c>
      <c r="D12679" t="s">
        <v>176</v>
      </c>
      <c r="E12679">
        <v>129596</v>
      </c>
      <c r="F12679">
        <v>10750</v>
      </c>
      <c r="G12679">
        <v>3337</v>
      </c>
      <c r="H12679">
        <f>_xlfn.XLOOKUP(FACT_IMPORTS[[#This Row],[hts_6]],DIM_PRODUCTS[hts_6],DIM_PRODUCTS[hts_4],,,)</f>
        <v>8409</v>
      </c>
      <c r="I12679" t="str" cm="1">
        <f t="array" ref="I12679">_xlfn.XLOOKUP(FACT_IMPORTS[[#This Row],[country_name]],DIM_COUNTRY[[#All],[Column2]],DIM_COUNTRY[[#All],[Column3]],,,)</f>
        <v>Major_Non-USMCA_Non-China</v>
      </c>
    </row>
    <row r="12680" spans="1:9" x14ac:dyDescent="0.4">
      <c r="A12680" t="s">
        <v>75</v>
      </c>
      <c r="B12680" s="1">
        <v>44986</v>
      </c>
      <c r="C12680">
        <v>840999</v>
      </c>
      <c r="D12680" t="s">
        <v>176</v>
      </c>
      <c r="E12680">
        <v>0</v>
      </c>
      <c r="F12680">
        <v>0</v>
      </c>
      <c r="G12680">
        <v>0</v>
      </c>
      <c r="H12680">
        <f>_xlfn.XLOOKUP(FACT_IMPORTS[[#This Row],[hts_6]],DIM_PRODUCTS[hts_6],DIM_PRODUCTS[hts_4],,,)</f>
        <v>8409</v>
      </c>
      <c r="I12680" t="str" cm="1">
        <f t="array" ref="I12680">_xlfn.XLOOKUP(FACT_IMPORTS[[#This Row],[country_name]],DIM_COUNTRY[[#All],[Column2]],DIM_COUNTRY[[#All],[Column3]],,,)</f>
        <v>Major_Non-USMCA_Non-China</v>
      </c>
    </row>
    <row r="12681" spans="1:9" x14ac:dyDescent="0.4">
      <c r="A12681" t="s">
        <v>75</v>
      </c>
      <c r="B12681" s="1">
        <v>44986</v>
      </c>
      <c r="C12681">
        <v>841330</v>
      </c>
      <c r="D12681" t="s">
        <v>176</v>
      </c>
      <c r="E12681">
        <v>14569</v>
      </c>
      <c r="F12681">
        <v>253</v>
      </c>
      <c r="G12681">
        <v>598</v>
      </c>
      <c r="H12681">
        <f>_xlfn.XLOOKUP(FACT_IMPORTS[[#This Row],[hts_6]],DIM_PRODUCTS[hts_6],DIM_PRODUCTS[hts_4],,,)</f>
        <v>8413</v>
      </c>
      <c r="I12681" t="str" cm="1">
        <f t="array" ref="I12681">_xlfn.XLOOKUP(FACT_IMPORTS[[#This Row],[country_name]],DIM_COUNTRY[[#All],[Column2]],DIM_COUNTRY[[#All],[Column3]],,,)</f>
        <v>Major_Non-USMCA_Non-China</v>
      </c>
    </row>
    <row r="12682" spans="1:9" x14ac:dyDescent="0.4">
      <c r="A12682" t="s">
        <v>75</v>
      </c>
      <c r="B12682" s="1">
        <v>44986</v>
      </c>
      <c r="C12682">
        <v>842132</v>
      </c>
      <c r="D12682" t="s">
        <v>176</v>
      </c>
      <c r="E12682">
        <v>0</v>
      </c>
      <c r="F12682">
        <v>0</v>
      </c>
      <c r="G12682">
        <v>0</v>
      </c>
      <c r="H12682">
        <f>_xlfn.XLOOKUP(FACT_IMPORTS[[#This Row],[hts_6]],DIM_PRODUCTS[hts_6],DIM_PRODUCTS[hts_4],,,)</f>
        <v>8421</v>
      </c>
      <c r="I12682" t="str" cm="1">
        <f t="array" ref="I12682">_xlfn.XLOOKUP(FACT_IMPORTS[[#This Row],[country_name]],DIM_COUNTRY[[#All],[Column2]],DIM_COUNTRY[[#All],[Column3]],,,)</f>
        <v>Major_Non-USMCA_Non-China</v>
      </c>
    </row>
    <row r="12683" spans="1:9" x14ac:dyDescent="0.4">
      <c r="A12683" t="s">
        <v>75</v>
      </c>
      <c r="B12683" s="1">
        <v>44986</v>
      </c>
      <c r="C12683">
        <v>848210</v>
      </c>
      <c r="D12683" t="s">
        <v>176</v>
      </c>
      <c r="E12683">
        <v>4072</v>
      </c>
      <c r="F12683">
        <v>272</v>
      </c>
      <c r="G12683">
        <v>248</v>
      </c>
      <c r="H12683">
        <f>_xlfn.XLOOKUP(FACT_IMPORTS[[#This Row],[hts_6]],DIM_PRODUCTS[hts_6],DIM_PRODUCTS[hts_4],,,)</f>
        <v>8482</v>
      </c>
      <c r="I12683" t="str" cm="1">
        <f t="array" ref="I12683">_xlfn.XLOOKUP(FACT_IMPORTS[[#This Row],[country_name]],DIM_COUNTRY[[#All],[Column2]],DIM_COUNTRY[[#All],[Column3]],,,)</f>
        <v>Major_Non-USMCA_Non-China</v>
      </c>
    </row>
    <row r="12684" spans="1:9" x14ac:dyDescent="0.4">
      <c r="A12684" t="s">
        <v>75</v>
      </c>
      <c r="B12684" s="1">
        <v>44986</v>
      </c>
      <c r="C12684">
        <v>848310</v>
      </c>
      <c r="D12684" t="s">
        <v>176</v>
      </c>
      <c r="E12684">
        <v>18117</v>
      </c>
      <c r="F12684">
        <v>68</v>
      </c>
      <c r="G12684">
        <v>34</v>
      </c>
      <c r="H12684">
        <f>_xlfn.XLOOKUP(FACT_IMPORTS[[#This Row],[hts_6]],DIM_PRODUCTS[hts_6],DIM_PRODUCTS[hts_4],,,)</f>
        <v>8483</v>
      </c>
      <c r="I12684" t="str" cm="1">
        <f t="array" ref="I12684">_xlfn.XLOOKUP(FACT_IMPORTS[[#This Row],[country_name]],DIM_COUNTRY[[#All],[Column2]],DIM_COUNTRY[[#All],[Column3]],,,)</f>
        <v>Major_Non-USMCA_Non-China</v>
      </c>
    </row>
    <row r="12685" spans="1:9" x14ac:dyDescent="0.4">
      <c r="A12685" t="s">
        <v>75</v>
      </c>
      <c r="B12685" s="1">
        <v>44986</v>
      </c>
      <c r="C12685">
        <v>850131</v>
      </c>
      <c r="D12685" t="s">
        <v>176</v>
      </c>
      <c r="E12685">
        <v>2261</v>
      </c>
      <c r="F12685">
        <v>2</v>
      </c>
      <c r="G12685">
        <v>43</v>
      </c>
      <c r="H12685">
        <f>_xlfn.XLOOKUP(FACT_IMPORTS[[#This Row],[hts_6]],DIM_PRODUCTS[hts_6],DIM_PRODUCTS[hts_4],,,)</f>
        <v>8501</v>
      </c>
      <c r="I12685" t="str" cm="1">
        <f t="array" ref="I12685">_xlfn.XLOOKUP(FACT_IMPORTS[[#This Row],[country_name]],DIM_COUNTRY[[#All],[Column2]],DIM_COUNTRY[[#All],[Column3]],,,)</f>
        <v>Major_Non-USMCA_Non-China</v>
      </c>
    </row>
    <row r="12686" spans="1:9" x14ac:dyDescent="0.4">
      <c r="A12686" t="s">
        <v>75</v>
      </c>
      <c r="B12686" s="1">
        <v>44986</v>
      </c>
      <c r="C12686">
        <v>850132</v>
      </c>
      <c r="D12686" t="s">
        <v>176</v>
      </c>
      <c r="E12686">
        <v>0</v>
      </c>
      <c r="F12686">
        <v>0</v>
      </c>
      <c r="G12686">
        <v>0</v>
      </c>
      <c r="H12686">
        <f>_xlfn.XLOOKUP(FACT_IMPORTS[[#This Row],[hts_6]],DIM_PRODUCTS[hts_6],DIM_PRODUCTS[hts_4],,,)</f>
        <v>8501</v>
      </c>
      <c r="I12686" t="str" cm="1">
        <f t="array" ref="I12686">_xlfn.XLOOKUP(FACT_IMPORTS[[#This Row],[country_name]],DIM_COUNTRY[[#All],[Column2]],DIM_COUNTRY[[#All],[Column3]],,,)</f>
        <v>Major_Non-USMCA_Non-China</v>
      </c>
    </row>
    <row r="12687" spans="1:9" x14ac:dyDescent="0.4">
      <c r="A12687" t="s">
        <v>75</v>
      </c>
      <c r="B12687" s="1">
        <v>44986</v>
      </c>
      <c r="C12687">
        <v>850152</v>
      </c>
      <c r="D12687" t="s">
        <v>176</v>
      </c>
      <c r="E12687">
        <v>78362</v>
      </c>
      <c r="F12687">
        <v>1681</v>
      </c>
      <c r="G12687">
        <v>1246</v>
      </c>
      <c r="H12687">
        <f>_xlfn.XLOOKUP(FACT_IMPORTS[[#This Row],[hts_6]],DIM_PRODUCTS[hts_6],DIM_PRODUCTS[hts_4],,,)</f>
        <v>8501</v>
      </c>
      <c r="I12687" t="str" cm="1">
        <f t="array" ref="I12687">_xlfn.XLOOKUP(FACT_IMPORTS[[#This Row],[country_name]],DIM_COUNTRY[[#All],[Column2]],DIM_COUNTRY[[#All],[Column3]],,,)</f>
        <v>Major_Non-USMCA_Non-China</v>
      </c>
    </row>
    <row r="12688" spans="1:9" x14ac:dyDescent="0.4">
      <c r="A12688" t="s">
        <v>75</v>
      </c>
      <c r="B12688" s="1">
        <v>44986</v>
      </c>
      <c r="C12688">
        <v>850153</v>
      </c>
      <c r="D12688" t="s">
        <v>176</v>
      </c>
      <c r="E12688">
        <v>12605</v>
      </c>
      <c r="F12688">
        <v>2</v>
      </c>
      <c r="G12688">
        <v>81</v>
      </c>
      <c r="H12688">
        <f>_xlfn.XLOOKUP(FACT_IMPORTS[[#This Row],[hts_6]],DIM_PRODUCTS[hts_6],DIM_PRODUCTS[hts_4],,,)</f>
        <v>8501</v>
      </c>
      <c r="I12688" t="str" cm="1">
        <f t="array" ref="I12688">_xlfn.XLOOKUP(FACT_IMPORTS[[#This Row],[country_name]],DIM_COUNTRY[[#All],[Column2]],DIM_COUNTRY[[#All],[Column3]],,,)</f>
        <v>Major_Non-USMCA_Non-China</v>
      </c>
    </row>
    <row r="12689" spans="1:9" x14ac:dyDescent="0.4">
      <c r="A12689" t="s">
        <v>75</v>
      </c>
      <c r="B12689" s="1">
        <v>44986</v>
      </c>
      <c r="C12689">
        <v>850440</v>
      </c>
      <c r="D12689" t="s">
        <v>176</v>
      </c>
      <c r="E12689">
        <v>3048335</v>
      </c>
      <c r="F12689">
        <v>15825</v>
      </c>
      <c r="G12689">
        <v>3872</v>
      </c>
      <c r="H12689">
        <f>_xlfn.XLOOKUP(FACT_IMPORTS[[#This Row],[hts_6]],DIM_PRODUCTS[hts_6],DIM_PRODUCTS[hts_4],,,)</f>
        <v>8504</v>
      </c>
      <c r="I12689" t="str" cm="1">
        <f t="array" ref="I12689">_xlfn.XLOOKUP(FACT_IMPORTS[[#This Row],[country_name]],DIM_COUNTRY[[#All],[Column2]],DIM_COUNTRY[[#All],[Column3]],,,)</f>
        <v>Major_Non-USMCA_Non-China</v>
      </c>
    </row>
    <row r="12690" spans="1:9" x14ac:dyDescent="0.4">
      <c r="A12690" t="s">
        <v>75</v>
      </c>
      <c r="B12690" s="1">
        <v>44986</v>
      </c>
      <c r="C12690">
        <v>850710</v>
      </c>
      <c r="D12690" t="s">
        <v>176</v>
      </c>
      <c r="E12690">
        <v>121593</v>
      </c>
      <c r="F12690">
        <v>2012</v>
      </c>
      <c r="G12690">
        <v>332</v>
      </c>
      <c r="H12690">
        <f>_xlfn.XLOOKUP(FACT_IMPORTS[[#This Row],[hts_6]],DIM_PRODUCTS[hts_6],DIM_PRODUCTS[hts_4],,,)</f>
        <v>8507</v>
      </c>
      <c r="I12690" t="str" cm="1">
        <f t="array" ref="I12690">_xlfn.XLOOKUP(FACT_IMPORTS[[#This Row],[country_name]],DIM_COUNTRY[[#All],[Column2]],DIM_COUNTRY[[#All],[Column3]],,,)</f>
        <v>Major_Non-USMCA_Non-China</v>
      </c>
    </row>
    <row r="12691" spans="1:9" x14ac:dyDescent="0.4">
      <c r="A12691" t="s">
        <v>75</v>
      </c>
      <c r="B12691" s="1">
        <v>44986</v>
      </c>
      <c r="C12691">
        <v>850760</v>
      </c>
      <c r="D12691" t="s">
        <v>176</v>
      </c>
      <c r="E12691">
        <v>7429</v>
      </c>
      <c r="F12691">
        <v>143</v>
      </c>
      <c r="G12691">
        <v>14</v>
      </c>
      <c r="H12691">
        <f>_xlfn.XLOOKUP(FACT_IMPORTS[[#This Row],[hts_6]],DIM_PRODUCTS[hts_6],DIM_PRODUCTS[hts_4],,,)</f>
        <v>8507</v>
      </c>
      <c r="I12691" t="str" cm="1">
        <f t="array" ref="I12691">_xlfn.XLOOKUP(FACT_IMPORTS[[#This Row],[country_name]],DIM_COUNTRY[[#All],[Column2]],DIM_COUNTRY[[#All],[Column3]],,,)</f>
        <v>Major_Non-USMCA_Non-China</v>
      </c>
    </row>
    <row r="12692" spans="1:9" x14ac:dyDescent="0.4">
      <c r="A12692" t="s">
        <v>75</v>
      </c>
      <c r="B12692" s="1">
        <v>44986</v>
      </c>
      <c r="C12692">
        <v>851120</v>
      </c>
      <c r="D12692" t="s">
        <v>176</v>
      </c>
      <c r="E12692">
        <v>0</v>
      </c>
      <c r="F12692">
        <v>0</v>
      </c>
      <c r="G12692">
        <v>0</v>
      </c>
      <c r="H12692">
        <f>_xlfn.XLOOKUP(FACT_IMPORTS[[#This Row],[hts_6]],DIM_PRODUCTS[hts_6],DIM_PRODUCTS[hts_4],,,)</f>
        <v>8511</v>
      </c>
      <c r="I12692" t="str" cm="1">
        <f t="array" ref="I12692">_xlfn.XLOOKUP(FACT_IMPORTS[[#This Row],[country_name]],DIM_COUNTRY[[#All],[Column2]],DIM_COUNTRY[[#All],[Column3]],,,)</f>
        <v>Major_Non-USMCA_Non-China</v>
      </c>
    </row>
    <row r="12693" spans="1:9" x14ac:dyDescent="0.4">
      <c r="A12693" t="s">
        <v>75</v>
      </c>
      <c r="B12693" s="1">
        <v>44986</v>
      </c>
      <c r="C12693">
        <v>851130</v>
      </c>
      <c r="D12693" t="s">
        <v>176</v>
      </c>
      <c r="E12693">
        <v>58096</v>
      </c>
      <c r="F12693">
        <v>1494</v>
      </c>
      <c r="G12693">
        <v>2412</v>
      </c>
      <c r="H12693">
        <f>_xlfn.XLOOKUP(FACT_IMPORTS[[#This Row],[hts_6]],DIM_PRODUCTS[hts_6],DIM_PRODUCTS[hts_4],,,)</f>
        <v>8511</v>
      </c>
      <c r="I12693" t="str" cm="1">
        <f t="array" ref="I12693">_xlfn.XLOOKUP(FACT_IMPORTS[[#This Row],[country_name]],DIM_COUNTRY[[#All],[Column2]],DIM_COUNTRY[[#All],[Column3]],,,)</f>
        <v>Major_Non-USMCA_Non-China</v>
      </c>
    </row>
    <row r="12694" spans="1:9" x14ac:dyDescent="0.4">
      <c r="A12694" t="s">
        <v>75</v>
      </c>
      <c r="B12694" s="1">
        <v>44986</v>
      </c>
      <c r="C12694">
        <v>851140</v>
      </c>
      <c r="D12694" t="s">
        <v>176</v>
      </c>
      <c r="E12694">
        <v>17415</v>
      </c>
      <c r="F12694">
        <v>116</v>
      </c>
      <c r="G12694">
        <v>41</v>
      </c>
      <c r="H12694">
        <f>_xlfn.XLOOKUP(FACT_IMPORTS[[#This Row],[hts_6]],DIM_PRODUCTS[hts_6],DIM_PRODUCTS[hts_4],,,)</f>
        <v>8511</v>
      </c>
      <c r="I12694" t="str" cm="1">
        <f t="array" ref="I12694">_xlfn.XLOOKUP(FACT_IMPORTS[[#This Row],[country_name]],DIM_COUNTRY[[#All],[Column2]],DIM_COUNTRY[[#All],[Column3]],,,)</f>
        <v>Major_Non-USMCA_Non-China</v>
      </c>
    </row>
    <row r="12695" spans="1:9" x14ac:dyDescent="0.4">
      <c r="A12695" t="s">
        <v>75</v>
      </c>
      <c r="B12695" s="1">
        <v>44986</v>
      </c>
      <c r="C12695">
        <v>851150</v>
      </c>
      <c r="D12695" t="s">
        <v>176</v>
      </c>
      <c r="E12695">
        <v>15823</v>
      </c>
      <c r="F12695">
        <v>103</v>
      </c>
      <c r="G12695">
        <v>553</v>
      </c>
      <c r="H12695">
        <f>_xlfn.XLOOKUP(FACT_IMPORTS[[#This Row],[hts_6]],DIM_PRODUCTS[hts_6],DIM_PRODUCTS[hts_4],,,)</f>
        <v>8511</v>
      </c>
      <c r="I12695" t="str" cm="1">
        <f t="array" ref="I12695">_xlfn.XLOOKUP(FACT_IMPORTS[[#This Row],[country_name]],DIM_COUNTRY[[#All],[Column2]],DIM_COUNTRY[[#All],[Column3]],,,)</f>
        <v>Major_Non-USMCA_Non-China</v>
      </c>
    </row>
    <row r="12696" spans="1:9" x14ac:dyDescent="0.4">
      <c r="A12696" t="s">
        <v>75</v>
      </c>
      <c r="B12696" s="1">
        <v>44986</v>
      </c>
      <c r="C12696">
        <v>851180</v>
      </c>
      <c r="D12696" t="s">
        <v>176</v>
      </c>
      <c r="E12696">
        <v>0</v>
      </c>
      <c r="F12696">
        <v>0</v>
      </c>
      <c r="G12696">
        <v>0</v>
      </c>
      <c r="H12696">
        <f>_xlfn.XLOOKUP(FACT_IMPORTS[[#This Row],[hts_6]],DIM_PRODUCTS[hts_6],DIM_PRODUCTS[hts_4],,,)</f>
        <v>8511</v>
      </c>
      <c r="I12696" t="str" cm="1">
        <f t="array" ref="I12696">_xlfn.XLOOKUP(FACT_IMPORTS[[#This Row],[country_name]],DIM_COUNTRY[[#All],[Column2]],DIM_COUNTRY[[#All],[Column3]],,,)</f>
        <v>Major_Non-USMCA_Non-China</v>
      </c>
    </row>
    <row r="12697" spans="1:9" x14ac:dyDescent="0.4">
      <c r="A12697" t="s">
        <v>75</v>
      </c>
      <c r="B12697" s="1">
        <v>44986</v>
      </c>
      <c r="C12697">
        <v>851190</v>
      </c>
      <c r="D12697" t="s">
        <v>176</v>
      </c>
      <c r="E12697">
        <v>0</v>
      </c>
      <c r="F12697">
        <v>0</v>
      </c>
      <c r="G12697">
        <v>0</v>
      </c>
      <c r="H12697">
        <f>_xlfn.XLOOKUP(FACT_IMPORTS[[#This Row],[hts_6]],DIM_PRODUCTS[hts_6],DIM_PRODUCTS[hts_4],,,)</f>
        <v>8511</v>
      </c>
      <c r="I12697" t="str" cm="1">
        <f t="array" ref="I12697">_xlfn.XLOOKUP(FACT_IMPORTS[[#This Row],[country_name]],DIM_COUNTRY[[#All],[Column2]],DIM_COUNTRY[[#All],[Column3]],,,)</f>
        <v>Major_Non-USMCA_Non-China</v>
      </c>
    </row>
    <row r="12698" spans="1:9" x14ac:dyDescent="0.4">
      <c r="A12698" t="s">
        <v>75</v>
      </c>
      <c r="B12698" s="1">
        <v>44986</v>
      </c>
      <c r="C12698">
        <v>851220</v>
      </c>
      <c r="D12698" t="s">
        <v>176</v>
      </c>
      <c r="E12698">
        <v>3955239</v>
      </c>
      <c r="F12698">
        <v>898632</v>
      </c>
      <c r="G12698">
        <v>51236</v>
      </c>
      <c r="H12698">
        <f>_xlfn.XLOOKUP(FACT_IMPORTS[[#This Row],[hts_6]],DIM_PRODUCTS[hts_6],DIM_PRODUCTS[hts_4],,,)</f>
        <v>8512</v>
      </c>
      <c r="I12698" t="str" cm="1">
        <f t="array" ref="I12698">_xlfn.XLOOKUP(FACT_IMPORTS[[#This Row],[country_name]],DIM_COUNTRY[[#All],[Column2]],DIM_COUNTRY[[#All],[Column3]],,,)</f>
        <v>Major_Non-USMCA_Non-China</v>
      </c>
    </row>
    <row r="12699" spans="1:9" x14ac:dyDescent="0.4">
      <c r="A12699" t="s">
        <v>75</v>
      </c>
      <c r="B12699" s="1">
        <v>44986</v>
      </c>
      <c r="C12699">
        <v>851230</v>
      </c>
      <c r="D12699" t="s">
        <v>176</v>
      </c>
      <c r="E12699">
        <v>0</v>
      </c>
      <c r="F12699">
        <v>0</v>
      </c>
      <c r="G12699">
        <v>0</v>
      </c>
      <c r="H12699">
        <f>_xlfn.XLOOKUP(FACT_IMPORTS[[#This Row],[hts_6]],DIM_PRODUCTS[hts_6],DIM_PRODUCTS[hts_4],,,)</f>
        <v>8512</v>
      </c>
      <c r="I12699" t="str" cm="1">
        <f t="array" ref="I12699">_xlfn.XLOOKUP(FACT_IMPORTS[[#This Row],[country_name]],DIM_COUNTRY[[#All],[Column2]],DIM_COUNTRY[[#All],[Column3]],,,)</f>
        <v>Major_Non-USMCA_Non-China</v>
      </c>
    </row>
    <row r="12700" spans="1:9" x14ac:dyDescent="0.4">
      <c r="A12700" t="s">
        <v>75</v>
      </c>
      <c r="B12700" s="1">
        <v>44986</v>
      </c>
      <c r="C12700">
        <v>851240</v>
      </c>
      <c r="D12700" t="s">
        <v>176</v>
      </c>
      <c r="E12700">
        <v>0</v>
      </c>
      <c r="F12700">
        <v>0</v>
      </c>
      <c r="G12700">
        <v>0</v>
      </c>
      <c r="H12700">
        <f>_xlfn.XLOOKUP(FACT_IMPORTS[[#This Row],[hts_6]],DIM_PRODUCTS[hts_6],DIM_PRODUCTS[hts_4],,,)</f>
        <v>8512</v>
      </c>
      <c r="I12700" t="str" cm="1">
        <f t="array" ref="I12700">_xlfn.XLOOKUP(FACT_IMPORTS[[#This Row],[country_name]],DIM_COUNTRY[[#All],[Column2]],DIM_COUNTRY[[#All],[Column3]],,,)</f>
        <v>Major_Non-USMCA_Non-China</v>
      </c>
    </row>
    <row r="12701" spans="1:9" x14ac:dyDescent="0.4">
      <c r="A12701" t="s">
        <v>75</v>
      </c>
      <c r="B12701" s="1">
        <v>44986</v>
      </c>
      <c r="C12701">
        <v>851290</v>
      </c>
      <c r="D12701" t="s">
        <v>176</v>
      </c>
      <c r="E12701">
        <v>1004115</v>
      </c>
      <c r="F12701">
        <v>52489</v>
      </c>
      <c r="G12701">
        <v>21064</v>
      </c>
      <c r="H12701">
        <f>_xlfn.XLOOKUP(FACT_IMPORTS[[#This Row],[hts_6]],DIM_PRODUCTS[hts_6],DIM_PRODUCTS[hts_4],,,)</f>
        <v>8512</v>
      </c>
      <c r="I12701" t="str" cm="1">
        <f t="array" ref="I12701">_xlfn.XLOOKUP(FACT_IMPORTS[[#This Row],[country_name]],DIM_COUNTRY[[#All],[Column2]],DIM_COUNTRY[[#All],[Column3]],,,)</f>
        <v>Major_Non-USMCA_Non-China</v>
      </c>
    </row>
    <row r="12702" spans="1:9" x14ac:dyDescent="0.4">
      <c r="A12702" t="s">
        <v>75</v>
      </c>
      <c r="B12702" s="1">
        <v>44986</v>
      </c>
      <c r="C12702">
        <v>854231</v>
      </c>
      <c r="D12702" t="s">
        <v>176</v>
      </c>
      <c r="E12702">
        <v>29473</v>
      </c>
      <c r="F12702">
        <v>24590</v>
      </c>
      <c r="G12702">
        <v>340</v>
      </c>
      <c r="H12702">
        <f>_xlfn.XLOOKUP(FACT_IMPORTS[[#This Row],[hts_6]],DIM_PRODUCTS[hts_6],DIM_PRODUCTS[hts_4],,,)</f>
        <v>8542</v>
      </c>
      <c r="I12702" t="str" cm="1">
        <f t="array" ref="I12702">_xlfn.XLOOKUP(FACT_IMPORTS[[#This Row],[country_name]],DIM_COUNTRY[[#All],[Column2]],DIM_COUNTRY[[#All],[Column3]],,,)</f>
        <v>Major_Non-USMCA_Non-China</v>
      </c>
    </row>
    <row r="12703" spans="1:9" x14ac:dyDescent="0.4">
      <c r="A12703" t="s">
        <v>75</v>
      </c>
      <c r="B12703" s="1">
        <v>44986</v>
      </c>
      <c r="C12703">
        <v>854232</v>
      </c>
      <c r="D12703" t="s">
        <v>176</v>
      </c>
      <c r="E12703">
        <v>104967</v>
      </c>
      <c r="F12703">
        <v>54926</v>
      </c>
      <c r="G12703">
        <v>12</v>
      </c>
      <c r="H12703">
        <f>_xlfn.XLOOKUP(FACT_IMPORTS[[#This Row],[hts_6]],DIM_PRODUCTS[hts_6],DIM_PRODUCTS[hts_4],,,)</f>
        <v>8542</v>
      </c>
      <c r="I12703" t="str" cm="1">
        <f t="array" ref="I12703">_xlfn.XLOOKUP(FACT_IMPORTS[[#This Row],[country_name]],DIM_COUNTRY[[#All],[Column2]],DIM_COUNTRY[[#All],[Column3]],,,)</f>
        <v>Major_Non-USMCA_Non-China</v>
      </c>
    </row>
    <row r="12704" spans="1:9" x14ac:dyDescent="0.4">
      <c r="A12704" t="s">
        <v>75</v>
      </c>
      <c r="B12704" s="1">
        <v>44986</v>
      </c>
      <c r="C12704">
        <v>854239</v>
      </c>
      <c r="D12704" t="s">
        <v>176</v>
      </c>
      <c r="E12704">
        <v>1515225</v>
      </c>
      <c r="F12704">
        <v>139881</v>
      </c>
      <c r="G12704">
        <v>140383</v>
      </c>
      <c r="H12704">
        <f>_xlfn.XLOOKUP(FACT_IMPORTS[[#This Row],[hts_6]],DIM_PRODUCTS[hts_6],DIM_PRODUCTS[hts_4],,,)</f>
        <v>8542</v>
      </c>
      <c r="I12704" t="str" cm="1">
        <f t="array" ref="I12704">_xlfn.XLOOKUP(FACT_IMPORTS[[#This Row],[country_name]],DIM_COUNTRY[[#All],[Column2]],DIM_COUNTRY[[#All],[Column3]],,,)</f>
        <v>Major_Non-USMCA_Non-China</v>
      </c>
    </row>
    <row r="12705" spans="1:9" x14ac:dyDescent="0.4">
      <c r="A12705" t="s">
        <v>75</v>
      </c>
      <c r="B12705" s="1">
        <v>44986</v>
      </c>
      <c r="C12705">
        <v>854290</v>
      </c>
      <c r="D12705" t="s">
        <v>176</v>
      </c>
      <c r="E12705">
        <v>0</v>
      </c>
      <c r="F12705">
        <v>0</v>
      </c>
      <c r="G12705">
        <v>0</v>
      </c>
      <c r="H12705">
        <f>_xlfn.XLOOKUP(FACT_IMPORTS[[#This Row],[hts_6]],DIM_PRODUCTS[hts_6],DIM_PRODUCTS[hts_4],,,)</f>
        <v>8542</v>
      </c>
      <c r="I12705" t="str" cm="1">
        <f t="array" ref="I12705">_xlfn.XLOOKUP(FACT_IMPORTS[[#This Row],[country_name]],DIM_COUNTRY[[#All],[Column2]],DIM_COUNTRY[[#All],[Column3]],,,)</f>
        <v>Major_Non-USMCA_Non-China</v>
      </c>
    </row>
    <row r="12706" spans="1:9" x14ac:dyDescent="0.4">
      <c r="A12706" t="s">
        <v>75</v>
      </c>
      <c r="B12706" s="1">
        <v>44986</v>
      </c>
      <c r="C12706">
        <v>854430</v>
      </c>
      <c r="D12706" t="s">
        <v>176</v>
      </c>
      <c r="E12706">
        <v>0</v>
      </c>
      <c r="F12706">
        <v>0</v>
      </c>
      <c r="G12706">
        <v>0</v>
      </c>
      <c r="H12706">
        <f>_xlfn.XLOOKUP(FACT_IMPORTS[[#This Row],[hts_6]],DIM_PRODUCTS[hts_6],DIM_PRODUCTS[hts_4],,,)</f>
        <v>8544</v>
      </c>
      <c r="I12706" t="str" cm="1">
        <f t="array" ref="I12706">_xlfn.XLOOKUP(FACT_IMPORTS[[#This Row],[country_name]],DIM_COUNTRY[[#All],[Column2]],DIM_COUNTRY[[#All],[Column3]],,,)</f>
        <v>Major_Non-USMCA_Non-China</v>
      </c>
    </row>
    <row r="12707" spans="1:9" x14ac:dyDescent="0.4">
      <c r="A12707" t="s">
        <v>75</v>
      </c>
      <c r="B12707" s="1">
        <v>44986</v>
      </c>
      <c r="C12707">
        <v>870810</v>
      </c>
      <c r="D12707" t="s">
        <v>176</v>
      </c>
      <c r="E12707">
        <v>700522</v>
      </c>
      <c r="F12707">
        <v>13582</v>
      </c>
      <c r="G12707">
        <v>76674</v>
      </c>
      <c r="H12707">
        <f>_xlfn.XLOOKUP(FACT_IMPORTS[[#This Row],[hts_6]],DIM_PRODUCTS[hts_6],DIM_PRODUCTS[hts_4],,,)</f>
        <v>8708</v>
      </c>
      <c r="I12707" t="str" cm="1">
        <f t="array" ref="I12707">_xlfn.XLOOKUP(FACT_IMPORTS[[#This Row],[country_name]],DIM_COUNTRY[[#All],[Column2]],DIM_COUNTRY[[#All],[Column3]],,,)</f>
        <v>Major_Non-USMCA_Non-China</v>
      </c>
    </row>
    <row r="12708" spans="1:9" x14ac:dyDescent="0.4">
      <c r="A12708" t="s">
        <v>75</v>
      </c>
      <c r="B12708" s="1">
        <v>44986</v>
      </c>
      <c r="C12708">
        <v>870829</v>
      </c>
      <c r="D12708" t="s">
        <v>176</v>
      </c>
      <c r="E12708">
        <v>364841</v>
      </c>
      <c r="F12708">
        <v>147133</v>
      </c>
      <c r="G12708">
        <v>25632</v>
      </c>
      <c r="H12708">
        <f>_xlfn.XLOOKUP(FACT_IMPORTS[[#This Row],[hts_6]],DIM_PRODUCTS[hts_6],DIM_PRODUCTS[hts_4],,,)</f>
        <v>8708</v>
      </c>
      <c r="I12708" t="str" cm="1">
        <f t="array" ref="I12708">_xlfn.XLOOKUP(FACT_IMPORTS[[#This Row],[country_name]],DIM_COUNTRY[[#All],[Column2]],DIM_COUNTRY[[#All],[Column3]],,,)</f>
        <v>Major_Non-USMCA_Non-China</v>
      </c>
    </row>
    <row r="12709" spans="1:9" x14ac:dyDescent="0.4">
      <c r="A12709" t="s">
        <v>75</v>
      </c>
      <c r="B12709" s="1">
        <v>44986</v>
      </c>
      <c r="C12709">
        <v>870830</v>
      </c>
      <c r="D12709" t="s">
        <v>176</v>
      </c>
      <c r="E12709">
        <v>2201</v>
      </c>
      <c r="F12709">
        <v>38</v>
      </c>
      <c r="G12709">
        <v>5</v>
      </c>
      <c r="H12709">
        <f>_xlfn.XLOOKUP(FACT_IMPORTS[[#This Row],[hts_6]],DIM_PRODUCTS[hts_6],DIM_PRODUCTS[hts_4],,,)</f>
        <v>8708</v>
      </c>
      <c r="I12709" t="str" cm="1">
        <f t="array" ref="I12709">_xlfn.XLOOKUP(FACT_IMPORTS[[#This Row],[country_name]],DIM_COUNTRY[[#All],[Column2]],DIM_COUNTRY[[#All],[Column3]],,,)</f>
        <v>Major_Non-USMCA_Non-China</v>
      </c>
    </row>
    <row r="12710" spans="1:9" x14ac:dyDescent="0.4">
      <c r="A12710" t="s">
        <v>75</v>
      </c>
      <c r="B12710" s="1">
        <v>44986</v>
      </c>
      <c r="C12710">
        <v>870840</v>
      </c>
      <c r="D12710" t="s">
        <v>176</v>
      </c>
      <c r="E12710">
        <v>491609</v>
      </c>
      <c r="F12710">
        <v>74928</v>
      </c>
      <c r="G12710">
        <v>11500</v>
      </c>
      <c r="H12710">
        <f>_xlfn.XLOOKUP(FACT_IMPORTS[[#This Row],[hts_6]],DIM_PRODUCTS[hts_6],DIM_PRODUCTS[hts_4],,,)</f>
        <v>8708</v>
      </c>
      <c r="I12710" t="str" cm="1">
        <f t="array" ref="I12710">_xlfn.XLOOKUP(FACT_IMPORTS[[#This Row],[country_name]],DIM_COUNTRY[[#All],[Column2]],DIM_COUNTRY[[#All],[Column3]],,,)</f>
        <v>Major_Non-USMCA_Non-China</v>
      </c>
    </row>
    <row r="12711" spans="1:9" x14ac:dyDescent="0.4">
      <c r="A12711" t="s">
        <v>75</v>
      </c>
      <c r="B12711" s="1">
        <v>44986</v>
      </c>
      <c r="C12711">
        <v>870850</v>
      </c>
      <c r="D12711" t="s">
        <v>176</v>
      </c>
      <c r="E12711">
        <v>603267</v>
      </c>
      <c r="F12711">
        <v>3108</v>
      </c>
      <c r="G12711">
        <v>7180</v>
      </c>
      <c r="H12711">
        <f>_xlfn.XLOOKUP(FACT_IMPORTS[[#This Row],[hts_6]],DIM_PRODUCTS[hts_6],DIM_PRODUCTS[hts_4],,,)</f>
        <v>8708</v>
      </c>
      <c r="I12711" t="str" cm="1">
        <f t="array" ref="I12711">_xlfn.XLOOKUP(FACT_IMPORTS[[#This Row],[country_name]],DIM_COUNTRY[[#All],[Column2]],DIM_COUNTRY[[#All],[Column3]],,,)</f>
        <v>Major_Non-USMCA_Non-China</v>
      </c>
    </row>
    <row r="12712" spans="1:9" x14ac:dyDescent="0.4">
      <c r="A12712" t="s">
        <v>75</v>
      </c>
      <c r="B12712" s="1">
        <v>44986</v>
      </c>
      <c r="C12712">
        <v>870870</v>
      </c>
      <c r="D12712" t="s">
        <v>176</v>
      </c>
      <c r="E12712">
        <v>2204911</v>
      </c>
      <c r="F12712">
        <v>14166</v>
      </c>
      <c r="G12712">
        <v>269629</v>
      </c>
      <c r="H12712">
        <f>_xlfn.XLOOKUP(FACT_IMPORTS[[#This Row],[hts_6]],DIM_PRODUCTS[hts_6],DIM_PRODUCTS[hts_4],,,)</f>
        <v>8708</v>
      </c>
      <c r="I12712" t="str" cm="1">
        <f t="array" ref="I12712">_xlfn.XLOOKUP(FACT_IMPORTS[[#This Row],[country_name]],DIM_COUNTRY[[#All],[Column2]],DIM_COUNTRY[[#All],[Column3]],,,)</f>
        <v>Major_Non-USMCA_Non-China</v>
      </c>
    </row>
    <row r="12713" spans="1:9" x14ac:dyDescent="0.4">
      <c r="A12713" t="s">
        <v>75</v>
      </c>
      <c r="B12713" s="1">
        <v>44986</v>
      </c>
      <c r="C12713">
        <v>870880</v>
      </c>
      <c r="D12713" t="s">
        <v>176</v>
      </c>
      <c r="E12713">
        <v>933704</v>
      </c>
      <c r="F12713">
        <v>72981</v>
      </c>
      <c r="G12713">
        <v>44676</v>
      </c>
      <c r="H12713">
        <f>_xlfn.XLOOKUP(FACT_IMPORTS[[#This Row],[hts_6]],DIM_PRODUCTS[hts_6],DIM_PRODUCTS[hts_4],,,)</f>
        <v>8708</v>
      </c>
      <c r="I12713" t="str" cm="1">
        <f t="array" ref="I12713">_xlfn.XLOOKUP(FACT_IMPORTS[[#This Row],[country_name]],DIM_COUNTRY[[#All],[Column2]],DIM_COUNTRY[[#All],[Column3]],,,)</f>
        <v>Major_Non-USMCA_Non-China</v>
      </c>
    </row>
    <row r="12714" spans="1:9" x14ac:dyDescent="0.4">
      <c r="A12714" t="s">
        <v>75</v>
      </c>
      <c r="B12714" s="1">
        <v>44986</v>
      </c>
      <c r="C12714">
        <v>870891</v>
      </c>
      <c r="D12714" t="s">
        <v>176</v>
      </c>
      <c r="E12714">
        <v>76480</v>
      </c>
      <c r="F12714">
        <v>30538</v>
      </c>
      <c r="G12714">
        <v>16509</v>
      </c>
      <c r="H12714">
        <f>_xlfn.XLOOKUP(FACT_IMPORTS[[#This Row],[hts_6]],DIM_PRODUCTS[hts_6],DIM_PRODUCTS[hts_4],,,)</f>
        <v>8708</v>
      </c>
      <c r="I12714" t="str" cm="1">
        <f t="array" ref="I12714">_xlfn.XLOOKUP(FACT_IMPORTS[[#This Row],[country_name]],DIM_COUNTRY[[#All],[Column2]],DIM_COUNTRY[[#All],[Column3]],,,)</f>
        <v>Major_Non-USMCA_Non-China</v>
      </c>
    </row>
    <row r="12715" spans="1:9" x14ac:dyDescent="0.4">
      <c r="A12715" t="s">
        <v>75</v>
      </c>
      <c r="B12715" s="1">
        <v>44986</v>
      </c>
      <c r="C12715">
        <v>870892</v>
      </c>
      <c r="D12715" t="s">
        <v>176</v>
      </c>
      <c r="E12715">
        <v>77713</v>
      </c>
      <c r="F12715">
        <v>19912</v>
      </c>
      <c r="G12715">
        <v>1173</v>
      </c>
      <c r="H12715">
        <f>_xlfn.XLOOKUP(FACT_IMPORTS[[#This Row],[hts_6]],DIM_PRODUCTS[hts_6],DIM_PRODUCTS[hts_4],,,)</f>
        <v>8708</v>
      </c>
      <c r="I12715" t="str" cm="1">
        <f t="array" ref="I12715">_xlfn.XLOOKUP(FACT_IMPORTS[[#This Row],[country_name]],DIM_COUNTRY[[#All],[Column2]],DIM_COUNTRY[[#All],[Column3]],,,)</f>
        <v>Major_Non-USMCA_Non-China</v>
      </c>
    </row>
    <row r="12716" spans="1:9" x14ac:dyDescent="0.4">
      <c r="A12716" t="s">
        <v>75</v>
      </c>
      <c r="B12716" s="1">
        <v>44986</v>
      </c>
      <c r="C12716">
        <v>870893</v>
      </c>
      <c r="D12716" t="s">
        <v>176</v>
      </c>
      <c r="E12716">
        <v>185413</v>
      </c>
      <c r="F12716">
        <v>10722</v>
      </c>
      <c r="G12716">
        <v>8366</v>
      </c>
      <c r="H12716">
        <f>_xlfn.XLOOKUP(FACT_IMPORTS[[#This Row],[hts_6]],DIM_PRODUCTS[hts_6],DIM_PRODUCTS[hts_4],,,)</f>
        <v>8708</v>
      </c>
      <c r="I12716" t="str" cm="1">
        <f t="array" ref="I12716">_xlfn.XLOOKUP(FACT_IMPORTS[[#This Row],[country_name]],DIM_COUNTRY[[#All],[Column2]],DIM_COUNTRY[[#All],[Column3]],,,)</f>
        <v>Major_Non-USMCA_Non-China</v>
      </c>
    </row>
    <row r="12717" spans="1:9" x14ac:dyDescent="0.4">
      <c r="A12717" t="s">
        <v>75</v>
      </c>
      <c r="B12717" s="1">
        <v>44986</v>
      </c>
      <c r="C12717">
        <v>870894</v>
      </c>
      <c r="D12717" t="s">
        <v>176</v>
      </c>
      <c r="E12717">
        <v>69682</v>
      </c>
      <c r="F12717">
        <v>91735</v>
      </c>
      <c r="G12717">
        <v>1109</v>
      </c>
      <c r="H12717">
        <f>_xlfn.XLOOKUP(FACT_IMPORTS[[#This Row],[hts_6]],DIM_PRODUCTS[hts_6],DIM_PRODUCTS[hts_4],,,)</f>
        <v>8708</v>
      </c>
      <c r="I12717" t="str" cm="1">
        <f t="array" ref="I12717">_xlfn.XLOOKUP(FACT_IMPORTS[[#This Row],[country_name]],DIM_COUNTRY[[#All],[Column2]],DIM_COUNTRY[[#All],[Column3]],,,)</f>
        <v>Major_Non-USMCA_Non-China</v>
      </c>
    </row>
    <row r="12718" spans="1:9" x14ac:dyDescent="0.4">
      <c r="A12718" t="s">
        <v>75</v>
      </c>
      <c r="B12718" s="1">
        <v>44986</v>
      </c>
      <c r="C12718">
        <v>870899</v>
      </c>
      <c r="D12718" t="s">
        <v>176</v>
      </c>
      <c r="E12718">
        <v>1331137</v>
      </c>
      <c r="F12718">
        <v>1046019</v>
      </c>
      <c r="G12718">
        <v>46224</v>
      </c>
      <c r="H12718">
        <f>_xlfn.XLOOKUP(FACT_IMPORTS[[#This Row],[hts_6]],DIM_PRODUCTS[hts_6],DIM_PRODUCTS[hts_4],,,)</f>
        <v>8708</v>
      </c>
      <c r="I12718" t="str" cm="1">
        <f t="array" ref="I12718">_xlfn.XLOOKUP(FACT_IMPORTS[[#This Row],[country_name]],DIM_COUNTRY[[#All],[Column2]],DIM_COUNTRY[[#All],[Column3]],,,)</f>
        <v>Major_Non-USMCA_Non-China</v>
      </c>
    </row>
    <row r="12719" spans="1:9" x14ac:dyDescent="0.4">
      <c r="A12719" t="s">
        <v>75</v>
      </c>
      <c r="B12719" s="1">
        <v>44986</v>
      </c>
      <c r="C12719">
        <v>940120</v>
      </c>
      <c r="D12719" t="s">
        <v>176</v>
      </c>
      <c r="E12719">
        <v>1852</v>
      </c>
      <c r="F12719">
        <v>5</v>
      </c>
      <c r="G12719">
        <v>100</v>
      </c>
      <c r="H12719">
        <f>_xlfn.XLOOKUP(FACT_IMPORTS[[#This Row],[hts_6]],DIM_PRODUCTS[hts_6],DIM_PRODUCTS[hts_4],,,)</f>
        <v>9401</v>
      </c>
      <c r="I12719" t="str" cm="1">
        <f t="array" ref="I12719">_xlfn.XLOOKUP(FACT_IMPORTS[[#This Row],[country_name]],DIM_COUNTRY[[#All],[Column2]],DIM_COUNTRY[[#All],[Column3]],,,)</f>
        <v>Major_Non-USMCA_Non-China</v>
      </c>
    </row>
    <row r="12720" spans="1:9" x14ac:dyDescent="0.4">
      <c r="A12720" t="s">
        <v>75</v>
      </c>
      <c r="B12720" s="1">
        <v>45017</v>
      </c>
      <c r="C12720">
        <v>392630</v>
      </c>
      <c r="D12720" t="s">
        <v>176</v>
      </c>
      <c r="E12720">
        <v>117055</v>
      </c>
      <c r="F12720">
        <v>5443</v>
      </c>
      <c r="G12720">
        <v>6967</v>
      </c>
      <c r="H12720">
        <f>_xlfn.XLOOKUP(FACT_IMPORTS[[#This Row],[hts_6]],DIM_PRODUCTS[hts_6],DIM_PRODUCTS[hts_4],,,)</f>
        <v>3926</v>
      </c>
      <c r="I12720" t="str" cm="1">
        <f t="array" ref="I12720">_xlfn.XLOOKUP(FACT_IMPORTS[[#This Row],[country_name]],DIM_COUNTRY[[#All],[Column2]],DIM_COUNTRY[[#All],[Column3]],,,)</f>
        <v>Major_Non-USMCA_Non-China</v>
      </c>
    </row>
    <row r="12721" spans="1:9" x14ac:dyDescent="0.4">
      <c r="A12721" t="s">
        <v>75</v>
      </c>
      <c r="B12721" s="1">
        <v>45017</v>
      </c>
      <c r="C12721">
        <v>401110</v>
      </c>
      <c r="D12721" t="s">
        <v>176</v>
      </c>
      <c r="E12721">
        <v>1862</v>
      </c>
      <c r="F12721">
        <v>88</v>
      </c>
      <c r="G12721">
        <v>213</v>
      </c>
      <c r="H12721">
        <f>_xlfn.XLOOKUP(FACT_IMPORTS[[#This Row],[hts_6]],DIM_PRODUCTS[hts_6],DIM_PRODUCTS[hts_4],,,)</f>
        <v>4011</v>
      </c>
      <c r="I12721" t="str" cm="1">
        <f t="array" ref="I12721">_xlfn.XLOOKUP(FACT_IMPORTS[[#This Row],[country_name]],DIM_COUNTRY[[#All],[Column2]],DIM_COUNTRY[[#All],[Column3]],,,)</f>
        <v>Major_Non-USMCA_Non-China</v>
      </c>
    </row>
    <row r="12722" spans="1:9" x14ac:dyDescent="0.4">
      <c r="A12722" t="s">
        <v>75</v>
      </c>
      <c r="B12722" s="1">
        <v>45017</v>
      </c>
      <c r="C12722">
        <v>401120</v>
      </c>
      <c r="D12722" t="s">
        <v>176</v>
      </c>
      <c r="E12722">
        <v>0</v>
      </c>
      <c r="F12722">
        <v>0</v>
      </c>
      <c r="G12722">
        <v>0</v>
      </c>
      <c r="H12722">
        <f>_xlfn.XLOOKUP(FACT_IMPORTS[[#This Row],[hts_6]],DIM_PRODUCTS[hts_6],DIM_PRODUCTS[hts_4],,,)</f>
        <v>4011</v>
      </c>
      <c r="I12722" t="str" cm="1">
        <f t="array" ref="I12722">_xlfn.XLOOKUP(FACT_IMPORTS[[#This Row],[country_name]],DIM_COUNTRY[[#All],[Column2]],DIM_COUNTRY[[#All],[Column3]],,,)</f>
        <v>Major_Non-USMCA_Non-China</v>
      </c>
    </row>
    <row r="12723" spans="1:9" x14ac:dyDescent="0.4">
      <c r="A12723" t="s">
        <v>75</v>
      </c>
      <c r="B12723" s="1">
        <v>45017</v>
      </c>
      <c r="C12723">
        <v>401140</v>
      </c>
      <c r="D12723" t="s">
        <v>176</v>
      </c>
      <c r="E12723">
        <v>8708</v>
      </c>
      <c r="F12723">
        <v>161</v>
      </c>
      <c r="G12723">
        <v>37</v>
      </c>
      <c r="H12723">
        <f>_xlfn.XLOOKUP(FACT_IMPORTS[[#This Row],[hts_6]],DIM_PRODUCTS[hts_6],DIM_PRODUCTS[hts_4],,,)</f>
        <v>4011</v>
      </c>
      <c r="I12723" t="str" cm="1">
        <f t="array" ref="I12723">_xlfn.XLOOKUP(FACT_IMPORTS[[#This Row],[country_name]],DIM_COUNTRY[[#All],[Column2]],DIM_COUNTRY[[#All],[Column3]],,,)</f>
        <v>Major_Non-USMCA_Non-China</v>
      </c>
    </row>
    <row r="12724" spans="1:9" x14ac:dyDescent="0.4">
      <c r="A12724" t="s">
        <v>75</v>
      </c>
      <c r="B12724" s="1">
        <v>45017</v>
      </c>
      <c r="C12724">
        <v>401190</v>
      </c>
      <c r="D12724" t="s">
        <v>176</v>
      </c>
      <c r="E12724">
        <v>21630</v>
      </c>
      <c r="F12724">
        <v>265</v>
      </c>
      <c r="G12724">
        <v>82</v>
      </c>
      <c r="H12724">
        <f>_xlfn.XLOOKUP(FACT_IMPORTS[[#This Row],[hts_6]],DIM_PRODUCTS[hts_6],DIM_PRODUCTS[hts_4],,,)</f>
        <v>4011</v>
      </c>
      <c r="I12724" t="str" cm="1">
        <f t="array" ref="I12724">_xlfn.XLOOKUP(FACT_IMPORTS[[#This Row],[country_name]],DIM_COUNTRY[[#All],[Column2]],DIM_COUNTRY[[#All],[Column3]],,,)</f>
        <v>Major_Non-USMCA_Non-China</v>
      </c>
    </row>
    <row r="12725" spans="1:9" x14ac:dyDescent="0.4">
      <c r="A12725" t="s">
        <v>75</v>
      </c>
      <c r="B12725" s="1">
        <v>45017</v>
      </c>
      <c r="C12725">
        <v>700910</v>
      </c>
      <c r="D12725" t="s">
        <v>176</v>
      </c>
      <c r="E12725">
        <v>35624</v>
      </c>
      <c r="F12725">
        <v>10058</v>
      </c>
      <c r="G12725">
        <v>1495</v>
      </c>
      <c r="H12725">
        <f>_xlfn.XLOOKUP(FACT_IMPORTS[[#This Row],[hts_6]],DIM_PRODUCTS[hts_6],DIM_PRODUCTS[hts_4],,,)</f>
        <v>7009</v>
      </c>
      <c r="I12725" t="str" cm="1">
        <f t="array" ref="I12725">_xlfn.XLOOKUP(FACT_IMPORTS[[#This Row],[country_name]],DIM_COUNTRY[[#All],[Column2]],DIM_COUNTRY[[#All],[Column3]],,,)</f>
        <v>Major_Non-USMCA_Non-China</v>
      </c>
    </row>
    <row r="12726" spans="1:9" x14ac:dyDescent="0.4">
      <c r="A12726" t="s">
        <v>75</v>
      </c>
      <c r="B12726" s="1">
        <v>45017</v>
      </c>
      <c r="C12726">
        <v>830230</v>
      </c>
      <c r="D12726" t="s">
        <v>176</v>
      </c>
      <c r="E12726">
        <v>143719</v>
      </c>
      <c r="F12726">
        <v>21713</v>
      </c>
      <c r="G12726">
        <v>17658</v>
      </c>
      <c r="H12726">
        <f>_xlfn.XLOOKUP(FACT_IMPORTS[[#This Row],[hts_6]],DIM_PRODUCTS[hts_6],DIM_PRODUCTS[hts_4],,,)</f>
        <v>8302</v>
      </c>
      <c r="I12726" t="str" cm="1">
        <f t="array" ref="I12726">_xlfn.XLOOKUP(FACT_IMPORTS[[#This Row],[country_name]],DIM_COUNTRY[[#All],[Column2]],DIM_COUNTRY[[#All],[Column3]],,,)</f>
        <v>Major_Non-USMCA_Non-China</v>
      </c>
    </row>
    <row r="12727" spans="1:9" x14ac:dyDescent="0.4">
      <c r="A12727" t="s">
        <v>75</v>
      </c>
      <c r="B12727" s="1">
        <v>45017</v>
      </c>
      <c r="C12727">
        <v>840732</v>
      </c>
      <c r="D12727" t="s">
        <v>176</v>
      </c>
      <c r="E12727">
        <v>0</v>
      </c>
      <c r="F12727">
        <v>0</v>
      </c>
      <c r="G12727">
        <v>0</v>
      </c>
      <c r="H12727">
        <f>_xlfn.XLOOKUP(FACT_IMPORTS[[#This Row],[hts_6]],DIM_PRODUCTS[hts_6],DIM_PRODUCTS[hts_4],,,)</f>
        <v>8407</v>
      </c>
      <c r="I12727" t="str" cm="1">
        <f t="array" ref="I12727">_xlfn.XLOOKUP(FACT_IMPORTS[[#This Row],[country_name]],DIM_COUNTRY[[#All],[Column2]],DIM_COUNTRY[[#All],[Column3]],,,)</f>
        <v>Major_Non-USMCA_Non-China</v>
      </c>
    </row>
    <row r="12728" spans="1:9" x14ac:dyDescent="0.4">
      <c r="A12728" t="s">
        <v>75</v>
      </c>
      <c r="B12728" s="1">
        <v>45017</v>
      </c>
      <c r="C12728">
        <v>840733</v>
      </c>
      <c r="D12728" t="s">
        <v>176</v>
      </c>
      <c r="E12728">
        <v>0</v>
      </c>
      <c r="F12728">
        <v>0</v>
      </c>
      <c r="G12728">
        <v>0</v>
      </c>
      <c r="H12728">
        <f>_xlfn.XLOOKUP(FACT_IMPORTS[[#This Row],[hts_6]],DIM_PRODUCTS[hts_6],DIM_PRODUCTS[hts_4],,,)</f>
        <v>8407</v>
      </c>
      <c r="I12728" t="str" cm="1">
        <f t="array" ref="I12728">_xlfn.XLOOKUP(FACT_IMPORTS[[#This Row],[country_name]],DIM_COUNTRY[[#All],[Column2]],DIM_COUNTRY[[#All],[Column3]],,,)</f>
        <v>Major_Non-USMCA_Non-China</v>
      </c>
    </row>
    <row r="12729" spans="1:9" x14ac:dyDescent="0.4">
      <c r="A12729" t="s">
        <v>75</v>
      </c>
      <c r="B12729" s="1">
        <v>45017</v>
      </c>
      <c r="C12729">
        <v>840991</v>
      </c>
      <c r="D12729" t="s">
        <v>176</v>
      </c>
      <c r="E12729">
        <v>275187</v>
      </c>
      <c r="F12729">
        <v>15353</v>
      </c>
      <c r="G12729">
        <v>6841</v>
      </c>
      <c r="H12729">
        <f>_xlfn.XLOOKUP(FACT_IMPORTS[[#This Row],[hts_6]],DIM_PRODUCTS[hts_6],DIM_PRODUCTS[hts_4],,,)</f>
        <v>8409</v>
      </c>
      <c r="I12729" t="str" cm="1">
        <f t="array" ref="I12729">_xlfn.XLOOKUP(FACT_IMPORTS[[#This Row],[country_name]],DIM_COUNTRY[[#All],[Column2]],DIM_COUNTRY[[#All],[Column3]],,,)</f>
        <v>Major_Non-USMCA_Non-China</v>
      </c>
    </row>
    <row r="12730" spans="1:9" x14ac:dyDescent="0.4">
      <c r="A12730" t="s">
        <v>75</v>
      </c>
      <c r="B12730" s="1">
        <v>45017</v>
      </c>
      <c r="C12730">
        <v>840999</v>
      </c>
      <c r="D12730" t="s">
        <v>176</v>
      </c>
      <c r="E12730">
        <v>0</v>
      </c>
      <c r="F12730">
        <v>0</v>
      </c>
      <c r="G12730">
        <v>0</v>
      </c>
      <c r="H12730">
        <f>_xlfn.XLOOKUP(FACT_IMPORTS[[#This Row],[hts_6]],DIM_PRODUCTS[hts_6],DIM_PRODUCTS[hts_4],,,)</f>
        <v>8409</v>
      </c>
      <c r="I12730" t="str" cm="1">
        <f t="array" ref="I12730">_xlfn.XLOOKUP(FACT_IMPORTS[[#This Row],[country_name]],DIM_COUNTRY[[#All],[Column2]],DIM_COUNTRY[[#All],[Column3]],,,)</f>
        <v>Major_Non-USMCA_Non-China</v>
      </c>
    </row>
    <row r="12731" spans="1:9" x14ac:dyDescent="0.4">
      <c r="A12731" t="s">
        <v>75</v>
      </c>
      <c r="B12731" s="1">
        <v>45017</v>
      </c>
      <c r="C12731">
        <v>841330</v>
      </c>
      <c r="D12731" t="s">
        <v>176</v>
      </c>
      <c r="E12731">
        <v>0</v>
      </c>
      <c r="F12731">
        <v>0</v>
      </c>
      <c r="G12731">
        <v>0</v>
      </c>
      <c r="H12731">
        <f>_xlfn.XLOOKUP(FACT_IMPORTS[[#This Row],[hts_6]],DIM_PRODUCTS[hts_6],DIM_PRODUCTS[hts_4],,,)</f>
        <v>8413</v>
      </c>
      <c r="I12731" t="str" cm="1">
        <f t="array" ref="I12731">_xlfn.XLOOKUP(FACT_IMPORTS[[#This Row],[country_name]],DIM_COUNTRY[[#All],[Column2]],DIM_COUNTRY[[#All],[Column3]],,,)</f>
        <v>Major_Non-USMCA_Non-China</v>
      </c>
    </row>
    <row r="12732" spans="1:9" x14ac:dyDescent="0.4">
      <c r="A12732" t="s">
        <v>75</v>
      </c>
      <c r="B12732" s="1">
        <v>45017</v>
      </c>
      <c r="C12732">
        <v>842132</v>
      </c>
      <c r="D12732" t="s">
        <v>176</v>
      </c>
      <c r="E12732">
        <v>0</v>
      </c>
      <c r="F12732">
        <v>0</v>
      </c>
      <c r="G12732">
        <v>0</v>
      </c>
      <c r="H12732">
        <f>_xlfn.XLOOKUP(FACT_IMPORTS[[#This Row],[hts_6]],DIM_PRODUCTS[hts_6],DIM_PRODUCTS[hts_4],,,)</f>
        <v>8421</v>
      </c>
      <c r="I12732" t="str" cm="1">
        <f t="array" ref="I12732">_xlfn.XLOOKUP(FACT_IMPORTS[[#This Row],[country_name]],DIM_COUNTRY[[#All],[Column2]],DIM_COUNTRY[[#All],[Column3]],,,)</f>
        <v>Major_Non-USMCA_Non-China</v>
      </c>
    </row>
    <row r="12733" spans="1:9" x14ac:dyDescent="0.4">
      <c r="A12733" t="s">
        <v>75</v>
      </c>
      <c r="B12733" s="1">
        <v>45017</v>
      </c>
      <c r="C12733">
        <v>848210</v>
      </c>
      <c r="D12733" t="s">
        <v>176</v>
      </c>
      <c r="E12733">
        <v>116510</v>
      </c>
      <c r="F12733">
        <v>254186</v>
      </c>
      <c r="G12733">
        <v>2039</v>
      </c>
      <c r="H12733">
        <f>_xlfn.XLOOKUP(FACT_IMPORTS[[#This Row],[hts_6]],DIM_PRODUCTS[hts_6],DIM_PRODUCTS[hts_4],,,)</f>
        <v>8482</v>
      </c>
      <c r="I12733" t="str" cm="1">
        <f t="array" ref="I12733">_xlfn.XLOOKUP(FACT_IMPORTS[[#This Row],[country_name]],DIM_COUNTRY[[#All],[Column2]],DIM_COUNTRY[[#All],[Column3]],,,)</f>
        <v>Major_Non-USMCA_Non-China</v>
      </c>
    </row>
    <row r="12734" spans="1:9" x14ac:dyDescent="0.4">
      <c r="A12734" t="s">
        <v>75</v>
      </c>
      <c r="B12734" s="1">
        <v>45017</v>
      </c>
      <c r="C12734">
        <v>848310</v>
      </c>
      <c r="D12734" t="s">
        <v>176</v>
      </c>
      <c r="E12734">
        <v>2340</v>
      </c>
      <c r="F12734">
        <v>9</v>
      </c>
      <c r="G12734">
        <v>6</v>
      </c>
      <c r="H12734">
        <f>_xlfn.XLOOKUP(FACT_IMPORTS[[#This Row],[hts_6]],DIM_PRODUCTS[hts_6],DIM_PRODUCTS[hts_4],,,)</f>
        <v>8483</v>
      </c>
      <c r="I12734" t="str" cm="1">
        <f t="array" ref="I12734">_xlfn.XLOOKUP(FACT_IMPORTS[[#This Row],[country_name]],DIM_COUNTRY[[#All],[Column2]],DIM_COUNTRY[[#All],[Column3]],,,)</f>
        <v>Major_Non-USMCA_Non-China</v>
      </c>
    </row>
    <row r="12735" spans="1:9" x14ac:dyDescent="0.4">
      <c r="A12735" t="s">
        <v>75</v>
      </c>
      <c r="B12735" s="1">
        <v>45017</v>
      </c>
      <c r="C12735">
        <v>850131</v>
      </c>
      <c r="D12735" t="s">
        <v>176</v>
      </c>
      <c r="E12735">
        <v>0</v>
      </c>
      <c r="F12735">
        <v>0</v>
      </c>
      <c r="G12735">
        <v>0</v>
      </c>
      <c r="H12735">
        <f>_xlfn.XLOOKUP(FACT_IMPORTS[[#This Row],[hts_6]],DIM_PRODUCTS[hts_6],DIM_PRODUCTS[hts_4],,,)</f>
        <v>8501</v>
      </c>
      <c r="I12735" t="str" cm="1">
        <f t="array" ref="I12735">_xlfn.XLOOKUP(FACT_IMPORTS[[#This Row],[country_name]],DIM_COUNTRY[[#All],[Column2]],DIM_COUNTRY[[#All],[Column3]],,,)</f>
        <v>Major_Non-USMCA_Non-China</v>
      </c>
    </row>
    <row r="12736" spans="1:9" x14ac:dyDescent="0.4">
      <c r="A12736" t="s">
        <v>75</v>
      </c>
      <c r="B12736" s="1">
        <v>45017</v>
      </c>
      <c r="C12736">
        <v>850132</v>
      </c>
      <c r="D12736" t="s">
        <v>176</v>
      </c>
      <c r="E12736">
        <v>0</v>
      </c>
      <c r="F12736">
        <v>0</v>
      </c>
      <c r="G12736">
        <v>0</v>
      </c>
      <c r="H12736">
        <f>_xlfn.XLOOKUP(FACT_IMPORTS[[#This Row],[hts_6]],DIM_PRODUCTS[hts_6],DIM_PRODUCTS[hts_4],,,)</f>
        <v>8501</v>
      </c>
      <c r="I12736" t="str" cm="1">
        <f t="array" ref="I12736">_xlfn.XLOOKUP(FACT_IMPORTS[[#This Row],[country_name]],DIM_COUNTRY[[#All],[Column2]],DIM_COUNTRY[[#All],[Column3]],,,)</f>
        <v>Major_Non-USMCA_Non-China</v>
      </c>
    </row>
    <row r="12737" spans="1:9" x14ac:dyDescent="0.4">
      <c r="A12737" t="s">
        <v>75</v>
      </c>
      <c r="B12737" s="1">
        <v>45017</v>
      </c>
      <c r="C12737">
        <v>850152</v>
      </c>
      <c r="D12737" t="s">
        <v>176</v>
      </c>
      <c r="E12737">
        <v>7174</v>
      </c>
      <c r="F12737">
        <v>2</v>
      </c>
      <c r="G12737">
        <v>80</v>
      </c>
      <c r="H12737">
        <f>_xlfn.XLOOKUP(FACT_IMPORTS[[#This Row],[hts_6]],DIM_PRODUCTS[hts_6],DIM_PRODUCTS[hts_4],,,)</f>
        <v>8501</v>
      </c>
      <c r="I12737" t="str" cm="1">
        <f t="array" ref="I12737">_xlfn.XLOOKUP(FACT_IMPORTS[[#This Row],[country_name]],DIM_COUNTRY[[#All],[Column2]],DIM_COUNTRY[[#All],[Column3]],,,)</f>
        <v>Major_Non-USMCA_Non-China</v>
      </c>
    </row>
    <row r="12738" spans="1:9" x14ac:dyDescent="0.4">
      <c r="A12738" t="s">
        <v>75</v>
      </c>
      <c r="B12738" s="1">
        <v>45017</v>
      </c>
      <c r="C12738">
        <v>850153</v>
      </c>
      <c r="D12738" t="s">
        <v>176</v>
      </c>
      <c r="E12738">
        <v>0</v>
      </c>
      <c r="F12738">
        <v>0</v>
      </c>
      <c r="G12738">
        <v>0</v>
      </c>
      <c r="H12738">
        <f>_xlfn.XLOOKUP(FACT_IMPORTS[[#This Row],[hts_6]],DIM_PRODUCTS[hts_6],DIM_PRODUCTS[hts_4],,,)</f>
        <v>8501</v>
      </c>
      <c r="I12738" t="str" cm="1">
        <f t="array" ref="I12738">_xlfn.XLOOKUP(FACT_IMPORTS[[#This Row],[country_name]],DIM_COUNTRY[[#All],[Column2]],DIM_COUNTRY[[#All],[Column3]],,,)</f>
        <v>Major_Non-USMCA_Non-China</v>
      </c>
    </row>
    <row r="12739" spans="1:9" x14ac:dyDescent="0.4">
      <c r="A12739" t="s">
        <v>75</v>
      </c>
      <c r="B12739" s="1">
        <v>45017</v>
      </c>
      <c r="C12739">
        <v>850440</v>
      </c>
      <c r="D12739" t="s">
        <v>176</v>
      </c>
      <c r="E12739">
        <v>931530</v>
      </c>
      <c r="F12739">
        <v>14917</v>
      </c>
      <c r="G12739">
        <v>3207</v>
      </c>
      <c r="H12739">
        <f>_xlfn.XLOOKUP(FACT_IMPORTS[[#This Row],[hts_6]],DIM_PRODUCTS[hts_6],DIM_PRODUCTS[hts_4],,,)</f>
        <v>8504</v>
      </c>
      <c r="I12739" t="str" cm="1">
        <f t="array" ref="I12739">_xlfn.XLOOKUP(FACT_IMPORTS[[#This Row],[country_name]],DIM_COUNTRY[[#All],[Column2]],DIM_COUNTRY[[#All],[Column3]],,,)</f>
        <v>Major_Non-USMCA_Non-China</v>
      </c>
    </row>
    <row r="12740" spans="1:9" x14ac:dyDescent="0.4">
      <c r="A12740" t="s">
        <v>75</v>
      </c>
      <c r="B12740" s="1">
        <v>45017</v>
      </c>
      <c r="C12740">
        <v>850710</v>
      </c>
      <c r="D12740" t="s">
        <v>176</v>
      </c>
      <c r="E12740">
        <v>45343</v>
      </c>
      <c r="F12740">
        <v>718</v>
      </c>
      <c r="G12740">
        <v>107</v>
      </c>
      <c r="H12740">
        <f>_xlfn.XLOOKUP(FACT_IMPORTS[[#This Row],[hts_6]],DIM_PRODUCTS[hts_6],DIM_PRODUCTS[hts_4],,,)</f>
        <v>8507</v>
      </c>
      <c r="I12740" t="str" cm="1">
        <f t="array" ref="I12740">_xlfn.XLOOKUP(FACT_IMPORTS[[#This Row],[country_name]],DIM_COUNTRY[[#All],[Column2]],DIM_COUNTRY[[#All],[Column3]],,,)</f>
        <v>Major_Non-USMCA_Non-China</v>
      </c>
    </row>
    <row r="12741" spans="1:9" x14ac:dyDescent="0.4">
      <c r="A12741" t="s">
        <v>75</v>
      </c>
      <c r="B12741" s="1">
        <v>45017</v>
      </c>
      <c r="C12741">
        <v>850760</v>
      </c>
      <c r="D12741" t="s">
        <v>176</v>
      </c>
      <c r="E12741">
        <v>6752</v>
      </c>
      <c r="F12741">
        <v>160</v>
      </c>
      <c r="G12741">
        <v>114</v>
      </c>
      <c r="H12741">
        <f>_xlfn.XLOOKUP(FACT_IMPORTS[[#This Row],[hts_6]],DIM_PRODUCTS[hts_6],DIM_PRODUCTS[hts_4],,,)</f>
        <v>8507</v>
      </c>
      <c r="I12741" t="str" cm="1">
        <f t="array" ref="I12741">_xlfn.XLOOKUP(FACT_IMPORTS[[#This Row],[country_name]],DIM_COUNTRY[[#All],[Column2]],DIM_COUNTRY[[#All],[Column3]],,,)</f>
        <v>Major_Non-USMCA_Non-China</v>
      </c>
    </row>
    <row r="12742" spans="1:9" x14ac:dyDescent="0.4">
      <c r="A12742" t="s">
        <v>75</v>
      </c>
      <c r="B12742" s="1">
        <v>45017</v>
      </c>
      <c r="C12742">
        <v>851120</v>
      </c>
      <c r="D12742" t="s">
        <v>176</v>
      </c>
      <c r="E12742">
        <v>0</v>
      </c>
      <c r="F12742">
        <v>0</v>
      </c>
      <c r="G12742">
        <v>0</v>
      </c>
      <c r="H12742">
        <f>_xlfn.XLOOKUP(FACT_IMPORTS[[#This Row],[hts_6]],DIM_PRODUCTS[hts_6],DIM_PRODUCTS[hts_4],,,)</f>
        <v>8511</v>
      </c>
      <c r="I12742" t="str" cm="1">
        <f t="array" ref="I12742">_xlfn.XLOOKUP(FACT_IMPORTS[[#This Row],[country_name]],DIM_COUNTRY[[#All],[Column2]],DIM_COUNTRY[[#All],[Column3]],,,)</f>
        <v>Major_Non-USMCA_Non-China</v>
      </c>
    </row>
    <row r="12743" spans="1:9" x14ac:dyDescent="0.4">
      <c r="A12743" t="s">
        <v>75</v>
      </c>
      <c r="B12743" s="1">
        <v>45017</v>
      </c>
      <c r="C12743">
        <v>851130</v>
      </c>
      <c r="D12743" t="s">
        <v>176</v>
      </c>
      <c r="E12743">
        <v>0</v>
      </c>
      <c r="F12743">
        <v>0</v>
      </c>
      <c r="G12743">
        <v>0</v>
      </c>
      <c r="H12743">
        <f>_xlfn.XLOOKUP(FACT_IMPORTS[[#This Row],[hts_6]],DIM_PRODUCTS[hts_6],DIM_PRODUCTS[hts_4],,,)</f>
        <v>8511</v>
      </c>
      <c r="I12743" t="str" cm="1">
        <f t="array" ref="I12743">_xlfn.XLOOKUP(FACT_IMPORTS[[#This Row],[country_name]],DIM_COUNTRY[[#All],[Column2]],DIM_COUNTRY[[#All],[Column3]],,,)</f>
        <v>Major_Non-USMCA_Non-China</v>
      </c>
    </row>
    <row r="12744" spans="1:9" x14ac:dyDescent="0.4">
      <c r="A12744" t="s">
        <v>75</v>
      </c>
      <c r="B12744" s="1">
        <v>45017</v>
      </c>
      <c r="C12744">
        <v>851140</v>
      </c>
      <c r="D12744" t="s">
        <v>176</v>
      </c>
      <c r="E12744">
        <v>17048</v>
      </c>
      <c r="F12744">
        <v>116</v>
      </c>
      <c r="G12744">
        <v>42</v>
      </c>
      <c r="H12744">
        <f>_xlfn.XLOOKUP(FACT_IMPORTS[[#This Row],[hts_6]],DIM_PRODUCTS[hts_6],DIM_PRODUCTS[hts_4],,,)</f>
        <v>8511</v>
      </c>
      <c r="I12744" t="str" cm="1">
        <f t="array" ref="I12744">_xlfn.XLOOKUP(FACT_IMPORTS[[#This Row],[country_name]],DIM_COUNTRY[[#All],[Column2]],DIM_COUNTRY[[#All],[Column3]],,,)</f>
        <v>Major_Non-USMCA_Non-China</v>
      </c>
    </row>
    <row r="12745" spans="1:9" x14ac:dyDescent="0.4">
      <c r="A12745" t="s">
        <v>75</v>
      </c>
      <c r="B12745" s="1">
        <v>45017</v>
      </c>
      <c r="C12745">
        <v>851150</v>
      </c>
      <c r="D12745" t="s">
        <v>176</v>
      </c>
      <c r="E12745">
        <v>0</v>
      </c>
      <c r="F12745">
        <v>0</v>
      </c>
      <c r="G12745">
        <v>0</v>
      </c>
      <c r="H12745">
        <f>_xlfn.XLOOKUP(FACT_IMPORTS[[#This Row],[hts_6]],DIM_PRODUCTS[hts_6],DIM_PRODUCTS[hts_4],,,)</f>
        <v>8511</v>
      </c>
      <c r="I12745" t="str" cm="1">
        <f t="array" ref="I12745">_xlfn.XLOOKUP(FACT_IMPORTS[[#This Row],[country_name]],DIM_COUNTRY[[#All],[Column2]],DIM_COUNTRY[[#All],[Column3]],,,)</f>
        <v>Major_Non-USMCA_Non-China</v>
      </c>
    </row>
    <row r="12746" spans="1:9" x14ac:dyDescent="0.4">
      <c r="A12746" t="s">
        <v>75</v>
      </c>
      <c r="B12746" s="1">
        <v>45017</v>
      </c>
      <c r="C12746">
        <v>851180</v>
      </c>
      <c r="D12746" t="s">
        <v>176</v>
      </c>
      <c r="E12746">
        <v>3201</v>
      </c>
      <c r="F12746">
        <v>20</v>
      </c>
      <c r="G12746">
        <v>51</v>
      </c>
      <c r="H12746">
        <f>_xlfn.XLOOKUP(FACT_IMPORTS[[#This Row],[hts_6]],DIM_PRODUCTS[hts_6],DIM_PRODUCTS[hts_4],,,)</f>
        <v>8511</v>
      </c>
      <c r="I12746" t="str" cm="1">
        <f t="array" ref="I12746">_xlfn.XLOOKUP(FACT_IMPORTS[[#This Row],[country_name]],DIM_COUNTRY[[#All],[Column2]],DIM_COUNTRY[[#All],[Column3]],,,)</f>
        <v>Major_Non-USMCA_Non-China</v>
      </c>
    </row>
    <row r="12747" spans="1:9" x14ac:dyDescent="0.4">
      <c r="A12747" t="s">
        <v>75</v>
      </c>
      <c r="B12747" s="1">
        <v>45017</v>
      </c>
      <c r="C12747">
        <v>851190</v>
      </c>
      <c r="D12747" t="s">
        <v>176</v>
      </c>
      <c r="E12747">
        <v>0</v>
      </c>
      <c r="F12747">
        <v>0</v>
      </c>
      <c r="G12747">
        <v>0</v>
      </c>
      <c r="H12747">
        <f>_xlfn.XLOOKUP(FACT_IMPORTS[[#This Row],[hts_6]],DIM_PRODUCTS[hts_6],DIM_PRODUCTS[hts_4],,,)</f>
        <v>8511</v>
      </c>
      <c r="I12747" t="str" cm="1">
        <f t="array" ref="I12747">_xlfn.XLOOKUP(FACT_IMPORTS[[#This Row],[country_name]],DIM_COUNTRY[[#All],[Column2]],DIM_COUNTRY[[#All],[Column3]],,,)</f>
        <v>Major_Non-USMCA_Non-China</v>
      </c>
    </row>
    <row r="12748" spans="1:9" x14ac:dyDescent="0.4">
      <c r="A12748" t="s">
        <v>75</v>
      </c>
      <c r="B12748" s="1">
        <v>45017</v>
      </c>
      <c r="C12748">
        <v>851220</v>
      </c>
      <c r="D12748" t="s">
        <v>176</v>
      </c>
      <c r="E12748">
        <v>4955595</v>
      </c>
      <c r="F12748">
        <v>1080089</v>
      </c>
      <c r="G12748">
        <v>85611</v>
      </c>
      <c r="H12748">
        <f>_xlfn.XLOOKUP(FACT_IMPORTS[[#This Row],[hts_6]],DIM_PRODUCTS[hts_6],DIM_PRODUCTS[hts_4],,,)</f>
        <v>8512</v>
      </c>
      <c r="I12748" t="str" cm="1">
        <f t="array" ref="I12748">_xlfn.XLOOKUP(FACT_IMPORTS[[#This Row],[country_name]],DIM_COUNTRY[[#All],[Column2]],DIM_COUNTRY[[#All],[Column3]],,,)</f>
        <v>Major_Non-USMCA_Non-China</v>
      </c>
    </row>
    <row r="12749" spans="1:9" x14ac:dyDescent="0.4">
      <c r="A12749" t="s">
        <v>75</v>
      </c>
      <c r="B12749" s="1">
        <v>45017</v>
      </c>
      <c r="C12749">
        <v>851230</v>
      </c>
      <c r="D12749" t="s">
        <v>176</v>
      </c>
      <c r="E12749">
        <v>32585</v>
      </c>
      <c r="F12749">
        <v>327</v>
      </c>
      <c r="G12749">
        <v>32</v>
      </c>
      <c r="H12749">
        <f>_xlfn.XLOOKUP(FACT_IMPORTS[[#This Row],[hts_6]],DIM_PRODUCTS[hts_6],DIM_PRODUCTS[hts_4],,,)</f>
        <v>8512</v>
      </c>
      <c r="I12749" t="str" cm="1">
        <f t="array" ref="I12749">_xlfn.XLOOKUP(FACT_IMPORTS[[#This Row],[country_name]],DIM_COUNTRY[[#All],[Column2]],DIM_COUNTRY[[#All],[Column3]],,,)</f>
        <v>Major_Non-USMCA_Non-China</v>
      </c>
    </row>
    <row r="12750" spans="1:9" x14ac:dyDescent="0.4">
      <c r="A12750" t="s">
        <v>75</v>
      </c>
      <c r="B12750" s="1">
        <v>45017</v>
      </c>
      <c r="C12750">
        <v>851240</v>
      </c>
      <c r="D12750" t="s">
        <v>176</v>
      </c>
      <c r="E12750">
        <v>0</v>
      </c>
      <c r="F12750">
        <v>0</v>
      </c>
      <c r="G12750">
        <v>0</v>
      </c>
      <c r="H12750">
        <f>_xlfn.XLOOKUP(FACT_IMPORTS[[#This Row],[hts_6]],DIM_PRODUCTS[hts_6],DIM_PRODUCTS[hts_4],,,)</f>
        <v>8512</v>
      </c>
      <c r="I12750" t="str" cm="1">
        <f t="array" ref="I12750">_xlfn.XLOOKUP(FACT_IMPORTS[[#This Row],[country_name]],DIM_COUNTRY[[#All],[Column2]],DIM_COUNTRY[[#All],[Column3]],,,)</f>
        <v>Major_Non-USMCA_Non-China</v>
      </c>
    </row>
    <row r="12751" spans="1:9" x14ac:dyDescent="0.4">
      <c r="A12751" t="s">
        <v>75</v>
      </c>
      <c r="B12751" s="1">
        <v>45017</v>
      </c>
      <c r="C12751">
        <v>851290</v>
      </c>
      <c r="D12751" t="s">
        <v>176</v>
      </c>
      <c r="E12751">
        <v>409200</v>
      </c>
      <c r="F12751">
        <v>24577</v>
      </c>
      <c r="G12751">
        <v>5700</v>
      </c>
      <c r="H12751">
        <f>_xlfn.XLOOKUP(FACT_IMPORTS[[#This Row],[hts_6]],DIM_PRODUCTS[hts_6],DIM_PRODUCTS[hts_4],,,)</f>
        <v>8512</v>
      </c>
      <c r="I12751" t="str" cm="1">
        <f t="array" ref="I12751">_xlfn.XLOOKUP(FACT_IMPORTS[[#This Row],[country_name]],DIM_COUNTRY[[#All],[Column2]],DIM_COUNTRY[[#All],[Column3]],,,)</f>
        <v>Major_Non-USMCA_Non-China</v>
      </c>
    </row>
    <row r="12752" spans="1:9" x14ac:dyDescent="0.4">
      <c r="A12752" t="s">
        <v>75</v>
      </c>
      <c r="B12752" s="1">
        <v>45017</v>
      </c>
      <c r="C12752">
        <v>854231</v>
      </c>
      <c r="D12752" t="s">
        <v>176</v>
      </c>
      <c r="E12752">
        <v>3061</v>
      </c>
      <c r="F12752">
        <v>1</v>
      </c>
      <c r="G12752">
        <v>93</v>
      </c>
      <c r="H12752">
        <f>_xlfn.XLOOKUP(FACT_IMPORTS[[#This Row],[hts_6]],DIM_PRODUCTS[hts_6],DIM_PRODUCTS[hts_4],,,)</f>
        <v>8542</v>
      </c>
      <c r="I12752" t="str" cm="1">
        <f t="array" ref="I12752">_xlfn.XLOOKUP(FACT_IMPORTS[[#This Row],[country_name]],DIM_COUNTRY[[#All],[Column2]],DIM_COUNTRY[[#All],[Column3]],,,)</f>
        <v>Major_Non-USMCA_Non-China</v>
      </c>
    </row>
    <row r="12753" spans="1:9" x14ac:dyDescent="0.4">
      <c r="A12753" t="s">
        <v>75</v>
      </c>
      <c r="B12753" s="1">
        <v>45017</v>
      </c>
      <c r="C12753">
        <v>854232</v>
      </c>
      <c r="D12753" t="s">
        <v>176</v>
      </c>
      <c r="E12753">
        <v>55798</v>
      </c>
      <c r="F12753">
        <v>13302</v>
      </c>
      <c r="G12753">
        <v>417</v>
      </c>
      <c r="H12753">
        <f>_xlfn.XLOOKUP(FACT_IMPORTS[[#This Row],[hts_6]],DIM_PRODUCTS[hts_6],DIM_PRODUCTS[hts_4],,,)</f>
        <v>8542</v>
      </c>
      <c r="I12753" t="str" cm="1">
        <f t="array" ref="I12753">_xlfn.XLOOKUP(FACT_IMPORTS[[#This Row],[country_name]],DIM_COUNTRY[[#All],[Column2]],DIM_COUNTRY[[#All],[Column3]],,,)</f>
        <v>Major_Non-USMCA_Non-China</v>
      </c>
    </row>
    <row r="12754" spans="1:9" x14ac:dyDescent="0.4">
      <c r="A12754" t="s">
        <v>75</v>
      </c>
      <c r="B12754" s="1">
        <v>45017</v>
      </c>
      <c r="C12754">
        <v>854239</v>
      </c>
      <c r="D12754" t="s">
        <v>176</v>
      </c>
      <c r="E12754">
        <v>1415574</v>
      </c>
      <c r="F12754">
        <v>360446</v>
      </c>
      <c r="G12754">
        <v>126057</v>
      </c>
      <c r="H12754">
        <f>_xlfn.XLOOKUP(FACT_IMPORTS[[#This Row],[hts_6]],DIM_PRODUCTS[hts_6],DIM_PRODUCTS[hts_4],,,)</f>
        <v>8542</v>
      </c>
      <c r="I12754" t="str" cm="1">
        <f t="array" ref="I12754">_xlfn.XLOOKUP(FACT_IMPORTS[[#This Row],[country_name]],DIM_COUNTRY[[#All],[Column2]],DIM_COUNTRY[[#All],[Column3]],,,)</f>
        <v>Major_Non-USMCA_Non-China</v>
      </c>
    </row>
    <row r="12755" spans="1:9" x14ac:dyDescent="0.4">
      <c r="A12755" t="s">
        <v>75</v>
      </c>
      <c r="B12755" s="1">
        <v>45017</v>
      </c>
      <c r="C12755">
        <v>854290</v>
      </c>
      <c r="D12755" t="s">
        <v>176</v>
      </c>
      <c r="E12755">
        <v>0</v>
      </c>
      <c r="F12755">
        <v>0</v>
      </c>
      <c r="G12755">
        <v>0</v>
      </c>
      <c r="H12755">
        <f>_xlfn.XLOOKUP(FACT_IMPORTS[[#This Row],[hts_6]],DIM_PRODUCTS[hts_6],DIM_PRODUCTS[hts_4],,,)</f>
        <v>8542</v>
      </c>
      <c r="I12755" t="str" cm="1">
        <f t="array" ref="I12755">_xlfn.XLOOKUP(FACT_IMPORTS[[#This Row],[country_name]],DIM_COUNTRY[[#All],[Column2]],DIM_COUNTRY[[#All],[Column3]],,,)</f>
        <v>Major_Non-USMCA_Non-China</v>
      </c>
    </row>
    <row r="12756" spans="1:9" x14ac:dyDescent="0.4">
      <c r="A12756" t="s">
        <v>75</v>
      </c>
      <c r="B12756" s="1">
        <v>45017</v>
      </c>
      <c r="C12756">
        <v>854430</v>
      </c>
      <c r="D12756" t="s">
        <v>176</v>
      </c>
      <c r="E12756">
        <v>4175</v>
      </c>
      <c r="F12756">
        <v>2500</v>
      </c>
      <c r="G12756">
        <v>8</v>
      </c>
      <c r="H12756">
        <f>_xlfn.XLOOKUP(FACT_IMPORTS[[#This Row],[hts_6]],DIM_PRODUCTS[hts_6],DIM_PRODUCTS[hts_4],,,)</f>
        <v>8544</v>
      </c>
      <c r="I12756" t="str" cm="1">
        <f t="array" ref="I12756">_xlfn.XLOOKUP(FACT_IMPORTS[[#This Row],[country_name]],DIM_COUNTRY[[#All],[Column2]],DIM_COUNTRY[[#All],[Column3]],,,)</f>
        <v>Major_Non-USMCA_Non-China</v>
      </c>
    </row>
    <row r="12757" spans="1:9" x14ac:dyDescent="0.4">
      <c r="A12757" t="s">
        <v>75</v>
      </c>
      <c r="B12757" s="1">
        <v>45017</v>
      </c>
      <c r="C12757">
        <v>870810</v>
      </c>
      <c r="D12757" t="s">
        <v>176</v>
      </c>
      <c r="E12757">
        <v>497879</v>
      </c>
      <c r="F12757">
        <v>15818</v>
      </c>
      <c r="G12757">
        <v>20434</v>
      </c>
      <c r="H12757">
        <f>_xlfn.XLOOKUP(FACT_IMPORTS[[#This Row],[hts_6]],DIM_PRODUCTS[hts_6],DIM_PRODUCTS[hts_4],,,)</f>
        <v>8708</v>
      </c>
      <c r="I12757" t="str" cm="1">
        <f t="array" ref="I12757">_xlfn.XLOOKUP(FACT_IMPORTS[[#This Row],[country_name]],DIM_COUNTRY[[#All],[Column2]],DIM_COUNTRY[[#All],[Column3]],,,)</f>
        <v>Major_Non-USMCA_Non-China</v>
      </c>
    </row>
    <row r="12758" spans="1:9" x14ac:dyDescent="0.4">
      <c r="A12758" t="s">
        <v>75</v>
      </c>
      <c r="B12758" s="1">
        <v>45017</v>
      </c>
      <c r="C12758">
        <v>870829</v>
      </c>
      <c r="D12758" t="s">
        <v>176</v>
      </c>
      <c r="E12758">
        <v>793892</v>
      </c>
      <c r="F12758">
        <v>25379</v>
      </c>
      <c r="G12758">
        <v>13161</v>
      </c>
      <c r="H12758">
        <f>_xlfn.XLOOKUP(FACT_IMPORTS[[#This Row],[hts_6]],DIM_PRODUCTS[hts_6],DIM_PRODUCTS[hts_4],,,)</f>
        <v>8708</v>
      </c>
      <c r="I12758" t="str" cm="1">
        <f t="array" ref="I12758">_xlfn.XLOOKUP(FACT_IMPORTS[[#This Row],[country_name]],DIM_COUNTRY[[#All],[Column2]],DIM_COUNTRY[[#All],[Column3]],,,)</f>
        <v>Major_Non-USMCA_Non-China</v>
      </c>
    </row>
    <row r="12759" spans="1:9" x14ac:dyDescent="0.4">
      <c r="A12759" t="s">
        <v>75</v>
      </c>
      <c r="B12759" s="1">
        <v>45017</v>
      </c>
      <c r="C12759">
        <v>870830</v>
      </c>
      <c r="D12759" t="s">
        <v>176</v>
      </c>
      <c r="E12759">
        <v>0</v>
      </c>
      <c r="F12759">
        <v>0</v>
      </c>
      <c r="G12759">
        <v>0</v>
      </c>
      <c r="H12759">
        <f>_xlfn.XLOOKUP(FACT_IMPORTS[[#This Row],[hts_6]],DIM_PRODUCTS[hts_6],DIM_PRODUCTS[hts_4],,,)</f>
        <v>8708</v>
      </c>
      <c r="I12759" t="str" cm="1">
        <f t="array" ref="I12759">_xlfn.XLOOKUP(FACT_IMPORTS[[#This Row],[country_name]],DIM_COUNTRY[[#All],[Column2]],DIM_COUNTRY[[#All],[Column3]],,,)</f>
        <v>Major_Non-USMCA_Non-China</v>
      </c>
    </row>
    <row r="12760" spans="1:9" x14ac:dyDescent="0.4">
      <c r="A12760" t="s">
        <v>75</v>
      </c>
      <c r="B12760" s="1">
        <v>45017</v>
      </c>
      <c r="C12760">
        <v>870840</v>
      </c>
      <c r="D12760" t="s">
        <v>176</v>
      </c>
      <c r="E12760">
        <v>306036</v>
      </c>
      <c r="F12760">
        <v>29420</v>
      </c>
      <c r="G12760">
        <v>8291</v>
      </c>
      <c r="H12760">
        <f>_xlfn.XLOOKUP(FACT_IMPORTS[[#This Row],[hts_6]],DIM_PRODUCTS[hts_6],DIM_PRODUCTS[hts_4],,,)</f>
        <v>8708</v>
      </c>
      <c r="I12760" t="str" cm="1">
        <f t="array" ref="I12760">_xlfn.XLOOKUP(FACT_IMPORTS[[#This Row],[country_name]],DIM_COUNTRY[[#All],[Column2]],DIM_COUNTRY[[#All],[Column3]],,,)</f>
        <v>Major_Non-USMCA_Non-China</v>
      </c>
    </row>
    <row r="12761" spans="1:9" x14ac:dyDescent="0.4">
      <c r="A12761" t="s">
        <v>75</v>
      </c>
      <c r="B12761" s="1">
        <v>45017</v>
      </c>
      <c r="C12761">
        <v>870850</v>
      </c>
      <c r="D12761" t="s">
        <v>176</v>
      </c>
      <c r="E12761">
        <v>197265</v>
      </c>
      <c r="F12761">
        <v>984</v>
      </c>
      <c r="G12761">
        <v>3585</v>
      </c>
      <c r="H12761">
        <f>_xlfn.XLOOKUP(FACT_IMPORTS[[#This Row],[hts_6]],DIM_PRODUCTS[hts_6],DIM_PRODUCTS[hts_4],,,)</f>
        <v>8708</v>
      </c>
      <c r="I12761" t="str" cm="1">
        <f t="array" ref="I12761">_xlfn.XLOOKUP(FACT_IMPORTS[[#This Row],[country_name]],DIM_COUNTRY[[#All],[Column2]],DIM_COUNTRY[[#All],[Column3]],,,)</f>
        <v>Major_Non-USMCA_Non-China</v>
      </c>
    </row>
    <row r="12762" spans="1:9" x14ac:dyDescent="0.4">
      <c r="A12762" t="s">
        <v>75</v>
      </c>
      <c r="B12762" s="1">
        <v>45017</v>
      </c>
      <c r="C12762">
        <v>870870</v>
      </c>
      <c r="D12762" t="s">
        <v>176</v>
      </c>
      <c r="E12762">
        <v>3202871</v>
      </c>
      <c r="F12762">
        <v>17546</v>
      </c>
      <c r="G12762">
        <v>111193</v>
      </c>
      <c r="H12762">
        <f>_xlfn.XLOOKUP(FACT_IMPORTS[[#This Row],[hts_6]],DIM_PRODUCTS[hts_6],DIM_PRODUCTS[hts_4],,,)</f>
        <v>8708</v>
      </c>
      <c r="I12762" t="str" cm="1">
        <f t="array" ref="I12762">_xlfn.XLOOKUP(FACT_IMPORTS[[#This Row],[country_name]],DIM_COUNTRY[[#All],[Column2]],DIM_COUNTRY[[#All],[Column3]],,,)</f>
        <v>Major_Non-USMCA_Non-China</v>
      </c>
    </row>
    <row r="12763" spans="1:9" x14ac:dyDescent="0.4">
      <c r="A12763" t="s">
        <v>75</v>
      </c>
      <c r="B12763" s="1">
        <v>45017</v>
      </c>
      <c r="C12763">
        <v>870880</v>
      </c>
      <c r="D12763" t="s">
        <v>176</v>
      </c>
      <c r="E12763">
        <v>861722</v>
      </c>
      <c r="F12763">
        <v>58212</v>
      </c>
      <c r="G12763">
        <v>43458</v>
      </c>
      <c r="H12763">
        <f>_xlfn.XLOOKUP(FACT_IMPORTS[[#This Row],[hts_6]],DIM_PRODUCTS[hts_6],DIM_PRODUCTS[hts_4],,,)</f>
        <v>8708</v>
      </c>
      <c r="I12763" t="str" cm="1">
        <f t="array" ref="I12763">_xlfn.XLOOKUP(FACT_IMPORTS[[#This Row],[country_name]],DIM_COUNTRY[[#All],[Column2]],DIM_COUNTRY[[#All],[Column3]],,,)</f>
        <v>Major_Non-USMCA_Non-China</v>
      </c>
    </row>
    <row r="12764" spans="1:9" x14ac:dyDescent="0.4">
      <c r="A12764" t="s">
        <v>75</v>
      </c>
      <c r="B12764" s="1">
        <v>45017</v>
      </c>
      <c r="C12764">
        <v>870891</v>
      </c>
      <c r="D12764" t="s">
        <v>176</v>
      </c>
      <c r="E12764">
        <v>31412</v>
      </c>
      <c r="F12764">
        <v>26224</v>
      </c>
      <c r="G12764">
        <v>2122</v>
      </c>
      <c r="H12764">
        <f>_xlfn.XLOOKUP(FACT_IMPORTS[[#This Row],[hts_6]],DIM_PRODUCTS[hts_6],DIM_PRODUCTS[hts_4],,,)</f>
        <v>8708</v>
      </c>
      <c r="I12764" t="str" cm="1">
        <f t="array" ref="I12764">_xlfn.XLOOKUP(FACT_IMPORTS[[#This Row],[country_name]],DIM_COUNTRY[[#All],[Column2]],DIM_COUNTRY[[#All],[Column3]],,,)</f>
        <v>Major_Non-USMCA_Non-China</v>
      </c>
    </row>
    <row r="12765" spans="1:9" x14ac:dyDescent="0.4">
      <c r="A12765" t="s">
        <v>75</v>
      </c>
      <c r="B12765" s="1">
        <v>45017</v>
      </c>
      <c r="C12765">
        <v>870892</v>
      </c>
      <c r="D12765" t="s">
        <v>176</v>
      </c>
      <c r="E12765">
        <v>0</v>
      </c>
      <c r="F12765">
        <v>0</v>
      </c>
      <c r="G12765">
        <v>0</v>
      </c>
      <c r="H12765">
        <f>_xlfn.XLOOKUP(FACT_IMPORTS[[#This Row],[hts_6]],DIM_PRODUCTS[hts_6],DIM_PRODUCTS[hts_4],,,)</f>
        <v>8708</v>
      </c>
      <c r="I12765" t="str" cm="1">
        <f t="array" ref="I12765">_xlfn.XLOOKUP(FACT_IMPORTS[[#This Row],[country_name]],DIM_COUNTRY[[#All],[Column2]],DIM_COUNTRY[[#All],[Column3]],,,)</f>
        <v>Major_Non-USMCA_Non-China</v>
      </c>
    </row>
    <row r="12766" spans="1:9" x14ac:dyDescent="0.4">
      <c r="A12766" t="s">
        <v>75</v>
      </c>
      <c r="B12766" s="1">
        <v>45017</v>
      </c>
      <c r="C12766">
        <v>870893</v>
      </c>
      <c r="D12766" t="s">
        <v>176</v>
      </c>
      <c r="E12766">
        <v>20325</v>
      </c>
      <c r="F12766">
        <v>393</v>
      </c>
      <c r="G12766">
        <v>57</v>
      </c>
      <c r="H12766">
        <f>_xlfn.XLOOKUP(FACT_IMPORTS[[#This Row],[hts_6]],DIM_PRODUCTS[hts_6],DIM_PRODUCTS[hts_4],,,)</f>
        <v>8708</v>
      </c>
      <c r="I12766" t="str" cm="1">
        <f t="array" ref="I12766">_xlfn.XLOOKUP(FACT_IMPORTS[[#This Row],[country_name]],DIM_COUNTRY[[#All],[Column2]],DIM_COUNTRY[[#All],[Column3]],,,)</f>
        <v>Major_Non-USMCA_Non-China</v>
      </c>
    </row>
    <row r="12767" spans="1:9" x14ac:dyDescent="0.4">
      <c r="A12767" t="s">
        <v>75</v>
      </c>
      <c r="B12767" s="1">
        <v>45017</v>
      </c>
      <c r="C12767">
        <v>870894</v>
      </c>
      <c r="D12767" t="s">
        <v>176</v>
      </c>
      <c r="E12767">
        <v>45503</v>
      </c>
      <c r="F12767">
        <v>93364</v>
      </c>
      <c r="G12767">
        <v>1142</v>
      </c>
      <c r="H12767">
        <f>_xlfn.XLOOKUP(FACT_IMPORTS[[#This Row],[hts_6]],DIM_PRODUCTS[hts_6],DIM_PRODUCTS[hts_4],,,)</f>
        <v>8708</v>
      </c>
      <c r="I12767" t="str" cm="1">
        <f t="array" ref="I12767">_xlfn.XLOOKUP(FACT_IMPORTS[[#This Row],[country_name]],DIM_COUNTRY[[#All],[Column2]],DIM_COUNTRY[[#All],[Column3]],,,)</f>
        <v>Major_Non-USMCA_Non-China</v>
      </c>
    </row>
    <row r="12768" spans="1:9" x14ac:dyDescent="0.4">
      <c r="A12768" t="s">
        <v>75</v>
      </c>
      <c r="B12768" s="1">
        <v>45017</v>
      </c>
      <c r="C12768">
        <v>870899</v>
      </c>
      <c r="D12768" t="s">
        <v>176</v>
      </c>
      <c r="E12768">
        <v>941105</v>
      </c>
      <c r="F12768">
        <v>1123379</v>
      </c>
      <c r="G12768">
        <v>52529</v>
      </c>
      <c r="H12768">
        <f>_xlfn.XLOOKUP(FACT_IMPORTS[[#This Row],[hts_6]],DIM_PRODUCTS[hts_6],DIM_PRODUCTS[hts_4],,,)</f>
        <v>8708</v>
      </c>
      <c r="I12768" t="str" cm="1">
        <f t="array" ref="I12768">_xlfn.XLOOKUP(FACT_IMPORTS[[#This Row],[country_name]],DIM_COUNTRY[[#All],[Column2]],DIM_COUNTRY[[#All],[Column3]],,,)</f>
        <v>Major_Non-USMCA_Non-China</v>
      </c>
    </row>
    <row r="12769" spans="1:9" x14ac:dyDescent="0.4">
      <c r="A12769" t="s">
        <v>75</v>
      </c>
      <c r="B12769" s="1">
        <v>45017</v>
      </c>
      <c r="C12769">
        <v>940120</v>
      </c>
      <c r="D12769" t="s">
        <v>176</v>
      </c>
      <c r="E12769">
        <v>0</v>
      </c>
      <c r="F12769">
        <v>0</v>
      </c>
      <c r="G12769">
        <v>0</v>
      </c>
      <c r="H12769">
        <f>_xlfn.XLOOKUP(FACT_IMPORTS[[#This Row],[hts_6]],DIM_PRODUCTS[hts_6],DIM_PRODUCTS[hts_4],,,)</f>
        <v>9401</v>
      </c>
      <c r="I12769" t="str" cm="1">
        <f t="array" ref="I12769">_xlfn.XLOOKUP(FACT_IMPORTS[[#This Row],[country_name]],DIM_COUNTRY[[#All],[Column2]],DIM_COUNTRY[[#All],[Column3]],,,)</f>
        <v>Major_Non-USMCA_Non-China</v>
      </c>
    </row>
    <row r="12770" spans="1:9" x14ac:dyDescent="0.4">
      <c r="A12770" t="s">
        <v>75</v>
      </c>
      <c r="B12770" s="1">
        <v>45047</v>
      </c>
      <c r="C12770">
        <v>392630</v>
      </c>
      <c r="D12770" t="s">
        <v>176</v>
      </c>
      <c r="E12770">
        <v>101191</v>
      </c>
      <c r="F12770">
        <v>4912</v>
      </c>
      <c r="G12770">
        <v>6826</v>
      </c>
      <c r="H12770">
        <f>_xlfn.XLOOKUP(FACT_IMPORTS[[#This Row],[hts_6]],DIM_PRODUCTS[hts_6],DIM_PRODUCTS[hts_4],,,)</f>
        <v>3926</v>
      </c>
      <c r="I12770" t="str" cm="1">
        <f t="array" ref="I12770">_xlfn.XLOOKUP(FACT_IMPORTS[[#This Row],[country_name]],DIM_COUNTRY[[#All],[Column2]],DIM_COUNTRY[[#All],[Column3]],,,)</f>
        <v>Major_Non-USMCA_Non-China</v>
      </c>
    </row>
    <row r="12771" spans="1:9" x14ac:dyDescent="0.4">
      <c r="A12771" t="s">
        <v>75</v>
      </c>
      <c r="B12771" s="1">
        <v>45047</v>
      </c>
      <c r="C12771">
        <v>401110</v>
      </c>
      <c r="D12771" t="s">
        <v>176</v>
      </c>
      <c r="E12771">
        <v>0</v>
      </c>
      <c r="F12771">
        <v>0</v>
      </c>
      <c r="G12771">
        <v>0</v>
      </c>
      <c r="H12771">
        <f>_xlfn.XLOOKUP(FACT_IMPORTS[[#This Row],[hts_6]],DIM_PRODUCTS[hts_6],DIM_PRODUCTS[hts_4],,,)</f>
        <v>4011</v>
      </c>
      <c r="I12771" t="str" cm="1">
        <f t="array" ref="I12771">_xlfn.XLOOKUP(FACT_IMPORTS[[#This Row],[country_name]],DIM_COUNTRY[[#All],[Column2]],DIM_COUNTRY[[#All],[Column3]],,,)</f>
        <v>Major_Non-USMCA_Non-China</v>
      </c>
    </row>
    <row r="12772" spans="1:9" x14ac:dyDescent="0.4">
      <c r="A12772" t="s">
        <v>75</v>
      </c>
      <c r="B12772" s="1">
        <v>45047</v>
      </c>
      <c r="C12772">
        <v>401120</v>
      </c>
      <c r="D12772" t="s">
        <v>176</v>
      </c>
      <c r="E12772">
        <v>0</v>
      </c>
      <c r="F12772">
        <v>0</v>
      </c>
      <c r="G12772">
        <v>0</v>
      </c>
      <c r="H12772">
        <f>_xlfn.XLOOKUP(FACT_IMPORTS[[#This Row],[hts_6]],DIM_PRODUCTS[hts_6],DIM_PRODUCTS[hts_4],,,)</f>
        <v>4011</v>
      </c>
      <c r="I12772" t="str" cm="1">
        <f t="array" ref="I12772">_xlfn.XLOOKUP(FACT_IMPORTS[[#This Row],[country_name]],DIM_COUNTRY[[#All],[Column2]],DIM_COUNTRY[[#All],[Column3]],,,)</f>
        <v>Major_Non-USMCA_Non-China</v>
      </c>
    </row>
    <row r="12773" spans="1:9" x14ac:dyDescent="0.4">
      <c r="A12773" t="s">
        <v>75</v>
      </c>
      <c r="B12773" s="1">
        <v>45047</v>
      </c>
      <c r="C12773">
        <v>401140</v>
      </c>
      <c r="D12773" t="s">
        <v>176</v>
      </c>
      <c r="E12773">
        <v>0</v>
      </c>
      <c r="F12773">
        <v>0</v>
      </c>
      <c r="G12773">
        <v>0</v>
      </c>
      <c r="H12773">
        <f>_xlfn.XLOOKUP(FACT_IMPORTS[[#This Row],[hts_6]],DIM_PRODUCTS[hts_6],DIM_PRODUCTS[hts_4],,,)</f>
        <v>4011</v>
      </c>
      <c r="I12773" t="str" cm="1">
        <f t="array" ref="I12773">_xlfn.XLOOKUP(FACT_IMPORTS[[#This Row],[country_name]],DIM_COUNTRY[[#All],[Column2]],DIM_COUNTRY[[#All],[Column3]],,,)</f>
        <v>Major_Non-USMCA_Non-China</v>
      </c>
    </row>
    <row r="12774" spans="1:9" x14ac:dyDescent="0.4">
      <c r="A12774" t="s">
        <v>75</v>
      </c>
      <c r="B12774" s="1">
        <v>45047</v>
      </c>
      <c r="C12774">
        <v>401190</v>
      </c>
      <c r="D12774" t="s">
        <v>176</v>
      </c>
      <c r="E12774">
        <v>11892</v>
      </c>
      <c r="F12774">
        <v>110</v>
      </c>
      <c r="G12774">
        <v>30</v>
      </c>
      <c r="H12774">
        <f>_xlfn.XLOOKUP(FACT_IMPORTS[[#This Row],[hts_6]],DIM_PRODUCTS[hts_6],DIM_PRODUCTS[hts_4],,,)</f>
        <v>4011</v>
      </c>
      <c r="I12774" t="str" cm="1">
        <f t="array" ref="I12774">_xlfn.XLOOKUP(FACT_IMPORTS[[#This Row],[country_name]],DIM_COUNTRY[[#All],[Column2]],DIM_COUNTRY[[#All],[Column3]],,,)</f>
        <v>Major_Non-USMCA_Non-China</v>
      </c>
    </row>
    <row r="12775" spans="1:9" x14ac:dyDescent="0.4">
      <c r="A12775" t="s">
        <v>75</v>
      </c>
      <c r="B12775" s="1">
        <v>45047</v>
      </c>
      <c r="C12775">
        <v>700910</v>
      </c>
      <c r="D12775" t="s">
        <v>176</v>
      </c>
      <c r="E12775">
        <v>60950</v>
      </c>
      <c r="F12775">
        <v>10772</v>
      </c>
      <c r="G12775">
        <v>2161</v>
      </c>
      <c r="H12775">
        <f>_xlfn.XLOOKUP(FACT_IMPORTS[[#This Row],[hts_6]],DIM_PRODUCTS[hts_6],DIM_PRODUCTS[hts_4],,,)</f>
        <v>7009</v>
      </c>
      <c r="I12775" t="str" cm="1">
        <f t="array" ref="I12775">_xlfn.XLOOKUP(FACT_IMPORTS[[#This Row],[country_name]],DIM_COUNTRY[[#All],[Column2]],DIM_COUNTRY[[#All],[Column3]],,,)</f>
        <v>Major_Non-USMCA_Non-China</v>
      </c>
    </row>
    <row r="12776" spans="1:9" x14ac:dyDescent="0.4">
      <c r="A12776" t="s">
        <v>75</v>
      </c>
      <c r="B12776" s="1">
        <v>45047</v>
      </c>
      <c r="C12776">
        <v>830230</v>
      </c>
      <c r="D12776" t="s">
        <v>176</v>
      </c>
      <c r="E12776">
        <v>159620</v>
      </c>
      <c r="F12776">
        <v>18462</v>
      </c>
      <c r="G12776">
        <v>11472</v>
      </c>
      <c r="H12776">
        <f>_xlfn.XLOOKUP(FACT_IMPORTS[[#This Row],[hts_6]],DIM_PRODUCTS[hts_6],DIM_PRODUCTS[hts_4],,,)</f>
        <v>8302</v>
      </c>
      <c r="I12776" t="str" cm="1">
        <f t="array" ref="I12776">_xlfn.XLOOKUP(FACT_IMPORTS[[#This Row],[country_name]],DIM_COUNTRY[[#All],[Column2]],DIM_COUNTRY[[#All],[Column3]],,,)</f>
        <v>Major_Non-USMCA_Non-China</v>
      </c>
    </row>
    <row r="12777" spans="1:9" x14ac:dyDescent="0.4">
      <c r="A12777" t="s">
        <v>75</v>
      </c>
      <c r="B12777" s="1">
        <v>45047</v>
      </c>
      <c r="C12777">
        <v>840732</v>
      </c>
      <c r="D12777" t="s">
        <v>176</v>
      </c>
      <c r="E12777">
        <v>0</v>
      </c>
      <c r="F12777">
        <v>0</v>
      </c>
      <c r="G12777">
        <v>0</v>
      </c>
      <c r="H12777">
        <f>_xlfn.XLOOKUP(FACT_IMPORTS[[#This Row],[hts_6]],DIM_PRODUCTS[hts_6],DIM_PRODUCTS[hts_4],,,)</f>
        <v>8407</v>
      </c>
      <c r="I12777" t="str" cm="1">
        <f t="array" ref="I12777">_xlfn.XLOOKUP(FACT_IMPORTS[[#This Row],[country_name]],DIM_COUNTRY[[#All],[Column2]],DIM_COUNTRY[[#All],[Column3]],,,)</f>
        <v>Major_Non-USMCA_Non-China</v>
      </c>
    </row>
    <row r="12778" spans="1:9" x14ac:dyDescent="0.4">
      <c r="A12778" t="s">
        <v>75</v>
      </c>
      <c r="B12778" s="1">
        <v>45047</v>
      </c>
      <c r="C12778">
        <v>840733</v>
      </c>
      <c r="D12778" t="s">
        <v>176</v>
      </c>
      <c r="E12778">
        <v>0</v>
      </c>
      <c r="F12778">
        <v>0</v>
      </c>
      <c r="G12778">
        <v>0</v>
      </c>
      <c r="H12778">
        <f>_xlfn.XLOOKUP(FACT_IMPORTS[[#This Row],[hts_6]],DIM_PRODUCTS[hts_6],DIM_PRODUCTS[hts_4],,,)</f>
        <v>8407</v>
      </c>
      <c r="I12778" t="str" cm="1">
        <f t="array" ref="I12778">_xlfn.XLOOKUP(FACT_IMPORTS[[#This Row],[country_name]],DIM_COUNTRY[[#All],[Column2]],DIM_COUNTRY[[#All],[Column3]],,,)</f>
        <v>Major_Non-USMCA_Non-China</v>
      </c>
    </row>
    <row r="12779" spans="1:9" x14ac:dyDescent="0.4">
      <c r="A12779" t="s">
        <v>75</v>
      </c>
      <c r="B12779" s="1">
        <v>45047</v>
      </c>
      <c r="C12779">
        <v>840991</v>
      </c>
      <c r="D12779" t="s">
        <v>176</v>
      </c>
      <c r="E12779">
        <v>115483</v>
      </c>
      <c r="F12779">
        <v>9730</v>
      </c>
      <c r="G12779">
        <v>8878</v>
      </c>
      <c r="H12779">
        <f>_xlfn.XLOOKUP(FACT_IMPORTS[[#This Row],[hts_6]],DIM_PRODUCTS[hts_6],DIM_PRODUCTS[hts_4],,,)</f>
        <v>8409</v>
      </c>
      <c r="I12779" t="str" cm="1">
        <f t="array" ref="I12779">_xlfn.XLOOKUP(FACT_IMPORTS[[#This Row],[country_name]],DIM_COUNTRY[[#All],[Column2]],DIM_COUNTRY[[#All],[Column3]],,,)</f>
        <v>Major_Non-USMCA_Non-China</v>
      </c>
    </row>
    <row r="12780" spans="1:9" x14ac:dyDescent="0.4">
      <c r="A12780" t="s">
        <v>75</v>
      </c>
      <c r="B12780" s="1">
        <v>45047</v>
      </c>
      <c r="C12780">
        <v>840999</v>
      </c>
      <c r="D12780" t="s">
        <v>176</v>
      </c>
      <c r="E12780">
        <v>0</v>
      </c>
      <c r="F12780">
        <v>0</v>
      </c>
      <c r="G12780">
        <v>0</v>
      </c>
      <c r="H12780">
        <f>_xlfn.XLOOKUP(FACT_IMPORTS[[#This Row],[hts_6]],DIM_PRODUCTS[hts_6],DIM_PRODUCTS[hts_4],,,)</f>
        <v>8409</v>
      </c>
      <c r="I12780" t="str" cm="1">
        <f t="array" ref="I12780">_xlfn.XLOOKUP(FACT_IMPORTS[[#This Row],[country_name]],DIM_COUNTRY[[#All],[Column2]],DIM_COUNTRY[[#All],[Column3]],,,)</f>
        <v>Major_Non-USMCA_Non-China</v>
      </c>
    </row>
    <row r="12781" spans="1:9" x14ac:dyDescent="0.4">
      <c r="A12781" t="s">
        <v>75</v>
      </c>
      <c r="B12781" s="1">
        <v>45047</v>
      </c>
      <c r="C12781">
        <v>841330</v>
      </c>
      <c r="D12781" t="s">
        <v>176</v>
      </c>
      <c r="E12781">
        <v>0</v>
      </c>
      <c r="F12781">
        <v>0</v>
      </c>
      <c r="G12781">
        <v>0</v>
      </c>
      <c r="H12781">
        <f>_xlfn.XLOOKUP(FACT_IMPORTS[[#This Row],[hts_6]],DIM_PRODUCTS[hts_6],DIM_PRODUCTS[hts_4],,,)</f>
        <v>8413</v>
      </c>
      <c r="I12781" t="str" cm="1">
        <f t="array" ref="I12781">_xlfn.XLOOKUP(FACT_IMPORTS[[#This Row],[country_name]],DIM_COUNTRY[[#All],[Column2]],DIM_COUNTRY[[#All],[Column3]],,,)</f>
        <v>Major_Non-USMCA_Non-China</v>
      </c>
    </row>
    <row r="12782" spans="1:9" x14ac:dyDescent="0.4">
      <c r="A12782" t="s">
        <v>75</v>
      </c>
      <c r="B12782" s="1">
        <v>45047</v>
      </c>
      <c r="C12782">
        <v>842132</v>
      </c>
      <c r="D12782" t="s">
        <v>176</v>
      </c>
      <c r="E12782">
        <v>0</v>
      </c>
      <c r="F12782">
        <v>0</v>
      </c>
      <c r="G12782">
        <v>0</v>
      </c>
      <c r="H12782">
        <f>_xlfn.XLOOKUP(FACT_IMPORTS[[#This Row],[hts_6]],DIM_PRODUCTS[hts_6],DIM_PRODUCTS[hts_4],,,)</f>
        <v>8421</v>
      </c>
      <c r="I12782" t="str" cm="1">
        <f t="array" ref="I12782">_xlfn.XLOOKUP(FACT_IMPORTS[[#This Row],[country_name]],DIM_COUNTRY[[#All],[Column2]],DIM_COUNTRY[[#All],[Column3]],,,)</f>
        <v>Major_Non-USMCA_Non-China</v>
      </c>
    </row>
    <row r="12783" spans="1:9" x14ac:dyDescent="0.4">
      <c r="A12783" t="s">
        <v>75</v>
      </c>
      <c r="B12783" s="1">
        <v>45047</v>
      </c>
      <c r="C12783">
        <v>848210</v>
      </c>
      <c r="D12783" t="s">
        <v>176</v>
      </c>
      <c r="E12783">
        <v>131831</v>
      </c>
      <c r="F12783">
        <v>235659</v>
      </c>
      <c r="G12783">
        <v>5115</v>
      </c>
      <c r="H12783">
        <f>_xlfn.XLOOKUP(FACT_IMPORTS[[#This Row],[hts_6]],DIM_PRODUCTS[hts_6],DIM_PRODUCTS[hts_4],,,)</f>
        <v>8482</v>
      </c>
      <c r="I12783" t="str" cm="1">
        <f t="array" ref="I12783">_xlfn.XLOOKUP(FACT_IMPORTS[[#This Row],[country_name]],DIM_COUNTRY[[#All],[Column2]],DIM_COUNTRY[[#All],[Column3]],,,)</f>
        <v>Major_Non-USMCA_Non-China</v>
      </c>
    </row>
    <row r="12784" spans="1:9" x14ac:dyDescent="0.4">
      <c r="A12784" t="s">
        <v>75</v>
      </c>
      <c r="B12784" s="1">
        <v>45047</v>
      </c>
      <c r="C12784">
        <v>848310</v>
      </c>
      <c r="D12784" t="s">
        <v>176</v>
      </c>
      <c r="E12784">
        <v>0</v>
      </c>
      <c r="F12784">
        <v>0</v>
      </c>
      <c r="G12784">
        <v>0</v>
      </c>
      <c r="H12784">
        <f>_xlfn.XLOOKUP(FACT_IMPORTS[[#This Row],[hts_6]],DIM_PRODUCTS[hts_6],DIM_PRODUCTS[hts_4],,,)</f>
        <v>8483</v>
      </c>
      <c r="I12784" t="str" cm="1">
        <f t="array" ref="I12784">_xlfn.XLOOKUP(FACT_IMPORTS[[#This Row],[country_name]],DIM_COUNTRY[[#All],[Column2]],DIM_COUNTRY[[#All],[Column3]],,,)</f>
        <v>Major_Non-USMCA_Non-China</v>
      </c>
    </row>
    <row r="12785" spans="1:9" x14ac:dyDescent="0.4">
      <c r="A12785" t="s">
        <v>75</v>
      </c>
      <c r="B12785" s="1">
        <v>45047</v>
      </c>
      <c r="C12785">
        <v>850131</v>
      </c>
      <c r="D12785" t="s">
        <v>176</v>
      </c>
      <c r="E12785">
        <v>26742</v>
      </c>
      <c r="F12785">
        <v>526</v>
      </c>
      <c r="G12785">
        <v>254</v>
      </c>
      <c r="H12785">
        <f>_xlfn.XLOOKUP(FACT_IMPORTS[[#This Row],[hts_6]],DIM_PRODUCTS[hts_6],DIM_PRODUCTS[hts_4],,,)</f>
        <v>8501</v>
      </c>
      <c r="I12785" t="str" cm="1">
        <f t="array" ref="I12785">_xlfn.XLOOKUP(FACT_IMPORTS[[#This Row],[country_name]],DIM_COUNTRY[[#All],[Column2]],DIM_COUNTRY[[#All],[Column3]],,,)</f>
        <v>Major_Non-USMCA_Non-China</v>
      </c>
    </row>
    <row r="12786" spans="1:9" x14ac:dyDescent="0.4">
      <c r="A12786" t="s">
        <v>75</v>
      </c>
      <c r="B12786" s="1">
        <v>45047</v>
      </c>
      <c r="C12786">
        <v>850132</v>
      </c>
      <c r="D12786" t="s">
        <v>176</v>
      </c>
      <c r="E12786">
        <v>0</v>
      </c>
      <c r="F12786">
        <v>0</v>
      </c>
      <c r="G12786">
        <v>0</v>
      </c>
      <c r="H12786">
        <f>_xlfn.XLOOKUP(FACT_IMPORTS[[#This Row],[hts_6]],DIM_PRODUCTS[hts_6],DIM_PRODUCTS[hts_4],,,)</f>
        <v>8501</v>
      </c>
      <c r="I12786" t="str" cm="1">
        <f t="array" ref="I12786">_xlfn.XLOOKUP(FACT_IMPORTS[[#This Row],[country_name]],DIM_COUNTRY[[#All],[Column2]],DIM_COUNTRY[[#All],[Column3]],,,)</f>
        <v>Major_Non-USMCA_Non-China</v>
      </c>
    </row>
    <row r="12787" spans="1:9" x14ac:dyDescent="0.4">
      <c r="A12787" t="s">
        <v>75</v>
      </c>
      <c r="B12787" s="1">
        <v>45047</v>
      </c>
      <c r="C12787">
        <v>850152</v>
      </c>
      <c r="D12787" t="s">
        <v>176</v>
      </c>
      <c r="E12787">
        <v>73590</v>
      </c>
      <c r="F12787">
        <v>1681</v>
      </c>
      <c r="G12787">
        <v>1232</v>
      </c>
      <c r="H12787">
        <f>_xlfn.XLOOKUP(FACT_IMPORTS[[#This Row],[hts_6]],DIM_PRODUCTS[hts_6],DIM_PRODUCTS[hts_4],,,)</f>
        <v>8501</v>
      </c>
      <c r="I12787" t="str" cm="1">
        <f t="array" ref="I12787">_xlfn.XLOOKUP(FACT_IMPORTS[[#This Row],[country_name]],DIM_COUNTRY[[#All],[Column2]],DIM_COUNTRY[[#All],[Column3]],,,)</f>
        <v>Major_Non-USMCA_Non-China</v>
      </c>
    </row>
    <row r="12788" spans="1:9" x14ac:dyDescent="0.4">
      <c r="A12788" t="s">
        <v>75</v>
      </c>
      <c r="B12788" s="1">
        <v>45047</v>
      </c>
      <c r="C12788">
        <v>850153</v>
      </c>
      <c r="D12788" t="s">
        <v>176</v>
      </c>
      <c r="E12788">
        <v>22000</v>
      </c>
      <c r="F12788">
        <v>1</v>
      </c>
      <c r="G12788">
        <v>200</v>
      </c>
      <c r="H12788">
        <f>_xlfn.XLOOKUP(FACT_IMPORTS[[#This Row],[hts_6]],DIM_PRODUCTS[hts_6],DIM_PRODUCTS[hts_4],,,)</f>
        <v>8501</v>
      </c>
      <c r="I12788" t="str" cm="1">
        <f t="array" ref="I12788">_xlfn.XLOOKUP(FACT_IMPORTS[[#This Row],[country_name]],DIM_COUNTRY[[#All],[Column2]],DIM_COUNTRY[[#All],[Column3]],,,)</f>
        <v>Major_Non-USMCA_Non-China</v>
      </c>
    </row>
    <row r="12789" spans="1:9" x14ac:dyDescent="0.4">
      <c r="A12789" t="s">
        <v>75</v>
      </c>
      <c r="B12789" s="1">
        <v>45047</v>
      </c>
      <c r="C12789">
        <v>850440</v>
      </c>
      <c r="D12789" t="s">
        <v>176</v>
      </c>
      <c r="E12789">
        <v>558329</v>
      </c>
      <c r="F12789">
        <v>8419</v>
      </c>
      <c r="G12789">
        <v>14603</v>
      </c>
      <c r="H12789">
        <f>_xlfn.XLOOKUP(FACT_IMPORTS[[#This Row],[hts_6]],DIM_PRODUCTS[hts_6],DIM_PRODUCTS[hts_4],,,)</f>
        <v>8504</v>
      </c>
      <c r="I12789" t="str" cm="1">
        <f t="array" ref="I12789">_xlfn.XLOOKUP(FACT_IMPORTS[[#This Row],[country_name]],DIM_COUNTRY[[#All],[Column2]],DIM_COUNTRY[[#All],[Column3]],,,)</f>
        <v>Major_Non-USMCA_Non-China</v>
      </c>
    </row>
    <row r="12790" spans="1:9" x14ac:dyDescent="0.4">
      <c r="A12790" t="s">
        <v>75</v>
      </c>
      <c r="B12790" s="1">
        <v>45047</v>
      </c>
      <c r="C12790">
        <v>850710</v>
      </c>
      <c r="D12790" t="s">
        <v>176</v>
      </c>
      <c r="E12790">
        <v>46520</v>
      </c>
      <c r="F12790">
        <v>724</v>
      </c>
      <c r="G12790">
        <v>96</v>
      </c>
      <c r="H12790">
        <f>_xlfn.XLOOKUP(FACT_IMPORTS[[#This Row],[hts_6]],DIM_PRODUCTS[hts_6],DIM_PRODUCTS[hts_4],,,)</f>
        <v>8507</v>
      </c>
      <c r="I12790" t="str" cm="1">
        <f t="array" ref="I12790">_xlfn.XLOOKUP(FACT_IMPORTS[[#This Row],[country_name]],DIM_COUNTRY[[#All],[Column2]],DIM_COUNTRY[[#All],[Column3]],,,)</f>
        <v>Major_Non-USMCA_Non-China</v>
      </c>
    </row>
    <row r="12791" spans="1:9" x14ac:dyDescent="0.4">
      <c r="A12791" t="s">
        <v>75</v>
      </c>
      <c r="B12791" s="1">
        <v>45047</v>
      </c>
      <c r="C12791">
        <v>850760</v>
      </c>
      <c r="D12791" t="s">
        <v>176</v>
      </c>
      <c r="E12791">
        <v>0</v>
      </c>
      <c r="F12791">
        <v>0</v>
      </c>
      <c r="G12791">
        <v>0</v>
      </c>
      <c r="H12791">
        <f>_xlfn.XLOOKUP(FACT_IMPORTS[[#This Row],[hts_6]],DIM_PRODUCTS[hts_6],DIM_PRODUCTS[hts_4],,,)</f>
        <v>8507</v>
      </c>
      <c r="I12791" t="str" cm="1">
        <f t="array" ref="I12791">_xlfn.XLOOKUP(FACT_IMPORTS[[#This Row],[country_name]],DIM_COUNTRY[[#All],[Column2]],DIM_COUNTRY[[#All],[Column3]],,,)</f>
        <v>Major_Non-USMCA_Non-China</v>
      </c>
    </row>
    <row r="12792" spans="1:9" x14ac:dyDescent="0.4">
      <c r="A12792" t="s">
        <v>75</v>
      </c>
      <c r="B12792" s="1">
        <v>45047</v>
      </c>
      <c r="C12792">
        <v>851120</v>
      </c>
      <c r="D12792" t="s">
        <v>176</v>
      </c>
      <c r="E12792">
        <v>0</v>
      </c>
      <c r="F12792">
        <v>0</v>
      </c>
      <c r="G12792">
        <v>0</v>
      </c>
      <c r="H12792">
        <f>_xlfn.XLOOKUP(FACT_IMPORTS[[#This Row],[hts_6]],DIM_PRODUCTS[hts_6],DIM_PRODUCTS[hts_4],,,)</f>
        <v>8511</v>
      </c>
      <c r="I12792" t="str" cm="1">
        <f t="array" ref="I12792">_xlfn.XLOOKUP(FACT_IMPORTS[[#This Row],[country_name]],DIM_COUNTRY[[#All],[Column2]],DIM_COUNTRY[[#All],[Column3]],,,)</f>
        <v>Major_Non-USMCA_Non-China</v>
      </c>
    </row>
    <row r="12793" spans="1:9" x14ac:dyDescent="0.4">
      <c r="A12793" t="s">
        <v>75</v>
      </c>
      <c r="B12793" s="1">
        <v>45047</v>
      </c>
      <c r="C12793">
        <v>851130</v>
      </c>
      <c r="D12793" t="s">
        <v>176</v>
      </c>
      <c r="E12793">
        <v>0</v>
      </c>
      <c r="F12793">
        <v>0</v>
      </c>
      <c r="G12793">
        <v>0</v>
      </c>
      <c r="H12793">
        <f>_xlfn.XLOOKUP(FACT_IMPORTS[[#This Row],[hts_6]],DIM_PRODUCTS[hts_6],DIM_PRODUCTS[hts_4],,,)</f>
        <v>8511</v>
      </c>
      <c r="I12793" t="str" cm="1">
        <f t="array" ref="I12793">_xlfn.XLOOKUP(FACT_IMPORTS[[#This Row],[country_name]],DIM_COUNTRY[[#All],[Column2]],DIM_COUNTRY[[#All],[Column3]],,,)</f>
        <v>Major_Non-USMCA_Non-China</v>
      </c>
    </row>
    <row r="12794" spans="1:9" x14ac:dyDescent="0.4">
      <c r="A12794" t="s">
        <v>75</v>
      </c>
      <c r="B12794" s="1">
        <v>45047</v>
      </c>
      <c r="C12794">
        <v>851140</v>
      </c>
      <c r="D12794" t="s">
        <v>176</v>
      </c>
      <c r="E12794">
        <v>21869</v>
      </c>
      <c r="F12794">
        <v>121</v>
      </c>
      <c r="G12794">
        <v>40</v>
      </c>
      <c r="H12794">
        <f>_xlfn.XLOOKUP(FACT_IMPORTS[[#This Row],[hts_6]],DIM_PRODUCTS[hts_6],DIM_PRODUCTS[hts_4],,,)</f>
        <v>8511</v>
      </c>
      <c r="I12794" t="str" cm="1">
        <f t="array" ref="I12794">_xlfn.XLOOKUP(FACT_IMPORTS[[#This Row],[country_name]],DIM_COUNTRY[[#All],[Column2]],DIM_COUNTRY[[#All],[Column3]],,,)</f>
        <v>Major_Non-USMCA_Non-China</v>
      </c>
    </row>
    <row r="12795" spans="1:9" x14ac:dyDescent="0.4">
      <c r="A12795" t="s">
        <v>75</v>
      </c>
      <c r="B12795" s="1">
        <v>45047</v>
      </c>
      <c r="C12795">
        <v>851150</v>
      </c>
      <c r="D12795" t="s">
        <v>176</v>
      </c>
      <c r="E12795">
        <v>4885</v>
      </c>
      <c r="F12795">
        <v>6</v>
      </c>
      <c r="G12795">
        <v>15</v>
      </c>
      <c r="H12795">
        <f>_xlfn.XLOOKUP(FACT_IMPORTS[[#This Row],[hts_6]],DIM_PRODUCTS[hts_6],DIM_PRODUCTS[hts_4],,,)</f>
        <v>8511</v>
      </c>
      <c r="I12795" t="str" cm="1">
        <f t="array" ref="I12795">_xlfn.XLOOKUP(FACT_IMPORTS[[#This Row],[country_name]],DIM_COUNTRY[[#All],[Column2]],DIM_COUNTRY[[#All],[Column3]],,,)</f>
        <v>Major_Non-USMCA_Non-China</v>
      </c>
    </row>
    <row r="12796" spans="1:9" x14ac:dyDescent="0.4">
      <c r="A12796" t="s">
        <v>75</v>
      </c>
      <c r="B12796" s="1">
        <v>45047</v>
      </c>
      <c r="C12796">
        <v>851180</v>
      </c>
      <c r="D12796" t="s">
        <v>176</v>
      </c>
      <c r="E12796">
        <v>0</v>
      </c>
      <c r="F12796">
        <v>0</v>
      </c>
      <c r="G12796">
        <v>0</v>
      </c>
      <c r="H12796">
        <f>_xlfn.XLOOKUP(FACT_IMPORTS[[#This Row],[hts_6]],DIM_PRODUCTS[hts_6],DIM_PRODUCTS[hts_4],,,)</f>
        <v>8511</v>
      </c>
      <c r="I12796" t="str" cm="1">
        <f t="array" ref="I12796">_xlfn.XLOOKUP(FACT_IMPORTS[[#This Row],[country_name]],DIM_COUNTRY[[#All],[Column2]],DIM_COUNTRY[[#All],[Column3]],,,)</f>
        <v>Major_Non-USMCA_Non-China</v>
      </c>
    </row>
    <row r="12797" spans="1:9" x14ac:dyDescent="0.4">
      <c r="A12797" t="s">
        <v>75</v>
      </c>
      <c r="B12797" s="1">
        <v>45047</v>
      </c>
      <c r="C12797">
        <v>851190</v>
      </c>
      <c r="D12797" t="s">
        <v>176</v>
      </c>
      <c r="E12797">
        <v>0</v>
      </c>
      <c r="F12797">
        <v>0</v>
      </c>
      <c r="G12797">
        <v>0</v>
      </c>
      <c r="H12797">
        <f>_xlfn.XLOOKUP(FACT_IMPORTS[[#This Row],[hts_6]],DIM_PRODUCTS[hts_6],DIM_PRODUCTS[hts_4],,,)</f>
        <v>8511</v>
      </c>
      <c r="I12797" t="str" cm="1">
        <f t="array" ref="I12797">_xlfn.XLOOKUP(FACT_IMPORTS[[#This Row],[country_name]],DIM_COUNTRY[[#All],[Column2]],DIM_COUNTRY[[#All],[Column3]],,,)</f>
        <v>Major_Non-USMCA_Non-China</v>
      </c>
    </row>
    <row r="12798" spans="1:9" x14ac:dyDescent="0.4">
      <c r="A12798" t="s">
        <v>75</v>
      </c>
      <c r="B12798" s="1">
        <v>45047</v>
      </c>
      <c r="C12798">
        <v>851220</v>
      </c>
      <c r="D12798" t="s">
        <v>176</v>
      </c>
      <c r="E12798">
        <v>4290887</v>
      </c>
      <c r="F12798">
        <v>902351</v>
      </c>
      <c r="G12798">
        <v>83262</v>
      </c>
      <c r="H12798">
        <f>_xlfn.XLOOKUP(FACT_IMPORTS[[#This Row],[hts_6]],DIM_PRODUCTS[hts_6],DIM_PRODUCTS[hts_4],,,)</f>
        <v>8512</v>
      </c>
      <c r="I12798" t="str" cm="1">
        <f t="array" ref="I12798">_xlfn.XLOOKUP(FACT_IMPORTS[[#This Row],[country_name]],DIM_COUNTRY[[#All],[Column2]],DIM_COUNTRY[[#All],[Column3]],,,)</f>
        <v>Major_Non-USMCA_Non-China</v>
      </c>
    </row>
    <row r="12799" spans="1:9" x14ac:dyDescent="0.4">
      <c r="A12799" t="s">
        <v>75</v>
      </c>
      <c r="B12799" s="1">
        <v>45047</v>
      </c>
      <c r="C12799">
        <v>851230</v>
      </c>
      <c r="D12799" t="s">
        <v>176</v>
      </c>
      <c r="E12799">
        <v>0</v>
      </c>
      <c r="F12799">
        <v>0</v>
      </c>
      <c r="G12799">
        <v>0</v>
      </c>
      <c r="H12799">
        <f>_xlfn.XLOOKUP(FACT_IMPORTS[[#This Row],[hts_6]],DIM_PRODUCTS[hts_6],DIM_PRODUCTS[hts_4],,,)</f>
        <v>8512</v>
      </c>
      <c r="I12799" t="str" cm="1">
        <f t="array" ref="I12799">_xlfn.XLOOKUP(FACT_IMPORTS[[#This Row],[country_name]],DIM_COUNTRY[[#All],[Column2]],DIM_COUNTRY[[#All],[Column3]],,,)</f>
        <v>Major_Non-USMCA_Non-China</v>
      </c>
    </row>
    <row r="12800" spans="1:9" x14ac:dyDescent="0.4">
      <c r="A12800" t="s">
        <v>75</v>
      </c>
      <c r="B12800" s="1">
        <v>45047</v>
      </c>
      <c r="C12800">
        <v>851240</v>
      </c>
      <c r="D12800" t="s">
        <v>176</v>
      </c>
      <c r="E12800">
        <v>0</v>
      </c>
      <c r="F12800">
        <v>0</v>
      </c>
      <c r="G12800">
        <v>0</v>
      </c>
      <c r="H12800">
        <f>_xlfn.XLOOKUP(FACT_IMPORTS[[#This Row],[hts_6]],DIM_PRODUCTS[hts_6],DIM_PRODUCTS[hts_4],,,)</f>
        <v>8512</v>
      </c>
      <c r="I12800" t="str" cm="1">
        <f t="array" ref="I12800">_xlfn.XLOOKUP(FACT_IMPORTS[[#This Row],[country_name]],DIM_COUNTRY[[#All],[Column2]],DIM_COUNTRY[[#All],[Column3]],,,)</f>
        <v>Major_Non-USMCA_Non-China</v>
      </c>
    </row>
    <row r="12801" spans="1:9" x14ac:dyDescent="0.4">
      <c r="A12801" t="s">
        <v>75</v>
      </c>
      <c r="B12801" s="1">
        <v>45047</v>
      </c>
      <c r="C12801">
        <v>851290</v>
      </c>
      <c r="D12801" t="s">
        <v>176</v>
      </c>
      <c r="E12801">
        <v>339081</v>
      </c>
      <c r="F12801">
        <v>13873</v>
      </c>
      <c r="G12801">
        <v>6932</v>
      </c>
      <c r="H12801">
        <f>_xlfn.XLOOKUP(FACT_IMPORTS[[#This Row],[hts_6]],DIM_PRODUCTS[hts_6],DIM_PRODUCTS[hts_4],,,)</f>
        <v>8512</v>
      </c>
      <c r="I12801" t="str" cm="1">
        <f t="array" ref="I12801">_xlfn.XLOOKUP(FACT_IMPORTS[[#This Row],[country_name]],DIM_COUNTRY[[#All],[Column2]],DIM_COUNTRY[[#All],[Column3]],,,)</f>
        <v>Major_Non-USMCA_Non-China</v>
      </c>
    </row>
    <row r="12802" spans="1:9" x14ac:dyDescent="0.4">
      <c r="A12802" t="s">
        <v>75</v>
      </c>
      <c r="B12802" s="1">
        <v>45047</v>
      </c>
      <c r="C12802">
        <v>854231</v>
      </c>
      <c r="D12802" t="s">
        <v>176</v>
      </c>
      <c r="E12802">
        <v>56127</v>
      </c>
      <c r="F12802">
        <v>3245</v>
      </c>
      <c r="G12802">
        <v>540</v>
      </c>
      <c r="H12802">
        <f>_xlfn.XLOOKUP(FACT_IMPORTS[[#This Row],[hts_6]],DIM_PRODUCTS[hts_6],DIM_PRODUCTS[hts_4],,,)</f>
        <v>8542</v>
      </c>
      <c r="I12802" t="str" cm="1">
        <f t="array" ref="I12802">_xlfn.XLOOKUP(FACT_IMPORTS[[#This Row],[country_name]],DIM_COUNTRY[[#All],[Column2]],DIM_COUNTRY[[#All],[Column3]],,,)</f>
        <v>Major_Non-USMCA_Non-China</v>
      </c>
    </row>
    <row r="12803" spans="1:9" x14ac:dyDescent="0.4">
      <c r="A12803" t="s">
        <v>75</v>
      </c>
      <c r="B12803" s="1">
        <v>45047</v>
      </c>
      <c r="C12803">
        <v>854232</v>
      </c>
      <c r="D12803" t="s">
        <v>176</v>
      </c>
      <c r="E12803">
        <v>5189</v>
      </c>
      <c r="F12803">
        <v>170</v>
      </c>
      <c r="G12803">
        <v>2</v>
      </c>
      <c r="H12803">
        <f>_xlfn.XLOOKUP(FACT_IMPORTS[[#This Row],[hts_6]],DIM_PRODUCTS[hts_6],DIM_PRODUCTS[hts_4],,,)</f>
        <v>8542</v>
      </c>
      <c r="I12803" t="str" cm="1">
        <f t="array" ref="I12803">_xlfn.XLOOKUP(FACT_IMPORTS[[#This Row],[country_name]],DIM_COUNTRY[[#All],[Column2]],DIM_COUNTRY[[#All],[Column3]],,,)</f>
        <v>Major_Non-USMCA_Non-China</v>
      </c>
    </row>
    <row r="12804" spans="1:9" x14ac:dyDescent="0.4">
      <c r="A12804" t="s">
        <v>75</v>
      </c>
      <c r="B12804" s="1">
        <v>45047</v>
      </c>
      <c r="C12804">
        <v>854239</v>
      </c>
      <c r="D12804" t="s">
        <v>176</v>
      </c>
      <c r="E12804">
        <v>2055306</v>
      </c>
      <c r="F12804">
        <v>385825</v>
      </c>
      <c r="G12804">
        <v>204286</v>
      </c>
      <c r="H12804">
        <f>_xlfn.XLOOKUP(FACT_IMPORTS[[#This Row],[hts_6]],DIM_PRODUCTS[hts_6],DIM_PRODUCTS[hts_4],,,)</f>
        <v>8542</v>
      </c>
      <c r="I12804" t="str" cm="1">
        <f t="array" ref="I12804">_xlfn.XLOOKUP(FACT_IMPORTS[[#This Row],[country_name]],DIM_COUNTRY[[#All],[Column2]],DIM_COUNTRY[[#All],[Column3]],,,)</f>
        <v>Major_Non-USMCA_Non-China</v>
      </c>
    </row>
    <row r="12805" spans="1:9" x14ac:dyDescent="0.4">
      <c r="A12805" t="s">
        <v>75</v>
      </c>
      <c r="B12805" s="1">
        <v>45047</v>
      </c>
      <c r="C12805">
        <v>854290</v>
      </c>
      <c r="D12805" t="s">
        <v>176</v>
      </c>
      <c r="E12805">
        <v>0</v>
      </c>
      <c r="F12805">
        <v>0</v>
      </c>
      <c r="G12805">
        <v>0</v>
      </c>
      <c r="H12805">
        <f>_xlfn.XLOOKUP(FACT_IMPORTS[[#This Row],[hts_6]],DIM_PRODUCTS[hts_6],DIM_PRODUCTS[hts_4],,,)</f>
        <v>8542</v>
      </c>
      <c r="I12805" t="str" cm="1">
        <f t="array" ref="I12805">_xlfn.XLOOKUP(FACT_IMPORTS[[#This Row],[country_name]],DIM_COUNTRY[[#All],[Column2]],DIM_COUNTRY[[#All],[Column3]],,,)</f>
        <v>Major_Non-USMCA_Non-China</v>
      </c>
    </row>
    <row r="12806" spans="1:9" x14ac:dyDescent="0.4">
      <c r="A12806" t="s">
        <v>75</v>
      </c>
      <c r="B12806" s="1">
        <v>45047</v>
      </c>
      <c r="C12806">
        <v>854430</v>
      </c>
      <c r="D12806" t="s">
        <v>176</v>
      </c>
      <c r="E12806">
        <v>0</v>
      </c>
      <c r="F12806">
        <v>0</v>
      </c>
      <c r="G12806">
        <v>0</v>
      </c>
      <c r="H12806">
        <f>_xlfn.XLOOKUP(FACT_IMPORTS[[#This Row],[hts_6]],DIM_PRODUCTS[hts_6],DIM_PRODUCTS[hts_4],,,)</f>
        <v>8544</v>
      </c>
      <c r="I12806" t="str" cm="1">
        <f t="array" ref="I12806">_xlfn.XLOOKUP(FACT_IMPORTS[[#This Row],[country_name]],DIM_COUNTRY[[#All],[Column2]],DIM_COUNTRY[[#All],[Column3]],,,)</f>
        <v>Major_Non-USMCA_Non-China</v>
      </c>
    </row>
    <row r="12807" spans="1:9" x14ac:dyDescent="0.4">
      <c r="A12807" t="s">
        <v>75</v>
      </c>
      <c r="B12807" s="1">
        <v>45047</v>
      </c>
      <c r="C12807">
        <v>870810</v>
      </c>
      <c r="D12807" t="s">
        <v>176</v>
      </c>
      <c r="E12807">
        <v>399585</v>
      </c>
      <c r="F12807">
        <v>14310</v>
      </c>
      <c r="G12807">
        <v>42388</v>
      </c>
      <c r="H12807">
        <f>_xlfn.XLOOKUP(FACT_IMPORTS[[#This Row],[hts_6]],DIM_PRODUCTS[hts_6],DIM_PRODUCTS[hts_4],,,)</f>
        <v>8708</v>
      </c>
      <c r="I12807" t="str" cm="1">
        <f t="array" ref="I12807">_xlfn.XLOOKUP(FACT_IMPORTS[[#This Row],[country_name]],DIM_COUNTRY[[#All],[Column2]],DIM_COUNTRY[[#All],[Column3]],,,)</f>
        <v>Major_Non-USMCA_Non-China</v>
      </c>
    </row>
    <row r="12808" spans="1:9" x14ac:dyDescent="0.4">
      <c r="A12808" t="s">
        <v>75</v>
      </c>
      <c r="B12808" s="1">
        <v>45047</v>
      </c>
      <c r="C12808">
        <v>870829</v>
      </c>
      <c r="D12808" t="s">
        <v>176</v>
      </c>
      <c r="E12808">
        <v>1061987</v>
      </c>
      <c r="F12808">
        <v>118541</v>
      </c>
      <c r="G12808">
        <v>30435</v>
      </c>
      <c r="H12808">
        <f>_xlfn.XLOOKUP(FACT_IMPORTS[[#This Row],[hts_6]],DIM_PRODUCTS[hts_6],DIM_PRODUCTS[hts_4],,,)</f>
        <v>8708</v>
      </c>
      <c r="I12808" t="str" cm="1">
        <f t="array" ref="I12808">_xlfn.XLOOKUP(FACT_IMPORTS[[#This Row],[country_name]],DIM_COUNTRY[[#All],[Column2]],DIM_COUNTRY[[#All],[Column3]],,,)</f>
        <v>Major_Non-USMCA_Non-China</v>
      </c>
    </row>
    <row r="12809" spans="1:9" x14ac:dyDescent="0.4">
      <c r="A12809" t="s">
        <v>75</v>
      </c>
      <c r="B12809" s="1">
        <v>45047</v>
      </c>
      <c r="C12809">
        <v>870830</v>
      </c>
      <c r="D12809" t="s">
        <v>176</v>
      </c>
      <c r="E12809">
        <v>0</v>
      </c>
      <c r="F12809">
        <v>0</v>
      </c>
      <c r="G12809">
        <v>0</v>
      </c>
      <c r="H12809">
        <f>_xlfn.XLOOKUP(FACT_IMPORTS[[#This Row],[hts_6]],DIM_PRODUCTS[hts_6],DIM_PRODUCTS[hts_4],,,)</f>
        <v>8708</v>
      </c>
      <c r="I12809" t="str" cm="1">
        <f t="array" ref="I12809">_xlfn.XLOOKUP(FACT_IMPORTS[[#This Row],[country_name]],DIM_COUNTRY[[#All],[Column2]],DIM_COUNTRY[[#All],[Column3]],,,)</f>
        <v>Major_Non-USMCA_Non-China</v>
      </c>
    </row>
    <row r="12810" spans="1:9" x14ac:dyDescent="0.4">
      <c r="A12810" t="s">
        <v>75</v>
      </c>
      <c r="B12810" s="1">
        <v>45047</v>
      </c>
      <c r="C12810">
        <v>870840</v>
      </c>
      <c r="D12810" t="s">
        <v>176</v>
      </c>
      <c r="E12810">
        <v>289852</v>
      </c>
      <c r="F12810">
        <v>14692</v>
      </c>
      <c r="G12810">
        <v>8253</v>
      </c>
      <c r="H12810">
        <f>_xlfn.XLOOKUP(FACT_IMPORTS[[#This Row],[hts_6]],DIM_PRODUCTS[hts_6],DIM_PRODUCTS[hts_4],,,)</f>
        <v>8708</v>
      </c>
      <c r="I12810" t="str" cm="1">
        <f t="array" ref="I12810">_xlfn.XLOOKUP(FACT_IMPORTS[[#This Row],[country_name]],DIM_COUNTRY[[#All],[Column2]],DIM_COUNTRY[[#All],[Column3]],,,)</f>
        <v>Major_Non-USMCA_Non-China</v>
      </c>
    </row>
    <row r="12811" spans="1:9" x14ac:dyDescent="0.4">
      <c r="A12811" t="s">
        <v>75</v>
      </c>
      <c r="B12811" s="1">
        <v>45047</v>
      </c>
      <c r="C12811">
        <v>870850</v>
      </c>
      <c r="D12811" t="s">
        <v>176</v>
      </c>
      <c r="E12811">
        <v>0</v>
      </c>
      <c r="F12811">
        <v>0</v>
      </c>
      <c r="G12811">
        <v>0</v>
      </c>
      <c r="H12811">
        <f>_xlfn.XLOOKUP(FACT_IMPORTS[[#This Row],[hts_6]],DIM_PRODUCTS[hts_6],DIM_PRODUCTS[hts_4],,,)</f>
        <v>8708</v>
      </c>
      <c r="I12811" t="str" cm="1">
        <f t="array" ref="I12811">_xlfn.XLOOKUP(FACT_IMPORTS[[#This Row],[country_name]],DIM_COUNTRY[[#All],[Column2]],DIM_COUNTRY[[#All],[Column3]],,,)</f>
        <v>Major_Non-USMCA_Non-China</v>
      </c>
    </row>
    <row r="12812" spans="1:9" x14ac:dyDescent="0.4">
      <c r="A12812" t="s">
        <v>75</v>
      </c>
      <c r="B12812" s="1">
        <v>45047</v>
      </c>
      <c r="C12812">
        <v>870870</v>
      </c>
      <c r="D12812" t="s">
        <v>176</v>
      </c>
      <c r="E12812">
        <v>3664334</v>
      </c>
      <c r="F12812">
        <v>20140</v>
      </c>
      <c r="G12812">
        <v>95659</v>
      </c>
      <c r="H12812">
        <f>_xlfn.XLOOKUP(FACT_IMPORTS[[#This Row],[hts_6]],DIM_PRODUCTS[hts_6],DIM_PRODUCTS[hts_4],,,)</f>
        <v>8708</v>
      </c>
      <c r="I12812" t="str" cm="1">
        <f t="array" ref="I12812">_xlfn.XLOOKUP(FACT_IMPORTS[[#This Row],[country_name]],DIM_COUNTRY[[#All],[Column2]],DIM_COUNTRY[[#All],[Column3]],,,)</f>
        <v>Major_Non-USMCA_Non-China</v>
      </c>
    </row>
    <row r="12813" spans="1:9" x14ac:dyDescent="0.4">
      <c r="A12813" t="s">
        <v>75</v>
      </c>
      <c r="B12813" s="1">
        <v>45047</v>
      </c>
      <c r="C12813">
        <v>870880</v>
      </c>
      <c r="D12813" t="s">
        <v>176</v>
      </c>
      <c r="E12813">
        <v>514488</v>
      </c>
      <c r="F12813">
        <v>34838</v>
      </c>
      <c r="G12813">
        <v>23328</v>
      </c>
      <c r="H12813">
        <f>_xlfn.XLOOKUP(FACT_IMPORTS[[#This Row],[hts_6]],DIM_PRODUCTS[hts_6],DIM_PRODUCTS[hts_4],,,)</f>
        <v>8708</v>
      </c>
      <c r="I12813" t="str" cm="1">
        <f t="array" ref="I12813">_xlfn.XLOOKUP(FACT_IMPORTS[[#This Row],[country_name]],DIM_COUNTRY[[#All],[Column2]],DIM_COUNTRY[[#All],[Column3]],,,)</f>
        <v>Major_Non-USMCA_Non-China</v>
      </c>
    </row>
    <row r="12814" spans="1:9" x14ac:dyDescent="0.4">
      <c r="A12814" t="s">
        <v>75</v>
      </c>
      <c r="B12814" s="1">
        <v>45047</v>
      </c>
      <c r="C12814">
        <v>870891</v>
      </c>
      <c r="D12814" t="s">
        <v>176</v>
      </c>
      <c r="E12814">
        <v>86818</v>
      </c>
      <c r="F12814">
        <v>41226</v>
      </c>
      <c r="G12814">
        <v>10331</v>
      </c>
      <c r="H12814">
        <f>_xlfn.XLOOKUP(FACT_IMPORTS[[#This Row],[hts_6]],DIM_PRODUCTS[hts_6],DIM_PRODUCTS[hts_4],,,)</f>
        <v>8708</v>
      </c>
      <c r="I12814" t="str" cm="1">
        <f t="array" ref="I12814">_xlfn.XLOOKUP(FACT_IMPORTS[[#This Row],[country_name]],DIM_COUNTRY[[#All],[Column2]],DIM_COUNTRY[[#All],[Column3]],,,)</f>
        <v>Major_Non-USMCA_Non-China</v>
      </c>
    </row>
    <row r="12815" spans="1:9" x14ac:dyDescent="0.4">
      <c r="A12815" t="s">
        <v>75</v>
      </c>
      <c r="B12815" s="1">
        <v>45047</v>
      </c>
      <c r="C12815">
        <v>870892</v>
      </c>
      <c r="D12815" t="s">
        <v>176</v>
      </c>
      <c r="E12815">
        <v>54853</v>
      </c>
      <c r="F12815">
        <v>3168</v>
      </c>
      <c r="G12815">
        <v>1030</v>
      </c>
      <c r="H12815">
        <f>_xlfn.XLOOKUP(FACT_IMPORTS[[#This Row],[hts_6]],DIM_PRODUCTS[hts_6],DIM_PRODUCTS[hts_4],,,)</f>
        <v>8708</v>
      </c>
      <c r="I12815" t="str" cm="1">
        <f t="array" ref="I12815">_xlfn.XLOOKUP(FACT_IMPORTS[[#This Row],[country_name]],DIM_COUNTRY[[#All],[Column2]],DIM_COUNTRY[[#All],[Column3]],,,)</f>
        <v>Major_Non-USMCA_Non-China</v>
      </c>
    </row>
    <row r="12816" spans="1:9" x14ac:dyDescent="0.4">
      <c r="A12816" t="s">
        <v>75</v>
      </c>
      <c r="B12816" s="1">
        <v>45047</v>
      </c>
      <c r="C12816">
        <v>870893</v>
      </c>
      <c r="D12816" t="s">
        <v>176</v>
      </c>
      <c r="E12816">
        <v>92101</v>
      </c>
      <c r="F12816">
        <v>1811</v>
      </c>
      <c r="G12816">
        <v>2227</v>
      </c>
      <c r="H12816">
        <f>_xlfn.XLOOKUP(FACT_IMPORTS[[#This Row],[hts_6]],DIM_PRODUCTS[hts_6],DIM_PRODUCTS[hts_4],,,)</f>
        <v>8708</v>
      </c>
      <c r="I12816" t="str" cm="1">
        <f t="array" ref="I12816">_xlfn.XLOOKUP(FACT_IMPORTS[[#This Row],[country_name]],DIM_COUNTRY[[#All],[Column2]],DIM_COUNTRY[[#All],[Column3]],,,)</f>
        <v>Major_Non-USMCA_Non-China</v>
      </c>
    </row>
    <row r="12817" spans="1:9" x14ac:dyDescent="0.4">
      <c r="A12817" t="s">
        <v>75</v>
      </c>
      <c r="B12817" s="1">
        <v>45047</v>
      </c>
      <c r="C12817">
        <v>870894</v>
      </c>
      <c r="D12817" t="s">
        <v>176</v>
      </c>
      <c r="E12817">
        <v>74732</v>
      </c>
      <c r="F12817">
        <v>59958</v>
      </c>
      <c r="G12817">
        <v>82760</v>
      </c>
      <c r="H12817">
        <f>_xlfn.XLOOKUP(FACT_IMPORTS[[#This Row],[hts_6]],DIM_PRODUCTS[hts_6],DIM_PRODUCTS[hts_4],,,)</f>
        <v>8708</v>
      </c>
      <c r="I12817" t="str" cm="1">
        <f t="array" ref="I12817">_xlfn.XLOOKUP(FACT_IMPORTS[[#This Row],[country_name]],DIM_COUNTRY[[#All],[Column2]],DIM_COUNTRY[[#All],[Column3]],,,)</f>
        <v>Major_Non-USMCA_Non-China</v>
      </c>
    </row>
    <row r="12818" spans="1:9" x14ac:dyDescent="0.4">
      <c r="A12818" t="s">
        <v>75</v>
      </c>
      <c r="B12818" s="1">
        <v>45047</v>
      </c>
      <c r="C12818">
        <v>870899</v>
      </c>
      <c r="D12818" t="s">
        <v>176</v>
      </c>
      <c r="E12818">
        <v>1034587</v>
      </c>
      <c r="F12818">
        <v>1346452</v>
      </c>
      <c r="G12818">
        <v>80507</v>
      </c>
      <c r="H12818">
        <f>_xlfn.XLOOKUP(FACT_IMPORTS[[#This Row],[hts_6]],DIM_PRODUCTS[hts_6],DIM_PRODUCTS[hts_4],,,)</f>
        <v>8708</v>
      </c>
      <c r="I12818" t="str" cm="1">
        <f t="array" ref="I12818">_xlfn.XLOOKUP(FACT_IMPORTS[[#This Row],[country_name]],DIM_COUNTRY[[#All],[Column2]],DIM_COUNTRY[[#All],[Column3]],,,)</f>
        <v>Major_Non-USMCA_Non-China</v>
      </c>
    </row>
    <row r="12819" spans="1:9" x14ac:dyDescent="0.4">
      <c r="A12819" t="s">
        <v>75</v>
      </c>
      <c r="B12819" s="1">
        <v>45047</v>
      </c>
      <c r="C12819">
        <v>940120</v>
      </c>
      <c r="D12819" t="s">
        <v>176</v>
      </c>
      <c r="E12819">
        <v>0</v>
      </c>
      <c r="F12819">
        <v>0</v>
      </c>
      <c r="G12819">
        <v>0</v>
      </c>
      <c r="H12819">
        <f>_xlfn.XLOOKUP(FACT_IMPORTS[[#This Row],[hts_6]],DIM_PRODUCTS[hts_6],DIM_PRODUCTS[hts_4],,,)</f>
        <v>9401</v>
      </c>
      <c r="I12819" t="str" cm="1">
        <f t="array" ref="I12819">_xlfn.XLOOKUP(FACT_IMPORTS[[#This Row],[country_name]],DIM_COUNTRY[[#All],[Column2]],DIM_COUNTRY[[#All],[Column3]],,,)</f>
        <v>Major_Non-USMCA_Non-China</v>
      </c>
    </row>
    <row r="12820" spans="1:9" x14ac:dyDescent="0.4">
      <c r="A12820" t="s">
        <v>75</v>
      </c>
      <c r="B12820" s="1">
        <v>45078</v>
      </c>
      <c r="C12820">
        <v>392630</v>
      </c>
      <c r="D12820" t="s">
        <v>176</v>
      </c>
      <c r="E12820">
        <v>155311</v>
      </c>
      <c r="F12820">
        <v>7280</v>
      </c>
      <c r="G12820">
        <v>9785</v>
      </c>
      <c r="H12820">
        <f>_xlfn.XLOOKUP(FACT_IMPORTS[[#This Row],[hts_6]],DIM_PRODUCTS[hts_6],DIM_PRODUCTS[hts_4],,,)</f>
        <v>3926</v>
      </c>
      <c r="I12820" t="str" cm="1">
        <f t="array" ref="I12820">_xlfn.XLOOKUP(FACT_IMPORTS[[#This Row],[country_name]],DIM_COUNTRY[[#All],[Column2]],DIM_COUNTRY[[#All],[Column3]],,,)</f>
        <v>Major_Non-USMCA_Non-China</v>
      </c>
    </row>
    <row r="12821" spans="1:9" x14ac:dyDescent="0.4">
      <c r="A12821" t="s">
        <v>75</v>
      </c>
      <c r="B12821" s="1">
        <v>45078</v>
      </c>
      <c r="C12821">
        <v>401110</v>
      </c>
      <c r="D12821" t="s">
        <v>176</v>
      </c>
      <c r="E12821">
        <v>0</v>
      </c>
      <c r="F12821">
        <v>0</v>
      </c>
      <c r="G12821">
        <v>0</v>
      </c>
      <c r="H12821">
        <f>_xlfn.XLOOKUP(FACT_IMPORTS[[#This Row],[hts_6]],DIM_PRODUCTS[hts_6],DIM_PRODUCTS[hts_4],,,)</f>
        <v>4011</v>
      </c>
      <c r="I12821" t="str" cm="1">
        <f t="array" ref="I12821">_xlfn.XLOOKUP(FACT_IMPORTS[[#This Row],[country_name]],DIM_COUNTRY[[#All],[Column2]],DIM_COUNTRY[[#All],[Column3]],,,)</f>
        <v>Major_Non-USMCA_Non-China</v>
      </c>
    </row>
    <row r="12822" spans="1:9" x14ac:dyDescent="0.4">
      <c r="A12822" t="s">
        <v>75</v>
      </c>
      <c r="B12822" s="1">
        <v>45078</v>
      </c>
      <c r="C12822">
        <v>401120</v>
      </c>
      <c r="D12822" t="s">
        <v>176</v>
      </c>
      <c r="E12822">
        <v>0</v>
      </c>
      <c r="F12822">
        <v>0</v>
      </c>
      <c r="G12822">
        <v>0</v>
      </c>
      <c r="H12822">
        <f>_xlfn.XLOOKUP(FACT_IMPORTS[[#This Row],[hts_6]],DIM_PRODUCTS[hts_6],DIM_PRODUCTS[hts_4],,,)</f>
        <v>4011</v>
      </c>
      <c r="I12822" t="str" cm="1">
        <f t="array" ref="I12822">_xlfn.XLOOKUP(FACT_IMPORTS[[#This Row],[country_name]],DIM_COUNTRY[[#All],[Column2]],DIM_COUNTRY[[#All],[Column3]],,,)</f>
        <v>Major_Non-USMCA_Non-China</v>
      </c>
    </row>
    <row r="12823" spans="1:9" x14ac:dyDescent="0.4">
      <c r="A12823" t="s">
        <v>75</v>
      </c>
      <c r="B12823" s="1">
        <v>45078</v>
      </c>
      <c r="C12823">
        <v>401140</v>
      </c>
      <c r="D12823" t="s">
        <v>176</v>
      </c>
      <c r="E12823">
        <v>0</v>
      </c>
      <c r="F12823">
        <v>0</v>
      </c>
      <c r="G12823">
        <v>0</v>
      </c>
      <c r="H12823">
        <f>_xlfn.XLOOKUP(FACT_IMPORTS[[#This Row],[hts_6]],DIM_PRODUCTS[hts_6],DIM_PRODUCTS[hts_4],,,)</f>
        <v>4011</v>
      </c>
      <c r="I12823" t="str" cm="1">
        <f t="array" ref="I12823">_xlfn.XLOOKUP(FACT_IMPORTS[[#This Row],[country_name]],DIM_COUNTRY[[#All],[Column2]],DIM_COUNTRY[[#All],[Column3]],,,)</f>
        <v>Major_Non-USMCA_Non-China</v>
      </c>
    </row>
    <row r="12824" spans="1:9" x14ac:dyDescent="0.4">
      <c r="A12824" t="s">
        <v>75</v>
      </c>
      <c r="B12824" s="1">
        <v>45078</v>
      </c>
      <c r="C12824">
        <v>401190</v>
      </c>
      <c r="D12824" t="s">
        <v>176</v>
      </c>
      <c r="E12824">
        <v>8417</v>
      </c>
      <c r="F12824">
        <v>90</v>
      </c>
      <c r="G12824">
        <v>20</v>
      </c>
      <c r="H12824">
        <f>_xlfn.XLOOKUP(FACT_IMPORTS[[#This Row],[hts_6]],DIM_PRODUCTS[hts_6],DIM_PRODUCTS[hts_4],,,)</f>
        <v>4011</v>
      </c>
      <c r="I12824" t="str" cm="1">
        <f t="array" ref="I12824">_xlfn.XLOOKUP(FACT_IMPORTS[[#This Row],[country_name]],DIM_COUNTRY[[#All],[Column2]],DIM_COUNTRY[[#All],[Column3]],,,)</f>
        <v>Major_Non-USMCA_Non-China</v>
      </c>
    </row>
    <row r="12825" spans="1:9" x14ac:dyDescent="0.4">
      <c r="A12825" t="s">
        <v>75</v>
      </c>
      <c r="B12825" s="1">
        <v>45078</v>
      </c>
      <c r="C12825">
        <v>700910</v>
      </c>
      <c r="D12825" t="s">
        <v>176</v>
      </c>
      <c r="E12825">
        <v>75944</v>
      </c>
      <c r="F12825">
        <v>21718</v>
      </c>
      <c r="G12825">
        <v>2224</v>
      </c>
      <c r="H12825">
        <f>_xlfn.XLOOKUP(FACT_IMPORTS[[#This Row],[hts_6]],DIM_PRODUCTS[hts_6],DIM_PRODUCTS[hts_4],,,)</f>
        <v>7009</v>
      </c>
      <c r="I12825" t="str" cm="1">
        <f t="array" ref="I12825">_xlfn.XLOOKUP(FACT_IMPORTS[[#This Row],[country_name]],DIM_COUNTRY[[#All],[Column2]],DIM_COUNTRY[[#All],[Column3]],,,)</f>
        <v>Major_Non-USMCA_Non-China</v>
      </c>
    </row>
    <row r="12826" spans="1:9" x14ac:dyDescent="0.4">
      <c r="A12826" t="s">
        <v>75</v>
      </c>
      <c r="B12826" s="1">
        <v>45078</v>
      </c>
      <c r="C12826">
        <v>830230</v>
      </c>
      <c r="D12826" t="s">
        <v>176</v>
      </c>
      <c r="E12826">
        <v>65566</v>
      </c>
      <c r="F12826">
        <v>5225</v>
      </c>
      <c r="G12826">
        <v>1588</v>
      </c>
      <c r="H12826">
        <f>_xlfn.XLOOKUP(FACT_IMPORTS[[#This Row],[hts_6]],DIM_PRODUCTS[hts_6],DIM_PRODUCTS[hts_4],,,)</f>
        <v>8302</v>
      </c>
      <c r="I12826" t="str" cm="1">
        <f t="array" ref="I12826">_xlfn.XLOOKUP(FACT_IMPORTS[[#This Row],[country_name]],DIM_COUNTRY[[#All],[Column2]],DIM_COUNTRY[[#All],[Column3]],,,)</f>
        <v>Major_Non-USMCA_Non-China</v>
      </c>
    </row>
    <row r="12827" spans="1:9" x14ac:dyDescent="0.4">
      <c r="A12827" t="s">
        <v>75</v>
      </c>
      <c r="B12827" s="1">
        <v>45078</v>
      </c>
      <c r="C12827">
        <v>840732</v>
      </c>
      <c r="D12827" t="s">
        <v>176</v>
      </c>
      <c r="E12827">
        <v>0</v>
      </c>
      <c r="F12827">
        <v>0</v>
      </c>
      <c r="G12827">
        <v>0</v>
      </c>
      <c r="H12827">
        <f>_xlfn.XLOOKUP(FACT_IMPORTS[[#This Row],[hts_6]],DIM_PRODUCTS[hts_6],DIM_PRODUCTS[hts_4],,,)</f>
        <v>8407</v>
      </c>
      <c r="I12827" t="str" cm="1">
        <f t="array" ref="I12827">_xlfn.XLOOKUP(FACT_IMPORTS[[#This Row],[country_name]],DIM_COUNTRY[[#All],[Column2]],DIM_COUNTRY[[#All],[Column3]],,,)</f>
        <v>Major_Non-USMCA_Non-China</v>
      </c>
    </row>
    <row r="12828" spans="1:9" x14ac:dyDescent="0.4">
      <c r="A12828" t="s">
        <v>75</v>
      </c>
      <c r="B12828" s="1">
        <v>45078</v>
      </c>
      <c r="C12828">
        <v>840733</v>
      </c>
      <c r="D12828" t="s">
        <v>176</v>
      </c>
      <c r="E12828">
        <v>0</v>
      </c>
      <c r="F12828">
        <v>0</v>
      </c>
      <c r="G12828">
        <v>0</v>
      </c>
      <c r="H12828">
        <f>_xlfn.XLOOKUP(FACT_IMPORTS[[#This Row],[hts_6]],DIM_PRODUCTS[hts_6],DIM_PRODUCTS[hts_4],,,)</f>
        <v>8407</v>
      </c>
      <c r="I12828" t="str" cm="1">
        <f t="array" ref="I12828">_xlfn.XLOOKUP(FACT_IMPORTS[[#This Row],[country_name]],DIM_COUNTRY[[#All],[Column2]],DIM_COUNTRY[[#All],[Column3]],,,)</f>
        <v>Major_Non-USMCA_Non-China</v>
      </c>
    </row>
    <row r="12829" spans="1:9" x14ac:dyDescent="0.4">
      <c r="A12829" t="s">
        <v>75</v>
      </c>
      <c r="B12829" s="1">
        <v>45078</v>
      </c>
      <c r="C12829">
        <v>840991</v>
      </c>
      <c r="D12829" t="s">
        <v>176</v>
      </c>
      <c r="E12829">
        <v>431015</v>
      </c>
      <c r="F12829">
        <v>25820</v>
      </c>
      <c r="G12829">
        <v>10788</v>
      </c>
      <c r="H12829">
        <f>_xlfn.XLOOKUP(FACT_IMPORTS[[#This Row],[hts_6]],DIM_PRODUCTS[hts_6],DIM_PRODUCTS[hts_4],,,)</f>
        <v>8409</v>
      </c>
      <c r="I12829" t="str" cm="1">
        <f t="array" ref="I12829">_xlfn.XLOOKUP(FACT_IMPORTS[[#This Row],[country_name]],DIM_COUNTRY[[#All],[Column2]],DIM_COUNTRY[[#All],[Column3]],,,)</f>
        <v>Major_Non-USMCA_Non-China</v>
      </c>
    </row>
    <row r="12830" spans="1:9" x14ac:dyDescent="0.4">
      <c r="A12830" t="s">
        <v>75</v>
      </c>
      <c r="B12830" s="1">
        <v>45078</v>
      </c>
      <c r="C12830">
        <v>840999</v>
      </c>
      <c r="D12830" t="s">
        <v>176</v>
      </c>
      <c r="E12830">
        <v>0</v>
      </c>
      <c r="F12830">
        <v>0</v>
      </c>
      <c r="G12830">
        <v>0</v>
      </c>
      <c r="H12830">
        <f>_xlfn.XLOOKUP(FACT_IMPORTS[[#This Row],[hts_6]],DIM_PRODUCTS[hts_6],DIM_PRODUCTS[hts_4],,,)</f>
        <v>8409</v>
      </c>
      <c r="I12830" t="str" cm="1">
        <f t="array" ref="I12830">_xlfn.XLOOKUP(FACT_IMPORTS[[#This Row],[country_name]],DIM_COUNTRY[[#All],[Column2]],DIM_COUNTRY[[#All],[Column3]],,,)</f>
        <v>Major_Non-USMCA_Non-China</v>
      </c>
    </row>
    <row r="12831" spans="1:9" x14ac:dyDescent="0.4">
      <c r="A12831" t="s">
        <v>75</v>
      </c>
      <c r="B12831" s="1">
        <v>45078</v>
      </c>
      <c r="C12831">
        <v>841330</v>
      </c>
      <c r="D12831" t="s">
        <v>176</v>
      </c>
      <c r="E12831">
        <v>277110</v>
      </c>
      <c r="F12831">
        <v>7035</v>
      </c>
      <c r="G12831">
        <v>14749</v>
      </c>
      <c r="H12831">
        <f>_xlfn.XLOOKUP(FACT_IMPORTS[[#This Row],[hts_6]],DIM_PRODUCTS[hts_6],DIM_PRODUCTS[hts_4],,,)</f>
        <v>8413</v>
      </c>
      <c r="I12831" t="str" cm="1">
        <f t="array" ref="I12831">_xlfn.XLOOKUP(FACT_IMPORTS[[#This Row],[country_name]],DIM_COUNTRY[[#All],[Column2]],DIM_COUNTRY[[#All],[Column3]],,,)</f>
        <v>Major_Non-USMCA_Non-China</v>
      </c>
    </row>
    <row r="12832" spans="1:9" x14ac:dyDescent="0.4">
      <c r="A12832" t="s">
        <v>75</v>
      </c>
      <c r="B12832" s="1">
        <v>45078</v>
      </c>
      <c r="C12832">
        <v>842132</v>
      </c>
      <c r="D12832" t="s">
        <v>176</v>
      </c>
      <c r="E12832">
        <v>0</v>
      </c>
      <c r="F12832">
        <v>0</v>
      </c>
      <c r="G12832">
        <v>0</v>
      </c>
      <c r="H12832">
        <f>_xlfn.XLOOKUP(FACT_IMPORTS[[#This Row],[hts_6]],DIM_PRODUCTS[hts_6],DIM_PRODUCTS[hts_4],,,)</f>
        <v>8421</v>
      </c>
      <c r="I12832" t="str" cm="1">
        <f t="array" ref="I12832">_xlfn.XLOOKUP(FACT_IMPORTS[[#This Row],[country_name]],DIM_COUNTRY[[#All],[Column2]],DIM_COUNTRY[[#All],[Column3]],,,)</f>
        <v>Major_Non-USMCA_Non-China</v>
      </c>
    </row>
    <row r="12833" spans="1:9" x14ac:dyDescent="0.4">
      <c r="A12833" t="s">
        <v>75</v>
      </c>
      <c r="B12833" s="1">
        <v>45078</v>
      </c>
      <c r="C12833">
        <v>848210</v>
      </c>
      <c r="D12833" t="s">
        <v>176</v>
      </c>
      <c r="E12833">
        <v>38444</v>
      </c>
      <c r="F12833">
        <v>21700</v>
      </c>
      <c r="G12833">
        <v>200</v>
      </c>
      <c r="H12833">
        <f>_xlfn.XLOOKUP(FACT_IMPORTS[[#This Row],[hts_6]],DIM_PRODUCTS[hts_6],DIM_PRODUCTS[hts_4],,,)</f>
        <v>8482</v>
      </c>
      <c r="I12833" t="str" cm="1">
        <f t="array" ref="I12833">_xlfn.XLOOKUP(FACT_IMPORTS[[#This Row],[country_name]],DIM_COUNTRY[[#All],[Column2]],DIM_COUNTRY[[#All],[Column3]],,,)</f>
        <v>Major_Non-USMCA_Non-China</v>
      </c>
    </row>
    <row r="12834" spans="1:9" x14ac:dyDescent="0.4">
      <c r="A12834" t="s">
        <v>75</v>
      </c>
      <c r="B12834" s="1">
        <v>45078</v>
      </c>
      <c r="C12834">
        <v>848310</v>
      </c>
      <c r="D12834" t="s">
        <v>176</v>
      </c>
      <c r="E12834">
        <v>13727</v>
      </c>
      <c r="F12834">
        <v>8</v>
      </c>
      <c r="G12834">
        <v>1143</v>
      </c>
      <c r="H12834">
        <f>_xlfn.XLOOKUP(FACT_IMPORTS[[#This Row],[hts_6]],DIM_PRODUCTS[hts_6],DIM_PRODUCTS[hts_4],,,)</f>
        <v>8483</v>
      </c>
      <c r="I12834" t="str" cm="1">
        <f t="array" ref="I12834">_xlfn.XLOOKUP(FACT_IMPORTS[[#This Row],[country_name]],DIM_COUNTRY[[#All],[Column2]],DIM_COUNTRY[[#All],[Column3]],,,)</f>
        <v>Major_Non-USMCA_Non-China</v>
      </c>
    </row>
    <row r="12835" spans="1:9" x14ac:dyDescent="0.4">
      <c r="A12835" t="s">
        <v>75</v>
      </c>
      <c r="B12835" s="1">
        <v>45078</v>
      </c>
      <c r="C12835">
        <v>850131</v>
      </c>
      <c r="D12835" t="s">
        <v>176</v>
      </c>
      <c r="E12835">
        <v>0</v>
      </c>
      <c r="F12835">
        <v>0</v>
      </c>
      <c r="G12835">
        <v>0</v>
      </c>
      <c r="H12835">
        <f>_xlfn.XLOOKUP(FACT_IMPORTS[[#This Row],[hts_6]],DIM_PRODUCTS[hts_6],DIM_PRODUCTS[hts_4],,,)</f>
        <v>8501</v>
      </c>
      <c r="I12835" t="str" cm="1">
        <f t="array" ref="I12835">_xlfn.XLOOKUP(FACT_IMPORTS[[#This Row],[country_name]],DIM_COUNTRY[[#All],[Column2]],DIM_COUNTRY[[#All],[Column3]],,,)</f>
        <v>Major_Non-USMCA_Non-China</v>
      </c>
    </row>
    <row r="12836" spans="1:9" x14ac:dyDescent="0.4">
      <c r="A12836" t="s">
        <v>75</v>
      </c>
      <c r="B12836" s="1">
        <v>45078</v>
      </c>
      <c r="C12836">
        <v>850132</v>
      </c>
      <c r="D12836" t="s">
        <v>176</v>
      </c>
      <c r="E12836">
        <v>0</v>
      </c>
      <c r="F12836">
        <v>0</v>
      </c>
      <c r="G12836">
        <v>0</v>
      </c>
      <c r="H12836">
        <f>_xlfn.XLOOKUP(FACT_IMPORTS[[#This Row],[hts_6]],DIM_PRODUCTS[hts_6],DIM_PRODUCTS[hts_4],,,)</f>
        <v>8501</v>
      </c>
      <c r="I12836" t="str" cm="1">
        <f t="array" ref="I12836">_xlfn.XLOOKUP(FACT_IMPORTS[[#This Row],[country_name]],DIM_COUNTRY[[#All],[Column2]],DIM_COUNTRY[[#All],[Column3]],,,)</f>
        <v>Major_Non-USMCA_Non-China</v>
      </c>
    </row>
    <row r="12837" spans="1:9" x14ac:dyDescent="0.4">
      <c r="A12837" t="s">
        <v>75</v>
      </c>
      <c r="B12837" s="1">
        <v>45078</v>
      </c>
      <c r="C12837">
        <v>850152</v>
      </c>
      <c r="D12837" t="s">
        <v>176</v>
      </c>
      <c r="E12837">
        <v>77497</v>
      </c>
      <c r="F12837">
        <v>1682</v>
      </c>
      <c r="G12837">
        <v>1543</v>
      </c>
      <c r="H12837">
        <f>_xlfn.XLOOKUP(FACT_IMPORTS[[#This Row],[hts_6]],DIM_PRODUCTS[hts_6],DIM_PRODUCTS[hts_4],,,)</f>
        <v>8501</v>
      </c>
      <c r="I12837" t="str" cm="1">
        <f t="array" ref="I12837">_xlfn.XLOOKUP(FACT_IMPORTS[[#This Row],[country_name]],DIM_COUNTRY[[#All],[Column2]],DIM_COUNTRY[[#All],[Column3]],,,)</f>
        <v>Major_Non-USMCA_Non-China</v>
      </c>
    </row>
    <row r="12838" spans="1:9" x14ac:dyDescent="0.4">
      <c r="A12838" t="s">
        <v>75</v>
      </c>
      <c r="B12838" s="1">
        <v>45078</v>
      </c>
      <c r="C12838">
        <v>850153</v>
      </c>
      <c r="D12838" t="s">
        <v>176</v>
      </c>
      <c r="E12838">
        <v>6471</v>
      </c>
      <c r="F12838">
        <v>1</v>
      </c>
      <c r="G12838">
        <v>117</v>
      </c>
      <c r="H12838">
        <f>_xlfn.XLOOKUP(FACT_IMPORTS[[#This Row],[hts_6]],DIM_PRODUCTS[hts_6],DIM_PRODUCTS[hts_4],,,)</f>
        <v>8501</v>
      </c>
      <c r="I12838" t="str" cm="1">
        <f t="array" ref="I12838">_xlfn.XLOOKUP(FACT_IMPORTS[[#This Row],[country_name]],DIM_COUNTRY[[#All],[Column2]],DIM_COUNTRY[[#All],[Column3]],,,)</f>
        <v>Major_Non-USMCA_Non-China</v>
      </c>
    </row>
    <row r="12839" spans="1:9" x14ac:dyDescent="0.4">
      <c r="A12839" t="s">
        <v>75</v>
      </c>
      <c r="B12839" s="1">
        <v>45078</v>
      </c>
      <c r="C12839">
        <v>850440</v>
      </c>
      <c r="D12839" t="s">
        <v>176</v>
      </c>
      <c r="E12839">
        <v>524402</v>
      </c>
      <c r="F12839">
        <v>8899</v>
      </c>
      <c r="G12839">
        <v>3500</v>
      </c>
      <c r="H12839">
        <f>_xlfn.XLOOKUP(FACT_IMPORTS[[#This Row],[hts_6]],DIM_PRODUCTS[hts_6],DIM_PRODUCTS[hts_4],,,)</f>
        <v>8504</v>
      </c>
      <c r="I12839" t="str" cm="1">
        <f t="array" ref="I12839">_xlfn.XLOOKUP(FACT_IMPORTS[[#This Row],[country_name]],DIM_COUNTRY[[#All],[Column2]],DIM_COUNTRY[[#All],[Column3]],,,)</f>
        <v>Major_Non-USMCA_Non-China</v>
      </c>
    </row>
    <row r="12840" spans="1:9" x14ac:dyDescent="0.4">
      <c r="A12840" t="s">
        <v>75</v>
      </c>
      <c r="B12840" s="1">
        <v>45078</v>
      </c>
      <c r="C12840">
        <v>850710</v>
      </c>
      <c r="D12840" t="s">
        <v>176</v>
      </c>
      <c r="E12840">
        <v>37041</v>
      </c>
      <c r="F12840">
        <v>567</v>
      </c>
      <c r="G12840">
        <v>71</v>
      </c>
      <c r="H12840">
        <f>_xlfn.XLOOKUP(FACT_IMPORTS[[#This Row],[hts_6]],DIM_PRODUCTS[hts_6],DIM_PRODUCTS[hts_4],,,)</f>
        <v>8507</v>
      </c>
      <c r="I12840" t="str" cm="1">
        <f t="array" ref="I12840">_xlfn.XLOOKUP(FACT_IMPORTS[[#This Row],[country_name]],DIM_COUNTRY[[#All],[Column2]],DIM_COUNTRY[[#All],[Column3]],,,)</f>
        <v>Major_Non-USMCA_Non-China</v>
      </c>
    </row>
    <row r="12841" spans="1:9" x14ac:dyDescent="0.4">
      <c r="A12841" t="s">
        <v>75</v>
      </c>
      <c r="B12841" s="1">
        <v>45078</v>
      </c>
      <c r="C12841">
        <v>850760</v>
      </c>
      <c r="D12841" t="s">
        <v>176</v>
      </c>
      <c r="E12841">
        <v>0</v>
      </c>
      <c r="F12841">
        <v>0</v>
      </c>
      <c r="G12841">
        <v>0</v>
      </c>
      <c r="H12841">
        <f>_xlfn.XLOOKUP(FACT_IMPORTS[[#This Row],[hts_6]],DIM_PRODUCTS[hts_6],DIM_PRODUCTS[hts_4],,,)</f>
        <v>8507</v>
      </c>
      <c r="I12841" t="str" cm="1">
        <f t="array" ref="I12841">_xlfn.XLOOKUP(FACT_IMPORTS[[#This Row],[country_name]],DIM_COUNTRY[[#All],[Column2]],DIM_COUNTRY[[#All],[Column3]],,,)</f>
        <v>Major_Non-USMCA_Non-China</v>
      </c>
    </row>
    <row r="12842" spans="1:9" x14ac:dyDescent="0.4">
      <c r="A12842" t="s">
        <v>75</v>
      </c>
      <c r="B12842" s="1">
        <v>45078</v>
      </c>
      <c r="C12842">
        <v>851120</v>
      </c>
      <c r="D12842" t="s">
        <v>176</v>
      </c>
      <c r="E12842">
        <v>0</v>
      </c>
      <c r="F12842">
        <v>0</v>
      </c>
      <c r="G12842">
        <v>0</v>
      </c>
      <c r="H12842">
        <f>_xlfn.XLOOKUP(FACT_IMPORTS[[#This Row],[hts_6]],DIM_PRODUCTS[hts_6],DIM_PRODUCTS[hts_4],,,)</f>
        <v>8511</v>
      </c>
      <c r="I12842" t="str" cm="1">
        <f t="array" ref="I12842">_xlfn.XLOOKUP(FACT_IMPORTS[[#This Row],[country_name]],DIM_COUNTRY[[#All],[Column2]],DIM_COUNTRY[[#All],[Column3]],,,)</f>
        <v>Major_Non-USMCA_Non-China</v>
      </c>
    </row>
    <row r="12843" spans="1:9" x14ac:dyDescent="0.4">
      <c r="A12843" t="s">
        <v>75</v>
      </c>
      <c r="B12843" s="1">
        <v>45078</v>
      </c>
      <c r="C12843">
        <v>851130</v>
      </c>
      <c r="D12843" t="s">
        <v>176</v>
      </c>
      <c r="E12843">
        <v>0</v>
      </c>
      <c r="F12843">
        <v>0</v>
      </c>
      <c r="G12843">
        <v>0</v>
      </c>
      <c r="H12843">
        <f>_xlfn.XLOOKUP(FACT_IMPORTS[[#This Row],[hts_6]],DIM_PRODUCTS[hts_6],DIM_PRODUCTS[hts_4],,,)</f>
        <v>8511</v>
      </c>
      <c r="I12843" t="str" cm="1">
        <f t="array" ref="I12843">_xlfn.XLOOKUP(FACT_IMPORTS[[#This Row],[country_name]],DIM_COUNTRY[[#All],[Column2]],DIM_COUNTRY[[#All],[Column3]],,,)</f>
        <v>Major_Non-USMCA_Non-China</v>
      </c>
    </row>
    <row r="12844" spans="1:9" x14ac:dyDescent="0.4">
      <c r="A12844" t="s">
        <v>75</v>
      </c>
      <c r="B12844" s="1">
        <v>45078</v>
      </c>
      <c r="C12844">
        <v>851140</v>
      </c>
      <c r="D12844" t="s">
        <v>176</v>
      </c>
      <c r="E12844">
        <v>26107</v>
      </c>
      <c r="F12844">
        <v>140</v>
      </c>
      <c r="G12844">
        <v>75</v>
      </c>
      <c r="H12844">
        <f>_xlfn.XLOOKUP(FACT_IMPORTS[[#This Row],[hts_6]],DIM_PRODUCTS[hts_6],DIM_PRODUCTS[hts_4],,,)</f>
        <v>8511</v>
      </c>
      <c r="I12844" t="str" cm="1">
        <f t="array" ref="I12844">_xlfn.XLOOKUP(FACT_IMPORTS[[#This Row],[country_name]],DIM_COUNTRY[[#All],[Column2]],DIM_COUNTRY[[#All],[Column3]],,,)</f>
        <v>Major_Non-USMCA_Non-China</v>
      </c>
    </row>
    <row r="12845" spans="1:9" x14ac:dyDescent="0.4">
      <c r="A12845" t="s">
        <v>75</v>
      </c>
      <c r="B12845" s="1">
        <v>45078</v>
      </c>
      <c r="C12845">
        <v>851150</v>
      </c>
      <c r="D12845" t="s">
        <v>176</v>
      </c>
      <c r="E12845">
        <v>0</v>
      </c>
      <c r="F12845">
        <v>0</v>
      </c>
      <c r="G12845">
        <v>0</v>
      </c>
      <c r="H12845">
        <f>_xlfn.XLOOKUP(FACT_IMPORTS[[#This Row],[hts_6]],DIM_PRODUCTS[hts_6],DIM_PRODUCTS[hts_4],,,)</f>
        <v>8511</v>
      </c>
      <c r="I12845" t="str" cm="1">
        <f t="array" ref="I12845">_xlfn.XLOOKUP(FACT_IMPORTS[[#This Row],[country_name]],DIM_COUNTRY[[#All],[Column2]],DIM_COUNTRY[[#All],[Column3]],,,)</f>
        <v>Major_Non-USMCA_Non-China</v>
      </c>
    </row>
    <row r="12846" spans="1:9" x14ac:dyDescent="0.4">
      <c r="A12846" t="s">
        <v>75</v>
      </c>
      <c r="B12846" s="1">
        <v>45078</v>
      </c>
      <c r="C12846">
        <v>851180</v>
      </c>
      <c r="D12846" t="s">
        <v>176</v>
      </c>
      <c r="E12846">
        <v>0</v>
      </c>
      <c r="F12846">
        <v>0</v>
      </c>
      <c r="G12846">
        <v>0</v>
      </c>
      <c r="H12846">
        <f>_xlfn.XLOOKUP(FACT_IMPORTS[[#This Row],[hts_6]],DIM_PRODUCTS[hts_6],DIM_PRODUCTS[hts_4],,,)</f>
        <v>8511</v>
      </c>
      <c r="I12846" t="str" cm="1">
        <f t="array" ref="I12846">_xlfn.XLOOKUP(FACT_IMPORTS[[#This Row],[country_name]],DIM_COUNTRY[[#All],[Column2]],DIM_COUNTRY[[#All],[Column3]],,,)</f>
        <v>Major_Non-USMCA_Non-China</v>
      </c>
    </row>
    <row r="12847" spans="1:9" x14ac:dyDescent="0.4">
      <c r="A12847" t="s">
        <v>75</v>
      </c>
      <c r="B12847" s="1">
        <v>45078</v>
      </c>
      <c r="C12847">
        <v>851190</v>
      </c>
      <c r="D12847" t="s">
        <v>176</v>
      </c>
      <c r="E12847">
        <v>0</v>
      </c>
      <c r="F12847">
        <v>0</v>
      </c>
      <c r="G12847">
        <v>0</v>
      </c>
      <c r="H12847">
        <f>_xlfn.XLOOKUP(FACT_IMPORTS[[#This Row],[hts_6]],DIM_PRODUCTS[hts_6],DIM_PRODUCTS[hts_4],,,)</f>
        <v>8511</v>
      </c>
      <c r="I12847" t="str" cm="1">
        <f t="array" ref="I12847">_xlfn.XLOOKUP(FACT_IMPORTS[[#This Row],[country_name]],DIM_COUNTRY[[#All],[Column2]],DIM_COUNTRY[[#All],[Column3]],,,)</f>
        <v>Major_Non-USMCA_Non-China</v>
      </c>
    </row>
    <row r="12848" spans="1:9" x14ac:dyDescent="0.4">
      <c r="A12848" t="s">
        <v>75</v>
      </c>
      <c r="B12848" s="1">
        <v>45078</v>
      </c>
      <c r="C12848">
        <v>851220</v>
      </c>
      <c r="D12848" t="s">
        <v>176</v>
      </c>
      <c r="E12848">
        <v>3848606</v>
      </c>
      <c r="F12848">
        <v>728859</v>
      </c>
      <c r="G12848">
        <v>64014</v>
      </c>
      <c r="H12848">
        <f>_xlfn.XLOOKUP(FACT_IMPORTS[[#This Row],[hts_6]],DIM_PRODUCTS[hts_6],DIM_PRODUCTS[hts_4],,,)</f>
        <v>8512</v>
      </c>
      <c r="I12848" t="str" cm="1">
        <f t="array" ref="I12848">_xlfn.XLOOKUP(FACT_IMPORTS[[#This Row],[country_name]],DIM_COUNTRY[[#All],[Column2]],DIM_COUNTRY[[#All],[Column3]],,,)</f>
        <v>Major_Non-USMCA_Non-China</v>
      </c>
    </row>
    <row r="12849" spans="1:9" x14ac:dyDescent="0.4">
      <c r="A12849" t="s">
        <v>75</v>
      </c>
      <c r="B12849" s="1">
        <v>45078</v>
      </c>
      <c r="C12849">
        <v>851230</v>
      </c>
      <c r="D12849" t="s">
        <v>176</v>
      </c>
      <c r="E12849">
        <v>24404</v>
      </c>
      <c r="F12849">
        <v>554</v>
      </c>
      <c r="G12849">
        <v>7</v>
      </c>
      <c r="H12849">
        <f>_xlfn.XLOOKUP(FACT_IMPORTS[[#This Row],[hts_6]],DIM_PRODUCTS[hts_6],DIM_PRODUCTS[hts_4],,,)</f>
        <v>8512</v>
      </c>
      <c r="I12849" t="str" cm="1">
        <f t="array" ref="I12849">_xlfn.XLOOKUP(FACT_IMPORTS[[#This Row],[country_name]],DIM_COUNTRY[[#All],[Column2]],DIM_COUNTRY[[#All],[Column3]],,,)</f>
        <v>Major_Non-USMCA_Non-China</v>
      </c>
    </row>
    <row r="12850" spans="1:9" x14ac:dyDescent="0.4">
      <c r="A12850" t="s">
        <v>75</v>
      </c>
      <c r="B12850" s="1">
        <v>45078</v>
      </c>
      <c r="C12850">
        <v>851240</v>
      </c>
      <c r="D12850" t="s">
        <v>176</v>
      </c>
      <c r="E12850">
        <v>0</v>
      </c>
      <c r="F12850">
        <v>0</v>
      </c>
      <c r="G12850">
        <v>0</v>
      </c>
      <c r="H12850">
        <f>_xlfn.XLOOKUP(FACT_IMPORTS[[#This Row],[hts_6]],DIM_PRODUCTS[hts_6],DIM_PRODUCTS[hts_4],,,)</f>
        <v>8512</v>
      </c>
      <c r="I12850" t="str" cm="1">
        <f t="array" ref="I12850">_xlfn.XLOOKUP(FACT_IMPORTS[[#This Row],[country_name]],DIM_COUNTRY[[#All],[Column2]],DIM_COUNTRY[[#All],[Column3]],,,)</f>
        <v>Major_Non-USMCA_Non-China</v>
      </c>
    </row>
    <row r="12851" spans="1:9" x14ac:dyDescent="0.4">
      <c r="A12851" t="s">
        <v>75</v>
      </c>
      <c r="B12851" s="1">
        <v>45078</v>
      </c>
      <c r="C12851">
        <v>851290</v>
      </c>
      <c r="D12851" t="s">
        <v>176</v>
      </c>
      <c r="E12851">
        <v>1314640</v>
      </c>
      <c r="F12851">
        <v>56019</v>
      </c>
      <c r="G12851">
        <v>12800</v>
      </c>
      <c r="H12851">
        <f>_xlfn.XLOOKUP(FACT_IMPORTS[[#This Row],[hts_6]],DIM_PRODUCTS[hts_6],DIM_PRODUCTS[hts_4],,,)</f>
        <v>8512</v>
      </c>
      <c r="I12851" t="str" cm="1">
        <f t="array" ref="I12851">_xlfn.XLOOKUP(FACT_IMPORTS[[#This Row],[country_name]],DIM_COUNTRY[[#All],[Column2]],DIM_COUNTRY[[#All],[Column3]],,,)</f>
        <v>Major_Non-USMCA_Non-China</v>
      </c>
    </row>
    <row r="12852" spans="1:9" x14ac:dyDescent="0.4">
      <c r="A12852" t="s">
        <v>75</v>
      </c>
      <c r="B12852" s="1">
        <v>45078</v>
      </c>
      <c r="C12852">
        <v>854231</v>
      </c>
      <c r="D12852" t="s">
        <v>176</v>
      </c>
      <c r="E12852">
        <v>4040</v>
      </c>
      <c r="F12852">
        <v>2000</v>
      </c>
      <c r="G12852">
        <v>404</v>
      </c>
      <c r="H12852">
        <f>_xlfn.XLOOKUP(FACT_IMPORTS[[#This Row],[hts_6]],DIM_PRODUCTS[hts_6],DIM_PRODUCTS[hts_4],,,)</f>
        <v>8542</v>
      </c>
      <c r="I12852" t="str" cm="1">
        <f t="array" ref="I12852">_xlfn.XLOOKUP(FACT_IMPORTS[[#This Row],[country_name]],DIM_COUNTRY[[#All],[Column2]],DIM_COUNTRY[[#All],[Column3]],,,)</f>
        <v>Major_Non-USMCA_Non-China</v>
      </c>
    </row>
    <row r="12853" spans="1:9" x14ac:dyDescent="0.4">
      <c r="A12853" t="s">
        <v>75</v>
      </c>
      <c r="B12853" s="1">
        <v>45078</v>
      </c>
      <c r="C12853">
        <v>854232</v>
      </c>
      <c r="D12853" t="s">
        <v>176</v>
      </c>
      <c r="E12853">
        <v>3520</v>
      </c>
      <c r="F12853">
        <v>1693</v>
      </c>
      <c r="G12853">
        <v>51</v>
      </c>
      <c r="H12853">
        <f>_xlfn.XLOOKUP(FACT_IMPORTS[[#This Row],[hts_6]],DIM_PRODUCTS[hts_6],DIM_PRODUCTS[hts_4],,,)</f>
        <v>8542</v>
      </c>
      <c r="I12853" t="str" cm="1">
        <f t="array" ref="I12853">_xlfn.XLOOKUP(FACT_IMPORTS[[#This Row],[country_name]],DIM_COUNTRY[[#All],[Column2]],DIM_COUNTRY[[#All],[Column3]],,,)</f>
        <v>Major_Non-USMCA_Non-China</v>
      </c>
    </row>
    <row r="12854" spans="1:9" x14ac:dyDescent="0.4">
      <c r="A12854" t="s">
        <v>75</v>
      </c>
      <c r="B12854" s="1">
        <v>45078</v>
      </c>
      <c r="C12854">
        <v>854239</v>
      </c>
      <c r="D12854" t="s">
        <v>176</v>
      </c>
      <c r="E12854">
        <v>1991525</v>
      </c>
      <c r="F12854">
        <v>203368</v>
      </c>
      <c r="G12854">
        <v>180555</v>
      </c>
      <c r="H12854">
        <f>_xlfn.XLOOKUP(FACT_IMPORTS[[#This Row],[hts_6]],DIM_PRODUCTS[hts_6],DIM_PRODUCTS[hts_4],,,)</f>
        <v>8542</v>
      </c>
      <c r="I12854" t="str" cm="1">
        <f t="array" ref="I12854">_xlfn.XLOOKUP(FACT_IMPORTS[[#This Row],[country_name]],DIM_COUNTRY[[#All],[Column2]],DIM_COUNTRY[[#All],[Column3]],,,)</f>
        <v>Major_Non-USMCA_Non-China</v>
      </c>
    </row>
    <row r="12855" spans="1:9" x14ac:dyDescent="0.4">
      <c r="A12855" t="s">
        <v>75</v>
      </c>
      <c r="B12855" s="1">
        <v>45078</v>
      </c>
      <c r="C12855">
        <v>854290</v>
      </c>
      <c r="D12855" t="s">
        <v>176</v>
      </c>
      <c r="E12855">
        <v>0</v>
      </c>
      <c r="F12855">
        <v>0</v>
      </c>
      <c r="G12855">
        <v>0</v>
      </c>
      <c r="H12855">
        <f>_xlfn.XLOOKUP(FACT_IMPORTS[[#This Row],[hts_6]],DIM_PRODUCTS[hts_6],DIM_PRODUCTS[hts_4],,,)</f>
        <v>8542</v>
      </c>
      <c r="I12855" t="str" cm="1">
        <f t="array" ref="I12855">_xlfn.XLOOKUP(FACT_IMPORTS[[#This Row],[country_name]],DIM_COUNTRY[[#All],[Column2]],DIM_COUNTRY[[#All],[Column3]],,,)</f>
        <v>Major_Non-USMCA_Non-China</v>
      </c>
    </row>
    <row r="12856" spans="1:9" x14ac:dyDescent="0.4">
      <c r="A12856" t="s">
        <v>75</v>
      </c>
      <c r="B12856" s="1">
        <v>45078</v>
      </c>
      <c r="C12856">
        <v>854430</v>
      </c>
      <c r="D12856" t="s">
        <v>176</v>
      </c>
      <c r="E12856">
        <v>0</v>
      </c>
      <c r="F12856">
        <v>0</v>
      </c>
      <c r="G12856">
        <v>0</v>
      </c>
      <c r="H12856">
        <f>_xlfn.XLOOKUP(FACT_IMPORTS[[#This Row],[hts_6]],DIM_PRODUCTS[hts_6],DIM_PRODUCTS[hts_4],,,)</f>
        <v>8544</v>
      </c>
      <c r="I12856" t="str" cm="1">
        <f t="array" ref="I12856">_xlfn.XLOOKUP(FACT_IMPORTS[[#This Row],[country_name]],DIM_COUNTRY[[#All],[Column2]],DIM_COUNTRY[[#All],[Column3]],,,)</f>
        <v>Major_Non-USMCA_Non-China</v>
      </c>
    </row>
    <row r="12857" spans="1:9" x14ac:dyDescent="0.4">
      <c r="A12857" t="s">
        <v>75</v>
      </c>
      <c r="B12857" s="1">
        <v>45078</v>
      </c>
      <c r="C12857">
        <v>870810</v>
      </c>
      <c r="D12857" t="s">
        <v>176</v>
      </c>
      <c r="E12857">
        <v>386276</v>
      </c>
      <c r="F12857">
        <v>4771</v>
      </c>
      <c r="G12857">
        <v>26729</v>
      </c>
      <c r="H12857">
        <f>_xlfn.XLOOKUP(FACT_IMPORTS[[#This Row],[hts_6]],DIM_PRODUCTS[hts_6],DIM_PRODUCTS[hts_4],,,)</f>
        <v>8708</v>
      </c>
      <c r="I12857" t="str" cm="1">
        <f t="array" ref="I12857">_xlfn.XLOOKUP(FACT_IMPORTS[[#This Row],[country_name]],DIM_COUNTRY[[#All],[Column2]],DIM_COUNTRY[[#All],[Column3]],,,)</f>
        <v>Major_Non-USMCA_Non-China</v>
      </c>
    </row>
    <row r="12858" spans="1:9" x14ac:dyDescent="0.4">
      <c r="A12858" t="s">
        <v>75</v>
      </c>
      <c r="B12858" s="1">
        <v>45078</v>
      </c>
      <c r="C12858">
        <v>870829</v>
      </c>
      <c r="D12858" t="s">
        <v>176</v>
      </c>
      <c r="E12858">
        <v>465213</v>
      </c>
      <c r="F12858">
        <v>18936</v>
      </c>
      <c r="G12858">
        <v>13713</v>
      </c>
      <c r="H12858">
        <f>_xlfn.XLOOKUP(FACT_IMPORTS[[#This Row],[hts_6]],DIM_PRODUCTS[hts_6],DIM_PRODUCTS[hts_4],,,)</f>
        <v>8708</v>
      </c>
      <c r="I12858" t="str" cm="1">
        <f t="array" ref="I12858">_xlfn.XLOOKUP(FACT_IMPORTS[[#This Row],[country_name]],DIM_COUNTRY[[#All],[Column2]],DIM_COUNTRY[[#All],[Column3]],,,)</f>
        <v>Major_Non-USMCA_Non-China</v>
      </c>
    </row>
    <row r="12859" spans="1:9" x14ac:dyDescent="0.4">
      <c r="A12859" t="s">
        <v>75</v>
      </c>
      <c r="B12859" s="1">
        <v>45078</v>
      </c>
      <c r="C12859">
        <v>870830</v>
      </c>
      <c r="D12859" t="s">
        <v>176</v>
      </c>
      <c r="E12859">
        <v>0</v>
      </c>
      <c r="F12859">
        <v>0</v>
      </c>
      <c r="G12859">
        <v>0</v>
      </c>
      <c r="H12859">
        <f>_xlfn.XLOOKUP(FACT_IMPORTS[[#This Row],[hts_6]],DIM_PRODUCTS[hts_6],DIM_PRODUCTS[hts_4],,,)</f>
        <v>8708</v>
      </c>
      <c r="I12859" t="str" cm="1">
        <f t="array" ref="I12859">_xlfn.XLOOKUP(FACT_IMPORTS[[#This Row],[country_name]],DIM_COUNTRY[[#All],[Column2]],DIM_COUNTRY[[#All],[Column3]],,,)</f>
        <v>Major_Non-USMCA_Non-China</v>
      </c>
    </row>
    <row r="12860" spans="1:9" x14ac:dyDescent="0.4">
      <c r="A12860" t="s">
        <v>75</v>
      </c>
      <c r="B12860" s="1">
        <v>45078</v>
      </c>
      <c r="C12860">
        <v>870840</v>
      </c>
      <c r="D12860" t="s">
        <v>176</v>
      </c>
      <c r="E12860">
        <v>510093</v>
      </c>
      <c r="F12860">
        <v>62076</v>
      </c>
      <c r="G12860">
        <v>13196</v>
      </c>
      <c r="H12860">
        <f>_xlfn.XLOOKUP(FACT_IMPORTS[[#This Row],[hts_6]],DIM_PRODUCTS[hts_6],DIM_PRODUCTS[hts_4],,,)</f>
        <v>8708</v>
      </c>
      <c r="I12860" t="str" cm="1">
        <f t="array" ref="I12860">_xlfn.XLOOKUP(FACT_IMPORTS[[#This Row],[country_name]],DIM_COUNTRY[[#All],[Column2]],DIM_COUNTRY[[#All],[Column3]],,,)</f>
        <v>Major_Non-USMCA_Non-China</v>
      </c>
    </row>
    <row r="12861" spans="1:9" x14ac:dyDescent="0.4">
      <c r="A12861" t="s">
        <v>75</v>
      </c>
      <c r="B12861" s="1">
        <v>45078</v>
      </c>
      <c r="C12861">
        <v>870850</v>
      </c>
      <c r="D12861" t="s">
        <v>176</v>
      </c>
      <c r="E12861">
        <v>210644</v>
      </c>
      <c r="F12861">
        <v>4214</v>
      </c>
      <c r="G12861">
        <v>3472</v>
      </c>
      <c r="H12861">
        <f>_xlfn.XLOOKUP(FACT_IMPORTS[[#This Row],[hts_6]],DIM_PRODUCTS[hts_6],DIM_PRODUCTS[hts_4],,,)</f>
        <v>8708</v>
      </c>
      <c r="I12861" t="str" cm="1">
        <f t="array" ref="I12861">_xlfn.XLOOKUP(FACT_IMPORTS[[#This Row],[country_name]],DIM_COUNTRY[[#All],[Column2]],DIM_COUNTRY[[#All],[Column3]],,,)</f>
        <v>Major_Non-USMCA_Non-China</v>
      </c>
    </row>
    <row r="12862" spans="1:9" x14ac:dyDescent="0.4">
      <c r="A12862" t="s">
        <v>75</v>
      </c>
      <c r="B12862" s="1">
        <v>45078</v>
      </c>
      <c r="C12862">
        <v>870870</v>
      </c>
      <c r="D12862" t="s">
        <v>176</v>
      </c>
      <c r="E12862">
        <v>3178507</v>
      </c>
      <c r="F12862">
        <v>20249</v>
      </c>
      <c r="G12862">
        <v>136239</v>
      </c>
      <c r="H12862">
        <f>_xlfn.XLOOKUP(FACT_IMPORTS[[#This Row],[hts_6]],DIM_PRODUCTS[hts_6],DIM_PRODUCTS[hts_4],,,)</f>
        <v>8708</v>
      </c>
      <c r="I12862" t="str" cm="1">
        <f t="array" ref="I12862">_xlfn.XLOOKUP(FACT_IMPORTS[[#This Row],[country_name]],DIM_COUNTRY[[#All],[Column2]],DIM_COUNTRY[[#All],[Column3]],,,)</f>
        <v>Major_Non-USMCA_Non-China</v>
      </c>
    </row>
    <row r="12863" spans="1:9" x14ac:dyDescent="0.4">
      <c r="A12863" t="s">
        <v>75</v>
      </c>
      <c r="B12863" s="1">
        <v>45078</v>
      </c>
      <c r="C12863">
        <v>870880</v>
      </c>
      <c r="D12863" t="s">
        <v>176</v>
      </c>
      <c r="E12863">
        <v>662572</v>
      </c>
      <c r="F12863">
        <v>53544</v>
      </c>
      <c r="G12863">
        <v>51621</v>
      </c>
      <c r="H12863">
        <f>_xlfn.XLOOKUP(FACT_IMPORTS[[#This Row],[hts_6]],DIM_PRODUCTS[hts_6],DIM_PRODUCTS[hts_4],,,)</f>
        <v>8708</v>
      </c>
      <c r="I12863" t="str" cm="1">
        <f t="array" ref="I12863">_xlfn.XLOOKUP(FACT_IMPORTS[[#This Row],[country_name]],DIM_COUNTRY[[#All],[Column2]],DIM_COUNTRY[[#All],[Column3]],,,)</f>
        <v>Major_Non-USMCA_Non-China</v>
      </c>
    </row>
    <row r="12864" spans="1:9" x14ac:dyDescent="0.4">
      <c r="A12864" t="s">
        <v>75</v>
      </c>
      <c r="B12864" s="1">
        <v>45078</v>
      </c>
      <c r="C12864">
        <v>870891</v>
      </c>
      <c r="D12864" t="s">
        <v>176</v>
      </c>
      <c r="E12864">
        <v>2345</v>
      </c>
      <c r="F12864">
        <v>10000</v>
      </c>
      <c r="G12864">
        <v>65</v>
      </c>
      <c r="H12864">
        <f>_xlfn.XLOOKUP(FACT_IMPORTS[[#This Row],[hts_6]],DIM_PRODUCTS[hts_6],DIM_PRODUCTS[hts_4],,,)</f>
        <v>8708</v>
      </c>
      <c r="I12864" t="str" cm="1">
        <f t="array" ref="I12864">_xlfn.XLOOKUP(FACT_IMPORTS[[#This Row],[country_name]],DIM_COUNTRY[[#All],[Column2]],DIM_COUNTRY[[#All],[Column3]],,,)</f>
        <v>Major_Non-USMCA_Non-China</v>
      </c>
    </row>
    <row r="12865" spans="1:9" x14ac:dyDescent="0.4">
      <c r="A12865" t="s">
        <v>75</v>
      </c>
      <c r="B12865" s="1">
        <v>45078</v>
      </c>
      <c r="C12865">
        <v>870892</v>
      </c>
      <c r="D12865" t="s">
        <v>176</v>
      </c>
      <c r="E12865">
        <v>47391</v>
      </c>
      <c r="F12865">
        <v>4980</v>
      </c>
      <c r="G12865">
        <v>3310</v>
      </c>
      <c r="H12865">
        <f>_xlfn.XLOOKUP(FACT_IMPORTS[[#This Row],[hts_6]],DIM_PRODUCTS[hts_6],DIM_PRODUCTS[hts_4],,,)</f>
        <v>8708</v>
      </c>
      <c r="I12865" t="str" cm="1">
        <f t="array" ref="I12865">_xlfn.XLOOKUP(FACT_IMPORTS[[#This Row],[country_name]],DIM_COUNTRY[[#All],[Column2]],DIM_COUNTRY[[#All],[Column3]],,,)</f>
        <v>Major_Non-USMCA_Non-China</v>
      </c>
    </row>
    <row r="12866" spans="1:9" x14ac:dyDescent="0.4">
      <c r="A12866" t="s">
        <v>75</v>
      </c>
      <c r="B12866" s="1">
        <v>45078</v>
      </c>
      <c r="C12866">
        <v>870893</v>
      </c>
      <c r="D12866" t="s">
        <v>176</v>
      </c>
      <c r="E12866">
        <v>26585</v>
      </c>
      <c r="F12866">
        <v>682</v>
      </c>
      <c r="G12866">
        <v>80</v>
      </c>
      <c r="H12866">
        <f>_xlfn.XLOOKUP(FACT_IMPORTS[[#This Row],[hts_6]],DIM_PRODUCTS[hts_6],DIM_PRODUCTS[hts_4],,,)</f>
        <v>8708</v>
      </c>
      <c r="I12866" t="str" cm="1">
        <f t="array" ref="I12866">_xlfn.XLOOKUP(FACT_IMPORTS[[#This Row],[country_name]],DIM_COUNTRY[[#All],[Column2]],DIM_COUNTRY[[#All],[Column3]],,,)</f>
        <v>Major_Non-USMCA_Non-China</v>
      </c>
    </row>
    <row r="12867" spans="1:9" x14ac:dyDescent="0.4">
      <c r="A12867" t="s">
        <v>75</v>
      </c>
      <c r="B12867" s="1">
        <v>45078</v>
      </c>
      <c r="C12867">
        <v>870894</v>
      </c>
      <c r="D12867" t="s">
        <v>176</v>
      </c>
      <c r="E12867">
        <v>25731</v>
      </c>
      <c r="F12867">
        <v>43862</v>
      </c>
      <c r="G12867">
        <v>620</v>
      </c>
      <c r="H12867">
        <f>_xlfn.XLOOKUP(FACT_IMPORTS[[#This Row],[hts_6]],DIM_PRODUCTS[hts_6],DIM_PRODUCTS[hts_4],,,)</f>
        <v>8708</v>
      </c>
      <c r="I12867" t="str" cm="1">
        <f t="array" ref="I12867">_xlfn.XLOOKUP(FACT_IMPORTS[[#This Row],[country_name]],DIM_COUNTRY[[#All],[Column2]],DIM_COUNTRY[[#All],[Column3]],,,)</f>
        <v>Major_Non-USMCA_Non-China</v>
      </c>
    </row>
    <row r="12868" spans="1:9" x14ac:dyDescent="0.4">
      <c r="A12868" t="s">
        <v>75</v>
      </c>
      <c r="B12868" s="1">
        <v>45078</v>
      </c>
      <c r="C12868">
        <v>870899</v>
      </c>
      <c r="D12868" t="s">
        <v>176</v>
      </c>
      <c r="E12868">
        <v>1513774</v>
      </c>
      <c r="F12868">
        <v>785938</v>
      </c>
      <c r="G12868">
        <v>84990</v>
      </c>
      <c r="H12868">
        <f>_xlfn.XLOOKUP(FACT_IMPORTS[[#This Row],[hts_6]],DIM_PRODUCTS[hts_6],DIM_PRODUCTS[hts_4],,,)</f>
        <v>8708</v>
      </c>
      <c r="I12868" t="str" cm="1">
        <f t="array" ref="I12868">_xlfn.XLOOKUP(FACT_IMPORTS[[#This Row],[country_name]],DIM_COUNTRY[[#All],[Column2]],DIM_COUNTRY[[#All],[Column3]],,,)</f>
        <v>Major_Non-USMCA_Non-China</v>
      </c>
    </row>
    <row r="12869" spans="1:9" x14ac:dyDescent="0.4">
      <c r="A12869" t="s">
        <v>75</v>
      </c>
      <c r="B12869" s="1">
        <v>45078</v>
      </c>
      <c r="C12869">
        <v>940120</v>
      </c>
      <c r="D12869" t="s">
        <v>176</v>
      </c>
      <c r="E12869">
        <v>0</v>
      </c>
      <c r="F12869">
        <v>0</v>
      </c>
      <c r="G12869">
        <v>0</v>
      </c>
      <c r="H12869">
        <f>_xlfn.XLOOKUP(FACT_IMPORTS[[#This Row],[hts_6]],DIM_PRODUCTS[hts_6],DIM_PRODUCTS[hts_4],,,)</f>
        <v>9401</v>
      </c>
      <c r="I12869" t="str" cm="1">
        <f t="array" ref="I12869">_xlfn.XLOOKUP(FACT_IMPORTS[[#This Row],[country_name]],DIM_COUNTRY[[#All],[Column2]],DIM_COUNTRY[[#All],[Column3]],,,)</f>
        <v>Major_Non-USMCA_Non-China</v>
      </c>
    </row>
    <row r="12870" spans="1:9" x14ac:dyDescent="0.4">
      <c r="A12870" t="s">
        <v>75</v>
      </c>
      <c r="B12870" s="1">
        <v>45108</v>
      </c>
      <c r="C12870">
        <v>392630</v>
      </c>
      <c r="D12870" t="s">
        <v>176</v>
      </c>
      <c r="E12870">
        <v>147947</v>
      </c>
      <c r="F12870">
        <v>5979</v>
      </c>
      <c r="G12870">
        <v>10206</v>
      </c>
      <c r="H12870">
        <f>_xlfn.XLOOKUP(FACT_IMPORTS[[#This Row],[hts_6]],DIM_PRODUCTS[hts_6],DIM_PRODUCTS[hts_4],,,)</f>
        <v>3926</v>
      </c>
      <c r="I12870" t="str" cm="1">
        <f t="array" ref="I12870">_xlfn.XLOOKUP(FACT_IMPORTS[[#This Row],[country_name]],DIM_COUNTRY[[#All],[Column2]],DIM_COUNTRY[[#All],[Column3]],,,)</f>
        <v>Major_Non-USMCA_Non-China</v>
      </c>
    </row>
    <row r="12871" spans="1:9" x14ac:dyDescent="0.4">
      <c r="A12871" t="s">
        <v>75</v>
      </c>
      <c r="B12871" s="1">
        <v>45108</v>
      </c>
      <c r="C12871">
        <v>401110</v>
      </c>
      <c r="D12871" t="s">
        <v>176</v>
      </c>
      <c r="E12871">
        <v>0</v>
      </c>
      <c r="F12871">
        <v>0</v>
      </c>
      <c r="G12871">
        <v>0</v>
      </c>
      <c r="H12871">
        <f>_xlfn.XLOOKUP(FACT_IMPORTS[[#This Row],[hts_6]],DIM_PRODUCTS[hts_6],DIM_PRODUCTS[hts_4],,,)</f>
        <v>4011</v>
      </c>
      <c r="I12871" t="str" cm="1">
        <f t="array" ref="I12871">_xlfn.XLOOKUP(FACT_IMPORTS[[#This Row],[country_name]],DIM_COUNTRY[[#All],[Column2]],DIM_COUNTRY[[#All],[Column3]],,,)</f>
        <v>Major_Non-USMCA_Non-China</v>
      </c>
    </row>
    <row r="12872" spans="1:9" x14ac:dyDescent="0.4">
      <c r="A12872" t="s">
        <v>75</v>
      </c>
      <c r="B12872" s="1">
        <v>45108</v>
      </c>
      <c r="C12872">
        <v>401120</v>
      </c>
      <c r="D12872" t="s">
        <v>176</v>
      </c>
      <c r="E12872">
        <v>0</v>
      </c>
      <c r="F12872">
        <v>0</v>
      </c>
      <c r="G12872">
        <v>0</v>
      </c>
      <c r="H12872">
        <f>_xlfn.XLOOKUP(FACT_IMPORTS[[#This Row],[hts_6]],DIM_PRODUCTS[hts_6],DIM_PRODUCTS[hts_4],,,)</f>
        <v>4011</v>
      </c>
      <c r="I12872" t="str" cm="1">
        <f t="array" ref="I12872">_xlfn.XLOOKUP(FACT_IMPORTS[[#This Row],[country_name]],DIM_COUNTRY[[#All],[Column2]],DIM_COUNTRY[[#All],[Column3]],,,)</f>
        <v>Major_Non-USMCA_Non-China</v>
      </c>
    </row>
    <row r="12873" spans="1:9" x14ac:dyDescent="0.4">
      <c r="A12873" t="s">
        <v>75</v>
      </c>
      <c r="B12873" s="1">
        <v>45108</v>
      </c>
      <c r="C12873">
        <v>401140</v>
      </c>
      <c r="D12873" t="s">
        <v>176</v>
      </c>
      <c r="E12873">
        <v>734</v>
      </c>
      <c r="F12873">
        <v>10</v>
      </c>
      <c r="G12873">
        <v>1</v>
      </c>
      <c r="H12873">
        <f>_xlfn.XLOOKUP(FACT_IMPORTS[[#This Row],[hts_6]],DIM_PRODUCTS[hts_6],DIM_PRODUCTS[hts_4],,,)</f>
        <v>4011</v>
      </c>
      <c r="I12873" t="str" cm="1">
        <f t="array" ref="I12873">_xlfn.XLOOKUP(FACT_IMPORTS[[#This Row],[country_name]],DIM_COUNTRY[[#All],[Column2]],DIM_COUNTRY[[#All],[Column3]],,,)</f>
        <v>Major_Non-USMCA_Non-China</v>
      </c>
    </row>
    <row r="12874" spans="1:9" x14ac:dyDescent="0.4">
      <c r="A12874" t="s">
        <v>75</v>
      </c>
      <c r="B12874" s="1">
        <v>45108</v>
      </c>
      <c r="C12874">
        <v>401190</v>
      </c>
      <c r="D12874" t="s">
        <v>176</v>
      </c>
      <c r="E12874">
        <v>12906</v>
      </c>
      <c r="F12874">
        <v>145</v>
      </c>
      <c r="G12874">
        <v>26</v>
      </c>
      <c r="H12874">
        <f>_xlfn.XLOOKUP(FACT_IMPORTS[[#This Row],[hts_6]],DIM_PRODUCTS[hts_6],DIM_PRODUCTS[hts_4],,,)</f>
        <v>4011</v>
      </c>
      <c r="I12874" t="str" cm="1">
        <f t="array" ref="I12874">_xlfn.XLOOKUP(FACT_IMPORTS[[#This Row],[country_name]],DIM_COUNTRY[[#All],[Column2]],DIM_COUNTRY[[#All],[Column3]],,,)</f>
        <v>Major_Non-USMCA_Non-China</v>
      </c>
    </row>
    <row r="12875" spans="1:9" x14ac:dyDescent="0.4">
      <c r="A12875" t="s">
        <v>75</v>
      </c>
      <c r="B12875" s="1">
        <v>45108</v>
      </c>
      <c r="C12875">
        <v>700910</v>
      </c>
      <c r="D12875" t="s">
        <v>176</v>
      </c>
      <c r="E12875">
        <v>46828</v>
      </c>
      <c r="F12875">
        <v>8240</v>
      </c>
      <c r="G12875">
        <v>2065</v>
      </c>
      <c r="H12875">
        <f>_xlfn.XLOOKUP(FACT_IMPORTS[[#This Row],[hts_6]],DIM_PRODUCTS[hts_6],DIM_PRODUCTS[hts_4],,,)</f>
        <v>7009</v>
      </c>
      <c r="I12875" t="str" cm="1">
        <f t="array" ref="I12875">_xlfn.XLOOKUP(FACT_IMPORTS[[#This Row],[country_name]],DIM_COUNTRY[[#All],[Column2]],DIM_COUNTRY[[#All],[Column3]],,,)</f>
        <v>Major_Non-USMCA_Non-China</v>
      </c>
    </row>
    <row r="12876" spans="1:9" x14ac:dyDescent="0.4">
      <c r="A12876" t="s">
        <v>75</v>
      </c>
      <c r="B12876" s="1">
        <v>45108</v>
      </c>
      <c r="C12876">
        <v>830230</v>
      </c>
      <c r="D12876" t="s">
        <v>176</v>
      </c>
      <c r="E12876">
        <v>194553</v>
      </c>
      <c r="F12876">
        <v>21531</v>
      </c>
      <c r="G12876">
        <v>6610</v>
      </c>
      <c r="H12876">
        <f>_xlfn.XLOOKUP(FACT_IMPORTS[[#This Row],[hts_6]],DIM_PRODUCTS[hts_6],DIM_PRODUCTS[hts_4],,,)</f>
        <v>8302</v>
      </c>
      <c r="I12876" t="str" cm="1">
        <f t="array" ref="I12876">_xlfn.XLOOKUP(FACT_IMPORTS[[#This Row],[country_name]],DIM_COUNTRY[[#All],[Column2]],DIM_COUNTRY[[#All],[Column3]],,,)</f>
        <v>Major_Non-USMCA_Non-China</v>
      </c>
    </row>
    <row r="12877" spans="1:9" x14ac:dyDescent="0.4">
      <c r="A12877" t="s">
        <v>75</v>
      </c>
      <c r="B12877" s="1">
        <v>45108</v>
      </c>
      <c r="C12877">
        <v>840732</v>
      </c>
      <c r="D12877" t="s">
        <v>176</v>
      </c>
      <c r="E12877">
        <v>0</v>
      </c>
      <c r="F12877">
        <v>0</v>
      </c>
      <c r="G12877">
        <v>0</v>
      </c>
      <c r="H12877">
        <f>_xlfn.XLOOKUP(FACT_IMPORTS[[#This Row],[hts_6]],DIM_PRODUCTS[hts_6],DIM_PRODUCTS[hts_4],,,)</f>
        <v>8407</v>
      </c>
      <c r="I12877" t="str" cm="1">
        <f t="array" ref="I12877">_xlfn.XLOOKUP(FACT_IMPORTS[[#This Row],[country_name]],DIM_COUNTRY[[#All],[Column2]],DIM_COUNTRY[[#All],[Column3]],,,)</f>
        <v>Major_Non-USMCA_Non-China</v>
      </c>
    </row>
    <row r="12878" spans="1:9" x14ac:dyDescent="0.4">
      <c r="A12878" t="s">
        <v>75</v>
      </c>
      <c r="B12878" s="1">
        <v>45108</v>
      </c>
      <c r="C12878">
        <v>840733</v>
      </c>
      <c r="D12878" t="s">
        <v>176</v>
      </c>
      <c r="E12878">
        <v>0</v>
      </c>
      <c r="F12878">
        <v>0</v>
      </c>
      <c r="G12878">
        <v>0</v>
      </c>
      <c r="H12878">
        <f>_xlfn.XLOOKUP(FACT_IMPORTS[[#This Row],[hts_6]],DIM_PRODUCTS[hts_6],DIM_PRODUCTS[hts_4],,,)</f>
        <v>8407</v>
      </c>
      <c r="I12878" t="str" cm="1">
        <f t="array" ref="I12878">_xlfn.XLOOKUP(FACT_IMPORTS[[#This Row],[country_name]],DIM_COUNTRY[[#All],[Column2]],DIM_COUNTRY[[#All],[Column3]],,,)</f>
        <v>Major_Non-USMCA_Non-China</v>
      </c>
    </row>
    <row r="12879" spans="1:9" x14ac:dyDescent="0.4">
      <c r="A12879" t="s">
        <v>75</v>
      </c>
      <c r="B12879" s="1">
        <v>45108</v>
      </c>
      <c r="C12879">
        <v>840991</v>
      </c>
      <c r="D12879" t="s">
        <v>176</v>
      </c>
      <c r="E12879">
        <v>146557</v>
      </c>
      <c r="F12879">
        <v>6652</v>
      </c>
      <c r="G12879">
        <v>3708</v>
      </c>
      <c r="H12879">
        <f>_xlfn.XLOOKUP(FACT_IMPORTS[[#This Row],[hts_6]],DIM_PRODUCTS[hts_6],DIM_PRODUCTS[hts_4],,,)</f>
        <v>8409</v>
      </c>
      <c r="I12879" t="str" cm="1">
        <f t="array" ref="I12879">_xlfn.XLOOKUP(FACT_IMPORTS[[#This Row],[country_name]],DIM_COUNTRY[[#All],[Column2]],DIM_COUNTRY[[#All],[Column3]],,,)</f>
        <v>Major_Non-USMCA_Non-China</v>
      </c>
    </row>
    <row r="12880" spans="1:9" x14ac:dyDescent="0.4">
      <c r="A12880" t="s">
        <v>75</v>
      </c>
      <c r="B12880" s="1">
        <v>45108</v>
      </c>
      <c r="C12880">
        <v>840999</v>
      </c>
      <c r="D12880" t="s">
        <v>176</v>
      </c>
      <c r="E12880">
        <v>6965</v>
      </c>
      <c r="F12880">
        <v>80</v>
      </c>
      <c r="G12880">
        <v>148</v>
      </c>
      <c r="H12880">
        <f>_xlfn.XLOOKUP(FACT_IMPORTS[[#This Row],[hts_6]],DIM_PRODUCTS[hts_6],DIM_PRODUCTS[hts_4],,,)</f>
        <v>8409</v>
      </c>
      <c r="I12880" t="str" cm="1">
        <f t="array" ref="I12880">_xlfn.XLOOKUP(FACT_IMPORTS[[#This Row],[country_name]],DIM_COUNTRY[[#All],[Column2]],DIM_COUNTRY[[#All],[Column3]],,,)</f>
        <v>Major_Non-USMCA_Non-China</v>
      </c>
    </row>
    <row r="12881" spans="1:9" x14ac:dyDescent="0.4">
      <c r="A12881" t="s">
        <v>75</v>
      </c>
      <c r="B12881" s="1">
        <v>45108</v>
      </c>
      <c r="C12881">
        <v>841330</v>
      </c>
      <c r="D12881" t="s">
        <v>176</v>
      </c>
      <c r="E12881">
        <v>52085</v>
      </c>
      <c r="F12881">
        <v>1220</v>
      </c>
      <c r="G12881">
        <v>3609</v>
      </c>
      <c r="H12881">
        <f>_xlfn.XLOOKUP(FACT_IMPORTS[[#This Row],[hts_6]],DIM_PRODUCTS[hts_6],DIM_PRODUCTS[hts_4],,,)</f>
        <v>8413</v>
      </c>
      <c r="I12881" t="str" cm="1">
        <f t="array" ref="I12881">_xlfn.XLOOKUP(FACT_IMPORTS[[#This Row],[country_name]],DIM_COUNTRY[[#All],[Column2]],DIM_COUNTRY[[#All],[Column3]],,,)</f>
        <v>Major_Non-USMCA_Non-China</v>
      </c>
    </row>
    <row r="12882" spans="1:9" x14ac:dyDescent="0.4">
      <c r="A12882" t="s">
        <v>75</v>
      </c>
      <c r="B12882" s="1">
        <v>45108</v>
      </c>
      <c r="C12882">
        <v>842132</v>
      </c>
      <c r="D12882" t="s">
        <v>176</v>
      </c>
      <c r="E12882">
        <v>0</v>
      </c>
      <c r="F12882">
        <v>0</v>
      </c>
      <c r="G12882">
        <v>0</v>
      </c>
      <c r="H12882">
        <f>_xlfn.XLOOKUP(FACT_IMPORTS[[#This Row],[hts_6]],DIM_PRODUCTS[hts_6],DIM_PRODUCTS[hts_4],,,)</f>
        <v>8421</v>
      </c>
      <c r="I12882" t="str" cm="1">
        <f t="array" ref="I12882">_xlfn.XLOOKUP(FACT_IMPORTS[[#This Row],[country_name]],DIM_COUNTRY[[#All],[Column2]],DIM_COUNTRY[[#All],[Column3]],,,)</f>
        <v>Major_Non-USMCA_Non-China</v>
      </c>
    </row>
    <row r="12883" spans="1:9" x14ac:dyDescent="0.4">
      <c r="A12883" t="s">
        <v>75</v>
      </c>
      <c r="B12883" s="1">
        <v>45108</v>
      </c>
      <c r="C12883">
        <v>848210</v>
      </c>
      <c r="D12883" t="s">
        <v>176</v>
      </c>
      <c r="E12883">
        <v>60992</v>
      </c>
      <c r="F12883">
        <v>145016</v>
      </c>
      <c r="G12883">
        <v>3199</v>
      </c>
      <c r="H12883">
        <f>_xlfn.XLOOKUP(FACT_IMPORTS[[#This Row],[hts_6]],DIM_PRODUCTS[hts_6],DIM_PRODUCTS[hts_4],,,)</f>
        <v>8482</v>
      </c>
      <c r="I12883" t="str" cm="1">
        <f t="array" ref="I12883">_xlfn.XLOOKUP(FACT_IMPORTS[[#This Row],[country_name]],DIM_COUNTRY[[#All],[Column2]],DIM_COUNTRY[[#All],[Column3]],,,)</f>
        <v>Major_Non-USMCA_Non-China</v>
      </c>
    </row>
    <row r="12884" spans="1:9" x14ac:dyDescent="0.4">
      <c r="A12884" t="s">
        <v>75</v>
      </c>
      <c r="B12884" s="1">
        <v>45108</v>
      </c>
      <c r="C12884">
        <v>848310</v>
      </c>
      <c r="D12884" t="s">
        <v>176</v>
      </c>
      <c r="E12884">
        <v>5067</v>
      </c>
      <c r="F12884">
        <v>15</v>
      </c>
      <c r="G12884">
        <v>2</v>
      </c>
      <c r="H12884">
        <f>_xlfn.XLOOKUP(FACT_IMPORTS[[#This Row],[hts_6]],DIM_PRODUCTS[hts_6],DIM_PRODUCTS[hts_4],,,)</f>
        <v>8483</v>
      </c>
      <c r="I12884" t="str" cm="1">
        <f t="array" ref="I12884">_xlfn.XLOOKUP(FACT_IMPORTS[[#This Row],[country_name]],DIM_COUNTRY[[#All],[Column2]],DIM_COUNTRY[[#All],[Column3]],,,)</f>
        <v>Major_Non-USMCA_Non-China</v>
      </c>
    </row>
    <row r="12885" spans="1:9" x14ac:dyDescent="0.4">
      <c r="A12885" t="s">
        <v>75</v>
      </c>
      <c r="B12885" s="1">
        <v>45108</v>
      </c>
      <c r="C12885">
        <v>850131</v>
      </c>
      <c r="D12885" t="s">
        <v>176</v>
      </c>
      <c r="E12885">
        <v>15723</v>
      </c>
      <c r="F12885">
        <v>142</v>
      </c>
      <c r="G12885">
        <v>243</v>
      </c>
      <c r="H12885">
        <f>_xlfn.XLOOKUP(FACT_IMPORTS[[#This Row],[hts_6]],DIM_PRODUCTS[hts_6],DIM_PRODUCTS[hts_4],,,)</f>
        <v>8501</v>
      </c>
      <c r="I12885" t="str" cm="1">
        <f t="array" ref="I12885">_xlfn.XLOOKUP(FACT_IMPORTS[[#This Row],[country_name]],DIM_COUNTRY[[#All],[Column2]],DIM_COUNTRY[[#All],[Column3]],,,)</f>
        <v>Major_Non-USMCA_Non-China</v>
      </c>
    </row>
    <row r="12886" spans="1:9" x14ac:dyDescent="0.4">
      <c r="A12886" t="s">
        <v>75</v>
      </c>
      <c r="B12886" s="1">
        <v>45108</v>
      </c>
      <c r="C12886">
        <v>850132</v>
      </c>
      <c r="D12886" t="s">
        <v>176</v>
      </c>
      <c r="E12886">
        <v>0</v>
      </c>
      <c r="F12886">
        <v>0</v>
      </c>
      <c r="G12886">
        <v>0</v>
      </c>
      <c r="H12886">
        <f>_xlfn.XLOOKUP(FACT_IMPORTS[[#This Row],[hts_6]],DIM_PRODUCTS[hts_6],DIM_PRODUCTS[hts_4],,,)</f>
        <v>8501</v>
      </c>
      <c r="I12886" t="str" cm="1">
        <f t="array" ref="I12886">_xlfn.XLOOKUP(FACT_IMPORTS[[#This Row],[country_name]],DIM_COUNTRY[[#All],[Column2]],DIM_COUNTRY[[#All],[Column3]],,,)</f>
        <v>Major_Non-USMCA_Non-China</v>
      </c>
    </row>
    <row r="12887" spans="1:9" x14ac:dyDescent="0.4">
      <c r="A12887" t="s">
        <v>75</v>
      </c>
      <c r="B12887" s="1">
        <v>45108</v>
      </c>
      <c r="C12887">
        <v>850152</v>
      </c>
      <c r="D12887" t="s">
        <v>176</v>
      </c>
      <c r="E12887">
        <v>72497</v>
      </c>
      <c r="F12887">
        <v>1680</v>
      </c>
      <c r="G12887">
        <v>1113</v>
      </c>
      <c r="H12887">
        <f>_xlfn.XLOOKUP(FACT_IMPORTS[[#This Row],[hts_6]],DIM_PRODUCTS[hts_6],DIM_PRODUCTS[hts_4],,,)</f>
        <v>8501</v>
      </c>
      <c r="I12887" t="str" cm="1">
        <f t="array" ref="I12887">_xlfn.XLOOKUP(FACT_IMPORTS[[#This Row],[country_name]],DIM_COUNTRY[[#All],[Column2]],DIM_COUNTRY[[#All],[Column3]],,,)</f>
        <v>Major_Non-USMCA_Non-China</v>
      </c>
    </row>
    <row r="12888" spans="1:9" x14ac:dyDescent="0.4">
      <c r="A12888" t="s">
        <v>75</v>
      </c>
      <c r="B12888" s="1">
        <v>45108</v>
      </c>
      <c r="C12888">
        <v>850153</v>
      </c>
      <c r="D12888" t="s">
        <v>176</v>
      </c>
      <c r="E12888">
        <v>0</v>
      </c>
      <c r="F12888">
        <v>0</v>
      </c>
      <c r="G12888">
        <v>0</v>
      </c>
      <c r="H12888">
        <f>_xlfn.XLOOKUP(FACT_IMPORTS[[#This Row],[hts_6]],DIM_PRODUCTS[hts_6],DIM_PRODUCTS[hts_4],,,)</f>
        <v>8501</v>
      </c>
      <c r="I12888" t="str" cm="1">
        <f t="array" ref="I12888">_xlfn.XLOOKUP(FACT_IMPORTS[[#This Row],[country_name]],DIM_COUNTRY[[#All],[Column2]],DIM_COUNTRY[[#All],[Column3]],,,)</f>
        <v>Major_Non-USMCA_Non-China</v>
      </c>
    </row>
    <row r="12889" spans="1:9" x14ac:dyDescent="0.4">
      <c r="A12889" t="s">
        <v>75</v>
      </c>
      <c r="B12889" s="1">
        <v>45108</v>
      </c>
      <c r="C12889">
        <v>850440</v>
      </c>
      <c r="D12889" t="s">
        <v>176</v>
      </c>
      <c r="E12889">
        <v>576634</v>
      </c>
      <c r="F12889">
        <v>9870</v>
      </c>
      <c r="G12889">
        <v>8883</v>
      </c>
      <c r="H12889">
        <f>_xlfn.XLOOKUP(FACT_IMPORTS[[#This Row],[hts_6]],DIM_PRODUCTS[hts_6],DIM_PRODUCTS[hts_4],,,)</f>
        <v>8504</v>
      </c>
      <c r="I12889" t="str" cm="1">
        <f t="array" ref="I12889">_xlfn.XLOOKUP(FACT_IMPORTS[[#This Row],[country_name]],DIM_COUNTRY[[#All],[Column2]],DIM_COUNTRY[[#All],[Column3]],,,)</f>
        <v>Major_Non-USMCA_Non-China</v>
      </c>
    </row>
    <row r="12890" spans="1:9" x14ac:dyDescent="0.4">
      <c r="A12890" t="s">
        <v>75</v>
      </c>
      <c r="B12890" s="1">
        <v>45108</v>
      </c>
      <c r="C12890">
        <v>850710</v>
      </c>
      <c r="D12890" t="s">
        <v>176</v>
      </c>
      <c r="E12890">
        <v>48019</v>
      </c>
      <c r="F12890">
        <v>747</v>
      </c>
      <c r="G12890">
        <v>74</v>
      </c>
      <c r="H12890">
        <f>_xlfn.XLOOKUP(FACT_IMPORTS[[#This Row],[hts_6]],DIM_PRODUCTS[hts_6],DIM_PRODUCTS[hts_4],,,)</f>
        <v>8507</v>
      </c>
      <c r="I12890" t="str" cm="1">
        <f t="array" ref="I12890">_xlfn.XLOOKUP(FACT_IMPORTS[[#This Row],[country_name]],DIM_COUNTRY[[#All],[Column2]],DIM_COUNTRY[[#All],[Column3]],,,)</f>
        <v>Major_Non-USMCA_Non-China</v>
      </c>
    </row>
    <row r="12891" spans="1:9" x14ac:dyDescent="0.4">
      <c r="A12891" t="s">
        <v>75</v>
      </c>
      <c r="B12891" s="1">
        <v>45108</v>
      </c>
      <c r="C12891">
        <v>850760</v>
      </c>
      <c r="D12891" t="s">
        <v>176</v>
      </c>
      <c r="E12891">
        <v>64800</v>
      </c>
      <c r="F12891">
        <v>12000</v>
      </c>
      <c r="G12891">
        <v>1220</v>
      </c>
      <c r="H12891">
        <f>_xlfn.XLOOKUP(FACT_IMPORTS[[#This Row],[hts_6]],DIM_PRODUCTS[hts_6],DIM_PRODUCTS[hts_4],,,)</f>
        <v>8507</v>
      </c>
      <c r="I12891" t="str" cm="1">
        <f t="array" ref="I12891">_xlfn.XLOOKUP(FACT_IMPORTS[[#This Row],[country_name]],DIM_COUNTRY[[#All],[Column2]],DIM_COUNTRY[[#All],[Column3]],,,)</f>
        <v>Major_Non-USMCA_Non-China</v>
      </c>
    </row>
    <row r="12892" spans="1:9" x14ac:dyDescent="0.4">
      <c r="A12892" t="s">
        <v>75</v>
      </c>
      <c r="B12892" s="1">
        <v>45108</v>
      </c>
      <c r="C12892">
        <v>851120</v>
      </c>
      <c r="D12892" t="s">
        <v>176</v>
      </c>
      <c r="E12892">
        <v>0</v>
      </c>
      <c r="F12892">
        <v>0</v>
      </c>
      <c r="G12892">
        <v>0</v>
      </c>
      <c r="H12892">
        <f>_xlfn.XLOOKUP(FACT_IMPORTS[[#This Row],[hts_6]],DIM_PRODUCTS[hts_6],DIM_PRODUCTS[hts_4],,,)</f>
        <v>8511</v>
      </c>
      <c r="I12892" t="str" cm="1">
        <f t="array" ref="I12892">_xlfn.XLOOKUP(FACT_IMPORTS[[#This Row],[country_name]],DIM_COUNTRY[[#All],[Column2]],DIM_COUNTRY[[#All],[Column3]],,,)</f>
        <v>Major_Non-USMCA_Non-China</v>
      </c>
    </row>
    <row r="12893" spans="1:9" x14ac:dyDescent="0.4">
      <c r="A12893" t="s">
        <v>75</v>
      </c>
      <c r="B12893" s="1">
        <v>45108</v>
      </c>
      <c r="C12893">
        <v>851130</v>
      </c>
      <c r="D12893" t="s">
        <v>176</v>
      </c>
      <c r="E12893">
        <v>0</v>
      </c>
      <c r="F12893">
        <v>0</v>
      </c>
      <c r="G12893">
        <v>0</v>
      </c>
      <c r="H12893">
        <f>_xlfn.XLOOKUP(FACT_IMPORTS[[#This Row],[hts_6]],DIM_PRODUCTS[hts_6],DIM_PRODUCTS[hts_4],,,)</f>
        <v>8511</v>
      </c>
      <c r="I12893" t="str" cm="1">
        <f t="array" ref="I12893">_xlfn.XLOOKUP(FACT_IMPORTS[[#This Row],[country_name]],DIM_COUNTRY[[#All],[Column2]],DIM_COUNTRY[[#All],[Column3]],,,)</f>
        <v>Major_Non-USMCA_Non-China</v>
      </c>
    </row>
    <row r="12894" spans="1:9" x14ac:dyDescent="0.4">
      <c r="A12894" t="s">
        <v>75</v>
      </c>
      <c r="B12894" s="1">
        <v>45108</v>
      </c>
      <c r="C12894">
        <v>851140</v>
      </c>
      <c r="D12894" t="s">
        <v>176</v>
      </c>
      <c r="E12894">
        <v>24237</v>
      </c>
      <c r="F12894">
        <v>144</v>
      </c>
      <c r="G12894">
        <v>14</v>
      </c>
      <c r="H12894">
        <f>_xlfn.XLOOKUP(FACT_IMPORTS[[#This Row],[hts_6]],DIM_PRODUCTS[hts_6],DIM_PRODUCTS[hts_4],,,)</f>
        <v>8511</v>
      </c>
      <c r="I12894" t="str" cm="1">
        <f t="array" ref="I12894">_xlfn.XLOOKUP(FACT_IMPORTS[[#This Row],[country_name]],DIM_COUNTRY[[#All],[Column2]],DIM_COUNTRY[[#All],[Column3]],,,)</f>
        <v>Major_Non-USMCA_Non-China</v>
      </c>
    </row>
    <row r="12895" spans="1:9" x14ac:dyDescent="0.4">
      <c r="A12895" t="s">
        <v>75</v>
      </c>
      <c r="B12895" s="1">
        <v>45108</v>
      </c>
      <c r="C12895">
        <v>851150</v>
      </c>
      <c r="D12895" t="s">
        <v>176</v>
      </c>
      <c r="E12895">
        <v>0</v>
      </c>
      <c r="F12895">
        <v>0</v>
      </c>
      <c r="G12895">
        <v>0</v>
      </c>
      <c r="H12895">
        <f>_xlfn.XLOOKUP(FACT_IMPORTS[[#This Row],[hts_6]],DIM_PRODUCTS[hts_6],DIM_PRODUCTS[hts_4],,,)</f>
        <v>8511</v>
      </c>
      <c r="I12895" t="str" cm="1">
        <f t="array" ref="I12895">_xlfn.XLOOKUP(FACT_IMPORTS[[#This Row],[country_name]],DIM_COUNTRY[[#All],[Column2]],DIM_COUNTRY[[#All],[Column3]],,,)</f>
        <v>Major_Non-USMCA_Non-China</v>
      </c>
    </row>
    <row r="12896" spans="1:9" x14ac:dyDescent="0.4">
      <c r="A12896" t="s">
        <v>75</v>
      </c>
      <c r="B12896" s="1">
        <v>45108</v>
      </c>
      <c r="C12896">
        <v>851180</v>
      </c>
      <c r="D12896" t="s">
        <v>176</v>
      </c>
      <c r="E12896">
        <v>0</v>
      </c>
      <c r="F12896">
        <v>0</v>
      </c>
      <c r="G12896">
        <v>0</v>
      </c>
      <c r="H12896">
        <f>_xlfn.XLOOKUP(FACT_IMPORTS[[#This Row],[hts_6]],DIM_PRODUCTS[hts_6],DIM_PRODUCTS[hts_4],,,)</f>
        <v>8511</v>
      </c>
      <c r="I12896" t="str" cm="1">
        <f t="array" ref="I12896">_xlfn.XLOOKUP(FACT_IMPORTS[[#This Row],[country_name]],DIM_COUNTRY[[#All],[Column2]],DIM_COUNTRY[[#All],[Column3]],,,)</f>
        <v>Major_Non-USMCA_Non-China</v>
      </c>
    </row>
    <row r="12897" spans="1:9" x14ac:dyDescent="0.4">
      <c r="A12897" t="s">
        <v>75</v>
      </c>
      <c r="B12897" s="1">
        <v>45108</v>
      </c>
      <c r="C12897">
        <v>851190</v>
      </c>
      <c r="D12897" t="s">
        <v>176</v>
      </c>
      <c r="E12897">
        <v>0</v>
      </c>
      <c r="F12897">
        <v>0</v>
      </c>
      <c r="G12897">
        <v>0</v>
      </c>
      <c r="H12897">
        <f>_xlfn.XLOOKUP(FACT_IMPORTS[[#This Row],[hts_6]],DIM_PRODUCTS[hts_6],DIM_PRODUCTS[hts_4],,,)</f>
        <v>8511</v>
      </c>
      <c r="I12897" t="str" cm="1">
        <f t="array" ref="I12897">_xlfn.XLOOKUP(FACT_IMPORTS[[#This Row],[country_name]],DIM_COUNTRY[[#All],[Column2]],DIM_COUNTRY[[#All],[Column3]],,,)</f>
        <v>Major_Non-USMCA_Non-China</v>
      </c>
    </row>
    <row r="12898" spans="1:9" x14ac:dyDescent="0.4">
      <c r="A12898" t="s">
        <v>75</v>
      </c>
      <c r="B12898" s="1">
        <v>45108</v>
      </c>
      <c r="C12898">
        <v>851220</v>
      </c>
      <c r="D12898" t="s">
        <v>176</v>
      </c>
      <c r="E12898">
        <v>4494404</v>
      </c>
      <c r="F12898">
        <v>745826</v>
      </c>
      <c r="G12898">
        <v>61710</v>
      </c>
      <c r="H12898">
        <f>_xlfn.XLOOKUP(FACT_IMPORTS[[#This Row],[hts_6]],DIM_PRODUCTS[hts_6],DIM_PRODUCTS[hts_4],,,)</f>
        <v>8512</v>
      </c>
      <c r="I12898" t="str" cm="1">
        <f t="array" ref="I12898">_xlfn.XLOOKUP(FACT_IMPORTS[[#This Row],[country_name]],DIM_COUNTRY[[#All],[Column2]],DIM_COUNTRY[[#All],[Column3]],,,)</f>
        <v>Major_Non-USMCA_Non-China</v>
      </c>
    </row>
    <row r="12899" spans="1:9" x14ac:dyDescent="0.4">
      <c r="A12899" t="s">
        <v>75</v>
      </c>
      <c r="B12899" s="1">
        <v>45108</v>
      </c>
      <c r="C12899">
        <v>851230</v>
      </c>
      <c r="D12899" t="s">
        <v>176</v>
      </c>
      <c r="E12899">
        <v>0</v>
      </c>
      <c r="F12899">
        <v>0</v>
      </c>
      <c r="G12899">
        <v>0</v>
      </c>
      <c r="H12899">
        <f>_xlfn.XLOOKUP(FACT_IMPORTS[[#This Row],[hts_6]],DIM_PRODUCTS[hts_6],DIM_PRODUCTS[hts_4],,,)</f>
        <v>8512</v>
      </c>
      <c r="I12899" t="str" cm="1">
        <f t="array" ref="I12899">_xlfn.XLOOKUP(FACT_IMPORTS[[#This Row],[country_name]],DIM_COUNTRY[[#All],[Column2]],DIM_COUNTRY[[#All],[Column3]],,,)</f>
        <v>Major_Non-USMCA_Non-China</v>
      </c>
    </row>
    <row r="12900" spans="1:9" x14ac:dyDescent="0.4">
      <c r="A12900" t="s">
        <v>75</v>
      </c>
      <c r="B12900" s="1">
        <v>45108</v>
      </c>
      <c r="C12900">
        <v>851240</v>
      </c>
      <c r="D12900" t="s">
        <v>176</v>
      </c>
      <c r="E12900">
        <v>0</v>
      </c>
      <c r="F12900">
        <v>0</v>
      </c>
      <c r="G12900">
        <v>0</v>
      </c>
      <c r="H12900">
        <f>_xlfn.XLOOKUP(FACT_IMPORTS[[#This Row],[hts_6]],DIM_PRODUCTS[hts_6],DIM_PRODUCTS[hts_4],,,)</f>
        <v>8512</v>
      </c>
      <c r="I12900" t="str" cm="1">
        <f t="array" ref="I12900">_xlfn.XLOOKUP(FACT_IMPORTS[[#This Row],[country_name]],DIM_COUNTRY[[#All],[Column2]],DIM_COUNTRY[[#All],[Column3]],,,)</f>
        <v>Major_Non-USMCA_Non-China</v>
      </c>
    </row>
    <row r="12901" spans="1:9" x14ac:dyDescent="0.4">
      <c r="A12901" t="s">
        <v>75</v>
      </c>
      <c r="B12901" s="1">
        <v>45108</v>
      </c>
      <c r="C12901">
        <v>851290</v>
      </c>
      <c r="D12901" t="s">
        <v>176</v>
      </c>
      <c r="E12901">
        <v>1778366</v>
      </c>
      <c r="F12901">
        <v>52414</v>
      </c>
      <c r="G12901">
        <v>31950</v>
      </c>
      <c r="H12901">
        <f>_xlfn.XLOOKUP(FACT_IMPORTS[[#This Row],[hts_6]],DIM_PRODUCTS[hts_6],DIM_PRODUCTS[hts_4],,,)</f>
        <v>8512</v>
      </c>
      <c r="I12901" t="str" cm="1">
        <f t="array" ref="I12901">_xlfn.XLOOKUP(FACT_IMPORTS[[#This Row],[country_name]],DIM_COUNTRY[[#All],[Column2]],DIM_COUNTRY[[#All],[Column3]],,,)</f>
        <v>Major_Non-USMCA_Non-China</v>
      </c>
    </row>
    <row r="12902" spans="1:9" x14ac:dyDescent="0.4">
      <c r="A12902" t="s">
        <v>75</v>
      </c>
      <c r="B12902" s="1">
        <v>45108</v>
      </c>
      <c r="C12902">
        <v>854231</v>
      </c>
      <c r="D12902" t="s">
        <v>176</v>
      </c>
      <c r="E12902">
        <v>244460</v>
      </c>
      <c r="F12902">
        <v>75744</v>
      </c>
      <c r="G12902">
        <v>21848</v>
      </c>
      <c r="H12902">
        <f>_xlfn.XLOOKUP(FACT_IMPORTS[[#This Row],[hts_6]],DIM_PRODUCTS[hts_6],DIM_PRODUCTS[hts_4],,,)</f>
        <v>8542</v>
      </c>
      <c r="I12902" t="str" cm="1">
        <f t="array" ref="I12902">_xlfn.XLOOKUP(FACT_IMPORTS[[#This Row],[country_name]],DIM_COUNTRY[[#All],[Column2]],DIM_COUNTRY[[#All],[Column3]],,,)</f>
        <v>Major_Non-USMCA_Non-China</v>
      </c>
    </row>
    <row r="12903" spans="1:9" x14ac:dyDescent="0.4">
      <c r="A12903" t="s">
        <v>75</v>
      </c>
      <c r="B12903" s="1">
        <v>45108</v>
      </c>
      <c r="C12903">
        <v>854232</v>
      </c>
      <c r="D12903" t="s">
        <v>176</v>
      </c>
      <c r="E12903">
        <v>11750</v>
      </c>
      <c r="F12903">
        <v>1570</v>
      </c>
      <c r="G12903">
        <v>54</v>
      </c>
      <c r="H12903">
        <f>_xlfn.XLOOKUP(FACT_IMPORTS[[#This Row],[hts_6]],DIM_PRODUCTS[hts_6],DIM_PRODUCTS[hts_4],,,)</f>
        <v>8542</v>
      </c>
      <c r="I12903" t="str" cm="1">
        <f t="array" ref="I12903">_xlfn.XLOOKUP(FACT_IMPORTS[[#This Row],[country_name]],DIM_COUNTRY[[#All],[Column2]],DIM_COUNTRY[[#All],[Column3]],,,)</f>
        <v>Major_Non-USMCA_Non-China</v>
      </c>
    </row>
    <row r="12904" spans="1:9" x14ac:dyDescent="0.4">
      <c r="A12904" t="s">
        <v>75</v>
      </c>
      <c r="B12904" s="1">
        <v>45108</v>
      </c>
      <c r="C12904">
        <v>854239</v>
      </c>
      <c r="D12904" t="s">
        <v>176</v>
      </c>
      <c r="E12904">
        <v>1277755</v>
      </c>
      <c r="F12904">
        <v>547610</v>
      </c>
      <c r="G12904">
        <v>112431</v>
      </c>
      <c r="H12904">
        <f>_xlfn.XLOOKUP(FACT_IMPORTS[[#This Row],[hts_6]],DIM_PRODUCTS[hts_6],DIM_PRODUCTS[hts_4],,,)</f>
        <v>8542</v>
      </c>
      <c r="I12904" t="str" cm="1">
        <f t="array" ref="I12904">_xlfn.XLOOKUP(FACT_IMPORTS[[#This Row],[country_name]],DIM_COUNTRY[[#All],[Column2]],DIM_COUNTRY[[#All],[Column3]],,,)</f>
        <v>Major_Non-USMCA_Non-China</v>
      </c>
    </row>
    <row r="12905" spans="1:9" x14ac:dyDescent="0.4">
      <c r="A12905" t="s">
        <v>75</v>
      </c>
      <c r="B12905" s="1">
        <v>45108</v>
      </c>
      <c r="C12905">
        <v>854290</v>
      </c>
      <c r="D12905" t="s">
        <v>176</v>
      </c>
      <c r="E12905">
        <v>31450</v>
      </c>
      <c r="F12905">
        <v>37000</v>
      </c>
      <c r="G12905">
        <v>77</v>
      </c>
      <c r="H12905">
        <f>_xlfn.XLOOKUP(FACT_IMPORTS[[#This Row],[hts_6]],DIM_PRODUCTS[hts_6],DIM_PRODUCTS[hts_4],,,)</f>
        <v>8542</v>
      </c>
      <c r="I12905" t="str" cm="1">
        <f t="array" ref="I12905">_xlfn.XLOOKUP(FACT_IMPORTS[[#This Row],[country_name]],DIM_COUNTRY[[#All],[Column2]],DIM_COUNTRY[[#All],[Column3]],,,)</f>
        <v>Major_Non-USMCA_Non-China</v>
      </c>
    </row>
    <row r="12906" spans="1:9" x14ac:dyDescent="0.4">
      <c r="A12906" t="s">
        <v>75</v>
      </c>
      <c r="B12906" s="1">
        <v>45108</v>
      </c>
      <c r="C12906">
        <v>854430</v>
      </c>
      <c r="D12906" t="s">
        <v>176</v>
      </c>
      <c r="E12906">
        <v>4275</v>
      </c>
      <c r="F12906">
        <v>2500</v>
      </c>
      <c r="G12906">
        <v>13</v>
      </c>
      <c r="H12906">
        <f>_xlfn.XLOOKUP(FACT_IMPORTS[[#This Row],[hts_6]],DIM_PRODUCTS[hts_6],DIM_PRODUCTS[hts_4],,,)</f>
        <v>8544</v>
      </c>
      <c r="I12906" t="str" cm="1">
        <f t="array" ref="I12906">_xlfn.XLOOKUP(FACT_IMPORTS[[#This Row],[country_name]],DIM_COUNTRY[[#All],[Column2]],DIM_COUNTRY[[#All],[Column3]],,,)</f>
        <v>Major_Non-USMCA_Non-China</v>
      </c>
    </row>
    <row r="12907" spans="1:9" x14ac:dyDescent="0.4">
      <c r="A12907" t="s">
        <v>75</v>
      </c>
      <c r="B12907" s="1">
        <v>45108</v>
      </c>
      <c r="C12907">
        <v>870810</v>
      </c>
      <c r="D12907" t="s">
        <v>176</v>
      </c>
      <c r="E12907">
        <v>699526</v>
      </c>
      <c r="F12907">
        <v>21648</v>
      </c>
      <c r="G12907">
        <v>78139</v>
      </c>
      <c r="H12907">
        <f>_xlfn.XLOOKUP(FACT_IMPORTS[[#This Row],[hts_6]],DIM_PRODUCTS[hts_6],DIM_PRODUCTS[hts_4],,,)</f>
        <v>8708</v>
      </c>
      <c r="I12907" t="str" cm="1">
        <f t="array" ref="I12907">_xlfn.XLOOKUP(FACT_IMPORTS[[#This Row],[country_name]],DIM_COUNTRY[[#All],[Column2]],DIM_COUNTRY[[#All],[Column3]],,,)</f>
        <v>Major_Non-USMCA_Non-China</v>
      </c>
    </row>
    <row r="12908" spans="1:9" x14ac:dyDescent="0.4">
      <c r="A12908" t="s">
        <v>75</v>
      </c>
      <c r="B12908" s="1">
        <v>45108</v>
      </c>
      <c r="C12908">
        <v>870829</v>
      </c>
      <c r="D12908" t="s">
        <v>176</v>
      </c>
      <c r="E12908">
        <v>615223</v>
      </c>
      <c r="F12908">
        <v>96738</v>
      </c>
      <c r="G12908">
        <v>25986</v>
      </c>
      <c r="H12908">
        <f>_xlfn.XLOOKUP(FACT_IMPORTS[[#This Row],[hts_6]],DIM_PRODUCTS[hts_6],DIM_PRODUCTS[hts_4],,,)</f>
        <v>8708</v>
      </c>
      <c r="I12908" t="str" cm="1">
        <f t="array" ref="I12908">_xlfn.XLOOKUP(FACT_IMPORTS[[#This Row],[country_name]],DIM_COUNTRY[[#All],[Column2]],DIM_COUNTRY[[#All],[Column3]],,,)</f>
        <v>Major_Non-USMCA_Non-China</v>
      </c>
    </row>
    <row r="12909" spans="1:9" x14ac:dyDescent="0.4">
      <c r="A12909" t="s">
        <v>75</v>
      </c>
      <c r="B12909" s="1">
        <v>45108</v>
      </c>
      <c r="C12909">
        <v>870830</v>
      </c>
      <c r="D12909" t="s">
        <v>176</v>
      </c>
      <c r="E12909">
        <v>0</v>
      </c>
      <c r="F12909">
        <v>0</v>
      </c>
      <c r="G12909">
        <v>0</v>
      </c>
      <c r="H12909">
        <f>_xlfn.XLOOKUP(FACT_IMPORTS[[#This Row],[hts_6]],DIM_PRODUCTS[hts_6],DIM_PRODUCTS[hts_4],,,)</f>
        <v>8708</v>
      </c>
      <c r="I12909" t="str" cm="1">
        <f t="array" ref="I12909">_xlfn.XLOOKUP(FACT_IMPORTS[[#This Row],[country_name]],DIM_COUNTRY[[#All],[Column2]],DIM_COUNTRY[[#All],[Column3]],,,)</f>
        <v>Major_Non-USMCA_Non-China</v>
      </c>
    </row>
    <row r="12910" spans="1:9" x14ac:dyDescent="0.4">
      <c r="A12910" t="s">
        <v>75</v>
      </c>
      <c r="B12910" s="1">
        <v>45108</v>
      </c>
      <c r="C12910">
        <v>870840</v>
      </c>
      <c r="D12910" t="s">
        <v>176</v>
      </c>
      <c r="E12910">
        <v>272989</v>
      </c>
      <c r="F12910">
        <v>17016</v>
      </c>
      <c r="G12910">
        <v>9209</v>
      </c>
      <c r="H12910">
        <f>_xlfn.XLOOKUP(FACT_IMPORTS[[#This Row],[hts_6]],DIM_PRODUCTS[hts_6],DIM_PRODUCTS[hts_4],,,)</f>
        <v>8708</v>
      </c>
      <c r="I12910" t="str" cm="1">
        <f t="array" ref="I12910">_xlfn.XLOOKUP(FACT_IMPORTS[[#This Row],[country_name]],DIM_COUNTRY[[#All],[Column2]],DIM_COUNTRY[[#All],[Column3]],,,)</f>
        <v>Major_Non-USMCA_Non-China</v>
      </c>
    </row>
    <row r="12911" spans="1:9" x14ac:dyDescent="0.4">
      <c r="A12911" t="s">
        <v>75</v>
      </c>
      <c r="B12911" s="1">
        <v>45108</v>
      </c>
      <c r="C12911">
        <v>870850</v>
      </c>
      <c r="D12911" t="s">
        <v>176</v>
      </c>
      <c r="E12911">
        <v>0</v>
      </c>
      <c r="F12911">
        <v>0</v>
      </c>
      <c r="G12911">
        <v>0</v>
      </c>
      <c r="H12911">
        <f>_xlfn.XLOOKUP(FACT_IMPORTS[[#This Row],[hts_6]],DIM_PRODUCTS[hts_6],DIM_PRODUCTS[hts_4],,,)</f>
        <v>8708</v>
      </c>
      <c r="I12911" t="str" cm="1">
        <f t="array" ref="I12911">_xlfn.XLOOKUP(FACT_IMPORTS[[#This Row],[country_name]],DIM_COUNTRY[[#All],[Column2]],DIM_COUNTRY[[#All],[Column3]],,,)</f>
        <v>Major_Non-USMCA_Non-China</v>
      </c>
    </row>
    <row r="12912" spans="1:9" x14ac:dyDescent="0.4">
      <c r="A12912" t="s">
        <v>75</v>
      </c>
      <c r="B12912" s="1">
        <v>45108</v>
      </c>
      <c r="C12912">
        <v>870870</v>
      </c>
      <c r="D12912" t="s">
        <v>176</v>
      </c>
      <c r="E12912">
        <v>1469352</v>
      </c>
      <c r="F12912">
        <v>7953</v>
      </c>
      <c r="G12912">
        <v>56690</v>
      </c>
      <c r="H12912">
        <f>_xlfn.XLOOKUP(FACT_IMPORTS[[#This Row],[hts_6]],DIM_PRODUCTS[hts_6],DIM_PRODUCTS[hts_4],,,)</f>
        <v>8708</v>
      </c>
      <c r="I12912" t="str" cm="1">
        <f t="array" ref="I12912">_xlfn.XLOOKUP(FACT_IMPORTS[[#This Row],[country_name]],DIM_COUNTRY[[#All],[Column2]],DIM_COUNTRY[[#All],[Column3]],,,)</f>
        <v>Major_Non-USMCA_Non-China</v>
      </c>
    </row>
    <row r="12913" spans="1:9" x14ac:dyDescent="0.4">
      <c r="A12913" t="s">
        <v>75</v>
      </c>
      <c r="B12913" s="1">
        <v>45108</v>
      </c>
      <c r="C12913">
        <v>870880</v>
      </c>
      <c r="D12913" t="s">
        <v>176</v>
      </c>
      <c r="E12913">
        <v>269104</v>
      </c>
      <c r="F12913">
        <v>16395</v>
      </c>
      <c r="G12913">
        <v>22112</v>
      </c>
      <c r="H12913">
        <f>_xlfn.XLOOKUP(FACT_IMPORTS[[#This Row],[hts_6]],DIM_PRODUCTS[hts_6],DIM_PRODUCTS[hts_4],,,)</f>
        <v>8708</v>
      </c>
      <c r="I12913" t="str" cm="1">
        <f t="array" ref="I12913">_xlfn.XLOOKUP(FACT_IMPORTS[[#This Row],[country_name]],DIM_COUNTRY[[#All],[Column2]],DIM_COUNTRY[[#All],[Column3]],,,)</f>
        <v>Major_Non-USMCA_Non-China</v>
      </c>
    </row>
    <row r="12914" spans="1:9" x14ac:dyDescent="0.4">
      <c r="A12914" t="s">
        <v>75</v>
      </c>
      <c r="B12914" s="1">
        <v>45108</v>
      </c>
      <c r="C12914">
        <v>870891</v>
      </c>
      <c r="D12914" t="s">
        <v>176</v>
      </c>
      <c r="E12914">
        <v>87821</v>
      </c>
      <c r="F12914">
        <v>55770</v>
      </c>
      <c r="G12914">
        <v>6474</v>
      </c>
      <c r="H12914">
        <f>_xlfn.XLOOKUP(FACT_IMPORTS[[#This Row],[hts_6]],DIM_PRODUCTS[hts_6],DIM_PRODUCTS[hts_4],,,)</f>
        <v>8708</v>
      </c>
      <c r="I12914" t="str" cm="1">
        <f t="array" ref="I12914">_xlfn.XLOOKUP(FACT_IMPORTS[[#This Row],[country_name]],DIM_COUNTRY[[#All],[Column2]],DIM_COUNTRY[[#All],[Column3]],,,)</f>
        <v>Major_Non-USMCA_Non-China</v>
      </c>
    </row>
    <row r="12915" spans="1:9" x14ac:dyDescent="0.4">
      <c r="A12915" t="s">
        <v>75</v>
      </c>
      <c r="B12915" s="1">
        <v>45108</v>
      </c>
      <c r="C12915">
        <v>870892</v>
      </c>
      <c r="D12915" t="s">
        <v>176</v>
      </c>
      <c r="E12915">
        <v>0</v>
      </c>
      <c r="F12915">
        <v>0</v>
      </c>
      <c r="G12915">
        <v>0</v>
      </c>
      <c r="H12915">
        <f>_xlfn.XLOOKUP(FACT_IMPORTS[[#This Row],[hts_6]],DIM_PRODUCTS[hts_6],DIM_PRODUCTS[hts_4],,,)</f>
        <v>8708</v>
      </c>
      <c r="I12915" t="str" cm="1">
        <f t="array" ref="I12915">_xlfn.XLOOKUP(FACT_IMPORTS[[#This Row],[country_name]],DIM_COUNTRY[[#All],[Column2]],DIM_COUNTRY[[#All],[Column3]],,,)</f>
        <v>Major_Non-USMCA_Non-China</v>
      </c>
    </row>
    <row r="12916" spans="1:9" x14ac:dyDescent="0.4">
      <c r="A12916" t="s">
        <v>75</v>
      </c>
      <c r="B12916" s="1">
        <v>45108</v>
      </c>
      <c r="C12916">
        <v>870893</v>
      </c>
      <c r="D12916" t="s">
        <v>176</v>
      </c>
      <c r="E12916">
        <v>21255</v>
      </c>
      <c r="F12916">
        <v>2004</v>
      </c>
      <c r="G12916">
        <v>27</v>
      </c>
      <c r="H12916">
        <f>_xlfn.XLOOKUP(FACT_IMPORTS[[#This Row],[hts_6]],DIM_PRODUCTS[hts_6],DIM_PRODUCTS[hts_4],,,)</f>
        <v>8708</v>
      </c>
      <c r="I12916" t="str" cm="1">
        <f t="array" ref="I12916">_xlfn.XLOOKUP(FACT_IMPORTS[[#This Row],[country_name]],DIM_COUNTRY[[#All],[Column2]],DIM_COUNTRY[[#All],[Column3]],,,)</f>
        <v>Major_Non-USMCA_Non-China</v>
      </c>
    </row>
    <row r="12917" spans="1:9" x14ac:dyDescent="0.4">
      <c r="A12917" t="s">
        <v>75</v>
      </c>
      <c r="B12917" s="1">
        <v>45108</v>
      </c>
      <c r="C12917">
        <v>870894</v>
      </c>
      <c r="D12917" t="s">
        <v>176</v>
      </c>
      <c r="E12917">
        <v>65861</v>
      </c>
      <c r="F12917">
        <v>63501</v>
      </c>
      <c r="G12917">
        <v>2268</v>
      </c>
      <c r="H12917">
        <f>_xlfn.XLOOKUP(FACT_IMPORTS[[#This Row],[hts_6]],DIM_PRODUCTS[hts_6],DIM_PRODUCTS[hts_4],,,)</f>
        <v>8708</v>
      </c>
      <c r="I12917" t="str" cm="1">
        <f t="array" ref="I12917">_xlfn.XLOOKUP(FACT_IMPORTS[[#This Row],[country_name]],DIM_COUNTRY[[#All],[Column2]],DIM_COUNTRY[[#All],[Column3]],,,)</f>
        <v>Major_Non-USMCA_Non-China</v>
      </c>
    </row>
    <row r="12918" spans="1:9" x14ac:dyDescent="0.4">
      <c r="A12918" t="s">
        <v>75</v>
      </c>
      <c r="B12918" s="1">
        <v>45108</v>
      </c>
      <c r="C12918">
        <v>870899</v>
      </c>
      <c r="D12918" t="s">
        <v>176</v>
      </c>
      <c r="E12918">
        <v>1110667</v>
      </c>
      <c r="F12918">
        <v>1026608</v>
      </c>
      <c r="G12918">
        <v>81086</v>
      </c>
      <c r="H12918">
        <f>_xlfn.XLOOKUP(FACT_IMPORTS[[#This Row],[hts_6]],DIM_PRODUCTS[hts_6],DIM_PRODUCTS[hts_4],,,)</f>
        <v>8708</v>
      </c>
      <c r="I12918" t="str" cm="1">
        <f t="array" ref="I12918">_xlfn.XLOOKUP(FACT_IMPORTS[[#This Row],[country_name]],DIM_COUNTRY[[#All],[Column2]],DIM_COUNTRY[[#All],[Column3]],,,)</f>
        <v>Major_Non-USMCA_Non-China</v>
      </c>
    </row>
    <row r="12919" spans="1:9" x14ac:dyDescent="0.4">
      <c r="A12919" t="s">
        <v>75</v>
      </c>
      <c r="B12919" s="1">
        <v>45108</v>
      </c>
      <c r="C12919">
        <v>940120</v>
      </c>
      <c r="D12919" t="s">
        <v>176</v>
      </c>
      <c r="E12919">
        <v>0</v>
      </c>
      <c r="F12919">
        <v>0</v>
      </c>
      <c r="G12919">
        <v>0</v>
      </c>
      <c r="H12919">
        <f>_xlfn.XLOOKUP(FACT_IMPORTS[[#This Row],[hts_6]],DIM_PRODUCTS[hts_6],DIM_PRODUCTS[hts_4],,,)</f>
        <v>9401</v>
      </c>
      <c r="I12919" t="str" cm="1">
        <f t="array" ref="I12919">_xlfn.XLOOKUP(FACT_IMPORTS[[#This Row],[country_name]],DIM_COUNTRY[[#All],[Column2]],DIM_COUNTRY[[#All],[Column3]],,,)</f>
        <v>Major_Non-USMCA_Non-China</v>
      </c>
    </row>
    <row r="12920" spans="1:9" x14ac:dyDescent="0.4">
      <c r="A12920" t="s">
        <v>75</v>
      </c>
      <c r="B12920" s="1">
        <v>45139</v>
      </c>
      <c r="C12920">
        <v>392630</v>
      </c>
      <c r="D12920" t="s">
        <v>176</v>
      </c>
      <c r="E12920">
        <v>46139</v>
      </c>
      <c r="F12920">
        <v>2027</v>
      </c>
      <c r="G12920">
        <v>3539</v>
      </c>
      <c r="H12920">
        <f>_xlfn.XLOOKUP(FACT_IMPORTS[[#This Row],[hts_6]],DIM_PRODUCTS[hts_6],DIM_PRODUCTS[hts_4],,,)</f>
        <v>3926</v>
      </c>
      <c r="I12920" t="str" cm="1">
        <f t="array" ref="I12920">_xlfn.XLOOKUP(FACT_IMPORTS[[#This Row],[country_name]],DIM_COUNTRY[[#All],[Column2]],DIM_COUNTRY[[#All],[Column3]],,,)</f>
        <v>Major_Non-USMCA_Non-China</v>
      </c>
    </row>
    <row r="12921" spans="1:9" x14ac:dyDescent="0.4">
      <c r="A12921" t="s">
        <v>75</v>
      </c>
      <c r="B12921" s="1">
        <v>45139</v>
      </c>
      <c r="C12921">
        <v>401110</v>
      </c>
      <c r="D12921" t="s">
        <v>176</v>
      </c>
      <c r="E12921">
        <v>0</v>
      </c>
      <c r="F12921">
        <v>0</v>
      </c>
      <c r="G12921">
        <v>0</v>
      </c>
      <c r="H12921">
        <f>_xlfn.XLOOKUP(FACT_IMPORTS[[#This Row],[hts_6]],DIM_PRODUCTS[hts_6],DIM_PRODUCTS[hts_4],,,)</f>
        <v>4011</v>
      </c>
      <c r="I12921" t="str" cm="1">
        <f t="array" ref="I12921">_xlfn.XLOOKUP(FACT_IMPORTS[[#This Row],[country_name]],DIM_COUNTRY[[#All],[Column2]],DIM_COUNTRY[[#All],[Column3]],,,)</f>
        <v>Major_Non-USMCA_Non-China</v>
      </c>
    </row>
    <row r="12922" spans="1:9" x14ac:dyDescent="0.4">
      <c r="A12922" t="s">
        <v>75</v>
      </c>
      <c r="B12922" s="1">
        <v>45139</v>
      </c>
      <c r="C12922">
        <v>401120</v>
      </c>
      <c r="D12922" t="s">
        <v>176</v>
      </c>
      <c r="E12922">
        <v>0</v>
      </c>
      <c r="F12922">
        <v>0</v>
      </c>
      <c r="G12922">
        <v>0</v>
      </c>
      <c r="H12922">
        <f>_xlfn.XLOOKUP(FACT_IMPORTS[[#This Row],[hts_6]],DIM_PRODUCTS[hts_6],DIM_PRODUCTS[hts_4],,,)</f>
        <v>4011</v>
      </c>
      <c r="I12922" t="str" cm="1">
        <f t="array" ref="I12922">_xlfn.XLOOKUP(FACT_IMPORTS[[#This Row],[country_name]],DIM_COUNTRY[[#All],[Column2]],DIM_COUNTRY[[#All],[Column3]],,,)</f>
        <v>Major_Non-USMCA_Non-China</v>
      </c>
    </row>
    <row r="12923" spans="1:9" x14ac:dyDescent="0.4">
      <c r="A12923" t="s">
        <v>75</v>
      </c>
      <c r="B12923" s="1">
        <v>45139</v>
      </c>
      <c r="C12923">
        <v>401140</v>
      </c>
      <c r="D12923" t="s">
        <v>176</v>
      </c>
      <c r="E12923">
        <v>0</v>
      </c>
      <c r="F12923">
        <v>0</v>
      </c>
      <c r="G12923">
        <v>0</v>
      </c>
      <c r="H12923">
        <f>_xlfn.XLOOKUP(FACT_IMPORTS[[#This Row],[hts_6]],DIM_PRODUCTS[hts_6],DIM_PRODUCTS[hts_4],,,)</f>
        <v>4011</v>
      </c>
      <c r="I12923" t="str" cm="1">
        <f t="array" ref="I12923">_xlfn.XLOOKUP(FACT_IMPORTS[[#This Row],[country_name]],DIM_COUNTRY[[#All],[Column2]],DIM_COUNTRY[[#All],[Column3]],,,)</f>
        <v>Major_Non-USMCA_Non-China</v>
      </c>
    </row>
    <row r="12924" spans="1:9" x14ac:dyDescent="0.4">
      <c r="A12924" t="s">
        <v>75</v>
      </c>
      <c r="B12924" s="1">
        <v>45139</v>
      </c>
      <c r="C12924">
        <v>401190</v>
      </c>
      <c r="D12924" t="s">
        <v>176</v>
      </c>
      <c r="E12924">
        <v>19376</v>
      </c>
      <c r="F12924">
        <v>190</v>
      </c>
      <c r="G12924">
        <v>26</v>
      </c>
      <c r="H12924">
        <f>_xlfn.XLOOKUP(FACT_IMPORTS[[#This Row],[hts_6]],DIM_PRODUCTS[hts_6],DIM_PRODUCTS[hts_4],,,)</f>
        <v>4011</v>
      </c>
      <c r="I12924" t="str" cm="1">
        <f t="array" ref="I12924">_xlfn.XLOOKUP(FACT_IMPORTS[[#This Row],[country_name]],DIM_COUNTRY[[#All],[Column2]],DIM_COUNTRY[[#All],[Column3]],,,)</f>
        <v>Major_Non-USMCA_Non-China</v>
      </c>
    </row>
    <row r="12925" spans="1:9" x14ac:dyDescent="0.4">
      <c r="A12925" t="s">
        <v>75</v>
      </c>
      <c r="B12925" s="1">
        <v>45139</v>
      </c>
      <c r="C12925">
        <v>700910</v>
      </c>
      <c r="D12925" t="s">
        <v>176</v>
      </c>
      <c r="E12925">
        <v>63507</v>
      </c>
      <c r="F12925">
        <v>13416</v>
      </c>
      <c r="G12925">
        <v>1557</v>
      </c>
      <c r="H12925">
        <f>_xlfn.XLOOKUP(FACT_IMPORTS[[#This Row],[hts_6]],DIM_PRODUCTS[hts_6],DIM_PRODUCTS[hts_4],,,)</f>
        <v>7009</v>
      </c>
      <c r="I12925" t="str" cm="1">
        <f t="array" ref="I12925">_xlfn.XLOOKUP(FACT_IMPORTS[[#This Row],[country_name]],DIM_COUNTRY[[#All],[Column2]],DIM_COUNTRY[[#All],[Column3]],,,)</f>
        <v>Major_Non-USMCA_Non-China</v>
      </c>
    </row>
    <row r="12926" spans="1:9" x14ac:dyDescent="0.4">
      <c r="A12926" t="s">
        <v>75</v>
      </c>
      <c r="B12926" s="1">
        <v>45139</v>
      </c>
      <c r="C12926">
        <v>830230</v>
      </c>
      <c r="D12926" t="s">
        <v>176</v>
      </c>
      <c r="E12926">
        <v>387045</v>
      </c>
      <c r="F12926">
        <v>41079</v>
      </c>
      <c r="G12926">
        <v>6502</v>
      </c>
      <c r="H12926">
        <f>_xlfn.XLOOKUP(FACT_IMPORTS[[#This Row],[hts_6]],DIM_PRODUCTS[hts_6],DIM_PRODUCTS[hts_4],,,)</f>
        <v>8302</v>
      </c>
      <c r="I12926" t="str" cm="1">
        <f t="array" ref="I12926">_xlfn.XLOOKUP(FACT_IMPORTS[[#This Row],[country_name]],DIM_COUNTRY[[#All],[Column2]],DIM_COUNTRY[[#All],[Column3]],,,)</f>
        <v>Major_Non-USMCA_Non-China</v>
      </c>
    </row>
    <row r="12927" spans="1:9" x14ac:dyDescent="0.4">
      <c r="A12927" t="s">
        <v>75</v>
      </c>
      <c r="B12927" s="1">
        <v>45139</v>
      </c>
      <c r="C12927">
        <v>840732</v>
      </c>
      <c r="D12927" t="s">
        <v>176</v>
      </c>
      <c r="E12927">
        <v>0</v>
      </c>
      <c r="F12927">
        <v>0</v>
      </c>
      <c r="G12927">
        <v>0</v>
      </c>
      <c r="H12927">
        <f>_xlfn.XLOOKUP(FACT_IMPORTS[[#This Row],[hts_6]],DIM_PRODUCTS[hts_6],DIM_PRODUCTS[hts_4],,,)</f>
        <v>8407</v>
      </c>
      <c r="I12927" t="str" cm="1">
        <f t="array" ref="I12927">_xlfn.XLOOKUP(FACT_IMPORTS[[#This Row],[country_name]],DIM_COUNTRY[[#All],[Column2]],DIM_COUNTRY[[#All],[Column3]],,,)</f>
        <v>Major_Non-USMCA_Non-China</v>
      </c>
    </row>
    <row r="12928" spans="1:9" x14ac:dyDescent="0.4">
      <c r="A12928" t="s">
        <v>75</v>
      </c>
      <c r="B12928" s="1">
        <v>45139</v>
      </c>
      <c r="C12928">
        <v>840733</v>
      </c>
      <c r="D12928" t="s">
        <v>176</v>
      </c>
      <c r="E12928">
        <v>0</v>
      </c>
      <c r="F12928">
        <v>0</v>
      </c>
      <c r="G12928">
        <v>0</v>
      </c>
      <c r="H12928">
        <f>_xlfn.XLOOKUP(FACT_IMPORTS[[#This Row],[hts_6]],DIM_PRODUCTS[hts_6],DIM_PRODUCTS[hts_4],,,)</f>
        <v>8407</v>
      </c>
      <c r="I12928" t="str" cm="1">
        <f t="array" ref="I12928">_xlfn.XLOOKUP(FACT_IMPORTS[[#This Row],[country_name]],DIM_COUNTRY[[#All],[Column2]],DIM_COUNTRY[[#All],[Column3]],,,)</f>
        <v>Major_Non-USMCA_Non-China</v>
      </c>
    </row>
    <row r="12929" spans="1:9" x14ac:dyDescent="0.4">
      <c r="A12929" t="s">
        <v>75</v>
      </c>
      <c r="B12929" s="1">
        <v>45139</v>
      </c>
      <c r="C12929">
        <v>840991</v>
      </c>
      <c r="D12929" t="s">
        <v>176</v>
      </c>
      <c r="E12929">
        <v>266336</v>
      </c>
      <c r="F12929">
        <v>17397</v>
      </c>
      <c r="G12929">
        <v>10379</v>
      </c>
      <c r="H12929">
        <f>_xlfn.XLOOKUP(FACT_IMPORTS[[#This Row],[hts_6]],DIM_PRODUCTS[hts_6],DIM_PRODUCTS[hts_4],,,)</f>
        <v>8409</v>
      </c>
      <c r="I12929" t="str" cm="1">
        <f t="array" ref="I12929">_xlfn.XLOOKUP(FACT_IMPORTS[[#This Row],[country_name]],DIM_COUNTRY[[#All],[Column2]],DIM_COUNTRY[[#All],[Column3]],,,)</f>
        <v>Major_Non-USMCA_Non-China</v>
      </c>
    </row>
    <row r="12930" spans="1:9" x14ac:dyDescent="0.4">
      <c r="A12930" t="s">
        <v>75</v>
      </c>
      <c r="B12930" s="1">
        <v>45139</v>
      </c>
      <c r="C12930">
        <v>840999</v>
      </c>
      <c r="D12930" t="s">
        <v>176</v>
      </c>
      <c r="E12930">
        <v>0</v>
      </c>
      <c r="F12930">
        <v>0</v>
      </c>
      <c r="G12930">
        <v>0</v>
      </c>
      <c r="H12930">
        <f>_xlfn.XLOOKUP(FACT_IMPORTS[[#This Row],[hts_6]],DIM_PRODUCTS[hts_6],DIM_PRODUCTS[hts_4],,,)</f>
        <v>8409</v>
      </c>
      <c r="I12930" t="str" cm="1">
        <f t="array" ref="I12930">_xlfn.XLOOKUP(FACT_IMPORTS[[#This Row],[country_name]],DIM_COUNTRY[[#All],[Column2]],DIM_COUNTRY[[#All],[Column3]],,,)</f>
        <v>Major_Non-USMCA_Non-China</v>
      </c>
    </row>
    <row r="12931" spans="1:9" x14ac:dyDescent="0.4">
      <c r="A12931" t="s">
        <v>75</v>
      </c>
      <c r="B12931" s="1">
        <v>45139</v>
      </c>
      <c r="C12931">
        <v>841330</v>
      </c>
      <c r="D12931" t="s">
        <v>176</v>
      </c>
      <c r="E12931">
        <v>0</v>
      </c>
      <c r="F12931">
        <v>0</v>
      </c>
      <c r="G12931">
        <v>0</v>
      </c>
      <c r="H12931">
        <f>_xlfn.XLOOKUP(FACT_IMPORTS[[#This Row],[hts_6]],DIM_PRODUCTS[hts_6],DIM_PRODUCTS[hts_4],,,)</f>
        <v>8413</v>
      </c>
      <c r="I12931" t="str" cm="1">
        <f t="array" ref="I12931">_xlfn.XLOOKUP(FACT_IMPORTS[[#This Row],[country_name]],DIM_COUNTRY[[#All],[Column2]],DIM_COUNTRY[[#All],[Column3]],,,)</f>
        <v>Major_Non-USMCA_Non-China</v>
      </c>
    </row>
    <row r="12932" spans="1:9" x14ac:dyDescent="0.4">
      <c r="A12932" t="s">
        <v>75</v>
      </c>
      <c r="B12932" s="1">
        <v>45139</v>
      </c>
      <c r="C12932">
        <v>842132</v>
      </c>
      <c r="D12932" t="s">
        <v>176</v>
      </c>
      <c r="E12932">
        <v>0</v>
      </c>
      <c r="F12932">
        <v>0</v>
      </c>
      <c r="G12932">
        <v>0</v>
      </c>
      <c r="H12932">
        <f>_xlfn.XLOOKUP(FACT_IMPORTS[[#This Row],[hts_6]],DIM_PRODUCTS[hts_6],DIM_PRODUCTS[hts_4],,,)</f>
        <v>8421</v>
      </c>
      <c r="I12932" t="str" cm="1">
        <f t="array" ref="I12932">_xlfn.XLOOKUP(FACT_IMPORTS[[#This Row],[country_name]],DIM_COUNTRY[[#All],[Column2]],DIM_COUNTRY[[#All],[Column3]],,,)</f>
        <v>Major_Non-USMCA_Non-China</v>
      </c>
    </row>
    <row r="12933" spans="1:9" x14ac:dyDescent="0.4">
      <c r="A12933" t="s">
        <v>75</v>
      </c>
      <c r="B12933" s="1">
        <v>45139</v>
      </c>
      <c r="C12933">
        <v>848210</v>
      </c>
      <c r="D12933" t="s">
        <v>176</v>
      </c>
      <c r="E12933">
        <v>69606</v>
      </c>
      <c r="F12933">
        <v>140750</v>
      </c>
      <c r="G12933">
        <v>3372</v>
      </c>
      <c r="H12933">
        <f>_xlfn.XLOOKUP(FACT_IMPORTS[[#This Row],[hts_6]],DIM_PRODUCTS[hts_6],DIM_PRODUCTS[hts_4],,,)</f>
        <v>8482</v>
      </c>
      <c r="I12933" t="str" cm="1">
        <f t="array" ref="I12933">_xlfn.XLOOKUP(FACT_IMPORTS[[#This Row],[country_name]],DIM_COUNTRY[[#All],[Column2]],DIM_COUNTRY[[#All],[Column3]],,,)</f>
        <v>Major_Non-USMCA_Non-China</v>
      </c>
    </row>
    <row r="12934" spans="1:9" x14ac:dyDescent="0.4">
      <c r="A12934" t="s">
        <v>75</v>
      </c>
      <c r="B12934" s="1">
        <v>45139</v>
      </c>
      <c r="C12934">
        <v>848310</v>
      </c>
      <c r="D12934" t="s">
        <v>176</v>
      </c>
      <c r="E12934">
        <v>0</v>
      </c>
      <c r="F12934">
        <v>0</v>
      </c>
      <c r="G12934">
        <v>0</v>
      </c>
      <c r="H12934">
        <f>_xlfn.XLOOKUP(FACT_IMPORTS[[#This Row],[hts_6]],DIM_PRODUCTS[hts_6],DIM_PRODUCTS[hts_4],,,)</f>
        <v>8483</v>
      </c>
      <c r="I12934" t="str" cm="1">
        <f t="array" ref="I12934">_xlfn.XLOOKUP(FACT_IMPORTS[[#This Row],[country_name]],DIM_COUNTRY[[#All],[Column2]],DIM_COUNTRY[[#All],[Column3]],,,)</f>
        <v>Major_Non-USMCA_Non-China</v>
      </c>
    </row>
    <row r="12935" spans="1:9" x14ac:dyDescent="0.4">
      <c r="A12935" t="s">
        <v>75</v>
      </c>
      <c r="B12935" s="1">
        <v>45139</v>
      </c>
      <c r="C12935">
        <v>850131</v>
      </c>
      <c r="D12935" t="s">
        <v>176</v>
      </c>
      <c r="E12935">
        <v>0</v>
      </c>
      <c r="F12935">
        <v>0</v>
      </c>
      <c r="G12935">
        <v>0</v>
      </c>
      <c r="H12935">
        <f>_xlfn.XLOOKUP(FACT_IMPORTS[[#This Row],[hts_6]],DIM_PRODUCTS[hts_6],DIM_PRODUCTS[hts_4],,,)</f>
        <v>8501</v>
      </c>
      <c r="I12935" t="str" cm="1">
        <f t="array" ref="I12935">_xlfn.XLOOKUP(FACT_IMPORTS[[#This Row],[country_name]],DIM_COUNTRY[[#All],[Column2]],DIM_COUNTRY[[#All],[Column3]],,,)</f>
        <v>Major_Non-USMCA_Non-China</v>
      </c>
    </row>
    <row r="12936" spans="1:9" x14ac:dyDescent="0.4">
      <c r="A12936" t="s">
        <v>75</v>
      </c>
      <c r="B12936" s="1">
        <v>45139</v>
      </c>
      <c r="C12936">
        <v>850132</v>
      </c>
      <c r="D12936" t="s">
        <v>176</v>
      </c>
      <c r="E12936">
        <v>4664</v>
      </c>
      <c r="F12936">
        <v>2</v>
      </c>
      <c r="G12936">
        <v>250</v>
      </c>
      <c r="H12936">
        <f>_xlfn.XLOOKUP(FACT_IMPORTS[[#This Row],[hts_6]],DIM_PRODUCTS[hts_6],DIM_PRODUCTS[hts_4],,,)</f>
        <v>8501</v>
      </c>
      <c r="I12936" t="str" cm="1">
        <f t="array" ref="I12936">_xlfn.XLOOKUP(FACT_IMPORTS[[#This Row],[country_name]],DIM_COUNTRY[[#All],[Column2]],DIM_COUNTRY[[#All],[Column3]],,,)</f>
        <v>Major_Non-USMCA_Non-China</v>
      </c>
    </row>
    <row r="12937" spans="1:9" x14ac:dyDescent="0.4">
      <c r="A12937" t="s">
        <v>75</v>
      </c>
      <c r="B12937" s="1">
        <v>45139</v>
      </c>
      <c r="C12937">
        <v>850152</v>
      </c>
      <c r="D12937" t="s">
        <v>176</v>
      </c>
      <c r="E12937">
        <v>72497</v>
      </c>
      <c r="F12937">
        <v>1680</v>
      </c>
      <c r="G12937">
        <v>1104</v>
      </c>
      <c r="H12937">
        <f>_xlfn.XLOOKUP(FACT_IMPORTS[[#This Row],[hts_6]],DIM_PRODUCTS[hts_6],DIM_PRODUCTS[hts_4],,,)</f>
        <v>8501</v>
      </c>
      <c r="I12937" t="str" cm="1">
        <f t="array" ref="I12937">_xlfn.XLOOKUP(FACT_IMPORTS[[#This Row],[country_name]],DIM_COUNTRY[[#All],[Column2]],DIM_COUNTRY[[#All],[Column3]],,,)</f>
        <v>Major_Non-USMCA_Non-China</v>
      </c>
    </row>
    <row r="12938" spans="1:9" x14ac:dyDescent="0.4">
      <c r="A12938" t="s">
        <v>75</v>
      </c>
      <c r="B12938" s="1">
        <v>45139</v>
      </c>
      <c r="C12938">
        <v>850153</v>
      </c>
      <c r="D12938" t="s">
        <v>176</v>
      </c>
      <c r="E12938">
        <v>0</v>
      </c>
      <c r="F12938">
        <v>0</v>
      </c>
      <c r="G12938">
        <v>0</v>
      </c>
      <c r="H12938">
        <f>_xlfn.XLOOKUP(FACT_IMPORTS[[#This Row],[hts_6]],DIM_PRODUCTS[hts_6],DIM_PRODUCTS[hts_4],,,)</f>
        <v>8501</v>
      </c>
      <c r="I12938" t="str" cm="1">
        <f t="array" ref="I12938">_xlfn.XLOOKUP(FACT_IMPORTS[[#This Row],[country_name]],DIM_COUNTRY[[#All],[Column2]],DIM_COUNTRY[[#All],[Column3]],,,)</f>
        <v>Major_Non-USMCA_Non-China</v>
      </c>
    </row>
    <row r="12939" spans="1:9" x14ac:dyDescent="0.4">
      <c r="A12939" t="s">
        <v>75</v>
      </c>
      <c r="B12939" s="1">
        <v>45139</v>
      </c>
      <c r="C12939">
        <v>850440</v>
      </c>
      <c r="D12939" t="s">
        <v>176</v>
      </c>
      <c r="E12939">
        <v>650512</v>
      </c>
      <c r="F12939">
        <v>60854</v>
      </c>
      <c r="G12939">
        <v>4673</v>
      </c>
      <c r="H12939">
        <f>_xlfn.XLOOKUP(FACT_IMPORTS[[#This Row],[hts_6]],DIM_PRODUCTS[hts_6],DIM_PRODUCTS[hts_4],,,)</f>
        <v>8504</v>
      </c>
      <c r="I12939" t="str" cm="1">
        <f t="array" ref="I12939">_xlfn.XLOOKUP(FACT_IMPORTS[[#This Row],[country_name]],DIM_COUNTRY[[#All],[Column2]],DIM_COUNTRY[[#All],[Column3]],,,)</f>
        <v>Major_Non-USMCA_Non-China</v>
      </c>
    </row>
    <row r="12940" spans="1:9" x14ac:dyDescent="0.4">
      <c r="A12940" t="s">
        <v>75</v>
      </c>
      <c r="B12940" s="1">
        <v>45139</v>
      </c>
      <c r="C12940">
        <v>850710</v>
      </c>
      <c r="D12940" t="s">
        <v>176</v>
      </c>
      <c r="E12940">
        <v>113687</v>
      </c>
      <c r="F12940">
        <v>1738</v>
      </c>
      <c r="G12940">
        <v>73</v>
      </c>
      <c r="H12940">
        <f>_xlfn.XLOOKUP(FACT_IMPORTS[[#This Row],[hts_6]],DIM_PRODUCTS[hts_6],DIM_PRODUCTS[hts_4],,,)</f>
        <v>8507</v>
      </c>
      <c r="I12940" t="str" cm="1">
        <f t="array" ref="I12940">_xlfn.XLOOKUP(FACT_IMPORTS[[#This Row],[country_name]],DIM_COUNTRY[[#All],[Column2]],DIM_COUNTRY[[#All],[Column3]],,,)</f>
        <v>Major_Non-USMCA_Non-China</v>
      </c>
    </row>
    <row r="12941" spans="1:9" x14ac:dyDescent="0.4">
      <c r="A12941" t="s">
        <v>75</v>
      </c>
      <c r="B12941" s="1">
        <v>45139</v>
      </c>
      <c r="C12941">
        <v>850760</v>
      </c>
      <c r="D12941" t="s">
        <v>176</v>
      </c>
      <c r="E12941">
        <v>0</v>
      </c>
      <c r="F12941">
        <v>0</v>
      </c>
      <c r="G12941">
        <v>0</v>
      </c>
      <c r="H12941">
        <f>_xlfn.XLOOKUP(FACT_IMPORTS[[#This Row],[hts_6]],DIM_PRODUCTS[hts_6],DIM_PRODUCTS[hts_4],,,)</f>
        <v>8507</v>
      </c>
      <c r="I12941" t="str" cm="1">
        <f t="array" ref="I12941">_xlfn.XLOOKUP(FACT_IMPORTS[[#This Row],[country_name]],DIM_COUNTRY[[#All],[Column2]],DIM_COUNTRY[[#All],[Column3]],,,)</f>
        <v>Major_Non-USMCA_Non-China</v>
      </c>
    </row>
    <row r="12942" spans="1:9" x14ac:dyDescent="0.4">
      <c r="A12942" t="s">
        <v>75</v>
      </c>
      <c r="B12942" s="1">
        <v>45139</v>
      </c>
      <c r="C12942">
        <v>851120</v>
      </c>
      <c r="D12942" t="s">
        <v>176</v>
      </c>
      <c r="E12942">
        <v>0</v>
      </c>
      <c r="F12942">
        <v>0</v>
      </c>
      <c r="G12942">
        <v>0</v>
      </c>
      <c r="H12942">
        <f>_xlfn.XLOOKUP(FACT_IMPORTS[[#This Row],[hts_6]],DIM_PRODUCTS[hts_6],DIM_PRODUCTS[hts_4],,,)</f>
        <v>8511</v>
      </c>
      <c r="I12942" t="str" cm="1">
        <f t="array" ref="I12942">_xlfn.XLOOKUP(FACT_IMPORTS[[#This Row],[country_name]],DIM_COUNTRY[[#All],[Column2]],DIM_COUNTRY[[#All],[Column3]],,,)</f>
        <v>Major_Non-USMCA_Non-China</v>
      </c>
    </row>
    <row r="12943" spans="1:9" x14ac:dyDescent="0.4">
      <c r="A12943" t="s">
        <v>75</v>
      </c>
      <c r="B12943" s="1">
        <v>45139</v>
      </c>
      <c r="C12943">
        <v>851130</v>
      </c>
      <c r="D12943" t="s">
        <v>176</v>
      </c>
      <c r="E12943">
        <v>0</v>
      </c>
      <c r="F12943">
        <v>0</v>
      </c>
      <c r="G12943">
        <v>0</v>
      </c>
      <c r="H12943">
        <f>_xlfn.XLOOKUP(FACT_IMPORTS[[#This Row],[hts_6]],DIM_PRODUCTS[hts_6],DIM_PRODUCTS[hts_4],,,)</f>
        <v>8511</v>
      </c>
      <c r="I12943" t="str" cm="1">
        <f t="array" ref="I12943">_xlfn.XLOOKUP(FACT_IMPORTS[[#This Row],[country_name]],DIM_COUNTRY[[#All],[Column2]],DIM_COUNTRY[[#All],[Column3]],,,)</f>
        <v>Major_Non-USMCA_Non-China</v>
      </c>
    </row>
    <row r="12944" spans="1:9" x14ac:dyDescent="0.4">
      <c r="A12944" t="s">
        <v>75</v>
      </c>
      <c r="B12944" s="1">
        <v>45139</v>
      </c>
      <c r="C12944">
        <v>851140</v>
      </c>
      <c r="D12944" t="s">
        <v>176</v>
      </c>
      <c r="E12944">
        <v>18705</v>
      </c>
      <c r="F12944">
        <v>118</v>
      </c>
      <c r="G12944">
        <v>35</v>
      </c>
      <c r="H12944">
        <f>_xlfn.XLOOKUP(FACT_IMPORTS[[#This Row],[hts_6]],DIM_PRODUCTS[hts_6],DIM_PRODUCTS[hts_4],,,)</f>
        <v>8511</v>
      </c>
      <c r="I12944" t="str" cm="1">
        <f t="array" ref="I12944">_xlfn.XLOOKUP(FACT_IMPORTS[[#This Row],[country_name]],DIM_COUNTRY[[#All],[Column2]],DIM_COUNTRY[[#All],[Column3]],,,)</f>
        <v>Major_Non-USMCA_Non-China</v>
      </c>
    </row>
    <row r="12945" spans="1:9" x14ac:dyDescent="0.4">
      <c r="A12945" t="s">
        <v>75</v>
      </c>
      <c r="B12945" s="1">
        <v>45139</v>
      </c>
      <c r="C12945">
        <v>851150</v>
      </c>
      <c r="D12945" t="s">
        <v>176</v>
      </c>
      <c r="E12945">
        <v>5410</v>
      </c>
      <c r="F12945">
        <v>6</v>
      </c>
      <c r="G12945">
        <v>14</v>
      </c>
      <c r="H12945">
        <f>_xlfn.XLOOKUP(FACT_IMPORTS[[#This Row],[hts_6]],DIM_PRODUCTS[hts_6],DIM_PRODUCTS[hts_4],,,)</f>
        <v>8511</v>
      </c>
      <c r="I12945" t="str" cm="1">
        <f t="array" ref="I12945">_xlfn.XLOOKUP(FACT_IMPORTS[[#This Row],[country_name]],DIM_COUNTRY[[#All],[Column2]],DIM_COUNTRY[[#All],[Column3]],,,)</f>
        <v>Major_Non-USMCA_Non-China</v>
      </c>
    </row>
    <row r="12946" spans="1:9" x14ac:dyDescent="0.4">
      <c r="A12946" t="s">
        <v>75</v>
      </c>
      <c r="B12946" s="1">
        <v>45139</v>
      </c>
      <c r="C12946">
        <v>851180</v>
      </c>
      <c r="D12946" t="s">
        <v>176</v>
      </c>
      <c r="E12946">
        <v>0</v>
      </c>
      <c r="F12946">
        <v>0</v>
      </c>
      <c r="G12946">
        <v>0</v>
      </c>
      <c r="H12946">
        <f>_xlfn.XLOOKUP(FACT_IMPORTS[[#This Row],[hts_6]],DIM_PRODUCTS[hts_6],DIM_PRODUCTS[hts_4],,,)</f>
        <v>8511</v>
      </c>
      <c r="I12946" t="str" cm="1">
        <f t="array" ref="I12946">_xlfn.XLOOKUP(FACT_IMPORTS[[#This Row],[country_name]],DIM_COUNTRY[[#All],[Column2]],DIM_COUNTRY[[#All],[Column3]],,,)</f>
        <v>Major_Non-USMCA_Non-China</v>
      </c>
    </row>
    <row r="12947" spans="1:9" x14ac:dyDescent="0.4">
      <c r="A12947" t="s">
        <v>75</v>
      </c>
      <c r="B12947" s="1">
        <v>45139</v>
      </c>
      <c r="C12947">
        <v>851190</v>
      </c>
      <c r="D12947" t="s">
        <v>176</v>
      </c>
      <c r="E12947">
        <v>0</v>
      </c>
      <c r="F12947">
        <v>0</v>
      </c>
      <c r="G12947">
        <v>0</v>
      </c>
      <c r="H12947">
        <f>_xlfn.XLOOKUP(FACT_IMPORTS[[#This Row],[hts_6]],DIM_PRODUCTS[hts_6],DIM_PRODUCTS[hts_4],,,)</f>
        <v>8511</v>
      </c>
      <c r="I12947" t="str" cm="1">
        <f t="array" ref="I12947">_xlfn.XLOOKUP(FACT_IMPORTS[[#This Row],[country_name]],DIM_COUNTRY[[#All],[Column2]],DIM_COUNTRY[[#All],[Column3]],,,)</f>
        <v>Major_Non-USMCA_Non-China</v>
      </c>
    </row>
    <row r="12948" spans="1:9" x14ac:dyDescent="0.4">
      <c r="A12948" t="s">
        <v>75</v>
      </c>
      <c r="B12948" s="1">
        <v>45139</v>
      </c>
      <c r="C12948">
        <v>851220</v>
      </c>
      <c r="D12948" t="s">
        <v>176</v>
      </c>
      <c r="E12948">
        <v>4595858</v>
      </c>
      <c r="F12948">
        <v>846079</v>
      </c>
      <c r="G12948">
        <v>79892</v>
      </c>
      <c r="H12948">
        <f>_xlfn.XLOOKUP(FACT_IMPORTS[[#This Row],[hts_6]],DIM_PRODUCTS[hts_6],DIM_PRODUCTS[hts_4],,,)</f>
        <v>8512</v>
      </c>
      <c r="I12948" t="str" cm="1">
        <f t="array" ref="I12948">_xlfn.XLOOKUP(FACT_IMPORTS[[#This Row],[country_name]],DIM_COUNTRY[[#All],[Column2]],DIM_COUNTRY[[#All],[Column3]],,,)</f>
        <v>Major_Non-USMCA_Non-China</v>
      </c>
    </row>
    <row r="12949" spans="1:9" x14ac:dyDescent="0.4">
      <c r="A12949" t="s">
        <v>75</v>
      </c>
      <c r="B12949" s="1">
        <v>45139</v>
      </c>
      <c r="C12949">
        <v>851230</v>
      </c>
      <c r="D12949" t="s">
        <v>176</v>
      </c>
      <c r="E12949">
        <v>23937</v>
      </c>
      <c r="F12949">
        <v>478</v>
      </c>
      <c r="G12949">
        <v>470</v>
      </c>
      <c r="H12949">
        <f>_xlfn.XLOOKUP(FACT_IMPORTS[[#This Row],[hts_6]],DIM_PRODUCTS[hts_6],DIM_PRODUCTS[hts_4],,,)</f>
        <v>8512</v>
      </c>
      <c r="I12949" t="str" cm="1">
        <f t="array" ref="I12949">_xlfn.XLOOKUP(FACT_IMPORTS[[#This Row],[country_name]],DIM_COUNTRY[[#All],[Column2]],DIM_COUNTRY[[#All],[Column3]],,,)</f>
        <v>Major_Non-USMCA_Non-China</v>
      </c>
    </row>
    <row r="12950" spans="1:9" x14ac:dyDescent="0.4">
      <c r="A12950" t="s">
        <v>75</v>
      </c>
      <c r="B12950" s="1">
        <v>45139</v>
      </c>
      <c r="C12950">
        <v>851240</v>
      </c>
      <c r="D12950" t="s">
        <v>176</v>
      </c>
      <c r="E12950">
        <v>0</v>
      </c>
      <c r="F12950">
        <v>0</v>
      </c>
      <c r="G12950">
        <v>0</v>
      </c>
      <c r="H12950">
        <f>_xlfn.XLOOKUP(FACT_IMPORTS[[#This Row],[hts_6]],DIM_PRODUCTS[hts_6],DIM_PRODUCTS[hts_4],,,)</f>
        <v>8512</v>
      </c>
      <c r="I12950" t="str" cm="1">
        <f t="array" ref="I12950">_xlfn.XLOOKUP(FACT_IMPORTS[[#This Row],[country_name]],DIM_COUNTRY[[#All],[Column2]],DIM_COUNTRY[[#All],[Column3]],,,)</f>
        <v>Major_Non-USMCA_Non-China</v>
      </c>
    </row>
    <row r="12951" spans="1:9" x14ac:dyDescent="0.4">
      <c r="A12951" t="s">
        <v>75</v>
      </c>
      <c r="B12951" s="1">
        <v>45139</v>
      </c>
      <c r="C12951">
        <v>851290</v>
      </c>
      <c r="D12951" t="s">
        <v>176</v>
      </c>
      <c r="E12951">
        <v>3005974</v>
      </c>
      <c r="F12951">
        <v>55997</v>
      </c>
      <c r="G12951">
        <v>44752</v>
      </c>
      <c r="H12951">
        <f>_xlfn.XLOOKUP(FACT_IMPORTS[[#This Row],[hts_6]],DIM_PRODUCTS[hts_6],DIM_PRODUCTS[hts_4],,,)</f>
        <v>8512</v>
      </c>
      <c r="I12951" t="str" cm="1">
        <f t="array" ref="I12951">_xlfn.XLOOKUP(FACT_IMPORTS[[#This Row],[country_name]],DIM_COUNTRY[[#All],[Column2]],DIM_COUNTRY[[#All],[Column3]],,,)</f>
        <v>Major_Non-USMCA_Non-China</v>
      </c>
    </row>
    <row r="12952" spans="1:9" x14ac:dyDescent="0.4">
      <c r="A12952" t="s">
        <v>75</v>
      </c>
      <c r="B12952" s="1">
        <v>45139</v>
      </c>
      <c r="C12952">
        <v>854231</v>
      </c>
      <c r="D12952" t="s">
        <v>176</v>
      </c>
      <c r="E12952">
        <v>54527</v>
      </c>
      <c r="F12952">
        <v>779</v>
      </c>
      <c r="G12952">
        <v>1129</v>
      </c>
      <c r="H12952">
        <f>_xlfn.XLOOKUP(FACT_IMPORTS[[#This Row],[hts_6]],DIM_PRODUCTS[hts_6],DIM_PRODUCTS[hts_4],,,)</f>
        <v>8542</v>
      </c>
      <c r="I12952" t="str" cm="1">
        <f t="array" ref="I12952">_xlfn.XLOOKUP(FACT_IMPORTS[[#This Row],[country_name]],DIM_COUNTRY[[#All],[Column2]],DIM_COUNTRY[[#All],[Column3]],,,)</f>
        <v>Major_Non-USMCA_Non-China</v>
      </c>
    </row>
    <row r="12953" spans="1:9" x14ac:dyDescent="0.4">
      <c r="A12953" t="s">
        <v>75</v>
      </c>
      <c r="B12953" s="1">
        <v>45139</v>
      </c>
      <c r="C12953">
        <v>854232</v>
      </c>
      <c r="D12953" t="s">
        <v>176</v>
      </c>
      <c r="E12953">
        <v>8705</v>
      </c>
      <c r="F12953">
        <v>160</v>
      </c>
      <c r="G12953">
        <v>4</v>
      </c>
      <c r="H12953">
        <f>_xlfn.XLOOKUP(FACT_IMPORTS[[#This Row],[hts_6]],DIM_PRODUCTS[hts_6],DIM_PRODUCTS[hts_4],,,)</f>
        <v>8542</v>
      </c>
      <c r="I12953" t="str" cm="1">
        <f t="array" ref="I12953">_xlfn.XLOOKUP(FACT_IMPORTS[[#This Row],[country_name]],DIM_COUNTRY[[#All],[Column2]],DIM_COUNTRY[[#All],[Column3]],,,)</f>
        <v>Major_Non-USMCA_Non-China</v>
      </c>
    </row>
    <row r="12954" spans="1:9" x14ac:dyDescent="0.4">
      <c r="A12954" t="s">
        <v>75</v>
      </c>
      <c r="B12954" s="1">
        <v>45139</v>
      </c>
      <c r="C12954">
        <v>854239</v>
      </c>
      <c r="D12954" t="s">
        <v>176</v>
      </c>
      <c r="E12954">
        <v>1708964</v>
      </c>
      <c r="F12954">
        <v>646858</v>
      </c>
      <c r="G12954">
        <v>152909</v>
      </c>
      <c r="H12954">
        <f>_xlfn.XLOOKUP(FACT_IMPORTS[[#This Row],[hts_6]],DIM_PRODUCTS[hts_6],DIM_PRODUCTS[hts_4],,,)</f>
        <v>8542</v>
      </c>
      <c r="I12954" t="str" cm="1">
        <f t="array" ref="I12954">_xlfn.XLOOKUP(FACT_IMPORTS[[#This Row],[country_name]],DIM_COUNTRY[[#All],[Column2]],DIM_COUNTRY[[#All],[Column3]],,,)</f>
        <v>Major_Non-USMCA_Non-China</v>
      </c>
    </row>
    <row r="12955" spans="1:9" x14ac:dyDescent="0.4">
      <c r="A12955" t="s">
        <v>75</v>
      </c>
      <c r="B12955" s="1">
        <v>45139</v>
      </c>
      <c r="C12955">
        <v>854290</v>
      </c>
      <c r="D12955" t="s">
        <v>176</v>
      </c>
      <c r="E12955">
        <v>0</v>
      </c>
      <c r="F12955">
        <v>0</v>
      </c>
      <c r="G12955">
        <v>0</v>
      </c>
      <c r="H12955">
        <f>_xlfn.XLOOKUP(FACT_IMPORTS[[#This Row],[hts_6]],DIM_PRODUCTS[hts_6],DIM_PRODUCTS[hts_4],,,)</f>
        <v>8542</v>
      </c>
      <c r="I12955" t="str" cm="1">
        <f t="array" ref="I12955">_xlfn.XLOOKUP(FACT_IMPORTS[[#This Row],[country_name]],DIM_COUNTRY[[#All],[Column2]],DIM_COUNTRY[[#All],[Column3]],,,)</f>
        <v>Major_Non-USMCA_Non-China</v>
      </c>
    </row>
    <row r="12956" spans="1:9" x14ac:dyDescent="0.4">
      <c r="A12956" t="s">
        <v>75</v>
      </c>
      <c r="B12956" s="1">
        <v>45139</v>
      </c>
      <c r="C12956">
        <v>854430</v>
      </c>
      <c r="D12956" t="s">
        <v>176</v>
      </c>
      <c r="E12956">
        <v>7095</v>
      </c>
      <c r="F12956">
        <v>964</v>
      </c>
      <c r="G12956">
        <v>116</v>
      </c>
      <c r="H12956">
        <f>_xlfn.XLOOKUP(FACT_IMPORTS[[#This Row],[hts_6]],DIM_PRODUCTS[hts_6],DIM_PRODUCTS[hts_4],,,)</f>
        <v>8544</v>
      </c>
      <c r="I12956" t="str" cm="1">
        <f t="array" ref="I12956">_xlfn.XLOOKUP(FACT_IMPORTS[[#This Row],[country_name]],DIM_COUNTRY[[#All],[Column2]],DIM_COUNTRY[[#All],[Column3]],,,)</f>
        <v>Major_Non-USMCA_Non-China</v>
      </c>
    </row>
    <row r="12957" spans="1:9" x14ac:dyDescent="0.4">
      <c r="A12957" t="s">
        <v>75</v>
      </c>
      <c r="B12957" s="1">
        <v>45139</v>
      </c>
      <c r="C12957">
        <v>870810</v>
      </c>
      <c r="D12957" t="s">
        <v>176</v>
      </c>
      <c r="E12957">
        <v>537741</v>
      </c>
      <c r="F12957">
        <v>10076</v>
      </c>
      <c r="G12957">
        <v>52676</v>
      </c>
      <c r="H12957">
        <f>_xlfn.XLOOKUP(FACT_IMPORTS[[#This Row],[hts_6]],DIM_PRODUCTS[hts_6],DIM_PRODUCTS[hts_4],,,)</f>
        <v>8708</v>
      </c>
      <c r="I12957" t="str" cm="1">
        <f t="array" ref="I12957">_xlfn.XLOOKUP(FACT_IMPORTS[[#This Row],[country_name]],DIM_COUNTRY[[#All],[Column2]],DIM_COUNTRY[[#All],[Column3]],,,)</f>
        <v>Major_Non-USMCA_Non-China</v>
      </c>
    </row>
    <row r="12958" spans="1:9" x14ac:dyDescent="0.4">
      <c r="A12958" t="s">
        <v>75</v>
      </c>
      <c r="B12958" s="1">
        <v>45139</v>
      </c>
      <c r="C12958">
        <v>870829</v>
      </c>
      <c r="D12958" t="s">
        <v>176</v>
      </c>
      <c r="E12958">
        <v>798134</v>
      </c>
      <c r="F12958">
        <v>17174</v>
      </c>
      <c r="G12958">
        <v>24072</v>
      </c>
      <c r="H12958">
        <f>_xlfn.XLOOKUP(FACT_IMPORTS[[#This Row],[hts_6]],DIM_PRODUCTS[hts_6],DIM_PRODUCTS[hts_4],,,)</f>
        <v>8708</v>
      </c>
      <c r="I12958" t="str" cm="1">
        <f t="array" ref="I12958">_xlfn.XLOOKUP(FACT_IMPORTS[[#This Row],[country_name]],DIM_COUNTRY[[#All],[Column2]],DIM_COUNTRY[[#All],[Column3]],,,)</f>
        <v>Major_Non-USMCA_Non-China</v>
      </c>
    </row>
    <row r="12959" spans="1:9" x14ac:dyDescent="0.4">
      <c r="A12959" t="s">
        <v>75</v>
      </c>
      <c r="B12959" s="1">
        <v>45139</v>
      </c>
      <c r="C12959">
        <v>870830</v>
      </c>
      <c r="D12959" t="s">
        <v>176</v>
      </c>
      <c r="E12959">
        <v>8054</v>
      </c>
      <c r="F12959">
        <v>56400</v>
      </c>
      <c r="G12959">
        <v>113</v>
      </c>
      <c r="H12959">
        <f>_xlfn.XLOOKUP(FACT_IMPORTS[[#This Row],[hts_6]],DIM_PRODUCTS[hts_6],DIM_PRODUCTS[hts_4],,,)</f>
        <v>8708</v>
      </c>
      <c r="I12959" t="str" cm="1">
        <f t="array" ref="I12959">_xlfn.XLOOKUP(FACT_IMPORTS[[#This Row],[country_name]],DIM_COUNTRY[[#All],[Column2]],DIM_COUNTRY[[#All],[Column3]],,,)</f>
        <v>Major_Non-USMCA_Non-China</v>
      </c>
    </row>
    <row r="12960" spans="1:9" x14ac:dyDescent="0.4">
      <c r="A12960" t="s">
        <v>75</v>
      </c>
      <c r="B12960" s="1">
        <v>45139</v>
      </c>
      <c r="C12960">
        <v>870840</v>
      </c>
      <c r="D12960" t="s">
        <v>176</v>
      </c>
      <c r="E12960">
        <v>153236</v>
      </c>
      <c r="F12960">
        <v>32560</v>
      </c>
      <c r="G12960">
        <v>2103</v>
      </c>
      <c r="H12960">
        <f>_xlfn.XLOOKUP(FACT_IMPORTS[[#This Row],[hts_6]],DIM_PRODUCTS[hts_6],DIM_PRODUCTS[hts_4],,,)</f>
        <v>8708</v>
      </c>
      <c r="I12960" t="str" cm="1">
        <f t="array" ref="I12960">_xlfn.XLOOKUP(FACT_IMPORTS[[#This Row],[country_name]],DIM_COUNTRY[[#All],[Column2]],DIM_COUNTRY[[#All],[Column3]],,,)</f>
        <v>Major_Non-USMCA_Non-China</v>
      </c>
    </row>
    <row r="12961" spans="1:9" x14ac:dyDescent="0.4">
      <c r="A12961" t="s">
        <v>75</v>
      </c>
      <c r="B12961" s="1">
        <v>45139</v>
      </c>
      <c r="C12961">
        <v>870850</v>
      </c>
      <c r="D12961" t="s">
        <v>176</v>
      </c>
      <c r="E12961">
        <v>378981</v>
      </c>
      <c r="F12961">
        <v>1750</v>
      </c>
      <c r="G12961">
        <v>3885</v>
      </c>
      <c r="H12961">
        <f>_xlfn.XLOOKUP(FACT_IMPORTS[[#This Row],[hts_6]],DIM_PRODUCTS[hts_6],DIM_PRODUCTS[hts_4],,,)</f>
        <v>8708</v>
      </c>
      <c r="I12961" t="str" cm="1">
        <f t="array" ref="I12961">_xlfn.XLOOKUP(FACT_IMPORTS[[#This Row],[country_name]],DIM_COUNTRY[[#All],[Column2]],DIM_COUNTRY[[#All],[Column3]],,,)</f>
        <v>Major_Non-USMCA_Non-China</v>
      </c>
    </row>
    <row r="12962" spans="1:9" x14ac:dyDescent="0.4">
      <c r="A12962" t="s">
        <v>75</v>
      </c>
      <c r="B12962" s="1">
        <v>45139</v>
      </c>
      <c r="C12962">
        <v>870870</v>
      </c>
      <c r="D12962" t="s">
        <v>176</v>
      </c>
      <c r="E12962">
        <v>2978641</v>
      </c>
      <c r="F12962">
        <v>14453</v>
      </c>
      <c r="G12962">
        <v>74936</v>
      </c>
      <c r="H12962">
        <f>_xlfn.XLOOKUP(FACT_IMPORTS[[#This Row],[hts_6]],DIM_PRODUCTS[hts_6],DIM_PRODUCTS[hts_4],,,)</f>
        <v>8708</v>
      </c>
      <c r="I12962" t="str" cm="1">
        <f t="array" ref="I12962">_xlfn.XLOOKUP(FACT_IMPORTS[[#This Row],[country_name]],DIM_COUNTRY[[#All],[Column2]],DIM_COUNTRY[[#All],[Column3]],,,)</f>
        <v>Major_Non-USMCA_Non-China</v>
      </c>
    </row>
    <row r="12963" spans="1:9" x14ac:dyDescent="0.4">
      <c r="A12963" t="s">
        <v>75</v>
      </c>
      <c r="B12963" s="1">
        <v>45139</v>
      </c>
      <c r="C12963">
        <v>870880</v>
      </c>
      <c r="D12963" t="s">
        <v>176</v>
      </c>
      <c r="E12963">
        <v>476604</v>
      </c>
      <c r="F12963">
        <v>35175</v>
      </c>
      <c r="G12963">
        <v>28794</v>
      </c>
      <c r="H12963">
        <f>_xlfn.XLOOKUP(FACT_IMPORTS[[#This Row],[hts_6]],DIM_PRODUCTS[hts_6],DIM_PRODUCTS[hts_4],,,)</f>
        <v>8708</v>
      </c>
      <c r="I12963" t="str" cm="1">
        <f t="array" ref="I12963">_xlfn.XLOOKUP(FACT_IMPORTS[[#This Row],[country_name]],DIM_COUNTRY[[#All],[Column2]],DIM_COUNTRY[[#All],[Column3]],,,)</f>
        <v>Major_Non-USMCA_Non-China</v>
      </c>
    </row>
    <row r="12964" spans="1:9" x14ac:dyDescent="0.4">
      <c r="A12964" t="s">
        <v>75</v>
      </c>
      <c r="B12964" s="1">
        <v>45139</v>
      </c>
      <c r="C12964">
        <v>870891</v>
      </c>
      <c r="D12964" t="s">
        <v>176</v>
      </c>
      <c r="E12964">
        <v>39774</v>
      </c>
      <c r="F12964">
        <v>40511</v>
      </c>
      <c r="G12964">
        <v>3554</v>
      </c>
      <c r="H12964">
        <f>_xlfn.XLOOKUP(FACT_IMPORTS[[#This Row],[hts_6]],DIM_PRODUCTS[hts_6],DIM_PRODUCTS[hts_4],,,)</f>
        <v>8708</v>
      </c>
      <c r="I12964" t="str" cm="1">
        <f t="array" ref="I12964">_xlfn.XLOOKUP(FACT_IMPORTS[[#This Row],[country_name]],DIM_COUNTRY[[#All],[Column2]],DIM_COUNTRY[[#All],[Column3]],,,)</f>
        <v>Major_Non-USMCA_Non-China</v>
      </c>
    </row>
    <row r="12965" spans="1:9" x14ac:dyDescent="0.4">
      <c r="A12965" t="s">
        <v>75</v>
      </c>
      <c r="B12965" s="1">
        <v>45139</v>
      </c>
      <c r="C12965">
        <v>870892</v>
      </c>
      <c r="D12965" t="s">
        <v>176</v>
      </c>
      <c r="E12965">
        <v>4888</v>
      </c>
      <c r="F12965">
        <v>47</v>
      </c>
      <c r="G12965">
        <v>470</v>
      </c>
      <c r="H12965">
        <f>_xlfn.XLOOKUP(FACT_IMPORTS[[#This Row],[hts_6]],DIM_PRODUCTS[hts_6],DIM_PRODUCTS[hts_4],,,)</f>
        <v>8708</v>
      </c>
      <c r="I12965" t="str" cm="1">
        <f t="array" ref="I12965">_xlfn.XLOOKUP(FACT_IMPORTS[[#This Row],[country_name]],DIM_COUNTRY[[#All],[Column2]],DIM_COUNTRY[[#All],[Column3]],,,)</f>
        <v>Major_Non-USMCA_Non-China</v>
      </c>
    </row>
    <row r="12966" spans="1:9" x14ac:dyDescent="0.4">
      <c r="A12966" t="s">
        <v>75</v>
      </c>
      <c r="B12966" s="1">
        <v>45139</v>
      </c>
      <c r="C12966">
        <v>870893</v>
      </c>
      <c r="D12966" t="s">
        <v>176</v>
      </c>
      <c r="E12966">
        <v>38258</v>
      </c>
      <c r="F12966">
        <v>3512</v>
      </c>
      <c r="G12966">
        <v>76</v>
      </c>
      <c r="H12966">
        <f>_xlfn.XLOOKUP(FACT_IMPORTS[[#This Row],[hts_6]],DIM_PRODUCTS[hts_6],DIM_PRODUCTS[hts_4],,,)</f>
        <v>8708</v>
      </c>
      <c r="I12966" t="str" cm="1">
        <f t="array" ref="I12966">_xlfn.XLOOKUP(FACT_IMPORTS[[#This Row],[country_name]],DIM_COUNTRY[[#All],[Column2]],DIM_COUNTRY[[#All],[Column3]],,,)</f>
        <v>Major_Non-USMCA_Non-China</v>
      </c>
    </row>
    <row r="12967" spans="1:9" x14ac:dyDescent="0.4">
      <c r="A12967" t="s">
        <v>75</v>
      </c>
      <c r="B12967" s="1">
        <v>45139</v>
      </c>
      <c r="C12967">
        <v>870894</v>
      </c>
      <c r="D12967" t="s">
        <v>176</v>
      </c>
      <c r="E12967">
        <v>18929</v>
      </c>
      <c r="F12967">
        <v>94600</v>
      </c>
      <c r="G12967">
        <v>466</v>
      </c>
      <c r="H12967">
        <f>_xlfn.XLOOKUP(FACT_IMPORTS[[#This Row],[hts_6]],DIM_PRODUCTS[hts_6],DIM_PRODUCTS[hts_4],,,)</f>
        <v>8708</v>
      </c>
      <c r="I12967" t="str" cm="1">
        <f t="array" ref="I12967">_xlfn.XLOOKUP(FACT_IMPORTS[[#This Row],[country_name]],DIM_COUNTRY[[#All],[Column2]],DIM_COUNTRY[[#All],[Column3]],,,)</f>
        <v>Major_Non-USMCA_Non-China</v>
      </c>
    </row>
    <row r="12968" spans="1:9" x14ac:dyDescent="0.4">
      <c r="A12968" t="s">
        <v>75</v>
      </c>
      <c r="B12968" s="1">
        <v>45139</v>
      </c>
      <c r="C12968">
        <v>870899</v>
      </c>
      <c r="D12968" t="s">
        <v>176</v>
      </c>
      <c r="E12968">
        <v>1422169</v>
      </c>
      <c r="F12968">
        <v>610195</v>
      </c>
      <c r="G12968">
        <v>87047</v>
      </c>
      <c r="H12968">
        <f>_xlfn.XLOOKUP(FACT_IMPORTS[[#This Row],[hts_6]],DIM_PRODUCTS[hts_6],DIM_PRODUCTS[hts_4],,,)</f>
        <v>8708</v>
      </c>
      <c r="I12968" t="str" cm="1">
        <f t="array" ref="I12968">_xlfn.XLOOKUP(FACT_IMPORTS[[#This Row],[country_name]],DIM_COUNTRY[[#All],[Column2]],DIM_COUNTRY[[#All],[Column3]],,,)</f>
        <v>Major_Non-USMCA_Non-China</v>
      </c>
    </row>
    <row r="12969" spans="1:9" x14ac:dyDescent="0.4">
      <c r="A12969" t="s">
        <v>75</v>
      </c>
      <c r="B12969" s="1">
        <v>45139</v>
      </c>
      <c r="C12969">
        <v>940120</v>
      </c>
      <c r="D12969" t="s">
        <v>176</v>
      </c>
      <c r="E12969">
        <v>0</v>
      </c>
      <c r="F12969">
        <v>0</v>
      </c>
      <c r="G12969">
        <v>0</v>
      </c>
      <c r="H12969">
        <f>_xlfn.XLOOKUP(FACT_IMPORTS[[#This Row],[hts_6]],DIM_PRODUCTS[hts_6],DIM_PRODUCTS[hts_4],,,)</f>
        <v>9401</v>
      </c>
      <c r="I12969" t="str" cm="1">
        <f t="array" ref="I12969">_xlfn.XLOOKUP(FACT_IMPORTS[[#This Row],[country_name]],DIM_COUNTRY[[#All],[Column2]],DIM_COUNTRY[[#All],[Column3]],,,)</f>
        <v>Major_Non-USMCA_Non-China</v>
      </c>
    </row>
    <row r="12970" spans="1:9" x14ac:dyDescent="0.4">
      <c r="A12970" t="s">
        <v>75</v>
      </c>
      <c r="B12970" s="1">
        <v>45170</v>
      </c>
      <c r="C12970">
        <v>392630</v>
      </c>
      <c r="D12970" t="s">
        <v>176</v>
      </c>
      <c r="E12970">
        <v>110598</v>
      </c>
      <c r="F12970">
        <v>8938</v>
      </c>
      <c r="G12970">
        <v>6388</v>
      </c>
      <c r="H12970">
        <f>_xlfn.XLOOKUP(FACT_IMPORTS[[#This Row],[hts_6]],DIM_PRODUCTS[hts_6],DIM_PRODUCTS[hts_4],,,)</f>
        <v>3926</v>
      </c>
      <c r="I12970" t="str" cm="1">
        <f t="array" ref="I12970">_xlfn.XLOOKUP(FACT_IMPORTS[[#This Row],[country_name]],DIM_COUNTRY[[#All],[Column2]],DIM_COUNTRY[[#All],[Column3]],,,)</f>
        <v>Major_Non-USMCA_Non-China</v>
      </c>
    </row>
    <row r="12971" spans="1:9" x14ac:dyDescent="0.4">
      <c r="A12971" t="s">
        <v>75</v>
      </c>
      <c r="B12971" s="1">
        <v>45170</v>
      </c>
      <c r="C12971">
        <v>401110</v>
      </c>
      <c r="D12971" t="s">
        <v>176</v>
      </c>
      <c r="E12971">
        <v>0</v>
      </c>
      <c r="F12971">
        <v>0</v>
      </c>
      <c r="G12971">
        <v>0</v>
      </c>
      <c r="H12971">
        <f>_xlfn.XLOOKUP(FACT_IMPORTS[[#This Row],[hts_6]],DIM_PRODUCTS[hts_6],DIM_PRODUCTS[hts_4],,,)</f>
        <v>4011</v>
      </c>
      <c r="I12971" t="str" cm="1">
        <f t="array" ref="I12971">_xlfn.XLOOKUP(FACT_IMPORTS[[#This Row],[country_name]],DIM_COUNTRY[[#All],[Column2]],DIM_COUNTRY[[#All],[Column3]],,,)</f>
        <v>Major_Non-USMCA_Non-China</v>
      </c>
    </row>
    <row r="12972" spans="1:9" x14ac:dyDescent="0.4">
      <c r="A12972" t="s">
        <v>75</v>
      </c>
      <c r="B12972" s="1">
        <v>45170</v>
      </c>
      <c r="C12972">
        <v>401120</v>
      </c>
      <c r="D12972" t="s">
        <v>176</v>
      </c>
      <c r="E12972">
        <v>0</v>
      </c>
      <c r="F12972">
        <v>0</v>
      </c>
      <c r="G12972">
        <v>0</v>
      </c>
      <c r="H12972">
        <f>_xlfn.XLOOKUP(FACT_IMPORTS[[#This Row],[hts_6]],DIM_PRODUCTS[hts_6],DIM_PRODUCTS[hts_4],,,)</f>
        <v>4011</v>
      </c>
      <c r="I12972" t="str" cm="1">
        <f t="array" ref="I12972">_xlfn.XLOOKUP(FACT_IMPORTS[[#This Row],[country_name]],DIM_COUNTRY[[#All],[Column2]],DIM_COUNTRY[[#All],[Column3]],,,)</f>
        <v>Major_Non-USMCA_Non-China</v>
      </c>
    </row>
    <row r="12973" spans="1:9" x14ac:dyDescent="0.4">
      <c r="A12973" t="s">
        <v>75</v>
      </c>
      <c r="B12973" s="1">
        <v>45170</v>
      </c>
      <c r="C12973">
        <v>401140</v>
      </c>
      <c r="D12973" t="s">
        <v>176</v>
      </c>
      <c r="E12973">
        <v>0</v>
      </c>
      <c r="F12973">
        <v>0</v>
      </c>
      <c r="G12973">
        <v>0</v>
      </c>
      <c r="H12973">
        <f>_xlfn.XLOOKUP(FACT_IMPORTS[[#This Row],[hts_6]],DIM_PRODUCTS[hts_6],DIM_PRODUCTS[hts_4],,,)</f>
        <v>4011</v>
      </c>
      <c r="I12973" t="str" cm="1">
        <f t="array" ref="I12973">_xlfn.XLOOKUP(FACT_IMPORTS[[#This Row],[country_name]],DIM_COUNTRY[[#All],[Column2]],DIM_COUNTRY[[#All],[Column3]],,,)</f>
        <v>Major_Non-USMCA_Non-China</v>
      </c>
    </row>
    <row r="12974" spans="1:9" x14ac:dyDescent="0.4">
      <c r="A12974" t="s">
        <v>75</v>
      </c>
      <c r="B12974" s="1">
        <v>45170</v>
      </c>
      <c r="C12974">
        <v>401190</v>
      </c>
      <c r="D12974" t="s">
        <v>176</v>
      </c>
      <c r="E12974">
        <v>9037</v>
      </c>
      <c r="F12974">
        <v>79</v>
      </c>
      <c r="G12974">
        <v>22</v>
      </c>
      <c r="H12974">
        <f>_xlfn.XLOOKUP(FACT_IMPORTS[[#This Row],[hts_6]],DIM_PRODUCTS[hts_6],DIM_PRODUCTS[hts_4],,,)</f>
        <v>4011</v>
      </c>
      <c r="I12974" t="str" cm="1">
        <f t="array" ref="I12974">_xlfn.XLOOKUP(FACT_IMPORTS[[#This Row],[country_name]],DIM_COUNTRY[[#All],[Column2]],DIM_COUNTRY[[#All],[Column3]],,,)</f>
        <v>Major_Non-USMCA_Non-China</v>
      </c>
    </row>
    <row r="12975" spans="1:9" x14ac:dyDescent="0.4">
      <c r="A12975" t="s">
        <v>75</v>
      </c>
      <c r="B12975" s="1">
        <v>45170</v>
      </c>
      <c r="C12975">
        <v>700910</v>
      </c>
      <c r="D12975" t="s">
        <v>176</v>
      </c>
      <c r="E12975">
        <v>58522</v>
      </c>
      <c r="F12975">
        <v>27856</v>
      </c>
      <c r="G12975">
        <v>2055</v>
      </c>
      <c r="H12975">
        <f>_xlfn.XLOOKUP(FACT_IMPORTS[[#This Row],[hts_6]],DIM_PRODUCTS[hts_6],DIM_PRODUCTS[hts_4],,,)</f>
        <v>7009</v>
      </c>
      <c r="I12975" t="str" cm="1">
        <f t="array" ref="I12975">_xlfn.XLOOKUP(FACT_IMPORTS[[#This Row],[country_name]],DIM_COUNTRY[[#All],[Column2]],DIM_COUNTRY[[#All],[Column3]],,,)</f>
        <v>Major_Non-USMCA_Non-China</v>
      </c>
    </row>
    <row r="12976" spans="1:9" x14ac:dyDescent="0.4">
      <c r="A12976" t="s">
        <v>75</v>
      </c>
      <c r="B12976" s="1">
        <v>45170</v>
      </c>
      <c r="C12976">
        <v>830230</v>
      </c>
      <c r="D12976" t="s">
        <v>176</v>
      </c>
      <c r="E12976">
        <v>143900</v>
      </c>
      <c r="F12976">
        <v>16827</v>
      </c>
      <c r="G12976">
        <v>5546</v>
      </c>
      <c r="H12976">
        <f>_xlfn.XLOOKUP(FACT_IMPORTS[[#This Row],[hts_6]],DIM_PRODUCTS[hts_6],DIM_PRODUCTS[hts_4],,,)</f>
        <v>8302</v>
      </c>
      <c r="I12976" t="str" cm="1">
        <f t="array" ref="I12976">_xlfn.XLOOKUP(FACT_IMPORTS[[#This Row],[country_name]],DIM_COUNTRY[[#All],[Column2]],DIM_COUNTRY[[#All],[Column3]],,,)</f>
        <v>Major_Non-USMCA_Non-China</v>
      </c>
    </row>
    <row r="12977" spans="1:9" x14ac:dyDescent="0.4">
      <c r="A12977" t="s">
        <v>75</v>
      </c>
      <c r="B12977" s="1">
        <v>45170</v>
      </c>
      <c r="C12977">
        <v>840732</v>
      </c>
      <c r="D12977" t="s">
        <v>176</v>
      </c>
      <c r="E12977">
        <v>0</v>
      </c>
      <c r="F12977">
        <v>0</v>
      </c>
      <c r="G12977">
        <v>0</v>
      </c>
      <c r="H12977">
        <f>_xlfn.XLOOKUP(FACT_IMPORTS[[#This Row],[hts_6]],DIM_PRODUCTS[hts_6],DIM_PRODUCTS[hts_4],,,)</f>
        <v>8407</v>
      </c>
      <c r="I12977" t="str" cm="1">
        <f t="array" ref="I12977">_xlfn.XLOOKUP(FACT_IMPORTS[[#This Row],[country_name]],DIM_COUNTRY[[#All],[Column2]],DIM_COUNTRY[[#All],[Column3]],,,)</f>
        <v>Major_Non-USMCA_Non-China</v>
      </c>
    </row>
    <row r="12978" spans="1:9" x14ac:dyDescent="0.4">
      <c r="A12978" t="s">
        <v>75</v>
      </c>
      <c r="B12978" s="1">
        <v>45170</v>
      </c>
      <c r="C12978">
        <v>840733</v>
      </c>
      <c r="D12978" t="s">
        <v>176</v>
      </c>
      <c r="E12978">
        <v>0</v>
      </c>
      <c r="F12978">
        <v>0</v>
      </c>
      <c r="G12978">
        <v>0</v>
      </c>
      <c r="H12978">
        <f>_xlfn.XLOOKUP(FACT_IMPORTS[[#This Row],[hts_6]],DIM_PRODUCTS[hts_6],DIM_PRODUCTS[hts_4],,,)</f>
        <v>8407</v>
      </c>
      <c r="I12978" t="str" cm="1">
        <f t="array" ref="I12978">_xlfn.XLOOKUP(FACT_IMPORTS[[#This Row],[country_name]],DIM_COUNTRY[[#All],[Column2]],DIM_COUNTRY[[#All],[Column3]],,,)</f>
        <v>Major_Non-USMCA_Non-China</v>
      </c>
    </row>
    <row r="12979" spans="1:9" x14ac:dyDescent="0.4">
      <c r="A12979" t="s">
        <v>75</v>
      </c>
      <c r="B12979" s="1">
        <v>45170</v>
      </c>
      <c r="C12979">
        <v>840991</v>
      </c>
      <c r="D12979" t="s">
        <v>176</v>
      </c>
      <c r="E12979">
        <v>169684</v>
      </c>
      <c r="F12979">
        <v>6450</v>
      </c>
      <c r="G12979">
        <v>4962</v>
      </c>
      <c r="H12979">
        <f>_xlfn.XLOOKUP(FACT_IMPORTS[[#This Row],[hts_6]],DIM_PRODUCTS[hts_6],DIM_PRODUCTS[hts_4],,,)</f>
        <v>8409</v>
      </c>
      <c r="I12979" t="str" cm="1">
        <f t="array" ref="I12979">_xlfn.XLOOKUP(FACT_IMPORTS[[#This Row],[country_name]],DIM_COUNTRY[[#All],[Column2]],DIM_COUNTRY[[#All],[Column3]],,,)</f>
        <v>Major_Non-USMCA_Non-China</v>
      </c>
    </row>
    <row r="12980" spans="1:9" x14ac:dyDescent="0.4">
      <c r="A12980" t="s">
        <v>75</v>
      </c>
      <c r="B12980" s="1">
        <v>45170</v>
      </c>
      <c r="C12980">
        <v>840999</v>
      </c>
      <c r="D12980" t="s">
        <v>176</v>
      </c>
      <c r="E12980">
        <v>0</v>
      </c>
      <c r="F12980">
        <v>0</v>
      </c>
      <c r="G12980">
        <v>0</v>
      </c>
      <c r="H12980">
        <f>_xlfn.XLOOKUP(FACT_IMPORTS[[#This Row],[hts_6]],DIM_PRODUCTS[hts_6],DIM_PRODUCTS[hts_4],,,)</f>
        <v>8409</v>
      </c>
      <c r="I12980" t="str" cm="1">
        <f t="array" ref="I12980">_xlfn.XLOOKUP(FACT_IMPORTS[[#This Row],[country_name]],DIM_COUNTRY[[#All],[Column2]],DIM_COUNTRY[[#All],[Column3]],,,)</f>
        <v>Major_Non-USMCA_Non-China</v>
      </c>
    </row>
    <row r="12981" spans="1:9" x14ac:dyDescent="0.4">
      <c r="A12981" t="s">
        <v>75</v>
      </c>
      <c r="B12981" s="1">
        <v>45170</v>
      </c>
      <c r="C12981">
        <v>841330</v>
      </c>
      <c r="D12981" t="s">
        <v>176</v>
      </c>
      <c r="E12981">
        <v>0</v>
      </c>
      <c r="F12981">
        <v>0</v>
      </c>
      <c r="G12981">
        <v>0</v>
      </c>
      <c r="H12981">
        <f>_xlfn.XLOOKUP(FACT_IMPORTS[[#This Row],[hts_6]],DIM_PRODUCTS[hts_6],DIM_PRODUCTS[hts_4],,,)</f>
        <v>8413</v>
      </c>
      <c r="I12981" t="str" cm="1">
        <f t="array" ref="I12981">_xlfn.XLOOKUP(FACT_IMPORTS[[#This Row],[country_name]],DIM_COUNTRY[[#All],[Column2]],DIM_COUNTRY[[#All],[Column3]],,,)</f>
        <v>Major_Non-USMCA_Non-China</v>
      </c>
    </row>
    <row r="12982" spans="1:9" x14ac:dyDescent="0.4">
      <c r="A12982" t="s">
        <v>75</v>
      </c>
      <c r="B12982" s="1">
        <v>45170</v>
      </c>
      <c r="C12982">
        <v>842132</v>
      </c>
      <c r="D12982" t="s">
        <v>176</v>
      </c>
      <c r="E12982">
        <v>0</v>
      </c>
      <c r="F12982">
        <v>0</v>
      </c>
      <c r="G12982">
        <v>0</v>
      </c>
      <c r="H12982">
        <f>_xlfn.XLOOKUP(FACT_IMPORTS[[#This Row],[hts_6]],DIM_PRODUCTS[hts_6],DIM_PRODUCTS[hts_4],,,)</f>
        <v>8421</v>
      </c>
      <c r="I12982" t="str" cm="1">
        <f t="array" ref="I12982">_xlfn.XLOOKUP(FACT_IMPORTS[[#This Row],[country_name]],DIM_COUNTRY[[#All],[Column2]],DIM_COUNTRY[[#All],[Column3]],,,)</f>
        <v>Major_Non-USMCA_Non-China</v>
      </c>
    </row>
    <row r="12983" spans="1:9" x14ac:dyDescent="0.4">
      <c r="A12983" t="s">
        <v>75</v>
      </c>
      <c r="B12983" s="1">
        <v>45170</v>
      </c>
      <c r="C12983">
        <v>848210</v>
      </c>
      <c r="D12983" t="s">
        <v>176</v>
      </c>
      <c r="E12983">
        <v>218870</v>
      </c>
      <c r="F12983">
        <v>178630</v>
      </c>
      <c r="G12983">
        <v>4793</v>
      </c>
      <c r="H12983">
        <f>_xlfn.XLOOKUP(FACT_IMPORTS[[#This Row],[hts_6]],DIM_PRODUCTS[hts_6],DIM_PRODUCTS[hts_4],,,)</f>
        <v>8482</v>
      </c>
      <c r="I12983" t="str" cm="1">
        <f t="array" ref="I12983">_xlfn.XLOOKUP(FACT_IMPORTS[[#This Row],[country_name]],DIM_COUNTRY[[#All],[Column2]],DIM_COUNTRY[[#All],[Column3]],,,)</f>
        <v>Major_Non-USMCA_Non-China</v>
      </c>
    </row>
    <row r="12984" spans="1:9" x14ac:dyDescent="0.4">
      <c r="A12984" t="s">
        <v>75</v>
      </c>
      <c r="B12984" s="1">
        <v>45170</v>
      </c>
      <c r="C12984">
        <v>848310</v>
      </c>
      <c r="D12984" t="s">
        <v>176</v>
      </c>
      <c r="E12984">
        <v>2149</v>
      </c>
      <c r="F12984">
        <v>6</v>
      </c>
      <c r="G12984">
        <v>1</v>
      </c>
      <c r="H12984">
        <f>_xlfn.XLOOKUP(FACT_IMPORTS[[#This Row],[hts_6]],DIM_PRODUCTS[hts_6],DIM_PRODUCTS[hts_4],,,)</f>
        <v>8483</v>
      </c>
      <c r="I12984" t="str" cm="1">
        <f t="array" ref="I12984">_xlfn.XLOOKUP(FACT_IMPORTS[[#This Row],[country_name]],DIM_COUNTRY[[#All],[Column2]],DIM_COUNTRY[[#All],[Column3]],,,)</f>
        <v>Major_Non-USMCA_Non-China</v>
      </c>
    </row>
    <row r="12985" spans="1:9" x14ac:dyDescent="0.4">
      <c r="A12985" t="s">
        <v>75</v>
      </c>
      <c r="B12985" s="1">
        <v>45170</v>
      </c>
      <c r="C12985">
        <v>850131</v>
      </c>
      <c r="D12985" t="s">
        <v>176</v>
      </c>
      <c r="E12985">
        <v>0</v>
      </c>
      <c r="F12985">
        <v>0</v>
      </c>
      <c r="G12985">
        <v>0</v>
      </c>
      <c r="H12985">
        <f>_xlfn.XLOOKUP(FACT_IMPORTS[[#This Row],[hts_6]],DIM_PRODUCTS[hts_6],DIM_PRODUCTS[hts_4],,,)</f>
        <v>8501</v>
      </c>
      <c r="I12985" t="str" cm="1">
        <f t="array" ref="I12985">_xlfn.XLOOKUP(FACT_IMPORTS[[#This Row],[country_name]],DIM_COUNTRY[[#All],[Column2]],DIM_COUNTRY[[#All],[Column3]],,,)</f>
        <v>Major_Non-USMCA_Non-China</v>
      </c>
    </row>
    <row r="12986" spans="1:9" x14ac:dyDescent="0.4">
      <c r="A12986" t="s">
        <v>75</v>
      </c>
      <c r="B12986" s="1">
        <v>45170</v>
      </c>
      <c r="C12986">
        <v>850132</v>
      </c>
      <c r="D12986" t="s">
        <v>176</v>
      </c>
      <c r="E12986">
        <v>0</v>
      </c>
      <c r="F12986">
        <v>0</v>
      </c>
      <c r="G12986">
        <v>0</v>
      </c>
      <c r="H12986">
        <f>_xlfn.XLOOKUP(FACT_IMPORTS[[#This Row],[hts_6]],DIM_PRODUCTS[hts_6],DIM_PRODUCTS[hts_4],,,)</f>
        <v>8501</v>
      </c>
      <c r="I12986" t="str" cm="1">
        <f t="array" ref="I12986">_xlfn.XLOOKUP(FACT_IMPORTS[[#This Row],[country_name]],DIM_COUNTRY[[#All],[Column2]],DIM_COUNTRY[[#All],[Column3]],,,)</f>
        <v>Major_Non-USMCA_Non-China</v>
      </c>
    </row>
    <row r="12987" spans="1:9" x14ac:dyDescent="0.4">
      <c r="A12987" t="s">
        <v>75</v>
      </c>
      <c r="B12987" s="1">
        <v>45170</v>
      </c>
      <c r="C12987">
        <v>850152</v>
      </c>
      <c r="D12987" t="s">
        <v>176</v>
      </c>
      <c r="E12987">
        <v>163088</v>
      </c>
      <c r="F12987">
        <v>3864</v>
      </c>
      <c r="G12987">
        <v>2564</v>
      </c>
      <c r="H12987">
        <f>_xlfn.XLOOKUP(FACT_IMPORTS[[#This Row],[hts_6]],DIM_PRODUCTS[hts_6],DIM_PRODUCTS[hts_4],,,)</f>
        <v>8501</v>
      </c>
      <c r="I12987" t="str" cm="1">
        <f t="array" ref="I12987">_xlfn.XLOOKUP(FACT_IMPORTS[[#This Row],[country_name]],DIM_COUNTRY[[#All],[Column2]],DIM_COUNTRY[[#All],[Column3]],,,)</f>
        <v>Major_Non-USMCA_Non-China</v>
      </c>
    </row>
    <row r="12988" spans="1:9" x14ac:dyDescent="0.4">
      <c r="A12988" t="s">
        <v>75</v>
      </c>
      <c r="B12988" s="1">
        <v>45170</v>
      </c>
      <c r="C12988">
        <v>850153</v>
      </c>
      <c r="D12988" t="s">
        <v>176</v>
      </c>
      <c r="E12988">
        <v>0</v>
      </c>
      <c r="F12988">
        <v>0</v>
      </c>
      <c r="G12988">
        <v>0</v>
      </c>
      <c r="H12988">
        <f>_xlfn.XLOOKUP(FACT_IMPORTS[[#This Row],[hts_6]],DIM_PRODUCTS[hts_6],DIM_PRODUCTS[hts_4],,,)</f>
        <v>8501</v>
      </c>
      <c r="I12988" t="str" cm="1">
        <f t="array" ref="I12988">_xlfn.XLOOKUP(FACT_IMPORTS[[#This Row],[country_name]],DIM_COUNTRY[[#All],[Column2]],DIM_COUNTRY[[#All],[Column3]],,,)</f>
        <v>Major_Non-USMCA_Non-China</v>
      </c>
    </row>
    <row r="12989" spans="1:9" x14ac:dyDescent="0.4">
      <c r="A12989" t="s">
        <v>75</v>
      </c>
      <c r="B12989" s="1">
        <v>45170</v>
      </c>
      <c r="C12989">
        <v>850440</v>
      </c>
      <c r="D12989" t="s">
        <v>176</v>
      </c>
      <c r="E12989">
        <v>570208</v>
      </c>
      <c r="F12989">
        <v>8140</v>
      </c>
      <c r="G12989">
        <v>6820</v>
      </c>
      <c r="H12989">
        <f>_xlfn.XLOOKUP(FACT_IMPORTS[[#This Row],[hts_6]],DIM_PRODUCTS[hts_6],DIM_PRODUCTS[hts_4],,,)</f>
        <v>8504</v>
      </c>
      <c r="I12989" t="str" cm="1">
        <f t="array" ref="I12989">_xlfn.XLOOKUP(FACT_IMPORTS[[#This Row],[country_name]],DIM_COUNTRY[[#All],[Column2]],DIM_COUNTRY[[#All],[Column3]],,,)</f>
        <v>Major_Non-USMCA_Non-China</v>
      </c>
    </row>
    <row r="12990" spans="1:9" x14ac:dyDescent="0.4">
      <c r="A12990" t="s">
        <v>75</v>
      </c>
      <c r="B12990" s="1">
        <v>45170</v>
      </c>
      <c r="C12990">
        <v>850710</v>
      </c>
      <c r="D12990" t="s">
        <v>176</v>
      </c>
      <c r="E12990">
        <v>30208</v>
      </c>
      <c r="F12990">
        <v>470</v>
      </c>
      <c r="G12990">
        <v>14</v>
      </c>
      <c r="H12990">
        <f>_xlfn.XLOOKUP(FACT_IMPORTS[[#This Row],[hts_6]],DIM_PRODUCTS[hts_6],DIM_PRODUCTS[hts_4],,,)</f>
        <v>8507</v>
      </c>
      <c r="I12990" t="str" cm="1">
        <f t="array" ref="I12990">_xlfn.XLOOKUP(FACT_IMPORTS[[#This Row],[country_name]],DIM_COUNTRY[[#All],[Column2]],DIM_COUNTRY[[#All],[Column3]],,,)</f>
        <v>Major_Non-USMCA_Non-China</v>
      </c>
    </row>
    <row r="12991" spans="1:9" x14ac:dyDescent="0.4">
      <c r="A12991" t="s">
        <v>75</v>
      </c>
      <c r="B12991" s="1">
        <v>45170</v>
      </c>
      <c r="C12991">
        <v>850760</v>
      </c>
      <c r="D12991" t="s">
        <v>176</v>
      </c>
      <c r="E12991">
        <v>0</v>
      </c>
      <c r="F12991">
        <v>0</v>
      </c>
      <c r="G12991">
        <v>0</v>
      </c>
      <c r="H12991">
        <f>_xlfn.XLOOKUP(FACT_IMPORTS[[#This Row],[hts_6]],DIM_PRODUCTS[hts_6],DIM_PRODUCTS[hts_4],,,)</f>
        <v>8507</v>
      </c>
      <c r="I12991" t="str" cm="1">
        <f t="array" ref="I12991">_xlfn.XLOOKUP(FACT_IMPORTS[[#This Row],[country_name]],DIM_COUNTRY[[#All],[Column2]],DIM_COUNTRY[[#All],[Column3]],,,)</f>
        <v>Major_Non-USMCA_Non-China</v>
      </c>
    </row>
    <row r="12992" spans="1:9" x14ac:dyDescent="0.4">
      <c r="A12992" t="s">
        <v>75</v>
      </c>
      <c r="B12992" s="1">
        <v>45170</v>
      </c>
      <c r="C12992">
        <v>851120</v>
      </c>
      <c r="D12992" t="s">
        <v>176</v>
      </c>
      <c r="E12992">
        <v>0</v>
      </c>
      <c r="F12992">
        <v>0</v>
      </c>
      <c r="G12992">
        <v>0</v>
      </c>
      <c r="H12992">
        <f>_xlfn.XLOOKUP(FACT_IMPORTS[[#This Row],[hts_6]],DIM_PRODUCTS[hts_6],DIM_PRODUCTS[hts_4],,,)</f>
        <v>8511</v>
      </c>
      <c r="I12992" t="str" cm="1">
        <f t="array" ref="I12992">_xlfn.XLOOKUP(FACT_IMPORTS[[#This Row],[country_name]],DIM_COUNTRY[[#All],[Column2]],DIM_COUNTRY[[#All],[Column3]],,,)</f>
        <v>Major_Non-USMCA_Non-China</v>
      </c>
    </row>
    <row r="12993" spans="1:9" x14ac:dyDescent="0.4">
      <c r="A12993" t="s">
        <v>75</v>
      </c>
      <c r="B12993" s="1">
        <v>45170</v>
      </c>
      <c r="C12993">
        <v>851130</v>
      </c>
      <c r="D12993" t="s">
        <v>176</v>
      </c>
      <c r="E12993">
        <v>0</v>
      </c>
      <c r="F12993">
        <v>0</v>
      </c>
      <c r="G12993">
        <v>0</v>
      </c>
      <c r="H12993">
        <f>_xlfn.XLOOKUP(FACT_IMPORTS[[#This Row],[hts_6]],DIM_PRODUCTS[hts_6],DIM_PRODUCTS[hts_4],,,)</f>
        <v>8511</v>
      </c>
      <c r="I12993" t="str" cm="1">
        <f t="array" ref="I12993">_xlfn.XLOOKUP(FACT_IMPORTS[[#This Row],[country_name]],DIM_COUNTRY[[#All],[Column2]],DIM_COUNTRY[[#All],[Column3]],,,)</f>
        <v>Major_Non-USMCA_Non-China</v>
      </c>
    </row>
    <row r="12994" spans="1:9" x14ac:dyDescent="0.4">
      <c r="A12994" t="s">
        <v>75</v>
      </c>
      <c r="B12994" s="1">
        <v>45170</v>
      </c>
      <c r="C12994">
        <v>851140</v>
      </c>
      <c r="D12994" t="s">
        <v>176</v>
      </c>
      <c r="E12994">
        <v>21786</v>
      </c>
      <c r="F12994">
        <v>116</v>
      </c>
      <c r="G12994">
        <v>9</v>
      </c>
      <c r="H12994">
        <f>_xlfn.XLOOKUP(FACT_IMPORTS[[#This Row],[hts_6]],DIM_PRODUCTS[hts_6],DIM_PRODUCTS[hts_4],,,)</f>
        <v>8511</v>
      </c>
      <c r="I12994" t="str" cm="1">
        <f t="array" ref="I12994">_xlfn.XLOOKUP(FACT_IMPORTS[[#This Row],[country_name]],DIM_COUNTRY[[#All],[Column2]],DIM_COUNTRY[[#All],[Column3]],,,)</f>
        <v>Major_Non-USMCA_Non-China</v>
      </c>
    </row>
    <row r="12995" spans="1:9" x14ac:dyDescent="0.4">
      <c r="A12995" t="s">
        <v>75</v>
      </c>
      <c r="B12995" s="1">
        <v>45170</v>
      </c>
      <c r="C12995">
        <v>851150</v>
      </c>
      <c r="D12995" t="s">
        <v>176</v>
      </c>
      <c r="E12995">
        <v>9016</v>
      </c>
      <c r="F12995">
        <v>10</v>
      </c>
      <c r="G12995">
        <v>38</v>
      </c>
      <c r="H12995">
        <f>_xlfn.XLOOKUP(FACT_IMPORTS[[#This Row],[hts_6]],DIM_PRODUCTS[hts_6],DIM_PRODUCTS[hts_4],,,)</f>
        <v>8511</v>
      </c>
      <c r="I12995" t="str" cm="1">
        <f t="array" ref="I12995">_xlfn.XLOOKUP(FACT_IMPORTS[[#This Row],[country_name]],DIM_COUNTRY[[#All],[Column2]],DIM_COUNTRY[[#All],[Column3]],,,)</f>
        <v>Major_Non-USMCA_Non-China</v>
      </c>
    </row>
    <row r="12996" spans="1:9" x14ac:dyDescent="0.4">
      <c r="A12996" t="s">
        <v>75</v>
      </c>
      <c r="B12996" s="1">
        <v>45170</v>
      </c>
      <c r="C12996">
        <v>851180</v>
      </c>
      <c r="D12996" t="s">
        <v>176</v>
      </c>
      <c r="E12996">
        <v>0</v>
      </c>
      <c r="F12996">
        <v>0</v>
      </c>
      <c r="G12996">
        <v>0</v>
      </c>
      <c r="H12996">
        <f>_xlfn.XLOOKUP(FACT_IMPORTS[[#This Row],[hts_6]],DIM_PRODUCTS[hts_6],DIM_PRODUCTS[hts_4],,,)</f>
        <v>8511</v>
      </c>
      <c r="I12996" t="str" cm="1">
        <f t="array" ref="I12996">_xlfn.XLOOKUP(FACT_IMPORTS[[#This Row],[country_name]],DIM_COUNTRY[[#All],[Column2]],DIM_COUNTRY[[#All],[Column3]],,,)</f>
        <v>Major_Non-USMCA_Non-China</v>
      </c>
    </row>
    <row r="12997" spans="1:9" x14ac:dyDescent="0.4">
      <c r="A12997" t="s">
        <v>75</v>
      </c>
      <c r="B12997" s="1">
        <v>45170</v>
      </c>
      <c r="C12997">
        <v>851190</v>
      </c>
      <c r="D12997" t="s">
        <v>176</v>
      </c>
      <c r="E12997">
        <v>0</v>
      </c>
      <c r="F12997">
        <v>0</v>
      </c>
      <c r="G12997">
        <v>0</v>
      </c>
      <c r="H12997">
        <f>_xlfn.XLOOKUP(FACT_IMPORTS[[#This Row],[hts_6]],DIM_PRODUCTS[hts_6],DIM_PRODUCTS[hts_4],,,)</f>
        <v>8511</v>
      </c>
      <c r="I12997" t="str" cm="1">
        <f t="array" ref="I12997">_xlfn.XLOOKUP(FACT_IMPORTS[[#This Row],[country_name]],DIM_COUNTRY[[#All],[Column2]],DIM_COUNTRY[[#All],[Column3]],,,)</f>
        <v>Major_Non-USMCA_Non-China</v>
      </c>
    </row>
    <row r="12998" spans="1:9" x14ac:dyDescent="0.4">
      <c r="A12998" t="s">
        <v>75</v>
      </c>
      <c r="B12998" s="1">
        <v>45170</v>
      </c>
      <c r="C12998">
        <v>851220</v>
      </c>
      <c r="D12998" t="s">
        <v>176</v>
      </c>
      <c r="E12998">
        <v>2865363</v>
      </c>
      <c r="F12998">
        <v>435761</v>
      </c>
      <c r="G12998">
        <v>48829</v>
      </c>
      <c r="H12998">
        <f>_xlfn.XLOOKUP(FACT_IMPORTS[[#This Row],[hts_6]],DIM_PRODUCTS[hts_6],DIM_PRODUCTS[hts_4],,,)</f>
        <v>8512</v>
      </c>
      <c r="I12998" t="str" cm="1">
        <f t="array" ref="I12998">_xlfn.XLOOKUP(FACT_IMPORTS[[#This Row],[country_name]],DIM_COUNTRY[[#All],[Column2]],DIM_COUNTRY[[#All],[Column3]],,,)</f>
        <v>Major_Non-USMCA_Non-China</v>
      </c>
    </row>
    <row r="12999" spans="1:9" x14ac:dyDescent="0.4">
      <c r="A12999" t="s">
        <v>75</v>
      </c>
      <c r="B12999" s="1">
        <v>45170</v>
      </c>
      <c r="C12999">
        <v>851230</v>
      </c>
      <c r="D12999" t="s">
        <v>176</v>
      </c>
      <c r="E12999">
        <v>0</v>
      </c>
      <c r="F12999">
        <v>0</v>
      </c>
      <c r="G12999">
        <v>0</v>
      </c>
      <c r="H12999">
        <f>_xlfn.XLOOKUP(FACT_IMPORTS[[#This Row],[hts_6]],DIM_PRODUCTS[hts_6],DIM_PRODUCTS[hts_4],,,)</f>
        <v>8512</v>
      </c>
      <c r="I12999" t="str" cm="1">
        <f t="array" ref="I12999">_xlfn.XLOOKUP(FACT_IMPORTS[[#This Row],[country_name]],DIM_COUNTRY[[#All],[Column2]],DIM_COUNTRY[[#All],[Column3]],,,)</f>
        <v>Major_Non-USMCA_Non-China</v>
      </c>
    </row>
    <row r="13000" spans="1:9" x14ac:dyDescent="0.4">
      <c r="A13000" t="s">
        <v>75</v>
      </c>
      <c r="B13000" s="1">
        <v>45170</v>
      </c>
      <c r="C13000">
        <v>851240</v>
      </c>
      <c r="D13000" t="s">
        <v>176</v>
      </c>
      <c r="E13000">
        <v>0</v>
      </c>
      <c r="F13000">
        <v>0</v>
      </c>
      <c r="G13000">
        <v>0</v>
      </c>
      <c r="H13000">
        <f>_xlfn.XLOOKUP(FACT_IMPORTS[[#This Row],[hts_6]],DIM_PRODUCTS[hts_6],DIM_PRODUCTS[hts_4],,,)</f>
        <v>8512</v>
      </c>
      <c r="I13000" t="str" cm="1">
        <f t="array" ref="I13000">_xlfn.XLOOKUP(FACT_IMPORTS[[#This Row],[country_name]],DIM_COUNTRY[[#All],[Column2]],DIM_COUNTRY[[#All],[Column3]],,,)</f>
        <v>Major_Non-USMCA_Non-China</v>
      </c>
    </row>
    <row r="13001" spans="1:9" x14ac:dyDescent="0.4">
      <c r="A13001" t="s">
        <v>75</v>
      </c>
      <c r="B13001" s="1">
        <v>45170</v>
      </c>
      <c r="C13001">
        <v>851290</v>
      </c>
      <c r="D13001" t="s">
        <v>176</v>
      </c>
      <c r="E13001">
        <v>2641427</v>
      </c>
      <c r="F13001">
        <v>46952</v>
      </c>
      <c r="G13001">
        <v>29817</v>
      </c>
      <c r="H13001">
        <f>_xlfn.XLOOKUP(FACT_IMPORTS[[#This Row],[hts_6]],DIM_PRODUCTS[hts_6],DIM_PRODUCTS[hts_4],,,)</f>
        <v>8512</v>
      </c>
      <c r="I13001" t="str" cm="1">
        <f t="array" ref="I13001">_xlfn.XLOOKUP(FACT_IMPORTS[[#This Row],[country_name]],DIM_COUNTRY[[#All],[Column2]],DIM_COUNTRY[[#All],[Column3]],,,)</f>
        <v>Major_Non-USMCA_Non-China</v>
      </c>
    </row>
    <row r="13002" spans="1:9" x14ac:dyDescent="0.4">
      <c r="A13002" t="s">
        <v>75</v>
      </c>
      <c r="B13002" s="1">
        <v>45170</v>
      </c>
      <c r="C13002">
        <v>854231</v>
      </c>
      <c r="D13002" t="s">
        <v>176</v>
      </c>
      <c r="E13002">
        <v>3925</v>
      </c>
      <c r="F13002">
        <v>1570</v>
      </c>
      <c r="G13002">
        <v>34</v>
      </c>
      <c r="H13002">
        <f>_xlfn.XLOOKUP(FACT_IMPORTS[[#This Row],[hts_6]],DIM_PRODUCTS[hts_6],DIM_PRODUCTS[hts_4],,,)</f>
        <v>8542</v>
      </c>
      <c r="I13002" t="str" cm="1">
        <f t="array" ref="I13002">_xlfn.XLOOKUP(FACT_IMPORTS[[#This Row],[country_name]],DIM_COUNTRY[[#All],[Column2]],DIM_COUNTRY[[#All],[Column3]],,,)</f>
        <v>Major_Non-USMCA_Non-China</v>
      </c>
    </row>
    <row r="13003" spans="1:9" x14ac:dyDescent="0.4">
      <c r="A13003" t="s">
        <v>75</v>
      </c>
      <c r="B13003" s="1">
        <v>45170</v>
      </c>
      <c r="C13003">
        <v>854232</v>
      </c>
      <c r="D13003" t="s">
        <v>176</v>
      </c>
      <c r="E13003">
        <v>0</v>
      </c>
      <c r="F13003">
        <v>0</v>
      </c>
      <c r="G13003">
        <v>0</v>
      </c>
      <c r="H13003">
        <f>_xlfn.XLOOKUP(FACT_IMPORTS[[#This Row],[hts_6]],DIM_PRODUCTS[hts_6],DIM_PRODUCTS[hts_4],,,)</f>
        <v>8542</v>
      </c>
      <c r="I13003" t="str" cm="1">
        <f t="array" ref="I13003">_xlfn.XLOOKUP(FACT_IMPORTS[[#This Row],[country_name]],DIM_COUNTRY[[#All],[Column2]],DIM_COUNTRY[[#All],[Column3]],,,)</f>
        <v>Major_Non-USMCA_Non-China</v>
      </c>
    </row>
    <row r="13004" spans="1:9" x14ac:dyDescent="0.4">
      <c r="A13004" t="s">
        <v>75</v>
      </c>
      <c r="B13004" s="1">
        <v>45170</v>
      </c>
      <c r="C13004">
        <v>854239</v>
      </c>
      <c r="D13004" t="s">
        <v>176</v>
      </c>
      <c r="E13004">
        <v>2202401</v>
      </c>
      <c r="F13004">
        <v>666526</v>
      </c>
      <c r="G13004">
        <v>220092</v>
      </c>
      <c r="H13004">
        <f>_xlfn.XLOOKUP(FACT_IMPORTS[[#This Row],[hts_6]],DIM_PRODUCTS[hts_6],DIM_PRODUCTS[hts_4],,,)</f>
        <v>8542</v>
      </c>
      <c r="I13004" t="str" cm="1">
        <f t="array" ref="I13004">_xlfn.XLOOKUP(FACT_IMPORTS[[#This Row],[country_name]],DIM_COUNTRY[[#All],[Column2]],DIM_COUNTRY[[#All],[Column3]],,,)</f>
        <v>Major_Non-USMCA_Non-China</v>
      </c>
    </row>
    <row r="13005" spans="1:9" x14ac:dyDescent="0.4">
      <c r="A13005" t="s">
        <v>75</v>
      </c>
      <c r="B13005" s="1">
        <v>45170</v>
      </c>
      <c r="C13005">
        <v>854290</v>
      </c>
      <c r="D13005" t="s">
        <v>176</v>
      </c>
      <c r="E13005">
        <v>0</v>
      </c>
      <c r="F13005">
        <v>0</v>
      </c>
      <c r="G13005">
        <v>0</v>
      </c>
      <c r="H13005">
        <f>_xlfn.XLOOKUP(FACT_IMPORTS[[#This Row],[hts_6]],DIM_PRODUCTS[hts_6],DIM_PRODUCTS[hts_4],,,)</f>
        <v>8542</v>
      </c>
      <c r="I13005" t="str" cm="1">
        <f t="array" ref="I13005">_xlfn.XLOOKUP(FACT_IMPORTS[[#This Row],[country_name]],DIM_COUNTRY[[#All],[Column2]],DIM_COUNTRY[[#All],[Column3]],,,)</f>
        <v>Major_Non-USMCA_Non-China</v>
      </c>
    </row>
    <row r="13006" spans="1:9" x14ac:dyDescent="0.4">
      <c r="A13006" t="s">
        <v>75</v>
      </c>
      <c r="B13006" s="1">
        <v>45170</v>
      </c>
      <c r="C13006">
        <v>854430</v>
      </c>
      <c r="D13006" t="s">
        <v>176</v>
      </c>
      <c r="E13006">
        <v>70298</v>
      </c>
      <c r="F13006">
        <v>5671</v>
      </c>
      <c r="G13006">
        <v>272</v>
      </c>
      <c r="H13006">
        <f>_xlfn.XLOOKUP(FACT_IMPORTS[[#This Row],[hts_6]],DIM_PRODUCTS[hts_6],DIM_PRODUCTS[hts_4],,,)</f>
        <v>8544</v>
      </c>
      <c r="I13006" t="str" cm="1">
        <f t="array" ref="I13006">_xlfn.XLOOKUP(FACT_IMPORTS[[#This Row],[country_name]],DIM_COUNTRY[[#All],[Column2]],DIM_COUNTRY[[#All],[Column3]],,,)</f>
        <v>Major_Non-USMCA_Non-China</v>
      </c>
    </row>
    <row r="13007" spans="1:9" x14ac:dyDescent="0.4">
      <c r="A13007" t="s">
        <v>75</v>
      </c>
      <c r="B13007" s="1">
        <v>45170</v>
      </c>
      <c r="C13007">
        <v>870810</v>
      </c>
      <c r="D13007" t="s">
        <v>176</v>
      </c>
      <c r="E13007">
        <v>476844</v>
      </c>
      <c r="F13007">
        <v>12878</v>
      </c>
      <c r="G13007">
        <v>54167</v>
      </c>
      <c r="H13007">
        <f>_xlfn.XLOOKUP(FACT_IMPORTS[[#This Row],[hts_6]],DIM_PRODUCTS[hts_6],DIM_PRODUCTS[hts_4],,,)</f>
        <v>8708</v>
      </c>
      <c r="I13007" t="str" cm="1">
        <f t="array" ref="I13007">_xlfn.XLOOKUP(FACT_IMPORTS[[#This Row],[country_name]],DIM_COUNTRY[[#All],[Column2]],DIM_COUNTRY[[#All],[Column3]],,,)</f>
        <v>Major_Non-USMCA_Non-China</v>
      </c>
    </row>
    <row r="13008" spans="1:9" x14ac:dyDescent="0.4">
      <c r="A13008" t="s">
        <v>75</v>
      </c>
      <c r="B13008" s="1">
        <v>45170</v>
      </c>
      <c r="C13008">
        <v>870829</v>
      </c>
      <c r="D13008" t="s">
        <v>176</v>
      </c>
      <c r="E13008">
        <v>538194</v>
      </c>
      <c r="F13008">
        <v>127563</v>
      </c>
      <c r="G13008">
        <v>20348</v>
      </c>
      <c r="H13008">
        <f>_xlfn.XLOOKUP(FACT_IMPORTS[[#This Row],[hts_6]],DIM_PRODUCTS[hts_6],DIM_PRODUCTS[hts_4],,,)</f>
        <v>8708</v>
      </c>
      <c r="I13008" t="str" cm="1">
        <f t="array" ref="I13008">_xlfn.XLOOKUP(FACT_IMPORTS[[#This Row],[country_name]],DIM_COUNTRY[[#All],[Column2]],DIM_COUNTRY[[#All],[Column3]],,,)</f>
        <v>Major_Non-USMCA_Non-China</v>
      </c>
    </row>
    <row r="13009" spans="1:9" x14ac:dyDescent="0.4">
      <c r="A13009" t="s">
        <v>75</v>
      </c>
      <c r="B13009" s="1">
        <v>45170</v>
      </c>
      <c r="C13009">
        <v>870830</v>
      </c>
      <c r="D13009" t="s">
        <v>176</v>
      </c>
      <c r="E13009">
        <v>2062</v>
      </c>
      <c r="F13009">
        <v>21</v>
      </c>
      <c r="G13009">
        <v>7</v>
      </c>
      <c r="H13009">
        <f>_xlfn.XLOOKUP(FACT_IMPORTS[[#This Row],[hts_6]],DIM_PRODUCTS[hts_6],DIM_PRODUCTS[hts_4],,,)</f>
        <v>8708</v>
      </c>
      <c r="I13009" t="str" cm="1">
        <f t="array" ref="I13009">_xlfn.XLOOKUP(FACT_IMPORTS[[#This Row],[country_name]],DIM_COUNTRY[[#All],[Column2]],DIM_COUNTRY[[#All],[Column3]],,,)</f>
        <v>Major_Non-USMCA_Non-China</v>
      </c>
    </row>
    <row r="13010" spans="1:9" x14ac:dyDescent="0.4">
      <c r="A13010" t="s">
        <v>75</v>
      </c>
      <c r="B13010" s="1">
        <v>45170</v>
      </c>
      <c r="C13010">
        <v>870840</v>
      </c>
      <c r="D13010" t="s">
        <v>176</v>
      </c>
      <c r="E13010">
        <v>854200</v>
      </c>
      <c r="F13010">
        <v>58525</v>
      </c>
      <c r="G13010">
        <v>19695</v>
      </c>
      <c r="H13010">
        <f>_xlfn.XLOOKUP(FACT_IMPORTS[[#This Row],[hts_6]],DIM_PRODUCTS[hts_6],DIM_PRODUCTS[hts_4],,,)</f>
        <v>8708</v>
      </c>
      <c r="I13010" t="str" cm="1">
        <f t="array" ref="I13010">_xlfn.XLOOKUP(FACT_IMPORTS[[#This Row],[country_name]],DIM_COUNTRY[[#All],[Column2]],DIM_COUNTRY[[#All],[Column3]],,,)</f>
        <v>Major_Non-USMCA_Non-China</v>
      </c>
    </row>
    <row r="13011" spans="1:9" x14ac:dyDescent="0.4">
      <c r="A13011" t="s">
        <v>75</v>
      </c>
      <c r="B13011" s="1">
        <v>45170</v>
      </c>
      <c r="C13011">
        <v>870850</v>
      </c>
      <c r="D13011" t="s">
        <v>176</v>
      </c>
      <c r="E13011">
        <v>10566</v>
      </c>
      <c r="F13011">
        <v>46</v>
      </c>
      <c r="G13011">
        <v>20</v>
      </c>
      <c r="H13011">
        <f>_xlfn.XLOOKUP(FACT_IMPORTS[[#This Row],[hts_6]],DIM_PRODUCTS[hts_6],DIM_PRODUCTS[hts_4],,,)</f>
        <v>8708</v>
      </c>
      <c r="I13011" t="str" cm="1">
        <f t="array" ref="I13011">_xlfn.XLOOKUP(FACT_IMPORTS[[#This Row],[country_name]],DIM_COUNTRY[[#All],[Column2]],DIM_COUNTRY[[#All],[Column3]],,,)</f>
        <v>Major_Non-USMCA_Non-China</v>
      </c>
    </row>
    <row r="13012" spans="1:9" x14ac:dyDescent="0.4">
      <c r="A13012" t="s">
        <v>75</v>
      </c>
      <c r="B13012" s="1">
        <v>45170</v>
      </c>
      <c r="C13012">
        <v>870870</v>
      </c>
      <c r="D13012" t="s">
        <v>176</v>
      </c>
      <c r="E13012">
        <v>2910817</v>
      </c>
      <c r="F13012">
        <v>13740</v>
      </c>
      <c r="G13012">
        <v>78809</v>
      </c>
      <c r="H13012">
        <f>_xlfn.XLOOKUP(FACT_IMPORTS[[#This Row],[hts_6]],DIM_PRODUCTS[hts_6],DIM_PRODUCTS[hts_4],,,)</f>
        <v>8708</v>
      </c>
      <c r="I13012" t="str" cm="1">
        <f t="array" ref="I13012">_xlfn.XLOOKUP(FACT_IMPORTS[[#This Row],[country_name]],DIM_COUNTRY[[#All],[Column2]],DIM_COUNTRY[[#All],[Column3]],,,)</f>
        <v>Major_Non-USMCA_Non-China</v>
      </c>
    </row>
    <row r="13013" spans="1:9" x14ac:dyDescent="0.4">
      <c r="A13013" t="s">
        <v>75</v>
      </c>
      <c r="B13013" s="1">
        <v>45170</v>
      </c>
      <c r="C13013">
        <v>870880</v>
      </c>
      <c r="D13013" t="s">
        <v>176</v>
      </c>
      <c r="E13013">
        <v>749224</v>
      </c>
      <c r="F13013">
        <v>82625</v>
      </c>
      <c r="G13013">
        <v>35938</v>
      </c>
      <c r="H13013">
        <f>_xlfn.XLOOKUP(FACT_IMPORTS[[#This Row],[hts_6]],DIM_PRODUCTS[hts_6],DIM_PRODUCTS[hts_4],,,)</f>
        <v>8708</v>
      </c>
      <c r="I13013" t="str" cm="1">
        <f t="array" ref="I13013">_xlfn.XLOOKUP(FACT_IMPORTS[[#This Row],[country_name]],DIM_COUNTRY[[#All],[Column2]],DIM_COUNTRY[[#All],[Column3]],,,)</f>
        <v>Major_Non-USMCA_Non-China</v>
      </c>
    </row>
    <row r="13014" spans="1:9" x14ac:dyDescent="0.4">
      <c r="A13014" t="s">
        <v>75</v>
      </c>
      <c r="B13014" s="1">
        <v>45170</v>
      </c>
      <c r="C13014">
        <v>870891</v>
      </c>
      <c r="D13014" t="s">
        <v>176</v>
      </c>
      <c r="E13014">
        <v>34129</v>
      </c>
      <c r="F13014">
        <v>17694</v>
      </c>
      <c r="G13014">
        <v>3350</v>
      </c>
      <c r="H13014">
        <f>_xlfn.XLOOKUP(FACT_IMPORTS[[#This Row],[hts_6]],DIM_PRODUCTS[hts_6],DIM_PRODUCTS[hts_4],,,)</f>
        <v>8708</v>
      </c>
      <c r="I13014" t="str" cm="1">
        <f t="array" ref="I13014">_xlfn.XLOOKUP(FACT_IMPORTS[[#This Row],[country_name]],DIM_COUNTRY[[#All],[Column2]],DIM_COUNTRY[[#All],[Column3]],,,)</f>
        <v>Major_Non-USMCA_Non-China</v>
      </c>
    </row>
    <row r="13015" spans="1:9" x14ac:dyDescent="0.4">
      <c r="A13015" t="s">
        <v>75</v>
      </c>
      <c r="B13015" s="1">
        <v>45170</v>
      </c>
      <c r="C13015">
        <v>870892</v>
      </c>
      <c r="D13015" t="s">
        <v>176</v>
      </c>
      <c r="E13015">
        <v>47500</v>
      </c>
      <c r="F13015">
        <v>200</v>
      </c>
      <c r="G13015">
        <v>1</v>
      </c>
      <c r="H13015">
        <f>_xlfn.XLOOKUP(FACT_IMPORTS[[#This Row],[hts_6]],DIM_PRODUCTS[hts_6],DIM_PRODUCTS[hts_4],,,)</f>
        <v>8708</v>
      </c>
      <c r="I13015" t="str" cm="1">
        <f t="array" ref="I13015">_xlfn.XLOOKUP(FACT_IMPORTS[[#This Row],[country_name]],DIM_COUNTRY[[#All],[Column2]],DIM_COUNTRY[[#All],[Column3]],,,)</f>
        <v>Major_Non-USMCA_Non-China</v>
      </c>
    </row>
    <row r="13016" spans="1:9" x14ac:dyDescent="0.4">
      <c r="A13016" t="s">
        <v>75</v>
      </c>
      <c r="B13016" s="1">
        <v>45170</v>
      </c>
      <c r="C13016">
        <v>870893</v>
      </c>
      <c r="D13016" t="s">
        <v>176</v>
      </c>
      <c r="E13016">
        <v>50375</v>
      </c>
      <c r="F13016">
        <v>5449</v>
      </c>
      <c r="G13016">
        <v>4044</v>
      </c>
      <c r="H13016">
        <f>_xlfn.XLOOKUP(FACT_IMPORTS[[#This Row],[hts_6]],DIM_PRODUCTS[hts_6],DIM_PRODUCTS[hts_4],,,)</f>
        <v>8708</v>
      </c>
      <c r="I13016" t="str" cm="1">
        <f t="array" ref="I13016">_xlfn.XLOOKUP(FACT_IMPORTS[[#This Row],[country_name]],DIM_COUNTRY[[#All],[Column2]],DIM_COUNTRY[[#All],[Column3]],,,)</f>
        <v>Major_Non-USMCA_Non-China</v>
      </c>
    </row>
    <row r="13017" spans="1:9" x14ac:dyDescent="0.4">
      <c r="A13017" t="s">
        <v>75</v>
      </c>
      <c r="B13017" s="1">
        <v>45170</v>
      </c>
      <c r="C13017">
        <v>870894</v>
      </c>
      <c r="D13017" t="s">
        <v>176</v>
      </c>
      <c r="E13017">
        <v>89091</v>
      </c>
      <c r="F13017">
        <v>72805</v>
      </c>
      <c r="G13017">
        <v>2978</v>
      </c>
      <c r="H13017">
        <f>_xlfn.XLOOKUP(FACT_IMPORTS[[#This Row],[hts_6]],DIM_PRODUCTS[hts_6],DIM_PRODUCTS[hts_4],,,)</f>
        <v>8708</v>
      </c>
      <c r="I13017" t="str" cm="1">
        <f t="array" ref="I13017">_xlfn.XLOOKUP(FACT_IMPORTS[[#This Row],[country_name]],DIM_COUNTRY[[#All],[Column2]],DIM_COUNTRY[[#All],[Column3]],,,)</f>
        <v>Major_Non-USMCA_Non-China</v>
      </c>
    </row>
    <row r="13018" spans="1:9" x14ac:dyDescent="0.4">
      <c r="A13018" t="s">
        <v>75</v>
      </c>
      <c r="B13018" s="1">
        <v>45170</v>
      </c>
      <c r="C13018">
        <v>870899</v>
      </c>
      <c r="D13018" t="s">
        <v>176</v>
      </c>
      <c r="E13018">
        <v>828732</v>
      </c>
      <c r="F13018">
        <v>1004825</v>
      </c>
      <c r="G13018">
        <v>62620</v>
      </c>
      <c r="H13018">
        <f>_xlfn.XLOOKUP(FACT_IMPORTS[[#This Row],[hts_6]],DIM_PRODUCTS[hts_6],DIM_PRODUCTS[hts_4],,,)</f>
        <v>8708</v>
      </c>
      <c r="I13018" t="str" cm="1">
        <f t="array" ref="I13018">_xlfn.XLOOKUP(FACT_IMPORTS[[#This Row],[country_name]],DIM_COUNTRY[[#All],[Column2]],DIM_COUNTRY[[#All],[Column3]],,,)</f>
        <v>Major_Non-USMCA_Non-China</v>
      </c>
    </row>
    <row r="13019" spans="1:9" x14ac:dyDescent="0.4">
      <c r="A13019" t="s">
        <v>75</v>
      </c>
      <c r="B13019" s="1">
        <v>45170</v>
      </c>
      <c r="C13019">
        <v>940120</v>
      </c>
      <c r="D13019" t="s">
        <v>176</v>
      </c>
      <c r="E13019">
        <v>0</v>
      </c>
      <c r="F13019">
        <v>0</v>
      </c>
      <c r="G13019">
        <v>0</v>
      </c>
      <c r="H13019">
        <f>_xlfn.XLOOKUP(FACT_IMPORTS[[#This Row],[hts_6]],DIM_PRODUCTS[hts_6],DIM_PRODUCTS[hts_4],,,)</f>
        <v>9401</v>
      </c>
      <c r="I13019" t="str" cm="1">
        <f t="array" ref="I13019">_xlfn.XLOOKUP(FACT_IMPORTS[[#This Row],[country_name]],DIM_COUNTRY[[#All],[Column2]],DIM_COUNTRY[[#All],[Column3]],,,)</f>
        <v>Major_Non-USMCA_Non-China</v>
      </c>
    </row>
    <row r="13020" spans="1:9" x14ac:dyDescent="0.4">
      <c r="A13020" t="s">
        <v>75</v>
      </c>
      <c r="B13020" s="1">
        <v>45200</v>
      </c>
      <c r="C13020">
        <v>392630</v>
      </c>
      <c r="D13020" t="s">
        <v>176</v>
      </c>
      <c r="E13020">
        <v>215869</v>
      </c>
      <c r="F13020">
        <v>12235</v>
      </c>
      <c r="G13020">
        <v>11817</v>
      </c>
      <c r="H13020">
        <f>_xlfn.XLOOKUP(FACT_IMPORTS[[#This Row],[hts_6]],DIM_PRODUCTS[hts_6],DIM_PRODUCTS[hts_4],,,)</f>
        <v>3926</v>
      </c>
      <c r="I13020" t="str" cm="1">
        <f t="array" ref="I13020">_xlfn.XLOOKUP(FACT_IMPORTS[[#This Row],[country_name]],DIM_COUNTRY[[#All],[Column2]],DIM_COUNTRY[[#All],[Column3]],,,)</f>
        <v>Major_Non-USMCA_Non-China</v>
      </c>
    </row>
    <row r="13021" spans="1:9" x14ac:dyDescent="0.4">
      <c r="A13021" t="s">
        <v>75</v>
      </c>
      <c r="B13021" s="1">
        <v>45200</v>
      </c>
      <c r="C13021">
        <v>401110</v>
      </c>
      <c r="D13021" t="s">
        <v>176</v>
      </c>
      <c r="E13021">
        <v>3900</v>
      </c>
      <c r="F13021">
        <v>60</v>
      </c>
      <c r="G13021">
        <v>200</v>
      </c>
      <c r="H13021">
        <f>_xlfn.XLOOKUP(FACT_IMPORTS[[#This Row],[hts_6]],DIM_PRODUCTS[hts_6],DIM_PRODUCTS[hts_4],,,)</f>
        <v>4011</v>
      </c>
      <c r="I13021" t="str" cm="1">
        <f t="array" ref="I13021">_xlfn.XLOOKUP(FACT_IMPORTS[[#This Row],[country_name]],DIM_COUNTRY[[#All],[Column2]],DIM_COUNTRY[[#All],[Column3]],,,)</f>
        <v>Major_Non-USMCA_Non-China</v>
      </c>
    </row>
    <row r="13022" spans="1:9" x14ac:dyDescent="0.4">
      <c r="A13022" t="s">
        <v>75</v>
      </c>
      <c r="B13022" s="1">
        <v>45200</v>
      </c>
      <c r="C13022">
        <v>401120</v>
      </c>
      <c r="D13022" t="s">
        <v>176</v>
      </c>
      <c r="E13022">
        <v>0</v>
      </c>
      <c r="F13022">
        <v>0</v>
      </c>
      <c r="G13022">
        <v>0</v>
      </c>
      <c r="H13022">
        <f>_xlfn.XLOOKUP(FACT_IMPORTS[[#This Row],[hts_6]],DIM_PRODUCTS[hts_6],DIM_PRODUCTS[hts_4],,,)</f>
        <v>4011</v>
      </c>
      <c r="I13022" t="str" cm="1">
        <f t="array" ref="I13022">_xlfn.XLOOKUP(FACT_IMPORTS[[#This Row],[country_name]],DIM_COUNTRY[[#All],[Column2]],DIM_COUNTRY[[#All],[Column3]],,,)</f>
        <v>Major_Non-USMCA_Non-China</v>
      </c>
    </row>
    <row r="13023" spans="1:9" x14ac:dyDescent="0.4">
      <c r="A13023" t="s">
        <v>75</v>
      </c>
      <c r="B13023" s="1">
        <v>45200</v>
      </c>
      <c r="C13023">
        <v>401140</v>
      </c>
      <c r="D13023" t="s">
        <v>176</v>
      </c>
      <c r="E13023">
        <v>0</v>
      </c>
      <c r="F13023">
        <v>0</v>
      </c>
      <c r="G13023">
        <v>0</v>
      </c>
      <c r="H13023">
        <f>_xlfn.XLOOKUP(FACT_IMPORTS[[#This Row],[hts_6]],DIM_PRODUCTS[hts_6],DIM_PRODUCTS[hts_4],,,)</f>
        <v>4011</v>
      </c>
      <c r="I13023" t="str" cm="1">
        <f t="array" ref="I13023">_xlfn.XLOOKUP(FACT_IMPORTS[[#This Row],[country_name]],DIM_COUNTRY[[#All],[Column2]],DIM_COUNTRY[[#All],[Column3]],,,)</f>
        <v>Major_Non-USMCA_Non-China</v>
      </c>
    </row>
    <row r="13024" spans="1:9" x14ac:dyDescent="0.4">
      <c r="A13024" t="s">
        <v>75</v>
      </c>
      <c r="B13024" s="1">
        <v>45200</v>
      </c>
      <c r="C13024">
        <v>401190</v>
      </c>
      <c r="D13024" t="s">
        <v>176</v>
      </c>
      <c r="E13024">
        <v>7299</v>
      </c>
      <c r="F13024">
        <v>86</v>
      </c>
      <c r="G13024">
        <v>59</v>
      </c>
      <c r="H13024">
        <f>_xlfn.XLOOKUP(FACT_IMPORTS[[#This Row],[hts_6]],DIM_PRODUCTS[hts_6],DIM_PRODUCTS[hts_4],,,)</f>
        <v>4011</v>
      </c>
      <c r="I13024" t="str" cm="1">
        <f t="array" ref="I13024">_xlfn.XLOOKUP(FACT_IMPORTS[[#This Row],[country_name]],DIM_COUNTRY[[#All],[Column2]],DIM_COUNTRY[[#All],[Column3]],,,)</f>
        <v>Major_Non-USMCA_Non-China</v>
      </c>
    </row>
    <row r="13025" spans="1:9" x14ac:dyDescent="0.4">
      <c r="A13025" t="s">
        <v>75</v>
      </c>
      <c r="B13025" s="1">
        <v>45200</v>
      </c>
      <c r="C13025">
        <v>700910</v>
      </c>
      <c r="D13025" t="s">
        <v>176</v>
      </c>
      <c r="E13025">
        <v>46218</v>
      </c>
      <c r="F13025">
        <v>37516</v>
      </c>
      <c r="G13025">
        <v>2171</v>
      </c>
      <c r="H13025">
        <f>_xlfn.XLOOKUP(FACT_IMPORTS[[#This Row],[hts_6]],DIM_PRODUCTS[hts_6],DIM_PRODUCTS[hts_4],,,)</f>
        <v>7009</v>
      </c>
      <c r="I13025" t="str" cm="1">
        <f t="array" ref="I13025">_xlfn.XLOOKUP(FACT_IMPORTS[[#This Row],[country_name]],DIM_COUNTRY[[#All],[Column2]],DIM_COUNTRY[[#All],[Column3]],,,)</f>
        <v>Major_Non-USMCA_Non-China</v>
      </c>
    </row>
    <row r="13026" spans="1:9" x14ac:dyDescent="0.4">
      <c r="A13026" t="s">
        <v>75</v>
      </c>
      <c r="B13026" s="1">
        <v>45200</v>
      </c>
      <c r="C13026">
        <v>830230</v>
      </c>
      <c r="D13026" t="s">
        <v>176</v>
      </c>
      <c r="E13026">
        <v>26159</v>
      </c>
      <c r="F13026">
        <v>2992</v>
      </c>
      <c r="G13026">
        <v>572</v>
      </c>
      <c r="H13026">
        <f>_xlfn.XLOOKUP(FACT_IMPORTS[[#This Row],[hts_6]],DIM_PRODUCTS[hts_6],DIM_PRODUCTS[hts_4],,,)</f>
        <v>8302</v>
      </c>
      <c r="I13026" t="str" cm="1">
        <f t="array" ref="I13026">_xlfn.XLOOKUP(FACT_IMPORTS[[#This Row],[country_name]],DIM_COUNTRY[[#All],[Column2]],DIM_COUNTRY[[#All],[Column3]],,,)</f>
        <v>Major_Non-USMCA_Non-China</v>
      </c>
    </row>
    <row r="13027" spans="1:9" x14ac:dyDescent="0.4">
      <c r="A13027" t="s">
        <v>75</v>
      </c>
      <c r="B13027" s="1">
        <v>45200</v>
      </c>
      <c r="C13027">
        <v>840732</v>
      </c>
      <c r="D13027" t="s">
        <v>176</v>
      </c>
      <c r="E13027">
        <v>0</v>
      </c>
      <c r="F13027">
        <v>0</v>
      </c>
      <c r="G13027">
        <v>0</v>
      </c>
      <c r="H13027">
        <f>_xlfn.XLOOKUP(FACT_IMPORTS[[#This Row],[hts_6]],DIM_PRODUCTS[hts_6],DIM_PRODUCTS[hts_4],,,)</f>
        <v>8407</v>
      </c>
      <c r="I13027" t="str" cm="1">
        <f t="array" ref="I13027">_xlfn.XLOOKUP(FACT_IMPORTS[[#This Row],[country_name]],DIM_COUNTRY[[#All],[Column2]],DIM_COUNTRY[[#All],[Column3]],,,)</f>
        <v>Major_Non-USMCA_Non-China</v>
      </c>
    </row>
    <row r="13028" spans="1:9" x14ac:dyDescent="0.4">
      <c r="A13028" t="s">
        <v>75</v>
      </c>
      <c r="B13028" s="1">
        <v>45200</v>
      </c>
      <c r="C13028">
        <v>840733</v>
      </c>
      <c r="D13028" t="s">
        <v>176</v>
      </c>
      <c r="E13028">
        <v>7617</v>
      </c>
      <c r="F13028">
        <v>2</v>
      </c>
      <c r="G13028">
        <v>498</v>
      </c>
      <c r="H13028">
        <f>_xlfn.XLOOKUP(FACT_IMPORTS[[#This Row],[hts_6]],DIM_PRODUCTS[hts_6],DIM_PRODUCTS[hts_4],,,)</f>
        <v>8407</v>
      </c>
      <c r="I13028" t="str" cm="1">
        <f t="array" ref="I13028">_xlfn.XLOOKUP(FACT_IMPORTS[[#This Row],[country_name]],DIM_COUNTRY[[#All],[Column2]],DIM_COUNTRY[[#All],[Column3]],,,)</f>
        <v>Major_Non-USMCA_Non-China</v>
      </c>
    </row>
    <row r="13029" spans="1:9" x14ac:dyDescent="0.4">
      <c r="A13029" t="s">
        <v>75</v>
      </c>
      <c r="B13029" s="1">
        <v>45200</v>
      </c>
      <c r="C13029">
        <v>840991</v>
      </c>
      <c r="D13029" t="s">
        <v>176</v>
      </c>
      <c r="E13029">
        <v>102510</v>
      </c>
      <c r="F13029">
        <v>7832</v>
      </c>
      <c r="G13029">
        <v>2501</v>
      </c>
      <c r="H13029">
        <f>_xlfn.XLOOKUP(FACT_IMPORTS[[#This Row],[hts_6]],DIM_PRODUCTS[hts_6],DIM_PRODUCTS[hts_4],,,)</f>
        <v>8409</v>
      </c>
      <c r="I13029" t="str" cm="1">
        <f t="array" ref="I13029">_xlfn.XLOOKUP(FACT_IMPORTS[[#This Row],[country_name]],DIM_COUNTRY[[#All],[Column2]],DIM_COUNTRY[[#All],[Column3]],,,)</f>
        <v>Major_Non-USMCA_Non-China</v>
      </c>
    </row>
    <row r="13030" spans="1:9" x14ac:dyDescent="0.4">
      <c r="A13030" t="s">
        <v>75</v>
      </c>
      <c r="B13030" s="1">
        <v>45200</v>
      </c>
      <c r="C13030">
        <v>840999</v>
      </c>
      <c r="D13030" t="s">
        <v>176</v>
      </c>
      <c r="E13030">
        <v>5889</v>
      </c>
      <c r="F13030">
        <v>208</v>
      </c>
      <c r="G13030">
        <v>5302</v>
      </c>
      <c r="H13030">
        <f>_xlfn.XLOOKUP(FACT_IMPORTS[[#This Row],[hts_6]],DIM_PRODUCTS[hts_6],DIM_PRODUCTS[hts_4],,,)</f>
        <v>8409</v>
      </c>
      <c r="I13030" t="str" cm="1">
        <f t="array" ref="I13030">_xlfn.XLOOKUP(FACT_IMPORTS[[#This Row],[country_name]],DIM_COUNTRY[[#All],[Column2]],DIM_COUNTRY[[#All],[Column3]],,,)</f>
        <v>Major_Non-USMCA_Non-China</v>
      </c>
    </row>
    <row r="13031" spans="1:9" x14ac:dyDescent="0.4">
      <c r="A13031" t="s">
        <v>75</v>
      </c>
      <c r="B13031" s="1">
        <v>45200</v>
      </c>
      <c r="C13031">
        <v>841330</v>
      </c>
      <c r="D13031" t="s">
        <v>176</v>
      </c>
      <c r="E13031">
        <v>0</v>
      </c>
      <c r="F13031">
        <v>0</v>
      </c>
      <c r="G13031">
        <v>0</v>
      </c>
      <c r="H13031">
        <f>_xlfn.XLOOKUP(FACT_IMPORTS[[#This Row],[hts_6]],DIM_PRODUCTS[hts_6],DIM_PRODUCTS[hts_4],,,)</f>
        <v>8413</v>
      </c>
      <c r="I13031" t="str" cm="1">
        <f t="array" ref="I13031">_xlfn.XLOOKUP(FACT_IMPORTS[[#This Row],[country_name]],DIM_COUNTRY[[#All],[Column2]],DIM_COUNTRY[[#All],[Column3]],,,)</f>
        <v>Major_Non-USMCA_Non-China</v>
      </c>
    </row>
    <row r="13032" spans="1:9" x14ac:dyDescent="0.4">
      <c r="A13032" t="s">
        <v>75</v>
      </c>
      <c r="B13032" s="1">
        <v>45200</v>
      </c>
      <c r="C13032">
        <v>842132</v>
      </c>
      <c r="D13032" t="s">
        <v>176</v>
      </c>
      <c r="E13032">
        <v>0</v>
      </c>
      <c r="F13032">
        <v>0</v>
      </c>
      <c r="G13032">
        <v>0</v>
      </c>
      <c r="H13032">
        <f>_xlfn.XLOOKUP(FACT_IMPORTS[[#This Row],[hts_6]],DIM_PRODUCTS[hts_6],DIM_PRODUCTS[hts_4],,,)</f>
        <v>8421</v>
      </c>
      <c r="I13032" t="str" cm="1">
        <f t="array" ref="I13032">_xlfn.XLOOKUP(FACT_IMPORTS[[#This Row],[country_name]],DIM_COUNTRY[[#All],[Column2]],DIM_COUNTRY[[#All],[Column3]],,,)</f>
        <v>Major_Non-USMCA_Non-China</v>
      </c>
    </row>
    <row r="13033" spans="1:9" x14ac:dyDescent="0.4">
      <c r="A13033" t="s">
        <v>75</v>
      </c>
      <c r="B13033" s="1">
        <v>45200</v>
      </c>
      <c r="C13033">
        <v>848210</v>
      </c>
      <c r="D13033" t="s">
        <v>176</v>
      </c>
      <c r="E13033">
        <v>221586</v>
      </c>
      <c r="F13033">
        <v>347511</v>
      </c>
      <c r="G13033">
        <v>4524</v>
      </c>
      <c r="H13033">
        <f>_xlfn.XLOOKUP(FACT_IMPORTS[[#This Row],[hts_6]],DIM_PRODUCTS[hts_6],DIM_PRODUCTS[hts_4],,,)</f>
        <v>8482</v>
      </c>
      <c r="I13033" t="str" cm="1">
        <f t="array" ref="I13033">_xlfn.XLOOKUP(FACT_IMPORTS[[#This Row],[country_name]],DIM_COUNTRY[[#All],[Column2]],DIM_COUNTRY[[#All],[Column3]],,,)</f>
        <v>Major_Non-USMCA_Non-China</v>
      </c>
    </row>
    <row r="13034" spans="1:9" x14ac:dyDescent="0.4">
      <c r="A13034" t="s">
        <v>75</v>
      </c>
      <c r="B13034" s="1">
        <v>45200</v>
      </c>
      <c r="C13034">
        <v>848310</v>
      </c>
      <c r="D13034" t="s">
        <v>176</v>
      </c>
      <c r="E13034">
        <v>0</v>
      </c>
      <c r="F13034">
        <v>0</v>
      </c>
      <c r="G13034">
        <v>0</v>
      </c>
      <c r="H13034">
        <f>_xlfn.XLOOKUP(FACT_IMPORTS[[#This Row],[hts_6]],DIM_PRODUCTS[hts_6],DIM_PRODUCTS[hts_4],,,)</f>
        <v>8483</v>
      </c>
      <c r="I13034" t="str" cm="1">
        <f t="array" ref="I13034">_xlfn.XLOOKUP(FACT_IMPORTS[[#This Row],[country_name]],DIM_COUNTRY[[#All],[Column2]],DIM_COUNTRY[[#All],[Column3]],,,)</f>
        <v>Major_Non-USMCA_Non-China</v>
      </c>
    </row>
    <row r="13035" spans="1:9" x14ac:dyDescent="0.4">
      <c r="A13035" t="s">
        <v>75</v>
      </c>
      <c r="B13035" s="1">
        <v>45200</v>
      </c>
      <c r="C13035">
        <v>850131</v>
      </c>
      <c r="D13035" t="s">
        <v>176</v>
      </c>
      <c r="E13035">
        <v>0</v>
      </c>
      <c r="F13035">
        <v>0</v>
      </c>
      <c r="G13035">
        <v>0</v>
      </c>
      <c r="H13035">
        <f>_xlfn.XLOOKUP(FACT_IMPORTS[[#This Row],[hts_6]],DIM_PRODUCTS[hts_6],DIM_PRODUCTS[hts_4],,,)</f>
        <v>8501</v>
      </c>
      <c r="I13035" t="str" cm="1">
        <f t="array" ref="I13035">_xlfn.XLOOKUP(FACT_IMPORTS[[#This Row],[country_name]],DIM_COUNTRY[[#All],[Column2]],DIM_COUNTRY[[#All],[Column3]],,,)</f>
        <v>Major_Non-USMCA_Non-China</v>
      </c>
    </row>
    <row r="13036" spans="1:9" x14ac:dyDescent="0.4">
      <c r="A13036" t="s">
        <v>75</v>
      </c>
      <c r="B13036" s="1">
        <v>45200</v>
      </c>
      <c r="C13036">
        <v>850132</v>
      </c>
      <c r="D13036" t="s">
        <v>176</v>
      </c>
      <c r="E13036">
        <v>3453</v>
      </c>
      <c r="F13036">
        <v>1</v>
      </c>
      <c r="G13036">
        <v>23</v>
      </c>
      <c r="H13036">
        <f>_xlfn.XLOOKUP(FACT_IMPORTS[[#This Row],[hts_6]],DIM_PRODUCTS[hts_6],DIM_PRODUCTS[hts_4],,,)</f>
        <v>8501</v>
      </c>
      <c r="I13036" t="str" cm="1">
        <f t="array" ref="I13036">_xlfn.XLOOKUP(FACT_IMPORTS[[#This Row],[country_name]],DIM_COUNTRY[[#All],[Column2]],DIM_COUNTRY[[#All],[Column3]],,,)</f>
        <v>Major_Non-USMCA_Non-China</v>
      </c>
    </row>
    <row r="13037" spans="1:9" x14ac:dyDescent="0.4">
      <c r="A13037" t="s">
        <v>75</v>
      </c>
      <c r="B13037" s="1">
        <v>45200</v>
      </c>
      <c r="C13037">
        <v>850152</v>
      </c>
      <c r="D13037" t="s">
        <v>176</v>
      </c>
      <c r="E13037">
        <v>106361</v>
      </c>
      <c r="F13037">
        <v>2520</v>
      </c>
      <c r="G13037">
        <v>1658</v>
      </c>
      <c r="H13037">
        <f>_xlfn.XLOOKUP(FACT_IMPORTS[[#This Row],[hts_6]],DIM_PRODUCTS[hts_6],DIM_PRODUCTS[hts_4],,,)</f>
        <v>8501</v>
      </c>
      <c r="I13037" t="str" cm="1">
        <f t="array" ref="I13037">_xlfn.XLOOKUP(FACT_IMPORTS[[#This Row],[country_name]],DIM_COUNTRY[[#All],[Column2]],DIM_COUNTRY[[#All],[Column3]],,,)</f>
        <v>Major_Non-USMCA_Non-China</v>
      </c>
    </row>
    <row r="13038" spans="1:9" x14ac:dyDescent="0.4">
      <c r="A13038" t="s">
        <v>75</v>
      </c>
      <c r="B13038" s="1">
        <v>45200</v>
      </c>
      <c r="C13038">
        <v>850153</v>
      </c>
      <c r="D13038" t="s">
        <v>176</v>
      </c>
      <c r="E13038">
        <v>0</v>
      </c>
      <c r="F13038">
        <v>0</v>
      </c>
      <c r="G13038">
        <v>0</v>
      </c>
      <c r="H13038">
        <f>_xlfn.XLOOKUP(FACT_IMPORTS[[#This Row],[hts_6]],DIM_PRODUCTS[hts_6],DIM_PRODUCTS[hts_4],,,)</f>
        <v>8501</v>
      </c>
      <c r="I13038" t="str" cm="1">
        <f t="array" ref="I13038">_xlfn.XLOOKUP(FACT_IMPORTS[[#This Row],[country_name]],DIM_COUNTRY[[#All],[Column2]],DIM_COUNTRY[[#All],[Column3]],,,)</f>
        <v>Major_Non-USMCA_Non-China</v>
      </c>
    </row>
    <row r="13039" spans="1:9" x14ac:dyDescent="0.4">
      <c r="A13039" t="s">
        <v>75</v>
      </c>
      <c r="B13039" s="1">
        <v>45200</v>
      </c>
      <c r="C13039">
        <v>850440</v>
      </c>
      <c r="D13039" t="s">
        <v>176</v>
      </c>
      <c r="E13039">
        <v>435949</v>
      </c>
      <c r="F13039">
        <v>11641</v>
      </c>
      <c r="G13039">
        <v>8129</v>
      </c>
      <c r="H13039">
        <f>_xlfn.XLOOKUP(FACT_IMPORTS[[#This Row],[hts_6]],DIM_PRODUCTS[hts_6],DIM_PRODUCTS[hts_4],,,)</f>
        <v>8504</v>
      </c>
      <c r="I13039" t="str" cm="1">
        <f t="array" ref="I13039">_xlfn.XLOOKUP(FACT_IMPORTS[[#This Row],[country_name]],DIM_COUNTRY[[#All],[Column2]],DIM_COUNTRY[[#All],[Column3]],,,)</f>
        <v>Major_Non-USMCA_Non-China</v>
      </c>
    </row>
    <row r="13040" spans="1:9" x14ac:dyDescent="0.4">
      <c r="A13040" t="s">
        <v>75</v>
      </c>
      <c r="B13040" s="1">
        <v>45200</v>
      </c>
      <c r="C13040">
        <v>850710</v>
      </c>
      <c r="D13040" t="s">
        <v>176</v>
      </c>
      <c r="E13040">
        <v>7797</v>
      </c>
      <c r="F13040">
        <v>117</v>
      </c>
      <c r="G13040">
        <v>7</v>
      </c>
      <c r="H13040">
        <f>_xlfn.XLOOKUP(FACT_IMPORTS[[#This Row],[hts_6]],DIM_PRODUCTS[hts_6],DIM_PRODUCTS[hts_4],,,)</f>
        <v>8507</v>
      </c>
      <c r="I13040" t="str" cm="1">
        <f t="array" ref="I13040">_xlfn.XLOOKUP(FACT_IMPORTS[[#This Row],[country_name]],DIM_COUNTRY[[#All],[Column2]],DIM_COUNTRY[[#All],[Column3]],,,)</f>
        <v>Major_Non-USMCA_Non-China</v>
      </c>
    </row>
    <row r="13041" spans="1:9" x14ac:dyDescent="0.4">
      <c r="A13041" t="s">
        <v>75</v>
      </c>
      <c r="B13041" s="1">
        <v>45200</v>
      </c>
      <c r="C13041">
        <v>850760</v>
      </c>
      <c r="D13041" t="s">
        <v>176</v>
      </c>
      <c r="E13041">
        <v>3028</v>
      </c>
      <c r="F13041">
        <v>50</v>
      </c>
      <c r="G13041">
        <v>15</v>
      </c>
      <c r="H13041">
        <f>_xlfn.XLOOKUP(FACT_IMPORTS[[#This Row],[hts_6]],DIM_PRODUCTS[hts_6],DIM_PRODUCTS[hts_4],,,)</f>
        <v>8507</v>
      </c>
      <c r="I13041" t="str" cm="1">
        <f t="array" ref="I13041">_xlfn.XLOOKUP(FACT_IMPORTS[[#This Row],[country_name]],DIM_COUNTRY[[#All],[Column2]],DIM_COUNTRY[[#All],[Column3]],,,)</f>
        <v>Major_Non-USMCA_Non-China</v>
      </c>
    </row>
    <row r="13042" spans="1:9" x14ac:dyDescent="0.4">
      <c r="A13042" t="s">
        <v>75</v>
      </c>
      <c r="B13042" s="1">
        <v>45200</v>
      </c>
      <c r="C13042">
        <v>851120</v>
      </c>
      <c r="D13042" t="s">
        <v>176</v>
      </c>
      <c r="E13042">
        <v>0</v>
      </c>
      <c r="F13042">
        <v>0</v>
      </c>
      <c r="G13042">
        <v>0</v>
      </c>
      <c r="H13042">
        <f>_xlfn.XLOOKUP(FACT_IMPORTS[[#This Row],[hts_6]],DIM_PRODUCTS[hts_6],DIM_PRODUCTS[hts_4],,,)</f>
        <v>8511</v>
      </c>
      <c r="I13042" t="str" cm="1">
        <f t="array" ref="I13042">_xlfn.XLOOKUP(FACT_IMPORTS[[#This Row],[country_name]],DIM_COUNTRY[[#All],[Column2]],DIM_COUNTRY[[#All],[Column3]],,,)</f>
        <v>Major_Non-USMCA_Non-China</v>
      </c>
    </row>
    <row r="13043" spans="1:9" x14ac:dyDescent="0.4">
      <c r="A13043" t="s">
        <v>75</v>
      </c>
      <c r="B13043" s="1">
        <v>45200</v>
      </c>
      <c r="C13043">
        <v>851130</v>
      </c>
      <c r="D13043" t="s">
        <v>176</v>
      </c>
      <c r="E13043">
        <v>0</v>
      </c>
      <c r="F13043">
        <v>0</v>
      </c>
      <c r="G13043">
        <v>0</v>
      </c>
      <c r="H13043">
        <f>_xlfn.XLOOKUP(FACT_IMPORTS[[#This Row],[hts_6]],DIM_PRODUCTS[hts_6],DIM_PRODUCTS[hts_4],,,)</f>
        <v>8511</v>
      </c>
      <c r="I13043" t="str" cm="1">
        <f t="array" ref="I13043">_xlfn.XLOOKUP(FACT_IMPORTS[[#This Row],[country_name]],DIM_COUNTRY[[#All],[Column2]],DIM_COUNTRY[[#All],[Column3]],,,)</f>
        <v>Major_Non-USMCA_Non-China</v>
      </c>
    </row>
    <row r="13044" spans="1:9" x14ac:dyDescent="0.4">
      <c r="A13044" t="s">
        <v>75</v>
      </c>
      <c r="B13044" s="1">
        <v>45200</v>
      </c>
      <c r="C13044">
        <v>851140</v>
      </c>
      <c r="D13044" t="s">
        <v>176</v>
      </c>
      <c r="E13044">
        <v>8126</v>
      </c>
      <c r="F13044">
        <v>59</v>
      </c>
      <c r="G13044">
        <v>4</v>
      </c>
      <c r="H13044">
        <f>_xlfn.XLOOKUP(FACT_IMPORTS[[#This Row],[hts_6]],DIM_PRODUCTS[hts_6],DIM_PRODUCTS[hts_4],,,)</f>
        <v>8511</v>
      </c>
      <c r="I13044" t="str" cm="1">
        <f t="array" ref="I13044">_xlfn.XLOOKUP(FACT_IMPORTS[[#This Row],[country_name]],DIM_COUNTRY[[#All],[Column2]],DIM_COUNTRY[[#All],[Column3]],,,)</f>
        <v>Major_Non-USMCA_Non-China</v>
      </c>
    </row>
    <row r="13045" spans="1:9" x14ac:dyDescent="0.4">
      <c r="A13045" t="s">
        <v>75</v>
      </c>
      <c r="B13045" s="1">
        <v>45200</v>
      </c>
      <c r="C13045">
        <v>851150</v>
      </c>
      <c r="D13045" t="s">
        <v>176</v>
      </c>
      <c r="E13045">
        <v>8625</v>
      </c>
      <c r="F13045">
        <v>5</v>
      </c>
      <c r="G13045">
        <v>291</v>
      </c>
      <c r="H13045">
        <f>_xlfn.XLOOKUP(FACT_IMPORTS[[#This Row],[hts_6]],DIM_PRODUCTS[hts_6],DIM_PRODUCTS[hts_4],,,)</f>
        <v>8511</v>
      </c>
      <c r="I13045" t="str" cm="1">
        <f t="array" ref="I13045">_xlfn.XLOOKUP(FACT_IMPORTS[[#This Row],[country_name]],DIM_COUNTRY[[#All],[Column2]],DIM_COUNTRY[[#All],[Column3]],,,)</f>
        <v>Major_Non-USMCA_Non-China</v>
      </c>
    </row>
    <row r="13046" spans="1:9" x14ac:dyDescent="0.4">
      <c r="A13046" t="s">
        <v>75</v>
      </c>
      <c r="B13046" s="1">
        <v>45200</v>
      </c>
      <c r="C13046">
        <v>851180</v>
      </c>
      <c r="D13046" t="s">
        <v>176</v>
      </c>
      <c r="E13046">
        <v>2605</v>
      </c>
      <c r="F13046">
        <v>88</v>
      </c>
      <c r="G13046">
        <v>2345</v>
      </c>
      <c r="H13046">
        <f>_xlfn.XLOOKUP(FACT_IMPORTS[[#This Row],[hts_6]],DIM_PRODUCTS[hts_6],DIM_PRODUCTS[hts_4],,,)</f>
        <v>8511</v>
      </c>
      <c r="I13046" t="str" cm="1">
        <f t="array" ref="I13046">_xlfn.XLOOKUP(FACT_IMPORTS[[#This Row],[country_name]],DIM_COUNTRY[[#All],[Column2]],DIM_COUNTRY[[#All],[Column3]],,,)</f>
        <v>Major_Non-USMCA_Non-China</v>
      </c>
    </row>
    <row r="13047" spans="1:9" x14ac:dyDescent="0.4">
      <c r="A13047" t="s">
        <v>75</v>
      </c>
      <c r="B13047" s="1">
        <v>45200</v>
      </c>
      <c r="C13047">
        <v>851190</v>
      </c>
      <c r="D13047" t="s">
        <v>176</v>
      </c>
      <c r="E13047">
        <v>0</v>
      </c>
      <c r="F13047">
        <v>0</v>
      </c>
      <c r="G13047">
        <v>0</v>
      </c>
      <c r="H13047">
        <f>_xlfn.XLOOKUP(FACT_IMPORTS[[#This Row],[hts_6]],DIM_PRODUCTS[hts_6],DIM_PRODUCTS[hts_4],,,)</f>
        <v>8511</v>
      </c>
      <c r="I13047" t="str" cm="1">
        <f t="array" ref="I13047">_xlfn.XLOOKUP(FACT_IMPORTS[[#This Row],[country_name]],DIM_COUNTRY[[#All],[Column2]],DIM_COUNTRY[[#All],[Column3]],,,)</f>
        <v>Major_Non-USMCA_Non-China</v>
      </c>
    </row>
    <row r="13048" spans="1:9" x14ac:dyDescent="0.4">
      <c r="A13048" t="s">
        <v>75</v>
      </c>
      <c r="B13048" s="1">
        <v>45200</v>
      </c>
      <c r="C13048">
        <v>851220</v>
      </c>
      <c r="D13048" t="s">
        <v>176</v>
      </c>
      <c r="E13048">
        <v>2269824</v>
      </c>
      <c r="F13048">
        <v>340046</v>
      </c>
      <c r="G13048">
        <v>36399</v>
      </c>
      <c r="H13048">
        <f>_xlfn.XLOOKUP(FACT_IMPORTS[[#This Row],[hts_6]],DIM_PRODUCTS[hts_6],DIM_PRODUCTS[hts_4],,,)</f>
        <v>8512</v>
      </c>
      <c r="I13048" t="str" cm="1">
        <f t="array" ref="I13048">_xlfn.XLOOKUP(FACT_IMPORTS[[#This Row],[country_name]],DIM_COUNTRY[[#All],[Column2]],DIM_COUNTRY[[#All],[Column3]],,,)</f>
        <v>Major_Non-USMCA_Non-China</v>
      </c>
    </row>
    <row r="13049" spans="1:9" x14ac:dyDescent="0.4">
      <c r="A13049" t="s">
        <v>75</v>
      </c>
      <c r="B13049" s="1">
        <v>45200</v>
      </c>
      <c r="C13049">
        <v>851230</v>
      </c>
      <c r="D13049" t="s">
        <v>176</v>
      </c>
      <c r="E13049">
        <v>3968</v>
      </c>
      <c r="F13049">
        <v>200</v>
      </c>
      <c r="G13049">
        <v>618</v>
      </c>
      <c r="H13049">
        <f>_xlfn.XLOOKUP(FACT_IMPORTS[[#This Row],[hts_6]],DIM_PRODUCTS[hts_6],DIM_PRODUCTS[hts_4],,,)</f>
        <v>8512</v>
      </c>
      <c r="I13049" t="str" cm="1">
        <f t="array" ref="I13049">_xlfn.XLOOKUP(FACT_IMPORTS[[#This Row],[country_name]],DIM_COUNTRY[[#All],[Column2]],DIM_COUNTRY[[#All],[Column3]],,,)</f>
        <v>Major_Non-USMCA_Non-China</v>
      </c>
    </row>
    <row r="13050" spans="1:9" x14ac:dyDescent="0.4">
      <c r="A13050" t="s">
        <v>75</v>
      </c>
      <c r="B13050" s="1">
        <v>45200</v>
      </c>
      <c r="C13050">
        <v>851240</v>
      </c>
      <c r="D13050" t="s">
        <v>176</v>
      </c>
      <c r="E13050">
        <v>0</v>
      </c>
      <c r="F13050">
        <v>0</v>
      </c>
      <c r="G13050">
        <v>0</v>
      </c>
      <c r="H13050">
        <f>_xlfn.XLOOKUP(FACT_IMPORTS[[#This Row],[hts_6]],DIM_PRODUCTS[hts_6],DIM_PRODUCTS[hts_4],,,)</f>
        <v>8512</v>
      </c>
      <c r="I13050" t="str" cm="1">
        <f t="array" ref="I13050">_xlfn.XLOOKUP(FACT_IMPORTS[[#This Row],[country_name]],DIM_COUNTRY[[#All],[Column2]],DIM_COUNTRY[[#All],[Column3]],,,)</f>
        <v>Major_Non-USMCA_Non-China</v>
      </c>
    </row>
    <row r="13051" spans="1:9" x14ac:dyDescent="0.4">
      <c r="A13051" t="s">
        <v>75</v>
      </c>
      <c r="B13051" s="1">
        <v>45200</v>
      </c>
      <c r="C13051">
        <v>851290</v>
      </c>
      <c r="D13051" t="s">
        <v>176</v>
      </c>
      <c r="E13051">
        <v>2242493</v>
      </c>
      <c r="F13051">
        <v>50402</v>
      </c>
      <c r="G13051">
        <v>20150</v>
      </c>
      <c r="H13051">
        <f>_xlfn.XLOOKUP(FACT_IMPORTS[[#This Row],[hts_6]],DIM_PRODUCTS[hts_6],DIM_PRODUCTS[hts_4],,,)</f>
        <v>8512</v>
      </c>
      <c r="I13051" t="str" cm="1">
        <f t="array" ref="I13051">_xlfn.XLOOKUP(FACT_IMPORTS[[#This Row],[country_name]],DIM_COUNTRY[[#All],[Column2]],DIM_COUNTRY[[#All],[Column3]],,,)</f>
        <v>Major_Non-USMCA_Non-China</v>
      </c>
    </row>
    <row r="13052" spans="1:9" x14ac:dyDescent="0.4">
      <c r="A13052" t="s">
        <v>75</v>
      </c>
      <c r="B13052" s="1">
        <v>45200</v>
      </c>
      <c r="C13052">
        <v>854231</v>
      </c>
      <c r="D13052" t="s">
        <v>176</v>
      </c>
      <c r="E13052">
        <v>49728</v>
      </c>
      <c r="F13052">
        <v>18987</v>
      </c>
      <c r="G13052">
        <v>3785</v>
      </c>
      <c r="H13052">
        <f>_xlfn.XLOOKUP(FACT_IMPORTS[[#This Row],[hts_6]],DIM_PRODUCTS[hts_6],DIM_PRODUCTS[hts_4],,,)</f>
        <v>8542</v>
      </c>
      <c r="I13052" t="str" cm="1">
        <f t="array" ref="I13052">_xlfn.XLOOKUP(FACT_IMPORTS[[#This Row],[country_name]],DIM_COUNTRY[[#All],[Column2]],DIM_COUNTRY[[#All],[Column3]],,,)</f>
        <v>Major_Non-USMCA_Non-China</v>
      </c>
    </row>
    <row r="13053" spans="1:9" x14ac:dyDescent="0.4">
      <c r="A13053" t="s">
        <v>75</v>
      </c>
      <c r="B13053" s="1">
        <v>45200</v>
      </c>
      <c r="C13053">
        <v>854232</v>
      </c>
      <c r="D13053" t="s">
        <v>176</v>
      </c>
      <c r="E13053">
        <v>7092</v>
      </c>
      <c r="F13053">
        <v>100</v>
      </c>
      <c r="G13053">
        <v>40</v>
      </c>
      <c r="H13053">
        <f>_xlfn.XLOOKUP(FACT_IMPORTS[[#This Row],[hts_6]],DIM_PRODUCTS[hts_6],DIM_PRODUCTS[hts_4],,,)</f>
        <v>8542</v>
      </c>
      <c r="I13053" t="str" cm="1">
        <f t="array" ref="I13053">_xlfn.XLOOKUP(FACT_IMPORTS[[#This Row],[country_name]],DIM_COUNTRY[[#All],[Column2]],DIM_COUNTRY[[#All],[Column3]],,,)</f>
        <v>Major_Non-USMCA_Non-China</v>
      </c>
    </row>
    <row r="13054" spans="1:9" x14ac:dyDescent="0.4">
      <c r="A13054" t="s">
        <v>75</v>
      </c>
      <c r="B13054" s="1">
        <v>45200</v>
      </c>
      <c r="C13054">
        <v>854239</v>
      </c>
      <c r="D13054" t="s">
        <v>176</v>
      </c>
      <c r="E13054">
        <v>1797615</v>
      </c>
      <c r="F13054">
        <v>730894</v>
      </c>
      <c r="G13054">
        <v>218359</v>
      </c>
      <c r="H13054">
        <f>_xlfn.XLOOKUP(FACT_IMPORTS[[#This Row],[hts_6]],DIM_PRODUCTS[hts_6],DIM_PRODUCTS[hts_4],,,)</f>
        <v>8542</v>
      </c>
      <c r="I13054" t="str" cm="1">
        <f t="array" ref="I13054">_xlfn.XLOOKUP(FACT_IMPORTS[[#This Row],[country_name]],DIM_COUNTRY[[#All],[Column2]],DIM_COUNTRY[[#All],[Column3]],,,)</f>
        <v>Major_Non-USMCA_Non-China</v>
      </c>
    </row>
    <row r="13055" spans="1:9" x14ac:dyDescent="0.4">
      <c r="A13055" t="s">
        <v>75</v>
      </c>
      <c r="B13055" s="1">
        <v>45200</v>
      </c>
      <c r="C13055">
        <v>854290</v>
      </c>
      <c r="D13055" t="s">
        <v>176</v>
      </c>
      <c r="E13055">
        <v>0</v>
      </c>
      <c r="F13055">
        <v>0</v>
      </c>
      <c r="G13055">
        <v>0</v>
      </c>
      <c r="H13055">
        <f>_xlfn.XLOOKUP(FACT_IMPORTS[[#This Row],[hts_6]],DIM_PRODUCTS[hts_6],DIM_PRODUCTS[hts_4],,,)</f>
        <v>8542</v>
      </c>
      <c r="I13055" t="str" cm="1">
        <f t="array" ref="I13055">_xlfn.XLOOKUP(FACT_IMPORTS[[#This Row],[country_name]],DIM_COUNTRY[[#All],[Column2]],DIM_COUNTRY[[#All],[Column3]],,,)</f>
        <v>Major_Non-USMCA_Non-China</v>
      </c>
    </row>
    <row r="13056" spans="1:9" x14ac:dyDescent="0.4">
      <c r="A13056" t="s">
        <v>75</v>
      </c>
      <c r="B13056" s="1">
        <v>45200</v>
      </c>
      <c r="C13056">
        <v>854430</v>
      </c>
      <c r="D13056" t="s">
        <v>176</v>
      </c>
      <c r="E13056">
        <v>0</v>
      </c>
      <c r="F13056">
        <v>0</v>
      </c>
      <c r="G13056">
        <v>0</v>
      </c>
      <c r="H13056">
        <f>_xlfn.XLOOKUP(FACT_IMPORTS[[#This Row],[hts_6]],DIM_PRODUCTS[hts_6],DIM_PRODUCTS[hts_4],,,)</f>
        <v>8544</v>
      </c>
      <c r="I13056" t="str" cm="1">
        <f t="array" ref="I13056">_xlfn.XLOOKUP(FACT_IMPORTS[[#This Row],[country_name]],DIM_COUNTRY[[#All],[Column2]],DIM_COUNTRY[[#All],[Column3]],,,)</f>
        <v>Major_Non-USMCA_Non-China</v>
      </c>
    </row>
    <row r="13057" spans="1:9" x14ac:dyDescent="0.4">
      <c r="A13057" t="s">
        <v>75</v>
      </c>
      <c r="B13057" s="1">
        <v>45200</v>
      </c>
      <c r="C13057">
        <v>870810</v>
      </c>
      <c r="D13057" t="s">
        <v>176</v>
      </c>
      <c r="E13057">
        <v>428896</v>
      </c>
      <c r="F13057">
        <v>14397</v>
      </c>
      <c r="G13057">
        <v>35747</v>
      </c>
      <c r="H13057">
        <f>_xlfn.XLOOKUP(FACT_IMPORTS[[#This Row],[hts_6]],DIM_PRODUCTS[hts_6],DIM_PRODUCTS[hts_4],,,)</f>
        <v>8708</v>
      </c>
      <c r="I13057" t="str" cm="1">
        <f t="array" ref="I13057">_xlfn.XLOOKUP(FACT_IMPORTS[[#This Row],[country_name]],DIM_COUNTRY[[#All],[Column2]],DIM_COUNTRY[[#All],[Column3]],,,)</f>
        <v>Major_Non-USMCA_Non-China</v>
      </c>
    </row>
    <row r="13058" spans="1:9" x14ac:dyDescent="0.4">
      <c r="A13058" t="s">
        <v>75</v>
      </c>
      <c r="B13058" s="1">
        <v>45200</v>
      </c>
      <c r="C13058">
        <v>870829</v>
      </c>
      <c r="D13058" t="s">
        <v>176</v>
      </c>
      <c r="E13058">
        <v>767410</v>
      </c>
      <c r="F13058">
        <v>15649</v>
      </c>
      <c r="G13058">
        <v>24704</v>
      </c>
      <c r="H13058">
        <f>_xlfn.XLOOKUP(FACT_IMPORTS[[#This Row],[hts_6]],DIM_PRODUCTS[hts_6],DIM_PRODUCTS[hts_4],,,)</f>
        <v>8708</v>
      </c>
      <c r="I13058" t="str" cm="1">
        <f t="array" ref="I13058">_xlfn.XLOOKUP(FACT_IMPORTS[[#This Row],[country_name]],DIM_COUNTRY[[#All],[Column2]],DIM_COUNTRY[[#All],[Column3]],,,)</f>
        <v>Major_Non-USMCA_Non-China</v>
      </c>
    </row>
    <row r="13059" spans="1:9" x14ac:dyDescent="0.4">
      <c r="A13059" t="s">
        <v>75</v>
      </c>
      <c r="B13059" s="1">
        <v>45200</v>
      </c>
      <c r="C13059">
        <v>870830</v>
      </c>
      <c r="D13059" t="s">
        <v>176</v>
      </c>
      <c r="E13059">
        <v>0</v>
      </c>
      <c r="F13059">
        <v>0</v>
      </c>
      <c r="G13059">
        <v>0</v>
      </c>
      <c r="H13059">
        <f>_xlfn.XLOOKUP(FACT_IMPORTS[[#This Row],[hts_6]],DIM_PRODUCTS[hts_6],DIM_PRODUCTS[hts_4],,,)</f>
        <v>8708</v>
      </c>
      <c r="I13059" t="str" cm="1">
        <f t="array" ref="I13059">_xlfn.XLOOKUP(FACT_IMPORTS[[#This Row],[country_name]],DIM_COUNTRY[[#All],[Column2]],DIM_COUNTRY[[#All],[Column3]],,,)</f>
        <v>Major_Non-USMCA_Non-China</v>
      </c>
    </row>
    <row r="13060" spans="1:9" x14ac:dyDescent="0.4">
      <c r="A13060" t="s">
        <v>75</v>
      </c>
      <c r="B13060" s="1">
        <v>45200</v>
      </c>
      <c r="C13060">
        <v>870840</v>
      </c>
      <c r="D13060" t="s">
        <v>176</v>
      </c>
      <c r="E13060">
        <v>464150</v>
      </c>
      <c r="F13060">
        <v>35691</v>
      </c>
      <c r="G13060">
        <v>6346</v>
      </c>
      <c r="H13060">
        <f>_xlfn.XLOOKUP(FACT_IMPORTS[[#This Row],[hts_6]],DIM_PRODUCTS[hts_6],DIM_PRODUCTS[hts_4],,,)</f>
        <v>8708</v>
      </c>
      <c r="I13060" t="str" cm="1">
        <f t="array" ref="I13060">_xlfn.XLOOKUP(FACT_IMPORTS[[#This Row],[country_name]],DIM_COUNTRY[[#All],[Column2]],DIM_COUNTRY[[#All],[Column3]],,,)</f>
        <v>Major_Non-USMCA_Non-China</v>
      </c>
    </row>
    <row r="13061" spans="1:9" x14ac:dyDescent="0.4">
      <c r="A13061" t="s">
        <v>75</v>
      </c>
      <c r="B13061" s="1">
        <v>45200</v>
      </c>
      <c r="C13061">
        <v>870850</v>
      </c>
      <c r="D13061" t="s">
        <v>176</v>
      </c>
      <c r="E13061">
        <v>218861</v>
      </c>
      <c r="F13061">
        <v>1200</v>
      </c>
      <c r="G13061">
        <v>3500</v>
      </c>
      <c r="H13061">
        <f>_xlfn.XLOOKUP(FACT_IMPORTS[[#This Row],[hts_6]],DIM_PRODUCTS[hts_6],DIM_PRODUCTS[hts_4],,,)</f>
        <v>8708</v>
      </c>
      <c r="I13061" t="str" cm="1">
        <f t="array" ref="I13061">_xlfn.XLOOKUP(FACT_IMPORTS[[#This Row],[country_name]],DIM_COUNTRY[[#All],[Column2]],DIM_COUNTRY[[#All],[Column3]],,,)</f>
        <v>Major_Non-USMCA_Non-China</v>
      </c>
    </row>
    <row r="13062" spans="1:9" x14ac:dyDescent="0.4">
      <c r="A13062" t="s">
        <v>75</v>
      </c>
      <c r="B13062" s="1">
        <v>45200</v>
      </c>
      <c r="C13062">
        <v>870870</v>
      </c>
      <c r="D13062" t="s">
        <v>176</v>
      </c>
      <c r="E13062">
        <v>2786754</v>
      </c>
      <c r="F13062">
        <v>13500</v>
      </c>
      <c r="G13062">
        <v>64716</v>
      </c>
      <c r="H13062">
        <f>_xlfn.XLOOKUP(FACT_IMPORTS[[#This Row],[hts_6]],DIM_PRODUCTS[hts_6],DIM_PRODUCTS[hts_4],,,)</f>
        <v>8708</v>
      </c>
      <c r="I13062" t="str" cm="1">
        <f t="array" ref="I13062">_xlfn.XLOOKUP(FACT_IMPORTS[[#This Row],[country_name]],DIM_COUNTRY[[#All],[Column2]],DIM_COUNTRY[[#All],[Column3]],,,)</f>
        <v>Major_Non-USMCA_Non-China</v>
      </c>
    </row>
    <row r="13063" spans="1:9" x14ac:dyDescent="0.4">
      <c r="A13063" t="s">
        <v>75</v>
      </c>
      <c r="B13063" s="1">
        <v>45200</v>
      </c>
      <c r="C13063">
        <v>870880</v>
      </c>
      <c r="D13063" t="s">
        <v>176</v>
      </c>
      <c r="E13063">
        <v>847954</v>
      </c>
      <c r="F13063">
        <v>57882</v>
      </c>
      <c r="G13063">
        <v>52882</v>
      </c>
      <c r="H13063">
        <f>_xlfn.XLOOKUP(FACT_IMPORTS[[#This Row],[hts_6]],DIM_PRODUCTS[hts_6],DIM_PRODUCTS[hts_4],,,)</f>
        <v>8708</v>
      </c>
      <c r="I13063" t="str" cm="1">
        <f t="array" ref="I13063">_xlfn.XLOOKUP(FACT_IMPORTS[[#This Row],[country_name]],DIM_COUNTRY[[#All],[Column2]],DIM_COUNTRY[[#All],[Column3]],,,)</f>
        <v>Major_Non-USMCA_Non-China</v>
      </c>
    </row>
    <row r="13064" spans="1:9" x14ac:dyDescent="0.4">
      <c r="A13064" t="s">
        <v>75</v>
      </c>
      <c r="B13064" s="1">
        <v>45200</v>
      </c>
      <c r="C13064">
        <v>870891</v>
      </c>
      <c r="D13064" t="s">
        <v>176</v>
      </c>
      <c r="E13064">
        <v>30359</v>
      </c>
      <c r="F13064">
        <v>29003</v>
      </c>
      <c r="G13064">
        <v>1453</v>
      </c>
      <c r="H13064">
        <f>_xlfn.XLOOKUP(FACT_IMPORTS[[#This Row],[hts_6]],DIM_PRODUCTS[hts_6],DIM_PRODUCTS[hts_4],,,)</f>
        <v>8708</v>
      </c>
      <c r="I13064" t="str" cm="1">
        <f t="array" ref="I13064">_xlfn.XLOOKUP(FACT_IMPORTS[[#This Row],[country_name]],DIM_COUNTRY[[#All],[Column2]],DIM_COUNTRY[[#All],[Column3]],,,)</f>
        <v>Major_Non-USMCA_Non-China</v>
      </c>
    </row>
    <row r="13065" spans="1:9" x14ac:dyDescent="0.4">
      <c r="A13065" t="s">
        <v>75</v>
      </c>
      <c r="B13065" s="1">
        <v>45200</v>
      </c>
      <c r="C13065">
        <v>870892</v>
      </c>
      <c r="D13065" t="s">
        <v>176</v>
      </c>
      <c r="E13065">
        <v>74656</v>
      </c>
      <c r="F13065">
        <v>5127</v>
      </c>
      <c r="G13065">
        <v>6815</v>
      </c>
      <c r="H13065">
        <f>_xlfn.XLOOKUP(FACT_IMPORTS[[#This Row],[hts_6]],DIM_PRODUCTS[hts_6],DIM_PRODUCTS[hts_4],,,)</f>
        <v>8708</v>
      </c>
      <c r="I13065" t="str" cm="1">
        <f t="array" ref="I13065">_xlfn.XLOOKUP(FACT_IMPORTS[[#This Row],[country_name]],DIM_COUNTRY[[#All],[Column2]],DIM_COUNTRY[[#All],[Column3]],,,)</f>
        <v>Major_Non-USMCA_Non-China</v>
      </c>
    </row>
    <row r="13066" spans="1:9" x14ac:dyDescent="0.4">
      <c r="A13066" t="s">
        <v>75</v>
      </c>
      <c r="B13066" s="1">
        <v>45200</v>
      </c>
      <c r="C13066">
        <v>870893</v>
      </c>
      <c r="D13066" t="s">
        <v>176</v>
      </c>
      <c r="E13066">
        <v>63960</v>
      </c>
      <c r="F13066">
        <v>8188</v>
      </c>
      <c r="G13066">
        <v>6030</v>
      </c>
      <c r="H13066">
        <f>_xlfn.XLOOKUP(FACT_IMPORTS[[#This Row],[hts_6]],DIM_PRODUCTS[hts_6],DIM_PRODUCTS[hts_4],,,)</f>
        <v>8708</v>
      </c>
      <c r="I13066" t="str" cm="1">
        <f t="array" ref="I13066">_xlfn.XLOOKUP(FACT_IMPORTS[[#This Row],[country_name]],DIM_COUNTRY[[#All],[Column2]],DIM_COUNTRY[[#All],[Column3]],,,)</f>
        <v>Major_Non-USMCA_Non-China</v>
      </c>
    </row>
    <row r="13067" spans="1:9" x14ac:dyDescent="0.4">
      <c r="A13067" t="s">
        <v>75</v>
      </c>
      <c r="B13067" s="1">
        <v>45200</v>
      </c>
      <c r="C13067">
        <v>870894</v>
      </c>
      <c r="D13067" t="s">
        <v>176</v>
      </c>
      <c r="E13067">
        <v>69815</v>
      </c>
      <c r="F13067">
        <v>45712</v>
      </c>
      <c r="G13067">
        <v>68687</v>
      </c>
      <c r="H13067">
        <f>_xlfn.XLOOKUP(FACT_IMPORTS[[#This Row],[hts_6]],DIM_PRODUCTS[hts_6],DIM_PRODUCTS[hts_4],,,)</f>
        <v>8708</v>
      </c>
      <c r="I13067" t="str" cm="1">
        <f t="array" ref="I13067">_xlfn.XLOOKUP(FACT_IMPORTS[[#This Row],[country_name]],DIM_COUNTRY[[#All],[Column2]],DIM_COUNTRY[[#All],[Column3]],,,)</f>
        <v>Major_Non-USMCA_Non-China</v>
      </c>
    </row>
    <row r="13068" spans="1:9" x14ac:dyDescent="0.4">
      <c r="A13068" t="s">
        <v>75</v>
      </c>
      <c r="B13068" s="1">
        <v>45200</v>
      </c>
      <c r="C13068">
        <v>870899</v>
      </c>
      <c r="D13068" t="s">
        <v>176</v>
      </c>
      <c r="E13068">
        <v>819285</v>
      </c>
      <c r="F13068">
        <v>930604</v>
      </c>
      <c r="G13068">
        <v>57124</v>
      </c>
      <c r="H13068">
        <f>_xlfn.XLOOKUP(FACT_IMPORTS[[#This Row],[hts_6]],DIM_PRODUCTS[hts_6],DIM_PRODUCTS[hts_4],,,)</f>
        <v>8708</v>
      </c>
      <c r="I13068" t="str" cm="1">
        <f t="array" ref="I13068">_xlfn.XLOOKUP(FACT_IMPORTS[[#This Row],[country_name]],DIM_COUNTRY[[#All],[Column2]],DIM_COUNTRY[[#All],[Column3]],,,)</f>
        <v>Major_Non-USMCA_Non-China</v>
      </c>
    </row>
    <row r="13069" spans="1:9" x14ac:dyDescent="0.4">
      <c r="A13069" t="s">
        <v>75</v>
      </c>
      <c r="B13069" s="1">
        <v>45200</v>
      </c>
      <c r="C13069">
        <v>940120</v>
      </c>
      <c r="D13069" t="s">
        <v>176</v>
      </c>
      <c r="E13069">
        <v>286</v>
      </c>
      <c r="F13069">
        <v>4</v>
      </c>
      <c r="G13069">
        <v>1</v>
      </c>
      <c r="H13069">
        <f>_xlfn.XLOOKUP(FACT_IMPORTS[[#This Row],[hts_6]],DIM_PRODUCTS[hts_6],DIM_PRODUCTS[hts_4],,,)</f>
        <v>9401</v>
      </c>
      <c r="I13069" t="str" cm="1">
        <f t="array" ref="I13069">_xlfn.XLOOKUP(FACT_IMPORTS[[#This Row],[country_name]],DIM_COUNTRY[[#All],[Column2]],DIM_COUNTRY[[#All],[Column3]],,,)</f>
        <v>Major_Non-USMCA_Non-China</v>
      </c>
    </row>
    <row r="13070" spans="1:9" x14ac:dyDescent="0.4">
      <c r="A13070" t="s">
        <v>75</v>
      </c>
      <c r="B13070" s="1">
        <v>45231</v>
      </c>
      <c r="C13070">
        <v>392630</v>
      </c>
      <c r="D13070" t="s">
        <v>176</v>
      </c>
      <c r="E13070">
        <v>376</v>
      </c>
      <c r="F13070">
        <v>31</v>
      </c>
      <c r="G13070">
        <v>52</v>
      </c>
      <c r="H13070">
        <f>_xlfn.XLOOKUP(FACT_IMPORTS[[#This Row],[hts_6]],DIM_PRODUCTS[hts_6],DIM_PRODUCTS[hts_4],,,)</f>
        <v>3926</v>
      </c>
      <c r="I13070" t="str" cm="1">
        <f t="array" ref="I13070">_xlfn.XLOOKUP(FACT_IMPORTS[[#This Row],[country_name]],DIM_COUNTRY[[#All],[Column2]],DIM_COUNTRY[[#All],[Column3]],,,)</f>
        <v>Major_Non-USMCA_Non-China</v>
      </c>
    </row>
    <row r="13071" spans="1:9" x14ac:dyDescent="0.4">
      <c r="A13071" t="s">
        <v>75</v>
      </c>
      <c r="B13071" s="1">
        <v>45231</v>
      </c>
      <c r="C13071">
        <v>401110</v>
      </c>
      <c r="D13071" t="s">
        <v>176</v>
      </c>
      <c r="E13071">
        <v>3900</v>
      </c>
      <c r="F13071">
        <v>1</v>
      </c>
      <c r="G13071">
        <v>200</v>
      </c>
      <c r="H13071">
        <f>_xlfn.XLOOKUP(FACT_IMPORTS[[#This Row],[hts_6]],DIM_PRODUCTS[hts_6],DIM_PRODUCTS[hts_4],,,)</f>
        <v>4011</v>
      </c>
      <c r="I13071" t="str" cm="1">
        <f t="array" ref="I13071">_xlfn.XLOOKUP(FACT_IMPORTS[[#This Row],[country_name]],DIM_COUNTRY[[#All],[Column2]],DIM_COUNTRY[[#All],[Column3]],,,)</f>
        <v>Major_Non-USMCA_Non-China</v>
      </c>
    </row>
    <row r="13072" spans="1:9" x14ac:dyDescent="0.4">
      <c r="A13072" t="s">
        <v>75</v>
      </c>
      <c r="B13072" s="1">
        <v>45231</v>
      </c>
      <c r="C13072">
        <v>401120</v>
      </c>
      <c r="D13072" t="s">
        <v>176</v>
      </c>
      <c r="E13072">
        <v>0</v>
      </c>
      <c r="F13072">
        <v>0</v>
      </c>
      <c r="G13072">
        <v>0</v>
      </c>
      <c r="H13072">
        <f>_xlfn.XLOOKUP(FACT_IMPORTS[[#This Row],[hts_6]],DIM_PRODUCTS[hts_6],DIM_PRODUCTS[hts_4],,,)</f>
        <v>4011</v>
      </c>
      <c r="I13072" t="str" cm="1">
        <f t="array" ref="I13072">_xlfn.XLOOKUP(FACT_IMPORTS[[#This Row],[country_name]],DIM_COUNTRY[[#All],[Column2]],DIM_COUNTRY[[#All],[Column3]],,,)</f>
        <v>Major_Non-USMCA_Non-China</v>
      </c>
    </row>
    <row r="13073" spans="1:9" x14ac:dyDescent="0.4">
      <c r="A13073" t="s">
        <v>75</v>
      </c>
      <c r="B13073" s="1">
        <v>45231</v>
      </c>
      <c r="C13073">
        <v>401140</v>
      </c>
      <c r="D13073" t="s">
        <v>176</v>
      </c>
      <c r="E13073">
        <v>0</v>
      </c>
      <c r="F13073">
        <v>0</v>
      </c>
      <c r="G13073">
        <v>0</v>
      </c>
      <c r="H13073">
        <f>_xlfn.XLOOKUP(FACT_IMPORTS[[#This Row],[hts_6]],DIM_PRODUCTS[hts_6],DIM_PRODUCTS[hts_4],,,)</f>
        <v>4011</v>
      </c>
      <c r="I13073" t="str" cm="1">
        <f t="array" ref="I13073">_xlfn.XLOOKUP(FACT_IMPORTS[[#This Row],[country_name]],DIM_COUNTRY[[#All],[Column2]],DIM_COUNTRY[[#All],[Column3]],,,)</f>
        <v>Major_Non-USMCA_Non-China</v>
      </c>
    </row>
    <row r="13074" spans="1:9" x14ac:dyDescent="0.4">
      <c r="A13074" t="s">
        <v>75</v>
      </c>
      <c r="B13074" s="1">
        <v>45231</v>
      </c>
      <c r="C13074">
        <v>401190</v>
      </c>
      <c r="D13074" t="s">
        <v>176</v>
      </c>
      <c r="E13074">
        <v>4111</v>
      </c>
      <c r="F13074">
        <v>47</v>
      </c>
      <c r="G13074">
        <v>9</v>
      </c>
      <c r="H13074">
        <f>_xlfn.XLOOKUP(FACT_IMPORTS[[#This Row],[hts_6]],DIM_PRODUCTS[hts_6],DIM_PRODUCTS[hts_4],,,)</f>
        <v>4011</v>
      </c>
      <c r="I13074" t="str" cm="1">
        <f t="array" ref="I13074">_xlfn.XLOOKUP(FACT_IMPORTS[[#This Row],[country_name]],DIM_COUNTRY[[#All],[Column2]],DIM_COUNTRY[[#All],[Column3]],,,)</f>
        <v>Major_Non-USMCA_Non-China</v>
      </c>
    </row>
    <row r="13075" spans="1:9" x14ac:dyDescent="0.4">
      <c r="A13075" t="s">
        <v>75</v>
      </c>
      <c r="B13075" s="1">
        <v>45231</v>
      </c>
      <c r="C13075">
        <v>700910</v>
      </c>
      <c r="D13075" t="s">
        <v>176</v>
      </c>
      <c r="E13075">
        <v>36708</v>
      </c>
      <c r="F13075">
        <v>832</v>
      </c>
      <c r="G13075">
        <v>33</v>
      </c>
      <c r="H13075">
        <f>_xlfn.XLOOKUP(FACT_IMPORTS[[#This Row],[hts_6]],DIM_PRODUCTS[hts_6],DIM_PRODUCTS[hts_4],,,)</f>
        <v>7009</v>
      </c>
      <c r="I13075" t="str" cm="1">
        <f t="array" ref="I13075">_xlfn.XLOOKUP(FACT_IMPORTS[[#This Row],[country_name]],DIM_COUNTRY[[#All],[Column2]],DIM_COUNTRY[[#All],[Column3]],,,)</f>
        <v>Major_Non-USMCA_Non-China</v>
      </c>
    </row>
    <row r="13076" spans="1:9" x14ac:dyDescent="0.4">
      <c r="A13076" t="s">
        <v>75</v>
      </c>
      <c r="B13076" s="1">
        <v>45231</v>
      </c>
      <c r="C13076">
        <v>830230</v>
      </c>
      <c r="D13076" t="s">
        <v>176</v>
      </c>
      <c r="E13076">
        <v>129537</v>
      </c>
      <c r="F13076">
        <v>11007</v>
      </c>
      <c r="G13076">
        <v>3371</v>
      </c>
      <c r="H13076">
        <f>_xlfn.XLOOKUP(FACT_IMPORTS[[#This Row],[hts_6]],DIM_PRODUCTS[hts_6],DIM_PRODUCTS[hts_4],,,)</f>
        <v>8302</v>
      </c>
      <c r="I13076" t="str" cm="1">
        <f t="array" ref="I13076">_xlfn.XLOOKUP(FACT_IMPORTS[[#This Row],[country_name]],DIM_COUNTRY[[#All],[Column2]],DIM_COUNTRY[[#All],[Column3]],,,)</f>
        <v>Major_Non-USMCA_Non-China</v>
      </c>
    </row>
    <row r="13077" spans="1:9" x14ac:dyDescent="0.4">
      <c r="A13077" t="s">
        <v>75</v>
      </c>
      <c r="B13077" s="1">
        <v>45231</v>
      </c>
      <c r="C13077">
        <v>840732</v>
      </c>
      <c r="D13077" t="s">
        <v>176</v>
      </c>
      <c r="E13077">
        <v>0</v>
      </c>
      <c r="F13077">
        <v>0</v>
      </c>
      <c r="G13077">
        <v>0</v>
      </c>
      <c r="H13077">
        <f>_xlfn.XLOOKUP(FACT_IMPORTS[[#This Row],[hts_6]],DIM_PRODUCTS[hts_6],DIM_PRODUCTS[hts_4],,,)</f>
        <v>8407</v>
      </c>
      <c r="I13077" t="str" cm="1">
        <f t="array" ref="I13077">_xlfn.XLOOKUP(FACT_IMPORTS[[#This Row],[country_name]],DIM_COUNTRY[[#All],[Column2]],DIM_COUNTRY[[#All],[Column3]],,,)</f>
        <v>Major_Non-USMCA_Non-China</v>
      </c>
    </row>
    <row r="13078" spans="1:9" x14ac:dyDescent="0.4">
      <c r="A13078" t="s">
        <v>75</v>
      </c>
      <c r="B13078" s="1">
        <v>45231</v>
      </c>
      <c r="C13078">
        <v>840733</v>
      </c>
      <c r="D13078" t="s">
        <v>176</v>
      </c>
      <c r="E13078">
        <v>0</v>
      </c>
      <c r="F13078">
        <v>0</v>
      </c>
      <c r="G13078">
        <v>0</v>
      </c>
      <c r="H13078">
        <f>_xlfn.XLOOKUP(FACT_IMPORTS[[#This Row],[hts_6]],DIM_PRODUCTS[hts_6],DIM_PRODUCTS[hts_4],,,)</f>
        <v>8407</v>
      </c>
      <c r="I13078" t="str" cm="1">
        <f t="array" ref="I13078">_xlfn.XLOOKUP(FACT_IMPORTS[[#This Row],[country_name]],DIM_COUNTRY[[#All],[Column2]],DIM_COUNTRY[[#All],[Column3]],,,)</f>
        <v>Major_Non-USMCA_Non-China</v>
      </c>
    </row>
    <row r="13079" spans="1:9" x14ac:dyDescent="0.4">
      <c r="A13079" t="s">
        <v>75</v>
      </c>
      <c r="B13079" s="1">
        <v>45231</v>
      </c>
      <c r="C13079">
        <v>840991</v>
      </c>
      <c r="D13079" t="s">
        <v>176</v>
      </c>
      <c r="E13079">
        <v>181209</v>
      </c>
      <c r="F13079">
        <v>8057</v>
      </c>
      <c r="G13079">
        <v>5019</v>
      </c>
      <c r="H13079">
        <f>_xlfn.XLOOKUP(FACT_IMPORTS[[#This Row],[hts_6]],DIM_PRODUCTS[hts_6],DIM_PRODUCTS[hts_4],,,)</f>
        <v>8409</v>
      </c>
      <c r="I13079" t="str" cm="1">
        <f t="array" ref="I13079">_xlfn.XLOOKUP(FACT_IMPORTS[[#This Row],[country_name]],DIM_COUNTRY[[#All],[Column2]],DIM_COUNTRY[[#All],[Column3]],,,)</f>
        <v>Major_Non-USMCA_Non-China</v>
      </c>
    </row>
    <row r="13080" spans="1:9" x14ac:dyDescent="0.4">
      <c r="A13080" t="s">
        <v>75</v>
      </c>
      <c r="B13080" s="1">
        <v>45231</v>
      </c>
      <c r="C13080">
        <v>840999</v>
      </c>
      <c r="D13080" t="s">
        <v>176</v>
      </c>
      <c r="E13080">
        <v>0</v>
      </c>
      <c r="F13080">
        <v>0</v>
      </c>
      <c r="G13080">
        <v>0</v>
      </c>
      <c r="H13080">
        <f>_xlfn.XLOOKUP(FACT_IMPORTS[[#This Row],[hts_6]],DIM_PRODUCTS[hts_6],DIM_PRODUCTS[hts_4],,,)</f>
        <v>8409</v>
      </c>
      <c r="I13080" t="str" cm="1">
        <f t="array" ref="I13080">_xlfn.XLOOKUP(FACT_IMPORTS[[#This Row],[country_name]],DIM_COUNTRY[[#All],[Column2]],DIM_COUNTRY[[#All],[Column3]],,,)</f>
        <v>Major_Non-USMCA_Non-China</v>
      </c>
    </row>
    <row r="13081" spans="1:9" x14ac:dyDescent="0.4">
      <c r="A13081" t="s">
        <v>75</v>
      </c>
      <c r="B13081" s="1">
        <v>45231</v>
      </c>
      <c r="C13081">
        <v>841330</v>
      </c>
      <c r="D13081" t="s">
        <v>176</v>
      </c>
      <c r="E13081">
        <v>147470</v>
      </c>
      <c r="F13081">
        <v>1904</v>
      </c>
      <c r="G13081">
        <v>3000</v>
      </c>
      <c r="H13081">
        <f>_xlfn.XLOOKUP(FACT_IMPORTS[[#This Row],[hts_6]],DIM_PRODUCTS[hts_6],DIM_PRODUCTS[hts_4],,,)</f>
        <v>8413</v>
      </c>
      <c r="I13081" t="str" cm="1">
        <f t="array" ref="I13081">_xlfn.XLOOKUP(FACT_IMPORTS[[#This Row],[country_name]],DIM_COUNTRY[[#All],[Column2]],DIM_COUNTRY[[#All],[Column3]],,,)</f>
        <v>Major_Non-USMCA_Non-China</v>
      </c>
    </row>
    <row r="13082" spans="1:9" x14ac:dyDescent="0.4">
      <c r="A13082" t="s">
        <v>75</v>
      </c>
      <c r="B13082" s="1">
        <v>45231</v>
      </c>
      <c r="C13082">
        <v>842132</v>
      </c>
      <c r="D13082" t="s">
        <v>176</v>
      </c>
      <c r="E13082">
        <v>0</v>
      </c>
      <c r="F13082">
        <v>0</v>
      </c>
      <c r="G13082">
        <v>0</v>
      </c>
      <c r="H13082">
        <f>_xlfn.XLOOKUP(FACT_IMPORTS[[#This Row],[hts_6]],DIM_PRODUCTS[hts_6],DIM_PRODUCTS[hts_4],,,)</f>
        <v>8421</v>
      </c>
      <c r="I13082" t="str" cm="1">
        <f t="array" ref="I13082">_xlfn.XLOOKUP(FACT_IMPORTS[[#This Row],[country_name]],DIM_COUNTRY[[#All],[Column2]],DIM_COUNTRY[[#All],[Column3]],,,)</f>
        <v>Major_Non-USMCA_Non-China</v>
      </c>
    </row>
    <row r="13083" spans="1:9" x14ac:dyDescent="0.4">
      <c r="A13083" t="s">
        <v>75</v>
      </c>
      <c r="B13083" s="1">
        <v>45231</v>
      </c>
      <c r="C13083">
        <v>848210</v>
      </c>
      <c r="D13083" t="s">
        <v>176</v>
      </c>
      <c r="E13083">
        <v>22980</v>
      </c>
      <c r="F13083">
        <v>60000</v>
      </c>
      <c r="G13083">
        <v>1650</v>
      </c>
      <c r="H13083">
        <f>_xlfn.XLOOKUP(FACT_IMPORTS[[#This Row],[hts_6]],DIM_PRODUCTS[hts_6],DIM_PRODUCTS[hts_4],,,)</f>
        <v>8482</v>
      </c>
      <c r="I13083" t="str" cm="1">
        <f t="array" ref="I13083">_xlfn.XLOOKUP(FACT_IMPORTS[[#This Row],[country_name]],DIM_COUNTRY[[#All],[Column2]],DIM_COUNTRY[[#All],[Column3]],,,)</f>
        <v>Major_Non-USMCA_Non-China</v>
      </c>
    </row>
    <row r="13084" spans="1:9" x14ac:dyDescent="0.4">
      <c r="A13084" t="s">
        <v>75</v>
      </c>
      <c r="B13084" s="1">
        <v>45231</v>
      </c>
      <c r="C13084">
        <v>848310</v>
      </c>
      <c r="D13084" t="s">
        <v>176</v>
      </c>
      <c r="E13084">
        <v>0</v>
      </c>
      <c r="F13084">
        <v>0</v>
      </c>
      <c r="G13084">
        <v>0</v>
      </c>
      <c r="H13084">
        <f>_xlfn.XLOOKUP(FACT_IMPORTS[[#This Row],[hts_6]],DIM_PRODUCTS[hts_6],DIM_PRODUCTS[hts_4],,,)</f>
        <v>8483</v>
      </c>
      <c r="I13084" t="str" cm="1">
        <f t="array" ref="I13084">_xlfn.XLOOKUP(FACT_IMPORTS[[#This Row],[country_name]],DIM_COUNTRY[[#All],[Column2]],DIM_COUNTRY[[#All],[Column3]],,,)</f>
        <v>Major_Non-USMCA_Non-China</v>
      </c>
    </row>
    <row r="13085" spans="1:9" x14ac:dyDescent="0.4">
      <c r="A13085" t="s">
        <v>75</v>
      </c>
      <c r="B13085" s="1">
        <v>45231</v>
      </c>
      <c r="C13085">
        <v>850131</v>
      </c>
      <c r="D13085" t="s">
        <v>176</v>
      </c>
      <c r="E13085">
        <v>5653</v>
      </c>
      <c r="F13085">
        <v>5</v>
      </c>
      <c r="G13085">
        <v>53</v>
      </c>
      <c r="H13085">
        <f>_xlfn.XLOOKUP(FACT_IMPORTS[[#This Row],[hts_6]],DIM_PRODUCTS[hts_6],DIM_PRODUCTS[hts_4],,,)</f>
        <v>8501</v>
      </c>
      <c r="I13085" t="str" cm="1">
        <f t="array" ref="I13085">_xlfn.XLOOKUP(FACT_IMPORTS[[#This Row],[country_name]],DIM_COUNTRY[[#All],[Column2]],DIM_COUNTRY[[#All],[Column3]],,,)</f>
        <v>Major_Non-USMCA_Non-China</v>
      </c>
    </row>
    <row r="13086" spans="1:9" x14ac:dyDescent="0.4">
      <c r="A13086" t="s">
        <v>75</v>
      </c>
      <c r="B13086" s="1">
        <v>45231</v>
      </c>
      <c r="C13086">
        <v>850132</v>
      </c>
      <c r="D13086" t="s">
        <v>176</v>
      </c>
      <c r="E13086">
        <v>17460</v>
      </c>
      <c r="F13086">
        <v>60</v>
      </c>
      <c r="G13086">
        <v>6012</v>
      </c>
      <c r="H13086">
        <f>_xlfn.XLOOKUP(FACT_IMPORTS[[#This Row],[hts_6]],DIM_PRODUCTS[hts_6],DIM_PRODUCTS[hts_4],,,)</f>
        <v>8501</v>
      </c>
      <c r="I13086" t="str" cm="1">
        <f t="array" ref="I13086">_xlfn.XLOOKUP(FACT_IMPORTS[[#This Row],[country_name]],DIM_COUNTRY[[#All],[Column2]],DIM_COUNTRY[[#All],[Column3]],,,)</f>
        <v>Major_Non-USMCA_Non-China</v>
      </c>
    </row>
    <row r="13087" spans="1:9" x14ac:dyDescent="0.4">
      <c r="A13087" t="s">
        <v>75</v>
      </c>
      <c r="B13087" s="1">
        <v>45231</v>
      </c>
      <c r="C13087">
        <v>850152</v>
      </c>
      <c r="D13087" t="s">
        <v>176</v>
      </c>
      <c r="E13087">
        <v>17222</v>
      </c>
      <c r="F13087">
        <v>4</v>
      </c>
      <c r="G13087">
        <v>150</v>
      </c>
      <c r="H13087">
        <f>_xlfn.XLOOKUP(FACT_IMPORTS[[#This Row],[hts_6]],DIM_PRODUCTS[hts_6],DIM_PRODUCTS[hts_4],,,)</f>
        <v>8501</v>
      </c>
      <c r="I13087" t="str" cm="1">
        <f t="array" ref="I13087">_xlfn.XLOOKUP(FACT_IMPORTS[[#This Row],[country_name]],DIM_COUNTRY[[#All],[Column2]],DIM_COUNTRY[[#All],[Column3]],,,)</f>
        <v>Major_Non-USMCA_Non-China</v>
      </c>
    </row>
    <row r="13088" spans="1:9" x14ac:dyDescent="0.4">
      <c r="A13088" t="s">
        <v>75</v>
      </c>
      <c r="B13088" s="1">
        <v>45231</v>
      </c>
      <c r="C13088">
        <v>850153</v>
      </c>
      <c r="D13088" t="s">
        <v>176</v>
      </c>
      <c r="E13088">
        <v>0</v>
      </c>
      <c r="F13088">
        <v>0</v>
      </c>
      <c r="G13088">
        <v>0</v>
      </c>
      <c r="H13088">
        <f>_xlfn.XLOOKUP(FACT_IMPORTS[[#This Row],[hts_6]],DIM_PRODUCTS[hts_6],DIM_PRODUCTS[hts_4],,,)</f>
        <v>8501</v>
      </c>
      <c r="I13088" t="str" cm="1">
        <f t="array" ref="I13088">_xlfn.XLOOKUP(FACT_IMPORTS[[#This Row],[country_name]],DIM_COUNTRY[[#All],[Column2]],DIM_COUNTRY[[#All],[Column3]],,,)</f>
        <v>Major_Non-USMCA_Non-China</v>
      </c>
    </row>
    <row r="13089" spans="1:9" x14ac:dyDescent="0.4">
      <c r="A13089" t="s">
        <v>75</v>
      </c>
      <c r="B13089" s="1">
        <v>45231</v>
      </c>
      <c r="C13089">
        <v>850440</v>
      </c>
      <c r="D13089" t="s">
        <v>176</v>
      </c>
      <c r="E13089">
        <v>242382</v>
      </c>
      <c r="F13089">
        <v>10759</v>
      </c>
      <c r="G13089">
        <v>3463</v>
      </c>
      <c r="H13089">
        <f>_xlfn.XLOOKUP(FACT_IMPORTS[[#This Row],[hts_6]],DIM_PRODUCTS[hts_6],DIM_PRODUCTS[hts_4],,,)</f>
        <v>8504</v>
      </c>
      <c r="I13089" t="str" cm="1">
        <f t="array" ref="I13089">_xlfn.XLOOKUP(FACT_IMPORTS[[#This Row],[country_name]],DIM_COUNTRY[[#All],[Column2]],DIM_COUNTRY[[#All],[Column3]],,,)</f>
        <v>Major_Non-USMCA_Non-China</v>
      </c>
    </row>
    <row r="13090" spans="1:9" x14ac:dyDescent="0.4">
      <c r="A13090" t="s">
        <v>75</v>
      </c>
      <c r="B13090" s="1">
        <v>45231</v>
      </c>
      <c r="C13090">
        <v>850710</v>
      </c>
      <c r="D13090" t="s">
        <v>176</v>
      </c>
      <c r="E13090">
        <v>48508</v>
      </c>
      <c r="F13090">
        <v>757</v>
      </c>
      <c r="G13090">
        <v>49</v>
      </c>
      <c r="H13090">
        <f>_xlfn.XLOOKUP(FACT_IMPORTS[[#This Row],[hts_6]],DIM_PRODUCTS[hts_6],DIM_PRODUCTS[hts_4],,,)</f>
        <v>8507</v>
      </c>
      <c r="I13090" t="str" cm="1">
        <f t="array" ref="I13090">_xlfn.XLOOKUP(FACT_IMPORTS[[#This Row],[country_name]],DIM_COUNTRY[[#All],[Column2]],DIM_COUNTRY[[#All],[Column3]],,,)</f>
        <v>Major_Non-USMCA_Non-China</v>
      </c>
    </row>
    <row r="13091" spans="1:9" x14ac:dyDescent="0.4">
      <c r="A13091" t="s">
        <v>75</v>
      </c>
      <c r="B13091" s="1">
        <v>45231</v>
      </c>
      <c r="C13091">
        <v>850760</v>
      </c>
      <c r="D13091" t="s">
        <v>176</v>
      </c>
      <c r="E13091">
        <v>2995</v>
      </c>
      <c r="F13091">
        <v>5</v>
      </c>
      <c r="G13091">
        <v>1</v>
      </c>
      <c r="H13091">
        <f>_xlfn.XLOOKUP(FACT_IMPORTS[[#This Row],[hts_6]],DIM_PRODUCTS[hts_6],DIM_PRODUCTS[hts_4],,,)</f>
        <v>8507</v>
      </c>
      <c r="I13091" t="str" cm="1">
        <f t="array" ref="I13091">_xlfn.XLOOKUP(FACT_IMPORTS[[#This Row],[country_name]],DIM_COUNTRY[[#All],[Column2]],DIM_COUNTRY[[#All],[Column3]],,,)</f>
        <v>Major_Non-USMCA_Non-China</v>
      </c>
    </row>
    <row r="13092" spans="1:9" x14ac:dyDescent="0.4">
      <c r="A13092" t="s">
        <v>75</v>
      </c>
      <c r="B13092" s="1">
        <v>45231</v>
      </c>
      <c r="C13092">
        <v>851120</v>
      </c>
      <c r="D13092" t="s">
        <v>176</v>
      </c>
      <c r="E13092">
        <v>0</v>
      </c>
      <c r="F13092">
        <v>0</v>
      </c>
      <c r="G13092">
        <v>0</v>
      </c>
      <c r="H13092">
        <f>_xlfn.XLOOKUP(FACT_IMPORTS[[#This Row],[hts_6]],DIM_PRODUCTS[hts_6],DIM_PRODUCTS[hts_4],,,)</f>
        <v>8511</v>
      </c>
      <c r="I13092" t="str" cm="1">
        <f t="array" ref="I13092">_xlfn.XLOOKUP(FACT_IMPORTS[[#This Row],[country_name]],DIM_COUNTRY[[#All],[Column2]],DIM_COUNTRY[[#All],[Column3]],,,)</f>
        <v>Major_Non-USMCA_Non-China</v>
      </c>
    </row>
    <row r="13093" spans="1:9" x14ac:dyDescent="0.4">
      <c r="A13093" t="s">
        <v>75</v>
      </c>
      <c r="B13093" s="1">
        <v>45231</v>
      </c>
      <c r="C13093">
        <v>851130</v>
      </c>
      <c r="D13093" t="s">
        <v>176</v>
      </c>
      <c r="E13093">
        <v>0</v>
      </c>
      <c r="F13093">
        <v>0</v>
      </c>
      <c r="G13093">
        <v>0</v>
      </c>
      <c r="H13093">
        <f>_xlfn.XLOOKUP(FACT_IMPORTS[[#This Row],[hts_6]],DIM_PRODUCTS[hts_6],DIM_PRODUCTS[hts_4],,,)</f>
        <v>8511</v>
      </c>
      <c r="I13093" t="str" cm="1">
        <f t="array" ref="I13093">_xlfn.XLOOKUP(FACT_IMPORTS[[#This Row],[country_name]],DIM_COUNTRY[[#All],[Column2]],DIM_COUNTRY[[#All],[Column3]],,,)</f>
        <v>Major_Non-USMCA_Non-China</v>
      </c>
    </row>
    <row r="13094" spans="1:9" x14ac:dyDescent="0.4">
      <c r="A13094" t="s">
        <v>75</v>
      </c>
      <c r="B13094" s="1">
        <v>45231</v>
      </c>
      <c r="C13094">
        <v>851140</v>
      </c>
      <c r="D13094" t="s">
        <v>176</v>
      </c>
      <c r="E13094">
        <v>8396</v>
      </c>
      <c r="F13094">
        <v>46</v>
      </c>
      <c r="G13094">
        <v>9</v>
      </c>
      <c r="H13094">
        <f>_xlfn.XLOOKUP(FACT_IMPORTS[[#This Row],[hts_6]],DIM_PRODUCTS[hts_6],DIM_PRODUCTS[hts_4],,,)</f>
        <v>8511</v>
      </c>
      <c r="I13094" t="str" cm="1">
        <f t="array" ref="I13094">_xlfn.XLOOKUP(FACT_IMPORTS[[#This Row],[country_name]],DIM_COUNTRY[[#All],[Column2]],DIM_COUNTRY[[#All],[Column3]],,,)</f>
        <v>Major_Non-USMCA_Non-China</v>
      </c>
    </row>
    <row r="13095" spans="1:9" x14ac:dyDescent="0.4">
      <c r="A13095" t="s">
        <v>75</v>
      </c>
      <c r="B13095" s="1">
        <v>45231</v>
      </c>
      <c r="C13095">
        <v>851150</v>
      </c>
      <c r="D13095" t="s">
        <v>176</v>
      </c>
      <c r="E13095">
        <v>18694</v>
      </c>
      <c r="F13095">
        <v>44</v>
      </c>
      <c r="G13095">
        <v>52</v>
      </c>
      <c r="H13095">
        <f>_xlfn.XLOOKUP(FACT_IMPORTS[[#This Row],[hts_6]],DIM_PRODUCTS[hts_6],DIM_PRODUCTS[hts_4],,,)</f>
        <v>8511</v>
      </c>
      <c r="I13095" t="str" cm="1">
        <f t="array" ref="I13095">_xlfn.XLOOKUP(FACT_IMPORTS[[#This Row],[country_name]],DIM_COUNTRY[[#All],[Column2]],DIM_COUNTRY[[#All],[Column3]],,,)</f>
        <v>Major_Non-USMCA_Non-China</v>
      </c>
    </row>
    <row r="13096" spans="1:9" x14ac:dyDescent="0.4">
      <c r="A13096" t="s">
        <v>75</v>
      </c>
      <c r="B13096" s="1">
        <v>45231</v>
      </c>
      <c r="C13096">
        <v>851180</v>
      </c>
      <c r="D13096" t="s">
        <v>176</v>
      </c>
      <c r="E13096">
        <v>0</v>
      </c>
      <c r="F13096">
        <v>0</v>
      </c>
      <c r="G13096">
        <v>0</v>
      </c>
      <c r="H13096">
        <f>_xlfn.XLOOKUP(FACT_IMPORTS[[#This Row],[hts_6]],DIM_PRODUCTS[hts_6],DIM_PRODUCTS[hts_4],,,)</f>
        <v>8511</v>
      </c>
      <c r="I13096" t="str" cm="1">
        <f t="array" ref="I13096">_xlfn.XLOOKUP(FACT_IMPORTS[[#This Row],[country_name]],DIM_COUNTRY[[#All],[Column2]],DIM_COUNTRY[[#All],[Column3]],,,)</f>
        <v>Major_Non-USMCA_Non-China</v>
      </c>
    </row>
    <row r="13097" spans="1:9" x14ac:dyDescent="0.4">
      <c r="A13097" t="s">
        <v>75</v>
      </c>
      <c r="B13097" s="1">
        <v>45231</v>
      </c>
      <c r="C13097">
        <v>851190</v>
      </c>
      <c r="D13097" t="s">
        <v>176</v>
      </c>
      <c r="E13097">
        <v>0</v>
      </c>
      <c r="F13097">
        <v>0</v>
      </c>
      <c r="G13097">
        <v>0</v>
      </c>
      <c r="H13097">
        <f>_xlfn.XLOOKUP(FACT_IMPORTS[[#This Row],[hts_6]],DIM_PRODUCTS[hts_6],DIM_PRODUCTS[hts_4],,,)</f>
        <v>8511</v>
      </c>
      <c r="I13097" t="str" cm="1">
        <f t="array" ref="I13097">_xlfn.XLOOKUP(FACT_IMPORTS[[#This Row],[country_name]],DIM_COUNTRY[[#All],[Column2]],DIM_COUNTRY[[#All],[Column3]],,,)</f>
        <v>Major_Non-USMCA_Non-China</v>
      </c>
    </row>
    <row r="13098" spans="1:9" x14ac:dyDescent="0.4">
      <c r="A13098" t="s">
        <v>75</v>
      </c>
      <c r="B13098" s="1">
        <v>45231</v>
      </c>
      <c r="C13098">
        <v>851220</v>
      </c>
      <c r="D13098" t="s">
        <v>176</v>
      </c>
      <c r="E13098">
        <v>3235054</v>
      </c>
      <c r="F13098">
        <v>444745</v>
      </c>
      <c r="G13098">
        <v>51481</v>
      </c>
      <c r="H13098">
        <f>_xlfn.XLOOKUP(FACT_IMPORTS[[#This Row],[hts_6]],DIM_PRODUCTS[hts_6],DIM_PRODUCTS[hts_4],,,)</f>
        <v>8512</v>
      </c>
      <c r="I13098" t="str" cm="1">
        <f t="array" ref="I13098">_xlfn.XLOOKUP(FACT_IMPORTS[[#This Row],[country_name]],DIM_COUNTRY[[#All],[Column2]],DIM_COUNTRY[[#All],[Column3]],,,)</f>
        <v>Major_Non-USMCA_Non-China</v>
      </c>
    </row>
    <row r="13099" spans="1:9" x14ac:dyDescent="0.4">
      <c r="A13099" t="s">
        <v>75</v>
      </c>
      <c r="B13099" s="1">
        <v>45231</v>
      </c>
      <c r="C13099">
        <v>851230</v>
      </c>
      <c r="D13099" t="s">
        <v>176</v>
      </c>
      <c r="E13099">
        <v>0</v>
      </c>
      <c r="F13099">
        <v>0</v>
      </c>
      <c r="G13099">
        <v>0</v>
      </c>
      <c r="H13099">
        <f>_xlfn.XLOOKUP(FACT_IMPORTS[[#This Row],[hts_6]],DIM_PRODUCTS[hts_6],DIM_PRODUCTS[hts_4],,,)</f>
        <v>8512</v>
      </c>
      <c r="I13099" t="str" cm="1">
        <f t="array" ref="I13099">_xlfn.XLOOKUP(FACT_IMPORTS[[#This Row],[country_name]],DIM_COUNTRY[[#All],[Column2]],DIM_COUNTRY[[#All],[Column3]],,,)</f>
        <v>Major_Non-USMCA_Non-China</v>
      </c>
    </row>
    <row r="13100" spans="1:9" x14ac:dyDescent="0.4">
      <c r="A13100" t="s">
        <v>75</v>
      </c>
      <c r="B13100" s="1">
        <v>45231</v>
      </c>
      <c r="C13100">
        <v>851240</v>
      </c>
      <c r="D13100" t="s">
        <v>176</v>
      </c>
      <c r="E13100">
        <v>0</v>
      </c>
      <c r="F13100">
        <v>0</v>
      </c>
      <c r="G13100">
        <v>0</v>
      </c>
      <c r="H13100">
        <f>_xlfn.XLOOKUP(FACT_IMPORTS[[#This Row],[hts_6]],DIM_PRODUCTS[hts_6],DIM_PRODUCTS[hts_4],,,)</f>
        <v>8512</v>
      </c>
      <c r="I13100" t="str" cm="1">
        <f t="array" ref="I13100">_xlfn.XLOOKUP(FACT_IMPORTS[[#This Row],[country_name]],DIM_COUNTRY[[#All],[Column2]],DIM_COUNTRY[[#All],[Column3]],,,)</f>
        <v>Major_Non-USMCA_Non-China</v>
      </c>
    </row>
    <row r="13101" spans="1:9" x14ac:dyDescent="0.4">
      <c r="A13101" t="s">
        <v>75</v>
      </c>
      <c r="B13101" s="1">
        <v>45231</v>
      </c>
      <c r="C13101">
        <v>851290</v>
      </c>
      <c r="D13101" t="s">
        <v>176</v>
      </c>
      <c r="E13101">
        <v>4700277</v>
      </c>
      <c r="F13101">
        <v>69950</v>
      </c>
      <c r="G13101">
        <v>29000</v>
      </c>
      <c r="H13101">
        <f>_xlfn.XLOOKUP(FACT_IMPORTS[[#This Row],[hts_6]],DIM_PRODUCTS[hts_6],DIM_PRODUCTS[hts_4],,,)</f>
        <v>8512</v>
      </c>
      <c r="I13101" t="str" cm="1">
        <f t="array" ref="I13101">_xlfn.XLOOKUP(FACT_IMPORTS[[#This Row],[country_name]],DIM_COUNTRY[[#All],[Column2]],DIM_COUNTRY[[#All],[Column3]],,,)</f>
        <v>Major_Non-USMCA_Non-China</v>
      </c>
    </row>
    <row r="13102" spans="1:9" x14ac:dyDescent="0.4">
      <c r="A13102" t="s">
        <v>75</v>
      </c>
      <c r="B13102" s="1">
        <v>45231</v>
      </c>
      <c r="C13102">
        <v>854231</v>
      </c>
      <c r="D13102" t="s">
        <v>176</v>
      </c>
      <c r="E13102">
        <v>17600</v>
      </c>
      <c r="F13102">
        <v>12</v>
      </c>
      <c r="G13102">
        <v>115</v>
      </c>
      <c r="H13102">
        <f>_xlfn.XLOOKUP(FACT_IMPORTS[[#This Row],[hts_6]],DIM_PRODUCTS[hts_6],DIM_PRODUCTS[hts_4],,,)</f>
        <v>8542</v>
      </c>
      <c r="I13102" t="str" cm="1">
        <f t="array" ref="I13102">_xlfn.XLOOKUP(FACT_IMPORTS[[#This Row],[country_name]],DIM_COUNTRY[[#All],[Column2]],DIM_COUNTRY[[#All],[Column3]],,,)</f>
        <v>Major_Non-USMCA_Non-China</v>
      </c>
    </row>
    <row r="13103" spans="1:9" x14ac:dyDescent="0.4">
      <c r="A13103" t="s">
        <v>75</v>
      </c>
      <c r="B13103" s="1">
        <v>45231</v>
      </c>
      <c r="C13103">
        <v>854232</v>
      </c>
      <c r="D13103" t="s">
        <v>176</v>
      </c>
      <c r="E13103">
        <v>0</v>
      </c>
      <c r="F13103">
        <v>0</v>
      </c>
      <c r="G13103">
        <v>0</v>
      </c>
      <c r="H13103">
        <f>_xlfn.XLOOKUP(FACT_IMPORTS[[#This Row],[hts_6]],DIM_PRODUCTS[hts_6],DIM_PRODUCTS[hts_4],,,)</f>
        <v>8542</v>
      </c>
      <c r="I13103" t="str" cm="1">
        <f t="array" ref="I13103">_xlfn.XLOOKUP(FACT_IMPORTS[[#This Row],[country_name]],DIM_COUNTRY[[#All],[Column2]],DIM_COUNTRY[[#All],[Column3]],,,)</f>
        <v>Major_Non-USMCA_Non-China</v>
      </c>
    </row>
    <row r="13104" spans="1:9" x14ac:dyDescent="0.4">
      <c r="A13104" t="s">
        <v>75</v>
      </c>
      <c r="B13104" s="1">
        <v>45231</v>
      </c>
      <c r="C13104">
        <v>854239</v>
      </c>
      <c r="D13104" t="s">
        <v>176</v>
      </c>
      <c r="E13104">
        <v>1361153</v>
      </c>
      <c r="F13104">
        <v>272105</v>
      </c>
      <c r="G13104">
        <v>126713</v>
      </c>
      <c r="H13104">
        <f>_xlfn.XLOOKUP(FACT_IMPORTS[[#This Row],[hts_6]],DIM_PRODUCTS[hts_6],DIM_PRODUCTS[hts_4],,,)</f>
        <v>8542</v>
      </c>
      <c r="I13104" t="str" cm="1">
        <f t="array" ref="I13104">_xlfn.XLOOKUP(FACT_IMPORTS[[#This Row],[country_name]],DIM_COUNTRY[[#All],[Column2]],DIM_COUNTRY[[#All],[Column3]],,,)</f>
        <v>Major_Non-USMCA_Non-China</v>
      </c>
    </row>
    <row r="13105" spans="1:9" x14ac:dyDescent="0.4">
      <c r="A13105" t="s">
        <v>75</v>
      </c>
      <c r="B13105" s="1">
        <v>45231</v>
      </c>
      <c r="C13105">
        <v>854290</v>
      </c>
      <c r="D13105" t="s">
        <v>176</v>
      </c>
      <c r="E13105">
        <v>0</v>
      </c>
      <c r="F13105">
        <v>0</v>
      </c>
      <c r="G13105">
        <v>0</v>
      </c>
      <c r="H13105">
        <f>_xlfn.XLOOKUP(FACT_IMPORTS[[#This Row],[hts_6]],DIM_PRODUCTS[hts_6],DIM_PRODUCTS[hts_4],,,)</f>
        <v>8542</v>
      </c>
      <c r="I13105" t="str" cm="1">
        <f t="array" ref="I13105">_xlfn.XLOOKUP(FACT_IMPORTS[[#This Row],[country_name]],DIM_COUNTRY[[#All],[Column2]],DIM_COUNTRY[[#All],[Column3]],,,)</f>
        <v>Major_Non-USMCA_Non-China</v>
      </c>
    </row>
    <row r="13106" spans="1:9" x14ac:dyDescent="0.4">
      <c r="A13106" t="s">
        <v>75</v>
      </c>
      <c r="B13106" s="1">
        <v>45231</v>
      </c>
      <c r="C13106">
        <v>854430</v>
      </c>
      <c r="D13106" t="s">
        <v>176</v>
      </c>
      <c r="E13106">
        <v>0</v>
      </c>
      <c r="F13106">
        <v>0</v>
      </c>
      <c r="G13106">
        <v>0</v>
      </c>
      <c r="H13106">
        <f>_xlfn.XLOOKUP(FACT_IMPORTS[[#This Row],[hts_6]],DIM_PRODUCTS[hts_6],DIM_PRODUCTS[hts_4],,,)</f>
        <v>8544</v>
      </c>
      <c r="I13106" t="str" cm="1">
        <f t="array" ref="I13106">_xlfn.XLOOKUP(FACT_IMPORTS[[#This Row],[country_name]],DIM_COUNTRY[[#All],[Column2]],DIM_COUNTRY[[#All],[Column3]],,,)</f>
        <v>Major_Non-USMCA_Non-China</v>
      </c>
    </row>
    <row r="13107" spans="1:9" x14ac:dyDescent="0.4">
      <c r="A13107" t="s">
        <v>75</v>
      </c>
      <c r="B13107" s="1">
        <v>45231</v>
      </c>
      <c r="C13107">
        <v>870810</v>
      </c>
      <c r="D13107" t="s">
        <v>176</v>
      </c>
      <c r="E13107">
        <v>332826</v>
      </c>
      <c r="F13107">
        <v>5245</v>
      </c>
      <c r="G13107">
        <v>34346</v>
      </c>
      <c r="H13107">
        <f>_xlfn.XLOOKUP(FACT_IMPORTS[[#This Row],[hts_6]],DIM_PRODUCTS[hts_6],DIM_PRODUCTS[hts_4],,,)</f>
        <v>8708</v>
      </c>
      <c r="I13107" t="str" cm="1">
        <f t="array" ref="I13107">_xlfn.XLOOKUP(FACT_IMPORTS[[#This Row],[country_name]],DIM_COUNTRY[[#All],[Column2]],DIM_COUNTRY[[#All],[Column3]],,,)</f>
        <v>Major_Non-USMCA_Non-China</v>
      </c>
    </row>
    <row r="13108" spans="1:9" x14ac:dyDescent="0.4">
      <c r="A13108" t="s">
        <v>75</v>
      </c>
      <c r="B13108" s="1">
        <v>45231</v>
      </c>
      <c r="C13108">
        <v>870829</v>
      </c>
      <c r="D13108" t="s">
        <v>176</v>
      </c>
      <c r="E13108">
        <v>595408</v>
      </c>
      <c r="F13108">
        <v>22272</v>
      </c>
      <c r="G13108">
        <v>9751</v>
      </c>
      <c r="H13108">
        <f>_xlfn.XLOOKUP(FACT_IMPORTS[[#This Row],[hts_6]],DIM_PRODUCTS[hts_6],DIM_PRODUCTS[hts_4],,,)</f>
        <v>8708</v>
      </c>
      <c r="I13108" t="str" cm="1">
        <f t="array" ref="I13108">_xlfn.XLOOKUP(FACT_IMPORTS[[#This Row],[country_name]],DIM_COUNTRY[[#All],[Column2]],DIM_COUNTRY[[#All],[Column3]],,,)</f>
        <v>Major_Non-USMCA_Non-China</v>
      </c>
    </row>
    <row r="13109" spans="1:9" x14ac:dyDescent="0.4">
      <c r="A13109" t="s">
        <v>75</v>
      </c>
      <c r="B13109" s="1">
        <v>45231</v>
      </c>
      <c r="C13109">
        <v>870830</v>
      </c>
      <c r="D13109" t="s">
        <v>176</v>
      </c>
      <c r="E13109">
        <v>0</v>
      </c>
      <c r="F13109">
        <v>0</v>
      </c>
      <c r="G13109">
        <v>0</v>
      </c>
      <c r="H13109">
        <f>_xlfn.XLOOKUP(FACT_IMPORTS[[#This Row],[hts_6]],DIM_PRODUCTS[hts_6],DIM_PRODUCTS[hts_4],,,)</f>
        <v>8708</v>
      </c>
      <c r="I13109" t="str" cm="1">
        <f t="array" ref="I13109">_xlfn.XLOOKUP(FACT_IMPORTS[[#This Row],[country_name]],DIM_COUNTRY[[#All],[Column2]],DIM_COUNTRY[[#All],[Column3]],,,)</f>
        <v>Major_Non-USMCA_Non-China</v>
      </c>
    </row>
    <row r="13110" spans="1:9" x14ac:dyDescent="0.4">
      <c r="A13110" t="s">
        <v>75</v>
      </c>
      <c r="B13110" s="1">
        <v>45231</v>
      </c>
      <c r="C13110">
        <v>870840</v>
      </c>
      <c r="D13110" t="s">
        <v>176</v>
      </c>
      <c r="E13110">
        <v>647807</v>
      </c>
      <c r="F13110">
        <v>105682</v>
      </c>
      <c r="G13110">
        <v>7967</v>
      </c>
      <c r="H13110">
        <f>_xlfn.XLOOKUP(FACT_IMPORTS[[#This Row],[hts_6]],DIM_PRODUCTS[hts_6],DIM_PRODUCTS[hts_4],,,)</f>
        <v>8708</v>
      </c>
      <c r="I13110" t="str" cm="1">
        <f t="array" ref="I13110">_xlfn.XLOOKUP(FACT_IMPORTS[[#This Row],[country_name]],DIM_COUNTRY[[#All],[Column2]],DIM_COUNTRY[[#All],[Column3]],,,)</f>
        <v>Major_Non-USMCA_Non-China</v>
      </c>
    </row>
    <row r="13111" spans="1:9" x14ac:dyDescent="0.4">
      <c r="A13111" t="s">
        <v>75</v>
      </c>
      <c r="B13111" s="1">
        <v>45231</v>
      </c>
      <c r="C13111">
        <v>870850</v>
      </c>
      <c r="D13111" t="s">
        <v>176</v>
      </c>
      <c r="E13111">
        <v>136236</v>
      </c>
      <c r="F13111">
        <v>1152</v>
      </c>
      <c r="G13111">
        <v>3500</v>
      </c>
      <c r="H13111">
        <f>_xlfn.XLOOKUP(FACT_IMPORTS[[#This Row],[hts_6]],DIM_PRODUCTS[hts_6],DIM_PRODUCTS[hts_4],,,)</f>
        <v>8708</v>
      </c>
      <c r="I13111" t="str" cm="1">
        <f t="array" ref="I13111">_xlfn.XLOOKUP(FACT_IMPORTS[[#This Row],[country_name]],DIM_COUNTRY[[#All],[Column2]],DIM_COUNTRY[[#All],[Column3]],,,)</f>
        <v>Major_Non-USMCA_Non-China</v>
      </c>
    </row>
    <row r="13112" spans="1:9" x14ac:dyDescent="0.4">
      <c r="A13112" t="s">
        <v>75</v>
      </c>
      <c r="B13112" s="1">
        <v>45231</v>
      </c>
      <c r="C13112">
        <v>870870</v>
      </c>
      <c r="D13112" t="s">
        <v>176</v>
      </c>
      <c r="E13112">
        <v>2146390</v>
      </c>
      <c r="F13112">
        <v>9674</v>
      </c>
      <c r="G13112">
        <v>26413</v>
      </c>
      <c r="H13112">
        <f>_xlfn.XLOOKUP(FACT_IMPORTS[[#This Row],[hts_6]],DIM_PRODUCTS[hts_6],DIM_PRODUCTS[hts_4],,,)</f>
        <v>8708</v>
      </c>
      <c r="I13112" t="str" cm="1">
        <f t="array" ref="I13112">_xlfn.XLOOKUP(FACT_IMPORTS[[#This Row],[country_name]],DIM_COUNTRY[[#All],[Column2]],DIM_COUNTRY[[#All],[Column3]],,,)</f>
        <v>Major_Non-USMCA_Non-China</v>
      </c>
    </row>
    <row r="13113" spans="1:9" x14ac:dyDescent="0.4">
      <c r="A13113" t="s">
        <v>75</v>
      </c>
      <c r="B13113" s="1">
        <v>45231</v>
      </c>
      <c r="C13113">
        <v>870880</v>
      </c>
      <c r="D13113" t="s">
        <v>176</v>
      </c>
      <c r="E13113">
        <v>895148</v>
      </c>
      <c r="F13113">
        <v>73855</v>
      </c>
      <c r="G13113">
        <v>37714</v>
      </c>
      <c r="H13113">
        <f>_xlfn.XLOOKUP(FACT_IMPORTS[[#This Row],[hts_6]],DIM_PRODUCTS[hts_6],DIM_PRODUCTS[hts_4],,,)</f>
        <v>8708</v>
      </c>
      <c r="I13113" t="str" cm="1">
        <f t="array" ref="I13113">_xlfn.XLOOKUP(FACT_IMPORTS[[#This Row],[country_name]],DIM_COUNTRY[[#All],[Column2]],DIM_COUNTRY[[#All],[Column3]],,,)</f>
        <v>Major_Non-USMCA_Non-China</v>
      </c>
    </row>
    <row r="13114" spans="1:9" x14ac:dyDescent="0.4">
      <c r="A13114" t="s">
        <v>75</v>
      </c>
      <c r="B13114" s="1">
        <v>45231</v>
      </c>
      <c r="C13114">
        <v>870891</v>
      </c>
      <c r="D13114" t="s">
        <v>176</v>
      </c>
      <c r="E13114">
        <v>20286</v>
      </c>
      <c r="F13114">
        <v>17522</v>
      </c>
      <c r="G13114">
        <v>1208</v>
      </c>
      <c r="H13114">
        <f>_xlfn.XLOOKUP(FACT_IMPORTS[[#This Row],[hts_6]],DIM_PRODUCTS[hts_6],DIM_PRODUCTS[hts_4],,,)</f>
        <v>8708</v>
      </c>
      <c r="I13114" t="str" cm="1">
        <f t="array" ref="I13114">_xlfn.XLOOKUP(FACT_IMPORTS[[#This Row],[country_name]],DIM_COUNTRY[[#All],[Column2]],DIM_COUNTRY[[#All],[Column3]],,,)</f>
        <v>Major_Non-USMCA_Non-China</v>
      </c>
    </row>
    <row r="13115" spans="1:9" x14ac:dyDescent="0.4">
      <c r="A13115" t="s">
        <v>75</v>
      </c>
      <c r="B13115" s="1">
        <v>45231</v>
      </c>
      <c r="C13115">
        <v>870892</v>
      </c>
      <c r="D13115" t="s">
        <v>176</v>
      </c>
      <c r="E13115">
        <v>0</v>
      </c>
      <c r="F13115">
        <v>0</v>
      </c>
      <c r="G13115">
        <v>0</v>
      </c>
      <c r="H13115">
        <f>_xlfn.XLOOKUP(FACT_IMPORTS[[#This Row],[hts_6]],DIM_PRODUCTS[hts_6],DIM_PRODUCTS[hts_4],,,)</f>
        <v>8708</v>
      </c>
      <c r="I13115" t="str" cm="1">
        <f t="array" ref="I13115">_xlfn.XLOOKUP(FACT_IMPORTS[[#This Row],[country_name]],DIM_COUNTRY[[#All],[Column2]],DIM_COUNTRY[[#All],[Column3]],,,)</f>
        <v>Major_Non-USMCA_Non-China</v>
      </c>
    </row>
    <row r="13116" spans="1:9" x14ac:dyDescent="0.4">
      <c r="A13116" t="s">
        <v>75</v>
      </c>
      <c r="B13116" s="1">
        <v>45231</v>
      </c>
      <c r="C13116">
        <v>870893</v>
      </c>
      <c r="D13116" t="s">
        <v>176</v>
      </c>
      <c r="E13116">
        <v>10676</v>
      </c>
      <c r="F13116">
        <v>92</v>
      </c>
      <c r="G13116">
        <v>14</v>
      </c>
      <c r="H13116">
        <f>_xlfn.XLOOKUP(FACT_IMPORTS[[#This Row],[hts_6]],DIM_PRODUCTS[hts_6],DIM_PRODUCTS[hts_4],,,)</f>
        <v>8708</v>
      </c>
      <c r="I13116" t="str" cm="1">
        <f t="array" ref="I13116">_xlfn.XLOOKUP(FACT_IMPORTS[[#This Row],[country_name]],DIM_COUNTRY[[#All],[Column2]],DIM_COUNTRY[[#All],[Column3]],,,)</f>
        <v>Major_Non-USMCA_Non-China</v>
      </c>
    </row>
    <row r="13117" spans="1:9" x14ac:dyDescent="0.4">
      <c r="A13117" t="s">
        <v>75</v>
      </c>
      <c r="B13117" s="1">
        <v>45231</v>
      </c>
      <c r="C13117">
        <v>870894</v>
      </c>
      <c r="D13117" t="s">
        <v>176</v>
      </c>
      <c r="E13117">
        <v>36876</v>
      </c>
      <c r="F13117">
        <v>43497</v>
      </c>
      <c r="G13117">
        <v>765</v>
      </c>
      <c r="H13117">
        <f>_xlfn.XLOOKUP(FACT_IMPORTS[[#This Row],[hts_6]],DIM_PRODUCTS[hts_6],DIM_PRODUCTS[hts_4],,,)</f>
        <v>8708</v>
      </c>
      <c r="I13117" t="str" cm="1">
        <f t="array" ref="I13117">_xlfn.XLOOKUP(FACT_IMPORTS[[#This Row],[country_name]],DIM_COUNTRY[[#All],[Column2]],DIM_COUNTRY[[#All],[Column3]],,,)</f>
        <v>Major_Non-USMCA_Non-China</v>
      </c>
    </row>
    <row r="13118" spans="1:9" x14ac:dyDescent="0.4">
      <c r="A13118" t="s">
        <v>75</v>
      </c>
      <c r="B13118" s="1">
        <v>45231</v>
      </c>
      <c r="C13118">
        <v>870899</v>
      </c>
      <c r="D13118" t="s">
        <v>176</v>
      </c>
      <c r="E13118">
        <v>1122600</v>
      </c>
      <c r="F13118">
        <v>1546502</v>
      </c>
      <c r="G13118">
        <v>45188</v>
      </c>
      <c r="H13118">
        <f>_xlfn.XLOOKUP(FACT_IMPORTS[[#This Row],[hts_6]],DIM_PRODUCTS[hts_6],DIM_PRODUCTS[hts_4],,,)</f>
        <v>8708</v>
      </c>
      <c r="I13118" t="str" cm="1">
        <f t="array" ref="I13118">_xlfn.XLOOKUP(FACT_IMPORTS[[#This Row],[country_name]],DIM_COUNTRY[[#All],[Column2]],DIM_COUNTRY[[#All],[Column3]],,,)</f>
        <v>Major_Non-USMCA_Non-China</v>
      </c>
    </row>
    <row r="13119" spans="1:9" x14ac:dyDescent="0.4">
      <c r="A13119" t="s">
        <v>75</v>
      </c>
      <c r="B13119" s="1">
        <v>45231</v>
      </c>
      <c r="C13119">
        <v>940120</v>
      </c>
      <c r="D13119" t="s">
        <v>176</v>
      </c>
      <c r="E13119">
        <v>0</v>
      </c>
      <c r="F13119">
        <v>0</v>
      </c>
      <c r="G13119">
        <v>0</v>
      </c>
      <c r="H13119">
        <f>_xlfn.XLOOKUP(FACT_IMPORTS[[#This Row],[hts_6]],DIM_PRODUCTS[hts_6],DIM_PRODUCTS[hts_4],,,)</f>
        <v>9401</v>
      </c>
      <c r="I13119" t="str" cm="1">
        <f t="array" ref="I13119">_xlfn.XLOOKUP(FACT_IMPORTS[[#This Row],[country_name]],DIM_COUNTRY[[#All],[Column2]],DIM_COUNTRY[[#All],[Column3]],,,)</f>
        <v>Major_Non-USMCA_Non-China</v>
      </c>
    </row>
    <row r="13120" spans="1:9" x14ac:dyDescent="0.4">
      <c r="A13120" t="s">
        <v>75</v>
      </c>
      <c r="B13120" s="1">
        <v>45261</v>
      </c>
      <c r="C13120">
        <v>392630</v>
      </c>
      <c r="D13120" t="s">
        <v>176</v>
      </c>
      <c r="E13120">
        <v>132972</v>
      </c>
      <c r="F13120">
        <v>7034</v>
      </c>
      <c r="G13120">
        <v>5959</v>
      </c>
      <c r="H13120">
        <f>_xlfn.XLOOKUP(FACT_IMPORTS[[#This Row],[hts_6]],DIM_PRODUCTS[hts_6],DIM_PRODUCTS[hts_4],,,)</f>
        <v>3926</v>
      </c>
      <c r="I13120" t="str" cm="1">
        <f t="array" ref="I13120">_xlfn.XLOOKUP(FACT_IMPORTS[[#This Row],[country_name]],DIM_COUNTRY[[#All],[Column2]],DIM_COUNTRY[[#All],[Column3]],,,)</f>
        <v>Major_Non-USMCA_Non-China</v>
      </c>
    </row>
    <row r="13121" spans="1:9" x14ac:dyDescent="0.4">
      <c r="A13121" t="s">
        <v>75</v>
      </c>
      <c r="B13121" s="1">
        <v>45261</v>
      </c>
      <c r="C13121">
        <v>401110</v>
      </c>
      <c r="D13121" t="s">
        <v>176</v>
      </c>
      <c r="E13121">
        <v>0</v>
      </c>
      <c r="F13121">
        <v>0</v>
      </c>
      <c r="G13121">
        <v>0</v>
      </c>
      <c r="H13121">
        <f>_xlfn.XLOOKUP(FACT_IMPORTS[[#This Row],[hts_6]],DIM_PRODUCTS[hts_6],DIM_PRODUCTS[hts_4],,,)</f>
        <v>4011</v>
      </c>
      <c r="I13121" t="str" cm="1">
        <f t="array" ref="I13121">_xlfn.XLOOKUP(FACT_IMPORTS[[#This Row],[country_name]],DIM_COUNTRY[[#All],[Column2]],DIM_COUNTRY[[#All],[Column3]],,,)</f>
        <v>Major_Non-USMCA_Non-China</v>
      </c>
    </row>
    <row r="13122" spans="1:9" x14ac:dyDescent="0.4">
      <c r="A13122" t="s">
        <v>75</v>
      </c>
      <c r="B13122" s="1">
        <v>45261</v>
      </c>
      <c r="C13122">
        <v>401120</v>
      </c>
      <c r="D13122" t="s">
        <v>176</v>
      </c>
      <c r="E13122">
        <v>0</v>
      </c>
      <c r="F13122">
        <v>0</v>
      </c>
      <c r="G13122">
        <v>0</v>
      </c>
      <c r="H13122">
        <f>_xlfn.XLOOKUP(FACT_IMPORTS[[#This Row],[hts_6]],DIM_PRODUCTS[hts_6],DIM_PRODUCTS[hts_4],,,)</f>
        <v>4011</v>
      </c>
      <c r="I13122" t="str" cm="1">
        <f t="array" ref="I13122">_xlfn.XLOOKUP(FACT_IMPORTS[[#This Row],[country_name]],DIM_COUNTRY[[#All],[Column2]],DIM_COUNTRY[[#All],[Column3]],,,)</f>
        <v>Major_Non-USMCA_Non-China</v>
      </c>
    </row>
    <row r="13123" spans="1:9" x14ac:dyDescent="0.4">
      <c r="A13123" t="s">
        <v>75</v>
      </c>
      <c r="B13123" s="1">
        <v>45261</v>
      </c>
      <c r="C13123">
        <v>401140</v>
      </c>
      <c r="D13123" t="s">
        <v>176</v>
      </c>
      <c r="E13123">
        <v>2322</v>
      </c>
      <c r="F13123">
        <v>34</v>
      </c>
      <c r="G13123">
        <v>17</v>
      </c>
      <c r="H13123">
        <f>_xlfn.XLOOKUP(FACT_IMPORTS[[#This Row],[hts_6]],DIM_PRODUCTS[hts_6],DIM_PRODUCTS[hts_4],,,)</f>
        <v>4011</v>
      </c>
      <c r="I13123" t="str" cm="1">
        <f t="array" ref="I13123">_xlfn.XLOOKUP(FACT_IMPORTS[[#This Row],[country_name]],DIM_COUNTRY[[#All],[Column2]],DIM_COUNTRY[[#All],[Column3]],,,)</f>
        <v>Major_Non-USMCA_Non-China</v>
      </c>
    </row>
    <row r="13124" spans="1:9" x14ac:dyDescent="0.4">
      <c r="A13124" t="s">
        <v>75</v>
      </c>
      <c r="B13124" s="1">
        <v>45261</v>
      </c>
      <c r="C13124">
        <v>401190</v>
      </c>
      <c r="D13124" t="s">
        <v>176</v>
      </c>
      <c r="E13124">
        <v>6696</v>
      </c>
      <c r="F13124">
        <v>66</v>
      </c>
      <c r="G13124">
        <v>12</v>
      </c>
      <c r="H13124">
        <f>_xlfn.XLOOKUP(FACT_IMPORTS[[#This Row],[hts_6]],DIM_PRODUCTS[hts_6],DIM_PRODUCTS[hts_4],,,)</f>
        <v>4011</v>
      </c>
      <c r="I13124" t="str" cm="1">
        <f t="array" ref="I13124">_xlfn.XLOOKUP(FACT_IMPORTS[[#This Row],[country_name]],DIM_COUNTRY[[#All],[Column2]],DIM_COUNTRY[[#All],[Column3]],,,)</f>
        <v>Major_Non-USMCA_Non-China</v>
      </c>
    </row>
    <row r="13125" spans="1:9" x14ac:dyDescent="0.4">
      <c r="A13125" t="s">
        <v>75</v>
      </c>
      <c r="B13125" s="1">
        <v>45261</v>
      </c>
      <c r="C13125">
        <v>700910</v>
      </c>
      <c r="D13125" t="s">
        <v>176</v>
      </c>
      <c r="E13125">
        <v>80361</v>
      </c>
      <c r="F13125">
        <v>34020</v>
      </c>
      <c r="G13125">
        <v>3468</v>
      </c>
      <c r="H13125">
        <f>_xlfn.XLOOKUP(FACT_IMPORTS[[#This Row],[hts_6]],DIM_PRODUCTS[hts_6],DIM_PRODUCTS[hts_4],,,)</f>
        <v>7009</v>
      </c>
      <c r="I13125" t="str" cm="1">
        <f t="array" ref="I13125">_xlfn.XLOOKUP(FACT_IMPORTS[[#This Row],[country_name]],DIM_COUNTRY[[#All],[Column2]],DIM_COUNTRY[[#All],[Column3]],,,)</f>
        <v>Major_Non-USMCA_Non-China</v>
      </c>
    </row>
    <row r="13126" spans="1:9" x14ac:dyDescent="0.4">
      <c r="A13126" t="s">
        <v>75</v>
      </c>
      <c r="B13126" s="1">
        <v>45261</v>
      </c>
      <c r="C13126">
        <v>830230</v>
      </c>
      <c r="D13126" t="s">
        <v>176</v>
      </c>
      <c r="E13126">
        <v>0</v>
      </c>
      <c r="F13126">
        <v>0</v>
      </c>
      <c r="G13126">
        <v>0</v>
      </c>
      <c r="H13126">
        <f>_xlfn.XLOOKUP(FACT_IMPORTS[[#This Row],[hts_6]],DIM_PRODUCTS[hts_6],DIM_PRODUCTS[hts_4],,,)</f>
        <v>8302</v>
      </c>
      <c r="I13126" t="str" cm="1">
        <f t="array" ref="I13126">_xlfn.XLOOKUP(FACT_IMPORTS[[#This Row],[country_name]],DIM_COUNTRY[[#All],[Column2]],DIM_COUNTRY[[#All],[Column3]],,,)</f>
        <v>Major_Non-USMCA_Non-China</v>
      </c>
    </row>
    <row r="13127" spans="1:9" x14ac:dyDescent="0.4">
      <c r="A13127" t="s">
        <v>75</v>
      </c>
      <c r="B13127" s="1">
        <v>45261</v>
      </c>
      <c r="C13127">
        <v>840732</v>
      </c>
      <c r="D13127" t="s">
        <v>176</v>
      </c>
      <c r="E13127">
        <v>0</v>
      </c>
      <c r="F13127">
        <v>0</v>
      </c>
      <c r="G13127">
        <v>0</v>
      </c>
      <c r="H13127">
        <f>_xlfn.XLOOKUP(FACT_IMPORTS[[#This Row],[hts_6]],DIM_PRODUCTS[hts_6],DIM_PRODUCTS[hts_4],,,)</f>
        <v>8407</v>
      </c>
      <c r="I13127" t="str" cm="1">
        <f t="array" ref="I13127">_xlfn.XLOOKUP(FACT_IMPORTS[[#This Row],[country_name]],DIM_COUNTRY[[#All],[Column2]],DIM_COUNTRY[[#All],[Column3]],,,)</f>
        <v>Major_Non-USMCA_Non-China</v>
      </c>
    </row>
    <row r="13128" spans="1:9" x14ac:dyDescent="0.4">
      <c r="A13128" t="s">
        <v>75</v>
      </c>
      <c r="B13128" s="1">
        <v>45261</v>
      </c>
      <c r="C13128">
        <v>840733</v>
      </c>
      <c r="D13128" t="s">
        <v>176</v>
      </c>
      <c r="E13128">
        <v>0</v>
      </c>
      <c r="F13128">
        <v>0</v>
      </c>
      <c r="G13128">
        <v>0</v>
      </c>
      <c r="H13128">
        <f>_xlfn.XLOOKUP(FACT_IMPORTS[[#This Row],[hts_6]],DIM_PRODUCTS[hts_6],DIM_PRODUCTS[hts_4],,,)</f>
        <v>8407</v>
      </c>
      <c r="I13128" t="str" cm="1">
        <f t="array" ref="I13128">_xlfn.XLOOKUP(FACT_IMPORTS[[#This Row],[country_name]],DIM_COUNTRY[[#All],[Column2]],DIM_COUNTRY[[#All],[Column3]],,,)</f>
        <v>Major_Non-USMCA_Non-China</v>
      </c>
    </row>
    <row r="13129" spans="1:9" x14ac:dyDescent="0.4">
      <c r="A13129" t="s">
        <v>75</v>
      </c>
      <c r="B13129" s="1">
        <v>45261</v>
      </c>
      <c r="C13129">
        <v>840991</v>
      </c>
      <c r="D13129" t="s">
        <v>176</v>
      </c>
      <c r="E13129">
        <v>219868</v>
      </c>
      <c r="F13129">
        <v>13703</v>
      </c>
      <c r="G13129">
        <v>5211</v>
      </c>
      <c r="H13129">
        <f>_xlfn.XLOOKUP(FACT_IMPORTS[[#This Row],[hts_6]],DIM_PRODUCTS[hts_6],DIM_PRODUCTS[hts_4],,,)</f>
        <v>8409</v>
      </c>
      <c r="I13129" t="str" cm="1">
        <f t="array" ref="I13129">_xlfn.XLOOKUP(FACT_IMPORTS[[#This Row],[country_name]],DIM_COUNTRY[[#All],[Column2]],DIM_COUNTRY[[#All],[Column3]],,,)</f>
        <v>Major_Non-USMCA_Non-China</v>
      </c>
    </row>
    <row r="13130" spans="1:9" x14ac:dyDescent="0.4">
      <c r="A13130" t="s">
        <v>75</v>
      </c>
      <c r="B13130" s="1">
        <v>45261</v>
      </c>
      <c r="C13130">
        <v>840999</v>
      </c>
      <c r="D13130" t="s">
        <v>176</v>
      </c>
      <c r="E13130">
        <v>0</v>
      </c>
      <c r="F13130">
        <v>0</v>
      </c>
      <c r="G13130">
        <v>0</v>
      </c>
      <c r="H13130">
        <f>_xlfn.XLOOKUP(FACT_IMPORTS[[#This Row],[hts_6]],DIM_PRODUCTS[hts_6],DIM_PRODUCTS[hts_4],,,)</f>
        <v>8409</v>
      </c>
      <c r="I13130" t="str" cm="1">
        <f t="array" ref="I13130">_xlfn.XLOOKUP(FACT_IMPORTS[[#This Row],[country_name]],DIM_COUNTRY[[#All],[Column2]],DIM_COUNTRY[[#All],[Column3]],,,)</f>
        <v>Major_Non-USMCA_Non-China</v>
      </c>
    </row>
    <row r="13131" spans="1:9" x14ac:dyDescent="0.4">
      <c r="A13131" t="s">
        <v>75</v>
      </c>
      <c r="B13131" s="1">
        <v>45261</v>
      </c>
      <c r="C13131">
        <v>841330</v>
      </c>
      <c r="D13131" t="s">
        <v>176</v>
      </c>
      <c r="E13131">
        <v>0</v>
      </c>
      <c r="F13131">
        <v>0</v>
      </c>
      <c r="G13131">
        <v>0</v>
      </c>
      <c r="H13131">
        <f>_xlfn.XLOOKUP(FACT_IMPORTS[[#This Row],[hts_6]],DIM_PRODUCTS[hts_6],DIM_PRODUCTS[hts_4],,,)</f>
        <v>8413</v>
      </c>
      <c r="I13131" t="str" cm="1">
        <f t="array" ref="I13131">_xlfn.XLOOKUP(FACT_IMPORTS[[#This Row],[country_name]],DIM_COUNTRY[[#All],[Column2]],DIM_COUNTRY[[#All],[Column3]],,,)</f>
        <v>Major_Non-USMCA_Non-China</v>
      </c>
    </row>
    <row r="13132" spans="1:9" x14ac:dyDescent="0.4">
      <c r="A13132" t="s">
        <v>75</v>
      </c>
      <c r="B13132" s="1">
        <v>45261</v>
      </c>
      <c r="C13132">
        <v>842132</v>
      </c>
      <c r="D13132" t="s">
        <v>176</v>
      </c>
      <c r="E13132">
        <v>2249</v>
      </c>
      <c r="F13132">
        <v>35</v>
      </c>
      <c r="G13132">
        <v>1794</v>
      </c>
      <c r="H13132">
        <f>_xlfn.XLOOKUP(FACT_IMPORTS[[#This Row],[hts_6]],DIM_PRODUCTS[hts_6],DIM_PRODUCTS[hts_4],,,)</f>
        <v>8421</v>
      </c>
      <c r="I13132" t="str" cm="1">
        <f t="array" ref="I13132">_xlfn.XLOOKUP(FACT_IMPORTS[[#This Row],[country_name]],DIM_COUNTRY[[#All],[Column2]],DIM_COUNTRY[[#All],[Column3]],,,)</f>
        <v>Major_Non-USMCA_Non-China</v>
      </c>
    </row>
    <row r="13133" spans="1:9" x14ac:dyDescent="0.4">
      <c r="A13133" t="s">
        <v>75</v>
      </c>
      <c r="B13133" s="1">
        <v>45261</v>
      </c>
      <c r="C13133">
        <v>848210</v>
      </c>
      <c r="D13133" t="s">
        <v>176</v>
      </c>
      <c r="E13133">
        <v>128979</v>
      </c>
      <c r="F13133">
        <v>300774</v>
      </c>
      <c r="G13133">
        <v>7161</v>
      </c>
      <c r="H13133">
        <f>_xlfn.XLOOKUP(FACT_IMPORTS[[#This Row],[hts_6]],DIM_PRODUCTS[hts_6],DIM_PRODUCTS[hts_4],,,)</f>
        <v>8482</v>
      </c>
      <c r="I13133" t="str" cm="1">
        <f t="array" ref="I13133">_xlfn.XLOOKUP(FACT_IMPORTS[[#This Row],[country_name]],DIM_COUNTRY[[#All],[Column2]],DIM_COUNTRY[[#All],[Column3]],,,)</f>
        <v>Major_Non-USMCA_Non-China</v>
      </c>
    </row>
    <row r="13134" spans="1:9" x14ac:dyDescent="0.4">
      <c r="A13134" t="s">
        <v>75</v>
      </c>
      <c r="B13134" s="1">
        <v>45261</v>
      </c>
      <c r="C13134">
        <v>848310</v>
      </c>
      <c r="D13134" t="s">
        <v>176</v>
      </c>
      <c r="E13134">
        <v>2192</v>
      </c>
      <c r="F13134">
        <v>61</v>
      </c>
      <c r="G13134">
        <v>1</v>
      </c>
      <c r="H13134">
        <f>_xlfn.XLOOKUP(FACT_IMPORTS[[#This Row],[hts_6]],DIM_PRODUCTS[hts_6],DIM_PRODUCTS[hts_4],,,)</f>
        <v>8483</v>
      </c>
      <c r="I13134" t="str" cm="1">
        <f t="array" ref="I13134">_xlfn.XLOOKUP(FACT_IMPORTS[[#This Row],[country_name]],DIM_COUNTRY[[#All],[Column2]],DIM_COUNTRY[[#All],[Column3]],,,)</f>
        <v>Major_Non-USMCA_Non-China</v>
      </c>
    </row>
    <row r="13135" spans="1:9" x14ac:dyDescent="0.4">
      <c r="A13135" t="s">
        <v>75</v>
      </c>
      <c r="B13135" s="1">
        <v>45261</v>
      </c>
      <c r="C13135">
        <v>850131</v>
      </c>
      <c r="D13135" t="s">
        <v>176</v>
      </c>
      <c r="E13135">
        <v>0</v>
      </c>
      <c r="F13135">
        <v>0</v>
      </c>
      <c r="G13135">
        <v>0</v>
      </c>
      <c r="H13135">
        <f>_xlfn.XLOOKUP(FACT_IMPORTS[[#This Row],[hts_6]],DIM_PRODUCTS[hts_6],DIM_PRODUCTS[hts_4],,,)</f>
        <v>8501</v>
      </c>
      <c r="I13135" t="str" cm="1">
        <f t="array" ref="I13135">_xlfn.XLOOKUP(FACT_IMPORTS[[#This Row],[country_name]],DIM_COUNTRY[[#All],[Column2]],DIM_COUNTRY[[#All],[Column3]],,,)</f>
        <v>Major_Non-USMCA_Non-China</v>
      </c>
    </row>
    <row r="13136" spans="1:9" x14ac:dyDescent="0.4">
      <c r="A13136" t="s">
        <v>75</v>
      </c>
      <c r="B13136" s="1">
        <v>45261</v>
      </c>
      <c r="C13136">
        <v>850132</v>
      </c>
      <c r="D13136" t="s">
        <v>176</v>
      </c>
      <c r="E13136">
        <v>17460</v>
      </c>
      <c r="F13136">
        <v>60</v>
      </c>
      <c r="G13136">
        <v>8391</v>
      </c>
      <c r="H13136">
        <f>_xlfn.XLOOKUP(FACT_IMPORTS[[#This Row],[hts_6]],DIM_PRODUCTS[hts_6],DIM_PRODUCTS[hts_4],,,)</f>
        <v>8501</v>
      </c>
      <c r="I13136" t="str" cm="1">
        <f t="array" ref="I13136">_xlfn.XLOOKUP(FACT_IMPORTS[[#This Row],[country_name]],DIM_COUNTRY[[#All],[Column2]],DIM_COUNTRY[[#All],[Column3]],,,)</f>
        <v>Major_Non-USMCA_Non-China</v>
      </c>
    </row>
    <row r="13137" spans="1:9" x14ac:dyDescent="0.4">
      <c r="A13137" t="s">
        <v>75</v>
      </c>
      <c r="B13137" s="1">
        <v>45261</v>
      </c>
      <c r="C13137">
        <v>850152</v>
      </c>
      <c r="D13137" t="s">
        <v>176</v>
      </c>
      <c r="E13137">
        <v>0</v>
      </c>
      <c r="F13137">
        <v>0</v>
      </c>
      <c r="G13137">
        <v>0</v>
      </c>
      <c r="H13137">
        <f>_xlfn.XLOOKUP(FACT_IMPORTS[[#This Row],[hts_6]],DIM_PRODUCTS[hts_6],DIM_PRODUCTS[hts_4],,,)</f>
        <v>8501</v>
      </c>
      <c r="I13137" t="str" cm="1">
        <f t="array" ref="I13137">_xlfn.XLOOKUP(FACT_IMPORTS[[#This Row],[country_name]],DIM_COUNTRY[[#All],[Column2]],DIM_COUNTRY[[#All],[Column3]],,,)</f>
        <v>Major_Non-USMCA_Non-China</v>
      </c>
    </row>
    <row r="13138" spans="1:9" x14ac:dyDescent="0.4">
      <c r="A13138" t="s">
        <v>75</v>
      </c>
      <c r="B13138" s="1">
        <v>45261</v>
      </c>
      <c r="C13138">
        <v>850153</v>
      </c>
      <c r="D13138" t="s">
        <v>176</v>
      </c>
      <c r="E13138">
        <v>0</v>
      </c>
      <c r="F13138">
        <v>0</v>
      </c>
      <c r="G13138">
        <v>0</v>
      </c>
      <c r="H13138">
        <f>_xlfn.XLOOKUP(FACT_IMPORTS[[#This Row],[hts_6]],DIM_PRODUCTS[hts_6],DIM_PRODUCTS[hts_4],,,)</f>
        <v>8501</v>
      </c>
      <c r="I13138" t="str" cm="1">
        <f t="array" ref="I13138">_xlfn.XLOOKUP(FACT_IMPORTS[[#This Row],[country_name]],DIM_COUNTRY[[#All],[Column2]],DIM_COUNTRY[[#All],[Column3]],,,)</f>
        <v>Major_Non-USMCA_Non-China</v>
      </c>
    </row>
    <row r="13139" spans="1:9" x14ac:dyDescent="0.4">
      <c r="A13139" t="s">
        <v>75</v>
      </c>
      <c r="B13139" s="1">
        <v>45261</v>
      </c>
      <c r="C13139">
        <v>850440</v>
      </c>
      <c r="D13139" t="s">
        <v>176</v>
      </c>
      <c r="E13139">
        <v>717118</v>
      </c>
      <c r="F13139">
        <v>13464</v>
      </c>
      <c r="G13139">
        <v>3542</v>
      </c>
      <c r="H13139">
        <f>_xlfn.XLOOKUP(FACT_IMPORTS[[#This Row],[hts_6]],DIM_PRODUCTS[hts_6],DIM_PRODUCTS[hts_4],,,)</f>
        <v>8504</v>
      </c>
      <c r="I13139" t="str" cm="1">
        <f t="array" ref="I13139">_xlfn.XLOOKUP(FACT_IMPORTS[[#This Row],[country_name]],DIM_COUNTRY[[#All],[Column2]],DIM_COUNTRY[[#All],[Column3]],,,)</f>
        <v>Major_Non-USMCA_Non-China</v>
      </c>
    </row>
    <row r="13140" spans="1:9" x14ac:dyDescent="0.4">
      <c r="A13140" t="s">
        <v>75</v>
      </c>
      <c r="B13140" s="1">
        <v>45261</v>
      </c>
      <c r="C13140">
        <v>850710</v>
      </c>
      <c r="D13140" t="s">
        <v>176</v>
      </c>
      <c r="E13140">
        <v>40002</v>
      </c>
      <c r="F13140">
        <v>614</v>
      </c>
      <c r="G13140">
        <v>4</v>
      </c>
      <c r="H13140">
        <f>_xlfn.XLOOKUP(FACT_IMPORTS[[#This Row],[hts_6]],DIM_PRODUCTS[hts_6],DIM_PRODUCTS[hts_4],,,)</f>
        <v>8507</v>
      </c>
      <c r="I13140" t="str" cm="1">
        <f t="array" ref="I13140">_xlfn.XLOOKUP(FACT_IMPORTS[[#This Row],[country_name]],DIM_COUNTRY[[#All],[Column2]],DIM_COUNTRY[[#All],[Column3]],,,)</f>
        <v>Major_Non-USMCA_Non-China</v>
      </c>
    </row>
    <row r="13141" spans="1:9" x14ac:dyDescent="0.4">
      <c r="A13141" t="s">
        <v>75</v>
      </c>
      <c r="B13141" s="1">
        <v>45261</v>
      </c>
      <c r="C13141">
        <v>850760</v>
      </c>
      <c r="D13141" t="s">
        <v>176</v>
      </c>
      <c r="E13141">
        <v>40051</v>
      </c>
      <c r="F13141">
        <v>455</v>
      </c>
      <c r="G13141">
        <v>197</v>
      </c>
      <c r="H13141">
        <f>_xlfn.XLOOKUP(FACT_IMPORTS[[#This Row],[hts_6]],DIM_PRODUCTS[hts_6],DIM_PRODUCTS[hts_4],,,)</f>
        <v>8507</v>
      </c>
      <c r="I13141" t="str" cm="1">
        <f t="array" ref="I13141">_xlfn.XLOOKUP(FACT_IMPORTS[[#This Row],[country_name]],DIM_COUNTRY[[#All],[Column2]],DIM_COUNTRY[[#All],[Column3]],,,)</f>
        <v>Major_Non-USMCA_Non-China</v>
      </c>
    </row>
    <row r="13142" spans="1:9" x14ac:dyDescent="0.4">
      <c r="A13142" t="s">
        <v>75</v>
      </c>
      <c r="B13142" s="1">
        <v>45261</v>
      </c>
      <c r="C13142">
        <v>851120</v>
      </c>
      <c r="D13142" t="s">
        <v>176</v>
      </c>
      <c r="E13142">
        <v>0</v>
      </c>
      <c r="F13142">
        <v>0</v>
      </c>
      <c r="G13142">
        <v>0</v>
      </c>
      <c r="H13142">
        <f>_xlfn.XLOOKUP(FACT_IMPORTS[[#This Row],[hts_6]],DIM_PRODUCTS[hts_6],DIM_PRODUCTS[hts_4],,,)</f>
        <v>8511</v>
      </c>
      <c r="I13142" t="str" cm="1">
        <f t="array" ref="I13142">_xlfn.XLOOKUP(FACT_IMPORTS[[#This Row],[country_name]],DIM_COUNTRY[[#All],[Column2]],DIM_COUNTRY[[#All],[Column3]],,,)</f>
        <v>Major_Non-USMCA_Non-China</v>
      </c>
    </row>
    <row r="13143" spans="1:9" x14ac:dyDescent="0.4">
      <c r="A13143" t="s">
        <v>75</v>
      </c>
      <c r="B13143" s="1">
        <v>45261</v>
      </c>
      <c r="C13143">
        <v>851130</v>
      </c>
      <c r="D13143" t="s">
        <v>176</v>
      </c>
      <c r="E13143">
        <v>0</v>
      </c>
      <c r="F13143">
        <v>0</v>
      </c>
      <c r="G13143">
        <v>0</v>
      </c>
      <c r="H13143">
        <f>_xlfn.XLOOKUP(FACT_IMPORTS[[#This Row],[hts_6]],DIM_PRODUCTS[hts_6],DIM_PRODUCTS[hts_4],,,)</f>
        <v>8511</v>
      </c>
      <c r="I13143" t="str" cm="1">
        <f t="array" ref="I13143">_xlfn.XLOOKUP(FACT_IMPORTS[[#This Row],[country_name]],DIM_COUNTRY[[#All],[Column2]],DIM_COUNTRY[[#All],[Column3]],,,)</f>
        <v>Major_Non-USMCA_Non-China</v>
      </c>
    </row>
    <row r="13144" spans="1:9" x14ac:dyDescent="0.4">
      <c r="A13144" t="s">
        <v>75</v>
      </c>
      <c r="B13144" s="1">
        <v>45261</v>
      </c>
      <c r="C13144">
        <v>851140</v>
      </c>
      <c r="D13144" t="s">
        <v>176</v>
      </c>
      <c r="E13144">
        <v>54909</v>
      </c>
      <c r="F13144">
        <v>308</v>
      </c>
      <c r="G13144">
        <v>19</v>
      </c>
      <c r="H13144">
        <f>_xlfn.XLOOKUP(FACT_IMPORTS[[#This Row],[hts_6]],DIM_PRODUCTS[hts_6],DIM_PRODUCTS[hts_4],,,)</f>
        <v>8511</v>
      </c>
      <c r="I13144" t="str" cm="1">
        <f t="array" ref="I13144">_xlfn.XLOOKUP(FACT_IMPORTS[[#This Row],[country_name]],DIM_COUNTRY[[#All],[Column2]],DIM_COUNTRY[[#All],[Column3]],,,)</f>
        <v>Major_Non-USMCA_Non-China</v>
      </c>
    </row>
    <row r="13145" spans="1:9" x14ac:dyDescent="0.4">
      <c r="A13145" t="s">
        <v>75</v>
      </c>
      <c r="B13145" s="1">
        <v>45261</v>
      </c>
      <c r="C13145">
        <v>851150</v>
      </c>
      <c r="D13145" t="s">
        <v>176</v>
      </c>
      <c r="E13145">
        <v>0</v>
      </c>
      <c r="F13145">
        <v>0</v>
      </c>
      <c r="G13145">
        <v>0</v>
      </c>
      <c r="H13145">
        <f>_xlfn.XLOOKUP(FACT_IMPORTS[[#This Row],[hts_6]],DIM_PRODUCTS[hts_6],DIM_PRODUCTS[hts_4],,,)</f>
        <v>8511</v>
      </c>
      <c r="I13145" t="str" cm="1">
        <f t="array" ref="I13145">_xlfn.XLOOKUP(FACT_IMPORTS[[#This Row],[country_name]],DIM_COUNTRY[[#All],[Column2]],DIM_COUNTRY[[#All],[Column3]],,,)</f>
        <v>Major_Non-USMCA_Non-China</v>
      </c>
    </row>
    <row r="13146" spans="1:9" x14ac:dyDescent="0.4">
      <c r="A13146" t="s">
        <v>75</v>
      </c>
      <c r="B13146" s="1">
        <v>45261</v>
      </c>
      <c r="C13146">
        <v>851180</v>
      </c>
      <c r="D13146" t="s">
        <v>176</v>
      </c>
      <c r="E13146">
        <v>0</v>
      </c>
      <c r="F13146">
        <v>0</v>
      </c>
      <c r="G13146">
        <v>0</v>
      </c>
      <c r="H13146">
        <f>_xlfn.XLOOKUP(FACT_IMPORTS[[#This Row],[hts_6]],DIM_PRODUCTS[hts_6],DIM_PRODUCTS[hts_4],,,)</f>
        <v>8511</v>
      </c>
      <c r="I13146" t="str" cm="1">
        <f t="array" ref="I13146">_xlfn.XLOOKUP(FACT_IMPORTS[[#This Row],[country_name]],DIM_COUNTRY[[#All],[Column2]],DIM_COUNTRY[[#All],[Column3]],,,)</f>
        <v>Major_Non-USMCA_Non-China</v>
      </c>
    </row>
    <row r="13147" spans="1:9" x14ac:dyDescent="0.4">
      <c r="A13147" t="s">
        <v>75</v>
      </c>
      <c r="B13147" s="1">
        <v>45261</v>
      </c>
      <c r="C13147">
        <v>851190</v>
      </c>
      <c r="D13147" t="s">
        <v>176</v>
      </c>
      <c r="E13147">
        <v>5469</v>
      </c>
      <c r="F13147">
        <v>62</v>
      </c>
      <c r="G13147">
        <v>1</v>
      </c>
      <c r="H13147">
        <f>_xlfn.XLOOKUP(FACT_IMPORTS[[#This Row],[hts_6]],DIM_PRODUCTS[hts_6],DIM_PRODUCTS[hts_4],,,)</f>
        <v>8511</v>
      </c>
      <c r="I13147" t="str" cm="1">
        <f t="array" ref="I13147">_xlfn.XLOOKUP(FACT_IMPORTS[[#This Row],[country_name]],DIM_COUNTRY[[#All],[Column2]],DIM_COUNTRY[[#All],[Column3]],,,)</f>
        <v>Major_Non-USMCA_Non-China</v>
      </c>
    </row>
    <row r="13148" spans="1:9" x14ac:dyDescent="0.4">
      <c r="A13148" t="s">
        <v>75</v>
      </c>
      <c r="B13148" s="1">
        <v>45261</v>
      </c>
      <c r="C13148">
        <v>851220</v>
      </c>
      <c r="D13148" t="s">
        <v>176</v>
      </c>
      <c r="E13148">
        <v>2381613</v>
      </c>
      <c r="F13148">
        <v>375780</v>
      </c>
      <c r="G13148">
        <v>42750</v>
      </c>
      <c r="H13148">
        <f>_xlfn.XLOOKUP(FACT_IMPORTS[[#This Row],[hts_6]],DIM_PRODUCTS[hts_6],DIM_PRODUCTS[hts_4],,,)</f>
        <v>8512</v>
      </c>
      <c r="I13148" t="str" cm="1">
        <f t="array" ref="I13148">_xlfn.XLOOKUP(FACT_IMPORTS[[#This Row],[country_name]],DIM_COUNTRY[[#All],[Column2]],DIM_COUNTRY[[#All],[Column3]],,,)</f>
        <v>Major_Non-USMCA_Non-China</v>
      </c>
    </row>
    <row r="13149" spans="1:9" x14ac:dyDescent="0.4">
      <c r="A13149" t="s">
        <v>75</v>
      </c>
      <c r="B13149" s="1">
        <v>45261</v>
      </c>
      <c r="C13149">
        <v>851230</v>
      </c>
      <c r="D13149" t="s">
        <v>176</v>
      </c>
      <c r="E13149">
        <v>0</v>
      </c>
      <c r="F13149">
        <v>0</v>
      </c>
      <c r="G13149">
        <v>0</v>
      </c>
      <c r="H13149">
        <f>_xlfn.XLOOKUP(FACT_IMPORTS[[#This Row],[hts_6]],DIM_PRODUCTS[hts_6],DIM_PRODUCTS[hts_4],,,)</f>
        <v>8512</v>
      </c>
      <c r="I13149" t="str" cm="1">
        <f t="array" ref="I13149">_xlfn.XLOOKUP(FACT_IMPORTS[[#This Row],[country_name]],DIM_COUNTRY[[#All],[Column2]],DIM_COUNTRY[[#All],[Column3]],,,)</f>
        <v>Major_Non-USMCA_Non-China</v>
      </c>
    </row>
    <row r="13150" spans="1:9" x14ac:dyDescent="0.4">
      <c r="A13150" t="s">
        <v>75</v>
      </c>
      <c r="B13150" s="1">
        <v>45261</v>
      </c>
      <c r="C13150">
        <v>851240</v>
      </c>
      <c r="D13150" t="s">
        <v>176</v>
      </c>
      <c r="E13150">
        <v>2700</v>
      </c>
      <c r="F13150">
        <v>1800</v>
      </c>
      <c r="G13150">
        <v>270</v>
      </c>
      <c r="H13150">
        <f>_xlfn.XLOOKUP(FACT_IMPORTS[[#This Row],[hts_6]],DIM_PRODUCTS[hts_6],DIM_PRODUCTS[hts_4],,,)</f>
        <v>8512</v>
      </c>
      <c r="I13150" t="str" cm="1">
        <f t="array" ref="I13150">_xlfn.XLOOKUP(FACT_IMPORTS[[#This Row],[country_name]],DIM_COUNTRY[[#All],[Column2]],DIM_COUNTRY[[#All],[Column3]],,,)</f>
        <v>Major_Non-USMCA_Non-China</v>
      </c>
    </row>
    <row r="13151" spans="1:9" x14ac:dyDescent="0.4">
      <c r="A13151" t="s">
        <v>75</v>
      </c>
      <c r="B13151" s="1">
        <v>45261</v>
      </c>
      <c r="C13151">
        <v>851290</v>
      </c>
      <c r="D13151" t="s">
        <v>176</v>
      </c>
      <c r="E13151">
        <v>3621154</v>
      </c>
      <c r="F13151">
        <v>64308</v>
      </c>
      <c r="G13151">
        <v>23343</v>
      </c>
      <c r="H13151">
        <f>_xlfn.XLOOKUP(FACT_IMPORTS[[#This Row],[hts_6]],DIM_PRODUCTS[hts_6],DIM_PRODUCTS[hts_4],,,)</f>
        <v>8512</v>
      </c>
      <c r="I13151" t="str" cm="1">
        <f t="array" ref="I13151">_xlfn.XLOOKUP(FACT_IMPORTS[[#This Row],[country_name]],DIM_COUNTRY[[#All],[Column2]],DIM_COUNTRY[[#All],[Column3]],,,)</f>
        <v>Major_Non-USMCA_Non-China</v>
      </c>
    </row>
    <row r="13152" spans="1:9" x14ac:dyDescent="0.4">
      <c r="A13152" t="s">
        <v>75</v>
      </c>
      <c r="B13152" s="1">
        <v>45261</v>
      </c>
      <c r="C13152">
        <v>854231</v>
      </c>
      <c r="D13152" t="s">
        <v>176</v>
      </c>
      <c r="E13152">
        <v>2497</v>
      </c>
      <c r="F13152">
        <v>400</v>
      </c>
      <c r="G13152">
        <v>12</v>
      </c>
      <c r="H13152">
        <f>_xlfn.XLOOKUP(FACT_IMPORTS[[#This Row],[hts_6]],DIM_PRODUCTS[hts_6],DIM_PRODUCTS[hts_4],,,)</f>
        <v>8542</v>
      </c>
      <c r="I13152" t="str" cm="1">
        <f t="array" ref="I13152">_xlfn.XLOOKUP(FACT_IMPORTS[[#This Row],[country_name]],DIM_COUNTRY[[#All],[Column2]],DIM_COUNTRY[[#All],[Column3]],,,)</f>
        <v>Major_Non-USMCA_Non-China</v>
      </c>
    </row>
    <row r="13153" spans="1:9" x14ac:dyDescent="0.4">
      <c r="A13153" t="s">
        <v>75</v>
      </c>
      <c r="B13153" s="1">
        <v>45261</v>
      </c>
      <c r="C13153">
        <v>854232</v>
      </c>
      <c r="D13153" t="s">
        <v>176</v>
      </c>
      <c r="E13153">
        <v>0</v>
      </c>
      <c r="F13153">
        <v>0</v>
      </c>
      <c r="G13153">
        <v>0</v>
      </c>
      <c r="H13153">
        <f>_xlfn.XLOOKUP(FACT_IMPORTS[[#This Row],[hts_6]],DIM_PRODUCTS[hts_6],DIM_PRODUCTS[hts_4],,,)</f>
        <v>8542</v>
      </c>
      <c r="I13153" t="str" cm="1">
        <f t="array" ref="I13153">_xlfn.XLOOKUP(FACT_IMPORTS[[#This Row],[country_name]],DIM_COUNTRY[[#All],[Column2]],DIM_COUNTRY[[#All],[Column3]],,,)</f>
        <v>Major_Non-USMCA_Non-China</v>
      </c>
    </row>
    <row r="13154" spans="1:9" x14ac:dyDescent="0.4">
      <c r="A13154" t="s">
        <v>75</v>
      </c>
      <c r="B13154" s="1">
        <v>45261</v>
      </c>
      <c r="C13154">
        <v>854239</v>
      </c>
      <c r="D13154" t="s">
        <v>176</v>
      </c>
      <c r="E13154">
        <v>527151</v>
      </c>
      <c r="F13154">
        <v>288086</v>
      </c>
      <c r="G13154">
        <v>45072</v>
      </c>
      <c r="H13154">
        <f>_xlfn.XLOOKUP(FACT_IMPORTS[[#This Row],[hts_6]],DIM_PRODUCTS[hts_6],DIM_PRODUCTS[hts_4],,,)</f>
        <v>8542</v>
      </c>
      <c r="I13154" t="str" cm="1">
        <f t="array" ref="I13154">_xlfn.XLOOKUP(FACT_IMPORTS[[#This Row],[country_name]],DIM_COUNTRY[[#All],[Column2]],DIM_COUNTRY[[#All],[Column3]],,,)</f>
        <v>Major_Non-USMCA_Non-China</v>
      </c>
    </row>
    <row r="13155" spans="1:9" x14ac:dyDescent="0.4">
      <c r="A13155" t="s">
        <v>75</v>
      </c>
      <c r="B13155" s="1">
        <v>45261</v>
      </c>
      <c r="C13155">
        <v>854290</v>
      </c>
      <c r="D13155" t="s">
        <v>176</v>
      </c>
      <c r="E13155">
        <v>21000</v>
      </c>
      <c r="F13155">
        <v>20000</v>
      </c>
      <c r="G13155">
        <v>2100</v>
      </c>
      <c r="H13155">
        <f>_xlfn.XLOOKUP(FACT_IMPORTS[[#This Row],[hts_6]],DIM_PRODUCTS[hts_6],DIM_PRODUCTS[hts_4],,,)</f>
        <v>8542</v>
      </c>
      <c r="I13155" t="str" cm="1">
        <f t="array" ref="I13155">_xlfn.XLOOKUP(FACT_IMPORTS[[#This Row],[country_name]],DIM_COUNTRY[[#All],[Column2]],DIM_COUNTRY[[#All],[Column3]],,,)</f>
        <v>Major_Non-USMCA_Non-China</v>
      </c>
    </row>
    <row r="13156" spans="1:9" x14ac:dyDescent="0.4">
      <c r="A13156" t="s">
        <v>75</v>
      </c>
      <c r="B13156" s="1">
        <v>45261</v>
      </c>
      <c r="C13156">
        <v>854430</v>
      </c>
      <c r="D13156" t="s">
        <v>176</v>
      </c>
      <c r="E13156">
        <v>0</v>
      </c>
      <c r="F13156">
        <v>0</v>
      </c>
      <c r="G13156">
        <v>0</v>
      </c>
      <c r="H13156">
        <f>_xlfn.XLOOKUP(FACT_IMPORTS[[#This Row],[hts_6]],DIM_PRODUCTS[hts_6],DIM_PRODUCTS[hts_4],,,)</f>
        <v>8544</v>
      </c>
      <c r="I13156" t="str" cm="1">
        <f t="array" ref="I13156">_xlfn.XLOOKUP(FACT_IMPORTS[[#This Row],[country_name]],DIM_COUNTRY[[#All],[Column2]],DIM_COUNTRY[[#All],[Column3]],,,)</f>
        <v>Major_Non-USMCA_Non-China</v>
      </c>
    </row>
    <row r="13157" spans="1:9" x14ac:dyDescent="0.4">
      <c r="A13157" t="s">
        <v>75</v>
      </c>
      <c r="B13157" s="1">
        <v>45261</v>
      </c>
      <c r="C13157">
        <v>870810</v>
      </c>
      <c r="D13157" t="s">
        <v>176</v>
      </c>
      <c r="E13157">
        <v>627556</v>
      </c>
      <c r="F13157">
        <v>12590</v>
      </c>
      <c r="G13157">
        <v>54020</v>
      </c>
      <c r="H13157">
        <f>_xlfn.XLOOKUP(FACT_IMPORTS[[#This Row],[hts_6]],DIM_PRODUCTS[hts_6],DIM_PRODUCTS[hts_4],,,)</f>
        <v>8708</v>
      </c>
      <c r="I13157" t="str" cm="1">
        <f t="array" ref="I13157">_xlfn.XLOOKUP(FACT_IMPORTS[[#This Row],[country_name]],DIM_COUNTRY[[#All],[Column2]],DIM_COUNTRY[[#All],[Column3]],,,)</f>
        <v>Major_Non-USMCA_Non-China</v>
      </c>
    </row>
    <row r="13158" spans="1:9" x14ac:dyDescent="0.4">
      <c r="A13158" t="s">
        <v>75</v>
      </c>
      <c r="B13158" s="1">
        <v>45261</v>
      </c>
      <c r="C13158">
        <v>870829</v>
      </c>
      <c r="D13158" t="s">
        <v>176</v>
      </c>
      <c r="E13158">
        <v>626686</v>
      </c>
      <c r="F13158">
        <v>147031</v>
      </c>
      <c r="G13158">
        <v>27702</v>
      </c>
      <c r="H13158">
        <f>_xlfn.XLOOKUP(FACT_IMPORTS[[#This Row],[hts_6]],DIM_PRODUCTS[hts_6],DIM_PRODUCTS[hts_4],,,)</f>
        <v>8708</v>
      </c>
      <c r="I13158" t="str" cm="1">
        <f t="array" ref="I13158">_xlfn.XLOOKUP(FACT_IMPORTS[[#This Row],[country_name]],DIM_COUNTRY[[#All],[Column2]],DIM_COUNTRY[[#All],[Column3]],,,)</f>
        <v>Major_Non-USMCA_Non-China</v>
      </c>
    </row>
    <row r="13159" spans="1:9" x14ac:dyDescent="0.4">
      <c r="A13159" t="s">
        <v>75</v>
      </c>
      <c r="B13159" s="1">
        <v>45261</v>
      </c>
      <c r="C13159">
        <v>870830</v>
      </c>
      <c r="D13159" t="s">
        <v>176</v>
      </c>
      <c r="E13159">
        <v>6272</v>
      </c>
      <c r="F13159">
        <v>283</v>
      </c>
      <c r="G13159">
        <v>4</v>
      </c>
      <c r="H13159">
        <f>_xlfn.XLOOKUP(FACT_IMPORTS[[#This Row],[hts_6]],DIM_PRODUCTS[hts_6],DIM_PRODUCTS[hts_4],,,)</f>
        <v>8708</v>
      </c>
      <c r="I13159" t="str" cm="1">
        <f t="array" ref="I13159">_xlfn.XLOOKUP(FACT_IMPORTS[[#This Row],[country_name]],DIM_COUNTRY[[#All],[Column2]],DIM_COUNTRY[[#All],[Column3]],,,)</f>
        <v>Major_Non-USMCA_Non-China</v>
      </c>
    </row>
    <row r="13160" spans="1:9" x14ac:dyDescent="0.4">
      <c r="A13160" t="s">
        <v>75</v>
      </c>
      <c r="B13160" s="1">
        <v>45261</v>
      </c>
      <c r="C13160">
        <v>870840</v>
      </c>
      <c r="D13160" t="s">
        <v>176</v>
      </c>
      <c r="E13160">
        <v>551035</v>
      </c>
      <c r="F13160">
        <v>25660</v>
      </c>
      <c r="G13160">
        <v>8474</v>
      </c>
      <c r="H13160">
        <f>_xlfn.XLOOKUP(FACT_IMPORTS[[#This Row],[hts_6]],DIM_PRODUCTS[hts_6],DIM_PRODUCTS[hts_4],,,)</f>
        <v>8708</v>
      </c>
      <c r="I13160" t="str" cm="1">
        <f t="array" ref="I13160">_xlfn.XLOOKUP(FACT_IMPORTS[[#This Row],[country_name]],DIM_COUNTRY[[#All],[Column2]],DIM_COUNTRY[[#All],[Column3]],,,)</f>
        <v>Major_Non-USMCA_Non-China</v>
      </c>
    </row>
    <row r="13161" spans="1:9" x14ac:dyDescent="0.4">
      <c r="A13161" t="s">
        <v>75</v>
      </c>
      <c r="B13161" s="1">
        <v>45261</v>
      </c>
      <c r="C13161">
        <v>870850</v>
      </c>
      <c r="D13161" t="s">
        <v>176</v>
      </c>
      <c r="E13161">
        <v>236471</v>
      </c>
      <c r="F13161">
        <v>2584</v>
      </c>
      <c r="G13161">
        <v>3500</v>
      </c>
      <c r="H13161">
        <f>_xlfn.XLOOKUP(FACT_IMPORTS[[#This Row],[hts_6]],DIM_PRODUCTS[hts_6],DIM_PRODUCTS[hts_4],,,)</f>
        <v>8708</v>
      </c>
      <c r="I13161" t="str" cm="1">
        <f t="array" ref="I13161">_xlfn.XLOOKUP(FACT_IMPORTS[[#This Row],[country_name]],DIM_COUNTRY[[#All],[Column2]],DIM_COUNTRY[[#All],[Column3]],,,)</f>
        <v>Major_Non-USMCA_Non-China</v>
      </c>
    </row>
    <row r="13162" spans="1:9" x14ac:dyDescent="0.4">
      <c r="A13162" t="s">
        <v>75</v>
      </c>
      <c r="B13162" s="1">
        <v>45261</v>
      </c>
      <c r="C13162">
        <v>870870</v>
      </c>
      <c r="D13162" t="s">
        <v>176</v>
      </c>
      <c r="E13162">
        <v>1232601</v>
      </c>
      <c r="F13162">
        <v>10465</v>
      </c>
      <c r="G13162">
        <v>13132</v>
      </c>
      <c r="H13162">
        <f>_xlfn.XLOOKUP(FACT_IMPORTS[[#This Row],[hts_6]],DIM_PRODUCTS[hts_6],DIM_PRODUCTS[hts_4],,,)</f>
        <v>8708</v>
      </c>
      <c r="I13162" t="str" cm="1">
        <f t="array" ref="I13162">_xlfn.XLOOKUP(FACT_IMPORTS[[#This Row],[country_name]],DIM_COUNTRY[[#All],[Column2]],DIM_COUNTRY[[#All],[Column3]],,,)</f>
        <v>Major_Non-USMCA_Non-China</v>
      </c>
    </row>
    <row r="13163" spans="1:9" x14ac:dyDescent="0.4">
      <c r="A13163" t="s">
        <v>75</v>
      </c>
      <c r="B13163" s="1">
        <v>45261</v>
      </c>
      <c r="C13163">
        <v>870880</v>
      </c>
      <c r="D13163" t="s">
        <v>176</v>
      </c>
      <c r="E13163">
        <v>351110</v>
      </c>
      <c r="F13163">
        <v>30495</v>
      </c>
      <c r="G13163">
        <v>28245</v>
      </c>
      <c r="H13163">
        <f>_xlfn.XLOOKUP(FACT_IMPORTS[[#This Row],[hts_6]],DIM_PRODUCTS[hts_6],DIM_PRODUCTS[hts_4],,,)</f>
        <v>8708</v>
      </c>
      <c r="I13163" t="str" cm="1">
        <f t="array" ref="I13163">_xlfn.XLOOKUP(FACT_IMPORTS[[#This Row],[country_name]],DIM_COUNTRY[[#All],[Column2]],DIM_COUNTRY[[#All],[Column3]],,,)</f>
        <v>Major_Non-USMCA_Non-China</v>
      </c>
    </row>
    <row r="13164" spans="1:9" x14ac:dyDescent="0.4">
      <c r="A13164" t="s">
        <v>75</v>
      </c>
      <c r="B13164" s="1">
        <v>45261</v>
      </c>
      <c r="C13164">
        <v>870891</v>
      </c>
      <c r="D13164" t="s">
        <v>176</v>
      </c>
      <c r="E13164">
        <v>52012</v>
      </c>
      <c r="F13164">
        <v>30281</v>
      </c>
      <c r="G13164">
        <v>4447</v>
      </c>
      <c r="H13164">
        <f>_xlfn.XLOOKUP(FACT_IMPORTS[[#This Row],[hts_6]],DIM_PRODUCTS[hts_6],DIM_PRODUCTS[hts_4],,,)</f>
        <v>8708</v>
      </c>
      <c r="I13164" t="str" cm="1">
        <f t="array" ref="I13164">_xlfn.XLOOKUP(FACT_IMPORTS[[#This Row],[country_name]],DIM_COUNTRY[[#All],[Column2]],DIM_COUNTRY[[#All],[Column3]],,,)</f>
        <v>Major_Non-USMCA_Non-China</v>
      </c>
    </row>
    <row r="13165" spans="1:9" x14ac:dyDescent="0.4">
      <c r="A13165" t="s">
        <v>75</v>
      </c>
      <c r="B13165" s="1">
        <v>45261</v>
      </c>
      <c r="C13165">
        <v>870892</v>
      </c>
      <c r="D13165" t="s">
        <v>176</v>
      </c>
      <c r="E13165">
        <v>42285</v>
      </c>
      <c r="F13165">
        <v>1724</v>
      </c>
      <c r="G13165">
        <v>4239</v>
      </c>
      <c r="H13165">
        <f>_xlfn.XLOOKUP(FACT_IMPORTS[[#This Row],[hts_6]],DIM_PRODUCTS[hts_6],DIM_PRODUCTS[hts_4],,,)</f>
        <v>8708</v>
      </c>
      <c r="I13165" t="str" cm="1">
        <f t="array" ref="I13165">_xlfn.XLOOKUP(FACT_IMPORTS[[#This Row],[country_name]],DIM_COUNTRY[[#All],[Column2]],DIM_COUNTRY[[#All],[Column3]],,,)</f>
        <v>Major_Non-USMCA_Non-China</v>
      </c>
    </row>
    <row r="13166" spans="1:9" x14ac:dyDescent="0.4">
      <c r="A13166" t="s">
        <v>75</v>
      </c>
      <c r="B13166" s="1">
        <v>45261</v>
      </c>
      <c r="C13166">
        <v>870893</v>
      </c>
      <c r="D13166" t="s">
        <v>176</v>
      </c>
      <c r="E13166">
        <v>114808</v>
      </c>
      <c r="F13166">
        <v>6432</v>
      </c>
      <c r="G13166">
        <v>4065</v>
      </c>
      <c r="H13166">
        <f>_xlfn.XLOOKUP(FACT_IMPORTS[[#This Row],[hts_6]],DIM_PRODUCTS[hts_6],DIM_PRODUCTS[hts_4],,,)</f>
        <v>8708</v>
      </c>
      <c r="I13166" t="str" cm="1">
        <f t="array" ref="I13166">_xlfn.XLOOKUP(FACT_IMPORTS[[#This Row],[country_name]],DIM_COUNTRY[[#All],[Column2]],DIM_COUNTRY[[#All],[Column3]],,,)</f>
        <v>Major_Non-USMCA_Non-China</v>
      </c>
    </row>
    <row r="13167" spans="1:9" x14ac:dyDescent="0.4">
      <c r="A13167" t="s">
        <v>75</v>
      </c>
      <c r="B13167" s="1">
        <v>45261</v>
      </c>
      <c r="C13167">
        <v>870894</v>
      </c>
      <c r="D13167" t="s">
        <v>176</v>
      </c>
      <c r="E13167">
        <v>67057</v>
      </c>
      <c r="F13167">
        <v>38954</v>
      </c>
      <c r="G13167">
        <v>4680</v>
      </c>
      <c r="H13167">
        <f>_xlfn.XLOOKUP(FACT_IMPORTS[[#This Row],[hts_6]],DIM_PRODUCTS[hts_6],DIM_PRODUCTS[hts_4],,,)</f>
        <v>8708</v>
      </c>
      <c r="I13167" t="str" cm="1">
        <f t="array" ref="I13167">_xlfn.XLOOKUP(FACT_IMPORTS[[#This Row],[country_name]],DIM_COUNTRY[[#All],[Column2]],DIM_COUNTRY[[#All],[Column3]],,,)</f>
        <v>Major_Non-USMCA_Non-China</v>
      </c>
    </row>
    <row r="13168" spans="1:9" x14ac:dyDescent="0.4">
      <c r="A13168" t="s">
        <v>75</v>
      </c>
      <c r="B13168" s="1">
        <v>45261</v>
      </c>
      <c r="C13168">
        <v>870899</v>
      </c>
      <c r="D13168" t="s">
        <v>176</v>
      </c>
      <c r="E13168">
        <v>665486</v>
      </c>
      <c r="F13168">
        <v>319542</v>
      </c>
      <c r="G13168">
        <v>19692</v>
      </c>
      <c r="H13168">
        <f>_xlfn.XLOOKUP(FACT_IMPORTS[[#This Row],[hts_6]],DIM_PRODUCTS[hts_6],DIM_PRODUCTS[hts_4],,,)</f>
        <v>8708</v>
      </c>
      <c r="I13168" t="str" cm="1">
        <f t="array" ref="I13168">_xlfn.XLOOKUP(FACT_IMPORTS[[#This Row],[country_name]],DIM_COUNTRY[[#All],[Column2]],DIM_COUNTRY[[#All],[Column3]],,,)</f>
        <v>Major_Non-USMCA_Non-China</v>
      </c>
    </row>
    <row r="13169" spans="1:9" x14ac:dyDescent="0.4">
      <c r="A13169" t="s">
        <v>75</v>
      </c>
      <c r="B13169" s="1">
        <v>45261</v>
      </c>
      <c r="C13169">
        <v>940120</v>
      </c>
      <c r="D13169" t="s">
        <v>176</v>
      </c>
      <c r="E13169">
        <v>0</v>
      </c>
      <c r="F13169">
        <v>0</v>
      </c>
      <c r="G13169">
        <v>0</v>
      </c>
      <c r="H13169">
        <f>_xlfn.XLOOKUP(FACT_IMPORTS[[#This Row],[hts_6]],DIM_PRODUCTS[hts_6],DIM_PRODUCTS[hts_4],,,)</f>
        <v>9401</v>
      </c>
      <c r="I13169" t="str" cm="1">
        <f t="array" ref="I13169">_xlfn.XLOOKUP(FACT_IMPORTS[[#This Row],[country_name]],DIM_COUNTRY[[#All],[Column2]],DIM_COUNTRY[[#All],[Column3]],,,)</f>
        <v>Major_Non-USMCA_Non-China</v>
      </c>
    </row>
    <row r="13170" spans="1:9" x14ac:dyDescent="0.4">
      <c r="A13170" t="s">
        <v>75</v>
      </c>
      <c r="B13170" s="1">
        <v>45292</v>
      </c>
      <c r="C13170">
        <v>392630</v>
      </c>
      <c r="D13170" t="s">
        <v>176</v>
      </c>
      <c r="E13170">
        <v>133978</v>
      </c>
      <c r="F13170">
        <v>8735</v>
      </c>
      <c r="G13170">
        <v>7120</v>
      </c>
      <c r="H13170">
        <f>_xlfn.XLOOKUP(FACT_IMPORTS[[#This Row],[hts_6]],DIM_PRODUCTS[hts_6],DIM_PRODUCTS[hts_4],,,)</f>
        <v>3926</v>
      </c>
      <c r="I13170" t="str" cm="1">
        <f t="array" ref="I13170">_xlfn.XLOOKUP(FACT_IMPORTS[[#This Row],[country_name]],DIM_COUNTRY[[#All],[Column2]],DIM_COUNTRY[[#All],[Column3]],,,)</f>
        <v>Major_Non-USMCA_Non-China</v>
      </c>
    </row>
    <row r="13171" spans="1:9" x14ac:dyDescent="0.4">
      <c r="A13171" t="s">
        <v>75</v>
      </c>
      <c r="B13171" s="1">
        <v>45292</v>
      </c>
      <c r="C13171">
        <v>401110</v>
      </c>
      <c r="D13171" t="s">
        <v>176</v>
      </c>
      <c r="E13171">
        <v>0</v>
      </c>
      <c r="F13171">
        <v>0</v>
      </c>
      <c r="G13171">
        <v>0</v>
      </c>
      <c r="H13171">
        <f>_xlfn.XLOOKUP(FACT_IMPORTS[[#This Row],[hts_6]],DIM_PRODUCTS[hts_6],DIM_PRODUCTS[hts_4],,,)</f>
        <v>4011</v>
      </c>
      <c r="I13171" t="str" cm="1">
        <f t="array" ref="I13171">_xlfn.XLOOKUP(FACT_IMPORTS[[#This Row],[country_name]],DIM_COUNTRY[[#All],[Column2]],DIM_COUNTRY[[#All],[Column3]],,,)</f>
        <v>Major_Non-USMCA_Non-China</v>
      </c>
    </row>
    <row r="13172" spans="1:9" x14ac:dyDescent="0.4">
      <c r="A13172" t="s">
        <v>75</v>
      </c>
      <c r="B13172" s="1">
        <v>45292</v>
      </c>
      <c r="C13172">
        <v>401120</v>
      </c>
      <c r="D13172" t="s">
        <v>176</v>
      </c>
      <c r="E13172">
        <v>0</v>
      </c>
      <c r="F13172">
        <v>0</v>
      </c>
      <c r="G13172">
        <v>0</v>
      </c>
      <c r="H13172">
        <f>_xlfn.XLOOKUP(FACT_IMPORTS[[#This Row],[hts_6]],DIM_PRODUCTS[hts_6],DIM_PRODUCTS[hts_4],,,)</f>
        <v>4011</v>
      </c>
      <c r="I13172" t="str" cm="1">
        <f t="array" ref="I13172">_xlfn.XLOOKUP(FACT_IMPORTS[[#This Row],[country_name]],DIM_COUNTRY[[#All],[Column2]],DIM_COUNTRY[[#All],[Column3]],,,)</f>
        <v>Major_Non-USMCA_Non-China</v>
      </c>
    </row>
    <row r="13173" spans="1:9" x14ac:dyDescent="0.4">
      <c r="A13173" t="s">
        <v>75</v>
      </c>
      <c r="B13173" s="1">
        <v>45292</v>
      </c>
      <c r="C13173">
        <v>401140</v>
      </c>
      <c r="D13173" t="s">
        <v>176</v>
      </c>
      <c r="E13173">
        <v>903</v>
      </c>
      <c r="F13173">
        <v>13</v>
      </c>
      <c r="G13173">
        <v>5</v>
      </c>
      <c r="H13173">
        <f>_xlfn.XLOOKUP(FACT_IMPORTS[[#This Row],[hts_6]],DIM_PRODUCTS[hts_6],DIM_PRODUCTS[hts_4],,,)</f>
        <v>4011</v>
      </c>
      <c r="I13173" t="str" cm="1">
        <f t="array" ref="I13173">_xlfn.XLOOKUP(FACT_IMPORTS[[#This Row],[country_name]],DIM_COUNTRY[[#All],[Column2]],DIM_COUNTRY[[#All],[Column3]],,,)</f>
        <v>Major_Non-USMCA_Non-China</v>
      </c>
    </row>
    <row r="13174" spans="1:9" x14ac:dyDescent="0.4">
      <c r="A13174" t="s">
        <v>75</v>
      </c>
      <c r="B13174" s="1">
        <v>45292</v>
      </c>
      <c r="C13174">
        <v>401190</v>
      </c>
      <c r="D13174" t="s">
        <v>176</v>
      </c>
      <c r="E13174">
        <v>5393</v>
      </c>
      <c r="F13174">
        <v>58</v>
      </c>
      <c r="G13174">
        <v>10</v>
      </c>
      <c r="H13174">
        <f>_xlfn.XLOOKUP(FACT_IMPORTS[[#This Row],[hts_6]],DIM_PRODUCTS[hts_6],DIM_PRODUCTS[hts_4],,,)</f>
        <v>4011</v>
      </c>
      <c r="I13174" t="str" cm="1">
        <f t="array" ref="I13174">_xlfn.XLOOKUP(FACT_IMPORTS[[#This Row],[country_name]],DIM_COUNTRY[[#All],[Column2]],DIM_COUNTRY[[#All],[Column3]],,,)</f>
        <v>Major_Non-USMCA_Non-China</v>
      </c>
    </row>
    <row r="13175" spans="1:9" x14ac:dyDescent="0.4">
      <c r="A13175" t="s">
        <v>75</v>
      </c>
      <c r="B13175" s="1">
        <v>45292</v>
      </c>
      <c r="C13175">
        <v>700721</v>
      </c>
      <c r="D13175" t="s">
        <v>176</v>
      </c>
      <c r="E13175">
        <v>0</v>
      </c>
      <c r="F13175">
        <v>0</v>
      </c>
      <c r="G13175">
        <v>0</v>
      </c>
      <c r="H13175">
        <f>_xlfn.XLOOKUP(FACT_IMPORTS[[#This Row],[hts_6]],DIM_PRODUCTS[hts_6],DIM_PRODUCTS[hts_4],,,)</f>
        <v>7007</v>
      </c>
      <c r="I13175" t="str" cm="1">
        <f t="array" ref="I13175">_xlfn.XLOOKUP(FACT_IMPORTS[[#This Row],[country_name]],DIM_COUNTRY[[#All],[Column2]],DIM_COUNTRY[[#All],[Column3]],,,)</f>
        <v>Major_Non-USMCA_Non-China</v>
      </c>
    </row>
    <row r="13176" spans="1:9" x14ac:dyDescent="0.4">
      <c r="A13176" t="s">
        <v>75</v>
      </c>
      <c r="B13176" s="1">
        <v>45292</v>
      </c>
      <c r="C13176">
        <v>700910</v>
      </c>
      <c r="D13176" t="s">
        <v>176</v>
      </c>
      <c r="E13176">
        <v>140891</v>
      </c>
      <c r="F13176">
        <v>30918</v>
      </c>
      <c r="G13176">
        <v>3056</v>
      </c>
      <c r="H13176">
        <f>_xlfn.XLOOKUP(FACT_IMPORTS[[#This Row],[hts_6]],DIM_PRODUCTS[hts_6],DIM_PRODUCTS[hts_4],,,)</f>
        <v>7009</v>
      </c>
      <c r="I13176" t="str" cm="1">
        <f t="array" ref="I13176">_xlfn.XLOOKUP(FACT_IMPORTS[[#This Row],[country_name]],DIM_COUNTRY[[#All],[Column2]],DIM_COUNTRY[[#All],[Column3]],,,)</f>
        <v>Major_Non-USMCA_Non-China</v>
      </c>
    </row>
    <row r="13177" spans="1:9" x14ac:dyDescent="0.4">
      <c r="A13177" t="s">
        <v>75</v>
      </c>
      <c r="B13177" s="1">
        <v>45292</v>
      </c>
      <c r="C13177">
        <v>732010</v>
      </c>
      <c r="D13177" t="s">
        <v>176</v>
      </c>
      <c r="E13177">
        <v>0</v>
      </c>
      <c r="F13177">
        <v>0</v>
      </c>
      <c r="G13177">
        <v>0</v>
      </c>
      <c r="H13177">
        <f>_xlfn.XLOOKUP(FACT_IMPORTS[[#This Row],[hts_6]],DIM_PRODUCTS[hts_6],DIM_PRODUCTS[hts_4],,,)</f>
        <v>7320</v>
      </c>
      <c r="I13177" t="str" cm="1">
        <f t="array" ref="I13177">_xlfn.XLOOKUP(FACT_IMPORTS[[#This Row],[country_name]],DIM_COUNTRY[[#All],[Column2]],DIM_COUNTRY[[#All],[Column3]],,,)</f>
        <v>Major_Non-USMCA_Non-China</v>
      </c>
    </row>
    <row r="13178" spans="1:9" x14ac:dyDescent="0.4">
      <c r="A13178" t="s">
        <v>75</v>
      </c>
      <c r="B13178" s="1">
        <v>45292</v>
      </c>
      <c r="C13178">
        <v>830230</v>
      </c>
      <c r="D13178" t="s">
        <v>176</v>
      </c>
      <c r="E13178">
        <v>372277</v>
      </c>
      <c r="F13178">
        <v>42375</v>
      </c>
      <c r="G13178">
        <v>6876</v>
      </c>
      <c r="H13178">
        <f>_xlfn.XLOOKUP(FACT_IMPORTS[[#This Row],[hts_6]],DIM_PRODUCTS[hts_6],DIM_PRODUCTS[hts_4],,,)</f>
        <v>8302</v>
      </c>
      <c r="I13178" t="str" cm="1">
        <f t="array" ref="I13178">_xlfn.XLOOKUP(FACT_IMPORTS[[#This Row],[country_name]],DIM_COUNTRY[[#All],[Column2]],DIM_COUNTRY[[#All],[Column3]],,,)</f>
        <v>Major_Non-USMCA_Non-China</v>
      </c>
    </row>
    <row r="13179" spans="1:9" x14ac:dyDescent="0.4">
      <c r="A13179" t="s">
        <v>75</v>
      </c>
      <c r="B13179" s="1">
        <v>45292</v>
      </c>
      <c r="C13179">
        <v>840732</v>
      </c>
      <c r="D13179" t="s">
        <v>176</v>
      </c>
      <c r="E13179">
        <v>0</v>
      </c>
      <c r="F13179">
        <v>0</v>
      </c>
      <c r="G13179">
        <v>0</v>
      </c>
      <c r="H13179">
        <f>_xlfn.XLOOKUP(FACT_IMPORTS[[#This Row],[hts_6]],DIM_PRODUCTS[hts_6],DIM_PRODUCTS[hts_4],,,)</f>
        <v>8407</v>
      </c>
      <c r="I13179" t="str" cm="1">
        <f t="array" ref="I13179">_xlfn.XLOOKUP(FACT_IMPORTS[[#This Row],[country_name]],DIM_COUNTRY[[#All],[Column2]],DIM_COUNTRY[[#All],[Column3]],,,)</f>
        <v>Major_Non-USMCA_Non-China</v>
      </c>
    </row>
    <row r="13180" spans="1:9" x14ac:dyDescent="0.4">
      <c r="A13180" t="s">
        <v>75</v>
      </c>
      <c r="B13180" s="1">
        <v>45292</v>
      </c>
      <c r="C13180">
        <v>840733</v>
      </c>
      <c r="D13180" t="s">
        <v>176</v>
      </c>
      <c r="E13180">
        <v>0</v>
      </c>
      <c r="F13180">
        <v>0</v>
      </c>
      <c r="G13180">
        <v>0</v>
      </c>
      <c r="H13180">
        <f>_xlfn.XLOOKUP(FACT_IMPORTS[[#This Row],[hts_6]],DIM_PRODUCTS[hts_6],DIM_PRODUCTS[hts_4],,,)</f>
        <v>8407</v>
      </c>
      <c r="I13180" t="str" cm="1">
        <f t="array" ref="I13180">_xlfn.XLOOKUP(FACT_IMPORTS[[#This Row],[country_name]],DIM_COUNTRY[[#All],[Column2]],DIM_COUNTRY[[#All],[Column3]],,,)</f>
        <v>Major_Non-USMCA_Non-China</v>
      </c>
    </row>
    <row r="13181" spans="1:9" x14ac:dyDescent="0.4">
      <c r="A13181" t="s">
        <v>75</v>
      </c>
      <c r="B13181" s="1">
        <v>45292</v>
      </c>
      <c r="C13181">
        <v>840790</v>
      </c>
      <c r="D13181" t="s">
        <v>176</v>
      </c>
      <c r="E13181">
        <v>0</v>
      </c>
      <c r="F13181">
        <v>0</v>
      </c>
      <c r="G13181">
        <v>0</v>
      </c>
      <c r="H13181">
        <f>_xlfn.XLOOKUP(FACT_IMPORTS[[#This Row],[hts_6]],DIM_PRODUCTS[hts_6],DIM_PRODUCTS[hts_4],,,)</f>
        <v>8407</v>
      </c>
      <c r="I13181" t="str" cm="1">
        <f t="array" ref="I13181">_xlfn.XLOOKUP(FACT_IMPORTS[[#This Row],[country_name]],DIM_COUNTRY[[#All],[Column2]],DIM_COUNTRY[[#All],[Column3]],,,)</f>
        <v>Major_Non-USMCA_Non-China</v>
      </c>
    </row>
    <row r="13182" spans="1:9" x14ac:dyDescent="0.4">
      <c r="A13182" t="s">
        <v>75</v>
      </c>
      <c r="B13182" s="1">
        <v>45292</v>
      </c>
      <c r="C13182">
        <v>840890</v>
      </c>
      <c r="D13182" t="s">
        <v>176</v>
      </c>
      <c r="E13182">
        <v>0</v>
      </c>
      <c r="F13182">
        <v>0</v>
      </c>
      <c r="G13182">
        <v>0</v>
      </c>
      <c r="H13182">
        <f>_xlfn.XLOOKUP(FACT_IMPORTS[[#This Row],[hts_6]],DIM_PRODUCTS[hts_6],DIM_PRODUCTS[hts_4],,,)</f>
        <v>8408</v>
      </c>
      <c r="I13182" t="str" cm="1">
        <f t="array" ref="I13182">_xlfn.XLOOKUP(FACT_IMPORTS[[#This Row],[country_name]],DIM_COUNTRY[[#All],[Column2]],DIM_COUNTRY[[#All],[Column3]],,,)</f>
        <v>Major_Non-USMCA_Non-China</v>
      </c>
    </row>
    <row r="13183" spans="1:9" x14ac:dyDescent="0.4">
      <c r="A13183" t="s">
        <v>75</v>
      </c>
      <c r="B13183" s="1">
        <v>45292</v>
      </c>
      <c r="C13183">
        <v>840991</v>
      </c>
      <c r="D13183" t="s">
        <v>176</v>
      </c>
      <c r="E13183">
        <v>53193</v>
      </c>
      <c r="F13183">
        <v>2153</v>
      </c>
      <c r="G13183">
        <v>8069</v>
      </c>
      <c r="H13183">
        <f>_xlfn.XLOOKUP(FACT_IMPORTS[[#This Row],[hts_6]],DIM_PRODUCTS[hts_6],DIM_PRODUCTS[hts_4],,,)</f>
        <v>8409</v>
      </c>
      <c r="I13183" t="str" cm="1">
        <f t="array" ref="I13183">_xlfn.XLOOKUP(FACT_IMPORTS[[#This Row],[country_name]],DIM_COUNTRY[[#All],[Column2]],DIM_COUNTRY[[#All],[Column3]],,,)</f>
        <v>Major_Non-USMCA_Non-China</v>
      </c>
    </row>
    <row r="13184" spans="1:9" x14ac:dyDescent="0.4">
      <c r="A13184" t="s">
        <v>75</v>
      </c>
      <c r="B13184" s="1">
        <v>45292</v>
      </c>
      <c r="C13184">
        <v>840999</v>
      </c>
      <c r="D13184" t="s">
        <v>176</v>
      </c>
      <c r="E13184">
        <v>0</v>
      </c>
      <c r="F13184">
        <v>0</v>
      </c>
      <c r="G13184">
        <v>0</v>
      </c>
      <c r="H13184">
        <f>_xlfn.XLOOKUP(FACT_IMPORTS[[#This Row],[hts_6]],DIM_PRODUCTS[hts_6],DIM_PRODUCTS[hts_4],,,)</f>
        <v>8409</v>
      </c>
      <c r="I13184" t="str" cm="1">
        <f t="array" ref="I13184">_xlfn.XLOOKUP(FACT_IMPORTS[[#This Row],[country_name]],DIM_COUNTRY[[#All],[Column2]],DIM_COUNTRY[[#All],[Column3]],,,)</f>
        <v>Major_Non-USMCA_Non-China</v>
      </c>
    </row>
    <row r="13185" spans="1:9" x14ac:dyDescent="0.4">
      <c r="A13185" t="s">
        <v>75</v>
      </c>
      <c r="B13185" s="1">
        <v>45292</v>
      </c>
      <c r="C13185">
        <v>841330</v>
      </c>
      <c r="D13185" t="s">
        <v>176</v>
      </c>
      <c r="E13185">
        <v>204388</v>
      </c>
      <c r="F13185">
        <v>4823</v>
      </c>
      <c r="G13185">
        <v>502</v>
      </c>
      <c r="H13185">
        <f>_xlfn.XLOOKUP(FACT_IMPORTS[[#This Row],[hts_6]],DIM_PRODUCTS[hts_6],DIM_PRODUCTS[hts_4],,,)</f>
        <v>8413</v>
      </c>
      <c r="I13185" t="str" cm="1">
        <f t="array" ref="I13185">_xlfn.XLOOKUP(FACT_IMPORTS[[#This Row],[country_name]],DIM_COUNTRY[[#All],[Column2]],DIM_COUNTRY[[#All],[Column3]],,,)</f>
        <v>Major_Non-USMCA_Non-China</v>
      </c>
    </row>
    <row r="13186" spans="1:9" x14ac:dyDescent="0.4">
      <c r="A13186" t="s">
        <v>75</v>
      </c>
      <c r="B13186" s="1">
        <v>45292</v>
      </c>
      <c r="C13186">
        <v>848210</v>
      </c>
      <c r="D13186" t="s">
        <v>176</v>
      </c>
      <c r="E13186">
        <v>188972</v>
      </c>
      <c r="F13186">
        <v>423800</v>
      </c>
      <c r="G13186">
        <v>5103</v>
      </c>
      <c r="H13186">
        <f>_xlfn.XLOOKUP(FACT_IMPORTS[[#This Row],[hts_6]],DIM_PRODUCTS[hts_6],DIM_PRODUCTS[hts_4],,,)</f>
        <v>8482</v>
      </c>
      <c r="I13186" t="str" cm="1">
        <f t="array" ref="I13186">_xlfn.XLOOKUP(FACT_IMPORTS[[#This Row],[country_name]],DIM_COUNTRY[[#All],[Column2]],DIM_COUNTRY[[#All],[Column3]],,,)</f>
        <v>Major_Non-USMCA_Non-China</v>
      </c>
    </row>
    <row r="13187" spans="1:9" x14ac:dyDescent="0.4">
      <c r="A13187" t="s">
        <v>75</v>
      </c>
      <c r="B13187" s="1">
        <v>45292</v>
      </c>
      <c r="C13187">
        <v>848310</v>
      </c>
      <c r="D13187" t="s">
        <v>176</v>
      </c>
      <c r="E13187">
        <v>19447</v>
      </c>
      <c r="F13187">
        <v>569</v>
      </c>
      <c r="G13187">
        <v>46</v>
      </c>
      <c r="H13187">
        <f>_xlfn.XLOOKUP(FACT_IMPORTS[[#This Row],[hts_6]],DIM_PRODUCTS[hts_6],DIM_PRODUCTS[hts_4],,,)</f>
        <v>8483</v>
      </c>
      <c r="I13187" t="str" cm="1">
        <f t="array" ref="I13187">_xlfn.XLOOKUP(FACT_IMPORTS[[#This Row],[country_name]],DIM_COUNTRY[[#All],[Column2]],DIM_COUNTRY[[#All],[Column3]],,,)</f>
        <v>Major_Non-USMCA_Non-China</v>
      </c>
    </row>
    <row r="13188" spans="1:9" x14ac:dyDescent="0.4">
      <c r="A13188" t="s">
        <v>75</v>
      </c>
      <c r="B13188" s="1">
        <v>45292</v>
      </c>
      <c r="C13188">
        <v>850131</v>
      </c>
      <c r="D13188" t="s">
        <v>176</v>
      </c>
      <c r="E13188">
        <v>2168</v>
      </c>
      <c r="F13188">
        <v>26</v>
      </c>
      <c r="G13188">
        <v>1</v>
      </c>
      <c r="H13188">
        <f>_xlfn.XLOOKUP(FACT_IMPORTS[[#This Row],[hts_6]],DIM_PRODUCTS[hts_6],DIM_PRODUCTS[hts_4],,,)</f>
        <v>8501</v>
      </c>
      <c r="I13188" t="str" cm="1">
        <f t="array" ref="I13188">_xlfn.XLOOKUP(FACT_IMPORTS[[#This Row],[country_name]],DIM_COUNTRY[[#All],[Column2]],DIM_COUNTRY[[#All],[Column3]],,,)</f>
        <v>Major_Non-USMCA_Non-China</v>
      </c>
    </row>
    <row r="13189" spans="1:9" x14ac:dyDescent="0.4">
      <c r="A13189" t="s">
        <v>75</v>
      </c>
      <c r="B13189" s="1">
        <v>45292</v>
      </c>
      <c r="C13189">
        <v>850132</v>
      </c>
      <c r="D13189" t="s">
        <v>176</v>
      </c>
      <c r="E13189">
        <v>5493</v>
      </c>
      <c r="F13189">
        <v>1</v>
      </c>
      <c r="G13189">
        <v>75</v>
      </c>
      <c r="H13189">
        <f>_xlfn.XLOOKUP(FACT_IMPORTS[[#This Row],[hts_6]],DIM_PRODUCTS[hts_6],DIM_PRODUCTS[hts_4],,,)</f>
        <v>8501</v>
      </c>
      <c r="I13189" t="str" cm="1">
        <f t="array" ref="I13189">_xlfn.XLOOKUP(FACT_IMPORTS[[#This Row],[country_name]],DIM_COUNTRY[[#All],[Column2]],DIM_COUNTRY[[#All],[Column3]],,,)</f>
        <v>Major_Non-USMCA_Non-China</v>
      </c>
    </row>
    <row r="13190" spans="1:9" x14ac:dyDescent="0.4">
      <c r="A13190" t="s">
        <v>75</v>
      </c>
      <c r="B13190" s="1">
        <v>45292</v>
      </c>
      <c r="C13190">
        <v>850152</v>
      </c>
      <c r="D13190" t="s">
        <v>176</v>
      </c>
      <c r="E13190">
        <v>0</v>
      </c>
      <c r="F13190">
        <v>0</v>
      </c>
      <c r="G13190">
        <v>0</v>
      </c>
      <c r="H13190">
        <f>_xlfn.XLOOKUP(FACT_IMPORTS[[#This Row],[hts_6]],DIM_PRODUCTS[hts_6],DIM_PRODUCTS[hts_4],,,)</f>
        <v>8501</v>
      </c>
      <c r="I13190" t="str" cm="1">
        <f t="array" ref="I13190">_xlfn.XLOOKUP(FACT_IMPORTS[[#This Row],[country_name]],DIM_COUNTRY[[#All],[Column2]],DIM_COUNTRY[[#All],[Column3]],,,)</f>
        <v>Major_Non-USMCA_Non-China</v>
      </c>
    </row>
    <row r="13191" spans="1:9" x14ac:dyDescent="0.4">
      <c r="A13191" t="s">
        <v>75</v>
      </c>
      <c r="B13191" s="1">
        <v>45292</v>
      </c>
      <c r="C13191">
        <v>850153</v>
      </c>
      <c r="D13191" t="s">
        <v>176</v>
      </c>
      <c r="E13191">
        <v>0</v>
      </c>
      <c r="F13191">
        <v>0</v>
      </c>
      <c r="G13191">
        <v>0</v>
      </c>
      <c r="H13191">
        <f>_xlfn.XLOOKUP(FACT_IMPORTS[[#This Row],[hts_6]],DIM_PRODUCTS[hts_6],DIM_PRODUCTS[hts_4],,,)</f>
        <v>8501</v>
      </c>
      <c r="I13191" t="str" cm="1">
        <f t="array" ref="I13191">_xlfn.XLOOKUP(FACT_IMPORTS[[#This Row],[country_name]],DIM_COUNTRY[[#All],[Column2]],DIM_COUNTRY[[#All],[Column3]],,,)</f>
        <v>Major_Non-USMCA_Non-China</v>
      </c>
    </row>
    <row r="13192" spans="1:9" x14ac:dyDescent="0.4">
      <c r="A13192" t="s">
        <v>75</v>
      </c>
      <c r="B13192" s="1">
        <v>45292</v>
      </c>
      <c r="C13192">
        <v>850161</v>
      </c>
      <c r="D13192" t="s">
        <v>176</v>
      </c>
      <c r="E13192">
        <v>0</v>
      </c>
      <c r="F13192">
        <v>0</v>
      </c>
      <c r="G13192">
        <v>0</v>
      </c>
      <c r="H13192">
        <f>_xlfn.XLOOKUP(FACT_IMPORTS[[#This Row],[hts_6]],DIM_PRODUCTS[hts_6],DIM_PRODUCTS[hts_4],,,)</f>
        <v>8501</v>
      </c>
      <c r="I13192" t="str" cm="1">
        <f t="array" ref="I13192">_xlfn.XLOOKUP(FACT_IMPORTS[[#This Row],[country_name]],DIM_COUNTRY[[#All],[Column2]],DIM_COUNTRY[[#All],[Column3]],,,)</f>
        <v>Major_Non-USMCA_Non-China</v>
      </c>
    </row>
    <row r="13193" spans="1:9" x14ac:dyDescent="0.4">
      <c r="A13193" t="s">
        <v>75</v>
      </c>
      <c r="B13193" s="1">
        <v>45292</v>
      </c>
      <c r="C13193">
        <v>850440</v>
      </c>
      <c r="D13193" t="s">
        <v>176</v>
      </c>
      <c r="E13193">
        <v>254799</v>
      </c>
      <c r="F13193">
        <v>2661</v>
      </c>
      <c r="G13193">
        <v>2923</v>
      </c>
      <c r="H13193">
        <f>_xlfn.XLOOKUP(FACT_IMPORTS[[#This Row],[hts_6]],DIM_PRODUCTS[hts_6],DIM_PRODUCTS[hts_4],,,)</f>
        <v>8504</v>
      </c>
      <c r="I13193" t="str" cm="1">
        <f t="array" ref="I13193">_xlfn.XLOOKUP(FACT_IMPORTS[[#This Row],[country_name]],DIM_COUNTRY[[#All],[Column2]],DIM_COUNTRY[[#All],[Column3]],,,)</f>
        <v>Major_Non-USMCA_Non-China</v>
      </c>
    </row>
    <row r="13194" spans="1:9" x14ac:dyDescent="0.4">
      <c r="A13194" t="s">
        <v>75</v>
      </c>
      <c r="B13194" s="1">
        <v>45292</v>
      </c>
      <c r="C13194">
        <v>850710</v>
      </c>
      <c r="D13194" t="s">
        <v>176</v>
      </c>
      <c r="E13194">
        <v>28966</v>
      </c>
      <c r="F13194">
        <v>401</v>
      </c>
      <c r="G13194">
        <v>21</v>
      </c>
      <c r="H13194">
        <f>_xlfn.XLOOKUP(FACT_IMPORTS[[#This Row],[hts_6]],DIM_PRODUCTS[hts_6],DIM_PRODUCTS[hts_4],,,)</f>
        <v>8507</v>
      </c>
      <c r="I13194" t="str" cm="1">
        <f t="array" ref="I13194">_xlfn.XLOOKUP(FACT_IMPORTS[[#This Row],[country_name]],DIM_COUNTRY[[#All],[Column2]],DIM_COUNTRY[[#All],[Column3]],,,)</f>
        <v>Major_Non-USMCA_Non-China</v>
      </c>
    </row>
    <row r="13195" spans="1:9" x14ac:dyDescent="0.4">
      <c r="A13195" t="s">
        <v>75</v>
      </c>
      <c r="B13195" s="1">
        <v>45292</v>
      </c>
      <c r="C13195">
        <v>850760</v>
      </c>
      <c r="D13195" t="s">
        <v>176</v>
      </c>
      <c r="E13195">
        <v>0</v>
      </c>
      <c r="F13195">
        <v>0</v>
      </c>
      <c r="G13195">
        <v>0</v>
      </c>
      <c r="H13195">
        <f>_xlfn.XLOOKUP(FACT_IMPORTS[[#This Row],[hts_6]],DIM_PRODUCTS[hts_6],DIM_PRODUCTS[hts_4],,,)</f>
        <v>8507</v>
      </c>
      <c r="I13195" t="str" cm="1">
        <f t="array" ref="I13195">_xlfn.XLOOKUP(FACT_IMPORTS[[#This Row],[country_name]],DIM_COUNTRY[[#All],[Column2]],DIM_COUNTRY[[#All],[Column3]],,,)</f>
        <v>Major_Non-USMCA_Non-China</v>
      </c>
    </row>
    <row r="13196" spans="1:9" x14ac:dyDescent="0.4">
      <c r="A13196" t="s">
        <v>75</v>
      </c>
      <c r="B13196" s="1">
        <v>45292</v>
      </c>
      <c r="C13196">
        <v>851120</v>
      </c>
      <c r="D13196" t="s">
        <v>176</v>
      </c>
      <c r="E13196">
        <v>0</v>
      </c>
      <c r="F13196">
        <v>0</v>
      </c>
      <c r="G13196">
        <v>0</v>
      </c>
      <c r="H13196">
        <f>_xlfn.XLOOKUP(FACT_IMPORTS[[#This Row],[hts_6]],DIM_PRODUCTS[hts_6],DIM_PRODUCTS[hts_4],,,)</f>
        <v>8511</v>
      </c>
      <c r="I13196" t="str" cm="1">
        <f t="array" ref="I13196">_xlfn.XLOOKUP(FACT_IMPORTS[[#This Row],[country_name]],DIM_COUNTRY[[#All],[Column2]],DIM_COUNTRY[[#All],[Column3]],,,)</f>
        <v>Major_Non-USMCA_Non-China</v>
      </c>
    </row>
    <row r="13197" spans="1:9" x14ac:dyDescent="0.4">
      <c r="A13197" t="s">
        <v>75</v>
      </c>
      <c r="B13197" s="1">
        <v>45292</v>
      </c>
      <c r="C13197">
        <v>851130</v>
      </c>
      <c r="D13197" t="s">
        <v>176</v>
      </c>
      <c r="E13197">
        <v>0</v>
      </c>
      <c r="F13197">
        <v>0</v>
      </c>
      <c r="G13197">
        <v>0</v>
      </c>
      <c r="H13197">
        <f>_xlfn.XLOOKUP(FACT_IMPORTS[[#This Row],[hts_6]],DIM_PRODUCTS[hts_6],DIM_PRODUCTS[hts_4],,,)</f>
        <v>8511</v>
      </c>
      <c r="I13197" t="str" cm="1">
        <f t="array" ref="I13197">_xlfn.XLOOKUP(FACT_IMPORTS[[#This Row],[country_name]],DIM_COUNTRY[[#All],[Column2]],DIM_COUNTRY[[#All],[Column3]],,,)</f>
        <v>Major_Non-USMCA_Non-China</v>
      </c>
    </row>
    <row r="13198" spans="1:9" x14ac:dyDescent="0.4">
      <c r="A13198" t="s">
        <v>75</v>
      </c>
      <c r="B13198" s="1">
        <v>45292</v>
      </c>
      <c r="C13198">
        <v>851140</v>
      </c>
      <c r="D13198" t="s">
        <v>176</v>
      </c>
      <c r="E13198">
        <v>5939</v>
      </c>
      <c r="F13198">
        <v>31</v>
      </c>
      <c r="G13198">
        <v>2</v>
      </c>
      <c r="H13198">
        <f>_xlfn.XLOOKUP(FACT_IMPORTS[[#This Row],[hts_6]],DIM_PRODUCTS[hts_6],DIM_PRODUCTS[hts_4],,,)</f>
        <v>8511</v>
      </c>
      <c r="I13198" t="str" cm="1">
        <f t="array" ref="I13198">_xlfn.XLOOKUP(FACT_IMPORTS[[#This Row],[country_name]],DIM_COUNTRY[[#All],[Column2]],DIM_COUNTRY[[#All],[Column3]],,,)</f>
        <v>Major_Non-USMCA_Non-China</v>
      </c>
    </row>
    <row r="13199" spans="1:9" x14ac:dyDescent="0.4">
      <c r="A13199" t="s">
        <v>75</v>
      </c>
      <c r="B13199" s="1">
        <v>45292</v>
      </c>
      <c r="C13199">
        <v>851150</v>
      </c>
      <c r="D13199" t="s">
        <v>176</v>
      </c>
      <c r="E13199">
        <v>4625</v>
      </c>
      <c r="F13199">
        <v>8</v>
      </c>
      <c r="G13199">
        <v>37</v>
      </c>
      <c r="H13199">
        <f>_xlfn.XLOOKUP(FACT_IMPORTS[[#This Row],[hts_6]],DIM_PRODUCTS[hts_6],DIM_PRODUCTS[hts_4],,,)</f>
        <v>8511</v>
      </c>
      <c r="I13199" t="str" cm="1">
        <f t="array" ref="I13199">_xlfn.XLOOKUP(FACT_IMPORTS[[#This Row],[country_name]],DIM_COUNTRY[[#All],[Column2]],DIM_COUNTRY[[#All],[Column3]],,,)</f>
        <v>Major_Non-USMCA_Non-China</v>
      </c>
    </row>
    <row r="13200" spans="1:9" x14ac:dyDescent="0.4">
      <c r="A13200" t="s">
        <v>75</v>
      </c>
      <c r="B13200" s="1">
        <v>45292</v>
      </c>
      <c r="C13200">
        <v>851180</v>
      </c>
      <c r="D13200" t="s">
        <v>176</v>
      </c>
      <c r="E13200">
        <v>0</v>
      </c>
      <c r="F13200">
        <v>0</v>
      </c>
      <c r="G13200">
        <v>0</v>
      </c>
      <c r="H13200">
        <f>_xlfn.XLOOKUP(FACT_IMPORTS[[#This Row],[hts_6]],DIM_PRODUCTS[hts_6],DIM_PRODUCTS[hts_4],,,)</f>
        <v>8511</v>
      </c>
      <c r="I13200" t="str" cm="1">
        <f t="array" ref="I13200">_xlfn.XLOOKUP(FACT_IMPORTS[[#This Row],[country_name]],DIM_COUNTRY[[#All],[Column2]],DIM_COUNTRY[[#All],[Column3]],,,)</f>
        <v>Major_Non-USMCA_Non-China</v>
      </c>
    </row>
    <row r="13201" spans="1:9" x14ac:dyDescent="0.4">
      <c r="A13201" t="s">
        <v>75</v>
      </c>
      <c r="B13201" s="1">
        <v>45292</v>
      </c>
      <c r="C13201">
        <v>851190</v>
      </c>
      <c r="D13201" t="s">
        <v>176</v>
      </c>
      <c r="E13201">
        <v>13066</v>
      </c>
      <c r="F13201">
        <v>321</v>
      </c>
      <c r="G13201">
        <v>161</v>
      </c>
      <c r="H13201">
        <f>_xlfn.XLOOKUP(FACT_IMPORTS[[#This Row],[hts_6]],DIM_PRODUCTS[hts_6],DIM_PRODUCTS[hts_4],,,)</f>
        <v>8511</v>
      </c>
      <c r="I13201" t="str" cm="1">
        <f t="array" ref="I13201">_xlfn.XLOOKUP(FACT_IMPORTS[[#This Row],[country_name]],DIM_COUNTRY[[#All],[Column2]],DIM_COUNTRY[[#All],[Column3]],,,)</f>
        <v>Major_Non-USMCA_Non-China</v>
      </c>
    </row>
    <row r="13202" spans="1:9" x14ac:dyDescent="0.4">
      <c r="A13202" t="s">
        <v>75</v>
      </c>
      <c r="B13202" s="1">
        <v>45292</v>
      </c>
      <c r="C13202">
        <v>851220</v>
      </c>
      <c r="D13202" t="s">
        <v>176</v>
      </c>
      <c r="E13202">
        <v>5803989</v>
      </c>
      <c r="F13202">
        <v>1003192</v>
      </c>
      <c r="G13202">
        <v>95834</v>
      </c>
      <c r="H13202">
        <f>_xlfn.XLOOKUP(FACT_IMPORTS[[#This Row],[hts_6]],DIM_PRODUCTS[hts_6],DIM_PRODUCTS[hts_4],,,)</f>
        <v>8512</v>
      </c>
      <c r="I13202" t="str" cm="1">
        <f t="array" ref="I13202">_xlfn.XLOOKUP(FACT_IMPORTS[[#This Row],[country_name]],DIM_COUNTRY[[#All],[Column2]],DIM_COUNTRY[[#All],[Column3]],,,)</f>
        <v>Major_Non-USMCA_Non-China</v>
      </c>
    </row>
    <row r="13203" spans="1:9" x14ac:dyDescent="0.4">
      <c r="A13203" t="s">
        <v>75</v>
      </c>
      <c r="B13203" s="1">
        <v>45292</v>
      </c>
      <c r="C13203">
        <v>851230</v>
      </c>
      <c r="D13203" t="s">
        <v>176</v>
      </c>
      <c r="E13203">
        <v>0</v>
      </c>
      <c r="F13203">
        <v>0</v>
      </c>
      <c r="G13203">
        <v>0</v>
      </c>
      <c r="H13203">
        <f>_xlfn.XLOOKUP(FACT_IMPORTS[[#This Row],[hts_6]],DIM_PRODUCTS[hts_6],DIM_PRODUCTS[hts_4],,,)</f>
        <v>8512</v>
      </c>
      <c r="I13203" t="str" cm="1">
        <f t="array" ref="I13203">_xlfn.XLOOKUP(FACT_IMPORTS[[#This Row],[country_name]],DIM_COUNTRY[[#All],[Column2]],DIM_COUNTRY[[#All],[Column3]],,,)</f>
        <v>Major_Non-USMCA_Non-China</v>
      </c>
    </row>
    <row r="13204" spans="1:9" x14ac:dyDescent="0.4">
      <c r="A13204" t="s">
        <v>75</v>
      </c>
      <c r="B13204" s="1">
        <v>45292</v>
      </c>
      <c r="C13204">
        <v>851290</v>
      </c>
      <c r="D13204" t="s">
        <v>176</v>
      </c>
      <c r="E13204">
        <v>3380011</v>
      </c>
      <c r="F13204">
        <v>55107</v>
      </c>
      <c r="G13204">
        <v>37150</v>
      </c>
      <c r="H13204">
        <f>_xlfn.XLOOKUP(FACT_IMPORTS[[#This Row],[hts_6]],DIM_PRODUCTS[hts_6],DIM_PRODUCTS[hts_4],,,)</f>
        <v>8512</v>
      </c>
      <c r="I13204" t="str" cm="1">
        <f t="array" ref="I13204">_xlfn.XLOOKUP(FACT_IMPORTS[[#This Row],[country_name]],DIM_COUNTRY[[#All],[Column2]],DIM_COUNTRY[[#All],[Column3]],,,)</f>
        <v>Major_Non-USMCA_Non-China</v>
      </c>
    </row>
    <row r="13205" spans="1:9" x14ac:dyDescent="0.4">
      <c r="A13205" t="s">
        <v>75</v>
      </c>
      <c r="B13205" s="1">
        <v>45292</v>
      </c>
      <c r="C13205">
        <v>854231</v>
      </c>
      <c r="D13205" t="s">
        <v>176</v>
      </c>
      <c r="E13205">
        <v>17901</v>
      </c>
      <c r="F13205">
        <v>5815</v>
      </c>
      <c r="G13205">
        <v>158</v>
      </c>
      <c r="H13205">
        <f>_xlfn.XLOOKUP(FACT_IMPORTS[[#This Row],[hts_6]],DIM_PRODUCTS[hts_6],DIM_PRODUCTS[hts_4],,,)</f>
        <v>8542</v>
      </c>
      <c r="I13205" t="str" cm="1">
        <f t="array" ref="I13205">_xlfn.XLOOKUP(FACT_IMPORTS[[#This Row],[country_name]],DIM_COUNTRY[[#All],[Column2]],DIM_COUNTRY[[#All],[Column3]],,,)</f>
        <v>Major_Non-USMCA_Non-China</v>
      </c>
    </row>
    <row r="13206" spans="1:9" x14ac:dyDescent="0.4">
      <c r="A13206" t="s">
        <v>75</v>
      </c>
      <c r="B13206" s="1">
        <v>45292</v>
      </c>
      <c r="C13206">
        <v>854232</v>
      </c>
      <c r="D13206" t="s">
        <v>176</v>
      </c>
      <c r="E13206">
        <v>21600</v>
      </c>
      <c r="F13206">
        <v>240</v>
      </c>
      <c r="G13206">
        <v>142</v>
      </c>
      <c r="H13206">
        <f>_xlfn.XLOOKUP(FACT_IMPORTS[[#This Row],[hts_6]],DIM_PRODUCTS[hts_6],DIM_PRODUCTS[hts_4],,,)</f>
        <v>8542</v>
      </c>
      <c r="I13206" t="str" cm="1">
        <f t="array" ref="I13206">_xlfn.XLOOKUP(FACT_IMPORTS[[#This Row],[country_name]],DIM_COUNTRY[[#All],[Column2]],DIM_COUNTRY[[#All],[Column3]],,,)</f>
        <v>Major_Non-USMCA_Non-China</v>
      </c>
    </row>
    <row r="13207" spans="1:9" x14ac:dyDescent="0.4">
      <c r="A13207" t="s">
        <v>75</v>
      </c>
      <c r="B13207" s="1">
        <v>45292</v>
      </c>
      <c r="C13207">
        <v>854233</v>
      </c>
      <c r="D13207" t="s">
        <v>176</v>
      </c>
      <c r="E13207">
        <v>0</v>
      </c>
      <c r="F13207">
        <v>0</v>
      </c>
      <c r="G13207">
        <v>0</v>
      </c>
      <c r="H13207">
        <f>_xlfn.XLOOKUP(FACT_IMPORTS[[#This Row],[hts_6]],DIM_PRODUCTS[hts_6],DIM_PRODUCTS[hts_4],,,)</f>
        <v>8542</v>
      </c>
      <c r="I13207" t="str" cm="1">
        <f t="array" ref="I13207">_xlfn.XLOOKUP(FACT_IMPORTS[[#This Row],[country_name]],DIM_COUNTRY[[#All],[Column2]],DIM_COUNTRY[[#All],[Column3]],,,)</f>
        <v>Major_Non-USMCA_Non-China</v>
      </c>
    </row>
    <row r="13208" spans="1:9" x14ac:dyDescent="0.4">
      <c r="A13208" t="s">
        <v>75</v>
      </c>
      <c r="B13208" s="1">
        <v>45292</v>
      </c>
      <c r="C13208">
        <v>854239</v>
      </c>
      <c r="D13208" t="s">
        <v>176</v>
      </c>
      <c r="E13208">
        <v>4403645</v>
      </c>
      <c r="F13208">
        <v>718319</v>
      </c>
      <c r="G13208">
        <v>361478</v>
      </c>
      <c r="H13208">
        <f>_xlfn.XLOOKUP(FACT_IMPORTS[[#This Row],[hts_6]],DIM_PRODUCTS[hts_6],DIM_PRODUCTS[hts_4],,,)</f>
        <v>8542</v>
      </c>
      <c r="I13208" t="str" cm="1">
        <f t="array" ref="I13208">_xlfn.XLOOKUP(FACT_IMPORTS[[#This Row],[country_name]],DIM_COUNTRY[[#All],[Column2]],DIM_COUNTRY[[#All],[Column3]],,,)</f>
        <v>Major_Non-USMCA_Non-China</v>
      </c>
    </row>
    <row r="13209" spans="1:9" x14ac:dyDescent="0.4">
      <c r="A13209" t="s">
        <v>75</v>
      </c>
      <c r="B13209" s="1">
        <v>45292</v>
      </c>
      <c r="C13209">
        <v>854290</v>
      </c>
      <c r="D13209" t="s">
        <v>176</v>
      </c>
      <c r="E13209">
        <v>0</v>
      </c>
      <c r="F13209">
        <v>0</v>
      </c>
      <c r="G13209">
        <v>0</v>
      </c>
      <c r="H13209">
        <f>_xlfn.XLOOKUP(FACT_IMPORTS[[#This Row],[hts_6]],DIM_PRODUCTS[hts_6],DIM_PRODUCTS[hts_4],,,)</f>
        <v>8542</v>
      </c>
      <c r="I13209" t="str" cm="1">
        <f t="array" ref="I13209">_xlfn.XLOOKUP(FACT_IMPORTS[[#This Row],[country_name]],DIM_COUNTRY[[#All],[Column2]],DIM_COUNTRY[[#All],[Column3]],,,)</f>
        <v>Major_Non-USMCA_Non-China</v>
      </c>
    </row>
    <row r="13210" spans="1:9" x14ac:dyDescent="0.4">
      <c r="A13210" t="s">
        <v>75</v>
      </c>
      <c r="B13210" s="1">
        <v>45292</v>
      </c>
      <c r="C13210">
        <v>854430</v>
      </c>
      <c r="D13210" t="s">
        <v>176</v>
      </c>
      <c r="E13210">
        <v>96006</v>
      </c>
      <c r="F13210">
        <v>171776</v>
      </c>
      <c r="G13210">
        <v>532</v>
      </c>
      <c r="H13210">
        <f>_xlfn.XLOOKUP(FACT_IMPORTS[[#This Row],[hts_6]],DIM_PRODUCTS[hts_6],DIM_PRODUCTS[hts_4],,,)</f>
        <v>8544</v>
      </c>
      <c r="I13210" t="str" cm="1">
        <f t="array" ref="I13210">_xlfn.XLOOKUP(FACT_IMPORTS[[#This Row],[country_name]],DIM_COUNTRY[[#All],[Column2]],DIM_COUNTRY[[#All],[Column3]],,,)</f>
        <v>Major_Non-USMCA_Non-China</v>
      </c>
    </row>
    <row r="13211" spans="1:9" x14ac:dyDescent="0.4">
      <c r="A13211" t="s">
        <v>75</v>
      </c>
      <c r="B13211" s="1">
        <v>45292</v>
      </c>
      <c r="C13211">
        <v>870810</v>
      </c>
      <c r="D13211" t="s">
        <v>176</v>
      </c>
      <c r="E13211">
        <v>432628</v>
      </c>
      <c r="F13211">
        <v>5963</v>
      </c>
      <c r="G13211">
        <v>32013</v>
      </c>
      <c r="H13211">
        <f>_xlfn.XLOOKUP(FACT_IMPORTS[[#This Row],[hts_6]],DIM_PRODUCTS[hts_6],DIM_PRODUCTS[hts_4],,,)</f>
        <v>8708</v>
      </c>
      <c r="I13211" t="str" cm="1">
        <f t="array" ref="I13211">_xlfn.XLOOKUP(FACT_IMPORTS[[#This Row],[country_name]],DIM_COUNTRY[[#All],[Column2]],DIM_COUNTRY[[#All],[Column3]],,,)</f>
        <v>Major_Non-USMCA_Non-China</v>
      </c>
    </row>
    <row r="13212" spans="1:9" x14ac:dyDescent="0.4">
      <c r="A13212" t="s">
        <v>75</v>
      </c>
      <c r="B13212" s="1">
        <v>45292</v>
      </c>
      <c r="C13212">
        <v>870829</v>
      </c>
      <c r="D13212" t="s">
        <v>176</v>
      </c>
      <c r="E13212">
        <v>689335</v>
      </c>
      <c r="F13212">
        <v>81309</v>
      </c>
      <c r="G13212">
        <v>21459</v>
      </c>
      <c r="H13212">
        <f>_xlfn.XLOOKUP(FACT_IMPORTS[[#This Row],[hts_6]],DIM_PRODUCTS[hts_6],DIM_PRODUCTS[hts_4],,,)</f>
        <v>8708</v>
      </c>
      <c r="I13212" t="str" cm="1">
        <f t="array" ref="I13212">_xlfn.XLOOKUP(FACT_IMPORTS[[#This Row],[country_name]],DIM_COUNTRY[[#All],[Column2]],DIM_COUNTRY[[#All],[Column3]],,,)</f>
        <v>Major_Non-USMCA_Non-China</v>
      </c>
    </row>
    <row r="13213" spans="1:9" x14ac:dyDescent="0.4">
      <c r="A13213" t="s">
        <v>75</v>
      </c>
      <c r="B13213" s="1">
        <v>45292</v>
      </c>
      <c r="C13213">
        <v>870830</v>
      </c>
      <c r="D13213" t="s">
        <v>176</v>
      </c>
      <c r="E13213">
        <v>0</v>
      </c>
      <c r="F13213">
        <v>0</v>
      </c>
      <c r="G13213">
        <v>0</v>
      </c>
      <c r="H13213">
        <f>_xlfn.XLOOKUP(FACT_IMPORTS[[#This Row],[hts_6]],DIM_PRODUCTS[hts_6],DIM_PRODUCTS[hts_4],,,)</f>
        <v>8708</v>
      </c>
      <c r="I13213" t="str" cm="1">
        <f t="array" ref="I13213">_xlfn.XLOOKUP(FACT_IMPORTS[[#This Row],[country_name]],DIM_COUNTRY[[#All],[Column2]],DIM_COUNTRY[[#All],[Column3]],,,)</f>
        <v>Major_Non-USMCA_Non-China</v>
      </c>
    </row>
    <row r="13214" spans="1:9" x14ac:dyDescent="0.4">
      <c r="A13214" t="s">
        <v>75</v>
      </c>
      <c r="B13214" s="1">
        <v>45292</v>
      </c>
      <c r="C13214">
        <v>870840</v>
      </c>
      <c r="D13214" t="s">
        <v>176</v>
      </c>
      <c r="E13214">
        <v>280443</v>
      </c>
      <c r="F13214">
        <v>9201</v>
      </c>
      <c r="G13214">
        <v>4386</v>
      </c>
      <c r="H13214">
        <f>_xlfn.XLOOKUP(FACT_IMPORTS[[#This Row],[hts_6]],DIM_PRODUCTS[hts_6],DIM_PRODUCTS[hts_4],,,)</f>
        <v>8708</v>
      </c>
      <c r="I13214" t="str" cm="1">
        <f t="array" ref="I13214">_xlfn.XLOOKUP(FACT_IMPORTS[[#This Row],[country_name]],DIM_COUNTRY[[#All],[Column2]],DIM_COUNTRY[[#All],[Column3]],,,)</f>
        <v>Major_Non-USMCA_Non-China</v>
      </c>
    </row>
    <row r="13215" spans="1:9" x14ac:dyDescent="0.4">
      <c r="A13215" t="s">
        <v>75</v>
      </c>
      <c r="B13215" s="1">
        <v>45292</v>
      </c>
      <c r="C13215">
        <v>870850</v>
      </c>
      <c r="D13215" t="s">
        <v>176</v>
      </c>
      <c r="E13215">
        <v>458805</v>
      </c>
      <c r="F13215">
        <v>2336</v>
      </c>
      <c r="G13215">
        <v>6279</v>
      </c>
      <c r="H13215">
        <f>_xlfn.XLOOKUP(FACT_IMPORTS[[#This Row],[hts_6]],DIM_PRODUCTS[hts_6],DIM_PRODUCTS[hts_4],,,)</f>
        <v>8708</v>
      </c>
      <c r="I13215" t="str" cm="1">
        <f t="array" ref="I13215">_xlfn.XLOOKUP(FACT_IMPORTS[[#This Row],[country_name]],DIM_COUNTRY[[#All],[Column2]],DIM_COUNTRY[[#All],[Column3]],,,)</f>
        <v>Major_Non-USMCA_Non-China</v>
      </c>
    </row>
    <row r="13216" spans="1:9" x14ac:dyDescent="0.4">
      <c r="A13216" t="s">
        <v>75</v>
      </c>
      <c r="B13216" s="1">
        <v>45292</v>
      </c>
      <c r="C13216">
        <v>870870</v>
      </c>
      <c r="D13216" t="s">
        <v>176</v>
      </c>
      <c r="E13216">
        <v>949121</v>
      </c>
      <c r="F13216">
        <v>5749</v>
      </c>
      <c r="G13216">
        <v>22096</v>
      </c>
      <c r="H13216">
        <f>_xlfn.XLOOKUP(FACT_IMPORTS[[#This Row],[hts_6]],DIM_PRODUCTS[hts_6],DIM_PRODUCTS[hts_4],,,)</f>
        <v>8708</v>
      </c>
      <c r="I13216" t="str" cm="1">
        <f t="array" ref="I13216">_xlfn.XLOOKUP(FACT_IMPORTS[[#This Row],[country_name]],DIM_COUNTRY[[#All],[Column2]],DIM_COUNTRY[[#All],[Column3]],,,)</f>
        <v>Major_Non-USMCA_Non-China</v>
      </c>
    </row>
    <row r="13217" spans="1:9" x14ac:dyDescent="0.4">
      <c r="A13217" t="s">
        <v>75</v>
      </c>
      <c r="B13217" s="1">
        <v>45292</v>
      </c>
      <c r="C13217">
        <v>870880</v>
      </c>
      <c r="D13217" t="s">
        <v>176</v>
      </c>
      <c r="E13217">
        <v>510658</v>
      </c>
      <c r="F13217">
        <v>42595</v>
      </c>
      <c r="G13217">
        <v>25172</v>
      </c>
      <c r="H13217">
        <f>_xlfn.XLOOKUP(FACT_IMPORTS[[#This Row],[hts_6]],DIM_PRODUCTS[hts_6],DIM_PRODUCTS[hts_4],,,)</f>
        <v>8708</v>
      </c>
      <c r="I13217" t="str" cm="1">
        <f t="array" ref="I13217">_xlfn.XLOOKUP(FACT_IMPORTS[[#This Row],[country_name]],DIM_COUNTRY[[#All],[Column2]],DIM_COUNTRY[[#All],[Column3]],,,)</f>
        <v>Major_Non-USMCA_Non-China</v>
      </c>
    </row>
    <row r="13218" spans="1:9" x14ac:dyDescent="0.4">
      <c r="A13218" t="s">
        <v>75</v>
      </c>
      <c r="B13218" s="1">
        <v>45292</v>
      </c>
      <c r="C13218">
        <v>870891</v>
      </c>
      <c r="D13218" t="s">
        <v>176</v>
      </c>
      <c r="E13218">
        <v>21834</v>
      </c>
      <c r="F13218">
        <v>7000</v>
      </c>
      <c r="G13218">
        <v>1008</v>
      </c>
      <c r="H13218">
        <f>_xlfn.XLOOKUP(FACT_IMPORTS[[#This Row],[hts_6]],DIM_PRODUCTS[hts_6],DIM_PRODUCTS[hts_4],,,)</f>
        <v>8708</v>
      </c>
      <c r="I13218" t="str" cm="1">
        <f t="array" ref="I13218">_xlfn.XLOOKUP(FACT_IMPORTS[[#This Row],[country_name]],DIM_COUNTRY[[#All],[Column2]],DIM_COUNTRY[[#All],[Column3]],,,)</f>
        <v>Major_Non-USMCA_Non-China</v>
      </c>
    </row>
    <row r="13219" spans="1:9" x14ac:dyDescent="0.4">
      <c r="A13219" t="s">
        <v>75</v>
      </c>
      <c r="B13219" s="1">
        <v>45292</v>
      </c>
      <c r="C13219">
        <v>870892</v>
      </c>
      <c r="D13219" t="s">
        <v>176</v>
      </c>
      <c r="E13219">
        <v>26179</v>
      </c>
      <c r="F13219">
        <v>977</v>
      </c>
      <c r="G13219">
        <v>1170</v>
      </c>
      <c r="H13219">
        <f>_xlfn.XLOOKUP(FACT_IMPORTS[[#This Row],[hts_6]],DIM_PRODUCTS[hts_6],DIM_PRODUCTS[hts_4],,,)</f>
        <v>8708</v>
      </c>
      <c r="I13219" t="str" cm="1">
        <f t="array" ref="I13219">_xlfn.XLOOKUP(FACT_IMPORTS[[#This Row],[country_name]],DIM_COUNTRY[[#All],[Column2]],DIM_COUNTRY[[#All],[Column3]],,,)</f>
        <v>Major_Non-USMCA_Non-China</v>
      </c>
    </row>
    <row r="13220" spans="1:9" x14ac:dyDescent="0.4">
      <c r="A13220" t="s">
        <v>75</v>
      </c>
      <c r="B13220" s="1">
        <v>45292</v>
      </c>
      <c r="C13220">
        <v>870893</v>
      </c>
      <c r="D13220" t="s">
        <v>176</v>
      </c>
      <c r="E13220">
        <v>37542</v>
      </c>
      <c r="F13220">
        <v>3845</v>
      </c>
      <c r="G13220">
        <v>51</v>
      </c>
      <c r="H13220">
        <f>_xlfn.XLOOKUP(FACT_IMPORTS[[#This Row],[hts_6]],DIM_PRODUCTS[hts_6],DIM_PRODUCTS[hts_4],,,)</f>
        <v>8708</v>
      </c>
      <c r="I13220" t="str" cm="1">
        <f t="array" ref="I13220">_xlfn.XLOOKUP(FACT_IMPORTS[[#This Row],[country_name]],DIM_COUNTRY[[#All],[Column2]],DIM_COUNTRY[[#All],[Column3]],,,)</f>
        <v>Major_Non-USMCA_Non-China</v>
      </c>
    </row>
    <row r="13221" spans="1:9" x14ac:dyDescent="0.4">
      <c r="A13221" t="s">
        <v>75</v>
      </c>
      <c r="B13221" s="1">
        <v>45292</v>
      </c>
      <c r="C13221">
        <v>870894</v>
      </c>
      <c r="D13221" t="s">
        <v>176</v>
      </c>
      <c r="E13221">
        <v>0</v>
      </c>
      <c r="F13221">
        <v>0</v>
      </c>
      <c r="G13221">
        <v>0</v>
      </c>
      <c r="H13221">
        <f>_xlfn.XLOOKUP(FACT_IMPORTS[[#This Row],[hts_6]],DIM_PRODUCTS[hts_6],DIM_PRODUCTS[hts_4],,,)</f>
        <v>8708</v>
      </c>
      <c r="I13221" t="str" cm="1">
        <f t="array" ref="I13221">_xlfn.XLOOKUP(FACT_IMPORTS[[#This Row],[country_name]],DIM_COUNTRY[[#All],[Column2]],DIM_COUNTRY[[#All],[Column3]],,,)</f>
        <v>Major_Non-USMCA_Non-China</v>
      </c>
    </row>
    <row r="13222" spans="1:9" x14ac:dyDescent="0.4">
      <c r="A13222" t="s">
        <v>75</v>
      </c>
      <c r="B13222" s="1">
        <v>45292</v>
      </c>
      <c r="C13222">
        <v>870899</v>
      </c>
      <c r="D13222" t="s">
        <v>176</v>
      </c>
      <c r="E13222">
        <v>598880</v>
      </c>
      <c r="F13222">
        <v>1026913</v>
      </c>
      <c r="G13222">
        <v>33350</v>
      </c>
      <c r="H13222">
        <f>_xlfn.XLOOKUP(FACT_IMPORTS[[#This Row],[hts_6]],DIM_PRODUCTS[hts_6],DIM_PRODUCTS[hts_4],,,)</f>
        <v>8708</v>
      </c>
      <c r="I13222" t="str" cm="1">
        <f t="array" ref="I13222">_xlfn.XLOOKUP(FACT_IMPORTS[[#This Row],[country_name]],DIM_COUNTRY[[#All],[Column2]],DIM_COUNTRY[[#All],[Column3]],,,)</f>
        <v>Major_Non-USMCA_Non-China</v>
      </c>
    </row>
    <row r="13223" spans="1:9" x14ac:dyDescent="0.4">
      <c r="A13223" t="s">
        <v>75</v>
      </c>
      <c r="B13223" s="1">
        <v>45323</v>
      </c>
      <c r="C13223">
        <v>392630</v>
      </c>
      <c r="D13223" t="s">
        <v>176</v>
      </c>
      <c r="E13223">
        <v>63352</v>
      </c>
      <c r="F13223">
        <v>3971</v>
      </c>
      <c r="G13223">
        <v>3711</v>
      </c>
      <c r="H13223">
        <f>_xlfn.XLOOKUP(FACT_IMPORTS[[#This Row],[hts_6]],DIM_PRODUCTS[hts_6],DIM_PRODUCTS[hts_4],,,)</f>
        <v>3926</v>
      </c>
      <c r="I13223" t="str" cm="1">
        <f t="array" ref="I13223">_xlfn.XLOOKUP(FACT_IMPORTS[[#This Row],[country_name]],DIM_COUNTRY[[#All],[Column2]],DIM_COUNTRY[[#All],[Column3]],,,)</f>
        <v>Major_Non-USMCA_Non-China</v>
      </c>
    </row>
    <row r="13224" spans="1:9" x14ac:dyDescent="0.4">
      <c r="A13224" t="s">
        <v>75</v>
      </c>
      <c r="B13224" s="1">
        <v>45323</v>
      </c>
      <c r="C13224">
        <v>401110</v>
      </c>
      <c r="D13224" t="s">
        <v>176</v>
      </c>
      <c r="E13224">
        <v>0</v>
      </c>
      <c r="F13224">
        <v>0</v>
      </c>
      <c r="G13224">
        <v>0</v>
      </c>
      <c r="H13224">
        <f>_xlfn.XLOOKUP(FACT_IMPORTS[[#This Row],[hts_6]],DIM_PRODUCTS[hts_6],DIM_PRODUCTS[hts_4],,,)</f>
        <v>4011</v>
      </c>
      <c r="I13224" t="str" cm="1">
        <f t="array" ref="I13224">_xlfn.XLOOKUP(FACT_IMPORTS[[#This Row],[country_name]],DIM_COUNTRY[[#All],[Column2]],DIM_COUNTRY[[#All],[Column3]],,,)</f>
        <v>Major_Non-USMCA_Non-China</v>
      </c>
    </row>
    <row r="13225" spans="1:9" x14ac:dyDescent="0.4">
      <c r="A13225" t="s">
        <v>75</v>
      </c>
      <c r="B13225" s="1">
        <v>45323</v>
      </c>
      <c r="C13225">
        <v>401120</v>
      </c>
      <c r="D13225" t="s">
        <v>176</v>
      </c>
      <c r="E13225">
        <v>1780</v>
      </c>
      <c r="F13225">
        <v>4</v>
      </c>
      <c r="G13225">
        <v>2</v>
      </c>
      <c r="H13225">
        <f>_xlfn.XLOOKUP(FACT_IMPORTS[[#This Row],[hts_6]],DIM_PRODUCTS[hts_6],DIM_PRODUCTS[hts_4],,,)</f>
        <v>4011</v>
      </c>
      <c r="I13225" t="str" cm="1">
        <f t="array" ref="I13225">_xlfn.XLOOKUP(FACT_IMPORTS[[#This Row],[country_name]],DIM_COUNTRY[[#All],[Column2]],DIM_COUNTRY[[#All],[Column3]],,,)</f>
        <v>Major_Non-USMCA_Non-China</v>
      </c>
    </row>
    <row r="13226" spans="1:9" x14ac:dyDescent="0.4">
      <c r="A13226" t="s">
        <v>75</v>
      </c>
      <c r="B13226" s="1">
        <v>45323</v>
      </c>
      <c r="C13226">
        <v>401140</v>
      </c>
      <c r="D13226" t="s">
        <v>176</v>
      </c>
      <c r="E13226">
        <v>1821</v>
      </c>
      <c r="F13226">
        <v>26</v>
      </c>
      <c r="G13226">
        <v>6</v>
      </c>
      <c r="H13226">
        <f>_xlfn.XLOOKUP(FACT_IMPORTS[[#This Row],[hts_6]],DIM_PRODUCTS[hts_6],DIM_PRODUCTS[hts_4],,,)</f>
        <v>4011</v>
      </c>
      <c r="I13226" t="str" cm="1">
        <f t="array" ref="I13226">_xlfn.XLOOKUP(FACT_IMPORTS[[#This Row],[country_name]],DIM_COUNTRY[[#All],[Column2]],DIM_COUNTRY[[#All],[Column3]],,,)</f>
        <v>Major_Non-USMCA_Non-China</v>
      </c>
    </row>
    <row r="13227" spans="1:9" x14ac:dyDescent="0.4">
      <c r="A13227" t="s">
        <v>75</v>
      </c>
      <c r="B13227" s="1">
        <v>45323</v>
      </c>
      <c r="C13227">
        <v>401190</v>
      </c>
      <c r="D13227" t="s">
        <v>176</v>
      </c>
      <c r="E13227">
        <v>3493</v>
      </c>
      <c r="F13227">
        <v>39</v>
      </c>
      <c r="G13227">
        <v>14</v>
      </c>
      <c r="H13227">
        <f>_xlfn.XLOOKUP(FACT_IMPORTS[[#This Row],[hts_6]],DIM_PRODUCTS[hts_6],DIM_PRODUCTS[hts_4],,,)</f>
        <v>4011</v>
      </c>
      <c r="I13227" t="str" cm="1">
        <f t="array" ref="I13227">_xlfn.XLOOKUP(FACT_IMPORTS[[#This Row],[country_name]],DIM_COUNTRY[[#All],[Column2]],DIM_COUNTRY[[#All],[Column3]],,,)</f>
        <v>Major_Non-USMCA_Non-China</v>
      </c>
    </row>
    <row r="13228" spans="1:9" x14ac:dyDescent="0.4">
      <c r="A13228" t="s">
        <v>75</v>
      </c>
      <c r="B13228" s="1">
        <v>45323</v>
      </c>
      <c r="C13228">
        <v>700721</v>
      </c>
      <c r="D13228" t="s">
        <v>176</v>
      </c>
      <c r="E13228">
        <v>26600</v>
      </c>
      <c r="F13228">
        <v>200</v>
      </c>
      <c r="G13228">
        <v>539</v>
      </c>
      <c r="H13228">
        <f>_xlfn.XLOOKUP(FACT_IMPORTS[[#This Row],[hts_6]],DIM_PRODUCTS[hts_6],DIM_PRODUCTS[hts_4],,,)</f>
        <v>7007</v>
      </c>
      <c r="I13228" t="str" cm="1">
        <f t="array" ref="I13228">_xlfn.XLOOKUP(FACT_IMPORTS[[#This Row],[country_name]],DIM_COUNTRY[[#All],[Column2]],DIM_COUNTRY[[#All],[Column3]],,,)</f>
        <v>Major_Non-USMCA_Non-China</v>
      </c>
    </row>
    <row r="13229" spans="1:9" x14ac:dyDescent="0.4">
      <c r="A13229" t="s">
        <v>75</v>
      </c>
      <c r="B13229" s="1">
        <v>45323</v>
      </c>
      <c r="C13229">
        <v>700910</v>
      </c>
      <c r="D13229" t="s">
        <v>176</v>
      </c>
      <c r="E13229">
        <v>57310</v>
      </c>
      <c r="F13229">
        <v>11636</v>
      </c>
      <c r="G13229">
        <v>1167</v>
      </c>
      <c r="H13229">
        <f>_xlfn.XLOOKUP(FACT_IMPORTS[[#This Row],[hts_6]],DIM_PRODUCTS[hts_6],DIM_PRODUCTS[hts_4],,,)</f>
        <v>7009</v>
      </c>
      <c r="I13229" t="str" cm="1">
        <f t="array" ref="I13229">_xlfn.XLOOKUP(FACT_IMPORTS[[#This Row],[country_name]],DIM_COUNTRY[[#All],[Column2]],DIM_COUNTRY[[#All],[Column3]],,,)</f>
        <v>Major_Non-USMCA_Non-China</v>
      </c>
    </row>
    <row r="13230" spans="1:9" x14ac:dyDescent="0.4">
      <c r="A13230" t="s">
        <v>75</v>
      </c>
      <c r="B13230" s="1">
        <v>45323</v>
      </c>
      <c r="C13230">
        <v>732010</v>
      </c>
      <c r="D13230" t="s">
        <v>176</v>
      </c>
      <c r="E13230">
        <v>0</v>
      </c>
      <c r="F13230">
        <v>0</v>
      </c>
      <c r="G13230">
        <v>0</v>
      </c>
      <c r="H13230">
        <f>_xlfn.XLOOKUP(FACT_IMPORTS[[#This Row],[hts_6]],DIM_PRODUCTS[hts_6],DIM_PRODUCTS[hts_4],,,)</f>
        <v>7320</v>
      </c>
      <c r="I13230" t="str" cm="1">
        <f t="array" ref="I13230">_xlfn.XLOOKUP(FACT_IMPORTS[[#This Row],[country_name]],DIM_COUNTRY[[#All],[Column2]],DIM_COUNTRY[[#All],[Column3]],,,)</f>
        <v>Major_Non-USMCA_Non-China</v>
      </c>
    </row>
    <row r="13231" spans="1:9" x14ac:dyDescent="0.4">
      <c r="A13231" t="s">
        <v>75</v>
      </c>
      <c r="B13231" s="1">
        <v>45323</v>
      </c>
      <c r="C13231">
        <v>830230</v>
      </c>
      <c r="D13231" t="s">
        <v>176</v>
      </c>
      <c r="E13231">
        <v>89511</v>
      </c>
      <c r="F13231">
        <v>7044</v>
      </c>
      <c r="G13231">
        <v>3349</v>
      </c>
      <c r="H13231">
        <f>_xlfn.XLOOKUP(FACT_IMPORTS[[#This Row],[hts_6]],DIM_PRODUCTS[hts_6],DIM_PRODUCTS[hts_4],,,)</f>
        <v>8302</v>
      </c>
      <c r="I13231" t="str" cm="1">
        <f t="array" ref="I13231">_xlfn.XLOOKUP(FACT_IMPORTS[[#This Row],[country_name]],DIM_COUNTRY[[#All],[Column2]],DIM_COUNTRY[[#All],[Column3]],,,)</f>
        <v>Major_Non-USMCA_Non-China</v>
      </c>
    </row>
    <row r="13232" spans="1:9" x14ac:dyDescent="0.4">
      <c r="A13232" t="s">
        <v>75</v>
      </c>
      <c r="B13232" s="1">
        <v>45323</v>
      </c>
      <c r="C13232">
        <v>840732</v>
      </c>
      <c r="D13232" t="s">
        <v>176</v>
      </c>
      <c r="E13232">
        <v>15500</v>
      </c>
      <c r="F13232">
        <v>250</v>
      </c>
      <c r="G13232">
        <v>344</v>
      </c>
      <c r="H13232">
        <f>_xlfn.XLOOKUP(FACT_IMPORTS[[#This Row],[hts_6]],DIM_PRODUCTS[hts_6],DIM_PRODUCTS[hts_4],,,)</f>
        <v>8407</v>
      </c>
      <c r="I13232" t="str" cm="1">
        <f t="array" ref="I13232">_xlfn.XLOOKUP(FACT_IMPORTS[[#This Row],[country_name]],DIM_COUNTRY[[#All],[Column2]],DIM_COUNTRY[[#All],[Column3]],,,)</f>
        <v>Major_Non-USMCA_Non-China</v>
      </c>
    </row>
    <row r="13233" spans="1:9" x14ac:dyDescent="0.4">
      <c r="A13233" t="s">
        <v>75</v>
      </c>
      <c r="B13233" s="1">
        <v>45323</v>
      </c>
      <c r="C13233">
        <v>840733</v>
      </c>
      <c r="D13233" t="s">
        <v>176</v>
      </c>
      <c r="E13233">
        <v>0</v>
      </c>
      <c r="F13233">
        <v>0</v>
      </c>
      <c r="G13233">
        <v>0</v>
      </c>
      <c r="H13233">
        <f>_xlfn.XLOOKUP(FACT_IMPORTS[[#This Row],[hts_6]],DIM_PRODUCTS[hts_6],DIM_PRODUCTS[hts_4],,,)</f>
        <v>8407</v>
      </c>
      <c r="I13233" t="str" cm="1">
        <f t="array" ref="I13233">_xlfn.XLOOKUP(FACT_IMPORTS[[#This Row],[country_name]],DIM_COUNTRY[[#All],[Column2]],DIM_COUNTRY[[#All],[Column3]],,,)</f>
        <v>Major_Non-USMCA_Non-China</v>
      </c>
    </row>
    <row r="13234" spans="1:9" x14ac:dyDescent="0.4">
      <c r="A13234" t="s">
        <v>75</v>
      </c>
      <c r="B13234" s="1">
        <v>45323</v>
      </c>
      <c r="C13234">
        <v>840790</v>
      </c>
      <c r="D13234" t="s">
        <v>176</v>
      </c>
      <c r="E13234">
        <v>3605</v>
      </c>
      <c r="F13234">
        <v>2</v>
      </c>
      <c r="G13234">
        <v>200</v>
      </c>
      <c r="H13234">
        <f>_xlfn.XLOOKUP(FACT_IMPORTS[[#This Row],[hts_6]],DIM_PRODUCTS[hts_6],DIM_PRODUCTS[hts_4],,,)</f>
        <v>8407</v>
      </c>
      <c r="I13234" t="str" cm="1">
        <f t="array" ref="I13234">_xlfn.XLOOKUP(FACT_IMPORTS[[#This Row],[country_name]],DIM_COUNTRY[[#All],[Column2]],DIM_COUNTRY[[#All],[Column3]],,,)</f>
        <v>Major_Non-USMCA_Non-China</v>
      </c>
    </row>
    <row r="13235" spans="1:9" x14ac:dyDescent="0.4">
      <c r="A13235" t="s">
        <v>75</v>
      </c>
      <c r="B13235" s="1">
        <v>45323</v>
      </c>
      <c r="C13235">
        <v>840890</v>
      </c>
      <c r="D13235" t="s">
        <v>176</v>
      </c>
      <c r="E13235">
        <v>0</v>
      </c>
      <c r="F13235">
        <v>0</v>
      </c>
      <c r="G13235">
        <v>0</v>
      </c>
      <c r="H13235">
        <f>_xlfn.XLOOKUP(FACT_IMPORTS[[#This Row],[hts_6]],DIM_PRODUCTS[hts_6],DIM_PRODUCTS[hts_4],,,)</f>
        <v>8408</v>
      </c>
      <c r="I13235" t="str" cm="1">
        <f t="array" ref="I13235">_xlfn.XLOOKUP(FACT_IMPORTS[[#This Row],[country_name]],DIM_COUNTRY[[#All],[Column2]],DIM_COUNTRY[[#All],[Column3]],,,)</f>
        <v>Major_Non-USMCA_Non-China</v>
      </c>
    </row>
    <row r="13236" spans="1:9" x14ac:dyDescent="0.4">
      <c r="A13236" t="s">
        <v>75</v>
      </c>
      <c r="B13236" s="1">
        <v>45323</v>
      </c>
      <c r="C13236">
        <v>840991</v>
      </c>
      <c r="D13236" t="s">
        <v>176</v>
      </c>
      <c r="E13236">
        <v>206148</v>
      </c>
      <c r="F13236">
        <v>12332</v>
      </c>
      <c r="G13236">
        <v>5390</v>
      </c>
      <c r="H13236">
        <f>_xlfn.XLOOKUP(FACT_IMPORTS[[#This Row],[hts_6]],DIM_PRODUCTS[hts_6],DIM_PRODUCTS[hts_4],,,)</f>
        <v>8409</v>
      </c>
      <c r="I13236" t="str" cm="1">
        <f t="array" ref="I13236">_xlfn.XLOOKUP(FACT_IMPORTS[[#This Row],[country_name]],DIM_COUNTRY[[#All],[Column2]],DIM_COUNTRY[[#All],[Column3]],,,)</f>
        <v>Major_Non-USMCA_Non-China</v>
      </c>
    </row>
    <row r="13237" spans="1:9" x14ac:dyDescent="0.4">
      <c r="A13237" t="s">
        <v>75</v>
      </c>
      <c r="B13237" s="1">
        <v>45323</v>
      </c>
      <c r="C13237">
        <v>840999</v>
      </c>
      <c r="D13237" t="s">
        <v>176</v>
      </c>
      <c r="E13237">
        <v>0</v>
      </c>
      <c r="F13237">
        <v>0</v>
      </c>
      <c r="G13237">
        <v>0</v>
      </c>
      <c r="H13237">
        <f>_xlfn.XLOOKUP(FACT_IMPORTS[[#This Row],[hts_6]],DIM_PRODUCTS[hts_6],DIM_PRODUCTS[hts_4],,,)</f>
        <v>8409</v>
      </c>
      <c r="I13237" t="str" cm="1">
        <f t="array" ref="I13237">_xlfn.XLOOKUP(FACT_IMPORTS[[#This Row],[country_name]],DIM_COUNTRY[[#All],[Column2]],DIM_COUNTRY[[#All],[Column3]],,,)</f>
        <v>Major_Non-USMCA_Non-China</v>
      </c>
    </row>
    <row r="13238" spans="1:9" x14ac:dyDescent="0.4">
      <c r="A13238" t="s">
        <v>75</v>
      </c>
      <c r="B13238" s="1">
        <v>45323</v>
      </c>
      <c r="C13238">
        <v>841330</v>
      </c>
      <c r="D13238" t="s">
        <v>176</v>
      </c>
      <c r="E13238">
        <v>289994</v>
      </c>
      <c r="F13238">
        <v>5929</v>
      </c>
      <c r="G13238">
        <v>12879</v>
      </c>
      <c r="H13238">
        <f>_xlfn.XLOOKUP(FACT_IMPORTS[[#This Row],[hts_6]],DIM_PRODUCTS[hts_6],DIM_PRODUCTS[hts_4],,,)</f>
        <v>8413</v>
      </c>
      <c r="I13238" t="str" cm="1">
        <f t="array" ref="I13238">_xlfn.XLOOKUP(FACT_IMPORTS[[#This Row],[country_name]],DIM_COUNTRY[[#All],[Column2]],DIM_COUNTRY[[#All],[Column3]],,,)</f>
        <v>Major_Non-USMCA_Non-China</v>
      </c>
    </row>
    <row r="13239" spans="1:9" x14ac:dyDescent="0.4">
      <c r="A13239" t="s">
        <v>75</v>
      </c>
      <c r="B13239" s="1">
        <v>45323</v>
      </c>
      <c r="C13239">
        <v>848210</v>
      </c>
      <c r="D13239" t="s">
        <v>176</v>
      </c>
      <c r="E13239">
        <v>237123</v>
      </c>
      <c r="F13239">
        <v>352549</v>
      </c>
      <c r="G13239">
        <v>8347</v>
      </c>
      <c r="H13239">
        <f>_xlfn.XLOOKUP(FACT_IMPORTS[[#This Row],[hts_6]],DIM_PRODUCTS[hts_6],DIM_PRODUCTS[hts_4],,,)</f>
        <v>8482</v>
      </c>
      <c r="I13239" t="str" cm="1">
        <f t="array" ref="I13239">_xlfn.XLOOKUP(FACT_IMPORTS[[#This Row],[country_name]],DIM_COUNTRY[[#All],[Column2]],DIM_COUNTRY[[#All],[Column3]],,,)</f>
        <v>Major_Non-USMCA_Non-China</v>
      </c>
    </row>
    <row r="13240" spans="1:9" x14ac:dyDescent="0.4">
      <c r="A13240" t="s">
        <v>75</v>
      </c>
      <c r="B13240" s="1">
        <v>45323</v>
      </c>
      <c r="C13240">
        <v>848310</v>
      </c>
      <c r="D13240" t="s">
        <v>176</v>
      </c>
      <c r="E13240">
        <v>0</v>
      </c>
      <c r="F13240">
        <v>0</v>
      </c>
      <c r="G13240">
        <v>0</v>
      </c>
      <c r="H13240">
        <f>_xlfn.XLOOKUP(FACT_IMPORTS[[#This Row],[hts_6]],DIM_PRODUCTS[hts_6],DIM_PRODUCTS[hts_4],,,)</f>
        <v>8483</v>
      </c>
      <c r="I13240" t="str" cm="1">
        <f t="array" ref="I13240">_xlfn.XLOOKUP(FACT_IMPORTS[[#This Row],[country_name]],DIM_COUNTRY[[#All],[Column2]],DIM_COUNTRY[[#All],[Column3]],,,)</f>
        <v>Major_Non-USMCA_Non-China</v>
      </c>
    </row>
    <row r="13241" spans="1:9" x14ac:dyDescent="0.4">
      <c r="A13241" t="s">
        <v>75</v>
      </c>
      <c r="B13241" s="1">
        <v>45323</v>
      </c>
      <c r="C13241">
        <v>850131</v>
      </c>
      <c r="D13241" t="s">
        <v>176</v>
      </c>
      <c r="E13241">
        <v>0</v>
      </c>
      <c r="F13241">
        <v>0</v>
      </c>
      <c r="G13241">
        <v>0</v>
      </c>
      <c r="H13241">
        <f>_xlfn.XLOOKUP(FACT_IMPORTS[[#This Row],[hts_6]],DIM_PRODUCTS[hts_6],DIM_PRODUCTS[hts_4],,,)</f>
        <v>8501</v>
      </c>
      <c r="I13241" t="str" cm="1">
        <f t="array" ref="I13241">_xlfn.XLOOKUP(FACT_IMPORTS[[#This Row],[country_name]],DIM_COUNTRY[[#All],[Column2]],DIM_COUNTRY[[#All],[Column3]],,,)</f>
        <v>Major_Non-USMCA_Non-China</v>
      </c>
    </row>
    <row r="13242" spans="1:9" x14ac:dyDescent="0.4">
      <c r="A13242" t="s">
        <v>75</v>
      </c>
      <c r="B13242" s="1">
        <v>45323</v>
      </c>
      <c r="C13242">
        <v>850132</v>
      </c>
      <c r="D13242" t="s">
        <v>176</v>
      </c>
      <c r="E13242">
        <v>0</v>
      </c>
      <c r="F13242">
        <v>0</v>
      </c>
      <c r="G13242">
        <v>0</v>
      </c>
      <c r="H13242">
        <f>_xlfn.XLOOKUP(FACT_IMPORTS[[#This Row],[hts_6]],DIM_PRODUCTS[hts_6],DIM_PRODUCTS[hts_4],,,)</f>
        <v>8501</v>
      </c>
      <c r="I13242" t="str" cm="1">
        <f t="array" ref="I13242">_xlfn.XLOOKUP(FACT_IMPORTS[[#This Row],[country_name]],DIM_COUNTRY[[#All],[Column2]],DIM_COUNTRY[[#All],[Column3]],,,)</f>
        <v>Major_Non-USMCA_Non-China</v>
      </c>
    </row>
    <row r="13243" spans="1:9" x14ac:dyDescent="0.4">
      <c r="A13243" t="s">
        <v>75</v>
      </c>
      <c r="B13243" s="1">
        <v>45323</v>
      </c>
      <c r="C13243">
        <v>850152</v>
      </c>
      <c r="D13243" t="s">
        <v>176</v>
      </c>
      <c r="E13243">
        <v>16857</v>
      </c>
      <c r="F13243">
        <v>337</v>
      </c>
      <c r="G13243">
        <v>258</v>
      </c>
      <c r="H13243">
        <f>_xlfn.XLOOKUP(FACT_IMPORTS[[#This Row],[hts_6]],DIM_PRODUCTS[hts_6],DIM_PRODUCTS[hts_4],,,)</f>
        <v>8501</v>
      </c>
      <c r="I13243" t="str" cm="1">
        <f t="array" ref="I13243">_xlfn.XLOOKUP(FACT_IMPORTS[[#This Row],[country_name]],DIM_COUNTRY[[#All],[Column2]],DIM_COUNTRY[[#All],[Column3]],,,)</f>
        <v>Major_Non-USMCA_Non-China</v>
      </c>
    </row>
    <row r="13244" spans="1:9" x14ac:dyDescent="0.4">
      <c r="A13244" t="s">
        <v>75</v>
      </c>
      <c r="B13244" s="1">
        <v>45323</v>
      </c>
      <c r="C13244">
        <v>850153</v>
      </c>
      <c r="D13244" t="s">
        <v>176</v>
      </c>
      <c r="E13244">
        <v>12000</v>
      </c>
      <c r="F13244">
        <v>1</v>
      </c>
      <c r="G13244">
        <v>200</v>
      </c>
      <c r="H13244">
        <f>_xlfn.XLOOKUP(FACT_IMPORTS[[#This Row],[hts_6]],DIM_PRODUCTS[hts_6],DIM_PRODUCTS[hts_4],,,)</f>
        <v>8501</v>
      </c>
      <c r="I13244" t="str" cm="1">
        <f t="array" ref="I13244">_xlfn.XLOOKUP(FACT_IMPORTS[[#This Row],[country_name]],DIM_COUNTRY[[#All],[Column2]],DIM_COUNTRY[[#All],[Column3]],,,)</f>
        <v>Major_Non-USMCA_Non-China</v>
      </c>
    </row>
    <row r="13245" spans="1:9" x14ac:dyDescent="0.4">
      <c r="A13245" t="s">
        <v>75</v>
      </c>
      <c r="B13245" s="1">
        <v>45323</v>
      </c>
      <c r="C13245">
        <v>850161</v>
      </c>
      <c r="D13245" t="s">
        <v>176</v>
      </c>
      <c r="E13245">
        <v>0</v>
      </c>
      <c r="F13245">
        <v>0</v>
      </c>
      <c r="G13245">
        <v>0</v>
      </c>
      <c r="H13245">
        <f>_xlfn.XLOOKUP(FACT_IMPORTS[[#This Row],[hts_6]],DIM_PRODUCTS[hts_6],DIM_PRODUCTS[hts_4],,,)</f>
        <v>8501</v>
      </c>
      <c r="I13245" t="str" cm="1">
        <f t="array" ref="I13245">_xlfn.XLOOKUP(FACT_IMPORTS[[#This Row],[country_name]],DIM_COUNTRY[[#All],[Column2]],DIM_COUNTRY[[#All],[Column3]],,,)</f>
        <v>Major_Non-USMCA_Non-China</v>
      </c>
    </row>
    <row r="13246" spans="1:9" x14ac:dyDescent="0.4">
      <c r="A13246" t="s">
        <v>75</v>
      </c>
      <c r="B13246" s="1">
        <v>45323</v>
      </c>
      <c r="C13246">
        <v>850440</v>
      </c>
      <c r="D13246" t="s">
        <v>176</v>
      </c>
      <c r="E13246">
        <v>530888</v>
      </c>
      <c r="F13246">
        <v>12519</v>
      </c>
      <c r="G13246">
        <v>3790</v>
      </c>
      <c r="H13246">
        <f>_xlfn.XLOOKUP(FACT_IMPORTS[[#This Row],[hts_6]],DIM_PRODUCTS[hts_6],DIM_PRODUCTS[hts_4],,,)</f>
        <v>8504</v>
      </c>
      <c r="I13246" t="str" cm="1">
        <f t="array" ref="I13246">_xlfn.XLOOKUP(FACT_IMPORTS[[#This Row],[country_name]],DIM_COUNTRY[[#All],[Column2]],DIM_COUNTRY[[#All],[Column3]],,,)</f>
        <v>Major_Non-USMCA_Non-China</v>
      </c>
    </row>
    <row r="13247" spans="1:9" x14ac:dyDescent="0.4">
      <c r="A13247" t="s">
        <v>75</v>
      </c>
      <c r="B13247" s="1">
        <v>45323</v>
      </c>
      <c r="C13247">
        <v>850710</v>
      </c>
      <c r="D13247" t="s">
        <v>176</v>
      </c>
      <c r="E13247">
        <v>2337</v>
      </c>
      <c r="F13247">
        <v>14</v>
      </c>
      <c r="G13247">
        <v>13</v>
      </c>
      <c r="H13247">
        <f>_xlfn.XLOOKUP(FACT_IMPORTS[[#This Row],[hts_6]],DIM_PRODUCTS[hts_6],DIM_PRODUCTS[hts_4],,,)</f>
        <v>8507</v>
      </c>
      <c r="I13247" t="str" cm="1">
        <f t="array" ref="I13247">_xlfn.XLOOKUP(FACT_IMPORTS[[#This Row],[country_name]],DIM_COUNTRY[[#All],[Column2]],DIM_COUNTRY[[#All],[Column3]],,,)</f>
        <v>Major_Non-USMCA_Non-China</v>
      </c>
    </row>
    <row r="13248" spans="1:9" x14ac:dyDescent="0.4">
      <c r="A13248" t="s">
        <v>75</v>
      </c>
      <c r="B13248" s="1">
        <v>45323</v>
      </c>
      <c r="C13248">
        <v>850760</v>
      </c>
      <c r="D13248" t="s">
        <v>176</v>
      </c>
      <c r="E13248">
        <v>26155</v>
      </c>
      <c r="F13248">
        <v>1595</v>
      </c>
      <c r="G13248">
        <v>501</v>
      </c>
      <c r="H13248">
        <f>_xlfn.XLOOKUP(FACT_IMPORTS[[#This Row],[hts_6]],DIM_PRODUCTS[hts_6],DIM_PRODUCTS[hts_4],,,)</f>
        <v>8507</v>
      </c>
      <c r="I13248" t="str" cm="1">
        <f t="array" ref="I13248">_xlfn.XLOOKUP(FACT_IMPORTS[[#This Row],[country_name]],DIM_COUNTRY[[#All],[Column2]],DIM_COUNTRY[[#All],[Column3]],,,)</f>
        <v>Major_Non-USMCA_Non-China</v>
      </c>
    </row>
    <row r="13249" spans="1:9" x14ac:dyDescent="0.4">
      <c r="A13249" t="s">
        <v>75</v>
      </c>
      <c r="B13249" s="1">
        <v>45323</v>
      </c>
      <c r="C13249">
        <v>851120</v>
      </c>
      <c r="D13249" t="s">
        <v>176</v>
      </c>
      <c r="E13249">
        <v>0</v>
      </c>
      <c r="F13249">
        <v>0</v>
      </c>
      <c r="G13249">
        <v>0</v>
      </c>
      <c r="H13249">
        <f>_xlfn.XLOOKUP(FACT_IMPORTS[[#This Row],[hts_6]],DIM_PRODUCTS[hts_6],DIM_PRODUCTS[hts_4],,,)</f>
        <v>8511</v>
      </c>
      <c r="I13249" t="str" cm="1">
        <f t="array" ref="I13249">_xlfn.XLOOKUP(FACT_IMPORTS[[#This Row],[country_name]],DIM_COUNTRY[[#All],[Column2]],DIM_COUNTRY[[#All],[Column3]],,,)</f>
        <v>Major_Non-USMCA_Non-China</v>
      </c>
    </row>
    <row r="13250" spans="1:9" x14ac:dyDescent="0.4">
      <c r="A13250" t="s">
        <v>75</v>
      </c>
      <c r="B13250" s="1">
        <v>45323</v>
      </c>
      <c r="C13250">
        <v>851130</v>
      </c>
      <c r="D13250" t="s">
        <v>176</v>
      </c>
      <c r="E13250">
        <v>0</v>
      </c>
      <c r="F13250">
        <v>0</v>
      </c>
      <c r="G13250">
        <v>0</v>
      </c>
      <c r="H13250">
        <f>_xlfn.XLOOKUP(FACT_IMPORTS[[#This Row],[hts_6]],DIM_PRODUCTS[hts_6],DIM_PRODUCTS[hts_4],,,)</f>
        <v>8511</v>
      </c>
      <c r="I13250" t="str" cm="1">
        <f t="array" ref="I13250">_xlfn.XLOOKUP(FACT_IMPORTS[[#This Row],[country_name]],DIM_COUNTRY[[#All],[Column2]],DIM_COUNTRY[[#All],[Column3]],,,)</f>
        <v>Major_Non-USMCA_Non-China</v>
      </c>
    </row>
    <row r="13251" spans="1:9" x14ac:dyDescent="0.4">
      <c r="A13251" t="s">
        <v>75</v>
      </c>
      <c r="B13251" s="1">
        <v>45323</v>
      </c>
      <c r="C13251">
        <v>851140</v>
      </c>
      <c r="D13251" t="s">
        <v>176</v>
      </c>
      <c r="E13251">
        <v>0</v>
      </c>
      <c r="F13251">
        <v>0</v>
      </c>
      <c r="G13251">
        <v>0</v>
      </c>
      <c r="H13251">
        <f>_xlfn.XLOOKUP(FACT_IMPORTS[[#This Row],[hts_6]],DIM_PRODUCTS[hts_6],DIM_PRODUCTS[hts_4],,,)</f>
        <v>8511</v>
      </c>
      <c r="I13251" t="str" cm="1">
        <f t="array" ref="I13251">_xlfn.XLOOKUP(FACT_IMPORTS[[#This Row],[country_name]],DIM_COUNTRY[[#All],[Column2]],DIM_COUNTRY[[#All],[Column3]],,,)</f>
        <v>Major_Non-USMCA_Non-China</v>
      </c>
    </row>
    <row r="13252" spans="1:9" x14ac:dyDescent="0.4">
      <c r="A13252" t="s">
        <v>75</v>
      </c>
      <c r="B13252" s="1">
        <v>45323</v>
      </c>
      <c r="C13252">
        <v>851150</v>
      </c>
      <c r="D13252" t="s">
        <v>176</v>
      </c>
      <c r="E13252">
        <v>0</v>
      </c>
      <c r="F13252">
        <v>0</v>
      </c>
      <c r="G13252">
        <v>0</v>
      </c>
      <c r="H13252">
        <f>_xlfn.XLOOKUP(FACT_IMPORTS[[#This Row],[hts_6]],DIM_PRODUCTS[hts_6],DIM_PRODUCTS[hts_4],,,)</f>
        <v>8511</v>
      </c>
      <c r="I13252" t="str" cm="1">
        <f t="array" ref="I13252">_xlfn.XLOOKUP(FACT_IMPORTS[[#This Row],[country_name]],DIM_COUNTRY[[#All],[Column2]],DIM_COUNTRY[[#All],[Column3]],,,)</f>
        <v>Major_Non-USMCA_Non-China</v>
      </c>
    </row>
    <row r="13253" spans="1:9" x14ac:dyDescent="0.4">
      <c r="A13253" t="s">
        <v>75</v>
      </c>
      <c r="B13253" s="1">
        <v>45323</v>
      </c>
      <c r="C13253">
        <v>851180</v>
      </c>
      <c r="D13253" t="s">
        <v>176</v>
      </c>
      <c r="E13253">
        <v>0</v>
      </c>
      <c r="F13253">
        <v>0</v>
      </c>
      <c r="G13253">
        <v>0</v>
      </c>
      <c r="H13253">
        <f>_xlfn.XLOOKUP(FACT_IMPORTS[[#This Row],[hts_6]],DIM_PRODUCTS[hts_6],DIM_PRODUCTS[hts_4],,,)</f>
        <v>8511</v>
      </c>
      <c r="I13253" t="str" cm="1">
        <f t="array" ref="I13253">_xlfn.XLOOKUP(FACT_IMPORTS[[#This Row],[country_name]],DIM_COUNTRY[[#All],[Column2]],DIM_COUNTRY[[#All],[Column3]],,,)</f>
        <v>Major_Non-USMCA_Non-China</v>
      </c>
    </row>
    <row r="13254" spans="1:9" x14ac:dyDescent="0.4">
      <c r="A13254" t="s">
        <v>75</v>
      </c>
      <c r="B13254" s="1">
        <v>45323</v>
      </c>
      <c r="C13254">
        <v>851190</v>
      </c>
      <c r="D13254" t="s">
        <v>176</v>
      </c>
      <c r="E13254">
        <v>26255</v>
      </c>
      <c r="F13254">
        <v>507</v>
      </c>
      <c r="G13254">
        <v>359</v>
      </c>
      <c r="H13254">
        <f>_xlfn.XLOOKUP(FACT_IMPORTS[[#This Row],[hts_6]],DIM_PRODUCTS[hts_6],DIM_PRODUCTS[hts_4],,,)</f>
        <v>8511</v>
      </c>
      <c r="I13254" t="str" cm="1">
        <f t="array" ref="I13254">_xlfn.XLOOKUP(FACT_IMPORTS[[#This Row],[country_name]],DIM_COUNTRY[[#All],[Column2]],DIM_COUNTRY[[#All],[Column3]],,,)</f>
        <v>Major_Non-USMCA_Non-China</v>
      </c>
    </row>
    <row r="13255" spans="1:9" x14ac:dyDescent="0.4">
      <c r="A13255" t="s">
        <v>75</v>
      </c>
      <c r="B13255" s="1">
        <v>45323</v>
      </c>
      <c r="C13255">
        <v>851220</v>
      </c>
      <c r="D13255" t="s">
        <v>176</v>
      </c>
      <c r="E13255">
        <v>2095424</v>
      </c>
      <c r="F13255">
        <v>259138</v>
      </c>
      <c r="G13255">
        <v>35538</v>
      </c>
      <c r="H13255">
        <f>_xlfn.XLOOKUP(FACT_IMPORTS[[#This Row],[hts_6]],DIM_PRODUCTS[hts_6],DIM_PRODUCTS[hts_4],,,)</f>
        <v>8512</v>
      </c>
      <c r="I13255" t="str" cm="1">
        <f t="array" ref="I13255">_xlfn.XLOOKUP(FACT_IMPORTS[[#This Row],[country_name]],DIM_COUNTRY[[#All],[Column2]],DIM_COUNTRY[[#All],[Column3]],,,)</f>
        <v>Major_Non-USMCA_Non-China</v>
      </c>
    </row>
    <row r="13256" spans="1:9" x14ac:dyDescent="0.4">
      <c r="A13256" t="s">
        <v>75</v>
      </c>
      <c r="B13256" s="1">
        <v>45323</v>
      </c>
      <c r="C13256">
        <v>851230</v>
      </c>
      <c r="D13256" t="s">
        <v>176</v>
      </c>
      <c r="E13256">
        <v>4023</v>
      </c>
      <c r="F13256">
        <v>200</v>
      </c>
      <c r="G13256">
        <v>444</v>
      </c>
      <c r="H13256">
        <f>_xlfn.XLOOKUP(FACT_IMPORTS[[#This Row],[hts_6]],DIM_PRODUCTS[hts_6],DIM_PRODUCTS[hts_4],,,)</f>
        <v>8512</v>
      </c>
      <c r="I13256" t="str" cm="1">
        <f t="array" ref="I13256">_xlfn.XLOOKUP(FACT_IMPORTS[[#This Row],[country_name]],DIM_COUNTRY[[#All],[Column2]],DIM_COUNTRY[[#All],[Column3]],,,)</f>
        <v>Major_Non-USMCA_Non-China</v>
      </c>
    </row>
    <row r="13257" spans="1:9" x14ac:dyDescent="0.4">
      <c r="A13257" t="s">
        <v>75</v>
      </c>
      <c r="B13257" s="1">
        <v>45323</v>
      </c>
      <c r="C13257">
        <v>851290</v>
      </c>
      <c r="D13257" t="s">
        <v>176</v>
      </c>
      <c r="E13257">
        <v>4492415</v>
      </c>
      <c r="F13257">
        <v>89762</v>
      </c>
      <c r="G13257">
        <v>33752</v>
      </c>
      <c r="H13257">
        <f>_xlfn.XLOOKUP(FACT_IMPORTS[[#This Row],[hts_6]],DIM_PRODUCTS[hts_6],DIM_PRODUCTS[hts_4],,,)</f>
        <v>8512</v>
      </c>
      <c r="I13257" t="str" cm="1">
        <f t="array" ref="I13257">_xlfn.XLOOKUP(FACT_IMPORTS[[#This Row],[country_name]],DIM_COUNTRY[[#All],[Column2]],DIM_COUNTRY[[#All],[Column3]],,,)</f>
        <v>Major_Non-USMCA_Non-China</v>
      </c>
    </row>
    <row r="13258" spans="1:9" x14ac:dyDescent="0.4">
      <c r="A13258" t="s">
        <v>75</v>
      </c>
      <c r="B13258" s="1">
        <v>45323</v>
      </c>
      <c r="C13258">
        <v>854231</v>
      </c>
      <c r="D13258" t="s">
        <v>176</v>
      </c>
      <c r="E13258">
        <v>491385</v>
      </c>
      <c r="F13258">
        <v>9077</v>
      </c>
      <c r="G13258">
        <v>3088</v>
      </c>
      <c r="H13258">
        <f>_xlfn.XLOOKUP(FACT_IMPORTS[[#This Row],[hts_6]],DIM_PRODUCTS[hts_6],DIM_PRODUCTS[hts_4],,,)</f>
        <v>8542</v>
      </c>
      <c r="I13258" t="str" cm="1">
        <f t="array" ref="I13258">_xlfn.XLOOKUP(FACT_IMPORTS[[#This Row],[country_name]],DIM_COUNTRY[[#All],[Column2]],DIM_COUNTRY[[#All],[Column3]],,,)</f>
        <v>Major_Non-USMCA_Non-China</v>
      </c>
    </row>
    <row r="13259" spans="1:9" x14ac:dyDescent="0.4">
      <c r="A13259" t="s">
        <v>75</v>
      </c>
      <c r="B13259" s="1">
        <v>45323</v>
      </c>
      <c r="C13259">
        <v>854232</v>
      </c>
      <c r="D13259" t="s">
        <v>176</v>
      </c>
      <c r="E13259">
        <v>7209</v>
      </c>
      <c r="F13259">
        <v>1130</v>
      </c>
      <c r="G13259">
        <v>20</v>
      </c>
      <c r="H13259">
        <f>_xlfn.XLOOKUP(FACT_IMPORTS[[#This Row],[hts_6]],DIM_PRODUCTS[hts_6],DIM_PRODUCTS[hts_4],,,)</f>
        <v>8542</v>
      </c>
      <c r="I13259" t="str" cm="1">
        <f t="array" ref="I13259">_xlfn.XLOOKUP(FACT_IMPORTS[[#This Row],[country_name]],DIM_COUNTRY[[#All],[Column2]],DIM_COUNTRY[[#All],[Column3]],,,)</f>
        <v>Major_Non-USMCA_Non-China</v>
      </c>
    </row>
    <row r="13260" spans="1:9" x14ac:dyDescent="0.4">
      <c r="A13260" t="s">
        <v>75</v>
      </c>
      <c r="B13260" s="1">
        <v>45323</v>
      </c>
      <c r="C13260">
        <v>854233</v>
      </c>
      <c r="D13260" t="s">
        <v>176</v>
      </c>
      <c r="E13260">
        <v>0</v>
      </c>
      <c r="F13260">
        <v>0</v>
      </c>
      <c r="G13260">
        <v>0</v>
      </c>
      <c r="H13260">
        <f>_xlfn.XLOOKUP(FACT_IMPORTS[[#This Row],[hts_6]],DIM_PRODUCTS[hts_6],DIM_PRODUCTS[hts_4],,,)</f>
        <v>8542</v>
      </c>
      <c r="I13260" t="str" cm="1">
        <f t="array" ref="I13260">_xlfn.XLOOKUP(FACT_IMPORTS[[#This Row],[country_name]],DIM_COUNTRY[[#All],[Column2]],DIM_COUNTRY[[#All],[Column3]],,,)</f>
        <v>Major_Non-USMCA_Non-China</v>
      </c>
    </row>
    <row r="13261" spans="1:9" x14ac:dyDescent="0.4">
      <c r="A13261" t="s">
        <v>75</v>
      </c>
      <c r="B13261" s="1">
        <v>45323</v>
      </c>
      <c r="C13261">
        <v>854239</v>
      </c>
      <c r="D13261" t="s">
        <v>176</v>
      </c>
      <c r="E13261">
        <v>2624452</v>
      </c>
      <c r="F13261">
        <v>264929</v>
      </c>
      <c r="G13261">
        <v>196692</v>
      </c>
      <c r="H13261">
        <f>_xlfn.XLOOKUP(FACT_IMPORTS[[#This Row],[hts_6]],DIM_PRODUCTS[hts_6],DIM_PRODUCTS[hts_4],,,)</f>
        <v>8542</v>
      </c>
      <c r="I13261" t="str" cm="1">
        <f t="array" ref="I13261">_xlfn.XLOOKUP(FACT_IMPORTS[[#This Row],[country_name]],DIM_COUNTRY[[#All],[Column2]],DIM_COUNTRY[[#All],[Column3]],,,)</f>
        <v>Major_Non-USMCA_Non-China</v>
      </c>
    </row>
    <row r="13262" spans="1:9" x14ac:dyDescent="0.4">
      <c r="A13262" t="s">
        <v>75</v>
      </c>
      <c r="B13262" s="1">
        <v>45323</v>
      </c>
      <c r="C13262">
        <v>854290</v>
      </c>
      <c r="D13262" t="s">
        <v>176</v>
      </c>
      <c r="E13262">
        <v>36900</v>
      </c>
      <c r="F13262">
        <v>600</v>
      </c>
      <c r="G13262">
        <v>1258</v>
      </c>
      <c r="H13262">
        <f>_xlfn.XLOOKUP(FACT_IMPORTS[[#This Row],[hts_6]],DIM_PRODUCTS[hts_6],DIM_PRODUCTS[hts_4],,,)</f>
        <v>8542</v>
      </c>
      <c r="I13262" t="str" cm="1">
        <f t="array" ref="I13262">_xlfn.XLOOKUP(FACT_IMPORTS[[#This Row],[country_name]],DIM_COUNTRY[[#All],[Column2]],DIM_COUNTRY[[#All],[Column3]],,,)</f>
        <v>Major_Non-USMCA_Non-China</v>
      </c>
    </row>
    <row r="13263" spans="1:9" x14ac:dyDescent="0.4">
      <c r="A13263" t="s">
        <v>75</v>
      </c>
      <c r="B13263" s="1">
        <v>45323</v>
      </c>
      <c r="C13263">
        <v>854430</v>
      </c>
      <c r="D13263" t="s">
        <v>176</v>
      </c>
      <c r="E13263">
        <v>11456</v>
      </c>
      <c r="F13263">
        <v>401</v>
      </c>
      <c r="G13263">
        <v>8</v>
      </c>
      <c r="H13263">
        <f>_xlfn.XLOOKUP(FACT_IMPORTS[[#This Row],[hts_6]],DIM_PRODUCTS[hts_6],DIM_PRODUCTS[hts_4],,,)</f>
        <v>8544</v>
      </c>
      <c r="I13263" t="str" cm="1">
        <f t="array" ref="I13263">_xlfn.XLOOKUP(FACT_IMPORTS[[#This Row],[country_name]],DIM_COUNTRY[[#All],[Column2]],DIM_COUNTRY[[#All],[Column3]],,,)</f>
        <v>Major_Non-USMCA_Non-China</v>
      </c>
    </row>
    <row r="13264" spans="1:9" x14ac:dyDescent="0.4">
      <c r="A13264" t="s">
        <v>75</v>
      </c>
      <c r="B13264" s="1">
        <v>45323</v>
      </c>
      <c r="C13264">
        <v>870810</v>
      </c>
      <c r="D13264" t="s">
        <v>176</v>
      </c>
      <c r="E13264">
        <v>391796</v>
      </c>
      <c r="F13264">
        <v>8408</v>
      </c>
      <c r="G13264">
        <v>45818</v>
      </c>
      <c r="H13264">
        <f>_xlfn.XLOOKUP(FACT_IMPORTS[[#This Row],[hts_6]],DIM_PRODUCTS[hts_6],DIM_PRODUCTS[hts_4],,,)</f>
        <v>8708</v>
      </c>
      <c r="I13264" t="str" cm="1">
        <f t="array" ref="I13264">_xlfn.XLOOKUP(FACT_IMPORTS[[#This Row],[country_name]],DIM_COUNTRY[[#All],[Column2]],DIM_COUNTRY[[#All],[Column3]],,,)</f>
        <v>Major_Non-USMCA_Non-China</v>
      </c>
    </row>
    <row r="13265" spans="1:9" x14ac:dyDescent="0.4">
      <c r="A13265" t="s">
        <v>75</v>
      </c>
      <c r="B13265" s="1">
        <v>45323</v>
      </c>
      <c r="C13265">
        <v>870829</v>
      </c>
      <c r="D13265" t="s">
        <v>176</v>
      </c>
      <c r="E13265">
        <v>518251</v>
      </c>
      <c r="F13265">
        <v>36985</v>
      </c>
      <c r="G13265">
        <v>37609</v>
      </c>
      <c r="H13265">
        <f>_xlfn.XLOOKUP(FACT_IMPORTS[[#This Row],[hts_6]],DIM_PRODUCTS[hts_6],DIM_PRODUCTS[hts_4],,,)</f>
        <v>8708</v>
      </c>
      <c r="I13265" t="str" cm="1">
        <f t="array" ref="I13265">_xlfn.XLOOKUP(FACT_IMPORTS[[#This Row],[country_name]],DIM_COUNTRY[[#All],[Column2]],DIM_COUNTRY[[#All],[Column3]],,,)</f>
        <v>Major_Non-USMCA_Non-China</v>
      </c>
    </row>
    <row r="13266" spans="1:9" x14ac:dyDescent="0.4">
      <c r="A13266" t="s">
        <v>75</v>
      </c>
      <c r="B13266" s="1">
        <v>45323</v>
      </c>
      <c r="C13266">
        <v>870830</v>
      </c>
      <c r="D13266" t="s">
        <v>176</v>
      </c>
      <c r="E13266">
        <v>0</v>
      </c>
      <c r="F13266">
        <v>0</v>
      </c>
      <c r="G13266">
        <v>0</v>
      </c>
      <c r="H13266">
        <f>_xlfn.XLOOKUP(FACT_IMPORTS[[#This Row],[hts_6]],DIM_PRODUCTS[hts_6],DIM_PRODUCTS[hts_4],,,)</f>
        <v>8708</v>
      </c>
      <c r="I13266" t="str" cm="1">
        <f t="array" ref="I13266">_xlfn.XLOOKUP(FACT_IMPORTS[[#This Row],[country_name]],DIM_COUNTRY[[#All],[Column2]],DIM_COUNTRY[[#All],[Column3]],,,)</f>
        <v>Major_Non-USMCA_Non-China</v>
      </c>
    </row>
    <row r="13267" spans="1:9" x14ac:dyDescent="0.4">
      <c r="A13267" t="s">
        <v>75</v>
      </c>
      <c r="B13267" s="1">
        <v>45323</v>
      </c>
      <c r="C13267">
        <v>870840</v>
      </c>
      <c r="D13267" t="s">
        <v>176</v>
      </c>
      <c r="E13267">
        <v>591897</v>
      </c>
      <c r="F13267">
        <v>56163</v>
      </c>
      <c r="G13267">
        <v>11382</v>
      </c>
      <c r="H13267">
        <f>_xlfn.XLOOKUP(FACT_IMPORTS[[#This Row],[hts_6]],DIM_PRODUCTS[hts_6],DIM_PRODUCTS[hts_4],,,)</f>
        <v>8708</v>
      </c>
      <c r="I13267" t="str" cm="1">
        <f t="array" ref="I13267">_xlfn.XLOOKUP(FACT_IMPORTS[[#This Row],[country_name]],DIM_COUNTRY[[#All],[Column2]],DIM_COUNTRY[[#All],[Column3]],,,)</f>
        <v>Major_Non-USMCA_Non-China</v>
      </c>
    </row>
    <row r="13268" spans="1:9" x14ac:dyDescent="0.4">
      <c r="A13268" t="s">
        <v>75</v>
      </c>
      <c r="B13268" s="1">
        <v>45323</v>
      </c>
      <c r="C13268">
        <v>870850</v>
      </c>
      <c r="D13268" t="s">
        <v>176</v>
      </c>
      <c r="E13268">
        <v>268641</v>
      </c>
      <c r="F13268">
        <v>1620</v>
      </c>
      <c r="G13268">
        <v>3185</v>
      </c>
      <c r="H13268">
        <f>_xlfn.XLOOKUP(FACT_IMPORTS[[#This Row],[hts_6]],DIM_PRODUCTS[hts_6],DIM_PRODUCTS[hts_4],,,)</f>
        <v>8708</v>
      </c>
      <c r="I13268" t="str" cm="1">
        <f t="array" ref="I13268">_xlfn.XLOOKUP(FACT_IMPORTS[[#This Row],[country_name]],DIM_COUNTRY[[#All],[Column2]],DIM_COUNTRY[[#All],[Column3]],,,)</f>
        <v>Major_Non-USMCA_Non-China</v>
      </c>
    </row>
    <row r="13269" spans="1:9" x14ac:dyDescent="0.4">
      <c r="A13269" t="s">
        <v>75</v>
      </c>
      <c r="B13269" s="1">
        <v>45323</v>
      </c>
      <c r="C13269">
        <v>870870</v>
      </c>
      <c r="D13269" t="s">
        <v>176</v>
      </c>
      <c r="E13269">
        <v>1381555</v>
      </c>
      <c r="F13269">
        <v>6097</v>
      </c>
      <c r="G13269">
        <v>270123</v>
      </c>
      <c r="H13269">
        <f>_xlfn.XLOOKUP(FACT_IMPORTS[[#This Row],[hts_6]],DIM_PRODUCTS[hts_6],DIM_PRODUCTS[hts_4],,,)</f>
        <v>8708</v>
      </c>
      <c r="I13269" t="str" cm="1">
        <f t="array" ref="I13269">_xlfn.XLOOKUP(FACT_IMPORTS[[#This Row],[country_name]],DIM_COUNTRY[[#All],[Column2]],DIM_COUNTRY[[#All],[Column3]],,,)</f>
        <v>Major_Non-USMCA_Non-China</v>
      </c>
    </row>
    <row r="13270" spans="1:9" x14ac:dyDescent="0.4">
      <c r="A13270" t="s">
        <v>75</v>
      </c>
      <c r="B13270" s="1">
        <v>45323</v>
      </c>
      <c r="C13270">
        <v>870880</v>
      </c>
      <c r="D13270" t="s">
        <v>176</v>
      </c>
      <c r="E13270">
        <v>645428</v>
      </c>
      <c r="F13270">
        <v>46079</v>
      </c>
      <c r="G13270">
        <v>29222</v>
      </c>
      <c r="H13270">
        <f>_xlfn.XLOOKUP(FACT_IMPORTS[[#This Row],[hts_6]],DIM_PRODUCTS[hts_6],DIM_PRODUCTS[hts_4],,,)</f>
        <v>8708</v>
      </c>
      <c r="I13270" t="str" cm="1">
        <f t="array" ref="I13270">_xlfn.XLOOKUP(FACT_IMPORTS[[#This Row],[country_name]],DIM_COUNTRY[[#All],[Column2]],DIM_COUNTRY[[#All],[Column3]],,,)</f>
        <v>Major_Non-USMCA_Non-China</v>
      </c>
    </row>
    <row r="13271" spans="1:9" x14ac:dyDescent="0.4">
      <c r="A13271" t="s">
        <v>75</v>
      </c>
      <c r="B13271" s="1">
        <v>45323</v>
      </c>
      <c r="C13271">
        <v>870891</v>
      </c>
      <c r="D13271" t="s">
        <v>176</v>
      </c>
      <c r="E13271">
        <v>18567</v>
      </c>
      <c r="F13271">
        <v>21435</v>
      </c>
      <c r="G13271">
        <v>1425</v>
      </c>
      <c r="H13271">
        <f>_xlfn.XLOOKUP(FACT_IMPORTS[[#This Row],[hts_6]],DIM_PRODUCTS[hts_6],DIM_PRODUCTS[hts_4],,,)</f>
        <v>8708</v>
      </c>
      <c r="I13271" t="str" cm="1">
        <f t="array" ref="I13271">_xlfn.XLOOKUP(FACT_IMPORTS[[#This Row],[country_name]],DIM_COUNTRY[[#All],[Column2]],DIM_COUNTRY[[#All],[Column3]],,,)</f>
        <v>Major_Non-USMCA_Non-China</v>
      </c>
    </row>
    <row r="13272" spans="1:9" x14ac:dyDescent="0.4">
      <c r="A13272" t="s">
        <v>75</v>
      </c>
      <c r="B13272" s="1">
        <v>45323</v>
      </c>
      <c r="C13272">
        <v>870892</v>
      </c>
      <c r="D13272" t="s">
        <v>176</v>
      </c>
      <c r="E13272">
        <v>0</v>
      </c>
      <c r="F13272">
        <v>0</v>
      </c>
      <c r="G13272">
        <v>0</v>
      </c>
      <c r="H13272">
        <f>_xlfn.XLOOKUP(FACT_IMPORTS[[#This Row],[hts_6]],DIM_PRODUCTS[hts_6],DIM_PRODUCTS[hts_4],,,)</f>
        <v>8708</v>
      </c>
      <c r="I13272" t="str" cm="1">
        <f t="array" ref="I13272">_xlfn.XLOOKUP(FACT_IMPORTS[[#This Row],[country_name]],DIM_COUNTRY[[#All],[Column2]],DIM_COUNTRY[[#All],[Column3]],,,)</f>
        <v>Major_Non-USMCA_Non-China</v>
      </c>
    </row>
    <row r="13273" spans="1:9" x14ac:dyDescent="0.4">
      <c r="A13273" t="s">
        <v>75</v>
      </c>
      <c r="B13273" s="1">
        <v>45323</v>
      </c>
      <c r="C13273">
        <v>870893</v>
      </c>
      <c r="D13273" t="s">
        <v>176</v>
      </c>
      <c r="E13273">
        <v>115567</v>
      </c>
      <c r="F13273">
        <v>6560</v>
      </c>
      <c r="G13273">
        <v>6139</v>
      </c>
      <c r="H13273">
        <f>_xlfn.XLOOKUP(FACT_IMPORTS[[#This Row],[hts_6]],DIM_PRODUCTS[hts_6],DIM_PRODUCTS[hts_4],,,)</f>
        <v>8708</v>
      </c>
      <c r="I13273" t="str" cm="1">
        <f t="array" ref="I13273">_xlfn.XLOOKUP(FACT_IMPORTS[[#This Row],[country_name]],DIM_COUNTRY[[#All],[Column2]],DIM_COUNTRY[[#All],[Column3]],,,)</f>
        <v>Major_Non-USMCA_Non-China</v>
      </c>
    </row>
    <row r="13274" spans="1:9" x14ac:dyDescent="0.4">
      <c r="A13274" t="s">
        <v>75</v>
      </c>
      <c r="B13274" s="1">
        <v>45323</v>
      </c>
      <c r="C13274">
        <v>870894</v>
      </c>
      <c r="D13274" t="s">
        <v>176</v>
      </c>
      <c r="E13274">
        <v>113062</v>
      </c>
      <c r="F13274">
        <v>16769</v>
      </c>
      <c r="G13274">
        <v>4863</v>
      </c>
      <c r="H13274">
        <f>_xlfn.XLOOKUP(FACT_IMPORTS[[#This Row],[hts_6]],DIM_PRODUCTS[hts_6],DIM_PRODUCTS[hts_4],,,)</f>
        <v>8708</v>
      </c>
      <c r="I13274" t="str" cm="1">
        <f t="array" ref="I13274">_xlfn.XLOOKUP(FACT_IMPORTS[[#This Row],[country_name]],DIM_COUNTRY[[#All],[Column2]],DIM_COUNTRY[[#All],[Column3]],,,)</f>
        <v>Major_Non-USMCA_Non-China</v>
      </c>
    </row>
    <row r="13275" spans="1:9" x14ac:dyDescent="0.4">
      <c r="A13275" t="s">
        <v>75</v>
      </c>
      <c r="B13275" s="1">
        <v>45323</v>
      </c>
      <c r="C13275">
        <v>870899</v>
      </c>
      <c r="D13275" t="s">
        <v>176</v>
      </c>
      <c r="E13275">
        <v>1403756</v>
      </c>
      <c r="F13275">
        <v>425071</v>
      </c>
      <c r="G13275">
        <v>76424</v>
      </c>
      <c r="H13275">
        <f>_xlfn.XLOOKUP(FACT_IMPORTS[[#This Row],[hts_6]],DIM_PRODUCTS[hts_6],DIM_PRODUCTS[hts_4],,,)</f>
        <v>8708</v>
      </c>
      <c r="I13275" t="str" cm="1">
        <f t="array" ref="I13275">_xlfn.XLOOKUP(FACT_IMPORTS[[#This Row],[country_name]],DIM_COUNTRY[[#All],[Column2]],DIM_COUNTRY[[#All],[Column3]],,,)</f>
        <v>Major_Non-USMCA_Non-China</v>
      </c>
    </row>
    <row r="13276" spans="1:9" x14ac:dyDescent="0.4">
      <c r="A13276" t="s">
        <v>75</v>
      </c>
      <c r="B13276" s="1">
        <v>45352</v>
      </c>
      <c r="C13276">
        <v>392630</v>
      </c>
      <c r="D13276" t="s">
        <v>176</v>
      </c>
      <c r="E13276">
        <v>1830</v>
      </c>
      <c r="F13276">
        <v>274</v>
      </c>
      <c r="G13276">
        <v>157</v>
      </c>
      <c r="H13276">
        <f>_xlfn.XLOOKUP(FACT_IMPORTS[[#This Row],[hts_6]],DIM_PRODUCTS[hts_6],DIM_PRODUCTS[hts_4],,,)</f>
        <v>3926</v>
      </c>
      <c r="I13276" t="str" cm="1">
        <f t="array" ref="I13276">_xlfn.XLOOKUP(FACT_IMPORTS[[#This Row],[country_name]],DIM_COUNTRY[[#All],[Column2]],DIM_COUNTRY[[#All],[Column3]],,,)</f>
        <v>Major_Non-USMCA_Non-China</v>
      </c>
    </row>
    <row r="13277" spans="1:9" x14ac:dyDescent="0.4">
      <c r="A13277" t="s">
        <v>75</v>
      </c>
      <c r="B13277" s="1">
        <v>45352</v>
      </c>
      <c r="C13277">
        <v>401110</v>
      </c>
      <c r="D13277" t="s">
        <v>176</v>
      </c>
      <c r="E13277">
        <v>0</v>
      </c>
      <c r="F13277">
        <v>0</v>
      </c>
      <c r="G13277">
        <v>0</v>
      </c>
      <c r="H13277">
        <f>_xlfn.XLOOKUP(FACT_IMPORTS[[#This Row],[hts_6]],DIM_PRODUCTS[hts_6],DIM_PRODUCTS[hts_4],,,)</f>
        <v>4011</v>
      </c>
      <c r="I13277" t="str" cm="1">
        <f t="array" ref="I13277">_xlfn.XLOOKUP(FACT_IMPORTS[[#This Row],[country_name]],DIM_COUNTRY[[#All],[Column2]],DIM_COUNTRY[[#All],[Column3]],,,)</f>
        <v>Major_Non-USMCA_Non-China</v>
      </c>
    </row>
    <row r="13278" spans="1:9" x14ac:dyDescent="0.4">
      <c r="A13278" t="s">
        <v>75</v>
      </c>
      <c r="B13278" s="1">
        <v>45352</v>
      </c>
      <c r="C13278">
        <v>401120</v>
      </c>
      <c r="D13278" t="s">
        <v>176</v>
      </c>
      <c r="E13278">
        <v>0</v>
      </c>
      <c r="F13278">
        <v>0</v>
      </c>
      <c r="G13278">
        <v>0</v>
      </c>
      <c r="H13278">
        <f>_xlfn.XLOOKUP(FACT_IMPORTS[[#This Row],[hts_6]],DIM_PRODUCTS[hts_6],DIM_PRODUCTS[hts_4],,,)</f>
        <v>4011</v>
      </c>
      <c r="I13278" t="str" cm="1">
        <f t="array" ref="I13278">_xlfn.XLOOKUP(FACT_IMPORTS[[#This Row],[country_name]],DIM_COUNTRY[[#All],[Column2]],DIM_COUNTRY[[#All],[Column3]],,,)</f>
        <v>Major_Non-USMCA_Non-China</v>
      </c>
    </row>
    <row r="13279" spans="1:9" x14ac:dyDescent="0.4">
      <c r="A13279" t="s">
        <v>75</v>
      </c>
      <c r="B13279" s="1">
        <v>45352</v>
      </c>
      <c r="C13279">
        <v>401140</v>
      </c>
      <c r="D13279" t="s">
        <v>176</v>
      </c>
      <c r="E13279">
        <v>0</v>
      </c>
      <c r="F13279">
        <v>0</v>
      </c>
      <c r="G13279">
        <v>0</v>
      </c>
      <c r="H13279">
        <f>_xlfn.XLOOKUP(FACT_IMPORTS[[#This Row],[hts_6]],DIM_PRODUCTS[hts_6],DIM_PRODUCTS[hts_4],,,)</f>
        <v>4011</v>
      </c>
      <c r="I13279" t="str" cm="1">
        <f t="array" ref="I13279">_xlfn.XLOOKUP(FACT_IMPORTS[[#This Row],[country_name]],DIM_COUNTRY[[#All],[Column2]],DIM_COUNTRY[[#All],[Column3]],,,)</f>
        <v>Major_Non-USMCA_Non-China</v>
      </c>
    </row>
    <row r="13280" spans="1:9" x14ac:dyDescent="0.4">
      <c r="A13280" t="s">
        <v>75</v>
      </c>
      <c r="B13280" s="1">
        <v>45352</v>
      </c>
      <c r="C13280">
        <v>401190</v>
      </c>
      <c r="D13280" t="s">
        <v>176</v>
      </c>
      <c r="E13280">
        <v>7480</v>
      </c>
      <c r="F13280">
        <v>78</v>
      </c>
      <c r="G13280">
        <v>43</v>
      </c>
      <c r="H13280">
        <f>_xlfn.XLOOKUP(FACT_IMPORTS[[#This Row],[hts_6]],DIM_PRODUCTS[hts_6],DIM_PRODUCTS[hts_4],,,)</f>
        <v>4011</v>
      </c>
      <c r="I13280" t="str" cm="1">
        <f t="array" ref="I13280">_xlfn.XLOOKUP(FACT_IMPORTS[[#This Row],[country_name]],DIM_COUNTRY[[#All],[Column2]],DIM_COUNTRY[[#All],[Column3]],,,)</f>
        <v>Major_Non-USMCA_Non-China</v>
      </c>
    </row>
    <row r="13281" spans="1:9" x14ac:dyDescent="0.4">
      <c r="A13281" t="s">
        <v>75</v>
      </c>
      <c r="B13281" s="1">
        <v>45352</v>
      </c>
      <c r="C13281">
        <v>700721</v>
      </c>
      <c r="D13281" t="s">
        <v>176</v>
      </c>
      <c r="E13281">
        <v>0</v>
      </c>
      <c r="F13281">
        <v>0</v>
      </c>
      <c r="G13281">
        <v>0</v>
      </c>
      <c r="H13281">
        <f>_xlfn.XLOOKUP(FACT_IMPORTS[[#This Row],[hts_6]],DIM_PRODUCTS[hts_6],DIM_PRODUCTS[hts_4],,,)</f>
        <v>7007</v>
      </c>
      <c r="I13281" t="str" cm="1">
        <f t="array" ref="I13281">_xlfn.XLOOKUP(FACT_IMPORTS[[#This Row],[country_name]],DIM_COUNTRY[[#All],[Column2]],DIM_COUNTRY[[#All],[Column3]],,,)</f>
        <v>Major_Non-USMCA_Non-China</v>
      </c>
    </row>
    <row r="13282" spans="1:9" x14ac:dyDescent="0.4">
      <c r="A13282" t="s">
        <v>75</v>
      </c>
      <c r="B13282" s="1">
        <v>45352</v>
      </c>
      <c r="C13282">
        <v>700910</v>
      </c>
      <c r="D13282" t="s">
        <v>176</v>
      </c>
      <c r="E13282">
        <v>77047</v>
      </c>
      <c r="F13282">
        <v>11320</v>
      </c>
      <c r="G13282">
        <v>1773</v>
      </c>
      <c r="H13282">
        <f>_xlfn.XLOOKUP(FACT_IMPORTS[[#This Row],[hts_6]],DIM_PRODUCTS[hts_6],DIM_PRODUCTS[hts_4],,,)</f>
        <v>7009</v>
      </c>
      <c r="I13282" t="str" cm="1">
        <f t="array" ref="I13282">_xlfn.XLOOKUP(FACT_IMPORTS[[#This Row],[country_name]],DIM_COUNTRY[[#All],[Column2]],DIM_COUNTRY[[#All],[Column3]],,,)</f>
        <v>Major_Non-USMCA_Non-China</v>
      </c>
    </row>
    <row r="13283" spans="1:9" x14ac:dyDescent="0.4">
      <c r="A13283" t="s">
        <v>75</v>
      </c>
      <c r="B13283" s="1">
        <v>45352</v>
      </c>
      <c r="C13283">
        <v>732010</v>
      </c>
      <c r="D13283" t="s">
        <v>176</v>
      </c>
      <c r="E13283">
        <v>0</v>
      </c>
      <c r="F13283">
        <v>0</v>
      </c>
      <c r="G13283">
        <v>0</v>
      </c>
      <c r="H13283">
        <f>_xlfn.XLOOKUP(FACT_IMPORTS[[#This Row],[hts_6]],DIM_PRODUCTS[hts_6],DIM_PRODUCTS[hts_4],,,)</f>
        <v>7320</v>
      </c>
      <c r="I13283" t="str" cm="1">
        <f t="array" ref="I13283">_xlfn.XLOOKUP(FACT_IMPORTS[[#This Row],[country_name]],DIM_COUNTRY[[#All],[Column2]],DIM_COUNTRY[[#All],[Column3]],,,)</f>
        <v>Major_Non-USMCA_Non-China</v>
      </c>
    </row>
    <row r="13284" spans="1:9" x14ac:dyDescent="0.4">
      <c r="A13284" t="s">
        <v>75</v>
      </c>
      <c r="B13284" s="1">
        <v>45352</v>
      </c>
      <c r="C13284">
        <v>830230</v>
      </c>
      <c r="D13284" t="s">
        <v>176</v>
      </c>
      <c r="E13284">
        <v>334047</v>
      </c>
      <c r="F13284">
        <v>35208</v>
      </c>
      <c r="G13284">
        <v>7396</v>
      </c>
      <c r="H13284">
        <f>_xlfn.XLOOKUP(FACT_IMPORTS[[#This Row],[hts_6]],DIM_PRODUCTS[hts_6],DIM_PRODUCTS[hts_4],,,)</f>
        <v>8302</v>
      </c>
      <c r="I13284" t="str" cm="1">
        <f t="array" ref="I13284">_xlfn.XLOOKUP(FACT_IMPORTS[[#This Row],[country_name]],DIM_COUNTRY[[#All],[Column2]],DIM_COUNTRY[[#All],[Column3]],,,)</f>
        <v>Major_Non-USMCA_Non-China</v>
      </c>
    </row>
    <row r="13285" spans="1:9" x14ac:dyDescent="0.4">
      <c r="A13285" t="s">
        <v>75</v>
      </c>
      <c r="B13285" s="1">
        <v>45352</v>
      </c>
      <c r="C13285">
        <v>840732</v>
      </c>
      <c r="D13285" t="s">
        <v>176</v>
      </c>
      <c r="E13285">
        <v>0</v>
      </c>
      <c r="F13285">
        <v>0</v>
      </c>
      <c r="G13285">
        <v>0</v>
      </c>
      <c r="H13285">
        <f>_xlfn.XLOOKUP(FACT_IMPORTS[[#This Row],[hts_6]],DIM_PRODUCTS[hts_6],DIM_PRODUCTS[hts_4],,,)</f>
        <v>8407</v>
      </c>
      <c r="I13285" t="str" cm="1">
        <f t="array" ref="I13285">_xlfn.XLOOKUP(FACT_IMPORTS[[#This Row],[country_name]],DIM_COUNTRY[[#All],[Column2]],DIM_COUNTRY[[#All],[Column3]],,,)</f>
        <v>Major_Non-USMCA_Non-China</v>
      </c>
    </row>
    <row r="13286" spans="1:9" x14ac:dyDescent="0.4">
      <c r="A13286" t="s">
        <v>75</v>
      </c>
      <c r="B13286" s="1">
        <v>45352</v>
      </c>
      <c r="C13286">
        <v>840733</v>
      </c>
      <c r="D13286" t="s">
        <v>176</v>
      </c>
      <c r="E13286">
        <v>0</v>
      </c>
      <c r="F13286">
        <v>0</v>
      </c>
      <c r="G13286">
        <v>0</v>
      </c>
      <c r="H13286">
        <f>_xlfn.XLOOKUP(FACT_IMPORTS[[#This Row],[hts_6]],DIM_PRODUCTS[hts_6],DIM_PRODUCTS[hts_4],,,)</f>
        <v>8407</v>
      </c>
      <c r="I13286" t="str" cm="1">
        <f t="array" ref="I13286">_xlfn.XLOOKUP(FACT_IMPORTS[[#This Row],[country_name]],DIM_COUNTRY[[#All],[Column2]],DIM_COUNTRY[[#All],[Column3]],,,)</f>
        <v>Major_Non-USMCA_Non-China</v>
      </c>
    </row>
    <row r="13287" spans="1:9" x14ac:dyDescent="0.4">
      <c r="A13287" t="s">
        <v>75</v>
      </c>
      <c r="B13287" s="1">
        <v>45352</v>
      </c>
      <c r="C13287">
        <v>840790</v>
      </c>
      <c r="D13287" t="s">
        <v>176</v>
      </c>
      <c r="E13287">
        <v>0</v>
      </c>
      <c r="F13287">
        <v>0</v>
      </c>
      <c r="G13287">
        <v>0</v>
      </c>
      <c r="H13287">
        <f>_xlfn.XLOOKUP(FACT_IMPORTS[[#This Row],[hts_6]],DIM_PRODUCTS[hts_6],DIM_PRODUCTS[hts_4],,,)</f>
        <v>8407</v>
      </c>
      <c r="I13287" t="str" cm="1">
        <f t="array" ref="I13287">_xlfn.XLOOKUP(FACT_IMPORTS[[#This Row],[country_name]],DIM_COUNTRY[[#All],[Column2]],DIM_COUNTRY[[#All],[Column3]],,,)</f>
        <v>Major_Non-USMCA_Non-China</v>
      </c>
    </row>
    <row r="13288" spans="1:9" x14ac:dyDescent="0.4">
      <c r="A13288" t="s">
        <v>75</v>
      </c>
      <c r="B13288" s="1">
        <v>45352</v>
      </c>
      <c r="C13288">
        <v>840890</v>
      </c>
      <c r="D13288" t="s">
        <v>176</v>
      </c>
      <c r="E13288">
        <v>250120</v>
      </c>
      <c r="F13288">
        <v>62</v>
      </c>
      <c r="G13288">
        <v>250</v>
      </c>
      <c r="H13288">
        <f>_xlfn.XLOOKUP(FACT_IMPORTS[[#This Row],[hts_6]],DIM_PRODUCTS[hts_6],DIM_PRODUCTS[hts_4],,,)</f>
        <v>8408</v>
      </c>
      <c r="I13288" t="str" cm="1">
        <f t="array" ref="I13288">_xlfn.XLOOKUP(FACT_IMPORTS[[#This Row],[country_name]],DIM_COUNTRY[[#All],[Column2]],DIM_COUNTRY[[#All],[Column3]],,,)</f>
        <v>Major_Non-USMCA_Non-China</v>
      </c>
    </row>
    <row r="13289" spans="1:9" x14ac:dyDescent="0.4">
      <c r="A13289" t="s">
        <v>75</v>
      </c>
      <c r="B13289" s="1">
        <v>45352</v>
      </c>
      <c r="C13289">
        <v>840991</v>
      </c>
      <c r="D13289" t="s">
        <v>176</v>
      </c>
      <c r="E13289">
        <v>31938</v>
      </c>
      <c r="F13289">
        <v>790</v>
      </c>
      <c r="G13289">
        <v>597</v>
      </c>
      <c r="H13289">
        <f>_xlfn.XLOOKUP(FACT_IMPORTS[[#This Row],[hts_6]],DIM_PRODUCTS[hts_6],DIM_PRODUCTS[hts_4],,,)</f>
        <v>8409</v>
      </c>
      <c r="I13289" t="str" cm="1">
        <f t="array" ref="I13289">_xlfn.XLOOKUP(FACT_IMPORTS[[#This Row],[country_name]],DIM_COUNTRY[[#All],[Column2]],DIM_COUNTRY[[#All],[Column3]],,,)</f>
        <v>Major_Non-USMCA_Non-China</v>
      </c>
    </row>
    <row r="13290" spans="1:9" x14ac:dyDescent="0.4">
      <c r="A13290" t="s">
        <v>75</v>
      </c>
      <c r="B13290" s="1">
        <v>45352</v>
      </c>
      <c r="C13290">
        <v>840999</v>
      </c>
      <c r="D13290" t="s">
        <v>176</v>
      </c>
      <c r="E13290">
        <v>0</v>
      </c>
      <c r="F13290">
        <v>0</v>
      </c>
      <c r="G13290">
        <v>0</v>
      </c>
      <c r="H13290">
        <f>_xlfn.XLOOKUP(FACT_IMPORTS[[#This Row],[hts_6]],DIM_PRODUCTS[hts_6],DIM_PRODUCTS[hts_4],,,)</f>
        <v>8409</v>
      </c>
      <c r="I13290" t="str" cm="1">
        <f t="array" ref="I13290">_xlfn.XLOOKUP(FACT_IMPORTS[[#This Row],[country_name]],DIM_COUNTRY[[#All],[Column2]],DIM_COUNTRY[[#All],[Column3]],,,)</f>
        <v>Major_Non-USMCA_Non-China</v>
      </c>
    </row>
    <row r="13291" spans="1:9" x14ac:dyDescent="0.4">
      <c r="A13291" t="s">
        <v>75</v>
      </c>
      <c r="B13291" s="1">
        <v>45352</v>
      </c>
      <c r="C13291">
        <v>841330</v>
      </c>
      <c r="D13291" t="s">
        <v>176</v>
      </c>
      <c r="E13291">
        <v>3647</v>
      </c>
      <c r="F13291">
        <v>1572</v>
      </c>
      <c r="G13291">
        <v>416</v>
      </c>
      <c r="H13291">
        <f>_xlfn.XLOOKUP(FACT_IMPORTS[[#This Row],[hts_6]],DIM_PRODUCTS[hts_6],DIM_PRODUCTS[hts_4],,,)</f>
        <v>8413</v>
      </c>
      <c r="I13291" t="str" cm="1">
        <f t="array" ref="I13291">_xlfn.XLOOKUP(FACT_IMPORTS[[#This Row],[country_name]],DIM_COUNTRY[[#All],[Column2]],DIM_COUNTRY[[#All],[Column3]],,,)</f>
        <v>Major_Non-USMCA_Non-China</v>
      </c>
    </row>
    <row r="13292" spans="1:9" x14ac:dyDescent="0.4">
      <c r="A13292" t="s">
        <v>75</v>
      </c>
      <c r="B13292" s="1">
        <v>45352</v>
      </c>
      <c r="C13292">
        <v>848210</v>
      </c>
      <c r="D13292" t="s">
        <v>176</v>
      </c>
      <c r="E13292">
        <v>109883</v>
      </c>
      <c r="F13292">
        <v>220052</v>
      </c>
      <c r="G13292">
        <v>7975</v>
      </c>
      <c r="H13292">
        <f>_xlfn.XLOOKUP(FACT_IMPORTS[[#This Row],[hts_6]],DIM_PRODUCTS[hts_6],DIM_PRODUCTS[hts_4],,,)</f>
        <v>8482</v>
      </c>
      <c r="I13292" t="str" cm="1">
        <f t="array" ref="I13292">_xlfn.XLOOKUP(FACT_IMPORTS[[#This Row],[country_name]],DIM_COUNTRY[[#All],[Column2]],DIM_COUNTRY[[#All],[Column3]],,,)</f>
        <v>Major_Non-USMCA_Non-China</v>
      </c>
    </row>
    <row r="13293" spans="1:9" x14ac:dyDescent="0.4">
      <c r="A13293" t="s">
        <v>75</v>
      </c>
      <c r="B13293" s="1">
        <v>45352</v>
      </c>
      <c r="C13293">
        <v>848310</v>
      </c>
      <c r="D13293" t="s">
        <v>176</v>
      </c>
      <c r="E13293">
        <v>0</v>
      </c>
      <c r="F13293">
        <v>0</v>
      </c>
      <c r="G13293">
        <v>0</v>
      </c>
      <c r="H13293">
        <f>_xlfn.XLOOKUP(FACT_IMPORTS[[#This Row],[hts_6]],DIM_PRODUCTS[hts_6],DIM_PRODUCTS[hts_4],,,)</f>
        <v>8483</v>
      </c>
      <c r="I13293" t="str" cm="1">
        <f t="array" ref="I13293">_xlfn.XLOOKUP(FACT_IMPORTS[[#This Row],[country_name]],DIM_COUNTRY[[#All],[Column2]],DIM_COUNTRY[[#All],[Column3]],,,)</f>
        <v>Major_Non-USMCA_Non-China</v>
      </c>
    </row>
    <row r="13294" spans="1:9" x14ac:dyDescent="0.4">
      <c r="A13294" t="s">
        <v>75</v>
      </c>
      <c r="B13294" s="1">
        <v>45352</v>
      </c>
      <c r="C13294">
        <v>850131</v>
      </c>
      <c r="D13294" t="s">
        <v>176</v>
      </c>
      <c r="E13294">
        <v>0</v>
      </c>
      <c r="F13294">
        <v>0</v>
      </c>
      <c r="G13294">
        <v>0</v>
      </c>
      <c r="H13294">
        <f>_xlfn.XLOOKUP(FACT_IMPORTS[[#This Row],[hts_6]],DIM_PRODUCTS[hts_6],DIM_PRODUCTS[hts_4],,,)</f>
        <v>8501</v>
      </c>
      <c r="I13294" t="str" cm="1">
        <f t="array" ref="I13294">_xlfn.XLOOKUP(FACT_IMPORTS[[#This Row],[country_name]],DIM_COUNTRY[[#All],[Column2]],DIM_COUNTRY[[#All],[Column3]],,,)</f>
        <v>Major_Non-USMCA_Non-China</v>
      </c>
    </row>
    <row r="13295" spans="1:9" x14ac:dyDescent="0.4">
      <c r="A13295" t="s">
        <v>75</v>
      </c>
      <c r="B13295" s="1">
        <v>45352</v>
      </c>
      <c r="C13295">
        <v>850132</v>
      </c>
      <c r="D13295" t="s">
        <v>176</v>
      </c>
      <c r="E13295">
        <v>0</v>
      </c>
      <c r="F13295">
        <v>0</v>
      </c>
      <c r="G13295">
        <v>0</v>
      </c>
      <c r="H13295">
        <f>_xlfn.XLOOKUP(FACT_IMPORTS[[#This Row],[hts_6]],DIM_PRODUCTS[hts_6],DIM_PRODUCTS[hts_4],,,)</f>
        <v>8501</v>
      </c>
      <c r="I13295" t="str" cm="1">
        <f t="array" ref="I13295">_xlfn.XLOOKUP(FACT_IMPORTS[[#This Row],[country_name]],DIM_COUNTRY[[#All],[Column2]],DIM_COUNTRY[[#All],[Column3]],,,)</f>
        <v>Major_Non-USMCA_Non-China</v>
      </c>
    </row>
    <row r="13296" spans="1:9" x14ac:dyDescent="0.4">
      <c r="A13296" t="s">
        <v>75</v>
      </c>
      <c r="B13296" s="1">
        <v>45352</v>
      </c>
      <c r="C13296">
        <v>850152</v>
      </c>
      <c r="D13296" t="s">
        <v>176</v>
      </c>
      <c r="E13296">
        <v>0</v>
      </c>
      <c r="F13296">
        <v>0</v>
      </c>
      <c r="G13296">
        <v>0</v>
      </c>
      <c r="H13296">
        <f>_xlfn.XLOOKUP(FACT_IMPORTS[[#This Row],[hts_6]],DIM_PRODUCTS[hts_6],DIM_PRODUCTS[hts_4],,,)</f>
        <v>8501</v>
      </c>
      <c r="I13296" t="str" cm="1">
        <f t="array" ref="I13296">_xlfn.XLOOKUP(FACT_IMPORTS[[#This Row],[country_name]],DIM_COUNTRY[[#All],[Column2]],DIM_COUNTRY[[#All],[Column3]],,,)</f>
        <v>Major_Non-USMCA_Non-China</v>
      </c>
    </row>
    <row r="13297" spans="1:9" x14ac:dyDescent="0.4">
      <c r="A13297" t="s">
        <v>75</v>
      </c>
      <c r="B13297" s="1">
        <v>45352</v>
      </c>
      <c r="C13297">
        <v>850153</v>
      </c>
      <c r="D13297" t="s">
        <v>176</v>
      </c>
      <c r="E13297">
        <v>0</v>
      </c>
      <c r="F13297">
        <v>0</v>
      </c>
      <c r="G13297">
        <v>0</v>
      </c>
      <c r="H13297">
        <f>_xlfn.XLOOKUP(FACT_IMPORTS[[#This Row],[hts_6]],DIM_PRODUCTS[hts_6],DIM_PRODUCTS[hts_4],,,)</f>
        <v>8501</v>
      </c>
      <c r="I13297" t="str" cm="1">
        <f t="array" ref="I13297">_xlfn.XLOOKUP(FACT_IMPORTS[[#This Row],[country_name]],DIM_COUNTRY[[#All],[Column2]],DIM_COUNTRY[[#All],[Column3]],,,)</f>
        <v>Major_Non-USMCA_Non-China</v>
      </c>
    </row>
    <row r="13298" spans="1:9" x14ac:dyDescent="0.4">
      <c r="A13298" t="s">
        <v>75</v>
      </c>
      <c r="B13298" s="1">
        <v>45352</v>
      </c>
      <c r="C13298">
        <v>850161</v>
      </c>
      <c r="D13298" t="s">
        <v>176</v>
      </c>
      <c r="E13298">
        <v>0</v>
      </c>
      <c r="F13298">
        <v>0</v>
      </c>
      <c r="G13298">
        <v>0</v>
      </c>
      <c r="H13298">
        <f>_xlfn.XLOOKUP(FACT_IMPORTS[[#This Row],[hts_6]],DIM_PRODUCTS[hts_6],DIM_PRODUCTS[hts_4],,,)</f>
        <v>8501</v>
      </c>
      <c r="I13298" t="str" cm="1">
        <f t="array" ref="I13298">_xlfn.XLOOKUP(FACT_IMPORTS[[#This Row],[country_name]],DIM_COUNTRY[[#All],[Column2]],DIM_COUNTRY[[#All],[Column3]],,,)</f>
        <v>Major_Non-USMCA_Non-China</v>
      </c>
    </row>
    <row r="13299" spans="1:9" x14ac:dyDescent="0.4">
      <c r="A13299" t="s">
        <v>75</v>
      </c>
      <c r="B13299" s="1">
        <v>45352</v>
      </c>
      <c r="C13299">
        <v>850440</v>
      </c>
      <c r="D13299" t="s">
        <v>176</v>
      </c>
      <c r="E13299">
        <v>436444</v>
      </c>
      <c r="F13299">
        <v>4116</v>
      </c>
      <c r="G13299">
        <v>2155</v>
      </c>
      <c r="H13299">
        <f>_xlfn.XLOOKUP(FACT_IMPORTS[[#This Row],[hts_6]],DIM_PRODUCTS[hts_6],DIM_PRODUCTS[hts_4],,,)</f>
        <v>8504</v>
      </c>
      <c r="I13299" t="str" cm="1">
        <f t="array" ref="I13299">_xlfn.XLOOKUP(FACT_IMPORTS[[#This Row],[country_name]],DIM_COUNTRY[[#All],[Column2]],DIM_COUNTRY[[#All],[Column3]],,,)</f>
        <v>Major_Non-USMCA_Non-China</v>
      </c>
    </row>
    <row r="13300" spans="1:9" x14ac:dyDescent="0.4">
      <c r="A13300" t="s">
        <v>75</v>
      </c>
      <c r="B13300" s="1">
        <v>45352</v>
      </c>
      <c r="C13300">
        <v>850710</v>
      </c>
      <c r="D13300" t="s">
        <v>176</v>
      </c>
      <c r="E13300">
        <v>6615</v>
      </c>
      <c r="F13300">
        <v>89</v>
      </c>
      <c r="G13300">
        <v>2</v>
      </c>
      <c r="H13300">
        <f>_xlfn.XLOOKUP(FACT_IMPORTS[[#This Row],[hts_6]],DIM_PRODUCTS[hts_6],DIM_PRODUCTS[hts_4],,,)</f>
        <v>8507</v>
      </c>
      <c r="I13300" t="str" cm="1">
        <f t="array" ref="I13300">_xlfn.XLOOKUP(FACT_IMPORTS[[#This Row],[country_name]],DIM_COUNTRY[[#All],[Column2]],DIM_COUNTRY[[#All],[Column3]],,,)</f>
        <v>Major_Non-USMCA_Non-China</v>
      </c>
    </row>
    <row r="13301" spans="1:9" x14ac:dyDescent="0.4">
      <c r="A13301" t="s">
        <v>75</v>
      </c>
      <c r="B13301" s="1">
        <v>45352</v>
      </c>
      <c r="C13301">
        <v>850760</v>
      </c>
      <c r="D13301" t="s">
        <v>176</v>
      </c>
      <c r="E13301">
        <v>0</v>
      </c>
      <c r="F13301">
        <v>0</v>
      </c>
      <c r="G13301">
        <v>0</v>
      </c>
      <c r="H13301">
        <f>_xlfn.XLOOKUP(FACT_IMPORTS[[#This Row],[hts_6]],DIM_PRODUCTS[hts_6],DIM_PRODUCTS[hts_4],,,)</f>
        <v>8507</v>
      </c>
      <c r="I13301" t="str" cm="1">
        <f t="array" ref="I13301">_xlfn.XLOOKUP(FACT_IMPORTS[[#This Row],[country_name]],DIM_COUNTRY[[#All],[Column2]],DIM_COUNTRY[[#All],[Column3]],,,)</f>
        <v>Major_Non-USMCA_Non-China</v>
      </c>
    </row>
    <row r="13302" spans="1:9" x14ac:dyDescent="0.4">
      <c r="A13302" t="s">
        <v>75</v>
      </c>
      <c r="B13302" s="1">
        <v>45352</v>
      </c>
      <c r="C13302">
        <v>851120</v>
      </c>
      <c r="D13302" t="s">
        <v>176</v>
      </c>
      <c r="E13302">
        <v>0</v>
      </c>
      <c r="F13302">
        <v>0</v>
      </c>
      <c r="G13302">
        <v>0</v>
      </c>
      <c r="H13302">
        <f>_xlfn.XLOOKUP(FACT_IMPORTS[[#This Row],[hts_6]],DIM_PRODUCTS[hts_6],DIM_PRODUCTS[hts_4],,,)</f>
        <v>8511</v>
      </c>
      <c r="I13302" t="str" cm="1">
        <f t="array" ref="I13302">_xlfn.XLOOKUP(FACT_IMPORTS[[#This Row],[country_name]],DIM_COUNTRY[[#All],[Column2]],DIM_COUNTRY[[#All],[Column3]],,,)</f>
        <v>Major_Non-USMCA_Non-China</v>
      </c>
    </row>
    <row r="13303" spans="1:9" x14ac:dyDescent="0.4">
      <c r="A13303" t="s">
        <v>75</v>
      </c>
      <c r="B13303" s="1">
        <v>45352</v>
      </c>
      <c r="C13303">
        <v>851130</v>
      </c>
      <c r="D13303" t="s">
        <v>176</v>
      </c>
      <c r="E13303">
        <v>0</v>
      </c>
      <c r="F13303">
        <v>0</v>
      </c>
      <c r="G13303">
        <v>0</v>
      </c>
      <c r="H13303">
        <f>_xlfn.XLOOKUP(FACT_IMPORTS[[#This Row],[hts_6]],DIM_PRODUCTS[hts_6],DIM_PRODUCTS[hts_4],,,)</f>
        <v>8511</v>
      </c>
      <c r="I13303" t="str" cm="1">
        <f t="array" ref="I13303">_xlfn.XLOOKUP(FACT_IMPORTS[[#This Row],[country_name]],DIM_COUNTRY[[#All],[Column2]],DIM_COUNTRY[[#All],[Column3]],,,)</f>
        <v>Major_Non-USMCA_Non-China</v>
      </c>
    </row>
    <row r="13304" spans="1:9" x14ac:dyDescent="0.4">
      <c r="A13304" t="s">
        <v>75</v>
      </c>
      <c r="B13304" s="1">
        <v>45352</v>
      </c>
      <c r="C13304">
        <v>851140</v>
      </c>
      <c r="D13304" t="s">
        <v>176</v>
      </c>
      <c r="E13304">
        <v>5215</v>
      </c>
      <c r="F13304">
        <v>49</v>
      </c>
      <c r="G13304">
        <v>5</v>
      </c>
      <c r="H13304">
        <f>_xlfn.XLOOKUP(FACT_IMPORTS[[#This Row],[hts_6]],DIM_PRODUCTS[hts_6],DIM_PRODUCTS[hts_4],,,)</f>
        <v>8511</v>
      </c>
      <c r="I13304" t="str" cm="1">
        <f t="array" ref="I13304">_xlfn.XLOOKUP(FACT_IMPORTS[[#This Row],[country_name]],DIM_COUNTRY[[#All],[Column2]],DIM_COUNTRY[[#All],[Column3]],,,)</f>
        <v>Major_Non-USMCA_Non-China</v>
      </c>
    </row>
    <row r="13305" spans="1:9" x14ac:dyDescent="0.4">
      <c r="A13305" t="s">
        <v>75</v>
      </c>
      <c r="B13305" s="1">
        <v>45352</v>
      </c>
      <c r="C13305">
        <v>851150</v>
      </c>
      <c r="D13305" t="s">
        <v>176</v>
      </c>
      <c r="E13305">
        <v>6374</v>
      </c>
      <c r="F13305">
        <v>7</v>
      </c>
      <c r="G13305">
        <v>30</v>
      </c>
      <c r="H13305">
        <f>_xlfn.XLOOKUP(FACT_IMPORTS[[#This Row],[hts_6]],DIM_PRODUCTS[hts_6],DIM_PRODUCTS[hts_4],,,)</f>
        <v>8511</v>
      </c>
      <c r="I13305" t="str" cm="1">
        <f t="array" ref="I13305">_xlfn.XLOOKUP(FACT_IMPORTS[[#This Row],[country_name]],DIM_COUNTRY[[#All],[Column2]],DIM_COUNTRY[[#All],[Column3]],,,)</f>
        <v>Major_Non-USMCA_Non-China</v>
      </c>
    </row>
    <row r="13306" spans="1:9" x14ac:dyDescent="0.4">
      <c r="A13306" t="s">
        <v>75</v>
      </c>
      <c r="B13306" s="1">
        <v>45352</v>
      </c>
      <c r="C13306">
        <v>851180</v>
      </c>
      <c r="D13306" t="s">
        <v>176</v>
      </c>
      <c r="E13306">
        <v>0</v>
      </c>
      <c r="F13306">
        <v>0</v>
      </c>
      <c r="G13306">
        <v>0</v>
      </c>
      <c r="H13306">
        <f>_xlfn.XLOOKUP(FACT_IMPORTS[[#This Row],[hts_6]],DIM_PRODUCTS[hts_6],DIM_PRODUCTS[hts_4],,,)</f>
        <v>8511</v>
      </c>
      <c r="I13306" t="str" cm="1">
        <f t="array" ref="I13306">_xlfn.XLOOKUP(FACT_IMPORTS[[#This Row],[country_name]],DIM_COUNTRY[[#All],[Column2]],DIM_COUNTRY[[#All],[Column3]],,,)</f>
        <v>Major_Non-USMCA_Non-China</v>
      </c>
    </row>
    <row r="13307" spans="1:9" x14ac:dyDescent="0.4">
      <c r="A13307" t="s">
        <v>75</v>
      </c>
      <c r="B13307" s="1">
        <v>45352</v>
      </c>
      <c r="C13307">
        <v>851190</v>
      </c>
      <c r="D13307" t="s">
        <v>176</v>
      </c>
      <c r="E13307">
        <v>0</v>
      </c>
      <c r="F13307">
        <v>0</v>
      </c>
      <c r="G13307">
        <v>0</v>
      </c>
      <c r="H13307">
        <f>_xlfn.XLOOKUP(FACT_IMPORTS[[#This Row],[hts_6]],DIM_PRODUCTS[hts_6],DIM_PRODUCTS[hts_4],,,)</f>
        <v>8511</v>
      </c>
      <c r="I13307" t="str" cm="1">
        <f t="array" ref="I13307">_xlfn.XLOOKUP(FACT_IMPORTS[[#This Row],[country_name]],DIM_COUNTRY[[#All],[Column2]],DIM_COUNTRY[[#All],[Column3]],,,)</f>
        <v>Major_Non-USMCA_Non-China</v>
      </c>
    </row>
    <row r="13308" spans="1:9" x14ac:dyDescent="0.4">
      <c r="A13308" t="s">
        <v>75</v>
      </c>
      <c r="B13308" s="1">
        <v>45352</v>
      </c>
      <c r="C13308">
        <v>851220</v>
      </c>
      <c r="D13308" t="s">
        <v>176</v>
      </c>
      <c r="E13308">
        <v>2995672</v>
      </c>
      <c r="F13308">
        <v>566882</v>
      </c>
      <c r="G13308">
        <v>57100</v>
      </c>
      <c r="H13308">
        <f>_xlfn.XLOOKUP(FACT_IMPORTS[[#This Row],[hts_6]],DIM_PRODUCTS[hts_6],DIM_PRODUCTS[hts_4],,,)</f>
        <v>8512</v>
      </c>
      <c r="I13308" t="str" cm="1">
        <f t="array" ref="I13308">_xlfn.XLOOKUP(FACT_IMPORTS[[#This Row],[country_name]],DIM_COUNTRY[[#All],[Column2]],DIM_COUNTRY[[#All],[Column3]],,,)</f>
        <v>Major_Non-USMCA_Non-China</v>
      </c>
    </row>
    <row r="13309" spans="1:9" x14ac:dyDescent="0.4">
      <c r="A13309" t="s">
        <v>75</v>
      </c>
      <c r="B13309" s="1">
        <v>45352</v>
      </c>
      <c r="C13309">
        <v>851230</v>
      </c>
      <c r="D13309" t="s">
        <v>176</v>
      </c>
      <c r="E13309">
        <v>0</v>
      </c>
      <c r="F13309">
        <v>0</v>
      </c>
      <c r="G13309">
        <v>0</v>
      </c>
      <c r="H13309">
        <f>_xlfn.XLOOKUP(FACT_IMPORTS[[#This Row],[hts_6]],DIM_PRODUCTS[hts_6],DIM_PRODUCTS[hts_4],,,)</f>
        <v>8512</v>
      </c>
      <c r="I13309" t="str" cm="1">
        <f t="array" ref="I13309">_xlfn.XLOOKUP(FACT_IMPORTS[[#This Row],[country_name]],DIM_COUNTRY[[#All],[Column2]],DIM_COUNTRY[[#All],[Column3]],,,)</f>
        <v>Major_Non-USMCA_Non-China</v>
      </c>
    </row>
    <row r="13310" spans="1:9" x14ac:dyDescent="0.4">
      <c r="A13310" t="s">
        <v>75</v>
      </c>
      <c r="B13310" s="1">
        <v>45352</v>
      </c>
      <c r="C13310">
        <v>851290</v>
      </c>
      <c r="D13310" t="s">
        <v>176</v>
      </c>
      <c r="E13310">
        <v>3683763</v>
      </c>
      <c r="F13310">
        <v>58986</v>
      </c>
      <c r="G13310">
        <v>41299</v>
      </c>
      <c r="H13310">
        <f>_xlfn.XLOOKUP(FACT_IMPORTS[[#This Row],[hts_6]],DIM_PRODUCTS[hts_6],DIM_PRODUCTS[hts_4],,,)</f>
        <v>8512</v>
      </c>
      <c r="I13310" t="str" cm="1">
        <f t="array" ref="I13310">_xlfn.XLOOKUP(FACT_IMPORTS[[#This Row],[country_name]],DIM_COUNTRY[[#All],[Column2]],DIM_COUNTRY[[#All],[Column3]],,,)</f>
        <v>Major_Non-USMCA_Non-China</v>
      </c>
    </row>
    <row r="13311" spans="1:9" x14ac:dyDescent="0.4">
      <c r="A13311" t="s">
        <v>75</v>
      </c>
      <c r="B13311" s="1">
        <v>45352</v>
      </c>
      <c r="C13311">
        <v>854231</v>
      </c>
      <c r="D13311" t="s">
        <v>176</v>
      </c>
      <c r="E13311">
        <v>3268</v>
      </c>
      <c r="F13311">
        <v>1</v>
      </c>
      <c r="G13311">
        <v>6</v>
      </c>
      <c r="H13311">
        <f>_xlfn.XLOOKUP(FACT_IMPORTS[[#This Row],[hts_6]],DIM_PRODUCTS[hts_6],DIM_PRODUCTS[hts_4],,,)</f>
        <v>8542</v>
      </c>
      <c r="I13311" t="str" cm="1">
        <f t="array" ref="I13311">_xlfn.XLOOKUP(FACT_IMPORTS[[#This Row],[country_name]],DIM_COUNTRY[[#All],[Column2]],DIM_COUNTRY[[#All],[Column3]],,,)</f>
        <v>Major_Non-USMCA_Non-China</v>
      </c>
    </row>
    <row r="13312" spans="1:9" x14ac:dyDescent="0.4">
      <c r="A13312" t="s">
        <v>75</v>
      </c>
      <c r="B13312" s="1">
        <v>45352</v>
      </c>
      <c r="C13312">
        <v>854232</v>
      </c>
      <c r="D13312" t="s">
        <v>176</v>
      </c>
      <c r="E13312">
        <v>0</v>
      </c>
      <c r="F13312">
        <v>0</v>
      </c>
      <c r="G13312">
        <v>0</v>
      </c>
      <c r="H13312">
        <f>_xlfn.XLOOKUP(FACT_IMPORTS[[#This Row],[hts_6]],DIM_PRODUCTS[hts_6],DIM_PRODUCTS[hts_4],,,)</f>
        <v>8542</v>
      </c>
      <c r="I13312" t="str" cm="1">
        <f t="array" ref="I13312">_xlfn.XLOOKUP(FACT_IMPORTS[[#This Row],[country_name]],DIM_COUNTRY[[#All],[Column2]],DIM_COUNTRY[[#All],[Column3]],,,)</f>
        <v>Major_Non-USMCA_Non-China</v>
      </c>
    </row>
    <row r="13313" spans="1:9" x14ac:dyDescent="0.4">
      <c r="A13313" t="s">
        <v>75</v>
      </c>
      <c r="B13313" s="1">
        <v>45352</v>
      </c>
      <c r="C13313">
        <v>854233</v>
      </c>
      <c r="D13313" t="s">
        <v>176</v>
      </c>
      <c r="E13313">
        <v>2422</v>
      </c>
      <c r="F13313">
        <v>10</v>
      </c>
      <c r="G13313">
        <v>26</v>
      </c>
      <c r="H13313">
        <f>_xlfn.XLOOKUP(FACT_IMPORTS[[#This Row],[hts_6]],DIM_PRODUCTS[hts_6],DIM_PRODUCTS[hts_4],,,)</f>
        <v>8542</v>
      </c>
      <c r="I13313" t="str" cm="1">
        <f t="array" ref="I13313">_xlfn.XLOOKUP(FACT_IMPORTS[[#This Row],[country_name]],DIM_COUNTRY[[#All],[Column2]],DIM_COUNTRY[[#All],[Column3]],,,)</f>
        <v>Major_Non-USMCA_Non-China</v>
      </c>
    </row>
    <row r="13314" spans="1:9" x14ac:dyDescent="0.4">
      <c r="A13314" t="s">
        <v>75</v>
      </c>
      <c r="B13314" s="1">
        <v>45352</v>
      </c>
      <c r="C13314">
        <v>854239</v>
      </c>
      <c r="D13314" t="s">
        <v>176</v>
      </c>
      <c r="E13314">
        <v>1306016</v>
      </c>
      <c r="F13314">
        <v>193085</v>
      </c>
      <c r="G13314">
        <v>121878</v>
      </c>
      <c r="H13314">
        <f>_xlfn.XLOOKUP(FACT_IMPORTS[[#This Row],[hts_6]],DIM_PRODUCTS[hts_6],DIM_PRODUCTS[hts_4],,,)</f>
        <v>8542</v>
      </c>
      <c r="I13314" t="str" cm="1">
        <f t="array" ref="I13314">_xlfn.XLOOKUP(FACT_IMPORTS[[#This Row],[country_name]],DIM_COUNTRY[[#All],[Column2]],DIM_COUNTRY[[#All],[Column3]],,,)</f>
        <v>Major_Non-USMCA_Non-China</v>
      </c>
    </row>
    <row r="13315" spans="1:9" x14ac:dyDescent="0.4">
      <c r="A13315" t="s">
        <v>75</v>
      </c>
      <c r="B13315" s="1">
        <v>45352</v>
      </c>
      <c r="C13315">
        <v>854290</v>
      </c>
      <c r="D13315" t="s">
        <v>176</v>
      </c>
      <c r="E13315">
        <v>0</v>
      </c>
      <c r="F13315">
        <v>0</v>
      </c>
      <c r="G13315">
        <v>0</v>
      </c>
      <c r="H13315">
        <f>_xlfn.XLOOKUP(FACT_IMPORTS[[#This Row],[hts_6]],DIM_PRODUCTS[hts_6],DIM_PRODUCTS[hts_4],,,)</f>
        <v>8542</v>
      </c>
      <c r="I13315" t="str" cm="1">
        <f t="array" ref="I13315">_xlfn.XLOOKUP(FACT_IMPORTS[[#This Row],[country_name]],DIM_COUNTRY[[#All],[Column2]],DIM_COUNTRY[[#All],[Column3]],,,)</f>
        <v>Major_Non-USMCA_Non-China</v>
      </c>
    </row>
    <row r="13316" spans="1:9" x14ac:dyDescent="0.4">
      <c r="A13316" t="s">
        <v>75</v>
      </c>
      <c r="B13316" s="1">
        <v>45352</v>
      </c>
      <c r="C13316">
        <v>854430</v>
      </c>
      <c r="D13316" t="s">
        <v>176</v>
      </c>
      <c r="E13316">
        <v>0</v>
      </c>
      <c r="F13316">
        <v>0</v>
      </c>
      <c r="G13316">
        <v>0</v>
      </c>
      <c r="H13316">
        <f>_xlfn.XLOOKUP(FACT_IMPORTS[[#This Row],[hts_6]],DIM_PRODUCTS[hts_6],DIM_PRODUCTS[hts_4],,,)</f>
        <v>8544</v>
      </c>
      <c r="I13316" t="str" cm="1">
        <f t="array" ref="I13316">_xlfn.XLOOKUP(FACT_IMPORTS[[#This Row],[country_name]],DIM_COUNTRY[[#All],[Column2]],DIM_COUNTRY[[#All],[Column3]],,,)</f>
        <v>Major_Non-USMCA_Non-China</v>
      </c>
    </row>
    <row r="13317" spans="1:9" x14ac:dyDescent="0.4">
      <c r="A13317" t="s">
        <v>75</v>
      </c>
      <c r="B13317" s="1">
        <v>45352</v>
      </c>
      <c r="C13317">
        <v>870810</v>
      </c>
      <c r="D13317" t="s">
        <v>176</v>
      </c>
      <c r="E13317">
        <v>580357</v>
      </c>
      <c r="F13317">
        <v>15081</v>
      </c>
      <c r="G13317">
        <v>70827</v>
      </c>
      <c r="H13317">
        <f>_xlfn.XLOOKUP(FACT_IMPORTS[[#This Row],[hts_6]],DIM_PRODUCTS[hts_6],DIM_PRODUCTS[hts_4],,,)</f>
        <v>8708</v>
      </c>
      <c r="I13317" t="str" cm="1">
        <f t="array" ref="I13317">_xlfn.XLOOKUP(FACT_IMPORTS[[#This Row],[country_name]],DIM_COUNTRY[[#All],[Column2]],DIM_COUNTRY[[#All],[Column3]],,,)</f>
        <v>Major_Non-USMCA_Non-China</v>
      </c>
    </row>
    <row r="13318" spans="1:9" x14ac:dyDescent="0.4">
      <c r="A13318" t="s">
        <v>75</v>
      </c>
      <c r="B13318" s="1">
        <v>45352</v>
      </c>
      <c r="C13318">
        <v>870829</v>
      </c>
      <c r="D13318" t="s">
        <v>176</v>
      </c>
      <c r="E13318">
        <v>660116</v>
      </c>
      <c r="F13318">
        <v>42580</v>
      </c>
      <c r="G13318">
        <v>48537</v>
      </c>
      <c r="H13318">
        <f>_xlfn.XLOOKUP(FACT_IMPORTS[[#This Row],[hts_6]],DIM_PRODUCTS[hts_6],DIM_PRODUCTS[hts_4],,,)</f>
        <v>8708</v>
      </c>
      <c r="I13318" t="str" cm="1">
        <f t="array" ref="I13318">_xlfn.XLOOKUP(FACT_IMPORTS[[#This Row],[country_name]],DIM_COUNTRY[[#All],[Column2]],DIM_COUNTRY[[#All],[Column3]],,,)</f>
        <v>Major_Non-USMCA_Non-China</v>
      </c>
    </row>
    <row r="13319" spans="1:9" x14ac:dyDescent="0.4">
      <c r="A13319" t="s">
        <v>75</v>
      </c>
      <c r="B13319" s="1">
        <v>45352</v>
      </c>
      <c r="C13319">
        <v>870830</v>
      </c>
      <c r="D13319" t="s">
        <v>176</v>
      </c>
      <c r="E13319">
        <v>8643</v>
      </c>
      <c r="F13319">
        <v>62700</v>
      </c>
      <c r="G13319">
        <v>200</v>
      </c>
      <c r="H13319">
        <f>_xlfn.XLOOKUP(FACT_IMPORTS[[#This Row],[hts_6]],DIM_PRODUCTS[hts_6],DIM_PRODUCTS[hts_4],,,)</f>
        <v>8708</v>
      </c>
      <c r="I13319" t="str" cm="1">
        <f t="array" ref="I13319">_xlfn.XLOOKUP(FACT_IMPORTS[[#This Row],[country_name]],DIM_COUNTRY[[#All],[Column2]],DIM_COUNTRY[[#All],[Column3]],,,)</f>
        <v>Major_Non-USMCA_Non-China</v>
      </c>
    </row>
    <row r="13320" spans="1:9" x14ac:dyDescent="0.4">
      <c r="A13320" t="s">
        <v>75</v>
      </c>
      <c r="B13320" s="1">
        <v>45352</v>
      </c>
      <c r="C13320">
        <v>870840</v>
      </c>
      <c r="D13320" t="s">
        <v>176</v>
      </c>
      <c r="E13320">
        <v>537521</v>
      </c>
      <c r="F13320">
        <v>33371</v>
      </c>
      <c r="G13320">
        <v>10489</v>
      </c>
      <c r="H13320">
        <f>_xlfn.XLOOKUP(FACT_IMPORTS[[#This Row],[hts_6]],DIM_PRODUCTS[hts_6],DIM_PRODUCTS[hts_4],,,)</f>
        <v>8708</v>
      </c>
      <c r="I13320" t="str" cm="1">
        <f t="array" ref="I13320">_xlfn.XLOOKUP(FACT_IMPORTS[[#This Row],[country_name]],DIM_COUNTRY[[#All],[Column2]],DIM_COUNTRY[[#All],[Column3]],,,)</f>
        <v>Major_Non-USMCA_Non-China</v>
      </c>
    </row>
    <row r="13321" spans="1:9" x14ac:dyDescent="0.4">
      <c r="A13321" t="s">
        <v>75</v>
      </c>
      <c r="B13321" s="1">
        <v>45352</v>
      </c>
      <c r="C13321">
        <v>870850</v>
      </c>
      <c r="D13321" t="s">
        <v>176</v>
      </c>
      <c r="E13321">
        <v>0</v>
      </c>
      <c r="F13321">
        <v>0</v>
      </c>
      <c r="G13321">
        <v>0</v>
      </c>
      <c r="H13321">
        <f>_xlfn.XLOOKUP(FACT_IMPORTS[[#This Row],[hts_6]],DIM_PRODUCTS[hts_6],DIM_PRODUCTS[hts_4],,,)</f>
        <v>8708</v>
      </c>
      <c r="I13321" t="str" cm="1">
        <f t="array" ref="I13321">_xlfn.XLOOKUP(FACT_IMPORTS[[#This Row],[country_name]],DIM_COUNTRY[[#All],[Column2]],DIM_COUNTRY[[#All],[Column3]],,,)</f>
        <v>Major_Non-USMCA_Non-China</v>
      </c>
    </row>
    <row r="13322" spans="1:9" x14ac:dyDescent="0.4">
      <c r="A13322" t="s">
        <v>75</v>
      </c>
      <c r="B13322" s="1">
        <v>45352</v>
      </c>
      <c r="C13322">
        <v>870870</v>
      </c>
      <c r="D13322" t="s">
        <v>176</v>
      </c>
      <c r="E13322">
        <v>1596977</v>
      </c>
      <c r="F13322">
        <v>7619</v>
      </c>
      <c r="G13322">
        <v>32679</v>
      </c>
      <c r="H13322">
        <f>_xlfn.XLOOKUP(FACT_IMPORTS[[#This Row],[hts_6]],DIM_PRODUCTS[hts_6],DIM_PRODUCTS[hts_4],,,)</f>
        <v>8708</v>
      </c>
      <c r="I13322" t="str" cm="1">
        <f t="array" ref="I13322">_xlfn.XLOOKUP(FACT_IMPORTS[[#This Row],[country_name]],DIM_COUNTRY[[#All],[Column2]],DIM_COUNTRY[[#All],[Column3]],,,)</f>
        <v>Major_Non-USMCA_Non-China</v>
      </c>
    </row>
    <row r="13323" spans="1:9" x14ac:dyDescent="0.4">
      <c r="A13323" t="s">
        <v>75</v>
      </c>
      <c r="B13323" s="1">
        <v>45352</v>
      </c>
      <c r="C13323">
        <v>870880</v>
      </c>
      <c r="D13323" t="s">
        <v>176</v>
      </c>
      <c r="E13323">
        <v>602165</v>
      </c>
      <c r="F13323">
        <v>57301</v>
      </c>
      <c r="G13323">
        <v>24368</v>
      </c>
      <c r="H13323">
        <f>_xlfn.XLOOKUP(FACT_IMPORTS[[#This Row],[hts_6]],DIM_PRODUCTS[hts_6],DIM_PRODUCTS[hts_4],,,)</f>
        <v>8708</v>
      </c>
      <c r="I13323" t="str" cm="1">
        <f t="array" ref="I13323">_xlfn.XLOOKUP(FACT_IMPORTS[[#This Row],[country_name]],DIM_COUNTRY[[#All],[Column2]],DIM_COUNTRY[[#All],[Column3]],,,)</f>
        <v>Major_Non-USMCA_Non-China</v>
      </c>
    </row>
    <row r="13324" spans="1:9" x14ac:dyDescent="0.4">
      <c r="A13324" t="s">
        <v>75</v>
      </c>
      <c r="B13324" s="1">
        <v>45352</v>
      </c>
      <c r="C13324">
        <v>870891</v>
      </c>
      <c r="D13324" t="s">
        <v>176</v>
      </c>
      <c r="E13324">
        <v>46443</v>
      </c>
      <c r="F13324">
        <v>55375</v>
      </c>
      <c r="G13324">
        <v>3191</v>
      </c>
      <c r="H13324">
        <f>_xlfn.XLOOKUP(FACT_IMPORTS[[#This Row],[hts_6]],DIM_PRODUCTS[hts_6],DIM_PRODUCTS[hts_4],,,)</f>
        <v>8708</v>
      </c>
      <c r="I13324" t="str" cm="1">
        <f t="array" ref="I13324">_xlfn.XLOOKUP(FACT_IMPORTS[[#This Row],[country_name]],DIM_COUNTRY[[#All],[Column2]],DIM_COUNTRY[[#All],[Column3]],,,)</f>
        <v>Major_Non-USMCA_Non-China</v>
      </c>
    </row>
    <row r="13325" spans="1:9" x14ac:dyDescent="0.4">
      <c r="A13325" t="s">
        <v>75</v>
      </c>
      <c r="B13325" s="1">
        <v>45352</v>
      </c>
      <c r="C13325">
        <v>870892</v>
      </c>
      <c r="D13325" t="s">
        <v>176</v>
      </c>
      <c r="E13325">
        <v>2640</v>
      </c>
      <c r="F13325">
        <v>42</v>
      </c>
      <c r="G13325">
        <v>120</v>
      </c>
      <c r="H13325">
        <f>_xlfn.XLOOKUP(FACT_IMPORTS[[#This Row],[hts_6]],DIM_PRODUCTS[hts_6],DIM_PRODUCTS[hts_4],,,)</f>
        <v>8708</v>
      </c>
      <c r="I13325" t="str" cm="1">
        <f t="array" ref="I13325">_xlfn.XLOOKUP(FACT_IMPORTS[[#This Row],[country_name]],DIM_COUNTRY[[#All],[Column2]],DIM_COUNTRY[[#All],[Column3]],,,)</f>
        <v>Major_Non-USMCA_Non-China</v>
      </c>
    </row>
    <row r="13326" spans="1:9" x14ac:dyDescent="0.4">
      <c r="A13326" t="s">
        <v>75</v>
      </c>
      <c r="B13326" s="1">
        <v>45352</v>
      </c>
      <c r="C13326">
        <v>870893</v>
      </c>
      <c r="D13326" t="s">
        <v>176</v>
      </c>
      <c r="E13326">
        <v>87726</v>
      </c>
      <c r="F13326">
        <v>2667</v>
      </c>
      <c r="G13326">
        <v>4047</v>
      </c>
      <c r="H13326">
        <f>_xlfn.XLOOKUP(FACT_IMPORTS[[#This Row],[hts_6]],DIM_PRODUCTS[hts_6],DIM_PRODUCTS[hts_4],,,)</f>
        <v>8708</v>
      </c>
      <c r="I13326" t="str" cm="1">
        <f t="array" ref="I13326">_xlfn.XLOOKUP(FACT_IMPORTS[[#This Row],[country_name]],DIM_COUNTRY[[#All],[Column2]],DIM_COUNTRY[[#All],[Column3]],,,)</f>
        <v>Major_Non-USMCA_Non-China</v>
      </c>
    </row>
    <row r="13327" spans="1:9" x14ac:dyDescent="0.4">
      <c r="A13327" t="s">
        <v>75</v>
      </c>
      <c r="B13327" s="1">
        <v>45352</v>
      </c>
      <c r="C13327">
        <v>870894</v>
      </c>
      <c r="D13327" t="s">
        <v>176</v>
      </c>
      <c r="E13327">
        <v>46262</v>
      </c>
      <c r="F13327">
        <v>23203</v>
      </c>
      <c r="G13327">
        <v>589</v>
      </c>
      <c r="H13327">
        <f>_xlfn.XLOOKUP(FACT_IMPORTS[[#This Row],[hts_6]],DIM_PRODUCTS[hts_6],DIM_PRODUCTS[hts_4],,,)</f>
        <v>8708</v>
      </c>
      <c r="I13327" t="str" cm="1">
        <f t="array" ref="I13327">_xlfn.XLOOKUP(FACT_IMPORTS[[#This Row],[country_name]],DIM_COUNTRY[[#All],[Column2]],DIM_COUNTRY[[#All],[Column3]],,,)</f>
        <v>Major_Non-USMCA_Non-China</v>
      </c>
    </row>
    <row r="13328" spans="1:9" x14ac:dyDescent="0.4">
      <c r="A13328" t="s">
        <v>75</v>
      </c>
      <c r="B13328" s="1">
        <v>45352</v>
      </c>
      <c r="C13328">
        <v>870899</v>
      </c>
      <c r="D13328" t="s">
        <v>176</v>
      </c>
      <c r="E13328">
        <v>963566</v>
      </c>
      <c r="F13328">
        <v>861368</v>
      </c>
      <c r="G13328">
        <v>53812</v>
      </c>
      <c r="H13328">
        <f>_xlfn.XLOOKUP(FACT_IMPORTS[[#This Row],[hts_6]],DIM_PRODUCTS[hts_6],DIM_PRODUCTS[hts_4],,,)</f>
        <v>8708</v>
      </c>
      <c r="I13328" t="str" cm="1">
        <f t="array" ref="I13328">_xlfn.XLOOKUP(FACT_IMPORTS[[#This Row],[country_name]],DIM_COUNTRY[[#All],[Column2]],DIM_COUNTRY[[#All],[Column3]],,,)</f>
        <v>Major_Non-USMCA_Non-China</v>
      </c>
    </row>
    <row r="13329" spans="1:9" x14ac:dyDescent="0.4">
      <c r="A13329" t="s">
        <v>75</v>
      </c>
      <c r="B13329" s="1">
        <v>45383</v>
      </c>
      <c r="C13329">
        <v>392630</v>
      </c>
      <c r="D13329" t="s">
        <v>176</v>
      </c>
      <c r="E13329">
        <v>339</v>
      </c>
      <c r="F13329">
        <v>31</v>
      </c>
      <c r="G13329">
        <v>2</v>
      </c>
      <c r="H13329">
        <f>_xlfn.XLOOKUP(FACT_IMPORTS[[#This Row],[hts_6]],DIM_PRODUCTS[hts_6],DIM_PRODUCTS[hts_4],,,)</f>
        <v>3926</v>
      </c>
      <c r="I13329" t="str" cm="1">
        <f t="array" ref="I13329">_xlfn.XLOOKUP(FACT_IMPORTS[[#This Row],[country_name]],DIM_COUNTRY[[#All],[Column2]],DIM_COUNTRY[[#All],[Column3]],,,)</f>
        <v>Major_Non-USMCA_Non-China</v>
      </c>
    </row>
    <row r="13330" spans="1:9" x14ac:dyDescent="0.4">
      <c r="A13330" t="s">
        <v>75</v>
      </c>
      <c r="B13330" s="1">
        <v>45383</v>
      </c>
      <c r="C13330">
        <v>401110</v>
      </c>
      <c r="D13330" t="s">
        <v>176</v>
      </c>
      <c r="E13330">
        <v>0</v>
      </c>
      <c r="F13330">
        <v>0</v>
      </c>
      <c r="G13330">
        <v>0</v>
      </c>
      <c r="H13330">
        <f>_xlfn.XLOOKUP(FACT_IMPORTS[[#This Row],[hts_6]],DIM_PRODUCTS[hts_6],DIM_PRODUCTS[hts_4],,,)</f>
        <v>4011</v>
      </c>
      <c r="I13330" t="str" cm="1">
        <f t="array" ref="I13330">_xlfn.XLOOKUP(FACT_IMPORTS[[#This Row],[country_name]],DIM_COUNTRY[[#All],[Column2]],DIM_COUNTRY[[#All],[Column3]],,,)</f>
        <v>Major_Non-USMCA_Non-China</v>
      </c>
    </row>
    <row r="13331" spans="1:9" x14ac:dyDescent="0.4">
      <c r="A13331" t="s">
        <v>75</v>
      </c>
      <c r="B13331" s="1">
        <v>45383</v>
      </c>
      <c r="C13331">
        <v>401120</v>
      </c>
      <c r="D13331" t="s">
        <v>176</v>
      </c>
      <c r="E13331">
        <v>0</v>
      </c>
      <c r="F13331">
        <v>0</v>
      </c>
      <c r="G13331">
        <v>0</v>
      </c>
      <c r="H13331">
        <f>_xlfn.XLOOKUP(FACT_IMPORTS[[#This Row],[hts_6]],DIM_PRODUCTS[hts_6],DIM_PRODUCTS[hts_4],,,)</f>
        <v>4011</v>
      </c>
      <c r="I13331" t="str" cm="1">
        <f t="array" ref="I13331">_xlfn.XLOOKUP(FACT_IMPORTS[[#This Row],[country_name]],DIM_COUNTRY[[#All],[Column2]],DIM_COUNTRY[[#All],[Column3]],,,)</f>
        <v>Major_Non-USMCA_Non-China</v>
      </c>
    </row>
    <row r="13332" spans="1:9" x14ac:dyDescent="0.4">
      <c r="A13332" t="s">
        <v>75</v>
      </c>
      <c r="B13332" s="1">
        <v>45383</v>
      </c>
      <c r="C13332">
        <v>401140</v>
      </c>
      <c r="D13332" t="s">
        <v>176</v>
      </c>
      <c r="E13332">
        <v>0</v>
      </c>
      <c r="F13332">
        <v>0</v>
      </c>
      <c r="G13332">
        <v>0</v>
      </c>
      <c r="H13332">
        <f>_xlfn.XLOOKUP(FACT_IMPORTS[[#This Row],[hts_6]],DIM_PRODUCTS[hts_6],DIM_PRODUCTS[hts_4],,,)</f>
        <v>4011</v>
      </c>
      <c r="I13332" t="str" cm="1">
        <f t="array" ref="I13332">_xlfn.XLOOKUP(FACT_IMPORTS[[#This Row],[country_name]],DIM_COUNTRY[[#All],[Column2]],DIM_COUNTRY[[#All],[Column3]],,,)</f>
        <v>Major_Non-USMCA_Non-China</v>
      </c>
    </row>
    <row r="13333" spans="1:9" x14ac:dyDescent="0.4">
      <c r="A13333" t="s">
        <v>75</v>
      </c>
      <c r="B13333" s="1">
        <v>45383</v>
      </c>
      <c r="C13333">
        <v>401190</v>
      </c>
      <c r="D13333" t="s">
        <v>176</v>
      </c>
      <c r="E13333">
        <v>6216</v>
      </c>
      <c r="F13333">
        <v>65</v>
      </c>
      <c r="G13333">
        <v>14</v>
      </c>
      <c r="H13333">
        <f>_xlfn.XLOOKUP(FACT_IMPORTS[[#This Row],[hts_6]],DIM_PRODUCTS[hts_6],DIM_PRODUCTS[hts_4],,,)</f>
        <v>4011</v>
      </c>
      <c r="I13333" t="str" cm="1">
        <f t="array" ref="I13333">_xlfn.XLOOKUP(FACT_IMPORTS[[#This Row],[country_name]],DIM_COUNTRY[[#All],[Column2]],DIM_COUNTRY[[#All],[Column3]],,,)</f>
        <v>Major_Non-USMCA_Non-China</v>
      </c>
    </row>
    <row r="13334" spans="1:9" x14ac:dyDescent="0.4">
      <c r="A13334" t="s">
        <v>75</v>
      </c>
      <c r="B13334" s="1">
        <v>45383</v>
      </c>
      <c r="C13334">
        <v>700721</v>
      </c>
      <c r="D13334" t="s">
        <v>176</v>
      </c>
      <c r="E13334">
        <v>0</v>
      </c>
      <c r="F13334">
        <v>0</v>
      </c>
      <c r="G13334">
        <v>0</v>
      </c>
      <c r="H13334">
        <f>_xlfn.XLOOKUP(FACT_IMPORTS[[#This Row],[hts_6]],DIM_PRODUCTS[hts_6],DIM_PRODUCTS[hts_4],,,)</f>
        <v>7007</v>
      </c>
      <c r="I13334" t="str" cm="1">
        <f t="array" ref="I13334">_xlfn.XLOOKUP(FACT_IMPORTS[[#This Row],[country_name]],DIM_COUNTRY[[#All],[Column2]],DIM_COUNTRY[[#All],[Column3]],,,)</f>
        <v>Major_Non-USMCA_Non-China</v>
      </c>
    </row>
    <row r="13335" spans="1:9" x14ac:dyDescent="0.4">
      <c r="A13335" t="s">
        <v>75</v>
      </c>
      <c r="B13335" s="1">
        <v>45383</v>
      </c>
      <c r="C13335">
        <v>700910</v>
      </c>
      <c r="D13335" t="s">
        <v>176</v>
      </c>
      <c r="E13335">
        <v>71231</v>
      </c>
      <c r="F13335">
        <v>21208</v>
      </c>
      <c r="G13335">
        <v>2130</v>
      </c>
      <c r="H13335">
        <f>_xlfn.XLOOKUP(FACT_IMPORTS[[#This Row],[hts_6]],DIM_PRODUCTS[hts_6],DIM_PRODUCTS[hts_4],,,)</f>
        <v>7009</v>
      </c>
      <c r="I13335" t="str" cm="1">
        <f t="array" ref="I13335">_xlfn.XLOOKUP(FACT_IMPORTS[[#This Row],[country_name]],DIM_COUNTRY[[#All],[Column2]],DIM_COUNTRY[[#All],[Column3]],,,)</f>
        <v>Major_Non-USMCA_Non-China</v>
      </c>
    </row>
    <row r="13336" spans="1:9" x14ac:dyDescent="0.4">
      <c r="A13336" t="s">
        <v>75</v>
      </c>
      <c r="B13336" s="1">
        <v>45383</v>
      </c>
      <c r="C13336">
        <v>732010</v>
      </c>
      <c r="D13336" t="s">
        <v>176</v>
      </c>
      <c r="E13336">
        <v>0</v>
      </c>
      <c r="F13336">
        <v>0</v>
      </c>
      <c r="G13336">
        <v>0</v>
      </c>
      <c r="H13336">
        <f>_xlfn.XLOOKUP(FACT_IMPORTS[[#This Row],[hts_6]],DIM_PRODUCTS[hts_6],DIM_PRODUCTS[hts_4],,,)</f>
        <v>7320</v>
      </c>
      <c r="I13336" t="str" cm="1">
        <f t="array" ref="I13336">_xlfn.XLOOKUP(FACT_IMPORTS[[#This Row],[country_name]],DIM_COUNTRY[[#All],[Column2]],DIM_COUNTRY[[#All],[Column3]],,,)</f>
        <v>Major_Non-USMCA_Non-China</v>
      </c>
    </row>
    <row r="13337" spans="1:9" x14ac:dyDescent="0.4">
      <c r="A13337" t="s">
        <v>75</v>
      </c>
      <c r="B13337" s="1">
        <v>45383</v>
      </c>
      <c r="C13337">
        <v>830230</v>
      </c>
      <c r="D13337" t="s">
        <v>176</v>
      </c>
      <c r="E13337">
        <v>235793</v>
      </c>
      <c r="F13337">
        <v>28489</v>
      </c>
      <c r="G13337">
        <v>5395</v>
      </c>
      <c r="H13337">
        <f>_xlfn.XLOOKUP(FACT_IMPORTS[[#This Row],[hts_6]],DIM_PRODUCTS[hts_6],DIM_PRODUCTS[hts_4],,,)</f>
        <v>8302</v>
      </c>
      <c r="I13337" t="str" cm="1">
        <f t="array" ref="I13337">_xlfn.XLOOKUP(FACT_IMPORTS[[#This Row],[country_name]],DIM_COUNTRY[[#All],[Column2]],DIM_COUNTRY[[#All],[Column3]],,,)</f>
        <v>Major_Non-USMCA_Non-China</v>
      </c>
    </row>
    <row r="13338" spans="1:9" x14ac:dyDescent="0.4">
      <c r="A13338" t="s">
        <v>75</v>
      </c>
      <c r="B13338" s="1">
        <v>45383</v>
      </c>
      <c r="C13338">
        <v>840732</v>
      </c>
      <c r="D13338" t="s">
        <v>176</v>
      </c>
      <c r="E13338">
        <v>0</v>
      </c>
      <c r="F13338">
        <v>0</v>
      </c>
      <c r="G13338">
        <v>0</v>
      </c>
      <c r="H13338">
        <f>_xlfn.XLOOKUP(FACT_IMPORTS[[#This Row],[hts_6]],DIM_PRODUCTS[hts_6],DIM_PRODUCTS[hts_4],,,)</f>
        <v>8407</v>
      </c>
      <c r="I13338" t="str" cm="1">
        <f t="array" ref="I13338">_xlfn.XLOOKUP(FACT_IMPORTS[[#This Row],[country_name]],DIM_COUNTRY[[#All],[Column2]],DIM_COUNTRY[[#All],[Column3]],,,)</f>
        <v>Major_Non-USMCA_Non-China</v>
      </c>
    </row>
    <row r="13339" spans="1:9" x14ac:dyDescent="0.4">
      <c r="A13339" t="s">
        <v>75</v>
      </c>
      <c r="B13339" s="1">
        <v>45383</v>
      </c>
      <c r="C13339">
        <v>840733</v>
      </c>
      <c r="D13339" t="s">
        <v>176</v>
      </c>
      <c r="E13339">
        <v>0</v>
      </c>
      <c r="F13339">
        <v>0</v>
      </c>
      <c r="G13339">
        <v>0</v>
      </c>
      <c r="H13339">
        <f>_xlfn.XLOOKUP(FACT_IMPORTS[[#This Row],[hts_6]],DIM_PRODUCTS[hts_6],DIM_PRODUCTS[hts_4],,,)</f>
        <v>8407</v>
      </c>
      <c r="I13339" t="str" cm="1">
        <f t="array" ref="I13339">_xlfn.XLOOKUP(FACT_IMPORTS[[#This Row],[country_name]],DIM_COUNTRY[[#All],[Column2]],DIM_COUNTRY[[#All],[Column3]],,,)</f>
        <v>Major_Non-USMCA_Non-China</v>
      </c>
    </row>
    <row r="13340" spans="1:9" x14ac:dyDescent="0.4">
      <c r="A13340" t="s">
        <v>75</v>
      </c>
      <c r="B13340" s="1">
        <v>45383</v>
      </c>
      <c r="C13340">
        <v>840790</v>
      </c>
      <c r="D13340" t="s">
        <v>176</v>
      </c>
      <c r="E13340">
        <v>0</v>
      </c>
      <c r="F13340">
        <v>0</v>
      </c>
      <c r="G13340">
        <v>0</v>
      </c>
      <c r="H13340">
        <f>_xlfn.XLOOKUP(FACT_IMPORTS[[#This Row],[hts_6]],DIM_PRODUCTS[hts_6],DIM_PRODUCTS[hts_4],,,)</f>
        <v>8407</v>
      </c>
      <c r="I13340" t="str" cm="1">
        <f t="array" ref="I13340">_xlfn.XLOOKUP(FACT_IMPORTS[[#This Row],[country_name]],DIM_COUNTRY[[#All],[Column2]],DIM_COUNTRY[[#All],[Column3]],,,)</f>
        <v>Major_Non-USMCA_Non-China</v>
      </c>
    </row>
    <row r="13341" spans="1:9" x14ac:dyDescent="0.4">
      <c r="A13341" t="s">
        <v>75</v>
      </c>
      <c r="B13341" s="1">
        <v>45383</v>
      </c>
      <c r="C13341">
        <v>840890</v>
      </c>
      <c r="D13341" t="s">
        <v>176</v>
      </c>
      <c r="E13341">
        <v>0</v>
      </c>
      <c r="F13341">
        <v>0</v>
      </c>
      <c r="G13341">
        <v>0</v>
      </c>
      <c r="H13341">
        <f>_xlfn.XLOOKUP(FACT_IMPORTS[[#This Row],[hts_6]],DIM_PRODUCTS[hts_6],DIM_PRODUCTS[hts_4],,,)</f>
        <v>8408</v>
      </c>
      <c r="I13341" t="str" cm="1">
        <f t="array" ref="I13341">_xlfn.XLOOKUP(FACT_IMPORTS[[#This Row],[country_name]],DIM_COUNTRY[[#All],[Column2]],DIM_COUNTRY[[#All],[Column3]],,,)</f>
        <v>Major_Non-USMCA_Non-China</v>
      </c>
    </row>
    <row r="13342" spans="1:9" x14ac:dyDescent="0.4">
      <c r="A13342" t="s">
        <v>75</v>
      </c>
      <c r="B13342" s="1">
        <v>45383</v>
      </c>
      <c r="C13342">
        <v>840991</v>
      </c>
      <c r="D13342" t="s">
        <v>176</v>
      </c>
      <c r="E13342">
        <v>115184</v>
      </c>
      <c r="F13342">
        <v>5370</v>
      </c>
      <c r="G13342">
        <v>2877</v>
      </c>
      <c r="H13342">
        <f>_xlfn.XLOOKUP(FACT_IMPORTS[[#This Row],[hts_6]],DIM_PRODUCTS[hts_6],DIM_PRODUCTS[hts_4],,,)</f>
        <v>8409</v>
      </c>
      <c r="I13342" t="str" cm="1">
        <f t="array" ref="I13342">_xlfn.XLOOKUP(FACT_IMPORTS[[#This Row],[country_name]],DIM_COUNTRY[[#All],[Column2]],DIM_COUNTRY[[#All],[Column3]],,,)</f>
        <v>Major_Non-USMCA_Non-China</v>
      </c>
    </row>
    <row r="13343" spans="1:9" x14ac:dyDescent="0.4">
      <c r="A13343" t="s">
        <v>75</v>
      </c>
      <c r="B13343" s="1">
        <v>45383</v>
      </c>
      <c r="C13343">
        <v>840999</v>
      </c>
      <c r="D13343" t="s">
        <v>176</v>
      </c>
      <c r="E13343">
        <v>0</v>
      </c>
      <c r="F13343">
        <v>0</v>
      </c>
      <c r="G13343">
        <v>0</v>
      </c>
      <c r="H13343">
        <f>_xlfn.XLOOKUP(FACT_IMPORTS[[#This Row],[hts_6]],DIM_PRODUCTS[hts_6],DIM_PRODUCTS[hts_4],,,)</f>
        <v>8409</v>
      </c>
      <c r="I13343" t="str" cm="1">
        <f t="array" ref="I13343">_xlfn.XLOOKUP(FACT_IMPORTS[[#This Row],[country_name]],DIM_COUNTRY[[#All],[Column2]],DIM_COUNTRY[[#All],[Column3]],,,)</f>
        <v>Major_Non-USMCA_Non-China</v>
      </c>
    </row>
    <row r="13344" spans="1:9" x14ac:dyDescent="0.4">
      <c r="A13344" t="s">
        <v>75</v>
      </c>
      <c r="B13344" s="1">
        <v>45383</v>
      </c>
      <c r="C13344">
        <v>841330</v>
      </c>
      <c r="D13344" t="s">
        <v>176</v>
      </c>
      <c r="E13344">
        <v>355848</v>
      </c>
      <c r="F13344">
        <v>7925</v>
      </c>
      <c r="G13344">
        <v>29934</v>
      </c>
      <c r="H13344">
        <f>_xlfn.XLOOKUP(FACT_IMPORTS[[#This Row],[hts_6]],DIM_PRODUCTS[hts_6],DIM_PRODUCTS[hts_4],,,)</f>
        <v>8413</v>
      </c>
      <c r="I13344" t="str" cm="1">
        <f t="array" ref="I13344">_xlfn.XLOOKUP(FACT_IMPORTS[[#This Row],[country_name]],DIM_COUNTRY[[#All],[Column2]],DIM_COUNTRY[[#All],[Column3]],,,)</f>
        <v>Major_Non-USMCA_Non-China</v>
      </c>
    </row>
    <row r="13345" spans="1:9" x14ac:dyDescent="0.4">
      <c r="A13345" t="s">
        <v>75</v>
      </c>
      <c r="B13345" s="1">
        <v>45383</v>
      </c>
      <c r="C13345">
        <v>848210</v>
      </c>
      <c r="D13345" t="s">
        <v>176</v>
      </c>
      <c r="E13345">
        <v>86571</v>
      </c>
      <c r="F13345">
        <v>203900</v>
      </c>
      <c r="G13345">
        <v>1757</v>
      </c>
      <c r="H13345">
        <f>_xlfn.XLOOKUP(FACT_IMPORTS[[#This Row],[hts_6]],DIM_PRODUCTS[hts_6],DIM_PRODUCTS[hts_4],,,)</f>
        <v>8482</v>
      </c>
      <c r="I13345" t="str" cm="1">
        <f t="array" ref="I13345">_xlfn.XLOOKUP(FACT_IMPORTS[[#This Row],[country_name]],DIM_COUNTRY[[#All],[Column2]],DIM_COUNTRY[[#All],[Column3]],,,)</f>
        <v>Major_Non-USMCA_Non-China</v>
      </c>
    </row>
    <row r="13346" spans="1:9" x14ac:dyDescent="0.4">
      <c r="A13346" t="s">
        <v>75</v>
      </c>
      <c r="B13346" s="1">
        <v>45383</v>
      </c>
      <c r="C13346">
        <v>848310</v>
      </c>
      <c r="D13346" t="s">
        <v>176</v>
      </c>
      <c r="E13346">
        <v>17000</v>
      </c>
      <c r="F13346">
        <v>394</v>
      </c>
      <c r="G13346">
        <v>1</v>
      </c>
      <c r="H13346">
        <f>_xlfn.XLOOKUP(FACT_IMPORTS[[#This Row],[hts_6]],DIM_PRODUCTS[hts_6],DIM_PRODUCTS[hts_4],,,)</f>
        <v>8483</v>
      </c>
      <c r="I13346" t="str" cm="1">
        <f t="array" ref="I13346">_xlfn.XLOOKUP(FACT_IMPORTS[[#This Row],[country_name]],DIM_COUNTRY[[#All],[Column2]],DIM_COUNTRY[[#All],[Column3]],,,)</f>
        <v>Major_Non-USMCA_Non-China</v>
      </c>
    </row>
    <row r="13347" spans="1:9" x14ac:dyDescent="0.4">
      <c r="A13347" t="s">
        <v>75</v>
      </c>
      <c r="B13347" s="1">
        <v>45383</v>
      </c>
      <c r="C13347">
        <v>850131</v>
      </c>
      <c r="D13347" t="s">
        <v>176</v>
      </c>
      <c r="E13347">
        <v>2585</v>
      </c>
      <c r="F13347">
        <v>31</v>
      </c>
      <c r="G13347">
        <v>2</v>
      </c>
      <c r="H13347">
        <f>_xlfn.XLOOKUP(FACT_IMPORTS[[#This Row],[hts_6]],DIM_PRODUCTS[hts_6],DIM_PRODUCTS[hts_4],,,)</f>
        <v>8501</v>
      </c>
      <c r="I13347" t="str" cm="1">
        <f t="array" ref="I13347">_xlfn.XLOOKUP(FACT_IMPORTS[[#This Row],[country_name]],DIM_COUNTRY[[#All],[Column2]],DIM_COUNTRY[[#All],[Column3]],,,)</f>
        <v>Major_Non-USMCA_Non-China</v>
      </c>
    </row>
    <row r="13348" spans="1:9" x14ac:dyDescent="0.4">
      <c r="A13348" t="s">
        <v>75</v>
      </c>
      <c r="B13348" s="1">
        <v>45383</v>
      </c>
      <c r="C13348">
        <v>850132</v>
      </c>
      <c r="D13348" t="s">
        <v>176</v>
      </c>
      <c r="E13348">
        <v>0</v>
      </c>
      <c r="F13348">
        <v>0</v>
      </c>
      <c r="G13348">
        <v>0</v>
      </c>
      <c r="H13348">
        <f>_xlfn.XLOOKUP(FACT_IMPORTS[[#This Row],[hts_6]],DIM_PRODUCTS[hts_6],DIM_PRODUCTS[hts_4],,,)</f>
        <v>8501</v>
      </c>
      <c r="I13348" t="str" cm="1">
        <f t="array" ref="I13348">_xlfn.XLOOKUP(FACT_IMPORTS[[#This Row],[country_name]],DIM_COUNTRY[[#All],[Column2]],DIM_COUNTRY[[#All],[Column3]],,,)</f>
        <v>Major_Non-USMCA_Non-China</v>
      </c>
    </row>
    <row r="13349" spans="1:9" x14ac:dyDescent="0.4">
      <c r="A13349" t="s">
        <v>75</v>
      </c>
      <c r="B13349" s="1">
        <v>45383</v>
      </c>
      <c r="C13349">
        <v>850152</v>
      </c>
      <c r="D13349" t="s">
        <v>176</v>
      </c>
      <c r="E13349">
        <v>0</v>
      </c>
      <c r="F13349">
        <v>0</v>
      </c>
      <c r="G13349">
        <v>0</v>
      </c>
      <c r="H13349">
        <f>_xlfn.XLOOKUP(FACT_IMPORTS[[#This Row],[hts_6]],DIM_PRODUCTS[hts_6],DIM_PRODUCTS[hts_4],,,)</f>
        <v>8501</v>
      </c>
      <c r="I13349" t="str" cm="1">
        <f t="array" ref="I13349">_xlfn.XLOOKUP(FACT_IMPORTS[[#This Row],[country_name]],DIM_COUNTRY[[#All],[Column2]],DIM_COUNTRY[[#All],[Column3]],,,)</f>
        <v>Major_Non-USMCA_Non-China</v>
      </c>
    </row>
    <row r="13350" spans="1:9" x14ac:dyDescent="0.4">
      <c r="A13350" t="s">
        <v>75</v>
      </c>
      <c r="B13350" s="1">
        <v>45383</v>
      </c>
      <c r="C13350">
        <v>850153</v>
      </c>
      <c r="D13350" t="s">
        <v>176</v>
      </c>
      <c r="E13350">
        <v>0</v>
      </c>
      <c r="F13350">
        <v>0</v>
      </c>
      <c r="G13350">
        <v>0</v>
      </c>
      <c r="H13350">
        <f>_xlfn.XLOOKUP(FACT_IMPORTS[[#This Row],[hts_6]],DIM_PRODUCTS[hts_6],DIM_PRODUCTS[hts_4],,,)</f>
        <v>8501</v>
      </c>
      <c r="I13350" t="str" cm="1">
        <f t="array" ref="I13350">_xlfn.XLOOKUP(FACT_IMPORTS[[#This Row],[country_name]],DIM_COUNTRY[[#All],[Column2]],DIM_COUNTRY[[#All],[Column3]],,,)</f>
        <v>Major_Non-USMCA_Non-China</v>
      </c>
    </row>
    <row r="13351" spans="1:9" x14ac:dyDescent="0.4">
      <c r="A13351" t="s">
        <v>75</v>
      </c>
      <c r="B13351" s="1">
        <v>45383</v>
      </c>
      <c r="C13351">
        <v>850161</v>
      </c>
      <c r="D13351" t="s">
        <v>176</v>
      </c>
      <c r="E13351">
        <v>54002</v>
      </c>
      <c r="F13351">
        <v>588</v>
      </c>
      <c r="G13351">
        <v>3000</v>
      </c>
      <c r="H13351">
        <f>_xlfn.XLOOKUP(FACT_IMPORTS[[#This Row],[hts_6]],DIM_PRODUCTS[hts_6],DIM_PRODUCTS[hts_4],,,)</f>
        <v>8501</v>
      </c>
      <c r="I13351" t="str" cm="1">
        <f t="array" ref="I13351">_xlfn.XLOOKUP(FACT_IMPORTS[[#This Row],[country_name]],DIM_COUNTRY[[#All],[Column2]],DIM_COUNTRY[[#All],[Column3]],,,)</f>
        <v>Major_Non-USMCA_Non-China</v>
      </c>
    </row>
    <row r="13352" spans="1:9" x14ac:dyDescent="0.4">
      <c r="A13352" t="s">
        <v>75</v>
      </c>
      <c r="B13352" s="1">
        <v>45383</v>
      </c>
      <c r="C13352">
        <v>850440</v>
      </c>
      <c r="D13352" t="s">
        <v>176</v>
      </c>
      <c r="E13352">
        <v>654367</v>
      </c>
      <c r="F13352">
        <v>18370</v>
      </c>
      <c r="G13352">
        <v>23987</v>
      </c>
      <c r="H13352">
        <f>_xlfn.XLOOKUP(FACT_IMPORTS[[#This Row],[hts_6]],DIM_PRODUCTS[hts_6],DIM_PRODUCTS[hts_4],,,)</f>
        <v>8504</v>
      </c>
      <c r="I13352" t="str" cm="1">
        <f t="array" ref="I13352">_xlfn.XLOOKUP(FACT_IMPORTS[[#This Row],[country_name]],DIM_COUNTRY[[#All],[Column2]],DIM_COUNTRY[[#All],[Column3]],,,)</f>
        <v>Major_Non-USMCA_Non-China</v>
      </c>
    </row>
    <row r="13353" spans="1:9" x14ac:dyDescent="0.4">
      <c r="A13353" t="s">
        <v>75</v>
      </c>
      <c r="B13353" s="1">
        <v>45383</v>
      </c>
      <c r="C13353">
        <v>850710</v>
      </c>
      <c r="D13353" t="s">
        <v>176</v>
      </c>
      <c r="E13353">
        <v>6318</v>
      </c>
      <c r="F13353">
        <v>85</v>
      </c>
      <c r="G13353">
        <v>1</v>
      </c>
      <c r="H13353">
        <f>_xlfn.XLOOKUP(FACT_IMPORTS[[#This Row],[hts_6]],DIM_PRODUCTS[hts_6],DIM_PRODUCTS[hts_4],,,)</f>
        <v>8507</v>
      </c>
      <c r="I13353" t="str" cm="1">
        <f t="array" ref="I13353">_xlfn.XLOOKUP(FACT_IMPORTS[[#This Row],[country_name]],DIM_COUNTRY[[#All],[Column2]],DIM_COUNTRY[[#All],[Column3]],,,)</f>
        <v>Major_Non-USMCA_Non-China</v>
      </c>
    </row>
    <row r="13354" spans="1:9" x14ac:dyDescent="0.4">
      <c r="A13354" t="s">
        <v>75</v>
      </c>
      <c r="B13354" s="1">
        <v>45383</v>
      </c>
      <c r="C13354">
        <v>850760</v>
      </c>
      <c r="D13354" t="s">
        <v>176</v>
      </c>
      <c r="E13354">
        <v>33210</v>
      </c>
      <c r="F13354">
        <v>2474</v>
      </c>
      <c r="G13354">
        <v>69</v>
      </c>
      <c r="H13354">
        <f>_xlfn.XLOOKUP(FACT_IMPORTS[[#This Row],[hts_6]],DIM_PRODUCTS[hts_6],DIM_PRODUCTS[hts_4],,,)</f>
        <v>8507</v>
      </c>
      <c r="I13354" t="str" cm="1">
        <f t="array" ref="I13354">_xlfn.XLOOKUP(FACT_IMPORTS[[#This Row],[country_name]],DIM_COUNTRY[[#All],[Column2]],DIM_COUNTRY[[#All],[Column3]],,,)</f>
        <v>Major_Non-USMCA_Non-China</v>
      </c>
    </row>
    <row r="13355" spans="1:9" x14ac:dyDescent="0.4">
      <c r="A13355" t="s">
        <v>75</v>
      </c>
      <c r="B13355" s="1">
        <v>45383</v>
      </c>
      <c r="C13355">
        <v>851120</v>
      </c>
      <c r="D13355" t="s">
        <v>176</v>
      </c>
      <c r="E13355">
        <v>0</v>
      </c>
      <c r="F13355">
        <v>0</v>
      </c>
      <c r="G13355">
        <v>0</v>
      </c>
      <c r="H13355">
        <f>_xlfn.XLOOKUP(FACT_IMPORTS[[#This Row],[hts_6]],DIM_PRODUCTS[hts_6],DIM_PRODUCTS[hts_4],,,)</f>
        <v>8511</v>
      </c>
      <c r="I13355" t="str" cm="1">
        <f t="array" ref="I13355">_xlfn.XLOOKUP(FACT_IMPORTS[[#This Row],[country_name]],DIM_COUNTRY[[#All],[Column2]],DIM_COUNTRY[[#All],[Column3]],,,)</f>
        <v>Major_Non-USMCA_Non-China</v>
      </c>
    </row>
    <row r="13356" spans="1:9" x14ac:dyDescent="0.4">
      <c r="A13356" t="s">
        <v>75</v>
      </c>
      <c r="B13356" s="1">
        <v>45383</v>
      </c>
      <c r="C13356">
        <v>851130</v>
      </c>
      <c r="D13356" t="s">
        <v>176</v>
      </c>
      <c r="E13356">
        <v>0</v>
      </c>
      <c r="F13356">
        <v>0</v>
      </c>
      <c r="G13356">
        <v>0</v>
      </c>
      <c r="H13356">
        <f>_xlfn.XLOOKUP(FACT_IMPORTS[[#This Row],[hts_6]],DIM_PRODUCTS[hts_6],DIM_PRODUCTS[hts_4],,,)</f>
        <v>8511</v>
      </c>
      <c r="I13356" t="str" cm="1">
        <f t="array" ref="I13356">_xlfn.XLOOKUP(FACT_IMPORTS[[#This Row],[country_name]],DIM_COUNTRY[[#All],[Column2]],DIM_COUNTRY[[#All],[Column3]],,,)</f>
        <v>Major_Non-USMCA_Non-China</v>
      </c>
    </row>
    <row r="13357" spans="1:9" x14ac:dyDescent="0.4">
      <c r="A13357" t="s">
        <v>75</v>
      </c>
      <c r="B13357" s="1">
        <v>45383</v>
      </c>
      <c r="C13357">
        <v>851140</v>
      </c>
      <c r="D13357" t="s">
        <v>176</v>
      </c>
      <c r="E13357">
        <v>10323</v>
      </c>
      <c r="F13357">
        <v>97</v>
      </c>
      <c r="G13357">
        <v>8</v>
      </c>
      <c r="H13357">
        <f>_xlfn.XLOOKUP(FACT_IMPORTS[[#This Row],[hts_6]],DIM_PRODUCTS[hts_6],DIM_PRODUCTS[hts_4],,,)</f>
        <v>8511</v>
      </c>
      <c r="I13357" t="str" cm="1">
        <f t="array" ref="I13357">_xlfn.XLOOKUP(FACT_IMPORTS[[#This Row],[country_name]],DIM_COUNTRY[[#All],[Column2]],DIM_COUNTRY[[#All],[Column3]],,,)</f>
        <v>Major_Non-USMCA_Non-China</v>
      </c>
    </row>
    <row r="13358" spans="1:9" x14ac:dyDescent="0.4">
      <c r="A13358" t="s">
        <v>75</v>
      </c>
      <c r="B13358" s="1">
        <v>45383</v>
      </c>
      <c r="C13358">
        <v>851150</v>
      </c>
      <c r="D13358" t="s">
        <v>176</v>
      </c>
      <c r="E13358">
        <v>0</v>
      </c>
      <c r="F13358">
        <v>0</v>
      </c>
      <c r="G13358">
        <v>0</v>
      </c>
      <c r="H13358">
        <f>_xlfn.XLOOKUP(FACT_IMPORTS[[#This Row],[hts_6]],DIM_PRODUCTS[hts_6],DIM_PRODUCTS[hts_4],,,)</f>
        <v>8511</v>
      </c>
      <c r="I13358" t="str" cm="1">
        <f t="array" ref="I13358">_xlfn.XLOOKUP(FACT_IMPORTS[[#This Row],[country_name]],DIM_COUNTRY[[#All],[Column2]],DIM_COUNTRY[[#All],[Column3]],,,)</f>
        <v>Major_Non-USMCA_Non-China</v>
      </c>
    </row>
    <row r="13359" spans="1:9" x14ac:dyDescent="0.4">
      <c r="A13359" t="s">
        <v>75</v>
      </c>
      <c r="B13359" s="1">
        <v>45383</v>
      </c>
      <c r="C13359">
        <v>851180</v>
      </c>
      <c r="D13359" t="s">
        <v>176</v>
      </c>
      <c r="E13359">
        <v>0</v>
      </c>
      <c r="F13359">
        <v>0</v>
      </c>
      <c r="G13359">
        <v>0</v>
      </c>
      <c r="H13359">
        <f>_xlfn.XLOOKUP(FACT_IMPORTS[[#This Row],[hts_6]],DIM_PRODUCTS[hts_6],DIM_PRODUCTS[hts_4],,,)</f>
        <v>8511</v>
      </c>
      <c r="I13359" t="str" cm="1">
        <f t="array" ref="I13359">_xlfn.XLOOKUP(FACT_IMPORTS[[#This Row],[country_name]],DIM_COUNTRY[[#All],[Column2]],DIM_COUNTRY[[#All],[Column3]],,,)</f>
        <v>Major_Non-USMCA_Non-China</v>
      </c>
    </row>
    <row r="13360" spans="1:9" x14ac:dyDescent="0.4">
      <c r="A13360" t="s">
        <v>75</v>
      </c>
      <c r="B13360" s="1">
        <v>45383</v>
      </c>
      <c r="C13360">
        <v>851190</v>
      </c>
      <c r="D13360" t="s">
        <v>176</v>
      </c>
      <c r="E13360">
        <v>23444</v>
      </c>
      <c r="F13360">
        <v>773</v>
      </c>
      <c r="G13360">
        <v>535</v>
      </c>
      <c r="H13360">
        <f>_xlfn.XLOOKUP(FACT_IMPORTS[[#This Row],[hts_6]],DIM_PRODUCTS[hts_6],DIM_PRODUCTS[hts_4],,,)</f>
        <v>8511</v>
      </c>
      <c r="I13360" t="str" cm="1">
        <f t="array" ref="I13360">_xlfn.XLOOKUP(FACT_IMPORTS[[#This Row],[country_name]],DIM_COUNTRY[[#All],[Column2]],DIM_COUNTRY[[#All],[Column3]],,,)</f>
        <v>Major_Non-USMCA_Non-China</v>
      </c>
    </row>
    <row r="13361" spans="1:9" x14ac:dyDescent="0.4">
      <c r="A13361" t="s">
        <v>75</v>
      </c>
      <c r="B13361" s="1">
        <v>45383</v>
      </c>
      <c r="C13361">
        <v>851220</v>
      </c>
      <c r="D13361" t="s">
        <v>176</v>
      </c>
      <c r="E13361">
        <v>1470194</v>
      </c>
      <c r="F13361">
        <v>276447</v>
      </c>
      <c r="G13361">
        <v>27456</v>
      </c>
      <c r="H13361">
        <f>_xlfn.XLOOKUP(FACT_IMPORTS[[#This Row],[hts_6]],DIM_PRODUCTS[hts_6],DIM_PRODUCTS[hts_4],,,)</f>
        <v>8512</v>
      </c>
      <c r="I13361" t="str" cm="1">
        <f t="array" ref="I13361">_xlfn.XLOOKUP(FACT_IMPORTS[[#This Row],[country_name]],DIM_COUNTRY[[#All],[Column2]],DIM_COUNTRY[[#All],[Column3]],,,)</f>
        <v>Major_Non-USMCA_Non-China</v>
      </c>
    </row>
    <row r="13362" spans="1:9" x14ac:dyDescent="0.4">
      <c r="A13362" t="s">
        <v>75</v>
      </c>
      <c r="B13362" s="1">
        <v>45383</v>
      </c>
      <c r="C13362">
        <v>851230</v>
      </c>
      <c r="D13362" t="s">
        <v>176</v>
      </c>
      <c r="E13362">
        <v>4058</v>
      </c>
      <c r="F13362">
        <v>200</v>
      </c>
      <c r="G13362">
        <v>298</v>
      </c>
      <c r="H13362">
        <f>_xlfn.XLOOKUP(FACT_IMPORTS[[#This Row],[hts_6]],DIM_PRODUCTS[hts_6],DIM_PRODUCTS[hts_4],,,)</f>
        <v>8512</v>
      </c>
      <c r="I13362" t="str" cm="1">
        <f t="array" ref="I13362">_xlfn.XLOOKUP(FACT_IMPORTS[[#This Row],[country_name]],DIM_COUNTRY[[#All],[Column2]],DIM_COUNTRY[[#All],[Column3]],,,)</f>
        <v>Major_Non-USMCA_Non-China</v>
      </c>
    </row>
    <row r="13363" spans="1:9" x14ac:dyDescent="0.4">
      <c r="A13363" t="s">
        <v>75</v>
      </c>
      <c r="B13363" s="1">
        <v>45383</v>
      </c>
      <c r="C13363">
        <v>851290</v>
      </c>
      <c r="D13363" t="s">
        <v>176</v>
      </c>
      <c r="E13363">
        <v>2922866</v>
      </c>
      <c r="F13363">
        <v>48985</v>
      </c>
      <c r="G13363">
        <v>39350</v>
      </c>
      <c r="H13363">
        <f>_xlfn.XLOOKUP(FACT_IMPORTS[[#This Row],[hts_6]],DIM_PRODUCTS[hts_6],DIM_PRODUCTS[hts_4],,,)</f>
        <v>8512</v>
      </c>
      <c r="I13363" t="str" cm="1">
        <f t="array" ref="I13363">_xlfn.XLOOKUP(FACT_IMPORTS[[#This Row],[country_name]],DIM_COUNTRY[[#All],[Column2]],DIM_COUNTRY[[#All],[Column3]],,,)</f>
        <v>Major_Non-USMCA_Non-China</v>
      </c>
    </row>
    <row r="13364" spans="1:9" x14ac:dyDescent="0.4">
      <c r="A13364" t="s">
        <v>75</v>
      </c>
      <c r="B13364" s="1">
        <v>45383</v>
      </c>
      <c r="C13364">
        <v>854231</v>
      </c>
      <c r="D13364" t="s">
        <v>176</v>
      </c>
      <c r="E13364">
        <v>13572</v>
      </c>
      <c r="F13364">
        <v>5</v>
      </c>
      <c r="G13364">
        <v>490</v>
      </c>
      <c r="H13364">
        <f>_xlfn.XLOOKUP(FACT_IMPORTS[[#This Row],[hts_6]],DIM_PRODUCTS[hts_6],DIM_PRODUCTS[hts_4],,,)</f>
        <v>8542</v>
      </c>
      <c r="I13364" t="str" cm="1">
        <f t="array" ref="I13364">_xlfn.XLOOKUP(FACT_IMPORTS[[#This Row],[country_name]],DIM_COUNTRY[[#All],[Column2]],DIM_COUNTRY[[#All],[Column3]],,,)</f>
        <v>Major_Non-USMCA_Non-China</v>
      </c>
    </row>
    <row r="13365" spans="1:9" x14ac:dyDescent="0.4">
      <c r="A13365" t="s">
        <v>75</v>
      </c>
      <c r="B13365" s="1">
        <v>45383</v>
      </c>
      <c r="C13365">
        <v>854232</v>
      </c>
      <c r="D13365" t="s">
        <v>176</v>
      </c>
      <c r="E13365">
        <v>0</v>
      </c>
      <c r="F13365">
        <v>0</v>
      </c>
      <c r="G13365">
        <v>0</v>
      </c>
      <c r="H13365">
        <f>_xlfn.XLOOKUP(FACT_IMPORTS[[#This Row],[hts_6]],DIM_PRODUCTS[hts_6],DIM_PRODUCTS[hts_4],,,)</f>
        <v>8542</v>
      </c>
      <c r="I13365" t="str" cm="1">
        <f t="array" ref="I13365">_xlfn.XLOOKUP(FACT_IMPORTS[[#This Row],[country_name]],DIM_COUNTRY[[#All],[Column2]],DIM_COUNTRY[[#All],[Column3]],,,)</f>
        <v>Major_Non-USMCA_Non-China</v>
      </c>
    </row>
    <row r="13366" spans="1:9" x14ac:dyDescent="0.4">
      <c r="A13366" t="s">
        <v>75</v>
      </c>
      <c r="B13366" s="1">
        <v>45383</v>
      </c>
      <c r="C13366">
        <v>854233</v>
      </c>
      <c r="D13366" t="s">
        <v>176</v>
      </c>
      <c r="E13366">
        <v>0</v>
      </c>
      <c r="F13366">
        <v>0</v>
      </c>
      <c r="G13366">
        <v>0</v>
      </c>
      <c r="H13366">
        <f>_xlfn.XLOOKUP(FACT_IMPORTS[[#This Row],[hts_6]],DIM_PRODUCTS[hts_6],DIM_PRODUCTS[hts_4],,,)</f>
        <v>8542</v>
      </c>
      <c r="I13366" t="str" cm="1">
        <f t="array" ref="I13366">_xlfn.XLOOKUP(FACT_IMPORTS[[#This Row],[country_name]],DIM_COUNTRY[[#All],[Column2]],DIM_COUNTRY[[#All],[Column3]],,,)</f>
        <v>Major_Non-USMCA_Non-China</v>
      </c>
    </row>
    <row r="13367" spans="1:9" x14ac:dyDescent="0.4">
      <c r="A13367" t="s">
        <v>75</v>
      </c>
      <c r="B13367" s="1">
        <v>45383</v>
      </c>
      <c r="C13367">
        <v>854239</v>
      </c>
      <c r="D13367" t="s">
        <v>176</v>
      </c>
      <c r="E13367">
        <v>1852391</v>
      </c>
      <c r="F13367">
        <v>443608</v>
      </c>
      <c r="G13367">
        <v>168920</v>
      </c>
      <c r="H13367">
        <f>_xlfn.XLOOKUP(FACT_IMPORTS[[#This Row],[hts_6]],DIM_PRODUCTS[hts_6],DIM_PRODUCTS[hts_4],,,)</f>
        <v>8542</v>
      </c>
      <c r="I13367" t="str" cm="1">
        <f t="array" ref="I13367">_xlfn.XLOOKUP(FACT_IMPORTS[[#This Row],[country_name]],DIM_COUNTRY[[#All],[Column2]],DIM_COUNTRY[[#All],[Column3]],,,)</f>
        <v>Major_Non-USMCA_Non-China</v>
      </c>
    </row>
    <row r="13368" spans="1:9" x14ac:dyDescent="0.4">
      <c r="A13368" t="s">
        <v>75</v>
      </c>
      <c r="B13368" s="1">
        <v>45383</v>
      </c>
      <c r="C13368">
        <v>854290</v>
      </c>
      <c r="D13368" t="s">
        <v>176</v>
      </c>
      <c r="E13368">
        <v>0</v>
      </c>
      <c r="F13368">
        <v>0</v>
      </c>
      <c r="G13368">
        <v>0</v>
      </c>
      <c r="H13368">
        <f>_xlfn.XLOOKUP(FACT_IMPORTS[[#This Row],[hts_6]],DIM_PRODUCTS[hts_6],DIM_PRODUCTS[hts_4],,,)</f>
        <v>8542</v>
      </c>
      <c r="I13368" t="str" cm="1">
        <f t="array" ref="I13368">_xlfn.XLOOKUP(FACT_IMPORTS[[#This Row],[country_name]],DIM_COUNTRY[[#All],[Column2]],DIM_COUNTRY[[#All],[Column3]],,,)</f>
        <v>Major_Non-USMCA_Non-China</v>
      </c>
    </row>
    <row r="13369" spans="1:9" x14ac:dyDescent="0.4">
      <c r="A13369" t="s">
        <v>75</v>
      </c>
      <c r="B13369" s="1">
        <v>45383</v>
      </c>
      <c r="C13369">
        <v>854430</v>
      </c>
      <c r="D13369" t="s">
        <v>176</v>
      </c>
      <c r="E13369">
        <v>15900</v>
      </c>
      <c r="F13369">
        <v>2480</v>
      </c>
      <c r="G13369">
        <v>258</v>
      </c>
      <c r="H13369">
        <f>_xlfn.XLOOKUP(FACT_IMPORTS[[#This Row],[hts_6]],DIM_PRODUCTS[hts_6],DIM_PRODUCTS[hts_4],,,)</f>
        <v>8544</v>
      </c>
      <c r="I13369" t="str" cm="1">
        <f t="array" ref="I13369">_xlfn.XLOOKUP(FACT_IMPORTS[[#This Row],[country_name]],DIM_COUNTRY[[#All],[Column2]],DIM_COUNTRY[[#All],[Column3]],,,)</f>
        <v>Major_Non-USMCA_Non-China</v>
      </c>
    </row>
    <row r="13370" spans="1:9" x14ac:dyDescent="0.4">
      <c r="A13370" t="s">
        <v>75</v>
      </c>
      <c r="B13370" s="1">
        <v>45383</v>
      </c>
      <c r="C13370">
        <v>870810</v>
      </c>
      <c r="D13370" t="s">
        <v>176</v>
      </c>
      <c r="E13370">
        <v>335856</v>
      </c>
      <c r="F13370">
        <v>5893</v>
      </c>
      <c r="G13370">
        <v>54146</v>
      </c>
      <c r="H13370">
        <f>_xlfn.XLOOKUP(FACT_IMPORTS[[#This Row],[hts_6]],DIM_PRODUCTS[hts_6],DIM_PRODUCTS[hts_4],,,)</f>
        <v>8708</v>
      </c>
      <c r="I13370" t="str" cm="1">
        <f t="array" ref="I13370">_xlfn.XLOOKUP(FACT_IMPORTS[[#This Row],[country_name]],DIM_COUNTRY[[#All],[Column2]],DIM_COUNTRY[[#All],[Column3]],,,)</f>
        <v>Major_Non-USMCA_Non-China</v>
      </c>
    </row>
    <row r="13371" spans="1:9" x14ac:dyDescent="0.4">
      <c r="A13371" t="s">
        <v>75</v>
      </c>
      <c r="B13371" s="1">
        <v>45383</v>
      </c>
      <c r="C13371">
        <v>870829</v>
      </c>
      <c r="D13371" t="s">
        <v>176</v>
      </c>
      <c r="E13371">
        <v>504524</v>
      </c>
      <c r="F13371">
        <v>99052</v>
      </c>
      <c r="G13371">
        <v>36978</v>
      </c>
      <c r="H13371">
        <f>_xlfn.XLOOKUP(FACT_IMPORTS[[#This Row],[hts_6]],DIM_PRODUCTS[hts_6],DIM_PRODUCTS[hts_4],,,)</f>
        <v>8708</v>
      </c>
      <c r="I13371" t="str" cm="1">
        <f t="array" ref="I13371">_xlfn.XLOOKUP(FACT_IMPORTS[[#This Row],[country_name]],DIM_COUNTRY[[#All],[Column2]],DIM_COUNTRY[[#All],[Column3]],,,)</f>
        <v>Major_Non-USMCA_Non-China</v>
      </c>
    </row>
    <row r="13372" spans="1:9" x14ac:dyDescent="0.4">
      <c r="A13372" t="s">
        <v>75</v>
      </c>
      <c r="B13372" s="1">
        <v>45383</v>
      </c>
      <c r="C13372">
        <v>870830</v>
      </c>
      <c r="D13372" t="s">
        <v>176</v>
      </c>
      <c r="E13372">
        <v>8354</v>
      </c>
      <c r="F13372">
        <v>59</v>
      </c>
      <c r="G13372">
        <v>570</v>
      </c>
      <c r="H13372">
        <f>_xlfn.XLOOKUP(FACT_IMPORTS[[#This Row],[hts_6]],DIM_PRODUCTS[hts_6],DIM_PRODUCTS[hts_4],,,)</f>
        <v>8708</v>
      </c>
      <c r="I13372" t="str" cm="1">
        <f t="array" ref="I13372">_xlfn.XLOOKUP(FACT_IMPORTS[[#This Row],[country_name]],DIM_COUNTRY[[#All],[Column2]],DIM_COUNTRY[[#All],[Column3]],,,)</f>
        <v>Major_Non-USMCA_Non-China</v>
      </c>
    </row>
    <row r="13373" spans="1:9" x14ac:dyDescent="0.4">
      <c r="A13373" t="s">
        <v>75</v>
      </c>
      <c r="B13373" s="1">
        <v>45383</v>
      </c>
      <c r="C13373">
        <v>870840</v>
      </c>
      <c r="D13373" t="s">
        <v>176</v>
      </c>
      <c r="E13373">
        <v>363755</v>
      </c>
      <c r="F13373">
        <v>54350</v>
      </c>
      <c r="G13373">
        <v>662</v>
      </c>
      <c r="H13373">
        <f>_xlfn.XLOOKUP(FACT_IMPORTS[[#This Row],[hts_6]],DIM_PRODUCTS[hts_6],DIM_PRODUCTS[hts_4],,,)</f>
        <v>8708</v>
      </c>
      <c r="I13373" t="str" cm="1">
        <f t="array" ref="I13373">_xlfn.XLOOKUP(FACT_IMPORTS[[#This Row],[country_name]],DIM_COUNTRY[[#All],[Column2]],DIM_COUNTRY[[#All],[Column3]],,,)</f>
        <v>Major_Non-USMCA_Non-China</v>
      </c>
    </row>
    <row r="13374" spans="1:9" x14ac:dyDescent="0.4">
      <c r="A13374" t="s">
        <v>75</v>
      </c>
      <c r="B13374" s="1">
        <v>45383</v>
      </c>
      <c r="C13374">
        <v>870850</v>
      </c>
      <c r="D13374" t="s">
        <v>176</v>
      </c>
      <c r="E13374">
        <v>740708</v>
      </c>
      <c r="F13374">
        <v>3621</v>
      </c>
      <c r="G13374">
        <v>17417</v>
      </c>
      <c r="H13374">
        <f>_xlfn.XLOOKUP(FACT_IMPORTS[[#This Row],[hts_6]],DIM_PRODUCTS[hts_6],DIM_PRODUCTS[hts_4],,,)</f>
        <v>8708</v>
      </c>
      <c r="I13374" t="str" cm="1">
        <f t="array" ref="I13374">_xlfn.XLOOKUP(FACT_IMPORTS[[#This Row],[country_name]],DIM_COUNTRY[[#All],[Column2]],DIM_COUNTRY[[#All],[Column3]],,,)</f>
        <v>Major_Non-USMCA_Non-China</v>
      </c>
    </row>
    <row r="13375" spans="1:9" x14ac:dyDescent="0.4">
      <c r="A13375" t="s">
        <v>75</v>
      </c>
      <c r="B13375" s="1">
        <v>45383</v>
      </c>
      <c r="C13375">
        <v>870870</v>
      </c>
      <c r="D13375" t="s">
        <v>176</v>
      </c>
      <c r="E13375">
        <v>949083</v>
      </c>
      <c r="F13375">
        <v>3745</v>
      </c>
      <c r="G13375">
        <v>16665</v>
      </c>
      <c r="H13375">
        <f>_xlfn.XLOOKUP(FACT_IMPORTS[[#This Row],[hts_6]],DIM_PRODUCTS[hts_6],DIM_PRODUCTS[hts_4],,,)</f>
        <v>8708</v>
      </c>
      <c r="I13375" t="str" cm="1">
        <f t="array" ref="I13375">_xlfn.XLOOKUP(FACT_IMPORTS[[#This Row],[country_name]],DIM_COUNTRY[[#All],[Column2]],DIM_COUNTRY[[#All],[Column3]],,,)</f>
        <v>Major_Non-USMCA_Non-China</v>
      </c>
    </row>
    <row r="13376" spans="1:9" x14ac:dyDescent="0.4">
      <c r="A13376" t="s">
        <v>75</v>
      </c>
      <c r="B13376" s="1">
        <v>45383</v>
      </c>
      <c r="C13376">
        <v>870880</v>
      </c>
      <c r="D13376" t="s">
        <v>176</v>
      </c>
      <c r="E13376">
        <v>728355</v>
      </c>
      <c r="F13376">
        <v>45708</v>
      </c>
      <c r="G13376">
        <v>33118</v>
      </c>
      <c r="H13376">
        <f>_xlfn.XLOOKUP(FACT_IMPORTS[[#This Row],[hts_6]],DIM_PRODUCTS[hts_6],DIM_PRODUCTS[hts_4],,,)</f>
        <v>8708</v>
      </c>
      <c r="I13376" t="str" cm="1">
        <f t="array" ref="I13376">_xlfn.XLOOKUP(FACT_IMPORTS[[#This Row],[country_name]],DIM_COUNTRY[[#All],[Column2]],DIM_COUNTRY[[#All],[Column3]],,,)</f>
        <v>Major_Non-USMCA_Non-China</v>
      </c>
    </row>
    <row r="13377" spans="1:9" x14ac:dyDescent="0.4">
      <c r="A13377" t="s">
        <v>75</v>
      </c>
      <c r="B13377" s="1">
        <v>45383</v>
      </c>
      <c r="C13377">
        <v>870891</v>
      </c>
      <c r="D13377" t="s">
        <v>176</v>
      </c>
      <c r="E13377">
        <v>13467</v>
      </c>
      <c r="F13377">
        <v>19500</v>
      </c>
      <c r="G13377">
        <v>336</v>
      </c>
      <c r="H13377">
        <f>_xlfn.XLOOKUP(FACT_IMPORTS[[#This Row],[hts_6]],DIM_PRODUCTS[hts_6],DIM_PRODUCTS[hts_4],,,)</f>
        <v>8708</v>
      </c>
      <c r="I13377" t="str" cm="1">
        <f t="array" ref="I13377">_xlfn.XLOOKUP(FACT_IMPORTS[[#This Row],[country_name]],DIM_COUNTRY[[#All],[Column2]],DIM_COUNTRY[[#All],[Column3]],,,)</f>
        <v>Major_Non-USMCA_Non-China</v>
      </c>
    </row>
    <row r="13378" spans="1:9" x14ac:dyDescent="0.4">
      <c r="A13378" t="s">
        <v>75</v>
      </c>
      <c r="B13378" s="1">
        <v>45383</v>
      </c>
      <c r="C13378">
        <v>870892</v>
      </c>
      <c r="D13378" t="s">
        <v>176</v>
      </c>
      <c r="E13378">
        <v>11850</v>
      </c>
      <c r="F13378">
        <v>30</v>
      </c>
      <c r="G13378">
        <v>100</v>
      </c>
      <c r="H13378">
        <f>_xlfn.XLOOKUP(FACT_IMPORTS[[#This Row],[hts_6]],DIM_PRODUCTS[hts_6],DIM_PRODUCTS[hts_4],,,)</f>
        <v>8708</v>
      </c>
      <c r="I13378" t="str" cm="1">
        <f t="array" ref="I13378">_xlfn.XLOOKUP(FACT_IMPORTS[[#This Row],[country_name]],DIM_COUNTRY[[#All],[Column2]],DIM_COUNTRY[[#All],[Column3]],,,)</f>
        <v>Major_Non-USMCA_Non-China</v>
      </c>
    </row>
    <row r="13379" spans="1:9" x14ac:dyDescent="0.4">
      <c r="A13379" t="s">
        <v>75</v>
      </c>
      <c r="B13379" s="1">
        <v>45383</v>
      </c>
      <c r="C13379">
        <v>870893</v>
      </c>
      <c r="D13379" t="s">
        <v>176</v>
      </c>
      <c r="E13379">
        <v>156542</v>
      </c>
      <c r="F13379">
        <v>5787</v>
      </c>
      <c r="G13379">
        <v>9073</v>
      </c>
      <c r="H13379">
        <f>_xlfn.XLOOKUP(FACT_IMPORTS[[#This Row],[hts_6]],DIM_PRODUCTS[hts_6],DIM_PRODUCTS[hts_4],,,)</f>
        <v>8708</v>
      </c>
      <c r="I13379" t="str" cm="1">
        <f t="array" ref="I13379">_xlfn.XLOOKUP(FACT_IMPORTS[[#This Row],[country_name]],DIM_COUNTRY[[#All],[Column2]],DIM_COUNTRY[[#All],[Column3]],,,)</f>
        <v>Major_Non-USMCA_Non-China</v>
      </c>
    </row>
    <row r="13380" spans="1:9" x14ac:dyDescent="0.4">
      <c r="A13380" t="s">
        <v>75</v>
      </c>
      <c r="B13380" s="1">
        <v>45383</v>
      </c>
      <c r="C13380">
        <v>870894</v>
      </c>
      <c r="D13380" t="s">
        <v>176</v>
      </c>
      <c r="E13380">
        <v>44895</v>
      </c>
      <c r="F13380">
        <v>5358</v>
      </c>
      <c r="G13380">
        <v>657</v>
      </c>
      <c r="H13380">
        <f>_xlfn.XLOOKUP(FACT_IMPORTS[[#This Row],[hts_6]],DIM_PRODUCTS[hts_6],DIM_PRODUCTS[hts_4],,,)</f>
        <v>8708</v>
      </c>
      <c r="I13380" t="str" cm="1">
        <f t="array" ref="I13380">_xlfn.XLOOKUP(FACT_IMPORTS[[#This Row],[country_name]],DIM_COUNTRY[[#All],[Column2]],DIM_COUNTRY[[#All],[Column3]],,,)</f>
        <v>Major_Non-USMCA_Non-China</v>
      </c>
    </row>
    <row r="13381" spans="1:9" x14ac:dyDescent="0.4">
      <c r="A13381" t="s">
        <v>75</v>
      </c>
      <c r="B13381" s="1">
        <v>45383</v>
      </c>
      <c r="C13381">
        <v>870899</v>
      </c>
      <c r="D13381" t="s">
        <v>176</v>
      </c>
      <c r="E13381">
        <v>900833</v>
      </c>
      <c r="F13381">
        <v>437128</v>
      </c>
      <c r="G13381">
        <v>56800</v>
      </c>
      <c r="H13381">
        <f>_xlfn.XLOOKUP(FACT_IMPORTS[[#This Row],[hts_6]],DIM_PRODUCTS[hts_6],DIM_PRODUCTS[hts_4],,,)</f>
        <v>8708</v>
      </c>
      <c r="I13381" t="str" cm="1">
        <f t="array" ref="I13381">_xlfn.XLOOKUP(FACT_IMPORTS[[#This Row],[country_name]],DIM_COUNTRY[[#All],[Column2]],DIM_COUNTRY[[#All],[Column3]],,,)</f>
        <v>Major_Non-USMCA_Non-China</v>
      </c>
    </row>
    <row r="13382" spans="1:9" x14ac:dyDescent="0.4">
      <c r="A13382" t="s">
        <v>75</v>
      </c>
      <c r="B13382" s="1">
        <v>45413</v>
      </c>
      <c r="C13382">
        <v>392630</v>
      </c>
      <c r="D13382" t="s">
        <v>176</v>
      </c>
      <c r="E13382">
        <v>14070</v>
      </c>
      <c r="F13382">
        <v>2207</v>
      </c>
      <c r="G13382">
        <v>996</v>
      </c>
      <c r="H13382">
        <f>_xlfn.XLOOKUP(FACT_IMPORTS[[#This Row],[hts_6]],DIM_PRODUCTS[hts_6],DIM_PRODUCTS[hts_4],,,)</f>
        <v>3926</v>
      </c>
      <c r="I13382" t="str" cm="1">
        <f t="array" ref="I13382">_xlfn.XLOOKUP(FACT_IMPORTS[[#This Row],[country_name]],DIM_COUNTRY[[#All],[Column2]],DIM_COUNTRY[[#All],[Column3]],,,)</f>
        <v>Major_Non-USMCA_Non-China</v>
      </c>
    </row>
    <row r="13383" spans="1:9" x14ac:dyDescent="0.4">
      <c r="A13383" t="s">
        <v>75</v>
      </c>
      <c r="B13383" s="1">
        <v>45413</v>
      </c>
      <c r="C13383">
        <v>401110</v>
      </c>
      <c r="D13383" t="s">
        <v>176</v>
      </c>
      <c r="E13383">
        <v>12265</v>
      </c>
      <c r="F13383">
        <v>160</v>
      </c>
      <c r="G13383">
        <v>350</v>
      </c>
      <c r="H13383">
        <f>_xlfn.XLOOKUP(FACT_IMPORTS[[#This Row],[hts_6]],DIM_PRODUCTS[hts_6],DIM_PRODUCTS[hts_4],,,)</f>
        <v>4011</v>
      </c>
      <c r="I13383" t="str" cm="1">
        <f t="array" ref="I13383">_xlfn.XLOOKUP(FACT_IMPORTS[[#This Row],[country_name]],DIM_COUNTRY[[#All],[Column2]],DIM_COUNTRY[[#All],[Column3]],,,)</f>
        <v>Major_Non-USMCA_Non-China</v>
      </c>
    </row>
    <row r="13384" spans="1:9" x14ac:dyDescent="0.4">
      <c r="A13384" t="s">
        <v>75</v>
      </c>
      <c r="B13384" s="1">
        <v>45413</v>
      </c>
      <c r="C13384">
        <v>401120</v>
      </c>
      <c r="D13384" t="s">
        <v>176</v>
      </c>
      <c r="E13384">
        <v>0</v>
      </c>
      <c r="F13384">
        <v>0</v>
      </c>
      <c r="G13384">
        <v>0</v>
      </c>
      <c r="H13384">
        <f>_xlfn.XLOOKUP(FACT_IMPORTS[[#This Row],[hts_6]],DIM_PRODUCTS[hts_6],DIM_PRODUCTS[hts_4],,,)</f>
        <v>4011</v>
      </c>
      <c r="I13384" t="str" cm="1">
        <f t="array" ref="I13384">_xlfn.XLOOKUP(FACT_IMPORTS[[#This Row],[country_name]],DIM_COUNTRY[[#All],[Column2]],DIM_COUNTRY[[#All],[Column3]],,,)</f>
        <v>Major_Non-USMCA_Non-China</v>
      </c>
    </row>
    <row r="13385" spans="1:9" x14ac:dyDescent="0.4">
      <c r="A13385" t="s">
        <v>75</v>
      </c>
      <c r="B13385" s="1">
        <v>45413</v>
      </c>
      <c r="C13385">
        <v>401140</v>
      </c>
      <c r="D13385" t="s">
        <v>176</v>
      </c>
      <c r="E13385">
        <v>0</v>
      </c>
      <c r="F13385">
        <v>0</v>
      </c>
      <c r="G13385">
        <v>0</v>
      </c>
      <c r="H13385">
        <f>_xlfn.XLOOKUP(FACT_IMPORTS[[#This Row],[hts_6]],DIM_PRODUCTS[hts_6],DIM_PRODUCTS[hts_4],,,)</f>
        <v>4011</v>
      </c>
      <c r="I13385" t="str" cm="1">
        <f t="array" ref="I13385">_xlfn.XLOOKUP(FACT_IMPORTS[[#This Row],[country_name]],DIM_COUNTRY[[#All],[Column2]],DIM_COUNTRY[[#All],[Column3]],,,)</f>
        <v>Major_Non-USMCA_Non-China</v>
      </c>
    </row>
    <row r="13386" spans="1:9" x14ac:dyDescent="0.4">
      <c r="A13386" t="s">
        <v>75</v>
      </c>
      <c r="B13386" s="1">
        <v>45413</v>
      </c>
      <c r="C13386">
        <v>401190</v>
      </c>
      <c r="D13386" t="s">
        <v>176</v>
      </c>
      <c r="E13386">
        <v>14190</v>
      </c>
      <c r="F13386">
        <v>34</v>
      </c>
      <c r="G13386">
        <v>808</v>
      </c>
      <c r="H13386">
        <f>_xlfn.XLOOKUP(FACT_IMPORTS[[#This Row],[hts_6]],DIM_PRODUCTS[hts_6],DIM_PRODUCTS[hts_4],,,)</f>
        <v>4011</v>
      </c>
      <c r="I13386" t="str" cm="1">
        <f t="array" ref="I13386">_xlfn.XLOOKUP(FACT_IMPORTS[[#This Row],[country_name]],DIM_COUNTRY[[#All],[Column2]],DIM_COUNTRY[[#All],[Column3]],,,)</f>
        <v>Major_Non-USMCA_Non-China</v>
      </c>
    </row>
    <row r="13387" spans="1:9" x14ac:dyDescent="0.4">
      <c r="A13387" t="s">
        <v>75</v>
      </c>
      <c r="B13387" s="1">
        <v>45413</v>
      </c>
      <c r="C13387">
        <v>700721</v>
      </c>
      <c r="D13387" t="s">
        <v>176</v>
      </c>
      <c r="E13387">
        <v>0</v>
      </c>
      <c r="F13387">
        <v>0</v>
      </c>
      <c r="G13387">
        <v>0</v>
      </c>
      <c r="H13387">
        <f>_xlfn.XLOOKUP(FACT_IMPORTS[[#This Row],[hts_6]],DIM_PRODUCTS[hts_6],DIM_PRODUCTS[hts_4],,,)</f>
        <v>7007</v>
      </c>
      <c r="I13387" t="str" cm="1">
        <f t="array" ref="I13387">_xlfn.XLOOKUP(FACT_IMPORTS[[#This Row],[country_name]],DIM_COUNTRY[[#All],[Column2]],DIM_COUNTRY[[#All],[Column3]],,,)</f>
        <v>Major_Non-USMCA_Non-China</v>
      </c>
    </row>
    <row r="13388" spans="1:9" x14ac:dyDescent="0.4">
      <c r="A13388" t="s">
        <v>75</v>
      </c>
      <c r="B13388" s="1">
        <v>45413</v>
      </c>
      <c r="C13388">
        <v>700910</v>
      </c>
      <c r="D13388" t="s">
        <v>176</v>
      </c>
      <c r="E13388">
        <v>70403</v>
      </c>
      <c r="F13388">
        <v>21960</v>
      </c>
      <c r="G13388">
        <v>2095</v>
      </c>
      <c r="H13388">
        <f>_xlfn.XLOOKUP(FACT_IMPORTS[[#This Row],[hts_6]],DIM_PRODUCTS[hts_6],DIM_PRODUCTS[hts_4],,,)</f>
        <v>7009</v>
      </c>
      <c r="I13388" t="str" cm="1">
        <f t="array" ref="I13388">_xlfn.XLOOKUP(FACT_IMPORTS[[#This Row],[country_name]],DIM_COUNTRY[[#All],[Column2]],DIM_COUNTRY[[#All],[Column3]],,,)</f>
        <v>Major_Non-USMCA_Non-China</v>
      </c>
    </row>
    <row r="13389" spans="1:9" x14ac:dyDescent="0.4">
      <c r="A13389" t="s">
        <v>75</v>
      </c>
      <c r="B13389" s="1">
        <v>45413</v>
      </c>
      <c r="C13389">
        <v>732010</v>
      </c>
      <c r="D13389" t="s">
        <v>176</v>
      </c>
      <c r="E13389">
        <v>0</v>
      </c>
      <c r="F13389">
        <v>0</v>
      </c>
      <c r="G13389">
        <v>0</v>
      </c>
      <c r="H13389">
        <f>_xlfn.XLOOKUP(FACT_IMPORTS[[#This Row],[hts_6]],DIM_PRODUCTS[hts_6],DIM_PRODUCTS[hts_4],,,)</f>
        <v>7320</v>
      </c>
      <c r="I13389" t="str" cm="1">
        <f t="array" ref="I13389">_xlfn.XLOOKUP(FACT_IMPORTS[[#This Row],[country_name]],DIM_COUNTRY[[#All],[Column2]],DIM_COUNTRY[[#All],[Column3]],,,)</f>
        <v>Major_Non-USMCA_Non-China</v>
      </c>
    </row>
    <row r="13390" spans="1:9" x14ac:dyDescent="0.4">
      <c r="A13390" t="s">
        <v>75</v>
      </c>
      <c r="B13390" s="1">
        <v>45413</v>
      </c>
      <c r="C13390">
        <v>830230</v>
      </c>
      <c r="D13390" t="s">
        <v>176</v>
      </c>
      <c r="E13390">
        <v>189597</v>
      </c>
      <c r="F13390">
        <v>18566</v>
      </c>
      <c r="G13390">
        <v>6202</v>
      </c>
      <c r="H13390">
        <f>_xlfn.XLOOKUP(FACT_IMPORTS[[#This Row],[hts_6]],DIM_PRODUCTS[hts_6],DIM_PRODUCTS[hts_4],,,)</f>
        <v>8302</v>
      </c>
      <c r="I13390" t="str" cm="1">
        <f t="array" ref="I13390">_xlfn.XLOOKUP(FACT_IMPORTS[[#This Row],[country_name]],DIM_COUNTRY[[#All],[Column2]],DIM_COUNTRY[[#All],[Column3]],,,)</f>
        <v>Major_Non-USMCA_Non-China</v>
      </c>
    </row>
    <row r="13391" spans="1:9" x14ac:dyDescent="0.4">
      <c r="A13391" t="s">
        <v>75</v>
      </c>
      <c r="B13391" s="1">
        <v>45413</v>
      </c>
      <c r="C13391">
        <v>840732</v>
      </c>
      <c r="D13391" t="s">
        <v>176</v>
      </c>
      <c r="E13391">
        <v>0</v>
      </c>
      <c r="F13391">
        <v>0</v>
      </c>
      <c r="G13391">
        <v>0</v>
      </c>
      <c r="H13391">
        <f>_xlfn.XLOOKUP(FACT_IMPORTS[[#This Row],[hts_6]],DIM_PRODUCTS[hts_6],DIM_PRODUCTS[hts_4],,,)</f>
        <v>8407</v>
      </c>
      <c r="I13391" t="str" cm="1">
        <f t="array" ref="I13391">_xlfn.XLOOKUP(FACT_IMPORTS[[#This Row],[country_name]],DIM_COUNTRY[[#All],[Column2]],DIM_COUNTRY[[#All],[Column3]],,,)</f>
        <v>Major_Non-USMCA_Non-China</v>
      </c>
    </row>
    <row r="13392" spans="1:9" x14ac:dyDescent="0.4">
      <c r="A13392" t="s">
        <v>75</v>
      </c>
      <c r="B13392" s="1">
        <v>45413</v>
      </c>
      <c r="C13392">
        <v>840733</v>
      </c>
      <c r="D13392" t="s">
        <v>176</v>
      </c>
      <c r="E13392">
        <v>3967</v>
      </c>
      <c r="F13392">
        <v>1</v>
      </c>
      <c r="G13392">
        <v>250</v>
      </c>
      <c r="H13392">
        <f>_xlfn.XLOOKUP(FACT_IMPORTS[[#This Row],[hts_6]],DIM_PRODUCTS[hts_6],DIM_PRODUCTS[hts_4],,,)</f>
        <v>8407</v>
      </c>
      <c r="I13392" t="str" cm="1">
        <f t="array" ref="I13392">_xlfn.XLOOKUP(FACT_IMPORTS[[#This Row],[country_name]],DIM_COUNTRY[[#All],[Column2]],DIM_COUNTRY[[#All],[Column3]],,,)</f>
        <v>Major_Non-USMCA_Non-China</v>
      </c>
    </row>
    <row r="13393" spans="1:9" x14ac:dyDescent="0.4">
      <c r="A13393" t="s">
        <v>75</v>
      </c>
      <c r="B13393" s="1">
        <v>45413</v>
      </c>
      <c r="C13393">
        <v>840790</v>
      </c>
      <c r="D13393" t="s">
        <v>176</v>
      </c>
      <c r="E13393">
        <v>0</v>
      </c>
      <c r="F13393">
        <v>0</v>
      </c>
      <c r="G13393">
        <v>0</v>
      </c>
      <c r="H13393">
        <f>_xlfn.XLOOKUP(FACT_IMPORTS[[#This Row],[hts_6]],DIM_PRODUCTS[hts_6],DIM_PRODUCTS[hts_4],,,)</f>
        <v>8407</v>
      </c>
      <c r="I13393" t="str" cm="1">
        <f t="array" ref="I13393">_xlfn.XLOOKUP(FACT_IMPORTS[[#This Row],[country_name]],DIM_COUNTRY[[#All],[Column2]],DIM_COUNTRY[[#All],[Column3]],,,)</f>
        <v>Major_Non-USMCA_Non-China</v>
      </c>
    </row>
    <row r="13394" spans="1:9" x14ac:dyDescent="0.4">
      <c r="A13394" t="s">
        <v>75</v>
      </c>
      <c r="B13394" s="1">
        <v>45413</v>
      </c>
      <c r="C13394">
        <v>840890</v>
      </c>
      <c r="D13394" t="s">
        <v>176</v>
      </c>
      <c r="E13394">
        <v>0</v>
      </c>
      <c r="F13394">
        <v>0</v>
      </c>
      <c r="G13394">
        <v>0</v>
      </c>
      <c r="H13394">
        <f>_xlfn.XLOOKUP(FACT_IMPORTS[[#This Row],[hts_6]],DIM_PRODUCTS[hts_6],DIM_PRODUCTS[hts_4],,,)</f>
        <v>8408</v>
      </c>
      <c r="I13394" t="str" cm="1">
        <f t="array" ref="I13394">_xlfn.XLOOKUP(FACT_IMPORTS[[#This Row],[country_name]],DIM_COUNTRY[[#All],[Column2]],DIM_COUNTRY[[#All],[Column3]],,,)</f>
        <v>Major_Non-USMCA_Non-China</v>
      </c>
    </row>
    <row r="13395" spans="1:9" x14ac:dyDescent="0.4">
      <c r="A13395" t="s">
        <v>75</v>
      </c>
      <c r="B13395" s="1">
        <v>45413</v>
      </c>
      <c r="C13395">
        <v>840991</v>
      </c>
      <c r="D13395" t="s">
        <v>176</v>
      </c>
      <c r="E13395">
        <v>118793</v>
      </c>
      <c r="F13395">
        <v>8366</v>
      </c>
      <c r="G13395">
        <v>2927</v>
      </c>
      <c r="H13395">
        <f>_xlfn.XLOOKUP(FACT_IMPORTS[[#This Row],[hts_6]],DIM_PRODUCTS[hts_6],DIM_PRODUCTS[hts_4],,,)</f>
        <v>8409</v>
      </c>
      <c r="I13395" t="str" cm="1">
        <f t="array" ref="I13395">_xlfn.XLOOKUP(FACT_IMPORTS[[#This Row],[country_name]],DIM_COUNTRY[[#All],[Column2]],DIM_COUNTRY[[#All],[Column3]],,,)</f>
        <v>Major_Non-USMCA_Non-China</v>
      </c>
    </row>
    <row r="13396" spans="1:9" x14ac:dyDescent="0.4">
      <c r="A13396" t="s">
        <v>75</v>
      </c>
      <c r="B13396" s="1">
        <v>45413</v>
      </c>
      <c r="C13396">
        <v>840999</v>
      </c>
      <c r="D13396" t="s">
        <v>176</v>
      </c>
      <c r="E13396">
        <v>4402</v>
      </c>
      <c r="F13396">
        <v>182</v>
      </c>
      <c r="G13396">
        <v>102</v>
      </c>
      <c r="H13396">
        <f>_xlfn.XLOOKUP(FACT_IMPORTS[[#This Row],[hts_6]],DIM_PRODUCTS[hts_6],DIM_PRODUCTS[hts_4],,,)</f>
        <v>8409</v>
      </c>
      <c r="I13396" t="str" cm="1">
        <f t="array" ref="I13396">_xlfn.XLOOKUP(FACT_IMPORTS[[#This Row],[country_name]],DIM_COUNTRY[[#All],[Column2]],DIM_COUNTRY[[#All],[Column3]],,,)</f>
        <v>Major_Non-USMCA_Non-China</v>
      </c>
    </row>
    <row r="13397" spans="1:9" x14ac:dyDescent="0.4">
      <c r="A13397" t="s">
        <v>75</v>
      </c>
      <c r="B13397" s="1">
        <v>45413</v>
      </c>
      <c r="C13397">
        <v>841330</v>
      </c>
      <c r="D13397" t="s">
        <v>176</v>
      </c>
      <c r="E13397">
        <v>52275</v>
      </c>
      <c r="F13397">
        <v>1184</v>
      </c>
      <c r="G13397">
        <v>500</v>
      </c>
      <c r="H13397">
        <f>_xlfn.XLOOKUP(FACT_IMPORTS[[#This Row],[hts_6]],DIM_PRODUCTS[hts_6],DIM_PRODUCTS[hts_4],,,)</f>
        <v>8413</v>
      </c>
      <c r="I13397" t="str" cm="1">
        <f t="array" ref="I13397">_xlfn.XLOOKUP(FACT_IMPORTS[[#This Row],[country_name]],DIM_COUNTRY[[#All],[Column2]],DIM_COUNTRY[[#All],[Column3]],,,)</f>
        <v>Major_Non-USMCA_Non-China</v>
      </c>
    </row>
    <row r="13398" spans="1:9" x14ac:dyDescent="0.4">
      <c r="A13398" t="s">
        <v>75</v>
      </c>
      <c r="B13398" s="1">
        <v>45413</v>
      </c>
      <c r="C13398">
        <v>848210</v>
      </c>
      <c r="D13398" t="s">
        <v>176</v>
      </c>
      <c r="E13398">
        <v>63143</v>
      </c>
      <c r="F13398">
        <v>71330</v>
      </c>
      <c r="G13398">
        <v>2292</v>
      </c>
      <c r="H13398">
        <f>_xlfn.XLOOKUP(FACT_IMPORTS[[#This Row],[hts_6]],DIM_PRODUCTS[hts_6],DIM_PRODUCTS[hts_4],,,)</f>
        <v>8482</v>
      </c>
      <c r="I13398" t="str" cm="1">
        <f t="array" ref="I13398">_xlfn.XLOOKUP(FACT_IMPORTS[[#This Row],[country_name]],DIM_COUNTRY[[#All],[Column2]],DIM_COUNTRY[[#All],[Column3]],,,)</f>
        <v>Major_Non-USMCA_Non-China</v>
      </c>
    </row>
    <row r="13399" spans="1:9" x14ac:dyDescent="0.4">
      <c r="A13399" t="s">
        <v>75</v>
      </c>
      <c r="B13399" s="1">
        <v>45413</v>
      </c>
      <c r="C13399">
        <v>848310</v>
      </c>
      <c r="D13399" t="s">
        <v>176</v>
      </c>
      <c r="E13399">
        <v>0</v>
      </c>
      <c r="F13399">
        <v>0</v>
      </c>
      <c r="G13399">
        <v>0</v>
      </c>
      <c r="H13399">
        <f>_xlfn.XLOOKUP(FACT_IMPORTS[[#This Row],[hts_6]],DIM_PRODUCTS[hts_6],DIM_PRODUCTS[hts_4],,,)</f>
        <v>8483</v>
      </c>
      <c r="I13399" t="str" cm="1">
        <f t="array" ref="I13399">_xlfn.XLOOKUP(FACT_IMPORTS[[#This Row],[country_name]],DIM_COUNTRY[[#All],[Column2]],DIM_COUNTRY[[#All],[Column3]],,,)</f>
        <v>Major_Non-USMCA_Non-China</v>
      </c>
    </row>
    <row r="13400" spans="1:9" x14ac:dyDescent="0.4">
      <c r="A13400" t="s">
        <v>75</v>
      </c>
      <c r="B13400" s="1">
        <v>45413</v>
      </c>
      <c r="C13400">
        <v>850131</v>
      </c>
      <c r="D13400" t="s">
        <v>176</v>
      </c>
      <c r="E13400">
        <v>0</v>
      </c>
      <c r="F13400">
        <v>0</v>
      </c>
      <c r="G13400">
        <v>0</v>
      </c>
      <c r="H13400">
        <f>_xlfn.XLOOKUP(FACT_IMPORTS[[#This Row],[hts_6]],DIM_PRODUCTS[hts_6],DIM_PRODUCTS[hts_4],,,)</f>
        <v>8501</v>
      </c>
      <c r="I13400" t="str" cm="1">
        <f t="array" ref="I13400">_xlfn.XLOOKUP(FACT_IMPORTS[[#This Row],[country_name]],DIM_COUNTRY[[#All],[Column2]],DIM_COUNTRY[[#All],[Column3]],,,)</f>
        <v>Major_Non-USMCA_Non-China</v>
      </c>
    </row>
    <row r="13401" spans="1:9" x14ac:dyDescent="0.4">
      <c r="A13401" t="s">
        <v>75</v>
      </c>
      <c r="B13401" s="1">
        <v>45413</v>
      </c>
      <c r="C13401">
        <v>850132</v>
      </c>
      <c r="D13401" t="s">
        <v>176</v>
      </c>
      <c r="E13401">
        <v>0</v>
      </c>
      <c r="F13401">
        <v>0</v>
      </c>
      <c r="G13401">
        <v>0</v>
      </c>
      <c r="H13401">
        <f>_xlfn.XLOOKUP(FACT_IMPORTS[[#This Row],[hts_6]],DIM_PRODUCTS[hts_6],DIM_PRODUCTS[hts_4],,,)</f>
        <v>8501</v>
      </c>
      <c r="I13401" t="str" cm="1">
        <f t="array" ref="I13401">_xlfn.XLOOKUP(FACT_IMPORTS[[#This Row],[country_name]],DIM_COUNTRY[[#All],[Column2]],DIM_COUNTRY[[#All],[Column3]],,,)</f>
        <v>Major_Non-USMCA_Non-China</v>
      </c>
    </row>
    <row r="13402" spans="1:9" x14ac:dyDescent="0.4">
      <c r="A13402" t="s">
        <v>75</v>
      </c>
      <c r="B13402" s="1">
        <v>45413</v>
      </c>
      <c r="C13402">
        <v>850152</v>
      </c>
      <c r="D13402" t="s">
        <v>176</v>
      </c>
      <c r="E13402">
        <v>5163</v>
      </c>
      <c r="F13402">
        <v>1</v>
      </c>
      <c r="G13402">
        <v>42</v>
      </c>
      <c r="H13402">
        <f>_xlfn.XLOOKUP(FACT_IMPORTS[[#This Row],[hts_6]],DIM_PRODUCTS[hts_6],DIM_PRODUCTS[hts_4],,,)</f>
        <v>8501</v>
      </c>
      <c r="I13402" t="str" cm="1">
        <f t="array" ref="I13402">_xlfn.XLOOKUP(FACT_IMPORTS[[#This Row],[country_name]],DIM_COUNTRY[[#All],[Column2]],DIM_COUNTRY[[#All],[Column3]],,,)</f>
        <v>Major_Non-USMCA_Non-China</v>
      </c>
    </row>
    <row r="13403" spans="1:9" x14ac:dyDescent="0.4">
      <c r="A13403" t="s">
        <v>75</v>
      </c>
      <c r="B13403" s="1">
        <v>45413</v>
      </c>
      <c r="C13403">
        <v>850153</v>
      </c>
      <c r="D13403" t="s">
        <v>176</v>
      </c>
      <c r="E13403">
        <v>0</v>
      </c>
      <c r="F13403">
        <v>0</v>
      </c>
      <c r="G13403">
        <v>0</v>
      </c>
      <c r="H13403">
        <f>_xlfn.XLOOKUP(FACT_IMPORTS[[#This Row],[hts_6]],DIM_PRODUCTS[hts_6],DIM_PRODUCTS[hts_4],,,)</f>
        <v>8501</v>
      </c>
      <c r="I13403" t="str" cm="1">
        <f t="array" ref="I13403">_xlfn.XLOOKUP(FACT_IMPORTS[[#This Row],[country_name]],DIM_COUNTRY[[#All],[Column2]],DIM_COUNTRY[[#All],[Column3]],,,)</f>
        <v>Major_Non-USMCA_Non-China</v>
      </c>
    </row>
    <row r="13404" spans="1:9" x14ac:dyDescent="0.4">
      <c r="A13404" t="s">
        <v>75</v>
      </c>
      <c r="B13404" s="1">
        <v>45413</v>
      </c>
      <c r="C13404">
        <v>850161</v>
      </c>
      <c r="D13404" t="s">
        <v>176</v>
      </c>
      <c r="E13404">
        <v>0</v>
      </c>
      <c r="F13404">
        <v>0</v>
      </c>
      <c r="G13404">
        <v>0</v>
      </c>
      <c r="H13404">
        <f>_xlfn.XLOOKUP(FACT_IMPORTS[[#This Row],[hts_6]],DIM_PRODUCTS[hts_6],DIM_PRODUCTS[hts_4],,,)</f>
        <v>8501</v>
      </c>
      <c r="I13404" t="str" cm="1">
        <f t="array" ref="I13404">_xlfn.XLOOKUP(FACT_IMPORTS[[#This Row],[country_name]],DIM_COUNTRY[[#All],[Column2]],DIM_COUNTRY[[#All],[Column3]],,,)</f>
        <v>Major_Non-USMCA_Non-China</v>
      </c>
    </row>
    <row r="13405" spans="1:9" x14ac:dyDescent="0.4">
      <c r="A13405" t="s">
        <v>75</v>
      </c>
      <c r="B13405" s="1">
        <v>45413</v>
      </c>
      <c r="C13405">
        <v>850440</v>
      </c>
      <c r="D13405" t="s">
        <v>176</v>
      </c>
      <c r="E13405">
        <v>907811</v>
      </c>
      <c r="F13405">
        <v>4107</v>
      </c>
      <c r="G13405">
        <v>2225</v>
      </c>
      <c r="H13405">
        <f>_xlfn.XLOOKUP(FACT_IMPORTS[[#This Row],[hts_6]],DIM_PRODUCTS[hts_6],DIM_PRODUCTS[hts_4],,,)</f>
        <v>8504</v>
      </c>
      <c r="I13405" t="str" cm="1">
        <f t="array" ref="I13405">_xlfn.XLOOKUP(FACT_IMPORTS[[#This Row],[country_name]],DIM_COUNTRY[[#All],[Column2]],DIM_COUNTRY[[#All],[Column3]],,,)</f>
        <v>Major_Non-USMCA_Non-China</v>
      </c>
    </row>
    <row r="13406" spans="1:9" x14ac:dyDescent="0.4">
      <c r="A13406" t="s">
        <v>75</v>
      </c>
      <c r="B13406" s="1">
        <v>45413</v>
      </c>
      <c r="C13406">
        <v>850710</v>
      </c>
      <c r="D13406" t="s">
        <v>176</v>
      </c>
      <c r="E13406">
        <v>3196</v>
      </c>
      <c r="F13406">
        <v>43</v>
      </c>
      <c r="G13406">
        <v>1</v>
      </c>
      <c r="H13406">
        <f>_xlfn.XLOOKUP(FACT_IMPORTS[[#This Row],[hts_6]],DIM_PRODUCTS[hts_6],DIM_PRODUCTS[hts_4],,,)</f>
        <v>8507</v>
      </c>
      <c r="I13406" t="str" cm="1">
        <f t="array" ref="I13406">_xlfn.XLOOKUP(FACT_IMPORTS[[#This Row],[country_name]],DIM_COUNTRY[[#All],[Column2]],DIM_COUNTRY[[#All],[Column3]],,,)</f>
        <v>Major_Non-USMCA_Non-China</v>
      </c>
    </row>
    <row r="13407" spans="1:9" x14ac:dyDescent="0.4">
      <c r="A13407" t="s">
        <v>75</v>
      </c>
      <c r="B13407" s="1">
        <v>45413</v>
      </c>
      <c r="C13407">
        <v>850760</v>
      </c>
      <c r="D13407" t="s">
        <v>176</v>
      </c>
      <c r="E13407">
        <v>38519</v>
      </c>
      <c r="F13407">
        <v>68</v>
      </c>
      <c r="G13407">
        <v>1237</v>
      </c>
      <c r="H13407">
        <f>_xlfn.XLOOKUP(FACT_IMPORTS[[#This Row],[hts_6]],DIM_PRODUCTS[hts_6],DIM_PRODUCTS[hts_4],,,)</f>
        <v>8507</v>
      </c>
      <c r="I13407" t="str" cm="1">
        <f t="array" ref="I13407">_xlfn.XLOOKUP(FACT_IMPORTS[[#This Row],[country_name]],DIM_COUNTRY[[#All],[Column2]],DIM_COUNTRY[[#All],[Column3]],,,)</f>
        <v>Major_Non-USMCA_Non-China</v>
      </c>
    </row>
    <row r="13408" spans="1:9" x14ac:dyDescent="0.4">
      <c r="A13408" t="s">
        <v>75</v>
      </c>
      <c r="B13408" s="1">
        <v>45413</v>
      </c>
      <c r="C13408">
        <v>851120</v>
      </c>
      <c r="D13408" t="s">
        <v>176</v>
      </c>
      <c r="E13408">
        <v>0</v>
      </c>
      <c r="F13408">
        <v>0</v>
      </c>
      <c r="G13408">
        <v>0</v>
      </c>
      <c r="H13408">
        <f>_xlfn.XLOOKUP(FACT_IMPORTS[[#This Row],[hts_6]],DIM_PRODUCTS[hts_6],DIM_PRODUCTS[hts_4],,,)</f>
        <v>8511</v>
      </c>
      <c r="I13408" t="str" cm="1">
        <f t="array" ref="I13408">_xlfn.XLOOKUP(FACT_IMPORTS[[#This Row],[country_name]],DIM_COUNTRY[[#All],[Column2]],DIM_COUNTRY[[#All],[Column3]],,,)</f>
        <v>Major_Non-USMCA_Non-China</v>
      </c>
    </row>
    <row r="13409" spans="1:9" x14ac:dyDescent="0.4">
      <c r="A13409" t="s">
        <v>75</v>
      </c>
      <c r="B13409" s="1">
        <v>45413</v>
      </c>
      <c r="C13409">
        <v>851130</v>
      </c>
      <c r="D13409" t="s">
        <v>176</v>
      </c>
      <c r="E13409">
        <v>0</v>
      </c>
      <c r="F13409">
        <v>0</v>
      </c>
      <c r="G13409">
        <v>0</v>
      </c>
      <c r="H13409">
        <f>_xlfn.XLOOKUP(FACT_IMPORTS[[#This Row],[hts_6]],DIM_PRODUCTS[hts_6],DIM_PRODUCTS[hts_4],,,)</f>
        <v>8511</v>
      </c>
      <c r="I13409" t="str" cm="1">
        <f t="array" ref="I13409">_xlfn.XLOOKUP(FACT_IMPORTS[[#This Row],[country_name]],DIM_COUNTRY[[#All],[Column2]],DIM_COUNTRY[[#All],[Column3]],,,)</f>
        <v>Major_Non-USMCA_Non-China</v>
      </c>
    </row>
    <row r="13410" spans="1:9" x14ac:dyDescent="0.4">
      <c r="A13410" t="s">
        <v>75</v>
      </c>
      <c r="B13410" s="1">
        <v>45413</v>
      </c>
      <c r="C13410">
        <v>851140</v>
      </c>
      <c r="D13410" t="s">
        <v>176</v>
      </c>
      <c r="E13410">
        <v>5321</v>
      </c>
      <c r="F13410">
        <v>50</v>
      </c>
      <c r="G13410">
        <v>1</v>
      </c>
      <c r="H13410">
        <f>_xlfn.XLOOKUP(FACT_IMPORTS[[#This Row],[hts_6]],DIM_PRODUCTS[hts_6],DIM_PRODUCTS[hts_4],,,)</f>
        <v>8511</v>
      </c>
      <c r="I13410" t="str" cm="1">
        <f t="array" ref="I13410">_xlfn.XLOOKUP(FACT_IMPORTS[[#This Row],[country_name]],DIM_COUNTRY[[#All],[Column2]],DIM_COUNTRY[[#All],[Column3]],,,)</f>
        <v>Major_Non-USMCA_Non-China</v>
      </c>
    </row>
    <row r="13411" spans="1:9" x14ac:dyDescent="0.4">
      <c r="A13411" t="s">
        <v>75</v>
      </c>
      <c r="B13411" s="1">
        <v>45413</v>
      </c>
      <c r="C13411">
        <v>851150</v>
      </c>
      <c r="D13411" t="s">
        <v>176</v>
      </c>
      <c r="E13411">
        <v>4752</v>
      </c>
      <c r="F13411">
        <v>11</v>
      </c>
      <c r="G13411">
        <v>74</v>
      </c>
      <c r="H13411">
        <f>_xlfn.XLOOKUP(FACT_IMPORTS[[#This Row],[hts_6]],DIM_PRODUCTS[hts_6],DIM_PRODUCTS[hts_4],,,)</f>
        <v>8511</v>
      </c>
      <c r="I13411" t="str" cm="1">
        <f t="array" ref="I13411">_xlfn.XLOOKUP(FACT_IMPORTS[[#This Row],[country_name]],DIM_COUNTRY[[#All],[Column2]],DIM_COUNTRY[[#All],[Column3]],,,)</f>
        <v>Major_Non-USMCA_Non-China</v>
      </c>
    </row>
    <row r="13412" spans="1:9" x14ac:dyDescent="0.4">
      <c r="A13412" t="s">
        <v>75</v>
      </c>
      <c r="B13412" s="1">
        <v>45413</v>
      </c>
      <c r="C13412">
        <v>851180</v>
      </c>
      <c r="D13412" t="s">
        <v>176</v>
      </c>
      <c r="E13412">
        <v>0</v>
      </c>
      <c r="F13412">
        <v>0</v>
      </c>
      <c r="G13412">
        <v>0</v>
      </c>
      <c r="H13412">
        <f>_xlfn.XLOOKUP(FACT_IMPORTS[[#This Row],[hts_6]],DIM_PRODUCTS[hts_6],DIM_PRODUCTS[hts_4],,,)</f>
        <v>8511</v>
      </c>
      <c r="I13412" t="str" cm="1">
        <f t="array" ref="I13412">_xlfn.XLOOKUP(FACT_IMPORTS[[#This Row],[country_name]],DIM_COUNTRY[[#All],[Column2]],DIM_COUNTRY[[#All],[Column3]],,,)</f>
        <v>Major_Non-USMCA_Non-China</v>
      </c>
    </row>
    <row r="13413" spans="1:9" x14ac:dyDescent="0.4">
      <c r="A13413" t="s">
        <v>75</v>
      </c>
      <c r="B13413" s="1">
        <v>45413</v>
      </c>
      <c r="C13413">
        <v>851190</v>
      </c>
      <c r="D13413" t="s">
        <v>176</v>
      </c>
      <c r="E13413">
        <v>22880</v>
      </c>
      <c r="F13413">
        <v>315</v>
      </c>
      <c r="G13413">
        <v>191</v>
      </c>
      <c r="H13413">
        <f>_xlfn.XLOOKUP(FACT_IMPORTS[[#This Row],[hts_6]],DIM_PRODUCTS[hts_6],DIM_PRODUCTS[hts_4],,,)</f>
        <v>8511</v>
      </c>
      <c r="I13413" t="str" cm="1">
        <f t="array" ref="I13413">_xlfn.XLOOKUP(FACT_IMPORTS[[#This Row],[country_name]],DIM_COUNTRY[[#All],[Column2]],DIM_COUNTRY[[#All],[Column3]],,,)</f>
        <v>Major_Non-USMCA_Non-China</v>
      </c>
    </row>
    <row r="13414" spans="1:9" x14ac:dyDescent="0.4">
      <c r="A13414" t="s">
        <v>75</v>
      </c>
      <c r="B13414" s="1">
        <v>45413</v>
      </c>
      <c r="C13414">
        <v>851220</v>
      </c>
      <c r="D13414" t="s">
        <v>176</v>
      </c>
      <c r="E13414">
        <v>2054711</v>
      </c>
      <c r="F13414">
        <v>439013</v>
      </c>
      <c r="G13414">
        <v>32804</v>
      </c>
      <c r="H13414">
        <f>_xlfn.XLOOKUP(FACT_IMPORTS[[#This Row],[hts_6]],DIM_PRODUCTS[hts_6],DIM_PRODUCTS[hts_4],,,)</f>
        <v>8512</v>
      </c>
      <c r="I13414" t="str" cm="1">
        <f t="array" ref="I13414">_xlfn.XLOOKUP(FACT_IMPORTS[[#This Row],[country_name]],DIM_COUNTRY[[#All],[Column2]],DIM_COUNTRY[[#All],[Column3]],,,)</f>
        <v>Major_Non-USMCA_Non-China</v>
      </c>
    </row>
    <row r="13415" spans="1:9" x14ac:dyDescent="0.4">
      <c r="A13415" t="s">
        <v>75</v>
      </c>
      <c r="B13415" s="1">
        <v>45413</v>
      </c>
      <c r="C13415">
        <v>851230</v>
      </c>
      <c r="D13415" t="s">
        <v>176</v>
      </c>
      <c r="E13415">
        <v>0</v>
      </c>
      <c r="F13415">
        <v>0</v>
      </c>
      <c r="G13415">
        <v>0</v>
      </c>
      <c r="H13415">
        <f>_xlfn.XLOOKUP(FACT_IMPORTS[[#This Row],[hts_6]],DIM_PRODUCTS[hts_6],DIM_PRODUCTS[hts_4],,,)</f>
        <v>8512</v>
      </c>
      <c r="I13415" t="str" cm="1">
        <f t="array" ref="I13415">_xlfn.XLOOKUP(FACT_IMPORTS[[#This Row],[country_name]],DIM_COUNTRY[[#All],[Column2]],DIM_COUNTRY[[#All],[Column3]],,,)</f>
        <v>Major_Non-USMCA_Non-China</v>
      </c>
    </row>
    <row r="13416" spans="1:9" x14ac:dyDescent="0.4">
      <c r="A13416" t="s">
        <v>75</v>
      </c>
      <c r="B13416" s="1">
        <v>45413</v>
      </c>
      <c r="C13416">
        <v>851290</v>
      </c>
      <c r="D13416" t="s">
        <v>176</v>
      </c>
      <c r="E13416">
        <v>3280179</v>
      </c>
      <c r="F13416">
        <v>57675</v>
      </c>
      <c r="G13416">
        <v>29560</v>
      </c>
      <c r="H13416">
        <f>_xlfn.XLOOKUP(FACT_IMPORTS[[#This Row],[hts_6]],DIM_PRODUCTS[hts_6],DIM_PRODUCTS[hts_4],,,)</f>
        <v>8512</v>
      </c>
      <c r="I13416" t="str" cm="1">
        <f t="array" ref="I13416">_xlfn.XLOOKUP(FACT_IMPORTS[[#This Row],[country_name]],DIM_COUNTRY[[#All],[Column2]],DIM_COUNTRY[[#All],[Column3]],,,)</f>
        <v>Major_Non-USMCA_Non-China</v>
      </c>
    </row>
    <row r="13417" spans="1:9" x14ac:dyDescent="0.4">
      <c r="A13417" t="s">
        <v>75</v>
      </c>
      <c r="B13417" s="1">
        <v>45413</v>
      </c>
      <c r="C13417">
        <v>854231</v>
      </c>
      <c r="D13417" t="s">
        <v>176</v>
      </c>
      <c r="E13417">
        <v>3627</v>
      </c>
      <c r="F13417">
        <v>1</v>
      </c>
      <c r="G13417">
        <v>250</v>
      </c>
      <c r="H13417">
        <f>_xlfn.XLOOKUP(FACT_IMPORTS[[#This Row],[hts_6]],DIM_PRODUCTS[hts_6],DIM_PRODUCTS[hts_4],,,)</f>
        <v>8542</v>
      </c>
      <c r="I13417" t="str" cm="1">
        <f t="array" ref="I13417">_xlfn.XLOOKUP(FACT_IMPORTS[[#This Row],[country_name]],DIM_COUNTRY[[#All],[Column2]],DIM_COUNTRY[[#All],[Column3]],,,)</f>
        <v>Major_Non-USMCA_Non-China</v>
      </c>
    </row>
    <row r="13418" spans="1:9" x14ac:dyDescent="0.4">
      <c r="A13418" t="s">
        <v>75</v>
      </c>
      <c r="B13418" s="1">
        <v>45413</v>
      </c>
      <c r="C13418">
        <v>854232</v>
      </c>
      <c r="D13418" t="s">
        <v>176</v>
      </c>
      <c r="E13418">
        <v>0</v>
      </c>
      <c r="F13418">
        <v>0</v>
      </c>
      <c r="G13418">
        <v>0</v>
      </c>
      <c r="H13418">
        <f>_xlfn.XLOOKUP(FACT_IMPORTS[[#This Row],[hts_6]],DIM_PRODUCTS[hts_6],DIM_PRODUCTS[hts_4],,,)</f>
        <v>8542</v>
      </c>
      <c r="I13418" t="str" cm="1">
        <f t="array" ref="I13418">_xlfn.XLOOKUP(FACT_IMPORTS[[#This Row],[country_name]],DIM_COUNTRY[[#All],[Column2]],DIM_COUNTRY[[#All],[Column3]],,,)</f>
        <v>Major_Non-USMCA_Non-China</v>
      </c>
    </row>
    <row r="13419" spans="1:9" x14ac:dyDescent="0.4">
      <c r="A13419" t="s">
        <v>75</v>
      </c>
      <c r="B13419" s="1">
        <v>45413</v>
      </c>
      <c r="C13419">
        <v>854233</v>
      </c>
      <c r="D13419" t="s">
        <v>176</v>
      </c>
      <c r="E13419">
        <v>0</v>
      </c>
      <c r="F13419">
        <v>0</v>
      </c>
      <c r="G13419">
        <v>0</v>
      </c>
      <c r="H13419">
        <f>_xlfn.XLOOKUP(FACT_IMPORTS[[#This Row],[hts_6]],DIM_PRODUCTS[hts_6],DIM_PRODUCTS[hts_4],,,)</f>
        <v>8542</v>
      </c>
      <c r="I13419" t="str" cm="1">
        <f t="array" ref="I13419">_xlfn.XLOOKUP(FACT_IMPORTS[[#This Row],[country_name]],DIM_COUNTRY[[#All],[Column2]],DIM_COUNTRY[[#All],[Column3]],,,)</f>
        <v>Major_Non-USMCA_Non-China</v>
      </c>
    </row>
    <row r="13420" spans="1:9" x14ac:dyDescent="0.4">
      <c r="A13420" t="s">
        <v>75</v>
      </c>
      <c r="B13420" s="1">
        <v>45413</v>
      </c>
      <c r="C13420">
        <v>854239</v>
      </c>
      <c r="D13420" t="s">
        <v>176</v>
      </c>
      <c r="E13420">
        <v>2156219</v>
      </c>
      <c r="F13420">
        <v>502202</v>
      </c>
      <c r="G13420">
        <v>204680</v>
      </c>
      <c r="H13420">
        <f>_xlfn.XLOOKUP(FACT_IMPORTS[[#This Row],[hts_6]],DIM_PRODUCTS[hts_6],DIM_PRODUCTS[hts_4],,,)</f>
        <v>8542</v>
      </c>
      <c r="I13420" t="str" cm="1">
        <f t="array" ref="I13420">_xlfn.XLOOKUP(FACT_IMPORTS[[#This Row],[country_name]],DIM_COUNTRY[[#All],[Column2]],DIM_COUNTRY[[#All],[Column3]],,,)</f>
        <v>Major_Non-USMCA_Non-China</v>
      </c>
    </row>
    <row r="13421" spans="1:9" x14ac:dyDescent="0.4">
      <c r="A13421" t="s">
        <v>75</v>
      </c>
      <c r="B13421" s="1">
        <v>45413</v>
      </c>
      <c r="C13421">
        <v>854290</v>
      </c>
      <c r="D13421" t="s">
        <v>176</v>
      </c>
      <c r="E13421">
        <v>0</v>
      </c>
      <c r="F13421">
        <v>0</v>
      </c>
      <c r="G13421">
        <v>0</v>
      </c>
      <c r="H13421">
        <f>_xlfn.XLOOKUP(FACT_IMPORTS[[#This Row],[hts_6]],DIM_PRODUCTS[hts_6],DIM_PRODUCTS[hts_4],,,)</f>
        <v>8542</v>
      </c>
      <c r="I13421" t="str" cm="1">
        <f t="array" ref="I13421">_xlfn.XLOOKUP(FACT_IMPORTS[[#This Row],[country_name]],DIM_COUNTRY[[#All],[Column2]],DIM_COUNTRY[[#All],[Column3]],,,)</f>
        <v>Major_Non-USMCA_Non-China</v>
      </c>
    </row>
    <row r="13422" spans="1:9" x14ac:dyDescent="0.4">
      <c r="A13422" t="s">
        <v>75</v>
      </c>
      <c r="B13422" s="1">
        <v>45413</v>
      </c>
      <c r="C13422">
        <v>854430</v>
      </c>
      <c r="D13422" t="s">
        <v>176</v>
      </c>
      <c r="E13422">
        <v>0</v>
      </c>
      <c r="F13422">
        <v>0</v>
      </c>
      <c r="G13422">
        <v>0</v>
      </c>
      <c r="H13422">
        <f>_xlfn.XLOOKUP(FACT_IMPORTS[[#This Row],[hts_6]],DIM_PRODUCTS[hts_6],DIM_PRODUCTS[hts_4],,,)</f>
        <v>8544</v>
      </c>
      <c r="I13422" t="str" cm="1">
        <f t="array" ref="I13422">_xlfn.XLOOKUP(FACT_IMPORTS[[#This Row],[country_name]],DIM_COUNTRY[[#All],[Column2]],DIM_COUNTRY[[#All],[Column3]],,,)</f>
        <v>Major_Non-USMCA_Non-China</v>
      </c>
    </row>
    <row r="13423" spans="1:9" x14ac:dyDescent="0.4">
      <c r="A13423" t="s">
        <v>75</v>
      </c>
      <c r="B13423" s="1">
        <v>45413</v>
      </c>
      <c r="C13423">
        <v>870810</v>
      </c>
      <c r="D13423" t="s">
        <v>176</v>
      </c>
      <c r="E13423">
        <v>372174</v>
      </c>
      <c r="F13423">
        <v>5357</v>
      </c>
      <c r="G13423">
        <v>56206</v>
      </c>
      <c r="H13423">
        <f>_xlfn.XLOOKUP(FACT_IMPORTS[[#This Row],[hts_6]],DIM_PRODUCTS[hts_6],DIM_PRODUCTS[hts_4],,,)</f>
        <v>8708</v>
      </c>
      <c r="I13423" t="str" cm="1">
        <f t="array" ref="I13423">_xlfn.XLOOKUP(FACT_IMPORTS[[#This Row],[country_name]],DIM_COUNTRY[[#All],[Column2]],DIM_COUNTRY[[#All],[Column3]],,,)</f>
        <v>Major_Non-USMCA_Non-China</v>
      </c>
    </row>
    <row r="13424" spans="1:9" x14ac:dyDescent="0.4">
      <c r="A13424" t="s">
        <v>75</v>
      </c>
      <c r="B13424" s="1">
        <v>45413</v>
      </c>
      <c r="C13424">
        <v>870829</v>
      </c>
      <c r="D13424" t="s">
        <v>176</v>
      </c>
      <c r="E13424">
        <v>718511</v>
      </c>
      <c r="F13424">
        <v>120757</v>
      </c>
      <c r="G13424">
        <v>17717</v>
      </c>
      <c r="H13424">
        <f>_xlfn.XLOOKUP(FACT_IMPORTS[[#This Row],[hts_6]],DIM_PRODUCTS[hts_6],DIM_PRODUCTS[hts_4],,,)</f>
        <v>8708</v>
      </c>
      <c r="I13424" t="str" cm="1">
        <f t="array" ref="I13424">_xlfn.XLOOKUP(FACT_IMPORTS[[#This Row],[country_name]],DIM_COUNTRY[[#All],[Column2]],DIM_COUNTRY[[#All],[Column3]],,,)</f>
        <v>Major_Non-USMCA_Non-China</v>
      </c>
    </row>
    <row r="13425" spans="1:9" x14ac:dyDescent="0.4">
      <c r="A13425" t="s">
        <v>75</v>
      </c>
      <c r="B13425" s="1">
        <v>45413</v>
      </c>
      <c r="C13425">
        <v>870830</v>
      </c>
      <c r="D13425" t="s">
        <v>176</v>
      </c>
      <c r="E13425">
        <v>0</v>
      </c>
      <c r="F13425">
        <v>0</v>
      </c>
      <c r="G13425">
        <v>0</v>
      </c>
      <c r="H13425">
        <f>_xlfn.XLOOKUP(FACT_IMPORTS[[#This Row],[hts_6]],DIM_PRODUCTS[hts_6],DIM_PRODUCTS[hts_4],,,)</f>
        <v>8708</v>
      </c>
      <c r="I13425" t="str" cm="1">
        <f t="array" ref="I13425">_xlfn.XLOOKUP(FACT_IMPORTS[[#This Row],[country_name]],DIM_COUNTRY[[#All],[Column2]],DIM_COUNTRY[[#All],[Column3]],,,)</f>
        <v>Major_Non-USMCA_Non-China</v>
      </c>
    </row>
    <row r="13426" spans="1:9" x14ac:dyDescent="0.4">
      <c r="A13426" t="s">
        <v>75</v>
      </c>
      <c r="B13426" s="1">
        <v>45413</v>
      </c>
      <c r="C13426">
        <v>870840</v>
      </c>
      <c r="D13426" t="s">
        <v>176</v>
      </c>
      <c r="E13426">
        <v>400416</v>
      </c>
      <c r="F13426">
        <v>22450</v>
      </c>
      <c r="G13426">
        <v>6530</v>
      </c>
      <c r="H13426">
        <f>_xlfn.XLOOKUP(FACT_IMPORTS[[#This Row],[hts_6]],DIM_PRODUCTS[hts_6],DIM_PRODUCTS[hts_4],,,)</f>
        <v>8708</v>
      </c>
      <c r="I13426" t="str" cm="1">
        <f t="array" ref="I13426">_xlfn.XLOOKUP(FACT_IMPORTS[[#This Row],[country_name]],DIM_COUNTRY[[#All],[Column2]],DIM_COUNTRY[[#All],[Column3]],,,)</f>
        <v>Major_Non-USMCA_Non-China</v>
      </c>
    </row>
    <row r="13427" spans="1:9" x14ac:dyDescent="0.4">
      <c r="A13427" t="s">
        <v>75</v>
      </c>
      <c r="B13427" s="1">
        <v>45413</v>
      </c>
      <c r="C13427">
        <v>870850</v>
      </c>
      <c r="D13427" t="s">
        <v>176</v>
      </c>
      <c r="E13427">
        <v>0</v>
      </c>
      <c r="F13427">
        <v>0</v>
      </c>
      <c r="G13427">
        <v>0</v>
      </c>
      <c r="H13427">
        <f>_xlfn.XLOOKUP(FACT_IMPORTS[[#This Row],[hts_6]],DIM_PRODUCTS[hts_6],DIM_PRODUCTS[hts_4],,,)</f>
        <v>8708</v>
      </c>
      <c r="I13427" t="str" cm="1">
        <f t="array" ref="I13427">_xlfn.XLOOKUP(FACT_IMPORTS[[#This Row],[country_name]],DIM_COUNTRY[[#All],[Column2]],DIM_COUNTRY[[#All],[Column3]],,,)</f>
        <v>Major_Non-USMCA_Non-China</v>
      </c>
    </row>
    <row r="13428" spans="1:9" x14ac:dyDescent="0.4">
      <c r="A13428" t="s">
        <v>75</v>
      </c>
      <c r="B13428" s="1">
        <v>45413</v>
      </c>
      <c r="C13428">
        <v>870870</v>
      </c>
      <c r="D13428" t="s">
        <v>176</v>
      </c>
      <c r="E13428">
        <v>521890</v>
      </c>
      <c r="F13428">
        <v>2190</v>
      </c>
      <c r="G13428">
        <v>10753</v>
      </c>
      <c r="H13428">
        <f>_xlfn.XLOOKUP(FACT_IMPORTS[[#This Row],[hts_6]],DIM_PRODUCTS[hts_6],DIM_PRODUCTS[hts_4],,,)</f>
        <v>8708</v>
      </c>
      <c r="I13428" t="str" cm="1">
        <f t="array" ref="I13428">_xlfn.XLOOKUP(FACT_IMPORTS[[#This Row],[country_name]],DIM_COUNTRY[[#All],[Column2]],DIM_COUNTRY[[#All],[Column3]],,,)</f>
        <v>Major_Non-USMCA_Non-China</v>
      </c>
    </row>
    <row r="13429" spans="1:9" x14ac:dyDescent="0.4">
      <c r="A13429" t="s">
        <v>75</v>
      </c>
      <c r="B13429" s="1">
        <v>45413</v>
      </c>
      <c r="C13429">
        <v>870880</v>
      </c>
      <c r="D13429" t="s">
        <v>176</v>
      </c>
      <c r="E13429">
        <v>512147</v>
      </c>
      <c r="F13429">
        <v>46280</v>
      </c>
      <c r="G13429">
        <v>30045</v>
      </c>
      <c r="H13429">
        <f>_xlfn.XLOOKUP(FACT_IMPORTS[[#This Row],[hts_6]],DIM_PRODUCTS[hts_6],DIM_PRODUCTS[hts_4],,,)</f>
        <v>8708</v>
      </c>
      <c r="I13429" t="str" cm="1">
        <f t="array" ref="I13429">_xlfn.XLOOKUP(FACT_IMPORTS[[#This Row],[country_name]],DIM_COUNTRY[[#All],[Column2]],DIM_COUNTRY[[#All],[Column3]],,,)</f>
        <v>Major_Non-USMCA_Non-China</v>
      </c>
    </row>
    <row r="13430" spans="1:9" x14ac:dyDescent="0.4">
      <c r="A13430" t="s">
        <v>75</v>
      </c>
      <c r="B13430" s="1">
        <v>45413</v>
      </c>
      <c r="C13430">
        <v>870891</v>
      </c>
      <c r="D13430" t="s">
        <v>176</v>
      </c>
      <c r="E13430">
        <v>55455</v>
      </c>
      <c r="F13430">
        <v>65951</v>
      </c>
      <c r="G13430">
        <v>2553</v>
      </c>
      <c r="H13430">
        <f>_xlfn.XLOOKUP(FACT_IMPORTS[[#This Row],[hts_6]],DIM_PRODUCTS[hts_6],DIM_PRODUCTS[hts_4],,,)</f>
        <v>8708</v>
      </c>
      <c r="I13430" t="str" cm="1">
        <f t="array" ref="I13430">_xlfn.XLOOKUP(FACT_IMPORTS[[#This Row],[country_name]],DIM_COUNTRY[[#All],[Column2]],DIM_COUNTRY[[#All],[Column3]],,,)</f>
        <v>Major_Non-USMCA_Non-China</v>
      </c>
    </row>
    <row r="13431" spans="1:9" x14ac:dyDescent="0.4">
      <c r="A13431" t="s">
        <v>75</v>
      </c>
      <c r="B13431" s="1">
        <v>45413</v>
      </c>
      <c r="C13431">
        <v>870892</v>
      </c>
      <c r="D13431" t="s">
        <v>176</v>
      </c>
      <c r="E13431">
        <v>65387</v>
      </c>
      <c r="F13431">
        <v>2500</v>
      </c>
      <c r="G13431">
        <v>5000</v>
      </c>
      <c r="H13431">
        <f>_xlfn.XLOOKUP(FACT_IMPORTS[[#This Row],[hts_6]],DIM_PRODUCTS[hts_6],DIM_PRODUCTS[hts_4],,,)</f>
        <v>8708</v>
      </c>
      <c r="I13431" t="str" cm="1">
        <f t="array" ref="I13431">_xlfn.XLOOKUP(FACT_IMPORTS[[#This Row],[country_name]],DIM_COUNTRY[[#All],[Column2]],DIM_COUNTRY[[#All],[Column3]],,,)</f>
        <v>Major_Non-USMCA_Non-China</v>
      </c>
    </row>
    <row r="13432" spans="1:9" x14ac:dyDescent="0.4">
      <c r="A13432" t="s">
        <v>75</v>
      </c>
      <c r="B13432" s="1">
        <v>45413</v>
      </c>
      <c r="C13432">
        <v>870893</v>
      </c>
      <c r="D13432" t="s">
        <v>176</v>
      </c>
      <c r="E13432">
        <v>90936</v>
      </c>
      <c r="F13432">
        <v>9527</v>
      </c>
      <c r="G13432">
        <v>8040</v>
      </c>
      <c r="H13432">
        <f>_xlfn.XLOOKUP(FACT_IMPORTS[[#This Row],[hts_6]],DIM_PRODUCTS[hts_6],DIM_PRODUCTS[hts_4],,,)</f>
        <v>8708</v>
      </c>
      <c r="I13432" t="str" cm="1">
        <f t="array" ref="I13432">_xlfn.XLOOKUP(FACT_IMPORTS[[#This Row],[country_name]],DIM_COUNTRY[[#All],[Column2]],DIM_COUNTRY[[#All],[Column3]],,,)</f>
        <v>Major_Non-USMCA_Non-China</v>
      </c>
    </row>
    <row r="13433" spans="1:9" x14ac:dyDescent="0.4">
      <c r="A13433" t="s">
        <v>75</v>
      </c>
      <c r="B13433" s="1">
        <v>45413</v>
      </c>
      <c r="C13433">
        <v>870894</v>
      </c>
      <c r="D13433" t="s">
        <v>176</v>
      </c>
      <c r="E13433">
        <v>82067</v>
      </c>
      <c r="F13433">
        <v>15593</v>
      </c>
      <c r="G13433">
        <v>1773</v>
      </c>
      <c r="H13433">
        <f>_xlfn.XLOOKUP(FACT_IMPORTS[[#This Row],[hts_6]],DIM_PRODUCTS[hts_6],DIM_PRODUCTS[hts_4],,,)</f>
        <v>8708</v>
      </c>
      <c r="I13433" t="str" cm="1">
        <f t="array" ref="I13433">_xlfn.XLOOKUP(FACT_IMPORTS[[#This Row],[country_name]],DIM_COUNTRY[[#All],[Column2]],DIM_COUNTRY[[#All],[Column3]],,,)</f>
        <v>Major_Non-USMCA_Non-China</v>
      </c>
    </row>
    <row r="13434" spans="1:9" x14ac:dyDescent="0.4">
      <c r="A13434" t="s">
        <v>75</v>
      </c>
      <c r="B13434" s="1">
        <v>45413</v>
      </c>
      <c r="C13434">
        <v>870899</v>
      </c>
      <c r="D13434" t="s">
        <v>176</v>
      </c>
      <c r="E13434">
        <v>853438</v>
      </c>
      <c r="F13434">
        <v>905201</v>
      </c>
      <c r="G13434">
        <v>59189</v>
      </c>
      <c r="H13434">
        <f>_xlfn.XLOOKUP(FACT_IMPORTS[[#This Row],[hts_6]],DIM_PRODUCTS[hts_6],DIM_PRODUCTS[hts_4],,,)</f>
        <v>8708</v>
      </c>
      <c r="I13434" t="str" cm="1">
        <f t="array" ref="I13434">_xlfn.XLOOKUP(FACT_IMPORTS[[#This Row],[country_name]],DIM_COUNTRY[[#All],[Column2]],DIM_COUNTRY[[#All],[Column3]],,,)</f>
        <v>Major_Non-USMCA_Non-China</v>
      </c>
    </row>
    <row r="13435" spans="1:9" x14ac:dyDescent="0.4">
      <c r="A13435" t="s">
        <v>75</v>
      </c>
      <c r="B13435" s="1">
        <v>45444</v>
      </c>
      <c r="C13435">
        <v>392630</v>
      </c>
      <c r="D13435" t="s">
        <v>176</v>
      </c>
      <c r="E13435">
        <v>10430</v>
      </c>
      <c r="F13435">
        <v>910</v>
      </c>
      <c r="G13435">
        <v>1147</v>
      </c>
      <c r="H13435">
        <f>_xlfn.XLOOKUP(FACT_IMPORTS[[#This Row],[hts_6]],DIM_PRODUCTS[hts_6],DIM_PRODUCTS[hts_4],,,)</f>
        <v>3926</v>
      </c>
      <c r="I13435" t="str" cm="1">
        <f t="array" ref="I13435">_xlfn.XLOOKUP(FACT_IMPORTS[[#This Row],[country_name]],DIM_COUNTRY[[#All],[Column2]],DIM_COUNTRY[[#All],[Column3]],,,)</f>
        <v>Major_Non-USMCA_Non-China</v>
      </c>
    </row>
    <row r="13436" spans="1:9" x14ac:dyDescent="0.4">
      <c r="A13436" t="s">
        <v>75</v>
      </c>
      <c r="B13436" s="1">
        <v>45444</v>
      </c>
      <c r="C13436">
        <v>401110</v>
      </c>
      <c r="D13436" t="s">
        <v>176</v>
      </c>
      <c r="E13436">
        <v>22172</v>
      </c>
      <c r="F13436">
        <v>292</v>
      </c>
      <c r="G13436">
        <v>503</v>
      </c>
      <c r="H13436">
        <f>_xlfn.XLOOKUP(FACT_IMPORTS[[#This Row],[hts_6]],DIM_PRODUCTS[hts_6],DIM_PRODUCTS[hts_4],,,)</f>
        <v>4011</v>
      </c>
      <c r="I13436" t="str" cm="1">
        <f t="array" ref="I13436">_xlfn.XLOOKUP(FACT_IMPORTS[[#This Row],[country_name]],DIM_COUNTRY[[#All],[Column2]],DIM_COUNTRY[[#All],[Column3]],,,)</f>
        <v>Major_Non-USMCA_Non-China</v>
      </c>
    </row>
    <row r="13437" spans="1:9" x14ac:dyDescent="0.4">
      <c r="A13437" t="s">
        <v>75</v>
      </c>
      <c r="B13437" s="1">
        <v>45444</v>
      </c>
      <c r="C13437">
        <v>401120</v>
      </c>
      <c r="D13437" t="s">
        <v>176</v>
      </c>
      <c r="E13437">
        <v>0</v>
      </c>
      <c r="F13437">
        <v>0</v>
      </c>
      <c r="G13437">
        <v>0</v>
      </c>
      <c r="H13437">
        <f>_xlfn.XLOOKUP(FACT_IMPORTS[[#This Row],[hts_6]],DIM_PRODUCTS[hts_6],DIM_PRODUCTS[hts_4],,,)</f>
        <v>4011</v>
      </c>
      <c r="I13437" t="str" cm="1">
        <f t="array" ref="I13437">_xlfn.XLOOKUP(FACT_IMPORTS[[#This Row],[country_name]],DIM_COUNTRY[[#All],[Column2]],DIM_COUNTRY[[#All],[Column3]],,,)</f>
        <v>Major_Non-USMCA_Non-China</v>
      </c>
    </row>
    <row r="13438" spans="1:9" x14ac:dyDescent="0.4">
      <c r="A13438" t="s">
        <v>75</v>
      </c>
      <c r="B13438" s="1">
        <v>45444</v>
      </c>
      <c r="C13438">
        <v>401140</v>
      </c>
      <c r="D13438" t="s">
        <v>176</v>
      </c>
      <c r="E13438">
        <v>0</v>
      </c>
      <c r="F13438">
        <v>0</v>
      </c>
      <c r="G13438">
        <v>0</v>
      </c>
      <c r="H13438">
        <f>_xlfn.XLOOKUP(FACT_IMPORTS[[#This Row],[hts_6]],DIM_PRODUCTS[hts_6],DIM_PRODUCTS[hts_4],,,)</f>
        <v>4011</v>
      </c>
      <c r="I13438" t="str" cm="1">
        <f t="array" ref="I13438">_xlfn.XLOOKUP(FACT_IMPORTS[[#This Row],[country_name]],DIM_COUNTRY[[#All],[Column2]],DIM_COUNTRY[[#All],[Column3]],,,)</f>
        <v>Major_Non-USMCA_Non-China</v>
      </c>
    </row>
    <row r="13439" spans="1:9" x14ac:dyDescent="0.4">
      <c r="A13439" t="s">
        <v>75</v>
      </c>
      <c r="B13439" s="1">
        <v>45444</v>
      </c>
      <c r="C13439">
        <v>401190</v>
      </c>
      <c r="D13439" t="s">
        <v>176</v>
      </c>
      <c r="E13439">
        <v>3628</v>
      </c>
      <c r="F13439">
        <v>39</v>
      </c>
      <c r="G13439">
        <v>7</v>
      </c>
      <c r="H13439">
        <f>_xlfn.XLOOKUP(FACT_IMPORTS[[#This Row],[hts_6]],DIM_PRODUCTS[hts_6],DIM_PRODUCTS[hts_4],,,)</f>
        <v>4011</v>
      </c>
      <c r="I13439" t="str" cm="1">
        <f t="array" ref="I13439">_xlfn.XLOOKUP(FACT_IMPORTS[[#This Row],[country_name]],DIM_COUNTRY[[#All],[Column2]],DIM_COUNTRY[[#All],[Column3]],,,)</f>
        <v>Major_Non-USMCA_Non-China</v>
      </c>
    </row>
    <row r="13440" spans="1:9" x14ac:dyDescent="0.4">
      <c r="A13440" t="s">
        <v>75</v>
      </c>
      <c r="B13440" s="1">
        <v>45444</v>
      </c>
      <c r="C13440">
        <v>700721</v>
      </c>
      <c r="D13440" t="s">
        <v>176</v>
      </c>
      <c r="E13440">
        <v>0</v>
      </c>
      <c r="F13440">
        <v>0</v>
      </c>
      <c r="G13440">
        <v>0</v>
      </c>
      <c r="H13440">
        <f>_xlfn.XLOOKUP(FACT_IMPORTS[[#This Row],[hts_6]],DIM_PRODUCTS[hts_6],DIM_PRODUCTS[hts_4],,,)</f>
        <v>7007</v>
      </c>
      <c r="I13440" t="str" cm="1">
        <f t="array" ref="I13440">_xlfn.XLOOKUP(FACT_IMPORTS[[#This Row],[country_name]],DIM_COUNTRY[[#All],[Column2]],DIM_COUNTRY[[#All],[Column3]],,,)</f>
        <v>Major_Non-USMCA_Non-China</v>
      </c>
    </row>
    <row r="13441" spans="1:9" x14ac:dyDescent="0.4">
      <c r="A13441" t="s">
        <v>75</v>
      </c>
      <c r="B13441" s="1">
        <v>45444</v>
      </c>
      <c r="C13441">
        <v>700910</v>
      </c>
      <c r="D13441" t="s">
        <v>176</v>
      </c>
      <c r="E13441">
        <v>78462</v>
      </c>
      <c r="F13441">
        <v>34353</v>
      </c>
      <c r="G13441">
        <v>2457</v>
      </c>
      <c r="H13441">
        <f>_xlfn.XLOOKUP(FACT_IMPORTS[[#This Row],[hts_6]],DIM_PRODUCTS[hts_6],DIM_PRODUCTS[hts_4],,,)</f>
        <v>7009</v>
      </c>
      <c r="I13441" t="str" cm="1">
        <f t="array" ref="I13441">_xlfn.XLOOKUP(FACT_IMPORTS[[#This Row],[country_name]],DIM_COUNTRY[[#All],[Column2]],DIM_COUNTRY[[#All],[Column3]],,,)</f>
        <v>Major_Non-USMCA_Non-China</v>
      </c>
    </row>
    <row r="13442" spans="1:9" x14ac:dyDescent="0.4">
      <c r="A13442" t="s">
        <v>75</v>
      </c>
      <c r="B13442" s="1">
        <v>45444</v>
      </c>
      <c r="C13442">
        <v>732010</v>
      </c>
      <c r="D13442" t="s">
        <v>176</v>
      </c>
      <c r="E13442">
        <v>0</v>
      </c>
      <c r="F13442">
        <v>0</v>
      </c>
      <c r="G13442">
        <v>0</v>
      </c>
      <c r="H13442">
        <f>_xlfn.XLOOKUP(FACT_IMPORTS[[#This Row],[hts_6]],DIM_PRODUCTS[hts_6],DIM_PRODUCTS[hts_4],,,)</f>
        <v>7320</v>
      </c>
      <c r="I13442" t="str" cm="1">
        <f t="array" ref="I13442">_xlfn.XLOOKUP(FACT_IMPORTS[[#This Row],[country_name]],DIM_COUNTRY[[#All],[Column2]],DIM_COUNTRY[[#All],[Column3]],,,)</f>
        <v>Major_Non-USMCA_Non-China</v>
      </c>
    </row>
    <row r="13443" spans="1:9" x14ac:dyDescent="0.4">
      <c r="A13443" t="s">
        <v>75</v>
      </c>
      <c r="B13443" s="1">
        <v>45444</v>
      </c>
      <c r="C13443">
        <v>830230</v>
      </c>
      <c r="D13443" t="s">
        <v>176</v>
      </c>
      <c r="E13443">
        <v>318709</v>
      </c>
      <c r="F13443">
        <v>33199</v>
      </c>
      <c r="G13443">
        <v>4992</v>
      </c>
      <c r="H13443">
        <f>_xlfn.XLOOKUP(FACT_IMPORTS[[#This Row],[hts_6]],DIM_PRODUCTS[hts_6],DIM_PRODUCTS[hts_4],,,)</f>
        <v>8302</v>
      </c>
      <c r="I13443" t="str" cm="1">
        <f t="array" ref="I13443">_xlfn.XLOOKUP(FACT_IMPORTS[[#This Row],[country_name]],DIM_COUNTRY[[#All],[Column2]],DIM_COUNTRY[[#All],[Column3]],,,)</f>
        <v>Major_Non-USMCA_Non-China</v>
      </c>
    </row>
    <row r="13444" spans="1:9" x14ac:dyDescent="0.4">
      <c r="A13444" t="s">
        <v>75</v>
      </c>
      <c r="B13444" s="1">
        <v>45444</v>
      </c>
      <c r="C13444">
        <v>840732</v>
      </c>
      <c r="D13444" t="s">
        <v>176</v>
      </c>
      <c r="E13444">
        <v>0</v>
      </c>
      <c r="F13444">
        <v>0</v>
      </c>
      <c r="G13444">
        <v>0</v>
      </c>
      <c r="H13444">
        <f>_xlfn.XLOOKUP(FACT_IMPORTS[[#This Row],[hts_6]],DIM_PRODUCTS[hts_6],DIM_PRODUCTS[hts_4],,,)</f>
        <v>8407</v>
      </c>
      <c r="I13444" t="str" cm="1">
        <f t="array" ref="I13444">_xlfn.XLOOKUP(FACT_IMPORTS[[#This Row],[country_name]],DIM_COUNTRY[[#All],[Column2]],DIM_COUNTRY[[#All],[Column3]],,,)</f>
        <v>Major_Non-USMCA_Non-China</v>
      </c>
    </row>
    <row r="13445" spans="1:9" x14ac:dyDescent="0.4">
      <c r="A13445" t="s">
        <v>75</v>
      </c>
      <c r="B13445" s="1">
        <v>45444</v>
      </c>
      <c r="C13445">
        <v>840733</v>
      </c>
      <c r="D13445" t="s">
        <v>176</v>
      </c>
      <c r="E13445">
        <v>0</v>
      </c>
      <c r="F13445">
        <v>0</v>
      </c>
      <c r="G13445">
        <v>0</v>
      </c>
      <c r="H13445">
        <f>_xlfn.XLOOKUP(FACT_IMPORTS[[#This Row],[hts_6]],DIM_PRODUCTS[hts_6],DIM_PRODUCTS[hts_4],,,)</f>
        <v>8407</v>
      </c>
      <c r="I13445" t="str" cm="1">
        <f t="array" ref="I13445">_xlfn.XLOOKUP(FACT_IMPORTS[[#This Row],[country_name]],DIM_COUNTRY[[#All],[Column2]],DIM_COUNTRY[[#All],[Column3]],,,)</f>
        <v>Major_Non-USMCA_Non-China</v>
      </c>
    </row>
    <row r="13446" spans="1:9" x14ac:dyDescent="0.4">
      <c r="A13446" t="s">
        <v>75</v>
      </c>
      <c r="B13446" s="1">
        <v>45444</v>
      </c>
      <c r="C13446">
        <v>840790</v>
      </c>
      <c r="D13446" t="s">
        <v>176</v>
      </c>
      <c r="E13446">
        <v>5408</v>
      </c>
      <c r="F13446">
        <v>3</v>
      </c>
      <c r="G13446">
        <v>57</v>
      </c>
      <c r="H13446">
        <f>_xlfn.XLOOKUP(FACT_IMPORTS[[#This Row],[hts_6]],DIM_PRODUCTS[hts_6],DIM_PRODUCTS[hts_4],,,)</f>
        <v>8407</v>
      </c>
      <c r="I13446" t="str" cm="1">
        <f t="array" ref="I13446">_xlfn.XLOOKUP(FACT_IMPORTS[[#This Row],[country_name]],DIM_COUNTRY[[#All],[Column2]],DIM_COUNTRY[[#All],[Column3]],,,)</f>
        <v>Major_Non-USMCA_Non-China</v>
      </c>
    </row>
    <row r="13447" spans="1:9" x14ac:dyDescent="0.4">
      <c r="A13447" t="s">
        <v>75</v>
      </c>
      <c r="B13447" s="1">
        <v>45444</v>
      </c>
      <c r="C13447">
        <v>840890</v>
      </c>
      <c r="D13447" t="s">
        <v>176</v>
      </c>
      <c r="E13447">
        <v>0</v>
      </c>
      <c r="F13447">
        <v>0</v>
      </c>
      <c r="G13447">
        <v>0</v>
      </c>
      <c r="H13447">
        <f>_xlfn.XLOOKUP(FACT_IMPORTS[[#This Row],[hts_6]],DIM_PRODUCTS[hts_6],DIM_PRODUCTS[hts_4],,,)</f>
        <v>8408</v>
      </c>
      <c r="I13447" t="str" cm="1">
        <f t="array" ref="I13447">_xlfn.XLOOKUP(FACT_IMPORTS[[#This Row],[country_name]],DIM_COUNTRY[[#All],[Column2]],DIM_COUNTRY[[#All],[Column3]],,,)</f>
        <v>Major_Non-USMCA_Non-China</v>
      </c>
    </row>
    <row r="13448" spans="1:9" x14ac:dyDescent="0.4">
      <c r="A13448" t="s">
        <v>75</v>
      </c>
      <c r="B13448" s="1">
        <v>45444</v>
      </c>
      <c r="C13448">
        <v>840991</v>
      </c>
      <c r="D13448" t="s">
        <v>176</v>
      </c>
      <c r="E13448">
        <v>193150</v>
      </c>
      <c r="F13448">
        <v>11057</v>
      </c>
      <c r="G13448">
        <v>11274</v>
      </c>
      <c r="H13448">
        <f>_xlfn.XLOOKUP(FACT_IMPORTS[[#This Row],[hts_6]],DIM_PRODUCTS[hts_6],DIM_PRODUCTS[hts_4],,,)</f>
        <v>8409</v>
      </c>
      <c r="I13448" t="str" cm="1">
        <f t="array" ref="I13448">_xlfn.XLOOKUP(FACT_IMPORTS[[#This Row],[country_name]],DIM_COUNTRY[[#All],[Column2]],DIM_COUNTRY[[#All],[Column3]],,,)</f>
        <v>Major_Non-USMCA_Non-China</v>
      </c>
    </row>
    <row r="13449" spans="1:9" x14ac:dyDescent="0.4">
      <c r="A13449" t="s">
        <v>75</v>
      </c>
      <c r="B13449" s="1">
        <v>45444</v>
      </c>
      <c r="C13449">
        <v>840999</v>
      </c>
      <c r="D13449" t="s">
        <v>176</v>
      </c>
      <c r="E13449">
        <v>4510</v>
      </c>
      <c r="F13449">
        <v>167</v>
      </c>
      <c r="G13449">
        <v>2100</v>
      </c>
      <c r="H13449">
        <f>_xlfn.XLOOKUP(FACT_IMPORTS[[#This Row],[hts_6]],DIM_PRODUCTS[hts_6],DIM_PRODUCTS[hts_4],,,)</f>
        <v>8409</v>
      </c>
      <c r="I13449" t="str" cm="1">
        <f t="array" ref="I13449">_xlfn.XLOOKUP(FACT_IMPORTS[[#This Row],[country_name]],DIM_COUNTRY[[#All],[Column2]],DIM_COUNTRY[[#All],[Column3]],,,)</f>
        <v>Major_Non-USMCA_Non-China</v>
      </c>
    </row>
    <row r="13450" spans="1:9" x14ac:dyDescent="0.4">
      <c r="A13450" t="s">
        <v>75</v>
      </c>
      <c r="B13450" s="1">
        <v>45444</v>
      </c>
      <c r="C13450">
        <v>841330</v>
      </c>
      <c r="D13450" t="s">
        <v>176</v>
      </c>
      <c r="E13450">
        <v>274646</v>
      </c>
      <c r="F13450">
        <v>7754</v>
      </c>
      <c r="G13450">
        <v>4918</v>
      </c>
      <c r="H13450">
        <f>_xlfn.XLOOKUP(FACT_IMPORTS[[#This Row],[hts_6]],DIM_PRODUCTS[hts_6],DIM_PRODUCTS[hts_4],,,)</f>
        <v>8413</v>
      </c>
      <c r="I13450" t="str" cm="1">
        <f t="array" ref="I13450">_xlfn.XLOOKUP(FACT_IMPORTS[[#This Row],[country_name]],DIM_COUNTRY[[#All],[Column2]],DIM_COUNTRY[[#All],[Column3]],,,)</f>
        <v>Major_Non-USMCA_Non-China</v>
      </c>
    </row>
    <row r="13451" spans="1:9" x14ac:dyDescent="0.4">
      <c r="A13451" t="s">
        <v>75</v>
      </c>
      <c r="B13451" s="1">
        <v>45444</v>
      </c>
      <c r="C13451">
        <v>848210</v>
      </c>
      <c r="D13451" t="s">
        <v>176</v>
      </c>
      <c r="E13451">
        <v>87600</v>
      </c>
      <c r="F13451">
        <v>210137</v>
      </c>
      <c r="G13451">
        <v>10430</v>
      </c>
      <c r="H13451">
        <f>_xlfn.XLOOKUP(FACT_IMPORTS[[#This Row],[hts_6]],DIM_PRODUCTS[hts_6],DIM_PRODUCTS[hts_4],,,)</f>
        <v>8482</v>
      </c>
      <c r="I13451" t="str" cm="1">
        <f t="array" ref="I13451">_xlfn.XLOOKUP(FACT_IMPORTS[[#This Row],[country_name]],DIM_COUNTRY[[#All],[Column2]],DIM_COUNTRY[[#All],[Column3]],,,)</f>
        <v>Major_Non-USMCA_Non-China</v>
      </c>
    </row>
    <row r="13452" spans="1:9" x14ac:dyDescent="0.4">
      <c r="A13452" t="s">
        <v>75</v>
      </c>
      <c r="B13452" s="1">
        <v>45444</v>
      </c>
      <c r="C13452">
        <v>848310</v>
      </c>
      <c r="D13452" t="s">
        <v>176</v>
      </c>
      <c r="E13452">
        <v>17000</v>
      </c>
      <c r="F13452">
        <v>560</v>
      </c>
      <c r="G13452">
        <v>1</v>
      </c>
      <c r="H13452">
        <f>_xlfn.XLOOKUP(FACT_IMPORTS[[#This Row],[hts_6]],DIM_PRODUCTS[hts_6],DIM_PRODUCTS[hts_4],,,)</f>
        <v>8483</v>
      </c>
      <c r="I13452" t="str" cm="1">
        <f t="array" ref="I13452">_xlfn.XLOOKUP(FACT_IMPORTS[[#This Row],[country_name]],DIM_COUNTRY[[#All],[Column2]],DIM_COUNTRY[[#All],[Column3]],,,)</f>
        <v>Major_Non-USMCA_Non-China</v>
      </c>
    </row>
    <row r="13453" spans="1:9" x14ac:dyDescent="0.4">
      <c r="A13453" t="s">
        <v>75</v>
      </c>
      <c r="B13453" s="1">
        <v>45444</v>
      </c>
      <c r="C13453">
        <v>850131</v>
      </c>
      <c r="D13453" t="s">
        <v>176</v>
      </c>
      <c r="E13453">
        <v>0</v>
      </c>
      <c r="F13453">
        <v>0</v>
      </c>
      <c r="G13453">
        <v>0</v>
      </c>
      <c r="H13453">
        <f>_xlfn.XLOOKUP(FACT_IMPORTS[[#This Row],[hts_6]],DIM_PRODUCTS[hts_6],DIM_PRODUCTS[hts_4],,,)</f>
        <v>8501</v>
      </c>
      <c r="I13453" t="str" cm="1">
        <f t="array" ref="I13453">_xlfn.XLOOKUP(FACT_IMPORTS[[#This Row],[country_name]],DIM_COUNTRY[[#All],[Column2]],DIM_COUNTRY[[#All],[Column3]],,,)</f>
        <v>Major_Non-USMCA_Non-China</v>
      </c>
    </row>
    <row r="13454" spans="1:9" x14ac:dyDescent="0.4">
      <c r="A13454" t="s">
        <v>75</v>
      </c>
      <c r="B13454" s="1">
        <v>45444</v>
      </c>
      <c r="C13454">
        <v>850132</v>
      </c>
      <c r="D13454" t="s">
        <v>176</v>
      </c>
      <c r="E13454">
        <v>0</v>
      </c>
      <c r="F13454">
        <v>0</v>
      </c>
      <c r="G13454">
        <v>0</v>
      </c>
      <c r="H13454">
        <f>_xlfn.XLOOKUP(FACT_IMPORTS[[#This Row],[hts_6]],DIM_PRODUCTS[hts_6],DIM_PRODUCTS[hts_4],,,)</f>
        <v>8501</v>
      </c>
      <c r="I13454" t="str" cm="1">
        <f t="array" ref="I13454">_xlfn.XLOOKUP(FACT_IMPORTS[[#This Row],[country_name]],DIM_COUNTRY[[#All],[Column2]],DIM_COUNTRY[[#All],[Column3]],,,)</f>
        <v>Major_Non-USMCA_Non-China</v>
      </c>
    </row>
    <row r="13455" spans="1:9" x14ac:dyDescent="0.4">
      <c r="A13455" t="s">
        <v>75</v>
      </c>
      <c r="B13455" s="1">
        <v>45444</v>
      </c>
      <c r="C13455">
        <v>850152</v>
      </c>
      <c r="D13455" t="s">
        <v>176</v>
      </c>
      <c r="E13455">
        <v>20355</v>
      </c>
      <c r="F13455">
        <v>504</v>
      </c>
      <c r="G13455">
        <v>344</v>
      </c>
      <c r="H13455">
        <f>_xlfn.XLOOKUP(FACT_IMPORTS[[#This Row],[hts_6]],DIM_PRODUCTS[hts_6],DIM_PRODUCTS[hts_4],,,)</f>
        <v>8501</v>
      </c>
      <c r="I13455" t="str" cm="1">
        <f t="array" ref="I13455">_xlfn.XLOOKUP(FACT_IMPORTS[[#This Row],[country_name]],DIM_COUNTRY[[#All],[Column2]],DIM_COUNTRY[[#All],[Column3]],,,)</f>
        <v>Major_Non-USMCA_Non-China</v>
      </c>
    </row>
    <row r="13456" spans="1:9" x14ac:dyDescent="0.4">
      <c r="A13456" t="s">
        <v>75</v>
      </c>
      <c r="B13456" s="1">
        <v>45444</v>
      </c>
      <c r="C13456">
        <v>850153</v>
      </c>
      <c r="D13456" t="s">
        <v>176</v>
      </c>
      <c r="E13456">
        <v>56000</v>
      </c>
      <c r="F13456">
        <v>1</v>
      </c>
      <c r="G13456">
        <v>200</v>
      </c>
      <c r="H13456">
        <f>_xlfn.XLOOKUP(FACT_IMPORTS[[#This Row],[hts_6]],DIM_PRODUCTS[hts_6],DIM_PRODUCTS[hts_4],,,)</f>
        <v>8501</v>
      </c>
      <c r="I13456" t="str" cm="1">
        <f t="array" ref="I13456">_xlfn.XLOOKUP(FACT_IMPORTS[[#This Row],[country_name]],DIM_COUNTRY[[#All],[Column2]],DIM_COUNTRY[[#All],[Column3]],,,)</f>
        <v>Major_Non-USMCA_Non-China</v>
      </c>
    </row>
    <row r="13457" spans="1:9" x14ac:dyDescent="0.4">
      <c r="A13457" t="s">
        <v>75</v>
      </c>
      <c r="B13457" s="1">
        <v>45444</v>
      </c>
      <c r="C13457">
        <v>850161</v>
      </c>
      <c r="D13457" t="s">
        <v>176</v>
      </c>
      <c r="E13457">
        <v>0</v>
      </c>
      <c r="F13457">
        <v>0</v>
      </c>
      <c r="G13457">
        <v>0</v>
      </c>
      <c r="H13457">
        <f>_xlfn.XLOOKUP(FACT_IMPORTS[[#This Row],[hts_6]],DIM_PRODUCTS[hts_6],DIM_PRODUCTS[hts_4],,,)</f>
        <v>8501</v>
      </c>
      <c r="I13457" t="str" cm="1">
        <f t="array" ref="I13457">_xlfn.XLOOKUP(FACT_IMPORTS[[#This Row],[country_name]],DIM_COUNTRY[[#All],[Column2]],DIM_COUNTRY[[#All],[Column3]],,,)</f>
        <v>Major_Non-USMCA_Non-China</v>
      </c>
    </row>
    <row r="13458" spans="1:9" x14ac:dyDescent="0.4">
      <c r="A13458" t="s">
        <v>75</v>
      </c>
      <c r="B13458" s="1">
        <v>45444</v>
      </c>
      <c r="C13458">
        <v>850440</v>
      </c>
      <c r="D13458" t="s">
        <v>176</v>
      </c>
      <c r="E13458">
        <v>344387</v>
      </c>
      <c r="F13458">
        <v>13816</v>
      </c>
      <c r="G13458">
        <v>9742</v>
      </c>
      <c r="H13458">
        <f>_xlfn.XLOOKUP(FACT_IMPORTS[[#This Row],[hts_6]],DIM_PRODUCTS[hts_6],DIM_PRODUCTS[hts_4],,,)</f>
        <v>8504</v>
      </c>
      <c r="I13458" t="str" cm="1">
        <f t="array" ref="I13458">_xlfn.XLOOKUP(FACT_IMPORTS[[#This Row],[country_name]],DIM_COUNTRY[[#All],[Column2]],DIM_COUNTRY[[#All],[Column3]],,,)</f>
        <v>Major_Non-USMCA_Non-China</v>
      </c>
    </row>
    <row r="13459" spans="1:9" x14ac:dyDescent="0.4">
      <c r="A13459" t="s">
        <v>75</v>
      </c>
      <c r="B13459" s="1">
        <v>45444</v>
      </c>
      <c r="C13459">
        <v>850710</v>
      </c>
      <c r="D13459" t="s">
        <v>176</v>
      </c>
      <c r="E13459">
        <v>3048</v>
      </c>
      <c r="F13459">
        <v>41</v>
      </c>
      <c r="G13459">
        <v>1</v>
      </c>
      <c r="H13459">
        <f>_xlfn.XLOOKUP(FACT_IMPORTS[[#This Row],[hts_6]],DIM_PRODUCTS[hts_6],DIM_PRODUCTS[hts_4],,,)</f>
        <v>8507</v>
      </c>
      <c r="I13459" t="str" cm="1">
        <f t="array" ref="I13459">_xlfn.XLOOKUP(FACT_IMPORTS[[#This Row],[country_name]],DIM_COUNTRY[[#All],[Column2]],DIM_COUNTRY[[#All],[Column3]],,,)</f>
        <v>Major_Non-USMCA_Non-China</v>
      </c>
    </row>
    <row r="13460" spans="1:9" x14ac:dyDescent="0.4">
      <c r="A13460" t="s">
        <v>75</v>
      </c>
      <c r="B13460" s="1">
        <v>45444</v>
      </c>
      <c r="C13460">
        <v>850760</v>
      </c>
      <c r="D13460" t="s">
        <v>176</v>
      </c>
      <c r="E13460">
        <v>100949</v>
      </c>
      <c r="F13460">
        <v>186</v>
      </c>
      <c r="G13460">
        <v>545</v>
      </c>
      <c r="H13460">
        <f>_xlfn.XLOOKUP(FACT_IMPORTS[[#This Row],[hts_6]],DIM_PRODUCTS[hts_6],DIM_PRODUCTS[hts_4],,,)</f>
        <v>8507</v>
      </c>
      <c r="I13460" t="str" cm="1">
        <f t="array" ref="I13460">_xlfn.XLOOKUP(FACT_IMPORTS[[#This Row],[country_name]],DIM_COUNTRY[[#All],[Column2]],DIM_COUNTRY[[#All],[Column3]],,,)</f>
        <v>Major_Non-USMCA_Non-China</v>
      </c>
    </row>
    <row r="13461" spans="1:9" x14ac:dyDescent="0.4">
      <c r="A13461" t="s">
        <v>75</v>
      </c>
      <c r="B13461" s="1">
        <v>45444</v>
      </c>
      <c r="C13461">
        <v>851120</v>
      </c>
      <c r="D13461" t="s">
        <v>176</v>
      </c>
      <c r="E13461">
        <v>0</v>
      </c>
      <c r="F13461">
        <v>0</v>
      </c>
      <c r="G13461">
        <v>0</v>
      </c>
      <c r="H13461">
        <f>_xlfn.XLOOKUP(FACT_IMPORTS[[#This Row],[hts_6]],DIM_PRODUCTS[hts_6],DIM_PRODUCTS[hts_4],,,)</f>
        <v>8511</v>
      </c>
      <c r="I13461" t="str" cm="1">
        <f t="array" ref="I13461">_xlfn.XLOOKUP(FACT_IMPORTS[[#This Row],[country_name]],DIM_COUNTRY[[#All],[Column2]],DIM_COUNTRY[[#All],[Column3]],,,)</f>
        <v>Major_Non-USMCA_Non-China</v>
      </c>
    </row>
    <row r="13462" spans="1:9" x14ac:dyDescent="0.4">
      <c r="A13462" t="s">
        <v>75</v>
      </c>
      <c r="B13462" s="1">
        <v>45444</v>
      </c>
      <c r="C13462">
        <v>851130</v>
      </c>
      <c r="D13462" t="s">
        <v>176</v>
      </c>
      <c r="E13462">
        <v>0</v>
      </c>
      <c r="F13462">
        <v>0</v>
      </c>
      <c r="G13462">
        <v>0</v>
      </c>
      <c r="H13462">
        <f>_xlfn.XLOOKUP(FACT_IMPORTS[[#This Row],[hts_6]],DIM_PRODUCTS[hts_6],DIM_PRODUCTS[hts_4],,,)</f>
        <v>8511</v>
      </c>
      <c r="I13462" t="str" cm="1">
        <f t="array" ref="I13462">_xlfn.XLOOKUP(FACT_IMPORTS[[#This Row],[country_name]],DIM_COUNTRY[[#All],[Column2]],DIM_COUNTRY[[#All],[Column3]],,,)</f>
        <v>Major_Non-USMCA_Non-China</v>
      </c>
    </row>
    <row r="13463" spans="1:9" x14ac:dyDescent="0.4">
      <c r="A13463" t="s">
        <v>75</v>
      </c>
      <c r="B13463" s="1">
        <v>45444</v>
      </c>
      <c r="C13463">
        <v>851140</v>
      </c>
      <c r="D13463" t="s">
        <v>176</v>
      </c>
      <c r="E13463">
        <v>10430</v>
      </c>
      <c r="F13463">
        <v>98</v>
      </c>
      <c r="G13463">
        <v>19</v>
      </c>
      <c r="H13463">
        <f>_xlfn.XLOOKUP(FACT_IMPORTS[[#This Row],[hts_6]],DIM_PRODUCTS[hts_6],DIM_PRODUCTS[hts_4],,,)</f>
        <v>8511</v>
      </c>
      <c r="I13463" t="str" cm="1">
        <f t="array" ref="I13463">_xlfn.XLOOKUP(FACT_IMPORTS[[#This Row],[country_name]],DIM_COUNTRY[[#All],[Column2]],DIM_COUNTRY[[#All],[Column3]],,,)</f>
        <v>Major_Non-USMCA_Non-China</v>
      </c>
    </row>
    <row r="13464" spans="1:9" x14ac:dyDescent="0.4">
      <c r="A13464" t="s">
        <v>75</v>
      </c>
      <c r="B13464" s="1">
        <v>45444</v>
      </c>
      <c r="C13464">
        <v>851150</v>
      </c>
      <c r="D13464" t="s">
        <v>176</v>
      </c>
      <c r="E13464">
        <v>3441</v>
      </c>
      <c r="F13464">
        <v>7</v>
      </c>
      <c r="G13464">
        <v>33</v>
      </c>
      <c r="H13464">
        <f>_xlfn.XLOOKUP(FACT_IMPORTS[[#This Row],[hts_6]],DIM_PRODUCTS[hts_6],DIM_PRODUCTS[hts_4],,,)</f>
        <v>8511</v>
      </c>
      <c r="I13464" t="str" cm="1">
        <f t="array" ref="I13464">_xlfn.XLOOKUP(FACT_IMPORTS[[#This Row],[country_name]],DIM_COUNTRY[[#All],[Column2]],DIM_COUNTRY[[#All],[Column3]],,,)</f>
        <v>Major_Non-USMCA_Non-China</v>
      </c>
    </row>
    <row r="13465" spans="1:9" x14ac:dyDescent="0.4">
      <c r="A13465" t="s">
        <v>75</v>
      </c>
      <c r="B13465" s="1">
        <v>45444</v>
      </c>
      <c r="C13465">
        <v>851180</v>
      </c>
      <c r="D13465" t="s">
        <v>176</v>
      </c>
      <c r="E13465">
        <v>3088</v>
      </c>
      <c r="F13465">
        <v>2</v>
      </c>
      <c r="G13465">
        <v>15</v>
      </c>
      <c r="H13465">
        <f>_xlfn.XLOOKUP(FACT_IMPORTS[[#This Row],[hts_6]],DIM_PRODUCTS[hts_6],DIM_PRODUCTS[hts_4],,,)</f>
        <v>8511</v>
      </c>
      <c r="I13465" t="str" cm="1">
        <f t="array" ref="I13465">_xlfn.XLOOKUP(FACT_IMPORTS[[#This Row],[country_name]],DIM_COUNTRY[[#All],[Column2]],DIM_COUNTRY[[#All],[Column3]],,,)</f>
        <v>Major_Non-USMCA_Non-China</v>
      </c>
    </row>
    <row r="13466" spans="1:9" x14ac:dyDescent="0.4">
      <c r="A13466" t="s">
        <v>75</v>
      </c>
      <c r="B13466" s="1">
        <v>45444</v>
      </c>
      <c r="C13466">
        <v>851190</v>
      </c>
      <c r="D13466" t="s">
        <v>176</v>
      </c>
      <c r="E13466">
        <v>0</v>
      </c>
      <c r="F13466">
        <v>0</v>
      </c>
      <c r="G13466">
        <v>0</v>
      </c>
      <c r="H13466">
        <f>_xlfn.XLOOKUP(FACT_IMPORTS[[#This Row],[hts_6]],DIM_PRODUCTS[hts_6],DIM_PRODUCTS[hts_4],,,)</f>
        <v>8511</v>
      </c>
      <c r="I13466" t="str" cm="1">
        <f t="array" ref="I13466">_xlfn.XLOOKUP(FACT_IMPORTS[[#This Row],[country_name]],DIM_COUNTRY[[#All],[Column2]],DIM_COUNTRY[[#All],[Column3]],,,)</f>
        <v>Major_Non-USMCA_Non-China</v>
      </c>
    </row>
    <row r="13467" spans="1:9" x14ac:dyDescent="0.4">
      <c r="A13467" t="s">
        <v>75</v>
      </c>
      <c r="B13467" s="1">
        <v>45444</v>
      </c>
      <c r="C13467">
        <v>851220</v>
      </c>
      <c r="D13467" t="s">
        <v>176</v>
      </c>
      <c r="E13467">
        <v>950595</v>
      </c>
      <c r="F13467">
        <v>211179</v>
      </c>
      <c r="G13467">
        <v>30821</v>
      </c>
      <c r="H13467">
        <f>_xlfn.XLOOKUP(FACT_IMPORTS[[#This Row],[hts_6]],DIM_PRODUCTS[hts_6],DIM_PRODUCTS[hts_4],,,)</f>
        <v>8512</v>
      </c>
      <c r="I13467" t="str" cm="1">
        <f t="array" ref="I13467">_xlfn.XLOOKUP(FACT_IMPORTS[[#This Row],[country_name]],DIM_COUNTRY[[#All],[Column2]],DIM_COUNTRY[[#All],[Column3]],,,)</f>
        <v>Major_Non-USMCA_Non-China</v>
      </c>
    </row>
    <row r="13468" spans="1:9" x14ac:dyDescent="0.4">
      <c r="A13468" t="s">
        <v>75</v>
      </c>
      <c r="B13468" s="1">
        <v>45444</v>
      </c>
      <c r="C13468">
        <v>851230</v>
      </c>
      <c r="D13468" t="s">
        <v>176</v>
      </c>
      <c r="E13468">
        <v>33565</v>
      </c>
      <c r="F13468">
        <v>292</v>
      </c>
      <c r="G13468">
        <v>1</v>
      </c>
      <c r="H13468">
        <f>_xlfn.XLOOKUP(FACT_IMPORTS[[#This Row],[hts_6]],DIM_PRODUCTS[hts_6],DIM_PRODUCTS[hts_4],,,)</f>
        <v>8512</v>
      </c>
      <c r="I13468" t="str" cm="1">
        <f t="array" ref="I13468">_xlfn.XLOOKUP(FACT_IMPORTS[[#This Row],[country_name]],DIM_COUNTRY[[#All],[Column2]],DIM_COUNTRY[[#All],[Column3]],,,)</f>
        <v>Major_Non-USMCA_Non-China</v>
      </c>
    </row>
    <row r="13469" spans="1:9" x14ac:dyDescent="0.4">
      <c r="A13469" t="s">
        <v>75</v>
      </c>
      <c r="B13469" s="1">
        <v>45444</v>
      </c>
      <c r="C13469">
        <v>851290</v>
      </c>
      <c r="D13469" t="s">
        <v>176</v>
      </c>
      <c r="E13469">
        <v>5005521</v>
      </c>
      <c r="F13469">
        <v>76043</v>
      </c>
      <c r="G13469">
        <v>40861</v>
      </c>
      <c r="H13469">
        <f>_xlfn.XLOOKUP(FACT_IMPORTS[[#This Row],[hts_6]],DIM_PRODUCTS[hts_6],DIM_PRODUCTS[hts_4],,,)</f>
        <v>8512</v>
      </c>
      <c r="I13469" t="str" cm="1">
        <f t="array" ref="I13469">_xlfn.XLOOKUP(FACT_IMPORTS[[#This Row],[country_name]],DIM_COUNTRY[[#All],[Column2]],DIM_COUNTRY[[#All],[Column3]],,,)</f>
        <v>Major_Non-USMCA_Non-China</v>
      </c>
    </row>
    <row r="13470" spans="1:9" x14ac:dyDescent="0.4">
      <c r="A13470" t="s">
        <v>75</v>
      </c>
      <c r="B13470" s="1">
        <v>45444</v>
      </c>
      <c r="C13470">
        <v>854231</v>
      </c>
      <c r="D13470" t="s">
        <v>176</v>
      </c>
      <c r="E13470">
        <v>26095</v>
      </c>
      <c r="F13470">
        <v>3001</v>
      </c>
      <c r="G13470">
        <v>327</v>
      </c>
      <c r="H13470">
        <f>_xlfn.XLOOKUP(FACT_IMPORTS[[#This Row],[hts_6]],DIM_PRODUCTS[hts_6],DIM_PRODUCTS[hts_4],,,)</f>
        <v>8542</v>
      </c>
      <c r="I13470" t="str" cm="1">
        <f t="array" ref="I13470">_xlfn.XLOOKUP(FACT_IMPORTS[[#This Row],[country_name]],DIM_COUNTRY[[#All],[Column2]],DIM_COUNTRY[[#All],[Column3]],,,)</f>
        <v>Major_Non-USMCA_Non-China</v>
      </c>
    </row>
    <row r="13471" spans="1:9" x14ac:dyDescent="0.4">
      <c r="A13471" t="s">
        <v>75</v>
      </c>
      <c r="B13471" s="1">
        <v>45444</v>
      </c>
      <c r="C13471">
        <v>854232</v>
      </c>
      <c r="D13471" t="s">
        <v>176</v>
      </c>
      <c r="E13471">
        <v>0</v>
      </c>
      <c r="F13471">
        <v>0</v>
      </c>
      <c r="G13471">
        <v>0</v>
      </c>
      <c r="H13471">
        <f>_xlfn.XLOOKUP(FACT_IMPORTS[[#This Row],[hts_6]],DIM_PRODUCTS[hts_6],DIM_PRODUCTS[hts_4],,,)</f>
        <v>8542</v>
      </c>
      <c r="I13471" t="str" cm="1">
        <f t="array" ref="I13471">_xlfn.XLOOKUP(FACT_IMPORTS[[#This Row],[country_name]],DIM_COUNTRY[[#All],[Column2]],DIM_COUNTRY[[#All],[Column3]],,,)</f>
        <v>Major_Non-USMCA_Non-China</v>
      </c>
    </row>
    <row r="13472" spans="1:9" x14ac:dyDescent="0.4">
      <c r="A13472" t="s">
        <v>75</v>
      </c>
      <c r="B13472" s="1">
        <v>45444</v>
      </c>
      <c r="C13472">
        <v>854233</v>
      </c>
      <c r="D13472" t="s">
        <v>176</v>
      </c>
      <c r="E13472">
        <v>4000</v>
      </c>
      <c r="F13472">
        <v>20</v>
      </c>
      <c r="G13472">
        <v>93</v>
      </c>
      <c r="H13472">
        <f>_xlfn.XLOOKUP(FACT_IMPORTS[[#This Row],[hts_6]],DIM_PRODUCTS[hts_6],DIM_PRODUCTS[hts_4],,,)</f>
        <v>8542</v>
      </c>
      <c r="I13472" t="str" cm="1">
        <f t="array" ref="I13472">_xlfn.XLOOKUP(FACT_IMPORTS[[#This Row],[country_name]],DIM_COUNTRY[[#All],[Column2]],DIM_COUNTRY[[#All],[Column3]],,,)</f>
        <v>Major_Non-USMCA_Non-China</v>
      </c>
    </row>
    <row r="13473" spans="1:9" x14ac:dyDescent="0.4">
      <c r="A13473" t="s">
        <v>75</v>
      </c>
      <c r="B13473" s="1">
        <v>45444</v>
      </c>
      <c r="C13473">
        <v>854239</v>
      </c>
      <c r="D13473" t="s">
        <v>176</v>
      </c>
      <c r="E13473">
        <v>1888730</v>
      </c>
      <c r="F13473">
        <v>735585</v>
      </c>
      <c r="G13473">
        <v>176861</v>
      </c>
      <c r="H13473">
        <f>_xlfn.XLOOKUP(FACT_IMPORTS[[#This Row],[hts_6]],DIM_PRODUCTS[hts_6],DIM_PRODUCTS[hts_4],,,)</f>
        <v>8542</v>
      </c>
      <c r="I13473" t="str" cm="1">
        <f t="array" ref="I13473">_xlfn.XLOOKUP(FACT_IMPORTS[[#This Row],[country_name]],DIM_COUNTRY[[#All],[Column2]],DIM_COUNTRY[[#All],[Column3]],,,)</f>
        <v>Major_Non-USMCA_Non-China</v>
      </c>
    </row>
    <row r="13474" spans="1:9" x14ac:dyDescent="0.4">
      <c r="A13474" t="s">
        <v>75</v>
      </c>
      <c r="B13474" s="1">
        <v>45444</v>
      </c>
      <c r="C13474">
        <v>854290</v>
      </c>
      <c r="D13474" t="s">
        <v>176</v>
      </c>
      <c r="E13474">
        <v>0</v>
      </c>
      <c r="F13474">
        <v>0</v>
      </c>
      <c r="G13474">
        <v>0</v>
      </c>
      <c r="H13474">
        <f>_xlfn.XLOOKUP(FACT_IMPORTS[[#This Row],[hts_6]],DIM_PRODUCTS[hts_6],DIM_PRODUCTS[hts_4],,,)</f>
        <v>8542</v>
      </c>
      <c r="I13474" t="str" cm="1">
        <f t="array" ref="I13474">_xlfn.XLOOKUP(FACT_IMPORTS[[#This Row],[country_name]],DIM_COUNTRY[[#All],[Column2]],DIM_COUNTRY[[#All],[Column3]],,,)</f>
        <v>Major_Non-USMCA_Non-China</v>
      </c>
    </row>
    <row r="13475" spans="1:9" x14ac:dyDescent="0.4">
      <c r="A13475" t="s">
        <v>75</v>
      </c>
      <c r="B13475" s="1">
        <v>45444</v>
      </c>
      <c r="C13475">
        <v>854430</v>
      </c>
      <c r="D13475" t="s">
        <v>176</v>
      </c>
      <c r="E13475">
        <v>0</v>
      </c>
      <c r="F13475">
        <v>0</v>
      </c>
      <c r="G13475">
        <v>0</v>
      </c>
      <c r="H13475">
        <f>_xlfn.XLOOKUP(FACT_IMPORTS[[#This Row],[hts_6]],DIM_PRODUCTS[hts_6],DIM_PRODUCTS[hts_4],,,)</f>
        <v>8544</v>
      </c>
      <c r="I13475" t="str" cm="1">
        <f t="array" ref="I13475">_xlfn.XLOOKUP(FACT_IMPORTS[[#This Row],[country_name]],DIM_COUNTRY[[#All],[Column2]],DIM_COUNTRY[[#All],[Column3]],,,)</f>
        <v>Major_Non-USMCA_Non-China</v>
      </c>
    </row>
    <row r="13476" spans="1:9" x14ac:dyDescent="0.4">
      <c r="A13476" t="s">
        <v>75</v>
      </c>
      <c r="B13476" s="1">
        <v>45444</v>
      </c>
      <c r="C13476">
        <v>870810</v>
      </c>
      <c r="D13476" t="s">
        <v>176</v>
      </c>
      <c r="E13476">
        <v>240517</v>
      </c>
      <c r="F13476">
        <v>3007</v>
      </c>
      <c r="G13476">
        <v>28857</v>
      </c>
      <c r="H13476">
        <f>_xlfn.XLOOKUP(FACT_IMPORTS[[#This Row],[hts_6]],DIM_PRODUCTS[hts_6],DIM_PRODUCTS[hts_4],,,)</f>
        <v>8708</v>
      </c>
      <c r="I13476" t="str" cm="1">
        <f t="array" ref="I13476">_xlfn.XLOOKUP(FACT_IMPORTS[[#This Row],[country_name]],DIM_COUNTRY[[#All],[Column2]],DIM_COUNTRY[[#All],[Column3]],,,)</f>
        <v>Major_Non-USMCA_Non-China</v>
      </c>
    </row>
    <row r="13477" spans="1:9" x14ac:dyDescent="0.4">
      <c r="A13477" t="s">
        <v>75</v>
      </c>
      <c r="B13477" s="1">
        <v>45444</v>
      </c>
      <c r="C13477">
        <v>870829</v>
      </c>
      <c r="D13477" t="s">
        <v>176</v>
      </c>
      <c r="E13477">
        <v>690918</v>
      </c>
      <c r="F13477">
        <v>75038</v>
      </c>
      <c r="G13477">
        <v>22297</v>
      </c>
      <c r="H13477">
        <f>_xlfn.XLOOKUP(FACT_IMPORTS[[#This Row],[hts_6]],DIM_PRODUCTS[hts_6],DIM_PRODUCTS[hts_4],,,)</f>
        <v>8708</v>
      </c>
      <c r="I13477" t="str" cm="1">
        <f t="array" ref="I13477">_xlfn.XLOOKUP(FACT_IMPORTS[[#This Row],[country_name]],DIM_COUNTRY[[#All],[Column2]],DIM_COUNTRY[[#All],[Column3]],,,)</f>
        <v>Major_Non-USMCA_Non-China</v>
      </c>
    </row>
    <row r="13478" spans="1:9" x14ac:dyDescent="0.4">
      <c r="A13478" t="s">
        <v>75</v>
      </c>
      <c r="B13478" s="1">
        <v>45444</v>
      </c>
      <c r="C13478">
        <v>870830</v>
      </c>
      <c r="D13478" t="s">
        <v>176</v>
      </c>
      <c r="E13478">
        <v>0</v>
      </c>
      <c r="F13478">
        <v>0</v>
      </c>
      <c r="G13478">
        <v>0</v>
      </c>
      <c r="H13478">
        <f>_xlfn.XLOOKUP(FACT_IMPORTS[[#This Row],[hts_6]],DIM_PRODUCTS[hts_6],DIM_PRODUCTS[hts_4],,,)</f>
        <v>8708</v>
      </c>
      <c r="I13478" t="str" cm="1">
        <f t="array" ref="I13478">_xlfn.XLOOKUP(FACT_IMPORTS[[#This Row],[country_name]],DIM_COUNTRY[[#All],[Column2]],DIM_COUNTRY[[#All],[Column3]],,,)</f>
        <v>Major_Non-USMCA_Non-China</v>
      </c>
    </row>
    <row r="13479" spans="1:9" x14ac:dyDescent="0.4">
      <c r="A13479" t="s">
        <v>75</v>
      </c>
      <c r="B13479" s="1">
        <v>45444</v>
      </c>
      <c r="C13479">
        <v>870840</v>
      </c>
      <c r="D13479" t="s">
        <v>176</v>
      </c>
      <c r="E13479">
        <v>432383</v>
      </c>
      <c r="F13479">
        <v>69480</v>
      </c>
      <c r="G13479">
        <v>8370</v>
      </c>
      <c r="H13479">
        <f>_xlfn.XLOOKUP(FACT_IMPORTS[[#This Row],[hts_6]],DIM_PRODUCTS[hts_6],DIM_PRODUCTS[hts_4],,,)</f>
        <v>8708</v>
      </c>
      <c r="I13479" t="str" cm="1">
        <f t="array" ref="I13479">_xlfn.XLOOKUP(FACT_IMPORTS[[#This Row],[country_name]],DIM_COUNTRY[[#All],[Column2]],DIM_COUNTRY[[#All],[Column3]],,,)</f>
        <v>Major_Non-USMCA_Non-China</v>
      </c>
    </row>
    <row r="13480" spans="1:9" x14ac:dyDescent="0.4">
      <c r="A13480" t="s">
        <v>75</v>
      </c>
      <c r="B13480" s="1">
        <v>45444</v>
      </c>
      <c r="C13480">
        <v>870850</v>
      </c>
      <c r="D13480" t="s">
        <v>176</v>
      </c>
      <c r="E13480">
        <v>367186</v>
      </c>
      <c r="F13480">
        <v>3132</v>
      </c>
      <c r="G13480">
        <v>4621</v>
      </c>
      <c r="H13480">
        <f>_xlfn.XLOOKUP(FACT_IMPORTS[[#This Row],[hts_6]],DIM_PRODUCTS[hts_6],DIM_PRODUCTS[hts_4],,,)</f>
        <v>8708</v>
      </c>
      <c r="I13480" t="str" cm="1">
        <f t="array" ref="I13480">_xlfn.XLOOKUP(FACT_IMPORTS[[#This Row],[country_name]],DIM_COUNTRY[[#All],[Column2]],DIM_COUNTRY[[#All],[Column3]],,,)</f>
        <v>Major_Non-USMCA_Non-China</v>
      </c>
    </row>
    <row r="13481" spans="1:9" x14ac:dyDescent="0.4">
      <c r="A13481" t="s">
        <v>75</v>
      </c>
      <c r="B13481" s="1">
        <v>45444</v>
      </c>
      <c r="C13481">
        <v>870870</v>
      </c>
      <c r="D13481" t="s">
        <v>176</v>
      </c>
      <c r="E13481">
        <v>1295379</v>
      </c>
      <c r="F13481">
        <v>5272</v>
      </c>
      <c r="G13481">
        <v>39006</v>
      </c>
      <c r="H13481">
        <f>_xlfn.XLOOKUP(FACT_IMPORTS[[#This Row],[hts_6]],DIM_PRODUCTS[hts_6],DIM_PRODUCTS[hts_4],,,)</f>
        <v>8708</v>
      </c>
      <c r="I13481" t="str" cm="1">
        <f t="array" ref="I13481">_xlfn.XLOOKUP(FACT_IMPORTS[[#This Row],[country_name]],DIM_COUNTRY[[#All],[Column2]],DIM_COUNTRY[[#All],[Column3]],,,)</f>
        <v>Major_Non-USMCA_Non-China</v>
      </c>
    </row>
    <row r="13482" spans="1:9" x14ac:dyDescent="0.4">
      <c r="A13482" t="s">
        <v>75</v>
      </c>
      <c r="B13482" s="1">
        <v>45444</v>
      </c>
      <c r="C13482">
        <v>870880</v>
      </c>
      <c r="D13482" t="s">
        <v>176</v>
      </c>
      <c r="E13482">
        <v>847088</v>
      </c>
      <c r="F13482">
        <v>114542</v>
      </c>
      <c r="G13482">
        <v>31439</v>
      </c>
      <c r="H13482">
        <f>_xlfn.XLOOKUP(FACT_IMPORTS[[#This Row],[hts_6]],DIM_PRODUCTS[hts_6],DIM_PRODUCTS[hts_4],,,)</f>
        <v>8708</v>
      </c>
      <c r="I13482" t="str" cm="1">
        <f t="array" ref="I13482">_xlfn.XLOOKUP(FACT_IMPORTS[[#This Row],[country_name]],DIM_COUNTRY[[#All],[Column2]],DIM_COUNTRY[[#All],[Column3]],,,)</f>
        <v>Major_Non-USMCA_Non-China</v>
      </c>
    </row>
    <row r="13483" spans="1:9" x14ac:dyDescent="0.4">
      <c r="A13483" t="s">
        <v>75</v>
      </c>
      <c r="B13483" s="1">
        <v>45444</v>
      </c>
      <c r="C13483">
        <v>870891</v>
      </c>
      <c r="D13483" t="s">
        <v>176</v>
      </c>
      <c r="E13483">
        <v>9923</v>
      </c>
      <c r="F13483">
        <v>8259</v>
      </c>
      <c r="G13483">
        <v>548</v>
      </c>
      <c r="H13483">
        <f>_xlfn.XLOOKUP(FACT_IMPORTS[[#This Row],[hts_6]],DIM_PRODUCTS[hts_6],DIM_PRODUCTS[hts_4],,,)</f>
        <v>8708</v>
      </c>
      <c r="I13483" t="str" cm="1">
        <f t="array" ref="I13483">_xlfn.XLOOKUP(FACT_IMPORTS[[#This Row],[country_name]],DIM_COUNTRY[[#All],[Column2]],DIM_COUNTRY[[#All],[Column3]],,,)</f>
        <v>Major_Non-USMCA_Non-China</v>
      </c>
    </row>
    <row r="13484" spans="1:9" x14ac:dyDescent="0.4">
      <c r="A13484" t="s">
        <v>75</v>
      </c>
      <c r="B13484" s="1">
        <v>45444</v>
      </c>
      <c r="C13484">
        <v>870892</v>
      </c>
      <c r="D13484" t="s">
        <v>176</v>
      </c>
      <c r="E13484">
        <v>0</v>
      </c>
      <c r="F13484">
        <v>0</v>
      </c>
      <c r="G13484">
        <v>0</v>
      </c>
      <c r="H13484">
        <f>_xlfn.XLOOKUP(FACT_IMPORTS[[#This Row],[hts_6]],DIM_PRODUCTS[hts_6],DIM_PRODUCTS[hts_4],,,)</f>
        <v>8708</v>
      </c>
      <c r="I13484" t="str" cm="1">
        <f t="array" ref="I13484">_xlfn.XLOOKUP(FACT_IMPORTS[[#This Row],[country_name]],DIM_COUNTRY[[#All],[Column2]],DIM_COUNTRY[[#All],[Column3]],,,)</f>
        <v>Major_Non-USMCA_Non-China</v>
      </c>
    </row>
    <row r="13485" spans="1:9" x14ac:dyDescent="0.4">
      <c r="A13485" t="s">
        <v>75</v>
      </c>
      <c r="B13485" s="1">
        <v>45444</v>
      </c>
      <c r="C13485">
        <v>870893</v>
      </c>
      <c r="D13485" t="s">
        <v>176</v>
      </c>
      <c r="E13485">
        <v>31756</v>
      </c>
      <c r="F13485">
        <v>2286</v>
      </c>
      <c r="G13485">
        <v>23</v>
      </c>
      <c r="H13485">
        <f>_xlfn.XLOOKUP(FACT_IMPORTS[[#This Row],[hts_6]],DIM_PRODUCTS[hts_6],DIM_PRODUCTS[hts_4],,,)</f>
        <v>8708</v>
      </c>
      <c r="I13485" t="str" cm="1">
        <f t="array" ref="I13485">_xlfn.XLOOKUP(FACT_IMPORTS[[#This Row],[country_name]],DIM_COUNTRY[[#All],[Column2]],DIM_COUNTRY[[#All],[Column3]],,,)</f>
        <v>Major_Non-USMCA_Non-China</v>
      </c>
    </row>
    <row r="13486" spans="1:9" x14ac:dyDescent="0.4">
      <c r="A13486" t="s">
        <v>75</v>
      </c>
      <c r="B13486" s="1">
        <v>45444</v>
      </c>
      <c r="C13486">
        <v>870894</v>
      </c>
      <c r="D13486" t="s">
        <v>176</v>
      </c>
      <c r="E13486">
        <v>99573</v>
      </c>
      <c r="F13486">
        <v>19445</v>
      </c>
      <c r="G13486">
        <v>3311</v>
      </c>
      <c r="H13486">
        <f>_xlfn.XLOOKUP(FACT_IMPORTS[[#This Row],[hts_6]],DIM_PRODUCTS[hts_6],DIM_PRODUCTS[hts_4],,,)</f>
        <v>8708</v>
      </c>
      <c r="I13486" t="str" cm="1">
        <f t="array" ref="I13486">_xlfn.XLOOKUP(FACT_IMPORTS[[#This Row],[country_name]],DIM_COUNTRY[[#All],[Column2]],DIM_COUNTRY[[#All],[Column3]],,,)</f>
        <v>Major_Non-USMCA_Non-China</v>
      </c>
    </row>
    <row r="13487" spans="1:9" x14ac:dyDescent="0.4">
      <c r="A13487" t="s">
        <v>75</v>
      </c>
      <c r="B13487" s="1">
        <v>45444</v>
      </c>
      <c r="C13487">
        <v>870899</v>
      </c>
      <c r="D13487" t="s">
        <v>176</v>
      </c>
      <c r="E13487">
        <v>930160</v>
      </c>
      <c r="F13487">
        <v>941537</v>
      </c>
      <c r="G13487">
        <v>63438</v>
      </c>
      <c r="H13487">
        <f>_xlfn.XLOOKUP(FACT_IMPORTS[[#This Row],[hts_6]],DIM_PRODUCTS[hts_6],DIM_PRODUCTS[hts_4],,,)</f>
        <v>8708</v>
      </c>
      <c r="I13487" t="str" cm="1">
        <f t="array" ref="I13487">_xlfn.XLOOKUP(FACT_IMPORTS[[#This Row],[country_name]],DIM_COUNTRY[[#All],[Column2]],DIM_COUNTRY[[#All],[Column3]],,,)</f>
        <v>Major_Non-USMCA_Non-China</v>
      </c>
    </row>
    <row r="13488" spans="1:9" x14ac:dyDescent="0.4">
      <c r="A13488" t="s">
        <v>75</v>
      </c>
      <c r="B13488" s="1">
        <v>45474</v>
      </c>
      <c r="C13488">
        <v>392630</v>
      </c>
      <c r="D13488" t="s">
        <v>176</v>
      </c>
      <c r="E13488">
        <v>0</v>
      </c>
      <c r="F13488">
        <v>0</v>
      </c>
      <c r="G13488">
        <v>0</v>
      </c>
      <c r="H13488">
        <f>_xlfn.XLOOKUP(FACT_IMPORTS[[#This Row],[hts_6]],DIM_PRODUCTS[hts_6],DIM_PRODUCTS[hts_4],,,)</f>
        <v>3926</v>
      </c>
      <c r="I13488" t="str" cm="1">
        <f t="array" ref="I13488">_xlfn.XLOOKUP(FACT_IMPORTS[[#This Row],[country_name]],DIM_COUNTRY[[#All],[Column2]],DIM_COUNTRY[[#All],[Column3]],,,)</f>
        <v>Major_Non-USMCA_Non-China</v>
      </c>
    </row>
    <row r="13489" spans="1:9" x14ac:dyDescent="0.4">
      <c r="A13489" t="s">
        <v>75</v>
      </c>
      <c r="B13489" s="1">
        <v>45474</v>
      </c>
      <c r="C13489">
        <v>401110</v>
      </c>
      <c r="D13489" t="s">
        <v>176</v>
      </c>
      <c r="E13489">
        <v>0</v>
      </c>
      <c r="F13489">
        <v>0</v>
      </c>
      <c r="G13489">
        <v>0</v>
      </c>
      <c r="H13489">
        <f>_xlfn.XLOOKUP(FACT_IMPORTS[[#This Row],[hts_6]],DIM_PRODUCTS[hts_6],DIM_PRODUCTS[hts_4],,,)</f>
        <v>4011</v>
      </c>
      <c r="I13489" t="str" cm="1">
        <f t="array" ref="I13489">_xlfn.XLOOKUP(FACT_IMPORTS[[#This Row],[country_name]],DIM_COUNTRY[[#All],[Column2]],DIM_COUNTRY[[#All],[Column3]],,,)</f>
        <v>Major_Non-USMCA_Non-China</v>
      </c>
    </row>
    <row r="13490" spans="1:9" x14ac:dyDescent="0.4">
      <c r="A13490" t="s">
        <v>75</v>
      </c>
      <c r="B13490" s="1">
        <v>45474</v>
      </c>
      <c r="C13490">
        <v>401120</v>
      </c>
      <c r="D13490" t="s">
        <v>176</v>
      </c>
      <c r="E13490">
        <v>68400</v>
      </c>
      <c r="F13490">
        <v>900</v>
      </c>
      <c r="G13490">
        <v>546</v>
      </c>
      <c r="H13490">
        <f>_xlfn.XLOOKUP(FACT_IMPORTS[[#This Row],[hts_6]],DIM_PRODUCTS[hts_6],DIM_PRODUCTS[hts_4],,,)</f>
        <v>4011</v>
      </c>
      <c r="I13490" t="str" cm="1">
        <f t="array" ref="I13490">_xlfn.XLOOKUP(FACT_IMPORTS[[#This Row],[country_name]],DIM_COUNTRY[[#All],[Column2]],DIM_COUNTRY[[#All],[Column3]],,,)</f>
        <v>Major_Non-USMCA_Non-China</v>
      </c>
    </row>
    <row r="13491" spans="1:9" x14ac:dyDescent="0.4">
      <c r="A13491" t="s">
        <v>75</v>
      </c>
      <c r="B13491" s="1">
        <v>45474</v>
      </c>
      <c r="C13491">
        <v>401140</v>
      </c>
      <c r="D13491" t="s">
        <v>176</v>
      </c>
      <c r="E13491">
        <v>0</v>
      </c>
      <c r="F13491">
        <v>0</v>
      </c>
      <c r="G13491">
        <v>0</v>
      </c>
      <c r="H13491">
        <f>_xlfn.XLOOKUP(FACT_IMPORTS[[#This Row],[hts_6]],DIM_PRODUCTS[hts_6],DIM_PRODUCTS[hts_4],,,)</f>
        <v>4011</v>
      </c>
      <c r="I13491" t="str" cm="1">
        <f t="array" ref="I13491">_xlfn.XLOOKUP(FACT_IMPORTS[[#This Row],[country_name]],DIM_COUNTRY[[#All],[Column2]],DIM_COUNTRY[[#All],[Column3]],,,)</f>
        <v>Major_Non-USMCA_Non-China</v>
      </c>
    </row>
    <row r="13492" spans="1:9" x14ac:dyDescent="0.4">
      <c r="A13492" t="s">
        <v>75</v>
      </c>
      <c r="B13492" s="1">
        <v>45474</v>
      </c>
      <c r="C13492">
        <v>401190</v>
      </c>
      <c r="D13492" t="s">
        <v>176</v>
      </c>
      <c r="E13492">
        <v>6335</v>
      </c>
      <c r="F13492">
        <v>68</v>
      </c>
      <c r="G13492">
        <v>15</v>
      </c>
      <c r="H13492">
        <f>_xlfn.XLOOKUP(FACT_IMPORTS[[#This Row],[hts_6]],DIM_PRODUCTS[hts_6],DIM_PRODUCTS[hts_4],,,)</f>
        <v>4011</v>
      </c>
      <c r="I13492" t="str" cm="1">
        <f t="array" ref="I13492">_xlfn.XLOOKUP(FACT_IMPORTS[[#This Row],[country_name]],DIM_COUNTRY[[#All],[Column2]],DIM_COUNTRY[[#All],[Column3]],,,)</f>
        <v>Major_Non-USMCA_Non-China</v>
      </c>
    </row>
    <row r="13493" spans="1:9" x14ac:dyDescent="0.4">
      <c r="A13493" t="s">
        <v>75</v>
      </c>
      <c r="B13493" s="1">
        <v>45474</v>
      </c>
      <c r="C13493">
        <v>700721</v>
      </c>
      <c r="D13493" t="s">
        <v>176</v>
      </c>
      <c r="E13493">
        <v>0</v>
      </c>
      <c r="F13493">
        <v>0</v>
      </c>
      <c r="G13493">
        <v>0</v>
      </c>
      <c r="H13493">
        <f>_xlfn.XLOOKUP(FACT_IMPORTS[[#This Row],[hts_6]],DIM_PRODUCTS[hts_6],DIM_PRODUCTS[hts_4],,,)</f>
        <v>7007</v>
      </c>
      <c r="I13493" t="str" cm="1">
        <f t="array" ref="I13493">_xlfn.XLOOKUP(FACT_IMPORTS[[#This Row],[country_name]],DIM_COUNTRY[[#All],[Column2]],DIM_COUNTRY[[#All],[Column3]],,,)</f>
        <v>Major_Non-USMCA_Non-China</v>
      </c>
    </row>
    <row r="13494" spans="1:9" x14ac:dyDescent="0.4">
      <c r="A13494" t="s">
        <v>75</v>
      </c>
      <c r="B13494" s="1">
        <v>45474</v>
      </c>
      <c r="C13494">
        <v>700910</v>
      </c>
      <c r="D13494" t="s">
        <v>176</v>
      </c>
      <c r="E13494">
        <v>7146</v>
      </c>
      <c r="F13494">
        <v>470</v>
      </c>
      <c r="G13494">
        <v>2301</v>
      </c>
      <c r="H13494">
        <f>_xlfn.XLOOKUP(FACT_IMPORTS[[#This Row],[hts_6]],DIM_PRODUCTS[hts_6],DIM_PRODUCTS[hts_4],,,)</f>
        <v>7009</v>
      </c>
      <c r="I13494" t="str" cm="1">
        <f t="array" ref="I13494">_xlfn.XLOOKUP(FACT_IMPORTS[[#This Row],[country_name]],DIM_COUNTRY[[#All],[Column2]],DIM_COUNTRY[[#All],[Column3]],,,)</f>
        <v>Major_Non-USMCA_Non-China</v>
      </c>
    </row>
    <row r="13495" spans="1:9" x14ac:dyDescent="0.4">
      <c r="A13495" t="s">
        <v>75</v>
      </c>
      <c r="B13495" s="1">
        <v>45474</v>
      </c>
      <c r="C13495">
        <v>732010</v>
      </c>
      <c r="D13495" t="s">
        <v>176</v>
      </c>
      <c r="E13495">
        <v>0</v>
      </c>
      <c r="F13495">
        <v>0</v>
      </c>
      <c r="G13495">
        <v>0</v>
      </c>
      <c r="H13495">
        <f>_xlfn.XLOOKUP(FACT_IMPORTS[[#This Row],[hts_6]],DIM_PRODUCTS[hts_6],DIM_PRODUCTS[hts_4],,,)</f>
        <v>7320</v>
      </c>
      <c r="I13495" t="str" cm="1">
        <f t="array" ref="I13495">_xlfn.XLOOKUP(FACT_IMPORTS[[#This Row],[country_name]],DIM_COUNTRY[[#All],[Column2]],DIM_COUNTRY[[#All],[Column3]],,,)</f>
        <v>Major_Non-USMCA_Non-China</v>
      </c>
    </row>
    <row r="13496" spans="1:9" x14ac:dyDescent="0.4">
      <c r="A13496" t="s">
        <v>75</v>
      </c>
      <c r="B13496" s="1">
        <v>45474</v>
      </c>
      <c r="C13496">
        <v>830230</v>
      </c>
      <c r="D13496" t="s">
        <v>176</v>
      </c>
      <c r="E13496">
        <v>81619</v>
      </c>
      <c r="F13496">
        <v>7411</v>
      </c>
      <c r="G13496">
        <v>7709</v>
      </c>
      <c r="H13496">
        <f>_xlfn.XLOOKUP(FACT_IMPORTS[[#This Row],[hts_6]],DIM_PRODUCTS[hts_6],DIM_PRODUCTS[hts_4],,,)</f>
        <v>8302</v>
      </c>
      <c r="I13496" t="str" cm="1">
        <f t="array" ref="I13496">_xlfn.XLOOKUP(FACT_IMPORTS[[#This Row],[country_name]],DIM_COUNTRY[[#All],[Column2]],DIM_COUNTRY[[#All],[Column3]],,,)</f>
        <v>Major_Non-USMCA_Non-China</v>
      </c>
    </row>
    <row r="13497" spans="1:9" x14ac:dyDescent="0.4">
      <c r="A13497" t="s">
        <v>75</v>
      </c>
      <c r="B13497" s="1">
        <v>45474</v>
      </c>
      <c r="C13497">
        <v>840732</v>
      </c>
      <c r="D13497" t="s">
        <v>176</v>
      </c>
      <c r="E13497">
        <v>0</v>
      </c>
      <c r="F13497">
        <v>0</v>
      </c>
      <c r="G13497">
        <v>0</v>
      </c>
      <c r="H13497">
        <f>_xlfn.XLOOKUP(FACT_IMPORTS[[#This Row],[hts_6]],DIM_PRODUCTS[hts_6],DIM_PRODUCTS[hts_4],,,)</f>
        <v>8407</v>
      </c>
      <c r="I13497" t="str" cm="1">
        <f t="array" ref="I13497">_xlfn.XLOOKUP(FACT_IMPORTS[[#This Row],[country_name]],DIM_COUNTRY[[#All],[Column2]],DIM_COUNTRY[[#All],[Column3]],,,)</f>
        <v>Major_Non-USMCA_Non-China</v>
      </c>
    </row>
    <row r="13498" spans="1:9" x14ac:dyDescent="0.4">
      <c r="A13498" t="s">
        <v>75</v>
      </c>
      <c r="B13498" s="1">
        <v>45474</v>
      </c>
      <c r="C13498">
        <v>840733</v>
      </c>
      <c r="D13498" t="s">
        <v>176</v>
      </c>
      <c r="E13498">
        <v>0</v>
      </c>
      <c r="F13498">
        <v>0</v>
      </c>
      <c r="G13498">
        <v>0</v>
      </c>
      <c r="H13498">
        <f>_xlfn.XLOOKUP(FACT_IMPORTS[[#This Row],[hts_6]],DIM_PRODUCTS[hts_6],DIM_PRODUCTS[hts_4],,,)</f>
        <v>8407</v>
      </c>
      <c r="I13498" t="str" cm="1">
        <f t="array" ref="I13498">_xlfn.XLOOKUP(FACT_IMPORTS[[#This Row],[country_name]],DIM_COUNTRY[[#All],[Column2]],DIM_COUNTRY[[#All],[Column3]],,,)</f>
        <v>Major_Non-USMCA_Non-China</v>
      </c>
    </row>
    <row r="13499" spans="1:9" x14ac:dyDescent="0.4">
      <c r="A13499" t="s">
        <v>75</v>
      </c>
      <c r="B13499" s="1">
        <v>45474</v>
      </c>
      <c r="C13499">
        <v>840790</v>
      </c>
      <c r="D13499" t="s">
        <v>176</v>
      </c>
      <c r="E13499">
        <v>0</v>
      </c>
      <c r="F13499">
        <v>0</v>
      </c>
      <c r="G13499">
        <v>0</v>
      </c>
      <c r="H13499">
        <f>_xlfn.XLOOKUP(FACT_IMPORTS[[#This Row],[hts_6]],DIM_PRODUCTS[hts_6],DIM_PRODUCTS[hts_4],,,)</f>
        <v>8407</v>
      </c>
      <c r="I13499" t="str" cm="1">
        <f t="array" ref="I13499">_xlfn.XLOOKUP(FACT_IMPORTS[[#This Row],[country_name]],DIM_COUNTRY[[#All],[Column2]],DIM_COUNTRY[[#All],[Column3]],,,)</f>
        <v>Major_Non-USMCA_Non-China</v>
      </c>
    </row>
    <row r="13500" spans="1:9" x14ac:dyDescent="0.4">
      <c r="A13500" t="s">
        <v>75</v>
      </c>
      <c r="B13500" s="1">
        <v>45474</v>
      </c>
      <c r="C13500">
        <v>840890</v>
      </c>
      <c r="D13500" t="s">
        <v>176</v>
      </c>
      <c r="E13500">
        <v>0</v>
      </c>
      <c r="F13500">
        <v>0</v>
      </c>
      <c r="G13500">
        <v>0</v>
      </c>
      <c r="H13500">
        <f>_xlfn.XLOOKUP(FACT_IMPORTS[[#This Row],[hts_6]],DIM_PRODUCTS[hts_6],DIM_PRODUCTS[hts_4],,,)</f>
        <v>8408</v>
      </c>
      <c r="I13500" t="str" cm="1">
        <f t="array" ref="I13500">_xlfn.XLOOKUP(FACT_IMPORTS[[#This Row],[country_name]],DIM_COUNTRY[[#All],[Column2]],DIM_COUNTRY[[#All],[Column3]],,,)</f>
        <v>Major_Non-USMCA_Non-China</v>
      </c>
    </row>
    <row r="13501" spans="1:9" x14ac:dyDescent="0.4">
      <c r="A13501" t="s">
        <v>75</v>
      </c>
      <c r="B13501" s="1">
        <v>45474</v>
      </c>
      <c r="C13501">
        <v>840991</v>
      </c>
      <c r="D13501" t="s">
        <v>176</v>
      </c>
      <c r="E13501">
        <v>43724</v>
      </c>
      <c r="F13501">
        <v>1580</v>
      </c>
      <c r="G13501">
        <v>1053</v>
      </c>
      <c r="H13501">
        <f>_xlfn.XLOOKUP(FACT_IMPORTS[[#This Row],[hts_6]],DIM_PRODUCTS[hts_6],DIM_PRODUCTS[hts_4],,,)</f>
        <v>8409</v>
      </c>
      <c r="I13501" t="str" cm="1">
        <f t="array" ref="I13501">_xlfn.XLOOKUP(FACT_IMPORTS[[#This Row],[country_name]],DIM_COUNTRY[[#All],[Column2]],DIM_COUNTRY[[#All],[Column3]],,,)</f>
        <v>Major_Non-USMCA_Non-China</v>
      </c>
    </row>
    <row r="13502" spans="1:9" x14ac:dyDescent="0.4">
      <c r="A13502" t="s">
        <v>75</v>
      </c>
      <c r="B13502" s="1">
        <v>45474</v>
      </c>
      <c r="C13502">
        <v>840999</v>
      </c>
      <c r="D13502" t="s">
        <v>176</v>
      </c>
      <c r="E13502">
        <v>0</v>
      </c>
      <c r="F13502">
        <v>0</v>
      </c>
      <c r="G13502">
        <v>0</v>
      </c>
      <c r="H13502">
        <f>_xlfn.XLOOKUP(FACT_IMPORTS[[#This Row],[hts_6]],DIM_PRODUCTS[hts_6],DIM_PRODUCTS[hts_4],,,)</f>
        <v>8409</v>
      </c>
      <c r="I13502" t="str" cm="1">
        <f t="array" ref="I13502">_xlfn.XLOOKUP(FACT_IMPORTS[[#This Row],[country_name]],DIM_COUNTRY[[#All],[Column2]],DIM_COUNTRY[[#All],[Column3]],,,)</f>
        <v>Major_Non-USMCA_Non-China</v>
      </c>
    </row>
    <row r="13503" spans="1:9" x14ac:dyDescent="0.4">
      <c r="A13503" t="s">
        <v>75</v>
      </c>
      <c r="B13503" s="1">
        <v>45474</v>
      </c>
      <c r="C13503">
        <v>841330</v>
      </c>
      <c r="D13503" t="s">
        <v>176</v>
      </c>
      <c r="E13503">
        <v>0</v>
      </c>
      <c r="F13503">
        <v>0</v>
      </c>
      <c r="G13503">
        <v>0</v>
      </c>
      <c r="H13503">
        <f>_xlfn.XLOOKUP(FACT_IMPORTS[[#This Row],[hts_6]],DIM_PRODUCTS[hts_6],DIM_PRODUCTS[hts_4],,,)</f>
        <v>8413</v>
      </c>
      <c r="I13503" t="str" cm="1">
        <f t="array" ref="I13503">_xlfn.XLOOKUP(FACT_IMPORTS[[#This Row],[country_name]],DIM_COUNTRY[[#All],[Column2]],DIM_COUNTRY[[#All],[Column3]],,,)</f>
        <v>Major_Non-USMCA_Non-China</v>
      </c>
    </row>
    <row r="13504" spans="1:9" x14ac:dyDescent="0.4">
      <c r="A13504" t="s">
        <v>75</v>
      </c>
      <c r="B13504" s="1">
        <v>45474</v>
      </c>
      <c r="C13504">
        <v>848210</v>
      </c>
      <c r="D13504" t="s">
        <v>176</v>
      </c>
      <c r="E13504">
        <v>121542</v>
      </c>
      <c r="F13504">
        <v>305174</v>
      </c>
      <c r="G13504">
        <v>24446</v>
      </c>
      <c r="H13504">
        <f>_xlfn.XLOOKUP(FACT_IMPORTS[[#This Row],[hts_6]],DIM_PRODUCTS[hts_6],DIM_PRODUCTS[hts_4],,,)</f>
        <v>8482</v>
      </c>
      <c r="I13504" t="str" cm="1">
        <f t="array" ref="I13504">_xlfn.XLOOKUP(FACT_IMPORTS[[#This Row],[country_name]],DIM_COUNTRY[[#All],[Column2]],DIM_COUNTRY[[#All],[Column3]],,,)</f>
        <v>Major_Non-USMCA_Non-China</v>
      </c>
    </row>
    <row r="13505" spans="1:9" x14ac:dyDescent="0.4">
      <c r="A13505" t="s">
        <v>75</v>
      </c>
      <c r="B13505" s="1">
        <v>45474</v>
      </c>
      <c r="C13505">
        <v>848310</v>
      </c>
      <c r="D13505" t="s">
        <v>176</v>
      </c>
      <c r="E13505">
        <v>0</v>
      </c>
      <c r="F13505">
        <v>0</v>
      </c>
      <c r="G13505">
        <v>0</v>
      </c>
      <c r="H13505">
        <f>_xlfn.XLOOKUP(FACT_IMPORTS[[#This Row],[hts_6]],DIM_PRODUCTS[hts_6],DIM_PRODUCTS[hts_4],,,)</f>
        <v>8483</v>
      </c>
      <c r="I13505" t="str" cm="1">
        <f t="array" ref="I13505">_xlfn.XLOOKUP(FACT_IMPORTS[[#This Row],[country_name]],DIM_COUNTRY[[#All],[Column2]],DIM_COUNTRY[[#All],[Column3]],,,)</f>
        <v>Major_Non-USMCA_Non-China</v>
      </c>
    </row>
    <row r="13506" spans="1:9" x14ac:dyDescent="0.4">
      <c r="A13506" t="s">
        <v>75</v>
      </c>
      <c r="B13506" s="1">
        <v>45474</v>
      </c>
      <c r="C13506">
        <v>850131</v>
      </c>
      <c r="D13506" t="s">
        <v>176</v>
      </c>
      <c r="E13506">
        <v>0</v>
      </c>
      <c r="F13506">
        <v>0</v>
      </c>
      <c r="G13506">
        <v>0</v>
      </c>
      <c r="H13506">
        <f>_xlfn.XLOOKUP(FACT_IMPORTS[[#This Row],[hts_6]],DIM_PRODUCTS[hts_6],DIM_PRODUCTS[hts_4],,,)</f>
        <v>8501</v>
      </c>
      <c r="I13506" t="str" cm="1">
        <f t="array" ref="I13506">_xlfn.XLOOKUP(FACT_IMPORTS[[#This Row],[country_name]],DIM_COUNTRY[[#All],[Column2]],DIM_COUNTRY[[#All],[Column3]],,,)</f>
        <v>Major_Non-USMCA_Non-China</v>
      </c>
    </row>
    <row r="13507" spans="1:9" x14ac:dyDescent="0.4">
      <c r="A13507" t="s">
        <v>75</v>
      </c>
      <c r="B13507" s="1">
        <v>45474</v>
      </c>
      <c r="C13507">
        <v>850132</v>
      </c>
      <c r="D13507" t="s">
        <v>176</v>
      </c>
      <c r="E13507">
        <v>0</v>
      </c>
      <c r="F13507">
        <v>0</v>
      </c>
      <c r="G13507">
        <v>0</v>
      </c>
      <c r="H13507">
        <f>_xlfn.XLOOKUP(FACT_IMPORTS[[#This Row],[hts_6]],DIM_PRODUCTS[hts_6],DIM_PRODUCTS[hts_4],,,)</f>
        <v>8501</v>
      </c>
      <c r="I13507" t="str" cm="1">
        <f t="array" ref="I13507">_xlfn.XLOOKUP(FACT_IMPORTS[[#This Row],[country_name]],DIM_COUNTRY[[#All],[Column2]],DIM_COUNTRY[[#All],[Column3]],,,)</f>
        <v>Major_Non-USMCA_Non-China</v>
      </c>
    </row>
    <row r="13508" spans="1:9" x14ac:dyDescent="0.4">
      <c r="A13508" t="s">
        <v>75</v>
      </c>
      <c r="B13508" s="1">
        <v>45474</v>
      </c>
      <c r="C13508">
        <v>850152</v>
      </c>
      <c r="D13508" t="s">
        <v>176</v>
      </c>
      <c r="E13508">
        <v>2979</v>
      </c>
      <c r="F13508">
        <v>2</v>
      </c>
      <c r="G13508">
        <v>100</v>
      </c>
      <c r="H13508">
        <f>_xlfn.XLOOKUP(FACT_IMPORTS[[#This Row],[hts_6]],DIM_PRODUCTS[hts_6],DIM_PRODUCTS[hts_4],,,)</f>
        <v>8501</v>
      </c>
      <c r="I13508" t="str" cm="1">
        <f t="array" ref="I13508">_xlfn.XLOOKUP(FACT_IMPORTS[[#This Row],[country_name]],DIM_COUNTRY[[#All],[Column2]],DIM_COUNTRY[[#All],[Column3]],,,)</f>
        <v>Major_Non-USMCA_Non-China</v>
      </c>
    </row>
    <row r="13509" spans="1:9" x14ac:dyDescent="0.4">
      <c r="A13509" t="s">
        <v>75</v>
      </c>
      <c r="B13509" s="1">
        <v>45474</v>
      </c>
      <c r="C13509">
        <v>850153</v>
      </c>
      <c r="D13509" t="s">
        <v>176</v>
      </c>
      <c r="E13509">
        <v>0</v>
      </c>
      <c r="F13509">
        <v>0</v>
      </c>
      <c r="G13509">
        <v>0</v>
      </c>
      <c r="H13509">
        <f>_xlfn.XLOOKUP(FACT_IMPORTS[[#This Row],[hts_6]],DIM_PRODUCTS[hts_6],DIM_PRODUCTS[hts_4],,,)</f>
        <v>8501</v>
      </c>
      <c r="I13509" t="str" cm="1">
        <f t="array" ref="I13509">_xlfn.XLOOKUP(FACT_IMPORTS[[#This Row],[country_name]],DIM_COUNTRY[[#All],[Column2]],DIM_COUNTRY[[#All],[Column3]],,,)</f>
        <v>Major_Non-USMCA_Non-China</v>
      </c>
    </row>
    <row r="13510" spans="1:9" x14ac:dyDescent="0.4">
      <c r="A13510" t="s">
        <v>75</v>
      </c>
      <c r="B13510" s="1">
        <v>45474</v>
      </c>
      <c r="C13510">
        <v>850161</v>
      </c>
      <c r="D13510" t="s">
        <v>176</v>
      </c>
      <c r="E13510">
        <v>0</v>
      </c>
      <c r="F13510">
        <v>0</v>
      </c>
      <c r="G13510">
        <v>0</v>
      </c>
      <c r="H13510">
        <f>_xlfn.XLOOKUP(FACT_IMPORTS[[#This Row],[hts_6]],DIM_PRODUCTS[hts_6],DIM_PRODUCTS[hts_4],,,)</f>
        <v>8501</v>
      </c>
      <c r="I13510" t="str" cm="1">
        <f t="array" ref="I13510">_xlfn.XLOOKUP(FACT_IMPORTS[[#This Row],[country_name]],DIM_COUNTRY[[#All],[Column2]],DIM_COUNTRY[[#All],[Column3]],,,)</f>
        <v>Major_Non-USMCA_Non-China</v>
      </c>
    </row>
    <row r="13511" spans="1:9" x14ac:dyDescent="0.4">
      <c r="A13511" t="s">
        <v>75</v>
      </c>
      <c r="B13511" s="1">
        <v>45474</v>
      </c>
      <c r="C13511">
        <v>850440</v>
      </c>
      <c r="D13511" t="s">
        <v>176</v>
      </c>
      <c r="E13511">
        <v>429148</v>
      </c>
      <c r="F13511">
        <v>13296</v>
      </c>
      <c r="G13511">
        <v>2652</v>
      </c>
      <c r="H13511">
        <f>_xlfn.XLOOKUP(FACT_IMPORTS[[#This Row],[hts_6]],DIM_PRODUCTS[hts_6],DIM_PRODUCTS[hts_4],,,)</f>
        <v>8504</v>
      </c>
      <c r="I13511" t="str" cm="1">
        <f t="array" ref="I13511">_xlfn.XLOOKUP(FACT_IMPORTS[[#This Row],[country_name]],DIM_COUNTRY[[#All],[Column2]],DIM_COUNTRY[[#All],[Column3]],,,)</f>
        <v>Major_Non-USMCA_Non-China</v>
      </c>
    </row>
    <row r="13512" spans="1:9" x14ac:dyDescent="0.4">
      <c r="A13512" t="s">
        <v>75</v>
      </c>
      <c r="B13512" s="1">
        <v>45474</v>
      </c>
      <c r="C13512">
        <v>850710</v>
      </c>
      <c r="D13512" t="s">
        <v>176</v>
      </c>
      <c r="E13512">
        <v>11074</v>
      </c>
      <c r="F13512">
        <v>149</v>
      </c>
      <c r="G13512">
        <v>5</v>
      </c>
      <c r="H13512">
        <f>_xlfn.XLOOKUP(FACT_IMPORTS[[#This Row],[hts_6]],DIM_PRODUCTS[hts_6],DIM_PRODUCTS[hts_4],,,)</f>
        <v>8507</v>
      </c>
      <c r="I13512" t="str" cm="1">
        <f t="array" ref="I13512">_xlfn.XLOOKUP(FACT_IMPORTS[[#This Row],[country_name]],DIM_COUNTRY[[#All],[Column2]],DIM_COUNTRY[[#All],[Column3]],,,)</f>
        <v>Major_Non-USMCA_Non-China</v>
      </c>
    </row>
    <row r="13513" spans="1:9" x14ac:dyDescent="0.4">
      <c r="A13513" t="s">
        <v>75</v>
      </c>
      <c r="B13513" s="1">
        <v>45474</v>
      </c>
      <c r="C13513">
        <v>850760</v>
      </c>
      <c r="D13513" t="s">
        <v>176</v>
      </c>
      <c r="E13513">
        <v>15117</v>
      </c>
      <c r="F13513">
        <v>1</v>
      </c>
      <c r="G13513">
        <v>600</v>
      </c>
      <c r="H13513">
        <f>_xlfn.XLOOKUP(FACT_IMPORTS[[#This Row],[hts_6]],DIM_PRODUCTS[hts_6],DIM_PRODUCTS[hts_4],,,)</f>
        <v>8507</v>
      </c>
      <c r="I13513" t="str" cm="1">
        <f t="array" ref="I13513">_xlfn.XLOOKUP(FACT_IMPORTS[[#This Row],[country_name]],DIM_COUNTRY[[#All],[Column2]],DIM_COUNTRY[[#All],[Column3]],,,)</f>
        <v>Major_Non-USMCA_Non-China</v>
      </c>
    </row>
    <row r="13514" spans="1:9" x14ac:dyDescent="0.4">
      <c r="A13514" t="s">
        <v>75</v>
      </c>
      <c r="B13514" s="1">
        <v>45474</v>
      </c>
      <c r="C13514">
        <v>851120</v>
      </c>
      <c r="D13514" t="s">
        <v>176</v>
      </c>
      <c r="E13514">
        <v>2527</v>
      </c>
      <c r="F13514">
        <v>12</v>
      </c>
      <c r="G13514">
        <v>3</v>
      </c>
      <c r="H13514">
        <f>_xlfn.XLOOKUP(FACT_IMPORTS[[#This Row],[hts_6]],DIM_PRODUCTS[hts_6],DIM_PRODUCTS[hts_4],,,)</f>
        <v>8511</v>
      </c>
      <c r="I13514" t="str" cm="1">
        <f t="array" ref="I13514">_xlfn.XLOOKUP(FACT_IMPORTS[[#This Row],[country_name]],DIM_COUNTRY[[#All],[Column2]],DIM_COUNTRY[[#All],[Column3]],,,)</f>
        <v>Major_Non-USMCA_Non-China</v>
      </c>
    </row>
    <row r="13515" spans="1:9" x14ac:dyDescent="0.4">
      <c r="A13515" t="s">
        <v>75</v>
      </c>
      <c r="B13515" s="1">
        <v>45474</v>
      </c>
      <c r="C13515">
        <v>851130</v>
      </c>
      <c r="D13515" t="s">
        <v>176</v>
      </c>
      <c r="E13515">
        <v>0</v>
      </c>
      <c r="F13515">
        <v>0</v>
      </c>
      <c r="G13515">
        <v>0</v>
      </c>
      <c r="H13515">
        <f>_xlfn.XLOOKUP(FACT_IMPORTS[[#This Row],[hts_6]],DIM_PRODUCTS[hts_6],DIM_PRODUCTS[hts_4],,,)</f>
        <v>8511</v>
      </c>
      <c r="I13515" t="str" cm="1">
        <f t="array" ref="I13515">_xlfn.XLOOKUP(FACT_IMPORTS[[#This Row],[country_name]],DIM_COUNTRY[[#All],[Column2]],DIM_COUNTRY[[#All],[Column3]],,,)</f>
        <v>Major_Non-USMCA_Non-China</v>
      </c>
    </row>
    <row r="13516" spans="1:9" x14ac:dyDescent="0.4">
      <c r="A13516" t="s">
        <v>75</v>
      </c>
      <c r="B13516" s="1">
        <v>45474</v>
      </c>
      <c r="C13516">
        <v>851140</v>
      </c>
      <c r="D13516" t="s">
        <v>176</v>
      </c>
      <c r="E13516">
        <v>7024</v>
      </c>
      <c r="F13516">
        <v>66</v>
      </c>
      <c r="G13516">
        <v>2</v>
      </c>
      <c r="H13516">
        <f>_xlfn.XLOOKUP(FACT_IMPORTS[[#This Row],[hts_6]],DIM_PRODUCTS[hts_6],DIM_PRODUCTS[hts_4],,,)</f>
        <v>8511</v>
      </c>
      <c r="I13516" t="str" cm="1">
        <f t="array" ref="I13516">_xlfn.XLOOKUP(FACT_IMPORTS[[#This Row],[country_name]],DIM_COUNTRY[[#All],[Column2]],DIM_COUNTRY[[#All],[Column3]],,,)</f>
        <v>Major_Non-USMCA_Non-China</v>
      </c>
    </row>
    <row r="13517" spans="1:9" x14ac:dyDescent="0.4">
      <c r="A13517" t="s">
        <v>75</v>
      </c>
      <c r="B13517" s="1">
        <v>45474</v>
      </c>
      <c r="C13517">
        <v>851150</v>
      </c>
      <c r="D13517" t="s">
        <v>176</v>
      </c>
      <c r="E13517">
        <v>9144</v>
      </c>
      <c r="F13517">
        <v>19</v>
      </c>
      <c r="G13517">
        <v>61</v>
      </c>
      <c r="H13517">
        <f>_xlfn.XLOOKUP(FACT_IMPORTS[[#This Row],[hts_6]],DIM_PRODUCTS[hts_6],DIM_PRODUCTS[hts_4],,,)</f>
        <v>8511</v>
      </c>
      <c r="I13517" t="str" cm="1">
        <f t="array" ref="I13517">_xlfn.XLOOKUP(FACT_IMPORTS[[#This Row],[country_name]],DIM_COUNTRY[[#All],[Column2]],DIM_COUNTRY[[#All],[Column3]],,,)</f>
        <v>Major_Non-USMCA_Non-China</v>
      </c>
    </row>
    <row r="13518" spans="1:9" x14ac:dyDescent="0.4">
      <c r="A13518" t="s">
        <v>75</v>
      </c>
      <c r="B13518" s="1">
        <v>45474</v>
      </c>
      <c r="C13518">
        <v>851180</v>
      </c>
      <c r="D13518" t="s">
        <v>176</v>
      </c>
      <c r="E13518">
        <v>0</v>
      </c>
      <c r="F13518">
        <v>0</v>
      </c>
      <c r="G13518">
        <v>0</v>
      </c>
      <c r="H13518">
        <f>_xlfn.XLOOKUP(FACT_IMPORTS[[#This Row],[hts_6]],DIM_PRODUCTS[hts_6],DIM_PRODUCTS[hts_4],,,)</f>
        <v>8511</v>
      </c>
      <c r="I13518" t="str" cm="1">
        <f t="array" ref="I13518">_xlfn.XLOOKUP(FACT_IMPORTS[[#This Row],[country_name]],DIM_COUNTRY[[#All],[Column2]],DIM_COUNTRY[[#All],[Column3]],,,)</f>
        <v>Major_Non-USMCA_Non-China</v>
      </c>
    </row>
    <row r="13519" spans="1:9" x14ac:dyDescent="0.4">
      <c r="A13519" t="s">
        <v>75</v>
      </c>
      <c r="B13519" s="1">
        <v>45474</v>
      </c>
      <c r="C13519">
        <v>851190</v>
      </c>
      <c r="D13519" t="s">
        <v>176</v>
      </c>
      <c r="E13519">
        <v>3477</v>
      </c>
      <c r="F13519">
        <v>221</v>
      </c>
      <c r="G13519">
        <v>62</v>
      </c>
      <c r="H13519">
        <f>_xlfn.XLOOKUP(FACT_IMPORTS[[#This Row],[hts_6]],DIM_PRODUCTS[hts_6],DIM_PRODUCTS[hts_4],,,)</f>
        <v>8511</v>
      </c>
      <c r="I13519" t="str" cm="1">
        <f t="array" ref="I13519">_xlfn.XLOOKUP(FACT_IMPORTS[[#This Row],[country_name]],DIM_COUNTRY[[#All],[Column2]],DIM_COUNTRY[[#All],[Column3]],,,)</f>
        <v>Major_Non-USMCA_Non-China</v>
      </c>
    </row>
    <row r="13520" spans="1:9" x14ac:dyDescent="0.4">
      <c r="A13520" t="s">
        <v>75</v>
      </c>
      <c r="B13520" s="1">
        <v>45474</v>
      </c>
      <c r="C13520">
        <v>851220</v>
      </c>
      <c r="D13520" t="s">
        <v>176</v>
      </c>
      <c r="E13520">
        <v>1290587</v>
      </c>
      <c r="F13520">
        <v>306649</v>
      </c>
      <c r="G13520">
        <v>34630</v>
      </c>
      <c r="H13520">
        <f>_xlfn.XLOOKUP(FACT_IMPORTS[[#This Row],[hts_6]],DIM_PRODUCTS[hts_6],DIM_PRODUCTS[hts_4],,,)</f>
        <v>8512</v>
      </c>
      <c r="I13520" t="str" cm="1">
        <f t="array" ref="I13520">_xlfn.XLOOKUP(FACT_IMPORTS[[#This Row],[country_name]],DIM_COUNTRY[[#All],[Column2]],DIM_COUNTRY[[#All],[Column3]],,,)</f>
        <v>Major_Non-USMCA_Non-China</v>
      </c>
    </row>
    <row r="13521" spans="1:9" x14ac:dyDescent="0.4">
      <c r="A13521" t="s">
        <v>75</v>
      </c>
      <c r="B13521" s="1">
        <v>45474</v>
      </c>
      <c r="C13521">
        <v>851230</v>
      </c>
      <c r="D13521" t="s">
        <v>176</v>
      </c>
      <c r="E13521">
        <v>0</v>
      </c>
      <c r="F13521">
        <v>0</v>
      </c>
      <c r="G13521">
        <v>0</v>
      </c>
      <c r="H13521">
        <f>_xlfn.XLOOKUP(FACT_IMPORTS[[#This Row],[hts_6]],DIM_PRODUCTS[hts_6],DIM_PRODUCTS[hts_4],,,)</f>
        <v>8512</v>
      </c>
      <c r="I13521" t="str" cm="1">
        <f t="array" ref="I13521">_xlfn.XLOOKUP(FACT_IMPORTS[[#This Row],[country_name]],DIM_COUNTRY[[#All],[Column2]],DIM_COUNTRY[[#All],[Column3]],,,)</f>
        <v>Major_Non-USMCA_Non-China</v>
      </c>
    </row>
    <row r="13522" spans="1:9" x14ac:dyDescent="0.4">
      <c r="A13522" t="s">
        <v>75</v>
      </c>
      <c r="B13522" s="1">
        <v>45474</v>
      </c>
      <c r="C13522">
        <v>851290</v>
      </c>
      <c r="D13522" t="s">
        <v>176</v>
      </c>
      <c r="E13522">
        <v>10567186</v>
      </c>
      <c r="F13522">
        <v>164173</v>
      </c>
      <c r="G13522">
        <v>80243</v>
      </c>
      <c r="H13522">
        <f>_xlfn.XLOOKUP(FACT_IMPORTS[[#This Row],[hts_6]],DIM_PRODUCTS[hts_6],DIM_PRODUCTS[hts_4],,,)</f>
        <v>8512</v>
      </c>
      <c r="I13522" t="str" cm="1">
        <f t="array" ref="I13522">_xlfn.XLOOKUP(FACT_IMPORTS[[#This Row],[country_name]],DIM_COUNTRY[[#All],[Column2]],DIM_COUNTRY[[#All],[Column3]],,,)</f>
        <v>Major_Non-USMCA_Non-China</v>
      </c>
    </row>
    <row r="13523" spans="1:9" x14ac:dyDescent="0.4">
      <c r="A13523" t="s">
        <v>75</v>
      </c>
      <c r="B13523" s="1">
        <v>45474</v>
      </c>
      <c r="C13523">
        <v>854231</v>
      </c>
      <c r="D13523" t="s">
        <v>176</v>
      </c>
      <c r="E13523">
        <v>153304</v>
      </c>
      <c r="F13523">
        <v>3301</v>
      </c>
      <c r="G13523">
        <v>222</v>
      </c>
      <c r="H13523">
        <f>_xlfn.XLOOKUP(FACT_IMPORTS[[#This Row],[hts_6]],DIM_PRODUCTS[hts_6],DIM_PRODUCTS[hts_4],,,)</f>
        <v>8542</v>
      </c>
      <c r="I13523" t="str" cm="1">
        <f t="array" ref="I13523">_xlfn.XLOOKUP(FACT_IMPORTS[[#This Row],[country_name]],DIM_COUNTRY[[#All],[Column2]],DIM_COUNTRY[[#All],[Column3]],,,)</f>
        <v>Major_Non-USMCA_Non-China</v>
      </c>
    </row>
    <row r="13524" spans="1:9" x14ac:dyDescent="0.4">
      <c r="A13524" t="s">
        <v>75</v>
      </c>
      <c r="B13524" s="1">
        <v>45474</v>
      </c>
      <c r="C13524">
        <v>854232</v>
      </c>
      <c r="D13524" t="s">
        <v>176</v>
      </c>
      <c r="E13524">
        <v>15011</v>
      </c>
      <c r="F13524">
        <v>60</v>
      </c>
      <c r="G13524">
        <v>27</v>
      </c>
      <c r="H13524">
        <f>_xlfn.XLOOKUP(FACT_IMPORTS[[#This Row],[hts_6]],DIM_PRODUCTS[hts_6],DIM_PRODUCTS[hts_4],,,)</f>
        <v>8542</v>
      </c>
      <c r="I13524" t="str" cm="1">
        <f t="array" ref="I13524">_xlfn.XLOOKUP(FACT_IMPORTS[[#This Row],[country_name]],DIM_COUNTRY[[#All],[Column2]],DIM_COUNTRY[[#All],[Column3]],,,)</f>
        <v>Major_Non-USMCA_Non-China</v>
      </c>
    </row>
    <row r="13525" spans="1:9" x14ac:dyDescent="0.4">
      <c r="A13525" t="s">
        <v>75</v>
      </c>
      <c r="B13525" s="1">
        <v>45474</v>
      </c>
      <c r="C13525">
        <v>854233</v>
      </c>
      <c r="D13525" t="s">
        <v>176</v>
      </c>
      <c r="E13525">
        <v>2455</v>
      </c>
      <c r="F13525">
        <v>14052</v>
      </c>
      <c r="G13525">
        <v>23</v>
      </c>
      <c r="H13525">
        <f>_xlfn.XLOOKUP(FACT_IMPORTS[[#This Row],[hts_6]],DIM_PRODUCTS[hts_6],DIM_PRODUCTS[hts_4],,,)</f>
        <v>8542</v>
      </c>
      <c r="I13525" t="str" cm="1">
        <f t="array" ref="I13525">_xlfn.XLOOKUP(FACT_IMPORTS[[#This Row],[country_name]],DIM_COUNTRY[[#All],[Column2]],DIM_COUNTRY[[#All],[Column3]],,,)</f>
        <v>Major_Non-USMCA_Non-China</v>
      </c>
    </row>
    <row r="13526" spans="1:9" x14ac:dyDescent="0.4">
      <c r="A13526" t="s">
        <v>75</v>
      </c>
      <c r="B13526" s="1">
        <v>45474</v>
      </c>
      <c r="C13526">
        <v>854239</v>
      </c>
      <c r="D13526" t="s">
        <v>176</v>
      </c>
      <c r="E13526">
        <v>1343165</v>
      </c>
      <c r="F13526">
        <v>323047</v>
      </c>
      <c r="G13526">
        <v>13472</v>
      </c>
      <c r="H13526">
        <f>_xlfn.XLOOKUP(FACT_IMPORTS[[#This Row],[hts_6]],DIM_PRODUCTS[hts_6],DIM_PRODUCTS[hts_4],,,)</f>
        <v>8542</v>
      </c>
      <c r="I13526" t="str" cm="1">
        <f t="array" ref="I13526">_xlfn.XLOOKUP(FACT_IMPORTS[[#This Row],[country_name]],DIM_COUNTRY[[#All],[Column2]],DIM_COUNTRY[[#All],[Column3]],,,)</f>
        <v>Major_Non-USMCA_Non-China</v>
      </c>
    </row>
    <row r="13527" spans="1:9" x14ac:dyDescent="0.4">
      <c r="A13527" t="s">
        <v>75</v>
      </c>
      <c r="B13527" s="1">
        <v>45474</v>
      </c>
      <c r="C13527">
        <v>854290</v>
      </c>
      <c r="D13527" t="s">
        <v>176</v>
      </c>
      <c r="E13527">
        <v>0</v>
      </c>
      <c r="F13527">
        <v>0</v>
      </c>
      <c r="G13527">
        <v>0</v>
      </c>
      <c r="H13527">
        <f>_xlfn.XLOOKUP(FACT_IMPORTS[[#This Row],[hts_6]],DIM_PRODUCTS[hts_6],DIM_PRODUCTS[hts_4],,,)</f>
        <v>8542</v>
      </c>
      <c r="I13527" t="str" cm="1">
        <f t="array" ref="I13527">_xlfn.XLOOKUP(FACT_IMPORTS[[#This Row],[country_name]],DIM_COUNTRY[[#All],[Column2]],DIM_COUNTRY[[#All],[Column3]],,,)</f>
        <v>Major_Non-USMCA_Non-China</v>
      </c>
    </row>
    <row r="13528" spans="1:9" x14ac:dyDescent="0.4">
      <c r="A13528" t="s">
        <v>75</v>
      </c>
      <c r="B13528" s="1">
        <v>45474</v>
      </c>
      <c r="C13528">
        <v>854430</v>
      </c>
      <c r="D13528" t="s">
        <v>176</v>
      </c>
      <c r="E13528">
        <v>0</v>
      </c>
      <c r="F13528">
        <v>0</v>
      </c>
      <c r="G13528">
        <v>0</v>
      </c>
      <c r="H13528">
        <f>_xlfn.XLOOKUP(FACT_IMPORTS[[#This Row],[hts_6]],DIM_PRODUCTS[hts_6],DIM_PRODUCTS[hts_4],,,)</f>
        <v>8544</v>
      </c>
      <c r="I13528" t="str" cm="1">
        <f t="array" ref="I13528">_xlfn.XLOOKUP(FACT_IMPORTS[[#This Row],[country_name]],DIM_COUNTRY[[#All],[Column2]],DIM_COUNTRY[[#All],[Column3]],,,)</f>
        <v>Major_Non-USMCA_Non-China</v>
      </c>
    </row>
    <row r="13529" spans="1:9" x14ac:dyDescent="0.4">
      <c r="A13529" t="s">
        <v>75</v>
      </c>
      <c r="B13529" s="1">
        <v>45474</v>
      </c>
      <c r="C13529">
        <v>870810</v>
      </c>
      <c r="D13529" t="s">
        <v>176</v>
      </c>
      <c r="E13529">
        <v>791891</v>
      </c>
      <c r="F13529">
        <v>20986</v>
      </c>
      <c r="G13529">
        <v>118982</v>
      </c>
      <c r="H13529">
        <f>_xlfn.XLOOKUP(FACT_IMPORTS[[#This Row],[hts_6]],DIM_PRODUCTS[hts_6],DIM_PRODUCTS[hts_4],,,)</f>
        <v>8708</v>
      </c>
      <c r="I13529" t="str" cm="1">
        <f t="array" ref="I13529">_xlfn.XLOOKUP(FACT_IMPORTS[[#This Row],[country_name]],DIM_COUNTRY[[#All],[Column2]],DIM_COUNTRY[[#All],[Column3]],,,)</f>
        <v>Major_Non-USMCA_Non-China</v>
      </c>
    </row>
    <row r="13530" spans="1:9" x14ac:dyDescent="0.4">
      <c r="A13530" t="s">
        <v>75</v>
      </c>
      <c r="B13530" s="1">
        <v>45474</v>
      </c>
      <c r="C13530">
        <v>870829</v>
      </c>
      <c r="D13530" t="s">
        <v>176</v>
      </c>
      <c r="E13530">
        <v>1181885</v>
      </c>
      <c r="F13530">
        <v>139036</v>
      </c>
      <c r="G13530">
        <v>55374</v>
      </c>
      <c r="H13530">
        <f>_xlfn.XLOOKUP(FACT_IMPORTS[[#This Row],[hts_6]],DIM_PRODUCTS[hts_6],DIM_PRODUCTS[hts_4],,,)</f>
        <v>8708</v>
      </c>
      <c r="I13530" t="str" cm="1">
        <f t="array" ref="I13530">_xlfn.XLOOKUP(FACT_IMPORTS[[#This Row],[country_name]],DIM_COUNTRY[[#All],[Column2]],DIM_COUNTRY[[#All],[Column3]],,,)</f>
        <v>Major_Non-USMCA_Non-China</v>
      </c>
    </row>
    <row r="13531" spans="1:9" x14ac:dyDescent="0.4">
      <c r="A13531" t="s">
        <v>75</v>
      </c>
      <c r="B13531" s="1">
        <v>45474</v>
      </c>
      <c r="C13531">
        <v>870830</v>
      </c>
      <c r="D13531" t="s">
        <v>176</v>
      </c>
      <c r="E13531">
        <v>2057</v>
      </c>
      <c r="F13531">
        <v>35</v>
      </c>
      <c r="G13531">
        <v>3</v>
      </c>
      <c r="H13531">
        <f>_xlfn.XLOOKUP(FACT_IMPORTS[[#This Row],[hts_6]],DIM_PRODUCTS[hts_6],DIM_PRODUCTS[hts_4],,,)</f>
        <v>8708</v>
      </c>
      <c r="I13531" t="str" cm="1">
        <f t="array" ref="I13531">_xlfn.XLOOKUP(FACT_IMPORTS[[#This Row],[country_name]],DIM_COUNTRY[[#All],[Column2]],DIM_COUNTRY[[#All],[Column3]],,,)</f>
        <v>Major_Non-USMCA_Non-China</v>
      </c>
    </row>
    <row r="13532" spans="1:9" x14ac:dyDescent="0.4">
      <c r="A13532" t="s">
        <v>75</v>
      </c>
      <c r="B13532" s="1">
        <v>45474</v>
      </c>
      <c r="C13532">
        <v>870840</v>
      </c>
      <c r="D13532" t="s">
        <v>176</v>
      </c>
      <c r="E13532">
        <v>648575</v>
      </c>
      <c r="F13532">
        <v>66856</v>
      </c>
      <c r="G13532">
        <v>12400</v>
      </c>
      <c r="H13532">
        <f>_xlfn.XLOOKUP(FACT_IMPORTS[[#This Row],[hts_6]],DIM_PRODUCTS[hts_6],DIM_PRODUCTS[hts_4],,,)</f>
        <v>8708</v>
      </c>
      <c r="I13532" t="str" cm="1">
        <f t="array" ref="I13532">_xlfn.XLOOKUP(FACT_IMPORTS[[#This Row],[country_name]],DIM_COUNTRY[[#All],[Column2]],DIM_COUNTRY[[#All],[Column3]],,,)</f>
        <v>Major_Non-USMCA_Non-China</v>
      </c>
    </row>
    <row r="13533" spans="1:9" x14ac:dyDescent="0.4">
      <c r="A13533" t="s">
        <v>75</v>
      </c>
      <c r="B13533" s="1">
        <v>45474</v>
      </c>
      <c r="C13533">
        <v>870850</v>
      </c>
      <c r="D13533" t="s">
        <v>176</v>
      </c>
      <c r="E13533">
        <v>1028181</v>
      </c>
      <c r="F13533">
        <v>3844</v>
      </c>
      <c r="G13533">
        <v>24975</v>
      </c>
      <c r="H13533">
        <f>_xlfn.XLOOKUP(FACT_IMPORTS[[#This Row],[hts_6]],DIM_PRODUCTS[hts_6],DIM_PRODUCTS[hts_4],,,)</f>
        <v>8708</v>
      </c>
      <c r="I13533" t="str" cm="1">
        <f t="array" ref="I13533">_xlfn.XLOOKUP(FACT_IMPORTS[[#This Row],[country_name]],DIM_COUNTRY[[#All],[Column2]],DIM_COUNTRY[[#All],[Column3]],,,)</f>
        <v>Major_Non-USMCA_Non-China</v>
      </c>
    </row>
    <row r="13534" spans="1:9" x14ac:dyDescent="0.4">
      <c r="A13534" t="s">
        <v>75</v>
      </c>
      <c r="B13534" s="1">
        <v>45474</v>
      </c>
      <c r="C13534">
        <v>870870</v>
      </c>
      <c r="D13534" t="s">
        <v>176</v>
      </c>
      <c r="E13534">
        <v>0</v>
      </c>
      <c r="F13534">
        <v>0</v>
      </c>
      <c r="G13534">
        <v>0</v>
      </c>
      <c r="H13534">
        <f>_xlfn.XLOOKUP(FACT_IMPORTS[[#This Row],[hts_6]],DIM_PRODUCTS[hts_6],DIM_PRODUCTS[hts_4],,,)</f>
        <v>8708</v>
      </c>
      <c r="I13534" t="str" cm="1">
        <f t="array" ref="I13534">_xlfn.XLOOKUP(FACT_IMPORTS[[#This Row],[country_name]],DIM_COUNTRY[[#All],[Column2]],DIM_COUNTRY[[#All],[Column3]],,,)</f>
        <v>Major_Non-USMCA_Non-China</v>
      </c>
    </row>
    <row r="13535" spans="1:9" x14ac:dyDescent="0.4">
      <c r="A13535" t="s">
        <v>75</v>
      </c>
      <c r="B13535" s="1">
        <v>45474</v>
      </c>
      <c r="C13535">
        <v>870880</v>
      </c>
      <c r="D13535" t="s">
        <v>176</v>
      </c>
      <c r="E13535">
        <v>868374</v>
      </c>
      <c r="F13535">
        <v>91956</v>
      </c>
      <c r="G13535">
        <v>32533</v>
      </c>
      <c r="H13535">
        <f>_xlfn.XLOOKUP(FACT_IMPORTS[[#This Row],[hts_6]],DIM_PRODUCTS[hts_6],DIM_PRODUCTS[hts_4],,,)</f>
        <v>8708</v>
      </c>
      <c r="I13535" t="str" cm="1">
        <f t="array" ref="I13535">_xlfn.XLOOKUP(FACT_IMPORTS[[#This Row],[country_name]],DIM_COUNTRY[[#All],[Column2]],DIM_COUNTRY[[#All],[Column3]],,,)</f>
        <v>Major_Non-USMCA_Non-China</v>
      </c>
    </row>
    <row r="13536" spans="1:9" x14ac:dyDescent="0.4">
      <c r="A13536" t="s">
        <v>75</v>
      </c>
      <c r="B13536" s="1">
        <v>45474</v>
      </c>
      <c r="C13536">
        <v>870891</v>
      </c>
      <c r="D13536" t="s">
        <v>176</v>
      </c>
      <c r="E13536">
        <v>36733</v>
      </c>
      <c r="F13536">
        <v>35432</v>
      </c>
      <c r="G13536">
        <v>2863</v>
      </c>
      <c r="H13536">
        <f>_xlfn.XLOOKUP(FACT_IMPORTS[[#This Row],[hts_6]],DIM_PRODUCTS[hts_6],DIM_PRODUCTS[hts_4],,,)</f>
        <v>8708</v>
      </c>
      <c r="I13536" t="str" cm="1">
        <f t="array" ref="I13536">_xlfn.XLOOKUP(FACT_IMPORTS[[#This Row],[country_name]],DIM_COUNTRY[[#All],[Column2]],DIM_COUNTRY[[#All],[Column3]],,,)</f>
        <v>Major_Non-USMCA_Non-China</v>
      </c>
    </row>
    <row r="13537" spans="1:9" x14ac:dyDescent="0.4">
      <c r="A13537" t="s">
        <v>75</v>
      </c>
      <c r="B13537" s="1">
        <v>45474</v>
      </c>
      <c r="C13537">
        <v>870892</v>
      </c>
      <c r="D13537" t="s">
        <v>176</v>
      </c>
      <c r="E13537">
        <v>0</v>
      </c>
      <c r="F13537">
        <v>0</v>
      </c>
      <c r="G13537">
        <v>0</v>
      </c>
      <c r="H13537">
        <f>_xlfn.XLOOKUP(FACT_IMPORTS[[#This Row],[hts_6]],DIM_PRODUCTS[hts_6],DIM_PRODUCTS[hts_4],,,)</f>
        <v>8708</v>
      </c>
      <c r="I13537" t="str" cm="1">
        <f t="array" ref="I13537">_xlfn.XLOOKUP(FACT_IMPORTS[[#This Row],[country_name]],DIM_COUNTRY[[#All],[Column2]],DIM_COUNTRY[[#All],[Column3]],,,)</f>
        <v>Major_Non-USMCA_Non-China</v>
      </c>
    </row>
    <row r="13538" spans="1:9" x14ac:dyDescent="0.4">
      <c r="A13538" t="s">
        <v>75</v>
      </c>
      <c r="B13538" s="1">
        <v>45474</v>
      </c>
      <c r="C13538">
        <v>870893</v>
      </c>
      <c r="D13538" t="s">
        <v>176</v>
      </c>
      <c r="E13538">
        <v>114308</v>
      </c>
      <c r="F13538">
        <v>8394</v>
      </c>
      <c r="G13538">
        <v>8093</v>
      </c>
      <c r="H13538">
        <f>_xlfn.XLOOKUP(FACT_IMPORTS[[#This Row],[hts_6]],DIM_PRODUCTS[hts_6],DIM_PRODUCTS[hts_4],,,)</f>
        <v>8708</v>
      </c>
      <c r="I13538" t="str" cm="1">
        <f t="array" ref="I13538">_xlfn.XLOOKUP(FACT_IMPORTS[[#This Row],[country_name]],DIM_COUNTRY[[#All],[Column2]],DIM_COUNTRY[[#All],[Column3]],,,)</f>
        <v>Major_Non-USMCA_Non-China</v>
      </c>
    </row>
    <row r="13539" spans="1:9" x14ac:dyDescent="0.4">
      <c r="A13539" t="s">
        <v>75</v>
      </c>
      <c r="B13539" s="1">
        <v>45474</v>
      </c>
      <c r="C13539">
        <v>870894</v>
      </c>
      <c r="D13539" t="s">
        <v>176</v>
      </c>
      <c r="E13539">
        <v>66622</v>
      </c>
      <c r="F13539">
        <v>11673</v>
      </c>
      <c r="G13539">
        <v>11315</v>
      </c>
      <c r="H13539">
        <f>_xlfn.XLOOKUP(FACT_IMPORTS[[#This Row],[hts_6]],DIM_PRODUCTS[hts_6],DIM_PRODUCTS[hts_4],,,)</f>
        <v>8708</v>
      </c>
      <c r="I13539" t="str" cm="1">
        <f t="array" ref="I13539">_xlfn.XLOOKUP(FACT_IMPORTS[[#This Row],[country_name]],DIM_COUNTRY[[#All],[Column2]],DIM_COUNTRY[[#All],[Column3]],,,)</f>
        <v>Major_Non-USMCA_Non-China</v>
      </c>
    </row>
    <row r="13540" spans="1:9" x14ac:dyDescent="0.4">
      <c r="A13540" t="s">
        <v>75</v>
      </c>
      <c r="B13540" s="1">
        <v>45474</v>
      </c>
      <c r="C13540">
        <v>870899</v>
      </c>
      <c r="D13540" t="s">
        <v>176</v>
      </c>
      <c r="E13540">
        <v>539935</v>
      </c>
      <c r="F13540">
        <v>342534</v>
      </c>
      <c r="G13540">
        <v>28615</v>
      </c>
      <c r="H13540">
        <f>_xlfn.XLOOKUP(FACT_IMPORTS[[#This Row],[hts_6]],DIM_PRODUCTS[hts_6],DIM_PRODUCTS[hts_4],,,)</f>
        <v>8708</v>
      </c>
      <c r="I13540" t="str" cm="1">
        <f t="array" ref="I13540">_xlfn.XLOOKUP(FACT_IMPORTS[[#This Row],[country_name]],DIM_COUNTRY[[#All],[Column2]],DIM_COUNTRY[[#All],[Column3]],,,)</f>
        <v>Major_Non-USMCA_Non-China</v>
      </c>
    </row>
    <row r="13541" spans="1:9" x14ac:dyDescent="0.4">
      <c r="A13541" t="s">
        <v>75</v>
      </c>
      <c r="B13541" s="1">
        <v>45505</v>
      </c>
      <c r="C13541">
        <v>392630</v>
      </c>
      <c r="D13541" t="s">
        <v>176</v>
      </c>
      <c r="E13541">
        <v>13713</v>
      </c>
      <c r="F13541">
        <v>3703</v>
      </c>
      <c r="G13541">
        <v>823</v>
      </c>
      <c r="H13541">
        <f>_xlfn.XLOOKUP(FACT_IMPORTS[[#This Row],[hts_6]],DIM_PRODUCTS[hts_6],DIM_PRODUCTS[hts_4],,,)</f>
        <v>3926</v>
      </c>
      <c r="I13541" t="str" cm="1">
        <f t="array" ref="I13541">_xlfn.XLOOKUP(FACT_IMPORTS[[#This Row],[country_name]],DIM_COUNTRY[[#All],[Column2]],DIM_COUNTRY[[#All],[Column3]],,,)</f>
        <v>Major_Non-USMCA_Non-China</v>
      </c>
    </row>
    <row r="13542" spans="1:9" x14ac:dyDescent="0.4">
      <c r="A13542" t="s">
        <v>75</v>
      </c>
      <c r="B13542" s="1">
        <v>45505</v>
      </c>
      <c r="C13542">
        <v>401110</v>
      </c>
      <c r="D13542" t="s">
        <v>176</v>
      </c>
      <c r="E13542">
        <v>0</v>
      </c>
      <c r="F13542">
        <v>0</v>
      </c>
      <c r="G13542">
        <v>0</v>
      </c>
      <c r="H13542">
        <f>_xlfn.XLOOKUP(FACT_IMPORTS[[#This Row],[hts_6]],DIM_PRODUCTS[hts_6],DIM_PRODUCTS[hts_4],,,)</f>
        <v>4011</v>
      </c>
      <c r="I13542" t="str" cm="1">
        <f t="array" ref="I13542">_xlfn.XLOOKUP(FACT_IMPORTS[[#This Row],[country_name]],DIM_COUNTRY[[#All],[Column2]],DIM_COUNTRY[[#All],[Column3]],,,)</f>
        <v>Major_Non-USMCA_Non-China</v>
      </c>
    </row>
    <row r="13543" spans="1:9" x14ac:dyDescent="0.4">
      <c r="A13543" t="s">
        <v>75</v>
      </c>
      <c r="B13543" s="1">
        <v>45505</v>
      </c>
      <c r="C13543">
        <v>401120</v>
      </c>
      <c r="D13543" t="s">
        <v>176</v>
      </c>
      <c r="E13543">
        <v>18240</v>
      </c>
      <c r="F13543">
        <v>240</v>
      </c>
      <c r="G13543">
        <v>91</v>
      </c>
      <c r="H13543">
        <f>_xlfn.XLOOKUP(FACT_IMPORTS[[#This Row],[hts_6]],DIM_PRODUCTS[hts_6],DIM_PRODUCTS[hts_4],,,)</f>
        <v>4011</v>
      </c>
      <c r="I13543" t="str" cm="1">
        <f t="array" ref="I13543">_xlfn.XLOOKUP(FACT_IMPORTS[[#This Row],[country_name]],DIM_COUNTRY[[#All],[Column2]],DIM_COUNTRY[[#All],[Column3]],,,)</f>
        <v>Major_Non-USMCA_Non-China</v>
      </c>
    </row>
    <row r="13544" spans="1:9" x14ac:dyDescent="0.4">
      <c r="A13544" t="s">
        <v>75</v>
      </c>
      <c r="B13544" s="1">
        <v>45505</v>
      </c>
      <c r="C13544">
        <v>401140</v>
      </c>
      <c r="D13544" t="s">
        <v>176</v>
      </c>
      <c r="E13544">
        <v>0</v>
      </c>
      <c r="F13544">
        <v>0</v>
      </c>
      <c r="G13544">
        <v>0</v>
      </c>
      <c r="H13544">
        <f>_xlfn.XLOOKUP(FACT_IMPORTS[[#This Row],[hts_6]],DIM_PRODUCTS[hts_6],DIM_PRODUCTS[hts_4],,,)</f>
        <v>4011</v>
      </c>
      <c r="I13544" t="str" cm="1">
        <f t="array" ref="I13544">_xlfn.XLOOKUP(FACT_IMPORTS[[#This Row],[country_name]],DIM_COUNTRY[[#All],[Column2]],DIM_COUNTRY[[#All],[Column3]],,,)</f>
        <v>Major_Non-USMCA_Non-China</v>
      </c>
    </row>
    <row r="13545" spans="1:9" x14ac:dyDescent="0.4">
      <c r="A13545" t="s">
        <v>75</v>
      </c>
      <c r="B13545" s="1">
        <v>45505</v>
      </c>
      <c r="C13545">
        <v>401190</v>
      </c>
      <c r="D13545" t="s">
        <v>176</v>
      </c>
      <c r="E13545">
        <v>7713</v>
      </c>
      <c r="F13545">
        <v>89</v>
      </c>
      <c r="G13545">
        <v>20</v>
      </c>
      <c r="H13545">
        <f>_xlfn.XLOOKUP(FACT_IMPORTS[[#This Row],[hts_6]],DIM_PRODUCTS[hts_6],DIM_PRODUCTS[hts_4],,,)</f>
        <v>4011</v>
      </c>
      <c r="I13545" t="str" cm="1">
        <f t="array" ref="I13545">_xlfn.XLOOKUP(FACT_IMPORTS[[#This Row],[country_name]],DIM_COUNTRY[[#All],[Column2]],DIM_COUNTRY[[#All],[Column3]],,,)</f>
        <v>Major_Non-USMCA_Non-China</v>
      </c>
    </row>
    <row r="13546" spans="1:9" x14ac:dyDescent="0.4">
      <c r="A13546" t="s">
        <v>75</v>
      </c>
      <c r="B13546" s="1">
        <v>45505</v>
      </c>
      <c r="C13546">
        <v>700721</v>
      </c>
      <c r="D13546" t="s">
        <v>176</v>
      </c>
      <c r="E13546">
        <v>0</v>
      </c>
      <c r="F13546">
        <v>0</v>
      </c>
      <c r="G13546">
        <v>0</v>
      </c>
      <c r="H13546">
        <f>_xlfn.XLOOKUP(FACT_IMPORTS[[#This Row],[hts_6]],DIM_PRODUCTS[hts_6],DIM_PRODUCTS[hts_4],,,)</f>
        <v>7007</v>
      </c>
      <c r="I13546" t="str" cm="1">
        <f t="array" ref="I13546">_xlfn.XLOOKUP(FACT_IMPORTS[[#This Row],[country_name]],DIM_COUNTRY[[#All],[Column2]],DIM_COUNTRY[[#All],[Column3]],,,)</f>
        <v>Major_Non-USMCA_Non-China</v>
      </c>
    </row>
    <row r="13547" spans="1:9" x14ac:dyDescent="0.4">
      <c r="A13547" t="s">
        <v>75</v>
      </c>
      <c r="B13547" s="1">
        <v>45505</v>
      </c>
      <c r="C13547">
        <v>700910</v>
      </c>
      <c r="D13547" t="s">
        <v>176</v>
      </c>
      <c r="E13547">
        <v>85736</v>
      </c>
      <c r="F13547">
        <v>17570</v>
      </c>
      <c r="G13547">
        <v>4658</v>
      </c>
      <c r="H13547">
        <f>_xlfn.XLOOKUP(FACT_IMPORTS[[#This Row],[hts_6]],DIM_PRODUCTS[hts_6],DIM_PRODUCTS[hts_4],,,)</f>
        <v>7009</v>
      </c>
      <c r="I13547" t="str" cm="1">
        <f t="array" ref="I13547">_xlfn.XLOOKUP(FACT_IMPORTS[[#This Row],[country_name]],DIM_COUNTRY[[#All],[Column2]],DIM_COUNTRY[[#All],[Column3]],,,)</f>
        <v>Major_Non-USMCA_Non-China</v>
      </c>
    </row>
    <row r="13548" spans="1:9" x14ac:dyDescent="0.4">
      <c r="A13548" t="s">
        <v>75</v>
      </c>
      <c r="B13548" s="1">
        <v>45505</v>
      </c>
      <c r="C13548">
        <v>732010</v>
      </c>
      <c r="D13548" t="s">
        <v>176</v>
      </c>
      <c r="E13548">
        <v>0</v>
      </c>
      <c r="F13548">
        <v>0</v>
      </c>
      <c r="G13548">
        <v>0</v>
      </c>
      <c r="H13548">
        <f>_xlfn.XLOOKUP(FACT_IMPORTS[[#This Row],[hts_6]],DIM_PRODUCTS[hts_6],DIM_PRODUCTS[hts_4],,,)</f>
        <v>7320</v>
      </c>
      <c r="I13548" t="str" cm="1">
        <f t="array" ref="I13548">_xlfn.XLOOKUP(FACT_IMPORTS[[#This Row],[country_name]],DIM_COUNTRY[[#All],[Column2]],DIM_COUNTRY[[#All],[Column3]],,,)</f>
        <v>Major_Non-USMCA_Non-China</v>
      </c>
    </row>
    <row r="13549" spans="1:9" x14ac:dyDescent="0.4">
      <c r="A13549" t="s">
        <v>75</v>
      </c>
      <c r="B13549" s="1">
        <v>45505</v>
      </c>
      <c r="C13549">
        <v>830230</v>
      </c>
      <c r="D13549" t="s">
        <v>176</v>
      </c>
      <c r="E13549">
        <v>137806</v>
      </c>
      <c r="F13549">
        <v>13510</v>
      </c>
      <c r="G13549">
        <v>4919</v>
      </c>
      <c r="H13549">
        <f>_xlfn.XLOOKUP(FACT_IMPORTS[[#This Row],[hts_6]],DIM_PRODUCTS[hts_6],DIM_PRODUCTS[hts_4],,,)</f>
        <v>8302</v>
      </c>
      <c r="I13549" t="str" cm="1">
        <f t="array" ref="I13549">_xlfn.XLOOKUP(FACT_IMPORTS[[#This Row],[country_name]],DIM_COUNTRY[[#All],[Column2]],DIM_COUNTRY[[#All],[Column3]],,,)</f>
        <v>Major_Non-USMCA_Non-China</v>
      </c>
    </row>
    <row r="13550" spans="1:9" x14ac:dyDescent="0.4">
      <c r="A13550" t="s">
        <v>75</v>
      </c>
      <c r="B13550" s="1">
        <v>45505</v>
      </c>
      <c r="C13550">
        <v>840732</v>
      </c>
      <c r="D13550" t="s">
        <v>176</v>
      </c>
      <c r="E13550">
        <v>0</v>
      </c>
      <c r="F13550">
        <v>0</v>
      </c>
      <c r="G13550">
        <v>0</v>
      </c>
      <c r="H13550">
        <f>_xlfn.XLOOKUP(FACT_IMPORTS[[#This Row],[hts_6]],DIM_PRODUCTS[hts_6],DIM_PRODUCTS[hts_4],,,)</f>
        <v>8407</v>
      </c>
      <c r="I13550" t="str" cm="1">
        <f t="array" ref="I13550">_xlfn.XLOOKUP(FACT_IMPORTS[[#This Row],[country_name]],DIM_COUNTRY[[#All],[Column2]],DIM_COUNTRY[[#All],[Column3]],,,)</f>
        <v>Major_Non-USMCA_Non-China</v>
      </c>
    </row>
    <row r="13551" spans="1:9" x14ac:dyDescent="0.4">
      <c r="A13551" t="s">
        <v>75</v>
      </c>
      <c r="B13551" s="1">
        <v>45505</v>
      </c>
      <c r="C13551">
        <v>840733</v>
      </c>
      <c r="D13551" t="s">
        <v>176</v>
      </c>
      <c r="E13551">
        <v>0</v>
      </c>
      <c r="F13551">
        <v>0</v>
      </c>
      <c r="G13551">
        <v>0</v>
      </c>
      <c r="H13551">
        <f>_xlfn.XLOOKUP(FACT_IMPORTS[[#This Row],[hts_6]],DIM_PRODUCTS[hts_6],DIM_PRODUCTS[hts_4],,,)</f>
        <v>8407</v>
      </c>
      <c r="I13551" t="str" cm="1">
        <f t="array" ref="I13551">_xlfn.XLOOKUP(FACT_IMPORTS[[#This Row],[country_name]],DIM_COUNTRY[[#All],[Column2]],DIM_COUNTRY[[#All],[Column3]],,,)</f>
        <v>Major_Non-USMCA_Non-China</v>
      </c>
    </row>
    <row r="13552" spans="1:9" x14ac:dyDescent="0.4">
      <c r="A13552" t="s">
        <v>75</v>
      </c>
      <c r="B13552" s="1">
        <v>45505</v>
      </c>
      <c r="C13552">
        <v>840790</v>
      </c>
      <c r="D13552" t="s">
        <v>176</v>
      </c>
      <c r="E13552">
        <v>0</v>
      </c>
      <c r="F13552">
        <v>0</v>
      </c>
      <c r="G13552">
        <v>0</v>
      </c>
      <c r="H13552">
        <f>_xlfn.XLOOKUP(FACT_IMPORTS[[#This Row],[hts_6]],DIM_PRODUCTS[hts_6],DIM_PRODUCTS[hts_4],,,)</f>
        <v>8407</v>
      </c>
      <c r="I13552" t="str" cm="1">
        <f t="array" ref="I13552">_xlfn.XLOOKUP(FACT_IMPORTS[[#This Row],[country_name]],DIM_COUNTRY[[#All],[Column2]],DIM_COUNTRY[[#All],[Column3]],,,)</f>
        <v>Major_Non-USMCA_Non-China</v>
      </c>
    </row>
    <row r="13553" spans="1:9" x14ac:dyDescent="0.4">
      <c r="A13553" t="s">
        <v>75</v>
      </c>
      <c r="B13553" s="1">
        <v>45505</v>
      </c>
      <c r="C13553">
        <v>840890</v>
      </c>
      <c r="D13553" t="s">
        <v>176</v>
      </c>
      <c r="E13553">
        <v>0</v>
      </c>
      <c r="F13553">
        <v>0</v>
      </c>
      <c r="G13553">
        <v>0</v>
      </c>
      <c r="H13553">
        <f>_xlfn.XLOOKUP(FACT_IMPORTS[[#This Row],[hts_6]],DIM_PRODUCTS[hts_6],DIM_PRODUCTS[hts_4],,,)</f>
        <v>8408</v>
      </c>
      <c r="I13553" t="str" cm="1">
        <f t="array" ref="I13553">_xlfn.XLOOKUP(FACT_IMPORTS[[#This Row],[country_name]],DIM_COUNTRY[[#All],[Column2]],DIM_COUNTRY[[#All],[Column3]],,,)</f>
        <v>Major_Non-USMCA_Non-China</v>
      </c>
    </row>
    <row r="13554" spans="1:9" x14ac:dyDescent="0.4">
      <c r="A13554" t="s">
        <v>75</v>
      </c>
      <c r="B13554" s="1">
        <v>45505</v>
      </c>
      <c r="C13554">
        <v>840991</v>
      </c>
      <c r="D13554" t="s">
        <v>176</v>
      </c>
      <c r="E13554">
        <v>171152</v>
      </c>
      <c r="F13554">
        <v>9146</v>
      </c>
      <c r="G13554">
        <v>2502</v>
      </c>
      <c r="H13554">
        <f>_xlfn.XLOOKUP(FACT_IMPORTS[[#This Row],[hts_6]],DIM_PRODUCTS[hts_6],DIM_PRODUCTS[hts_4],,,)</f>
        <v>8409</v>
      </c>
      <c r="I13554" t="str" cm="1">
        <f t="array" ref="I13554">_xlfn.XLOOKUP(FACT_IMPORTS[[#This Row],[country_name]],DIM_COUNTRY[[#All],[Column2]],DIM_COUNTRY[[#All],[Column3]],,,)</f>
        <v>Major_Non-USMCA_Non-China</v>
      </c>
    </row>
    <row r="13555" spans="1:9" x14ac:dyDescent="0.4">
      <c r="A13555" t="s">
        <v>75</v>
      </c>
      <c r="B13555" s="1">
        <v>45505</v>
      </c>
      <c r="C13555">
        <v>840999</v>
      </c>
      <c r="D13555" t="s">
        <v>176</v>
      </c>
      <c r="E13555">
        <v>0</v>
      </c>
      <c r="F13555">
        <v>0</v>
      </c>
      <c r="G13555">
        <v>0</v>
      </c>
      <c r="H13555">
        <f>_xlfn.XLOOKUP(FACT_IMPORTS[[#This Row],[hts_6]],DIM_PRODUCTS[hts_6],DIM_PRODUCTS[hts_4],,,)</f>
        <v>8409</v>
      </c>
      <c r="I13555" t="str" cm="1">
        <f t="array" ref="I13555">_xlfn.XLOOKUP(FACT_IMPORTS[[#This Row],[country_name]],DIM_COUNTRY[[#All],[Column2]],DIM_COUNTRY[[#All],[Column3]],,,)</f>
        <v>Major_Non-USMCA_Non-China</v>
      </c>
    </row>
    <row r="13556" spans="1:9" x14ac:dyDescent="0.4">
      <c r="A13556" t="s">
        <v>75</v>
      </c>
      <c r="B13556" s="1">
        <v>45505</v>
      </c>
      <c r="C13556">
        <v>841330</v>
      </c>
      <c r="D13556" t="s">
        <v>176</v>
      </c>
      <c r="E13556">
        <v>202649</v>
      </c>
      <c r="F13556">
        <v>5710</v>
      </c>
      <c r="G13556">
        <v>20658</v>
      </c>
      <c r="H13556">
        <f>_xlfn.XLOOKUP(FACT_IMPORTS[[#This Row],[hts_6]],DIM_PRODUCTS[hts_6],DIM_PRODUCTS[hts_4],,,)</f>
        <v>8413</v>
      </c>
      <c r="I13556" t="str" cm="1">
        <f t="array" ref="I13556">_xlfn.XLOOKUP(FACT_IMPORTS[[#This Row],[country_name]],DIM_COUNTRY[[#All],[Column2]],DIM_COUNTRY[[#All],[Column3]],,,)</f>
        <v>Major_Non-USMCA_Non-China</v>
      </c>
    </row>
    <row r="13557" spans="1:9" x14ac:dyDescent="0.4">
      <c r="A13557" t="s">
        <v>75</v>
      </c>
      <c r="B13557" s="1">
        <v>45505</v>
      </c>
      <c r="C13557">
        <v>848210</v>
      </c>
      <c r="D13557" t="s">
        <v>176</v>
      </c>
      <c r="E13557">
        <v>157590</v>
      </c>
      <c r="F13557">
        <v>340409</v>
      </c>
      <c r="G13557">
        <v>10222</v>
      </c>
      <c r="H13557">
        <f>_xlfn.XLOOKUP(FACT_IMPORTS[[#This Row],[hts_6]],DIM_PRODUCTS[hts_6],DIM_PRODUCTS[hts_4],,,)</f>
        <v>8482</v>
      </c>
      <c r="I13557" t="str" cm="1">
        <f t="array" ref="I13557">_xlfn.XLOOKUP(FACT_IMPORTS[[#This Row],[country_name]],DIM_COUNTRY[[#All],[Column2]],DIM_COUNTRY[[#All],[Column3]],,,)</f>
        <v>Major_Non-USMCA_Non-China</v>
      </c>
    </row>
    <row r="13558" spans="1:9" x14ac:dyDescent="0.4">
      <c r="A13558" t="s">
        <v>75</v>
      </c>
      <c r="B13558" s="1">
        <v>45505</v>
      </c>
      <c r="C13558">
        <v>848310</v>
      </c>
      <c r="D13558" t="s">
        <v>176</v>
      </c>
      <c r="E13558">
        <v>0</v>
      </c>
      <c r="F13558">
        <v>0</v>
      </c>
      <c r="G13558">
        <v>0</v>
      </c>
      <c r="H13558">
        <f>_xlfn.XLOOKUP(FACT_IMPORTS[[#This Row],[hts_6]],DIM_PRODUCTS[hts_6],DIM_PRODUCTS[hts_4],,,)</f>
        <v>8483</v>
      </c>
      <c r="I13558" t="str" cm="1">
        <f t="array" ref="I13558">_xlfn.XLOOKUP(FACT_IMPORTS[[#This Row],[country_name]],DIM_COUNTRY[[#All],[Column2]],DIM_COUNTRY[[#All],[Column3]],,,)</f>
        <v>Major_Non-USMCA_Non-China</v>
      </c>
    </row>
    <row r="13559" spans="1:9" x14ac:dyDescent="0.4">
      <c r="A13559" t="s">
        <v>75</v>
      </c>
      <c r="B13559" s="1">
        <v>45505</v>
      </c>
      <c r="C13559">
        <v>850131</v>
      </c>
      <c r="D13559" t="s">
        <v>176</v>
      </c>
      <c r="E13559">
        <v>0</v>
      </c>
      <c r="F13559">
        <v>0</v>
      </c>
      <c r="G13559">
        <v>0</v>
      </c>
      <c r="H13559">
        <f>_xlfn.XLOOKUP(FACT_IMPORTS[[#This Row],[hts_6]],DIM_PRODUCTS[hts_6],DIM_PRODUCTS[hts_4],,,)</f>
        <v>8501</v>
      </c>
      <c r="I13559" t="str" cm="1">
        <f t="array" ref="I13559">_xlfn.XLOOKUP(FACT_IMPORTS[[#This Row],[country_name]],DIM_COUNTRY[[#All],[Column2]],DIM_COUNTRY[[#All],[Column3]],,,)</f>
        <v>Major_Non-USMCA_Non-China</v>
      </c>
    </row>
    <row r="13560" spans="1:9" x14ac:dyDescent="0.4">
      <c r="A13560" t="s">
        <v>75</v>
      </c>
      <c r="B13560" s="1">
        <v>45505</v>
      </c>
      <c r="C13560">
        <v>850132</v>
      </c>
      <c r="D13560" t="s">
        <v>176</v>
      </c>
      <c r="E13560">
        <v>0</v>
      </c>
      <c r="F13560">
        <v>0</v>
      </c>
      <c r="G13560">
        <v>0</v>
      </c>
      <c r="H13560">
        <f>_xlfn.XLOOKUP(FACT_IMPORTS[[#This Row],[hts_6]],DIM_PRODUCTS[hts_6],DIM_PRODUCTS[hts_4],,,)</f>
        <v>8501</v>
      </c>
      <c r="I13560" t="str" cm="1">
        <f t="array" ref="I13560">_xlfn.XLOOKUP(FACT_IMPORTS[[#This Row],[country_name]],DIM_COUNTRY[[#All],[Column2]],DIM_COUNTRY[[#All],[Column3]],,,)</f>
        <v>Major_Non-USMCA_Non-China</v>
      </c>
    </row>
    <row r="13561" spans="1:9" x14ac:dyDescent="0.4">
      <c r="A13561" t="s">
        <v>75</v>
      </c>
      <c r="B13561" s="1">
        <v>45505</v>
      </c>
      <c r="C13561">
        <v>850152</v>
      </c>
      <c r="D13561" t="s">
        <v>176</v>
      </c>
      <c r="E13561">
        <v>0</v>
      </c>
      <c r="F13561">
        <v>0</v>
      </c>
      <c r="G13561">
        <v>0</v>
      </c>
      <c r="H13561">
        <f>_xlfn.XLOOKUP(FACT_IMPORTS[[#This Row],[hts_6]],DIM_PRODUCTS[hts_6],DIM_PRODUCTS[hts_4],,,)</f>
        <v>8501</v>
      </c>
      <c r="I13561" t="str" cm="1">
        <f t="array" ref="I13561">_xlfn.XLOOKUP(FACT_IMPORTS[[#This Row],[country_name]],DIM_COUNTRY[[#All],[Column2]],DIM_COUNTRY[[#All],[Column3]],,,)</f>
        <v>Major_Non-USMCA_Non-China</v>
      </c>
    </row>
    <row r="13562" spans="1:9" x14ac:dyDescent="0.4">
      <c r="A13562" t="s">
        <v>75</v>
      </c>
      <c r="B13562" s="1">
        <v>45505</v>
      </c>
      <c r="C13562">
        <v>850153</v>
      </c>
      <c r="D13562" t="s">
        <v>176</v>
      </c>
      <c r="E13562">
        <v>0</v>
      </c>
      <c r="F13562">
        <v>0</v>
      </c>
      <c r="G13562">
        <v>0</v>
      </c>
      <c r="H13562">
        <f>_xlfn.XLOOKUP(FACT_IMPORTS[[#This Row],[hts_6]],DIM_PRODUCTS[hts_6],DIM_PRODUCTS[hts_4],,,)</f>
        <v>8501</v>
      </c>
      <c r="I13562" t="str" cm="1">
        <f t="array" ref="I13562">_xlfn.XLOOKUP(FACT_IMPORTS[[#This Row],[country_name]],DIM_COUNTRY[[#All],[Column2]],DIM_COUNTRY[[#All],[Column3]],,,)</f>
        <v>Major_Non-USMCA_Non-China</v>
      </c>
    </row>
    <row r="13563" spans="1:9" x14ac:dyDescent="0.4">
      <c r="A13563" t="s">
        <v>75</v>
      </c>
      <c r="B13563" s="1">
        <v>45505</v>
      </c>
      <c r="C13563">
        <v>850161</v>
      </c>
      <c r="D13563" t="s">
        <v>176</v>
      </c>
      <c r="E13563">
        <v>0</v>
      </c>
      <c r="F13563">
        <v>0</v>
      </c>
      <c r="G13563">
        <v>0</v>
      </c>
      <c r="H13563">
        <f>_xlfn.XLOOKUP(FACT_IMPORTS[[#This Row],[hts_6]],DIM_PRODUCTS[hts_6],DIM_PRODUCTS[hts_4],,,)</f>
        <v>8501</v>
      </c>
      <c r="I13563" t="str" cm="1">
        <f t="array" ref="I13563">_xlfn.XLOOKUP(FACT_IMPORTS[[#This Row],[country_name]],DIM_COUNTRY[[#All],[Column2]],DIM_COUNTRY[[#All],[Column3]],,,)</f>
        <v>Major_Non-USMCA_Non-China</v>
      </c>
    </row>
    <row r="13564" spans="1:9" x14ac:dyDescent="0.4">
      <c r="A13564" t="s">
        <v>75</v>
      </c>
      <c r="B13564" s="1">
        <v>45505</v>
      </c>
      <c r="C13564">
        <v>850440</v>
      </c>
      <c r="D13564" t="s">
        <v>176</v>
      </c>
      <c r="E13564">
        <v>671860</v>
      </c>
      <c r="F13564">
        <v>8029</v>
      </c>
      <c r="G13564">
        <v>4346</v>
      </c>
      <c r="H13564">
        <f>_xlfn.XLOOKUP(FACT_IMPORTS[[#This Row],[hts_6]],DIM_PRODUCTS[hts_6],DIM_PRODUCTS[hts_4],,,)</f>
        <v>8504</v>
      </c>
      <c r="I13564" t="str" cm="1">
        <f t="array" ref="I13564">_xlfn.XLOOKUP(FACT_IMPORTS[[#This Row],[country_name]],DIM_COUNTRY[[#All],[Column2]],DIM_COUNTRY[[#All],[Column3]],,,)</f>
        <v>Major_Non-USMCA_Non-China</v>
      </c>
    </row>
    <row r="13565" spans="1:9" x14ac:dyDescent="0.4">
      <c r="A13565" t="s">
        <v>75</v>
      </c>
      <c r="B13565" s="1">
        <v>45505</v>
      </c>
      <c r="C13565">
        <v>850710</v>
      </c>
      <c r="D13565" t="s">
        <v>176</v>
      </c>
      <c r="E13565">
        <v>10392</v>
      </c>
      <c r="F13565">
        <v>600</v>
      </c>
      <c r="G13565">
        <v>400</v>
      </c>
      <c r="H13565">
        <f>_xlfn.XLOOKUP(FACT_IMPORTS[[#This Row],[hts_6]],DIM_PRODUCTS[hts_6],DIM_PRODUCTS[hts_4],,,)</f>
        <v>8507</v>
      </c>
      <c r="I13565" t="str" cm="1">
        <f t="array" ref="I13565">_xlfn.XLOOKUP(FACT_IMPORTS[[#This Row],[country_name]],DIM_COUNTRY[[#All],[Column2]],DIM_COUNTRY[[#All],[Column3]],,,)</f>
        <v>Major_Non-USMCA_Non-China</v>
      </c>
    </row>
    <row r="13566" spans="1:9" x14ac:dyDescent="0.4">
      <c r="A13566" t="s">
        <v>75</v>
      </c>
      <c r="B13566" s="1">
        <v>45505</v>
      </c>
      <c r="C13566">
        <v>850760</v>
      </c>
      <c r="D13566" t="s">
        <v>176</v>
      </c>
      <c r="E13566">
        <v>0</v>
      </c>
      <c r="F13566">
        <v>0</v>
      </c>
      <c r="G13566">
        <v>0</v>
      </c>
      <c r="H13566">
        <f>_xlfn.XLOOKUP(FACT_IMPORTS[[#This Row],[hts_6]],DIM_PRODUCTS[hts_6],DIM_PRODUCTS[hts_4],,,)</f>
        <v>8507</v>
      </c>
      <c r="I13566" t="str" cm="1">
        <f t="array" ref="I13566">_xlfn.XLOOKUP(FACT_IMPORTS[[#This Row],[country_name]],DIM_COUNTRY[[#All],[Column2]],DIM_COUNTRY[[#All],[Column3]],,,)</f>
        <v>Major_Non-USMCA_Non-China</v>
      </c>
    </row>
    <row r="13567" spans="1:9" x14ac:dyDescent="0.4">
      <c r="A13567" t="s">
        <v>75</v>
      </c>
      <c r="B13567" s="1">
        <v>45505</v>
      </c>
      <c r="C13567">
        <v>851120</v>
      </c>
      <c r="D13567" t="s">
        <v>176</v>
      </c>
      <c r="E13567">
        <v>0</v>
      </c>
      <c r="F13567">
        <v>0</v>
      </c>
      <c r="G13567">
        <v>0</v>
      </c>
      <c r="H13567">
        <f>_xlfn.XLOOKUP(FACT_IMPORTS[[#This Row],[hts_6]],DIM_PRODUCTS[hts_6],DIM_PRODUCTS[hts_4],,,)</f>
        <v>8511</v>
      </c>
      <c r="I13567" t="str" cm="1">
        <f t="array" ref="I13567">_xlfn.XLOOKUP(FACT_IMPORTS[[#This Row],[country_name]],DIM_COUNTRY[[#All],[Column2]],DIM_COUNTRY[[#All],[Column3]],,,)</f>
        <v>Major_Non-USMCA_Non-China</v>
      </c>
    </row>
    <row r="13568" spans="1:9" x14ac:dyDescent="0.4">
      <c r="A13568" t="s">
        <v>75</v>
      </c>
      <c r="B13568" s="1">
        <v>45505</v>
      </c>
      <c r="C13568">
        <v>851130</v>
      </c>
      <c r="D13568" t="s">
        <v>176</v>
      </c>
      <c r="E13568">
        <v>0</v>
      </c>
      <c r="F13568">
        <v>0</v>
      </c>
      <c r="G13568">
        <v>0</v>
      </c>
      <c r="H13568">
        <f>_xlfn.XLOOKUP(FACT_IMPORTS[[#This Row],[hts_6]],DIM_PRODUCTS[hts_6],DIM_PRODUCTS[hts_4],,,)</f>
        <v>8511</v>
      </c>
      <c r="I13568" t="str" cm="1">
        <f t="array" ref="I13568">_xlfn.XLOOKUP(FACT_IMPORTS[[#This Row],[country_name]],DIM_COUNTRY[[#All],[Column2]],DIM_COUNTRY[[#All],[Column3]],,,)</f>
        <v>Major_Non-USMCA_Non-China</v>
      </c>
    </row>
    <row r="13569" spans="1:9" x14ac:dyDescent="0.4">
      <c r="A13569" t="s">
        <v>75</v>
      </c>
      <c r="B13569" s="1">
        <v>45505</v>
      </c>
      <c r="C13569">
        <v>851140</v>
      </c>
      <c r="D13569" t="s">
        <v>176</v>
      </c>
      <c r="E13569">
        <v>8265</v>
      </c>
      <c r="F13569">
        <v>78</v>
      </c>
      <c r="G13569">
        <v>6</v>
      </c>
      <c r="H13569">
        <f>_xlfn.XLOOKUP(FACT_IMPORTS[[#This Row],[hts_6]],DIM_PRODUCTS[hts_6],DIM_PRODUCTS[hts_4],,,)</f>
        <v>8511</v>
      </c>
      <c r="I13569" t="str" cm="1">
        <f t="array" ref="I13569">_xlfn.XLOOKUP(FACT_IMPORTS[[#This Row],[country_name]],DIM_COUNTRY[[#All],[Column2]],DIM_COUNTRY[[#All],[Column3]],,,)</f>
        <v>Major_Non-USMCA_Non-China</v>
      </c>
    </row>
    <row r="13570" spans="1:9" x14ac:dyDescent="0.4">
      <c r="A13570" t="s">
        <v>75</v>
      </c>
      <c r="B13570" s="1">
        <v>45505</v>
      </c>
      <c r="C13570">
        <v>851150</v>
      </c>
      <c r="D13570" t="s">
        <v>176</v>
      </c>
      <c r="E13570">
        <v>0</v>
      </c>
      <c r="F13570">
        <v>0</v>
      </c>
      <c r="G13570">
        <v>0</v>
      </c>
      <c r="H13570">
        <f>_xlfn.XLOOKUP(FACT_IMPORTS[[#This Row],[hts_6]],DIM_PRODUCTS[hts_6],DIM_PRODUCTS[hts_4],,,)</f>
        <v>8511</v>
      </c>
      <c r="I13570" t="str" cm="1">
        <f t="array" ref="I13570">_xlfn.XLOOKUP(FACT_IMPORTS[[#This Row],[country_name]],DIM_COUNTRY[[#All],[Column2]],DIM_COUNTRY[[#All],[Column3]],,,)</f>
        <v>Major_Non-USMCA_Non-China</v>
      </c>
    </row>
    <row r="13571" spans="1:9" x14ac:dyDescent="0.4">
      <c r="A13571" t="s">
        <v>75</v>
      </c>
      <c r="B13571" s="1">
        <v>45505</v>
      </c>
      <c r="C13571">
        <v>851180</v>
      </c>
      <c r="D13571" t="s">
        <v>176</v>
      </c>
      <c r="E13571">
        <v>0</v>
      </c>
      <c r="F13571">
        <v>0</v>
      </c>
      <c r="G13571">
        <v>0</v>
      </c>
      <c r="H13571">
        <f>_xlfn.XLOOKUP(FACT_IMPORTS[[#This Row],[hts_6]],DIM_PRODUCTS[hts_6],DIM_PRODUCTS[hts_4],,,)</f>
        <v>8511</v>
      </c>
      <c r="I13571" t="str" cm="1">
        <f t="array" ref="I13571">_xlfn.XLOOKUP(FACT_IMPORTS[[#This Row],[country_name]],DIM_COUNTRY[[#All],[Column2]],DIM_COUNTRY[[#All],[Column3]],,,)</f>
        <v>Major_Non-USMCA_Non-China</v>
      </c>
    </row>
    <row r="13572" spans="1:9" x14ac:dyDescent="0.4">
      <c r="A13572" t="s">
        <v>75</v>
      </c>
      <c r="B13572" s="1">
        <v>45505</v>
      </c>
      <c r="C13572">
        <v>851190</v>
      </c>
      <c r="D13572" t="s">
        <v>176</v>
      </c>
      <c r="E13572">
        <v>0</v>
      </c>
      <c r="F13572">
        <v>0</v>
      </c>
      <c r="G13572">
        <v>0</v>
      </c>
      <c r="H13572">
        <f>_xlfn.XLOOKUP(FACT_IMPORTS[[#This Row],[hts_6]],DIM_PRODUCTS[hts_6],DIM_PRODUCTS[hts_4],,,)</f>
        <v>8511</v>
      </c>
      <c r="I13572" t="str" cm="1">
        <f t="array" ref="I13572">_xlfn.XLOOKUP(FACT_IMPORTS[[#This Row],[country_name]],DIM_COUNTRY[[#All],[Column2]],DIM_COUNTRY[[#All],[Column3]],,,)</f>
        <v>Major_Non-USMCA_Non-China</v>
      </c>
    </row>
    <row r="13573" spans="1:9" x14ac:dyDescent="0.4">
      <c r="A13573" t="s">
        <v>75</v>
      </c>
      <c r="B13573" s="1">
        <v>45505</v>
      </c>
      <c r="C13573">
        <v>851220</v>
      </c>
      <c r="D13573" t="s">
        <v>176</v>
      </c>
      <c r="E13573">
        <v>2729887</v>
      </c>
      <c r="F13573">
        <v>469387</v>
      </c>
      <c r="G13573">
        <v>70388</v>
      </c>
      <c r="H13573">
        <f>_xlfn.XLOOKUP(FACT_IMPORTS[[#This Row],[hts_6]],DIM_PRODUCTS[hts_6],DIM_PRODUCTS[hts_4],,,)</f>
        <v>8512</v>
      </c>
      <c r="I13573" t="str" cm="1">
        <f t="array" ref="I13573">_xlfn.XLOOKUP(FACT_IMPORTS[[#This Row],[country_name]],DIM_COUNTRY[[#All],[Column2]],DIM_COUNTRY[[#All],[Column3]],,,)</f>
        <v>Major_Non-USMCA_Non-China</v>
      </c>
    </row>
    <row r="13574" spans="1:9" x14ac:dyDescent="0.4">
      <c r="A13574" t="s">
        <v>75</v>
      </c>
      <c r="B13574" s="1">
        <v>45505</v>
      </c>
      <c r="C13574">
        <v>851230</v>
      </c>
      <c r="D13574" t="s">
        <v>176</v>
      </c>
      <c r="E13574">
        <v>9182</v>
      </c>
      <c r="F13574">
        <v>450</v>
      </c>
      <c r="G13574">
        <v>480</v>
      </c>
      <c r="H13574">
        <f>_xlfn.XLOOKUP(FACT_IMPORTS[[#This Row],[hts_6]],DIM_PRODUCTS[hts_6],DIM_PRODUCTS[hts_4],,,)</f>
        <v>8512</v>
      </c>
      <c r="I13574" t="str" cm="1">
        <f t="array" ref="I13574">_xlfn.XLOOKUP(FACT_IMPORTS[[#This Row],[country_name]],DIM_COUNTRY[[#All],[Column2]],DIM_COUNTRY[[#All],[Column3]],,,)</f>
        <v>Major_Non-USMCA_Non-China</v>
      </c>
    </row>
    <row r="13575" spans="1:9" x14ac:dyDescent="0.4">
      <c r="A13575" t="s">
        <v>75</v>
      </c>
      <c r="B13575" s="1">
        <v>45505</v>
      </c>
      <c r="C13575">
        <v>851290</v>
      </c>
      <c r="D13575" t="s">
        <v>176</v>
      </c>
      <c r="E13575">
        <v>9235726</v>
      </c>
      <c r="F13575">
        <v>145872</v>
      </c>
      <c r="G13575">
        <v>80500</v>
      </c>
      <c r="H13575">
        <f>_xlfn.XLOOKUP(FACT_IMPORTS[[#This Row],[hts_6]],DIM_PRODUCTS[hts_6],DIM_PRODUCTS[hts_4],,,)</f>
        <v>8512</v>
      </c>
      <c r="I13575" t="str" cm="1">
        <f t="array" ref="I13575">_xlfn.XLOOKUP(FACT_IMPORTS[[#This Row],[country_name]],DIM_COUNTRY[[#All],[Column2]],DIM_COUNTRY[[#All],[Column3]],,,)</f>
        <v>Major_Non-USMCA_Non-China</v>
      </c>
    </row>
    <row r="13576" spans="1:9" x14ac:dyDescent="0.4">
      <c r="A13576" t="s">
        <v>75</v>
      </c>
      <c r="B13576" s="1">
        <v>45505</v>
      </c>
      <c r="C13576">
        <v>854231</v>
      </c>
      <c r="D13576" t="s">
        <v>176</v>
      </c>
      <c r="E13576">
        <v>318394</v>
      </c>
      <c r="F13576">
        <v>8424</v>
      </c>
      <c r="G13576">
        <v>218</v>
      </c>
      <c r="H13576">
        <f>_xlfn.XLOOKUP(FACT_IMPORTS[[#This Row],[hts_6]],DIM_PRODUCTS[hts_6],DIM_PRODUCTS[hts_4],,,)</f>
        <v>8542</v>
      </c>
      <c r="I13576" t="str" cm="1">
        <f t="array" ref="I13576">_xlfn.XLOOKUP(FACT_IMPORTS[[#This Row],[country_name]],DIM_COUNTRY[[#All],[Column2]],DIM_COUNTRY[[#All],[Column3]],,,)</f>
        <v>Major_Non-USMCA_Non-China</v>
      </c>
    </row>
    <row r="13577" spans="1:9" x14ac:dyDescent="0.4">
      <c r="A13577" t="s">
        <v>75</v>
      </c>
      <c r="B13577" s="1">
        <v>45505</v>
      </c>
      <c r="C13577">
        <v>854232</v>
      </c>
      <c r="D13577" t="s">
        <v>176</v>
      </c>
      <c r="E13577">
        <v>0</v>
      </c>
      <c r="F13577">
        <v>0</v>
      </c>
      <c r="G13577">
        <v>0</v>
      </c>
      <c r="H13577">
        <f>_xlfn.XLOOKUP(FACT_IMPORTS[[#This Row],[hts_6]],DIM_PRODUCTS[hts_6],DIM_PRODUCTS[hts_4],,,)</f>
        <v>8542</v>
      </c>
      <c r="I13577" t="str" cm="1">
        <f t="array" ref="I13577">_xlfn.XLOOKUP(FACT_IMPORTS[[#This Row],[country_name]],DIM_COUNTRY[[#All],[Column2]],DIM_COUNTRY[[#All],[Column3]],,,)</f>
        <v>Major_Non-USMCA_Non-China</v>
      </c>
    </row>
    <row r="13578" spans="1:9" x14ac:dyDescent="0.4">
      <c r="A13578" t="s">
        <v>75</v>
      </c>
      <c r="B13578" s="1">
        <v>45505</v>
      </c>
      <c r="C13578">
        <v>854233</v>
      </c>
      <c r="D13578" t="s">
        <v>176</v>
      </c>
      <c r="E13578">
        <v>0</v>
      </c>
      <c r="F13578">
        <v>0</v>
      </c>
      <c r="G13578">
        <v>0</v>
      </c>
      <c r="H13578">
        <f>_xlfn.XLOOKUP(FACT_IMPORTS[[#This Row],[hts_6]],DIM_PRODUCTS[hts_6],DIM_PRODUCTS[hts_4],,,)</f>
        <v>8542</v>
      </c>
      <c r="I13578" t="str" cm="1">
        <f t="array" ref="I13578">_xlfn.XLOOKUP(FACT_IMPORTS[[#This Row],[country_name]],DIM_COUNTRY[[#All],[Column2]],DIM_COUNTRY[[#All],[Column3]],,,)</f>
        <v>Major_Non-USMCA_Non-China</v>
      </c>
    </row>
    <row r="13579" spans="1:9" x14ac:dyDescent="0.4">
      <c r="A13579" t="s">
        <v>75</v>
      </c>
      <c r="B13579" s="1">
        <v>45505</v>
      </c>
      <c r="C13579">
        <v>854239</v>
      </c>
      <c r="D13579" t="s">
        <v>176</v>
      </c>
      <c r="E13579">
        <v>1523067</v>
      </c>
      <c r="F13579">
        <v>228403</v>
      </c>
      <c r="G13579">
        <v>4734</v>
      </c>
      <c r="H13579">
        <f>_xlfn.XLOOKUP(FACT_IMPORTS[[#This Row],[hts_6]],DIM_PRODUCTS[hts_6],DIM_PRODUCTS[hts_4],,,)</f>
        <v>8542</v>
      </c>
      <c r="I13579" t="str" cm="1">
        <f t="array" ref="I13579">_xlfn.XLOOKUP(FACT_IMPORTS[[#This Row],[country_name]],DIM_COUNTRY[[#All],[Column2]],DIM_COUNTRY[[#All],[Column3]],,,)</f>
        <v>Major_Non-USMCA_Non-China</v>
      </c>
    </row>
    <row r="13580" spans="1:9" x14ac:dyDescent="0.4">
      <c r="A13580" t="s">
        <v>75</v>
      </c>
      <c r="B13580" s="1">
        <v>45505</v>
      </c>
      <c r="C13580">
        <v>854290</v>
      </c>
      <c r="D13580" t="s">
        <v>176</v>
      </c>
      <c r="E13580">
        <v>0</v>
      </c>
      <c r="F13580">
        <v>0</v>
      </c>
      <c r="G13580">
        <v>0</v>
      </c>
      <c r="H13580">
        <f>_xlfn.XLOOKUP(FACT_IMPORTS[[#This Row],[hts_6]],DIM_PRODUCTS[hts_6],DIM_PRODUCTS[hts_4],,,)</f>
        <v>8542</v>
      </c>
      <c r="I13580" t="str" cm="1">
        <f t="array" ref="I13580">_xlfn.XLOOKUP(FACT_IMPORTS[[#This Row],[country_name]],DIM_COUNTRY[[#All],[Column2]],DIM_COUNTRY[[#All],[Column3]],,,)</f>
        <v>Major_Non-USMCA_Non-China</v>
      </c>
    </row>
    <row r="13581" spans="1:9" x14ac:dyDescent="0.4">
      <c r="A13581" t="s">
        <v>75</v>
      </c>
      <c r="B13581" s="1">
        <v>45505</v>
      </c>
      <c r="C13581">
        <v>854430</v>
      </c>
      <c r="D13581" t="s">
        <v>176</v>
      </c>
      <c r="E13581">
        <v>0</v>
      </c>
      <c r="F13581">
        <v>0</v>
      </c>
      <c r="G13581">
        <v>0</v>
      </c>
      <c r="H13581">
        <f>_xlfn.XLOOKUP(FACT_IMPORTS[[#This Row],[hts_6]],DIM_PRODUCTS[hts_6],DIM_PRODUCTS[hts_4],,,)</f>
        <v>8544</v>
      </c>
      <c r="I13581" t="str" cm="1">
        <f t="array" ref="I13581">_xlfn.XLOOKUP(FACT_IMPORTS[[#This Row],[country_name]],DIM_COUNTRY[[#All],[Column2]],DIM_COUNTRY[[#All],[Column3]],,,)</f>
        <v>Major_Non-USMCA_Non-China</v>
      </c>
    </row>
    <row r="13582" spans="1:9" x14ac:dyDescent="0.4">
      <c r="A13582" t="s">
        <v>75</v>
      </c>
      <c r="B13582" s="1">
        <v>45505</v>
      </c>
      <c r="C13582">
        <v>870810</v>
      </c>
      <c r="D13582" t="s">
        <v>176</v>
      </c>
      <c r="E13582">
        <v>759723</v>
      </c>
      <c r="F13582">
        <v>18456</v>
      </c>
      <c r="G13582">
        <v>162293</v>
      </c>
      <c r="H13582">
        <f>_xlfn.XLOOKUP(FACT_IMPORTS[[#This Row],[hts_6]],DIM_PRODUCTS[hts_6],DIM_PRODUCTS[hts_4],,,)</f>
        <v>8708</v>
      </c>
      <c r="I13582" t="str" cm="1">
        <f t="array" ref="I13582">_xlfn.XLOOKUP(FACT_IMPORTS[[#This Row],[country_name]],DIM_COUNTRY[[#All],[Column2]],DIM_COUNTRY[[#All],[Column3]],,,)</f>
        <v>Major_Non-USMCA_Non-China</v>
      </c>
    </row>
    <row r="13583" spans="1:9" x14ac:dyDescent="0.4">
      <c r="A13583" t="s">
        <v>75</v>
      </c>
      <c r="B13583" s="1">
        <v>45505</v>
      </c>
      <c r="C13583">
        <v>870829</v>
      </c>
      <c r="D13583" t="s">
        <v>176</v>
      </c>
      <c r="E13583">
        <v>1148763</v>
      </c>
      <c r="F13583">
        <v>60015</v>
      </c>
      <c r="G13583">
        <v>79975</v>
      </c>
      <c r="H13583">
        <f>_xlfn.XLOOKUP(FACT_IMPORTS[[#This Row],[hts_6]],DIM_PRODUCTS[hts_6],DIM_PRODUCTS[hts_4],,,)</f>
        <v>8708</v>
      </c>
      <c r="I13583" t="str" cm="1">
        <f t="array" ref="I13583">_xlfn.XLOOKUP(FACT_IMPORTS[[#This Row],[country_name]],DIM_COUNTRY[[#All],[Column2]],DIM_COUNTRY[[#All],[Column3]],,,)</f>
        <v>Major_Non-USMCA_Non-China</v>
      </c>
    </row>
    <row r="13584" spans="1:9" x14ac:dyDescent="0.4">
      <c r="A13584" t="s">
        <v>75</v>
      </c>
      <c r="B13584" s="1">
        <v>45505</v>
      </c>
      <c r="C13584">
        <v>870830</v>
      </c>
      <c r="D13584" t="s">
        <v>176</v>
      </c>
      <c r="E13584">
        <v>0</v>
      </c>
      <c r="F13584">
        <v>0</v>
      </c>
      <c r="G13584">
        <v>0</v>
      </c>
      <c r="H13584">
        <f>_xlfn.XLOOKUP(FACT_IMPORTS[[#This Row],[hts_6]],DIM_PRODUCTS[hts_6],DIM_PRODUCTS[hts_4],,,)</f>
        <v>8708</v>
      </c>
      <c r="I13584" t="str" cm="1">
        <f t="array" ref="I13584">_xlfn.XLOOKUP(FACT_IMPORTS[[#This Row],[country_name]],DIM_COUNTRY[[#All],[Column2]],DIM_COUNTRY[[#All],[Column3]],,,)</f>
        <v>Major_Non-USMCA_Non-China</v>
      </c>
    </row>
    <row r="13585" spans="1:9" x14ac:dyDescent="0.4">
      <c r="A13585" t="s">
        <v>75</v>
      </c>
      <c r="B13585" s="1">
        <v>45505</v>
      </c>
      <c r="C13585">
        <v>870840</v>
      </c>
      <c r="D13585" t="s">
        <v>176</v>
      </c>
      <c r="E13585">
        <v>340764</v>
      </c>
      <c r="F13585">
        <v>54997</v>
      </c>
      <c r="G13585">
        <v>4233</v>
      </c>
      <c r="H13585">
        <f>_xlfn.XLOOKUP(FACT_IMPORTS[[#This Row],[hts_6]],DIM_PRODUCTS[hts_6],DIM_PRODUCTS[hts_4],,,)</f>
        <v>8708</v>
      </c>
      <c r="I13585" t="str" cm="1">
        <f t="array" ref="I13585">_xlfn.XLOOKUP(FACT_IMPORTS[[#This Row],[country_name]],DIM_COUNTRY[[#All],[Column2]],DIM_COUNTRY[[#All],[Column3]],,,)</f>
        <v>Major_Non-USMCA_Non-China</v>
      </c>
    </row>
    <row r="13586" spans="1:9" x14ac:dyDescent="0.4">
      <c r="A13586" t="s">
        <v>75</v>
      </c>
      <c r="B13586" s="1">
        <v>45505</v>
      </c>
      <c r="C13586">
        <v>870850</v>
      </c>
      <c r="D13586" t="s">
        <v>176</v>
      </c>
      <c r="E13586">
        <v>151395</v>
      </c>
      <c r="F13586">
        <v>45673</v>
      </c>
      <c r="G13586">
        <v>8287</v>
      </c>
      <c r="H13586">
        <f>_xlfn.XLOOKUP(FACT_IMPORTS[[#This Row],[hts_6]],DIM_PRODUCTS[hts_6],DIM_PRODUCTS[hts_4],,,)</f>
        <v>8708</v>
      </c>
      <c r="I13586" t="str" cm="1">
        <f t="array" ref="I13586">_xlfn.XLOOKUP(FACT_IMPORTS[[#This Row],[country_name]],DIM_COUNTRY[[#All],[Column2]],DIM_COUNTRY[[#All],[Column3]],,,)</f>
        <v>Major_Non-USMCA_Non-China</v>
      </c>
    </row>
    <row r="13587" spans="1:9" x14ac:dyDescent="0.4">
      <c r="A13587" t="s">
        <v>75</v>
      </c>
      <c r="B13587" s="1">
        <v>45505</v>
      </c>
      <c r="C13587">
        <v>870870</v>
      </c>
      <c r="D13587" t="s">
        <v>176</v>
      </c>
      <c r="E13587">
        <v>728968</v>
      </c>
      <c r="F13587">
        <v>2995</v>
      </c>
      <c r="G13587">
        <v>47345</v>
      </c>
      <c r="H13587">
        <f>_xlfn.XLOOKUP(FACT_IMPORTS[[#This Row],[hts_6]],DIM_PRODUCTS[hts_6],DIM_PRODUCTS[hts_4],,,)</f>
        <v>8708</v>
      </c>
      <c r="I13587" t="str" cm="1">
        <f t="array" ref="I13587">_xlfn.XLOOKUP(FACT_IMPORTS[[#This Row],[country_name]],DIM_COUNTRY[[#All],[Column2]],DIM_COUNTRY[[#All],[Column3]],,,)</f>
        <v>Major_Non-USMCA_Non-China</v>
      </c>
    </row>
    <row r="13588" spans="1:9" x14ac:dyDescent="0.4">
      <c r="A13588" t="s">
        <v>75</v>
      </c>
      <c r="B13588" s="1">
        <v>45505</v>
      </c>
      <c r="C13588">
        <v>870880</v>
      </c>
      <c r="D13588" t="s">
        <v>176</v>
      </c>
      <c r="E13588">
        <v>651499</v>
      </c>
      <c r="F13588">
        <v>54210</v>
      </c>
      <c r="G13588">
        <v>34834</v>
      </c>
      <c r="H13588">
        <f>_xlfn.XLOOKUP(FACT_IMPORTS[[#This Row],[hts_6]],DIM_PRODUCTS[hts_6],DIM_PRODUCTS[hts_4],,,)</f>
        <v>8708</v>
      </c>
      <c r="I13588" t="str" cm="1">
        <f t="array" ref="I13588">_xlfn.XLOOKUP(FACT_IMPORTS[[#This Row],[country_name]],DIM_COUNTRY[[#All],[Column2]],DIM_COUNTRY[[#All],[Column3]],,,)</f>
        <v>Major_Non-USMCA_Non-China</v>
      </c>
    </row>
    <row r="13589" spans="1:9" x14ac:dyDescent="0.4">
      <c r="A13589" t="s">
        <v>75</v>
      </c>
      <c r="B13589" s="1">
        <v>45505</v>
      </c>
      <c r="C13589">
        <v>870891</v>
      </c>
      <c r="D13589" t="s">
        <v>176</v>
      </c>
      <c r="E13589">
        <v>81149</v>
      </c>
      <c r="F13589">
        <v>11208</v>
      </c>
      <c r="G13589">
        <v>16440</v>
      </c>
      <c r="H13589">
        <f>_xlfn.XLOOKUP(FACT_IMPORTS[[#This Row],[hts_6]],DIM_PRODUCTS[hts_6],DIM_PRODUCTS[hts_4],,,)</f>
        <v>8708</v>
      </c>
      <c r="I13589" t="str" cm="1">
        <f t="array" ref="I13589">_xlfn.XLOOKUP(FACT_IMPORTS[[#This Row],[country_name]],DIM_COUNTRY[[#All],[Column2]],DIM_COUNTRY[[#All],[Column3]],,,)</f>
        <v>Major_Non-USMCA_Non-China</v>
      </c>
    </row>
    <row r="13590" spans="1:9" x14ac:dyDescent="0.4">
      <c r="A13590" t="s">
        <v>75</v>
      </c>
      <c r="B13590" s="1">
        <v>45505</v>
      </c>
      <c r="C13590">
        <v>870892</v>
      </c>
      <c r="D13590" t="s">
        <v>176</v>
      </c>
      <c r="E13590">
        <v>0</v>
      </c>
      <c r="F13590">
        <v>0</v>
      </c>
      <c r="G13590">
        <v>0</v>
      </c>
      <c r="H13590">
        <f>_xlfn.XLOOKUP(FACT_IMPORTS[[#This Row],[hts_6]],DIM_PRODUCTS[hts_6],DIM_PRODUCTS[hts_4],,,)</f>
        <v>8708</v>
      </c>
      <c r="I13590" t="str" cm="1">
        <f t="array" ref="I13590">_xlfn.XLOOKUP(FACT_IMPORTS[[#This Row],[country_name]],DIM_COUNTRY[[#All],[Column2]],DIM_COUNTRY[[#All],[Column3]],,,)</f>
        <v>Major_Non-USMCA_Non-China</v>
      </c>
    </row>
    <row r="13591" spans="1:9" x14ac:dyDescent="0.4">
      <c r="A13591" t="s">
        <v>75</v>
      </c>
      <c r="B13591" s="1">
        <v>45505</v>
      </c>
      <c r="C13591">
        <v>870893</v>
      </c>
      <c r="D13591" t="s">
        <v>176</v>
      </c>
      <c r="E13591">
        <v>18554</v>
      </c>
      <c r="F13591">
        <v>404</v>
      </c>
      <c r="G13591">
        <v>15</v>
      </c>
      <c r="H13591">
        <f>_xlfn.XLOOKUP(FACT_IMPORTS[[#This Row],[hts_6]],DIM_PRODUCTS[hts_6],DIM_PRODUCTS[hts_4],,,)</f>
        <v>8708</v>
      </c>
      <c r="I13591" t="str" cm="1">
        <f t="array" ref="I13591">_xlfn.XLOOKUP(FACT_IMPORTS[[#This Row],[country_name]],DIM_COUNTRY[[#All],[Column2]],DIM_COUNTRY[[#All],[Column3]],,,)</f>
        <v>Major_Non-USMCA_Non-China</v>
      </c>
    </row>
    <row r="13592" spans="1:9" x14ac:dyDescent="0.4">
      <c r="A13592" t="s">
        <v>75</v>
      </c>
      <c r="B13592" s="1">
        <v>45505</v>
      </c>
      <c r="C13592">
        <v>870894</v>
      </c>
      <c r="D13592" t="s">
        <v>176</v>
      </c>
      <c r="E13592">
        <v>72848</v>
      </c>
      <c r="F13592">
        <v>13742</v>
      </c>
      <c r="G13592">
        <v>10656</v>
      </c>
      <c r="H13592">
        <f>_xlfn.XLOOKUP(FACT_IMPORTS[[#This Row],[hts_6]],DIM_PRODUCTS[hts_6],DIM_PRODUCTS[hts_4],,,)</f>
        <v>8708</v>
      </c>
      <c r="I13592" t="str" cm="1">
        <f t="array" ref="I13592">_xlfn.XLOOKUP(FACT_IMPORTS[[#This Row],[country_name]],DIM_COUNTRY[[#All],[Column2]],DIM_COUNTRY[[#All],[Column3]],,,)</f>
        <v>Major_Non-USMCA_Non-China</v>
      </c>
    </row>
    <row r="13593" spans="1:9" x14ac:dyDescent="0.4">
      <c r="A13593" t="s">
        <v>75</v>
      </c>
      <c r="B13593" s="1">
        <v>45505</v>
      </c>
      <c r="C13593">
        <v>870899</v>
      </c>
      <c r="D13593" t="s">
        <v>176</v>
      </c>
      <c r="E13593">
        <v>1246179</v>
      </c>
      <c r="F13593">
        <v>1075502</v>
      </c>
      <c r="G13593">
        <v>72617</v>
      </c>
      <c r="H13593">
        <f>_xlfn.XLOOKUP(FACT_IMPORTS[[#This Row],[hts_6]],DIM_PRODUCTS[hts_6],DIM_PRODUCTS[hts_4],,,)</f>
        <v>8708</v>
      </c>
      <c r="I13593" t="str" cm="1">
        <f t="array" ref="I13593">_xlfn.XLOOKUP(FACT_IMPORTS[[#This Row],[country_name]],DIM_COUNTRY[[#All],[Column2]],DIM_COUNTRY[[#All],[Column3]],,,)</f>
        <v>Major_Non-USMCA_Non-China</v>
      </c>
    </row>
    <row r="13594" spans="1:9" x14ac:dyDescent="0.4">
      <c r="A13594" t="s">
        <v>75</v>
      </c>
      <c r="B13594" s="1">
        <v>45536</v>
      </c>
      <c r="C13594">
        <v>392630</v>
      </c>
      <c r="D13594" t="s">
        <v>176</v>
      </c>
      <c r="E13594">
        <v>4344</v>
      </c>
      <c r="F13594">
        <v>665</v>
      </c>
      <c r="G13594">
        <v>188</v>
      </c>
      <c r="H13594">
        <f>_xlfn.XLOOKUP(FACT_IMPORTS[[#This Row],[hts_6]],DIM_PRODUCTS[hts_6],DIM_PRODUCTS[hts_4],,,)</f>
        <v>3926</v>
      </c>
      <c r="I13594" t="str" cm="1">
        <f t="array" ref="I13594">_xlfn.XLOOKUP(FACT_IMPORTS[[#This Row],[country_name]],DIM_COUNTRY[[#All],[Column2]],DIM_COUNTRY[[#All],[Column3]],,,)</f>
        <v>Major_Non-USMCA_Non-China</v>
      </c>
    </row>
    <row r="13595" spans="1:9" x14ac:dyDescent="0.4">
      <c r="A13595" t="s">
        <v>75</v>
      </c>
      <c r="B13595" s="1">
        <v>45536</v>
      </c>
      <c r="C13595">
        <v>401110</v>
      </c>
      <c r="D13595" t="s">
        <v>176</v>
      </c>
      <c r="E13595">
        <v>4570</v>
      </c>
      <c r="F13595">
        <v>68</v>
      </c>
      <c r="G13595">
        <v>400</v>
      </c>
      <c r="H13595">
        <f>_xlfn.XLOOKUP(FACT_IMPORTS[[#This Row],[hts_6]],DIM_PRODUCTS[hts_6],DIM_PRODUCTS[hts_4],,,)</f>
        <v>4011</v>
      </c>
      <c r="I13595" t="str" cm="1">
        <f t="array" ref="I13595">_xlfn.XLOOKUP(FACT_IMPORTS[[#This Row],[country_name]],DIM_COUNTRY[[#All],[Column2]],DIM_COUNTRY[[#All],[Column3]],,,)</f>
        <v>Major_Non-USMCA_Non-China</v>
      </c>
    </row>
    <row r="13596" spans="1:9" x14ac:dyDescent="0.4">
      <c r="A13596" t="s">
        <v>75</v>
      </c>
      <c r="B13596" s="1">
        <v>45536</v>
      </c>
      <c r="C13596">
        <v>401120</v>
      </c>
      <c r="D13596" t="s">
        <v>176</v>
      </c>
      <c r="E13596">
        <v>0</v>
      </c>
      <c r="F13596">
        <v>0</v>
      </c>
      <c r="G13596">
        <v>0</v>
      </c>
      <c r="H13596">
        <f>_xlfn.XLOOKUP(FACT_IMPORTS[[#This Row],[hts_6]],DIM_PRODUCTS[hts_6],DIM_PRODUCTS[hts_4],,,)</f>
        <v>4011</v>
      </c>
      <c r="I13596" t="str" cm="1">
        <f t="array" ref="I13596">_xlfn.XLOOKUP(FACT_IMPORTS[[#This Row],[country_name]],DIM_COUNTRY[[#All],[Column2]],DIM_COUNTRY[[#All],[Column3]],,,)</f>
        <v>Major_Non-USMCA_Non-China</v>
      </c>
    </row>
    <row r="13597" spans="1:9" x14ac:dyDescent="0.4">
      <c r="A13597" t="s">
        <v>75</v>
      </c>
      <c r="B13597" s="1">
        <v>45536</v>
      </c>
      <c r="C13597">
        <v>401140</v>
      </c>
      <c r="D13597" t="s">
        <v>176</v>
      </c>
      <c r="E13597">
        <v>0</v>
      </c>
      <c r="F13597">
        <v>0</v>
      </c>
      <c r="G13597">
        <v>0</v>
      </c>
      <c r="H13597">
        <f>_xlfn.XLOOKUP(FACT_IMPORTS[[#This Row],[hts_6]],DIM_PRODUCTS[hts_6],DIM_PRODUCTS[hts_4],,,)</f>
        <v>4011</v>
      </c>
      <c r="I13597" t="str" cm="1">
        <f t="array" ref="I13597">_xlfn.XLOOKUP(FACT_IMPORTS[[#This Row],[country_name]],DIM_COUNTRY[[#All],[Column2]],DIM_COUNTRY[[#All],[Column3]],,,)</f>
        <v>Major_Non-USMCA_Non-China</v>
      </c>
    </row>
    <row r="13598" spans="1:9" x14ac:dyDescent="0.4">
      <c r="A13598" t="s">
        <v>75</v>
      </c>
      <c r="B13598" s="1">
        <v>45536</v>
      </c>
      <c r="C13598">
        <v>401190</v>
      </c>
      <c r="D13598" t="s">
        <v>176</v>
      </c>
      <c r="E13598">
        <v>8745</v>
      </c>
      <c r="F13598">
        <v>92</v>
      </c>
      <c r="G13598">
        <v>20</v>
      </c>
      <c r="H13598">
        <f>_xlfn.XLOOKUP(FACT_IMPORTS[[#This Row],[hts_6]],DIM_PRODUCTS[hts_6],DIM_PRODUCTS[hts_4],,,)</f>
        <v>4011</v>
      </c>
      <c r="I13598" t="str" cm="1">
        <f t="array" ref="I13598">_xlfn.XLOOKUP(FACT_IMPORTS[[#This Row],[country_name]],DIM_COUNTRY[[#All],[Column2]],DIM_COUNTRY[[#All],[Column3]],,,)</f>
        <v>Major_Non-USMCA_Non-China</v>
      </c>
    </row>
    <row r="13599" spans="1:9" x14ac:dyDescent="0.4">
      <c r="A13599" t="s">
        <v>75</v>
      </c>
      <c r="B13599" s="1">
        <v>45536</v>
      </c>
      <c r="C13599">
        <v>700721</v>
      </c>
      <c r="D13599" t="s">
        <v>176</v>
      </c>
      <c r="E13599">
        <v>0</v>
      </c>
      <c r="F13599">
        <v>0</v>
      </c>
      <c r="G13599">
        <v>0</v>
      </c>
      <c r="H13599">
        <f>_xlfn.XLOOKUP(FACT_IMPORTS[[#This Row],[hts_6]],DIM_PRODUCTS[hts_6],DIM_PRODUCTS[hts_4],,,)</f>
        <v>7007</v>
      </c>
      <c r="I13599" t="str" cm="1">
        <f t="array" ref="I13599">_xlfn.XLOOKUP(FACT_IMPORTS[[#This Row],[country_name]],DIM_COUNTRY[[#All],[Column2]],DIM_COUNTRY[[#All],[Column3]],,,)</f>
        <v>Major_Non-USMCA_Non-China</v>
      </c>
    </row>
    <row r="13600" spans="1:9" x14ac:dyDescent="0.4">
      <c r="A13600" t="s">
        <v>75</v>
      </c>
      <c r="B13600" s="1">
        <v>45536</v>
      </c>
      <c r="C13600">
        <v>700910</v>
      </c>
      <c r="D13600" t="s">
        <v>176</v>
      </c>
      <c r="E13600">
        <v>0</v>
      </c>
      <c r="F13600">
        <v>0</v>
      </c>
      <c r="G13600">
        <v>0</v>
      </c>
      <c r="H13600">
        <f>_xlfn.XLOOKUP(FACT_IMPORTS[[#This Row],[hts_6]],DIM_PRODUCTS[hts_6],DIM_PRODUCTS[hts_4],,,)</f>
        <v>7009</v>
      </c>
      <c r="I13600" t="str" cm="1">
        <f t="array" ref="I13600">_xlfn.XLOOKUP(FACT_IMPORTS[[#This Row],[country_name]],DIM_COUNTRY[[#All],[Column2]],DIM_COUNTRY[[#All],[Column3]],,,)</f>
        <v>Major_Non-USMCA_Non-China</v>
      </c>
    </row>
    <row r="13601" spans="1:9" x14ac:dyDescent="0.4">
      <c r="A13601" t="s">
        <v>75</v>
      </c>
      <c r="B13601" s="1">
        <v>45536</v>
      </c>
      <c r="C13601">
        <v>732010</v>
      </c>
      <c r="D13601" t="s">
        <v>176</v>
      </c>
      <c r="E13601">
        <v>6828</v>
      </c>
      <c r="F13601">
        <v>2177</v>
      </c>
      <c r="G13601">
        <v>131</v>
      </c>
      <c r="H13601">
        <f>_xlfn.XLOOKUP(FACT_IMPORTS[[#This Row],[hts_6]],DIM_PRODUCTS[hts_6],DIM_PRODUCTS[hts_4],,,)</f>
        <v>7320</v>
      </c>
      <c r="I13601" t="str" cm="1">
        <f t="array" ref="I13601">_xlfn.XLOOKUP(FACT_IMPORTS[[#This Row],[country_name]],DIM_COUNTRY[[#All],[Column2]],DIM_COUNTRY[[#All],[Column3]],,,)</f>
        <v>Major_Non-USMCA_Non-China</v>
      </c>
    </row>
    <row r="13602" spans="1:9" x14ac:dyDescent="0.4">
      <c r="A13602" t="s">
        <v>75</v>
      </c>
      <c r="B13602" s="1">
        <v>45536</v>
      </c>
      <c r="C13602">
        <v>830230</v>
      </c>
      <c r="D13602" t="s">
        <v>176</v>
      </c>
      <c r="E13602">
        <v>410104</v>
      </c>
      <c r="F13602">
        <v>46570</v>
      </c>
      <c r="G13602">
        <v>6889</v>
      </c>
      <c r="H13602">
        <f>_xlfn.XLOOKUP(FACT_IMPORTS[[#This Row],[hts_6]],DIM_PRODUCTS[hts_6],DIM_PRODUCTS[hts_4],,,)</f>
        <v>8302</v>
      </c>
      <c r="I13602" t="str" cm="1">
        <f t="array" ref="I13602">_xlfn.XLOOKUP(FACT_IMPORTS[[#This Row],[country_name]],DIM_COUNTRY[[#All],[Column2]],DIM_COUNTRY[[#All],[Column3]],,,)</f>
        <v>Major_Non-USMCA_Non-China</v>
      </c>
    </row>
    <row r="13603" spans="1:9" x14ac:dyDescent="0.4">
      <c r="A13603" t="s">
        <v>75</v>
      </c>
      <c r="B13603" s="1">
        <v>45536</v>
      </c>
      <c r="C13603">
        <v>840732</v>
      </c>
      <c r="D13603" t="s">
        <v>176</v>
      </c>
      <c r="E13603">
        <v>0</v>
      </c>
      <c r="F13603">
        <v>0</v>
      </c>
      <c r="G13603">
        <v>0</v>
      </c>
      <c r="H13603">
        <f>_xlfn.XLOOKUP(FACT_IMPORTS[[#This Row],[hts_6]],DIM_PRODUCTS[hts_6],DIM_PRODUCTS[hts_4],,,)</f>
        <v>8407</v>
      </c>
      <c r="I13603" t="str" cm="1">
        <f t="array" ref="I13603">_xlfn.XLOOKUP(FACT_IMPORTS[[#This Row],[country_name]],DIM_COUNTRY[[#All],[Column2]],DIM_COUNTRY[[#All],[Column3]],,,)</f>
        <v>Major_Non-USMCA_Non-China</v>
      </c>
    </row>
    <row r="13604" spans="1:9" x14ac:dyDescent="0.4">
      <c r="A13604" t="s">
        <v>75</v>
      </c>
      <c r="B13604" s="1">
        <v>45536</v>
      </c>
      <c r="C13604">
        <v>840733</v>
      </c>
      <c r="D13604" t="s">
        <v>176</v>
      </c>
      <c r="E13604">
        <v>2298</v>
      </c>
      <c r="F13604">
        <v>1</v>
      </c>
      <c r="G13604">
        <v>244</v>
      </c>
      <c r="H13604">
        <f>_xlfn.XLOOKUP(FACT_IMPORTS[[#This Row],[hts_6]],DIM_PRODUCTS[hts_6],DIM_PRODUCTS[hts_4],,,)</f>
        <v>8407</v>
      </c>
      <c r="I13604" t="str" cm="1">
        <f t="array" ref="I13604">_xlfn.XLOOKUP(FACT_IMPORTS[[#This Row],[country_name]],DIM_COUNTRY[[#All],[Column2]],DIM_COUNTRY[[#All],[Column3]],,,)</f>
        <v>Major_Non-USMCA_Non-China</v>
      </c>
    </row>
    <row r="13605" spans="1:9" x14ac:dyDescent="0.4">
      <c r="A13605" t="s">
        <v>75</v>
      </c>
      <c r="B13605" s="1">
        <v>45536</v>
      </c>
      <c r="C13605">
        <v>840790</v>
      </c>
      <c r="D13605" t="s">
        <v>176</v>
      </c>
      <c r="E13605">
        <v>0</v>
      </c>
      <c r="F13605">
        <v>0</v>
      </c>
      <c r="G13605">
        <v>0</v>
      </c>
      <c r="H13605">
        <f>_xlfn.XLOOKUP(FACT_IMPORTS[[#This Row],[hts_6]],DIM_PRODUCTS[hts_6],DIM_PRODUCTS[hts_4],,,)</f>
        <v>8407</v>
      </c>
      <c r="I13605" t="str" cm="1">
        <f t="array" ref="I13605">_xlfn.XLOOKUP(FACT_IMPORTS[[#This Row],[country_name]],DIM_COUNTRY[[#All],[Column2]],DIM_COUNTRY[[#All],[Column3]],,,)</f>
        <v>Major_Non-USMCA_Non-China</v>
      </c>
    </row>
    <row r="13606" spans="1:9" x14ac:dyDescent="0.4">
      <c r="A13606" t="s">
        <v>75</v>
      </c>
      <c r="B13606" s="1">
        <v>45536</v>
      </c>
      <c r="C13606">
        <v>840890</v>
      </c>
      <c r="D13606" t="s">
        <v>176</v>
      </c>
      <c r="E13606">
        <v>0</v>
      </c>
      <c r="F13606">
        <v>0</v>
      </c>
      <c r="G13606">
        <v>0</v>
      </c>
      <c r="H13606">
        <f>_xlfn.XLOOKUP(FACT_IMPORTS[[#This Row],[hts_6]],DIM_PRODUCTS[hts_6],DIM_PRODUCTS[hts_4],,,)</f>
        <v>8408</v>
      </c>
      <c r="I13606" t="str" cm="1">
        <f t="array" ref="I13606">_xlfn.XLOOKUP(FACT_IMPORTS[[#This Row],[country_name]],DIM_COUNTRY[[#All],[Column2]],DIM_COUNTRY[[#All],[Column3]],,,)</f>
        <v>Major_Non-USMCA_Non-China</v>
      </c>
    </row>
    <row r="13607" spans="1:9" x14ac:dyDescent="0.4">
      <c r="A13607" t="s">
        <v>75</v>
      </c>
      <c r="B13607" s="1">
        <v>45536</v>
      </c>
      <c r="C13607">
        <v>840991</v>
      </c>
      <c r="D13607" t="s">
        <v>176</v>
      </c>
      <c r="E13607">
        <v>179465</v>
      </c>
      <c r="F13607">
        <v>12018</v>
      </c>
      <c r="G13607">
        <v>14604</v>
      </c>
      <c r="H13607">
        <f>_xlfn.XLOOKUP(FACT_IMPORTS[[#This Row],[hts_6]],DIM_PRODUCTS[hts_6],DIM_PRODUCTS[hts_4],,,)</f>
        <v>8409</v>
      </c>
      <c r="I13607" t="str" cm="1">
        <f t="array" ref="I13607">_xlfn.XLOOKUP(FACT_IMPORTS[[#This Row],[country_name]],DIM_COUNTRY[[#All],[Column2]],DIM_COUNTRY[[#All],[Column3]],,,)</f>
        <v>Major_Non-USMCA_Non-China</v>
      </c>
    </row>
    <row r="13608" spans="1:9" x14ac:dyDescent="0.4">
      <c r="A13608" t="s">
        <v>75</v>
      </c>
      <c r="B13608" s="1">
        <v>45536</v>
      </c>
      <c r="C13608">
        <v>840999</v>
      </c>
      <c r="D13608" t="s">
        <v>176</v>
      </c>
      <c r="E13608">
        <v>37929</v>
      </c>
      <c r="F13608">
        <v>4030</v>
      </c>
      <c r="G13608">
        <v>1267</v>
      </c>
      <c r="H13608">
        <f>_xlfn.XLOOKUP(FACT_IMPORTS[[#This Row],[hts_6]],DIM_PRODUCTS[hts_6],DIM_PRODUCTS[hts_4],,,)</f>
        <v>8409</v>
      </c>
      <c r="I13608" t="str" cm="1">
        <f t="array" ref="I13608">_xlfn.XLOOKUP(FACT_IMPORTS[[#This Row],[country_name]],DIM_COUNTRY[[#All],[Column2]],DIM_COUNTRY[[#All],[Column3]],,,)</f>
        <v>Major_Non-USMCA_Non-China</v>
      </c>
    </row>
    <row r="13609" spans="1:9" x14ac:dyDescent="0.4">
      <c r="A13609" t="s">
        <v>75</v>
      </c>
      <c r="B13609" s="1">
        <v>45536</v>
      </c>
      <c r="C13609">
        <v>841330</v>
      </c>
      <c r="D13609" t="s">
        <v>176</v>
      </c>
      <c r="E13609">
        <v>0</v>
      </c>
      <c r="F13609">
        <v>0</v>
      </c>
      <c r="G13609">
        <v>0</v>
      </c>
      <c r="H13609">
        <f>_xlfn.XLOOKUP(FACT_IMPORTS[[#This Row],[hts_6]],DIM_PRODUCTS[hts_6],DIM_PRODUCTS[hts_4],,,)</f>
        <v>8413</v>
      </c>
      <c r="I13609" t="str" cm="1">
        <f t="array" ref="I13609">_xlfn.XLOOKUP(FACT_IMPORTS[[#This Row],[country_name]],DIM_COUNTRY[[#All],[Column2]],DIM_COUNTRY[[#All],[Column3]],,,)</f>
        <v>Major_Non-USMCA_Non-China</v>
      </c>
    </row>
    <row r="13610" spans="1:9" x14ac:dyDescent="0.4">
      <c r="A13610" t="s">
        <v>75</v>
      </c>
      <c r="B13610" s="1">
        <v>45536</v>
      </c>
      <c r="C13610">
        <v>848210</v>
      </c>
      <c r="D13610" t="s">
        <v>176</v>
      </c>
      <c r="E13610">
        <v>138115</v>
      </c>
      <c r="F13610">
        <v>299478</v>
      </c>
      <c r="G13610">
        <v>19898</v>
      </c>
      <c r="H13610">
        <f>_xlfn.XLOOKUP(FACT_IMPORTS[[#This Row],[hts_6]],DIM_PRODUCTS[hts_6],DIM_PRODUCTS[hts_4],,,)</f>
        <v>8482</v>
      </c>
      <c r="I13610" t="str" cm="1">
        <f t="array" ref="I13610">_xlfn.XLOOKUP(FACT_IMPORTS[[#This Row],[country_name]],DIM_COUNTRY[[#All],[Column2]],DIM_COUNTRY[[#All],[Column3]],,,)</f>
        <v>Major_Non-USMCA_Non-China</v>
      </c>
    </row>
    <row r="13611" spans="1:9" x14ac:dyDescent="0.4">
      <c r="A13611" t="s">
        <v>75</v>
      </c>
      <c r="B13611" s="1">
        <v>45536</v>
      </c>
      <c r="C13611">
        <v>848310</v>
      </c>
      <c r="D13611" t="s">
        <v>176</v>
      </c>
      <c r="E13611">
        <v>0</v>
      </c>
      <c r="F13611">
        <v>0</v>
      </c>
      <c r="G13611">
        <v>0</v>
      </c>
      <c r="H13611">
        <f>_xlfn.XLOOKUP(FACT_IMPORTS[[#This Row],[hts_6]],DIM_PRODUCTS[hts_6],DIM_PRODUCTS[hts_4],,,)</f>
        <v>8483</v>
      </c>
      <c r="I13611" t="str" cm="1">
        <f t="array" ref="I13611">_xlfn.XLOOKUP(FACT_IMPORTS[[#This Row],[country_name]],DIM_COUNTRY[[#All],[Column2]],DIM_COUNTRY[[#All],[Column3]],,,)</f>
        <v>Major_Non-USMCA_Non-China</v>
      </c>
    </row>
    <row r="13612" spans="1:9" x14ac:dyDescent="0.4">
      <c r="A13612" t="s">
        <v>75</v>
      </c>
      <c r="B13612" s="1">
        <v>45536</v>
      </c>
      <c r="C13612">
        <v>850131</v>
      </c>
      <c r="D13612" t="s">
        <v>176</v>
      </c>
      <c r="E13612">
        <v>0</v>
      </c>
      <c r="F13612">
        <v>0</v>
      </c>
      <c r="G13612">
        <v>0</v>
      </c>
      <c r="H13612">
        <f>_xlfn.XLOOKUP(FACT_IMPORTS[[#This Row],[hts_6]],DIM_PRODUCTS[hts_6],DIM_PRODUCTS[hts_4],,,)</f>
        <v>8501</v>
      </c>
      <c r="I13612" t="str" cm="1">
        <f t="array" ref="I13612">_xlfn.XLOOKUP(FACT_IMPORTS[[#This Row],[country_name]],DIM_COUNTRY[[#All],[Column2]],DIM_COUNTRY[[#All],[Column3]],,,)</f>
        <v>Major_Non-USMCA_Non-China</v>
      </c>
    </row>
    <row r="13613" spans="1:9" x14ac:dyDescent="0.4">
      <c r="A13613" t="s">
        <v>75</v>
      </c>
      <c r="B13613" s="1">
        <v>45536</v>
      </c>
      <c r="C13613">
        <v>850132</v>
      </c>
      <c r="D13613" t="s">
        <v>176</v>
      </c>
      <c r="E13613">
        <v>0</v>
      </c>
      <c r="F13613">
        <v>0</v>
      </c>
      <c r="G13613">
        <v>0</v>
      </c>
      <c r="H13613">
        <f>_xlfn.XLOOKUP(FACT_IMPORTS[[#This Row],[hts_6]],DIM_PRODUCTS[hts_6],DIM_PRODUCTS[hts_4],,,)</f>
        <v>8501</v>
      </c>
      <c r="I13613" t="str" cm="1">
        <f t="array" ref="I13613">_xlfn.XLOOKUP(FACT_IMPORTS[[#This Row],[country_name]],DIM_COUNTRY[[#All],[Column2]],DIM_COUNTRY[[#All],[Column3]],,,)</f>
        <v>Major_Non-USMCA_Non-China</v>
      </c>
    </row>
    <row r="13614" spans="1:9" x14ac:dyDescent="0.4">
      <c r="A13614" t="s">
        <v>75</v>
      </c>
      <c r="B13614" s="1">
        <v>45536</v>
      </c>
      <c r="C13614">
        <v>850152</v>
      </c>
      <c r="D13614" t="s">
        <v>176</v>
      </c>
      <c r="E13614">
        <v>7300</v>
      </c>
      <c r="F13614">
        <v>3</v>
      </c>
      <c r="G13614">
        <v>22</v>
      </c>
      <c r="H13614">
        <f>_xlfn.XLOOKUP(FACT_IMPORTS[[#This Row],[hts_6]],DIM_PRODUCTS[hts_6],DIM_PRODUCTS[hts_4],,,)</f>
        <v>8501</v>
      </c>
      <c r="I13614" t="str" cm="1">
        <f t="array" ref="I13614">_xlfn.XLOOKUP(FACT_IMPORTS[[#This Row],[country_name]],DIM_COUNTRY[[#All],[Column2]],DIM_COUNTRY[[#All],[Column3]],,,)</f>
        <v>Major_Non-USMCA_Non-China</v>
      </c>
    </row>
    <row r="13615" spans="1:9" x14ac:dyDescent="0.4">
      <c r="A13615" t="s">
        <v>75</v>
      </c>
      <c r="B13615" s="1">
        <v>45536</v>
      </c>
      <c r="C13615">
        <v>850153</v>
      </c>
      <c r="D13615" t="s">
        <v>176</v>
      </c>
      <c r="E13615">
        <v>0</v>
      </c>
      <c r="F13615">
        <v>0</v>
      </c>
      <c r="G13615">
        <v>0</v>
      </c>
      <c r="H13615">
        <f>_xlfn.XLOOKUP(FACT_IMPORTS[[#This Row],[hts_6]],DIM_PRODUCTS[hts_6],DIM_PRODUCTS[hts_4],,,)</f>
        <v>8501</v>
      </c>
      <c r="I13615" t="str" cm="1">
        <f t="array" ref="I13615">_xlfn.XLOOKUP(FACT_IMPORTS[[#This Row],[country_name]],DIM_COUNTRY[[#All],[Column2]],DIM_COUNTRY[[#All],[Column3]],,,)</f>
        <v>Major_Non-USMCA_Non-China</v>
      </c>
    </row>
    <row r="13616" spans="1:9" x14ac:dyDescent="0.4">
      <c r="A13616" t="s">
        <v>75</v>
      </c>
      <c r="B13616" s="1">
        <v>45536</v>
      </c>
      <c r="C13616">
        <v>850161</v>
      </c>
      <c r="D13616" t="s">
        <v>176</v>
      </c>
      <c r="E13616">
        <v>0</v>
      </c>
      <c r="F13616">
        <v>0</v>
      </c>
      <c r="G13616">
        <v>0</v>
      </c>
      <c r="H13616">
        <f>_xlfn.XLOOKUP(FACT_IMPORTS[[#This Row],[hts_6]],DIM_PRODUCTS[hts_6],DIM_PRODUCTS[hts_4],,,)</f>
        <v>8501</v>
      </c>
      <c r="I13616" t="str" cm="1">
        <f t="array" ref="I13616">_xlfn.XLOOKUP(FACT_IMPORTS[[#This Row],[country_name]],DIM_COUNTRY[[#All],[Column2]],DIM_COUNTRY[[#All],[Column3]],,,)</f>
        <v>Major_Non-USMCA_Non-China</v>
      </c>
    </row>
    <row r="13617" spans="1:9" x14ac:dyDescent="0.4">
      <c r="A13617" t="s">
        <v>75</v>
      </c>
      <c r="B13617" s="1">
        <v>45536</v>
      </c>
      <c r="C13617">
        <v>850440</v>
      </c>
      <c r="D13617" t="s">
        <v>176</v>
      </c>
      <c r="E13617">
        <v>394926</v>
      </c>
      <c r="F13617">
        <v>13502</v>
      </c>
      <c r="G13617">
        <v>5773</v>
      </c>
      <c r="H13617">
        <f>_xlfn.XLOOKUP(FACT_IMPORTS[[#This Row],[hts_6]],DIM_PRODUCTS[hts_6],DIM_PRODUCTS[hts_4],,,)</f>
        <v>8504</v>
      </c>
      <c r="I13617" t="str" cm="1">
        <f t="array" ref="I13617">_xlfn.XLOOKUP(FACT_IMPORTS[[#This Row],[country_name]],DIM_COUNTRY[[#All],[Column2]],DIM_COUNTRY[[#All],[Column3]],,,)</f>
        <v>Major_Non-USMCA_Non-China</v>
      </c>
    </row>
    <row r="13618" spans="1:9" x14ac:dyDescent="0.4">
      <c r="A13618" t="s">
        <v>75</v>
      </c>
      <c r="B13618" s="1">
        <v>45536</v>
      </c>
      <c r="C13618">
        <v>850710</v>
      </c>
      <c r="D13618" t="s">
        <v>176</v>
      </c>
      <c r="E13618">
        <v>4676</v>
      </c>
      <c r="F13618">
        <v>270</v>
      </c>
      <c r="G13618">
        <v>400</v>
      </c>
      <c r="H13618">
        <f>_xlfn.XLOOKUP(FACT_IMPORTS[[#This Row],[hts_6]],DIM_PRODUCTS[hts_6],DIM_PRODUCTS[hts_4],,,)</f>
        <v>8507</v>
      </c>
      <c r="I13618" t="str" cm="1">
        <f t="array" ref="I13618">_xlfn.XLOOKUP(FACT_IMPORTS[[#This Row],[country_name]],DIM_COUNTRY[[#All],[Column2]],DIM_COUNTRY[[#All],[Column3]],,,)</f>
        <v>Major_Non-USMCA_Non-China</v>
      </c>
    </row>
    <row r="13619" spans="1:9" x14ac:dyDescent="0.4">
      <c r="A13619" t="s">
        <v>75</v>
      </c>
      <c r="B13619" s="1">
        <v>45536</v>
      </c>
      <c r="C13619">
        <v>850760</v>
      </c>
      <c r="D13619" t="s">
        <v>176</v>
      </c>
      <c r="E13619">
        <v>0</v>
      </c>
      <c r="F13619">
        <v>0</v>
      </c>
      <c r="G13619">
        <v>0</v>
      </c>
      <c r="H13619">
        <f>_xlfn.XLOOKUP(FACT_IMPORTS[[#This Row],[hts_6]],DIM_PRODUCTS[hts_6],DIM_PRODUCTS[hts_4],,,)</f>
        <v>8507</v>
      </c>
      <c r="I13619" t="str" cm="1">
        <f t="array" ref="I13619">_xlfn.XLOOKUP(FACT_IMPORTS[[#This Row],[country_name]],DIM_COUNTRY[[#All],[Column2]],DIM_COUNTRY[[#All],[Column3]],,,)</f>
        <v>Major_Non-USMCA_Non-China</v>
      </c>
    </row>
    <row r="13620" spans="1:9" x14ac:dyDescent="0.4">
      <c r="A13620" t="s">
        <v>75</v>
      </c>
      <c r="B13620" s="1">
        <v>45536</v>
      </c>
      <c r="C13620">
        <v>851120</v>
      </c>
      <c r="D13620" t="s">
        <v>176</v>
      </c>
      <c r="E13620">
        <v>0</v>
      </c>
      <c r="F13620">
        <v>0</v>
      </c>
      <c r="G13620">
        <v>0</v>
      </c>
      <c r="H13620">
        <f>_xlfn.XLOOKUP(FACT_IMPORTS[[#This Row],[hts_6]],DIM_PRODUCTS[hts_6],DIM_PRODUCTS[hts_4],,,)</f>
        <v>8511</v>
      </c>
      <c r="I13620" t="str" cm="1">
        <f t="array" ref="I13620">_xlfn.XLOOKUP(FACT_IMPORTS[[#This Row],[country_name]],DIM_COUNTRY[[#All],[Column2]],DIM_COUNTRY[[#All],[Column3]],,,)</f>
        <v>Major_Non-USMCA_Non-China</v>
      </c>
    </row>
    <row r="13621" spans="1:9" x14ac:dyDescent="0.4">
      <c r="A13621" t="s">
        <v>75</v>
      </c>
      <c r="B13621" s="1">
        <v>45536</v>
      </c>
      <c r="C13621">
        <v>851130</v>
      </c>
      <c r="D13621" t="s">
        <v>176</v>
      </c>
      <c r="E13621">
        <v>4748</v>
      </c>
      <c r="F13621">
        <v>15</v>
      </c>
      <c r="G13621">
        <v>51</v>
      </c>
      <c r="H13621">
        <f>_xlfn.XLOOKUP(FACT_IMPORTS[[#This Row],[hts_6]],DIM_PRODUCTS[hts_6],DIM_PRODUCTS[hts_4],,,)</f>
        <v>8511</v>
      </c>
      <c r="I13621" t="str" cm="1">
        <f t="array" ref="I13621">_xlfn.XLOOKUP(FACT_IMPORTS[[#This Row],[country_name]],DIM_COUNTRY[[#All],[Column2]],DIM_COUNTRY[[#All],[Column3]],,,)</f>
        <v>Major_Non-USMCA_Non-China</v>
      </c>
    </row>
    <row r="13622" spans="1:9" x14ac:dyDescent="0.4">
      <c r="A13622" t="s">
        <v>75</v>
      </c>
      <c r="B13622" s="1">
        <v>45536</v>
      </c>
      <c r="C13622">
        <v>851140</v>
      </c>
      <c r="D13622" t="s">
        <v>176</v>
      </c>
      <c r="E13622">
        <v>2874</v>
      </c>
      <c r="F13622">
        <v>27</v>
      </c>
      <c r="G13622">
        <v>2</v>
      </c>
      <c r="H13622">
        <f>_xlfn.XLOOKUP(FACT_IMPORTS[[#This Row],[hts_6]],DIM_PRODUCTS[hts_6],DIM_PRODUCTS[hts_4],,,)</f>
        <v>8511</v>
      </c>
      <c r="I13622" t="str" cm="1">
        <f t="array" ref="I13622">_xlfn.XLOOKUP(FACT_IMPORTS[[#This Row],[country_name]],DIM_COUNTRY[[#All],[Column2]],DIM_COUNTRY[[#All],[Column3]],,,)</f>
        <v>Major_Non-USMCA_Non-China</v>
      </c>
    </row>
    <row r="13623" spans="1:9" x14ac:dyDescent="0.4">
      <c r="A13623" t="s">
        <v>75</v>
      </c>
      <c r="B13623" s="1">
        <v>45536</v>
      </c>
      <c r="C13623">
        <v>851150</v>
      </c>
      <c r="D13623" t="s">
        <v>176</v>
      </c>
      <c r="E13623">
        <v>2165</v>
      </c>
      <c r="F13623">
        <v>6</v>
      </c>
      <c r="G13623">
        <v>5</v>
      </c>
      <c r="H13623">
        <f>_xlfn.XLOOKUP(FACT_IMPORTS[[#This Row],[hts_6]],DIM_PRODUCTS[hts_6],DIM_PRODUCTS[hts_4],,,)</f>
        <v>8511</v>
      </c>
      <c r="I13623" t="str" cm="1">
        <f t="array" ref="I13623">_xlfn.XLOOKUP(FACT_IMPORTS[[#This Row],[country_name]],DIM_COUNTRY[[#All],[Column2]],DIM_COUNTRY[[#All],[Column3]],,,)</f>
        <v>Major_Non-USMCA_Non-China</v>
      </c>
    </row>
    <row r="13624" spans="1:9" x14ac:dyDescent="0.4">
      <c r="A13624" t="s">
        <v>75</v>
      </c>
      <c r="B13624" s="1">
        <v>45536</v>
      </c>
      <c r="C13624">
        <v>851180</v>
      </c>
      <c r="D13624" t="s">
        <v>176</v>
      </c>
      <c r="E13624">
        <v>0</v>
      </c>
      <c r="F13624">
        <v>0</v>
      </c>
      <c r="G13624">
        <v>0</v>
      </c>
      <c r="H13624">
        <f>_xlfn.XLOOKUP(FACT_IMPORTS[[#This Row],[hts_6]],DIM_PRODUCTS[hts_6],DIM_PRODUCTS[hts_4],,,)</f>
        <v>8511</v>
      </c>
      <c r="I13624" t="str" cm="1">
        <f t="array" ref="I13624">_xlfn.XLOOKUP(FACT_IMPORTS[[#This Row],[country_name]],DIM_COUNTRY[[#All],[Column2]],DIM_COUNTRY[[#All],[Column3]],,,)</f>
        <v>Major_Non-USMCA_Non-China</v>
      </c>
    </row>
    <row r="13625" spans="1:9" x14ac:dyDescent="0.4">
      <c r="A13625" t="s">
        <v>75</v>
      </c>
      <c r="B13625" s="1">
        <v>45536</v>
      </c>
      <c r="C13625">
        <v>851190</v>
      </c>
      <c r="D13625" t="s">
        <v>176</v>
      </c>
      <c r="E13625">
        <v>25308</v>
      </c>
      <c r="F13625">
        <v>785</v>
      </c>
      <c r="G13625">
        <v>600</v>
      </c>
      <c r="H13625">
        <f>_xlfn.XLOOKUP(FACT_IMPORTS[[#This Row],[hts_6]],DIM_PRODUCTS[hts_6],DIM_PRODUCTS[hts_4],,,)</f>
        <v>8511</v>
      </c>
      <c r="I13625" t="str" cm="1">
        <f t="array" ref="I13625">_xlfn.XLOOKUP(FACT_IMPORTS[[#This Row],[country_name]],DIM_COUNTRY[[#All],[Column2]],DIM_COUNTRY[[#All],[Column3]],,,)</f>
        <v>Major_Non-USMCA_Non-China</v>
      </c>
    </row>
    <row r="13626" spans="1:9" x14ac:dyDescent="0.4">
      <c r="A13626" t="s">
        <v>75</v>
      </c>
      <c r="B13626" s="1">
        <v>45536</v>
      </c>
      <c r="C13626">
        <v>851220</v>
      </c>
      <c r="D13626" t="s">
        <v>176</v>
      </c>
      <c r="E13626">
        <v>1912720</v>
      </c>
      <c r="F13626">
        <v>303243</v>
      </c>
      <c r="G13626">
        <v>117082</v>
      </c>
      <c r="H13626">
        <f>_xlfn.XLOOKUP(FACT_IMPORTS[[#This Row],[hts_6]],DIM_PRODUCTS[hts_6],DIM_PRODUCTS[hts_4],,,)</f>
        <v>8512</v>
      </c>
      <c r="I13626" t="str" cm="1">
        <f t="array" ref="I13626">_xlfn.XLOOKUP(FACT_IMPORTS[[#This Row],[country_name]],DIM_COUNTRY[[#All],[Column2]],DIM_COUNTRY[[#All],[Column3]],,,)</f>
        <v>Major_Non-USMCA_Non-China</v>
      </c>
    </row>
    <row r="13627" spans="1:9" x14ac:dyDescent="0.4">
      <c r="A13627" t="s">
        <v>75</v>
      </c>
      <c r="B13627" s="1">
        <v>45536</v>
      </c>
      <c r="C13627">
        <v>851230</v>
      </c>
      <c r="D13627" t="s">
        <v>176</v>
      </c>
      <c r="E13627">
        <v>0</v>
      </c>
      <c r="F13627">
        <v>0</v>
      </c>
      <c r="G13627">
        <v>0</v>
      </c>
      <c r="H13627">
        <f>_xlfn.XLOOKUP(FACT_IMPORTS[[#This Row],[hts_6]],DIM_PRODUCTS[hts_6],DIM_PRODUCTS[hts_4],,,)</f>
        <v>8512</v>
      </c>
      <c r="I13627" t="str" cm="1">
        <f t="array" ref="I13627">_xlfn.XLOOKUP(FACT_IMPORTS[[#This Row],[country_name]],DIM_COUNTRY[[#All],[Column2]],DIM_COUNTRY[[#All],[Column3]],,,)</f>
        <v>Major_Non-USMCA_Non-China</v>
      </c>
    </row>
    <row r="13628" spans="1:9" x14ac:dyDescent="0.4">
      <c r="A13628" t="s">
        <v>75</v>
      </c>
      <c r="B13628" s="1">
        <v>45536</v>
      </c>
      <c r="C13628">
        <v>851290</v>
      </c>
      <c r="D13628" t="s">
        <v>176</v>
      </c>
      <c r="E13628">
        <v>6786423</v>
      </c>
      <c r="F13628">
        <v>105110</v>
      </c>
      <c r="G13628">
        <v>44089</v>
      </c>
      <c r="H13628">
        <f>_xlfn.XLOOKUP(FACT_IMPORTS[[#This Row],[hts_6]],DIM_PRODUCTS[hts_6],DIM_PRODUCTS[hts_4],,,)</f>
        <v>8512</v>
      </c>
      <c r="I13628" t="str" cm="1">
        <f t="array" ref="I13628">_xlfn.XLOOKUP(FACT_IMPORTS[[#This Row],[country_name]],DIM_COUNTRY[[#All],[Column2]],DIM_COUNTRY[[#All],[Column3]],,,)</f>
        <v>Major_Non-USMCA_Non-China</v>
      </c>
    </row>
    <row r="13629" spans="1:9" x14ac:dyDescent="0.4">
      <c r="A13629" t="s">
        <v>75</v>
      </c>
      <c r="B13629" s="1">
        <v>45536</v>
      </c>
      <c r="C13629">
        <v>854231</v>
      </c>
      <c r="D13629" t="s">
        <v>176</v>
      </c>
      <c r="E13629">
        <v>116896</v>
      </c>
      <c r="F13629">
        <v>18085</v>
      </c>
      <c r="G13629">
        <v>853</v>
      </c>
      <c r="H13629">
        <f>_xlfn.XLOOKUP(FACT_IMPORTS[[#This Row],[hts_6]],DIM_PRODUCTS[hts_6],DIM_PRODUCTS[hts_4],,,)</f>
        <v>8542</v>
      </c>
      <c r="I13629" t="str" cm="1">
        <f t="array" ref="I13629">_xlfn.XLOOKUP(FACT_IMPORTS[[#This Row],[country_name]],DIM_COUNTRY[[#All],[Column2]],DIM_COUNTRY[[#All],[Column3]],,,)</f>
        <v>Major_Non-USMCA_Non-China</v>
      </c>
    </row>
    <row r="13630" spans="1:9" x14ac:dyDescent="0.4">
      <c r="A13630" t="s">
        <v>75</v>
      </c>
      <c r="B13630" s="1">
        <v>45536</v>
      </c>
      <c r="C13630">
        <v>854232</v>
      </c>
      <c r="D13630" t="s">
        <v>176</v>
      </c>
      <c r="E13630">
        <v>17899</v>
      </c>
      <c r="F13630">
        <v>84</v>
      </c>
      <c r="G13630">
        <v>17</v>
      </c>
      <c r="H13630">
        <f>_xlfn.XLOOKUP(FACT_IMPORTS[[#This Row],[hts_6]],DIM_PRODUCTS[hts_6],DIM_PRODUCTS[hts_4],,,)</f>
        <v>8542</v>
      </c>
      <c r="I13630" t="str" cm="1">
        <f t="array" ref="I13630">_xlfn.XLOOKUP(FACT_IMPORTS[[#This Row],[country_name]],DIM_COUNTRY[[#All],[Column2]],DIM_COUNTRY[[#All],[Column3]],,,)</f>
        <v>Major_Non-USMCA_Non-China</v>
      </c>
    </row>
    <row r="13631" spans="1:9" x14ac:dyDescent="0.4">
      <c r="A13631" t="s">
        <v>75</v>
      </c>
      <c r="B13631" s="1">
        <v>45536</v>
      </c>
      <c r="C13631">
        <v>854233</v>
      </c>
      <c r="D13631" t="s">
        <v>176</v>
      </c>
      <c r="E13631">
        <v>0</v>
      </c>
      <c r="F13631">
        <v>0</v>
      </c>
      <c r="G13631">
        <v>0</v>
      </c>
      <c r="H13631">
        <f>_xlfn.XLOOKUP(FACT_IMPORTS[[#This Row],[hts_6]],DIM_PRODUCTS[hts_6],DIM_PRODUCTS[hts_4],,,)</f>
        <v>8542</v>
      </c>
      <c r="I13631" t="str" cm="1">
        <f t="array" ref="I13631">_xlfn.XLOOKUP(FACT_IMPORTS[[#This Row],[country_name]],DIM_COUNTRY[[#All],[Column2]],DIM_COUNTRY[[#All],[Column3]],,,)</f>
        <v>Major_Non-USMCA_Non-China</v>
      </c>
    </row>
    <row r="13632" spans="1:9" x14ac:dyDescent="0.4">
      <c r="A13632" t="s">
        <v>75</v>
      </c>
      <c r="B13632" s="1">
        <v>45536</v>
      </c>
      <c r="C13632">
        <v>854239</v>
      </c>
      <c r="D13632" t="s">
        <v>176</v>
      </c>
      <c r="E13632">
        <v>2103499</v>
      </c>
      <c r="F13632">
        <v>184652</v>
      </c>
      <c r="G13632">
        <v>2046</v>
      </c>
      <c r="H13632">
        <f>_xlfn.XLOOKUP(FACT_IMPORTS[[#This Row],[hts_6]],DIM_PRODUCTS[hts_6],DIM_PRODUCTS[hts_4],,,)</f>
        <v>8542</v>
      </c>
      <c r="I13632" t="str" cm="1">
        <f t="array" ref="I13632">_xlfn.XLOOKUP(FACT_IMPORTS[[#This Row],[country_name]],DIM_COUNTRY[[#All],[Column2]],DIM_COUNTRY[[#All],[Column3]],,,)</f>
        <v>Major_Non-USMCA_Non-China</v>
      </c>
    </row>
    <row r="13633" spans="1:9" x14ac:dyDescent="0.4">
      <c r="A13633" t="s">
        <v>75</v>
      </c>
      <c r="B13633" s="1">
        <v>45536</v>
      </c>
      <c r="C13633">
        <v>854290</v>
      </c>
      <c r="D13633" t="s">
        <v>176</v>
      </c>
      <c r="E13633">
        <v>0</v>
      </c>
      <c r="F13633">
        <v>0</v>
      </c>
      <c r="G13633">
        <v>0</v>
      </c>
      <c r="H13633">
        <f>_xlfn.XLOOKUP(FACT_IMPORTS[[#This Row],[hts_6]],DIM_PRODUCTS[hts_6],DIM_PRODUCTS[hts_4],,,)</f>
        <v>8542</v>
      </c>
      <c r="I13633" t="str" cm="1">
        <f t="array" ref="I13633">_xlfn.XLOOKUP(FACT_IMPORTS[[#This Row],[country_name]],DIM_COUNTRY[[#All],[Column2]],DIM_COUNTRY[[#All],[Column3]],,,)</f>
        <v>Major_Non-USMCA_Non-China</v>
      </c>
    </row>
    <row r="13634" spans="1:9" x14ac:dyDescent="0.4">
      <c r="A13634" t="s">
        <v>75</v>
      </c>
      <c r="B13634" s="1">
        <v>45536</v>
      </c>
      <c r="C13634">
        <v>854430</v>
      </c>
      <c r="D13634" t="s">
        <v>176</v>
      </c>
      <c r="E13634">
        <v>0</v>
      </c>
      <c r="F13634">
        <v>0</v>
      </c>
      <c r="G13634">
        <v>0</v>
      </c>
      <c r="H13634">
        <f>_xlfn.XLOOKUP(FACT_IMPORTS[[#This Row],[hts_6]],DIM_PRODUCTS[hts_6],DIM_PRODUCTS[hts_4],,,)</f>
        <v>8544</v>
      </c>
      <c r="I13634" t="str" cm="1">
        <f t="array" ref="I13634">_xlfn.XLOOKUP(FACT_IMPORTS[[#This Row],[country_name]],DIM_COUNTRY[[#All],[Column2]],DIM_COUNTRY[[#All],[Column3]],,,)</f>
        <v>Major_Non-USMCA_Non-China</v>
      </c>
    </row>
    <row r="13635" spans="1:9" x14ac:dyDescent="0.4">
      <c r="A13635" t="s">
        <v>75</v>
      </c>
      <c r="B13635" s="1">
        <v>45536</v>
      </c>
      <c r="C13635">
        <v>870810</v>
      </c>
      <c r="D13635" t="s">
        <v>176</v>
      </c>
      <c r="E13635">
        <v>511718</v>
      </c>
      <c r="F13635">
        <v>9254</v>
      </c>
      <c r="G13635">
        <v>111698</v>
      </c>
      <c r="H13635">
        <f>_xlfn.XLOOKUP(FACT_IMPORTS[[#This Row],[hts_6]],DIM_PRODUCTS[hts_6],DIM_PRODUCTS[hts_4],,,)</f>
        <v>8708</v>
      </c>
      <c r="I13635" t="str" cm="1">
        <f t="array" ref="I13635">_xlfn.XLOOKUP(FACT_IMPORTS[[#This Row],[country_name]],DIM_COUNTRY[[#All],[Column2]],DIM_COUNTRY[[#All],[Column3]],,,)</f>
        <v>Major_Non-USMCA_Non-China</v>
      </c>
    </row>
    <row r="13636" spans="1:9" x14ac:dyDescent="0.4">
      <c r="A13636" t="s">
        <v>75</v>
      </c>
      <c r="B13636" s="1">
        <v>45536</v>
      </c>
      <c r="C13636">
        <v>870829</v>
      </c>
      <c r="D13636" t="s">
        <v>176</v>
      </c>
      <c r="E13636">
        <v>1616358</v>
      </c>
      <c r="F13636">
        <v>135782</v>
      </c>
      <c r="G13636">
        <v>63257</v>
      </c>
      <c r="H13636">
        <f>_xlfn.XLOOKUP(FACT_IMPORTS[[#This Row],[hts_6]],DIM_PRODUCTS[hts_6],DIM_PRODUCTS[hts_4],,,)</f>
        <v>8708</v>
      </c>
      <c r="I13636" t="str" cm="1">
        <f t="array" ref="I13636">_xlfn.XLOOKUP(FACT_IMPORTS[[#This Row],[country_name]],DIM_COUNTRY[[#All],[Column2]],DIM_COUNTRY[[#All],[Column3]],,,)</f>
        <v>Major_Non-USMCA_Non-China</v>
      </c>
    </row>
    <row r="13637" spans="1:9" x14ac:dyDescent="0.4">
      <c r="A13637" t="s">
        <v>75</v>
      </c>
      <c r="B13637" s="1">
        <v>45536</v>
      </c>
      <c r="C13637">
        <v>870830</v>
      </c>
      <c r="D13637" t="s">
        <v>176</v>
      </c>
      <c r="E13637">
        <v>2360</v>
      </c>
      <c r="F13637">
        <v>16</v>
      </c>
      <c r="G13637">
        <v>18</v>
      </c>
      <c r="H13637">
        <f>_xlfn.XLOOKUP(FACT_IMPORTS[[#This Row],[hts_6]],DIM_PRODUCTS[hts_6],DIM_PRODUCTS[hts_4],,,)</f>
        <v>8708</v>
      </c>
      <c r="I13637" t="str" cm="1">
        <f t="array" ref="I13637">_xlfn.XLOOKUP(FACT_IMPORTS[[#This Row],[country_name]],DIM_COUNTRY[[#All],[Column2]],DIM_COUNTRY[[#All],[Column3]],,,)</f>
        <v>Major_Non-USMCA_Non-China</v>
      </c>
    </row>
    <row r="13638" spans="1:9" x14ac:dyDescent="0.4">
      <c r="A13638" t="s">
        <v>75</v>
      </c>
      <c r="B13638" s="1">
        <v>45536</v>
      </c>
      <c r="C13638">
        <v>870840</v>
      </c>
      <c r="D13638" t="s">
        <v>176</v>
      </c>
      <c r="E13638">
        <v>492774</v>
      </c>
      <c r="F13638">
        <v>39440</v>
      </c>
      <c r="G13638">
        <v>12147</v>
      </c>
      <c r="H13638">
        <f>_xlfn.XLOOKUP(FACT_IMPORTS[[#This Row],[hts_6]],DIM_PRODUCTS[hts_6],DIM_PRODUCTS[hts_4],,,)</f>
        <v>8708</v>
      </c>
      <c r="I13638" t="str" cm="1">
        <f t="array" ref="I13638">_xlfn.XLOOKUP(FACT_IMPORTS[[#This Row],[country_name]],DIM_COUNTRY[[#All],[Column2]],DIM_COUNTRY[[#All],[Column3]],,,)</f>
        <v>Major_Non-USMCA_Non-China</v>
      </c>
    </row>
    <row r="13639" spans="1:9" x14ac:dyDescent="0.4">
      <c r="A13639" t="s">
        <v>75</v>
      </c>
      <c r="B13639" s="1">
        <v>45536</v>
      </c>
      <c r="C13639">
        <v>870850</v>
      </c>
      <c r="D13639" t="s">
        <v>176</v>
      </c>
      <c r="E13639">
        <v>588918</v>
      </c>
      <c r="F13639">
        <v>13957</v>
      </c>
      <c r="G13639">
        <v>19666</v>
      </c>
      <c r="H13639">
        <f>_xlfn.XLOOKUP(FACT_IMPORTS[[#This Row],[hts_6]],DIM_PRODUCTS[hts_6],DIM_PRODUCTS[hts_4],,,)</f>
        <v>8708</v>
      </c>
      <c r="I13639" t="str" cm="1">
        <f t="array" ref="I13639">_xlfn.XLOOKUP(FACT_IMPORTS[[#This Row],[country_name]],DIM_COUNTRY[[#All],[Column2]],DIM_COUNTRY[[#All],[Column3]],,,)</f>
        <v>Major_Non-USMCA_Non-China</v>
      </c>
    </row>
    <row r="13640" spans="1:9" x14ac:dyDescent="0.4">
      <c r="A13640" t="s">
        <v>75</v>
      </c>
      <c r="B13640" s="1">
        <v>45536</v>
      </c>
      <c r="C13640">
        <v>870870</v>
      </c>
      <c r="D13640" t="s">
        <v>176</v>
      </c>
      <c r="E13640">
        <v>812528</v>
      </c>
      <c r="F13640">
        <v>3445</v>
      </c>
      <c r="G13640">
        <v>39508</v>
      </c>
      <c r="H13640">
        <f>_xlfn.XLOOKUP(FACT_IMPORTS[[#This Row],[hts_6]],DIM_PRODUCTS[hts_6],DIM_PRODUCTS[hts_4],,,)</f>
        <v>8708</v>
      </c>
      <c r="I13640" t="str" cm="1">
        <f t="array" ref="I13640">_xlfn.XLOOKUP(FACT_IMPORTS[[#This Row],[country_name]],DIM_COUNTRY[[#All],[Column2]],DIM_COUNTRY[[#All],[Column3]],,,)</f>
        <v>Major_Non-USMCA_Non-China</v>
      </c>
    </row>
    <row r="13641" spans="1:9" x14ac:dyDescent="0.4">
      <c r="A13641" t="s">
        <v>75</v>
      </c>
      <c r="B13641" s="1">
        <v>45536</v>
      </c>
      <c r="C13641">
        <v>870880</v>
      </c>
      <c r="D13641" t="s">
        <v>176</v>
      </c>
      <c r="E13641">
        <v>833806</v>
      </c>
      <c r="F13641">
        <v>64874</v>
      </c>
      <c r="G13641">
        <v>33997</v>
      </c>
      <c r="H13641">
        <f>_xlfn.XLOOKUP(FACT_IMPORTS[[#This Row],[hts_6]],DIM_PRODUCTS[hts_6],DIM_PRODUCTS[hts_4],,,)</f>
        <v>8708</v>
      </c>
      <c r="I13641" t="str" cm="1">
        <f t="array" ref="I13641">_xlfn.XLOOKUP(FACT_IMPORTS[[#This Row],[country_name]],DIM_COUNTRY[[#All],[Column2]],DIM_COUNTRY[[#All],[Column3]],,,)</f>
        <v>Major_Non-USMCA_Non-China</v>
      </c>
    </row>
    <row r="13642" spans="1:9" x14ac:dyDescent="0.4">
      <c r="A13642" t="s">
        <v>75</v>
      </c>
      <c r="B13642" s="1">
        <v>45536</v>
      </c>
      <c r="C13642">
        <v>870891</v>
      </c>
      <c r="D13642" t="s">
        <v>176</v>
      </c>
      <c r="E13642">
        <v>130943</v>
      </c>
      <c r="F13642">
        <v>24402</v>
      </c>
      <c r="G13642">
        <v>12194</v>
      </c>
      <c r="H13642">
        <f>_xlfn.XLOOKUP(FACT_IMPORTS[[#This Row],[hts_6]],DIM_PRODUCTS[hts_6],DIM_PRODUCTS[hts_4],,,)</f>
        <v>8708</v>
      </c>
      <c r="I13642" t="str" cm="1">
        <f t="array" ref="I13642">_xlfn.XLOOKUP(FACT_IMPORTS[[#This Row],[country_name]],DIM_COUNTRY[[#All],[Column2]],DIM_COUNTRY[[#All],[Column3]],,,)</f>
        <v>Major_Non-USMCA_Non-China</v>
      </c>
    </row>
    <row r="13643" spans="1:9" x14ac:dyDescent="0.4">
      <c r="A13643" t="s">
        <v>75</v>
      </c>
      <c r="B13643" s="1">
        <v>45536</v>
      </c>
      <c r="C13643">
        <v>870892</v>
      </c>
      <c r="D13643" t="s">
        <v>176</v>
      </c>
      <c r="E13643">
        <v>34888</v>
      </c>
      <c r="F13643">
        <v>2410</v>
      </c>
      <c r="G13643">
        <v>7500</v>
      </c>
      <c r="H13643">
        <f>_xlfn.XLOOKUP(FACT_IMPORTS[[#This Row],[hts_6]],DIM_PRODUCTS[hts_6],DIM_PRODUCTS[hts_4],,,)</f>
        <v>8708</v>
      </c>
      <c r="I13643" t="str" cm="1">
        <f t="array" ref="I13643">_xlfn.XLOOKUP(FACT_IMPORTS[[#This Row],[country_name]],DIM_COUNTRY[[#All],[Column2]],DIM_COUNTRY[[#All],[Column3]],,,)</f>
        <v>Major_Non-USMCA_Non-China</v>
      </c>
    </row>
    <row r="13644" spans="1:9" x14ac:dyDescent="0.4">
      <c r="A13644" t="s">
        <v>75</v>
      </c>
      <c r="B13644" s="1">
        <v>45536</v>
      </c>
      <c r="C13644">
        <v>870893</v>
      </c>
      <c r="D13644" t="s">
        <v>176</v>
      </c>
      <c r="E13644">
        <v>74786</v>
      </c>
      <c r="F13644">
        <v>8703</v>
      </c>
      <c r="G13644">
        <v>8039</v>
      </c>
      <c r="H13644">
        <f>_xlfn.XLOOKUP(FACT_IMPORTS[[#This Row],[hts_6]],DIM_PRODUCTS[hts_6],DIM_PRODUCTS[hts_4],,,)</f>
        <v>8708</v>
      </c>
      <c r="I13644" t="str" cm="1">
        <f t="array" ref="I13644">_xlfn.XLOOKUP(FACT_IMPORTS[[#This Row],[country_name]],DIM_COUNTRY[[#All],[Column2]],DIM_COUNTRY[[#All],[Column3]],,,)</f>
        <v>Major_Non-USMCA_Non-China</v>
      </c>
    </row>
    <row r="13645" spans="1:9" x14ac:dyDescent="0.4">
      <c r="A13645" t="s">
        <v>75</v>
      </c>
      <c r="B13645" s="1">
        <v>45536</v>
      </c>
      <c r="C13645">
        <v>870894</v>
      </c>
      <c r="D13645" t="s">
        <v>176</v>
      </c>
      <c r="E13645">
        <v>92225</v>
      </c>
      <c r="F13645">
        <v>13215</v>
      </c>
      <c r="G13645">
        <v>2599</v>
      </c>
      <c r="H13645">
        <f>_xlfn.XLOOKUP(FACT_IMPORTS[[#This Row],[hts_6]],DIM_PRODUCTS[hts_6],DIM_PRODUCTS[hts_4],,,)</f>
        <v>8708</v>
      </c>
      <c r="I13645" t="str" cm="1">
        <f t="array" ref="I13645">_xlfn.XLOOKUP(FACT_IMPORTS[[#This Row],[country_name]],DIM_COUNTRY[[#All],[Column2]],DIM_COUNTRY[[#All],[Column3]],,,)</f>
        <v>Major_Non-USMCA_Non-China</v>
      </c>
    </row>
    <row r="13646" spans="1:9" x14ac:dyDescent="0.4">
      <c r="A13646" t="s">
        <v>75</v>
      </c>
      <c r="B13646" s="1">
        <v>45536</v>
      </c>
      <c r="C13646">
        <v>870899</v>
      </c>
      <c r="D13646" t="s">
        <v>176</v>
      </c>
      <c r="E13646">
        <v>790998</v>
      </c>
      <c r="F13646">
        <v>1240704</v>
      </c>
      <c r="G13646">
        <v>50134</v>
      </c>
      <c r="H13646">
        <f>_xlfn.XLOOKUP(FACT_IMPORTS[[#This Row],[hts_6]],DIM_PRODUCTS[hts_6],DIM_PRODUCTS[hts_4],,,)</f>
        <v>8708</v>
      </c>
      <c r="I13646" t="str" cm="1">
        <f t="array" ref="I13646">_xlfn.XLOOKUP(FACT_IMPORTS[[#This Row],[country_name]],DIM_COUNTRY[[#All],[Column2]],DIM_COUNTRY[[#All],[Column3]],,,)</f>
        <v>Major_Non-USMCA_Non-China</v>
      </c>
    </row>
    <row r="13647" spans="1:9" x14ac:dyDescent="0.4">
      <c r="A13647" t="s">
        <v>75</v>
      </c>
      <c r="B13647" s="1">
        <v>45566</v>
      </c>
      <c r="C13647">
        <v>392630</v>
      </c>
      <c r="D13647" t="s">
        <v>176</v>
      </c>
      <c r="E13647">
        <v>3940</v>
      </c>
      <c r="F13647">
        <v>471</v>
      </c>
      <c r="G13647">
        <v>434</v>
      </c>
      <c r="H13647">
        <f>_xlfn.XLOOKUP(FACT_IMPORTS[[#This Row],[hts_6]],DIM_PRODUCTS[hts_6],DIM_PRODUCTS[hts_4],,,)</f>
        <v>3926</v>
      </c>
      <c r="I13647" t="str" cm="1">
        <f t="array" ref="I13647">_xlfn.XLOOKUP(FACT_IMPORTS[[#This Row],[country_name]],DIM_COUNTRY[[#All],[Column2]],DIM_COUNTRY[[#All],[Column3]],,,)</f>
        <v>Major_Non-USMCA_Non-China</v>
      </c>
    </row>
    <row r="13648" spans="1:9" x14ac:dyDescent="0.4">
      <c r="A13648" t="s">
        <v>75</v>
      </c>
      <c r="B13648" s="1">
        <v>45566</v>
      </c>
      <c r="C13648">
        <v>401110</v>
      </c>
      <c r="D13648" t="s">
        <v>176</v>
      </c>
      <c r="E13648">
        <v>6708</v>
      </c>
      <c r="F13648">
        <v>103</v>
      </c>
      <c r="G13648">
        <v>223</v>
      </c>
      <c r="H13648">
        <f>_xlfn.XLOOKUP(FACT_IMPORTS[[#This Row],[hts_6]],DIM_PRODUCTS[hts_6],DIM_PRODUCTS[hts_4],,,)</f>
        <v>4011</v>
      </c>
      <c r="I13648" t="str" cm="1">
        <f t="array" ref="I13648">_xlfn.XLOOKUP(FACT_IMPORTS[[#This Row],[country_name]],DIM_COUNTRY[[#All],[Column2]],DIM_COUNTRY[[#All],[Column3]],,,)</f>
        <v>Major_Non-USMCA_Non-China</v>
      </c>
    </row>
    <row r="13649" spans="1:9" x14ac:dyDescent="0.4">
      <c r="A13649" t="s">
        <v>75</v>
      </c>
      <c r="B13649" s="1">
        <v>45566</v>
      </c>
      <c r="C13649">
        <v>401120</v>
      </c>
      <c r="D13649" t="s">
        <v>176</v>
      </c>
      <c r="E13649">
        <v>0</v>
      </c>
      <c r="F13649">
        <v>0</v>
      </c>
      <c r="G13649">
        <v>0</v>
      </c>
      <c r="H13649">
        <f>_xlfn.XLOOKUP(FACT_IMPORTS[[#This Row],[hts_6]],DIM_PRODUCTS[hts_6],DIM_PRODUCTS[hts_4],,,)</f>
        <v>4011</v>
      </c>
      <c r="I13649" t="str" cm="1">
        <f t="array" ref="I13649">_xlfn.XLOOKUP(FACT_IMPORTS[[#This Row],[country_name]],DIM_COUNTRY[[#All],[Column2]],DIM_COUNTRY[[#All],[Column3]],,,)</f>
        <v>Major_Non-USMCA_Non-China</v>
      </c>
    </row>
    <row r="13650" spans="1:9" x14ac:dyDescent="0.4">
      <c r="A13650" t="s">
        <v>75</v>
      </c>
      <c r="B13650" s="1">
        <v>45566</v>
      </c>
      <c r="C13650">
        <v>401140</v>
      </c>
      <c r="D13650" t="s">
        <v>176</v>
      </c>
      <c r="E13650">
        <v>0</v>
      </c>
      <c r="F13650">
        <v>0</v>
      </c>
      <c r="G13650">
        <v>0</v>
      </c>
      <c r="H13650">
        <f>_xlfn.XLOOKUP(FACT_IMPORTS[[#This Row],[hts_6]],DIM_PRODUCTS[hts_6],DIM_PRODUCTS[hts_4],,,)</f>
        <v>4011</v>
      </c>
      <c r="I13650" t="str" cm="1">
        <f t="array" ref="I13650">_xlfn.XLOOKUP(FACT_IMPORTS[[#This Row],[country_name]],DIM_COUNTRY[[#All],[Column2]],DIM_COUNTRY[[#All],[Column3]],,,)</f>
        <v>Major_Non-USMCA_Non-China</v>
      </c>
    </row>
    <row r="13651" spans="1:9" x14ac:dyDescent="0.4">
      <c r="A13651" t="s">
        <v>75</v>
      </c>
      <c r="B13651" s="1">
        <v>45566</v>
      </c>
      <c r="C13651">
        <v>401190</v>
      </c>
      <c r="D13651" t="s">
        <v>176</v>
      </c>
      <c r="E13651">
        <v>12690</v>
      </c>
      <c r="F13651">
        <v>121</v>
      </c>
      <c r="G13651">
        <v>23</v>
      </c>
      <c r="H13651">
        <f>_xlfn.XLOOKUP(FACT_IMPORTS[[#This Row],[hts_6]],DIM_PRODUCTS[hts_6],DIM_PRODUCTS[hts_4],,,)</f>
        <v>4011</v>
      </c>
      <c r="I13651" t="str" cm="1">
        <f t="array" ref="I13651">_xlfn.XLOOKUP(FACT_IMPORTS[[#This Row],[country_name]],DIM_COUNTRY[[#All],[Column2]],DIM_COUNTRY[[#All],[Column3]],,,)</f>
        <v>Major_Non-USMCA_Non-China</v>
      </c>
    </row>
    <row r="13652" spans="1:9" x14ac:dyDescent="0.4">
      <c r="A13652" t="s">
        <v>75</v>
      </c>
      <c r="B13652" s="1">
        <v>45566</v>
      </c>
      <c r="C13652">
        <v>700721</v>
      </c>
      <c r="D13652" t="s">
        <v>176</v>
      </c>
      <c r="E13652">
        <v>0</v>
      </c>
      <c r="F13652">
        <v>0</v>
      </c>
      <c r="G13652">
        <v>0</v>
      </c>
      <c r="H13652">
        <f>_xlfn.XLOOKUP(FACT_IMPORTS[[#This Row],[hts_6]],DIM_PRODUCTS[hts_6],DIM_PRODUCTS[hts_4],,,)</f>
        <v>7007</v>
      </c>
      <c r="I13652" t="str" cm="1">
        <f t="array" ref="I13652">_xlfn.XLOOKUP(FACT_IMPORTS[[#This Row],[country_name]],DIM_COUNTRY[[#All],[Column2]],DIM_COUNTRY[[#All],[Column3]],,,)</f>
        <v>Major_Non-USMCA_Non-China</v>
      </c>
    </row>
    <row r="13653" spans="1:9" x14ac:dyDescent="0.4">
      <c r="A13653" t="s">
        <v>75</v>
      </c>
      <c r="B13653" s="1">
        <v>45566</v>
      </c>
      <c r="C13653">
        <v>700910</v>
      </c>
      <c r="D13653" t="s">
        <v>176</v>
      </c>
      <c r="E13653">
        <v>0</v>
      </c>
      <c r="F13653">
        <v>0</v>
      </c>
      <c r="G13653">
        <v>0</v>
      </c>
      <c r="H13653">
        <f>_xlfn.XLOOKUP(FACT_IMPORTS[[#This Row],[hts_6]],DIM_PRODUCTS[hts_6],DIM_PRODUCTS[hts_4],,,)</f>
        <v>7009</v>
      </c>
      <c r="I13653" t="str" cm="1">
        <f t="array" ref="I13653">_xlfn.XLOOKUP(FACT_IMPORTS[[#This Row],[country_name]],DIM_COUNTRY[[#All],[Column2]],DIM_COUNTRY[[#All],[Column3]],,,)</f>
        <v>Major_Non-USMCA_Non-China</v>
      </c>
    </row>
    <row r="13654" spans="1:9" x14ac:dyDescent="0.4">
      <c r="A13654" t="s">
        <v>75</v>
      </c>
      <c r="B13654" s="1">
        <v>45566</v>
      </c>
      <c r="C13654">
        <v>732010</v>
      </c>
      <c r="D13654" t="s">
        <v>176</v>
      </c>
      <c r="E13654">
        <v>0</v>
      </c>
      <c r="F13654">
        <v>0</v>
      </c>
      <c r="G13654">
        <v>0</v>
      </c>
      <c r="H13654">
        <f>_xlfn.XLOOKUP(FACT_IMPORTS[[#This Row],[hts_6]],DIM_PRODUCTS[hts_6],DIM_PRODUCTS[hts_4],,,)</f>
        <v>7320</v>
      </c>
      <c r="I13654" t="str" cm="1">
        <f t="array" ref="I13654">_xlfn.XLOOKUP(FACT_IMPORTS[[#This Row],[country_name]],DIM_COUNTRY[[#All],[Column2]],DIM_COUNTRY[[#All],[Column3]],,,)</f>
        <v>Major_Non-USMCA_Non-China</v>
      </c>
    </row>
    <row r="13655" spans="1:9" x14ac:dyDescent="0.4">
      <c r="A13655" t="s">
        <v>75</v>
      </c>
      <c r="B13655" s="1">
        <v>45566</v>
      </c>
      <c r="C13655">
        <v>830230</v>
      </c>
      <c r="D13655" t="s">
        <v>176</v>
      </c>
      <c r="E13655">
        <v>147237</v>
      </c>
      <c r="F13655">
        <v>15263</v>
      </c>
      <c r="G13655">
        <v>5224</v>
      </c>
      <c r="H13655">
        <f>_xlfn.XLOOKUP(FACT_IMPORTS[[#This Row],[hts_6]],DIM_PRODUCTS[hts_6],DIM_PRODUCTS[hts_4],,,)</f>
        <v>8302</v>
      </c>
      <c r="I13655" t="str" cm="1">
        <f t="array" ref="I13655">_xlfn.XLOOKUP(FACT_IMPORTS[[#This Row],[country_name]],DIM_COUNTRY[[#All],[Column2]],DIM_COUNTRY[[#All],[Column3]],,,)</f>
        <v>Major_Non-USMCA_Non-China</v>
      </c>
    </row>
    <row r="13656" spans="1:9" x14ac:dyDescent="0.4">
      <c r="A13656" t="s">
        <v>75</v>
      </c>
      <c r="B13656" s="1">
        <v>45566</v>
      </c>
      <c r="C13656">
        <v>840732</v>
      </c>
      <c r="D13656" t="s">
        <v>176</v>
      </c>
      <c r="E13656">
        <v>0</v>
      </c>
      <c r="F13656">
        <v>0</v>
      </c>
      <c r="G13656">
        <v>0</v>
      </c>
      <c r="H13656">
        <f>_xlfn.XLOOKUP(FACT_IMPORTS[[#This Row],[hts_6]],DIM_PRODUCTS[hts_6],DIM_PRODUCTS[hts_4],,,)</f>
        <v>8407</v>
      </c>
      <c r="I13656" t="str" cm="1">
        <f t="array" ref="I13656">_xlfn.XLOOKUP(FACT_IMPORTS[[#This Row],[country_name]],DIM_COUNTRY[[#All],[Column2]],DIM_COUNTRY[[#All],[Column3]],,,)</f>
        <v>Major_Non-USMCA_Non-China</v>
      </c>
    </row>
    <row r="13657" spans="1:9" x14ac:dyDescent="0.4">
      <c r="A13657" t="s">
        <v>75</v>
      </c>
      <c r="B13657" s="1">
        <v>45566</v>
      </c>
      <c r="C13657">
        <v>840733</v>
      </c>
      <c r="D13657" t="s">
        <v>176</v>
      </c>
      <c r="E13657">
        <v>0</v>
      </c>
      <c r="F13657">
        <v>0</v>
      </c>
      <c r="G13657">
        <v>0</v>
      </c>
      <c r="H13657">
        <f>_xlfn.XLOOKUP(FACT_IMPORTS[[#This Row],[hts_6]],DIM_PRODUCTS[hts_6],DIM_PRODUCTS[hts_4],,,)</f>
        <v>8407</v>
      </c>
      <c r="I13657" t="str" cm="1">
        <f t="array" ref="I13657">_xlfn.XLOOKUP(FACT_IMPORTS[[#This Row],[country_name]],DIM_COUNTRY[[#All],[Column2]],DIM_COUNTRY[[#All],[Column3]],,,)</f>
        <v>Major_Non-USMCA_Non-China</v>
      </c>
    </row>
    <row r="13658" spans="1:9" x14ac:dyDescent="0.4">
      <c r="A13658" t="s">
        <v>75</v>
      </c>
      <c r="B13658" s="1">
        <v>45566</v>
      </c>
      <c r="C13658">
        <v>840790</v>
      </c>
      <c r="D13658" t="s">
        <v>176</v>
      </c>
      <c r="E13658">
        <v>0</v>
      </c>
      <c r="F13658">
        <v>0</v>
      </c>
      <c r="G13658">
        <v>0</v>
      </c>
      <c r="H13658">
        <f>_xlfn.XLOOKUP(FACT_IMPORTS[[#This Row],[hts_6]],DIM_PRODUCTS[hts_6],DIM_PRODUCTS[hts_4],,,)</f>
        <v>8407</v>
      </c>
      <c r="I13658" t="str" cm="1">
        <f t="array" ref="I13658">_xlfn.XLOOKUP(FACT_IMPORTS[[#This Row],[country_name]],DIM_COUNTRY[[#All],[Column2]],DIM_COUNTRY[[#All],[Column3]],,,)</f>
        <v>Major_Non-USMCA_Non-China</v>
      </c>
    </row>
    <row r="13659" spans="1:9" x14ac:dyDescent="0.4">
      <c r="A13659" t="s">
        <v>75</v>
      </c>
      <c r="B13659" s="1">
        <v>45566</v>
      </c>
      <c r="C13659">
        <v>840890</v>
      </c>
      <c r="D13659" t="s">
        <v>176</v>
      </c>
      <c r="E13659">
        <v>0</v>
      </c>
      <c r="F13659">
        <v>0</v>
      </c>
      <c r="G13659">
        <v>0</v>
      </c>
      <c r="H13659">
        <f>_xlfn.XLOOKUP(FACT_IMPORTS[[#This Row],[hts_6]],DIM_PRODUCTS[hts_6],DIM_PRODUCTS[hts_4],,,)</f>
        <v>8408</v>
      </c>
      <c r="I13659" t="str" cm="1">
        <f t="array" ref="I13659">_xlfn.XLOOKUP(FACT_IMPORTS[[#This Row],[country_name]],DIM_COUNTRY[[#All],[Column2]],DIM_COUNTRY[[#All],[Column3]],,,)</f>
        <v>Major_Non-USMCA_Non-China</v>
      </c>
    </row>
    <row r="13660" spans="1:9" x14ac:dyDescent="0.4">
      <c r="A13660" t="s">
        <v>75</v>
      </c>
      <c r="B13660" s="1">
        <v>45566</v>
      </c>
      <c r="C13660">
        <v>840991</v>
      </c>
      <c r="D13660" t="s">
        <v>176</v>
      </c>
      <c r="E13660">
        <v>151417</v>
      </c>
      <c r="F13660">
        <v>6270</v>
      </c>
      <c r="G13660">
        <v>3990</v>
      </c>
      <c r="H13660">
        <f>_xlfn.XLOOKUP(FACT_IMPORTS[[#This Row],[hts_6]],DIM_PRODUCTS[hts_6],DIM_PRODUCTS[hts_4],,,)</f>
        <v>8409</v>
      </c>
      <c r="I13660" t="str" cm="1">
        <f t="array" ref="I13660">_xlfn.XLOOKUP(FACT_IMPORTS[[#This Row],[country_name]],DIM_COUNTRY[[#All],[Column2]],DIM_COUNTRY[[#All],[Column3]],,,)</f>
        <v>Major_Non-USMCA_Non-China</v>
      </c>
    </row>
    <row r="13661" spans="1:9" x14ac:dyDescent="0.4">
      <c r="A13661" t="s">
        <v>75</v>
      </c>
      <c r="B13661" s="1">
        <v>45566</v>
      </c>
      <c r="C13661">
        <v>840999</v>
      </c>
      <c r="D13661" t="s">
        <v>176</v>
      </c>
      <c r="E13661">
        <v>0</v>
      </c>
      <c r="F13661">
        <v>0</v>
      </c>
      <c r="G13661">
        <v>0</v>
      </c>
      <c r="H13661">
        <f>_xlfn.XLOOKUP(FACT_IMPORTS[[#This Row],[hts_6]],DIM_PRODUCTS[hts_6],DIM_PRODUCTS[hts_4],,,)</f>
        <v>8409</v>
      </c>
      <c r="I13661" t="str" cm="1">
        <f t="array" ref="I13661">_xlfn.XLOOKUP(FACT_IMPORTS[[#This Row],[country_name]],DIM_COUNTRY[[#All],[Column2]],DIM_COUNTRY[[#All],[Column3]],,,)</f>
        <v>Major_Non-USMCA_Non-China</v>
      </c>
    </row>
    <row r="13662" spans="1:9" x14ac:dyDescent="0.4">
      <c r="A13662" t="s">
        <v>75</v>
      </c>
      <c r="B13662" s="1">
        <v>45566</v>
      </c>
      <c r="C13662">
        <v>841330</v>
      </c>
      <c r="D13662" t="s">
        <v>176</v>
      </c>
      <c r="E13662">
        <v>208671</v>
      </c>
      <c r="F13662">
        <v>6126</v>
      </c>
      <c r="G13662">
        <v>10360</v>
      </c>
      <c r="H13662">
        <f>_xlfn.XLOOKUP(FACT_IMPORTS[[#This Row],[hts_6]],DIM_PRODUCTS[hts_6],DIM_PRODUCTS[hts_4],,,)</f>
        <v>8413</v>
      </c>
      <c r="I13662" t="str" cm="1">
        <f t="array" ref="I13662">_xlfn.XLOOKUP(FACT_IMPORTS[[#This Row],[country_name]],DIM_COUNTRY[[#All],[Column2]],DIM_COUNTRY[[#All],[Column3]],,,)</f>
        <v>Major_Non-USMCA_Non-China</v>
      </c>
    </row>
    <row r="13663" spans="1:9" x14ac:dyDescent="0.4">
      <c r="A13663" t="s">
        <v>75</v>
      </c>
      <c r="B13663" s="1">
        <v>45566</v>
      </c>
      <c r="C13663">
        <v>848210</v>
      </c>
      <c r="D13663" t="s">
        <v>176</v>
      </c>
      <c r="E13663">
        <v>52565</v>
      </c>
      <c r="F13663">
        <v>93286</v>
      </c>
      <c r="G13663">
        <v>6048</v>
      </c>
      <c r="H13663">
        <f>_xlfn.XLOOKUP(FACT_IMPORTS[[#This Row],[hts_6]],DIM_PRODUCTS[hts_6],DIM_PRODUCTS[hts_4],,,)</f>
        <v>8482</v>
      </c>
      <c r="I13663" t="str" cm="1">
        <f t="array" ref="I13663">_xlfn.XLOOKUP(FACT_IMPORTS[[#This Row],[country_name]],DIM_COUNTRY[[#All],[Column2]],DIM_COUNTRY[[#All],[Column3]],,,)</f>
        <v>Major_Non-USMCA_Non-China</v>
      </c>
    </row>
    <row r="13664" spans="1:9" x14ac:dyDescent="0.4">
      <c r="A13664" t="s">
        <v>75</v>
      </c>
      <c r="B13664" s="1">
        <v>45566</v>
      </c>
      <c r="C13664">
        <v>848310</v>
      </c>
      <c r="D13664" t="s">
        <v>176</v>
      </c>
      <c r="E13664">
        <v>16950</v>
      </c>
      <c r="F13664">
        <v>411</v>
      </c>
      <c r="G13664">
        <v>1</v>
      </c>
      <c r="H13664">
        <f>_xlfn.XLOOKUP(FACT_IMPORTS[[#This Row],[hts_6]],DIM_PRODUCTS[hts_6],DIM_PRODUCTS[hts_4],,,)</f>
        <v>8483</v>
      </c>
      <c r="I13664" t="str" cm="1">
        <f t="array" ref="I13664">_xlfn.XLOOKUP(FACT_IMPORTS[[#This Row],[country_name]],DIM_COUNTRY[[#All],[Column2]],DIM_COUNTRY[[#All],[Column3]],,,)</f>
        <v>Major_Non-USMCA_Non-China</v>
      </c>
    </row>
    <row r="13665" spans="1:9" x14ac:dyDescent="0.4">
      <c r="A13665" t="s">
        <v>75</v>
      </c>
      <c r="B13665" s="1">
        <v>45566</v>
      </c>
      <c r="C13665">
        <v>850131</v>
      </c>
      <c r="D13665" t="s">
        <v>176</v>
      </c>
      <c r="E13665">
        <v>0</v>
      </c>
      <c r="F13665">
        <v>0</v>
      </c>
      <c r="G13665">
        <v>0</v>
      </c>
      <c r="H13665">
        <f>_xlfn.XLOOKUP(FACT_IMPORTS[[#This Row],[hts_6]],DIM_PRODUCTS[hts_6],DIM_PRODUCTS[hts_4],,,)</f>
        <v>8501</v>
      </c>
      <c r="I13665" t="str" cm="1">
        <f t="array" ref="I13665">_xlfn.XLOOKUP(FACT_IMPORTS[[#This Row],[country_name]],DIM_COUNTRY[[#All],[Column2]],DIM_COUNTRY[[#All],[Column3]],,,)</f>
        <v>Major_Non-USMCA_Non-China</v>
      </c>
    </row>
    <row r="13666" spans="1:9" x14ac:dyDescent="0.4">
      <c r="A13666" t="s">
        <v>75</v>
      </c>
      <c r="B13666" s="1">
        <v>45566</v>
      </c>
      <c r="C13666">
        <v>850132</v>
      </c>
      <c r="D13666" t="s">
        <v>176</v>
      </c>
      <c r="E13666">
        <v>5975</v>
      </c>
      <c r="F13666">
        <v>1</v>
      </c>
      <c r="G13666">
        <v>200</v>
      </c>
      <c r="H13666">
        <f>_xlfn.XLOOKUP(FACT_IMPORTS[[#This Row],[hts_6]],DIM_PRODUCTS[hts_6],DIM_PRODUCTS[hts_4],,,)</f>
        <v>8501</v>
      </c>
      <c r="I13666" t="str" cm="1">
        <f t="array" ref="I13666">_xlfn.XLOOKUP(FACT_IMPORTS[[#This Row],[country_name]],DIM_COUNTRY[[#All],[Column2]],DIM_COUNTRY[[#All],[Column3]],,,)</f>
        <v>Major_Non-USMCA_Non-China</v>
      </c>
    </row>
    <row r="13667" spans="1:9" x14ac:dyDescent="0.4">
      <c r="A13667" t="s">
        <v>75</v>
      </c>
      <c r="B13667" s="1">
        <v>45566</v>
      </c>
      <c r="C13667">
        <v>850152</v>
      </c>
      <c r="D13667" t="s">
        <v>176</v>
      </c>
      <c r="E13667">
        <v>2136</v>
      </c>
      <c r="F13667">
        <v>3</v>
      </c>
      <c r="G13667">
        <v>1175</v>
      </c>
      <c r="H13667">
        <f>_xlfn.XLOOKUP(FACT_IMPORTS[[#This Row],[hts_6]],DIM_PRODUCTS[hts_6],DIM_PRODUCTS[hts_4],,,)</f>
        <v>8501</v>
      </c>
      <c r="I13667" t="str" cm="1">
        <f t="array" ref="I13667">_xlfn.XLOOKUP(FACT_IMPORTS[[#This Row],[country_name]],DIM_COUNTRY[[#All],[Column2]],DIM_COUNTRY[[#All],[Column3]],,,)</f>
        <v>Major_Non-USMCA_Non-China</v>
      </c>
    </row>
    <row r="13668" spans="1:9" x14ac:dyDescent="0.4">
      <c r="A13668" t="s">
        <v>75</v>
      </c>
      <c r="B13668" s="1">
        <v>45566</v>
      </c>
      <c r="C13668">
        <v>850153</v>
      </c>
      <c r="D13668" t="s">
        <v>176</v>
      </c>
      <c r="E13668">
        <v>0</v>
      </c>
      <c r="F13668">
        <v>0</v>
      </c>
      <c r="G13668">
        <v>0</v>
      </c>
      <c r="H13668">
        <f>_xlfn.XLOOKUP(FACT_IMPORTS[[#This Row],[hts_6]],DIM_PRODUCTS[hts_6],DIM_PRODUCTS[hts_4],,,)</f>
        <v>8501</v>
      </c>
      <c r="I13668" t="str" cm="1">
        <f t="array" ref="I13668">_xlfn.XLOOKUP(FACT_IMPORTS[[#This Row],[country_name]],DIM_COUNTRY[[#All],[Column2]],DIM_COUNTRY[[#All],[Column3]],,,)</f>
        <v>Major_Non-USMCA_Non-China</v>
      </c>
    </row>
    <row r="13669" spans="1:9" x14ac:dyDescent="0.4">
      <c r="A13669" t="s">
        <v>75</v>
      </c>
      <c r="B13669" s="1">
        <v>45566</v>
      </c>
      <c r="C13669">
        <v>850161</v>
      </c>
      <c r="D13669" t="s">
        <v>176</v>
      </c>
      <c r="E13669">
        <v>0</v>
      </c>
      <c r="F13669">
        <v>0</v>
      </c>
      <c r="G13669">
        <v>0</v>
      </c>
      <c r="H13669">
        <f>_xlfn.XLOOKUP(FACT_IMPORTS[[#This Row],[hts_6]],DIM_PRODUCTS[hts_6],DIM_PRODUCTS[hts_4],,,)</f>
        <v>8501</v>
      </c>
      <c r="I13669" t="str" cm="1">
        <f t="array" ref="I13669">_xlfn.XLOOKUP(FACT_IMPORTS[[#This Row],[country_name]],DIM_COUNTRY[[#All],[Column2]],DIM_COUNTRY[[#All],[Column3]],,,)</f>
        <v>Major_Non-USMCA_Non-China</v>
      </c>
    </row>
    <row r="13670" spans="1:9" x14ac:dyDescent="0.4">
      <c r="A13670" t="s">
        <v>75</v>
      </c>
      <c r="B13670" s="1">
        <v>45566</v>
      </c>
      <c r="C13670">
        <v>850440</v>
      </c>
      <c r="D13670" t="s">
        <v>176</v>
      </c>
      <c r="E13670">
        <v>411949</v>
      </c>
      <c r="F13670">
        <v>16194</v>
      </c>
      <c r="G13670">
        <v>20804</v>
      </c>
      <c r="H13670">
        <f>_xlfn.XLOOKUP(FACT_IMPORTS[[#This Row],[hts_6]],DIM_PRODUCTS[hts_6],DIM_PRODUCTS[hts_4],,,)</f>
        <v>8504</v>
      </c>
      <c r="I13670" t="str" cm="1">
        <f t="array" ref="I13670">_xlfn.XLOOKUP(FACT_IMPORTS[[#This Row],[country_name]],DIM_COUNTRY[[#All],[Column2]],DIM_COUNTRY[[#All],[Column3]],,,)</f>
        <v>Major_Non-USMCA_Non-China</v>
      </c>
    </row>
    <row r="13671" spans="1:9" x14ac:dyDescent="0.4">
      <c r="A13671" t="s">
        <v>75</v>
      </c>
      <c r="B13671" s="1">
        <v>45566</v>
      </c>
      <c r="C13671">
        <v>850710</v>
      </c>
      <c r="D13671" t="s">
        <v>176</v>
      </c>
      <c r="E13671">
        <v>0</v>
      </c>
      <c r="F13671">
        <v>0</v>
      </c>
      <c r="G13671">
        <v>0</v>
      </c>
      <c r="H13671">
        <f>_xlfn.XLOOKUP(FACT_IMPORTS[[#This Row],[hts_6]],DIM_PRODUCTS[hts_6],DIM_PRODUCTS[hts_4],,,)</f>
        <v>8507</v>
      </c>
      <c r="I13671" t="str" cm="1">
        <f t="array" ref="I13671">_xlfn.XLOOKUP(FACT_IMPORTS[[#This Row],[country_name]],DIM_COUNTRY[[#All],[Column2]],DIM_COUNTRY[[#All],[Column3]],,,)</f>
        <v>Major_Non-USMCA_Non-China</v>
      </c>
    </row>
    <row r="13672" spans="1:9" x14ac:dyDescent="0.4">
      <c r="A13672" t="s">
        <v>75</v>
      </c>
      <c r="B13672" s="1">
        <v>45566</v>
      </c>
      <c r="C13672">
        <v>850760</v>
      </c>
      <c r="D13672" t="s">
        <v>176</v>
      </c>
      <c r="E13672">
        <v>5403</v>
      </c>
      <c r="F13672">
        <v>143</v>
      </c>
      <c r="G13672">
        <v>18</v>
      </c>
      <c r="H13672">
        <f>_xlfn.XLOOKUP(FACT_IMPORTS[[#This Row],[hts_6]],DIM_PRODUCTS[hts_6],DIM_PRODUCTS[hts_4],,,)</f>
        <v>8507</v>
      </c>
      <c r="I13672" t="str" cm="1">
        <f t="array" ref="I13672">_xlfn.XLOOKUP(FACT_IMPORTS[[#This Row],[country_name]],DIM_COUNTRY[[#All],[Column2]],DIM_COUNTRY[[#All],[Column3]],,,)</f>
        <v>Major_Non-USMCA_Non-China</v>
      </c>
    </row>
    <row r="13673" spans="1:9" x14ac:dyDescent="0.4">
      <c r="A13673" t="s">
        <v>75</v>
      </c>
      <c r="B13673" s="1">
        <v>45566</v>
      </c>
      <c r="C13673">
        <v>851120</v>
      </c>
      <c r="D13673" t="s">
        <v>176</v>
      </c>
      <c r="E13673">
        <v>0</v>
      </c>
      <c r="F13673">
        <v>0</v>
      </c>
      <c r="G13673">
        <v>0</v>
      </c>
      <c r="H13673">
        <f>_xlfn.XLOOKUP(FACT_IMPORTS[[#This Row],[hts_6]],DIM_PRODUCTS[hts_6],DIM_PRODUCTS[hts_4],,,)</f>
        <v>8511</v>
      </c>
      <c r="I13673" t="str" cm="1">
        <f t="array" ref="I13673">_xlfn.XLOOKUP(FACT_IMPORTS[[#This Row],[country_name]],DIM_COUNTRY[[#All],[Column2]],DIM_COUNTRY[[#All],[Column3]],,,)</f>
        <v>Major_Non-USMCA_Non-China</v>
      </c>
    </row>
    <row r="13674" spans="1:9" x14ac:dyDescent="0.4">
      <c r="A13674" t="s">
        <v>75</v>
      </c>
      <c r="B13674" s="1">
        <v>45566</v>
      </c>
      <c r="C13674">
        <v>851130</v>
      </c>
      <c r="D13674" t="s">
        <v>176</v>
      </c>
      <c r="E13674">
        <v>0</v>
      </c>
      <c r="F13674">
        <v>0</v>
      </c>
      <c r="G13674">
        <v>0</v>
      </c>
      <c r="H13674">
        <f>_xlfn.XLOOKUP(FACT_IMPORTS[[#This Row],[hts_6]],DIM_PRODUCTS[hts_6],DIM_PRODUCTS[hts_4],,,)</f>
        <v>8511</v>
      </c>
      <c r="I13674" t="str" cm="1">
        <f t="array" ref="I13674">_xlfn.XLOOKUP(FACT_IMPORTS[[#This Row],[country_name]],DIM_COUNTRY[[#All],[Column2]],DIM_COUNTRY[[#All],[Column3]],,,)</f>
        <v>Major_Non-USMCA_Non-China</v>
      </c>
    </row>
    <row r="13675" spans="1:9" x14ac:dyDescent="0.4">
      <c r="A13675" t="s">
        <v>75</v>
      </c>
      <c r="B13675" s="1">
        <v>45566</v>
      </c>
      <c r="C13675">
        <v>851140</v>
      </c>
      <c r="D13675" t="s">
        <v>176</v>
      </c>
      <c r="E13675">
        <v>7769</v>
      </c>
      <c r="F13675">
        <v>73</v>
      </c>
      <c r="G13675">
        <v>3</v>
      </c>
      <c r="H13675">
        <f>_xlfn.XLOOKUP(FACT_IMPORTS[[#This Row],[hts_6]],DIM_PRODUCTS[hts_6],DIM_PRODUCTS[hts_4],,,)</f>
        <v>8511</v>
      </c>
      <c r="I13675" t="str" cm="1">
        <f t="array" ref="I13675">_xlfn.XLOOKUP(FACT_IMPORTS[[#This Row],[country_name]],DIM_COUNTRY[[#All],[Column2]],DIM_COUNTRY[[#All],[Column3]],,,)</f>
        <v>Major_Non-USMCA_Non-China</v>
      </c>
    </row>
    <row r="13676" spans="1:9" x14ac:dyDescent="0.4">
      <c r="A13676" t="s">
        <v>75</v>
      </c>
      <c r="B13676" s="1">
        <v>45566</v>
      </c>
      <c r="C13676">
        <v>851150</v>
      </c>
      <c r="D13676" t="s">
        <v>176</v>
      </c>
      <c r="E13676">
        <v>7795</v>
      </c>
      <c r="F13676">
        <v>14</v>
      </c>
      <c r="G13676">
        <v>42</v>
      </c>
      <c r="H13676">
        <f>_xlfn.XLOOKUP(FACT_IMPORTS[[#This Row],[hts_6]],DIM_PRODUCTS[hts_6],DIM_PRODUCTS[hts_4],,,)</f>
        <v>8511</v>
      </c>
      <c r="I13676" t="str" cm="1">
        <f t="array" ref="I13676">_xlfn.XLOOKUP(FACT_IMPORTS[[#This Row],[country_name]],DIM_COUNTRY[[#All],[Column2]],DIM_COUNTRY[[#All],[Column3]],,,)</f>
        <v>Major_Non-USMCA_Non-China</v>
      </c>
    </row>
    <row r="13677" spans="1:9" x14ac:dyDescent="0.4">
      <c r="A13677" t="s">
        <v>75</v>
      </c>
      <c r="B13677" s="1">
        <v>45566</v>
      </c>
      <c r="C13677">
        <v>851180</v>
      </c>
      <c r="D13677" t="s">
        <v>176</v>
      </c>
      <c r="E13677">
        <v>2150</v>
      </c>
      <c r="F13677">
        <v>10</v>
      </c>
      <c r="G13677">
        <v>58</v>
      </c>
      <c r="H13677">
        <f>_xlfn.XLOOKUP(FACT_IMPORTS[[#This Row],[hts_6]],DIM_PRODUCTS[hts_6],DIM_PRODUCTS[hts_4],,,)</f>
        <v>8511</v>
      </c>
      <c r="I13677" t="str" cm="1">
        <f t="array" ref="I13677">_xlfn.XLOOKUP(FACT_IMPORTS[[#This Row],[country_name]],DIM_COUNTRY[[#All],[Column2]],DIM_COUNTRY[[#All],[Column3]],,,)</f>
        <v>Major_Non-USMCA_Non-China</v>
      </c>
    </row>
    <row r="13678" spans="1:9" x14ac:dyDescent="0.4">
      <c r="A13678" t="s">
        <v>75</v>
      </c>
      <c r="B13678" s="1">
        <v>45566</v>
      </c>
      <c r="C13678">
        <v>851190</v>
      </c>
      <c r="D13678" t="s">
        <v>176</v>
      </c>
      <c r="E13678">
        <v>0</v>
      </c>
      <c r="F13678">
        <v>0</v>
      </c>
      <c r="G13678">
        <v>0</v>
      </c>
      <c r="H13678">
        <f>_xlfn.XLOOKUP(FACT_IMPORTS[[#This Row],[hts_6]],DIM_PRODUCTS[hts_6],DIM_PRODUCTS[hts_4],,,)</f>
        <v>8511</v>
      </c>
      <c r="I13678" t="str" cm="1">
        <f t="array" ref="I13678">_xlfn.XLOOKUP(FACT_IMPORTS[[#This Row],[country_name]],DIM_COUNTRY[[#All],[Column2]],DIM_COUNTRY[[#All],[Column3]],,,)</f>
        <v>Major_Non-USMCA_Non-China</v>
      </c>
    </row>
    <row r="13679" spans="1:9" x14ac:dyDescent="0.4">
      <c r="A13679" t="s">
        <v>75</v>
      </c>
      <c r="B13679" s="1">
        <v>45566</v>
      </c>
      <c r="C13679">
        <v>851220</v>
      </c>
      <c r="D13679" t="s">
        <v>176</v>
      </c>
      <c r="E13679">
        <v>595390</v>
      </c>
      <c r="F13679">
        <v>73472</v>
      </c>
      <c r="G13679">
        <v>14148</v>
      </c>
      <c r="H13679">
        <f>_xlfn.XLOOKUP(FACT_IMPORTS[[#This Row],[hts_6]],DIM_PRODUCTS[hts_6],DIM_PRODUCTS[hts_4],,,)</f>
        <v>8512</v>
      </c>
      <c r="I13679" t="str" cm="1">
        <f t="array" ref="I13679">_xlfn.XLOOKUP(FACT_IMPORTS[[#This Row],[country_name]],DIM_COUNTRY[[#All],[Column2]],DIM_COUNTRY[[#All],[Column3]],,,)</f>
        <v>Major_Non-USMCA_Non-China</v>
      </c>
    </row>
    <row r="13680" spans="1:9" x14ac:dyDescent="0.4">
      <c r="A13680" t="s">
        <v>75</v>
      </c>
      <c r="B13680" s="1">
        <v>45566</v>
      </c>
      <c r="C13680">
        <v>851230</v>
      </c>
      <c r="D13680" t="s">
        <v>176</v>
      </c>
      <c r="E13680">
        <v>3080</v>
      </c>
      <c r="F13680">
        <v>150</v>
      </c>
      <c r="G13680">
        <v>184</v>
      </c>
      <c r="H13680">
        <f>_xlfn.XLOOKUP(FACT_IMPORTS[[#This Row],[hts_6]],DIM_PRODUCTS[hts_6],DIM_PRODUCTS[hts_4],,,)</f>
        <v>8512</v>
      </c>
      <c r="I13680" t="str" cm="1">
        <f t="array" ref="I13680">_xlfn.XLOOKUP(FACT_IMPORTS[[#This Row],[country_name]],DIM_COUNTRY[[#All],[Column2]],DIM_COUNTRY[[#All],[Column3]],,,)</f>
        <v>Major_Non-USMCA_Non-China</v>
      </c>
    </row>
    <row r="13681" spans="1:9" x14ac:dyDescent="0.4">
      <c r="A13681" t="s">
        <v>75</v>
      </c>
      <c r="B13681" s="1">
        <v>45566</v>
      </c>
      <c r="C13681">
        <v>851290</v>
      </c>
      <c r="D13681" t="s">
        <v>176</v>
      </c>
      <c r="E13681">
        <v>7736493</v>
      </c>
      <c r="F13681">
        <v>119842</v>
      </c>
      <c r="G13681">
        <v>64405</v>
      </c>
      <c r="H13681">
        <f>_xlfn.XLOOKUP(FACT_IMPORTS[[#This Row],[hts_6]],DIM_PRODUCTS[hts_6],DIM_PRODUCTS[hts_4],,,)</f>
        <v>8512</v>
      </c>
      <c r="I13681" t="str" cm="1">
        <f t="array" ref="I13681">_xlfn.XLOOKUP(FACT_IMPORTS[[#This Row],[country_name]],DIM_COUNTRY[[#All],[Column2]],DIM_COUNTRY[[#All],[Column3]],,,)</f>
        <v>Major_Non-USMCA_Non-China</v>
      </c>
    </row>
    <row r="13682" spans="1:9" x14ac:dyDescent="0.4">
      <c r="A13682" t="s">
        <v>75</v>
      </c>
      <c r="B13682" s="1">
        <v>45566</v>
      </c>
      <c r="C13682">
        <v>854231</v>
      </c>
      <c r="D13682" t="s">
        <v>176</v>
      </c>
      <c r="E13682">
        <v>74593</v>
      </c>
      <c r="F13682">
        <v>3375</v>
      </c>
      <c r="G13682">
        <v>2315</v>
      </c>
      <c r="H13682">
        <f>_xlfn.XLOOKUP(FACT_IMPORTS[[#This Row],[hts_6]],DIM_PRODUCTS[hts_6],DIM_PRODUCTS[hts_4],,,)</f>
        <v>8542</v>
      </c>
      <c r="I13682" t="str" cm="1">
        <f t="array" ref="I13682">_xlfn.XLOOKUP(FACT_IMPORTS[[#This Row],[country_name]],DIM_COUNTRY[[#All],[Column2]],DIM_COUNTRY[[#All],[Column3]],,,)</f>
        <v>Major_Non-USMCA_Non-China</v>
      </c>
    </row>
    <row r="13683" spans="1:9" x14ac:dyDescent="0.4">
      <c r="A13683" t="s">
        <v>75</v>
      </c>
      <c r="B13683" s="1">
        <v>45566</v>
      </c>
      <c r="C13683">
        <v>854232</v>
      </c>
      <c r="D13683" t="s">
        <v>176</v>
      </c>
      <c r="E13683">
        <v>18467</v>
      </c>
      <c r="F13683">
        <v>10038</v>
      </c>
      <c r="G13683">
        <v>176</v>
      </c>
      <c r="H13683">
        <f>_xlfn.XLOOKUP(FACT_IMPORTS[[#This Row],[hts_6]],DIM_PRODUCTS[hts_6],DIM_PRODUCTS[hts_4],,,)</f>
        <v>8542</v>
      </c>
      <c r="I13683" t="str" cm="1">
        <f t="array" ref="I13683">_xlfn.XLOOKUP(FACT_IMPORTS[[#This Row],[country_name]],DIM_COUNTRY[[#All],[Column2]],DIM_COUNTRY[[#All],[Column3]],,,)</f>
        <v>Major_Non-USMCA_Non-China</v>
      </c>
    </row>
    <row r="13684" spans="1:9" x14ac:dyDescent="0.4">
      <c r="A13684" t="s">
        <v>75</v>
      </c>
      <c r="B13684" s="1">
        <v>45566</v>
      </c>
      <c r="C13684">
        <v>854233</v>
      </c>
      <c r="D13684" t="s">
        <v>176</v>
      </c>
      <c r="E13684">
        <v>0</v>
      </c>
      <c r="F13684">
        <v>0</v>
      </c>
      <c r="G13684">
        <v>0</v>
      </c>
      <c r="H13684">
        <f>_xlfn.XLOOKUP(FACT_IMPORTS[[#This Row],[hts_6]],DIM_PRODUCTS[hts_6],DIM_PRODUCTS[hts_4],,,)</f>
        <v>8542</v>
      </c>
      <c r="I13684" t="str" cm="1">
        <f t="array" ref="I13684">_xlfn.XLOOKUP(FACT_IMPORTS[[#This Row],[country_name]],DIM_COUNTRY[[#All],[Column2]],DIM_COUNTRY[[#All],[Column3]],,,)</f>
        <v>Major_Non-USMCA_Non-China</v>
      </c>
    </row>
    <row r="13685" spans="1:9" x14ac:dyDescent="0.4">
      <c r="A13685" t="s">
        <v>75</v>
      </c>
      <c r="B13685" s="1">
        <v>45566</v>
      </c>
      <c r="C13685">
        <v>854239</v>
      </c>
      <c r="D13685" t="s">
        <v>176</v>
      </c>
      <c r="E13685">
        <v>1678528</v>
      </c>
      <c r="F13685">
        <v>157149</v>
      </c>
      <c r="G13685">
        <v>15339</v>
      </c>
      <c r="H13685">
        <f>_xlfn.XLOOKUP(FACT_IMPORTS[[#This Row],[hts_6]],DIM_PRODUCTS[hts_6],DIM_PRODUCTS[hts_4],,,)</f>
        <v>8542</v>
      </c>
      <c r="I13685" t="str" cm="1">
        <f t="array" ref="I13685">_xlfn.XLOOKUP(FACT_IMPORTS[[#This Row],[country_name]],DIM_COUNTRY[[#All],[Column2]],DIM_COUNTRY[[#All],[Column3]],,,)</f>
        <v>Major_Non-USMCA_Non-China</v>
      </c>
    </row>
    <row r="13686" spans="1:9" x14ac:dyDescent="0.4">
      <c r="A13686" t="s">
        <v>75</v>
      </c>
      <c r="B13686" s="1">
        <v>45566</v>
      </c>
      <c r="C13686">
        <v>854290</v>
      </c>
      <c r="D13686" t="s">
        <v>176</v>
      </c>
      <c r="E13686">
        <v>0</v>
      </c>
      <c r="F13686">
        <v>0</v>
      </c>
      <c r="G13686">
        <v>0</v>
      </c>
      <c r="H13686">
        <f>_xlfn.XLOOKUP(FACT_IMPORTS[[#This Row],[hts_6]],DIM_PRODUCTS[hts_6],DIM_PRODUCTS[hts_4],,,)</f>
        <v>8542</v>
      </c>
      <c r="I13686" t="str" cm="1">
        <f t="array" ref="I13686">_xlfn.XLOOKUP(FACT_IMPORTS[[#This Row],[country_name]],DIM_COUNTRY[[#All],[Column2]],DIM_COUNTRY[[#All],[Column3]],,,)</f>
        <v>Major_Non-USMCA_Non-China</v>
      </c>
    </row>
    <row r="13687" spans="1:9" x14ac:dyDescent="0.4">
      <c r="A13687" t="s">
        <v>75</v>
      </c>
      <c r="B13687" s="1">
        <v>45566</v>
      </c>
      <c r="C13687">
        <v>854430</v>
      </c>
      <c r="D13687" t="s">
        <v>176</v>
      </c>
      <c r="E13687">
        <v>149360</v>
      </c>
      <c r="F13687">
        <v>6780</v>
      </c>
      <c r="G13687">
        <v>215</v>
      </c>
      <c r="H13687">
        <f>_xlfn.XLOOKUP(FACT_IMPORTS[[#This Row],[hts_6]],DIM_PRODUCTS[hts_6],DIM_PRODUCTS[hts_4],,,)</f>
        <v>8544</v>
      </c>
      <c r="I13687" t="str" cm="1">
        <f t="array" ref="I13687">_xlfn.XLOOKUP(FACT_IMPORTS[[#This Row],[country_name]],DIM_COUNTRY[[#All],[Column2]],DIM_COUNTRY[[#All],[Column3]],,,)</f>
        <v>Major_Non-USMCA_Non-China</v>
      </c>
    </row>
    <row r="13688" spans="1:9" x14ac:dyDescent="0.4">
      <c r="A13688" t="s">
        <v>75</v>
      </c>
      <c r="B13688" s="1">
        <v>45566</v>
      </c>
      <c r="C13688">
        <v>870810</v>
      </c>
      <c r="D13688" t="s">
        <v>176</v>
      </c>
      <c r="E13688">
        <v>419340</v>
      </c>
      <c r="F13688">
        <v>4463</v>
      </c>
      <c r="G13688">
        <v>61475</v>
      </c>
      <c r="H13688">
        <f>_xlfn.XLOOKUP(FACT_IMPORTS[[#This Row],[hts_6]],DIM_PRODUCTS[hts_6],DIM_PRODUCTS[hts_4],,,)</f>
        <v>8708</v>
      </c>
      <c r="I13688" t="str" cm="1">
        <f t="array" ref="I13688">_xlfn.XLOOKUP(FACT_IMPORTS[[#This Row],[country_name]],DIM_COUNTRY[[#All],[Column2]],DIM_COUNTRY[[#All],[Column3]],,,)</f>
        <v>Major_Non-USMCA_Non-China</v>
      </c>
    </row>
    <row r="13689" spans="1:9" x14ac:dyDescent="0.4">
      <c r="A13689" t="s">
        <v>75</v>
      </c>
      <c r="B13689" s="1">
        <v>45566</v>
      </c>
      <c r="C13689">
        <v>870829</v>
      </c>
      <c r="D13689" t="s">
        <v>176</v>
      </c>
      <c r="E13689">
        <v>665913</v>
      </c>
      <c r="F13689">
        <v>74178</v>
      </c>
      <c r="G13689">
        <v>47124</v>
      </c>
      <c r="H13689">
        <f>_xlfn.XLOOKUP(FACT_IMPORTS[[#This Row],[hts_6]],DIM_PRODUCTS[hts_6],DIM_PRODUCTS[hts_4],,,)</f>
        <v>8708</v>
      </c>
      <c r="I13689" t="str" cm="1">
        <f t="array" ref="I13689">_xlfn.XLOOKUP(FACT_IMPORTS[[#This Row],[country_name]],DIM_COUNTRY[[#All],[Column2]],DIM_COUNTRY[[#All],[Column3]],,,)</f>
        <v>Major_Non-USMCA_Non-China</v>
      </c>
    </row>
    <row r="13690" spans="1:9" x14ac:dyDescent="0.4">
      <c r="A13690" t="s">
        <v>75</v>
      </c>
      <c r="B13690" s="1">
        <v>45566</v>
      </c>
      <c r="C13690">
        <v>870830</v>
      </c>
      <c r="D13690" t="s">
        <v>176</v>
      </c>
      <c r="E13690">
        <v>2544</v>
      </c>
      <c r="F13690">
        <v>44</v>
      </c>
      <c r="G13690">
        <v>2</v>
      </c>
      <c r="H13690">
        <f>_xlfn.XLOOKUP(FACT_IMPORTS[[#This Row],[hts_6]],DIM_PRODUCTS[hts_6],DIM_PRODUCTS[hts_4],,,)</f>
        <v>8708</v>
      </c>
      <c r="I13690" t="str" cm="1">
        <f t="array" ref="I13690">_xlfn.XLOOKUP(FACT_IMPORTS[[#This Row],[country_name]],DIM_COUNTRY[[#All],[Column2]],DIM_COUNTRY[[#All],[Column3]],,,)</f>
        <v>Major_Non-USMCA_Non-China</v>
      </c>
    </row>
    <row r="13691" spans="1:9" x14ac:dyDescent="0.4">
      <c r="A13691" t="s">
        <v>75</v>
      </c>
      <c r="B13691" s="1">
        <v>45566</v>
      </c>
      <c r="C13691">
        <v>870840</v>
      </c>
      <c r="D13691" t="s">
        <v>176</v>
      </c>
      <c r="E13691">
        <v>556124</v>
      </c>
      <c r="F13691">
        <v>46186</v>
      </c>
      <c r="G13691">
        <v>15108</v>
      </c>
      <c r="H13691">
        <f>_xlfn.XLOOKUP(FACT_IMPORTS[[#This Row],[hts_6]],DIM_PRODUCTS[hts_6],DIM_PRODUCTS[hts_4],,,)</f>
        <v>8708</v>
      </c>
      <c r="I13691" t="str" cm="1">
        <f t="array" ref="I13691">_xlfn.XLOOKUP(FACT_IMPORTS[[#This Row],[country_name]],DIM_COUNTRY[[#All],[Column2]],DIM_COUNTRY[[#All],[Column3]],,,)</f>
        <v>Major_Non-USMCA_Non-China</v>
      </c>
    </row>
    <row r="13692" spans="1:9" x14ac:dyDescent="0.4">
      <c r="A13692" t="s">
        <v>75</v>
      </c>
      <c r="B13692" s="1">
        <v>45566</v>
      </c>
      <c r="C13692">
        <v>870850</v>
      </c>
      <c r="D13692" t="s">
        <v>176</v>
      </c>
      <c r="E13692">
        <v>618080</v>
      </c>
      <c r="F13692">
        <v>44509</v>
      </c>
      <c r="G13692">
        <v>27512</v>
      </c>
      <c r="H13692">
        <f>_xlfn.XLOOKUP(FACT_IMPORTS[[#This Row],[hts_6]],DIM_PRODUCTS[hts_6],DIM_PRODUCTS[hts_4],,,)</f>
        <v>8708</v>
      </c>
      <c r="I13692" t="str" cm="1">
        <f t="array" ref="I13692">_xlfn.XLOOKUP(FACT_IMPORTS[[#This Row],[country_name]],DIM_COUNTRY[[#All],[Column2]],DIM_COUNTRY[[#All],[Column3]],,,)</f>
        <v>Major_Non-USMCA_Non-China</v>
      </c>
    </row>
    <row r="13693" spans="1:9" x14ac:dyDescent="0.4">
      <c r="A13693" t="s">
        <v>75</v>
      </c>
      <c r="B13693" s="1">
        <v>45566</v>
      </c>
      <c r="C13693">
        <v>870870</v>
      </c>
      <c r="D13693" t="s">
        <v>176</v>
      </c>
      <c r="E13693">
        <v>552625</v>
      </c>
      <c r="F13693">
        <v>1714</v>
      </c>
      <c r="G13693">
        <v>9489</v>
      </c>
      <c r="H13693">
        <f>_xlfn.XLOOKUP(FACT_IMPORTS[[#This Row],[hts_6]],DIM_PRODUCTS[hts_6],DIM_PRODUCTS[hts_4],,,)</f>
        <v>8708</v>
      </c>
      <c r="I13693" t="str" cm="1">
        <f t="array" ref="I13693">_xlfn.XLOOKUP(FACT_IMPORTS[[#This Row],[country_name]],DIM_COUNTRY[[#All],[Column2]],DIM_COUNTRY[[#All],[Column3]],,,)</f>
        <v>Major_Non-USMCA_Non-China</v>
      </c>
    </row>
    <row r="13694" spans="1:9" x14ac:dyDescent="0.4">
      <c r="A13694" t="s">
        <v>75</v>
      </c>
      <c r="B13694" s="1">
        <v>45566</v>
      </c>
      <c r="C13694">
        <v>870880</v>
      </c>
      <c r="D13694" t="s">
        <v>176</v>
      </c>
      <c r="E13694">
        <v>942964</v>
      </c>
      <c r="F13694">
        <v>76007</v>
      </c>
      <c r="G13694">
        <v>42966</v>
      </c>
      <c r="H13694">
        <f>_xlfn.XLOOKUP(FACT_IMPORTS[[#This Row],[hts_6]],DIM_PRODUCTS[hts_6],DIM_PRODUCTS[hts_4],,,)</f>
        <v>8708</v>
      </c>
      <c r="I13694" t="str" cm="1">
        <f t="array" ref="I13694">_xlfn.XLOOKUP(FACT_IMPORTS[[#This Row],[country_name]],DIM_COUNTRY[[#All],[Column2]],DIM_COUNTRY[[#All],[Column3]],,,)</f>
        <v>Major_Non-USMCA_Non-China</v>
      </c>
    </row>
    <row r="13695" spans="1:9" x14ac:dyDescent="0.4">
      <c r="A13695" t="s">
        <v>75</v>
      </c>
      <c r="B13695" s="1">
        <v>45566</v>
      </c>
      <c r="C13695">
        <v>870891</v>
      </c>
      <c r="D13695" t="s">
        <v>176</v>
      </c>
      <c r="E13695">
        <v>31467</v>
      </c>
      <c r="F13695">
        <v>37749</v>
      </c>
      <c r="G13695">
        <v>3817</v>
      </c>
      <c r="H13695">
        <f>_xlfn.XLOOKUP(FACT_IMPORTS[[#This Row],[hts_6]],DIM_PRODUCTS[hts_6],DIM_PRODUCTS[hts_4],,,)</f>
        <v>8708</v>
      </c>
      <c r="I13695" t="str" cm="1">
        <f t="array" ref="I13695">_xlfn.XLOOKUP(FACT_IMPORTS[[#This Row],[country_name]],DIM_COUNTRY[[#All],[Column2]],DIM_COUNTRY[[#All],[Column3]],,,)</f>
        <v>Major_Non-USMCA_Non-China</v>
      </c>
    </row>
    <row r="13696" spans="1:9" x14ac:dyDescent="0.4">
      <c r="A13696" t="s">
        <v>75</v>
      </c>
      <c r="B13696" s="1">
        <v>45566</v>
      </c>
      <c r="C13696">
        <v>870892</v>
      </c>
      <c r="D13696" t="s">
        <v>176</v>
      </c>
      <c r="E13696">
        <v>0</v>
      </c>
      <c r="F13696">
        <v>0</v>
      </c>
      <c r="G13696">
        <v>0</v>
      </c>
      <c r="H13696">
        <f>_xlfn.XLOOKUP(FACT_IMPORTS[[#This Row],[hts_6]],DIM_PRODUCTS[hts_6],DIM_PRODUCTS[hts_4],,,)</f>
        <v>8708</v>
      </c>
      <c r="I13696" t="str" cm="1">
        <f t="array" ref="I13696">_xlfn.XLOOKUP(FACT_IMPORTS[[#This Row],[country_name]],DIM_COUNTRY[[#All],[Column2]],DIM_COUNTRY[[#All],[Column3]],,,)</f>
        <v>Major_Non-USMCA_Non-China</v>
      </c>
    </row>
    <row r="13697" spans="1:9" x14ac:dyDescent="0.4">
      <c r="A13697" t="s">
        <v>75</v>
      </c>
      <c r="B13697" s="1">
        <v>45566</v>
      </c>
      <c r="C13697">
        <v>870893</v>
      </c>
      <c r="D13697" t="s">
        <v>176</v>
      </c>
      <c r="E13697">
        <v>74955</v>
      </c>
      <c r="F13697">
        <v>720</v>
      </c>
      <c r="G13697">
        <v>2031</v>
      </c>
      <c r="H13697">
        <f>_xlfn.XLOOKUP(FACT_IMPORTS[[#This Row],[hts_6]],DIM_PRODUCTS[hts_6],DIM_PRODUCTS[hts_4],,,)</f>
        <v>8708</v>
      </c>
      <c r="I13697" t="str" cm="1">
        <f t="array" ref="I13697">_xlfn.XLOOKUP(FACT_IMPORTS[[#This Row],[country_name]],DIM_COUNTRY[[#All],[Column2]],DIM_COUNTRY[[#All],[Column3]],,,)</f>
        <v>Major_Non-USMCA_Non-China</v>
      </c>
    </row>
    <row r="13698" spans="1:9" x14ac:dyDescent="0.4">
      <c r="A13698" t="s">
        <v>75</v>
      </c>
      <c r="B13698" s="1">
        <v>45566</v>
      </c>
      <c r="C13698">
        <v>870894</v>
      </c>
      <c r="D13698" t="s">
        <v>176</v>
      </c>
      <c r="E13698">
        <v>26133</v>
      </c>
      <c r="F13698">
        <v>3437</v>
      </c>
      <c r="G13698">
        <v>384</v>
      </c>
      <c r="H13698">
        <f>_xlfn.XLOOKUP(FACT_IMPORTS[[#This Row],[hts_6]],DIM_PRODUCTS[hts_6],DIM_PRODUCTS[hts_4],,,)</f>
        <v>8708</v>
      </c>
      <c r="I13698" t="str" cm="1">
        <f t="array" ref="I13698">_xlfn.XLOOKUP(FACT_IMPORTS[[#This Row],[country_name]],DIM_COUNTRY[[#All],[Column2]],DIM_COUNTRY[[#All],[Column3]],,,)</f>
        <v>Major_Non-USMCA_Non-China</v>
      </c>
    </row>
    <row r="13699" spans="1:9" x14ac:dyDescent="0.4">
      <c r="A13699" t="s">
        <v>75</v>
      </c>
      <c r="B13699" s="1">
        <v>45566</v>
      </c>
      <c r="C13699">
        <v>870899</v>
      </c>
      <c r="D13699" t="s">
        <v>176</v>
      </c>
      <c r="E13699">
        <v>818093</v>
      </c>
      <c r="F13699">
        <v>1296180</v>
      </c>
      <c r="G13699">
        <v>40371</v>
      </c>
      <c r="H13699">
        <f>_xlfn.XLOOKUP(FACT_IMPORTS[[#This Row],[hts_6]],DIM_PRODUCTS[hts_6],DIM_PRODUCTS[hts_4],,,)</f>
        <v>8708</v>
      </c>
      <c r="I13699" t="str" cm="1">
        <f t="array" ref="I13699">_xlfn.XLOOKUP(FACT_IMPORTS[[#This Row],[country_name]],DIM_COUNTRY[[#All],[Column2]],DIM_COUNTRY[[#All],[Column3]],,,)</f>
        <v>Major_Non-USMCA_Non-China</v>
      </c>
    </row>
    <row r="13700" spans="1:9" x14ac:dyDescent="0.4">
      <c r="A13700" t="s">
        <v>75</v>
      </c>
      <c r="B13700" s="1">
        <v>45597</v>
      </c>
      <c r="C13700">
        <v>392630</v>
      </c>
      <c r="D13700" t="s">
        <v>176</v>
      </c>
      <c r="E13700">
        <v>1740</v>
      </c>
      <c r="F13700">
        <v>259</v>
      </c>
      <c r="G13700">
        <v>100</v>
      </c>
      <c r="H13700">
        <f>_xlfn.XLOOKUP(FACT_IMPORTS[[#This Row],[hts_6]],DIM_PRODUCTS[hts_6],DIM_PRODUCTS[hts_4],,,)</f>
        <v>3926</v>
      </c>
      <c r="I13700" t="str" cm="1">
        <f t="array" ref="I13700">_xlfn.XLOOKUP(FACT_IMPORTS[[#This Row],[country_name]],DIM_COUNTRY[[#All],[Column2]],DIM_COUNTRY[[#All],[Column3]],,,)</f>
        <v>Major_Non-USMCA_Non-China</v>
      </c>
    </row>
    <row r="13701" spans="1:9" x14ac:dyDescent="0.4">
      <c r="A13701" t="s">
        <v>75</v>
      </c>
      <c r="B13701" s="1">
        <v>45597</v>
      </c>
      <c r="C13701">
        <v>401110</v>
      </c>
      <c r="D13701" t="s">
        <v>176</v>
      </c>
      <c r="E13701">
        <v>7083</v>
      </c>
      <c r="F13701">
        <v>108</v>
      </c>
      <c r="G13701">
        <v>325</v>
      </c>
      <c r="H13701">
        <f>_xlfn.XLOOKUP(FACT_IMPORTS[[#This Row],[hts_6]],DIM_PRODUCTS[hts_6],DIM_PRODUCTS[hts_4],,,)</f>
        <v>4011</v>
      </c>
      <c r="I13701" t="str" cm="1">
        <f t="array" ref="I13701">_xlfn.XLOOKUP(FACT_IMPORTS[[#This Row],[country_name]],DIM_COUNTRY[[#All],[Column2]],DIM_COUNTRY[[#All],[Column3]],,,)</f>
        <v>Major_Non-USMCA_Non-China</v>
      </c>
    </row>
    <row r="13702" spans="1:9" x14ac:dyDescent="0.4">
      <c r="A13702" t="s">
        <v>75</v>
      </c>
      <c r="B13702" s="1">
        <v>45597</v>
      </c>
      <c r="C13702">
        <v>401120</v>
      </c>
      <c r="D13702" t="s">
        <v>176</v>
      </c>
      <c r="E13702">
        <v>0</v>
      </c>
      <c r="F13702">
        <v>0</v>
      </c>
      <c r="G13702">
        <v>0</v>
      </c>
      <c r="H13702">
        <f>_xlfn.XLOOKUP(FACT_IMPORTS[[#This Row],[hts_6]],DIM_PRODUCTS[hts_6],DIM_PRODUCTS[hts_4],,,)</f>
        <v>4011</v>
      </c>
      <c r="I13702" t="str" cm="1">
        <f t="array" ref="I13702">_xlfn.XLOOKUP(FACT_IMPORTS[[#This Row],[country_name]],DIM_COUNTRY[[#All],[Column2]],DIM_COUNTRY[[#All],[Column3]],,,)</f>
        <v>Major_Non-USMCA_Non-China</v>
      </c>
    </row>
    <row r="13703" spans="1:9" x14ac:dyDescent="0.4">
      <c r="A13703" t="s">
        <v>75</v>
      </c>
      <c r="B13703" s="1">
        <v>45597</v>
      </c>
      <c r="C13703">
        <v>401140</v>
      </c>
      <c r="D13703" t="s">
        <v>176</v>
      </c>
      <c r="E13703">
        <v>0</v>
      </c>
      <c r="F13703">
        <v>0</v>
      </c>
      <c r="G13703">
        <v>0</v>
      </c>
      <c r="H13703">
        <f>_xlfn.XLOOKUP(FACT_IMPORTS[[#This Row],[hts_6]],DIM_PRODUCTS[hts_6],DIM_PRODUCTS[hts_4],,,)</f>
        <v>4011</v>
      </c>
      <c r="I13703" t="str" cm="1">
        <f t="array" ref="I13703">_xlfn.XLOOKUP(FACT_IMPORTS[[#This Row],[country_name]],DIM_COUNTRY[[#All],[Column2]],DIM_COUNTRY[[#All],[Column3]],,,)</f>
        <v>Major_Non-USMCA_Non-China</v>
      </c>
    </row>
    <row r="13704" spans="1:9" x14ac:dyDescent="0.4">
      <c r="A13704" t="s">
        <v>75</v>
      </c>
      <c r="B13704" s="1">
        <v>45597</v>
      </c>
      <c r="C13704">
        <v>401190</v>
      </c>
      <c r="D13704" t="s">
        <v>176</v>
      </c>
      <c r="E13704">
        <v>12530</v>
      </c>
      <c r="F13704">
        <v>125</v>
      </c>
      <c r="G13704">
        <v>18</v>
      </c>
      <c r="H13704">
        <f>_xlfn.XLOOKUP(FACT_IMPORTS[[#This Row],[hts_6]],DIM_PRODUCTS[hts_6],DIM_PRODUCTS[hts_4],,,)</f>
        <v>4011</v>
      </c>
      <c r="I13704" t="str" cm="1">
        <f t="array" ref="I13704">_xlfn.XLOOKUP(FACT_IMPORTS[[#This Row],[country_name]],DIM_COUNTRY[[#All],[Column2]],DIM_COUNTRY[[#All],[Column3]],,,)</f>
        <v>Major_Non-USMCA_Non-China</v>
      </c>
    </row>
    <row r="13705" spans="1:9" x14ac:dyDescent="0.4">
      <c r="A13705" t="s">
        <v>75</v>
      </c>
      <c r="B13705" s="1">
        <v>45597</v>
      </c>
      <c r="C13705">
        <v>700721</v>
      </c>
      <c r="D13705" t="s">
        <v>176</v>
      </c>
      <c r="E13705">
        <v>0</v>
      </c>
      <c r="F13705">
        <v>0</v>
      </c>
      <c r="G13705">
        <v>0</v>
      </c>
      <c r="H13705">
        <f>_xlfn.XLOOKUP(FACT_IMPORTS[[#This Row],[hts_6]],DIM_PRODUCTS[hts_6],DIM_PRODUCTS[hts_4],,,)</f>
        <v>7007</v>
      </c>
      <c r="I13705" t="str" cm="1">
        <f t="array" ref="I13705">_xlfn.XLOOKUP(FACT_IMPORTS[[#This Row],[country_name]],DIM_COUNTRY[[#All],[Column2]],DIM_COUNTRY[[#All],[Column3]],,,)</f>
        <v>Major_Non-USMCA_Non-China</v>
      </c>
    </row>
    <row r="13706" spans="1:9" x14ac:dyDescent="0.4">
      <c r="A13706" t="s">
        <v>75</v>
      </c>
      <c r="B13706" s="1">
        <v>45597</v>
      </c>
      <c r="C13706">
        <v>700910</v>
      </c>
      <c r="D13706" t="s">
        <v>176</v>
      </c>
      <c r="E13706">
        <v>160878</v>
      </c>
      <c r="F13706">
        <v>28522</v>
      </c>
      <c r="G13706">
        <v>13685</v>
      </c>
      <c r="H13706">
        <f>_xlfn.XLOOKUP(FACT_IMPORTS[[#This Row],[hts_6]],DIM_PRODUCTS[hts_6],DIM_PRODUCTS[hts_4],,,)</f>
        <v>7009</v>
      </c>
      <c r="I13706" t="str" cm="1">
        <f t="array" ref="I13706">_xlfn.XLOOKUP(FACT_IMPORTS[[#This Row],[country_name]],DIM_COUNTRY[[#All],[Column2]],DIM_COUNTRY[[#All],[Column3]],,,)</f>
        <v>Major_Non-USMCA_Non-China</v>
      </c>
    </row>
    <row r="13707" spans="1:9" x14ac:dyDescent="0.4">
      <c r="A13707" t="s">
        <v>75</v>
      </c>
      <c r="B13707" s="1">
        <v>45597</v>
      </c>
      <c r="C13707">
        <v>732010</v>
      </c>
      <c r="D13707" t="s">
        <v>176</v>
      </c>
      <c r="E13707">
        <v>0</v>
      </c>
      <c r="F13707">
        <v>0</v>
      </c>
      <c r="G13707">
        <v>0</v>
      </c>
      <c r="H13707">
        <f>_xlfn.XLOOKUP(FACT_IMPORTS[[#This Row],[hts_6]],DIM_PRODUCTS[hts_6],DIM_PRODUCTS[hts_4],,,)</f>
        <v>7320</v>
      </c>
      <c r="I13707" t="str" cm="1">
        <f t="array" ref="I13707">_xlfn.XLOOKUP(FACT_IMPORTS[[#This Row],[country_name]],DIM_COUNTRY[[#All],[Column2]],DIM_COUNTRY[[#All],[Column3]],,,)</f>
        <v>Major_Non-USMCA_Non-China</v>
      </c>
    </row>
    <row r="13708" spans="1:9" x14ac:dyDescent="0.4">
      <c r="A13708" t="s">
        <v>75</v>
      </c>
      <c r="B13708" s="1">
        <v>45597</v>
      </c>
      <c r="C13708">
        <v>830230</v>
      </c>
      <c r="D13708" t="s">
        <v>176</v>
      </c>
      <c r="E13708">
        <v>163116</v>
      </c>
      <c r="F13708">
        <v>14622</v>
      </c>
      <c r="G13708">
        <v>8524</v>
      </c>
      <c r="H13708">
        <f>_xlfn.XLOOKUP(FACT_IMPORTS[[#This Row],[hts_6]],DIM_PRODUCTS[hts_6],DIM_PRODUCTS[hts_4],,,)</f>
        <v>8302</v>
      </c>
      <c r="I13708" t="str" cm="1">
        <f t="array" ref="I13708">_xlfn.XLOOKUP(FACT_IMPORTS[[#This Row],[country_name]],DIM_COUNTRY[[#All],[Column2]],DIM_COUNTRY[[#All],[Column3]],,,)</f>
        <v>Major_Non-USMCA_Non-China</v>
      </c>
    </row>
    <row r="13709" spans="1:9" x14ac:dyDescent="0.4">
      <c r="A13709" t="s">
        <v>75</v>
      </c>
      <c r="B13709" s="1">
        <v>45597</v>
      </c>
      <c r="C13709">
        <v>840732</v>
      </c>
      <c r="D13709" t="s">
        <v>176</v>
      </c>
      <c r="E13709">
        <v>0</v>
      </c>
      <c r="F13709">
        <v>0</v>
      </c>
      <c r="G13709">
        <v>0</v>
      </c>
      <c r="H13709">
        <f>_xlfn.XLOOKUP(FACT_IMPORTS[[#This Row],[hts_6]],DIM_PRODUCTS[hts_6],DIM_PRODUCTS[hts_4],,,)</f>
        <v>8407</v>
      </c>
      <c r="I13709" t="str" cm="1">
        <f t="array" ref="I13709">_xlfn.XLOOKUP(FACT_IMPORTS[[#This Row],[country_name]],DIM_COUNTRY[[#All],[Column2]],DIM_COUNTRY[[#All],[Column3]],,,)</f>
        <v>Major_Non-USMCA_Non-China</v>
      </c>
    </row>
    <row r="13710" spans="1:9" x14ac:dyDescent="0.4">
      <c r="A13710" t="s">
        <v>75</v>
      </c>
      <c r="B13710" s="1">
        <v>45597</v>
      </c>
      <c r="C13710">
        <v>840733</v>
      </c>
      <c r="D13710" t="s">
        <v>176</v>
      </c>
      <c r="E13710">
        <v>0</v>
      </c>
      <c r="F13710">
        <v>0</v>
      </c>
      <c r="G13710">
        <v>0</v>
      </c>
      <c r="H13710">
        <f>_xlfn.XLOOKUP(FACT_IMPORTS[[#This Row],[hts_6]],DIM_PRODUCTS[hts_6],DIM_PRODUCTS[hts_4],,,)</f>
        <v>8407</v>
      </c>
      <c r="I13710" t="str" cm="1">
        <f t="array" ref="I13710">_xlfn.XLOOKUP(FACT_IMPORTS[[#This Row],[country_name]],DIM_COUNTRY[[#All],[Column2]],DIM_COUNTRY[[#All],[Column3]],,,)</f>
        <v>Major_Non-USMCA_Non-China</v>
      </c>
    </row>
    <row r="13711" spans="1:9" x14ac:dyDescent="0.4">
      <c r="A13711" t="s">
        <v>75</v>
      </c>
      <c r="B13711" s="1">
        <v>45597</v>
      </c>
      <c r="C13711">
        <v>840790</v>
      </c>
      <c r="D13711" t="s">
        <v>176</v>
      </c>
      <c r="E13711">
        <v>3605</v>
      </c>
      <c r="F13711">
        <v>2</v>
      </c>
      <c r="G13711">
        <v>21</v>
      </c>
      <c r="H13711">
        <f>_xlfn.XLOOKUP(FACT_IMPORTS[[#This Row],[hts_6]],DIM_PRODUCTS[hts_6],DIM_PRODUCTS[hts_4],,,)</f>
        <v>8407</v>
      </c>
      <c r="I13711" t="str" cm="1">
        <f t="array" ref="I13711">_xlfn.XLOOKUP(FACT_IMPORTS[[#This Row],[country_name]],DIM_COUNTRY[[#All],[Column2]],DIM_COUNTRY[[#All],[Column3]],,,)</f>
        <v>Major_Non-USMCA_Non-China</v>
      </c>
    </row>
    <row r="13712" spans="1:9" x14ac:dyDescent="0.4">
      <c r="A13712" t="s">
        <v>75</v>
      </c>
      <c r="B13712" s="1">
        <v>45597</v>
      </c>
      <c r="C13712">
        <v>840890</v>
      </c>
      <c r="D13712" t="s">
        <v>176</v>
      </c>
      <c r="E13712">
        <v>0</v>
      </c>
      <c r="F13712">
        <v>0</v>
      </c>
      <c r="G13712">
        <v>0</v>
      </c>
      <c r="H13712">
        <f>_xlfn.XLOOKUP(FACT_IMPORTS[[#This Row],[hts_6]],DIM_PRODUCTS[hts_6],DIM_PRODUCTS[hts_4],,,)</f>
        <v>8408</v>
      </c>
      <c r="I13712" t="str" cm="1">
        <f t="array" ref="I13712">_xlfn.XLOOKUP(FACT_IMPORTS[[#This Row],[country_name]],DIM_COUNTRY[[#All],[Column2]],DIM_COUNTRY[[#All],[Column3]],,,)</f>
        <v>Major_Non-USMCA_Non-China</v>
      </c>
    </row>
    <row r="13713" spans="1:9" x14ac:dyDescent="0.4">
      <c r="A13713" t="s">
        <v>75</v>
      </c>
      <c r="B13713" s="1">
        <v>45597</v>
      </c>
      <c r="C13713">
        <v>840991</v>
      </c>
      <c r="D13713" t="s">
        <v>176</v>
      </c>
      <c r="E13713">
        <v>155224</v>
      </c>
      <c r="F13713">
        <v>9483</v>
      </c>
      <c r="G13713">
        <v>4377</v>
      </c>
      <c r="H13713">
        <f>_xlfn.XLOOKUP(FACT_IMPORTS[[#This Row],[hts_6]],DIM_PRODUCTS[hts_6],DIM_PRODUCTS[hts_4],,,)</f>
        <v>8409</v>
      </c>
      <c r="I13713" t="str" cm="1">
        <f t="array" ref="I13713">_xlfn.XLOOKUP(FACT_IMPORTS[[#This Row],[country_name]],DIM_COUNTRY[[#All],[Column2]],DIM_COUNTRY[[#All],[Column3]],,,)</f>
        <v>Major_Non-USMCA_Non-China</v>
      </c>
    </row>
    <row r="13714" spans="1:9" x14ac:dyDescent="0.4">
      <c r="A13714" t="s">
        <v>75</v>
      </c>
      <c r="B13714" s="1">
        <v>45597</v>
      </c>
      <c r="C13714">
        <v>840999</v>
      </c>
      <c r="D13714" t="s">
        <v>176</v>
      </c>
      <c r="E13714">
        <v>3267</v>
      </c>
      <c r="F13714">
        <v>492</v>
      </c>
      <c r="G13714">
        <v>2000</v>
      </c>
      <c r="H13714">
        <f>_xlfn.XLOOKUP(FACT_IMPORTS[[#This Row],[hts_6]],DIM_PRODUCTS[hts_6],DIM_PRODUCTS[hts_4],,,)</f>
        <v>8409</v>
      </c>
      <c r="I13714" t="str" cm="1">
        <f t="array" ref="I13714">_xlfn.XLOOKUP(FACT_IMPORTS[[#This Row],[country_name]],DIM_COUNTRY[[#All],[Column2]],DIM_COUNTRY[[#All],[Column3]],,,)</f>
        <v>Major_Non-USMCA_Non-China</v>
      </c>
    </row>
    <row r="13715" spans="1:9" x14ac:dyDescent="0.4">
      <c r="A13715" t="s">
        <v>75</v>
      </c>
      <c r="B13715" s="1">
        <v>45597</v>
      </c>
      <c r="C13715">
        <v>841330</v>
      </c>
      <c r="D13715" t="s">
        <v>176</v>
      </c>
      <c r="E13715">
        <v>215070</v>
      </c>
      <c r="F13715">
        <v>4281</v>
      </c>
      <c r="G13715">
        <v>21345</v>
      </c>
      <c r="H13715">
        <f>_xlfn.XLOOKUP(FACT_IMPORTS[[#This Row],[hts_6]],DIM_PRODUCTS[hts_6],DIM_PRODUCTS[hts_4],,,)</f>
        <v>8413</v>
      </c>
      <c r="I13715" t="str" cm="1">
        <f t="array" ref="I13715">_xlfn.XLOOKUP(FACT_IMPORTS[[#This Row],[country_name]],DIM_COUNTRY[[#All],[Column2]],DIM_COUNTRY[[#All],[Column3]],,,)</f>
        <v>Major_Non-USMCA_Non-China</v>
      </c>
    </row>
    <row r="13716" spans="1:9" x14ac:dyDescent="0.4">
      <c r="A13716" t="s">
        <v>75</v>
      </c>
      <c r="B13716" s="1">
        <v>45597</v>
      </c>
      <c r="C13716">
        <v>848210</v>
      </c>
      <c r="D13716" t="s">
        <v>176</v>
      </c>
      <c r="E13716">
        <v>71510</v>
      </c>
      <c r="F13716">
        <v>170264</v>
      </c>
      <c r="G13716">
        <v>9865</v>
      </c>
      <c r="H13716">
        <f>_xlfn.XLOOKUP(FACT_IMPORTS[[#This Row],[hts_6]],DIM_PRODUCTS[hts_6],DIM_PRODUCTS[hts_4],,,)</f>
        <v>8482</v>
      </c>
      <c r="I13716" t="str" cm="1">
        <f t="array" ref="I13716">_xlfn.XLOOKUP(FACT_IMPORTS[[#This Row],[country_name]],DIM_COUNTRY[[#All],[Column2]],DIM_COUNTRY[[#All],[Column3]],,,)</f>
        <v>Major_Non-USMCA_Non-China</v>
      </c>
    </row>
    <row r="13717" spans="1:9" x14ac:dyDescent="0.4">
      <c r="A13717" t="s">
        <v>75</v>
      </c>
      <c r="B13717" s="1">
        <v>45597</v>
      </c>
      <c r="C13717">
        <v>848310</v>
      </c>
      <c r="D13717" t="s">
        <v>176</v>
      </c>
      <c r="E13717">
        <v>0</v>
      </c>
      <c r="F13717">
        <v>0</v>
      </c>
      <c r="G13717">
        <v>0</v>
      </c>
      <c r="H13717">
        <f>_xlfn.XLOOKUP(FACT_IMPORTS[[#This Row],[hts_6]],DIM_PRODUCTS[hts_6],DIM_PRODUCTS[hts_4],,,)</f>
        <v>8483</v>
      </c>
      <c r="I13717" t="str" cm="1">
        <f t="array" ref="I13717">_xlfn.XLOOKUP(FACT_IMPORTS[[#This Row],[country_name]],DIM_COUNTRY[[#All],[Column2]],DIM_COUNTRY[[#All],[Column3]],,,)</f>
        <v>Major_Non-USMCA_Non-China</v>
      </c>
    </row>
    <row r="13718" spans="1:9" x14ac:dyDescent="0.4">
      <c r="A13718" t="s">
        <v>75</v>
      </c>
      <c r="B13718" s="1">
        <v>45597</v>
      </c>
      <c r="C13718">
        <v>850131</v>
      </c>
      <c r="D13718" t="s">
        <v>176</v>
      </c>
      <c r="E13718">
        <v>0</v>
      </c>
      <c r="F13718">
        <v>0</v>
      </c>
      <c r="G13718">
        <v>0</v>
      </c>
      <c r="H13718">
        <f>_xlfn.XLOOKUP(FACT_IMPORTS[[#This Row],[hts_6]],DIM_PRODUCTS[hts_6],DIM_PRODUCTS[hts_4],,,)</f>
        <v>8501</v>
      </c>
      <c r="I13718" t="str" cm="1">
        <f t="array" ref="I13718">_xlfn.XLOOKUP(FACT_IMPORTS[[#This Row],[country_name]],DIM_COUNTRY[[#All],[Column2]],DIM_COUNTRY[[#All],[Column3]],,,)</f>
        <v>Major_Non-USMCA_Non-China</v>
      </c>
    </row>
    <row r="13719" spans="1:9" x14ac:dyDescent="0.4">
      <c r="A13719" t="s">
        <v>75</v>
      </c>
      <c r="B13719" s="1">
        <v>45597</v>
      </c>
      <c r="C13719">
        <v>850132</v>
      </c>
      <c r="D13719" t="s">
        <v>176</v>
      </c>
      <c r="E13719">
        <v>0</v>
      </c>
      <c r="F13719">
        <v>0</v>
      </c>
      <c r="G13719">
        <v>0</v>
      </c>
      <c r="H13719">
        <f>_xlfn.XLOOKUP(FACT_IMPORTS[[#This Row],[hts_6]],DIM_PRODUCTS[hts_6],DIM_PRODUCTS[hts_4],,,)</f>
        <v>8501</v>
      </c>
      <c r="I13719" t="str" cm="1">
        <f t="array" ref="I13719">_xlfn.XLOOKUP(FACT_IMPORTS[[#This Row],[country_name]],DIM_COUNTRY[[#All],[Column2]],DIM_COUNTRY[[#All],[Column3]],,,)</f>
        <v>Major_Non-USMCA_Non-China</v>
      </c>
    </row>
    <row r="13720" spans="1:9" x14ac:dyDescent="0.4">
      <c r="A13720" t="s">
        <v>75</v>
      </c>
      <c r="B13720" s="1">
        <v>45597</v>
      </c>
      <c r="C13720">
        <v>850152</v>
      </c>
      <c r="D13720" t="s">
        <v>176</v>
      </c>
      <c r="E13720">
        <v>0</v>
      </c>
      <c r="F13720">
        <v>0</v>
      </c>
      <c r="G13720">
        <v>0</v>
      </c>
      <c r="H13720">
        <f>_xlfn.XLOOKUP(FACT_IMPORTS[[#This Row],[hts_6]],DIM_PRODUCTS[hts_6],DIM_PRODUCTS[hts_4],,,)</f>
        <v>8501</v>
      </c>
      <c r="I13720" t="str" cm="1">
        <f t="array" ref="I13720">_xlfn.XLOOKUP(FACT_IMPORTS[[#This Row],[country_name]],DIM_COUNTRY[[#All],[Column2]],DIM_COUNTRY[[#All],[Column3]],,,)</f>
        <v>Major_Non-USMCA_Non-China</v>
      </c>
    </row>
    <row r="13721" spans="1:9" x14ac:dyDescent="0.4">
      <c r="A13721" t="s">
        <v>75</v>
      </c>
      <c r="B13721" s="1">
        <v>45597</v>
      </c>
      <c r="C13721">
        <v>850153</v>
      </c>
      <c r="D13721" t="s">
        <v>176</v>
      </c>
      <c r="E13721">
        <v>0</v>
      </c>
      <c r="F13721">
        <v>0</v>
      </c>
      <c r="G13721">
        <v>0</v>
      </c>
      <c r="H13721">
        <f>_xlfn.XLOOKUP(FACT_IMPORTS[[#This Row],[hts_6]],DIM_PRODUCTS[hts_6],DIM_PRODUCTS[hts_4],,,)</f>
        <v>8501</v>
      </c>
      <c r="I13721" t="str" cm="1">
        <f t="array" ref="I13721">_xlfn.XLOOKUP(FACT_IMPORTS[[#This Row],[country_name]],DIM_COUNTRY[[#All],[Column2]],DIM_COUNTRY[[#All],[Column3]],,,)</f>
        <v>Major_Non-USMCA_Non-China</v>
      </c>
    </row>
    <row r="13722" spans="1:9" x14ac:dyDescent="0.4">
      <c r="A13722" t="s">
        <v>75</v>
      </c>
      <c r="B13722" s="1">
        <v>45597</v>
      </c>
      <c r="C13722">
        <v>850161</v>
      </c>
      <c r="D13722" t="s">
        <v>176</v>
      </c>
      <c r="E13722">
        <v>0</v>
      </c>
      <c r="F13722">
        <v>0</v>
      </c>
      <c r="G13722">
        <v>0</v>
      </c>
      <c r="H13722">
        <f>_xlfn.XLOOKUP(FACT_IMPORTS[[#This Row],[hts_6]],DIM_PRODUCTS[hts_6],DIM_PRODUCTS[hts_4],,,)</f>
        <v>8501</v>
      </c>
      <c r="I13722" t="str" cm="1">
        <f t="array" ref="I13722">_xlfn.XLOOKUP(FACT_IMPORTS[[#This Row],[country_name]],DIM_COUNTRY[[#All],[Column2]],DIM_COUNTRY[[#All],[Column3]],,,)</f>
        <v>Major_Non-USMCA_Non-China</v>
      </c>
    </row>
    <row r="13723" spans="1:9" x14ac:dyDescent="0.4">
      <c r="A13723" t="s">
        <v>75</v>
      </c>
      <c r="B13723" s="1">
        <v>45597</v>
      </c>
      <c r="C13723">
        <v>850440</v>
      </c>
      <c r="D13723" t="s">
        <v>176</v>
      </c>
      <c r="E13723">
        <v>618738</v>
      </c>
      <c r="F13723">
        <v>4004</v>
      </c>
      <c r="G13723">
        <v>1484</v>
      </c>
      <c r="H13723">
        <f>_xlfn.XLOOKUP(FACT_IMPORTS[[#This Row],[hts_6]],DIM_PRODUCTS[hts_6],DIM_PRODUCTS[hts_4],,,)</f>
        <v>8504</v>
      </c>
      <c r="I13723" t="str" cm="1">
        <f t="array" ref="I13723">_xlfn.XLOOKUP(FACT_IMPORTS[[#This Row],[country_name]],DIM_COUNTRY[[#All],[Column2]],DIM_COUNTRY[[#All],[Column3]],,,)</f>
        <v>Major_Non-USMCA_Non-China</v>
      </c>
    </row>
    <row r="13724" spans="1:9" x14ac:dyDescent="0.4">
      <c r="A13724" t="s">
        <v>75</v>
      </c>
      <c r="B13724" s="1">
        <v>45597</v>
      </c>
      <c r="C13724">
        <v>850710</v>
      </c>
      <c r="D13724" t="s">
        <v>176</v>
      </c>
      <c r="E13724">
        <v>5798</v>
      </c>
      <c r="F13724">
        <v>78</v>
      </c>
      <c r="G13724">
        <v>5</v>
      </c>
      <c r="H13724">
        <f>_xlfn.XLOOKUP(FACT_IMPORTS[[#This Row],[hts_6]],DIM_PRODUCTS[hts_6],DIM_PRODUCTS[hts_4],,,)</f>
        <v>8507</v>
      </c>
      <c r="I13724" t="str" cm="1">
        <f t="array" ref="I13724">_xlfn.XLOOKUP(FACT_IMPORTS[[#This Row],[country_name]],DIM_COUNTRY[[#All],[Column2]],DIM_COUNTRY[[#All],[Column3]],,,)</f>
        <v>Major_Non-USMCA_Non-China</v>
      </c>
    </row>
    <row r="13725" spans="1:9" x14ac:dyDescent="0.4">
      <c r="A13725" t="s">
        <v>75</v>
      </c>
      <c r="B13725" s="1">
        <v>45597</v>
      </c>
      <c r="C13725">
        <v>850760</v>
      </c>
      <c r="D13725" t="s">
        <v>176</v>
      </c>
      <c r="E13725">
        <v>0</v>
      </c>
      <c r="F13725">
        <v>0</v>
      </c>
      <c r="G13725">
        <v>0</v>
      </c>
      <c r="H13725">
        <f>_xlfn.XLOOKUP(FACT_IMPORTS[[#This Row],[hts_6]],DIM_PRODUCTS[hts_6],DIM_PRODUCTS[hts_4],,,)</f>
        <v>8507</v>
      </c>
      <c r="I13725" t="str" cm="1">
        <f t="array" ref="I13725">_xlfn.XLOOKUP(FACT_IMPORTS[[#This Row],[country_name]],DIM_COUNTRY[[#All],[Column2]],DIM_COUNTRY[[#All],[Column3]],,,)</f>
        <v>Major_Non-USMCA_Non-China</v>
      </c>
    </row>
    <row r="13726" spans="1:9" x14ac:dyDescent="0.4">
      <c r="A13726" t="s">
        <v>75</v>
      </c>
      <c r="B13726" s="1">
        <v>45597</v>
      </c>
      <c r="C13726">
        <v>851120</v>
      </c>
      <c r="D13726" t="s">
        <v>176</v>
      </c>
      <c r="E13726">
        <v>2217</v>
      </c>
      <c r="F13726">
        <v>10</v>
      </c>
      <c r="G13726">
        <v>2</v>
      </c>
      <c r="H13726">
        <f>_xlfn.XLOOKUP(FACT_IMPORTS[[#This Row],[hts_6]],DIM_PRODUCTS[hts_6],DIM_PRODUCTS[hts_4],,,)</f>
        <v>8511</v>
      </c>
      <c r="I13726" t="str" cm="1">
        <f t="array" ref="I13726">_xlfn.XLOOKUP(FACT_IMPORTS[[#This Row],[country_name]],DIM_COUNTRY[[#All],[Column2]],DIM_COUNTRY[[#All],[Column3]],,,)</f>
        <v>Major_Non-USMCA_Non-China</v>
      </c>
    </row>
    <row r="13727" spans="1:9" x14ac:dyDescent="0.4">
      <c r="A13727" t="s">
        <v>75</v>
      </c>
      <c r="B13727" s="1">
        <v>45597</v>
      </c>
      <c r="C13727">
        <v>851130</v>
      </c>
      <c r="D13727" t="s">
        <v>176</v>
      </c>
      <c r="E13727">
        <v>0</v>
      </c>
      <c r="F13727">
        <v>0</v>
      </c>
      <c r="G13727">
        <v>0</v>
      </c>
      <c r="H13727">
        <f>_xlfn.XLOOKUP(FACT_IMPORTS[[#This Row],[hts_6]],DIM_PRODUCTS[hts_6],DIM_PRODUCTS[hts_4],,,)</f>
        <v>8511</v>
      </c>
      <c r="I13727" t="str" cm="1">
        <f t="array" ref="I13727">_xlfn.XLOOKUP(FACT_IMPORTS[[#This Row],[country_name]],DIM_COUNTRY[[#All],[Column2]],DIM_COUNTRY[[#All],[Column3]],,,)</f>
        <v>Major_Non-USMCA_Non-China</v>
      </c>
    </row>
    <row r="13728" spans="1:9" x14ac:dyDescent="0.4">
      <c r="A13728" t="s">
        <v>75</v>
      </c>
      <c r="B13728" s="1">
        <v>45597</v>
      </c>
      <c r="C13728">
        <v>851140</v>
      </c>
      <c r="D13728" t="s">
        <v>176</v>
      </c>
      <c r="E13728">
        <v>14899</v>
      </c>
      <c r="F13728">
        <v>141</v>
      </c>
      <c r="G13728">
        <v>9</v>
      </c>
      <c r="H13728">
        <f>_xlfn.XLOOKUP(FACT_IMPORTS[[#This Row],[hts_6]],DIM_PRODUCTS[hts_6],DIM_PRODUCTS[hts_4],,,)</f>
        <v>8511</v>
      </c>
      <c r="I13728" t="str" cm="1">
        <f t="array" ref="I13728">_xlfn.XLOOKUP(FACT_IMPORTS[[#This Row],[country_name]],DIM_COUNTRY[[#All],[Column2]],DIM_COUNTRY[[#All],[Column3]],,,)</f>
        <v>Major_Non-USMCA_Non-China</v>
      </c>
    </row>
    <row r="13729" spans="1:9" x14ac:dyDescent="0.4">
      <c r="A13729" t="s">
        <v>75</v>
      </c>
      <c r="B13729" s="1">
        <v>45597</v>
      </c>
      <c r="C13729">
        <v>851150</v>
      </c>
      <c r="D13729" t="s">
        <v>176</v>
      </c>
      <c r="E13729">
        <v>0</v>
      </c>
      <c r="F13729">
        <v>0</v>
      </c>
      <c r="G13729">
        <v>0</v>
      </c>
      <c r="H13729">
        <f>_xlfn.XLOOKUP(FACT_IMPORTS[[#This Row],[hts_6]],DIM_PRODUCTS[hts_6],DIM_PRODUCTS[hts_4],,,)</f>
        <v>8511</v>
      </c>
      <c r="I13729" t="str" cm="1">
        <f t="array" ref="I13729">_xlfn.XLOOKUP(FACT_IMPORTS[[#This Row],[country_name]],DIM_COUNTRY[[#All],[Column2]],DIM_COUNTRY[[#All],[Column3]],,,)</f>
        <v>Major_Non-USMCA_Non-China</v>
      </c>
    </row>
    <row r="13730" spans="1:9" x14ac:dyDescent="0.4">
      <c r="A13730" t="s">
        <v>75</v>
      </c>
      <c r="B13730" s="1">
        <v>45597</v>
      </c>
      <c r="C13730">
        <v>851180</v>
      </c>
      <c r="D13730" t="s">
        <v>176</v>
      </c>
      <c r="E13730">
        <v>27710</v>
      </c>
      <c r="F13730">
        <v>8000</v>
      </c>
      <c r="G13730">
        <v>2771</v>
      </c>
      <c r="H13730">
        <f>_xlfn.XLOOKUP(FACT_IMPORTS[[#This Row],[hts_6]],DIM_PRODUCTS[hts_6],DIM_PRODUCTS[hts_4],,,)</f>
        <v>8511</v>
      </c>
      <c r="I13730" t="str" cm="1">
        <f t="array" ref="I13730">_xlfn.XLOOKUP(FACT_IMPORTS[[#This Row],[country_name]],DIM_COUNTRY[[#All],[Column2]],DIM_COUNTRY[[#All],[Column3]],,,)</f>
        <v>Major_Non-USMCA_Non-China</v>
      </c>
    </row>
    <row r="13731" spans="1:9" x14ac:dyDescent="0.4">
      <c r="A13731" t="s">
        <v>75</v>
      </c>
      <c r="B13731" s="1">
        <v>45597</v>
      </c>
      <c r="C13731">
        <v>851190</v>
      </c>
      <c r="D13731" t="s">
        <v>176</v>
      </c>
      <c r="E13731">
        <v>0</v>
      </c>
      <c r="F13731">
        <v>0</v>
      </c>
      <c r="G13731">
        <v>0</v>
      </c>
      <c r="H13731">
        <f>_xlfn.XLOOKUP(FACT_IMPORTS[[#This Row],[hts_6]],DIM_PRODUCTS[hts_6],DIM_PRODUCTS[hts_4],,,)</f>
        <v>8511</v>
      </c>
      <c r="I13731" t="str" cm="1">
        <f t="array" ref="I13731">_xlfn.XLOOKUP(FACT_IMPORTS[[#This Row],[country_name]],DIM_COUNTRY[[#All],[Column2]],DIM_COUNTRY[[#All],[Column3]],,,)</f>
        <v>Major_Non-USMCA_Non-China</v>
      </c>
    </row>
    <row r="13732" spans="1:9" x14ac:dyDescent="0.4">
      <c r="A13732" t="s">
        <v>75</v>
      </c>
      <c r="B13732" s="1">
        <v>45597</v>
      </c>
      <c r="C13732">
        <v>851220</v>
      </c>
      <c r="D13732" t="s">
        <v>176</v>
      </c>
      <c r="E13732">
        <v>1304514</v>
      </c>
      <c r="F13732">
        <v>244836</v>
      </c>
      <c r="G13732">
        <v>21787</v>
      </c>
      <c r="H13732">
        <f>_xlfn.XLOOKUP(FACT_IMPORTS[[#This Row],[hts_6]],DIM_PRODUCTS[hts_6],DIM_PRODUCTS[hts_4],,,)</f>
        <v>8512</v>
      </c>
      <c r="I13732" t="str" cm="1">
        <f t="array" ref="I13732">_xlfn.XLOOKUP(FACT_IMPORTS[[#This Row],[country_name]],DIM_COUNTRY[[#All],[Column2]],DIM_COUNTRY[[#All],[Column3]],,,)</f>
        <v>Major_Non-USMCA_Non-China</v>
      </c>
    </row>
    <row r="13733" spans="1:9" x14ac:dyDescent="0.4">
      <c r="A13733" t="s">
        <v>75</v>
      </c>
      <c r="B13733" s="1">
        <v>45597</v>
      </c>
      <c r="C13733">
        <v>851230</v>
      </c>
      <c r="D13733" t="s">
        <v>176</v>
      </c>
      <c r="E13733">
        <v>0</v>
      </c>
      <c r="F13733">
        <v>0</v>
      </c>
      <c r="G13733">
        <v>0</v>
      </c>
      <c r="H13733">
        <f>_xlfn.XLOOKUP(FACT_IMPORTS[[#This Row],[hts_6]],DIM_PRODUCTS[hts_6],DIM_PRODUCTS[hts_4],,,)</f>
        <v>8512</v>
      </c>
      <c r="I13733" t="str" cm="1">
        <f t="array" ref="I13733">_xlfn.XLOOKUP(FACT_IMPORTS[[#This Row],[country_name]],DIM_COUNTRY[[#All],[Column2]],DIM_COUNTRY[[#All],[Column3]],,,)</f>
        <v>Major_Non-USMCA_Non-China</v>
      </c>
    </row>
    <row r="13734" spans="1:9" x14ac:dyDescent="0.4">
      <c r="A13734" t="s">
        <v>75</v>
      </c>
      <c r="B13734" s="1">
        <v>45597</v>
      </c>
      <c r="C13734">
        <v>851290</v>
      </c>
      <c r="D13734" t="s">
        <v>176</v>
      </c>
      <c r="E13734">
        <v>9075752</v>
      </c>
      <c r="F13734">
        <v>147434</v>
      </c>
      <c r="G13734">
        <v>86203</v>
      </c>
      <c r="H13734">
        <f>_xlfn.XLOOKUP(FACT_IMPORTS[[#This Row],[hts_6]],DIM_PRODUCTS[hts_6],DIM_PRODUCTS[hts_4],,,)</f>
        <v>8512</v>
      </c>
      <c r="I13734" t="str" cm="1">
        <f t="array" ref="I13734">_xlfn.XLOOKUP(FACT_IMPORTS[[#This Row],[country_name]],DIM_COUNTRY[[#All],[Column2]],DIM_COUNTRY[[#All],[Column3]],,,)</f>
        <v>Major_Non-USMCA_Non-China</v>
      </c>
    </row>
    <row r="13735" spans="1:9" x14ac:dyDescent="0.4">
      <c r="A13735" t="s">
        <v>75</v>
      </c>
      <c r="B13735" s="1">
        <v>45597</v>
      </c>
      <c r="C13735">
        <v>854231</v>
      </c>
      <c r="D13735" t="s">
        <v>176</v>
      </c>
      <c r="E13735">
        <v>690663</v>
      </c>
      <c r="F13735">
        <v>96081</v>
      </c>
      <c r="G13735">
        <v>5332</v>
      </c>
      <c r="H13735">
        <f>_xlfn.XLOOKUP(FACT_IMPORTS[[#This Row],[hts_6]],DIM_PRODUCTS[hts_6],DIM_PRODUCTS[hts_4],,,)</f>
        <v>8542</v>
      </c>
      <c r="I13735" t="str" cm="1">
        <f t="array" ref="I13735">_xlfn.XLOOKUP(FACT_IMPORTS[[#This Row],[country_name]],DIM_COUNTRY[[#All],[Column2]],DIM_COUNTRY[[#All],[Column3]],,,)</f>
        <v>Major_Non-USMCA_Non-China</v>
      </c>
    </row>
    <row r="13736" spans="1:9" x14ac:dyDescent="0.4">
      <c r="A13736" t="s">
        <v>75</v>
      </c>
      <c r="B13736" s="1">
        <v>45597</v>
      </c>
      <c r="C13736">
        <v>854232</v>
      </c>
      <c r="D13736" t="s">
        <v>176</v>
      </c>
      <c r="E13736">
        <v>0</v>
      </c>
      <c r="F13736">
        <v>0</v>
      </c>
      <c r="G13736">
        <v>0</v>
      </c>
      <c r="H13736">
        <f>_xlfn.XLOOKUP(FACT_IMPORTS[[#This Row],[hts_6]],DIM_PRODUCTS[hts_6],DIM_PRODUCTS[hts_4],,,)</f>
        <v>8542</v>
      </c>
      <c r="I13736" t="str" cm="1">
        <f t="array" ref="I13736">_xlfn.XLOOKUP(FACT_IMPORTS[[#This Row],[country_name]],DIM_COUNTRY[[#All],[Column2]],DIM_COUNTRY[[#All],[Column3]],,,)</f>
        <v>Major_Non-USMCA_Non-China</v>
      </c>
    </row>
    <row r="13737" spans="1:9" x14ac:dyDescent="0.4">
      <c r="A13737" t="s">
        <v>75</v>
      </c>
      <c r="B13737" s="1">
        <v>45597</v>
      </c>
      <c r="C13737">
        <v>854233</v>
      </c>
      <c r="D13737" t="s">
        <v>176</v>
      </c>
      <c r="E13737">
        <v>0</v>
      </c>
      <c r="F13737">
        <v>0</v>
      </c>
      <c r="G13737">
        <v>0</v>
      </c>
      <c r="H13737">
        <f>_xlfn.XLOOKUP(FACT_IMPORTS[[#This Row],[hts_6]],DIM_PRODUCTS[hts_6],DIM_PRODUCTS[hts_4],,,)</f>
        <v>8542</v>
      </c>
      <c r="I13737" t="str" cm="1">
        <f t="array" ref="I13737">_xlfn.XLOOKUP(FACT_IMPORTS[[#This Row],[country_name]],DIM_COUNTRY[[#All],[Column2]],DIM_COUNTRY[[#All],[Column3]],,,)</f>
        <v>Major_Non-USMCA_Non-China</v>
      </c>
    </row>
    <row r="13738" spans="1:9" x14ac:dyDescent="0.4">
      <c r="A13738" t="s">
        <v>75</v>
      </c>
      <c r="B13738" s="1">
        <v>45597</v>
      </c>
      <c r="C13738">
        <v>854239</v>
      </c>
      <c r="D13738" t="s">
        <v>176</v>
      </c>
      <c r="E13738">
        <v>722662</v>
      </c>
      <c r="F13738">
        <v>58081</v>
      </c>
      <c r="G13738">
        <v>61193</v>
      </c>
      <c r="H13738">
        <f>_xlfn.XLOOKUP(FACT_IMPORTS[[#This Row],[hts_6]],DIM_PRODUCTS[hts_6],DIM_PRODUCTS[hts_4],,,)</f>
        <v>8542</v>
      </c>
      <c r="I13738" t="str" cm="1">
        <f t="array" ref="I13738">_xlfn.XLOOKUP(FACT_IMPORTS[[#This Row],[country_name]],DIM_COUNTRY[[#All],[Column2]],DIM_COUNTRY[[#All],[Column3]],,,)</f>
        <v>Major_Non-USMCA_Non-China</v>
      </c>
    </row>
    <row r="13739" spans="1:9" x14ac:dyDescent="0.4">
      <c r="A13739" t="s">
        <v>75</v>
      </c>
      <c r="B13739" s="1">
        <v>45597</v>
      </c>
      <c r="C13739">
        <v>854290</v>
      </c>
      <c r="D13739" t="s">
        <v>176</v>
      </c>
      <c r="E13739">
        <v>0</v>
      </c>
      <c r="F13739">
        <v>0</v>
      </c>
      <c r="G13739">
        <v>0</v>
      </c>
      <c r="H13739">
        <f>_xlfn.XLOOKUP(FACT_IMPORTS[[#This Row],[hts_6]],DIM_PRODUCTS[hts_6],DIM_PRODUCTS[hts_4],,,)</f>
        <v>8542</v>
      </c>
      <c r="I13739" t="str" cm="1">
        <f t="array" ref="I13739">_xlfn.XLOOKUP(FACT_IMPORTS[[#This Row],[country_name]],DIM_COUNTRY[[#All],[Column2]],DIM_COUNTRY[[#All],[Column3]],,,)</f>
        <v>Major_Non-USMCA_Non-China</v>
      </c>
    </row>
    <row r="13740" spans="1:9" x14ac:dyDescent="0.4">
      <c r="A13740" t="s">
        <v>75</v>
      </c>
      <c r="B13740" s="1">
        <v>45597</v>
      </c>
      <c r="C13740">
        <v>854430</v>
      </c>
      <c r="D13740" t="s">
        <v>176</v>
      </c>
      <c r="E13740">
        <v>9147</v>
      </c>
      <c r="F13740">
        <v>861</v>
      </c>
      <c r="G13740">
        <v>805</v>
      </c>
      <c r="H13740">
        <f>_xlfn.XLOOKUP(FACT_IMPORTS[[#This Row],[hts_6]],DIM_PRODUCTS[hts_6],DIM_PRODUCTS[hts_4],,,)</f>
        <v>8544</v>
      </c>
      <c r="I13740" t="str" cm="1">
        <f t="array" ref="I13740">_xlfn.XLOOKUP(FACT_IMPORTS[[#This Row],[country_name]],DIM_COUNTRY[[#All],[Column2]],DIM_COUNTRY[[#All],[Column3]],,,)</f>
        <v>Major_Non-USMCA_Non-China</v>
      </c>
    </row>
    <row r="13741" spans="1:9" x14ac:dyDescent="0.4">
      <c r="A13741" t="s">
        <v>75</v>
      </c>
      <c r="B13741" s="1">
        <v>45597</v>
      </c>
      <c r="C13741">
        <v>870810</v>
      </c>
      <c r="D13741" t="s">
        <v>176</v>
      </c>
      <c r="E13741">
        <v>465077</v>
      </c>
      <c r="F13741">
        <v>10076</v>
      </c>
      <c r="G13741">
        <v>102399</v>
      </c>
      <c r="H13741">
        <f>_xlfn.XLOOKUP(FACT_IMPORTS[[#This Row],[hts_6]],DIM_PRODUCTS[hts_6],DIM_PRODUCTS[hts_4],,,)</f>
        <v>8708</v>
      </c>
      <c r="I13741" t="str" cm="1">
        <f t="array" ref="I13741">_xlfn.XLOOKUP(FACT_IMPORTS[[#This Row],[country_name]],DIM_COUNTRY[[#All],[Column2]],DIM_COUNTRY[[#All],[Column3]],,,)</f>
        <v>Major_Non-USMCA_Non-China</v>
      </c>
    </row>
    <row r="13742" spans="1:9" x14ac:dyDescent="0.4">
      <c r="A13742" t="s">
        <v>75</v>
      </c>
      <c r="B13742" s="1">
        <v>45597</v>
      </c>
      <c r="C13742">
        <v>870829</v>
      </c>
      <c r="D13742" t="s">
        <v>176</v>
      </c>
      <c r="E13742">
        <v>1064576</v>
      </c>
      <c r="F13742">
        <v>238214</v>
      </c>
      <c r="G13742">
        <v>86319</v>
      </c>
      <c r="H13742">
        <f>_xlfn.XLOOKUP(FACT_IMPORTS[[#This Row],[hts_6]],DIM_PRODUCTS[hts_6],DIM_PRODUCTS[hts_4],,,)</f>
        <v>8708</v>
      </c>
      <c r="I13742" t="str" cm="1">
        <f t="array" ref="I13742">_xlfn.XLOOKUP(FACT_IMPORTS[[#This Row],[country_name]],DIM_COUNTRY[[#All],[Column2]],DIM_COUNTRY[[#All],[Column3]],,,)</f>
        <v>Major_Non-USMCA_Non-China</v>
      </c>
    </row>
    <row r="13743" spans="1:9" x14ac:dyDescent="0.4">
      <c r="A13743" t="s">
        <v>75</v>
      </c>
      <c r="B13743" s="1">
        <v>45597</v>
      </c>
      <c r="C13743">
        <v>870830</v>
      </c>
      <c r="D13743" t="s">
        <v>176</v>
      </c>
      <c r="E13743">
        <v>2424</v>
      </c>
      <c r="F13743">
        <v>16</v>
      </c>
      <c r="G13743">
        <v>6</v>
      </c>
      <c r="H13743">
        <f>_xlfn.XLOOKUP(FACT_IMPORTS[[#This Row],[hts_6]],DIM_PRODUCTS[hts_6],DIM_PRODUCTS[hts_4],,,)</f>
        <v>8708</v>
      </c>
      <c r="I13743" t="str" cm="1">
        <f t="array" ref="I13743">_xlfn.XLOOKUP(FACT_IMPORTS[[#This Row],[country_name]],DIM_COUNTRY[[#All],[Column2]],DIM_COUNTRY[[#All],[Column3]],,,)</f>
        <v>Major_Non-USMCA_Non-China</v>
      </c>
    </row>
    <row r="13744" spans="1:9" x14ac:dyDescent="0.4">
      <c r="A13744" t="s">
        <v>75</v>
      </c>
      <c r="B13744" s="1">
        <v>45597</v>
      </c>
      <c r="C13744">
        <v>870840</v>
      </c>
      <c r="D13744" t="s">
        <v>176</v>
      </c>
      <c r="E13744">
        <v>246768</v>
      </c>
      <c r="F13744">
        <v>10996</v>
      </c>
      <c r="G13744">
        <v>6005</v>
      </c>
      <c r="H13744">
        <f>_xlfn.XLOOKUP(FACT_IMPORTS[[#This Row],[hts_6]],DIM_PRODUCTS[hts_6],DIM_PRODUCTS[hts_4],,,)</f>
        <v>8708</v>
      </c>
      <c r="I13744" t="str" cm="1">
        <f t="array" ref="I13744">_xlfn.XLOOKUP(FACT_IMPORTS[[#This Row],[country_name]],DIM_COUNTRY[[#All],[Column2]],DIM_COUNTRY[[#All],[Column3]],,,)</f>
        <v>Major_Non-USMCA_Non-China</v>
      </c>
    </row>
    <row r="13745" spans="1:9" x14ac:dyDescent="0.4">
      <c r="A13745" t="s">
        <v>75</v>
      </c>
      <c r="B13745" s="1">
        <v>45597</v>
      </c>
      <c r="C13745">
        <v>870850</v>
      </c>
      <c r="D13745" t="s">
        <v>176</v>
      </c>
      <c r="E13745">
        <v>522216</v>
      </c>
      <c r="F13745">
        <v>22048</v>
      </c>
      <c r="G13745">
        <v>20570</v>
      </c>
      <c r="H13745">
        <f>_xlfn.XLOOKUP(FACT_IMPORTS[[#This Row],[hts_6]],DIM_PRODUCTS[hts_6],DIM_PRODUCTS[hts_4],,,)</f>
        <v>8708</v>
      </c>
      <c r="I13745" t="str" cm="1">
        <f t="array" ref="I13745">_xlfn.XLOOKUP(FACT_IMPORTS[[#This Row],[country_name]],DIM_COUNTRY[[#All],[Column2]],DIM_COUNTRY[[#All],[Column3]],,,)</f>
        <v>Major_Non-USMCA_Non-China</v>
      </c>
    </row>
    <row r="13746" spans="1:9" x14ac:dyDescent="0.4">
      <c r="A13746" t="s">
        <v>75</v>
      </c>
      <c r="B13746" s="1">
        <v>45597</v>
      </c>
      <c r="C13746">
        <v>870870</v>
      </c>
      <c r="D13746" t="s">
        <v>176</v>
      </c>
      <c r="E13746">
        <v>604856</v>
      </c>
      <c r="F13746">
        <v>2285</v>
      </c>
      <c r="G13746">
        <v>23951</v>
      </c>
      <c r="H13746">
        <f>_xlfn.XLOOKUP(FACT_IMPORTS[[#This Row],[hts_6]],DIM_PRODUCTS[hts_6],DIM_PRODUCTS[hts_4],,,)</f>
        <v>8708</v>
      </c>
      <c r="I13746" t="str" cm="1">
        <f t="array" ref="I13746">_xlfn.XLOOKUP(FACT_IMPORTS[[#This Row],[country_name]],DIM_COUNTRY[[#All],[Column2]],DIM_COUNTRY[[#All],[Column3]],,,)</f>
        <v>Major_Non-USMCA_Non-China</v>
      </c>
    </row>
    <row r="13747" spans="1:9" x14ac:dyDescent="0.4">
      <c r="A13747" t="s">
        <v>75</v>
      </c>
      <c r="B13747" s="1">
        <v>45597</v>
      </c>
      <c r="C13747">
        <v>870880</v>
      </c>
      <c r="D13747" t="s">
        <v>176</v>
      </c>
      <c r="E13747">
        <v>527252</v>
      </c>
      <c r="F13747">
        <v>170464</v>
      </c>
      <c r="G13747">
        <v>31828</v>
      </c>
      <c r="H13747">
        <f>_xlfn.XLOOKUP(FACT_IMPORTS[[#This Row],[hts_6]],DIM_PRODUCTS[hts_6],DIM_PRODUCTS[hts_4],,,)</f>
        <v>8708</v>
      </c>
      <c r="I13747" t="str" cm="1">
        <f t="array" ref="I13747">_xlfn.XLOOKUP(FACT_IMPORTS[[#This Row],[country_name]],DIM_COUNTRY[[#All],[Column2]],DIM_COUNTRY[[#All],[Column3]],,,)</f>
        <v>Major_Non-USMCA_Non-China</v>
      </c>
    </row>
    <row r="13748" spans="1:9" x14ac:dyDescent="0.4">
      <c r="A13748" t="s">
        <v>75</v>
      </c>
      <c r="B13748" s="1">
        <v>45597</v>
      </c>
      <c r="C13748">
        <v>870891</v>
      </c>
      <c r="D13748" t="s">
        <v>176</v>
      </c>
      <c r="E13748">
        <v>40893</v>
      </c>
      <c r="F13748">
        <v>55248</v>
      </c>
      <c r="G13748">
        <v>3324</v>
      </c>
      <c r="H13748">
        <f>_xlfn.XLOOKUP(FACT_IMPORTS[[#This Row],[hts_6]],DIM_PRODUCTS[hts_6],DIM_PRODUCTS[hts_4],,,)</f>
        <v>8708</v>
      </c>
      <c r="I13748" t="str" cm="1">
        <f t="array" ref="I13748">_xlfn.XLOOKUP(FACT_IMPORTS[[#This Row],[country_name]],DIM_COUNTRY[[#All],[Column2]],DIM_COUNTRY[[#All],[Column3]],,,)</f>
        <v>Major_Non-USMCA_Non-China</v>
      </c>
    </row>
    <row r="13749" spans="1:9" x14ac:dyDescent="0.4">
      <c r="A13749" t="s">
        <v>75</v>
      </c>
      <c r="B13749" s="1">
        <v>45597</v>
      </c>
      <c r="C13749">
        <v>870892</v>
      </c>
      <c r="D13749" t="s">
        <v>176</v>
      </c>
      <c r="E13749">
        <v>3836</v>
      </c>
      <c r="F13749">
        <v>22</v>
      </c>
      <c r="G13749">
        <v>9</v>
      </c>
      <c r="H13749">
        <f>_xlfn.XLOOKUP(FACT_IMPORTS[[#This Row],[hts_6]],DIM_PRODUCTS[hts_6],DIM_PRODUCTS[hts_4],,,)</f>
        <v>8708</v>
      </c>
      <c r="I13749" t="str" cm="1">
        <f t="array" ref="I13749">_xlfn.XLOOKUP(FACT_IMPORTS[[#This Row],[country_name]],DIM_COUNTRY[[#All],[Column2]],DIM_COUNTRY[[#All],[Column3]],,,)</f>
        <v>Major_Non-USMCA_Non-China</v>
      </c>
    </row>
    <row r="13750" spans="1:9" x14ac:dyDescent="0.4">
      <c r="A13750" t="s">
        <v>75</v>
      </c>
      <c r="B13750" s="1">
        <v>45597</v>
      </c>
      <c r="C13750">
        <v>870893</v>
      </c>
      <c r="D13750" t="s">
        <v>176</v>
      </c>
      <c r="E13750">
        <v>73682</v>
      </c>
      <c r="F13750">
        <v>4836</v>
      </c>
      <c r="G13750">
        <v>4047</v>
      </c>
      <c r="H13750">
        <f>_xlfn.XLOOKUP(FACT_IMPORTS[[#This Row],[hts_6]],DIM_PRODUCTS[hts_6],DIM_PRODUCTS[hts_4],,,)</f>
        <v>8708</v>
      </c>
      <c r="I13750" t="str" cm="1">
        <f t="array" ref="I13750">_xlfn.XLOOKUP(FACT_IMPORTS[[#This Row],[country_name]],DIM_COUNTRY[[#All],[Column2]],DIM_COUNTRY[[#All],[Column3]],,,)</f>
        <v>Major_Non-USMCA_Non-China</v>
      </c>
    </row>
    <row r="13751" spans="1:9" x14ac:dyDescent="0.4">
      <c r="A13751" t="s">
        <v>75</v>
      </c>
      <c r="B13751" s="1">
        <v>45597</v>
      </c>
      <c r="C13751">
        <v>870894</v>
      </c>
      <c r="D13751" t="s">
        <v>176</v>
      </c>
      <c r="E13751">
        <v>29500</v>
      </c>
      <c r="F13751">
        <v>5345</v>
      </c>
      <c r="G13751">
        <v>4548</v>
      </c>
      <c r="H13751">
        <f>_xlfn.XLOOKUP(FACT_IMPORTS[[#This Row],[hts_6]],DIM_PRODUCTS[hts_6],DIM_PRODUCTS[hts_4],,,)</f>
        <v>8708</v>
      </c>
      <c r="I13751" t="str" cm="1">
        <f t="array" ref="I13751">_xlfn.XLOOKUP(FACT_IMPORTS[[#This Row],[country_name]],DIM_COUNTRY[[#All],[Column2]],DIM_COUNTRY[[#All],[Column3]],,,)</f>
        <v>Major_Non-USMCA_Non-China</v>
      </c>
    </row>
    <row r="13752" spans="1:9" x14ac:dyDescent="0.4">
      <c r="A13752" t="s">
        <v>75</v>
      </c>
      <c r="B13752" s="1">
        <v>45597</v>
      </c>
      <c r="C13752">
        <v>870899</v>
      </c>
      <c r="D13752" t="s">
        <v>176</v>
      </c>
      <c r="E13752">
        <v>724634</v>
      </c>
      <c r="F13752">
        <v>337701</v>
      </c>
      <c r="G13752">
        <v>36033</v>
      </c>
      <c r="H13752">
        <f>_xlfn.XLOOKUP(FACT_IMPORTS[[#This Row],[hts_6]],DIM_PRODUCTS[hts_6],DIM_PRODUCTS[hts_4],,,)</f>
        <v>8708</v>
      </c>
      <c r="I13752" t="str" cm="1">
        <f t="array" ref="I13752">_xlfn.XLOOKUP(FACT_IMPORTS[[#This Row],[country_name]],DIM_COUNTRY[[#All],[Column2]],DIM_COUNTRY[[#All],[Column3]],,,)</f>
        <v>Major_Non-USMCA_Non-China</v>
      </c>
    </row>
    <row r="13753" spans="1:9" x14ac:dyDescent="0.4">
      <c r="A13753" t="s">
        <v>75</v>
      </c>
      <c r="B13753" s="1">
        <v>45627</v>
      </c>
      <c r="C13753">
        <v>392630</v>
      </c>
      <c r="D13753" t="s">
        <v>176</v>
      </c>
      <c r="E13753">
        <v>9134</v>
      </c>
      <c r="F13753">
        <v>777</v>
      </c>
      <c r="G13753">
        <v>489</v>
      </c>
      <c r="H13753">
        <f>_xlfn.XLOOKUP(FACT_IMPORTS[[#This Row],[hts_6]],DIM_PRODUCTS[hts_6],DIM_PRODUCTS[hts_4],,,)</f>
        <v>3926</v>
      </c>
      <c r="I13753" t="str" cm="1">
        <f t="array" ref="I13753">_xlfn.XLOOKUP(FACT_IMPORTS[[#This Row],[country_name]],DIM_COUNTRY[[#All],[Column2]],DIM_COUNTRY[[#All],[Column3]],,,)</f>
        <v>Major_Non-USMCA_Non-China</v>
      </c>
    </row>
    <row r="13754" spans="1:9" x14ac:dyDescent="0.4">
      <c r="A13754" t="s">
        <v>75</v>
      </c>
      <c r="B13754" s="1">
        <v>45627</v>
      </c>
      <c r="C13754">
        <v>401110</v>
      </c>
      <c r="D13754" t="s">
        <v>176</v>
      </c>
      <c r="E13754">
        <v>2720</v>
      </c>
      <c r="F13754">
        <v>32</v>
      </c>
      <c r="G13754">
        <v>32</v>
      </c>
      <c r="H13754">
        <f>_xlfn.XLOOKUP(FACT_IMPORTS[[#This Row],[hts_6]],DIM_PRODUCTS[hts_6],DIM_PRODUCTS[hts_4],,,)</f>
        <v>4011</v>
      </c>
      <c r="I13754" t="str" cm="1">
        <f t="array" ref="I13754">_xlfn.XLOOKUP(FACT_IMPORTS[[#This Row],[country_name]],DIM_COUNTRY[[#All],[Column2]],DIM_COUNTRY[[#All],[Column3]],,,)</f>
        <v>Major_Non-USMCA_Non-China</v>
      </c>
    </row>
    <row r="13755" spans="1:9" x14ac:dyDescent="0.4">
      <c r="A13755" t="s">
        <v>75</v>
      </c>
      <c r="B13755" s="1">
        <v>45627</v>
      </c>
      <c r="C13755">
        <v>401120</v>
      </c>
      <c r="D13755" t="s">
        <v>176</v>
      </c>
      <c r="E13755">
        <v>0</v>
      </c>
      <c r="F13755">
        <v>0</v>
      </c>
      <c r="G13755">
        <v>0</v>
      </c>
      <c r="H13755">
        <f>_xlfn.XLOOKUP(FACT_IMPORTS[[#This Row],[hts_6]],DIM_PRODUCTS[hts_6],DIM_PRODUCTS[hts_4],,,)</f>
        <v>4011</v>
      </c>
      <c r="I13755" t="str" cm="1">
        <f t="array" ref="I13755">_xlfn.XLOOKUP(FACT_IMPORTS[[#This Row],[country_name]],DIM_COUNTRY[[#All],[Column2]],DIM_COUNTRY[[#All],[Column3]],,,)</f>
        <v>Major_Non-USMCA_Non-China</v>
      </c>
    </row>
    <row r="13756" spans="1:9" x14ac:dyDescent="0.4">
      <c r="A13756" t="s">
        <v>75</v>
      </c>
      <c r="B13756" s="1">
        <v>45627</v>
      </c>
      <c r="C13756">
        <v>401140</v>
      </c>
      <c r="D13756" t="s">
        <v>176</v>
      </c>
      <c r="E13756">
        <v>0</v>
      </c>
      <c r="F13756">
        <v>0</v>
      </c>
      <c r="G13756">
        <v>0</v>
      </c>
      <c r="H13756">
        <f>_xlfn.XLOOKUP(FACT_IMPORTS[[#This Row],[hts_6]],DIM_PRODUCTS[hts_6],DIM_PRODUCTS[hts_4],,,)</f>
        <v>4011</v>
      </c>
      <c r="I13756" t="str" cm="1">
        <f t="array" ref="I13756">_xlfn.XLOOKUP(FACT_IMPORTS[[#This Row],[country_name]],DIM_COUNTRY[[#All],[Column2]],DIM_COUNTRY[[#All],[Column3]],,,)</f>
        <v>Major_Non-USMCA_Non-China</v>
      </c>
    </row>
    <row r="13757" spans="1:9" x14ac:dyDescent="0.4">
      <c r="A13757" t="s">
        <v>75</v>
      </c>
      <c r="B13757" s="1">
        <v>45627</v>
      </c>
      <c r="C13757">
        <v>401190</v>
      </c>
      <c r="D13757" t="s">
        <v>176</v>
      </c>
      <c r="E13757">
        <v>5007</v>
      </c>
      <c r="F13757">
        <v>51</v>
      </c>
      <c r="G13757">
        <v>13</v>
      </c>
      <c r="H13757">
        <f>_xlfn.XLOOKUP(FACT_IMPORTS[[#This Row],[hts_6]],DIM_PRODUCTS[hts_6],DIM_PRODUCTS[hts_4],,,)</f>
        <v>4011</v>
      </c>
      <c r="I13757" t="str" cm="1">
        <f t="array" ref="I13757">_xlfn.XLOOKUP(FACT_IMPORTS[[#This Row],[country_name]],DIM_COUNTRY[[#All],[Column2]],DIM_COUNTRY[[#All],[Column3]],,,)</f>
        <v>Major_Non-USMCA_Non-China</v>
      </c>
    </row>
    <row r="13758" spans="1:9" x14ac:dyDescent="0.4">
      <c r="A13758" t="s">
        <v>75</v>
      </c>
      <c r="B13758" s="1">
        <v>45627</v>
      </c>
      <c r="C13758">
        <v>700721</v>
      </c>
      <c r="D13758" t="s">
        <v>176</v>
      </c>
      <c r="E13758">
        <v>0</v>
      </c>
      <c r="F13758">
        <v>0</v>
      </c>
      <c r="G13758">
        <v>0</v>
      </c>
      <c r="H13758">
        <f>_xlfn.XLOOKUP(FACT_IMPORTS[[#This Row],[hts_6]],DIM_PRODUCTS[hts_6],DIM_PRODUCTS[hts_4],,,)</f>
        <v>7007</v>
      </c>
      <c r="I13758" t="str" cm="1">
        <f t="array" ref="I13758">_xlfn.XLOOKUP(FACT_IMPORTS[[#This Row],[country_name]],DIM_COUNTRY[[#All],[Column2]],DIM_COUNTRY[[#All],[Column3]],,,)</f>
        <v>Major_Non-USMCA_Non-China</v>
      </c>
    </row>
    <row r="13759" spans="1:9" x14ac:dyDescent="0.4">
      <c r="A13759" t="s">
        <v>75</v>
      </c>
      <c r="B13759" s="1">
        <v>45627</v>
      </c>
      <c r="C13759">
        <v>700910</v>
      </c>
      <c r="D13759" t="s">
        <v>176</v>
      </c>
      <c r="E13759">
        <v>56391</v>
      </c>
      <c r="F13759">
        <v>12704</v>
      </c>
      <c r="G13759">
        <v>2601</v>
      </c>
      <c r="H13759">
        <f>_xlfn.XLOOKUP(FACT_IMPORTS[[#This Row],[hts_6]],DIM_PRODUCTS[hts_6],DIM_PRODUCTS[hts_4],,,)</f>
        <v>7009</v>
      </c>
      <c r="I13759" t="str" cm="1">
        <f t="array" ref="I13759">_xlfn.XLOOKUP(FACT_IMPORTS[[#This Row],[country_name]],DIM_COUNTRY[[#All],[Column2]],DIM_COUNTRY[[#All],[Column3]],,,)</f>
        <v>Major_Non-USMCA_Non-China</v>
      </c>
    </row>
    <row r="13760" spans="1:9" x14ac:dyDescent="0.4">
      <c r="A13760" t="s">
        <v>75</v>
      </c>
      <c r="B13760" s="1">
        <v>45627</v>
      </c>
      <c r="C13760">
        <v>732010</v>
      </c>
      <c r="D13760" t="s">
        <v>176</v>
      </c>
      <c r="E13760">
        <v>0</v>
      </c>
      <c r="F13760">
        <v>0</v>
      </c>
      <c r="G13760">
        <v>0</v>
      </c>
      <c r="H13760">
        <f>_xlfn.XLOOKUP(FACT_IMPORTS[[#This Row],[hts_6]],DIM_PRODUCTS[hts_6],DIM_PRODUCTS[hts_4],,,)</f>
        <v>7320</v>
      </c>
      <c r="I13760" t="str" cm="1">
        <f t="array" ref="I13760">_xlfn.XLOOKUP(FACT_IMPORTS[[#This Row],[country_name]],DIM_COUNTRY[[#All],[Column2]],DIM_COUNTRY[[#All],[Column3]],,,)</f>
        <v>Major_Non-USMCA_Non-China</v>
      </c>
    </row>
    <row r="13761" spans="1:9" x14ac:dyDescent="0.4">
      <c r="A13761" t="s">
        <v>75</v>
      </c>
      <c r="B13761" s="1">
        <v>45627</v>
      </c>
      <c r="C13761">
        <v>830230</v>
      </c>
      <c r="D13761" t="s">
        <v>176</v>
      </c>
      <c r="E13761">
        <v>154453</v>
      </c>
      <c r="F13761">
        <v>9727</v>
      </c>
      <c r="G13761">
        <v>8362</v>
      </c>
      <c r="H13761">
        <f>_xlfn.XLOOKUP(FACT_IMPORTS[[#This Row],[hts_6]],DIM_PRODUCTS[hts_6],DIM_PRODUCTS[hts_4],,,)</f>
        <v>8302</v>
      </c>
      <c r="I13761" t="str" cm="1">
        <f t="array" ref="I13761">_xlfn.XLOOKUP(FACT_IMPORTS[[#This Row],[country_name]],DIM_COUNTRY[[#All],[Column2]],DIM_COUNTRY[[#All],[Column3]],,,)</f>
        <v>Major_Non-USMCA_Non-China</v>
      </c>
    </row>
    <row r="13762" spans="1:9" x14ac:dyDescent="0.4">
      <c r="A13762" t="s">
        <v>75</v>
      </c>
      <c r="B13762" s="1">
        <v>45627</v>
      </c>
      <c r="C13762">
        <v>840732</v>
      </c>
      <c r="D13762" t="s">
        <v>176</v>
      </c>
      <c r="E13762">
        <v>0</v>
      </c>
      <c r="F13762">
        <v>0</v>
      </c>
      <c r="G13762">
        <v>0</v>
      </c>
      <c r="H13762">
        <f>_xlfn.XLOOKUP(FACT_IMPORTS[[#This Row],[hts_6]],DIM_PRODUCTS[hts_6],DIM_PRODUCTS[hts_4],,,)</f>
        <v>8407</v>
      </c>
      <c r="I13762" t="str" cm="1">
        <f t="array" ref="I13762">_xlfn.XLOOKUP(FACT_IMPORTS[[#This Row],[country_name]],DIM_COUNTRY[[#All],[Column2]],DIM_COUNTRY[[#All],[Column3]],,,)</f>
        <v>Major_Non-USMCA_Non-China</v>
      </c>
    </row>
    <row r="13763" spans="1:9" x14ac:dyDescent="0.4">
      <c r="A13763" t="s">
        <v>75</v>
      </c>
      <c r="B13763" s="1">
        <v>45627</v>
      </c>
      <c r="C13763">
        <v>840733</v>
      </c>
      <c r="D13763" t="s">
        <v>176</v>
      </c>
      <c r="E13763">
        <v>0</v>
      </c>
      <c r="F13763">
        <v>0</v>
      </c>
      <c r="G13763">
        <v>0</v>
      </c>
      <c r="H13763">
        <f>_xlfn.XLOOKUP(FACT_IMPORTS[[#This Row],[hts_6]],DIM_PRODUCTS[hts_6],DIM_PRODUCTS[hts_4],,,)</f>
        <v>8407</v>
      </c>
      <c r="I13763" t="str" cm="1">
        <f t="array" ref="I13763">_xlfn.XLOOKUP(FACT_IMPORTS[[#This Row],[country_name]],DIM_COUNTRY[[#All],[Column2]],DIM_COUNTRY[[#All],[Column3]],,,)</f>
        <v>Major_Non-USMCA_Non-China</v>
      </c>
    </row>
    <row r="13764" spans="1:9" x14ac:dyDescent="0.4">
      <c r="A13764" t="s">
        <v>75</v>
      </c>
      <c r="B13764" s="1">
        <v>45627</v>
      </c>
      <c r="C13764">
        <v>840790</v>
      </c>
      <c r="D13764" t="s">
        <v>176</v>
      </c>
      <c r="E13764">
        <v>0</v>
      </c>
      <c r="F13764">
        <v>0</v>
      </c>
      <c r="G13764">
        <v>0</v>
      </c>
      <c r="H13764">
        <f>_xlfn.XLOOKUP(FACT_IMPORTS[[#This Row],[hts_6]],DIM_PRODUCTS[hts_6],DIM_PRODUCTS[hts_4],,,)</f>
        <v>8407</v>
      </c>
      <c r="I13764" t="str" cm="1">
        <f t="array" ref="I13764">_xlfn.XLOOKUP(FACT_IMPORTS[[#This Row],[country_name]],DIM_COUNTRY[[#All],[Column2]],DIM_COUNTRY[[#All],[Column3]],,,)</f>
        <v>Major_Non-USMCA_Non-China</v>
      </c>
    </row>
    <row r="13765" spans="1:9" x14ac:dyDescent="0.4">
      <c r="A13765" t="s">
        <v>75</v>
      </c>
      <c r="B13765" s="1">
        <v>45627</v>
      </c>
      <c r="C13765">
        <v>840890</v>
      </c>
      <c r="D13765" t="s">
        <v>176</v>
      </c>
      <c r="E13765">
        <v>0</v>
      </c>
      <c r="F13765">
        <v>0</v>
      </c>
      <c r="G13765">
        <v>0</v>
      </c>
      <c r="H13765">
        <f>_xlfn.XLOOKUP(FACT_IMPORTS[[#This Row],[hts_6]],DIM_PRODUCTS[hts_6],DIM_PRODUCTS[hts_4],,,)</f>
        <v>8408</v>
      </c>
      <c r="I13765" t="str" cm="1">
        <f t="array" ref="I13765">_xlfn.XLOOKUP(FACT_IMPORTS[[#This Row],[country_name]],DIM_COUNTRY[[#All],[Column2]],DIM_COUNTRY[[#All],[Column3]],,,)</f>
        <v>Major_Non-USMCA_Non-China</v>
      </c>
    </row>
    <row r="13766" spans="1:9" x14ac:dyDescent="0.4">
      <c r="A13766" t="s">
        <v>75</v>
      </c>
      <c r="B13766" s="1">
        <v>45627</v>
      </c>
      <c r="C13766">
        <v>840991</v>
      </c>
      <c r="D13766" t="s">
        <v>176</v>
      </c>
      <c r="E13766">
        <v>206981</v>
      </c>
      <c r="F13766">
        <v>8407</v>
      </c>
      <c r="G13766">
        <v>9212</v>
      </c>
      <c r="H13766">
        <f>_xlfn.XLOOKUP(FACT_IMPORTS[[#This Row],[hts_6]],DIM_PRODUCTS[hts_6],DIM_PRODUCTS[hts_4],,,)</f>
        <v>8409</v>
      </c>
      <c r="I13766" t="str" cm="1">
        <f t="array" ref="I13766">_xlfn.XLOOKUP(FACT_IMPORTS[[#This Row],[country_name]],DIM_COUNTRY[[#All],[Column2]],DIM_COUNTRY[[#All],[Column3]],,,)</f>
        <v>Major_Non-USMCA_Non-China</v>
      </c>
    </row>
    <row r="13767" spans="1:9" x14ac:dyDescent="0.4">
      <c r="A13767" t="s">
        <v>75</v>
      </c>
      <c r="B13767" s="1">
        <v>45627</v>
      </c>
      <c r="C13767">
        <v>840999</v>
      </c>
      <c r="D13767" t="s">
        <v>176</v>
      </c>
      <c r="E13767">
        <v>0</v>
      </c>
      <c r="F13767">
        <v>0</v>
      </c>
      <c r="G13767">
        <v>0</v>
      </c>
      <c r="H13767">
        <f>_xlfn.XLOOKUP(FACT_IMPORTS[[#This Row],[hts_6]],DIM_PRODUCTS[hts_6],DIM_PRODUCTS[hts_4],,,)</f>
        <v>8409</v>
      </c>
      <c r="I13767" t="str" cm="1">
        <f t="array" ref="I13767">_xlfn.XLOOKUP(FACT_IMPORTS[[#This Row],[country_name]],DIM_COUNTRY[[#All],[Column2]],DIM_COUNTRY[[#All],[Column3]],,,)</f>
        <v>Major_Non-USMCA_Non-China</v>
      </c>
    </row>
    <row r="13768" spans="1:9" x14ac:dyDescent="0.4">
      <c r="A13768" t="s">
        <v>75</v>
      </c>
      <c r="B13768" s="1">
        <v>45627</v>
      </c>
      <c r="C13768">
        <v>841330</v>
      </c>
      <c r="D13768" t="s">
        <v>176</v>
      </c>
      <c r="E13768">
        <v>0</v>
      </c>
      <c r="F13768">
        <v>0</v>
      </c>
      <c r="G13768">
        <v>0</v>
      </c>
      <c r="H13768">
        <f>_xlfn.XLOOKUP(FACT_IMPORTS[[#This Row],[hts_6]],DIM_PRODUCTS[hts_6],DIM_PRODUCTS[hts_4],,,)</f>
        <v>8413</v>
      </c>
      <c r="I13768" t="str" cm="1">
        <f t="array" ref="I13768">_xlfn.XLOOKUP(FACT_IMPORTS[[#This Row],[country_name]],DIM_COUNTRY[[#All],[Column2]],DIM_COUNTRY[[#All],[Column3]],,,)</f>
        <v>Major_Non-USMCA_Non-China</v>
      </c>
    </row>
    <row r="13769" spans="1:9" x14ac:dyDescent="0.4">
      <c r="A13769" t="s">
        <v>75</v>
      </c>
      <c r="B13769" s="1">
        <v>45627</v>
      </c>
      <c r="C13769">
        <v>848210</v>
      </c>
      <c r="D13769" t="s">
        <v>176</v>
      </c>
      <c r="E13769">
        <v>80549</v>
      </c>
      <c r="F13769">
        <v>145009</v>
      </c>
      <c r="G13769">
        <v>6557</v>
      </c>
      <c r="H13769">
        <f>_xlfn.XLOOKUP(FACT_IMPORTS[[#This Row],[hts_6]],DIM_PRODUCTS[hts_6],DIM_PRODUCTS[hts_4],,,)</f>
        <v>8482</v>
      </c>
      <c r="I13769" t="str" cm="1">
        <f t="array" ref="I13769">_xlfn.XLOOKUP(FACT_IMPORTS[[#This Row],[country_name]],DIM_COUNTRY[[#All],[Column2]],DIM_COUNTRY[[#All],[Column3]],,,)</f>
        <v>Major_Non-USMCA_Non-China</v>
      </c>
    </row>
    <row r="13770" spans="1:9" x14ac:dyDescent="0.4">
      <c r="A13770" t="s">
        <v>75</v>
      </c>
      <c r="B13770" s="1">
        <v>45627</v>
      </c>
      <c r="C13770">
        <v>848310</v>
      </c>
      <c r="D13770" t="s">
        <v>176</v>
      </c>
      <c r="E13770">
        <v>0</v>
      </c>
      <c r="F13770">
        <v>0</v>
      </c>
      <c r="G13770">
        <v>0</v>
      </c>
      <c r="H13770">
        <f>_xlfn.XLOOKUP(FACT_IMPORTS[[#This Row],[hts_6]],DIM_PRODUCTS[hts_6],DIM_PRODUCTS[hts_4],,,)</f>
        <v>8483</v>
      </c>
      <c r="I13770" t="str" cm="1">
        <f t="array" ref="I13770">_xlfn.XLOOKUP(FACT_IMPORTS[[#This Row],[country_name]],DIM_COUNTRY[[#All],[Column2]],DIM_COUNTRY[[#All],[Column3]],,,)</f>
        <v>Major_Non-USMCA_Non-China</v>
      </c>
    </row>
    <row r="13771" spans="1:9" x14ac:dyDescent="0.4">
      <c r="A13771" t="s">
        <v>75</v>
      </c>
      <c r="B13771" s="1">
        <v>45627</v>
      </c>
      <c r="C13771">
        <v>850131</v>
      </c>
      <c r="D13771" t="s">
        <v>176</v>
      </c>
      <c r="E13771">
        <v>0</v>
      </c>
      <c r="F13771">
        <v>0</v>
      </c>
      <c r="G13771">
        <v>0</v>
      </c>
      <c r="H13771">
        <f>_xlfn.XLOOKUP(FACT_IMPORTS[[#This Row],[hts_6]],DIM_PRODUCTS[hts_6],DIM_PRODUCTS[hts_4],,,)</f>
        <v>8501</v>
      </c>
      <c r="I13771" t="str" cm="1">
        <f t="array" ref="I13771">_xlfn.XLOOKUP(FACT_IMPORTS[[#This Row],[country_name]],DIM_COUNTRY[[#All],[Column2]],DIM_COUNTRY[[#All],[Column3]],,,)</f>
        <v>Major_Non-USMCA_Non-China</v>
      </c>
    </row>
    <row r="13772" spans="1:9" x14ac:dyDescent="0.4">
      <c r="A13772" t="s">
        <v>75</v>
      </c>
      <c r="B13772" s="1">
        <v>45627</v>
      </c>
      <c r="C13772">
        <v>850132</v>
      </c>
      <c r="D13772" t="s">
        <v>176</v>
      </c>
      <c r="E13772">
        <v>0</v>
      </c>
      <c r="F13772">
        <v>0</v>
      </c>
      <c r="G13772">
        <v>0</v>
      </c>
      <c r="H13772">
        <f>_xlfn.XLOOKUP(FACT_IMPORTS[[#This Row],[hts_6]],DIM_PRODUCTS[hts_6],DIM_PRODUCTS[hts_4],,,)</f>
        <v>8501</v>
      </c>
      <c r="I13772" t="str" cm="1">
        <f t="array" ref="I13772">_xlfn.XLOOKUP(FACT_IMPORTS[[#This Row],[country_name]],DIM_COUNTRY[[#All],[Column2]],DIM_COUNTRY[[#All],[Column3]],,,)</f>
        <v>Major_Non-USMCA_Non-China</v>
      </c>
    </row>
    <row r="13773" spans="1:9" x14ac:dyDescent="0.4">
      <c r="A13773" t="s">
        <v>75</v>
      </c>
      <c r="B13773" s="1">
        <v>45627</v>
      </c>
      <c r="C13773">
        <v>850152</v>
      </c>
      <c r="D13773" t="s">
        <v>176</v>
      </c>
      <c r="E13773">
        <v>0</v>
      </c>
      <c r="F13773">
        <v>0</v>
      </c>
      <c r="G13773">
        <v>0</v>
      </c>
      <c r="H13773">
        <f>_xlfn.XLOOKUP(FACT_IMPORTS[[#This Row],[hts_6]],DIM_PRODUCTS[hts_6],DIM_PRODUCTS[hts_4],,,)</f>
        <v>8501</v>
      </c>
      <c r="I13773" t="str" cm="1">
        <f t="array" ref="I13773">_xlfn.XLOOKUP(FACT_IMPORTS[[#This Row],[country_name]],DIM_COUNTRY[[#All],[Column2]],DIM_COUNTRY[[#All],[Column3]],,,)</f>
        <v>Major_Non-USMCA_Non-China</v>
      </c>
    </row>
    <row r="13774" spans="1:9" x14ac:dyDescent="0.4">
      <c r="A13774" t="s">
        <v>75</v>
      </c>
      <c r="B13774" s="1">
        <v>45627</v>
      </c>
      <c r="C13774">
        <v>850153</v>
      </c>
      <c r="D13774" t="s">
        <v>176</v>
      </c>
      <c r="E13774">
        <v>0</v>
      </c>
      <c r="F13774">
        <v>0</v>
      </c>
      <c r="G13774">
        <v>0</v>
      </c>
      <c r="H13774">
        <f>_xlfn.XLOOKUP(FACT_IMPORTS[[#This Row],[hts_6]],DIM_PRODUCTS[hts_6],DIM_PRODUCTS[hts_4],,,)</f>
        <v>8501</v>
      </c>
      <c r="I13774" t="str" cm="1">
        <f t="array" ref="I13774">_xlfn.XLOOKUP(FACT_IMPORTS[[#This Row],[country_name]],DIM_COUNTRY[[#All],[Column2]],DIM_COUNTRY[[#All],[Column3]],,,)</f>
        <v>Major_Non-USMCA_Non-China</v>
      </c>
    </row>
    <row r="13775" spans="1:9" x14ac:dyDescent="0.4">
      <c r="A13775" t="s">
        <v>75</v>
      </c>
      <c r="B13775" s="1">
        <v>45627</v>
      </c>
      <c r="C13775">
        <v>850161</v>
      </c>
      <c r="D13775" t="s">
        <v>176</v>
      </c>
      <c r="E13775">
        <v>0</v>
      </c>
      <c r="F13775">
        <v>0</v>
      </c>
      <c r="G13775">
        <v>0</v>
      </c>
      <c r="H13775">
        <f>_xlfn.XLOOKUP(FACT_IMPORTS[[#This Row],[hts_6]],DIM_PRODUCTS[hts_6],DIM_PRODUCTS[hts_4],,,)</f>
        <v>8501</v>
      </c>
      <c r="I13775" t="str" cm="1">
        <f t="array" ref="I13775">_xlfn.XLOOKUP(FACT_IMPORTS[[#This Row],[country_name]],DIM_COUNTRY[[#All],[Column2]],DIM_COUNTRY[[#All],[Column3]],,,)</f>
        <v>Major_Non-USMCA_Non-China</v>
      </c>
    </row>
    <row r="13776" spans="1:9" x14ac:dyDescent="0.4">
      <c r="A13776" t="s">
        <v>75</v>
      </c>
      <c r="B13776" s="1">
        <v>45627</v>
      </c>
      <c r="C13776">
        <v>850440</v>
      </c>
      <c r="D13776" t="s">
        <v>176</v>
      </c>
      <c r="E13776">
        <v>211120</v>
      </c>
      <c r="F13776">
        <v>3036</v>
      </c>
      <c r="G13776">
        <v>1897</v>
      </c>
      <c r="H13776">
        <f>_xlfn.XLOOKUP(FACT_IMPORTS[[#This Row],[hts_6]],DIM_PRODUCTS[hts_6],DIM_PRODUCTS[hts_4],,,)</f>
        <v>8504</v>
      </c>
      <c r="I13776" t="str" cm="1">
        <f t="array" ref="I13776">_xlfn.XLOOKUP(FACT_IMPORTS[[#This Row],[country_name]],DIM_COUNTRY[[#All],[Column2]],DIM_COUNTRY[[#All],[Column3]],,,)</f>
        <v>Major_Non-USMCA_Non-China</v>
      </c>
    </row>
    <row r="13777" spans="1:9" x14ac:dyDescent="0.4">
      <c r="A13777" t="s">
        <v>75</v>
      </c>
      <c r="B13777" s="1">
        <v>45627</v>
      </c>
      <c r="C13777">
        <v>850710</v>
      </c>
      <c r="D13777" t="s">
        <v>176</v>
      </c>
      <c r="E13777">
        <v>11150</v>
      </c>
      <c r="F13777">
        <v>150</v>
      </c>
      <c r="G13777">
        <v>10</v>
      </c>
      <c r="H13777">
        <f>_xlfn.XLOOKUP(FACT_IMPORTS[[#This Row],[hts_6]],DIM_PRODUCTS[hts_6],DIM_PRODUCTS[hts_4],,,)</f>
        <v>8507</v>
      </c>
      <c r="I13777" t="str" cm="1">
        <f t="array" ref="I13777">_xlfn.XLOOKUP(FACT_IMPORTS[[#This Row],[country_name]],DIM_COUNTRY[[#All],[Column2]],DIM_COUNTRY[[#All],[Column3]],,,)</f>
        <v>Major_Non-USMCA_Non-China</v>
      </c>
    </row>
    <row r="13778" spans="1:9" x14ac:dyDescent="0.4">
      <c r="A13778" t="s">
        <v>75</v>
      </c>
      <c r="B13778" s="1">
        <v>45627</v>
      </c>
      <c r="C13778">
        <v>850760</v>
      </c>
      <c r="D13778" t="s">
        <v>176</v>
      </c>
      <c r="E13778">
        <v>0</v>
      </c>
      <c r="F13778">
        <v>0</v>
      </c>
      <c r="G13778">
        <v>0</v>
      </c>
      <c r="H13778">
        <f>_xlfn.XLOOKUP(FACT_IMPORTS[[#This Row],[hts_6]],DIM_PRODUCTS[hts_6],DIM_PRODUCTS[hts_4],,,)</f>
        <v>8507</v>
      </c>
      <c r="I13778" t="str" cm="1">
        <f t="array" ref="I13778">_xlfn.XLOOKUP(FACT_IMPORTS[[#This Row],[country_name]],DIM_COUNTRY[[#All],[Column2]],DIM_COUNTRY[[#All],[Column3]],,,)</f>
        <v>Major_Non-USMCA_Non-China</v>
      </c>
    </row>
    <row r="13779" spans="1:9" x14ac:dyDescent="0.4">
      <c r="A13779" t="s">
        <v>75</v>
      </c>
      <c r="B13779" s="1">
        <v>45627</v>
      </c>
      <c r="C13779">
        <v>851120</v>
      </c>
      <c r="D13779" t="s">
        <v>176</v>
      </c>
      <c r="E13779">
        <v>0</v>
      </c>
      <c r="F13779">
        <v>0</v>
      </c>
      <c r="G13779">
        <v>0</v>
      </c>
      <c r="H13779">
        <f>_xlfn.XLOOKUP(FACT_IMPORTS[[#This Row],[hts_6]],DIM_PRODUCTS[hts_6],DIM_PRODUCTS[hts_4],,,)</f>
        <v>8511</v>
      </c>
      <c r="I13779" t="str" cm="1">
        <f t="array" ref="I13779">_xlfn.XLOOKUP(FACT_IMPORTS[[#This Row],[country_name]],DIM_COUNTRY[[#All],[Column2]],DIM_COUNTRY[[#All],[Column3]],,,)</f>
        <v>Major_Non-USMCA_Non-China</v>
      </c>
    </row>
    <row r="13780" spans="1:9" x14ac:dyDescent="0.4">
      <c r="A13780" t="s">
        <v>75</v>
      </c>
      <c r="B13780" s="1">
        <v>45627</v>
      </c>
      <c r="C13780">
        <v>851130</v>
      </c>
      <c r="D13780" t="s">
        <v>176</v>
      </c>
      <c r="E13780">
        <v>0</v>
      </c>
      <c r="F13780">
        <v>0</v>
      </c>
      <c r="G13780">
        <v>0</v>
      </c>
      <c r="H13780">
        <f>_xlfn.XLOOKUP(FACT_IMPORTS[[#This Row],[hts_6]],DIM_PRODUCTS[hts_6],DIM_PRODUCTS[hts_4],,,)</f>
        <v>8511</v>
      </c>
      <c r="I13780" t="str" cm="1">
        <f t="array" ref="I13780">_xlfn.XLOOKUP(FACT_IMPORTS[[#This Row],[country_name]],DIM_COUNTRY[[#All],[Column2]],DIM_COUNTRY[[#All],[Column3]],,,)</f>
        <v>Major_Non-USMCA_Non-China</v>
      </c>
    </row>
    <row r="13781" spans="1:9" x14ac:dyDescent="0.4">
      <c r="A13781" t="s">
        <v>75</v>
      </c>
      <c r="B13781" s="1">
        <v>45627</v>
      </c>
      <c r="C13781">
        <v>851140</v>
      </c>
      <c r="D13781" t="s">
        <v>176</v>
      </c>
      <c r="E13781">
        <v>12451</v>
      </c>
      <c r="F13781">
        <v>117</v>
      </c>
      <c r="G13781">
        <v>8</v>
      </c>
      <c r="H13781">
        <f>_xlfn.XLOOKUP(FACT_IMPORTS[[#This Row],[hts_6]],DIM_PRODUCTS[hts_6],DIM_PRODUCTS[hts_4],,,)</f>
        <v>8511</v>
      </c>
      <c r="I13781" t="str" cm="1">
        <f t="array" ref="I13781">_xlfn.XLOOKUP(FACT_IMPORTS[[#This Row],[country_name]],DIM_COUNTRY[[#All],[Column2]],DIM_COUNTRY[[#All],[Column3]],,,)</f>
        <v>Major_Non-USMCA_Non-China</v>
      </c>
    </row>
    <row r="13782" spans="1:9" x14ac:dyDescent="0.4">
      <c r="A13782" t="s">
        <v>75</v>
      </c>
      <c r="B13782" s="1">
        <v>45627</v>
      </c>
      <c r="C13782">
        <v>851150</v>
      </c>
      <c r="D13782" t="s">
        <v>176</v>
      </c>
      <c r="E13782">
        <v>10153</v>
      </c>
      <c r="F13782">
        <v>18</v>
      </c>
      <c r="G13782">
        <v>117</v>
      </c>
      <c r="H13782">
        <f>_xlfn.XLOOKUP(FACT_IMPORTS[[#This Row],[hts_6]],DIM_PRODUCTS[hts_6],DIM_PRODUCTS[hts_4],,,)</f>
        <v>8511</v>
      </c>
      <c r="I13782" t="str" cm="1">
        <f t="array" ref="I13782">_xlfn.XLOOKUP(FACT_IMPORTS[[#This Row],[country_name]],DIM_COUNTRY[[#All],[Column2]],DIM_COUNTRY[[#All],[Column3]],,,)</f>
        <v>Major_Non-USMCA_Non-China</v>
      </c>
    </row>
    <row r="13783" spans="1:9" x14ac:dyDescent="0.4">
      <c r="A13783" t="s">
        <v>75</v>
      </c>
      <c r="B13783" s="1">
        <v>45627</v>
      </c>
      <c r="C13783">
        <v>851180</v>
      </c>
      <c r="D13783" t="s">
        <v>176</v>
      </c>
      <c r="E13783">
        <v>0</v>
      </c>
      <c r="F13783">
        <v>0</v>
      </c>
      <c r="G13783">
        <v>0</v>
      </c>
      <c r="H13783">
        <f>_xlfn.XLOOKUP(FACT_IMPORTS[[#This Row],[hts_6]],DIM_PRODUCTS[hts_6],DIM_PRODUCTS[hts_4],,,)</f>
        <v>8511</v>
      </c>
      <c r="I13783" t="str" cm="1">
        <f t="array" ref="I13783">_xlfn.XLOOKUP(FACT_IMPORTS[[#This Row],[country_name]],DIM_COUNTRY[[#All],[Column2]],DIM_COUNTRY[[#All],[Column3]],,,)</f>
        <v>Major_Non-USMCA_Non-China</v>
      </c>
    </row>
    <row r="13784" spans="1:9" x14ac:dyDescent="0.4">
      <c r="A13784" t="s">
        <v>75</v>
      </c>
      <c r="B13784" s="1">
        <v>45627</v>
      </c>
      <c r="C13784">
        <v>851190</v>
      </c>
      <c r="D13784" t="s">
        <v>176</v>
      </c>
      <c r="E13784">
        <v>9142</v>
      </c>
      <c r="F13784">
        <v>148</v>
      </c>
      <c r="G13784">
        <v>200</v>
      </c>
      <c r="H13784">
        <f>_xlfn.XLOOKUP(FACT_IMPORTS[[#This Row],[hts_6]],DIM_PRODUCTS[hts_6],DIM_PRODUCTS[hts_4],,,)</f>
        <v>8511</v>
      </c>
      <c r="I13784" t="str" cm="1">
        <f t="array" ref="I13784">_xlfn.XLOOKUP(FACT_IMPORTS[[#This Row],[country_name]],DIM_COUNTRY[[#All],[Column2]],DIM_COUNTRY[[#All],[Column3]],,,)</f>
        <v>Major_Non-USMCA_Non-China</v>
      </c>
    </row>
    <row r="13785" spans="1:9" x14ac:dyDescent="0.4">
      <c r="A13785" t="s">
        <v>75</v>
      </c>
      <c r="B13785" s="1">
        <v>45627</v>
      </c>
      <c r="C13785">
        <v>851220</v>
      </c>
      <c r="D13785" t="s">
        <v>176</v>
      </c>
      <c r="E13785">
        <v>654419</v>
      </c>
      <c r="F13785">
        <v>297859</v>
      </c>
      <c r="G13785">
        <v>14700</v>
      </c>
      <c r="H13785">
        <f>_xlfn.XLOOKUP(FACT_IMPORTS[[#This Row],[hts_6]],DIM_PRODUCTS[hts_6],DIM_PRODUCTS[hts_4],,,)</f>
        <v>8512</v>
      </c>
      <c r="I13785" t="str" cm="1">
        <f t="array" ref="I13785">_xlfn.XLOOKUP(FACT_IMPORTS[[#This Row],[country_name]],DIM_COUNTRY[[#All],[Column2]],DIM_COUNTRY[[#All],[Column3]],,,)</f>
        <v>Major_Non-USMCA_Non-China</v>
      </c>
    </row>
    <row r="13786" spans="1:9" x14ac:dyDescent="0.4">
      <c r="A13786" t="s">
        <v>75</v>
      </c>
      <c r="B13786" s="1">
        <v>45627</v>
      </c>
      <c r="C13786">
        <v>851230</v>
      </c>
      <c r="D13786" t="s">
        <v>176</v>
      </c>
      <c r="E13786">
        <v>2034</v>
      </c>
      <c r="F13786">
        <v>100</v>
      </c>
      <c r="G13786">
        <v>298</v>
      </c>
      <c r="H13786">
        <f>_xlfn.XLOOKUP(FACT_IMPORTS[[#This Row],[hts_6]],DIM_PRODUCTS[hts_6],DIM_PRODUCTS[hts_4],,,)</f>
        <v>8512</v>
      </c>
      <c r="I13786" t="str" cm="1">
        <f t="array" ref="I13786">_xlfn.XLOOKUP(FACT_IMPORTS[[#This Row],[country_name]],DIM_COUNTRY[[#All],[Column2]],DIM_COUNTRY[[#All],[Column3]],,,)</f>
        <v>Major_Non-USMCA_Non-China</v>
      </c>
    </row>
    <row r="13787" spans="1:9" x14ac:dyDescent="0.4">
      <c r="A13787" t="s">
        <v>75</v>
      </c>
      <c r="B13787" s="1">
        <v>45627</v>
      </c>
      <c r="C13787">
        <v>851290</v>
      </c>
      <c r="D13787" t="s">
        <v>176</v>
      </c>
      <c r="E13787">
        <v>2460349</v>
      </c>
      <c r="F13787">
        <v>42741</v>
      </c>
      <c r="G13787">
        <v>21307</v>
      </c>
      <c r="H13787">
        <f>_xlfn.XLOOKUP(FACT_IMPORTS[[#This Row],[hts_6]],DIM_PRODUCTS[hts_6],DIM_PRODUCTS[hts_4],,,)</f>
        <v>8512</v>
      </c>
      <c r="I13787" t="str" cm="1">
        <f t="array" ref="I13787">_xlfn.XLOOKUP(FACT_IMPORTS[[#This Row],[country_name]],DIM_COUNTRY[[#All],[Column2]],DIM_COUNTRY[[#All],[Column3]],,,)</f>
        <v>Major_Non-USMCA_Non-China</v>
      </c>
    </row>
    <row r="13788" spans="1:9" x14ac:dyDescent="0.4">
      <c r="A13788" t="s">
        <v>75</v>
      </c>
      <c r="B13788" s="1">
        <v>45627</v>
      </c>
      <c r="C13788">
        <v>854231</v>
      </c>
      <c r="D13788" t="s">
        <v>176</v>
      </c>
      <c r="E13788">
        <v>123669</v>
      </c>
      <c r="F13788">
        <v>922</v>
      </c>
      <c r="G13788">
        <v>1075</v>
      </c>
      <c r="H13788">
        <f>_xlfn.XLOOKUP(FACT_IMPORTS[[#This Row],[hts_6]],DIM_PRODUCTS[hts_6],DIM_PRODUCTS[hts_4],,,)</f>
        <v>8542</v>
      </c>
      <c r="I13788" t="str" cm="1">
        <f t="array" ref="I13788">_xlfn.XLOOKUP(FACT_IMPORTS[[#This Row],[country_name]],DIM_COUNTRY[[#All],[Column2]],DIM_COUNTRY[[#All],[Column3]],,,)</f>
        <v>Major_Non-USMCA_Non-China</v>
      </c>
    </row>
    <row r="13789" spans="1:9" x14ac:dyDescent="0.4">
      <c r="A13789" t="s">
        <v>75</v>
      </c>
      <c r="B13789" s="1">
        <v>45627</v>
      </c>
      <c r="C13789">
        <v>854232</v>
      </c>
      <c r="D13789" t="s">
        <v>176</v>
      </c>
      <c r="E13789">
        <v>0</v>
      </c>
      <c r="F13789">
        <v>0</v>
      </c>
      <c r="G13789">
        <v>0</v>
      </c>
      <c r="H13789">
        <f>_xlfn.XLOOKUP(FACT_IMPORTS[[#This Row],[hts_6]],DIM_PRODUCTS[hts_6],DIM_PRODUCTS[hts_4],,,)</f>
        <v>8542</v>
      </c>
      <c r="I13789" t="str" cm="1">
        <f t="array" ref="I13789">_xlfn.XLOOKUP(FACT_IMPORTS[[#This Row],[country_name]],DIM_COUNTRY[[#All],[Column2]],DIM_COUNTRY[[#All],[Column3]],,,)</f>
        <v>Major_Non-USMCA_Non-China</v>
      </c>
    </row>
    <row r="13790" spans="1:9" x14ac:dyDescent="0.4">
      <c r="A13790" t="s">
        <v>75</v>
      </c>
      <c r="B13790" s="1">
        <v>45627</v>
      </c>
      <c r="C13790">
        <v>854233</v>
      </c>
      <c r="D13790" t="s">
        <v>176</v>
      </c>
      <c r="E13790">
        <v>0</v>
      </c>
      <c r="F13790">
        <v>0</v>
      </c>
      <c r="G13790">
        <v>0</v>
      </c>
      <c r="H13790">
        <f>_xlfn.XLOOKUP(FACT_IMPORTS[[#This Row],[hts_6]],DIM_PRODUCTS[hts_6],DIM_PRODUCTS[hts_4],,,)</f>
        <v>8542</v>
      </c>
      <c r="I13790" t="str" cm="1">
        <f t="array" ref="I13790">_xlfn.XLOOKUP(FACT_IMPORTS[[#This Row],[country_name]],DIM_COUNTRY[[#All],[Column2]],DIM_COUNTRY[[#All],[Column3]],,,)</f>
        <v>Major_Non-USMCA_Non-China</v>
      </c>
    </row>
    <row r="13791" spans="1:9" x14ac:dyDescent="0.4">
      <c r="A13791" t="s">
        <v>75</v>
      </c>
      <c r="B13791" s="1">
        <v>45627</v>
      </c>
      <c r="C13791">
        <v>854239</v>
      </c>
      <c r="D13791" t="s">
        <v>176</v>
      </c>
      <c r="E13791">
        <v>370458</v>
      </c>
      <c r="F13791">
        <v>8767</v>
      </c>
      <c r="G13791">
        <v>23118</v>
      </c>
      <c r="H13791">
        <f>_xlfn.XLOOKUP(FACT_IMPORTS[[#This Row],[hts_6]],DIM_PRODUCTS[hts_6],DIM_PRODUCTS[hts_4],,,)</f>
        <v>8542</v>
      </c>
      <c r="I13791" t="str" cm="1">
        <f t="array" ref="I13791">_xlfn.XLOOKUP(FACT_IMPORTS[[#This Row],[country_name]],DIM_COUNTRY[[#All],[Column2]],DIM_COUNTRY[[#All],[Column3]],,,)</f>
        <v>Major_Non-USMCA_Non-China</v>
      </c>
    </row>
    <row r="13792" spans="1:9" x14ac:dyDescent="0.4">
      <c r="A13792" t="s">
        <v>75</v>
      </c>
      <c r="B13792" s="1">
        <v>45627</v>
      </c>
      <c r="C13792">
        <v>854290</v>
      </c>
      <c r="D13792" t="s">
        <v>176</v>
      </c>
      <c r="E13792">
        <v>0</v>
      </c>
      <c r="F13792">
        <v>0</v>
      </c>
      <c r="G13792">
        <v>0</v>
      </c>
      <c r="H13792">
        <f>_xlfn.XLOOKUP(FACT_IMPORTS[[#This Row],[hts_6]],DIM_PRODUCTS[hts_6],DIM_PRODUCTS[hts_4],,,)</f>
        <v>8542</v>
      </c>
      <c r="I13792" t="str" cm="1">
        <f t="array" ref="I13792">_xlfn.XLOOKUP(FACT_IMPORTS[[#This Row],[country_name]],DIM_COUNTRY[[#All],[Column2]],DIM_COUNTRY[[#All],[Column3]],,,)</f>
        <v>Major_Non-USMCA_Non-China</v>
      </c>
    </row>
    <row r="13793" spans="1:9" x14ac:dyDescent="0.4">
      <c r="A13793" t="s">
        <v>75</v>
      </c>
      <c r="B13793" s="1">
        <v>45627</v>
      </c>
      <c r="C13793">
        <v>854430</v>
      </c>
      <c r="D13793" t="s">
        <v>176</v>
      </c>
      <c r="E13793">
        <v>16161</v>
      </c>
      <c r="F13793">
        <v>717</v>
      </c>
      <c r="G13793">
        <v>187</v>
      </c>
      <c r="H13793">
        <f>_xlfn.XLOOKUP(FACT_IMPORTS[[#This Row],[hts_6]],DIM_PRODUCTS[hts_6],DIM_PRODUCTS[hts_4],,,)</f>
        <v>8544</v>
      </c>
      <c r="I13793" t="str" cm="1">
        <f t="array" ref="I13793">_xlfn.XLOOKUP(FACT_IMPORTS[[#This Row],[country_name]],DIM_COUNTRY[[#All],[Column2]],DIM_COUNTRY[[#All],[Column3]],,,)</f>
        <v>Major_Non-USMCA_Non-China</v>
      </c>
    </row>
    <row r="13794" spans="1:9" x14ac:dyDescent="0.4">
      <c r="A13794" t="s">
        <v>75</v>
      </c>
      <c r="B13794" s="1">
        <v>45627</v>
      </c>
      <c r="C13794">
        <v>870810</v>
      </c>
      <c r="D13794" t="s">
        <v>176</v>
      </c>
      <c r="E13794">
        <v>311235</v>
      </c>
      <c r="F13794">
        <v>3167</v>
      </c>
      <c r="G13794">
        <v>56022</v>
      </c>
      <c r="H13794">
        <f>_xlfn.XLOOKUP(FACT_IMPORTS[[#This Row],[hts_6]],DIM_PRODUCTS[hts_6],DIM_PRODUCTS[hts_4],,,)</f>
        <v>8708</v>
      </c>
      <c r="I13794" t="str" cm="1">
        <f t="array" ref="I13794">_xlfn.XLOOKUP(FACT_IMPORTS[[#This Row],[country_name]],DIM_COUNTRY[[#All],[Column2]],DIM_COUNTRY[[#All],[Column3]],,,)</f>
        <v>Major_Non-USMCA_Non-China</v>
      </c>
    </row>
    <row r="13795" spans="1:9" x14ac:dyDescent="0.4">
      <c r="A13795" t="s">
        <v>75</v>
      </c>
      <c r="B13795" s="1">
        <v>45627</v>
      </c>
      <c r="C13795">
        <v>870829</v>
      </c>
      <c r="D13795" t="s">
        <v>176</v>
      </c>
      <c r="E13795">
        <v>666103</v>
      </c>
      <c r="F13795">
        <v>185442</v>
      </c>
      <c r="G13795">
        <v>46280</v>
      </c>
      <c r="H13795">
        <f>_xlfn.XLOOKUP(FACT_IMPORTS[[#This Row],[hts_6]],DIM_PRODUCTS[hts_6],DIM_PRODUCTS[hts_4],,,)</f>
        <v>8708</v>
      </c>
      <c r="I13795" t="str" cm="1">
        <f t="array" ref="I13795">_xlfn.XLOOKUP(FACT_IMPORTS[[#This Row],[country_name]],DIM_COUNTRY[[#All],[Column2]],DIM_COUNTRY[[#All],[Column3]],,,)</f>
        <v>Major_Non-USMCA_Non-China</v>
      </c>
    </row>
    <row r="13796" spans="1:9" x14ac:dyDescent="0.4">
      <c r="A13796" t="s">
        <v>75</v>
      </c>
      <c r="B13796" s="1">
        <v>45627</v>
      </c>
      <c r="C13796">
        <v>870830</v>
      </c>
      <c r="D13796" t="s">
        <v>176</v>
      </c>
      <c r="E13796">
        <v>2067</v>
      </c>
      <c r="F13796">
        <v>39</v>
      </c>
      <c r="G13796">
        <v>2</v>
      </c>
      <c r="H13796">
        <f>_xlfn.XLOOKUP(FACT_IMPORTS[[#This Row],[hts_6]],DIM_PRODUCTS[hts_6],DIM_PRODUCTS[hts_4],,,)</f>
        <v>8708</v>
      </c>
      <c r="I13796" t="str" cm="1">
        <f t="array" ref="I13796">_xlfn.XLOOKUP(FACT_IMPORTS[[#This Row],[country_name]],DIM_COUNTRY[[#All],[Column2]],DIM_COUNTRY[[#All],[Column3]],,,)</f>
        <v>Major_Non-USMCA_Non-China</v>
      </c>
    </row>
    <row r="13797" spans="1:9" x14ac:dyDescent="0.4">
      <c r="A13797" t="s">
        <v>75</v>
      </c>
      <c r="B13797" s="1">
        <v>45627</v>
      </c>
      <c r="C13797">
        <v>870840</v>
      </c>
      <c r="D13797" t="s">
        <v>176</v>
      </c>
      <c r="E13797">
        <v>513428</v>
      </c>
      <c r="F13797">
        <v>22000</v>
      </c>
      <c r="G13797">
        <v>14001</v>
      </c>
      <c r="H13797">
        <f>_xlfn.XLOOKUP(FACT_IMPORTS[[#This Row],[hts_6]],DIM_PRODUCTS[hts_6],DIM_PRODUCTS[hts_4],,,)</f>
        <v>8708</v>
      </c>
      <c r="I13797" t="str" cm="1">
        <f t="array" ref="I13797">_xlfn.XLOOKUP(FACT_IMPORTS[[#This Row],[country_name]],DIM_COUNTRY[[#All],[Column2]],DIM_COUNTRY[[#All],[Column3]],,,)</f>
        <v>Major_Non-USMCA_Non-China</v>
      </c>
    </row>
    <row r="13798" spans="1:9" x14ac:dyDescent="0.4">
      <c r="A13798" t="s">
        <v>75</v>
      </c>
      <c r="B13798" s="1">
        <v>45627</v>
      </c>
      <c r="C13798">
        <v>870850</v>
      </c>
      <c r="D13798" t="s">
        <v>176</v>
      </c>
      <c r="E13798">
        <v>419908</v>
      </c>
      <c r="F13798">
        <v>43120</v>
      </c>
      <c r="G13798">
        <v>15892</v>
      </c>
      <c r="H13798">
        <f>_xlfn.XLOOKUP(FACT_IMPORTS[[#This Row],[hts_6]],DIM_PRODUCTS[hts_6],DIM_PRODUCTS[hts_4],,,)</f>
        <v>8708</v>
      </c>
      <c r="I13798" t="str" cm="1">
        <f t="array" ref="I13798">_xlfn.XLOOKUP(FACT_IMPORTS[[#This Row],[country_name]],DIM_COUNTRY[[#All],[Column2]],DIM_COUNTRY[[#All],[Column3]],,,)</f>
        <v>Major_Non-USMCA_Non-China</v>
      </c>
    </row>
    <row r="13799" spans="1:9" x14ac:dyDescent="0.4">
      <c r="A13799" t="s">
        <v>75</v>
      </c>
      <c r="B13799" s="1">
        <v>45627</v>
      </c>
      <c r="C13799">
        <v>870870</v>
      </c>
      <c r="D13799" t="s">
        <v>176</v>
      </c>
      <c r="E13799">
        <v>509396</v>
      </c>
      <c r="F13799">
        <v>1893</v>
      </c>
      <c r="G13799">
        <v>3296</v>
      </c>
      <c r="H13799">
        <f>_xlfn.XLOOKUP(FACT_IMPORTS[[#This Row],[hts_6]],DIM_PRODUCTS[hts_6],DIM_PRODUCTS[hts_4],,,)</f>
        <v>8708</v>
      </c>
      <c r="I13799" t="str" cm="1">
        <f t="array" ref="I13799">_xlfn.XLOOKUP(FACT_IMPORTS[[#This Row],[country_name]],DIM_COUNTRY[[#All],[Column2]],DIM_COUNTRY[[#All],[Column3]],,,)</f>
        <v>Major_Non-USMCA_Non-China</v>
      </c>
    </row>
    <row r="13800" spans="1:9" x14ac:dyDescent="0.4">
      <c r="A13800" t="s">
        <v>75</v>
      </c>
      <c r="B13800" s="1">
        <v>45627</v>
      </c>
      <c r="C13800">
        <v>870880</v>
      </c>
      <c r="D13800" t="s">
        <v>176</v>
      </c>
      <c r="E13800">
        <v>1014782</v>
      </c>
      <c r="F13800">
        <v>108386</v>
      </c>
      <c r="G13800">
        <v>38327</v>
      </c>
      <c r="H13800">
        <f>_xlfn.XLOOKUP(FACT_IMPORTS[[#This Row],[hts_6]],DIM_PRODUCTS[hts_6],DIM_PRODUCTS[hts_4],,,)</f>
        <v>8708</v>
      </c>
      <c r="I13800" t="str" cm="1">
        <f t="array" ref="I13800">_xlfn.XLOOKUP(FACT_IMPORTS[[#This Row],[country_name]],DIM_COUNTRY[[#All],[Column2]],DIM_COUNTRY[[#All],[Column3]],,,)</f>
        <v>Major_Non-USMCA_Non-China</v>
      </c>
    </row>
    <row r="13801" spans="1:9" x14ac:dyDescent="0.4">
      <c r="A13801" t="s">
        <v>75</v>
      </c>
      <c r="B13801" s="1">
        <v>45627</v>
      </c>
      <c r="C13801">
        <v>870891</v>
      </c>
      <c r="D13801" t="s">
        <v>176</v>
      </c>
      <c r="E13801">
        <v>48586</v>
      </c>
      <c r="F13801">
        <v>35384</v>
      </c>
      <c r="G13801">
        <v>5068</v>
      </c>
      <c r="H13801">
        <f>_xlfn.XLOOKUP(FACT_IMPORTS[[#This Row],[hts_6]],DIM_PRODUCTS[hts_6],DIM_PRODUCTS[hts_4],,,)</f>
        <v>8708</v>
      </c>
      <c r="I13801" t="str" cm="1">
        <f t="array" ref="I13801">_xlfn.XLOOKUP(FACT_IMPORTS[[#This Row],[country_name]],DIM_COUNTRY[[#All],[Column2]],DIM_COUNTRY[[#All],[Column3]],,,)</f>
        <v>Major_Non-USMCA_Non-China</v>
      </c>
    </row>
    <row r="13802" spans="1:9" x14ac:dyDescent="0.4">
      <c r="A13802" t="s">
        <v>75</v>
      </c>
      <c r="B13802" s="1">
        <v>45627</v>
      </c>
      <c r="C13802">
        <v>870892</v>
      </c>
      <c r="D13802" t="s">
        <v>176</v>
      </c>
      <c r="E13802">
        <v>100896</v>
      </c>
      <c r="F13802">
        <v>34085</v>
      </c>
      <c r="G13802">
        <v>8505</v>
      </c>
      <c r="H13802">
        <f>_xlfn.XLOOKUP(FACT_IMPORTS[[#This Row],[hts_6]],DIM_PRODUCTS[hts_6],DIM_PRODUCTS[hts_4],,,)</f>
        <v>8708</v>
      </c>
      <c r="I13802" t="str" cm="1">
        <f t="array" ref="I13802">_xlfn.XLOOKUP(FACT_IMPORTS[[#This Row],[country_name]],DIM_COUNTRY[[#All],[Column2]],DIM_COUNTRY[[#All],[Column3]],,,)</f>
        <v>Major_Non-USMCA_Non-China</v>
      </c>
    </row>
    <row r="13803" spans="1:9" x14ac:dyDescent="0.4">
      <c r="A13803" t="s">
        <v>75</v>
      </c>
      <c r="B13803" s="1">
        <v>45627</v>
      </c>
      <c r="C13803">
        <v>870893</v>
      </c>
      <c r="D13803" t="s">
        <v>176</v>
      </c>
      <c r="E13803">
        <v>45227</v>
      </c>
      <c r="F13803">
        <v>1690</v>
      </c>
      <c r="G13803">
        <v>49</v>
      </c>
      <c r="H13803">
        <f>_xlfn.XLOOKUP(FACT_IMPORTS[[#This Row],[hts_6]],DIM_PRODUCTS[hts_6],DIM_PRODUCTS[hts_4],,,)</f>
        <v>8708</v>
      </c>
      <c r="I13803" t="str" cm="1">
        <f t="array" ref="I13803">_xlfn.XLOOKUP(FACT_IMPORTS[[#This Row],[country_name]],DIM_COUNTRY[[#All],[Column2]],DIM_COUNTRY[[#All],[Column3]],,,)</f>
        <v>Major_Non-USMCA_Non-China</v>
      </c>
    </row>
    <row r="13804" spans="1:9" x14ac:dyDescent="0.4">
      <c r="A13804" t="s">
        <v>75</v>
      </c>
      <c r="B13804" s="1">
        <v>45627</v>
      </c>
      <c r="C13804">
        <v>870894</v>
      </c>
      <c r="D13804" t="s">
        <v>176</v>
      </c>
      <c r="E13804">
        <v>36440</v>
      </c>
      <c r="F13804">
        <v>29347</v>
      </c>
      <c r="G13804">
        <v>520</v>
      </c>
      <c r="H13804">
        <f>_xlfn.XLOOKUP(FACT_IMPORTS[[#This Row],[hts_6]],DIM_PRODUCTS[hts_6],DIM_PRODUCTS[hts_4],,,)</f>
        <v>8708</v>
      </c>
      <c r="I13804" t="str" cm="1">
        <f t="array" ref="I13804">_xlfn.XLOOKUP(FACT_IMPORTS[[#This Row],[country_name]],DIM_COUNTRY[[#All],[Column2]],DIM_COUNTRY[[#All],[Column3]],,,)</f>
        <v>Major_Non-USMCA_Non-China</v>
      </c>
    </row>
    <row r="13805" spans="1:9" x14ac:dyDescent="0.4">
      <c r="A13805" t="s">
        <v>75</v>
      </c>
      <c r="B13805" s="1">
        <v>45627</v>
      </c>
      <c r="C13805">
        <v>870899</v>
      </c>
      <c r="D13805" t="s">
        <v>176</v>
      </c>
      <c r="E13805">
        <v>877262</v>
      </c>
      <c r="F13805">
        <v>1248160</v>
      </c>
      <c r="G13805">
        <v>34357</v>
      </c>
      <c r="H13805">
        <f>_xlfn.XLOOKUP(FACT_IMPORTS[[#This Row],[hts_6]],DIM_PRODUCTS[hts_6],DIM_PRODUCTS[hts_4],,,)</f>
        <v>8708</v>
      </c>
      <c r="I13805" t="str" cm="1">
        <f t="array" ref="I13805">_xlfn.XLOOKUP(FACT_IMPORTS[[#This Row],[country_name]],DIM_COUNTRY[[#All],[Column2]],DIM_COUNTRY[[#All],[Column3]],,,)</f>
        <v>Major_Non-USMCA_Non-China</v>
      </c>
    </row>
    <row r="13806" spans="1:9" x14ac:dyDescent="0.4">
      <c r="A13806" t="s">
        <v>75</v>
      </c>
      <c r="B13806" s="1">
        <v>45658</v>
      </c>
      <c r="C13806">
        <v>392630</v>
      </c>
      <c r="D13806" t="s">
        <v>176</v>
      </c>
      <c r="E13806">
        <v>13383</v>
      </c>
      <c r="F13806">
        <v>2046</v>
      </c>
      <c r="G13806">
        <v>450</v>
      </c>
      <c r="H13806">
        <f>_xlfn.XLOOKUP(FACT_IMPORTS[[#This Row],[hts_6]],DIM_PRODUCTS[hts_6],DIM_PRODUCTS[hts_4],,,)</f>
        <v>3926</v>
      </c>
      <c r="I13806" t="str" cm="1">
        <f t="array" ref="I13806">_xlfn.XLOOKUP(FACT_IMPORTS[[#This Row],[country_name]],DIM_COUNTRY[[#All],[Column2]],DIM_COUNTRY[[#All],[Column3]],,,)</f>
        <v>Major_Non-USMCA_Non-China</v>
      </c>
    </row>
    <row r="13807" spans="1:9" x14ac:dyDescent="0.4">
      <c r="A13807" t="s">
        <v>75</v>
      </c>
      <c r="B13807" s="1">
        <v>45658</v>
      </c>
      <c r="C13807">
        <v>401110</v>
      </c>
      <c r="D13807" t="s">
        <v>176</v>
      </c>
      <c r="E13807">
        <v>4410</v>
      </c>
      <c r="F13807">
        <v>66</v>
      </c>
      <c r="G13807">
        <v>204</v>
      </c>
      <c r="H13807">
        <f>_xlfn.XLOOKUP(FACT_IMPORTS[[#This Row],[hts_6]],DIM_PRODUCTS[hts_6],DIM_PRODUCTS[hts_4],,,)</f>
        <v>4011</v>
      </c>
      <c r="I13807" t="str" cm="1">
        <f t="array" ref="I13807">_xlfn.XLOOKUP(FACT_IMPORTS[[#This Row],[country_name]],DIM_COUNTRY[[#All],[Column2]],DIM_COUNTRY[[#All],[Column3]],,,)</f>
        <v>Major_Non-USMCA_Non-China</v>
      </c>
    </row>
    <row r="13808" spans="1:9" x14ac:dyDescent="0.4">
      <c r="A13808" t="s">
        <v>75</v>
      </c>
      <c r="B13808" s="1">
        <v>45658</v>
      </c>
      <c r="C13808">
        <v>401190</v>
      </c>
      <c r="D13808" t="s">
        <v>176</v>
      </c>
      <c r="E13808">
        <v>6732</v>
      </c>
      <c r="F13808">
        <v>72</v>
      </c>
      <c r="G13808">
        <v>10</v>
      </c>
      <c r="H13808">
        <f>_xlfn.XLOOKUP(FACT_IMPORTS[[#This Row],[hts_6]],DIM_PRODUCTS[hts_6],DIM_PRODUCTS[hts_4],,,)</f>
        <v>4011</v>
      </c>
      <c r="I13808" t="str" cm="1">
        <f t="array" ref="I13808">_xlfn.XLOOKUP(FACT_IMPORTS[[#This Row],[country_name]],DIM_COUNTRY[[#All],[Column2]],DIM_COUNTRY[[#All],[Column3]],,,)</f>
        <v>Major_Non-USMCA_Non-China</v>
      </c>
    </row>
    <row r="13809" spans="1:9" x14ac:dyDescent="0.4">
      <c r="A13809" t="s">
        <v>75</v>
      </c>
      <c r="B13809" s="1">
        <v>45658</v>
      </c>
      <c r="C13809">
        <v>700721</v>
      </c>
      <c r="D13809" t="s">
        <v>176</v>
      </c>
      <c r="E13809">
        <v>0</v>
      </c>
      <c r="F13809">
        <v>0</v>
      </c>
      <c r="G13809">
        <v>0</v>
      </c>
      <c r="H13809">
        <f>_xlfn.XLOOKUP(FACT_IMPORTS[[#This Row],[hts_6]],DIM_PRODUCTS[hts_6],DIM_PRODUCTS[hts_4],,,)</f>
        <v>7007</v>
      </c>
      <c r="I13809" t="str" cm="1">
        <f t="array" ref="I13809">_xlfn.XLOOKUP(FACT_IMPORTS[[#This Row],[country_name]],DIM_COUNTRY[[#All],[Column2]],DIM_COUNTRY[[#All],[Column3]],,,)</f>
        <v>Major_Non-USMCA_Non-China</v>
      </c>
    </row>
    <row r="13810" spans="1:9" x14ac:dyDescent="0.4">
      <c r="A13810" t="s">
        <v>75</v>
      </c>
      <c r="B13810" s="1">
        <v>45658</v>
      </c>
      <c r="C13810">
        <v>700910</v>
      </c>
      <c r="D13810" t="s">
        <v>176</v>
      </c>
      <c r="E13810">
        <v>17617</v>
      </c>
      <c r="F13810">
        <v>309</v>
      </c>
      <c r="G13810">
        <v>2546</v>
      </c>
      <c r="H13810">
        <f>_xlfn.XLOOKUP(FACT_IMPORTS[[#This Row],[hts_6]],DIM_PRODUCTS[hts_6],DIM_PRODUCTS[hts_4],,,)</f>
        <v>7009</v>
      </c>
      <c r="I13810" t="str" cm="1">
        <f t="array" ref="I13810">_xlfn.XLOOKUP(FACT_IMPORTS[[#This Row],[country_name]],DIM_COUNTRY[[#All],[Column2]],DIM_COUNTRY[[#All],[Column3]],,,)</f>
        <v>Major_Non-USMCA_Non-China</v>
      </c>
    </row>
    <row r="13811" spans="1:9" x14ac:dyDescent="0.4">
      <c r="A13811" t="s">
        <v>75</v>
      </c>
      <c r="B13811" s="1">
        <v>45658</v>
      </c>
      <c r="C13811">
        <v>830230</v>
      </c>
      <c r="D13811" t="s">
        <v>176</v>
      </c>
      <c r="E13811">
        <v>46871</v>
      </c>
      <c r="F13811">
        <v>4605</v>
      </c>
      <c r="G13811">
        <v>1553</v>
      </c>
      <c r="H13811">
        <f>_xlfn.XLOOKUP(FACT_IMPORTS[[#This Row],[hts_6]],DIM_PRODUCTS[hts_6],DIM_PRODUCTS[hts_4],,,)</f>
        <v>8302</v>
      </c>
      <c r="I13811" t="str" cm="1">
        <f t="array" ref="I13811">_xlfn.XLOOKUP(FACT_IMPORTS[[#This Row],[country_name]],DIM_COUNTRY[[#All],[Column2]],DIM_COUNTRY[[#All],[Column3]],,,)</f>
        <v>Major_Non-USMCA_Non-China</v>
      </c>
    </row>
    <row r="13812" spans="1:9" x14ac:dyDescent="0.4">
      <c r="A13812" t="s">
        <v>75</v>
      </c>
      <c r="B13812" s="1">
        <v>45658</v>
      </c>
      <c r="C13812">
        <v>840733</v>
      </c>
      <c r="D13812" t="s">
        <v>176</v>
      </c>
      <c r="E13812">
        <v>0</v>
      </c>
      <c r="F13812">
        <v>0</v>
      </c>
      <c r="G13812">
        <v>0</v>
      </c>
      <c r="H13812">
        <f>_xlfn.XLOOKUP(FACT_IMPORTS[[#This Row],[hts_6]],DIM_PRODUCTS[hts_6],DIM_PRODUCTS[hts_4],,,)</f>
        <v>8407</v>
      </c>
      <c r="I13812" t="str" cm="1">
        <f t="array" ref="I13812">_xlfn.XLOOKUP(FACT_IMPORTS[[#This Row],[country_name]],DIM_COUNTRY[[#All],[Column2]],DIM_COUNTRY[[#All],[Column3]],,,)</f>
        <v>Major_Non-USMCA_Non-China</v>
      </c>
    </row>
    <row r="13813" spans="1:9" x14ac:dyDescent="0.4">
      <c r="A13813" t="s">
        <v>75</v>
      </c>
      <c r="B13813" s="1">
        <v>45658</v>
      </c>
      <c r="C13813">
        <v>840991</v>
      </c>
      <c r="D13813" t="s">
        <v>176</v>
      </c>
      <c r="E13813">
        <v>149316</v>
      </c>
      <c r="F13813">
        <v>11412</v>
      </c>
      <c r="G13813">
        <v>7519</v>
      </c>
      <c r="H13813">
        <f>_xlfn.XLOOKUP(FACT_IMPORTS[[#This Row],[hts_6]],DIM_PRODUCTS[hts_6],DIM_PRODUCTS[hts_4],,,)</f>
        <v>8409</v>
      </c>
      <c r="I13813" t="str" cm="1">
        <f t="array" ref="I13813">_xlfn.XLOOKUP(FACT_IMPORTS[[#This Row],[country_name]],DIM_COUNTRY[[#All],[Column2]],DIM_COUNTRY[[#All],[Column3]],,,)</f>
        <v>Major_Non-USMCA_Non-China</v>
      </c>
    </row>
    <row r="13814" spans="1:9" x14ac:dyDescent="0.4">
      <c r="A13814" t="s">
        <v>75</v>
      </c>
      <c r="B13814" s="1">
        <v>45658</v>
      </c>
      <c r="C13814">
        <v>840999</v>
      </c>
      <c r="D13814" t="s">
        <v>176</v>
      </c>
      <c r="E13814">
        <v>0</v>
      </c>
      <c r="F13814">
        <v>0</v>
      </c>
      <c r="G13814">
        <v>0</v>
      </c>
      <c r="H13814">
        <f>_xlfn.XLOOKUP(FACT_IMPORTS[[#This Row],[hts_6]],DIM_PRODUCTS[hts_6],DIM_PRODUCTS[hts_4],,,)</f>
        <v>8409</v>
      </c>
      <c r="I13814" t="str" cm="1">
        <f t="array" ref="I13814">_xlfn.XLOOKUP(FACT_IMPORTS[[#This Row],[country_name]],DIM_COUNTRY[[#All],[Column2]],DIM_COUNTRY[[#All],[Column3]],,,)</f>
        <v>Major_Non-USMCA_Non-China</v>
      </c>
    </row>
    <row r="13815" spans="1:9" x14ac:dyDescent="0.4">
      <c r="A13815" t="s">
        <v>75</v>
      </c>
      <c r="B13815" s="1">
        <v>45658</v>
      </c>
      <c r="C13815">
        <v>841330</v>
      </c>
      <c r="D13815" t="s">
        <v>176</v>
      </c>
      <c r="E13815">
        <v>3044</v>
      </c>
      <c r="F13815">
        <v>4</v>
      </c>
      <c r="G13815">
        <v>36</v>
      </c>
      <c r="H13815">
        <f>_xlfn.XLOOKUP(FACT_IMPORTS[[#This Row],[hts_6]],DIM_PRODUCTS[hts_6],DIM_PRODUCTS[hts_4],,,)</f>
        <v>8413</v>
      </c>
      <c r="I13815" t="str" cm="1">
        <f t="array" ref="I13815">_xlfn.XLOOKUP(FACT_IMPORTS[[#This Row],[country_name]],DIM_COUNTRY[[#All],[Column2]],DIM_COUNTRY[[#All],[Column3]],,,)</f>
        <v>Major_Non-USMCA_Non-China</v>
      </c>
    </row>
    <row r="13816" spans="1:9" x14ac:dyDescent="0.4">
      <c r="A13816" t="s">
        <v>75</v>
      </c>
      <c r="B13816" s="1">
        <v>45658</v>
      </c>
      <c r="C13816">
        <v>848210</v>
      </c>
      <c r="D13816" t="s">
        <v>176</v>
      </c>
      <c r="E13816">
        <v>233921</v>
      </c>
      <c r="F13816">
        <v>492520</v>
      </c>
      <c r="G13816">
        <v>17356</v>
      </c>
      <c r="H13816">
        <f>_xlfn.XLOOKUP(FACT_IMPORTS[[#This Row],[hts_6]],DIM_PRODUCTS[hts_6],DIM_PRODUCTS[hts_4],,,)</f>
        <v>8482</v>
      </c>
      <c r="I13816" t="str" cm="1">
        <f t="array" ref="I13816">_xlfn.XLOOKUP(FACT_IMPORTS[[#This Row],[country_name]],DIM_COUNTRY[[#All],[Column2]],DIM_COUNTRY[[#All],[Column3]],,,)</f>
        <v>Major_Non-USMCA_Non-China</v>
      </c>
    </row>
    <row r="13817" spans="1:9" x14ac:dyDescent="0.4">
      <c r="A13817" t="s">
        <v>75</v>
      </c>
      <c r="B13817" s="1">
        <v>45658</v>
      </c>
      <c r="C13817">
        <v>848220</v>
      </c>
      <c r="D13817" t="s">
        <v>176</v>
      </c>
      <c r="E13817">
        <v>0</v>
      </c>
      <c r="F13817">
        <v>0</v>
      </c>
      <c r="G13817">
        <v>0</v>
      </c>
      <c r="H13817">
        <f>_xlfn.XLOOKUP(FACT_IMPORTS[[#This Row],[hts_6]],DIM_PRODUCTS[hts_6],DIM_PRODUCTS[hts_4],,,)</f>
        <v>8482</v>
      </c>
      <c r="I13817" t="str" cm="1">
        <f t="array" ref="I13817">_xlfn.XLOOKUP(FACT_IMPORTS[[#This Row],[country_name]],DIM_COUNTRY[[#All],[Column2]],DIM_COUNTRY[[#All],[Column3]],,,)</f>
        <v>Major_Non-USMCA_Non-China</v>
      </c>
    </row>
    <row r="13818" spans="1:9" x14ac:dyDescent="0.4">
      <c r="A13818" t="s">
        <v>75</v>
      </c>
      <c r="B13818" s="1">
        <v>45658</v>
      </c>
      <c r="C13818">
        <v>848310</v>
      </c>
      <c r="D13818" t="s">
        <v>176</v>
      </c>
      <c r="E13818">
        <v>0</v>
      </c>
      <c r="F13818">
        <v>0</v>
      </c>
      <c r="G13818">
        <v>0</v>
      </c>
      <c r="H13818">
        <f>_xlfn.XLOOKUP(FACT_IMPORTS[[#This Row],[hts_6]],DIM_PRODUCTS[hts_6],DIM_PRODUCTS[hts_4],,,)</f>
        <v>8483</v>
      </c>
      <c r="I13818" t="str" cm="1">
        <f t="array" ref="I13818">_xlfn.XLOOKUP(FACT_IMPORTS[[#This Row],[country_name]],DIM_COUNTRY[[#All],[Column2]],DIM_COUNTRY[[#All],[Column3]],,,)</f>
        <v>Major_Non-USMCA_Non-China</v>
      </c>
    </row>
    <row r="13819" spans="1:9" x14ac:dyDescent="0.4">
      <c r="A13819" t="s">
        <v>75</v>
      </c>
      <c r="B13819" s="1">
        <v>45658</v>
      </c>
      <c r="C13819">
        <v>850131</v>
      </c>
      <c r="D13819" t="s">
        <v>176</v>
      </c>
      <c r="E13819">
        <v>0</v>
      </c>
      <c r="F13819">
        <v>0</v>
      </c>
      <c r="G13819">
        <v>0</v>
      </c>
      <c r="H13819">
        <f>_xlfn.XLOOKUP(FACT_IMPORTS[[#This Row],[hts_6]],DIM_PRODUCTS[hts_6],DIM_PRODUCTS[hts_4],,,)</f>
        <v>8501</v>
      </c>
      <c r="I13819" t="str" cm="1">
        <f t="array" ref="I13819">_xlfn.XLOOKUP(FACT_IMPORTS[[#This Row],[country_name]],DIM_COUNTRY[[#All],[Column2]],DIM_COUNTRY[[#All],[Column3]],,,)</f>
        <v>Major_Non-USMCA_Non-China</v>
      </c>
    </row>
    <row r="13820" spans="1:9" x14ac:dyDescent="0.4">
      <c r="A13820" t="s">
        <v>75</v>
      </c>
      <c r="B13820" s="1">
        <v>45658</v>
      </c>
      <c r="C13820">
        <v>850132</v>
      </c>
      <c r="D13820" t="s">
        <v>176</v>
      </c>
      <c r="E13820">
        <v>0</v>
      </c>
      <c r="F13820">
        <v>0</v>
      </c>
      <c r="G13820">
        <v>0</v>
      </c>
      <c r="H13820">
        <f>_xlfn.XLOOKUP(FACT_IMPORTS[[#This Row],[hts_6]],DIM_PRODUCTS[hts_6],DIM_PRODUCTS[hts_4],,,)</f>
        <v>8501</v>
      </c>
      <c r="I13820" t="str" cm="1">
        <f t="array" ref="I13820">_xlfn.XLOOKUP(FACT_IMPORTS[[#This Row],[country_name]],DIM_COUNTRY[[#All],[Column2]],DIM_COUNTRY[[#All],[Column3]],,,)</f>
        <v>Major_Non-USMCA_Non-China</v>
      </c>
    </row>
    <row r="13821" spans="1:9" x14ac:dyDescent="0.4">
      <c r="A13821" t="s">
        <v>75</v>
      </c>
      <c r="B13821" s="1">
        <v>45658</v>
      </c>
      <c r="C13821">
        <v>850152</v>
      </c>
      <c r="D13821" t="s">
        <v>176</v>
      </c>
      <c r="E13821">
        <v>2020</v>
      </c>
      <c r="F13821">
        <v>1</v>
      </c>
      <c r="G13821">
        <v>588</v>
      </c>
      <c r="H13821">
        <f>_xlfn.XLOOKUP(FACT_IMPORTS[[#This Row],[hts_6]],DIM_PRODUCTS[hts_6],DIM_PRODUCTS[hts_4],,,)</f>
        <v>8501</v>
      </c>
      <c r="I13821" t="str" cm="1">
        <f t="array" ref="I13821">_xlfn.XLOOKUP(FACT_IMPORTS[[#This Row],[country_name]],DIM_COUNTRY[[#All],[Column2]],DIM_COUNTRY[[#All],[Column3]],,,)</f>
        <v>Major_Non-USMCA_Non-China</v>
      </c>
    </row>
    <row r="13822" spans="1:9" x14ac:dyDescent="0.4">
      <c r="A13822" t="s">
        <v>75</v>
      </c>
      <c r="B13822" s="1">
        <v>45658</v>
      </c>
      <c r="C13822">
        <v>850153</v>
      </c>
      <c r="D13822" t="s">
        <v>176</v>
      </c>
      <c r="E13822">
        <v>0</v>
      </c>
      <c r="F13822">
        <v>0</v>
      </c>
      <c r="G13822">
        <v>0</v>
      </c>
      <c r="H13822">
        <f>_xlfn.XLOOKUP(FACT_IMPORTS[[#This Row],[hts_6]],DIM_PRODUCTS[hts_6],DIM_PRODUCTS[hts_4],,,)</f>
        <v>8501</v>
      </c>
      <c r="I13822" t="str" cm="1">
        <f t="array" ref="I13822">_xlfn.XLOOKUP(FACT_IMPORTS[[#This Row],[country_name]],DIM_COUNTRY[[#All],[Column2]],DIM_COUNTRY[[#All],[Column3]],,,)</f>
        <v>Major_Non-USMCA_Non-China</v>
      </c>
    </row>
    <row r="13823" spans="1:9" x14ac:dyDescent="0.4">
      <c r="A13823" t="s">
        <v>75</v>
      </c>
      <c r="B13823" s="1">
        <v>45658</v>
      </c>
      <c r="C13823">
        <v>850161</v>
      </c>
      <c r="D13823" t="s">
        <v>176</v>
      </c>
      <c r="E13823">
        <v>0</v>
      </c>
      <c r="F13823">
        <v>0</v>
      </c>
      <c r="G13823">
        <v>0</v>
      </c>
      <c r="H13823">
        <f>_xlfn.XLOOKUP(FACT_IMPORTS[[#This Row],[hts_6]],DIM_PRODUCTS[hts_6],DIM_PRODUCTS[hts_4],,,)</f>
        <v>8501</v>
      </c>
      <c r="I13823" t="str" cm="1">
        <f t="array" ref="I13823">_xlfn.XLOOKUP(FACT_IMPORTS[[#This Row],[country_name]],DIM_COUNTRY[[#All],[Column2]],DIM_COUNTRY[[#All],[Column3]],,,)</f>
        <v>Major_Non-USMCA_Non-China</v>
      </c>
    </row>
    <row r="13824" spans="1:9" x14ac:dyDescent="0.4">
      <c r="A13824" t="s">
        <v>75</v>
      </c>
      <c r="B13824" s="1">
        <v>45658</v>
      </c>
      <c r="C13824">
        <v>850440</v>
      </c>
      <c r="D13824" t="s">
        <v>176</v>
      </c>
      <c r="E13824">
        <v>834317</v>
      </c>
      <c r="F13824">
        <v>9035</v>
      </c>
      <c r="G13824">
        <v>14431</v>
      </c>
      <c r="H13824">
        <f>_xlfn.XLOOKUP(FACT_IMPORTS[[#This Row],[hts_6]],DIM_PRODUCTS[hts_6],DIM_PRODUCTS[hts_4],,,)</f>
        <v>8504</v>
      </c>
      <c r="I13824" t="str" cm="1">
        <f t="array" ref="I13824">_xlfn.XLOOKUP(FACT_IMPORTS[[#This Row],[country_name]],DIM_COUNTRY[[#All],[Column2]],DIM_COUNTRY[[#All],[Column3]],,,)</f>
        <v>Major_Non-USMCA_Non-China</v>
      </c>
    </row>
    <row r="13825" spans="1:9" x14ac:dyDescent="0.4">
      <c r="A13825" t="s">
        <v>75</v>
      </c>
      <c r="B13825" s="1">
        <v>45658</v>
      </c>
      <c r="C13825">
        <v>850710</v>
      </c>
      <c r="D13825" t="s">
        <v>176</v>
      </c>
      <c r="E13825">
        <v>0</v>
      </c>
      <c r="F13825">
        <v>0</v>
      </c>
      <c r="G13825">
        <v>0</v>
      </c>
      <c r="H13825">
        <f>_xlfn.XLOOKUP(FACT_IMPORTS[[#This Row],[hts_6]],DIM_PRODUCTS[hts_6],DIM_PRODUCTS[hts_4],,,)</f>
        <v>8507</v>
      </c>
      <c r="I13825" t="str" cm="1">
        <f t="array" ref="I13825">_xlfn.XLOOKUP(FACT_IMPORTS[[#This Row],[country_name]],DIM_COUNTRY[[#All],[Column2]],DIM_COUNTRY[[#All],[Column3]],,,)</f>
        <v>Major_Non-USMCA_Non-China</v>
      </c>
    </row>
    <row r="13826" spans="1:9" x14ac:dyDescent="0.4">
      <c r="A13826" t="s">
        <v>75</v>
      </c>
      <c r="B13826" s="1">
        <v>45658</v>
      </c>
      <c r="C13826">
        <v>850760</v>
      </c>
      <c r="D13826" t="s">
        <v>176</v>
      </c>
      <c r="E13826">
        <v>9014</v>
      </c>
      <c r="F13826">
        <v>110</v>
      </c>
      <c r="G13826">
        <v>361</v>
      </c>
      <c r="H13826">
        <f>_xlfn.XLOOKUP(FACT_IMPORTS[[#This Row],[hts_6]],DIM_PRODUCTS[hts_6],DIM_PRODUCTS[hts_4],,,)</f>
        <v>8507</v>
      </c>
      <c r="I13826" t="str" cm="1">
        <f t="array" ref="I13826">_xlfn.XLOOKUP(FACT_IMPORTS[[#This Row],[country_name]],DIM_COUNTRY[[#All],[Column2]],DIM_COUNTRY[[#All],[Column3]],,,)</f>
        <v>Major_Non-USMCA_Non-China</v>
      </c>
    </row>
    <row r="13827" spans="1:9" x14ac:dyDescent="0.4">
      <c r="A13827" t="s">
        <v>75</v>
      </c>
      <c r="B13827" s="1">
        <v>45658</v>
      </c>
      <c r="C13827">
        <v>851120</v>
      </c>
      <c r="D13827" t="s">
        <v>176</v>
      </c>
      <c r="E13827">
        <v>0</v>
      </c>
      <c r="F13827">
        <v>0</v>
      </c>
      <c r="G13827">
        <v>0</v>
      </c>
      <c r="H13827">
        <f>_xlfn.XLOOKUP(FACT_IMPORTS[[#This Row],[hts_6]],DIM_PRODUCTS[hts_6],DIM_PRODUCTS[hts_4],,,)</f>
        <v>8511</v>
      </c>
      <c r="I13827" t="str" cm="1">
        <f t="array" ref="I13827">_xlfn.XLOOKUP(FACT_IMPORTS[[#This Row],[country_name]],DIM_COUNTRY[[#All],[Column2]],DIM_COUNTRY[[#All],[Column3]],,,)</f>
        <v>Major_Non-USMCA_Non-China</v>
      </c>
    </row>
    <row r="13828" spans="1:9" x14ac:dyDescent="0.4">
      <c r="A13828" t="s">
        <v>75</v>
      </c>
      <c r="B13828" s="1">
        <v>45658</v>
      </c>
      <c r="C13828">
        <v>851140</v>
      </c>
      <c r="D13828" t="s">
        <v>176</v>
      </c>
      <c r="E13828">
        <v>0</v>
      </c>
      <c r="F13828">
        <v>0</v>
      </c>
      <c r="G13828">
        <v>0</v>
      </c>
      <c r="H13828">
        <f>_xlfn.XLOOKUP(FACT_IMPORTS[[#This Row],[hts_6]],DIM_PRODUCTS[hts_6],DIM_PRODUCTS[hts_4],,,)</f>
        <v>8511</v>
      </c>
      <c r="I13828" t="str" cm="1">
        <f t="array" ref="I13828">_xlfn.XLOOKUP(FACT_IMPORTS[[#This Row],[country_name]],DIM_COUNTRY[[#All],[Column2]],DIM_COUNTRY[[#All],[Column3]],,,)</f>
        <v>Major_Non-USMCA_Non-China</v>
      </c>
    </row>
    <row r="13829" spans="1:9" x14ac:dyDescent="0.4">
      <c r="A13829" t="s">
        <v>75</v>
      </c>
      <c r="B13829" s="1">
        <v>45658</v>
      </c>
      <c r="C13829">
        <v>851150</v>
      </c>
      <c r="D13829" t="s">
        <v>176</v>
      </c>
      <c r="E13829">
        <v>0</v>
      </c>
      <c r="F13829">
        <v>0</v>
      </c>
      <c r="G13829">
        <v>0</v>
      </c>
      <c r="H13829">
        <f>_xlfn.XLOOKUP(FACT_IMPORTS[[#This Row],[hts_6]],DIM_PRODUCTS[hts_6],DIM_PRODUCTS[hts_4],,,)</f>
        <v>8511</v>
      </c>
      <c r="I13829" t="str" cm="1">
        <f t="array" ref="I13829">_xlfn.XLOOKUP(FACT_IMPORTS[[#This Row],[country_name]],DIM_COUNTRY[[#All],[Column2]],DIM_COUNTRY[[#All],[Column3]],,,)</f>
        <v>Major_Non-USMCA_Non-China</v>
      </c>
    </row>
    <row r="13830" spans="1:9" x14ac:dyDescent="0.4">
      <c r="A13830" t="s">
        <v>75</v>
      </c>
      <c r="B13830" s="1">
        <v>45658</v>
      </c>
      <c r="C13830">
        <v>851190</v>
      </c>
      <c r="D13830" t="s">
        <v>176</v>
      </c>
      <c r="E13830">
        <v>0</v>
      </c>
      <c r="F13830">
        <v>0</v>
      </c>
      <c r="G13830">
        <v>0</v>
      </c>
      <c r="H13830">
        <f>_xlfn.XLOOKUP(FACT_IMPORTS[[#This Row],[hts_6]],DIM_PRODUCTS[hts_6],DIM_PRODUCTS[hts_4],,,)</f>
        <v>8511</v>
      </c>
      <c r="I13830" t="str" cm="1">
        <f t="array" ref="I13830">_xlfn.XLOOKUP(FACT_IMPORTS[[#This Row],[country_name]],DIM_COUNTRY[[#All],[Column2]],DIM_COUNTRY[[#All],[Column3]],,,)</f>
        <v>Major_Non-USMCA_Non-China</v>
      </c>
    </row>
    <row r="13831" spans="1:9" x14ac:dyDescent="0.4">
      <c r="A13831" t="s">
        <v>75</v>
      </c>
      <c r="B13831" s="1">
        <v>45658</v>
      </c>
      <c r="C13831">
        <v>851220</v>
      </c>
      <c r="D13831" t="s">
        <v>176</v>
      </c>
      <c r="E13831">
        <v>1378597</v>
      </c>
      <c r="F13831">
        <v>147131</v>
      </c>
      <c r="G13831">
        <v>21066</v>
      </c>
      <c r="H13831">
        <f>_xlfn.XLOOKUP(FACT_IMPORTS[[#This Row],[hts_6]],DIM_PRODUCTS[hts_6],DIM_PRODUCTS[hts_4],,,)</f>
        <v>8512</v>
      </c>
      <c r="I13831" t="str" cm="1">
        <f t="array" ref="I13831">_xlfn.XLOOKUP(FACT_IMPORTS[[#This Row],[country_name]],DIM_COUNTRY[[#All],[Column2]],DIM_COUNTRY[[#All],[Column3]],,,)</f>
        <v>Major_Non-USMCA_Non-China</v>
      </c>
    </row>
    <row r="13832" spans="1:9" x14ac:dyDescent="0.4">
      <c r="A13832" t="s">
        <v>75</v>
      </c>
      <c r="B13832" s="1">
        <v>45658</v>
      </c>
      <c r="C13832">
        <v>851230</v>
      </c>
      <c r="D13832" t="s">
        <v>176</v>
      </c>
      <c r="E13832">
        <v>4068</v>
      </c>
      <c r="F13832">
        <v>200</v>
      </c>
      <c r="G13832">
        <v>553</v>
      </c>
      <c r="H13832">
        <f>_xlfn.XLOOKUP(FACT_IMPORTS[[#This Row],[hts_6]],DIM_PRODUCTS[hts_6],DIM_PRODUCTS[hts_4],,,)</f>
        <v>8512</v>
      </c>
      <c r="I13832" t="str" cm="1">
        <f t="array" ref="I13832">_xlfn.XLOOKUP(FACT_IMPORTS[[#This Row],[country_name]],DIM_COUNTRY[[#All],[Column2]],DIM_COUNTRY[[#All],[Column3]],,,)</f>
        <v>Major_Non-USMCA_Non-China</v>
      </c>
    </row>
    <row r="13833" spans="1:9" x14ac:dyDescent="0.4">
      <c r="A13833" t="s">
        <v>75</v>
      </c>
      <c r="B13833" s="1">
        <v>45658</v>
      </c>
      <c r="C13833">
        <v>851290</v>
      </c>
      <c r="D13833" t="s">
        <v>176</v>
      </c>
      <c r="E13833">
        <v>2457079</v>
      </c>
      <c r="F13833">
        <v>49306</v>
      </c>
      <c r="G13833">
        <v>28678</v>
      </c>
      <c r="H13833">
        <f>_xlfn.XLOOKUP(FACT_IMPORTS[[#This Row],[hts_6]],DIM_PRODUCTS[hts_6],DIM_PRODUCTS[hts_4],,,)</f>
        <v>8512</v>
      </c>
      <c r="I13833" t="str" cm="1">
        <f t="array" ref="I13833">_xlfn.XLOOKUP(FACT_IMPORTS[[#This Row],[country_name]],DIM_COUNTRY[[#All],[Column2]],DIM_COUNTRY[[#All],[Column3]],,,)</f>
        <v>Major_Non-USMCA_Non-China</v>
      </c>
    </row>
    <row r="13834" spans="1:9" x14ac:dyDescent="0.4">
      <c r="A13834" t="s">
        <v>75</v>
      </c>
      <c r="B13834" s="1">
        <v>45658</v>
      </c>
      <c r="C13834">
        <v>854231</v>
      </c>
      <c r="D13834" t="s">
        <v>176</v>
      </c>
      <c r="E13834">
        <v>1860612</v>
      </c>
      <c r="F13834">
        <v>136246</v>
      </c>
      <c r="G13834">
        <v>47740</v>
      </c>
      <c r="H13834">
        <f>_xlfn.XLOOKUP(FACT_IMPORTS[[#This Row],[hts_6]],DIM_PRODUCTS[hts_6],DIM_PRODUCTS[hts_4],,,)</f>
        <v>8542</v>
      </c>
      <c r="I13834" t="str" cm="1">
        <f t="array" ref="I13834">_xlfn.XLOOKUP(FACT_IMPORTS[[#This Row],[country_name]],DIM_COUNTRY[[#All],[Column2]],DIM_COUNTRY[[#All],[Column3]],,,)</f>
        <v>Major_Non-USMCA_Non-China</v>
      </c>
    </row>
    <row r="13835" spans="1:9" x14ac:dyDescent="0.4">
      <c r="A13835" t="s">
        <v>75</v>
      </c>
      <c r="B13835" s="1">
        <v>45658</v>
      </c>
      <c r="C13835">
        <v>854232</v>
      </c>
      <c r="D13835" t="s">
        <v>176</v>
      </c>
      <c r="E13835">
        <v>6273</v>
      </c>
      <c r="F13835">
        <v>820</v>
      </c>
      <c r="G13835">
        <v>22</v>
      </c>
      <c r="H13835">
        <f>_xlfn.XLOOKUP(FACT_IMPORTS[[#This Row],[hts_6]],DIM_PRODUCTS[hts_6],DIM_PRODUCTS[hts_4],,,)</f>
        <v>8542</v>
      </c>
      <c r="I13835" t="str" cm="1">
        <f t="array" ref="I13835">_xlfn.XLOOKUP(FACT_IMPORTS[[#This Row],[country_name]],DIM_COUNTRY[[#All],[Column2]],DIM_COUNTRY[[#All],[Column3]],,,)</f>
        <v>Major_Non-USMCA_Non-China</v>
      </c>
    </row>
    <row r="13836" spans="1:9" x14ac:dyDescent="0.4">
      <c r="A13836" t="s">
        <v>75</v>
      </c>
      <c r="B13836" s="1">
        <v>45658</v>
      </c>
      <c r="C13836">
        <v>854233</v>
      </c>
      <c r="D13836" t="s">
        <v>176</v>
      </c>
      <c r="E13836">
        <v>0</v>
      </c>
      <c r="F13836">
        <v>0</v>
      </c>
      <c r="G13836">
        <v>0</v>
      </c>
      <c r="H13836">
        <f>_xlfn.XLOOKUP(FACT_IMPORTS[[#This Row],[hts_6]],DIM_PRODUCTS[hts_6],DIM_PRODUCTS[hts_4],,,)</f>
        <v>8542</v>
      </c>
      <c r="I13836" t="str" cm="1">
        <f t="array" ref="I13836">_xlfn.XLOOKUP(FACT_IMPORTS[[#This Row],[country_name]],DIM_COUNTRY[[#All],[Column2]],DIM_COUNTRY[[#All],[Column3]],,,)</f>
        <v>Major_Non-USMCA_Non-China</v>
      </c>
    </row>
    <row r="13837" spans="1:9" x14ac:dyDescent="0.4">
      <c r="A13837" t="s">
        <v>75</v>
      </c>
      <c r="B13837" s="1">
        <v>45658</v>
      </c>
      <c r="C13837">
        <v>854239</v>
      </c>
      <c r="D13837" t="s">
        <v>176</v>
      </c>
      <c r="E13837">
        <v>3079995</v>
      </c>
      <c r="F13837">
        <v>269044</v>
      </c>
      <c r="G13837">
        <v>11869</v>
      </c>
      <c r="H13837">
        <f>_xlfn.XLOOKUP(FACT_IMPORTS[[#This Row],[hts_6]],DIM_PRODUCTS[hts_6],DIM_PRODUCTS[hts_4],,,)</f>
        <v>8542</v>
      </c>
      <c r="I13837" t="str" cm="1">
        <f t="array" ref="I13837">_xlfn.XLOOKUP(FACT_IMPORTS[[#This Row],[country_name]],DIM_COUNTRY[[#All],[Column2]],DIM_COUNTRY[[#All],[Column3]],,,)</f>
        <v>Major_Non-USMCA_Non-China</v>
      </c>
    </row>
    <row r="13838" spans="1:9" x14ac:dyDescent="0.4">
      <c r="A13838" t="s">
        <v>75</v>
      </c>
      <c r="B13838" s="1">
        <v>45658</v>
      </c>
      <c r="C13838">
        <v>854290</v>
      </c>
      <c r="D13838" t="s">
        <v>176</v>
      </c>
      <c r="E13838">
        <v>0</v>
      </c>
      <c r="F13838">
        <v>0</v>
      </c>
      <c r="G13838">
        <v>0</v>
      </c>
      <c r="H13838">
        <f>_xlfn.XLOOKUP(FACT_IMPORTS[[#This Row],[hts_6]],DIM_PRODUCTS[hts_6],DIM_PRODUCTS[hts_4],,,)</f>
        <v>8542</v>
      </c>
      <c r="I13838" t="str" cm="1">
        <f t="array" ref="I13838">_xlfn.XLOOKUP(FACT_IMPORTS[[#This Row],[country_name]],DIM_COUNTRY[[#All],[Column2]],DIM_COUNTRY[[#All],[Column3]],,,)</f>
        <v>Major_Non-USMCA_Non-China</v>
      </c>
    </row>
    <row r="13839" spans="1:9" x14ac:dyDescent="0.4">
      <c r="A13839" t="s">
        <v>75</v>
      </c>
      <c r="B13839" s="1">
        <v>45658</v>
      </c>
      <c r="C13839">
        <v>854430</v>
      </c>
      <c r="D13839" t="s">
        <v>176</v>
      </c>
      <c r="E13839">
        <v>0</v>
      </c>
      <c r="F13839">
        <v>0</v>
      </c>
      <c r="G13839">
        <v>0</v>
      </c>
      <c r="H13839">
        <f>_xlfn.XLOOKUP(FACT_IMPORTS[[#This Row],[hts_6]],DIM_PRODUCTS[hts_6],DIM_PRODUCTS[hts_4],,,)</f>
        <v>8544</v>
      </c>
      <c r="I13839" t="str" cm="1">
        <f t="array" ref="I13839">_xlfn.XLOOKUP(FACT_IMPORTS[[#This Row],[country_name]],DIM_COUNTRY[[#All],[Column2]],DIM_COUNTRY[[#All],[Column3]],,,)</f>
        <v>Major_Non-USMCA_Non-China</v>
      </c>
    </row>
    <row r="13840" spans="1:9" x14ac:dyDescent="0.4">
      <c r="A13840" t="s">
        <v>75</v>
      </c>
      <c r="B13840" s="1">
        <v>45658</v>
      </c>
      <c r="C13840">
        <v>870810</v>
      </c>
      <c r="D13840" t="s">
        <v>176</v>
      </c>
      <c r="E13840">
        <v>518729</v>
      </c>
      <c r="F13840">
        <v>4538</v>
      </c>
      <c r="G13840">
        <v>58199</v>
      </c>
      <c r="H13840">
        <f>_xlfn.XLOOKUP(FACT_IMPORTS[[#This Row],[hts_6]],DIM_PRODUCTS[hts_6],DIM_PRODUCTS[hts_4],,,)</f>
        <v>8708</v>
      </c>
      <c r="I13840" t="str" cm="1">
        <f t="array" ref="I13840">_xlfn.XLOOKUP(FACT_IMPORTS[[#This Row],[country_name]],DIM_COUNTRY[[#All],[Column2]],DIM_COUNTRY[[#All],[Column3]],,,)</f>
        <v>Major_Non-USMCA_Non-China</v>
      </c>
    </row>
    <row r="13841" spans="1:9" x14ac:dyDescent="0.4">
      <c r="A13841" t="s">
        <v>75</v>
      </c>
      <c r="B13841" s="1">
        <v>45658</v>
      </c>
      <c r="C13841">
        <v>870829</v>
      </c>
      <c r="D13841" t="s">
        <v>176</v>
      </c>
      <c r="E13841">
        <v>1536223</v>
      </c>
      <c r="F13841">
        <v>311457</v>
      </c>
      <c r="G13841">
        <v>49762</v>
      </c>
      <c r="H13841">
        <f>_xlfn.XLOOKUP(FACT_IMPORTS[[#This Row],[hts_6]],DIM_PRODUCTS[hts_6],DIM_PRODUCTS[hts_4],,,)</f>
        <v>8708</v>
      </c>
      <c r="I13841" t="str" cm="1">
        <f t="array" ref="I13841">_xlfn.XLOOKUP(FACT_IMPORTS[[#This Row],[country_name]],DIM_COUNTRY[[#All],[Column2]],DIM_COUNTRY[[#All],[Column3]],,,)</f>
        <v>Major_Non-USMCA_Non-China</v>
      </c>
    </row>
    <row r="13842" spans="1:9" x14ac:dyDescent="0.4">
      <c r="A13842" t="s">
        <v>75</v>
      </c>
      <c r="B13842" s="1">
        <v>45658</v>
      </c>
      <c r="C13842">
        <v>870830</v>
      </c>
      <c r="D13842" t="s">
        <v>176</v>
      </c>
      <c r="E13842">
        <v>0</v>
      </c>
      <c r="F13842">
        <v>0</v>
      </c>
      <c r="G13842">
        <v>0</v>
      </c>
      <c r="H13842">
        <f>_xlfn.XLOOKUP(FACT_IMPORTS[[#This Row],[hts_6]],DIM_PRODUCTS[hts_6],DIM_PRODUCTS[hts_4],,,)</f>
        <v>8708</v>
      </c>
      <c r="I13842" t="str" cm="1">
        <f t="array" ref="I13842">_xlfn.XLOOKUP(FACT_IMPORTS[[#This Row],[country_name]],DIM_COUNTRY[[#All],[Column2]],DIM_COUNTRY[[#All],[Column3]],,,)</f>
        <v>Major_Non-USMCA_Non-China</v>
      </c>
    </row>
    <row r="13843" spans="1:9" x14ac:dyDescent="0.4">
      <c r="A13843" t="s">
        <v>75</v>
      </c>
      <c r="B13843" s="1">
        <v>45658</v>
      </c>
      <c r="C13843">
        <v>870840</v>
      </c>
      <c r="D13843" t="s">
        <v>176</v>
      </c>
      <c r="E13843">
        <v>291247</v>
      </c>
      <c r="F13843">
        <v>7987</v>
      </c>
      <c r="G13843">
        <v>4600</v>
      </c>
      <c r="H13843">
        <f>_xlfn.XLOOKUP(FACT_IMPORTS[[#This Row],[hts_6]],DIM_PRODUCTS[hts_6],DIM_PRODUCTS[hts_4],,,)</f>
        <v>8708</v>
      </c>
      <c r="I13843" t="str" cm="1">
        <f t="array" ref="I13843">_xlfn.XLOOKUP(FACT_IMPORTS[[#This Row],[country_name]],DIM_COUNTRY[[#All],[Column2]],DIM_COUNTRY[[#All],[Column3]],,,)</f>
        <v>Major_Non-USMCA_Non-China</v>
      </c>
    </row>
    <row r="13844" spans="1:9" x14ac:dyDescent="0.4">
      <c r="A13844" t="s">
        <v>75</v>
      </c>
      <c r="B13844" s="1">
        <v>45658</v>
      </c>
      <c r="C13844">
        <v>870850</v>
      </c>
      <c r="D13844" t="s">
        <v>176</v>
      </c>
      <c r="E13844">
        <v>399583</v>
      </c>
      <c r="F13844">
        <v>34609</v>
      </c>
      <c r="G13844">
        <v>14298</v>
      </c>
      <c r="H13844">
        <f>_xlfn.XLOOKUP(FACT_IMPORTS[[#This Row],[hts_6]],DIM_PRODUCTS[hts_6],DIM_PRODUCTS[hts_4],,,)</f>
        <v>8708</v>
      </c>
      <c r="I13844" t="str" cm="1">
        <f t="array" ref="I13844">_xlfn.XLOOKUP(FACT_IMPORTS[[#This Row],[country_name]],DIM_COUNTRY[[#All],[Column2]],DIM_COUNTRY[[#All],[Column3]],,,)</f>
        <v>Major_Non-USMCA_Non-China</v>
      </c>
    </row>
    <row r="13845" spans="1:9" x14ac:dyDescent="0.4">
      <c r="A13845" t="s">
        <v>75</v>
      </c>
      <c r="B13845" s="1">
        <v>45658</v>
      </c>
      <c r="C13845">
        <v>870870</v>
      </c>
      <c r="D13845" t="s">
        <v>176</v>
      </c>
      <c r="E13845">
        <v>419151</v>
      </c>
      <c r="F13845">
        <v>1477</v>
      </c>
      <c r="G13845">
        <v>800</v>
      </c>
      <c r="H13845">
        <f>_xlfn.XLOOKUP(FACT_IMPORTS[[#This Row],[hts_6]],DIM_PRODUCTS[hts_6],DIM_PRODUCTS[hts_4],,,)</f>
        <v>8708</v>
      </c>
      <c r="I13845" t="str" cm="1">
        <f t="array" ref="I13845">_xlfn.XLOOKUP(FACT_IMPORTS[[#This Row],[country_name]],DIM_COUNTRY[[#All],[Column2]],DIM_COUNTRY[[#All],[Column3]],,,)</f>
        <v>Major_Non-USMCA_Non-China</v>
      </c>
    </row>
    <row r="13846" spans="1:9" x14ac:dyDescent="0.4">
      <c r="A13846" t="s">
        <v>75</v>
      </c>
      <c r="B13846" s="1">
        <v>45658</v>
      </c>
      <c r="C13846">
        <v>870880</v>
      </c>
      <c r="D13846" t="s">
        <v>176</v>
      </c>
      <c r="E13846">
        <v>409398</v>
      </c>
      <c r="F13846">
        <v>34970</v>
      </c>
      <c r="G13846">
        <v>10890</v>
      </c>
      <c r="H13846">
        <f>_xlfn.XLOOKUP(FACT_IMPORTS[[#This Row],[hts_6]],DIM_PRODUCTS[hts_6],DIM_PRODUCTS[hts_4],,,)</f>
        <v>8708</v>
      </c>
      <c r="I13846" t="str" cm="1">
        <f t="array" ref="I13846">_xlfn.XLOOKUP(FACT_IMPORTS[[#This Row],[country_name]],DIM_COUNTRY[[#All],[Column2]],DIM_COUNTRY[[#All],[Column3]],,,)</f>
        <v>Major_Non-USMCA_Non-China</v>
      </c>
    </row>
    <row r="13847" spans="1:9" x14ac:dyDescent="0.4">
      <c r="A13847" t="s">
        <v>75</v>
      </c>
      <c r="B13847" s="1">
        <v>45658</v>
      </c>
      <c r="C13847">
        <v>870891</v>
      </c>
      <c r="D13847" t="s">
        <v>176</v>
      </c>
      <c r="E13847">
        <v>37617</v>
      </c>
      <c r="F13847">
        <v>57498</v>
      </c>
      <c r="G13847">
        <v>1106</v>
      </c>
      <c r="H13847">
        <f>_xlfn.XLOOKUP(FACT_IMPORTS[[#This Row],[hts_6]],DIM_PRODUCTS[hts_6],DIM_PRODUCTS[hts_4],,,)</f>
        <v>8708</v>
      </c>
      <c r="I13847" t="str" cm="1">
        <f t="array" ref="I13847">_xlfn.XLOOKUP(FACT_IMPORTS[[#This Row],[country_name]],DIM_COUNTRY[[#All],[Column2]],DIM_COUNTRY[[#All],[Column3]],,,)</f>
        <v>Major_Non-USMCA_Non-China</v>
      </c>
    </row>
    <row r="13848" spans="1:9" x14ac:dyDescent="0.4">
      <c r="A13848" t="s">
        <v>75</v>
      </c>
      <c r="B13848" s="1">
        <v>45658</v>
      </c>
      <c r="C13848">
        <v>870892</v>
      </c>
      <c r="D13848" t="s">
        <v>176</v>
      </c>
      <c r="E13848">
        <v>34699</v>
      </c>
      <c r="F13848">
        <v>2750</v>
      </c>
      <c r="G13848">
        <v>6500</v>
      </c>
      <c r="H13848">
        <f>_xlfn.XLOOKUP(FACT_IMPORTS[[#This Row],[hts_6]],DIM_PRODUCTS[hts_6],DIM_PRODUCTS[hts_4],,,)</f>
        <v>8708</v>
      </c>
      <c r="I13848" t="str" cm="1">
        <f t="array" ref="I13848">_xlfn.XLOOKUP(FACT_IMPORTS[[#This Row],[country_name]],DIM_COUNTRY[[#All],[Column2]],DIM_COUNTRY[[#All],[Column3]],,,)</f>
        <v>Major_Non-USMCA_Non-China</v>
      </c>
    </row>
    <row r="13849" spans="1:9" x14ac:dyDescent="0.4">
      <c r="A13849" t="s">
        <v>75</v>
      </c>
      <c r="B13849" s="1">
        <v>45658</v>
      </c>
      <c r="C13849">
        <v>870893</v>
      </c>
      <c r="D13849" t="s">
        <v>176</v>
      </c>
      <c r="E13849">
        <v>145247</v>
      </c>
      <c r="F13849">
        <v>7559</v>
      </c>
      <c r="G13849">
        <v>4110</v>
      </c>
      <c r="H13849">
        <f>_xlfn.XLOOKUP(FACT_IMPORTS[[#This Row],[hts_6]],DIM_PRODUCTS[hts_6],DIM_PRODUCTS[hts_4],,,)</f>
        <v>8708</v>
      </c>
      <c r="I13849" t="str" cm="1">
        <f t="array" ref="I13849">_xlfn.XLOOKUP(FACT_IMPORTS[[#This Row],[country_name]],DIM_COUNTRY[[#All],[Column2]],DIM_COUNTRY[[#All],[Column3]],,,)</f>
        <v>Major_Non-USMCA_Non-China</v>
      </c>
    </row>
    <row r="13850" spans="1:9" x14ac:dyDescent="0.4">
      <c r="A13850" t="s">
        <v>75</v>
      </c>
      <c r="B13850" s="1">
        <v>45658</v>
      </c>
      <c r="C13850">
        <v>870894</v>
      </c>
      <c r="D13850" t="s">
        <v>176</v>
      </c>
      <c r="E13850">
        <v>2604</v>
      </c>
      <c r="F13850">
        <v>1200</v>
      </c>
      <c r="G13850">
        <v>126</v>
      </c>
      <c r="H13850">
        <f>_xlfn.XLOOKUP(FACT_IMPORTS[[#This Row],[hts_6]],DIM_PRODUCTS[hts_6],DIM_PRODUCTS[hts_4],,,)</f>
        <v>8708</v>
      </c>
      <c r="I13850" t="str" cm="1">
        <f t="array" ref="I13850">_xlfn.XLOOKUP(FACT_IMPORTS[[#This Row],[country_name]],DIM_COUNTRY[[#All],[Column2]],DIM_COUNTRY[[#All],[Column3]],,,)</f>
        <v>Major_Non-USMCA_Non-China</v>
      </c>
    </row>
    <row r="13851" spans="1:9" x14ac:dyDescent="0.4">
      <c r="A13851" t="s">
        <v>75</v>
      </c>
      <c r="B13851" s="1">
        <v>45658</v>
      </c>
      <c r="C13851">
        <v>870899</v>
      </c>
      <c r="D13851" t="s">
        <v>176</v>
      </c>
      <c r="E13851">
        <v>839461</v>
      </c>
      <c r="F13851">
        <v>1389735</v>
      </c>
      <c r="G13851">
        <v>38698</v>
      </c>
      <c r="H13851">
        <f>_xlfn.XLOOKUP(FACT_IMPORTS[[#This Row],[hts_6]],DIM_PRODUCTS[hts_6],DIM_PRODUCTS[hts_4],,,)</f>
        <v>8708</v>
      </c>
      <c r="I13851" t="str" cm="1">
        <f t="array" ref="I13851">_xlfn.XLOOKUP(FACT_IMPORTS[[#This Row],[country_name]],DIM_COUNTRY[[#All],[Column2]],DIM_COUNTRY[[#All],[Column3]],,,)</f>
        <v>Major_Non-USMCA_Non-China</v>
      </c>
    </row>
    <row r="13852" spans="1:9" x14ac:dyDescent="0.4">
      <c r="A13852" t="s">
        <v>75</v>
      </c>
      <c r="B13852" s="1">
        <v>45658</v>
      </c>
      <c r="C13852">
        <v>940120</v>
      </c>
      <c r="D13852" t="s">
        <v>176</v>
      </c>
      <c r="E13852">
        <v>0</v>
      </c>
      <c r="F13852">
        <v>0</v>
      </c>
      <c r="G13852">
        <v>0</v>
      </c>
      <c r="H13852">
        <f>_xlfn.XLOOKUP(FACT_IMPORTS[[#This Row],[hts_6]],DIM_PRODUCTS[hts_6],DIM_PRODUCTS[hts_4],,,)</f>
        <v>9401</v>
      </c>
      <c r="I13852" t="str" cm="1">
        <f t="array" ref="I13852">_xlfn.XLOOKUP(FACT_IMPORTS[[#This Row],[country_name]],DIM_COUNTRY[[#All],[Column2]],DIM_COUNTRY[[#All],[Column3]],,,)</f>
        <v>Major_Non-USMCA_Non-China</v>
      </c>
    </row>
    <row r="13853" spans="1:9" x14ac:dyDescent="0.4">
      <c r="A13853" t="s">
        <v>75</v>
      </c>
      <c r="B13853" s="1">
        <v>45689</v>
      </c>
      <c r="C13853">
        <v>392630</v>
      </c>
      <c r="D13853" t="s">
        <v>176</v>
      </c>
      <c r="E13853">
        <v>14333</v>
      </c>
      <c r="F13853">
        <v>4441</v>
      </c>
      <c r="G13853">
        <v>1479</v>
      </c>
      <c r="H13853">
        <f>_xlfn.XLOOKUP(FACT_IMPORTS[[#This Row],[hts_6]],DIM_PRODUCTS[hts_6],DIM_PRODUCTS[hts_4],,,)</f>
        <v>3926</v>
      </c>
      <c r="I13853" t="str" cm="1">
        <f t="array" ref="I13853">_xlfn.XLOOKUP(FACT_IMPORTS[[#This Row],[country_name]],DIM_COUNTRY[[#All],[Column2]],DIM_COUNTRY[[#All],[Column3]],,,)</f>
        <v>Major_Non-USMCA_Non-China</v>
      </c>
    </row>
    <row r="13854" spans="1:9" x14ac:dyDescent="0.4">
      <c r="A13854" t="s">
        <v>75</v>
      </c>
      <c r="B13854" s="1">
        <v>45689</v>
      </c>
      <c r="C13854">
        <v>401110</v>
      </c>
      <c r="D13854" t="s">
        <v>176</v>
      </c>
      <c r="E13854">
        <v>3640</v>
      </c>
      <c r="F13854">
        <v>56</v>
      </c>
      <c r="G13854">
        <v>200</v>
      </c>
      <c r="H13854">
        <f>_xlfn.XLOOKUP(FACT_IMPORTS[[#This Row],[hts_6]],DIM_PRODUCTS[hts_6],DIM_PRODUCTS[hts_4],,,)</f>
        <v>4011</v>
      </c>
      <c r="I13854" t="str" cm="1">
        <f t="array" ref="I13854">_xlfn.XLOOKUP(FACT_IMPORTS[[#This Row],[country_name]],DIM_COUNTRY[[#All],[Column2]],DIM_COUNTRY[[#All],[Column3]],,,)</f>
        <v>Major_Non-USMCA_Non-China</v>
      </c>
    </row>
    <row r="13855" spans="1:9" x14ac:dyDescent="0.4">
      <c r="A13855" t="s">
        <v>75</v>
      </c>
      <c r="B13855" s="1">
        <v>45689</v>
      </c>
      <c r="C13855">
        <v>401190</v>
      </c>
      <c r="D13855" t="s">
        <v>176</v>
      </c>
      <c r="E13855">
        <v>24475</v>
      </c>
      <c r="F13855">
        <v>525</v>
      </c>
      <c r="G13855">
        <v>4457</v>
      </c>
      <c r="H13855">
        <f>_xlfn.XLOOKUP(FACT_IMPORTS[[#This Row],[hts_6]],DIM_PRODUCTS[hts_6],DIM_PRODUCTS[hts_4],,,)</f>
        <v>4011</v>
      </c>
      <c r="I13855" t="str" cm="1">
        <f t="array" ref="I13855">_xlfn.XLOOKUP(FACT_IMPORTS[[#This Row],[country_name]],DIM_COUNTRY[[#All],[Column2]],DIM_COUNTRY[[#All],[Column3]],,,)</f>
        <v>Major_Non-USMCA_Non-China</v>
      </c>
    </row>
    <row r="13856" spans="1:9" x14ac:dyDescent="0.4">
      <c r="A13856" t="s">
        <v>75</v>
      </c>
      <c r="B13856" s="1">
        <v>45689</v>
      </c>
      <c r="C13856">
        <v>700721</v>
      </c>
      <c r="D13856" t="s">
        <v>176</v>
      </c>
      <c r="E13856">
        <v>0</v>
      </c>
      <c r="F13856">
        <v>0</v>
      </c>
      <c r="G13856">
        <v>0</v>
      </c>
      <c r="H13856">
        <f>_xlfn.XLOOKUP(FACT_IMPORTS[[#This Row],[hts_6]],DIM_PRODUCTS[hts_6],DIM_PRODUCTS[hts_4],,,)</f>
        <v>7007</v>
      </c>
      <c r="I13856" t="str" cm="1">
        <f t="array" ref="I13856">_xlfn.XLOOKUP(FACT_IMPORTS[[#This Row],[country_name]],DIM_COUNTRY[[#All],[Column2]],DIM_COUNTRY[[#All],[Column3]],,,)</f>
        <v>Major_Non-USMCA_Non-China</v>
      </c>
    </row>
    <row r="13857" spans="1:9" x14ac:dyDescent="0.4">
      <c r="A13857" t="s">
        <v>75</v>
      </c>
      <c r="B13857" s="1">
        <v>45689</v>
      </c>
      <c r="C13857">
        <v>700910</v>
      </c>
      <c r="D13857" t="s">
        <v>176</v>
      </c>
      <c r="E13857">
        <v>83151</v>
      </c>
      <c r="F13857">
        <v>16392</v>
      </c>
      <c r="G13857">
        <v>2896</v>
      </c>
      <c r="H13857">
        <f>_xlfn.XLOOKUP(FACT_IMPORTS[[#This Row],[hts_6]],DIM_PRODUCTS[hts_6],DIM_PRODUCTS[hts_4],,,)</f>
        <v>7009</v>
      </c>
      <c r="I13857" t="str" cm="1">
        <f t="array" ref="I13857">_xlfn.XLOOKUP(FACT_IMPORTS[[#This Row],[country_name]],DIM_COUNTRY[[#All],[Column2]],DIM_COUNTRY[[#All],[Column3]],,,)</f>
        <v>Major_Non-USMCA_Non-China</v>
      </c>
    </row>
    <row r="13858" spans="1:9" x14ac:dyDescent="0.4">
      <c r="A13858" t="s">
        <v>75</v>
      </c>
      <c r="B13858" s="1">
        <v>45689</v>
      </c>
      <c r="C13858">
        <v>830230</v>
      </c>
      <c r="D13858" t="s">
        <v>176</v>
      </c>
      <c r="E13858">
        <v>58261</v>
      </c>
      <c r="F13858">
        <v>4913</v>
      </c>
      <c r="G13858">
        <v>2087</v>
      </c>
      <c r="H13858">
        <f>_xlfn.XLOOKUP(FACT_IMPORTS[[#This Row],[hts_6]],DIM_PRODUCTS[hts_6],DIM_PRODUCTS[hts_4],,,)</f>
        <v>8302</v>
      </c>
      <c r="I13858" t="str" cm="1">
        <f t="array" ref="I13858">_xlfn.XLOOKUP(FACT_IMPORTS[[#This Row],[country_name]],DIM_COUNTRY[[#All],[Column2]],DIM_COUNTRY[[#All],[Column3]],,,)</f>
        <v>Major_Non-USMCA_Non-China</v>
      </c>
    </row>
    <row r="13859" spans="1:9" x14ac:dyDescent="0.4">
      <c r="A13859" t="s">
        <v>75</v>
      </c>
      <c r="B13859" s="1">
        <v>45689</v>
      </c>
      <c r="C13859">
        <v>840733</v>
      </c>
      <c r="D13859" t="s">
        <v>176</v>
      </c>
      <c r="E13859">
        <v>0</v>
      </c>
      <c r="F13859">
        <v>0</v>
      </c>
      <c r="G13859">
        <v>0</v>
      </c>
      <c r="H13859">
        <f>_xlfn.XLOOKUP(FACT_IMPORTS[[#This Row],[hts_6]],DIM_PRODUCTS[hts_6],DIM_PRODUCTS[hts_4],,,)</f>
        <v>8407</v>
      </c>
      <c r="I13859" t="str" cm="1">
        <f t="array" ref="I13859">_xlfn.XLOOKUP(FACT_IMPORTS[[#This Row],[country_name]],DIM_COUNTRY[[#All],[Column2]],DIM_COUNTRY[[#All],[Column3]],,,)</f>
        <v>Major_Non-USMCA_Non-China</v>
      </c>
    </row>
    <row r="13860" spans="1:9" x14ac:dyDescent="0.4">
      <c r="A13860" t="s">
        <v>75</v>
      </c>
      <c r="B13860" s="1">
        <v>45689</v>
      </c>
      <c r="C13860">
        <v>840991</v>
      </c>
      <c r="D13860" t="s">
        <v>176</v>
      </c>
      <c r="E13860">
        <v>321597</v>
      </c>
      <c r="F13860">
        <v>16278</v>
      </c>
      <c r="G13860">
        <v>12570</v>
      </c>
      <c r="H13860">
        <f>_xlfn.XLOOKUP(FACT_IMPORTS[[#This Row],[hts_6]],DIM_PRODUCTS[hts_6],DIM_PRODUCTS[hts_4],,,)</f>
        <v>8409</v>
      </c>
      <c r="I13860" t="str" cm="1">
        <f t="array" ref="I13860">_xlfn.XLOOKUP(FACT_IMPORTS[[#This Row],[country_name]],DIM_COUNTRY[[#All],[Column2]],DIM_COUNTRY[[#All],[Column3]],,,)</f>
        <v>Major_Non-USMCA_Non-China</v>
      </c>
    </row>
    <row r="13861" spans="1:9" x14ac:dyDescent="0.4">
      <c r="A13861" t="s">
        <v>75</v>
      </c>
      <c r="B13861" s="1">
        <v>45689</v>
      </c>
      <c r="C13861">
        <v>840999</v>
      </c>
      <c r="D13861" t="s">
        <v>176</v>
      </c>
      <c r="E13861">
        <v>11040</v>
      </c>
      <c r="F13861">
        <v>328</v>
      </c>
      <c r="G13861">
        <v>4000</v>
      </c>
      <c r="H13861">
        <f>_xlfn.XLOOKUP(FACT_IMPORTS[[#This Row],[hts_6]],DIM_PRODUCTS[hts_6],DIM_PRODUCTS[hts_4],,,)</f>
        <v>8409</v>
      </c>
      <c r="I13861" t="str" cm="1">
        <f t="array" ref="I13861">_xlfn.XLOOKUP(FACT_IMPORTS[[#This Row],[country_name]],DIM_COUNTRY[[#All],[Column2]],DIM_COUNTRY[[#All],[Column3]],,,)</f>
        <v>Major_Non-USMCA_Non-China</v>
      </c>
    </row>
    <row r="13862" spans="1:9" x14ac:dyDescent="0.4">
      <c r="A13862" t="s">
        <v>75</v>
      </c>
      <c r="B13862" s="1">
        <v>45689</v>
      </c>
      <c r="C13862">
        <v>841330</v>
      </c>
      <c r="D13862" t="s">
        <v>176</v>
      </c>
      <c r="E13862">
        <v>441919</v>
      </c>
      <c r="F13862">
        <v>9250</v>
      </c>
      <c r="G13862">
        <v>1905</v>
      </c>
      <c r="H13862">
        <f>_xlfn.XLOOKUP(FACT_IMPORTS[[#This Row],[hts_6]],DIM_PRODUCTS[hts_6],DIM_PRODUCTS[hts_4],,,)</f>
        <v>8413</v>
      </c>
      <c r="I13862" t="str" cm="1">
        <f t="array" ref="I13862">_xlfn.XLOOKUP(FACT_IMPORTS[[#This Row],[country_name]],DIM_COUNTRY[[#All],[Column2]],DIM_COUNTRY[[#All],[Column3]],,,)</f>
        <v>Major_Non-USMCA_Non-China</v>
      </c>
    </row>
    <row r="13863" spans="1:9" x14ac:dyDescent="0.4">
      <c r="A13863" t="s">
        <v>75</v>
      </c>
      <c r="B13863" s="1">
        <v>45689</v>
      </c>
      <c r="C13863">
        <v>848210</v>
      </c>
      <c r="D13863" t="s">
        <v>176</v>
      </c>
      <c r="E13863">
        <v>137898</v>
      </c>
      <c r="F13863">
        <v>332500</v>
      </c>
      <c r="G13863">
        <v>9009</v>
      </c>
      <c r="H13863">
        <f>_xlfn.XLOOKUP(FACT_IMPORTS[[#This Row],[hts_6]],DIM_PRODUCTS[hts_6],DIM_PRODUCTS[hts_4],,,)</f>
        <v>8482</v>
      </c>
      <c r="I13863" t="str" cm="1">
        <f t="array" ref="I13863">_xlfn.XLOOKUP(FACT_IMPORTS[[#This Row],[country_name]],DIM_COUNTRY[[#All],[Column2]],DIM_COUNTRY[[#All],[Column3]],,,)</f>
        <v>Major_Non-USMCA_Non-China</v>
      </c>
    </row>
    <row r="13864" spans="1:9" x14ac:dyDescent="0.4">
      <c r="A13864" t="s">
        <v>75</v>
      </c>
      <c r="B13864" s="1">
        <v>45689</v>
      </c>
      <c r="C13864">
        <v>848220</v>
      </c>
      <c r="D13864" t="s">
        <v>176</v>
      </c>
      <c r="E13864">
        <v>0</v>
      </c>
      <c r="F13864">
        <v>0</v>
      </c>
      <c r="G13864">
        <v>0</v>
      </c>
      <c r="H13864">
        <f>_xlfn.XLOOKUP(FACT_IMPORTS[[#This Row],[hts_6]],DIM_PRODUCTS[hts_6],DIM_PRODUCTS[hts_4],,,)</f>
        <v>8482</v>
      </c>
      <c r="I13864" t="str" cm="1">
        <f t="array" ref="I13864">_xlfn.XLOOKUP(FACT_IMPORTS[[#This Row],[country_name]],DIM_COUNTRY[[#All],[Column2]],DIM_COUNTRY[[#All],[Column3]],,,)</f>
        <v>Major_Non-USMCA_Non-China</v>
      </c>
    </row>
    <row r="13865" spans="1:9" x14ac:dyDescent="0.4">
      <c r="A13865" t="s">
        <v>75</v>
      </c>
      <c r="B13865" s="1">
        <v>45689</v>
      </c>
      <c r="C13865">
        <v>848310</v>
      </c>
      <c r="D13865" t="s">
        <v>176</v>
      </c>
      <c r="E13865">
        <v>0</v>
      </c>
      <c r="F13865">
        <v>0</v>
      </c>
      <c r="G13865">
        <v>0</v>
      </c>
      <c r="H13865">
        <f>_xlfn.XLOOKUP(FACT_IMPORTS[[#This Row],[hts_6]],DIM_PRODUCTS[hts_6],DIM_PRODUCTS[hts_4],,,)</f>
        <v>8483</v>
      </c>
      <c r="I13865" t="str" cm="1">
        <f t="array" ref="I13865">_xlfn.XLOOKUP(FACT_IMPORTS[[#This Row],[country_name]],DIM_COUNTRY[[#All],[Column2]],DIM_COUNTRY[[#All],[Column3]],,,)</f>
        <v>Major_Non-USMCA_Non-China</v>
      </c>
    </row>
    <row r="13866" spans="1:9" x14ac:dyDescent="0.4">
      <c r="A13866" t="s">
        <v>75</v>
      </c>
      <c r="B13866" s="1">
        <v>45689</v>
      </c>
      <c r="C13866">
        <v>850131</v>
      </c>
      <c r="D13866" t="s">
        <v>176</v>
      </c>
      <c r="E13866">
        <v>0</v>
      </c>
      <c r="F13866">
        <v>0</v>
      </c>
      <c r="G13866">
        <v>0</v>
      </c>
      <c r="H13866">
        <f>_xlfn.XLOOKUP(FACT_IMPORTS[[#This Row],[hts_6]],DIM_PRODUCTS[hts_6],DIM_PRODUCTS[hts_4],,,)</f>
        <v>8501</v>
      </c>
      <c r="I13866" t="str" cm="1">
        <f t="array" ref="I13866">_xlfn.XLOOKUP(FACT_IMPORTS[[#This Row],[country_name]],DIM_COUNTRY[[#All],[Column2]],DIM_COUNTRY[[#All],[Column3]],,,)</f>
        <v>Major_Non-USMCA_Non-China</v>
      </c>
    </row>
    <row r="13867" spans="1:9" x14ac:dyDescent="0.4">
      <c r="A13867" t="s">
        <v>75</v>
      </c>
      <c r="B13867" s="1">
        <v>45689</v>
      </c>
      <c r="C13867">
        <v>850132</v>
      </c>
      <c r="D13867" t="s">
        <v>176</v>
      </c>
      <c r="E13867">
        <v>0</v>
      </c>
      <c r="F13867">
        <v>0</v>
      </c>
      <c r="G13867">
        <v>0</v>
      </c>
      <c r="H13867">
        <f>_xlfn.XLOOKUP(FACT_IMPORTS[[#This Row],[hts_6]],DIM_PRODUCTS[hts_6],DIM_PRODUCTS[hts_4],,,)</f>
        <v>8501</v>
      </c>
      <c r="I13867" t="str" cm="1">
        <f t="array" ref="I13867">_xlfn.XLOOKUP(FACT_IMPORTS[[#This Row],[country_name]],DIM_COUNTRY[[#All],[Column2]],DIM_COUNTRY[[#All],[Column3]],,,)</f>
        <v>Major_Non-USMCA_Non-China</v>
      </c>
    </row>
    <row r="13868" spans="1:9" x14ac:dyDescent="0.4">
      <c r="A13868" t="s">
        <v>75</v>
      </c>
      <c r="B13868" s="1">
        <v>45689</v>
      </c>
      <c r="C13868">
        <v>850152</v>
      </c>
      <c r="D13868" t="s">
        <v>176</v>
      </c>
      <c r="E13868">
        <v>0</v>
      </c>
      <c r="F13868">
        <v>0</v>
      </c>
      <c r="G13868">
        <v>0</v>
      </c>
      <c r="H13868">
        <f>_xlfn.XLOOKUP(FACT_IMPORTS[[#This Row],[hts_6]],DIM_PRODUCTS[hts_6],DIM_PRODUCTS[hts_4],,,)</f>
        <v>8501</v>
      </c>
      <c r="I13868" t="str" cm="1">
        <f t="array" ref="I13868">_xlfn.XLOOKUP(FACT_IMPORTS[[#This Row],[country_name]],DIM_COUNTRY[[#All],[Column2]],DIM_COUNTRY[[#All],[Column3]],,,)</f>
        <v>Major_Non-USMCA_Non-China</v>
      </c>
    </row>
    <row r="13869" spans="1:9" x14ac:dyDescent="0.4">
      <c r="A13869" t="s">
        <v>75</v>
      </c>
      <c r="B13869" s="1">
        <v>45689</v>
      </c>
      <c r="C13869">
        <v>850153</v>
      </c>
      <c r="D13869" t="s">
        <v>176</v>
      </c>
      <c r="E13869">
        <v>0</v>
      </c>
      <c r="F13869">
        <v>0</v>
      </c>
      <c r="G13869">
        <v>0</v>
      </c>
      <c r="H13869">
        <f>_xlfn.XLOOKUP(FACT_IMPORTS[[#This Row],[hts_6]],DIM_PRODUCTS[hts_6],DIM_PRODUCTS[hts_4],,,)</f>
        <v>8501</v>
      </c>
      <c r="I13869" t="str" cm="1">
        <f t="array" ref="I13869">_xlfn.XLOOKUP(FACT_IMPORTS[[#This Row],[country_name]],DIM_COUNTRY[[#All],[Column2]],DIM_COUNTRY[[#All],[Column3]],,,)</f>
        <v>Major_Non-USMCA_Non-China</v>
      </c>
    </row>
    <row r="13870" spans="1:9" x14ac:dyDescent="0.4">
      <c r="A13870" t="s">
        <v>75</v>
      </c>
      <c r="B13870" s="1">
        <v>45689</v>
      </c>
      <c r="C13870">
        <v>850161</v>
      </c>
      <c r="D13870" t="s">
        <v>176</v>
      </c>
      <c r="E13870">
        <v>54002</v>
      </c>
      <c r="F13870">
        <v>588</v>
      </c>
      <c r="G13870">
        <v>2914</v>
      </c>
      <c r="H13870">
        <f>_xlfn.XLOOKUP(FACT_IMPORTS[[#This Row],[hts_6]],DIM_PRODUCTS[hts_6],DIM_PRODUCTS[hts_4],,,)</f>
        <v>8501</v>
      </c>
      <c r="I13870" t="str" cm="1">
        <f t="array" ref="I13870">_xlfn.XLOOKUP(FACT_IMPORTS[[#This Row],[country_name]],DIM_COUNTRY[[#All],[Column2]],DIM_COUNTRY[[#All],[Column3]],,,)</f>
        <v>Major_Non-USMCA_Non-China</v>
      </c>
    </row>
    <row r="13871" spans="1:9" x14ac:dyDescent="0.4">
      <c r="A13871" t="s">
        <v>75</v>
      </c>
      <c r="B13871" s="1">
        <v>45689</v>
      </c>
      <c r="C13871">
        <v>850440</v>
      </c>
      <c r="D13871" t="s">
        <v>176</v>
      </c>
      <c r="E13871">
        <v>438338</v>
      </c>
      <c r="F13871">
        <v>32563</v>
      </c>
      <c r="G13871">
        <v>6843</v>
      </c>
      <c r="H13871">
        <f>_xlfn.XLOOKUP(FACT_IMPORTS[[#This Row],[hts_6]],DIM_PRODUCTS[hts_6],DIM_PRODUCTS[hts_4],,,)</f>
        <v>8504</v>
      </c>
      <c r="I13871" t="str" cm="1">
        <f t="array" ref="I13871">_xlfn.XLOOKUP(FACT_IMPORTS[[#This Row],[country_name]],DIM_COUNTRY[[#All],[Column2]],DIM_COUNTRY[[#All],[Column3]],,,)</f>
        <v>Major_Non-USMCA_Non-China</v>
      </c>
    </row>
    <row r="13872" spans="1:9" x14ac:dyDescent="0.4">
      <c r="A13872" t="s">
        <v>75</v>
      </c>
      <c r="B13872" s="1">
        <v>45689</v>
      </c>
      <c r="C13872">
        <v>850710</v>
      </c>
      <c r="D13872" t="s">
        <v>176</v>
      </c>
      <c r="E13872">
        <v>11670</v>
      </c>
      <c r="F13872">
        <v>157</v>
      </c>
      <c r="G13872">
        <v>11</v>
      </c>
      <c r="H13872">
        <f>_xlfn.XLOOKUP(FACT_IMPORTS[[#This Row],[hts_6]],DIM_PRODUCTS[hts_6],DIM_PRODUCTS[hts_4],,,)</f>
        <v>8507</v>
      </c>
      <c r="I13872" t="str" cm="1">
        <f t="array" ref="I13872">_xlfn.XLOOKUP(FACT_IMPORTS[[#This Row],[country_name]],DIM_COUNTRY[[#All],[Column2]],DIM_COUNTRY[[#All],[Column3]],,,)</f>
        <v>Major_Non-USMCA_Non-China</v>
      </c>
    </row>
    <row r="13873" spans="1:9" x14ac:dyDescent="0.4">
      <c r="A13873" t="s">
        <v>75</v>
      </c>
      <c r="B13873" s="1">
        <v>45689</v>
      </c>
      <c r="C13873">
        <v>850760</v>
      </c>
      <c r="D13873" t="s">
        <v>176</v>
      </c>
      <c r="E13873">
        <v>3340</v>
      </c>
      <c r="F13873">
        <v>80</v>
      </c>
      <c r="G13873">
        <v>500</v>
      </c>
      <c r="H13873">
        <f>_xlfn.XLOOKUP(FACT_IMPORTS[[#This Row],[hts_6]],DIM_PRODUCTS[hts_6],DIM_PRODUCTS[hts_4],,,)</f>
        <v>8507</v>
      </c>
      <c r="I13873" t="str" cm="1">
        <f t="array" ref="I13873">_xlfn.XLOOKUP(FACT_IMPORTS[[#This Row],[country_name]],DIM_COUNTRY[[#All],[Column2]],DIM_COUNTRY[[#All],[Column3]],,,)</f>
        <v>Major_Non-USMCA_Non-China</v>
      </c>
    </row>
    <row r="13874" spans="1:9" x14ac:dyDescent="0.4">
      <c r="A13874" t="s">
        <v>75</v>
      </c>
      <c r="B13874" s="1">
        <v>45689</v>
      </c>
      <c r="C13874">
        <v>851120</v>
      </c>
      <c r="D13874" t="s">
        <v>176</v>
      </c>
      <c r="E13874">
        <v>0</v>
      </c>
      <c r="F13874">
        <v>0</v>
      </c>
      <c r="G13874">
        <v>0</v>
      </c>
      <c r="H13874">
        <f>_xlfn.XLOOKUP(FACT_IMPORTS[[#This Row],[hts_6]],DIM_PRODUCTS[hts_6],DIM_PRODUCTS[hts_4],,,)</f>
        <v>8511</v>
      </c>
      <c r="I13874" t="str" cm="1">
        <f t="array" ref="I13874">_xlfn.XLOOKUP(FACT_IMPORTS[[#This Row],[country_name]],DIM_COUNTRY[[#All],[Column2]],DIM_COUNTRY[[#All],[Column3]],,,)</f>
        <v>Major_Non-USMCA_Non-China</v>
      </c>
    </row>
    <row r="13875" spans="1:9" x14ac:dyDescent="0.4">
      <c r="A13875" t="s">
        <v>75</v>
      </c>
      <c r="B13875" s="1">
        <v>45689</v>
      </c>
      <c r="C13875">
        <v>851140</v>
      </c>
      <c r="D13875" t="s">
        <v>176</v>
      </c>
      <c r="E13875">
        <v>14634</v>
      </c>
      <c r="F13875">
        <v>138</v>
      </c>
      <c r="G13875">
        <v>5</v>
      </c>
      <c r="H13875">
        <f>_xlfn.XLOOKUP(FACT_IMPORTS[[#This Row],[hts_6]],DIM_PRODUCTS[hts_6],DIM_PRODUCTS[hts_4],,,)</f>
        <v>8511</v>
      </c>
      <c r="I13875" t="str" cm="1">
        <f t="array" ref="I13875">_xlfn.XLOOKUP(FACT_IMPORTS[[#This Row],[country_name]],DIM_COUNTRY[[#All],[Column2]],DIM_COUNTRY[[#All],[Column3]],,,)</f>
        <v>Major_Non-USMCA_Non-China</v>
      </c>
    </row>
    <row r="13876" spans="1:9" x14ac:dyDescent="0.4">
      <c r="A13876" t="s">
        <v>75</v>
      </c>
      <c r="B13876" s="1">
        <v>45689</v>
      </c>
      <c r="C13876">
        <v>851150</v>
      </c>
      <c r="D13876" t="s">
        <v>176</v>
      </c>
      <c r="E13876">
        <v>2165</v>
      </c>
      <c r="F13876">
        <v>6</v>
      </c>
      <c r="G13876">
        <v>4</v>
      </c>
      <c r="H13876">
        <f>_xlfn.XLOOKUP(FACT_IMPORTS[[#This Row],[hts_6]],DIM_PRODUCTS[hts_6],DIM_PRODUCTS[hts_4],,,)</f>
        <v>8511</v>
      </c>
      <c r="I13876" t="str" cm="1">
        <f t="array" ref="I13876">_xlfn.XLOOKUP(FACT_IMPORTS[[#This Row],[country_name]],DIM_COUNTRY[[#All],[Column2]],DIM_COUNTRY[[#All],[Column3]],,,)</f>
        <v>Major_Non-USMCA_Non-China</v>
      </c>
    </row>
    <row r="13877" spans="1:9" x14ac:dyDescent="0.4">
      <c r="A13877" t="s">
        <v>75</v>
      </c>
      <c r="B13877" s="1">
        <v>45689</v>
      </c>
      <c r="C13877">
        <v>851190</v>
      </c>
      <c r="D13877" t="s">
        <v>176</v>
      </c>
      <c r="E13877">
        <v>0</v>
      </c>
      <c r="F13877">
        <v>0</v>
      </c>
      <c r="G13877">
        <v>0</v>
      </c>
      <c r="H13877">
        <f>_xlfn.XLOOKUP(FACT_IMPORTS[[#This Row],[hts_6]],DIM_PRODUCTS[hts_6],DIM_PRODUCTS[hts_4],,,)</f>
        <v>8511</v>
      </c>
      <c r="I13877" t="str" cm="1">
        <f t="array" ref="I13877">_xlfn.XLOOKUP(FACT_IMPORTS[[#This Row],[country_name]],DIM_COUNTRY[[#All],[Column2]],DIM_COUNTRY[[#All],[Column3]],,,)</f>
        <v>Major_Non-USMCA_Non-China</v>
      </c>
    </row>
    <row r="13878" spans="1:9" x14ac:dyDescent="0.4">
      <c r="A13878" t="s">
        <v>75</v>
      </c>
      <c r="B13878" s="1">
        <v>45689</v>
      </c>
      <c r="C13878">
        <v>851220</v>
      </c>
      <c r="D13878" t="s">
        <v>176</v>
      </c>
      <c r="E13878">
        <v>2787271</v>
      </c>
      <c r="F13878">
        <v>495230</v>
      </c>
      <c r="G13878">
        <v>58535</v>
      </c>
      <c r="H13878">
        <f>_xlfn.XLOOKUP(FACT_IMPORTS[[#This Row],[hts_6]],DIM_PRODUCTS[hts_6],DIM_PRODUCTS[hts_4],,,)</f>
        <v>8512</v>
      </c>
      <c r="I13878" t="str" cm="1">
        <f t="array" ref="I13878">_xlfn.XLOOKUP(FACT_IMPORTS[[#This Row],[country_name]],DIM_COUNTRY[[#All],[Column2]],DIM_COUNTRY[[#All],[Column3]],,,)</f>
        <v>Major_Non-USMCA_Non-China</v>
      </c>
    </row>
    <row r="13879" spans="1:9" x14ac:dyDescent="0.4">
      <c r="A13879" t="s">
        <v>75</v>
      </c>
      <c r="B13879" s="1">
        <v>45689</v>
      </c>
      <c r="C13879">
        <v>851230</v>
      </c>
      <c r="D13879" t="s">
        <v>176</v>
      </c>
      <c r="E13879">
        <v>0</v>
      </c>
      <c r="F13879">
        <v>0</v>
      </c>
      <c r="G13879">
        <v>0</v>
      </c>
      <c r="H13879">
        <f>_xlfn.XLOOKUP(FACT_IMPORTS[[#This Row],[hts_6]],DIM_PRODUCTS[hts_6],DIM_PRODUCTS[hts_4],,,)</f>
        <v>8512</v>
      </c>
      <c r="I13879" t="str" cm="1">
        <f t="array" ref="I13879">_xlfn.XLOOKUP(FACT_IMPORTS[[#This Row],[country_name]],DIM_COUNTRY[[#All],[Column2]],DIM_COUNTRY[[#All],[Column3]],,,)</f>
        <v>Major_Non-USMCA_Non-China</v>
      </c>
    </row>
    <row r="13880" spans="1:9" x14ac:dyDescent="0.4">
      <c r="A13880" t="s">
        <v>75</v>
      </c>
      <c r="B13880" s="1">
        <v>45689</v>
      </c>
      <c r="C13880">
        <v>851290</v>
      </c>
      <c r="D13880" t="s">
        <v>176</v>
      </c>
      <c r="E13880">
        <v>1466195</v>
      </c>
      <c r="F13880">
        <v>25658</v>
      </c>
      <c r="G13880">
        <v>16600</v>
      </c>
      <c r="H13880">
        <f>_xlfn.XLOOKUP(FACT_IMPORTS[[#This Row],[hts_6]],DIM_PRODUCTS[hts_6],DIM_PRODUCTS[hts_4],,,)</f>
        <v>8512</v>
      </c>
      <c r="I13880" t="str" cm="1">
        <f t="array" ref="I13880">_xlfn.XLOOKUP(FACT_IMPORTS[[#This Row],[country_name]],DIM_COUNTRY[[#All],[Column2]],DIM_COUNTRY[[#All],[Column3]],,,)</f>
        <v>Major_Non-USMCA_Non-China</v>
      </c>
    </row>
    <row r="13881" spans="1:9" x14ac:dyDescent="0.4">
      <c r="A13881" t="s">
        <v>75</v>
      </c>
      <c r="B13881" s="1">
        <v>45689</v>
      </c>
      <c r="C13881">
        <v>854231</v>
      </c>
      <c r="D13881" t="s">
        <v>176</v>
      </c>
      <c r="E13881">
        <v>431197</v>
      </c>
      <c r="F13881">
        <v>92529</v>
      </c>
      <c r="G13881">
        <v>30178</v>
      </c>
      <c r="H13881">
        <f>_xlfn.XLOOKUP(FACT_IMPORTS[[#This Row],[hts_6]],DIM_PRODUCTS[hts_6],DIM_PRODUCTS[hts_4],,,)</f>
        <v>8542</v>
      </c>
      <c r="I13881" t="str" cm="1">
        <f t="array" ref="I13881">_xlfn.XLOOKUP(FACT_IMPORTS[[#This Row],[country_name]],DIM_COUNTRY[[#All],[Column2]],DIM_COUNTRY[[#All],[Column3]],,,)</f>
        <v>Major_Non-USMCA_Non-China</v>
      </c>
    </row>
    <row r="13882" spans="1:9" x14ac:dyDescent="0.4">
      <c r="A13882" t="s">
        <v>75</v>
      </c>
      <c r="B13882" s="1">
        <v>45689</v>
      </c>
      <c r="C13882">
        <v>854232</v>
      </c>
      <c r="D13882" t="s">
        <v>176</v>
      </c>
      <c r="E13882">
        <v>27439</v>
      </c>
      <c r="F13882">
        <v>2760</v>
      </c>
      <c r="G13882">
        <v>509</v>
      </c>
      <c r="H13882">
        <f>_xlfn.XLOOKUP(FACT_IMPORTS[[#This Row],[hts_6]],DIM_PRODUCTS[hts_6],DIM_PRODUCTS[hts_4],,,)</f>
        <v>8542</v>
      </c>
      <c r="I13882" t="str" cm="1">
        <f t="array" ref="I13882">_xlfn.XLOOKUP(FACT_IMPORTS[[#This Row],[country_name]],DIM_COUNTRY[[#All],[Column2]],DIM_COUNTRY[[#All],[Column3]],,,)</f>
        <v>Major_Non-USMCA_Non-China</v>
      </c>
    </row>
    <row r="13883" spans="1:9" x14ac:dyDescent="0.4">
      <c r="A13883" t="s">
        <v>75</v>
      </c>
      <c r="B13883" s="1">
        <v>45689</v>
      </c>
      <c r="C13883">
        <v>854233</v>
      </c>
      <c r="D13883" t="s">
        <v>176</v>
      </c>
      <c r="E13883">
        <v>0</v>
      </c>
      <c r="F13883">
        <v>0</v>
      </c>
      <c r="G13883">
        <v>0</v>
      </c>
      <c r="H13883">
        <f>_xlfn.XLOOKUP(FACT_IMPORTS[[#This Row],[hts_6]],DIM_PRODUCTS[hts_6],DIM_PRODUCTS[hts_4],,,)</f>
        <v>8542</v>
      </c>
      <c r="I13883" t="str" cm="1">
        <f t="array" ref="I13883">_xlfn.XLOOKUP(FACT_IMPORTS[[#This Row],[country_name]],DIM_COUNTRY[[#All],[Column2]],DIM_COUNTRY[[#All],[Column3]],,,)</f>
        <v>Major_Non-USMCA_Non-China</v>
      </c>
    </row>
    <row r="13884" spans="1:9" x14ac:dyDescent="0.4">
      <c r="A13884" t="s">
        <v>75</v>
      </c>
      <c r="B13884" s="1">
        <v>45689</v>
      </c>
      <c r="C13884">
        <v>854239</v>
      </c>
      <c r="D13884" t="s">
        <v>176</v>
      </c>
      <c r="E13884">
        <v>2166088</v>
      </c>
      <c r="F13884">
        <v>237834</v>
      </c>
      <c r="G13884">
        <v>40740</v>
      </c>
      <c r="H13884">
        <f>_xlfn.XLOOKUP(FACT_IMPORTS[[#This Row],[hts_6]],DIM_PRODUCTS[hts_6],DIM_PRODUCTS[hts_4],,,)</f>
        <v>8542</v>
      </c>
      <c r="I13884" t="str" cm="1">
        <f t="array" ref="I13884">_xlfn.XLOOKUP(FACT_IMPORTS[[#This Row],[country_name]],DIM_COUNTRY[[#All],[Column2]],DIM_COUNTRY[[#All],[Column3]],,,)</f>
        <v>Major_Non-USMCA_Non-China</v>
      </c>
    </row>
    <row r="13885" spans="1:9" x14ac:dyDescent="0.4">
      <c r="A13885" t="s">
        <v>75</v>
      </c>
      <c r="B13885" s="1">
        <v>45689</v>
      </c>
      <c r="C13885">
        <v>854290</v>
      </c>
      <c r="D13885" t="s">
        <v>176</v>
      </c>
      <c r="E13885">
        <v>0</v>
      </c>
      <c r="F13885">
        <v>0</v>
      </c>
      <c r="G13885">
        <v>0</v>
      </c>
      <c r="H13885">
        <f>_xlfn.XLOOKUP(FACT_IMPORTS[[#This Row],[hts_6]],DIM_PRODUCTS[hts_6],DIM_PRODUCTS[hts_4],,,)</f>
        <v>8542</v>
      </c>
      <c r="I13885" t="str" cm="1">
        <f t="array" ref="I13885">_xlfn.XLOOKUP(FACT_IMPORTS[[#This Row],[country_name]],DIM_COUNTRY[[#All],[Column2]],DIM_COUNTRY[[#All],[Column3]],,,)</f>
        <v>Major_Non-USMCA_Non-China</v>
      </c>
    </row>
    <row r="13886" spans="1:9" x14ac:dyDescent="0.4">
      <c r="A13886" t="s">
        <v>75</v>
      </c>
      <c r="B13886" s="1">
        <v>45689</v>
      </c>
      <c r="C13886">
        <v>854430</v>
      </c>
      <c r="D13886" t="s">
        <v>176</v>
      </c>
      <c r="E13886">
        <v>0</v>
      </c>
      <c r="F13886">
        <v>0</v>
      </c>
      <c r="G13886">
        <v>0</v>
      </c>
      <c r="H13886">
        <f>_xlfn.XLOOKUP(FACT_IMPORTS[[#This Row],[hts_6]],DIM_PRODUCTS[hts_6],DIM_PRODUCTS[hts_4],,,)</f>
        <v>8544</v>
      </c>
      <c r="I13886" t="str" cm="1">
        <f t="array" ref="I13886">_xlfn.XLOOKUP(FACT_IMPORTS[[#This Row],[country_name]],DIM_COUNTRY[[#All],[Column2]],DIM_COUNTRY[[#All],[Column3]],,,)</f>
        <v>Major_Non-USMCA_Non-China</v>
      </c>
    </row>
    <row r="13887" spans="1:9" x14ac:dyDescent="0.4">
      <c r="A13887" t="s">
        <v>75</v>
      </c>
      <c r="B13887" s="1">
        <v>45689</v>
      </c>
      <c r="C13887">
        <v>870810</v>
      </c>
      <c r="D13887" t="s">
        <v>176</v>
      </c>
      <c r="E13887">
        <v>531059</v>
      </c>
      <c r="F13887">
        <v>5574</v>
      </c>
      <c r="G13887">
        <v>61036</v>
      </c>
      <c r="H13887">
        <f>_xlfn.XLOOKUP(FACT_IMPORTS[[#This Row],[hts_6]],DIM_PRODUCTS[hts_6],DIM_PRODUCTS[hts_4],,,)</f>
        <v>8708</v>
      </c>
      <c r="I13887" t="str" cm="1">
        <f t="array" ref="I13887">_xlfn.XLOOKUP(FACT_IMPORTS[[#This Row],[country_name]],DIM_COUNTRY[[#All],[Column2]],DIM_COUNTRY[[#All],[Column3]],,,)</f>
        <v>Major_Non-USMCA_Non-China</v>
      </c>
    </row>
    <row r="13888" spans="1:9" x14ac:dyDescent="0.4">
      <c r="A13888" t="s">
        <v>75</v>
      </c>
      <c r="B13888" s="1">
        <v>45689</v>
      </c>
      <c r="C13888">
        <v>870829</v>
      </c>
      <c r="D13888" t="s">
        <v>176</v>
      </c>
      <c r="E13888">
        <v>940206</v>
      </c>
      <c r="F13888">
        <v>121304</v>
      </c>
      <c r="G13888">
        <v>45387</v>
      </c>
      <c r="H13888">
        <f>_xlfn.XLOOKUP(FACT_IMPORTS[[#This Row],[hts_6]],DIM_PRODUCTS[hts_6],DIM_PRODUCTS[hts_4],,,)</f>
        <v>8708</v>
      </c>
      <c r="I13888" t="str" cm="1">
        <f t="array" ref="I13888">_xlfn.XLOOKUP(FACT_IMPORTS[[#This Row],[country_name]],DIM_COUNTRY[[#All],[Column2]],DIM_COUNTRY[[#All],[Column3]],,,)</f>
        <v>Major_Non-USMCA_Non-China</v>
      </c>
    </row>
    <row r="13889" spans="1:9" x14ac:dyDescent="0.4">
      <c r="A13889" t="s">
        <v>75</v>
      </c>
      <c r="B13889" s="1">
        <v>45689</v>
      </c>
      <c r="C13889">
        <v>870830</v>
      </c>
      <c r="D13889" t="s">
        <v>176</v>
      </c>
      <c r="E13889">
        <v>0</v>
      </c>
      <c r="F13889">
        <v>0</v>
      </c>
      <c r="G13889">
        <v>0</v>
      </c>
      <c r="H13889">
        <f>_xlfn.XLOOKUP(FACT_IMPORTS[[#This Row],[hts_6]],DIM_PRODUCTS[hts_6],DIM_PRODUCTS[hts_4],,,)</f>
        <v>8708</v>
      </c>
      <c r="I13889" t="str" cm="1">
        <f t="array" ref="I13889">_xlfn.XLOOKUP(FACT_IMPORTS[[#This Row],[country_name]],DIM_COUNTRY[[#All],[Column2]],DIM_COUNTRY[[#All],[Column3]],,,)</f>
        <v>Major_Non-USMCA_Non-China</v>
      </c>
    </row>
    <row r="13890" spans="1:9" x14ac:dyDescent="0.4">
      <c r="A13890" t="s">
        <v>75</v>
      </c>
      <c r="B13890" s="1">
        <v>45689</v>
      </c>
      <c r="C13890">
        <v>870840</v>
      </c>
      <c r="D13890" t="s">
        <v>176</v>
      </c>
      <c r="E13890">
        <v>263132</v>
      </c>
      <c r="F13890">
        <v>20255</v>
      </c>
      <c r="G13890">
        <v>6098</v>
      </c>
      <c r="H13890">
        <f>_xlfn.XLOOKUP(FACT_IMPORTS[[#This Row],[hts_6]],DIM_PRODUCTS[hts_6],DIM_PRODUCTS[hts_4],,,)</f>
        <v>8708</v>
      </c>
      <c r="I13890" t="str" cm="1">
        <f t="array" ref="I13890">_xlfn.XLOOKUP(FACT_IMPORTS[[#This Row],[country_name]],DIM_COUNTRY[[#All],[Column2]],DIM_COUNTRY[[#All],[Column3]],,,)</f>
        <v>Major_Non-USMCA_Non-China</v>
      </c>
    </row>
    <row r="13891" spans="1:9" x14ac:dyDescent="0.4">
      <c r="A13891" t="s">
        <v>75</v>
      </c>
      <c r="B13891" s="1">
        <v>45689</v>
      </c>
      <c r="C13891">
        <v>870850</v>
      </c>
      <c r="D13891" t="s">
        <v>176</v>
      </c>
      <c r="E13891">
        <v>102135</v>
      </c>
      <c r="F13891">
        <v>29400</v>
      </c>
      <c r="G13891">
        <v>4000</v>
      </c>
      <c r="H13891">
        <f>_xlfn.XLOOKUP(FACT_IMPORTS[[#This Row],[hts_6]],DIM_PRODUCTS[hts_6],DIM_PRODUCTS[hts_4],,,)</f>
        <v>8708</v>
      </c>
      <c r="I13891" t="str" cm="1">
        <f t="array" ref="I13891">_xlfn.XLOOKUP(FACT_IMPORTS[[#This Row],[country_name]],DIM_COUNTRY[[#All],[Column2]],DIM_COUNTRY[[#All],[Column3]],,,)</f>
        <v>Major_Non-USMCA_Non-China</v>
      </c>
    </row>
    <row r="13892" spans="1:9" x14ac:dyDescent="0.4">
      <c r="A13892" t="s">
        <v>75</v>
      </c>
      <c r="B13892" s="1">
        <v>45689</v>
      </c>
      <c r="C13892">
        <v>870870</v>
      </c>
      <c r="D13892" t="s">
        <v>176</v>
      </c>
      <c r="E13892">
        <v>638869</v>
      </c>
      <c r="F13892">
        <v>2267</v>
      </c>
      <c r="G13892">
        <v>1198</v>
      </c>
      <c r="H13892">
        <f>_xlfn.XLOOKUP(FACT_IMPORTS[[#This Row],[hts_6]],DIM_PRODUCTS[hts_6],DIM_PRODUCTS[hts_4],,,)</f>
        <v>8708</v>
      </c>
      <c r="I13892" t="str" cm="1">
        <f t="array" ref="I13892">_xlfn.XLOOKUP(FACT_IMPORTS[[#This Row],[country_name]],DIM_COUNTRY[[#All],[Column2]],DIM_COUNTRY[[#All],[Column3]],,,)</f>
        <v>Major_Non-USMCA_Non-China</v>
      </c>
    </row>
    <row r="13893" spans="1:9" x14ac:dyDescent="0.4">
      <c r="A13893" t="s">
        <v>75</v>
      </c>
      <c r="B13893" s="1">
        <v>45689</v>
      </c>
      <c r="C13893">
        <v>870880</v>
      </c>
      <c r="D13893" t="s">
        <v>176</v>
      </c>
      <c r="E13893">
        <v>422450</v>
      </c>
      <c r="F13893">
        <v>20977</v>
      </c>
      <c r="G13893">
        <v>33172</v>
      </c>
      <c r="H13893">
        <f>_xlfn.XLOOKUP(FACT_IMPORTS[[#This Row],[hts_6]],DIM_PRODUCTS[hts_6],DIM_PRODUCTS[hts_4],,,)</f>
        <v>8708</v>
      </c>
      <c r="I13893" t="str" cm="1">
        <f t="array" ref="I13893">_xlfn.XLOOKUP(FACT_IMPORTS[[#This Row],[country_name]],DIM_COUNTRY[[#All],[Column2]],DIM_COUNTRY[[#All],[Column3]],,,)</f>
        <v>Major_Non-USMCA_Non-China</v>
      </c>
    </row>
    <row r="13894" spans="1:9" x14ac:dyDescent="0.4">
      <c r="A13894" t="s">
        <v>75</v>
      </c>
      <c r="B13894" s="1">
        <v>45689</v>
      </c>
      <c r="C13894">
        <v>870891</v>
      </c>
      <c r="D13894" t="s">
        <v>176</v>
      </c>
      <c r="E13894">
        <v>27678</v>
      </c>
      <c r="F13894">
        <v>21044</v>
      </c>
      <c r="G13894">
        <v>1441</v>
      </c>
      <c r="H13894">
        <f>_xlfn.XLOOKUP(FACT_IMPORTS[[#This Row],[hts_6]],DIM_PRODUCTS[hts_6],DIM_PRODUCTS[hts_4],,,)</f>
        <v>8708</v>
      </c>
      <c r="I13894" t="str" cm="1">
        <f t="array" ref="I13894">_xlfn.XLOOKUP(FACT_IMPORTS[[#This Row],[country_name]],DIM_COUNTRY[[#All],[Column2]],DIM_COUNTRY[[#All],[Column3]],,,)</f>
        <v>Major_Non-USMCA_Non-China</v>
      </c>
    </row>
    <row r="13895" spans="1:9" x14ac:dyDescent="0.4">
      <c r="A13895" t="s">
        <v>75</v>
      </c>
      <c r="B13895" s="1">
        <v>45689</v>
      </c>
      <c r="C13895">
        <v>870892</v>
      </c>
      <c r="D13895" t="s">
        <v>176</v>
      </c>
      <c r="E13895">
        <v>66428</v>
      </c>
      <c r="F13895">
        <v>2424</v>
      </c>
      <c r="G13895">
        <v>10056</v>
      </c>
      <c r="H13895">
        <f>_xlfn.XLOOKUP(FACT_IMPORTS[[#This Row],[hts_6]],DIM_PRODUCTS[hts_6],DIM_PRODUCTS[hts_4],,,)</f>
        <v>8708</v>
      </c>
      <c r="I13895" t="str" cm="1">
        <f t="array" ref="I13895">_xlfn.XLOOKUP(FACT_IMPORTS[[#This Row],[country_name]],DIM_COUNTRY[[#All],[Column2]],DIM_COUNTRY[[#All],[Column3]],,,)</f>
        <v>Major_Non-USMCA_Non-China</v>
      </c>
    </row>
    <row r="13896" spans="1:9" x14ac:dyDescent="0.4">
      <c r="A13896" t="s">
        <v>75</v>
      </c>
      <c r="B13896" s="1">
        <v>45689</v>
      </c>
      <c r="C13896">
        <v>870893</v>
      </c>
      <c r="D13896" t="s">
        <v>176</v>
      </c>
      <c r="E13896">
        <v>66163</v>
      </c>
      <c r="F13896">
        <v>6516</v>
      </c>
      <c r="G13896">
        <v>3039</v>
      </c>
      <c r="H13896">
        <f>_xlfn.XLOOKUP(FACT_IMPORTS[[#This Row],[hts_6]],DIM_PRODUCTS[hts_6],DIM_PRODUCTS[hts_4],,,)</f>
        <v>8708</v>
      </c>
      <c r="I13896" t="str" cm="1">
        <f t="array" ref="I13896">_xlfn.XLOOKUP(FACT_IMPORTS[[#This Row],[country_name]],DIM_COUNTRY[[#All],[Column2]],DIM_COUNTRY[[#All],[Column3]],,,)</f>
        <v>Major_Non-USMCA_Non-China</v>
      </c>
    </row>
    <row r="13897" spans="1:9" x14ac:dyDescent="0.4">
      <c r="A13897" t="s">
        <v>75</v>
      </c>
      <c r="B13897" s="1">
        <v>45689</v>
      </c>
      <c r="C13897">
        <v>870894</v>
      </c>
      <c r="D13897" t="s">
        <v>176</v>
      </c>
      <c r="E13897">
        <v>47706</v>
      </c>
      <c r="F13897">
        <v>6689</v>
      </c>
      <c r="G13897">
        <v>709</v>
      </c>
      <c r="H13897">
        <f>_xlfn.XLOOKUP(FACT_IMPORTS[[#This Row],[hts_6]],DIM_PRODUCTS[hts_6],DIM_PRODUCTS[hts_4],,,)</f>
        <v>8708</v>
      </c>
      <c r="I13897" t="str" cm="1">
        <f t="array" ref="I13897">_xlfn.XLOOKUP(FACT_IMPORTS[[#This Row],[country_name]],DIM_COUNTRY[[#All],[Column2]],DIM_COUNTRY[[#All],[Column3]],,,)</f>
        <v>Major_Non-USMCA_Non-China</v>
      </c>
    </row>
    <row r="13898" spans="1:9" x14ac:dyDescent="0.4">
      <c r="A13898" t="s">
        <v>75</v>
      </c>
      <c r="B13898" s="1">
        <v>45689</v>
      </c>
      <c r="C13898">
        <v>870899</v>
      </c>
      <c r="D13898" t="s">
        <v>176</v>
      </c>
      <c r="E13898">
        <v>804057</v>
      </c>
      <c r="F13898">
        <v>1023795</v>
      </c>
      <c r="G13898">
        <v>28615</v>
      </c>
      <c r="H13898">
        <f>_xlfn.XLOOKUP(FACT_IMPORTS[[#This Row],[hts_6]],DIM_PRODUCTS[hts_6],DIM_PRODUCTS[hts_4],,,)</f>
        <v>8708</v>
      </c>
      <c r="I13898" t="str" cm="1">
        <f t="array" ref="I13898">_xlfn.XLOOKUP(FACT_IMPORTS[[#This Row],[country_name]],DIM_COUNTRY[[#All],[Column2]],DIM_COUNTRY[[#All],[Column3]],,,)</f>
        <v>Major_Non-USMCA_Non-China</v>
      </c>
    </row>
    <row r="13899" spans="1:9" x14ac:dyDescent="0.4">
      <c r="A13899" t="s">
        <v>75</v>
      </c>
      <c r="B13899" s="1">
        <v>45689</v>
      </c>
      <c r="C13899">
        <v>940120</v>
      </c>
      <c r="D13899" t="s">
        <v>176</v>
      </c>
      <c r="E13899">
        <v>0</v>
      </c>
      <c r="F13899">
        <v>0</v>
      </c>
      <c r="G13899">
        <v>0</v>
      </c>
      <c r="H13899">
        <f>_xlfn.XLOOKUP(FACT_IMPORTS[[#This Row],[hts_6]],DIM_PRODUCTS[hts_6],DIM_PRODUCTS[hts_4],,,)</f>
        <v>9401</v>
      </c>
      <c r="I13899" t="str" cm="1">
        <f t="array" ref="I13899">_xlfn.XLOOKUP(FACT_IMPORTS[[#This Row],[country_name]],DIM_COUNTRY[[#All],[Column2]],DIM_COUNTRY[[#All],[Column3]],,,)</f>
        <v>Major_Non-USMCA_Non-China</v>
      </c>
    </row>
    <row r="13900" spans="1:9" x14ac:dyDescent="0.4">
      <c r="A13900" t="s">
        <v>75</v>
      </c>
      <c r="B13900" s="1">
        <v>45717</v>
      </c>
      <c r="C13900">
        <v>392630</v>
      </c>
      <c r="D13900" t="s">
        <v>176</v>
      </c>
      <c r="E13900">
        <v>1241</v>
      </c>
      <c r="F13900">
        <v>204</v>
      </c>
      <c r="G13900">
        <v>606</v>
      </c>
      <c r="H13900">
        <f>_xlfn.XLOOKUP(FACT_IMPORTS[[#This Row],[hts_6]],DIM_PRODUCTS[hts_6],DIM_PRODUCTS[hts_4],,,)</f>
        <v>3926</v>
      </c>
      <c r="I13900" t="str" cm="1">
        <f t="array" ref="I13900">_xlfn.XLOOKUP(FACT_IMPORTS[[#This Row],[country_name]],DIM_COUNTRY[[#All],[Column2]],DIM_COUNTRY[[#All],[Column3]],,,)</f>
        <v>Major_Non-USMCA_Non-China</v>
      </c>
    </row>
    <row r="13901" spans="1:9" x14ac:dyDescent="0.4">
      <c r="A13901" t="s">
        <v>75</v>
      </c>
      <c r="B13901" s="1">
        <v>45717</v>
      </c>
      <c r="C13901">
        <v>401110</v>
      </c>
      <c r="D13901" t="s">
        <v>176</v>
      </c>
      <c r="E13901">
        <v>4909</v>
      </c>
      <c r="F13901">
        <v>170</v>
      </c>
      <c r="G13901">
        <v>717</v>
      </c>
      <c r="H13901">
        <f>_xlfn.XLOOKUP(FACT_IMPORTS[[#This Row],[hts_6]],DIM_PRODUCTS[hts_6],DIM_PRODUCTS[hts_4],,,)</f>
        <v>4011</v>
      </c>
      <c r="I13901" t="str" cm="1">
        <f t="array" ref="I13901">_xlfn.XLOOKUP(FACT_IMPORTS[[#This Row],[country_name]],DIM_COUNTRY[[#All],[Column2]],DIM_COUNTRY[[#All],[Column3]],,,)</f>
        <v>Major_Non-USMCA_Non-China</v>
      </c>
    </row>
    <row r="13902" spans="1:9" x14ac:dyDescent="0.4">
      <c r="A13902" t="s">
        <v>75</v>
      </c>
      <c r="B13902" s="1">
        <v>45717</v>
      </c>
      <c r="C13902">
        <v>401190</v>
      </c>
      <c r="D13902" t="s">
        <v>176</v>
      </c>
      <c r="E13902">
        <v>12444</v>
      </c>
      <c r="F13902">
        <v>112</v>
      </c>
      <c r="G13902">
        <v>15</v>
      </c>
      <c r="H13902">
        <f>_xlfn.XLOOKUP(FACT_IMPORTS[[#This Row],[hts_6]],DIM_PRODUCTS[hts_6],DIM_PRODUCTS[hts_4],,,)</f>
        <v>4011</v>
      </c>
      <c r="I13902" t="str" cm="1">
        <f t="array" ref="I13902">_xlfn.XLOOKUP(FACT_IMPORTS[[#This Row],[country_name]],DIM_COUNTRY[[#All],[Column2]],DIM_COUNTRY[[#All],[Column3]],,,)</f>
        <v>Major_Non-USMCA_Non-China</v>
      </c>
    </row>
    <row r="13903" spans="1:9" x14ac:dyDescent="0.4">
      <c r="A13903" t="s">
        <v>75</v>
      </c>
      <c r="B13903" s="1">
        <v>45717</v>
      </c>
      <c r="C13903">
        <v>700721</v>
      </c>
      <c r="D13903" t="s">
        <v>176</v>
      </c>
      <c r="E13903">
        <v>0</v>
      </c>
      <c r="F13903">
        <v>0</v>
      </c>
      <c r="G13903">
        <v>0</v>
      </c>
      <c r="H13903">
        <f>_xlfn.XLOOKUP(FACT_IMPORTS[[#This Row],[hts_6]],DIM_PRODUCTS[hts_6],DIM_PRODUCTS[hts_4],,,)</f>
        <v>7007</v>
      </c>
      <c r="I13903" t="str" cm="1">
        <f t="array" ref="I13903">_xlfn.XLOOKUP(FACT_IMPORTS[[#This Row],[country_name]],DIM_COUNTRY[[#All],[Column2]],DIM_COUNTRY[[#All],[Column3]],,,)</f>
        <v>Major_Non-USMCA_Non-China</v>
      </c>
    </row>
    <row r="13904" spans="1:9" x14ac:dyDescent="0.4">
      <c r="A13904" t="s">
        <v>75</v>
      </c>
      <c r="B13904" s="1">
        <v>45717</v>
      </c>
      <c r="C13904">
        <v>700910</v>
      </c>
      <c r="D13904" t="s">
        <v>176</v>
      </c>
      <c r="E13904">
        <v>4900</v>
      </c>
      <c r="F13904">
        <v>138</v>
      </c>
      <c r="G13904">
        <v>979</v>
      </c>
      <c r="H13904">
        <f>_xlfn.XLOOKUP(FACT_IMPORTS[[#This Row],[hts_6]],DIM_PRODUCTS[hts_6],DIM_PRODUCTS[hts_4],,,)</f>
        <v>7009</v>
      </c>
      <c r="I13904" t="str" cm="1">
        <f t="array" ref="I13904">_xlfn.XLOOKUP(FACT_IMPORTS[[#This Row],[country_name]],DIM_COUNTRY[[#All],[Column2]],DIM_COUNTRY[[#All],[Column3]],,,)</f>
        <v>Major_Non-USMCA_Non-China</v>
      </c>
    </row>
    <row r="13905" spans="1:9" x14ac:dyDescent="0.4">
      <c r="A13905" t="s">
        <v>75</v>
      </c>
      <c r="B13905" s="1">
        <v>45717</v>
      </c>
      <c r="C13905">
        <v>830230</v>
      </c>
      <c r="D13905" t="s">
        <v>176</v>
      </c>
      <c r="E13905">
        <v>29720</v>
      </c>
      <c r="F13905">
        <v>3896</v>
      </c>
      <c r="G13905">
        <v>1641</v>
      </c>
      <c r="H13905">
        <f>_xlfn.XLOOKUP(FACT_IMPORTS[[#This Row],[hts_6]],DIM_PRODUCTS[hts_6],DIM_PRODUCTS[hts_4],,,)</f>
        <v>8302</v>
      </c>
      <c r="I13905" t="str" cm="1">
        <f t="array" ref="I13905">_xlfn.XLOOKUP(FACT_IMPORTS[[#This Row],[country_name]],DIM_COUNTRY[[#All],[Column2]],DIM_COUNTRY[[#All],[Column3]],,,)</f>
        <v>Major_Non-USMCA_Non-China</v>
      </c>
    </row>
    <row r="13906" spans="1:9" x14ac:dyDescent="0.4">
      <c r="A13906" t="s">
        <v>75</v>
      </c>
      <c r="B13906" s="1">
        <v>45717</v>
      </c>
      <c r="C13906">
        <v>840733</v>
      </c>
      <c r="D13906" t="s">
        <v>176</v>
      </c>
      <c r="E13906">
        <v>0</v>
      </c>
      <c r="F13906">
        <v>0</v>
      </c>
      <c r="G13906">
        <v>0</v>
      </c>
      <c r="H13906">
        <f>_xlfn.XLOOKUP(FACT_IMPORTS[[#This Row],[hts_6]],DIM_PRODUCTS[hts_6],DIM_PRODUCTS[hts_4],,,)</f>
        <v>8407</v>
      </c>
      <c r="I13906" t="str" cm="1">
        <f t="array" ref="I13906">_xlfn.XLOOKUP(FACT_IMPORTS[[#This Row],[country_name]],DIM_COUNTRY[[#All],[Column2]],DIM_COUNTRY[[#All],[Column3]],,,)</f>
        <v>Major_Non-USMCA_Non-China</v>
      </c>
    </row>
    <row r="13907" spans="1:9" x14ac:dyDescent="0.4">
      <c r="A13907" t="s">
        <v>75</v>
      </c>
      <c r="B13907" s="1">
        <v>45717</v>
      </c>
      <c r="C13907">
        <v>840991</v>
      </c>
      <c r="D13907" t="s">
        <v>176</v>
      </c>
      <c r="E13907">
        <v>191780</v>
      </c>
      <c r="F13907">
        <v>6173</v>
      </c>
      <c r="G13907">
        <v>5014</v>
      </c>
      <c r="H13907">
        <f>_xlfn.XLOOKUP(FACT_IMPORTS[[#This Row],[hts_6]],DIM_PRODUCTS[hts_6],DIM_PRODUCTS[hts_4],,,)</f>
        <v>8409</v>
      </c>
      <c r="I13907" t="str" cm="1">
        <f t="array" ref="I13907">_xlfn.XLOOKUP(FACT_IMPORTS[[#This Row],[country_name]],DIM_COUNTRY[[#All],[Column2]],DIM_COUNTRY[[#All],[Column3]],,,)</f>
        <v>Major_Non-USMCA_Non-China</v>
      </c>
    </row>
    <row r="13908" spans="1:9" x14ac:dyDescent="0.4">
      <c r="A13908" t="s">
        <v>75</v>
      </c>
      <c r="B13908" s="1">
        <v>45717</v>
      </c>
      <c r="C13908">
        <v>840999</v>
      </c>
      <c r="D13908" t="s">
        <v>176</v>
      </c>
      <c r="E13908">
        <v>0</v>
      </c>
      <c r="F13908">
        <v>0</v>
      </c>
      <c r="G13908">
        <v>0</v>
      </c>
      <c r="H13908">
        <f>_xlfn.XLOOKUP(FACT_IMPORTS[[#This Row],[hts_6]],DIM_PRODUCTS[hts_6],DIM_PRODUCTS[hts_4],,,)</f>
        <v>8409</v>
      </c>
      <c r="I13908" t="str" cm="1">
        <f t="array" ref="I13908">_xlfn.XLOOKUP(FACT_IMPORTS[[#This Row],[country_name]],DIM_COUNTRY[[#All],[Column2]],DIM_COUNTRY[[#All],[Column3]],,,)</f>
        <v>Major_Non-USMCA_Non-China</v>
      </c>
    </row>
    <row r="13909" spans="1:9" x14ac:dyDescent="0.4">
      <c r="A13909" t="s">
        <v>75</v>
      </c>
      <c r="B13909" s="1">
        <v>45717</v>
      </c>
      <c r="C13909">
        <v>841330</v>
      </c>
      <c r="D13909" t="s">
        <v>176</v>
      </c>
      <c r="E13909">
        <v>0</v>
      </c>
      <c r="F13909">
        <v>0</v>
      </c>
      <c r="G13909">
        <v>0</v>
      </c>
      <c r="H13909">
        <f>_xlfn.XLOOKUP(FACT_IMPORTS[[#This Row],[hts_6]],DIM_PRODUCTS[hts_6],DIM_PRODUCTS[hts_4],,,)</f>
        <v>8413</v>
      </c>
      <c r="I13909" t="str" cm="1">
        <f t="array" ref="I13909">_xlfn.XLOOKUP(FACT_IMPORTS[[#This Row],[country_name]],DIM_COUNTRY[[#All],[Column2]],DIM_COUNTRY[[#All],[Column3]],,,)</f>
        <v>Major_Non-USMCA_Non-China</v>
      </c>
    </row>
    <row r="13910" spans="1:9" x14ac:dyDescent="0.4">
      <c r="A13910" t="s">
        <v>75</v>
      </c>
      <c r="B13910" s="1">
        <v>45717</v>
      </c>
      <c r="C13910">
        <v>848210</v>
      </c>
      <c r="D13910" t="s">
        <v>176</v>
      </c>
      <c r="E13910">
        <v>111631</v>
      </c>
      <c r="F13910">
        <v>251006</v>
      </c>
      <c r="G13910">
        <v>5137</v>
      </c>
      <c r="H13910">
        <f>_xlfn.XLOOKUP(FACT_IMPORTS[[#This Row],[hts_6]],DIM_PRODUCTS[hts_6],DIM_PRODUCTS[hts_4],,,)</f>
        <v>8482</v>
      </c>
      <c r="I13910" t="str" cm="1">
        <f t="array" ref="I13910">_xlfn.XLOOKUP(FACT_IMPORTS[[#This Row],[country_name]],DIM_COUNTRY[[#All],[Column2]],DIM_COUNTRY[[#All],[Column3]],,,)</f>
        <v>Major_Non-USMCA_Non-China</v>
      </c>
    </row>
    <row r="13911" spans="1:9" x14ac:dyDescent="0.4">
      <c r="A13911" t="s">
        <v>75</v>
      </c>
      <c r="B13911" s="1">
        <v>45717</v>
      </c>
      <c r="C13911">
        <v>848220</v>
      </c>
      <c r="D13911" t="s">
        <v>176</v>
      </c>
      <c r="E13911">
        <v>0</v>
      </c>
      <c r="F13911">
        <v>0</v>
      </c>
      <c r="G13911">
        <v>0</v>
      </c>
      <c r="H13911">
        <f>_xlfn.XLOOKUP(FACT_IMPORTS[[#This Row],[hts_6]],DIM_PRODUCTS[hts_6],DIM_PRODUCTS[hts_4],,,)</f>
        <v>8482</v>
      </c>
      <c r="I13911" t="str" cm="1">
        <f t="array" ref="I13911">_xlfn.XLOOKUP(FACT_IMPORTS[[#This Row],[country_name]],DIM_COUNTRY[[#All],[Column2]],DIM_COUNTRY[[#All],[Column3]],,,)</f>
        <v>Major_Non-USMCA_Non-China</v>
      </c>
    </row>
    <row r="13912" spans="1:9" x14ac:dyDescent="0.4">
      <c r="A13912" t="s">
        <v>75</v>
      </c>
      <c r="B13912" s="1">
        <v>45717</v>
      </c>
      <c r="C13912">
        <v>848310</v>
      </c>
      <c r="D13912" t="s">
        <v>176</v>
      </c>
      <c r="E13912">
        <v>0</v>
      </c>
      <c r="F13912">
        <v>0</v>
      </c>
      <c r="G13912">
        <v>0</v>
      </c>
      <c r="H13912">
        <f>_xlfn.XLOOKUP(FACT_IMPORTS[[#This Row],[hts_6]],DIM_PRODUCTS[hts_6],DIM_PRODUCTS[hts_4],,,)</f>
        <v>8483</v>
      </c>
      <c r="I13912" t="str" cm="1">
        <f t="array" ref="I13912">_xlfn.XLOOKUP(FACT_IMPORTS[[#This Row],[country_name]],DIM_COUNTRY[[#All],[Column2]],DIM_COUNTRY[[#All],[Column3]],,,)</f>
        <v>Major_Non-USMCA_Non-China</v>
      </c>
    </row>
    <row r="13913" spans="1:9" x14ac:dyDescent="0.4">
      <c r="A13913" t="s">
        <v>75</v>
      </c>
      <c r="B13913" s="1">
        <v>45717</v>
      </c>
      <c r="C13913">
        <v>850131</v>
      </c>
      <c r="D13913" t="s">
        <v>176</v>
      </c>
      <c r="E13913">
        <v>0</v>
      </c>
      <c r="F13913">
        <v>0</v>
      </c>
      <c r="G13913">
        <v>0</v>
      </c>
      <c r="H13913">
        <f>_xlfn.XLOOKUP(FACT_IMPORTS[[#This Row],[hts_6]],DIM_PRODUCTS[hts_6],DIM_PRODUCTS[hts_4],,,)</f>
        <v>8501</v>
      </c>
      <c r="I13913" t="str" cm="1">
        <f t="array" ref="I13913">_xlfn.XLOOKUP(FACT_IMPORTS[[#This Row],[country_name]],DIM_COUNTRY[[#All],[Column2]],DIM_COUNTRY[[#All],[Column3]],,,)</f>
        <v>Major_Non-USMCA_Non-China</v>
      </c>
    </row>
    <row r="13914" spans="1:9" x14ac:dyDescent="0.4">
      <c r="A13914" t="s">
        <v>75</v>
      </c>
      <c r="B13914" s="1">
        <v>45717</v>
      </c>
      <c r="C13914">
        <v>850132</v>
      </c>
      <c r="D13914" t="s">
        <v>176</v>
      </c>
      <c r="E13914">
        <v>0</v>
      </c>
      <c r="F13914">
        <v>0</v>
      </c>
      <c r="G13914">
        <v>0</v>
      </c>
      <c r="H13914">
        <f>_xlfn.XLOOKUP(FACT_IMPORTS[[#This Row],[hts_6]],DIM_PRODUCTS[hts_6],DIM_PRODUCTS[hts_4],,,)</f>
        <v>8501</v>
      </c>
      <c r="I13914" t="str" cm="1">
        <f t="array" ref="I13914">_xlfn.XLOOKUP(FACT_IMPORTS[[#This Row],[country_name]],DIM_COUNTRY[[#All],[Column2]],DIM_COUNTRY[[#All],[Column3]],,,)</f>
        <v>Major_Non-USMCA_Non-China</v>
      </c>
    </row>
    <row r="13915" spans="1:9" x14ac:dyDescent="0.4">
      <c r="A13915" t="s">
        <v>75</v>
      </c>
      <c r="B13915" s="1">
        <v>45717</v>
      </c>
      <c r="C13915">
        <v>850152</v>
      </c>
      <c r="D13915" t="s">
        <v>176</v>
      </c>
      <c r="E13915">
        <v>10970</v>
      </c>
      <c r="F13915">
        <v>23</v>
      </c>
      <c r="G13915">
        <v>300</v>
      </c>
      <c r="H13915">
        <f>_xlfn.XLOOKUP(FACT_IMPORTS[[#This Row],[hts_6]],DIM_PRODUCTS[hts_6],DIM_PRODUCTS[hts_4],,,)</f>
        <v>8501</v>
      </c>
      <c r="I13915" t="str" cm="1">
        <f t="array" ref="I13915">_xlfn.XLOOKUP(FACT_IMPORTS[[#This Row],[country_name]],DIM_COUNTRY[[#All],[Column2]],DIM_COUNTRY[[#All],[Column3]],,,)</f>
        <v>Major_Non-USMCA_Non-China</v>
      </c>
    </row>
    <row r="13916" spans="1:9" x14ac:dyDescent="0.4">
      <c r="A13916" t="s">
        <v>75</v>
      </c>
      <c r="B13916" s="1">
        <v>45717</v>
      </c>
      <c r="C13916">
        <v>850153</v>
      </c>
      <c r="D13916" t="s">
        <v>176</v>
      </c>
      <c r="E13916">
        <v>0</v>
      </c>
      <c r="F13916">
        <v>0</v>
      </c>
      <c r="G13916">
        <v>0</v>
      </c>
      <c r="H13916">
        <f>_xlfn.XLOOKUP(FACT_IMPORTS[[#This Row],[hts_6]],DIM_PRODUCTS[hts_6],DIM_PRODUCTS[hts_4],,,)</f>
        <v>8501</v>
      </c>
      <c r="I13916" t="str" cm="1">
        <f t="array" ref="I13916">_xlfn.XLOOKUP(FACT_IMPORTS[[#This Row],[country_name]],DIM_COUNTRY[[#All],[Column2]],DIM_COUNTRY[[#All],[Column3]],,,)</f>
        <v>Major_Non-USMCA_Non-China</v>
      </c>
    </row>
    <row r="13917" spans="1:9" x14ac:dyDescent="0.4">
      <c r="A13917" t="s">
        <v>75</v>
      </c>
      <c r="B13917" s="1">
        <v>45717</v>
      </c>
      <c r="C13917">
        <v>850161</v>
      </c>
      <c r="D13917" t="s">
        <v>176</v>
      </c>
      <c r="E13917">
        <v>0</v>
      </c>
      <c r="F13917">
        <v>0</v>
      </c>
      <c r="G13917">
        <v>0</v>
      </c>
      <c r="H13917">
        <f>_xlfn.XLOOKUP(FACT_IMPORTS[[#This Row],[hts_6]],DIM_PRODUCTS[hts_6],DIM_PRODUCTS[hts_4],,,)</f>
        <v>8501</v>
      </c>
      <c r="I13917" t="str" cm="1">
        <f t="array" ref="I13917">_xlfn.XLOOKUP(FACT_IMPORTS[[#This Row],[country_name]],DIM_COUNTRY[[#All],[Column2]],DIM_COUNTRY[[#All],[Column3]],,,)</f>
        <v>Major_Non-USMCA_Non-China</v>
      </c>
    </row>
    <row r="13918" spans="1:9" x14ac:dyDescent="0.4">
      <c r="A13918" t="s">
        <v>75</v>
      </c>
      <c r="B13918" s="1">
        <v>45717</v>
      </c>
      <c r="C13918">
        <v>850440</v>
      </c>
      <c r="D13918" t="s">
        <v>176</v>
      </c>
      <c r="E13918">
        <v>1619699</v>
      </c>
      <c r="F13918">
        <v>7996</v>
      </c>
      <c r="G13918">
        <v>18304</v>
      </c>
      <c r="H13918">
        <f>_xlfn.XLOOKUP(FACT_IMPORTS[[#This Row],[hts_6]],DIM_PRODUCTS[hts_6],DIM_PRODUCTS[hts_4],,,)</f>
        <v>8504</v>
      </c>
      <c r="I13918" t="str" cm="1">
        <f t="array" ref="I13918">_xlfn.XLOOKUP(FACT_IMPORTS[[#This Row],[country_name]],DIM_COUNTRY[[#All],[Column2]],DIM_COUNTRY[[#All],[Column3]],,,)</f>
        <v>Major_Non-USMCA_Non-China</v>
      </c>
    </row>
    <row r="13919" spans="1:9" x14ac:dyDescent="0.4">
      <c r="A13919" t="s">
        <v>75</v>
      </c>
      <c r="B13919" s="1">
        <v>45717</v>
      </c>
      <c r="C13919">
        <v>850710</v>
      </c>
      <c r="D13919" t="s">
        <v>176</v>
      </c>
      <c r="E13919">
        <v>12592</v>
      </c>
      <c r="F13919">
        <v>171</v>
      </c>
      <c r="G13919">
        <v>1</v>
      </c>
      <c r="H13919">
        <f>_xlfn.XLOOKUP(FACT_IMPORTS[[#This Row],[hts_6]],DIM_PRODUCTS[hts_6],DIM_PRODUCTS[hts_4],,,)</f>
        <v>8507</v>
      </c>
      <c r="I13919" t="str" cm="1">
        <f t="array" ref="I13919">_xlfn.XLOOKUP(FACT_IMPORTS[[#This Row],[country_name]],DIM_COUNTRY[[#All],[Column2]],DIM_COUNTRY[[#All],[Column3]],,,)</f>
        <v>Major_Non-USMCA_Non-China</v>
      </c>
    </row>
    <row r="13920" spans="1:9" x14ac:dyDescent="0.4">
      <c r="A13920" t="s">
        <v>75</v>
      </c>
      <c r="B13920" s="1">
        <v>45717</v>
      </c>
      <c r="C13920">
        <v>850760</v>
      </c>
      <c r="D13920" t="s">
        <v>176</v>
      </c>
      <c r="E13920">
        <v>23490</v>
      </c>
      <c r="F13920">
        <v>510</v>
      </c>
      <c r="G13920">
        <v>489</v>
      </c>
      <c r="H13920">
        <f>_xlfn.XLOOKUP(FACT_IMPORTS[[#This Row],[hts_6]],DIM_PRODUCTS[hts_6],DIM_PRODUCTS[hts_4],,,)</f>
        <v>8507</v>
      </c>
      <c r="I13920" t="str" cm="1">
        <f t="array" ref="I13920">_xlfn.XLOOKUP(FACT_IMPORTS[[#This Row],[country_name]],DIM_COUNTRY[[#All],[Column2]],DIM_COUNTRY[[#All],[Column3]],,,)</f>
        <v>Major_Non-USMCA_Non-China</v>
      </c>
    </row>
    <row r="13921" spans="1:9" x14ac:dyDescent="0.4">
      <c r="A13921" t="s">
        <v>75</v>
      </c>
      <c r="B13921" s="1">
        <v>45717</v>
      </c>
      <c r="C13921">
        <v>851120</v>
      </c>
      <c r="D13921" t="s">
        <v>176</v>
      </c>
      <c r="E13921">
        <v>0</v>
      </c>
      <c r="F13921">
        <v>0</v>
      </c>
      <c r="G13921">
        <v>0</v>
      </c>
      <c r="H13921">
        <f>_xlfn.XLOOKUP(FACT_IMPORTS[[#This Row],[hts_6]],DIM_PRODUCTS[hts_6],DIM_PRODUCTS[hts_4],,,)</f>
        <v>8511</v>
      </c>
      <c r="I13921" t="str" cm="1">
        <f t="array" ref="I13921">_xlfn.XLOOKUP(FACT_IMPORTS[[#This Row],[country_name]],DIM_COUNTRY[[#All],[Column2]],DIM_COUNTRY[[#All],[Column3]],,,)</f>
        <v>Major_Non-USMCA_Non-China</v>
      </c>
    </row>
    <row r="13922" spans="1:9" x14ac:dyDescent="0.4">
      <c r="A13922" t="s">
        <v>75</v>
      </c>
      <c r="B13922" s="1">
        <v>45717</v>
      </c>
      <c r="C13922">
        <v>851140</v>
      </c>
      <c r="D13922" t="s">
        <v>176</v>
      </c>
      <c r="E13922">
        <v>9791</v>
      </c>
      <c r="F13922">
        <v>92</v>
      </c>
      <c r="G13922">
        <v>2</v>
      </c>
      <c r="H13922">
        <f>_xlfn.XLOOKUP(FACT_IMPORTS[[#This Row],[hts_6]],DIM_PRODUCTS[hts_6],DIM_PRODUCTS[hts_4],,,)</f>
        <v>8511</v>
      </c>
      <c r="I13922" t="str" cm="1">
        <f t="array" ref="I13922">_xlfn.XLOOKUP(FACT_IMPORTS[[#This Row],[country_name]],DIM_COUNTRY[[#All],[Column2]],DIM_COUNTRY[[#All],[Column3]],,,)</f>
        <v>Major_Non-USMCA_Non-China</v>
      </c>
    </row>
    <row r="13923" spans="1:9" x14ac:dyDescent="0.4">
      <c r="A13923" t="s">
        <v>75</v>
      </c>
      <c r="B13923" s="1">
        <v>45717</v>
      </c>
      <c r="C13923">
        <v>851150</v>
      </c>
      <c r="D13923" t="s">
        <v>176</v>
      </c>
      <c r="E13923">
        <v>0</v>
      </c>
      <c r="F13923">
        <v>0</v>
      </c>
      <c r="G13923">
        <v>0</v>
      </c>
      <c r="H13923">
        <f>_xlfn.XLOOKUP(FACT_IMPORTS[[#This Row],[hts_6]],DIM_PRODUCTS[hts_6],DIM_PRODUCTS[hts_4],,,)</f>
        <v>8511</v>
      </c>
      <c r="I13923" t="str" cm="1">
        <f t="array" ref="I13923">_xlfn.XLOOKUP(FACT_IMPORTS[[#This Row],[country_name]],DIM_COUNTRY[[#All],[Column2]],DIM_COUNTRY[[#All],[Column3]],,,)</f>
        <v>Major_Non-USMCA_Non-China</v>
      </c>
    </row>
    <row r="13924" spans="1:9" x14ac:dyDescent="0.4">
      <c r="A13924" t="s">
        <v>75</v>
      </c>
      <c r="B13924" s="1">
        <v>45717</v>
      </c>
      <c r="C13924">
        <v>851190</v>
      </c>
      <c r="D13924" t="s">
        <v>176</v>
      </c>
      <c r="E13924">
        <v>0</v>
      </c>
      <c r="F13924">
        <v>0</v>
      </c>
      <c r="G13924">
        <v>0</v>
      </c>
      <c r="H13924">
        <f>_xlfn.XLOOKUP(FACT_IMPORTS[[#This Row],[hts_6]],DIM_PRODUCTS[hts_6],DIM_PRODUCTS[hts_4],,,)</f>
        <v>8511</v>
      </c>
      <c r="I13924" t="str" cm="1">
        <f t="array" ref="I13924">_xlfn.XLOOKUP(FACT_IMPORTS[[#This Row],[country_name]],DIM_COUNTRY[[#All],[Column2]],DIM_COUNTRY[[#All],[Column3]],,,)</f>
        <v>Major_Non-USMCA_Non-China</v>
      </c>
    </row>
    <row r="13925" spans="1:9" x14ac:dyDescent="0.4">
      <c r="A13925" t="s">
        <v>75</v>
      </c>
      <c r="B13925" s="1">
        <v>45717</v>
      </c>
      <c r="C13925">
        <v>851220</v>
      </c>
      <c r="D13925" t="s">
        <v>176</v>
      </c>
      <c r="E13925">
        <v>2509320</v>
      </c>
      <c r="F13925">
        <v>435238</v>
      </c>
      <c r="G13925">
        <v>45362</v>
      </c>
      <c r="H13925">
        <f>_xlfn.XLOOKUP(FACT_IMPORTS[[#This Row],[hts_6]],DIM_PRODUCTS[hts_6],DIM_PRODUCTS[hts_4],,,)</f>
        <v>8512</v>
      </c>
      <c r="I13925" t="str" cm="1">
        <f t="array" ref="I13925">_xlfn.XLOOKUP(FACT_IMPORTS[[#This Row],[country_name]],DIM_COUNTRY[[#All],[Column2]],DIM_COUNTRY[[#All],[Column3]],,,)</f>
        <v>Major_Non-USMCA_Non-China</v>
      </c>
    </row>
    <row r="13926" spans="1:9" x14ac:dyDescent="0.4">
      <c r="A13926" t="s">
        <v>75</v>
      </c>
      <c r="B13926" s="1">
        <v>45717</v>
      </c>
      <c r="C13926">
        <v>851230</v>
      </c>
      <c r="D13926" t="s">
        <v>176</v>
      </c>
      <c r="E13926">
        <v>0</v>
      </c>
      <c r="F13926">
        <v>0</v>
      </c>
      <c r="G13926">
        <v>0</v>
      </c>
      <c r="H13926">
        <f>_xlfn.XLOOKUP(FACT_IMPORTS[[#This Row],[hts_6]],DIM_PRODUCTS[hts_6],DIM_PRODUCTS[hts_4],,,)</f>
        <v>8512</v>
      </c>
      <c r="I13926" t="str" cm="1">
        <f t="array" ref="I13926">_xlfn.XLOOKUP(FACT_IMPORTS[[#This Row],[country_name]],DIM_COUNTRY[[#All],[Column2]],DIM_COUNTRY[[#All],[Column3]],,,)</f>
        <v>Major_Non-USMCA_Non-China</v>
      </c>
    </row>
    <row r="13927" spans="1:9" x14ac:dyDescent="0.4">
      <c r="A13927" t="s">
        <v>75</v>
      </c>
      <c r="B13927" s="1">
        <v>45717</v>
      </c>
      <c r="C13927">
        <v>851290</v>
      </c>
      <c r="D13927" t="s">
        <v>176</v>
      </c>
      <c r="E13927">
        <v>3019104</v>
      </c>
      <c r="F13927">
        <v>53830</v>
      </c>
      <c r="G13927">
        <v>44300</v>
      </c>
      <c r="H13927">
        <f>_xlfn.XLOOKUP(FACT_IMPORTS[[#This Row],[hts_6]],DIM_PRODUCTS[hts_6],DIM_PRODUCTS[hts_4],,,)</f>
        <v>8512</v>
      </c>
      <c r="I13927" t="str" cm="1">
        <f t="array" ref="I13927">_xlfn.XLOOKUP(FACT_IMPORTS[[#This Row],[country_name]],DIM_COUNTRY[[#All],[Column2]],DIM_COUNTRY[[#All],[Column3]],,,)</f>
        <v>Major_Non-USMCA_Non-China</v>
      </c>
    </row>
    <row r="13928" spans="1:9" x14ac:dyDescent="0.4">
      <c r="A13928" t="s">
        <v>75</v>
      </c>
      <c r="B13928" s="1">
        <v>45717</v>
      </c>
      <c r="C13928">
        <v>854231</v>
      </c>
      <c r="D13928" t="s">
        <v>176</v>
      </c>
      <c r="E13928">
        <v>948208</v>
      </c>
      <c r="F13928">
        <v>91103</v>
      </c>
      <c r="G13928">
        <v>34835</v>
      </c>
      <c r="H13928">
        <f>_xlfn.XLOOKUP(FACT_IMPORTS[[#This Row],[hts_6]],DIM_PRODUCTS[hts_6],DIM_PRODUCTS[hts_4],,,)</f>
        <v>8542</v>
      </c>
      <c r="I13928" t="str" cm="1">
        <f t="array" ref="I13928">_xlfn.XLOOKUP(FACT_IMPORTS[[#This Row],[country_name]],DIM_COUNTRY[[#All],[Column2]],DIM_COUNTRY[[#All],[Column3]],,,)</f>
        <v>Major_Non-USMCA_Non-China</v>
      </c>
    </row>
    <row r="13929" spans="1:9" x14ac:dyDescent="0.4">
      <c r="A13929" t="s">
        <v>75</v>
      </c>
      <c r="B13929" s="1">
        <v>45717</v>
      </c>
      <c r="C13929">
        <v>854232</v>
      </c>
      <c r="D13929" t="s">
        <v>176</v>
      </c>
      <c r="E13929">
        <v>100038</v>
      </c>
      <c r="F13929">
        <v>208801</v>
      </c>
      <c r="G13929">
        <v>10368</v>
      </c>
      <c r="H13929">
        <f>_xlfn.XLOOKUP(FACT_IMPORTS[[#This Row],[hts_6]],DIM_PRODUCTS[hts_6],DIM_PRODUCTS[hts_4],,,)</f>
        <v>8542</v>
      </c>
      <c r="I13929" t="str" cm="1">
        <f t="array" ref="I13929">_xlfn.XLOOKUP(FACT_IMPORTS[[#This Row],[country_name]],DIM_COUNTRY[[#All],[Column2]],DIM_COUNTRY[[#All],[Column3]],,,)</f>
        <v>Major_Non-USMCA_Non-China</v>
      </c>
    </row>
    <row r="13930" spans="1:9" x14ac:dyDescent="0.4">
      <c r="A13930" t="s">
        <v>75</v>
      </c>
      <c r="B13930" s="1">
        <v>45717</v>
      </c>
      <c r="C13930">
        <v>854233</v>
      </c>
      <c r="D13930" t="s">
        <v>176</v>
      </c>
      <c r="E13930">
        <v>10544</v>
      </c>
      <c r="F13930">
        <v>16000</v>
      </c>
      <c r="G13930">
        <v>1054</v>
      </c>
      <c r="H13930">
        <f>_xlfn.XLOOKUP(FACT_IMPORTS[[#This Row],[hts_6]],DIM_PRODUCTS[hts_6],DIM_PRODUCTS[hts_4],,,)</f>
        <v>8542</v>
      </c>
      <c r="I13930" t="str" cm="1">
        <f t="array" ref="I13930">_xlfn.XLOOKUP(FACT_IMPORTS[[#This Row],[country_name]],DIM_COUNTRY[[#All],[Column2]],DIM_COUNTRY[[#All],[Column3]],,,)</f>
        <v>Major_Non-USMCA_Non-China</v>
      </c>
    </row>
    <row r="13931" spans="1:9" x14ac:dyDescent="0.4">
      <c r="A13931" t="s">
        <v>75</v>
      </c>
      <c r="B13931" s="1">
        <v>45717</v>
      </c>
      <c r="C13931">
        <v>854239</v>
      </c>
      <c r="D13931" t="s">
        <v>176</v>
      </c>
      <c r="E13931">
        <v>469424</v>
      </c>
      <c r="F13931">
        <v>120934</v>
      </c>
      <c r="G13931">
        <v>31272</v>
      </c>
      <c r="H13931">
        <f>_xlfn.XLOOKUP(FACT_IMPORTS[[#This Row],[hts_6]],DIM_PRODUCTS[hts_6],DIM_PRODUCTS[hts_4],,,)</f>
        <v>8542</v>
      </c>
      <c r="I13931" t="str" cm="1">
        <f t="array" ref="I13931">_xlfn.XLOOKUP(FACT_IMPORTS[[#This Row],[country_name]],DIM_COUNTRY[[#All],[Column2]],DIM_COUNTRY[[#All],[Column3]],,,)</f>
        <v>Major_Non-USMCA_Non-China</v>
      </c>
    </row>
    <row r="13932" spans="1:9" x14ac:dyDescent="0.4">
      <c r="A13932" t="s">
        <v>75</v>
      </c>
      <c r="B13932" s="1">
        <v>45717</v>
      </c>
      <c r="C13932">
        <v>854290</v>
      </c>
      <c r="D13932" t="s">
        <v>176</v>
      </c>
      <c r="E13932">
        <v>9880</v>
      </c>
      <c r="F13932">
        <v>13000</v>
      </c>
      <c r="G13932">
        <v>988</v>
      </c>
      <c r="H13932">
        <f>_xlfn.XLOOKUP(FACT_IMPORTS[[#This Row],[hts_6]],DIM_PRODUCTS[hts_6],DIM_PRODUCTS[hts_4],,,)</f>
        <v>8542</v>
      </c>
      <c r="I13932" t="str" cm="1">
        <f t="array" ref="I13932">_xlfn.XLOOKUP(FACT_IMPORTS[[#This Row],[country_name]],DIM_COUNTRY[[#All],[Column2]],DIM_COUNTRY[[#All],[Column3]],,,)</f>
        <v>Major_Non-USMCA_Non-China</v>
      </c>
    </row>
    <row r="13933" spans="1:9" x14ac:dyDescent="0.4">
      <c r="A13933" t="s">
        <v>75</v>
      </c>
      <c r="B13933" s="1">
        <v>45717</v>
      </c>
      <c r="C13933">
        <v>854430</v>
      </c>
      <c r="D13933" t="s">
        <v>176</v>
      </c>
      <c r="E13933">
        <v>14400</v>
      </c>
      <c r="F13933">
        <v>720</v>
      </c>
      <c r="G13933">
        <v>111</v>
      </c>
      <c r="H13933">
        <f>_xlfn.XLOOKUP(FACT_IMPORTS[[#This Row],[hts_6]],DIM_PRODUCTS[hts_6],DIM_PRODUCTS[hts_4],,,)</f>
        <v>8544</v>
      </c>
      <c r="I13933" t="str" cm="1">
        <f t="array" ref="I13933">_xlfn.XLOOKUP(FACT_IMPORTS[[#This Row],[country_name]],DIM_COUNTRY[[#All],[Column2]],DIM_COUNTRY[[#All],[Column3]],,,)</f>
        <v>Major_Non-USMCA_Non-China</v>
      </c>
    </row>
    <row r="13934" spans="1:9" x14ac:dyDescent="0.4">
      <c r="A13934" t="s">
        <v>75</v>
      </c>
      <c r="B13934" s="1">
        <v>45717</v>
      </c>
      <c r="C13934">
        <v>870810</v>
      </c>
      <c r="D13934" t="s">
        <v>176</v>
      </c>
      <c r="E13934">
        <v>257948</v>
      </c>
      <c r="F13934">
        <v>5170</v>
      </c>
      <c r="G13934">
        <v>58293</v>
      </c>
      <c r="H13934">
        <f>_xlfn.XLOOKUP(FACT_IMPORTS[[#This Row],[hts_6]],DIM_PRODUCTS[hts_6],DIM_PRODUCTS[hts_4],,,)</f>
        <v>8708</v>
      </c>
      <c r="I13934" t="str" cm="1">
        <f t="array" ref="I13934">_xlfn.XLOOKUP(FACT_IMPORTS[[#This Row],[country_name]],DIM_COUNTRY[[#All],[Column2]],DIM_COUNTRY[[#All],[Column3]],,,)</f>
        <v>Major_Non-USMCA_Non-China</v>
      </c>
    </row>
    <row r="13935" spans="1:9" x14ac:dyDescent="0.4">
      <c r="A13935" t="s">
        <v>75</v>
      </c>
      <c r="B13935" s="1">
        <v>45717</v>
      </c>
      <c r="C13935">
        <v>870829</v>
      </c>
      <c r="D13935" t="s">
        <v>176</v>
      </c>
      <c r="E13935">
        <v>817283</v>
      </c>
      <c r="F13935">
        <v>19608</v>
      </c>
      <c r="G13935">
        <v>56597</v>
      </c>
      <c r="H13935">
        <f>_xlfn.XLOOKUP(FACT_IMPORTS[[#This Row],[hts_6]],DIM_PRODUCTS[hts_6],DIM_PRODUCTS[hts_4],,,)</f>
        <v>8708</v>
      </c>
      <c r="I13935" t="str" cm="1">
        <f t="array" ref="I13935">_xlfn.XLOOKUP(FACT_IMPORTS[[#This Row],[country_name]],DIM_COUNTRY[[#All],[Column2]],DIM_COUNTRY[[#All],[Column3]],,,)</f>
        <v>Major_Non-USMCA_Non-China</v>
      </c>
    </row>
    <row r="13936" spans="1:9" x14ac:dyDescent="0.4">
      <c r="A13936" t="s">
        <v>75</v>
      </c>
      <c r="B13936" s="1">
        <v>45717</v>
      </c>
      <c r="C13936">
        <v>870830</v>
      </c>
      <c r="D13936" t="s">
        <v>176</v>
      </c>
      <c r="E13936">
        <v>6322</v>
      </c>
      <c r="F13936">
        <v>356</v>
      </c>
      <c r="G13936">
        <v>205</v>
      </c>
      <c r="H13936">
        <f>_xlfn.XLOOKUP(FACT_IMPORTS[[#This Row],[hts_6]],DIM_PRODUCTS[hts_6],DIM_PRODUCTS[hts_4],,,)</f>
        <v>8708</v>
      </c>
      <c r="I13936" t="str" cm="1">
        <f t="array" ref="I13936">_xlfn.XLOOKUP(FACT_IMPORTS[[#This Row],[country_name]],DIM_COUNTRY[[#All],[Column2]],DIM_COUNTRY[[#All],[Column3]],,,)</f>
        <v>Major_Non-USMCA_Non-China</v>
      </c>
    </row>
    <row r="13937" spans="1:9" x14ac:dyDescent="0.4">
      <c r="A13937" t="s">
        <v>75</v>
      </c>
      <c r="B13937" s="1">
        <v>45717</v>
      </c>
      <c r="C13937">
        <v>870840</v>
      </c>
      <c r="D13937" t="s">
        <v>176</v>
      </c>
      <c r="E13937">
        <v>146858</v>
      </c>
      <c r="F13937">
        <v>6590</v>
      </c>
      <c r="G13937">
        <v>4001</v>
      </c>
      <c r="H13937">
        <f>_xlfn.XLOOKUP(FACT_IMPORTS[[#This Row],[hts_6]],DIM_PRODUCTS[hts_6],DIM_PRODUCTS[hts_4],,,)</f>
        <v>8708</v>
      </c>
      <c r="I13937" t="str" cm="1">
        <f t="array" ref="I13937">_xlfn.XLOOKUP(FACT_IMPORTS[[#This Row],[country_name]],DIM_COUNTRY[[#All],[Column2]],DIM_COUNTRY[[#All],[Column3]],,,)</f>
        <v>Major_Non-USMCA_Non-China</v>
      </c>
    </row>
    <row r="13938" spans="1:9" x14ac:dyDescent="0.4">
      <c r="A13938" t="s">
        <v>75</v>
      </c>
      <c r="B13938" s="1">
        <v>45717</v>
      </c>
      <c r="C13938">
        <v>870850</v>
      </c>
      <c r="D13938" t="s">
        <v>176</v>
      </c>
      <c r="E13938">
        <v>207912</v>
      </c>
      <c r="F13938">
        <v>59776</v>
      </c>
      <c r="G13938">
        <v>12103</v>
      </c>
      <c r="H13938">
        <f>_xlfn.XLOOKUP(FACT_IMPORTS[[#This Row],[hts_6]],DIM_PRODUCTS[hts_6],DIM_PRODUCTS[hts_4],,,)</f>
        <v>8708</v>
      </c>
      <c r="I13938" t="str" cm="1">
        <f t="array" ref="I13938">_xlfn.XLOOKUP(FACT_IMPORTS[[#This Row],[country_name]],DIM_COUNTRY[[#All],[Column2]],DIM_COUNTRY[[#All],[Column3]],,,)</f>
        <v>Major_Non-USMCA_Non-China</v>
      </c>
    </row>
    <row r="13939" spans="1:9" x14ac:dyDescent="0.4">
      <c r="A13939" t="s">
        <v>75</v>
      </c>
      <c r="B13939" s="1">
        <v>45717</v>
      </c>
      <c r="C13939">
        <v>870870</v>
      </c>
      <c r="D13939" t="s">
        <v>176</v>
      </c>
      <c r="E13939">
        <v>639266</v>
      </c>
      <c r="F13939">
        <v>2191</v>
      </c>
      <c r="G13939">
        <v>1200</v>
      </c>
      <c r="H13939">
        <f>_xlfn.XLOOKUP(FACT_IMPORTS[[#This Row],[hts_6]],DIM_PRODUCTS[hts_6],DIM_PRODUCTS[hts_4],,,)</f>
        <v>8708</v>
      </c>
      <c r="I13939" t="str" cm="1">
        <f t="array" ref="I13939">_xlfn.XLOOKUP(FACT_IMPORTS[[#This Row],[country_name]],DIM_COUNTRY[[#All],[Column2]],DIM_COUNTRY[[#All],[Column3]],,,)</f>
        <v>Major_Non-USMCA_Non-China</v>
      </c>
    </row>
    <row r="13940" spans="1:9" x14ac:dyDescent="0.4">
      <c r="A13940" t="s">
        <v>75</v>
      </c>
      <c r="B13940" s="1">
        <v>45717</v>
      </c>
      <c r="C13940">
        <v>870880</v>
      </c>
      <c r="D13940" t="s">
        <v>176</v>
      </c>
      <c r="E13940">
        <v>715592</v>
      </c>
      <c r="F13940">
        <v>54570</v>
      </c>
      <c r="G13940">
        <v>33589</v>
      </c>
      <c r="H13940">
        <f>_xlfn.XLOOKUP(FACT_IMPORTS[[#This Row],[hts_6]],DIM_PRODUCTS[hts_6],DIM_PRODUCTS[hts_4],,,)</f>
        <v>8708</v>
      </c>
      <c r="I13940" t="str" cm="1">
        <f t="array" ref="I13940">_xlfn.XLOOKUP(FACT_IMPORTS[[#This Row],[country_name]],DIM_COUNTRY[[#All],[Column2]],DIM_COUNTRY[[#All],[Column3]],,,)</f>
        <v>Major_Non-USMCA_Non-China</v>
      </c>
    </row>
    <row r="13941" spans="1:9" x14ac:dyDescent="0.4">
      <c r="A13941" t="s">
        <v>75</v>
      </c>
      <c r="B13941" s="1">
        <v>45717</v>
      </c>
      <c r="C13941">
        <v>870891</v>
      </c>
      <c r="D13941" t="s">
        <v>176</v>
      </c>
      <c r="E13941">
        <v>14195</v>
      </c>
      <c r="F13941">
        <v>2800</v>
      </c>
      <c r="G13941">
        <v>1763</v>
      </c>
      <c r="H13941">
        <f>_xlfn.XLOOKUP(FACT_IMPORTS[[#This Row],[hts_6]],DIM_PRODUCTS[hts_6],DIM_PRODUCTS[hts_4],,,)</f>
        <v>8708</v>
      </c>
      <c r="I13941" t="str" cm="1">
        <f t="array" ref="I13941">_xlfn.XLOOKUP(FACT_IMPORTS[[#This Row],[country_name]],DIM_COUNTRY[[#All],[Column2]],DIM_COUNTRY[[#All],[Column3]],,,)</f>
        <v>Major_Non-USMCA_Non-China</v>
      </c>
    </row>
    <row r="13942" spans="1:9" x14ac:dyDescent="0.4">
      <c r="A13942" t="s">
        <v>75</v>
      </c>
      <c r="B13942" s="1">
        <v>45717</v>
      </c>
      <c r="C13942">
        <v>870892</v>
      </c>
      <c r="D13942" t="s">
        <v>176</v>
      </c>
      <c r="E13942">
        <v>64385</v>
      </c>
      <c r="F13942">
        <v>27129</v>
      </c>
      <c r="G13942">
        <v>3500</v>
      </c>
      <c r="H13942">
        <f>_xlfn.XLOOKUP(FACT_IMPORTS[[#This Row],[hts_6]],DIM_PRODUCTS[hts_6],DIM_PRODUCTS[hts_4],,,)</f>
        <v>8708</v>
      </c>
      <c r="I13942" t="str" cm="1">
        <f t="array" ref="I13942">_xlfn.XLOOKUP(FACT_IMPORTS[[#This Row],[country_name]],DIM_COUNTRY[[#All],[Column2]],DIM_COUNTRY[[#All],[Column3]],,,)</f>
        <v>Major_Non-USMCA_Non-China</v>
      </c>
    </row>
    <row r="13943" spans="1:9" x14ac:dyDescent="0.4">
      <c r="A13943" t="s">
        <v>75</v>
      </c>
      <c r="B13943" s="1">
        <v>45717</v>
      </c>
      <c r="C13943">
        <v>870893</v>
      </c>
      <c r="D13943" t="s">
        <v>176</v>
      </c>
      <c r="E13943">
        <v>59223</v>
      </c>
      <c r="F13943">
        <v>1852</v>
      </c>
      <c r="G13943">
        <v>2030</v>
      </c>
      <c r="H13943">
        <f>_xlfn.XLOOKUP(FACT_IMPORTS[[#This Row],[hts_6]],DIM_PRODUCTS[hts_6],DIM_PRODUCTS[hts_4],,,)</f>
        <v>8708</v>
      </c>
      <c r="I13943" t="str" cm="1">
        <f t="array" ref="I13943">_xlfn.XLOOKUP(FACT_IMPORTS[[#This Row],[country_name]],DIM_COUNTRY[[#All],[Column2]],DIM_COUNTRY[[#All],[Column3]],,,)</f>
        <v>Major_Non-USMCA_Non-China</v>
      </c>
    </row>
    <row r="13944" spans="1:9" x14ac:dyDescent="0.4">
      <c r="A13944" t="s">
        <v>75</v>
      </c>
      <c r="B13944" s="1">
        <v>45717</v>
      </c>
      <c r="C13944">
        <v>870894</v>
      </c>
      <c r="D13944" t="s">
        <v>176</v>
      </c>
      <c r="E13944">
        <v>14639</v>
      </c>
      <c r="F13944">
        <v>292</v>
      </c>
      <c r="G13944">
        <v>8</v>
      </c>
      <c r="H13944">
        <f>_xlfn.XLOOKUP(FACT_IMPORTS[[#This Row],[hts_6]],DIM_PRODUCTS[hts_6],DIM_PRODUCTS[hts_4],,,)</f>
        <v>8708</v>
      </c>
      <c r="I13944" t="str" cm="1">
        <f t="array" ref="I13944">_xlfn.XLOOKUP(FACT_IMPORTS[[#This Row],[country_name]],DIM_COUNTRY[[#All],[Column2]],DIM_COUNTRY[[#All],[Column3]],,,)</f>
        <v>Major_Non-USMCA_Non-China</v>
      </c>
    </row>
    <row r="13945" spans="1:9" x14ac:dyDescent="0.4">
      <c r="A13945" t="s">
        <v>75</v>
      </c>
      <c r="B13945" s="1">
        <v>45717</v>
      </c>
      <c r="C13945">
        <v>870899</v>
      </c>
      <c r="D13945" t="s">
        <v>176</v>
      </c>
      <c r="E13945">
        <v>1068536</v>
      </c>
      <c r="F13945">
        <v>1297852</v>
      </c>
      <c r="G13945">
        <v>49566</v>
      </c>
      <c r="H13945">
        <f>_xlfn.XLOOKUP(FACT_IMPORTS[[#This Row],[hts_6]],DIM_PRODUCTS[hts_6],DIM_PRODUCTS[hts_4],,,)</f>
        <v>8708</v>
      </c>
      <c r="I13945" t="str" cm="1">
        <f t="array" ref="I13945">_xlfn.XLOOKUP(FACT_IMPORTS[[#This Row],[country_name]],DIM_COUNTRY[[#All],[Column2]],DIM_COUNTRY[[#All],[Column3]],,,)</f>
        <v>Major_Non-USMCA_Non-China</v>
      </c>
    </row>
    <row r="13946" spans="1:9" x14ac:dyDescent="0.4">
      <c r="A13946" t="s">
        <v>75</v>
      </c>
      <c r="B13946" s="1">
        <v>45717</v>
      </c>
      <c r="C13946">
        <v>940120</v>
      </c>
      <c r="D13946" t="s">
        <v>176</v>
      </c>
      <c r="E13946">
        <v>896</v>
      </c>
      <c r="F13946">
        <v>1</v>
      </c>
      <c r="G13946">
        <v>74</v>
      </c>
      <c r="H13946">
        <f>_xlfn.XLOOKUP(FACT_IMPORTS[[#This Row],[hts_6]],DIM_PRODUCTS[hts_6],DIM_PRODUCTS[hts_4],,,)</f>
        <v>9401</v>
      </c>
      <c r="I13946" t="str" cm="1">
        <f t="array" ref="I13946">_xlfn.XLOOKUP(FACT_IMPORTS[[#This Row],[country_name]],DIM_COUNTRY[[#All],[Column2]],DIM_COUNTRY[[#All],[Column3]],,,)</f>
        <v>Major_Non-USMCA_Non-China</v>
      </c>
    </row>
    <row r="13947" spans="1:9" x14ac:dyDescent="0.4">
      <c r="A13947" t="s">
        <v>75</v>
      </c>
      <c r="B13947" s="1">
        <v>45748</v>
      </c>
      <c r="C13947">
        <v>392630</v>
      </c>
      <c r="D13947" t="s">
        <v>176</v>
      </c>
      <c r="E13947">
        <v>15501</v>
      </c>
      <c r="F13947">
        <v>1403</v>
      </c>
      <c r="G13947">
        <v>2316</v>
      </c>
      <c r="H13947">
        <f>_xlfn.XLOOKUP(FACT_IMPORTS[[#This Row],[hts_6]],DIM_PRODUCTS[hts_6],DIM_PRODUCTS[hts_4],,,)</f>
        <v>3926</v>
      </c>
      <c r="I13947" t="str" cm="1">
        <f t="array" ref="I13947">_xlfn.XLOOKUP(FACT_IMPORTS[[#This Row],[country_name]],DIM_COUNTRY[[#All],[Column2]],DIM_COUNTRY[[#All],[Column3]],,,)</f>
        <v>Major_Non-USMCA_Non-China</v>
      </c>
    </row>
    <row r="13948" spans="1:9" x14ac:dyDescent="0.4">
      <c r="A13948" t="s">
        <v>75</v>
      </c>
      <c r="B13948" s="1">
        <v>45748</v>
      </c>
      <c r="C13948">
        <v>401110</v>
      </c>
      <c r="D13948" t="s">
        <v>176</v>
      </c>
      <c r="E13948">
        <v>4403</v>
      </c>
      <c r="F13948">
        <v>108</v>
      </c>
      <c r="G13948">
        <v>257</v>
      </c>
      <c r="H13948">
        <f>_xlfn.XLOOKUP(FACT_IMPORTS[[#This Row],[hts_6]],DIM_PRODUCTS[hts_6],DIM_PRODUCTS[hts_4],,,)</f>
        <v>4011</v>
      </c>
      <c r="I13948" t="str" cm="1">
        <f t="array" ref="I13948">_xlfn.XLOOKUP(FACT_IMPORTS[[#This Row],[country_name]],DIM_COUNTRY[[#All],[Column2]],DIM_COUNTRY[[#All],[Column3]],,,)</f>
        <v>Major_Non-USMCA_Non-China</v>
      </c>
    </row>
    <row r="13949" spans="1:9" x14ac:dyDescent="0.4">
      <c r="A13949" t="s">
        <v>75</v>
      </c>
      <c r="B13949" s="1">
        <v>45748</v>
      </c>
      <c r="C13949">
        <v>401190</v>
      </c>
      <c r="D13949" t="s">
        <v>176</v>
      </c>
      <c r="E13949">
        <v>30997</v>
      </c>
      <c r="F13949">
        <v>279</v>
      </c>
      <c r="G13949">
        <v>43</v>
      </c>
      <c r="H13949">
        <f>_xlfn.XLOOKUP(FACT_IMPORTS[[#This Row],[hts_6]],DIM_PRODUCTS[hts_6],DIM_PRODUCTS[hts_4],,,)</f>
        <v>4011</v>
      </c>
      <c r="I13949" t="str" cm="1">
        <f t="array" ref="I13949">_xlfn.XLOOKUP(FACT_IMPORTS[[#This Row],[country_name]],DIM_COUNTRY[[#All],[Column2]],DIM_COUNTRY[[#All],[Column3]],,,)</f>
        <v>Major_Non-USMCA_Non-China</v>
      </c>
    </row>
    <row r="13950" spans="1:9" x14ac:dyDescent="0.4">
      <c r="A13950" t="s">
        <v>75</v>
      </c>
      <c r="B13950" s="1">
        <v>45748</v>
      </c>
      <c r="C13950">
        <v>700721</v>
      </c>
      <c r="D13950" t="s">
        <v>176</v>
      </c>
      <c r="E13950">
        <v>0</v>
      </c>
      <c r="F13950">
        <v>0</v>
      </c>
      <c r="G13950">
        <v>0</v>
      </c>
      <c r="H13950">
        <f>_xlfn.XLOOKUP(FACT_IMPORTS[[#This Row],[hts_6]],DIM_PRODUCTS[hts_6],DIM_PRODUCTS[hts_4],,,)</f>
        <v>7007</v>
      </c>
      <c r="I13950" t="str" cm="1">
        <f t="array" ref="I13950">_xlfn.XLOOKUP(FACT_IMPORTS[[#This Row],[country_name]],DIM_COUNTRY[[#All],[Column2]],DIM_COUNTRY[[#All],[Column3]],,,)</f>
        <v>Major_Non-USMCA_Non-China</v>
      </c>
    </row>
    <row r="13951" spans="1:9" x14ac:dyDescent="0.4">
      <c r="A13951" t="s">
        <v>75</v>
      </c>
      <c r="B13951" s="1">
        <v>45748</v>
      </c>
      <c r="C13951">
        <v>700910</v>
      </c>
      <c r="D13951" t="s">
        <v>176</v>
      </c>
      <c r="E13951">
        <v>179434</v>
      </c>
      <c r="F13951">
        <v>46988</v>
      </c>
      <c r="G13951">
        <v>5919</v>
      </c>
      <c r="H13951">
        <f>_xlfn.XLOOKUP(FACT_IMPORTS[[#This Row],[hts_6]],DIM_PRODUCTS[hts_6],DIM_PRODUCTS[hts_4],,,)</f>
        <v>7009</v>
      </c>
      <c r="I13951" t="str" cm="1">
        <f t="array" ref="I13951">_xlfn.XLOOKUP(FACT_IMPORTS[[#This Row],[country_name]],DIM_COUNTRY[[#All],[Column2]],DIM_COUNTRY[[#All],[Column3]],,,)</f>
        <v>Major_Non-USMCA_Non-China</v>
      </c>
    </row>
    <row r="13952" spans="1:9" x14ac:dyDescent="0.4">
      <c r="A13952" t="s">
        <v>75</v>
      </c>
      <c r="B13952" s="1">
        <v>45748</v>
      </c>
      <c r="C13952">
        <v>830230</v>
      </c>
      <c r="D13952" t="s">
        <v>176</v>
      </c>
      <c r="E13952">
        <v>100203</v>
      </c>
      <c r="F13952">
        <v>6578</v>
      </c>
      <c r="G13952">
        <v>4116</v>
      </c>
      <c r="H13952">
        <f>_xlfn.XLOOKUP(FACT_IMPORTS[[#This Row],[hts_6]],DIM_PRODUCTS[hts_6],DIM_PRODUCTS[hts_4],,,)</f>
        <v>8302</v>
      </c>
      <c r="I13952" t="str" cm="1">
        <f t="array" ref="I13952">_xlfn.XLOOKUP(FACT_IMPORTS[[#This Row],[country_name]],DIM_COUNTRY[[#All],[Column2]],DIM_COUNTRY[[#All],[Column3]],,,)</f>
        <v>Major_Non-USMCA_Non-China</v>
      </c>
    </row>
    <row r="13953" spans="1:9" x14ac:dyDescent="0.4">
      <c r="A13953" t="s">
        <v>75</v>
      </c>
      <c r="B13953" s="1">
        <v>45748</v>
      </c>
      <c r="C13953">
        <v>840733</v>
      </c>
      <c r="D13953" t="s">
        <v>176</v>
      </c>
      <c r="E13953">
        <v>0</v>
      </c>
      <c r="F13953">
        <v>0</v>
      </c>
      <c r="G13953">
        <v>0</v>
      </c>
      <c r="H13953">
        <f>_xlfn.XLOOKUP(FACT_IMPORTS[[#This Row],[hts_6]],DIM_PRODUCTS[hts_6],DIM_PRODUCTS[hts_4],,,)</f>
        <v>8407</v>
      </c>
      <c r="I13953" t="str" cm="1">
        <f t="array" ref="I13953">_xlfn.XLOOKUP(FACT_IMPORTS[[#This Row],[country_name]],DIM_COUNTRY[[#All],[Column2]],DIM_COUNTRY[[#All],[Column3]],,,)</f>
        <v>Major_Non-USMCA_Non-China</v>
      </c>
    </row>
    <row r="13954" spans="1:9" x14ac:dyDescent="0.4">
      <c r="A13954" t="s">
        <v>75</v>
      </c>
      <c r="B13954" s="1">
        <v>45748</v>
      </c>
      <c r="C13954">
        <v>840991</v>
      </c>
      <c r="D13954" t="s">
        <v>176</v>
      </c>
      <c r="E13954">
        <v>268893</v>
      </c>
      <c r="F13954">
        <v>14598</v>
      </c>
      <c r="G13954">
        <v>14023</v>
      </c>
      <c r="H13954">
        <f>_xlfn.XLOOKUP(FACT_IMPORTS[[#This Row],[hts_6]],DIM_PRODUCTS[hts_6],DIM_PRODUCTS[hts_4],,,)</f>
        <v>8409</v>
      </c>
      <c r="I13954" t="str" cm="1">
        <f t="array" ref="I13954">_xlfn.XLOOKUP(FACT_IMPORTS[[#This Row],[country_name]],DIM_COUNTRY[[#All],[Column2]],DIM_COUNTRY[[#All],[Column3]],,,)</f>
        <v>Major_Non-USMCA_Non-China</v>
      </c>
    </row>
    <row r="13955" spans="1:9" x14ac:dyDescent="0.4">
      <c r="A13955" t="s">
        <v>75</v>
      </c>
      <c r="B13955" s="1">
        <v>45748</v>
      </c>
      <c r="C13955">
        <v>840999</v>
      </c>
      <c r="D13955" t="s">
        <v>176</v>
      </c>
      <c r="E13955">
        <v>0</v>
      </c>
      <c r="F13955">
        <v>0</v>
      </c>
      <c r="G13955">
        <v>0</v>
      </c>
      <c r="H13955">
        <f>_xlfn.XLOOKUP(FACT_IMPORTS[[#This Row],[hts_6]],DIM_PRODUCTS[hts_6],DIM_PRODUCTS[hts_4],,,)</f>
        <v>8409</v>
      </c>
      <c r="I13955" t="str" cm="1">
        <f t="array" ref="I13955">_xlfn.XLOOKUP(FACT_IMPORTS[[#This Row],[country_name]],DIM_COUNTRY[[#All],[Column2]],DIM_COUNTRY[[#All],[Column3]],,,)</f>
        <v>Major_Non-USMCA_Non-China</v>
      </c>
    </row>
    <row r="13956" spans="1:9" x14ac:dyDescent="0.4">
      <c r="A13956" t="s">
        <v>75</v>
      </c>
      <c r="B13956" s="1">
        <v>45748</v>
      </c>
      <c r="C13956">
        <v>841330</v>
      </c>
      <c r="D13956" t="s">
        <v>176</v>
      </c>
      <c r="E13956">
        <v>4344</v>
      </c>
      <c r="F13956">
        <v>978</v>
      </c>
      <c r="G13956">
        <v>12</v>
      </c>
      <c r="H13956">
        <f>_xlfn.XLOOKUP(FACT_IMPORTS[[#This Row],[hts_6]],DIM_PRODUCTS[hts_6],DIM_PRODUCTS[hts_4],,,)</f>
        <v>8413</v>
      </c>
      <c r="I13956" t="str" cm="1">
        <f t="array" ref="I13956">_xlfn.XLOOKUP(FACT_IMPORTS[[#This Row],[country_name]],DIM_COUNTRY[[#All],[Column2]],DIM_COUNTRY[[#All],[Column3]],,,)</f>
        <v>Major_Non-USMCA_Non-China</v>
      </c>
    </row>
    <row r="13957" spans="1:9" x14ac:dyDescent="0.4">
      <c r="A13957" t="s">
        <v>75</v>
      </c>
      <c r="B13957" s="1">
        <v>45748</v>
      </c>
      <c r="C13957">
        <v>848210</v>
      </c>
      <c r="D13957" t="s">
        <v>176</v>
      </c>
      <c r="E13957">
        <v>140657</v>
      </c>
      <c r="F13957">
        <v>349698</v>
      </c>
      <c r="G13957">
        <v>9476</v>
      </c>
      <c r="H13957">
        <f>_xlfn.XLOOKUP(FACT_IMPORTS[[#This Row],[hts_6]],DIM_PRODUCTS[hts_6],DIM_PRODUCTS[hts_4],,,)</f>
        <v>8482</v>
      </c>
      <c r="I13957" t="str" cm="1">
        <f t="array" ref="I13957">_xlfn.XLOOKUP(FACT_IMPORTS[[#This Row],[country_name]],DIM_COUNTRY[[#All],[Column2]],DIM_COUNTRY[[#All],[Column3]],,,)</f>
        <v>Major_Non-USMCA_Non-China</v>
      </c>
    </row>
    <row r="13958" spans="1:9" x14ac:dyDescent="0.4">
      <c r="A13958" t="s">
        <v>75</v>
      </c>
      <c r="B13958" s="1">
        <v>45748</v>
      </c>
      <c r="C13958">
        <v>848220</v>
      </c>
      <c r="D13958" t="s">
        <v>176</v>
      </c>
      <c r="E13958">
        <v>0</v>
      </c>
      <c r="F13958">
        <v>0</v>
      </c>
      <c r="G13958">
        <v>0</v>
      </c>
      <c r="H13958">
        <f>_xlfn.XLOOKUP(FACT_IMPORTS[[#This Row],[hts_6]],DIM_PRODUCTS[hts_6],DIM_PRODUCTS[hts_4],,,)</f>
        <v>8482</v>
      </c>
      <c r="I13958" t="str" cm="1">
        <f t="array" ref="I13958">_xlfn.XLOOKUP(FACT_IMPORTS[[#This Row],[country_name]],DIM_COUNTRY[[#All],[Column2]],DIM_COUNTRY[[#All],[Column3]],,,)</f>
        <v>Major_Non-USMCA_Non-China</v>
      </c>
    </row>
    <row r="13959" spans="1:9" x14ac:dyDescent="0.4">
      <c r="A13959" t="s">
        <v>75</v>
      </c>
      <c r="B13959" s="1">
        <v>45748</v>
      </c>
      <c r="C13959">
        <v>848310</v>
      </c>
      <c r="D13959" t="s">
        <v>176</v>
      </c>
      <c r="E13959">
        <v>0</v>
      </c>
      <c r="F13959">
        <v>0</v>
      </c>
      <c r="G13959">
        <v>0</v>
      </c>
      <c r="H13959">
        <f>_xlfn.XLOOKUP(FACT_IMPORTS[[#This Row],[hts_6]],DIM_PRODUCTS[hts_6],DIM_PRODUCTS[hts_4],,,)</f>
        <v>8483</v>
      </c>
      <c r="I13959" t="str" cm="1">
        <f t="array" ref="I13959">_xlfn.XLOOKUP(FACT_IMPORTS[[#This Row],[country_name]],DIM_COUNTRY[[#All],[Column2]],DIM_COUNTRY[[#All],[Column3]],,,)</f>
        <v>Major_Non-USMCA_Non-China</v>
      </c>
    </row>
    <row r="13960" spans="1:9" x14ac:dyDescent="0.4">
      <c r="A13960" t="s">
        <v>75</v>
      </c>
      <c r="B13960" s="1">
        <v>45748</v>
      </c>
      <c r="C13960">
        <v>850131</v>
      </c>
      <c r="D13960" t="s">
        <v>176</v>
      </c>
      <c r="E13960">
        <v>4072</v>
      </c>
      <c r="F13960">
        <v>49</v>
      </c>
      <c r="G13960">
        <v>2</v>
      </c>
      <c r="H13960">
        <f>_xlfn.XLOOKUP(FACT_IMPORTS[[#This Row],[hts_6]],DIM_PRODUCTS[hts_6],DIM_PRODUCTS[hts_4],,,)</f>
        <v>8501</v>
      </c>
      <c r="I13960" t="str" cm="1">
        <f t="array" ref="I13960">_xlfn.XLOOKUP(FACT_IMPORTS[[#This Row],[country_name]],DIM_COUNTRY[[#All],[Column2]],DIM_COUNTRY[[#All],[Column3]],,,)</f>
        <v>Major_Non-USMCA_Non-China</v>
      </c>
    </row>
    <row r="13961" spans="1:9" x14ac:dyDescent="0.4">
      <c r="A13961" t="s">
        <v>75</v>
      </c>
      <c r="B13961" s="1">
        <v>45748</v>
      </c>
      <c r="C13961">
        <v>850132</v>
      </c>
      <c r="D13961" t="s">
        <v>176</v>
      </c>
      <c r="E13961">
        <v>0</v>
      </c>
      <c r="F13961">
        <v>0</v>
      </c>
      <c r="G13961">
        <v>0</v>
      </c>
      <c r="H13961">
        <f>_xlfn.XLOOKUP(FACT_IMPORTS[[#This Row],[hts_6]],DIM_PRODUCTS[hts_6],DIM_PRODUCTS[hts_4],,,)</f>
        <v>8501</v>
      </c>
      <c r="I13961" t="str" cm="1">
        <f t="array" ref="I13961">_xlfn.XLOOKUP(FACT_IMPORTS[[#This Row],[country_name]],DIM_COUNTRY[[#All],[Column2]],DIM_COUNTRY[[#All],[Column3]],,,)</f>
        <v>Major_Non-USMCA_Non-China</v>
      </c>
    </row>
    <row r="13962" spans="1:9" x14ac:dyDescent="0.4">
      <c r="A13962" t="s">
        <v>75</v>
      </c>
      <c r="B13962" s="1">
        <v>45748</v>
      </c>
      <c r="C13962">
        <v>850152</v>
      </c>
      <c r="D13962" t="s">
        <v>176</v>
      </c>
      <c r="E13962">
        <v>0</v>
      </c>
      <c r="F13962">
        <v>0</v>
      </c>
      <c r="G13962">
        <v>0</v>
      </c>
      <c r="H13962">
        <f>_xlfn.XLOOKUP(FACT_IMPORTS[[#This Row],[hts_6]],DIM_PRODUCTS[hts_6],DIM_PRODUCTS[hts_4],,,)</f>
        <v>8501</v>
      </c>
      <c r="I13962" t="str" cm="1">
        <f t="array" ref="I13962">_xlfn.XLOOKUP(FACT_IMPORTS[[#This Row],[country_name]],DIM_COUNTRY[[#All],[Column2]],DIM_COUNTRY[[#All],[Column3]],,,)</f>
        <v>Major_Non-USMCA_Non-China</v>
      </c>
    </row>
    <row r="13963" spans="1:9" x14ac:dyDescent="0.4">
      <c r="A13963" t="s">
        <v>75</v>
      </c>
      <c r="B13963" s="1">
        <v>45748</v>
      </c>
      <c r="C13963">
        <v>850153</v>
      </c>
      <c r="D13963" t="s">
        <v>176</v>
      </c>
      <c r="E13963">
        <v>0</v>
      </c>
      <c r="F13963">
        <v>0</v>
      </c>
      <c r="G13963">
        <v>0</v>
      </c>
      <c r="H13963">
        <f>_xlfn.XLOOKUP(FACT_IMPORTS[[#This Row],[hts_6]],DIM_PRODUCTS[hts_6],DIM_PRODUCTS[hts_4],,,)</f>
        <v>8501</v>
      </c>
      <c r="I13963" t="str" cm="1">
        <f t="array" ref="I13963">_xlfn.XLOOKUP(FACT_IMPORTS[[#This Row],[country_name]],DIM_COUNTRY[[#All],[Column2]],DIM_COUNTRY[[#All],[Column3]],,,)</f>
        <v>Major_Non-USMCA_Non-China</v>
      </c>
    </row>
    <row r="13964" spans="1:9" x14ac:dyDescent="0.4">
      <c r="A13964" t="s">
        <v>75</v>
      </c>
      <c r="B13964" s="1">
        <v>45748</v>
      </c>
      <c r="C13964">
        <v>850161</v>
      </c>
      <c r="D13964" t="s">
        <v>176</v>
      </c>
      <c r="E13964">
        <v>0</v>
      </c>
      <c r="F13964">
        <v>0</v>
      </c>
      <c r="G13964">
        <v>0</v>
      </c>
      <c r="H13964">
        <f>_xlfn.XLOOKUP(FACT_IMPORTS[[#This Row],[hts_6]],DIM_PRODUCTS[hts_6],DIM_PRODUCTS[hts_4],,,)</f>
        <v>8501</v>
      </c>
      <c r="I13964" t="str" cm="1">
        <f t="array" ref="I13964">_xlfn.XLOOKUP(FACT_IMPORTS[[#This Row],[country_name]],DIM_COUNTRY[[#All],[Column2]],DIM_COUNTRY[[#All],[Column3]],,,)</f>
        <v>Major_Non-USMCA_Non-China</v>
      </c>
    </row>
    <row r="13965" spans="1:9" x14ac:dyDescent="0.4">
      <c r="A13965" t="s">
        <v>75</v>
      </c>
      <c r="B13965" s="1">
        <v>45748</v>
      </c>
      <c r="C13965">
        <v>850440</v>
      </c>
      <c r="D13965" t="s">
        <v>176</v>
      </c>
      <c r="E13965">
        <v>1887407</v>
      </c>
      <c r="F13965">
        <v>7978</v>
      </c>
      <c r="G13965">
        <v>25878</v>
      </c>
      <c r="H13965">
        <f>_xlfn.XLOOKUP(FACT_IMPORTS[[#This Row],[hts_6]],DIM_PRODUCTS[hts_6],DIM_PRODUCTS[hts_4],,,)</f>
        <v>8504</v>
      </c>
      <c r="I13965" t="str" cm="1">
        <f t="array" ref="I13965">_xlfn.XLOOKUP(FACT_IMPORTS[[#This Row],[country_name]],DIM_COUNTRY[[#All],[Column2]],DIM_COUNTRY[[#All],[Column3]],,,)</f>
        <v>Major_Non-USMCA_Non-China</v>
      </c>
    </row>
    <row r="13966" spans="1:9" x14ac:dyDescent="0.4">
      <c r="A13966" t="s">
        <v>75</v>
      </c>
      <c r="B13966" s="1">
        <v>45748</v>
      </c>
      <c r="C13966">
        <v>850710</v>
      </c>
      <c r="D13966" t="s">
        <v>176</v>
      </c>
      <c r="E13966">
        <v>0</v>
      </c>
      <c r="F13966">
        <v>0</v>
      </c>
      <c r="G13966">
        <v>0</v>
      </c>
      <c r="H13966">
        <f>_xlfn.XLOOKUP(FACT_IMPORTS[[#This Row],[hts_6]],DIM_PRODUCTS[hts_6],DIM_PRODUCTS[hts_4],,,)</f>
        <v>8507</v>
      </c>
      <c r="I13966" t="str" cm="1">
        <f t="array" ref="I13966">_xlfn.XLOOKUP(FACT_IMPORTS[[#This Row],[country_name]],DIM_COUNTRY[[#All],[Column2]],DIM_COUNTRY[[#All],[Column3]],,,)</f>
        <v>Major_Non-USMCA_Non-China</v>
      </c>
    </row>
    <row r="13967" spans="1:9" x14ac:dyDescent="0.4">
      <c r="A13967" t="s">
        <v>75</v>
      </c>
      <c r="B13967" s="1">
        <v>45748</v>
      </c>
      <c r="C13967">
        <v>850760</v>
      </c>
      <c r="D13967" t="s">
        <v>176</v>
      </c>
      <c r="E13967">
        <v>24188</v>
      </c>
      <c r="F13967">
        <v>559</v>
      </c>
      <c r="G13967">
        <v>69</v>
      </c>
      <c r="H13967">
        <f>_xlfn.XLOOKUP(FACT_IMPORTS[[#This Row],[hts_6]],DIM_PRODUCTS[hts_6],DIM_PRODUCTS[hts_4],,,)</f>
        <v>8507</v>
      </c>
      <c r="I13967" t="str" cm="1">
        <f t="array" ref="I13967">_xlfn.XLOOKUP(FACT_IMPORTS[[#This Row],[country_name]],DIM_COUNTRY[[#All],[Column2]],DIM_COUNTRY[[#All],[Column3]],,,)</f>
        <v>Major_Non-USMCA_Non-China</v>
      </c>
    </row>
    <row r="13968" spans="1:9" x14ac:dyDescent="0.4">
      <c r="A13968" t="s">
        <v>75</v>
      </c>
      <c r="B13968" s="1">
        <v>45748</v>
      </c>
      <c r="C13968">
        <v>851120</v>
      </c>
      <c r="D13968" t="s">
        <v>176</v>
      </c>
      <c r="E13968">
        <v>0</v>
      </c>
      <c r="F13968">
        <v>0</v>
      </c>
      <c r="G13968">
        <v>0</v>
      </c>
      <c r="H13968">
        <f>_xlfn.XLOOKUP(FACT_IMPORTS[[#This Row],[hts_6]],DIM_PRODUCTS[hts_6],DIM_PRODUCTS[hts_4],,,)</f>
        <v>8511</v>
      </c>
      <c r="I13968" t="str" cm="1">
        <f t="array" ref="I13968">_xlfn.XLOOKUP(FACT_IMPORTS[[#This Row],[country_name]],DIM_COUNTRY[[#All],[Column2]],DIM_COUNTRY[[#All],[Column3]],,,)</f>
        <v>Major_Non-USMCA_Non-China</v>
      </c>
    </row>
    <row r="13969" spans="1:9" x14ac:dyDescent="0.4">
      <c r="A13969" t="s">
        <v>75</v>
      </c>
      <c r="B13969" s="1">
        <v>45748</v>
      </c>
      <c r="C13969">
        <v>851140</v>
      </c>
      <c r="D13969" t="s">
        <v>176</v>
      </c>
      <c r="E13969">
        <v>29662</v>
      </c>
      <c r="F13969">
        <v>330</v>
      </c>
      <c r="G13969">
        <v>15</v>
      </c>
      <c r="H13969">
        <f>_xlfn.XLOOKUP(FACT_IMPORTS[[#This Row],[hts_6]],DIM_PRODUCTS[hts_6],DIM_PRODUCTS[hts_4],,,)</f>
        <v>8511</v>
      </c>
      <c r="I13969" t="str" cm="1">
        <f t="array" ref="I13969">_xlfn.XLOOKUP(FACT_IMPORTS[[#This Row],[country_name]],DIM_COUNTRY[[#All],[Column2]],DIM_COUNTRY[[#All],[Column3]],,,)</f>
        <v>Major_Non-USMCA_Non-China</v>
      </c>
    </row>
    <row r="13970" spans="1:9" x14ac:dyDescent="0.4">
      <c r="A13970" t="s">
        <v>75</v>
      </c>
      <c r="B13970" s="1">
        <v>45748</v>
      </c>
      <c r="C13970">
        <v>851150</v>
      </c>
      <c r="D13970" t="s">
        <v>176</v>
      </c>
      <c r="E13970">
        <v>0</v>
      </c>
      <c r="F13970">
        <v>0</v>
      </c>
      <c r="G13970">
        <v>0</v>
      </c>
      <c r="H13970">
        <f>_xlfn.XLOOKUP(FACT_IMPORTS[[#This Row],[hts_6]],DIM_PRODUCTS[hts_6],DIM_PRODUCTS[hts_4],,,)</f>
        <v>8511</v>
      </c>
      <c r="I13970" t="str" cm="1">
        <f t="array" ref="I13970">_xlfn.XLOOKUP(FACT_IMPORTS[[#This Row],[country_name]],DIM_COUNTRY[[#All],[Column2]],DIM_COUNTRY[[#All],[Column3]],,,)</f>
        <v>Major_Non-USMCA_Non-China</v>
      </c>
    </row>
    <row r="13971" spans="1:9" x14ac:dyDescent="0.4">
      <c r="A13971" t="s">
        <v>75</v>
      </c>
      <c r="B13971" s="1">
        <v>45748</v>
      </c>
      <c r="C13971">
        <v>851190</v>
      </c>
      <c r="D13971" t="s">
        <v>176</v>
      </c>
      <c r="E13971">
        <v>0</v>
      </c>
      <c r="F13971">
        <v>0</v>
      </c>
      <c r="G13971">
        <v>0</v>
      </c>
      <c r="H13971">
        <f>_xlfn.XLOOKUP(FACT_IMPORTS[[#This Row],[hts_6]],DIM_PRODUCTS[hts_6],DIM_PRODUCTS[hts_4],,,)</f>
        <v>8511</v>
      </c>
      <c r="I13971" t="str" cm="1">
        <f t="array" ref="I13971">_xlfn.XLOOKUP(FACT_IMPORTS[[#This Row],[country_name]],DIM_COUNTRY[[#All],[Column2]],DIM_COUNTRY[[#All],[Column3]],,,)</f>
        <v>Major_Non-USMCA_Non-China</v>
      </c>
    </row>
    <row r="13972" spans="1:9" x14ac:dyDescent="0.4">
      <c r="A13972" t="s">
        <v>75</v>
      </c>
      <c r="B13972" s="1">
        <v>45748</v>
      </c>
      <c r="C13972">
        <v>851220</v>
      </c>
      <c r="D13972" t="s">
        <v>176</v>
      </c>
      <c r="E13972">
        <v>2250718</v>
      </c>
      <c r="F13972">
        <v>316929</v>
      </c>
      <c r="G13972">
        <v>44783</v>
      </c>
      <c r="H13972">
        <f>_xlfn.XLOOKUP(FACT_IMPORTS[[#This Row],[hts_6]],DIM_PRODUCTS[hts_6],DIM_PRODUCTS[hts_4],,,)</f>
        <v>8512</v>
      </c>
      <c r="I13972" t="str" cm="1">
        <f t="array" ref="I13972">_xlfn.XLOOKUP(FACT_IMPORTS[[#This Row],[country_name]],DIM_COUNTRY[[#All],[Column2]],DIM_COUNTRY[[#All],[Column3]],,,)</f>
        <v>Major_Non-USMCA_Non-China</v>
      </c>
    </row>
    <row r="13973" spans="1:9" x14ac:dyDescent="0.4">
      <c r="A13973" t="s">
        <v>75</v>
      </c>
      <c r="B13973" s="1">
        <v>45748</v>
      </c>
      <c r="C13973">
        <v>851230</v>
      </c>
      <c r="D13973" t="s">
        <v>176</v>
      </c>
      <c r="E13973">
        <v>0</v>
      </c>
      <c r="F13973">
        <v>0</v>
      </c>
      <c r="G13973">
        <v>0</v>
      </c>
      <c r="H13973">
        <f>_xlfn.XLOOKUP(FACT_IMPORTS[[#This Row],[hts_6]],DIM_PRODUCTS[hts_6],DIM_PRODUCTS[hts_4],,,)</f>
        <v>8512</v>
      </c>
      <c r="I13973" t="str" cm="1">
        <f t="array" ref="I13973">_xlfn.XLOOKUP(FACT_IMPORTS[[#This Row],[country_name]],DIM_COUNTRY[[#All],[Column2]],DIM_COUNTRY[[#All],[Column3]],,,)</f>
        <v>Major_Non-USMCA_Non-China</v>
      </c>
    </row>
    <row r="13974" spans="1:9" x14ac:dyDescent="0.4">
      <c r="A13974" t="s">
        <v>75</v>
      </c>
      <c r="B13974" s="1">
        <v>45748</v>
      </c>
      <c r="C13974">
        <v>851290</v>
      </c>
      <c r="D13974" t="s">
        <v>176</v>
      </c>
      <c r="E13974">
        <v>1743932</v>
      </c>
      <c r="F13974">
        <v>36692</v>
      </c>
      <c r="G13974">
        <v>23576</v>
      </c>
      <c r="H13974">
        <f>_xlfn.XLOOKUP(FACT_IMPORTS[[#This Row],[hts_6]],DIM_PRODUCTS[hts_6],DIM_PRODUCTS[hts_4],,,)</f>
        <v>8512</v>
      </c>
      <c r="I13974" t="str" cm="1">
        <f t="array" ref="I13974">_xlfn.XLOOKUP(FACT_IMPORTS[[#This Row],[country_name]],DIM_COUNTRY[[#All],[Column2]],DIM_COUNTRY[[#All],[Column3]],,,)</f>
        <v>Major_Non-USMCA_Non-China</v>
      </c>
    </row>
    <row r="13975" spans="1:9" x14ac:dyDescent="0.4">
      <c r="A13975" t="s">
        <v>75</v>
      </c>
      <c r="B13975" s="1">
        <v>45748</v>
      </c>
      <c r="C13975">
        <v>854231</v>
      </c>
      <c r="D13975" t="s">
        <v>176</v>
      </c>
      <c r="E13975">
        <v>1813040</v>
      </c>
      <c r="F13975">
        <v>342899</v>
      </c>
      <c r="G13975">
        <v>120755</v>
      </c>
      <c r="H13975">
        <f>_xlfn.XLOOKUP(FACT_IMPORTS[[#This Row],[hts_6]],DIM_PRODUCTS[hts_6],DIM_PRODUCTS[hts_4],,,)</f>
        <v>8542</v>
      </c>
      <c r="I13975" t="str" cm="1">
        <f t="array" ref="I13975">_xlfn.XLOOKUP(FACT_IMPORTS[[#This Row],[country_name]],DIM_COUNTRY[[#All],[Column2]],DIM_COUNTRY[[#All],[Column3]],,,)</f>
        <v>Major_Non-USMCA_Non-China</v>
      </c>
    </row>
    <row r="13976" spans="1:9" x14ac:dyDescent="0.4">
      <c r="A13976" t="s">
        <v>75</v>
      </c>
      <c r="B13976" s="1">
        <v>45748</v>
      </c>
      <c r="C13976">
        <v>854232</v>
      </c>
      <c r="D13976" t="s">
        <v>176</v>
      </c>
      <c r="E13976">
        <v>132288</v>
      </c>
      <c r="F13976">
        <v>361960</v>
      </c>
      <c r="G13976">
        <v>11461</v>
      </c>
      <c r="H13976">
        <f>_xlfn.XLOOKUP(FACT_IMPORTS[[#This Row],[hts_6]],DIM_PRODUCTS[hts_6],DIM_PRODUCTS[hts_4],,,)</f>
        <v>8542</v>
      </c>
      <c r="I13976" t="str" cm="1">
        <f t="array" ref="I13976">_xlfn.XLOOKUP(FACT_IMPORTS[[#This Row],[country_name]],DIM_COUNTRY[[#All],[Column2]],DIM_COUNTRY[[#All],[Column3]],,,)</f>
        <v>Major_Non-USMCA_Non-China</v>
      </c>
    </row>
    <row r="13977" spans="1:9" x14ac:dyDescent="0.4">
      <c r="A13977" t="s">
        <v>75</v>
      </c>
      <c r="B13977" s="1">
        <v>45748</v>
      </c>
      <c r="C13977">
        <v>854233</v>
      </c>
      <c r="D13977" t="s">
        <v>176</v>
      </c>
      <c r="E13977">
        <v>0</v>
      </c>
      <c r="F13977">
        <v>0</v>
      </c>
      <c r="G13977">
        <v>0</v>
      </c>
      <c r="H13977">
        <f>_xlfn.XLOOKUP(FACT_IMPORTS[[#This Row],[hts_6]],DIM_PRODUCTS[hts_6],DIM_PRODUCTS[hts_4],,,)</f>
        <v>8542</v>
      </c>
      <c r="I13977" t="str" cm="1">
        <f t="array" ref="I13977">_xlfn.XLOOKUP(FACT_IMPORTS[[#This Row],[country_name]],DIM_COUNTRY[[#All],[Column2]],DIM_COUNTRY[[#All],[Column3]],,,)</f>
        <v>Major_Non-USMCA_Non-China</v>
      </c>
    </row>
    <row r="13978" spans="1:9" x14ac:dyDescent="0.4">
      <c r="A13978" t="s">
        <v>75</v>
      </c>
      <c r="B13978" s="1">
        <v>45748</v>
      </c>
      <c r="C13978">
        <v>854239</v>
      </c>
      <c r="D13978" t="s">
        <v>176</v>
      </c>
      <c r="E13978">
        <v>2122268</v>
      </c>
      <c r="F13978">
        <v>689800</v>
      </c>
      <c r="G13978">
        <v>36595</v>
      </c>
      <c r="H13978">
        <f>_xlfn.XLOOKUP(FACT_IMPORTS[[#This Row],[hts_6]],DIM_PRODUCTS[hts_6],DIM_PRODUCTS[hts_4],,,)</f>
        <v>8542</v>
      </c>
      <c r="I13978" t="str" cm="1">
        <f t="array" ref="I13978">_xlfn.XLOOKUP(FACT_IMPORTS[[#This Row],[country_name]],DIM_COUNTRY[[#All],[Column2]],DIM_COUNTRY[[#All],[Column3]],,,)</f>
        <v>Major_Non-USMCA_Non-China</v>
      </c>
    </row>
    <row r="13979" spans="1:9" x14ac:dyDescent="0.4">
      <c r="A13979" t="s">
        <v>75</v>
      </c>
      <c r="B13979" s="1">
        <v>45748</v>
      </c>
      <c r="C13979">
        <v>854290</v>
      </c>
      <c r="D13979" t="s">
        <v>176</v>
      </c>
      <c r="E13979">
        <v>2280</v>
      </c>
      <c r="F13979">
        <v>3000</v>
      </c>
      <c r="G13979">
        <v>228</v>
      </c>
      <c r="H13979">
        <f>_xlfn.XLOOKUP(FACT_IMPORTS[[#This Row],[hts_6]],DIM_PRODUCTS[hts_6],DIM_PRODUCTS[hts_4],,,)</f>
        <v>8542</v>
      </c>
      <c r="I13979" t="str" cm="1">
        <f t="array" ref="I13979">_xlfn.XLOOKUP(FACT_IMPORTS[[#This Row],[country_name]],DIM_COUNTRY[[#All],[Column2]],DIM_COUNTRY[[#All],[Column3]],,,)</f>
        <v>Major_Non-USMCA_Non-China</v>
      </c>
    </row>
    <row r="13980" spans="1:9" x14ac:dyDescent="0.4">
      <c r="A13980" t="s">
        <v>75</v>
      </c>
      <c r="B13980" s="1">
        <v>45748</v>
      </c>
      <c r="C13980">
        <v>854430</v>
      </c>
      <c r="D13980" t="s">
        <v>176</v>
      </c>
      <c r="E13980">
        <v>0</v>
      </c>
      <c r="F13980">
        <v>0</v>
      </c>
      <c r="G13980">
        <v>0</v>
      </c>
      <c r="H13980">
        <f>_xlfn.XLOOKUP(FACT_IMPORTS[[#This Row],[hts_6]],DIM_PRODUCTS[hts_6],DIM_PRODUCTS[hts_4],,,)</f>
        <v>8544</v>
      </c>
      <c r="I13980" t="str" cm="1">
        <f t="array" ref="I13980">_xlfn.XLOOKUP(FACT_IMPORTS[[#This Row],[country_name]],DIM_COUNTRY[[#All],[Column2]],DIM_COUNTRY[[#All],[Column3]],,,)</f>
        <v>Major_Non-USMCA_Non-China</v>
      </c>
    </row>
    <row r="13981" spans="1:9" x14ac:dyDescent="0.4">
      <c r="A13981" t="s">
        <v>75</v>
      </c>
      <c r="B13981" s="1">
        <v>45748</v>
      </c>
      <c r="C13981">
        <v>870810</v>
      </c>
      <c r="D13981" t="s">
        <v>176</v>
      </c>
      <c r="E13981">
        <v>605498</v>
      </c>
      <c r="F13981">
        <v>11904</v>
      </c>
      <c r="G13981">
        <v>90397</v>
      </c>
      <c r="H13981">
        <f>_xlfn.XLOOKUP(FACT_IMPORTS[[#This Row],[hts_6]],DIM_PRODUCTS[hts_6],DIM_PRODUCTS[hts_4],,,)</f>
        <v>8708</v>
      </c>
      <c r="I13981" t="str" cm="1">
        <f t="array" ref="I13981">_xlfn.XLOOKUP(FACT_IMPORTS[[#This Row],[country_name]],DIM_COUNTRY[[#All],[Column2]],DIM_COUNTRY[[#All],[Column3]],,,)</f>
        <v>Major_Non-USMCA_Non-China</v>
      </c>
    </row>
    <row r="13982" spans="1:9" x14ac:dyDescent="0.4">
      <c r="A13982" t="s">
        <v>75</v>
      </c>
      <c r="B13982" s="1">
        <v>45748</v>
      </c>
      <c r="C13982">
        <v>870829</v>
      </c>
      <c r="D13982" t="s">
        <v>176</v>
      </c>
      <c r="E13982">
        <v>687797</v>
      </c>
      <c r="F13982">
        <v>66547</v>
      </c>
      <c r="G13982">
        <v>75262</v>
      </c>
      <c r="H13982">
        <f>_xlfn.XLOOKUP(FACT_IMPORTS[[#This Row],[hts_6]],DIM_PRODUCTS[hts_6],DIM_PRODUCTS[hts_4],,,)</f>
        <v>8708</v>
      </c>
      <c r="I13982" t="str" cm="1">
        <f t="array" ref="I13982">_xlfn.XLOOKUP(FACT_IMPORTS[[#This Row],[country_name]],DIM_COUNTRY[[#All],[Column2]],DIM_COUNTRY[[#All],[Column3]],,,)</f>
        <v>Major_Non-USMCA_Non-China</v>
      </c>
    </row>
    <row r="13983" spans="1:9" x14ac:dyDescent="0.4">
      <c r="A13983" t="s">
        <v>75</v>
      </c>
      <c r="B13983" s="1">
        <v>45748</v>
      </c>
      <c r="C13983">
        <v>870830</v>
      </c>
      <c r="D13983" t="s">
        <v>176</v>
      </c>
      <c r="E13983">
        <v>4256</v>
      </c>
      <c r="F13983">
        <v>281</v>
      </c>
      <c r="G13983">
        <v>4</v>
      </c>
      <c r="H13983">
        <f>_xlfn.XLOOKUP(FACT_IMPORTS[[#This Row],[hts_6]],DIM_PRODUCTS[hts_6],DIM_PRODUCTS[hts_4],,,)</f>
        <v>8708</v>
      </c>
      <c r="I13983" t="str" cm="1">
        <f t="array" ref="I13983">_xlfn.XLOOKUP(FACT_IMPORTS[[#This Row],[country_name]],DIM_COUNTRY[[#All],[Column2]],DIM_COUNTRY[[#All],[Column3]],,,)</f>
        <v>Major_Non-USMCA_Non-China</v>
      </c>
    </row>
    <row r="13984" spans="1:9" x14ac:dyDescent="0.4">
      <c r="A13984" t="s">
        <v>75</v>
      </c>
      <c r="B13984" s="1">
        <v>45748</v>
      </c>
      <c r="C13984">
        <v>870840</v>
      </c>
      <c r="D13984" t="s">
        <v>176</v>
      </c>
      <c r="E13984">
        <v>307282</v>
      </c>
      <c r="F13984">
        <v>22043</v>
      </c>
      <c r="G13984">
        <v>10548</v>
      </c>
      <c r="H13984">
        <f>_xlfn.XLOOKUP(FACT_IMPORTS[[#This Row],[hts_6]],DIM_PRODUCTS[hts_6],DIM_PRODUCTS[hts_4],,,)</f>
        <v>8708</v>
      </c>
      <c r="I13984" t="str" cm="1">
        <f t="array" ref="I13984">_xlfn.XLOOKUP(FACT_IMPORTS[[#This Row],[country_name]],DIM_COUNTRY[[#All],[Column2]],DIM_COUNTRY[[#All],[Column3]],,,)</f>
        <v>Major_Non-USMCA_Non-China</v>
      </c>
    </row>
    <row r="13985" spans="1:9" x14ac:dyDescent="0.4">
      <c r="A13985" t="s">
        <v>75</v>
      </c>
      <c r="B13985" s="1">
        <v>45748</v>
      </c>
      <c r="C13985">
        <v>870850</v>
      </c>
      <c r="D13985" t="s">
        <v>176</v>
      </c>
      <c r="E13985">
        <v>498536</v>
      </c>
      <c r="F13985">
        <v>50969</v>
      </c>
      <c r="G13985">
        <v>15260</v>
      </c>
      <c r="H13985">
        <f>_xlfn.XLOOKUP(FACT_IMPORTS[[#This Row],[hts_6]],DIM_PRODUCTS[hts_6],DIM_PRODUCTS[hts_4],,,)</f>
        <v>8708</v>
      </c>
      <c r="I13985" t="str" cm="1">
        <f t="array" ref="I13985">_xlfn.XLOOKUP(FACT_IMPORTS[[#This Row],[country_name]],DIM_COUNTRY[[#All],[Column2]],DIM_COUNTRY[[#All],[Column3]],,,)</f>
        <v>Major_Non-USMCA_Non-China</v>
      </c>
    </row>
    <row r="13986" spans="1:9" x14ac:dyDescent="0.4">
      <c r="A13986" t="s">
        <v>75</v>
      </c>
      <c r="B13986" s="1">
        <v>45748</v>
      </c>
      <c r="C13986">
        <v>870870</v>
      </c>
      <c r="D13986" t="s">
        <v>176</v>
      </c>
      <c r="E13986">
        <v>953589</v>
      </c>
      <c r="F13986">
        <v>4566</v>
      </c>
      <c r="G13986">
        <v>21285</v>
      </c>
      <c r="H13986">
        <f>_xlfn.XLOOKUP(FACT_IMPORTS[[#This Row],[hts_6]],DIM_PRODUCTS[hts_6],DIM_PRODUCTS[hts_4],,,)</f>
        <v>8708</v>
      </c>
      <c r="I13986" t="str" cm="1">
        <f t="array" ref="I13986">_xlfn.XLOOKUP(FACT_IMPORTS[[#This Row],[country_name]],DIM_COUNTRY[[#All],[Column2]],DIM_COUNTRY[[#All],[Column3]],,,)</f>
        <v>Major_Non-USMCA_Non-China</v>
      </c>
    </row>
    <row r="13987" spans="1:9" x14ac:dyDescent="0.4">
      <c r="A13987" t="s">
        <v>75</v>
      </c>
      <c r="B13987" s="1">
        <v>45748</v>
      </c>
      <c r="C13987">
        <v>870880</v>
      </c>
      <c r="D13987" t="s">
        <v>176</v>
      </c>
      <c r="E13987">
        <v>1109554</v>
      </c>
      <c r="F13987">
        <v>71918</v>
      </c>
      <c r="G13987">
        <v>32781</v>
      </c>
      <c r="H13987">
        <f>_xlfn.XLOOKUP(FACT_IMPORTS[[#This Row],[hts_6]],DIM_PRODUCTS[hts_6],DIM_PRODUCTS[hts_4],,,)</f>
        <v>8708</v>
      </c>
      <c r="I13987" t="str" cm="1">
        <f t="array" ref="I13987">_xlfn.XLOOKUP(FACT_IMPORTS[[#This Row],[country_name]],DIM_COUNTRY[[#All],[Column2]],DIM_COUNTRY[[#All],[Column3]],,,)</f>
        <v>Major_Non-USMCA_Non-China</v>
      </c>
    </row>
    <row r="13988" spans="1:9" x14ac:dyDescent="0.4">
      <c r="A13988" t="s">
        <v>75</v>
      </c>
      <c r="B13988" s="1">
        <v>45748</v>
      </c>
      <c r="C13988">
        <v>870891</v>
      </c>
      <c r="D13988" t="s">
        <v>176</v>
      </c>
      <c r="E13988">
        <v>72529</v>
      </c>
      <c r="F13988">
        <v>32798</v>
      </c>
      <c r="G13988">
        <v>9642</v>
      </c>
      <c r="H13988">
        <f>_xlfn.XLOOKUP(FACT_IMPORTS[[#This Row],[hts_6]],DIM_PRODUCTS[hts_6],DIM_PRODUCTS[hts_4],,,)</f>
        <v>8708</v>
      </c>
      <c r="I13988" t="str" cm="1">
        <f t="array" ref="I13988">_xlfn.XLOOKUP(FACT_IMPORTS[[#This Row],[country_name]],DIM_COUNTRY[[#All],[Column2]],DIM_COUNTRY[[#All],[Column3]],,,)</f>
        <v>Major_Non-USMCA_Non-China</v>
      </c>
    </row>
    <row r="13989" spans="1:9" x14ac:dyDescent="0.4">
      <c r="A13989" t="s">
        <v>75</v>
      </c>
      <c r="B13989" s="1">
        <v>45748</v>
      </c>
      <c r="C13989">
        <v>870892</v>
      </c>
      <c r="D13989" t="s">
        <v>176</v>
      </c>
      <c r="E13989">
        <v>99057</v>
      </c>
      <c r="F13989">
        <v>33442</v>
      </c>
      <c r="G13989">
        <v>8500</v>
      </c>
      <c r="H13989">
        <f>_xlfn.XLOOKUP(FACT_IMPORTS[[#This Row],[hts_6]],DIM_PRODUCTS[hts_6],DIM_PRODUCTS[hts_4],,,)</f>
        <v>8708</v>
      </c>
      <c r="I13989" t="str" cm="1">
        <f t="array" ref="I13989">_xlfn.XLOOKUP(FACT_IMPORTS[[#This Row],[country_name]],DIM_COUNTRY[[#All],[Column2]],DIM_COUNTRY[[#All],[Column3]],,,)</f>
        <v>Major_Non-USMCA_Non-China</v>
      </c>
    </row>
    <row r="13990" spans="1:9" x14ac:dyDescent="0.4">
      <c r="A13990" t="s">
        <v>75</v>
      </c>
      <c r="B13990" s="1">
        <v>45748</v>
      </c>
      <c r="C13990">
        <v>870893</v>
      </c>
      <c r="D13990" t="s">
        <v>176</v>
      </c>
      <c r="E13990">
        <v>144546</v>
      </c>
      <c r="F13990">
        <v>4710</v>
      </c>
      <c r="G13990">
        <v>3165</v>
      </c>
      <c r="H13990">
        <f>_xlfn.XLOOKUP(FACT_IMPORTS[[#This Row],[hts_6]],DIM_PRODUCTS[hts_6],DIM_PRODUCTS[hts_4],,,)</f>
        <v>8708</v>
      </c>
      <c r="I13990" t="str" cm="1">
        <f t="array" ref="I13990">_xlfn.XLOOKUP(FACT_IMPORTS[[#This Row],[country_name]],DIM_COUNTRY[[#All],[Column2]],DIM_COUNTRY[[#All],[Column3]],,,)</f>
        <v>Major_Non-USMCA_Non-China</v>
      </c>
    </row>
    <row r="13991" spans="1:9" x14ac:dyDescent="0.4">
      <c r="A13991" t="s">
        <v>75</v>
      </c>
      <c r="B13991" s="1">
        <v>45748</v>
      </c>
      <c r="C13991">
        <v>870894</v>
      </c>
      <c r="D13991" t="s">
        <v>176</v>
      </c>
      <c r="E13991">
        <v>38462</v>
      </c>
      <c r="F13991">
        <v>8504</v>
      </c>
      <c r="G13991">
        <v>1454</v>
      </c>
      <c r="H13991">
        <f>_xlfn.XLOOKUP(FACT_IMPORTS[[#This Row],[hts_6]],DIM_PRODUCTS[hts_6],DIM_PRODUCTS[hts_4],,,)</f>
        <v>8708</v>
      </c>
      <c r="I13991" t="str" cm="1">
        <f t="array" ref="I13991">_xlfn.XLOOKUP(FACT_IMPORTS[[#This Row],[country_name]],DIM_COUNTRY[[#All],[Column2]],DIM_COUNTRY[[#All],[Column3]],,,)</f>
        <v>Major_Non-USMCA_Non-China</v>
      </c>
    </row>
    <row r="13992" spans="1:9" x14ac:dyDescent="0.4">
      <c r="A13992" t="s">
        <v>75</v>
      </c>
      <c r="B13992" s="1">
        <v>45748</v>
      </c>
      <c r="C13992">
        <v>870899</v>
      </c>
      <c r="D13992" t="s">
        <v>176</v>
      </c>
      <c r="E13992">
        <v>976072</v>
      </c>
      <c r="F13992">
        <v>833701</v>
      </c>
      <c r="G13992">
        <v>50416</v>
      </c>
      <c r="H13992">
        <f>_xlfn.XLOOKUP(FACT_IMPORTS[[#This Row],[hts_6]],DIM_PRODUCTS[hts_6],DIM_PRODUCTS[hts_4],,,)</f>
        <v>8708</v>
      </c>
      <c r="I13992" t="str" cm="1">
        <f t="array" ref="I13992">_xlfn.XLOOKUP(FACT_IMPORTS[[#This Row],[country_name]],DIM_COUNTRY[[#All],[Column2]],DIM_COUNTRY[[#All],[Column3]],,,)</f>
        <v>Major_Non-USMCA_Non-China</v>
      </c>
    </row>
    <row r="13993" spans="1:9" x14ac:dyDescent="0.4">
      <c r="A13993" t="s">
        <v>75</v>
      </c>
      <c r="B13993" s="1">
        <v>45748</v>
      </c>
      <c r="C13993">
        <v>940120</v>
      </c>
      <c r="D13993" t="s">
        <v>176</v>
      </c>
      <c r="E13993">
        <v>0</v>
      </c>
      <c r="F13993">
        <v>0</v>
      </c>
      <c r="G13993">
        <v>0</v>
      </c>
      <c r="H13993">
        <f>_xlfn.XLOOKUP(FACT_IMPORTS[[#This Row],[hts_6]],DIM_PRODUCTS[hts_6],DIM_PRODUCTS[hts_4],,,)</f>
        <v>9401</v>
      </c>
      <c r="I13993" t="str" cm="1">
        <f t="array" ref="I13993">_xlfn.XLOOKUP(FACT_IMPORTS[[#This Row],[country_name]],DIM_COUNTRY[[#All],[Column2]],DIM_COUNTRY[[#All],[Column3]],,,)</f>
        <v>Major_Non-USMCA_Non-China</v>
      </c>
    </row>
    <row r="13994" spans="1:9" x14ac:dyDescent="0.4">
      <c r="A13994" t="s">
        <v>75</v>
      </c>
      <c r="B13994" s="1">
        <v>45778</v>
      </c>
      <c r="C13994">
        <v>392630</v>
      </c>
      <c r="D13994" t="s">
        <v>176</v>
      </c>
      <c r="E13994">
        <v>299</v>
      </c>
      <c r="F13994">
        <v>19</v>
      </c>
      <c r="G13994">
        <v>9</v>
      </c>
      <c r="H13994">
        <f>_xlfn.XLOOKUP(FACT_IMPORTS[[#This Row],[hts_6]],DIM_PRODUCTS[hts_6],DIM_PRODUCTS[hts_4],,,)</f>
        <v>3926</v>
      </c>
      <c r="I13994" t="str" cm="1">
        <f t="array" ref="I13994">_xlfn.XLOOKUP(FACT_IMPORTS[[#This Row],[country_name]],DIM_COUNTRY[[#All],[Column2]],DIM_COUNTRY[[#All],[Column3]],,,)</f>
        <v>Major_Non-USMCA_Non-China</v>
      </c>
    </row>
    <row r="13995" spans="1:9" x14ac:dyDescent="0.4">
      <c r="A13995" t="s">
        <v>75</v>
      </c>
      <c r="B13995" s="1">
        <v>45778</v>
      </c>
      <c r="C13995">
        <v>401110</v>
      </c>
      <c r="D13995" t="s">
        <v>176</v>
      </c>
      <c r="E13995">
        <v>2094</v>
      </c>
      <c r="F13995">
        <v>200</v>
      </c>
      <c r="G13995">
        <v>150</v>
      </c>
      <c r="H13995">
        <f>_xlfn.XLOOKUP(FACT_IMPORTS[[#This Row],[hts_6]],DIM_PRODUCTS[hts_6],DIM_PRODUCTS[hts_4],,,)</f>
        <v>4011</v>
      </c>
      <c r="I13995" t="str" cm="1">
        <f t="array" ref="I13995">_xlfn.XLOOKUP(FACT_IMPORTS[[#This Row],[country_name]],DIM_COUNTRY[[#All],[Column2]],DIM_COUNTRY[[#All],[Column3]],,,)</f>
        <v>Major_Non-USMCA_Non-China</v>
      </c>
    </row>
    <row r="13996" spans="1:9" x14ac:dyDescent="0.4">
      <c r="A13996" t="s">
        <v>75</v>
      </c>
      <c r="B13996" s="1">
        <v>45778</v>
      </c>
      <c r="C13996">
        <v>401190</v>
      </c>
      <c r="D13996" t="s">
        <v>176</v>
      </c>
      <c r="E13996">
        <v>14078</v>
      </c>
      <c r="F13996">
        <v>135</v>
      </c>
      <c r="G13996">
        <v>32</v>
      </c>
      <c r="H13996">
        <f>_xlfn.XLOOKUP(FACT_IMPORTS[[#This Row],[hts_6]],DIM_PRODUCTS[hts_6],DIM_PRODUCTS[hts_4],,,)</f>
        <v>4011</v>
      </c>
      <c r="I13996" t="str" cm="1">
        <f t="array" ref="I13996">_xlfn.XLOOKUP(FACT_IMPORTS[[#This Row],[country_name]],DIM_COUNTRY[[#All],[Column2]],DIM_COUNTRY[[#All],[Column3]],,,)</f>
        <v>Major_Non-USMCA_Non-China</v>
      </c>
    </row>
    <row r="13997" spans="1:9" x14ac:dyDescent="0.4">
      <c r="A13997" t="s">
        <v>75</v>
      </c>
      <c r="B13997" s="1">
        <v>45778</v>
      </c>
      <c r="C13997">
        <v>700721</v>
      </c>
      <c r="D13997" t="s">
        <v>176</v>
      </c>
      <c r="E13997">
        <v>0</v>
      </c>
      <c r="F13997">
        <v>0</v>
      </c>
      <c r="G13997">
        <v>0</v>
      </c>
      <c r="H13997">
        <f>_xlfn.XLOOKUP(FACT_IMPORTS[[#This Row],[hts_6]],DIM_PRODUCTS[hts_6],DIM_PRODUCTS[hts_4],,,)</f>
        <v>7007</v>
      </c>
      <c r="I13997" t="str" cm="1">
        <f t="array" ref="I13997">_xlfn.XLOOKUP(FACT_IMPORTS[[#This Row],[country_name]],DIM_COUNTRY[[#All],[Column2]],DIM_COUNTRY[[#All],[Column3]],,,)</f>
        <v>Major_Non-USMCA_Non-China</v>
      </c>
    </row>
    <row r="13998" spans="1:9" x14ac:dyDescent="0.4">
      <c r="A13998" t="s">
        <v>75</v>
      </c>
      <c r="B13998" s="1">
        <v>45778</v>
      </c>
      <c r="C13998">
        <v>700910</v>
      </c>
      <c r="D13998" t="s">
        <v>176</v>
      </c>
      <c r="E13998">
        <v>78999</v>
      </c>
      <c r="F13998">
        <v>21940</v>
      </c>
      <c r="G13998">
        <v>3514</v>
      </c>
      <c r="H13998">
        <f>_xlfn.XLOOKUP(FACT_IMPORTS[[#This Row],[hts_6]],DIM_PRODUCTS[hts_6],DIM_PRODUCTS[hts_4],,,)</f>
        <v>7009</v>
      </c>
      <c r="I13998" t="str" cm="1">
        <f t="array" ref="I13998">_xlfn.XLOOKUP(FACT_IMPORTS[[#This Row],[country_name]],DIM_COUNTRY[[#All],[Column2]],DIM_COUNTRY[[#All],[Column3]],,,)</f>
        <v>Major_Non-USMCA_Non-China</v>
      </c>
    </row>
    <row r="13999" spans="1:9" x14ac:dyDescent="0.4">
      <c r="A13999" t="s">
        <v>75</v>
      </c>
      <c r="B13999" s="1">
        <v>45778</v>
      </c>
      <c r="C13999">
        <v>830230</v>
      </c>
      <c r="D13999" t="s">
        <v>176</v>
      </c>
      <c r="E13999">
        <v>77258</v>
      </c>
      <c r="F13999">
        <v>6644</v>
      </c>
      <c r="G13999">
        <v>4843</v>
      </c>
      <c r="H13999">
        <f>_xlfn.XLOOKUP(FACT_IMPORTS[[#This Row],[hts_6]],DIM_PRODUCTS[hts_6],DIM_PRODUCTS[hts_4],,,)</f>
        <v>8302</v>
      </c>
      <c r="I13999" t="str" cm="1">
        <f t="array" ref="I13999">_xlfn.XLOOKUP(FACT_IMPORTS[[#This Row],[country_name]],DIM_COUNTRY[[#All],[Column2]],DIM_COUNTRY[[#All],[Column3]],,,)</f>
        <v>Major_Non-USMCA_Non-China</v>
      </c>
    </row>
    <row r="14000" spans="1:9" x14ac:dyDescent="0.4">
      <c r="A14000" t="s">
        <v>75</v>
      </c>
      <c r="B14000" s="1">
        <v>45778</v>
      </c>
      <c r="C14000">
        <v>840733</v>
      </c>
      <c r="D14000" t="s">
        <v>176</v>
      </c>
      <c r="E14000">
        <v>0</v>
      </c>
      <c r="F14000">
        <v>0</v>
      </c>
      <c r="G14000">
        <v>0</v>
      </c>
      <c r="H14000">
        <f>_xlfn.XLOOKUP(FACT_IMPORTS[[#This Row],[hts_6]],DIM_PRODUCTS[hts_6],DIM_PRODUCTS[hts_4],,,)</f>
        <v>8407</v>
      </c>
      <c r="I14000" t="str" cm="1">
        <f t="array" ref="I14000">_xlfn.XLOOKUP(FACT_IMPORTS[[#This Row],[country_name]],DIM_COUNTRY[[#All],[Column2]],DIM_COUNTRY[[#All],[Column3]],,,)</f>
        <v>Major_Non-USMCA_Non-China</v>
      </c>
    </row>
    <row r="14001" spans="1:9" x14ac:dyDescent="0.4">
      <c r="A14001" t="s">
        <v>75</v>
      </c>
      <c r="B14001" s="1">
        <v>45778</v>
      </c>
      <c r="C14001">
        <v>840991</v>
      </c>
      <c r="D14001" t="s">
        <v>176</v>
      </c>
      <c r="E14001">
        <v>145513</v>
      </c>
      <c r="F14001">
        <v>6574</v>
      </c>
      <c r="G14001">
        <v>7500</v>
      </c>
      <c r="H14001">
        <f>_xlfn.XLOOKUP(FACT_IMPORTS[[#This Row],[hts_6]],DIM_PRODUCTS[hts_6],DIM_PRODUCTS[hts_4],,,)</f>
        <v>8409</v>
      </c>
      <c r="I14001" t="str" cm="1">
        <f t="array" ref="I14001">_xlfn.XLOOKUP(FACT_IMPORTS[[#This Row],[country_name]],DIM_COUNTRY[[#All],[Column2]],DIM_COUNTRY[[#All],[Column3]],,,)</f>
        <v>Major_Non-USMCA_Non-China</v>
      </c>
    </row>
    <row r="14002" spans="1:9" x14ac:dyDescent="0.4">
      <c r="A14002" t="s">
        <v>75</v>
      </c>
      <c r="B14002" s="1">
        <v>45778</v>
      </c>
      <c r="C14002">
        <v>840999</v>
      </c>
      <c r="D14002" t="s">
        <v>176</v>
      </c>
      <c r="E14002">
        <v>0</v>
      </c>
      <c r="F14002">
        <v>0</v>
      </c>
      <c r="G14002">
        <v>0</v>
      </c>
      <c r="H14002">
        <f>_xlfn.XLOOKUP(FACT_IMPORTS[[#This Row],[hts_6]],DIM_PRODUCTS[hts_6],DIM_PRODUCTS[hts_4],,,)</f>
        <v>8409</v>
      </c>
      <c r="I14002" t="str" cm="1">
        <f t="array" ref="I14002">_xlfn.XLOOKUP(FACT_IMPORTS[[#This Row],[country_name]],DIM_COUNTRY[[#All],[Column2]],DIM_COUNTRY[[#All],[Column3]],,,)</f>
        <v>Major_Non-USMCA_Non-China</v>
      </c>
    </row>
    <row r="14003" spans="1:9" x14ac:dyDescent="0.4">
      <c r="A14003" t="s">
        <v>75</v>
      </c>
      <c r="B14003" s="1">
        <v>45778</v>
      </c>
      <c r="C14003">
        <v>841330</v>
      </c>
      <c r="D14003" t="s">
        <v>176</v>
      </c>
      <c r="E14003">
        <v>213460</v>
      </c>
      <c r="F14003">
        <v>4908</v>
      </c>
      <c r="G14003">
        <v>10959</v>
      </c>
      <c r="H14003">
        <f>_xlfn.XLOOKUP(FACT_IMPORTS[[#This Row],[hts_6]],DIM_PRODUCTS[hts_6],DIM_PRODUCTS[hts_4],,,)</f>
        <v>8413</v>
      </c>
      <c r="I14003" t="str" cm="1">
        <f t="array" ref="I14003">_xlfn.XLOOKUP(FACT_IMPORTS[[#This Row],[country_name]],DIM_COUNTRY[[#All],[Column2]],DIM_COUNTRY[[#All],[Column3]],,,)</f>
        <v>Major_Non-USMCA_Non-China</v>
      </c>
    </row>
    <row r="14004" spans="1:9" x14ac:dyDescent="0.4">
      <c r="A14004" t="s">
        <v>75</v>
      </c>
      <c r="B14004" s="1">
        <v>45778</v>
      </c>
      <c r="C14004">
        <v>848210</v>
      </c>
      <c r="D14004" t="s">
        <v>176</v>
      </c>
      <c r="E14004">
        <v>46281</v>
      </c>
      <c r="F14004">
        <v>103100</v>
      </c>
      <c r="G14004">
        <v>3864</v>
      </c>
      <c r="H14004">
        <f>_xlfn.XLOOKUP(FACT_IMPORTS[[#This Row],[hts_6]],DIM_PRODUCTS[hts_6],DIM_PRODUCTS[hts_4],,,)</f>
        <v>8482</v>
      </c>
      <c r="I14004" t="str" cm="1">
        <f t="array" ref="I14004">_xlfn.XLOOKUP(FACT_IMPORTS[[#This Row],[country_name]],DIM_COUNTRY[[#All],[Column2]],DIM_COUNTRY[[#All],[Column3]],,,)</f>
        <v>Major_Non-USMCA_Non-China</v>
      </c>
    </row>
    <row r="14005" spans="1:9" x14ac:dyDescent="0.4">
      <c r="A14005" t="s">
        <v>75</v>
      </c>
      <c r="B14005" s="1">
        <v>45778</v>
      </c>
      <c r="C14005">
        <v>848220</v>
      </c>
      <c r="D14005" t="s">
        <v>176</v>
      </c>
      <c r="E14005">
        <v>0</v>
      </c>
      <c r="F14005">
        <v>0</v>
      </c>
      <c r="G14005">
        <v>0</v>
      </c>
      <c r="H14005">
        <f>_xlfn.XLOOKUP(FACT_IMPORTS[[#This Row],[hts_6]],DIM_PRODUCTS[hts_6],DIM_PRODUCTS[hts_4],,,)</f>
        <v>8482</v>
      </c>
      <c r="I14005" t="str" cm="1">
        <f t="array" ref="I14005">_xlfn.XLOOKUP(FACT_IMPORTS[[#This Row],[country_name]],DIM_COUNTRY[[#All],[Column2]],DIM_COUNTRY[[#All],[Column3]],,,)</f>
        <v>Major_Non-USMCA_Non-China</v>
      </c>
    </row>
    <row r="14006" spans="1:9" x14ac:dyDescent="0.4">
      <c r="A14006" t="s">
        <v>75</v>
      </c>
      <c r="B14006" s="1">
        <v>45778</v>
      </c>
      <c r="C14006">
        <v>848310</v>
      </c>
      <c r="D14006" t="s">
        <v>176</v>
      </c>
      <c r="E14006">
        <v>7226</v>
      </c>
      <c r="F14006">
        <v>153</v>
      </c>
      <c r="G14006">
        <v>340</v>
      </c>
      <c r="H14006">
        <f>_xlfn.XLOOKUP(FACT_IMPORTS[[#This Row],[hts_6]],DIM_PRODUCTS[hts_6],DIM_PRODUCTS[hts_4],,,)</f>
        <v>8483</v>
      </c>
      <c r="I14006" t="str" cm="1">
        <f t="array" ref="I14006">_xlfn.XLOOKUP(FACT_IMPORTS[[#This Row],[country_name]],DIM_COUNTRY[[#All],[Column2]],DIM_COUNTRY[[#All],[Column3]],,,)</f>
        <v>Major_Non-USMCA_Non-China</v>
      </c>
    </row>
    <row r="14007" spans="1:9" x14ac:dyDescent="0.4">
      <c r="A14007" t="s">
        <v>75</v>
      </c>
      <c r="B14007" s="1">
        <v>45778</v>
      </c>
      <c r="C14007">
        <v>850131</v>
      </c>
      <c r="D14007" t="s">
        <v>176</v>
      </c>
      <c r="E14007">
        <v>0</v>
      </c>
      <c r="F14007">
        <v>0</v>
      </c>
      <c r="G14007">
        <v>0</v>
      </c>
      <c r="H14007">
        <f>_xlfn.XLOOKUP(FACT_IMPORTS[[#This Row],[hts_6]],DIM_PRODUCTS[hts_6],DIM_PRODUCTS[hts_4],,,)</f>
        <v>8501</v>
      </c>
      <c r="I14007" t="str" cm="1">
        <f t="array" ref="I14007">_xlfn.XLOOKUP(FACT_IMPORTS[[#This Row],[country_name]],DIM_COUNTRY[[#All],[Column2]],DIM_COUNTRY[[#All],[Column3]],,,)</f>
        <v>Major_Non-USMCA_Non-China</v>
      </c>
    </row>
    <row r="14008" spans="1:9" x14ac:dyDescent="0.4">
      <c r="A14008" t="s">
        <v>75</v>
      </c>
      <c r="B14008" s="1">
        <v>45778</v>
      </c>
      <c r="C14008">
        <v>850132</v>
      </c>
      <c r="D14008" t="s">
        <v>176</v>
      </c>
      <c r="E14008">
        <v>0</v>
      </c>
      <c r="F14008">
        <v>0</v>
      </c>
      <c r="G14008">
        <v>0</v>
      </c>
      <c r="H14008">
        <f>_xlfn.XLOOKUP(FACT_IMPORTS[[#This Row],[hts_6]],DIM_PRODUCTS[hts_6],DIM_PRODUCTS[hts_4],,,)</f>
        <v>8501</v>
      </c>
      <c r="I14008" t="str" cm="1">
        <f t="array" ref="I14008">_xlfn.XLOOKUP(FACT_IMPORTS[[#This Row],[country_name]],DIM_COUNTRY[[#All],[Column2]],DIM_COUNTRY[[#All],[Column3]],,,)</f>
        <v>Major_Non-USMCA_Non-China</v>
      </c>
    </row>
    <row r="14009" spans="1:9" x14ac:dyDescent="0.4">
      <c r="A14009" t="s">
        <v>75</v>
      </c>
      <c r="B14009" s="1">
        <v>45778</v>
      </c>
      <c r="C14009">
        <v>850152</v>
      </c>
      <c r="D14009" t="s">
        <v>176</v>
      </c>
      <c r="E14009">
        <v>0</v>
      </c>
      <c r="F14009">
        <v>0</v>
      </c>
      <c r="G14009">
        <v>0</v>
      </c>
      <c r="H14009">
        <f>_xlfn.XLOOKUP(FACT_IMPORTS[[#This Row],[hts_6]],DIM_PRODUCTS[hts_6],DIM_PRODUCTS[hts_4],,,)</f>
        <v>8501</v>
      </c>
      <c r="I14009" t="str" cm="1">
        <f t="array" ref="I14009">_xlfn.XLOOKUP(FACT_IMPORTS[[#This Row],[country_name]],DIM_COUNTRY[[#All],[Column2]],DIM_COUNTRY[[#All],[Column3]],,,)</f>
        <v>Major_Non-USMCA_Non-China</v>
      </c>
    </row>
    <row r="14010" spans="1:9" x14ac:dyDescent="0.4">
      <c r="A14010" t="s">
        <v>75</v>
      </c>
      <c r="B14010" s="1">
        <v>45778</v>
      </c>
      <c r="C14010">
        <v>850153</v>
      </c>
      <c r="D14010" t="s">
        <v>176</v>
      </c>
      <c r="E14010">
        <v>0</v>
      </c>
      <c r="F14010">
        <v>0</v>
      </c>
      <c r="G14010">
        <v>0</v>
      </c>
      <c r="H14010">
        <f>_xlfn.XLOOKUP(FACT_IMPORTS[[#This Row],[hts_6]],DIM_PRODUCTS[hts_6],DIM_PRODUCTS[hts_4],,,)</f>
        <v>8501</v>
      </c>
      <c r="I14010" t="str" cm="1">
        <f t="array" ref="I14010">_xlfn.XLOOKUP(FACT_IMPORTS[[#This Row],[country_name]],DIM_COUNTRY[[#All],[Column2]],DIM_COUNTRY[[#All],[Column3]],,,)</f>
        <v>Major_Non-USMCA_Non-China</v>
      </c>
    </row>
    <row r="14011" spans="1:9" x14ac:dyDescent="0.4">
      <c r="A14011" t="s">
        <v>75</v>
      </c>
      <c r="B14011" s="1">
        <v>45778</v>
      </c>
      <c r="C14011">
        <v>850161</v>
      </c>
      <c r="D14011" t="s">
        <v>176</v>
      </c>
      <c r="E14011">
        <v>0</v>
      </c>
      <c r="F14011">
        <v>0</v>
      </c>
      <c r="G14011">
        <v>0</v>
      </c>
      <c r="H14011">
        <f>_xlfn.XLOOKUP(FACT_IMPORTS[[#This Row],[hts_6]],DIM_PRODUCTS[hts_6],DIM_PRODUCTS[hts_4],,,)</f>
        <v>8501</v>
      </c>
      <c r="I14011" t="str" cm="1">
        <f t="array" ref="I14011">_xlfn.XLOOKUP(FACT_IMPORTS[[#This Row],[country_name]],DIM_COUNTRY[[#All],[Column2]],DIM_COUNTRY[[#All],[Column3]],,,)</f>
        <v>Major_Non-USMCA_Non-China</v>
      </c>
    </row>
    <row r="14012" spans="1:9" x14ac:dyDescent="0.4">
      <c r="A14012" t="s">
        <v>75</v>
      </c>
      <c r="B14012" s="1">
        <v>45778</v>
      </c>
      <c r="C14012">
        <v>850440</v>
      </c>
      <c r="D14012" t="s">
        <v>176</v>
      </c>
      <c r="E14012">
        <v>2910141</v>
      </c>
      <c r="F14012">
        <v>7192</v>
      </c>
      <c r="G14012">
        <v>28189</v>
      </c>
      <c r="H14012">
        <f>_xlfn.XLOOKUP(FACT_IMPORTS[[#This Row],[hts_6]],DIM_PRODUCTS[hts_6],DIM_PRODUCTS[hts_4],,,)</f>
        <v>8504</v>
      </c>
      <c r="I14012" t="str" cm="1">
        <f t="array" ref="I14012">_xlfn.XLOOKUP(FACT_IMPORTS[[#This Row],[country_name]],DIM_COUNTRY[[#All],[Column2]],DIM_COUNTRY[[#All],[Column3]],,,)</f>
        <v>Major_Non-USMCA_Non-China</v>
      </c>
    </row>
    <row r="14013" spans="1:9" x14ac:dyDescent="0.4">
      <c r="A14013" t="s">
        <v>75</v>
      </c>
      <c r="B14013" s="1">
        <v>45778</v>
      </c>
      <c r="C14013">
        <v>850710</v>
      </c>
      <c r="D14013" t="s">
        <v>176</v>
      </c>
      <c r="E14013">
        <v>0</v>
      </c>
      <c r="F14013">
        <v>0</v>
      </c>
      <c r="G14013">
        <v>0</v>
      </c>
      <c r="H14013">
        <f>_xlfn.XLOOKUP(FACT_IMPORTS[[#This Row],[hts_6]],DIM_PRODUCTS[hts_6],DIM_PRODUCTS[hts_4],,,)</f>
        <v>8507</v>
      </c>
      <c r="I14013" t="str" cm="1">
        <f t="array" ref="I14013">_xlfn.XLOOKUP(FACT_IMPORTS[[#This Row],[country_name]],DIM_COUNTRY[[#All],[Column2]],DIM_COUNTRY[[#All],[Column3]],,,)</f>
        <v>Major_Non-USMCA_Non-China</v>
      </c>
    </row>
    <row r="14014" spans="1:9" x14ac:dyDescent="0.4">
      <c r="A14014" t="s">
        <v>75</v>
      </c>
      <c r="B14014" s="1">
        <v>45778</v>
      </c>
      <c r="C14014">
        <v>850760</v>
      </c>
      <c r="D14014" t="s">
        <v>176</v>
      </c>
      <c r="E14014">
        <v>20193</v>
      </c>
      <c r="F14014">
        <v>318</v>
      </c>
      <c r="G14014">
        <v>42</v>
      </c>
      <c r="H14014">
        <f>_xlfn.XLOOKUP(FACT_IMPORTS[[#This Row],[hts_6]],DIM_PRODUCTS[hts_6],DIM_PRODUCTS[hts_4],,,)</f>
        <v>8507</v>
      </c>
      <c r="I14014" t="str" cm="1">
        <f t="array" ref="I14014">_xlfn.XLOOKUP(FACT_IMPORTS[[#This Row],[country_name]],DIM_COUNTRY[[#All],[Column2]],DIM_COUNTRY[[#All],[Column3]],,,)</f>
        <v>Major_Non-USMCA_Non-China</v>
      </c>
    </row>
    <row r="14015" spans="1:9" x14ac:dyDescent="0.4">
      <c r="A14015" t="s">
        <v>75</v>
      </c>
      <c r="B14015" s="1">
        <v>45778</v>
      </c>
      <c r="C14015">
        <v>851120</v>
      </c>
      <c r="D14015" t="s">
        <v>176</v>
      </c>
      <c r="E14015">
        <v>0</v>
      </c>
      <c r="F14015">
        <v>0</v>
      </c>
      <c r="G14015">
        <v>0</v>
      </c>
      <c r="H14015">
        <f>_xlfn.XLOOKUP(FACT_IMPORTS[[#This Row],[hts_6]],DIM_PRODUCTS[hts_6],DIM_PRODUCTS[hts_4],,,)</f>
        <v>8511</v>
      </c>
      <c r="I14015" t="str" cm="1">
        <f t="array" ref="I14015">_xlfn.XLOOKUP(FACT_IMPORTS[[#This Row],[country_name]],DIM_COUNTRY[[#All],[Column2]],DIM_COUNTRY[[#All],[Column3]],,,)</f>
        <v>Major_Non-USMCA_Non-China</v>
      </c>
    </row>
    <row r="14016" spans="1:9" x14ac:dyDescent="0.4">
      <c r="A14016" t="s">
        <v>75</v>
      </c>
      <c r="B14016" s="1">
        <v>45778</v>
      </c>
      <c r="C14016">
        <v>851140</v>
      </c>
      <c r="D14016" t="s">
        <v>176</v>
      </c>
      <c r="E14016">
        <v>25017</v>
      </c>
      <c r="F14016">
        <v>263</v>
      </c>
      <c r="G14016">
        <v>12</v>
      </c>
      <c r="H14016">
        <f>_xlfn.XLOOKUP(FACT_IMPORTS[[#This Row],[hts_6]],DIM_PRODUCTS[hts_6],DIM_PRODUCTS[hts_4],,,)</f>
        <v>8511</v>
      </c>
      <c r="I14016" t="str" cm="1">
        <f t="array" ref="I14016">_xlfn.XLOOKUP(FACT_IMPORTS[[#This Row],[country_name]],DIM_COUNTRY[[#All],[Column2]],DIM_COUNTRY[[#All],[Column3]],,,)</f>
        <v>Major_Non-USMCA_Non-China</v>
      </c>
    </row>
    <row r="14017" spans="1:9" x14ac:dyDescent="0.4">
      <c r="A14017" t="s">
        <v>75</v>
      </c>
      <c r="B14017" s="1">
        <v>45778</v>
      </c>
      <c r="C14017">
        <v>851150</v>
      </c>
      <c r="D14017" t="s">
        <v>176</v>
      </c>
      <c r="E14017">
        <v>15511</v>
      </c>
      <c r="F14017">
        <v>31</v>
      </c>
      <c r="G14017">
        <v>75</v>
      </c>
      <c r="H14017">
        <f>_xlfn.XLOOKUP(FACT_IMPORTS[[#This Row],[hts_6]],DIM_PRODUCTS[hts_6],DIM_PRODUCTS[hts_4],,,)</f>
        <v>8511</v>
      </c>
      <c r="I14017" t="str" cm="1">
        <f t="array" ref="I14017">_xlfn.XLOOKUP(FACT_IMPORTS[[#This Row],[country_name]],DIM_COUNTRY[[#All],[Column2]],DIM_COUNTRY[[#All],[Column3]],,,)</f>
        <v>Major_Non-USMCA_Non-China</v>
      </c>
    </row>
    <row r="14018" spans="1:9" x14ac:dyDescent="0.4">
      <c r="A14018" t="s">
        <v>75</v>
      </c>
      <c r="B14018" s="1">
        <v>45778</v>
      </c>
      <c r="C14018">
        <v>851190</v>
      </c>
      <c r="D14018" t="s">
        <v>176</v>
      </c>
      <c r="E14018">
        <v>3113</v>
      </c>
      <c r="F14018">
        <v>100</v>
      </c>
      <c r="G14018">
        <v>61</v>
      </c>
      <c r="H14018">
        <f>_xlfn.XLOOKUP(FACT_IMPORTS[[#This Row],[hts_6]],DIM_PRODUCTS[hts_6],DIM_PRODUCTS[hts_4],,,)</f>
        <v>8511</v>
      </c>
      <c r="I14018" t="str" cm="1">
        <f t="array" ref="I14018">_xlfn.XLOOKUP(FACT_IMPORTS[[#This Row],[country_name]],DIM_COUNTRY[[#All],[Column2]],DIM_COUNTRY[[#All],[Column3]],,,)</f>
        <v>Major_Non-USMCA_Non-China</v>
      </c>
    </row>
    <row r="14019" spans="1:9" x14ac:dyDescent="0.4">
      <c r="A14019" t="s">
        <v>75</v>
      </c>
      <c r="B14019" s="1">
        <v>45778</v>
      </c>
      <c r="C14019">
        <v>851220</v>
      </c>
      <c r="D14019" t="s">
        <v>176</v>
      </c>
      <c r="E14019">
        <v>661861</v>
      </c>
      <c r="F14019">
        <v>5855</v>
      </c>
      <c r="G14019">
        <v>3269</v>
      </c>
      <c r="H14019">
        <f>_xlfn.XLOOKUP(FACT_IMPORTS[[#This Row],[hts_6]],DIM_PRODUCTS[hts_6],DIM_PRODUCTS[hts_4],,,)</f>
        <v>8512</v>
      </c>
      <c r="I14019" t="str" cm="1">
        <f t="array" ref="I14019">_xlfn.XLOOKUP(FACT_IMPORTS[[#This Row],[country_name]],DIM_COUNTRY[[#All],[Column2]],DIM_COUNTRY[[#All],[Column3]],,,)</f>
        <v>Major_Non-USMCA_Non-China</v>
      </c>
    </row>
    <row r="14020" spans="1:9" x14ac:dyDescent="0.4">
      <c r="A14020" t="s">
        <v>75</v>
      </c>
      <c r="B14020" s="1">
        <v>45778</v>
      </c>
      <c r="C14020">
        <v>851230</v>
      </c>
      <c r="D14020" t="s">
        <v>176</v>
      </c>
      <c r="E14020">
        <v>0</v>
      </c>
      <c r="F14020">
        <v>0</v>
      </c>
      <c r="G14020">
        <v>0</v>
      </c>
      <c r="H14020">
        <f>_xlfn.XLOOKUP(FACT_IMPORTS[[#This Row],[hts_6]],DIM_PRODUCTS[hts_6],DIM_PRODUCTS[hts_4],,,)</f>
        <v>8512</v>
      </c>
      <c r="I14020" t="str" cm="1">
        <f t="array" ref="I14020">_xlfn.XLOOKUP(FACT_IMPORTS[[#This Row],[country_name]],DIM_COUNTRY[[#All],[Column2]],DIM_COUNTRY[[#All],[Column3]],,,)</f>
        <v>Major_Non-USMCA_Non-China</v>
      </c>
    </row>
    <row r="14021" spans="1:9" x14ac:dyDescent="0.4">
      <c r="A14021" t="s">
        <v>75</v>
      </c>
      <c r="B14021" s="1">
        <v>45778</v>
      </c>
      <c r="C14021">
        <v>851290</v>
      </c>
      <c r="D14021" t="s">
        <v>176</v>
      </c>
      <c r="E14021">
        <v>1576870</v>
      </c>
      <c r="F14021">
        <v>27257</v>
      </c>
      <c r="G14021">
        <v>17520</v>
      </c>
      <c r="H14021">
        <f>_xlfn.XLOOKUP(FACT_IMPORTS[[#This Row],[hts_6]],DIM_PRODUCTS[hts_6],DIM_PRODUCTS[hts_4],,,)</f>
        <v>8512</v>
      </c>
      <c r="I14021" t="str" cm="1">
        <f t="array" ref="I14021">_xlfn.XLOOKUP(FACT_IMPORTS[[#This Row],[country_name]],DIM_COUNTRY[[#All],[Column2]],DIM_COUNTRY[[#All],[Column3]],,,)</f>
        <v>Major_Non-USMCA_Non-China</v>
      </c>
    </row>
    <row r="14022" spans="1:9" x14ac:dyDescent="0.4">
      <c r="A14022" t="s">
        <v>75</v>
      </c>
      <c r="B14022" s="1">
        <v>45778</v>
      </c>
      <c r="C14022">
        <v>854231</v>
      </c>
      <c r="D14022" t="s">
        <v>176</v>
      </c>
      <c r="E14022">
        <v>2079760</v>
      </c>
      <c r="F14022">
        <v>221256</v>
      </c>
      <c r="G14022">
        <v>21028</v>
      </c>
      <c r="H14022">
        <f>_xlfn.XLOOKUP(FACT_IMPORTS[[#This Row],[hts_6]],DIM_PRODUCTS[hts_6],DIM_PRODUCTS[hts_4],,,)</f>
        <v>8542</v>
      </c>
      <c r="I14022" t="str" cm="1">
        <f t="array" ref="I14022">_xlfn.XLOOKUP(FACT_IMPORTS[[#This Row],[country_name]],DIM_COUNTRY[[#All],[Column2]],DIM_COUNTRY[[#All],[Column3]],,,)</f>
        <v>Major_Non-USMCA_Non-China</v>
      </c>
    </row>
    <row r="14023" spans="1:9" x14ac:dyDescent="0.4">
      <c r="A14023" t="s">
        <v>75</v>
      </c>
      <c r="B14023" s="1">
        <v>45778</v>
      </c>
      <c r="C14023">
        <v>854232</v>
      </c>
      <c r="D14023" t="s">
        <v>176</v>
      </c>
      <c r="E14023">
        <v>356171</v>
      </c>
      <c r="F14023">
        <v>412777</v>
      </c>
      <c r="G14023">
        <v>39645</v>
      </c>
      <c r="H14023">
        <f>_xlfn.XLOOKUP(FACT_IMPORTS[[#This Row],[hts_6]],DIM_PRODUCTS[hts_6],DIM_PRODUCTS[hts_4],,,)</f>
        <v>8542</v>
      </c>
      <c r="I14023" t="str" cm="1">
        <f t="array" ref="I14023">_xlfn.XLOOKUP(FACT_IMPORTS[[#This Row],[country_name]],DIM_COUNTRY[[#All],[Column2]],DIM_COUNTRY[[#All],[Column3]],,,)</f>
        <v>Major_Non-USMCA_Non-China</v>
      </c>
    </row>
    <row r="14024" spans="1:9" x14ac:dyDescent="0.4">
      <c r="A14024" t="s">
        <v>75</v>
      </c>
      <c r="B14024" s="1">
        <v>45778</v>
      </c>
      <c r="C14024">
        <v>854233</v>
      </c>
      <c r="D14024" t="s">
        <v>176</v>
      </c>
      <c r="E14024">
        <v>0</v>
      </c>
      <c r="F14024">
        <v>0</v>
      </c>
      <c r="G14024">
        <v>0</v>
      </c>
      <c r="H14024">
        <f>_xlfn.XLOOKUP(FACT_IMPORTS[[#This Row],[hts_6]],DIM_PRODUCTS[hts_6],DIM_PRODUCTS[hts_4],,,)</f>
        <v>8542</v>
      </c>
      <c r="I14024" t="str" cm="1">
        <f t="array" ref="I14024">_xlfn.XLOOKUP(FACT_IMPORTS[[#This Row],[country_name]],DIM_COUNTRY[[#All],[Column2]],DIM_COUNTRY[[#All],[Column3]],,,)</f>
        <v>Major_Non-USMCA_Non-China</v>
      </c>
    </row>
    <row r="14025" spans="1:9" x14ac:dyDescent="0.4">
      <c r="A14025" t="s">
        <v>75</v>
      </c>
      <c r="B14025" s="1">
        <v>45778</v>
      </c>
      <c r="C14025">
        <v>854239</v>
      </c>
      <c r="D14025" t="s">
        <v>176</v>
      </c>
      <c r="E14025">
        <v>1538313</v>
      </c>
      <c r="F14025">
        <v>244901</v>
      </c>
      <c r="G14025">
        <v>172593</v>
      </c>
      <c r="H14025">
        <f>_xlfn.XLOOKUP(FACT_IMPORTS[[#This Row],[hts_6]],DIM_PRODUCTS[hts_6],DIM_PRODUCTS[hts_4],,,)</f>
        <v>8542</v>
      </c>
      <c r="I14025" t="str" cm="1">
        <f t="array" ref="I14025">_xlfn.XLOOKUP(FACT_IMPORTS[[#This Row],[country_name]],DIM_COUNTRY[[#All],[Column2]],DIM_COUNTRY[[#All],[Column3]],,,)</f>
        <v>Major_Non-USMCA_Non-China</v>
      </c>
    </row>
    <row r="14026" spans="1:9" x14ac:dyDescent="0.4">
      <c r="A14026" t="s">
        <v>75</v>
      </c>
      <c r="B14026" s="1">
        <v>45778</v>
      </c>
      <c r="C14026">
        <v>854290</v>
      </c>
      <c r="D14026" t="s">
        <v>176</v>
      </c>
      <c r="E14026">
        <v>0</v>
      </c>
      <c r="F14026">
        <v>0</v>
      </c>
      <c r="G14026">
        <v>0</v>
      </c>
      <c r="H14026">
        <f>_xlfn.XLOOKUP(FACT_IMPORTS[[#This Row],[hts_6]],DIM_PRODUCTS[hts_6],DIM_PRODUCTS[hts_4],,,)</f>
        <v>8542</v>
      </c>
      <c r="I14026" t="str" cm="1">
        <f t="array" ref="I14026">_xlfn.XLOOKUP(FACT_IMPORTS[[#This Row],[country_name]],DIM_COUNTRY[[#All],[Column2]],DIM_COUNTRY[[#All],[Column3]],,,)</f>
        <v>Major_Non-USMCA_Non-China</v>
      </c>
    </row>
    <row r="14027" spans="1:9" x14ac:dyDescent="0.4">
      <c r="A14027" t="s">
        <v>75</v>
      </c>
      <c r="B14027" s="1">
        <v>45778</v>
      </c>
      <c r="C14027">
        <v>854430</v>
      </c>
      <c r="D14027" t="s">
        <v>176</v>
      </c>
      <c r="E14027">
        <v>36324</v>
      </c>
      <c r="F14027">
        <v>2016</v>
      </c>
      <c r="G14027">
        <v>371</v>
      </c>
      <c r="H14027">
        <f>_xlfn.XLOOKUP(FACT_IMPORTS[[#This Row],[hts_6]],DIM_PRODUCTS[hts_6],DIM_PRODUCTS[hts_4],,,)</f>
        <v>8544</v>
      </c>
      <c r="I14027" t="str" cm="1">
        <f t="array" ref="I14027">_xlfn.XLOOKUP(FACT_IMPORTS[[#This Row],[country_name]],DIM_COUNTRY[[#All],[Column2]],DIM_COUNTRY[[#All],[Column3]],,,)</f>
        <v>Major_Non-USMCA_Non-China</v>
      </c>
    </row>
    <row r="14028" spans="1:9" x14ac:dyDescent="0.4">
      <c r="A14028" t="s">
        <v>75</v>
      </c>
      <c r="B14028" s="1">
        <v>45778</v>
      </c>
      <c r="C14028">
        <v>870810</v>
      </c>
      <c r="D14028" t="s">
        <v>176</v>
      </c>
      <c r="E14028">
        <v>188809</v>
      </c>
      <c r="F14028">
        <v>7438</v>
      </c>
      <c r="G14028">
        <v>50135</v>
      </c>
      <c r="H14028">
        <f>_xlfn.XLOOKUP(FACT_IMPORTS[[#This Row],[hts_6]],DIM_PRODUCTS[hts_6],DIM_PRODUCTS[hts_4],,,)</f>
        <v>8708</v>
      </c>
      <c r="I14028" t="str" cm="1">
        <f t="array" ref="I14028">_xlfn.XLOOKUP(FACT_IMPORTS[[#This Row],[country_name]],DIM_COUNTRY[[#All],[Column2]],DIM_COUNTRY[[#All],[Column3]],,,)</f>
        <v>Major_Non-USMCA_Non-China</v>
      </c>
    </row>
    <row r="14029" spans="1:9" x14ac:dyDescent="0.4">
      <c r="A14029" t="s">
        <v>75</v>
      </c>
      <c r="B14029" s="1">
        <v>45778</v>
      </c>
      <c r="C14029">
        <v>870829</v>
      </c>
      <c r="D14029" t="s">
        <v>176</v>
      </c>
      <c r="E14029">
        <v>633330</v>
      </c>
      <c r="F14029">
        <v>21218</v>
      </c>
      <c r="G14029">
        <v>29774</v>
      </c>
      <c r="H14029">
        <f>_xlfn.XLOOKUP(FACT_IMPORTS[[#This Row],[hts_6]],DIM_PRODUCTS[hts_6],DIM_PRODUCTS[hts_4],,,)</f>
        <v>8708</v>
      </c>
      <c r="I14029" t="str" cm="1">
        <f t="array" ref="I14029">_xlfn.XLOOKUP(FACT_IMPORTS[[#This Row],[country_name]],DIM_COUNTRY[[#All],[Column2]],DIM_COUNTRY[[#All],[Column3]],,,)</f>
        <v>Major_Non-USMCA_Non-China</v>
      </c>
    </row>
    <row r="14030" spans="1:9" x14ac:dyDescent="0.4">
      <c r="A14030" t="s">
        <v>75</v>
      </c>
      <c r="B14030" s="1">
        <v>45778</v>
      </c>
      <c r="C14030">
        <v>870830</v>
      </c>
      <c r="D14030" t="s">
        <v>176</v>
      </c>
      <c r="E14030">
        <v>0</v>
      </c>
      <c r="F14030">
        <v>0</v>
      </c>
      <c r="G14030">
        <v>0</v>
      </c>
      <c r="H14030">
        <f>_xlfn.XLOOKUP(FACT_IMPORTS[[#This Row],[hts_6]],DIM_PRODUCTS[hts_6],DIM_PRODUCTS[hts_4],,,)</f>
        <v>8708</v>
      </c>
      <c r="I14030" t="str" cm="1">
        <f t="array" ref="I14030">_xlfn.XLOOKUP(FACT_IMPORTS[[#This Row],[country_name]],DIM_COUNTRY[[#All],[Column2]],DIM_COUNTRY[[#All],[Column3]],,,)</f>
        <v>Major_Non-USMCA_Non-China</v>
      </c>
    </row>
    <row r="14031" spans="1:9" x14ac:dyDescent="0.4">
      <c r="A14031" t="s">
        <v>75</v>
      </c>
      <c r="B14031" s="1">
        <v>45778</v>
      </c>
      <c r="C14031">
        <v>870840</v>
      </c>
      <c r="D14031" t="s">
        <v>176</v>
      </c>
      <c r="E14031">
        <v>54812</v>
      </c>
      <c r="F14031">
        <v>35552</v>
      </c>
      <c r="G14031">
        <v>179</v>
      </c>
      <c r="H14031">
        <f>_xlfn.XLOOKUP(FACT_IMPORTS[[#This Row],[hts_6]],DIM_PRODUCTS[hts_6],DIM_PRODUCTS[hts_4],,,)</f>
        <v>8708</v>
      </c>
      <c r="I14031" t="str" cm="1">
        <f t="array" ref="I14031">_xlfn.XLOOKUP(FACT_IMPORTS[[#This Row],[country_name]],DIM_COUNTRY[[#All],[Column2]],DIM_COUNTRY[[#All],[Column3]],,,)</f>
        <v>Major_Non-USMCA_Non-China</v>
      </c>
    </row>
    <row r="14032" spans="1:9" x14ac:dyDescent="0.4">
      <c r="A14032" t="s">
        <v>75</v>
      </c>
      <c r="B14032" s="1">
        <v>45778</v>
      </c>
      <c r="C14032">
        <v>870850</v>
      </c>
      <c r="D14032" t="s">
        <v>176</v>
      </c>
      <c r="E14032">
        <v>537826</v>
      </c>
      <c r="F14032">
        <v>92243</v>
      </c>
      <c r="G14032">
        <v>23177</v>
      </c>
      <c r="H14032">
        <f>_xlfn.XLOOKUP(FACT_IMPORTS[[#This Row],[hts_6]],DIM_PRODUCTS[hts_6],DIM_PRODUCTS[hts_4],,,)</f>
        <v>8708</v>
      </c>
      <c r="I14032" t="str" cm="1">
        <f t="array" ref="I14032">_xlfn.XLOOKUP(FACT_IMPORTS[[#This Row],[country_name]],DIM_COUNTRY[[#All],[Column2]],DIM_COUNTRY[[#All],[Column3]],,,)</f>
        <v>Major_Non-USMCA_Non-China</v>
      </c>
    </row>
    <row r="14033" spans="1:9" x14ac:dyDescent="0.4">
      <c r="A14033" t="s">
        <v>75</v>
      </c>
      <c r="B14033" s="1">
        <v>45778</v>
      </c>
      <c r="C14033">
        <v>870870</v>
      </c>
      <c r="D14033" t="s">
        <v>176</v>
      </c>
      <c r="E14033">
        <v>480123</v>
      </c>
      <c r="F14033">
        <v>1911</v>
      </c>
      <c r="G14033">
        <v>4800</v>
      </c>
      <c r="H14033">
        <f>_xlfn.XLOOKUP(FACT_IMPORTS[[#This Row],[hts_6]],DIM_PRODUCTS[hts_6],DIM_PRODUCTS[hts_4],,,)</f>
        <v>8708</v>
      </c>
      <c r="I14033" t="str" cm="1">
        <f t="array" ref="I14033">_xlfn.XLOOKUP(FACT_IMPORTS[[#This Row],[country_name]],DIM_COUNTRY[[#All],[Column2]],DIM_COUNTRY[[#All],[Column3]],,,)</f>
        <v>Major_Non-USMCA_Non-China</v>
      </c>
    </row>
    <row r="14034" spans="1:9" x14ac:dyDescent="0.4">
      <c r="A14034" t="s">
        <v>75</v>
      </c>
      <c r="B14034" s="1">
        <v>45778</v>
      </c>
      <c r="C14034">
        <v>870880</v>
      </c>
      <c r="D14034" t="s">
        <v>176</v>
      </c>
      <c r="E14034">
        <v>946124</v>
      </c>
      <c r="F14034">
        <v>91072</v>
      </c>
      <c r="G14034">
        <v>19971</v>
      </c>
      <c r="H14034">
        <f>_xlfn.XLOOKUP(FACT_IMPORTS[[#This Row],[hts_6]],DIM_PRODUCTS[hts_6],DIM_PRODUCTS[hts_4],,,)</f>
        <v>8708</v>
      </c>
      <c r="I14034" t="str" cm="1">
        <f t="array" ref="I14034">_xlfn.XLOOKUP(FACT_IMPORTS[[#This Row],[country_name]],DIM_COUNTRY[[#All],[Column2]],DIM_COUNTRY[[#All],[Column3]],,,)</f>
        <v>Major_Non-USMCA_Non-China</v>
      </c>
    </row>
    <row r="14035" spans="1:9" x14ac:dyDescent="0.4">
      <c r="A14035" t="s">
        <v>75</v>
      </c>
      <c r="B14035" s="1">
        <v>45778</v>
      </c>
      <c r="C14035">
        <v>870891</v>
      </c>
      <c r="D14035" t="s">
        <v>176</v>
      </c>
      <c r="E14035">
        <v>13179</v>
      </c>
      <c r="F14035">
        <v>468</v>
      </c>
      <c r="G14035">
        <v>2560</v>
      </c>
      <c r="H14035">
        <f>_xlfn.XLOOKUP(FACT_IMPORTS[[#This Row],[hts_6]],DIM_PRODUCTS[hts_6],DIM_PRODUCTS[hts_4],,,)</f>
        <v>8708</v>
      </c>
      <c r="I14035" t="str" cm="1">
        <f t="array" ref="I14035">_xlfn.XLOOKUP(FACT_IMPORTS[[#This Row],[country_name]],DIM_COUNTRY[[#All],[Column2]],DIM_COUNTRY[[#All],[Column3]],,,)</f>
        <v>Major_Non-USMCA_Non-China</v>
      </c>
    </row>
    <row r="14036" spans="1:9" x14ac:dyDescent="0.4">
      <c r="A14036" t="s">
        <v>75</v>
      </c>
      <c r="B14036" s="1">
        <v>45778</v>
      </c>
      <c r="C14036">
        <v>870892</v>
      </c>
      <c r="D14036" t="s">
        <v>176</v>
      </c>
      <c r="E14036">
        <v>84531</v>
      </c>
      <c r="F14036">
        <v>42000</v>
      </c>
      <c r="G14036">
        <v>2935</v>
      </c>
      <c r="H14036">
        <f>_xlfn.XLOOKUP(FACT_IMPORTS[[#This Row],[hts_6]],DIM_PRODUCTS[hts_6],DIM_PRODUCTS[hts_4],,,)</f>
        <v>8708</v>
      </c>
      <c r="I14036" t="str" cm="1">
        <f t="array" ref="I14036">_xlfn.XLOOKUP(FACT_IMPORTS[[#This Row],[country_name]],DIM_COUNTRY[[#All],[Column2]],DIM_COUNTRY[[#All],[Column3]],,,)</f>
        <v>Major_Non-USMCA_Non-China</v>
      </c>
    </row>
    <row r="14037" spans="1:9" x14ac:dyDescent="0.4">
      <c r="A14037" t="s">
        <v>75</v>
      </c>
      <c r="B14037" s="1">
        <v>45778</v>
      </c>
      <c r="C14037">
        <v>870893</v>
      </c>
      <c r="D14037" t="s">
        <v>176</v>
      </c>
      <c r="E14037">
        <v>55053</v>
      </c>
      <c r="F14037">
        <v>412</v>
      </c>
      <c r="G14037">
        <v>53</v>
      </c>
      <c r="H14037">
        <f>_xlfn.XLOOKUP(FACT_IMPORTS[[#This Row],[hts_6]],DIM_PRODUCTS[hts_6],DIM_PRODUCTS[hts_4],,,)</f>
        <v>8708</v>
      </c>
      <c r="I14037" t="str" cm="1">
        <f t="array" ref="I14037">_xlfn.XLOOKUP(FACT_IMPORTS[[#This Row],[country_name]],DIM_COUNTRY[[#All],[Column2]],DIM_COUNTRY[[#All],[Column3]],,,)</f>
        <v>Major_Non-USMCA_Non-China</v>
      </c>
    </row>
    <row r="14038" spans="1:9" x14ac:dyDescent="0.4">
      <c r="A14038" t="s">
        <v>75</v>
      </c>
      <c r="B14038" s="1">
        <v>45778</v>
      </c>
      <c r="C14038">
        <v>870894</v>
      </c>
      <c r="D14038" t="s">
        <v>176</v>
      </c>
      <c r="E14038">
        <v>38348</v>
      </c>
      <c r="F14038">
        <v>2106</v>
      </c>
      <c r="G14038">
        <v>602</v>
      </c>
      <c r="H14038">
        <f>_xlfn.XLOOKUP(FACT_IMPORTS[[#This Row],[hts_6]],DIM_PRODUCTS[hts_6],DIM_PRODUCTS[hts_4],,,)</f>
        <v>8708</v>
      </c>
      <c r="I14038" t="str" cm="1">
        <f t="array" ref="I14038">_xlfn.XLOOKUP(FACT_IMPORTS[[#This Row],[country_name]],DIM_COUNTRY[[#All],[Column2]],DIM_COUNTRY[[#All],[Column3]],,,)</f>
        <v>Major_Non-USMCA_Non-China</v>
      </c>
    </row>
    <row r="14039" spans="1:9" x14ac:dyDescent="0.4">
      <c r="A14039" t="s">
        <v>75</v>
      </c>
      <c r="B14039" s="1">
        <v>45778</v>
      </c>
      <c r="C14039">
        <v>870899</v>
      </c>
      <c r="D14039" t="s">
        <v>176</v>
      </c>
      <c r="E14039">
        <v>1073566</v>
      </c>
      <c r="F14039">
        <v>809019</v>
      </c>
      <c r="G14039">
        <v>39207</v>
      </c>
      <c r="H14039">
        <f>_xlfn.XLOOKUP(FACT_IMPORTS[[#This Row],[hts_6]],DIM_PRODUCTS[hts_6],DIM_PRODUCTS[hts_4],,,)</f>
        <v>8708</v>
      </c>
      <c r="I14039" t="str" cm="1">
        <f t="array" ref="I14039">_xlfn.XLOOKUP(FACT_IMPORTS[[#This Row],[country_name]],DIM_COUNTRY[[#All],[Column2]],DIM_COUNTRY[[#All],[Column3]],,,)</f>
        <v>Major_Non-USMCA_Non-China</v>
      </c>
    </row>
    <row r="14040" spans="1:9" x14ac:dyDescent="0.4">
      <c r="A14040" t="s">
        <v>75</v>
      </c>
      <c r="B14040" s="1">
        <v>45778</v>
      </c>
      <c r="C14040">
        <v>940120</v>
      </c>
      <c r="D14040" t="s">
        <v>176</v>
      </c>
      <c r="E14040">
        <v>0</v>
      </c>
      <c r="F14040">
        <v>0</v>
      </c>
      <c r="G14040">
        <v>0</v>
      </c>
      <c r="H14040">
        <f>_xlfn.XLOOKUP(FACT_IMPORTS[[#This Row],[hts_6]],DIM_PRODUCTS[hts_6],DIM_PRODUCTS[hts_4],,,)</f>
        <v>9401</v>
      </c>
      <c r="I14040" t="str" cm="1">
        <f t="array" ref="I14040">_xlfn.XLOOKUP(FACT_IMPORTS[[#This Row],[country_name]],DIM_COUNTRY[[#All],[Column2]],DIM_COUNTRY[[#All],[Column3]],,,)</f>
        <v>Major_Non-USMCA_Non-China</v>
      </c>
    </row>
    <row r="14041" spans="1:9" x14ac:dyDescent="0.4">
      <c r="A14041" t="s">
        <v>75</v>
      </c>
      <c r="B14041" s="1">
        <v>45809</v>
      </c>
      <c r="C14041">
        <v>392630</v>
      </c>
      <c r="D14041" t="s">
        <v>176</v>
      </c>
      <c r="E14041">
        <v>7928</v>
      </c>
      <c r="F14041">
        <v>281</v>
      </c>
      <c r="G14041">
        <v>448</v>
      </c>
      <c r="H14041">
        <f>_xlfn.XLOOKUP(FACT_IMPORTS[[#This Row],[hts_6]],DIM_PRODUCTS[hts_6],DIM_PRODUCTS[hts_4],,,)</f>
        <v>3926</v>
      </c>
      <c r="I14041" t="str" cm="1">
        <f t="array" ref="I14041">_xlfn.XLOOKUP(FACT_IMPORTS[[#This Row],[country_name]],DIM_COUNTRY[[#All],[Column2]],DIM_COUNTRY[[#All],[Column3]],,,)</f>
        <v>Major_Non-USMCA_Non-China</v>
      </c>
    </row>
    <row r="14042" spans="1:9" x14ac:dyDescent="0.4">
      <c r="A14042" t="s">
        <v>75</v>
      </c>
      <c r="B14042" s="1">
        <v>45809</v>
      </c>
      <c r="C14042">
        <v>401110</v>
      </c>
      <c r="D14042" t="s">
        <v>176</v>
      </c>
      <c r="E14042">
        <v>20673</v>
      </c>
      <c r="F14042">
        <v>412</v>
      </c>
      <c r="G14042">
        <v>768</v>
      </c>
      <c r="H14042">
        <f>_xlfn.XLOOKUP(FACT_IMPORTS[[#This Row],[hts_6]],DIM_PRODUCTS[hts_6],DIM_PRODUCTS[hts_4],,,)</f>
        <v>4011</v>
      </c>
      <c r="I14042" t="str" cm="1">
        <f t="array" ref="I14042">_xlfn.XLOOKUP(FACT_IMPORTS[[#This Row],[country_name]],DIM_COUNTRY[[#All],[Column2]],DIM_COUNTRY[[#All],[Column3]],,,)</f>
        <v>Major_Non-USMCA_Non-China</v>
      </c>
    </row>
    <row r="14043" spans="1:9" x14ac:dyDescent="0.4">
      <c r="A14043" t="s">
        <v>75</v>
      </c>
      <c r="B14043" s="1">
        <v>45809</v>
      </c>
      <c r="C14043">
        <v>401190</v>
      </c>
      <c r="D14043" t="s">
        <v>176</v>
      </c>
      <c r="E14043">
        <v>18039</v>
      </c>
      <c r="F14043">
        <v>172</v>
      </c>
      <c r="G14043">
        <v>196</v>
      </c>
      <c r="H14043">
        <f>_xlfn.XLOOKUP(FACT_IMPORTS[[#This Row],[hts_6]],DIM_PRODUCTS[hts_6],DIM_PRODUCTS[hts_4],,,)</f>
        <v>4011</v>
      </c>
      <c r="I14043" t="str" cm="1">
        <f t="array" ref="I14043">_xlfn.XLOOKUP(FACT_IMPORTS[[#This Row],[country_name]],DIM_COUNTRY[[#All],[Column2]],DIM_COUNTRY[[#All],[Column3]],,,)</f>
        <v>Major_Non-USMCA_Non-China</v>
      </c>
    </row>
    <row r="14044" spans="1:9" x14ac:dyDescent="0.4">
      <c r="A14044" t="s">
        <v>75</v>
      </c>
      <c r="B14044" s="1">
        <v>45809</v>
      </c>
      <c r="C14044">
        <v>700721</v>
      </c>
      <c r="D14044" t="s">
        <v>176</v>
      </c>
      <c r="E14044">
        <v>0</v>
      </c>
      <c r="F14044">
        <v>0</v>
      </c>
      <c r="G14044">
        <v>0</v>
      </c>
      <c r="H14044">
        <f>_xlfn.XLOOKUP(FACT_IMPORTS[[#This Row],[hts_6]],DIM_PRODUCTS[hts_6],DIM_PRODUCTS[hts_4],,,)</f>
        <v>7007</v>
      </c>
      <c r="I14044" t="str" cm="1">
        <f t="array" ref="I14044">_xlfn.XLOOKUP(FACT_IMPORTS[[#This Row],[country_name]],DIM_COUNTRY[[#All],[Column2]],DIM_COUNTRY[[#All],[Column3]],,,)</f>
        <v>Major_Non-USMCA_Non-China</v>
      </c>
    </row>
    <row r="14045" spans="1:9" x14ac:dyDescent="0.4">
      <c r="A14045" t="s">
        <v>75</v>
      </c>
      <c r="B14045" s="1">
        <v>45809</v>
      </c>
      <c r="C14045">
        <v>700910</v>
      </c>
      <c r="D14045" t="s">
        <v>176</v>
      </c>
      <c r="E14045">
        <v>20363</v>
      </c>
      <c r="F14045">
        <v>6144</v>
      </c>
      <c r="G14045">
        <v>628</v>
      </c>
      <c r="H14045">
        <f>_xlfn.XLOOKUP(FACT_IMPORTS[[#This Row],[hts_6]],DIM_PRODUCTS[hts_6],DIM_PRODUCTS[hts_4],,,)</f>
        <v>7009</v>
      </c>
      <c r="I14045" t="str" cm="1">
        <f t="array" ref="I14045">_xlfn.XLOOKUP(FACT_IMPORTS[[#This Row],[country_name]],DIM_COUNTRY[[#All],[Column2]],DIM_COUNTRY[[#All],[Column3]],,,)</f>
        <v>Major_Non-USMCA_Non-China</v>
      </c>
    </row>
    <row r="14046" spans="1:9" x14ac:dyDescent="0.4">
      <c r="A14046" t="s">
        <v>75</v>
      </c>
      <c r="B14046" s="1">
        <v>45809</v>
      </c>
      <c r="C14046">
        <v>830230</v>
      </c>
      <c r="D14046" t="s">
        <v>176</v>
      </c>
      <c r="E14046">
        <v>88020</v>
      </c>
      <c r="F14046">
        <v>9699</v>
      </c>
      <c r="G14046">
        <v>4478</v>
      </c>
      <c r="H14046">
        <f>_xlfn.XLOOKUP(FACT_IMPORTS[[#This Row],[hts_6]],DIM_PRODUCTS[hts_6],DIM_PRODUCTS[hts_4],,,)</f>
        <v>8302</v>
      </c>
      <c r="I14046" t="str" cm="1">
        <f t="array" ref="I14046">_xlfn.XLOOKUP(FACT_IMPORTS[[#This Row],[country_name]],DIM_COUNTRY[[#All],[Column2]],DIM_COUNTRY[[#All],[Column3]],,,)</f>
        <v>Major_Non-USMCA_Non-China</v>
      </c>
    </row>
    <row r="14047" spans="1:9" x14ac:dyDescent="0.4">
      <c r="A14047" t="s">
        <v>75</v>
      </c>
      <c r="B14047" s="1">
        <v>45809</v>
      </c>
      <c r="C14047">
        <v>840733</v>
      </c>
      <c r="D14047" t="s">
        <v>176</v>
      </c>
      <c r="E14047">
        <v>2170</v>
      </c>
      <c r="F14047">
        <v>1</v>
      </c>
      <c r="G14047">
        <v>250</v>
      </c>
      <c r="H14047">
        <f>_xlfn.XLOOKUP(FACT_IMPORTS[[#This Row],[hts_6]],DIM_PRODUCTS[hts_6],DIM_PRODUCTS[hts_4],,,)</f>
        <v>8407</v>
      </c>
      <c r="I14047" t="str" cm="1">
        <f t="array" ref="I14047">_xlfn.XLOOKUP(FACT_IMPORTS[[#This Row],[country_name]],DIM_COUNTRY[[#All],[Column2]],DIM_COUNTRY[[#All],[Column3]],,,)</f>
        <v>Major_Non-USMCA_Non-China</v>
      </c>
    </row>
    <row r="14048" spans="1:9" x14ac:dyDescent="0.4">
      <c r="A14048" t="s">
        <v>75</v>
      </c>
      <c r="B14048" s="1">
        <v>45809</v>
      </c>
      <c r="C14048">
        <v>840991</v>
      </c>
      <c r="D14048" t="s">
        <v>176</v>
      </c>
      <c r="E14048">
        <v>398390</v>
      </c>
      <c r="F14048">
        <v>23867</v>
      </c>
      <c r="G14048">
        <v>21565</v>
      </c>
      <c r="H14048">
        <f>_xlfn.XLOOKUP(FACT_IMPORTS[[#This Row],[hts_6]],DIM_PRODUCTS[hts_6],DIM_PRODUCTS[hts_4],,,)</f>
        <v>8409</v>
      </c>
      <c r="I14048" t="str" cm="1">
        <f t="array" ref="I14048">_xlfn.XLOOKUP(FACT_IMPORTS[[#This Row],[country_name]],DIM_COUNTRY[[#All],[Column2]],DIM_COUNTRY[[#All],[Column3]],,,)</f>
        <v>Major_Non-USMCA_Non-China</v>
      </c>
    </row>
    <row r="14049" spans="1:9" x14ac:dyDescent="0.4">
      <c r="A14049" t="s">
        <v>75</v>
      </c>
      <c r="B14049" s="1">
        <v>45809</v>
      </c>
      <c r="C14049">
        <v>840999</v>
      </c>
      <c r="D14049" t="s">
        <v>176</v>
      </c>
      <c r="E14049">
        <v>29032</v>
      </c>
      <c r="F14049">
        <v>545</v>
      </c>
      <c r="G14049">
        <v>2000</v>
      </c>
      <c r="H14049">
        <f>_xlfn.XLOOKUP(FACT_IMPORTS[[#This Row],[hts_6]],DIM_PRODUCTS[hts_6],DIM_PRODUCTS[hts_4],,,)</f>
        <v>8409</v>
      </c>
      <c r="I14049" t="str" cm="1">
        <f t="array" ref="I14049">_xlfn.XLOOKUP(FACT_IMPORTS[[#This Row],[country_name]],DIM_COUNTRY[[#All],[Column2]],DIM_COUNTRY[[#All],[Column3]],,,)</f>
        <v>Major_Non-USMCA_Non-China</v>
      </c>
    </row>
    <row r="14050" spans="1:9" x14ac:dyDescent="0.4">
      <c r="A14050" t="s">
        <v>75</v>
      </c>
      <c r="B14050" s="1">
        <v>45809</v>
      </c>
      <c r="C14050">
        <v>841330</v>
      </c>
      <c r="D14050" t="s">
        <v>176</v>
      </c>
      <c r="E14050">
        <v>150102</v>
      </c>
      <c r="F14050">
        <v>4630</v>
      </c>
      <c r="G14050">
        <v>15077</v>
      </c>
      <c r="H14050">
        <f>_xlfn.XLOOKUP(FACT_IMPORTS[[#This Row],[hts_6]],DIM_PRODUCTS[hts_6],DIM_PRODUCTS[hts_4],,,)</f>
        <v>8413</v>
      </c>
      <c r="I14050" t="str" cm="1">
        <f t="array" ref="I14050">_xlfn.XLOOKUP(FACT_IMPORTS[[#This Row],[country_name]],DIM_COUNTRY[[#All],[Column2]],DIM_COUNTRY[[#All],[Column3]],,,)</f>
        <v>Major_Non-USMCA_Non-China</v>
      </c>
    </row>
    <row r="14051" spans="1:9" x14ac:dyDescent="0.4">
      <c r="A14051" t="s">
        <v>75</v>
      </c>
      <c r="B14051" s="1">
        <v>45809</v>
      </c>
      <c r="C14051">
        <v>848210</v>
      </c>
      <c r="D14051" t="s">
        <v>176</v>
      </c>
      <c r="E14051">
        <v>141473</v>
      </c>
      <c r="F14051">
        <v>362602</v>
      </c>
      <c r="G14051">
        <v>7207</v>
      </c>
      <c r="H14051">
        <f>_xlfn.XLOOKUP(FACT_IMPORTS[[#This Row],[hts_6]],DIM_PRODUCTS[hts_6],DIM_PRODUCTS[hts_4],,,)</f>
        <v>8482</v>
      </c>
      <c r="I14051" t="str" cm="1">
        <f t="array" ref="I14051">_xlfn.XLOOKUP(FACT_IMPORTS[[#This Row],[country_name]],DIM_COUNTRY[[#All],[Column2]],DIM_COUNTRY[[#All],[Column3]],,,)</f>
        <v>Major_Non-USMCA_Non-China</v>
      </c>
    </row>
    <row r="14052" spans="1:9" x14ac:dyDescent="0.4">
      <c r="A14052" t="s">
        <v>75</v>
      </c>
      <c r="B14052" s="1">
        <v>45809</v>
      </c>
      <c r="C14052">
        <v>848220</v>
      </c>
      <c r="D14052" t="s">
        <v>176</v>
      </c>
      <c r="E14052">
        <v>0</v>
      </c>
      <c r="F14052">
        <v>0</v>
      </c>
      <c r="G14052">
        <v>0</v>
      </c>
      <c r="H14052">
        <f>_xlfn.XLOOKUP(FACT_IMPORTS[[#This Row],[hts_6]],DIM_PRODUCTS[hts_6],DIM_PRODUCTS[hts_4],,,)</f>
        <v>8482</v>
      </c>
      <c r="I14052" t="str" cm="1">
        <f t="array" ref="I14052">_xlfn.XLOOKUP(FACT_IMPORTS[[#This Row],[country_name]],DIM_COUNTRY[[#All],[Column2]],DIM_COUNTRY[[#All],[Column3]],,,)</f>
        <v>Major_Non-USMCA_Non-China</v>
      </c>
    </row>
    <row r="14053" spans="1:9" x14ac:dyDescent="0.4">
      <c r="A14053" t="s">
        <v>75</v>
      </c>
      <c r="B14053" s="1">
        <v>45809</v>
      </c>
      <c r="C14053">
        <v>848310</v>
      </c>
      <c r="D14053" t="s">
        <v>176</v>
      </c>
      <c r="E14053">
        <v>0</v>
      </c>
      <c r="F14053">
        <v>0</v>
      </c>
      <c r="G14053">
        <v>0</v>
      </c>
      <c r="H14053">
        <f>_xlfn.XLOOKUP(FACT_IMPORTS[[#This Row],[hts_6]],DIM_PRODUCTS[hts_6],DIM_PRODUCTS[hts_4],,,)</f>
        <v>8483</v>
      </c>
      <c r="I14053" t="str" cm="1">
        <f t="array" ref="I14053">_xlfn.XLOOKUP(FACT_IMPORTS[[#This Row],[country_name]],DIM_COUNTRY[[#All],[Column2]],DIM_COUNTRY[[#All],[Column3]],,,)</f>
        <v>Major_Non-USMCA_Non-China</v>
      </c>
    </row>
    <row r="14054" spans="1:9" x14ac:dyDescent="0.4">
      <c r="A14054" t="s">
        <v>75</v>
      </c>
      <c r="B14054" s="1">
        <v>45809</v>
      </c>
      <c r="C14054">
        <v>850131</v>
      </c>
      <c r="D14054" t="s">
        <v>176</v>
      </c>
      <c r="E14054">
        <v>2501</v>
      </c>
      <c r="F14054">
        <v>30</v>
      </c>
      <c r="G14054">
        <v>1</v>
      </c>
      <c r="H14054">
        <f>_xlfn.XLOOKUP(FACT_IMPORTS[[#This Row],[hts_6]],DIM_PRODUCTS[hts_6],DIM_PRODUCTS[hts_4],,,)</f>
        <v>8501</v>
      </c>
      <c r="I14054" t="str" cm="1">
        <f t="array" ref="I14054">_xlfn.XLOOKUP(FACT_IMPORTS[[#This Row],[country_name]],DIM_COUNTRY[[#All],[Column2]],DIM_COUNTRY[[#All],[Column3]],,,)</f>
        <v>Major_Non-USMCA_Non-China</v>
      </c>
    </row>
    <row r="14055" spans="1:9" x14ac:dyDescent="0.4">
      <c r="A14055" t="s">
        <v>75</v>
      </c>
      <c r="B14055" s="1">
        <v>45809</v>
      </c>
      <c r="C14055">
        <v>850132</v>
      </c>
      <c r="D14055" t="s">
        <v>176</v>
      </c>
      <c r="E14055">
        <v>0</v>
      </c>
      <c r="F14055">
        <v>0</v>
      </c>
      <c r="G14055">
        <v>0</v>
      </c>
      <c r="H14055">
        <f>_xlfn.XLOOKUP(FACT_IMPORTS[[#This Row],[hts_6]],DIM_PRODUCTS[hts_6],DIM_PRODUCTS[hts_4],,,)</f>
        <v>8501</v>
      </c>
      <c r="I14055" t="str" cm="1">
        <f t="array" ref="I14055">_xlfn.XLOOKUP(FACT_IMPORTS[[#This Row],[country_name]],DIM_COUNTRY[[#All],[Column2]],DIM_COUNTRY[[#All],[Column3]],,,)</f>
        <v>Major_Non-USMCA_Non-China</v>
      </c>
    </row>
    <row r="14056" spans="1:9" x14ac:dyDescent="0.4">
      <c r="A14056" t="s">
        <v>75</v>
      </c>
      <c r="B14056" s="1">
        <v>45809</v>
      </c>
      <c r="C14056">
        <v>850152</v>
      </c>
      <c r="D14056" t="s">
        <v>176</v>
      </c>
      <c r="E14056">
        <v>0</v>
      </c>
      <c r="F14056">
        <v>0</v>
      </c>
      <c r="G14056">
        <v>0</v>
      </c>
      <c r="H14056">
        <f>_xlfn.XLOOKUP(FACT_IMPORTS[[#This Row],[hts_6]],DIM_PRODUCTS[hts_6],DIM_PRODUCTS[hts_4],,,)</f>
        <v>8501</v>
      </c>
      <c r="I14056" t="str" cm="1">
        <f t="array" ref="I14056">_xlfn.XLOOKUP(FACT_IMPORTS[[#This Row],[country_name]],DIM_COUNTRY[[#All],[Column2]],DIM_COUNTRY[[#All],[Column3]],,,)</f>
        <v>Major_Non-USMCA_Non-China</v>
      </c>
    </row>
    <row r="14057" spans="1:9" x14ac:dyDescent="0.4">
      <c r="A14057" t="s">
        <v>75</v>
      </c>
      <c r="B14057" s="1">
        <v>45809</v>
      </c>
      <c r="C14057">
        <v>850153</v>
      </c>
      <c r="D14057" t="s">
        <v>176</v>
      </c>
      <c r="E14057">
        <v>2228</v>
      </c>
      <c r="F14057">
        <v>2</v>
      </c>
      <c r="G14057">
        <v>10</v>
      </c>
      <c r="H14057">
        <f>_xlfn.XLOOKUP(FACT_IMPORTS[[#This Row],[hts_6]],DIM_PRODUCTS[hts_6],DIM_PRODUCTS[hts_4],,,)</f>
        <v>8501</v>
      </c>
      <c r="I14057" t="str" cm="1">
        <f t="array" ref="I14057">_xlfn.XLOOKUP(FACT_IMPORTS[[#This Row],[country_name]],DIM_COUNTRY[[#All],[Column2]],DIM_COUNTRY[[#All],[Column3]],,,)</f>
        <v>Major_Non-USMCA_Non-China</v>
      </c>
    </row>
    <row r="14058" spans="1:9" x14ac:dyDescent="0.4">
      <c r="A14058" t="s">
        <v>75</v>
      </c>
      <c r="B14058" s="1">
        <v>45809</v>
      </c>
      <c r="C14058">
        <v>850161</v>
      </c>
      <c r="D14058" t="s">
        <v>176</v>
      </c>
      <c r="E14058">
        <v>0</v>
      </c>
      <c r="F14058">
        <v>0</v>
      </c>
      <c r="G14058">
        <v>0</v>
      </c>
      <c r="H14058">
        <f>_xlfn.XLOOKUP(FACT_IMPORTS[[#This Row],[hts_6]],DIM_PRODUCTS[hts_6],DIM_PRODUCTS[hts_4],,,)</f>
        <v>8501</v>
      </c>
      <c r="I14058" t="str" cm="1">
        <f t="array" ref="I14058">_xlfn.XLOOKUP(FACT_IMPORTS[[#This Row],[country_name]],DIM_COUNTRY[[#All],[Column2]],DIM_COUNTRY[[#All],[Column3]],,,)</f>
        <v>Major_Non-USMCA_Non-China</v>
      </c>
    </row>
    <row r="14059" spans="1:9" x14ac:dyDescent="0.4">
      <c r="A14059" t="s">
        <v>75</v>
      </c>
      <c r="B14059" s="1">
        <v>45809</v>
      </c>
      <c r="C14059">
        <v>850440</v>
      </c>
      <c r="D14059" t="s">
        <v>176</v>
      </c>
      <c r="E14059">
        <v>293869</v>
      </c>
      <c r="F14059">
        <v>11381</v>
      </c>
      <c r="G14059">
        <v>10147</v>
      </c>
      <c r="H14059">
        <f>_xlfn.XLOOKUP(FACT_IMPORTS[[#This Row],[hts_6]],DIM_PRODUCTS[hts_6],DIM_PRODUCTS[hts_4],,,)</f>
        <v>8504</v>
      </c>
      <c r="I14059" t="str" cm="1">
        <f t="array" ref="I14059">_xlfn.XLOOKUP(FACT_IMPORTS[[#This Row],[country_name]],DIM_COUNTRY[[#All],[Column2]],DIM_COUNTRY[[#All],[Column3]],,,)</f>
        <v>Major_Non-USMCA_Non-China</v>
      </c>
    </row>
    <row r="14060" spans="1:9" x14ac:dyDescent="0.4">
      <c r="A14060" t="s">
        <v>75</v>
      </c>
      <c r="B14060" s="1">
        <v>45809</v>
      </c>
      <c r="C14060">
        <v>850710</v>
      </c>
      <c r="D14060" t="s">
        <v>176</v>
      </c>
      <c r="E14060">
        <v>6848</v>
      </c>
      <c r="F14060">
        <v>93</v>
      </c>
      <c r="G14060">
        <v>2</v>
      </c>
      <c r="H14060">
        <f>_xlfn.XLOOKUP(FACT_IMPORTS[[#This Row],[hts_6]],DIM_PRODUCTS[hts_6],DIM_PRODUCTS[hts_4],,,)</f>
        <v>8507</v>
      </c>
      <c r="I14060" t="str" cm="1">
        <f t="array" ref="I14060">_xlfn.XLOOKUP(FACT_IMPORTS[[#This Row],[country_name]],DIM_COUNTRY[[#All],[Column2]],DIM_COUNTRY[[#All],[Column3]],,,)</f>
        <v>Major_Non-USMCA_Non-China</v>
      </c>
    </row>
    <row r="14061" spans="1:9" x14ac:dyDescent="0.4">
      <c r="A14061" t="s">
        <v>75</v>
      </c>
      <c r="B14061" s="1">
        <v>45809</v>
      </c>
      <c r="C14061">
        <v>850760</v>
      </c>
      <c r="D14061" t="s">
        <v>176</v>
      </c>
      <c r="E14061">
        <v>175319</v>
      </c>
      <c r="F14061">
        <v>3520</v>
      </c>
      <c r="G14061">
        <v>1556</v>
      </c>
      <c r="H14061">
        <f>_xlfn.XLOOKUP(FACT_IMPORTS[[#This Row],[hts_6]],DIM_PRODUCTS[hts_6],DIM_PRODUCTS[hts_4],,,)</f>
        <v>8507</v>
      </c>
      <c r="I14061" t="str" cm="1">
        <f t="array" ref="I14061">_xlfn.XLOOKUP(FACT_IMPORTS[[#This Row],[country_name]],DIM_COUNTRY[[#All],[Column2]],DIM_COUNTRY[[#All],[Column3]],,,)</f>
        <v>Major_Non-USMCA_Non-China</v>
      </c>
    </row>
    <row r="14062" spans="1:9" x14ac:dyDescent="0.4">
      <c r="A14062" t="s">
        <v>75</v>
      </c>
      <c r="B14062" s="1">
        <v>45809</v>
      </c>
      <c r="C14062">
        <v>851120</v>
      </c>
      <c r="D14062" t="s">
        <v>176</v>
      </c>
      <c r="E14062">
        <v>0</v>
      </c>
      <c r="F14062">
        <v>0</v>
      </c>
      <c r="G14062">
        <v>0</v>
      </c>
      <c r="H14062">
        <f>_xlfn.XLOOKUP(FACT_IMPORTS[[#This Row],[hts_6]],DIM_PRODUCTS[hts_6],DIM_PRODUCTS[hts_4],,,)</f>
        <v>8511</v>
      </c>
      <c r="I14062" t="str" cm="1">
        <f t="array" ref="I14062">_xlfn.XLOOKUP(FACT_IMPORTS[[#This Row],[country_name]],DIM_COUNTRY[[#All],[Column2]],DIM_COUNTRY[[#All],[Column3]],,,)</f>
        <v>Major_Non-USMCA_Non-China</v>
      </c>
    </row>
    <row r="14063" spans="1:9" x14ac:dyDescent="0.4">
      <c r="A14063" t="s">
        <v>75</v>
      </c>
      <c r="B14063" s="1">
        <v>45809</v>
      </c>
      <c r="C14063">
        <v>851140</v>
      </c>
      <c r="D14063" t="s">
        <v>176</v>
      </c>
      <c r="E14063">
        <v>21003</v>
      </c>
      <c r="F14063">
        <v>193</v>
      </c>
      <c r="G14063">
        <v>8</v>
      </c>
      <c r="H14063">
        <f>_xlfn.XLOOKUP(FACT_IMPORTS[[#This Row],[hts_6]],DIM_PRODUCTS[hts_6],DIM_PRODUCTS[hts_4],,,)</f>
        <v>8511</v>
      </c>
      <c r="I14063" t="str" cm="1">
        <f t="array" ref="I14063">_xlfn.XLOOKUP(FACT_IMPORTS[[#This Row],[country_name]],DIM_COUNTRY[[#All],[Column2]],DIM_COUNTRY[[#All],[Column3]],,,)</f>
        <v>Major_Non-USMCA_Non-China</v>
      </c>
    </row>
    <row r="14064" spans="1:9" x14ac:dyDescent="0.4">
      <c r="A14064" t="s">
        <v>75</v>
      </c>
      <c r="B14064" s="1">
        <v>45809</v>
      </c>
      <c r="C14064">
        <v>851150</v>
      </c>
      <c r="D14064" t="s">
        <v>176</v>
      </c>
      <c r="E14064">
        <v>5975</v>
      </c>
      <c r="F14064">
        <v>7</v>
      </c>
      <c r="G14064">
        <v>24</v>
      </c>
      <c r="H14064">
        <f>_xlfn.XLOOKUP(FACT_IMPORTS[[#This Row],[hts_6]],DIM_PRODUCTS[hts_6],DIM_PRODUCTS[hts_4],,,)</f>
        <v>8511</v>
      </c>
      <c r="I14064" t="str" cm="1">
        <f t="array" ref="I14064">_xlfn.XLOOKUP(FACT_IMPORTS[[#This Row],[country_name]],DIM_COUNTRY[[#All],[Column2]],DIM_COUNTRY[[#All],[Column3]],,,)</f>
        <v>Major_Non-USMCA_Non-China</v>
      </c>
    </row>
    <row r="14065" spans="1:9" x14ac:dyDescent="0.4">
      <c r="A14065" t="s">
        <v>75</v>
      </c>
      <c r="B14065" s="1">
        <v>45809</v>
      </c>
      <c r="C14065">
        <v>851190</v>
      </c>
      <c r="D14065" t="s">
        <v>176</v>
      </c>
      <c r="E14065">
        <v>5021</v>
      </c>
      <c r="F14065">
        <v>172</v>
      </c>
      <c r="G14065">
        <v>220</v>
      </c>
      <c r="H14065">
        <f>_xlfn.XLOOKUP(FACT_IMPORTS[[#This Row],[hts_6]],DIM_PRODUCTS[hts_6],DIM_PRODUCTS[hts_4],,,)</f>
        <v>8511</v>
      </c>
      <c r="I14065" t="str" cm="1">
        <f t="array" ref="I14065">_xlfn.XLOOKUP(FACT_IMPORTS[[#This Row],[country_name]],DIM_COUNTRY[[#All],[Column2]],DIM_COUNTRY[[#All],[Column3]],,,)</f>
        <v>Major_Non-USMCA_Non-China</v>
      </c>
    </row>
    <row r="14066" spans="1:9" x14ac:dyDescent="0.4">
      <c r="A14066" t="s">
        <v>75</v>
      </c>
      <c r="B14066" s="1">
        <v>45809</v>
      </c>
      <c r="C14066">
        <v>851220</v>
      </c>
      <c r="D14066" t="s">
        <v>176</v>
      </c>
      <c r="E14066">
        <v>2591256</v>
      </c>
      <c r="F14066">
        <v>515989</v>
      </c>
      <c r="G14066">
        <v>43141</v>
      </c>
      <c r="H14066">
        <f>_xlfn.XLOOKUP(FACT_IMPORTS[[#This Row],[hts_6]],DIM_PRODUCTS[hts_6],DIM_PRODUCTS[hts_4],,,)</f>
        <v>8512</v>
      </c>
      <c r="I14066" t="str" cm="1">
        <f t="array" ref="I14066">_xlfn.XLOOKUP(FACT_IMPORTS[[#This Row],[country_name]],DIM_COUNTRY[[#All],[Column2]],DIM_COUNTRY[[#All],[Column3]],,,)</f>
        <v>Major_Non-USMCA_Non-China</v>
      </c>
    </row>
    <row r="14067" spans="1:9" x14ac:dyDescent="0.4">
      <c r="A14067" t="s">
        <v>75</v>
      </c>
      <c r="B14067" s="1">
        <v>45809</v>
      </c>
      <c r="C14067">
        <v>851230</v>
      </c>
      <c r="D14067" t="s">
        <v>176</v>
      </c>
      <c r="E14067">
        <v>0</v>
      </c>
      <c r="F14067">
        <v>0</v>
      </c>
      <c r="G14067">
        <v>0</v>
      </c>
      <c r="H14067">
        <f>_xlfn.XLOOKUP(FACT_IMPORTS[[#This Row],[hts_6]],DIM_PRODUCTS[hts_6],DIM_PRODUCTS[hts_4],,,)</f>
        <v>8512</v>
      </c>
      <c r="I14067" t="str" cm="1">
        <f t="array" ref="I14067">_xlfn.XLOOKUP(FACT_IMPORTS[[#This Row],[country_name]],DIM_COUNTRY[[#All],[Column2]],DIM_COUNTRY[[#All],[Column3]],,,)</f>
        <v>Major_Non-USMCA_Non-China</v>
      </c>
    </row>
    <row r="14068" spans="1:9" x14ac:dyDescent="0.4">
      <c r="A14068" t="s">
        <v>75</v>
      </c>
      <c r="B14068" s="1">
        <v>45809</v>
      </c>
      <c r="C14068">
        <v>851290</v>
      </c>
      <c r="D14068" t="s">
        <v>176</v>
      </c>
      <c r="E14068">
        <v>1298779</v>
      </c>
      <c r="F14068">
        <v>21642</v>
      </c>
      <c r="G14068">
        <v>17707</v>
      </c>
      <c r="H14068">
        <f>_xlfn.XLOOKUP(FACT_IMPORTS[[#This Row],[hts_6]],DIM_PRODUCTS[hts_6],DIM_PRODUCTS[hts_4],,,)</f>
        <v>8512</v>
      </c>
      <c r="I14068" t="str" cm="1">
        <f t="array" ref="I14068">_xlfn.XLOOKUP(FACT_IMPORTS[[#This Row],[country_name]],DIM_COUNTRY[[#All],[Column2]],DIM_COUNTRY[[#All],[Column3]],,,)</f>
        <v>Major_Non-USMCA_Non-China</v>
      </c>
    </row>
    <row r="14069" spans="1:9" x14ac:dyDescent="0.4">
      <c r="A14069" t="s">
        <v>75</v>
      </c>
      <c r="B14069" s="1">
        <v>45809</v>
      </c>
      <c r="C14069">
        <v>854231</v>
      </c>
      <c r="D14069" t="s">
        <v>176</v>
      </c>
      <c r="E14069">
        <v>7068544</v>
      </c>
      <c r="F14069">
        <v>813186</v>
      </c>
      <c r="G14069">
        <v>35256</v>
      </c>
      <c r="H14069">
        <f>_xlfn.XLOOKUP(FACT_IMPORTS[[#This Row],[hts_6]],DIM_PRODUCTS[hts_6],DIM_PRODUCTS[hts_4],,,)</f>
        <v>8542</v>
      </c>
      <c r="I14069" t="str" cm="1">
        <f t="array" ref="I14069">_xlfn.XLOOKUP(FACT_IMPORTS[[#This Row],[country_name]],DIM_COUNTRY[[#All],[Column2]],DIM_COUNTRY[[#All],[Column3]],,,)</f>
        <v>Major_Non-USMCA_Non-China</v>
      </c>
    </row>
    <row r="14070" spans="1:9" x14ac:dyDescent="0.4">
      <c r="A14070" t="s">
        <v>75</v>
      </c>
      <c r="B14070" s="1">
        <v>45809</v>
      </c>
      <c r="C14070">
        <v>854232</v>
      </c>
      <c r="D14070" t="s">
        <v>176</v>
      </c>
      <c r="E14070">
        <v>194425</v>
      </c>
      <c r="F14070">
        <v>177132</v>
      </c>
      <c r="G14070">
        <v>18899</v>
      </c>
      <c r="H14070">
        <f>_xlfn.XLOOKUP(FACT_IMPORTS[[#This Row],[hts_6]],DIM_PRODUCTS[hts_6],DIM_PRODUCTS[hts_4],,,)</f>
        <v>8542</v>
      </c>
      <c r="I14070" t="str" cm="1">
        <f t="array" ref="I14070">_xlfn.XLOOKUP(FACT_IMPORTS[[#This Row],[country_name]],DIM_COUNTRY[[#All],[Column2]],DIM_COUNTRY[[#All],[Column3]],,,)</f>
        <v>Major_Non-USMCA_Non-China</v>
      </c>
    </row>
    <row r="14071" spans="1:9" x14ac:dyDescent="0.4">
      <c r="A14071" t="s">
        <v>75</v>
      </c>
      <c r="B14071" s="1">
        <v>45809</v>
      </c>
      <c r="C14071">
        <v>854233</v>
      </c>
      <c r="D14071" t="s">
        <v>176</v>
      </c>
      <c r="E14071">
        <v>0</v>
      </c>
      <c r="F14071">
        <v>0</v>
      </c>
      <c r="G14071">
        <v>0</v>
      </c>
      <c r="H14071">
        <f>_xlfn.XLOOKUP(FACT_IMPORTS[[#This Row],[hts_6]],DIM_PRODUCTS[hts_6],DIM_PRODUCTS[hts_4],,,)</f>
        <v>8542</v>
      </c>
      <c r="I14071" t="str" cm="1">
        <f t="array" ref="I14071">_xlfn.XLOOKUP(FACT_IMPORTS[[#This Row],[country_name]],DIM_COUNTRY[[#All],[Column2]],DIM_COUNTRY[[#All],[Column3]],,,)</f>
        <v>Major_Non-USMCA_Non-China</v>
      </c>
    </row>
    <row r="14072" spans="1:9" x14ac:dyDescent="0.4">
      <c r="A14072" t="s">
        <v>75</v>
      </c>
      <c r="B14072" s="1">
        <v>45809</v>
      </c>
      <c r="C14072">
        <v>854239</v>
      </c>
      <c r="D14072" t="s">
        <v>176</v>
      </c>
      <c r="E14072">
        <v>813511</v>
      </c>
      <c r="F14072">
        <v>57700</v>
      </c>
      <c r="G14072">
        <v>81353</v>
      </c>
      <c r="H14072">
        <f>_xlfn.XLOOKUP(FACT_IMPORTS[[#This Row],[hts_6]],DIM_PRODUCTS[hts_6],DIM_PRODUCTS[hts_4],,,)</f>
        <v>8542</v>
      </c>
      <c r="I14072" t="str" cm="1">
        <f t="array" ref="I14072">_xlfn.XLOOKUP(FACT_IMPORTS[[#This Row],[country_name]],DIM_COUNTRY[[#All],[Column2]],DIM_COUNTRY[[#All],[Column3]],,,)</f>
        <v>Major_Non-USMCA_Non-China</v>
      </c>
    </row>
    <row r="14073" spans="1:9" x14ac:dyDescent="0.4">
      <c r="A14073" t="s">
        <v>75</v>
      </c>
      <c r="B14073" s="1">
        <v>45809</v>
      </c>
      <c r="C14073">
        <v>854290</v>
      </c>
      <c r="D14073" t="s">
        <v>176</v>
      </c>
      <c r="E14073">
        <v>3040</v>
      </c>
      <c r="F14073">
        <v>4000</v>
      </c>
      <c r="G14073">
        <v>304</v>
      </c>
      <c r="H14073">
        <f>_xlfn.XLOOKUP(FACT_IMPORTS[[#This Row],[hts_6]],DIM_PRODUCTS[hts_6],DIM_PRODUCTS[hts_4],,,)</f>
        <v>8542</v>
      </c>
      <c r="I14073" t="str" cm="1">
        <f t="array" ref="I14073">_xlfn.XLOOKUP(FACT_IMPORTS[[#This Row],[country_name]],DIM_COUNTRY[[#All],[Column2]],DIM_COUNTRY[[#All],[Column3]],,,)</f>
        <v>Major_Non-USMCA_Non-China</v>
      </c>
    </row>
    <row r="14074" spans="1:9" x14ac:dyDescent="0.4">
      <c r="A14074" t="s">
        <v>75</v>
      </c>
      <c r="B14074" s="1">
        <v>45809</v>
      </c>
      <c r="C14074">
        <v>854430</v>
      </c>
      <c r="D14074" t="s">
        <v>176</v>
      </c>
      <c r="E14074">
        <v>0</v>
      </c>
      <c r="F14074">
        <v>0</v>
      </c>
      <c r="G14074">
        <v>0</v>
      </c>
      <c r="H14074">
        <f>_xlfn.XLOOKUP(FACT_IMPORTS[[#This Row],[hts_6]],DIM_PRODUCTS[hts_6],DIM_PRODUCTS[hts_4],,,)</f>
        <v>8544</v>
      </c>
      <c r="I14074" t="str" cm="1">
        <f t="array" ref="I14074">_xlfn.XLOOKUP(FACT_IMPORTS[[#This Row],[country_name]],DIM_COUNTRY[[#All],[Column2]],DIM_COUNTRY[[#All],[Column3]],,,)</f>
        <v>Major_Non-USMCA_Non-China</v>
      </c>
    </row>
    <row r="14075" spans="1:9" x14ac:dyDescent="0.4">
      <c r="A14075" t="s">
        <v>75</v>
      </c>
      <c r="B14075" s="1">
        <v>45809</v>
      </c>
      <c r="C14075">
        <v>870810</v>
      </c>
      <c r="D14075" t="s">
        <v>176</v>
      </c>
      <c r="E14075">
        <v>187937</v>
      </c>
      <c r="F14075">
        <v>7125</v>
      </c>
      <c r="G14075">
        <v>41808</v>
      </c>
      <c r="H14075">
        <f>_xlfn.XLOOKUP(FACT_IMPORTS[[#This Row],[hts_6]],DIM_PRODUCTS[hts_6],DIM_PRODUCTS[hts_4],,,)</f>
        <v>8708</v>
      </c>
      <c r="I14075" t="str" cm="1">
        <f t="array" ref="I14075">_xlfn.XLOOKUP(FACT_IMPORTS[[#This Row],[country_name]],DIM_COUNTRY[[#All],[Column2]],DIM_COUNTRY[[#All],[Column3]],,,)</f>
        <v>Major_Non-USMCA_Non-China</v>
      </c>
    </row>
    <row r="14076" spans="1:9" x14ac:dyDescent="0.4">
      <c r="A14076" t="s">
        <v>75</v>
      </c>
      <c r="B14076" s="1">
        <v>45809</v>
      </c>
      <c r="C14076">
        <v>870829</v>
      </c>
      <c r="D14076" t="s">
        <v>176</v>
      </c>
      <c r="E14076">
        <v>636273</v>
      </c>
      <c r="F14076">
        <v>110091</v>
      </c>
      <c r="G14076">
        <v>32008</v>
      </c>
      <c r="H14076">
        <f>_xlfn.XLOOKUP(FACT_IMPORTS[[#This Row],[hts_6]],DIM_PRODUCTS[hts_6],DIM_PRODUCTS[hts_4],,,)</f>
        <v>8708</v>
      </c>
      <c r="I14076" t="str" cm="1">
        <f t="array" ref="I14076">_xlfn.XLOOKUP(FACT_IMPORTS[[#This Row],[country_name]],DIM_COUNTRY[[#All],[Column2]],DIM_COUNTRY[[#All],[Column3]],,,)</f>
        <v>Major_Non-USMCA_Non-China</v>
      </c>
    </row>
    <row r="14077" spans="1:9" x14ac:dyDescent="0.4">
      <c r="A14077" t="s">
        <v>75</v>
      </c>
      <c r="B14077" s="1">
        <v>45809</v>
      </c>
      <c r="C14077">
        <v>870830</v>
      </c>
      <c r="D14077" t="s">
        <v>176</v>
      </c>
      <c r="E14077">
        <v>2071</v>
      </c>
      <c r="F14077">
        <v>129</v>
      </c>
      <c r="G14077">
        <v>2</v>
      </c>
      <c r="H14077">
        <f>_xlfn.XLOOKUP(FACT_IMPORTS[[#This Row],[hts_6]],DIM_PRODUCTS[hts_6],DIM_PRODUCTS[hts_4],,,)</f>
        <v>8708</v>
      </c>
      <c r="I14077" t="str" cm="1">
        <f t="array" ref="I14077">_xlfn.XLOOKUP(FACT_IMPORTS[[#This Row],[country_name]],DIM_COUNTRY[[#All],[Column2]],DIM_COUNTRY[[#All],[Column3]],,,)</f>
        <v>Major_Non-USMCA_Non-China</v>
      </c>
    </row>
    <row r="14078" spans="1:9" x14ac:dyDescent="0.4">
      <c r="A14078" t="s">
        <v>75</v>
      </c>
      <c r="B14078" s="1">
        <v>45809</v>
      </c>
      <c r="C14078">
        <v>870840</v>
      </c>
      <c r="D14078" t="s">
        <v>176</v>
      </c>
      <c r="E14078">
        <v>374420</v>
      </c>
      <c r="F14078">
        <v>53560</v>
      </c>
      <c r="G14078">
        <v>8293</v>
      </c>
      <c r="H14078">
        <f>_xlfn.XLOOKUP(FACT_IMPORTS[[#This Row],[hts_6]],DIM_PRODUCTS[hts_6],DIM_PRODUCTS[hts_4],,,)</f>
        <v>8708</v>
      </c>
      <c r="I14078" t="str" cm="1">
        <f t="array" ref="I14078">_xlfn.XLOOKUP(FACT_IMPORTS[[#This Row],[country_name]],DIM_COUNTRY[[#All],[Column2]],DIM_COUNTRY[[#All],[Column3]],,,)</f>
        <v>Major_Non-USMCA_Non-China</v>
      </c>
    </row>
    <row r="14079" spans="1:9" x14ac:dyDescent="0.4">
      <c r="A14079" t="s">
        <v>75</v>
      </c>
      <c r="B14079" s="1">
        <v>45809</v>
      </c>
      <c r="C14079">
        <v>870850</v>
      </c>
      <c r="D14079" t="s">
        <v>176</v>
      </c>
      <c r="E14079">
        <v>114124</v>
      </c>
      <c r="F14079">
        <v>33075</v>
      </c>
      <c r="G14079">
        <v>6236</v>
      </c>
      <c r="H14079">
        <f>_xlfn.XLOOKUP(FACT_IMPORTS[[#This Row],[hts_6]],DIM_PRODUCTS[hts_6],DIM_PRODUCTS[hts_4],,,)</f>
        <v>8708</v>
      </c>
      <c r="I14079" t="str" cm="1">
        <f t="array" ref="I14079">_xlfn.XLOOKUP(FACT_IMPORTS[[#This Row],[country_name]],DIM_COUNTRY[[#All],[Column2]],DIM_COUNTRY[[#All],[Column3]],,,)</f>
        <v>Major_Non-USMCA_Non-China</v>
      </c>
    </row>
    <row r="14080" spans="1:9" x14ac:dyDescent="0.4">
      <c r="A14080" t="s">
        <v>75</v>
      </c>
      <c r="B14080" s="1">
        <v>45809</v>
      </c>
      <c r="C14080">
        <v>870870</v>
      </c>
      <c r="D14080" t="s">
        <v>176</v>
      </c>
      <c r="E14080">
        <v>565782</v>
      </c>
      <c r="F14080">
        <v>1916</v>
      </c>
      <c r="G14080">
        <v>6000</v>
      </c>
      <c r="H14080">
        <f>_xlfn.XLOOKUP(FACT_IMPORTS[[#This Row],[hts_6]],DIM_PRODUCTS[hts_6],DIM_PRODUCTS[hts_4],,,)</f>
        <v>8708</v>
      </c>
      <c r="I14080" t="str" cm="1">
        <f t="array" ref="I14080">_xlfn.XLOOKUP(FACT_IMPORTS[[#This Row],[country_name]],DIM_COUNTRY[[#All],[Column2]],DIM_COUNTRY[[#All],[Column3]],,,)</f>
        <v>Major_Non-USMCA_Non-China</v>
      </c>
    </row>
    <row r="14081" spans="1:9" x14ac:dyDescent="0.4">
      <c r="A14081" t="s">
        <v>75</v>
      </c>
      <c r="B14081" s="1">
        <v>45809</v>
      </c>
      <c r="C14081">
        <v>870880</v>
      </c>
      <c r="D14081" t="s">
        <v>176</v>
      </c>
      <c r="E14081">
        <v>437481</v>
      </c>
      <c r="F14081">
        <v>50894</v>
      </c>
      <c r="G14081">
        <v>4500</v>
      </c>
      <c r="H14081">
        <f>_xlfn.XLOOKUP(FACT_IMPORTS[[#This Row],[hts_6]],DIM_PRODUCTS[hts_6],DIM_PRODUCTS[hts_4],,,)</f>
        <v>8708</v>
      </c>
      <c r="I14081" t="str" cm="1">
        <f t="array" ref="I14081">_xlfn.XLOOKUP(FACT_IMPORTS[[#This Row],[country_name]],DIM_COUNTRY[[#All],[Column2]],DIM_COUNTRY[[#All],[Column3]],,,)</f>
        <v>Major_Non-USMCA_Non-China</v>
      </c>
    </row>
    <row r="14082" spans="1:9" x14ac:dyDescent="0.4">
      <c r="A14082" t="s">
        <v>75</v>
      </c>
      <c r="B14082" s="1">
        <v>45809</v>
      </c>
      <c r="C14082">
        <v>870891</v>
      </c>
      <c r="D14082" t="s">
        <v>176</v>
      </c>
      <c r="E14082">
        <v>50570</v>
      </c>
      <c r="F14082">
        <v>43496</v>
      </c>
      <c r="G14082">
        <v>4938</v>
      </c>
      <c r="H14082">
        <f>_xlfn.XLOOKUP(FACT_IMPORTS[[#This Row],[hts_6]],DIM_PRODUCTS[hts_6],DIM_PRODUCTS[hts_4],,,)</f>
        <v>8708</v>
      </c>
      <c r="I14082" t="str" cm="1">
        <f t="array" ref="I14082">_xlfn.XLOOKUP(FACT_IMPORTS[[#This Row],[country_name]],DIM_COUNTRY[[#All],[Column2]],DIM_COUNTRY[[#All],[Column3]],,,)</f>
        <v>Major_Non-USMCA_Non-China</v>
      </c>
    </row>
    <row r="14083" spans="1:9" x14ac:dyDescent="0.4">
      <c r="A14083" t="s">
        <v>75</v>
      </c>
      <c r="B14083" s="1">
        <v>45809</v>
      </c>
      <c r="C14083">
        <v>870892</v>
      </c>
      <c r="D14083" t="s">
        <v>176</v>
      </c>
      <c r="E14083">
        <v>67076</v>
      </c>
      <c r="F14083">
        <v>72008</v>
      </c>
      <c r="G14083">
        <v>13146</v>
      </c>
      <c r="H14083">
        <f>_xlfn.XLOOKUP(FACT_IMPORTS[[#This Row],[hts_6]],DIM_PRODUCTS[hts_6],DIM_PRODUCTS[hts_4],,,)</f>
        <v>8708</v>
      </c>
      <c r="I14083" t="str" cm="1">
        <f t="array" ref="I14083">_xlfn.XLOOKUP(FACT_IMPORTS[[#This Row],[country_name]],DIM_COUNTRY[[#All],[Column2]],DIM_COUNTRY[[#All],[Column3]],,,)</f>
        <v>Major_Non-USMCA_Non-China</v>
      </c>
    </row>
    <row r="14084" spans="1:9" x14ac:dyDescent="0.4">
      <c r="A14084" t="s">
        <v>75</v>
      </c>
      <c r="B14084" s="1">
        <v>45809</v>
      </c>
      <c r="C14084">
        <v>870893</v>
      </c>
      <c r="D14084" t="s">
        <v>176</v>
      </c>
      <c r="E14084">
        <v>71123</v>
      </c>
      <c r="F14084">
        <v>1357</v>
      </c>
      <c r="G14084">
        <v>69</v>
      </c>
      <c r="H14084">
        <f>_xlfn.XLOOKUP(FACT_IMPORTS[[#This Row],[hts_6]],DIM_PRODUCTS[hts_6],DIM_PRODUCTS[hts_4],,,)</f>
        <v>8708</v>
      </c>
      <c r="I14084" t="str" cm="1">
        <f t="array" ref="I14084">_xlfn.XLOOKUP(FACT_IMPORTS[[#This Row],[country_name]],DIM_COUNTRY[[#All],[Column2]],DIM_COUNTRY[[#All],[Column3]],,,)</f>
        <v>Major_Non-USMCA_Non-China</v>
      </c>
    </row>
    <row r="14085" spans="1:9" x14ac:dyDescent="0.4">
      <c r="A14085" t="s">
        <v>75</v>
      </c>
      <c r="B14085" s="1">
        <v>45809</v>
      </c>
      <c r="C14085">
        <v>870894</v>
      </c>
      <c r="D14085" t="s">
        <v>176</v>
      </c>
      <c r="E14085">
        <v>38437</v>
      </c>
      <c r="F14085">
        <v>15009</v>
      </c>
      <c r="G14085">
        <v>1029</v>
      </c>
      <c r="H14085">
        <f>_xlfn.XLOOKUP(FACT_IMPORTS[[#This Row],[hts_6]],DIM_PRODUCTS[hts_6],DIM_PRODUCTS[hts_4],,,)</f>
        <v>8708</v>
      </c>
      <c r="I14085" t="str" cm="1">
        <f t="array" ref="I14085">_xlfn.XLOOKUP(FACT_IMPORTS[[#This Row],[country_name]],DIM_COUNTRY[[#All],[Column2]],DIM_COUNTRY[[#All],[Column3]],,,)</f>
        <v>Major_Non-USMCA_Non-China</v>
      </c>
    </row>
    <row r="14086" spans="1:9" x14ac:dyDescent="0.4">
      <c r="A14086" t="s">
        <v>75</v>
      </c>
      <c r="B14086" s="1">
        <v>45809</v>
      </c>
      <c r="C14086">
        <v>870899</v>
      </c>
      <c r="D14086" t="s">
        <v>176</v>
      </c>
      <c r="E14086">
        <v>1401064</v>
      </c>
      <c r="F14086">
        <v>995019</v>
      </c>
      <c r="G14086">
        <v>35052</v>
      </c>
      <c r="H14086">
        <f>_xlfn.XLOOKUP(FACT_IMPORTS[[#This Row],[hts_6]],DIM_PRODUCTS[hts_6],DIM_PRODUCTS[hts_4],,,)</f>
        <v>8708</v>
      </c>
      <c r="I14086" t="str" cm="1">
        <f t="array" ref="I14086">_xlfn.XLOOKUP(FACT_IMPORTS[[#This Row],[country_name]],DIM_COUNTRY[[#All],[Column2]],DIM_COUNTRY[[#All],[Column3]],,,)</f>
        <v>Major_Non-USMCA_Non-China</v>
      </c>
    </row>
    <row r="14087" spans="1:9" x14ac:dyDescent="0.4">
      <c r="A14087" t="s">
        <v>75</v>
      </c>
      <c r="B14087" s="1">
        <v>45809</v>
      </c>
      <c r="C14087">
        <v>940120</v>
      </c>
      <c r="D14087" t="s">
        <v>176</v>
      </c>
      <c r="E14087">
        <v>0</v>
      </c>
      <c r="F14087">
        <v>0</v>
      </c>
      <c r="G14087">
        <v>0</v>
      </c>
      <c r="H14087">
        <f>_xlfn.XLOOKUP(FACT_IMPORTS[[#This Row],[hts_6]],DIM_PRODUCTS[hts_6],DIM_PRODUCTS[hts_4],,,)</f>
        <v>9401</v>
      </c>
      <c r="I14087" t="str" cm="1">
        <f t="array" ref="I14087">_xlfn.XLOOKUP(FACT_IMPORTS[[#This Row],[country_name]],DIM_COUNTRY[[#All],[Column2]],DIM_COUNTRY[[#All],[Column3]],,,)</f>
        <v>Major_Non-USMCA_Non-China</v>
      </c>
    </row>
    <row r="14088" spans="1:9" x14ac:dyDescent="0.4">
      <c r="A14088" t="s">
        <v>75</v>
      </c>
      <c r="B14088" s="1">
        <v>45839</v>
      </c>
      <c r="C14088">
        <v>392630</v>
      </c>
      <c r="D14088" t="s">
        <v>176</v>
      </c>
      <c r="E14088">
        <v>75274</v>
      </c>
      <c r="F14088">
        <v>10540</v>
      </c>
      <c r="G14088">
        <v>3709</v>
      </c>
      <c r="H14088">
        <f>_xlfn.XLOOKUP(FACT_IMPORTS[[#This Row],[hts_6]],DIM_PRODUCTS[hts_6],DIM_PRODUCTS[hts_4],,,)</f>
        <v>3926</v>
      </c>
      <c r="I14088" t="str" cm="1">
        <f t="array" ref="I14088">_xlfn.XLOOKUP(FACT_IMPORTS[[#This Row],[country_name]],DIM_COUNTRY[[#All],[Column2]],DIM_COUNTRY[[#All],[Column3]],,,)</f>
        <v>Major_Non-USMCA_Non-China</v>
      </c>
    </row>
    <row r="14089" spans="1:9" x14ac:dyDescent="0.4">
      <c r="A14089" t="s">
        <v>75</v>
      </c>
      <c r="B14089" s="1">
        <v>45839</v>
      </c>
      <c r="C14089">
        <v>401110</v>
      </c>
      <c r="D14089" t="s">
        <v>176</v>
      </c>
      <c r="E14089">
        <v>1317</v>
      </c>
      <c r="F14089">
        <v>120</v>
      </c>
      <c r="G14089">
        <v>110</v>
      </c>
      <c r="H14089">
        <f>_xlfn.XLOOKUP(FACT_IMPORTS[[#This Row],[hts_6]],DIM_PRODUCTS[hts_6],DIM_PRODUCTS[hts_4],,,)</f>
        <v>4011</v>
      </c>
      <c r="I14089" t="str" cm="1">
        <f t="array" ref="I14089">_xlfn.XLOOKUP(FACT_IMPORTS[[#This Row],[country_name]],DIM_COUNTRY[[#All],[Column2]],DIM_COUNTRY[[#All],[Column3]],,,)</f>
        <v>Major_Non-USMCA_Non-China</v>
      </c>
    </row>
    <row r="14090" spans="1:9" x14ac:dyDescent="0.4">
      <c r="A14090" t="s">
        <v>75</v>
      </c>
      <c r="B14090" s="1">
        <v>45839</v>
      </c>
      <c r="C14090">
        <v>401190</v>
      </c>
      <c r="D14090" t="s">
        <v>176</v>
      </c>
      <c r="E14090">
        <v>8525</v>
      </c>
      <c r="F14090">
        <v>80</v>
      </c>
      <c r="G14090">
        <v>18</v>
      </c>
      <c r="H14090">
        <f>_xlfn.XLOOKUP(FACT_IMPORTS[[#This Row],[hts_6]],DIM_PRODUCTS[hts_6],DIM_PRODUCTS[hts_4],,,)</f>
        <v>4011</v>
      </c>
      <c r="I14090" t="str" cm="1">
        <f t="array" ref="I14090">_xlfn.XLOOKUP(FACT_IMPORTS[[#This Row],[country_name]],DIM_COUNTRY[[#All],[Column2]],DIM_COUNTRY[[#All],[Column3]],,,)</f>
        <v>Major_Non-USMCA_Non-China</v>
      </c>
    </row>
    <row r="14091" spans="1:9" x14ac:dyDescent="0.4">
      <c r="A14091" t="s">
        <v>75</v>
      </c>
      <c r="B14091" s="1">
        <v>45839</v>
      </c>
      <c r="C14091">
        <v>700721</v>
      </c>
      <c r="D14091" t="s">
        <v>176</v>
      </c>
      <c r="E14091">
        <v>20800</v>
      </c>
      <c r="F14091">
        <v>9</v>
      </c>
      <c r="G14091">
        <v>1</v>
      </c>
      <c r="H14091">
        <f>_xlfn.XLOOKUP(FACT_IMPORTS[[#This Row],[hts_6]],DIM_PRODUCTS[hts_6],DIM_PRODUCTS[hts_4],,,)</f>
        <v>7007</v>
      </c>
      <c r="I14091" t="str" cm="1">
        <f t="array" ref="I14091">_xlfn.XLOOKUP(FACT_IMPORTS[[#This Row],[country_name]],DIM_COUNTRY[[#All],[Column2]],DIM_COUNTRY[[#All],[Column3]],,,)</f>
        <v>Major_Non-USMCA_Non-China</v>
      </c>
    </row>
    <row r="14092" spans="1:9" x14ac:dyDescent="0.4">
      <c r="A14092" t="s">
        <v>75</v>
      </c>
      <c r="B14092" s="1">
        <v>45839</v>
      </c>
      <c r="C14092">
        <v>700910</v>
      </c>
      <c r="D14092" t="s">
        <v>176</v>
      </c>
      <c r="E14092">
        <v>46321</v>
      </c>
      <c r="F14092">
        <v>8780</v>
      </c>
      <c r="G14092">
        <v>1670</v>
      </c>
      <c r="H14092">
        <f>_xlfn.XLOOKUP(FACT_IMPORTS[[#This Row],[hts_6]],DIM_PRODUCTS[hts_6],DIM_PRODUCTS[hts_4],,,)</f>
        <v>7009</v>
      </c>
      <c r="I14092" t="str" cm="1">
        <f t="array" ref="I14092">_xlfn.XLOOKUP(FACT_IMPORTS[[#This Row],[country_name]],DIM_COUNTRY[[#All],[Column2]],DIM_COUNTRY[[#All],[Column3]],,,)</f>
        <v>Major_Non-USMCA_Non-China</v>
      </c>
    </row>
    <row r="14093" spans="1:9" x14ac:dyDescent="0.4">
      <c r="A14093" t="s">
        <v>75</v>
      </c>
      <c r="B14093" s="1">
        <v>45839</v>
      </c>
      <c r="C14093">
        <v>830230</v>
      </c>
      <c r="D14093" t="s">
        <v>176</v>
      </c>
      <c r="E14093">
        <v>62022</v>
      </c>
      <c r="F14093">
        <v>3808</v>
      </c>
      <c r="G14093">
        <v>2516</v>
      </c>
      <c r="H14093">
        <f>_xlfn.XLOOKUP(FACT_IMPORTS[[#This Row],[hts_6]],DIM_PRODUCTS[hts_6],DIM_PRODUCTS[hts_4],,,)</f>
        <v>8302</v>
      </c>
      <c r="I14093" t="str" cm="1">
        <f t="array" ref="I14093">_xlfn.XLOOKUP(FACT_IMPORTS[[#This Row],[country_name]],DIM_COUNTRY[[#All],[Column2]],DIM_COUNTRY[[#All],[Column3]],,,)</f>
        <v>Major_Non-USMCA_Non-China</v>
      </c>
    </row>
    <row r="14094" spans="1:9" x14ac:dyDescent="0.4">
      <c r="A14094" t="s">
        <v>75</v>
      </c>
      <c r="B14094" s="1">
        <v>45839</v>
      </c>
      <c r="C14094">
        <v>840733</v>
      </c>
      <c r="D14094" t="s">
        <v>176</v>
      </c>
      <c r="E14094">
        <v>0</v>
      </c>
      <c r="F14094">
        <v>0</v>
      </c>
      <c r="G14094">
        <v>0</v>
      </c>
      <c r="H14094">
        <f>_xlfn.XLOOKUP(FACT_IMPORTS[[#This Row],[hts_6]],DIM_PRODUCTS[hts_6],DIM_PRODUCTS[hts_4],,,)</f>
        <v>8407</v>
      </c>
      <c r="I14094" t="str" cm="1">
        <f t="array" ref="I14094">_xlfn.XLOOKUP(FACT_IMPORTS[[#This Row],[country_name]],DIM_COUNTRY[[#All],[Column2]],DIM_COUNTRY[[#All],[Column3]],,,)</f>
        <v>Major_Non-USMCA_Non-China</v>
      </c>
    </row>
    <row r="14095" spans="1:9" x14ac:dyDescent="0.4">
      <c r="A14095" t="s">
        <v>75</v>
      </c>
      <c r="B14095" s="1">
        <v>45839</v>
      </c>
      <c r="C14095">
        <v>840991</v>
      </c>
      <c r="D14095" t="s">
        <v>176</v>
      </c>
      <c r="E14095">
        <v>157808</v>
      </c>
      <c r="F14095">
        <v>9897</v>
      </c>
      <c r="G14095">
        <v>6640</v>
      </c>
      <c r="H14095">
        <f>_xlfn.XLOOKUP(FACT_IMPORTS[[#This Row],[hts_6]],DIM_PRODUCTS[hts_6],DIM_PRODUCTS[hts_4],,,)</f>
        <v>8409</v>
      </c>
      <c r="I14095" t="str" cm="1">
        <f t="array" ref="I14095">_xlfn.XLOOKUP(FACT_IMPORTS[[#This Row],[country_name]],DIM_COUNTRY[[#All],[Column2]],DIM_COUNTRY[[#All],[Column3]],,,)</f>
        <v>Major_Non-USMCA_Non-China</v>
      </c>
    </row>
    <row r="14096" spans="1:9" x14ac:dyDescent="0.4">
      <c r="A14096" t="s">
        <v>75</v>
      </c>
      <c r="B14096" s="1">
        <v>45839</v>
      </c>
      <c r="C14096">
        <v>840999</v>
      </c>
      <c r="D14096" t="s">
        <v>176</v>
      </c>
      <c r="E14096">
        <v>0</v>
      </c>
      <c r="F14096">
        <v>0</v>
      </c>
      <c r="G14096">
        <v>0</v>
      </c>
      <c r="H14096">
        <f>_xlfn.XLOOKUP(FACT_IMPORTS[[#This Row],[hts_6]],DIM_PRODUCTS[hts_6],DIM_PRODUCTS[hts_4],,,)</f>
        <v>8409</v>
      </c>
      <c r="I14096" t="str" cm="1">
        <f t="array" ref="I14096">_xlfn.XLOOKUP(FACT_IMPORTS[[#This Row],[country_name]],DIM_COUNTRY[[#All],[Column2]],DIM_COUNTRY[[#All],[Column3]],,,)</f>
        <v>Major_Non-USMCA_Non-China</v>
      </c>
    </row>
    <row r="14097" spans="1:9" x14ac:dyDescent="0.4">
      <c r="A14097" t="s">
        <v>75</v>
      </c>
      <c r="B14097" s="1">
        <v>45839</v>
      </c>
      <c r="C14097">
        <v>841330</v>
      </c>
      <c r="D14097" t="s">
        <v>176</v>
      </c>
      <c r="E14097">
        <v>105398</v>
      </c>
      <c r="F14097">
        <v>2655</v>
      </c>
      <c r="G14097">
        <v>149</v>
      </c>
      <c r="H14097">
        <f>_xlfn.XLOOKUP(FACT_IMPORTS[[#This Row],[hts_6]],DIM_PRODUCTS[hts_6],DIM_PRODUCTS[hts_4],,,)</f>
        <v>8413</v>
      </c>
      <c r="I14097" t="str" cm="1">
        <f t="array" ref="I14097">_xlfn.XLOOKUP(FACT_IMPORTS[[#This Row],[country_name]],DIM_COUNTRY[[#All],[Column2]],DIM_COUNTRY[[#All],[Column3]],,,)</f>
        <v>Major_Non-USMCA_Non-China</v>
      </c>
    </row>
    <row r="14098" spans="1:9" x14ac:dyDescent="0.4">
      <c r="A14098" t="s">
        <v>75</v>
      </c>
      <c r="B14098" s="1">
        <v>45839</v>
      </c>
      <c r="C14098">
        <v>848210</v>
      </c>
      <c r="D14098" t="s">
        <v>176</v>
      </c>
      <c r="E14098">
        <v>122491</v>
      </c>
      <c r="F14098">
        <v>263791</v>
      </c>
      <c r="G14098">
        <v>13108</v>
      </c>
      <c r="H14098">
        <f>_xlfn.XLOOKUP(FACT_IMPORTS[[#This Row],[hts_6]],DIM_PRODUCTS[hts_6],DIM_PRODUCTS[hts_4],,,)</f>
        <v>8482</v>
      </c>
      <c r="I14098" t="str" cm="1">
        <f t="array" ref="I14098">_xlfn.XLOOKUP(FACT_IMPORTS[[#This Row],[country_name]],DIM_COUNTRY[[#All],[Column2]],DIM_COUNTRY[[#All],[Column3]],,,)</f>
        <v>Major_Non-USMCA_Non-China</v>
      </c>
    </row>
    <row r="14099" spans="1:9" x14ac:dyDescent="0.4">
      <c r="A14099" t="s">
        <v>75</v>
      </c>
      <c r="B14099" s="1">
        <v>45839</v>
      </c>
      <c r="C14099">
        <v>848220</v>
      </c>
      <c r="D14099" t="s">
        <v>176</v>
      </c>
      <c r="E14099">
        <v>2580</v>
      </c>
      <c r="F14099">
        <v>70</v>
      </c>
      <c r="G14099">
        <v>1</v>
      </c>
      <c r="H14099">
        <f>_xlfn.XLOOKUP(FACT_IMPORTS[[#This Row],[hts_6]],DIM_PRODUCTS[hts_6],DIM_PRODUCTS[hts_4],,,)</f>
        <v>8482</v>
      </c>
      <c r="I14099" t="str" cm="1">
        <f t="array" ref="I14099">_xlfn.XLOOKUP(FACT_IMPORTS[[#This Row],[country_name]],DIM_COUNTRY[[#All],[Column2]],DIM_COUNTRY[[#All],[Column3]],,,)</f>
        <v>Major_Non-USMCA_Non-China</v>
      </c>
    </row>
    <row r="14100" spans="1:9" x14ac:dyDescent="0.4">
      <c r="A14100" t="s">
        <v>75</v>
      </c>
      <c r="B14100" s="1">
        <v>45839</v>
      </c>
      <c r="C14100">
        <v>848310</v>
      </c>
      <c r="D14100" t="s">
        <v>176</v>
      </c>
      <c r="E14100">
        <v>0</v>
      </c>
      <c r="F14100">
        <v>0</v>
      </c>
      <c r="G14100">
        <v>0</v>
      </c>
      <c r="H14100">
        <f>_xlfn.XLOOKUP(FACT_IMPORTS[[#This Row],[hts_6]],DIM_PRODUCTS[hts_6],DIM_PRODUCTS[hts_4],,,)</f>
        <v>8483</v>
      </c>
      <c r="I14100" t="str" cm="1">
        <f t="array" ref="I14100">_xlfn.XLOOKUP(FACT_IMPORTS[[#This Row],[country_name]],DIM_COUNTRY[[#All],[Column2]],DIM_COUNTRY[[#All],[Column3]],,,)</f>
        <v>Major_Non-USMCA_Non-China</v>
      </c>
    </row>
    <row r="14101" spans="1:9" x14ac:dyDescent="0.4">
      <c r="A14101" t="s">
        <v>75</v>
      </c>
      <c r="B14101" s="1">
        <v>45839</v>
      </c>
      <c r="C14101">
        <v>850131</v>
      </c>
      <c r="D14101" t="s">
        <v>176</v>
      </c>
      <c r="E14101">
        <v>0</v>
      </c>
      <c r="F14101">
        <v>0</v>
      </c>
      <c r="G14101">
        <v>0</v>
      </c>
      <c r="H14101">
        <f>_xlfn.XLOOKUP(FACT_IMPORTS[[#This Row],[hts_6]],DIM_PRODUCTS[hts_6],DIM_PRODUCTS[hts_4],,,)</f>
        <v>8501</v>
      </c>
      <c r="I14101" t="str" cm="1">
        <f t="array" ref="I14101">_xlfn.XLOOKUP(FACT_IMPORTS[[#This Row],[country_name]],DIM_COUNTRY[[#All],[Column2]],DIM_COUNTRY[[#All],[Column3]],,,)</f>
        <v>Major_Non-USMCA_Non-China</v>
      </c>
    </row>
    <row r="14102" spans="1:9" x14ac:dyDescent="0.4">
      <c r="A14102" t="s">
        <v>75</v>
      </c>
      <c r="B14102" s="1">
        <v>45839</v>
      </c>
      <c r="C14102">
        <v>850132</v>
      </c>
      <c r="D14102" t="s">
        <v>176</v>
      </c>
      <c r="E14102">
        <v>0</v>
      </c>
      <c r="F14102">
        <v>0</v>
      </c>
      <c r="G14102">
        <v>0</v>
      </c>
      <c r="H14102">
        <f>_xlfn.XLOOKUP(FACT_IMPORTS[[#This Row],[hts_6]],DIM_PRODUCTS[hts_6],DIM_PRODUCTS[hts_4],,,)</f>
        <v>8501</v>
      </c>
      <c r="I14102" t="str" cm="1">
        <f t="array" ref="I14102">_xlfn.XLOOKUP(FACT_IMPORTS[[#This Row],[country_name]],DIM_COUNTRY[[#All],[Column2]],DIM_COUNTRY[[#All],[Column3]],,,)</f>
        <v>Major_Non-USMCA_Non-China</v>
      </c>
    </row>
    <row r="14103" spans="1:9" x14ac:dyDescent="0.4">
      <c r="A14103" t="s">
        <v>75</v>
      </c>
      <c r="B14103" s="1">
        <v>45839</v>
      </c>
      <c r="C14103">
        <v>850152</v>
      </c>
      <c r="D14103" t="s">
        <v>176</v>
      </c>
      <c r="E14103">
        <v>5176</v>
      </c>
      <c r="F14103">
        <v>2</v>
      </c>
      <c r="G14103">
        <v>1144</v>
      </c>
      <c r="H14103">
        <f>_xlfn.XLOOKUP(FACT_IMPORTS[[#This Row],[hts_6]],DIM_PRODUCTS[hts_6],DIM_PRODUCTS[hts_4],,,)</f>
        <v>8501</v>
      </c>
      <c r="I14103" t="str" cm="1">
        <f t="array" ref="I14103">_xlfn.XLOOKUP(FACT_IMPORTS[[#This Row],[country_name]],DIM_COUNTRY[[#All],[Column2]],DIM_COUNTRY[[#All],[Column3]],,,)</f>
        <v>Major_Non-USMCA_Non-China</v>
      </c>
    </row>
    <row r="14104" spans="1:9" x14ac:dyDescent="0.4">
      <c r="A14104" t="s">
        <v>75</v>
      </c>
      <c r="B14104" s="1">
        <v>45839</v>
      </c>
      <c r="C14104">
        <v>850153</v>
      </c>
      <c r="D14104" t="s">
        <v>176</v>
      </c>
      <c r="E14104">
        <v>0</v>
      </c>
      <c r="F14104">
        <v>0</v>
      </c>
      <c r="G14104">
        <v>0</v>
      </c>
      <c r="H14104">
        <f>_xlfn.XLOOKUP(FACT_IMPORTS[[#This Row],[hts_6]],DIM_PRODUCTS[hts_6],DIM_PRODUCTS[hts_4],,,)</f>
        <v>8501</v>
      </c>
      <c r="I14104" t="str" cm="1">
        <f t="array" ref="I14104">_xlfn.XLOOKUP(FACT_IMPORTS[[#This Row],[country_name]],DIM_COUNTRY[[#All],[Column2]],DIM_COUNTRY[[#All],[Column3]],,,)</f>
        <v>Major_Non-USMCA_Non-China</v>
      </c>
    </row>
    <row r="14105" spans="1:9" x14ac:dyDescent="0.4">
      <c r="A14105" t="s">
        <v>75</v>
      </c>
      <c r="B14105" s="1">
        <v>45839</v>
      </c>
      <c r="C14105">
        <v>850161</v>
      </c>
      <c r="D14105" t="s">
        <v>176</v>
      </c>
      <c r="E14105">
        <v>0</v>
      </c>
      <c r="F14105">
        <v>0</v>
      </c>
      <c r="G14105">
        <v>0</v>
      </c>
      <c r="H14105">
        <f>_xlfn.XLOOKUP(FACT_IMPORTS[[#This Row],[hts_6]],DIM_PRODUCTS[hts_6],DIM_PRODUCTS[hts_4],,,)</f>
        <v>8501</v>
      </c>
      <c r="I14105" t="str" cm="1">
        <f t="array" ref="I14105">_xlfn.XLOOKUP(FACT_IMPORTS[[#This Row],[country_name]],DIM_COUNTRY[[#All],[Column2]],DIM_COUNTRY[[#All],[Column3]],,,)</f>
        <v>Major_Non-USMCA_Non-China</v>
      </c>
    </row>
    <row r="14106" spans="1:9" x14ac:dyDescent="0.4">
      <c r="A14106" t="s">
        <v>75</v>
      </c>
      <c r="B14106" s="1">
        <v>45839</v>
      </c>
      <c r="C14106">
        <v>850440</v>
      </c>
      <c r="D14106" t="s">
        <v>176</v>
      </c>
      <c r="E14106">
        <v>457539</v>
      </c>
      <c r="F14106">
        <v>22552</v>
      </c>
      <c r="G14106">
        <v>12670</v>
      </c>
      <c r="H14106">
        <f>_xlfn.XLOOKUP(FACT_IMPORTS[[#This Row],[hts_6]],DIM_PRODUCTS[hts_6],DIM_PRODUCTS[hts_4],,,)</f>
        <v>8504</v>
      </c>
      <c r="I14106" t="str" cm="1">
        <f t="array" ref="I14106">_xlfn.XLOOKUP(FACT_IMPORTS[[#This Row],[country_name]],DIM_COUNTRY[[#All],[Column2]],DIM_COUNTRY[[#All],[Column3]],,,)</f>
        <v>Major_Non-USMCA_Non-China</v>
      </c>
    </row>
    <row r="14107" spans="1:9" x14ac:dyDescent="0.4">
      <c r="A14107" t="s">
        <v>75</v>
      </c>
      <c r="B14107" s="1">
        <v>45839</v>
      </c>
      <c r="C14107">
        <v>850710</v>
      </c>
      <c r="D14107" t="s">
        <v>176</v>
      </c>
      <c r="E14107">
        <v>0</v>
      </c>
      <c r="F14107">
        <v>0</v>
      </c>
      <c r="G14107">
        <v>0</v>
      </c>
      <c r="H14107">
        <f>_xlfn.XLOOKUP(FACT_IMPORTS[[#This Row],[hts_6]],DIM_PRODUCTS[hts_6],DIM_PRODUCTS[hts_4],,,)</f>
        <v>8507</v>
      </c>
      <c r="I14107" t="str" cm="1">
        <f t="array" ref="I14107">_xlfn.XLOOKUP(FACT_IMPORTS[[#This Row],[country_name]],DIM_COUNTRY[[#All],[Column2]],DIM_COUNTRY[[#All],[Column3]],,,)</f>
        <v>Major_Non-USMCA_Non-China</v>
      </c>
    </row>
    <row r="14108" spans="1:9" x14ac:dyDescent="0.4">
      <c r="A14108" t="s">
        <v>75</v>
      </c>
      <c r="B14108" s="1">
        <v>45839</v>
      </c>
      <c r="C14108">
        <v>850760</v>
      </c>
      <c r="D14108" t="s">
        <v>176</v>
      </c>
      <c r="E14108">
        <v>150299</v>
      </c>
      <c r="F14108">
        <v>3010</v>
      </c>
      <c r="G14108">
        <v>2531</v>
      </c>
      <c r="H14108">
        <f>_xlfn.XLOOKUP(FACT_IMPORTS[[#This Row],[hts_6]],DIM_PRODUCTS[hts_6],DIM_PRODUCTS[hts_4],,,)</f>
        <v>8507</v>
      </c>
      <c r="I14108" t="str" cm="1">
        <f t="array" ref="I14108">_xlfn.XLOOKUP(FACT_IMPORTS[[#This Row],[country_name]],DIM_COUNTRY[[#All],[Column2]],DIM_COUNTRY[[#All],[Column3]],,,)</f>
        <v>Major_Non-USMCA_Non-China</v>
      </c>
    </row>
    <row r="14109" spans="1:9" x14ac:dyDescent="0.4">
      <c r="A14109" t="s">
        <v>75</v>
      </c>
      <c r="B14109" s="1">
        <v>45839</v>
      </c>
      <c r="C14109">
        <v>851120</v>
      </c>
      <c r="D14109" t="s">
        <v>176</v>
      </c>
      <c r="E14109">
        <v>0</v>
      </c>
      <c r="F14109">
        <v>0</v>
      </c>
      <c r="G14109">
        <v>0</v>
      </c>
      <c r="H14109">
        <f>_xlfn.XLOOKUP(FACT_IMPORTS[[#This Row],[hts_6]],DIM_PRODUCTS[hts_6],DIM_PRODUCTS[hts_4],,,)</f>
        <v>8511</v>
      </c>
      <c r="I14109" t="str" cm="1">
        <f t="array" ref="I14109">_xlfn.XLOOKUP(FACT_IMPORTS[[#This Row],[country_name]],DIM_COUNTRY[[#All],[Column2]],DIM_COUNTRY[[#All],[Column3]],,,)</f>
        <v>Major_Non-USMCA_Non-China</v>
      </c>
    </row>
    <row r="14110" spans="1:9" x14ac:dyDescent="0.4">
      <c r="A14110" t="s">
        <v>75</v>
      </c>
      <c r="B14110" s="1">
        <v>45839</v>
      </c>
      <c r="C14110">
        <v>851140</v>
      </c>
      <c r="D14110" t="s">
        <v>176</v>
      </c>
      <c r="E14110">
        <v>18692</v>
      </c>
      <c r="F14110">
        <v>224</v>
      </c>
      <c r="G14110">
        <v>12</v>
      </c>
      <c r="H14110">
        <f>_xlfn.XLOOKUP(FACT_IMPORTS[[#This Row],[hts_6]],DIM_PRODUCTS[hts_6],DIM_PRODUCTS[hts_4],,,)</f>
        <v>8511</v>
      </c>
      <c r="I14110" t="str" cm="1">
        <f t="array" ref="I14110">_xlfn.XLOOKUP(FACT_IMPORTS[[#This Row],[country_name]],DIM_COUNTRY[[#All],[Column2]],DIM_COUNTRY[[#All],[Column3]],,,)</f>
        <v>Major_Non-USMCA_Non-China</v>
      </c>
    </row>
    <row r="14111" spans="1:9" x14ac:dyDescent="0.4">
      <c r="A14111" t="s">
        <v>75</v>
      </c>
      <c r="B14111" s="1">
        <v>45839</v>
      </c>
      <c r="C14111">
        <v>851150</v>
      </c>
      <c r="D14111" t="s">
        <v>176</v>
      </c>
      <c r="E14111">
        <v>2351</v>
      </c>
      <c r="F14111">
        <v>9</v>
      </c>
      <c r="G14111">
        <v>1</v>
      </c>
      <c r="H14111">
        <f>_xlfn.XLOOKUP(FACT_IMPORTS[[#This Row],[hts_6]],DIM_PRODUCTS[hts_6],DIM_PRODUCTS[hts_4],,,)</f>
        <v>8511</v>
      </c>
      <c r="I14111" t="str" cm="1">
        <f t="array" ref="I14111">_xlfn.XLOOKUP(FACT_IMPORTS[[#This Row],[country_name]],DIM_COUNTRY[[#All],[Column2]],DIM_COUNTRY[[#All],[Column3]],,,)</f>
        <v>Major_Non-USMCA_Non-China</v>
      </c>
    </row>
    <row r="14112" spans="1:9" x14ac:dyDescent="0.4">
      <c r="A14112" t="s">
        <v>75</v>
      </c>
      <c r="B14112" s="1">
        <v>45839</v>
      </c>
      <c r="C14112">
        <v>851190</v>
      </c>
      <c r="D14112" t="s">
        <v>176</v>
      </c>
      <c r="E14112">
        <v>0</v>
      </c>
      <c r="F14112">
        <v>0</v>
      </c>
      <c r="G14112">
        <v>0</v>
      </c>
      <c r="H14112">
        <f>_xlfn.XLOOKUP(FACT_IMPORTS[[#This Row],[hts_6]],DIM_PRODUCTS[hts_6],DIM_PRODUCTS[hts_4],,,)</f>
        <v>8511</v>
      </c>
      <c r="I14112" t="str" cm="1">
        <f t="array" ref="I14112">_xlfn.XLOOKUP(FACT_IMPORTS[[#This Row],[country_name]],DIM_COUNTRY[[#All],[Column2]],DIM_COUNTRY[[#All],[Column3]],,,)</f>
        <v>Major_Non-USMCA_Non-China</v>
      </c>
    </row>
    <row r="14113" spans="1:9" x14ac:dyDescent="0.4">
      <c r="A14113" t="s">
        <v>75</v>
      </c>
      <c r="B14113" s="1">
        <v>45839</v>
      </c>
      <c r="C14113">
        <v>851220</v>
      </c>
      <c r="D14113" t="s">
        <v>176</v>
      </c>
      <c r="E14113">
        <v>1644649</v>
      </c>
      <c r="F14113">
        <v>227798</v>
      </c>
      <c r="G14113">
        <v>30057</v>
      </c>
      <c r="H14113">
        <f>_xlfn.XLOOKUP(FACT_IMPORTS[[#This Row],[hts_6]],DIM_PRODUCTS[hts_6],DIM_PRODUCTS[hts_4],,,)</f>
        <v>8512</v>
      </c>
      <c r="I14113" t="str" cm="1">
        <f t="array" ref="I14113">_xlfn.XLOOKUP(FACT_IMPORTS[[#This Row],[country_name]],DIM_COUNTRY[[#All],[Column2]],DIM_COUNTRY[[#All],[Column3]],,,)</f>
        <v>Major_Non-USMCA_Non-China</v>
      </c>
    </row>
    <row r="14114" spans="1:9" x14ac:dyDescent="0.4">
      <c r="A14114" t="s">
        <v>75</v>
      </c>
      <c r="B14114" s="1">
        <v>45839</v>
      </c>
      <c r="C14114">
        <v>851230</v>
      </c>
      <c r="D14114" t="s">
        <v>176</v>
      </c>
      <c r="E14114">
        <v>0</v>
      </c>
      <c r="F14114">
        <v>0</v>
      </c>
      <c r="G14114">
        <v>0</v>
      </c>
      <c r="H14114">
        <f>_xlfn.XLOOKUP(FACT_IMPORTS[[#This Row],[hts_6]],DIM_PRODUCTS[hts_6],DIM_PRODUCTS[hts_4],,,)</f>
        <v>8512</v>
      </c>
      <c r="I14114" t="str" cm="1">
        <f t="array" ref="I14114">_xlfn.XLOOKUP(FACT_IMPORTS[[#This Row],[country_name]],DIM_COUNTRY[[#All],[Column2]],DIM_COUNTRY[[#All],[Column3]],,,)</f>
        <v>Major_Non-USMCA_Non-China</v>
      </c>
    </row>
    <row r="14115" spans="1:9" x14ac:dyDescent="0.4">
      <c r="A14115" t="s">
        <v>75</v>
      </c>
      <c r="B14115" s="1">
        <v>45839</v>
      </c>
      <c r="C14115">
        <v>851290</v>
      </c>
      <c r="D14115" t="s">
        <v>176</v>
      </c>
      <c r="E14115">
        <v>956913</v>
      </c>
      <c r="F14115">
        <v>19390</v>
      </c>
      <c r="G14115">
        <v>12008</v>
      </c>
      <c r="H14115">
        <f>_xlfn.XLOOKUP(FACT_IMPORTS[[#This Row],[hts_6]],DIM_PRODUCTS[hts_6],DIM_PRODUCTS[hts_4],,,)</f>
        <v>8512</v>
      </c>
      <c r="I14115" t="str" cm="1">
        <f t="array" ref="I14115">_xlfn.XLOOKUP(FACT_IMPORTS[[#This Row],[country_name]],DIM_COUNTRY[[#All],[Column2]],DIM_COUNTRY[[#All],[Column3]],,,)</f>
        <v>Major_Non-USMCA_Non-China</v>
      </c>
    </row>
    <row r="14116" spans="1:9" x14ac:dyDescent="0.4">
      <c r="A14116" t="s">
        <v>75</v>
      </c>
      <c r="B14116" s="1">
        <v>45839</v>
      </c>
      <c r="C14116">
        <v>854231</v>
      </c>
      <c r="D14116" t="s">
        <v>176</v>
      </c>
      <c r="E14116">
        <v>3449316</v>
      </c>
      <c r="F14116">
        <v>248708</v>
      </c>
      <c r="G14116">
        <v>76634</v>
      </c>
      <c r="H14116">
        <f>_xlfn.XLOOKUP(FACT_IMPORTS[[#This Row],[hts_6]],DIM_PRODUCTS[hts_6],DIM_PRODUCTS[hts_4],,,)</f>
        <v>8542</v>
      </c>
      <c r="I14116" t="str" cm="1">
        <f t="array" ref="I14116">_xlfn.XLOOKUP(FACT_IMPORTS[[#This Row],[country_name]],DIM_COUNTRY[[#All],[Column2]],DIM_COUNTRY[[#All],[Column3]],,,)</f>
        <v>Major_Non-USMCA_Non-China</v>
      </c>
    </row>
    <row r="14117" spans="1:9" x14ac:dyDescent="0.4">
      <c r="A14117" t="s">
        <v>75</v>
      </c>
      <c r="B14117" s="1">
        <v>45839</v>
      </c>
      <c r="C14117">
        <v>854232</v>
      </c>
      <c r="D14117" t="s">
        <v>176</v>
      </c>
      <c r="E14117">
        <v>210953</v>
      </c>
      <c r="F14117">
        <v>358234</v>
      </c>
      <c r="G14117">
        <v>20964</v>
      </c>
      <c r="H14117">
        <f>_xlfn.XLOOKUP(FACT_IMPORTS[[#This Row],[hts_6]],DIM_PRODUCTS[hts_6],DIM_PRODUCTS[hts_4],,,)</f>
        <v>8542</v>
      </c>
      <c r="I14117" t="str" cm="1">
        <f t="array" ref="I14117">_xlfn.XLOOKUP(FACT_IMPORTS[[#This Row],[country_name]],DIM_COUNTRY[[#All],[Column2]],DIM_COUNTRY[[#All],[Column3]],,,)</f>
        <v>Major_Non-USMCA_Non-China</v>
      </c>
    </row>
    <row r="14118" spans="1:9" x14ac:dyDescent="0.4">
      <c r="A14118" t="s">
        <v>75</v>
      </c>
      <c r="B14118" s="1">
        <v>45839</v>
      </c>
      <c r="C14118">
        <v>854233</v>
      </c>
      <c r="D14118" t="s">
        <v>176</v>
      </c>
      <c r="E14118">
        <v>0</v>
      </c>
      <c r="F14118">
        <v>0</v>
      </c>
      <c r="G14118">
        <v>0</v>
      </c>
      <c r="H14118">
        <f>_xlfn.XLOOKUP(FACT_IMPORTS[[#This Row],[hts_6]],DIM_PRODUCTS[hts_6],DIM_PRODUCTS[hts_4],,,)</f>
        <v>8542</v>
      </c>
      <c r="I14118" t="str" cm="1">
        <f t="array" ref="I14118">_xlfn.XLOOKUP(FACT_IMPORTS[[#This Row],[country_name]],DIM_COUNTRY[[#All],[Column2]],DIM_COUNTRY[[#All],[Column3]],,,)</f>
        <v>Major_Non-USMCA_Non-China</v>
      </c>
    </row>
    <row r="14119" spans="1:9" x14ac:dyDescent="0.4">
      <c r="A14119" t="s">
        <v>75</v>
      </c>
      <c r="B14119" s="1">
        <v>45839</v>
      </c>
      <c r="C14119">
        <v>854239</v>
      </c>
      <c r="D14119" t="s">
        <v>176</v>
      </c>
      <c r="E14119">
        <v>226542</v>
      </c>
      <c r="F14119">
        <v>13800</v>
      </c>
      <c r="G14119">
        <v>22654</v>
      </c>
      <c r="H14119">
        <f>_xlfn.XLOOKUP(FACT_IMPORTS[[#This Row],[hts_6]],DIM_PRODUCTS[hts_6],DIM_PRODUCTS[hts_4],,,)</f>
        <v>8542</v>
      </c>
      <c r="I14119" t="str" cm="1">
        <f t="array" ref="I14119">_xlfn.XLOOKUP(FACT_IMPORTS[[#This Row],[country_name]],DIM_COUNTRY[[#All],[Column2]],DIM_COUNTRY[[#All],[Column3]],,,)</f>
        <v>Major_Non-USMCA_Non-China</v>
      </c>
    </row>
    <row r="14120" spans="1:9" x14ac:dyDescent="0.4">
      <c r="A14120" t="s">
        <v>75</v>
      </c>
      <c r="B14120" s="1">
        <v>45839</v>
      </c>
      <c r="C14120">
        <v>854290</v>
      </c>
      <c r="D14120" t="s">
        <v>176</v>
      </c>
      <c r="E14120">
        <v>8360</v>
      </c>
      <c r="F14120">
        <v>11000</v>
      </c>
      <c r="G14120">
        <v>836</v>
      </c>
      <c r="H14120">
        <f>_xlfn.XLOOKUP(FACT_IMPORTS[[#This Row],[hts_6]],DIM_PRODUCTS[hts_6],DIM_PRODUCTS[hts_4],,,)</f>
        <v>8542</v>
      </c>
      <c r="I14120" t="str" cm="1">
        <f t="array" ref="I14120">_xlfn.XLOOKUP(FACT_IMPORTS[[#This Row],[country_name]],DIM_COUNTRY[[#All],[Column2]],DIM_COUNTRY[[#All],[Column3]],,,)</f>
        <v>Major_Non-USMCA_Non-China</v>
      </c>
    </row>
    <row r="14121" spans="1:9" x14ac:dyDescent="0.4">
      <c r="A14121" t="s">
        <v>75</v>
      </c>
      <c r="B14121" s="1">
        <v>45839</v>
      </c>
      <c r="C14121">
        <v>854430</v>
      </c>
      <c r="D14121" t="s">
        <v>176</v>
      </c>
      <c r="E14121">
        <v>0</v>
      </c>
      <c r="F14121">
        <v>0</v>
      </c>
      <c r="G14121">
        <v>0</v>
      </c>
      <c r="H14121">
        <f>_xlfn.XLOOKUP(FACT_IMPORTS[[#This Row],[hts_6]],DIM_PRODUCTS[hts_6],DIM_PRODUCTS[hts_4],,,)</f>
        <v>8544</v>
      </c>
      <c r="I14121" t="str" cm="1">
        <f t="array" ref="I14121">_xlfn.XLOOKUP(FACT_IMPORTS[[#This Row],[country_name]],DIM_COUNTRY[[#All],[Column2]],DIM_COUNTRY[[#All],[Column3]],,,)</f>
        <v>Major_Non-USMCA_Non-China</v>
      </c>
    </row>
    <row r="14122" spans="1:9" x14ac:dyDescent="0.4">
      <c r="A14122" t="s">
        <v>75</v>
      </c>
      <c r="B14122" s="1">
        <v>45839</v>
      </c>
      <c r="C14122">
        <v>870810</v>
      </c>
      <c r="D14122" t="s">
        <v>176</v>
      </c>
      <c r="E14122">
        <v>179931</v>
      </c>
      <c r="F14122">
        <v>6296</v>
      </c>
      <c r="G14122">
        <v>35366</v>
      </c>
      <c r="H14122">
        <f>_xlfn.XLOOKUP(FACT_IMPORTS[[#This Row],[hts_6]],DIM_PRODUCTS[hts_6],DIM_PRODUCTS[hts_4],,,)</f>
        <v>8708</v>
      </c>
      <c r="I14122" t="str" cm="1">
        <f t="array" ref="I14122">_xlfn.XLOOKUP(FACT_IMPORTS[[#This Row],[country_name]],DIM_COUNTRY[[#All],[Column2]],DIM_COUNTRY[[#All],[Column3]],,,)</f>
        <v>Major_Non-USMCA_Non-China</v>
      </c>
    </row>
    <row r="14123" spans="1:9" x14ac:dyDescent="0.4">
      <c r="A14123" t="s">
        <v>75</v>
      </c>
      <c r="B14123" s="1">
        <v>45839</v>
      </c>
      <c r="C14123">
        <v>870829</v>
      </c>
      <c r="D14123" t="s">
        <v>176</v>
      </c>
      <c r="E14123">
        <v>599421</v>
      </c>
      <c r="F14123">
        <v>183871</v>
      </c>
      <c r="G14123">
        <v>42252</v>
      </c>
      <c r="H14123">
        <f>_xlfn.XLOOKUP(FACT_IMPORTS[[#This Row],[hts_6]],DIM_PRODUCTS[hts_6],DIM_PRODUCTS[hts_4],,,)</f>
        <v>8708</v>
      </c>
      <c r="I14123" t="str" cm="1">
        <f t="array" ref="I14123">_xlfn.XLOOKUP(FACT_IMPORTS[[#This Row],[country_name]],DIM_COUNTRY[[#All],[Column2]],DIM_COUNTRY[[#All],[Column3]],,,)</f>
        <v>Major_Non-USMCA_Non-China</v>
      </c>
    </row>
    <row r="14124" spans="1:9" x14ac:dyDescent="0.4">
      <c r="A14124" t="s">
        <v>75</v>
      </c>
      <c r="B14124" s="1">
        <v>45839</v>
      </c>
      <c r="C14124">
        <v>870830</v>
      </c>
      <c r="D14124" t="s">
        <v>176</v>
      </c>
      <c r="E14124">
        <v>0</v>
      </c>
      <c r="F14124">
        <v>0</v>
      </c>
      <c r="G14124">
        <v>0</v>
      </c>
      <c r="H14124">
        <f>_xlfn.XLOOKUP(FACT_IMPORTS[[#This Row],[hts_6]],DIM_PRODUCTS[hts_6],DIM_PRODUCTS[hts_4],,,)</f>
        <v>8708</v>
      </c>
      <c r="I14124" t="str" cm="1">
        <f t="array" ref="I14124">_xlfn.XLOOKUP(FACT_IMPORTS[[#This Row],[country_name]],DIM_COUNTRY[[#All],[Column2]],DIM_COUNTRY[[#All],[Column3]],,,)</f>
        <v>Major_Non-USMCA_Non-China</v>
      </c>
    </row>
    <row r="14125" spans="1:9" x14ac:dyDescent="0.4">
      <c r="A14125" t="s">
        <v>75</v>
      </c>
      <c r="B14125" s="1">
        <v>45839</v>
      </c>
      <c r="C14125">
        <v>870840</v>
      </c>
      <c r="D14125" t="s">
        <v>176</v>
      </c>
      <c r="E14125">
        <v>348095</v>
      </c>
      <c r="F14125">
        <v>104359</v>
      </c>
      <c r="G14125">
        <v>5394</v>
      </c>
      <c r="H14125">
        <f>_xlfn.XLOOKUP(FACT_IMPORTS[[#This Row],[hts_6]],DIM_PRODUCTS[hts_6],DIM_PRODUCTS[hts_4],,,)</f>
        <v>8708</v>
      </c>
      <c r="I14125" t="str" cm="1">
        <f t="array" ref="I14125">_xlfn.XLOOKUP(FACT_IMPORTS[[#This Row],[country_name]],DIM_COUNTRY[[#All],[Column2]],DIM_COUNTRY[[#All],[Column3]],,,)</f>
        <v>Major_Non-USMCA_Non-China</v>
      </c>
    </row>
    <row r="14126" spans="1:9" x14ac:dyDescent="0.4">
      <c r="A14126" t="s">
        <v>75</v>
      </c>
      <c r="B14126" s="1">
        <v>45839</v>
      </c>
      <c r="C14126">
        <v>870850</v>
      </c>
      <c r="D14126" t="s">
        <v>176</v>
      </c>
      <c r="E14126">
        <v>738339</v>
      </c>
      <c r="F14126">
        <v>64384</v>
      </c>
      <c r="G14126">
        <v>16094</v>
      </c>
      <c r="H14126">
        <f>_xlfn.XLOOKUP(FACT_IMPORTS[[#This Row],[hts_6]],DIM_PRODUCTS[hts_6],DIM_PRODUCTS[hts_4],,,)</f>
        <v>8708</v>
      </c>
      <c r="I14126" t="str" cm="1">
        <f t="array" ref="I14126">_xlfn.XLOOKUP(FACT_IMPORTS[[#This Row],[country_name]],DIM_COUNTRY[[#All],[Column2]],DIM_COUNTRY[[#All],[Column3]],,,)</f>
        <v>Major_Non-USMCA_Non-China</v>
      </c>
    </row>
    <row r="14127" spans="1:9" x14ac:dyDescent="0.4">
      <c r="A14127" t="s">
        <v>75</v>
      </c>
      <c r="B14127" s="1">
        <v>45839</v>
      </c>
      <c r="C14127">
        <v>870870</v>
      </c>
      <c r="D14127" t="s">
        <v>176</v>
      </c>
      <c r="E14127">
        <v>538446</v>
      </c>
      <c r="F14127">
        <v>1975</v>
      </c>
      <c r="G14127">
        <v>8273</v>
      </c>
      <c r="H14127">
        <f>_xlfn.XLOOKUP(FACT_IMPORTS[[#This Row],[hts_6]],DIM_PRODUCTS[hts_6],DIM_PRODUCTS[hts_4],,,)</f>
        <v>8708</v>
      </c>
      <c r="I14127" t="str" cm="1">
        <f t="array" ref="I14127">_xlfn.XLOOKUP(FACT_IMPORTS[[#This Row],[country_name]],DIM_COUNTRY[[#All],[Column2]],DIM_COUNTRY[[#All],[Column3]],,,)</f>
        <v>Major_Non-USMCA_Non-China</v>
      </c>
    </row>
    <row r="14128" spans="1:9" x14ac:dyDescent="0.4">
      <c r="A14128" t="s">
        <v>75</v>
      </c>
      <c r="B14128" s="1">
        <v>45839</v>
      </c>
      <c r="C14128">
        <v>870880</v>
      </c>
      <c r="D14128" t="s">
        <v>176</v>
      </c>
      <c r="E14128">
        <v>619085</v>
      </c>
      <c r="F14128">
        <v>63645</v>
      </c>
      <c r="G14128">
        <v>4507</v>
      </c>
      <c r="H14128">
        <f>_xlfn.XLOOKUP(FACT_IMPORTS[[#This Row],[hts_6]],DIM_PRODUCTS[hts_6],DIM_PRODUCTS[hts_4],,,)</f>
        <v>8708</v>
      </c>
      <c r="I14128" t="str" cm="1">
        <f t="array" ref="I14128">_xlfn.XLOOKUP(FACT_IMPORTS[[#This Row],[country_name]],DIM_COUNTRY[[#All],[Column2]],DIM_COUNTRY[[#All],[Column3]],,,)</f>
        <v>Major_Non-USMCA_Non-China</v>
      </c>
    </row>
    <row r="14129" spans="1:9" x14ac:dyDescent="0.4">
      <c r="A14129" t="s">
        <v>75</v>
      </c>
      <c r="B14129" s="1">
        <v>45839</v>
      </c>
      <c r="C14129">
        <v>870891</v>
      </c>
      <c r="D14129" t="s">
        <v>176</v>
      </c>
      <c r="E14129">
        <v>54324</v>
      </c>
      <c r="F14129">
        <v>66272</v>
      </c>
      <c r="G14129">
        <v>4268</v>
      </c>
      <c r="H14129">
        <f>_xlfn.XLOOKUP(FACT_IMPORTS[[#This Row],[hts_6]],DIM_PRODUCTS[hts_6],DIM_PRODUCTS[hts_4],,,)</f>
        <v>8708</v>
      </c>
      <c r="I14129" t="str" cm="1">
        <f t="array" ref="I14129">_xlfn.XLOOKUP(FACT_IMPORTS[[#This Row],[country_name]],DIM_COUNTRY[[#All],[Column2]],DIM_COUNTRY[[#All],[Column3]],,,)</f>
        <v>Major_Non-USMCA_Non-China</v>
      </c>
    </row>
    <row r="14130" spans="1:9" x14ac:dyDescent="0.4">
      <c r="A14130" t="s">
        <v>75</v>
      </c>
      <c r="B14130" s="1">
        <v>45839</v>
      </c>
      <c r="C14130">
        <v>870892</v>
      </c>
      <c r="D14130" t="s">
        <v>176</v>
      </c>
      <c r="E14130">
        <v>57832</v>
      </c>
      <c r="F14130">
        <v>23207</v>
      </c>
      <c r="G14130">
        <v>3500</v>
      </c>
      <c r="H14130">
        <f>_xlfn.XLOOKUP(FACT_IMPORTS[[#This Row],[hts_6]],DIM_PRODUCTS[hts_6],DIM_PRODUCTS[hts_4],,,)</f>
        <v>8708</v>
      </c>
      <c r="I14130" t="str" cm="1">
        <f t="array" ref="I14130">_xlfn.XLOOKUP(FACT_IMPORTS[[#This Row],[country_name]],DIM_COUNTRY[[#All],[Column2]],DIM_COUNTRY[[#All],[Column3]],,,)</f>
        <v>Major_Non-USMCA_Non-China</v>
      </c>
    </row>
    <row r="14131" spans="1:9" x14ac:dyDescent="0.4">
      <c r="A14131" t="s">
        <v>75</v>
      </c>
      <c r="B14131" s="1">
        <v>45839</v>
      </c>
      <c r="C14131">
        <v>870893</v>
      </c>
      <c r="D14131" t="s">
        <v>176</v>
      </c>
      <c r="E14131">
        <v>70484</v>
      </c>
      <c r="F14131">
        <v>8379</v>
      </c>
      <c r="G14131">
        <v>4092</v>
      </c>
      <c r="H14131">
        <f>_xlfn.XLOOKUP(FACT_IMPORTS[[#This Row],[hts_6]],DIM_PRODUCTS[hts_6],DIM_PRODUCTS[hts_4],,,)</f>
        <v>8708</v>
      </c>
      <c r="I14131" t="str" cm="1">
        <f t="array" ref="I14131">_xlfn.XLOOKUP(FACT_IMPORTS[[#This Row],[country_name]],DIM_COUNTRY[[#All],[Column2]],DIM_COUNTRY[[#All],[Column3]],,,)</f>
        <v>Major_Non-USMCA_Non-China</v>
      </c>
    </row>
    <row r="14132" spans="1:9" x14ac:dyDescent="0.4">
      <c r="A14132" t="s">
        <v>75</v>
      </c>
      <c r="B14132" s="1">
        <v>45839</v>
      </c>
      <c r="C14132">
        <v>870894</v>
      </c>
      <c r="D14132" t="s">
        <v>176</v>
      </c>
      <c r="E14132">
        <v>65785</v>
      </c>
      <c r="F14132">
        <v>28205</v>
      </c>
      <c r="G14132">
        <v>1713</v>
      </c>
      <c r="H14132">
        <f>_xlfn.XLOOKUP(FACT_IMPORTS[[#This Row],[hts_6]],DIM_PRODUCTS[hts_6],DIM_PRODUCTS[hts_4],,,)</f>
        <v>8708</v>
      </c>
      <c r="I14132" t="str" cm="1">
        <f t="array" ref="I14132">_xlfn.XLOOKUP(FACT_IMPORTS[[#This Row],[country_name]],DIM_COUNTRY[[#All],[Column2]],DIM_COUNTRY[[#All],[Column3]],,,)</f>
        <v>Major_Non-USMCA_Non-China</v>
      </c>
    </row>
    <row r="14133" spans="1:9" x14ac:dyDescent="0.4">
      <c r="A14133" t="s">
        <v>75</v>
      </c>
      <c r="B14133" s="1">
        <v>45839</v>
      </c>
      <c r="C14133">
        <v>870899</v>
      </c>
      <c r="D14133" t="s">
        <v>176</v>
      </c>
      <c r="E14133">
        <v>1416097</v>
      </c>
      <c r="F14133">
        <v>638285</v>
      </c>
      <c r="G14133">
        <v>41712</v>
      </c>
      <c r="H14133">
        <f>_xlfn.XLOOKUP(FACT_IMPORTS[[#This Row],[hts_6]],DIM_PRODUCTS[hts_6],DIM_PRODUCTS[hts_4],,,)</f>
        <v>8708</v>
      </c>
      <c r="I14133" t="str" cm="1">
        <f t="array" ref="I14133">_xlfn.XLOOKUP(FACT_IMPORTS[[#This Row],[country_name]],DIM_COUNTRY[[#All],[Column2]],DIM_COUNTRY[[#All],[Column3]],,,)</f>
        <v>Major_Non-USMCA_Non-China</v>
      </c>
    </row>
    <row r="14134" spans="1:9" x14ac:dyDescent="0.4">
      <c r="A14134" t="s">
        <v>75</v>
      </c>
      <c r="B14134" s="1">
        <v>45839</v>
      </c>
      <c r="C14134">
        <v>940120</v>
      </c>
      <c r="D14134" t="s">
        <v>176</v>
      </c>
      <c r="E14134">
        <v>282</v>
      </c>
      <c r="F14134">
        <v>3</v>
      </c>
      <c r="G14134">
        <v>1</v>
      </c>
      <c r="H14134">
        <f>_xlfn.XLOOKUP(FACT_IMPORTS[[#This Row],[hts_6]],DIM_PRODUCTS[hts_6],DIM_PRODUCTS[hts_4],,,)</f>
        <v>9401</v>
      </c>
      <c r="I14134" t="str" cm="1">
        <f t="array" ref="I14134">_xlfn.XLOOKUP(FACT_IMPORTS[[#This Row],[country_name]],DIM_COUNTRY[[#All],[Column2]],DIM_COUNTRY[[#All],[Column3]],,,)</f>
        <v>Major_Non-USMCA_Non-China</v>
      </c>
    </row>
    <row r="14135" spans="1:9" x14ac:dyDescent="0.4">
      <c r="A14135" t="s">
        <v>75</v>
      </c>
      <c r="B14135" s="1">
        <v>45870</v>
      </c>
      <c r="C14135">
        <v>392630</v>
      </c>
      <c r="D14135" t="s">
        <v>176</v>
      </c>
      <c r="E14135">
        <v>12020</v>
      </c>
      <c r="F14135">
        <v>1760</v>
      </c>
      <c r="G14135">
        <v>604</v>
      </c>
      <c r="H14135">
        <f>_xlfn.XLOOKUP(FACT_IMPORTS[[#This Row],[hts_6]],DIM_PRODUCTS[hts_6],DIM_PRODUCTS[hts_4],,,)</f>
        <v>3926</v>
      </c>
      <c r="I14135" t="str" cm="1">
        <f t="array" ref="I14135">_xlfn.XLOOKUP(FACT_IMPORTS[[#This Row],[country_name]],DIM_COUNTRY[[#All],[Column2]],DIM_COUNTRY[[#All],[Column3]],,,)</f>
        <v>Major_Non-USMCA_Non-China</v>
      </c>
    </row>
    <row r="14136" spans="1:9" x14ac:dyDescent="0.4">
      <c r="A14136" t="s">
        <v>75</v>
      </c>
      <c r="B14136" s="1">
        <v>45870</v>
      </c>
      <c r="C14136">
        <v>401110</v>
      </c>
      <c r="D14136" t="s">
        <v>176</v>
      </c>
      <c r="E14136">
        <v>0</v>
      </c>
      <c r="F14136">
        <v>0</v>
      </c>
      <c r="G14136">
        <v>0</v>
      </c>
      <c r="H14136">
        <f>_xlfn.XLOOKUP(FACT_IMPORTS[[#This Row],[hts_6]],DIM_PRODUCTS[hts_6],DIM_PRODUCTS[hts_4],,,)</f>
        <v>4011</v>
      </c>
      <c r="I14136" t="str" cm="1">
        <f t="array" ref="I14136">_xlfn.XLOOKUP(FACT_IMPORTS[[#This Row],[country_name]],DIM_COUNTRY[[#All],[Column2]],DIM_COUNTRY[[#All],[Column3]],,,)</f>
        <v>Major_Non-USMCA_Non-China</v>
      </c>
    </row>
    <row r="14137" spans="1:9" x14ac:dyDescent="0.4">
      <c r="A14137" t="s">
        <v>75</v>
      </c>
      <c r="B14137" s="1">
        <v>45870</v>
      </c>
      <c r="C14137">
        <v>401190</v>
      </c>
      <c r="D14137" t="s">
        <v>176</v>
      </c>
      <c r="E14137">
        <v>11674</v>
      </c>
      <c r="F14137">
        <v>107</v>
      </c>
      <c r="G14137">
        <v>21</v>
      </c>
      <c r="H14137">
        <f>_xlfn.XLOOKUP(FACT_IMPORTS[[#This Row],[hts_6]],DIM_PRODUCTS[hts_6],DIM_PRODUCTS[hts_4],,,)</f>
        <v>4011</v>
      </c>
      <c r="I14137" t="str" cm="1">
        <f t="array" ref="I14137">_xlfn.XLOOKUP(FACT_IMPORTS[[#This Row],[country_name]],DIM_COUNTRY[[#All],[Column2]],DIM_COUNTRY[[#All],[Column3]],,,)</f>
        <v>Major_Non-USMCA_Non-China</v>
      </c>
    </row>
    <row r="14138" spans="1:9" x14ac:dyDescent="0.4">
      <c r="A14138" t="s">
        <v>75</v>
      </c>
      <c r="B14138" s="1">
        <v>45870</v>
      </c>
      <c r="C14138">
        <v>700721</v>
      </c>
      <c r="D14138" t="s">
        <v>176</v>
      </c>
      <c r="E14138">
        <v>0</v>
      </c>
      <c r="F14138">
        <v>0</v>
      </c>
      <c r="G14138">
        <v>0</v>
      </c>
      <c r="H14138">
        <f>_xlfn.XLOOKUP(FACT_IMPORTS[[#This Row],[hts_6]],DIM_PRODUCTS[hts_6],DIM_PRODUCTS[hts_4],,,)</f>
        <v>7007</v>
      </c>
      <c r="I14138" t="str" cm="1">
        <f t="array" ref="I14138">_xlfn.XLOOKUP(FACT_IMPORTS[[#This Row],[country_name]],DIM_COUNTRY[[#All],[Column2]],DIM_COUNTRY[[#All],[Column3]],,,)</f>
        <v>Major_Non-USMCA_Non-China</v>
      </c>
    </row>
    <row r="14139" spans="1:9" x14ac:dyDescent="0.4">
      <c r="A14139" t="s">
        <v>75</v>
      </c>
      <c r="B14139" s="1">
        <v>45870</v>
      </c>
      <c r="C14139">
        <v>700910</v>
      </c>
      <c r="D14139" t="s">
        <v>176</v>
      </c>
      <c r="E14139">
        <v>0</v>
      </c>
      <c r="F14139">
        <v>0</v>
      </c>
      <c r="G14139">
        <v>0</v>
      </c>
      <c r="H14139">
        <f>_xlfn.XLOOKUP(FACT_IMPORTS[[#This Row],[hts_6]],DIM_PRODUCTS[hts_6],DIM_PRODUCTS[hts_4],,,)</f>
        <v>7009</v>
      </c>
      <c r="I14139" t="str" cm="1">
        <f t="array" ref="I14139">_xlfn.XLOOKUP(FACT_IMPORTS[[#This Row],[country_name]],DIM_COUNTRY[[#All],[Column2]],DIM_COUNTRY[[#All],[Column3]],,,)</f>
        <v>Major_Non-USMCA_Non-China</v>
      </c>
    </row>
    <row r="14140" spans="1:9" x14ac:dyDescent="0.4">
      <c r="A14140" t="s">
        <v>75</v>
      </c>
      <c r="B14140" s="1">
        <v>45870</v>
      </c>
      <c r="C14140">
        <v>830230</v>
      </c>
      <c r="D14140" t="s">
        <v>176</v>
      </c>
      <c r="E14140">
        <v>92586</v>
      </c>
      <c r="F14140">
        <v>19781</v>
      </c>
      <c r="G14140">
        <v>6952</v>
      </c>
      <c r="H14140">
        <f>_xlfn.XLOOKUP(FACT_IMPORTS[[#This Row],[hts_6]],DIM_PRODUCTS[hts_6],DIM_PRODUCTS[hts_4],,,)</f>
        <v>8302</v>
      </c>
      <c r="I14140" t="str" cm="1">
        <f t="array" ref="I14140">_xlfn.XLOOKUP(FACT_IMPORTS[[#This Row],[country_name]],DIM_COUNTRY[[#All],[Column2]],DIM_COUNTRY[[#All],[Column3]],,,)</f>
        <v>Major_Non-USMCA_Non-China</v>
      </c>
    </row>
    <row r="14141" spans="1:9" x14ac:dyDescent="0.4">
      <c r="A14141" t="s">
        <v>75</v>
      </c>
      <c r="B14141" s="1">
        <v>45870</v>
      </c>
      <c r="C14141">
        <v>840733</v>
      </c>
      <c r="D14141" t="s">
        <v>176</v>
      </c>
      <c r="E14141">
        <v>0</v>
      </c>
      <c r="F14141">
        <v>0</v>
      </c>
      <c r="G14141">
        <v>0</v>
      </c>
      <c r="H14141">
        <f>_xlfn.XLOOKUP(FACT_IMPORTS[[#This Row],[hts_6]],DIM_PRODUCTS[hts_6],DIM_PRODUCTS[hts_4],,,)</f>
        <v>8407</v>
      </c>
      <c r="I14141" t="str" cm="1">
        <f t="array" ref="I14141">_xlfn.XLOOKUP(FACT_IMPORTS[[#This Row],[country_name]],DIM_COUNTRY[[#All],[Column2]],DIM_COUNTRY[[#All],[Column3]],,,)</f>
        <v>Major_Non-USMCA_Non-China</v>
      </c>
    </row>
    <row r="14142" spans="1:9" x14ac:dyDescent="0.4">
      <c r="A14142" t="s">
        <v>75</v>
      </c>
      <c r="B14142" s="1">
        <v>45870</v>
      </c>
      <c r="C14142">
        <v>840991</v>
      </c>
      <c r="D14142" t="s">
        <v>176</v>
      </c>
      <c r="E14142">
        <v>163098</v>
      </c>
      <c r="F14142">
        <v>10023</v>
      </c>
      <c r="G14142">
        <v>11148</v>
      </c>
      <c r="H14142">
        <f>_xlfn.XLOOKUP(FACT_IMPORTS[[#This Row],[hts_6]],DIM_PRODUCTS[hts_6],DIM_PRODUCTS[hts_4],,,)</f>
        <v>8409</v>
      </c>
      <c r="I14142" t="str" cm="1">
        <f t="array" ref="I14142">_xlfn.XLOOKUP(FACT_IMPORTS[[#This Row],[country_name]],DIM_COUNTRY[[#All],[Column2]],DIM_COUNTRY[[#All],[Column3]],,,)</f>
        <v>Major_Non-USMCA_Non-China</v>
      </c>
    </row>
    <row r="14143" spans="1:9" x14ac:dyDescent="0.4">
      <c r="A14143" t="s">
        <v>75</v>
      </c>
      <c r="B14143" s="1">
        <v>45870</v>
      </c>
      <c r="C14143">
        <v>840999</v>
      </c>
      <c r="D14143" t="s">
        <v>176</v>
      </c>
      <c r="E14143">
        <v>5095</v>
      </c>
      <c r="F14143">
        <v>245</v>
      </c>
      <c r="G14143">
        <v>135</v>
      </c>
      <c r="H14143">
        <f>_xlfn.XLOOKUP(FACT_IMPORTS[[#This Row],[hts_6]],DIM_PRODUCTS[hts_6],DIM_PRODUCTS[hts_4],,,)</f>
        <v>8409</v>
      </c>
      <c r="I14143" t="str" cm="1">
        <f t="array" ref="I14143">_xlfn.XLOOKUP(FACT_IMPORTS[[#This Row],[country_name]],DIM_COUNTRY[[#All],[Column2]],DIM_COUNTRY[[#All],[Column3]],,,)</f>
        <v>Major_Non-USMCA_Non-China</v>
      </c>
    </row>
    <row r="14144" spans="1:9" x14ac:dyDescent="0.4">
      <c r="A14144" t="s">
        <v>75</v>
      </c>
      <c r="B14144" s="1">
        <v>45870</v>
      </c>
      <c r="C14144">
        <v>841330</v>
      </c>
      <c r="D14144" t="s">
        <v>176</v>
      </c>
      <c r="E14144">
        <v>155601</v>
      </c>
      <c r="F14144">
        <v>3210</v>
      </c>
      <c r="G14144">
        <v>18339</v>
      </c>
      <c r="H14144">
        <f>_xlfn.XLOOKUP(FACT_IMPORTS[[#This Row],[hts_6]],DIM_PRODUCTS[hts_6],DIM_PRODUCTS[hts_4],,,)</f>
        <v>8413</v>
      </c>
      <c r="I14144" t="str" cm="1">
        <f t="array" ref="I14144">_xlfn.XLOOKUP(FACT_IMPORTS[[#This Row],[country_name]],DIM_COUNTRY[[#All],[Column2]],DIM_COUNTRY[[#All],[Column3]],,,)</f>
        <v>Major_Non-USMCA_Non-China</v>
      </c>
    </row>
    <row r="14145" spans="1:9" x14ac:dyDescent="0.4">
      <c r="A14145" t="s">
        <v>75</v>
      </c>
      <c r="B14145" s="1">
        <v>45870</v>
      </c>
      <c r="C14145">
        <v>848210</v>
      </c>
      <c r="D14145" t="s">
        <v>176</v>
      </c>
      <c r="E14145">
        <v>89328</v>
      </c>
      <c r="F14145">
        <v>620200</v>
      </c>
      <c r="G14145">
        <v>7947</v>
      </c>
      <c r="H14145">
        <f>_xlfn.XLOOKUP(FACT_IMPORTS[[#This Row],[hts_6]],DIM_PRODUCTS[hts_6],DIM_PRODUCTS[hts_4],,,)</f>
        <v>8482</v>
      </c>
      <c r="I14145" t="str" cm="1">
        <f t="array" ref="I14145">_xlfn.XLOOKUP(FACT_IMPORTS[[#This Row],[country_name]],DIM_COUNTRY[[#All],[Column2]],DIM_COUNTRY[[#All],[Column3]],,,)</f>
        <v>Major_Non-USMCA_Non-China</v>
      </c>
    </row>
    <row r="14146" spans="1:9" x14ac:dyDescent="0.4">
      <c r="A14146" t="s">
        <v>75</v>
      </c>
      <c r="B14146" s="1">
        <v>45870</v>
      </c>
      <c r="C14146">
        <v>848220</v>
      </c>
      <c r="D14146" t="s">
        <v>176</v>
      </c>
      <c r="E14146">
        <v>0</v>
      </c>
      <c r="F14146">
        <v>0</v>
      </c>
      <c r="G14146">
        <v>0</v>
      </c>
      <c r="H14146">
        <f>_xlfn.XLOOKUP(FACT_IMPORTS[[#This Row],[hts_6]],DIM_PRODUCTS[hts_6],DIM_PRODUCTS[hts_4],,,)</f>
        <v>8482</v>
      </c>
      <c r="I14146" t="str" cm="1">
        <f t="array" ref="I14146">_xlfn.XLOOKUP(FACT_IMPORTS[[#This Row],[country_name]],DIM_COUNTRY[[#All],[Column2]],DIM_COUNTRY[[#All],[Column3]],,,)</f>
        <v>Major_Non-USMCA_Non-China</v>
      </c>
    </row>
    <row r="14147" spans="1:9" x14ac:dyDescent="0.4">
      <c r="A14147" t="s">
        <v>75</v>
      </c>
      <c r="B14147" s="1">
        <v>45870</v>
      </c>
      <c r="C14147">
        <v>848310</v>
      </c>
      <c r="D14147" t="s">
        <v>176</v>
      </c>
      <c r="E14147">
        <v>0</v>
      </c>
      <c r="F14147">
        <v>0</v>
      </c>
      <c r="G14147">
        <v>0</v>
      </c>
      <c r="H14147">
        <f>_xlfn.XLOOKUP(FACT_IMPORTS[[#This Row],[hts_6]],DIM_PRODUCTS[hts_6],DIM_PRODUCTS[hts_4],,,)</f>
        <v>8483</v>
      </c>
      <c r="I14147" t="str" cm="1">
        <f t="array" ref="I14147">_xlfn.XLOOKUP(FACT_IMPORTS[[#This Row],[country_name]],DIM_COUNTRY[[#All],[Column2]],DIM_COUNTRY[[#All],[Column3]],,,)</f>
        <v>Major_Non-USMCA_Non-China</v>
      </c>
    </row>
    <row r="14148" spans="1:9" x14ac:dyDescent="0.4">
      <c r="A14148" t="s">
        <v>75</v>
      </c>
      <c r="B14148" s="1">
        <v>45870</v>
      </c>
      <c r="C14148">
        <v>850131</v>
      </c>
      <c r="D14148" t="s">
        <v>176</v>
      </c>
      <c r="E14148">
        <v>7245</v>
      </c>
      <c r="F14148">
        <v>1100</v>
      </c>
      <c r="G14148">
        <v>500</v>
      </c>
      <c r="H14148">
        <f>_xlfn.XLOOKUP(FACT_IMPORTS[[#This Row],[hts_6]],DIM_PRODUCTS[hts_6],DIM_PRODUCTS[hts_4],,,)</f>
        <v>8501</v>
      </c>
      <c r="I14148" t="str" cm="1">
        <f t="array" ref="I14148">_xlfn.XLOOKUP(FACT_IMPORTS[[#This Row],[country_name]],DIM_COUNTRY[[#All],[Column2]],DIM_COUNTRY[[#All],[Column3]],,,)</f>
        <v>Major_Non-USMCA_Non-China</v>
      </c>
    </row>
    <row r="14149" spans="1:9" x14ac:dyDescent="0.4">
      <c r="A14149" t="s">
        <v>75</v>
      </c>
      <c r="B14149" s="1">
        <v>45870</v>
      </c>
      <c r="C14149">
        <v>850132</v>
      </c>
      <c r="D14149" t="s">
        <v>176</v>
      </c>
      <c r="E14149">
        <v>5820</v>
      </c>
      <c r="F14149">
        <v>20</v>
      </c>
      <c r="G14149">
        <v>3000</v>
      </c>
      <c r="H14149">
        <f>_xlfn.XLOOKUP(FACT_IMPORTS[[#This Row],[hts_6]],DIM_PRODUCTS[hts_6],DIM_PRODUCTS[hts_4],,,)</f>
        <v>8501</v>
      </c>
      <c r="I14149" t="str" cm="1">
        <f t="array" ref="I14149">_xlfn.XLOOKUP(FACT_IMPORTS[[#This Row],[country_name]],DIM_COUNTRY[[#All],[Column2]],DIM_COUNTRY[[#All],[Column3]],,,)</f>
        <v>Major_Non-USMCA_Non-China</v>
      </c>
    </row>
    <row r="14150" spans="1:9" x14ac:dyDescent="0.4">
      <c r="A14150" t="s">
        <v>75</v>
      </c>
      <c r="B14150" s="1">
        <v>45870</v>
      </c>
      <c r="C14150">
        <v>850152</v>
      </c>
      <c r="D14150" t="s">
        <v>176</v>
      </c>
      <c r="E14150">
        <v>25198</v>
      </c>
      <c r="F14150">
        <v>12</v>
      </c>
      <c r="G14150">
        <v>836</v>
      </c>
      <c r="H14150">
        <f>_xlfn.XLOOKUP(FACT_IMPORTS[[#This Row],[hts_6]],DIM_PRODUCTS[hts_6],DIM_PRODUCTS[hts_4],,,)</f>
        <v>8501</v>
      </c>
      <c r="I14150" t="str" cm="1">
        <f t="array" ref="I14150">_xlfn.XLOOKUP(FACT_IMPORTS[[#This Row],[country_name]],DIM_COUNTRY[[#All],[Column2]],DIM_COUNTRY[[#All],[Column3]],,,)</f>
        <v>Major_Non-USMCA_Non-China</v>
      </c>
    </row>
    <row r="14151" spans="1:9" x14ac:dyDescent="0.4">
      <c r="A14151" t="s">
        <v>75</v>
      </c>
      <c r="B14151" s="1">
        <v>45870</v>
      </c>
      <c r="C14151">
        <v>850153</v>
      </c>
      <c r="D14151" t="s">
        <v>176</v>
      </c>
      <c r="E14151">
        <v>295000</v>
      </c>
      <c r="F14151">
        <v>4</v>
      </c>
      <c r="G14151">
        <v>114</v>
      </c>
      <c r="H14151">
        <f>_xlfn.XLOOKUP(FACT_IMPORTS[[#This Row],[hts_6]],DIM_PRODUCTS[hts_6],DIM_PRODUCTS[hts_4],,,)</f>
        <v>8501</v>
      </c>
      <c r="I14151" t="str" cm="1">
        <f t="array" ref="I14151">_xlfn.XLOOKUP(FACT_IMPORTS[[#This Row],[country_name]],DIM_COUNTRY[[#All],[Column2]],DIM_COUNTRY[[#All],[Column3]],,,)</f>
        <v>Major_Non-USMCA_Non-China</v>
      </c>
    </row>
    <row r="14152" spans="1:9" x14ac:dyDescent="0.4">
      <c r="A14152" t="s">
        <v>75</v>
      </c>
      <c r="B14152" s="1">
        <v>45870</v>
      </c>
      <c r="C14152">
        <v>850161</v>
      </c>
      <c r="D14152" t="s">
        <v>176</v>
      </c>
      <c r="E14152">
        <v>0</v>
      </c>
      <c r="F14152">
        <v>0</v>
      </c>
      <c r="G14152">
        <v>0</v>
      </c>
      <c r="H14152">
        <f>_xlfn.XLOOKUP(FACT_IMPORTS[[#This Row],[hts_6]],DIM_PRODUCTS[hts_6],DIM_PRODUCTS[hts_4],,,)</f>
        <v>8501</v>
      </c>
      <c r="I14152" t="str" cm="1">
        <f t="array" ref="I14152">_xlfn.XLOOKUP(FACT_IMPORTS[[#This Row],[country_name]],DIM_COUNTRY[[#All],[Column2]],DIM_COUNTRY[[#All],[Column3]],,,)</f>
        <v>Major_Non-USMCA_Non-China</v>
      </c>
    </row>
    <row r="14153" spans="1:9" x14ac:dyDescent="0.4">
      <c r="A14153" t="s">
        <v>75</v>
      </c>
      <c r="B14153" s="1">
        <v>45870</v>
      </c>
      <c r="C14153">
        <v>850440</v>
      </c>
      <c r="D14153" t="s">
        <v>176</v>
      </c>
      <c r="E14153">
        <v>428204</v>
      </c>
      <c r="F14153">
        <v>17056</v>
      </c>
      <c r="G14153">
        <v>22431</v>
      </c>
      <c r="H14153">
        <f>_xlfn.XLOOKUP(FACT_IMPORTS[[#This Row],[hts_6]],DIM_PRODUCTS[hts_6],DIM_PRODUCTS[hts_4],,,)</f>
        <v>8504</v>
      </c>
      <c r="I14153" t="str" cm="1">
        <f t="array" ref="I14153">_xlfn.XLOOKUP(FACT_IMPORTS[[#This Row],[country_name]],DIM_COUNTRY[[#All],[Column2]],DIM_COUNTRY[[#All],[Column3]],,,)</f>
        <v>Major_Non-USMCA_Non-China</v>
      </c>
    </row>
    <row r="14154" spans="1:9" x14ac:dyDescent="0.4">
      <c r="A14154" t="s">
        <v>75</v>
      </c>
      <c r="B14154" s="1">
        <v>45870</v>
      </c>
      <c r="C14154">
        <v>850710</v>
      </c>
      <c r="D14154" t="s">
        <v>176</v>
      </c>
      <c r="E14154">
        <v>0</v>
      </c>
      <c r="F14154">
        <v>0</v>
      </c>
      <c r="G14154">
        <v>0</v>
      </c>
      <c r="H14154">
        <f>_xlfn.XLOOKUP(FACT_IMPORTS[[#This Row],[hts_6]],DIM_PRODUCTS[hts_6],DIM_PRODUCTS[hts_4],,,)</f>
        <v>8507</v>
      </c>
      <c r="I14154" t="str" cm="1">
        <f t="array" ref="I14154">_xlfn.XLOOKUP(FACT_IMPORTS[[#This Row],[country_name]],DIM_COUNTRY[[#All],[Column2]],DIM_COUNTRY[[#All],[Column3]],,,)</f>
        <v>Major_Non-USMCA_Non-China</v>
      </c>
    </row>
    <row r="14155" spans="1:9" x14ac:dyDescent="0.4">
      <c r="A14155" t="s">
        <v>75</v>
      </c>
      <c r="B14155" s="1">
        <v>45870</v>
      </c>
      <c r="C14155">
        <v>850760</v>
      </c>
      <c r="D14155" t="s">
        <v>176</v>
      </c>
      <c r="E14155">
        <v>0</v>
      </c>
      <c r="F14155">
        <v>0</v>
      </c>
      <c r="G14155">
        <v>0</v>
      </c>
      <c r="H14155">
        <f>_xlfn.XLOOKUP(FACT_IMPORTS[[#This Row],[hts_6]],DIM_PRODUCTS[hts_6],DIM_PRODUCTS[hts_4],,,)</f>
        <v>8507</v>
      </c>
      <c r="I14155" t="str" cm="1">
        <f t="array" ref="I14155">_xlfn.XLOOKUP(FACT_IMPORTS[[#This Row],[country_name]],DIM_COUNTRY[[#All],[Column2]],DIM_COUNTRY[[#All],[Column3]],,,)</f>
        <v>Major_Non-USMCA_Non-China</v>
      </c>
    </row>
    <row r="14156" spans="1:9" x14ac:dyDescent="0.4">
      <c r="A14156" t="s">
        <v>75</v>
      </c>
      <c r="B14156" s="1">
        <v>45870</v>
      </c>
      <c r="C14156">
        <v>851120</v>
      </c>
      <c r="D14156" t="s">
        <v>176</v>
      </c>
      <c r="E14156">
        <v>0</v>
      </c>
      <c r="F14156">
        <v>0</v>
      </c>
      <c r="G14156">
        <v>0</v>
      </c>
      <c r="H14156">
        <f>_xlfn.XLOOKUP(FACT_IMPORTS[[#This Row],[hts_6]],DIM_PRODUCTS[hts_6],DIM_PRODUCTS[hts_4],,,)</f>
        <v>8511</v>
      </c>
      <c r="I14156" t="str" cm="1">
        <f t="array" ref="I14156">_xlfn.XLOOKUP(FACT_IMPORTS[[#This Row],[country_name]],DIM_COUNTRY[[#All],[Column2]],DIM_COUNTRY[[#All],[Column3]],,,)</f>
        <v>Major_Non-USMCA_Non-China</v>
      </c>
    </row>
    <row r="14157" spans="1:9" x14ac:dyDescent="0.4">
      <c r="A14157" t="s">
        <v>75</v>
      </c>
      <c r="B14157" s="1">
        <v>45870</v>
      </c>
      <c r="C14157">
        <v>851140</v>
      </c>
      <c r="D14157" t="s">
        <v>176</v>
      </c>
      <c r="E14157">
        <v>10406</v>
      </c>
      <c r="F14157">
        <v>89</v>
      </c>
      <c r="G14157">
        <v>6</v>
      </c>
      <c r="H14157">
        <f>_xlfn.XLOOKUP(FACT_IMPORTS[[#This Row],[hts_6]],DIM_PRODUCTS[hts_6],DIM_PRODUCTS[hts_4],,,)</f>
        <v>8511</v>
      </c>
      <c r="I14157" t="str" cm="1">
        <f t="array" ref="I14157">_xlfn.XLOOKUP(FACT_IMPORTS[[#This Row],[country_name]],DIM_COUNTRY[[#All],[Column2]],DIM_COUNTRY[[#All],[Column3]],,,)</f>
        <v>Major_Non-USMCA_Non-China</v>
      </c>
    </row>
    <row r="14158" spans="1:9" x14ac:dyDescent="0.4">
      <c r="A14158" t="s">
        <v>75</v>
      </c>
      <c r="B14158" s="1">
        <v>45870</v>
      </c>
      <c r="C14158">
        <v>851150</v>
      </c>
      <c r="D14158" t="s">
        <v>176</v>
      </c>
      <c r="E14158">
        <v>9341</v>
      </c>
      <c r="F14158">
        <v>14</v>
      </c>
      <c r="G14158">
        <v>23</v>
      </c>
      <c r="H14158">
        <f>_xlfn.XLOOKUP(FACT_IMPORTS[[#This Row],[hts_6]],DIM_PRODUCTS[hts_6],DIM_PRODUCTS[hts_4],,,)</f>
        <v>8511</v>
      </c>
      <c r="I14158" t="str" cm="1">
        <f t="array" ref="I14158">_xlfn.XLOOKUP(FACT_IMPORTS[[#This Row],[country_name]],DIM_COUNTRY[[#All],[Column2]],DIM_COUNTRY[[#All],[Column3]],,,)</f>
        <v>Major_Non-USMCA_Non-China</v>
      </c>
    </row>
    <row r="14159" spans="1:9" x14ac:dyDescent="0.4">
      <c r="A14159" t="s">
        <v>75</v>
      </c>
      <c r="B14159" s="1">
        <v>45870</v>
      </c>
      <c r="C14159">
        <v>851190</v>
      </c>
      <c r="D14159" t="s">
        <v>176</v>
      </c>
      <c r="E14159">
        <v>0</v>
      </c>
      <c r="F14159">
        <v>0</v>
      </c>
      <c r="G14159">
        <v>0</v>
      </c>
      <c r="H14159">
        <f>_xlfn.XLOOKUP(FACT_IMPORTS[[#This Row],[hts_6]],DIM_PRODUCTS[hts_6],DIM_PRODUCTS[hts_4],,,)</f>
        <v>8511</v>
      </c>
      <c r="I14159" t="str" cm="1">
        <f t="array" ref="I14159">_xlfn.XLOOKUP(FACT_IMPORTS[[#This Row],[country_name]],DIM_COUNTRY[[#All],[Column2]],DIM_COUNTRY[[#All],[Column3]],,,)</f>
        <v>Major_Non-USMCA_Non-China</v>
      </c>
    </row>
    <row r="14160" spans="1:9" x14ac:dyDescent="0.4">
      <c r="A14160" t="s">
        <v>75</v>
      </c>
      <c r="B14160" s="1">
        <v>45870</v>
      </c>
      <c r="C14160">
        <v>851220</v>
      </c>
      <c r="D14160" t="s">
        <v>176</v>
      </c>
      <c r="E14160">
        <v>3343688</v>
      </c>
      <c r="F14160">
        <v>639338</v>
      </c>
      <c r="G14160">
        <v>72594</v>
      </c>
      <c r="H14160">
        <f>_xlfn.XLOOKUP(FACT_IMPORTS[[#This Row],[hts_6]],DIM_PRODUCTS[hts_6],DIM_PRODUCTS[hts_4],,,)</f>
        <v>8512</v>
      </c>
      <c r="I14160" t="str" cm="1">
        <f t="array" ref="I14160">_xlfn.XLOOKUP(FACT_IMPORTS[[#This Row],[country_name]],DIM_COUNTRY[[#All],[Column2]],DIM_COUNTRY[[#All],[Column3]],,,)</f>
        <v>Major_Non-USMCA_Non-China</v>
      </c>
    </row>
    <row r="14161" spans="1:9" x14ac:dyDescent="0.4">
      <c r="A14161" t="s">
        <v>75</v>
      </c>
      <c r="B14161" s="1">
        <v>45870</v>
      </c>
      <c r="C14161">
        <v>851230</v>
      </c>
      <c r="D14161" t="s">
        <v>176</v>
      </c>
      <c r="E14161">
        <v>0</v>
      </c>
      <c r="F14161">
        <v>0</v>
      </c>
      <c r="G14161">
        <v>0</v>
      </c>
      <c r="H14161">
        <f>_xlfn.XLOOKUP(FACT_IMPORTS[[#This Row],[hts_6]],DIM_PRODUCTS[hts_6],DIM_PRODUCTS[hts_4],,,)</f>
        <v>8512</v>
      </c>
      <c r="I14161" t="str" cm="1">
        <f t="array" ref="I14161">_xlfn.XLOOKUP(FACT_IMPORTS[[#This Row],[country_name]],DIM_COUNTRY[[#All],[Column2]],DIM_COUNTRY[[#All],[Column3]],,,)</f>
        <v>Major_Non-USMCA_Non-China</v>
      </c>
    </row>
    <row r="14162" spans="1:9" x14ac:dyDescent="0.4">
      <c r="A14162" t="s">
        <v>75</v>
      </c>
      <c r="B14162" s="1">
        <v>45870</v>
      </c>
      <c r="C14162">
        <v>851290</v>
      </c>
      <c r="D14162" t="s">
        <v>176</v>
      </c>
      <c r="E14162">
        <v>2324856</v>
      </c>
      <c r="F14162">
        <v>49401</v>
      </c>
      <c r="G14162">
        <v>26023</v>
      </c>
      <c r="H14162">
        <f>_xlfn.XLOOKUP(FACT_IMPORTS[[#This Row],[hts_6]],DIM_PRODUCTS[hts_6],DIM_PRODUCTS[hts_4],,,)</f>
        <v>8512</v>
      </c>
      <c r="I14162" t="str" cm="1">
        <f t="array" ref="I14162">_xlfn.XLOOKUP(FACT_IMPORTS[[#This Row],[country_name]],DIM_COUNTRY[[#All],[Column2]],DIM_COUNTRY[[#All],[Column3]],,,)</f>
        <v>Major_Non-USMCA_Non-China</v>
      </c>
    </row>
    <row r="14163" spans="1:9" x14ac:dyDescent="0.4">
      <c r="A14163" t="s">
        <v>75</v>
      </c>
      <c r="B14163" s="1">
        <v>45870</v>
      </c>
      <c r="C14163">
        <v>854231</v>
      </c>
      <c r="D14163" t="s">
        <v>176</v>
      </c>
      <c r="E14163">
        <v>6096718</v>
      </c>
      <c r="F14163">
        <v>692208</v>
      </c>
      <c r="G14163">
        <v>176793</v>
      </c>
      <c r="H14163">
        <f>_xlfn.XLOOKUP(FACT_IMPORTS[[#This Row],[hts_6]],DIM_PRODUCTS[hts_6],DIM_PRODUCTS[hts_4],,,)</f>
        <v>8542</v>
      </c>
      <c r="I14163" t="str" cm="1">
        <f t="array" ref="I14163">_xlfn.XLOOKUP(FACT_IMPORTS[[#This Row],[country_name]],DIM_COUNTRY[[#All],[Column2]],DIM_COUNTRY[[#All],[Column3]],,,)</f>
        <v>Major_Non-USMCA_Non-China</v>
      </c>
    </row>
    <row r="14164" spans="1:9" x14ac:dyDescent="0.4">
      <c r="A14164" t="s">
        <v>75</v>
      </c>
      <c r="B14164" s="1">
        <v>45870</v>
      </c>
      <c r="C14164">
        <v>854232</v>
      </c>
      <c r="D14164" t="s">
        <v>176</v>
      </c>
      <c r="E14164">
        <v>311410</v>
      </c>
      <c r="F14164">
        <v>508200</v>
      </c>
      <c r="G14164">
        <v>17041</v>
      </c>
      <c r="H14164">
        <f>_xlfn.XLOOKUP(FACT_IMPORTS[[#This Row],[hts_6]],DIM_PRODUCTS[hts_6],DIM_PRODUCTS[hts_4],,,)</f>
        <v>8542</v>
      </c>
      <c r="I14164" t="str" cm="1">
        <f t="array" ref="I14164">_xlfn.XLOOKUP(FACT_IMPORTS[[#This Row],[country_name]],DIM_COUNTRY[[#All],[Column2]],DIM_COUNTRY[[#All],[Column3]],,,)</f>
        <v>Major_Non-USMCA_Non-China</v>
      </c>
    </row>
    <row r="14165" spans="1:9" x14ac:dyDescent="0.4">
      <c r="A14165" t="s">
        <v>75</v>
      </c>
      <c r="B14165" s="1">
        <v>45870</v>
      </c>
      <c r="C14165">
        <v>854233</v>
      </c>
      <c r="D14165" t="s">
        <v>176</v>
      </c>
      <c r="E14165">
        <v>6935</v>
      </c>
      <c r="F14165">
        <v>6000</v>
      </c>
      <c r="G14165">
        <v>1</v>
      </c>
      <c r="H14165">
        <f>_xlfn.XLOOKUP(FACT_IMPORTS[[#This Row],[hts_6]],DIM_PRODUCTS[hts_6],DIM_PRODUCTS[hts_4],,,)</f>
        <v>8542</v>
      </c>
      <c r="I14165" t="str" cm="1">
        <f t="array" ref="I14165">_xlfn.XLOOKUP(FACT_IMPORTS[[#This Row],[country_name]],DIM_COUNTRY[[#All],[Column2]],DIM_COUNTRY[[#All],[Column3]],,,)</f>
        <v>Major_Non-USMCA_Non-China</v>
      </c>
    </row>
    <row r="14166" spans="1:9" x14ac:dyDescent="0.4">
      <c r="A14166" t="s">
        <v>75</v>
      </c>
      <c r="B14166" s="1">
        <v>45870</v>
      </c>
      <c r="C14166">
        <v>854239</v>
      </c>
      <c r="D14166" t="s">
        <v>176</v>
      </c>
      <c r="E14166">
        <v>192301</v>
      </c>
      <c r="F14166">
        <v>85349</v>
      </c>
      <c r="G14166">
        <v>4098</v>
      </c>
      <c r="H14166">
        <f>_xlfn.XLOOKUP(FACT_IMPORTS[[#This Row],[hts_6]],DIM_PRODUCTS[hts_6],DIM_PRODUCTS[hts_4],,,)</f>
        <v>8542</v>
      </c>
      <c r="I14166" t="str" cm="1">
        <f t="array" ref="I14166">_xlfn.XLOOKUP(FACT_IMPORTS[[#This Row],[country_name]],DIM_COUNTRY[[#All],[Column2]],DIM_COUNTRY[[#All],[Column3]],,,)</f>
        <v>Major_Non-USMCA_Non-China</v>
      </c>
    </row>
    <row r="14167" spans="1:9" x14ac:dyDescent="0.4">
      <c r="A14167" t="s">
        <v>75</v>
      </c>
      <c r="B14167" s="1">
        <v>45870</v>
      </c>
      <c r="C14167">
        <v>854290</v>
      </c>
      <c r="D14167" t="s">
        <v>176</v>
      </c>
      <c r="E14167">
        <v>8360</v>
      </c>
      <c r="F14167">
        <v>11000</v>
      </c>
      <c r="G14167">
        <v>836</v>
      </c>
      <c r="H14167">
        <f>_xlfn.XLOOKUP(FACT_IMPORTS[[#This Row],[hts_6]],DIM_PRODUCTS[hts_6],DIM_PRODUCTS[hts_4],,,)</f>
        <v>8542</v>
      </c>
      <c r="I14167" t="str" cm="1">
        <f t="array" ref="I14167">_xlfn.XLOOKUP(FACT_IMPORTS[[#This Row],[country_name]],DIM_COUNTRY[[#All],[Column2]],DIM_COUNTRY[[#All],[Column3]],,,)</f>
        <v>Major_Non-USMCA_Non-China</v>
      </c>
    </row>
    <row r="14168" spans="1:9" x14ac:dyDescent="0.4">
      <c r="A14168" t="s">
        <v>75</v>
      </c>
      <c r="B14168" s="1">
        <v>45870</v>
      </c>
      <c r="C14168">
        <v>854430</v>
      </c>
      <c r="D14168" t="s">
        <v>176</v>
      </c>
      <c r="E14168">
        <v>0</v>
      </c>
      <c r="F14168">
        <v>0</v>
      </c>
      <c r="G14168">
        <v>0</v>
      </c>
      <c r="H14168">
        <f>_xlfn.XLOOKUP(FACT_IMPORTS[[#This Row],[hts_6]],DIM_PRODUCTS[hts_6],DIM_PRODUCTS[hts_4],,,)</f>
        <v>8544</v>
      </c>
      <c r="I14168" t="str" cm="1">
        <f t="array" ref="I14168">_xlfn.XLOOKUP(FACT_IMPORTS[[#This Row],[country_name]],DIM_COUNTRY[[#All],[Column2]],DIM_COUNTRY[[#All],[Column3]],,,)</f>
        <v>Major_Non-USMCA_Non-China</v>
      </c>
    </row>
    <row r="14169" spans="1:9" x14ac:dyDescent="0.4">
      <c r="A14169" t="s">
        <v>75</v>
      </c>
      <c r="B14169" s="1">
        <v>45870</v>
      </c>
      <c r="C14169">
        <v>870810</v>
      </c>
      <c r="D14169" t="s">
        <v>176</v>
      </c>
      <c r="E14169">
        <v>222990</v>
      </c>
      <c r="F14169">
        <v>8353</v>
      </c>
      <c r="G14169">
        <v>63551</v>
      </c>
      <c r="H14169">
        <f>_xlfn.XLOOKUP(FACT_IMPORTS[[#This Row],[hts_6]],DIM_PRODUCTS[hts_6],DIM_PRODUCTS[hts_4],,,)</f>
        <v>8708</v>
      </c>
      <c r="I14169" t="str" cm="1">
        <f t="array" ref="I14169">_xlfn.XLOOKUP(FACT_IMPORTS[[#This Row],[country_name]],DIM_COUNTRY[[#All],[Column2]],DIM_COUNTRY[[#All],[Column3]],,,)</f>
        <v>Major_Non-USMCA_Non-China</v>
      </c>
    </row>
    <row r="14170" spans="1:9" x14ac:dyDescent="0.4">
      <c r="A14170" t="s">
        <v>75</v>
      </c>
      <c r="B14170" s="1">
        <v>45870</v>
      </c>
      <c r="C14170">
        <v>870829</v>
      </c>
      <c r="D14170" t="s">
        <v>176</v>
      </c>
      <c r="E14170">
        <v>626494</v>
      </c>
      <c r="F14170">
        <v>107757</v>
      </c>
      <c r="G14170">
        <v>82883</v>
      </c>
      <c r="H14170">
        <f>_xlfn.XLOOKUP(FACT_IMPORTS[[#This Row],[hts_6]],DIM_PRODUCTS[hts_6],DIM_PRODUCTS[hts_4],,,)</f>
        <v>8708</v>
      </c>
      <c r="I14170" t="str" cm="1">
        <f t="array" ref="I14170">_xlfn.XLOOKUP(FACT_IMPORTS[[#This Row],[country_name]],DIM_COUNTRY[[#All],[Column2]],DIM_COUNTRY[[#All],[Column3]],,,)</f>
        <v>Major_Non-USMCA_Non-China</v>
      </c>
    </row>
    <row r="14171" spans="1:9" x14ac:dyDescent="0.4">
      <c r="A14171" t="s">
        <v>75</v>
      </c>
      <c r="B14171" s="1">
        <v>45870</v>
      </c>
      <c r="C14171">
        <v>870830</v>
      </c>
      <c r="D14171" t="s">
        <v>176</v>
      </c>
      <c r="E14171">
        <v>0</v>
      </c>
      <c r="F14171">
        <v>0</v>
      </c>
      <c r="G14171">
        <v>0</v>
      </c>
      <c r="H14171">
        <f>_xlfn.XLOOKUP(FACT_IMPORTS[[#This Row],[hts_6]],DIM_PRODUCTS[hts_6],DIM_PRODUCTS[hts_4],,,)</f>
        <v>8708</v>
      </c>
      <c r="I14171" t="str" cm="1">
        <f t="array" ref="I14171">_xlfn.XLOOKUP(FACT_IMPORTS[[#This Row],[country_name]],DIM_COUNTRY[[#All],[Column2]],DIM_COUNTRY[[#All],[Column3]],,,)</f>
        <v>Major_Non-USMCA_Non-China</v>
      </c>
    </row>
    <row r="14172" spans="1:9" x14ac:dyDescent="0.4">
      <c r="A14172" t="s">
        <v>75</v>
      </c>
      <c r="B14172" s="1">
        <v>45870</v>
      </c>
      <c r="C14172">
        <v>870840</v>
      </c>
      <c r="D14172" t="s">
        <v>176</v>
      </c>
      <c r="E14172">
        <v>41839</v>
      </c>
      <c r="F14172">
        <v>27684</v>
      </c>
      <c r="G14172">
        <v>211</v>
      </c>
      <c r="H14172">
        <f>_xlfn.XLOOKUP(FACT_IMPORTS[[#This Row],[hts_6]],DIM_PRODUCTS[hts_6],DIM_PRODUCTS[hts_4],,,)</f>
        <v>8708</v>
      </c>
      <c r="I14172" t="str" cm="1">
        <f t="array" ref="I14172">_xlfn.XLOOKUP(FACT_IMPORTS[[#This Row],[country_name]],DIM_COUNTRY[[#All],[Column2]],DIM_COUNTRY[[#All],[Column3]],,,)</f>
        <v>Major_Non-USMCA_Non-China</v>
      </c>
    </row>
    <row r="14173" spans="1:9" x14ac:dyDescent="0.4">
      <c r="A14173" t="s">
        <v>75</v>
      </c>
      <c r="B14173" s="1">
        <v>45870</v>
      </c>
      <c r="C14173">
        <v>870850</v>
      </c>
      <c r="D14173" t="s">
        <v>176</v>
      </c>
      <c r="E14173">
        <v>647722</v>
      </c>
      <c r="F14173">
        <v>50339</v>
      </c>
      <c r="G14173">
        <v>19782</v>
      </c>
      <c r="H14173">
        <f>_xlfn.XLOOKUP(FACT_IMPORTS[[#This Row],[hts_6]],DIM_PRODUCTS[hts_6],DIM_PRODUCTS[hts_4],,,)</f>
        <v>8708</v>
      </c>
      <c r="I14173" t="str" cm="1">
        <f t="array" ref="I14173">_xlfn.XLOOKUP(FACT_IMPORTS[[#This Row],[country_name]],DIM_COUNTRY[[#All],[Column2]],DIM_COUNTRY[[#All],[Column3]],,,)</f>
        <v>Major_Non-USMCA_Non-China</v>
      </c>
    </row>
    <row r="14174" spans="1:9" x14ac:dyDescent="0.4">
      <c r="A14174" t="s">
        <v>75</v>
      </c>
      <c r="B14174" s="1">
        <v>45870</v>
      </c>
      <c r="C14174">
        <v>870870</v>
      </c>
      <c r="D14174" t="s">
        <v>176</v>
      </c>
      <c r="E14174">
        <v>632229</v>
      </c>
      <c r="F14174">
        <v>2441</v>
      </c>
      <c r="G14174">
        <v>14465</v>
      </c>
      <c r="H14174">
        <f>_xlfn.XLOOKUP(FACT_IMPORTS[[#This Row],[hts_6]],DIM_PRODUCTS[hts_6],DIM_PRODUCTS[hts_4],,,)</f>
        <v>8708</v>
      </c>
      <c r="I14174" t="str" cm="1">
        <f t="array" ref="I14174">_xlfn.XLOOKUP(FACT_IMPORTS[[#This Row],[country_name]],DIM_COUNTRY[[#All],[Column2]],DIM_COUNTRY[[#All],[Column3]],,,)</f>
        <v>Major_Non-USMCA_Non-China</v>
      </c>
    </row>
    <row r="14175" spans="1:9" x14ac:dyDescent="0.4">
      <c r="A14175" t="s">
        <v>75</v>
      </c>
      <c r="B14175" s="1">
        <v>45870</v>
      </c>
      <c r="C14175">
        <v>870880</v>
      </c>
      <c r="D14175" t="s">
        <v>176</v>
      </c>
      <c r="E14175">
        <v>814283</v>
      </c>
      <c r="F14175">
        <v>73864</v>
      </c>
      <c r="G14175">
        <v>7022</v>
      </c>
      <c r="H14175">
        <f>_xlfn.XLOOKUP(FACT_IMPORTS[[#This Row],[hts_6]],DIM_PRODUCTS[hts_6],DIM_PRODUCTS[hts_4],,,)</f>
        <v>8708</v>
      </c>
      <c r="I14175" t="str" cm="1">
        <f t="array" ref="I14175">_xlfn.XLOOKUP(FACT_IMPORTS[[#This Row],[country_name]],DIM_COUNTRY[[#All],[Column2]],DIM_COUNTRY[[#All],[Column3]],,,)</f>
        <v>Major_Non-USMCA_Non-China</v>
      </c>
    </row>
    <row r="14176" spans="1:9" x14ac:dyDescent="0.4">
      <c r="A14176" t="s">
        <v>75</v>
      </c>
      <c r="B14176" s="1">
        <v>45870</v>
      </c>
      <c r="C14176">
        <v>870891</v>
      </c>
      <c r="D14176" t="s">
        <v>176</v>
      </c>
      <c r="E14176">
        <v>4563</v>
      </c>
      <c r="F14176">
        <v>33056</v>
      </c>
      <c r="G14176">
        <v>1023</v>
      </c>
      <c r="H14176">
        <f>_xlfn.XLOOKUP(FACT_IMPORTS[[#This Row],[hts_6]],DIM_PRODUCTS[hts_6],DIM_PRODUCTS[hts_4],,,)</f>
        <v>8708</v>
      </c>
      <c r="I14176" t="str" cm="1">
        <f t="array" ref="I14176">_xlfn.XLOOKUP(FACT_IMPORTS[[#This Row],[country_name]],DIM_COUNTRY[[#All],[Column2]],DIM_COUNTRY[[#All],[Column3]],,,)</f>
        <v>Major_Non-USMCA_Non-China</v>
      </c>
    </row>
    <row r="14177" spans="1:9" x14ac:dyDescent="0.4">
      <c r="A14177" t="s">
        <v>75</v>
      </c>
      <c r="B14177" s="1">
        <v>45870</v>
      </c>
      <c r="C14177">
        <v>870892</v>
      </c>
      <c r="D14177" t="s">
        <v>176</v>
      </c>
      <c r="E14177">
        <v>77509</v>
      </c>
      <c r="F14177">
        <v>1485</v>
      </c>
      <c r="G14177">
        <v>5574</v>
      </c>
      <c r="H14177">
        <f>_xlfn.XLOOKUP(FACT_IMPORTS[[#This Row],[hts_6]],DIM_PRODUCTS[hts_6],DIM_PRODUCTS[hts_4],,,)</f>
        <v>8708</v>
      </c>
      <c r="I14177" t="str" cm="1">
        <f t="array" ref="I14177">_xlfn.XLOOKUP(FACT_IMPORTS[[#This Row],[country_name]],DIM_COUNTRY[[#All],[Column2]],DIM_COUNTRY[[#All],[Column3]],,,)</f>
        <v>Major_Non-USMCA_Non-China</v>
      </c>
    </row>
    <row r="14178" spans="1:9" x14ac:dyDescent="0.4">
      <c r="A14178" t="s">
        <v>75</v>
      </c>
      <c r="B14178" s="1">
        <v>45870</v>
      </c>
      <c r="C14178">
        <v>870893</v>
      </c>
      <c r="D14178" t="s">
        <v>176</v>
      </c>
      <c r="E14178">
        <v>62751</v>
      </c>
      <c r="F14178">
        <v>7386</v>
      </c>
      <c r="G14178">
        <v>4035</v>
      </c>
      <c r="H14178">
        <f>_xlfn.XLOOKUP(FACT_IMPORTS[[#This Row],[hts_6]],DIM_PRODUCTS[hts_6],DIM_PRODUCTS[hts_4],,,)</f>
        <v>8708</v>
      </c>
      <c r="I14178" t="str" cm="1">
        <f t="array" ref="I14178">_xlfn.XLOOKUP(FACT_IMPORTS[[#This Row],[country_name]],DIM_COUNTRY[[#All],[Column2]],DIM_COUNTRY[[#All],[Column3]],,,)</f>
        <v>Major_Non-USMCA_Non-China</v>
      </c>
    </row>
    <row r="14179" spans="1:9" x14ac:dyDescent="0.4">
      <c r="A14179" t="s">
        <v>75</v>
      </c>
      <c r="B14179" s="1">
        <v>45870</v>
      </c>
      <c r="C14179">
        <v>870894</v>
      </c>
      <c r="D14179" t="s">
        <v>176</v>
      </c>
      <c r="E14179">
        <v>0</v>
      </c>
      <c r="F14179">
        <v>0</v>
      </c>
      <c r="G14179">
        <v>0</v>
      </c>
      <c r="H14179">
        <f>_xlfn.XLOOKUP(FACT_IMPORTS[[#This Row],[hts_6]],DIM_PRODUCTS[hts_6],DIM_PRODUCTS[hts_4],,,)</f>
        <v>8708</v>
      </c>
      <c r="I14179" t="str" cm="1">
        <f t="array" ref="I14179">_xlfn.XLOOKUP(FACT_IMPORTS[[#This Row],[country_name]],DIM_COUNTRY[[#All],[Column2]],DIM_COUNTRY[[#All],[Column3]],,,)</f>
        <v>Major_Non-USMCA_Non-China</v>
      </c>
    </row>
    <row r="14180" spans="1:9" x14ac:dyDescent="0.4">
      <c r="A14180" t="s">
        <v>75</v>
      </c>
      <c r="B14180" s="1">
        <v>45870</v>
      </c>
      <c r="C14180">
        <v>870899</v>
      </c>
      <c r="D14180" t="s">
        <v>176</v>
      </c>
      <c r="E14180">
        <v>1544271</v>
      </c>
      <c r="F14180">
        <v>3895576</v>
      </c>
      <c r="G14180">
        <v>43971</v>
      </c>
      <c r="H14180">
        <f>_xlfn.XLOOKUP(FACT_IMPORTS[[#This Row],[hts_6]],DIM_PRODUCTS[hts_6],DIM_PRODUCTS[hts_4],,,)</f>
        <v>8708</v>
      </c>
      <c r="I14180" t="str" cm="1">
        <f t="array" ref="I14180">_xlfn.XLOOKUP(FACT_IMPORTS[[#This Row],[country_name]],DIM_COUNTRY[[#All],[Column2]],DIM_COUNTRY[[#All],[Column3]],,,)</f>
        <v>Major_Non-USMCA_Non-China</v>
      </c>
    </row>
    <row r="14181" spans="1:9" x14ac:dyDescent="0.4">
      <c r="A14181" t="s">
        <v>75</v>
      </c>
      <c r="B14181" s="1">
        <v>45870</v>
      </c>
      <c r="C14181">
        <v>940120</v>
      </c>
      <c r="D14181" t="s">
        <v>176</v>
      </c>
      <c r="E14181">
        <v>316</v>
      </c>
      <c r="F14181">
        <v>4</v>
      </c>
      <c r="G14181">
        <v>1</v>
      </c>
      <c r="H14181">
        <f>_xlfn.XLOOKUP(FACT_IMPORTS[[#This Row],[hts_6]],DIM_PRODUCTS[hts_6],DIM_PRODUCTS[hts_4],,,)</f>
        <v>9401</v>
      </c>
      <c r="I14181" t="str" cm="1">
        <f t="array" ref="I14181">_xlfn.XLOOKUP(FACT_IMPORTS[[#This Row],[country_name]],DIM_COUNTRY[[#All],[Column2]],DIM_COUNTRY[[#All],[Column3]],,,)</f>
        <v>Major_Non-USMCA_Non-China</v>
      </c>
    </row>
    <row r="14182" spans="1:9" x14ac:dyDescent="0.4">
      <c r="A14182" t="s">
        <v>75</v>
      </c>
      <c r="B14182" s="1">
        <v>45901</v>
      </c>
      <c r="C14182">
        <v>392630</v>
      </c>
      <c r="D14182" t="s">
        <v>176</v>
      </c>
      <c r="E14182">
        <v>5105</v>
      </c>
      <c r="F14182">
        <v>1263</v>
      </c>
      <c r="G14182">
        <v>364</v>
      </c>
      <c r="H14182">
        <f>_xlfn.XLOOKUP(FACT_IMPORTS[[#This Row],[hts_6]],DIM_PRODUCTS[hts_6],DIM_PRODUCTS[hts_4],,,)</f>
        <v>3926</v>
      </c>
      <c r="I14182" t="str" cm="1">
        <f t="array" ref="I14182">_xlfn.XLOOKUP(FACT_IMPORTS[[#This Row],[country_name]],DIM_COUNTRY[[#All],[Column2]],DIM_COUNTRY[[#All],[Column3]],,,)</f>
        <v>Major_Non-USMCA_Non-China</v>
      </c>
    </row>
    <row r="14183" spans="1:9" x14ac:dyDescent="0.4">
      <c r="A14183" t="s">
        <v>75</v>
      </c>
      <c r="B14183" s="1">
        <v>45901</v>
      </c>
      <c r="C14183">
        <v>401110</v>
      </c>
      <c r="D14183" t="s">
        <v>176</v>
      </c>
      <c r="E14183">
        <v>18800</v>
      </c>
      <c r="F14183">
        <v>94</v>
      </c>
      <c r="G14183">
        <v>94</v>
      </c>
      <c r="H14183">
        <f>_xlfn.XLOOKUP(FACT_IMPORTS[[#This Row],[hts_6]],DIM_PRODUCTS[hts_6],DIM_PRODUCTS[hts_4],,,)</f>
        <v>4011</v>
      </c>
      <c r="I14183" t="str" cm="1">
        <f t="array" ref="I14183">_xlfn.XLOOKUP(FACT_IMPORTS[[#This Row],[country_name]],DIM_COUNTRY[[#All],[Column2]],DIM_COUNTRY[[#All],[Column3]],,,)</f>
        <v>Major_Non-USMCA_Non-China</v>
      </c>
    </row>
    <row r="14184" spans="1:9" x14ac:dyDescent="0.4">
      <c r="A14184" t="s">
        <v>75</v>
      </c>
      <c r="B14184" s="1">
        <v>45901</v>
      </c>
      <c r="C14184">
        <v>401190</v>
      </c>
      <c r="D14184" t="s">
        <v>176</v>
      </c>
      <c r="E14184">
        <v>3408</v>
      </c>
      <c r="F14184">
        <v>40</v>
      </c>
      <c r="G14184">
        <v>9</v>
      </c>
      <c r="H14184">
        <f>_xlfn.XLOOKUP(FACT_IMPORTS[[#This Row],[hts_6]],DIM_PRODUCTS[hts_6],DIM_PRODUCTS[hts_4],,,)</f>
        <v>4011</v>
      </c>
      <c r="I14184" t="str" cm="1">
        <f t="array" ref="I14184">_xlfn.XLOOKUP(FACT_IMPORTS[[#This Row],[country_name]],DIM_COUNTRY[[#All],[Column2]],DIM_COUNTRY[[#All],[Column3]],,,)</f>
        <v>Major_Non-USMCA_Non-China</v>
      </c>
    </row>
    <row r="14185" spans="1:9" x14ac:dyDescent="0.4">
      <c r="A14185" t="s">
        <v>75</v>
      </c>
      <c r="B14185" s="1">
        <v>45901</v>
      </c>
      <c r="C14185">
        <v>700721</v>
      </c>
      <c r="D14185" t="s">
        <v>176</v>
      </c>
      <c r="E14185">
        <v>0</v>
      </c>
      <c r="F14185">
        <v>0</v>
      </c>
      <c r="G14185">
        <v>0</v>
      </c>
      <c r="H14185">
        <f>_xlfn.XLOOKUP(FACT_IMPORTS[[#This Row],[hts_6]],DIM_PRODUCTS[hts_6],DIM_PRODUCTS[hts_4],,,)</f>
        <v>7007</v>
      </c>
      <c r="I14185" t="str" cm="1">
        <f t="array" ref="I14185">_xlfn.XLOOKUP(FACT_IMPORTS[[#This Row],[country_name]],DIM_COUNTRY[[#All],[Column2]],DIM_COUNTRY[[#All],[Column3]],,,)</f>
        <v>Major_Non-USMCA_Non-China</v>
      </c>
    </row>
    <row r="14186" spans="1:9" x14ac:dyDescent="0.4">
      <c r="A14186" t="s">
        <v>75</v>
      </c>
      <c r="B14186" s="1">
        <v>45901</v>
      </c>
      <c r="C14186">
        <v>700910</v>
      </c>
      <c r="D14186" t="s">
        <v>176</v>
      </c>
      <c r="E14186">
        <v>110010</v>
      </c>
      <c r="F14186">
        <v>24729</v>
      </c>
      <c r="G14186">
        <v>4445</v>
      </c>
      <c r="H14186">
        <f>_xlfn.XLOOKUP(FACT_IMPORTS[[#This Row],[hts_6]],DIM_PRODUCTS[hts_6],DIM_PRODUCTS[hts_4],,,)</f>
        <v>7009</v>
      </c>
      <c r="I14186" t="str" cm="1">
        <f t="array" ref="I14186">_xlfn.XLOOKUP(FACT_IMPORTS[[#This Row],[country_name]],DIM_COUNTRY[[#All],[Column2]],DIM_COUNTRY[[#All],[Column3]],,,)</f>
        <v>Major_Non-USMCA_Non-China</v>
      </c>
    </row>
    <row r="14187" spans="1:9" x14ac:dyDescent="0.4">
      <c r="A14187" t="s">
        <v>75</v>
      </c>
      <c r="B14187" s="1">
        <v>45901</v>
      </c>
      <c r="C14187">
        <v>830230</v>
      </c>
      <c r="D14187" t="s">
        <v>176</v>
      </c>
      <c r="E14187">
        <v>62839</v>
      </c>
      <c r="F14187">
        <v>4541</v>
      </c>
      <c r="G14187">
        <v>4275</v>
      </c>
      <c r="H14187">
        <f>_xlfn.XLOOKUP(FACT_IMPORTS[[#This Row],[hts_6]],DIM_PRODUCTS[hts_6],DIM_PRODUCTS[hts_4],,,)</f>
        <v>8302</v>
      </c>
      <c r="I14187" t="str" cm="1">
        <f t="array" ref="I14187">_xlfn.XLOOKUP(FACT_IMPORTS[[#This Row],[country_name]],DIM_COUNTRY[[#All],[Column2]],DIM_COUNTRY[[#All],[Column3]],,,)</f>
        <v>Major_Non-USMCA_Non-China</v>
      </c>
    </row>
    <row r="14188" spans="1:9" x14ac:dyDescent="0.4">
      <c r="A14188" t="s">
        <v>75</v>
      </c>
      <c r="B14188" s="1">
        <v>45901</v>
      </c>
      <c r="C14188">
        <v>840733</v>
      </c>
      <c r="D14188" t="s">
        <v>176</v>
      </c>
      <c r="E14188">
        <v>0</v>
      </c>
      <c r="F14188">
        <v>0</v>
      </c>
      <c r="G14188">
        <v>0</v>
      </c>
      <c r="H14188">
        <f>_xlfn.XLOOKUP(FACT_IMPORTS[[#This Row],[hts_6]],DIM_PRODUCTS[hts_6],DIM_PRODUCTS[hts_4],,,)</f>
        <v>8407</v>
      </c>
      <c r="I14188" t="str" cm="1">
        <f t="array" ref="I14188">_xlfn.XLOOKUP(FACT_IMPORTS[[#This Row],[country_name]],DIM_COUNTRY[[#All],[Column2]],DIM_COUNTRY[[#All],[Column3]],,,)</f>
        <v>Major_Non-USMCA_Non-China</v>
      </c>
    </row>
    <row r="14189" spans="1:9" x14ac:dyDescent="0.4">
      <c r="A14189" t="s">
        <v>75</v>
      </c>
      <c r="B14189" s="1">
        <v>45901</v>
      </c>
      <c r="C14189">
        <v>840991</v>
      </c>
      <c r="D14189" t="s">
        <v>176</v>
      </c>
      <c r="E14189">
        <v>20001</v>
      </c>
      <c r="F14189">
        <v>551</v>
      </c>
      <c r="G14189">
        <v>388</v>
      </c>
      <c r="H14189">
        <f>_xlfn.XLOOKUP(FACT_IMPORTS[[#This Row],[hts_6]],DIM_PRODUCTS[hts_6],DIM_PRODUCTS[hts_4],,,)</f>
        <v>8409</v>
      </c>
      <c r="I14189" t="str" cm="1">
        <f t="array" ref="I14189">_xlfn.XLOOKUP(FACT_IMPORTS[[#This Row],[country_name]],DIM_COUNTRY[[#All],[Column2]],DIM_COUNTRY[[#All],[Column3]],,,)</f>
        <v>Major_Non-USMCA_Non-China</v>
      </c>
    </row>
    <row r="14190" spans="1:9" x14ac:dyDescent="0.4">
      <c r="A14190" t="s">
        <v>75</v>
      </c>
      <c r="B14190" s="1">
        <v>45901</v>
      </c>
      <c r="C14190">
        <v>840999</v>
      </c>
      <c r="D14190" t="s">
        <v>176</v>
      </c>
      <c r="E14190">
        <v>5103</v>
      </c>
      <c r="F14190">
        <v>235</v>
      </c>
      <c r="G14190">
        <v>127</v>
      </c>
      <c r="H14190">
        <f>_xlfn.XLOOKUP(FACT_IMPORTS[[#This Row],[hts_6]],DIM_PRODUCTS[hts_6],DIM_PRODUCTS[hts_4],,,)</f>
        <v>8409</v>
      </c>
      <c r="I14190" t="str" cm="1">
        <f t="array" ref="I14190">_xlfn.XLOOKUP(FACT_IMPORTS[[#This Row],[country_name]],DIM_COUNTRY[[#All],[Column2]],DIM_COUNTRY[[#All],[Column3]],,,)</f>
        <v>Major_Non-USMCA_Non-China</v>
      </c>
    </row>
    <row r="14191" spans="1:9" x14ac:dyDescent="0.4">
      <c r="A14191" t="s">
        <v>75</v>
      </c>
      <c r="B14191" s="1">
        <v>45901</v>
      </c>
      <c r="C14191">
        <v>841330</v>
      </c>
      <c r="D14191" t="s">
        <v>176</v>
      </c>
      <c r="E14191">
        <v>87587</v>
      </c>
      <c r="F14191">
        <v>1781</v>
      </c>
      <c r="G14191">
        <v>9693</v>
      </c>
      <c r="H14191">
        <f>_xlfn.XLOOKUP(FACT_IMPORTS[[#This Row],[hts_6]],DIM_PRODUCTS[hts_6],DIM_PRODUCTS[hts_4],,,)</f>
        <v>8413</v>
      </c>
      <c r="I14191" t="str" cm="1">
        <f t="array" ref="I14191">_xlfn.XLOOKUP(FACT_IMPORTS[[#This Row],[country_name]],DIM_COUNTRY[[#All],[Column2]],DIM_COUNTRY[[#All],[Column3]],,,)</f>
        <v>Major_Non-USMCA_Non-China</v>
      </c>
    </row>
    <row r="14192" spans="1:9" x14ac:dyDescent="0.4">
      <c r="A14192" t="s">
        <v>75</v>
      </c>
      <c r="B14192" s="1">
        <v>45901</v>
      </c>
      <c r="C14192">
        <v>848210</v>
      </c>
      <c r="D14192" t="s">
        <v>176</v>
      </c>
      <c r="E14192">
        <v>166092</v>
      </c>
      <c r="F14192">
        <v>614640</v>
      </c>
      <c r="G14192">
        <v>10736</v>
      </c>
      <c r="H14192">
        <f>_xlfn.XLOOKUP(FACT_IMPORTS[[#This Row],[hts_6]],DIM_PRODUCTS[hts_6],DIM_PRODUCTS[hts_4],,,)</f>
        <v>8482</v>
      </c>
      <c r="I14192" t="str" cm="1">
        <f t="array" ref="I14192">_xlfn.XLOOKUP(FACT_IMPORTS[[#This Row],[country_name]],DIM_COUNTRY[[#All],[Column2]],DIM_COUNTRY[[#All],[Column3]],,,)</f>
        <v>Major_Non-USMCA_Non-China</v>
      </c>
    </row>
    <row r="14193" spans="1:9" x14ac:dyDescent="0.4">
      <c r="A14193" t="s">
        <v>75</v>
      </c>
      <c r="B14193" s="1">
        <v>45901</v>
      </c>
      <c r="C14193">
        <v>848220</v>
      </c>
      <c r="D14193" t="s">
        <v>176</v>
      </c>
      <c r="E14193">
        <v>0</v>
      </c>
      <c r="F14193">
        <v>0</v>
      </c>
      <c r="G14193">
        <v>0</v>
      </c>
      <c r="H14193">
        <f>_xlfn.XLOOKUP(FACT_IMPORTS[[#This Row],[hts_6]],DIM_PRODUCTS[hts_6],DIM_PRODUCTS[hts_4],,,)</f>
        <v>8482</v>
      </c>
      <c r="I14193" t="str" cm="1">
        <f t="array" ref="I14193">_xlfn.XLOOKUP(FACT_IMPORTS[[#This Row],[country_name]],DIM_COUNTRY[[#All],[Column2]],DIM_COUNTRY[[#All],[Column3]],,,)</f>
        <v>Major_Non-USMCA_Non-China</v>
      </c>
    </row>
    <row r="14194" spans="1:9" x14ac:dyDescent="0.4">
      <c r="A14194" t="s">
        <v>75</v>
      </c>
      <c r="B14194" s="1">
        <v>45901</v>
      </c>
      <c r="C14194">
        <v>848310</v>
      </c>
      <c r="D14194" t="s">
        <v>176</v>
      </c>
      <c r="E14194">
        <v>0</v>
      </c>
      <c r="F14194">
        <v>0</v>
      </c>
      <c r="G14194">
        <v>0</v>
      </c>
      <c r="H14194">
        <f>_xlfn.XLOOKUP(FACT_IMPORTS[[#This Row],[hts_6]],DIM_PRODUCTS[hts_6],DIM_PRODUCTS[hts_4],,,)</f>
        <v>8483</v>
      </c>
      <c r="I14194" t="str" cm="1">
        <f t="array" ref="I14194">_xlfn.XLOOKUP(FACT_IMPORTS[[#This Row],[country_name]],DIM_COUNTRY[[#All],[Column2]],DIM_COUNTRY[[#All],[Column3]],,,)</f>
        <v>Major_Non-USMCA_Non-China</v>
      </c>
    </row>
    <row r="14195" spans="1:9" x14ac:dyDescent="0.4">
      <c r="A14195" t="s">
        <v>75</v>
      </c>
      <c r="B14195" s="1">
        <v>45901</v>
      </c>
      <c r="C14195">
        <v>850131</v>
      </c>
      <c r="D14195" t="s">
        <v>176</v>
      </c>
      <c r="E14195">
        <v>0</v>
      </c>
      <c r="F14195">
        <v>0</v>
      </c>
      <c r="G14195">
        <v>0</v>
      </c>
      <c r="H14195">
        <f>_xlfn.XLOOKUP(FACT_IMPORTS[[#This Row],[hts_6]],DIM_PRODUCTS[hts_6],DIM_PRODUCTS[hts_4],,,)</f>
        <v>8501</v>
      </c>
      <c r="I14195" t="str" cm="1">
        <f t="array" ref="I14195">_xlfn.XLOOKUP(FACT_IMPORTS[[#This Row],[country_name]],DIM_COUNTRY[[#All],[Column2]],DIM_COUNTRY[[#All],[Column3]],,,)</f>
        <v>Major_Non-USMCA_Non-China</v>
      </c>
    </row>
    <row r="14196" spans="1:9" x14ac:dyDescent="0.4">
      <c r="A14196" t="s">
        <v>75</v>
      </c>
      <c r="B14196" s="1">
        <v>45901</v>
      </c>
      <c r="C14196">
        <v>850132</v>
      </c>
      <c r="D14196" t="s">
        <v>176</v>
      </c>
      <c r="E14196">
        <v>0</v>
      </c>
      <c r="F14196">
        <v>0</v>
      </c>
      <c r="G14196">
        <v>0</v>
      </c>
      <c r="H14196">
        <f>_xlfn.XLOOKUP(FACT_IMPORTS[[#This Row],[hts_6]],DIM_PRODUCTS[hts_6],DIM_PRODUCTS[hts_4],,,)</f>
        <v>8501</v>
      </c>
      <c r="I14196" t="str" cm="1">
        <f t="array" ref="I14196">_xlfn.XLOOKUP(FACT_IMPORTS[[#This Row],[country_name]],DIM_COUNTRY[[#All],[Column2]],DIM_COUNTRY[[#All],[Column3]],,,)</f>
        <v>Major_Non-USMCA_Non-China</v>
      </c>
    </row>
    <row r="14197" spans="1:9" x14ac:dyDescent="0.4">
      <c r="A14197" t="s">
        <v>75</v>
      </c>
      <c r="B14197" s="1">
        <v>45901</v>
      </c>
      <c r="C14197">
        <v>850152</v>
      </c>
      <c r="D14197" t="s">
        <v>176</v>
      </c>
      <c r="E14197">
        <v>0</v>
      </c>
      <c r="F14197">
        <v>0</v>
      </c>
      <c r="G14197">
        <v>0</v>
      </c>
      <c r="H14197">
        <f>_xlfn.XLOOKUP(FACT_IMPORTS[[#This Row],[hts_6]],DIM_PRODUCTS[hts_6],DIM_PRODUCTS[hts_4],,,)</f>
        <v>8501</v>
      </c>
      <c r="I14197" t="str" cm="1">
        <f t="array" ref="I14197">_xlfn.XLOOKUP(FACT_IMPORTS[[#This Row],[country_name]],DIM_COUNTRY[[#All],[Column2]],DIM_COUNTRY[[#All],[Column3]],,,)</f>
        <v>Major_Non-USMCA_Non-China</v>
      </c>
    </row>
    <row r="14198" spans="1:9" x14ac:dyDescent="0.4">
      <c r="A14198" t="s">
        <v>75</v>
      </c>
      <c r="B14198" s="1">
        <v>45901</v>
      </c>
      <c r="C14198">
        <v>850153</v>
      </c>
      <c r="D14198" t="s">
        <v>176</v>
      </c>
      <c r="E14198">
        <v>0</v>
      </c>
      <c r="F14198">
        <v>0</v>
      </c>
      <c r="G14198">
        <v>0</v>
      </c>
      <c r="H14198">
        <f>_xlfn.XLOOKUP(FACT_IMPORTS[[#This Row],[hts_6]],DIM_PRODUCTS[hts_6],DIM_PRODUCTS[hts_4],,,)</f>
        <v>8501</v>
      </c>
      <c r="I14198" t="str" cm="1">
        <f t="array" ref="I14198">_xlfn.XLOOKUP(FACT_IMPORTS[[#This Row],[country_name]],DIM_COUNTRY[[#All],[Column2]],DIM_COUNTRY[[#All],[Column3]],,,)</f>
        <v>Major_Non-USMCA_Non-China</v>
      </c>
    </row>
    <row r="14199" spans="1:9" x14ac:dyDescent="0.4">
      <c r="A14199" t="s">
        <v>75</v>
      </c>
      <c r="B14199" s="1">
        <v>45901</v>
      </c>
      <c r="C14199">
        <v>850161</v>
      </c>
      <c r="D14199" t="s">
        <v>176</v>
      </c>
      <c r="E14199">
        <v>0</v>
      </c>
      <c r="F14199">
        <v>0</v>
      </c>
      <c r="G14199">
        <v>0</v>
      </c>
      <c r="H14199">
        <f>_xlfn.XLOOKUP(FACT_IMPORTS[[#This Row],[hts_6]],DIM_PRODUCTS[hts_6],DIM_PRODUCTS[hts_4],,,)</f>
        <v>8501</v>
      </c>
      <c r="I14199" t="str" cm="1">
        <f t="array" ref="I14199">_xlfn.XLOOKUP(FACT_IMPORTS[[#This Row],[country_name]],DIM_COUNTRY[[#All],[Column2]],DIM_COUNTRY[[#All],[Column3]],,,)</f>
        <v>Major_Non-USMCA_Non-China</v>
      </c>
    </row>
    <row r="14200" spans="1:9" x14ac:dyDescent="0.4">
      <c r="A14200" t="s">
        <v>75</v>
      </c>
      <c r="B14200" s="1">
        <v>45901</v>
      </c>
      <c r="C14200">
        <v>850440</v>
      </c>
      <c r="D14200" t="s">
        <v>176</v>
      </c>
      <c r="E14200">
        <v>469471</v>
      </c>
      <c r="F14200">
        <v>9752</v>
      </c>
      <c r="G14200">
        <v>38041</v>
      </c>
      <c r="H14200">
        <f>_xlfn.XLOOKUP(FACT_IMPORTS[[#This Row],[hts_6]],DIM_PRODUCTS[hts_6],DIM_PRODUCTS[hts_4],,,)</f>
        <v>8504</v>
      </c>
      <c r="I14200" t="str" cm="1">
        <f t="array" ref="I14200">_xlfn.XLOOKUP(FACT_IMPORTS[[#This Row],[country_name]],DIM_COUNTRY[[#All],[Column2]],DIM_COUNTRY[[#All],[Column3]],,,)</f>
        <v>Major_Non-USMCA_Non-China</v>
      </c>
    </row>
    <row r="14201" spans="1:9" x14ac:dyDescent="0.4">
      <c r="A14201" t="s">
        <v>75</v>
      </c>
      <c r="B14201" s="1">
        <v>45901</v>
      </c>
      <c r="C14201">
        <v>850710</v>
      </c>
      <c r="D14201" t="s">
        <v>176</v>
      </c>
      <c r="E14201">
        <v>3384</v>
      </c>
      <c r="F14201">
        <v>55</v>
      </c>
      <c r="G14201">
        <v>1</v>
      </c>
      <c r="H14201">
        <f>_xlfn.XLOOKUP(FACT_IMPORTS[[#This Row],[hts_6]],DIM_PRODUCTS[hts_6],DIM_PRODUCTS[hts_4],,,)</f>
        <v>8507</v>
      </c>
      <c r="I14201" t="str" cm="1">
        <f t="array" ref="I14201">_xlfn.XLOOKUP(FACT_IMPORTS[[#This Row],[country_name]],DIM_COUNTRY[[#All],[Column2]],DIM_COUNTRY[[#All],[Column3]],,,)</f>
        <v>Major_Non-USMCA_Non-China</v>
      </c>
    </row>
    <row r="14202" spans="1:9" x14ac:dyDescent="0.4">
      <c r="A14202" t="s">
        <v>75</v>
      </c>
      <c r="B14202" s="1">
        <v>45901</v>
      </c>
      <c r="C14202">
        <v>850760</v>
      </c>
      <c r="D14202" t="s">
        <v>176</v>
      </c>
      <c r="E14202">
        <v>177466</v>
      </c>
      <c r="F14202">
        <v>3452</v>
      </c>
      <c r="G14202">
        <v>1508</v>
      </c>
      <c r="H14202">
        <f>_xlfn.XLOOKUP(FACT_IMPORTS[[#This Row],[hts_6]],DIM_PRODUCTS[hts_6],DIM_PRODUCTS[hts_4],,,)</f>
        <v>8507</v>
      </c>
      <c r="I14202" t="str" cm="1">
        <f t="array" ref="I14202">_xlfn.XLOOKUP(FACT_IMPORTS[[#This Row],[country_name]],DIM_COUNTRY[[#All],[Column2]],DIM_COUNTRY[[#All],[Column3]],,,)</f>
        <v>Major_Non-USMCA_Non-China</v>
      </c>
    </row>
    <row r="14203" spans="1:9" x14ac:dyDescent="0.4">
      <c r="A14203" t="s">
        <v>75</v>
      </c>
      <c r="B14203" s="1">
        <v>45901</v>
      </c>
      <c r="C14203">
        <v>851120</v>
      </c>
      <c r="D14203" t="s">
        <v>176</v>
      </c>
      <c r="E14203">
        <v>2594</v>
      </c>
      <c r="F14203">
        <v>10</v>
      </c>
      <c r="G14203">
        <v>1</v>
      </c>
      <c r="H14203">
        <f>_xlfn.XLOOKUP(FACT_IMPORTS[[#This Row],[hts_6]],DIM_PRODUCTS[hts_6],DIM_PRODUCTS[hts_4],,,)</f>
        <v>8511</v>
      </c>
      <c r="I14203" t="str" cm="1">
        <f t="array" ref="I14203">_xlfn.XLOOKUP(FACT_IMPORTS[[#This Row],[country_name]],DIM_COUNTRY[[#All],[Column2]],DIM_COUNTRY[[#All],[Column3]],,,)</f>
        <v>Major_Non-USMCA_Non-China</v>
      </c>
    </row>
    <row r="14204" spans="1:9" x14ac:dyDescent="0.4">
      <c r="A14204" t="s">
        <v>75</v>
      </c>
      <c r="B14204" s="1">
        <v>45901</v>
      </c>
      <c r="C14204">
        <v>851140</v>
      </c>
      <c r="D14204" t="s">
        <v>176</v>
      </c>
      <c r="E14204">
        <v>12160</v>
      </c>
      <c r="F14204">
        <v>210</v>
      </c>
      <c r="G14204">
        <v>9</v>
      </c>
      <c r="H14204">
        <f>_xlfn.XLOOKUP(FACT_IMPORTS[[#This Row],[hts_6]],DIM_PRODUCTS[hts_6],DIM_PRODUCTS[hts_4],,,)</f>
        <v>8511</v>
      </c>
      <c r="I14204" t="str" cm="1">
        <f t="array" ref="I14204">_xlfn.XLOOKUP(FACT_IMPORTS[[#This Row],[country_name]],DIM_COUNTRY[[#All],[Column2]],DIM_COUNTRY[[#All],[Column3]],,,)</f>
        <v>Major_Non-USMCA_Non-China</v>
      </c>
    </row>
    <row r="14205" spans="1:9" x14ac:dyDescent="0.4">
      <c r="A14205" t="s">
        <v>75</v>
      </c>
      <c r="B14205" s="1">
        <v>45901</v>
      </c>
      <c r="C14205">
        <v>851150</v>
      </c>
      <c r="D14205" t="s">
        <v>176</v>
      </c>
      <c r="E14205">
        <v>3810</v>
      </c>
      <c r="F14205">
        <v>4</v>
      </c>
      <c r="G14205">
        <v>9</v>
      </c>
      <c r="H14205">
        <f>_xlfn.XLOOKUP(FACT_IMPORTS[[#This Row],[hts_6]],DIM_PRODUCTS[hts_6],DIM_PRODUCTS[hts_4],,,)</f>
        <v>8511</v>
      </c>
      <c r="I14205" t="str" cm="1">
        <f t="array" ref="I14205">_xlfn.XLOOKUP(FACT_IMPORTS[[#This Row],[country_name]],DIM_COUNTRY[[#All],[Column2]],DIM_COUNTRY[[#All],[Column3]],,,)</f>
        <v>Major_Non-USMCA_Non-China</v>
      </c>
    </row>
    <row r="14206" spans="1:9" x14ac:dyDescent="0.4">
      <c r="A14206" t="s">
        <v>75</v>
      </c>
      <c r="B14206" s="1">
        <v>45901</v>
      </c>
      <c r="C14206">
        <v>851190</v>
      </c>
      <c r="D14206" t="s">
        <v>176</v>
      </c>
      <c r="E14206">
        <v>0</v>
      </c>
      <c r="F14206">
        <v>0</v>
      </c>
      <c r="G14206">
        <v>0</v>
      </c>
      <c r="H14206">
        <f>_xlfn.XLOOKUP(FACT_IMPORTS[[#This Row],[hts_6]],DIM_PRODUCTS[hts_6],DIM_PRODUCTS[hts_4],,,)</f>
        <v>8511</v>
      </c>
      <c r="I14206" t="str" cm="1">
        <f t="array" ref="I14206">_xlfn.XLOOKUP(FACT_IMPORTS[[#This Row],[country_name]],DIM_COUNTRY[[#All],[Column2]],DIM_COUNTRY[[#All],[Column3]],,,)</f>
        <v>Major_Non-USMCA_Non-China</v>
      </c>
    </row>
    <row r="14207" spans="1:9" x14ac:dyDescent="0.4">
      <c r="A14207" t="s">
        <v>75</v>
      </c>
      <c r="B14207" s="1">
        <v>45901</v>
      </c>
      <c r="C14207">
        <v>851220</v>
      </c>
      <c r="D14207" t="s">
        <v>176</v>
      </c>
      <c r="E14207">
        <v>2338761</v>
      </c>
      <c r="F14207">
        <v>362819</v>
      </c>
      <c r="G14207">
        <v>38231</v>
      </c>
      <c r="H14207">
        <f>_xlfn.XLOOKUP(FACT_IMPORTS[[#This Row],[hts_6]],DIM_PRODUCTS[hts_6],DIM_PRODUCTS[hts_4],,,)</f>
        <v>8512</v>
      </c>
      <c r="I14207" t="str" cm="1">
        <f t="array" ref="I14207">_xlfn.XLOOKUP(FACT_IMPORTS[[#This Row],[country_name]],DIM_COUNTRY[[#All],[Column2]],DIM_COUNTRY[[#All],[Column3]],,,)</f>
        <v>Major_Non-USMCA_Non-China</v>
      </c>
    </row>
    <row r="14208" spans="1:9" x14ac:dyDescent="0.4">
      <c r="A14208" t="s">
        <v>75</v>
      </c>
      <c r="B14208" s="1">
        <v>45901</v>
      </c>
      <c r="C14208">
        <v>851230</v>
      </c>
      <c r="D14208" t="s">
        <v>176</v>
      </c>
      <c r="E14208">
        <v>0</v>
      </c>
      <c r="F14208">
        <v>0</v>
      </c>
      <c r="G14208">
        <v>0</v>
      </c>
      <c r="H14208">
        <f>_xlfn.XLOOKUP(FACT_IMPORTS[[#This Row],[hts_6]],DIM_PRODUCTS[hts_6],DIM_PRODUCTS[hts_4],,,)</f>
        <v>8512</v>
      </c>
      <c r="I14208" t="str" cm="1">
        <f t="array" ref="I14208">_xlfn.XLOOKUP(FACT_IMPORTS[[#This Row],[country_name]],DIM_COUNTRY[[#All],[Column2]],DIM_COUNTRY[[#All],[Column3]],,,)</f>
        <v>Major_Non-USMCA_Non-China</v>
      </c>
    </row>
    <row r="14209" spans="1:9" x14ac:dyDescent="0.4">
      <c r="A14209" t="s">
        <v>75</v>
      </c>
      <c r="B14209" s="1">
        <v>45901</v>
      </c>
      <c r="C14209">
        <v>851290</v>
      </c>
      <c r="D14209" t="s">
        <v>176</v>
      </c>
      <c r="E14209">
        <v>1866547</v>
      </c>
      <c r="F14209">
        <v>39355</v>
      </c>
      <c r="G14209">
        <v>19260</v>
      </c>
      <c r="H14209">
        <f>_xlfn.XLOOKUP(FACT_IMPORTS[[#This Row],[hts_6]],DIM_PRODUCTS[hts_6],DIM_PRODUCTS[hts_4],,,)</f>
        <v>8512</v>
      </c>
      <c r="I14209" t="str" cm="1">
        <f t="array" ref="I14209">_xlfn.XLOOKUP(FACT_IMPORTS[[#This Row],[country_name]],DIM_COUNTRY[[#All],[Column2]],DIM_COUNTRY[[#All],[Column3]],,,)</f>
        <v>Major_Non-USMCA_Non-China</v>
      </c>
    </row>
    <row r="14210" spans="1:9" x14ac:dyDescent="0.4">
      <c r="A14210" t="s">
        <v>75</v>
      </c>
      <c r="B14210" s="1">
        <v>45901</v>
      </c>
      <c r="C14210">
        <v>854231</v>
      </c>
      <c r="D14210" t="s">
        <v>176</v>
      </c>
      <c r="E14210">
        <v>7779930</v>
      </c>
      <c r="F14210">
        <v>767430</v>
      </c>
      <c r="G14210">
        <v>265543</v>
      </c>
      <c r="H14210">
        <f>_xlfn.XLOOKUP(FACT_IMPORTS[[#This Row],[hts_6]],DIM_PRODUCTS[hts_6],DIM_PRODUCTS[hts_4],,,)</f>
        <v>8542</v>
      </c>
      <c r="I14210" t="str" cm="1">
        <f t="array" ref="I14210">_xlfn.XLOOKUP(FACT_IMPORTS[[#This Row],[country_name]],DIM_COUNTRY[[#All],[Column2]],DIM_COUNTRY[[#All],[Column3]],,,)</f>
        <v>Major_Non-USMCA_Non-China</v>
      </c>
    </row>
    <row r="14211" spans="1:9" x14ac:dyDescent="0.4">
      <c r="A14211" t="s">
        <v>75</v>
      </c>
      <c r="B14211" s="1">
        <v>45901</v>
      </c>
      <c r="C14211">
        <v>854232</v>
      </c>
      <c r="D14211" t="s">
        <v>176</v>
      </c>
      <c r="E14211">
        <v>283834</v>
      </c>
      <c r="F14211">
        <v>548394</v>
      </c>
      <c r="G14211">
        <v>24124</v>
      </c>
      <c r="H14211">
        <f>_xlfn.XLOOKUP(FACT_IMPORTS[[#This Row],[hts_6]],DIM_PRODUCTS[hts_6],DIM_PRODUCTS[hts_4],,,)</f>
        <v>8542</v>
      </c>
      <c r="I14211" t="str" cm="1">
        <f t="array" ref="I14211">_xlfn.XLOOKUP(FACT_IMPORTS[[#This Row],[country_name]],DIM_COUNTRY[[#All],[Column2]],DIM_COUNTRY[[#All],[Column3]],,,)</f>
        <v>Major_Non-USMCA_Non-China</v>
      </c>
    </row>
    <row r="14212" spans="1:9" x14ac:dyDescent="0.4">
      <c r="A14212" t="s">
        <v>75</v>
      </c>
      <c r="B14212" s="1">
        <v>45901</v>
      </c>
      <c r="C14212">
        <v>854233</v>
      </c>
      <c r="D14212" t="s">
        <v>176</v>
      </c>
      <c r="E14212">
        <v>0</v>
      </c>
      <c r="F14212">
        <v>0</v>
      </c>
      <c r="G14212">
        <v>0</v>
      </c>
      <c r="H14212">
        <f>_xlfn.XLOOKUP(FACT_IMPORTS[[#This Row],[hts_6]],DIM_PRODUCTS[hts_6],DIM_PRODUCTS[hts_4],,,)</f>
        <v>8542</v>
      </c>
      <c r="I14212" t="str" cm="1">
        <f t="array" ref="I14212">_xlfn.XLOOKUP(FACT_IMPORTS[[#This Row],[country_name]],DIM_COUNTRY[[#All],[Column2]],DIM_COUNTRY[[#All],[Column3]],,,)</f>
        <v>Major_Non-USMCA_Non-China</v>
      </c>
    </row>
    <row r="14213" spans="1:9" x14ac:dyDescent="0.4">
      <c r="A14213" t="s">
        <v>75</v>
      </c>
      <c r="B14213" s="1">
        <v>45901</v>
      </c>
      <c r="C14213">
        <v>854239</v>
      </c>
      <c r="D14213" t="s">
        <v>176</v>
      </c>
      <c r="E14213">
        <v>47189</v>
      </c>
      <c r="F14213">
        <v>32000</v>
      </c>
      <c r="G14213">
        <v>4719</v>
      </c>
      <c r="H14213">
        <f>_xlfn.XLOOKUP(FACT_IMPORTS[[#This Row],[hts_6]],DIM_PRODUCTS[hts_6],DIM_PRODUCTS[hts_4],,,)</f>
        <v>8542</v>
      </c>
      <c r="I14213" t="str" cm="1">
        <f t="array" ref="I14213">_xlfn.XLOOKUP(FACT_IMPORTS[[#This Row],[country_name]],DIM_COUNTRY[[#All],[Column2]],DIM_COUNTRY[[#All],[Column3]],,,)</f>
        <v>Major_Non-USMCA_Non-China</v>
      </c>
    </row>
    <row r="14214" spans="1:9" x14ac:dyDescent="0.4">
      <c r="A14214" t="s">
        <v>75</v>
      </c>
      <c r="B14214" s="1">
        <v>45901</v>
      </c>
      <c r="C14214">
        <v>854290</v>
      </c>
      <c r="D14214" t="s">
        <v>176</v>
      </c>
      <c r="E14214">
        <v>9880</v>
      </c>
      <c r="F14214">
        <v>13000</v>
      </c>
      <c r="G14214">
        <v>988</v>
      </c>
      <c r="H14214">
        <f>_xlfn.XLOOKUP(FACT_IMPORTS[[#This Row],[hts_6]],DIM_PRODUCTS[hts_6],DIM_PRODUCTS[hts_4],,,)</f>
        <v>8542</v>
      </c>
      <c r="I14214" t="str" cm="1">
        <f t="array" ref="I14214">_xlfn.XLOOKUP(FACT_IMPORTS[[#This Row],[country_name]],DIM_COUNTRY[[#All],[Column2]],DIM_COUNTRY[[#All],[Column3]],,,)</f>
        <v>Major_Non-USMCA_Non-China</v>
      </c>
    </row>
    <row r="14215" spans="1:9" x14ac:dyDescent="0.4">
      <c r="A14215" t="s">
        <v>75</v>
      </c>
      <c r="B14215" s="1">
        <v>45901</v>
      </c>
      <c r="C14215">
        <v>854430</v>
      </c>
      <c r="D14215" t="s">
        <v>176</v>
      </c>
      <c r="E14215">
        <v>0</v>
      </c>
      <c r="F14215">
        <v>0</v>
      </c>
      <c r="G14215">
        <v>0</v>
      </c>
      <c r="H14215">
        <f>_xlfn.XLOOKUP(FACT_IMPORTS[[#This Row],[hts_6]],DIM_PRODUCTS[hts_6],DIM_PRODUCTS[hts_4],,,)</f>
        <v>8544</v>
      </c>
      <c r="I14215" t="str" cm="1">
        <f t="array" ref="I14215">_xlfn.XLOOKUP(FACT_IMPORTS[[#This Row],[country_name]],DIM_COUNTRY[[#All],[Column2]],DIM_COUNTRY[[#All],[Column3]],,,)</f>
        <v>Major_Non-USMCA_Non-China</v>
      </c>
    </row>
    <row r="14216" spans="1:9" x14ac:dyDescent="0.4">
      <c r="A14216" t="s">
        <v>75</v>
      </c>
      <c r="B14216" s="1">
        <v>45901</v>
      </c>
      <c r="C14216">
        <v>870810</v>
      </c>
      <c r="D14216" t="s">
        <v>176</v>
      </c>
      <c r="E14216">
        <v>498672</v>
      </c>
      <c r="F14216">
        <v>14660</v>
      </c>
      <c r="G14216">
        <v>93908</v>
      </c>
      <c r="H14216">
        <f>_xlfn.XLOOKUP(FACT_IMPORTS[[#This Row],[hts_6]],DIM_PRODUCTS[hts_6],DIM_PRODUCTS[hts_4],,,)</f>
        <v>8708</v>
      </c>
      <c r="I14216" t="str" cm="1">
        <f t="array" ref="I14216">_xlfn.XLOOKUP(FACT_IMPORTS[[#This Row],[country_name]],DIM_COUNTRY[[#All],[Column2]],DIM_COUNTRY[[#All],[Column3]],,,)</f>
        <v>Major_Non-USMCA_Non-China</v>
      </c>
    </row>
    <row r="14217" spans="1:9" x14ac:dyDescent="0.4">
      <c r="A14217" t="s">
        <v>75</v>
      </c>
      <c r="B14217" s="1">
        <v>45901</v>
      </c>
      <c r="C14217">
        <v>870829</v>
      </c>
      <c r="D14217" t="s">
        <v>176</v>
      </c>
      <c r="E14217">
        <v>710928</v>
      </c>
      <c r="F14217">
        <v>63179</v>
      </c>
      <c r="G14217">
        <v>79979</v>
      </c>
      <c r="H14217">
        <f>_xlfn.XLOOKUP(FACT_IMPORTS[[#This Row],[hts_6]],DIM_PRODUCTS[hts_6],DIM_PRODUCTS[hts_4],,,)</f>
        <v>8708</v>
      </c>
      <c r="I14217" t="str" cm="1">
        <f t="array" ref="I14217">_xlfn.XLOOKUP(FACT_IMPORTS[[#This Row],[country_name]],DIM_COUNTRY[[#All],[Column2]],DIM_COUNTRY[[#All],[Column3]],,,)</f>
        <v>Major_Non-USMCA_Non-China</v>
      </c>
    </row>
    <row r="14218" spans="1:9" x14ac:dyDescent="0.4">
      <c r="A14218" t="s">
        <v>75</v>
      </c>
      <c r="B14218" s="1">
        <v>45901</v>
      </c>
      <c r="C14218">
        <v>870830</v>
      </c>
      <c r="D14218" t="s">
        <v>176</v>
      </c>
      <c r="E14218">
        <v>13225</v>
      </c>
      <c r="F14218">
        <v>1429</v>
      </c>
      <c r="G14218">
        <v>858</v>
      </c>
      <c r="H14218">
        <f>_xlfn.XLOOKUP(FACT_IMPORTS[[#This Row],[hts_6]],DIM_PRODUCTS[hts_6],DIM_PRODUCTS[hts_4],,,)</f>
        <v>8708</v>
      </c>
      <c r="I14218" t="str" cm="1">
        <f t="array" ref="I14218">_xlfn.XLOOKUP(FACT_IMPORTS[[#This Row],[country_name]],DIM_COUNTRY[[#All],[Column2]],DIM_COUNTRY[[#All],[Column3]],,,)</f>
        <v>Major_Non-USMCA_Non-China</v>
      </c>
    </row>
    <row r="14219" spans="1:9" x14ac:dyDescent="0.4">
      <c r="A14219" t="s">
        <v>75</v>
      </c>
      <c r="B14219" s="1">
        <v>45901</v>
      </c>
      <c r="C14219">
        <v>870840</v>
      </c>
      <c r="D14219" t="s">
        <v>176</v>
      </c>
      <c r="E14219">
        <v>140382</v>
      </c>
      <c r="F14219">
        <v>17132</v>
      </c>
      <c r="G14219">
        <v>5025</v>
      </c>
      <c r="H14219">
        <f>_xlfn.XLOOKUP(FACT_IMPORTS[[#This Row],[hts_6]],DIM_PRODUCTS[hts_6],DIM_PRODUCTS[hts_4],,,)</f>
        <v>8708</v>
      </c>
      <c r="I14219" t="str" cm="1">
        <f t="array" ref="I14219">_xlfn.XLOOKUP(FACT_IMPORTS[[#This Row],[country_name]],DIM_COUNTRY[[#All],[Column2]],DIM_COUNTRY[[#All],[Column3]],,,)</f>
        <v>Major_Non-USMCA_Non-China</v>
      </c>
    </row>
    <row r="14220" spans="1:9" x14ac:dyDescent="0.4">
      <c r="A14220" t="s">
        <v>75</v>
      </c>
      <c r="B14220" s="1">
        <v>45901</v>
      </c>
      <c r="C14220">
        <v>870850</v>
      </c>
      <c r="D14220" t="s">
        <v>176</v>
      </c>
      <c r="E14220">
        <v>477190</v>
      </c>
      <c r="F14220">
        <v>60371</v>
      </c>
      <c r="G14220">
        <v>18585</v>
      </c>
      <c r="H14220">
        <f>_xlfn.XLOOKUP(FACT_IMPORTS[[#This Row],[hts_6]],DIM_PRODUCTS[hts_6],DIM_PRODUCTS[hts_4],,,)</f>
        <v>8708</v>
      </c>
      <c r="I14220" t="str" cm="1">
        <f t="array" ref="I14220">_xlfn.XLOOKUP(FACT_IMPORTS[[#This Row],[country_name]],DIM_COUNTRY[[#All],[Column2]],DIM_COUNTRY[[#All],[Column3]],,,)</f>
        <v>Major_Non-USMCA_Non-China</v>
      </c>
    </row>
    <row r="14221" spans="1:9" x14ac:dyDescent="0.4">
      <c r="A14221" t="s">
        <v>75</v>
      </c>
      <c r="B14221" s="1">
        <v>45901</v>
      </c>
      <c r="C14221">
        <v>870870</v>
      </c>
      <c r="D14221" t="s">
        <v>176</v>
      </c>
      <c r="E14221">
        <v>513355</v>
      </c>
      <c r="F14221">
        <v>3025</v>
      </c>
      <c r="G14221">
        <v>22015</v>
      </c>
      <c r="H14221">
        <f>_xlfn.XLOOKUP(FACT_IMPORTS[[#This Row],[hts_6]],DIM_PRODUCTS[hts_6],DIM_PRODUCTS[hts_4],,,)</f>
        <v>8708</v>
      </c>
      <c r="I14221" t="str" cm="1">
        <f t="array" ref="I14221">_xlfn.XLOOKUP(FACT_IMPORTS[[#This Row],[country_name]],DIM_COUNTRY[[#All],[Column2]],DIM_COUNTRY[[#All],[Column3]],,,)</f>
        <v>Major_Non-USMCA_Non-China</v>
      </c>
    </row>
    <row r="14222" spans="1:9" x14ac:dyDescent="0.4">
      <c r="A14222" t="s">
        <v>75</v>
      </c>
      <c r="B14222" s="1">
        <v>45901</v>
      </c>
      <c r="C14222">
        <v>870880</v>
      </c>
      <c r="D14222" t="s">
        <v>176</v>
      </c>
      <c r="E14222">
        <v>631374</v>
      </c>
      <c r="F14222">
        <v>49172</v>
      </c>
      <c r="G14222">
        <v>4792</v>
      </c>
      <c r="H14222">
        <f>_xlfn.XLOOKUP(FACT_IMPORTS[[#This Row],[hts_6]],DIM_PRODUCTS[hts_6],DIM_PRODUCTS[hts_4],,,)</f>
        <v>8708</v>
      </c>
      <c r="I14222" t="str" cm="1">
        <f t="array" ref="I14222">_xlfn.XLOOKUP(FACT_IMPORTS[[#This Row],[country_name]],DIM_COUNTRY[[#All],[Column2]],DIM_COUNTRY[[#All],[Column3]],,,)</f>
        <v>Major_Non-USMCA_Non-China</v>
      </c>
    </row>
    <row r="14223" spans="1:9" x14ac:dyDescent="0.4">
      <c r="A14223" t="s">
        <v>75</v>
      </c>
      <c r="B14223" s="1">
        <v>45901</v>
      </c>
      <c r="C14223">
        <v>870891</v>
      </c>
      <c r="D14223" t="s">
        <v>176</v>
      </c>
      <c r="E14223">
        <v>14746</v>
      </c>
      <c r="F14223">
        <v>665</v>
      </c>
      <c r="G14223">
        <v>3770</v>
      </c>
      <c r="H14223">
        <f>_xlfn.XLOOKUP(FACT_IMPORTS[[#This Row],[hts_6]],DIM_PRODUCTS[hts_6],DIM_PRODUCTS[hts_4],,,)</f>
        <v>8708</v>
      </c>
      <c r="I14223" t="str" cm="1">
        <f t="array" ref="I14223">_xlfn.XLOOKUP(FACT_IMPORTS[[#This Row],[country_name]],DIM_COUNTRY[[#All],[Column2]],DIM_COUNTRY[[#All],[Column3]],,,)</f>
        <v>Major_Non-USMCA_Non-China</v>
      </c>
    </row>
    <row r="14224" spans="1:9" x14ac:dyDescent="0.4">
      <c r="A14224" t="s">
        <v>75</v>
      </c>
      <c r="B14224" s="1">
        <v>45901</v>
      </c>
      <c r="C14224">
        <v>870892</v>
      </c>
      <c r="D14224" t="s">
        <v>176</v>
      </c>
      <c r="E14224">
        <v>7490</v>
      </c>
      <c r="F14224">
        <v>100108</v>
      </c>
      <c r="G14224">
        <v>339</v>
      </c>
      <c r="H14224">
        <f>_xlfn.XLOOKUP(FACT_IMPORTS[[#This Row],[hts_6]],DIM_PRODUCTS[hts_6],DIM_PRODUCTS[hts_4],,,)</f>
        <v>8708</v>
      </c>
      <c r="I14224" t="str" cm="1">
        <f t="array" ref="I14224">_xlfn.XLOOKUP(FACT_IMPORTS[[#This Row],[country_name]],DIM_COUNTRY[[#All],[Column2]],DIM_COUNTRY[[#All],[Column3]],,,)</f>
        <v>Major_Non-USMCA_Non-China</v>
      </c>
    </row>
    <row r="14225" spans="1:9" x14ac:dyDescent="0.4">
      <c r="A14225" t="s">
        <v>75</v>
      </c>
      <c r="B14225" s="1">
        <v>45901</v>
      </c>
      <c r="C14225">
        <v>870893</v>
      </c>
      <c r="D14225" t="s">
        <v>176</v>
      </c>
      <c r="E14225">
        <v>96190</v>
      </c>
      <c r="F14225">
        <v>1205</v>
      </c>
      <c r="G14225">
        <v>53</v>
      </c>
      <c r="H14225">
        <f>_xlfn.XLOOKUP(FACT_IMPORTS[[#This Row],[hts_6]],DIM_PRODUCTS[hts_6],DIM_PRODUCTS[hts_4],,,)</f>
        <v>8708</v>
      </c>
      <c r="I14225" t="str" cm="1">
        <f t="array" ref="I14225">_xlfn.XLOOKUP(FACT_IMPORTS[[#This Row],[country_name]],DIM_COUNTRY[[#All],[Column2]],DIM_COUNTRY[[#All],[Column3]],,,)</f>
        <v>Major_Non-USMCA_Non-China</v>
      </c>
    </row>
    <row r="14226" spans="1:9" x14ac:dyDescent="0.4">
      <c r="A14226" t="s">
        <v>75</v>
      </c>
      <c r="B14226" s="1">
        <v>45901</v>
      </c>
      <c r="C14226">
        <v>870894</v>
      </c>
      <c r="D14226" t="s">
        <v>176</v>
      </c>
      <c r="E14226">
        <v>0</v>
      </c>
      <c r="F14226">
        <v>0</v>
      </c>
      <c r="G14226">
        <v>0</v>
      </c>
      <c r="H14226">
        <f>_xlfn.XLOOKUP(FACT_IMPORTS[[#This Row],[hts_6]],DIM_PRODUCTS[hts_6],DIM_PRODUCTS[hts_4],,,)</f>
        <v>8708</v>
      </c>
      <c r="I14226" t="str" cm="1">
        <f t="array" ref="I14226">_xlfn.XLOOKUP(FACT_IMPORTS[[#This Row],[country_name]],DIM_COUNTRY[[#All],[Column2]],DIM_COUNTRY[[#All],[Column3]],,,)</f>
        <v>Major_Non-USMCA_Non-China</v>
      </c>
    </row>
    <row r="14227" spans="1:9" x14ac:dyDescent="0.4">
      <c r="A14227" t="s">
        <v>75</v>
      </c>
      <c r="B14227" s="1">
        <v>45901</v>
      </c>
      <c r="C14227">
        <v>870899</v>
      </c>
      <c r="D14227" t="s">
        <v>176</v>
      </c>
      <c r="E14227">
        <v>1361480</v>
      </c>
      <c r="F14227">
        <v>819468</v>
      </c>
      <c r="G14227">
        <v>30721</v>
      </c>
      <c r="H14227">
        <f>_xlfn.XLOOKUP(FACT_IMPORTS[[#This Row],[hts_6]],DIM_PRODUCTS[hts_6],DIM_PRODUCTS[hts_4],,,)</f>
        <v>8708</v>
      </c>
      <c r="I14227" t="str" cm="1">
        <f t="array" ref="I14227">_xlfn.XLOOKUP(FACT_IMPORTS[[#This Row],[country_name]],DIM_COUNTRY[[#All],[Column2]],DIM_COUNTRY[[#All],[Column3]],,,)</f>
        <v>Major_Non-USMCA_Non-China</v>
      </c>
    </row>
    <row r="14228" spans="1:9" x14ac:dyDescent="0.4">
      <c r="A14228" t="s">
        <v>75</v>
      </c>
      <c r="B14228" s="1">
        <v>45901</v>
      </c>
      <c r="C14228">
        <v>940120</v>
      </c>
      <c r="D14228" t="s">
        <v>176</v>
      </c>
      <c r="E14228">
        <v>0</v>
      </c>
      <c r="F14228">
        <v>0</v>
      </c>
      <c r="G14228">
        <v>0</v>
      </c>
      <c r="H14228">
        <f>_xlfn.XLOOKUP(FACT_IMPORTS[[#This Row],[hts_6]],DIM_PRODUCTS[hts_6],DIM_PRODUCTS[hts_4],,,)</f>
        <v>9401</v>
      </c>
      <c r="I14228" t="str" cm="1">
        <f t="array" ref="I14228">_xlfn.XLOOKUP(FACT_IMPORTS[[#This Row],[country_name]],DIM_COUNTRY[[#All],[Column2]],DIM_COUNTRY[[#All],[Column3]],,,)</f>
        <v>Major_Non-USMCA_Non-China</v>
      </c>
    </row>
    <row r="14229" spans="1:9" x14ac:dyDescent="0.4">
      <c r="A14229" t="s">
        <v>75</v>
      </c>
      <c r="B14229" s="1">
        <v>45931</v>
      </c>
      <c r="C14229">
        <v>392630</v>
      </c>
      <c r="D14229" t="s">
        <v>176</v>
      </c>
      <c r="E14229">
        <v>526</v>
      </c>
      <c r="F14229">
        <v>48</v>
      </c>
      <c r="G14229">
        <v>2</v>
      </c>
      <c r="H14229">
        <f>_xlfn.XLOOKUP(FACT_IMPORTS[[#This Row],[hts_6]],DIM_PRODUCTS[hts_6],DIM_PRODUCTS[hts_4],,,)</f>
        <v>3926</v>
      </c>
      <c r="I14229" t="str" cm="1">
        <f t="array" ref="I14229">_xlfn.XLOOKUP(FACT_IMPORTS[[#This Row],[country_name]],DIM_COUNTRY[[#All],[Column2]],DIM_COUNTRY[[#All],[Column3]],,,)</f>
        <v>Major_Non-USMCA_Non-China</v>
      </c>
    </row>
    <row r="14230" spans="1:9" x14ac:dyDescent="0.4">
      <c r="A14230" t="s">
        <v>75</v>
      </c>
      <c r="B14230" s="1">
        <v>45931</v>
      </c>
      <c r="C14230">
        <v>401110</v>
      </c>
      <c r="D14230" t="s">
        <v>176</v>
      </c>
      <c r="E14230">
        <v>15600</v>
      </c>
      <c r="F14230">
        <v>240</v>
      </c>
      <c r="G14230">
        <v>200</v>
      </c>
      <c r="H14230">
        <f>_xlfn.XLOOKUP(FACT_IMPORTS[[#This Row],[hts_6]],DIM_PRODUCTS[hts_6],DIM_PRODUCTS[hts_4],,,)</f>
        <v>4011</v>
      </c>
      <c r="I14230" t="str" cm="1">
        <f t="array" ref="I14230">_xlfn.XLOOKUP(FACT_IMPORTS[[#This Row],[country_name]],DIM_COUNTRY[[#All],[Column2]],DIM_COUNTRY[[#All],[Column3]],,,)</f>
        <v>Major_Non-USMCA_Non-China</v>
      </c>
    </row>
    <row r="14231" spans="1:9" x14ac:dyDescent="0.4">
      <c r="A14231" t="s">
        <v>75</v>
      </c>
      <c r="B14231" s="1">
        <v>45931</v>
      </c>
      <c r="C14231">
        <v>401190</v>
      </c>
      <c r="D14231" t="s">
        <v>176</v>
      </c>
      <c r="E14231">
        <v>5146</v>
      </c>
      <c r="F14231">
        <v>60</v>
      </c>
      <c r="G14231">
        <v>16</v>
      </c>
      <c r="H14231">
        <f>_xlfn.XLOOKUP(FACT_IMPORTS[[#This Row],[hts_6]],DIM_PRODUCTS[hts_6],DIM_PRODUCTS[hts_4],,,)</f>
        <v>4011</v>
      </c>
      <c r="I14231" t="str" cm="1">
        <f t="array" ref="I14231">_xlfn.XLOOKUP(FACT_IMPORTS[[#This Row],[country_name]],DIM_COUNTRY[[#All],[Column2]],DIM_COUNTRY[[#All],[Column3]],,,)</f>
        <v>Major_Non-USMCA_Non-China</v>
      </c>
    </row>
    <row r="14232" spans="1:9" x14ac:dyDescent="0.4">
      <c r="A14232" t="s">
        <v>75</v>
      </c>
      <c r="B14232" s="1">
        <v>45931</v>
      </c>
      <c r="C14232">
        <v>700721</v>
      </c>
      <c r="D14232" t="s">
        <v>176</v>
      </c>
      <c r="E14232">
        <v>0</v>
      </c>
      <c r="F14232">
        <v>0</v>
      </c>
      <c r="G14232">
        <v>0</v>
      </c>
      <c r="H14232">
        <f>_xlfn.XLOOKUP(FACT_IMPORTS[[#This Row],[hts_6]],DIM_PRODUCTS[hts_6],DIM_PRODUCTS[hts_4],,,)</f>
        <v>7007</v>
      </c>
      <c r="I14232" t="str" cm="1">
        <f t="array" ref="I14232">_xlfn.XLOOKUP(FACT_IMPORTS[[#This Row],[country_name]],DIM_COUNTRY[[#All],[Column2]],DIM_COUNTRY[[#All],[Column3]],,,)</f>
        <v>Major_Non-USMCA_Non-China</v>
      </c>
    </row>
    <row r="14233" spans="1:9" x14ac:dyDescent="0.4">
      <c r="A14233" t="s">
        <v>75</v>
      </c>
      <c r="B14233" s="1">
        <v>45931</v>
      </c>
      <c r="C14233">
        <v>700910</v>
      </c>
      <c r="D14233" t="s">
        <v>176</v>
      </c>
      <c r="E14233">
        <v>29705</v>
      </c>
      <c r="F14233">
        <v>9590</v>
      </c>
      <c r="G14233">
        <v>2042</v>
      </c>
      <c r="H14233">
        <f>_xlfn.XLOOKUP(FACT_IMPORTS[[#This Row],[hts_6]],DIM_PRODUCTS[hts_6],DIM_PRODUCTS[hts_4],,,)</f>
        <v>7009</v>
      </c>
      <c r="I14233" t="str" cm="1">
        <f t="array" ref="I14233">_xlfn.XLOOKUP(FACT_IMPORTS[[#This Row],[country_name]],DIM_COUNTRY[[#All],[Column2]],DIM_COUNTRY[[#All],[Column3]],,,)</f>
        <v>Major_Non-USMCA_Non-China</v>
      </c>
    </row>
    <row r="14234" spans="1:9" x14ac:dyDescent="0.4">
      <c r="A14234" t="s">
        <v>75</v>
      </c>
      <c r="B14234" s="1">
        <v>45931</v>
      </c>
      <c r="C14234">
        <v>830230</v>
      </c>
      <c r="D14234" t="s">
        <v>176</v>
      </c>
      <c r="E14234">
        <v>82560</v>
      </c>
      <c r="F14234">
        <v>4689</v>
      </c>
      <c r="G14234">
        <v>2888</v>
      </c>
      <c r="H14234">
        <f>_xlfn.XLOOKUP(FACT_IMPORTS[[#This Row],[hts_6]],DIM_PRODUCTS[hts_6],DIM_PRODUCTS[hts_4],,,)</f>
        <v>8302</v>
      </c>
      <c r="I14234" t="str" cm="1">
        <f t="array" ref="I14234">_xlfn.XLOOKUP(FACT_IMPORTS[[#This Row],[country_name]],DIM_COUNTRY[[#All],[Column2]],DIM_COUNTRY[[#All],[Column3]],,,)</f>
        <v>Major_Non-USMCA_Non-China</v>
      </c>
    </row>
    <row r="14235" spans="1:9" x14ac:dyDescent="0.4">
      <c r="A14235" t="s">
        <v>75</v>
      </c>
      <c r="B14235" s="1">
        <v>45931</v>
      </c>
      <c r="C14235">
        <v>840733</v>
      </c>
      <c r="D14235" t="s">
        <v>176</v>
      </c>
      <c r="E14235">
        <v>0</v>
      </c>
      <c r="F14235">
        <v>0</v>
      </c>
      <c r="G14235">
        <v>0</v>
      </c>
      <c r="H14235">
        <f>_xlfn.XLOOKUP(FACT_IMPORTS[[#This Row],[hts_6]],DIM_PRODUCTS[hts_6],DIM_PRODUCTS[hts_4],,,)</f>
        <v>8407</v>
      </c>
      <c r="I14235" t="str" cm="1">
        <f t="array" ref="I14235">_xlfn.XLOOKUP(FACT_IMPORTS[[#This Row],[country_name]],DIM_COUNTRY[[#All],[Column2]],DIM_COUNTRY[[#All],[Column3]],,,)</f>
        <v>Major_Non-USMCA_Non-China</v>
      </c>
    </row>
    <row r="14236" spans="1:9" x14ac:dyDescent="0.4">
      <c r="A14236" t="s">
        <v>75</v>
      </c>
      <c r="B14236" s="1">
        <v>45931</v>
      </c>
      <c r="C14236">
        <v>840991</v>
      </c>
      <c r="D14236" t="s">
        <v>176</v>
      </c>
      <c r="E14236">
        <v>231439</v>
      </c>
      <c r="F14236">
        <v>8784</v>
      </c>
      <c r="G14236">
        <v>8427</v>
      </c>
      <c r="H14236">
        <f>_xlfn.XLOOKUP(FACT_IMPORTS[[#This Row],[hts_6]],DIM_PRODUCTS[hts_6],DIM_PRODUCTS[hts_4],,,)</f>
        <v>8409</v>
      </c>
      <c r="I14236" t="str" cm="1">
        <f t="array" ref="I14236">_xlfn.XLOOKUP(FACT_IMPORTS[[#This Row],[country_name]],DIM_COUNTRY[[#All],[Column2]],DIM_COUNTRY[[#All],[Column3]],,,)</f>
        <v>Major_Non-USMCA_Non-China</v>
      </c>
    </row>
    <row r="14237" spans="1:9" x14ac:dyDescent="0.4">
      <c r="A14237" t="s">
        <v>75</v>
      </c>
      <c r="B14237" s="1">
        <v>45931</v>
      </c>
      <c r="C14237">
        <v>840999</v>
      </c>
      <c r="D14237" t="s">
        <v>176</v>
      </c>
      <c r="E14237">
        <v>3062</v>
      </c>
      <c r="F14237">
        <v>129</v>
      </c>
      <c r="G14237">
        <v>71</v>
      </c>
      <c r="H14237">
        <f>_xlfn.XLOOKUP(FACT_IMPORTS[[#This Row],[hts_6]],DIM_PRODUCTS[hts_6],DIM_PRODUCTS[hts_4],,,)</f>
        <v>8409</v>
      </c>
      <c r="I14237" t="str" cm="1">
        <f t="array" ref="I14237">_xlfn.XLOOKUP(FACT_IMPORTS[[#This Row],[country_name]],DIM_COUNTRY[[#All],[Column2]],DIM_COUNTRY[[#All],[Column3]],,,)</f>
        <v>Major_Non-USMCA_Non-China</v>
      </c>
    </row>
    <row r="14238" spans="1:9" x14ac:dyDescent="0.4">
      <c r="A14238" t="s">
        <v>75</v>
      </c>
      <c r="B14238" s="1">
        <v>45931</v>
      </c>
      <c r="C14238">
        <v>841330</v>
      </c>
      <c r="D14238" t="s">
        <v>176</v>
      </c>
      <c r="E14238">
        <v>0</v>
      </c>
      <c r="F14238">
        <v>0</v>
      </c>
      <c r="G14238">
        <v>0</v>
      </c>
      <c r="H14238">
        <f>_xlfn.XLOOKUP(FACT_IMPORTS[[#This Row],[hts_6]],DIM_PRODUCTS[hts_6],DIM_PRODUCTS[hts_4],,,)</f>
        <v>8413</v>
      </c>
      <c r="I14238" t="str" cm="1">
        <f t="array" ref="I14238">_xlfn.XLOOKUP(FACT_IMPORTS[[#This Row],[country_name]],DIM_COUNTRY[[#All],[Column2]],DIM_COUNTRY[[#All],[Column3]],,,)</f>
        <v>Major_Non-USMCA_Non-China</v>
      </c>
    </row>
    <row r="14239" spans="1:9" x14ac:dyDescent="0.4">
      <c r="A14239" t="s">
        <v>75</v>
      </c>
      <c r="B14239" s="1">
        <v>45931</v>
      </c>
      <c r="C14239">
        <v>848210</v>
      </c>
      <c r="D14239" t="s">
        <v>176</v>
      </c>
      <c r="E14239">
        <v>88876</v>
      </c>
      <c r="F14239">
        <v>371160</v>
      </c>
      <c r="G14239">
        <v>6189</v>
      </c>
      <c r="H14239">
        <f>_xlfn.XLOOKUP(FACT_IMPORTS[[#This Row],[hts_6]],DIM_PRODUCTS[hts_6],DIM_PRODUCTS[hts_4],,,)</f>
        <v>8482</v>
      </c>
      <c r="I14239" t="str" cm="1">
        <f t="array" ref="I14239">_xlfn.XLOOKUP(FACT_IMPORTS[[#This Row],[country_name]],DIM_COUNTRY[[#All],[Column2]],DIM_COUNTRY[[#All],[Column3]],,,)</f>
        <v>Major_Non-USMCA_Non-China</v>
      </c>
    </row>
    <row r="14240" spans="1:9" x14ac:dyDescent="0.4">
      <c r="A14240" t="s">
        <v>75</v>
      </c>
      <c r="B14240" s="1">
        <v>45931</v>
      </c>
      <c r="C14240">
        <v>848220</v>
      </c>
      <c r="D14240" t="s">
        <v>176</v>
      </c>
      <c r="E14240">
        <v>0</v>
      </c>
      <c r="F14240">
        <v>0</v>
      </c>
      <c r="G14240">
        <v>0</v>
      </c>
      <c r="H14240">
        <f>_xlfn.XLOOKUP(FACT_IMPORTS[[#This Row],[hts_6]],DIM_PRODUCTS[hts_6],DIM_PRODUCTS[hts_4],,,)</f>
        <v>8482</v>
      </c>
      <c r="I14240" t="str" cm="1">
        <f t="array" ref="I14240">_xlfn.XLOOKUP(FACT_IMPORTS[[#This Row],[country_name]],DIM_COUNTRY[[#All],[Column2]],DIM_COUNTRY[[#All],[Column3]],,,)</f>
        <v>Major_Non-USMCA_Non-China</v>
      </c>
    </row>
    <row r="14241" spans="1:9" x14ac:dyDescent="0.4">
      <c r="A14241" t="s">
        <v>75</v>
      </c>
      <c r="B14241" s="1">
        <v>45931</v>
      </c>
      <c r="C14241">
        <v>848310</v>
      </c>
      <c r="D14241" t="s">
        <v>176</v>
      </c>
      <c r="E14241">
        <v>0</v>
      </c>
      <c r="F14241">
        <v>0</v>
      </c>
      <c r="G14241">
        <v>0</v>
      </c>
      <c r="H14241">
        <f>_xlfn.XLOOKUP(FACT_IMPORTS[[#This Row],[hts_6]],DIM_PRODUCTS[hts_6],DIM_PRODUCTS[hts_4],,,)</f>
        <v>8483</v>
      </c>
      <c r="I14241" t="str" cm="1">
        <f t="array" ref="I14241">_xlfn.XLOOKUP(FACT_IMPORTS[[#This Row],[country_name]],DIM_COUNTRY[[#All],[Column2]],DIM_COUNTRY[[#All],[Column3]],,,)</f>
        <v>Major_Non-USMCA_Non-China</v>
      </c>
    </row>
    <row r="14242" spans="1:9" x14ac:dyDescent="0.4">
      <c r="A14242" t="s">
        <v>75</v>
      </c>
      <c r="B14242" s="1">
        <v>45931</v>
      </c>
      <c r="C14242">
        <v>850131</v>
      </c>
      <c r="D14242" t="s">
        <v>176</v>
      </c>
      <c r="E14242">
        <v>0</v>
      </c>
      <c r="F14242">
        <v>0</v>
      </c>
      <c r="G14242">
        <v>0</v>
      </c>
      <c r="H14242">
        <f>_xlfn.XLOOKUP(FACT_IMPORTS[[#This Row],[hts_6]],DIM_PRODUCTS[hts_6],DIM_PRODUCTS[hts_4],,,)</f>
        <v>8501</v>
      </c>
      <c r="I14242" t="str" cm="1">
        <f t="array" ref="I14242">_xlfn.XLOOKUP(FACT_IMPORTS[[#This Row],[country_name]],DIM_COUNTRY[[#All],[Column2]],DIM_COUNTRY[[#All],[Column3]],,,)</f>
        <v>Major_Non-USMCA_Non-China</v>
      </c>
    </row>
    <row r="14243" spans="1:9" x14ac:dyDescent="0.4">
      <c r="A14243" t="s">
        <v>75</v>
      </c>
      <c r="B14243" s="1">
        <v>45931</v>
      </c>
      <c r="C14243">
        <v>850132</v>
      </c>
      <c r="D14243" t="s">
        <v>176</v>
      </c>
      <c r="E14243">
        <v>0</v>
      </c>
      <c r="F14243">
        <v>0</v>
      </c>
      <c r="G14243">
        <v>0</v>
      </c>
      <c r="H14243">
        <f>_xlfn.XLOOKUP(FACT_IMPORTS[[#This Row],[hts_6]],DIM_PRODUCTS[hts_6],DIM_PRODUCTS[hts_4],,,)</f>
        <v>8501</v>
      </c>
      <c r="I14243" t="str" cm="1">
        <f t="array" ref="I14243">_xlfn.XLOOKUP(FACT_IMPORTS[[#This Row],[country_name]],DIM_COUNTRY[[#All],[Column2]],DIM_COUNTRY[[#All],[Column3]],,,)</f>
        <v>Major_Non-USMCA_Non-China</v>
      </c>
    </row>
    <row r="14244" spans="1:9" x14ac:dyDescent="0.4">
      <c r="A14244" t="s">
        <v>75</v>
      </c>
      <c r="B14244" s="1">
        <v>45931</v>
      </c>
      <c r="C14244">
        <v>850152</v>
      </c>
      <c r="D14244" t="s">
        <v>176</v>
      </c>
      <c r="E14244">
        <v>0</v>
      </c>
      <c r="F14244">
        <v>0</v>
      </c>
      <c r="G14244">
        <v>0</v>
      </c>
      <c r="H14244">
        <f>_xlfn.XLOOKUP(FACT_IMPORTS[[#This Row],[hts_6]],DIM_PRODUCTS[hts_6],DIM_PRODUCTS[hts_4],,,)</f>
        <v>8501</v>
      </c>
      <c r="I14244" t="str" cm="1">
        <f t="array" ref="I14244">_xlfn.XLOOKUP(FACT_IMPORTS[[#This Row],[country_name]],DIM_COUNTRY[[#All],[Column2]],DIM_COUNTRY[[#All],[Column3]],,,)</f>
        <v>Major_Non-USMCA_Non-China</v>
      </c>
    </row>
    <row r="14245" spans="1:9" x14ac:dyDescent="0.4">
      <c r="A14245" t="s">
        <v>75</v>
      </c>
      <c r="B14245" s="1">
        <v>45931</v>
      </c>
      <c r="C14245">
        <v>850153</v>
      </c>
      <c r="D14245" t="s">
        <v>176</v>
      </c>
      <c r="E14245">
        <v>0</v>
      </c>
      <c r="F14245">
        <v>0</v>
      </c>
      <c r="G14245">
        <v>0</v>
      </c>
      <c r="H14245">
        <f>_xlfn.XLOOKUP(FACT_IMPORTS[[#This Row],[hts_6]],DIM_PRODUCTS[hts_6],DIM_PRODUCTS[hts_4],,,)</f>
        <v>8501</v>
      </c>
      <c r="I14245" t="str" cm="1">
        <f t="array" ref="I14245">_xlfn.XLOOKUP(FACT_IMPORTS[[#This Row],[country_name]],DIM_COUNTRY[[#All],[Column2]],DIM_COUNTRY[[#All],[Column3]],,,)</f>
        <v>Major_Non-USMCA_Non-China</v>
      </c>
    </row>
    <row r="14246" spans="1:9" x14ac:dyDescent="0.4">
      <c r="A14246" t="s">
        <v>75</v>
      </c>
      <c r="B14246" s="1">
        <v>45931</v>
      </c>
      <c r="C14246">
        <v>850161</v>
      </c>
      <c r="D14246" t="s">
        <v>176</v>
      </c>
      <c r="E14246">
        <v>0</v>
      </c>
      <c r="F14246">
        <v>0</v>
      </c>
      <c r="G14246">
        <v>0</v>
      </c>
      <c r="H14246">
        <f>_xlfn.XLOOKUP(FACT_IMPORTS[[#This Row],[hts_6]],DIM_PRODUCTS[hts_6],DIM_PRODUCTS[hts_4],,,)</f>
        <v>8501</v>
      </c>
      <c r="I14246" t="str" cm="1">
        <f t="array" ref="I14246">_xlfn.XLOOKUP(FACT_IMPORTS[[#This Row],[country_name]],DIM_COUNTRY[[#All],[Column2]],DIM_COUNTRY[[#All],[Column3]],,,)</f>
        <v>Major_Non-USMCA_Non-China</v>
      </c>
    </row>
    <row r="14247" spans="1:9" x14ac:dyDescent="0.4">
      <c r="A14247" t="s">
        <v>75</v>
      </c>
      <c r="B14247" s="1">
        <v>45931</v>
      </c>
      <c r="C14247">
        <v>850440</v>
      </c>
      <c r="D14247" t="s">
        <v>176</v>
      </c>
      <c r="E14247">
        <v>388567</v>
      </c>
      <c r="F14247">
        <v>8796</v>
      </c>
      <c r="G14247">
        <v>22235</v>
      </c>
      <c r="H14247">
        <f>_xlfn.XLOOKUP(FACT_IMPORTS[[#This Row],[hts_6]],DIM_PRODUCTS[hts_6],DIM_PRODUCTS[hts_4],,,)</f>
        <v>8504</v>
      </c>
      <c r="I14247" t="str" cm="1">
        <f t="array" ref="I14247">_xlfn.XLOOKUP(FACT_IMPORTS[[#This Row],[country_name]],DIM_COUNTRY[[#All],[Column2]],DIM_COUNTRY[[#All],[Column3]],,,)</f>
        <v>Major_Non-USMCA_Non-China</v>
      </c>
    </row>
    <row r="14248" spans="1:9" x14ac:dyDescent="0.4">
      <c r="A14248" t="s">
        <v>75</v>
      </c>
      <c r="B14248" s="1">
        <v>45931</v>
      </c>
      <c r="C14248">
        <v>850710</v>
      </c>
      <c r="D14248" t="s">
        <v>176</v>
      </c>
      <c r="E14248">
        <v>0</v>
      </c>
      <c r="F14248">
        <v>0</v>
      </c>
      <c r="G14248">
        <v>0</v>
      </c>
      <c r="H14248">
        <f>_xlfn.XLOOKUP(FACT_IMPORTS[[#This Row],[hts_6]],DIM_PRODUCTS[hts_6],DIM_PRODUCTS[hts_4],,,)</f>
        <v>8507</v>
      </c>
      <c r="I14248" t="str" cm="1">
        <f t="array" ref="I14248">_xlfn.XLOOKUP(FACT_IMPORTS[[#This Row],[country_name]],DIM_COUNTRY[[#All],[Column2]],DIM_COUNTRY[[#All],[Column3]],,,)</f>
        <v>Major_Non-USMCA_Non-China</v>
      </c>
    </row>
    <row r="14249" spans="1:9" x14ac:dyDescent="0.4">
      <c r="A14249" t="s">
        <v>75</v>
      </c>
      <c r="B14249" s="1">
        <v>45931</v>
      </c>
      <c r="C14249">
        <v>850760</v>
      </c>
      <c r="D14249" t="s">
        <v>176</v>
      </c>
      <c r="E14249">
        <v>14019</v>
      </c>
      <c r="F14249">
        <v>1198</v>
      </c>
      <c r="G14249">
        <v>44</v>
      </c>
      <c r="H14249">
        <f>_xlfn.XLOOKUP(FACT_IMPORTS[[#This Row],[hts_6]],DIM_PRODUCTS[hts_6],DIM_PRODUCTS[hts_4],,,)</f>
        <v>8507</v>
      </c>
      <c r="I14249" t="str" cm="1">
        <f t="array" ref="I14249">_xlfn.XLOOKUP(FACT_IMPORTS[[#This Row],[country_name]],DIM_COUNTRY[[#All],[Column2]],DIM_COUNTRY[[#All],[Column3]],,,)</f>
        <v>Major_Non-USMCA_Non-China</v>
      </c>
    </row>
    <row r="14250" spans="1:9" x14ac:dyDescent="0.4">
      <c r="A14250" t="s">
        <v>75</v>
      </c>
      <c r="B14250" s="1">
        <v>45931</v>
      </c>
      <c r="C14250">
        <v>851120</v>
      </c>
      <c r="D14250" t="s">
        <v>176</v>
      </c>
      <c r="E14250">
        <v>0</v>
      </c>
      <c r="F14250">
        <v>0</v>
      </c>
      <c r="G14250">
        <v>0</v>
      </c>
      <c r="H14250">
        <f>_xlfn.XLOOKUP(FACT_IMPORTS[[#This Row],[hts_6]],DIM_PRODUCTS[hts_6],DIM_PRODUCTS[hts_4],,,)</f>
        <v>8511</v>
      </c>
      <c r="I14250" t="str" cm="1">
        <f t="array" ref="I14250">_xlfn.XLOOKUP(FACT_IMPORTS[[#This Row],[country_name]],DIM_COUNTRY[[#All],[Column2]],DIM_COUNTRY[[#All],[Column3]],,,)</f>
        <v>Major_Non-USMCA_Non-China</v>
      </c>
    </row>
    <row r="14251" spans="1:9" x14ac:dyDescent="0.4">
      <c r="A14251" t="s">
        <v>75</v>
      </c>
      <c r="B14251" s="1">
        <v>45931</v>
      </c>
      <c r="C14251">
        <v>851140</v>
      </c>
      <c r="D14251" t="s">
        <v>176</v>
      </c>
      <c r="E14251">
        <v>2806</v>
      </c>
      <c r="F14251">
        <v>24</v>
      </c>
      <c r="G14251">
        <v>1</v>
      </c>
      <c r="H14251">
        <f>_xlfn.XLOOKUP(FACT_IMPORTS[[#This Row],[hts_6]],DIM_PRODUCTS[hts_6],DIM_PRODUCTS[hts_4],,,)</f>
        <v>8511</v>
      </c>
      <c r="I14251" t="str" cm="1">
        <f t="array" ref="I14251">_xlfn.XLOOKUP(FACT_IMPORTS[[#This Row],[country_name]],DIM_COUNTRY[[#All],[Column2]],DIM_COUNTRY[[#All],[Column3]],,,)</f>
        <v>Major_Non-USMCA_Non-China</v>
      </c>
    </row>
    <row r="14252" spans="1:9" x14ac:dyDescent="0.4">
      <c r="A14252" t="s">
        <v>75</v>
      </c>
      <c r="B14252" s="1">
        <v>45931</v>
      </c>
      <c r="C14252">
        <v>851150</v>
      </c>
      <c r="D14252" t="s">
        <v>176</v>
      </c>
      <c r="E14252">
        <v>5531</v>
      </c>
      <c r="F14252">
        <v>10</v>
      </c>
      <c r="G14252">
        <v>26</v>
      </c>
      <c r="H14252">
        <f>_xlfn.XLOOKUP(FACT_IMPORTS[[#This Row],[hts_6]],DIM_PRODUCTS[hts_6],DIM_PRODUCTS[hts_4],,,)</f>
        <v>8511</v>
      </c>
      <c r="I14252" t="str" cm="1">
        <f t="array" ref="I14252">_xlfn.XLOOKUP(FACT_IMPORTS[[#This Row],[country_name]],DIM_COUNTRY[[#All],[Column2]],DIM_COUNTRY[[#All],[Column3]],,,)</f>
        <v>Major_Non-USMCA_Non-China</v>
      </c>
    </row>
    <row r="14253" spans="1:9" x14ac:dyDescent="0.4">
      <c r="A14253" t="s">
        <v>75</v>
      </c>
      <c r="B14253" s="1">
        <v>45931</v>
      </c>
      <c r="C14253">
        <v>851190</v>
      </c>
      <c r="D14253" t="s">
        <v>176</v>
      </c>
      <c r="E14253">
        <v>2199</v>
      </c>
      <c r="F14253">
        <v>35</v>
      </c>
      <c r="G14253">
        <v>92</v>
      </c>
      <c r="H14253">
        <f>_xlfn.XLOOKUP(FACT_IMPORTS[[#This Row],[hts_6]],DIM_PRODUCTS[hts_6],DIM_PRODUCTS[hts_4],,,)</f>
        <v>8511</v>
      </c>
      <c r="I14253" t="str" cm="1">
        <f t="array" ref="I14253">_xlfn.XLOOKUP(FACT_IMPORTS[[#This Row],[country_name]],DIM_COUNTRY[[#All],[Column2]],DIM_COUNTRY[[#All],[Column3]],,,)</f>
        <v>Major_Non-USMCA_Non-China</v>
      </c>
    </row>
    <row r="14254" spans="1:9" x14ac:dyDescent="0.4">
      <c r="A14254" t="s">
        <v>75</v>
      </c>
      <c r="B14254" s="1">
        <v>45931</v>
      </c>
      <c r="C14254">
        <v>851220</v>
      </c>
      <c r="D14254" t="s">
        <v>176</v>
      </c>
      <c r="E14254">
        <v>1487858</v>
      </c>
      <c r="F14254">
        <v>233628</v>
      </c>
      <c r="G14254">
        <v>26387</v>
      </c>
      <c r="H14254">
        <f>_xlfn.XLOOKUP(FACT_IMPORTS[[#This Row],[hts_6]],DIM_PRODUCTS[hts_6],DIM_PRODUCTS[hts_4],,,)</f>
        <v>8512</v>
      </c>
      <c r="I14254" t="str" cm="1">
        <f t="array" ref="I14254">_xlfn.XLOOKUP(FACT_IMPORTS[[#This Row],[country_name]],DIM_COUNTRY[[#All],[Column2]],DIM_COUNTRY[[#All],[Column3]],,,)</f>
        <v>Major_Non-USMCA_Non-China</v>
      </c>
    </row>
    <row r="14255" spans="1:9" x14ac:dyDescent="0.4">
      <c r="A14255" t="s">
        <v>75</v>
      </c>
      <c r="B14255" s="1">
        <v>45931</v>
      </c>
      <c r="C14255">
        <v>851230</v>
      </c>
      <c r="D14255" t="s">
        <v>176</v>
      </c>
      <c r="E14255">
        <v>0</v>
      </c>
      <c r="F14255">
        <v>0</v>
      </c>
      <c r="G14255">
        <v>0</v>
      </c>
      <c r="H14255">
        <f>_xlfn.XLOOKUP(FACT_IMPORTS[[#This Row],[hts_6]],DIM_PRODUCTS[hts_6],DIM_PRODUCTS[hts_4],,,)</f>
        <v>8512</v>
      </c>
      <c r="I14255" t="str" cm="1">
        <f t="array" ref="I14255">_xlfn.XLOOKUP(FACT_IMPORTS[[#This Row],[country_name]],DIM_COUNTRY[[#All],[Column2]],DIM_COUNTRY[[#All],[Column3]],,,)</f>
        <v>Major_Non-USMCA_Non-China</v>
      </c>
    </row>
    <row r="14256" spans="1:9" x14ac:dyDescent="0.4">
      <c r="A14256" t="s">
        <v>75</v>
      </c>
      <c r="B14256" s="1">
        <v>45931</v>
      </c>
      <c r="C14256">
        <v>851290</v>
      </c>
      <c r="D14256" t="s">
        <v>176</v>
      </c>
      <c r="E14256">
        <v>1864786</v>
      </c>
      <c r="F14256">
        <v>37468</v>
      </c>
      <c r="G14256">
        <v>14194</v>
      </c>
      <c r="H14256">
        <f>_xlfn.XLOOKUP(FACT_IMPORTS[[#This Row],[hts_6]],DIM_PRODUCTS[hts_6],DIM_PRODUCTS[hts_4],,,)</f>
        <v>8512</v>
      </c>
      <c r="I14256" t="str" cm="1">
        <f t="array" ref="I14256">_xlfn.XLOOKUP(FACT_IMPORTS[[#This Row],[country_name]],DIM_COUNTRY[[#All],[Column2]],DIM_COUNTRY[[#All],[Column3]],,,)</f>
        <v>Major_Non-USMCA_Non-China</v>
      </c>
    </row>
    <row r="14257" spans="1:9" x14ac:dyDescent="0.4">
      <c r="A14257" t="s">
        <v>75</v>
      </c>
      <c r="B14257" s="1">
        <v>45931</v>
      </c>
      <c r="C14257">
        <v>854231</v>
      </c>
      <c r="D14257" t="s">
        <v>176</v>
      </c>
      <c r="E14257">
        <v>7294335</v>
      </c>
      <c r="F14257">
        <v>770270</v>
      </c>
      <c r="G14257">
        <v>140025</v>
      </c>
      <c r="H14257">
        <f>_xlfn.XLOOKUP(FACT_IMPORTS[[#This Row],[hts_6]],DIM_PRODUCTS[hts_6],DIM_PRODUCTS[hts_4],,,)</f>
        <v>8542</v>
      </c>
      <c r="I14257" t="str" cm="1">
        <f t="array" ref="I14257">_xlfn.XLOOKUP(FACT_IMPORTS[[#This Row],[country_name]],DIM_COUNTRY[[#All],[Column2]],DIM_COUNTRY[[#All],[Column3]],,,)</f>
        <v>Major_Non-USMCA_Non-China</v>
      </c>
    </row>
    <row r="14258" spans="1:9" x14ac:dyDescent="0.4">
      <c r="A14258" t="s">
        <v>75</v>
      </c>
      <c r="B14258" s="1">
        <v>45931</v>
      </c>
      <c r="C14258">
        <v>854232</v>
      </c>
      <c r="D14258" t="s">
        <v>176</v>
      </c>
      <c r="E14258">
        <v>256461</v>
      </c>
      <c r="F14258">
        <v>377090</v>
      </c>
      <c r="G14258">
        <v>24513</v>
      </c>
      <c r="H14258">
        <f>_xlfn.XLOOKUP(FACT_IMPORTS[[#This Row],[hts_6]],DIM_PRODUCTS[hts_6],DIM_PRODUCTS[hts_4],,,)</f>
        <v>8542</v>
      </c>
      <c r="I14258" t="str" cm="1">
        <f t="array" ref="I14258">_xlfn.XLOOKUP(FACT_IMPORTS[[#This Row],[country_name]],DIM_COUNTRY[[#All],[Column2]],DIM_COUNTRY[[#All],[Column3]],,,)</f>
        <v>Major_Non-USMCA_Non-China</v>
      </c>
    </row>
    <row r="14259" spans="1:9" x14ac:dyDescent="0.4">
      <c r="A14259" t="s">
        <v>75</v>
      </c>
      <c r="B14259" s="1">
        <v>45931</v>
      </c>
      <c r="C14259">
        <v>854233</v>
      </c>
      <c r="D14259" t="s">
        <v>176</v>
      </c>
      <c r="E14259">
        <v>0</v>
      </c>
      <c r="F14259">
        <v>0</v>
      </c>
      <c r="G14259">
        <v>0</v>
      </c>
      <c r="H14259">
        <f>_xlfn.XLOOKUP(FACT_IMPORTS[[#This Row],[hts_6]],DIM_PRODUCTS[hts_6],DIM_PRODUCTS[hts_4],,,)</f>
        <v>8542</v>
      </c>
      <c r="I14259" t="str" cm="1">
        <f t="array" ref="I14259">_xlfn.XLOOKUP(FACT_IMPORTS[[#This Row],[country_name]],DIM_COUNTRY[[#All],[Column2]],DIM_COUNTRY[[#All],[Column3]],,,)</f>
        <v>Major_Non-USMCA_Non-China</v>
      </c>
    </row>
    <row r="14260" spans="1:9" x14ac:dyDescent="0.4">
      <c r="A14260" t="s">
        <v>75</v>
      </c>
      <c r="B14260" s="1">
        <v>45931</v>
      </c>
      <c r="C14260">
        <v>854239</v>
      </c>
      <c r="D14260" t="s">
        <v>176</v>
      </c>
      <c r="E14260">
        <v>14909</v>
      </c>
      <c r="F14260">
        <v>10260</v>
      </c>
      <c r="G14260">
        <v>1277</v>
      </c>
      <c r="H14260">
        <f>_xlfn.XLOOKUP(FACT_IMPORTS[[#This Row],[hts_6]],DIM_PRODUCTS[hts_6],DIM_PRODUCTS[hts_4],,,)</f>
        <v>8542</v>
      </c>
      <c r="I14260" t="str" cm="1">
        <f t="array" ref="I14260">_xlfn.XLOOKUP(FACT_IMPORTS[[#This Row],[country_name]],DIM_COUNTRY[[#All],[Column2]],DIM_COUNTRY[[#All],[Column3]],,,)</f>
        <v>Major_Non-USMCA_Non-China</v>
      </c>
    </row>
    <row r="14261" spans="1:9" x14ac:dyDescent="0.4">
      <c r="A14261" t="s">
        <v>75</v>
      </c>
      <c r="B14261" s="1">
        <v>45931</v>
      </c>
      <c r="C14261">
        <v>854290</v>
      </c>
      <c r="D14261" t="s">
        <v>176</v>
      </c>
      <c r="E14261">
        <v>5320</v>
      </c>
      <c r="F14261">
        <v>7000</v>
      </c>
      <c r="G14261">
        <v>532</v>
      </c>
      <c r="H14261">
        <f>_xlfn.XLOOKUP(FACT_IMPORTS[[#This Row],[hts_6]],DIM_PRODUCTS[hts_6],DIM_PRODUCTS[hts_4],,,)</f>
        <v>8542</v>
      </c>
      <c r="I14261" t="str" cm="1">
        <f t="array" ref="I14261">_xlfn.XLOOKUP(FACT_IMPORTS[[#This Row],[country_name]],DIM_COUNTRY[[#All],[Column2]],DIM_COUNTRY[[#All],[Column3]],,,)</f>
        <v>Major_Non-USMCA_Non-China</v>
      </c>
    </row>
    <row r="14262" spans="1:9" x14ac:dyDescent="0.4">
      <c r="A14262" t="s">
        <v>75</v>
      </c>
      <c r="B14262" s="1">
        <v>45931</v>
      </c>
      <c r="C14262">
        <v>854430</v>
      </c>
      <c r="D14262" t="s">
        <v>176</v>
      </c>
      <c r="E14262">
        <v>202378</v>
      </c>
      <c r="F14262">
        <v>21821</v>
      </c>
      <c r="G14262">
        <v>940</v>
      </c>
      <c r="H14262">
        <f>_xlfn.XLOOKUP(FACT_IMPORTS[[#This Row],[hts_6]],DIM_PRODUCTS[hts_6],DIM_PRODUCTS[hts_4],,,)</f>
        <v>8544</v>
      </c>
      <c r="I14262" t="str" cm="1">
        <f t="array" ref="I14262">_xlfn.XLOOKUP(FACT_IMPORTS[[#This Row],[country_name]],DIM_COUNTRY[[#All],[Column2]],DIM_COUNTRY[[#All],[Column3]],,,)</f>
        <v>Major_Non-USMCA_Non-China</v>
      </c>
    </row>
    <row r="14263" spans="1:9" x14ac:dyDescent="0.4">
      <c r="A14263" t="s">
        <v>75</v>
      </c>
      <c r="B14263" s="1">
        <v>45931</v>
      </c>
      <c r="C14263">
        <v>870810</v>
      </c>
      <c r="D14263" t="s">
        <v>176</v>
      </c>
      <c r="E14263">
        <v>1167570</v>
      </c>
      <c r="F14263">
        <v>36631</v>
      </c>
      <c r="G14263">
        <v>166368</v>
      </c>
      <c r="H14263">
        <f>_xlfn.XLOOKUP(FACT_IMPORTS[[#This Row],[hts_6]],DIM_PRODUCTS[hts_6],DIM_PRODUCTS[hts_4],,,)</f>
        <v>8708</v>
      </c>
      <c r="I14263" t="str" cm="1">
        <f t="array" ref="I14263">_xlfn.XLOOKUP(FACT_IMPORTS[[#This Row],[country_name]],DIM_COUNTRY[[#All],[Column2]],DIM_COUNTRY[[#All],[Column3]],,,)</f>
        <v>Major_Non-USMCA_Non-China</v>
      </c>
    </row>
    <row r="14264" spans="1:9" x14ac:dyDescent="0.4">
      <c r="A14264" t="s">
        <v>75</v>
      </c>
      <c r="B14264" s="1">
        <v>45931</v>
      </c>
      <c r="C14264">
        <v>870829</v>
      </c>
      <c r="D14264" t="s">
        <v>176</v>
      </c>
      <c r="E14264">
        <v>1525410</v>
      </c>
      <c r="F14264">
        <v>188660</v>
      </c>
      <c r="G14264">
        <v>126033</v>
      </c>
      <c r="H14264">
        <f>_xlfn.XLOOKUP(FACT_IMPORTS[[#This Row],[hts_6]],DIM_PRODUCTS[hts_6],DIM_PRODUCTS[hts_4],,,)</f>
        <v>8708</v>
      </c>
      <c r="I14264" t="str" cm="1">
        <f t="array" ref="I14264">_xlfn.XLOOKUP(FACT_IMPORTS[[#This Row],[country_name]],DIM_COUNTRY[[#All],[Column2]],DIM_COUNTRY[[#All],[Column3]],,,)</f>
        <v>Major_Non-USMCA_Non-China</v>
      </c>
    </row>
    <row r="14265" spans="1:9" x14ac:dyDescent="0.4">
      <c r="A14265" t="s">
        <v>75</v>
      </c>
      <c r="B14265" s="1">
        <v>45931</v>
      </c>
      <c r="C14265">
        <v>870830</v>
      </c>
      <c r="D14265" t="s">
        <v>176</v>
      </c>
      <c r="E14265">
        <v>39884</v>
      </c>
      <c r="F14265">
        <v>2494</v>
      </c>
      <c r="G14265">
        <v>777</v>
      </c>
      <c r="H14265">
        <f>_xlfn.XLOOKUP(FACT_IMPORTS[[#This Row],[hts_6]],DIM_PRODUCTS[hts_6],DIM_PRODUCTS[hts_4],,,)</f>
        <v>8708</v>
      </c>
      <c r="I14265" t="str" cm="1">
        <f t="array" ref="I14265">_xlfn.XLOOKUP(FACT_IMPORTS[[#This Row],[country_name]],DIM_COUNTRY[[#All],[Column2]],DIM_COUNTRY[[#All],[Column3]],,,)</f>
        <v>Major_Non-USMCA_Non-China</v>
      </c>
    </row>
    <row r="14266" spans="1:9" x14ac:dyDescent="0.4">
      <c r="A14266" t="s">
        <v>75</v>
      </c>
      <c r="B14266" s="1">
        <v>45931</v>
      </c>
      <c r="C14266">
        <v>870840</v>
      </c>
      <c r="D14266" t="s">
        <v>176</v>
      </c>
      <c r="E14266">
        <v>178472</v>
      </c>
      <c r="F14266">
        <v>61615</v>
      </c>
      <c r="G14266">
        <v>1526</v>
      </c>
      <c r="H14266">
        <f>_xlfn.XLOOKUP(FACT_IMPORTS[[#This Row],[hts_6]],DIM_PRODUCTS[hts_6],DIM_PRODUCTS[hts_4],,,)</f>
        <v>8708</v>
      </c>
      <c r="I14266" t="str" cm="1">
        <f t="array" ref="I14266">_xlfn.XLOOKUP(FACT_IMPORTS[[#This Row],[country_name]],DIM_COUNTRY[[#All],[Column2]],DIM_COUNTRY[[#All],[Column3]],,,)</f>
        <v>Major_Non-USMCA_Non-China</v>
      </c>
    </row>
    <row r="14267" spans="1:9" x14ac:dyDescent="0.4">
      <c r="A14267" t="s">
        <v>75</v>
      </c>
      <c r="B14267" s="1">
        <v>45931</v>
      </c>
      <c r="C14267">
        <v>870850</v>
      </c>
      <c r="D14267" t="s">
        <v>176</v>
      </c>
      <c r="E14267">
        <v>730269</v>
      </c>
      <c r="F14267">
        <v>72328</v>
      </c>
      <c r="G14267">
        <v>23020</v>
      </c>
      <c r="H14267">
        <f>_xlfn.XLOOKUP(FACT_IMPORTS[[#This Row],[hts_6]],DIM_PRODUCTS[hts_6],DIM_PRODUCTS[hts_4],,,)</f>
        <v>8708</v>
      </c>
      <c r="I14267" t="str" cm="1">
        <f t="array" ref="I14267">_xlfn.XLOOKUP(FACT_IMPORTS[[#This Row],[country_name]],DIM_COUNTRY[[#All],[Column2]],DIM_COUNTRY[[#All],[Column3]],,,)</f>
        <v>Major_Non-USMCA_Non-China</v>
      </c>
    </row>
    <row r="14268" spans="1:9" x14ac:dyDescent="0.4">
      <c r="A14268" t="s">
        <v>75</v>
      </c>
      <c r="B14268" s="1">
        <v>45931</v>
      </c>
      <c r="C14268">
        <v>870870</v>
      </c>
      <c r="D14268" t="s">
        <v>176</v>
      </c>
      <c r="E14268">
        <v>475833</v>
      </c>
      <c r="F14268">
        <v>1838</v>
      </c>
      <c r="G14268">
        <v>10901</v>
      </c>
      <c r="H14268">
        <f>_xlfn.XLOOKUP(FACT_IMPORTS[[#This Row],[hts_6]],DIM_PRODUCTS[hts_6],DIM_PRODUCTS[hts_4],,,)</f>
        <v>8708</v>
      </c>
      <c r="I14268" t="str" cm="1">
        <f t="array" ref="I14268">_xlfn.XLOOKUP(FACT_IMPORTS[[#This Row],[country_name]],DIM_COUNTRY[[#All],[Column2]],DIM_COUNTRY[[#All],[Column3]],,,)</f>
        <v>Major_Non-USMCA_Non-China</v>
      </c>
    </row>
    <row r="14269" spans="1:9" x14ac:dyDescent="0.4">
      <c r="A14269" t="s">
        <v>75</v>
      </c>
      <c r="B14269" s="1">
        <v>45931</v>
      </c>
      <c r="C14269">
        <v>870880</v>
      </c>
      <c r="D14269" t="s">
        <v>176</v>
      </c>
      <c r="E14269">
        <v>809906</v>
      </c>
      <c r="F14269">
        <v>63856</v>
      </c>
      <c r="G14269">
        <v>5191</v>
      </c>
      <c r="H14269">
        <f>_xlfn.XLOOKUP(FACT_IMPORTS[[#This Row],[hts_6]],DIM_PRODUCTS[hts_6],DIM_PRODUCTS[hts_4],,,)</f>
        <v>8708</v>
      </c>
      <c r="I14269" t="str" cm="1">
        <f t="array" ref="I14269">_xlfn.XLOOKUP(FACT_IMPORTS[[#This Row],[country_name]],DIM_COUNTRY[[#All],[Column2]],DIM_COUNTRY[[#All],[Column3]],,,)</f>
        <v>Major_Non-USMCA_Non-China</v>
      </c>
    </row>
    <row r="14270" spans="1:9" x14ac:dyDescent="0.4">
      <c r="A14270" t="s">
        <v>75</v>
      </c>
      <c r="B14270" s="1">
        <v>45931</v>
      </c>
      <c r="C14270">
        <v>870891</v>
      </c>
      <c r="D14270" t="s">
        <v>176</v>
      </c>
      <c r="E14270">
        <v>3031</v>
      </c>
      <c r="F14270">
        <v>110</v>
      </c>
      <c r="G14270">
        <v>843</v>
      </c>
      <c r="H14270">
        <f>_xlfn.XLOOKUP(FACT_IMPORTS[[#This Row],[hts_6]],DIM_PRODUCTS[hts_6],DIM_PRODUCTS[hts_4],,,)</f>
        <v>8708</v>
      </c>
      <c r="I14270" t="str" cm="1">
        <f t="array" ref="I14270">_xlfn.XLOOKUP(FACT_IMPORTS[[#This Row],[country_name]],DIM_COUNTRY[[#All],[Column2]],DIM_COUNTRY[[#All],[Column3]],,,)</f>
        <v>Major_Non-USMCA_Non-China</v>
      </c>
    </row>
    <row r="14271" spans="1:9" x14ac:dyDescent="0.4">
      <c r="A14271" t="s">
        <v>75</v>
      </c>
      <c r="B14271" s="1">
        <v>45931</v>
      </c>
      <c r="C14271">
        <v>870892</v>
      </c>
      <c r="D14271" t="s">
        <v>176</v>
      </c>
      <c r="E14271">
        <v>8414</v>
      </c>
      <c r="F14271">
        <v>58</v>
      </c>
      <c r="G14271">
        <v>45</v>
      </c>
      <c r="H14271">
        <f>_xlfn.XLOOKUP(FACT_IMPORTS[[#This Row],[hts_6]],DIM_PRODUCTS[hts_6],DIM_PRODUCTS[hts_4],,,)</f>
        <v>8708</v>
      </c>
      <c r="I14271" t="str" cm="1">
        <f t="array" ref="I14271">_xlfn.XLOOKUP(FACT_IMPORTS[[#This Row],[country_name]],DIM_COUNTRY[[#All],[Column2]],DIM_COUNTRY[[#All],[Column3]],,,)</f>
        <v>Major_Non-USMCA_Non-China</v>
      </c>
    </row>
    <row r="14272" spans="1:9" x14ac:dyDescent="0.4">
      <c r="A14272" t="s">
        <v>75</v>
      </c>
      <c r="B14272" s="1">
        <v>45931</v>
      </c>
      <c r="C14272">
        <v>870893</v>
      </c>
      <c r="D14272" t="s">
        <v>176</v>
      </c>
      <c r="E14272">
        <v>99868</v>
      </c>
      <c r="F14272">
        <v>11849</v>
      </c>
      <c r="G14272">
        <v>9022</v>
      </c>
      <c r="H14272">
        <f>_xlfn.XLOOKUP(FACT_IMPORTS[[#This Row],[hts_6]],DIM_PRODUCTS[hts_6],DIM_PRODUCTS[hts_4],,,)</f>
        <v>8708</v>
      </c>
      <c r="I14272" t="str" cm="1">
        <f t="array" ref="I14272">_xlfn.XLOOKUP(FACT_IMPORTS[[#This Row],[country_name]],DIM_COUNTRY[[#All],[Column2]],DIM_COUNTRY[[#All],[Column3]],,,)</f>
        <v>Major_Non-USMCA_Non-China</v>
      </c>
    </row>
    <row r="14273" spans="1:9" x14ac:dyDescent="0.4">
      <c r="A14273" t="s">
        <v>75</v>
      </c>
      <c r="B14273" s="1">
        <v>45931</v>
      </c>
      <c r="C14273">
        <v>870894</v>
      </c>
      <c r="D14273" t="s">
        <v>176</v>
      </c>
      <c r="E14273">
        <v>42247</v>
      </c>
      <c r="F14273">
        <v>17293</v>
      </c>
      <c r="G14273">
        <v>964</v>
      </c>
      <c r="H14273">
        <f>_xlfn.XLOOKUP(FACT_IMPORTS[[#This Row],[hts_6]],DIM_PRODUCTS[hts_6],DIM_PRODUCTS[hts_4],,,)</f>
        <v>8708</v>
      </c>
      <c r="I14273" t="str" cm="1">
        <f t="array" ref="I14273">_xlfn.XLOOKUP(FACT_IMPORTS[[#This Row],[country_name]],DIM_COUNTRY[[#All],[Column2]],DIM_COUNTRY[[#All],[Column3]],,,)</f>
        <v>Major_Non-USMCA_Non-China</v>
      </c>
    </row>
    <row r="14274" spans="1:9" x14ac:dyDescent="0.4">
      <c r="A14274" t="s">
        <v>75</v>
      </c>
      <c r="B14274" s="1">
        <v>45931</v>
      </c>
      <c r="C14274">
        <v>870899</v>
      </c>
      <c r="D14274" t="s">
        <v>176</v>
      </c>
      <c r="E14274">
        <v>1065771</v>
      </c>
      <c r="F14274">
        <v>1606386</v>
      </c>
      <c r="G14274">
        <v>21238</v>
      </c>
      <c r="H14274">
        <f>_xlfn.XLOOKUP(FACT_IMPORTS[[#This Row],[hts_6]],DIM_PRODUCTS[hts_6],DIM_PRODUCTS[hts_4],,,)</f>
        <v>8708</v>
      </c>
      <c r="I14274" t="str" cm="1">
        <f t="array" ref="I14274">_xlfn.XLOOKUP(FACT_IMPORTS[[#This Row],[country_name]],DIM_COUNTRY[[#All],[Column2]],DIM_COUNTRY[[#All],[Column3]],,,)</f>
        <v>Major_Non-USMCA_Non-China</v>
      </c>
    </row>
    <row r="14275" spans="1:9" x14ac:dyDescent="0.4">
      <c r="A14275" t="s">
        <v>75</v>
      </c>
      <c r="B14275" s="1">
        <v>45931</v>
      </c>
      <c r="C14275">
        <v>940120</v>
      </c>
      <c r="D14275" t="s">
        <v>176</v>
      </c>
      <c r="E14275">
        <v>316</v>
      </c>
      <c r="F14275">
        <v>4</v>
      </c>
      <c r="G14275">
        <v>1</v>
      </c>
      <c r="H14275">
        <f>_xlfn.XLOOKUP(FACT_IMPORTS[[#This Row],[hts_6]],DIM_PRODUCTS[hts_6],DIM_PRODUCTS[hts_4],,,)</f>
        <v>9401</v>
      </c>
      <c r="I14275" t="str" cm="1">
        <f t="array" ref="I14275">_xlfn.XLOOKUP(FACT_IMPORTS[[#This Row],[country_name]],DIM_COUNTRY[[#All],[Column2]],DIM_COUNTRY[[#All],[Column3]],,,)</f>
        <v>Major_Non-USMCA_Non-China</v>
      </c>
    </row>
    <row r="14276" spans="1:9" ht="16.5" thickBot="1" x14ac:dyDescent="0.45">
      <c r="B14276" s="2"/>
    </row>
    <row r="14277" spans="1:9" ht="16.5" thickTop="1" x14ac:dyDescent="0.4">
      <c r="G14277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329C04-0336-BF43-B529-57E7645744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DIM_COUNTRY</vt:lpstr>
      <vt:lpstr>DIM_PRODUCTS</vt:lpstr>
      <vt:lpstr>DIM_TIME</vt:lpstr>
      <vt:lpstr>FACT_IMPORTS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Ambroise, Jeremiah</dc:creator>
  <cp:keywords/>
  <dc:description/>
  <cp:lastModifiedBy>jay ambroise</cp:lastModifiedBy>
  <cp:revision/>
  <dcterms:created xsi:type="dcterms:W3CDTF">2026-01-26T20:11:48Z</dcterms:created>
  <dcterms:modified xsi:type="dcterms:W3CDTF">2026-02-02T16:03:58Z</dcterms:modified>
  <cp:category/>
  <cp:contentStatus/>
</cp:coreProperties>
</file>